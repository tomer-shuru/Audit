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D55F1551-8970-4A8B-AB12-901E0A320A52}" xr6:coauthVersionLast="47" xr6:coauthVersionMax="47" xr10:uidLastSave="{00000000-0000-0000-0000-000000000000}"/>
  <bookViews>
    <workbookView xWindow="-120" yWindow="-120" windowWidth="38640" windowHeight="21120" activeTab="10" xr2:uid="{E0E293F9-D794-491A-92CF-8D3933F9CC7D}"/>
  </bookViews>
  <sheets>
    <sheet name="Audit Report" sheetId="1" r:id="rId1"/>
    <sheet name="SIMS Audit Report" sheetId="15" r:id="rId2"/>
    <sheet name="Locked and Faulty" sheetId="13" r:id="rId3"/>
    <sheet name="My_Audit" sheetId="5" r:id="rId4"/>
    <sheet name="Input" sheetId="2" r:id="rId5"/>
    <sheet name="Disk_Pivot" sheetId="12" r:id="rId6"/>
    <sheet name="Disk_Pivot_Data" sheetId="10" r:id="rId7"/>
    <sheet name="MacReports" sheetId="3" r:id="rId8"/>
    <sheet name="CSV" sheetId="4" r:id="rId9"/>
    <sheet name="CPU_Formula" sheetId="8" r:id="rId10"/>
    <sheet name="Output_Mac" sheetId="6" r:id="rId11"/>
    <sheet name="Models" sheetId="7" r:id="rId12"/>
    <sheet name="Diagnostics Codes" sheetId="14" r:id="rId13"/>
  </sheets>
  <definedNames>
    <definedName name="_xlpm.chars" hidden="1" xlm="1">#NAME?</definedName>
    <definedName name="_xlpm.CSVVal" hidden="1" xlm="1">#NAME?</definedName>
    <definedName name="_xlpm.descCode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yAuditVal" hidden="1" xlm="1">#NAME?</definedName>
    <definedName name="_xlpm.r" hidden="1" xlm="1">#NAME?</definedName>
    <definedName name="_xlpm.Result" hidden="1" xlm="1">#NAME?</definedName>
    <definedName name="_xlpm.txt" hidden="1" xlm="1">#NAME?</definedName>
    <definedName name="_xlpm.x" hidden="1" xlm="1">#NAME?</definedName>
  </definedNames>
  <calcPr calcId="191029"/>
  <pivotCaches>
    <pivotCache cacheId="5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12" i="15" l="1"/>
  <c r="J713" i="15"/>
  <c r="J714" i="15"/>
  <c r="J715" i="15"/>
  <c r="J716" i="15"/>
  <c r="J717" i="15"/>
  <c r="J718" i="15"/>
  <c r="J719" i="15"/>
  <c r="J720" i="15"/>
  <c r="J721" i="15"/>
  <c r="J722" i="15"/>
  <c r="J723" i="15"/>
  <c r="J724" i="15"/>
  <c r="J725" i="15"/>
  <c r="J726" i="15"/>
  <c r="J727" i="15"/>
  <c r="J728" i="15"/>
  <c r="J729" i="15"/>
  <c r="J730" i="15"/>
  <c r="J731" i="15"/>
  <c r="J732" i="15"/>
  <c r="J733" i="15"/>
  <c r="J734" i="15"/>
  <c r="J735" i="15"/>
  <c r="J736" i="15"/>
  <c r="J737" i="15"/>
  <c r="J738" i="15"/>
  <c r="J739" i="15"/>
  <c r="J740" i="15"/>
  <c r="J741" i="15"/>
  <c r="J742" i="15"/>
  <c r="J743" i="15"/>
  <c r="J744" i="15"/>
  <c r="J745" i="15"/>
  <c r="J746" i="15"/>
  <c r="J747" i="15"/>
  <c r="J748" i="15"/>
  <c r="J749" i="15"/>
  <c r="J750" i="15"/>
  <c r="J751" i="15"/>
  <c r="J752" i="15"/>
  <c r="J753" i="15"/>
  <c r="J754" i="15"/>
  <c r="J755" i="15"/>
  <c r="J756" i="15"/>
  <c r="J757" i="15"/>
  <c r="J758" i="15"/>
  <c r="J759" i="15"/>
  <c r="J760" i="15"/>
  <c r="J761" i="15"/>
  <c r="J762" i="15"/>
  <c r="J763" i="15"/>
  <c r="J764" i="15"/>
  <c r="J765" i="15"/>
  <c r="J766" i="15"/>
  <c r="J767" i="15"/>
  <c r="J768" i="15"/>
  <c r="J769" i="15"/>
  <c r="J770" i="15"/>
  <c r="J771" i="15"/>
  <c r="J772" i="15"/>
  <c r="J773" i="15"/>
  <c r="J774" i="15"/>
  <c r="J775" i="15"/>
  <c r="J776" i="15"/>
  <c r="J777" i="15"/>
  <c r="J778" i="15"/>
  <c r="J779" i="15"/>
  <c r="J780" i="15"/>
  <c r="J781" i="15"/>
  <c r="J782" i="15"/>
  <c r="J783" i="15"/>
  <c r="J784" i="15"/>
  <c r="J785" i="15"/>
  <c r="J786" i="15"/>
  <c r="J787" i="15"/>
  <c r="J788" i="15"/>
  <c r="J789" i="15"/>
  <c r="J790" i="15"/>
  <c r="J791" i="15"/>
  <c r="J792" i="15"/>
  <c r="J793" i="15"/>
  <c r="J794" i="15"/>
  <c r="J795" i="15"/>
  <c r="J796" i="15"/>
  <c r="J797" i="15"/>
  <c r="J798" i="15"/>
  <c r="J799" i="15"/>
  <c r="J800" i="15"/>
  <c r="J801" i="15"/>
  <c r="J802" i="15"/>
  <c r="J803" i="15"/>
  <c r="J804" i="15"/>
  <c r="J805" i="15"/>
  <c r="J806" i="15"/>
  <c r="J807" i="15"/>
  <c r="J808" i="15"/>
  <c r="J809" i="15"/>
  <c r="J810" i="15"/>
  <c r="J811" i="15"/>
  <c r="J812" i="15"/>
  <c r="J813" i="15"/>
  <c r="J814" i="15"/>
  <c r="J815" i="15"/>
  <c r="J816" i="15"/>
  <c r="J817" i="15"/>
  <c r="J818" i="15"/>
  <c r="J819" i="15"/>
  <c r="J820" i="15"/>
  <c r="J821" i="15"/>
  <c r="J822" i="15"/>
  <c r="J823" i="15"/>
  <c r="J824" i="15"/>
  <c r="J825" i="15"/>
  <c r="J826" i="15"/>
  <c r="J827" i="15"/>
  <c r="J828" i="15"/>
  <c r="J829" i="15"/>
  <c r="J830" i="15"/>
  <c r="J831" i="15"/>
  <c r="J832" i="15"/>
  <c r="J833" i="15"/>
  <c r="J834" i="15"/>
  <c r="J835" i="15"/>
  <c r="J836" i="15"/>
  <c r="J837" i="15"/>
  <c r="J838" i="15"/>
  <c r="J839" i="15"/>
  <c r="J840" i="15"/>
  <c r="J841" i="15"/>
  <c r="J842" i="15"/>
  <c r="J843" i="15"/>
  <c r="J844" i="15"/>
  <c r="J845" i="15"/>
  <c r="J846" i="15"/>
  <c r="J847" i="15"/>
  <c r="J848" i="15"/>
  <c r="J849" i="15"/>
  <c r="J850" i="15"/>
  <c r="J851" i="15"/>
  <c r="J852" i="15"/>
  <c r="J853" i="15"/>
  <c r="J854" i="15"/>
  <c r="J855" i="15"/>
  <c r="J856" i="15"/>
  <c r="J857" i="15"/>
  <c r="J858" i="15"/>
  <c r="J859" i="15"/>
  <c r="J860" i="15"/>
  <c r="J861" i="15"/>
  <c r="J862" i="15"/>
  <c r="J863" i="15"/>
  <c r="J864" i="15"/>
  <c r="J865" i="15"/>
  <c r="J866" i="15"/>
  <c r="J867" i="15"/>
  <c r="J868" i="15"/>
  <c r="J869" i="15"/>
  <c r="J870" i="15"/>
  <c r="J871" i="15"/>
  <c r="J872" i="15"/>
  <c r="J873" i="15"/>
  <c r="J874" i="15"/>
  <c r="J875" i="15"/>
  <c r="J876" i="15"/>
  <c r="J877" i="15"/>
  <c r="J878" i="15"/>
  <c r="J879" i="15"/>
  <c r="J880" i="15"/>
  <c r="J881" i="15"/>
  <c r="J882" i="15"/>
  <c r="J883" i="15"/>
  <c r="J884" i="15"/>
  <c r="J885" i="15"/>
  <c r="J886" i="15"/>
  <c r="J887" i="15"/>
  <c r="J888" i="15"/>
  <c r="J889" i="15"/>
  <c r="J890" i="15"/>
  <c r="J891" i="15"/>
  <c r="J892" i="15"/>
  <c r="J893" i="15"/>
  <c r="J894" i="15"/>
  <c r="J895" i="15"/>
  <c r="J896" i="15"/>
  <c r="J897" i="15"/>
  <c r="J898" i="15"/>
  <c r="J899" i="15"/>
  <c r="J900" i="15"/>
  <c r="J901" i="15"/>
  <c r="J902" i="15"/>
  <c r="J903" i="15"/>
  <c r="J904" i="15"/>
  <c r="J905" i="15"/>
  <c r="J906" i="15"/>
  <c r="J907" i="15"/>
  <c r="J908" i="15"/>
  <c r="J909" i="15"/>
  <c r="J910" i="15"/>
  <c r="J911" i="15"/>
  <c r="J912" i="15"/>
  <c r="J913" i="15"/>
  <c r="J914" i="15"/>
  <c r="J915" i="15"/>
  <c r="J916" i="15"/>
  <c r="J917" i="15"/>
  <c r="J918" i="15"/>
  <c r="J919" i="15"/>
  <c r="J920" i="15"/>
  <c r="J921" i="15"/>
  <c r="J922" i="15"/>
  <c r="J923" i="15"/>
  <c r="J924" i="15"/>
  <c r="J925" i="15"/>
  <c r="J926" i="15"/>
  <c r="J927" i="15"/>
  <c r="J928" i="15"/>
  <c r="J929" i="15"/>
  <c r="J930" i="15"/>
  <c r="J931" i="15"/>
  <c r="J932" i="15"/>
  <c r="J933" i="15"/>
  <c r="J934" i="15"/>
  <c r="J935" i="15"/>
  <c r="J936" i="15"/>
  <c r="J937" i="15"/>
  <c r="J938" i="15"/>
  <c r="J939" i="15"/>
  <c r="J940" i="15"/>
  <c r="J941" i="15"/>
  <c r="J942" i="15"/>
  <c r="J943" i="15"/>
  <c r="J944" i="15"/>
  <c r="J945" i="15"/>
  <c r="J946" i="15"/>
  <c r="J947" i="15"/>
  <c r="J948" i="15"/>
  <c r="J949" i="15"/>
  <c r="J950" i="15"/>
  <c r="J951" i="15"/>
  <c r="J952" i="15"/>
  <c r="J953" i="15"/>
  <c r="J954" i="15"/>
  <c r="J955" i="15"/>
  <c r="J956" i="15"/>
  <c r="J957" i="15"/>
  <c r="J958" i="15"/>
  <c r="J959" i="15"/>
  <c r="J960" i="15"/>
  <c r="J961" i="15"/>
  <c r="J962" i="15"/>
  <c r="J963" i="15"/>
  <c r="J964" i="15"/>
  <c r="J965" i="15"/>
  <c r="J966" i="15"/>
  <c r="J967" i="15"/>
  <c r="J968" i="15"/>
  <c r="J969" i="15"/>
  <c r="J970" i="15"/>
  <c r="J971" i="15"/>
  <c r="J972" i="15"/>
  <c r="J973" i="15"/>
  <c r="J974" i="15"/>
  <c r="J975" i="15"/>
  <c r="J976" i="15"/>
  <c r="J977" i="15"/>
  <c r="J978" i="15"/>
  <c r="J979" i="15"/>
  <c r="J980" i="15"/>
  <c r="J981" i="15"/>
  <c r="J982" i="15"/>
  <c r="J983" i="15"/>
  <c r="J984" i="15"/>
  <c r="J985" i="15"/>
  <c r="J986" i="15"/>
  <c r="J987" i="15"/>
  <c r="J988" i="15"/>
  <c r="J989" i="15"/>
  <c r="J990" i="15"/>
  <c r="J991" i="15"/>
  <c r="J992" i="15"/>
  <c r="J993" i="15"/>
  <c r="J994" i="15"/>
  <c r="J995" i="15"/>
  <c r="J996" i="15"/>
  <c r="J997" i="15"/>
  <c r="J998" i="15"/>
  <c r="J999" i="15"/>
  <c r="J1000" i="15"/>
  <c r="J1001" i="15"/>
  <c r="J1002" i="15"/>
  <c r="L712" i="15"/>
  <c r="L713" i="15"/>
  <c r="L714" i="15"/>
  <c r="L715" i="15"/>
  <c r="L716" i="15"/>
  <c r="L717" i="15"/>
  <c r="L718" i="15"/>
  <c r="L719" i="15"/>
  <c r="L720" i="15"/>
  <c r="L721" i="15"/>
  <c r="L722" i="15"/>
  <c r="L723" i="15"/>
  <c r="L724" i="15"/>
  <c r="L725" i="15"/>
  <c r="L726" i="15"/>
  <c r="L727" i="15"/>
  <c r="L728" i="15"/>
  <c r="L729" i="15"/>
  <c r="L730" i="15"/>
  <c r="L731" i="15"/>
  <c r="L732" i="15"/>
  <c r="L733" i="15"/>
  <c r="L734" i="15"/>
  <c r="L735" i="15"/>
  <c r="L736" i="15"/>
  <c r="L737" i="15"/>
  <c r="L738" i="15"/>
  <c r="L739" i="15"/>
  <c r="L740" i="15"/>
  <c r="L741" i="15"/>
  <c r="L742" i="15"/>
  <c r="L743" i="15"/>
  <c r="L744" i="15"/>
  <c r="L745" i="15"/>
  <c r="L746" i="15"/>
  <c r="L747" i="15"/>
  <c r="L748" i="15"/>
  <c r="L749" i="15"/>
  <c r="L750" i="15"/>
  <c r="L751" i="15"/>
  <c r="L752" i="15"/>
  <c r="L753" i="15"/>
  <c r="L754" i="15"/>
  <c r="L755" i="15"/>
  <c r="L756" i="15"/>
  <c r="L757" i="15"/>
  <c r="L758" i="15"/>
  <c r="L759" i="15"/>
  <c r="L760" i="15"/>
  <c r="L761" i="15"/>
  <c r="L762" i="15"/>
  <c r="L763" i="15"/>
  <c r="L764" i="15"/>
  <c r="L765" i="15"/>
  <c r="L766" i="15"/>
  <c r="L767" i="15"/>
  <c r="L768" i="15"/>
  <c r="L769" i="15"/>
  <c r="L770" i="15"/>
  <c r="L771" i="15"/>
  <c r="L772" i="15"/>
  <c r="L773" i="15"/>
  <c r="L774" i="15"/>
  <c r="L775" i="15"/>
  <c r="L776" i="15"/>
  <c r="L777" i="15"/>
  <c r="L778" i="15"/>
  <c r="L779" i="15"/>
  <c r="L780" i="15"/>
  <c r="L781" i="15"/>
  <c r="L782" i="15"/>
  <c r="L783" i="15"/>
  <c r="L784" i="15"/>
  <c r="L785" i="15"/>
  <c r="L786" i="15"/>
  <c r="L787" i="15"/>
  <c r="L788" i="15"/>
  <c r="L789" i="15"/>
  <c r="L790" i="15"/>
  <c r="L791" i="15"/>
  <c r="L792" i="15"/>
  <c r="L793" i="15"/>
  <c r="L794" i="15"/>
  <c r="L795" i="15"/>
  <c r="L796" i="15"/>
  <c r="L797" i="15"/>
  <c r="L798" i="15"/>
  <c r="L799" i="15"/>
  <c r="L800" i="15"/>
  <c r="L801" i="15"/>
  <c r="L802" i="15"/>
  <c r="L803" i="15"/>
  <c r="L804" i="15"/>
  <c r="L805" i="15"/>
  <c r="L806" i="15"/>
  <c r="L807" i="15"/>
  <c r="L808" i="15"/>
  <c r="L809" i="15"/>
  <c r="L810" i="15"/>
  <c r="L811" i="15"/>
  <c r="L812" i="15"/>
  <c r="L813" i="15"/>
  <c r="L814" i="15"/>
  <c r="L815" i="15"/>
  <c r="L816" i="15"/>
  <c r="L817" i="15"/>
  <c r="L818" i="15"/>
  <c r="L819" i="15"/>
  <c r="L820" i="15"/>
  <c r="L821" i="15"/>
  <c r="L822" i="15"/>
  <c r="L823" i="15"/>
  <c r="L824" i="15"/>
  <c r="L825" i="15"/>
  <c r="L826" i="15"/>
  <c r="L827" i="15"/>
  <c r="L828" i="15"/>
  <c r="L829" i="15"/>
  <c r="L830" i="15"/>
  <c r="L831" i="15"/>
  <c r="L832" i="15"/>
  <c r="L833" i="15"/>
  <c r="L834" i="15"/>
  <c r="L835" i="15"/>
  <c r="L836" i="15"/>
  <c r="L837" i="15"/>
  <c r="L838" i="15"/>
  <c r="L839" i="15"/>
  <c r="L840" i="15"/>
  <c r="L841" i="15"/>
  <c r="L842" i="15"/>
  <c r="L843" i="15"/>
  <c r="L844" i="15"/>
  <c r="L845" i="15"/>
  <c r="L846" i="15"/>
  <c r="L847" i="15"/>
  <c r="L848" i="15"/>
  <c r="L849" i="15"/>
  <c r="L850" i="15"/>
  <c r="L851" i="15"/>
  <c r="L852" i="15"/>
  <c r="L853" i="15"/>
  <c r="L854" i="15"/>
  <c r="L855" i="15"/>
  <c r="L856" i="15"/>
  <c r="L857" i="15"/>
  <c r="L858" i="15"/>
  <c r="L859" i="15"/>
  <c r="L860" i="15"/>
  <c r="L861" i="15"/>
  <c r="L862" i="15"/>
  <c r="L863" i="15"/>
  <c r="L864" i="15"/>
  <c r="L865" i="15"/>
  <c r="L866" i="15"/>
  <c r="L867" i="15"/>
  <c r="L868" i="15"/>
  <c r="L869" i="15"/>
  <c r="L870" i="15"/>
  <c r="L871" i="15"/>
  <c r="L872" i="15"/>
  <c r="L873" i="15"/>
  <c r="L874" i="15"/>
  <c r="L875" i="15"/>
  <c r="L876" i="15"/>
  <c r="L877" i="15"/>
  <c r="L878" i="15"/>
  <c r="L879" i="15"/>
  <c r="L880" i="15"/>
  <c r="L881" i="15"/>
  <c r="L882" i="15"/>
  <c r="L883" i="15"/>
  <c r="L884" i="15"/>
  <c r="L885" i="15"/>
  <c r="L886" i="15"/>
  <c r="L887" i="15"/>
  <c r="L888" i="15"/>
  <c r="L889" i="15"/>
  <c r="L890" i="15"/>
  <c r="L891" i="15"/>
  <c r="L892" i="15"/>
  <c r="L893" i="15"/>
  <c r="L894" i="15"/>
  <c r="L895" i="15"/>
  <c r="L896" i="15"/>
  <c r="L897" i="15"/>
  <c r="L898" i="15"/>
  <c r="L899" i="15"/>
  <c r="L900" i="15"/>
  <c r="L901" i="15"/>
  <c r="L902" i="15"/>
  <c r="L903" i="15"/>
  <c r="L904" i="15"/>
  <c r="L905" i="15"/>
  <c r="L906" i="15"/>
  <c r="L907" i="15"/>
  <c r="L908" i="15"/>
  <c r="L909" i="15"/>
  <c r="L910" i="15"/>
  <c r="L911" i="15"/>
  <c r="L912" i="15"/>
  <c r="L913" i="15"/>
  <c r="L914" i="15"/>
  <c r="L915" i="15"/>
  <c r="L916" i="15"/>
  <c r="L917" i="15"/>
  <c r="L918" i="15"/>
  <c r="L919" i="15"/>
  <c r="L920" i="15"/>
  <c r="L921" i="15"/>
  <c r="L922" i="15"/>
  <c r="L923" i="15"/>
  <c r="L924" i="15"/>
  <c r="L925" i="15"/>
  <c r="L926" i="15"/>
  <c r="L927" i="15"/>
  <c r="L928" i="15"/>
  <c r="L929" i="15"/>
  <c r="L930" i="15"/>
  <c r="L931" i="15"/>
  <c r="L932" i="15"/>
  <c r="L933" i="15"/>
  <c r="L934" i="15"/>
  <c r="L935" i="15"/>
  <c r="L936" i="15"/>
  <c r="L937" i="15"/>
  <c r="L938" i="15"/>
  <c r="L939" i="15"/>
  <c r="L940" i="15"/>
  <c r="L941" i="15"/>
  <c r="L942" i="15"/>
  <c r="L943" i="15"/>
  <c r="L944" i="15"/>
  <c r="L945" i="15"/>
  <c r="L946" i="15"/>
  <c r="L947" i="15"/>
  <c r="L948" i="15"/>
  <c r="L949" i="15"/>
  <c r="L950" i="15"/>
  <c r="L951" i="15"/>
  <c r="L952" i="15"/>
  <c r="L953" i="15"/>
  <c r="L954" i="15"/>
  <c r="L955" i="15"/>
  <c r="L956" i="15"/>
  <c r="L957" i="15"/>
  <c r="L958" i="15"/>
  <c r="L959" i="15"/>
  <c r="L960" i="15"/>
  <c r="L961" i="15"/>
  <c r="L962" i="15"/>
  <c r="L963" i="15"/>
  <c r="L964" i="15"/>
  <c r="L965" i="15"/>
  <c r="L966" i="15"/>
  <c r="L967" i="15"/>
  <c r="L968" i="15"/>
  <c r="L969" i="15"/>
  <c r="L970" i="15"/>
  <c r="L971" i="15"/>
  <c r="L972" i="15"/>
  <c r="L973" i="15"/>
  <c r="L974" i="15"/>
  <c r="L975" i="15"/>
  <c r="L976" i="15"/>
  <c r="L977" i="15"/>
  <c r="L978" i="15"/>
  <c r="L979" i="15"/>
  <c r="L980" i="15"/>
  <c r="L981" i="15"/>
  <c r="L982" i="15"/>
  <c r="L983" i="15"/>
  <c r="L984" i="15"/>
  <c r="L985" i="15"/>
  <c r="L986" i="15"/>
  <c r="L987" i="15"/>
  <c r="L988" i="15"/>
  <c r="L989" i="15"/>
  <c r="L990" i="15"/>
  <c r="L991" i="15"/>
  <c r="L992" i="15"/>
  <c r="L993" i="15"/>
  <c r="L994" i="15"/>
  <c r="L995" i="15"/>
  <c r="L996" i="15"/>
  <c r="L997" i="15"/>
  <c r="L998" i="15"/>
  <c r="L999" i="15"/>
  <c r="L1000" i="15"/>
  <c r="L1001" i="15"/>
  <c r="L1002" i="15"/>
  <c r="L1003" i="15"/>
  <c r="L1004" i="15"/>
  <c r="L1005" i="15"/>
  <c r="L1006" i="15"/>
  <c r="L1007" i="15"/>
  <c r="L1008" i="15"/>
  <c r="L1009" i="15"/>
  <c r="L1010" i="15"/>
  <c r="L1011" i="15"/>
  <c r="L1012" i="15"/>
  <c r="L1013" i="15"/>
  <c r="L1014" i="15"/>
  <c r="L1015" i="15"/>
  <c r="L1016" i="15"/>
  <c r="L1017" i="15"/>
  <c r="L1018" i="15"/>
  <c r="L1019" i="15"/>
  <c r="L1020" i="15"/>
  <c r="L1021" i="15"/>
  <c r="L1022" i="15"/>
  <c r="L1023" i="15"/>
  <c r="L1024" i="15"/>
  <c r="L1025" i="15"/>
  <c r="L1026" i="15"/>
  <c r="L1027" i="15"/>
  <c r="L1028" i="15"/>
  <c r="L1029" i="15"/>
  <c r="L1030" i="15"/>
  <c r="L1031" i="15"/>
  <c r="L1032" i="15"/>
  <c r="L1033" i="15"/>
  <c r="L1034" i="15"/>
  <c r="L1035" i="15"/>
  <c r="L1036" i="15"/>
  <c r="L1037" i="15"/>
  <c r="L1038" i="15"/>
  <c r="L1039" i="15"/>
  <c r="L1040" i="15"/>
  <c r="L1041" i="15"/>
  <c r="L1042" i="15"/>
  <c r="L1043" i="15"/>
  <c r="L1044" i="15"/>
  <c r="L1045" i="15"/>
  <c r="L1046" i="15"/>
  <c r="L1047" i="15"/>
  <c r="L1048" i="15"/>
  <c r="L1049" i="15"/>
  <c r="L1050" i="15"/>
  <c r="L1051" i="15"/>
  <c r="L1052" i="15"/>
  <c r="L1053" i="15"/>
  <c r="L1054" i="15"/>
  <c r="L1055" i="15"/>
  <c r="L1056" i="15"/>
  <c r="L1057" i="15"/>
  <c r="L1058" i="15"/>
  <c r="L1059" i="15"/>
  <c r="L1060" i="15"/>
  <c r="L1061" i="15"/>
  <c r="L1062" i="15"/>
  <c r="L1063" i="15"/>
  <c r="L1064" i="15"/>
  <c r="L1065" i="15"/>
  <c r="L1066" i="15"/>
  <c r="L1067" i="15"/>
  <c r="L1068" i="15"/>
  <c r="L1069" i="15"/>
  <c r="L1070" i="15"/>
  <c r="L1071" i="15"/>
  <c r="L1072" i="15"/>
  <c r="L1073" i="15"/>
  <c r="L1074" i="15"/>
  <c r="L1075" i="15"/>
  <c r="L1076" i="15"/>
  <c r="L1077" i="15"/>
  <c r="L1078" i="15"/>
  <c r="L1079" i="15"/>
  <c r="L1080" i="15"/>
  <c r="L1081" i="15"/>
  <c r="L1082" i="15"/>
  <c r="L1083" i="15"/>
  <c r="L1084" i="15"/>
  <c r="L1085" i="15"/>
  <c r="L1086" i="15"/>
  <c r="L1087" i="15"/>
  <c r="L1088" i="15"/>
  <c r="L1089" i="15"/>
  <c r="L1090" i="15"/>
  <c r="L1091" i="15"/>
  <c r="L1092" i="15"/>
  <c r="L1093" i="15"/>
  <c r="L1094" i="15"/>
  <c r="L1095" i="15"/>
  <c r="L1096" i="15"/>
  <c r="L1097" i="15"/>
  <c r="L1098" i="15"/>
  <c r="L1099" i="15"/>
  <c r="L1100" i="15"/>
  <c r="L1101" i="15"/>
  <c r="L1102" i="15"/>
  <c r="L1103" i="15"/>
  <c r="L1104" i="15"/>
  <c r="L1105" i="15"/>
  <c r="L1106" i="15"/>
  <c r="L1107" i="15"/>
  <c r="L1108" i="15"/>
  <c r="L1109" i="15"/>
  <c r="L1110" i="15"/>
  <c r="L1111" i="15"/>
  <c r="L1112" i="15"/>
  <c r="L1113" i="15"/>
  <c r="L1114" i="15"/>
  <c r="L1115" i="15"/>
  <c r="L1116" i="15"/>
  <c r="L1117" i="15"/>
  <c r="L1118" i="15"/>
  <c r="L1119" i="15"/>
  <c r="L1120" i="15"/>
  <c r="L1121" i="15"/>
  <c r="L1122" i="15"/>
  <c r="L1123" i="15"/>
  <c r="L1124" i="15"/>
  <c r="L1125" i="15"/>
  <c r="L1126" i="15"/>
  <c r="L1127" i="15"/>
  <c r="L1128" i="15"/>
  <c r="L1129" i="15"/>
  <c r="L1130" i="15"/>
  <c r="L1131" i="15"/>
  <c r="L1132" i="15"/>
  <c r="L1133" i="15"/>
  <c r="L1134" i="15"/>
  <c r="L1135" i="15"/>
  <c r="L1136" i="15"/>
  <c r="L1137" i="15"/>
  <c r="L1138" i="15"/>
  <c r="L1139" i="15"/>
  <c r="L1140" i="15"/>
  <c r="L1141" i="15"/>
  <c r="L1142" i="15"/>
  <c r="L1143" i="15"/>
  <c r="L1144" i="15"/>
  <c r="L1145" i="15"/>
  <c r="L1146" i="15"/>
  <c r="L1147" i="15"/>
  <c r="L1148" i="15"/>
  <c r="L1149" i="15"/>
  <c r="L1150" i="15"/>
  <c r="L1151" i="15"/>
  <c r="L1152" i="15"/>
  <c r="L1153" i="15"/>
  <c r="L1154" i="15"/>
  <c r="L1155" i="15"/>
  <c r="L1156" i="15"/>
  <c r="L1157" i="15"/>
  <c r="L1158" i="15"/>
  <c r="L1159" i="15"/>
  <c r="L1160" i="15"/>
  <c r="L1161" i="15"/>
  <c r="L1162" i="15"/>
  <c r="L1163" i="15"/>
  <c r="L1164" i="15"/>
  <c r="L1165" i="15"/>
  <c r="L1166" i="15"/>
  <c r="L1167" i="15"/>
  <c r="L1168" i="15"/>
  <c r="L1169" i="15"/>
  <c r="L1170" i="15"/>
  <c r="L1171" i="15"/>
  <c r="L1172" i="15"/>
  <c r="L1173" i="15"/>
  <c r="L1174" i="15"/>
  <c r="L1175" i="15"/>
  <c r="L1176" i="15"/>
  <c r="L1177" i="15"/>
  <c r="L1178" i="15"/>
  <c r="L1179" i="15"/>
  <c r="L1180" i="15"/>
  <c r="L1181" i="15"/>
  <c r="L1182" i="15"/>
  <c r="L1183" i="15"/>
  <c r="L1184" i="15"/>
  <c r="L1185" i="15"/>
  <c r="L1186" i="15"/>
  <c r="L1187" i="15"/>
  <c r="L1188" i="15"/>
  <c r="L1189" i="15"/>
  <c r="L1190" i="15"/>
  <c r="L1191" i="15"/>
  <c r="L1192" i="15"/>
  <c r="L1193" i="15"/>
  <c r="L1194" i="15"/>
  <c r="L1195" i="15"/>
  <c r="L1196" i="15"/>
  <c r="L1197" i="15"/>
  <c r="L1198" i="15"/>
  <c r="L1199" i="15"/>
  <c r="L1200" i="15"/>
  <c r="L1201" i="15"/>
  <c r="L1202" i="15"/>
  <c r="L1203" i="15"/>
  <c r="L1204" i="15"/>
  <c r="L1205" i="15"/>
  <c r="L1206" i="15"/>
  <c r="L1207" i="15"/>
  <c r="L1208" i="15"/>
  <c r="L1209" i="15"/>
  <c r="L1210" i="15"/>
  <c r="L1211" i="15"/>
  <c r="L1212" i="15"/>
  <c r="L1213" i="15"/>
  <c r="L1214" i="15"/>
  <c r="L1215" i="15"/>
  <c r="L1216" i="15"/>
  <c r="L1217" i="15"/>
  <c r="L1218" i="15"/>
  <c r="L1219" i="15"/>
  <c r="L1220" i="15"/>
  <c r="L1221" i="15"/>
  <c r="L1222" i="15"/>
  <c r="L1223" i="15"/>
  <c r="L1224" i="15"/>
  <c r="L1225" i="15"/>
  <c r="L1226" i="15"/>
  <c r="L1227" i="15"/>
  <c r="L1228" i="15"/>
  <c r="L1229" i="15"/>
  <c r="L1230" i="15"/>
  <c r="L1231" i="15"/>
  <c r="L1232" i="15"/>
  <c r="L1233" i="15"/>
  <c r="L1234" i="15"/>
  <c r="L1235" i="15"/>
  <c r="L1236" i="15"/>
  <c r="L1237" i="15"/>
  <c r="L1238" i="15"/>
  <c r="L1239" i="15"/>
  <c r="L1240" i="15"/>
  <c r="L1241" i="15"/>
  <c r="L1242" i="15"/>
  <c r="L1243" i="15"/>
  <c r="L1244" i="15"/>
  <c r="L1245" i="15"/>
  <c r="L1246" i="15"/>
  <c r="L1247" i="15"/>
  <c r="L1248" i="15"/>
  <c r="L1249" i="15"/>
  <c r="L1250" i="15"/>
  <c r="L1251" i="15"/>
  <c r="L1252" i="15"/>
  <c r="L1253" i="15"/>
  <c r="L1254" i="15"/>
  <c r="L1255" i="15"/>
  <c r="L1256" i="15"/>
  <c r="L1257" i="15"/>
  <c r="L1258" i="15"/>
  <c r="L1259" i="15"/>
  <c r="L1260" i="15"/>
  <c r="L1261" i="15"/>
  <c r="L1262" i="15"/>
  <c r="L1263" i="15"/>
  <c r="L1264" i="15"/>
  <c r="L1265" i="15"/>
  <c r="L1266" i="15"/>
  <c r="L1267" i="15"/>
  <c r="L1268" i="15"/>
  <c r="L1269" i="15"/>
  <c r="L1270" i="15"/>
  <c r="L1271" i="15"/>
  <c r="L1272" i="15"/>
  <c r="L1273" i="15"/>
  <c r="L1274" i="15"/>
  <c r="L1275" i="15"/>
  <c r="L1276" i="15"/>
  <c r="L1277" i="15"/>
  <c r="L1278" i="15"/>
  <c r="L1279" i="15"/>
  <c r="L1280" i="15"/>
  <c r="L1281" i="15"/>
  <c r="L1282" i="15"/>
  <c r="L1283" i="15"/>
  <c r="L1284" i="15"/>
  <c r="L1285" i="15"/>
  <c r="L1286" i="15"/>
  <c r="L1287" i="15"/>
  <c r="L1288" i="15"/>
  <c r="L1289" i="15"/>
  <c r="L1290" i="15"/>
  <c r="L1291" i="15"/>
  <c r="L1292" i="15"/>
  <c r="L1293" i="15"/>
  <c r="L1294" i="15"/>
  <c r="L1295" i="15"/>
  <c r="L1296" i="15"/>
  <c r="L1297" i="15"/>
  <c r="L1298" i="15"/>
  <c r="L1299" i="15"/>
  <c r="L1300" i="15"/>
  <c r="L1301" i="15"/>
  <c r="L1302" i="15"/>
  <c r="L1303" i="15"/>
  <c r="L1304" i="15"/>
  <c r="L1305" i="15"/>
  <c r="L1306" i="15"/>
  <c r="L1307" i="15"/>
  <c r="L1308" i="15"/>
  <c r="L1309" i="15"/>
  <c r="L1310" i="15"/>
  <c r="L1311" i="15"/>
  <c r="L1312" i="15"/>
  <c r="L1313" i="15"/>
  <c r="L1314" i="15"/>
  <c r="L1315" i="15"/>
  <c r="L1316" i="15"/>
  <c r="L1317" i="1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" i="5"/>
  <c r="P2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AF557" i="4"/>
  <c r="AF558" i="4"/>
  <c r="AF559" i="4"/>
  <c r="AF560" i="4"/>
  <c r="AF561" i="4"/>
  <c r="AF562" i="4"/>
  <c r="AF563" i="4"/>
  <c r="AF564" i="4"/>
  <c r="AF565" i="4"/>
  <c r="AF566" i="4"/>
  <c r="AF567" i="4"/>
  <c r="AF568" i="4"/>
  <c r="AF569" i="4"/>
  <c r="AF570" i="4"/>
  <c r="AF571" i="4"/>
  <c r="AF572" i="4"/>
  <c r="AF573" i="4"/>
  <c r="AF574" i="4"/>
  <c r="W3" i="4" a="1"/>
  <c r="W3" i="4"/>
  <c r="W4" i="4" a="1"/>
  <c r="W4" i="4"/>
  <c r="W5" i="4" a="1"/>
  <c r="W5" i="4"/>
  <c r="W6" i="4" a="1"/>
  <c r="W6" i="4"/>
  <c r="W7" i="4" a="1"/>
  <c r="W7" i="4"/>
  <c r="W9" i="4" a="1"/>
  <c r="W9" i="4" s="1"/>
  <c r="W10" i="4" a="1"/>
  <c r="W10" i="4"/>
  <c r="W11" i="4" a="1"/>
  <c r="W11" i="4" s="1"/>
  <c r="W12" i="4" a="1"/>
  <c r="W12" i="4"/>
  <c r="W13" i="4" a="1"/>
  <c r="W13" i="4" s="1"/>
  <c r="W14" i="4" a="1"/>
  <c r="W14" i="4"/>
  <c r="W15" i="4" a="1"/>
  <c r="W15" i="4" s="1"/>
  <c r="W16" i="4" a="1"/>
  <c r="W16" i="4"/>
  <c r="W17" i="4" a="1"/>
  <c r="W17" i="4" s="1"/>
  <c r="W19" i="4" a="1"/>
  <c r="W19" i="4" s="1"/>
  <c r="W20" i="4" a="1"/>
  <c r="W20" i="4"/>
  <c r="W22" i="4" a="1"/>
  <c r="W22" i="4"/>
  <c r="W23" i="4" a="1"/>
  <c r="W23" i="4" s="1"/>
  <c r="W24" i="4" a="1"/>
  <c r="W24" i="4"/>
  <c r="W25" i="4" a="1"/>
  <c r="W25" i="4" s="1"/>
  <c r="W26" i="4" a="1"/>
  <c r="W26" i="4"/>
  <c r="W27" i="4" a="1"/>
  <c r="W27" i="4" s="1"/>
  <c r="W28" i="4" a="1"/>
  <c r="W28" i="4"/>
  <c r="W30" i="4" a="1"/>
  <c r="W30" i="4"/>
  <c r="W31" i="4" a="1"/>
  <c r="W31" i="4" s="1"/>
  <c r="W32" i="4" a="1"/>
  <c r="W32" i="4"/>
  <c r="W34" i="4" a="1"/>
  <c r="W34" i="4"/>
  <c r="W35" i="4" a="1"/>
  <c r="W35" i="4" s="1"/>
  <c r="W36" i="4" a="1"/>
  <c r="W36" i="4"/>
  <c r="W37" i="4" a="1"/>
  <c r="W37" i="4" s="1"/>
  <c r="W38" i="4" a="1"/>
  <c r="W38" i="4"/>
  <c r="W39" i="4" a="1"/>
  <c r="W39" i="4" s="1"/>
  <c r="W40" i="4" a="1"/>
  <c r="W40" i="4"/>
  <c r="W41" i="4" a="1"/>
  <c r="W41" i="4" s="1"/>
  <c r="W42" i="4" a="1"/>
  <c r="W42" i="4"/>
  <c r="W43" i="4" a="1"/>
  <c r="W43" i="4" s="1"/>
  <c r="W44" i="4" a="1"/>
  <c r="W44" i="4"/>
  <c r="W45" i="4" a="1"/>
  <c r="W45" i="4" s="1"/>
  <c r="W46" i="4" a="1"/>
  <c r="W46" i="4"/>
  <c r="W47" i="4" a="1"/>
  <c r="W47" i="4" s="1"/>
  <c r="W48" i="4" a="1"/>
  <c r="W48" i="4"/>
  <c r="W51" i="4" a="1"/>
  <c r="W51" i="4" s="1"/>
  <c r="W53" i="4" a="1"/>
  <c r="W53" i="4" s="1"/>
  <c r="W54" i="4" a="1"/>
  <c r="W54" i="4"/>
  <c r="W55" i="4" a="1"/>
  <c r="W55" i="4" s="1"/>
  <c r="W56" i="4" a="1"/>
  <c r="W56" i="4"/>
  <c r="W58" i="4" a="1"/>
  <c r="W58" i="4"/>
  <c r="W59" i="4" a="1"/>
  <c r="W59" i="4" s="1"/>
  <c r="W61" i="4" a="1"/>
  <c r="W61" i="4" s="1"/>
  <c r="W62" i="4" a="1"/>
  <c r="W62" i="4"/>
  <c r="W63" i="4" a="1"/>
  <c r="W63" i="4" s="1"/>
  <c r="W64" i="4" a="1"/>
  <c r="W64" i="4"/>
  <c r="W65" i="4" a="1"/>
  <c r="W65" i="4" s="1"/>
  <c r="W66" i="4" a="1"/>
  <c r="W66" i="4"/>
  <c r="W67" i="4" a="1"/>
  <c r="W67" i="4" s="1"/>
  <c r="W70" i="4" a="1"/>
  <c r="W70" i="4"/>
  <c r="W71" i="4" a="1"/>
  <c r="W71" i="4" s="1"/>
  <c r="W72" i="4" a="1"/>
  <c r="W72" i="4"/>
  <c r="W73" i="4" a="1"/>
  <c r="W73" i="4" s="1"/>
  <c r="W74" i="4" a="1"/>
  <c r="W74" i="4"/>
  <c r="W75" i="4" a="1"/>
  <c r="W75" i="4" s="1"/>
  <c r="W76" i="4" a="1"/>
  <c r="W76" i="4"/>
  <c r="W77" i="4" a="1"/>
  <c r="W77" i="4" s="1"/>
  <c r="W79" i="4" a="1"/>
  <c r="W79" i="4" s="1"/>
  <c r="W80" i="4" a="1"/>
  <c r="W80" i="4"/>
  <c r="W81" i="4" a="1"/>
  <c r="W81" i="4" s="1"/>
  <c r="W83" i="4" a="1"/>
  <c r="W83" i="4" s="1"/>
  <c r="W84" i="4" a="1"/>
  <c r="W84" i="4" s="1"/>
  <c r="W85" i="4" a="1"/>
  <c r="W85" i="4"/>
  <c r="W86" i="4" a="1"/>
  <c r="W86" i="4"/>
  <c r="W87" i="4" a="1"/>
  <c r="W87" i="4" s="1"/>
  <c r="W88" i="4" a="1"/>
  <c r="W88" i="4" s="1"/>
  <c r="W90" i="4" a="1"/>
  <c r="W90" i="4" s="1"/>
  <c r="W91" i="4" a="1"/>
  <c r="W91" i="4" s="1"/>
  <c r="W92" i="4" a="1"/>
  <c r="W92" i="4" s="1"/>
  <c r="W93" i="4" a="1"/>
  <c r="W93" i="4" s="1"/>
  <c r="W94" i="4" a="1"/>
  <c r="W94" i="4" s="1"/>
  <c r="W96" i="4" a="1"/>
  <c r="W96" i="4" s="1"/>
  <c r="W97" i="4" a="1"/>
  <c r="W97" i="4" s="1"/>
  <c r="W98" i="4" a="1"/>
  <c r="W98" i="4" s="1"/>
  <c r="W99" i="4" a="1"/>
  <c r="W99" i="4" s="1"/>
  <c r="W100" i="4" a="1"/>
  <c r="W100" i="4" s="1"/>
  <c r="W101" i="4" a="1"/>
  <c r="W101" i="4" s="1"/>
  <c r="W102" i="4" a="1"/>
  <c r="W102" i="4" s="1"/>
  <c r="W103" i="4" a="1"/>
  <c r="W103" i="4" s="1"/>
  <c r="W104" i="4" a="1"/>
  <c r="W104" i="4" s="1"/>
  <c r="W106" i="4" a="1"/>
  <c r="W106" i="4" s="1"/>
  <c r="W107" i="4" a="1"/>
  <c r="W107" i="4" s="1"/>
  <c r="W108" i="4" a="1"/>
  <c r="W108" i="4" s="1"/>
  <c r="W109" i="4" a="1"/>
  <c r="W109" i="4" s="1"/>
  <c r="W110" i="4" a="1"/>
  <c r="W110" i="4" s="1"/>
  <c r="W111" i="4" a="1"/>
  <c r="W111" i="4" s="1"/>
  <c r="W112" i="4" a="1"/>
  <c r="W112" i="4" s="1"/>
  <c r="W113" i="4" a="1"/>
  <c r="W113" i="4" s="1"/>
  <c r="W114" i="4" a="1"/>
  <c r="W114" i="4" s="1"/>
  <c r="W115" i="4" a="1"/>
  <c r="W115" i="4" s="1"/>
  <c r="W116" i="4" a="1"/>
  <c r="W116" i="4" s="1"/>
  <c r="W117" i="4" a="1"/>
  <c r="W117" i="4" s="1"/>
  <c r="W120" i="4" a="1"/>
  <c r="W120" i="4" s="1"/>
  <c r="W121" i="4" a="1"/>
  <c r="W121" i="4" s="1"/>
  <c r="W122" i="4" a="1"/>
  <c r="W122" i="4" s="1"/>
  <c r="W123" i="4" a="1"/>
  <c r="W123" i="4" s="1"/>
  <c r="W124" i="4" a="1"/>
  <c r="W124" i="4" s="1"/>
  <c r="W126" i="4" a="1"/>
  <c r="W126" i="4" s="1"/>
  <c r="W127" i="4" a="1"/>
  <c r="W127" i="4" s="1"/>
  <c r="W128" i="4" a="1"/>
  <c r="W128" i="4" s="1"/>
  <c r="W131" i="4" a="1"/>
  <c r="W131" i="4" s="1"/>
  <c r="W132" i="4" a="1"/>
  <c r="W132" i="4" s="1"/>
  <c r="W133" i="4" a="1"/>
  <c r="W133" i="4" s="1"/>
  <c r="W134" i="4" a="1"/>
  <c r="W134" i="4" s="1"/>
  <c r="W135" i="4" a="1"/>
  <c r="W135" i="4" s="1"/>
  <c r="W136" i="4" a="1"/>
  <c r="W136" i="4" s="1"/>
  <c r="W137" i="4" a="1"/>
  <c r="W137" i="4" s="1"/>
  <c r="W138" i="4" a="1"/>
  <c r="W138" i="4" s="1"/>
  <c r="W139" i="4" a="1"/>
  <c r="W139" i="4" s="1"/>
  <c r="W140" i="4" a="1"/>
  <c r="W140" i="4" s="1"/>
  <c r="W142" i="4" a="1"/>
  <c r="W142" i="4" s="1"/>
  <c r="W143" i="4" a="1"/>
  <c r="W143" i="4" s="1"/>
  <c r="W144" i="4" a="1"/>
  <c r="W144" i="4" s="1"/>
  <c r="W145" i="4" a="1"/>
  <c r="W145" i="4" s="1"/>
  <c r="W146" i="4" a="1"/>
  <c r="W146" i="4" s="1"/>
  <c r="W148" i="4" a="1"/>
  <c r="W148" i="4" s="1"/>
  <c r="W149" i="4" a="1"/>
  <c r="W149" i="4" s="1"/>
  <c r="W151" i="4" a="1"/>
  <c r="W151" i="4" s="1"/>
  <c r="V152" i="4" a="1"/>
  <c r="V152" i="4" s="1"/>
  <c r="W152" i="4" a="1"/>
  <c r="W152" i="4" s="1"/>
  <c r="V153" i="4" a="1"/>
  <c r="V153" i="4" s="1"/>
  <c r="W153" i="4" a="1"/>
  <c r="W153" i="4"/>
  <c r="V154" i="4" a="1"/>
  <c r="V154" i="4" s="1"/>
  <c r="W154" i="4" a="1"/>
  <c r="W154" i="4"/>
  <c r="V155" i="4" a="1"/>
  <c r="V155" i="4" s="1"/>
  <c r="W155" i="4" a="1"/>
  <c r="W155" i="4"/>
  <c r="V156" i="4" a="1"/>
  <c r="V156" i="4" s="1"/>
  <c r="W156" i="4" a="1"/>
  <c r="W156" i="4"/>
  <c r="V157" i="4" a="1"/>
  <c r="V157" i="4" s="1"/>
  <c r="W157" i="4" a="1"/>
  <c r="W157" i="4"/>
  <c r="V158" i="4" a="1"/>
  <c r="V158" i="4" s="1"/>
  <c r="W158" i="4" a="1"/>
  <c r="W158" i="4"/>
  <c r="V159" i="4" a="1"/>
  <c r="V159" i="4" s="1"/>
  <c r="W159" i="4" a="1"/>
  <c r="W159" i="4"/>
  <c r="V160" i="4" a="1"/>
  <c r="V160" i="4" s="1"/>
  <c r="W160" i="4" a="1"/>
  <c r="W160" i="4"/>
  <c r="V161" i="4" a="1"/>
  <c r="V161" i="4" s="1"/>
  <c r="W161" i="4" a="1"/>
  <c r="W161" i="4"/>
  <c r="V162" i="4" a="1"/>
  <c r="V162" i="4" s="1"/>
  <c r="W162" i="4" a="1"/>
  <c r="W162" i="4"/>
  <c r="V163" i="4" a="1"/>
  <c r="V163" i="4" s="1"/>
  <c r="W163" i="4" a="1"/>
  <c r="W163" i="4"/>
  <c r="V164" i="4" a="1"/>
  <c r="V164" i="4" s="1"/>
  <c r="W164" i="4" a="1"/>
  <c r="W164" i="4"/>
  <c r="V165" i="4" a="1"/>
  <c r="V165" i="4" s="1"/>
  <c r="W165" i="4" a="1"/>
  <c r="W165" i="4"/>
  <c r="V166" i="4" a="1"/>
  <c r="V166" i="4" s="1"/>
  <c r="W166" i="4" a="1"/>
  <c r="W166" i="4"/>
  <c r="V167" i="4" a="1"/>
  <c r="V167" i="4" s="1"/>
  <c r="W167" i="4" a="1"/>
  <c r="W167" i="4"/>
  <c r="V168" i="4" a="1"/>
  <c r="V168" i="4" s="1"/>
  <c r="W168" i="4" a="1"/>
  <c r="W168" i="4"/>
  <c r="V169" i="4" a="1"/>
  <c r="V169" i="4" s="1"/>
  <c r="W169" i="4" a="1"/>
  <c r="W169" i="4"/>
  <c r="V170" i="4" a="1"/>
  <c r="V170" i="4" s="1"/>
  <c r="W170" i="4" a="1"/>
  <c r="W170" i="4"/>
  <c r="V171" i="4" a="1"/>
  <c r="V171" i="4" s="1"/>
  <c r="W171" i="4" a="1"/>
  <c r="W171" i="4"/>
  <c r="V172" i="4" a="1"/>
  <c r="V172" i="4" s="1"/>
  <c r="W172" i="4" a="1"/>
  <c r="W172" i="4"/>
  <c r="V173" i="4" a="1"/>
  <c r="V173" i="4" s="1"/>
  <c r="W173" i="4" a="1"/>
  <c r="W173" i="4"/>
  <c r="V174" i="4" a="1"/>
  <c r="V174" i="4" s="1"/>
  <c r="W174" i="4" a="1"/>
  <c r="W174" i="4"/>
  <c r="V175" i="4" a="1"/>
  <c r="V175" i="4" s="1"/>
  <c r="W175" i="4" a="1"/>
  <c r="W175" i="4"/>
  <c r="V176" i="4" a="1"/>
  <c r="V176" i="4" s="1"/>
  <c r="W176" i="4" a="1"/>
  <c r="W176" i="4"/>
  <c r="V177" i="4" a="1"/>
  <c r="V177" i="4" s="1"/>
  <c r="W177" i="4" a="1"/>
  <c r="W177" i="4"/>
  <c r="W178" i="4" a="1"/>
  <c r="W178" i="4"/>
  <c r="V179" i="4" a="1"/>
  <c r="V179" i="4" s="1"/>
  <c r="W179" i="4" a="1"/>
  <c r="W179" i="4"/>
  <c r="V180" i="4" a="1"/>
  <c r="V180" i="4" s="1"/>
  <c r="W180" i="4" a="1"/>
  <c r="W180" i="4"/>
  <c r="V181" i="4" a="1"/>
  <c r="V181" i="4" s="1"/>
  <c r="W181" i="4" a="1"/>
  <c r="W181" i="4"/>
  <c r="W182" i="4" a="1"/>
  <c r="W182" i="4"/>
  <c r="V183" i="4" a="1"/>
  <c r="V183" i="4" s="1"/>
  <c r="W183" i="4" a="1"/>
  <c r="W183" i="4"/>
  <c r="V184" i="4" a="1"/>
  <c r="V184" i="4" s="1"/>
  <c r="W184" i="4" a="1"/>
  <c r="W184" i="4"/>
  <c r="V185" i="4" a="1"/>
  <c r="V185" i="4" s="1"/>
  <c r="W185" i="4" a="1"/>
  <c r="W185" i="4"/>
  <c r="W186" i="4" a="1"/>
  <c r="W186" i="4"/>
  <c r="V187" i="4" a="1"/>
  <c r="V187" i="4" s="1"/>
  <c r="W187" i="4" a="1"/>
  <c r="W187" i="4"/>
  <c r="V188" i="4" a="1"/>
  <c r="V188" i="4" s="1"/>
  <c r="W188" i="4" a="1"/>
  <c r="W188" i="4"/>
  <c r="V189" i="4" a="1"/>
  <c r="V189" i="4" s="1"/>
  <c r="W189" i="4" a="1"/>
  <c r="W189" i="4"/>
  <c r="W190" i="4" a="1"/>
  <c r="W190" i="4"/>
  <c r="V191" i="4" a="1"/>
  <c r="V191" i="4" s="1"/>
  <c r="W191" i="4" a="1"/>
  <c r="W191" i="4"/>
  <c r="V192" i="4" a="1"/>
  <c r="V192" i="4" s="1"/>
  <c r="W192" i="4" a="1"/>
  <c r="W192" i="4"/>
  <c r="V193" i="4" a="1"/>
  <c r="V193" i="4" s="1"/>
  <c r="W193" i="4" a="1"/>
  <c r="W193" i="4"/>
  <c r="W194" i="4" a="1"/>
  <c r="W194" i="4"/>
  <c r="V195" i="4" a="1"/>
  <c r="V195" i="4" s="1"/>
  <c r="W195" i="4" a="1"/>
  <c r="W195" i="4"/>
  <c r="V196" i="4" a="1"/>
  <c r="V196" i="4" s="1"/>
  <c r="W196" i="4" a="1"/>
  <c r="W196" i="4"/>
  <c r="V197" i="4" a="1"/>
  <c r="V197" i="4" s="1"/>
  <c r="W197" i="4" a="1"/>
  <c r="W197" i="4"/>
  <c r="W198" i="4" a="1"/>
  <c r="W198" i="4"/>
  <c r="V199" i="4" a="1"/>
  <c r="V199" i="4" s="1"/>
  <c r="W199" i="4" a="1"/>
  <c r="W199" i="4"/>
  <c r="V200" i="4" a="1"/>
  <c r="V200" i="4" s="1"/>
  <c r="W200" i="4" a="1"/>
  <c r="W200" i="4"/>
  <c r="V201" i="4" a="1"/>
  <c r="V201" i="4" s="1"/>
  <c r="W201" i="4" a="1"/>
  <c r="W201" i="4"/>
  <c r="W202" i="4" a="1"/>
  <c r="W202" i="4"/>
  <c r="V203" i="4" a="1"/>
  <c r="V203" i="4" s="1"/>
  <c r="W203" i="4" a="1"/>
  <c r="W203" i="4"/>
  <c r="V204" i="4" a="1"/>
  <c r="V204" i="4" s="1"/>
  <c r="W204" i="4" a="1"/>
  <c r="W204" i="4"/>
  <c r="V205" i="4" a="1"/>
  <c r="V205" i="4" s="1"/>
  <c r="W205" i="4" a="1"/>
  <c r="W205" i="4"/>
  <c r="W206" i="4" a="1"/>
  <c r="W206" i="4"/>
  <c r="V207" i="4" a="1"/>
  <c r="V207" i="4" s="1"/>
  <c r="W207" i="4" a="1"/>
  <c r="W207" i="4"/>
  <c r="V208" i="4" a="1"/>
  <c r="V208" i="4" s="1"/>
  <c r="W208" i="4" a="1"/>
  <c r="W208" i="4"/>
  <c r="V209" i="4" a="1"/>
  <c r="V209" i="4" s="1"/>
  <c r="W209" i="4" a="1"/>
  <c r="W209" i="4"/>
  <c r="W210" i="4" a="1"/>
  <c r="W210" i="4"/>
  <c r="V211" i="4" a="1"/>
  <c r="V211" i="4" s="1"/>
  <c r="W211" i="4" a="1"/>
  <c r="W211" i="4"/>
  <c r="V212" i="4" a="1"/>
  <c r="V212" i="4" s="1"/>
  <c r="W212" i="4" a="1"/>
  <c r="W212" i="4"/>
  <c r="V213" i="4" a="1"/>
  <c r="V213" i="4" s="1"/>
  <c r="W213" i="4" a="1"/>
  <c r="W213" i="4"/>
  <c r="W214" i="4" a="1"/>
  <c r="W214" i="4"/>
  <c r="V215" i="4" a="1"/>
  <c r="V215" i="4" s="1"/>
  <c r="W215" i="4" a="1"/>
  <c r="W215" i="4"/>
  <c r="V216" i="4" a="1"/>
  <c r="V216" i="4" s="1"/>
  <c r="W216" i="4" a="1"/>
  <c r="W216" i="4"/>
  <c r="V217" i="4" a="1"/>
  <c r="V217" i="4" s="1"/>
  <c r="W217" i="4" a="1"/>
  <c r="W217" i="4" s="1"/>
  <c r="V218" i="4" a="1"/>
  <c r="V218" i="4" s="1"/>
  <c r="W218" i="4" a="1"/>
  <c r="W218" i="4" s="1"/>
  <c r="V219" i="4" a="1"/>
  <c r="V219" i="4" s="1"/>
  <c r="W219" i="4" a="1"/>
  <c r="W219" i="4"/>
  <c r="W220" i="4" a="1"/>
  <c r="W220" i="4" s="1"/>
  <c r="V221" i="4" a="1"/>
  <c r="V221" i="4" s="1"/>
  <c r="W221" i="4" a="1"/>
  <c r="W221" i="4" s="1"/>
  <c r="W222" i="4" a="1"/>
  <c r="W222" i="4" s="1"/>
  <c r="V223" i="4" a="1"/>
  <c r="V223" i="4" s="1"/>
  <c r="W223" i="4" a="1"/>
  <c r="W223" i="4"/>
  <c r="V224" i="4" a="1"/>
  <c r="V224" i="4" s="1"/>
  <c r="W224" i="4" a="1"/>
  <c r="W224" i="4" s="1"/>
  <c r="V225" i="4" a="1"/>
  <c r="V225" i="4" s="1"/>
  <c r="W225" i="4" a="1"/>
  <c r="W225" i="4" s="1"/>
  <c r="V226" i="4" a="1"/>
  <c r="V226" i="4" s="1"/>
  <c r="W226" i="4" a="1"/>
  <c r="W226" i="4" s="1"/>
  <c r="V227" i="4" a="1"/>
  <c r="V227" i="4" s="1"/>
  <c r="W227" i="4" a="1"/>
  <c r="W227" i="4"/>
  <c r="V228" i="4" a="1"/>
  <c r="V228" i="4" s="1"/>
  <c r="W228" i="4" a="1"/>
  <c r="W228" i="4" s="1"/>
  <c r="W229" i="4" a="1"/>
  <c r="W229" i="4" s="1"/>
  <c r="V230" i="4" a="1"/>
  <c r="V230" i="4" s="1"/>
  <c r="W230" i="4" a="1"/>
  <c r="W230" i="4" s="1"/>
  <c r="W231" i="4" a="1"/>
  <c r="W231" i="4"/>
  <c r="V232" i="4" a="1"/>
  <c r="V232" i="4" s="1"/>
  <c r="W232" i="4" a="1"/>
  <c r="W232" i="4" s="1"/>
  <c r="V233" i="4" a="1"/>
  <c r="V233" i="4" s="1"/>
  <c r="W233" i="4" a="1"/>
  <c r="W233" i="4" s="1"/>
  <c r="V234" i="4" a="1"/>
  <c r="V234" i="4" s="1"/>
  <c r="W234" i="4" a="1"/>
  <c r="W234" i="4" s="1"/>
  <c r="V235" i="4" a="1"/>
  <c r="V235" i="4" s="1"/>
  <c r="W235" i="4" a="1"/>
  <c r="W235" i="4"/>
  <c r="W236" i="4" a="1"/>
  <c r="W236" i="4" s="1"/>
  <c r="V237" i="4" a="1"/>
  <c r="V237" i="4" s="1"/>
  <c r="W237" i="4" a="1"/>
  <c r="W237" i="4" s="1"/>
  <c r="W238" i="4" a="1"/>
  <c r="W238" i="4" s="1"/>
  <c r="V239" i="4" a="1"/>
  <c r="V239" i="4" s="1"/>
  <c r="W239" i="4" a="1"/>
  <c r="W239" i="4"/>
  <c r="V240" i="4" a="1"/>
  <c r="V240" i="4" s="1"/>
  <c r="W240" i="4" a="1"/>
  <c r="W240" i="4" s="1"/>
  <c r="V241" i="4" a="1"/>
  <c r="V241" i="4" s="1"/>
  <c r="W241" i="4" a="1"/>
  <c r="W241" i="4" s="1"/>
  <c r="V242" i="4" a="1"/>
  <c r="V242" i="4" s="1"/>
  <c r="W242" i="4" a="1"/>
  <c r="W242" i="4" s="1"/>
  <c r="V243" i="4" a="1"/>
  <c r="V243" i="4" s="1"/>
  <c r="W243" i="4" a="1"/>
  <c r="W243" i="4"/>
  <c r="V244" i="4" a="1"/>
  <c r="V244" i="4" s="1"/>
  <c r="W244" i="4" a="1"/>
  <c r="W244" i="4" s="1"/>
  <c r="W245" i="4" a="1"/>
  <c r="W245" i="4" s="1"/>
  <c r="V246" i="4" a="1"/>
  <c r="V246" i="4" s="1"/>
  <c r="W246" i="4" a="1"/>
  <c r="W246" i="4" s="1"/>
  <c r="W247" i="4" a="1"/>
  <c r="W247" i="4"/>
  <c r="V248" i="4" a="1"/>
  <c r="V248" i="4" s="1"/>
  <c r="W248" i="4" a="1"/>
  <c r="W248" i="4" s="1"/>
  <c r="V249" i="4" a="1"/>
  <c r="V249" i="4" s="1"/>
  <c r="W249" i="4" a="1"/>
  <c r="W249" i="4" s="1"/>
  <c r="V250" i="4" a="1"/>
  <c r="V250" i="4" s="1"/>
  <c r="W250" i="4" a="1"/>
  <c r="W250" i="4" s="1"/>
  <c r="V251" i="4" a="1"/>
  <c r="V251" i="4" s="1"/>
  <c r="W251" i="4" a="1"/>
  <c r="W251" i="4"/>
  <c r="W252" i="4" a="1"/>
  <c r="W252" i="4" s="1"/>
  <c r="V253" i="4" a="1"/>
  <c r="V253" i="4" s="1"/>
  <c r="W253" i="4" a="1"/>
  <c r="W253" i="4" s="1"/>
  <c r="W254" i="4" a="1"/>
  <c r="W254" i="4" s="1"/>
  <c r="V255" i="4" a="1"/>
  <c r="V255" i="4" s="1"/>
  <c r="W255" i="4" a="1"/>
  <c r="W255" i="4"/>
  <c r="V256" i="4" a="1"/>
  <c r="V256" i="4" s="1"/>
  <c r="W256" i="4" a="1"/>
  <c r="W256" i="4" s="1"/>
  <c r="V257" i="4" a="1"/>
  <c r="V257" i="4" s="1"/>
  <c r="W257" i="4" a="1"/>
  <c r="W257" i="4" s="1"/>
  <c r="V258" i="4" a="1"/>
  <c r="V258" i="4" s="1"/>
  <c r="W258" i="4" a="1"/>
  <c r="W258" i="4" s="1"/>
  <c r="V259" i="4" a="1"/>
  <c r="V259" i="4" s="1"/>
  <c r="W259" i="4" a="1"/>
  <c r="W259" i="4"/>
  <c r="V260" i="4" a="1"/>
  <c r="V260" i="4" s="1"/>
  <c r="W260" i="4" a="1"/>
  <c r="W260" i="4" s="1"/>
  <c r="W261" i="4" a="1"/>
  <c r="W261" i="4" s="1"/>
  <c r="V262" i="4" a="1"/>
  <c r="V262" i="4" s="1"/>
  <c r="W262" i="4" a="1"/>
  <c r="W262" i="4" s="1"/>
  <c r="W263" i="4" a="1"/>
  <c r="W263" i="4"/>
  <c r="V264" i="4" a="1"/>
  <c r="V264" i="4" s="1"/>
  <c r="W264" i="4" a="1"/>
  <c r="W264" i="4" s="1"/>
  <c r="V265" i="4" a="1"/>
  <c r="V265" i="4" s="1"/>
  <c r="W265" i="4" a="1"/>
  <c r="W265" i="4" s="1"/>
  <c r="V266" i="4" a="1"/>
  <c r="V266" i="4" s="1"/>
  <c r="W266" i="4" a="1"/>
  <c r="W266" i="4" s="1"/>
  <c r="V267" i="4" a="1"/>
  <c r="V267" i="4" s="1"/>
  <c r="W267" i="4" a="1"/>
  <c r="W267" i="4"/>
  <c r="W268" i="4" a="1"/>
  <c r="W268" i="4" s="1"/>
  <c r="V269" i="4" a="1"/>
  <c r="V269" i="4" s="1"/>
  <c r="W269" i="4" a="1"/>
  <c r="W269" i="4" s="1"/>
  <c r="W270" i="4" a="1"/>
  <c r="W270" i="4" s="1"/>
  <c r="V271" i="4" a="1"/>
  <c r="V271" i="4" s="1"/>
  <c r="W271" i="4" a="1"/>
  <c r="W271" i="4"/>
  <c r="V272" i="4" a="1"/>
  <c r="V272" i="4" s="1"/>
  <c r="W272" i="4" a="1"/>
  <c r="W272" i="4" s="1"/>
  <c r="V273" i="4" a="1"/>
  <c r="V273" i="4" s="1"/>
  <c r="W273" i="4" a="1"/>
  <c r="W273" i="4" s="1"/>
  <c r="V274" i="4" a="1"/>
  <c r="V274" i="4" s="1"/>
  <c r="W274" i="4" a="1"/>
  <c r="W274" i="4" s="1"/>
  <c r="V275" i="4" a="1"/>
  <c r="V275" i="4" s="1"/>
  <c r="W275" i="4" a="1"/>
  <c r="W275" i="4"/>
  <c r="V276" i="4" a="1"/>
  <c r="V276" i="4" s="1"/>
  <c r="W276" i="4" a="1"/>
  <c r="W276" i="4" s="1"/>
  <c r="V277" i="4" a="1"/>
  <c r="V277" i="4" s="1"/>
  <c r="W277" i="4" a="1"/>
  <c r="W277" i="4" s="1"/>
  <c r="V278" i="4" a="1"/>
  <c r="V278" i="4" s="1"/>
  <c r="W278" i="4" a="1"/>
  <c r="W278" i="4" s="1"/>
  <c r="V279" i="4" a="1"/>
  <c r="V279" i="4" s="1"/>
  <c r="W279" i="4" a="1"/>
  <c r="W279" i="4"/>
  <c r="V280" i="4" a="1"/>
  <c r="V280" i="4" s="1"/>
  <c r="W280" i="4" a="1"/>
  <c r="W280" i="4" s="1"/>
  <c r="V281" i="4" a="1"/>
  <c r="V281" i="4" s="1"/>
  <c r="W281" i="4" a="1"/>
  <c r="W281" i="4" s="1"/>
  <c r="V282" i="4" a="1"/>
  <c r="V282" i="4" s="1"/>
  <c r="W282" i="4" a="1"/>
  <c r="W282" i="4" s="1"/>
  <c r="V283" i="4" a="1"/>
  <c r="V283" i="4" s="1"/>
  <c r="W283" i="4" a="1"/>
  <c r="W283" i="4"/>
  <c r="V284" i="4" a="1"/>
  <c r="V284" i="4" s="1"/>
  <c r="W284" i="4" a="1"/>
  <c r="W284" i="4" s="1"/>
  <c r="V285" i="4" a="1"/>
  <c r="V285" i="4" s="1"/>
  <c r="W285" i="4" a="1"/>
  <c r="W285" i="4" s="1"/>
  <c r="V286" i="4" a="1"/>
  <c r="V286" i="4" s="1"/>
  <c r="W286" i="4" a="1"/>
  <c r="W286" i="4" s="1"/>
  <c r="V287" i="4" a="1"/>
  <c r="V287" i="4" s="1"/>
  <c r="W287" i="4" a="1"/>
  <c r="W287" i="4"/>
  <c r="V288" i="4" a="1"/>
  <c r="V288" i="4" s="1"/>
  <c r="W288" i="4" a="1"/>
  <c r="W288" i="4"/>
  <c r="V289" i="4" a="1"/>
  <c r="V289" i="4" s="1"/>
  <c r="W289" i="4" a="1"/>
  <c r="W289" i="4" s="1"/>
  <c r="V290" i="4" a="1"/>
  <c r="V290" i="4" s="1"/>
  <c r="W290" i="4" a="1"/>
  <c r="W290" i="4" s="1"/>
  <c r="V291" i="4" a="1"/>
  <c r="V291" i="4" s="1"/>
  <c r="W291" i="4" a="1"/>
  <c r="W291" i="4"/>
  <c r="V292" i="4" a="1"/>
  <c r="V292" i="4" s="1"/>
  <c r="W292" i="4" a="1"/>
  <c r="W292" i="4" s="1"/>
  <c r="V293" i="4" a="1"/>
  <c r="V293" i="4" s="1"/>
  <c r="W293" i="4" a="1"/>
  <c r="W293" i="4" s="1"/>
  <c r="V294" i="4" a="1"/>
  <c r="V294" i="4" s="1"/>
  <c r="W294" i="4" a="1"/>
  <c r="W294" i="4" s="1"/>
  <c r="V295" i="4" a="1"/>
  <c r="V295" i="4" s="1"/>
  <c r="W295" i="4" a="1"/>
  <c r="W295" i="4"/>
  <c r="V296" i="4" a="1"/>
  <c r="V296" i="4" s="1"/>
  <c r="W296" i="4" a="1"/>
  <c r="W296" i="4" s="1"/>
  <c r="V297" i="4" a="1"/>
  <c r="V297" i="4" s="1"/>
  <c r="W297" i="4" a="1"/>
  <c r="W297" i="4" s="1"/>
  <c r="V298" i="4" a="1"/>
  <c r="V298" i="4" s="1"/>
  <c r="W298" i="4" a="1"/>
  <c r="W298" i="4" s="1"/>
  <c r="V299" i="4" a="1"/>
  <c r="V299" i="4" s="1"/>
  <c r="W299" i="4" a="1"/>
  <c r="W299" i="4"/>
  <c r="V300" i="4" a="1"/>
  <c r="V300" i="4" s="1"/>
  <c r="W300" i="4" a="1"/>
  <c r="W300" i="4" s="1"/>
  <c r="V301" i="4" a="1"/>
  <c r="V301" i="4" s="1"/>
  <c r="W301" i="4" a="1"/>
  <c r="W301" i="4" s="1"/>
  <c r="V302" i="4" a="1"/>
  <c r="V302" i="4" s="1"/>
  <c r="W302" i="4" a="1"/>
  <c r="W302" i="4" s="1"/>
  <c r="V303" i="4" a="1"/>
  <c r="V303" i="4" s="1"/>
  <c r="W303" i="4" a="1"/>
  <c r="W303" i="4"/>
  <c r="V304" i="4" a="1"/>
  <c r="V304" i="4" s="1"/>
  <c r="W304" i="4" a="1"/>
  <c r="W304" i="4" s="1"/>
  <c r="V305" i="4" a="1"/>
  <c r="V305" i="4" s="1"/>
  <c r="W305" i="4" a="1"/>
  <c r="W305" i="4" s="1"/>
  <c r="V306" i="4" a="1"/>
  <c r="V306" i="4" s="1"/>
  <c r="W306" i="4" a="1"/>
  <c r="W306" i="4" s="1"/>
  <c r="V307" i="4" a="1"/>
  <c r="V307" i="4" s="1"/>
  <c r="W307" i="4" a="1"/>
  <c r="W307" i="4"/>
  <c r="V308" i="4" a="1"/>
  <c r="V308" i="4" s="1"/>
  <c r="W308" i="4" a="1"/>
  <c r="W308" i="4" s="1"/>
  <c r="V309" i="4" a="1"/>
  <c r="V309" i="4" s="1"/>
  <c r="W309" i="4" a="1"/>
  <c r="W309" i="4" s="1"/>
  <c r="V310" i="4" a="1"/>
  <c r="V310" i="4" s="1"/>
  <c r="W310" i="4" a="1"/>
  <c r="W310" i="4" s="1"/>
  <c r="V311" i="4" a="1"/>
  <c r="V311" i="4" s="1"/>
  <c r="W311" i="4" a="1"/>
  <c r="W311" i="4"/>
  <c r="V312" i="4" a="1"/>
  <c r="V312" i="4" s="1"/>
  <c r="W312" i="4" a="1"/>
  <c r="W312" i="4" s="1"/>
  <c r="V313" i="4" a="1"/>
  <c r="V313" i="4" s="1"/>
  <c r="W313" i="4" a="1"/>
  <c r="W313" i="4" s="1"/>
  <c r="V314" i="4" a="1"/>
  <c r="V314" i="4" s="1"/>
  <c r="W314" i="4" a="1"/>
  <c r="W314" i="4" s="1"/>
  <c r="V315" i="4" a="1"/>
  <c r="V315" i="4" s="1"/>
  <c r="W315" i="4" a="1"/>
  <c r="W315" i="4"/>
  <c r="V316" i="4" a="1"/>
  <c r="V316" i="4" s="1"/>
  <c r="W316" i="4" a="1"/>
  <c r="W316" i="4" s="1"/>
  <c r="V317" i="4" a="1"/>
  <c r="V317" i="4" s="1"/>
  <c r="W317" i="4" a="1"/>
  <c r="W317" i="4" s="1"/>
  <c r="V318" i="4" a="1"/>
  <c r="V318" i="4" s="1"/>
  <c r="W318" i="4" a="1"/>
  <c r="W318" i="4" s="1"/>
  <c r="V319" i="4" a="1"/>
  <c r="V319" i="4" s="1"/>
  <c r="W319" i="4" a="1"/>
  <c r="W319" i="4"/>
  <c r="V320" i="4" a="1"/>
  <c r="V320" i="4" s="1"/>
  <c r="W320" i="4" a="1"/>
  <c r="W320" i="4" s="1"/>
  <c r="V321" i="4" a="1"/>
  <c r="V321" i="4" s="1"/>
  <c r="W321" i="4" a="1"/>
  <c r="W321" i="4" s="1"/>
  <c r="V322" i="4" a="1"/>
  <c r="V322" i="4" s="1"/>
  <c r="W322" i="4" a="1"/>
  <c r="W322" i="4" s="1"/>
  <c r="V323" i="4" a="1"/>
  <c r="V323" i="4" s="1"/>
  <c r="W323" i="4" a="1"/>
  <c r="W323" i="4"/>
  <c r="V324" i="4" a="1"/>
  <c r="V324" i="4" s="1"/>
  <c r="W324" i="4" a="1"/>
  <c r="W324" i="4" s="1"/>
  <c r="V325" i="4" a="1"/>
  <c r="V325" i="4" s="1"/>
  <c r="W325" i="4" a="1"/>
  <c r="W325" i="4" s="1"/>
  <c r="V326" i="4" a="1"/>
  <c r="V326" i="4" s="1"/>
  <c r="W326" i="4" a="1"/>
  <c r="W326" i="4" s="1"/>
  <c r="V327" i="4" a="1"/>
  <c r="V327" i="4" s="1"/>
  <c r="W327" i="4" a="1"/>
  <c r="W327" i="4"/>
  <c r="V328" i="4" a="1"/>
  <c r="V328" i="4" s="1"/>
  <c r="W328" i="4" a="1"/>
  <c r="W328" i="4" s="1"/>
  <c r="V329" i="4" a="1"/>
  <c r="V329" i="4" s="1"/>
  <c r="W329" i="4" a="1"/>
  <c r="W329" i="4" s="1"/>
  <c r="V330" i="4" a="1"/>
  <c r="V330" i="4" s="1"/>
  <c r="W330" i="4" a="1"/>
  <c r="W330" i="4" s="1"/>
  <c r="V331" i="4" a="1"/>
  <c r="V331" i="4" s="1"/>
  <c r="W331" i="4" a="1"/>
  <c r="W331" i="4"/>
  <c r="V332" i="4" a="1"/>
  <c r="V332" i="4" s="1"/>
  <c r="W332" i="4" a="1"/>
  <c r="W332" i="4" s="1"/>
  <c r="V333" i="4" a="1"/>
  <c r="V333" i="4" s="1"/>
  <c r="W333" i="4" a="1"/>
  <c r="W333" i="4" s="1"/>
  <c r="V334" i="4" a="1"/>
  <c r="V334" i="4" s="1"/>
  <c r="W334" i="4" a="1"/>
  <c r="W334" i="4" s="1"/>
  <c r="V335" i="4" a="1"/>
  <c r="V335" i="4" s="1"/>
  <c r="W335" i="4" a="1"/>
  <c r="W335" i="4"/>
  <c r="V336" i="4" a="1"/>
  <c r="V336" i="4" s="1"/>
  <c r="W336" i="4" a="1"/>
  <c r="W336" i="4" s="1"/>
  <c r="V337" i="4" a="1"/>
  <c r="V337" i="4" s="1"/>
  <c r="W337" i="4" a="1"/>
  <c r="W337" i="4" s="1"/>
  <c r="V338" i="4" a="1"/>
  <c r="V338" i="4" s="1"/>
  <c r="W338" i="4" a="1"/>
  <c r="W338" i="4" s="1"/>
  <c r="V339" i="4" a="1"/>
  <c r="V339" i="4" s="1"/>
  <c r="W339" i="4" a="1"/>
  <c r="W339" i="4"/>
  <c r="V340" i="4" a="1"/>
  <c r="V340" i="4" s="1"/>
  <c r="W340" i="4" a="1"/>
  <c r="W340" i="4" s="1"/>
  <c r="V341" i="4" a="1"/>
  <c r="V341" i="4" s="1"/>
  <c r="W341" i="4" a="1"/>
  <c r="W341" i="4" s="1"/>
  <c r="V342" i="4" a="1"/>
  <c r="V342" i="4" s="1"/>
  <c r="W342" i="4" a="1"/>
  <c r="W342" i="4" s="1"/>
  <c r="V343" i="4" a="1"/>
  <c r="V343" i="4" s="1"/>
  <c r="W343" i="4" a="1"/>
  <c r="W343" i="4"/>
  <c r="V344" i="4" a="1"/>
  <c r="V344" i="4" s="1"/>
  <c r="W344" i="4" a="1"/>
  <c r="W344" i="4" s="1"/>
  <c r="V345" i="4" a="1"/>
  <c r="V345" i="4" s="1"/>
  <c r="W345" i="4" a="1"/>
  <c r="W345" i="4" s="1"/>
  <c r="V346" i="4" a="1"/>
  <c r="V346" i="4" s="1"/>
  <c r="W346" i="4" a="1"/>
  <c r="W346" i="4" s="1"/>
  <c r="V347" i="4" a="1"/>
  <c r="V347" i="4" s="1"/>
  <c r="W347" i="4" a="1"/>
  <c r="W347" i="4" s="1"/>
  <c r="V348" i="4" a="1"/>
  <c r="V348" i="4" s="1"/>
  <c r="W348" i="4" a="1"/>
  <c r="W348" i="4" s="1"/>
  <c r="V349" i="4" a="1"/>
  <c r="V349" i="4" s="1"/>
  <c r="W349" i="4" a="1"/>
  <c r="W349" i="4" s="1"/>
  <c r="V350" i="4" a="1"/>
  <c r="V350" i="4" s="1"/>
  <c r="W350" i="4" a="1"/>
  <c r="W350" i="4" s="1"/>
  <c r="V351" i="4" a="1"/>
  <c r="V351" i="4" s="1"/>
  <c r="W351" i="4" a="1"/>
  <c r="W351" i="4" s="1"/>
  <c r="V352" i="4" a="1"/>
  <c r="V352" i="4" s="1"/>
  <c r="W352" i="4" a="1"/>
  <c r="W352" i="4" s="1"/>
  <c r="V353" i="4" a="1"/>
  <c r="V353" i="4" s="1"/>
  <c r="W353" i="4" a="1"/>
  <c r="W353" i="4" s="1"/>
  <c r="V354" i="4" a="1"/>
  <c r="V354" i="4" s="1"/>
  <c r="W354" i="4" a="1"/>
  <c r="W354" i="4" s="1"/>
  <c r="V355" i="4" a="1"/>
  <c r="V355" i="4" s="1"/>
  <c r="W355" i="4" a="1"/>
  <c r="W355" i="4" s="1"/>
  <c r="V356" i="4" a="1"/>
  <c r="V356" i="4" s="1"/>
  <c r="W356" i="4" a="1"/>
  <c r="W356" i="4" s="1"/>
  <c r="V357" i="4" a="1"/>
  <c r="V357" i="4" s="1"/>
  <c r="W357" i="4" a="1"/>
  <c r="W357" i="4" s="1"/>
  <c r="V358" i="4" a="1"/>
  <c r="V358" i="4" s="1"/>
  <c r="W358" i="4" a="1"/>
  <c r="W358" i="4" s="1"/>
  <c r="V359" i="4" a="1"/>
  <c r="V359" i="4" s="1"/>
  <c r="W359" i="4" a="1"/>
  <c r="W359" i="4" s="1"/>
  <c r="V360" i="4" a="1"/>
  <c r="V360" i="4" s="1"/>
  <c r="W360" i="4" a="1"/>
  <c r="W360" i="4" s="1"/>
  <c r="V361" i="4" a="1"/>
  <c r="V361" i="4" s="1"/>
  <c r="W361" i="4" a="1"/>
  <c r="W361" i="4" s="1"/>
  <c r="V362" i="4" a="1"/>
  <c r="V362" i="4" s="1"/>
  <c r="W362" i="4" a="1"/>
  <c r="W362" i="4" s="1"/>
  <c r="V363" i="4" a="1"/>
  <c r="V363" i="4" s="1"/>
  <c r="W363" i="4" a="1"/>
  <c r="W363" i="4" s="1"/>
  <c r="W364" i="4" a="1"/>
  <c r="W364" i="4" s="1"/>
  <c r="W365" i="4" a="1"/>
  <c r="W365" i="4" s="1"/>
  <c r="W366" i="4" a="1"/>
  <c r="W366" i="4" s="1"/>
  <c r="W367" i="4" a="1"/>
  <c r="W367" i="4" s="1"/>
  <c r="W368" i="4" a="1"/>
  <c r="W368" i="4" s="1"/>
  <c r="W369" i="4" a="1"/>
  <c r="W369" i="4" s="1"/>
  <c r="W370" i="4" a="1"/>
  <c r="W370" i="4" s="1"/>
  <c r="W371" i="4" a="1"/>
  <c r="W371" i="4" s="1"/>
  <c r="W372" i="4" a="1"/>
  <c r="W372" i="4" s="1"/>
  <c r="W373" i="4" a="1"/>
  <c r="W373" i="4" s="1"/>
  <c r="W374" i="4" a="1"/>
  <c r="W374" i="4" s="1"/>
  <c r="W375" i="4" a="1"/>
  <c r="W375" i="4" s="1"/>
  <c r="W376" i="4" a="1"/>
  <c r="W376" i="4" s="1"/>
  <c r="W377" i="4" a="1"/>
  <c r="W377" i="4" s="1"/>
  <c r="W378" i="4" a="1"/>
  <c r="W378" i="4" s="1"/>
  <c r="W379" i="4" a="1"/>
  <c r="W379" i="4" s="1"/>
  <c r="W380" i="4" a="1"/>
  <c r="W380" i="4" s="1"/>
  <c r="W381" i="4" a="1"/>
  <c r="W381" i="4" s="1"/>
  <c r="W382" i="4" a="1"/>
  <c r="W382" i="4" s="1"/>
  <c r="W383" i="4" a="1"/>
  <c r="W383" i="4" s="1"/>
  <c r="W384" i="4" a="1"/>
  <c r="W384" i="4" s="1"/>
  <c r="W385" i="4" a="1"/>
  <c r="W385" i="4" s="1"/>
  <c r="W386" i="4" a="1"/>
  <c r="W386" i="4" s="1"/>
  <c r="W387" i="4" a="1"/>
  <c r="W387" i="4" s="1"/>
  <c r="W388" i="4" a="1"/>
  <c r="W388" i="4" s="1"/>
  <c r="W389" i="4" a="1"/>
  <c r="W389" i="4" s="1"/>
  <c r="W390" i="4" a="1"/>
  <c r="W390" i="4" s="1"/>
  <c r="W391" i="4" a="1"/>
  <c r="W391" i="4" s="1"/>
  <c r="W392" i="4" a="1"/>
  <c r="W392" i="4" s="1"/>
  <c r="W393" i="4" a="1"/>
  <c r="W393" i="4" s="1"/>
  <c r="W394" i="4" a="1"/>
  <c r="W394" i="4" s="1"/>
  <c r="W395" i="4" a="1"/>
  <c r="W395" i="4" s="1"/>
  <c r="W396" i="4" a="1"/>
  <c r="W396" i="4" s="1"/>
  <c r="W397" i="4" a="1"/>
  <c r="W397" i="4" s="1"/>
  <c r="W398" i="4" a="1"/>
  <c r="W398" i="4" s="1"/>
  <c r="W399" i="4" a="1"/>
  <c r="W399" i="4" s="1"/>
  <c r="W400" i="4" a="1"/>
  <c r="W400" i="4" s="1"/>
  <c r="W401" i="4" a="1"/>
  <c r="W401" i="4" s="1"/>
  <c r="W402" i="4" a="1"/>
  <c r="W402" i="4" s="1"/>
  <c r="W403" i="4" a="1"/>
  <c r="W403" i="4" s="1"/>
  <c r="W404" i="4" a="1"/>
  <c r="W404" i="4" s="1"/>
  <c r="W405" i="4" a="1"/>
  <c r="W405" i="4" s="1"/>
  <c r="W406" i="4" a="1"/>
  <c r="W406" i="4" s="1"/>
  <c r="W407" i="4" a="1"/>
  <c r="W407" i="4" s="1"/>
  <c r="W408" i="4" a="1"/>
  <c r="W408" i="4" s="1"/>
  <c r="W409" i="4" a="1"/>
  <c r="W409" i="4" s="1"/>
  <c r="W410" i="4" a="1"/>
  <c r="W410" i="4" s="1"/>
  <c r="W411" i="4" a="1"/>
  <c r="W411" i="4" s="1"/>
  <c r="W412" i="4" a="1"/>
  <c r="W412" i="4" s="1"/>
  <c r="W413" i="4" a="1"/>
  <c r="W413" i="4" s="1"/>
  <c r="W414" i="4" a="1"/>
  <c r="W414" i="4" s="1"/>
  <c r="W415" i="4" a="1"/>
  <c r="W415" i="4" s="1"/>
  <c r="W416" i="4" a="1"/>
  <c r="W416" i="4" s="1"/>
  <c r="W417" i="4" a="1"/>
  <c r="W417" i="4" s="1"/>
  <c r="W418" i="4" a="1"/>
  <c r="W418" i="4" s="1"/>
  <c r="W419" i="4" a="1"/>
  <c r="W419" i="4" s="1"/>
  <c r="W420" i="4" a="1"/>
  <c r="W420" i="4" s="1"/>
  <c r="W421" i="4" a="1"/>
  <c r="W421" i="4" s="1"/>
  <c r="W422" i="4" a="1"/>
  <c r="W422" i="4" s="1"/>
  <c r="W423" i="4" a="1"/>
  <c r="W423" i="4" s="1"/>
  <c r="W424" i="4" a="1"/>
  <c r="W424" i="4" s="1"/>
  <c r="W425" i="4" a="1"/>
  <c r="W425" i="4" s="1"/>
  <c r="W426" i="4" a="1"/>
  <c r="W426" i="4" s="1"/>
  <c r="W427" i="4" a="1"/>
  <c r="W427" i="4" s="1"/>
  <c r="W428" i="4" a="1"/>
  <c r="W428" i="4" s="1"/>
  <c r="W429" i="4" a="1"/>
  <c r="W429" i="4" s="1"/>
  <c r="W430" i="4" a="1"/>
  <c r="W430" i="4" s="1"/>
  <c r="W431" i="4" a="1"/>
  <c r="W431" i="4" s="1"/>
  <c r="W432" i="4" a="1"/>
  <c r="W432" i="4" s="1"/>
  <c r="W433" i="4" a="1"/>
  <c r="W433" i="4" s="1"/>
  <c r="W434" i="4" a="1"/>
  <c r="W434" i="4" s="1"/>
  <c r="V435" i="4" a="1"/>
  <c r="V435" i="4"/>
  <c r="W435" i="4" a="1"/>
  <c r="W435" i="4" s="1"/>
  <c r="V436" i="4" a="1"/>
  <c r="V436" i="4"/>
  <c r="W436" i="4" a="1"/>
  <c r="W436" i="4" s="1"/>
  <c r="V437" i="4" a="1"/>
  <c r="V437" i="4"/>
  <c r="W437" i="4" a="1"/>
  <c r="W437" i="4" s="1"/>
  <c r="V438" i="4" a="1"/>
  <c r="V438" i="4"/>
  <c r="W438" i="4" a="1"/>
  <c r="W438" i="4" s="1"/>
  <c r="V439" i="4" a="1"/>
  <c r="V439" i="4"/>
  <c r="W439" i="4" a="1"/>
  <c r="W439" i="4" s="1"/>
  <c r="V440" i="4" a="1"/>
  <c r="V440" i="4"/>
  <c r="W440" i="4" a="1"/>
  <c r="W440" i="4" s="1"/>
  <c r="V441" i="4" a="1"/>
  <c r="V441" i="4"/>
  <c r="W441" i="4" a="1"/>
  <c r="W441" i="4" s="1"/>
  <c r="V442" i="4" a="1"/>
  <c r="V442" i="4"/>
  <c r="W442" i="4" a="1"/>
  <c r="W442" i="4" s="1"/>
  <c r="V443" i="4" a="1"/>
  <c r="V443" i="4"/>
  <c r="W443" i="4" a="1"/>
  <c r="W443" i="4" s="1"/>
  <c r="V444" i="4" a="1"/>
  <c r="V444" i="4"/>
  <c r="W444" i="4" a="1"/>
  <c r="W444" i="4" s="1"/>
  <c r="V445" i="4" a="1"/>
  <c r="V445" i="4"/>
  <c r="W445" i="4" a="1"/>
  <c r="W445" i="4" s="1"/>
  <c r="V446" i="4" a="1"/>
  <c r="V446" i="4"/>
  <c r="W446" i="4" a="1"/>
  <c r="W446" i="4" s="1"/>
  <c r="V447" i="4" a="1"/>
  <c r="V447" i="4"/>
  <c r="W447" i="4" a="1"/>
  <c r="W447" i="4" s="1"/>
  <c r="V448" i="4" a="1"/>
  <c r="V448" i="4"/>
  <c r="W448" i="4" a="1"/>
  <c r="W448" i="4" s="1"/>
  <c r="V449" i="4" a="1"/>
  <c r="V449" i="4"/>
  <c r="W449" i="4" a="1"/>
  <c r="W449" i="4" s="1"/>
  <c r="V450" i="4" a="1"/>
  <c r="V450" i="4"/>
  <c r="W450" i="4" a="1"/>
  <c r="W450" i="4" s="1"/>
  <c r="V451" i="4" a="1"/>
  <c r="V451" i="4"/>
  <c r="W451" i="4" a="1"/>
  <c r="W451" i="4" s="1"/>
  <c r="V452" i="4" a="1"/>
  <c r="V452" i="4"/>
  <c r="W452" i="4" a="1"/>
  <c r="W452" i="4" s="1"/>
  <c r="V453" i="4" a="1"/>
  <c r="V453" i="4"/>
  <c r="W453" i="4" a="1"/>
  <c r="W453" i="4" s="1"/>
  <c r="V454" i="4" a="1"/>
  <c r="V454" i="4"/>
  <c r="W454" i="4" a="1"/>
  <c r="W454" i="4" s="1"/>
  <c r="V455" i="4" a="1"/>
  <c r="V455" i="4"/>
  <c r="W455" i="4" a="1"/>
  <c r="W455" i="4" s="1"/>
  <c r="V456" i="4" a="1"/>
  <c r="V456" i="4"/>
  <c r="W456" i="4" a="1"/>
  <c r="W456" i="4" s="1"/>
  <c r="V457" i="4" a="1"/>
  <c r="V457" i="4"/>
  <c r="W457" i="4" a="1"/>
  <c r="W457" i="4" s="1"/>
  <c r="V458" i="4" a="1"/>
  <c r="V458" i="4"/>
  <c r="W458" i="4" a="1"/>
  <c r="W458" i="4" s="1"/>
  <c r="V459" i="4" a="1"/>
  <c r="V459" i="4"/>
  <c r="W459" i="4" a="1"/>
  <c r="W459" i="4" s="1"/>
  <c r="V460" i="4" a="1"/>
  <c r="V460" i="4"/>
  <c r="W460" i="4" a="1"/>
  <c r="W460" i="4" s="1"/>
  <c r="V461" i="4" a="1"/>
  <c r="V461" i="4"/>
  <c r="W461" i="4" a="1"/>
  <c r="W461" i="4" s="1"/>
  <c r="V462" i="4" a="1"/>
  <c r="V462" i="4"/>
  <c r="W462" i="4" a="1"/>
  <c r="W462" i="4" s="1"/>
  <c r="V463" i="4" a="1"/>
  <c r="V463" i="4"/>
  <c r="W463" i="4" a="1"/>
  <c r="W463" i="4" s="1"/>
  <c r="V464" i="4" a="1"/>
  <c r="V464" i="4"/>
  <c r="W464" i="4" a="1"/>
  <c r="W464" i="4" s="1"/>
  <c r="V465" i="4" a="1"/>
  <c r="V465" i="4"/>
  <c r="W465" i="4" a="1"/>
  <c r="W465" i="4" s="1"/>
  <c r="V466" i="4" a="1"/>
  <c r="V466" i="4"/>
  <c r="W466" i="4" a="1"/>
  <c r="W466" i="4" s="1"/>
  <c r="V467" i="4" a="1"/>
  <c r="V467" i="4"/>
  <c r="W467" i="4" a="1"/>
  <c r="W467" i="4" s="1"/>
  <c r="V468" i="4" a="1"/>
  <c r="V468" i="4"/>
  <c r="W468" i="4" a="1"/>
  <c r="W468" i="4" s="1"/>
  <c r="V469" i="4" a="1"/>
  <c r="V469" i="4"/>
  <c r="W469" i="4" a="1"/>
  <c r="W469" i="4" s="1"/>
  <c r="V470" i="4" a="1"/>
  <c r="V470" i="4"/>
  <c r="W470" i="4" a="1"/>
  <c r="W470" i="4" s="1"/>
  <c r="V471" i="4" a="1"/>
  <c r="V471" i="4"/>
  <c r="W471" i="4" a="1"/>
  <c r="W471" i="4" s="1"/>
  <c r="V472" i="4" a="1"/>
  <c r="V472" i="4"/>
  <c r="W472" i="4" a="1"/>
  <c r="W472" i="4" s="1"/>
  <c r="V473" i="4" a="1"/>
  <c r="V473" i="4"/>
  <c r="W473" i="4" a="1"/>
  <c r="W473" i="4" s="1"/>
  <c r="V474" i="4" a="1"/>
  <c r="V474" i="4"/>
  <c r="W474" i="4" a="1"/>
  <c r="W474" i="4" s="1"/>
  <c r="V475" i="4" a="1"/>
  <c r="V475" i="4"/>
  <c r="W475" i="4" a="1"/>
  <c r="W475" i="4" s="1"/>
  <c r="V476" i="4" a="1"/>
  <c r="V476" i="4"/>
  <c r="W476" i="4" a="1"/>
  <c r="W476" i="4" s="1"/>
  <c r="V477" i="4" a="1"/>
  <c r="V477" i="4"/>
  <c r="W477" i="4" a="1"/>
  <c r="W477" i="4" s="1"/>
  <c r="V478" i="4" a="1"/>
  <c r="V478" i="4"/>
  <c r="W478" i="4" a="1"/>
  <c r="W478" i="4" s="1"/>
  <c r="V479" i="4" a="1"/>
  <c r="V479" i="4"/>
  <c r="W479" i="4" a="1"/>
  <c r="W479" i="4" s="1"/>
  <c r="V480" i="4" a="1"/>
  <c r="V480" i="4"/>
  <c r="W480" i="4" a="1"/>
  <c r="W480" i="4" s="1"/>
  <c r="V481" i="4" a="1"/>
  <c r="V481" i="4"/>
  <c r="W481" i="4" a="1"/>
  <c r="W481" i="4" s="1"/>
  <c r="V482" i="4" a="1"/>
  <c r="V482" i="4"/>
  <c r="W482" i="4" a="1"/>
  <c r="W482" i="4" s="1"/>
  <c r="V483" i="4" a="1"/>
  <c r="V483" i="4"/>
  <c r="W483" i="4" a="1"/>
  <c r="W483" i="4" s="1"/>
  <c r="V484" i="4" a="1"/>
  <c r="V484" i="4"/>
  <c r="W484" i="4" a="1"/>
  <c r="W484" i="4" s="1"/>
  <c r="V485" i="4" a="1"/>
  <c r="V485" i="4"/>
  <c r="W485" i="4" a="1"/>
  <c r="W485" i="4" s="1"/>
  <c r="V486" i="4" a="1"/>
  <c r="V486" i="4"/>
  <c r="W486" i="4" a="1"/>
  <c r="W486" i="4" s="1"/>
  <c r="V487" i="4" a="1"/>
  <c r="V487" i="4"/>
  <c r="W487" i="4" a="1"/>
  <c r="W487" i="4" s="1"/>
  <c r="V488" i="4" a="1"/>
  <c r="V488" i="4"/>
  <c r="W488" i="4" a="1"/>
  <c r="W488" i="4" s="1"/>
  <c r="V489" i="4" a="1"/>
  <c r="V489" i="4"/>
  <c r="W489" i="4" a="1"/>
  <c r="W489" i="4" s="1"/>
  <c r="V490" i="4" a="1"/>
  <c r="V490" i="4"/>
  <c r="W490" i="4" a="1"/>
  <c r="W490" i="4" s="1"/>
  <c r="V491" i="4" a="1"/>
  <c r="V491" i="4"/>
  <c r="W491" i="4" a="1"/>
  <c r="W491" i="4" s="1"/>
  <c r="V492" i="4" a="1"/>
  <c r="V492" i="4"/>
  <c r="W492" i="4" a="1"/>
  <c r="W492" i="4" s="1"/>
  <c r="V493" i="4" a="1"/>
  <c r="V493" i="4"/>
  <c r="W493" i="4" a="1"/>
  <c r="W493" i="4" s="1"/>
  <c r="V494" i="4" a="1"/>
  <c r="V494" i="4"/>
  <c r="W494" i="4" a="1"/>
  <c r="W494" i="4" s="1"/>
  <c r="V495" i="4" a="1"/>
  <c r="V495" i="4"/>
  <c r="W495" i="4" a="1"/>
  <c r="W495" i="4" s="1"/>
  <c r="V496" i="4" a="1"/>
  <c r="V496" i="4"/>
  <c r="W496" i="4" a="1"/>
  <c r="W496" i="4" s="1"/>
  <c r="V497" i="4" a="1"/>
  <c r="V497" i="4"/>
  <c r="W497" i="4" a="1"/>
  <c r="W497" i="4" s="1"/>
  <c r="V498" i="4" a="1"/>
  <c r="V498" i="4"/>
  <c r="W498" i="4" a="1"/>
  <c r="W498" i="4" s="1"/>
  <c r="V499" i="4" a="1"/>
  <c r="V499" i="4"/>
  <c r="W499" i="4" a="1"/>
  <c r="W499" i="4" s="1"/>
  <c r="V500" i="4" a="1"/>
  <c r="V500" i="4"/>
  <c r="W500" i="4" a="1"/>
  <c r="W500" i="4" s="1"/>
  <c r="V501" i="4" a="1"/>
  <c r="V501" i="4"/>
  <c r="W501" i="4" a="1"/>
  <c r="W501" i="4" s="1"/>
  <c r="V502" i="4" a="1"/>
  <c r="V502" i="4"/>
  <c r="W502" i="4" a="1"/>
  <c r="W502" i="4" s="1"/>
  <c r="V503" i="4" a="1"/>
  <c r="V503" i="4"/>
  <c r="W503" i="4" a="1"/>
  <c r="W503" i="4" s="1"/>
  <c r="V504" i="4" a="1"/>
  <c r="V504" i="4"/>
  <c r="W504" i="4" a="1"/>
  <c r="W504" i="4" s="1"/>
  <c r="V505" i="4" a="1"/>
  <c r="V505" i="4"/>
  <c r="W505" i="4" a="1"/>
  <c r="W505" i="4" s="1"/>
  <c r="V506" i="4" a="1"/>
  <c r="V506" i="4"/>
  <c r="W506" i="4" a="1"/>
  <c r="W506" i="4" s="1"/>
  <c r="V507" i="4" a="1"/>
  <c r="V507" i="4"/>
  <c r="W507" i="4" a="1"/>
  <c r="W507" i="4" s="1"/>
  <c r="V508" i="4" a="1"/>
  <c r="V508" i="4"/>
  <c r="W508" i="4" a="1"/>
  <c r="W508" i="4" s="1"/>
  <c r="V509" i="4" a="1"/>
  <c r="V509" i="4"/>
  <c r="W509" i="4" a="1"/>
  <c r="W509" i="4" s="1"/>
  <c r="V510" i="4" a="1"/>
  <c r="V510" i="4"/>
  <c r="W510" i="4" a="1"/>
  <c r="W510" i="4" s="1"/>
  <c r="V511" i="4" a="1"/>
  <c r="V511" i="4"/>
  <c r="W511" i="4" a="1"/>
  <c r="W511" i="4" s="1"/>
  <c r="V512" i="4" a="1"/>
  <c r="V512" i="4"/>
  <c r="W512" i="4" a="1"/>
  <c r="W512" i="4" s="1"/>
  <c r="V513" i="4" a="1"/>
  <c r="V513" i="4"/>
  <c r="W513" i="4" a="1"/>
  <c r="W513" i="4" s="1"/>
  <c r="V514" i="4" a="1"/>
  <c r="V514" i="4"/>
  <c r="W514" i="4" a="1"/>
  <c r="W514" i="4" s="1"/>
  <c r="V515" i="4" a="1"/>
  <c r="V515" i="4"/>
  <c r="W515" i="4" a="1"/>
  <c r="W515" i="4" s="1"/>
  <c r="V516" i="4" a="1"/>
  <c r="V516" i="4"/>
  <c r="W516" i="4" a="1"/>
  <c r="W516" i="4" s="1"/>
  <c r="V517" i="4" a="1"/>
  <c r="V517" i="4"/>
  <c r="W517" i="4" a="1"/>
  <c r="W517" i="4" s="1"/>
  <c r="V518" i="4" a="1"/>
  <c r="V518" i="4"/>
  <c r="W518" i="4" a="1"/>
  <c r="W518" i="4" s="1"/>
  <c r="V519" i="4" a="1"/>
  <c r="V519" i="4"/>
  <c r="W519" i="4" a="1"/>
  <c r="W519" i="4" s="1"/>
  <c r="V520" i="4" a="1"/>
  <c r="V520" i="4"/>
  <c r="W520" i="4" a="1"/>
  <c r="W520" i="4" s="1"/>
  <c r="V521" i="4" a="1"/>
  <c r="V521" i="4"/>
  <c r="W521" i="4" a="1"/>
  <c r="W521" i="4" s="1"/>
  <c r="V522" i="4" a="1"/>
  <c r="V522" i="4"/>
  <c r="W522" i="4" a="1"/>
  <c r="W522" i="4" s="1"/>
  <c r="V523" i="4" a="1"/>
  <c r="V523" i="4"/>
  <c r="W523" i="4" a="1"/>
  <c r="W523" i="4" s="1"/>
  <c r="V524" i="4" a="1"/>
  <c r="V524" i="4"/>
  <c r="W524" i="4" a="1"/>
  <c r="W524" i="4" s="1"/>
  <c r="V525" i="4" a="1"/>
  <c r="V525" i="4"/>
  <c r="W525" i="4" a="1"/>
  <c r="W525" i="4" s="1"/>
  <c r="V526" i="4" a="1"/>
  <c r="V526" i="4"/>
  <c r="W526" i="4" a="1"/>
  <c r="W526" i="4" s="1"/>
  <c r="V527" i="4" a="1"/>
  <c r="V527" i="4"/>
  <c r="W527" i="4" a="1"/>
  <c r="W527" i="4" s="1"/>
  <c r="V528" i="4" a="1"/>
  <c r="V528" i="4"/>
  <c r="W528" i="4" a="1"/>
  <c r="W528" i="4" s="1"/>
  <c r="V529" i="4" a="1"/>
  <c r="V529" i="4"/>
  <c r="W529" i="4" a="1"/>
  <c r="W529" i="4" s="1"/>
  <c r="V530" i="4" a="1"/>
  <c r="V530" i="4"/>
  <c r="W530" i="4" a="1"/>
  <c r="W530" i="4" s="1"/>
  <c r="V531" i="4" a="1"/>
  <c r="V531" i="4"/>
  <c r="W531" i="4" a="1"/>
  <c r="W531" i="4" s="1"/>
  <c r="V532" i="4" a="1"/>
  <c r="V532" i="4"/>
  <c r="W532" i="4" a="1"/>
  <c r="W532" i="4" s="1"/>
  <c r="V533" i="4" a="1"/>
  <c r="V533" i="4"/>
  <c r="W533" i="4" a="1"/>
  <c r="W533" i="4" s="1"/>
  <c r="V534" i="4" a="1"/>
  <c r="V534" i="4"/>
  <c r="W534" i="4" a="1"/>
  <c r="W534" i="4" s="1"/>
  <c r="V535" i="4" a="1"/>
  <c r="V535" i="4"/>
  <c r="W535" i="4" a="1"/>
  <c r="W535" i="4" s="1"/>
  <c r="V536" i="4" a="1"/>
  <c r="V536" i="4"/>
  <c r="W536" i="4" a="1"/>
  <c r="W536" i="4" s="1"/>
  <c r="V537" i="4" a="1"/>
  <c r="V537" i="4"/>
  <c r="W537" i="4" a="1"/>
  <c r="W537" i="4" s="1"/>
  <c r="V538" i="4" a="1"/>
  <c r="V538" i="4"/>
  <c r="W538" i="4" a="1"/>
  <c r="W538" i="4" s="1"/>
  <c r="V539" i="4" a="1"/>
  <c r="V539" i="4"/>
  <c r="W539" i="4" a="1"/>
  <c r="W539" i="4" s="1"/>
  <c r="V540" i="4" a="1"/>
  <c r="V540" i="4"/>
  <c r="W540" i="4" a="1"/>
  <c r="W540" i="4" s="1"/>
  <c r="V541" i="4" a="1"/>
  <c r="V541" i="4"/>
  <c r="W541" i="4" a="1"/>
  <c r="W541" i="4" s="1"/>
  <c r="V542" i="4" a="1"/>
  <c r="V542" i="4"/>
  <c r="W542" i="4" a="1"/>
  <c r="W542" i="4" s="1"/>
  <c r="V543" i="4" a="1"/>
  <c r="V543" i="4"/>
  <c r="W543" i="4" a="1"/>
  <c r="W543" i="4" s="1"/>
  <c r="V544" i="4" a="1"/>
  <c r="V544" i="4"/>
  <c r="W544" i="4" a="1"/>
  <c r="W544" i="4" s="1"/>
  <c r="V545" i="4" a="1"/>
  <c r="V545" i="4"/>
  <c r="W545" i="4" a="1"/>
  <c r="W545" i="4" s="1"/>
  <c r="V546" i="4" a="1"/>
  <c r="V546" i="4"/>
  <c r="W546" i="4" a="1"/>
  <c r="W546" i="4" s="1"/>
  <c r="V547" i="4" a="1"/>
  <c r="V547" i="4"/>
  <c r="W547" i="4" a="1"/>
  <c r="W547" i="4" s="1"/>
  <c r="V548" i="4" a="1"/>
  <c r="V548" i="4"/>
  <c r="W548" i="4" a="1"/>
  <c r="W548" i="4" s="1"/>
  <c r="V549" i="4" a="1"/>
  <c r="V549" i="4"/>
  <c r="W549" i="4" a="1"/>
  <c r="W549" i="4" s="1"/>
  <c r="V550" i="4" a="1"/>
  <c r="V550" i="4"/>
  <c r="W550" i="4" a="1"/>
  <c r="W550" i="4" s="1"/>
  <c r="V551" i="4" a="1"/>
  <c r="V551" i="4"/>
  <c r="W551" i="4" a="1"/>
  <c r="W551" i="4" s="1"/>
  <c r="V552" i="4" a="1"/>
  <c r="V552" i="4"/>
  <c r="W552" i="4" a="1"/>
  <c r="W552" i="4" s="1"/>
  <c r="V553" i="4" a="1"/>
  <c r="V553" i="4"/>
  <c r="W553" i="4" a="1"/>
  <c r="W553" i="4" s="1"/>
  <c r="V554" i="4" a="1"/>
  <c r="V554" i="4"/>
  <c r="W554" i="4" a="1"/>
  <c r="W554" i="4" s="1"/>
  <c r="V555" i="4" a="1"/>
  <c r="V555" i="4"/>
  <c r="W555" i="4" a="1"/>
  <c r="W555" i="4" s="1"/>
  <c r="V556" i="4" a="1"/>
  <c r="V556" i="4"/>
  <c r="W556" i="4" a="1"/>
  <c r="W556" i="4" s="1"/>
  <c r="V557" i="4" a="1"/>
  <c r="V557" i="4"/>
  <c r="W557" i="4" a="1"/>
  <c r="W557" i="4" s="1"/>
  <c r="V558" i="4" a="1"/>
  <c r="V558" i="4"/>
  <c r="W558" i="4" a="1"/>
  <c r="W558" i="4" s="1"/>
  <c r="V559" i="4" a="1"/>
  <c r="V559" i="4"/>
  <c r="W559" i="4" a="1"/>
  <c r="W559" i="4" s="1"/>
  <c r="V560" i="4" a="1"/>
  <c r="V560" i="4"/>
  <c r="W560" i="4" a="1"/>
  <c r="W560" i="4" s="1"/>
  <c r="V561" i="4" a="1"/>
  <c r="V561" i="4"/>
  <c r="W561" i="4" a="1"/>
  <c r="W561" i="4" s="1"/>
  <c r="V562" i="4" a="1"/>
  <c r="V562" i="4"/>
  <c r="W562" i="4" a="1"/>
  <c r="W562" i="4" s="1"/>
  <c r="V563" i="4" a="1"/>
  <c r="V563" i="4"/>
  <c r="W563" i="4" a="1"/>
  <c r="W563" i="4" s="1"/>
  <c r="V564" i="4" a="1"/>
  <c r="V564" i="4"/>
  <c r="W564" i="4" a="1"/>
  <c r="W564" i="4" s="1"/>
  <c r="V565" i="4" a="1"/>
  <c r="V565" i="4"/>
  <c r="W565" i="4" a="1"/>
  <c r="W565" i="4" s="1"/>
  <c r="V566" i="4" a="1"/>
  <c r="V566" i="4"/>
  <c r="W566" i="4" a="1"/>
  <c r="W566" i="4" s="1"/>
  <c r="V567" i="4" a="1"/>
  <c r="V567" i="4"/>
  <c r="W567" i="4" a="1"/>
  <c r="W567" i="4" s="1"/>
  <c r="V568" i="4" a="1"/>
  <c r="V568" i="4"/>
  <c r="W568" i="4" a="1"/>
  <c r="W568" i="4" s="1"/>
  <c r="V569" i="4" a="1"/>
  <c r="V569" i="4"/>
  <c r="W569" i="4" a="1"/>
  <c r="W569" i="4" s="1"/>
  <c r="V570" i="4" a="1"/>
  <c r="V570" i="4"/>
  <c r="W570" i="4" a="1"/>
  <c r="W570" i="4" s="1"/>
  <c r="V571" i="4" a="1"/>
  <c r="V571" i="4"/>
  <c r="W571" i="4" a="1"/>
  <c r="W571" i="4" s="1"/>
  <c r="V572" i="4" a="1"/>
  <c r="V572" i="4"/>
  <c r="W572" i="4" a="1"/>
  <c r="W572" i="4" s="1"/>
  <c r="V573" i="4" a="1"/>
  <c r="V573" i="4"/>
  <c r="W573" i="4" a="1"/>
  <c r="W573" i="4" s="1"/>
  <c r="V574" i="4" a="1"/>
  <c r="V574" i="4"/>
  <c r="W574" i="4" a="1"/>
  <c r="W574" i="4" s="1"/>
  <c r="W2" i="4" a="1"/>
  <c r="W2" i="4" s="1"/>
  <c r="A163" i="5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G2" i="12" a="1"/>
  <c r="O255" i="4" a="1"/>
  <c r="O255" i="4" s="1"/>
  <c r="P255" i="4" s="1"/>
  <c r="O256" i="4" a="1"/>
  <c r="O256" i="4" s="1"/>
  <c r="P256" i="4" s="1"/>
  <c r="O257" i="4" a="1"/>
  <c r="O257" i="4" s="1"/>
  <c r="P257" i="4" s="1"/>
  <c r="O258" i="4" a="1"/>
  <c r="O258" i="4" s="1"/>
  <c r="P258" i="4" s="1"/>
  <c r="O259" i="4" a="1"/>
  <c r="O259" i="4" s="1"/>
  <c r="P259" i="4" s="1"/>
  <c r="O260" i="4" a="1"/>
  <c r="O260" i="4" s="1"/>
  <c r="P260" i="4" s="1"/>
  <c r="O261" i="4" a="1"/>
  <c r="O261" i="4" s="1"/>
  <c r="P261" i="4" s="1"/>
  <c r="O262" i="4" a="1"/>
  <c r="O262" i="4" s="1"/>
  <c r="P262" i="4" s="1"/>
  <c r="O263" i="4" a="1"/>
  <c r="O263" i="4" s="1"/>
  <c r="P263" i="4" s="1"/>
  <c r="O264" i="4" a="1"/>
  <c r="O264" i="4" s="1"/>
  <c r="P264" i="4" s="1"/>
  <c r="O265" i="4" a="1"/>
  <c r="O265" i="4" s="1"/>
  <c r="P265" i="4" s="1"/>
  <c r="O266" i="4" a="1"/>
  <c r="O266" i="4" s="1"/>
  <c r="P266" i="4" s="1"/>
  <c r="O267" i="4" a="1"/>
  <c r="O267" i="4" s="1"/>
  <c r="P267" i="4" s="1"/>
  <c r="O268" i="4" a="1"/>
  <c r="O268" i="4" s="1"/>
  <c r="P268" i="4" s="1"/>
  <c r="O269" i="4" a="1"/>
  <c r="O269" i="4" s="1"/>
  <c r="P269" i="4" s="1"/>
  <c r="O270" i="4" a="1"/>
  <c r="O270" i="4" s="1"/>
  <c r="P270" i="4" s="1"/>
  <c r="O271" i="4" a="1"/>
  <c r="O271" i="4" s="1"/>
  <c r="P271" i="4" s="1"/>
  <c r="O272" i="4" a="1"/>
  <c r="O272" i="4" s="1"/>
  <c r="P272" i="4" s="1"/>
  <c r="O273" i="4" a="1"/>
  <c r="O273" i="4" s="1"/>
  <c r="P273" i="4" s="1"/>
  <c r="O274" i="4" a="1"/>
  <c r="O274" i="4" s="1"/>
  <c r="P274" i="4" s="1"/>
  <c r="O275" i="4" a="1"/>
  <c r="O275" i="4" s="1"/>
  <c r="P275" i="4" s="1"/>
  <c r="O276" i="4" a="1"/>
  <c r="O276" i="4" s="1"/>
  <c r="P276" i="4" s="1"/>
  <c r="O277" i="4" a="1"/>
  <c r="O277" i="4" s="1"/>
  <c r="P277" i="4" s="1"/>
  <c r="O278" i="4" a="1"/>
  <c r="O278" i="4" s="1"/>
  <c r="P278" i="4" s="1"/>
  <c r="O279" i="4" a="1"/>
  <c r="O279" i="4" s="1"/>
  <c r="P279" i="4" s="1"/>
  <c r="O280" i="4" a="1"/>
  <c r="O280" i="4" s="1"/>
  <c r="P280" i="4" s="1"/>
  <c r="O281" i="4" a="1"/>
  <c r="O281" i="4" s="1"/>
  <c r="P281" i="4" s="1"/>
  <c r="O282" i="4" a="1"/>
  <c r="O282" i="4" s="1"/>
  <c r="P282" i="4" s="1"/>
  <c r="O283" i="4" a="1"/>
  <c r="O283" i="4" s="1"/>
  <c r="P283" i="4" s="1"/>
  <c r="O284" i="4" a="1"/>
  <c r="O284" i="4" s="1"/>
  <c r="P284" i="4" s="1"/>
  <c r="O285" i="4" a="1"/>
  <c r="O285" i="4" s="1"/>
  <c r="P285" i="4" s="1"/>
  <c r="O286" i="4" a="1"/>
  <c r="O286" i="4" s="1"/>
  <c r="P286" i="4" s="1"/>
  <c r="O287" i="4" a="1"/>
  <c r="O287" i="4" s="1"/>
  <c r="P287" i="4" s="1"/>
  <c r="O288" i="4" a="1"/>
  <c r="O288" i="4" s="1"/>
  <c r="P288" i="4" s="1"/>
  <c r="O289" i="4" a="1"/>
  <c r="O289" i="4" s="1"/>
  <c r="P289" i="4" s="1"/>
  <c r="O290" i="4" a="1"/>
  <c r="O290" i="4" s="1"/>
  <c r="P290" i="4" s="1"/>
  <c r="O291" i="4" a="1"/>
  <c r="O291" i="4" s="1"/>
  <c r="P291" i="4" s="1"/>
  <c r="O292" i="4" a="1"/>
  <c r="O292" i="4" s="1"/>
  <c r="P292" i="4" s="1"/>
  <c r="O293" i="4" a="1"/>
  <c r="O293" i="4" s="1"/>
  <c r="P293" i="4" s="1"/>
  <c r="O294" i="4" a="1"/>
  <c r="O294" i="4" s="1"/>
  <c r="P294" i="4" s="1"/>
  <c r="O295" i="4" a="1"/>
  <c r="O295" i="4" s="1"/>
  <c r="P295" i="4" s="1"/>
  <c r="O296" i="4" a="1"/>
  <c r="O296" i="4" s="1"/>
  <c r="P296" i="4" s="1"/>
  <c r="O297" i="4" a="1"/>
  <c r="O297" i="4" s="1"/>
  <c r="P297" i="4" s="1"/>
  <c r="O298" i="4" a="1"/>
  <c r="O298" i="4" s="1"/>
  <c r="P298" i="4" s="1"/>
  <c r="O299" i="4" a="1"/>
  <c r="O299" i="4" s="1"/>
  <c r="P299" i="4" s="1"/>
  <c r="O300" i="4" a="1"/>
  <c r="O300" i="4" s="1"/>
  <c r="P300" i="4" s="1"/>
  <c r="O301" i="4" a="1"/>
  <c r="O301" i="4" s="1"/>
  <c r="P301" i="4" s="1"/>
  <c r="O302" i="4" a="1"/>
  <c r="O302" i="4" s="1"/>
  <c r="P302" i="4" s="1"/>
  <c r="O303" i="4" a="1"/>
  <c r="O303" i="4" s="1"/>
  <c r="P303" i="4" s="1"/>
  <c r="O304" i="4" a="1"/>
  <c r="O304" i="4" s="1"/>
  <c r="P304" i="4" s="1"/>
  <c r="O305" i="4" a="1"/>
  <c r="O305" i="4" s="1"/>
  <c r="P305" i="4" s="1"/>
  <c r="O306" i="4" a="1"/>
  <c r="O306" i="4" s="1"/>
  <c r="P306" i="4" s="1"/>
  <c r="O307" i="4" a="1"/>
  <c r="O307" i="4" s="1"/>
  <c r="P307" i="4" s="1"/>
  <c r="O308" i="4" a="1"/>
  <c r="O308" i="4" s="1"/>
  <c r="P308" i="4" s="1"/>
  <c r="O309" i="4" a="1"/>
  <c r="O309" i="4" s="1"/>
  <c r="P309" i="4" s="1"/>
  <c r="O310" i="4" a="1"/>
  <c r="O310" i="4" s="1"/>
  <c r="P310" i="4" s="1"/>
  <c r="O311" i="4" a="1"/>
  <c r="O311" i="4" s="1"/>
  <c r="P311" i="4" s="1"/>
  <c r="O312" i="4" a="1"/>
  <c r="O312" i="4" s="1"/>
  <c r="P312" i="4" s="1"/>
  <c r="O313" i="4" a="1"/>
  <c r="O313" i="4" s="1"/>
  <c r="P313" i="4" s="1"/>
  <c r="O314" i="4" a="1"/>
  <c r="O314" i="4" s="1"/>
  <c r="P314" i="4" s="1"/>
  <c r="O315" i="4" a="1"/>
  <c r="O315" i="4" s="1"/>
  <c r="P315" i="4" s="1"/>
  <c r="O316" i="4" a="1"/>
  <c r="O316" i="4" s="1"/>
  <c r="P316" i="4" s="1"/>
  <c r="O317" i="4" a="1"/>
  <c r="O317" i="4" s="1"/>
  <c r="P317" i="4" s="1"/>
  <c r="O318" i="4" a="1"/>
  <c r="O318" i="4" s="1"/>
  <c r="P318" i="4" s="1"/>
  <c r="O319" i="4" a="1"/>
  <c r="O319" i="4" s="1"/>
  <c r="P319" i="4" s="1"/>
  <c r="O320" i="4" a="1"/>
  <c r="O320" i="4" s="1"/>
  <c r="P320" i="4" s="1"/>
  <c r="O321" i="4" a="1"/>
  <c r="O321" i="4" s="1"/>
  <c r="P321" i="4" s="1"/>
  <c r="O322" i="4" a="1"/>
  <c r="O322" i="4" s="1"/>
  <c r="P322" i="4" s="1"/>
  <c r="O323" i="4" a="1"/>
  <c r="O323" i="4" s="1"/>
  <c r="P323" i="4" s="1"/>
  <c r="O324" i="4" a="1"/>
  <c r="O324" i="4" s="1"/>
  <c r="P324" i="4" s="1"/>
  <c r="O325" i="4" a="1"/>
  <c r="O325" i="4" s="1"/>
  <c r="P325" i="4" s="1"/>
  <c r="O326" i="4" a="1"/>
  <c r="O326" i="4" s="1"/>
  <c r="P326" i="4" s="1"/>
  <c r="O327" i="4" a="1"/>
  <c r="O327" i="4" s="1"/>
  <c r="P327" i="4" s="1"/>
  <c r="O328" i="4" a="1"/>
  <c r="O328" i="4" s="1"/>
  <c r="P328" i="4" s="1"/>
  <c r="O329" i="4" a="1"/>
  <c r="O329" i="4" s="1"/>
  <c r="P329" i="4" s="1"/>
  <c r="O330" i="4" a="1"/>
  <c r="O330" i="4" s="1"/>
  <c r="P330" i="4" s="1"/>
  <c r="O331" i="4" a="1"/>
  <c r="O331" i="4" s="1"/>
  <c r="P331" i="4" s="1"/>
  <c r="O332" i="4" a="1"/>
  <c r="O332" i="4" s="1"/>
  <c r="P332" i="4" s="1"/>
  <c r="O333" i="4" a="1"/>
  <c r="O333" i="4" s="1"/>
  <c r="P333" i="4" s="1"/>
  <c r="O334" i="4" a="1"/>
  <c r="O334" i="4" s="1"/>
  <c r="P334" i="4" s="1"/>
  <c r="O335" i="4" a="1"/>
  <c r="O335" i="4" s="1"/>
  <c r="P335" i="4" s="1"/>
  <c r="O336" i="4" a="1"/>
  <c r="O336" i="4" s="1"/>
  <c r="P336" i="4" s="1"/>
  <c r="O337" i="4" a="1"/>
  <c r="O337" i="4" s="1"/>
  <c r="P337" i="4" s="1"/>
  <c r="O338" i="4" a="1"/>
  <c r="O338" i="4" s="1"/>
  <c r="P338" i="4" s="1"/>
  <c r="O339" i="4" a="1"/>
  <c r="O339" i="4" s="1"/>
  <c r="P339" i="4" s="1"/>
  <c r="O340" i="4" a="1"/>
  <c r="O340" i="4" s="1"/>
  <c r="P340" i="4" s="1"/>
  <c r="O341" i="4" a="1"/>
  <c r="O341" i="4" s="1"/>
  <c r="P341" i="4" s="1"/>
  <c r="O342" i="4" a="1"/>
  <c r="O342" i="4" s="1"/>
  <c r="P342" i="4" s="1"/>
  <c r="O343" i="4" a="1"/>
  <c r="O343" i="4" s="1"/>
  <c r="P343" i="4" s="1"/>
  <c r="O344" i="4" a="1"/>
  <c r="O344" i="4" s="1"/>
  <c r="P344" i="4" s="1"/>
  <c r="O345" i="4" a="1"/>
  <c r="O345" i="4" s="1"/>
  <c r="P345" i="4" s="1"/>
  <c r="O346" i="4" a="1"/>
  <c r="O346" i="4" s="1"/>
  <c r="P346" i="4" s="1"/>
  <c r="O347" i="4" a="1"/>
  <c r="O347" i="4" s="1"/>
  <c r="P347" i="4" s="1"/>
  <c r="O348" i="4" a="1"/>
  <c r="O348" i="4" s="1"/>
  <c r="P348" i="4" s="1"/>
  <c r="O349" i="4" a="1"/>
  <c r="O349" i="4" s="1"/>
  <c r="P349" i="4" s="1"/>
  <c r="O350" i="4" a="1"/>
  <c r="O350" i="4" s="1"/>
  <c r="P350" i="4" s="1"/>
  <c r="O351" i="4" a="1"/>
  <c r="O351" i="4" s="1"/>
  <c r="P351" i="4" s="1"/>
  <c r="O352" i="4" a="1"/>
  <c r="O352" i="4" s="1"/>
  <c r="P352" i="4" s="1"/>
  <c r="O353" i="4" a="1"/>
  <c r="O353" i="4" s="1"/>
  <c r="P353" i="4" s="1"/>
  <c r="O354" i="4" a="1"/>
  <c r="O354" i="4" s="1"/>
  <c r="P354" i="4" s="1"/>
  <c r="O355" i="4" a="1"/>
  <c r="O355" i="4" s="1"/>
  <c r="P355" i="4" s="1"/>
  <c r="O356" i="4" a="1"/>
  <c r="O356" i="4" s="1"/>
  <c r="P356" i="4" s="1"/>
  <c r="O357" i="4" a="1"/>
  <c r="O357" i="4" s="1"/>
  <c r="P357" i="4" s="1"/>
  <c r="O358" i="4" a="1"/>
  <c r="O358" i="4" s="1"/>
  <c r="P358" i="4" s="1"/>
  <c r="O359" i="4" a="1"/>
  <c r="O359" i="4" s="1"/>
  <c r="P359" i="4" s="1"/>
  <c r="O360" i="4" a="1"/>
  <c r="O360" i="4" s="1"/>
  <c r="P360" i="4" s="1"/>
  <c r="O361" i="4" a="1"/>
  <c r="O361" i="4" s="1"/>
  <c r="P361" i="4" s="1"/>
  <c r="O362" i="4" a="1"/>
  <c r="O362" i="4" s="1"/>
  <c r="P362" i="4" s="1"/>
  <c r="O363" i="4" a="1"/>
  <c r="O363" i="4" s="1"/>
  <c r="P363" i="4" s="1"/>
  <c r="O364" i="4" a="1"/>
  <c r="O364" i="4" s="1"/>
  <c r="P364" i="4" s="1"/>
  <c r="O365" i="4" a="1"/>
  <c r="O365" i="4" s="1"/>
  <c r="P365" i="4" s="1"/>
  <c r="O366" i="4" a="1"/>
  <c r="O366" i="4" s="1"/>
  <c r="P366" i="4" s="1"/>
  <c r="O367" i="4" a="1"/>
  <c r="O367" i="4" s="1"/>
  <c r="P367" i="4" s="1"/>
  <c r="O368" i="4" a="1"/>
  <c r="O368" i="4" s="1"/>
  <c r="P368" i="4" s="1"/>
  <c r="O369" i="4" a="1"/>
  <c r="O369" i="4" s="1"/>
  <c r="P369" i="4" s="1"/>
  <c r="O370" i="4" a="1"/>
  <c r="O370" i="4" s="1"/>
  <c r="P370" i="4" s="1"/>
  <c r="O371" i="4" a="1"/>
  <c r="O371" i="4" s="1"/>
  <c r="P371" i="4" s="1"/>
  <c r="O372" i="4" a="1"/>
  <c r="O372" i="4" s="1"/>
  <c r="P372" i="4" s="1"/>
  <c r="O373" i="4" a="1"/>
  <c r="O373" i="4" s="1"/>
  <c r="P373" i="4" s="1"/>
  <c r="O374" i="4" a="1"/>
  <c r="O374" i="4" s="1"/>
  <c r="P374" i="4" s="1"/>
  <c r="O375" i="4" a="1"/>
  <c r="O375" i="4" s="1"/>
  <c r="P375" i="4" s="1"/>
  <c r="O376" i="4" a="1"/>
  <c r="O376" i="4" s="1"/>
  <c r="P376" i="4" s="1"/>
  <c r="O377" i="4" a="1"/>
  <c r="O377" i="4" s="1"/>
  <c r="P377" i="4" s="1"/>
  <c r="O378" i="4" a="1"/>
  <c r="O378" i="4" s="1"/>
  <c r="P378" i="4" s="1"/>
  <c r="O379" i="4" a="1"/>
  <c r="O379" i="4" s="1"/>
  <c r="P379" i="4" s="1"/>
  <c r="O380" i="4" a="1"/>
  <c r="O380" i="4" s="1"/>
  <c r="P380" i="4" s="1"/>
  <c r="O381" i="4" a="1"/>
  <c r="O381" i="4" s="1"/>
  <c r="P381" i="4" s="1"/>
  <c r="O382" i="4" a="1"/>
  <c r="O382" i="4" s="1"/>
  <c r="P382" i="4" s="1"/>
  <c r="O383" i="4" a="1"/>
  <c r="O383" i="4" s="1"/>
  <c r="P383" i="4" s="1"/>
  <c r="O384" i="4" a="1"/>
  <c r="O384" i="4" s="1"/>
  <c r="P384" i="4" s="1"/>
  <c r="O385" i="4" a="1"/>
  <c r="O385" i="4" s="1"/>
  <c r="P385" i="4" s="1"/>
  <c r="O386" i="4" a="1"/>
  <c r="O386" i="4" s="1"/>
  <c r="P386" i="4" s="1"/>
  <c r="O387" i="4" a="1"/>
  <c r="O387" i="4" s="1"/>
  <c r="P387" i="4" s="1"/>
  <c r="O388" i="4" a="1"/>
  <c r="O388" i="4" s="1"/>
  <c r="P388" i="4" s="1"/>
  <c r="O389" i="4" a="1"/>
  <c r="O389" i="4" s="1"/>
  <c r="P389" i="4" s="1"/>
  <c r="O390" i="4" a="1"/>
  <c r="O390" i="4" s="1"/>
  <c r="P390" i="4" s="1"/>
  <c r="O391" i="4" a="1"/>
  <c r="O391" i="4" s="1"/>
  <c r="P391" i="4" s="1"/>
  <c r="O392" i="4" a="1"/>
  <c r="O392" i="4" s="1"/>
  <c r="P392" i="4" s="1"/>
  <c r="O393" i="4" a="1"/>
  <c r="O393" i="4" s="1"/>
  <c r="P393" i="4" s="1"/>
  <c r="O394" i="4" a="1"/>
  <c r="O394" i="4" s="1"/>
  <c r="P394" i="4" s="1"/>
  <c r="O395" i="4" a="1"/>
  <c r="O395" i="4" s="1"/>
  <c r="P395" i="4" s="1"/>
  <c r="O396" i="4" a="1"/>
  <c r="O396" i="4" s="1"/>
  <c r="P396" i="4" s="1"/>
  <c r="O397" i="4" a="1"/>
  <c r="O397" i="4" s="1"/>
  <c r="P397" i="4" s="1"/>
  <c r="O398" i="4" a="1"/>
  <c r="O398" i="4" s="1"/>
  <c r="P398" i="4" s="1"/>
  <c r="O399" i="4" a="1"/>
  <c r="O399" i="4" s="1"/>
  <c r="P399" i="4" s="1"/>
  <c r="O400" i="4" a="1"/>
  <c r="O400" i="4" s="1"/>
  <c r="P400" i="4" s="1"/>
  <c r="O401" i="4" a="1"/>
  <c r="O401" i="4" s="1"/>
  <c r="P401" i="4" s="1"/>
  <c r="O402" i="4" a="1"/>
  <c r="O402" i="4" s="1"/>
  <c r="P402" i="4" s="1"/>
  <c r="O403" i="4" a="1"/>
  <c r="O403" i="4" s="1"/>
  <c r="P403" i="4" s="1"/>
  <c r="O404" i="4" a="1"/>
  <c r="O404" i="4" s="1"/>
  <c r="P404" i="4" s="1"/>
  <c r="O405" i="4" a="1"/>
  <c r="O405" i="4" s="1"/>
  <c r="P405" i="4" s="1"/>
  <c r="O406" i="4" a="1"/>
  <c r="O406" i="4" s="1"/>
  <c r="P406" i="4" s="1"/>
  <c r="O407" i="4" a="1"/>
  <c r="O407" i="4" s="1"/>
  <c r="P407" i="4" s="1"/>
  <c r="O408" i="4" a="1"/>
  <c r="O408" i="4" s="1"/>
  <c r="P408" i="4" s="1"/>
  <c r="O409" i="4" a="1"/>
  <c r="O409" i="4" s="1"/>
  <c r="P409" i="4" s="1"/>
  <c r="O410" i="4" a="1"/>
  <c r="O410" i="4" s="1"/>
  <c r="P410" i="4" s="1"/>
  <c r="O411" i="4" a="1"/>
  <c r="O411" i="4" s="1"/>
  <c r="P411" i="4" s="1"/>
  <c r="O412" i="4" a="1"/>
  <c r="O412" i="4" s="1"/>
  <c r="P412" i="4" s="1"/>
  <c r="O413" i="4" a="1"/>
  <c r="O413" i="4" s="1"/>
  <c r="P413" i="4" s="1"/>
  <c r="O414" i="4" a="1"/>
  <c r="O414" i="4"/>
  <c r="P414" i="4" s="1"/>
  <c r="O415" i="4" a="1"/>
  <c r="O415" i="4" s="1"/>
  <c r="P415" i="4" s="1"/>
  <c r="O416" i="4" a="1"/>
  <c r="O416" i="4" s="1"/>
  <c r="P416" i="4" s="1"/>
  <c r="O417" i="4" a="1"/>
  <c r="O417" i="4" s="1"/>
  <c r="P417" i="4" s="1"/>
  <c r="O418" i="4" a="1"/>
  <c r="O418" i="4" s="1"/>
  <c r="P418" i="4" s="1"/>
  <c r="O419" i="4" a="1"/>
  <c r="O419" i="4" s="1"/>
  <c r="P419" i="4" s="1"/>
  <c r="O420" i="4" a="1"/>
  <c r="O420" i="4" s="1"/>
  <c r="P420" i="4" s="1"/>
  <c r="O421" i="4" a="1"/>
  <c r="O421" i="4" s="1"/>
  <c r="P421" i="4" s="1"/>
  <c r="O422" i="4" a="1"/>
  <c r="O422" i="4" s="1"/>
  <c r="P422" i="4" s="1"/>
  <c r="O423" i="4" a="1"/>
  <c r="O423" i="4" s="1"/>
  <c r="P423" i="4" s="1"/>
  <c r="O424" i="4" a="1"/>
  <c r="O424" i="4" s="1"/>
  <c r="P424" i="4" s="1"/>
  <c r="O425" i="4" a="1"/>
  <c r="O425" i="4"/>
  <c r="P425" i="4" s="1"/>
  <c r="O426" i="4" a="1"/>
  <c r="O426" i="4" s="1"/>
  <c r="P426" i="4" s="1"/>
  <c r="O427" i="4" a="1"/>
  <c r="O427" i="4" s="1"/>
  <c r="P427" i="4" s="1"/>
  <c r="O428" i="4" a="1"/>
  <c r="O428" i="4" s="1"/>
  <c r="P428" i="4" s="1"/>
  <c r="O429" i="4" a="1"/>
  <c r="O429" i="4" s="1"/>
  <c r="P429" i="4" s="1"/>
  <c r="O430" i="4" a="1"/>
  <c r="O430" i="4" s="1"/>
  <c r="P430" i="4" s="1"/>
  <c r="O431" i="4" a="1"/>
  <c r="O431" i="4" s="1"/>
  <c r="P431" i="4" s="1"/>
  <c r="O432" i="4" a="1"/>
  <c r="O432" i="4" s="1"/>
  <c r="P432" i="4" s="1"/>
  <c r="O433" i="4" a="1"/>
  <c r="O433" i="4" s="1"/>
  <c r="P433" i="4" s="1"/>
  <c r="O434" i="4" a="1"/>
  <c r="O434" i="4" s="1"/>
  <c r="P434" i="4" s="1"/>
  <c r="O435" i="4" a="1"/>
  <c r="O435" i="4" s="1"/>
  <c r="P435" i="4" s="1"/>
  <c r="O436" i="4" a="1"/>
  <c r="O436" i="4" s="1"/>
  <c r="P436" i="4" s="1"/>
  <c r="O437" i="4" a="1"/>
  <c r="O437" i="4" s="1"/>
  <c r="P437" i="4" s="1"/>
  <c r="O438" i="4" a="1"/>
  <c r="O438" i="4" s="1"/>
  <c r="P438" i="4" s="1"/>
  <c r="O439" i="4" a="1"/>
  <c r="O439" i="4" s="1"/>
  <c r="P439" i="4" s="1"/>
  <c r="O440" i="4" a="1"/>
  <c r="O440" i="4" s="1"/>
  <c r="P440" i="4" s="1"/>
  <c r="O441" i="4" a="1"/>
  <c r="O441" i="4" s="1"/>
  <c r="P441" i="4" s="1"/>
  <c r="O442" i="4" a="1"/>
  <c r="O442" i="4" s="1"/>
  <c r="P442" i="4" s="1"/>
  <c r="O443" i="4" a="1"/>
  <c r="O443" i="4" s="1"/>
  <c r="P443" i="4" s="1"/>
  <c r="O444" i="4" a="1"/>
  <c r="O444" i="4" s="1"/>
  <c r="P444" i="4" s="1"/>
  <c r="O445" i="4" a="1"/>
  <c r="O445" i="4" s="1"/>
  <c r="P445" i="4" s="1"/>
  <c r="O446" i="4" a="1"/>
  <c r="O446" i="4" s="1"/>
  <c r="P446" i="4" s="1"/>
  <c r="O447" i="4" a="1"/>
  <c r="O447" i="4" s="1"/>
  <c r="P447" i="4" s="1"/>
  <c r="O448" i="4" a="1"/>
  <c r="O448" i="4" s="1"/>
  <c r="P448" i="4" s="1"/>
  <c r="O449" i="4" a="1"/>
  <c r="O449" i="4" s="1"/>
  <c r="P449" i="4" s="1"/>
  <c r="O450" i="4" a="1"/>
  <c r="O450" i="4" s="1"/>
  <c r="P450" i="4" s="1"/>
  <c r="O451" i="4" a="1"/>
  <c r="O451" i="4" s="1"/>
  <c r="P451" i="4" s="1"/>
  <c r="O452" i="4" a="1"/>
  <c r="O452" i="4" s="1"/>
  <c r="P452" i="4" s="1"/>
  <c r="O453" i="4" a="1"/>
  <c r="O453" i="4" s="1"/>
  <c r="P453" i="4" s="1"/>
  <c r="O454" i="4" a="1"/>
  <c r="O454" i="4" s="1"/>
  <c r="P454" i="4" s="1"/>
  <c r="O455" i="4" a="1"/>
  <c r="O455" i="4" s="1"/>
  <c r="P455" i="4" s="1"/>
  <c r="O456" i="4" a="1"/>
  <c r="O456" i="4" s="1"/>
  <c r="P456" i="4" s="1"/>
  <c r="O457" i="4" a="1"/>
  <c r="O457" i="4" s="1"/>
  <c r="P457" i="4" s="1"/>
  <c r="O458" i="4" a="1"/>
  <c r="O458" i="4" s="1"/>
  <c r="P458" i="4" s="1"/>
  <c r="O459" i="4" a="1"/>
  <c r="O459" i="4" s="1"/>
  <c r="P459" i="4" s="1"/>
  <c r="O460" i="4" a="1"/>
  <c r="O460" i="4" s="1"/>
  <c r="P460" i="4" s="1"/>
  <c r="O461" i="4" a="1"/>
  <c r="O461" i="4" s="1"/>
  <c r="P461" i="4" s="1"/>
  <c r="O462" i="4" a="1"/>
  <c r="O462" i="4" s="1"/>
  <c r="P462" i="4" s="1"/>
  <c r="O463" i="4" a="1"/>
  <c r="O463" i="4" s="1"/>
  <c r="P463" i="4" s="1"/>
  <c r="O464" i="4" a="1"/>
  <c r="O464" i="4" s="1"/>
  <c r="P464" i="4" s="1"/>
  <c r="O465" i="4" a="1"/>
  <c r="O465" i="4" s="1"/>
  <c r="P465" i="4" s="1"/>
  <c r="O466" i="4" a="1"/>
  <c r="O466" i="4" s="1"/>
  <c r="P466" i="4" s="1"/>
  <c r="O467" i="4" a="1"/>
  <c r="O467" i="4" s="1"/>
  <c r="P467" i="4" s="1"/>
  <c r="O468" i="4" a="1"/>
  <c r="O468" i="4" s="1"/>
  <c r="P468" i="4" s="1"/>
  <c r="O469" i="4" a="1"/>
  <c r="O469" i="4" s="1"/>
  <c r="P469" i="4" s="1"/>
  <c r="O470" i="4" a="1"/>
  <c r="O470" i="4" s="1"/>
  <c r="P470" i="4" s="1"/>
  <c r="O471" i="4" a="1"/>
  <c r="O471" i="4" s="1"/>
  <c r="P471" i="4" s="1"/>
  <c r="O472" i="4" a="1"/>
  <c r="O472" i="4" s="1"/>
  <c r="P472" i="4" s="1"/>
  <c r="O473" i="4" a="1"/>
  <c r="O473" i="4" s="1"/>
  <c r="P473" i="4" s="1"/>
  <c r="O474" i="4" a="1"/>
  <c r="O474" i="4" s="1"/>
  <c r="P474" i="4" s="1"/>
  <c r="O475" i="4" a="1"/>
  <c r="O475" i="4" s="1"/>
  <c r="P475" i="4" s="1"/>
  <c r="O476" i="4" a="1"/>
  <c r="O476" i="4" s="1"/>
  <c r="P476" i="4" s="1"/>
  <c r="O477" i="4" a="1"/>
  <c r="O477" i="4" s="1"/>
  <c r="P477" i="4" s="1"/>
  <c r="O478" i="4" a="1"/>
  <c r="O478" i="4" s="1"/>
  <c r="P478" i="4" s="1"/>
  <c r="O479" i="4" a="1"/>
  <c r="O479" i="4" s="1"/>
  <c r="P479" i="4" s="1"/>
  <c r="O480" i="4" a="1"/>
  <c r="O480" i="4" s="1"/>
  <c r="P480" i="4" s="1"/>
  <c r="O481" i="4" a="1"/>
  <c r="O481" i="4" s="1"/>
  <c r="P481" i="4" s="1"/>
  <c r="O482" i="4" a="1"/>
  <c r="O482" i="4" s="1"/>
  <c r="P482" i="4" s="1"/>
  <c r="O483" i="4" a="1"/>
  <c r="O483" i="4" s="1"/>
  <c r="P483" i="4" s="1"/>
  <c r="O484" i="4" a="1"/>
  <c r="O484" i="4" s="1"/>
  <c r="P484" i="4" s="1"/>
  <c r="O485" i="4" a="1"/>
  <c r="O485" i="4" s="1"/>
  <c r="P485" i="4" s="1"/>
  <c r="O486" i="4" a="1"/>
  <c r="O486" i="4" s="1"/>
  <c r="P486" i="4" s="1"/>
  <c r="O487" i="4" a="1"/>
  <c r="O487" i="4" s="1"/>
  <c r="P487" i="4" s="1"/>
  <c r="O488" i="4" a="1"/>
  <c r="O488" i="4" s="1"/>
  <c r="P488" i="4" s="1"/>
  <c r="O489" i="4" a="1"/>
  <c r="O489" i="4" s="1"/>
  <c r="P489" i="4" s="1"/>
  <c r="O490" i="4" a="1"/>
  <c r="O490" i="4" s="1"/>
  <c r="P490" i="4" s="1"/>
  <c r="O491" i="4" a="1"/>
  <c r="O491" i="4" s="1"/>
  <c r="P491" i="4" s="1"/>
  <c r="O492" i="4" a="1"/>
  <c r="O492" i="4"/>
  <c r="P492" i="4" s="1"/>
  <c r="O493" i="4" a="1"/>
  <c r="O493" i="4" s="1"/>
  <c r="P493" i="4" s="1"/>
  <c r="O494" i="4" a="1"/>
  <c r="O494" i="4" s="1"/>
  <c r="P494" i="4" s="1"/>
  <c r="O495" i="4" a="1"/>
  <c r="O495" i="4" s="1"/>
  <c r="P495" i="4" s="1"/>
  <c r="O496" i="4" a="1"/>
  <c r="O496" i="4" s="1"/>
  <c r="P496" i="4" s="1"/>
  <c r="O497" i="4" a="1"/>
  <c r="O497" i="4" s="1"/>
  <c r="P497" i="4" s="1"/>
  <c r="O498" i="4" a="1"/>
  <c r="O498" i="4" s="1"/>
  <c r="P498" i="4" s="1"/>
  <c r="O499" i="4" a="1"/>
  <c r="O499" i="4"/>
  <c r="P499" i="4" s="1"/>
  <c r="O500" i="4" a="1"/>
  <c r="O500" i="4" s="1"/>
  <c r="P500" i="4" s="1"/>
  <c r="O501" i="4" a="1"/>
  <c r="O501" i="4" s="1"/>
  <c r="P501" i="4" s="1"/>
  <c r="O502" i="4" a="1"/>
  <c r="O502" i="4" s="1"/>
  <c r="P502" i="4" s="1"/>
  <c r="O503" i="4" a="1"/>
  <c r="O503" i="4" s="1"/>
  <c r="P503" i="4" s="1"/>
  <c r="O504" i="4" a="1"/>
  <c r="O504" i="4" s="1"/>
  <c r="P504" i="4" s="1"/>
  <c r="O505" i="4" a="1"/>
  <c r="O505" i="4" s="1"/>
  <c r="P505" i="4" s="1"/>
  <c r="O506" i="4" a="1"/>
  <c r="O506" i="4" s="1"/>
  <c r="P506" i="4" s="1"/>
  <c r="O507" i="4" a="1"/>
  <c r="O507" i="4" s="1"/>
  <c r="P507" i="4" s="1"/>
  <c r="O508" i="4" a="1"/>
  <c r="O508" i="4" s="1"/>
  <c r="P508" i="4" s="1"/>
  <c r="O509" i="4" a="1"/>
  <c r="O509" i="4" s="1"/>
  <c r="P509" i="4" s="1"/>
  <c r="O510" i="4" a="1"/>
  <c r="O510" i="4" s="1"/>
  <c r="P510" i="4" s="1"/>
  <c r="O511" i="4" a="1"/>
  <c r="O511" i="4" s="1"/>
  <c r="P511" i="4" s="1"/>
  <c r="O512" i="4" a="1"/>
  <c r="O512" i="4" s="1"/>
  <c r="P512" i="4" s="1"/>
  <c r="O513" i="4" a="1"/>
  <c r="O513" i="4" s="1"/>
  <c r="P513" i="4" s="1"/>
  <c r="O514" i="4" a="1"/>
  <c r="O514" i="4" s="1"/>
  <c r="P514" i="4" s="1"/>
  <c r="O515" i="4" a="1"/>
  <c r="O515" i="4" s="1"/>
  <c r="P515" i="4" s="1"/>
  <c r="O516" i="4" a="1"/>
  <c r="O516" i="4" s="1"/>
  <c r="P516" i="4" s="1"/>
  <c r="O517" i="4" a="1"/>
  <c r="O517" i="4" s="1"/>
  <c r="P517" i="4" s="1"/>
  <c r="O518" i="4" a="1"/>
  <c r="O518" i="4" s="1"/>
  <c r="P518" i="4" s="1"/>
  <c r="O519" i="4" a="1"/>
  <c r="O519" i="4" s="1"/>
  <c r="P519" i="4" s="1"/>
  <c r="O520" i="4" a="1"/>
  <c r="O520" i="4" s="1"/>
  <c r="P520" i="4" s="1"/>
  <c r="O521" i="4" a="1"/>
  <c r="O521" i="4" s="1"/>
  <c r="P521" i="4" s="1"/>
  <c r="O522" i="4" a="1"/>
  <c r="O522" i="4" s="1"/>
  <c r="P522" i="4" s="1"/>
  <c r="O523" i="4" a="1"/>
  <c r="O523" i="4" s="1"/>
  <c r="P523" i="4" s="1"/>
  <c r="O524" i="4" a="1"/>
  <c r="O524" i="4" s="1"/>
  <c r="P524" i="4" s="1"/>
  <c r="O525" i="4" a="1"/>
  <c r="O525" i="4" s="1"/>
  <c r="P525" i="4" s="1"/>
  <c r="O526" i="4" a="1"/>
  <c r="O526" i="4" s="1"/>
  <c r="P526" i="4" s="1"/>
  <c r="O527" i="4" a="1"/>
  <c r="O527" i="4" s="1"/>
  <c r="P527" i="4" s="1"/>
  <c r="O528" i="4" a="1"/>
  <c r="O528" i="4" s="1"/>
  <c r="P528" i="4" s="1"/>
  <c r="O529" i="4" a="1"/>
  <c r="O529" i="4" s="1"/>
  <c r="P529" i="4" s="1"/>
  <c r="O530" i="4" a="1"/>
  <c r="O530" i="4" s="1"/>
  <c r="P530" i="4" s="1"/>
  <c r="O531" i="4" a="1"/>
  <c r="O531" i="4" s="1"/>
  <c r="P531" i="4" s="1"/>
  <c r="O532" i="4" a="1"/>
  <c r="O532" i="4" s="1"/>
  <c r="P532" i="4" s="1"/>
  <c r="O533" i="4" a="1"/>
  <c r="O533" i="4" s="1"/>
  <c r="P533" i="4" s="1"/>
  <c r="O534" i="4" a="1"/>
  <c r="O534" i="4" s="1"/>
  <c r="P534" i="4" s="1"/>
  <c r="O535" i="4" a="1"/>
  <c r="O535" i="4" s="1"/>
  <c r="P535" i="4" s="1"/>
  <c r="O536" i="4" a="1"/>
  <c r="O536" i="4" s="1"/>
  <c r="P536" i="4" s="1"/>
  <c r="O537" i="4" a="1"/>
  <c r="O537" i="4" s="1"/>
  <c r="P537" i="4" s="1"/>
  <c r="O538" i="4" a="1"/>
  <c r="O538" i="4" s="1"/>
  <c r="P538" i="4" s="1"/>
  <c r="O539" i="4" a="1"/>
  <c r="O539" i="4" s="1"/>
  <c r="P539" i="4" s="1"/>
  <c r="O540" i="4" a="1"/>
  <c r="O540" i="4" s="1"/>
  <c r="P540" i="4" s="1"/>
  <c r="O541" i="4" a="1"/>
  <c r="O541" i="4" s="1"/>
  <c r="P541" i="4" s="1"/>
  <c r="O542" i="4" a="1"/>
  <c r="O542" i="4" s="1"/>
  <c r="P542" i="4" s="1"/>
  <c r="O543" i="4" a="1"/>
  <c r="O543" i="4" s="1"/>
  <c r="P543" i="4" s="1"/>
  <c r="O544" i="4" a="1"/>
  <c r="O544" i="4" s="1"/>
  <c r="P544" i="4" s="1"/>
  <c r="O545" i="4" a="1"/>
  <c r="O545" i="4" s="1"/>
  <c r="P545" i="4" s="1"/>
  <c r="O546" i="4" a="1"/>
  <c r="O546" i="4" s="1"/>
  <c r="P546" i="4" s="1"/>
  <c r="O547" i="4" a="1"/>
  <c r="O547" i="4" s="1"/>
  <c r="P547" i="4" s="1"/>
  <c r="O548" i="4" a="1"/>
  <c r="O548" i="4" s="1"/>
  <c r="P548" i="4" s="1"/>
  <c r="O549" i="4" a="1"/>
  <c r="O549" i="4" s="1"/>
  <c r="P549" i="4" s="1"/>
  <c r="O550" i="4" a="1"/>
  <c r="O550" i="4" s="1"/>
  <c r="P550" i="4" s="1"/>
  <c r="O551" i="4" a="1"/>
  <c r="O551" i="4" s="1"/>
  <c r="P551" i="4" s="1"/>
  <c r="O552" i="4" a="1"/>
  <c r="O552" i="4" s="1"/>
  <c r="P552" i="4" s="1"/>
  <c r="O553" i="4" a="1"/>
  <c r="O553" i="4" s="1"/>
  <c r="P553" i="4" s="1"/>
  <c r="O554" i="4" a="1"/>
  <c r="O554" i="4" s="1"/>
  <c r="P554" i="4" s="1"/>
  <c r="O555" i="4" a="1"/>
  <c r="O555" i="4" s="1"/>
  <c r="P555" i="4" s="1"/>
  <c r="O556" i="4" a="1"/>
  <c r="O556" i="4"/>
  <c r="P556" i="4" s="1"/>
  <c r="O557" i="4" a="1"/>
  <c r="O557" i="4" s="1"/>
  <c r="P557" i="4" s="1"/>
  <c r="O558" i="4" a="1"/>
  <c r="O558" i="4" s="1"/>
  <c r="P558" i="4" s="1"/>
  <c r="O559" i="4" a="1"/>
  <c r="O559" i="4" s="1"/>
  <c r="P559" i="4" s="1"/>
  <c r="O560" i="4" a="1"/>
  <c r="O560" i="4" s="1"/>
  <c r="P560" i="4" s="1"/>
  <c r="O561" i="4" a="1"/>
  <c r="O561" i="4" s="1"/>
  <c r="P561" i="4" s="1"/>
  <c r="O562" i="4" a="1"/>
  <c r="O562" i="4" s="1"/>
  <c r="P562" i="4" s="1"/>
  <c r="O563" i="4" a="1"/>
  <c r="O563" i="4"/>
  <c r="P563" i="4" s="1"/>
  <c r="O564" i="4" a="1"/>
  <c r="O564" i="4" s="1"/>
  <c r="P564" i="4" s="1"/>
  <c r="O565" i="4" a="1"/>
  <c r="O565" i="4" s="1"/>
  <c r="P565" i="4" s="1"/>
  <c r="O566" i="4" a="1"/>
  <c r="O566" i="4" s="1"/>
  <c r="P566" i="4" s="1"/>
  <c r="O567" i="4" a="1"/>
  <c r="O567" i="4" s="1"/>
  <c r="P567" i="4" s="1"/>
  <c r="O568" i="4" a="1"/>
  <c r="O568" i="4" s="1"/>
  <c r="P568" i="4" s="1"/>
  <c r="S152" i="4"/>
  <c r="T152" i="4" s="1" a="1"/>
  <c r="T152" i="4" s="1"/>
  <c r="S153" i="4"/>
  <c r="T153" i="4" s="1" a="1"/>
  <c r="T153" i="4" s="1"/>
  <c r="S154" i="4"/>
  <c r="T154" i="4" s="1" a="1"/>
  <c r="T154" i="4" s="1"/>
  <c r="S155" i="4"/>
  <c r="T155" i="4" s="1" a="1"/>
  <c r="T155" i="4" s="1"/>
  <c r="S156" i="4"/>
  <c r="T156" i="4" s="1" a="1"/>
  <c r="T156" i="4" s="1"/>
  <c r="S157" i="4"/>
  <c r="T157" i="4" s="1" a="1"/>
  <c r="T157" i="4" s="1"/>
  <c r="S158" i="4"/>
  <c r="T158" i="4" s="1" a="1"/>
  <c r="T158" i="4" s="1"/>
  <c r="S159" i="4"/>
  <c r="T159" i="4" s="1" a="1"/>
  <c r="T159" i="4" s="1"/>
  <c r="S160" i="4"/>
  <c r="T160" i="4" s="1" a="1"/>
  <c r="T160" i="4" s="1"/>
  <c r="S161" i="4"/>
  <c r="T161" i="4" s="1" a="1"/>
  <c r="T161" i="4" s="1"/>
  <c r="S162" i="4"/>
  <c r="T162" i="4" s="1" a="1"/>
  <c r="T162" i="4" s="1"/>
  <c r="S163" i="4"/>
  <c r="T163" i="4" s="1" a="1"/>
  <c r="T163" i="4" s="1"/>
  <c r="S164" i="4"/>
  <c r="T164" i="4" s="1" a="1"/>
  <c r="T164" i="4" s="1"/>
  <c r="S165" i="4"/>
  <c r="T165" i="4" s="1" a="1"/>
  <c r="T165" i="4" s="1"/>
  <c r="S166" i="4"/>
  <c r="T166" i="4" s="1" a="1"/>
  <c r="T166" i="4" s="1"/>
  <c r="S167" i="4"/>
  <c r="T167" i="4" s="1" a="1"/>
  <c r="T167" i="4" s="1"/>
  <c r="S168" i="4"/>
  <c r="T168" i="4" s="1" a="1"/>
  <c r="T168" i="4" s="1"/>
  <c r="S169" i="4"/>
  <c r="T169" i="4" s="1" a="1"/>
  <c r="T169" i="4" s="1"/>
  <c r="S170" i="4"/>
  <c r="T170" i="4" s="1" a="1"/>
  <c r="T170" i="4" s="1"/>
  <c r="S171" i="4"/>
  <c r="T171" i="4" s="1" a="1"/>
  <c r="T171" i="4" s="1"/>
  <c r="S172" i="4"/>
  <c r="T172" i="4" s="1" a="1"/>
  <c r="T172" i="4" s="1"/>
  <c r="S173" i="4"/>
  <c r="T173" i="4" s="1" a="1"/>
  <c r="T173" i="4" s="1"/>
  <c r="S174" i="4"/>
  <c r="T174" i="4" s="1" a="1"/>
  <c r="T174" i="4" s="1"/>
  <c r="S175" i="4"/>
  <c r="T175" i="4" s="1" a="1"/>
  <c r="T175" i="4" s="1"/>
  <c r="S176" i="4"/>
  <c r="T176" i="4" s="1" a="1"/>
  <c r="T176" i="4" s="1"/>
  <c r="S177" i="4"/>
  <c r="T177" i="4" s="1" a="1"/>
  <c r="T177" i="4" s="1"/>
  <c r="S178" i="4"/>
  <c r="T178" i="4" s="1" a="1"/>
  <c r="T178" i="4" s="1"/>
  <c r="V178" i="4" s="1" a="1"/>
  <c r="V178" i="4" s="1"/>
  <c r="S179" i="4"/>
  <c r="T179" i="4" s="1" a="1"/>
  <c r="T179" i="4" s="1"/>
  <c r="S180" i="4"/>
  <c r="T180" i="4" s="1" a="1"/>
  <c r="T180" i="4" s="1"/>
  <c r="S181" i="4"/>
  <c r="T181" i="4" s="1" a="1"/>
  <c r="T181" i="4" s="1"/>
  <c r="S182" i="4"/>
  <c r="T182" i="4" s="1" a="1"/>
  <c r="T182" i="4" s="1"/>
  <c r="V182" i="4" s="1" a="1"/>
  <c r="V182" i="4" s="1"/>
  <c r="S183" i="4"/>
  <c r="T183" i="4" s="1" a="1"/>
  <c r="T183" i="4" s="1"/>
  <c r="S184" i="4"/>
  <c r="T184" i="4" s="1" a="1"/>
  <c r="T184" i="4" s="1"/>
  <c r="S185" i="4"/>
  <c r="T185" i="4" s="1" a="1"/>
  <c r="T185" i="4" s="1"/>
  <c r="S186" i="4"/>
  <c r="T186" i="4" s="1" a="1"/>
  <c r="T186" i="4" s="1"/>
  <c r="V186" i="4" s="1" a="1"/>
  <c r="V186" i="4" s="1"/>
  <c r="S187" i="4"/>
  <c r="T187" i="4" s="1" a="1"/>
  <c r="T187" i="4" s="1"/>
  <c r="S188" i="4"/>
  <c r="T188" i="4" s="1" a="1"/>
  <c r="T188" i="4" s="1"/>
  <c r="S189" i="4"/>
  <c r="T189" i="4" s="1" a="1"/>
  <c r="T189" i="4" s="1"/>
  <c r="S190" i="4"/>
  <c r="T190" i="4" s="1" a="1"/>
  <c r="T190" i="4" s="1"/>
  <c r="V190" i="4" s="1" a="1"/>
  <c r="V190" i="4" s="1"/>
  <c r="S191" i="4"/>
  <c r="T191" i="4" s="1" a="1"/>
  <c r="T191" i="4" s="1"/>
  <c r="S192" i="4"/>
  <c r="T192" i="4" s="1" a="1"/>
  <c r="T192" i="4" s="1"/>
  <c r="S193" i="4"/>
  <c r="T193" i="4" s="1" a="1"/>
  <c r="T193" i="4" s="1"/>
  <c r="S194" i="4"/>
  <c r="T194" i="4" s="1" a="1"/>
  <c r="T194" i="4" s="1"/>
  <c r="V194" i="4" s="1" a="1"/>
  <c r="V194" i="4" s="1"/>
  <c r="S195" i="4"/>
  <c r="T195" i="4" s="1" a="1"/>
  <c r="T195" i="4" s="1"/>
  <c r="S196" i="4"/>
  <c r="T196" i="4" s="1" a="1"/>
  <c r="T196" i="4" s="1"/>
  <c r="S197" i="4"/>
  <c r="T197" i="4" s="1" a="1"/>
  <c r="T197" i="4" s="1"/>
  <c r="S198" i="4"/>
  <c r="T198" i="4" s="1" a="1"/>
  <c r="T198" i="4" s="1"/>
  <c r="V198" i="4" s="1" a="1"/>
  <c r="V198" i="4" s="1"/>
  <c r="S199" i="4"/>
  <c r="T199" i="4" s="1" a="1"/>
  <c r="T199" i="4" s="1"/>
  <c r="S200" i="4"/>
  <c r="T200" i="4" s="1" a="1"/>
  <c r="T200" i="4" s="1"/>
  <c r="S201" i="4"/>
  <c r="T201" i="4" s="1" a="1"/>
  <c r="T201" i="4" s="1"/>
  <c r="S202" i="4"/>
  <c r="T202" i="4" s="1" a="1"/>
  <c r="T202" i="4" s="1"/>
  <c r="V202" i="4" s="1" a="1"/>
  <c r="V202" i="4" s="1"/>
  <c r="S203" i="4"/>
  <c r="T203" i="4" s="1" a="1"/>
  <c r="T203" i="4" s="1"/>
  <c r="S204" i="4"/>
  <c r="T204" i="4" s="1" a="1"/>
  <c r="T204" i="4" s="1"/>
  <c r="S205" i="4"/>
  <c r="T205" i="4" s="1" a="1"/>
  <c r="T205" i="4" s="1"/>
  <c r="S206" i="4"/>
  <c r="T206" i="4" s="1" a="1"/>
  <c r="T206" i="4" s="1"/>
  <c r="V206" i="4" s="1" a="1"/>
  <c r="V206" i="4" s="1"/>
  <c r="S207" i="4"/>
  <c r="T207" i="4" s="1" a="1"/>
  <c r="T207" i="4" s="1"/>
  <c r="S208" i="4"/>
  <c r="T208" i="4" s="1" a="1"/>
  <c r="T208" i="4" s="1"/>
  <c r="S209" i="4"/>
  <c r="T209" i="4" s="1" a="1"/>
  <c r="T209" i="4" s="1"/>
  <c r="S210" i="4"/>
  <c r="T210" i="4" s="1" a="1"/>
  <c r="T210" i="4" s="1"/>
  <c r="V210" i="4" s="1" a="1"/>
  <c r="V210" i="4" s="1"/>
  <c r="S211" i="4"/>
  <c r="T211" i="4" s="1" a="1"/>
  <c r="T211" i="4" s="1"/>
  <c r="S212" i="4"/>
  <c r="T212" i="4" s="1" a="1"/>
  <c r="T212" i="4" s="1"/>
  <c r="S213" i="4"/>
  <c r="T213" i="4" s="1" a="1"/>
  <c r="T213" i="4" s="1"/>
  <c r="S214" i="4"/>
  <c r="T214" i="4" s="1" a="1"/>
  <c r="T214" i="4" s="1"/>
  <c r="V214" i="4" s="1" a="1"/>
  <c r="V214" i="4" s="1"/>
  <c r="S215" i="4"/>
  <c r="T215" i="4" s="1" a="1"/>
  <c r="T215" i="4" s="1"/>
  <c r="S216" i="4"/>
  <c r="T216" i="4" s="1" a="1"/>
  <c r="T216" i="4" s="1"/>
  <c r="S217" i="4"/>
  <c r="T217" i="4" s="1" a="1"/>
  <c r="T217" i="4" s="1"/>
  <c r="S218" i="4"/>
  <c r="T218" i="4" s="1" a="1"/>
  <c r="T218" i="4" s="1"/>
  <c r="S219" i="4"/>
  <c r="T219" i="4" s="1" a="1"/>
  <c r="T219" i="4" s="1"/>
  <c r="S220" i="4"/>
  <c r="T220" i="4" s="1" a="1"/>
  <c r="T220" i="4" s="1"/>
  <c r="V220" i="4" s="1" a="1"/>
  <c r="V220" i="4" s="1"/>
  <c r="S221" i="4"/>
  <c r="T221" i="4" s="1" a="1"/>
  <c r="T221" i="4" s="1"/>
  <c r="S222" i="4"/>
  <c r="T222" i="4" s="1" a="1"/>
  <c r="T222" i="4" s="1"/>
  <c r="V222" i="4" s="1" a="1"/>
  <c r="V222" i="4" s="1"/>
  <c r="S223" i="4"/>
  <c r="T223" i="4" s="1" a="1"/>
  <c r="T223" i="4" s="1"/>
  <c r="S224" i="4"/>
  <c r="T224" i="4" s="1" a="1"/>
  <c r="T224" i="4" s="1"/>
  <c r="S225" i="4"/>
  <c r="T225" i="4" s="1" a="1"/>
  <c r="T225" i="4" s="1"/>
  <c r="S226" i="4"/>
  <c r="T226" i="4" s="1" a="1"/>
  <c r="T226" i="4" s="1"/>
  <c r="S227" i="4"/>
  <c r="T227" i="4" s="1" a="1"/>
  <c r="T227" i="4" s="1"/>
  <c r="S228" i="4"/>
  <c r="T228" i="4" s="1" a="1"/>
  <c r="T228" i="4" s="1"/>
  <c r="S229" i="4"/>
  <c r="T229" i="4" s="1" a="1"/>
  <c r="T229" i="4" s="1"/>
  <c r="V229" i="4" s="1" a="1"/>
  <c r="V229" i="4" s="1"/>
  <c r="S230" i="4"/>
  <c r="T230" i="4" s="1" a="1"/>
  <c r="T230" i="4" s="1"/>
  <c r="S231" i="4"/>
  <c r="T231" i="4" s="1" a="1"/>
  <c r="T231" i="4" s="1"/>
  <c r="V231" i="4" s="1" a="1"/>
  <c r="V231" i="4" s="1"/>
  <c r="S232" i="4"/>
  <c r="T232" i="4" s="1" a="1"/>
  <c r="T232" i="4" s="1"/>
  <c r="S233" i="4"/>
  <c r="T233" i="4" s="1" a="1"/>
  <c r="T233" i="4" s="1"/>
  <c r="S234" i="4"/>
  <c r="T234" i="4" s="1" a="1"/>
  <c r="T234" i="4" s="1"/>
  <c r="S235" i="4"/>
  <c r="T235" i="4" s="1" a="1"/>
  <c r="T235" i="4" s="1"/>
  <c r="S236" i="4"/>
  <c r="T236" i="4" s="1" a="1"/>
  <c r="T236" i="4" s="1"/>
  <c r="V236" i="4" s="1" a="1"/>
  <c r="V236" i="4" s="1"/>
  <c r="S237" i="4"/>
  <c r="T237" i="4" s="1" a="1"/>
  <c r="T237" i="4" s="1"/>
  <c r="S238" i="4"/>
  <c r="T238" i="4" s="1" a="1"/>
  <c r="T238" i="4" s="1"/>
  <c r="V238" i="4" s="1" a="1"/>
  <c r="V238" i="4" s="1"/>
  <c r="S239" i="4"/>
  <c r="T239" i="4" s="1" a="1"/>
  <c r="T239" i="4" s="1"/>
  <c r="S240" i="4"/>
  <c r="T240" i="4" s="1" a="1"/>
  <c r="T240" i="4" s="1"/>
  <c r="S241" i="4"/>
  <c r="T241" i="4" s="1" a="1"/>
  <c r="T241" i="4" s="1"/>
  <c r="S242" i="4"/>
  <c r="T242" i="4" s="1" a="1"/>
  <c r="T242" i="4" s="1"/>
  <c r="S243" i="4"/>
  <c r="T243" i="4" s="1" a="1"/>
  <c r="T243" i="4" s="1"/>
  <c r="S244" i="4"/>
  <c r="T244" i="4" s="1" a="1"/>
  <c r="T244" i="4" s="1"/>
  <c r="S245" i="4"/>
  <c r="T245" i="4" s="1" a="1"/>
  <c r="T245" i="4" s="1"/>
  <c r="V245" i="4" s="1" a="1"/>
  <c r="V245" i="4" s="1"/>
  <c r="S246" i="4"/>
  <c r="T246" i="4" s="1" a="1"/>
  <c r="T246" i="4" s="1"/>
  <c r="S247" i="4"/>
  <c r="T247" i="4" s="1" a="1"/>
  <c r="T247" i="4" s="1"/>
  <c r="V247" i="4" s="1" a="1"/>
  <c r="V247" i="4" s="1"/>
  <c r="S248" i="4"/>
  <c r="T248" i="4" s="1" a="1"/>
  <c r="T248" i="4" s="1"/>
  <c r="S249" i="4"/>
  <c r="T249" i="4" s="1" a="1"/>
  <c r="T249" i="4" s="1"/>
  <c r="S250" i="4"/>
  <c r="T250" i="4" s="1" a="1"/>
  <c r="T250" i="4" s="1"/>
  <c r="S251" i="4"/>
  <c r="T251" i="4" s="1" a="1"/>
  <c r="T251" i="4" s="1"/>
  <c r="S252" i="4"/>
  <c r="T252" i="4" s="1" a="1"/>
  <c r="T252" i="4" s="1"/>
  <c r="V252" i="4" s="1" a="1"/>
  <c r="V252" i="4" s="1"/>
  <c r="S253" i="4"/>
  <c r="T253" i="4" s="1" a="1"/>
  <c r="T253" i="4" s="1"/>
  <c r="S254" i="4"/>
  <c r="T254" i="4" s="1" a="1"/>
  <c r="T254" i="4" s="1"/>
  <c r="V254" i="4" s="1" a="1"/>
  <c r="V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S261" i="4"/>
  <c r="T261" i="4" s="1" a="1"/>
  <c r="T261" i="4" s="1"/>
  <c r="V261" i="4" s="1" a="1"/>
  <c r="V261" i="4" s="1"/>
  <c r="S262" i="4"/>
  <c r="T262" i="4" s="1" a="1"/>
  <c r="T262" i="4" s="1"/>
  <c r="S263" i="4"/>
  <c r="T263" i="4" s="1" a="1"/>
  <c r="T263" i="4" s="1"/>
  <c r="V263" i="4" s="1" a="1"/>
  <c r="V263" i="4" s="1"/>
  <c r="S264" i="4"/>
  <c r="T264" i="4" s="1" a="1"/>
  <c r="T264" i="4" s="1"/>
  <c r="S265" i="4"/>
  <c r="T265" i="4" s="1" a="1"/>
  <c r="T265" i="4" s="1"/>
  <c r="S266" i="4"/>
  <c r="T266" i="4" s="1" a="1"/>
  <c r="T266" i="4" s="1"/>
  <c r="S267" i="4"/>
  <c r="T267" i="4" s="1" a="1"/>
  <c r="T267" i="4" s="1"/>
  <c r="S268" i="4"/>
  <c r="T268" i="4" s="1" a="1"/>
  <c r="T268" i="4" s="1"/>
  <c r="V268" i="4" s="1" a="1"/>
  <c r="V268" i="4" s="1"/>
  <c r="S269" i="4"/>
  <c r="T269" i="4" s="1" a="1"/>
  <c r="T269" i="4" s="1"/>
  <c r="S270" i="4"/>
  <c r="T270" i="4" s="1" a="1"/>
  <c r="T270" i="4" s="1"/>
  <c r="V270" i="4" s="1" a="1"/>
  <c r="V270" i="4" s="1"/>
  <c r="S271" i="4"/>
  <c r="T271" i="4" s="1" a="1"/>
  <c r="T271" i="4" s="1"/>
  <c r="S272" i="4"/>
  <c r="T272" i="4" s="1" a="1"/>
  <c r="T272" i="4" s="1"/>
  <c r="S273" i="4"/>
  <c r="T273" i="4" s="1" a="1"/>
  <c r="T273" i="4" s="1"/>
  <c r="S274" i="4"/>
  <c r="T274" i="4" s="1" a="1"/>
  <c r="T274" i="4" s="1"/>
  <c r="S275" i="4"/>
  <c r="T275" i="4" s="1" a="1"/>
  <c r="T275" i="4" s="1"/>
  <c r="S276" i="4"/>
  <c r="T276" i="4" s="1" a="1"/>
  <c r="T276" i="4" s="1"/>
  <c r="S277" i="4"/>
  <c r="T277" i="4" s="1" a="1"/>
  <c r="T277" i="4" s="1"/>
  <c r="S278" i="4"/>
  <c r="T278" i="4" s="1" a="1"/>
  <c r="T278" i="4" s="1"/>
  <c r="S279" i="4"/>
  <c r="T279" i="4" s="1" a="1"/>
  <c r="T279" i="4" s="1"/>
  <c r="S280" i="4"/>
  <c r="T280" i="4" s="1" a="1"/>
  <c r="T280" i="4" s="1"/>
  <c r="S281" i="4"/>
  <c r="T281" i="4" s="1" a="1"/>
  <c r="T281" i="4" s="1"/>
  <c r="S282" i="4"/>
  <c r="T282" i="4" s="1" a="1"/>
  <c r="T282" i="4" s="1"/>
  <c r="S283" i="4"/>
  <c r="T283" i="4" s="1" a="1"/>
  <c r="T283" i="4" s="1"/>
  <c r="S284" i="4"/>
  <c r="T284" i="4" s="1" a="1"/>
  <c r="T284" i="4" s="1"/>
  <c r="S285" i="4"/>
  <c r="T285" i="4" s="1" a="1"/>
  <c r="T285" i="4" s="1"/>
  <c r="S286" i="4"/>
  <c r="T286" i="4" s="1" a="1"/>
  <c r="T286" i="4" s="1"/>
  <c r="S287" i="4"/>
  <c r="T287" i="4" s="1" a="1"/>
  <c r="T287" i="4" s="1"/>
  <c r="S288" i="4"/>
  <c r="T288" i="4" s="1" a="1"/>
  <c r="T288" i="4" s="1"/>
  <c r="S289" i="4"/>
  <c r="T289" i="4" s="1" a="1"/>
  <c r="T289" i="4" s="1"/>
  <c r="S290" i="4"/>
  <c r="T290" i="4" s="1" a="1"/>
  <c r="T290" i="4" s="1"/>
  <c r="S291" i="4"/>
  <c r="T291" i="4" s="1" a="1"/>
  <c r="T291" i="4" s="1"/>
  <c r="S292" i="4"/>
  <c r="T292" i="4" s="1" a="1"/>
  <c r="T292" i="4" s="1"/>
  <c r="S293" i="4"/>
  <c r="T293" i="4" s="1" a="1"/>
  <c r="T293" i="4" s="1"/>
  <c r="S294" i="4"/>
  <c r="T294" i="4" s="1" a="1"/>
  <c r="T294" i="4" s="1"/>
  <c r="S295" i="4"/>
  <c r="T295" i="4" s="1" a="1"/>
  <c r="T295" i="4" s="1"/>
  <c r="S296" i="4"/>
  <c r="T296" i="4" s="1" a="1"/>
  <c r="T296" i="4" s="1"/>
  <c r="S297" i="4"/>
  <c r="T297" i="4" s="1" a="1"/>
  <c r="T297" i="4" s="1"/>
  <c r="S298" i="4"/>
  <c r="T298" i="4" s="1" a="1"/>
  <c r="T298" i="4" s="1"/>
  <c r="S299" i="4"/>
  <c r="T299" i="4" s="1" a="1"/>
  <c r="T299" i="4" s="1"/>
  <c r="S300" i="4"/>
  <c r="T300" i="4" s="1" a="1"/>
  <c r="T300" i="4" s="1"/>
  <c r="S301" i="4"/>
  <c r="T301" i="4" s="1" a="1"/>
  <c r="T301" i="4" s="1"/>
  <c r="S302" i="4"/>
  <c r="T302" i="4" s="1" a="1"/>
  <c r="T302" i="4" s="1"/>
  <c r="S303" i="4"/>
  <c r="T303" i="4" s="1" a="1"/>
  <c r="T303" i="4" s="1"/>
  <c r="S304" i="4"/>
  <c r="T304" i="4" s="1" a="1"/>
  <c r="T304" i="4" s="1"/>
  <c r="S305" i="4"/>
  <c r="T305" i="4" s="1" a="1"/>
  <c r="T305" i="4" s="1"/>
  <c r="S306" i="4"/>
  <c r="T306" i="4" s="1" a="1"/>
  <c r="T306" i="4" s="1"/>
  <c r="S307" i="4"/>
  <c r="T307" i="4" s="1" a="1"/>
  <c r="T307" i="4" s="1"/>
  <c r="S308" i="4"/>
  <c r="T308" i="4" s="1" a="1"/>
  <c r="T308" i="4" s="1"/>
  <c r="S309" i="4"/>
  <c r="T309" i="4" s="1" a="1"/>
  <c r="T309" i="4" s="1"/>
  <c r="S310" i="4"/>
  <c r="T310" i="4" s="1" a="1"/>
  <c r="T310" i="4" s="1"/>
  <c r="S311" i="4"/>
  <c r="T311" i="4" s="1" a="1"/>
  <c r="T311" i="4" s="1"/>
  <c r="S312" i="4"/>
  <c r="T312" i="4" s="1" a="1"/>
  <c r="T312" i="4" s="1"/>
  <c r="S313" i="4"/>
  <c r="T313" i="4" s="1" a="1"/>
  <c r="T313" i="4" s="1"/>
  <c r="S314" i="4"/>
  <c r="T314" i="4" s="1" a="1"/>
  <c r="T314" i="4" s="1"/>
  <c r="S315" i="4"/>
  <c r="T315" i="4" s="1" a="1"/>
  <c r="T315" i="4" s="1"/>
  <c r="S316" i="4"/>
  <c r="T316" i="4" s="1" a="1"/>
  <c r="T316" i="4" s="1"/>
  <c r="S317" i="4"/>
  <c r="T317" i="4" s="1" a="1"/>
  <c r="T317" i="4" s="1"/>
  <c r="S318" i="4"/>
  <c r="T318" i="4" s="1" a="1"/>
  <c r="T318" i="4" s="1"/>
  <c r="S319" i="4"/>
  <c r="T319" i="4" s="1" a="1"/>
  <c r="T319" i="4" s="1"/>
  <c r="S320" i="4"/>
  <c r="T320" i="4" s="1" a="1"/>
  <c r="T320" i="4" s="1"/>
  <c r="S321" i="4"/>
  <c r="T321" i="4" s="1" a="1"/>
  <c r="T321" i="4" s="1"/>
  <c r="S322" i="4"/>
  <c r="T322" i="4" s="1" a="1"/>
  <c r="T322" i="4" s="1"/>
  <c r="S323" i="4"/>
  <c r="T323" i="4" s="1" a="1"/>
  <c r="T323" i="4" s="1"/>
  <c r="S324" i="4"/>
  <c r="T324" i="4" s="1" a="1"/>
  <c r="T324" i="4" s="1"/>
  <c r="S325" i="4"/>
  <c r="T325" i="4" s="1" a="1"/>
  <c r="T325" i="4" s="1"/>
  <c r="S326" i="4"/>
  <c r="T326" i="4" s="1" a="1"/>
  <c r="T326" i="4" s="1"/>
  <c r="S327" i="4"/>
  <c r="T327" i="4" s="1" a="1"/>
  <c r="T327" i="4" s="1"/>
  <c r="S328" i="4"/>
  <c r="T328" i="4" s="1" a="1"/>
  <c r="T328" i="4" s="1"/>
  <c r="S329" i="4"/>
  <c r="T329" i="4" s="1" a="1"/>
  <c r="T329" i="4" s="1"/>
  <c r="S330" i="4"/>
  <c r="T330" i="4" s="1" a="1"/>
  <c r="T330" i="4" s="1"/>
  <c r="S331" i="4"/>
  <c r="T331" i="4" s="1" a="1"/>
  <c r="T331" i="4" s="1"/>
  <c r="S332" i="4"/>
  <c r="T332" i="4" s="1" a="1"/>
  <c r="T332" i="4" s="1"/>
  <c r="S333" i="4"/>
  <c r="T333" i="4" s="1" a="1"/>
  <c r="T333" i="4" s="1"/>
  <c r="S334" i="4"/>
  <c r="T334" i="4" s="1" a="1"/>
  <c r="T334" i="4" s="1"/>
  <c r="S335" i="4"/>
  <c r="T335" i="4" s="1" a="1"/>
  <c r="T335" i="4" s="1"/>
  <c r="S336" i="4"/>
  <c r="T336" i="4" s="1" a="1"/>
  <c r="T336" i="4" s="1"/>
  <c r="S337" i="4"/>
  <c r="T337" i="4" s="1" a="1"/>
  <c r="T337" i="4" s="1"/>
  <c r="S338" i="4"/>
  <c r="T338" i="4" s="1" a="1"/>
  <c r="T338" i="4" s="1"/>
  <c r="S339" i="4"/>
  <c r="T339" i="4" s="1" a="1"/>
  <c r="T339" i="4" s="1"/>
  <c r="S340" i="4"/>
  <c r="T340" i="4" s="1" a="1"/>
  <c r="T340" i="4" s="1"/>
  <c r="S341" i="4"/>
  <c r="T341" i="4" s="1" a="1"/>
  <c r="T341" i="4" s="1"/>
  <c r="S342" i="4"/>
  <c r="T342" i="4" s="1" a="1"/>
  <c r="T342" i="4" s="1"/>
  <c r="S343" i="4"/>
  <c r="T343" i="4" s="1" a="1"/>
  <c r="T343" i="4" s="1"/>
  <c r="S344" i="4"/>
  <c r="T344" i="4" s="1" a="1"/>
  <c r="T344" i="4" s="1"/>
  <c r="S345" i="4"/>
  <c r="T345" i="4" s="1" a="1"/>
  <c r="T345" i="4" s="1"/>
  <c r="S346" i="4"/>
  <c r="T346" i="4" s="1" a="1"/>
  <c r="T346" i="4" s="1"/>
  <c r="S347" i="4"/>
  <c r="T347" i="4" s="1" a="1"/>
  <c r="T347" i="4" s="1"/>
  <c r="S348" i="4"/>
  <c r="T348" i="4" s="1" a="1"/>
  <c r="T348" i="4" s="1"/>
  <c r="S349" i="4"/>
  <c r="T349" i="4" s="1" a="1"/>
  <c r="T349" i="4" s="1"/>
  <c r="S350" i="4"/>
  <c r="T350" i="4" s="1" a="1"/>
  <c r="T350" i="4" s="1"/>
  <c r="S351" i="4"/>
  <c r="T351" i="4" s="1" a="1"/>
  <c r="T351" i="4" s="1"/>
  <c r="S352" i="4"/>
  <c r="T352" i="4" s="1" a="1"/>
  <c r="T352" i="4" s="1"/>
  <c r="S353" i="4"/>
  <c r="T353" i="4" s="1" a="1"/>
  <c r="T353" i="4" s="1"/>
  <c r="S354" i="4"/>
  <c r="T354" i="4" s="1" a="1"/>
  <c r="T354" i="4" s="1"/>
  <c r="S355" i="4"/>
  <c r="T355" i="4" s="1" a="1"/>
  <c r="T355" i="4" s="1"/>
  <c r="S356" i="4"/>
  <c r="T356" i="4" s="1" a="1"/>
  <c r="T356" i="4" s="1"/>
  <c r="S357" i="4"/>
  <c r="T357" i="4" s="1" a="1"/>
  <c r="T357" i="4" s="1"/>
  <c r="S358" i="4"/>
  <c r="T358" i="4" s="1" a="1"/>
  <c r="T358" i="4" s="1"/>
  <c r="S359" i="4"/>
  <c r="T359" i="4" s="1" a="1"/>
  <c r="T359" i="4" s="1"/>
  <c r="S360" i="4"/>
  <c r="T360" i="4" s="1" a="1"/>
  <c r="T360" i="4" s="1"/>
  <c r="S361" i="4"/>
  <c r="T361" i="4" s="1" a="1"/>
  <c r="T361" i="4" s="1"/>
  <c r="S362" i="4"/>
  <c r="T362" i="4" s="1" a="1"/>
  <c r="T362" i="4" s="1"/>
  <c r="S363" i="4"/>
  <c r="T363" i="4" s="1" a="1"/>
  <c r="T363" i="4" s="1"/>
  <c r="S364" i="4"/>
  <c r="T364" i="4" s="1" a="1"/>
  <c r="T364" i="4" s="1"/>
  <c r="V364" i="4" s="1" a="1"/>
  <c r="V364" i="4" s="1"/>
  <c r="S365" i="4"/>
  <c r="T365" i="4" s="1" a="1"/>
  <c r="T365" i="4" s="1"/>
  <c r="V365" i="4" s="1" a="1"/>
  <c r="V365" i="4" s="1"/>
  <c r="S366" i="4"/>
  <c r="T366" i="4" s="1" a="1"/>
  <c r="T366" i="4" s="1"/>
  <c r="V366" i="4" s="1" a="1"/>
  <c r="V366" i="4" s="1"/>
  <c r="S367" i="4"/>
  <c r="T367" i="4" s="1" a="1"/>
  <c r="T367" i="4" s="1"/>
  <c r="V367" i="4" s="1" a="1"/>
  <c r="V367" i="4" s="1"/>
  <c r="S368" i="4"/>
  <c r="T368" i="4" s="1" a="1"/>
  <c r="T368" i="4" s="1"/>
  <c r="V368" i="4" s="1" a="1"/>
  <c r="V368" i="4" s="1"/>
  <c r="S369" i="4"/>
  <c r="T369" i="4" s="1" a="1"/>
  <c r="T369" i="4" s="1"/>
  <c r="V369" i="4" s="1" a="1"/>
  <c r="V369" i="4" s="1"/>
  <c r="S370" i="4"/>
  <c r="T370" i="4" s="1" a="1"/>
  <c r="T370" i="4" s="1"/>
  <c r="V370" i="4" s="1" a="1"/>
  <c r="V370" i="4" s="1"/>
  <c r="S371" i="4"/>
  <c r="T371" i="4" s="1" a="1"/>
  <c r="T371" i="4" s="1"/>
  <c r="V371" i="4" s="1" a="1"/>
  <c r="V371" i="4" s="1"/>
  <c r="S372" i="4"/>
  <c r="T372" i="4" s="1" a="1"/>
  <c r="T372" i="4" s="1"/>
  <c r="V372" i="4" s="1" a="1"/>
  <c r="V372" i="4" s="1"/>
  <c r="S373" i="4"/>
  <c r="T373" i="4" s="1" a="1"/>
  <c r="T373" i="4" s="1"/>
  <c r="V373" i="4" s="1" a="1"/>
  <c r="V373" i="4" s="1"/>
  <c r="S374" i="4"/>
  <c r="T374" i="4" s="1" a="1"/>
  <c r="T374" i="4" s="1"/>
  <c r="V374" i="4" s="1" a="1"/>
  <c r="V374" i="4" s="1"/>
  <c r="S375" i="4"/>
  <c r="T375" i="4" s="1" a="1"/>
  <c r="T375" i="4" s="1"/>
  <c r="V375" i="4" s="1" a="1"/>
  <c r="V375" i="4" s="1"/>
  <c r="S376" i="4"/>
  <c r="T376" i="4" s="1" a="1"/>
  <c r="T376" i="4" s="1"/>
  <c r="V376" i="4" s="1" a="1"/>
  <c r="V376" i="4" s="1"/>
  <c r="S377" i="4"/>
  <c r="T377" i="4" s="1" a="1"/>
  <c r="T377" i="4" s="1"/>
  <c r="V377" i="4" s="1" a="1"/>
  <c r="V377" i="4" s="1"/>
  <c r="S378" i="4"/>
  <c r="T378" i="4" s="1" a="1"/>
  <c r="T378" i="4" s="1"/>
  <c r="V378" i="4" s="1" a="1"/>
  <c r="V378" i="4" s="1"/>
  <c r="S379" i="4"/>
  <c r="T379" i="4" s="1" a="1"/>
  <c r="T379" i="4" s="1"/>
  <c r="V379" i="4" s="1" a="1"/>
  <c r="V379" i="4" s="1"/>
  <c r="S380" i="4"/>
  <c r="T380" i="4" s="1" a="1"/>
  <c r="T380" i="4" s="1"/>
  <c r="V380" i="4" s="1" a="1"/>
  <c r="V380" i="4" s="1"/>
  <c r="S381" i="4"/>
  <c r="T381" i="4" s="1" a="1"/>
  <c r="T381" i="4" s="1"/>
  <c r="V381" i="4" s="1" a="1"/>
  <c r="V381" i="4" s="1"/>
  <c r="S382" i="4"/>
  <c r="T382" i="4" s="1" a="1"/>
  <c r="T382" i="4" s="1"/>
  <c r="V382" i="4" s="1" a="1"/>
  <c r="V382" i="4" s="1"/>
  <c r="S383" i="4"/>
  <c r="T383" i="4" s="1" a="1"/>
  <c r="T383" i="4" s="1"/>
  <c r="V383" i="4" s="1" a="1"/>
  <c r="V383" i="4" s="1"/>
  <c r="S384" i="4"/>
  <c r="T384" i="4" s="1" a="1"/>
  <c r="T384" i="4" s="1"/>
  <c r="V384" i="4" s="1" a="1"/>
  <c r="V384" i="4" s="1"/>
  <c r="S385" i="4"/>
  <c r="T385" i="4" s="1" a="1"/>
  <c r="T385" i="4" s="1"/>
  <c r="V385" i="4" s="1" a="1"/>
  <c r="V385" i="4" s="1"/>
  <c r="S386" i="4"/>
  <c r="T386" i="4" s="1" a="1"/>
  <c r="T386" i="4" s="1"/>
  <c r="V386" i="4" s="1" a="1"/>
  <c r="V386" i="4" s="1"/>
  <c r="S387" i="4"/>
  <c r="T387" i="4" s="1" a="1"/>
  <c r="T387" i="4" s="1"/>
  <c r="V387" i="4" s="1" a="1"/>
  <c r="V387" i="4" s="1"/>
  <c r="S388" i="4"/>
  <c r="T388" i="4" s="1" a="1"/>
  <c r="T388" i="4" s="1"/>
  <c r="V388" i="4" s="1" a="1"/>
  <c r="V388" i="4" s="1"/>
  <c r="S389" i="4"/>
  <c r="T389" i="4" s="1" a="1"/>
  <c r="T389" i="4" s="1"/>
  <c r="V389" i="4" s="1" a="1"/>
  <c r="V389" i="4" s="1"/>
  <c r="S390" i="4"/>
  <c r="T390" i="4" s="1" a="1"/>
  <c r="T390" i="4" s="1"/>
  <c r="V390" i="4" s="1" a="1"/>
  <c r="V390" i="4" s="1"/>
  <c r="S391" i="4"/>
  <c r="T391" i="4" s="1" a="1"/>
  <c r="T391" i="4" s="1"/>
  <c r="V391" i="4" s="1" a="1"/>
  <c r="V391" i="4" s="1"/>
  <c r="S392" i="4"/>
  <c r="T392" i="4" s="1" a="1"/>
  <c r="T392" i="4" s="1"/>
  <c r="V392" i="4" s="1" a="1"/>
  <c r="V392" i="4" s="1"/>
  <c r="S393" i="4"/>
  <c r="T393" i="4" s="1" a="1"/>
  <c r="T393" i="4" s="1"/>
  <c r="V393" i="4" s="1" a="1"/>
  <c r="V393" i="4" s="1"/>
  <c r="S394" i="4"/>
  <c r="T394" i="4" s="1" a="1"/>
  <c r="T394" i="4" s="1"/>
  <c r="V394" i="4" s="1" a="1"/>
  <c r="V394" i="4" s="1"/>
  <c r="S395" i="4"/>
  <c r="T395" i="4" s="1" a="1"/>
  <c r="T395" i="4" s="1"/>
  <c r="V395" i="4" s="1" a="1"/>
  <c r="V395" i="4" s="1"/>
  <c r="S396" i="4"/>
  <c r="T396" i="4" s="1" a="1"/>
  <c r="T396" i="4" s="1"/>
  <c r="V396" i="4" s="1" a="1"/>
  <c r="V396" i="4" s="1"/>
  <c r="S397" i="4"/>
  <c r="T397" i="4" s="1" a="1"/>
  <c r="T397" i="4" s="1"/>
  <c r="V397" i="4" s="1" a="1"/>
  <c r="V397" i="4" s="1"/>
  <c r="S398" i="4"/>
  <c r="T398" i="4" s="1" a="1"/>
  <c r="T398" i="4" s="1"/>
  <c r="V398" i="4" s="1" a="1"/>
  <c r="V398" i="4" s="1"/>
  <c r="S399" i="4"/>
  <c r="T399" i="4" s="1" a="1"/>
  <c r="T399" i="4" s="1"/>
  <c r="V399" i="4" s="1" a="1"/>
  <c r="V399" i="4" s="1"/>
  <c r="S400" i="4"/>
  <c r="T400" i="4" s="1" a="1"/>
  <c r="T400" i="4" s="1"/>
  <c r="V400" i="4" s="1" a="1"/>
  <c r="V400" i="4" s="1"/>
  <c r="S401" i="4"/>
  <c r="T401" i="4" s="1" a="1"/>
  <c r="T401" i="4" s="1"/>
  <c r="V401" i="4" s="1" a="1"/>
  <c r="V401" i="4" s="1"/>
  <c r="S402" i="4"/>
  <c r="T402" i="4" s="1" a="1"/>
  <c r="T402" i="4" s="1"/>
  <c r="V402" i="4" s="1" a="1"/>
  <c r="V402" i="4" s="1"/>
  <c r="S403" i="4"/>
  <c r="T403" i="4" s="1" a="1"/>
  <c r="T403" i="4" s="1"/>
  <c r="V403" i="4" s="1" a="1"/>
  <c r="V403" i="4" s="1"/>
  <c r="S404" i="4"/>
  <c r="T404" i="4" s="1" a="1"/>
  <c r="T404" i="4" s="1"/>
  <c r="V404" i="4" s="1" a="1"/>
  <c r="V404" i="4" s="1"/>
  <c r="S405" i="4"/>
  <c r="T405" i="4" s="1" a="1"/>
  <c r="T405" i="4" s="1"/>
  <c r="V405" i="4" s="1" a="1"/>
  <c r="V405" i="4" s="1"/>
  <c r="S406" i="4"/>
  <c r="T406" i="4" s="1" a="1"/>
  <c r="T406" i="4" s="1"/>
  <c r="V406" i="4" s="1" a="1"/>
  <c r="V406" i="4" s="1"/>
  <c r="S407" i="4"/>
  <c r="T407" i="4" s="1" a="1"/>
  <c r="T407" i="4" s="1"/>
  <c r="V407" i="4" s="1" a="1"/>
  <c r="V407" i="4" s="1"/>
  <c r="S408" i="4"/>
  <c r="T408" i="4" s="1" a="1"/>
  <c r="T408" i="4" s="1"/>
  <c r="V408" i="4" s="1" a="1"/>
  <c r="V408" i="4" s="1"/>
  <c r="S409" i="4"/>
  <c r="T409" i="4" s="1" a="1"/>
  <c r="T409" i="4" s="1"/>
  <c r="V409" i="4" s="1" a="1"/>
  <c r="V409" i="4" s="1"/>
  <c r="S410" i="4"/>
  <c r="T410" i="4" s="1" a="1"/>
  <c r="T410" i="4" s="1"/>
  <c r="V410" i="4" s="1" a="1"/>
  <c r="V410" i="4" s="1"/>
  <c r="S411" i="4"/>
  <c r="T411" i="4" s="1" a="1"/>
  <c r="T411" i="4" s="1"/>
  <c r="V411" i="4" s="1" a="1"/>
  <c r="V411" i="4" s="1"/>
  <c r="S412" i="4"/>
  <c r="T412" i="4" s="1" a="1"/>
  <c r="T412" i="4" s="1"/>
  <c r="V412" i="4" s="1" a="1"/>
  <c r="V412" i="4" s="1"/>
  <c r="S413" i="4"/>
  <c r="T413" i="4" s="1" a="1"/>
  <c r="T413" i="4" s="1"/>
  <c r="V413" i="4" s="1" a="1"/>
  <c r="V413" i="4" s="1"/>
  <c r="S414" i="4"/>
  <c r="T414" i="4" s="1" a="1"/>
  <c r="T414" i="4" s="1"/>
  <c r="V414" i="4" s="1" a="1"/>
  <c r="V414" i="4" s="1"/>
  <c r="S415" i="4"/>
  <c r="T415" i="4" s="1" a="1"/>
  <c r="T415" i="4" s="1"/>
  <c r="V415" i="4" s="1" a="1"/>
  <c r="V415" i="4" s="1"/>
  <c r="S416" i="4"/>
  <c r="T416" i="4" s="1" a="1"/>
  <c r="T416" i="4" s="1"/>
  <c r="V416" i="4" s="1" a="1"/>
  <c r="V416" i="4" s="1"/>
  <c r="S417" i="4"/>
  <c r="T417" i="4" s="1" a="1"/>
  <c r="T417" i="4" s="1"/>
  <c r="V417" i="4" s="1" a="1"/>
  <c r="V417" i="4" s="1"/>
  <c r="S418" i="4"/>
  <c r="T418" i="4" s="1" a="1"/>
  <c r="T418" i="4" s="1"/>
  <c r="V418" i="4" s="1" a="1"/>
  <c r="V418" i="4" s="1"/>
  <c r="S419" i="4"/>
  <c r="T419" i="4" s="1" a="1"/>
  <c r="T419" i="4" s="1"/>
  <c r="V419" i="4" s="1" a="1"/>
  <c r="V419" i="4" s="1"/>
  <c r="S420" i="4"/>
  <c r="T420" i="4" s="1" a="1"/>
  <c r="T420" i="4" s="1"/>
  <c r="V420" i="4" s="1" a="1"/>
  <c r="V420" i="4" s="1"/>
  <c r="S421" i="4"/>
  <c r="T421" i="4" s="1" a="1"/>
  <c r="T421" i="4" s="1"/>
  <c r="V421" i="4" s="1" a="1"/>
  <c r="V421" i="4" s="1"/>
  <c r="S422" i="4"/>
  <c r="T422" i="4" s="1" a="1"/>
  <c r="T422" i="4" s="1"/>
  <c r="V422" i="4" s="1" a="1"/>
  <c r="V422" i="4" s="1"/>
  <c r="S423" i="4"/>
  <c r="T423" i="4" s="1" a="1"/>
  <c r="T423" i="4" s="1"/>
  <c r="V423" i="4" s="1" a="1"/>
  <c r="V423" i="4" s="1"/>
  <c r="S424" i="4"/>
  <c r="T424" i="4" s="1" a="1"/>
  <c r="T424" i="4" s="1"/>
  <c r="V424" i="4" s="1" a="1"/>
  <c r="V424" i="4" s="1"/>
  <c r="S425" i="4"/>
  <c r="T425" i="4" s="1" a="1"/>
  <c r="T425" i="4" s="1"/>
  <c r="V425" i="4" s="1" a="1"/>
  <c r="V425" i="4" s="1"/>
  <c r="S426" i="4"/>
  <c r="T426" i="4" s="1" a="1"/>
  <c r="T426" i="4" s="1"/>
  <c r="V426" i="4" s="1" a="1"/>
  <c r="V426" i="4" s="1"/>
  <c r="S427" i="4"/>
  <c r="T427" i="4" s="1" a="1"/>
  <c r="T427" i="4" s="1"/>
  <c r="V427" i="4" s="1" a="1"/>
  <c r="V427" i="4" s="1"/>
  <c r="S428" i="4"/>
  <c r="T428" i="4" s="1" a="1"/>
  <c r="T428" i="4" s="1"/>
  <c r="V428" i="4" s="1" a="1"/>
  <c r="V428" i="4" s="1"/>
  <c r="S429" i="4"/>
  <c r="T429" i="4" s="1" a="1"/>
  <c r="T429" i="4" s="1"/>
  <c r="V429" i="4" s="1" a="1"/>
  <c r="V429" i="4" s="1"/>
  <c r="S430" i="4"/>
  <c r="T430" i="4" s="1" a="1"/>
  <c r="T430" i="4" s="1"/>
  <c r="V430" i="4" s="1" a="1"/>
  <c r="V430" i="4" s="1"/>
  <c r="S431" i="4"/>
  <c r="T431" i="4" s="1" a="1"/>
  <c r="T431" i="4" s="1"/>
  <c r="V431" i="4" s="1" a="1"/>
  <c r="V431" i="4" s="1"/>
  <c r="S432" i="4"/>
  <c r="T432" i="4" s="1" a="1"/>
  <c r="T432" i="4" s="1"/>
  <c r="V432" i="4" s="1" a="1"/>
  <c r="V432" i="4" s="1"/>
  <c r="S433" i="4"/>
  <c r="T433" i="4" s="1" a="1"/>
  <c r="T433" i="4" s="1"/>
  <c r="V433" i="4" s="1" a="1"/>
  <c r="V433" i="4" s="1"/>
  <c r="S434" i="4"/>
  <c r="T434" i="4" s="1" a="1"/>
  <c r="T434" i="4" s="1"/>
  <c r="V434" i="4" s="1" a="1"/>
  <c r="V434" i="4" s="1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C152" i="4"/>
  <c r="D152" i="4" s="1"/>
  <c r="C153" i="4"/>
  <c r="D153" i="4" s="1"/>
  <c r="C154" i="4"/>
  <c r="D154" i="4" s="1"/>
  <c r="C155" i="4"/>
  <c r="C156" i="4"/>
  <c r="D156" i="4" s="1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A152" i="8"/>
  <c r="B152" i="8" s="1"/>
  <c r="C152" i="8" s="1"/>
  <c r="F152" i="8" s="1"/>
  <c r="A153" i="8"/>
  <c r="B153" i="8" s="1"/>
  <c r="D153" i="8" s="1"/>
  <c r="G153" i="8" s="1"/>
  <c r="A154" i="8"/>
  <c r="B154" i="8" s="1"/>
  <c r="A155" i="8"/>
  <c r="B155" i="8" s="1"/>
  <c r="A156" i="8"/>
  <c r="B156" i="8" s="1"/>
  <c r="A157" i="8"/>
  <c r="B157" i="8" s="1"/>
  <c r="A158" i="8"/>
  <c r="B158" i="8" s="1"/>
  <c r="A159" i="8"/>
  <c r="B159" i="8" s="1"/>
  <c r="D159" i="8" s="1"/>
  <c r="G159" i="8" s="1"/>
  <c r="A160" i="8"/>
  <c r="B160" i="8" s="1"/>
  <c r="A161" i="8"/>
  <c r="B161" i="8" s="1"/>
  <c r="C161" i="8" s="1"/>
  <c r="F161" i="8" s="1"/>
  <c r="A162" i="8"/>
  <c r="B162" i="8" s="1"/>
  <c r="A163" i="8"/>
  <c r="B163" i="8" s="1"/>
  <c r="A164" i="8"/>
  <c r="B164" i="8" s="1"/>
  <c r="C164" i="8" s="1"/>
  <c r="F164" i="8" s="1"/>
  <c r="A165" i="8"/>
  <c r="B165" i="8" s="1"/>
  <c r="D165" i="8" s="1"/>
  <c r="G165" i="8" s="1"/>
  <c r="A166" i="8"/>
  <c r="B166" i="8" s="1"/>
  <c r="E166" i="8" s="1"/>
  <c r="H166" i="8" s="1"/>
  <c r="A167" i="8"/>
  <c r="B167" i="8" s="1"/>
  <c r="A168" i="8"/>
  <c r="B168" i="8" s="1"/>
  <c r="A169" i="8"/>
  <c r="B169" i="8" s="1"/>
  <c r="D169" i="8" s="1"/>
  <c r="G169" i="8" s="1"/>
  <c r="A170" i="8"/>
  <c r="B170" i="8" s="1"/>
  <c r="C170" i="8" s="1"/>
  <c r="F170" i="8" s="1"/>
  <c r="A171" i="8"/>
  <c r="B171" i="8" s="1"/>
  <c r="A172" i="8"/>
  <c r="B172" i="8" s="1"/>
  <c r="C172" i="8" s="1"/>
  <c r="F172" i="8" s="1"/>
  <c r="A173" i="8"/>
  <c r="B173" i="8" s="1"/>
  <c r="D173" i="8" s="1"/>
  <c r="G173" i="8" s="1"/>
  <c r="A174" i="8"/>
  <c r="B174" i="8" s="1"/>
  <c r="E174" i="8" s="1"/>
  <c r="H174" i="8" s="1"/>
  <c r="A175" i="8"/>
  <c r="B175" i="8" s="1"/>
  <c r="A176" i="8"/>
  <c r="B176" i="8"/>
  <c r="C176" i="8" s="1"/>
  <c r="F176" i="8" s="1"/>
  <c r="A177" i="8"/>
  <c r="B177" i="8" s="1"/>
  <c r="A178" i="8"/>
  <c r="B178" i="8" s="1"/>
  <c r="A179" i="8"/>
  <c r="B179" i="8"/>
  <c r="A180" i="8"/>
  <c r="B180" i="8" s="1"/>
  <c r="A181" i="8"/>
  <c r="B181" i="8" s="1"/>
  <c r="D181" i="8" s="1"/>
  <c r="G181" i="8" s="1"/>
  <c r="A182" i="8"/>
  <c r="B182" i="8" s="1"/>
  <c r="E182" i="8" s="1"/>
  <c r="H182" i="8" s="1"/>
  <c r="A183" i="8"/>
  <c r="B183" i="8" s="1"/>
  <c r="D183" i="8" s="1"/>
  <c r="G183" i="8" s="1"/>
  <c r="A184" i="8"/>
  <c r="B184" i="8" s="1"/>
  <c r="C184" i="8" s="1"/>
  <c r="F184" i="8" s="1"/>
  <c r="A185" i="8"/>
  <c r="B185" i="8" s="1"/>
  <c r="D185" i="8" s="1"/>
  <c r="G185" i="8" s="1"/>
  <c r="A186" i="8"/>
  <c r="B186" i="8" s="1"/>
  <c r="D186" i="8" s="1"/>
  <c r="G186" i="8" s="1"/>
  <c r="A187" i="8"/>
  <c r="B187" i="8" s="1"/>
  <c r="A188" i="8"/>
  <c r="B188" i="8" s="1"/>
  <c r="C188" i="8" s="1"/>
  <c r="F188" i="8" s="1"/>
  <c r="A189" i="8"/>
  <c r="B189" i="8" s="1"/>
  <c r="A190" i="8"/>
  <c r="B190" i="8" s="1"/>
  <c r="A191" i="8"/>
  <c r="B191" i="8" s="1"/>
  <c r="D191" i="8" s="1"/>
  <c r="G191" i="8" s="1"/>
  <c r="A192" i="8"/>
  <c r="B192" i="8" s="1"/>
  <c r="A193" i="8"/>
  <c r="B193" i="8" s="1"/>
  <c r="A194" i="8"/>
  <c r="B194" i="8" s="1"/>
  <c r="A195" i="8"/>
  <c r="B195" i="8" s="1"/>
  <c r="A196" i="8"/>
  <c r="B196" i="8" s="1"/>
  <c r="C196" i="8" s="1"/>
  <c r="F196" i="8" s="1"/>
  <c r="A197" i="8"/>
  <c r="B197" i="8" s="1"/>
  <c r="D197" i="8" s="1"/>
  <c r="G197" i="8" s="1"/>
  <c r="A198" i="8"/>
  <c r="B198" i="8" s="1"/>
  <c r="E198" i="8" s="1"/>
  <c r="H198" i="8" s="1"/>
  <c r="A199" i="8"/>
  <c r="B199" i="8" s="1"/>
  <c r="A200" i="8"/>
  <c r="B200" i="8" s="1"/>
  <c r="A201" i="8"/>
  <c r="B201" i="8" s="1"/>
  <c r="C201" i="8" s="1"/>
  <c r="F201" i="8" s="1"/>
  <c r="A202" i="8"/>
  <c r="B202" i="8" s="1"/>
  <c r="A203" i="8"/>
  <c r="B203" i="8" s="1"/>
  <c r="A204" i="8"/>
  <c r="B204" i="8" s="1"/>
  <c r="C204" i="8" s="1"/>
  <c r="F204" i="8" s="1"/>
  <c r="A205" i="8"/>
  <c r="B205" i="8" s="1"/>
  <c r="D205" i="8" s="1"/>
  <c r="G205" i="8" s="1"/>
  <c r="A206" i="8"/>
  <c r="B206" i="8" s="1"/>
  <c r="E206" i="8" s="1"/>
  <c r="H206" i="8" s="1"/>
  <c r="A207" i="8"/>
  <c r="B207" i="8" s="1"/>
  <c r="D207" i="8" s="1"/>
  <c r="G207" i="8" s="1"/>
  <c r="A208" i="8"/>
  <c r="B208" i="8" s="1"/>
  <c r="A209" i="8"/>
  <c r="B209" i="8" s="1"/>
  <c r="A210" i="8"/>
  <c r="B210" i="8" s="1"/>
  <c r="A211" i="8"/>
  <c r="B211" i="8" s="1"/>
  <c r="C211" i="8" s="1"/>
  <c r="F211" i="8" s="1"/>
  <c r="A212" i="8"/>
  <c r="B212" i="8" s="1"/>
  <c r="D212" i="8" s="1"/>
  <c r="G212" i="8" s="1"/>
  <c r="A213" i="8"/>
  <c r="B213" i="8" s="1"/>
  <c r="A214" i="8"/>
  <c r="B214" i="8" s="1"/>
  <c r="A215" i="8"/>
  <c r="B215" i="8" s="1"/>
  <c r="A216" i="8"/>
  <c r="B216" i="8" s="1"/>
  <c r="D216" i="8" s="1"/>
  <c r="G216" i="8" s="1"/>
  <c r="A217" i="8"/>
  <c r="B217" i="8" s="1"/>
  <c r="A218" i="8"/>
  <c r="B218" i="8" s="1"/>
  <c r="A219" i="8"/>
  <c r="B219" i="8" s="1"/>
  <c r="A220" i="8"/>
  <c r="B220" i="8" s="1"/>
  <c r="D220" i="8" s="1"/>
  <c r="G220" i="8" s="1"/>
  <c r="A221" i="8"/>
  <c r="B221" i="8" s="1"/>
  <c r="A222" i="8"/>
  <c r="B222" i="8" s="1"/>
  <c r="A223" i="8"/>
  <c r="B223" i="8" s="1"/>
  <c r="A224" i="8"/>
  <c r="B224" i="8" s="1"/>
  <c r="D224" i="8" s="1"/>
  <c r="G224" i="8" s="1"/>
  <c r="A225" i="8"/>
  <c r="B225" i="8" s="1"/>
  <c r="A226" i="8"/>
  <c r="B226" i="8" s="1"/>
  <c r="A227" i="8"/>
  <c r="B227" i="8" s="1"/>
  <c r="C227" i="8" s="1"/>
  <c r="F227" i="8" s="1"/>
  <c r="A228" i="8"/>
  <c r="B228" i="8" s="1"/>
  <c r="D228" i="8" s="1"/>
  <c r="G228" i="8" s="1"/>
  <c r="A229" i="8"/>
  <c r="B229" i="8" s="1"/>
  <c r="A230" i="8"/>
  <c r="B230" i="8" s="1"/>
  <c r="A231" i="8"/>
  <c r="B231" i="8" s="1"/>
  <c r="A232" i="8"/>
  <c r="B232" i="8" s="1"/>
  <c r="D232" i="8" s="1"/>
  <c r="G232" i="8" s="1"/>
  <c r="A233" i="8"/>
  <c r="B233" i="8" s="1"/>
  <c r="A234" i="8"/>
  <c r="B234" i="8" s="1"/>
  <c r="A235" i="8"/>
  <c r="B235" i="8" s="1"/>
  <c r="A236" i="8"/>
  <c r="B236" i="8" s="1"/>
  <c r="D236" i="8" s="1"/>
  <c r="G236" i="8" s="1"/>
  <c r="A237" i="8"/>
  <c r="B237" i="8" s="1"/>
  <c r="A238" i="8"/>
  <c r="B238" i="8" s="1"/>
  <c r="A239" i="8"/>
  <c r="B239" i="8" s="1"/>
  <c r="A240" i="8"/>
  <c r="B240" i="8" s="1"/>
  <c r="D240" i="8" s="1"/>
  <c r="G240" i="8" s="1"/>
  <c r="A241" i="8"/>
  <c r="B241" i="8" s="1"/>
  <c r="A242" i="8"/>
  <c r="B242" i="8" s="1"/>
  <c r="A243" i="8"/>
  <c r="B243" i="8" s="1"/>
  <c r="C243" i="8" s="1"/>
  <c r="F243" i="8" s="1"/>
  <c r="A244" i="8"/>
  <c r="B244" i="8" s="1"/>
  <c r="D244" i="8" s="1"/>
  <c r="G244" i="8" s="1"/>
  <c r="A245" i="8"/>
  <c r="B245" i="8" s="1"/>
  <c r="A246" i="8"/>
  <c r="B246" i="8" s="1"/>
  <c r="A247" i="8"/>
  <c r="B247" i="8" s="1"/>
  <c r="C247" i="8" s="1"/>
  <c r="F247" i="8" s="1"/>
  <c r="A248" i="8"/>
  <c r="B248" i="8" s="1"/>
  <c r="A249" i="8"/>
  <c r="B249" i="8" s="1"/>
  <c r="E249" i="8" s="1"/>
  <c r="H249" i="8" s="1"/>
  <c r="A250" i="8"/>
  <c r="B250" i="8" s="1"/>
  <c r="C250" i="8" s="1"/>
  <c r="F250" i="8" s="1"/>
  <c r="A251" i="8"/>
  <c r="B251" i="8" s="1"/>
  <c r="A252" i="8"/>
  <c r="B252" i="8" s="1"/>
  <c r="D252" i="8" s="1"/>
  <c r="G252" i="8" s="1"/>
  <c r="A253" i="8"/>
  <c r="B253" i="8" s="1"/>
  <c r="A254" i="8"/>
  <c r="B254" i="8" s="1"/>
  <c r="A255" i="8"/>
  <c r="B255" i="8" s="1"/>
  <c r="C255" i="8" s="1"/>
  <c r="F255" i="8" s="1"/>
  <c r="A256" i="8"/>
  <c r="B256" i="8" s="1"/>
  <c r="A257" i="8"/>
  <c r="B257" i="8" s="1"/>
  <c r="E257" i="8" s="1"/>
  <c r="H257" i="8" s="1"/>
  <c r="A258" i="8"/>
  <c r="B258" i="8" s="1"/>
  <c r="E258" i="8" s="1"/>
  <c r="H258" i="8" s="1"/>
  <c r="A259" i="8"/>
  <c r="B259" i="8" s="1"/>
  <c r="A260" i="8"/>
  <c r="B260" i="8" s="1"/>
  <c r="C260" i="8" s="1"/>
  <c r="F260" i="8" s="1"/>
  <c r="A261" i="8"/>
  <c r="B261" i="8" s="1"/>
  <c r="A262" i="8"/>
  <c r="B262" i="8" s="1"/>
  <c r="A263" i="8"/>
  <c r="B263" i="8" s="1"/>
  <c r="A264" i="8"/>
  <c r="B264" i="8" s="1"/>
  <c r="A265" i="8"/>
  <c r="B265" i="8" s="1"/>
  <c r="E265" i="8" s="1"/>
  <c r="H265" i="8" s="1"/>
  <c r="A266" i="8"/>
  <c r="B266" i="8" s="1"/>
  <c r="A267" i="8"/>
  <c r="B267" i="8" s="1"/>
  <c r="C267" i="8" s="1"/>
  <c r="F267" i="8" s="1"/>
  <c r="A268" i="8"/>
  <c r="B268" i="8" s="1"/>
  <c r="A269" i="8"/>
  <c r="B269" i="8" s="1"/>
  <c r="A270" i="8"/>
  <c r="B270" i="8" s="1"/>
  <c r="A271" i="8"/>
  <c r="B271" i="8" s="1"/>
  <c r="C271" i="8" s="1"/>
  <c r="F271" i="8" s="1"/>
  <c r="A272" i="8"/>
  <c r="B272" i="8" s="1"/>
  <c r="A273" i="8"/>
  <c r="B273" i="8" s="1"/>
  <c r="E273" i="8" s="1"/>
  <c r="H273" i="8" s="1"/>
  <c r="A274" i="8"/>
  <c r="B274" i="8" s="1"/>
  <c r="A275" i="8"/>
  <c r="B275" i="8" s="1"/>
  <c r="E275" i="8" s="1"/>
  <c r="H275" i="8" s="1"/>
  <c r="A276" i="8"/>
  <c r="B276" i="8" s="1"/>
  <c r="D276" i="8" s="1"/>
  <c r="G276" i="8" s="1"/>
  <c r="A277" i="8"/>
  <c r="B277" i="8" s="1"/>
  <c r="A278" i="8"/>
  <c r="B278" i="8" s="1"/>
  <c r="A279" i="8"/>
  <c r="B279" i="8" s="1"/>
  <c r="C279" i="8" s="1"/>
  <c r="F279" i="8" s="1"/>
  <c r="A280" i="8"/>
  <c r="B280" i="8" s="1"/>
  <c r="A281" i="8"/>
  <c r="B281" i="8" s="1"/>
  <c r="E281" i="8" s="1"/>
  <c r="H281" i="8" s="1"/>
  <c r="A282" i="8"/>
  <c r="B282" i="8" s="1"/>
  <c r="E282" i="8" s="1"/>
  <c r="H282" i="8" s="1"/>
  <c r="A283" i="8"/>
  <c r="B283" i="8" s="1"/>
  <c r="A284" i="8"/>
  <c r="B284" i="8" s="1"/>
  <c r="A285" i="8"/>
  <c r="B285" i="8" s="1"/>
  <c r="A286" i="8"/>
  <c r="B286" i="8" s="1"/>
  <c r="A287" i="8"/>
  <c r="B287" i="8" s="1"/>
  <c r="C287" i="8" s="1"/>
  <c r="F287" i="8" s="1"/>
  <c r="A288" i="8"/>
  <c r="B288" i="8" s="1"/>
  <c r="A289" i="8"/>
  <c r="B289" i="8" s="1"/>
  <c r="E289" i="8" s="1"/>
  <c r="H289" i="8" s="1"/>
  <c r="A290" i="8"/>
  <c r="B290" i="8" s="1"/>
  <c r="A291" i="8"/>
  <c r="B291" i="8" s="1"/>
  <c r="A292" i="8"/>
  <c r="B292" i="8" s="1"/>
  <c r="A293" i="8"/>
  <c r="B293" i="8" s="1"/>
  <c r="A294" i="8"/>
  <c r="B294" i="8" s="1"/>
  <c r="A295" i="8"/>
  <c r="B295" i="8" s="1"/>
  <c r="A296" i="8"/>
  <c r="B296" i="8" s="1"/>
  <c r="A297" i="8"/>
  <c r="B297" i="8" s="1"/>
  <c r="E297" i="8" s="1"/>
  <c r="H297" i="8" s="1"/>
  <c r="A298" i="8"/>
  <c r="B298" i="8" s="1"/>
  <c r="E298" i="8" s="1"/>
  <c r="H298" i="8" s="1"/>
  <c r="A299" i="8"/>
  <c r="B299" i="8" s="1"/>
  <c r="E299" i="8" s="1"/>
  <c r="H299" i="8" s="1"/>
  <c r="A300" i="8"/>
  <c r="B300" i="8" s="1"/>
  <c r="A301" i="8"/>
  <c r="B301" i="8" s="1"/>
  <c r="A302" i="8"/>
  <c r="B302" i="8" s="1"/>
  <c r="A303" i="8"/>
  <c r="B303" i="8" s="1"/>
  <c r="C303" i="8" s="1"/>
  <c r="F303" i="8" s="1"/>
  <c r="A304" i="8"/>
  <c r="B304" i="8" s="1"/>
  <c r="A305" i="8"/>
  <c r="B305" i="8" s="1"/>
  <c r="E305" i="8" s="1"/>
  <c r="H305" i="8" s="1"/>
  <c r="A306" i="8"/>
  <c r="B306" i="8" s="1"/>
  <c r="C306" i="8" s="1"/>
  <c r="F306" i="8" s="1"/>
  <c r="A307" i="8"/>
  <c r="B307" i="8" s="1"/>
  <c r="A308" i="8"/>
  <c r="B308" i="8" s="1"/>
  <c r="A309" i="8"/>
  <c r="B309" i="8" s="1"/>
  <c r="A310" i="8"/>
  <c r="B310" i="8" s="1"/>
  <c r="A311" i="8"/>
  <c r="B311" i="8" s="1"/>
  <c r="C311" i="8" s="1"/>
  <c r="F311" i="8" s="1"/>
  <c r="A312" i="8"/>
  <c r="B312" i="8" s="1"/>
  <c r="A313" i="8"/>
  <c r="B313" i="8" s="1"/>
  <c r="E313" i="8" s="1"/>
  <c r="H313" i="8" s="1"/>
  <c r="A314" i="8"/>
  <c r="B314" i="8" s="1"/>
  <c r="E314" i="8" s="1"/>
  <c r="H314" i="8" s="1"/>
  <c r="A315" i="8"/>
  <c r="B315" i="8" s="1"/>
  <c r="C315" i="8" s="1"/>
  <c r="F315" i="8" s="1"/>
  <c r="A316" i="8"/>
  <c r="B316" i="8" s="1"/>
  <c r="A317" i="8"/>
  <c r="B317" i="8" s="1"/>
  <c r="A318" i="8"/>
  <c r="B318" i="8" s="1"/>
  <c r="A319" i="8"/>
  <c r="B319" i="8" s="1"/>
  <c r="C319" i="8" s="1"/>
  <c r="F319" i="8" s="1"/>
  <c r="A320" i="8"/>
  <c r="B320" i="8" s="1"/>
  <c r="A321" i="8"/>
  <c r="B321" i="8" s="1"/>
  <c r="E321" i="8" s="1"/>
  <c r="H321" i="8" s="1"/>
  <c r="A322" i="8"/>
  <c r="B322" i="8" s="1"/>
  <c r="C322" i="8" s="1"/>
  <c r="F322" i="8" s="1"/>
  <c r="A323" i="8"/>
  <c r="B323" i="8" s="1"/>
  <c r="A324" i="8"/>
  <c r="B324" i="8" s="1"/>
  <c r="D324" i="8" s="1"/>
  <c r="G324" i="8" s="1"/>
  <c r="A325" i="8"/>
  <c r="B325" i="8" s="1"/>
  <c r="A326" i="8"/>
  <c r="B326" i="8" s="1"/>
  <c r="D326" i="8" s="1"/>
  <c r="G326" i="8" s="1"/>
  <c r="A327" i="8"/>
  <c r="B327" i="8" s="1"/>
  <c r="C327" i="8" s="1"/>
  <c r="F327" i="8" s="1"/>
  <c r="A328" i="8"/>
  <c r="B328" i="8" s="1"/>
  <c r="E328" i="8" s="1"/>
  <c r="H328" i="8" s="1"/>
  <c r="A329" i="8"/>
  <c r="B329" i="8" s="1"/>
  <c r="A330" i="8"/>
  <c r="B330" i="8" s="1"/>
  <c r="A331" i="8"/>
  <c r="B331" i="8" s="1"/>
  <c r="C331" i="8" s="1"/>
  <c r="F331" i="8" s="1"/>
  <c r="A332" i="8"/>
  <c r="B332" i="8" s="1"/>
  <c r="A333" i="8"/>
  <c r="B333" i="8" s="1"/>
  <c r="A334" i="8"/>
  <c r="B334" i="8" s="1"/>
  <c r="D334" i="8" s="1"/>
  <c r="G334" i="8" s="1"/>
  <c r="A335" i="8"/>
  <c r="B335" i="8" s="1"/>
  <c r="C335" i="8" s="1"/>
  <c r="F335" i="8" s="1"/>
  <c r="A336" i="8"/>
  <c r="B336" i="8" s="1"/>
  <c r="E336" i="8" s="1"/>
  <c r="H336" i="8" s="1"/>
  <c r="A337" i="8"/>
  <c r="B337" i="8" s="1"/>
  <c r="A338" i="8"/>
  <c r="B338" i="8" s="1"/>
  <c r="E338" i="8" s="1"/>
  <c r="H338" i="8" s="1"/>
  <c r="A339" i="8"/>
  <c r="B339" i="8" s="1"/>
  <c r="A340" i="8"/>
  <c r="B340" i="8" s="1"/>
  <c r="A341" i="8"/>
  <c r="B341" i="8" s="1"/>
  <c r="A342" i="8"/>
  <c r="B342" i="8" s="1"/>
  <c r="A343" i="8"/>
  <c r="B343" i="8" s="1"/>
  <c r="A344" i="8"/>
  <c r="B344" i="8" s="1"/>
  <c r="A345" i="8"/>
  <c r="B345" i="8" s="1"/>
  <c r="E345" i="8" s="1"/>
  <c r="H345" i="8" s="1"/>
  <c r="A346" i="8"/>
  <c r="B346" i="8" s="1"/>
  <c r="A347" i="8"/>
  <c r="B347" i="8" s="1"/>
  <c r="E347" i="8" s="1"/>
  <c r="H347" i="8" s="1"/>
  <c r="A348" i="8"/>
  <c r="B348" i="8" s="1"/>
  <c r="A349" i="8"/>
  <c r="B349" i="8" s="1"/>
  <c r="C349" i="8" s="1"/>
  <c r="F349" i="8" s="1"/>
  <c r="A350" i="8"/>
  <c r="B350" i="8" s="1"/>
  <c r="A351" i="8"/>
  <c r="B351" i="8" s="1"/>
  <c r="A352" i="8"/>
  <c r="B352" i="8" s="1"/>
  <c r="A353" i="8"/>
  <c r="B353" i="8" s="1"/>
  <c r="E353" i="8" s="1"/>
  <c r="H353" i="8" s="1"/>
  <c r="A354" i="8"/>
  <c r="B354" i="8" s="1"/>
  <c r="A355" i="8"/>
  <c r="B355" i="8" s="1"/>
  <c r="E355" i="8" s="1"/>
  <c r="H355" i="8" s="1"/>
  <c r="A356" i="8"/>
  <c r="B356" i="8" s="1"/>
  <c r="E356" i="8" s="1"/>
  <c r="H356" i="8" s="1"/>
  <c r="A357" i="8"/>
  <c r="B357" i="8" s="1"/>
  <c r="C357" i="8" s="1"/>
  <c r="F357" i="8" s="1"/>
  <c r="A358" i="8"/>
  <c r="B358" i="8" s="1"/>
  <c r="A359" i="8"/>
  <c r="B359" i="8" s="1"/>
  <c r="A360" i="8"/>
  <c r="B360" i="8" s="1"/>
  <c r="A361" i="8"/>
  <c r="B361" i="8" s="1"/>
  <c r="E361" i="8" s="1"/>
  <c r="H361" i="8" s="1"/>
  <c r="A362" i="8"/>
  <c r="B362" i="8" s="1"/>
  <c r="A363" i="8"/>
  <c r="B363" i="8" s="1"/>
  <c r="E363" i="8" s="1"/>
  <c r="H363" i="8" s="1"/>
  <c r="A364" i="8"/>
  <c r="B364" i="8" s="1"/>
  <c r="E364" i="8" s="1"/>
  <c r="H364" i="8" s="1"/>
  <c r="A365" i="8"/>
  <c r="B365" i="8" s="1"/>
  <c r="C365" i="8" s="1"/>
  <c r="F365" i="8" s="1"/>
  <c r="A366" i="8"/>
  <c r="B366" i="8" s="1"/>
  <c r="A367" i="8"/>
  <c r="B367" i="8" s="1"/>
  <c r="A368" i="8"/>
  <c r="B368" i="8" s="1"/>
  <c r="A369" i="8"/>
  <c r="B369" i="8" s="1"/>
  <c r="E369" i="8" s="1"/>
  <c r="H369" i="8" s="1"/>
  <c r="A370" i="8"/>
  <c r="B370" i="8" s="1"/>
  <c r="A371" i="8"/>
  <c r="B371" i="8" s="1"/>
  <c r="E371" i="8" s="1"/>
  <c r="H371" i="8" s="1"/>
  <c r="A372" i="8"/>
  <c r="B372" i="8" s="1"/>
  <c r="E372" i="8" s="1"/>
  <c r="H372" i="8" s="1"/>
  <c r="A373" i="8"/>
  <c r="B373" i="8" s="1"/>
  <c r="A374" i="8"/>
  <c r="B374" i="8" s="1"/>
  <c r="A375" i="8"/>
  <c r="B375" i="8" s="1"/>
  <c r="A376" i="8"/>
  <c r="B376" i="8" s="1"/>
  <c r="A377" i="8"/>
  <c r="B377" i="8" s="1"/>
  <c r="E377" i="8" s="1"/>
  <c r="H377" i="8" s="1"/>
  <c r="A378" i="8"/>
  <c r="B378" i="8" s="1"/>
  <c r="A379" i="8"/>
  <c r="B379" i="8" s="1"/>
  <c r="E379" i="8" s="1"/>
  <c r="H379" i="8" s="1"/>
  <c r="A380" i="8"/>
  <c r="B380" i="8" s="1"/>
  <c r="E380" i="8" s="1"/>
  <c r="H380" i="8" s="1"/>
  <c r="A381" i="8"/>
  <c r="B381" i="8" s="1"/>
  <c r="C381" i="8" s="1"/>
  <c r="F381" i="8" s="1"/>
  <c r="A382" i="8"/>
  <c r="B382" i="8" s="1"/>
  <c r="A383" i="8"/>
  <c r="B383" i="8" s="1"/>
  <c r="A384" i="8"/>
  <c r="B384" i="8" s="1"/>
  <c r="A385" i="8"/>
  <c r="B385" i="8" s="1"/>
  <c r="E385" i="8" s="1"/>
  <c r="H385" i="8" s="1"/>
  <c r="A386" i="8"/>
  <c r="B386" i="8" s="1"/>
  <c r="A387" i="8"/>
  <c r="B387" i="8" s="1"/>
  <c r="E387" i="8" s="1"/>
  <c r="H387" i="8" s="1"/>
  <c r="A388" i="8"/>
  <c r="B388" i="8" s="1"/>
  <c r="E388" i="8" s="1"/>
  <c r="H388" i="8" s="1"/>
  <c r="A389" i="8"/>
  <c r="B389" i="8" s="1"/>
  <c r="C389" i="8" s="1"/>
  <c r="F389" i="8" s="1"/>
  <c r="A390" i="8"/>
  <c r="B390" i="8" s="1"/>
  <c r="A391" i="8"/>
  <c r="B391" i="8" s="1"/>
  <c r="A392" i="8"/>
  <c r="B392" i="8" s="1"/>
  <c r="A393" i="8"/>
  <c r="B393" i="8" s="1"/>
  <c r="A394" i="8"/>
  <c r="B394" i="8" s="1"/>
  <c r="A395" i="8"/>
  <c r="B395" i="8" s="1"/>
  <c r="C395" i="8" s="1"/>
  <c r="F395" i="8" s="1"/>
  <c r="A396" i="8"/>
  <c r="B396" i="8" s="1"/>
  <c r="A397" i="8"/>
  <c r="B397" i="8" s="1"/>
  <c r="A398" i="8"/>
  <c r="B398" i="8" s="1"/>
  <c r="A399" i="8"/>
  <c r="B399" i="8" s="1"/>
  <c r="C399" i="8" s="1"/>
  <c r="F399" i="8" s="1"/>
  <c r="A400" i="8"/>
  <c r="B400" i="8" s="1"/>
  <c r="E400" i="8" s="1"/>
  <c r="H400" i="8" s="1"/>
  <c r="A401" i="8"/>
  <c r="B401" i="8" s="1"/>
  <c r="A402" i="8"/>
  <c r="B402" i="8" s="1"/>
  <c r="A403" i="8"/>
  <c r="B403" i="8" s="1"/>
  <c r="D403" i="8" s="1"/>
  <c r="G403" i="8" s="1"/>
  <c r="A404" i="8"/>
  <c r="B404" i="8" s="1"/>
  <c r="E404" i="8" s="1"/>
  <c r="H404" i="8" s="1"/>
  <c r="A405" i="8"/>
  <c r="B405" i="8" s="1"/>
  <c r="E405" i="8" s="1"/>
  <c r="H405" i="8" s="1"/>
  <c r="A406" i="8"/>
  <c r="B406" i="8" s="1"/>
  <c r="A407" i="8"/>
  <c r="B407" i="8" s="1"/>
  <c r="A408" i="8"/>
  <c r="B408" i="8" s="1"/>
  <c r="A409" i="8"/>
  <c r="B409" i="8" s="1"/>
  <c r="E409" i="8" s="1"/>
  <c r="H409" i="8" s="1"/>
  <c r="A410" i="8"/>
  <c r="B410" i="8" s="1"/>
  <c r="A411" i="8"/>
  <c r="B411" i="8" s="1"/>
  <c r="C411" i="8" s="1"/>
  <c r="F411" i="8" s="1"/>
  <c r="A412" i="8"/>
  <c r="B412" i="8" s="1"/>
  <c r="A413" i="8"/>
  <c r="B413" i="8" s="1"/>
  <c r="E413" i="8" s="1"/>
  <c r="H413" i="8" s="1"/>
  <c r="A414" i="8"/>
  <c r="B414" i="8" s="1"/>
  <c r="A415" i="8"/>
  <c r="B415" i="8" s="1"/>
  <c r="C415" i="8" s="1"/>
  <c r="F415" i="8" s="1"/>
  <c r="A416" i="8"/>
  <c r="B416" i="8" s="1"/>
  <c r="C416" i="8" s="1"/>
  <c r="F416" i="8" s="1"/>
  <c r="A417" i="8"/>
  <c r="B417" i="8" s="1"/>
  <c r="A418" i="8"/>
  <c r="B418" i="8" s="1"/>
  <c r="A419" i="8"/>
  <c r="B419" i="8" s="1"/>
  <c r="E419" i="8" s="1"/>
  <c r="H419" i="8" s="1"/>
  <c r="A420" i="8"/>
  <c r="B420" i="8" s="1"/>
  <c r="C420" i="8" s="1"/>
  <c r="F420" i="8" s="1"/>
  <c r="A421" i="8"/>
  <c r="B421" i="8" s="1"/>
  <c r="E421" i="8" s="1"/>
  <c r="H421" i="8" s="1"/>
  <c r="A422" i="8"/>
  <c r="B422" i="8" s="1"/>
  <c r="A423" i="8"/>
  <c r="B423" i="8" s="1"/>
  <c r="E423" i="8" s="1"/>
  <c r="H423" i="8" s="1"/>
  <c r="A424" i="8"/>
  <c r="B424" i="8" s="1"/>
  <c r="C424" i="8" s="1"/>
  <c r="F424" i="8" s="1"/>
  <c r="A425" i="8"/>
  <c r="B425" i="8" s="1"/>
  <c r="E425" i="8" s="1"/>
  <c r="H425" i="8" s="1"/>
  <c r="A426" i="8"/>
  <c r="B426" i="8" s="1"/>
  <c r="A427" i="8"/>
  <c r="B427" i="8" s="1"/>
  <c r="C427" i="8" s="1"/>
  <c r="F427" i="8" s="1"/>
  <c r="A428" i="8"/>
  <c r="B428" i="8" s="1"/>
  <c r="A429" i="8"/>
  <c r="B429" i="8" s="1"/>
  <c r="E429" i="8" s="1"/>
  <c r="H429" i="8" s="1"/>
  <c r="A430" i="8"/>
  <c r="B430" i="8" s="1"/>
  <c r="A431" i="8"/>
  <c r="B431" i="8" s="1"/>
  <c r="E431" i="8" s="1"/>
  <c r="H431" i="8" s="1"/>
  <c r="A432" i="8"/>
  <c r="B432" i="8" s="1"/>
  <c r="E432" i="8" s="1"/>
  <c r="H432" i="8" s="1"/>
  <c r="A433" i="8"/>
  <c r="B433" i="8" s="1"/>
  <c r="A434" i="8"/>
  <c r="B434" i="8" s="1"/>
  <c r="A435" i="8"/>
  <c r="B435" i="8" s="1"/>
  <c r="E435" i="8" s="1"/>
  <c r="H435" i="8" s="1"/>
  <c r="A436" i="8"/>
  <c r="B436" i="8" s="1"/>
  <c r="E436" i="8" s="1"/>
  <c r="H436" i="8" s="1"/>
  <c r="A437" i="8"/>
  <c r="B437" i="8" s="1"/>
  <c r="E437" i="8" s="1"/>
  <c r="H437" i="8" s="1"/>
  <c r="A438" i="8"/>
  <c r="B438" i="8" s="1"/>
  <c r="A439" i="8"/>
  <c r="B439" i="8" s="1"/>
  <c r="E439" i="8" s="1"/>
  <c r="H439" i="8" s="1"/>
  <c r="A440" i="8"/>
  <c r="B440" i="8" s="1"/>
  <c r="E440" i="8" s="1"/>
  <c r="H440" i="8" s="1"/>
  <c r="A441" i="8"/>
  <c r="B441" i="8" s="1"/>
  <c r="E441" i="8" s="1"/>
  <c r="H441" i="8" s="1"/>
  <c r="A442" i="8"/>
  <c r="B442" i="8" s="1"/>
  <c r="A443" i="8"/>
  <c r="B443" i="8" s="1"/>
  <c r="A444" i="8"/>
  <c r="B444" i="8" s="1"/>
  <c r="E444" i="8" s="1"/>
  <c r="H444" i="8" s="1"/>
  <c r="A445" i="8"/>
  <c r="B445" i="8" s="1"/>
  <c r="E445" i="8" s="1"/>
  <c r="H445" i="8" s="1"/>
  <c r="A446" i="8"/>
  <c r="B446" i="8" s="1"/>
  <c r="A447" i="8"/>
  <c r="B447" i="8" s="1"/>
  <c r="A448" i="8"/>
  <c r="B448" i="8" s="1"/>
  <c r="A449" i="8"/>
  <c r="B449" i="8" s="1"/>
  <c r="A450" i="8"/>
  <c r="B450" i="8" s="1"/>
  <c r="A451" i="8"/>
  <c r="B451" i="8" s="1"/>
  <c r="C451" i="8" s="1"/>
  <c r="F451" i="8" s="1"/>
  <c r="A452" i="8"/>
  <c r="B452" i="8"/>
  <c r="A453" i="8"/>
  <c r="B453" i="8" s="1"/>
  <c r="E453" i="8" s="1"/>
  <c r="H453" i="8" s="1"/>
  <c r="A454" i="8"/>
  <c r="B454" i="8" s="1"/>
  <c r="A455" i="8"/>
  <c r="B455" i="8" s="1"/>
  <c r="C455" i="8" s="1"/>
  <c r="F455" i="8" s="1"/>
  <c r="A456" i="8"/>
  <c r="B456" i="8" s="1"/>
  <c r="A457" i="8"/>
  <c r="B457" i="8" s="1"/>
  <c r="E457" i="8" s="1"/>
  <c r="H457" i="8" s="1"/>
  <c r="A458" i="8"/>
  <c r="B458" i="8" s="1"/>
  <c r="A459" i="8"/>
  <c r="B459" i="8" s="1"/>
  <c r="C459" i="8" s="1"/>
  <c r="F459" i="8" s="1"/>
  <c r="A460" i="8"/>
  <c r="B460" i="8" s="1"/>
  <c r="A461" i="8"/>
  <c r="B461" i="8" s="1"/>
  <c r="E461" i="8" s="1"/>
  <c r="H461" i="8" s="1"/>
  <c r="A462" i="8"/>
  <c r="B462" i="8" s="1"/>
  <c r="A463" i="8"/>
  <c r="B463" i="8" s="1"/>
  <c r="A464" i="8"/>
  <c r="B464" i="8" s="1"/>
  <c r="C464" i="8" s="1"/>
  <c r="F464" i="8" s="1"/>
  <c r="A465" i="8"/>
  <c r="B465" i="8" s="1"/>
  <c r="A466" i="8"/>
  <c r="B466" i="8" s="1"/>
  <c r="A467" i="8"/>
  <c r="B467" i="8" s="1"/>
  <c r="E467" i="8" s="1"/>
  <c r="H467" i="8" s="1"/>
  <c r="A468" i="8"/>
  <c r="B468" i="8" s="1"/>
  <c r="C468" i="8" s="1"/>
  <c r="F468" i="8" s="1"/>
  <c r="A469" i="8"/>
  <c r="B469" i="8" s="1"/>
  <c r="E469" i="8" s="1"/>
  <c r="H469" i="8" s="1"/>
  <c r="A470" i="8"/>
  <c r="B470" i="8" s="1"/>
  <c r="A471" i="8"/>
  <c r="B471" i="8" s="1"/>
  <c r="E471" i="8" s="1"/>
  <c r="H471" i="8" s="1"/>
  <c r="A472" i="8"/>
  <c r="B472" i="8" s="1"/>
  <c r="C472" i="8" s="1"/>
  <c r="F472" i="8" s="1"/>
  <c r="A473" i="8"/>
  <c r="B473" i="8" s="1"/>
  <c r="E473" i="8" s="1"/>
  <c r="H473" i="8" s="1"/>
  <c r="A474" i="8"/>
  <c r="B474" i="8" s="1"/>
  <c r="A475" i="8"/>
  <c r="B475" i="8" s="1"/>
  <c r="E475" i="8" s="1"/>
  <c r="H475" i="8" s="1"/>
  <c r="A476" i="8"/>
  <c r="B476" i="8" s="1"/>
  <c r="C476" i="8" s="1"/>
  <c r="F476" i="8" s="1"/>
  <c r="A477" i="8"/>
  <c r="B477" i="8" s="1"/>
  <c r="E477" i="8" s="1"/>
  <c r="H477" i="8" s="1"/>
  <c r="A478" i="8"/>
  <c r="B478" i="8" s="1"/>
  <c r="A479" i="8"/>
  <c r="B479" i="8" s="1"/>
  <c r="E479" i="8" s="1"/>
  <c r="H479" i="8" s="1"/>
  <c r="A480" i="8"/>
  <c r="B480" i="8" s="1"/>
  <c r="A481" i="8"/>
  <c r="B481" i="8" s="1"/>
  <c r="A482" i="8"/>
  <c r="B482" i="8" s="1"/>
  <c r="A483" i="8"/>
  <c r="B483" i="8" s="1"/>
  <c r="E483" i="8" s="1"/>
  <c r="H483" i="8" s="1"/>
  <c r="A484" i="8"/>
  <c r="B484" i="8" s="1"/>
  <c r="A485" i="8"/>
  <c r="B485" i="8" s="1"/>
  <c r="E485" i="8" s="1"/>
  <c r="H485" i="8" s="1"/>
  <c r="A486" i="8"/>
  <c r="B486" i="8" s="1"/>
  <c r="A487" i="8"/>
  <c r="B487" i="8" s="1"/>
  <c r="E487" i="8" s="1"/>
  <c r="H487" i="8" s="1"/>
  <c r="A488" i="8"/>
  <c r="B488" i="8" s="1"/>
  <c r="E488" i="8" s="1"/>
  <c r="H488" i="8" s="1"/>
  <c r="A489" i="8"/>
  <c r="B489" i="8" s="1"/>
  <c r="E489" i="8" s="1"/>
  <c r="H489" i="8" s="1"/>
  <c r="A490" i="8"/>
  <c r="B490" i="8" s="1"/>
  <c r="A491" i="8"/>
  <c r="B491" i="8" s="1"/>
  <c r="E491" i="8" s="1"/>
  <c r="H491" i="8" s="1"/>
  <c r="A492" i="8"/>
  <c r="B492" i="8" s="1"/>
  <c r="E492" i="8" s="1"/>
  <c r="H492" i="8" s="1"/>
  <c r="A493" i="8"/>
  <c r="B493" i="8" s="1"/>
  <c r="E493" i="8" s="1"/>
  <c r="H493" i="8" s="1"/>
  <c r="A494" i="8"/>
  <c r="B494" i="8" s="1"/>
  <c r="A495" i="8"/>
  <c r="B495" i="8" s="1"/>
  <c r="A496" i="8"/>
  <c r="B496" i="8" s="1"/>
  <c r="A497" i="8"/>
  <c r="B497" i="8" s="1"/>
  <c r="A498" i="8"/>
  <c r="B498" i="8" s="1"/>
  <c r="A499" i="8"/>
  <c r="B499" i="8" s="1"/>
  <c r="E499" i="8" s="1"/>
  <c r="H499" i="8" s="1"/>
  <c r="A500" i="8"/>
  <c r="B500" i="8" s="1"/>
  <c r="E500" i="8" s="1"/>
  <c r="H500" i="8" s="1"/>
  <c r="A501" i="8"/>
  <c r="B501" i="8" s="1"/>
  <c r="E501" i="8" s="1"/>
  <c r="H501" i="8" s="1"/>
  <c r="A502" i="8"/>
  <c r="B502" i="8" s="1"/>
  <c r="A503" i="8"/>
  <c r="B503" i="8" s="1"/>
  <c r="E503" i="8" s="1"/>
  <c r="H503" i="8" s="1"/>
  <c r="A504" i="8"/>
  <c r="B504" i="8" s="1"/>
  <c r="A505" i="8"/>
  <c r="B505" i="8" s="1"/>
  <c r="E505" i="8" s="1"/>
  <c r="H505" i="8" s="1"/>
  <c r="A506" i="8"/>
  <c r="B506" i="8" s="1"/>
  <c r="A507" i="8"/>
  <c r="B507" i="8" s="1"/>
  <c r="A508" i="8"/>
  <c r="B508" i="8" s="1"/>
  <c r="E508" i="8" s="1"/>
  <c r="H508" i="8" s="1"/>
  <c r="A509" i="8"/>
  <c r="B509" i="8" s="1"/>
  <c r="E509" i="8" s="1"/>
  <c r="H509" i="8" s="1"/>
  <c r="A510" i="8"/>
  <c r="B510" i="8" s="1"/>
  <c r="A511" i="8"/>
  <c r="B511" i="8" s="1"/>
  <c r="E511" i="8" s="1"/>
  <c r="H511" i="8" s="1"/>
  <c r="A512" i="8"/>
  <c r="B512" i="8" s="1"/>
  <c r="E512" i="8" s="1"/>
  <c r="H512" i="8" s="1"/>
  <c r="A513" i="8"/>
  <c r="B513" i="8" s="1"/>
  <c r="D513" i="8" s="1"/>
  <c r="G513" i="8" s="1"/>
  <c r="A514" i="8"/>
  <c r="B514" i="8" s="1"/>
  <c r="E514" i="8" s="1"/>
  <c r="H514" i="8" s="1"/>
  <c r="A515" i="8"/>
  <c r="B515" i="8" s="1"/>
  <c r="E515" i="8" s="1"/>
  <c r="H515" i="8" s="1"/>
  <c r="A516" i="8"/>
  <c r="B516" i="8" s="1"/>
  <c r="E516" i="8" s="1"/>
  <c r="H516" i="8" s="1"/>
  <c r="A517" i="8"/>
  <c r="B517" i="8" s="1"/>
  <c r="D517" i="8" s="1"/>
  <c r="G517" i="8" s="1"/>
  <c r="A518" i="8"/>
  <c r="B518" i="8" s="1"/>
  <c r="A519" i="8"/>
  <c r="B519" i="8" s="1"/>
  <c r="E519" i="8" s="1"/>
  <c r="H519" i="8" s="1"/>
  <c r="A520" i="8"/>
  <c r="B520" i="8" s="1"/>
  <c r="A521" i="8"/>
  <c r="B521" i="8" s="1"/>
  <c r="D521" i="8" s="1"/>
  <c r="G521" i="8" s="1"/>
  <c r="A522" i="8"/>
  <c r="B522" i="8" s="1"/>
  <c r="E522" i="8" s="1"/>
  <c r="H522" i="8" s="1"/>
  <c r="A523" i="8"/>
  <c r="B523" i="8" s="1"/>
  <c r="E523" i="8" s="1"/>
  <c r="H523" i="8" s="1"/>
  <c r="A524" i="8"/>
  <c r="B524" i="8" s="1"/>
  <c r="E524" i="8" s="1"/>
  <c r="H524" i="8" s="1"/>
  <c r="A525" i="8"/>
  <c r="B525" i="8" s="1"/>
  <c r="D525" i="8" s="1"/>
  <c r="G525" i="8" s="1"/>
  <c r="A526" i="8"/>
  <c r="B526" i="8" s="1"/>
  <c r="A527" i="8"/>
  <c r="B527" i="8" s="1"/>
  <c r="E527" i="8" s="1"/>
  <c r="H527" i="8" s="1"/>
  <c r="A528" i="8"/>
  <c r="B528" i="8" s="1"/>
  <c r="A529" i="8"/>
  <c r="B529" i="8" s="1"/>
  <c r="D529" i="8" s="1"/>
  <c r="G529" i="8" s="1"/>
  <c r="A530" i="8"/>
  <c r="B530" i="8" s="1"/>
  <c r="E530" i="8" s="1"/>
  <c r="H530" i="8" s="1"/>
  <c r="A531" i="8"/>
  <c r="B531" i="8" s="1"/>
  <c r="A532" i="8"/>
  <c r="B532" i="8" s="1"/>
  <c r="E532" i="8" s="1"/>
  <c r="H532" i="8" s="1"/>
  <c r="A533" i="8"/>
  <c r="B533" i="8" s="1"/>
  <c r="D533" i="8" s="1"/>
  <c r="G533" i="8" s="1"/>
  <c r="A534" i="8"/>
  <c r="B534" i="8" s="1"/>
  <c r="A535" i="8"/>
  <c r="B535" i="8" s="1"/>
  <c r="E535" i="8" s="1"/>
  <c r="H535" i="8" s="1"/>
  <c r="A536" i="8"/>
  <c r="B536" i="8" s="1"/>
  <c r="A537" i="8"/>
  <c r="B537" i="8" s="1"/>
  <c r="D537" i="8" s="1"/>
  <c r="G537" i="8" s="1"/>
  <c r="A538" i="8"/>
  <c r="B538" i="8" s="1"/>
  <c r="A539" i="8"/>
  <c r="B539" i="8" s="1"/>
  <c r="E539" i="8" s="1"/>
  <c r="H539" i="8" s="1"/>
  <c r="A540" i="8"/>
  <c r="B540" i="8" s="1"/>
  <c r="E540" i="8" s="1"/>
  <c r="H540" i="8" s="1"/>
  <c r="A541" i="8"/>
  <c r="B541" i="8" s="1"/>
  <c r="D541" i="8" s="1"/>
  <c r="G541" i="8" s="1"/>
  <c r="A542" i="8"/>
  <c r="B542" i="8" s="1"/>
  <c r="A543" i="8"/>
  <c r="B543" i="8" s="1"/>
  <c r="E543" i="8" s="1"/>
  <c r="H543" i="8" s="1"/>
  <c r="A544" i="8"/>
  <c r="B544" i="8" s="1"/>
  <c r="A545" i="8"/>
  <c r="B545" i="8" s="1"/>
  <c r="D545" i="8" s="1"/>
  <c r="G545" i="8" s="1"/>
  <c r="A546" i="8"/>
  <c r="B546" i="8" s="1"/>
  <c r="A547" i="8"/>
  <c r="B547" i="8" s="1"/>
  <c r="E547" i="8" s="1"/>
  <c r="H547" i="8" s="1"/>
  <c r="A548" i="8"/>
  <c r="B548" i="8" s="1"/>
  <c r="E548" i="8" s="1"/>
  <c r="H548" i="8" s="1"/>
  <c r="A549" i="8"/>
  <c r="B549" i="8" s="1"/>
  <c r="D549" i="8" s="1"/>
  <c r="G549" i="8" s="1"/>
  <c r="A550" i="8"/>
  <c r="B550" i="8" s="1"/>
  <c r="A551" i="8"/>
  <c r="B551" i="8" s="1"/>
  <c r="E551" i="8" s="1"/>
  <c r="H551" i="8" s="1"/>
  <c r="A552" i="8"/>
  <c r="B552" i="8" s="1"/>
  <c r="A553" i="8"/>
  <c r="B553" i="8" s="1"/>
  <c r="D553" i="8" s="1"/>
  <c r="G553" i="8" s="1"/>
  <c r="A554" i="8"/>
  <c r="B554" i="8" s="1"/>
  <c r="E554" i="8" s="1"/>
  <c r="H554" i="8" s="1"/>
  <c r="A555" i="8"/>
  <c r="B555" i="8" s="1"/>
  <c r="E555" i="8" s="1"/>
  <c r="H555" i="8" s="1"/>
  <c r="A556" i="8"/>
  <c r="B556" i="8" s="1"/>
  <c r="E556" i="8" s="1"/>
  <c r="H556" i="8" s="1"/>
  <c r="A557" i="8"/>
  <c r="B557" i="8" s="1"/>
  <c r="A558" i="8"/>
  <c r="B558" i="8" s="1"/>
  <c r="A559" i="8"/>
  <c r="B559" i="8" s="1"/>
  <c r="E559" i="8" s="1"/>
  <c r="H559" i="8" s="1"/>
  <c r="A560" i="8"/>
  <c r="B560" i="8" s="1"/>
  <c r="A561" i="8"/>
  <c r="B561" i="8" s="1"/>
  <c r="D561" i="8" s="1"/>
  <c r="G561" i="8" s="1"/>
  <c r="A562" i="8"/>
  <c r="B562" i="8" s="1"/>
  <c r="E562" i="8" s="1"/>
  <c r="H562" i="8" s="1"/>
  <c r="A563" i="8"/>
  <c r="B563" i="8" s="1"/>
  <c r="E563" i="8" s="1"/>
  <c r="H563" i="8" s="1"/>
  <c r="A564" i="8"/>
  <c r="B564" i="8" s="1"/>
  <c r="E564" i="8" s="1"/>
  <c r="H564" i="8" s="1"/>
  <c r="A565" i="8"/>
  <c r="B565" i="8" s="1"/>
  <c r="D565" i="8" s="1"/>
  <c r="G565" i="8" s="1"/>
  <c r="A566" i="8"/>
  <c r="B566" i="8" s="1"/>
  <c r="A567" i="8"/>
  <c r="B567" i="8" s="1"/>
  <c r="E567" i="8" s="1"/>
  <c r="H567" i="8" s="1"/>
  <c r="A568" i="8"/>
  <c r="B568" i="8" s="1"/>
  <c r="A569" i="8"/>
  <c r="B569" i="8" s="1"/>
  <c r="A570" i="8"/>
  <c r="B570" i="8" s="1"/>
  <c r="E570" i="8" s="1"/>
  <c r="H570" i="8" s="1"/>
  <c r="A571" i="8"/>
  <c r="B571" i="8" s="1"/>
  <c r="E571" i="8" s="1"/>
  <c r="H571" i="8" s="1"/>
  <c r="A572" i="8"/>
  <c r="B572" i="8" s="1"/>
  <c r="A573" i="8"/>
  <c r="B573" i="8" s="1"/>
  <c r="D573" i="8" s="1"/>
  <c r="G573" i="8" s="1"/>
  <c r="A574" i="8"/>
  <c r="B574" i="8" s="1"/>
  <c r="A575" i="8"/>
  <c r="B575" i="8" s="1"/>
  <c r="A576" i="8"/>
  <c r="B576" i="8" s="1"/>
  <c r="A577" i="8"/>
  <c r="B577" i="8" s="1"/>
  <c r="D577" i="8" s="1"/>
  <c r="G577" i="8" s="1"/>
  <c r="A578" i="8"/>
  <c r="B578" i="8" s="1"/>
  <c r="E578" i="8" s="1"/>
  <c r="H578" i="8" s="1"/>
  <c r="A579" i="8"/>
  <c r="B579" i="8" s="1"/>
  <c r="E579" i="8" s="1"/>
  <c r="H579" i="8" s="1"/>
  <c r="A580" i="8"/>
  <c r="B580" i="8" s="1"/>
  <c r="E580" i="8" s="1"/>
  <c r="H580" i="8" s="1"/>
  <c r="A581" i="8"/>
  <c r="B581" i="8" s="1"/>
  <c r="D581" i="8" s="1"/>
  <c r="G581" i="8" s="1"/>
  <c r="A582" i="8"/>
  <c r="B582" i="8" s="1"/>
  <c r="A583" i="8"/>
  <c r="B583" i="8" s="1"/>
  <c r="E583" i="8" s="1"/>
  <c r="H583" i="8" s="1"/>
  <c r="A584" i="8"/>
  <c r="B584" i="8" s="1"/>
  <c r="A585" i="8"/>
  <c r="B585" i="8" s="1"/>
  <c r="D585" i="8" s="1"/>
  <c r="G585" i="8" s="1"/>
  <c r="A586" i="8"/>
  <c r="B586" i="8" s="1"/>
  <c r="E586" i="8" s="1"/>
  <c r="H586" i="8" s="1"/>
  <c r="A587" i="8"/>
  <c r="B587" i="8" s="1"/>
  <c r="E587" i="8" s="1"/>
  <c r="H587" i="8" s="1"/>
  <c r="A588" i="8"/>
  <c r="B588" i="8" s="1"/>
  <c r="A589" i="8"/>
  <c r="B589" i="8" s="1"/>
  <c r="D589" i="8" s="1"/>
  <c r="G589" i="8" s="1"/>
  <c r="A590" i="8"/>
  <c r="B590" i="8" s="1"/>
  <c r="A591" i="8"/>
  <c r="B591" i="8" s="1"/>
  <c r="E591" i="8" s="1"/>
  <c r="H591" i="8" s="1"/>
  <c r="A592" i="8"/>
  <c r="B592" i="8" s="1"/>
  <c r="A593" i="8"/>
  <c r="B593" i="8" s="1"/>
  <c r="D593" i="8" s="1"/>
  <c r="G593" i="8" s="1"/>
  <c r="A594" i="8"/>
  <c r="B594" i="8" s="1"/>
  <c r="E594" i="8" s="1"/>
  <c r="H594" i="8" s="1"/>
  <c r="A595" i="8"/>
  <c r="B595" i="8" s="1"/>
  <c r="E595" i="8" s="1"/>
  <c r="H595" i="8" s="1"/>
  <c r="A596" i="8"/>
  <c r="B596" i="8" s="1"/>
  <c r="E596" i="8" s="1"/>
  <c r="H596" i="8" s="1"/>
  <c r="A597" i="8"/>
  <c r="B597" i="8" s="1"/>
  <c r="D597" i="8" s="1"/>
  <c r="G597" i="8" s="1"/>
  <c r="A598" i="8"/>
  <c r="B598" i="8" s="1"/>
  <c r="A599" i="8"/>
  <c r="B599" i="8" s="1"/>
  <c r="E599" i="8" s="1"/>
  <c r="H599" i="8" s="1"/>
  <c r="A600" i="8"/>
  <c r="B600" i="8" s="1"/>
  <c r="A601" i="8"/>
  <c r="B601" i="8" s="1"/>
  <c r="D601" i="8" s="1"/>
  <c r="G601" i="8" s="1"/>
  <c r="A602" i="8"/>
  <c r="B602" i="8" s="1"/>
  <c r="E602" i="8" s="1"/>
  <c r="H602" i="8" s="1"/>
  <c r="A603" i="8"/>
  <c r="B603" i="8" s="1"/>
  <c r="E603" i="8" s="1"/>
  <c r="H603" i="8" s="1"/>
  <c r="A604" i="8"/>
  <c r="B604" i="8" s="1"/>
  <c r="C604" i="8" s="1"/>
  <c r="F604" i="8" s="1"/>
  <c r="A605" i="8"/>
  <c r="B605" i="8" s="1"/>
  <c r="D605" i="8" s="1"/>
  <c r="G605" i="8" s="1"/>
  <c r="A606" i="8"/>
  <c r="B606" i="8" s="1"/>
  <c r="A607" i="8"/>
  <c r="B607" i="8" s="1"/>
  <c r="A608" i="8"/>
  <c r="B608" i="8" s="1"/>
  <c r="A609" i="8"/>
  <c r="B609" i="8" s="1"/>
  <c r="D609" i="8" s="1"/>
  <c r="G609" i="8" s="1"/>
  <c r="A610" i="8"/>
  <c r="B610" i="8" s="1"/>
  <c r="E610" i="8" s="1"/>
  <c r="H610" i="8" s="1"/>
  <c r="A611" i="8"/>
  <c r="B611" i="8" s="1"/>
  <c r="E611" i="8" s="1"/>
  <c r="H611" i="8" s="1"/>
  <c r="A612" i="8"/>
  <c r="B612" i="8" s="1"/>
  <c r="E612" i="8" s="1"/>
  <c r="H612" i="8" s="1"/>
  <c r="A613" i="8"/>
  <c r="B613" i="8" s="1"/>
  <c r="D613" i="8" s="1"/>
  <c r="G613" i="8" s="1"/>
  <c r="A614" i="8"/>
  <c r="B614" i="8" s="1"/>
  <c r="A615" i="8"/>
  <c r="B615" i="8" s="1"/>
  <c r="E615" i="8" s="1"/>
  <c r="H615" i="8" s="1"/>
  <c r="A616" i="8"/>
  <c r="B616" i="8" s="1"/>
  <c r="A617" i="8"/>
  <c r="B617" i="8" s="1"/>
  <c r="D617" i="8" s="1"/>
  <c r="G617" i="8" s="1"/>
  <c r="A618" i="8"/>
  <c r="B618" i="8" s="1"/>
  <c r="E618" i="8" s="1"/>
  <c r="H618" i="8" s="1"/>
  <c r="A619" i="8"/>
  <c r="B619" i="8" s="1"/>
  <c r="A620" i="8"/>
  <c r="B620" i="8" s="1"/>
  <c r="D620" i="8" s="1"/>
  <c r="G620" i="8" s="1"/>
  <c r="A621" i="8"/>
  <c r="B621" i="8" s="1"/>
  <c r="A622" i="8"/>
  <c r="B622" i="8" s="1"/>
  <c r="E622" i="8" s="1"/>
  <c r="H622" i="8" s="1"/>
  <c r="A623" i="8"/>
  <c r="B623" i="8" s="1"/>
  <c r="A624" i="8"/>
  <c r="B624" i="8" s="1"/>
  <c r="D624" i="8" s="1"/>
  <c r="G624" i="8" s="1"/>
  <c r="A625" i="8"/>
  <c r="B625" i="8" s="1"/>
  <c r="E625" i="8" s="1"/>
  <c r="H625" i="8" s="1"/>
  <c r="A626" i="8"/>
  <c r="B626" i="8" s="1"/>
  <c r="A627" i="8"/>
  <c r="B627" i="8" s="1"/>
  <c r="A628" i="8"/>
  <c r="B628" i="8" s="1"/>
  <c r="D628" i="8" s="1"/>
  <c r="G628" i="8" s="1"/>
  <c r="A629" i="8"/>
  <c r="B629" i="8" s="1"/>
  <c r="E629" i="8" s="1"/>
  <c r="H629" i="8" s="1"/>
  <c r="A630" i="8"/>
  <c r="B630" i="8" s="1"/>
  <c r="E630" i="8" s="1"/>
  <c r="H630" i="8" s="1"/>
  <c r="A631" i="8"/>
  <c r="B631" i="8" s="1"/>
  <c r="A632" i="8"/>
  <c r="B632" i="8" s="1"/>
  <c r="D632" i="8" s="1"/>
  <c r="G632" i="8" s="1"/>
  <c r="A633" i="8"/>
  <c r="B633" i="8" s="1"/>
  <c r="E633" i="8" s="1"/>
  <c r="H633" i="8" s="1"/>
  <c r="A634" i="8"/>
  <c r="B634" i="8" s="1"/>
  <c r="E634" i="8" s="1"/>
  <c r="H634" i="8" s="1"/>
  <c r="A635" i="8"/>
  <c r="B635" i="8" s="1"/>
  <c r="A636" i="8"/>
  <c r="B636" i="8" s="1"/>
  <c r="D636" i="8" s="1"/>
  <c r="G636" i="8" s="1"/>
  <c r="A637" i="8"/>
  <c r="B637" i="8" s="1"/>
  <c r="E637" i="8" s="1"/>
  <c r="H637" i="8" s="1"/>
  <c r="A638" i="8"/>
  <c r="B638" i="8" s="1"/>
  <c r="E638" i="8" s="1"/>
  <c r="H638" i="8" s="1"/>
  <c r="A639" i="8"/>
  <c r="B639" i="8" s="1"/>
  <c r="A640" i="8"/>
  <c r="B640" i="8" s="1"/>
  <c r="D640" i="8" s="1"/>
  <c r="G640" i="8" s="1"/>
  <c r="A641" i="8"/>
  <c r="B641" i="8" s="1"/>
  <c r="C641" i="8" s="1"/>
  <c r="F641" i="8" s="1"/>
  <c r="A642" i="8"/>
  <c r="B642" i="8" s="1"/>
  <c r="D642" i="8" s="1"/>
  <c r="G642" i="8" s="1"/>
  <c r="A643" i="8"/>
  <c r="B643" i="8" s="1"/>
  <c r="E643" i="8" s="1"/>
  <c r="H643" i="8" s="1"/>
  <c r="A644" i="8"/>
  <c r="B644" i="8" s="1"/>
  <c r="A645" i="8"/>
  <c r="B645" i="8" s="1"/>
  <c r="C645" i="8" s="1"/>
  <c r="F645" i="8" s="1"/>
  <c r="A646" i="8"/>
  <c r="B646" i="8" s="1"/>
  <c r="D646" i="8" s="1"/>
  <c r="G646" i="8" s="1"/>
  <c r="A647" i="8"/>
  <c r="B647" i="8" s="1"/>
  <c r="E647" i="8" s="1"/>
  <c r="H647" i="8" s="1"/>
  <c r="A648" i="8"/>
  <c r="B648" i="8" s="1"/>
  <c r="A649" i="8"/>
  <c r="B649" i="8" s="1"/>
  <c r="C649" i="8" s="1"/>
  <c r="F649" i="8" s="1"/>
  <c r="A650" i="8"/>
  <c r="B650" i="8" s="1"/>
  <c r="D650" i="8" s="1"/>
  <c r="G650" i="8" s="1"/>
  <c r="A651" i="8"/>
  <c r="B651" i="8" s="1"/>
  <c r="E651" i="8" s="1"/>
  <c r="H651" i="8" s="1"/>
  <c r="A652" i="8"/>
  <c r="B652" i="8" s="1"/>
  <c r="A653" i="8"/>
  <c r="B653" i="8" s="1"/>
  <c r="C653" i="8" s="1"/>
  <c r="F653" i="8" s="1"/>
  <c r="A654" i="8"/>
  <c r="B654" i="8" s="1"/>
  <c r="D654" i="8" s="1"/>
  <c r="G654" i="8" s="1"/>
  <c r="A655" i="8"/>
  <c r="B655" i="8" s="1"/>
  <c r="E655" i="8" s="1"/>
  <c r="H655" i="8" s="1"/>
  <c r="A656" i="8"/>
  <c r="B656" i="8" s="1"/>
  <c r="A657" i="8"/>
  <c r="B657" i="8" s="1"/>
  <c r="C657" i="8" s="1"/>
  <c r="F657" i="8" s="1"/>
  <c r="A658" i="8"/>
  <c r="B658" i="8" s="1"/>
  <c r="D658" i="8" s="1"/>
  <c r="G658" i="8" s="1"/>
  <c r="A659" i="8"/>
  <c r="B659" i="8" s="1"/>
  <c r="E659" i="8" s="1"/>
  <c r="H659" i="8" s="1"/>
  <c r="A660" i="8"/>
  <c r="B660" i="8" s="1"/>
  <c r="A661" i="8"/>
  <c r="B661" i="8" s="1"/>
  <c r="C661" i="8" s="1"/>
  <c r="F661" i="8" s="1"/>
  <c r="A662" i="8"/>
  <c r="B662" i="8" s="1"/>
  <c r="D662" i="8" s="1"/>
  <c r="G662" i="8" s="1"/>
  <c r="A663" i="8"/>
  <c r="B663" i="8" s="1"/>
  <c r="E663" i="8" s="1"/>
  <c r="H663" i="8" s="1"/>
  <c r="A664" i="8"/>
  <c r="B664" i="8" s="1"/>
  <c r="A665" i="8"/>
  <c r="B665" i="8" s="1"/>
  <c r="C665" i="8" s="1"/>
  <c r="F665" i="8" s="1"/>
  <c r="A666" i="8"/>
  <c r="B666" i="8" s="1"/>
  <c r="D666" i="8" s="1"/>
  <c r="G666" i="8" s="1"/>
  <c r="A667" i="8"/>
  <c r="B667" i="8" s="1"/>
  <c r="E667" i="8" s="1"/>
  <c r="H667" i="8" s="1"/>
  <c r="A668" i="8"/>
  <c r="B668" i="8" s="1"/>
  <c r="A669" i="8"/>
  <c r="B669" i="8" s="1"/>
  <c r="C669" i="8" s="1"/>
  <c r="F669" i="8" s="1"/>
  <c r="A670" i="8"/>
  <c r="B670" i="8" s="1"/>
  <c r="D670" i="8" s="1"/>
  <c r="G670" i="8" s="1"/>
  <c r="G152" i="4"/>
  <c r="H152" i="4" s="1"/>
  <c r="F152" i="4" s="1"/>
  <c r="G153" i="4"/>
  <c r="H153" i="4" s="1"/>
  <c r="F153" i="4" s="1"/>
  <c r="G154" i="4"/>
  <c r="H154" i="4" s="1"/>
  <c r="F154" i="4" s="1"/>
  <c r="D155" i="4"/>
  <c r="G155" i="4"/>
  <c r="H155" i="4" s="1"/>
  <c r="F155" i="4" s="1"/>
  <c r="G156" i="4"/>
  <c r="H156" i="4" s="1"/>
  <c r="F156" i="4" s="1"/>
  <c r="D157" i="4"/>
  <c r="G157" i="4"/>
  <c r="H157" i="4" s="1"/>
  <c r="F157" i="4" s="1"/>
  <c r="D158" i="4"/>
  <c r="G158" i="4"/>
  <c r="H158" i="4" s="1"/>
  <c r="F158" i="4" s="1"/>
  <c r="D159" i="4"/>
  <c r="G159" i="4"/>
  <c r="H159" i="4" s="1"/>
  <c r="F159" i="4" s="1"/>
  <c r="D160" i="4"/>
  <c r="G160" i="4"/>
  <c r="H160" i="4" s="1"/>
  <c r="F160" i="4" s="1"/>
  <c r="D161" i="4"/>
  <c r="G161" i="4"/>
  <c r="H161" i="4" s="1"/>
  <c r="F161" i="4" s="1"/>
  <c r="D162" i="4"/>
  <c r="G162" i="4"/>
  <c r="H162" i="4" s="1"/>
  <c r="F162" i="4" s="1"/>
  <c r="D163" i="4"/>
  <c r="G163" i="4"/>
  <c r="H163" i="4" s="1"/>
  <c r="F163" i="4" s="1"/>
  <c r="D164" i="4"/>
  <c r="G164" i="4"/>
  <c r="H164" i="4" s="1"/>
  <c r="F164" i="4" s="1"/>
  <c r="D165" i="4"/>
  <c r="G165" i="4"/>
  <c r="H165" i="4" s="1"/>
  <c r="F165" i="4" s="1"/>
  <c r="D166" i="4"/>
  <c r="G166" i="4"/>
  <c r="H166" i="4" s="1"/>
  <c r="F166" i="4" s="1"/>
  <c r="D167" i="4"/>
  <c r="G167" i="4"/>
  <c r="H167" i="4" s="1"/>
  <c r="F167" i="4" s="1"/>
  <c r="D168" i="4"/>
  <c r="G168" i="4"/>
  <c r="H168" i="4" s="1"/>
  <c r="F168" i="4" s="1"/>
  <c r="D169" i="4"/>
  <c r="G169" i="4"/>
  <c r="H169" i="4" s="1"/>
  <c r="F169" i="4" s="1"/>
  <c r="D170" i="4"/>
  <c r="G170" i="4"/>
  <c r="H170" i="4" s="1"/>
  <c r="F170" i="4" s="1"/>
  <c r="D171" i="4"/>
  <c r="G171" i="4"/>
  <c r="H171" i="4" s="1"/>
  <c r="F171" i="4" s="1"/>
  <c r="D172" i="4"/>
  <c r="G172" i="4"/>
  <c r="H172" i="4" s="1"/>
  <c r="F172" i="4" s="1"/>
  <c r="D173" i="4"/>
  <c r="G173" i="4"/>
  <c r="H173" i="4" s="1"/>
  <c r="F173" i="4" s="1"/>
  <c r="D174" i="4"/>
  <c r="G174" i="4"/>
  <c r="H174" i="4" s="1"/>
  <c r="F174" i="4" s="1"/>
  <c r="D175" i="4"/>
  <c r="G175" i="4"/>
  <c r="H175" i="4" s="1"/>
  <c r="F175" i="4" s="1"/>
  <c r="D176" i="4"/>
  <c r="G176" i="4"/>
  <c r="H176" i="4" s="1"/>
  <c r="F176" i="4" s="1"/>
  <c r="D177" i="4"/>
  <c r="G177" i="4"/>
  <c r="H177" i="4" s="1"/>
  <c r="F177" i="4" s="1"/>
  <c r="D178" i="4"/>
  <c r="G178" i="4"/>
  <c r="H178" i="4" s="1"/>
  <c r="F178" i="4" s="1"/>
  <c r="D179" i="4"/>
  <c r="G179" i="4"/>
  <c r="H179" i="4" s="1"/>
  <c r="F179" i="4" s="1"/>
  <c r="D180" i="4"/>
  <c r="G180" i="4"/>
  <c r="H180" i="4" s="1"/>
  <c r="F180" i="4" s="1"/>
  <c r="D181" i="4"/>
  <c r="G181" i="4"/>
  <c r="H181" i="4" s="1"/>
  <c r="F181" i="4" s="1"/>
  <c r="D182" i="4"/>
  <c r="G182" i="4"/>
  <c r="H182" i="4" s="1"/>
  <c r="F182" i="4" s="1"/>
  <c r="D183" i="4"/>
  <c r="G183" i="4"/>
  <c r="H183" i="4" s="1"/>
  <c r="F183" i="4" s="1"/>
  <c r="D184" i="4"/>
  <c r="G184" i="4"/>
  <c r="H184" i="4" s="1"/>
  <c r="F184" i="4" s="1"/>
  <c r="D185" i="4"/>
  <c r="G185" i="4"/>
  <c r="H185" i="4" s="1"/>
  <c r="F185" i="4" s="1"/>
  <c r="D186" i="4"/>
  <c r="G186" i="4"/>
  <c r="H186" i="4" s="1"/>
  <c r="F186" i="4" s="1"/>
  <c r="D187" i="4"/>
  <c r="G187" i="4"/>
  <c r="H187" i="4" s="1"/>
  <c r="F187" i="4" s="1"/>
  <c r="D188" i="4"/>
  <c r="G188" i="4"/>
  <c r="H188" i="4" s="1"/>
  <c r="F188" i="4" s="1"/>
  <c r="D189" i="4"/>
  <c r="G189" i="4"/>
  <c r="H189" i="4" s="1"/>
  <c r="F189" i="4" s="1"/>
  <c r="D190" i="4"/>
  <c r="G190" i="4"/>
  <c r="H190" i="4" s="1"/>
  <c r="F190" i="4" s="1"/>
  <c r="D191" i="4"/>
  <c r="G191" i="4"/>
  <c r="H191" i="4" s="1"/>
  <c r="F191" i="4" s="1"/>
  <c r="D192" i="4"/>
  <c r="G192" i="4"/>
  <c r="H192" i="4" s="1"/>
  <c r="F192" i="4" s="1"/>
  <c r="D193" i="4"/>
  <c r="G193" i="4"/>
  <c r="H193" i="4" s="1"/>
  <c r="F193" i="4" s="1"/>
  <c r="D194" i="4"/>
  <c r="G194" i="4"/>
  <c r="H194" i="4" s="1"/>
  <c r="F194" i="4" s="1"/>
  <c r="D195" i="4"/>
  <c r="G195" i="4"/>
  <c r="H195" i="4" s="1"/>
  <c r="F195" i="4" s="1"/>
  <c r="D196" i="4"/>
  <c r="G196" i="4"/>
  <c r="H196" i="4" s="1"/>
  <c r="F196" i="4" s="1"/>
  <c r="D197" i="4"/>
  <c r="G197" i="4"/>
  <c r="H197" i="4" s="1"/>
  <c r="F197" i="4" s="1"/>
  <c r="D198" i="4"/>
  <c r="G198" i="4"/>
  <c r="H198" i="4" s="1"/>
  <c r="F198" i="4" s="1"/>
  <c r="D199" i="4"/>
  <c r="G199" i="4"/>
  <c r="H199" i="4" s="1"/>
  <c r="F199" i="4" s="1"/>
  <c r="D200" i="4"/>
  <c r="G200" i="4"/>
  <c r="H200" i="4" s="1"/>
  <c r="F200" i="4" s="1"/>
  <c r="D201" i="4"/>
  <c r="G201" i="4"/>
  <c r="H201" i="4" s="1"/>
  <c r="F201" i="4" s="1"/>
  <c r="D202" i="4"/>
  <c r="G202" i="4"/>
  <c r="H202" i="4" s="1"/>
  <c r="F202" i="4" s="1"/>
  <c r="D203" i="4"/>
  <c r="G203" i="4"/>
  <c r="H203" i="4" s="1"/>
  <c r="F203" i="4" s="1"/>
  <c r="D204" i="4"/>
  <c r="G204" i="4"/>
  <c r="H204" i="4" s="1"/>
  <c r="F204" i="4" s="1"/>
  <c r="D205" i="4"/>
  <c r="G205" i="4"/>
  <c r="H205" i="4" s="1"/>
  <c r="F205" i="4" s="1"/>
  <c r="D206" i="4"/>
  <c r="G206" i="4"/>
  <c r="H206" i="4" s="1"/>
  <c r="F206" i="4" s="1"/>
  <c r="D207" i="4"/>
  <c r="G207" i="4"/>
  <c r="H207" i="4" s="1"/>
  <c r="F207" i="4" s="1"/>
  <c r="D208" i="4"/>
  <c r="G208" i="4"/>
  <c r="H208" i="4" s="1"/>
  <c r="F208" i="4" s="1"/>
  <c r="D209" i="4"/>
  <c r="G209" i="4"/>
  <c r="H209" i="4" s="1"/>
  <c r="F209" i="4" s="1"/>
  <c r="D210" i="4"/>
  <c r="G210" i="4"/>
  <c r="H210" i="4" s="1"/>
  <c r="F210" i="4" s="1"/>
  <c r="D211" i="4"/>
  <c r="G211" i="4"/>
  <c r="H211" i="4" s="1"/>
  <c r="F211" i="4" s="1"/>
  <c r="D212" i="4"/>
  <c r="G212" i="4"/>
  <c r="H212" i="4" s="1"/>
  <c r="F212" i="4" s="1"/>
  <c r="D213" i="4"/>
  <c r="G213" i="4"/>
  <c r="H213" i="4" s="1"/>
  <c r="F213" i="4" s="1"/>
  <c r="D214" i="4"/>
  <c r="G214" i="4"/>
  <c r="H214" i="4" s="1"/>
  <c r="F214" i="4" s="1"/>
  <c r="D215" i="4"/>
  <c r="G215" i="4"/>
  <c r="H215" i="4" s="1"/>
  <c r="F215" i="4" s="1"/>
  <c r="D216" i="4"/>
  <c r="G216" i="4"/>
  <c r="H216" i="4" s="1"/>
  <c r="F216" i="4" s="1"/>
  <c r="D217" i="4"/>
  <c r="G217" i="4"/>
  <c r="H217" i="4" s="1"/>
  <c r="F217" i="4" s="1"/>
  <c r="D218" i="4"/>
  <c r="G218" i="4"/>
  <c r="H218" i="4" s="1"/>
  <c r="F218" i="4" s="1"/>
  <c r="D219" i="4"/>
  <c r="G219" i="4"/>
  <c r="H219" i="4" s="1"/>
  <c r="F219" i="4" s="1"/>
  <c r="D220" i="4"/>
  <c r="G220" i="4"/>
  <c r="H220" i="4" s="1"/>
  <c r="F220" i="4" s="1"/>
  <c r="D221" i="4"/>
  <c r="G221" i="4"/>
  <c r="H221" i="4" s="1"/>
  <c r="F221" i="4" s="1"/>
  <c r="D222" i="4"/>
  <c r="G222" i="4"/>
  <c r="H222" i="4" s="1"/>
  <c r="F222" i="4" s="1"/>
  <c r="D223" i="4"/>
  <c r="G223" i="4"/>
  <c r="H223" i="4" s="1"/>
  <c r="F223" i="4" s="1"/>
  <c r="D224" i="4"/>
  <c r="G224" i="4"/>
  <c r="H224" i="4" s="1"/>
  <c r="F224" i="4" s="1"/>
  <c r="D225" i="4"/>
  <c r="G225" i="4"/>
  <c r="H225" i="4" s="1"/>
  <c r="F225" i="4" s="1"/>
  <c r="D226" i="4"/>
  <c r="G226" i="4"/>
  <c r="H226" i="4" s="1"/>
  <c r="F226" i="4" s="1"/>
  <c r="D227" i="4"/>
  <c r="G227" i="4"/>
  <c r="H227" i="4" s="1"/>
  <c r="F227" i="4" s="1"/>
  <c r="D228" i="4"/>
  <c r="G228" i="4"/>
  <c r="H228" i="4" s="1"/>
  <c r="F228" i="4" s="1"/>
  <c r="D229" i="4"/>
  <c r="G229" i="4"/>
  <c r="H229" i="4" s="1"/>
  <c r="F229" i="4" s="1"/>
  <c r="D230" i="4"/>
  <c r="G230" i="4"/>
  <c r="H230" i="4" s="1"/>
  <c r="F230" i="4" s="1"/>
  <c r="D231" i="4"/>
  <c r="G231" i="4"/>
  <c r="H231" i="4" s="1"/>
  <c r="F231" i="4" s="1"/>
  <c r="D232" i="4"/>
  <c r="G232" i="4"/>
  <c r="H232" i="4" s="1"/>
  <c r="F232" i="4" s="1"/>
  <c r="D233" i="4"/>
  <c r="G233" i="4"/>
  <c r="H233" i="4" s="1"/>
  <c r="F233" i="4" s="1"/>
  <c r="D234" i="4"/>
  <c r="G234" i="4"/>
  <c r="H234" i="4" s="1"/>
  <c r="F234" i="4" s="1"/>
  <c r="D235" i="4"/>
  <c r="G235" i="4"/>
  <c r="H235" i="4" s="1"/>
  <c r="F235" i="4" s="1"/>
  <c r="D236" i="4"/>
  <c r="G236" i="4"/>
  <c r="H236" i="4" s="1"/>
  <c r="F236" i="4" s="1"/>
  <c r="D237" i="4"/>
  <c r="G237" i="4"/>
  <c r="H237" i="4" s="1"/>
  <c r="F237" i="4" s="1"/>
  <c r="D238" i="4"/>
  <c r="G238" i="4"/>
  <c r="H238" i="4" s="1"/>
  <c r="F238" i="4" s="1"/>
  <c r="D239" i="4"/>
  <c r="G239" i="4"/>
  <c r="H239" i="4" s="1"/>
  <c r="F239" i="4" s="1"/>
  <c r="D240" i="4"/>
  <c r="G240" i="4"/>
  <c r="H240" i="4" s="1"/>
  <c r="F240" i="4" s="1"/>
  <c r="D241" i="4"/>
  <c r="G241" i="4"/>
  <c r="H241" i="4" s="1"/>
  <c r="F241" i="4" s="1"/>
  <c r="D242" i="4"/>
  <c r="G242" i="4"/>
  <c r="H242" i="4" s="1"/>
  <c r="F242" i="4" s="1"/>
  <c r="D243" i="4"/>
  <c r="G243" i="4"/>
  <c r="H243" i="4" s="1"/>
  <c r="F243" i="4" s="1"/>
  <c r="D244" i="4"/>
  <c r="G244" i="4"/>
  <c r="H244" i="4" s="1"/>
  <c r="F244" i="4" s="1"/>
  <c r="D245" i="4"/>
  <c r="G245" i="4"/>
  <c r="H245" i="4" s="1"/>
  <c r="F245" i="4" s="1"/>
  <c r="D246" i="4"/>
  <c r="G246" i="4"/>
  <c r="H246" i="4" s="1"/>
  <c r="F246" i="4" s="1"/>
  <c r="D247" i="4"/>
  <c r="G247" i="4"/>
  <c r="H247" i="4" s="1"/>
  <c r="F247" i="4" s="1"/>
  <c r="D248" i="4"/>
  <c r="G248" i="4"/>
  <c r="H248" i="4" s="1"/>
  <c r="F248" i="4" s="1"/>
  <c r="D249" i="4"/>
  <c r="G249" i="4"/>
  <c r="H249" i="4" s="1"/>
  <c r="F249" i="4" s="1"/>
  <c r="D250" i="4"/>
  <c r="G250" i="4"/>
  <c r="H250" i="4" s="1"/>
  <c r="F250" i="4" s="1"/>
  <c r="D251" i="4"/>
  <c r="G251" i="4"/>
  <c r="H251" i="4" s="1"/>
  <c r="F251" i="4" s="1"/>
  <c r="D252" i="4"/>
  <c r="G252" i="4"/>
  <c r="H252" i="4" s="1"/>
  <c r="F252" i="4" s="1"/>
  <c r="D253" i="4"/>
  <c r="G253" i="4"/>
  <c r="H253" i="4" s="1"/>
  <c r="F253" i="4" s="1"/>
  <c r="D254" i="4"/>
  <c r="G254" i="4"/>
  <c r="H254" i="4" s="1"/>
  <c r="F254" i="4" s="1"/>
  <c r="D255" i="4"/>
  <c r="G255" i="4"/>
  <c r="H255" i="4" s="1"/>
  <c r="F255" i="4" s="1"/>
  <c r="D256" i="4"/>
  <c r="G256" i="4"/>
  <c r="H256" i="4" s="1"/>
  <c r="F256" i="4" s="1"/>
  <c r="D257" i="4"/>
  <c r="G257" i="4"/>
  <c r="H257" i="4" s="1"/>
  <c r="F257" i="4" s="1"/>
  <c r="D258" i="4"/>
  <c r="G258" i="4"/>
  <c r="H258" i="4" s="1"/>
  <c r="F258" i="4" s="1"/>
  <c r="D259" i="4"/>
  <c r="G259" i="4"/>
  <c r="H259" i="4" s="1"/>
  <c r="F259" i="4" s="1"/>
  <c r="D260" i="4"/>
  <c r="AF260" i="4" s="1"/>
  <c r="G260" i="4"/>
  <c r="H260" i="4" s="1"/>
  <c r="F260" i="4" s="1"/>
  <c r="D261" i="4"/>
  <c r="AF261" i="4" s="1"/>
  <c r="G261" i="4"/>
  <c r="H261" i="4" s="1"/>
  <c r="F261" i="4" s="1"/>
  <c r="D262" i="4"/>
  <c r="AF262" i="4" s="1"/>
  <c r="G262" i="4"/>
  <c r="H262" i="4" s="1"/>
  <c r="F262" i="4" s="1"/>
  <c r="D263" i="4"/>
  <c r="AF263" i="4" s="1"/>
  <c r="G263" i="4"/>
  <c r="H263" i="4" s="1"/>
  <c r="F263" i="4" s="1"/>
  <c r="D264" i="4"/>
  <c r="AF264" i="4" s="1"/>
  <c r="G264" i="4"/>
  <c r="H264" i="4" s="1"/>
  <c r="F264" i="4" s="1"/>
  <c r="D265" i="4"/>
  <c r="AF265" i="4" s="1"/>
  <c r="G265" i="4"/>
  <c r="H265" i="4" s="1"/>
  <c r="F265" i="4" s="1"/>
  <c r="D266" i="4"/>
  <c r="AF266" i="4" s="1"/>
  <c r="G266" i="4"/>
  <c r="H266" i="4" s="1"/>
  <c r="F266" i="4" s="1"/>
  <c r="D267" i="4"/>
  <c r="AF267" i="4" s="1"/>
  <c r="G267" i="4"/>
  <c r="H267" i="4" s="1"/>
  <c r="F267" i="4" s="1"/>
  <c r="D268" i="4"/>
  <c r="AF268" i="4" s="1"/>
  <c r="G268" i="4"/>
  <c r="H268" i="4" s="1"/>
  <c r="F268" i="4" s="1"/>
  <c r="D269" i="4"/>
  <c r="AF269" i="4" s="1"/>
  <c r="G269" i="4"/>
  <c r="H269" i="4" s="1"/>
  <c r="F269" i="4" s="1"/>
  <c r="D270" i="4"/>
  <c r="AF270" i="4" s="1"/>
  <c r="G270" i="4"/>
  <c r="H270" i="4" s="1"/>
  <c r="F270" i="4" s="1"/>
  <c r="D271" i="4"/>
  <c r="AF271" i="4" s="1"/>
  <c r="G271" i="4"/>
  <c r="H271" i="4" s="1"/>
  <c r="F271" i="4" s="1"/>
  <c r="D272" i="4"/>
  <c r="AF272" i="4" s="1"/>
  <c r="G272" i="4"/>
  <c r="H272" i="4" s="1"/>
  <c r="F272" i="4" s="1"/>
  <c r="D273" i="4"/>
  <c r="AF273" i="4" s="1"/>
  <c r="G273" i="4"/>
  <c r="H273" i="4" s="1"/>
  <c r="F273" i="4" s="1"/>
  <c r="D274" i="4"/>
  <c r="AF274" i="4" s="1"/>
  <c r="G274" i="4"/>
  <c r="H274" i="4" s="1"/>
  <c r="F274" i="4" s="1"/>
  <c r="D275" i="4"/>
  <c r="AF275" i="4" s="1"/>
  <c r="G275" i="4"/>
  <c r="H275" i="4" s="1"/>
  <c r="F275" i="4" s="1"/>
  <c r="D276" i="4"/>
  <c r="AF276" i="4" s="1"/>
  <c r="G276" i="4"/>
  <c r="H276" i="4" s="1"/>
  <c r="F276" i="4" s="1"/>
  <c r="D277" i="4"/>
  <c r="AF277" i="4" s="1"/>
  <c r="G277" i="4"/>
  <c r="H277" i="4" s="1"/>
  <c r="F277" i="4" s="1"/>
  <c r="D278" i="4"/>
  <c r="AF278" i="4" s="1"/>
  <c r="G278" i="4"/>
  <c r="H278" i="4" s="1"/>
  <c r="F278" i="4" s="1"/>
  <c r="D279" i="4"/>
  <c r="AF279" i="4" s="1"/>
  <c r="G279" i="4"/>
  <c r="H279" i="4" s="1"/>
  <c r="F279" i="4" s="1"/>
  <c r="D280" i="4"/>
  <c r="AF280" i="4" s="1"/>
  <c r="G280" i="4"/>
  <c r="H280" i="4" s="1"/>
  <c r="F280" i="4" s="1"/>
  <c r="D281" i="4"/>
  <c r="AF281" i="4" s="1"/>
  <c r="G281" i="4"/>
  <c r="H281" i="4" s="1"/>
  <c r="F281" i="4" s="1"/>
  <c r="D282" i="4"/>
  <c r="AF282" i="4" s="1"/>
  <c r="G282" i="4"/>
  <c r="H282" i="4" s="1"/>
  <c r="F282" i="4" s="1"/>
  <c r="D283" i="4"/>
  <c r="AF283" i="4" s="1"/>
  <c r="G283" i="4"/>
  <c r="H283" i="4" s="1"/>
  <c r="F283" i="4" s="1"/>
  <c r="D284" i="4"/>
  <c r="AF284" i="4" s="1"/>
  <c r="G284" i="4"/>
  <c r="H284" i="4" s="1"/>
  <c r="F284" i="4" s="1"/>
  <c r="D285" i="4"/>
  <c r="AF285" i="4" s="1"/>
  <c r="G285" i="4"/>
  <c r="H285" i="4" s="1"/>
  <c r="F285" i="4" s="1"/>
  <c r="D286" i="4"/>
  <c r="AF286" i="4" s="1"/>
  <c r="G286" i="4"/>
  <c r="H286" i="4" s="1"/>
  <c r="F286" i="4" s="1"/>
  <c r="D287" i="4"/>
  <c r="AF287" i="4" s="1"/>
  <c r="G287" i="4"/>
  <c r="H287" i="4" s="1"/>
  <c r="F287" i="4" s="1"/>
  <c r="D288" i="4"/>
  <c r="AF288" i="4" s="1"/>
  <c r="G288" i="4"/>
  <c r="H288" i="4" s="1"/>
  <c r="F288" i="4" s="1"/>
  <c r="D289" i="4"/>
  <c r="AF289" i="4" s="1"/>
  <c r="G289" i="4"/>
  <c r="H289" i="4" s="1"/>
  <c r="F289" i="4" s="1"/>
  <c r="D290" i="4"/>
  <c r="AF290" i="4" s="1"/>
  <c r="G290" i="4"/>
  <c r="H290" i="4" s="1"/>
  <c r="F290" i="4" s="1"/>
  <c r="D291" i="4"/>
  <c r="AF291" i="4" s="1"/>
  <c r="G291" i="4"/>
  <c r="H291" i="4" s="1"/>
  <c r="F291" i="4" s="1"/>
  <c r="D292" i="4"/>
  <c r="AF292" i="4" s="1"/>
  <c r="G292" i="4"/>
  <c r="H292" i="4" s="1"/>
  <c r="F292" i="4" s="1"/>
  <c r="D293" i="4"/>
  <c r="AF293" i="4" s="1"/>
  <c r="G293" i="4"/>
  <c r="H293" i="4" s="1"/>
  <c r="F293" i="4" s="1"/>
  <c r="D294" i="4"/>
  <c r="AF294" i="4" s="1"/>
  <c r="G294" i="4"/>
  <c r="H294" i="4" s="1"/>
  <c r="F294" i="4" s="1"/>
  <c r="D295" i="4"/>
  <c r="AF295" i="4" s="1"/>
  <c r="G295" i="4"/>
  <c r="H295" i="4" s="1"/>
  <c r="F295" i="4" s="1"/>
  <c r="D296" i="4"/>
  <c r="AF296" i="4" s="1"/>
  <c r="G296" i="4"/>
  <c r="H296" i="4" s="1"/>
  <c r="F296" i="4" s="1"/>
  <c r="D297" i="4"/>
  <c r="AF297" i="4" s="1"/>
  <c r="G297" i="4"/>
  <c r="H297" i="4" s="1"/>
  <c r="F297" i="4" s="1"/>
  <c r="D298" i="4"/>
  <c r="AF298" i="4" s="1"/>
  <c r="G298" i="4"/>
  <c r="H298" i="4" s="1"/>
  <c r="F298" i="4" s="1"/>
  <c r="D299" i="4"/>
  <c r="AF299" i="4" s="1"/>
  <c r="G299" i="4"/>
  <c r="H299" i="4" s="1"/>
  <c r="F299" i="4" s="1"/>
  <c r="D300" i="4"/>
  <c r="AF300" i="4" s="1"/>
  <c r="G300" i="4"/>
  <c r="H300" i="4" s="1"/>
  <c r="F300" i="4" s="1"/>
  <c r="D301" i="4"/>
  <c r="AF301" i="4" s="1"/>
  <c r="G301" i="4"/>
  <c r="H301" i="4" s="1"/>
  <c r="F301" i="4" s="1"/>
  <c r="D302" i="4"/>
  <c r="AF302" i="4" s="1"/>
  <c r="G302" i="4"/>
  <c r="H302" i="4" s="1"/>
  <c r="F302" i="4" s="1"/>
  <c r="D303" i="4"/>
  <c r="AF303" i="4" s="1"/>
  <c r="G303" i="4"/>
  <c r="H303" i="4" s="1"/>
  <c r="F303" i="4" s="1"/>
  <c r="D304" i="4"/>
  <c r="AF304" i="4" s="1"/>
  <c r="G304" i="4"/>
  <c r="H304" i="4" s="1"/>
  <c r="F304" i="4" s="1"/>
  <c r="D305" i="4"/>
  <c r="AF305" i="4" s="1"/>
  <c r="G305" i="4"/>
  <c r="H305" i="4" s="1"/>
  <c r="F305" i="4" s="1"/>
  <c r="D306" i="4"/>
  <c r="AF306" i="4" s="1"/>
  <c r="G306" i="4"/>
  <c r="H306" i="4" s="1"/>
  <c r="F306" i="4" s="1"/>
  <c r="D307" i="4"/>
  <c r="AF307" i="4" s="1"/>
  <c r="G307" i="4"/>
  <c r="H307" i="4" s="1"/>
  <c r="F307" i="4" s="1"/>
  <c r="D308" i="4"/>
  <c r="AF308" i="4" s="1"/>
  <c r="G308" i="4"/>
  <c r="H308" i="4" s="1"/>
  <c r="F308" i="4" s="1"/>
  <c r="D309" i="4"/>
  <c r="AF309" i="4" s="1"/>
  <c r="G309" i="4"/>
  <c r="H309" i="4" s="1"/>
  <c r="F309" i="4" s="1"/>
  <c r="D310" i="4"/>
  <c r="AF310" i="4" s="1"/>
  <c r="G310" i="4"/>
  <c r="H310" i="4" s="1"/>
  <c r="F310" i="4" s="1"/>
  <c r="D311" i="4"/>
  <c r="AF311" i="4" s="1"/>
  <c r="G311" i="4"/>
  <c r="H311" i="4" s="1"/>
  <c r="F311" i="4" s="1"/>
  <c r="D312" i="4"/>
  <c r="AF312" i="4" s="1"/>
  <c r="G312" i="4"/>
  <c r="H312" i="4" s="1"/>
  <c r="F312" i="4" s="1"/>
  <c r="D313" i="4"/>
  <c r="AF313" i="4" s="1"/>
  <c r="G313" i="4"/>
  <c r="H313" i="4" s="1"/>
  <c r="F313" i="4" s="1"/>
  <c r="D314" i="4"/>
  <c r="AF314" i="4" s="1"/>
  <c r="G314" i="4"/>
  <c r="H314" i="4" s="1"/>
  <c r="F314" i="4" s="1"/>
  <c r="D315" i="4"/>
  <c r="AF315" i="4" s="1"/>
  <c r="G315" i="4"/>
  <c r="H315" i="4" s="1"/>
  <c r="F315" i="4" s="1"/>
  <c r="D316" i="4"/>
  <c r="AF316" i="4" s="1"/>
  <c r="G316" i="4"/>
  <c r="H316" i="4" s="1"/>
  <c r="F316" i="4" s="1"/>
  <c r="D317" i="4"/>
  <c r="AF317" i="4" s="1"/>
  <c r="G317" i="4"/>
  <c r="H317" i="4" s="1"/>
  <c r="F317" i="4" s="1"/>
  <c r="D318" i="4"/>
  <c r="AF318" i="4" s="1"/>
  <c r="G318" i="4"/>
  <c r="H318" i="4" s="1"/>
  <c r="F318" i="4" s="1"/>
  <c r="D319" i="4"/>
  <c r="AF319" i="4" s="1"/>
  <c r="G319" i="4"/>
  <c r="H319" i="4" s="1"/>
  <c r="F319" i="4" s="1"/>
  <c r="D320" i="4"/>
  <c r="AF320" i="4" s="1"/>
  <c r="G320" i="4"/>
  <c r="H320" i="4" s="1"/>
  <c r="F320" i="4" s="1"/>
  <c r="D321" i="4"/>
  <c r="AF321" i="4" s="1"/>
  <c r="G321" i="4"/>
  <c r="H321" i="4" s="1"/>
  <c r="F321" i="4" s="1"/>
  <c r="D322" i="4"/>
  <c r="AF322" i="4" s="1"/>
  <c r="G322" i="4"/>
  <c r="H322" i="4" s="1"/>
  <c r="F322" i="4" s="1"/>
  <c r="D323" i="4"/>
  <c r="AF323" i="4" s="1"/>
  <c r="G323" i="4"/>
  <c r="H323" i="4" s="1"/>
  <c r="F323" i="4" s="1"/>
  <c r="D324" i="4"/>
  <c r="AF324" i="4" s="1"/>
  <c r="G324" i="4"/>
  <c r="H324" i="4" s="1"/>
  <c r="F324" i="4" s="1"/>
  <c r="D325" i="4"/>
  <c r="AF325" i="4" s="1"/>
  <c r="G325" i="4"/>
  <c r="H325" i="4"/>
  <c r="F325" i="4" s="1"/>
  <c r="D326" i="4"/>
  <c r="AF326" i="4" s="1"/>
  <c r="G326" i="4"/>
  <c r="H326" i="4" s="1"/>
  <c r="F326" i="4" s="1"/>
  <c r="D327" i="4"/>
  <c r="AF327" i="4" s="1"/>
  <c r="G327" i="4"/>
  <c r="H327" i="4" s="1"/>
  <c r="F327" i="4" s="1"/>
  <c r="D328" i="4"/>
  <c r="AF328" i="4" s="1"/>
  <c r="G328" i="4"/>
  <c r="H328" i="4" s="1"/>
  <c r="F328" i="4" s="1"/>
  <c r="D329" i="4"/>
  <c r="AF329" i="4" s="1"/>
  <c r="G329" i="4"/>
  <c r="H329" i="4" s="1"/>
  <c r="F329" i="4" s="1"/>
  <c r="D330" i="4"/>
  <c r="AF330" i="4" s="1"/>
  <c r="G330" i="4"/>
  <c r="H330" i="4" s="1"/>
  <c r="F330" i="4" s="1"/>
  <c r="D331" i="4"/>
  <c r="AF331" i="4" s="1"/>
  <c r="G331" i="4"/>
  <c r="H331" i="4" s="1"/>
  <c r="F331" i="4" s="1"/>
  <c r="D332" i="4"/>
  <c r="AF332" i="4" s="1"/>
  <c r="G332" i="4"/>
  <c r="H332" i="4" s="1"/>
  <c r="F332" i="4" s="1"/>
  <c r="D333" i="4"/>
  <c r="AF333" i="4" s="1"/>
  <c r="G333" i="4"/>
  <c r="H333" i="4" s="1"/>
  <c r="F333" i="4" s="1"/>
  <c r="D334" i="4"/>
  <c r="AF334" i="4" s="1"/>
  <c r="G334" i="4"/>
  <c r="H334" i="4" s="1"/>
  <c r="F334" i="4" s="1"/>
  <c r="D335" i="4"/>
  <c r="AF335" i="4" s="1"/>
  <c r="G335" i="4"/>
  <c r="H335" i="4" s="1"/>
  <c r="F335" i="4" s="1"/>
  <c r="D336" i="4"/>
  <c r="AF336" i="4" s="1"/>
  <c r="G336" i="4"/>
  <c r="H336" i="4" s="1"/>
  <c r="F336" i="4" s="1"/>
  <c r="D337" i="4"/>
  <c r="AF337" i="4" s="1"/>
  <c r="G337" i="4"/>
  <c r="H337" i="4" s="1"/>
  <c r="F337" i="4" s="1"/>
  <c r="D338" i="4"/>
  <c r="AF338" i="4" s="1"/>
  <c r="G338" i="4"/>
  <c r="H338" i="4" s="1"/>
  <c r="F338" i="4" s="1"/>
  <c r="D339" i="4"/>
  <c r="AF339" i="4" s="1"/>
  <c r="G339" i="4"/>
  <c r="H339" i="4" s="1"/>
  <c r="F339" i="4" s="1"/>
  <c r="D340" i="4"/>
  <c r="AF340" i="4" s="1"/>
  <c r="G340" i="4"/>
  <c r="H340" i="4" s="1"/>
  <c r="F340" i="4" s="1"/>
  <c r="D341" i="4"/>
  <c r="AF341" i="4" s="1"/>
  <c r="G341" i="4"/>
  <c r="H341" i="4" s="1"/>
  <c r="F341" i="4" s="1"/>
  <c r="D342" i="4"/>
  <c r="AF342" i="4" s="1"/>
  <c r="G342" i="4"/>
  <c r="H342" i="4" s="1"/>
  <c r="F342" i="4" s="1"/>
  <c r="D343" i="4"/>
  <c r="AF343" i="4" s="1"/>
  <c r="G343" i="4"/>
  <c r="H343" i="4" s="1"/>
  <c r="F343" i="4" s="1"/>
  <c r="D344" i="4"/>
  <c r="AF344" i="4" s="1"/>
  <c r="G344" i="4"/>
  <c r="H344" i="4" s="1"/>
  <c r="F344" i="4" s="1"/>
  <c r="D345" i="4"/>
  <c r="AF345" i="4" s="1"/>
  <c r="G345" i="4"/>
  <c r="H345" i="4" s="1"/>
  <c r="F345" i="4" s="1"/>
  <c r="D346" i="4"/>
  <c r="AF346" i="4" s="1"/>
  <c r="G346" i="4"/>
  <c r="H346" i="4" s="1"/>
  <c r="F346" i="4" s="1"/>
  <c r="D347" i="4"/>
  <c r="AF347" i="4" s="1"/>
  <c r="G347" i="4"/>
  <c r="H347" i="4" s="1"/>
  <c r="F347" i="4" s="1"/>
  <c r="D348" i="4"/>
  <c r="AF348" i="4" s="1"/>
  <c r="G348" i="4"/>
  <c r="H348" i="4" s="1"/>
  <c r="F348" i="4" s="1"/>
  <c r="D349" i="4"/>
  <c r="AF349" i="4" s="1"/>
  <c r="G349" i="4"/>
  <c r="H349" i="4" s="1"/>
  <c r="F349" i="4" s="1"/>
  <c r="D350" i="4"/>
  <c r="AF350" i="4" s="1"/>
  <c r="G350" i="4"/>
  <c r="H350" i="4" s="1"/>
  <c r="F350" i="4" s="1"/>
  <c r="D351" i="4"/>
  <c r="AF351" i="4" s="1"/>
  <c r="G351" i="4"/>
  <c r="H351" i="4" s="1"/>
  <c r="F351" i="4" s="1"/>
  <c r="D352" i="4"/>
  <c r="AF352" i="4" s="1"/>
  <c r="G352" i="4"/>
  <c r="H352" i="4" s="1"/>
  <c r="F352" i="4" s="1"/>
  <c r="D353" i="4"/>
  <c r="AF353" i="4" s="1"/>
  <c r="G353" i="4"/>
  <c r="H353" i="4" s="1"/>
  <c r="F353" i="4" s="1"/>
  <c r="D354" i="4"/>
  <c r="AF354" i="4" s="1"/>
  <c r="G354" i="4"/>
  <c r="H354" i="4" s="1"/>
  <c r="F354" i="4" s="1"/>
  <c r="D355" i="4"/>
  <c r="AF355" i="4" s="1"/>
  <c r="G355" i="4"/>
  <c r="H355" i="4" s="1"/>
  <c r="F355" i="4" s="1"/>
  <c r="D356" i="4"/>
  <c r="AF356" i="4" s="1"/>
  <c r="G356" i="4"/>
  <c r="H356" i="4" s="1"/>
  <c r="F356" i="4" s="1"/>
  <c r="D357" i="4"/>
  <c r="AF357" i="4" s="1"/>
  <c r="G357" i="4"/>
  <c r="H357" i="4" s="1"/>
  <c r="F357" i="4" s="1"/>
  <c r="D358" i="4"/>
  <c r="AF358" i="4" s="1"/>
  <c r="G358" i="4"/>
  <c r="H358" i="4" s="1"/>
  <c r="F358" i="4" s="1"/>
  <c r="D359" i="4"/>
  <c r="AF359" i="4" s="1"/>
  <c r="G359" i="4"/>
  <c r="H359" i="4" s="1"/>
  <c r="F359" i="4" s="1"/>
  <c r="D360" i="4"/>
  <c r="AF360" i="4" s="1"/>
  <c r="G360" i="4"/>
  <c r="H360" i="4" s="1"/>
  <c r="F360" i="4" s="1"/>
  <c r="D361" i="4"/>
  <c r="AF361" i="4" s="1"/>
  <c r="G361" i="4"/>
  <c r="H361" i="4" s="1"/>
  <c r="F361" i="4" s="1"/>
  <c r="D362" i="4"/>
  <c r="AF362" i="4" s="1"/>
  <c r="G362" i="4"/>
  <c r="H362" i="4" s="1"/>
  <c r="F362" i="4" s="1"/>
  <c r="D363" i="4"/>
  <c r="AF363" i="4" s="1"/>
  <c r="G363" i="4"/>
  <c r="H363" i="4" s="1"/>
  <c r="F363" i="4" s="1"/>
  <c r="D364" i="4"/>
  <c r="AF364" i="4" s="1"/>
  <c r="G364" i="4"/>
  <c r="H364" i="4" s="1"/>
  <c r="F364" i="4" s="1"/>
  <c r="D365" i="4"/>
  <c r="AF365" i="4" s="1"/>
  <c r="G365" i="4"/>
  <c r="H365" i="4" s="1"/>
  <c r="F365" i="4" s="1"/>
  <c r="D366" i="4"/>
  <c r="AF366" i="4" s="1"/>
  <c r="G366" i="4"/>
  <c r="H366" i="4" s="1"/>
  <c r="F366" i="4" s="1"/>
  <c r="D367" i="4"/>
  <c r="AF367" i="4" s="1"/>
  <c r="G367" i="4"/>
  <c r="H367" i="4" s="1"/>
  <c r="F367" i="4" s="1"/>
  <c r="D368" i="4"/>
  <c r="AF368" i="4" s="1"/>
  <c r="G368" i="4"/>
  <c r="H368" i="4" s="1"/>
  <c r="F368" i="4" s="1"/>
  <c r="D369" i="4"/>
  <c r="AF369" i="4" s="1"/>
  <c r="G369" i="4"/>
  <c r="H369" i="4" s="1"/>
  <c r="F369" i="4" s="1"/>
  <c r="D370" i="4"/>
  <c r="AF370" i="4" s="1"/>
  <c r="G370" i="4"/>
  <c r="H370" i="4" s="1"/>
  <c r="F370" i="4" s="1"/>
  <c r="D371" i="4"/>
  <c r="AF371" i="4" s="1"/>
  <c r="G371" i="4"/>
  <c r="H371" i="4" s="1"/>
  <c r="F371" i="4" s="1"/>
  <c r="D372" i="4"/>
  <c r="AF372" i="4" s="1"/>
  <c r="G372" i="4"/>
  <c r="H372" i="4" s="1"/>
  <c r="F372" i="4" s="1"/>
  <c r="D373" i="4"/>
  <c r="AF373" i="4" s="1"/>
  <c r="G373" i="4"/>
  <c r="H373" i="4" s="1"/>
  <c r="F373" i="4" s="1"/>
  <c r="D374" i="4"/>
  <c r="AF374" i="4" s="1"/>
  <c r="G374" i="4"/>
  <c r="H374" i="4" s="1"/>
  <c r="F374" i="4" s="1"/>
  <c r="D375" i="4"/>
  <c r="AF375" i="4" s="1"/>
  <c r="G375" i="4"/>
  <c r="H375" i="4" s="1"/>
  <c r="F375" i="4" s="1"/>
  <c r="D376" i="4"/>
  <c r="AF376" i="4" s="1"/>
  <c r="G376" i="4"/>
  <c r="H376" i="4" s="1"/>
  <c r="F376" i="4" s="1"/>
  <c r="D377" i="4"/>
  <c r="AF377" i="4" s="1"/>
  <c r="G377" i="4"/>
  <c r="H377" i="4" s="1"/>
  <c r="F377" i="4" s="1"/>
  <c r="D378" i="4"/>
  <c r="AF378" i="4" s="1"/>
  <c r="G378" i="4"/>
  <c r="H378" i="4" s="1"/>
  <c r="F378" i="4" s="1"/>
  <c r="D379" i="4"/>
  <c r="AF379" i="4" s="1"/>
  <c r="G379" i="4"/>
  <c r="H379" i="4" s="1"/>
  <c r="F379" i="4" s="1"/>
  <c r="D380" i="4"/>
  <c r="AF380" i="4" s="1"/>
  <c r="G380" i="4"/>
  <c r="H380" i="4" s="1"/>
  <c r="F380" i="4" s="1"/>
  <c r="D381" i="4"/>
  <c r="AF381" i="4" s="1"/>
  <c r="G381" i="4"/>
  <c r="H381" i="4" s="1"/>
  <c r="F381" i="4" s="1"/>
  <c r="D382" i="4"/>
  <c r="AF382" i="4" s="1"/>
  <c r="G382" i="4"/>
  <c r="H382" i="4" s="1"/>
  <c r="F382" i="4" s="1"/>
  <c r="D383" i="4"/>
  <c r="AF383" i="4" s="1"/>
  <c r="G383" i="4"/>
  <c r="H383" i="4" s="1"/>
  <c r="F383" i="4" s="1"/>
  <c r="D384" i="4"/>
  <c r="AF384" i="4" s="1"/>
  <c r="G384" i="4"/>
  <c r="H384" i="4" s="1"/>
  <c r="F384" i="4" s="1"/>
  <c r="D385" i="4"/>
  <c r="AF385" i="4" s="1"/>
  <c r="G385" i="4"/>
  <c r="H385" i="4" s="1"/>
  <c r="F385" i="4" s="1"/>
  <c r="D386" i="4"/>
  <c r="AF386" i="4" s="1"/>
  <c r="G386" i="4"/>
  <c r="H386" i="4" s="1"/>
  <c r="F386" i="4" s="1"/>
  <c r="D387" i="4"/>
  <c r="AF387" i="4" s="1"/>
  <c r="G387" i="4"/>
  <c r="H387" i="4" s="1"/>
  <c r="F387" i="4" s="1"/>
  <c r="D388" i="4"/>
  <c r="AF388" i="4" s="1"/>
  <c r="G388" i="4"/>
  <c r="H388" i="4" s="1"/>
  <c r="F388" i="4" s="1"/>
  <c r="D389" i="4"/>
  <c r="AF389" i="4" s="1"/>
  <c r="G389" i="4"/>
  <c r="H389" i="4"/>
  <c r="F389" i="4" s="1"/>
  <c r="D390" i="4"/>
  <c r="AF390" i="4" s="1"/>
  <c r="G390" i="4"/>
  <c r="H390" i="4" s="1"/>
  <c r="F390" i="4" s="1"/>
  <c r="D391" i="4"/>
  <c r="AF391" i="4" s="1"/>
  <c r="G391" i="4"/>
  <c r="H391" i="4" s="1"/>
  <c r="F391" i="4" s="1"/>
  <c r="D392" i="4"/>
  <c r="AF392" i="4" s="1"/>
  <c r="G392" i="4"/>
  <c r="H392" i="4" s="1"/>
  <c r="F392" i="4" s="1"/>
  <c r="D393" i="4"/>
  <c r="AF393" i="4" s="1"/>
  <c r="G393" i="4"/>
  <c r="H393" i="4" s="1"/>
  <c r="F393" i="4" s="1"/>
  <c r="D394" i="4"/>
  <c r="AF394" i="4" s="1"/>
  <c r="G394" i="4"/>
  <c r="H394" i="4" s="1"/>
  <c r="F394" i="4" s="1"/>
  <c r="D395" i="4"/>
  <c r="AF395" i="4" s="1"/>
  <c r="G395" i="4"/>
  <c r="H395" i="4" s="1"/>
  <c r="F395" i="4" s="1"/>
  <c r="D396" i="4"/>
  <c r="AF396" i="4" s="1"/>
  <c r="G396" i="4"/>
  <c r="H396" i="4" s="1"/>
  <c r="F396" i="4" s="1"/>
  <c r="D397" i="4"/>
  <c r="AF397" i="4" s="1"/>
  <c r="G397" i="4"/>
  <c r="H397" i="4" s="1"/>
  <c r="F397" i="4" s="1"/>
  <c r="D398" i="4"/>
  <c r="AF398" i="4" s="1"/>
  <c r="G398" i="4"/>
  <c r="H398" i="4" s="1"/>
  <c r="F398" i="4" s="1"/>
  <c r="D399" i="4"/>
  <c r="AF399" i="4" s="1"/>
  <c r="G399" i="4"/>
  <c r="H399" i="4" s="1"/>
  <c r="F399" i="4" s="1"/>
  <c r="D400" i="4"/>
  <c r="AF400" i="4" s="1"/>
  <c r="G400" i="4"/>
  <c r="H400" i="4" s="1"/>
  <c r="F400" i="4" s="1"/>
  <c r="D401" i="4"/>
  <c r="AF401" i="4" s="1"/>
  <c r="G401" i="4"/>
  <c r="H401" i="4" s="1"/>
  <c r="F401" i="4" s="1"/>
  <c r="D402" i="4"/>
  <c r="AF402" i="4" s="1"/>
  <c r="G402" i="4"/>
  <c r="H402" i="4" s="1"/>
  <c r="F402" i="4" s="1"/>
  <c r="D403" i="4"/>
  <c r="AF403" i="4" s="1"/>
  <c r="G403" i="4"/>
  <c r="H403" i="4" s="1"/>
  <c r="F403" i="4" s="1"/>
  <c r="D404" i="4"/>
  <c r="AF404" i="4" s="1"/>
  <c r="G404" i="4"/>
  <c r="H404" i="4" s="1"/>
  <c r="F404" i="4" s="1"/>
  <c r="D405" i="4"/>
  <c r="AF405" i="4" s="1"/>
  <c r="G405" i="4"/>
  <c r="H405" i="4" s="1"/>
  <c r="F405" i="4" s="1"/>
  <c r="D406" i="4"/>
  <c r="AF406" i="4" s="1"/>
  <c r="G406" i="4"/>
  <c r="H406" i="4" s="1"/>
  <c r="F406" i="4" s="1"/>
  <c r="D407" i="4"/>
  <c r="AF407" i="4" s="1"/>
  <c r="G407" i="4"/>
  <c r="H407" i="4" s="1"/>
  <c r="F407" i="4" s="1"/>
  <c r="D408" i="4"/>
  <c r="AF408" i="4" s="1"/>
  <c r="G408" i="4"/>
  <c r="H408" i="4" s="1"/>
  <c r="F408" i="4" s="1"/>
  <c r="D409" i="4"/>
  <c r="AF409" i="4" s="1"/>
  <c r="G409" i="4"/>
  <c r="H409" i="4" s="1"/>
  <c r="F409" i="4" s="1"/>
  <c r="D410" i="4"/>
  <c r="AF410" i="4" s="1"/>
  <c r="G410" i="4"/>
  <c r="H410" i="4" s="1"/>
  <c r="F410" i="4" s="1"/>
  <c r="D411" i="4"/>
  <c r="AF411" i="4" s="1"/>
  <c r="G411" i="4"/>
  <c r="H411" i="4" s="1"/>
  <c r="F411" i="4" s="1"/>
  <c r="D412" i="4"/>
  <c r="AF412" i="4" s="1"/>
  <c r="G412" i="4"/>
  <c r="H412" i="4" s="1"/>
  <c r="F412" i="4" s="1"/>
  <c r="D413" i="4"/>
  <c r="AF413" i="4" s="1"/>
  <c r="G413" i="4"/>
  <c r="H413" i="4" s="1"/>
  <c r="F413" i="4" s="1"/>
  <c r="D414" i="4"/>
  <c r="AF414" i="4" s="1"/>
  <c r="G414" i="4"/>
  <c r="H414" i="4" s="1"/>
  <c r="F414" i="4" s="1"/>
  <c r="D415" i="4"/>
  <c r="AF415" i="4" s="1"/>
  <c r="G415" i="4"/>
  <c r="H415" i="4" s="1"/>
  <c r="F415" i="4" s="1"/>
  <c r="D416" i="4"/>
  <c r="AF416" i="4" s="1"/>
  <c r="G416" i="4"/>
  <c r="H416" i="4" s="1"/>
  <c r="F416" i="4" s="1"/>
  <c r="D417" i="4"/>
  <c r="AF417" i="4" s="1"/>
  <c r="G417" i="4"/>
  <c r="H417" i="4" s="1"/>
  <c r="F417" i="4" s="1"/>
  <c r="D418" i="4"/>
  <c r="AF418" i="4" s="1"/>
  <c r="G418" i="4"/>
  <c r="H418" i="4" s="1"/>
  <c r="F418" i="4" s="1"/>
  <c r="D419" i="4"/>
  <c r="AF419" i="4" s="1"/>
  <c r="G419" i="4"/>
  <c r="H419" i="4" s="1"/>
  <c r="F419" i="4" s="1"/>
  <c r="D420" i="4"/>
  <c r="AF420" i="4" s="1"/>
  <c r="G420" i="4"/>
  <c r="H420" i="4" s="1"/>
  <c r="F420" i="4" s="1"/>
  <c r="D421" i="4"/>
  <c r="AF421" i="4" s="1"/>
  <c r="G421" i="4"/>
  <c r="H421" i="4" s="1"/>
  <c r="F421" i="4" s="1"/>
  <c r="D422" i="4"/>
  <c r="AF422" i="4" s="1"/>
  <c r="G422" i="4"/>
  <c r="H422" i="4" s="1"/>
  <c r="F422" i="4" s="1"/>
  <c r="D423" i="4"/>
  <c r="AF423" i="4" s="1"/>
  <c r="G423" i="4"/>
  <c r="H423" i="4" s="1"/>
  <c r="F423" i="4" s="1"/>
  <c r="D424" i="4"/>
  <c r="AF424" i="4" s="1"/>
  <c r="G424" i="4"/>
  <c r="H424" i="4" s="1"/>
  <c r="F424" i="4" s="1"/>
  <c r="D425" i="4"/>
  <c r="AF425" i="4" s="1"/>
  <c r="G425" i="4"/>
  <c r="H425" i="4" s="1"/>
  <c r="F425" i="4" s="1"/>
  <c r="D426" i="4"/>
  <c r="AF426" i="4" s="1"/>
  <c r="G426" i="4"/>
  <c r="H426" i="4" s="1"/>
  <c r="F426" i="4" s="1"/>
  <c r="D427" i="4"/>
  <c r="AF427" i="4" s="1"/>
  <c r="G427" i="4"/>
  <c r="H427" i="4" s="1"/>
  <c r="F427" i="4" s="1"/>
  <c r="D428" i="4"/>
  <c r="AF428" i="4" s="1"/>
  <c r="G428" i="4"/>
  <c r="H428" i="4" s="1"/>
  <c r="F428" i="4" s="1"/>
  <c r="D429" i="4"/>
  <c r="AF429" i="4" s="1"/>
  <c r="G429" i="4"/>
  <c r="H429" i="4" s="1"/>
  <c r="F429" i="4" s="1"/>
  <c r="D430" i="4"/>
  <c r="AF430" i="4" s="1"/>
  <c r="G430" i="4"/>
  <c r="H430" i="4" s="1"/>
  <c r="F430" i="4" s="1"/>
  <c r="D431" i="4"/>
  <c r="AF431" i="4" s="1"/>
  <c r="G431" i="4"/>
  <c r="H431" i="4" s="1"/>
  <c r="F431" i="4" s="1"/>
  <c r="D432" i="4"/>
  <c r="AF432" i="4" s="1"/>
  <c r="G432" i="4"/>
  <c r="H432" i="4" s="1"/>
  <c r="F432" i="4" s="1"/>
  <c r="D433" i="4"/>
  <c r="AF433" i="4" s="1"/>
  <c r="G433" i="4"/>
  <c r="H433" i="4" s="1"/>
  <c r="F433" i="4" s="1"/>
  <c r="D434" i="4"/>
  <c r="AF434" i="4" s="1"/>
  <c r="G434" i="4"/>
  <c r="H434" i="4" s="1"/>
  <c r="F434" i="4" s="1"/>
  <c r="D435" i="4"/>
  <c r="AF435" i="4" s="1"/>
  <c r="G435" i="4"/>
  <c r="H435" i="4" s="1"/>
  <c r="F435" i="4" s="1"/>
  <c r="D436" i="4"/>
  <c r="AF436" i="4" s="1"/>
  <c r="G436" i="4"/>
  <c r="H436" i="4" s="1"/>
  <c r="F436" i="4" s="1"/>
  <c r="D437" i="4"/>
  <c r="AF437" i="4" s="1"/>
  <c r="G437" i="4"/>
  <c r="H437" i="4" s="1"/>
  <c r="F437" i="4" s="1"/>
  <c r="D438" i="4"/>
  <c r="AF438" i="4" s="1"/>
  <c r="G438" i="4"/>
  <c r="H438" i="4" s="1"/>
  <c r="F438" i="4" s="1"/>
  <c r="D439" i="4"/>
  <c r="AF439" i="4" s="1"/>
  <c r="G439" i="4"/>
  <c r="H439" i="4" s="1"/>
  <c r="F439" i="4" s="1"/>
  <c r="D440" i="4"/>
  <c r="AF440" i="4" s="1"/>
  <c r="G440" i="4"/>
  <c r="H440" i="4" s="1"/>
  <c r="F440" i="4" s="1"/>
  <c r="D441" i="4"/>
  <c r="AF441" i="4" s="1"/>
  <c r="G441" i="4"/>
  <c r="H441" i="4" s="1"/>
  <c r="F441" i="4" s="1"/>
  <c r="D442" i="4"/>
  <c r="AF442" i="4" s="1"/>
  <c r="G442" i="4"/>
  <c r="H442" i="4" s="1"/>
  <c r="F442" i="4" s="1"/>
  <c r="D443" i="4"/>
  <c r="AF443" i="4" s="1"/>
  <c r="G443" i="4"/>
  <c r="H443" i="4" s="1"/>
  <c r="F443" i="4" s="1"/>
  <c r="D444" i="4"/>
  <c r="AF444" i="4" s="1"/>
  <c r="G444" i="4"/>
  <c r="H444" i="4" s="1"/>
  <c r="F444" i="4" s="1"/>
  <c r="D445" i="4"/>
  <c r="AF445" i="4" s="1"/>
  <c r="G445" i="4"/>
  <c r="H445" i="4" s="1"/>
  <c r="F445" i="4" s="1"/>
  <c r="D446" i="4"/>
  <c r="AF446" i="4" s="1"/>
  <c r="G446" i="4"/>
  <c r="H446" i="4" s="1"/>
  <c r="F446" i="4" s="1"/>
  <c r="D447" i="4"/>
  <c r="AF447" i="4" s="1"/>
  <c r="G447" i="4"/>
  <c r="H447" i="4" s="1"/>
  <c r="F447" i="4" s="1"/>
  <c r="D448" i="4"/>
  <c r="AF448" i="4" s="1"/>
  <c r="G448" i="4"/>
  <c r="H448" i="4" s="1"/>
  <c r="F448" i="4" s="1"/>
  <c r="D449" i="4"/>
  <c r="AF449" i="4" s="1"/>
  <c r="G449" i="4"/>
  <c r="H449" i="4" s="1"/>
  <c r="F449" i="4" s="1"/>
  <c r="D450" i="4"/>
  <c r="AF450" i="4" s="1"/>
  <c r="G450" i="4"/>
  <c r="H450" i="4" s="1"/>
  <c r="F450" i="4" s="1"/>
  <c r="D451" i="4"/>
  <c r="AF451" i="4" s="1"/>
  <c r="G451" i="4"/>
  <c r="H451" i="4" s="1"/>
  <c r="F451" i="4" s="1"/>
  <c r="D452" i="4"/>
  <c r="AF452" i="4" s="1"/>
  <c r="G452" i="4"/>
  <c r="H452" i="4" s="1"/>
  <c r="F452" i="4" s="1"/>
  <c r="D453" i="4"/>
  <c r="AF453" i="4" s="1"/>
  <c r="G453" i="4"/>
  <c r="H453" i="4" s="1"/>
  <c r="F453" i="4" s="1"/>
  <c r="D454" i="4"/>
  <c r="AF454" i="4" s="1"/>
  <c r="G454" i="4"/>
  <c r="H454" i="4" s="1"/>
  <c r="F454" i="4" s="1"/>
  <c r="D455" i="4"/>
  <c r="AF455" i="4" s="1"/>
  <c r="G455" i="4"/>
  <c r="H455" i="4" s="1"/>
  <c r="F455" i="4" s="1"/>
  <c r="D456" i="4"/>
  <c r="AF456" i="4" s="1"/>
  <c r="G456" i="4"/>
  <c r="H456" i="4" s="1"/>
  <c r="F456" i="4" s="1"/>
  <c r="D457" i="4"/>
  <c r="AF457" i="4" s="1"/>
  <c r="G457" i="4"/>
  <c r="H457" i="4" s="1"/>
  <c r="F457" i="4" s="1"/>
  <c r="D458" i="4"/>
  <c r="AF458" i="4" s="1"/>
  <c r="G458" i="4"/>
  <c r="H458" i="4" s="1"/>
  <c r="F458" i="4" s="1"/>
  <c r="D459" i="4"/>
  <c r="AF459" i="4" s="1"/>
  <c r="G459" i="4"/>
  <c r="H459" i="4" s="1"/>
  <c r="F459" i="4" s="1"/>
  <c r="D460" i="4"/>
  <c r="AF460" i="4" s="1"/>
  <c r="G460" i="4"/>
  <c r="H460" i="4" s="1"/>
  <c r="F460" i="4" s="1"/>
  <c r="D461" i="4"/>
  <c r="AF461" i="4" s="1"/>
  <c r="G461" i="4"/>
  <c r="H461" i="4" s="1"/>
  <c r="F461" i="4" s="1"/>
  <c r="D462" i="4"/>
  <c r="AF462" i="4" s="1"/>
  <c r="G462" i="4"/>
  <c r="H462" i="4" s="1"/>
  <c r="F462" i="4" s="1"/>
  <c r="D463" i="4"/>
  <c r="AF463" i="4" s="1"/>
  <c r="G463" i="4"/>
  <c r="H463" i="4" s="1"/>
  <c r="F463" i="4" s="1"/>
  <c r="D464" i="4"/>
  <c r="AF464" i="4" s="1"/>
  <c r="G464" i="4"/>
  <c r="H464" i="4" s="1"/>
  <c r="F464" i="4" s="1"/>
  <c r="D465" i="4"/>
  <c r="AF465" i="4" s="1"/>
  <c r="G465" i="4"/>
  <c r="H465" i="4" s="1"/>
  <c r="F465" i="4" s="1"/>
  <c r="D466" i="4"/>
  <c r="AF466" i="4" s="1"/>
  <c r="G466" i="4"/>
  <c r="H466" i="4" s="1"/>
  <c r="F466" i="4" s="1"/>
  <c r="D467" i="4"/>
  <c r="AF467" i="4" s="1"/>
  <c r="G467" i="4"/>
  <c r="H467" i="4" s="1"/>
  <c r="F467" i="4" s="1"/>
  <c r="D468" i="4"/>
  <c r="AF468" i="4" s="1"/>
  <c r="G468" i="4"/>
  <c r="H468" i="4" s="1"/>
  <c r="F468" i="4" s="1"/>
  <c r="D469" i="4"/>
  <c r="AF469" i="4" s="1"/>
  <c r="G469" i="4"/>
  <c r="H469" i="4" s="1"/>
  <c r="F469" i="4" s="1"/>
  <c r="D470" i="4"/>
  <c r="AF470" i="4" s="1"/>
  <c r="G470" i="4"/>
  <c r="H470" i="4" s="1"/>
  <c r="F470" i="4" s="1"/>
  <c r="D471" i="4"/>
  <c r="AF471" i="4" s="1"/>
  <c r="G471" i="4"/>
  <c r="H471" i="4" s="1"/>
  <c r="F471" i="4" s="1"/>
  <c r="D472" i="4"/>
  <c r="AF472" i="4" s="1"/>
  <c r="G472" i="4"/>
  <c r="H472" i="4" s="1"/>
  <c r="F472" i="4" s="1"/>
  <c r="D473" i="4"/>
  <c r="AF473" i="4" s="1"/>
  <c r="G473" i="4"/>
  <c r="H473" i="4" s="1"/>
  <c r="F473" i="4" s="1"/>
  <c r="D474" i="4"/>
  <c r="AF474" i="4" s="1"/>
  <c r="G474" i="4"/>
  <c r="H474" i="4" s="1"/>
  <c r="F474" i="4" s="1"/>
  <c r="D475" i="4"/>
  <c r="AF475" i="4" s="1"/>
  <c r="G475" i="4"/>
  <c r="H475" i="4" s="1"/>
  <c r="F475" i="4" s="1"/>
  <c r="D476" i="4"/>
  <c r="AF476" i="4" s="1"/>
  <c r="G476" i="4"/>
  <c r="H476" i="4" s="1"/>
  <c r="F476" i="4" s="1"/>
  <c r="D477" i="4"/>
  <c r="AF477" i="4" s="1"/>
  <c r="G477" i="4"/>
  <c r="H477" i="4" s="1"/>
  <c r="F477" i="4" s="1"/>
  <c r="D478" i="4"/>
  <c r="AF478" i="4" s="1"/>
  <c r="G478" i="4"/>
  <c r="H478" i="4" s="1"/>
  <c r="F478" i="4" s="1"/>
  <c r="D479" i="4"/>
  <c r="AF479" i="4" s="1"/>
  <c r="G479" i="4"/>
  <c r="H479" i="4" s="1"/>
  <c r="F479" i="4" s="1"/>
  <c r="D480" i="4"/>
  <c r="AF480" i="4" s="1"/>
  <c r="G480" i="4"/>
  <c r="H480" i="4" s="1"/>
  <c r="F480" i="4" s="1"/>
  <c r="D481" i="4"/>
  <c r="AF481" i="4" s="1"/>
  <c r="G481" i="4"/>
  <c r="H481" i="4" s="1"/>
  <c r="F481" i="4" s="1"/>
  <c r="D482" i="4"/>
  <c r="AF482" i="4" s="1"/>
  <c r="G482" i="4"/>
  <c r="H482" i="4" s="1"/>
  <c r="F482" i="4" s="1"/>
  <c r="D483" i="4"/>
  <c r="AF483" i="4" s="1"/>
  <c r="G483" i="4"/>
  <c r="H483" i="4" s="1"/>
  <c r="F483" i="4" s="1"/>
  <c r="D484" i="4"/>
  <c r="AF484" i="4" s="1"/>
  <c r="G484" i="4"/>
  <c r="H484" i="4" s="1"/>
  <c r="F484" i="4" s="1"/>
  <c r="D485" i="4"/>
  <c r="AF485" i="4" s="1"/>
  <c r="G485" i="4"/>
  <c r="H485" i="4" s="1"/>
  <c r="F485" i="4" s="1"/>
  <c r="D486" i="4"/>
  <c r="AF486" i="4" s="1"/>
  <c r="G486" i="4"/>
  <c r="H486" i="4" s="1"/>
  <c r="F486" i="4" s="1"/>
  <c r="D487" i="4"/>
  <c r="AF487" i="4" s="1"/>
  <c r="G487" i="4"/>
  <c r="H487" i="4" s="1"/>
  <c r="F487" i="4" s="1"/>
  <c r="D488" i="4"/>
  <c r="AF488" i="4" s="1"/>
  <c r="G488" i="4"/>
  <c r="H488" i="4" s="1"/>
  <c r="F488" i="4" s="1"/>
  <c r="D489" i="4"/>
  <c r="AF489" i="4" s="1"/>
  <c r="G489" i="4"/>
  <c r="H489" i="4" s="1"/>
  <c r="F489" i="4" s="1"/>
  <c r="D490" i="4"/>
  <c r="AF490" i="4" s="1"/>
  <c r="G490" i="4"/>
  <c r="H490" i="4" s="1"/>
  <c r="F490" i="4" s="1"/>
  <c r="D491" i="4"/>
  <c r="AF491" i="4" s="1"/>
  <c r="G491" i="4"/>
  <c r="H491" i="4" s="1"/>
  <c r="F491" i="4" s="1"/>
  <c r="D492" i="4"/>
  <c r="AF492" i="4" s="1"/>
  <c r="G492" i="4"/>
  <c r="H492" i="4" s="1"/>
  <c r="F492" i="4" s="1"/>
  <c r="D493" i="4"/>
  <c r="AF493" i="4" s="1"/>
  <c r="G493" i="4"/>
  <c r="H493" i="4" s="1"/>
  <c r="F493" i="4" s="1"/>
  <c r="D494" i="4"/>
  <c r="AF494" i="4" s="1"/>
  <c r="G494" i="4"/>
  <c r="H494" i="4" s="1"/>
  <c r="F494" i="4" s="1"/>
  <c r="D495" i="4"/>
  <c r="AF495" i="4" s="1"/>
  <c r="G495" i="4"/>
  <c r="H495" i="4" s="1"/>
  <c r="F495" i="4" s="1"/>
  <c r="D496" i="4"/>
  <c r="AF496" i="4" s="1"/>
  <c r="G496" i="4"/>
  <c r="H496" i="4" s="1"/>
  <c r="F496" i="4" s="1"/>
  <c r="D497" i="4"/>
  <c r="AF497" i="4" s="1"/>
  <c r="G497" i="4"/>
  <c r="H497" i="4" s="1"/>
  <c r="F497" i="4" s="1"/>
  <c r="D498" i="4"/>
  <c r="AF498" i="4" s="1"/>
  <c r="G498" i="4"/>
  <c r="H498" i="4" s="1"/>
  <c r="F498" i="4" s="1"/>
  <c r="D499" i="4"/>
  <c r="AF499" i="4" s="1"/>
  <c r="G499" i="4"/>
  <c r="H499" i="4" s="1"/>
  <c r="F499" i="4" s="1"/>
  <c r="D500" i="4"/>
  <c r="AF500" i="4" s="1"/>
  <c r="G500" i="4"/>
  <c r="H500" i="4" s="1"/>
  <c r="F500" i="4" s="1"/>
  <c r="D501" i="4"/>
  <c r="AF501" i="4" s="1"/>
  <c r="G501" i="4"/>
  <c r="H501" i="4" s="1"/>
  <c r="F501" i="4" s="1"/>
  <c r="D502" i="4"/>
  <c r="AF502" i="4" s="1"/>
  <c r="G502" i="4"/>
  <c r="H502" i="4" s="1"/>
  <c r="F502" i="4" s="1"/>
  <c r="D503" i="4"/>
  <c r="AF503" i="4" s="1"/>
  <c r="G503" i="4"/>
  <c r="H503" i="4" s="1"/>
  <c r="F503" i="4" s="1"/>
  <c r="D504" i="4"/>
  <c r="AF504" i="4" s="1"/>
  <c r="G504" i="4"/>
  <c r="H504" i="4" s="1"/>
  <c r="F504" i="4" s="1"/>
  <c r="D505" i="4"/>
  <c r="AF505" i="4" s="1"/>
  <c r="G505" i="4"/>
  <c r="H505" i="4" s="1"/>
  <c r="F505" i="4" s="1"/>
  <c r="D506" i="4"/>
  <c r="AF506" i="4" s="1"/>
  <c r="G506" i="4"/>
  <c r="H506" i="4" s="1"/>
  <c r="F506" i="4" s="1"/>
  <c r="D507" i="4"/>
  <c r="AF507" i="4" s="1"/>
  <c r="G507" i="4"/>
  <c r="H507" i="4" s="1"/>
  <c r="F507" i="4" s="1"/>
  <c r="D508" i="4"/>
  <c r="AF508" i="4" s="1"/>
  <c r="G508" i="4"/>
  <c r="H508" i="4" s="1"/>
  <c r="F508" i="4" s="1"/>
  <c r="D509" i="4"/>
  <c r="AF509" i="4" s="1"/>
  <c r="G509" i="4"/>
  <c r="H509" i="4" s="1"/>
  <c r="F509" i="4" s="1"/>
  <c r="D510" i="4"/>
  <c r="AF510" i="4" s="1"/>
  <c r="G510" i="4"/>
  <c r="H510" i="4" s="1"/>
  <c r="F510" i="4" s="1"/>
  <c r="D511" i="4"/>
  <c r="AF511" i="4" s="1"/>
  <c r="G511" i="4"/>
  <c r="H511" i="4" s="1"/>
  <c r="F511" i="4" s="1"/>
  <c r="D512" i="4"/>
  <c r="AF512" i="4" s="1"/>
  <c r="G512" i="4"/>
  <c r="H512" i="4"/>
  <c r="F512" i="4" s="1"/>
  <c r="D513" i="4"/>
  <c r="AF513" i="4" s="1"/>
  <c r="G513" i="4"/>
  <c r="H513" i="4" s="1"/>
  <c r="F513" i="4" s="1"/>
  <c r="D514" i="4"/>
  <c r="AF514" i="4" s="1"/>
  <c r="G514" i="4"/>
  <c r="H514" i="4" s="1"/>
  <c r="F514" i="4" s="1"/>
  <c r="D515" i="4"/>
  <c r="AF515" i="4" s="1"/>
  <c r="G515" i="4"/>
  <c r="H515" i="4" s="1"/>
  <c r="F515" i="4" s="1"/>
  <c r="D516" i="4"/>
  <c r="AF516" i="4" s="1"/>
  <c r="G516" i="4"/>
  <c r="H516" i="4" s="1"/>
  <c r="F516" i="4" s="1"/>
  <c r="D517" i="4"/>
  <c r="AF517" i="4" s="1"/>
  <c r="G517" i="4"/>
  <c r="H517" i="4" s="1"/>
  <c r="F517" i="4" s="1"/>
  <c r="D518" i="4"/>
  <c r="AF518" i="4" s="1"/>
  <c r="G518" i="4"/>
  <c r="H518" i="4" s="1"/>
  <c r="F518" i="4" s="1"/>
  <c r="D519" i="4"/>
  <c r="AF519" i="4" s="1"/>
  <c r="G519" i="4"/>
  <c r="H519" i="4" s="1"/>
  <c r="F519" i="4" s="1"/>
  <c r="D520" i="4"/>
  <c r="AF520" i="4" s="1"/>
  <c r="G520" i="4"/>
  <c r="H520" i="4" s="1"/>
  <c r="F520" i="4" s="1"/>
  <c r="D521" i="4"/>
  <c r="AF521" i="4" s="1"/>
  <c r="G521" i="4"/>
  <c r="H521" i="4" s="1"/>
  <c r="F521" i="4" s="1"/>
  <c r="D522" i="4"/>
  <c r="AF522" i="4" s="1"/>
  <c r="G522" i="4"/>
  <c r="H522" i="4" s="1"/>
  <c r="F522" i="4" s="1"/>
  <c r="D523" i="4"/>
  <c r="AF523" i="4" s="1"/>
  <c r="G523" i="4"/>
  <c r="H523" i="4" s="1"/>
  <c r="F523" i="4" s="1"/>
  <c r="D524" i="4"/>
  <c r="AF524" i="4" s="1"/>
  <c r="G524" i="4"/>
  <c r="H524" i="4" s="1"/>
  <c r="F524" i="4" s="1"/>
  <c r="D525" i="4"/>
  <c r="AF525" i="4" s="1"/>
  <c r="G525" i="4"/>
  <c r="H525" i="4" s="1"/>
  <c r="F525" i="4" s="1"/>
  <c r="D526" i="4"/>
  <c r="AF526" i="4" s="1"/>
  <c r="G526" i="4"/>
  <c r="H526" i="4" s="1"/>
  <c r="F526" i="4" s="1"/>
  <c r="D527" i="4"/>
  <c r="AF527" i="4" s="1"/>
  <c r="G527" i="4"/>
  <c r="H527" i="4" s="1"/>
  <c r="F527" i="4" s="1"/>
  <c r="D528" i="4"/>
  <c r="AF528" i="4" s="1"/>
  <c r="G528" i="4"/>
  <c r="H528" i="4" s="1"/>
  <c r="F528" i="4" s="1"/>
  <c r="D529" i="4"/>
  <c r="AF529" i="4" s="1"/>
  <c r="G529" i="4"/>
  <c r="H529" i="4" s="1"/>
  <c r="F529" i="4" s="1"/>
  <c r="D530" i="4"/>
  <c r="AF530" i="4" s="1"/>
  <c r="G530" i="4"/>
  <c r="H530" i="4" s="1"/>
  <c r="F530" i="4" s="1"/>
  <c r="D531" i="4"/>
  <c r="AF531" i="4" s="1"/>
  <c r="G531" i="4"/>
  <c r="H531" i="4" s="1"/>
  <c r="F531" i="4" s="1"/>
  <c r="D532" i="4"/>
  <c r="AF532" i="4" s="1"/>
  <c r="G532" i="4"/>
  <c r="H532" i="4" s="1"/>
  <c r="F532" i="4" s="1"/>
  <c r="D533" i="4"/>
  <c r="AF533" i="4" s="1"/>
  <c r="G533" i="4"/>
  <c r="H533" i="4" s="1"/>
  <c r="F533" i="4" s="1"/>
  <c r="D534" i="4"/>
  <c r="AF534" i="4" s="1"/>
  <c r="G534" i="4"/>
  <c r="H534" i="4" s="1"/>
  <c r="F534" i="4" s="1"/>
  <c r="D535" i="4"/>
  <c r="AF535" i="4" s="1"/>
  <c r="G535" i="4"/>
  <c r="H535" i="4" s="1"/>
  <c r="F535" i="4" s="1"/>
  <c r="D536" i="4"/>
  <c r="AF536" i="4" s="1"/>
  <c r="G536" i="4"/>
  <c r="H536" i="4" s="1"/>
  <c r="F536" i="4" s="1"/>
  <c r="D537" i="4"/>
  <c r="AF537" i="4" s="1"/>
  <c r="G537" i="4"/>
  <c r="H537" i="4" s="1"/>
  <c r="F537" i="4" s="1"/>
  <c r="D538" i="4"/>
  <c r="AF538" i="4" s="1"/>
  <c r="G538" i="4"/>
  <c r="H538" i="4" s="1"/>
  <c r="F538" i="4" s="1"/>
  <c r="D539" i="4"/>
  <c r="AF539" i="4" s="1"/>
  <c r="G539" i="4"/>
  <c r="H539" i="4" s="1"/>
  <c r="F539" i="4" s="1"/>
  <c r="D540" i="4"/>
  <c r="AF540" i="4" s="1"/>
  <c r="G540" i="4"/>
  <c r="H540" i="4" s="1"/>
  <c r="F540" i="4" s="1"/>
  <c r="D541" i="4"/>
  <c r="AF541" i="4" s="1"/>
  <c r="G541" i="4"/>
  <c r="H541" i="4" s="1"/>
  <c r="F541" i="4" s="1"/>
  <c r="D542" i="4"/>
  <c r="AF542" i="4" s="1"/>
  <c r="G542" i="4"/>
  <c r="H542" i="4" s="1"/>
  <c r="F542" i="4" s="1"/>
  <c r="D543" i="4"/>
  <c r="AF543" i="4" s="1"/>
  <c r="G543" i="4"/>
  <c r="H543" i="4" s="1"/>
  <c r="F543" i="4" s="1"/>
  <c r="D544" i="4"/>
  <c r="AF544" i="4" s="1"/>
  <c r="G544" i="4"/>
  <c r="H544" i="4" s="1"/>
  <c r="F544" i="4" s="1"/>
  <c r="D545" i="4"/>
  <c r="AF545" i="4" s="1"/>
  <c r="G545" i="4"/>
  <c r="H545" i="4" s="1"/>
  <c r="F545" i="4" s="1"/>
  <c r="D546" i="4"/>
  <c r="AF546" i="4" s="1"/>
  <c r="G546" i="4"/>
  <c r="H546" i="4" s="1"/>
  <c r="F546" i="4" s="1"/>
  <c r="D547" i="4"/>
  <c r="AF547" i="4" s="1"/>
  <c r="G547" i="4"/>
  <c r="H547" i="4" s="1"/>
  <c r="F547" i="4" s="1"/>
  <c r="D548" i="4"/>
  <c r="AF548" i="4" s="1"/>
  <c r="G548" i="4"/>
  <c r="H548" i="4" s="1"/>
  <c r="F548" i="4" s="1"/>
  <c r="D549" i="4"/>
  <c r="AF549" i="4" s="1"/>
  <c r="G549" i="4"/>
  <c r="H549" i="4" s="1"/>
  <c r="F549" i="4" s="1"/>
  <c r="D550" i="4"/>
  <c r="AF550" i="4" s="1"/>
  <c r="G550" i="4"/>
  <c r="H550" i="4" s="1"/>
  <c r="F550" i="4" s="1"/>
  <c r="D551" i="4"/>
  <c r="AF551" i="4" s="1"/>
  <c r="G551" i="4"/>
  <c r="H551" i="4" s="1"/>
  <c r="F551" i="4" s="1"/>
  <c r="D552" i="4"/>
  <c r="AF552" i="4" s="1"/>
  <c r="G552" i="4"/>
  <c r="H552" i="4" s="1"/>
  <c r="F552" i="4" s="1"/>
  <c r="D553" i="4"/>
  <c r="AF553" i="4" s="1"/>
  <c r="G553" i="4"/>
  <c r="H553" i="4" s="1"/>
  <c r="F553" i="4" s="1"/>
  <c r="D554" i="4"/>
  <c r="AF554" i="4" s="1"/>
  <c r="G554" i="4"/>
  <c r="H554" i="4" s="1"/>
  <c r="F554" i="4" s="1"/>
  <c r="D555" i="4"/>
  <c r="AF555" i="4" s="1"/>
  <c r="G555" i="4"/>
  <c r="H555" i="4" s="1"/>
  <c r="F555" i="4" s="1"/>
  <c r="D556" i="4"/>
  <c r="AF556" i="4" s="1"/>
  <c r="G556" i="4"/>
  <c r="H556" i="4" s="1"/>
  <c r="F556" i="4" s="1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L1365" i="15"/>
  <c r="L1364" i="15"/>
  <c r="L1363" i="15"/>
  <c r="L1362" i="15"/>
  <c r="L1361" i="15"/>
  <c r="L1360" i="15"/>
  <c r="L1359" i="15"/>
  <c r="L1358" i="15"/>
  <c r="L1357" i="15"/>
  <c r="L1356" i="15"/>
  <c r="L1355" i="15"/>
  <c r="L1354" i="15"/>
  <c r="L1353" i="15"/>
  <c r="L1352" i="15"/>
  <c r="L1351" i="15"/>
  <c r="L1350" i="15"/>
  <c r="L1349" i="15"/>
  <c r="L1348" i="15"/>
  <c r="L1347" i="15"/>
  <c r="L1346" i="15"/>
  <c r="L1345" i="15"/>
  <c r="L1344" i="15"/>
  <c r="L1343" i="15"/>
  <c r="L1342" i="15"/>
  <c r="L1341" i="15"/>
  <c r="L1340" i="15"/>
  <c r="L1339" i="15"/>
  <c r="L1338" i="15"/>
  <c r="L1337" i="15"/>
  <c r="L1336" i="15"/>
  <c r="L1335" i="15"/>
  <c r="L1334" i="15"/>
  <c r="L1333" i="15"/>
  <c r="L1332" i="15"/>
  <c r="L1331" i="15"/>
  <c r="L1330" i="15"/>
  <c r="L1329" i="15"/>
  <c r="L1328" i="15"/>
  <c r="L1327" i="15"/>
  <c r="L1326" i="15"/>
  <c r="L1325" i="15"/>
  <c r="L1324" i="15"/>
  <c r="L1323" i="15"/>
  <c r="S1322" i="15"/>
  <c r="R1322" i="15"/>
  <c r="M1322" i="15"/>
  <c r="L1322" i="15"/>
  <c r="J1322" i="15"/>
  <c r="I1322" i="15"/>
  <c r="S1321" i="15"/>
  <c r="R1321" i="15"/>
  <c r="M1321" i="15"/>
  <c r="L1321" i="15"/>
  <c r="J1321" i="15"/>
  <c r="I1321" i="15"/>
  <c r="S1320" i="15"/>
  <c r="R1320" i="15"/>
  <c r="M1320" i="15"/>
  <c r="L1320" i="15"/>
  <c r="J1320" i="15"/>
  <c r="I1320" i="15"/>
  <c r="S1319" i="15"/>
  <c r="R1319" i="15"/>
  <c r="M1319" i="15"/>
  <c r="L1319" i="15"/>
  <c r="J1319" i="15"/>
  <c r="I1319" i="15"/>
  <c r="S1318" i="15"/>
  <c r="R1318" i="15"/>
  <c r="M1318" i="15"/>
  <c r="L1318" i="15"/>
  <c r="J1318" i="15"/>
  <c r="I1318" i="15"/>
  <c r="S1317" i="15"/>
  <c r="R1317" i="15"/>
  <c r="M1317" i="15"/>
  <c r="J1317" i="15"/>
  <c r="I1317" i="15"/>
  <c r="S1316" i="15"/>
  <c r="R1316" i="15"/>
  <c r="M1316" i="15"/>
  <c r="J1316" i="15"/>
  <c r="I1316" i="15"/>
  <c r="S1315" i="15"/>
  <c r="R1315" i="15"/>
  <c r="M1315" i="15"/>
  <c r="J1315" i="15"/>
  <c r="I1315" i="15"/>
  <c r="S1314" i="15"/>
  <c r="R1314" i="15"/>
  <c r="M1314" i="15"/>
  <c r="J1314" i="15"/>
  <c r="I1314" i="15"/>
  <c r="S1313" i="15"/>
  <c r="R1313" i="15"/>
  <c r="M1313" i="15"/>
  <c r="J1313" i="15"/>
  <c r="I1313" i="15"/>
  <c r="S1312" i="15"/>
  <c r="R1312" i="15"/>
  <c r="M1312" i="15"/>
  <c r="J1312" i="15"/>
  <c r="I1312" i="15"/>
  <c r="S1311" i="15"/>
  <c r="R1311" i="15"/>
  <c r="M1311" i="15"/>
  <c r="J1311" i="15"/>
  <c r="I1311" i="15"/>
  <c r="S1310" i="15"/>
  <c r="R1310" i="15"/>
  <c r="M1310" i="15"/>
  <c r="J1310" i="15"/>
  <c r="I1310" i="15"/>
  <c r="S1309" i="15"/>
  <c r="R1309" i="15"/>
  <c r="M1309" i="15"/>
  <c r="J1309" i="15"/>
  <c r="I1309" i="15"/>
  <c r="S1308" i="15"/>
  <c r="R1308" i="15"/>
  <c r="M1308" i="15"/>
  <c r="J1308" i="15"/>
  <c r="I1308" i="15"/>
  <c r="S1307" i="15"/>
  <c r="R1307" i="15"/>
  <c r="M1307" i="15"/>
  <c r="J1307" i="15"/>
  <c r="I1307" i="15"/>
  <c r="S1306" i="15"/>
  <c r="R1306" i="15"/>
  <c r="M1306" i="15"/>
  <c r="J1306" i="15"/>
  <c r="I1306" i="15"/>
  <c r="S1305" i="15"/>
  <c r="R1305" i="15"/>
  <c r="M1305" i="15"/>
  <c r="J1305" i="15"/>
  <c r="I1305" i="15"/>
  <c r="S1304" i="15"/>
  <c r="R1304" i="15"/>
  <c r="M1304" i="15"/>
  <c r="J1304" i="15"/>
  <c r="I1304" i="15"/>
  <c r="S1303" i="15"/>
  <c r="R1303" i="15"/>
  <c r="M1303" i="15"/>
  <c r="J1303" i="15"/>
  <c r="I1303" i="15"/>
  <c r="S1302" i="15"/>
  <c r="R1302" i="15"/>
  <c r="M1302" i="15"/>
  <c r="J1302" i="15"/>
  <c r="I1302" i="15"/>
  <c r="S1301" i="15"/>
  <c r="R1301" i="15"/>
  <c r="M1301" i="15"/>
  <c r="J1301" i="15"/>
  <c r="I1301" i="15"/>
  <c r="S1300" i="15"/>
  <c r="R1300" i="15"/>
  <c r="M1300" i="15"/>
  <c r="J1300" i="15"/>
  <c r="I1300" i="15"/>
  <c r="S1299" i="15"/>
  <c r="R1299" i="15"/>
  <c r="M1299" i="15"/>
  <c r="J1299" i="15"/>
  <c r="I1299" i="15"/>
  <c r="S1298" i="15"/>
  <c r="R1298" i="15"/>
  <c r="M1298" i="15"/>
  <c r="J1298" i="15"/>
  <c r="I1298" i="15"/>
  <c r="S1297" i="15"/>
  <c r="R1297" i="15"/>
  <c r="M1297" i="15"/>
  <c r="J1297" i="15"/>
  <c r="I1297" i="15"/>
  <c r="S1296" i="15"/>
  <c r="R1296" i="15"/>
  <c r="M1296" i="15"/>
  <c r="J1296" i="15"/>
  <c r="I1296" i="15"/>
  <c r="S1295" i="15"/>
  <c r="R1295" i="15"/>
  <c r="M1295" i="15"/>
  <c r="J1295" i="15"/>
  <c r="I1295" i="15"/>
  <c r="S1294" i="15"/>
  <c r="R1294" i="15"/>
  <c r="M1294" i="15"/>
  <c r="J1294" i="15"/>
  <c r="I1294" i="15"/>
  <c r="S1293" i="15"/>
  <c r="R1293" i="15"/>
  <c r="M1293" i="15"/>
  <c r="J1293" i="15"/>
  <c r="I1293" i="15"/>
  <c r="S1292" i="15"/>
  <c r="R1292" i="15"/>
  <c r="M1292" i="15"/>
  <c r="J1292" i="15"/>
  <c r="I1292" i="15"/>
  <c r="S1291" i="15"/>
  <c r="R1291" i="15"/>
  <c r="M1291" i="15"/>
  <c r="J1291" i="15"/>
  <c r="I1291" i="15"/>
  <c r="S1290" i="15"/>
  <c r="R1290" i="15"/>
  <c r="M1290" i="15"/>
  <c r="J1290" i="15"/>
  <c r="I1290" i="15"/>
  <c r="S1289" i="15"/>
  <c r="R1289" i="15"/>
  <c r="M1289" i="15"/>
  <c r="J1289" i="15"/>
  <c r="I1289" i="15"/>
  <c r="S1288" i="15"/>
  <c r="R1288" i="15"/>
  <c r="M1288" i="15"/>
  <c r="J1288" i="15"/>
  <c r="I1288" i="15"/>
  <c r="S1287" i="15"/>
  <c r="R1287" i="15"/>
  <c r="M1287" i="15"/>
  <c r="J1287" i="15"/>
  <c r="I1287" i="15"/>
  <c r="S1286" i="15"/>
  <c r="R1286" i="15"/>
  <c r="M1286" i="15"/>
  <c r="J1286" i="15"/>
  <c r="I1286" i="15"/>
  <c r="S1285" i="15"/>
  <c r="R1285" i="15"/>
  <c r="M1285" i="15"/>
  <c r="J1285" i="15"/>
  <c r="I1285" i="15"/>
  <c r="S1284" i="15"/>
  <c r="R1284" i="15"/>
  <c r="M1284" i="15"/>
  <c r="J1284" i="15"/>
  <c r="I1284" i="15"/>
  <c r="S1283" i="15"/>
  <c r="R1283" i="15"/>
  <c r="M1283" i="15"/>
  <c r="J1283" i="15"/>
  <c r="I1283" i="15"/>
  <c r="S1282" i="15"/>
  <c r="R1282" i="15"/>
  <c r="M1282" i="15"/>
  <c r="J1282" i="15"/>
  <c r="I1282" i="15"/>
  <c r="S1281" i="15"/>
  <c r="R1281" i="15"/>
  <c r="M1281" i="15"/>
  <c r="J1281" i="15"/>
  <c r="I1281" i="15"/>
  <c r="S1280" i="15"/>
  <c r="R1280" i="15"/>
  <c r="M1280" i="15"/>
  <c r="J1280" i="15"/>
  <c r="I1280" i="15"/>
  <c r="S1279" i="15"/>
  <c r="R1279" i="15"/>
  <c r="M1279" i="15"/>
  <c r="J1279" i="15"/>
  <c r="I1279" i="15"/>
  <c r="S1278" i="15"/>
  <c r="R1278" i="15"/>
  <c r="M1278" i="15"/>
  <c r="J1278" i="15"/>
  <c r="I1278" i="15"/>
  <c r="S1277" i="15"/>
  <c r="R1277" i="15"/>
  <c r="M1277" i="15"/>
  <c r="J1277" i="15"/>
  <c r="I1277" i="15"/>
  <c r="S1276" i="15"/>
  <c r="R1276" i="15"/>
  <c r="M1276" i="15"/>
  <c r="J1276" i="15"/>
  <c r="I1276" i="15"/>
  <c r="S1275" i="15"/>
  <c r="R1275" i="15"/>
  <c r="M1275" i="15"/>
  <c r="J1275" i="15"/>
  <c r="I1275" i="15"/>
  <c r="S1274" i="15"/>
  <c r="R1274" i="15"/>
  <c r="M1274" i="15"/>
  <c r="J1274" i="15"/>
  <c r="I1274" i="15"/>
  <c r="S1273" i="15"/>
  <c r="R1273" i="15"/>
  <c r="M1273" i="15"/>
  <c r="J1273" i="15"/>
  <c r="I1273" i="15"/>
  <c r="S1272" i="15"/>
  <c r="R1272" i="15"/>
  <c r="M1272" i="15"/>
  <c r="J1272" i="15"/>
  <c r="I1272" i="15"/>
  <c r="S1271" i="15"/>
  <c r="R1271" i="15"/>
  <c r="M1271" i="15"/>
  <c r="J1271" i="15"/>
  <c r="I1271" i="15"/>
  <c r="S1270" i="15"/>
  <c r="R1270" i="15"/>
  <c r="M1270" i="15"/>
  <c r="J1270" i="15"/>
  <c r="I1270" i="15"/>
  <c r="S1269" i="15"/>
  <c r="R1269" i="15"/>
  <c r="M1269" i="15"/>
  <c r="J1269" i="15"/>
  <c r="I1269" i="15"/>
  <c r="S1268" i="15"/>
  <c r="R1268" i="15"/>
  <c r="M1268" i="15"/>
  <c r="J1268" i="15"/>
  <c r="I1268" i="15"/>
  <c r="S1267" i="15"/>
  <c r="R1267" i="15"/>
  <c r="M1267" i="15"/>
  <c r="J1267" i="15"/>
  <c r="I1267" i="15"/>
  <c r="S1266" i="15"/>
  <c r="R1266" i="15"/>
  <c r="M1266" i="15"/>
  <c r="J1266" i="15"/>
  <c r="I1266" i="15"/>
  <c r="S1265" i="15"/>
  <c r="R1265" i="15"/>
  <c r="M1265" i="15"/>
  <c r="J1265" i="15"/>
  <c r="I1265" i="15"/>
  <c r="S1264" i="15"/>
  <c r="R1264" i="15"/>
  <c r="M1264" i="15"/>
  <c r="J1264" i="15"/>
  <c r="I1264" i="15"/>
  <c r="S1263" i="15"/>
  <c r="R1263" i="15"/>
  <c r="M1263" i="15"/>
  <c r="J1263" i="15"/>
  <c r="I1263" i="15"/>
  <c r="S1262" i="15"/>
  <c r="R1262" i="15"/>
  <c r="M1262" i="15"/>
  <c r="J1262" i="15"/>
  <c r="I1262" i="15"/>
  <c r="S1261" i="15"/>
  <c r="R1261" i="15"/>
  <c r="M1261" i="15"/>
  <c r="J1261" i="15"/>
  <c r="I1261" i="15"/>
  <c r="S1260" i="15"/>
  <c r="R1260" i="15"/>
  <c r="M1260" i="15"/>
  <c r="J1260" i="15"/>
  <c r="I1260" i="15"/>
  <c r="S1259" i="15"/>
  <c r="R1259" i="15"/>
  <c r="M1259" i="15"/>
  <c r="J1259" i="15"/>
  <c r="I1259" i="15"/>
  <c r="S1258" i="15"/>
  <c r="R1258" i="15"/>
  <c r="M1258" i="15"/>
  <c r="J1258" i="15"/>
  <c r="I1258" i="15"/>
  <c r="S1257" i="15"/>
  <c r="R1257" i="15"/>
  <c r="M1257" i="15"/>
  <c r="J1257" i="15"/>
  <c r="I1257" i="15"/>
  <c r="S1256" i="15"/>
  <c r="R1256" i="15"/>
  <c r="M1256" i="15"/>
  <c r="J1256" i="15"/>
  <c r="I1256" i="15"/>
  <c r="S1255" i="15"/>
  <c r="R1255" i="15"/>
  <c r="M1255" i="15"/>
  <c r="J1255" i="15"/>
  <c r="I1255" i="15"/>
  <c r="S1254" i="15"/>
  <c r="R1254" i="15"/>
  <c r="M1254" i="15"/>
  <c r="J1254" i="15"/>
  <c r="I1254" i="15"/>
  <c r="S1253" i="15"/>
  <c r="R1253" i="15"/>
  <c r="M1253" i="15"/>
  <c r="J1253" i="15"/>
  <c r="I1253" i="15"/>
  <c r="S1252" i="15"/>
  <c r="R1252" i="15"/>
  <c r="M1252" i="15"/>
  <c r="J1252" i="15"/>
  <c r="I1252" i="15"/>
  <c r="S1251" i="15"/>
  <c r="R1251" i="15"/>
  <c r="M1251" i="15"/>
  <c r="J1251" i="15"/>
  <c r="I1251" i="15"/>
  <c r="S1250" i="15"/>
  <c r="R1250" i="15"/>
  <c r="M1250" i="15"/>
  <c r="J1250" i="15"/>
  <c r="I1250" i="15"/>
  <c r="S1249" i="15"/>
  <c r="R1249" i="15"/>
  <c r="M1249" i="15"/>
  <c r="J1249" i="15"/>
  <c r="I1249" i="15"/>
  <c r="S1248" i="15"/>
  <c r="R1248" i="15"/>
  <c r="M1248" i="15"/>
  <c r="J1248" i="15"/>
  <c r="I1248" i="15"/>
  <c r="S1247" i="15"/>
  <c r="R1247" i="15"/>
  <c r="M1247" i="15"/>
  <c r="J1247" i="15"/>
  <c r="I1247" i="15"/>
  <c r="S1246" i="15"/>
  <c r="R1246" i="15"/>
  <c r="M1246" i="15"/>
  <c r="J1246" i="15"/>
  <c r="I1246" i="15"/>
  <c r="S1245" i="15"/>
  <c r="R1245" i="15"/>
  <c r="M1245" i="15"/>
  <c r="J1245" i="15"/>
  <c r="I1245" i="15"/>
  <c r="S1244" i="15"/>
  <c r="R1244" i="15"/>
  <c r="M1244" i="15"/>
  <c r="J1244" i="15"/>
  <c r="I1244" i="15"/>
  <c r="S1243" i="15"/>
  <c r="R1243" i="15"/>
  <c r="M1243" i="15"/>
  <c r="J1243" i="15"/>
  <c r="I1243" i="15"/>
  <c r="S1242" i="15"/>
  <c r="R1242" i="15"/>
  <c r="M1242" i="15"/>
  <c r="J1242" i="15"/>
  <c r="I1242" i="15"/>
  <c r="S1241" i="15"/>
  <c r="R1241" i="15"/>
  <c r="M1241" i="15"/>
  <c r="J1241" i="15"/>
  <c r="I1241" i="15"/>
  <c r="S1240" i="15"/>
  <c r="R1240" i="15"/>
  <c r="M1240" i="15"/>
  <c r="J1240" i="15"/>
  <c r="I1240" i="15"/>
  <c r="S1239" i="15"/>
  <c r="R1239" i="15"/>
  <c r="M1239" i="15"/>
  <c r="J1239" i="15"/>
  <c r="I1239" i="15"/>
  <c r="S1238" i="15"/>
  <c r="R1238" i="15"/>
  <c r="M1238" i="15"/>
  <c r="J1238" i="15"/>
  <c r="I1238" i="15"/>
  <c r="S1237" i="15"/>
  <c r="R1237" i="15"/>
  <c r="M1237" i="15"/>
  <c r="J1237" i="15"/>
  <c r="I1237" i="15"/>
  <c r="S1236" i="15"/>
  <c r="R1236" i="15"/>
  <c r="M1236" i="15"/>
  <c r="J1236" i="15"/>
  <c r="I1236" i="15"/>
  <c r="S1235" i="15"/>
  <c r="R1235" i="15"/>
  <c r="M1235" i="15"/>
  <c r="J1235" i="15"/>
  <c r="I1235" i="15"/>
  <c r="S1234" i="15"/>
  <c r="R1234" i="15"/>
  <c r="M1234" i="15"/>
  <c r="J1234" i="15"/>
  <c r="I1234" i="15"/>
  <c r="S1233" i="15"/>
  <c r="R1233" i="15"/>
  <c r="M1233" i="15"/>
  <c r="J1233" i="15"/>
  <c r="I1233" i="15"/>
  <c r="S1232" i="15"/>
  <c r="R1232" i="15"/>
  <c r="M1232" i="15"/>
  <c r="J1232" i="15"/>
  <c r="I1232" i="15"/>
  <c r="S1231" i="15"/>
  <c r="R1231" i="15"/>
  <c r="M1231" i="15"/>
  <c r="J1231" i="15"/>
  <c r="I1231" i="15"/>
  <c r="S1230" i="15"/>
  <c r="R1230" i="15"/>
  <c r="M1230" i="15"/>
  <c r="N1230" i="15" s="1" a="1"/>
  <c r="N1230" i="15" s="1"/>
  <c r="J1230" i="15"/>
  <c r="I1230" i="15"/>
  <c r="S1229" i="15"/>
  <c r="R1229" i="15"/>
  <c r="M1229" i="15"/>
  <c r="N1229" i="15" s="1" a="1"/>
  <c r="N1229" i="15" s="1"/>
  <c r="J1229" i="15"/>
  <c r="I1229" i="15"/>
  <c r="S1228" i="15"/>
  <c r="R1228" i="15"/>
  <c r="N1228" i="15" a="1"/>
  <c r="N1228" i="15" s="1"/>
  <c r="M1228" i="15"/>
  <c r="J1228" i="15"/>
  <c r="I1228" i="15"/>
  <c r="S1227" i="15"/>
  <c r="R1227" i="15"/>
  <c r="M1227" i="15"/>
  <c r="N1227" i="15" s="1" a="1"/>
  <c r="N1227" i="15" s="1"/>
  <c r="J1227" i="15"/>
  <c r="I1227" i="15"/>
  <c r="S1226" i="15"/>
  <c r="R1226" i="15"/>
  <c r="M1226" i="15"/>
  <c r="N1226" i="15" s="1" a="1"/>
  <c r="N1226" i="15" s="1"/>
  <c r="J1226" i="15"/>
  <c r="I1226" i="15"/>
  <c r="S1225" i="15"/>
  <c r="R1225" i="15"/>
  <c r="M1225" i="15"/>
  <c r="N1225" i="15" s="1" a="1"/>
  <c r="N1225" i="15" s="1"/>
  <c r="J1225" i="15"/>
  <c r="I1225" i="15"/>
  <c r="S1224" i="15"/>
  <c r="R1224" i="15"/>
  <c r="N1224" i="15" a="1"/>
  <c r="N1224" i="15" s="1"/>
  <c r="M1224" i="15"/>
  <c r="J1224" i="15"/>
  <c r="I1224" i="15"/>
  <c r="S1223" i="15"/>
  <c r="R1223" i="15"/>
  <c r="M1223" i="15"/>
  <c r="N1223" i="15" s="1" a="1"/>
  <c r="N1223" i="15" s="1"/>
  <c r="J1223" i="15"/>
  <c r="I1223" i="15"/>
  <c r="S1222" i="15"/>
  <c r="R1222" i="15"/>
  <c r="M1222" i="15"/>
  <c r="N1222" i="15" s="1" a="1"/>
  <c r="N1222" i="15" s="1"/>
  <c r="J1222" i="15"/>
  <c r="I1222" i="15"/>
  <c r="S1221" i="15"/>
  <c r="R1221" i="15"/>
  <c r="M1221" i="15"/>
  <c r="N1221" i="15" s="1" a="1"/>
  <c r="N1221" i="15" s="1"/>
  <c r="J1221" i="15"/>
  <c r="I1221" i="15"/>
  <c r="S1220" i="15"/>
  <c r="R1220" i="15"/>
  <c r="N1220" i="15" a="1"/>
  <c r="N1220" i="15" s="1"/>
  <c r="M1220" i="15"/>
  <c r="J1220" i="15"/>
  <c r="I1220" i="15"/>
  <c r="S1219" i="15"/>
  <c r="R1219" i="15"/>
  <c r="M1219" i="15"/>
  <c r="N1219" i="15" s="1" a="1"/>
  <c r="N1219" i="15" s="1"/>
  <c r="J1219" i="15"/>
  <c r="I1219" i="15"/>
  <c r="S1218" i="15"/>
  <c r="R1218" i="15"/>
  <c r="M1218" i="15"/>
  <c r="N1218" i="15" s="1" a="1"/>
  <c r="N1218" i="15" s="1"/>
  <c r="J1218" i="15"/>
  <c r="I1218" i="15"/>
  <c r="S1217" i="15"/>
  <c r="R1217" i="15"/>
  <c r="M1217" i="15"/>
  <c r="N1217" i="15" s="1" a="1"/>
  <c r="N1217" i="15" s="1"/>
  <c r="J1217" i="15"/>
  <c r="I1217" i="15"/>
  <c r="S1216" i="15"/>
  <c r="R1216" i="15"/>
  <c r="N1216" i="15" a="1"/>
  <c r="N1216" i="15" s="1"/>
  <c r="M1216" i="15"/>
  <c r="J1216" i="15"/>
  <c r="I1216" i="15"/>
  <c r="S1215" i="15"/>
  <c r="R1215" i="15"/>
  <c r="M1215" i="15"/>
  <c r="N1215" i="15" s="1" a="1"/>
  <c r="N1215" i="15" s="1"/>
  <c r="J1215" i="15"/>
  <c r="I1215" i="15"/>
  <c r="S1214" i="15"/>
  <c r="R1214" i="15"/>
  <c r="M1214" i="15"/>
  <c r="N1214" i="15" s="1" a="1"/>
  <c r="N1214" i="15" s="1"/>
  <c r="J1214" i="15"/>
  <c r="I1214" i="15"/>
  <c r="S1213" i="15"/>
  <c r="R1213" i="15"/>
  <c r="M1213" i="15"/>
  <c r="N1213" i="15" s="1" a="1"/>
  <c r="N1213" i="15" s="1"/>
  <c r="J1213" i="15"/>
  <c r="I1213" i="15"/>
  <c r="S1212" i="15"/>
  <c r="R1212" i="15"/>
  <c r="N1212" i="15" a="1"/>
  <c r="N1212" i="15" s="1"/>
  <c r="M1212" i="15"/>
  <c r="J1212" i="15"/>
  <c r="I1212" i="15"/>
  <c r="S1211" i="15"/>
  <c r="R1211" i="15"/>
  <c r="M1211" i="15"/>
  <c r="N1211" i="15" s="1" a="1"/>
  <c r="N1211" i="15" s="1"/>
  <c r="J1211" i="15"/>
  <c r="I1211" i="15"/>
  <c r="S1210" i="15"/>
  <c r="R1210" i="15"/>
  <c r="M1210" i="15"/>
  <c r="N1210" i="15" s="1" a="1"/>
  <c r="N1210" i="15" s="1"/>
  <c r="J1210" i="15"/>
  <c r="I1210" i="15"/>
  <c r="S1209" i="15"/>
  <c r="R1209" i="15"/>
  <c r="M1209" i="15"/>
  <c r="N1209" i="15" s="1" a="1"/>
  <c r="N1209" i="15" s="1"/>
  <c r="J1209" i="15"/>
  <c r="I1209" i="15"/>
  <c r="S1208" i="15"/>
  <c r="R1208" i="15"/>
  <c r="N1208" i="15" a="1"/>
  <c r="N1208" i="15" s="1"/>
  <c r="M1208" i="15"/>
  <c r="J1208" i="15"/>
  <c r="I1208" i="15"/>
  <c r="S1207" i="15"/>
  <c r="R1207" i="15"/>
  <c r="M1207" i="15"/>
  <c r="N1207" i="15" s="1" a="1"/>
  <c r="N1207" i="15" s="1"/>
  <c r="J1207" i="15"/>
  <c r="I1207" i="15"/>
  <c r="S1206" i="15"/>
  <c r="R1206" i="15"/>
  <c r="M1206" i="15"/>
  <c r="N1206" i="15" s="1" a="1"/>
  <c r="N1206" i="15" s="1"/>
  <c r="J1206" i="15"/>
  <c r="I1206" i="15"/>
  <c r="S1205" i="15"/>
  <c r="R1205" i="15"/>
  <c r="M1205" i="15"/>
  <c r="N1205" i="15" s="1" a="1"/>
  <c r="N1205" i="15" s="1"/>
  <c r="J1205" i="15"/>
  <c r="I1205" i="15"/>
  <c r="S1204" i="15"/>
  <c r="R1204" i="15"/>
  <c r="N1204" i="15" a="1"/>
  <c r="N1204" i="15" s="1"/>
  <c r="M1204" i="15"/>
  <c r="J1204" i="15"/>
  <c r="I1204" i="15"/>
  <c r="S1203" i="15"/>
  <c r="R1203" i="15"/>
  <c r="M1203" i="15"/>
  <c r="N1203" i="15" s="1" a="1"/>
  <c r="N1203" i="15" s="1"/>
  <c r="J1203" i="15"/>
  <c r="I1203" i="15"/>
  <c r="S1202" i="15"/>
  <c r="R1202" i="15"/>
  <c r="M1202" i="15"/>
  <c r="N1202" i="15" s="1" a="1"/>
  <c r="N1202" i="15" s="1"/>
  <c r="J1202" i="15"/>
  <c r="I1202" i="15"/>
  <c r="S1201" i="15"/>
  <c r="R1201" i="15"/>
  <c r="M1201" i="15"/>
  <c r="N1201" i="15" s="1" a="1"/>
  <c r="N1201" i="15" s="1"/>
  <c r="J1201" i="15"/>
  <c r="I1201" i="15"/>
  <c r="S1200" i="15"/>
  <c r="R1200" i="15"/>
  <c r="N1200" i="15" a="1"/>
  <c r="N1200" i="15" s="1"/>
  <c r="M1200" i="15"/>
  <c r="J1200" i="15"/>
  <c r="I1200" i="15"/>
  <c r="S1199" i="15"/>
  <c r="R1199" i="15"/>
  <c r="M1199" i="15"/>
  <c r="N1199" i="15" s="1" a="1"/>
  <c r="N1199" i="15" s="1"/>
  <c r="J1199" i="15"/>
  <c r="I1199" i="15"/>
  <c r="S1198" i="15"/>
  <c r="R1198" i="15"/>
  <c r="M1198" i="15"/>
  <c r="N1198" i="15" s="1" a="1"/>
  <c r="N1198" i="15" s="1"/>
  <c r="J1198" i="15"/>
  <c r="I1198" i="15"/>
  <c r="S1197" i="15"/>
  <c r="R1197" i="15"/>
  <c r="M1197" i="15"/>
  <c r="N1197" i="15" s="1" a="1"/>
  <c r="N1197" i="15" s="1"/>
  <c r="J1197" i="15"/>
  <c r="I1197" i="15"/>
  <c r="S1196" i="15"/>
  <c r="R1196" i="15"/>
  <c r="N1196" i="15" a="1"/>
  <c r="N1196" i="15" s="1"/>
  <c r="M1196" i="15"/>
  <c r="J1196" i="15"/>
  <c r="I1196" i="15"/>
  <c r="S1195" i="15"/>
  <c r="R1195" i="15"/>
  <c r="M1195" i="15"/>
  <c r="N1195" i="15" s="1" a="1"/>
  <c r="N1195" i="15" s="1"/>
  <c r="J1195" i="15"/>
  <c r="I1195" i="15"/>
  <c r="S1194" i="15"/>
  <c r="R1194" i="15"/>
  <c r="M1194" i="15"/>
  <c r="N1194" i="15" s="1" a="1"/>
  <c r="N1194" i="15" s="1"/>
  <c r="J1194" i="15"/>
  <c r="I1194" i="15"/>
  <c r="S1193" i="15"/>
  <c r="R1193" i="15"/>
  <c r="M1193" i="15"/>
  <c r="N1193" i="15" s="1" a="1"/>
  <c r="N1193" i="15" s="1"/>
  <c r="J1193" i="15"/>
  <c r="I1193" i="15"/>
  <c r="S1192" i="15"/>
  <c r="R1192" i="15"/>
  <c r="N1192" i="15" a="1"/>
  <c r="N1192" i="15" s="1"/>
  <c r="M1192" i="15"/>
  <c r="J1192" i="15"/>
  <c r="I1192" i="15"/>
  <c r="S1191" i="15"/>
  <c r="R1191" i="15"/>
  <c r="M1191" i="15"/>
  <c r="N1191" i="15" s="1" a="1"/>
  <c r="N1191" i="15" s="1"/>
  <c r="J1191" i="15"/>
  <c r="I1191" i="15"/>
  <c r="S1190" i="15"/>
  <c r="R1190" i="15"/>
  <c r="M1190" i="15"/>
  <c r="N1190" i="15" s="1" a="1"/>
  <c r="N1190" i="15" s="1"/>
  <c r="J1190" i="15"/>
  <c r="I1190" i="15"/>
  <c r="S1189" i="15"/>
  <c r="R1189" i="15"/>
  <c r="M1189" i="15"/>
  <c r="N1189" i="15" s="1" a="1"/>
  <c r="N1189" i="15" s="1"/>
  <c r="J1189" i="15"/>
  <c r="I1189" i="15"/>
  <c r="S1188" i="15"/>
  <c r="R1188" i="15"/>
  <c r="N1188" i="15" a="1"/>
  <c r="N1188" i="15" s="1"/>
  <c r="M1188" i="15"/>
  <c r="J1188" i="15"/>
  <c r="I1188" i="15"/>
  <c r="S1187" i="15"/>
  <c r="R1187" i="15"/>
  <c r="M1187" i="15"/>
  <c r="N1187" i="15" s="1" a="1"/>
  <c r="N1187" i="15" s="1"/>
  <c r="J1187" i="15"/>
  <c r="I1187" i="15"/>
  <c r="S1186" i="15"/>
  <c r="R1186" i="15"/>
  <c r="M1186" i="15"/>
  <c r="N1186" i="15" s="1" a="1"/>
  <c r="N1186" i="15" s="1"/>
  <c r="J1186" i="15"/>
  <c r="I1186" i="15"/>
  <c r="S1185" i="15"/>
  <c r="R1185" i="15"/>
  <c r="M1185" i="15"/>
  <c r="N1185" i="15" s="1" a="1"/>
  <c r="N1185" i="15" s="1"/>
  <c r="J1185" i="15"/>
  <c r="I1185" i="15"/>
  <c r="S1184" i="15"/>
  <c r="R1184" i="15"/>
  <c r="N1184" i="15" a="1"/>
  <c r="N1184" i="15" s="1"/>
  <c r="M1184" i="15"/>
  <c r="J1184" i="15"/>
  <c r="I1184" i="15"/>
  <c r="S1183" i="15"/>
  <c r="R1183" i="15"/>
  <c r="M1183" i="15"/>
  <c r="N1183" i="15" s="1" a="1"/>
  <c r="N1183" i="15" s="1"/>
  <c r="J1183" i="15"/>
  <c r="I1183" i="15"/>
  <c r="S1182" i="15"/>
  <c r="R1182" i="15"/>
  <c r="M1182" i="15"/>
  <c r="N1182" i="15" s="1" a="1"/>
  <c r="N1182" i="15" s="1"/>
  <c r="J1182" i="15"/>
  <c r="I1182" i="15"/>
  <c r="S1181" i="15"/>
  <c r="R1181" i="15"/>
  <c r="M1181" i="15"/>
  <c r="N1181" i="15" s="1" a="1"/>
  <c r="N1181" i="15" s="1"/>
  <c r="J1181" i="15"/>
  <c r="I1181" i="15"/>
  <c r="S1180" i="15"/>
  <c r="R1180" i="15"/>
  <c r="N1180" i="15" a="1"/>
  <c r="N1180" i="15" s="1"/>
  <c r="M1180" i="15"/>
  <c r="J1180" i="15"/>
  <c r="I1180" i="15"/>
  <c r="S1179" i="15"/>
  <c r="R1179" i="15"/>
  <c r="M1179" i="15"/>
  <c r="N1179" i="15" s="1" a="1"/>
  <c r="N1179" i="15" s="1"/>
  <c r="J1179" i="15"/>
  <c r="I1179" i="15"/>
  <c r="S1178" i="15"/>
  <c r="R1178" i="15"/>
  <c r="M1178" i="15"/>
  <c r="N1178" i="15" s="1" a="1"/>
  <c r="N1178" i="15" s="1"/>
  <c r="J1178" i="15"/>
  <c r="I1178" i="15"/>
  <c r="S1177" i="15"/>
  <c r="R1177" i="15"/>
  <c r="M1177" i="15"/>
  <c r="N1177" i="15" s="1" a="1"/>
  <c r="N1177" i="15" s="1"/>
  <c r="J1177" i="15"/>
  <c r="I1177" i="15"/>
  <c r="S1176" i="15"/>
  <c r="R1176" i="15"/>
  <c r="N1176" i="15" a="1"/>
  <c r="N1176" i="15" s="1"/>
  <c r="M1176" i="15"/>
  <c r="J1176" i="15"/>
  <c r="I1176" i="15"/>
  <c r="S1175" i="15"/>
  <c r="R1175" i="15"/>
  <c r="M1175" i="15"/>
  <c r="N1175" i="15" s="1" a="1"/>
  <c r="N1175" i="15" s="1"/>
  <c r="J1175" i="15"/>
  <c r="I1175" i="15"/>
  <c r="S1174" i="15"/>
  <c r="R1174" i="15"/>
  <c r="M1174" i="15"/>
  <c r="N1174" i="15" s="1" a="1"/>
  <c r="N1174" i="15" s="1"/>
  <c r="J1174" i="15"/>
  <c r="I1174" i="15"/>
  <c r="S1173" i="15"/>
  <c r="R1173" i="15"/>
  <c r="M1173" i="15"/>
  <c r="N1173" i="15" s="1" a="1"/>
  <c r="N1173" i="15" s="1"/>
  <c r="J1173" i="15"/>
  <c r="I1173" i="15"/>
  <c r="S1172" i="15"/>
  <c r="R1172" i="15"/>
  <c r="N1172" i="15" a="1"/>
  <c r="N1172" i="15" s="1"/>
  <c r="M1172" i="15"/>
  <c r="J1172" i="15"/>
  <c r="I1172" i="15"/>
  <c r="S1171" i="15"/>
  <c r="R1171" i="15"/>
  <c r="M1171" i="15"/>
  <c r="N1171" i="15" s="1" a="1"/>
  <c r="N1171" i="15" s="1"/>
  <c r="J1171" i="15"/>
  <c r="I1171" i="15"/>
  <c r="S1170" i="15"/>
  <c r="R1170" i="15"/>
  <c r="M1170" i="15"/>
  <c r="N1170" i="15" s="1" a="1"/>
  <c r="N1170" i="15" s="1"/>
  <c r="J1170" i="15"/>
  <c r="I1170" i="15"/>
  <c r="S1169" i="15"/>
  <c r="R1169" i="15"/>
  <c r="M1169" i="15"/>
  <c r="N1169" i="15" s="1" a="1"/>
  <c r="N1169" i="15" s="1"/>
  <c r="J1169" i="15"/>
  <c r="I1169" i="15"/>
  <c r="S1168" i="15"/>
  <c r="R1168" i="15"/>
  <c r="N1168" i="15" a="1"/>
  <c r="N1168" i="15" s="1"/>
  <c r="M1168" i="15"/>
  <c r="J1168" i="15"/>
  <c r="I1168" i="15"/>
  <c r="S1167" i="15"/>
  <c r="R1167" i="15"/>
  <c r="M1167" i="15"/>
  <c r="N1167" i="15" s="1" a="1"/>
  <c r="N1167" i="15" s="1"/>
  <c r="J1167" i="15"/>
  <c r="I1167" i="15"/>
  <c r="S1166" i="15"/>
  <c r="R1166" i="15"/>
  <c r="M1166" i="15"/>
  <c r="N1166" i="15" s="1" a="1"/>
  <c r="N1166" i="15" s="1"/>
  <c r="J1166" i="15"/>
  <c r="I1166" i="15"/>
  <c r="S1165" i="15"/>
  <c r="R1165" i="15"/>
  <c r="M1165" i="15"/>
  <c r="N1165" i="15" s="1" a="1"/>
  <c r="N1165" i="15" s="1"/>
  <c r="J1165" i="15"/>
  <c r="I1165" i="15"/>
  <c r="S1164" i="15"/>
  <c r="R1164" i="15"/>
  <c r="N1164" i="15" a="1"/>
  <c r="N1164" i="15" s="1"/>
  <c r="M1164" i="15"/>
  <c r="J1164" i="15"/>
  <c r="I1164" i="15"/>
  <c r="S1163" i="15"/>
  <c r="R1163" i="15"/>
  <c r="M1163" i="15"/>
  <c r="N1163" i="15" s="1" a="1"/>
  <c r="N1163" i="15" s="1"/>
  <c r="J1163" i="15"/>
  <c r="I1163" i="15"/>
  <c r="S1162" i="15"/>
  <c r="R1162" i="15"/>
  <c r="M1162" i="15"/>
  <c r="N1162" i="15" s="1" a="1"/>
  <c r="N1162" i="15" s="1"/>
  <c r="J1162" i="15"/>
  <c r="I1162" i="15"/>
  <c r="S1161" i="15"/>
  <c r="R1161" i="15"/>
  <c r="M1161" i="15"/>
  <c r="N1161" i="15" s="1" a="1"/>
  <c r="N1161" i="15" s="1"/>
  <c r="J1161" i="15"/>
  <c r="I1161" i="15"/>
  <c r="S1160" i="15"/>
  <c r="R1160" i="15"/>
  <c r="N1160" i="15" a="1"/>
  <c r="N1160" i="15" s="1"/>
  <c r="M1160" i="15"/>
  <c r="J1160" i="15"/>
  <c r="I1160" i="15"/>
  <c r="E1160" i="15"/>
  <c r="D1160" i="15"/>
  <c r="S1159" i="15"/>
  <c r="R1159" i="15"/>
  <c r="N1159" i="15" a="1"/>
  <c r="N1159" i="15" s="1"/>
  <c r="M1159" i="15"/>
  <c r="J1159" i="15"/>
  <c r="I1159" i="15"/>
  <c r="E1159" i="15"/>
  <c r="D1159" i="15"/>
  <c r="S1158" i="15"/>
  <c r="R1158" i="15"/>
  <c r="N1158" i="15" a="1"/>
  <c r="N1158" i="15" s="1"/>
  <c r="M1158" i="15"/>
  <c r="J1158" i="15"/>
  <c r="I1158" i="15"/>
  <c r="E1158" i="15"/>
  <c r="D1158" i="15"/>
  <c r="S1157" i="15"/>
  <c r="R1157" i="15"/>
  <c r="N1157" i="15" a="1"/>
  <c r="N1157" i="15" s="1"/>
  <c r="M1157" i="15"/>
  <c r="J1157" i="15"/>
  <c r="I1157" i="15"/>
  <c r="E1157" i="15"/>
  <c r="D1157" i="15"/>
  <c r="S1156" i="15"/>
  <c r="R1156" i="15"/>
  <c r="M1156" i="15"/>
  <c r="N1156" i="15" s="1" a="1"/>
  <c r="N1156" i="15" s="1"/>
  <c r="J1156" i="15"/>
  <c r="I1156" i="15"/>
  <c r="E1156" i="15"/>
  <c r="D1156" i="15"/>
  <c r="S1155" i="15"/>
  <c r="R1155" i="15"/>
  <c r="N1155" i="15" a="1"/>
  <c r="N1155" i="15" s="1"/>
  <c r="M1155" i="15"/>
  <c r="J1155" i="15"/>
  <c r="I1155" i="15"/>
  <c r="E1155" i="15"/>
  <c r="D1155" i="15"/>
  <c r="S1154" i="15"/>
  <c r="R1154" i="15"/>
  <c r="M1154" i="15"/>
  <c r="N1154" i="15" s="1" a="1"/>
  <c r="N1154" i="15" s="1"/>
  <c r="J1154" i="15"/>
  <c r="I1154" i="15"/>
  <c r="E1154" i="15"/>
  <c r="D1154" i="15"/>
  <c r="S1153" i="15"/>
  <c r="R1153" i="15"/>
  <c r="N1153" i="15" a="1"/>
  <c r="N1153" i="15" s="1"/>
  <c r="M1153" i="15"/>
  <c r="J1153" i="15"/>
  <c r="I1153" i="15"/>
  <c r="E1153" i="15"/>
  <c r="D1153" i="15"/>
  <c r="S1152" i="15"/>
  <c r="R1152" i="15"/>
  <c r="N1152" i="15" a="1"/>
  <c r="N1152" i="15" s="1"/>
  <c r="M1152" i="15"/>
  <c r="J1152" i="15"/>
  <c r="I1152" i="15"/>
  <c r="E1152" i="15"/>
  <c r="D1152" i="15"/>
  <c r="S1151" i="15"/>
  <c r="R1151" i="15"/>
  <c r="N1151" i="15" a="1"/>
  <c r="N1151" i="15" s="1"/>
  <c r="M1151" i="15"/>
  <c r="J1151" i="15"/>
  <c r="I1151" i="15"/>
  <c r="E1151" i="15"/>
  <c r="D1151" i="15"/>
  <c r="S1150" i="15"/>
  <c r="R1150" i="15"/>
  <c r="N1150" i="15" a="1"/>
  <c r="N1150" i="15" s="1"/>
  <c r="M1150" i="15"/>
  <c r="J1150" i="15"/>
  <c r="I1150" i="15"/>
  <c r="E1150" i="15"/>
  <c r="D1150" i="15"/>
  <c r="S1149" i="15"/>
  <c r="R1149" i="15"/>
  <c r="N1149" i="15" a="1"/>
  <c r="N1149" i="15" s="1"/>
  <c r="M1149" i="15"/>
  <c r="J1149" i="15"/>
  <c r="I1149" i="15"/>
  <c r="E1149" i="15"/>
  <c r="D1149" i="15"/>
  <c r="S1148" i="15"/>
  <c r="R1148" i="15"/>
  <c r="M1148" i="15"/>
  <c r="N1148" i="15" s="1" a="1"/>
  <c r="N1148" i="15" s="1"/>
  <c r="J1148" i="15"/>
  <c r="I1148" i="15"/>
  <c r="E1148" i="15"/>
  <c r="D1148" i="15"/>
  <c r="S1147" i="15"/>
  <c r="R1147" i="15"/>
  <c r="N1147" i="15" a="1"/>
  <c r="N1147" i="15" s="1"/>
  <c r="M1147" i="15"/>
  <c r="J1147" i="15"/>
  <c r="I1147" i="15"/>
  <c r="E1147" i="15"/>
  <c r="D1147" i="15"/>
  <c r="S1146" i="15"/>
  <c r="R1146" i="15"/>
  <c r="M1146" i="15"/>
  <c r="N1146" i="15" s="1" a="1"/>
  <c r="N1146" i="15" s="1"/>
  <c r="J1146" i="15"/>
  <c r="I1146" i="15"/>
  <c r="E1146" i="15"/>
  <c r="D1146" i="15"/>
  <c r="S1145" i="15"/>
  <c r="R1145" i="15"/>
  <c r="N1145" i="15" a="1"/>
  <c r="N1145" i="15" s="1"/>
  <c r="M1145" i="15"/>
  <c r="J1145" i="15"/>
  <c r="I1145" i="15"/>
  <c r="E1145" i="15"/>
  <c r="D1145" i="15"/>
  <c r="S1144" i="15"/>
  <c r="R1144" i="15"/>
  <c r="N1144" i="15" a="1"/>
  <c r="N1144" i="15" s="1"/>
  <c r="M1144" i="15"/>
  <c r="J1144" i="15"/>
  <c r="I1144" i="15"/>
  <c r="E1144" i="15"/>
  <c r="D1144" i="15"/>
  <c r="S1143" i="15"/>
  <c r="R1143" i="15"/>
  <c r="N1143" i="15" a="1"/>
  <c r="N1143" i="15" s="1"/>
  <c r="M1143" i="15"/>
  <c r="J1143" i="15"/>
  <c r="I1143" i="15"/>
  <c r="E1143" i="15"/>
  <c r="D1143" i="15"/>
  <c r="S1142" i="15"/>
  <c r="R1142" i="15"/>
  <c r="N1142" i="15" a="1"/>
  <c r="N1142" i="15" s="1"/>
  <c r="M1142" i="15"/>
  <c r="J1142" i="15"/>
  <c r="I1142" i="15"/>
  <c r="E1142" i="15"/>
  <c r="D1142" i="15"/>
  <c r="S1141" i="15"/>
  <c r="R1141" i="15"/>
  <c r="N1141" i="15" a="1"/>
  <c r="N1141" i="15" s="1"/>
  <c r="M1141" i="15"/>
  <c r="J1141" i="15"/>
  <c r="I1141" i="15"/>
  <c r="E1141" i="15"/>
  <c r="D1141" i="15"/>
  <c r="S1140" i="15"/>
  <c r="R1140" i="15"/>
  <c r="M1140" i="15"/>
  <c r="N1140" i="15" s="1" a="1"/>
  <c r="N1140" i="15" s="1"/>
  <c r="J1140" i="15"/>
  <c r="I1140" i="15"/>
  <c r="E1140" i="15"/>
  <c r="D1140" i="15"/>
  <c r="S1139" i="15"/>
  <c r="R1139" i="15"/>
  <c r="N1139" i="15" a="1"/>
  <c r="N1139" i="15" s="1"/>
  <c r="M1139" i="15"/>
  <c r="J1139" i="15"/>
  <c r="I1139" i="15"/>
  <c r="E1139" i="15"/>
  <c r="D1139" i="15"/>
  <c r="S1138" i="15"/>
  <c r="R1138" i="15"/>
  <c r="M1138" i="15"/>
  <c r="N1138" i="15" s="1" a="1"/>
  <c r="N1138" i="15" s="1"/>
  <c r="J1138" i="15"/>
  <c r="I1138" i="15"/>
  <c r="E1138" i="15"/>
  <c r="D1138" i="15"/>
  <c r="S1137" i="15"/>
  <c r="R1137" i="15"/>
  <c r="N1137" i="15" a="1"/>
  <c r="N1137" i="15" s="1"/>
  <c r="M1137" i="15"/>
  <c r="J1137" i="15"/>
  <c r="I1137" i="15"/>
  <c r="E1137" i="15"/>
  <c r="D1137" i="15"/>
  <c r="S1136" i="15"/>
  <c r="R1136" i="15"/>
  <c r="N1136" i="15" a="1"/>
  <c r="N1136" i="15" s="1"/>
  <c r="M1136" i="15"/>
  <c r="J1136" i="15"/>
  <c r="I1136" i="15"/>
  <c r="E1136" i="15"/>
  <c r="D1136" i="15"/>
  <c r="S1135" i="15"/>
  <c r="R1135" i="15"/>
  <c r="N1135" i="15" a="1"/>
  <c r="N1135" i="15" s="1"/>
  <c r="M1135" i="15"/>
  <c r="J1135" i="15"/>
  <c r="I1135" i="15"/>
  <c r="E1135" i="15"/>
  <c r="D1135" i="15"/>
  <c r="S1134" i="15"/>
  <c r="R1134" i="15"/>
  <c r="N1134" i="15" a="1"/>
  <c r="N1134" i="15" s="1"/>
  <c r="M1134" i="15"/>
  <c r="J1134" i="15"/>
  <c r="I1134" i="15"/>
  <c r="E1134" i="15"/>
  <c r="D1134" i="15"/>
  <c r="S1133" i="15"/>
  <c r="R1133" i="15"/>
  <c r="N1133" i="15" a="1"/>
  <c r="N1133" i="15" s="1"/>
  <c r="M1133" i="15"/>
  <c r="J1133" i="15"/>
  <c r="I1133" i="15"/>
  <c r="E1133" i="15"/>
  <c r="D1133" i="15"/>
  <c r="S1132" i="15"/>
  <c r="R1132" i="15"/>
  <c r="M1132" i="15"/>
  <c r="N1132" i="15" s="1" a="1"/>
  <c r="N1132" i="15" s="1"/>
  <c r="J1132" i="15"/>
  <c r="I1132" i="15"/>
  <c r="E1132" i="15"/>
  <c r="D1132" i="15"/>
  <c r="S1131" i="15"/>
  <c r="R1131" i="15"/>
  <c r="N1131" i="15" a="1"/>
  <c r="N1131" i="15" s="1"/>
  <c r="M1131" i="15"/>
  <c r="J1131" i="15"/>
  <c r="I1131" i="15"/>
  <c r="E1131" i="15"/>
  <c r="D1131" i="15"/>
  <c r="S1130" i="15"/>
  <c r="R1130" i="15"/>
  <c r="N1130" i="15" a="1"/>
  <c r="N1130" i="15" s="1"/>
  <c r="M1130" i="15"/>
  <c r="J1130" i="15"/>
  <c r="I1130" i="15"/>
  <c r="E1130" i="15"/>
  <c r="D1130" i="15"/>
  <c r="S1129" i="15"/>
  <c r="R1129" i="15"/>
  <c r="N1129" i="15" a="1"/>
  <c r="N1129" i="15" s="1"/>
  <c r="M1129" i="15"/>
  <c r="J1129" i="15"/>
  <c r="I1129" i="15"/>
  <c r="E1129" i="15"/>
  <c r="D1129" i="15"/>
  <c r="S1128" i="15"/>
  <c r="R1128" i="15"/>
  <c r="M1128" i="15"/>
  <c r="N1128" i="15" s="1" a="1"/>
  <c r="N1128" i="15" s="1"/>
  <c r="J1128" i="15"/>
  <c r="I1128" i="15"/>
  <c r="E1128" i="15"/>
  <c r="D1128" i="15"/>
  <c r="S1127" i="15"/>
  <c r="R1127" i="15"/>
  <c r="N1127" i="15" a="1"/>
  <c r="N1127" i="15" s="1"/>
  <c r="M1127" i="15"/>
  <c r="J1127" i="15"/>
  <c r="I1127" i="15"/>
  <c r="E1127" i="15"/>
  <c r="D1127" i="15"/>
  <c r="S1126" i="15"/>
  <c r="R1126" i="15"/>
  <c r="N1126" i="15" a="1"/>
  <c r="N1126" i="15" s="1"/>
  <c r="M1126" i="15"/>
  <c r="J1126" i="15"/>
  <c r="I1126" i="15"/>
  <c r="E1126" i="15"/>
  <c r="D1126" i="15"/>
  <c r="S1125" i="15"/>
  <c r="R1125" i="15"/>
  <c r="N1125" i="15" a="1"/>
  <c r="N1125" i="15" s="1"/>
  <c r="M1125" i="15"/>
  <c r="J1125" i="15"/>
  <c r="I1125" i="15"/>
  <c r="E1125" i="15"/>
  <c r="D1125" i="15"/>
  <c r="S1124" i="15"/>
  <c r="R1124" i="15"/>
  <c r="M1124" i="15"/>
  <c r="N1124" i="15" s="1" a="1"/>
  <c r="N1124" i="15" s="1"/>
  <c r="J1124" i="15"/>
  <c r="I1124" i="15"/>
  <c r="E1124" i="15"/>
  <c r="D1124" i="15"/>
  <c r="S1123" i="15"/>
  <c r="R1123" i="15"/>
  <c r="N1123" i="15" a="1"/>
  <c r="N1123" i="15" s="1"/>
  <c r="M1123" i="15"/>
  <c r="J1123" i="15"/>
  <c r="I1123" i="15"/>
  <c r="E1123" i="15"/>
  <c r="D1123" i="15"/>
  <c r="S1122" i="15"/>
  <c r="R1122" i="15"/>
  <c r="N1122" i="15" a="1"/>
  <c r="N1122" i="15" s="1"/>
  <c r="M1122" i="15"/>
  <c r="J1122" i="15"/>
  <c r="I1122" i="15"/>
  <c r="E1122" i="15"/>
  <c r="D1122" i="15"/>
  <c r="S1121" i="15"/>
  <c r="R1121" i="15"/>
  <c r="N1121" i="15" a="1"/>
  <c r="N1121" i="15" s="1"/>
  <c r="M1121" i="15"/>
  <c r="J1121" i="15"/>
  <c r="I1121" i="15"/>
  <c r="E1121" i="15"/>
  <c r="D1121" i="15"/>
  <c r="S1120" i="15"/>
  <c r="R1120" i="15"/>
  <c r="M1120" i="15"/>
  <c r="N1120" i="15" s="1" a="1"/>
  <c r="N1120" i="15" s="1"/>
  <c r="J1120" i="15"/>
  <c r="I1120" i="15"/>
  <c r="E1120" i="15"/>
  <c r="D1120" i="15"/>
  <c r="S1119" i="15"/>
  <c r="R1119" i="15"/>
  <c r="N1119" i="15" a="1"/>
  <c r="N1119" i="15" s="1"/>
  <c r="M1119" i="15"/>
  <c r="J1119" i="15"/>
  <c r="I1119" i="15"/>
  <c r="E1119" i="15"/>
  <c r="D1119" i="15"/>
  <c r="S1118" i="15"/>
  <c r="R1118" i="15"/>
  <c r="N1118" i="15" a="1"/>
  <c r="N1118" i="15" s="1"/>
  <c r="M1118" i="15"/>
  <c r="J1118" i="15"/>
  <c r="I1118" i="15"/>
  <c r="E1118" i="15"/>
  <c r="D1118" i="15"/>
  <c r="S1117" i="15"/>
  <c r="R1117" i="15"/>
  <c r="N1117" i="15" a="1"/>
  <c r="N1117" i="15" s="1"/>
  <c r="M1117" i="15"/>
  <c r="J1117" i="15"/>
  <c r="I1117" i="15"/>
  <c r="E1117" i="15"/>
  <c r="D1117" i="15"/>
  <c r="S1116" i="15"/>
  <c r="R1116" i="15"/>
  <c r="M1116" i="15"/>
  <c r="N1116" i="15" s="1" a="1"/>
  <c r="N1116" i="15" s="1"/>
  <c r="J1116" i="15"/>
  <c r="I1116" i="15"/>
  <c r="E1116" i="15"/>
  <c r="D1116" i="15"/>
  <c r="S1115" i="15"/>
  <c r="R1115" i="15"/>
  <c r="N1115" i="15" a="1"/>
  <c r="N1115" i="15" s="1"/>
  <c r="M1115" i="15"/>
  <c r="J1115" i="15"/>
  <c r="I1115" i="15"/>
  <c r="E1115" i="15"/>
  <c r="D1115" i="15"/>
  <c r="S1114" i="15"/>
  <c r="R1114" i="15"/>
  <c r="N1114" i="15" a="1"/>
  <c r="N1114" i="15" s="1"/>
  <c r="M1114" i="15"/>
  <c r="J1114" i="15"/>
  <c r="I1114" i="15"/>
  <c r="E1114" i="15"/>
  <c r="D1114" i="15"/>
  <c r="S1113" i="15"/>
  <c r="R1113" i="15"/>
  <c r="N1113" i="15" a="1"/>
  <c r="N1113" i="15" s="1"/>
  <c r="M1113" i="15"/>
  <c r="J1113" i="15"/>
  <c r="I1113" i="15"/>
  <c r="E1113" i="15"/>
  <c r="D1113" i="15"/>
  <c r="S1112" i="15"/>
  <c r="R1112" i="15"/>
  <c r="M1112" i="15"/>
  <c r="N1112" i="15" s="1" a="1"/>
  <c r="N1112" i="15" s="1"/>
  <c r="J1112" i="15"/>
  <c r="I1112" i="15"/>
  <c r="E1112" i="15"/>
  <c r="D1112" i="15"/>
  <c r="S1111" i="15"/>
  <c r="R1111" i="15"/>
  <c r="N1111" i="15" a="1"/>
  <c r="N1111" i="15" s="1"/>
  <c r="M1111" i="15"/>
  <c r="J1111" i="15"/>
  <c r="I1111" i="15"/>
  <c r="E1111" i="15"/>
  <c r="D1111" i="15"/>
  <c r="S1110" i="15"/>
  <c r="R1110" i="15"/>
  <c r="N1110" i="15" a="1"/>
  <c r="N1110" i="15" s="1"/>
  <c r="M1110" i="15"/>
  <c r="J1110" i="15"/>
  <c r="I1110" i="15"/>
  <c r="E1110" i="15"/>
  <c r="D1110" i="15"/>
  <c r="S1109" i="15"/>
  <c r="R1109" i="15"/>
  <c r="N1109" i="15" a="1"/>
  <c r="N1109" i="15" s="1"/>
  <c r="M1109" i="15"/>
  <c r="J1109" i="15"/>
  <c r="I1109" i="15"/>
  <c r="E1109" i="15"/>
  <c r="D1109" i="15"/>
  <c r="S1108" i="15"/>
  <c r="R1108" i="15"/>
  <c r="M1108" i="15"/>
  <c r="N1108" i="15" s="1" a="1"/>
  <c r="N1108" i="15" s="1"/>
  <c r="J1108" i="15"/>
  <c r="I1108" i="15"/>
  <c r="E1108" i="15"/>
  <c r="D1108" i="15"/>
  <c r="S1107" i="15"/>
  <c r="R1107" i="15"/>
  <c r="N1107" i="15" a="1"/>
  <c r="N1107" i="15" s="1"/>
  <c r="M1107" i="15"/>
  <c r="J1107" i="15"/>
  <c r="I1107" i="15"/>
  <c r="E1107" i="15"/>
  <c r="D1107" i="15"/>
  <c r="S1106" i="15"/>
  <c r="R1106" i="15"/>
  <c r="N1106" i="15" a="1"/>
  <c r="N1106" i="15" s="1"/>
  <c r="M1106" i="15"/>
  <c r="J1106" i="15"/>
  <c r="I1106" i="15"/>
  <c r="E1106" i="15"/>
  <c r="D1106" i="15"/>
  <c r="S1105" i="15"/>
  <c r="R1105" i="15"/>
  <c r="N1105" i="15" a="1"/>
  <c r="N1105" i="15" s="1"/>
  <c r="M1105" i="15"/>
  <c r="J1105" i="15"/>
  <c r="I1105" i="15"/>
  <c r="E1105" i="15"/>
  <c r="D1105" i="15"/>
  <c r="S1104" i="15"/>
  <c r="R1104" i="15"/>
  <c r="M1104" i="15"/>
  <c r="N1104" i="15" s="1" a="1"/>
  <c r="N1104" i="15" s="1"/>
  <c r="J1104" i="15"/>
  <c r="I1104" i="15"/>
  <c r="E1104" i="15"/>
  <c r="D1104" i="15"/>
  <c r="S1103" i="15"/>
  <c r="R1103" i="15"/>
  <c r="N1103" i="15" a="1"/>
  <c r="N1103" i="15" s="1"/>
  <c r="M1103" i="15"/>
  <c r="J1103" i="15"/>
  <c r="I1103" i="15"/>
  <c r="E1103" i="15"/>
  <c r="D1103" i="15"/>
  <c r="S1102" i="15"/>
  <c r="R1102" i="15"/>
  <c r="N1102" i="15" a="1"/>
  <c r="N1102" i="15" s="1"/>
  <c r="M1102" i="15"/>
  <c r="J1102" i="15"/>
  <c r="I1102" i="15"/>
  <c r="E1102" i="15"/>
  <c r="D1102" i="15"/>
  <c r="S1101" i="15"/>
  <c r="R1101" i="15"/>
  <c r="N1101" i="15" a="1"/>
  <c r="N1101" i="15" s="1"/>
  <c r="M1101" i="15"/>
  <c r="J1101" i="15"/>
  <c r="I1101" i="15"/>
  <c r="E1101" i="15"/>
  <c r="D1101" i="15"/>
  <c r="S1100" i="15"/>
  <c r="R1100" i="15"/>
  <c r="M1100" i="15"/>
  <c r="N1100" i="15" s="1" a="1"/>
  <c r="N1100" i="15" s="1"/>
  <c r="J1100" i="15"/>
  <c r="I1100" i="15"/>
  <c r="E1100" i="15"/>
  <c r="D1100" i="15"/>
  <c r="S1099" i="15"/>
  <c r="R1099" i="15"/>
  <c r="N1099" i="15" a="1"/>
  <c r="N1099" i="15" s="1"/>
  <c r="M1099" i="15"/>
  <c r="J1099" i="15"/>
  <c r="I1099" i="15"/>
  <c r="E1099" i="15"/>
  <c r="D1099" i="15"/>
  <c r="S1098" i="15"/>
  <c r="R1098" i="15"/>
  <c r="N1098" i="15" a="1"/>
  <c r="N1098" i="15" s="1"/>
  <c r="M1098" i="15"/>
  <c r="J1098" i="15"/>
  <c r="I1098" i="15"/>
  <c r="E1098" i="15"/>
  <c r="D1098" i="15"/>
  <c r="S1097" i="15"/>
  <c r="R1097" i="15"/>
  <c r="N1097" i="15" a="1"/>
  <c r="N1097" i="15" s="1"/>
  <c r="M1097" i="15"/>
  <c r="J1097" i="15"/>
  <c r="I1097" i="15"/>
  <c r="E1097" i="15"/>
  <c r="D1097" i="15"/>
  <c r="S1096" i="15"/>
  <c r="R1096" i="15"/>
  <c r="M1096" i="15"/>
  <c r="N1096" i="15" s="1" a="1"/>
  <c r="N1096" i="15" s="1"/>
  <c r="J1096" i="15"/>
  <c r="I1096" i="15"/>
  <c r="E1096" i="15"/>
  <c r="D1096" i="15"/>
  <c r="S1095" i="15"/>
  <c r="R1095" i="15"/>
  <c r="N1095" i="15" a="1"/>
  <c r="N1095" i="15" s="1"/>
  <c r="M1095" i="15"/>
  <c r="J1095" i="15"/>
  <c r="I1095" i="15"/>
  <c r="E1095" i="15"/>
  <c r="D1095" i="15"/>
  <c r="S1094" i="15"/>
  <c r="R1094" i="15"/>
  <c r="N1094" i="15" a="1"/>
  <c r="N1094" i="15" s="1"/>
  <c r="M1094" i="15"/>
  <c r="J1094" i="15"/>
  <c r="I1094" i="15"/>
  <c r="E1094" i="15"/>
  <c r="D1094" i="15"/>
  <c r="S1093" i="15"/>
  <c r="R1093" i="15"/>
  <c r="N1093" i="15" a="1"/>
  <c r="N1093" i="15" s="1"/>
  <c r="M1093" i="15"/>
  <c r="J1093" i="15"/>
  <c r="I1093" i="15"/>
  <c r="E1093" i="15"/>
  <c r="D1093" i="15"/>
  <c r="S1092" i="15"/>
  <c r="R1092" i="15"/>
  <c r="M1092" i="15"/>
  <c r="N1092" i="15" s="1" a="1"/>
  <c r="N1092" i="15" s="1"/>
  <c r="J1092" i="15"/>
  <c r="I1092" i="15"/>
  <c r="E1092" i="15"/>
  <c r="D1092" i="15"/>
  <c r="S1091" i="15"/>
  <c r="R1091" i="15"/>
  <c r="N1091" i="15" a="1"/>
  <c r="N1091" i="15" s="1"/>
  <c r="M1091" i="15"/>
  <c r="J1091" i="15"/>
  <c r="I1091" i="15"/>
  <c r="E1091" i="15"/>
  <c r="D1091" i="15"/>
  <c r="S1090" i="15"/>
  <c r="R1090" i="15"/>
  <c r="N1090" i="15" a="1"/>
  <c r="N1090" i="15" s="1"/>
  <c r="M1090" i="15"/>
  <c r="J1090" i="15"/>
  <c r="I1090" i="15"/>
  <c r="E1090" i="15"/>
  <c r="D1090" i="15"/>
  <c r="S1089" i="15"/>
  <c r="R1089" i="15"/>
  <c r="N1089" i="15" a="1"/>
  <c r="N1089" i="15" s="1"/>
  <c r="M1089" i="15"/>
  <c r="J1089" i="15"/>
  <c r="I1089" i="15"/>
  <c r="E1089" i="15"/>
  <c r="D1089" i="15"/>
  <c r="S1088" i="15"/>
  <c r="R1088" i="15"/>
  <c r="M1088" i="15"/>
  <c r="N1088" i="15" s="1" a="1"/>
  <c r="N1088" i="15" s="1"/>
  <c r="J1088" i="15"/>
  <c r="I1088" i="15"/>
  <c r="E1088" i="15"/>
  <c r="D1088" i="15"/>
  <c r="S1087" i="15"/>
  <c r="R1087" i="15"/>
  <c r="N1087" i="15" a="1"/>
  <c r="N1087" i="15" s="1"/>
  <c r="M1087" i="15"/>
  <c r="J1087" i="15"/>
  <c r="I1087" i="15"/>
  <c r="E1087" i="15"/>
  <c r="D1087" i="15"/>
  <c r="S1086" i="15"/>
  <c r="R1086" i="15"/>
  <c r="N1086" i="15" a="1"/>
  <c r="N1086" i="15" s="1"/>
  <c r="M1086" i="15"/>
  <c r="J1086" i="15"/>
  <c r="I1086" i="15"/>
  <c r="E1086" i="15"/>
  <c r="D1086" i="15"/>
  <c r="S1085" i="15"/>
  <c r="R1085" i="15"/>
  <c r="N1085" i="15" a="1"/>
  <c r="N1085" i="15" s="1"/>
  <c r="M1085" i="15"/>
  <c r="J1085" i="15"/>
  <c r="I1085" i="15"/>
  <c r="E1085" i="15"/>
  <c r="D1085" i="15"/>
  <c r="S1084" i="15"/>
  <c r="R1084" i="15"/>
  <c r="M1084" i="15"/>
  <c r="N1084" i="15" s="1" a="1"/>
  <c r="N1084" i="15" s="1"/>
  <c r="J1084" i="15"/>
  <c r="I1084" i="15"/>
  <c r="E1084" i="15"/>
  <c r="D1084" i="15"/>
  <c r="S1083" i="15"/>
  <c r="R1083" i="15"/>
  <c r="N1083" i="15" a="1"/>
  <c r="N1083" i="15" s="1"/>
  <c r="M1083" i="15"/>
  <c r="J1083" i="15"/>
  <c r="I1083" i="15"/>
  <c r="E1083" i="15"/>
  <c r="D1083" i="15"/>
  <c r="S1082" i="15"/>
  <c r="R1082" i="15"/>
  <c r="N1082" i="15" a="1"/>
  <c r="N1082" i="15" s="1"/>
  <c r="M1082" i="15"/>
  <c r="J1082" i="15"/>
  <c r="I1082" i="15"/>
  <c r="E1082" i="15"/>
  <c r="D1082" i="15"/>
  <c r="S1081" i="15"/>
  <c r="R1081" i="15"/>
  <c r="N1081" i="15" a="1"/>
  <c r="N1081" i="15" s="1"/>
  <c r="M1081" i="15"/>
  <c r="J1081" i="15"/>
  <c r="I1081" i="15"/>
  <c r="E1081" i="15"/>
  <c r="D1081" i="15"/>
  <c r="S1080" i="15"/>
  <c r="R1080" i="15"/>
  <c r="M1080" i="15"/>
  <c r="N1080" i="15" s="1" a="1"/>
  <c r="N1080" i="15" s="1"/>
  <c r="J1080" i="15"/>
  <c r="I1080" i="15"/>
  <c r="E1080" i="15"/>
  <c r="D1080" i="15"/>
  <c r="S1079" i="15"/>
  <c r="R1079" i="15"/>
  <c r="N1079" i="15" a="1"/>
  <c r="N1079" i="15" s="1"/>
  <c r="M1079" i="15"/>
  <c r="J1079" i="15"/>
  <c r="I1079" i="15"/>
  <c r="E1079" i="15"/>
  <c r="D1079" i="15"/>
  <c r="S1078" i="15"/>
  <c r="R1078" i="15"/>
  <c r="N1078" i="15" a="1"/>
  <c r="N1078" i="15" s="1"/>
  <c r="M1078" i="15"/>
  <c r="J1078" i="15"/>
  <c r="I1078" i="15"/>
  <c r="E1078" i="15"/>
  <c r="D1078" i="15"/>
  <c r="S1077" i="15"/>
  <c r="R1077" i="15"/>
  <c r="N1077" i="15" a="1"/>
  <c r="N1077" i="15" s="1"/>
  <c r="M1077" i="15"/>
  <c r="J1077" i="15"/>
  <c r="I1077" i="15"/>
  <c r="E1077" i="15"/>
  <c r="D1077" i="15"/>
  <c r="S1076" i="15"/>
  <c r="R1076" i="15"/>
  <c r="M1076" i="15"/>
  <c r="N1076" i="15" s="1" a="1"/>
  <c r="N1076" i="15" s="1"/>
  <c r="J1076" i="15"/>
  <c r="I1076" i="15"/>
  <c r="E1076" i="15"/>
  <c r="D1076" i="15"/>
  <c r="S1075" i="15"/>
  <c r="R1075" i="15"/>
  <c r="N1075" i="15" a="1"/>
  <c r="N1075" i="15" s="1"/>
  <c r="M1075" i="15"/>
  <c r="J1075" i="15"/>
  <c r="I1075" i="15"/>
  <c r="E1075" i="15"/>
  <c r="D1075" i="15"/>
  <c r="S1074" i="15"/>
  <c r="R1074" i="15"/>
  <c r="N1074" i="15" a="1"/>
  <c r="N1074" i="15" s="1"/>
  <c r="M1074" i="15"/>
  <c r="J1074" i="15"/>
  <c r="I1074" i="15"/>
  <c r="E1074" i="15"/>
  <c r="D1074" i="15"/>
  <c r="S1073" i="15"/>
  <c r="R1073" i="15"/>
  <c r="N1073" i="15" a="1"/>
  <c r="N1073" i="15" s="1"/>
  <c r="M1073" i="15"/>
  <c r="J1073" i="15"/>
  <c r="I1073" i="15"/>
  <c r="E1073" i="15"/>
  <c r="D1073" i="15"/>
  <c r="S1072" i="15"/>
  <c r="R1072" i="15"/>
  <c r="M1072" i="15"/>
  <c r="N1072" i="15" s="1" a="1"/>
  <c r="N1072" i="15" s="1"/>
  <c r="J1072" i="15"/>
  <c r="I1072" i="15"/>
  <c r="E1072" i="15"/>
  <c r="D1072" i="15"/>
  <c r="S1071" i="15"/>
  <c r="R1071" i="15"/>
  <c r="N1071" i="15" a="1"/>
  <c r="N1071" i="15" s="1"/>
  <c r="M1071" i="15"/>
  <c r="J1071" i="15"/>
  <c r="I1071" i="15"/>
  <c r="E1071" i="15"/>
  <c r="D1071" i="15"/>
  <c r="S1070" i="15"/>
  <c r="R1070" i="15"/>
  <c r="N1070" i="15" a="1"/>
  <c r="N1070" i="15" s="1"/>
  <c r="M1070" i="15"/>
  <c r="J1070" i="15"/>
  <c r="I1070" i="15"/>
  <c r="E1070" i="15"/>
  <c r="D1070" i="15"/>
  <c r="S1069" i="15"/>
  <c r="R1069" i="15"/>
  <c r="N1069" i="15" a="1"/>
  <c r="N1069" i="15" s="1"/>
  <c r="M1069" i="15"/>
  <c r="J1069" i="15"/>
  <c r="I1069" i="15"/>
  <c r="E1069" i="15"/>
  <c r="D1069" i="15"/>
  <c r="S1068" i="15"/>
  <c r="R1068" i="15"/>
  <c r="M1068" i="15"/>
  <c r="N1068" i="15" s="1" a="1"/>
  <c r="N1068" i="15" s="1"/>
  <c r="J1068" i="15"/>
  <c r="I1068" i="15"/>
  <c r="E1068" i="15"/>
  <c r="D1068" i="15"/>
  <c r="S1067" i="15"/>
  <c r="R1067" i="15"/>
  <c r="N1067" i="15" a="1"/>
  <c r="N1067" i="15" s="1"/>
  <c r="M1067" i="15"/>
  <c r="J1067" i="15"/>
  <c r="I1067" i="15"/>
  <c r="E1067" i="15"/>
  <c r="D1067" i="15"/>
  <c r="S1066" i="15"/>
  <c r="R1066" i="15"/>
  <c r="N1066" i="15" a="1"/>
  <c r="N1066" i="15" s="1"/>
  <c r="M1066" i="15"/>
  <c r="J1066" i="15"/>
  <c r="I1066" i="15"/>
  <c r="E1066" i="15"/>
  <c r="D1066" i="15"/>
  <c r="S1065" i="15"/>
  <c r="R1065" i="15"/>
  <c r="N1065" i="15" a="1"/>
  <c r="N1065" i="15" s="1"/>
  <c r="M1065" i="15"/>
  <c r="J1065" i="15"/>
  <c r="I1065" i="15"/>
  <c r="E1065" i="15"/>
  <c r="D1065" i="15"/>
  <c r="S1064" i="15"/>
  <c r="R1064" i="15"/>
  <c r="M1064" i="15"/>
  <c r="N1064" i="15" s="1" a="1"/>
  <c r="N1064" i="15" s="1"/>
  <c r="J1064" i="15"/>
  <c r="I1064" i="15"/>
  <c r="E1064" i="15"/>
  <c r="D1064" i="15"/>
  <c r="S1063" i="15"/>
  <c r="R1063" i="15"/>
  <c r="N1063" i="15" a="1"/>
  <c r="N1063" i="15" s="1"/>
  <c r="M1063" i="15"/>
  <c r="J1063" i="15"/>
  <c r="I1063" i="15"/>
  <c r="E1063" i="15"/>
  <c r="D1063" i="15"/>
  <c r="S1062" i="15"/>
  <c r="R1062" i="15"/>
  <c r="N1062" i="15" a="1"/>
  <c r="N1062" i="15" s="1"/>
  <c r="M1062" i="15"/>
  <c r="J1062" i="15"/>
  <c r="I1062" i="15"/>
  <c r="E1062" i="15"/>
  <c r="D1062" i="15"/>
  <c r="S1061" i="15"/>
  <c r="R1061" i="15"/>
  <c r="N1061" i="15" a="1"/>
  <c r="N1061" i="15" s="1"/>
  <c r="M1061" i="15"/>
  <c r="J1061" i="15"/>
  <c r="I1061" i="15"/>
  <c r="E1061" i="15"/>
  <c r="D1061" i="15"/>
  <c r="S1060" i="15"/>
  <c r="R1060" i="15"/>
  <c r="M1060" i="15"/>
  <c r="N1060" i="15" s="1" a="1"/>
  <c r="N1060" i="15" s="1"/>
  <c r="J1060" i="15"/>
  <c r="I1060" i="15"/>
  <c r="E1060" i="15"/>
  <c r="D1060" i="15"/>
  <c r="S1059" i="15"/>
  <c r="R1059" i="15"/>
  <c r="N1059" i="15" a="1"/>
  <c r="N1059" i="15" s="1"/>
  <c r="M1059" i="15"/>
  <c r="J1059" i="15"/>
  <c r="I1059" i="15"/>
  <c r="E1059" i="15"/>
  <c r="D1059" i="15"/>
  <c r="S1058" i="15"/>
  <c r="R1058" i="15"/>
  <c r="N1058" i="15" a="1"/>
  <c r="N1058" i="15" s="1"/>
  <c r="M1058" i="15"/>
  <c r="J1058" i="15"/>
  <c r="I1058" i="15"/>
  <c r="E1058" i="15"/>
  <c r="D1058" i="15"/>
  <c r="S1057" i="15"/>
  <c r="R1057" i="15"/>
  <c r="N1057" i="15" a="1"/>
  <c r="N1057" i="15" s="1"/>
  <c r="M1057" i="15"/>
  <c r="J1057" i="15"/>
  <c r="I1057" i="15"/>
  <c r="E1057" i="15"/>
  <c r="D1057" i="15"/>
  <c r="S1056" i="15"/>
  <c r="R1056" i="15"/>
  <c r="M1056" i="15"/>
  <c r="N1056" i="15" s="1" a="1"/>
  <c r="N1056" i="15" s="1"/>
  <c r="J1056" i="15"/>
  <c r="I1056" i="15"/>
  <c r="E1056" i="15"/>
  <c r="D1056" i="15"/>
  <c r="S1055" i="15"/>
  <c r="R1055" i="15"/>
  <c r="N1055" i="15" a="1"/>
  <c r="N1055" i="15" s="1"/>
  <c r="M1055" i="15"/>
  <c r="J1055" i="15"/>
  <c r="I1055" i="15"/>
  <c r="E1055" i="15"/>
  <c r="D1055" i="15"/>
  <c r="S1054" i="15"/>
  <c r="R1054" i="15"/>
  <c r="N1054" i="15" a="1"/>
  <c r="N1054" i="15" s="1"/>
  <c r="M1054" i="15"/>
  <c r="J1054" i="15"/>
  <c r="I1054" i="15"/>
  <c r="E1054" i="15"/>
  <c r="D1054" i="15"/>
  <c r="S1053" i="15"/>
  <c r="R1053" i="15"/>
  <c r="N1053" i="15" a="1"/>
  <c r="N1053" i="15" s="1"/>
  <c r="M1053" i="15"/>
  <c r="J1053" i="15"/>
  <c r="I1053" i="15"/>
  <c r="E1053" i="15"/>
  <c r="D1053" i="15"/>
  <c r="S1052" i="15"/>
  <c r="R1052" i="15"/>
  <c r="M1052" i="15"/>
  <c r="N1052" i="15" s="1" a="1"/>
  <c r="N1052" i="15" s="1"/>
  <c r="J1052" i="15"/>
  <c r="I1052" i="15"/>
  <c r="E1052" i="15"/>
  <c r="D1052" i="15"/>
  <c r="S1051" i="15"/>
  <c r="R1051" i="15"/>
  <c r="N1051" i="15" a="1"/>
  <c r="N1051" i="15" s="1"/>
  <c r="M1051" i="15"/>
  <c r="J1051" i="15"/>
  <c r="I1051" i="15"/>
  <c r="E1051" i="15"/>
  <c r="D1051" i="15"/>
  <c r="S1050" i="15"/>
  <c r="R1050" i="15"/>
  <c r="N1050" i="15" a="1"/>
  <c r="N1050" i="15" s="1"/>
  <c r="M1050" i="15"/>
  <c r="J1050" i="15"/>
  <c r="I1050" i="15"/>
  <c r="E1050" i="15"/>
  <c r="D1050" i="15"/>
  <c r="S1049" i="15"/>
  <c r="R1049" i="15"/>
  <c r="N1049" i="15" a="1"/>
  <c r="N1049" i="15" s="1"/>
  <c r="M1049" i="15"/>
  <c r="J1049" i="15"/>
  <c r="I1049" i="15"/>
  <c r="E1049" i="15"/>
  <c r="D1049" i="15"/>
  <c r="S1048" i="15"/>
  <c r="R1048" i="15"/>
  <c r="M1048" i="15"/>
  <c r="N1048" i="15" s="1" a="1"/>
  <c r="N1048" i="15" s="1"/>
  <c r="J1048" i="15"/>
  <c r="I1048" i="15"/>
  <c r="E1048" i="15"/>
  <c r="D1048" i="15"/>
  <c r="S1047" i="15"/>
  <c r="R1047" i="15"/>
  <c r="N1047" i="15" a="1"/>
  <c r="N1047" i="15" s="1"/>
  <c r="M1047" i="15"/>
  <c r="J1047" i="15"/>
  <c r="I1047" i="15"/>
  <c r="E1047" i="15"/>
  <c r="D1047" i="15"/>
  <c r="S1046" i="15"/>
  <c r="R1046" i="15"/>
  <c r="N1046" i="15" a="1"/>
  <c r="N1046" i="15" s="1"/>
  <c r="M1046" i="15"/>
  <c r="J1046" i="15"/>
  <c r="I1046" i="15"/>
  <c r="E1046" i="15"/>
  <c r="D1046" i="15"/>
  <c r="S1045" i="15"/>
  <c r="R1045" i="15"/>
  <c r="N1045" i="15" a="1"/>
  <c r="N1045" i="15" s="1"/>
  <c r="M1045" i="15"/>
  <c r="J1045" i="15"/>
  <c r="I1045" i="15"/>
  <c r="E1045" i="15"/>
  <c r="D1045" i="15"/>
  <c r="S1044" i="15"/>
  <c r="R1044" i="15"/>
  <c r="M1044" i="15"/>
  <c r="N1044" i="15" s="1" a="1"/>
  <c r="N1044" i="15" s="1"/>
  <c r="J1044" i="15"/>
  <c r="I1044" i="15"/>
  <c r="E1044" i="15"/>
  <c r="D1044" i="15"/>
  <c r="S1043" i="15"/>
  <c r="R1043" i="15"/>
  <c r="N1043" i="15" a="1"/>
  <c r="N1043" i="15" s="1"/>
  <c r="M1043" i="15"/>
  <c r="J1043" i="15"/>
  <c r="I1043" i="15"/>
  <c r="E1043" i="15"/>
  <c r="D1043" i="15"/>
  <c r="S1042" i="15"/>
  <c r="R1042" i="15"/>
  <c r="N1042" i="15" a="1"/>
  <c r="N1042" i="15" s="1"/>
  <c r="M1042" i="15"/>
  <c r="J1042" i="15"/>
  <c r="I1042" i="15"/>
  <c r="E1042" i="15"/>
  <c r="D1042" i="15"/>
  <c r="S1041" i="15"/>
  <c r="R1041" i="15"/>
  <c r="N1041" i="15" a="1"/>
  <c r="N1041" i="15" s="1"/>
  <c r="M1041" i="15"/>
  <c r="J1041" i="15"/>
  <c r="I1041" i="15"/>
  <c r="E1041" i="15"/>
  <c r="D1041" i="15"/>
  <c r="S1040" i="15"/>
  <c r="R1040" i="15"/>
  <c r="M1040" i="15"/>
  <c r="N1040" i="15" s="1" a="1"/>
  <c r="N1040" i="15" s="1"/>
  <c r="J1040" i="15"/>
  <c r="I1040" i="15"/>
  <c r="E1040" i="15"/>
  <c r="D1040" i="15"/>
  <c r="S1039" i="15"/>
  <c r="R1039" i="15"/>
  <c r="N1039" i="15" a="1"/>
  <c r="N1039" i="15" s="1"/>
  <c r="M1039" i="15"/>
  <c r="J1039" i="15"/>
  <c r="I1039" i="15"/>
  <c r="E1039" i="15"/>
  <c r="D1039" i="15"/>
  <c r="S1038" i="15"/>
  <c r="R1038" i="15"/>
  <c r="N1038" i="15" a="1"/>
  <c r="N1038" i="15" s="1"/>
  <c r="M1038" i="15"/>
  <c r="J1038" i="15"/>
  <c r="I1038" i="15"/>
  <c r="E1038" i="15"/>
  <c r="D1038" i="15"/>
  <c r="S1037" i="15"/>
  <c r="R1037" i="15"/>
  <c r="N1037" i="15" a="1"/>
  <c r="N1037" i="15" s="1"/>
  <c r="M1037" i="15"/>
  <c r="J1037" i="15"/>
  <c r="I1037" i="15"/>
  <c r="E1037" i="15"/>
  <c r="D1037" i="15"/>
  <c r="S1036" i="15"/>
  <c r="R1036" i="15"/>
  <c r="M1036" i="15"/>
  <c r="N1036" i="15" s="1" a="1"/>
  <c r="N1036" i="15" s="1"/>
  <c r="J1036" i="15"/>
  <c r="I1036" i="15"/>
  <c r="E1036" i="15"/>
  <c r="D1036" i="15"/>
  <c r="S1035" i="15"/>
  <c r="R1035" i="15"/>
  <c r="N1035" i="15" a="1"/>
  <c r="N1035" i="15" s="1"/>
  <c r="M1035" i="15"/>
  <c r="J1035" i="15"/>
  <c r="I1035" i="15"/>
  <c r="E1035" i="15"/>
  <c r="D1035" i="15"/>
  <c r="S1034" i="15"/>
  <c r="R1034" i="15"/>
  <c r="N1034" i="15" a="1"/>
  <c r="N1034" i="15" s="1"/>
  <c r="M1034" i="15"/>
  <c r="J1034" i="15"/>
  <c r="I1034" i="15"/>
  <c r="E1034" i="15"/>
  <c r="D1034" i="15"/>
  <c r="S1033" i="15"/>
  <c r="R1033" i="15"/>
  <c r="N1033" i="15" a="1"/>
  <c r="N1033" i="15" s="1"/>
  <c r="M1033" i="15"/>
  <c r="J1033" i="15"/>
  <c r="I1033" i="15"/>
  <c r="E1033" i="15"/>
  <c r="D1033" i="15"/>
  <c r="S1032" i="15"/>
  <c r="R1032" i="15"/>
  <c r="M1032" i="15"/>
  <c r="N1032" i="15" s="1" a="1"/>
  <c r="N1032" i="15" s="1"/>
  <c r="J1032" i="15"/>
  <c r="I1032" i="15"/>
  <c r="E1032" i="15"/>
  <c r="D1032" i="15"/>
  <c r="S1031" i="15"/>
  <c r="R1031" i="15"/>
  <c r="N1031" i="15" a="1"/>
  <c r="N1031" i="15" s="1"/>
  <c r="M1031" i="15"/>
  <c r="J1031" i="15"/>
  <c r="I1031" i="15"/>
  <c r="E1031" i="15"/>
  <c r="D1031" i="15"/>
  <c r="S1030" i="15"/>
  <c r="R1030" i="15"/>
  <c r="N1030" i="15" a="1"/>
  <c r="N1030" i="15" s="1"/>
  <c r="M1030" i="15"/>
  <c r="J1030" i="15"/>
  <c r="I1030" i="15"/>
  <c r="E1030" i="15"/>
  <c r="D1030" i="15"/>
  <c r="S1029" i="15"/>
  <c r="R1029" i="15"/>
  <c r="N1029" i="15" a="1"/>
  <c r="N1029" i="15" s="1"/>
  <c r="M1029" i="15"/>
  <c r="J1029" i="15"/>
  <c r="I1029" i="15"/>
  <c r="E1029" i="15"/>
  <c r="D1029" i="15"/>
  <c r="S1028" i="15"/>
  <c r="R1028" i="15"/>
  <c r="M1028" i="15"/>
  <c r="N1028" i="15" s="1" a="1"/>
  <c r="N1028" i="15" s="1"/>
  <c r="J1028" i="15"/>
  <c r="I1028" i="15"/>
  <c r="E1028" i="15"/>
  <c r="D1028" i="15"/>
  <c r="S1027" i="15"/>
  <c r="R1027" i="15"/>
  <c r="N1027" i="15" a="1"/>
  <c r="N1027" i="15" s="1"/>
  <c r="M1027" i="15"/>
  <c r="J1027" i="15"/>
  <c r="I1027" i="15"/>
  <c r="E1027" i="15"/>
  <c r="D1027" i="15"/>
  <c r="S1026" i="15"/>
  <c r="R1026" i="15"/>
  <c r="N1026" i="15" a="1"/>
  <c r="N1026" i="15" s="1"/>
  <c r="M1026" i="15"/>
  <c r="J1026" i="15"/>
  <c r="I1026" i="15"/>
  <c r="E1026" i="15"/>
  <c r="D1026" i="15"/>
  <c r="S1025" i="15"/>
  <c r="R1025" i="15"/>
  <c r="N1025" i="15" a="1"/>
  <c r="N1025" i="15" s="1"/>
  <c r="M1025" i="15"/>
  <c r="J1025" i="15"/>
  <c r="I1025" i="15"/>
  <c r="E1025" i="15"/>
  <c r="D1025" i="15"/>
  <c r="S1024" i="15"/>
  <c r="R1024" i="15"/>
  <c r="M1024" i="15"/>
  <c r="N1024" i="15" s="1" a="1"/>
  <c r="N1024" i="15" s="1"/>
  <c r="J1024" i="15"/>
  <c r="I1024" i="15"/>
  <c r="E1024" i="15"/>
  <c r="D1024" i="15"/>
  <c r="S1023" i="15"/>
  <c r="R1023" i="15"/>
  <c r="N1023" i="15" a="1"/>
  <c r="N1023" i="15" s="1"/>
  <c r="M1023" i="15"/>
  <c r="J1023" i="15"/>
  <c r="I1023" i="15"/>
  <c r="E1023" i="15"/>
  <c r="D1023" i="15"/>
  <c r="S1022" i="15"/>
  <c r="R1022" i="15"/>
  <c r="N1022" i="15" a="1"/>
  <c r="N1022" i="15" s="1"/>
  <c r="M1022" i="15"/>
  <c r="J1022" i="15"/>
  <c r="I1022" i="15"/>
  <c r="E1022" i="15"/>
  <c r="D1022" i="15"/>
  <c r="S1021" i="15"/>
  <c r="R1021" i="15"/>
  <c r="N1021" i="15" a="1"/>
  <c r="N1021" i="15" s="1"/>
  <c r="M1021" i="15"/>
  <c r="J1021" i="15"/>
  <c r="I1021" i="15"/>
  <c r="E1021" i="15"/>
  <c r="D1021" i="15"/>
  <c r="S1020" i="15"/>
  <c r="R1020" i="15"/>
  <c r="M1020" i="15"/>
  <c r="N1020" i="15" s="1" a="1"/>
  <c r="N1020" i="15" s="1"/>
  <c r="J1020" i="15"/>
  <c r="I1020" i="15"/>
  <c r="E1020" i="15"/>
  <c r="D1020" i="15"/>
  <c r="S1019" i="15"/>
  <c r="R1019" i="15"/>
  <c r="N1019" i="15" a="1"/>
  <c r="N1019" i="15" s="1"/>
  <c r="M1019" i="15"/>
  <c r="J1019" i="15"/>
  <c r="I1019" i="15"/>
  <c r="E1019" i="15"/>
  <c r="D1019" i="15"/>
  <c r="S1018" i="15"/>
  <c r="R1018" i="15"/>
  <c r="N1018" i="15" a="1"/>
  <c r="N1018" i="15" s="1"/>
  <c r="M1018" i="15"/>
  <c r="J1018" i="15"/>
  <c r="I1018" i="15"/>
  <c r="E1018" i="15"/>
  <c r="D1018" i="15"/>
  <c r="S1017" i="15"/>
  <c r="R1017" i="15"/>
  <c r="N1017" i="15" a="1"/>
  <c r="N1017" i="15" s="1"/>
  <c r="M1017" i="15"/>
  <c r="J1017" i="15"/>
  <c r="I1017" i="15"/>
  <c r="E1017" i="15"/>
  <c r="D1017" i="15"/>
  <c r="S1016" i="15"/>
  <c r="R1016" i="15"/>
  <c r="M1016" i="15"/>
  <c r="N1016" i="15" s="1" a="1"/>
  <c r="N1016" i="15" s="1"/>
  <c r="J1016" i="15"/>
  <c r="I1016" i="15"/>
  <c r="E1016" i="15"/>
  <c r="D1016" i="15"/>
  <c r="S1015" i="15"/>
  <c r="R1015" i="15"/>
  <c r="N1015" i="15" a="1"/>
  <c r="N1015" i="15" s="1"/>
  <c r="M1015" i="15"/>
  <c r="J1015" i="15"/>
  <c r="I1015" i="15"/>
  <c r="E1015" i="15"/>
  <c r="D1015" i="15"/>
  <c r="S1014" i="15"/>
  <c r="R1014" i="15"/>
  <c r="N1014" i="15" a="1"/>
  <c r="N1014" i="15" s="1"/>
  <c r="M1014" i="15"/>
  <c r="J1014" i="15"/>
  <c r="I1014" i="15"/>
  <c r="E1014" i="15"/>
  <c r="D1014" i="15"/>
  <c r="S1013" i="15"/>
  <c r="R1013" i="15"/>
  <c r="N1013" i="15" a="1"/>
  <c r="N1013" i="15" s="1"/>
  <c r="M1013" i="15"/>
  <c r="J1013" i="15"/>
  <c r="I1013" i="15"/>
  <c r="E1013" i="15"/>
  <c r="D1013" i="15"/>
  <c r="S1012" i="15"/>
  <c r="R1012" i="15"/>
  <c r="M1012" i="15"/>
  <c r="N1012" i="15" s="1" a="1"/>
  <c r="N1012" i="15" s="1"/>
  <c r="J1012" i="15"/>
  <c r="I1012" i="15"/>
  <c r="E1012" i="15"/>
  <c r="D1012" i="15"/>
  <c r="S1011" i="15"/>
  <c r="R1011" i="15"/>
  <c r="M1011" i="15"/>
  <c r="N1011" i="15" s="1" a="1"/>
  <c r="N1011" i="15" s="1"/>
  <c r="J1011" i="15"/>
  <c r="I1011" i="15"/>
  <c r="E1011" i="15"/>
  <c r="D1011" i="15"/>
  <c r="S1010" i="15"/>
  <c r="R1010" i="15"/>
  <c r="M1010" i="15"/>
  <c r="N1010" i="15" s="1" a="1"/>
  <c r="N1010" i="15" s="1"/>
  <c r="J1010" i="15"/>
  <c r="I1010" i="15"/>
  <c r="E1010" i="15"/>
  <c r="D1010" i="15"/>
  <c r="S1009" i="15"/>
  <c r="R1009" i="15"/>
  <c r="M1009" i="15"/>
  <c r="N1009" i="15" s="1" a="1"/>
  <c r="N1009" i="15" s="1"/>
  <c r="J1009" i="15"/>
  <c r="I1009" i="15"/>
  <c r="E1009" i="15"/>
  <c r="D1009" i="15"/>
  <c r="S1008" i="15"/>
  <c r="R1008" i="15"/>
  <c r="M1008" i="15"/>
  <c r="N1008" i="15" s="1" a="1"/>
  <c r="N1008" i="15" s="1"/>
  <c r="J1008" i="15"/>
  <c r="I1008" i="15"/>
  <c r="E1008" i="15"/>
  <c r="D1008" i="15"/>
  <c r="S1007" i="15"/>
  <c r="R1007" i="15"/>
  <c r="M1007" i="15"/>
  <c r="N1007" i="15" s="1" a="1"/>
  <c r="N1007" i="15" s="1"/>
  <c r="J1007" i="15"/>
  <c r="I1007" i="15"/>
  <c r="E1007" i="15"/>
  <c r="D1007" i="15"/>
  <c r="S1006" i="15"/>
  <c r="R1006" i="15"/>
  <c r="M1006" i="15"/>
  <c r="N1006" i="15" s="1" a="1"/>
  <c r="N1006" i="15" s="1"/>
  <c r="J1006" i="15"/>
  <c r="I1006" i="15"/>
  <c r="E1006" i="15"/>
  <c r="D1006" i="15"/>
  <c r="S1005" i="15"/>
  <c r="R1005" i="15"/>
  <c r="M1005" i="15"/>
  <c r="N1005" i="15" s="1" a="1"/>
  <c r="N1005" i="15" s="1"/>
  <c r="J1005" i="15"/>
  <c r="I1005" i="15"/>
  <c r="E1005" i="15"/>
  <c r="D1005" i="15"/>
  <c r="S1004" i="15"/>
  <c r="R1004" i="15"/>
  <c r="M1004" i="15"/>
  <c r="N1004" i="15" s="1" a="1"/>
  <c r="N1004" i="15" s="1"/>
  <c r="J1004" i="15"/>
  <c r="I1004" i="15"/>
  <c r="E1004" i="15"/>
  <c r="D1004" i="15"/>
  <c r="S1003" i="15"/>
  <c r="R1003" i="15"/>
  <c r="M1003" i="15"/>
  <c r="N1003" i="15" s="1" a="1"/>
  <c r="N1003" i="15" s="1"/>
  <c r="J1003" i="15"/>
  <c r="I1003" i="15"/>
  <c r="E1003" i="15"/>
  <c r="D1003" i="15"/>
  <c r="S1002" i="15"/>
  <c r="R1002" i="15"/>
  <c r="M1002" i="15"/>
  <c r="N1002" i="15" s="1" a="1"/>
  <c r="N1002" i="15" s="1"/>
  <c r="I1002" i="15"/>
  <c r="E1002" i="15"/>
  <c r="D1002" i="15"/>
  <c r="S1001" i="15"/>
  <c r="R1001" i="15"/>
  <c r="M1001" i="15"/>
  <c r="N1001" i="15" s="1" a="1"/>
  <c r="N1001" i="15" s="1"/>
  <c r="I1001" i="15"/>
  <c r="E1001" i="15"/>
  <c r="D1001" i="15"/>
  <c r="S1000" i="15"/>
  <c r="R1000" i="15"/>
  <c r="M1000" i="15"/>
  <c r="N1000" i="15" s="1" a="1"/>
  <c r="N1000" i="15" s="1"/>
  <c r="I1000" i="15"/>
  <c r="E1000" i="15"/>
  <c r="D1000" i="15"/>
  <c r="S999" i="15"/>
  <c r="R999" i="15"/>
  <c r="M999" i="15"/>
  <c r="N999" i="15" s="1" a="1"/>
  <c r="N999" i="15" s="1"/>
  <c r="I999" i="15"/>
  <c r="E999" i="15"/>
  <c r="D999" i="15"/>
  <c r="S998" i="15"/>
  <c r="R998" i="15"/>
  <c r="M998" i="15"/>
  <c r="N998" i="15" s="1" a="1"/>
  <c r="N998" i="15" s="1"/>
  <c r="I998" i="15"/>
  <c r="E998" i="15"/>
  <c r="D998" i="15"/>
  <c r="S997" i="15"/>
  <c r="R997" i="15"/>
  <c r="M997" i="15"/>
  <c r="N997" i="15" s="1" a="1"/>
  <c r="N997" i="15" s="1"/>
  <c r="I997" i="15"/>
  <c r="E997" i="15"/>
  <c r="D997" i="15"/>
  <c r="S996" i="15"/>
  <c r="R996" i="15"/>
  <c r="M996" i="15"/>
  <c r="N996" i="15" s="1" a="1"/>
  <c r="N996" i="15" s="1"/>
  <c r="I996" i="15"/>
  <c r="E996" i="15"/>
  <c r="D996" i="15"/>
  <c r="S995" i="15"/>
  <c r="R995" i="15"/>
  <c r="M995" i="15"/>
  <c r="N995" i="15" s="1" a="1"/>
  <c r="N995" i="15" s="1"/>
  <c r="I995" i="15"/>
  <c r="E995" i="15"/>
  <c r="D995" i="15"/>
  <c r="S994" i="15"/>
  <c r="R994" i="15"/>
  <c r="M994" i="15"/>
  <c r="N994" i="15" s="1" a="1"/>
  <c r="N994" i="15" s="1"/>
  <c r="I994" i="15"/>
  <c r="E994" i="15"/>
  <c r="D994" i="15"/>
  <c r="S993" i="15"/>
  <c r="R993" i="15"/>
  <c r="M993" i="15"/>
  <c r="N993" i="15" s="1" a="1"/>
  <c r="N993" i="15" s="1"/>
  <c r="I993" i="15"/>
  <c r="E993" i="15"/>
  <c r="D993" i="15"/>
  <c r="S992" i="15"/>
  <c r="R992" i="15"/>
  <c r="M992" i="15"/>
  <c r="N992" i="15" s="1" a="1"/>
  <c r="N992" i="15" s="1"/>
  <c r="I992" i="15"/>
  <c r="E992" i="15"/>
  <c r="D992" i="15"/>
  <c r="S991" i="15"/>
  <c r="R991" i="15"/>
  <c r="M991" i="15"/>
  <c r="N991" i="15" s="1" a="1"/>
  <c r="N991" i="15" s="1"/>
  <c r="I991" i="15"/>
  <c r="E991" i="15"/>
  <c r="D991" i="15"/>
  <c r="S990" i="15"/>
  <c r="R990" i="15"/>
  <c r="M990" i="15"/>
  <c r="N990" i="15" s="1" a="1"/>
  <c r="N990" i="15" s="1"/>
  <c r="I990" i="15"/>
  <c r="E990" i="15"/>
  <c r="D990" i="15"/>
  <c r="S989" i="15"/>
  <c r="R989" i="15"/>
  <c r="M989" i="15"/>
  <c r="N989" i="15" s="1" a="1"/>
  <c r="N989" i="15" s="1"/>
  <c r="I989" i="15"/>
  <c r="E989" i="15"/>
  <c r="D989" i="15"/>
  <c r="S988" i="15"/>
  <c r="R988" i="15"/>
  <c r="M988" i="15"/>
  <c r="N988" i="15" s="1" a="1"/>
  <c r="N988" i="15" s="1"/>
  <c r="I988" i="15"/>
  <c r="E988" i="15"/>
  <c r="D988" i="15"/>
  <c r="S987" i="15"/>
  <c r="R987" i="15"/>
  <c r="M987" i="15"/>
  <c r="N987" i="15" s="1" a="1"/>
  <c r="N987" i="15" s="1"/>
  <c r="I987" i="15"/>
  <c r="E987" i="15"/>
  <c r="D987" i="15"/>
  <c r="S986" i="15"/>
  <c r="R986" i="15"/>
  <c r="M986" i="15"/>
  <c r="N986" i="15" s="1" a="1"/>
  <c r="N986" i="15" s="1"/>
  <c r="I986" i="15"/>
  <c r="E986" i="15"/>
  <c r="D986" i="15"/>
  <c r="S985" i="15"/>
  <c r="R985" i="15"/>
  <c r="M985" i="15"/>
  <c r="N985" i="15" s="1" a="1"/>
  <c r="N985" i="15" s="1"/>
  <c r="I985" i="15"/>
  <c r="E985" i="15"/>
  <c r="D985" i="15"/>
  <c r="S984" i="15"/>
  <c r="R984" i="15"/>
  <c r="M984" i="15"/>
  <c r="N984" i="15" s="1" a="1"/>
  <c r="N984" i="15" s="1"/>
  <c r="I984" i="15"/>
  <c r="E984" i="15"/>
  <c r="D984" i="15"/>
  <c r="S983" i="15"/>
  <c r="R983" i="15"/>
  <c r="M983" i="15"/>
  <c r="N983" i="15" s="1" a="1"/>
  <c r="N983" i="15" s="1"/>
  <c r="I983" i="15"/>
  <c r="E983" i="15"/>
  <c r="D983" i="15"/>
  <c r="S982" i="15"/>
  <c r="R982" i="15"/>
  <c r="M982" i="15"/>
  <c r="N982" i="15" s="1" a="1"/>
  <c r="N982" i="15" s="1"/>
  <c r="I982" i="15"/>
  <c r="E982" i="15"/>
  <c r="D982" i="15"/>
  <c r="S981" i="15"/>
  <c r="R981" i="15"/>
  <c r="M981" i="15"/>
  <c r="N981" i="15" s="1" a="1"/>
  <c r="N981" i="15" s="1"/>
  <c r="I981" i="15"/>
  <c r="E981" i="15"/>
  <c r="D981" i="15"/>
  <c r="S980" i="15"/>
  <c r="R980" i="15"/>
  <c r="M980" i="15"/>
  <c r="N980" i="15" s="1" a="1"/>
  <c r="N980" i="15" s="1"/>
  <c r="I980" i="15"/>
  <c r="E980" i="15"/>
  <c r="D980" i="15"/>
  <c r="S979" i="15"/>
  <c r="R979" i="15"/>
  <c r="M979" i="15"/>
  <c r="N979" i="15" s="1" a="1"/>
  <c r="N979" i="15" s="1"/>
  <c r="I979" i="15"/>
  <c r="E979" i="15"/>
  <c r="D979" i="15"/>
  <c r="S978" i="15"/>
  <c r="R978" i="15"/>
  <c r="M978" i="15"/>
  <c r="N978" i="15" s="1" a="1"/>
  <c r="N978" i="15" s="1"/>
  <c r="I978" i="15"/>
  <c r="E978" i="15"/>
  <c r="D978" i="15"/>
  <c r="S977" i="15"/>
  <c r="R977" i="15"/>
  <c r="M977" i="15"/>
  <c r="N977" i="15" s="1" a="1"/>
  <c r="N977" i="15" s="1"/>
  <c r="I977" i="15"/>
  <c r="E977" i="15"/>
  <c r="D977" i="15"/>
  <c r="S976" i="15"/>
  <c r="R976" i="15"/>
  <c r="M976" i="15"/>
  <c r="N976" i="15" s="1" a="1"/>
  <c r="N976" i="15" s="1"/>
  <c r="I976" i="15"/>
  <c r="E976" i="15"/>
  <c r="D976" i="15"/>
  <c r="S975" i="15"/>
  <c r="R975" i="15"/>
  <c r="M975" i="15"/>
  <c r="N975" i="15" s="1" a="1"/>
  <c r="N975" i="15" s="1"/>
  <c r="I975" i="15"/>
  <c r="E975" i="15"/>
  <c r="D975" i="15"/>
  <c r="S974" i="15"/>
  <c r="R974" i="15"/>
  <c r="M974" i="15"/>
  <c r="N974" i="15" s="1" a="1"/>
  <c r="N974" i="15" s="1"/>
  <c r="I974" i="15"/>
  <c r="E974" i="15"/>
  <c r="D974" i="15"/>
  <c r="S973" i="15"/>
  <c r="R973" i="15"/>
  <c r="M973" i="15"/>
  <c r="N973" i="15" s="1" a="1"/>
  <c r="N973" i="15" s="1"/>
  <c r="I973" i="15"/>
  <c r="E973" i="15"/>
  <c r="D973" i="15"/>
  <c r="S972" i="15"/>
  <c r="R972" i="15"/>
  <c r="M972" i="15"/>
  <c r="N972" i="15" s="1" a="1"/>
  <c r="N972" i="15" s="1"/>
  <c r="I972" i="15"/>
  <c r="E972" i="15"/>
  <c r="D972" i="15"/>
  <c r="S971" i="15"/>
  <c r="R971" i="15"/>
  <c r="M971" i="15"/>
  <c r="N971" i="15" s="1" a="1"/>
  <c r="N971" i="15" s="1"/>
  <c r="I971" i="15"/>
  <c r="E971" i="15"/>
  <c r="D971" i="15"/>
  <c r="S970" i="15"/>
  <c r="R970" i="15"/>
  <c r="M970" i="15"/>
  <c r="N970" i="15" s="1" a="1"/>
  <c r="N970" i="15" s="1"/>
  <c r="I970" i="15"/>
  <c r="E970" i="15"/>
  <c r="D970" i="15"/>
  <c r="S969" i="15"/>
  <c r="R969" i="15"/>
  <c r="M969" i="15"/>
  <c r="N969" i="15" s="1" a="1"/>
  <c r="N969" i="15" s="1"/>
  <c r="I969" i="15"/>
  <c r="E969" i="15"/>
  <c r="D969" i="15"/>
  <c r="S968" i="15"/>
  <c r="R968" i="15"/>
  <c r="M968" i="15"/>
  <c r="N968" i="15" s="1" a="1"/>
  <c r="N968" i="15" s="1"/>
  <c r="I968" i="15"/>
  <c r="E968" i="15"/>
  <c r="D968" i="15"/>
  <c r="S967" i="15"/>
  <c r="R967" i="15"/>
  <c r="M967" i="15"/>
  <c r="N967" i="15" s="1" a="1"/>
  <c r="N967" i="15" s="1"/>
  <c r="I967" i="15"/>
  <c r="E967" i="15"/>
  <c r="D967" i="15"/>
  <c r="S966" i="15"/>
  <c r="R966" i="15"/>
  <c r="M966" i="15"/>
  <c r="N966" i="15" s="1" a="1"/>
  <c r="N966" i="15" s="1"/>
  <c r="I966" i="15"/>
  <c r="E966" i="15"/>
  <c r="D966" i="15"/>
  <c r="S965" i="15"/>
  <c r="R965" i="15"/>
  <c r="M965" i="15"/>
  <c r="N965" i="15" s="1" a="1"/>
  <c r="N965" i="15" s="1"/>
  <c r="I965" i="15"/>
  <c r="E965" i="15"/>
  <c r="D965" i="15"/>
  <c r="S964" i="15"/>
  <c r="R964" i="15"/>
  <c r="M964" i="15"/>
  <c r="N964" i="15" s="1" a="1"/>
  <c r="N964" i="15" s="1"/>
  <c r="I964" i="15"/>
  <c r="E964" i="15"/>
  <c r="D964" i="15"/>
  <c r="S963" i="15"/>
  <c r="R963" i="15"/>
  <c r="M963" i="15"/>
  <c r="N963" i="15" s="1" a="1"/>
  <c r="N963" i="15" s="1"/>
  <c r="I963" i="15"/>
  <c r="E963" i="15"/>
  <c r="D963" i="15"/>
  <c r="S962" i="15"/>
  <c r="R962" i="15"/>
  <c r="M962" i="15"/>
  <c r="N962" i="15" s="1" a="1"/>
  <c r="N962" i="15" s="1"/>
  <c r="I962" i="15"/>
  <c r="E962" i="15"/>
  <c r="D962" i="15"/>
  <c r="S961" i="15"/>
  <c r="R961" i="15"/>
  <c r="M961" i="15"/>
  <c r="N961" i="15" s="1" a="1"/>
  <c r="N961" i="15" s="1"/>
  <c r="I961" i="15"/>
  <c r="E961" i="15"/>
  <c r="D961" i="15"/>
  <c r="S960" i="15"/>
  <c r="R960" i="15"/>
  <c r="M960" i="15"/>
  <c r="N960" i="15" s="1" a="1"/>
  <c r="N960" i="15" s="1"/>
  <c r="I960" i="15"/>
  <c r="E960" i="15"/>
  <c r="D960" i="15"/>
  <c r="S959" i="15"/>
  <c r="R959" i="15"/>
  <c r="M959" i="15"/>
  <c r="N959" i="15" s="1" a="1"/>
  <c r="N959" i="15" s="1"/>
  <c r="I959" i="15"/>
  <c r="E959" i="15"/>
  <c r="D959" i="15"/>
  <c r="S958" i="15"/>
  <c r="R958" i="15"/>
  <c r="M958" i="15"/>
  <c r="N958" i="15" s="1" a="1"/>
  <c r="N958" i="15" s="1"/>
  <c r="I958" i="15"/>
  <c r="E958" i="15"/>
  <c r="D958" i="15"/>
  <c r="S957" i="15"/>
  <c r="R957" i="15"/>
  <c r="M957" i="15"/>
  <c r="N957" i="15" s="1" a="1"/>
  <c r="N957" i="15" s="1"/>
  <c r="I957" i="15"/>
  <c r="E957" i="15"/>
  <c r="D957" i="15"/>
  <c r="S956" i="15"/>
  <c r="R956" i="15"/>
  <c r="M956" i="15"/>
  <c r="N956" i="15" s="1" a="1"/>
  <c r="N956" i="15" s="1"/>
  <c r="I956" i="15"/>
  <c r="E956" i="15"/>
  <c r="D956" i="15"/>
  <c r="S955" i="15"/>
  <c r="R955" i="15"/>
  <c r="M955" i="15"/>
  <c r="N955" i="15" s="1" a="1"/>
  <c r="N955" i="15" s="1"/>
  <c r="I955" i="15"/>
  <c r="E955" i="15"/>
  <c r="D955" i="15"/>
  <c r="S954" i="15"/>
  <c r="R954" i="15"/>
  <c r="M954" i="15"/>
  <c r="N954" i="15" s="1" a="1"/>
  <c r="N954" i="15" s="1"/>
  <c r="I954" i="15"/>
  <c r="E954" i="15"/>
  <c r="D954" i="15"/>
  <c r="S953" i="15"/>
  <c r="R953" i="15"/>
  <c r="M953" i="15"/>
  <c r="N953" i="15" s="1" a="1"/>
  <c r="N953" i="15" s="1"/>
  <c r="I953" i="15"/>
  <c r="E953" i="15"/>
  <c r="D953" i="15"/>
  <c r="S952" i="15"/>
  <c r="R952" i="15"/>
  <c r="M952" i="15"/>
  <c r="N952" i="15" s="1" a="1"/>
  <c r="N952" i="15" s="1"/>
  <c r="I952" i="15"/>
  <c r="E952" i="15"/>
  <c r="D952" i="15"/>
  <c r="S951" i="15"/>
  <c r="R951" i="15"/>
  <c r="M951" i="15"/>
  <c r="N951" i="15" s="1" a="1"/>
  <c r="N951" i="15" s="1"/>
  <c r="I951" i="15"/>
  <c r="E951" i="15"/>
  <c r="D951" i="15"/>
  <c r="S950" i="15"/>
  <c r="R950" i="15"/>
  <c r="M950" i="15"/>
  <c r="N950" i="15" s="1" a="1"/>
  <c r="N950" i="15" s="1"/>
  <c r="I950" i="15"/>
  <c r="E950" i="15"/>
  <c r="D950" i="15"/>
  <c r="S949" i="15"/>
  <c r="R949" i="15"/>
  <c r="M949" i="15"/>
  <c r="N949" i="15" s="1" a="1"/>
  <c r="N949" i="15" s="1"/>
  <c r="I949" i="15"/>
  <c r="E949" i="15"/>
  <c r="D949" i="15"/>
  <c r="S948" i="15"/>
  <c r="R948" i="15"/>
  <c r="M948" i="15"/>
  <c r="N948" i="15" s="1" a="1"/>
  <c r="N948" i="15" s="1"/>
  <c r="I948" i="15"/>
  <c r="E948" i="15"/>
  <c r="D948" i="15"/>
  <c r="S947" i="15"/>
  <c r="R947" i="15"/>
  <c r="M947" i="15"/>
  <c r="N947" i="15" s="1" a="1"/>
  <c r="N947" i="15" s="1"/>
  <c r="I947" i="15"/>
  <c r="E947" i="15"/>
  <c r="D947" i="15"/>
  <c r="S946" i="15"/>
  <c r="R946" i="15"/>
  <c r="M946" i="15"/>
  <c r="N946" i="15" s="1" a="1"/>
  <c r="N946" i="15" s="1"/>
  <c r="I946" i="15"/>
  <c r="E946" i="15"/>
  <c r="D946" i="15"/>
  <c r="S945" i="15"/>
  <c r="R945" i="15"/>
  <c r="M945" i="15"/>
  <c r="N945" i="15" s="1" a="1"/>
  <c r="N945" i="15" s="1"/>
  <c r="I945" i="15"/>
  <c r="E945" i="15"/>
  <c r="D945" i="15"/>
  <c r="S944" i="15"/>
  <c r="R944" i="15"/>
  <c r="M944" i="15"/>
  <c r="N944" i="15" s="1" a="1"/>
  <c r="N944" i="15" s="1"/>
  <c r="I944" i="15"/>
  <c r="E944" i="15"/>
  <c r="D944" i="15"/>
  <c r="S943" i="15"/>
  <c r="R943" i="15"/>
  <c r="M943" i="15"/>
  <c r="N943" i="15" s="1" a="1"/>
  <c r="N943" i="15" s="1"/>
  <c r="I943" i="15"/>
  <c r="E943" i="15"/>
  <c r="D943" i="15"/>
  <c r="S942" i="15"/>
  <c r="R942" i="15"/>
  <c r="M942" i="15"/>
  <c r="N942" i="15" s="1" a="1"/>
  <c r="N942" i="15" s="1"/>
  <c r="I942" i="15"/>
  <c r="E942" i="15"/>
  <c r="D942" i="15"/>
  <c r="S941" i="15"/>
  <c r="R941" i="15"/>
  <c r="M941" i="15"/>
  <c r="N941" i="15" s="1" a="1"/>
  <c r="N941" i="15" s="1"/>
  <c r="I941" i="15"/>
  <c r="E941" i="15"/>
  <c r="D941" i="15"/>
  <c r="S940" i="15"/>
  <c r="R940" i="15"/>
  <c r="M940" i="15"/>
  <c r="N940" i="15" s="1" a="1"/>
  <c r="N940" i="15" s="1"/>
  <c r="I940" i="15"/>
  <c r="E940" i="15"/>
  <c r="D940" i="15"/>
  <c r="S939" i="15"/>
  <c r="R939" i="15"/>
  <c r="M939" i="15"/>
  <c r="N939" i="15" s="1" a="1"/>
  <c r="N939" i="15" s="1"/>
  <c r="I939" i="15"/>
  <c r="E939" i="15"/>
  <c r="D939" i="15"/>
  <c r="S938" i="15"/>
  <c r="R938" i="15"/>
  <c r="M938" i="15"/>
  <c r="N938" i="15" s="1" a="1"/>
  <c r="N938" i="15" s="1"/>
  <c r="I938" i="15"/>
  <c r="E938" i="15"/>
  <c r="D938" i="15"/>
  <c r="S937" i="15"/>
  <c r="R937" i="15"/>
  <c r="M937" i="15"/>
  <c r="N937" i="15" s="1" a="1"/>
  <c r="N937" i="15" s="1"/>
  <c r="I937" i="15"/>
  <c r="E937" i="15"/>
  <c r="D937" i="15"/>
  <c r="S936" i="15"/>
  <c r="R936" i="15"/>
  <c r="M936" i="15"/>
  <c r="N936" i="15" s="1" a="1"/>
  <c r="N936" i="15" s="1"/>
  <c r="I936" i="15"/>
  <c r="E936" i="15"/>
  <c r="D936" i="15"/>
  <c r="S935" i="15"/>
  <c r="R935" i="15"/>
  <c r="M935" i="15"/>
  <c r="N935" i="15" s="1" a="1"/>
  <c r="N935" i="15" s="1"/>
  <c r="I935" i="15"/>
  <c r="E935" i="15"/>
  <c r="D935" i="15"/>
  <c r="S934" i="15"/>
  <c r="R934" i="15"/>
  <c r="M934" i="15"/>
  <c r="N934" i="15" s="1" a="1"/>
  <c r="N934" i="15" s="1"/>
  <c r="I934" i="15"/>
  <c r="E934" i="15"/>
  <c r="D934" i="15"/>
  <c r="S933" i="15"/>
  <c r="R933" i="15"/>
  <c r="M933" i="15"/>
  <c r="N933" i="15" s="1" a="1"/>
  <c r="N933" i="15" s="1"/>
  <c r="I933" i="15"/>
  <c r="E933" i="15"/>
  <c r="D933" i="15"/>
  <c r="S932" i="15"/>
  <c r="R932" i="15"/>
  <c r="M932" i="15"/>
  <c r="N932" i="15" s="1" a="1"/>
  <c r="N932" i="15" s="1"/>
  <c r="I932" i="15"/>
  <c r="E932" i="15"/>
  <c r="D932" i="15"/>
  <c r="S931" i="15"/>
  <c r="R931" i="15"/>
  <c r="M931" i="15"/>
  <c r="N931" i="15" s="1" a="1"/>
  <c r="N931" i="15" s="1"/>
  <c r="I931" i="15"/>
  <c r="E931" i="15"/>
  <c r="D931" i="15"/>
  <c r="S930" i="15"/>
  <c r="R930" i="15"/>
  <c r="M930" i="15"/>
  <c r="N930" i="15" s="1" a="1"/>
  <c r="N930" i="15" s="1"/>
  <c r="I930" i="15"/>
  <c r="E930" i="15"/>
  <c r="D930" i="15"/>
  <c r="S929" i="15"/>
  <c r="R929" i="15"/>
  <c r="M929" i="15"/>
  <c r="N929" i="15" s="1" a="1"/>
  <c r="N929" i="15" s="1"/>
  <c r="I929" i="15"/>
  <c r="E929" i="15"/>
  <c r="D929" i="15"/>
  <c r="S928" i="15"/>
  <c r="R928" i="15"/>
  <c r="M928" i="15"/>
  <c r="N928" i="15" s="1" a="1"/>
  <c r="N928" i="15" s="1"/>
  <c r="I928" i="15"/>
  <c r="E928" i="15"/>
  <c r="D928" i="15"/>
  <c r="S927" i="15"/>
  <c r="R927" i="15"/>
  <c r="M927" i="15"/>
  <c r="N927" i="15" s="1" a="1"/>
  <c r="N927" i="15" s="1"/>
  <c r="I927" i="15"/>
  <c r="E927" i="15"/>
  <c r="D927" i="15"/>
  <c r="S926" i="15"/>
  <c r="R926" i="15"/>
  <c r="M926" i="15"/>
  <c r="N926" i="15" s="1" a="1"/>
  <c r="N926" i="15" s="1"/>
  <c r="I926" i="15"/>
  <c r="E926" i="15"/>
  <c r="D926" i="15"/>
  <c r="S925" i="15"/>
  <c r="R925" i="15"/>
  <c r="M925" i="15"/>
  <c r="N925" i="15" s="1" a="1"/>
  <c r="N925" i="15" s="1"/>
  <c r="I925" i="15"/>
  <c r="E925" i="15"/>
  <c r="D925" i="15"/>
  <c r="S924" i="15"/>
  <c r="R924" i="15"/>
  <c r="M924" i="15"/>
  <c r="N924" i="15" s="1" a="1"/>
  <c r="N924" i="15" s="1"/>
  <c r="I924" i="15"/>
  <c r="E924" i="15"/>
  <c r="D924" i="15"/>
  <c r="S923" i="15"/>
  <c r="R923" i="15"/>
  <c r="M923" i="15"/>
  <c r="N923" i="15" s="1" a="1"/>
  <c r="N923" i="15" s="1"/>
  <c r="I923" i="15"/>
  <c r="E923" i="15"/>
  <c r="D923" i="15"/>
  <c r="S922" i="15"/>
  <c r="R922" i="15"/>
  <c r="M922" i="15"/>
  <c r="N922" i="15" s="1" a="1"/>
  <c r="N922" i="15" s="1"/>
  <c r="I922" i="15"/>
  <c r="E922" i="15"/>
  <c r="D922" i="15"/>
  <c r="S921" i="15"/>
  <c r="R921" i="15"/>
  <c r="M921" i="15"/>
  <c r="N921" i="15" s="1" a="1"/>
  <c r="N921" i="15" s="1"/>
  <c r="I921" i="15"/>
  <c r="E921" i="15"/>
  <c r="D921" i="15"/>
  <c r="S920" i="15"/>
  <c r="R920" i="15"/>
  <c r="M920" i="15"/>
  <c r="N920" i="15" s="1" a="1"/>
  <c r="N920" i="15" s="1"/>
  <c r="I920" i="15"/>
  <c r="E920" i="15"/>
  <c r="D920" i="15"/>
  <c r="S919" i="15"/>
  <c r="R919" i="15"/>
  <c r="M919" i="15"/>
  <c r="N919" i="15" s="1" a="1"/>
  <c r="N919" i="15" s="1"/>
  <c r="I919" i="15"/>
  <c r="E919" i="15"/>
  <c r="D919" i="15"/>
  <c r="S918" i="15"/>
  <c r="R918" i="15"/>
  <c r="M918" i="15"/>
  <c r="N918" i="15" s="1" a="1"/>
  <c r="N918" i="15" s="1"/>
  <c r="I918" i="15"/>
  <c r="E918" i="15"/>
  <c r="D918" i="15"/>
  <c r="S917" i="15"/>
  <c r="R917" i="15"/>
  <c r="N917" i="15" a="1"/>
  <c r="N917" i="15" s="1"/>
  <c r="M917" i="15"/>
  <c r="I917" i="15"/>
  <c r="E917" i="15"/>
  <c r="D917" i="15"/>
  <c r="S916" i="15"/>
  <c r="R916" i="15"/>
  <c r="M916" i="15"/>
  <c r="N916" i="15" s="1" a="1"/>
  <c r="N916" i="15" s="1"/>
  <c r="I916" i="15"/>
  <c r="E916" i="15"/>
  <c r="D916" i="15"/>
  <c r="S915" i="15"/>
  <c r="R915" i="15"/>
  <c r="M915" i="15"/>
  <c r="N915" i="15" s="1" a="1"/>
  <c r="N915" i="15" s="1"/>
  <c r="I915" i="15"/>
  <c r="E915" i="15"/>
  <c r="D915" i="15"/>
  <c r="S914" i="15"/>
  <c r="R914" i="15"/>
  <c r="M914" i="15"/>
  <c r="N914" i="15" s="1" a="1"/>
  <c r="N914" i="15" s="1"/>
  <c r="I914" i="15"/>
  <c r="E914" i="15"/>
  <c r="D914" i="15"/>
  <c r="S913" i="15"/>
  <c r="R913" i="15"/>
  <c r="N913" i="15" a="1"/>
  <c r="N913" i="15" s="1"/>
  <c r="M913" i="15"/>
  <c r="I913" i="15"/>
  <c r="E913" i="15"/>
  <c r="D913" i="15"/>
  <c r="S912" i="15"/>
  <c r="R912" i="15"/>
  <c r="M912" i="15"/>
  <c r="N912" i="15" s="1" a="1"/>
  <c r="N912" i="15" s="1"/>
  <c r="I912" i="15"/>
  <c r="E912" i="15"/>
  <c r="D912" i="15"/>
  <c r="S911" i="15"/>
  <c r="R911" i="15"/>
  <c r="M911" i="15"/>
  <c r="N911" i="15" s="1" a="1"/>
  <c r="N911" i="15" s="1"/>
  <c r="I911" i="15"/>
  <c r="E911" i="15"/>
  <c r="D911" i="15"/>
  <c r="S910" i="15"/>
  <c r="R910" i="15"/>
  <c r="M910" i="15"/>
  <c r="N910" i="15" s="1" a="1"/>
  <c r="N910" i="15" s="1"/>
  <c r="I910" i="15"/>
  <c r="E910" i="15"/>
  <c r="D910" i="15"/>
  <c r="S909" i="15"/>
  <c r="R909" i="15"/>
  <c r="N909" i="15" a="1"/>
  <c r="N909" i="15" s="1"/>
  <c r="M909" i="15"/>
  <c r="I909" i="15"/>
  <c r="E909" i="15"/>
  <c r="D909" i="15"/>
  <c r="S908" i="15"/>
  <c r="R908" i="15"/>
  <c r="M908" i="15"/>
  <c r="N908" i="15" s="1" a="1"/>
  <c r="N908" i="15" s="1"/>
  <c r="I908" i="15"/>
  <c r="E908" i="15"/>
  <c r="D908" i="15"/>
  <c r="S907" i="15"/>
  <c r="R907" i="15"/>
  <c r="N907" i="15" a="1"/>
  <c r="N907" i="15" s="1"/>
  <c r="M907" i="15"/>
  <c r="I907" i="15"/>
  <c r="E907" i="15"/>
  <c r="D907" i="15"/>
  <c r="S906" i="15"/>
  <c r="R906" i="15"/>
  <c r="M906" i="15"/>
  <c r="N906" i="15" s="1" a="1"/>
  <c r="N906" i="15" s="1"/>
  <c r="I906" i="15"/>
  <c r="E906" i="15"/>
  <c r="D906" i="15"/>
  <c r="S905" i="15"/>
  <c r="R905" i="15"/>
  <c r="M905" i="15"/>
  <c r="N905" i="15" s="1" a="1"/>
  <c r="N905" i="15" s="1"/>
  <c r="I905" i="15"/>
  <c r="E905" i="15"/>
  <c r="D905" i="15"/>
  <c r="S904" i="15"/>
  <c r="R904" i="15"/>
  <c r="M904" i="15"/>
  <c r="N904" i="15" s="1" a="1"/>
  <c r="N904" i="15" s="1"/>
  <c r="I904" i="15"/>
  <c r="E904" i="15"/>
  <c r="D904" i="15"/>
  <c r="S903" i="15"/>
  <c r="R903" i="15"/>
  <c r="M903" i="15"/>
  <c r="N903" i="15" s="1" a="1"/>
  <c r="N903" i="15" s="1"/>
  <c r="I903" i="15"/>
  <c r="E903" i="15"/>
  <c r="D903" i="15"/>
  <c r="S902" i="15"/>
  <c r="R902" i="15"/>
  <c r="M902" i="15"/>
  <c r="N902" i="15" s="1" a="1"/>
  <c r="N902" i="15" s="1"/>
  <c r="I902" i="15"/>
  <c r="E902" i="15"/>
  <c r="D902" i="15"/>
  <c r="S901" i="15"/>
  <c r="R901" i="15"/>
  <c r="N901" i="15" a="1"/>
  <c r="N901" i="15" s="1"/>
  <c r="M901" i="15"/>
  <c r="I901" i="15"/>
  <c r="E901" i="15"/>
  <c r="D901" i="15"/>
  <c r="S900" i="15"/>
  <c r="R900" i="15"/>
  <c r="M900" i="15"/>
  <c r="N900" i="15" s="1" a="1"/>
  <c r="N900" i="15" s="1"/>
  <c r="I900" i="15"/>
  <c r="E900" i="15"/>
  <c r="D900" i="15"/>
  <c r="S899" i="15"/>
  <c r="R899" i="15"/>
  <c r="N899" i="15" a="1"/>
  <c r="N899" i="15" s="1"/>
  <c r="M899" i="15"/>
  <c r="I899" i="15"/>
  <c r="E899" i="15"/>
  <c r="D899" i="15"/>
  <c r="S898" i="15"/>
  <c r="R898" i="15"/>
  <c r="M898" i="15"/>
  <c r="N898" i="15" s="1" a="1"/>
  <c r="N898" i="15" s="1"/>
  <c r="I898" i="15"/>
  <c r="E898" i="15"/>
  <c r="D898" i="15"/>
  <c r="S897" i="15"/>
  <c r="R897" i="15"/>
  <c r="M897" i="15"/>
  <c r="N897" i="15" s="1" a="1"/>
  <c r="N897" i="15" s="1"/>
  <c r="I897" i="15"/>
  <c r="E897" i="15"/>
  <c r="D897" i="15"/>
  <c r="S896" i="15"/>
  <c r="R896" i="15"/>
  <c r="M896" i="15"/>
  <c r="N896" i="15" s="1" a="1"/>
  <c r="N896" i="15" s="1"/>
  <c r="I896" i="15"/>
  <c r="E896" i="15"/>
  <c r="D896" i="15"/>
  <c r="S895" i="15"/>
  <c r="R895" i="15"/>
  <c r="M895" i="15"/>
  <c r="N895" i="15" s="1" a="1"/>
  <c r="N895" i="15" s="1"/>
  <c r="I895" i="15"/>
  <c r="E895" i="15"/>
  <c r="D895" i="15"/>
  <c r="S894" i="15"/>
  <c r="R894" i="15"/>
  <c r="M894" i="15"/>
  <c r="N894" i="15" s="1" a="1"/>
  <c r="N894" i="15" s="1"/>
  <c r="I894" i="15"/>
  <c r="E894" i="15"/>
  <c r="D894" i="15"/>
  <c r="S893" i="15"/>
  <c r="R893" i="15"/>
  <c r="N893" i="15" a="1"/>
  <c r="N893" i="15" s="1"/>
  <c r="M893" i="15"/>
  <c r="I893" i="15"/>
  <c r="E893" i="15"/>
  <c r="D893" i="15"/>
  <c r="S892" i="15"/>
  <c r="R892" i="15"/>
  <c r="M892" i="15"/>
  <c r="N892" i="15" s="1" a="1"/>
  <c r="N892" i="15" s="1"/>
  <c r="I892" i="15"/>
  <c r="E892" i="15"/>
  <c r="D892" i="15"/>
  <c r="S891" i="15"/>
  <c r="R891" i="15"/>
  <c r="M891" i="15"/>
  <c r="N891" i="15" s="1" a="1"/>
  <c r="N891" i="15" s="1"/>
  <c r="I891" i="15"/>
  <c r="E891" i="15"/>
  <c r="D891" i="15"/>
  <c r="S890" i="15"/>
  <c r="R890" i="15"/>
  <c r="M890" i="15"/>
  <c r="N890" i="15" s="1" a="1"/>
  <c r="N890" i="15" s="1"/>
  <c r="I890" i="15"/>
  <c r="E890" i="15"/>
  <c r="D890" i="15"/>
  <c r="S889" i="15"/>
  <c r="R889" i="15"/>
  <c r="N889" i="15" a="1"/>
  <c r="N889" i="15" s="1"/>
  <c r="M889" i="15"/>
  <c r="I889" i="15"/>
  <c r="E889" i="15"/>
  <c r="D889" i="15"/>
  <c r="S888" i="15"/>
  <c r="R888" i="15"/>
  <c r="M888" i="15"/>
  <c r="N888" i="15" s="1" a="1"/>
  <c r="N888" i="15" s="1"/>
  <c r="I888" i="15"/>
  <c r="E888" i="15"/>
  <c r="D888" i="15"/>
  <c r="S887" i="15"/>
  <c r="R887" i="15"/>
  <c r="M887" i="15"/>
  <c r="N887" i="15" s="1" a="1"/>
  <c r="N887" i="15" s="1"/>
  <c r="I887" i="15"/>
  <c r="E887" i="15"/>
  <c r="D887" i="15"/>
  <c r="S886" i="15"/>
  <c r="R886" i="15"/>
  <c r="M886" i="15"/>
  <c r="N886" i="15" s="1" a="1"/>
  <c r="N886" i="15" s="1"/>
  <c r="I886" i="15"/>
  <c r="E886" i="15"/>
  <c r="D886" i="15"/>
  <c r="S885" i="15"/>
  <c r="R885" i="15"/>
  <c r="N885" i="15" a="1"/>
  <c r="N885" i="15" s="1"/>
  <c r="M885" i="15"/>
  <c r="I885" i="15"/>
  <c r="E885" i="15"/>
  <c r="D885" i="15"/>
  <c r="S884" i="15"/>
  <c r="R884" i="15"/>
  <c r="M884" i="15"/>
  <c r="N884" i="15" s="1" a="1"/>
  <c r="N884" i="15" s="1"/>
  <c r="I884" i="15"/>
  <c r="E884" i="15"/>
  <c r="D884" i="15"/>
  <c r="S883" i="15"/>
  <c r="R883" i="15"/>
  <c r="M883" i="15"/>
  <c r="N883" i="15" s="1" a="1"/>
  <c r="N883" i="15" s="1"/>
  <c r="I883" i="15"/>
  <c r="E883" i="15"/>
  <c r="D883" i="15"/>
  <c r="S882" i="15"/>
  <c r="R882" i="15"/>
  <c r="M882" i="15"/>
  <c r="N882" i="15" s="1" a="1"/>
  <c r="N882" i="15" s="1"/>
  <c r="I882" i="15"/>
  <c r="E882" i="15"/>
  <c r="D882" i="15"/>
  <c r="S881" i="15"/>
  <c r="R881" i="15"/>
  <c r="N881" i="15" a="1"/>
  <c r="N881" i="15" s="1"/>
  <c r="M881" i="15"/>
  <c r="I881" i="15"/>
  <c r="E881" i="15"/>
  <c r="D881" i="15"/>
  <c r="S880" i="15"/>
  <c r="R880" i="15"/>
  <c r="M880" i="15"/>
  <c r="N880" i="15" s="1" a="1"/>
  <c r="N880" i="15" s="1"/>
  <c r="I880" i="15"/>
  <c r="E880" i="15"/>
  <c r="D880" i="15"/>
  <c r="S879" i="15"/>
  <c r="R879" i="15"/>
  <c r="M879" i="15"/>
  <c r="N879" i="15" s="1" a="1"/>
  <c r="N879" i="15" s="1"/>
  <c r="I879" i="15"/>
  <c r="E879" i="15"/>
  <c r="D879" i="15"/>
  <c r="S878" i="15"/>
  <c r="R878" i="15"/>
  <c r="M878" i="15"/>
  <c r="N878" i="15" s="1" a="1"/>
  <c r="N878" i="15" s="1"/>
  <c r="I878" i="15"/>
  <c r="E878" i="15"/>
  <c r="D878" i="15"/>
  <c r="S877" i="15"/>
  <c r="R877" i="15"/>
  <c r="N877" i="15" a="1"/>
  <c r="N877" i="15" s="1"/>
  <c r="M877" i="15"/>
  <c r="I877" i="15"/>
  <c r="E877" i="15"/>
  <c r="D877" i="15"/>
  <c r="S876" i="15"/>
  <c r="R876" i="15"/>
  <c r="M876" i="15"/>
  <c r="N876" i="15" s="1" a="1"/>
  <c r="N876" i="15" s="1"/>
  <c r="I876" i="15"/>
  <c r="E876" i="15"/>
  <c r="D876" i="15"/>
  <c r="S875" i="15"/>
  <c r="R875" i="15"/>
  <c r="N875" i="15" a="1"/>
  <c r="N875" i="15" s="1"/>
  <c r="M875" i="15"/>
  <c r="I875" i="15"/>
  <c r="E875" i="15"/>
  <c r="D875" i="15"/>
  <c r="S874" i="15"/>
  <c r="R874" i="15"/>
  <c r="M874" i="15"/>
  <c r="N874" i="15" s="1" a="1"/>
  <c r="N874" i="15" s="1"/>
  <c r="I874" i="15"/>
  <c r="E874" i="15"/>
  <c r="D874" i="15"/>
  <c r="S873" i="15"/>
  <c r="R873" i="15"/>
  <c r="M873" i="15"/>
  <c r="N873" i="15" s="1" a="1"/>
  <c r="N873" i="15" s="1"/>
  <c r="I873" i="15"/>
  <c r="E873" i="15"/>
  <c r="D873" i="15"/>
  <c r="S872" i="15"/>
  <c r="R872" i="15"/>
  <c r="M872" i="15"/>
  <c r="N872" i="15" s="1" a="1"/>
  <c r="N872" i="15" s="1"/>
  <c r="I872" i="15"/>
  <c r="E872" i="15"/>
  <c r="D872" i="15"/>
  <c r="S871" i="15"/>
  <c r="R871" i="15"/>
  <c r="M871" i="15"/>
  <c r="N871" i="15" s="1" a="1"/>
  <c r="N871" i="15" s="1"/>
  <c r="I871" i="15"/>
  <c r="E871" i="15"/>
  <c r="D871" i="15"/>
  <c r="S870" i="15"/>
  <c r="R870" i="15"/>
  <c r="M870" i="15"/>
  <c r="N870" i="15" s="1" a="1"/>
  <c r="N870" i="15" s="1"/>
  <c r="I870" i="15"/>
  <c r="E870" i="15"/>
  <c r="D870" i="15"/>
  <c r="S869" i="15"/>
  <c r="R869" i="15"/>
  <c r="N869" i="15" a="1"/>
  <c r="N869" i="15" s="1"/>
  <c r="M869" i="15"/>
  <c r="I869" i="15"/>
  <c r="E869" i="15"/>
  <c r="D869" i="15"/>
  <c r="S868" i="15"/>
  <c r="R868" i="15"/>
  <c r="M868" i="15"/>
  <c r="N868" i="15" s="1" a="1"/>
  <c r="N868" i="15" s="1"/>
  <c r="I868" i="15"/>
  <c r="E868" i="15"/>
  <c r="D868" i="15"/>
  <c r="S867" i="15"/>
  <c r="R867" i="15"/>
  <c r="N867" i="15" a="1"/>
  <c r="N867" i="15" s="1"/>
  <c r="M867" i="15"/>
  <c r="I867" i="15"/>
  <c r="E867" i="15"/>
  <c r="D867" i="15"/>
  <c r="S866" i="15"/>
  <c r="R866" i="15"/>
  <c r="M866" i="15"/>
  <c r="N866" i="15" s="1" a="1"/>
  <c r="N866" i="15" s="1"/>
  <c r="I866" i="15"/>
  <c r="E866" i="15"/>
  <c r="D866" i="15"/>
  <c r="S865" i="15"/>
  <c r="R865" i="15"/>
  <c r="M865" i="15"/>
  <c r="N865" i="15" s="1" a="1"/>
  <c r="N865" i="15" s="1"/>
  <c r="I865" i="15"/>
  <c r="E865" i="15"/>
  <c r="D865" i="15"/>
  <c r="S864" i="15"/>
  <c r="R864" i="15"/>
  <c r="M864" i="15"/>
  <c r="N864" i="15" s="1" a="1"/>
  <c r="N864" i="15" s="1"/>
  <c r="I864" i="15"/>
  <c r="E864" i="15"/>
  <c r="D864" i="15"/>
  <c r="S863" i="15"/>
  <c r="R863" i="15"/>
  <c r="M863" i="15"/>
  <c r="N863" i="15" s="1" a="1"/>
  <c r="N863" i="15" s="1"/>
  <c r="I863" i="15"/>
  <c r="E863" i="15"/>
  <c r="D863" i="15"/>
  <c r="S862" i="15"/>
  <c r="R862" i="15"/>
  <c r="M862" i="15"/>
  <c r="N862" i="15" s="1" a="1"/>
  <c r="N862" i="15" s="1"/>
  <c r="I862" i="15"/>
  <c r="E862" i="15"/>
  <c r="D862" i="15"/>
  <c r="S861" i="15"/>
  <c r="R861" i="15"/>
  <c r="N861" i="15" a="1"/>
  <c r="N861" i="15" s="1"/>
  <c r="M861" i="15"/>
  <c r="I861" i="15"/>
  <c r="E861" i="15"/>
  <c r="D861" i="15"/>
  <c r="S860" i="15"/>
  <c r="R860" i="15"/>
  <c r="M860" i="15"/>
  <c r="N860" i="15" s="1" a="1"/>
  <c r="N860" i="15" s="1"/>
  <c r="I860" i="15"/>
  <c r="E860" i="15"/>
  <c r="D860" i="15"/>
  <c r="S859" i="15"/>
  <c r="R859" i="15"/>
  <c r="M859" i="15"/>
  <c r="N859" i="15" s="1" a="1"/>
  <c r="N859" i="15" s="1"/>
  <c r="I859" i="15"/>
  <c r="E859" i="15"/>
  <c r="D859" i="15"/>
  <c r="S858" i="15"/>
  <c r="R858" i="15"/>
  <c r="M858" i="15"/>
  <c r="N858" i="15" s="1" a="1"/>
  <c r="N858" i="15" s="1"/>
  <c r="I858" i="15"/>
  <c r="E858" i="15"/>
  <c r="D858" i="15"/>
  <c r="S857" i="15"/>
  <c r="R857" i="15"/>
  <c r="N857" i="15" a="1"/>
  <c r="N857" i="15" s="1"/>
  <c r="M857" i="15"/>
  <c r="I857" i="15"/>
  <c r="E857" i="15"/>
  <c r="D857" i="15"/>
  <c r="S856" i="15"/>
  <c r="R856" i="15"/>
  <c r="M856" i="15"/>
  <c r="N856" i="15" s="1" a="1"/>
  <c r="N856" i="15" s="1"/>
  <c r="I856" i="15"/>
  <c r="E856" i="15"/>
  <c r="D856" i="15"/>
  <c r="S855" i="15"/>
  <c r="R855" i="15"/>
  <c r="M855" i="15"/>
  <c r="N855" i="15" s="1" a="1"/>
  <c r="N855" i="15" s="1"/>
  <c r="I855" i="15"/>
  <c r="E855" i="15"/>
  <c r="D855" i="15"/>
  <c r="S854" i="15"/>
  <c r="R854" i="15"/>
  <c r="M854" i="15"/>
  <c r="N854" i="15" s="1" a="1"/>
  <c r="N854" i="15" s="1"/>
  <c r="I854" i="15"/>
  <c r="E854" i="15"/>
  <c r="D854" i="15"/>
  <c r="S853" i="15"/>
  <c r="R853" i="15"/>
  <c r="N853" i="15" a="1"/>
  <c r="N853" i="15" s="1"/>
  <c r="M853" i="15"/>
  <c r="I853" i="15"/>
  <c r="E853" i="15"/>
  <c r="D853" i="15"/>
  <c r="S852" i="15"/>
  <c r="R852" i="15"/>
  <c r="M852" i="15"/>
  <c r="N852" i="15" s="1" a="1"/>
  <c r="N852" i="15" s="1"/>
  <c r="I852" i="15"/>
  <c r="E852" i="15"/>
  <c r="D852" i="15"/>
  <c r="S851" i="15"/>
  <c r="R851" i="15"/>
  <c r="M851" i="15"/>
  <c r="N851" i="15" s="1" a="1"/>
  <c r="N851" i="15" s="1"/>
  <c r="I851" i="15"/>
  <c r="E851" i="15"/>
  <c r="D851" i="15"/>
  <c r="S850" i="15"/>
  <c r="R850" i="15"/>
  <c r="M850" i="15"/>
  <c r="N850" i="15" s="1" a="1"/>
  <c r="N850" i="15" s="1"/>
  <c r="I850" i="15"/>
  <c r="E850" i="15"/>
  <c r="D850" i="15"/>
  <c r="S849" i="15"/>
  <c r="R849" i="15"/>
  <c r="N849" i="15" a="1"/>
  <c r="N849" i="15" s="1"/>
  <c r="M849" i="15"/>
  <c r="I849" i="15"/>
  <c r="E849" i="15"/>
  <c r="D849" i="15"/>
  <c r="S848" i="15"/>
  <c r="R848" i="15"/>
  <c r="M848" i="15"/>
  <c r="N848" i="15" s="1" a="1"/>
  <c r="N848" i="15" s="1"/>
  <c r="I848" i="15"/>
  <c r="E848" i="15"/>
  <c r="D848" i="15"/>
  <c r="S847" i="15"/>
  <c r="R847" i="15"/>
  <c r="M847" i="15"/>
  <c r="N847" i="15" s="1" a="1"/>
  <c r="N847" i="15" s="1"/>
  <c r="I847" i="15"/>
  <c r="E847" i="15"/>
  <c r="D847" i="15"/>
  <c r="S846" i="15"/>
  <c r="R846" i="15"/>
  <c r="M846" i="15"/>
  <c r="N846" i="15" s="1" a="1"/>
  <c r="N846" i="15" s="1"/>
  <c r="I846" i="15"/>
  <c r="E846" i="15"/>
  <c r="D846" i="15"/>
  <c r="S845" i="15"/>
  <c r="R845" i="15"/>
  <c r="N845" i="15" a="1"/>
  <c r="N845" i="15" s="1"/>
  <c r="M845" i="15"/>
  <c r="I845" i="15"/>
  <c r="E845" i="15"/>
  <c r="D845" i="15"/>
  <c r="S844" i="15"/>
  <c r="R844" i="15"/>
  <c r="M844" i="15"/>
  <c r="N844" i="15" s="1" a="1"/>
  <c r="N844" i="15" s="1"/>
  <c r="I844" i="15"/>
  <c r="E844" i="15"/>
  <c r="D844" i="15"/>
  <c r="S843" i="15"/>
  <c r="R843" i="15"/>
  <c r="N843" i="15" a="1"/>
  <c r="N843" i="15" s="1"/>
  <c r="M843" i="15"/>
  <c r="I843" i="15"/>
  <c r="E843" i="15"/>
  <c r="D843" i="15"/>
  <c r="S842" i="15"/>
  <c r="R842" i="15"/>
  <c r="M842" i="15"/>
  <c r="N842" i="15" s="1" a="1"/>
  <c r="N842" i="15" s="1"/>
  <c r="I842" i="15"/>
  <c r="E842" i="15"/>
  <c r="D842" i="15"/>
  <c r="S841" i="15"/>
  <c r="R841" i="15"/>
  <c r="M841" i="15"/>
  <c r="N841" i="15" s="1" a="1"/>
  <c r="N841" i="15" s="1"/>
  <c r="I841" i="15"/>
  <c r="E841" i="15"/>
  <c r="D841" i="15"/>
  <c r="S840" i="15"/>
  <c r="R840" i="15"/>
  <c r="M840" i="15"/>
  <c r="N840" i="15" s="1" a="1"/>
  <c r="N840" i="15" s="1"/>
  <c r="I840" i="15"/>
  <c r="E840" i="15"/>
  <c r="D840" i="15"/>
  <c r="S839" i="15"/>
  <c r="R839" i="15"/>
  <c r="M839" i="15"/>
  <c r="N839" i="15" s="1" a="1"/>
  <c r="N839" i="15" s="1"/>
  <c r="I839" i="15"/>
  <c r="E839" i="15"/>
  <c r="D839" i="15"/>
  <c r="S838" i="15"/>
  <c r="R838" i="15"/>
  <c r="M838" i="15"/>
  <c r="N838" i="15" s="1" a="1"/>
  <c r="N838" i="15" s="1"/>
  <c r="I838" i="15"/>
  <c r="E838" i="15"/>
  <c r="D838" i="15"/>
  <c r="S837" i="15"/>
  <c r="R837" i="15"/>
  <c r="N837" i="15" a="1"/>
  <c r="N837" i="15" s="1"/>
  <c r="M837" i="15"/>
  <c r="I837" i="15"/>
  <c r="E837" i="15"/>
  <c r="D837" i="15"/>
  <c r="S836" i="15"/>
  <c r="R836" i="15"/>
  <c r="M836" i="15"/>
  <c r="N836" i="15" s="1" a="1"/>
  <c r="N836" i="15" s="1"/>
  <c r="I836" i="15"/>
  <c r="E836" i="15"/>
  <c r="D836" i="15"/>
  <c r="S835" i="15"/>
  <c r="R835" i="15"/>
  <c r="N835" i="15" a="1"/>
  <c r="N835" i="15" s="1"/>
  <c r="M835" i="15"/>
  <c r="I835" i="15"/>
  <c r="E835" i="15"/>
  <c r="D835" i="15"/>
  <c r="S834" i="15"/>
  <c r="R834" i="15"/>
  <c r="M834" i="15"/>
  <c r="N834" i="15" s="1" a="1"/>
  <c r="N834" i="15" s="1"/>
  <c r="I834" i="15"/>
  <c r="E834" i="15"/>
  <c r="D834" i="15"/>
  <c r="S833" i="15"/>
  <c r="R833" i="15"/>
  <c r="M833" i="15"/>
  <c r="N833" i="15" s="1" a="1"/>
  <c r="N833" i="15" s="1"/>
  <c r="I833" i="15"/>
  <c r="E833" i="15"/>
  <c r="D833" i="15"/>
  <c r="S832" i="15"/>
  <c r="R832" i="15"/>
  <c r="N832" i="15" a="1"/>
  <c r="N832" i="15" s="1"/>
  <c r="M832" i="15"/>
  <c r="I832" i="15"/>
  <c r="E832" i="15"/>
  <c r="D832" i="15"/>
  <c r="S831" i="15"/>
  <c r="R831" i="15"/>
  <c r="M831" i="15"/>
  <c r="N831" i="15" s="1" a="1"/>
  <c r="N831" i="15" s="1"/>
  <c r="I831" i="15"/>
  <c r="E831" i="15"/>
  <c r="D831" i="15"/>
  <c r="S830" i="15"/>
  <c r="R830" i="15"/>
  <c r="N830" i="15" a="1"/>
  <c r="N830" i="15" s="1"/>
  <c r="M830" i="15"/>
  <c r="I830" i="15"/>
  <c r="E830" i="15"/>
  <c r="D830" i="15"/>
  <c r="S829" i="15"/>
  <c r="R829" i="15"/>
  <c r="N829" i="15" a="1"/>
  <c r="N829" i="15" s="1"/>
  <c r="M829" i="15"/>
  <c r="I829" i="15"/>
  <c r="E829" i="15"/>
  <c r="D829" i="15"/>
  <c r="S828" i="15"/>
  <c r="R828" i="15"/>
  <c r="N828" i="15" a="1"/>
  <c r="N828" i="15" s="1"/>
  <c r="M828" i="15"/>
  <c r="I828" i="15"/>
  <c r="E828" i="15"/>
  <c r="D828" i="15"/>
  <c r="S827" i="15"/>
  <c r="R827" i="15"/>
  <c r="N827" i="15" a="1"/>
  <c r="N827" i="15" s="1"/>
  <c r="M827" i="15"/>
  <c r="I827" i="15"/>
  <c r="E827" i="15"/>
  <c r="D827" i="15"/>
  <c r="S826" i="15"/>
  <c r="R826" i="15"/>
  <c r="N826" i="15" a="1"/>
  <c r="N826" i="15" s="1"/>
  <c r="M826" i="15"/>
  <c r="I826" i="15"/>
  <c r="E826" i="15"/>
  <c r="D826" i="15"/>
  <c r="S825" i="15"/>
  <c r="R825" i="15"/>
  <c r="N825" i="15" a="1"/>
  <c r="N825" i="15" s="1"/>
  <c r="M825" i="15"/>
  <c r="I825" i="15"/>
  <c r="E825" i="15"/>
  <c r="D825" i="15"/>
  <c r="S824" i="15"/>
  <c r="R824" i="15"/>
  <c r="N824" i="15" a="1"/>
  <c r="N824" i="15" s="1"/>
  <c r="M824" i="15"/>
  <c r="I824" i="15"/>
  <c r="E824" i="15"/>
  <c r="D824" i="15"/>
  <c r="S823" i="15"/>
  <c r="R823" i="15"/>
  <c r="M823" i="15"/>
  <c r="N823" i="15" s="1" a="1"/>
  <c r="N823" i="15" s="1"/>
  <c r="I823" i="15"/>
  <c r="E823" i="15"/>
  <c r="D823" i="15"/>
  <c r="S822" i="15"/>
  <c r="R822" i="15"/>
  <c r="N822" i="15" a="1"/>
  <c r="N822" i="15" s="1"/>
  <c r="M822" i="15"/>
  <c r="I822" i="15"/>
  <c r="E822" i="15"/>
  <c r="D822" i="15"/>
  <c r="S821" i="15"/>
  <c r="R821" i="15"/>
  <c r="N821" i="15" a="1"/>
  <c r="N821" i="15" s="1"/>
  <c r="M821" i="15"/>
  <c r="I821" i="15"/>
  <c r="E821" i="15"/>
  <c r="D821" i="15"/>
  <c r="S820" i="15"/>
  <c r="R820" i="15"/>
  <c r="N820" i="15" a="1"/>
  <c r="N820" i="15" s="1"/>
  <c r="M820" i="15"/>
  <c r="I820" i="15"/>
  <c r="E820" i="15"/>
  <c r="D820" i="15"/>
  <c r="S819" i="15"/>
  <c r="R819" i="15"/>
  <c r="N819" i="15" a="1"/>
  <c r="N819" i="15" s="1"/>
  <c r="M819" i="15"/>
  <c r="I819" i="15"/>
  <c r="E819" i="15"/>
  <c r="D819" i="15"/>
  <c r="S818" i="15"/>
  <c r="R818" i="15"/>
  <c r="N818" i="15" a="1"/>
  <c r="N818" i="15" s="1"/>
  <c r="M818" i="15"/>
  <c r="I818" i="15"/>
  <c r="E818" i="15"/>
  <c r="D818" i="15"/>
  <c r="S817" i="15"/>
  <c r="R817" i="15"/>
  <c r="M817" i="15"/>
  <c r="N817" i="15" s="1" a="1"/>
  <c r="N817" i="15" s="1"/>
  <c r="I817" i="15"/>
  <c r="E817" i="15"/>
  <c r="D817" i="15"/>
  <c r="S816" i="15"/>
  <c r="R816" i="15"/>
  <c r="N816" i="15" a="1"/>
  <c r="N816" i="15" s="1"/>
  <c r="M816" i="15"/>
  <c r="I816" i="15"/>
  <c r="E816" i="15"/>
  <c r="D816" i="15"/>
  <c r="S815" i="15"/>
  <c r="R815" i="15"/>
  <c r="M815" i="15"/>
  <c r="N815" i="15" s="1" a="1"/>
  <c r="N815" i="15" s="1"/>
  <c r="I815" i="15"/>
  <c r="E815" i="15"/>
  <c r="D815" i="15"/>
  <c r="S814" i="15"/>
  <c r="R814" i="15"/>
  <c r="N814" i="15" a="1"/>
  <c r="N814" i="15" s="1"/>
  <c r="M814" i="15"/>
  <c r="I814" i="15"/>
  <c r="E814" i="15"/>
  <c r="D814" i="15"/>
  <c r="S813" i="15"/>
  <c r="R813" i="15"/>
  <c r="N813" i="15" a="1"/>
  <c r="N813" i="15" s="1"/>
  <c r="M813" i="15"/>
  <c r="I813" i="15"/>
  <c r="E813" i="15"/>
  <c r="D813" i="15"/>
  <c r="S812" i="15"/>
  <c r="R812" i="15"/>
  <c r="N812" i="15" a="1"/>
  <c r="N812" i="15" s="1"/>
  <c r="M812" i="15"/>
  <c r="I812" i="15"/>
  <c r="E812" i="15"/>
  <c r="D812" i="15"/>
  <c r="S811" i="15"/>
  <c r="R811" i="15"/>
  <c r="N811" i="15" a="1"/>
  <c r="N811" i="15" s="1"/>
  <c r="M811" i="15"/>
  <c r="I811" i="15"/>
  <c r="E811" i="15"/>
  <c r="D811" i="15"/>
  <c r="S810" i="15"/>
  <c r="R810" i="15"/>
  <c r="N810" i="15" a="1"/>
  <c r="N810" i="15" s="1"/>
  <c r="M810" i="15"/>
  <c r="I810" i="15"/>
  <c r="E810" i="15"/>
  <c r="D810" i="15"/>
  <c r="S809" i="15"/>
  <c r="R809" i="15"/>
  <c r="N809" i="15" a="1"/>
  <c r="N809" i="15" s="1"/>
  <c r="M809" i="15"/>
  <c r="I809" i="15"/>
  <c r="E809" i="15"/>
  <c r="D809" i="15"/>
  <c r="S808" i="15"/>
  <c r="R808" i="15"/>
  <c r="N808" i="15" a="1"/>
  <c r="N808" i="15" s="1"/>
  <c r="M808" i="15"/>
  <c r="I808" i="15"/>
  <c r="E808" i="15"/>
  <c r="D808" i="15"/>
  <c r="S807" i="15"/>
  <c r="R807" i="15"/>
  <c r="M807" i="15"/>
  <c r="N807" i="15" s="1" a="1"/>
  <c r="N807" i="15" s="1"/>
  <c r="I807" i="15"/>
  <c r="E807" i="15"/>
  <c r="D807" i="15"/>
  <c r="S806" i="15"/>
  <c r="R806" i="15"/>
  <c r="N806" i="15" a="1"/>
  <c r="N806" i="15" s="1"/>
  <c r="M806" i="15"/>
  <c r="I806" i="15"/>
  <c r="E806" i="15"/>
  <c r="D806" i="15"/>
  <c r="S805" i="15"/>
  <c r="R805" i="15"/>
  <c r="N805" i="15" a="1"/>
  <c r="N805" i="15" s="1"/>
  <c r="M805" i="15"/>
  <c r="I805" i="15"/>
  <c r="E805" i="15"/>
  <c r="D805" i="15"/>
  <c r="S804" i="15"/>
  <c r="R804" i="15"/>
  <c r="N804" i="15" a="1"/>
  <c r="N804" i="15" s="1"/>
  <c r="M804" i="15"/>
  <c r="I804" i="15"/>
  <c r="E804" i="15"/>
  <c r="D804" i="15"/>
  <c r="S803" i="15"/>
  <c r="R803" i="15"/>
  <c r="N803" i="15" a="1"/>
  <c r="N803" i="15" s="1"/>
  <c r="M803" i="15"/>
  <c r="I803" i="15"/>
  <c r="E803" i="15"/>
  <c r="D803" i="15"/>
  <c r="S802" i="15"/>
  <c r="R802" i="15"/>
  <c r="N802" i="15" a="1"/>
  <c r="N802" i="15" s="1"/>
  <c r="M802" i="15"/>
  <c r="I802" i="15"/>
  <c r="E802" i="15"/>
  <c r="D802" i="15"/>
  <c r="S801" i="15"/>
  <c r="R801" i="15"/>
  <c r="M801" i="15"/>
  <c r="N801" i="15" s="1" a="1"/>
  <c r="N801" i="15" s="1"/>
  <c r="I801" i="15"/>
  <c r="E801" i="15"/>
  <c r="D801" i="15"/>
  <c r="S800" i="15"/>
  <c r="R800" i="15"/>
  <c r="N800" i="15" a="1"/>
  <c r="N800" i="15" s="1"/>
  <c r="M800" i="15"/>
  <c r="I800" i="15"/>
  <c r="E800" i="15"/>
  <c r="D800" i="15"/>
  <c r="S799" i="15"/>
  <c r="R799" i="15"/>
  <c r="M799" i="15"/>
  <c r="N799" i="15" s="1" a="1"/>
  <c r="N799" i="15" s="1"/>
  <c r="I799" i="15"/>
  <c r="E799" i="15"/>
  <c r="D799" i="15"/>
  <c r="S798" i="15"/>
  <c r="R798" i="15"/>
  <c r="N798" i="15" a="1"/>
  <c r="N798" i="15" s="1"/>
  <c r="M798" i="15"/>
  <c r="I798" i="15"/>
  <c r="E798" i="15"/>
  <c r="D798" i="15"/>
  <c r="S797" i="15"/>
  <c r="R797" i="15"/>
  <c r="N797" i="15" a="1"/>
  <c r="N797" i="15" s="1"/>
  <c r="M797" i="15"/>
  <c r="I797" i="15"/>
  <c r="E797" i="15"/>
  <c r="D797" i="15"/>
  <c r="S796" i="15"/>
  <c r="R796" i="15"/>
  <c r="N796" i="15" a="1"/>
  <c r="N796" i="15" s="1"/>
  <c r="M796" i="15"/>
  <c r="I796" i="15"/>
  <c r="E796" i="15"/>
  <c r="D796" i="15"/>
  <c r="S795" i="15"/>
  <c r="R795" i="15"/>
  <c r="N795" i="15" a="1"/>
  <c r="N795" i="15" s="1"/>
  <c r="M795" i="15"/>
  <c r="I795" i="15"/>
  <c r="E795" i="15"/>
  <c r="D795" i="15"/>
  <c r="S794" i="15"/>
  <c r="R794" i="15"/>
  <c r="N794" i="15" a="1"/>
  <c r="N794" i="15" s="1"/>
  <c r="M794" i="15"/>
  <c r="I794" i="15"/>
  <c r="E794" i="15"/>
  <c r="D794" i="15"/>
  <c r="S793" i="15"/>
  <c r="R793" i="15"/>
  <c r="N793" i="15" a="1"/>
  <c r="N793" i="15" s="1"/>
  <c r="M793" i="15"/>
  <c r="I793" i="15"/>
  <c r="E793" i="15"/>
  <c r="D793" i="15"/>
  <c r="S792" i="15"/>
  <c r="R792" i="15"/>
  <c r="N792" i="15" a="1"/>
  <c r="N792" i="15" s="1"/>
  <c r="M792" i="15"/>
  <c r="I792" i="15"/>
  <c r="E792" i="15"/>
  <c r="D792" i="15"/>
  <c r="S791" i="15"/>
  <c r="R791" i="15"/>
  <c r="M791" i="15"/>
  <c r="N791" i="15" s="1" a="1"/>
  <c r="N791" i="15" s="1"/>
  <c r="I791" i="15"/>
  <c r="E791" i="15"/>
  <c r="D791" i="15"/>
  <c r="S790" i="15"/>
  <c r="R790" i="15"/>
  <c r="N790" i="15" a="1"/>
  <c r="N790" i="15" s="1"/>
  <c r="M790" i="15"/>
  <c r="I790" i="15"/>
  <c r="E790" i="15"/>
  <c r="D790" i="15"/>
  <c r="S789" i="15"/>
  <c r="R789" i="15"/>
  <c r="N789" i="15" a="1"/>
  <c r="N789" i="15" s="1"/>
  <c r="M789" i="15"/>
  <c r="I789" i="15"/>
  <c r="E789" i="15"/>
  <c r="D789" i="15"/>
  <c r="S788" i="15"/>
  <c r="R788" i="15"/>
  <c r="N788" i="15" a="1"/>
  <c r="N788" i="15" s="1"/>
  <c r="M788" i="15"/>
  <c r="I788" i="15"/>
  <c r="E788" i="15"/>
  <c r="D788" i="15"/>
  <c r="S787" i="15"/>
  <c r="R787" i="15"/>
  <c r="N787" i="15" a="1"/>
  <c r="N787" i="15" s="1"/>
  <c r="M787" i="15"/>
  <c r="I787" i="15"/>
  <c r="E787" i="15"/>
  <c r="D787" i="15"/>
  <c r="S786" i="15"/>
  <c r="R786" i="15"/>
  <c r="N786" i="15" a="1"/>
  <c r="N786" i="15" s="1"/>
  <c r="M786" i="15"/>
  <c r="I786" i="15"/>
  <c r="E786" i="15"/>
  <c r="D786" i="15"/>
  <c r="S785" i="15"/>
  <c r="R785" i="15"/>
  <c r="M785" i="15"/>
  <c r="N785" i="15" s="1" a="1"/>
  <c r="N785" i="15" s="1"/>
  <c r="I785" i="15"/>
  <c r="E785" i="15"/>
  <c r="D785" i="15"/>
  <c r="S784" i="15"/>
  <c r="R784" i="15"/>
  <c r="N784" i="15" a="1"/>
  <c r="N784" i="15" s="1"/>
  <c r="M784" i="15"/>
  <c r="I784" i="15"/>
  <c r="E784" i="15"/>
  <c r="D784" i="15"/>
  <c r="S783" i="15"/>
  <c r="R783" i="15"/>
  <c r="M783" i="15"/>
  <c r="N783" i="15" s="1" a="1"/>
  <c r="N783" i="15" s="1"/>
  <c r="I783" i="15"/>
  <c r="E783" i="15"/>
  <c r="D783" i="15"/>
  <c r="S782" i="15"/>
  <c r="R782" i="15"/>
  <c r="N782" i="15" a="1"/>
  <c r="N782" i="15" s="1"/>
  <c r="M782" i="15"/>
  <c r="I782" i="15"/>
  <c r="E782" i="15"/>
  <c r="D782" i="15"/>
  <c r="S781" i="15"/>
  <c r="R781" i="15"/>
  <c r="N781" i="15" a="1"/>
  <c r="N781" i="15" s="1"/>
  <c r="M781" i="15"/>
  <c r="I781" i="15"/>
  <c r="E781" i="15"/>
  <c r="D781" i="15"/>
  <c r="S780" i="15"/>
  <c r="R780" i="15"/>
  <c r="N780" i="15" a="1"/>
  <c r="N780" i="15" s="1"/>
  <c r="M780" i="15"/>
  <c r="I780" i="15"/>
  <c r="E780" i="15"/>
  <c r="D780" i="15"/>
  <c r="S779" i="15"/>
  <c r="R779" i="15"/>
  <c r="N779" i="15" a="1"/>
  <c r="N779" i="15" s="1"/>
  <c r="M779" i="15"/>
  <c r="I779" i="15"/>
  <c r="E779" i="15"/>
  <c r="D779" i="15"/>
  <c r="S778" i="15"/>
  <c r="R778" i="15"/>
  <c r="N778" i="15" a="1"/>
  <c r="N778" i="15" s="1"/>
  <c r="M778" i="15"/>
  <c r="I778" i="15"/>
  <c r="E778" i="15"/>
  <c r="D778" i="15"/>
  <c r="S777" i="15"/>
  <c r="R777" i="15"/>
  <c r="N777" i="15" a="1"/>
  <c r="N777" i="15" s="1"/>
  <c r="M777" i="15"/>
  <c r="I777" i="15"/>
  <c r="E777" i="15"/>
  <c r="D777" i="15"/>
  <c r="S776" i="15"/>
  <c r="R776" i="15"/>
  <c r="N776" i="15" a="1"/>
  <c r="N776" i="15" s="1"/>
  <c r="M776" i="15"/>
  <c r="I776" i="15"/>
  <c r="E776" i="15"/>
  <c r="D776" i="15"/>
  <c r="S775" i="15"/>
  <c r="R775" i="15"/>
  <c r="M775" i="15"/>
  <c r="N775" i="15" s="1" a="1"/>
  <c r="N775" i="15" s="1"/>
  <c r="I775" i="15"/>
  <c r="E775" i="15"/>
  <c r="D775" i="15"/>
  <c r="S774" i="15"/>
  <c r="R774" i="15"/>
  <c r="N774" i="15" a="1"/>
  <c r="N774" i="15" s="1"/>
  <c r="M774" i="15"/>
  <c r="I774" i="15"/>
  <c r="E774" i="15"/>
  <c r="D774" i="15"/>
  <c r="S773" i="15"/>
  <c r="R773" i="15"/>
  <c r="N773" i="15" a="1"/>
  <c r="N773" i="15" s="1"/>
  <c r="M773" i="15"/>
  <c r="I773" i="15"/>
  <c r="E773" i="15"/>
  <c r="D773" i="15"/>
  <c r="S772" i="15"/>
  <c r="R772" i="15"/>
  <c r="N772" i="15" a="1"/>
  <c r="N772" i="15" s="1"/>
  <c r="M772" i="15"/>
  <c r="I772" i="15"/>
  <c r="E772" i="15"/>
  <c r="D772" i="15"/>
  <c r="S771" i="15"/>
  <c r="R771" i="15"/>
  <c r="N771" i="15" a="1"/>
  <c r="N771" i="15" s="1"/>
  <c r="M771" i="15"/>
  <c r="I771" i="15"/>
  <c r="E771" i="15"/>
  <c r="D771" i="15"/>
  <c r="S770" i="15"/>
  <c r="R770" i="15"/>
  <c r="N770" i="15" a="1"/>
  <c r="N770" i="15" s="1"/>
  <c r="M770" i="15"/>
  <c r="I770" i="15"/>
  <c r="E770" i="15"/>
  <c r="D770" i="15"/>
  <c r="S769" i="15"/>
  <c r="R769" i="15"/>
  <c r="M769" i="15"/>
  <c r="N769" i="15" s="1" a="1"/>
  <c r="N769" i="15" s="1"/>
  <c r="I769" i="15"/>
  <c r="E769" i="15"/>
  <c r="D769" i="15"/>
  <c r="S768" i="15"/>
  <c r="R768" i="15"/>
  <c r="N768" i="15" a="1"/>
  <c r="N768" i="15" s="1"/>
  <c r="M768" i="15"/>
  <c r="I768" i="15"/>
  <c r="E768" i="15"/>
  <c r="D768" i="15"/>
  <c r="S767" i="15"/>
  <c r="R767" i="15"/>
  <c r="M767" i="15"/>
  <c r="N767" i="15" s="1" a="1"/>
  <c r="N767" i="15" s="1"/>
  <c r="I767" i="15"/>
  <c r="E767" i="15"/>
  <c r="D767" i="15"/>
  <c r="S766" i="15"/>
  <c r="R766" i="15"/>
  <c r="N766" i="15" a="1"/>
  <c r="N766" i="15" s="1"/>
  <c r="M766" i="15"/>
  <c r="I766" i="15"/>
  <c r="E766" i="15"/>
  <c r="D766" i="15"/>
  <c r="S765" i="15"/>
  <c r="R765" i="15"/>
  <c r="N765" i="15" a="1"/>
  <c r="N765" i="15" s="1"/>
  <c r="M765" i="15"/>
  <c r="I765" i="15"/>
  <c r="E765" i="15"/>
  <c r="D765" i="15"/>
  <c r="S764" i="15"/>
  <c r="R764" i="15"/>
  <c r="N764" i="15" a="1"/>
  <c r="N764" i="15" s="1"/>
  <c r="M764" i="15"/>
  <c r="I764" i="15"/>
  <c r="E764" i="15"/>
  <c r="D764" i="15"/>
  <c r="S763" i="15"/>
  <c r="R763" i="15"/>
  <c r="N763" i="15" a="1"/>
  <c r="N763" i="15" s="1"/>
  <c r="M763" i="15"/>
  <c r="I763" i="15"/>
  <c r="E763" i="15"/>
  <c r="D763" i="15"/>
  <c r="S762" i="15"/>
  <c r="R762" i="15"/>
  <c r="N762" i="15" a="1"/>
  <c r="N762" i="15" s="1"/>
  <c r="M762" i="15"/>
  <c r="I762" i="15"/>
  <c r="E762" i="15"/>
  <c r="D762" i="15"/>
  <c r="S761" i="15"/>
  <c r="R761" i="15"/>
  <c r="N761" i="15" a="1"/>
  <c r="N761" i="15" s="1"/>
  <c r="M761" i="15"/>
  <c r="I761" i="15"/>
  <c r="E761" i="15"/>
  <c r="D761" i="15"/>
  <c r="S760" i="15"/>
  <c r="R760" i="15"/>
  <c r="N760" i="15" a="1"/>
  <c r="N760" i="15" s="1"/>
  <c r="M760" i="15"/>
  <c r="I760" i="15"/>
  <c r="E760" i="15"/>
  <c r="D760" i="15"/>
  <c r="S759" i="15"/>
  <c r="R759" i="15"/>
  <c r="M759" i="15"/>
  <c r="N759" i="15" s="1" a="1"/>
  <c r="N759" i="15" s="1"/>
  <c r="I759" i="15"/>
  <c r="E759" i="15"/>
  <c r="D759" i="15"/>
  <c r="S758" i="15"/>
  <c r="R758" i="15"/>
  <c r="N758" i="15" a="1"/>
  <c r="N758" i="15" s="1"/>
  <c r="M758" i="15"/>
  <c r="I758" i="15"/>
  <c r="E758" i="15"/>
  <c r="D758" i="15"/>
  <c r="S757" i="15"/>
  <c r="R757" i="15"/>
  <c r="N757" i="15" a="1"/>
  <c r="N757" i="15" s="1"/>
  <c r="M757" i="15"/>
  <c r="I757" i="15"/>
  <c r="E757" i="15"/>
  <c r="D757" i="15"/>
  <c r="S756" i="15"/>
  <c r="R756" i="15"/>
  <c r="N756" i="15" a="1"/>
  <c r="N756" i="15" s="1"/>
  <c r="M756" i="15"/>
  <c r="I756" i="15"/>
  <c r="E756" i="15"/>
  <c r="D756" i="15"/>
  <c r="S755" i="15"/>
  <c r="R755" i="15"/>
  <c r="N755" i="15" a="1"/>
  <c r="N755" i="15" s="1"/>
  <c r="M755" i="15"/>
  <c r="I755" i="15"/>
  <c r="E755" i="15"/>
  <c r="D755" i="15"/>
  <c r="S754" i="15"/>
  <c r="R754" i="15"/>
  <c r="N754" i="15" a="1"/>
  <c r="N754" i="15" s="1"/>
  <c r="M754" i="15"/>
  <c r="I754" i="15"/>
  <c r="E754" i="15"/>
  <c r="D754" i="15"/>
  <c r="S753" i="15"/>
  <c r="R753" i="15"/>
  <c r="M753" i="15"/>
  <c r="N753" i="15" s="1" a="1"/>
  <c r="N753" i="15" s="1"/>
  <c r="I753" i="15"/>
  <c r="E753" i="15"/>
  <c r="D753" i="15"/>
  <c r="S752" i="15"/>
  <c r="R752" i="15"/>
  <c r="N752" i="15" a="1"/>
  <c r="N752" i="15" s="1"/>
  <c r="M752" i="15"/>
  <c r="I752" i="15"/>
  <c r="E752" i="15"/>
  <c r="D752" i="15"/>
  <c r="S751" i="15"/>
  <c r="R751" i="15"/>
  <c r="M751" i="15"/>
  <c r="N751" i="15" s="1" a="1"/>
  <c r="N751" i="15" s="1"/>
  <c r="I751" i="15"/>
  <c r="E751" i="15"/>
  <c r="D751" i="15"/>
  <c r="S750" i="15"/>
  <c r="R750" i="15"/>
  <c r="N750" i="15" a="1"/>
  <c r="N750" i="15" s="1"/>
  <c r="M750" i="15"/>
  <c r="I750" i="15"/>
  <c r="E750" i="15"/>
  <c r="D750" i="15"/>
  <c r="S749" i="15"/>
  <c r="R749" i="15"/>
  <c r="N749" i="15" a="1"/>
  <c r="N749" i="15" s="1"/>
  <c r="M749" i="15"/>
  <c r="I749" i="15"/>
  <c r="E749" i="15"/>
  <c r="D749" i="15"/>
  <c r="S748" i="15"/>
  <c r="R748" i="15"/>
  <c r="N748" i="15" a="1"/>
  <c r="N748" i="15" s="1"/>
  <c r="M748" i="15"/>
  <c r="I748" i="15"/>
  <c r="E748" i="15"/>
  <c r="D748" i="15"/>
  <c r="S747" i="15"/>
  <c r="R747" i="15"/>
  <c r="N747" i="15" a="1"/>
  <c r="N747" i="15" s="1"/>
  <c r="M747" i="15"/>
  <c r="I747" i="15"/>
  <c r="E747" i="15"/>
  <c r="D747" i="15"/>
  <c r="S746" i="15"/>
  <c r="R746" i="15"/>
  <c r="N746" i="15" a="1"/>
  <c r="N746" i="15" s="1"/>
  <c r="M746" i="15"/>
  <c r="I746" i="15"/>
  <c r="E746" i="15"/>
  <c r="D746" i="15"/>
  <c r="S745" i="15"/>
  <c r="R745" i="15"/>
  <c r="N745" i="15" a="1"/>
  <c r="N745" i="15" s="1"/>
  <c r="M745" i="15"/>
  <c r="I745" i="15"/>
  <c r="E745" i="15"/>
  <c r="D745" i="15"/>
  <c r="S744" i="15"/>
  <c r="R744" i="15"/>
  <c r="N744" i="15" a="1"/>
  <c r="N744" i="15" s="1"/>
  <c r="M744" i="15"/>
  <c r="I744" i="15"/>
  <c r="E744" i="15"/>
  <c r="D744" i="15"/>
  <c r="S743" i="15"/>
  <c r="R743" i="15"/>
  <c r="M743" i="15"/>
  <c r="N743" i="15" s="1" a="1"/>
  <c r="N743" i="15" s="1"/>
  <c r="I743" i="15"/>
  <c r="E743" i="15"/>
  <c r="D743" i="15"/>
  <c r="S742" i="15"/>
  <c r="R742" i="15"/>
  <c r="N742" i="15" a="1"/>
  <c r="N742" i="15" s="1"/>
  <c r="M742" i="15"/>
  <c r="I742" i="15"/>
  <c r="E742" i="15"/>
  <c r="D742" i="15"/>
  <c r="S741" i="15"/>
  <c r="R741" i="15"/>
  <c r="N741" i="15" a="1"/>
  <c r="N741" i="15" s="1"/>
  <c r="M741" i="15"/>
  <c r="I741" i="15"/>
  <c r="E741" i="15"/>
  <c r="D741" i="15"/>
  <c r="S740" i="15"/>
  <c r="R740" i="15"/>
  <c r="N740" i="15" a="1"/>
  <c r="N740" i="15" s="1"/>
  <c r="M740" i="15"/>
  <c r="I740" i="15"/>
  <c r="E740" i="15"/>
  <c r="D740" i="15"/>
  <c r="S739" i="15"/>
  <c r="R739" i="15"/>
  <c r="N739" i="15" a="1"/>
  <c r="N739" i="15" s="1"/>
  <c r="M739" i="15"/>
  <c r="I739" i="15"/>
  <c r="E739" i="15"/>
  <c r="D739" i="15"/>
  <c r="S738" i="15"/>
  <c r="R738" i="15"/>
  <c r="N738" i="15" a="1"/>
  <c r="N738" i="15" s="1"/>
  <c r="M738" i="15"/>
  <c r="I738" i="15"/>
  <c r="E738" i="15"/>
  <c r="D738" i="15"/>
  <c r="S737" i="15"/>
  <c r="R737" i="15"/>
  <c r="M737" i="15"/>
  <c r="N737" i="15" s="1" a="1"/>
  <c r="N737" i="15" s="1"/>
  <c r="I737" i="15"/>
  <c r="E737" i="15"/>
  <c r="D737" i="15"/>
  <c r="S736" i="15"/>
  <c r="R736" i="15"/>
  <c r="N736" i="15" a="1"/>
  <c r="N736" i="15" s="1"/>
  <c r="M736" i="15"/>
  <c r="I736" i="15"/>
  <c r="E736" i="15"/>
  <c r="D736" i="15"/>
  <c r="S735" i="15"/>
  <c r="R735" i="15"/>
  <c r="M735" i="15"/>
  <c r="N735" i="15" s="1" a="1"/>
  <c r="N735" i="15" s="1"/>
  <c r="I735" i="15"/>
  <c r="E735" i="15"/>
  <c r="D735" i="15"/>
  <c r="S734" i="15"/>
  <c r="R734" i="15"/>
  <c r="N734" i="15" a="1"/>
  <c r="N734" i="15" s="1"/>
  <c r="M734" i="15"/>
  <c r="I734" i="15"/>
  <c r="E734" i="15"/>
  <c r="D734" i="15"/>
  <c r="S733" i="15"/>
  <c r="R733" i="15"/>
  <c r="N733" i="15" a="1"/>
  <c r="N733" i="15" s="1"/>
  <c r="M733" i="15"/>
  <c r="I733" i="15"/>
  <c r="E733" i="15"/>
  <c r="D733" i="15"/>
  <c r="S732" i="15"/>
  <c r="R732" i="15"/>
  <c r="N732" i="15" a="1"/>
  <c r="N732" i="15" s="1"/>
  <c r="M732" i="15"/>
  <c r="I732" i="15"/>
  <c r="E732" i="15"/>
  <c r="D732" i="15"/>
  <c r="S731" i="15"/>
  <c r="R731" i="15"/>
  <c r="N731" i="15" a="1"/>
  <c r="N731" i="15" s="1"/>
  <c r="M731" i="15"/>
  <c r="I731" i="15"/>
  <c r="E731" i="15"/>
  <c r="D731" i="15"/>
  <c r="S730" i="15"/>
  <c r="R730" i="15"/>
  <c r="N730" i="15" a="1"/>
  <c r="N730" i="15" s="1"/>
  <c r="M730" i="15"/>
  <c r="I730" i="15"/>
  <c r="E730" i="15"/>
  <c r="D730" i="15"/>
  <c r="S729" i="15"/>
  <c r="R729" i="15"/>
  <c r="N729" i="15" a="1"/>
  <c r="N729" i="15" s="1"/>
  <c r="M729" i="15"/>
  <c r="I729" i="15"/>
  <c r="E729" i="15"/>
  <c r="D729" i="15"/>
  <c r="S728" i="15"/>
  <c r="R728" i="15"/>
  <c r="N728" i="15" a="1"/>
  <c r="N728" i="15" s="1"/>
  <c r="M728" i="15"/>
  <c r="I728" i="15"/>
  <c r="E728" i="15"/>
  <c r="D728" i="15"/>
  <c r="S727" i="15"/>
  <c r="R727" i="15"/>
  <c r="M727" i="15"/>
  <c r="N727" i="15" s="1" a="1"/>
  <c r="N727" i="15" s="1"/>
  <c r="I727" i="15"/>
  <c r="E727" i="15"/>
  <c r="D727" i="15"/>
  <c r="S726" i="15"/>
  <c r="R726" i="15"/>
  <c r="N726" i="15" a="1"/>
  <c r="N726" i="15" s="1"/>
  <c r="M726" i="15"/>
  <c r="I726" i="15"/>
  <c r="E726" i="15"/>
  <c r="D726" i="15"/>
  <c r="S725" i="15"/>
  <c r="R725" i="15"/>
  <c r="N725" i="15" a="1"/>
  <c r="N725" i="15" s="1"/>
  <c r="M725" i="15"/>
  <c r="I725" i="15"/>
  <c r="E725" i="15"/>
  <c r="D725" i="15"/>
  <c r="S724" i="15"/>
  <c r="R724" i="15"/>
  <c r="N724" i="15" a="1"/>
  <c r="N724" i="15" s="1"/>
  <c r="M724" i="15"/>
  <c r="I724" i="15"/>
  <c r="E724" i="15"/>
  <c r="D724" i="15"/>
  <c r="S723" i="15"/>
  <c r="R723" i="15"/>
  <c r="N723" i="15" a="1"/>
  <c r="N723" i="15" s="1"/>
  <c r="M723" i="15"/>
  <c r="I723" i="15"/>
  <c r="E723" i="15"/>
  <c r="D723" i="15"/>
  <c r="S722" i="15"/>
  <c r="R722" i="15"/>
  <c r="N722" i="15" a="1"/>
  <c r="N722" i="15" s="1"/>
  <c r="M722" i="15"/>
  <c r="I722" i="15"/>
  <c r="E722" i="15"/>
  <c r="D722" i="15"/>
  <c r="S721" i="15"/>
  <c r="R721" i="15"/>
  <c r="M721" i="15"/>
  <c r="N721" i="15" s="1" a="1"/>
  <c r="N721" i="15" s="1"/>
  <c r="I721" i="15"/>
  <c r="E721" i="15"/>
  <c r="D721" i="15"/>
  <c r="S720" i="15"/>
  <c r="R720" i="15"/>
  <c r="N720" i="15" a="1"/>
  <c r="N720" i="15" s="1"/>
  <c r="M720" i="15"/>
  <c r="I720" i="15"/>
  <c r="E720" i="15"/>
  <c r="D720" i="15"/>
  <c r="S719" i="15"/>
  <c r="R719" i="15"/>
  <c r="M719" i="15"/>
  <c r="N719" i="15" s="1" a="1"/>
  <c r="N719" i="15" s="1"/>
  <c r="I719" i="15"/>
  <c r="E719" i="15"/>
  <c r="D719" i="15"/>
  <c r="S718" i="15"/>
  <c r="R718" i="15"/>
  <c r="N718" i="15" a="1"/>
  <c r="N718" i="15" s="1"/>
  <c r="M718" i="15"/>
  <c r="I718" i="15"/>
  <c r="E718" i="15"/>
  <c r="D718" i="15"/>
  <c r="S717" i="15"/>
  <c r="R717" i="15"/>
  <c r="N717" i="15" a="1"/>
  <c r="N717" i="15" s="1"/>
  <c r="M717" i="15"/>
  <c r="I717" i="15"/>
  <c r="E717" i="15"/>
  <c r="D717" i="15"/>
  <c r="S716" i="15"/>
  <c r="R716" i="15"/>
  <c r="N716" i="15" a="1"/>
  <c r="N716" i="15" s="1"/>
  <c r="M716" i="15"/>
  <c r="I716" i="15"/>
  <c r="E716" i="15"/>
  <c r="D716" i="15"/>
  <c r="S715" i="15"/>
  <c r="R715" i="15"/>
  <c r="N715" i="15" a="1"/>
  <c r="N715" i="15" s="1"/>
  <c r="M715" i="15"/>
  <c r="I715" i="15"/>
  <c r="E715" i="15"/>
  <c r="D715" i="15"/>
  <c r="S714" i="15"/>
  <c r="R714" i="15"/>
  <c r="N714" i="15" a="1"/>
  <c r="N714" i="15" s="1"/>
  <c r="M714" i="15"/>
  <c r="I714" i="15"/>
  <c r="E714" i="15"/>
  <c r="D714" i="15"/>
  <c r="S713" i="15"/>
  <c r="R713" i="15"/>
  <c r="N713" i="15" a="1"/>
  <c r="N713" i="15" s="1"/>
  <c r="M713" i="15"/>
  <c r="I713" i="15"/>
  <c r="E713" i="15"/>
  <c r="D713" i="15"/>
  <c r="S712" i="15"/>
  <c r="R712" i="15"/>
  <c r="N712" i="15" a="1"/>
  <c r="N712" i="15" s="1"/>
  <c r="M712" i="15"/>
  <c r="I712" i="15"/>
  <c r="E712" i="15"/>
  <c r="D712" i="15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B47" i="6"/>
  <c r="C47" i="6"/>
  <c r="G47" i="6"/>
  <c r="E47" i="6" s="1"/>
  <c r="J47" i="6"/>
  <c r="K47" i="6"/>
  <c r="L47" i="6"/>
  <c r="M47" i="6" a="1"/>
  <c r="M47" i="6" s="1"/>
  <c r="N47" i="6" a="1"/>
  <c r="N47" i="6"/>
  <c r="O47" i="6"/>
  <c r="P47" i="6"/>
  <c r="Q47" i="6"/>
  <c r="R47" i="6"/>
  <c r="A48" i="6"/>
  <c r="B48" i="6"/>
  <c r="C48" i="6"/>
  <c r="G48" i="6"/>
  <c r="E48" i="6" s="1"/>
  <c r="K48" i="6"/>
  <c r="L48" i="6"/>
  <c r="M48" i="6" a="1"/>
  <c r="M48" i="6" s="1"/>
  <c r="N48" i="6" a="1"/>
  <c r="N48" i="6"/>
  <c r="O48" i="6"/>
  <c r="P48" i="6"/>
  <c r="Q48" i="6"/>
  <c r="S48" i="6" s="1"/>
  <c r="R48" i="6"/>
  <c r="B49" i="6"/>
  <c r="C49" i="6"/>
  <c r="G49" i="6"/>
  <c r="H49" i="6" s="1"/>
  <c r="K49" i="6"/>
  <c r="L49" i="6"/>
  <c r="M49" i="6" a="1"/>
  <c r="M49" i="6" s="1"/>
  <c r="N49" i="6" a="1"/>
  <c r="N49" i="6"/>
  <c r="S49" i="6" s="1"/>
  <c r="O49" i="6"/>
  <c r="P49" i="6"/>
  <c r="Q49" i="6"/>
  <c r="R49" i="6"/>
  <c r="AB49" i="6"/>
  <c r="B50" i="6"/>
  <c r="C50" i="6"/>
  <c r="G50" i="6"/>
  <c r="H50" i="6" s="1"/>
  <c r="K50" i="6"/>
  <c r="L50" i="6"/>
  <c r="M50" i="6" a="1"/>
  <c r="M50" i="6" s="1"/>
  <c r="N50" i="6" a="1"/>
  <c r="N50" i="6"/>
  <c r="S50" i="6" s="1"/>
  <c r="O50" i="6"/>
  <c r="P50" i="6"/>
  <c r="Q50" i="6"/>
  <c r="R50" i="6"/>
  <c r="AB50" i="6"/>
  <c r="B51" i="6"/>
  <c r="C51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S51" i="6" s="1"/>
  <c r="R51" i="6"/>
  <c r="AB51" i="6"/>
  <c r="B52" i="6"/>
  <c r="C52" i="6"/>
  <c r="G52" i="6"/>
  <c r="H52" i="6" s="1"/>
  <c r="K52" i="6"/>
  <c r="L52" i="6"/>
  <c r="M52" i="6" a="1"/>
  <c r="M52" i="6" s="1"/>
  <c r="N52" i="6" a="1"/>
  <c r="N52" i="6"/>
  <c r="S52" i="6" s="1"/>
  <c r="O52" i="6"/>
  <c r="P52" i="6"/>
  <c r="Q52" i="6"/>
  <c r="R52" i="6"/>
  <c r="AB52" i="6"/>
  <c r="B53" i="6"/>
  <c r="C53" i="6"/>
  <c r="G53" i="6"/>
  <c r="H53" i="6" s="1"/>
  <c r="K53" i="6"/>
  <c r="L53" i="6"/>
  <c r="M53" i="6" a="1"/>
  <c r="M53" i="6" s="1"/>
  <c r="N53" i="6" a="1"/>
  <c r="N53" i="6"/>
  <c r="S53" i="6" s="1"/>
  <c r="O53" i="6"/>
  <c r="P53" i="6"/>
  <c r="Q53" i="6"/>
  <c r="R53" i="6"/>
  <c r="AB53" i="6"/>
  <c r="B54" i="6"/>
  <c r="C54" i="6"/>
  <c r="G54" i="6"/>
  <c r="H54" i="6" s="1"/>
  <c r="I54" i="6"/>
  <c r="J54" i="6"/>
  <c r="K54" i="6"/>
  <c r="L54" i="6"/>
  <c r="M54" i="6" a="1"/>
  <c r="M54" i="6" s="1"/>
  <c r="N54" i="6" a="1"/>
  <c r="N54" i="6"/>
  <c r="O54" i="6"/>
  <c r="P54" i="6"/>
  <c r="Q54" i="6"/>
  <c r="S54" i="6" s="1"/>
  <c r="R54" i="6"/>
  <c r="AB54" i="6"/>
  <c r="B55" i="6"/>
  <c r="C55" i="6"/>
  <c r="G55" i="6"/>
  <c r="H55" i="6" s="1"/>
  <c r="K55" i="6"/>
  <c r="L55" i="6"/>
  <c r="M55" i="6" a="1"/>
  <c r="M55" i="6" s="1"/>
  <c r="N55" i="6" a="1"/>
  <c r="N55" i="6"/>
  <c r="S55" i="6" s="1"/>
  <c r="O55" i="6"/>
  <c r="P55" i="6"/>
  <c r="Q55" i="6"/>
  <c r="R55" i="6"/>
  <c r="AB55" i="6"/>
  <c r="B56" i="6"/>
  <c r="C56" i="6"/>
  <c r="G56" i="6"/>
  <c r="K56" i="6"/>
  <c r="L56" i="6"/>
  <c r="M56" i="6" a="1"/>
  <c r="M56" i="6" s="1"/>
  <c r="N56" i="6" a="1"/>
  <c r="N56" i="6"/>
  <c r="O56" i="6"/>
  <c r="P56" i="6"/>
  <c r="Q56" i="6"/>
  <c r="R56" i="6"/>
  <c r="AB56" i="6"/>
  <c r="B57" i="6"/>
  <c r="C57" i="6"/>
  <c r="G57" i="6"/>
  <c r="H57" i="6" s="1"/>
  <c r="I57" i="6"/>
  <c r="J57" i="6"/>
  <c r="K57" i="6"/>
  <c r="L57" i="6"/>
  <c r="M57" i="6" a="1"/>
  <c r="M57" i="6" s="1"/>
  <c r="N57" i="6" a="1"/>
  <c r="N57" i="6"/>
  <c r="O57" i="6"/>
  <c r="P57" i="6"/>
  <c r="Q57" i="6"/>
  <c r="S57" i="6" s="1"/>
  <c r="R57" i="6"/>
  <c r="AB57" i="6"/>
  <c r="B58" i="6"/>
  <c r="C58" i="6"/>
  <c r="G58" i="6"/>
  <c r="I58" i="6" s="1"/>
  <c r="K58" i="6"/>
  <c r="L58" i="6"/>
  <c r="M58" i="6" a="1"/>
  <c r="M58" i="6" s="1"/>
  <c r="N58" i="6" a="1"/>
  <c r="N58" i="6" s="1"/>
  <c r="S58" i="6" s="1"/>
  <c r="O58" i="6"/>
  <c r="P58" i="6"/>
  <c r="Q58" i="6"/>
  <c r="R58" i="6"/>
  <c r="AB58" i="6"/>
  <c r="B59" i="6"/>
  <c r="C59" i="6"/>
  <c r="G59" i="6"/>
  <c r="H59" i="6" s="1"/>
  <c r="I59" i="6"/>
  <c r="J59" i="6"/>
  <c r="K59" i="6"/>
  <c r="L59" i="6"/>
  <c r="M59" i="6" a="1"/>
  <c r="M59" i="6" s="1"/>
  <c r="N59" i="6" a="1"/>
  <c r="N59" i="6"/>
  <c r="O59" i="6"/>
  <c r="P59" i="6"/>
  <c r="Q59" i="6"/>
  <c r="R59" i="6"/>
  <c r="AB59" i="6"/>
  <c r="B60" i="6"/>
  <c r="C60" i="6"/>
  <c r="G60" i="6"/>
  <c r="I60" i="6"/>
  <c r="J60" i="6"/>
  <c r="K60" i="6"/>
  <c r="L60" i="6"/>
  <c r="M60" i="6" a="1"/>
  <c r="M60" i="6" s="1"/>
  <c r="N60" i="6" a="1"/>
  <c r="N60" i="6"/>
  <c r="O60" i="6"/>
  <c r="P60" i="6"/>
  <c r="Q60" i="6"/>
  <c r="S60" i="6" s="1"/>
  <c r="R60" i="6"/>
  <c r="B61" i="6"/>
  <c r="C61" i="6"/>
  <c r="G61" i="6"/>
  <c r="I61" i="6" s="1"/>
  <c r="K61" i="6"/>
  <c r="L61" i="6"/>
  <c r="M61" i="6" a="1"/>
  <c r="M61" i="6" s="1"/>
  <c r="N61" i="6" a="1"/>
  <c r="N61" i="6" s="1"/>
  <c r="S61" i="6" s="1"/>
  <c r="O61" i="6"/>
  <c r="P61" i="6"/>
  <c r="Q61" i="6"/>
  <c r="R61" i="6"/>
  <c r="AB61" i="6"/>
  <c r="B62" i="6"/>
  <c r="C62" i="6"/>
  <c r="G62" i="6"/>
  <c r="H62" i="6" s="1"/>
  <c r="J62" i="6"/>
  <c r="K62" i="6"/>
  <c r="L62" i="6"/>
  <c r="M62" i="6" a="1"/>
  <c r="M62" i="6" s="1"/>
  <c r="N62" i="6" a="1"/>
  <c r="N62" i="6"/>
  <c r="S62" i="6" s="1"/>
  <c r="O62" i="6"/>
  <c r="P62" i="6"/>
  <c r="Q62" i="6"/>
  <c r="R62" i="6"/>
  <c r="AB62" i="6"/>
  <c r="B63" i="6"/>
  <c r="C63" i="6"/>
  <c r="G63" i="6"/>
  <c r="I63" i="6"/>
  <c r="J63" i="6"/>
  <c r="K63" i="6"/>
  <c r="L63" i="6"/>
  <c r="M63" i="6" a="1"/>
  <c r="M63" i="6" s="1"/>
  <c r="N63" i="6" a="1"/>
  <c r="N63" i="6"/>
  <c r="O63" i="6"/>
  <c r="P63" i="6"/>
  <c r="Q63" i="6"/>
  <c r="S63" i="6" s="1"/>
  <c r="R63" i="6"/>
  <c r="B64" i="6"/>
  <c r="C64" i="6"/>
  <c r="G64" i="6"/>
  <c r="I64" i="6" s="1"/>
  <c r="K64" i="6"/>
  <c r="L64" i="6"/>
  <c r="M64" i="6" a="1"/>
  <c r="M64" i="6" s="1"/>
  <c r="N64" i="6" a="1"/>
  <c r="N64" i="6"/>
  <c r="O64" i="6"/>
  <c r="P64" i="6"/>
  <c r="Q64" i="6"/>
  <c r="S64" i="6" s="1"/>
  <c r="R64" i="6"/>
  <c r="AB64" i="6"/>
  <c r="A65" i="6"/>
  <c r="B65" i="6"/>
  <c r="C65" i="6"/>
  <c r="G65" i="6"/>
  <c r="I65" i="6" s="1"/>
  <c r="K65" i="6"/>
  <c r="L65" i="6"/>
  <c r="M65" i="6" a="1"/>
  <c r="M65" i="6" s="1"/>
  <c r="N65" i="6" a="1"/>
  <c r="N65" i="6"/>
  <c r="S65" i="6" s="1"/>
  <c r="O65" i="6"/>
  <c r="P65" i="6"/>
  <c r="Q65" i="6"/>
  <c r="R65" i="6"/>
  <c r="AB65" i="6"/>
  <c r="B66" i="6"/>
  <c r="C66" i="6"/>
  <c r="G66" i="6"/>
  <c r="I66" i="6" s="1"/>
  <c r="K66" i="6"/>
  <c r="L66" i="6"/>
  <c r="M66" i="6" a="1"/>
  <c r="M66" i="6" s="1"/>
  <c r="N66" i="6" a="1"/>
  <c r="N66" i="6"/>
  <c r="O66" i="6"/>
  <c r="P66" i="6"/>
  <c r="Q66" i="6"/>
  <c r="R66" i="6"/>
  <c r="AB66" i="6"/>
  <c r="B67" i="6"/>
  <c r="C67" i="6"/>
  <c r="G67" i="6"/>
  <c r="I67" i="6" s="1"/>
  <c r="K67" i="6"/>
  <c r="L67" i="6"/>
  <c r="M67" i="6" a="1"/>
  <c r="M67" i="6" s="1"/>
  <c r="N67" i="6" a="1"/>
  <c r="N67" i="6" s="1"/>
  <c r="S67" i="6" s="1"/>
  <c r="O67" i="6"/>
  <c r="P67" i="6"/>
  <c r="Q67" i="6"/>
  <c r="R67" i="6"/>
  <c r="AB67" i="6"/>
  <c r="B68" i="6"/>
  <c r="C68" i="6"/>
  <c r="G68" i="6"/>
  <c r="I68" i="6" s="1"/>
  <c r="J68" i="6"/>
  <c r="K68" i="6"/>
  <c r="L68" i="6"/>
  <c r="M68" i="6" a="1"/>
  <c r="M68" i="6" s="1"/>
  <c r="N68" i="6" a="1"/>
  <c r="N68" i="6" s="1"/>
  <c r="S68" i="6" s="1"/>
  <c r="O68" i="6"/>
  <c r="P68" i="6"/>
  <c r="Q68" i="6"/>
  <c r="R68" i="6"/>
  <c r="AB68" i="6"/>
  <c r="B69" i="6"/>
  <c r="C69" i="6"/>
  <c r="G69" i="6"/>
  <c r="J69" i="6" s="1"/>
  <c r="K69" i="6"/>
  <c r="L69" i="6"/>
  <c r="M69" i="6" a="1"/>
  <c r="M69" i="6" s="1"/>
  <c r="N69" i="6" a="1"/>
  <c r="N69" i="6"/>
  <c r="O69" i="6"/>
  <c r="P69" i="6"/>
  <c r="Q69" i="6"/>
  <c r="R69" i="6"/>
  <c r="B70" i="6"/>
  <c r="C70" i="6"/>
  <c r="G70" i="6"/>
  <c r="E70" i="6" s="1"/>
  <c r="K70" i="6"/>
  <c r="L70" i="6"/>
  <c r="M70" i="6" a="1"/>
  <c r="M70" i="6" s="1"/>
  <c r="N70" i="6" a="1"/>
  <c r="N70" i="6" s="1"/>
  <c r="O70" i="6"/>
  <c r="P70" i="6"/>
  <c r="Q70" i="6"/>
  <c r="S70" i="6" s="1"/>
  <c r="R70" i="6"/>
  <c r="AB70" i="6"/>
  <c r="B71" i="6"/>
  <c r="C71" i="6"/>
  <c r="G71" i="6"/>
  <c r="K71" i="6"/>
  <c r="L71" i="6"/>
  <c r="M71" i="6" a="1"/>
  <c r="M71" i="6" s="1"/>
  <c r="N71" i="6" a="1"/>
  <c r="N71" i="6" s="1"/>
  <c r="O71" i="6"/>
  <c r="P71" i="6"/>
  <c r="Q71" i="6"/>
  <c r="R71" i="6"/>
  <c r="S71" i="6"/>
  <c r="AB71" i="6"/>
  <c r="B72" i="6"/>
  <c r="C72" i="6"/>
  <c r="G72" i="6"/>
  <c r="I72" i="6"/>
  <c r="J72" i="6"/>
  <c r="K72" i="6"/>
  <c r="L72" i="6"/>
  <c r="M72" i="6" a="1"/>
  <c r="M72" i="6" s="1"/>
  <c r="N72" i="6" a="1"/>
  <c r="N72" i="6"/>
  <c r="O72" i="6"/>
  <c r="P72" i="6"/>
  <c r="Q72" i="6"/>
  <c r="R72" i="6"/>
  <c r="AB72" i="6"/>
  <c r="B73" i="6"/>
  <c r="C73" i="6"/>
  <c r="G73" i="6"/>
  <c r="K73" i="6"/>
  <c r="L73" i="6"/>
  <c r="M73" i="6" a="1"/>
  <c r="M73" i="6" s="1"/>
  <c r="N73" i="6" a="1"/>
  <c r="N73" i="6" s="1"/>
  <c r="S73" i="6" s="1"/>
  <c r="O73" i="6"/>
  <c r="P73" i="6"/>
  <c r="Q73" i="6"/>
  <c r="R73" i="6"/>
  <c r="AB73" i="6"/>
  <c r="B74" i="6"/>
  <c r="C74" i="6"/>
  <c r="G74" i="6"/>
  <c r="I74" i="6" s="1"/>
  <c r="J74" i="6"/>
  <c r="K74" i="6"/>
  <c r="L74" i="6"/>
  <c r="M74" i="6" a="1"/>
  <c r="M74" i="6" s="1"/>
  <c r="N74" i="6" a="1"/>
  <c r="N74" i="6" s="1"/>
  <c r="O74" i="6"/>
  <c r="P74" i="6"/>
  <c r="Q74" i="6"/>
  <c r="R74" i="6"/>
  <c r="AB74" i="6"/>
  <c r="B75" i="6"/>
  <c r="C75" i="6"/>
  <c r="G75" i="6"/>
  <c r="E75" i="6" s="1"/>
  <c r="J75" i="6"/>
  <c r="K75" i="6"/>
  <c r="L75" i="6"/>
  <c r="M75" i="6" a="1"/>
  <c r="M75" i="6" s="1"/>
  <c r="N75" i="6" a="1"/>
  <c r="N75" i="6"/>
  <c r="O75" i="6"/>
  <c r="P75" i="6"/>
  <c r="Q75" i="6"/>
  <c r="R75" i="6"/>
  <c r="B76" i="6"/>
  <c r="C76" i="6"/>
  <c r="G76" i="6"/>
  <c r="E76" i="6" s="1"/>
  <c r="K76" i="6"/>
  <c r="L76" i="6"/>
  <c r="M76" i="6" a="1"/>
  <c r="M76" i="6" s="1"/>
  <c r="N76" i="6" a="1"/>
  <c r="N76" i="6" s="1"/>
  <c r="O76" i="6"/>
  <c r="P76" i="6"/>
  <c r="Q76" i="6"/>
  <c r="R76" i="6"/>
  <c r="S76" i="6"/>
  <c r="AB76" i="6"/>
  <c r="A77" i="6"/>
  <c r="B77" i="6"/>
  <c r="C77" i="6"/>
  <c r="G77" i="6"/>
  <c r="J77" i="6" s="1"/>
  <c r="K77" i="6"/>
  <c r="L77" i="6"/>
  <c r="M77" i="6" a="1"/>
  <c r="M77" i="6" s="1"/>
  <c r="N77" i="6" a="1"/>
  <c r="N77" i="6"/>
  <c r="O77" i="6"/>
  <c r="P77" i="6"/>
  <c r="Q77" i="6"/>
  <c r="R77" i="6"/>
  <c r="B78" i="6"/>
  <c r="C78" i="6"/>
  <c r="G78" i="6"/>
  <c r="H78" i="6" s="1"/>
  <c r="K78" i="6"/>
  <c r="L78" i="6"/>
  <c r="M78" i="6" a="1"/>
  <c r="M78" i="6" s="1"/>
  <c r="N78" i="6" a="1"/>
  <c r="N78" i="6" s="1"/>
  <c r="O78" i="6"/>
  <c r="P78" i="6"/>
  <c r="Q78" i="6"/>
  <c r="R78" i="6"/>
  <c r="S78" i="6"/>
  <c r="AB78" i="6"/>
  <c r="B79" i="6"/>
  <c r="C79" i="6"/>
  <c r="G79" i="6"/>
  <c r="I79" i="6" s="1"/>
  <c r="K79" i="6"/>
  <c r="L79" i="6"/>
  <c r="M79" i="6" a="1"/>
  <c r="M79" i="6"/>
  <c r="N79" i="6" a="1"/>
  <c r="N79" i="6" s="1"/>
  <c r="O79" i="6"/>
  <c r="S79" i="6" s="1"/>
  <c r="P79" i="6"/>
  <c r="Q79" i="6"/>
  <c r="R79" i="6"/>
  <c r="AB79" i="6" s="1"/>
  <c r="A80" i="6"/>
  <c r="B80" i="6"/>
  <c r="C80" i="6"/>
  <c r="G80" i="6"/>
  <c r="K80" i="6"/>
  <c r="L80" i="6"/>
  <c r="M80" i="6" a="1"/>
  <c r="M80" i="6"/>
  <c r="N80" i="6" a="1"/>
  <c r="N80" i="6"/>
  <c r="O80" i="6"/>
  <c r="P80" i="6"/>
  <c r="Q80" i="6"/>
  <c r="R80" i="6"/>
  <c r="B81" i="6"/>
  <c r="C81" i="6"/>
  <c r="G81" i="6"/>
  <c r="K81" i="6"/>
  <c r="L81" i="6"/>
  <c r="M81" i="6" a="1"/>
  <c r="M81" i="6" s="1"/>
  <c r="N81" i="6" a="1"/>
  <c r="N81" i="6" s="1"/>
  <c r="O81" i="6"/>
  <c r="P81" i="6"/>
  <c r="Q81" i="6"/>
  <c r="AB81" i="6" s="1"/>
  <c r="R81" i="6"/>
  <c r="S81" i="6"/>
  <c r="B82" i="6"/>
  <c r="C82" i="6"/>
  <c r="G82" i="6"/>
  <c r="H82" i="6"/>
  <c r="I82" i="6"/>
  <c r="K82" i="6"/>
  <c r="L82" i="6"/>
  <c r="M82" i="6" a="1"/>
  <c r="M82" i="6"/>
  <c r="N82" i="6" a="1"/>
  <c r="N82" i="6" s="1"/>
  <c r="O82" i="6"/>
  <c r="P82" i="6"/>
  <c r="Q82" i="6"/>
  <c r="R82" i="6"/>
  <c r="S82" i="6" s="1"/>
  <c r="B83" i="6"/>
  <c r="C83" i="6"/>
  <c r="G83" i="6"/>
  <c r="H83" i="6"/>
  <c r="J83" i="6"/>
  <c r="K83" i="6"/>
  <c r="L83" i="6"/>
  <c r="M83" i="6" a="1"/>
  <c r="M83" i="6" s="1"/>
  <c r="N83" i="6" a="1"/>
  <c r="N83" i="6"/>
  <c r="O83" i="6"/>
  <c r="P83" i="6"/>
  <c r="Q83" i="6"/>
  <c r="R83" i="6"/>
  <c r="B84" i="6"/>
  <c r="C84" i="6"/>
  <c r="G84" i="6"/>
  <c r="J84" i="6"/>
  <c r="K84" i="6"/>
  <c r="L84" i="6"/>
  <c r="M84" i="6" a="1"/>
  <c r="M84" i="6" s="1"/>
  <c r="N84" i="6" a="1"/>
  <c r="N84" i="6" s="1"/>
  <c r="S84" i="6" s="1"/>
  <c r="O84" i="6"/>
  <c r="P84" i="6"/>
  <c r="Q84" i="6"/>
  <c r="R84" i="6"/>
  <c r="AB84" i="6"/>
  <c r="B85" i="6"/>
  <c r="C85" i="6"/>
  <c r="G85" i="6"/>
  <c r="H85" i="6"/>
  <c r="I85" i="6"/>
  <c r="K85" i="6"/>
  <c r="L85" i="6"/>
  <c r="M85" i="6" a="1"/>
  <c r="M85" i="6"/>
  <c r="N85" i="6" a="1"/>
  <c r="N85" i="6" s="1"/>
  <c r="O85" i="6"/>
  <c r="P85" i="6"/>
  <c r="Q85" i="6"/>
  <c r="R85" i="6"/>
  <c r="AB85" i="6" s="1"/>
  <c r="A86" i="6"/>
  <c r="B86" i="6"/>
  <c r="C86" i="6"/>
  <c r="G86" i="6"/>
  <c r="H86" i="6"/>
  <c r="K86" i="6"/>
  <c r="L86" i="6"/>
  <c r="M86" i="6" a="1"/>
  <c r="M86" i="6" s="1"/>
  <c r="N86" i="6" a="1"/>
  <c r="N86" i="6"/>
  <c r="O86" i="6"/>
  <c r="P86" i="6"/>
  <c r="Q86" i="6"/>
  <c r="R86" i="6"/>
  <c r="B87" i="6"/>
  <c r="C87" i="6"/>
  <c r="G87" i="6"/>
  <c r="E87" i="6" s="1"/>
  <c r="K87" i="6"/>
  <c r="L87" i="6"/>
  <c r="M87" i="6" a="1"/>
  <c r="M87" i="6" s="1"/>
  <c r="N87" i="6" a="1"/>
  <c r="N87" i="6" s="1"/>
  <c r="O87" i="6"/>
  <c r="P87" i="6"/>
  <c r="Q87" i="6"/>
  <c r="AB87" i="6" s="1"/>
  <c r="R87" i="6"/>
  <c r="S87" i="6"/>
  <c r="B88" i="6"/>
  <c r="C88" i="6"/>
  <c r="G88" i="6"/>
  <c r="I88" i="6"/>
  <c r="J88" i="6"/>
  <c r="K88" i="6"/>
  <c r="L88" i="6"/>
  <c r="M88" i="6" a="1"/>
  <c r="M88" i="6"/>
  <c r="N88" i="6" a="1"/>
  <c r="N88" i="6" s="1"/>
  <c r="S88" i="6" s="1"/>
  <c r="O88" i="6"/>
  <c r="P88" i="6"/>
  <c r="Q88" i="6"/>
  <c r="R88" i="6"/>
  <c r="AB88" i="6"/>
  <c r="B89" i="6"/>
  <c r="C89" i="6"/>
  <c r="G89" i="6"/>
  <c r="E89" i="6" s="1"/>
  <c r="K89" i="6"/>
  <c r="L89" i="6"/>
  <c r="M89" i="6" a="1"/>
  <c r="M89" i="6"/>
  <c r="N89" i="6" a="1"/>
  <c r="N89" i="6"/>
  <c r="O89" i="6"/>
  <c r="P89" i="6"/>
  <c r="Q89" i="6"/>
  <c r="R89" i="6"/>
  <c r="B90" i="6"/>
  <c r="C90" i="6"/>
  <c r="G90" i="6"/>
  <c r="H90" i="6"/>
  <c r="K90" i="6"/>
  <c r="L90" i="6"/>
  <c r="M90" i="6" a="1"/>
  <c r="M90" i="6"/>
  <c r="N90" i="6" a="1"/>
  <c r="N90" i="6" s="1"/>
  <c r="S90" i="6" s="1"/>
  <c r="O90" i="6"/>
  <c r="P90" i="6"/>
  <c r="Q90" i="6"/>
  <c r="R90" i="6"/>
  <c r="AB90" i="6"/>
  <c r="B91" i="6"/>
  <c r="C91" i="6"/>
  <c r="G91" i="6"/>
  <c r="H91" i="6"/>
  <c r="K91" i="6"/>
  <c r="L91" i="6"/>
  <c r="M91" i="6" a="1"/>
  <c r="M91" i="6"/>
  <c r="N91" i="6" a="1"/>
  <c r="N91" i="6" s="1"/>
  <c r="O91" i="6"/>
  <c r="P91" i="6"/>
  <c r="Q91" i="6"/>
  <c r="R91" i="6"/>
  <c r="AB91" i="6" s="1"/>
  <c r="S91" i="6"/>
  <c r="B92" i="6"/>
  <c r="C92" i="6"/>
  <c r="G92" i="6"/>
  <c r="H92" i="6"/>
  <c r="K92" i="6"/>
  <c r="L92" i="6"/>
  <c r="M92" i="6" a="1"/>
  <c r="M92" i="6" s="1"/>
  <c r="N92" i="6" a="1"/>
  <c r="N92" i="6"/>
  <c r="O92" i="6"/>
  <c r="P92" i="6"/>
  <c r="Q92" i="6"/>
  <c r="R92" i="6"/>
  <c r="AB92" i="6"/>
  <c r="B93" i="6"/>
  <c r="C93" i="6"/>
  <c r="G93" i="6"/>
  <c r="H93" i="6"/>
  <c r="I93" i="6"/>
  <c r="K93" i="6"/>
  <c r="L93" i="6"/>
  <c r="M93" i="6" a="1"/>
  <c r="M93" i="6" s="1"/>
  <c r="N93" i="6" a="1"/>
  <c r="N93" i="6" s="1"/>
  <c r="O93" i="6"/>
  <c r="P93" i="6"/>
  <c r="Q93" i="6"/>
  <c r="R93" i="6"/>
  <c r="B94" i="6"/>
  <c r="C94" i="6"/>
  <c r="G94" i="6"/>
  <c r="K94" i="6"/>
  <c r="L94" i="6"/>
  <c r="M94" i="6" a="1"/>
  <c r="M94" i="6"/>
  <c r="N94" i="6" a="1"/>
  <c r="N94" i="6"/>
  <c r="S94" i="6" s="1"/>
  <c r="O94" i="6"/>
  <c r="P94" i="6"/>
  <c r="Q94" i="6"/>
  <c r="R94" i="6"/>
  <c r="AB94" i="6"/>
  <c r="A95" i="6"/>
  <c r="B95" i="6"/>
  <c r="C95" i="6"/>
  <c r="G95" i="6"/>
  <c r="E95" i="6" s="1"/>
  <c r="K95" i="6"/>
  <c r="L95" i="6"/>
  <c r="M95" i="6" a="1"/>
  <c r="M95" i="6" s="1"/>
  <c r="N95" i="6" a="1"/>
  <c r="N95" i="6"/>
  <c r="O95" i="6"/>
  <c r="P95" i="6"/>
  <c r="Q95" i="6"/>
  <c r="R95" i="6"/>
  <c r="B96" i="6"/>
  <c r="C96" i="6"/>
  <c r="G96" i="6"/>
  <c r="J96" i="6"/>
  <c r="K96" i="6"/>
  <c r="L96" i="6"/>
  <c r="M96" i="6" a="1"/>
  <c r="M96" i="6" s="1"/>
  <c r="N96" i="6" a="1"/>
  <c r="N96" i="6" s="1"/>
  <c r="O96" i="6"/>
  <c r="P96" i="6"/>
  <c r="Q96" i="6"/>
  <c r="R96" i="6"/>
  <c r="AB96" i="6"/>
  <c r="B97" i="6"/>
  <c r="C97" i="6"/>
  <c r="G97" i="6"/>
  <c r="I97" i="6" s="1"/>
  <c r="J97" i="6"/>
  <c r="K97" i="6"/>
  <c r="L97" i="6"/>
  <c r="M97" i="6" a="1"/>
  <c r="M97" i="6"/>
  <c r="N97" i="6" a="1"/>
  <c r="N97" i="6"/>
  <c r="O97" i="6"/>
  <c r="P97" i="6"/>
  <c r="Q97" i="6"/>
  <c r="R97" i="6"/>
  <c r="B98" i="6"/>
  <c r="C98" i="6"/>
  <c r="G98" i="6"/>
  <c r="E98" i="6" s="1"/>
  <c r="H98" i="6"/>
  <c r="K98" i="6"/>
  <c r="L98" i="6"/>
  <c r="M98" i="6" a="1"/>
  <c r="M98" i="6" s="1"/>
  <c r="N98" i="6" a="1"/>
  <c r="N98" i="6"/>
  <c r="O98" i="6"/>
  <c r="P98" i="6"/>
  <c r="Q98" i="6"/>
  <c r="R98" i="6"/>
  <c r="B99" i="6"/>
  <c r="C99" i="6"/>
  <c r="G99" i="6"/>
  <c r="K99" i="6"/>
  <c r="L99" i="6"/>
  <c r="M99" i="6" a="1"/>
  <c r="M99" i="6" s="1"/>
  <c r="N99" i="6" a="1"/>
  <c r="N99" i="6" s="1"/>
  <c r="S99" i="6" s="1"/>
  <c r="O99" i="6"/>
  <c r="P99" i="6"/>
  <c r="Q99" i="6"/>
  <c r="AB99" i="6" s="1"/>
  <c r="R99" i="6"/>
  <c r="B100" i="6"/>
  <c r="C100" i="6"/>
  <c r="G100" i="6"/>
  <c r="K100" i="6"/>
  <c r="L100" i="6"/>
  <c r="M100" i="6" a="1"/>
  <c r="M100" i="6"/>
  <c r="N100" i="6" a="1"/>
  <c r="N100" i="6"/>
  <c r="S100" i="6" s="1"/>
  <c r="O100" i="6"/>
  <c r="P100" i="6"/>
  <c r="Q100" i="6"/>
  <c r="R100" i="6"/>
  <c r="AB100" i="6" s="1"/>
  <c r="B101" i="6"/>
  <c r="C101" i="6"/>
  <c r="G101" i="6"/>
  <c r="K101" i="6"/>
  <c r="L101" i="6"/>
  <c r="M101" i="6" a="1"/>
  <c r="M101" i="6"/>
  <c r="N101" i="6" a="1"/>
  <c r="N101" i="6"/>
  <c r="O101" i="6"/>
  <c r="P101" i="6"/>
  <c r="Q101" i="6"/>
  <c r="R101" i="6"/>
  <c r="B102" i="6"/>
  <c r="C102" i="6"/>
  <c r="G102" i="6"/>
  <c r="K102" i="6"/>
  <c r="L102" i="6"/>
  <c r="M102" i="6" a="1"/>
  <c r="M102" i="6"/>
  <c r="N102" i="6" a="1"/>
  <c r="N102" i="6" s="1"/>
  <c r="O102" i="6"/>
  <c r="P102" i="6"/>
  <c r="S102" i="6" s="1"/>
  <c r="Q102" i="6"/>
  <c r="R102" i="6"/>
  <c r="AB102" i="6" s="1"/>
  <c r="B103" i="6"/>
  <c r="C103" i="6"/>
  <c r="G103" i="6"/>
  <c r="I103" i="6" s="1"/>
  <c r="K103" i="6"/>
  <c r="L103" i="6"/>
  <c r="M103" i="6" a="1"/>
  <c r="M103" i="6"/>
  <c r="N103" i="6" a="1"/>
  <c r="N103" i="6" s="1"/>
  <c r="S103" i="6" s="1"/>
  <c r="O103" i="6"/>
  <c r="P103" i="6"/>
  <c r="Q103" i="6"/>
  <c r="R103" i="6"/>
  <c r="AB103" i="6" s="1"/>
  <c r="B104" i="6"/>
  <c r="C104" i="6"/>
  <c r="G104" i="6"/>
  <c r="E104" i="6" s="1"/>
  <c r="H104" i="6"/>
  <c r="I104" i="6"/>
  <c r="J104" i="6"/>
  <c r="K104" i="6"/>
  <c r="L104" i="6"/>
  <c r="M104" i="6" a="1"/>
  <c r="M104" i="6"/>
  <c r="N104" i="6" a="1"/>
  <c r="N104" i="6"/>
  <c r="O104" i="6"/>
  <c r="P104" i="6"/>
  <c r="Q104" i="6"/>
  <c r="R104" i="6"/>
  <c r="B105" i="6"/>
  <c r="C105" i="6"/>
  <c r="G105" i="6"/>
  <c r="E105" i="6" s="1"/>
  <c r="H105" i="6"/>
  <c r="I105" i="6"/>
  <c r="J105" i="6"/>
  <c r="K105" i="6"/>
  <c r="L105" i="6"/>
  <c r="M105" i="6" a="1"/>
  <c r="M105" i="6"/>
  <c r="N105" i="6" a="1"/>
  <c r="N105" i="6" s="1"/>
  <c r="S105" i="6" s="1"/>
  <c r="O105" i="6"/>
  <c r="P105" i="6"/>
  <c r="Q105" i="6"/>
  <c r="R105" i="6"/>
  <c r="AB105" i="6" s="1"/>
  <c r="B106" i="6"/>
  <c r="C106" i="6"/>
  <c r="G106" i="6"/>
  <c r="H106" i="6" s="1"/>
  <c r="J106" i="6"/>
  <c r="K106" i="6"/>
  <c r="L106" i="6"/>
  <c r="M106" i="6" a="1"/>
  <c r="M106" i="6"/>
  <c r="N106" i="6" a="1"/>
  <c r="N106" i="6"/>
  <c r="S106" i="6" s="1"/>
  <c r="O106" i="6"/>
  <c r="P106" i="6"/>
  <c r="Q106" i="6"/>
  <c r="R106" i="6"/>
  <c r="AB106" i="6" s="1"/>
  <c r="B107" i="6"/>
  <c r="C107" i="6"/>
  <c r="G107" i="6"/>
  <c r="I107" i="6"/>
  <c r="J107" i="6"/>
  <c r="K107" i="6"/>
  <c r="L107" i="6"/>
  <c r="M107" i="6" a="1"/>
  <c r="M107" i="6"/>
  <c r="N107" i="6" a="1"/>
  <c r="N107" i="6"/>
  <c r="O107" i="6"/>
  <c r="P107" i="6"/>
  <c r="Q107" i="6"/>
  <c r="R107" i="6"/>
  <c r="B108" i="6"/>
  <c r="C108" i="6"/>
  <c r="G108" i="6"/>
  <c r="K108" i="6"/>
  <c r="L108" i="6"/>
  <c r="M108" i="6" a="1"/>
  <c r="M108" i="6"/>
  <c r="N108" i="6" a="1"/>
  <c r="N108" i="6" s="1"/>
  <c r="O108" i="6"/>
  <c r="S108" i="6" s="1"/>
  <c r="P108" i="6"/>
  <c r="Q108" i="6"/>
  <c r="R108" i="6"/>
  <c r="AB108" i="6" s="1"/>
  <c r="B109" i="6"/>
  <c r="C109" i="6"/>
  <c r="G109" i="6"/>
  <c r="J109" i="6"/>
  <c r="K109" i="6"/>
  <c r="L109" i="6"/>
  <c r="M109" i="6" a="1"/>
  <c r="M109" i="6"/>
  <c r="N109" i="6" a="1"/>
  <c r="N109" i="6" s="1"/>
  <c r="O109" i="6"/>
  <c r="P109" i="6"/>
  <c r="Q109" i="6"/>
  <c r="R109" i="6"/>
  <c r="B110" i="6"/>
  <c r="C110" i="6"/>
  <c r="G110" i="6"/>
  <c r="I110" i="6"/>
  <c r="K110" i="6"/>
  <c r="L110" i="6"/>
  <c r="M110" i="6" a="1"/>
  <c r="M110" i="6"/>
  <c r="N110" i="6" a="1"/>
  <c r="N110" i="6"/>
  <c r="O110" i="6"/>
  <c r="P110" i="6"/>
  <c r="Q110" i="6"/>
  <c r="R110" i="6"/>
  <c r="A111" i="6"/>
  <c r="B111" i="6"/>
  <c r="C111" i="6"/>
  <c r="G111" i="6"/>
  <c r="H111" i="6"/>
  <c r="I111" i="6"/>
  <c r="K111" i="6"/>
  <c r="L111" i="6"/>
  <c r="M111" i="6" a="1"/>
  <c r="M111" i="6"/>
  <c r="N111" i="6" a="1"/>
  <c r="N111" i="6" s="1"/>
  <c r="O111" i="6"/>
  <c r="P111" i="6"/>
  <c r="Q111" i="6"/>
  <c r="R111" i="6"/>
  <c r="B112" i="6"/>
  <c r="C112" i="6"/>
  <c r="G112" i="6"/>
  <c r="H112" i="6"/>
  <c r="J112" i="6"/>
  <c r="K112" i="6"/>
  <c r="L112" i="6"/>
  <c r="M112" i="6" a="1"/>
  <c r="M112" i="6"/>
  <c r="N112" i="6" a="1"/>
  <c r="N112" i="6" s="1"/>
  <c r="S112" i="6" s="1"/>
  <c r="O112" i="6"/>
  <c r="P112" i="6"/>
  <c r="Q112" i="6"/>
  <c r="R112" i="6"/>
  <c r="AB112" i="6" s="1"/>
  <c r="A113" i="6"/>
  <c r="B113" i="6"/>
  <c r="C113" i="6"/>
  <c r="G113" i="6"/>
  <c r="E113" i="6" s="1"/>
  <c r="H113" i="6"/>
  <c r="I113" i="6"/>
  <c r="J113" i="6"/>
  <c r="K113" i="6"/>
  <c r="L113" i="6"/>
  <c r="M113" i="6" a="1"/>
  <c r="M113" i="6"/>
  <c r="N113" i="6" a="1"/>
  <c r="N113" i="6"/>
  <c r="O113" i="6"/>
  <c r="P113" i="6"/>
  <c r="Q113" i="6"/>
  <c r="R113" i="6"/>
  <c r="B114" i="6"/>
  <c r="C114" i="6"/>
  <c r="G114" i="6"/>
  <c r="I114" i="6"/>
  <c r="K114" i="6"/>
  <c r="L114" i="6"/>
  <c r="M114" i="6" a="1"/>
  <c r="M114" i="6"/>
  <c r="N114" i="6" a="1"/>
  <c r="N114" i="6" s="1"/>
  <c r="O114" i="6"/>
  <c r="P114" i="6"/>
  <c r="Q114" i="6"/>
  <c r="R114" i="6"/>
  <c r="AB114" i="6" s="1"/>
  <c r="B115" i="6"/>
  <c r="C115" i="6"/>
  <c r="G115" i="6"/>
  <c r="E115" i="6" s="1"/>
  <c r="H115" i="6"/>
  <c r="I115" i="6"/>
  <c r="J115" i="6"/>
  <c r="K115" i="6"/>
  <c r="L115" i="6"/>
  <c r="M115" i="6" a="1"/>
  <c r="M115" i="6"/>
  <c r="N115" i="6" a="1"/>
  <c r="N115" i="6"/>
  <c r="O115" i="6"/>
  <c r="P115" i="6"/>
  <c r="Q115" i="6"/>
  <c r="R115" i="6"/>
  <c r="AB115" i="6" s="1"/>
  <c r="B116" i="6"/>
  <c r="C116" i="6"/>
  <c r="G116" i="6"/>
  <c r="K116" i="6"/>
  <c r="L116" i="6"/>
  <c r="M116" i="6" a="1"/>
  <c r="M116" i="6"/>
  <c r="N116" i="6" a="1"/>
  <c r="N116" i="6"/>
  <c r="O116" i="6"/>
  <c r="P116" i="6"/>
  <c r="Q116" i="6"/>
  <c r="R116" i="6"/>
  <c r="B117" i="6"/>
  <c r="C117" i="6"/>
  <c r="G117" i="6"/>
  <c r="E117" i="6" s="1"/>
  <c r="H117" i="6"/>
  <c r="I117" i="6"/>
  <c r="J117" i="6"/>
  <c r="K117" i="6"/>
  <c r="L117" i="6"/>
  <c r="M117" i="6" a="1"/>
  <c r="M117" i="6"/>
  <c r="N117" i="6" a="1"/>
  <c r="N117" i="6"/>
  <c r="O117" i="6"/>
  <c r="P117" i="6"/>
  <c r="Q117" i="6"/>
  <c r="R117" i="6"/>
  <c r="AB117" i="6" s="1"/>
  <c r="B118" i="6"/>
  <c r="C118" i="6"/>
  <c r="G118" i="6"/>
  <c r="E118" i="6" s="1"/>
  <c r="H118" i="6"/>
  <c r="I118" i="6"/>
  <c r="J118" i="6"/>
  <c r="K118" i="6"/>
  <c r="L118" i="6"/>
  <c r="M118" i="6" a="1"/>
  <c r="M118" i="6"/>
  <c r="N118" i="6" a="1"/>
  <c r="N118" i="6"/>
  <c r="S118" i="6" s="1"/>
  <c r="O118" i="6"/>
  <c r="P118" i="6"/>
  <c r="Q118" i="6"/>
  <c r="R118" i="6"/>
  <c r="AB118" i="6" s="1"/>
  <c r="B119" i="6"/>
  <c r="C119" i="6"/>
  <c r="G119" i="6"/>
  <c r="E119" i="6" s="1"/>
  <c r="H119" i="6"/>
  <c r="I119" i="6"/>
  <c r="J119" i="6"/>
  <c r="K119" i="6"/>
  <c r="L119" i="6"/>
  <c r="M119" i="6" a="1"/>
  <c r="M119" i="6"/>
  <c r="N119" i="6" a="1"/>
  <c r="N119" i="6"/>
  <c r="O119" i="6"/>
  <c r="P119" i="6"/>
  <c r="Q119" i="6"/>
  <c r="R119" i="6"/>
  <c r="B120" i="6"/>
  <c r="C120" i="6"/>
  <c r="G120" i="6"/>
  <c r="E120" i="6" s="1"/>
  <c r="H120" i="6"/>
  <c r="I120" i="6"/>
  <c r="J120" i="6"/>
  <c r="K120" i="6"/>
  <c r="L120" i="6"/>
  <c r="M120" i="6" a="1"/>
  <c r="M120" i="6"/>
  <c r="N120" i="6" a="1"/>
  <c r="N120" i="6" s="1"/>
  <c r="O120" i="6"/>
  <c r="P120" i="6"/>
  <c r="Q120" i="6"/>
  <c r="R120" i="6"/>
  <c r="AB120" i="6" s="1"/>
  <c r="S120" i="6"/>
  <c r="B121" i="6"/>
  <c r="C121" i="6"/>
  <c r="G121" i="6"/>
  <c r="E121" i="6" s="1"/>
  <c r="H121" i="6"/>
  <c r="I121" i="6"/>
  <c r="J121" i="6"/>
  <c r="K121" i="6"/>
  <c r="L121" i="6"/>
  <c r="M121" i="6" a="1"/>
  <c r="M121" i="6"/>
  <c r="N121" i="6" a="1"/>
  <c r="N121" i="6"/>
  <c r="S121" i="6" s="1"/>
  <c r="O121" i="6"/>
  <c r="P121" i="6"/>
  <c r="Q121" i="6"/>
  <c r="R121" i="6"/>
  <c r="AB121" i="6" s="1"/>
  <c r="B122" i="6"/>
  <c r="C122" i="6"/>
  <c r="G122" i="6"/>
  <c r="E122" i="6" s="1"/>
  <c r="H122" i="6"/>
  <c r="I122" i="6"/>
  <c r="J122" i="6"/>
  <c r="K122" i="6"/>
  <c r="L122" i="6"/>
  <c r="M122" i="6" a="1"/>
  <c r="M122" i="6"/>
  <c r="N122" i="6" a="1"/>
  <c r="N122" i="6"/>
  <c r="O122" i="6"/>
  <c r="P122" i="6"/>
  <c r="Q122" i="6"/>
  <c r="R122" i="6"/>
  <c r="B123" i="6"/>
  <c r="C123" i="6"/>
  <c r="G123" i="6"/>
  <c r="E123" i="6" s="1"/>
  <c r="H123" i="6"/>
  <c r="I123" i="6"/>
  <c r="J123" i="6"/>
  <c r="K123" i="6"/>
  <c r="L123" i="6"/>
  <c r="M123" i="6" a="1"/>
  <c r="M123" i="6"/>
  <c r="N123" i="6" a="1"/>
  <c r="N123" i="6"/>
  <c r="O123" i="6"/>
  <c r="P123" i="6"/>
  <c r="Q123" i="6"/>
  <c r="R123" i="6"/>
  <c r="AB123" i="6" s="1"/>
  <c r="B124" i="6"/>
  <c r="C124" i="6"/>
  <c r="G124" i="6"/>
  <c r="E124" i="6" s="1"/>
  <c r="H124" i="6"/>
  <c r="I124" i="6"/>
  <c r="J124" i="6"/>
  <c r="K124" i="6"/>
  <c r="L124" i="6"/>
  <c r="M124" i="6" a="1"/>
  <c r="M124" i="6"/>
  <c r="N124" i="6" a="1"/>
  <c r="N124" i="6" s="1"/>
  <c r="S124" i="6" s="1"/>
  <c r="O124" i="6"/>
  <c r="P124" i="6"/>
  <c r="Q124" i="6"/>
  <c r="R124" i="6"/>
  <c r="AB124" i="6" s="1"/>
  <c r="B125" i="6"/>
  <c r="C125" i="6"/>
  <c r="G125" i="6"/>
  <c r="J125" i="6"/>
  <c r="K125" i="6"/>
  <c r="L125" i="6"/>
  <c r="M125" i="6" a="1"/>
  <c r="M125" i="6"/>
  <c r="N125" i="6" a="1"/>
  <c r="N125" i="6"/>
  <c r="O125" i="6"/>
  <c r="P125" i="6"/>
  <c r="Q125" i="6"/>
  <c r="R125" i="6"/>
  <c r="B126" i="6"/>
  <c r="C126" i="6"/>
  <c r="G126" i="6"/>
  <c r="I126" i="6"/>
  <c r="K126" i="6"/>
  <c r="L126" i="6"/>
  <c r="M126" i="6" a="1"/>
  <c r="M126" i="6"/>
  <c r="N126" i="6" a="1"/>
  <c r="N126" i="6" s="1"/>
  <c r="O126" i="6"/>
  <c r="P126" i="6"/>
  <c r="Q126" i="6"/>
  <c r="R126" i="6"/>
  <c r="B127" i="6"/>
  <c r="C127" i="6"/>
  <c r="G127" i="6"/>
  <c r="H127" i="6" s="1"/>
  <c r="K127" i="6"/>
  <c r="L127" i="6"/>
  <c r="M127" i="6" a="1"/>
  <c r="M127" i="6"/>
  <c r="N127" i="6" a="1"/>
  <c r="N127" i="6" s="1"/>
  <c r="S127" i="6" s="1"/>
  <c r="O127" i="6"/>
  <c r="P127" i="6"/>
  <c r="Q127" i="6"/>
  <c r="R127" i="6"/>
  <c r="AB127" i="6" s="1"/>
  <c r="B128" i="6"/>
  <c r="C128" i="6"/>
  <c r="G128" i="6"/>
  <c r="H128" i="6"/>
  <c r="I128" i="6"/>
  <c r="K128" i="6"/>
  <c r="L128" i="6"/>
  <c r="M128" i="6" a="1"/>
  <c r="M128" i="6"/>
  <c r="N128" i="6" a="1"/>
  <c r="N128" i="6"/>
  <c r="O128" i="6"/>
  <c r="P128" i="6"/>
  <c r="Q128" i="6"/>
  <c r="R128" i="6"/>
  <c r="B129" i="6"/>
  <c r="C129" i="6"/>
  <c r="G129" i="6"/>
  <c r="I129" i="6"/>
  <c r="K129" i="6"/>
  <c r="L129" i="6"/>
  <c r="M129" i="6" a="1"/>
  <c r="M129" i="6"/>
  <c r="N129" i="6" a="1"/>
  <c r="N129" i="6" s="1"/>
  <c r="S129" i="6" s="1"/>
  <c r="O129" i="6"/>
  <c r="P129" i="6"/>
  <c r="Q129" i="6"/>
  <c r="R129" i="6"/>
  <c r="AB129" i="6" s="1"/>
  <c r="B130" i="6"/>
  <c r="C130" i="6"/>
  <c r="G130" i="6"/>
  <c r="I130" i="6" s="1"/>
  <c r="K130" i="6"/>
  <c r="L130" i="6"/>
  <c r="M130" i="6" a="1"/>
  <c r="M130" i="6"/>
  <c r="N130" i="6" a="1"/>
  <c r="N130" i="6" s="1"/>
  <c r="S130" i="6" s="1"/>
  <c r="O130" i="6"/>
  <c r="P130" i="6"/>
  <c r="Q130" i="6"/>
  <c r="R130" i="6"/>
  <c r="AB130" i="6" s="1"/>
  <c r="B131" i="6"/>
  <c r="C131" i="6"/>
  <c r="G131" i="6"/>
  <c r="H131" i="6" s="1"/>
  <c r="I131" i="6"/>
  <c r="K131" i="6"/>
  <c r="L131" i="6"/>
  <c r="M131" i="6" a="1"/>
  <c r="M131" i="6"/>
  <c r="N131" i="6" a="1"/>
  <c r="N131" i="6"/>
  <c r="O131" i="6"/>
  <c r="P131" i="6"/>
  <c r="Q131" i="6"/>
  <c r="R131" i="6"/>
  <c r="A132" i="6"/>
  <c r="B132" i="6"/>
  <c r="C132" i="6"/>
  <c r="G132" i="6"/>
  <c r="E132" i="6" s="1"/>
  <c r="H132" i="6"/>
  <c r="I132" i="6"/>
  <c r="J132" i="6"/>
  <c r="K132" i="6"/>
  <c r="L132" i="6"/>
  <c r="M132" i="6" a="1"/>
  <c r="M132" i="6"/>
  <c r="N132" i="6" a="1"/>
  <c r="N132" i="6" s="1"/>
  <c r="O132" i="6"/>
  <c r="S132" i="6" s="1"/>
  <c r="P132" i="6"/>
  <c r="Q132" i="6"/>
  <c r="R132" i="6"/>
  <c r="AB132" i="6" s="1"/>
  <c r="B133" i="6"/>
  <c r="C133" i="6"/>
  <c r="G133" i="6"/>
  <c r="E133" i="6" s="1"/>
  <c r="H133" i="6"/>
  <c r="I133" i="6"/>
  <c r="J133" i="6"/>
  <c r="K133" i="6"/>
  <c r="L133" i="6"/>
  <c r="M133" i="6" a="1"/>
  <c r="M133" i="6"/>
  <c r="N133" i="6" a="1"/>
  <c r="N133" i="6"/>
  <c r="O133" i="6"/>
  <c r="P133" i="6"/>
  <c r="Q133" i="6"/>
  <c r="R133" i="6"/>
  <c r="AB133" i="6" s="1"/>
  <c r="B134" i="6"/>
  <c r="C134" i="6"/>
  <c r="G134" i="6"/>
  <c r="E134" i="6" s="1"/>
  <c r="H134" i="6"/>
  <c r="I134" i="6"/>
  <c r="J134" i="6"/>
  <c r="K134" i="6"/>
  <c r="L134" i="6"/>
  <c r="M134" i="6" a="1"/>
  <c r="M134" i="6"/>
  <c r="N134" i="6" a="1"/>
  <c r="N134" i="6"/>
  <c r="O134" i="6"/>
  <c r="P134" i="6"/>
  <c r="Q134" i="6"/>
  <c r="R134" i="6"/>
  <c r="A135" i="6"/>
  <c r="B135" i="6"/>
  <c r="C135" i="6"/>
  <c r="G135" i="6"/>
  <c r="E135" i="6" s="1"/>
  <c r="H135" i="6"/>
  <c r="I135" i="6"/>
  <c r="J135" i="6"/>
  <c r="K135" i="6"/>
  <c r="L135" i="6"/>
  <c r="M135" i="6" a="1"/>
  <c r="M135" i="6"/>
  <c r="N135" i="6" a="1"/>
  <c r="N135" i="6"/>
  <c r="O135" i="6"/>
  <c r="P135" i="6"/>
  <c r="Q135" i="6"/>
  <c r="R135" i="6"/>
  <c r="AB135" i="6" s="1"/>
  <c r="B136" i="6"/>
  <c r="C136" i="6"/>
  <c r="G136" i="6"/>
  <c r="E136" i="6" s="1"/>
  <c r="H136" i="6"/>
  <c r="I136" i="6"/>
  <c r="J136" i="6"/>
  <c r="K136" i="6"/>
  <c r="L136" i="6"/>
  <c r="M136" i="6" a="1"/>
  <c r="M136" i="6"/>
  <c r="N136" i="6" a="1"/>
  <c r="N136" i="6"/>
  <c r="S136" i="6" s="1"/>
  <c r="O136" i="6"/>
  <c r="P136" i="6"/>
  <c r="Q136" i="6"/>
  <c r="R136" i="6"/>
  <c r="AB136" i="6" s="1"/>
  <c r="A137" i="6"/>
  <c r="B137" i="6"/>
  <c r="C137" i="6"/>
  <c r="G137" i="6"/>
  <c r="E137" i="6" s="1"/>
  <c r="H137" i="6"/>
  <c r="I137" i="6"/>
  <c r="J137" i="6"/>
  <c r="K137" i="6"/>
  <c r="L137" i="6"/>
  <c r="M137" i="6" a="1"/>
  <c r="M137" i="6"/>
  <c r="N137" i="6" a="1"/>
  <c r="N137" i="6"/>
  <c r="O137" i="6"/>
  <c r="P137" i="6"/>
  <c r="Q137" i="6"/>
  <c r="R137" i="6"/>
  <c r="B138" i="6"/>
  <c r="C138" i="6"/>
  <c r="G138" i="6"/>
  <c r="E138" i="6" s="1"/>
  <c r="H138" i="6"/>
  <c r="I138" i="6"/>
  <c r="J138" i="6"/>
  <c r="K138" i="6"/>
  <c r="L138" i="6"/>
  <c r="M138" i="6" a="1"/>
  <c r="M138" i="6"/>
  <c r="N138" i="6" a="1"/>
  <c r="N138" i="6" s="1"/>
  <c r="O138" i="6"/>
  <c r="P138" i="6"/>
  <c r="S138" i="6" s="1"/>
  <c r="Q138" i="6"/>
  <c r="R138" i="6"/>
  <c r="AB138" i="6" s="1"/>
  <c r="B139" i="6"/>
  <c r="C139" i="6"/>
  <c r="G139" i="6"/>
  <c r="I139" i="6"/>
  <c r="J139" i="6"/>
  <c r="K139" i="6"/>
  <c r="L139" i="6"/>
  <c r="M139" i="6" a="1"/>
  <c r="M139" i="6"/>
  <c r="N139" i="6" a="1"/>
  <c r="N139" i="6" s="1"/>
  <c r="S139" i="6" s="1"/>
  <c r="O139" i="6"/>
  <c r="P139" i="6"/>
  <c r="Q139" i="6"/>
  <c r="R139" i="6"/>
  <c r="AB139" i="6" s="1"/>
  <c r="B140" i="6"/>
  <c r="C140" i="6"/>
  <c r="G140" i="6"/>
  <c r="H140" i="6" s="1"/>
  <c r="K140" i="6"/>
  <c r="L140" i="6"/>
  <c r="M140" i="6" a="1"/>
  <c r="M140" i="6"/>
  <c r="N140" i="6" a="1"/>
  <c r="N140" i="6"/>
  <c r="O140" i="6"/>
  <c r="P140" i="6"/>
  <c r="Q140" i="6"/>
  <c r="R140" i="6"/>
  <c r="B141" i="6"/>
  <c r="C141" i="6"/>
  <c r="G141" i="6"/>
  <c r="H141" i="6"/>
  <c r="J141" i="6"/>
  <c r="K141" i="6"/>
  <c r="L141" i="6"/>
  <c r="M141" i="6" a="1"/>
  <c r="M141" i="6"/>
  <c r="N141" i="6" a="1"/>
  <c r="N141" i="6" s="1"/>
  <c r="S141" i="6" s="1"/>
  <c r="O141" i="6"/>
  <c r="P141" i="6"/>
  <c r="Q141" i="6"/>
  <c r="R141" i="6"/>
  <c r="AB141" i="6" s="1"/>
  <c r="B142" i="6"/>
  <c r="C142" i="6"/>
  <c r="G142" i="6"/>
  <c r="H142" i="6"/>
  <c r="I142" i="6"/>
  <c r="K142" i="6"/>
  <c r="L142" i="6"/>
  <c r="M142" i="6" a="1"/>
  <c r="M142" i="6"/>
  <c r="N142" i="6" a="1"/>
  <c r="N142" i="6"/>
  <c r="S142" i="6" s="1"/>
  <c r="O142" i="6"/>
  <c r="P142" i="6"/>
  <c r="Q142" i="6"/>
  <c r="R142" i="6"/>
  <c r="AB142" i="6" s="1"/>
  <c r="B143" i="6"/>
  <c r="C143" i="6"/>
  <c r="G143" i="6"/>
  <c r="H143" i="6"/>
  <c r="I143" i="6"/>
  <c r="K143" i="6"/>
  <c r="L143" i="6"/>
  <c r="M143" i="6" a="1"/>
  <c r="M143" i="6"/>
  <c r="N143" i="6" a="1"/>
  <c r="N143" i="6"/>
  <c r="O143" i="6"/>
  <c r="P143" i="6"/>
  <c r="Q143" i="6"/>
  <c r="R143" i="6"/>
  <c r="B144" i="6"/>
  <c r="C144" i="6"/>
  <c r="G144" i="6"/>
  <c r="I144" i="6" s="1"/>
  <c r="K144" i="6"/>
  <c r="L144" i="6"/>
  <c r="M144" i="6" a="1"/>
  <c r="M144" i="6"/>
  <c r="N144" i="6" a="1"/>
  <c r="N144" i="6" s="1"/>
  <c r="O144" i="6"/>
  <c r="S144" i="6" s="1"/>
  <c r="P144" i="6"/>
  <c r="Q144" i="6"/>
  <c r="R144" i="6"/>
  <c r="AB144" i="6" s="1"/>
  <c r="B145" i="6"/>
  <c r="C145" i="6"/>
  <c r="G145" i="6"/>
  <c r="J145" i="6" s="1"/>
  <c r="K145" i="6"/>
  <c r="L145" i="6"/>
  <c r="M145" i="6" a="1"/>
  <c r="M145" i="6"/>
  <c r="N145" i="6" a="1"/>
  <c r="N145" i="6"/>
  <c r="O145" i="6"/>
  <c r="P145" i="6"/>
  <c r="Q145" i="6"/>
  <c r="R145" i="6"/>
  <c r="B146" i="6"/>
  <c r="C146" i="6"/>
  <c r="G146" i="6"/>
  <c r="H146" i="6"/>
  <c r="I146" i="6"/>
  <c r="K146" i="6"/>
  <c r="L146" i="6"/>
  <c r="M146" i="6" a="1"/>
  <c r="M146" i="6"/>
  <c r="N146" i="6" a="1"/>
  <c r="N146" i="6"/>
  <c r="O146" i="6"/>
  <c r="P146" i="6"/>
  <c r="Q146" i="6"/>
  <c r="R146" i="6"/>
  <c r="B147" i="6"/>
  <c r="C147" i="6"/>
  <c r="G147" i="6"/>
  <c r="J147" i="6" s="1"/>
  <c r="I147" i="6"/>
  <c r="K147" i="6"/>
  <c r="L147" i="6"/>
  <c r="M147" i="6" a="1"/>
  <c r="M147" i="6"/>
  <c r="N147" i="6" a="1"/>
  <c r="N147" i="6"/>
  <c r="O147" i="6"/>
  <c r="P147" i="6"/>
  <c r="Q147" i="6"/>
  <c r="R147" i="6"/>
  <c r="B148" i="6"/>
  <c r="C148" i="6"/>
  <c r="G148" i="6"/>
  <c r="J148" i="6" s="1"/>
  <c r="H148" i="6"/>
  <c r="K148" i="6"/>
  <c r="L148" i="6"/>
  <c r="M148" i="6" a="1"/>
  <c r="M148" i="6"/>
  <c r="N148" i="6" a="1"/>
  <c r="N148" i="6" s="1"/>
  <c r="O148" i="6"/>
  <c r="P148" i="6"/>
  <c r="Q148" i="6"/>
  <c r="R148" i="6"/>
  <c r="AB148" i="6" s="1"/>
  <c r="S148" i="6"/>
  <c r="A149" i="6"/>
  <c r="B149" i="6"/>
  <c r="C149" i="6"/>
  <c r="G149" i="6"/>
  <c r="H149" i="6"/>
  <c r="I149" i="6"/>
  <c r="K149" i="6"/>
  <c r="L149" i="6"/>
  <c r="M149" i="6" a="1"/>
  <c r="M149" i="6"/>
  <c r="N149" i="6" a="1"/>
  <c r="N149" i="6"/>
  <c r="O149" i="6"/>
  <c r="P149" i="6"/>
  <c r="Q149" i="6"/>
  <c r="R149" i="6"/>
  <c r="B150" i="6"/>
  <c r="C150" i="6"/>
  <c r="G150" i="6"/>
  <c r="I150" i="6"/>
  <c r="K150" i="6"/>
  <c r="L150" i="6"/>
  <c r="M150" i="6" a="1"/>
  <c r="M150" i="6"/>
  <c r="N150" i="6" a="1"/>
  <c r="N150" i="6" s="1"/>
  <c r="O150" i="6"/>
  <c r="P150" i="6"/>
  <c r="Q150" i="6"/>
  <c r="R150" i="6"/>
  <c r="B151" i="6"/>
  <c r="C151" i="6"/>
  <c r="G151" i="6"/>
  <c r="E151" i="6" s="1"/>
  <c r="I151" i="6"/>
  <c r="K151" i="6"/>
  <c r="L151" i="6"/>
  <c r="M151" i="6" a="1"/>
  <c r="M151" i="6"/>
  <c r="N151" i="6" a="1"/>
  <c r="N151" i="6"/>
  <c r="S151" i="6" s="1"/>
  <c r="O151" i="6"/>
  <c r="P151" i="6"/>
  <c r="Q151" i="6"/>
  <c r="R151" i="6"/>
  <c r="AB151" i="6" s="1"/>
  <c r="B152" i="6"/>
  <c r="C152" i="6"/>
  <c r="G152" i="6"/>
  <c r="E152" i="6" s="1"/>
  <c r="H152" i="6"/>
  <c r="I152" i="6"/>
  <c r="J152" i="6"/>
  <c r="K152" i="6"/>
  <c r="L152" i="6"/>
  <c r="M152" i="6" a="1"/>
  <c r="M152" i="6"/>
  <c r="N152" i="6" a="1"/>
  <c r="N152" i="6"/>
  <c r="O152" i="6"/>
  <c r="P152" i="6"/>
  <c r="Q152" i="6"/>
  <c r="R152" i="6"/>
  <c r="A153" i="6"/>
  <c r="B153" i="6"/>
  <c r="C153" i="6"/>
  <c r="G153" i="6"/>
  <c r="I153" i="6"/>
  <c r="J153" i="6"/>
  <c r="K153" i="6"/>
  <c r="L153" i="6"/>
  <c r="M153" i="6" a="1"/>
  <c r="M153" i="6"/>
  <c r="N153" i="6" a="1"/>
  <c r="N153" i="6"/>
  <c r="O153" i="6"/>
  <c r="P153" i="6"/>
  <c r="Q153" i="6"/>
  <c r="R153" i="6"/>
  <c r="AB153" i="6" s="1"/>
  <c r="B154" i="6"/>
  <c r="C154" i="6"/>
  <c r="G154" i="6"/>
  <c r="K154" i="6"/>
  <c r="L154" i="6"/>
  <c r="M154" i="6" a="1"/>
  <c r="M154" i="6"/>
  <c r="N154" i="6" a="1"/>
  <c r="N154" i="6" s="1"/>
  <c r="S154" i="6" s="1"/>
  <c r="O154" i="6"/>
  <c r="P154" i="6"/>
  <c r="Q154" i="6"/>
  <c r="R154" i="6"/>
  <c r="AB154" i="6" s="1"/>
  <c r="B155" i="6"/>
  <c r="C155" i="6"/>
  <c r="G155" i="6"/>
  <c r="E155" i="6" s="1"/>
  <c r="H155" i="6"/>
  <c r="I155" i="6"/>
  <c r="J155" i="6"/>
  <c r="K155" i="6"/>
  <c r="L155" i="6"/>
  <c r="M155" i="6" a="1"/>
  <c r="M155" i="6"/>
  <c r="N155" i="6" a="1"/>
  <c r="N155" i="6"/>
  <c r="O155" i="6"/>
  <c r="P155" i="6"/>
  <c r="Q155" i="6"/>
  <c r="R155" i="6"/>
  <c r="B156" i="6"/>
  <c r="C156" i="6"/>
  <c r="G156" i="6"/>
  <c r="E156" i="6" s="1"/>
  <c r="H156" i="6"/>
  <c r="I156" i="6"/>
  <c r="J156" i="6"/>
  <c r="K156" i="6"/>
  <c r="L156" i="6"/>
  <c r="M156" i="6" a="1"/>
  <c r="M156" i="6"/>
  <c r="N156" i="6" a="1"/>
  <c r="N156" i="6" s="1"/>
  <c r="O156" i="6"/>
  <c r="P156" i="6"/>
  <c r="Q156" i="6"/>
  <c r="R156" i="6"/>
  <c r="AB156" i="6" s="1"/>
  <c r="S156" i="6"/>
  <c r="B157" i="6"/>
  <c r="C157" i="6"/>
  <c r="G157" i="6"/>
  <c r="E157" i="6" s="1"/>
  <c r="H157" i="6"/>
  <c r="I157" i="6"/>
  <c r="J157" i="6"/>
  <c r="K157" i="6"/>
  <c r="L157" i="6"/>
  <c r="M157" i="6" a="1"/>
  <c r="M157" i="6"/>
  <c r="N157" i="6" a="1"/>
  <c r="N157" i="6"/>
  <c r="S157" i="6" s="1"/>
  <c r="O157" i="6"/>
  <c r="P157" i="6"/>
  <c r="Q157" i="6"/>
  <c r="R157" i="6"/>
  <c r="AB157" i="6" s="1"/>
  <c r="B158" i="6"/>
  <c r="C158" i="6"/>
  <c r="G158" i="6"/>
  <c r="E158" i="6" s="1"/>
  <c r="H158" i="6"/>
  <c r="I158" i="6"/>
  <c r="J158" i="6"/>
  <c r="K158" i="6"/>
  <c r="L158" i="6"/>
  <c r="M158" i="6" a="1"/>
  <c r="M158" i="6"/>
  <c r="N158" i="6" a="1"/>
  <c r="N158" i="6"/>
  <c r="O158" i="6"/>
  <c r="P158" i="6"/>
  <c r="Q158" i="6"/>
  <c r="R158" i="6"/>
  <c r="B159" i="6"/>
  <c r="C159" i="6"/>
  <c r="G159" i="6"/>
  <c r="E159" i="6" s="1"/>
  <c r="H159" i="6"/>
  <c r="I159" i="6"/>
  <c r="J159" i="6"/>
  <c r="K159" i="6"/>
  <c r="L159" i="6"/>
  <c r="M159" i="6" a="1"/>
  <c r="M159" i="6"/>
  <c r="N159" i="6" a="1"/>
  <c r="N159" i="6"/>
  <c r="O159" i="6"/>
  <c r="P159" i="6"/>
  <c r="Q159" i="6"/>
  <c r="R159" i="6"/>
  <c r="AB159" i="6" s="1"/>
  <c r="B160" i="6"/>
  <c r="C160" i="6"/>
  <c r="G160" i="6"/>
  <c r="E160" i="6" s="1"/>
  <c r="H160" i="6"/>
  <c r="I160" i="6"/>
  <c r="J160" i="6"/>
  <c r="K160" i="6"/>
  <c r="L160" i="6"/>
  <c r="M160" i="6" a="1"/>
  <c r="M160" i="6"/>
  <c r="N160" i="6" a="1"/>
  <c r="N160" i="6" s="1"/>
  <c r="S160" i="6" s="1"/>
  <c r="O160" i="6"/>
  <c r="P160" i="6"/>
  <c r="Q160" i="6"/>
  <c r="R160" i="6"/>
  <c r="AB160" i="6" s="1"/>
  <c r="A161" i="6"/>
  <c r="B161" i="6"/>
  <c r="C161" i="6"/>
  <c r="G161" i="6"/>
  <c r="H161" i="6" s="1"/>
  <c r="K161" i="6"/>
  <c r="L161" i="6"/>
  <c r="M161" i="6" a="1"/>
  <c r="M161" i="6"/>
  <c r="N161" i="6" a="1"/>
  <c r="N161" i="6"/>
  <c r="O161" i="6"/>
  <c r="P161" i="6"/>
  <c r="Q161" i="6"/>
  <c r="R161" i="6"/>
  <c r="B162" i="6"/>
  <c r="C162" i="6"/>
  <c r="G162" i="6"/>
  <c r="I162" i="6" s="1"/>
  <c r="J162" i="6"/>
  <c r="K162" i="6"/>
  <c r="L162" i="6"/>
  <c r="M162" i="6" a="1"/>
  <c r="M162" i="6"/>
  <c r="N162" i="6" a="1"/>
  <c r="N162" i="6" s="1"/>
  <c r="O162" i="6"/>
  <c r="P162" i="6"/>
  <c r="Q162" i="6"/>
  <c r="R162" i="6"/>
  <c r="B163" i="6"/>
  <c r="C163" i="6"/>
  <c r="G163" i="6"/>
  <c r="E163" i="6" s="1"/>
  <c r="J163" i="6"/>
  <c r="K163" i="6"/>
  <c r="L163" i="6"/>
  <c r="M163" i="6" a="1"/>
  <c r="M163" i="6"/>
  <c r="N163" i="6" a="1"/>
  <c r="N163" i="6" s="1"/>
  <c r="S163" i="6" s="1"/>
  <c r="O163" i="6"/>
  <c r="P163" i="6"/>
  <c r="Q163" i="6"/>
  <c r="R163" i="6"/>
  <c r="AB163" i="6" s="1"/>
  <c r="B164" i="6"/>
  <c r="C164" i="6"/>
  <c r="G164" i="6"/>
  <c r="H164" i="6"/>
  <c r="I164" i="6"/>
  <c r="K164" i="6"/>
  <c r="L164" i="6"/>
  <c r="M164" i="6" a="1"/>
  <c r="M164" i="6"/>
  <c r="N164" i="6" a="1"/>
  <c r="N164" i="6"/>
  <c r="O164" i="6"/>
  <c r="P164" i="6"/>
  <c r="Q164" i="6"/>
  <c r="R164" i="6"/>
  <c r="A165" i="6"/>
  <c r="B165" i="6"/>
  <c r="C165" i="6"/>
  <c r="G165" i="6"/>
  <c r="I165" i="6"/>
  <c r="K165" i="6"/>
  <c r="L165" i="6"/>
  <c r="M165" i="6" a="1"/>
  <c r="M165" i="6"/>
  <c r="N165" i="6" a="1"/>
  <c r="N165" i="6"/>
  <c r="S165" i="6" s="1"/>
  <c r="O165" i="6"/>
  <c r="P165" i="6"/>
  <c r="Q165" i="6"/>
  <c r="R165" i="6"/>
  <c r="AB165" i="6" s="1"/>
  <c r="B166" i="6"/>
  <c r="C166" i="6"/>
  <c r="G166" i="6"/>
  <c r="H166" i="6"/>
  <c r="I166" i="6"/>
  <c r="K166" i="6"/>
  <c r="L166" i="6"/>
  <c r="M166" i="6" a="1"/>
  <c r="M166" i="6"/>
  <c r="N166" i="6" a="1"/>
  <c r="N166" i="6" s="1"/>
  <c r="O166" i="6"/>
  <c r="P166" i="6"/>
  <c r="Q166" i="6"/>
  <c r="R166" i="6"/>
  <c r="AB166" i="6" s="1"/>
  <c r="S166" i="6"/>
  <c r="A167" i="6"/>
  <c r="B167" i="6"/>
  <c r="C167" i="6"/>
  <c r="G167" i="6"/>
  <c r="H167" i="6"/>
  <c r="I167" i="6"/>
  <c r="K167" i="6"/>
  <c r="L167" i="6"/>
  <c r="M167" i="6" a="1"/>
  <c r="M167" i="6"/>
  <c r="N167" i="6" a="1"/>
  <c r="N167" i="6"/>
  <c r="O167" i="6"/>
  <c r="P167" i="6"/>
  <c r="Q167" i="6"/>
  <c r="R167" i="6"/>
  <c r="B168" i="6"/>
  <c r="C168" i="6"/>
  <c r="G168" i="6"/>
  <c r="I168" i="6" s="1"/>
  <c r="K168" i="6"/>
  <c r="L168" i="6"/>
  <c r="M168" i="6" a="1"/>
  <c r="M168" i="6"/>
  <c r="N168" i="6" a="1"/>
  <c r="N168" i="6" s="1"/>
  <c r="O168" i="6"/>
  <c r="P168" i="6"/>
  <c r="Q168" i="6"/>
  <c r="R168" i="6"/>
  <c r="B169" i="6"/>
  <c r="C169" i="6"/>
  <c r="G169" i="6"/>
  <c r="J169" i="6" s="1"/>
  <c r="K169" i="6"/>
  <c r="L169" i="6"/>
  <c r="M169" i="6" a="1"/>
  <c r="M169" i="6"/>
  <c r="N169" i="6" a="1"/>
  <c r="N169" i="6" s="1"/>
  <c r="S169" i="6" s="1"/>
  <c r="O169" i="6"/>
  <c r="P169" i="6"/>
  <c r="Q169" i="6"/>
  <c r="R169" i="6"/>
  <c r="AB169" i="6" s="1"/>
  <c r="B170" i="6"/>
  <c r="C170" i="6"/>
  <c r="G170" i="6"/>
  <c r="E170" i="6" s="1"/>
  <c r="J170" i="6"/>
  <c r="K170" i="6"/>
  <c r="L170" i="6"/>
  <c r="M170" i="6" a="1"/>
  <c r="M170" i="6"/>
  <c r="N170" i="6" a="1"/>
  <c r="N170" i="6"/>
  <c r="O170" i="6"/>
  <c r="P170" i="6"/>
  <c r="Q170" i="6"/>
  <c r="R170" i="6"/>
  <c r="B171" i="6"/>
  <c r="C171" i="6"/>
  <c r="G171" i="6"/>
  <c r="E171" i="6" s="1"/>
  <c r="H171" i="6"/>
  <c r="I171" i="6"/>
  <c r="J171" i="6"/>
  <c r="K171" i="6"/>
  <c r="L171" i="6"/>
  <c r="M171" i="6" a="1"/>
  <c r="M171" i="6"/>
  <c r="N171" i="6" a="1"/>
  <c r="N171" i="6"/>
  <c r="S171" i="6" s="1"/>
  <c r="O171" i="6"/>
  <c r="P171" i="6"/>
  <c r="Q171" i="6"/>
  <c r="R171" i="6"/>
  <c r="AB171" i="6" s="1"/>
  <c r="B172" i="6"/>
  <c r="C172" i="6"/>
  <c r="G172" i="6"/>
  <c r="I172" i="6" s="1"/>
  <c r="J172" i="6"/>
  <c r="K172" i="6"/>
  <c r="L172" i="6"/>
  <c r="M172" i="6" a="1"/>
  <c r="M172" i="6"/>
  <c r="N172" i="6" a="1"/>
  <c r="N172" i="6"/>
  <c r="S172" i="6" s="1"/>
  <c r="O172" i="6"/>
  <c r="P172" i="6"/>
  <c r="Q172" i="6"/>
  <c r="R172" i="6"/>
  <c r="AB172" i="6" s="1"/>
  <c r="B173" i="6"/>
  <c r="C173" i="6"/>
  <c r="G173" i="6"/>
  <c r="H173" i="6"/>
  <c r="J173" i="6"/>
  <c r="K173" i="6"/>
  <c r="L173" i="6"/>
  <c r="M173" i="6" a="1"/>
  <c r="M173" i="6"/>
  <c r="N173" i="6" a="1"/>
  <c r="N173" i="6"/>
  <c r="O173" i="6"/>
  <c r="P173" i="6"/>
  <c r="Q173" i="6"/>
  <c r="R173" i="6"/>
  <c r="B174" i="6"/>
  <c r="C174" i="6"/>
  <c r="G174" i="6"/>
  <c r="H174" i="6" s="1"/>
  <c r="K174" i="6"/>
  <c r="L174" i="6"/>
  <c r="M174" i="6" a="1"/>
  <c r="M174" i="6"/>
  <c r="N174" i="6" a="1"/>
  <c r="N174" i="6" s="1"/>
  <c r="O174" i="6"/>
  <c r="S174" i="6" s="1"/>
  <c r="P174" i="6"/>
  <c r="Q174" i="6"/>
  <c r="R174" i="6"/>
  <c r="AB174" i="6" s="1"/>
  <c r="B175" i="6"/>
  <c r="C175" i="6"/>
  <c r="G175" i="6"/>
  <c r="E175" i="6" s="1"/>
  <c r="H175" i="6"/>
  <c r="I175" i="6"/>
  <c r="J175" i="6"/>
  <c r="K175" i="6"/>
  <c r="L175" i="6"/>
  <c r="M175" i="6" a="1"/>
  <c r="M175" i="6"/>
  <c r="N175" i="6" a="1"/>
  <c r="N175" i="6"/>
  <c r="O175" i="6"/>
  <c r="P175" i="6"/>
  <c r="Q175" i="6"/>
  <c r="R175" i="6"/>
  <c r="B176" i="6"/>
  <c r="C176" i="6"/>
  <c r="G176" i="6"/>
  <c r="E176" i="6" s="1"/>
  <c r="H176" i="6"/>
  <c r="I176" i="6"/>
  <c r="J176" i="6"/>
  <c r="K176" i="6"/>
  <c r="L176" i="6"/>
  <c r="M176" i="6" a="1"/>
  <c r="M176" i="6"/>
  <c r="N176" i="6" a="1"/>
  <c r="N176" i="6"/>
  <c r="O176" i="6"/>
  <c r="P176" i="6"/>
  <c r="Q176" i="6"/>
  <c r="R176" i="6"/>
  <c r="B177" i="6"/>
  <c r="C177" i="6"/>
  <c r="G177" i="6"/>
  <c r="E177" i="6" s="1"/>
  <c r="H177" i="6"/>
  <c r="I177" i="6"/>
  <c r="J177" i="6"/>
  <c r="K177" i="6"/>
  <c r="L177" i="6"/>
  <c r="M177" i="6" a="1"/>
  <c r="M177" i="6"/>
  <c r="N177" i="6" a="1"/>
  <c r="N177" i="6" s="1"/>
  <c r="O177" i="6"/>
  <c r="P177" i="6"/>
  <c r="Q177" i="6"/>
  <c r="R177" i="6"/>
  <c r="AB177" i="6" s="1"/>
  <c r="S177" i="6"/>
  <c r="B178" i="6"/>
  <c r="C178" i="6"/>
  <c r="G178" i="6"/>
  <c r="E178" i="6" s="1"/>
  <c r="H178" i="6"/>
  <c r="I178" i="6"/>
  <c r="J178" i="6"/>
  <c r="K178" i="6"/>
  <c r="L178" i="6"/>
  <c r="M178" i="6" a="1"/>
  <c r="M178" i="6"/>
  <c r="N178" i="6" a="1"/>
  <c r="N178" i="6"/>
  <c r="S178" i="6" s="1"/>
  <c r="O178" i="6"/>
  <c r="P178" i="6"/>
  <c r="Q178" i="6"/>
  <c r="R178" i="6"/>
  <c r="AB178" i="6" s="1"/>
  <c r="B179" i="6"/>
  <c r="C179" i="6"/>
  <c r="G179" i="6"/>
  <c r="E179" i="6" s="1"/>
  <c r="H179" i="6"/>
  <c r="I179" i="6"/>
  <c r="J179" i="6"/>
  <c r="K179" i="6"/>
  <c r="L179" i="6"/>
  <c r="M179" i="6" a="1"/>
  <c r="M179" i="6"/>
  <c r="N179" i="6" a="1"/>
  <c r="N179" i="6"/>
  <c r="O179" i="6"/>
  <c r="P179" i="6"/>
  <c r="Q179" i="6"/>
  <c r="R179" i="6"/>
  <c r="B180" i="6"/>
  <c r="C180" i="6"/>
  <c r="G180" i="6"/>
  <c r="E180" i="6" s="1"/>
  <c r="H180" i="6"/>
  <c r="I180" i="6"/>
  <c r="J180" i="6"/>
  <c r="K180" i="6"/>
  <c r="L180" i="6"/>
  <c r="M180" i="6" a="1"/>
  <c r="M180" i="6"/>
  <c r="N180" i="6" a="1"/>
  <c r="N180" i="6" s="1"/>
  <c r="O180" i="6"/>
  <c r="P180" i="6"/>
  <c r="S180" i="6" s="1"/>
  <c r="Q180" i="6"/>
  <c r="R180" i="6"/>
  <c r="AB180" i="6" s="1"/>
  <c r="B181" i="6"/>
  <c r="C181" i="6"/>
  <c r="G181" i="6"/>
  <c r="I181" i="6"/>
  <c r="J181" i="6"/>
  <c r="K181" i="6"/>
  <c r="L181" i="6"/>
  <c r="M181" i="6" a="1"/>
  <c r="M181" i="6"/>
  <c r="N181" i="6" a="1"/>
  <c r="N181" i="6" s="1"/>
  <c r="O181" i="6"/>
  <c r="P181" i="6"/>
  <c r="Q181" i="6"/>
  <c r="R181" i="6"/>
  <c r="B182" i="6"/>
  <c r="C182" i="6"/>
  <c r="G182" i="6"/>
  <c r="J182" i="6" s="1"/>
  <c r="K182" i="6"/>
  <c r="L182" i="6"/>
  <c r="M182" i="6" a="1"/>
  <c r="M182" i="6"/>
  <c r="N182" i="6" a="1"/>
  <c r="N182" i="6"/>
  <c r="O182" i="6"/>
  <c r="P182" i="6"/>
  <c r="Q182" i="6"/>
  <c r="R182" i="6"/>
  <c r="B183" i="6"/>
  <c r="C183" i="6"/>
  <c r="G183" i="6"/>
  <c r="K183" i="6"/>
  <c r="L183" i="6"/>
  <c r="M183" i="6" a="1"/>
  <c r="M183" i="6"/>
  <c r="N183" i="6" a="1"/>
  <c r="N183" i="6" s="1"/>
  <c r="O183" i="6"/>
  <c r="P183" i="6"/>
  <c r="Q183" i="6"/>
  <c r="R183" i="6"/>
  <c r="B184" i="6"/>
  <c r="C184" i="6"/>
  <c r="G184" i="6"/>
  <c r="I184" i="6"/>
  <c r="K184" i="6"/>
  <c r="L184" i="6"/>
  <c r="M184" i="6" a="1"/>
  <c r="M184" i="6"/>
  <c r="N184" i="6" a="1"/>
  <c r="N184" i="6" s="1"/>
  <c r="O184" i="6"/>
  <c r="P184" i="6"/>
  <c r="Q184" i="6"/>
  <c r="R184" i="6"/>
  <c r="AB184" i="6" s="1"/>
  <c r="S184" i="6"/>
  <c r="B185" i="6"/>
  <c r="C185" i="6"/>
  <c r="G185" i="6"/>
  <c r="H185" i="6"/>
  <c r="I185" i="6"/>
  <c r="K185" i="6"/>
  <c r="L185" i="6"/>
  <c r="M185" i="6" a="1"/>
  <c r="M185" i="6"/>
  <c r="N185" i="6" a="1"/>
  <c r="N185" i="6"/>
  <c r="O185" i="6"/>
  <c r="P185" i="6"/>
  <c r="Q185" i="6"/>
  <c r="R185" i="6"/>
  <c r="B186" i="6"/>
  <c r="C186" i="6"/>
  <c r="G186" i="6"/>
  <c r="H186" i="6"/>
  <c r="I186" i="6"/>
  <c r="K186" i="6"/>
  <c r="L186" i="6"/>
  <c r="M186" i="6" a="1"/>
  <c r="M186" i="6"/>
  <c r="N186" i="6" a="1"/>
  <c r="N186" i="6" s="1"/>
  <c r="O186" i="6"/>
  <c r="P186" i="6"/>
  <c r="Q186" i="6"/>
  <c r="R186" i="6"/>
  <c r="B187" i="6"/>
  <c r="C187" i="6"/>
  <c r="G187" i="6"/>
  <c r="H187" i="6"/>
  <c r="J187" i="6"/>
  <c r="K187" i="6"/>
  <c r="L187" i="6"/>
  <c r="M187" i="6" a="1"/>
  <c r="M187" i="6"/>
  <c r="N187" i="6" a="1"/>
  <c r="N187" i="6"/>
  <c r="O187" i="6"/>
  <c r="P187" i="6"/>
  <c r="Q187" i="6"/>
  <c r="R187" i="6"/>
  <c r="B188" i="6"/>
  <c r="C188" i="6"/>
  <c r="G188" i="6"/>
  <c r="J188" i="6"/>
  <c r="K188" i="6"/>
  <c r="L188" i="6"/>
  <c r="M188" i="6" a="1"/>
  <c r="M188" i="6"/>
  <c r="N188" i="6" a="1"/>
  <c r="N188" i="6"/>
  <c r="O188" i="6"/>
  <c r="P188" i="6"/>
  <c r="Q188" i="6"/>
  <c r="R188" i="6"/>
  <c r="B189" i="6"/>
  <c r="C189" i="6"/>
  <c r="G189" i="6"/>
  <c r="I189" i="6" s="1"/>
  <c r="K189" i="6"/>
  <c r="L189" i="6"/>
  <c r="M189" i="6" a="1"/>
  <c r="M189" i="6"/>
  <c r="N189" i="6" a="1"/>
  <c r="N189" i="6"/>
  <c r="O189" i="6"/>
  <c r="P189" i="6"/>
  <c r="Q189" i="6"/>
  <c r="R189" i="6"/>
  <c r="B190" i="6"/>
  <c r="C190" i="6"/>
  <c r="G190" i="6"/>
  <c r="H190" i="6"/>
  <c r="J190" i="6"/>
  <c r="K190" i="6"/>
  <c r="L190" i="6"/>
  <c r="M190" i="6" a="1"/>
  <c r="M190" i="6"/>
  <c r="N190" i="6" a="1"/>
  <c r="N190" i="6" s="1"/>
  <c r="O190" i="6"/>
  <c r="P190" i="6"/>
  <c r="Q190" i="6"/>
  <c r="R190" i="6"/>
  <c r="AB190" i="6" s="1"/>
  <c r="S190" i="6"/>
  <c r="B191" i="6"/>
  <c r="C191" i="6"/>
  <c r="G191" i="6"/>
  <c r="J191" i="6"/>
  <c r="K191" i="6"/>
  <c r="L191" i="6"/>
  <c r="M191" i="6" a="1"/>
  <c r="M191" i="6"/>
  <c r="N191" i="6" a="1"/>
  <c r="N191" i="6"/>
  <c r="O191" i="6"/>
  <c r="P191" i="6"/>
  <c r="Q191" i="6"/>
  <c r="R191" i="6"/>
  <c r="B192" i="6"/>
  <c r="C192" i="6"/>
  <c r="G192" i="6"/>
  <c r="I192" i="6" s="1"/>
  <c r="K192" i="6"/>
  <c r="L192" i="6"/>
  <c r="M192" i="6" a="1"/>
  <c r="M192" i="6"/>
  <c r="N192" i="6" a="1"/>
  <c r="N192" i="6" s="1"/>
  <c r="O192" i="6"/>
  <c r="P192" i="6"/>
  <c r="Q192" i="6"/>
  <c r="R192" i="6"/>
  <c r="AB192" i="6" s="1"/>
  <c r="S192" i="6"/>
  <c r="B193" i="6"/>
  <c r="C193" i="6"/>
  <c r="G193" i="6"/>
  <c r="H193" i="6"/>
  <c r="J193" i="6"/>
  <c r="K193" i="6"/>
  <c r="L193" i="6"/>
  <c r="M193" i="6" a="1"/>
  <c r="M193" i="6"/>
  <c r="N193" i="6" a="1"/>
  <c r="N193" i="6"/>
  <c r="S193" i="6" s="1"/>
  <c r="O193" i="6"/>
  <c r="P193" i="6"/>
  <c r="Q193" i="6"/>
  <c r="R193" i="6"/>
  <c r="AB193" i="6" s="1"/>
  <c r="A194" i="6"/>
  <c r="B194" i="6"/>
  <c r="C194" i="6"/>
  <c r="G194" i="6"/>
  <c r="J194" i="6"/>
  <c r="K194" i="6"/>
  <c r="L194" i="6"/>
  <c r="M194" i="6" a="1"/>
  <c r="M194" i="6"/>
  <c r="N194" i="6" a="1"/>
  <c r="N194" i="6"/>
  <c r="O194" i="6"/>
  <c r="P194" i="6"/>
  <c r="Q194" i="6"/>
  <c r="R194" i="6"/>
  <c r="A195" i="6"/>
  <c r="B195" i="6"/>
  <c r="C195" i="6"/>
  <c r="G195" i="6"/>
  <c r="I195" i="6" s="1"/>
  <c r="K195" i="6"/>
  <c r="L195" i="6"/>
  <c r="M195" i="6" a="1"/>
  <c r="M195" i="6"/>
  <c r="N195" i="6" a="1"/>
  <c r="N195" i="6"/>
  <c r="S195" i="6" s="1"/>
  <c r="O195" i="6"/>
  <c r="P195" i="6"/>
  <c r="Q195" i="6"/>
  <c r="R195" i="6"/>
  <c r="AB195" i="6" s="1"/>
  <c r="B196" i="6"/>
  <c r="C196" i="6"/>
  <c r="G196" i="6"/>
  <c r="H196" i="6"/>
  <c r="J196" i="6"/>
  <c r="K196" i="6"/>
  <c r="L196" i="6"/>
  <c r="M196" i="6" a="1"/>
  <c r="M196" i="6"/>
  <c r="N196" i="6" a="1"/>
  <c r="N196" i="6" s="1"/>
  <c r="S196" i="6" s="1"/>
  <c r="O196" i="6"/>
  <c r="P196" i="6"/>
  <c r="Q196" i="6"/>
  <c r="R196" i="6"/>
  <c r="AB196" i="6" s="1"/>
  <c r="B197" i="6"/>
  <c r="C197" i="6"/>
  <c r="G197" i="6"/>
  <c r="E197" i="6" s="1"/>
  <c r="H197" i="6"/>
  <c r="I197" i="6"/>
  <c r="J197" i="6"/>
  <c r="K197" i="6"/>
  <c r="L197" i="6"/>
  <c r="M197" i="6" a="1"/>
  <c r="M197" i="6"/>
  <c r="N197" i="6" a="1"/>
  <c r="N197" i="6"/>
  <c r="O197" i="6"/>
  <c r="P197" i="6"/>
  <c r="Q197" i="6"/>
  <c r="R197" i="6"/>
  <c r="B198" i="6"/>
  <c r="C198" i="6"/>
  <c r="G198" i="6"/>
  <c r="E198" i="6" s="1"/>
  <c r="I198" i="6"/>
  <c r="K198" i="6"/>
  <c r="L198" i="6"/>
  <c r="M198" i="6" a="1"/>
  <c r="M198" i="6"/>
  <c r="N198" i="6" a="1"/>
  <c r="N198" i="6" s="1"/>
  <c r="O198" i="6"/>
  <c r="P198" i="6"/>
  <c r="Q198" i="6"/>
  <c r="R198" i="6"/>
  <c r="B199" i="6"/>
  <c r="C199" i="6"/>
  <c r="G199" i="6"/>
  <c r="E199" i="6" s="1"/>
  <c r="H199" i="6"/>
  <c r="I199" i="6"/>
  <c r="J199" i="6"/>
  <c r="K199" i="6"/>
  <c r="L199" i="6"/>
  <c r="M199" i="6" a="1"/>
  <c r="M199" i="6"/>
  <c r="N199" i="6" a="1"/>
  <c r="N199" i="6" s="1"/>
  <c r="O199" i="6"/>
  <c r="P199" i="6"/>
  <c r="Q199" i="6"/>
  <c r="R199" i="6"/>
  <c r="AB199" i="6" s="1"/>
  <c r="S199" i="6"/>
  <c r="B200" i="6"/>
  <c r="C200" i="6"/>
  <c r="G200" i="6"/>
  <c r="E200" i="6" s="1"/>
  <c r="H200" i="6"/>
  <c r="I200" i="6"/>
  <c r="J200" i="6"/>
  <c r="K200" i="6"/>
  <c r="L200" i="6"/>
  <c r="M200" i="6" a="1"/>
  <c r="M200" i="6"/>
  <c r="N200" i="6" a="1"/>
  <c r="N200" i="6"/>
  <c r="O200" i="6"/>
  <c r="P200" i="6"/>
  <c r="Q200" i="6"/>
  <c r="R200" i="6"/>
  <c r="B201" i="6"/>
  <c r="C201" i="6"/>
  <c r="G201" i="6"/>
  <c r="E201" i="6" s="1"/>
  <c r="H201" i="6"/>
  <c r="I201" i="6"/>
  <c r="J201" i="6"/>
  <c r="K201" i="6"/>
  <c r="L201" i="6"/>
  <c r="M201" i="6" a="1"/>
  <c r="M201" i="6"/>
  <c r="N201" i="6" a="1"/>
  <c r="N201" i="6" s="1"/>
  <c r="O201" i="6"/>
  <c r="P201" i="6"/>
  <c r="Q201" i="6"/>
  <c r="R201" i="6"/>
  <c r="AB201" i="6" s="1"/>
  <c r="S201" i="6"/>
  <c r="B202" i="6"/>
  <c r="C202" i="6"/>
  <c r="G202" i="6"/>
  <c r="E202" i="6" s="1"/>
  <c r="H202" i="6"/>
  <c r="I202" i="6"/>
  <c r="J202" i="6"/>
  <c r="K202" i="6"/>
  <c r="L202" i="6"/>
  <c r="M202" i="6" a="1"/>
  <c r="M202" i="6"/>
  <c r="N202" i="6" a="1"/>
  <c r="N202" i="6"/>
  <c r="S202" i="6" s="1"/>
  <c r="O202" i="6"/>
  <c r="P202" i="6"/>
  <c r="Q202" i="6"/>
  <c r="R202" i="6"/>
  <c r="AB202" i="6" s="1"/>
  <c r="B203" i="6"/>
  <c r="C203" i="6"/>
  <c r="G203" i="6"/>
  <c r="E203" i="6" s="1"/>
  <c r="H203" i="6"/>
  <c r="I203" i="6"/>
  <c r="J203" i="6"/>
  <c r="K203" i="6"/>
  <c r="L203" i="6"/>
  <c r="M203" i="6" a="1"/>
  <c r="M203" i="6"/>
  <c r="N203" i="6" a="1"/>
  <c r="N203" i="6"/>
  <c r="O203" i="6"/>
  <c r="P203" i="6"/>
  <c r="Q203" i="6"/>
  <c r="R203" i="6"/>
  <c r="B204" i="6"/>
  <c r="C204" i="6"/>
  <c r="G204" i="6"/>
  <c r="E204" i="6" s="1"/>
  <c r="H204" i="6"/>
  <c r="I204" i="6"/>
  <c r="J204" i="6"/>
  <c r="K204" i="6"/>
  <c r="L204" i="6"/>
  <c r="M204" i="6" a="1"/>
  <c r="M204" i="6"/>
  <c r="N204" i="6" a="1"/>
  <c r="N204" i="6" s="1"/>
  <c r="O204" i="6"/>
  <c r="S204" i="6" s="1"/>
  <c r="P204" i="6"/>
  <c r="Q204" i="6"/>
  <c r="R204" i="6"/>
  <c r="AB204" i="6" s="1"/>
  <c r="B205" i="6"/>
  <c r="C205" i="6"/>
  <c r="G205" i="6"/>
  <c r="E205" i="6" s="1"/>
  <c r="J205" i="6"/>
  <c r="K205" i="6"/>
  <c r="L205" i="6"/>
  <c r="M205" i="6" a="1"/>
  <c r="M205" i="6"/>
  <c r="N205" i="6" a="1"/>
  <c r="N205" i="6" s="1"/>
  <c r="O205" i="6"/>
  <c r="P205" i="6"/>
  <c r="Q205" i="6"/>
  <c r="R205" i="6"/>
  <c r="AB205" i="6" s="1"/>
  <c r="S205" i="6"/>
  <c r="A206" i="6"/>
  <c r="B206" i="6"/>
  <c r="C206" i="6"/>
  <c r="G206" i="6"/>
  <c r="K206" i="6"/>
  <c r="L206" i="6"/>
  <c r="M206" i="6" a="1"/>
  <c r="M206" i="6"/>
  <c r="N206" i="6" a="1"/>
  <c r="N206" i="6"/>
  <c r="O206" i="6"/>
  <c r="P206" i="6"/>
  <c r="Q206" i="6"/>
  <c r="R206" i="6"/>
  <c r="B207" i="6"/>
  <c r="C207" i="6"/>
  <c r="G207" i="6"/>
  <c r="J207" i="6"/>
  <c r="K207" i="6"/>
  <c r="L207" i="6"/>
  <c r="M207" i="6" a="1"/>
  <c r="M207" i="6"/>
  <c r="N207" i="6" a="1"/>
  <c r="N207" i="6"/>
  <c r="O207" i="6"/>
  <c r="P207" i="6"/>
  <c r="Q207" i="6"/>
  <c r="R207" i="6"/>
  <c r="B208" i="6"/>
  <c r="C208" i="6"/>
  <c r="G208" i="6"/>
  <c r="H208" i="6" s="1"/>
  <c r="K208" i="6"/>
  <c r="L208" i="6"/>
  <c r="M208" i="6" a="1"/>
  <c r="M208" i="6"/>
  <c r="N208" i="6" a="1"/>
  <c r="N208" i="6"/>
  <c r="S208" i="6" s="1"/>
  <c r="O208" i="6"/>
  <c r="P208" i="6"/>
  <c r="Q208" i="6"/>
  <c r="R208" i="6"/>
  <c r="AB208" i="6" s="1"/>
  <c r="A209" i="6"/>
  <c r="B209" i="6"/>
  <c r="C209" i="6"/>
  <c r="G209" i="6"/>
  <c r="I209" i="6" s="1"/>
  <c r="J209" i="6"/>
  <c r="K209" i="6"/>
  <c r="L209" i="6"/>
  <c r="M209" i="6" a="1"/>
  <c r="M209" i="6"/>
  <c r="N209" i="6" a="1"/>
  <c r="N209" i="6"/>
  <c r="O209" i="6"/>
  <c r="P209" i="6"/>
  <c r="Q209" i="6"/>
  <c r="R209" i="6"/>
  <c r="B210" i="6"/>
  <c r="C210" i="6"/>
  <c r="G210" i="6"/>
  <c r="I210" i="6"/>
  <c r="J210" i="6"/>
  <c r="K210" i="6"/>
  <c r="L210" i="6"/>
  <c r="M210" i="6" a="1"/>
  <c r="M210" i="6"/>
  <c r="N210" i="6" a="1"/>
  <c r="N210" i="6" s="1"/>
  <c r="O210" i="6"/>
  <c r="P210" i="6"/>
  <c r="S210" i="6" s="1"/>
  <c r="Q210" i="6"/>
  <c r="R210" i="6"/>
  <c r="AB210" i="6" s="1"/>
  <c r="B211" i="6"/>
  <c r="C211" i="6"/>
  <c r="G211" i="6"/>
  <c r="K211" i="6"/>
  <c r="L211" i="6"/>
  <c r="M211" i="6" a="1"/>
  <c r="M211" i="6"/>
  <c r="N211" i="6" a="1"/>
  <c r="N211" i="6" s="1"/>
  <c r="O211" i="6"/>
  <c r="P211" i="6"/>
  <c r="Q211" i="6"/>
  <c r="R211" i="6"/>
  <c r="B212" i="6"/>
  <c r="C212" i="6"/>
  <c r="G212" i="6"/>
  <c r="I212" i="6"/>
  <c r="K212" i="6"/>
  <c r="L212" i="6"/>
  <c r="M212" i="6" a="1"/>
  <c r="M212" i="6"/>
  <c r="N212" i="6" a="1"/>
  <c r="N212" i="6"/>
  <c r="O212" i="6"/>
  <c r="P212" i="6"/>
  <c r="Q212" i="6"/>
  <c r="R212" i="6"/>
  <c r="B213" i="6"/>
  <c r="C213" i="6"/>
  <c r="G213" i="6"/>
  <c r="H213" i="6"/>
  <c r="K213" i="6"/>
  <c r="L213" i="6"/>
  <c r="M213" i="6" a="1"/>
  <c r="M213" i="6"/>
  <c r="N213" i="6" a="1"/>
  <c r="N213" i="6" s="1"/>
  <c r="O213" i="6"/>
  <c r="P213" i="6"/>
  <c r="Q213" i="6"/>
  <c r="R213" i="6"/>
  <c r="B214" i="6"/>
  <c r="C214" i="6"/>
  <c r="G214" i="6"/>
  <c r="H214" i="6" s="1"/>
  <c r="K214" i="6"/>
  <c r="L214" i="6"/>
  <c r="M214" i="6" a="1"/>
  <c r="M214" i="6"/>
  <c r="N214" i="6" a="1"/>
  <c r="N214" i="6" s="1"/>
  <c r="S214" i="6" s="1"/>
  <c r="O214" i="6"/>
  <c r="P214" i="6"/>
  <c r="Q214" i="6"/>
  <c r="R214" i="6"/>
  <c r="AB214" i="6" s="1"/>
  <c r="A215" i="6"/>
  <c r="B215" i="6"/>
  <c r="C215" i="6"/>
  <c r="G215" i="6"/>
  <c r="K215" i="6"/>
  <c r="L215" i="6"/>
  <c r="M215" i="6" a="1"/>
  <c r="M215" i="6"/>
  <c r="N215" i="6" a="1"/>
  <c r="N215" i="6"/>
  <c r="O215" i="6"/>
  <c r="P215" i="6"/>
  <c r="Q215" i="6"/>
  <c r="R215" i="6"/>
  <c r="B216" i="6"/>
  <c r="C216" i="6"/>
  <c r="G216" i="6"/>
  <c r="E216" i="6" s="1"/>
  <c r="I216" i="6"/>
  <c r="K216" i="6"/>
  <c r="L216" i="6"/>
  <c r="M216" i="6" a="1"/>
  <c r="M216" i="6"/>
  <c r="N216" i="6" a="1"/>
  <c r="N216" i="6" s="1"/>
  <c r="O216" i="6"/>
  <c r="P216" i="6"/>
  <c r="Q216" i="6"/>
  <c r="R216" i="6"/>
  <c r="B217" i="6"/>
  <c r="C217" i="6"/>
  <c r="G217" i="6"/>
  <c r="E217" i="6" s="1"/>
  <c r="H217" i="6"/>
  <c r="I217" i="6"/>
  <c r="J217" i="6"/>
  <c r="K217" i="6"/>
  <c r="L217" i="6"/>
  <c r="M217" i="6" a="1"/>
  <c r="M217" i="6"/>
  <c r="N217" i="6" a="1"/>
  <c r="N217" i="6"/>
  <c r="O217" i="6"/>
  <c r="P217" i="6"/>
  <c r="Q217" i="6"/>
  <c r="R217" i="6"/>
  <c r="B218" i="6"/>
  <c r="C218" i="6"/>
  <c r="G218" i="6"/>
  <c r="E218" i="6" s="1"/>
  <c r="H218" i="6"/>
  <c r="I218" i="6"/>
  <c r="J218" i="6"/>
  <c r="K218" i="6"/>
  <c r="L218" i="6"/>
  <c r="M218" i="6" a="1"/>
  <c r="M218" i="6"/>
  <c r="N218" i="6" a="1"/>
  <c r="N218" i="6"/>
  <c r="O218" i="6"/>
  <c r="P218" i="6"/>
  <c r="Q218" i="6"/>
  <c r="R218" i="6"/>
  <c r="A219" i="6"/>
  <c r="B219" i="6"/>
  <c r="C219" i="6"/>
  <c r="G219" i="6"/>
  <c r="E219" i="6" s="1"/>
  <c r="H219" i="6"/>
  <c r="I219" i="6"/>
  <c r="J219" i="6"/>
  <c r="K219" i="6"/>
  <c r="L219" i="6"/>
  <c r="M219" i="6" a="1"/>
  <c r="M219" i="6"/>
  <c r="N219" i="6" a="1"/>
  <c r="N219" i="6"/>
  <c r="O219" i="6"/>
  <c r="P219" i="6"/>
  <c r="Q219" i="6"/>
  <c r="R219" i="6"/>
  <c r="B220" i="6"/>
  <c r="C220" i="6"/>
  <c r="G220" i="6"/>
  <c r="E220" i="6" s="1"/>
  <c r="H220" i="6"/>
  <c r="I220" i="6"/>
  <c r="J220" i="6"/>
  <c r="K220" i="6"/>
  <c r="L220" i="6"/>
  <c r="M220" i="6" a="1"/>
  <c r="M220" i="6"/>
  <c r="N220" i="6" a="1"/>
  <c r="N220" i="6"/>
  <c r="S220" i="6" s="1"/>
  <c r="O220" i="6"/>
  <c r="P220" i="6"/>
  <c r="Q220" i="6"/>
  <c r="R220" i="6"/>
  <c r="AB220" i="6" s="1"/>
  <c r="A221" i="6"/>
  <c r="B221" i="6"/>
  <c r="C221" i="6"/>
  <c r="G221" i="6"/>
  <c r="E221" i="6" s="1"/>
  <c r="H221" i="6"/>
  <c r="I221" i="6"/>
  <c r="J221" i="6"/>
  <c r="K221" i="6"/>
  <c r="L221" i="6"/>
  <c r="M221" i="6" a="1"/>
  <c r="M221" i="6"/>
  <c r="N221" i="6" a="1"/>
  <c r="N221" i="6"/>
  <c r="O221" i="6"/>
  <c r="P221" i="6"/>
  <c r="Q221" i="6"/>
  <c r="R221" i="6"/>
  <c r="B222" i="6"/>
  <c r="C222" i="6"/>
  <c r="G222" i="6"/>
  <c r="E222" i="6" s="1"/>
  <c r="H222" i="6"/>
  <c r="I222" i="6"/>
  <c r="J222" i="6"/>
  <c r="K222" i="6"/>
  <c r="L222" i="6"/>
  <c r="M222" i="6" a="1"/>
  <c r="M222" i="6"/>
  <c r="N222" i="6" a="1"/>
  <c r="N222" i="6" s="1"/>
  <c r="O222" i="6"/>
  <c r="P222" i="6"/>
  <c r="Q222" i="6"/>
  <c r="R222" i="6"/>
  <c r="AB222" i="6" s="1"/>
  <c r="S222" i="6"/>
  <c r="B223" i="6"/>
  <c r="C223" i="6"/>
  <c r="G223" i="6"/>
  <c r="E223" i="6" s="1"/>
  <c r="H223" i="6"/>
  <c r="I223" i="6"/>
  <c r="J223" i="6"/>
  <c r="K223" i="6"/>
  <c r="L223" i="6"/>
  <c r="M223" i="6" a="1"/>
  <c r="M223" i="6"/>
  <c r="N223" i="6" a="1"/>
  <c r="N223" i="6"/>
  <c r="S223" i="6" s="1"/>
  <c r="O223" i="6"/>
  <c r="P223" i="6"/>
  <c r="Q223" i="6"/>
  <c r="R223" i="6"/>
  <c r="AB223" i="6" s="1"/>
  <c r="B224" i="6"/>
  <c r="C224" i="6"/>
  <c r="G224" i="6"/>
  <c r="E224" i="6" s="1"/>
  <c r="H224" i="6"/>
  <c r="I224" i="6"/>
  <c r="J224" i="6"/>
  <c r="K224" i="6"/>
  <c r="L224" i="6"/>
  <c r="M224" i="6" a="1"/>
  <c r="M224" i="6"/>
  <c r="N224" i="6" a="1"/>
  <c r="N224" i="6"/>
  <c r="O224" i="6"/>
  <c r="P224" i="6"/>
  <c r="Q224" i="6"/>
  <c r="R224" i="6"/>
  <c r="A225" i="6"/>
  <c r="B225" i="6"/>
  <c r="C225" i="6"/>
  <c r="G225" i="6"/>
  <c r="E225" i="6" s="1"/>
  <c r="H225" i="6"/>
  <c r="I225" i="6"/>
  <c r="J225" i="6"/>
  <c r="K225" i="6"/>
  <c r="L225" i="6"/>
  <c r="M225" i="6" a="1"/>
  <c r="M225" i="6"/>
  <c r="N225" i="6" a="1"/>
  <c r="N225" i="6"/>
  <c r="O225" i="6"/>
  <c r="P225" i="6"/>
  <c r="Q225" i="6"/>
  <c r="R225" i="6"/>
  <c r="AB225" i="6" s="1"/>
  <c r="B226" i="6"/>
  <c r="C226" i="6"/>
  <c r="G226" i="6"/>
  <c r="E226" i="6" s="1"/>
  <c r="H226" i="6"/>
  <c r="I226" i="6"/>
  <c r="J226" i="6"/>
  <c r="K226" i="6"/>
  <c r="L226" i="6"/>
  <c r="M226" i="6" a="1"/>
  <c r="M226" i="6"/>
  <c r="N226" i="6" a="1"/>
  <c r="N226" i="6" s="1"/>
  <c r="O226" i="6"/>
  <c r="P226" i="6"/>
  <c r="Q226" i="6"/>
  <c r="R226" i="6"/>
  <c r="AB226" i="6" s="1"/>
  <c r="S226" i="6"/>
  <c r="A227" i="6"/>
  <c r="B227" i="6"/>
  <c r="C227" i="6"/>
  <c r="G227" i="6"/>
  <c r="E227" i="6" s="1"/>
  <c r="H227" i="6"/>
  <c r="I227" i="6"/>
  <c r="J227" i="6"/>
  <c r="K227" i="6"/>
  <c r="L227" i="6"/>
  <c r="M227" i="6" a="1"/>
  <c r="M227" i="6"/>
  <c r="N227" i="6" a="1"/>
  <c r="N227" i="6"/>
  <c r="O227" i="6"/>
  <c r="P227" i="6"/>
  <c r="Q227" i="6"/>
  <c r="R227" i="6"/>
  <c r="B228" i="6"/>
  <c r="C228" i="6"/>
  <c r="G228" i="6"/>
  <c r="E228" i="6" s="1"/>
  <c r="H228" i="6"/>
  <c r="I228" i="6"/>
  <c r="J228" i="6"/>
  <c r="K228" i="6"/>
  <c r="L228" i="6"/>
  <c r="M228" i="6" a="1"/>
  <c r="M228" i="6"/>
  <c r="N228" i="6" a="1"/>
  <c r="N228" i="6" s="1"/>
  <c r="O228" i="6"/>
  <c r="P228" i="6"/>
  <c r="Q228" i="6"/>
  <c r="R228" i="6"/>
  <c r="AB228" i="6" s="1"/>
  <c r="S228" i="6"/>
  <c r="B229" i="6"/>
  <c r="C229" i="6"/>
  <c r="G229" i="6"/>
  <c r="E229" i="6" s="1"/>
  <c r="H229" i="6"/>
  <c r="I229" i="6"/>
  <c r="J229" i="6"/>
  <c r="K229" i="6"/>
  <c r="L229" i="6"/>
  <c r="M229" i="6" a="1"/>
  <c r="M229" i="6"/>
  <c r="N229" i="6" a="1"/>
  <c r="N229" i="6"/>
  <c r="S229" i="6" s="1"/>
  <c r="O229" i="6"/>
  <c r="P229" i="6"/>
  <c r="Q229" i="6"/>
  <c r="R229" i="6"/>
  <c r="AB229" i="6" s="1"/>
  <c r="B230" i="6"/>
  <c r="C230" i="6"/>
  <c r="G230" i="6"/>
  <c r="E230" i="6" s="1"/>
  <c r="H230" i="6"/>
  <c r="I230" i="6"/>
  <c r="J230" i="6"/>
  <c r="K230" i="6"/>
  <c r="L230" i="6"/>
  <c r="M230" i="6" a="1"/>
  <c r="M230" i="6"/>
  <c r="N230" i="6" a="1"/>
  <c r="N230" i="6"/>
  <c r="O230" i="6"/>
  <c r="P230" i="6"/>
  <c r="Q230" i="6"/>
  <c r="R230" i="6"/>
  <c r="A231" i="6"/>
  <c r="B231" i="6"/>
  <c r="C231" i="6"/>
  <c r="G231" i="6"/>
  <c r="E231" i="6" s="1"/>
  <c r="H231" i="6"/>
  <c r="I231" i="6"/>
  <c r="J231" i="6"/>
  <c r="K231" i="6"/>
  <c r="L231" i="6"/>
  <c r="M231" i="6" a="1"/>
  <c r="M231" i="6"/>
  <c r="N231" i="6" a="1"/>
  <c r="N231" i="6"/>
  <c r="O231" i="6"/>
  <c r="P231" i="6"/>
  <c r="Q231" i="6"/>
  <c r="R231" i="6"/>
  <c r="AB231" i="6" s="1"/>
  <c r="B232" i="6"/>
  <c r="C232" i="6"/>
  <c r="G232" i="6"/>
  <c r="E232" i="6" s="1"/>
  <c r="H232" i="6"/>
  <c r="I232" i="6"/>
  <c r="J232" i="6"/>
  <c r="K232" i="6"/>
  <c r="L232" i="6"/>
  <c r="M232" i="6" a="1"/>
  <c r="M232" i="6"/>
  <c r="N232" i="6" a="1"/>
  <c r="N232" i="6" s="1"/>
  <c r="S232" i="6" s="1"/>
  <c r="O232" i="6"/>
  <c r="P232" i="6"/>
  <c r="Q232" i="6"/>
  <c r="R232" i="6"/>
  <c r="AB232" i="6" s="1"/>
  <c r="B233" i="6"/>
  <c r="C233" i="6"/>
  <c r="G233" i="6"/>
  <c r="I233" i="6"/>
  <c r="J233" i="6"/>
  <c r="K233" i="6"/>
  <c r="L233" i="6"/>
  <c r="M233" i="6" a="1"/>
  <c r="M233" i="6"/>
  <c r="N233" i="6" a="1"/>
  <c r="N233" i="6"/>
  <c r="O233" i="6"/>
  <c r="P233" i="6"/>
  <c r="Q233" i="6"/>
  <c r="R233" i="6"/>
  <c r="A234" i="6"/>
  <c r="B234" i="6"/>
  <c r="C234" i="6"/>
  <c r="G234" i="6"/>
  <c r="K234" i="6"/>
  <c r="L234" i="6"/>
  <c r="M234" i="6" a="1"/>
  <c r="M234" i="6"/>
  <c r="N234" i="6" a="1"/>
  <c r="N234" i="6" s="1"/>
  <c r="O234" i="6"/>
  <c r="P234" i="6"/>
  <c r="Q234" i="6"/>
  <c r="R234" i="6"/>
  <c r="B235" i="6"/>
  <c r="C235" i="6"/>
  <c r="G235" i="6"/>
  <c r="K235" i="6"/>
  <c r="L235" i="6"/>
  <c r="M235" i="6" a="1"/>
  <c r="M235" i="6"/>
  <c r="N235" i="6" a="1"/>
  <c r="N235" i="6" s="1"/>
  <c r="O235" i="6"/>
  <c r="P235" i="6"/>
  <c r="Q235" i="6"/>
  <c r="R235" i="6"/>
  <c r="AB235" i="6" s="1"/>
  <c r="S235" i="6"/>
  <c r="B236" i="6"/>
  <c r="C236" i="6"/>
  <c r="G236" i="6"/>
  <c r="I236" i="6" s="1"/>
  <c r="H236" i="6"/>
  <c r="J236" i="6"/>
  <c r="K236" i="6"/>
  <c r="L236" i="6"/>
  <c r="M236" i="6" a="1"/>
  <c r="M236" i="6"/>
  <c r="N236" i="6" a="1"/>
  <c r="N236" i="6"/>
  <c r="O236" i="6"/>
  <c r="P236" i="6"/>
  <c r="Q236" i="6"/>
  <c r="R236" i="6"/>
  <c r="B237" i="6"/>
  <c r="C237" i="6"/>
  <c r="G237" i="6"/>
  <c r="H237" i="6" s="1"/>
  <c r="J237" i="6"/>
  <c r="K237" i="6"/>
  <c r="L237" i="6"/>
  <c r="M237" i="6" a="1"/>
  <c r="M237" i="6"/>
  <c r="N237" i="6" a="1"/>
  <c r="N237" i="6" s="1"/>
  <c r="O237" i="6"/>
  <c r="P237" i="6"/>
  <c r="Q237" i="6"/>
  <c r="R237" i="6"/>
  <c r="AB237" i="6" s="1"/>
  <c r="S237" i="6"/>
  <c r="B238" i="6"/>
  <c r="C238" i="6"/>
  <c r="G238" i="6"/>
  <c r="H238" i="6"/>
  <c r="J238" i="6"/>
  <c r="K238" i="6"/>
  <c r="L238" i="6"/>
  <c r="M238" i="6" a="1"/>
  <c r="M238" i="6"/>
  <c r="N238" i="6" a="1"/>
  <c r="N238" i="6"/>
  <c r="S238" i="6" s="1"/>
  <c r="O238" i="6"/>
  <c r="P238" i="6"/>
  <c r="Q238" i="6"/>
  <c r="R238" i="6"/>
  <c r="AB238" i="6" s="1"/>
  <c r="B239" i="6"/>
  <c r="C239" i="6"/>
  <c r="G239" i="6"/>
  <c r="E239" i="6" s="1"/>
  <c r="J239" i="6"/>
  <c r="K239" i="6"/>
  <c r="L239" i="6"/>
  <c r="M239" i="6" a="1"/>
  <c r="M239" i="6"/>
  <c r="N239" i="6" a="1"/>
  <c r="N239" i="6"/>
  <c r="O239" i="6"/>
  <c r="P239" i="6"/>
  <c r="Q239" i="6"/>
  <c r="R239" i="6"/>
  <c r="B240" i="6"/>
  <c r="C240" i="6"/>
  <c r="G240" i="6"/>
  <c r="H240" i="6"/>
  <c r="K240" i="6"/>
  <c r="L240" i="6"/>
  <c r="M240" i="6" a="1"/>
  <c r="M240" i="6"/>
  <c r="N240" i="6" a="1"/>
  <c r="N240" i="6" s="1"/>
  <c r="O240" i="6"/>
  <c r="S240" i="6" s="1"/>
  <c r="P240" i="6"/>
  <c r="Q240" i="6"/>
  <c r="R240" i="6"/>
  <c r="AB240" i="6" s="1"/>
  <c r="B241" i="6"/>
  <c r="C241" i="6"/>
  <c r="G241" i="6"/>
  <c r="E241" i="6" s="1"/>
  <c r="H241" i="6"/>
  <c r="K241" i="6"/>
  <c r="L241" i="6"/>
  <c r="M241" i="6" a="1"/>
  <c r="M241" i="6"/>
  <c r="N241" i="6" a="1"/>
  <c r="N241" i="6"/>
  <c r="O241" i="6"/>
  <c r="P241" i="6"/>
  <c r="Q241" i="6"/>
  <c r="R241" i="6"/>
  <c r="B242" i="6"/>
  <c r="C242" i="6"/>
  <c r="G242" i="6"/>
  <c r="H242" i="6"/>
  <c r="J242" i="6"/>
  <c r="K242" i="6"/>
  <c r="L242" i="6"/>
  <c r="M242" i="6" a="1"/>
  <c r="M242" i="6" s="1"/>
  <c r="N242" i="6" a="1"/>
  <c r="N242" i="6"/>
  <c r="O242" i="6"/>
  <c r="P242" i="6"/>
  <c r="Q242" i="6"/>
  <c r="R242" i="6"/>
  <c r="AB242" i="6"/>
  <c r="B243" i="6"/>
  <c r="C243" i="6"/>
  <c r="G243" i="6"/>
  <c r="I243" i="6" s="1"/>
  <c r="K243" i="6"/>
  <c r="L243" i="6"/>
  <c r="M243" i="6" a="1"/>
  <c r="M243" i="6" s="1"/>
  <c r="N243" i="6" a="1"/>
  <c r="N243" i="6" s="1"/>
  <c r="O243" i="6"/>
  <c r="P243" i="6"/>
  <c r="Q243" i="6"/>
  <c r="AB243" i="6" s="1"/>
  <c r="R243" i="6"/>
  <c r="S243" i="6"/>
  <c r="A244" i="6"/>
  <c r="B244" i="6"/>
  <c r="C244" i="6"/>
  <c r="G244" i="6"/>
  <c r="I244" i="6"/>
  <c r="J244" i="6"/>
  <c r="K244" i="6"/>
  <c r="L244" i="6"/>
  <c r="M244" i="6" a="1"/>
  <c r="M244" i="6"/>
  <c r="N244" i="6" a="1"/>
  <c r="N244" i="6"/>
  <c r="S244" i="6" s="1"/>
  <c r="O244" i="6"/>
  <c r="P244" i="6"/>
  <c r="Q244" i="6"/>
  <c r="R244" i="6"/>
  <c r="AB244" i="6"/>
  <c r="A245" i="6"/>
  <c r="B245" i="6"/>
  <c r="C245" i="6"/>
  <c r="G245" i="6"/>
  <c r="K245" i="6"/>
  <c r="L245" i="6"/>
  <c r="M245" i="6" a="1"/>
  <c r="M245" i="6" s="1"/>
  <c r="N245" i="6" a="1"/>
  <c r="N245" i="6"/>
  <c r="O245" i="6"/>
  <c r="P245" i="6"/>
  <c r="Q245" i="6"/>
  <c r="R245" i="6"/>
  <c r="A246" i="6"/>
  <c r="B246" i="6"/>
  <c r="C246" i="6"/>
  <c r="G246" i="6"/>
  <c r="K246" i="6"/>
  <c r="L246" i="6"/>
  <c r="M246" i="6" a="1"/>
  <c r="M246" i="6" s="1"/>
  <c r="N246" i="6" a="1"/>
  <c r="N246" i="6"/>
  <c r="O246" i="6"/>
  <c r="P246" i="6"/>
  <c r="Q246" i="6"/>
  <c r="R246" i="6"/>
  <c r="AB246" i="6"/>
  <c r="A247" i="6"/>
  <c r="B247" i="6"/>
  <c r="C247" i="6"/>
  <c r="G247" i="6"/>
  <c r="I247" i="6"/>
  <c r="K247" i="6"/>
  <c r="L247" i="6"/>
  <c r="M247" i="6" a="1"/>
  <c r="M247" i="6"/>
  <c r="N247" i="6" a="1"/>
  <c r="N247" i="6" s="1"/>
  <c r="S247" i="6" s="1"/>
  <c r="O247" i="6"/>
  <c r="P247" i="6"/>
  <c r="Q247" i="6"/>
  <c r="R247" i="6"/>
  <c r="AB247" i="6" s="1"/>
  <c r="A248" i="6"/>
  <c r="B248" i="6"/>
  <c r="C248" i="6"/>
  <c r="G248" i="6"/>
  <c r="H248" i="6"/>
  <c r="J248" i="6"/>
  <c r="K248" i="6"/>
  <c r="L248" i="6"/>
  <c r="M248" i="6" a="1"/>
  <c r="M248" i="6" s="1"/>
  <c r="N248" i="6" a="1"/>
  <c r="N248" i="6"/>
  <c r="O248" i="6"/>
  <c r="P248" i="6"/>
  <c r="Q248" i="6"/>
  <c r="R248" i="6"/>
  <c r="A249" i="6"/>
  <c r="B249" i="6"/>
  <c r="C249" i="6"/>
  <c r="G249" i="6"/>
  <c r="E249" i="6" s="1"/>
  <c r="H249" i="6"/>
  <c r="J249" i="6"/>
  <c r="K249" i="6"/>
  <c r="L249" i="6"/>
  <c r="M249" i="6" a="1"/>
  <c r="M249" i="6"/>
  <c r="N249" i="6" a="1"/>
  <c r="N249" i="6"/>
  <c r="O249" i="6"/>
  <c r="P249" i="6"/>
  <c r="Q249" i="6"/>
  <c r="R249" i="6"/>
  <c r="A250" i="6"/>
  <c r="B250" i="6"/>
  <c r="C250" i="6"/>
  <c r="G250" i="6"/>
  <c r="H250" i="6"/>
  <c r="J250" i="6"/>
  <c r="K250" i="6"/>
  <c r="L250" i="6"/>
  <c r="M250" i="6" a="1"/>
  <c r="M250" i="6"/>
  <c r="N250" i="6" a="1"/>
  <c r="N250" i="6"/>
  <c r="O250" i="6"/>
  <c r="P250" i="6"/>
  <c r="Q250" i="6"/>
  <c r="R250" i="6"/>
  <c r="AB250" i="6"/>
  <c r="A251" i="6"/>
  <c r="B251" i="6"/>
  <c r="C251" i="6"/>
  <c r="G251" i="6"/>
  <c r="K251" i="6"/>
  <c r="L251" i="6"/>
  <c r="M251" i="6" a="1"/>
  <c r="M251" i="6"/>
  <c r="N251" i="6" a="1"/>
  <c r="N251" i="6"/>
  <c r="O251" i="6"/>
  <c r="P251" i="6"/>
  <c r="Q251" i="6"/>
  <c r="R251" i="6"/>
  <c r="A252" i="6"/>
  <c r="B252" i="6"/>
  <c r="C252" i="6"/>
  <c r="G252" i="6"/>
  <c r="J252" i="6" s="1"/>
  <c r="K252" i="6"/>
  <c r="L252" i="6"/>
  <c r="M252" i="6" a="1"/>
  <c r="M252" i="6" s="1"/>
  <c r="N252" i="6" a="1"/>
  <c r="N252" i="6"/>
  <c r="O252" i="6"/>
  <c r="P252" i="6"/>
  <c r="Q252" i="6"/>
  <c r="R252" i="6"/>
  <c r="A253" i="6"/>
  <c r="B253" i="6"/>
  <c r="C253" i="6"/>
  <c r="G253" i="6"/>
  <c r="K253" i="6"/>
  <c r="L253" i="6"/>
  <c r="M253" i="6" a="1"/>
  <c r="M253" i="6"/>
  <c r="N253" i="6" a="1"/>
  <c r="N253" i="6"/>
  <c r="O253" i="6"/>
  <c r="P253" i="6"/>
  <c r="Q253" i="6"/>
  <c r="R253" i="6"/>
  <c r="A254" i="6"/>
  <c r="B254" i="6"/>
  <c r="C254" i="6"/>
  <c r="G254" i="6"/>
  <c r="H254" i="6" s="1"/>
  <c r="J254" i="6"/>
  <c r="K254" i="6"/>
  <c r="L254" i="6"/>
  <c r="M254" i="6" a="1"/>
  <c r="M254" i="6" s="1"/>
  <c r="N254" i="6" a="1"/>
  <c r="N254" i="6"/>
  <c r="O254" i="6"/>
  <c r="P254" i="6"/>
  <c r="Q254" i="6"/>
  <c r="R254" i="6"/>
  <c r="AB254" i="6"/>
  <c r="A255" i="6"/>
  <c r="B255" i="6"/>
  <c r="C255" i="6"/>
  <c r="G255" i="6"/>
  <c r="K255" i="6"/>
  <c r="L255" i="6"/>
  <c r="M255" i="6" a="1"/>
  <c r="M255" i="6" s="1"/>
  <c r="N255" i="6" a="1"/>
  <c r="N255" i="6" s="1"/>
  <c r="O255" i="6"/>
  <c r="P255" i="6"/>
  <c r="Q255" i="6"/>
  <c r="AB255" i="6" s="1"/>
  <c r="R255" i="6"/>
  <c r="S255" i="6"/>
  <c r="A256" i="6"/>
  <c r="B256" i="6"/>
  <c r="C256" i="6"/>
  <c r="G256" i="6"/>
  <c r="E256" i="6" s="1"/>
  <c r="H256" i="6"/>
  <c r="I256" i="6"/>
  <c r="J256" i="6"/>
  <c r="K256" i="6"/>
  <c r="L256" i="6"/>
  <c r="M256" i="6" a="1"/>
  <c r="M256" i="6"/>
  <c r="N256" i="6" a="1"/>
  <c r="N256" i="6"/>
  <c r="O256" i="6"/>
  <c r="P256" i="6"/>
  <c r="Q256" i="6"/>
  <c r="R256" i="6"/>
  <c r="AB256" i="6"/>
  <c r="A257" i="6"/>
  <c r="B257" i="6"/>
  <c r="C257" i="6"/>
  <c r="G257" i="6"/>
  <c r="H257" i="6"/>
  <c r="J257" i="6"/>
  <c r="K257" i="6"/>
  <c r="L257" i="6"/>
  <c r="M257" i="6" a="1"/>
  <c r="M257" i="6" s="1"/>
  <c r="N257" i="6" a="1"/>
  <c r="N257" i="6"/>
  <c r="O257" i="6"/>
  <c r="P257" i="6"/>
  <c r="Q257" i="6"/>
  <c r="R257" i="6"/>
  <c r="A258" i="6"/>
  <c r="B258" i="6"/>
  <c r="C258" i="6"/>
  <c r="G258" i="6"/>
  <c r="K258" i="6"/>
  <c r="L258" i="6"/>
  <c r="M258" i="6" a="1"/>
  <c r="M258" i="6" s="1"/>
  <c r="N258" i="6" a="1"/>
  <c r="N258" i="6"/>
  <c r="O258" i="6"/>
  <c r="P258" i="6"/>
  <c r="Q258" i="6"/>
  <c r="R258" i="6"/>
  <c r="AB258" i="6"/>
  <c r="A259" i="6"/>
  <c r="B259" i="6"/>
  <c r="C259" i="6"/>
  <c r="G259" i="6"/>
  <c r="I259" i="6"/>
  <c r="J259" i="6"/>
  <c r="K259" i="6"/>
  <c r="L259" i="6"/>
  <c r="M259" i="6" a="1"/>
  <c r="M259" i="6"/>
  <c r="N259" i="6" a="1"/>
  <c r="N259" i="6" s="1"/>
  <c r="O259" i="6"/>
  <c r="P259" i="6"/>
  <c r="Q259" i="6"/>
  <c r="R259" i="6"/>
  <c r="AB259" i="6" s="1"/>
  <c r="S259" i="6"/>
  <c r="A260" i="6"/>
  <c r="B260" i="6"/>
  <c r="C260" i="6"/>
  <c r="G260" i="6"/>
  <c r="H260" i="6"/>
  <c r="J260" i="6"/>
  <c r="K260" i="6"/>
  <c r="L260" i="6"/>
  <c r="M260" i="6" a="1"/>
  <c r="M260" i="6" s="1"/>
  <c r="N260" i="6" a="1"/>
  <c r="N260" i="6"/>
  <c r="O260" i="6"/>
  <c r="P260" i="6"/>
  <c r="Q260" i="6"/>
  <c r="R260" i="6"/>
  <c r="A261" i="6"/>
  <c r="B261" i="6"/>
  <c r="C261" i="6"/>
  <c r="G261" i="6"/>
  <c r="H261" i="6" s="1"/>
  <c r="I261" i="6"/>
  <c r="K261" i="6"/>
  <c r="L261" i="6"/>
  <c r="M261" i="6" a="1"/>
  <c r="M261" i="6"/>
  <c r="N261" i="6" a="1"/>
  <c r="N261" i="6"/>
  <c r="O261" i="6"/>
  <c r="P261" i="6"/>
  <c r="Q261" i="6"/>
  <c r="R261" i="6"/>
  <c r="A262" i="6"/>
  <c r="B262" i="6"/>
  <c r="C262" i="6"/>
  <c r="G262" i="6"/>
  <c r="E262" i="6" s="1"/>
  <c r="H262" i="6"/>
  <c r="I262" i="6"/>
  <c r="J262" i="6"/>
  <c r="K262" i="6"/>
  <c r="L262" i="6"/>
  <c r="M262" i="6" a="1"/>
  <c r="M262" i="6"/>
  <c r="N262" i="6" a="1"/>
  <c r="N262" i="6"/>
  <c r="O262" i="6"/>
  <c r="P262" i="6"/>
  <c r="Q262" i="6"/>
  <c r="R262" i="6"/>
  <c r="AB262" i="6"/>
  <c r="A263" i="6"/>
  <c r="B263" i="6"/>
  <c r="C263" i="6"/>
  <c r="G263" i="6"/>
  <c r="K263" i="6"/>
  <c r="L263" i="6"/>
  <c r="M263" i="6" a="1"/>
  <c r="M263" i="6"/>
  <c r="N263" i="6" a="1"/>
  <c r="N263" i="6"/>
  <c r="O263" i="6"/>
  <c r="P263" i="6"/>
  <c r="Q263" i="6"/>
  <c r="R263" i="6"/>
  <c r="A264" i="6"/>
  <c r="B264" i="6"/>
  <c r="C264" i="6"/>
  <c r="G264" i="6"/>
  <c r="J264" i="6" s="1"/>
  <c r="K264" i="6"/>
  <c r="L264" i="6"/>
  <c r="M264" i="6" a="1"/>
  <c r="M264" i="6" s="1"/>
  <c r="N264" i="6" a="1"/>
  <c r="N264" i="6"/>
  <c r="O264" i="6"/>
  <c r="P264" i="6"/>
  <c r="Q264" i="6"/>
  <c r="R264" i="6"/>
  <c r="A265" i="6"/>
  <c r="B265" i="6"/>
  <c r="C265" i="6"/>
  <c r="G265" i="6"/>
  <c r="E265" i="6" s="1"/>
  <c r="H265" i="6"/>
  <c r="I265" i="6"/>
  <c r="J265" i="6"/>
  <c r="K265" i="6"/>
  <c r="L265" i="6"/>
  <c r="M265" i="6" a="1"/>
  <c r="M265" i="6"/>
  <c r="N265" i="6" a="1"/>
  <c r="N265" i="6"/>
  <c r="O265" i="6"/>
  <c r="P265" i="6"/>
  <c r="Q265" i="6"/>
  <c r="R265" i="6"/>
  <c r="A266" i="6"/>
  <c r="B266" i="6"/>
  <c r="C266" i="6"/>
  <c r="G266" i="6"/>
  <c r="H266" i="6" s="1"/>
  <c r="J266" i="6"/>
  <c r="K266" i="6"/>
  <c r="L266" i="6"/>
  <c r="M266" i="6" a="1"/>
  <c r="M266" i="6" s="1"/>
  <c r="N266" i="6" a="1"/>
  <c r="N266" i="6"/>
  <c r="O266" i="6"/>
  <c r="P266" i="6"/>
  <c r="Q266" i="6"/>
  <c r="R266" i="6"/>
  <c r="AB266" i="6"/>
  <c r="A267" i="6"/>
  <c r="B267" i="6"/>
  <c r="C267" i="6"/>
  <c r="G267" i="6"/>
  <c r="K267" i="6"/>
  <c r="L267" i="6"/>
  <c r="M267" i="6" a="1"/>
  <c r="M267" i="6" s="1"/>
  <c r="N267" i="6" a="1"/>
  <c r="N267" i="6" s="1"/>
  <c r="O267" i="6"/>
  <c r="P267" i="6"/>
  <c r="Q267" i="6"/>
  <c r="AB267" i="6" s="1"/>
  <c r="R267" i="6"/>
  <c r="S267" i="6"/>
  <c r="A268" i="6"/>
  <c r="B268" i="6"/>
  <c r="C268" i="6"/>
  <c r="G268" i="6"/>
  <c r="H268" i="6"/>
  <c r="J268" i="6"/>
  <c r="K268" i="6"/>
  <c r="L268" i="6"/>
  <c r="M268" i="6" a="1"/>
  <c r="M268" i="6"/>
  <c r="N268" i="6" a="1"/>
  <c r="N268" i="6"/>
  <c r="O268" i="6"/>
  <c r="P268" i="6"/>
  <c r="Q268" i="6"/>
  <c r="R268" i="6"/>
  <c r="AB268" i="6"/>
  <c r="A269" i="6"/>
  <c r="B269" i="6"/>
  <c r="C269" i="6"/>
  <c r="G269" i="6"/>
  <c r="J269" i="6" s="1"/>
  <c r="H269" i="6"/>
  <c r="K269" i="6"/>
  <c r="L269" i="6"/>
  <c r="M269" i="6" a="1"/>
  <c r="M269" i="6" s="1"/>
  <c r="N269" i="6" a="1"/>
  <c r="N269" i="6"/>
  <c r="O269" i="6"/>
  <c r="P269" i="6"/>
  <c r="Q269" i="6"/>
  <c r="R269" i="6"/>
  <c r="A270" i="6"/>
  <c r="B270" i="6"/>
  <c r="C270" i="6"/>
  <c r="G270" i="6"/>
  <c r="K270" i="6"/>
  <c r="L270" i="6"/>
  <c r="M270" i="6" a="1"/>
  <c r="M270" i="6" s="1"/>
  <c r="N270" i="6" a="1"/>
  <c r="N270" i="6"/>
  <c r="O270" i="6"/>
  <c r="P270" i="6"/>
  <c r="Q270" i="6"/>
  <c r="R270" i="6"/>
  <c r="AB270" i="6"/>
  <c r="A271" i="6"/>
  <c r="B271" i="6"/>
  <c r="C271" i="6"/>
  <c r="G271" i="6"/>
  <c r="K271" i="6"/>
  <c r="L271" i="6"/>
  <c r="M271" i="6" a="1"/>
  <c r="M271" i="6"/>
  <c r="N271" i="6" a="1"/>
  <c r="N271" i="6" s="1"/>
  <c r="S271" i="6" s="1"/>
  <c r="O271" i="6"/>
  <c r="P271" i="6"/>
  <c r="Q271" i="6"/>
  <c r="R271" i="6"/>
  <c r="AB271" i="6" s="1"/>
  <c r="A272" i="6"/>
  <c r="B272" i="6"/>
  <c r="C272" i="6"/>
  <c r="G272" i="6"/>
  <c r="H272" i="6"/>
  <c r="J272" i="6"/>
  <c r="K272" i="6"/>
  <c r="L272" i="6"/>
  <c r="M272" i="6" a="1"/>
  <c r="M272" i="6" s="1"/>
  <c r="N272" i="6" a="1"/>
  <c r="N272" i="6"/>
  <c r="O272" i="6"/>
  <c r="P272" i="6"/>
  <c r="Q272" i="6"/>
  <c r="R272" i="6"/>
  <c r="A273" i="6"/>
  <c r="B273" i="6"/>
  <c r="C273" i="6"/>
  <c r="G273" i="6"/>
  <c r="K273" i="6"/>
  <c r="L273" i="6"/>
  <c r="M273" i="6" a="1"/>
  <c r="M273" i="6"/>
  <c r="N273" i="6" a="1"/>
  <c r="N273" i="6"/>
  <c r="O273" i="6"/>
  <c r="P273" i="6"/>
  <c r="Q273" i="6"/>
  <c r="R273" i="6"/>
  <c r="A274" i="6"/>
  <c r="B274" i="6"/>
  <c r="C274" i="6"/>
  <c r="G274" i="6"/>
  <c r="H274" i="6"/>
  <c r="I274" i="6"/>
  <c r="K274" i="6"/>
  <c r="L274" i="6"/>
  <c r="M274" i="6" a="1"/>
  <c r="M274" i="6"/>
  <c r="N274" i="6" a="1"/>
  <c r="N274" i="6"/>
  <c r="O274" i="6"/>
  <c r="P274" i="6"/>
  <c r="Q274" i="6"/>
  <c r="R274" i="6"/>
  <c r="AB274" i="6"/>
  <c r="A275" i="6"/>
  <c r="B275" i="6"/>
  <c r="C275" i="6"/>
  <c r="G275" i="6"/>
  <c r="J275" i="6" s="1"/>
  <c r="K275" i="6"/>
  <c r="L275" i="6"/>
  <c r="M275" i="6" a="1"/>
  <c r="M275" i="6"/>
  <c r="N275" i="6" a="1"/>
  <c r="N275" i="6"/>
  <c r="O275" i="6"/>
  <c r="P275" i="6"/>
  <c r="Q275" i="6"/>
  <c r="R275" i="6"/>
  <c r="A276" i="6"/>
  <c r="B276" i="6"/>
  <c r="C276" i="6"/>
  <c r="G276" i="6"/>
  <c r="J276" i="6" s="1"/>
  <c r="K276" i="6"/>
  <c r="L276" i="6"/>
  <c r="M276" i="6" a="1"/>
  <c r="M276" i="6" s="1"/>
  <c r="N276" i="6" a="1"/>
  <c r="N276" i="6"/>
  <c r="O276" i="6"/>
  <c r="P276" i="6"/>
  <c r="Q276" i="6"/>
  <c r="R276" i="6"/>
  <c r="A277" i="6"/>
  <c r="B277" i="6"/>
  <c r="C277" i="6"/>
  <c r="G277" i="6"/>
  <c r="E277" i="6" s="1"/>
  <c r="K277" i="6"/>
  <c r="L277" i="6"/>
  <c r="M277" i="6" a="1"/>
  <c r="M277" i="6"/>
  <c r="N277" i="6" a="1"/>
  <c r="N277" i="6"/>
  <c r="O277" i="6"/>
  <c r="P277" i="6"/>
  <c r="Q277" i="6"/>
  <c r="R277" i="6"/>
  <c r="A278" i="6"/>
  <c r="B278" i="6"/>
  <c r="C278" i="6"/>
  <c r="G278" i="6"/>
  <c r="H278" i="6"/>
  <c r="J278" i="6"/>
  <c r="K278" i="6"/>
  <c r="L278" i="6"/>
  <c r="M278" i="6" a="1"/>
  <c r="M278" i="6" s="1"/>
  <c r="N278" i="6" a="1"/>
  <c r="N278" i="6"/>
  <c r="O278" i="6"/>
  <c r="P278" i="6"/>
  <c r="Q278" i="6"/>
  <c r="R278" i="6"/>
  <c r="AB278" i="6"/>
  <c r="A279" i="6"/>
  <c r="B279" i="6"/>
  <c r="C279" i="6"/>
  <c r="G279" i="6"/>
  <c r="I279" i="6"/>
  <c r="K279" i="6"/>
  <c r="L279" i="6"/>
  <c r="M279" i="6" a="1"/>
  <c r="M279" i="6" s="1"/>
  <c r="N279" i="6" a="1"/>
  <c r="N279" i="6" s="1"/>
  <c r="O279" i="6"/>
  <c r="P279" i="6"/>
  <c r="Q279" i="6"/>
  <c r="AB279" i="6" s="1"/>
  <c r="R279" i="6"/>
  <c r="S279" i="6"/>
  <c r="A280" i="6"/>
  <c r="B280" i="6"/>
  <c r="C280" i="6"/>
  <c r="G280" i="6"/>
  <c r="E280" i="6" s="1"/>
  <c r="H280" i="6"/>
  <c r="I280" i="6"/>
  <c r="J280" i="6"/>
  <c r="K280" i="6"/>
  <c r="L280" i="6"/>
  <c r="M280" i="6" a="1"/>
  <c r="M280" i="6"/>
  <c r="N280" i="6" a="1"/>
  <c r="N280" i="6"/>
  <c r="S280" i="6" s="1"/>
  <c r="O280" i="6"/>
  <c r="P280" i="6"/>
  <c r="Q280" i="6"/>
  <c r="R280" i="6"/>
  <c r="AB280" i="6"/>
  <c r="A281" i="6"/>
  <c r="B281" i="6"/>
  <c r="C281" i="6"/>
  <c r="G281" i="6"/>
  <c r="J281" i="6" s="1"/>
  <c r="H281" i="6"/>
  <c r="K281" i="6"/>
  <c r="L281" i="6"/>
  <c r="M281" i="6" a="1"/>
  <c r="M281" i="6" s="1"/>
  <c r="N281" i="6" a="1"/>
  <c r="N281" i="6"/>
  <c r="O281" i="6"/>
  <c r="P281" i="6"/>
  <c r="Q281" i="6"/>
  <c r="R281" i="6"/>
  <c r="A282" i="6"/>
  <c r="B282" i="6"/>
  <c r="C282" i="6"/>
  <c r="G282" i="6"/>
  <c r="K282" i="6"/>
  <c r="L282" i="6"/>
  <c r="M282" i="6" a="1"/>
  <c r="M282" i="6" s="1"/>
  <c r="N282" i="6" a="1"/>
  <c r="N282" i="6"/>
  <c r="O282" i="6"/>
  <c r="P282" i="6"/>
  <c r="Q282" i="6"/>
  <c r="R282" i="6"/>
  <c r="AB282" i="6"/>
  <c r="A283" i="6"/>
  <c r="B283" i="6"/>
  <c r="C283" i="6"/>
  <c r="G283" i="6"/>
  <c r="H283" i="6" s="1"/>
  <c r="J283" i="6"/>
  <c r="K283" i="6"/>
  <c r="L283" i="6"/>
  <c r="M283" i="6" a="1"/>
  <c r="M283" i="6"/>
  <c r="N283" i="6" a="1"/>
  <c r="N283" i="6" s="1"/>
  <c r="S283" i="6" s="1"/>
  <c r="O283" i="6"/>
  <c r="P283" i="6"/>
  <c r="Q283" i="6"/>
  <c r="R283" i="6"/>
  <c r="AB283" i="6" s="1"/>
  <c r="A284" i="6"/>
  <c r="B284" i="6"/>
  <c r="C284" i="6"/>
  <c r="G284" i="6"/>
  <c r="H284" i="6" s="1"/>
  <c r="K284" i="6"/>
  <c r="L284" i="6"/>
  <c r="M284" i="6" a="1"/>
  <c r="M284" i="6" s="1"/>
  <c r="N284" i="6" a="1"/>
  <c r="N284" i="6"/>
  <c r="O284" i="6"/>
  <c r="P284" i="6"/>
  <c r="Q284" i="6"/>
  <c r="R284" i="6"/>
  <c r="A285" i="6"/>
  <c r="B285" i="6"/>
  <c r="C285" i="6"/>
  <c r="G285" i="6"/>
  <c r="J285" i="6"/>
  <c r="K285" i="6"/>
  <c r="L285" i="6"/>
  <c r="M285" i="6" a="1"/>
  <c r="M285" i="6"/>
  <c r="N285" i="6" a="1"/>
  <c r="N285" i="6"/>
  <c r="O285" i="6"/>
  <c r="P285" i="6"/>
  <c r="Q285" i="6"/>
  <c r="R285" i="6"/>
  <c r="A286" i="6"/>
  <c r="B286" i="6"/>
  <c r="C286" i="6"/>
  <c r="G286" i="6"/>
  <c r="K286" i="6"/>
  <c r="L286" i="6"/>
  <c r="M286" i="6" a="1"/>
  <c r="M286" i="6"/>
  <c r="N286" i="6" a="1"/>
  <c r="N286" i="6"/>
  <c r="O286" i="6"/>
  <c r="P286" i="6"/>
  <c r="Q286" i="6"/>
  <c r="R286" i="6"/>
  <c r="AB286" i="6"/>
  <c r="A287" i="6"/>
  <c r="B287" i="6"/>
  <c r="C287" i="6"/>
  <c r="G287" i="6"/>
  <c r="K287" i="6"/>
  <c r="L287" i="6"/>
  <c r="M287" i="6" a="1"/>
  <c r="M287" i="6"/>
  <c r="N287" i="6" a="1"/>
  <c r="N287" i="6"/>
  <c r="O287" i="6"/>
  <c r="P287" i="6"/>
  <c r="Q287" i="6"/>
  <c r="R287" i="6"/>
  <c r="A288" i="6"/>
  <c r="B288" i="6"/>
  <c r="C288" i="6"/>
  <c r="G288" i="6"/>
  <c r="J288" i="6" s="1"/>
  <c r="K288" i="6"/>
  <c r="L288" i="6"/>
  <c r="M288" i="6" a="1"/>
  <c r="M288" i="6" s="1"/>
  <c r="N288" i="6" a="1"/>
  <c r="N288" i="6"/>
  <c r="O288" i="6"/>
  <c r="P288" i="6"/>
  <c r="Q288" i="6"/>
  <c r="R288" i="6"/>
  <c r="A289" i="6"/>
  <c r="B289" i="6"/>
  <c r="C289" i="6"/>
  <c r="G289" i="6"/>
  <c r="E289" i="6" s="1"/>
  <c r="H289" i="6"/>
  <c r="I289" i="6"/>
  <c r="J289" i="6"/>
  <c r="K289" i="6"/>
  <c r="L289" i="6"/>
  <c r="M289" i="6" a="1"/>
  <c r="M289" i="6"/>
  <c r="N289" i="6" a="1"/>
  <c r="N289" i="6"/>
  <c r="O289" i="6"/>
  <c r="P289" i="6"/>
  <c r="Q289" i="6"/>
  <c r="R289" i="6"/>
  <c r="A290" i="6"/>
  <c r="B290" i="6"/>
  <c r="C290" i="6"/>
  <c r="G290" i="6"/>
  <c r="H290" i="6"/>
  <c r="J290" i="6"/>
  <c r="K290" i="6"/>
  <c r="L290" i="6"/>
  <c r="M290" i="6" a="1"/>
  <c r="M290" i="6" s="1"/>
  <c r="N290" i="6" a="1"/>
  <c r="N290" i="6"/>
  <c r="O290" i="6"/>
  <c r="P290" i="6"/>
  <c r="Q290" i="6"/>
  <c r="R290" i="6"/>
  <c r="AB290" i="6"/>
  <c r="A291" i="6"/>
  <c r="B291" i="6"/>
  <c r="C291" i="6"/>
  <c r="G291" i="6"/>
  <c r="K291" i="6"/>
  <c r="L291" i="6"/>
  <c r="M291" i="6" a="1"/>
  <c r="M291" i="6" s="1"/>
  <c r="N291" i="6" a="1"/>
  <c r="N291" i="6" s="1"/>
  <c r="O291" i="6"/>
  <c r="P291" i="6"/>
  <c r="Q291" i="6"/>
  <c r="AB291" i="6" s="1"/>
  <c r="R291" i="6"/>
  <c r="S291" i="6"/>
  <c r="A292" i="6"/>
  <c r="B292" i="6"/>
  <c r="C292" i="6"/>
  <c r="G292" i="6"/>
  <c r="K292" i="6"/>
  <c r="L292" i="6"/>
  <c r="M292" i="6" a="1"/>
  <c r="M292" i="6"/>
  <c r="N292" i="6" a="1"/>
  <c r="N292" i="6"/>
  <c r="O292" i="6"/>
  <c r="P292" i="6"/>
  <c r="Q292" i="6"/>
  <c r="R292" i="6"/>
  <c r="AB292" i="6"/>
  <c r="A293" i="6"/>
  <c r="B293" i="6"/>
  <c r="C293" i="6"/>
  <c r="G293" i="6"/>
  <c r="H293" i="6" s="1"/>
  <c r="J293" i="6"/>
  <c r="K293" i="6"/>
  <c r="L293" i="6"/>
  <c r="M293" i="6" a="1"/>
  <c r="M293" i="6" s="1"/>
  <c r="N293" i="6" a="1"/>
  <c r="N293" i="6"/>
  <c r="O293" i="6"/>
  <c r="P293" i="6"/>
  <c r="Q293" i="6"/>
  <c r="R293" i="6"/>
  <c r="A294" i="6"/>
  <c r="B294" i="6"/>
  <c r="C294" i="6"/>
  <c r="G294" i="6"/>
  <c r="K294" i="6"/>
  <c r="L294" i="6"/>
  <c r="M294" i="6" a="1"/>
  <c r="M294" i="6" s="1"/>
  <c r="N294" i="6" a="1"/>
  <c r="N294" i="6"/>
  <c r="O294" i="6"/>
  <c r="P294" i="6"/>
  <c r="Q294" i="6"/>
  <c r="R294" i="6"/>
  <c r="AB294" i="6"/>
  <c r="A295" i="6"/>
  <c r="B295" i="6"/>
  <c r="C295" i="6"/>
  <c r="G295" i="6"/>
  <c r="H295" i="6"/>
  <c r="J295" i="6"/>
  <c r="K295" i="6"/>
  <c r="L295" i="6"/>
  <c r="M295" i="6" a="1"/>
  <c r="M295" i="6"/>
  <c r="N295" i="6" a="1"/>
  <c r="N295" i="6" s="1"/>
  <c r="O295" i="6"/>
  <c r="P295" i="6"/>
  <c r="Q295" i="6"/>
  <c r="R295" i="6"/>
  <c r="AB295" i="6" s="1"/>
  <c r="S295" i="6"/>
  <c r="A296" i="6"/>
  <c r="B296" i="6"/>
  <c r="C296" i="6"/>
  <c r="G296" i="6"/>
  <c r="H296" i="6" s="1"/>
  <c r="J296" i="6"/>
  <c r="K296" i="6"/>
  <c r="L296" i="6"/>
  <c r="M296" i="6" a="1"/>
  <c r="M296" i="6" s="1"/>
  <c r="N296" i="6" a="1"/>
  <c r="N296" i="6"/>
  <c r="O296" i="6"/>
  <c r="P296" i="6"/>
  <c r="Q296" i="6"/>
  <c r="R296" i="6"/>
  <c r="A297" i="6"/>
  <c r="B297" i="6"/>
  <c r="C297" i="6"/>
  <c r="G297" i="6"/>
  <c r="E297" i="6" s="1"/>
  <c r="H297" i="6"/>
  <c r="I297" i="6"/>
  <c r="J297" i="6"/>
  <c r="K297" i="6"/>
  <c r="L297" i="6"/>
  <c r="M297" i="6" a="1"/>
  <c r="M297" i="6"/>
  <c r="N297" i="6" a="1"/>
  <c r="N297" i="6"/>
  <c r="O297" i="6"/>
  <c r="P297" i="6"/>
  <c r="Q297" i="6"/>
  <c r="R297" i="6"/>
  <c r="A298" i="6"/>
  <c r="B298" i="6"/>
  <c r="C298" i="6"/>
  <c r="G298" i="6"/>
  <c r="I298" i="6"/>
  <c r="J298" i="6"/>
  <c r="K298" i="6"/>
  <c r="L298" i="6"/>
  <c r="M298" i="6" a="1"/>
  <c r="M298" i="6"/>
  <c r="N298" i="6" a="1"/>
  <c r="N298" i="6"/>
  <c r="O298" i="6"/>
  <c r="P298" i="6"/>
  <c r="Q298" i="6"/>
  <c r="R298" i="6"/>
  <c r="AB298" i="6"/>
  <c r="A299" i="6"/>
  <c r="B299" i="6"/>
  <c r="C299" i="6"/>
  <c r="G299" i="6"/>
  <c r="K299" i="6"/>
  <c r="L299" i="6"/>
  <c r="M299" i="6" a="1"/>
  <c r="M299" i="6"/>
  <c r="N299" i="6" a="1"/>
  <c r="N299" i="6"/>
  <c r="O299" i="6"/>
  <c r="P299" i="6"/>
  <c r="Q299" i="6"/>
  <c r="R299" i="6"/>
  <c r="A300" i="6"/>
  <c r="B300" i="6"/>
  <c r="C300" i="6"/>
  <c r="G300" i="6"/>
  <c r="J300" i="6"/>
  <c r="K300" i="6"/>
  <c r="L300" i="6"/>
  <c r="M300" i="6" a="1"/>
  <c r="M300" i="6" s="1"/>
  <c r="N300" i="6" a="1"/>
  <c r="N300" i="6"/>
  <c r="O300" i="6"/>
  <c r="P300" i="6"/>
  <c r="Q300" i="6"/>
  <c r="R300" i="6"/>
  <c r="A301" i="6"/>
  <c r="B301" i="6"/>
  <c r="C301" i="6"/>
  <c r="G301" i="6"/>
  <c r="K301" i="6"/>
  <c r="L301" i="6"/>
  <c r="M301" i="6" a="1"/>
  <c r="M301" i="6"/>
  <c r="N301" i="6" a="1"/>
  <c r="N301" i="6"/>
  <c r="O301" i="6"/>
  <c r="P301" i="6"/>
  <c r="Q301" i="6"/>
  <c r="R301" i="6"/>
  <c r="A302" i="6"/>
  <c r="B302" i="6"/>
  <c r="C302" i="6"/>
  <c r="G302" i="6"/>
  <c r="H302" i="6"/>
  <c r="J302" i="6"/>
  <c r="K302" i="6"/>
  <c r="L302" i="6"/>
  <c r="M302" i="6" a="1"/>
  <c r="M302" i="6" s="1"/>
  <c r="N302" i="6" a="1"/>
  <c r="N302" i="6"/>
  <c r="O302" i="6"/>
  <c r="P302" i="6"/>
  <c r="Q302" i="6"/>
  <c r="R302" i="6"/>
  <c r="AB302" i="6"/>
  <c r="A303" i="6"/>
  <c r="B303" i="6"/>
  <c r="C303" i="6"/>
  <c r="G303" i="6"/>
  <c r="K303" i="6"/>
  <c r="L303" i="6"/>
  <c r="M303" i="6" a="1"/>
  <c r="M303" i="6" s="1"/>
  <c r="N303" i="6" a="1"/>
  <c r="N303" i="6" s="1"/>
  <c r="O303" i="6"/>
  <c r="P303" i="6"/>
  <c r="Q303" i="6"/>
  <c r="AB303" i="6" s="1"/>
  <c r="R303" i="6"/>
  <c r="S303" i="6"/>
  <c r="A304" i="6"/>
  <c r="B304" i="6"/>
  <c r="C304" i="6"/>
  <c r="G304" i="6"/>
  <c r="E304" i="6" s="1"/>
  <c r="H304" i="6"/>
  <c r="I304" i="6"/>
  <c r="J304" i="6"/>
  <c r="K304" i="6"/>
  <c r="L304" i="6"/>
  <c r="M304" i="6" a="1"/>
  <c r="M304" i="6"/>
  <c r="N304" i="6" a="1"/>
  <c r="N304" i="6"/>
  <c r="O304" i="6"/>
  <c r="P304" i="6"/>
  <c r="Q304" i="6"/>
  <c r="R304" i="6"/>
  <c r="AB304" i="6"/>
  <c r="A305" i="6"/>
  <c r="B305" i="6"/>
  <c r="C305" i="6"/>
  <c r="G305" i="6"/>
  <c r="H305" i="6"/>
  <c r="J305" i="6"/>
  <c r="K305" i="6"/>
  <c r="L305" i="6"/>
  <c r="M305" i="6" a="1"/>
  <c r="M305" i="6" s="1"/>
  <c r="N305" i="6" a="1"/>
  <c r="N305" i="6"/>
  <c r="O305" i="6"/>
  <c r="P305" i="6"/>
  <c r="Q305" i="6"/>
  <c r="R305" i="6"/>
  <c r="A306" i="6"/>
  <c r="B306" i="6"/>
  <c r="C306" i="6"/>
  <c r="G306" i="6"/>
  <c r="K306" i="6"/>
  <c r="L306" i="6"/>
  <c r="M306" i="6" a="1"/>
  <c r="M306" i="6" s="1"/>
  <c r="N306" i="6" a="1"/>
  <c r="N306" i="6"/>
  <c r="O306" i="6"/>
  <c r="P306" i="6"/>
  <c r="Q306" i="6"/>
  <c r="R306" i="6"/>
  <c r="AB306" i="6"/>
  <c r="A307" i="6"/>
  <c r="B307" i="6"/>
  <c r="C307" i="6"/>
  <c r="G307" i="6"/>
  <c r="E307" i="6" s="1"/>
  <c r="H307" i="6"/>
  <c r="I307" i="6"/>
  <c r="J307" i="6"/>
  <c r="K307" i="6"/>
  <c r="L307" i="6"/>
  <c r="M307" i="6" a="1"/>
  <c r="M307" i="6"/>
  <c r="N307" i="6" a="1"/>
  <c r="N307" i="6" s="1"/>
  <c r="S307" i="6" s="1"/>
  <c r="O307" i="6"/>
  <c r="P307" i="6"/>
  <c r="Q307" i="6"/>
  <c r="R307" i="6"/>
  <c r="AB307" i="6" s="1"/>
  <c r="A308" i="6"/>
  <c r="B308" i="6"/>
  <c r="C308" i="6"/>
  <c r="G308" i="6"/>
  <c r="J308" i="6" s="1"/>
  <c r="K308" i="6"/>
  <c r="L308" i="6"/>
  <c r="M308" i="6" a="1"/>
  <c r="M308" i="6" s="1"/>
  <c r="N308" i="6" a="1"/>
  <c r="N308" i="6"/>
  <c r="O308" i="6"/>
  <c r="P308" i="6"/>
  <c r="Q308" i="6"/>
  <c r="R308" i="6"/>
  <c r="A309" i="6"/>
  <c r="B309" i="6"/>
  <c r="C309" i="6"/>
  <c r="G309" i="6"/>
  <c r="K309" i="6"/>
  <c r="L309" i="6"/>
  <c r="M309" i="6" a="1"/>
  <c r="M309" i="6" s="1"/>
  <c r="N309" i="6" a="1"/>
  <c r="N309" i="6" s="1"/>
  <c r="O309" i="6"/>
  <c r="P309" i="6"/>
  <c r="Q309" i="6"/>
  <c r="R309" i="6"/>
  <c r="A310" i="6"/>
  <c r="B310" i="6"/>
  <c r="C310" i="6"/>
  <c r="G310" i="6"/>
  <c r="E310" i="6" s="1"/>
  <c r="H310" i="6"/>
  <c r="I310" i="6"/>
  <c r="J310" i="6"/>
  <c r="K310" i="6"/>
  <c r="L310" i="6"/>
  <c r="M310" i="6" a="1"/>
  <c r="M310" i="6"/>
  <c r="N310" i="6" a="1"/>
  <c r="N310" i="6" s="1"/>
  <c r="S310" i="6" s="1"/>
  <c r="O310" i="6"/>
  <c r="P310" i="6"/>
  <c r="Q310" i="6"/>
  <c r="R310" i="6"/>
  <c r="AB310" i="6"/>
  <c r="A311" i="6"/>
  <c r="B311" i="6"/>
  <c r="C311" i="6"/>
  <c r="G311" i="6"/>
  <c r="J311" i="6"/>
  <c r="K311" i="6"/>
  <c r="L311" i="6"/>
  <c r="M311" i="6" a="1"/>
  <c r="M311" i="6"/>
  <c r="N311" i="6" a="1"/>
  <c r="N311" i="6"/>
  <c r="O311" i="6"/>
  <c r="P311" i="6"/>
  <c r="Q311" i="6"/>
  <c r="R311" i="6"/>
  <c r="A312" i="6"/>
  <c r="B312" i="6"/>
  <c r="C312" i="6"/>
  <c r="G312" i="6"/>
  <c r="I312" i="6"/>
  <c r="K312" i="6"/>
  <c r="L312" i="6"/>
  <c r="M312" i="6" a="1"/>
  <c r="M312" i="6" s="1"/>
  <c r="N312" i="6" a="1"/>
  <c r="N312" i="6"/>
  <c r="O312" i="6"/>
  <c r="P312" i="6"/>
  <c r="Q312" i="6"/>
  <c r="R312" i="6"/>
  <c r="AB312" i="6"/>
  <c r="A313" i="6"/>
  <c r="B313" i="6"/>
  <c r="C313" i="6"/>
  <c r="G313" i="6"/>
  <c r="E313" i="6" s="1"/>
  <c r="H313" i="6"/>
  <c r="I313" i="6"/>
  <c r="J313" i="6"/>
  <c r="K313" i="6"/>
  <c r="L313" i="6"/>
  <c r="M313" i="6" a="1"/>
  <c r="M313" i="6"/>
  <c r="N313" i="6" a="1"/>
  <c r="N313" i="6" s="1"/>
  <c r="S313" i="6" s="1"/>
  <c r="O313" i="6"/>
  <c r="P313" i="6"/>
  <c r="Q313" i="6"/>
  <c r="R313" i="6"/>
  <c r="AB313" i="6"/>
  <c r="A314" i="6"/>
  <c r="B314" i="6"/>
  <c r="C314" i="6"/>
  <c r="G314" i="6"/>
  <c r="H314" i="6" s="1"/>
  <c r="K314" i="6"/>
  <c r="L314" i="6"/>
  <c r="M314" i="6" a="1"/>
  <c r="M314" i="6" s="1"/>
  <c r="N314" i="6" a="1"/>
  <c r="N314" i="6"/>
  <c r="O314" i="6"/>
  <c r="P314" i="6"/>
  <c r="Q314" i="6"/>
  <c r="R314" i="6"/>
  <c r="AB314" i="6"/>
  <c r="A315" i="6"/>
  <c r="B315" i="6"/>
  <c r="C315" i="6"/>
  <c r="G315" i="6"/>
  <c r="I315" i="6"/>
  <c r="K315" i="6"/>
  <c r="L315" i="6"/>
  <c r="M315" i="6" a="1"/>
  <c r="M315" i="6" s="1"/>
  <c r="N315" i="6" a="1"/>
  <c r="N315" i="6" s="1"/>
  <c r="O315" i="6"/>
  <c r="P315" i="6"/>
  <c r="Q315" i="6"/>
  <c r="AB315" i="6" s="1"/>
  <c r="R315" i="6"/>
  <c r="A316" i="6"/>
  <c r="B316" i="6"/>
  <c r="C316" i="6"/>
  <c r="G316" i="6"/>
  <c r="H316" i="6"/>
  <c r="J316" i="6"/>
  <c r="K316" i="6"/>
  <c r="L316" i="6"/>
  <c r="M316" i="6" a="1"/>
  <c r="M316" i="6"/>
  <c r="N316" i="6" a="1"/>
  <c r="N316" i="6" s="1"/>
  <c r="O316" i="6"/>
  <c r="P316" i="6"/>
  <c r="Q316" i="6"/>
  <c r="R316" i="6"/>
  <c r="S316" i="6"/>
  <c r="AB316" i="6"/>
  <c r="A317" i="6"/>
  <c r="B317" i="6"/>
  <c r="C317" i="6"/>
  <c r="G317" i="6"/>
  <c r="K317" i="6"/>
  <c r="L317" i="6"/>
  <c r="M317" i="6" a="1"/>
  <c r="M317" i="6"/>
  <c r="N317" i="6" a="1"/>
  <c r="N317" i="6"/>
  <c r="O317" i="6"/>
  <c r="P317" i="6"/>
  <c r="Q317" i="6"/>
  <c r="R317" i="6"/>
  <c r="A318" i="6"/>
  <c r="B318" i="6"/>
  <c r="C318" i="6"/>
  <c r="G318" i="6"/>
  <c r="I318" i="6"/>
  <c r="K318" i="6"/>
  <c r="L318" i="6"/>
  <c r="M318" i="6" a="1"/>
  <c r="M318" i="6" s="1"/>
  <c r="N318" i="6" a="1"/>
  <c r="N318" i="6"/>
  <c r="S318" i="6" s="1"/>
  <c r="O318" i="6"/>
  <c r="P318" i="6"/>
  <c r="Q318" i="6"/>
  <c r="AB318" i="6" s="1"/>
  <c r="R318" i="6"/>
  <c r="A319" i="6"/>
  <c r="B319" i="6"/>
  <c r="C319" i="6"/>
  <c r="G319" i="6"/>
  <c r="E319" i="6" s="1"/>
  <c r="H319" i="6"/>
  <c r="I319" i="6"/>
  <c r="J319" i="6"/>
  <c r="K319" i="6"/>
  <c r="L319" i="6"/>
  <c r="M319" i="6" a="1"/>
  <c r="M319" i="6"/>
  <c r="N319" i="6" a="1"/>
  <c r="N319" i="6" s="1"/>
  <c r="S319" i="6" s="1"/>
  <c r="O319" i="6"/>
  <c r="P319" i="6"/>
  <c r="Q319" i="6"/>
  <c r="R319" i="6"/>
  <c r="AB319" i="6"/>
  <c r="A320" i="6"/>
  <c r="B320" i="6"/>
  <c r="C320" i="6"/>
  <c r="G320" i="6"/>
  <c r="H320" i="6" s="1"/>
  <c r="K320" i="6"/>
  <c r="L320" i="6"/>
  <c r="M320" i="6" a="1"/>
  <c r="M320" i="6" s="1"/>
  <c r="N320" i="6" a="1"/>
  <c r="N320" i="6"/>
  <c r="O320" i="6"/>
  <c r="P320" i="6"/>
  <c r="Q320" i="6"/>
  <c r="R320" i="6"/>
  <c r="AB320" i="6"/>
  <c r="A321" i="6"/>
  <c r="B321" i="6"/>
  <c r="C321" i="6"/>
  <c r="G321" i="6"/>
  <c r="K321" i="6"/>
  <c r="L321" i="6"/>
  <c r="M321" i="6" a="1"/>
  <c r="M321" i="6" s="1"/>
  <c r="N321" i="6" a="1"/>
  <c r="N321" i="6" s="1"/>
  <c r="O321" i="6"/>
  <c r="P321" i="6"/>
  <c r="Q321" i="6"/>
  <c r="AB321" i="6" s="1"/>
  <c r="R321" i="6"/>
  <c r="S321" i="6"/>
  <c r="A322" i="6"/>
  <c r="B322" i="6"/>
  <c r="C322" i="6"/>
  <c r="G322" i="6"/>
  <c r="E322" i="6" s="1"/>
  <c r="H322" i="6"/>
  <c r="I322" i="6"/>
  <c r="J322" i="6"/>
  <c r="K322" i="6"/>
  <c r="L322" i="6"/>
  <c r="M322" i="6" a="1"/>
  <c r="M322" i="6"/>
  <c r="N322" i="6" a="1"/>
  <c r="N322" i="6" s="1"/>
  <c r="O322" i="6"/>
  <c r="P322" i="6"/>
  <c r="Q322" i="6"/>
  <c r="R322" i="6"/>
  <c r="S322" i="6"/>
  <c r="AB322" i="6"/>
  <c r="A323" i="6"/>
  <c r="B323" i="6"/>
  <c r="C323" i="6"/>
  <c r="G323" i="6"/>
  <c r="K323" i="6"/>
  <c r="L323" i="6"/>
  <c r="M323" i="6" a="1"/>
  <c r="M323" i="6"/>
  <c r="N323" i="6" a="1"/>
  <c r="N323" i="6"/>
  <c r="O323" i="6"/>
  <c r="P323" i="6"/>
  <c r="Q323" i="6"/>
  <c r="R323" i="6"/>
  <c r="A324" i="6"/>
  <c r="B324" i="6"/>
  <c r="C324" i="6"/>
  <c r="G324" i="6"/>
  <c r="I324" i="6" s="1"/>
  <c r="K324" i="6"/>
  <c r="L324" i="6"/>
  <c r="M324" i="6" a="1"/>
  <c r="M324" i="6" s="1"/>
  <c r="N324" i="6" a="1"/>
  <c r="N324" i="6"/>
  <c r="O324" i="6"/>
  <c r="P324" i="6"/>
  <c r="Q324" i="6"/>
  <c r="AB324" i="6" s="1"/>
  <c r="R324" i="6"/>
  <c r="A325" i="6"/>
  <c r="B325" i="6"/>
  <c r="C325" i="6"/>
  <c r="G325" i="6"/>
  <c r="H325" i="6"/>
  <c r="J325" i="6"/>
  <c r="K325" i="6"/>
  <c r="L325" i="6"/>
  <c r="M325" i="6" a="1"/>
  <c r="M325" i="6"/>
  <c r="N325" i="6" a="1"/>
  <c r="N325" i="6" s="1"/>
  <c r="O325" i="6"/>
  <c r="P325" i="6"/>
  <c r="Q325" i="6"/>
  <c r="R325" i="6"/>
  <c r="S325" i="6"/>
  <c r="AB325" i="6"/>
  <c r="A326" i="6"/>
  <c r="B326" i="6"/>
  <c r="C326" i="6"/>
  <c r="G326" i="6"/>
  <c r="H326" i="6"/>
  <c r="J326" i="6"/>
  <c r="K326" i="6"/>
  <c r="L326" i="6"/>
  <c r="M326" i="6" a="1"/>
  <c r="M326" i="6" s="1"/>
  <c r="N326" i="6" a="1"/>
  <c r="N326" i="6"/>
  <c r="O326" i="6"/>
  <c r="P326" i="6"/>
  <c r="Q326" i="6"/>
  <c r="R326" i="6"/>
  <c r="AB326" i="6"/>
  <c r="A327" i="6"/>
  <c r="B327" i="6"/>
  <c r="C327" i="6"/>
  <c r="G327" i="6"/>
  <c r="K327" i="6"/>
  <c r="L327" i="6"/>
  <c r="M327" i="6" a="1"/>
  <c r="M327" i="6" s="1"/>
  <c r="N327" i="6" a="1"/>
  <c r="N327" i="6" s="1"/>
  <c r="O327" i="6"/>
  <c r="P327" i="6"/>
  <c r="Q327" i="6"/>
  <c r="AB327" i="6" s="1"/>
  <c r="R327" i="6"/>
  <c r="S327" i="6"/>
  <c r="A328" i="6"/>
  <c r="B328" i="6"/>
  <c r="C328" i="6"/>
  <c r="G328" i="6"/>
  <c r="E328" i="6" s="1"/>
  <c r="I328" i="6"/>
  <c r="J328" i="6"/>
  <c r="K328" i="6"/>
  <c r="L328" i="6"/>
  <c r="M328" i="6" a="1"/>
  <c r="M328" i="6"/>
  <c r="N328" i="6" a="1"/>
  <c r="N328" i="6"/>
  <c r="S328" i="6" s="1"/>
  <c r="O328" i="6"/>
  <c r="P328" i="6"/>
  <c r="Q328" i="6"/>
  <c r="R328" i="6"/>
  <c r="AB328" i="6"/>
  <c r="A329" i="6"/>
  <c r="B329" i="6"/>
  <c r="C329" i="6"/>
  <c r="G329" i="6"/>
  <c r="J329" i="6" s="1"/>
  <c r="K329" i="6"/>
  <c r="L329" i="6"/>
  <c r="M329" i="6" a="1"/>
  <c r="M329" i="6"/>
  <c r="N329" i="6" a="1"/>
  <c r="N329" i="6"/>
  <c r="O329" i="6"/>
  <c r="P329" i="6"/>
  <c r="Q329" i="6"/>
  <c r="R329" i="6"/>
  <c r="A330" i="6"/>
  <c r="B330" i="6"/>
  <c r="C330" i="6"/>
  <c r="G330" i="6"/>
  <c r="I330" i="6"/>
  <c r="K330" i="6"/>
  <c r="L330" i="6"/>
  <c r="M330" i="6" a="1"/>
  <c r="M330" i="6" s="1"/>
  <c r="N330" i="6" a="1"/>
  <c r="N330" i="6"/>
  <c r="O330" i="6"/>
  <c r="P330" i="6"/>
  <c r="Q330" i="6"/>
  <c r="R330" i="6"/>
  <c r="A331" i="6"/>
  <c r="B331" i="6"/>
  <c r="C331" i="6"/>
  <c r="G331" i="6"/>
  <c r="J331" i="6" s="1"/>
  <c r="I331" i="6"/>
  <c r="K331" i="6"/>
  <c r="L331" i="6"/>
  <c r="M331" i="6" a="1"/>
  <c r="M331" i="6" s="1"/>
  <c r="N331" i="6" a="1"/>
  <c r="N331" i="6"/>
  <c r="S331" i="6" s="1"/>
  <c r="O331" i="6"/>
  <c r="P331" i="6"/>
  <c r="Q331" i="6"/>
  <c r="R331" i="6"/>
  <c r="AB331" i="6"/>
  <c r="A332" i="6"/>
  <c r="B332" i="6"/>
  <c r="C332" i="6"/>
  <c r="G332" i="6"/>
  <c r="H332" i="6"/>
  <c r="K332" i="6"/>
  <c r="L332" i="6"/>
  <c r="M332" i="6" a="1"/>
  <c r="M332" i="6"/>
  <c r="N332" i="6" a="1"/>
  <c r="N332" i="6"/>
  <c r="O332" i="6"/>
  <c r="P332" i="6"/>
  <c r="Q332" i="6"/>
  <c r="R332" i="6"/>
  <c r="A333" i="6"/>
  <c r="B333" i="6"/>
  <c r="C333" i="6"/>
  <c r="G333" i="6"/>
  <c r="I333" i="6"/>
  <c r="J333" i="6"/>
  <c r="K333" i="6"/>
  <c r="L333" i="6"/>
  <c r="M333" i="6" a="1"/>
  <c r="M333" i="6"/>
  <c r="N333" i="6" a="1"/>
  <c r="N333" i="6"/>
  <c r="O333" i="6"/>
  <c r="P333" i="6"/>
  <c r="Q333" i="6"/>
  <c r="R333" i="6"/>
  <c r="S333" i="6" s="1"/>
  <c r="AB333" i="6"/>
  <c r="A334" i="6"/>
  <c r="B334" i="6"/>
  <c r="C334" i="6"/>
  <c r="G334" i="6"/>
  <c r="K334" i="6"/>
  <c r="L334" i="6"/>
  <c r="M334" i="6" a="1"/>
  <c r="M334" i="6" s="1"/>
  <c r="N334" i="6" a="1"/>
  <c r="N334" i="6"/>
  <c r="O334" i="6"/>
  <c r="P334" i="6"/>
  <c r="Q334" i="6"/>
  <c r="R334" i="6"/>
  <c r="A335" i="6"/>
  <c r="B335" i="6"/>
  <c r="C335" i="6"/>
  <c r="G335" i="6"/>
  <c r="J335" i="6" s="1"/>
  <c r="K335" i="6"/>
  <c r="L335" i="6"/>
  <c r="M335" i="6" a="1"/>
  <c r="M335" i="6" s="1"/>
  <c r="N335" i="6" a="1"/>
  <c r="N335" i="6"/>
  <c r="O335" i="6"/>
  <c r="P335" i="6"/>
  <c r="Q335" i="6"/>
  <c r="S335" i="6" s="1"/>
  <c r="R335" i="6"/>
  <c r="A336" i="6"/>
  <c r="B336" i="6"/>
  <c r="C336" i="6"/>
  <c r="G336" i="6"/>
  <c r="J336" i="6" s="1"/>
  <c r="K336" i="6"/>
  <c r="L336" i="6"/>
  <c r="M336" i="6" a="1"/>
  <c r="M336" i="6" s="1"/>
  <c r="N336" i="6" a="1"/>
  <c r="N336" i="6" s="1"/>
  <c r="O336" i="6"/>
  <c r="P336" i="6"/>
  <c r="Q336" i="6"/>
  <c r="S336" i="6" s="1"/>
  <c r="R336" i="6"/>
  <c r="A337" i="6"/>
  <c r="B337" i="6"/>
  <c r="C337" i="6"/>
  <c r="G337" i="6"/>
  <c r="E337" i="6" s="1"/>
  <c r="H337" i="6"/>
  <c r="I337" i="6"/>
  <c r="J337" i="6"/>
  <c r="K337" i="6"/>
  <c r="L337" i="6"/>
  <c r="M337" i="6" a="1"/>
  <c r="M337" i="6"/>
  <c r="N337" i="6" a="1"/>
  <c r="N337" i="6"/>
  <c r="S337" i="6" s="1"/>
  <c r="O337" i="6"/>
  <c r="P337" i="6"/>
  <c r="Q337" i="6"/>
  <c r="R337" i="6"/>
  <c r="AB337" i="6" s="1"/>
  <c r="A338" i="6"/>
  <c r="B338" i="6"/>
  <c r="C338" i="6"/>
  <c r="G338" i="6"/>
  <c r="E338" i="6" s="1"/>
  <c r="K338" i="6"/>
  <c r="L338" i="6"/>
  <c r="M338" i="6" a="1"/>
  <c r="M338" i="6" s="1"/>
  <c r="N338" i="6" a="1"/>
  <c r="N338" i="6"/>
  <c r="O338" i="6"/>
  <c r="P338" i="6"/>
  <c r="Q338" i="6"/>
  <c r="R338" i="6"/>
  <c r="AB338" i="6"/>
  <c r="A339" i="6"/>
  <c r="B339" i="6"/>
  <c r="C339" i="6"/>
  <c r="G339" i="6"/>
  <c r="J339" i="6" s="1"/>
  <c r="K339" i="6"/>
  <c r="L339" i="6"/>
  <c r="M339" i="6" a="1"/>
  <c r="M339" i="6"/>
  <c r="N339" i="6" a="1"/>
  <c r="N339" i="6" s="1"/>
  <c r="O339" i="6"/>
  <c r="P339" i="6"/>
  <c r="Q339" i="6"/>
  <c r="AB339" i="6" s="1"/>
  <c r="R339" i="6"/>
  <c r="S339" i="6"/>
  <c r="A340" i="6"/>
  <c r="B340" i="6"/>
  <c r="C340" i="6"/>
  <c r="G340" i="6"/>
  <c r="H340" i="6" s="1"/>
  <c r="K340" i="6"/>
  <c r="L340" i="6"/>
  <c r="M340" i="6" a="1"/>
  <c r="M340" i="6"/>
  <c r="N340" i="6" a="1"/>
  <c r="N340" i="6"/>
  <c r="O340" i="6"/>
  <c r="P340" i="6"/>
  <c r="Q340" i="6"/>
  <c r="R340" i="6"/>
  <c r="AB340" i="6" s="1"/>
  <c r="A341" i="6"/>
  <c r="B341" i="6"/>
  <c r="C341" i="6"/>
  <c r="G341" i="6"/>
  <c r="J341" i="6"/>
  <c r="K341" i="6"/>
  <c r="L341" i="6"/>
  <c r="M341" i="6" a="1"/>
  <c r="M341" i="6" s="1"/>
  <c r="N341" i="6" a="1"/>
  <c r="N341" i="6"/>
  <c r="O341" i="6"/>
  <c r="P341" i="6"/>
  <c r="Q341" i="6"/>
  <c r="R341" i="6"/>
  <c r="AB341" i="6"/>
  <c r="A342" i="6"/>
  <c r="B342" i="6"/>
  <c r="C342" i="6"/>
  <c r="G342" i="6"/>
  <c r="J342" i="6" s="1"/>
  <c r="H342" i="6"/>
  <c r="I342" i="6"/>
  <c r="K342" i="6"/>
  <c r="L342" i="6"/>
  <c r="M342" i="6" a="1"/>
  <c r="M342" i="6"/>
  <c r="N342" i="6" a="1"/>
  <c r="N342" i="6" s="1"/>
  <c r="S342" i="6" s="1"/>
  <c r="O342" i="6"/>
  <c r="P342" i="6"/>
  <c r="Q342" i="6"/>
  <c r="R342" i="6"/>
  <c r="AB342" i="6"/>
  <c r="A343" i="6"/>
  <c r="B343" i="6"/>
  <c r="C343" i="6"/>
  <c r="G343" i="6"/>
  <c r="I343" i="6"/>
  <c r="J343" i="6"/>
  <c r="K343" i="6"/>
  <c r="L343" i="6"/>
  <c r="M343" i="6" a="1"/>
  <c r="M343" i="6"/>
  <c r="N343" i="6" a="1"/>
  <c r="N343" i="6" s="1"/>
  <c r="O343" i="6"/>
  <c r="P343" i="6"/>
  <c r="Q343" i="6"/>
  <c r="R343" i="6"/>
  <c r="AB343" i="6" s="1"/>
  <c r="A344" i="6"/>
  <c r="B344" i="6"/>
  <c r="C344" i="6"/>
  <c r="G344" i="6"/>
  <c r="J344" i="6" s="1"/>
  <c r="K344" i="6"/>
  <c r="L344" i="6"/>
  <c r="M344" i="6" a="1"/>
  <c r="M344" i="6" s="1"/>
  <c r="N344" i="6" a="1"/>
  <c r="N344" i="6"/>
  <c r="O344" i="6"/>
  <c r="P344" i="6"/>
  <c r="Q344" i="6"/>
  <c r="S344" i="6" s="1"/>
  <c r="R344" i="6"/>
  <c r="A345" i="6"/>
  <c r="B345" i="6"/>
  <c r="C345" i="6"/>
  <c r="G345" i="6"/>
  <c r="I345" i="6"/>
  <c r="K345" i="6"/>
  <c r="L345" i="6"/>
  <c r="M345" i="6" a="1"/>
  <c r="M345" i="6" s="1"/>
  <c r="N345" i="6" a="1"/>
  <c r="N345" i="6" s="1"/>
  <c r="O345" i="6"/>
  <c r="P345" i="6"/>
  <c r="Q345" i="6"/>
  <c r="S345" i="6" s="1"/>
  <c r="R345" i="6"/>
  <c r="A346" i="6"/>
  <c r="B346" i="6"/>
  <c r="C346" i="6"/>
  <c r="G346" i="6"/>
  <c r="J346" i="6" s="1"/>
  <c r="I346" i="6"/>
  <c r="K346" i="6"/>
  <c r="L346" i="6"/>
  <c r="M346" i="6" a="1"/>
  <c r="M346" i="6"/>
  <c r="N346" i="6" a="1"/>
  <c r="N346" i="6"/>
  <c r="S346" i="6" s="1"/>
  <c r="O346" i="6"/>
  <c r="P346" i="6"/>
  <c r="Q346" i="6"/>
  <c r="R346" i="6"/>
  <c r="AB346" i="6" s="1"/>
  <c r="A347" i="6"/>
  <c r="B347" i="6"/>
  <c r="C347" i="6"/>
  <c r="G347" i="6"/>
  <c r="E347" i="6" s="1"/>
  <c r="K347" i="6"/>
  <c r="L347" i="6"/>
  <c r="M347" i="6" a="1"/>
  <c r="M347" i="6" s="1"/>
  <c r="N347" i="6" a="1"/>
  <c r="N347" i="6"/>
  <c r="O347" i="6"/>
  <c r="P347" i="6"/>
  <c r="Q347" i="6"/>
  <c r="R347" i="6"/>
  <c r="AB347" i="6"/>
  <c r="A348" i="6"/>
  <c r="B348" i="6"/>
  <c r="C348" i="6"/>
  <c r="G348" i="6"/>
  <c r="J348" i="6" s="1"/>
  <c r="K348" i="6"/>
  <c r="L348" i="6"/>
  <c r="M348" i="6" a="1"/>
  <c r="M348" i="6"/>
  <c r="N348" i="6" a="1"/>
  <c r="N348" i="6" s="1"/>
  <c r="O348" i="6"/>
  <c r="P348" i="6"/>
  <c r="Q348" i="6"/>
  <c r="AB348" i="6" s="1"/>
  <c r="R348" i="6"/>
  <c r="S348" i="6"/>
  <c r="A349" i="6"/>
  <c r="B349" i="6"/>
  <c r="C349" i="6"/>
  <c r="G349" i="6"/>
  <c r="E349" i="6" s="1"/>
  <c r="H349" i="6"/>
  <c r="I349" i="6"/>
  <c r="J349" i="6"/>
  <c r="K349" i="6"/>
  <c r="L349" i="6"/>
  <c r="M349" i="6" a="1"/>
  <c r="M349" i="6"/>
  <c r="N349" i="6" a="1"/>
  <c r="N349" i="6"/>
  <c r="O349" i="6"/>
  <c r="P349" i="6"/>
  <c r="Q349" i="6"/>
  <c r="R349" i="6"/>
  <c r="AB349" i="6" s="1"/>
  <c r="A350" i="6"/>
  <c r="B350" i="6"/>
  <c r="C350" i="6"/>
  <c r="G350" i="6"/>
  <c r="J350" i="6" s="1"/>
  <c r="K350" i="6"/>
  <c r="L350" i="6"/>
  <c r="M350" i="6" a="1"/>
  <c r="M350" i="6" s="1"/>
  <c r="N350" i="6" a="1"/>
  <c r="N350" i="6"/>
  <c r="O350" i="6"/>
  <c r="P350" i="6"/>
  <c r="Q350" i="6"/>
  <c r="R350" i="6"/>
  <c r="AB350" i="6"/>
  <c r="A351" i="6"/>
  <c r="B351" i="6"/>
  <c r="C351" i="6"/>
  <c r="G351" i="6"/>
  <c r="J351" i="6" s="1"/>
  <c r="I351" i="6"/>
  <c r="K351" i="6"/>
  <c r="L351" i="6"/>
  <c r="M351" i="6" a="1"/>
  <c r="M351" i="6"/>
  <c r="N351" i="6" a="1"/>
  <c r="N351" i="6" s="1"/>
  <c r="S351" i="6" s="1"/>
  <c r="O351" i="6"/>
  <c r="P351" i="6"/>
  <c r="Q351" i="6"/>
  <c r="R351" i="6"/>
  <c r="AB351" i="6"/>
  <c r="A352" i="6"/>
  <c r="B352" i="6"/>
  <c r="C352" i="6"/>
  <c r="G352" i="6"/>
  <c r="E352" i="6" s="1"/>
  <c r="H352" i="6"/>
  <c r="I352" i="6"/>
  <c r="J352" i="6"/>
  <c r="K352" i="6"/>
  <c r="L352" i="6"/>
  <c r="M352" i="6" a="1"/>
  <c r="M352" i="6"/>
  <c r="N352" i="6" a="1"/>
  <c r="N352" i="6" s="1"/>
  <c r="O352" i="6"/>
  <c r="P352" i="6"/>
  <c r="Q352" i="6"/>
  <c r="R352" i="6"/>
  <c r="AB352" i="6" s="1"/>
  <c r="A353" i="6"/>
  <c r="B353" i="6"/>
  <c r="C353" i="6"/>
  <c r="G353" i="6"/>
  <c r="K353" i="6"/>
  <c r="L353" i="6"/>
  <c r="M353" i="6" a="1"/>
  <c r="M353" i="6" s="1"/>
  <c r="N353" i="6" a="1"/>
  <c r="N353" i="6"/>
  <c r="O353" i="6"/>
  <c r="P353" i="6"/>
  <c r="Q353" i="6"/>
  <c r="S353" i="6" s="1"/>
  <c r="R353" i="6"/>
  <c r="A354" i="6"/>
  <c r="B354" i="6"/>
  <c r="C354" i="6"/>
  <c r="G354" i="6"/>
  <c r="J354" i="6" s="1"/>
  <c r="K354" i="6"/>
  <c r="L354" i="6"/>
  <c r="M354" i="6" a="1"/>
  <c r="M354" i="6" s="1"/>
  <c r="N354" i="6" a="1"/>
  <c r="N354" i="6" s="1"/>
  <c r="O354" i="6"/>
  <c r="P354" i="6"/>
  <c r="Q354" i="6"/>
  <c r="S354" i="6" s="1"/>
  <c r="R354" i="6"/>
  <c r="A355" i="6"/>
  <c r="B355" i="6"/>
  <c r="C355" i="6"/>
  <c r="G355" i="6"/>
  <c r="H355" i="6" s="1"/>
  <c r="K355" i="6"/>
  <c r="L355" i="6"/>
  <c r="M355" i="6" a="1"/>
  <c r="M355" i="6"/>
  <c r="N355" i="6" a="1"/>
  <c r="N355" i="6"/>
  <c r="S355" i="6" s="1"/>
  <c r="O355" i="6"/>
  <c r="P355" i="6"/>
  <c r="Q355" i="6"/>
  <c r="R355" i="6"/>
  <c r="AB355" i="6" s="1"/>
  <c r="A356" i="6"/>
  <c r="B356" i="6"/>
  <c r="C356" i="6"/>
  <c r="G356" i="6"/>
  <c r="E356" i="6" s="1"/>
  <c r="K356" i="6"/>
  <c r="L356" i="6"/>
  <c r="M356" i="6" a="1"/>
  <c r="M356" i="6" s="1"/>
  <c r="N356" i="6" a="1"/>
  <c r="N356" i="6"/>
  <c r="O356" i="6"/>
  <c r="P356" i="6"/>
  <c r="Q356" i="6"/>
  <c r="R356" i="6"/>
  <c r="AB356" i="6"/>
  <c r="A357" i="6"/>
  <c r="B357" i="6"/>
  <c r="C357" i="6"/>
  <c r="G357" i="6"/>
  <c r="J357" i="6" s="1"/>
  <c r="K357" i="6"/>
  <c r="L357" i="6"/>
  <c r="M357" i="6" a="1"/>
  <c r="M357" i="6"/>
  <c r="N357" i="6" a="1"/>
  <c r="N357" i="6" s="1"/>
  <c r="O357" i="6"/>
  <c r="P357" i="6"/>
  <c r="Q357" i="6"/>
  <c r="AB357" i="6" s="1"/>
  <c r="R357" i="6"/>
  <c r="S357" i="6"/>
  <c r="A358" i="6"/>
  <c r="B358" i="6"/>
  <c r="C358" i="6"/>
  <c r="G358" i="6"/>
  <c r="J358" i="6" s="1"/>
  <c r="I358" i="6"/>
  <c r="K358" i="6"/>
  <c r="L358" i="6"/>
  <c r="M358" i="6" a="1"/>
  <c r="M358" i="6"/>
  <c r="N358" i="6" a="1"/>
  <c r="N358" i="6"/>
  <c r="O358" i="6"/>
  <c r="P358" i="6"/>
  <c r="Q358" i="6"/>
  <c r="R358" i="6"/>
  <c r="AB358" i="6" s="1"/>
  <c r="A359" i="6"/>
  <c r="B359" i="6"/>
  <c r="C359" i="6"/>
  <c r="G359" i="6"/>
  <c r="J359" i="6"/>
  <c r="K359" i="6"/>
  <c r="L359" i="6"/>
  <c r="M359" i="6" a="1"/>
  <c r="M359" i="6" s="1"/>
  <c r="N359" i="6" a="1"/>
  <c r="N359" i="6"/>
  <c r="O359" i="6"/>
  <c r="P359" i="6"/>
  <c r="Q359" i="6"/>
  <c r="R359" i="6"/>
  <c r="AB359" i="6"/>
  <c r="A360" i="6"/>
  <c r="B360" i="6"/>
  <c r="C360" i="6"/>
  <c r="G360" i="6"/>
  <c r="J360" i="6" s="1"/>
  <c r="K360" i="6"/>
  <c r="L360" i="6"/>
  <c r="M360" i="6" a="1"/>
  <c r="M360" i="6"/>
  <c r="N360" i="6" a="1"/>
  <c r="N360" i="6" s="1"/>
  <c r="S360" i="6" s="1"/>
  <c r="O360" i="6"/>
  <c r="P360" i="6"/>
  <c r="Q360" i="6"/>
  <c r="R360" i="6"/>
  <c r="AB360" i="6"/>
  <c r="A361" i="6"/>
  <c r="B361" i="6"/>
  <c r="C361" i="6"/>
  <c r="G361" i="6"/>
  <c r="H361" i="6"/>
  <c r="K361" i="6"/>
  <c r="L361" i="6"/>
  <c r="M361" i="6" a="1"/>
  <c r="M361" i="6"/>
  <c r="N361" i="6" a="1"/>
  <c r="N361" i="6" s="1"/>
  <c r="O361" i="6"/>
  <c r="P361" i="6"/>
  <c r="Q361" i="6"/>
  <c r="R361" i="6"/>
  <c r="AB361" i="6" s="1"/>
  <c r="A362" i="6"/>
  <c r="B362" i="6"/>
  <c r="C362" i="6"/>
  <c r="G362" i="6"/>
  <c r="J362" i="6" s="1"/>
  <c r="K362" i="6"/>
  <c r="L362" i="6"/>
  <c r="M362" i="6" a="1"/>
  <c r="M362" i="6" s="1"/>
  <c r="N362" i="6" a="1"/>
  <c r="N362" i="6"/>
  <c r="O362" i="6"/>
  <c r="P362" i="6"/>
  <c r="Q362" i="6"/>
  <c r="S362" i="6" s="1"/>
  <c r="R362" i="6"/>
  <c r="A363" i="6"/>
  <c r="B363" i="6"/>
  <c r="C363" i="6"/>
  <c r="G363" i="6"/>
  <c r="J363" i="6" s="1"/>
  <c r="K363" i="6"/>
  <c r="L363" i="6"/>
  <c r="M363" i="6" a="1"/>
  <c r="M363" i="6" s="1"/>
  <c r="N363" i="6" a="1"/>
  <c r="N363" i="6" s="1"/>
  <c r="O363" i="6"/>
  <c r="P363" i="6"/>
  <c r="Q363" i="6"/>
  <c r="S363" i="6" s="1"/>
  <c r="R363" i="6"/>
  <c r="A364" i="6"/>
  <c r="B364" i="6"/>
  <c r="C364" i="6"/>
  <c r="G364" i="6"/>
  <c r="E364" i="6" s="1"/>
  <c r="I364" i="6"/>
  <c r="J364" i="6"/>
  <c r="K364" i="6"/>
  <c r="L364" i="6"/>
  <c r="M364" i="6" a="1"/>
  <c r="M364" i="6"/>
  <c r="N364" i="6" a="1"/>
  <c r="N364" i="6"/>
  <c r="S364" i="6" s="1"/>
  <c r="O364" i="6"/>
  <c r="P364" i="6"/>
  <c r="Q364" i="6"/>
  <c r="R364" i="6"/>
  <c r="A365" i="6"/>
  <c r="B365" i="6"/>
  <c r="C365" i="6"/>
  <c r="G365" i="6"/>
  <c r="H365" i="6" s="1"/>
  <c r="K365" i="6"/>
  <c r="L365" i="6"/>
  <c r="M365" i="6" a="1"/>
  <c r="M365" i="6" s="1"/>
  <c r="N365" i="6" a="1"/>
  <c r="N365" i="6" s="1"/>
  <c r="S365" i="6" s="1"/>
  <c r="O365" i="6"/>
  <c r="P365" i="6"/>
  <c r="Q365" i="6"/>
  <c r="AB365" i="6" s="1"/>
  <c r="R365" i="6"/>
  <c r="A366" i="6"/>
  <c r="B366" i="6"/>
  <c r="C366" i="6"/>
  <c r="G366" i="6"/>
  <c r="K366" i="6"/>
  <c r="L366" i="6"/>
  <c r="M366" i="6" a="1"/>
  <c r="M366" i="6" s="1"/>
  <c r="N366" i="6" a="1"/>
  <c r="N366" i="6" s="1"/>
  <c r="O366" i="6"/>
  <c r="P366" i="6"/>
  <c r="Q366" i="6"/>
  <c r="S366" i="6" s="1"/>
  <c r="R366" i="6"/>
  <c r="A367" i="6"/>
  <c r="B367" i="6"/>
  <c r="C367" i="6"/>
  <c r="G367" i="6"/>
  <c r="E367" i="6" s="1"/>
  <c r="H367" i="6"/>
  <c r="I367" i="6"/>
  <c r="J367" i="6"/>
  <c r="K367" i="6"/>
  <c r="L367" i="6"/>
  <c r="M367" i="6" a="1"/>
  <c r="M367" i="6"/>
  <c r="N367" i="6" a="1"/>
  <c r="N367" i="6"/>
  <c r="S367" i="6" s="1"/>
  <c r="O367" i="6"/>
  <c r="P367" i="6"/>
  <c r="Q367" i="6"/>
  <c r="R367" i="6"/>
  <c r="A368" i="6"/>
  <c r="B368" i="6"/>
  <c r="C368" i="6"/>
  <c r="G368" i="6"/>
  <c r="H368" i="6" s="1"/>
  <c r="K368" i="6"/>
  <c r="L368" i="6"/>
  <c r="M368" i="6" a="1"/>
  <c r="M368" i="6" s="1"/>
  <c r="N368" i="6" a="1"/>
  <c r="N368" i="6" s="1"/>
  <c r="S368" i="6" s="1"/>
  <c r="O368" i="6"/>
  <c r="P368" i="6"/>
  <c r="Q368" i="6"/>
  <c r="AB368" i="6" s="1"/>
  <c r="R368" i="6"/>
  <c r="A369" i="6"/>
  <c r="B369" i="6"/>
  <c r="C369" i="6"/>
  <c r="G369" i="6"/>
  <c r="E369" i="6" s="1"/>
  <c r="H369" i="6"/>
  <c r="I369" i="6"/>
  <c r="J369" i="6"/>
  <c r="K369" i="6"/>
  <c r="L369" i="6"/>
  <c r="M369" i="6" a="1"/>
  <c r="M369" i="6" s="1"/>
  <c r="N369" i="6" a="1"/>
  <c r="N369" i="6"/>
  <c r="S369" i="6" s="1"/>
  <c r="O369" i="6"/>
  <c r="P369" i="6"/>
  <c r="Q369" i="6"/>
  <c r="R369" i="6"/>
  <c r="AB369" i="6"/>
  <c r="A370" i="6"/>
  <c r="B370" i="6"/>
  <c r="C370" i="6"/>
  <c r="G370" i="6"/>
  <c r="I370" i="6" s="1"/>
  <c r="K370" i="6"/>
  <c r="L370" i="6"/>
  <c r="M370" i="6" a="1"/>
  <c r="M370" i="6" s="1"/>
  <c r="N370" i="6" a="1"/>
  <c r="N370" i="6" s="1"/>
  <c r="O370" i="6"/>
  <c r="P370" i="6"/>
  <c r="Q370" i="6"/>
  <c r="R370" i="6"/>
  <c r="A371" i="6"/>
  <c r="B371" i="6"/>
  <c r="C371" i="6"/>
  <c r="G371" i="6"/>
  <c r="E371" i="6" s="1"/>
  <c r="I371" i="6"/>
  <c r="J371" i="6"/>
  <c r="K371" i="6"/>
  <c r="L371" i="6"/>
  <c r="M371" i="6" a="1"/>
  <c r="M371" i="6"/>
  <c r="N371" i="6" a="1"/>
  <c r="N371" i="6" s="1"/>
  <c r="S371" i="6" s="1"/>
  <c r="O371" i="6"/>
  <c r="P371" i="6"/>
  <c r="Q371" i="6"/>
  <c r="AB371" i="6" s="1"/>
  <c r="R371" i="6"/>
  <c r="A372" i="6"/>
  <c r="B372" i="6"/>
  <c r="C372" i="6"/>
  <c r="G372" i="6"/>
  <c r="H372" i="6" s="1"/>
  <c r="K372" i="6"/>
  <c r="L372" i="6"/>
  <c r="M372" i="6" a="1"/>
  <c r="M372" i="6" s="1"/>
  <c r="N372" i="6" a="1"/>
  <c r="N372" i="6"/>
  <c r="S372" i="6" s="1"/>
  <c r="O372" i="6"/>
  <c r="P372" i="6"/>
  <c r="Q372" i="6"/>
  <c r="R372" i="6"/>
  <c r="AB372" i="6"/>
  <c r="A373" i="6"/>
  <c r="B373" i="6"/>
  <c r="C373" i="6"/>
  <c r="G373" i="6"/>
  <c r="I373" i="6" s="1"/>
  <c r="K373" i="6"/>
  <c r="L373" i="6"/>
  <c r="M373" i="6" a="1"/>
  <c r="M373" i="6" s="1"/>
  <c r="N373" i="6" a="1"/>
  <c r="N373" i="6" s="1"/>
  <c r="O373" i="6"/>
  <c r="P373" i="6"/>
  <c r="Q373" i="6"/>
  <c r="S373" i="6" s="1"/>
  <c r="R373" i="6"/>
  <c r="A374" i="6"/>
  <c r="B374" i="6"/>
  <c r="C374" i="6"/>
  <c r="G374" i="6"/>
  <c r="E374" i="6" s="1"/>
  <c r="I374" i="6"/>
  <c r="K374" i="6"/>
  <c r="L374" i="6"/>
  <c r="M374" i="6" a="1"/>
  <c r="M374" i="6"/>
  <c r="N374" i="6" a="1"/>
  <c r="N374" i="6" s="1"/>
  <c r="S374" i="6" s="1"/>
  <c r="O374" i="6"/>
  <c r="P374" i="6"/>
  <c r="Q374" i="6"/>
  <c r="AB374" i="6" s="1"/>
  <c r="R374" i="6"/>
  <c r="A375" i="6"/>
  <c r="B375" i="6"/>
  <c r="C375" i="6"/>
  <c r="G375" i="6"/>
  <c r="H375" i="6" s="1"/>
  <c r="I375" i="6"/>
  <c r="J375" i="6"/>
  <c r="K375" i="6"/>
  <c r="L375" i="6"/>
  <c r="M375" i="6" a="1"/>
  <c r="M375" i="6" s="1"/>
  <c r="N375" i="6" a="1"/>
  <c r="N375" i="6"/>
  <c r="S375" i="6" s="1"/>
  <c r="O375" i="6"/>
  <c r="P375" i="6"/>
  <c r="Q375" i="6"/>
  <c r="R375" i="6"/>
  <c r="AB375" i="6"/>
  <c r="A376" i="6"/>
  <c r="B376" i="6"/>
  <c r="C376" i="6"/>
  <c r="G376" i="6"/>
  <c r="I376" i="6" s="1"/>
  <c r="K376" i="6"/>
  <c r="L376" i="6"/>
  <c r="M376" i="6" a="1"/>
  <c r="M376" i="6" s="1"/>
  <c r="N376" i="6" a="1"/>
  <c r="N376" i="6" s="1"/>
  <c r="O376" i="6"/>
  <c r="P376" i="6"/>
  <c r="Q376" i="6"/>
  <c r="S376" i="6" s="1"/>
  <c r="R376" i="6"/>
  <c r="A377" i="6"/>
  <c r="B377" i="6"/>
  <c r="C377" i="6"/>
  <c r="G377" i="6"/>
  <c r="E377" i="6" s="1"/>
  <c r="I377" i="6"/>
  <c r="J377" i="6"/>
  <c r="K377" i="6"/>
  <c r="L377" i="6"/>
  <c r="M377" i="6" a="1"/>
  <c r="M377" i="6"/>
  <c r="N377" i="6" a="1"/>
  <c r="N377" i="6" s="1"/>
  <c r="S377" i="6" s="1"/>
  <c r="O377" i="6"/>
  <c r="P377" i="6"/>
  <c r="Q377" i="6"/>
  <c r="AB377" i="6" s="1"/>
  <c r="R377" i="6"/>
  <c r="A378" i="6"/>
  <c r="B378" i="6"/>
  <c r="C378" i="6"/>
  <c r="G378" i="6"/>
  <c r="H378" i="6" s="1"/>
  <c r="K378" i="6"/>
  <c r="L378" i="6"/>
  <c r="M378" i="6" a="1"/>
  <c r="M378" i="6" s="1"/>
  <c r="N378" i="6" a="1"/>
  <c r="N378" i="6"/>
  <c r="S378" i="6" s="1"/>
  <c r="O378" i="6"/>
  <c r="P378" i="6"/>
  <c r="Q378" i="6"/>
  <c r="R378" i="6"/>
  <c r="AB378" i="6"/>
  <c r="A379" i="6"/>
  <c r="B379" i="6"/>
  <c r="C379" i="6"/>
  <c r="G379" i="6"/>
  <c r="I379" i="6" s="1"/>
  <c r="K379" i="6"/>
  <c r="L379" i="6"/>
  <c r="M379" i="6" a="1"/>
  <c r="M379" i="6" s="1"/>
  <c r="N379" i="6" a="1"/>
  <c r="N379" i="6" s="1"/>
  <c r="O379" i="6"/>
  <c r="P379" i="6"/>
  <c r="Q379" i="6"/>
  <c r="R379" i="6"/>
  <c r="A380" i="6"/>
  <c r="B380" i="6"/>
  <c r="C380" i="6"/>
  <c r="G380" i="6"/>
  <c r="E380" i="6" s="1"/>
  <c r="I380" i="6"/>
  <c r="K380" i="6"/>
  <c r="L380" i="6"/>
  <c r="M380" i="6" a="1"/>
  <c r="M380" i="6"/>
  <c r="N380" i="6" a="1"/>
  <c r="N380" i="6" s="1"/>
  <c r="S380" i="6" s="1"/>
  <c r="O380" i="6"/>
  <c r="P380" i="6"/>
  <c r="Q380" i="6"/>
  <c r="AB380" i="6" s="1"/>
  <c r="R380" i="6"/>
  <c r="A381" i="6"/>
  <c r="B381" i="6"/>
  <c r="C381" i="6"/>
  <c r="G381" i="6"/>
  <c r="H381" i="6" s="1"/>
  <c r="I381" i="6"/>
  <c r="J381" i="6"/>
  <c r="K381" i="6"/>
  <c r="L381" i="6"/>
  <c r="M381" i="6" a="1"/>
  <c r="M381" i="6" s="1"/>
  <c r="N381" i="6" a="1"/>
  <c r="N381" i="6"/>
  <c r="S381" i="6" s="1"/>
  <c r="O381" i="6"/>
  <c r="P381" i="6"/>
  <c r="Q381" i="6"/>
  <c r="R381" i="6"/>
  <c r="AB381" i="6"/>
  <c r="A382" i="6"/>
  <c r="B382" i="6"/>
  <c r="C382" i="6"/>
  <c r="G382" i="6"/>
  <c r="I382" i="6" s="1"/>
  <c r="K382" i="6"/>
  <c r="L382" i="6"/>
  <c r="M382" i="6" a="1"/>
  <c r="M382" i="6" s="1"/>
  <c r="N382" i="6" a="1"/>
  <c r="N382" i="6" s="1"/>
  <c r="O382" i="6"/>
  <c r="P382" i="6"/>
  <c r="Q382" i="6"/>
  <c r="S382" i="6" s="1"/>
  <c r="R382" i="6"/>
  <c r="A383" i="6"/>
  <c r="B383" i="6"/>
  <c r="C383" i="6"/>
  <c r="G383" i="6"/>
  <c r="E383" i="6" s="1"/>
  <c r="I383" i="6"/>
  <c r="K383" i="6"/>
  <c r="L383" i="6"/>
  <c r="M383" i="6" a="1"/>
  <c r="M383" i="6"/>
  <c r="N383" i="6" a="1"/>
  <c r="N383" i="6" s="1"/>
  <c r="S383" i="6" s="1"/>
  <c r="O383" i="6"/>
  <c r="P383" i="6"/>
  <c r="Q383" i="6"/>
  <c r="AB383" i="6" s="1"/>
  <c r="R383" i="6"/>
  <c r="A384" i="6"/>
  <c r="B384" i="6"/>
  <c r="C384" i="6"/>
  <c r="G384" i="6"/>
  <c r="I384" i="6"/>
  <c r="K384" i="6"/>
  <c r="L384" i="6"/>
  <c r="M384" i="6" a="1"/>
  <c r="M384" i="6" s="1"/>
  <c r="N384" i="6" a="1"/>
  <c r="N384" i="6"/>
  <c r="S384" i="6" s="1"/>
  <c r="O384" i="6"/>
  <c r="P384" i="6"/>
  <c r="Q384" i="6"/>
  <c r="R384" i="6"/>
  <c r="AB384" i="6"/>
  <c r="A385" i="6"/>
  <c r="B385" i="6"/>
  <c r="C385" i="6"/>
  <c r="G385" i="6"/>
  <c r="I385" i="6" s="1"/>
  <c r="K385" i="6"/>
  <c r="L385" i="6"/>
  <c r="M385" i="6" a="1"/>
  <c r="M385" i="6" s="1"/>
  <c r="N385" i="6" a="1"/>
  <c r="N385" i="6" s="1"/>
  <c r="O385" i="6"/>
  <c r="P385" i="6"/>
  <c r="Q385" i="6"/>
  <c r="S385" i="6" s="1"/>
  <c r="R385" i="6"/>
  <c r="A386" i="6"/>
  <c r="B386" i="6"/>
  <c r="C386" i="6"/>
  <c r="G386" i="6"/>
  <c r="E386" i="6" s="1"/>
  <c r="H386" i="6"/>
  <c r="I386" i="6"/>
  <c r="K386" i="6"/>
  <c r="L386" i="6"/>
  <c r="M386" i="6" a="1"/>
  <c r="M386" i="6" s="1"/>
  <c r="N386" i="6" a="1"/>
  <c r="N386" i="6" s="1"/>
  <c r="S386" i="6" s="1"/>
  <c r="O386" i="6"/>
  <c r="P386" i="6"/>
  <c r="Q386" i="6"/>
  <c r="AB386" i="6" s="1"/>
  <c r="R386" i="6"/>
  <c r="A387" i="6"/>
  <c r="B387" i="6"/>
  <c r="C387" i="6"/>
  <c r="G387" i="6"/>
  <c r="H387" i="6" s="1"/>
  <c r="K387" i="6"/>
  <c r="L387" i="6"/>
  <c r="M387" i="6" a="1"/>
  <c r="M387" i="6" s="1"/>
  <c r="N387" i="6" a="1"/>
  <c r="N387" i="6" s="1"/>
  <c r="S387" i="6" s="1"/>
  <c r="O387" i="6"/>
  <c r="P387" i="6"/>
  <c r="Q387" i="6"/>
  <c r="R387" i="6"/>
  <c r="AB387" i="6"/>
  <c r="A35" i="3" a="1"/>
  <c r="A36" i="3" a="1"/>
  <c r="A37" i="3" a="1"/>
  <c r="A37" i="3" s="1"/>
  <c r="A37" i="6" s="1"/>
  <c r="A38" i="3" a="1"/>
  <c r="A38" i="3" s="1"/>
  <c r="A38" i="6" s="1"/>
  <c r="A39" i="3" a="1"/>
  <c r="A40" i="3" a="1"/>
  <c r="A41" i="3" a="1"/>
  <c r="A42" i="3" a="1"/>
  <c r="A43" i="3" a="1"/>
  <c r="A43" i="3" s="1"/>
  <c r="A43" i="6" s="1"/>
  <c r="A44" i="3" a="1"/>
  <c r="A45" i="3" a="1"/>
  <c r="A46" i="3" a="1"/>
  <c r="A47" i="3" a="1"/>
  <c r="A47" i="3" s="1"/>
  <c r="A47" i="6" s="1"/>
  <c r="A48" i="3" a="1"/>
  <c r="A48" i="3" s="1"/>
  <c r="A49" i="3" a="1"/>
  <c r="A49" i="3" s="1"/>
  <c r="A49" i="6" s="1"/>
  <c r="A50" i="3" a="1"/>
  <c r="A50" i="3" s="1"/>
  <c r="A50" i="6" s="1"/>
  <c r="A51" i="3" a="1"/>
  <c r="A51" i="3" s="1"/>
  <c r="A51" i="6" s="1"/>
  <c r="A52" i="3" a="1"/>
  <c r="A52" i="3" s="1"/>
  <c r="A52" i="6" s="1"/>
  <c r="A53" i="3" a="1"/>
  <c r="A53" i="3" s="1"/>
  <c r="A53" i="6" s="1"/>
  <c r="A54" i="3" a="1"/>
  <c r="A54" i="3" s="1"/>
  <c r="A54" i="6" s="1"/>
  <c r="A55" i="3" a="1"/>
  <c r="A55" i="3" s="1"/>
  <c r="A55" i="6" s="1"/>
  <c r="A56" i="3" a="1"/>
  <c r="A56" i="3" s="1"/>
  <c r="A56" i="6" s="1"/>
  <c r="A57" i="3" a="1"/>
  <c r="A57" i="3" s="1"/>
  <c r="A57" i="6" s="1"/>
  <c r="A58" i="3" a="1"/>
  <c r="A58" i="3" s="1"/>
  <c r="A58" i="6" s="1"/>
  <c r="A59" i="3" a="1"/>
  <c r="A59" i="3" s="1"/>
  <c r="A59" i="6" s="1"/>
  <c r="A60" i="3" a="1"/>
  <c r="A60" i="3" s="1"/>
  <c r="A60" i="6" s="1"/>
  <c r="A61" i="3" a="1"/>
  <c r="A61" i="3" s="1"/>
  <c r="A61" i="6" s="1"/>
  <c r="A62" i="3" a="1"/>
  <c r="A62" i="3" s="1"/>
  <c r="A62" i="6" s="1"/>
  <c r="A63" i="3" a="1"/>
  <c r="A63" i="3" s="1"/>
  <c r="A63" i="6" s="1"/>
  <c r="A64" i="3" a="1"/>
  <c r="A64" i="3" s="1"/>
  <c r="A64" i="6" s="1"/>
  <c r="A65" i="3" a="1"/>
  <c r="A65" i="3" s="1"/>
  <c r="A66" i="3" a="1"/>
  <c r="A66" i="3" s="1"/>
  <c r="A66" i="6" s="1"/>
  <c r="A67" i="3" a="1"/>
  <c r="A67" i="3" s="1"/>
  <c r="A67" i="6" s="1"/>
  <c r="A68" i="3" a="1"/>
  <c r="A68" i="3" s="1"/>
  <c r="A68" i="6" s="1"/>
  <c r="A69" i="3" a="1"/>
  <c r="A69" i="3" s="1"/>
  <c r="A69" i="6" s="1"/>
  <c r="A70" i="3" a="1"/>
  <c r="A70" i="3" s="1"/>
  <c r="A70" i="6" s="1"/>
  <c r="A71" i="3" a="1"/>
  <c r="A71" i="3" s="1"/>
  <c r="A71" i="6" s="1"/>
  <c r="A72" i="3" a="1"/>
  <c r="A72" i="3" s="1"/>
  <c r="A72" i="6" s="1"/>
  <c r="A73" i="3" a="1"/>
  <c r="A73" i="3" s="1"/>
  <c r="A73" i="6" s="1"/>
  <c r="A74" i="3" a="1"/>
  <c r="A74" i="3" s="1"/>
  <c r="A74" i="6" s="1"/>
  <c r="A75" i="3" a="1"/>
  <c r="A75" i="3" s="1"/>
  <c r="A75" i="6" s="1"/>
  <c r="A76" i="3" a="1"/>
  <c r="A76" i="3" s="1"/>
  <c r="A76" i="6" s="1"/>
  <c r="A77" i="3" a="1"/>
  <c r="A77" i="3" s="1"/>
  <c r="A78" i="3" a="1"/>
  <c r="A78" i="3" s="1"/>
  <c r="A78" i="6" s="1"/>
  <c r="A79" i="3" a="1"/>
  <c r="A79" i="3" s="1"/>
  <c r="A79" i="6" s="1"/>
  <c r="A80" i="3" a="1"/>
  <c r="A80" i="3" s="1"/>
  <c r="A81" i="3" a="1"/>
  <c r="A81" i="3" s="1"/>
  <c r="A81" i="6" s="1"/>
  <c r="A82" i="3" a="1"/>
  <c r="A82" i="3" s="1"/>
  <c r="A82" i="6" s="1"/>
  <c r="A83" i="3" a="1"/>
  <c r="A83" i="3" s="1"/>
  <c r="A83" i="6" s="1"/>
  <c r="A84" i="3" a="1"/>
  <c r="A84" i="3" s="1"/>
  <c r="A84" i="6" s="1"/>
  <c r="A85" i="3" a="1"/>
  <c r="A85" i="3" s="1"/>
  <c r="A85" i="6" s="1"/>
  <c r="A86" i="3" a="1"/>
  <c r="A86" i="3" s="1"/>
  <c r="A87" i="3" a="1"/>
  <c r="A87" i="3" s="1"/>
  <c r="A87" i="6" s="1"/>
  <c r="A88" i="3" a="1"/>
  <c r="A88" i="3" s="1"/>
  <c r="A88" i="6" s="1"/>
  <c r="A89" i="3" a="1"/>
  <c r="A89" i="3" s="1"/>
  <c r="A89" i="6" s="1"/>
  <c r="A90" i="3" a="1"/>
  <c r="A90" i="3" s="1"/>
  <c r="A90" i="6" s="1"/>
  <c r="A91" i="3" a="1"/>
  <c r="A91" i="3" s="1"/>
  <c r="A91" i="6" s="1"/>
  <c r="A92" i="3" a="1"/>
  <c r="A92" i="3" s="1"/>
  <c r="A92" i="6" s="1"/>
  <c r="A93" i="3" a="1"/>
  <c r="A93" i="3" s="1"/>
  <c r="A93" i="6" s="1"/>
  <c r="A94" i="3" a="1"/>
  <c r="A94" i="3" s="1"/>
  <c r="A94" i="6" s="1"/>
  <c r="A95" i="3" a="1"/>
  <c r="A95" i="3" s="1"/>
  <c r="A96" i="3" a="1"/>
  <c r="A96" i="3" s="1"/>
  <c r="A96" i="6" s="1"/>
  <c r="A97" i="3" a="1"/>
  <c r="A97" i="3" s="1"/>
  <c r="A97" i="6" s="1"/>
  <c r="A98" i="3" a="1"/>
  <c r="A98" i="3" s="1"/>
  <c r="A98" i="6" s="1"/>
  <c r="A99" i="3" a="1"/>
  <c r="A99" i="3" s="1"/>
  <c r="A99" i="6" s="1"/>
  <c r="A100" i="3" a="1"/>
  <c r="A100" i="3" s="1"/>
  <c r="A100" i="6" s="1"/>
  <c r="A101" i="3" a="1"/>
  <c r="A101" i="3" s="1"/>
  <c r="A101" i="6" s="1"/>
  <c r="A102" i="3" a="1"/>
  <c r="A102" i="3" s="1"/>
  <c r="A102" i="6" s="1"/>
  <c r="A103" i="3" a="1"/>
  <c r="A103" i="3" s="1"/>
  <c r="A103" i="6" s="1"/>
  <c r="A104" i="3" a="1"/>
  <c r="A104" i="3" s="1"/>
  <c r="A104" i="6" s="1"/>
  <c r="A105" i="3" a="1"/>
  <c r="A105" i="3" s="1"/>
  <c r="A105" i="6" s="1"/>
  <c r="A106" i="3" a="1"/>
  <c r="A106" i="3" s="1"/>
  <c r="A106" i="6" s="1"/>
  <c r="A107" i="3" a="1"/>
  <c r="A107" i="3" s="1"/>
  <c r="A107" i="6" s="1"/>
  <c r="A108" i="3" a="1"/>
  <c r="A108" i="3" s="1"/>
  <c r="A108" i="6" s="1"/>
  <c r="A109" i="3" a="1"/>
  <c r="A109" i="3" s="1"/>
  <c r="A109" i="6" s="1"/>
  <c r="A110" i="3" a="1"/>
  <c r="A110" i="3" s="1"/>
  <c r="A110" i="6" s="1"/>
  <c r="A111" i="3" a="1"/>
  <c r="A111" i="3" s="1"/>
  <c r="A112" i="3" a="1"/>
  <c r="A112" i="3" s="1"/>
  <c r="A112" i="6" s="1"/>
  <c r="A113" i="3" a="1"/>
  <c r="A113" i="3" s="1"/>
  <c r="A114" i="3" a="1"/>
  <c r="A114" i="3" s="1"/>
  <c r="A114" i="6" s="1"/>
  <c r="A115" i="3" a="1"/>
  <c r="A115" i="3" s="1"/>
  <c r="A115" i="6" s="1"/>
  <c r="A116" i="3" a="1"/>
  <c r="A116" i="3" s="1"/>
  <c r="A116" i="6" s="1"/>
  <c r="A117" i="3" a="1"/>
  <c r="A117" i="3" s="1"/>
  <c r="A117" i="6" s="1"/>
  <c r="A118" i="3" a="1"/>
  <c r="A118" i="3" s="1"/>
  <c r="A118" i="6" s="1"/>
  <c r="A119" i="3" a="1"/>
  <c r="A119" i="3" s="1"/>
  <c r="A119" i="6" s="1"/>
  <c r="A120" i="3" a="1"/>
  <c r="A120" i="3" s="1"/>
  <c r="A120" i="6" s="1"/>
  <c r="A121" i="3" a="1"/>
  <c r="A121" i="3" s="1"/>
  <c r="A121" i="6" s="1"/>
  <c r="A122" i="3" a="1"/>
  <c r="A122" i="3" s="1"/>
  <c r="A122" i="6" s="1"/>
  <c r="A123" i="3" a="1"/>
  <c r="A123" i="3" s="1"/>
  <c r="A123" i="6" s="1"/>
  <c r="A124" i="3" a="1"/>
  <c r="A124" i="3" s="1"/>
  <c r="A124" i="6" s="1"/>
  <c r="A125" i="3" a="1"/>
  <c r="A125" i="3" s="1"/>
  <c r="A125" i="6" s="1"/>
  <c r="A126" i="3" a="1"/>
  <c r="A126" i="3" s="1"/>
  <c r="A126" i="6" s="1"/>
  <c r="A127" i="3" a="1"/>
  <c r="A127" i="3" s="1"/>
  <c r="A127" i="6" s="1"/>
  <c r="A128" i="3" a="1"/>
  <c r="A128" i="3" s="1"/>
  <c r="A128" i="6" s="1"/>
  <c r="A129" i="3" a="1"/>
  <c r="A129" i="3" s="1"/>
  <c r="A129" i="6" s="1"/>
  <c r="A130" i="3" a="1"/>
  <c r="A130" i="3" s="1"/>
  <c r="A130" i="6" s="1"/>
  <c r="A131" i="3" a="1"/>
  <c r="A131" i="3" s="1"/>
  <c r="A131" i="6" s="1"/>
  <c r="A132" i="3" a="1"/>
  <c r="A132" i="3" s="1"/>
  <c r="A133" i="3" a="1"/>
  <c r="A133" i="3" s="1"/>
  <c r="A133" i="6" s="1"/>
  <c r="A134" i="3" a="1"/>
  <c r="A134" i="3" s="1"/>
  <c r="A134" i="6" s="1"/>
  <c r="A135" i="3" a="1"/>
  <c r="A135" i="3" s="1"/>
  <c r="A136" i="3" a="1"/>
  <c r="A136" i="3" s="1"/>
  <c r="A136" i="6" s="1"/>
  <c r="A137" i="3" a="1"/>
  <c r="A137" i="3" s="1"/>
  <c r="A138" i="3" a="1"/>
  <c r="A138" i="3" s="1"/>
  <c r="A138" i="6" s="1"/>
  <c r="A139" i="3" a="1"/>
  <c r="A139" i="3" s="1"/>
  <c r="A139" i="6" s="1"/>
  <c r="A140" i="3" a="1"/>
  <c r="A140" i="3" s="1"/>
  <c r="A140" i="6" s="1"/>
  <c r="A141" i="3" a="1"/>
  <c r="A141" i="3" s="1"/>
  <c r="A141" i="6" s="1"/>
  <c r="A142" i="3" a="1"/>
  <c r="A142" i="3" s="1"/>
  <c r="A142" i="6" s="1"/>
  <c r="A143" i="3" a="1"/>
  <c r="A143" i="3" s="1"/>
  <c r="A143" i="6" s="1"/>
  <c r="A144" i="3" a="1"/>
  <c r="A144" i="3" s="1"/>
  <c r="A144" i="6" s="1"/>
  <c r="A145" i="3" a="1"/>
  <c r="A145" i="3" s="1"/>
  <c r="A145" i="6" s="1"/>
  <c r="A146" i="3" a="1"/>
  <c r="A146" i="3" s="1"/>
  <c r="A146" i="6" s="1"/>
  <c r="A147" i="3" a="1"/>
  <c r="A147" i="3" s="1"/>
  <c r="A147" i="6" s="1"/>
  <c r="A148" i="3" a="1"/>
  <c r="A148" i="3" s="1"/>
  <c r="A148" i="6" s="1"/>
  <c r="A149" i="3" a="1"/>
  <c r="A149" i="3" s="1"/>
  <c r="A150" i="3" a="1"/>
  <c r="A150" i="3" s="1"/>
  <c r="A150" i="6" s="1"/>
  <c r="A151" i="3" a="1"/>
  <c r="A151" i="3" s="1"/>
  <c r="A151" i="6" s="1"/>
  <c r="A152" i="3" a="1"/>
  <c r="A152" i="3" s="1"/>
  <c r="A152" i="6" s="1"/>
  <c r="A153" i="3" a="1"/>
  <c r="A153" i="3" s="1"/>
  <c r="A154" i="3" a="1"/>
  <c r="A154" i="3" s="1"/>
  <c r="A154" i="6" s="1"/>
  <c r="A155" i="3" a="1"/>
  <c r="A155" i="3" s="1"/>
  <c r="A155" i="6" s="1"/>
  <c r="A156" i="3" a="1"/>
  <c r="A156" i="3" s="1"/>
  <c r="A156" i="6" s="1"/>
  <c r="A157" i="3" a="1"/>
  <c r="A157" i="3" s="1"/>
  <c r="A157" i="6" s="1"/>
  <c r="A158" i="3" a="1"/>
  <c r="A158" i="3" s="1"/>
  <c r="A158" i="6" s="1"/>
  <c r="A159" i="3" a="1"/>
  <c r="A159" i="3" s="1"/>
  <c r="A159" i="6" s="1"/>
  <c r="A160" i="3" a="1"/>
  <c r="A160" i="3" s="1"/>
  <c r="A160" i="6" s="1"/>
  <c r="A161" i="3" a="1"/>
  <c r="A161" i="3" s="1"/>
  <c r="A162" i="3" a="1"/>
  <c r="A162" i="3" s="1"/>
  <c r="A162" i="6" s="1"/>
  <c r="A163" i="3" a="1"/>
  <c r="A163" i="3" s="1"/>
  <c r="A163" i="6" s="1"/>
  <c r="A164" i="3" a="1"/>
  <c r="A164" i="3" s="1"/>
  <c r="A164" i="6" s="1"/>
  <c r="A165" i="3" a="1"/>
  <c r="A165" i="3" s="1"/>
  <c r="A166" i="3" a="1"/>
  <c r="A166" i="3" s="1"/>
  <c r="A166" i="6" s="1"/>
  <c r="A167" i="3" a="1"/>
  <c r="A167" i="3" s="1"/>
  <c r="A168" i="3" a="1"/>
  <c r="A168" i="3" s="1"/>
  <c r="A168" i="6" s="1"/>
  <c r="A169" i="3" a="1"/>
  <c r="A169" i="3" s="1"/>
  <c r="A169" i="6" s="1"/>
  <c r="A170" i="3" a="1"/>
  <c r="A170" i="3" s="1"/>
  <c r="A170" i="6" s="1"/>
  <c r="A171" i="3" a="1"/>
  <c r="A171" i="3" s="1"/>
  <c r="A171" i="6" s="1"/>
  <c r="A172" i="3" a="1"/>
  <c r="A172" i="3" s="1"/>
  <c r="A172" i="6" s="1"/>
  <c r="A173" i="3" a="1"/>
  <c r="A173" i="3" s="1"/>
  <c r="A173" i="6" s="1"/>
  <c r="A174" i="3" a="1"/>
  <c r="A174" i="3" s="1"/>
  <c r="A174" i="6" s="1"/>
  <c r="A175" i="3" a="1"/>
  <c r="A175" i="3" s="1"/>
  <c r="A175" i="6" s="1"/>
  <c r="A176" i="3" a="1"/>
  <c r="A176" i="3" s="1"/>
  <c r="A176" i="6" s="1"/>
  <c r="A177" i="3" a="1"/>
  <c r="A177" i="3" s="1"/>
  <c r="A177" i="6" s="1"/>
  <c r="A178" i="3" a="1"/>
  <c r="A178" i="3" s="1"/>
  <c r="A178" i="6" s="1"/>
  <c r="A179" i="3" a="1"/>
  <c r="A179" i="3" s="1"/>
  <c r="A179" i="6" s="1"/>
  <c r="A180" i="3" a="1"/>
  <c r="A180" i="3" s="1"/>
  <c r="A180" i="6" s="1"/>
  <c r="A181" i="3" a="1"/>
  <c r="A181" i="3" s="1"/>
  <c r="A181" i="6" s="1"/>
  <c r="A182" i="3" a="1"/>
  <c r="A182" i="3" s="1"/>
  <c r="A182" i="6" s="1"/>
  <c r="A183" i="3" a="1"/>
  <c r="A183" i="3" s="1"/>
  <c r="A183" i="6" s="1"/>
  <c r="A184" i="3" a="1"/>
  <c r="A184" i="3" s="1"/>
  <c r="A184" i="6" s="1"/>
  <c r="A185" i="3" a="1"/>
  <c r="A185" i="3" s="1"/>
  <c r="A185" i="6" s="1"/>
  <c r="A186" i="3" a="1"/>
  <c r="A186" i="3" s="1"/>
  <c r="A186" i="6" s="1"/>
  <c r="A187" i="3" a="1"/>
  <c r="A187" i="3" s="1"/>
  <c r="A187" i="6" s="1"/>
  <c r="A188" i="3" a="1"/>
  <c r="A188" i="3" s="1"/>
  <c r="A188" i="6" s="1"/>
  <c r="A189" i="3" a="1"/>
  <c r="A189" i="3" s="1"/>
  <c r="A189" i="6" s="1"/>
  <c r="A190" i="3" a="1"/>
  <c r="A190" i="3" s="1"/>
  <c r="A190" i="6" s="1"/>
  <c r="A191" i="3" a="1"/>
  <c r="A191" i="3" s="1"/>
  <c r="A191" i="6" s="1"/>
  <c r="A192" i="3" a="1"/>
  <c r="A192" i="3" s="1"/>
  <c r="A192" i="6" s="1"/>
  <c r="A193" i="3" a="1"/>
  <c r="A193" i="3" s="1"/>
  <c r="A193" i="6" s="1"/>
  <c r="A194" i="3" a="1"/>
  <c r="A194" i="3" s="1"/>
  <c r="A195" i="3" a="1"/>
  <c r="A195" i="3" s="1"/>
  <c r="A196" i="3" a="1"/>
  <c r="A196" i="3" s="1"/>
  <c r="A196" i="6" s="1"/>
  <c r="A197" i="3" a="1"/>
  <c r="A197" i="3" s="1"/>
  <c r="A197" i="6" s="1"/>
  <c r="A198" i="3" a="1"/>
  <c r="A198" i="3" s="1"/>
  <c r="A198" i="6" s="1"/>
  <c r="A199" i="3" a="1"/>
  <c r="A199" i="3" s="1"/>
  <c r="A199" i="6" s="1"/>
  <c r="A200" i="3" a="1"/>
  <c r="A200" i="3" s="1"/>
  <c r="A200" i="6" s="1"/>
  <c r="A201" i="3" a="1"/>
  <c r="A201" i="3" s="1"/>
  <c r="A201" i="6" s="1"/>
  <c r="A202" i="3" a="1"/>
  <c r="A202" i="3" s="1"/>
  <c r="A202" i="6" s="1"/>
  <c r="A203" i="3" a="1"/>
  <c r="A203" i="3" s="1"/>
  <c r="A203" i="6" s="1"/>
  <c r="A204" i="3" a="1"/>
  <c r="A204" i="3" s="1"/>
  <c r="A204" i="6" s="1"/>
  <c r="A205" i="3" a="1"/>
  <c r="A205" i="3" s="1"/>
  <c r="A205" i="6" s="1"/>
  <c r="A206" i="3" a="1"/>
  <c r="A206" i="3" s="1"/>
  <c r="A207" i="3" a="1"/>
  <c r="A207" i="3" s="1"/>
  <c r="A207" i="6" s="1"/>
  <c r="A208" i="3" a="1"/>
  <c r="A208" i="3" s="1"/>
  <c r="A208" i="6" s="1"/>
  <c r="A209" i="3" a="1"/>
  <c r="A209" i="3" s="1"/>
  <c r="A210" i="3" a="1"/>
  <c r="A210" i="3" s="1"/>
  <c r="A210" i="6" s="1"/>
  <c r="A211" i="3" a="1"/>
  <c r="A211" i="3" s="1"/>
  <c r="A211" i="6" s="1"/>
  <c r="A212" i="3" a="1"/>
  <c r="A212" i="3" s="1"/>
  <c r="A212" i="6" s="1"/>
  <c r="A213" i="3" a="1"/>
  <c r="A213" i="3" s="1"/>
  <c r="A213" i="6" s="1"/>
  <c r="A214" i="3" a="1"/>
  <c r="A214" i="3" s="1"/>
  <c r="A214" i="6" s="1"/>
  <c r="A215" i="3" a="1"/>
  <c r="A215" i="3" s="1"/>
  <c r="A216" i="3" a="1"/>
  <c r="A216" i="3" s="1"/>
  <c r="A216" i="6" s="1"/>
  <c r="A217" i="3" a="1"/>
  <c r="A217" i="3" s="1"/>
  <c r="A217" i="6" s="1"/>
  <c r="A218" i="3" a="1"/>
  <c r="A218" i="3" s="1"/>
  <c r="A218" i="6" s="1"/>
  <c r="A219" i="3" a="1"/>
  <c r="A219" i="3" s="1"/>
  <c r="A220" i="3" a="1"/>
  <c r="A220" i="3" s="1"/>
  <c r="A220" i="6" s="1"/>
  <c r="A221" i="3" a="1"/>
  <c r="A221" i="3" s="1"/>
  <c r="A222" i="3" a="1"/>
  <c r="A222" i="3" s="1"/>
  <c r="A222" i="6" s="1"/>
  <c r="A223" i="3" a="1"/>
  <c r="A223" i="3" s="1"/>
  <c r="A223" i="6" s="1"/>
  <c r="A224" i="3" a="1"/>
  <c r="A224" i="3" s="1"/>
  <c r="A224" i="6" s="1"/>
  <c r="A225" i="3" a="1"/>
  <c r="A225" i="3" s="1"/>
  <c r="A226" i="3" a="1"/>
  <c r="A226" i="3" s="1"/>
  <c r="A226" i="6" s="1"/>
  <c r="A227" i="3" a="1"/>
  <c r="A227" i="3" s="1"/>
  <c r="A228" i="3" a="1"/>
  <c r="A228" i="3" s="1"/>
  <c r="A228" i="6" s="1"/>
  <c r="A229" i="3" a="1"/>
  <c r="A229" i="3" s="1"/>
  <c r="A229" i="6" s="1"/>
  <c r="A230" i="3" a="1"/>
  <c r="A230" i="3" s="1"/>
  <c r="A230" i="6" s="1"/>
  <c r="A231" i="3" a="1"/>
  <c r="A231" i="3" s="1"/>
  <c r="A232" i="3" a="1"/>
  <c r="A232" i="3" s="1"/>
  <c r="A232" i="6" s="1"/>
  <c r="A233" i="3" a="1"/>
  <c r="A233" i="3" s="1"/>
  <c r="A233" i="6" s="1"/>
  <c r="A234" i="3" a="1"/>
  <c r="A234" i="3" s="1"/>
  <c r="A235" i="3" a="1"/>
  <c r="A235" i="3" s="1"/>
  <c r="A235" i="6" s="1"/>
  <c r="A236" i="3" a="1"/>
  <c r="A236" i="3" s="1"/>
  <c r="A236" i="6" s="1"/>
  <c r="A237" i="3" a="1"/>
  <c r="A237" i="3" s="1"/>
  <c r="A237" i="6" s="1"/>
  <c r="A238" i="3" a="1"/>
  <c r="A238" i="3" s="1"/>
  <c r="A238" i="6" s="1"/>
  <c r="A239" i="3" a="1"/>
  <c r="A239" i="3" s="1"/>
  <c r="A239" i="6" s="1"/>
  <c r="A240" i="3" a="1"/>
  <c r="A240" i="3" s="1"/>
  <c r="A240" i="6" s="1"/>
  <c r="A241" i="3" a="1"/>
  <c r="A241" i="3" s="1"/>
  <c r="A241" i="6" s="1"/>
  <c r="A242" i="3" a="1"/>
  <c r="A242" i="3" s="1"/>
  <c r="A242" i="6" s="1"/>
  <c r="A243" i="3" a="1"/>
  <c r="A243" i="3" s="1"/>
  <c r="A243" i="6" s="1"/>
  <c r="A170" i="1"/>
  <c r="B170" i="1" s="1"/>
  <c r="D170" i="15" s="1"/>
  <c r="A171" i="1"/>
  <c r="A172" i="1"/>
  <c r="A173" i="1"/>
  <c r="B173" i="1" s="1"/>
  <c r="D173" i="15" s="1"/>
  <c r="A174" i="1"/>
  <c r="B174" i="1" s="1"/>
  <c r="D174" i="15" s="1"/>
  <c r="A175" i="1"/>
  <c r="B175" i="1" s="1"/>
  <c r="D175" i="15" s="1"/>
  <c r="A176" i="1"/>
  <c r="B176" i="1" s="1"/>
  <c r="D176" i="15" s="1"/>
  <c r="A177" i="1"/>
  <c r="B177" i="1" s="1"/>
  <c r="D177" i="15" s="1"/>
  <c r="A178" i="1"/>
  <c r="B178" i="1" s="1"/>
  <c r="D178" i="15" s="1"/>
  <c r="A179" i="1"/>
  <c r="B179" i="1" s="1"/>
  <c r="D179" i="15" s="1"/>
  <c r="A180" i="1"/>
  <c r="B180" i="1" s="1"/>
  <c r="D180" i="15" s="1"/>
  <c r="A181" i="1"/>
  <c r="B181" i="1" s="1"/>
  <c r="D181" i="15" s="1"/>
  <c r="A182" i="1"/>
  <c r="B182" i="1" s="1"/>
  <c r="D182" i="15" s="1"/>
  <c r="A183" i="1"/>
  <c r="B183" i="1" s="1"/>
  <c r="D183" i="15" s="1"/>
  <c r="A184" i="1"/>
  <c r="B184" i="1" s="1"/>
  <c r="D184" i="15" s="1"/>
  <c r="A185" i="1"/>
  <c r="B185" i="1" s="1"/>
  <c r="D185" i="15" s="1"/>
  <c r="A186" i="1"/>
  <c r="B186" i="1" s="1"/>
  <c r="D186" i="15" s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A13" i="1"/>
  <c r="B13" i="1" s="1"/>
  <c r="D13" i="15" s="1"/>
  <c r="A14" i="1"/>
  <c r="B14" i="1" s="1"/>
  <c r="D14" i="15" s="1"/>
  <c r="A15" i="1"/>
  <c r="B15" i="1" s="1"/>
  <c r="D15" i="15" s="1"/>
  <c r="A16" i="1"/>
  <c r="A17" i="1"/>
  <c r="A18" i="1"/>
  <c r="A19" i="1"/>
  <c r="A20" i="1"/>
  <c r="A21" i="1"/>
  <c r="B21" i="1" s="1"/>
  <c r="D21" i="15" s="1"/>
  <c r="A22" i="1"/>
  <c r="A23" i="1"/>
  <c r="B23" i="1" s="1"/>
  <c r="D23" i="15" s="1"/>
  <c r="A24" i="1"/>
  <c r="A25" i="1"/>
  <c r="B25" i="1" s="1"/>
  <c r="D25" i="15" s="1"/>
  <c r="A26" i="1"/>
  <c r="B26" i="1" s="1"/>
  <c r="D26" i="15" s="1"/>
  <c r="A27" i="1"/>
  <c r="B27" i="1" s="1"/>
  <c r="D27" i="15" s="1"/>
  <c r="A28" i="1"/>
  <c r="A29" i="1"/>
  <c r="A30" i="1"/>
  <c r="A31" i="1"/>
  <c r="B31" i="1" s="1"/>
  <c r="D31" i="15" s="1"/>
  <c r="A32" i="1"/>
  <c r="A33" i="1"/>
  <c r="B33" i="1" s="1"/>
  <c r="D33" i="15" s="1"/>
  <c r="A34" i="1"/>
  <c r="B34" i="1" s="1"/>
  <c r="D34" i="15" s="1"/>
  <c r="A35" i="1"/>
  <c r="B35" i="1" s="1"/>
  <c r="D35" i="15" s="1"/>
  <c r="A36" i="1"/>
  <c r="A37" i="1"/>
  <c r="B37" i="1" s="1"/>
  <c r="D37" i="15" s="1"/>
  <c r="A38" i="1"/>
  <c r="B38" i="1" s="1"/>
  <c r="D38" i="15" s="1"/>
  <c r="A39" i="1"/>
  <c r="A40" i="1"/>
  <c r="A41" i="1"/>
  <c r="A42" i="1"/>
  <c r="A43" i="1"/>
  <c r="B43" i="1" s="1"/>
  <c r="D43" i="15" s="1"/>
  <c r="A44" i="1"/>
  <c r="A45" i="1"/>
  <c r="B45" i="1" s="1"/>
  <c r="D45" i="15" s="1"/>
  <c r="A46" i="1"/>
  <c r="B46" i="1" s="1"/>
  <c r="D46" i="15" s="1"/>
  <c r="A47" i="1"/>
  <c r="B47" i="1" s="1"/>
  <c r="D47" i="15" s="1"/>
  <c r="A48" i="1"/>
  <c r="A49" i="1"/>
  <c r="A50" i="1"/>
  <c r="B50" i="1" s="1"/>
  <c r="D50" i="15" s="1"/>
  <c r="A51" i="1"/>
  <c r="A52" i="1"/>
  <c r="A53" i="1"/>
  <c r="B53" i="1" s="1"/>
  <c r="D53" i="15" s="1"/>
  <c r="A54" i="1"/>
  <c r="A55" i="1"/>
  <c r="A56" i="1"/>
  <c r="A57" i="1"/>
  <c r="B57" i="1" s="1"/>
  <c r="D57" i="15" s="1"/>
  <c r="A58" i="1"/>
  <c r="A59" i="1"/>
  <c r="A60" i="1"/>
  <c r="A61" i="1"/>
  <c r="B61" i="1" s="1"/>
  <c r="D61" i="15" s="1"/>
  <c r="A62" i="1"/>
  <c r="B62" i="1" s="1"/>
  <c r="D62" i="15" s="1"/>
  <c r="A63" i="1"/>
  <c r="B63" i="1" s="1"/>
  <c r="D63" i="15" s="1"/>
  <c r="A64" i="1"/>
  <c r="A65" i="1"/>
  <c r="A66" i="1"/>
  <c r="A67" i="1"/>
  <c r="B67" i="1" s="1"/>
  <c r="D67" i="15" s="1"/>
  <c r="A68" i="1"/>
  <c r="A69" i="1"/>
  <c r="B69" i="1" s="1"/>
  <c r="D69" i="15" s="1"/>
  <c r="A70" i="1"/>
  <c r="B70" i="1" s="1"/>
  <c r="D70" i="15" s="1"/>
  <c r="A71" i="1"/>
  <c r="B71" i="1" s="1"/>
  <c r="D71" i="15" s="1"/>
  <c r="A72" i="1"/>
  <c r="A73" i="1"/>
  <c r="B73" i="1" s="1"/>
  <c r="D73" i="15" s="1"/>
  <c r="A74" i="1"/>
  <c r="B74" i="1" s="1"/>
  <c r="D74" i="15" s="1"/>
  <c r="A75" i="1"/>
  <c r="B75" i="1" s="1"/>
  <c r="D75" i="15" s="1"/>
  <c r="A76" i="1"/>
  <c r="A77" i="1"/>
  <c r="A78" i="1"/>
  <c r="A79" i="1"/>
  <c r="B79" i="1" s="1"/>
  <c r="D79" i="15" s="1"/>
  <c r="A80" i="1"/>
  <c r="A81" i="1"/>
  <c r="B81" i="1" s="1"/>
  <c r="D81" i="15" s="1"/>
  <c r="A82" i="1"/>
  <c r="A83" i="1"/>
  <c r="B83" i="1" s="1"/>
  <c r="D83" i="15" s="1"/>
  <c r="A84" i="1"/>
  <c r="A85" i="1"/>
  <c r="B85" i="1" s="1"/>
  <c r="D85" i="15" s="1"/>
  <c r="A86" i="1"/>
  <c r="B86" i="1" s="1"/>
  <c r="D86" i="15" s="1"/>
  <c r="A87" i="1"/>
  <c r="B87" i="1" s="1"/>
  <c r="D87" i="15" s="1"/>
  <c r="A88" i="1"/>
  <c r="A89" i="1"/>
  <c r="B89" i="1" s="1"/>
  <c r="D89" i="15" s="1"/>
  <c r="A90" i="1"/>
  <c r="A91" i="1"/>
  <c r="B91" i="1" s="1"/>
  <c r="D91" i="15" s="1"/>
  <c r="A92" i="1"/>
  <c r="A93" i="1"/>
  <c r="B93" i="1" s="1"/>
  <c r="D93" i="15" s="1"/>
  <c r="A94" i="1"/>
  <c r="A95" i="1"/>
  <c r="A96" i="1"/>
  <c r="A97" i="1"/>
  <c r="B97" i="1" s="1"/>
  <c r="D97" i="15" s="1"/>
  <c r="A98" i="1"/>
  <c r="B98" i="1" s="1"/>
  <c r="D98" i="15" s="1"/>
  <c r="A99" i="1"/>
  <c r="B99" i="1" s="1"/>
  <c r="D99" i="15" s="1"/>
  <c r="A100" i="1"/>
  <c r="A101" i="1"/>
  <c r="B101" i="1" s="1"/>
  <c r="D101" i="15" s="1"/>
  <c r="A102" i="1"/>
  <c r="A103" i="1"/>
  <c r="B103" i="1" s="1"/>
  <c r="D103" i="15" s="1"/>
  <c r="A104" i="1"/>
  <c r="A105" i="1"/>
  <c r="A106" i="1"/>
  <c r="B106" i="1" s="1"/>
  <c r="D106" i="15" s="1"/>
  <c r="A107" i="1"/>
  <c r="B107" i="1" s="1"/>
  <c r="D107" i="15" s="1"/>
  <c r="A108" i="1"/>
  <c r="A109" i="1"/>
  <c r="B109" i="1" s="1"/>
  <c r="D109" i="15" s="1"/>
  <c r="A110" i="1"/>
  <c r="B110" i="1" s="1"/>
  <c r="D110" i="15" s="1"/>
  <c r="A111" i="1"/>
  <c r="B111" i="1" s="1"/>
  <c r="D111" i="15" s="1"/>
  <c r="A112" i="1"/>
  <c r="A113" i="1"/>
  <c r="A114" i="1"/>
  <c r="A115" i="1"/>
  <c r="B115" i="1" s="1"/>
  <c r="D115" i="15" s="1"/>
  <c r="A116" i="1"/>
  <c r="A117" i="1"/>
  <c r="B117" i="1" s="1"/>
  <c r="D117" i="15" s="1"/>
  <c r="A118" i="1"/>
  <c r="B118" i="1" s="1"/>
  <c r="D118" i="15" s="1"/>
  <c r="A119" i="1"/>
  <c r="B119" i="1" s="1"/>
  <c r="D119" i="15" s="1"/>
  <c r="A120" i="1"/>
  <c r="A121" i="1"/>
  <c r="B121" i="1" s="1"/>
  <c r="D121" i="15" s="1"/>
  <c r="A122" i="1"/>
  <c r="B122" i="1" s="1"/>
  <c r="D122" i="15" s="1"/>
  <c r="A123" i="1"/>
  <c r="B123" i="1" s="1"/>
  <c r="D123" i="15" s="1"/>
  <c r="A124" i="1"/>
  <c r="A125" i="1"/>
  <c r="B125" i="1" s="1"/>
  <c r="D125" i="15" s="1"/>
  <c r="A126" i="1"/>
  <c r="A127" i="1"/>
  <c r="B127" i="1" s="1"/>
  <c r="D127" i="15" s="1"/>
  <c r="A128" i="1"/>
  <c r="A129" i="1"/>
  <c r="B129" i="1" s="1"/>
  <c r="D129" i="15" s="1"/>
  <c r="A130" i="1"/>
  <c r="B130" i="1" s="1"/>
  <c r="D130" i="15" s="1"/>
  <c r="A131" i="1"/>
  <c r="B131" i="1" s="1"/>
  <c r="D131" i="15" s="1"/>
  <c r="A132" i="1"/>
  <c r="A133" i="1"/>
  <c r="B133" i="1" s="1"/>
  <c r="D133" i="15" s="1"/>
  <c r="A134" i="1"/>
  <c r="B134" i="1" s="1"/>
  <c r="D134" i="15" s="1"/>
  <c r="A135" i="1"/>
  <c r="B135" i="1" s="1"/>
  <c r="D135" i="15" s="1"/>
  <c r="A136" i="1"/>
  <c r="A137" i="1"/>
  <c r="B137" i="1" s="1"/>
  <c r="D137" i="15" s="1"/>
  <c r="A138" i="1"/>
  <c r="A139" i="1"/>
  <c r="B139" i="1" s="1"/>
  <c r="D139" i="15" s="1"/>
  <c r="A140" i="1"/>
  <c r="A141" i="1"/>
  <c r="A142" i="1"/>
  <c r="B142" i="1" s="1"/>
  <c r="D142" i="15" s="1"/>
  <c r="A143" i="1"/>
  <c r="B143" i="1" s="1"/>
  <c r="D143" i="15" s="1"/>
  <c r="A144" i="1"/>
  <c r="A145" i="1"/>
  <c r="B145" i="1" s="1"/>
  <c r="D145" i="15" s="1"/>
  <c r="A146" i="1"/>
  <c r="B146" i="1" s="1"/>
  <c r="D146" i="15" s="1"/>
  <c r="A147" i="1"/>
  <c r="B147" i="1" s="1"/>
  <c r="D147" i="15" s="1"/>
  <c r="A148" i="1"/>
  <c r="A149" i="1"/>
  <c r="B149" i="1" s="1"/>
  <c r="D149" i="15" s="1"/>
  <c r="A150" i="1"/>
  <c r="A151" i="1"/>
  <c r="B151" i="1" s="1"/>
  <c r="D151" i="15" s="1"/>
  <c r="A152" i="1"/>
  <c r="A153" i="1"/>
  <c r="B153" i="1" s="1"/>
  <c r="D153" i="15" s="1"/>
  <c r="A154" i="1"/>
  <c r="B154" i="1" s="1"/>
  <c r="D154" i="15" s="1"/>
  <c r="A155" i="1"/>
  <c r="B155" i="1" s="1"/>
  <c r="D155" i="15" s="1"/>
  <c r="A156" i="1"/>
  <c r="A157" i="1"/>
  <c r="B157" i="1" s="1"/>
  <c r="D157" i="15" s="1"/>
  <c r="A158" i="1"/>
  <c r="B158" i="1" s="1"/>
  <c r="D158" i="15" s="1"/>
  <c r="A159" i="1"/>
  <c r="B159" i="1" s="1"/>
  <c r="D159" i="15" s="1"/>
  <c r="A160" i="1"/>
  <c r="A161" i="1"/>
  <c r="B161" i="1" s="1"/>
  <c r="D161" i="15" s="1"/>
  <c r="A162" i="1"/>
  <c r="B162" i="1" s="1"/>
  <c r="D162" i="15" s="1"/>
  <c r="A163" i="1"/>
  <c r="A164" i="1"/>
  <c r="A165" i="1"/>
  <c r="B165" i="1" s="1"/>
  <c r="A166" i="1"/>
  <c r="A167" i="1"/>
  <c r="B167" i="1" s="1"/>
  <c r="A168" i="1"/>
  <c r="B168" i="1" s="1"/>
  <c r="A169" i="1"/>
  <c r="B169" i="1" s="1"/>
  <c r="A11" i="1"/>
  <c r="A10" i="1"/>
  <c r="B10" i="1" s="1"/>
  <c r="D10" i="15" s="1"/>
  <c r="A3" i="1"/>
  <c r="A4" i="1"/>
  <c r="A5" i="1"/>
  <c r="B5" i="1" s="1"/>
  <c r="D5" i="15" s="1"/>
  <c r="A6" i="1"/>
  <c r="A7" i="1"/>
  <c r="A8" i="1"/>
  <c r="B8" i="1" s="1"/>
  <c r="D8" i="15" s="1"/>
  <c r="A9" i="1"/>
  <c r="B9" i="1" s="1"/>
  <c r="D9" i="15" s="1"/>
  <c r="A2" i="1"/>
  <c r="B2" i="1" s="1"/>
  <c r="D2" i="15" s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Q152" i="4"/>
  <c r="Q153" i="4"/>
  <c r="Q154" i="4"/>
  <c r="Q155" i="4"/>
  <c r="Q156" i="4"/>
  <c r="Q157" i="4"/>
  <c r="Q158" i="4"/>
  <c r="Q159" i="4"/>
  <c r="Q160" i="4"/>
  <c r="Q161" i="4"/>
  <c r="Q162" i="4"/>
  <c r="X152" i="4" a="1"/>
  <c r="X152" i="4" s="1"/>
  <c r="X153" i="4" a="1"/>
  <c r="X153" i="4" s="1"/>
  <c r="X154" i="4" a="1"/>
  <c r="X154" i="4" s="1"/>
  <c r="X155" i="4" a="1"/>
  <c r="X155" i="4" s="1"/>
  <c r="X156" i="4" a="1"/>
  <c r="X156" i="4" s="1"/>
  <c r="X157" i="4" a="1"/>
  <c r="X157" i="4" s="1"/>
  <c r="X158" i="4" a="1"/>
  <c r="X158" i="4" s="1"/>
  <c r="X159" i="4" a="1"/>
  <c r="X159" i="4" s="1"/>
  <c r="X160" i="4" a="1"/>
  <c r="X160" i="4" s="1"/>
  <c r="X161" i="4" a="1"/>
  <c r="X161" i="4" s="1"/>
  <c r="X162" i="4" a="1"/>
  <c r="X162" i="4" s="1"/>
  <c r="X163" i="4" a="1"/>
  <c r="X163" i="4" s="1"/>
  <c r="X164" i="4" a="1"/>
  <c r="X164" i="4" s="1"/>
  <c r="X165" i="4" a="1"/>
  <c r="X165" i="4" s="1"/>
  <c r="X166" i="4" a="1"/>
  <c r="X166" i="4" s="1"/>
  <c r="X167" i="4" a="1"/>
  <c r="X167" i="4" s="1"/>
  <c r="X168" i="4" a="1"/>
  <c r="X168" i="4" s="1"/>
  <c r="X169" i="4" a="1"/>
  <c r="X169" i="4" s="1"/>
  <c r="X170" i="4" a="1"/>
  <c r="X170" i="4" s="1"/>
  <c r="X171" i="4" a="1"/>
  <c r="X171" i="4" s="1"/>
  <c r="X172" i="4" a="1"/>
  <c r="X172" i="4" s="1"/>
  <c r="X173" i="4" a="1"/>
  <c r="X173" i="4" s="1"/>
  <c r="X174" i="4" a="1"/>
  <c r="X174" i="4" s="1"/>
  <c r="X175" i="4" a="1"/>
  <c r="X175" i="4" s="1"/>
  <c r="X176" i="4" a="1"/>
  <c r="X176" i="4" s="1"/>
  <c r="X177" i="4" a="1"/>
  <c r="X177" i="4" s="1"/>
  <c r="X178" i="4" a="1"/>
  <c r="X178" i="4" s="1"/>
  <c r="X179" i="4" a="1"/>
  <c r="X179" i="4" s="1"/>
  <c r="X180" i="4" a="1"/>
  <c r="X180" i="4" s="1"/>
  <c r="X181" i="4" a="1"/>
  <c r="X181" i="4" s="1"/>
  <c r="X182" i="4" a="1"/>
  <c r="X182" i="4" s="1"/>
  <c r="X183" i="4" a="1"/>
  <c r="X183" i="4" s="1"/>
  <c r="X184" i="4" a="1"/>
  <c r="X184" i="4" s="1"/>
  <c r="X185" i="4" a="1"/>
  <c r="X185" i="4" s="1"/>
  <c r="X186" i="4" a="1"/>
  <c r="X186" i="4" s="1"/>
  <c r="X187" i="4" a="1"/>
  <c r="X187" i="4" s="1"/>
  <c r="X188" i="4" a="1"/>
  <c r="X188" i="4" s="1"/>
  <c r="X189" i="4" a="1"/>
  <c r="X189" i="4" s="1"/>
  <c r="X190" i="4" a="1"/>
  <c r="X190" i="4" s="1"/>
  <c r="X191" i="4" a="1"/>
  <c r="X191" i="4" s="1"/>
  <c r="X192" i="4" a="1"/>
  <c r="X192" i="4" s="1"/>
  <c r="X193" i="4" a="1"/>
  <c r="X193" i="4" s="1"/>
  <c r="X194" i="4" a="1"/>
  <c r="X194" i="4" s="1"/>
  <c r="X195" i="4" a="1"/>
  <c r="X195" i="4" s="1"/>
  <c r="X196" i="4" a="1"/>
  <c r="X196" i="4" s="1"/>
  <c r="X197" i="4" a="1"/>
  <c r="X197" i="4" s="1"/>
  <c r="X198" i="4" a="1"/>
  <c r="X198" i="4" s="1"/>
  <c r="X199" i="4" a="1"/>
  <c r="X199" i="4" s="1"/>
  <c r="X200" i="4" a="1"/>
  <c r="X200" i="4" s="1"/>
  <c r="X201" i="4" a="1"/>
  <c r="X201" i="4" s="1"/>
  <c r="X202" i="4" a="1"/>
  <c r="X202" i="4" s="1"/>
  <c r="X203" i="4" a="1"/>
  <c r="X203" i="4" s="1"/>
  <c r="X204" i="4" a="1"/>
  <c r="X204" i="4" s="1"/>
  <c r="X205" i="4" a="1"/>
  <c r="X205" i="4" s="1"/>
  <c r="X206" i="4" a="1"/>
  <c r="X206" i="4" s="1"/>
  <c r="X207" i="4" a="1"/>
  <c r="X207" i="4" s="1"/>
  <c r="X208" i="4" a="1"/>
  <c r="X208" i="4" s="1"/>
  <c r="X209" i="4" a="1"/>
  <c r="X209" i="4" s="1"/>
  <c r="X210" i="4" a="1"/>
  <c r="X210" i="4" s="1"/>
  <c r="X211" i="4" a="1"/>
  <c r="X211" i="4" s="1"/>
  <c r="X212" i="4" a="1"/>
  <c r="X212" i="4" s="1"/>
  <c r="X213" i="4" a="1"/>
  <c r="X213" i="4" s="1"/>
  <c r="X214" i="4" a="1"/>
  <c r="X214" i="4" s="1"/>
  <c r="X215" i="4" a="1"/>
  <c r="X215" i="4" s="1"/>
  <c r="X216" i="4" a="1"/>
  <c r="X216" i="4" s="1"/>
  <c r="X217" i="4" a="1"/>
  <c r="X217" i="4" s="1"/>
  <c r="X218" i="4" a="1"/>
  <c r="X218" i="4" s="1"/>
  <c r="X219" i="4" a="1"/>
  <c r="X219" i="4" s="1"/>
  <c r="X220" i="4" a="1"/>
  <c r="X220" i="4" s="1"/>
  <c r="X221" i="4" a="1"/>
  <c r="X221" i="4" s="1"/>
  <c r="X222" i="4" a="1"/>
  <c r="X222" i="4" s="1"/>
  <c r="X223" i="4" a="1"/>
  <c r="X223" i="4" s="1"/>
  <c r="X224" i="4" a="1"/>
  <c r="X224" i="4" s="1"/>
  <c r="X225" i="4" a="1"/>
  <c r="X225" i="4" s="1"/>
  <c r="X226" i="4" a="1"/>
  <c r="X226" i="4" s="1"/>
  <c r="X227" i="4" a="1"/>
  <c r="X227" i="4" s="1"/>
  <c r="X228" i="4" a="1"/>
  <c r="X228" i="4" s="1"/>
  <c r="X229" i="4" a="1"/>
  <c r="X229" i="4" s="1"/>
  <c r="X230" i="4" a="1"/>
  <c r="X230" i="4" s="1"/>
  <c r="X231" i="4" a="1"/>
  <c r="X231" i="4" s="1"/>
  <c r="X232" i="4" a="1"/>
  <c r="X232" i="4" s="1"/>
  <c r="X233" i="4" a="1"/>
  <c r="X233" i="4" s="1"/>
  <c r="X234" i="4" a="1"/>
  <c r="X234" i="4" s="1"/>
  <c r="X235" i="4" a="1"/>
  <c r="X235" i="4" s="1"/>
  <c r="X236" i="4" a="1"/>
  <c r="X236" i="4" s="1"/>
  <c r="X237" i="4" a="1"/>
  <c r="X237" i="4" s="1"/>
  <c r="X238" i="4" a="1"/>
  <c r="X238" i="4" s="1"/>
  <c r="X239" i="4" a="1"/>
  <c r="X239" i="4" s="1"/>
  <c r="X240" i="4" a="1"/>
  <c r="X240" i="4" s="1"/>
  <c r="X241" i="4" a="1"/>
  <c r="X241" i="4" s="1"/>
  <c r="X242" i="4" a="1"/>
  <c r="X242" i="4" s="1"/>
  <c r="X243" i="4" a="1"/>
  <c r="X243" i="4" s="1"/>
  <c r="X244" i="4" a="1"/>
  <c r="X244" i="4" s="1"/>
  <c r="X245" i="4" a="1"/>
  <c r="X245" i="4" s="1"/>
  <c r="X246" i="4" a="1"/>
  <c r="X246" i="4" s="1"/>
  <c r="X247" i="4" a="1"/>
  <c r="X247" i="4" s="1"/>
  <c r="X248" i="4" a="1"/>
  <c r="X248" i="4" s="1"/>
  <c r="X249" i="4" a="1"/>
  <c r="X249" i="4" s="1"/>
  <c r="X250" i="4" a="1"/>
  <c r="X250" i="4" s="1"/>
  <c r="X251" i="4" a="1"/>
  <c r="X251" i="4" s="1"/>
  <c r="X252" i="4" a="1"/>
  <c r="X252" i="4" s="1"/>
  <c r="B6" i="1"/>
  <c r="D6" i="15" s="1"/>
  <c r="B17" i="1"/>
  <c r="D17" i="15" s="1"/>
  <c r="B18" i="1"/>
  <c r="D18" i="15" s="1"/>
  <c r="B22" i="1"/>
  <c r="D22" i="15" s="1"/>
  <c r="B29" i="1"/>
  <c r="D29" i="15" s="1"/>
  <c r="B30" i="1"/>
  <c r="D30" i="15" s="1"/>
  <c r="B39" i="1"/>
  <c r="D39" i="15" s="1"/>
  <c r="B41" i="1"/>
  <c r="D41" i="15" s="1"/>
  <c r="B42" i="1"/>
  <c r="D42" i="15" s="1"/>
  <c r="B51" i="1"/>
  <c r="D51" i="15" s="1"/>
  <c r="B54" i="1"/>
  <c r="D54" i="15" s="1"/>
  <c r="B58" i="1"/>
  <c r="D58" i="15" s="1"/>
  <c r="B59" i="1"/>
  <c r="D59" i="15" s="1"/>
  <c r="B60" i="1"/>
  <c r="D60" i="15" s="1"/>
  <c r="B65" i="1"/>
  <c r="D65" i="15" s="1"/>
  <c r="B66" i="1"/>
  <c r="D66" i="15" s="1"/>
  <c r="B82" i="1"/>
  <c r="D82" i="15" s="1"/>
  <c r="B94" i="1"/>
  <c r="D94" i="15" s="1"/>
  <c r="B105" i="1"/>
  <c r="D105" i="15" s="1"/>
  <c r="B141" i="1"/>
  <c r="D141" i="15" s="1"/>
  <c r="P454" i="5"/>
  <c r="P455" i="5"/>
  <c r="B4" i="1"/>
  <c r="D4" i="15" s="1"/>
  <c r="B19" i="1"/>
  <c r="D19" i="15" s="1"/>
  <c r="B49" i="1"/>
  <c r="D49" i="15" s="1"/>
  <c r="B55" i="1"/>
  <c r="D55" i="15" s="1"/>
  <c r="B77" i="1"/>
  <c r="D77" i="15" s="1"/>
  <c r="B78" i="1"/>
  <c r="D78" i="15" s="1"/>
  <c r="B90" i="1"/>
  <c r="D90" i="15" s="1"/>
  <c r="B95" i="1"/>
  <c r="D95" i="15" s="1"/>
  <c r="B102" i="1"/>
  <c r="D102" i="15" s="1"/>
  <c r="B113" i="1"/>
  <c r="D113" i="15" s="1"/>
  <c r="B114" i="1"/>
  <c r="D114" i="15" s="1"/>
  <c r="B126" i="1"/>
  <c r="D126" i="15" s="1"/>
  <c r="B138" i="1"/>
  <c r="D138" i="15" s="1"/>
  <c r="B150" i="1"/>
  <c r="D150" i="15" s="1"/>
  <c r="L152" i="4"/>
  <c r="N152" i="4" s="1"/>
  <c r="P152" i="4" s="1"/>
  <c r="M152" i="4"/>
  <c r="O152" i="4" s="1" a="1"/>
  <c r="O152" i="4" s="1"/>
  <c r="L153" i="4"/>
  <c r="N153" i="4" s="1"/>
  <c r="P153" i="4" s="1"/>
  <c r="M153" i="4"/>
  <c r="O153" i="4" s="1" a="1"/>
  <c r="O153" i="4" s="1"/>
  <c r="L154" i="4"/>
  <c r="N154" i="4" s="1"/>
  <c r="P154" i="4" s="1"/>
  <c r="M154" i="4"/>
  <c r="O154" i="4" s="1" a="1"/>
  <c r="O154" i="4" s="1"/>
  <c r="L155" i="4"/>
  <c r="N155" i="4" s="1"/>
  <c r="P155" i="4" s="1"/>
  <c r="M155" i="4"/>
  <c r="O155" i="4" s="1" a="1"/>
  <c r="O155" i="4" s="1"/>
  <c r="L156" i="4"/>
  <c r="N156" i="4" s="1"/>
  <c r="P156" i="4" s="1"/>
  <c r="M156" i="4"/>
  <c r="O156" i="4" s="1" a="1"/>
  <c r="O156" i="4" s="1"/>
  <c r="L157" i="4"/>
  <c r="N157" i="4" s="1"/>
  <c r="P157" i="4" s="1"/>
  <c r="M157" i="4"/>
  <c r="O157" i="4" s="1" a="1"/>
  <c r="O157" i="4" s="1"/>
  <c r="L158" i="4"/>
  <c r="N158" i="4" s="1"/>
  <c r="P158" i="4" s="1"/>
  <c r="M158" i="4"/>
  <c r="O158" i="4" s="1" a="1"/>
  <c r="O158" i="4" s="1"/>
  <c r="L159" i="4"/>
  <c r="N159" i="4" s="1"/>
  <c r="P159" i="4" s="1"/>
  <c r="M159" i="4"/>
  <c r="O159" i="4" s="1" a="1"/>
  <c r="O159" i="4" s="1"/>
  <c r="L160" i="4"/>
  <c r="N160" i="4" s="1"/>
  <c r="P160" i="4" s="1"/>
  <c r="M160" i="4"/>
  <c r="O160" i="4" s="1" a="1"/>
  <c r="O160" i="4" s="1"/>
  <c r="L161" i="4"/>
  <c r="N161" i="4" s="1"/>
  <c r="P161" i="4" s="1"/>
  <c r="M161" i="4"/>
  <c r="O161" i="4" s="1" a="1"/>
  <c r="O161" i="4" s="1"/>
  <c r="L162" i="4"/>
  <c r="N162" i="4" s="1"/>
  <c r="P162" i="4" s="1"/>
  <c r="M162" i="4"/>
  <c r="O162" i="4" s="1" a="1"/>
  <c r="O162" i="4" s="1"/>
  <c r="L163" i="4"/>
  <c r="N163" i="4" s="1"/>
  <c r="P163" i="4" s="1"/>
  <c r="M163" i="4"/>
  <c r="O163" i="4" s="1" a="1"/>
  <c r="O163" i="4" s="1"/>
  <c r="L164" i="4"/>
  <c r="N164" i="4" s="1"/>
  <c r="P164" i="4" s="1"/>
  <c r="M164" i="4"/>
  <c r="O164" i="4" s="1" a="1"/>
  <c r="O164" i="4" s="1"/>
  <c r="L165" i="4"/>
  <c r="N165" i="4" s="1"/>
  <c r="P165" i="4" s="1"/>
  <c r="M165" i="4"/>
  <c r="O165" i="4" s="1" a="1"/>
  <c r="O165" i="4" s="1"/>
  <c r="L166" i="4"/>
  <c r="N166" i="4" s="1"/>
  <c r="P166" i="4" s="1"/>
  <c r="M166" i="4"/>
  <c r="O166" i="4" s="1" a="1"/>
  <c r="O166" i="4" s="1"/>
  <c r="L167" i="4"/>
  <c r="N167" i="4" s="1"/>
  <c r="P167" i="4" s="1"/>
  <c r="M167" i="4"/>
  <c r="O167" i="4" s="1" a="1"/>
  <c r="O167" i="4" s="1"/>
  <c r="L168" i="4"/>
  <c r="N168" i="4" s="1"/>
  <c r="P168" i="4" s="1"/>
  <c r="M168" i="4"/>
  <c r="O168" i="4" s="1" a="1"/>
  <c r="O168" i="4" s="1"/>
  <c r="L169" i="4"/>
  <c r="N169" i="4" s="1"/>
  <c r="P169" i="4" s="1"/>
  <c r="M169" i="4"/>
  <c r="O169" i="4" s="1" a="1"/>
  <c r="O169" i="4" s="1"/>
  <c r="L170" i="4"/>
  <c r="N170" i="4" s="1"/>
  <c r="P170" i="4" s="1"/>
  <c r="M170" i="4"/>
  <c r="O170" i="4" s="1" a="1"/>
  <c r="O170" i="4" s="1"/>
  <c r="L171" i="4"/>
  <c r="N171" i="4" s="1"/>
  <c r="P171" i="4" s="1"/>
  <c r="M171" i="4"/>
  <c r="O171" i="4" s="1" a="1"/>
  <c r="O171" i="4" s="1"/>
  <c r="L172" i="4"/>
  <c r="N172" i="4" s="1"/>
  <c r="P172" i="4" s="1"/>
  <c r="M172" i="4"/>
  <c r="O172" i="4" s="1" a="1"/>
  <c r="O172" i="4" s="1"/>
  <c r="L173" i="4"/>
  <c r="N173" i="4" s="1"/>
  <c r="P173" i="4" s="1"/>
  <c r="M173" i="4"/>
  <c r="O173" i="4" s="1" a="1"/>
  <c r="O173" i="4" s="1"/>
  <c r="L174" i="4"/>
  <c r="N174" i="4" s="1"/>
  <c r="P174" i="4" s="1"/>
  <c r="M174" i="4"/>
  <c r="O174" i="4" s="1" a="1"/>
  <c r="O174" i="4" s="1"/>
  <c r="L175" i="4"/>
  <c r="N175" i="4" s="1"/>
  <c r="P175" i="4" s="1"/>
  <c r="M175" i="4"/>
  <c r="O175" i="4" s="1" a="1"/>
  <c r="O175" i="4" s="1"/>
  <c r="L176" i="4"/>
  <c r="N176" i="4" s="1"/>
  <c r="P176" i="4" s="1"/>
  <c r="M176" i="4"/>
  <c r="O176" i="4" s="1" a="1"/>
  <c r="O176" i="4" s="1"/>
  <c r="L177" i="4"/>
  <c r="N177" i="4" s="1"/>
  <c r="P177" i="4" s="1"/>
  <c r="M177" i="4"/>
  <c r="O177" i="4" s="1" a="1"/>
  <c r="O177" i="4" s="1"/>
  <c r="L178" i="4"/>
  <c r="N178" i="4" s="1"/>
  <c r="P178" i="4" s="1"/>
  <c r="M178" i="4"/>
  <c r="O178" i="4" s="1" a="1"/>
  <c r="O178" i="4" s="1"/>
  <c r="L179" i="4"/>
  <c r="N179" i="4" s="1"/>
  <c r="P179" i="4" s="1"/>
  <c r="M179" i="4"/>
  <c r="O179" i="4" s="1" a="1"/>
  <c r="O179" i="4" s="1"/>
  <c r="L180" i="4"/>
  <c r="N180" i="4" s="1"/>
  <c r="P180" i="4" s="1"/>
  <c r="M180" i="4"/>
  <c r="O180" i="4" s="1" a="1"/>
  <c r="O180" i="4" s="1"/>
  <c r="L181" i="4"/>
  <c r="N181" i="4" s="1"/>
  <c r="P181" i="4" s="1"/>
  <c r="M181" i="4"/>
  <c r="O181" i="4" s="1" a="1"/>
  <c r="O181" i="4" s="1"/>
  <c r="L182" i="4"/>
  <c r="N182" i="4" s="1"/>
  <c r="P182" i="4" s="1"/>
  <c r="M182" i="4"/>
  <c r="O182" i="4" s="1" a="1"/>
  <c r="O182" i="4" s="1"/>
  <c r="L183" i="4"/>
  <c r="N183" i="4" s="1"/>
  <c r="P183" i="4" s="1"/>
  <c r="M183" i="4"/>
  <c r="O183" i="4" s="1" a="1"/>
  <c r="O183" i="4" s="1"/>
  <c r="L184" i="4"/>
  <c r="N184" i="4" s="1"/>
  <c r="P184" i="4" s="1"/>
  <c r="M184" i="4"/>
  <c r="O184" i="4" s="1" a="1"/>
  <c r="O184" i="4" s="1"/>
  <c r="L185" i="4"/>
  <c r="N185" i="4" s="1"/>
  <c r="P185" i="4" s="1"/>
  <c r="M185" i="4"/>
  <c r="O185" i="4" s="1" a="1"/>
  <c r="O185" i="4" s="1"/>
  <c r="L186" i="4"/>
  <c r="N186" i="4" s="1"/>
  <c r="P186" i="4" s="1"/>
  <c r="M186" i="4"/>
  <c r="O186" i="4" s="1" a="1"/>
  <c r="O186" i="4" s="1"/>
  <c r="L187" i="4"/>
  <c r="N187" i="4" s="1"/>
  <c r="P187" i="4" s="1"/>
  <c r="M187" i="4"/>
  <c r="O187" i="4" s="1" a="1"/>
  <c r="O187" i="4" s="1"/>
  <c r="L188" i="4"/>
  <c r="N188" i="4" s="1"/>
  <c r="P188" i="4" s="1"/>
  <c r="M188" i="4"/>
  <c r="O188" i="4" s="1" a="1"/>
  <c r="O188" i="4" s="1"/>
  <c r="L189" i="4"/>
  <c r="N189" i="4" s="1"/>
  <c r="P189" i="4" s="1"/>
  <c r="M189" i="4"/>
  <c r="O189" i="4" s="1" a="1"/>
  <c r="O189" i="4" s="1"/>
  <c r="L190" i="4"/>
  <c r="N190" i="4" s="1"/>
  <c r="P190" i="4" s="1"/>
  <c r="M190" i="4"/>
  <c r="O190" i="4" s="1" a="1"/>
  <c r="O190" i="4" s="1"/>
  <c r="L191" i="4"/>
  <c r="N191" i="4" s="1"/>
  <c r="P191" i="4" s="1"/>
  <c r="M191" i="4"/>
  <c r="O191" i="4" s="1" a="1"/>
  <c r="O191" i="4" s="1"/>
  <c r="L192" i="4"/>
  <c r="N192" i="4" s="1"/>
  <c r="P192" i="4" s="1"/>
  <c r="M192" i="4"/>
  <c r="O192" i="4" s="1" a="1"/>
  <c r="O192" i="4" s="1"/>
  <c r="L193" i="4"/>
  <c r="N193" i="4" s="1"/>
  <c r="P193" i="4" s="1"/>
  <c r="M193" i="4"/>
  <c r="O193" i="4" s="1" a="1"/>
  <c r="O193" i="4" s="1"/>
  <c r="L194" i="4"/>
  <c r="N194" i="4" s="1"/>
  <c r="P194" i="4" s="1"/>
  <c r="M194" i="4"/>
  <c r="O194" i="4" s="1" a="1"/>
  <c r="O194" i="4" s="1"/>
  <c r="L195" i="4"/>
  <c r="N195" i="4" s="1"/>
  <c r="P195" i="4" s="1"/>
  <c r="M195" i="4"/>
  <c r="O195" i="4" s="1" a="1"/>
  <c r="O195" i="4" s="1"/>
  <c r="L196" i="4"/>
  <c r="N196" i="4" s="1"/>
  <c r="P196" i="4" s="1"/>
  <c r="M196" i="4"/>
  <c r="O196" i="4" s="1" a="1"/>
  <c r="O196" i="4" s="1"/>
  <c r="L197" i="4"/>
  <c r="N197" i="4" s="1"/>
  <c r="P197" i="4" s="1"/>
  <c r="M197" i="4"/>
  <c r="O197" i="4" s="1" a="1"/>
  <c r="O197" i="4" s="1"/>
  <c r="L198" i="4"/>
  <c r="N198" i="4" s="1"/>
  <c r="P198" i="4" s="1"/>
  <c r="M198" i="4"/>
  <c r="O198" i="4" s="1" a="1"/>
  <c r="O198" i="4" s="1"/>
  <c r="L199" i="4"/>
  <c r="N199" i="4" s="1"/>
  <c r="P199" i="4" s="1"/>
  <c r="M199" i="4"/>
  <c r="O199" i="4" s="1" a="1"/>
  <c r="O199" i="4" s="1"/>
  <c r="L200" i="4"/>
  <c r="N200" i="4" s="1"/>
  <c r="P200" i="4" s="1"/>
  <c r="M200" i="4"/>
  <c r="O200" i="4" s="1" a="1"/>
  <c r="O200" i="4" s="1"/>
  <c r="L201" i="4"/>
  <c r="N201" i="4" s="1"/>
  <c r="P201" i="4" s="1"/>
  <c r="M201" i="4"/>
  <c r="O201" i="4" s="1" a="1"/>
  <c r="O201" i="4" s="1"/>
  <c r="L202" i="4"/>
  <c r="N202" i="4" s="1"/>
  <c r="P202" i="4" s="1"/>
  <c r="M202" i="4"/>
  <c r="O202" i="4" s="1" a="1"/>
  <c r="O202" i="4" s="1"/>
  <c r="L203" i="4"/>
  <c r="N203" i="4" s="1"/>
  <c r="P203" i="4" s="1"/>
  <c r="M203" i="4"/>
  <c r="O203" i="4" s="1" a="1"/>
  <c r="O203" i="4" s="1"/>
  <c r="L204" i="4"/>
  <c r="N204" i="4" s="1"/>
  <c r="P204" i="4" s="1"/>
  <c r="M204" i="4"/>
  <c r="O204" i="4" s="1" a="1"/>
  <c r="O204" i="4" s="1"/>
  <c r="L205" i="4"/>
  <c r="N205" i="4" s="1"/>
  <c r="P205" i="4" s="1"/>
  <c r="M205" i="4"/>
  <c r="O205" i="4" s="1" a="1"/>
  <c r="O205" i="4" s="1"/>
  <c r="L206" i="4"/>
  <c r="N206" i="4" s="1"/>
  <c r="P206" i="4" s="1"/>
  <c r="M206" i="4"/>
  <c r="O206" i="4" s="1" a="1"/>
  <c r="O206" i="4" s="1"/>
  <c r="L207" i="4"/>
  <c r="N207" i="4" s="1"/>
  <c r="P207" i="4" s="1"/>
  <c r="M207" i="4"/>
  <c r="O207" i="4" s="1" a="1"/>
  <c r="O207" i="4" s="1"/>
  <c r="L208" i="4"/>
  <c r="N208" i="4" s="1"/>
  <c r="P208" i="4" s="1"/>
  <c r="M208" i="4"/>
  <c r="O208" i="4" s="1" a="1"/>
  <c r="O208" i="4" s="1"/>
  <c r="L209" i="4"/>
  <c r="N209" i="4" s="1"/>
  <c r="P209" i="4" s="1"/>
  <c r="M209" i="4"/>
  <c r="O209" i="4" s="1" a="1"/>
  <c r="O209" i="4" s="1"/>
  <c r="L210" i="4"/>
  <c r="N210" i="4" s="1"/>
  <c r="P210" i="4" s="1"/>
  <c r="M210" i="4"/>
  <c r="O210" i="4" s="1" a="1"/>
  <c r="O210" i="4" s="1"/>
  <c r="L211" i="4"/>
  <c r="N211" i="4" s="1"/>
  <c r="P211" i="4" s="1"/>
  <c r="M211" i="4"/>
  <c r="O211" i="4" s="1" a="1"/>
  <c r="O211" i="4" s="1"/>
  <c r="L212" i="4"/>
  <c r="N212" i="4" s="1"/>
  <c r="P212" i="4" s="1"/>
  <c r="M212" i="4"/>
  <c r="O212" i="4" s="1" a="1"/>
  <c r="O212" i="4" s="1"/>
  <c r="L213" i="4"/>
  <c r="N213" i="4" s="1"/>
  <c r="P213" i="4" s="1"/>
  <c r="M213" i="4"/>
  <c r="O213" i="4" s="1" a="1"/>
  <c r="O213" i="4" s="1"/>
  <c r="L214" i="4"/>
  <c r="N214" i="4" s="1"/>
  <c r="P214" i="4" s="1"/>
  <c r="M214" i="4"/>
  <c r="O214" i="4" s="1" a="1"/>
  <c r="O214" i="4" s="1"/>
  <c r="L215" i="4"/>
  <c r="N215" i="4" s="1"/>
  <c r="P215" i="4" s="1"/>
  <c r="M215" i="4"/>
  <c r="O215" i="4" s="1" a="1"/>
  <c r="O215" i="4" s="1"/>
  <c r="L216" i="4"/>
  <c r="N216" i="4" s="1"/>
  <c r="P216" i="4" s="1"/>
  <c r="M216" i="4"/>
  <c r="O216" i="4" s="1" a="1"/>
  <c r="O216" i="4" s="1"/>
  <c r="L217" i="4"/>
  <c r="N217" i="4" s="1"/>
  <c r="P217" i="4" s="1"/>
  <c r="M217" i="4"/>
  <c r="O217" i="4" s="1" a="1"/>
  <c r="O217" i="4" s="1"/>
  <c r="L218" i="4"/>
  <c r="N218" i="4" s="1"/>
  <c r="P218" i="4" s="1"/>
  <c r="M218" i="4"/>
  <c r="O218" i="4" s="1" a="1"/>
  <c r="O218" i="4" s="1"/>
  <c r="L219" i="4"/>
  <c r="N219" i="4" s="1"/>
  <c r="P219" i="4" s="1"/>
  <c r="M219" i="4"/>
  <c r="O219" i="4" s="1" a="1"/>
  <c r="O219" i="4" s="1"/>
  <c r="L220" i="4"/>
  <c r="N220" i="4" s="1"/>
  <c r="P220" i="4" s="1"/>
  <c r="M220" i="4"/>
  <c r="O220" i="4" s="1" a="1"/>
  <c r="O220" i="4" s="1"/>
  <c r="L221" i="4"/>
  <c r="N221" i="4" s="1"/>
  <c r="P221" i="4" s="1"/>
  <c r="M221" i="4"/>
  <c r="O221" i="4" s="1" a="1"/>
  <c r="O221" i="4" s="1"/>
  <c r="L222" i="4"/>
  <c r="N222" i="4" s="1"/>
  <c r="P222" i="4" s="1"/>
  <c r="M222" i="4"/>
  <c r="O222" i="4" s="1" a="1"/>
  <c r="O222" i="4" s="1"/>
  <c r="L223" i="4"/>
  <c r="N223" i="4" s="1"/>
  <c r="P223" i="4" s="1"/>
  <c r="M223" i="4"/>
  <c r="O223" i="4" s="1" a="1"/>
  <c r="O223" i="4" s="1"/>
  <c r="L224" i="4"/>
  <c r="N224" i="4" s="1"/>
  <c r="P224" i="4" s="1"/>
  <c r="M224" i="4"/>
  <c r="O224" i="4" s="1" a="1"/>
  <c r="O224" i="4" s="1"/>
  <c r="L225" i="4"/>
  <c r="N225" i="4" s="1"/>
  <c r="P225" i="4" s="1"/>
  <c r="M225" i="4"/>
  <c r="O225" i="4" s="1" a="1"/>
  <c r="O225" i="4" s="1"/>
  <c r="L226" i="4"/>
  <c r="N226" i="4" s="1"/>
  <c r="P226" i="4" s="1"/>
  <c r="M226" i="4"/>
  <c r="O226" i="4" s="1" a="1"/>
  <c r="O226" i="4" s="1"/>
  <c r="L227" i="4"/>
  <c r="N227" i="4" s="1"/>
  <c r="P227" i="4" s="1"/>
  <c r="M227" i="4"/>
  <c r="O227" i="4" s="1" a="1"/>
  <c r="O227" i="4" s="1"/>
  <c r="L228" i="4"/>
  <c r="N228" i="4" s="1"/>
  <c r="P228" i="4" s="1"/>
  <c r="M228" i="4"/>
  <c r="O228" i="4" s="1" a="1"/>
  <c r="O228" i="4" s="1"/>
  <c r="L229" i="4"/>
  <c r="N229" i="4" s="1"/>
  <c r="P229" i="4" s="1"/>
  <c r="M229" i="4"/>
  <c r="O229" i="4" s="1" a="1"/>
  <c r="O229" i="4" s="1"/>
  <c r="L230" i="4"/>
  <c r="N230" i="4" s="1"/>
  <c r="P230" i="4" s="1"/>
  <c r="M230" i="4"/>
  <c r="O230" i="4" s="1" a="1"/>
  <c r="O230" i="4" s="1"/>
  <c r="L231" i="4"/>
  <c r="N231" i="4" s="1"/>
  <c r="P231" i="4" s="1"/>
  <c r="M231" i="4"/>
  <c r="O231" i="4" s="1" a="1"/>
  <c r="O231" i="4" s="1"/>
  <c r="L232" i="4"/>
  <c r="N232" i="4" s="1"/>
  <c r="P232" i="4" s="1"/>
  <c r="M232" i="4"/>
  <c r="O232" i="4" s="1" a="1"/>
  <c r="O232" i="4" s="1"/>
  <c r="L233" i="4"/>
  <c r="N233" i="4" s="1"/>
  <c r="P233" i="4" s="1"/>
  <c r="M233" i="4"/>
  <c r="O233" i="4" s="1" a="1"/>
  <c r="O233" i="4" s="1"/>
  <c r="L234" i="4"/>
  <c r="N234" i="4" s="1"/>
  <c r="P234" i="4" s="1"/>
  <c r="M234" i="4"/>
  <c r="O234" i="4" s="1" a="1"/>
  <c r="O234" i="4" s="1"/>
  <c r="L235" i="4"/>
  <c r="N235" i="4" s="1"/>
  <c r="P235" i="4" s="1"/>
  <c r="M235" i="4"/>
  <c r="O235" i="4" s="1" a="1"/>
  <c r="O235" i="4" s="1"/>
  <c r="L236" i="4"/>
  <c r="N236" i="4" s="1"/>
  <c r="P236" i="4" s="1"/>
  <c r="M236" i="4"/>
  <c r="O236" i="4" s="1" a="1"/>
  <c r="O236" i="4" s="1"/>
  <c r="L237" i="4"/>
  <c r="N237" i="4" s="1"/>
  <c r="P237" i="4" s="1"/>
  <c r="M237" i="4"/>
  <c r="O237" i="4" s="1" a="1"/>
  <c r="O237" i="4" s="1"/>
  <c r="L238" i="4"/>
  <c r="N238" i="4" s="1"/>
  <c r="P238" i="4" s="1"/>
  <c r="M238" i="4"/>
  <c r="O238" i="4" s="1" a="1"/>
  <c r="O238" i="4" s="1"/>
  <c r="L239" i="4"/>
  <c r="N239" i="4" s="1"/>
  <c r="P239" i="4" s="1"/>
  <c r="M239" i="4"/>
  <c r="O239" i="4" s="1" a="1"/>
  <c r="O239" i="4" s="1"/>
  <c r="L240" i="4"/>
  <c r="N240" i="4" s="1"/>
  <c r="P240" i="4" s="1"/>
  <c r="M240" i="4"/>
  <c r="O240" i="4" s="1" a="1"/>
  <c r="O240" i="4" s="1"/>
  <c r="L241" i="4"/>
  <c r="N241" i="4" s="1"/>
  <c r="P241" i="4" s="1"/>
  <c r="M241" i="4"/>
  <c r="O241" i="4" s="1" a="1"/>
  <c r="O241" i="4" s="1"/>
  <c r="L242" i="4"/>
  <c r="N242" i="4" s="1"/>
  <c r="P242" i="4" s="1"/>
  <c r="M242" i="4"/>
  <c r="O242" i="4" s="1" a="1"/>
  <c r="O242" i="4" s="1"/>
  <c r="L243" i="4"/>
  <c r="N243" i="4" s="1"/>
  <c r="P243" i="4" s="1"/>
  <c r="M243" i="4"/>
  <c r="O243" i="4" s="1" a="1"/>
  <c r="O243" i="4" s="1"/>
  <c r="L244" i="4"/>
  <c r="N244" i="4" s="1"/>
  <c r="P244" i="4" s="1"/>
  <c r="M244" i="4"/>
  <c r="O244" i="4" s="1" a="1"/>
  <c r="O244" i="4" s="1"/>
  <c r="L245" i="4"/>
  <c r="N245" i="4" s="1"/>
  <c r="P245" i="4" s="1"/>
  <c r="M245" i="4"/>
  <c r="O245" i="4" s="1" a="1"/>
  <c r="O245" i="4" s="1"/>
  <c r="L246" i="4"/>
  <c r="N246" i="4" s="1"/>
  <c r="P246" i="4" s="1"/>
  <c r="M246" i="4"/>
  <c r="O246" i="4" s="1" a="1"/>
  <c r="O246" i="4" s="1"/>
  <c r="L247" i="4"/>
  <c r="N247" i="4" s="1"/>
  <c r="P247" i="4" s="1"/>
  <c r="M247" i="4"/>
  <c r="O247" i="4" s="1" a="1"/>
  <c r="O247" i="4" s="1"/>
  <c r="L248" i="4"/>
  <c r="N248" i="4" s="1"/>
  <c r="P248" i="4" s="1"/>
  <c r="M248" i="4"/>
  <c r="O248" i="4" s="1" a="1"/>
  <c r="O248" i="4" s="1"/>
  <c r="L249" i="4"/>
  <c r="N249" i="4" s="1"/>
  <c r="P249" i="4" s="1"/>
  <c r="M249" i="4"/>
  <c r="O249" i="4" s="1" a="1"/>
  <c r="O249" i="4" s="1"/>
  <c r="L250" i="4"/>
  <c r="N250" i="4" s="1"/>
  <c r="P250" i="4" s="1"/>
  <c r="M250" i="4"/>
  <c r="O250" i="4" s="1" a="1"/>
  <c r="O250" i="4" s="1"/>
  <c r="L251" i="4"/>
  <c r="N251" i="4" s="1"/>
  <c r="P251" i="4" s="1"/>
  <c r="M251" i="4"/>
  <c r="O251" i="4" s="1" a="1"/>
  <c r="O251" i="4" s="1"/>
  <c r="L252" i="4"/>
  <c r="N252" i="4" s="1"/>
  <c r="P252" i="4" s="1"/>
  <c r="M252" i="4"/>
  <c r="O252" i="4" s="1" a="1"/>
  <c r="O252" i="4" s="1"/>
  <c r="L253" i="4"/>
  <c r="N253" i="4" s="1"/>
  <c r="P253" i="4" s="1"/>
  <c r="M253" i="4"/>
  <c r="O253" i="4" s="1" a="1"/>
  <c r="O253" i="4" s="1"/>
  <c r="L254" i="4"/>
  <c r="N254" i="4" s="1"/>
  <c r="P254" i="4" s="1"/>
  <c r="M254" i="4"/>
  <c r="O254" i="4" s="1" a="1"/>
  <c r="O254" i="4" s="1"/>
  <c r="A1" i="10" a="1"/>
  <c r="AB18" i="10" s="1"/>
  <c r="X253" i="4" a="1"/>
  <c r="X253" i="4" s="1"/>
  <c r="X254" i="4" a="1"/>
  <c r="X254" i="4" s="1"/>
  <c r="X255" i="4" a="1"/>
  <c r="X255" i="4" s="1"/>
  <c r="X256" i="4" a="1"/>
  <c r="X256" i="4" s="1"/>
  <c r="X257" i="4" a="1"/>
  <c r="X257" i="4" s="1"/>
  <c r="X258" i="4" a="1"/>
  <c r="X258" i="4" s="1"/>
  <c r="X259" i="4" a="1"/>
  <c r="X259" i="4" s="1"/>
  <c r="A3" i="3" a="1"/>
  <c r="A4" i="3" a="1"/>
  <c r="A5" i="3" a="1"/>
  <c r="A6" i="3" a="1"/>
  <c r="A7" i="3" a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2" i="3" a="1"/>
  <c r="A33" i="3" a="1"/>
  <c r="A33" i="3" s="1"/>
  <c r="A33" i="6" s="1"/>
  <c r="A34" i="3" a="1"/>
  <c r="A2" i="3" a="1"/>
  <c r="C7" i="6" l="1"/>
  <c r="C6" i="6"/>
  <c r="C3" i="6"/>
  <c r="C5" i="6"/>
  <c r="C2" i="6"/>
  <c r="I235" i="6"/>
  <c r="J235" i="6"/>
  <c r="E259" i="6"/>
  <c r="H259" i="6"/>
  <c r="E116" i="6"/>
  <c r="H116" i="6"/>
  <c r="I116" i="6"/>
  <c r="J116" i="6"/>
  <c r="H60" i="6"/>
  <c r="E60" i="6"/>
  <c r="H63" i="6"/>
  <c r="E63" i="6"/>
  <c r="H72" i="6"/>
  <c r="E72" i="6"/>
  <c r="J82" i="6"/>
  <c r="E82" i="6"/>
  <c r="J85" i="6"/>
  <c r="E85" i="6"/>
  <c r="H88" i="6"/>
  <c r="E88" i="6"/>
  <c r="I90" i="6"/>
  <c r="E90" i="6"/>
  <c r="I91" i="6"/>
  <c r="E91" i="6"/>
  <c r="I92" i="6"/>
  <c r="E92" i="6"/>
  <c r="H107" i="6"/>
  <c r="E107" i="6"/>
  <c r="J111" i="6"/>
  <c r="E111" i="6"/>
  <c r="I112" i="6"/>
  <c r="E112" i="6"/>
  <c r="H126" i="6"/>
  <c r="E126" i="6"/>
  <c r="J128" i="6"/>
  <c r="E128" i="6"/>
  <c r="H139" i="6"/>
  <c r="E139" i="6"/>
  <c r="I141" i="6"/>
  <c r="E141" i="6"/>
  <c r="J143" i="6"/>
  <c r="E143" i="6"/>
  <c r="J146" i="6"/>
  <c r="E146" i="6"/>
  <c r="J149" i="6"/>
  <c r="E149" i="6"/>
  <c r="J150" i="6"/>
  <c r="E150" i="6"/>
  <c r="J164" i="6"/>
  <c r="E164" i="6"/>
  <c r="J165" i="6"/>
  <c r="E165" i="6"/>
  <c r="J167" i="6"/>
  <c r="E167" i="6"/>
  <c r="H183" i="6"/>
  <c r="E183" i="6"/>
  <c r="J184" i="6"/>
  <c r="E184" i="6"/>
  <c r="J186" i="6"/>
  <c r="E186" i="6"/>
  <c r="I187" i="6"/>
  <c r="E187" i="6"/>
  <c r="I188" i="6"/>
  <c r="E188" i="6"/>
  <c r="I190" i="6"/>
  <c r="E190" i="6"/>
  <c r="I191" i="6"/>
  <c r="E191" i="6"/>
  <c r="I193" i="6"/>
  <c r="E193" i="6"/>
  <c r="I194" i="6"/>
  <c r="E194" i="6"/>
  <c r="I196" i="6"/>
  <c r="E196" i="6"/>
  <c r="H207" i="6"/>
  <c r="E207" i="6"/>
  <c r="H210" i="6"/>
  <c r="E210" i="6"/>
  <c r="H211" i="6"/>
  <c r="E211" i="6"/>
  <c r="J212" i="6"/>
  <c r="E212" i="6"/>
  <c r="H233" i="6"/>
  <c r="E233" i="6"/>
  <c r="J234" i="6"/>
  <c r="E234" i="6"/>
  <c r="I238" i="6"/>
  <c r="E238" i="6"/>
  <c r="H333" i="6"/>
  <c r="E333" i="6"/>
  <c r="I334" i="6"/>
  <c r="E334" i="6"/>
  <c r="H343" i="6"/>
  <c r="E343" i="6"/>
  <c r="J345" i="6"/>
  <c r="E345" i="6"/>
  <c r="J353" i="6"/>
  <c r="E353" i="6"/>
  <c r="I361" i="6"/>
  <c r="E361" i="6"/>
  <c r="J366" i="6"/>
  <c r="E366" i="6"/>
  <c r="H384" i="6"/>
  <c r="E384" i="6"/>
  <c r="G2" i="12"/>
  <c r="AF160" i="4"/>
  <c r="AF180" i="4"/>
  <c r="AF192" i="4"/>
  <c r="AF204" i="4"/>
  <c r="AF224" i="4"/>
  <c r="AF228" i="4"/>
  <c r="AF240" i="4"/>
  <c r="AF252" i="4"/>
  <c r="AF164" i="4"/>
  <c r="AF176" i="4"/>
  <c r="AF188" i="4"/>
  <c r="AF200" i="4"/>
  <c r="AF212" i="4"/>
  <c r="AF216" i="4"/>
  <c r="AF232" i="4"/>
  <c r="AF244" i="4"/>
  <c r="AF168" i="4"/>
  <c r="AF172" i="4"/>
  <c r="AF184" i="4"/>
  <c r="AF196" i="4"/>
  <c r="AF208" i="4"/>
  <c r="AF220" i="4"/>
  <c r="AF236" i="4"/>
  <c r="AF248" i="4"/>
  <c r="AF256" i="4"/>
  <c r="A4" i="3"/>
  <c r="A4" i="6" s="1"/>
  <c r="E173" i="1"/>
  <c r="E711" i="1"/>
  <c r="B711" i="1"/>
  <c r="D711" i="15" s="1"/>
  <c r="E707" i="1"/>
  <c r="B707" i="1"/>
  <c r="D707" i="15" s="1"/>
  <c r="E703" i="1"/>
  <c r="B703" i="1"/>
  <c r="D703" i="15" s="1"/>
  <c r="E699" i="1"/>
  <c r="B699" i="1"/>
  <c r="D699" i="15" s="1"/>
  <c r="E695" i="1"/>
  <c r="B695" i="1"/>
  <c r="D695" i="15" s="1"/>
  <c r="E691" i="1"/>
  <c r="B691" i="1"/>
  <c r="D691" i="15" s="1"/>
  <c r="E687" i="1"/>
  <c r="B687" i="1"/>
  <c r="D687" i="15" s="1"/>
  <c r="E683" i="1"/>
  <c r="B683" i="1"/>
  <c r="D683" i="15" s="1"/>
  <c r="B679" i="1"/>
  <c r="D679" i="15" s="1"/>
  <c r="E679" i="1"/>
  <c r="B675" i="1"/>
  <c r="D675" i="15" s="1"/>
  <c r="E675" i="1"/>
  <c r="B671" i="1"/>
  <c r="D671" i="15" s="1"/>
  <c r="E671" i="1"/>
  <c r="B667" i="1"/>
  <c r="D667" i="15" s="1"/>
  <c r="E667" i="1"/>
  <c r="B663" i="1"/>
  <c r="D663" i="15" s="1"/>
  <c r="E663" i="1"/>
  <c r="B659" i="1"/>
  <c r="D659" i="15" s="1"/>
  <c r="E659" i="1"/>
  <c r="B655" i="1"/>
  <c r="D655" i="15" s="1"/>
  <c r="E655" i="1"/>
  <c r="B651" i="1"/>
  <c r="D651" i="15" s="1"/>
  <c r="E651" i="1"/>
  <c r="B647" i="1"/>
  <c r="D647" i="15" s="1"/>
  <c r="E647" i="1"/>
  <c r="B643" i="1"/>
  <c r="D643" i="15" s="1"/>
  <c r="E643" i="1"/>
  <c r="B639" i="1"/>
  <c r="D639" i="15" s="1"/>
  <c r="E639" i="1"/>
  <c r="B635" i="1"/>
  <c r="D635" i="15" s="1"/>
  <c r="E635" i="1"/>
  <c r="B631" i="1"/>
  <c r="D631" i="15" s="1"/>
  <c r="E631" i="1"/>
  <c r="B627" i="1"/>
  <c r="D627" i="15" s="1"/>
  <c r="E627" i="1"/>
  <c r="B623" i="1"/>
  <c r="D623" i="15" s="1"/>
  <c r="E623" i="1"/>
  <c r="B619" i="1"/>
  <c r="D619" i="15" s="1"/>
  <c r="E619" i="1"/>
  <c r="B615" i="1"/>
  <c r="D615" i="15" s="1"/>
  <c r="E615" i="1"/>
  <c r="B611" i="1"/>
  <c r="D611" i="15" s="1"/>
  <c r="E611" i="1"/>
  <c r="B607" i="1"/>
  <c r="D607" i="15" s="1"/>
  <c r="E607" i="1"/>
  <c r="B603" i="1"/>
  <c r="D603" i="15" s="1"/>
  <c r="E603" i="1"/>
  <c r="B599" i="1"/>
  <c r="D599" i="15" s="1"/>
  <c r="E599" i="1"/>
  <c r="B595" i="1"/>
  <c r="D595" i="15" s="1"/>
  <c r="E595" i="1"/>
  <c r="B591" i="1"/>
  <c r="D591" i="15" s="1"/>
  <c r="E591" i="1"/>
  <c r="B587" i="1"/>
  <c r="D587" i="15" s="1"/>
  <c r="E587" i="1"/>
  <c r="B583" i="1"/>
  <c r="D583" i="15" s="1"/>
  <c r="E583" i="1"/>
  <c r="B579" i="1"/>
  <c r="D579" i="15" s="1"/>
  <c r="E579" i="1"/>
  <c r="B575" i="1"/>
  <c r="D575" i="15" s="1"/>
  <c r="E575" i="1"/>
  <c r="B571" i="1"/>
  <c r="D571" i="15" s="1"/>
  <c r="E571" i="1"/>
  <c r="B567" i="1"/>
  <c r="D567" i="15" s="1"/>
  <c r="E567" i="1"/>
  <c r="B563" i="1"/>
  <c r="D563" i="15" s="1"/>
  <c r="E563" i="1"/>
  <c r="B559" i="1"/>
  <c r="D559" i="15" s="1"/>
  <c r="E559" i="1"/>
  <c r="B555" i="1"/>
  <c r="D555" i="15" s="1"/>
  <c r="E555" i="1"/>
  <c r="B551" i="1"/>
  <c r="D551" i="15" s="1"/>
  <c r="E551" i="1"/>
  <c r="B547" i="1"/>
  <c r="D547" i="15" s="1"/>
  <c r="E547" i="1"/>
  <c r="B543" i="1"/>
  <c r="D543" i="15" s="1"/>
  <c r="E543" i="1"/>
  <c r="B539" i="1"/>
  <c r="D539" i="15" s="1"/>
  <c r="E539" i="1"/>
  <c r="B535" i="1"/>
  <c r="D535" i="15" s="1"/>
  <c r="E535" i="1"/>
  <c r="B531" i="1"/>
  <c r="D531" i="15" s="1"/>
  <c r="E531" i="1"/>
  <c r="B527" i="1"/>
  <c r="D527" i="15" s="1"/>
  <c r="E527" i="1"/>
  <c r="B523" i="1"/>
  <c r="D523" i="15" s="1"/>
  <c r="E523" i="1"/>
  <c r="B519" i="1"/>
  <c r="D519" i="15" s="1"/>
  <c r="E519" i="1"/>
  <c r="B515" i="1"/>
  <c r="D515" i="15" s="1"/>
  <c r="E515" i="1"/>
  <c r="B511" i="1"/>
  <c r="D511" i="15" s="1"/>
  <c r="E511" i="1"/>
  <c r="B507" i="1"/>
  <c r="D507" i="15" s="1"/>
  <c r="E507" i="1"/>
  <c r="B503" i="1"/>
  <c r="D503" i="15" s="1"/>
  <c r="E503" i="1"/>
  <c r="B499" i="1"/>
  <c r="D499" i="15" s="1"/>
  <c r="E499" i="1"/>
  <c r="B495" i="1"/>
  <c r="D495" i="15" s="1"/>
  <c r="E495" i="1"/>
  <c r="B491" i="1"/>
  <c r="D491" i="15" s="1"/>
  <c r="E491" i="1"/>
  <c r="B487" i="1"/>
  <c r="D487" i="15" s="1"/>
  <c r="E487" i="1"/>
  <c r="B483" i="1"/>
  <c r="D483" i="15" s="1"/>
  <c r="E483" i="1"/>
  <c r="B479" i="1"/>
  <c r="D479" i="15" s="1"/>
  <c r="E479" i="1"/>
  <c r="B475" i="1"/>
  <c r="D475" i="15" s="1"/>
  <c r="E475" i="1"/>
  <c r="B471" i="1"/>
  <c r="D471" i="15" s="1"/>
  <c r="E471" i="1"/>
  <c r="B467" i="1"/>
  <c r="D467" i="15" s="1"/>
  <c r="E467" i="1"/>
  <c r="B463" i="1"/>
  <c r="D463" i="15" s="1"/>
  <c r="E463" i="1"/>
  <c r="B459" i="1"/>
  <c r="D459" i="15" s="1"/>
  <c r="E459" i="1"/>
  <c r="B455" i="1"/>
  <c r="D455" i="15" s="1"/>
  <c r="E455" i="1"/>
  <c r="B451" i="1"/>
  <c r="D451" i="15" s="1"/>
  <c r="E451" i="1"/>
  <c r="B447" i="1"/>
  <c r="D447" i="15" s="1"/>
  <c r="E447" i="1"/>
  <c r="B443" i="1"/>
  <c r="D443" i="15" s="1"/>
  <c r="E443" i="1"/>
  <c r="B439" i="1"/>
  <c r="D439" i="15" s="1"/>
  <c r="E439" i="1"/>
  <c r="B435" i="1"/>
  <c r="D435" i="15" s="1"/>
  <c r="E435" i="1"/>
  <c r="B431" i="1"/>
  <c r="D431" i="15" s="1"/>
  <c r="E431" i="1"/>
  <c r="B427" i="1"/>
  <c r="D427" i="15" s="1"/>
  <c r="E427" i="1"/>
  <c r="B423" i="1"/>
  <c r="D423" i="15" s="1"/>
  <c r="E423" i="1"/>
  <c r="B419" i="1"/>
  <c r="D419" i="15" s="1"/>
  <c r="E419" i="1"/>
  <c r="B415" i="1"/>
  <c r="D415" i="15" s="1"/>
  <c r="E415" i="1"/>
  <c r="B411" i="1"/>
  <c r="D411" i="15" s="1"/>
  <c r="E411" i="1"/>
  <c r="B407" i="1"/>
  <c r="D407" i="15" s="1"/>
  <c r="E407" i="1"/>
  <c r="B403" i="1"/>
  <c r="D403" i="15" s="1"/>
  <c r="E403" i="1"/>
  <c r="B399" i="1"/>
  <c r="D399" i="15" s="1"/>
  <c r="E399" i="1"/>
  <c r="B395" i="1"/>
  <c r="D395" i="15" s="1"/>
  <c r="E395" i="1"/>
  <c r="B391" i="1"/>
  <c r="D391" i="15" s="1"/>
  <c r="E391" i="1"/>
  <c r="B387" i="1"/>
  <c r="D387" i="15" s="1"/>
  <c r="E387" i="1"/>
  <c r="B383" i="1"/>
  <c r="D383" i="15" s="1"/>
  <c r="E383" i="1"/>
  <c r="B379" i="1"/>
  <c r="D379" i="15" s="1"/>
  <c r="E379" i="1"/>
  <c r="B375" i="1"/>
  <c r="D375" i="15" s="1"/>
  <c r="E375" i="1"/>
  <c r="B371" i="1"/>
  <c r="D371" i="15" s="1"/>
  <c r="E371" i="1"/>
  <c r="B367" i="1"/>
  <c r="D367" i="15" s="1"/>
  <c r="E367" i="1"/>
  <c r="B363" i="1"/>
  <c r="D363" i="15" s="1"/>
  <c r="E363" i="1"/>
  <c r="B359" i="1"/>
  <c r="D359" i="15" s="1"/>
  <c r="E359" i="1"/>
  <c r="B355" i="1"/>
  <c r="D355" i="15" s="1"/>
  <c r="E355" i="1"/>
  <c r="B351" i="1"/>
  <c r="D351" i="15" s="1"/>
  <c r="E351" i="1"/>
  <c r="B347" i="1"/>
  <c r="D347" i="15" s="1"/>
  <c r="E347" i="1"/>
  <c r="B343" i="1"/>
  <c r="D343" i="15" s="1"/>
  <c r="E343" i="1"/>
  <c r="B339" i="1"/>
  <c r="D339" i="15" s="1"/>
  <c r="E339" i="1"/>
  <c r="B335" i="1"/>
  <c r="D335" i="15" s="1"/>
  <c r="E335" i="1"/>
  <c r="B331" i="1"/>
  <c r="D331" i="15" s="1"/>
  <c r="E331" i="1"/>
  <c r="B327" i="1"/>
  <c r="D327" i="15" s="1"/>
  <c r="E327" i="1"/>
  <c r="B323" i="1"/>
  <c r="D323" i="15" s="1"/>
  <c r="E323" i="1"/>
  <c r="B319" i="1"/>
  <c r="D319" i="15" s="1"/>
  <c r="E319" i="1"/>
  <c r="B315" i="1"/>
  <c r="D315" i="15" s="1"/>
  <c r="E315" i="1"/>
  <c r="B311" i="1"/>
  <c r="D311" i="15" s="1"/>
  <c r="E311" i="1"/>
  <c r="B307" i="1"/>
  <c r="D307" i="15" s="1"/>
  <c r="E307" i="1"/>
  <c r="B303" i="1"/>
  <c r="D303" i="15" s="1"/>
  <c r="E303" i="1"/>
  <c r="B299" i="1"/>
  <c r="D299" i="15" s="1"/>
  <c r="E299" i="1"/>
  <c r="B295" i="1"/>
  <c r="D295" i="15" s="1"/>
  <c r="E295" i="1"/>
  <c r="B291" i="1"/>
  <c r="D291" i="15" s="1"/>
  <c r="E291" i="1"/>
  <c r="B287" i="1"/>
  <c r="D287" i="15" s="1"/>
  <c r="E287" i="1"/>
  <c r="B283" i="1"/>
  <c r="D283" i="15" s="1"/>
  <c r="E283" i="1"/>
  <c r="B279" i="1"/>
  <c r="D279" i="15" s="1"/>
  <c r="E279" i="1"/>
  <c r="B275" i="1"/>
  <c r="D275" i="15" s="1"/>
  <c r="E275" i="1"/>
  <c r="B271" i="1"/>
  <c r="D271" i="15" s="1"/>
  <c r="E271" i="1"/>
  <c r="B267" i="1"/>
  <c r="D267" i="15" s="1"/>
  <c r="E267" i="1"/>
  <c r="B263" i="1"/>
  <c r="D263" i="15" s="1"/>
  <c r="E263" i="1"/>
  <c r="B259" i="1"/>
  <c r="D259" i="15" s="1"/>
  <c r="E259" i="1"/>
  <c r="B255" i="1"/>
  <c r="D255" i="15" s="1"/>
  <c r="E255" i="1"/>
  <c r="B251" i="1"/>
  <c r="D251" i="15" s="1"/>
  <c r="E251" i="1"/>
  <c r="B247" i="1"/>
  <c r="D247" i="15" s="1"/>
  <c r="E247" i="1"/>
  <c r="B243" i="1"/>
  <c r="D243" i="15" s="1"/>
  <c r="E243" i="1"/>
  <c r="B239" i="1"/>
  <c r="D239" i="15" s="1"/>
  <c r="E239" i="1"/>
  <c r="B235" i="1"/>
  <c r="D235" i="15" s="1"/>
  <c r="E235" i="1"/>
  <c r="B231" i="1"/>
  <c r="D231" i="15" s="1"/>
  <c r="E231" i="1"/>
  <c r="B227" i="1"/>
  <c r="D227" i="15" s="1"/>
  <c r="E227" i="1"/>
  <c r="B223" i="1"/>
  <c r="D223" i="15" s="1"/>
  <c r="E223" i="1"/>
  <c r="B219" i="1"/>
  <c r="D219" i="15" s="1"/>
  <c r="E219" i="1"/>
  <c r="B215" i="1"/>
  <c r="D215" i="15" s="1"/>
  <c r="E215" i="1"/>
  <c r="B211" i="1"/>
  <c r="D211" i="15" s="1"/>
  <c r="E211" i="1"/>
  <c r="B207" i="1"/>
  <c r="D207" i="15" s="1"/>
  <c r="E207" i="1"/>
  <c r="B203" i="1"/>
  <c r="D203" i="15" s="1"/>
  <c r="E203" i="1"/>
  <c r="B199" i="1"/>
  <c r="D199" i="15" s="1"/>
  <c r="E199" i="1"/>
  <c r="B195" i="1"/>
  <c r="D195" i="15" s="1"/>
  <c r="E195" i="1"/>
  <c r="B191" i="1"/>
  <c r="D191" i="15" s="1"/>
  <c r="E191" i="1"/>
  <c r="B187" i="1"/>
  <c r="D187" i="15" s="1"/>
  <c r="E187" i="1"/>
  <c r="E171" i="1"/>
  <c r="B171" i="1"/>
  <c r="D171" i="15" s="1"/>
  <c r="B164" i="1"/>
  <c r="D164" i="15" s="1"/>
  <c r="E164" i="1"/>
  <c r="B710" i="1"/>
  <c r="D710" i="15" s="1"/>
  <c r="E710" i="1"/>
  <c r="B706" i="1"/>
  <c r="D706" i="15" s="1"/>
  <c r="E706" i="1"/>
  <c r="B702" i="1"/>
  <c r="D702" i="15" s="1"/>
  <c r="E702" i="1"/>
  <c r="B698" i="1"/>
  <c r="D698" i="15" s="1"/>
  <c r="E698" i="1"/>
  <c r="B694" i="1"/>
  <c r="D694" i="15" s="1"/>
  <c r="E694" i="1"/>
  <c r="B690" i="1"/>
  <c r="D690" i="15" s="1"/>
  <c r="E690" i="1"/>
  <c r="B686" i="1"/>
  <c r="D686" i="15" s="1"/>
  <c r="E686" i="1"/>
  <c r="B682" i="1"/>
  <c r="D682" i="15" s="1"/>
  <c r="E682" i="1"/>
  <c r="B678" i="1"/>
  <c r="D678" i="15" s="1"/>
  <c r="E678" i="1"/>
  <c r="B674" i="1"/>
  <c r="D674" i="15" s="1"/>
  <c r="E674" i="1"/>
  <c r="B670" i="1"/>
  <c r="D670" i="15" s="1"/>
  <c r="E670" i="1"/>
  <c r="B666" i="1"/>
  <c r="D666" i="15" s="1"/>
  <c r="E666" i="1"/>
  <c r="B662" i="1"/>
  <c r="D662" i="15" s="1"/>
  <c r="E662" i="1"/>
  <c r="B658" i="1"/>
  <c r="D658" i="15" s="1"/>
  <c r="E658" i="1"/>
  <c r="B654" i="1"/>
  <c r="D654" i="15" s="1"/>
  <c r="E654" i="1"/>
  <c r="B650" i="1"/>
  <c r="D650" i="15" s="1"/>
  <c r="E650" i="1"/>
  <c r="B646" i="1"/>
  <c r="D646" i="15" s="1"/>
  <c r="E646" i="1"/>
  <c r="B642" i="1"/>
  <c r="D642" i="15" s="1"/>
  <c r="E642" i="1"/>
  <c r="B638" i="1"/>
  <c r="D638" i="15" s="1"/>
  <c r="E638" i="1"/>
  <c r="B634" i="1"/>
  <c r="D634" i="15" s="1"/>
  <c r="E634" i="1"/>
  <c r="B630" i="1"/>
  <c r="D630" i="15" s="1"/>
  <c r="E630" i="1"/>
  <c r="B626" i="1"/>
  <c r="D626" i="15" s="1"/>
  <c r="E626" i="1"/>
  <c r="B622" i="1"/>
  <c r="D622" i="15" s="1"/>
  <c r="E622" i="1"/>
  <c r="B618" i="1"/>
  <c r="D618" i="15" s="1"/>
  <c r="E618" i="1"/>
  <c r="B614" i="1"/>
  <c r="D614" i="15" s="1"/>
  <c r="E614" i="1"/>
  <c r="B610" i="1"/>
  <c r="D610" i="15" s="1"/>
  <c r="E610" i="1"/>
  <c r="B606" i="1"/>
  <c r="D606" i="15" s="1"/>
  <c r="E606" i="1"/>
  <c r="B602" i="1"/>
  <c r="D602" i="15" s="1"/>
  <c r="E602" i="1"/>
  <c r="B598" i="1"/>
  <c r="D598" i="15" s="1"/>
  <c r="E598" i="1"/>
  <c r="B594" i="1"/>
  <c r="D594" i="15" s="1"/>
  <c r="E594" i="1"/>
  <c r="B590" i="1"/>
  <c r="D590" i="15" s="1"/>
  <c r="E590" i="1"/>
  <c r="B586" i="1"/>
  <c r="D586" i="15" s="1"/>
  <c r="E586" i="1"/>
  <c r="B582" i="1"/>
  <c r="D582" i="15" s="1"/>
  <c r="E582" i="1"/>
  <c r="B578" i="1"/>
  <c r="D578" i="15" s="1"/>
  <c r="E578" i="1"/>
  <c r="B574" i="1"/>
  <c r="D574" i="15" s="1"/>
  <c r="E574" i="1"/>
  <c r="B570" i="1"/>
  <c r="D570" i="15" s="1"/>
  <c r="E570" i="1"/>
  <c r="B566" i="1"/>
  <c r="D566" i="15" s="1"/>
  <c r="E566" i="1"/>
  <c r="B562" i="1"/>
  <c r="D562" i="15" s="1"/>
  <c r="E562" i="1"/>
  <c r="B558" i="1"/>
  <c r="D558" i="15" s="1"/>
  <c r="E558" i="1"/>
  <c r="B554" i="1"/>
  <c r="D554" i="15" s="1"/>
  <c r="E554" i="1"/>
  <c r="B550" i="1"/>
  <c r="D550" i="15" s="1"/>
  <c r="E550" i="1"/>
  <c r="B546" i="1"/>
  <c r="D546" i="15" s="1"/>
  <c r="E546" i="1"/>
  <c r="B542" i="1"/>
  <c r="D542" i="15" s="1"/>
  <c r="E542" i="1"/>
  <c r="B538" i="1"/>
  <c r="D538" i="15" s="1"/>
  <c r="E538" i="1"/>
  <c r="B534" i="1"/>
  <c r="D534" i="15" s="1"/>
  <c r="E534" i="1"/>
  <c r="B530" i="1"/>
  <c r="D530" i="15" s="1"/>
  <c r="E530" i="1"/>
  <c r="B526" i="1"/>
  <c r="D526" i="15" s="1"/>
  <c r="E526" i="1"/>
  <c r="B522" i="1"/>
  <c r="D522" i="15" s="1"/>
  <c r="E522" i="1"/>
  <c r="B518" i="1"/>
  <c r="D518" i="15" s="1"/>
  <c r="E518" i="1"/>
  <c r="B514" i="1"/>
  <c r="D514" i="15" s="1"/>
  <c r="E514" i="1"/>
  <c r="B510" i="1"/>
  <c r="D510" i="15" s="1"/>
  <c r="E510" i="1"/>
  <c r="B506" i="1"/>
  <c r="D506" i="15" s="1"/>
  <c r="E506" i="1"/>
  <c r="B502" i="1"/>
  <c r="D502" i="15" s="1"/>
  <c r="E502" i="1"/>
  <c r="B498" i="1"/>
  <c r="D498" i="15" s="1"/>
  <c r="E498" i="1"/>
  <c r="B494" i="1"/>
  <c r="D494" i="15" s="1"/>
  <c r="E494" i="1"/>
  <c r="B490" i="1"/>
  <c r="D490" i="15" s="1"/>
  <c r="E490" i="1"/>
  <c r="B486" i="1"/>
  <c r="D486" i="15" s="1"/>
  <c r="E486" i="1"/>
  <c r="B482" i="1"/>
  <c r="D482" i="15" s="1"/>
  <c r="E482" i="1"/>
  <c r="B478" i="1"/>
  <c r="D478" i="15" s="1"/>
  <c r="E478" i="1"/>
  <c r="B474" i="1"/>
  <c r="D474" i="15" s="1"/>
  <c r="E474" i="1"/>
  <c r="B470" i="1"/>
  <c r="D470" i="15" s="1"/>
  <c r="E470" i="1"/>
  <c r="B466" i="1"/>
  <c r="D466" i="15" s="1"/>
  <c r="E466" i="1"/>
  <c r="B462" i="1"/>
  <c r="D462" i="15" s="1"/>
  <c r="E462" i="1"/>
  <c r="B458" i="1"/>
  <c r="D458" i="15" s="1"/>
  <c r="E458" i="1"/>
  <c r="B454" i="1"/>
  <c r="D454" i="15" s="1"/>
  <c r="E454" i="1"/>
  <c r="B450" i="1"/>
  <c r="D450" i="15" s="1"/>
  <c r="E450" i="1"/>
  <c r="B446" i="1"/>
  <c r="D446" i="15" s="1"/>
  <c r="E446" i="1"/>
  <c r="B442" i="1"/>
  <c r="D442" i="15" s="1"/>
  <c r="E442" i="1"/>
  <c r="B438" i="1"/>
  <c r="D438" i="15" s="1"/>
  <c r="E438" i="1"/>
  <c r="B434" i="1"/>
  <c r="D434" i="15" s="1"/>
  <c r="E434" i="1"/>
  <c r="B430" i="1"/>
  <c r="D430" i="15" s="1"/>
  <c r="E430" i="1"/>
  <c r="B426" i="1"/>
  <c r="D426" i="15" s="1"/>
  <c r="E426" i="1"/>
  <c r="B422" i="1"/>
  <c r="D422" i="15" s="1"/>
  <c r="E422" i="1"/>
  <c r="B418" i="1"/>
  <c r="D418" i="15" s="1"/>
  <c r="E418" i="1"/>
  <c r="B414" i="1"/>
  <c r="D414" i="15" s="1"/>
  <c r="E414" i="1"/>
  <c r="B410" i="1"/>
  <c r="D410" i="15" s="1"/>
  <c r="E410" i="1"/>
  <c r="B406" i="1"/>
  <c r="D406" i="15" s="1"/>
  <c r="E406" i="1"/>
  <c r="B402" i="1"/>
  <c r="D402" i="15" s="1"/>
  <c r="E402" i="1"/>
  <c r="B398" i="1"/>
  <c r="D398" i="15" s="1"/>
  <c r="E398" i="1"/>
  <c r="B394" i="1"/>
  <c r="D394" i="15" s="1"/>
  <c r="E394" i="1"/>
  <c r="B390" i="1"/>
  <c r="D390" i="15" s="1"/>
  <c r="E390" i="1"/>
  <c r="B386" i="1"/>
  <c r="D386" i="15" s="1"/>
  <c r="E386" i="1"/>
  <c r="B382" i="1"/>
  <c r="D382" i="15" s="1"/>
  <c r="E382" i="1"/>
  <c r="B378" i="1"/>
  <c r="D378" i="15" s="1"/>
  <c r="E378" i="1"/>
  <c r="B374" i="1"/>
  <c r="D374" i="15" s="1"/>
  <c r="E374" i="1"/>
  <c r="B370" i="1"/>
  <c r="D370" i="15" s="1"/>
  <c r="E370" i="1"/>
  <c r="B366" i="1"/>
  <c r="D366" i="15" s="1"/>
  <c r="E366" i="1"/>
  <c r="B362" i="1"/>
  <c r="D362" i="15" s="1"/>
  <c r="E362" i="1"/>
  <c r="B358" i="1"/>
  <c r="D358" i="15" s="1"/>
  <c r="E358" i="1"/>
  <c r="B354" i="1"/>
  <c r="D354" i="15" s="1"/>
  <c r="E354" i="1"/>
  <c r="B350" i="1"/>
  <c r="D350" i="15" s="1"/>
  <c r="E350" i="1"/>
  <c r="B346" i="1"/>
  <c r="D346" i="15" s="1"/>
  <c r="E346" i="1"/>
  <c r="B342" i="1"/>
  <c r="D342" i="15" s="1"/>
  <c r="E342" i="1"/>
  <c r="B338" i="1"/>
  <c r="D338" i="15" s="1"/>
  <c r="E338" i="1"/>
  <c r="B334" i="1"/>
  <c r="D334" i="15" s="1"/>
  <c r="E334" i="1"/>
  <c r="B330" i="1"/>
  <c r="D330" i="15" s="1"/>
  <c r="E330" i="1"/>
  <c r="B326" i="1"/>
  <c r="D326" i="15" s="1"/>
  <c r="E326" i="1"/>
  <c r="B322" i="1"/>
  <c r="D322" i="15" s="1"/>
  <c r="E322" i="1"/>
  <c r="B318" i="1"/>
  <c r="D318" i="15" s="1"/>
  <c r="E318" i="1"/>
  <c r="B314" i="1"/>
  <c r="D314" i="15" s="1"/>
  <c r="E314" i="1"/>
  <c r="B310" i="1"/>
  <c r="D310" i="15" s="1"/>
  <c r="E310" i="1"/>
  <c r="B306" i="1"/>
  <c r="D306" i="15" s="1"/>
  <c r="E306" i="1"/>
  <c r="B302" i="1"/>
  <c r="D302" i="15" s="1"/>
  <c r="E302" i="1"/>
  <c r="B298" i="1"/>
  <c r="D298" i="15" s="1"/>
  <c r="E298" i="1"/>
  <c r="B294" i="1"/>
  <c r="D294" i="15" s="1"/>
  <c r="E294" i="1"/>
  <c r="B290" i="1"/>
  <c r="D290" i="15" s="1"/>
  <c r="E290" i="1"/>
  <c r="B286" i="1"/>
  <c r="D286" i="15" s="1"/>
  <c r="E286" i="1"/>
  <c r="B282" i="1"/>
  <c r="D282" i="15" s="1"/>
  <c r="E282" i="1"/>
  <c r="B278" i="1"/>
  <c r="D278" i="15" s="1"/>
  <c r="E278" i="1"/>
  <c r="B274" i="1"/>
  <c r="D274" i="15" s="1"/>
  <c r="E274" i="1"/>
  <c r="B270" i="1"/>
  <c r="D270" i="15" s="1"/>
  <c r="E270" i="1"/>
  <c r="B266" i="1"/>
  <c r="D266" i="15" s="1"/>
  <c r="E266" i="1"/>
  <c r="B262" i="1"/>
  <c r="D262" i="15" s="1"/>
  <c r="E262" i="1"/>
  <c r="B258" i="1"/>
  <c r="D258" i="15" s="1"/>
  <c r="E258" i="1"/>
  <c r="B254" i="1"/>
  <c r="D254" i="15" s="1"/>
  <c r="E254" i="1"/>
  <c r="B250" i="1"/>
  <c r="D250" i="15" s="1"/>
  <c r="E250" i="1"/>
  <c r="B246" i="1"/>
  <c r="D246" i="15" s="1"/>
  <c r="E246" i="1"/>
  <c r="B242" i="1"/>
  <c r="D242" i="15" s="1"/>
  <c r="E242" i="1"/>
  <c r="B238" i="1"/>
  <c r="D238" i="15" s="1"/>
  <c r="E238" i="1"/>
  <c r="B234" i="1"/>
  <c r="D234" i="15" s="1"/>
  <c r="E234" i="1"/>
  <c r="B230" i="1"/>
  <c r="D230" i="15" s="1"/>
  <c r="E230" i="1"/>
  <c r="B226" i="1"/>
  <c r="D226" i="15" s="1"/>
  <c r="E226" i="1"/>
  <c r="B222" i="1"/>
  <c r="D222" i="15" s="1"/>
  <c r="E222" i="1"/>
  <c r="B218" i="1"/>
  <c r="D218" i="15" s="1"/>
  <c r="E218" i="1"/>
  <c r="B214" i="1"/>
  <c r="D214" i="15" s="1"/>
  <c r="E214" i="1"/>
  <c r="B210" i="1"/>
  <c r="D210" i="15" s="1"/>
  <c r="E210" i="1"/>
  <c r="B206" i="1"/>
  <c r="D206" i="15" s="1"/>
  <c r="E206" i="1"/>
  <c r="B202" i="1"/>
  <c r="D202" i="15" s="1"/>
  <c r="E202" i="1"/>
  <c r="B198" i="1"/>
  <c r="D198" i="15" s="1"/>
  <c r="E198" i="1"/>
  <c r="B194" i="1"/>
  <c r="D194" i="15" s="1"/>
  <c r="E194" i="1"/>
  <c r="B190" i="1"/>
  <c r="D190" i="15" s="1"/>
  <c r="E190" i="1"/>
  <c r="E163" i="1"/>
  <c r="B163" i="1"/>
  <c r="D163" i="15" s="1"/>
  <c r="B709" i="1"/>
  <c r="D709" i="15" s="1"/>
  <c r="E709" i="1"/>
  <c r="B705" i="1"/>
  <c r="D705" i="15" s="1"/>
  <c r="E705" i="1"/>
  <c r="B701" i="1"/>
  <c r="D701" i="15" s="1"/>
  <c r="E701" i="1"/>
  <c r="B697" i="1"/>
  <c r="D697" i="15" s="1"/>
  <c r="E697" i="1"/>
  <c r="B693" i="1"/>
  <c r="D693" i="15" s="1"/>
  <c r="E693" i="1"/>
  <c r="B689" i="1"/>
  <c r="D689" i="15" s="1"/>
  <c r="E689" i="1"/>
  <c r="B685" i="1"/>
  <c r="D685" i="15" s="1"/>
  <c r="E685" i="1"/>
  <c r="B681" i="1"/>
  <c r="D681" i="15" s="1"/>
  <c r="E681" i="1"/>
  <c r="B677" i="1"/>
  <c r="D677" i="15" s="1"/>
  <c r="E677" i="1"/>
  <c r="E673" i="1"/>
  <c r="B673" i="1"/>
  <c r="D673" i="15" s="1"/>
  <c r="B669" i="1"/>
  <c r="D669" i="15" s="1"/>
  <c r="E669" i="1"/>
  <c r="E665" i="1"/>
  <c r="B665" i="1"/>
  <c r="D665" i="15" s="1"/>
  <c r="E661" i="1"/>
  <c r="B661" i="1"/>
  <c r="D661" i="15" s="1"/>
  <c r="E657" i="1"/>
  <c r="B657" i="1"/>
  <c r="D657" i="15" s="1"/>
  <c r="E653" i="1"/>
  <c r="B653" i="1"/>
  <c r="D653" i="15" s="1"/>
  <c r="E649" i="1"/>
  <c r="B649" i="1"/>
  <c r="D649" i="15" s="1"/>
  <c r="E645" i="1"/>
  <c r="B645" i="1"/>
  <c r="D645" i="15" s="1"/>
  <c r="E641" i="1"/>
  <c r="B641" i="1"/>
  <c r="D641" i="15" s="1"/>
  <c r="E637" i="1"/>
  <c r="B637" i="1"/>
  <c r="D637" i="15" s="1"/>
  <c r="E633" i="1"/>
  <c r="B633" i="1"/>
  <c r="D633" i="15" s="1"/>
  <c r="E629" i="1"/>
  <c r="B629" i="1"/>
  <c r="D629" i="15" s="1"/>
  <c r="E625" i="1"/>
  <c r="B625" i="1"/>
  <c r="D625" i="15" s="1"/>
  <c r="E621" i="1"/>
  <c r="B621" i="1"/>
  <c r="D621" i="15" s="1"/>
  <c r="E617" i="1"/>
  <c r="B617" i="1"/>
  <c r="D617" i="15" s="1"/>
  <c r="E613" i="1"/>
  <c r="B613" i="1"/>
  <c r="D613" i="15" s="1"/>
  <c r="E609" i="1"/>
  <c r="B609" i="1"/>
  <c r="D609" i="15" s="1"/>
  <c r="E605" i="1"/>
  <c r="B605" i="1"/>
  <c r="D605" i="15" s="1"/>
  <c r="E601" i="1"/>
  <c r="B601" i="1"/>
  <c r="D601" i="15" s="1"/>
  <c r="E597" i="1"/>
  <c r="B597" i="1"/>
  <c r="D597" i="15" s="1"/>
  <c r="E593" i="1"/>
  <c r="B593" i="1"/>
  <c r="D593" i="15" s="1"/>
  <c r="E589" i="1"/>
  <c r="B589" i="1"/>
  <c r="D589" i="15" s="1"/>
  <c r="E585" i="1"/>
  <c r="B585" i="1"/>
  <c r="D585" i="15" s="1"/>
  <c r="E581" i="1"/>
  <c r="B581" i="1"/>
  <c r="D581" i="15" s="1"/>
  <c r="E577" i="1"/>
  <c r="B577" i="1"/>
  <c r="D577" i="15" s="1"/>
  <c r="E573" i="1"/>
  <c r="B573" i="1"/>
  <c r="D573" i="15" s="1"/>
  <c r="E569" i="1"/>
  <c r="B569" i="1"/>
  <c r="D569" i="15" s="1"/>
  <c r="E565" i="1"/>
  <c r="B565" i="1"/>
  <c r="D565" i="15" s="1"/>
  <c r="E561" i="1"/>
  <c r="B561" i="1"/>
  <c r="D561" i="15" s="1"/>
  <c r="E557" i="1"/>
  <c r="B557" i="1"/>
  <c r="D557" i="15" s="1"/>
  <c r="E553" i="1"/>
  <c r="B553" i="1"/>
  <c r="D553" i="15" s="1"/>
  <c r="E549" i="1"/>
  <c r="B549" i="1"/>
  <c r="D549" i="15" s="1"/>
  <c r="E545" i="1"/>
  <c r="B545" i="1"/>
  <c r="D545" i="15" s="1"/>
  <c r="E541" i="1"/>
  <c r="B541" i="1"/>
  <c r="D541" i="15" s="1"/>
  <c r="E537" i="1"/>
  <c r="B537" i="1"/>
  <c r="D537" i="15" s="1"/>
  <c r="E533" i="1"/>
  <c r="B533" i="1"/>
  <c r="D533" i="15" s="1"/>
  <c r="E529" i="1"/>
  <c r="B529" i="1"/>
  <c r="D529" i="15" s="1"/>
  <c r="E525" i="1"/>
  <c r="B525" i="1"/>
  <c r="D525" i="15" s="1"/>
  <c r="E521" i="1"/>
  <c r="B521" i="1"/>
  <c r="D521" i="15" s="1"/>
  <c r="E517" i="1"/>
  <c r="B517" i="1"/>
  <c r="D517" i="15" s="1"/>
  <c r="E513" i="1"/>
  <c r="B513" i="1"/>
  <c r="D513" i="15" s="1"/>
  <c r="E509" i="1"/>
  <c r="B509" i="1"/>
  <c r="D509" i="15" s="1"/>
  <c r="E505" i="1"/>
  <c r="B505" i="1"/>
  <c r="D505" i="15" s="1"/>
  <c r="E501" i="1"/>
  <c r="B501" i="1"/>
  <c r="D501" i="15" s="1"/>
  <c r="B497" i="1"/>
  <c r="D497" i="15" s="1"/>
  <c r="E497" i="1"/>
  <c r="B493" i="1"/>
  <c r="D493" i="15" s="1"/>
  <c r="E493" i="1"/>
  <c r="B489" i="1"/>
  <c r="D489" i="15" s="1"/>
  <c r="E489" i="1"/>
  <c r="B485" i="1"/>
  <c r="D485" i="15" s="1"/>
  <c r="E485" i="1"/>
  <c r="B481" i="1"/>
  <c r="D481" i="15" s="1"/>
  <c r="E481" i="1"/>
  <c r="B477" i="1"/>
  <c r="D477" i="15" s="1"/>
  <c r="E477" i="1"/>
  <c r="B473" i="1"/>
  <c r="D473" i="15" s="1"/>
  <c r="E473" i="1"/>
  <c r="B469" i="1"/>
  <c r="D469" i="15" s="1"/>
  <c r="E469" i="1"/>
  <c r="B465" i="1"/>
  <c r="D465" i="15" s="1"/>
  <c r="E465" i="1"/>
  <c r="E461" i="1"/>
  <c r="B461" i="1"/>
  <c r="D461" i="15" s="1"/>
  <c r="E457" i="1"/>
  <c r="B457" i="1"/>
  <c r="D457" i="15" s="1"/>
  <c r="E453" i="1"/>
  <c r="B453" i="1"/>
  <c r="D453" i="15" s="1"/>
  <c r="E449" i="1"/>
  <c r="B449" i="1"/>
  <c r="D449" i="15" s="1"/>
  <c r="E445" i="1"/>
  <c r="B445" i="1"/>
  <c r="D445" i="15" s="1"/>
  <c r="E441" i="1"/>
  <c r="B441" i="1"/>
  <c r="D441" i="15" s="1"/>
  <c r="E437" i="1"/>
  <c r="B437" i="1"/>
  <c r="D437" i="15" s="1"/>
  <c r="E433" i="1"/>
  <c r="B433" i="1"/>
  <c r="D433" i="15" s="1"/>
  <c r="E429" i="1"/>
  <c r="B429" i="1"/>
  <c r="D429" i="15" s="1"/>
  <c r="E425" i="1"/>
  <c r="B425" i="1"/>
  <c r="D425" i="15" s="1"/>
  <c r="E421" i="1"/>
  <c r="B421" i="1"/>
  <c r="D421" i="15" s="1"/>
  <c r="E417" i="1"/>
  <c r="B417" i="1"/>
  <c r="D417" i="15" s="1"/>
  <c r="E413" i="1"/>
  <c r="B413" i="1"/>
  <c r="D413" i="15" s="1"/>
  <c r="E409" i="1"/>
  <c r="B409" i="1"/>
  <c r="D409" i="15" s="1"/>
  <c r="E405" i="1"/>
  <c r="B405" i="1"/>
  <c r="D405" i="15" s="1"/>
  <c r="E401" i="1"/>
  <c r="B401" i="1"/>
  <c r="D401" i="15" s="1"/>
  <c r="E397" i="1"/>
  <c r="B397" i="1"/>
  <c r="D397" i="15" s="1"/>
  <c r="E393" i="1"/>
  <c r="B393" i="1"/>
  <c r="D393" i="15" s="1"/>
  <c r="E389" i="1"/>
  <c r="B389" i="1"/>
  <c r="D389" i="15" s="1"/>
  <c r="E385" i="1"/>
  <c r="B385" i="1"/>
  <c r="D385" i="15" s="1"/>
  <c r="E381" i="1"/>
  <c r="B381" i="1"/>
  <c r="D381" i="15" s="1"/>
  <c r="E377" i="1"/>
  <c r="B377" i="1"/>
  <c r="D377" i="15" s="1"/>
  <c r="E373" i="1"/>
  <c r="B373" i="1"/>
  <c r="D373" i="15" s="1"/>
  <c r="E369" i="1"/>
  <c r="B369" i="1"/>
  <c r="D369" i="15" s="1"/>
  <c r="E365" i="1"/>
  <c r="B365" i="1"/>
  <c r="D365" i="15" s="1"/>
  <c r="E361" i="1"/>
  <c r="B361" i="1"/>
  <c r="D361" i="15" s="1"/>
  <c r="E357" i="1"/>
  <c r="B357" i="1"/>
  <c r="D357" i="15" s="1"/>
  <c r="E353" i="1"/>
  <c r="B353" i="1"/>
  <c r="D353" i="15" s="1"/>
  <c r="E349" i="1"/>
  <c r="B349" i="1"/>
  <c r="D349" i="15" s="1"/>
  <c r="E345" i="1"/>
  <c r="B345" i="1"/>
  <c r="D345" i="15" s="1"/>
  <c r="E341" i="1"/>
  <c r="B341" i="1"/>
  <c r="D341" i="15" s="1"/>
  <c r="E337" i="1"/>
  <c r="B337" i="1"/>
  <c r="D337" i="15" s="1"/>
  <c r="E333" i="1"/>
  <c r="B333" i="1"/>
  <c r="D333" i="15" s="1"/>
  <c r="E329" i="1"/>
  <c r="B329" i="1"/>
  <c r="D329" i="15" s="1"/>
  <c r="E325" i="1"/>
  <c r="B325" i="1"/>
  <c r="D325" i="15" s="1"/>
  <c r="E321" i="1"/>
  <c r="B321" i="1"/>
  <c r="D321" i="15" s="1"/>
  <c r="E317" i="1"/>
  <c r="B317" i="1"/>
  <c r="D317" i="15" s="1"/>
  <c r="E313" i="1"/>
  <c r="B313" i="1"/>
  <c r="D313" i="15" s="1"/>
  <c r="E309" i="1"/>
  <c r="B309" i="1"/>
  <c r="D309" i="15" s="1"/>
  <c r="E305" i="1"/>
  <c r="B305" i="1"/>
  <c r="D305" i="15" s="1"/>
  <c r="E301" i="1"/>
  <c r="B301" i="1"/>
  <c r="D301" i="15" s="1"/>
  <c r="B297" i="1"/>
  <c r="D297" i="15" s="1"/>
  <c r="E297" i="1"/>
  <c r="B293" i="1"/>
  <c r="D293" i="15" s="1"/>
  <c r="E293" i="1"/>
  <c r="B289" i="1"/>
  <c r="D289" i="15" s="1"/>
  <c r="E289" i="1"/>
  <c r="B285" i="1"/>
  <c r="D285" i="15" s="1"/>
  <c r="E285" i="1"/>
  <c r="B281" i="1"/>
  <c r="D281" i="15" s="1"/>
  <c r="E281" i="1"/>
  <c r="B277" i="1"/>
  <c r="D277" i="15" s="1"/>
  <c r="E277" i="1"/>
  <c r="B273" i="1"/>
  <c r="D273" i="15" s="1"/>
  <c r="E273" i="1"/>
  <c r="B269" i="1"/>
  <c r="D269" i="15" s="1"/>
  <c r="E269" i="1"/>
  <c r="B265" i="1"/>
  <c r="D265" i="15" s="1"/>
  <c r="E265" i="1"/>
  <c r="B261" i="1"/>
  <c r="D261" i="15" s="1"/>
  <c r="E261" i="1"/>
  <c r="B257" i="1"/>
  <c r="D257" i="15" s="1"/>
  <c r="E257" i="1"/>
  <c r="B253" i="1"/>
  <c r="D253" i="15" s="1"/>
  <c r="E253" i="1"/>
  <c r="B249" i="1"/>
  <c r="D249" i="15" s="1"/>
  <c r="E249" i="1"/>
  <c r="B245" i="1"/>
  <c r="D245" i="15" s="1"/>
  <c r="E245" i="1"/>
  <c r="B241" i="1"/>
  <c r="D241" i="15" s="1"/>
  <c r="E241" i="1"/>
  <c r="B237" i="1"/>
  <c r="D237" i="15" s="1"/>
  <c r="E237" i="1"/>
  <c r="B233" i="1"/>
  <c r="D233" i="15" s="1"/>
  <c r="E233" i="1"/>
  <c r="B229" i="1"/>
  <c r="D229" i="15" s="1"/>
  <c r="E229" i="1"/>
  <c r="B225" i="1"/>
  <c r="D225" i="15" s="1"/>
  <c r="E225" i="1"/>
  <c r="B221" i="1"/>
  <c r="D221" i="15" s="1"/>
  <c r="E221" i="1"/>
  <c r="B217" i="1"/>
  <c r="D217" i="15" s="1"/>
  <c r="E217" i="1"/>
  <c r="B213" i="1"/>
  <c r="D213" i="15" s="1"/>
  <c r="E213" i="1"/>
  <c r="B209" i="1"/>
  <c r="D209" i="15" s="1"/>
  <c r="E209" i="1"/>
  <c r="B205" i="1"/>
  <c r="D205" i="15" s="1"/>
  <c r="E205" i="1"/>
  <c r="B201" i="1"/>
  <c r="D201" i="15" s="1"/>
  <c r="E201" i="1"/>
  <c r="B197" i="1"/>
  <c r="D197" i="15" s="1"/>
  <c r="E197" i="1"/>
  <c r="B193" i="1"/>
  <c r="D193" i="15" s="1"/>
  <c r="E193" i="1"/>
  <c r="B189" i="1"/>
  <c r="D189" i="15" s="1"/>
  <c r="E189" i="1"/>
  <c r="E175" i="1"/>
  <c r="B708" i="1"/>
  <c r="D708" i="15" s="1"/>
  <c r="E708" i="1"/>
  <c r="B704" i="1"/>
  <c r="D704" i="15" s="1"/>
  <c r="E704" i="1"/>
  <c r="B700" i="1"/>
  <c r="D700" i="15" s="1"/>
  <c r="E700" i="1"/>
  <c r="B696" i="1"/>
  <c r="D696" i="15" s="1"/>
  <c r="E696" i="1"/>
  <c r="B692" i="1"/>
  <c r="D692" i="15" s="1"/>
  <c r="E692" i="1"/>
  <c r="B688" i="1"/>
  <c r="D688" i="15" s="1"/>
  <c r="E688" i="1"/>
  <c r="B684" i="1"/>
  <c r="D684" i="15" s="1"/>
  <c r="E684" i="1"/>
  <c r="B680" i="1"/>
  <c r="D680" i="15" s="1"/>
  <c r="E680" i="1"/>
  <c r="E676" i="1"/>
  <c r="B676" i="1"/>
  <c r="D676" i="15" s="1"/>
  <c r="E672" i="1"/>
  <c r="B672" i="1"/>
  <c r="D672" i="15" s="1"/>
  <c r="E668" i="1"/>
  <c r="B668" i="1"/>
  <c r="D668" i="15" s="1"/>
  <c r="E664" i="1"/>
  <c r="B664" i="1"/>
  <c r="D664" i="15" s="1"/>
  <c r="B660" i="1"/>
  <c r="D660" i="15" s="1"/>
  <c r="E660" i="1"/>
  <c r="B656" i="1"/>
  <c r="D656" i="15" s="1"/>
  <c r="E656" i="1"/>
  <c r="B652" i="1"/>
  <c r="D652" i="15" s="1"/>
  <c r="E652" i="1"/>
  <c r="B648" i="1"/>
  <c r="D648" i="15" s="1"/>
  <c r="E648" i="1"/>
  <c r="B644" i="1"/>
  <c r="D644" i="15" s="1"/>
  <c r="E644" i="1"/>
  <c r="B640" i="1"/>
  <c r="D640" i="15" s="1"/>
  <c r="E640" i="1"/>
  <c r="B636" i="1"/>
  <c r="D636" i="15" s="1"/>
  <c r="E636" i="1"/>
  <c r="B632" i="1"/>
  <c r="D632" i="15" s="1"/>
  <c r="E632" i="1"/>
  <c r="B628" i="1"/>
  <c r="D628" i="15" s="1"/>
  <c r="E628" i="1"/>
  <c r="B624" i="1"/>
  <c r="D624" i="15" s="1"/>
  <c r="E624" i="1"/>
  <c r="B620" i="1"/>
  <c r="D620" i="15" s="1"/>
  <c r="E620" i="1"/>
  <c r="B616" i="1"/>
  <c r="D616" i="15" s="1"/>
  <c r="E616" i="1"/>
  <c r="B612" i="1"/>
  <c r="D612" i="15" s="1"/>
  <c r="E612" i="1"/>
  <c r="B608" i="1"/>
  <c r="D608" i="15" s="1"/>
  <c r="E608" i="1"/>
  <c r="B604" i="1"/>
  <c r="D604" i="15" s="1"/>
  <c r="E604" i="1"/>
  <c r="B600" i="1"/>
  <c r="D600" i="15" s="1"/>
  <c r="E600" i="1"/>
  <c r="B596" i="1"/>
  <c r="D596" i="15" s="1"/>
  <c r="E596" i="1"/>
  <c r="B592" i="1"/>
  <c r="D592" i="15" s="1"/>
  <c r="E592" i="1"/>
  <c r="B588" i="1"/>
  <c r="D588" i="15" s="1"/>
  <c r="E588" i="1"/>
  <c r="B584" i="1"/>
  <c r="D584" i="15" s="1"/>
  <c r="E584" i="1"/>
  <c r="B580" i="1"/>
  <c r="D580" i="15" s="1"/>
  <c r="E580" i="1"/>
  <c r="B576" i="1"/>
  <c r="D576" i="15" s="1"/>
  <c r="E576" i="1"/>
  <c r="B572" i="1"/>
  <c r="D572" i="15" s="1"/>
  <c r="E572" i="1"/>
  <c r="B568" i="1"/>
  <c r="D568" i="15" s="1"/>
  <c r="E568" i="1"/>
  <c r="B564" i="1"/>
  <c r="D564" i="15" s="1"/>
  <c r="E564" i="1"/>
  <c r="B560" i="1"/>
  <c r="D560" i="15" s="1"/>
  <c r="E560" i="1"/>
  <c r="B556" i="1"/>
  <c r="D556" i="15" s="1"/>
  <c r="E556" i="1"/>
  <c r="B552" i="1"/>
  <c r="D552" i="15" s="1"/>
  <c r="E552" i="1"/>
  <c r="B548" i="1"/>
  <c r="D548" i="15" s="1"/>
  <c r="E548" i="1"/>
  <c r="B544" i="1"/>
  <c r="D544" i="15" s="1"/>
  <c r="E544" i="1"/>
  <c r="B540" i="1"/>
  <c r="D540" i="15" s="1"/>
  <c r="E540" i="1"/>
  <c r="B536" i="1"/>
  <c r="D536" i="15" s="1"/>
  <c r="E536" i="1"/>
  <c r="B532" i="1"/>
  <c r="D532" i="15" s="1"/>
  <c r="E532" i="1"/>
  <c r="B528" i="1"/>
  <c r="D528" i="15" s="1"/>
  <c r="E528" i="1"/>
  <c r="B524" i="1"/>
  <c r="D524" i="15" s="1"/>
  <c r="E524" i="1"/>
  <c r="B520" i="1"/>
  <c r="D520" i="15" s="1"/>
  <c r="E520" i="1"/>
  <c r="B516" i="1"/>
  <c r="D516" i="15" s="1"/>
  <c r="E516" i="1"/>
  <c r="B512" i="1"/>
  <c r="D512" i="15" s="1"/>
  <c r="E512" i="1"/>
  <c r="B508" i="1"/>
  <c r="D508" i="15" s="1"/>
  <c r="E508" i="1"/>
  <c r="B504" i="1"/>
  <c r="D504" i="15" s="1"/>
  <c r="E504" i="1"/>
  <c r="E500" i="1"/>
  <c r="B500" i="1"/>
  <c r="D500" i="15" s="1"/>
  <c r="E496" i="1"/>
  <c r="B496" i="1"/>
  <c r="D496" i="15" s="1"/>
  <c r="E492" i="1"/>
  <c r="B492" i="1"/>
  <c r="D492" i="15" s="1"/>
  <c r="E488" i="1"/>
  <c r="B488" i="1"/>
  <c r="D488" i="15" s="1"/>
  <c r="E484" i="1"/>
  <c r="B484" i="1"/>
  <c r="D484" i="15" s="1"/>
  <c r="E480" i="1"/>
  <c r="B480" i="1"/>
  <c r="D480" i="15" s="1"/>
  <c r="E476" i="1"/>
  <c r="B476" i="1"/>
  <c r="D476" i="15" s="1"/>
  <c r="E472" i="1"/>
  <c r="B472" i="1"/>
  <c r="D472" i="15" s="1"/>
  <c r="E468" i="1"/>
  <c r="B468" i="1"/>
  <c r="D468" i="15" s="1"/>
  <c r="E464" i="1"/>
  <c r="B464" i="1"/>
  <c r="D464" i="15" s="1"/>
  <c r="B460" i="1"/>
  <c r="D460" i="15" s="1"/>
  <c r="E460" i="1"/>
  <c r="B456" i="1"/>
  <c r="D456" i="15" s="1"/>
  <c r="E456" i="1"/>
  <c r="B452" i="1"/>
  <c r="D452" i="15" s="1"/>
  <c r="E452" i="1"/>
  <c r="B448" i="1"/>
  <c r="D448" i="15" s="1"/>
  <c r="E448" i="1"/>
  <c r="B444" i="1"/>
  <c r="D444" i="15" s="1"/>
  <c r="E444" i="1"/>
  <c r="B440" i="1"/>
  <c r="D440" i="15" s="1"/>
  <c r="E440" i="1"/>
  <c r="B436" i="1"/>
  <c r="D436" i="15" s="1"/>
  <c r="E436" i="1"/>
  <c r="B432" i="1"/>
  <c r="D432" i="15" s="1"/>
  <c r="E432" i="1"/>
  <c r="B428" i="1"/>
  <c r="D428" i="15" s="1"/>
  <c r="E428" i="1"/>
  <c r="B424" i="1"/>
  <c r="D424" i="15" s="1"/>
  <c r="E424" i="1"/>
  <c r="B420" i="1"/>
  <c r="D420" i="15" s="1"/>
  <c r="E420" i="1"/>
  <c r="B416" i="1"/>
  <c r="D416" i="15" s="1"/>
  <c r="E416" i="1"/>
  <c r="B412" i="1"/>
  <c r="D412" i="15" s="1"/>
  <c r="E412" i="1"/>
  <c r="B408" i="1"/>
  <c r="D408" i="15" s="1"/>
  <c r="E408" i="1"/>
  <c r="B404" i="1"/>
  <c r="D404" i="15" s="1"/>
  <c r="E404" i="1"/>
  <c r="B400" i="1"/>
  <c r="D400" i="15" s="1"/>
  <c r="E400" i="1"/>
  <c r="B396" i="1"/>
  <c r="D396" i="15" s="1"/>
  <c r="E396" i="1"/>
  <c r="B392" i="1"/>
  <c r="D392" i="15" s="1"/>
  <c r="E392" i="1"/>
  <c r="B388" i="1"/>
  <c r="D388" i="15" s="1"/>
  <c r="E388" i="1"/>
  <c r="B384" i="1"/>
  <c r="D384" i="15" s="1"/>
  <c r="E384" i="1"/>
  <c r="B380" i="1"/>
  <c r="D380" i="15" s="1"/>
  <c r="E380" i="1"/>
  <c r="B376" i="1"/>
  <c r="D376" i="15" s="1"/>
  <c r="E376" i="1"/>
  <c r="B372" i="1"/>
  <c r="D372" i="15" s="1"/>
  <c r="E372" i="1"/>
  <c r="B368" i="1"/>
  <c r="D368" i="15" s="1"/>
  <c r="E368" i="1"/>
  <c r="B364" i="1"/>
  <c r="D364" i="15" s="1"/>
  <c r="E364" i="1"/>
  <c r="B360" i="1"/>
  <c r="D360" i="15" s="1"/>
  <c r="E360" i="1"/>
  <c r="B356" i="1"/>
  <c r="D356" i="15" s="1"/>
  <c r="E356" i="1"/>
  <c r="B352" i="1"/>
  <c r="D352" i="15" s="1"/>
  <c r="E352" i="1"/>
  <c r="B348" i="1"/>
  <c r="D348" i="15" s="1"/>
  <c r="E348" i="1"/>
  <c r="B344" i="1"/>
  <c r="D344" i="15" s="1"/>
  <c r="E344" i="1"/>
  <c r="B340" i="1"/>
  <c r="D340" i="15" s="1"/>
  <c r="E340" i="1"/>
  <c r="B336" i="1"/>
  <c r="D336" i="15" s="1"/>
  <c r="E336" i="1"/>
  <c r="B332" i="1"/>
  <c r="D332" i="15" s="1"/>
  <c r="E332" i="1"/>
  <c r="B328" i="1"/>
  <c r="D328" i="15" s="1"/>
  <c r="E328" i="1"/>
  <c r="B324" i="1"/>
  <c r="D324" i="15" s="1"/>
  <c r="E324" i="1"/>
  <c r="B320" i="1"/>
  <c r="D320" i="15" s="1"/>
  <c r="E320" i="1"/>
  <c r="B316" i="1"/>
  <c r="D316" i="15" s="1"/>
  <c r="E316" i="1"/>
  <c r="B312" i="1"/>
  <c r="D312" i="15" s="1"/>
  <c r="E312" i="1"/>
  <c r="B308" i="1"/>
  <c r="D308" i="15" s="1"/>
  <c r="E308" i="1"/>
  <c r="B304" i="1"/>
  <c r="D304" i="15" s="1"/>
  <c r="E304" i="1"/>
  <c r="B300" i="1"/>
  <c r="D300" i="15" s="1"/>
  <c r="E300" i="1"/>
  <c r="E296" i="1"/>
  <c r="B296" i="1"/>
  <c r="D296" i="15" s="1"/>
  <c r="E292" i="1"/>
  <c r="B292" i="1"/>
  <c r="D292" i="15" s="1"/>
  <c r="E288" i="1"/>
  <c r="B288" i="1"/>
  <c r="D288" i="15" s="1"/>
  <c r="E284" i="1"/>
  <c r="B284" i="1"/>
  <c r="D284" i="15" s="1"/>
  <c r="E280" i="1"/>
  <c r="B280" i="1"/>
  <c r="D280" i="15" s="1"/>
  <c r="E276" i="1"/>
  <c r="B276" i="1"/>
  <c r="D276" i="15" s="1"/>
  <c r="E272" i="1"/>
  <c r="B272" i="1"/>
  <c r="D272" i="15" s="1"/>
  <c r="E268" i="1"/>
  <c r="B268" i="1"/>
  <c r="D268" i="15" s="1"/>
  <c r="E264" i="1"/>
  <c r="B264" i="1"/>
  <c r="D264" i="15" s="1"/>
  <c r="E260" i="1"/>
  <c r="B260" i="1"/>
  <c r="D260" i="15" s="1"/>
  <c r="E256" i="1"/>
  <c r="B256" i="1"/>
  <c r="D256" i="15" s="1"/>
  <c r="E252" i="1"/>
  <c r="B252" i="1"/>
  <c r="D252" i="15" s="1"/>
  <c r="E248" i="1"/>
  <c r="B248" i="1"/>
  <c r="D248" i="15" s="1"/>
  <c r="E244" i="1"/>
  <c r="B244" i="1"/>
  <c r="D244" i="15" s="1"/>
  <c r="E240" i="1"/>
  <c r="B240" i="1"/>
  <c r="D240" i="15" s="1"/>
  <c r="E236" i="1"/>
  <c r="B236" i="1"/>
  <c r="D236" i="15" s="1"/>
  <c r="E232" i="1"/>
  <c r="B232" i="1"/>
  <c r="D232" i="15" s="1"/>
  <c r="E228" i="1"/>
  <c r="B228" i="1"/>
  <c r="D228" i="15" s="1"/>
  <c r="E224" i="1"/>
  <c r="B224" i="1"/>
  <c r="D224" i="15" s="1"/>
  <c r="E220" i="1"/>
  <c r="B220" i="1"/>
  <c r="D220" i="15" s="1"/>
  <c r="E216" i="1"/>
  <c r="B216" i="1"/>
  <c r="D216" i="15" s="1"/>
  <c r="E212" i="1"/>
  <c r="B212" i="1"/>
  <c r="D212" i="15" s="1"/>
  <c r="E208" i="1"/>
  <c r="B208" i="1"/>
  <c r="D208" i="15" s="1"/>
  <c r="E204" i="1"/>
  <c r="B204" i="1"/>
  <c r="D204" i="15" s="1"/>
  <c r="E200" i="1"/>
  <c r="B200" i="1"/>
  <c r="D200" i="15" s="1"/>
  <c r="E196" i="1"/>
  <c r="B196" i="1"/>
  <c r="D196" i="15" s="1"/>
  <c r="E192" i="1"/>
  <c r="B192" i="1"/>
  <c r="D192" i="15" s="1"/>
  <c r="E188" i="1"/>
  <c r="B188" i="1"/>
  <c r="D188" i="15" s="1"/>
  <c r="E172" i="1"/>
  <c r="AF155" i="4"/>
  <c r="AF156" i="4"/>
  <c r="AF152" i="4"/>
  <c r="AF259" i="4"/>
  <c r="AF257" i="4"/>
  <c r="AF255" i="4"/>
  <c r="AF253" i="4"/>
  <c r="AF251" i="4"/>
  <c r="AF249" i="4"/>
  <c r="AF247" i="4"/>
  <c r="AF245" i="4"/>
  <c r="AF243" i="4"/>
  <c r="AF241" i="4"/>
  <c r="AF239" i="4"/>
  <c r="AF237" i="4"/>
  <c r="AF235" i="4"/>
  <c r="AF233" i="4"/>
  <c r="AF231" i="4"/>
  <c r="AF229" i="4"/>
  <c r="AF227" i="4"/>
  <c r="AF225" i="4"/>
  <c r="AF223" i="4"/>
  <c r="AF221" i="4"/>
  <c r="AF219" i="4"/>
  <c r="AF217" i="4"/>
  <c r="AF215" i="4"/>
  <c r="AF213" i="4"/>
  <c r="AF211" i="4"/>
  <c r="AF209" i="4"/>
  <c r="AF207" i="4"/>
  <c r="AF205" i="4"/>
  <c r="AF203" i="4"/>
  <c r="AF201" i="4"/>
  <c r="AF199" i="4"/>
  <c r="AF197" i="4"/>
  <c r="AF195" i="4"/>
  <c r="AF193" i="4"/>
  <c r="AF191" i="4"/>
  <c r="AF189" i="4"/>
  <c r="AF187" i="4"/>
  <c r="AF185" i="4"/>
  <c r="AF183" i="4"/>
  <c r="AF181" i="4"/>
  <c r="AF179" i="4"/>
  <c r="AF177" i="4"/>
  <c r="AF175" i="4"/>
  <c r="AF173" i="4"/>
  <c r="AF171" i="4"/>
  <c r="AF169" i="4"/>
  <c r="AF167" i="4"/>
  <c r="AF165" i="4"/>
  <c r="AF163" i="4"/>
  <c r="AF161" i="4"/>
  <c r="AF159" i="4"/>
  <c r="AF157" i="4"/>
  <c r="AF154" i="4"/>
  <c r="AF258" i="4"/>
  <c r="AF254" i="4"/>
  <c r="AF250" i="4"/>
  <c r="AF246" i="4"/>
  <c r="AF242" i="4"/>
  <c r="AF238" i="4"/>
  <c r="AF234" i="4"/>
  <c r="AF230" i="4"/>
  <c r="AF226" i="4"/>
  <c r="AF222" i="4"/>
  <c r="AF218" i="4"/>
  <c r="AF214" i="4"/>
  <c r="AF210" i="4"/>
  <c r="AF206" i="4"/>
  <c r="AF202" i="4"/>
  <c r="AF198" i="4"/>
  <c r="AF194" i="4"/>
  <c r="AF190" i="4"/>
  <c r="AF186" i="4"/>
  <c r="AF182" i="4"/>
  <c r="AF178" i="4"/>
  <c r="AF174" i="4"/>
  <c r="AF170" i="4"/>
  <c r="AF166" i="4"/>
  <c r="AF162" i="4"/>
  <c r="AF158" i="4"/>
  <c r="AF153" i="4"/>
  <c r="C364" i="8"/>
  <c r="F364" i="8" s="1"/>
  <c r="E507" i="8"/>
  <c r="H507" i="8" s="1"/>
  <c r="D507" i="8"/>
  <c r="G507" i="8" s="1"/>
  <c r="C369" i="8"/>
  <c r="F369" i="8" s="1"/>
  <c r="D299" i="8"/>
  <c r="G299" i="8" s="1"/>
  <c r="C219" i="8"/>
  <c r="F219" i="8" s="1"/>
  <c r="E219" i="8"/>
  <c r="H219" i="8" s="1"/>
  <c r="D569" i="8"/>
  <c r="G569" i="8" s="1"/>
  <c r="E569" i="8"/>
  <c r="H569" i="8" s="1"/>
  <c r="E504" i="8"/>
  <c r="H504" i="8" s="1"/>
  <c r="D504" i="8"/>
  <c r="G504" i="8" s="1"/>
  <c r="D535" i="8"/>
  <c r="G535" i="8" s="1"/>
  <c r="C508" i="8"/>
  <c r="F508" i="8" s="1"/>
  <c r="D503" i="8"/>
  <c r="G503" i="8" s="1"/>
  <c r="D487" i="8"/>
  <c r="G487" i="8" s="1"/>
  <c r="C353" i="8"/>
  <c r="F353" i="8" s="1"/>
  <c r="D314" i="8"/>
  <c r="G314" i="8" s="1"/>
  <c r="C603" i="8"/>
  <c r="F603" i="8" s="1"/>
  <c r="E601" i="8"/>
  <c r="H601" i="8" s="1"/>
  <c r="C589" i="8"/>
  <c r="F589" i="8" s="1"/>
  <c r="C571" i="8"/>
  <c r="F571" i="8" s="1"/>
  <c r="C519" i="8"/>
  <c r="F519" i="8" s="1"/>
  <c r="D512" i="8"/>
  <c r="G512" i="8" s="1"/>
  <c r="D439" i="8"/>
  <c r="G439" i="8" s="1"/>
  <c r="D275" i="8"/>
  <c r="G275" i="8" s="1"/>
  <c r="E252" i="8"/>
  <c r="H252" i="8" s="1"/>
  <c r="E161" i="8"/>
  <c r="H161" i="8" s="1"/>
  <c r="E484" i="8"/>
  <c r="H484" i="8" s="1"/>
  <c r="C484" i="8"/>
  <c r="F484" i="8" s="1"/>
  <c r="E393" i="8"/>
  <c r="H393" i="8" s="1"/>
  <c r="C393" i="8"/>
  <c r="F393" i="8" s="1"/>
  <c r="E291" i="8"/>
  <c r="H291" i="8" s="1"/>
  <c r="D291" i="8"/>
  <c r="G291" i="8" s="1"/>
  <c r="C291" i="8"/>
  <c r="F291" i="8" s="1"/>
  <c r="E496" i="8"/>
  <c r="H496" i="8" s="1"/>
  <c r="C496" i="8"/>
  <c r="F496" i="8" s="1"/>
  <c r="E480" i="8"/>
  <c r="H480" i="8" s="1"/>
  <c r="C480" i="8"/>
  <c r="F480" i="8" s="1"/>
  <c r="E572" i="8"/>
  <c r="H572" i="8" s="1"/>
  <c r="C572" i="8"/>
  <c r="F572" i="8" s="1"/>
  <c r="E621" i="8"/>
  <c r="H621" i="8" s="1"/>
  <c r="C621" i="8"/>
  <c r="F621" i="8" s="1"/>
  <c r="E575" i="8"/>
  <c r="H575" i="8" s="1"/>
  <c r="D575" i="8"/>
  <c r="G575" i="8" s="1"/>
  <c r="D444" i="8"/>
  <c r="G444" i="8" s="1"/>
  <c r="D435" i="8"/>
  <c r="G435" i="8" s="1"/>
  <c r="E339" i="8"/>
  <c r="H339" i="8" s="1"/>
  <c r="C339" i="8"/>
  <c r="F339" i="8" s="1"/>
  <c r="E266" i="8"/>
  <c r="H266" i="8" s="1"/>
  <c r="C266" i="8"/>
  <c r="F266" i="8" s="1"/>
  <c r="E259" i="8"/>
  <c r="H259" i="8" s="1"/>
  <c r="D259" i="8"/>
  <c r="G259" i="8" s="1"/>
  <c r="C194" i="8"/>
  <c r="F194" i="8" s="1"/>
  <c r="E194" i="8"/>
  <c r="H194" i="8" s="1"/>
  <c r="D557" i="8"/>
  <c r="G557" i="8" s="1"/>
  <c r="C557" i="8"/>
  <c r="F557" i="8" s="1"/>
  <c r="D548" i="8"/>
  <c r="G548" i="8" s="1"/>
  <c r="E495" i="8"/>
  <c r="H495" i="8" s="1"/>
  <c r="C495" i="8"/>
  <c r="F495" i="8" s="1"/>
  <c r="D488" i="8"/>
  <c r="G488" i="8" s="1"/>
  <c r="C444" i="8"/>
  <c r="F444" i="8" s="1"/>
  <c r="C435" i="8"/>
  <c r="F435" i="8" s="1"/>
  <c r="C432" i="8"/>
  <c r="F432" i="8" s="1"/>
  <c r="D380" i="8"/>
  <c r="G380" i="8" s="1"/>
  <c r="C177" i="8"/>
  <c r="F177" i="8" s="1"/>
  <c r="D177" i="8"/>
  <c r="G177" i="8" s="1"/>
  <c r="E607" i="8"/>
  <c r="H607" i="8" s="1"/>
  <c r="D607" i="8"/>
  <c r="G607" i="8" s="1"/>
  <c r="E604" i="8"/>
  <c r="H604" i="8" s="1"/>
  <c r="D604" i="8"/>
  <c r="G604" i="8" s="1"/>
  <c r="E588" i="8"/>
  <c r="H588" i="8" s="1"/>
  <c r="D588" i="8"/>
  <c r="G588" i="8" s="1"/>
  <c r="E531" i="8"/>
  <c r="H531" i="8" s="1"/>
  <c r="D531" i="8"/>
  <c r="G531" i="8" s="1"/>
  <c r="E427" i="8"/>
  <c r="H427" i="8" s="1"/>
  <c r="D427" i="8"/>
  <c r="G427" i="8" s="1"/>
  <c r="E348" i="8"/>
  <c r="H348" i="8" s="1"/>
  <c r="C348" i="8"/>
  <c r="F348" i="8" s="1"/>
  <c r="E251" i="8"/>
  <c r="H251" i="8" s="1"/>
  <c r="C251" i="8"/>
  <c r="F251" i="8" s="1"/>
  <c r="C235" i="8"/>
  <c r="F235" i="8" s="1"/>
  <c r="E235" i="8"/>
  <c r="H235" i="8" s="1"/>
  <c r="D440" i="8"/>
  <c r="G440" i="8" s="1"/>
  <c r="C431" i="8"/>
  <c r="F431" i="8" s="1"/>
  <c r="D404" i="8"/>
  <c r="G404" i="8" s="1"/>
  <c r="E403" i="8"/>
  <c r="H403" i="8" s="1"/>
  <c r="C403" i="8"/>
  <c r="F403" i="8" s="1"/>
  <c r="C400" i="8"/>
  <c r="F400" i="8" s="1"/>
  <c r="E399" i="8"/>
  <c r="H399" i="8" s="1"/>
  <c r="D399" i="8"/>
  <c r="G399" i="8" s="1"/>
  <c r="D339" i="8"/>
  <c r="G339" i="8" s="1"/>
  <c r="C299" i="8"/>
  <c r="F299" i="8" s="1"/>
  <c r="D298" i="8"/>
  <c r="G298" i="8" s="1"/>
  <c r="D292" i="8"/>
  <c r="G292" i="8" s="1"/>
  <c r="E292" i="8"/>
  <c r="H292" i="8" s="1"/>
  <c r="C650" i="8"/>
  <c r="F650" i="8" s="1"/>
  <c r="C640" i="8"/>
  <c r="F640" i="8" s="1"/>
  <c r="C632" i="8"/>
  <c r="F632" i="8" s="1"/>
  <c r="E617" i="8"/>
  <c r="H617" i="8" s="1"/>
  <c r="D591" i="8"/>
  <c r="G591" i="8" s="1"/>
  <c r="C573" i="8"/>
  <c r="F573" i="8" s="1"/>
  <c r="C556" i="8"/>
  <c r="F556" i="8" s="1"/>
  <c r="C555" i="8"/>
  <c r="F555" i="8" s="1"/>
  <c r="D540" i="8"/>
  <c r="G540" i="8" s="1"/>
  <c r="C539" i="8"/>
  <c r="F539" i="8" s="1"/>
  <c r="C537" i="8"/>
  <c r="F537" i="8" s="1"/>
  <c r="C527" i="8"/>
  <c r="F527" i="8" s="1"/>
  <c r="C523" i="8"/>
  <c r="F523" i="8" s="1"/>
  <c r="C521" i="8"/>
  <c r="F521" i="8" s="1"/>
  <c r="D511" i="8"/>
  <c r="G511" i="8" s="1"/>
  <c r="C500" i="8"/>
  <c r="F500" i="8" s="1"/>
  <c r="D499" i="8"/>
  <c r="G499" i="8" s="1"/>
  <c r="C491" i="8"/>
  <c r="F491" i="8" s="1"/>
  <c r="C483" i="8"/>
  <c r="F483" i="8" s="1"/>
  <c r="C479" i="8"/>
  <c r="F479" i="8" s="1"/>
  <c r="D467" i="8"/>
  <c r="G467" i="8" s="1"/>
  <c r="C436" i="8"/>
  <c r="F436" i="8" s="1"/>
  <c r="C423" i="8"/>
  <c r="F423" i="8" s="1"/>
  <c r="C419" i="8"/>
  <c r="F419" i="8" s="1"/>
  <c r="C404" i="8"/>
  <c r="F404" i="8" s="1"/>
  <c r="C380" i="8"/>
  <c r="F380" i="8" s="1"/>
  <c r="C282" i="8"/>
  <c r="F282" i="8" s="1"/>
  <c r="D266" i="8"/>
  <c r="G266" i="8" s="1"/>
  <c r="D251" i="8"/>
  <c r="G251" i="8" s="1"/>
  <c r="E227" i="8"/>
  <c r="H227" i="8" s="1"/>
  <c r="D201" i="8"/>
  <c r="G201" i="8" s="1"/>
  <c r="E177" i="8"/>
  <c r="H177" i="8" s="1"/>
  <c r="E170" i="8"/>
  <c r="H170" i="8" s="1"/>
  <c r="D388" i="8"/>
  <c r="G388" i="8" s="1"/>
  <c r="D372" i="8"/>
  <c r="G372" i="8" s="1"/>
  <c r="D356" i="8"/>
  <c r="G356" i="8" s="1"/>
  <c r="C646" i="8"/>
  <c r="F646" i="8" s="1"/>
  <c r="C636" i="8"/>
  <c r="F636" i="8" s="1"/>
  <c r="C605" i="8"/>
  <c r="F605" i="8" s="1"/>
  <c r="C588" i="8"/>
  <c r="F588" i="8" s="1"/>
  <c r="C587" i="8"/>
  <c r="F587" i="8" s="1"/>
  <c r="E585" i="8"/>
  <c r="H585" i="8" s="1"/>
  <c r="D572" i="8"/>
  <c r="G572" i="8" s="1"/>
  <c r="D559" i="8"/>
  <c r="G559" i="8" s="1"/>
  <c r="C549" i="8"/>
  <c r="F549" i="8" s="1"/>
  <c r="C548" i="8"/>
  <c r="F548" i="8" s="1"/>
  <c r="C535" i="8"/>
  <c r="F535" i="8" s="1"/>
  <c r="I535" i="8" s="1"/>
  <c r="C531" i="8"/>
  <c r="F531" i="8" s="1"/>
  <c r="C529" i="8"/>
  <c r="F529" i="8" s="1"/>
  <c r="D508" i="8"/>
  <c r="G508" i="8" s="1"/>
  <c r="I508" i="8" s="1"/>
  <c r="C504" i="8"/>
  <c r="F504" i="8" s="1"/>
  <c r="D496" i="8"/>
  <c r="G496" i="8" s="1"/>
  <c r="D495" i="8"/>
  <c r="G495" i="8" s="1"/>
  <c r="C487" i="8"/>
  <c r="F487" i="8" s="1"/>
  <c r="I487" i="8" s="1"/>
  <c r="D484" i="8"/>
  <c r="G484" i="8" s="1"/>
  <c r="I484" i="8" s="1"/>
  <c r="D475" i="8"/>
  <c r="G475" i="8" s="1"/>
  <c r="C471" i="8"/>
  <c r="F471" i="8" s="1"/>
  <c r="C440" i="8"/>
  <c r="F440" i="8" s="1"/>
  <c r="I440" i="8" s="1"/>
  <c r="C439" i="8"/>
  <c r="F439" i="8" s="1"/>
  <c r="I439" i="8" s="1"/>
  <c r="D432" i="8"/>
  <c r="G432" i="8" s="1"/>
  <c r="I432" i="8" s="1"/>
  <c r="D431" i="8"/>
  <c r="G431" i="8" s="1"/>
  <c r="D400" i="8"/>
  <c r="G400" i="8" s="1"/>
  <c r="C388" i="8"/>
  <c r="F388" i="8" s="1"/>
  <c r="C372" i="8"/>
  <c r="F372" i="8" s="1"/>
  <c r="D364" i="8"/>
  <c r="G364" i="8" s="1"/>
  <c r="C356" i="8"/>
  <c r="F356" i="8" s="1"/>
  <c r="I356" i="8" s="1"/>
  <c r="D348" i="8"/>
  <c r="G348" i="8" s="1"/>
  <c r="E324" i="8"/>
  <c r="H324" i="8" s="1"/>
  <c r="C292" i="8"/>
  <c r="F292" i="8" s="1"/>
  <c r="E276" i="8"/>
  <c r="H276" i="8" s="1"/>
  <c r="C275" i="8"/>
  <c r="F275" i="8" s="1"/>
  <c r="C259" i="8"/>
  <c r="F259" i="8" s="1"/>
  <c r="D258" i="8"/>
  <c r="G258" i="8" s="1"/>
  <c r="E243" i="8"/>
  <c r="H243" i="8" s="1"/>
  <c r="E211" i="8"/>
  <c r="H211" i="8" s="1"/>
  <c r="D194" i="8"/>
  <c r="G194" i="8" s="1"/>
  <c r="D556" i="8"/>
  <c r="G556" i="8" s="1"/>
  <c r="D527" i="8"/>
  <c r="G527" i="8" s="1"/>
  <c r="D523" i="8"/>
  <c r="G523" i="8" s="1"/>
  <c r="D500" i="8"/>
  <c r="G500" i="8" s="1"/>
  <c r="D491" i="8"/>
  <c r="G491" i="8" s="1"/>
  <c r="D483" i="8"/>
  <c r="G483" i="8" s="1"/>
  <c r="D436" i="8"/>
  <c r="G436" i="8" s="1"/>
  <c r="D423" i="8"/>
  <c r="G423" i="8" s="1"/>
  <c r="D419" i="8"/>
  <c r="G419" i="8" s="1"/>
  <c r="I380" i="8"/>
  <c r="D282" i="8"/>
  <c r="G282" i="8" s="1"/>
  <c r="E201" i="8"/>
  <c r="H201" i="8" s="1"/>
  <c r="E185" i="1"/>
  <c r="E183" i="1"/>
  <c r="E181" i="1"/>
  <c r="E179" i="1"/>
  <c r="E177" i="1"/>
  <c r="E186" i="1"/>
  <c r="E184" i="1"/>
  <c r="E182" i="1"/>
  <c r="E180" i="1"/>
  <c r="E178" i="1"/>
  <c r="E176" i="1"/>
  <c r="E174" i="1"/>
  <c r="B172" i="1"/>
  <c r="D172" i="15" s="1"/>
  <c r="B166" i="1"/>
  <c r="D166" i="15" s="1"/>
  <c r="D169" i="15"/>
  <c r="D165" i="15"/>
  <c r="E170" i="1"/>
  <c r="E168" i="1"/>
  <c r="E166" i="1"/>
  <c r="D167" i="15"/>
  <c r="E169" i="1"/>
  <c r="E167" i="1"/>
  <c r="E165" i="1"/>
  <c r="E463" i="8"/>
  <c r="H463" i="8" s="1"/>
  <c r="D463" i="8"/>
  <c r="G463" i="8" s="1"/>
  <c r="E460" i="8"/>
  <c r="H460" i="8" s="1"/>
  <c r="C460" i="8"/>
  <c r="F460" i="8" s="1"/>
  <c r="D460" i="8"/>
  <c r="G460" i="8" s="1"/>
  <c r="E456" i="8"/>
  <c r="H456" i="8" s="1"/>
  <c r="C456" i="8"/>
  <c r="F456" i="8" s="1"/>
  <c r="D456" i="8"/>
  <c r="G456" i="8" s="1"/>
  <c r="I456" i="8" s="1"/>
  <c r="E428" i="8"/>
  <c r="H428" i="8" s="1"/>
  <c r="D428" i="8"/>
  <c r="G428" i="8" s="1"/>
  <c r="E407" i="8"/>
  <c r="H407" i="8" s="1"/>
  <c r="C407" i="8"/>
  <c r="F407" i="8" s="1"/>
  <c r="D407" i="8"/>
  <c r="G407" i="8" s="1"/>
  <c r="E396" i="8"/>
  <c r="H396" i="8" s="1"/>
  <c r="C396" i="8"/>
  <c r="F396" i="8" s="1"/>
  <c r="D396" i="8"/>
  <c r="G396" i="8" s="1"/>
  <c r="D382" i="8"/>
  <c r="G382" i="8" s="1"/>
  <c r="C382" i="8"/>
  <c r="F382" i="8" s="1"/>
  <c r="E382" i="8"/>
  <c r="H382" i="8" s="1"/>
  <c r="I382" i="8" s="1"/>
  <c r="E373" i="8"/>
  <c r="H373" i="8" s="1"/>
  <c r="D373" i="8"/>
  <c r="G373" i="8" s="1"/>
  <c r="D358" i="8"/>
  <c r="G358" i="8" s="1"/>
  <c r="C358" i="8"/>
  <c r="F358" i="8" s="1"/>
  <c r="E358" i="8"/>
  <c r="H358" i="8" s="1"/>
  <c r="D342" i="8"/>
  <c r="G342" i="8" s="1"/>
  <c r="C342" i="8"/>
  <c r="F342" i="8" s="1"/>
  <c r="E342" i="8"/>
  <c r="H342" i="8" s="1"/>
  <c r="D340" i="8"/>
  <c r="G340" i="8" s="1"/>
  <c r="E340" i="8"/>
  <c r="H340" i="8" s="1"/>
  <c r="D316" i="8"/>
  <c r="G316" i="8" s="1"/>
  <c r="E316" i="8"/>
  <c r="H316" i="8" s="1"/>
  <c r="D300" i="8"/>
  <c r="G300" i="8" s="1"/>
  <c r="E300" i="8"/>
  <c r="H300" i="8" s="1"/>
  <c r="E274" i="8"/>
  <c r="H274" i="8" s="1"/>
  <c r="C274" i="8"/>
  <c r="F274" i="8" s="1"/>
  <c r="D274" i="8"/>
  <c r="G274" i="8" s="1"/>
  <c r="C230" i="8"/>
  <c r="F230" i="8" s="1"/>
  <c r="D230" i="8"/>
  <c r="G230" i="8" s="1"/>
  <c r="E230" i="8"/>
  <c r="H230" i="8" s="1"/>
  <c r="C193" i="8"/>
  <c r="F193" i="8" s="1"/>
  <c r="E193" i="8"/>
  <c r="H193" i="8" s="1"/>
  <c r="D612" i="8"/>
  <c r="G612" i="8" s="1"/>
  <c r="D596" i="8"/>
  <c r="G596" i="8" s="1"/>
  <c r="D580" i="8"/>
  <c r="G580" i="8" s="1"/>
  <c r="D564" i="8"/>
  <c r="G564" i="8" s="1"/>
  <c r="D547" i="8"/>
  <c r="G547" i="8" s="1"/>
  <c r="E472" i="8"/>
  <c r="H472" i="8" s="1"/>
  <c r="D472" i="8"/>
  <c r="G472" i="8" s="1"/>
  <c r="E464" i="8"/>
  <c r="H464" i="8" s="1"/>
  <c r="D464" i="8"/>
  <c r="G464" i="8" s="1"/>
  <c r="E447" i="8"/>
  <c r="H447" i="8" s="1"/>
  <c r="C447" i="8"/>
  <c r="F447" i="8" s="1"/>
  <c r="D447" i="8"/>
  <c r="G447" i="8" s="1"/>
  <c r="E424" i="8"/>
  <c r="H424" i="8" s="1"/>
  <c r="D424" i="8"/>
  <c r="G424" i="8" s="1"/>
  <c r="E411" i="8"/>
  <c r="H411" i="8" s="1"/>
  <c r="D411" i="8"/>
  <c r="G411" i="8" s="1"/>
  <c r="D374" i="8"/>
  <c r="G374" i="8" s="1"/>
  <c r="C374" i="8"/>
  <c r="F374" i="8" s="1"/>
  <c r="E374" i="8"/>
  <c r="H374" i="8" s="1"/>
  <c r="E365" i="8"/>
  <c r="H365" i="8" s="1"/>
  <c r="D365" i="8"/>
  <c r="G365" i="8" s="1"/>
  <c r="E349" i="8"/>
  <c r="H349" i="8" s="1"/>
  <c r="D349" i="8"/>
  <c r="G349" i="8" s="1"/>
  <c r="E331" i="8"/>
  <c r="H331" i="8" s="1"/>
  <c r="D331" i="8"/>
  <c r="G331" i="8" s="1"/>
  <c r="D308" i="8"/>
  <c r="G308" i="8" s="1"/>
  <c r="C308" i="8"/>
  <c r="F308" i="8" s="1"/>
  <c r="E308" i="8"/>
  <c r="H308" i="8" s="1"/>
  <c r="D284" i="8"/>
  <c r="G284" i="8" s="1"/>
  <c r="C284" i="8"/>
  <c r="F284" i="8" s="1"/>
  <c r="E284" i="8"/>
  <c r="H284" i="8" s="1"/>
  <c r="I284" i="8" s="1"/>
  <c r="E267" i="8"/>
  <c r="H267" i="8" s="1"/>
  <c r="D267" i="8"/>
  <c r="G267" i="8" s="1"/>
  <c r="C222" i="8"/>
  <c r="F222" i="8" s="1"/>
  <c r="D222" i="8"/>
  <c r="G222" i="8" s="1"/>
  <c r="E222" i="8"/>
  <c r="H222" i="8" s="1"/>
  <c r="C202" i="8"/>
  <c r="F202" i="8" s="1"/>
  <c r="E202" i="8"/>
  <c r="H202" i="8" s="1"/>
  <c r="C153" i="8"/>
  <c r="F153" i="8" s="1"/>
  <c r="E153" i="8"/>
  <c r="H153" i="8" s="1"/>
  <c r="E642" i="8"/>
  <c r="H642" i="8" s="1"/>
  <c r="C637" i="8"/>
  <c r="F637" i="8" s="1"/>
  <c r="C633" i="8"/>
  <c r="F633" i="8" s="1"/>
  <c r="C628" i="8"/>
  <c r="F628" i="8" s="1"/>
  <c r="C624" i="8"/>
  <c r="F624" i="8" s="1"/>
  <c r="C613" i="8"/>
  <c r="F613" i="8" s="1"/>
  <c r="C612" i="8"/>
  <c r="F612" i="8" s="1"/>
  <c r="I612" i="8" s="1"/>
  <c r="C611" i="8"/>
  <c r="F611" i="8" s="1"/>
  <c r="C597" i="8"/>
  <c r="F597" i="8" s="1"/>
  <c r="C596" i="8"/>
  <c r="F596" i="8" s="1"/>
  <c r="C595" i="8"/>
  <c r="F595" i="8" s="1"/>
  <c r="C581" i="8"/>
  <c r="F581" i="8" s="1"/>
  <c r="C580" i="8"/>
  <c r="F580" i="8" s="1"/>
  <c r="C579" i="8"/>
  <c r="F579" i="8" s="1"/>
  <c r="C565" i="8"/>
  <c r="F565" i="8" s="1"/>
  <c r="C564" i="8"/>
  <c r="F564" i="8" s="1"/>
  <c r="C563" i="8"/>
  <c r="F563" i="8" s="1"/>
  <c r="D551" i="8"/>
  <c r="G551" i="8" s="1"/>
  <c r="C547" i="8"/>
  <c r="F547" i="8" s="1"/>
  <c r="D543" i="8"/>
  <c r="G543" i="8" s="1"/>
  <c r="C541" i="8"/>
  <c r="F541" i="8" s="1"/>
  <c r="D532" i="8"/>
  <c r="G532" i="8" s="1"/>
  <c r="D524" i="8"/>
  <c r="G524" i="8" s="1"/>
  <c r="D516" i="8"/>
  <c r="G516" i="8" s="1"/>
  <c r="C515" i="8"/>
  <c r="F515" i="8" s="1"/>
  <c r="C512" i="8"/>
  <c r="F512" i="8" s="1"/>
  <c r="I512" i="8" s="1"/>
  <c r="C511" i="8"/>
  <c r="F511" i="8" s="1"/>
  <c r="C507" i="8"/>
  <c r="F507" i="8" s="1"/>
  <c r="C503" i="8"/>
  <c r="F503" i="8" s="1"/>
  <c r="C499" i="8"/>
  <c r="F499" i="8" s="1"/>
  <c r="I499" i="8" s="1"/>
  <c r="D492" i="8"/>
  <c r="G492" i="8" s="1"/>
  <c r="C488" i="8"/>
  <c r="F488" i="8" s="1"/>
  <c r="C475" i="8"/>
  <c r="F475" i="8" s="1"/>
  <c r="I475" i="8" s="1"/>
  <c r="C467" i="8"/>
  <c r="F467" i="8" s="1"/>
  <c r="E451" i="8"/>
  <c r="H451" i="8" s="1"/>
  <c r="D451" i="8"/>
  <c r="G451" i="8" s="1"/>
  <c r="E420" i="8"/>
  <c r="H420" i="8" s="1"/>
  <c r="D420" i="8"/>
  <c r="G420" i="8" s="1"/>
  <c r="E415" i="8"/>
  <c r="H415" i="8" s="1"/>
  <c r="D415" i="8"/>
  <c r="G415" i="8" s="1"/>
  <c r="E412" i="8"/>
  <c r="H412" i="8" s="1"/>
  <c r="C412" i="8"/>
  <c r="F412" i="8" s="1"/>
  <c r="D412" i="8"/>
  <c r="G412" i="8" s="1"/>
  <c r="E408" i="8"/>
  <c r="H408" i="8" s="1"/>
  <c r="C408" i="8"/>
  <c r="F408" i="8" s="1"/>
  <c r="D408" i="8"/>
  <c r="G408" i="8" s="1"/>
  <c r="E389" i="8"/>
  <c r="H389" i="8" s="1"/>
  <c r="D389" i="8"/>
  <c r="G389" i="8" s="1"/>
  <c r="C385" i="8"/>
  <c r="F385" i="8" s="1"/>
  <c r="I372" i="8"/>
  <c r="D366" i="8"/>
  <c r="G366" i="8" s="1"/>
  <c r="C366" i="8"/>
  <c r="F366" i="8" s="1"/>
  <c r="E366" i="8"/>
  <c r="H366" i="8" s="1"/>
  <c r="C361" i="8"/>
  <c r="F361" i="8" s="1"/>
  <c r="D350" i="8"/>
  <c r="G350" i="8" s="1"/>
  <c r="C350" i="8"/>
  <c r="F350" i="8" s="1"/>
  <c r="E350" i="8"/>
  <c r="H350" i="8" s="1"/>
  <c r="C345" i="8"/>
  <c r="F345" i="8" s="1"/>
  <c r="C338" i="8"/>
  <c r="F338" i="8" s="1"/>
  <c r="D332" i="8"/>
  <c r="G332" i="8" s="1"/>
  <c r="C332" i="8"/>
  <c r="F332" i="8" s="1"/>
  <c r="E332" i="8"/>
  <c r="H332" i="8" s="1"/>
  <c r="E322" i="8"/>
  <c r="H322" i="8" s="1"/>
  <c r="D322" i="8"/>
  <c r="G322" i="8" s="1"/>
  <c r="E315" i="8"/>
  <c r="H315" i="8" s="1"/>
  <c r="D315" i="8"/>
  <c r="G315" i="8" s="1"/>
  <c r="E306" i="8"/>
  <c r="H306" i="8" s="1"/>
  <c r="D306" i="8"/>
  <c r="G306" i="8" s="1"/>
  <c r="D268" i="8"/>
  <c r="G268" i="8" s="1"/>
  <c r="C268" i="8"/>
  <c r="F268" i="8" s="1"/>
  <c r="E268" i="8"/>
  <c r="H268" i="8" s="1"/>
  <c r="E250" i="8"/>
  <c r="H250" i="8" s="1"/>
  <c r="D250" i="8"/>
  <c r="G250" i="8" s="1"/>
  <c r="C214" i="8"/>
  <c r="F214" i="8" s="1"/>
  <c r="D214" i="8"/>
  <c r="G214" i="8" s="1"/>
  <c r="E214" i="8"/>
  <c r="H214" i="8" s="1"/>
  <c r="C162" i="8"/>
  <c r="F162" i="8" s="1"/>
  <c r="D162" i="8"/>
  <c r="G162" i="8" s="1"/>
  <c r="E162" i="8"/>
  <c r="H162" i="8" s="1"/>
  <c r="C642" i="8"/>
  <c r="F642" i="8" s="1"/>
  <c r="C629" i="8"/>
  <c r="F629" i="8" s="1"/>
  <c r="C625" i="8"/>
  <c r="F625" i="8" s="1"/>
  <c r="C620" i="8"/>
  <c r="F620" i="8" s="1"/>
  <c r="D615" i="8"/>
  <c r="G615" i="8" s="1"/>
  <c r="E609" i="8"/>
  <c r="H609" i="8" s="1"/>
  <c r="D599" i="8"/>
  <c r="G599" i="8" s="1"/>
  <c r="E593" i="8"/>
  <c r="H593" i="8" s="1"/>
  <c r="D583" i="8"/>
  <c r="G583" i="8" s="1"/>
  <c r="E577" i="8"/>
  <c r="H577" i="8" s="1"/>
  <c r="D567" i="8"/>
  <c r="G567" i="8" s="1"/>
  <c r="E561" i="8"/>
  <c r="H561" i="8" s="1"/>
  <c r="C543" i="8"/>
  <c r="F543" i="8" s="1"/>
  <c r="C533" i="8"/>
  <c r="F533" i="8" s="1"/>
  <c r="C525" i="8"/>
  <c r="F525" i="8" s="1"/>
  <c r="D519" i="8"/>
  <c r="G519" i="8" s="1"/>
  <c r="C517" i="8"/>
  <c r="F517" i="8" s="1"/>
  <c r="C513" i="8"/>
  <c r="F513" i="8" s="1"/>
  <c r="I500" i="8"/>
  <c r="C492" i="8"/>
  <c r="F492" i="8" s="1"/>
  <c r="D480" i="8"/>
  <c r="G480" i="8" s="1"/>
  <c r="D479" i="8"/>
  <c r="G479" i="8" s="1"/>
  <c r="I479" i="8" s="1"/>
  <c r="E476" i="8"/>
  <c r="H476" i="8" s="1"/>
  <c r="D476" i="8"/>
  <c r="G476" i="8" s="1"/>
  <c r="D471" i="8"/>
  <c r="G471" i="8" s="1"/>
  <c r="I471" i="8" s="1"/>
  <c r="E468" i="8"/>
  <c r="H468" i="8" s="1"/>
  <c r="D468" i="8"/>
  <c r="G468" i="8" s="1"/>
  <c r="C463" i="8"/>
  <c r="F463" i="8" s="1"/>
  <c r="E459" i="8"/>
  <c r="H459" i="8" s="1"/>
  <c r="D459" i="8"/>
  <c r="G459" i="8" s="1"/>
  <c r="E455" i="8"/>
  <c r="H455" i="8" s="1"/>
  <c r="D455" i="8"/>
  <c r="G455" i="8" s="1"/>
  <c r="E452" i="8"/>
  <c r="H452" i="8" s="1"/>
  <c r="C452" i="8"/>
  <c r="F452" i="8" s="1"/>
  <c r="D452" i="8"/>
  <c r="G452" i="8" s="1"/>
  <c r="E448" i="8"/>
  <c r="H448" i="8" s="1"/>
  <c r="C448" i="8"/>
  <c r="F448" i="8" s="1"/>
  <c r="D448" i="8"/>
  <c r="G448" i="8" s="1"/>
  <c r="E443" i="8"/>
  <c r="H443" i="8" s="1"/>
  <c r="C443" i="8"/>
  <c r="F443" i="8" s="1"/>
  <c r="D443" i="8"/>
  <c r="G443" i="8" s="1"/>
  <c r="C428" i="8"/>
  <c r="F428" i="8" s="1"/>
  <c r="I428" i="8" s="1"/>
  <c r="E416" i="8"/>
  <c r="H416" i="8" s="1"/>
  <c r="D416" i="8"/>
  <c r="G416" i="8" s="1"/>
  <c r="I403" i="8"/>
  <c r="E395" i="8"/>
  <c r="H395" i="8" s="1"/>
  <c r="D395" i="8"/>
  <c r="G395" i="8" s="1"/>
  <c r="D390" i="8"/>
  <c r="G390" i="8" s="1"/>
  <c r="C390" i="8"/>
  <c r="F390" i="8" s="1"/>
  <c r="E390" i="8"/>
  <c r="H390" i="8" s="1"/>
  <c r="E381" i="8"/>
  <c r="H381" i="8" s="1"/>
  <c r="D381" i="8"/>
  <c r="G381" i="8" s="1"/>
  <c r="C377" i="8"/>
  <c r="F377" i="8" s="1"/>
  <c r="C373" i="8"/>
  <c r="F373" i="8" s="1"/>
  <c r="E357" i="8"/>
  <c r="H357" i="8" s="1"/>
  <c r="D357" i="8"/>
  <c r="G357" i="8" s="1"/>
  <c r="C340" i="8"/>
  <c r="F340" i="8" s="1"/>
  <c r="E330" i="8"/>
  <c r="H330" i="8" s="1"/>
  <c r="C330" i="8"/>
  <c r="F330" i="8" s="1"/>
  <c r="E323" i="8"/>
  <c r="H323" i="8" s="1"/>
  <c r="C323" i="8"/>
  <c r="F323" i="8" s="1"/>
  <c r="D323" i="8"/>
  <c r="G323" i="8" s="1"/>
  <c r="C316" i="8"/>
  <c r="F316" i="8" s="1"/>
  <c r="E307" i="8"/>
  <c r="H307" i="8" s="1"/>
  <c r="C307" i="8"/>
  <c r="F307" i="8" s="1"/>
  <c r="D307" i="8"/>
  <c r="G307" i="8" s="1"/>
  <c r="I307" i="8" s="1"/>
  <c r="C300" i="8"/>
  <c r="F300" i="8" s="1"/>
  <c r="E290" i="8"/>
  <c r="H290" i="8" s="1"/>
  <c r="C290" i="8"/>
  <c r="F290" i="8" s="1"/>
  <c r="D290" i="8"/>
  <c r="G290" i="8" s="1"/>
  <c r="E283" i="8"/>
  <c r="H283" i="8" s="1"/>
  <c r="C283" i="8"/>
  <c r="F283" i="8" s="1"/>
  <c r="D283" i="8"/>
  <c r="G283" i="8" s="1"/>
  <c r="I282" i="8"/>
  <c r="D260" i="8"/>
  <c r="G260" i="8" s="1"/>
  <c r="E260" i="8"/>
  <c r="H260" i="8" s="1"/>
  <c r="C238" i="8"/>
  <c r="F238" i="8" s="1"/>
  <c r="D238" i="8"/>
  <c r="G238" i="8" s="1"/>
  <c r="E238" i="8"/>
  <c r="H238" i="8" s="1"/>
  <c r="C209" i="8"/>
  <c r="F209" i="8" s="1"/>
  <c r="D209" i="8"/>
  <c r="G209" i="8" s="1"/>
  <c r="E209" i="8"/>
  <c r="H209" i="8" s="1"/>
  <c r="D193" i="8"/>
  <c r="G193" i="8" s="1"/>
  <c r="C185" i="8"/>
  <c r="F185" i="8" s="1"/>
  <c r="E185" i="8"/>
  <c r="H185" i="8" s="1"/>
  <c r="I185" i="8" s="1"/>
  <c r="C169" i="8"/>
  <c r="F169" i="8" s="1"/>
  <c r="E169" i="8"/>
  <c r="H169" i="8" s="1"/>
  <c r="C324" i="8"/>
  <c r="F324" i="8" s="1"/>
  <c r="C314" i="8"/>
  <c r="F314" i="8" s="1"/>
  <c r="I314" i="8" s="1"/>
  <c r="C298" i="8"/>
  <c r="F298" i="8" s="1"/>
  <c r="C276" i="8"/>
  <c r="F276" i="8" s="1"/>
  <c r="C258" i="8"/>
  <c r="F258" i="8" s="1"/>
  <c r="C252" i="8"/>
  <c r="F252" i="8" s="1"/>
  <c r="D161" i="8"/>
  <c r="G161" i="8" s="1"/>
  <c r="I161" i="8" s="1"/>
  <c r="D664" i="8"/>
  <c r="G664" i="8" s="1"/>
  <c r="E664" i="8"/>
  <c r="H664" i="8" s="1"/>
  <c r="D656" i="8"/>
  <c r="G656" i="8" s="1"/>
  <c r="E656" i="8"/>
  <c r="H656" i="8" s="1"/>
  <c r="D648" i="8"/>
  <c r="G648" i="8" s="1"/>
  <c r="E648" i="8"/>
  <c r="H648" i="8" s="1"/>
  <c r="C635" i="8"/>
  <c r="F635" i="8" s="1"/>
  <c r="D635" i="8"/>
  <c r="G635" i="8" s="1"/>
  <c r="E635" i="8"/>
  <c r="H635" i="8" s="1"/>
  <c r="D626" i="8"/>
  <c r="G626" i="8" s="1"/>
  <c r="C626" i="8"/>
  <c r="F626" i="8" s="1"/>
  <c r="E616" i="8"/>
  <c r="H616" i="8" s="1"/>
  <c r="C616" i="8"/>
  <c r="F616" i="8" s="1"/>
  <c r="D616" i="8"/>
  <c r="G616" i="8" s="1"/>
  <c r="E584" i="8"/>
  <c r="H584" i="8" s="1"/>
  <c r="C584" i="8"/>
  <c r="F584" i="8" s="1"/>
  <c r="D584" i="8"/>
  <c r="G584" i="8" s="1"/>
  <c r="C546" i="8"/>
  <c r="F546" i="8" s="1"/>
  <c r="D546" i="8"/>
  <c r="G546" i="8" s="1"/>
  <c r="C542" i="8"/>
  <c r="F542" i="8" s="1"/>
  <c r="D542" i="8"/>
  <c r="G542" i="8" s="1"/>
  <c r="E542" i="8"/>
  <c r="H542" i="8" s="1"/>
  <c r="C526" i="8"/>
  <c r="F526" i="8" s="1"/>
  <c r="D526" i="8"/>
  <c r="G526" i="8" s="1"/>
  <c r="E526" i="8"/>
  <c r="H526" i="8" s="1"/>
  <c r="C510" i="8"/>
  <c r="F510" i="8" s="1"/>
  <c r="D510" i="8"/>
  <c r="G510" i="8" s="1"/>
  <c r="E510" i="8"/>
  <c r="H510" i="8" s="1"/>
  <c r="C486" i="8"/>
  <c r="F486" i="8" s="1"/>
  <c r="D486" i="8"/>
  <c r="G486" i="8" s="1"/>
  <c r="E486" i="8"/>
  <c r="H486" i="8" s="1"/>
  <c r="C478" i="8"/>
  <c r="F478" i="8" s="1"/>
  <c r="D478" i="8"/>
  <c r="G478" i="8" s="1"/>
  <c r="E478" i="8"/>
  <c r="H478" i="8" s="1"/>
  <c r="D465" i="8"/>
  <c r="G465" i="8" s="1"/>
  <c r="C465" i="8"/>
  <c r="F465" i="8" s="1"/>
  <c r="E465" i="8"/>
  <c r="H465" i="8" s="1"/>
  <c r="C450" i="8"/>
  <c r="F450" i="8" s="1"/>
  <c r="D450" i="8"/>
  <c r="G450" i="8" s="1"/>
  <c r="E450" i="8"/>
  <c r="H450" i="8" s="1"/>
  <c r="D433" i="8"/>
  <c r="G433" i="8" s="1"/>
  <c r="C433" i="8"/>
  <c r="F433" i="8" s="1"/>
  <c r="E433" i="8"/>
  <c r="H433" i="8" s="1"/>
  <c r="C418" i="8"/>
  <c r="F418" i="8" s="1"/>
  <c r="D418" i="8"/>
  <c r="G418" i="8" s="1"/>
  <c r="E418" i="8"/>
  <c r="H418" i="8" s="1"/>
  <c r="E294" i="8"/>
  <c r="H294" i="8" s="1"/>
  <c r="C294" i="8"/>
  <c r="F294" i="8" s="1"/>
  <c r="D294" i="8"/>
  <c r="G294" i="8" s="1"/>
  <c r="E670" i="8"/>
  <c r="H670" i="8" s="1"/>
  <c r="E666" i="8"/>
  <c r="H666" i="8" s="1"/>
  <c r="E662" i="8"/>
  <c r="H662" i="8" s="1"/>
  <c r="E658" i="8"/>
  <c r="H658" i="8" s="1"/>
  <c r="E654" i="8"/>
  <c r="H654" i="8" s="1"/>
  <c r="E650" i="8"/>
  <c r="H650" i="8" s="1"/>
  <c r="I650" i="8" s="1"/>
  <c r="E646" i="8"/>
  <c r="H646" i="8" s="1"/>
  <c r="C639" i="8"/>
  <c r="F639" i="8" s="1"/>
  <c r="D639" i="8"/>
  <c r="G639" i="8" s="1"/>
  <c r="E639" i="8"/>
  <c r="H639" i="8" s="1"/>
  <c r="D630" i="8"/>
  <c r="G630" i="8" s="1"/>
  <c r="C630" i="8"/>
  <c r="F630" i="8" s="1"/>
  <c r="C623" i="8"/>
  <c r="F623" i="8" s="1"/>
  <c r="D623" i="8"/>
  <c r="G623" i="8" s="1"/>
  <c r="E623" i="8"/>
  <c r="H623" i="8" s="1"/>
  <c r="C606" i="8"/>
  <c r="F606" i="8" s="1"/>
  <c r="D606" i="8"/>
  <c r="G606" i="8" s="1"/>
  <c r="E606" i="8"/>
  <c r="H606" i="8" s="1"/>
  <c r="C590" i="8"/>
  <c r="F590" i="8" s="1"/>
  <c r="D590" i="8"/>
  <c r="G590" i="8" s="1"/>
  <c r="E590" i="8"/>
  <c r="H590" i="8" s="1"/>
  <c r="C574" i="8"/>
  <c r="F574" i="8" s="1"/>
  <c r="D574" i="8"/>
  <c r="G574" i="8" s="1"/>
  <c r="E574" i="8"/>
  <c r="H574" i="8" s="1"/>
  <c r="C558" i="8"/>
  <c r="F558" i="8" s="1"/>
  <c r="D558" i="8"/>
  <c r="G558" i="8" s="1"/>
  <c r="E558" i="8"/>
  <c r="H558" i="8" s="1"/>
  <c r="E536" i="8"/>
  <c r="H536" i="8" s="1"/>
  <c r="C536" i="8"/>
  <c r="F536" i="8" s="1"/>
  <c r="D536" i="8"/>
  <c r="G536" i="8" s="1"/>
  <c r="C534" i="8"/>
  <c r="F534" i="8" s="1"/>
  <c r="D534" i="8"/>
  <c r="G534" i="8" s="1"/>
  <c r="E534" i="8"/>
  <c r="H534" i="8" s="1"/>
  <c r="C402" i="8"/>
  <c r="F402" i="8" s="1"/>
  <c r="D402" i="8"/>
  <c r="G402" i="8" s="1"/>
  <c r="E402" i="8"/>
  <c r="H402" i="8" s="1"/>
  <c r="C398" i="8"/>
  <c r="F398" i="8" s="1"/>
  <c r="D398" i="8"/>
  <c r="G398" i="8" s="1"/>
  <c r="E398" i="8"/>
  <c r="H398" i="8" s="1"/>
  <c r="C375" i="8"/>
  <c r="F375" i="8" s="1"/>
  <c r="D375" i="8"/>
  <c r="G375" i="8" s="1"/>
  <c r="E375" i="8"/>
  <c r="H375" i="8" s="1"/>
  <c r="E352" i="8"/>
  <c r="H352" i="8" s="1"/>
  <c r="C352" i="8"/>
  <c r="F352" i="8" s="1"/>
  <c r="D352" i="8"/>
  <c r="G352" i="8" s="1"/>
  <c r="D320" i="8"/>
  <c r="G320" i="8" s="1"/>
  <c r="C320" i="8"/>
  <c r="F320" i="8" s="1"/>
  <c r="E320" i="8"/>
  <c r="H320" i="8" s="1"/>
  <c r="C277" i="8"/>
  <c r="F277" i="8" s="1"/>
  <c r="D277" i="8"/>
  <c r="G277" i="8" s="1"/>
  <c r="E277" i="8"/>
  <c r="H277" i="8" s="1"/>
  <c r="E263" i="8"/>
  <c r="H263" i="8" s="1"/>
  <c r="D263" i="8"/>
  <c r="G263" i="8" s="1"/>
  <c r="C263" i="8"/>
  <c r="F263" i="8" s="1"/>
  <c r="D256" i="8"/>
  <c r="G256" i="8" s="1"/>
  <c r="C256" i="8"/>
  <c r="F256" i="8" s="1"/>
  <c r="E256" i="8"/>
  <c r="H256" i="8" s="1"/>
  <c r="E155" i="8"/>
  <c r="H155" i="8" s="1"/>
  <c r="C155" i="8"/>
  <c r="F155" i="8" s="1"/>
  <c r="D155" i="8"/>
  <c r="G155" i="8" s="1"/>
  <c r="D660" i="8"/>
  <c r="G660" i="8" s="1"/>
  <c r="E660" i="8"/>
  <c r="H660" i="8" s="1"/>
  <c r="D652" i="8"/>
  <c r="G652" i="8" s="1"/>
  <c r="E652" i="8"/>
  <c r="H652" i="8" s="1"/>
  <c r="D644" i="8"/>
  <c r="G644" i="8" s="1"/>
  <c r="E644" i="8"/>
  <c r="H644" i="8" s="1"/>
  <c r="I630" i="8"/>
  <c r="C619" i="8"/>
  <c r="F619" i="8" s="1"/>
  <c r="D619" i="8"/>
  <c r="G619" i="8" s="1"/>
  <c r="E619" i="8"/>
  <c r="H619" i="8" s="1"/>
  <c r="E600" i="8"/>
  <c r="H600" i="8" s="1"/>
  <c r="C600" i="8"/>
  <c r="F600" i="8" s="1"/>
  <c r="D600" i="8"/>
  <c r="G600" i="8" s="1"/>
  <c r="E568" i="8"/>
  <c r="H568" i="8" s="1"/>
  <c r="C568" i="8"/>
  <c r="F568" i="8" s="1"/>
  <c r="D568" i="8"/>
  <c r="G568" i="8" s="1"/>
  <c r="E544" i="8"/>
  <c r="H544" i="8" s="1"/>
  <c r="C544" i="8"/>
  <c r="F544" i="8" s="1"/>
  <c r="D544" i="8"/>
  <c r="G544" i="8" s="1"/>
  <c r="C538" i="8"/>
  <c r="F538" i="8" s="1"/>
  <c r="D538" i="8"/>
  <c r="G538" i="8" s="1"/>
  <c r="E528" i="8"/>
  <c r="H528" i="8" s="1"/>
  <c r="C528" i="8"/>
  <c r="F528" i="8" s="1"/>
  <c r="D528" i="8"/>
  <c r="G528" i="8" s="1"/>
  <c r="D497" i="8"/>
  <c r="G497" i="8" s="1"/>
  <c r="C497" i="8"/>
  <c r="F497" i="8" s="1"/>
  <c r="E497" i="8"/>
  <c r="H497" i="8" s="1"/>
  <c r="C482" i="8"/>
  <c r="F482" i="8" s="1"/>
  <c r="D482" i="8"/>
  <c r="G482" i="8" s="1"/>
  <c r="E482" i="8"/>
  <c r="H482" i="8" s="1"/>
  <c r="C454" i="8"/>
  <c r="F454" i="8" s="1"/>
  <c r="D454" i="8"/>
  <c r="G454" i="8" s="1"/>
  <c r="E454" i="8"/>
  <c r="H454" i="8" s="1"/>
  <c r="C446" i="8"/>
  <c r="F446" i="8" s="1"/>
  <c r="D446" i="8"/>
  <c r="G446" i="8" s="1"/>
  <c r="E446" i="8"/>
  <c r="H446" i="8" s="1"/>
  <c r="C422" i="8"/>
  <c r="F422" i="8" s="1"/>
  <c r="D422" i="8"/>
  <c r="G422" i="8" s="1"/>
  <c r="E422" i="8"/>
  <c r="H422" i="8" s="1"/>
  <c r="C414" i="8"/>
  <c r="F414" i="8" s="1"/>
  <c r="D414" i="8"/>
  <c r="G414" i="8" s="1"/>
  <c r="E414" i="8"/>
  <c r="H414" i="8" s="1"/>
  <c r="C343" i="8"/>
  <c r="F343" i="8" s="1"/>
  <c r="D343" i="8"/>
  <c r="G343" i="8" s="1"/>
  <c r="E343" i="8"/>
  <c r="H343" i="8" s="1"/>
  <c r="C670" i="8"/>
  <c r="F670" i="8" s="1"/>
  <c r="C666" i="8"/>
  <c r="F666" i="8" s="1"/>
  <c r="C662" i="8"/>
  <c r="F662" i="8" s="1"/>
  <c r="C658" i="8"/>
  <c r="F658" i="8" s="1"/>
  <c r="C654" i="8"/>
  <c r="F654" i="8" s="1"/>
  <c r="D634" i="8"/>
  <c r="G634" i="8" s="1"/>
  <c r="C634" i="8"/>
  <c r="F634" i="8" s="1"/>
  <c r="C627" i="8"/>
  <c r="F627" i="8" s="1"/>
  <c r="D627" i="8"/>
  <c r="G627" i="8" s="1"/>
  <c r="E627" i="8"/>
  <c r="H627" i="8" s="1"/>
  <c r="E608" i="8"/>
  <c r="H608" i="8" s="1"/>
  <c r="C608" i="8"/>
  <c r="F608" i="8" s="1"/>
  <c r="D608" i="8"/>
  <c r="G608" i="8" s="1"/>
  <c r="E592" i="8"/>
  <c r="H592" i="8" s="1"/>
  <c r="C592" i="8"/>
  <c r="F592" i="8" s="1"/>
  <c r="D592" i="8"/>
  <c r="G592" i="8" s="1"/>
  <c r="E576" i="8"/>
  <c r="H576" i="8" s="1"/>
  <c r="C576" i="8"/>
  <c r="F576" i="8" s="1"/>
  <c r="D576" i="8"/>
  <c r="G576" i="8" s="1"/>
  <c r="E560" i="8"/>
  <c r="H560" i="8" s="1"/>
  <c r="C560" i="8"/>
  <c r="F560" i="8" s="1"/>
  <c r="D560" i="8"/>
  <c r="G560" i="8" s="1"/>
  <c r="C550" i="8"/>
  <c r="F550" i="8" s="1"/>
  <c r="D550" i="8"/>
  <c r="G550" i="8" s="1"/>
  <c r="E550" i="8"/>
  <c r="H550" i="8" s="1"/>
  <c r="C522" i="8"/>
  <c r="F522" i="8" s="1"/>
  <c r="D522" i="8"/>
  <c r="G522" i="8" s="1"/>
  <c r="C502" i="8"/>
  <c r="F502" i="8" s="1"/>
  <c r="D502" i="8"/>
  <c r="G502" i="8" s="1"/>
  <c r="E502" i="8"/>
  <c r="H502" i="8" s="1"/>
  <c r="C498" i="8"/>
  <c r="F498" i="8" s="1"/>
  <c r="D498" i="8"/>
  <c r="G498" i="8" s="1"/>
  <c r="E498" i="8"/>
  <c r="H498" i="8" s="1"/>
  <c r="C494" i="8"/>
  <c r="F494" i="8" s="1"/>
  <c r="D494" i="8"/>
  <c r="G494" i="8" s="1"/>
  <c r="E494" i="8"/>
  <c r="H494" i="8" s="1"/>
  <c r="D481" i="8"/>
  <c r="G481" i="8" s="1"/>
  <c r="C481" i="8"/>
  <c r="F481" i="8" s="1"/>
  <c r="E481" i="8"/>
  <c r="H481" i="8" s="1"/>
  <c r="C470" i="8"/>
  <c r="F470" i="8" s="1"/>
  <c r="D470" i="8"/>
  <c r="G470" i="8" s="1"/>
  <c r="E470" i="8"/>
  <c r="H470" i="8" s="1"/>
  <c r="C466" i="8"/>
  <c r="F466" i="8" s="1"/>
  <c r="D466" i="8"/>
  <c r="G466" i="8" s="1"/>
  <c r="E466" i="8"/>
  <c r="H466" i="8" s="1"/>
  <c r="C462" i="8"/>
  <c r="F462" i="8" s="1"/>
  <c r="D462" i="8"/>
  <c r="G462" i="8" s="1"/>
  <c r="E462" i="8"/>
  <c r="H462" i="8" s="1"/>
  <c r="D449" i="8"/>
  <c r="G449" i="8" s="1"/>
  <c r="C449" i="8"/>
  <c r="F449" i="8" s="1"/>
  <c r="E449" i="8"/>
  <c r="H449" i="8" s="1"/>
  <c r="C438" i="8"/>
  <c r="F438" i="8" s="1"/>
  <c r="D438" i="8"/>
  <c r="G438" i="8" s="1"/>
  <c r="E438" i="8"/>
  <c r="H438" i="8" s="1"/>
  <c r="C434" i="8"/>
  <c r="F434" i="8" s="1"/>
  <c r="D434" i="8"/>
  <c r="G434" i="8" s="1"/>
  <c r="E434" i="8"/>
  <c r="H434" i="8" s="1"/>
  <c r="C430" i="8"/>
  <c r="F430" i="8" s="1"/>
  <c r="D430" i="8"/>
  <c r="G430" i="8" s="1"/>
  <c r="E430" i="8"/>
  <c r="H430" i="8" s="1"/>
  <c r="D417" i="8"/>
  <c r="G417" i="8" s="1"/>
  <c r="C417" i="8"/>
  <c r="F417" i="8" s="1"/>
  <c r="E417" i="8"/>
  <c r="H417" i="8" s="1"/>
  <c r="C406" i="8"/>
  <c r="F406" i="8" s="1"/>
  <c r="D406" i="8"/>
  <c r="G406" i="8" s="1"/>
  <c r="E406" i="8"/>
  <c r="H406" i="8" s="1"/>
  <c r="D397" i="8"/>
  <c r="G397" i="8" s="1"/>
  <c r="C397" i="8"/>
  <c r="F397" i="8" s="1"/>
  <c r="E397" i="8"/>
  <c r="H397" i="8" s="1"/>
  <c r="E384" i="8"/>
  <c r="H384" i="8" s="1"/>
  <c r="C384" i="8"/>
  <c r="F384" i="8" s="1"/>
  <c r="D384" i="8"/>
  <c r="G384" i="8" s="1"/>
  <c r="C190" i="8"/>
  <c r="F190" i="8" s="1"/>
  <c r="D190" i="8"/>
  <c r="G190" i="8" s="1"/>
  <c r="E190" i="8"/>
  <c r="H190" i="8" s="1"/>
  <c r="D668" i="8"/>
  <c r="G668" i="8" s="1"/>
  <c r="E668" i="8"/>
  <c r="H668" i="8" s="1"/>
  <c r="E669" i="8"/>
  <c r="H669" i="8" s="1"/>
  <c r="D669" i="8"/>
  <c r="G669" i="8" s="1"/>
  <c r="C668" i="8"/>
  <c r="F668" i="8" s="1"/>
  <c r="C667" i="8"/>
  <c r="F667" i="8" s="1"/>
  <c r="D667" i="8"/>
  <c r="G667" i="8" s="1"/>
  <c r="E665" i="8"/>
  <c r="H665" i="8" s="1"/>
  <c r="D665" i="8"/>
  <c r="G665" i="8" s="1"/>
  <c r="C664" i="8"/>
  <c r="F664" i="8" s="1"/>
  <c r="C663" i="8"/>
  <c r="F663" i="8" s="1"/>
  <c r="D663" i="8"/>
  <c r="G663" i="8" s="1"/>
  <c r="E661" i="8"/>
  <c r="H661" i="8" s="1"/>
  <c r="D661" i="8"/>
  <c r="G661" i="8" s="1"/>
  <c r="C660" i="8"/>
  <c r="F660" i="8" s="1"/>
  <c r="C659" i="8"/>
  <c r="F659" i="8" s="1"/>
  <c r="D659" i="8"/>
  <c r="G659" i="8" s="1"/>
  <c r="E657" i="8"/>
  <c r="H657" i="8" s="1"/>
  <c r="D657" i="8"/>
  <c r="G657" i="8" s="1"/>
  <c r="C656" i="8"/>
  <c r="F656" i="8" s="1"/>
  <c r="C655" i="8"/>
  <c r="F655" i="8" s="1"/>
  <c r="D655" i="8"/>
  <c r="G655" i="8" s="1"/>
  <c r="E653" i="8"/>
  <c r="H653" i="8" s="1"/>
  <c r="D653" i="8"/>
  <c r="G653" i="8" s="1"/>
  <c r="C652" i="8"/>
  <c r="F652" i="8" s="1"/>
  <c r="C651" i="8"/>
  <c r="F651" i="8" s="1"/>
  <c r="D651" i="8"/>
  <c r="G651" i="8" s="1"/>
  <c r="E649" i="8"/>
  <c r="H649" i="8" s="1"/>
  <c r="D649" i="8"/>
  <c r="G649" i="8" s="1"/>
  <c r="C648" i="8"/>
  <c r="F648" i="8" s="1"/>
  <c r="C647" i="8"/>
  <c r="F647" i="8" s="1"/>
  <c r="D647" i="8"/>
  <c r="G647" i="8" s="1"/>
  <c r="E645" i="8"/>
  <c r="H645" i="8" s="1"/>
  <c r="D645" i="8"/>
  <c r="G645" i="8" s="1"/>
  <c r="C644" i="8"/>
  <c r="F644" i="8" s="1"/>
  <c r="C643" i="8"/>
  <c r="F643" i="8" s="1"/>
  <c r="D643" i="8"/>
  <c r="G643" i="8" s="1"/>
  <c r="E641" i="8"/>
  <c r="H641" i="8" s="1"/>
  <c r="D641" i="8"/>
  <c r="G641" i="8" s="1"/>
  <c r="D638" i="8"/>
  <c r="G638" i="8" s="1"/>
  <c r="C638" i="8"/>
  <c r="F638" i="8" s="1"/>
  <c r="C631" i="8"/>
  <c r="F631" i="8" s="1"/>
  <c r="D631" i="8"/>
  <c r="G631" i="8" s="1"/>
  <c r="E631" i="8"/>
  <c r="H631" i="8" s="1"/>
  <c r="E626" i="8"/>
  <c r="H626" i="8" s="1"/>
  <c r="D622" i="8"/>
  <c r="G622" i="8" s="1"/>
  <c r="C622" i="8"/>
  <c r="F622" i="8" s="1"/>
  <c r="C614" i="8"/>
  <c r="F614" i="8" s="1"/>
  <c r="D614" i="8"/>
  <c r="G614" i="8" s="1"/>
  <c r="E614" i="8"/>
  <c r="H614" i="8" s="1"/>
  <c r="C598" i="8"/>
  <c r="F598" i="8" s="1"/>
  <c r="D598" i="8"/>
  <c r="G598" i="8" s="1"/>
  <c r="E598" i="8"/>
  <c r="H598" i="8" s="1"/>
  <c r="C582" i="8"/>
  <c r="F582" i="8" s="1"/>
  <c r="D582" i="8"/>
  <c r="G582" i="8" s="1"/>
  <c r="E582" i="8"/>
  <c r="H582" i="8" s="1"/>
  <c r="C566" i="8"/>
  <c r="F566" i="8" s="1"/>
  <c r="D566" i="8"/>
  <c r="G566" i="8" s="1"/>
  <c r="E566" i="8"/>
  <c r="H566" i="8" s="1"/>
  <c r="E552" i="8"/>
  <c r="H552" i="8" s="1"/>
  <c r="C552" i="8"/>
  <c r="F552" i="8" s="1"/>
  <c r="D552" i="8"/>
  <c r="G552" i="8" s="1"/>
  <c r="E546" i="8"/>
  <c r="H546" i="8" s="1"/>
  <c r="E538" i="8"/>
  <c r="H538" i="8" s="1"/>
  <c r="C530" i="8"/>
  <c r="F530" i="8" s="1"/>
  <c r="D530" i="8"/>
  <c r="G530" i="8" s="1"/>
  <c r="E520" i="8"/>
  <c r="H520" i="8" s="1"/>
  <c r="C520" i="8"/>
  <c r="F520" i="8" s="1"/>
  <c r="D520" i="8"/>
  <c r="G520" i="8" s="1"/>
  <c r="C518" i="8"/>
  <c r="F518" i="8" s="1"/>
  <c r="D518" i="8"/>
  <c r="G518" i="8" s="1"/>
  <c r="E518" i="8"/>
  <c r="H518" i="8" s="1"/>
  <c r="C514" i="8"/>
  <c r="F514" i="8" s="1"/>
  <c r="D514" i="8"/>
  <c r="G514" i="8" s="1"/>
  <c r="D401" i="8"/>
  <c r="G401" i="8" s="1"/>
  <c r="C401" i="8"/>
  <c r="F401" i="8" s="1"/>
  <c r="E401" i="8"/>
  <c r="H401" i="8" s="1"/>
  <c r="D370" i="8"/>
  <c r="G370" i="8" s="1"/>
  <c r="C370" i="8"/>
  <c r="F370" i="8" s="1"/>
  <c r="E370" i="8"/>
  <c r="H370" i="8" s="1"/>
  <c r="C618" i="8"/>
  <c r="F618" i="8" s="1"/>
  <c r="D618" i="8"/>
  <c r="G618" i="8" s="1"/>
  <c r="C610" i="8"/>
  <c r="F610" i="8" s="1"/>
  <c r="D610" i="8"/>
  <c r="G610" i="8" s="1"/>
  <c r="C602" i="8"/>
  <c r="F602" i="8" s="1"/>
  <c r="D602" i="8"/>
  <c r="G602" i="8" s="1"/>
  <c r="C594" i="8"/>
  <c r="F594" i="8" s="1"/>
  <c r="D594" i="8"/>
  <c r="G594" i="8" s="1"/>
  <c r="C586" i="8"/>
  <c r="F586" i="8" s="1"/>
  <c r="D586" i="8"/>
  <c r="G586" i="8" s="1"/>
  <c r="C578" i="8"/>
  <c r="F578" i="8" s="1"/>
  <c r="D578" i="8"/>
  <c r="G578" i="8" s="1"/>
  <c r="C570" i="8"/>
  <c r="F570" i="8" s="1"/>
  <c r="D570" i="8"/>
  <c r="G570" i="8" s="1"/>
  <c r="C562" i="8"/>
  <c r="F562" i="8" s="1"/>
  <c r="D562" i="8"/>
  <c r="G562" i="8" s="1"/>
  <c r="C554" i="8"/>
  <c r="F554" i="8" s="1"/>
  <c r="D554" i="8"/>
  <c r="G554" i="8" s="1"/>
  <c r="E553" i="8"/>
  <c r="H553" i="8" s="1"/>
  <c r="E545" i="8"/>
  <c r="H545" i="8" s="1"/>
  <c r="C540" i="8"/>
  <c r="F540" i="8" s="1"/>
  <c r="E537" i="8"/>
  <c r="H537" i="8" s="1"/>
  <c r="C532" i="8"/>
  <c r="F532" i="8" s="1"/>
  <c r="E529" i="8"/>
  <c r="H529" i="8" s="1"/>
  <c r="C524" i="8"/>
  <c r="F524" i="8" s="1"/>
  <c r="E521" i="8"/>
  <c r="H521" i="8" s="1"/>
  <c r="C516" i="8"/>
  <c r="F516" i="8" s="1"/>
  <c r="E513" i="8"/>
  <c r="H513" i="8" s="1"/>
  <c r="D509" i="8"/>
  <c r="G509" i="8" s="1"/>
  <c r="C509" i="8"/>
  <c r="F509" i="8" s="1"/>
  <c r="D493" i="8"/>
  <c r="G493" i="8" s="1"/>
  <c r="C493" i="8"/>
  <c r="F493" i="8" s="1"/>
  <c r="D477" i="8"/>
  <c r="G477" i="8" s="1"/>
  <c r="C477" i="8"/>
  <c r="F477" i="8" s="1"/>
  <c r="D461" i="8"/>
  <c r="G461" i="8" s="1"/>
  <c r="C461" i="8"/>
  <c r="F461" i="8" s="1"/>
  <c r="D445" i="8"/>
  <c r="G445" i="8" s="1"/>
  <c r="C445" i="8"/>
  <c r="F445" i="8" s="1"/>
  <c r="D429" i="8"/>
  <c r="G429" i="8" s="1"/>
  <c r="C429" i="8"/>
  <c r="F429" i="8" s="1"/>
  <c r="D413" i="8"/>
  <c r="G413" i="8" s="1"/>
  <c r="C413" i="8"/>
  <c r="F413" i="8" s="1"/>
  <c r="I400" i="8"/>
  <c r="E392" i="8"/>
  <c r="H392" i="8" s="1"/>
  <c r="C392" i="8"/>
  <c r="F392" i="8" s="1"/>
  <c r="D392" i="8"/>
  <c r="G392" i="8" s="1"/>
  <c r="C383" i="8"/>
  <c r="F383" i="8" s="1"/>
  <c r="D383" i="8"/>
  <c r="G383" i="8" s="1"/>
  <c r="E383" i="8"/>
  <c r="H383" i="8" s="1"/>
  <c r="D378" i="8"/>
  <c r="G378" i="8" s="1"/>
  <c r="C378" i="8"/>
  <c r="F378" i="8" s="1"/>
  <c r="E378" i="8"/>
  <c r="H378" i="8" s="1"/>
  <c r="E360" i="8"/>
  <c r="H360" i="8" s="1"/>
  <c r="C360" i="8"/>
  <c r="F360" i="8" s="1"/>
  <c r="D360" i="8"/>
  <c r="G360" i="8" s="1"/>
  <c r="C351" i="8"/>
  <c r="F351" i="8" s="1"/>
  <c r="D351" i="8"/>
  <c r="G351" i="8" s="1"/>
  <c r="E351" i="8"/>
  <c r="H351" i="8" s="1"/>
  <c r="D346" i="8"/>
  <c r="G346" i="8" s="1"/>
  <c r="C346" i="8"/>
  <c r="F346" i="8" s="1"/>
  <c r="E346" i="8"/>
  <c r="H346" i="8" s="1"/>
  <c r="C293" i="8"/>
  <c r="F293" i="8" s="1"/>
  <c r="D293" i="8"/>
  <c r="G293" i="8" s="1"/>
  <c r="E293" i="8"/>
  <c r="H293" i="8" s="1"/>
  <c r="C269" i="8"/>
  <c r="F269" i="8" s="1"/>
  <c r="D269" i="8"/>
  <c r="G269" i="8" s="1"/>
  <c r="E269" i="8"/>
  <c r="H269" i="8" s="1"/>
  <c r="D233" i="8"/>
  <c r="G233" i="8" s="1"/>
  <c r="E233" i="8"/>
  <c r="H233" i="8" s="1"/>
  <c r="C233" i="8"/>
  <c r="F233" i="8" s="1"/>
  <c r="D217" i="8"/>
  <c r="G217" i="8" s="1"/>
  <c r="E217" i="8"/>
  <c r="H217" i="8" s="1"/>
  <c r="C217" i="8"/>
  <c r="F217" i="8" s="1"/>
  <c r="E175" i="8"/>
  <c r="H175" i="8" s="1"/>
  <c r="C175" i="8"/>
  <c r="F175" i="8" s="1"/>
  <c r="D175" i="8"/>
  <c r="G175" i="8" s="1"/>
  <c r="E640" i="8"/>
  <c r="H640" i="8" s="1"/>
  <c r="E636" i="8"/>
  <c r="H636" i="8" s="1"/>
  <c r="E632" i="8"/>
  <c r="H632" i="8" s="1"/>
  <c r="I632" i="8" s="1"/>
  <c r="E628" i="8"/>
  <c r="H628" i="8" s="1"/>
  <c r="E624" i="8"/>
  <c r="H624" i="8" s="1"/>
  <c r="E620" i="8"/>
  <c r="H620" i="8" s="1"/>
  <c r="C617" i="8"/>
  <c r="F617" i="8" s="1"/>
  <c r="I617" i="8" s="1"/>
  <c r="C615" i="8"/>
  <c r="F615" i="8" s="1"/>
  <c r="C609" i="8"/>
  <c r="F609" i="8" s="1"/>
  <c r="C607" i="8"/>
  <c r="F607" i="8" s="1"/>
  <c r="I607" i="8" s="1"/>
  <c r="C601" i="8"/>
  <c r="F601" i="8" s="1"/>
  <c r="I601" i="8" s="1"/>
  <c r="C599" i="8"/>
  <c r="F599" i="8" s="1"/>
  <c r="I596" i="8"/>
  <c r="C593" i="8"/>
  <c r="F593" i="8" s="1"/>
  <c r="C591" i="8"/>
  <c r="F591" i="8" s="1"/>
  <c r="C585" i="8"/>
  <c r="F585" i="8" s="1"/>
  <c r="I585" i="8" s="1"/>
  <c r="C583" i="8"/>
  <c r="F583" i="8" s="1"/>
  <c r="C577" i="8"/>
  <c r="F577" i="8" s="1"/>
  <c r="C575" i="8"/>
  <c r="F575" i="8" s="1"/>
  <c r="I572" i="8"/>
  <c r="C569" i="8"/>
  <c r="F569" i="8" s="1"/>
  <c r="C567" i="8"/>
  <c r="F567" i="8" s="1"/>
  <c r="C561" i="8"/>
  <c r="F561" i="8" s="1"/>
  <c r="C559" i="8"/>
  <c r="F559" i="8" s="1"/>
  <c r="I559" i="8" s="1"/>
  <c r="I556" i="8"/>
  <c r="C553" i="8"/>
  <c r="F553" i="8" s="1"/>
  <c r="C551" i="8"/>
  <c r="F551" i="8" s="1"/>
  <c r="I548" i="8"/>
  <c r="C545" i="8"/>
  <c r="F545" i="8" s="1"/>
  <c r="I516" i="8"/>
  <c r="C506" i="8"/>
  <c r="F506" i="8" s="1"/>
  <c r="D506" i="8"/>
  <c r="G506" i="8" s="1"/>
  <c r="E506" i="8"/>
  <c r="H506" i="8" s="1"/>
  <c r="D505" i="8"/>
  <c r="G505" i="8" s="1"/>
  <c r="C505" i="8"/>
  <c r="F505" i="8" s="1"/>
  <c r="C490" i="8"/>
  <c r="F490" i="8" s="1"/>
  <c r="D490" i="8"/>
  <c r="G490" i="8" s="1"/>
  <c r="E490" i="8"/>
  <c r="H490" i="8" s="1"/>
  <c r="D489" i="8"/>
  <c r="G489" i="8" s="1"/>
  <c r="C489" i="8"/>
  <c r="F489" i="8" s="1"/>
  <c r="C474" i="8"/>
  <c r="F474" i="8" s="1"/>
  <c r="D474" i="8"/>
  <c r="G474" i="8" s="1"/>
  <c r="E474" i="8"/>
  <c r="H474" i="8" s="1"/>
  <c r="D473" i="8"/>
  <c r="G473" i="8" s="1"/>
  <c r="C473" i="8"/>
  <c r="F473" i="8" s="1"/>
  <c r="C458" i="8"/>
  <c r="F458" i="8" s="1"/>
  <c r="D458" i="8"/>
  <c r="G458" i="8" s="1"/>
  <c r="E458" i="8"/>
  <c r="H458" i="8" s="1"/>
  <c r="D457" i="8"/>
  <c r="G457" i="8" s="1"/>
  <c r="C457" i="8"/>
  <c r="F457" i="8" s="1"/>
  <c r="I444" i="8"/>
  <c r="C442" i="8"/>
  <c r="F442" i="8" s="1"/>
  <c r="D442" i="8"/>
  <c r="G442" i="8" s="1"/>
  <c r="E442" i="8"/>
  <c r="H442" i="8" s="1"/>
  <c r="D441" i="8"/>
  <c r="G441" i="8" s="1"/>
  <c r="C441" i="8"/>
  <c r="F441" i="8" s="1"/>
  <c r="C426" i="8"/>
  <c r="F426" i="8" s="1"/>
  <c r="D426" i="8"/>
  <c r="G426" i="8" s="1"/>
  <c r="E426" i="8"/>
  <c r="H426" i="8" s="1"/>
  <c r="D425" i="8"/>
  <c r="G425" i="8" s="1"/>
  <c r="C425" i="8"/>
  <c r="F425" i="8" s="1"/>
  <c r="I412" i="8"/>
  <c r="C410" i="8"/>
  <c r="F410" i="8" s="1"/>
  <c r="D410" i="8"/>
  <c r="G410" i="8" s="1"/>
  <c r="E410" i="8"/>
  <c r="H410" i="8" s="1"/>
  <c r="D409" i="8"/>
  <c r="G409" i="8" s="1"/>
  <c r="C409" i="8"/>
  <c r="F409" i="8" s="1"/>
  <c r="C391" i="8"/>
  <c r="F391" i="8" s="1"/>
  <c r="D391" i="8"/>
  <c r="G391" i="8" s="1"/>
  <c r="E391" i="8"/>
  <c r="H391" i="8" s="1"/>
  <c r="D386" i="8"/>
  <c r="G386" i="8" s="1"/>
  <c r="C386" i="8"/>
  <c r="F386" i="8" s="1"/>
  <c r="E386" i="8"/>
  <c r="H386" i="8" s="1"/>
  <c r="E368" i="8"/>
  <c r="H368" i="8" s="1"/>
  <c r="C368" i="8"/>
  <c r="F368" i="8" s="1"/>
  <c r="D368" i="8"/>
  <c r="G368" i="8" s="1"/>
  <c r="C359" i="8"/>
  <c r="F359" i="8" s="1"/>
  <c r="D359" i="8"/>
  <c r="G359" i="8" s="1"/>
  <c r="E359" i="8"/>
  <c r="H359" i="8" s="1"/>
  <c r="D354" i="8"/>
  <c r="G354" i="8" s="1"/>
  <c r="C354" i="8"/>
  <c r="F354" i="8" s="1"/>
  <c r="E354" i="8"/>
  <c r="H354" i="8" s="1"/>
  <c r="C309" i="8"/>
  <c r="F309" i="8" s="1"/>
  <c r="D309" i="8"/>
  <c r="G309" i="8" s="1"/>
  <c r="E309" i="8"/>
  <c r="H309" i="8" s="1"/>
  <c r="E295" i="8"/>
  <c r="H295" i="8" s="1"/>
  <c r="D295" i="8"/>
  <c r="G295" i="8" s="1"/>
  <c r="C295" i="8"/>
  <c r="F295" i="8" s="1"/>
  <c r="D288" i="8"/>
  <c r="G288" i="8" s="1"/>
  <c r="C288" i="8"/>
  <c r="F288" i="8" s="1"/>
  <c r="E288" i="8"/>
  <c r="H288" i="8" s="1"/>
  <c r="E262" i="8"/>
  <c r="H262" i="8" s="1"/>
  <c r="C262" i="8"/>
  <c r="F262" i="8" s="1"/>
  <c r="D262" i="8"/>
  <c r="G262" i="8" s="1"/>
  <c r="C245" i="8"/>
  <c r="F245" i="8" s="1"/>
  <c r="D245" i="8"/>
  <c r="G245" i="8" s="1"/>
  <c r="E245" i="8"/>
  <c r="H245" i="8" s="1"/>
  <c r="D200" i="8"/>
  <c r="G200" i="8" s="1"/>
  <c r="E200" i="8"/>
  <c r="H200" i="8" s="1"/>
  <c r="C200" i="8"/>
  <c r="F200" i="8" s="1"/>
  <c r="D168" i="8"/>
  <c r="G168" i="8" s="1"/>
  <c r="E168" i="8"/>
  <c r="H168" i="8" s="1"/>
  <c r="C168" i="8"/>
  <c r="F168" i="8" s="1"/>
  <c r="D637" i="8"/>
  <c r="G637" i="8" s="1"/>
  <c r="D633" i="8"/>
  <c r="G633" i="8" s="1"/>
  <c r="D629" i="8"/>
  <c r="G629" i="8" s="1"/>
  <c r="I629" i="8" s="1"/>
  <c r="D625" i="8"/>
  <c r="G625" i="8" s="1"/>
  <c r="I625" i="8" s="1"/>
  <c r="D621" i="8"/>
  <c r="G621" i="8" s="1"/>
  <c r="E613" i="8"/>
  <c r="H613" i="8" s="1"/>
  <c r="D611" i="8"/>
  <c r="G611" i="8" s="1"/>
  <c r="E605" i="8"/>
  <c r="H605" i="8" s="1"/>
  <c r="I605" i="8" s="1"/>
  <c r="D603" i="8"/>
  <c r="G603" i="8" s="1"/>
  <c r="E597" i="8"/>
  <c r="H597" i="8" s="1"/>
  <c r="I597" i="8" s="1"/>
  <c r="D595" i="8"/>
  <c r="G595" i="8" s="1"/>
  <c r="I595" i="8" s="1"/>
  <c r="E589" i="8"/>
  <c r="H589" i="8" s="1"/>
  <c r="I589" i="8" s="1"/>
  <c r="D587" i="8"/>
  <c r="G587" i="8" s="1"/>
  <c r="E581" i="8"/>
  <c r="H581" i="8" s="1"/>
  <c r="D579" i="8"/>
  <c r="G579" i="8" s="1"/>
  <c r="I579" i="8" s="1"/>
  <c r="E573" i="8"/>
  <c r="H573" i="8" s="1"/>
  <c r="D571" i="8"/>
  <c r="G571" i="8" s="1"/>
  <c r="E565" i="8"/>
  <c r="H565" i="8" s="1"/>
  <c r="D563" i="8"/>
  <c r="G563" i="8" s="1"/>
  <c r="I563" i="8" s="1"/>
  <c r="E557" i="8"/>
  <c r="H557" i="8" s="1"/>
  <c r="I557" i="8" s="1"/>
  <c r="D555" i="8"/>
  <c r="G555" i="8" s="1"/>
  <c r="I555" i="8" s="1"/>
  <c r="E549" i="8"/>
  <c r="H549" i="8" s="1"/>
  <c r="I549" i="8" s="1"/>
  <c r="E541" i="8"/>
  <c r="H541" i="8" s="1"/>
  <c r="I541" i="8" s="1"/>
  <c r="D539" i="8"/>
  <c r="G539" i="8" s="1"/>
  <c r="E533" i="8"/>
  <c r="H533" i="8" s="1"/>
  <c r="E525" i="8"/>
  <c r="H525" i="8" s="1"/>
  <c r="E517" i="8"/>
  <c r="H517" i="8" s="1"/>
  <c r="I517" i="8" s="1"/>
  <c r="D515" i="8"/>
  <c r="G515" i="8" s="1"/>
  <c r="I515" i="8" s="1"/>
  <c r="D501" i="8"/>
  <c r="G501" i="8" s="1"/>
  <c r="C501" i="8"/>
  <c r="F501" i="8" s="1"/>
  <c r="I488" i="8"/>
  <c r="D485" i="8"/>
  <c r="G485" i="8" s="1"/>
  <c r="C485" i="8"/>
  <c r="F485" i="8" s="1"/>
  <c r="D469" i="8"/>
  <c r="G469" i="8" s="1"/>
  <c r="C469" i="8"/>
  <c r="F469" i="8" s="1"/>
  <c r="D453" i="8"/>
  <c r="G453" i="8" s="1"/>
  <c r="C453" i="8"/>
  <c r="F453" i="8" s="1"/>
  <c r="D437" i="8"/>
  <c r="G437" i="8" s="1"/>
  <c r="C437" i="8"/>
  <c r="F437" i="8" s="1"/>
  <c r="D421" i="8"/>
  <c r="G421" i="8" s="1"/>
  <c r="C421" i="8"/>
  <c r="F421" i="8" s="1"/>
  <c r="D405" i="8"/>
  <c r="G405" i="8" s="1"/>
  <c r="C405" i="8"/>
  <c r="F405" i="8" s="1"/>
  <c r="D394" i="8"/>
  <c r="G394" i="8" s="1"/>
  <c r="C394" i="8"/>
  <c r="F394" i="8" s="1"/>
  <c r="E394" i="8"/>
  <c r="H394" i="8" s="1"/>
  <c r="E376" i="8"/>
  <c r="H376" i="8" s="1"/>
  <c r="C376" i="8"/>
  <c r="F376" i="8" s="1"/>
  <c r="D376" i="8"/>
  <c r="G376" i="8" s="1"/>
  <c r="C367" i="8"/>
  <c r="F367" i="8" s="1"/>
  <c r="D367" i="8"/>
  <c r="G367" i="8" s="1"/>
  <c r="E367" i="8"/>
  <c r="H367" i="8" s="1"/>
  <c r="D362" i="8"/>
  <c r="G362" i="8" s="1"/>
  <c r="C362" i="8"/>
  <c r="F362" i="8" s="1"/>
  <c r="E362" i="8"/>
  <c r="H362" i="8" s="1"/>
  <c r="E344" i="8"/>
  <c r="H344" i="8" s="1"/>
  <c r="C344" i="8"/>
  <c r="F344" i="8" s="1"/>
  <c r="D344" i="8"/>
  <c r="G344" i="8" s="1"/>
  <c r="C337" i="8"/>
  <c r="F337" i="8" s="1"/>
  <c r="D337" i="8"/>
  <c r="G337" i="8" s="1"/>
  <c r="E337" i="8"/>
  <c r="H337" i="8" s="1"/>
  <c r="C329" i="8"/>
  <c r="F329" i="8" s="1"/>
  <c r="D329" i="8"/>
  <c r="G329" i="8" s="1"/>
  <c r="E329" i="8"/>
  <c r="H329" i="8" s="1"/>
  <c r="C301" i="8"/>
  <c r="F301" i="8" s="1"/>
  <c r="D301" i="8"/>
  <c r="G301" i="8" s="1"/>
  <c r="E301" i="8"/>
  <c r="H301" i="8" s="1"/>
  <c r="C261" i="8"/>
  <c r="F261" i="8" s="1"/>
  <c r="D261" i="8"/>
  <c r="G261" i="8" s="1"/>
  <c r="E261" i="8"/>
  <c r="H261" i="8" s="1"/>
  <c r="D241" i="8"/>
  <c r="G241" i="8" s="1"/>
  <c r="E241" i="8"/>
  <c r="H241" i="8" s="1"/>
  <c r="C241" i="8"/>
  <c r="F241" i="8" s="1"/>
  <c r="D225" i="8"/>
  <c r="G225" i="8" s="1"/>
  <c r="E225" i="8"/>
  <c r="H225" i="8" s="1"/>
  <c r="C225" i="8"/>
  <c r="F225" i="8" s="1"/>
  <c r="C341" i="8"/>
  <c r="F341" i="8" s="1"/>
  <c r="D341" i="8"/>
  <c r="G341" i="8" s="1"/>
  <c r="E341" i="8"/>
  <c r="H341" i="8" s="1"/>
  <c r="D336" i="8"/>
  <c r="G336" i="8" s="1"/>
  <c r="C336" i="8"/>
  <c r="F336" i="8" s="1"/>
  <c r="E335" i="8"/>
  <c r="H335" i="8" s="1"/>
  <c r="D335" i="8"/>
  <c r="G335" i="8" s="1"/>
  <c r="C333" i="8"/>
  <c r="F333" i="8" s="1"/>
  <c r="D333" i="8"/>
  <c r="G333" i="8" s="1"/>
  <c r="E333" i="8"/>
  <c r="H333" i="8" s="1"/>
  <c r="D328" i="8"/>
  <c r="G328" i="8" s="1"/>
  <c r="C328" i="8"/>
  <c r="F328" i="8" s="1"/>
  <c r="E327" i="8"/>
  <c r="H327" i="8" s="1"/>
  <c r="D327" i="8"/>
  <c r="G327" i="8" s="1"/>
  <c r="C325" i="8"/>
  <c r="F325" i="8" s="1"/>
  <c r="D325" i="8"/>
  <c r="G325" i="8" s="1"/>
  <c r="E325" i="8"/>
  <c r="H325" i="8" s="1"/>
  <c r="C317" i="8"/>
  <c r="F317" i="8" s="1"/>
  <c r="D317" i="8"/>
  <c r="G317" i="8" s="1"/>
  <c r="E317" i="8"/>
  <c r="H317" i="8" s="1"/>
  <c r="E303" i="8"/>
  <c r="H303" i="8" s="1"/>
  <c r="D303" i="8"/>
  <c r="G303" i="8" s="1"/>
  <c r="E302" i="8"/>
  <c r="H302" i="8" s="1"/>
  <c r="C302" i="8"/>
  <c r="F302" i="8" s="1"/>
  <c r="D302" i="8"/>
  <c r="G302" i="8" s="1"/>
  <c r="D296" i="8"/>
  <c r="G296" i="8" s="1"/>
  <c r="C296" i="8"/>
  <c r="F296" i="8" s="1"/>
  <c r="E296" i="8"/>
  <c r="H296" i="8" s="1"/>
  <c r="C285" i="8"/>
  <c r="F285" i="8" s="1"/>
  <c r="D285" i="8"/>
  <c r="G285" i="8" s="1"/>
  <c r="E285" i="8"/>
  <c r="H285" i="8" s="1"/>
  <c r="E271" i="8"/>
  <c r="H271" i="8" s="1"/>
  <c r="D271" i="8"/>
  <c r="G271" i="8" s="1"/>
  <c r="E270" i="8"/>
  <c r="H270" i="8" s="1"/>
  <c r="C270" i="8"/>
  <c r="F270" i="8" s="1"/>
  <c r="D270" i="8"/>
  <c r="G270" i="8" s="1"/>
  <c r="D264" i="8"/>
  <c r="G264" i="8" s="1"/>
  <c r="C264" i="8"/>
  <c r="F264" i="8" s="1"/>
  <c r="E264" i="8"/>
  <c r="H264" i="8" s="1"/>
  <c r="C253" i="8"/>
  <c r="F253" i="8" s="1"/>
  <c r="D253" i="8"/>
  <c r="G253" i="8" s="1"/>
  <c r="E253" i="8"/>
  <c r="H253" i="8" s="1"/>
  <c r="C242" i="8"/>
  <c r="F242" i="8" s="1"/>
  <c r="D242" i="8"/>
  <c r="G242" i="8" s="1"/>
  <c r="E242" i="8"/>
  <c r="H242" i="8" s="1"/>
  <c r="D237" i="8"/>
  <c r="G237" i="8" s="1"/>
  <c r="E237" i="8"/>
  <c r="H237" i="8" s="1"/>
  <c r="C237" i="8"/>
  <c r="F237" i="8" s="1"/>
  <c r="C234" i="8"/>
  <c r="F234" i="8" s="1"/>
  <c r="D234" i="8"/>
  <c r="G234" i="8" s="1"/>
  <c r="E234" i="8"/>
  <c r="H234" i="8" s="1"/>
  <c r="D229" i="8"/>
  <c r="G229" i="8" s="1"/>
  <c r="E229" i="8"/>
  <c r="H229" i="8" s="1"/>
  <c r="C229" i="8"/>
  <c r="F229" i="8" s="1"/>
  <c r="C226" i="8"/>
  <c r="F226" i="8" s="1"/>
  <c r="D226" i="8"/>
  <c r="G226" i="8" s="1"/>
  <c r="E226" i="8"/>
  <c r="H226" i="8" s="1"/>
  <c r="D221" i="8"/>
  <c r="G221" i="8" s="1"/>
  <c r="E221" i="8"/>
  <c r="H221" i="8" s="1"/>
  <c r="C221" i="8"/>
  <c r="F221" i="8" s="1"/>
  <c r="C218" i="8"/>
  <c r="F218" i="8" s="1"/>
  <c r="D218" i="8"/>
  <c r="G218" i="8" s="1"/>
  <c r="E218" i="8"/>
  <c r="H218" i="8" s="1"/>
  <c r="D213" i="8"/>
  <c r="G213" i="8" s="1"/>
  <c r="E213" i="8"/>
  <c r="H213" i="8" s="1"/>
  <c r="C213" i="8"/>
  <c r="F213" i="8" s="1"/>
  <c r="C210" i="8"/>
  <c r="F210" i="8" s="1"/>
  <c r="D210" i="8"/>
  <c r="G210" i="8" s="1"/>
  <c r="E210" i="8"/>
  <c r="H210" i="8" s="1"/>
  <c r="E167" i="8"/>
  <c r="H167" i="8" s="1"/>
  <c r="C167" i="8"/>
  <c r="F167" i="8" s="1"/>
  <c r="D167" i="8"/>
  <c r="G167" i="8" s="1"/>
  <c r="C165" i="8"/>
  <c r="F165" i="8" s="1"/>
  <c r="E165" i="8"/>
  <c r="H165" i="8" s="1"/>
  <c r="C157" i="8"/>
  <c r="F157" i="8" s="1"/>
  <c r="E157" i="8"/>
  <c r="H157" i="8" s="1"/>
  <c r="D157" i="8"/>
  <c r="G157" i="8" s="1"/>
  <c r="C387" i="8"/>
  <c r="F387" i="8" s="1"/>
  <c r="D387" i="8"/>
  <c r="G387" i="8" s="1"/>
  <c r="C379" i="8"/>
  <c r="F379" i="8" s="1"/>
  <c r="D379" i="8"/>
  <c r="G379" i="8" s="1"/>
  <c r="C371" i="8"/>
  <c r="F371" i="8" s="1"/>
  <c r="D371" i="8"/>
  <c r="G371" i="8" s="1"/>
  <c r="C363" i="8"/>
  <c r="F363" i="8" s="1"/>
  <c r="D363" i="8"/>
  <c r="G363" i="8" s="1"/>
  <c r="C355" i="8"/>
  <c r="F355" i="8" s="1"/>
  <c r="D355" i="8"/>
  <c r="G355" i="8" s="1"/>
  <c r="C347" i="8"/>
  <c r="F347" i="8" s="1"/>
  <c r="D347" i="8"/>
  <c r="G347" i="8" s="1"/>
  <c r="E334" i="8"/>
  <c r="H334" i="8" s="1"/>
  <c r="C334" i="8"/>
  <c r="F334" i="8" s="1"/>
  <c r="E326" i="8"/>
  <c r="H326" i="8" s="1"/>
  <c r="C326" i="8"/>
  <c r="F326" i="8" s="1"/>
  <c r="E311" i="8"/>
  <c r="H311" i="8" s="1"/>
  <c r="D311" i="8"/>
  <c r="G311" i="8" s="1"/>
  <c r="E310" i="8"/>
  <c r="H310" i="8" s="1"/>
  <c r="C310" i="8"/>
  <c r="F310" i="8" s="1"/>
  <c r="D310" i="8"/>
  <c r="G310" i="8" s="1"/>
  <c r="D304" i="8"/>
  <c r="G304" i="8" s="1"/>
  <c r="C304" i="8"/>
  <c r="F304" i="8" s="1"/>
  <c r="E304" i="8"/>
  <c r="H304" i="8" s="1"/>
  <c r="E279" i="8"/>
  <c r="H279" i="8" s="1"/>
  <c r="D279" i="8"/>
  <c r="G279" i="8" s="1"/>
  <c r="E278" i="8"/>
  <c r="H278" i="8" s="1"/>
  <c r="C278" i="8"/>
  <c r="F278" i="8" s="1"/>
  <c r="D278" i="8"/>
  <c r="G278" i="8" s="1"/>
  <c r="I276" i="8"/>
  <c r="D272" i="8"/>
  <c r="G272" i="8" s="1"/>
  <c r="C272" i="8"/>
  <c r="F272" i="8" s="1"/>
  <c r="E272" i="8"/>
  <c r="H272" i="8" s="1"/>
  <c r="E247" i="8"/>
  <c r="H247" i="8" s="1"/>
  <c r="D247" i="8"/>
  <c r="G247" i="8" s="1"/>
  <c r="E246" i="8"/>
  <c r="H246" i="8" s="1"/>
  <c r="C246" i="8"/>
  <c r="F246" i="8" s="1"/>
  <c r="D246" i="8"/>
  <c r="G246" i="8" s="1"/>
  <c r="E195" i="8"/>
  <c r="H195" i="8" s="1"/>
  <c r="C195" i="8"/>
  <c r="F195" i="8" s="1"/>
  <c r="D195" i="8"/>
  <c r="G195" i="8" s="1"/>
  <c r="D184" i="8"/>
  <c r="G184" i="8" s="1"/>
  <c r="E184" i="8"/>
  <c r="H184" i="8" s="1"/>
  <c r="C154" i="8"/>
  <c r="F154" i="8" s="1"/>
  <c r="E154" i="8"/>
  <c r="H154" i="8" s="1"/>
  <c r="D154" i="8"/>
  <c r="G154" i="8" s="1"/>
  <c r="D393" i="8"/>
  <c r="G393" i="8" s="1"/>
  <c r="I393" i="8" s="1"/>
  <c r="D385" i="8"/>
  <c r="G385" i="8" s="1"/>
  <c r="D377" i="8"/>
  <c r="G377" i="8" s="1"/>
  <c r="I377" i="8" s="1"/>
  <c r="D369" i="8"/>
  <c r="G369" i="8" s="1"/>
  <c r="I369" i="8" s="1"/>
  <c r="I365" i="8"/>
  <c r="D361" i="8"/>
  <c r="G361" i="8" s="1"/>
  <c r="D353" i="8"/>
  <c r="G353" i="8" s="1"/>
  <c r="I353" i="8" s="1"/>
  <c r="D345" i="8"/>
  <c r="G345" i="8" s="1"/>
  <c r="I345" i="8" s="1"/>
  <c r="D338" i="8"/>
  <c r="G338" i="8" s="1"/>
  <c r="D330" i="8"/>
  <c r="G330" i="8" s="1"/>
  <c r="E319" i="8"/>
  <c r="H319" i="8" s="1"/>
  <c r="D319" i="8"/>
  <c r="G319" i="8" s="1"/>
  <c r="E318" i="8"/>
  <c r="H318" i="8" s="1"/>
  <c r="C318" i="8"/>
  <c r="F318" i="8" s="1"/>
  <c r="D318" i="8"/>
  <c r="G318" i="8" s="1"/>
  <c r="D312" i="8"/>
  <c r="G312" i="8" s="1"/>
  <c r="C312" i="8"/>
  <c r="F312" i="8" s="1"/>
  <c r="E312" i="8"/>
  <c r="H312" i="8" s="1"/>
  <c r="E287" i="8"/>
  <c r="H287" i="8" s="1"/>
  <c r="D287" i="8"/>
  <c r="G287" i="8" s="1"/>
  <c r="E286" i="8"/>
  <c r="H286" i="8" s="1"/>
  <c r="C286" i="8"/>
  <c r="F286" i="8" s="1"/>
  <c r="D286" i="8"/>
  <c r="G286" i="8" s="1"/>
  <c r="D280" i="8"/>
  <c r="G280" i="8" s="1"/>
  <c r="C280" i="8"/>
  <c r="F280" i="8" s="1"/>
  <c r="E280" i="8"/>
  <c r="H280" i="8" s="1"/>
  <c r="E255" i="8"/>
  <c r="H255" i="8" s="1"/>
  <c r="D255" i="8"/>
  <c r="G255" i="8" s="1"/>
  <c r="E254" i="8"/>
  <c r="H254" i="8" s="1"/>
  <c r="C254" i="8"/>
  <c r="F254" i="8" s="1"/>
  <c r="D254" i="8"/>
  <c r="G254" i="8" s="1"/>
  <c r="D248" i="8"/>
  <c r="G248" i="8" s="1"/>
  <c r="C248" i="8"/>
  <c r="F248" i="8" s="1"/>
  <c r="E248" i="8"/>
  <c r="H248" i="8" s="1"/>
  <c r="E244" i="8"/>
  <c r="H244" i="8" s="1"/>
  <c r="C244" i="8"/>
  <c r="F244" i="8" s="1"/>
  <c r="C239" i="8"/>
  <c r="F239" i="8" s="1"/>
  <c r="E239" i="8"/>
  <c r="H239" i="8" s="1"/>
  <c r="D239" i="8"/>
  <c r="G239" i="8" s="1"/>
  <c r="C231" i="8"/>
  <c r="F231" i="8" s="1"/>
  <c r="E231" i="8"/>
  <c r="H231" i="8" s="1"/>
  <c r="D231" i="8"/>
  <c r="G231" i="8" s="1"/>
  <c r="C223" i="8"/>
  <c r="F223" i="8" s="1"/>
  <c r="E223" i="8"/>
  <c r="H223" i="8" s="1"/>
  <c r="D223" i="8"/>
  <c r="G223" i="8" s="1"/>
  <c r="C215" i="8"/>
  <c r="F215" i="8" s="1"/>
  <c r="E215" i="8"/>
  <c r="H215" i="8" s="1"/>
  <c r="D215" i="8"/>
  <c r="G215" i="8" s="1"/>
  <c r="D208" i="8"/>
  <c r="G208" i="8" s="1"/>
  <c r="E208" i="8"/>
  <c r="H208" i="8" s="1"/>
  <c r="C208" i="8"/>
  <c r="F208" i="8" s="1"/>
  <c r="C198" i="8"/>
  <c r="F198" i="8" s="1"/>
  <c r="D198" i="8"/>
  <c r="G198" i="8" s="1"/>
  <c r="D192" i="8"/>
  <c r="G192" i="8" s="1"/>
  <c r="E192" i="8"/>
  <c r="H192" i="8" s="1"/>
  <c r="C192" i="8"/>
  <c r="F192" i="8" s="1"/>
  <c r="D156" i="8"/>
  <c r="G156" i="8" s="1"/>
  <c r="E156" i="8"/>
  <c r="H156" i="8" s="1"/>
  <c r="C156" i="8"/>
  <c r="F156" i="8" s="1"/>
  <c r="C321" i="8"/>
  <c r="F321" i="8" s="1"/>
  <c r="D321" i="8"/>
  <c r="G321" i="8" s="1"/>
  <c r="C313" i="8"/>
  <c r="F313" i="8" s="1"/>
  <c r="D313" i="8"/>
  <c r="G313" i="8" s="1"/>
  <c r="C305" i="8"/>
  <c r="F305" i="8" s="1"/>
  <c r="D305" i="8"/>
  <c r="G305" i="8" s="1"/>
  <c r="C297" i="8"/>
  <c r="F297" i="8" s="1"/>
  <c r="D297" i="8"/>
  <c r="G297" i="8" s="1"/>
  <c r="C289" i="8"/>
  <c r="F289" i="8" s="1"/>
  <c r="D289" i="8"/>
  <c r="G289" i="8" s="1"/>
  <c r="C281" i="8"/>
  <c r="F281" i="8" s="1"/>
  <c r="D281" i="8"/>
  <c r="G281" i="8" s="1"/>
  <c r="C273" i="8"/>
  <c r="F273" i="8" s="1"/>
  <c r="D273" i="8"/>
  <c r="G273" i="8" s="1"/>
  <c r="C265" i="8"/>
  <c r="F265" i="8" s="1"/>
  <c r="D265" i="8"/>
  <c r="G265" i="8" s="1"/>
  <c r="C257" i="8"/>
  <c r="F257" i="8" s="1"/>
  <c r="D257" i="8"/>
  <c r="G257" i="8" s="1"/>
  <c r="C249" i="8"/>
  <c r="F249" i="8" s="1"/>
  <c r="D249" i="8"/>
  <c r="G249" i="8" s="1"/>
  <c r="E236" i="8"/>
  <c r="H236" i="8" s="1"/>
  <c r="C236" i="8"/>
  <c r="F236" i="8" s="1"/>
  <c r="E228" i="8"/>
  <c r="H228" i="8" s="1"/>
  <c r="C228" i="8"/>
  <c r="F228" i="8" s="1"/>
  <c r="E220" i="8"/>
  <c r="H220" i="8" s="1"/>
  <c r="C220" i="8"/>
  <c r="F220" i="8" s="1"/>
  <c r="E212" i="8"/>
  <c r="H212" i="8" s="1"/>
  <c r="C212" i="8"/>
  <c r="F212" i="8" s="1"/>
  <c r="E199" i="8"/>
  <c r="H199" i="8" s="1"/>
  <c r="C199" i="8"/>
  <c r="F199" i="8" s="1"/>
  <c r="D199" i="8"/>
  <c r="G199" i="8" s="1"/>
  <c r="D188" i="8"/>
  <c r="G188" i="8" s="1"/>
  <c r="E188" i="8"/>
  <c r="H188" i="8" s="1"/>
  <c r="C186" i="8"/>
  <c r="F186" i="8" s="1"/>
  <c r="E186" i="8"/>
  <c r="H186" i="8" s="1"/>
  <c r="D180" i="8"/>
  <c r="G180" i="8" s="1"/>
  <c r="E180" i="8"/>
  <c r="H180" i="8" s="1"/>
  <c r="C180" i="8"/>
  <c r="F180" i="8" s="1"/>
  <c r="D176" i="8"/>
  <c r="G176" i="8" s="1"/>
  <c r="E176" i="8"/>
  <c r="H176" i="8" s="1"/>
  <c r="D160" i="8"/>
  <c r="G160" i="8" s="1"/>
  <c r="E160" i="8"/>
  <c r="H160" i="8" s="1"/>
  <c r="C160" i="8"/>
  <c r="F160" i="8" s="1"/>
  <c r="I323" i="8"/>
  <c r="I315" i="8"/>
  <c r="I291" i="8"/>
  <c r="I259" i="8"/>
  <c r="E207" i="8"/>
  <c r="H207" i="8" s="1"/>
  <c r="C207" i="8"/>
  <c r="F207" i="8" s="1"/>
  <c r="C197" i="8"/>
  <c r="F197" i="8" s="1"/>
  <c r="E197" i="8"/>
  <c r="H197" i="8" s="1"/>
  <c r="I194" i="8"/>
  <c r="C189" i="8"/>
  <c r="F189" i="8" s="1"/>
  <c r="E189" i="8"/>
  <c r="H189" i="8" s="1"/>
  <c r="D189" i="8"/>
  <c r="G189" i="8" s="1"/>
  <c r="E187" i="8"/>
  <c r="H187" i="8" s="1"/>
  <c r="C187" i="8"/>
  <c r="F187" i="8" s="1"/>
  <c r="D187" i="8"/>
  <c r="G187" i="8" s="1"/>
  <c r="C178" i="8"/>
  <c r="F178" i="8" s="1"/>
  <c r="D178" i="8"/>
  <c r="G178" i="8" s="1"/>
  <c r="E178" i="8"/>
  <c r="H178" i="8" s="1"/>
  <c r="C166" i="8"/>
  <c r="F166" i="8" s="1"/>
  <c r="D166" i="8"/>
  <c r="G166" i="8" s="1"/>
  <c r="E163" i="8"/>
  <c r="H163" i="8" s="1"/>
  <c r="C163" i="8"/>
  <c r="F163" i="8" s="1"/>
  <c r="D163" i="8"/>
  <c r="G163" i="8" s="1"/>
  <c r="C158" i="8"/>
  <c r="F158" i="8" s="1"/>
  <c r="D158" i="8"/>
  <c r="G158" i="8" s="1"/>
  <c r="E158" i="8"/>
  <c r="H158" i="8" s="1"/>
  <c r="D152" i="8"/>
  <c r="G152" i="8" s="1"/>
  <c r="E152" i="8"/>
  <c r="H152" i="8" s="1"/>
  <c r="D243" i="8"/>
  <c r="G243" i="8" s="1"/>
  <c r="D235" i="8"/>
  <c r="G235" i="8" s="1"/>
  <c r="D227" i="8"/>
  <c r="G227" i="8" s="1"/>
  <c r="D219" i="8"/>
  <c r="G219" i="8" s="1"/>
  <c r="I219" i="8" s="1"/>
  <c r="D211" i="8"/>
  <c r="G211" i="8" s="1"/>
  <c r="I211" i="8" s="1"/>
  <c r="C206" i="8"/>
  <c r="F206" i="8" s="1"/>
  <c r="D206" i="8"/>
  <c r="G206" i="8" s="1"/>
  <c r="C205" i="8"/>
  <c r="F205" i="8" s="1"/>
  <c r="E205" i="8"/>
  <c r="H205" i="8" s="1"/>
  <c r="E203" i="8"/>
  <c r="H203" i="8" s="1"/>
  <c r="C203" i="8"/>
  <c r="F203" i="8" s="1"/>
  <c r="D203" i="8"/>
  <c r="G203" i="8" s="1"/>
  <c r="D202" i="8"/>
  <c r="G202" i="8" s="1"/>
  <c r="D196" i="8"/>
  <c r="G196" i="8" s="1"/>
  <c r="E196" i="8"/>
  <c r="H196" i="8" s="1"/>
  <c r="E183" i="8"/>
  <c r="H183" i="8" s="1"/>
  <c r="C183" i="8"/>
  <c r="F183" i="8" s="1"/>
  <c r="C174" i="8"/>
  <c r="F174" i="8" s="1"/>
  <c r="D174" i="8"/>
  <c r="G174" i="8" s="1"/>
  <c r="C173" i="8"/>
  <c r="F173" i="8" s="1"/>
  <c r="E173" i="8"/>
  <c r="H173" i="8" s="1"/>
  <c r="E171" i="8"/>
  <c r="H171" i="8" s="1"/>
  <c r="C171" i="8"/>
  <c r="F171" i="8" s="1"/>
  <c r="D171" i="8"/>
  <c r="G171" i="8" s="1"/>
  <c r="D170" i="8"/>
  <c r="G170" i="8" s="1"/>
  <c r="I170" i="8" s="1"/>
  <c r="D164" i="8"/>
  <c r="G164" i="8" s="1"/>
  <c r="E164" i="8"/>
  <c r="H164" i="8" s="1"/>
  <c r="E240" i="8"/>
  <c r="H240" i="8" s="1"/>
  <c r="C240" i="8"/>
  <c r="F240" i="8" s="1"/>
  <c r="E232" i="8"/>
  <c r="H232" i="8" s="1"/>
  <c r="C232" i="8"/>
  <c r="F232" i="8" s="1"/>
  <c r="E224" i="8"/>
  <c r="H224" i="8" s="1"/>
  <c r="C224" i="8"/>
  <c r="F224" i="8" s="1"/>
  <c r="E216" i="8"/>
  <c r="H216" i="8" s="1"/>
  <c r="C216" i="8"/>
  <c r="F216" i="8" s="1"/>
  <c r="D204" i="8"/>
  <c r="G204" i="8" s="1"/>
  <c r="E204" i="8"/>
  <c r="H204" i="8" s="1"/>
  <c r="E191" i="8"/>
  <c r="H191" i="8" s="1"/>
  <c r="C191" i="8"/>
  <c r="F191" i="8" s="1"/>
  <c r="C182" i="8"/>
  <c r="F182" i="8" s="1"/>
  <c r="D182" i="8"/>
  <c r="G182" i="8" s="1"/>
  <c r="C181" i="8"/>
  <c r="F181" i="8" s="1"/>
  <c r="E181" i="8"/>
  <c r="H181" i="8" s="1"/>
  <c r="E179" i="8"/>
  <c r="H179" i="8" s="1"/>
  <c r="C179" i="8"/>
  <c r="F179" i="8" s="1"/>
  <c r="D179" i="8"/>
  <c r="G179" i="8" s="1"/>
  <c r="D172" i="8"/>
  <c r="G172" i="8" s="1"/>
  <c r="E172" i="8"/>
  <c r="H172" i="8" s="1"/>
  <c r="E159" i="8"/>
  <c r="H159" i="8" s="1"/>
  <c r="C159" i="8"/>
  <c r="F159" i="8" s="1"/>
  <c r="E150" i="1"/>
  <c r="E138" i="1"/>
  <c r="E126" i="1"/>
  <c r="E114" i="1"/>
  <c r="E102" i="1"/>
  <c r="E94" i="1"/>
  <c r="E90" i="1"/>
  <c r="E82" i="1"/>
  <c r="E78" i="1"/>
  <c r="E66" i="1"/>
  <c r="E58" i="1"/>
  <c r="E54" i="1"/>
  <c r="E42" i="1"/>
  <c r="E30" i="1"/>
  <c r="E22" i="1"/>
  <c r="E18" i="1"/>
  <c r="E8" i="1"/>
  <c r="E4" i="1"/>
  <c r="E157" i="1"/>
  <c r="E153" i="1"/>
  <c r="E149" i="1"/>
  <c r="E145" i="1"/>
  <c r="E141" i="1"/>
  <c r="E137" i="1"/>
  <c r="E129" i="1"/>
  <c r="E125" i="1"/>
  <c r="E121" i="1"/>
  <c r="E117" i="1"/>
  <c r="E113" i="1"/>
  <c r="E109" i="1"/>
  <c r="E105" i="1"/>
  <c r="E101" i="1"/>
  <c r="E93" i="1"/>
  <c r="E89" i="1"/>
  <c r="E85" i="1"/>
  <c r="E81" i="1"/>
  <c r="E77" i="1"/>
  <c r="E73" i="1"/>
  <c r="E69" i="1"/>
  <c r="E65" i="1"/>
  <c r="E57" i="1"/>
  <c r="E53" i="1"/>
  <c r="E49" i="1"/>
  <c r="E45" i="1"/>
  <c r="E41" i="1"/>
  <c r="E33" i="1"/>
  <c r="E29" i="1"/>
  <c r="E25" i="1"/>
  <c r="E21" i="1"/>
  <c r="E17" i="1"/>
  <c r="E6" i="1"/>
  <c r="B7" i="1"/>
  <c r="D7" i="15" s="1"/>
  <c r="E7" i="1"/>
  <c r="B3" i="1"/>
  <c r="D3" i="15" s="1"/>
  <c r="E3" i="1"/>
  <c r="D168" i="15"/>
  <c r="B160" i="1"/>
  <c r="D160" i="15" s="1"/>
  <c r="E160" i="1"/>
  <c r="B156" i="1"/>
  <c r="D156" i="15" s="1"/>
  <c r="E156" i="1"/>
  <c r="B152" i="1"/>
  <c r="D152" i="15" s="1"/>
  <c r="E152" i="1"/>
  <c r="B148" i="1"/>
  <c r="D148" i="15" s="1"/>
  <c r="E148" i="1"/>
  <c r="B144" i="1"/>
  <c r="D144" i="15" s="1"/>
  <c r="E144" i="1"/>
  <c r="B140" i="1"/>
  <c r="D140" i="15" s="1"/>
  <c r="E140" i="1"/>
  <c r="B136" i="1"/>
  <c r="D136" i="15" s="1"/>
  <c r="E136" i="1"/>
  <c r="B132" i="1"/>
  <c r="D132" i="15" s="1"/>
  <c r="E132" i="1"/>
  <c r="B128" i="1"/>
  <c r="D128" i="15" s="1"/>
  <c r="E128" i="1"/>
  <c r="B124" i="1"/>
  <c r="D124" i="15" s="1"/>
  <c r="E124" i="1"/>
  <c r="B120" i="1"/>
  <c r="D120" i="15" s="1"/>
  <c r="E120" i="1"/>
  <c r="B116" i="1"/>
  <c r="D116" i="15" s="1"/>
  <c r="E116" i="1"/>
  <c r="B112" i="1"/>
  <c r="D112" i="15" s="1"/>
  <c r="E112" i="1"/>
  <c r="B108" i="1"/>
  <c r="D108" i="15" s="1"/>
  <c r="E108" i="1"/>
  <c r="B104" i="1"/>
  <c r="D104" i="15" s="1"/>
  <c r="E104" i="1"/>
  <c r="B100" i="1"/>
  <c r="D100" i="15" s="1"/>
  <c r="E100" i="1"/>
  <c r="B96" i="1"/>
  <c r="D96" i="15" s="1"/>
  <c r="E96" i="1"/>
  <c r="B92" i="1"/>
  <c r="D92" i="15" s="1"/>
  <c r="E92" i="1"/>
  <c r="B88" i="1"/>
  <c r="D88" i="15" s="1"/>
  <c r="E88" i="1"/>
  <c r="B84" i="1"/>
  <c r="D84" i="15" s="1"/>
  <c r="E84" i="1"/>
  <c r="B80" i="1"/>
  <c r="D80" i="15" s="1"/>
  <c r="E80" i="1"/>
  <c r="B76" i="1"/>
  <c r="D76" i="15" s="1"/>
  <c r="E76" i="1"/>
  <c r="B72" i="1"/>
  <c r="D72" i="15" s="1"/>
  <c r="E72" i="1"/>
  <c r="B68" i="1"/>
  <c r="D68" i="15" s="1"/>
  <c r="E68" i="1"/>
  <c r="B64" i="1"/>
  <c r="D64" i="15" s="1"/>
  <c r="E64" i="1"/>
  <c r="E60" i="1"/>
  <c r="B56" i="1"/>
  <c r="D56" i="15" s="1"/>
  <c r="E56" i="1"/>
  <c r="B52" i="1"/>
  <c r="D52" i="15" s="1"/>
  <c r="E52" i="1"/>
  <c r="B48" i="1"/>
  <c r="D48" i="15" s="1"/>
  <c r="E48" i="1"/>
  <c r="B44" i="1"/>
  <c r="D44" i="15" s="1"/>
  <c r="E44" i="1"/>
  <c r="B40" i="1"/>
  <c r="D40" i="15" s="1"/>
  <c r="E40" i="1"/>
  <c r="B36" i="1"/>
  <c r="D36" i="15" s="1"/>
  <c r="E36" i="1"/>
  <c r="B32" i="1"/>
  <c r="D32" i="15" s="1"/>
  <c r="E32" i="1"/>
  <c r="B28" i="1"/>
  <c r="D28" i="15" s="1"/>
  <c r="E28" i="1"/>
  <c r="B24" i="1"/>
  <c r="D24" i="15" s="1"/>
  <c r="E24" i="1"/>
  <c r="B20" i="1"/>
  <c r="D20" i="15" s="1"/>
  <c r="E20" i="1"/>
  <c r="B16" i="1"/>
  <c r="D16" i="15" s="1"/>
  <c r="E16" i="1"/>
  <c r="B12" i="1"/>
  <c r="D12" i="15" s="1"/>
  <c r="E12" i="1"/>
  <c r="E2" i="1"/>
  <c r="E10" i="1"/>
  <c r="E155" i="1"/>
  <c r="E147" i="1"/>
  <c r="E143" i="1"/>
  <c r="E135" i="1"/>
  <c r="E131" i="1"/>
  <c r="E123" i="1"/>
  <c r="E119" i="1"/>
  <c r="E111" i="1"/>
  <c r="E107" i="1"/>
  <c r="E99" i="1"/>
  <c r="E95" i="1"/>
  <c r="E87" i="1"/>
  <c r="E83" i="1"/>
  <c r="E75" i="1"/>
  <c r="E71" i="1"/>
  <c r="E63" i="1"/>
  <c r="E59" i="1"/>
  <c r="E55" i="1"/>
  <c r="E51" i="1"/>
  <c r="E47" i="1"/>
  <c r="E39" i="1"/>
  <c r="E35" i="1"/>
  <c r="E27" i="1"/>
  <c r="E23" i="1"/>
  <c r="E19" i="1"/>
  <c r="E15" i="1"/>
  <c r="E159" i="1"/>
  <c r="E151" i="1"/>
  <c r="E139" i="1"/>
  <c r="E127" i="1"/>
  <c r="E115" i="1"/>
  <c r="E103" i="1"/>
  <c r="E91" i="1"/>
  <c r="E79" i="1"/>
  <c r="E67" i="1"/>
  <c r="E43" i="1"/>
  <c r="E31" i="1"/>
  <c r="E5" i="1"/>
  <c r="B11" i="1"/>
  <c r="D11" i="15" s="1"/>
  <c r="E11" i="1"/>
  <c r="E162" i="1"/>
  <c r="E158" i="1"/>
  <c r="E154" i="1"/>
  <c r="E146" i="1"/>
  <c r="E142" i="1"/>
  <c r="E134" i="1"/>
  <c r="E130" i="1"/>
  <c r="E122" i="1"/>
  <c r="E118" i="1"/>
  <c r="E110" i="1"/>
  <c r="E106" i="1"/>
  <c r="E98" i="1"/>
  <c r="E86" i="1"/>
  <c r="E74" i="1"/>
  <c r="E70" i="1"/>
  <c r="E62" i="1"/>
  <c r="E50" i="1"/>
  <c r="E46" i="1"/>
  <c r="E38" i="1"/>
  <c r="E34" i="1"/>
  <c r="E26" i="1"/>
  <c r="E14" i="1"/>
  <c r="E9" i="1"/>
  <c r="E161" i="1"/>
  <c r="E133" i="1"/>
  <c r="E97" i="1"/>
  <c r="E61" i="1"/>
  <c r="E37" i="1"/>
  <c r="E13" i="1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1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E301" i="6"/>
  <c r="J301" i="6"/>
  <c r="E292" i="6"/>
  <c r="H292" i="6"/>
  <c r="E286" i="6"/>
  <c r="J286" i="6"/>
  <c r="E273" i="6"/>
  <c r="I273" i="6"/>
  <c r="E271" i="6"/>
  <c r="J271" i="6"/>
  <c r="E253" i="6"/>
  <c r="I253" i="6"/>
  <c r="E215" i="6"/>
  <c r="J215" i="6"/>
  <c r="H206" i="6"/>
  <c r="J206" i="6"/>
  <c r="E154" i="6"/>
  <c r="I154" i="6"/>
  <c r="H108" i="6"/>
  <c r="E108" i="6"/>
  <c r="I108" i="6"/>
  <c r="E101" i="6"/>
  <c r="H101" i="6"/>
  <c r="I101" i="6"/>
  <c r="J101" i="6"/>
  <c r="E387" i="6"/>
  <c r="H380" i="6"/>
  <c r="E378" i="6"/>
  <c r="H374" i="6"/>
  <c r="E372" i="6"/>
  <c r="E363" i="6"/>
  <c r="H358" i="6"/>
  <c r="E355" i="6"/>
  <c r="I354" i="6"/>
  <c r="H351" i="6"/>
  <c r="H346" i="6"/>
  <c r="E344" i="6"/>
  <c r="E340" i="6"/>
  <c r="E336" i="6"/>
  <c r="E247" i="6"/>
  <c r="H247" i="6"/>
  <c r="I239" i="6"/>
  <c r="H239" i="6"/>
  <c r="H235" i="6"/>
  <c r="H216" i="6"/>
  <c r="J214" i="6"/>
  <c r="J213" i="6"/>
  <c r="E213" i="6"/>
  <c r="J208" i="6"/>
  <c r="I207" i="6"/>
  <c r="E206" i="6"/>
  <c r="H198" i="6"/>
  <c r="J195" i="6"/>
  <c r="H194" i="6"/>
  <c r="E192" i="6"/>
  <c r="J189" i="6"/>
  <c r="H188" i="6"/>
  <c r="H184" i="6"/>
  <c r="H181" i="6"/>
  <c r="E181" i="6"/>
  <c r="I174" i="6"/>
  <c r="E173" i="6"/>
  <c r="I173" i="6"/>
  <c r="I170" i="6"/>
  <c r="E169" i="6"/>
  <c r="J166" i="6"/>
  <c r="E166" i="6"/>
  <c r="I163" i="6"/>
  <c r="H163" i="6"/>
  <c r="J161" i="6"/>
  <c r="H151" i="6"/>
  <c r="I148" i="6"/>
  <c r="H147" i="6"/>
  <c r="E145" i="6"/>
  <c r="J142" i="6"/>
  <c r="E142" i="6"/>
  <c r="J129" i="6"/>
  <c r="E129" i="6"/>
  <c r="H129" i="6"/>
  <c r="E316" i="6"/>
  <c r="I316" i="6"/>
  <c r="E274" i="6"/>
  <c r="J274" i="6"/>
  <c r="E261" i="6"/>
  <c r="J261" i="6"/>
  <c r="I214" i="6"/>
  <c r="I211" i="6"/>
  <c r="J211" i="6"/>
  <c r="I208" i="6"/>
  <c r="H195" i="6"/>
  <c r="H189" i="6"/>
  <c r="H170" i="6"/>
  <c r="I161" i="6"/>
  <c r="I140" i="6"/>
  <c r="J140" i="6"/>
  <c r="E131" i="6"/>
  <c r="J131" i="6"/>
  <c r="I127" i="6"/>
  <c r="J127" i="6"/>
  <c r="J110" i="6"/>
  <c r="E110" i="6"/>
  <c r="H110" i="6"/>
  <c r="E100" i="6"/>
  <c r="H100" i="6"/>
  <c r="I100" i="6"/>
  <c r="J100" i="6"/>
  <c r="I94" i="6"/>
  <c r="E94" i="6"/>
  <c r="H94" i="6"/>
  <c r="J94" i="6"/>
  <c r="E362" i="6"/>
  <c r="E358" i="6"/>
  <c r="J355" i="6"/>
  <c r="E354" i="6"/>
  <c r="E346" i="6"/>
  <c r="J340" i="6"/>
  <c r="E335" i="6"/>
  <c r="E325" i="6"/>
  <c r="I325" i="6"/>
  <c r="E298" i="6"/>
  <c r="H298" i="6"/>
  <c r="E295" i="6"/>
  <c r="I295" i="6"/>
  <c r="E285" i="6"/>
  <c r="H285" i="6"/>
  <c r="E283" i="6"/>
  <c r="I283" i="6"/>
  <c r="J277" i="6"/>
  <c r="E268" i="6"/>
  <c r="I268" i="6"/>
  <c r="E250" i="6"/>
  <c r="I250" i="6"/>
  <c r="E244" i="6"/>
  <c r="H244" i="6"/>
  <c r="I240" i="6"/>
  <c r="J240" i="6"/>
  <c r="E235" i="6"/>
  <c r="I182" i="6"/>
  <c r="H182" i="6"/>
  <c r="E174" i="6"/>
  <c r="J174" i="6"/>
  <c r="J168" i="6"/>
  <c r="H168" i="6"/>
  <c r="E147" i="6"/>
  <c r="J144" i="6"/>
  <c r="H144" i="6"/>
  <c r="E140" i="6"/>
  <c r="E127" i="6"/>
  <c r="H125" i="6"/>
  <c r="E125" i="6"/>
  <c r="I125" i="6"/>
  <c r="E103" i="6"/>
  <c r="H103" i="6"/>
  <c r="J103" i="6"/>
  <c r="J387" i="6"/>
  <c r="H383" i="6"/>
  <c r="E381" i="6"/>
  <c r="J378" i="6"/>
  <c r="H377" i="6"/>
  <c r="E375" i="6"/>
  <c r="J372" i="6"/>
  <c r="H371" i="6"/>
  <c r="I366" i="6"/>
  <c r="H364" i="6"/>
  <c r="J361" i="6"/>
  <c r="I360" i="6"/>
  <c r="I355" i="6"/>
  <c r="I340" i="6"/>
  <c r="H328" i="6"/>
  <c r="J320" i="6"/>
  <c r="I301" i="6"/>
  <c r="J292" i="6"/>
  <c r="I286" i="6"/>
  <c r="J284" i="6"/>
  <c r="I277" i="6"/>
  <c r="J273" i="6"/>
  <c r="I271" i="6"/>
  <c r="J253" i="6"/>
  <c r="J245" i="6"/>
  <c r="H245" i="6"/>
  <c r="J241" i="6"/>
  <c r="E240" i="6"/>
  <c r="E236" i="6"/>
  <c r="I215" i="6"/>
  <c r="E214" i="6"/>
  <c r="H212" i="6"/>
  <c r="E208" i="6"/>
  <c r="H205" i="6"/>
  <c r="I205" i="6"/>
  <c r="E195" i="6"/>
  <c r="J192" i="6"/>
  <c r="H191" i="6"/>
  <c r="E189" i="6"/>
  <c r="J185" i="6"/>
  <c r="E185" i="6"/>
  <c r="E182" i="6"/>
  <c r="I169" i="6"/>
  <c r="E168" i="6"/>
  <c r="H165" i="6"/>
  <c r="E161" i="6"/>
  <c r="J154" i="6"/>
  <c r="E153" i="6"/>
  <c r="H153" i="6"/>
  <c r="H150" i="6"/>
  <c r="E148" i="6"/>
  <c r="I145" i="6"/>
  <c r="E144" i="6"/>
  <c r="H130" i="6"/>
  <c r="J130" i="6"/>
  <c r="E114" i="6"/>
  <c r="J114" i="6"/>
  <c r="H114" i="6"/>
  <c r="I109" i="6"/>
  <c r="H109" i="6"/>
  <c r="E109" i="6"/>
  <c r="E102" i="6"/>
  <c r="H102" i="6"/>
  <c r="I102" i="6"/>
  <c r="J102" i="6"/>
  <c r="I387" i="6"/>
  <c r="J384" i="6"/>
  <c r="J380" i="6"/>
  <c r="I378" i="6"/>
  <c r="J374" i="6"/>
  <c r="I372" i="6"/>
  <c r="I363" i="6"/>
  <c r="H360" i="6"/>
  <c r="I336" i="6"/>
  <c r="J314" i="6"/>
  <c r="H308" i="6"/>
  <c r="H301" i="6"/>
  <c r="I292" i="6"/>
  <c r="H286" i="6"/>
  <c r="H277" i="6"/>
  <c r="H273" i="6"/>
  <c r="H271" i="6"/>
  <c r="H253" i="6"/>
  <c r="J247" i="6"/>
  <c r="I241" i="6"/>
  <c r="I237" i="6"/>
  <c r="E237" i="6"/>
  <c r="H234" i="6"/>
  <c r="I234" i="6"/>
  <c r="J216" i="6"/>
  <c r="H215" i="6"/>
  <c r="I213" i="6"/>
  <c r="H209" i="6"/>
  <c r="E209" i="6"/>
  <c r="I206" i="6"/>
  <c r="J198" i="6"/>
  <c r="H192" i="6"/>
  <c r="I183" i="6"/>
  <c r="J183" i="6"/>
  <c r="E172" i="6"/>
  <c r="H172" i="6"/>
  <c r="H169" i="6"/>
  <c r="H162" i="6"/>
  <c r="E162" i="6"/>
  <c r="H154" i="6"/>
  <c r="J151" i="6"/>
  <c r="H145" i="6"/>
  <c r="E130" i="6"/>
  <c r="J108" i="6"/>
  <c r="I106" i="6"/>
  <c r="I98" i="6"/>
  <c r="J98" i="6"/>
  <c r="E97" i="6"/>
  <c r="J93" i="6"/>
  <c r="E93" i="6"/>
  <c r="E79" i="6"/>
  <c r="I76" i="6"/>
  <c r="H56" i="6"/>
  <c r="J56" i="6"/>
  <c r="I56" i="6"/>
  <c r="J91" i="6"/>
  <c r="J90" i="6"/>
  <c r="H69" i="6"/>
  <c r="I69" i="6"/>
  <c r="J66" i="6"/>
  <c r="J126" i="6"/>
  <c r="E106" i="6"/>
  <c r="H96" i="6"/>
  <c r="E96" i="6"/>
  <c r="J92" i="6"/>
  <c r="J78" i="6"/>
  <c r="I73" i="6"/>
  <c r="E73" i="6"/>
  <c r="E69" i="6"/>
  <c r="H66" i="6"/>
  <c r="E66" i="6"/>
  <c r="H97" i="6"/>
  <c r="H75" i="6"/>
  <c r="I75" i="6"/>
  <c r="I70" i="6"/>
  <c r="J79" i="6"/>
  <c r="H79" i="6"/>
  <c r="I53" i="6"/>
  <c r="I50" i="6"/>
  <c r="I62" i="6"/>
  <c r="E57" i="6"/>
  <c r="I55" i="6"/>
  <c r="E54" i="6"/>
  <c r="I52" i="6"/>
  <c r="E51" i="6"/>
  <c r="I49" i="6"/>
  <c r="J53" i="6"/>
  <c r="J50" i="6"/>
  <c r="J48" i="6"/>
  <c r="A46" i="3"/>
  <c r="A46" i="6" s="1"/>
  <c r="B46" i="6"/>
  <c r="M46" i="6" a="1"/>
  <c r="M46" i="6" s="1"/>
  <c r="R46" i="6"/>
  <c r="C46" i="6"/>
  <c r="N46" i="6" a="1"/>
  <c r="N46" i="6" s="1"/>
  <c r="L46" i="6"/>
  <c r="P46" i="6"/>
  <c r="K46" i="6"/>
  <c r="Q46" i="6"/>
  <c r="O46" i="6"/>
  <c r="G46" i="6"/>
  <c r="J46" i="6" s="1"/>
  <c r="A44" i="3"/>
  <c r="A44" i="6" s="1"/>
  <c r="M44" i="6" a="1"/>
  <c r="M44" i="6" s="1"/>
  <c r="R44" i="6"/>
  <c r="A42" i="3"/>
  <c r="A42" i="6" s="1"/>
  <c r="M42" i="6" a="1"/>
  <c r="M42" i="6" s="1"/>
  <c r="C42" i="6"/>
  <c r="N42" i="6" a="1"/>
  <c r="N42" i="6" s="1"/>
  <c r="R42" i="6"/>
  <c r="A36" i="3"/>
  <c r="A36" i="6" s="1"/>
  <c r="M36" i="6" a="1"/>
  <c r="M36" i="6" s="1"/>
  <c r="Q36" i="6"/>
  <c r="R36" i="6"/>
  <c r="A31" i="3"/>
  <c r="A31" i="6" s="1"/>
  <c r="Q31" i="3"/>
  <c r="A41" i="3"/>
  <c r="A41" i="6" s="1"/>
  <c r="C41" i="6"/>
  <c r="A35" i="3"/>
  <c r="A35" i="6" s="1"/>
  <c r="K35" i="6"/>
  <c r="A40" i="3"/>
  <c r="A40" i="6" s="1"/>
  <c r="R40" i="6"/>
  <c r="A34" i="3"/>
  <c r="A34" i="6" s="1"/>
  <c r="B34" i="6"/>
  <c r="Q34" i="3"/>
  <c r="K34" i="6"/>
  <c r="A32" i="3"/>
  <c r="A32" i="6" s="1"/>
  <c r="Q32" i="3"/>
  <c r="A26" i="3"/>
  <c r="A26" i="6" s="1"/>
  <c r="Q26" i="3"/>
  <c r="A45" i="3"/>
  <c r="A45" i="6" s="1"/>
  <c r="C45" i="6"/>
  <c r="A39" i="3"/>
  <c r="A39" i="6" s="1"/>
  <c r="M39" i="6" a="1"/>
  <c r="M39" i="6" s="1"/>
  <c r="Q39" i="6"/>
  <c r="R39" i="6"/>
  <c r="B39" i="6"/>
  <c r="N45" i="6" a="1"/>
  <c r="N45" i="6" s="1"/>
  <c r="L39" i="6"/>
  <c r="Q28" i="3"/>
  <c r="Q34" i="6"/>
  <c r="R45" i="6"/>
  <c r="M45" i="6" a="1"/>
  <c r="M45" i="6" s="1"/>
  <c r="B42" i="6"/>
  <c r="M40" i="6" a="1"/>
  <c r="M40" i="6" s="1"/>
  <c r="C39" i="6"/>
  <c r="C36" i="6"/>
  <c r="L36" i="6"/>
  <c r="O34" i="6"/>
  <c r="Q45" i="6"/>
  <c r="S45" i="6" s="1"/>
  <c r="L45" i="6"/>
  <c r="Q41" i="6"/>
  <c r="C40" i="6"/>
  <c r="B36" i="6"/>
  <c r="F36" i="6" s="1"/>
  <c r="B45" i="6"/>
  <c r="L34" i="6"/>
  <c r="P45" i="6"/>
  <c r="K45" i="6"/>
  <c r="L41" i="6"/>
  <c r="P35" i="6"/>
  <c r="R34" i="6"/>
  <c r="N40" i="6" a="1"/>
  <c r="N40" i="6" s="1"/>
  <c r="Q33" i="3"/>
  <c r="O45" i="6"/>
  <c r="G45" i="6"/>
  <c r="J45" i="6" s="1"/>
  <c r="P34" i="6"/>
  <c r="G34" i="6"/>
  <c r="H34" i="6" s="1"/>
  <c r="F385" i="6"/>
  <c r="F358" i="6"/>
  <c r="F347" i="6"/>
  <c r="F246" i="6"/>
  <c r="F239" i="6"/>
  <c r="F219" i="6"/>
  <c r="F198" i="6"/>
  <c r="F195" i="6"/>
  <c r="F123" i="6"/>
  <c r="F76" i="6"/>
  <c r="Q44" i="6"/>
  <c r="AB44" i="6" s="1"/>
  <c r="L44" i="6"/>
  <c r="C44" i="6"/>
  <c r="R43" i="6"/>
  <c r="M43" i="6" a="1"/>
  <c r="M43" i="6" s="1"/>
  <c r="C43" i="6"/>
  <c r="Q42" i="6"/>
  <c r="L42" i="6"/>
  <c r="P41" i="6"/>
  <c r="K41" i="6"/>
  <c r="B41" i="6"/>
  <c r="Q40" i="6"/>
  <c r="L40" i="6"/>
  <c r="B40" i="6"/>
  <c r="P39" i="6"/>
  <c r="K39" i="6"/>
  <c r="P37" i="6"/>
  <c r="K37" i="6"/>
  <c r="B37" i="6"/>
  <c r="P36" i="6"/>
  <c r="K36" i="6"/>
  <c r="O35" i="6"/>
  <c r="F351" i="6"/>
  <c r="F321" i="6"/>
  <c r="F286" i="6"/>
  <c r="F228" i="6"/>
  <c r="F128" i="6"/>
  <c r="F61" i="6"/>
  <c r="F49" i="6"/>
  <c r="F47" i="6"/>
  <c r="N43" i="6" a="1"/>
  <c r="N43" i="6" s="1"/>
  <c r="Q37" i="6"/>
  <c r="L37" i="6"/>
  <c r="C37" i="6"/>
  <c r="Q30" i="3"/>
  <c r="F375" i="6"/>
  <c r="F263" i="6"/>
  <c r="F230" i="6"/>
  <c r="F189" i="6"/>
  <c r="F136" i="6"/>
  <c r="F120" i="6"/>
  <c r="P44" i="6"/>
  <c r="K44" i="6"/>
  <c r="B44" i="6"/>
  <c r="Q43" i="6"/>
  <c r="L43" i="6"/>
  <c r="B43" i="6"/>
  <c r="P42" i="6"/>
  <c r="K42" i="6"/>
  <c r="O41" i="6"/>
  <c r="P40" i="6"/>
  <c r="K40" i="6"/>
  <c r="O39" i="6"/>
  <c r="G38" i="6"/>
  <c r="J38" i="6" s="1"/>
  <c r="O37" i="6"/>
  <c r="O36" i="6"/>
  <c r="G35" i="6"/>
  <c r="J35" i="6" s="1"/>
  <c r="C34" i="6"/>
  <c r="N34" i="6" a="1"/>
  <c r="N34" i="6" s="1"/>
  <c r="F368" i="6"/>
  <c r="F337" i="6"/>
  <c r="F316" i="6"/>
  <c r="F298" i="6"/>
  <c r="F124" i="6"/>
  <c r="F112" i="6"/>
  <c r="F48" i="6"/>
  <c r="O44" i="6"/>
  <c r="P43" i="6"/>
  <c r="K43" i="6"/>
  <c r="O42" i="6"/>
  <c r="G42" i="6"/>
  <c r="J42" i="6" s="1"/>
  <c r="G41" i="6"/>
  <c r="O40" i="6"/>
  <c r="G39" i="6"/>
  <c r="G37" i="6"/>
  <c r="G36" i="6"/>
  <c r="N35" i="6" a="1"/>
  <c r="N35" i="6" s="1"/>
  <c r="Q27" i="3"/>
  <c r="S34" i="6"/>
  <c r="M34" i="6" a="1"/>
  <c r="M34" i="6" s="1"/>
  <c r="F343" i="6"/>
  <c r="F333" i="6"/>
  <c r="F319" i="6"/>
  <c r="F200" i="6"/>
  <c r="F173" i="6"/>
  <c r="F107" i="6"/>
  <c r="F100" i="6"/>
  <c r="G44" i="6"/>
  <c r="O43" i="6"/>
  <c r="F42" i="6"/>
  <c r="N41" i="6" a="1"/>
  <c r="N41" i="6" s="1"/>
  <c r="G40" i="6"/>
  <c r="N39" i="6" a="1"/>
  <c r="N39" i="6" s="1"/>
  <c r="S39" i="6" s="1"/>
  <c r="N37" i="6" a="1"/>
  <c r="N37" i="6" s="1"/>
  <c r="N36" i="6" a="1"/>
  <c r="N36" i="6" s="1"/>
  <c r="S36" i="6" s="1"/>
  <c r="R35" i="6"/>
  <c r="M35" i="6" a="1"/>
  <c r="M35" i="6" s="1"/>
  <c r="C35" i="6"/>
  <c r="F363" i="6"/>
  <c r="F344" i="6"/>
  <c r="F251" i="6"/>
  <c r="F166" i="6"/>
  <c r="F131" i="6"/>
  <c r="F52" i="6"/>
  <c r="N44" i="6" a="1"/>
  <c r="N44" i="6" s="1"/>
  <c r="G43" i="6"/>
  <c r="R41" i="6"/>
  <c r="AB41" i="6" s="1"/>
  <c r="M41" i="6" a="1"/>
  <c r="M41" i="6" s="1"/>
  <c r="R37" i="6"/>
  <c r="M37" i="6" a="1"/>
  <c r="M37" i="6" s="1"/>
  <c r="Q35" i="6"/>
  <c r="S35" i="6" s="1"/>
  <c r="L35" i="6"/>
  <c r="B35" i="6"/>
  <c r="F387" i="6"/>
  <c r="F384" i="6"/>
  <c r="F382" i="6"/>
  <c r="F380" i="6"/>
  <c r="F373" i="6"/>
  <c r="F371" i="6"/>
  <c r="F367" i="6"/>
  <c r="F365" i="6"/>
  <c r="F360" i="6"/>
  <c r="F356" i="6"/>
  <c r="F353" i="6"/>
  <c r="F352" i="6"/>
  <c r="F346" i="6"/>
  <c r="F339" i="6"/>
  <c r="F323" i="6"/>
  <c r="F314" i="6"/>
  <c r="F312" i="6"/>
  <c r="F311" i="6"/>
  <c r="F305" i="6"/>
  <c r="F294" i="6"/>
  <c r="F293" i="6"/>
  <c r="F278" i="6"/>
  <c r="F262" i="6"/>
  <c r="F250" i="6"/>
  <c r="F236" i="6"/>
  <c r="F234" i="6"/>
  <c r="F231" i="6"/>
  <c r="F225" i="6"/>
  <c r="F214" i="6"/>
  <c r="F196" i="6"/>
  <c r="F184" i="6"/>
  <c r="F167" i="6"/>
  <c r="F158" i="6"/>
  <c r="F156" i="6"/>
  <c r="F152" i="6"/>
  <c r="F150" i="6"/>
  <c r="F143" i="6"/>
  <c r="F137" i="6"/>
  <c r="F117" i="6"/>
  <c r="F101" i="6"/>
  <c r="F98" i="6"/>
  <c r="F88" i="6"/>
  <c r="F75" i="6"/>
  <c r="F67" i="6"/>
  <c r="F60" i="6"/>
  <c r="F55" i="6"/>
  <c r="F53" i="6"/>
  <c r="F46" i="6"/>
  <c r="F43" i="6"/>
  <c r="F40" i="6"/>
  <c r="F39" i="6"/>
  <c r="N38" i="6" a="1"/>
  <c r="N38" i="6" s="1"/>
  <c r="F381" i="6"/>
  <c r="F372" i="6"/>
  <c r="F364" i="6"/>
  <c r="F362" i="6"/>
  <c r="F361" i="6"/>
  <c r="F355" i="6"/>
  <c r="F348" i="6"/>
  <c r="F341" i="6"/>
  <c r="F327" i="6"/>
  <c r="F324" i="6"/>
  <c r="F313" i="6"/>
  <c r="F269" i="6"/>
  <c r="F258" i="6"/>
  <c r="F257" i="6"/>
  <c r="F242" i="6"/>
  <c r="F232" i="6"/>
  <c r="F221" i="6"/>
  <c r="F204" i="6"/>
  <c r="F191" i="6"/>
  <c r="F185" i="6"/>
  <c r="F162" i="6"/>
  <c r="F160" i="6"/>
  <c r="F159" i="6"/>
  <c r="F153" i="6"/>
  <c r="F113" i="6"/>
  <c r="F108" i="6"/>
  <c r="F64" i="6"/>
  <c r="F62" i="6"/>
  <c r="F51" i="6"/>
  <c r="R38" i="6"/>
  <c r="M38" i="6" a="1"/>
  <c r="M38" i="6" s="1"/>
  <c r="E38" i="6"/>
  <c r="F379" i="6"/>
  <c r="F377" i="6"/>
  <c r="F370" i="6"/>
  <c r="F357" i="6"/>
  <c r="F350" i="6"/>
  <c r="F336" i="6"/>
  <c r="F334" i="6"/>
  <c r="F326" i="6"/>
  <c r="F317" i="6"/>
  <c r="F310" i="6"/>
  <c r="F308" i="6"/>
  <c r="F284" i="6"/>
  <c r="F240" i="6"/>
  <c r="F227" i="6"/>
  <c r="F215" i="6"/>
  <c r="F209" i="6"/>
  <c r="F197" i="6"/>
  <c r="F179" i="6"/>
  <c r="F176" i="6"/>
  <c r="F174" i="6"/>
  <c r="F164" i="6"/>
  <c r="F146" i="6"/>
  <c r="F144" i="6"/>
  <c r="F138" i="6"/>
  <c r="F134" i="6"/>
  <c r="F132" i="6"/>
  <c r="F125" i="6"/>
  <c r="F119" i="6"/>
  <c r="F110" i="6"/>
  <c r="F95" i="6"/>
  <c r="F92" i="6"/>
  <c r="F79" i="6"/>
  <c r="F71" i="6"/>
  <c r="F70" i="6"/>
  <c r="F58" i="6"/>
  <c r="F54" i="6"/>
  <c r="Q38" i="6"/>
  <c r="L38" i="6"/>
  <c r="C38" i="6"/>
  <c r="F386" i="6"/>
  <c r="F378" i="6"/>
  <c r="F359" i="6"/>
  <c r="F345" i="6"/>
  <c r="F340" i="6"/>
  <c r="F329" i="6"/>
  <c r="F318" i="6"/>
  <c r="F304" i="6"/>
  <c r="F302" i="6"/>
  <c r="F296" i="6"/>
  <c r="F292" i="6"/>
  <c r="F290" i="6"/>
  <c r="F281" i="6"/>
  <c r="F275" i="6"/>
  <c r="F272" i="6"/>
  <c r="F248" i="6"/>
  <c r="F233" i="6"/>
  <c r="F202" i="6"/>
  <c r="F186" i="6"/>
  <c r="F177" i="6"/>
  <c r="F168" i="6"/>
  <c r="F148" i="6"/>
  <c r="F147" i="6"/>
  <c r="F140" i="6"/>
  <c r="F130" i="6"/>
  <c r="F114" i="6"/>
  <c r="F111" i="6"/>
  <c r="F106" i="6"/>
  <c r="F102" i="6"/>
  <c r="F66" i="6"/>
  <c r="F65" i="6"/>
  <c r="P38" i="6"/>
  <c r="K38" i="6"/>
  <c r="B38" i="6"/>
  <c r="F383" i="6"/>
  <c r="F376" i="6"/>
  <c r="F374" i="6"/>
  <c r="F369" i="6"/>
  <c r="F366" i="6"/>
  <c r="F354" i="6"/>
  <c r="F349" i="6"/>
  <c r="F342" i="6"/>
  <c r="F338" i="6"/>
  <c r="F335" i="6"/>
  <c r="F330" i="6"/>
  <c r="F320" i="6"/>
  <c r="F299" i="6"/>
  <c r="F287" i="6"/>
  <c r="F282" i="6"/>
  <c r="F276" i="6"/>
  <c r="F274" i="6"/>
  <c r="F268" i="6"/>
  <c r="F266" i="6"/>
  <c r="F260" i="6"/>
  <c r="F256" i="6"/>
  <c r="F254" i="6"/>
  <c r="F245" i="6"/>
  <c r="F238" i="6"/>
  <c r="F222" i="6"/>
  <c r="F218" i="6"/>
  <c r="F216" i="6"/>
  <c r="F210" i="6"/>
  <c r="F203" i="6"/>
  <c r="F194" i="6"/>
  <c r="F192" i="6"/>
  <c r="F188" i="6"/>
  <c r="F180" i="6"/>
  <c r="F170" i="6"/>
  <c r="F161" i="6"/>
  <c r="F155" i="6"/>
  <c r="F149" i="6"/>
  <c r="F126" i="6"/>
  <c r="F122" i="6"/>
  <c r="F104" i="6"/>
  <c r="F94" i="6"/>
  <c r="F91" i="6"/>
  <c r="F89" i="6"/>
  <c r="F85" i="6"/>
  <c r="F83" i="6"/>
  <c r="F82" i="6"/>
  <c r="F73" i="6"/>
  <c r="F69" i="6"/>
  <c r="F59" i="6"/>
  <c r="F57" i="6"/>
  <c r="F50" i="6"/>
  <c r="F45" i="6"/>
  <c r="O38" i="6"/>
  <c r="S379" i="6"/>
  <c r="S370" i="6"/>
  <c r="F291" i="6"/>
  <c r="J386" i="6"/>
  <c r="H385" i="6"/>
  <c r="J383" i="6"/>
  <c r="H382" i="6"/>
  <c r="H379" i="6"/>
  <c r="H376" i="6"/>
  <c r="H373" i="6"/>
  <c r="H370" i="6"/>
  <c r="I368" i="6"/>
  <c r="I365" i="6"/>
  <c r="S361" i="6"/>
  <c r="S359" i="6"/>
  <c r="H357" i="6"/>
  <c r="J356" i="6"/>
  <c r="S352" i="6"/>
  <c r="S350" i="6"/>
  <c r="H348" i="6"/>
  <c r="J347" i="6"/>
  <c r="S343" i="6"/>
  <c r="S341" i="6"/>
  <c r="H339" i="6"/>
  <c r="J338" i="6"/>
  <c r="F303" i="6"/>
  <c r="E294" i="6"/>
  <c r="H294" i="6"/>
  <c r="I294" i="6"/>
  <c r="J294" i="6"/>
  <c r="S269" i="6"/>
  <c r="AB269" i="6"/>
  <c r="F255" i="6"/>
  <c r="F212" i="6"/>
  <c r="S257" i="6"/>
  <c r="AB257" i="6"/>
  <c r="E321" i="6"/>
  <c r="J321" i="6"/>
  <c r="H321" i="6"/>
  <c r="I321" i="6"/>
  <c r="AB309" i="6"/>
  <c r="S309" i="6"/>
  <c r="S305" i="6"/>
  <c r="AB305" i="6"/>
  <c r="AB385" i="6"/>
  <c r="E385" i="6"/>
  <c r="AB382" i="6"/>
  <c r="E382" i="6"/>
  <c r="AB379" i="6"/>
  <c r="E379" i="6"/>
  <c r="AB376" i="6"/>
  <c r="E376" i="6"/>
  <c r="AB373" i="6"/>
  <c r="E373" i="6"/>
  <c r="AB370" i="6"/>
  <c r="E370" i="6"/>
  <c r="E368" i="6"/>
  <c r="AB366" i="6"/>
  <c r="E365" i="6"/>
  <c r="AB363" i="6"/>
  <c r="E357" i="6"/>
  <c r="E348" i="6"/>
  <c r="E339" i="6"/>
  <c r="I332" i="6"/>
  <c r="J332" i="6"/>
  <c r="E323" i="6"/>
  <c r="I323" i="6"/>
  <c r="H323" i="6"/>
  <c r="J323" i="6"/>
  <c r="E309" i="6"/>
  <c r="J309" i="6"/>
  <c r="H309" i="6"/>
  <c r="I309" i="6"/>
  <c r="S308" i="6"/>
  <c r="AB308" i="6"/>
  <c r="S293" i="6"/>
  <c r="AB293" i="6"/>
  <c r="E263" i="6"/>
  <c r="I263" i="6"/>
  <c r="H263" i="6"/>
  <c r="J263" i="6"/>
  <c r="H347" i="6"/>
  <c r="I347" i="6"/>
  <c r="S334" i="6"/>
  <c r="AB334" i="6"/>
  <c r="H359" i="6"/>
  <c r="I359" i="6"/>
  <c r="AB354" i="6"/>
  <c r="H350" i="6"/>
  <c r="I350" i="6"/>
  <c r="AB345" i="6"/>
  <c r="H341" i="6"/>
  <c r="I341" i="6"/>
  <c r="AB336" i="6"/>
  <c r="E332" i="6"/>
  <c r="H331" i="6"/>
  <c r="E331" i="6"/>
  <c r="AB330" i="6"/>
  <c r="S330" i="6"/>
  <c r="E327" i="6"/>
  <c r="J327" i="6"/>
  <c r="H327" i="6"/>
  <c r="I327" i="6"/>
  <c r="E299" i="6"/>
  <c r="I299" i="6"/>
  <c r="H299" i="6"/>
  <c r="J299" i="6"/>
  <c r="S276" i="6"/>
  <c r="AB276" i="6"/>
  <c r="E267" i="6"/>
  <c r="J267" i="6"/>
  <c r="H267" i="6"/>
  <c r="I267" i="6"/>
  <c r="E251" i="6"/>
  <c r="I251" i="6"/>
  <c r="H251" i="6"/>
  <c r="J251" i="6"/>
  <c r="J385" i="6"/>
  <c r="J382" i="6"/>
  <c r="J379" i="6"/>
  <c r="J376" i="6"/>
  <c r="J373" i="6"/>
  <c r="J370" i="6"/>
  <c r="AB367" i="6"/>
  <c r="H366" i="6"/>
  <c r="AB364" i="6"/>
  <c r="H363" i="6"/>
  <c r="AB362" i="6"/>
  <c r="E360" i="6"/>
  <c r="E359" i="6"/>
  <c r="S358" i="6"/>
  <c r="S356" i="6"/>
  <c r="H354" i="6"/>
  <c r="AB353" i="6"/>
  <c r="E351" i="6"/>
  <c r="E350" i="6"/>
  <c r="S349" i="6"/>
  <c r="S347" i="6"/>
  <c r="H345" i="6"/>
  <c r="AB344" i="6"/>
  <c r="E342" i="6"/>
  <c r="E341" i="6"/>
  <c r="S340" i="6"/>
  <c r="S338" i="6"/>
  <c r="H336" i="6"/>
  <c r="AB335" i="6"/>
  <c r="J334" i="6"/>
  <c r="S332" i="6"/>
  <c r="AB332" i="6"/>
  <c r="E303" i="6"/>
  <c r="J303" i="6"/>
  <c r="H303" i="6"/>
  <c r="I303" i="6"/>
  <c r="E287" i="6"/>
  <c r="I287" i="6"/>
  <c r="H287" i="6"/>
  <c r="J287" i="6"/>
  <c r="E255" i="6"/>
  <c r="H255" i="6"/>
  <c r="J255" i="6"/>
  <c r="I255" i="6"/>
  <c r="H356" i="6"/>
  <c r="I356" i="6"/>
  <c r="H338" i="6"/>
  <c r="I338" i="6"/>
  <c r="S272" i="6"/>
  <c r="AB272" i="6"/>
  <c r="J368" i="6"/>
  <c r="J365" i="6"/>
  <c r="H362" i="6"/>
  <c r="I362" i="6"/>
  <c r="I357" i="6"/>
  <c r="H353" i="6"/>
  <c r="I353" i="6"/>
  <c r="I348" i="6"/>
  <c r="H344" i="6"/>
  <c r="I344" i="6"/>
  <c r="I339" i="6"/>
  <c r="H335" i="6"/>
  <c r="I335" i="6"/>
  <c r="H334" i="6"/>
  <c r="E317" i="6"/>
  <c r="I317" i="6"/>
  <c r="H317" i="6"/>
  <c r="J317" i="6"/>
  <c r="E291" i="6"/>
  <c r="H291" i="6"/>
  <c r="J291" i="6"/>
  <c r="I291" i="6"/>
  <c r="F267" i="6"/>
  <c r="E258" i="6"/>
  <c r="H258" i="6"/>
  <c r="I258" i="6"/>
  <c r="J258" i="6"/>
  <c r="S329" i="6"/>
  <c r="AB329" i="6"/>
  <c r="E315" i="6"/>
  <c r="J315" i="6"/>
  <c r="H315" i="6"/>
  <c r="S312" i="6"/>
  <c r="E311" i="6"/>
  <c r="I311" i="6"/>
  <c r="H311" i="6"/>
  <c r="F307" i="6"/>
  <c r="E306" i="6"/>
  <c r="H306" i="6"/>
  <c r="I306" i="6"/>
  <c r="J306" i="6"/>
  <c r="S298" i="6"/>
  <c r="S286" i="6"/>
  <c r="S281" i="6"/>
  <c r="AB281" i="6"/>
  <c r="AB277" i="6"/>
  <c r="S277" i="6"/>
  <c r="S273" i="6"/>
  <c r="F271" i="6"/>
  <c r="E270" i="6"/>
  <c r="H270" i="6"/>
  <c r="I270" i="6"/>
  <c r="J270" i="6"/>
  <c r="S262" i="6"/>
  <c r="S250" i="6"/>
  <c r="S245" i="6"/>
  <c r="AB245" i="6"/>
  <c r="AB241" i="6"/>
  <c r="S241" i="6"/>
  <c r="F208" i="6"/>
  <c r="F178" i="6"/>
  <c r="AB175" i="6"/>
  <c r="S175" i="6"/>
  <c r="F171" i="6"/>
  <c r="F224" i="6"/>
  <c r="AB219" i="6"/>
  <c r="S219" i="6"/>
  <c r="AB216" i="6"/>
  <c r="S216" i="6"/>
  <c r="AB213" i="6"/>
  <c r="S213" i="6"/>
  <c r="F207" i="6"/>
  <c r="AB186" i="6"/>
  <c r="S186" i="6"/>
  <c r="S315" i="6"/>
  <c r="F300" i="6"/>
  <c r="F288" i="6"/>
  <c r="E279" i="6"/>
  <c r="H279" i="6"/>
  <c r="J279" i="6"/>
  <c r="F264" i="6"/>
  <c r="F252" i="6"/>
  <c r="E243" i="6"/>
  <c r="H243" i="6"/>
  <c r="J243" i="6"/>
  <c r="F229" i="6"/>
  <c r="F223" i="6"/>
  <c r="AB211" i="6"/>
  <c r="S211" i="6"/>
  <c r="F193" i="6"/>
  <c r="AB183" i="6"/>
  <c r="S183" i="6"/>
  <c r="AB181" i="6"/>
  <c r="S181" i="6"/>
  <c r="F332" i="6"/>
  <c r="F331" i="6"/>
  <c r="AB301" i="6"/>
  <c r="S301" i="6"/>
  <c r="S297" i="6"/>
  <c r="AB289" i="6"/>
  <c r="S289" i="6"/>
  <c r="S284" i="6"/>
  <c r="AB284" i="6"/>
  <c r="F283" i="6"/>
  <c r="S274" i="6"/>
  <c r="AB265" i="6"/>
  <c r="S265" i="6"/>
  <c r="S261" i="6"/>
  <c r="AB253" i="6"/>
  <c r="S253" i="6"/>
  <c r="S248" i="6"/>
  <c r="AB248" i="6"/>
  <c r="F247" i="6"/>
  <c r="AB236" i="6"/>
  <c r="S236" i="6"/>
  <c r="AB233" i="6"/>
  <c r="S233" i="6"/>
  <c r="AB224" i="6"/>
  <c r="S224" i="6"/>
  <c r="F220" i="6"/>
  <c r="AB207" i="6"/>
  <c r="S207" i="6"/>
  <c r="AB200" i="6"/>
  <c r="S200" i="6"/>
  <c r="AB197" i="6"/>
  <c r="S197" i="6"/>
  <c r="F187" i="6"/>
  <c r="E329" i="6"/>
  <c r="I329" i="6"/>
  <c r="H329" i="6"/>
  <c r="F328" i="6"/>
  <c r="S300" i="6"/>
  <c r="AB300" i="6"/>
  <c r="S296" i="6"/>
  <c r="AB296" i="6"/>
  <c r="F295" i="6"/>
  <c r="S288" i="6"/>
  <c r="AB288" i="6"/>
  <c r="S285" i="6"/>
  <c r="E282" i="6"/>
  <c r="H282" i="6"/>
  <c r="I282" i="6"/>
  <c r="J282" i="6"/>
  <c r="F279" i="6"/>
  <c r="E275" i="6"/>
  <c r="I275" i="6"/>
  <c r="H275" i="6"/>
  <c r="S264" i="6"/>
  <c r="AB264" i="6"/>
  <c r="S260" i="6"/>
  <c r="AB260" i="6"/>
  <c r="F259" i="6"/>
  <c r="S252" i="6"/>
  <c r="AB252" i="6"/>
  <c r="S249" i="6"/>
  <c r="E246" i="6"/>
  <c r="H246" i="6"/>
  <c r="I246" i="6"/>
  <c r="J246" i="6"/>
  <c r="F243" i="6"/>
  <c r="S231" i="6"/>
  <c r="F213" i="6"/>
  <c r="AB188" i="6"/>
  <c r="S188" i="6"/>
  <c r="AB170" i="6"/>
  <c r="S170" i="6"/>
  <c r="AB167" i="6"/>
  <c r="S167" i="6"/>
  <c r="AB164" i="6"/>
  <c r="S164" i="6"/>
  <c r="AB187" i="6"/>
  <c r="S187" i="6"/>
  <c r="F182" i="6"/>
  <c r="F172" i="6"/>
  <c r="E330" i="6"/>
  <c r="H330" i="6"/>
  <c r="F325" i="6"/>
  <c r="S324" i="6"/>
  <c r="E324" i="6"/>
  <c r="H324" i="6"/>
  <c r="F322" i="6"/>
  <c r="E318" i="6"/>
  <c r="H318" i="6"/>
  <c r="E312" i="6"/>
  <c r="H312" i="6"/>
  <c r="E300" i="6"/>
  <c r="H300" i="6"/>
  <c r="I300" i="6"/>
  <c r="AB297" i="6"/>
  <c r="E293" i="6"/>
  <c r="I293" i="6"/>
  <c r="S292" i="6"/>
  <c r="S290" i="6"/>
  <c r="S287" i="6"/>
  <c r="AB287" i="6"/>
  <c r="F285" i="6"/>
  <c r="S282" i="6"/>
  <c r="F277" i="6"/>
  <c r="E264" i="6"/>
  <c r="H264" i="6"/>
  <c r="I264" i="6"/>
  <c r="AB261" i="6"/>
  <c r="E257" i="6"/>
  <c r="I257" i="6"/>
  <c r="S256" i="6"/>
  <c r="S254" i="6"/>
  <c r="S251" i="6"/>
  <c r="AB251" i="6"/>
  <c r="F249" i="6"/>
  <c r="S246" i="6"/>
  <c r="F241" i="6"/>
  <c r="AB239" i="6"/>
  <c r="S239" i="6"/>
  <c r="AB234" i="6"/>
  <c r="S234" i="6"/>
  <c r="AB230" i="6"/>
  <c r="S230" i="6"/>
  <c r="S225" i="6"/>
  <c r="AB217" i="6"/>
  <c r="S217" i="6"/>
  <c r="AB215" i="6"/>
  <c r="S215" i="6"/>
  <c r="F206" i="6"/>
  <c r="F201" i="6"/>
  <c r="F190" i="6"/>
  <c r="AB162" i="6"/>
  <c r="S162" i="6"/>
  <c r="S153" i="6"/>
  <c r="AB128" i="6"/>
  <c r="S128" i="6"/>
  <c r="S323" i="6"/>
  <c r="AB323" i="6"/>
  <c r="S317" i="6"/>
  <c r="AB317" i="6"/>
  <c r="F315" i="6"/>
  <c r="S311" i="6"/>
  <c r="AB311" i="6"/>
  <c r="F309" i="6"/>
  <c r="F306" i="6"/>
  <c r="E305" i="6"/>
  <c r="I305" i="6"/>
  <c r="S304" i="6"/>
  <c r="S302" i="6"/>
  <c r="S299" i="6"/>
  <c r="AB299" i="6"/>
  <c r="F297" i="6"/>
  <c r="S294" i="6"/>
  <c r="F289" i="6"/>
  <c r="I285" i="6"/>
  <c r="F280" i="6"/>
  <c r="E276" i="6"/>
  <c r="H276" i="6"/>
  <c r="I276" i="6"/>
  <c r="AB273" i="6"/>
  <c r="F270" i="6"/>
  <c r="E269" i="6"/>
  <c r="I269" i="6"/>
  <c r="S268" i="6"/>
  <c r="S266" i="6"/>
  <c r="S263" i="6"/>
  <c r="AB263" i="6"/>
  <c r="F261" i="6"/>
  <c r="S258" i="6"/>
  <c r="F253" i="6"/>
  <c r="I249" i="6"/>
  <c r="F244" i="6"/>
  <c r="F235" i="6"/>
  <c r="AB209" i="6"/>
  <c r="S209" i="6"/>
  <c r="F205" i="6"/>
  <c r="AB203" i="6"/>
  <c r="S203" i="6"/>
  <c r="AB198" i="6"/>
  <c r="S198" i="6"/>
  <c r="AB194" i="6"/>
  <c r="S194" i="6"/>
  <c r="AB185" i="6"/>
  <c r="S185" i="6"/>
  <c r="AB179" i="6"/>
  <c r="S179" i="6"/>
  <c r="AB168" i="6"/>
  <c r="S168" i="6"/>
  <c r="F163" i="6"/>
  <c r="F141" i="6"/>
  <c r="F165" i="6"/>
  <c r="AB150" i="6"/>
  <c r="S150" i="6"/>
  <c r="AB145" i="6"/>
  <c r="S145" i="6"/>
  <c r="AB143" i="6"/>
  <c r="S143" i="6"/>
  <c r="F142" i="6"/>
  <c r="J330" i="6"/>
  <c r="S326" i="6"/>
  <c r="J324" i="6"/>
  <c r="S320" i="6"/>
  <c r="J318" i="6"/>
  <c r="S314" i="6"/>
  <c r="J312" i="6"/>
  <c r="S306" i="6"/>
  <c r="F301" i="6"/>
  <c r="E288" i="6"/>
  <c r="H288" i="6"/>
  <c r="I288" i="6"/>
  <c r="AB285" i="6"/>
  <c r="E281" i="6"/>
  <c r="I281" i="6"/>
  <c r="S278" i="6"/>
  <c r="S275" i="6"/>
  <c r="AB275" i="6"/>
  <c r="F273" i="6"/>
  <c r="S270" i="6"/>
  <c r="F265" i="6"/>
  <c r="E252" i="6"/>
  <c r="H252" i="6"/>
  <c r="I252" i="6"/>
  <c r="AB249" i="6"/>
  <c r="E245" i="6"/>
  <c r="I245" i="6"/>
  <c r="S242" i="6"/>
  <c r="F237" i="6"/>
  <c r="F226" i="6"/>
  <c r="AB218" i="6"/>
  <c r="S218" i="6"/>
  <c r="F199" i="6"/>
  <c r="F183" i="6"/>
  <c r="F169" i="6"/>
  <c r="F154" i="6"/>
  <c r="AB152" i="6"/>
  <c r="S152" i="6"/>
  <c r="AB147" i="6"/>
  <c r="S147" i="6"/>
  <c r="AB227" i="6"/>
  <c r="S227" i="6"/>
  <c r="F217" i="6"/>
  <c r="AB212" i="6"/>
  <c r="S212" i="6"/>
  <c r="AB191" i="6"/>
  <c r="S191" i="6"/>
  <c r="AB189" i="6"/>
  <c r="S189" i="6"/>
  <c r="F175" i="6"/>
  <c r="AB158" i="6"/>
  <c r="S158" i="6"/>
  <c r="F157" i="6"/>
  <c r="AB126" i="6"/>
  <c r="S126" i="6"/>
  <c r="E326" i="6"/>
  <c r="I326" i="6"/>
  <c r="E320" i="6"/>
  <c r="I320" i="6"/>
  <c r="E314" i="6"/>
  <c r="I314" i="6"/>
  <c r="E308" i="6"/>
  <c r="I308" i="6"/>
  <c r="E302" i="6"/>
  <c r="I302" i="6"/>
  <c r="E296" i="6"/>
  <c r="I296" i="6"/>
  <c r="E290" i="6"/>
  <c r="I290" i="6"/>
  <c r="E284" i="6"/>
  <c r="I284" i="6"/>
  <c r="E278" i="6"/>
  <c r="I278" i="6"/>
  <c r="E272" i="6"/>
  <c r="I272" i="6"/>
  <c r="E266" i="6"/>
  <c r="I266" i="6"/>
  <c r="E260" i="6"/>
  <c r="I260" i="6"/>
  <c r="E254" i="6"/>
  <c r="I254" i="6"/>
  <c r="E248" i="6"/>
  <c r="I248" i="6"/>
  <c r="E242" i="6"/>
  <c r="I242" i="6"/>
  <c r="AB221" i="6"/>
  <c r="S221" i="6"/>
  <c r="F211" i="6"/>
  <c r="AB206" i="6"/>
  <c r="S206" i="6"/>
  <c r="AB182" i="6"/>
  <c r="S182" i="6"/>
  <c r="AB173" i="6"/>
  <c r="S173" i="6"/>
  <c r="S159" i="6"/>
  <c r="AB111" i="6"/>
  <c r="S111" i="6"/>
  <c r="F116" i="6"/>
  <c r="AB107" i="6"/>
  <c r="S107" i="6"/>
  <c r="F105" i="6"/>
  <c r="F118" i="6"/>
  <c r="AB109" i="6"/>
  <c r="S109" i="6"/>
  <c r="F133" i="6"/>
  <c r="S123" i="6"/>
  <c r="S97" i="6"/>
  <c r="H99" i="6"/>
  <c r="E99" i="6"/>
  <c r="I99" i="6"/>
  <c r="J99" i="6"/>
  <c r="F181" i="6"/>
  <c r="AB176" i="6"/>
  <c r="S176" i="6"/>
  <c r="AB155" i="6"/>
  <c r="S155" i="6"/>
  <c r="F145" i="6"/>
  <c r="AB140" i="6"/>
  <c r="S140" i="6"/>
  <c r="F135" i="6"/>
  <c r="AB119" i="6"/>
  <c r="S119" i="6"/>
  <c r="S117" i="6"/>
  <c r="S115" i="6"/>
  <c r="F109" i="6"/>
  <c r="AB104" i="6"/>
  <c r="S104" i="6"/>
  <c r="S96" i="6"/>
  <c r="AB93" i="6"/>
  <c r="S93" i="6"/>
  <c r="S86" i="6"/>
  <c r="AB86" i="6"/>
  <c r="F81" i="6"/>
  <c r="AB149" i="6"/>
  <c r="S149" i="6"/>
  <c r="F139" i="6"/>
  <c r="AB134" i="6"/>
  <c r="S134" i="6"/>
  <c r="F129" i="6"/>
  <c r="AB113" i="6"/>
  <c r="S113" i="6"/>
  <c r="F103" i="6"/>
  <c r="AB97" i="6"/>
  <c r="I95" i="6"/>
  <c r="J95" i="6"/>
  <c r="H95" i="6"/>
  <c r="F97" i="6"/>
  <c r="AB137" i="6"/>
  <c r="S137" i="6"/>
  <c r="S135" i="6"/>
  <c r="S133" i="6"/>
  <c r="F127" i="6"/>
  <c r="AB122" i="6"/>
  <c r="S122" i="6"/>
  <c r="S114" i="6"/>
  <c r="AB101" i="6"/>
  <c r="S101" i="6"/>
  <c r="S89" i="6"/>
  <c r="AB89" i="6"/>
  <c r="AB131" i="6"/>
  <c r="S131" i="6"/>
  <c r="F121" i="6"/>
  <c r="AB116" i="6"/>
  <c r="S116" i="6"/>
  <c r="S98" i="6"/>
  <c r="AB98" i="6"/>
  <c r="S95" i="6"/>
  <c r="AB95" i="6"/>
  <c r="AB161" i="6"/>
  <c r="S161" i="6"/>
  <c r="F151" i="6"/>
  <c r="AB146" i="6"/>
  <c r="S146" i="6"/>
  <c r="AB125" i="6"/>
  <c r="S125" i="6"/>
  <c r="F115" i="6"/>
  <c r="AB110" i="6"/>
  <c r="S110" i="6"/>
  <c r="F99" i="6"/>
  <c r="F96" i="6"/>
  <c r="F86" i="6"/>
  <c r="I89" i="6"/>
  <c r="J89" i="6"/>
  <c r="H87" i="6"/>
  <c r="J87" i="6"/>
  <c r="I87" i="6"/>
  <c r="H84" i="6"/>
  <c r="E84" i="6"/>
  <c r="I80" i="6"/>
  <c r="E80" i="6"/>
  <c r="J80" i="6"/>
  <c r="F78" i="6"/>
  <c r="H81" i="6"/>
  <c r="J81" i="6"/>
  <c r="I81" i="6"/>
  <c r="F77" i="6"/>
  <c r="F84" i="6"/>
  <c r="E81" i="6"/>
  <c r="S80" i="6"/>
  <c r="AB80" i="6"/>
  <c r="F80" i="6"/>
  <c r="F90" i="6"/>
  <c r="F87" i="6"/>
  <c r="AB82" i="6"/>
  <c r="I96" i="6"/>
  <c r="H89" i="6"/>
  <c r="I86" i="6"/>
  <c r="E86" i="6"/>
  <c r="J86" i="6"/>
  <c r="S85" i="6"/>
  <c r="I84" i="6"/>
  <c r="H80" i="6"/>
  <c r="F93" i="6"/>
  <c r="S92" i="6"/>
  <c r="S83" i="6"/>
  <c r="AB83" i="6"/>
  <c r="S77" i="6"/>
  <c r="AB77" i="6"/>
  <c r="H71" i="6"/>
  <c r="E71" i="6"/>
  <c r="I71" i="6"/>
  <c r="J71" i="6"/>
  <c r="S74" i="6"/>
  <c r="I78" i="6"/>
  <c r="S75" i="6"/>
  <c r="AB75" i="6"/>
  <c r="F74" i="6"/>
  <c r="F68" i="6"/>
  <c r="H77" i="6"/>
  <c r="E77" i="6"/>
  <c r="I77" i="6"/>
  <c r="S69" i="6"/>
  <c r="AB69" i="6"/>
  <c r="I83" i="6"/>
  <c r="E83" i="6"/>
  <c r="E78" i="6"/>
  <c r="F72" i="6"/>
  <c r="H65" i="6"/>
  <c r="E65" i="6"/>
  <c r="S59" i="6"/>
  <c r="E67" i="6"/>
  <c r="H64" i="6"/>
  <c r="J64" i="6"/>
  <c r="AB63" i="6"/>
  <c r="AB60" i="6"/>
  <c r="H76" i="6"/>
  <c r="J76" i="6"/>
  <c r="H70" i="6"/>
  <c r="J70" i="6"/>
  <c r="H61" i="6"/>
  <c r="E61" i="6"/>
  <c r="J61" i="6"/>
  <c r="H58" i="6"/>
  <c r="E58" i="6"/>
  <c r="J58" i="6"/>
  <c r="H74" i="6"/>
  <c r="E74" i="6"/>
  <c r="H68" i="6"/>
  <c r="E68" i="6"/>
  <c r="E64" i="6"/>
  <c r="S72" i="6"/>
  <c r="S66" i="6"/>
  <c r="J65" i="6"/>
  <c r="F63" i="6"/>
  <c r="H73" i="6"/>
  <c r="J73" i="6"/>
  <c r="H67" i="6"/>
  <c r="J67" i="6"/>
  <c r="S56" i="6"/>
  <c r="F56" i="6"/>
  <c r="S46" i="6"/>
  <c r="S43" i="6"/>
  <c r="S40" i="6"/>
  <c r="S37" i="6"/>
  <c r="E62" i="6"/>
  <c r="E59" i="6"/>
  <c r="E56" i="6"/>
  <c r="J55" i="6"/>
  <c r="E53" i="6"/>
  <c r="J52" i="6"/>
  <c r="E50" i="6"/>
  <c r="J49" i="6"/>
  <c r="H47" i="6"/>
  <c r="I47" i="6"/>
  <c r="AB46" i="6"/>
  <c r="E45" i="6"/>
  <c r="H44" i="6"/>
  <c r="I44" i="6"/>
  <c r="AB43" i="6"/>
  <c r="E42" i="6"/>
  <c r="H41" i="6"/>
  <c r="I41" i="6"/>
  <c r="AB40" i="6"/>
  <c r="H38" i="6"/>
  <c r="I38" i="6"/>
  <c r="AB37" i="6"/>
  <c r="H35" i="6"/>
  <c r="I35" i="6"/>
  <c r="E35" i="6"/>
  <c r="AB48" i="6"/>
  <c r="H46" i="6"/>
  <c r="I46" i="6"/>
  <c r="AB45" i="6"/>
  <c r="H43" i="6"/>
  <c r="I43" i="6"/>
  <c r="AB42" i="6"/>
  <c r="H40" i="6"/>
  <c r="I40" i="6"/>
  <c r="AB39" i="6"/>
  <c r="H37" i="6"/>
  <c r="I37" i="6"/>
  <c r="AB36" i="6"/>
  <c r="S47" i="6"/>
  <c r="S44" i="6"/>
  <c r="S41" i="6"/>
  <c r="E55" i="6"/>
  <c r="E52" i="6"/>
  <c r="E49" i="6"/>
  <c r="H48" i="6"/>
  <c r="I48" i="6"/>
  <c r="AB47" i="6"/>
  <c r="E46" i="6"/>
  <c r="H45" i="6"/>
  <c r="I45" i="6"/>
  <c r="H42" i="6"/>
  <c r="I42" i="6"/>
  <c r="H39" i="6"/>
  <c r="I39" i="6"/>
  <c r="H36" i="6"/>
  <c r="I36" i="6"/>
  <c r="AB35" i="6"/>
  <c r="B31" i="6"/>
  <c r="C29" i="6"/>
  <c r="R33" i="6"/>
  <c r="M33" i="6" a="1"/>
  <c r="M33" i="6" s="1"/>
  <c r="R32" i="6"/>
  <c r="M32" i="6" a="1"/>
  <c r="M32" i="6" s="1"/>
  <c r="N31" i="6" a="1"/>
  <c r="N31" i="6" s="1"/>
  <c r="R30" i="6"/>
  <c r="M30" i="6" a="1"/>
  <c r="M30" i="6" s="1"/>
  <c r="R29" i="6"/>
  <c r="M29" i="6" a="1"/>
  <c r="M29" i="6" s="1"/>
  <c r="Q28" i="6"/>
  <c r="L28" i="6"/>
  <c r="P27" i="6"/>
  <c r="K27" i="6"/>
  <c r="P26" i="6"/>
  <c r="K26" i="6"/>
  <c r="B30" i="6"/>
  <c r="C28" i="6"/>
  <c r="Q33" i="6"/>
  <c r="L33" i="6"/>
  <c r="Q32" i="6"/>
  <c r="L32" i="6"/>
  <c r="R31" i="6"/>
  <c r="M31" i="6" a="1"/>
  <c r="M31" i="6" s="1"/>
  <c r="Q30" i="6"/>
  <c r="AB30" i="6" s="1"/>
  <c r="L30" i="6"/>
  <c r="Q29" i="6"/>
  <c r="L29" i="6"/>
  <c r="P28" i="6"/>
  <c r="K28" i="6"/>
  <c r="O27" i="6"/>
  <c r="O26" i="6"/>
  <c r="G26" i="6"/>
  <c r="H26" i="6" s="1"/>
  <c r="B29" i="6"/>
  <c r="C33" i="6"/>
  <c r="C27" i="6"/>
  <c r="P33" i="6"/>
  <c r="K33" i="6"/>
  <c r="P32" i="6"/>
  <c r="K32" i="6"/>
  <c r="Q31" i="6"/>
  <c r="L31" i="6"/>
  <c r="P30" i="6"/>
  <c r="K30" i="6"/>
  <c r="P29" i="6"/>
  <c r="K29" i="6"/>
  <c r="O28" i="6"/>
  <c r="G28" i="6"/>
  <c r="H28" i="6" s="1"/>
  <c r="G27" i="6"/>
  <c r="B28" i="6"/>
  <c r="C32" i="6"/>
  <c r="C26" i="6"/>
  <c r="O33" i="6"/>
  <c r="O32" i="6"/>
  <c r="P31" i="6"/>
  <c r="K31" i="6"/>
  <c r="O30" i="6"/>
  <c r="O29" i="6"/>
  <c r="G29" i="6"/>
  <c r="N27" i="6" a="1"/>
  <c r="N27" i="6" s="1"/>
  <c r="N26" i="6" a="1"/>
  <c r="N26" i="6" s="1"/>
  <c r="B33" i="6"/>
  <c r="F33" i="6" s="1"/>
  <c r="B27" i="6"/>
  <c r="F27" i="6" s="1"/>
  <c r="C31" i="6"/>
  <c r="G33" i="6"/>
  <c r="O31" i="6"/>
  <c r="G30" i="6"/>
  <c r="I30" i="6" s="1"/>
  <c r="N28" i="6" a="1"/>
  <c r="N28" i="6" s="1"/>
  <c r="R27" i="6"/>
  <c r="M27" i="6" a="1"/>
  <c r="M27" i="6" s="1"/>
  <c r="R26" i="6"/>
  <c r="M26" i="6" a="1"/>
  <c r="M26" i="6" s="1"/>
  <c r="Q29" i="3"/>
  <c r="B32" i="6"/>
  <c r="B26" i="6"/>
  <c r="F26" i="6" s="1"/>
  <c r="C30" i="6"/>
  <c r="N33" i="6" a="1"/>
  <c r="N33" i="6" s="1"/>
  <c r="N32" i="6" a="1"/>
  <c r="N32" i="6" s="1"/>
  <c r="G32" i="6"/>
  <c r="E32" i="6" s="1"/>
  <c r="G31" i="6"/>
  <c r="E31" i="6" s="1"/>
  <c r="N30" i="6" a="1"/>
  <c r="N30" i="6" s="1"/>
  <c r="N29" i="6" a="1"/>
  <c r="N29" i="6" s="1"/>
  <c r="R28" i="6"/>
  <c r="M28" i="6" a="1"/>
  <c r="M28" i="6" s="1"/>
  <c r="Q27" i="6"/>
  <c r="L27" i="6"/>
  <c r="Q26" i="6"/>
  <c r="L26" i="6"/>
  <c r="E34" i="6"/>
  <c r="J29" i="6"/>
  <c r="E33" i="6"/>
  <c r="E27" i="6"/>
  <c r="J34" i="6"/>
  <c r="I29" i="6"/>
  <c r="I34" i="6"/>
  <c r="J33" i="6"/>
  <c r="J27" i="6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F14" i="6" s="1"/>
  <c r="C22" i="6"/>
  <c r="C15" i="6"/>
  <c r="Q25" i="6"/>
  <c r="L25" i="6"/>
  <c r="P24" i="6"/>
  <c r="K24" i="6"/>
  <c r="O23" i="6"/>
  <c r="G22" i="6"/>
  <c r="I22" i="6" s="1"/>
  <c r="N21" i="6" a="1"/>
  <c r="N21" i="6" s="1"/>
  <c r="R20" i="6"/>
  <c r="M20" i="6" a="1"/>
  <c r="M20" i="6" s="1"/>
  <c r="Q19" i="6"/>
  <c r="L19" i="6"/>
  <c r="P18" i="6"/>
  <c r="K18" i="6"/>
  <c r="O17" i="6"/>
  <c r="G16" i="6"/>
  <c r="I16" i="6" s="1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B20" i="6"/>
  <c r="F20" i="6" s="1"/>
  <c r="B13" i="6"/>
  <c r="C21" i="6"/>
  <c r="C14" i="6"/>
  <c r="P25" i="6"/>
  <c r="K25" i="6"/>
  <c r="O24" i="6"/>
  <c r="G23" i="6"/>
  <c r="I23" i="6" s="1"/>
  <c r="N22" i="6" a="1"/>
  <c r="N22" i="6" s="1"/>
  <c r="R21" i="6"/>
  <c r="M21" i="6" a="1"/>
  <c r="M21" i="6" s="1"/>
  <c r="Q20" i="6"/>
  <c r="L20" i="6"/>
  <c r="P19" i="6"/>
  <c r="K19" i="6"/>
  <c r="O18" i="6"/>
  <c r="G17" i="6"/>
  <c r="H17" i="6" s="1"/>
  <c r="N16" i="6" a="1"/>
  <c r="N16" i="6" s="1"/>
  <c r="R15" i="6"/>
  <c r="M15" i="6" a="1"/>
  <c r="M15" i="6" s="1"/>
  <c r="Q14" i="6"/>
  <c r="L14" i="6"/>
  <c r="P13" i="6"/>
  <c r="K13" i="6"/>
  <c r="O12" i="6"/>
  <c r="G11" i="6"/>
  <c r="M10" i="6" a="1"/>
  <c r="M10" i="6" s="1"/>
  <c r="B25" i="6"/>
  <c r="F25" i="6" s="1"/>
  <c r="B18" i="6"/>
  <c r="F18" i="6" s="1"/>
  <c r="B12" i="6"/>
  <c r="F12" i="6" s="1"/>
  <c r="C20" i="6"/>
  <c r="C13" i="6"/>
  <c r="O25" i="6"/>
  <c r="G24" i="6"/>
  <c r="H24" i="6" s="1"/>
  <c r="N23" i="6" a="1"/>
  <c r="N23" i="6" s="1"/>
  <c r="R22" i="6"/>
  <c r="M22" i="6" a="1"/>
  <c r="M22" i="6" s="1"/>
  <c r="Q21" i="6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I12" i="6" s="1"/>
  <c r="N11" i="6" a="1"/>
  <c r="N11" i="6" s="1"/>
  <c r="R10" i="6"/>
  <c r="L10" i="6"/>
  <c r="B24" i="6"/>
  <c r="F24" i="6" s="1"/>
  <c r="B17" i="6"/>
  <c r="B11" i="6"/>
  <c r="F11" i="6" s="1"/>
  <c r="C25" i="6"/>
  <c r="C18" i="6"/>
  <c r="C12" i="6"/>
  <c r="G25" i="6"/>
  <c r="H25" i="6" s="1"/>
  <c r="N24" i="6" a="1"/>
  <c r="N24" i="6" s="1"/>
  <c r="R23" i="6"/>
  <c r="M23" i="6" a="1"/>
  <c r="M23" i="6" s="1"/>
  <c r="Q22" i="6"/>
  <c r="L22" i="6"/>
  <c r="P21" i="6"/>
  <c r="K21" i="6"/>
  <c r="O20" i="6"/>
  <c r="G19" i="6"/>
  <c r="H19" i="6" s="1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I13" i="6" s="1"/>
  <c r="N12" i="6" a="1"/>
  <c r="N12" i="6" s="1"/>
  <c r="R11" i="6"/>
  <c r="M11" i="6" a="1"/>
  <c r="M11" i="6" s="1"/>
  <c r="Q10" i="6"/>
  <c r="AB10" i="6" s="1"/>
  <c r="K10" i="6"/>
  <c r="B23" i="6"/>
  <c r="B16" i="6"/>
  <c r="F16" i="6" s="1"/>
  <c r="B10" i="6"/>
  <c r="F10" i="6" s="1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H20" i="6" s="1"/>
  <c r="N19" i="6" a="1"/>
  <c r="N19" i="6" s="1"/>
  <c r="R18" i="6"/>
  <c r="M18" i="6" a="1"/>
  <c r="M18" i="6" s="1"/>
  <c r="Q17" i="6"/>
  <c r="L17" i="6"/>
  <c r="P16" i="6"/>
  <c r="K16" i="6"/>
  <c r="O15" i="6"/>
  <c r="G14" i="6"/>
  <c r="I14" i="6" s="1"/>
  <c r="N13" i="6" a="1"/>
  <c r="N13" i="6" s="1"/>
  <c r="R12" i="6"/>
  <c r="M12" i="6" a="1"/>
  <c r="M12" i="6" s="1"/>
  <c r="Q11" i="6"/>
  <c r="L11" i="6"/>
  <c r="P10" i="6"/>
  <c r="Q15" i="3"/>
  <c r="Q21" i="3"/>
  <c r="Q14" i="3"/>
  <c r="B22" i="6"/>
  <c r="F22" i="6" s="1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I15" i="6" s="1"/>
  <c r="N14" i="6" a="1"/>
  <c r="N14" i="6" s="1"/>
  <c r="R13" i="6"/>
  <c r="M13" i="6" a="1"/>
  <c r="M13" i="6" s="1"/>
  <c r="Q12" i="6"/>
  <c r="L12" i="6"/>
  <c r="P11" i="6"/>
  <c r="K11" i="6"/>
  <c r="O10" i="6"/>
  <c r="G10" i="6"/>
  <c r="J10" i="6" s="1"/>
  <c r="I24" i="6"/>
  <c r="H23" i="6"/>
  <c r="I19" i="6"/>
  <c r="H16" i="6"/>
  <c r="I11" i="6"/>
  <c r="C19" i="6"/>
  <c r="B19" i="6"/>
  <c r="F19" i="6" s="1"/>
  <c r="Q19" i="3"/>
  <c r="F32" i="6"/>
  <c r="F811" i="6"/>
  <c r="F793" i="6"/>
  <c r="F739" i="6"/>
  <c r="F775" i="6"/>
  <c r="F757" i="6"/>
  <c r="F703" i="6"/>
  <c r="F631" i="6"/>
  <c r="F577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721" i="6"/>
  <c r="F649" i="6"/>
  <c r="F595" i="6"/>
  <c r="F50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15" i="6"/>
  <c r="F21" i="6"/>
  <c r="F388" i="6"/>
  <c r="F394" i="6"/>
  <c r="F400" i="6"/>
  <c r="F406" i="6"/>
  <c r="F412" i="6"/>
  <c r="F418" i="6"/>
  <c r="F424" i="6"/>
  <c r="F430" i="6"/>
  <c r="F436" i="6"/>
  <c r="F442" i="6"/>
  <c r="F28" i="6"/>
  <c r="F34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7" i="6"/>
  <c r="F23" i="6"/>
  <c r="F29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30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31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459" i="6"/>
  <c r="F429" i="6"/>
  <c r="F393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447" i="6"/>
  <c r="F411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A3" i="3"/>
  <c r="A3" i="6" s="1"/>
  <c r="R3" i="6"/>
  <c r="N3" i="6" a="1"/>
  <c r="N3" i="6" s="1"/>
  <c r="K3" i="6"/>
  <c r="Q3" i="6"/>
  <c r="P3" i="6"/>
  <c r="A7" i="3"/>
  <c r="A7" i="6" s="1"/>
  <c r="Q7" i="6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K83" i="12"/>
  <c r="K107" i="12"/>
  <c r="K131" i="12"/>
  <c r="K155" i="12"/>
  <c r="K179" i="12"/>
  <c r="K203" i="12"/>
  <c r="K227" i="12"/>
  <c r="K251" i="12"/>
  <c r="K275" i="12"/>
  <c r="K299" i="12"/>
  <c r="K323" i="12"/>
  <c r="K347" i="12"/>
  <c r="K371" i="12"/>
  <c r="K395" i="12"/>
  <c r="K419" i="12"/>
  <c r="K443" i="12"/>
  <c r="K467" i="12"/>
  <c r="K122" i="12"/>
  <c r="K202" i="12"/>
  <c r="K274" i="12"/>
  <c r="K342" i="12"/>
  <c r="K414" i="12"/>
  <c r="K104" i="12"/>
  <c r="K128" i="12"/>
  <c r="K152" i="12"/>
  <c r="K176" i="12"/>
  <c r="K200" i="12"/>
  <c r="K224" i="12"/>
  <c r="K248" i="12"/>
  <c r="K272" i="12"/>
  <c r="K296" i="12"/>
  <c r="K320" i="12"/>
  <c r="K344" i="12"/>
  <c r="K368" i="12"/>
  <c r="K392" i="12"/>
  <c r="K416" i="12"/>
  <c r="K440" i="12"/>
  <c r="K464" i="12"/>
  <c r="K130" i="12"/>
  <c r="K198" i="12"/>
  <c r="K270" i="12"/>
  <c r="K350" i="12"/>
  <c r="K422" i="12"/>
  <c r="K101" i="12"/>
  <c r="K125" i="12"/>
  <c r="K149" i="12"/>
  <c r="K173" i="12"/>
  <c r="K197" i="12"/>
  <c r="K221" i="12"/>
  <c r="K245" i="12"/>
  <c r="K269" i="12"/>
  <c r="K293" i="12"/>
  <c r="K317" i="12"/>
  <c r="K87" i="12"/>
  <c r="K111" i="12"/>
  <c r="K135" i="12"/>
  <c r="K159" i="12"/>
  <c r="K183" i="12"/>
  <c r="K207" i="12"/>
  <c r="K231" i="12"/>
  <c r="K255" i="12"/>
  <c r="K279" i="12"/>
  <c r="K303" i="12"/>
  <c r="K327" i="12"/>
  <c r="K351" i="12"/>
  <c r="K375" i="12"/>
  <c r="K399" i="12"/>
  <c r="K423" i="12"/>
  <c r="K447" i="12"/>
  <c r="K471" i="12"/>
  <c r="K142" i="12"/>
  <c r="K214" i="12"/>
  <c r="K286" i="12"/>
  <c r="K354" i="12"/>
  <c r="K84" i="12"/>
  <c r="K108" i="12"/>
  <c r="K132" i="12"/>
  <c r="K156" i="12"/>
  <c r="K180" i="12"/>
  <c r="K204" i="12"/>
  <c r="K228" i="12"/>
  <c r="K252" i="12"/>
  <c r="K276" i="12"/>
  <c r="K300" i="12"/>
  <c r="K324" i="12"/>
  <c r="K348" i="12"/>
  <c r="K372" i="12"/>
  <c r="K396" i="12"/>
  <c r="K420" i="12"/>
  <c r="K444" i="12"/>
  <c r="K468" i="12"/>
  <c r="K138" i="12"/>
  <c r="K210" i="12"/>
  <c r="K282" i="12"/>
  <c r="K362" i="12"/>
  <c r="K434" i="12"/>
  <c r="K105" i="12"/>
  <c r="K129" i="12"/>
  <c r="K153" i="12"/>
  <c r="K177" i="12"/>
  <c r="K201" i="12"/>
  <c r="K225" i="12"/>
  <c r="K249" i="12"/>
  <c r="K273" i="12"/>
  <c r="K91" i="12"/>
  <c r="K115" i="12"/>
  <c r="K139" i="12"/>
  <c r="K163" i="12"/>
  <c r="K187" i="12"/>
  <c r="K211" i="12"/>
  <c r="K235" i="12"/>
  <c r="K259" i="12"/>
  <c r="K283" i="12"/>
  <c r="K307" i="12"/>
  <c r="K331" i="12"/>
  <c r="K355" i="12"/>
  <c r="K379" i="12"/>
  <c r="K403" i="12"/>
  <c r="K427" i="12"/>
  <c r="K451" i="12"/>
  <c r="K475" i="12"/>
  <c r="K154" i="12"/>
  <c r="K226" i="12"/>
  <c r="K294" i="12"/>
  <c r="K366" i="12"/>
  <c r="K88" i="12"/>
  <c r="K112" i="12"/>
  <c r="K136" i="12"/>
  <c r="K160" i="12"/>
  <c r="K184" i="12"/>
  <c r="K208" i="12"/>
  <c r="K232" i="12"/>
  <c r="K256" i="12"/>
  <c r="K280" i="12"/>
  <c r="K304" i="12"/>
  <c r="K328" i="12"/>
  <c r="K352" i="12"/>
  <c r="K376" i="12"/>
  <c r="K400" i="12"/>
  <c r="K424" i="12"/>
  <c r="K448" i="12"/>
  <c r="K472" i="12"/>
  <c r="K150" i="12"/>
  <c r="K222" i="12"/>
  <c r="K302" i="12"/>
  <c r="K374" i="12"/>
  <c r="K85" i="12"/>
  <c r="K109" i="12"/>
  <c r="K133" i="12"/>
  <c r="K157" i="12"/>
  <c r="K181" i="12"/>
  <c r="K205" i="12"/>
  <c r="K229" i="12"/>
  <c r="K253" i="12"/>
  <c r="K277" i="12"/>
  <c r="K301" i="12"/>
  <c r="K325" i="12"/>
  <c r="K349" i="12"/>
  <c r="K373" i="12"/>
  <c r="K397" i="12"/>
  <c r="K421" i="12"/>
  <c r="K445" i="12"/>
  <c r="K469" i="12"/>
  <c r="K134" i="12"/>
  <c r="K206" i="12"/>
  <c r="K278" i="12"/>
  <c r="K346" i="12"/>
  <c r="K418" i="12"/>
  <c r="K430" i="12"/>
  <c r="K474" i="12"/>
  <c r="H104" i="12"/>
  <c r="H116" i="12"/>
  <c r="H128" i="12"/>
  <c r="J101" i="12"/>
  <c r="J113" i="12"/>
  <c r="H105" i="12"/>
  <c r="H125" i="12"/>
  <c r="J139" i="12"/>
  <c r="J104" i="12"/>
  <c r="J127" i="12"/>
  <c r="H141" i="12"/>
  <c r="H107" i="12"/>
  <c r="J144" i="12"/>
  <c r="H157" i="12"/>
  <c r="H169" i="12"/>
  <c r="J110" i="12"/>
  <c r="H146" i="12"/>
  <c r="J162" i="12"/>
  <c r="J174" i="12"/>
  <c r="J186" i="12"/>
  <c r="J198" i="12"/>
  <c r="J152" i="12"/>
  <c r="H174" i="12"/>
  <c r="H190" i="12"/>
  <c r="H206" i="12"/>
  <c r="H218" i="12"/>
  <c r="H230" i="12"/>
  <c r="J114" i="12"/>
  <c r="J157" i="12"/>
  <c r="H180" i="12"/>
  <c r="H196" i="12"/>
  <c r="J209" i="12"/>
  <c r="J221" i="12"/>
  <c r="J233" i="12"/>
  <c r="J245" i="12"/>
  <c r="J126" i="12"/>
  <c r="H187" i="12"/>
  <c r="H215" i="12"/>
  <c r="H239" i="12"/>
  <c r="H257" i="12"/>
  <c r="H269" i="12"/>
  <c r="H281" i="12"/>
  <c r="H293" i="12"/>
  <c r="H305" i="12"/>
  <c r="H317" i="12"/>
  <c r="H329" i="12"/>
  <c r="H341" i="12"/>
  <c r="H353" i="12"/>
  <c r="J167" i="12"/>
  <c r="H201" i="12"/>
  <c r="J222" i="12"/>
  <c r="H245" i="12"/>
  <c r="J258" i="12"/>
  <c r="J270" i="12"/>
  <c r="J282" i="12"/>
  <c r="J294" i="12"/>
  <c r="J306" i="12"/>
  <c r="J318" i="12"/>
  <c r="J330" i="12"/>
  <c r="J342" i="12"/>
  <c r="H176" i="12"/>
  <c r="K95" i="12"/>
  <c r="K119" i="12"/>
  <c r="K143" i="12"/>
  <c r="K167" i="12"/>
  <c r="K191" i="12"/>
  <c r="K215" i="12"/>
  <c r="K239" i="12"/>
  <c r="K263" i="12"/>
  <c r="K287" i="12"/>
  <c r="K311" i="12"/>
  <c r="K335" i="12"/>
  <c r="K359" i="12"/>
  <c r="K383" i="12"/>
  <c r="K407" i="12"/>
  <c r="K431" i="12"/>
  <c r="K455" i="12"/>
  <c r="K94" i="12"/>
  <c r="K166" i="12"/>
  <c r="K238" i="12"/>
  <c r="K306" i="12"/>
  <c r="K378" i="12"/>
  <c r="K92" i="12"/>
  <c r="K116" i="12"/>
  <c r="K140" i="12"/>
  <c r="K164" i="12"/>
  <c r="K188" i="12"/>
  <c r="K212" i="12"/>
  <c r="K236" i="12"/>
  <c r="K260" i="12"/>
  <c r="K284" i="12"/>
  <c r="K308" i="12"/>
  <c r="K332" i="12"/>
  <c r="K356" i="12"/>
  <c r="K380" i="12"/>
  <c r="K404" i="12"/>
  <c r="K428" i="12"/>
  <c r="K452" i="12"/>
  <c r="K90" i="12"/>
  <c r="K162" i="12"/>
  <c r="K234" i="12"/>
  <c r="K314" i="12"/>
  <c r="K386" i="12"/>
  <c r="K89" i="12"/>
  <c r="K113" i="12"/>
  <c r="K137" i="12"/>
  <c r="K161" i="12"/>
  <c r="K185" i="12"/>
  <c r="K209" i="12"/>
  <c r="K233" i="12"/>
  <c r="K257" i="12"/>
  <c r="K281" i="12"/>
  <c r="K305" i="12"/>
  <c r="K329" i="12"/>
  <c r="K353" i="12"/>
  <c r="K377" i="12"/>
  <c r="K401" i="12"/>
  <c r="K425" i="12"/>
  <c r="K449" i="12"/>
  <c r="K473" i="12"/>
  <c r="K146" i="12"/>
  <c r="K218" i="12"/>
  <c r="K290" i="12"/>
  <c r="K358" i="12"/>
  <c r="K426" i="12"/>
  <c r="K450" i="12"/>
  <c r="J123" i="12"/>
  <c r="H106" i="12"/>
  <c r="H118" i="12"/>
  <c r="H130" i="12"/>
  <c r="J103" i="12"/>
  <c r="J115" i="12"/>
  <c r="H109" i="12"/>
  <c r="J129" i="12"/>
  <c r="J141" i="12"/>
  <c r="J108" i="12"/>
  <c r="J128" i="12"/>
  <c r="H143" i="12"/>
  <c r="H115" i="12"/>
  <c r="J148" i="12"/>
  <c r="H159" i="12"/>
  <c r="H171" i="12"/>
  <c r="J118" i="12"/>
  <c r="H150" i="12"/>
  <c r="J164" i="12"/>
  <c r="J176" i="12"/>
  <c r="J188" i="12"/>
  <c r="J200" i="12"/>
  <c r="H154" i="12"/>
  <c r="H178" i="12"/>
  <c r="H191" i="12"/>
  <c r="H208" i="12"/>
  <c r="H220" i="12"/>
  <c r="H232" i="12"/>
  <c r="H140" i="12"/>
  <c r="J161" i="12"/>
  <c r="H181" i="12"/>
  <c r="H197" i="12"/>
  <c r="J211" i="12"/>
  <c r="J223" i="12"/>
  <c r="J235" i="12"/>
  <c r="J247" i="12"/>
  <c r="J142" i="12"/>
  <c r="J191" i="12"/>
  <c r="H219" i="12"/>
  <c r="J244" i="12"/>
  <c r="H259" i="12"/>
  <c r="H271" i="12"/>
  <c r="H283" i="12"/>
  <c r="H295" i="12"/>
  <c r="H307" i="12"/>
  <c r="H319" i="12"/>
  <c r="H331" i="12"/>
  <c r="H343" i="12"/>
  <c r="H355" i="12"/>
  <c r="J175" i="12"/>
  <c r="J205" i="12"/>
  <c r="J226" i="12"/>
  <c r="H246" i="12"/>
  <c r="J260" i="12"/>
  <c r="J272" i="12"/>
  <c r="J284" i="12"/>
  <c r="J296" i="12"/>
  <c r="J308" i="12"/>
  <c r="J320" i="12"/>
  <c r="J332" i="12"/>
  <c r="J344" i="12"/>
  <c r="H179" i="12"/>
  <c r="K99" i="12"/>
  <c r="K123" i="12"/>
  <c r="K147" i="12"/>
  <c r="K171" i="12"/>
  <c r="K195" i="12"/>
  <c r="K219" i="12"/>
  <c r="K243" i="12"/>
  <c r="K267" i="12"/>
  <c r="K291" i="12"/>
  <c r="K315" i="12"/>
  <c r="K339" i="12"/>
  <c r="K363" i="12"/>
  <c r="K387" i="12"/>
  <c r="K411" i="12"/>
  <c r="K435" i="12"/>
  <c r="K459" i="12"/>
  <c r="K98" i="12"/>
  <c r="K178" i="12"/>
  <c r="K250" i="12"/>
  <c r="K318" i="12"/>
  <c r="K390" i="12"/>
  <c r="K96" i="12"/>
  <c r="K120" i="12"/>
  <c r="K144" i="12"/>
  <c r="K168" i="12"/>
  <c r="K192" i="12"/>
  <c r="K216" i="12"/>
  <c r="K240" i="12"/>
  <c r="K264" i="12"/>
  <c r="K288" i="12"/>
  <c r="K312" i="12"/>
  <c r="K336" i="12"/>
  <c r="K360" i="12"/>
  <c r="K384" i="12"/>
  <c r="K408" i="12"/>
  <c r="K432" i="12"/>
  <c r="K456" i="12"/>
  <c r="K106" i="12"/>
  <c r="K174" i="12"/>
  <c r="K246" i="12"/>
  <c r="K326" i="12"/>
  <c r="K398" i="12"/>
  <c r="K93" i="12"/>
  <c r="K117" i="12"/>
  <c r="K141" i="12"/>
  <c r="K165" i="12"/>
  <c r="K189" i="12"/>
  <c r="K213" i="12"/>
  <c r="K237" i="12"/>
  <c r="K261" i="12"/>
  <c r="K285" i="12"/>
  <c r="K309" i="12"/>
  <c r="K333" i="12"/>
  <c r="K357" i="12"/>
  <c r="K381" i="12"/>
  <c r="K405" i="12"/>
  <c r="K429" i="12"/>
  <c r="K453" i="12"/>
  <c r="K86" i="12"/>
  <c r="K158" i="12"/>
  <c r="K230" i="12"/>
  <c r="K298" i="12"/>
  <c r="K370" i="12"/>
  <c r="K446" i="12"/>
  <c r="K466" i="12"/>
  <c r="J124" i="12"/>
  <c r="H108" i="12"/>
  <c r="H120" i="12"/>
  <c r="H132" i="12"/>
  <c r="J105" i="12"/>
  <c r="J117" i="12"/>
  <c r="H113" i="12"/>
  <c r="J130" i="12"/>
  <c r="J143" i="12"/>
  <c r="J112" i="12"/>
  <c r="H131" i="12"/>
  <c r="H145" i="12"/>
  <c r="H129" i="12"/>
  <c r="J149" i="12"/>
  <c r="H161" i="12"/>
  <c r="H173" i="12"/>
  <c r="H127" i="12"/>
  <c r="J154" i="12"/>
  <c r="J166" i="12"/>
  <c r="J178" i="12"/>
  <c r="J190" i="12"/>
  <c r="J202" i="12"/>
  <c r="H158" i="12"/>
  <c r="J179" i="12"/>
  <c r="J195" i="12"/>
  <c r="K103" i="12"/>
  <c r="K127" i="12"/>
  <c r="K151" i="12"/>
  <c r="K175" i="12"/>
  <c r="K199" i="12"/>
  <c r="K223" i="12"/>
  <c r="K247" i="12"/>
  <c r="K271" i="12"/>
  <c r="K295" i="12"/>
  <c r="K319" i="12"/>
  <c r="K343" i="12"/>
  <c r="K367" i="12"/>
  <c r="K391" i="12"/>
  <c r="K415" i="12"/>
  <c r="K439" i="12"/>
  <c r="K463" i="12"/>
  <c r="K110" i="12"/>
  <c r="K186" i="12"/>
  <c r="K262" i="12"/>
  <c r="K330" i="12"/>
  <c r="K402" i="12"/>
  <c r="K100" i="12"/>
  <c r="K124" i="12"/>
  <c r="K148" i="12"/>
  <c r="K172" i="12"/>
  <c r="K196" i="12"/>
  <c r="K220" i="12"/>
  <c r="K244" i="12"/>
  <c r="K268" i="12"/>
  <c r="K292" i="12"/>
  <c r="K316" i="12"/>
  <c r="K340" i="12"/>
  <c r="K364" i="12"/>
  <c r="K388" i="12"/>
  <c r="K412" i="12"/>
  <c r="K436" i="12"/>
  <c r="K460" i="12"/>
  <c r="K118" i="12"/>
  <c r="K190" i="12"/>
  <c r="K258" i="12"/>
  <c r="K338" i="12"/>
  <c r="K410" i="12"/>
  <c r="K97" i="12"/>
  <c r="K121" i="12"/>
  <c r="K145" i="12"/>
  <c r="K169" i="12"/>
  <c r="K193" i="12"/>
  <c r="K217" i="12"/>
  <c r="K241" i="12"/>
  <c r="K265" i="12"/>
  <c r="K289" i="12"/>
  <c r="K313" i="12"/>
  <c r="K337" i="12"/>
  <c r="K361" i="12"/>
  <c r="K385" i="12"/>
  <c r="K409" i="12"/>
  <c r="K433" i="12"/>
  <c r="K457" i="12"/>
  <c r="K102" i="12"/>
  <c r="K170" i="12"/>
  <c r="K242" i="12"/>
  <c r="K310" i="12"/>
  <c r="K382" i="12"/>
  <c r="K462" i="12"/>
  <c r="K454" i="12"/>
  <c r="J125" i="12"/>
  <c r="H110" i="12"/>
  <c r="H122" i="12"/>
  <c r="H134" i="12"/>
  <c r="J107" i="12"/>
  <c r="J119" i="12"/>
  <c r="H117" i="12"/>
  <c r="H133" i="12"/>
  <c r="J145" i="12"/>
  <c r="J116" i="12"/>
  <c r="J135" i="12"/>
  <c r="H147" i="12"/>
  <c r="J133" i="12"/>
  <c r="H152" i="12"/>
  <c r="H163" i="12"/>
  <c r="H175" i="12"/>
  <c r="J131" i="12"/>
  <c r="J156" i="12"/>
  <c r="J168" i="12"/>
  <c r="J180" i="12"/>
  <c r="J192" i="12"/>
  <c r="J204" i="12"/>
  <c r="H162" i="12"/>
  <c r="H182" i="12"/>
  <c r="H198" i="12"/>
  <c r="H212" i="12"/>
  <c r="H224" i="12"/>
  <c r="H236" i="12"/>
  <c r="J150" i="12"/>
  <c r="J169" i="12"/>
  <c r="H188" i="12"/>
  <c r="H204" i="12"/>
  <c r="J215" i="12"/>
  <c r="J227" i="12"/>
  <c r="J239" i="12"/>
  <c r="J251" i="12"/>
  <c r="H164" i="12"/>
  <c r="H203" i="12"/>
  <c r="H227" i="12"/>
  <c r="H248" i="12"/>
  <c r="H263" i="12"/>
  <c r="H275" i="12"/>
  <c r="H287" i="12"/>
  <c r="H299" i="12"/>
  <c r="H311" i="12"/>
  <c r="H323" i="12"/>
  <c r="H335" i="12"/>
  <c r="H347" i="12"/>
  <c r="H359" i="12"/>
  <c r="H185" i="12"/>
  <c r="J210" i="12"/>
  <c r="J234" i="12"/>
  <c r="H253" i="12"/>
  <c r="J264" i="12"/>
  <c r="J276" i="12"/>
  <c r="J288" i="12"/>
  <c r="J300" i="12"/>
  <c r="J312" i="12"/>
  <c r="J324" i="12"/>
  <c r="J336" i="12"/>
  <c r="H119" i="12"/>
  <c r="H194" i="12"/>
  <c r="J230" i="12"/>
  <c r="J413" i="12"/>
  <c r="H142" i="12"/>
  <c r="H349" i="12"/>
  <c r="J314" i="12"/>
  <c r="H254" i="12"/>
  <c r="J348" i="12"/>
  <c r="H385" i="12"/>
  <c r="H409" i="12"/>
  <c r="H249" i="12"/>
  <c r="J297" i="12"/>
  <c r="J362" i="12"/>
  <c r="J386" i="12"/>
  <c r="J422" i="12"/>
  <c r="J236" i="12"/>
  <c r="H264" i="12"/>
  <c r="J393" i="12"/>
  <c r="H284" i="12"/>
  <c r="H388" i="12"/>
  <c r="H244" i="12"/>
  <c r="J383" i="12"/>
  <c r="H370" i="12"/>
  <c r="H250" i="12"/>
  <c r="J400" i="12"/>
  <c r="H242" i="12"/>
  <c r="H354" i="12"/>
  <c r="J421" i="12"/>
  <c r="H392" i="12"/>
  <c r="J248" i="12"/>
  <c r="J411" i="12"/>
  <c r="J401" i="12"/>
  <c r="H420" i="12"/>
  <c r="J391" i="12"/>
  <c r="J271" i="12"/>
  <c r="K321" i="12"/>
  <c r="K393" i="12"/>
  <c r="K266" i="12"/>
  <c r="K470" i="12"/>
  <c r="H114" i="12"/>
  <c r="J111" i="12"/>
  <c r="J138" i="12"/>
  <c r="H155" i="12"/>
  <c r="H170" i="12"/>
  <c r="J173" i="12"/>
  <c r="H207" i="12"/>
  <c r="H301" i="12"/>
  <c r="J238" i="12"/>
  <c r="J338" i="12"/>
  <c r="H302" i="12"/>
  <c r="H373" i="12"/>
  <c r="H192" i="12"/>
  <c r="J345" i="12"/>
  <c r="J410" i="12"/>
  <c r="J283" i="12"/>
  <c r="J369" i="12"/>
  <c r="H382" i="12"/>
  <c r="H412" i="12"/>
  <c r="J353" i="12"/>
  <c r="H272" i="12"/>
  <c r="J277" i="12"/>
  <c r="J364" i="12"/>
  <c r="J412" i="12"/>
  <c r="J291" i="12"/>
  <c r="J373" i="12"/>
  <c r="H402" i="12"/>
  <c r="H362" i="12"/>
  <c r="J387" i="12"/>
  <c r="H386" i="12"/>
  <c r="H209" i="12"/>
  <c r="H396" i="12"/>
  <c r="J367" i="12"/>
  <c r="H418" i="12"/>
  <c r="J395" i="12"/>
  <c r="K341" i="12"/>
  <c r="K413" i="12"/>
  <c r="K114" i="12"/>
  <c r="K322" i="12"/>
  <c r="K442" i="12"/>
  <c r="H124" i="12"/>
  <c r="J121" i="12"/>
  <c r="J147" i="12"/>
  <c r="H149" i="12"/>
  <c r="H165" i="12"/>
  <c r="J158" i="12"/>
  <c r="J194" i="12"/>
  <c r="H183" i="12"/>
  <c r="H216" i="12"/>
  <c r="H240" i="12"/>
  <c r="J177" i="12"/>
  <c r="J207" i="12"/>
  <c r="J231" i="12"/>
  <c r="H103" i="12"/>
  <c r="H211" i="12"/>
  <c r="H255" i="12"/>
  <c r="H279" i="12"/>
  <c r="H303" i="12"/>
  <c r="H327" i="12"/>
  <c r="H351" i="12"/>
  <c r="H200" i="12"/>
  <c r="J242" i="12"/>
  <c r="J268" i="12"/>
  <c r="J292" i="12"/>
  <c r="J316" i="12"/>
  <c r="J340" i="12"/>
  <c r="H221" i="12"/>
  <c r="H258" i="12"/>
  <c r="H282" i="12"/>
  <c r="H306" i="12"/>
  <c r="H330" i="12"/>
  <c r="J349" i="12"/>
  <c r="H363" i="12"/>
  <c r="H375" i="12"/>
  <c r="H387" i="12"/>
  <c r="H399" i="12"/>
  <c r="H411" i="12"/>
  <c r="H423" i="12"/>
  <c r="J301" i="12"/>
  <c r="J325" i="12"/>
  <c r="J347" i="12"/>
  <c r="J376" i="12"/>
  <c r="H193" i="12"/>
  <c r="J287" i="12"/>
  <c r="H368" i="12"/>
  <c r="J363" i="12"/>
  <c r="H414" i="12"/>
  <c r="H406" i="12"/>
  <c r="H366" i="12"/>
  <c r="J415" i="12"/>
  <c r="H378" i="12"/>
  <c r="J99" i="12"/>
  <c r="K345" i="12"/>
  <c r="K417" i="12"/>
  <c r="K126" i="12"/>
  <c r="K334" i="12"/>
  <c r="K458" i="12"/>
  <c r="H126" i="12"/>
  <c r="H101" i="12"/>
  <c r="J100" i="12"/>
  <c r="H151" i="12"/>
  <c r="H167" i="12"/>
  <c r="J160" i="12"/>
  <c r="J196" i="12"/>
  <c r="J187" i="12"/>
  <c r="H222" i="12"/>
  <c r="H148" i="12"/>
  <c r="J185" i="12"/>
  <c r="J213" i="12"/>
  <c r="J237" i="12"/>
  <c r="H156" i="12"/>
  <c r="H223" i="12"/>
  <c r="H261" i="12"/>
  <c r="H285" i="12"/>
  <c r="H309" i="12"/>
  <c r="H333" i="12"/>
  <c r="H357" i="12"/>
  <c r="J206" i="12"/>
  <c r="J250" i="12"/>
  <c r="J274" i="12"/>
  <c r="J298" i="12"/>
  <c r="J322" i="12"/>
  <c r="J346" i="12"/>
  <c r="H229" i="12"/>
  <c r="H262" i="12"/>
  <c r="H286" i="12"/>
  <c r="H310" i="12"/>
  <c r="H334" i="12"/>
  <c r="H352" i="12"/>
  <c r="H365" i="12"/>
  <c r="H377" i="12"/>
  <c r="H389" i="12"/>
  <c r="H401" i="12"/>
  <c r="H413" i="12"/>
  <c r="J106" i="12"/>
  <c r="J216" i="12"/>
  <c r="J257" i="12"/>
  <c r="J281" i="12"/>
  <c r="J305" i="12"/>
  <c r="J329" i="12"/>
  <c r="H350" i="12"/>
  <c r="J366" i="12"/>
  <c r="J378" i="12"/>
  <c r="J390" i="12"/>
  <c r="J402" i="12"/>
  <c r="J414" i="12"/>
  <c r="J197" i="12"/>
  <c r="J199" i="12"/>
  <c r="J246" i="12"/>
  <c r="J299" i="12"/>
  <c r="J350" i="12"/>
  <c r="H292" i="12"/>
  <c r="J377" i="12"/>
  <c r="J311" i="12"/>
  <c r="H372" i="12"/>
  <c r="H312" i="12"/>
  <c r="H390" i="12"/>
  <c r="J419" i="12"/>
  <c r="K365" i="12"/>
  <c r="K437" i="12"/>
  <c r="K182" i="12"/>
  <c r="K394" i="12"/>
  <c r="H100" i="12"/>
  <c r="H136" i="12"/>
  <c r="H121" i="12"/>
  <c r="J120" i="12"/>
  <c r="J134" i="12"/>
  <c r="H177" i="12"/>
  <c r="J170" i="12"/>
  <c r="H111" i="12"/>
  <c r="H199" i="12"/>
  <c r="H226" i="12"/>
  <c r="J151" i="12"/>
  <c r="H189" i="12"/>
  <c r="J217" i="12"/>
  <c r="J241" i="12"/>
  <c r="H172" i="12"/>
  <c r="H231" i="12"/>
  <c r="H265" i="12"/>
  <c r="H289" i="12"/>
  <c r="H313" i="12"/>
  <c r="H337" i="12"/>
  <c r="H135" i="12"/>
  <c r="J214" i="12"/>
  <c r="J254" i="12"/>
  <c r="J278" i="12"/>
  <c r="J302" i="12"/>
  <c r="J326" i="12"/>
  <c r="H137" i="12"/>
  <c r="H237" i="12"/>
  <c r="H266" i="12"/>
  <c r="H290" i="12"/>
  <c r="H314" i="12"/>
  <c r="H338" i="12"/>
  <c r="J356" i="12"/>
  <c r="H367" i="12"/>
  <c r="H379" i="12"/>
  <c r="H391" i="12"/>
  <c r="H403" i="12"/>
  <c r="H415" i="12"/>
  <c r="H144" i="12"/>
  <c r="J224" i="12"/>
  <c r="J261" i="12"/>
  <c r="J285" i="12"/>
  <c r="J309" i="12"/>
  <c r="J333" i="12"/>
  <c r="J354" i="12"/>
  <c r="J368" i="12"/>
  <c r="J380" i="12"/>
  <c r="J392" i="12"/>
  <c r="J404" i="12"/>
  <c r="J416" i="12"/>
  <c r="J212" i="12"/>
  <c r="J155" i="12"/>
  <c r="J259" i="12"/>
  <c r="J307" i="12"/>
  <c r="J351" i="12"/>
  <c r="H296" i="12"/>
  <c r="J359" i="12"/>
  <c r="J381" i="12"/>
  <c r="J405" i="12"/>
  <c r="J295" i="12"/>
  <c r="H225" i="12"/>
  <c r="H316" i="12"/>
  <c r="H376" i="12"/>
  <c r="H400" i="12"/>
  <c r="H268" i="12"/>
  <c r="J335" i="12"/>
  <c r="J352" i="12"/>
  <c r="K369" i="12"/>
  <c r="K441" i="12"/>
  <c r="K194" i="12"/>
  <c r="K406" i="12"/>
  <c r="H102" i="12"/>
  <c r="H138" i="12"/>
  <c r="J122" i="12"/>
  <c r="H123" i="12"/>
  <c r="J140" i="12"/>
  <c r="J102" i="12"/>
  <c r="J172" i="12"/>
  <c r="J146" i="12"/>
  <c r="J203" i="12"/>
  <c r="H228" i="12"/>
  <c r="J153" i="12"/>
  <c r="J193" i="12"/>
  <c r="J219" i="12"/>
  <c r="J243" i="12"/>
  <c r="H186" i="12"/>
  <c r="H235" i="12"/>
  <c r="H267" i="12"/>
  <c r="H291" i="12"/>
  <c r="H315" i="12"/>
  <c r="H339" i="12"/>
  <c r="J159" i="12"/>
  <c r="J218" i="12"/>
  <c r="J256" i="12"/>
  <c r="J280" i="12"/>
  <c r="J304" i="12"/>
  <c r="J328" i="12"/>
  <c r="H160" i="12"/>
  <c r="H251" i="12"/>
  <c r="H270" i="12"/>
  <c r="H294" i="12"/>
  <c r="H318" i="12"/>
  <c r="H342" i="12"/>
  <c r="J357" i="12"/>
  <c r="H369" i="12"/>
  <c r="H381" i="12"/>
  <c r="H393" i="12"/>
  <c r="H405" i="12"/>
  <c r="H417" i="12"/>
  <c r="J163" i="12"/>
  <c r="J232" i="12"/>
  <c r="J265" i="12"/>
  <c r="J289" i="12"/>
  <c r="J313" i="12"/>
  <c r="J337" i="12"/>
  <c r="J355" i="12"/>
  <c r="J370" i="12"/>
  <c r="J382" i="12"/>
  <c r="J394" i="12"/>
  <c r="J406" i="12"/>
  <c r="J418" i="12"/>
  <c r="J228" i="12"/>
  <c r="J171" i="12"/>
  <c r="J267" i="12"/>
  <c r="J315" i="12"/>
  <c r="H217" i="12"/>
  <c r="J319" i="12"/>
  <c r="J361" i="12"/>
  <c r="J385" i="12"/>
  <c r="J409" i="12"/>
  <c r="J327" i="12"/>
  <c r="H243" i="12"/>
  <c r="H320" i="12"/>
  <c r="H380" i="12"/>
  <c r="H404" i="12"/>
  <c r="H300" i="12"/>
  <c r="H168" i="12"/>
  <c r="H276" i="12"/>
  <c r="H340" i="12"/>
  <c r="J375" i="12"/>
  <c r="J399" i="12"/>
  <c r="J423" i="12"/>
  <c r="H356" i="12"/>
  <c r="H398" i="12"/>
  <c r="H99" i="12"/>
  <c r="K297" i="12"/>
  <c r="K389" i="12"/>
  <c r="K461" i="12"/>
  <c r="K254" i="12"/>
  <c r="K438" i="12"/>
  <c r="H112" i="12"/>
  <c r="J109" i="12"/>
  <c r="J137" i="12"/>
  <c r="J136" i="12"/>
  <c r="H153" i="12"/>
  <c r="J132" i="12"/>
  <c r="J182" i="12"/>
  <c r="H166" i="12"/>
  <c r="H210" i="12"/>
  <c r="H234" i="12"/>
  <c r="J165" i="12"/>
  <c r="J201" i="12"/>
  <c r="J225" i="12"/>
  <c r="J249" i="12"/>
  <c r="H202" i="12"/>
  <c r="H247" i="12"/>
  <c r="H273" i="12"/>
  <c r="H297" i="12"/>
  <c r="H321" i="12"/>
  <c r="H345" i="12"/>
  <c r="H184" i="12"/>
  <c r="J262" i="12"/>
  <c r="J286" i="12"/>
  <c r="J310" i="12"/>
  <c r="J334" i="12"/>
  <c r="J183" i="12"/>
  <c r="H252" i="12"/>
  <c r="H274" i="12"/>
  <c r="H298" i="12"/>
  <c r="H322" i="12"/>
  <c r="H346" i="12"/>
  <c r="H360" i="12"/>
  <c r="H371" i="12"/>
  <c r="H383" i="12"/>
  <c r="H395" i="12"/>
  <c r="H407" i="12"/>
  <c r="H419" i="12"/>
  <c r="J181" i="12"/>
  <c r="J240" i="12"/>
  <c r="J269" i="12"/>
  <c r="J293" i="12"/>
  <c r="J317" i="12"/>
  <c r="J341" i="12"/>
  <c r="H358" i="12"/>
  <c r="J372" i="12"/>
  <c r="J384" i="12"/>
  <c r="J396" i="12"/>
  <c r="J408" i="12"/>
  <c r="J420" i="12"/>
  <c r="H241" i="12"/>
  <c r="J220" i="12"/>
  <c r="J275" i="12"/>
  <c r="J323" i="12"/>
  <c r="H260" i="12"/>
  <c r="H324" i="12"/>
  <c r="J365" i="12"/>
  <c r="J389" i="12"/>
  <c r="H374" i="12"/>
  <c r="J279" i="12"/>
  <c r="J343" i="12"/>
  <c r="H384" i="12"/>
  <c r="H408" i="12"/>
  <c r="H304" i="12"/>
  <c r="H233" i="12"/>
  <c r="H280" i="12"/>
  <c r="H344" i="12"/>
  <c r="J379" i="12"/>
  <c r="J403" i="12"/>
  <c r="J263" i="12"/>
  <c r="J360" i="12"/>
  <c r="H410" i="12"/>
  <c r="K465" i="12"/>
  <c r="H139" i="12"/>
  <c r="J184" i="12"/>
  <c r="H214" i="12"/>
  <c r="H238" i="12"/>
  <c r="H205" i="12"/>
  <c r="J229" i="12"/>
  <c r="J253" i="12"/>
  <c r="J252" i="12"/>
  <c r="H277" i="12"/>
  <c r="H325" i="12"/>
  <c r="J189" i="12"/>
  <c r="J266" i="12"/>
  <c r="J290" i="12"/>
  <c r="H213" i="12"/>
  <c r="H278" i="12"/>
  <c r="H326" i="12"/>
  <c r="H361" i="12"/>
  <c r="H397" i="12"/>
  <c r="H421" i="12"/>
  <c r="J273" i="12"/>
  <c r="J321" i="12"/>
  <c r="J374" i="12"/>
  <c r="J398" i="12"/>
  <c r="J255" i="12"/>
  <c r="J331" i="12"/>
  <c r="H328" i="12"/>
  <c r="J417" i="12"/>
  <c r="H364" i="12"/>
  <c r="H336" i="12"/>
  <c r="J303" i="12"/>
  <c r="J407" i="12"/>
  <c r="H422" i="12"/>
  <c r="J208" i="12"/>
  <c r="J388" i="12"/>
  <c r="H195" i="12"/>
  <c r="J339" i="12"/>
  <c r="J397" i="12"/>
  <c r="H288" i="12"/>
  <c r="H416" i="12"/>
  <c r="H308" i="12"/>
  <c r="H332" i="12"/>
  <c r="J358" i="12"/>
  <c r="H256" i="12"/>
  <c r="H348" i="12"/>
  <c r="J371" i="12"/>
  <c r="H394" i="12"/>
  <c r="I448" i="8" l="1"/>
  <c r="I464" i="8"/>
  <c r="I504" i="8"/>
  <c r="I275" i="8"/>
  <c r="I496" i="8"/>
  <c r="I339" i="8"/>
  <c r="I604" i="8"/>
  <c r="I511" i="8"/>
  <c r="I381" i="8"/>
  <c r="I299" i="8"/>
  <c r="I252" i="8"/>
  <c r="I251" i="8"/>
  <c r="I447" i="8"/>
  <c r="I349" i="8"/>
  <c r="I524" i="8"/>
  <c r="I513" i="8"/>
  <c r="I624" i="8"/>
  <c r="I620" i="8"/>
  <c r="I567" i="8"/>
  <c r="I480" i="8"/>
  <c r="I435" i="8"/>
  <c r="I588" i="8"/>
  <c r="I399" i="8"/>
  <c r="I394" i="12" a="1"/>
  <c r="I394" i="12" s="1"/>
  <c r="L371" i="12" a="1"/>
  <c r="L371" i="12" s="1"/>
  <c r="I348" i="12" a="1"/>
  <c r="I348" i="12" s="1"/>
  <c r="I256" i="12" a="1"/>
  <c r="I256" i="12" s="1"/>
  <c r="L358" i="12" a="1"/>
  <c r="L358" i="12" s="1"/>
  <c r="I332" i="12" a="1"/>
  <c r="I332" i="12" s="1"/>
  <c r="I308" i="12" a="1"/>
  <c r="I308" i="12" s="1"/>
  <c r="I416" i="12" a="1"/>
  <c r="I416" i="12" s="1"/>
  <c r="I288" i="12" a="1"/>
  <c r="I288" i="12" s="1"/>
  <c r="L397" i="12" a="1"/>
  <c r="L397" i="12" s="1"/>
  <c r="L339" i="12" a="1"/>
  <c r="L339" i="12" s="1"/>
  <c r="I195" i="12" a="1"/>
  <c r="I195" i="12" s="1"/>
  <c r="L388" i="12" a="1"/>
  <c r="L388" i="12" s="1"/>
  <c r="L208" i="12" a="1"/>
  <c r="L208" i="12" s="1"/>
  <c r="I422" i="12" a="1"/>
  <c r="I422" i="12" s="1"/>
  <c r="L407" i="12" a="1"/>
  <c r="L407" i="12" s="1"/>
  <c r="L303" i="12" a="1"/>
  <c r="L303" i="12" s="1"/>
  <c r="I336" i="12" a="1"/>
  <c r="I336" i="12" s="1"/>
  <c r="I364" i="12" a="1"/>
  <c r="I364" i="12" s="1"/>
  <c r="L417" i="12" a="1"/>
  <c r="L417" i="12" s="1"/>
  <c r="I328" i="12" a="1"/>
  <c r="I328" i="12" s="1"/>
  <c r="L331" i="12" a="1"/>
  <c r="L331" i="12" s="1"/>
  <c r="L255" i="12" a="1"/>
  <c r="L255" i="12" s="1"/>
  <c r="L398" i="12" a="1"/>
  <c r="L398" i="12" s="1"/>
  <c r="L374" i="12" a="1"/>
  <c r="L374" i="12" s="1"/>
  <c r="L321" i="12" a="1"/>
  <c r="L321" i="12" s="1"/>
  <c r="L273" i="12" a="1"/>
  <c r="L273" i="12" s="1"/>
  <c r="I421" i="12" a="1"/>
  <c r="I421" i="12" s="1"/>
  <c r="I397" i="12" a="1"/>
  <c r="I397" i="12" s="1"/>
  <c r="I361" i="12" a="1"/>
  <c r="I361" i="12" s="1"/>
  <c r="I326" i="12" a="1"/>
  <c r="I326" i="12" s="1"/>
  <c r="I278" i="12" a="1"/>
  <c r="I278" i="12" s="1"/>
  <c r="I213" i="12" a="1"/>
  <c r="I213" i="12" s="1"/>
  <c r="L290" i="12" a="1"/>
  <c r="L290" i="12" s="1"/>
  <c r="L266" i="12" a="1"/>
  <c r="L266" i="12" s="1"/>
  <c r="L189" i="12" a="1"/>
  <c r="L189" i="12" s="1"/>
  <c r="I325" i="12" a="1"/>
  <c r="I325" i="12" s="1"/>
  <c r="I277" i="12" a="1"/>
  <c r="I277" i="12" s="1"/>
  <c r="L252" i="12" a="1"/>
  <c r="L252" i="12" s="1"/>
  <c r="L253" i="12" a="1"/>
  <c r="L253" i="12" s="1"/>
  <c r="L229" i="12" a="1"/>
  <c r="L229" i="12" s="1"/>
  <c r="I205" i="12" a="1"/>
  <c r="I205" i="12" s="1"/>
  <c r="I238" i="12" a="1"/>
  <c r="I238" i="12" s="1"/>
  <c r="I214" i="12" a="1"/>
  <c r="I214" i="12" s="1"/>
  <c r="L184" i="12" a="1"/>
  <c r="L184" i="12" s="1"/>
  <c r="I139" i="12" a="1"/>
  <c r="I139" i="12" s="1"/>
  <c r="I410" i="12" a="1"/>
  <c r="I410" i="12" s="1"/>
  <c r="L360" i="12" a="1"/>
  <c r="L360" i="12" s="1"/>
  <c r="L263" i="12" a="1"/>
  <c r="L263" i="12" s="1"/>
  <c r="L403" i="12" a="1"/>
  <c r="L403" i="12" s="1"/>
  <c r="L379" i="12" a="1"/>
  <c r="L379" i="12" s="1"/>
  <c r="I344" i="12" a="1"/>
  <c r="I344" i="12" s="1"/>
  <c r="I280" i="12" a="1"/>
  <c r="I280" i="12" s="1"/>
  <c r="I233" i="12" a="1"/>
  <c r="I233" i="12" s="1"/>
  <c r="I304" i="12" a="1"/>
  <c r="I304" i="12" s="1"/>
  <c r="I408" i="12" a="1"/>
  <c r="I408" i="12" s="1"/>
  <c r="I384" i="12" a="1"/>
  <c r="I384" i="12" s="1"/>
  <c r="L343" i="12" a="1"/>
  <c r="L343" i="12" s="1"/>
  <c r="L279" i="12" a="1"/>
  <c r="L279" i="12" s="1"/>
  <c r="I374" i="12" a="1"/>
  <c r="I374" i="12" s="1"/>
  <c r="L389" i="12" a="1"/>
  <c r="L389" i="12" s="1"/>
  <c r="L365" i="12" a="1"/>
  <c r="L365" i="12" s="1"/>
  <c r="I324" i="12" a="1"/>
  <c r="I324" i="12" s="1"/>
  <c r="I260" i="12" a="1"/>
  <c r="I260" i="12" s="1"/>
  <c r="L323" i="12" a="1"/>
  <c r="L323" i="12" s="1"/>
  <c r="L275" i="12" a="1"/>
  <c r="L275" i="12" s="1"/>
  <c r="L220" i="12" a="1"/>
  <c r="L220" i="12" s="1"/>
  <c r="I241" i="12" a="1"/>
  <c r="I241" i="12" s="1"/>
  <c r="L420" i="12" a="1"/>
  <c r="L420" i="12" s="1"/>
  <c r="L408" i="12" a="1"/>
  <c r="L408" i="12" s="1"/>
  <c r="L396" i="12" a="1"/>
  <c r="L396" i="12" s="1"/>
  <c r="L384" i="12" a="1"/>
  <c r="L384" i="12" s="1"/>
  <c r="L372" i="12" a="1"/>
  <c r="L372" i="12" s="1"/>
  <c r="I358" i="12" a="1"/>
  <c r="I358" i="12" s="1"/>
  <c r="L341" i="12" a="1"/>
  <c r="L341" i="12" s="1"/>
  <c r="L317" i="12" a="1"/>
  <c r="L317" i="12" s="1"/>
  <c r="L293" i="12" a="1"/>
  <c r="L293" i="12" s="1"/>
  <c r="L269" i="12" a="1"/>
  <c r="L269" i="12" s="1"/>
  <c r="L240" i="12" a="1"/>
  <c r="L240" i="12" s="1"/>
  <c r="L181" i="12" a="1"/>
  <c r="L181" i="12" s="1"/>
  <c r="I419" i="12" a="1"/>
  <c r="I419" i="12" s="1"/>
  <c r="I407" i="12" a="1"/>
  <c r="I407" i="12" s="1"/>
  <c r="I395" i="12" a="1"/>
  <c r="I395" i="12" s="1"/>
  <c r="I383" i="12" a="1"/>
  <c r="I383" i="12" s="1"/>
  <c r="I371" i="12" a="1"/>
  <c r="I371" i="12" s="1"/>
  <c r="I360" i="12" a="1"/>
  <c r="I360" i="12" s="1"/>
  <c r="I346" i="12" a="1"/>
  <c r="I346" i="12" s="1"/>
  <c r="I322" i="12" a="1"/>
  <c r="I322" i="12" s="1"/>
  <c r="I298" i="12" a="1"/>
  <c r="I298" i="12" s="1"/>
  <c r="I274" i="12" a="1"/>
  <c r="I274" i="12" s="1"/>
  <c r="I252" i="12" a="1"/>
  <c r="I252" i="12" s="1"/>
  <c r="L183" i="12" a="1"/>
  <c r="L183" i="12" s="1"/>
  <c r="L334" i="12" a="1"/>
  <c r="L334" i="12" s="1"/>
  <c r="L310" i="12" a="1"/>
  <c r="L310" i="12" s="1"/>
  <c r="L286" i="12" a="1"/>
  <c r="L286" i="12" s="1"/>
  <c r="L262" i="12" a="1"/>
  <c r="L262" i="12" s="1"/>
  <c r="I184" i="12" a="1"/>
  <c r="I184" i="12" s="1"/>
  <c r="I345" i="12" a="1"/>
  <c r="I345" i="12" s="1"/>
  <c r="I321" i="12" a="1"/>
  <c r="I321" i="12" s="1"/>
  <c r="I297" i="12" a="1"/>
  <c r="I297" i="12" s="1"/>
  <c r="I273" i="12" a="1"/>
  <c r="I273" i="12" s="1"/>
  <c r="I247" i="12" a="1"/>
  <c r="I247" i="12" s="1"/>
  <c r="I202" i="12" a="1"/>
  <c r="I202" i="12" s="1"/>
  <c r="L249" i="12" a="1"/>
  <c r="L249" i="12" s="1"/>
  <c r="L225" i="12" a="1"/>
  <c r="L225" i="12" s="1"/>
  <c r="L201" i="12" a="1"/>
  <c r="L201" i="12" s="1"/>
  <c r="L165" i="12" a="1"/>
  <c r="L165" i="12" s="1"/>
  <c r="I234" i="12" a="1"/>
  <c r="I234" i="12" s="1"/>
  <c r="I210" i="12" a="1"/>
  <c r="I210" i="12" s="1"/>
  <c r="I166" i="12" a="1"/>
  <c r="I166" i="12" s="1"/>
  <c r="L182" i="12" a="1"/>
  <c r="L182" i="12" s="1"/>
  <c r="L132" i="12" a="1"/>
  <c r="L132" i="12" s="1"/>
  <c r="I153" i="12" a="1"/>
  <c r="I153" i="12" s="1"/>
  <c r="L136" i="12" a="1"/>
  <c r="L136" i="12" s="1"/>
  <c r="L137" i="12" a="1"/>
  <c r="L137" i="12" s="1"/>
  <c r="L109" i="12" a="1"/>
  <c r="L109" i="12" s="1"/>
  <c r="I112" i="12" a="1"/>
  <c r="I112" i="12" s="1"/>
  <c r="M254" i="12" a="1"/>
  <c r="M254" i="12" s="1"/>
  <c r="M389" i="12" a="1"/>
  <c r="M389" i="12" s="1"/>
  <c r="M297" i="12" a="1"/>
  <c r="M297" i="12" s="1"/>
  <c r="I398" i="12" a="1"/>
  <c r="I398" i="12" s="1"/>
  <c r="I356" i="12" a="1"/>
  <c r="I356" i="12" s="1"/>
  <c r="L423" i="12" a="1"/>
  <c r="L423" i="12" s="1"/>
  <c r="L399" i="12" a="1"/>
  <c r="L399" i="12" s="1"/>
  <c r="L375" i="12" a="1"/>
  <c r="L375" i="12" s="1"/>
  <c r="I340" i="12" a="1"/>
  <c r="I340" i="12" s="1"/>
  <c r="I276" i="12" a="1"/>
  <c r="I276" i="12" s="1"/>
  <c r="I168" i="12" a="1"/>
  <c r="I168" i="12" s="1"/>
  <c r="I300" i="12" a="1"/>
  <c r="I300" i="12" s="1"/>
  <c r="I404" i="12" a="1"/>
  <c r="I404" i="12" s="1"/>
  <c r="I380" i="12" a="1"/>
  <c r="I380" i="12" s="1"/>
  <c r="I320" i="12" a="1"/>
  <c r="I320" i="12" s="1"/>
  <c r="I243" i="12" a="1"/>
  <c r="I243" i="12" s="1"/>
  <c r="L327" i="12" a="1"/>
  <c r="L327" i="12" s="1"/>
  <c r="L409" i="12" a="1"/>
  <c r="L409" i="12" s="1"/>
  <c r="L385" i="12" a="1"/>
  <c r="L385" i="12" s="1"/>
  <c r="L361" i="12" a="1"/>
  <c r="L361" i="12" s="1"/>
  <c r="L319" i="12" a="1"/>
  <c r="L319" i="12" s="1"/>
  <c r="I217" i="12" a="1"/>
  <c r="I217" i="12" s="1"/>
  <c r="L315" i="12" a="1"/>
  <c r="L315" i="12" s="1"/>
  <c r="L267" i="12" a="1"/>
  <c r="L267" i="12" s="1"/>
  <c r="L171" i="12" a="1"/>
  <c r="L171" i="12" s="1"/>
  <c r="L228" i="12" a="1"/>
  <c r="L228" i="12" s="1"/>
  <c r="L418" i="12" a="1"/>
  <c r="L418" i="12" s="1"/>
  <c r="L406" i="12" a="1"/>
  <c r="L406" i="12" s="1"/>
  <c r="L394" i="12" a="1"/>
  <c r="L394" i="12" s="1"/>
  <c r="L382" i="12" a="1"/>
  <c r="L382" i="12" s="1"/>
  <c r="L370" i="12" a="1"/>
  <c r="L370" i="12" s="1"/>
  <c r="L355" i="12" a="1"/>
  <c r="L355" i="12" s="1"/>
  <c r="L337" i="12" a="1"/>
  <c r="L337" i="12" s="1"/>
  <c r="L313" i="12" a="1"/>
  <c r="L313" i="12" s="1"/>
  <c r="L289" i="12" a="1"/>
  <c r="L289" i="12" s="1"/>
  <c r="L265" i="12" a="1"/>
  <c r="L265" i="12" s="1"/>
  <c r="L232" i="12" a="1"/>
  <c r="L232" i="12" s="1"/>
  <c r="L163" i="12" a="1"/>
  <c r="L163" i="12" s="1"/>
  <c r="I417" i="12" a="1"/>
  <c r="I417" i="12" s="1"/>
  <c r="I405" i="12" a="1"/>
  <c r="I405" i="12" s="1"/>
  <c r="I393" i="12" a="1"/>
  <c r="I393" i="12" s="1"/>
  <c r="I381" i="12" a="1"/>
  <c r="I381" i="12" s="1"/>
  <c r="I369" i="12" a="1"/>
  <c r="I369" i="12" s="1"/>
  <c r="L357" i="12" a="1"/>
  <c r="L357" i="12" s="1"/>
  <c r="I342" i="12" a="1"/>
  <c r="I342" i="12" s="1"/>
  <c r="I318" i="12" a="1"/>
  <c r="I318" i="12" s="1"/>
  <c r="I294" i="12" a="1"/>
  <c r="I294" i="12" s="1"/>
  <c r="I270" i="12" a="1"/>
  <c r="I270" i="12" s="1"/>
  <c r="I251" i="12" a="1"/>
  <c r="I251" i="12" s="1"/>
  <c r="I160" i="12" a="1"/>
  <c r="I160" i="12" s="1"/>
  <c r="L328" i="12" a="1"/>
  <c r="L328" i="12" s="1"/>
  <c r="L304" i="12" a="1"/>
  <c r="L304" i="12" s="1"/>
  <c r="L280" i="12" a="1"/>
  <c r="L280" i="12" s="1"/>
  <c r="L256" i="12" a="1"/>
  <c r="L256" i="12" s="1"/>
  <c r="L218" i="12" a="1"/>
  <c r="L218" i="12" s="1"/>
  <c r="L159" i="12" a="1"/>
  <c r="L159" i="12" s="1"/>
  <c r="I339" i="12" a="1"/>
  <c r="I339" i="12" s="1"/>
  <c r="I315" i="12" a="1"/>
  <c r="I315" i="12" s="1"/>
  <c r="I291" i="12" a="1"/>
  <c r="I291" i="12" s="1"/>
  <c r="I267" i="12" a="1"/>
  <c r="I267" i="12" s="1"/>
  <c r="I235" i="12" a="1"/>
  <c r="I235" i="12" s="1"/>
  <c r="I186" i="12" a="1"/>
  <c r="I186" i="12" s="1"/>
  <c r="L243" i="12" a="1"/>
  <c r="L243" i="12" s="1"/>
  <c r="L219" i="12" a="1"/>
  <c r="L219" i="12" s="1"/>
  <c r="L193" i="12" a="1"/>
  <c r="L193" i="12" s="1"/>
  <c r="L153" i="12" a="1"/>
  <c r="L153" i="12" s="1"/>
  <c r="I228" i="12" a="1"/>
  <c r="I228" i="12" s="1"/>
  <c r="L203" i="12" a="1"/>
  <c r="L203" i="12" s="1"/>
  <c r="L146" i="12" a="1"/>
  <c r="L146" i="12" s="1"/>
  <c r="L172" i="12" a="1"/>
  <c r="L172" i="12" s="1"/>
  <c r="L102" i="12" a="1"/>
  <c r="L102" i="12" s="1"/>
  <c r="L140" i="12" a="1"/>
  <c r="L140" i="12" s="1"/>
  <c r="I123" i="12" a="1"/>
  <c r="I123" i="12" s="1"/>
  <c r="L122" i="12" a="1"/>
  <c r="L122" i="12" s="1"/>
  <c r="I138" i="12" a="1"/>
  <c r="I138" i="12" s="1"/>
  <c r="I102" i="12" a="1"/>
  <c r="I102" i="12" s="1"/>
  <c r="M406" i="12" a="1"/>
  <c r="M406" i="12" s="1"/>
  <c r="M194" i="12" a="1"/>
  <c r="M194" i="12" s="1"/>
  <c r="M369" i="12" a="1"/>
  <c r="M369" i="12" s="1"/>
  <c r="L352" i="12" a="1"/>
  <c r="L352" i="12" s="1"/>
  <c r="L335" i="12" a="1"/>
  <c r="L335" i="12" s="1"/>
  <c r="I268" i="12" a="1"/>
  <c r="I268" i="12" s="1"/>
  <c r="I400" i="12" a="1"/>
  <c r="I400" i="12" s="1"/>
  <c r="I376" i="12" a="1"/>
  <c r="I376" i="12" s="1"/>
  <c r="I316" i="12" a="1"/>
  <c r="I316" i="12" s="1"/>
  <c r="I225" i="12" a="1"/>
  <c r="I225" i="12" s="1"/>
  <c r="L295" i="12" a="1"/>
  <c r="L295" i="12" s="1"/>
  <c r="L405" i="12" a="1"/>
  <c r="L405" i="12" s="1"/>
  <c r="L381" i="12" a="1"/>
  <c r="L381" i="12" s="1"/>
  <c r="L359" i="12" a="1"/>
  <c r="L359" i="12" s="1"/>
  <c r="I296" i="12" a="1"/>
  <c r="I296" i="12" s="1"/>
  <c r="L351" i="12" a="1"/>
  <c r="L351" i="12" s="1"/>
  <c r="L307" i="12" a="1"/>
  <c r="L307" i="12" s="1"/>
  <c r="L259" i="12" a="1"/>
  <c r="L259" i="12" s="1"/>
  <c r="L155" i="12" a="1"/>
  <c r="L155" i="12" s="1"/>
  <c r="L212" i="12" a="1"/>
  <c r="L212" i="12" s="1"/>
  <c r="L416" i="12" a="1"/>
  <c r="L416" i="12" s="1"/>
  <c r="L404" i="12" a="1"/>
  <c r="L404" i="12" s="1"/>
  <c r="L392" i="12" a="1"/>
  <c r="L392" i="12" s="1"/>
  <c r="L380" i="12" a="1"/>
  <c r="L380" i="12" s="1"/>
  <c r="L368" i="12" a="1"/>
  <c r="L368" i="12" s="1"/>
  <c r="L354" i="12" a="1"/>
  <c r="L354" i="12" s="1"/>
  <c r="L333" i="12" a="1"/>
  <c r="L333" i="12" s="1"/>
  <c r="L309" i="12" a="1"/>
  <c r="L309" i="12" s="1"/>
  <c r="L285" i="12" a="1"/>
  <c r="L285" i="12" s="1"/>
  <c r="L261" i="12" a="1"/>
  <c r="L261" i="12" s="1"/>
  <c r="L224" i="12" a="1"/>
  <c r="L224" i="12" s="1"/>
  <c r="I144" i="12" a="1"/>
  <c r="I144" i="12" s="1"/>
  <c r="I415" i="12" a="1"/>
  <c r="I415" i="12" s="1"/>
  <c r="I403" i="12" a="1"/>
  <c r="I403" i="12" s="1"/>
  <c r="I391" i="12" a="1"/>
  <c r="I391" i="12" s="1"/>
  <c r="I379" i="12" a="1"/>
  <c r="I379" i="12" s="1"/>
  <c r="I367" i="12" a="1"/>
  <c r="I367" i="12" s="1"/>
  <c r="L356" i="12" a="1"/>
  <c r="L356" i="12" s="1"/>
  <c r="I338" i="12" a="1"/>
  <c r="I338" i="12" s="1"/>
  <c r="I314" i="12" a="1"/>
  <c r="I314" i="12" s="1"/>
  <c r="I290" i="12" a="1"/>
  <c r="I290" i="12" s="1"/>
  <c r="I266" i="12" a="1"/>
  <c r="I266" i="12" s="1"/>
  <c r="I237" i="12" a="1"/>
  <c r="I237" i="12" s="1"/>
  <c r="I137" i="12" a="1"/>
  <c r="I137" i="12" s="1"/>
  <c r="L326" i="12" a="1"/>
  <c r="L326" i="12" s="1"/>
  <c r="L302" i="12" a="1"/>
  <c r="L302" i="12" s="1"/>
  <c r="L278" i="12" a="1"/>
  <c r="L278" i="12" s="1"/>
  <c r="L254" i="12" a="1"/>
  <c r="L254" i="12" s="1"/>
  <c r="N254" i="12" s="1"/>
  <c r="L214" i="12" a="1"/>
  <c r="L214" i="12" s="1"/>
  <c r="I135" i="12" a="1"/>
  <c r="I135" i="12" s="1"/>
  <c r="I337" i="12" a="1"/>
  <c r="I337" i="12" s="1"/>
  <c r="I313" i="12" a="1"/>
  <c r="I313" i="12" s="1"/>
  <c r="I289" i="12" a="1"/>
  <c r="I289" i="12" s="1"/>
  <c r="I265" i="12" a="1"/>
  <c r="I265" i="12" s="1"/>
  <c r="I231" i="12" a="1"/>
  <c r="I231" i="12" s="1"/>
  <c r="I172" i="12" a="1"/>
  <c r="I172" i="12" s="1"/>
  <c r="L241" i="12" a="1"/>
  <c r="L241" i="12" s="1"/>
  <c r="L217" i="12" a="1"/>
  <c r="L217" i="12" s="1"/>
  <c r="I189" i="12" a="1"/>
  <c r="I189" i="12" s="1"/>
  <c r="L151" i="12" a="1"/>
  <c r="L151" i="12" s="1"/>
  <c r="I226" i="12" a="1"/>
  <c r="I226" i="12" s="1"/>
  <c r="I199" i="12" a="1"/>
  <c r="I199" i="12" s="1"/>
  <c r="I111" i="12" a="1"/>
  <c r="I111" i="12" s="1"/>
  <c r="L170" i="12" a="1"/>
  <c r="L170" i="12" s="1"/>
  <c r="I177" i="12" a="1"/>
  <c r="I177" i="12" s="1"/>
  <c r="L134" i="12" a="1"/>
  <c r="L134" i="12" s="1"/>
  <c r="L120" i="12" a="1"/>
  <c r="L120" i="12" s="1"/>
  <c r="I121" i="12" a="1"/>
  <c r="I121" i="12" s="1"/>
  <c r="I136" i="12" a="1"/>
  <c r="I136" i="12" s="1"/>
  <c r="I100" i="12" a="1"/>
  <c r="I100" i="12" s="1"/>
  <c r="M394" i="12" a="1"/>
  <c r="M394" i="12" s="1"/>
  <c r="M182" i="12" a="1"/>
  <c r="M182" i="12" s="1"/>
  <c r="M365" i="12" a="1"/>
  <c r="M365" i="12" s="1"/>
  <c r="L419" i="12" a="1"/>
  <c r="L419" i="12" s="1"/>
  <c r="I390" i="12" a="1"/>
  <c r="I390" i="12" s="1"/>
  <c r="I312" i="12" a="1"/>
  <c r="I312" i="12" s="1"/>
  <c r="I372" i="12" a="1"/>
  <c r="I372" i="12" s="1"/>
  <c r="L311" i="12" a="1"/>
  <c r="L311" i="12" s="1"/>
  <c r="L377" i="12" a="1"/>
  <c r="L377" i="12" s="1"/>
  <c r="I292" i="12" a="1"/>
  <c r="I292" i="12" s="1"/>
  <c r="L350" i="12" a="1"/>
  <c r="L350" i="12" s="1"/>
  <c r="L299" i="12" a="1"/>
  <c r="L299" i="12" s="1"/>
  <c r="L246" i="12" a="1"/>
  <c r="L246" i="12" s="1"/>
  <c r="L199" i="12" a="1"/>
  <c r="L199" i="12" s="1"/>
  <c r="L197" i="12" a="1"/>
  <c r="L197" i="12" s="1"/>
  <c r="L414" i="12" a="1"/>
  <c r="L414" i="12" s="1"/>
  <c r="L402" i="12" a="1"/>
  <c r="L402" i="12" s="1"/>
  <c r="L390" i="12" a="1"/>
  <c r="L390" i="12" s="1"/>
  <c r="L378" i="12" a="1"/>
  <c r="L378" i="12" s="1"/>
  <c r="L366" i="12" a="1"/>
  <c r="L366" i="12" s="1"/>
  <c r="I350" i="12" a="1"/>
  <c r="I350" i="12" s="1"/>
  <c r="L329" i="12" a="1"/>
  <c r="L329" i="12" s="1"/>
  <c r="L305" i="12" a="1"/>
  <c r="L305" i="12" s="1"/>
  <c r="L281" i="12" a="1"/>
  <c r="L281" i="12" s="1"/>
  <c r="L257" i="12" a="1"/>
  <c r="L257" i="12" s="1"/>
  <c r="L216" i="12" a="1"/>
  <c r="L216" i="12" s="1"/>
  <c r="L106" i="12" a="1"/>
  <c r="L106" i="12" s="1"/>
  <c r="I413" i="12" a="1"/>
  <c r="I413" i="12" s="1"/>
  <c r="I401" i="12" a="1"/>
  <c r="I401" i="12" s="1"/>
  <c r="I389" i="12" a="1"/>
  <c r="I389" i="12" s="1"/>
  <c r="I377" i="12" a="1"/>
  <c r="I377" i="12" s="1"/>
  <c r="I365" i="12" a="1"/>
  <c r="I365" i="12" s="1"/>
  <c r="I352" i="12" a="1"/>
  <c r="I352" i="12" s="1"/>
  <c r="I334" i="12" a="1"/>
  <c r="I334" i="12" s="1"/>
  <c r="I310" i="12" a="1"/>
  <c r="I310" i="12" s="1"/>
  <c r="I286" i="12" a="1"/>
  <c r="I286" i="12" s="1"/>
  <c r="I262" i="12" a="1"/>
  <c r="I262" i="12" s="1"/>
  <c r="I229" i="12" a="1"/>
  <c r="I229" i="12" s="1"/>
  <c r="L346" i="12" a="1"/>
  <c r="L346" i="12" s="1"/>
  <c r="L322" i="12" a="1"/>
  <c r="L322" i="12" s="1"/>
  <c r="L298" i="12" a="1"/>
  <c r="L298" i="12" s="1"/>
  <c r="L274" i="12" a="1"/>
  <c r="L274" i="12" s="1"/>
  <c r="L250" i="12" a="1"/>
  <c r="L250" i="12" s="1"/>
  <c r="L206" i="12" a="1"/>
  <c r="L206" i="12" s="1"/>
  <c r="I357" i="12" a="1"/>
  <c r="I357" i="12" s="1"/>
  <c r="I333" i="12" a="1"/>
  <c r="I333" i="12" s="1"/>
  <c r="I309" i="12" a="1"/>
  <c r="I309" i="12" s="1"/>
  <c r="I285" i="12" a="1"/>
  <c r="I285" i="12" s="1"/>
  <c r="I261" i="12" a="1"/>
  <c r="I261" i="12" s="1"/>
  <c r="I223" i="12" a="1"/>
  <c r="I223" i="12" s="1"/>
  <c r="I156" i="12" a="1"/>
  <c r="I156" i="12" s="1"/>
  <c r="L237" i="12" a="1"/>
  <c r="L237" i="12" s="1"/>
  <c r="L213" i="12" a="1"/>
  <c r="L213" i="12" s="1"/>
  <c r="L185" i="12" a="1"/>
  <c r="L185" i="12" s="1"/>
  <c r="I148" i="12" a="1"/>
  <c r="I148" i="12" s="1"/>
  <c r="I222" i="12" a="1"/>
  <c r="I222" i="12" s="1"/>
  <c r="L187" i="12" a="1"/>
  <c r="L187" i="12" s="1"/>
  <c r="L196" i="12" a="1"/>
  <c r="L196" i="12" s="1"/>
  <c r="L160" i="12" a="1"/>
  <c r="L160" i="12" s="1"/>
  <c r="I167" i="12" a="1"/>
  <c r="I167" i="12" s="1"/>
  <c r="I151" i="12" a="1"/>
  <c r="I151" i="12" s="1"/>
  <c r="L100" i="12" a="1"/>
  <c r="L100" i="12" s="1"/>
  <c r="I101" i="12" a="1"/>
  <c r="I101" i="12" s="1"/>
  <c r="I126" i="12" a="1"/>
  <c r="I126" i="12" s="1"/>
  <c r="M334" i="12" a="1"/>
  <c r="M334" i="12" s="1"/>
  <c r="M126" i="12" a="1"/>
  <c r="M126" i="12" s="1"/>
  <c r="M417" i="12" a="1"/>
  <c r="M417" i="12" s="1"/>
  <c r="M345" i="12" a="1"/>
  <c r="M345" i="12" s="1"/>
  <c r="I378" i="12" a="1"/>
  <c r="I378" i="12" s="1"/>
  <c r="L415" i="12" a="1"/>
  <c r="L415" i="12" s="1"/>
  <c r="I366" i="12" a="1"/>
  <c r="I366" i="12" s="1"/>
  <c r="I406" i="12" a="1"/>
  <c r="I406" i="12" s="1"/>
  <c r="I414" i="12" a="1"/>
  <c r="I414" i="12" s="1"/>
  <c r="L363" i="12" a="1"/>
  <c r="L363" i="12" s="1"/>
  <c r="I368" i="12" a="1"/>
  <c r="I368" i="12" s="1"/>
  <c r="L287" i="12" a="1"/>
  <c r="L287" i="12" s="1"/>
  <c r="I193" i="12" a="1"/>
  <c r="I193" i="12" s="1"/>
  <c r="L376" i="12" a="1"/>
  <c r="L376" i="12" s="1"/>
  <c r="L347" i="12" a="1"/>
  <c r="L347" i="12" s="1"/>
  <c r="L325" i="12" a="1"/>
  <c r="L325" i="12" s="1"/>
  <c r="L301" i="12" a="1"/>
  <c r="L301" i="12" s="1"/>
  <c r="I423" i="12" a="1"/>
  <c r="I423" i="12" s="1"/>
  <c r="I411" i="12" a="1"/>
  <c r="I411" i="12" s="1"/>
  <c r="I399" i="12" a="1"/>
  <c r="I399" i="12" s="1"/>
  <c r="I387" i="12" a="1"/>
  <c r="I387" i="12" s="1"/>
  <c r="I375" i="12" a="1"/>
  <c r="I375" i="12" s="1"/>
  <c r="I363" i="12" a="1"/>
  <c r="I363" i="12" s="1"/>
  <c r="L349" i="12" a="1"/>
  <c r="L349" i="12" s="1"/>
  <c r="I330" i="12" a="1"/>
  <c r="I330" i="12" s="1"/>
  <c r="I306" i="12" a="1"/>
  <c r="I306" i="12" s="1"/>
  <c r="I282" i="12" a="1"/>
  <c r="I282" i="12" s="1"/>
  <c r="I258" i="12" a="1"/>
  <c r="I258" i="12" s="1"/>
  <c r="I221" i="12" a="1"/>
  <c r="I221" i="12" s="1"/>
  <c r="L340" i="12" a="1"/>
  <c r="L340" i="12" s="1"/>
  <c r="L316" i="12" a="1"/>
  <c r="L316" i="12" s="1"/>
  <c r="L292" i="12" a="1"/>
  <c r="L292" i="12" s="1"/>
  <c r="L268" i="12" a="1"/>
  <c r="L268" i="12" s="1"/>
  <c r="L242" i="12" a="1"/>
  <c r="L242" i="12" s="1"/>
  <c r="N242" i="12" s="1"/>
  <c r="I200" i="12" a="1"/>
  <c r="I200" i="12" s="1"/>
  <c r="I351" i="12" a="1"/>
  <c r="I351" i="12" s="1"/>
  <c r="I327" i="12" a="1"/>
  <c r="I327" i="12" s="1"/>
  <c r="I303" i="12" a="1"/>
  <c r="I303" i="12" s="1"/>
  <c r="I279" i="12" a="1"/>
  <c r="I279" i="12" s="1"/>
  <c r="I255" i="12" a="1"/>
  <c r="I255" i="12" s="1"/>
  <c r="I211" i="12" a="1"/>
  <c r="I211" i="12" s="1"/>
  <c r="I103" i="12" a="1"/>
  <c r="I103" i="12" s="1"/>
  <c r="L231" i="12" a="1"/>
  <c r="L231" i="12" s="1"/>
  <c r="L207" i="12" a="1"/>
  <c r="L207" i="12" s="1"/>
  <c r="L177" i="12" a="1"/>
  <c r="L177" i="12" s="1"/>
  <c r="I240" i="12" a="1"/>
  <c r="I240" i="12" s="1"/>
  <c r="I216" i="12" a="1"/>
  <c r="I216" i="12" s="1"/>
  <c r="I183" i="12" a="1"/>
  <c r="I183" i="12" s="1"/>
  <c r="L194" i="12" a="1"/>
  <c r="L194" i="12" s="1"/>
  <c r="N194" i="12" s="1"/>
  <c r="L158" i="12" a="1"/>
  <c r="L158" i="12" s="1"/>
  <c r="I165" i="12" a="1"/>
  <c r="I165" i="12" s="1"/>
  <c r="I149" i="12" a="1"/>
  <c r="I149" i="12" s="1"/>
  <c r="L147" i="12" a="1"/>
  <c r="L147" i="12" s="1"/>
  <c r="L121" i="12" a="1"/>
  <c r="L121" i="12" s="1"/>
  <c r="N121" i="12" s="1"/>
  <c r="I124" i="12" a="1"/>
  <c r="I124" i="12" s="1"/>
  <c r="M322" i="12" a="1"/>
  <c r="M322" i="12" s="1"/>
  <c r="M114" i="12" a="1"/>
  <c r="M114" i="12" s="1"/>
  <c r="M413" i="12" a="1"/>
  <c r="M413" i="12" s="1"/>
  <c r="M341" i="12" a="1"/>
  <c r="M341" i="12" s="1"/>
  <c r="L395" i="12" a="1"/>
  <c r="L395" i="12" s="1"/>
  <c r="I418" i="12" a="1"/>
  <c r="I418" i="12" s="1"/>
  <c r="L367" i="12" a="1"/>
  <c r="L367" i="12" s="1"/>
  <c r="I396" i="12" a="1"/>
  <c r="I396" i="12" s="1"/>
  <c r="I209" i="12" a="1"/>
  <c r="I209" i="12" s="1"/>
  <c r="I386" i="12" a="1"/>
  <c r="I386" i="12" s="1"/>
  <c r="L387" i="12" a="1"/>
  <c r="L387" i="12" s="1"/>
  <c r="I362" i="12" a="1"/>
  <c r="I362" i="12" s="1"/>
  <c r="I402" i="12" a="1"/>
  <c r="I402" i="12" s="1"/>
  <c r="L373" i="12" a="1"/>
  <c r="L373" i="12" s="1"/>
  <c r="L291" i="12" a="1"/>
  <c r="L291" i="12" s="1"/>
  <c r="L412" i="12" a="1"/>
  <c r="L412" i="12" s="1"/>
  <c r="N412" i="12" s="1"/>
  <c r="L364" i="12" a="1"/>
  <c r="L364" i="12" s="1"/>
  <c r="N364" i="12" s="1"/>
  <c r="L277" i="12" a="1"/>
  <c r="L277" i="12" s="1"/>
  <c r="I272" i="12" a="1"/>
  <c r="I272" i="12" s="1"/>
  <c r="L353" i="12" a="1"/>
  <c r="L353" i="12" s="1"/>
  <c r="I412" i="12" a="1"/>
  <c r="I412" i="12" s="1"/>
  <c r="I382" i="12" a="1"/>
  <c r="I382" i="12" s="1"/>
  <c r="L369" i="12" a="1"/>
  <c r="L369" i="12" s="1"/>
  <c r="N369" i="12" s="1"/>
  <c r="L283" i="12" a="1"/>
  <c r="L283" i="12" s="1"/>
  <c r="L410" i="12" a="1"/>
  <c r="L410" i="12" s="1"/>
  <c r="N410" i="12" s="1"/>
  <c r="L345" i="12" a="1"/>
  <c r="L345" i="12" s="1"/>
  <c r="N345" i="12" s="1"/>
  <c r="I192" i="12" a="1"/>
  <c r="I192" i="12" s="1"/>
  <c r="I373" i="12" a="1"/>
  <c r="I373" i="12" s="1"/>
  <c r="I302" i="12" a="1"/>
  <c r="I302" i="12" s="1"/>
  <c r="L338" i="12" a="1"/>
  <c r="L338" i="12" s="1"/>
  <c r="L238" i="12" a="1"/>
  <c r="L238" i="12" s="1"/>
  <c r="I301" i="12" a="1"/>
  <c r="I301" i="12" s="1"/>
  <c r="I207" i="12" a="1"/>
  <c r="I207" i="12" s="1"/>
  <c r="L173" i="12" a="1"/>
  <c r="L173" i="12" s="1"/>
  <c r="I170" i="12" a="1"/>
  <c r="I170" i="12" s="1"/>
  <c r="I155" i="12" a="1"/>
  <c r="I155" i="12" s="1"/>
  <c r="L138" i="12" a="1"/>
  <c r="L138" i="12" s="1"/>
  <c r="L111" i="12" a="1"/>
  <c r="L111" i="12" s="1"/>
  <c r="I114" i="12" a="1"/>
  <c r="I114" i="12" s="1"/>
  <c r="M266" i="12" a="1"/>
  <c r="M266" i="12" s="1"/>
  <c r="M393" i="12" a="1"/>
  <c r="M393" i="12" s="1"/>
  <c r="M321" i="12" a="1"/>
  <c r="M321" i="12" s="1"/>
  <c r="L271" i="12" a="1"/>
  <c r="L271" i="12" s="1"/>
  <c r="L391" i="12" a="1"/>
  <c r="L391" i="12" s="1"/>
  <c r="I420" i="12" a="1"/>
  <c r="I420" i="12" s="1"/>
  <c r="L401" i="12" a="1"/>
  <c r="L401" i="12" s="1"/>
  <c r="L411" i="12" a="1"/>
  <c r="L411" i="12" s="1"/>
  <c r="L248" i="12" a="1"/>
  <c r="L248" i="12" s="1"/>
  <c r="I392" i="12" a="1"/>
  <c r="I392" i="12" s="1"/>
  <c r="L421" i="12" a="1"/>
  <c r="L421" i="12" s="1"/>
  <c r="I354" i="12" a="1"/>
  <c r="I354" i="12" s="1"/>
  <c r="I242" i="12" a="1"/>
  <c r="I242" i="12" s="1"/>
  <c r="L400" i="12" a="1"/>
  <c r="L400" i="12" s="1"/>
  <c r="I250" i="12" a="1"/>
  <c r="I250" i="12" s="1"/>
  <c r="I370" i="12" a="1"/>
  <c r="I370" i="12" s="1"/>
  <c r="L383" i="12" a="1"/>
  <c r="L383" i="12" s="1"/>
  <c r="I244" i="12" a="1"/>
  <c r="I244" i="12" s="1"/>
  <c r="I388" i="12" a="1"/>
  <c r="I388" i="12" s="1"/>
  <c r="I284" i="12" a="1"/>
  <c r="I284" i="12" s="1"/>
  <c r="L393" i="12" a="1"/>
  <c r="L393" i="12" s="1"/>
  <c r="N393" i="12" s="1"/>
  <c r="I264" i="12" a="1"/>
  <c r="I264" i="12" s="1"/>
  <c r="L236" i="12" a="1"/>
  <c r="L236" i="12" s="1"/>
  <c r="L422" i="12" a="1"/>
  <c r="L422" i="12" s="1"/>
  <c r="L386" i="12" a="1"/>
  <c r="L386" i="12" s="1"/>
  <c r="L362" i="12" a="1"/>
  <c r="L362" i="12" s="1"/>
  <c r="L297" i="12" a="1"/>
  <c r="L297" i="12" s="1"/>
  <c r="N297" i="12" s="1"/>
  <c r="I249" i="12" a="1"/>
  <c r="I249" i="12" s="1"/>
  <c r="I409" i="12" a="1"/>
  <c r="I409" i="12" s="1"/>
  <c r="I385" i="12" a="1"/>
  <c r="I385" i="12" s="1"/>
  <c r="L348" i="12" a="1"/>
  <c r="L348" i="12" s="1"/>
  <c r="I254" i="12" a="1"/>
  <c r="I254" i="12" s="1"/>
  <c r="L314" i="12" a="1"/>
  <c r="L314" i="12" s="1"/>
  <c r="I349" i="12" a="1"/>
  <c r="I349" i="12" s="1"/>
  <c r="I142" i="12" a="1"/>
  <c r="I142" i="12" s="1"/>
  <c r="L413" i="12" a="1"/>
  <c r="L413" i="12" s="1"/>
  <c r="L230" i="12" a="1"/>
  <c r="L230" i="12" s="1"/>
  <c r="I194" i="12" a="1"/>
  <c r="I194" i="12" s="1"/>
  <c r="I119" i="12" a="1"/>
  <c r="I119" i="12" s="1"/>
  <c r="L336" i="12" a="1"/>
  <c r="L336" i="12" s="1"/>
  <c r="L324" i="12" a="1"/>
  <c r="L324" i="12" s="1"/>
  <c r="L312" i="12" a="1"/>
  <c r="L312" i="12" s="1"/>
  <c r="L300" i="12" a="1"/>
  <c r="L300" i="12" s="1"/>
  <c r="L288" i="12" a="1"/>
  <c r="L288" i="12" s="1"/>
  <c r="L276" i="12" a="1"/>
  <c r="L276" i="12" s="1"/>
  <c r="L264" i="12" a="1"/>
  <c r="L264" i="12" s="1"/>
  <c r="I253" i="12" a="1"/>
  <c r="I253" i="12" s="1"/>
  <c r="L234" i="12" a="1"/>
  <c r="L234" i="12" s="1"/>
  <c r="L210" i="12" a="1"/>
  <c r="L210" i="12" s="1"/>
  <c r="I185" i="12" a="1"/>
  <c r="I185" i="12" s="1"/>
  <c r="I359" i="12" a="1"/>
  <c r="I359" i="12" s="1"/>
  <c r="I347" i="12" a="1"/>
  <c r="I347" i="12" s="1"/>
  <c r="I335" i="12" a="1"/>
  <c r="I335" i="12" s="1"/>
  <c r="I323" i="12" a="1"/>
  <c r="I323" i="12" s="1"/>
  <c r="I311" i="12" a="1"/>
  <c r="I311" i="12" s="1"/>
  <c r="I299" i="12" a="1"/>
  <c r="I299" i="12" s="1"/>
  <c r="I287" i="12" a="1"/>
  <c r="I287" i="12" s="1"/>
  <c r="I275" i="12" a="1"/>
  <c r="I275" i="12" s="1"/>
  <c r="I263" i="12" a="1"/>
  <c r="I263" i="12" s="1"/>
  <c r="I248" i="12" a="1"/>
  <c r="I248" i="12" s="1"/>
  <c r="I227" i="12" a="1"/>
  <c r="I227" i="12" s="1"/>
  <c r="I203" i="12" a="1"/>
  <c r="I203" i="12" s="1"/>
  <c r="I164" i="12" a="1"/>
  <c r="I164" i="12" s="1"/>
  <c r="L251" i="12" a="1"/>
  <c r="L251" i="12" s="1"/>
  <c r="L239" i="12" a="1"/>
  <c r="L239" i="12" s="1"/>
  <c r="L227" i="12" a="1"/>
  <c r="L227" i="12" s="1"/>
  <c r="L215" i="12" a="1"/>
  <c r="L215" i="12" s="1"/>
  <c r="I204" i="12" a="1"/>
  <c r="I204" i="12" s="1"/>
  <c r="I188" i="12" a="1"/>
  <c r="I188" i="12" s="1"/>
  <c r="L169" i="12" a="1"/>
  <c r="L169" i="12" s="1"/>
  <c r="L150" i="12" a="1"/>
  <c r="L150" i="12" s="1"/>
  <c r="I236" i="12" a="1"/>
  <c r="I236" i="12" s="1"/>
  <c r="I224" i="12" a="1"/>
  <c r="I224" i="12" s="1"/>
  <c r="I212" i="12" a="1"/>
  <c r="I212" i="12" s="1"/>
  <c r="I198" i="12" a="1"/>
  <c r="I198" i="12" s="1"/>
  <c r="I182" i="12" a="1"/>
  <c r="I182" i="12" s="1"/>
  <c r="I162" i="12" a="1"/>
  <c r="I162" i="12" s="1"/>
  <c r="L204" i="12" a="1"/>
  <c r="L204" i="12" s="1"/>
  <c r="L192" i="12" a="1"/>
  <c r="L192" i="12" s="1"/>
  <c r="L180" i="12" a="1"/>
  <c r="L180" i="12" s="1"/>
  <c r="L168" i="12" a="1"/>
  <c r="L168" i="12" s="1"/>
  <c r="L156" i="12" a="1"/>
  <c r="L156" i="12" s="1"/>
  <c r="L131" i="12" a="1"/>
  <c r="L131" i="12" s="1"/>
  <c r="I175" i="12" a="1"/>
  <c r="I175" i="12" s="1"/>
  <c r="I163" i="12" a="1"/>
  <c r="I163" i="12" s="1"/>
  <c r="I152" i="12" a="1"/>
  <c r="I152" i="12" s="1"/>
  <c r="L133" i="12" a="1"/>
  <c r="L133" i="12" s="1"/>
  <c r="I147" i="12" a="1"/>
  <c r="I147" i="12" s="1"/>
  <c r="L135" i="12" a="1"/>
  <c r="L135" i="12" s="1"/>
  <c r="L116" i="12" a="1"/>
  <c r="L116" i="12" s="1"/>
  <c r="L145" i="12" a="1"/>
  <c r="L145" i="12" s="1"/>
  <c r="I133" i="12" a="1"/>
  <c r="I133" i="12" s="1"/>
  <c r="I117" i="12" a="1"/>
  <c r="I117" i="12" s="1"/>
  <c r="L119" i="12" a="1"/>
  <c r="L119" i="12" s="1"/>
  <c r="L107" i="12" a="1"/>
  <c r="L107" i="12" s="1"/>
  <c r="I134" i="12" a="1"/>
  <c r="I134" i="12" s="1"/>
  <c r="I122" i="12" a="1"/>
  <c r="I122" i="12" s="1"/>
  <c r="I110" i="12" a="1"/>
  <c r="I110" i="12" s="1"/>
  <c r="L125" i="12" a="1"/>
  <c r="L125" i="12" s="1"/>
  <c r="M382" i="12" a="1"/>
  <c r="M382" i="12" s="1"/>
  <c r="M310" i="12" a="1"/>
  <c r="M310" i="12" s="1"/>
  <c r="M242" i="12" a="1"/>
  <c r="M242" i="12" s="1"/>
  <c r="M170" i="12" a="1"/>
  <c r="M170" i="12" s="1"/>
  <c r="M102" i="12" a="1"/>
  <c r="M102" i="12" s="1"/>
  <c r="M409" i="12" a="1"/>
  <c r="M409" i="12" s="1"/>
  <c r="M385" i="12" a="1"/>
  <c r="M385" i="12" s="1"/>
  <c r="M361" i="12" a="1"/>
  <c r="M361" i="12" s="1"/>
  <c r="M337" i="12" a="1"/>
  <c r="M337" i="12" s="1"/>
  <c r="M313" i="12" a="1"/>
  <c r="M313" i="12" s="1"/>
  <c r="M289" i="12" a="1"/>
  <c r="M289" i="12" s="1"/>
  <c r="M265" i="12" a="1"/>
  <c r="M265" i="12" s="1"/>
  <c r="M241" i="12" a="1"/>
  <c r="M241" i="12" s="1"/>
  <c r="M217" i="12" a="1"/>
  <c r="M217" i="12" s="1"/>
  <c r="M193" i="12" a="1"/>
  <c r="M193" i="12" s="1"/>
  <c r="M169" i="12" a="1"/>
  <c r="M169" i="12" s="1"/>
  <c r="M145" i="12" a="1"/>
  <c r="M145" i="12" s="1"/>
  <c r="M121" i="12" a="1"/>
  <c r="M121" i="12" s="1"/>
  <c r="M410" i="12" a="1"/>
  <c r="M410" i="12" s="1"/>
  <c r="M338" i="12" a="1"/>
  <c r="M338" i="12" s="1"/>
  <c r="M258" i="12" a="1"/>
  <c r="M258" i="12" s="1"/>
  <c r="M190" i="12" a="1"/>
  <c r="M190" i="12" s="1"/>
  <c r="M118" i="12" a="1"/>
  <c r="M118" i="12" s="1"/>
  <c r="M412" i="12" a="1"/>
  <c r="M412" i="12" s="1"/>
  <c r="M388" i="12" a="1"/>
  <c r="M388" i="12" s="1"/>
  <c r="M364" i="12" a="1"/>
  <c r="M364" i="12" s="1"/>
  <c r="M340" i="12" a="1"/>
  <c r="M340" i="12" s="1"/>
  <c r="M316" i="12" a="1"/>
  <c r="M316" i="12" s="1"/>
  <c r="M292" i="12" a="1"/>
  <c r="M292" i="12" s="1"/>
  <c r="M268" i="12" a="1"/>
  <c r="M268" i="12" s="1"/>
  <c r="M244" i="12" a="1"/>
  <c r="M244" i="12" s="1"/>
  <c r="M220" i="12" a="1"/>
  <c r="M220" i="12" s="1"/>
  <c r="M196" i="12" a="1"/>
  <c r="M196" i="12" s="1"/>
  <c r="M172" i="12" a="1"/>
  <c r="M172" i="12" s="1"/>
  <c r="M148" i="12" a="1"/>
  <c r="M148" i="12" s="1"/>
  <c r="M124" i="12" a="1"/>
  <c r="M124" i="12" s="1"/>
  <c r="M100" i="12" a="1"/>
  <c r="M100" i="12" s="1"/>
  <c r="M402" i="12" a="1"/>
  <c r="M402" i="12" s="1"/>
  <c r="M330" i="12" a="1"/>
  <c r="M330" i="12" s="1"/>
  <c r="M262" i="12" a="1"/>
  <c r="M262" i="12" s="1"/>
  <c r="M186" i="12" a="1"/>
  <c r="M186" i="12" s="1"/>
  <c r="M110" i="12" a="1"/>
  <c r="M110" i="12" s="1"/>
  <c r="M415" i="12" a="1"/>
  <c r="M415" i="12" s="1"/>
  <c r="M391" i="12" a="1"/>
  <c r="M391" i="12" s="1"/>
  <c r="M367" i="12" a="1"/>
  <c r="M367" i="12" s="1"/>
  <c r="M343" i="12" a="1"/>
  <c r="M343" i="12" s="1"/>
  <c r="M319" i="12" a="1"/>
  <c r="M319" i="12" s="1"/>
  <c r="M295" i="12" a="1"/>
  <c r="M295" i="12" s="1"/>
  <c r="M271" i="12" a="1"/>
  <c r="M271" i="12" s="1"/>
  <c r="M247" i="12" a="1"/>
  <c r="M247" i="12" s="1"/>
  <c r="M223" i="12" a="1"/>
  <c r="M223" i="12" s="1"/>
  <c r="M199" i="12" a="1"/>
  <c r="M199" i="12" s="1"/>
  <c r="M175" i="12" a="1"/>
  <c r="M175" i="12" s="1"/>
  <c r="M151" i="12" a="1"/>
  <c r="M151" i="12" s="1"/>
  <c r="M127" i="12" a="1"/>
  <c r="M127" i="12" s="1"/>
  <c r="M103" i="12" a="1"/>
  <c r="M103" i="12" s="1"/>
  <c r="L195" i="12" a="1"/>
  <c r="L195" i="12" s="1"/>
  <c r="L179" i="12" a="1"/>
  <c r="L179" i="12" s="1"/>
  <c r="I158" i="12" a="1"/>
  <c r="I158" i="12" s="1"/>
  <c r="L202" i="12" a="1"/>
  <c r="L202" i="12" s="1"/>
  <c r="L190" i="12" a="1"/>
  <c r="L190" i="12" s="1"/>
  <c r="N190" i="12" s="1"/>
  <c r="L178" i="12" a="1"/>
  <c r="L178" i="12" s="1"/>
  <c r="L166" i="12" a="1"/>
  <c r="L166" i="12" s="1"/>
  <c r="L154" i="12" a="1"/>
  <c r="L154" i="12" s="1"/>
  <c r="I127" i="12" a="1"/>
  <c r="I127" i="12" s="1"/>
  <c r="I173" i="12" a="1"/>
  <c r="I173" i="12" s="1"/>
  <c r="I161" i="12" a="1"/>
  <c r="I161" i="12" s="1"/>
  <c r="L149" i="12" a="1"/>
  <c r="L149" i="12" s="1"/>
  <c r="I129" i="12" a="1"/>
  <c r="I129" i="12" s="1"/>
  <c r="I145" i="12" a="1"/>
  <c r="I145" i="12" s="1"/>
  <c r="I131" i="12" a="1"/>
  <c r="I131" i="12" s="1"/>
  <c r="L112" i="12" a="1"/>
  <c r="L112" i="12" s="1"/>
  <c r="L143" i="12" a="1"/>
  <c r="L143" i="12" s="1"/>
  <c r="L130" i="12" a="1"/>
  <c r="L130" i="12" s="1"/>
  <c r="I113" i="12" a="1"/>
  <c r="I113" i="12" s="1"/>
  <c r="L117" i="12" a="1"/>
  <c r="L117" i="12" s="1"/>
  <c r="L105" i="12" a="1"/>
  <c r="L105" i="12" s="1"/>
  <c r="I132" i="12" a="1"/>
  <c r="I132" i="12" s="1"/>
  <c r="I120" i="12" a="1"/>
  <c r="I120" i="12" s="1"/>
  <c r="I108" i="12" a="1"/>
  <c r="I108" i="12" s="1"/>
  <c r="L124" i="12" a="1"/>
  <c r="L124" i="12" s="1"/>
  <c r="N124" i="12" s="1"/>
  <c r="M370" i="12" a="1"/>
  <c r="M370" i="12" s="1"/>
  <c r="M298" i="12" a="1"/>
  <c r="M298" i="12" s="1"/>
  <c r="M230" i="12" a="1"/>
  <c r="M230" i="12" s="1"/>
  <c r="M158" i="12" a="1"/>
  <c r="M158" i="12" s="1"/>
  <c r="M405" i="12" a="1"/>
  <c r="M405" i="12" s="1"/>
  <c r="M381" i="12" a="1"/>
  <c r="M381" i="12" s="1"/>
  <c r="M357" i="12" a="1"/>
  <c r="M357" i="12" s="1"/>
  <c r="M333" i="12" a="1"/>
  <c r="M333" i="12" s="1"/>
  <c r="M309" i="12" a="1"/>
  <c r="M309" i="12" s="1"/>
  <c r="M285" i="12" a="1"/>
  <c r="M285" i="12" s="1"/>
  <c r="M261" i="12" a="1"/>
  <c r="M261" i="12" s="1"/>
  <c r="M237" i="12" a="1"/>
  <c r="M237" i="12" s="1"/>
  <c r="M213" i="12" a="1"/>
  <c r="M213" i="12" s="1"/>
  <c r="M189" i="12" a="1"/>
  <c r="M189" i="12" s="1"/>
  <c r="M165" i="12" a="1"/>
  <c r="M165" i="12" s="1"/>
  <c r="M141" i="12" a="1"/>
  <c r="M141" i="12" s="1"/>
  <c r="M117" i="12" a="1"/>
  <c r="M117" i="12" s="1"/>
  <c r="M398" i="12" a="1"/>
  <c r="M398" i="12" s="1"/>
  <c r="M326" i="12" a="1"/>
  <c r="M326" i="12" s="1"/>
  <c r="M246" i="12" a="1"/>
  <c r="M246" i="12" s="1"/>
  <c r="M174" i="12" a="1"/>
  <c r="M174" i="12" s="1"/>
  <c r="M106" i="12" a="1"/>
  <c r="M106" i="12" s="1"/>
  <c r="M408" i="12" a="1"/>
  <c r="M408" i="12" s="1"/>
  <c r="M384" i="12" a="1"/>
  <c r="M384" i="12" s="1"/>
  <c r="M360" i="12" a="1"/>
  <c r="M360" i="12" s="1"/>
  <c r="M336" i="12" a="1"/>
  <c r="M336" i="12" s="1"/>
  <c r="M312" i="12" a="1"/>
  <c r="M312" i="12" s="1"/>
  <c r="M288" i="12" a="1"/>
  <c r="M288" i="12" s="1"/>
  <c r="M264" i="12" a="1"/>
  <c r="M264" i="12" s="1"/>
  <c r="M240" i="12" a="1"/>
  <c r="M240" i="12" s="1"/>
  <c r="M216" i="12" a="1"/>
  <c r="M216" i="12" s="1"/>
  <c r="M192" i="12" a="1"/>
  <c r="M192" i="12" s="1"/>
  <c r="M168" i="12" a="1"/>
  <c r="M168" i="12" s="1"/>
  <c r="M144" i="12" a="1"/>
  <c r="M144" i="12" s="1"/>
  <c r="M120" i="12" a="1"/>
  <c r="M120" i="12" s="1"/>
  <c r="M390" i="12" a="1"/>
  <c r="M390" i="12" s="1"/>
  <c r="M318" i="12" a="1"/>
  <c r="M318" i="12" s="1"/>
  <c r="M250" i="12" a="1"/>
  <c r="M250" i="12" s="1"/>
  <c r="M178" i="12" a="1"/>
  <c r="M178" i="12" s="1"/>
  <c r="M411" i="12" a="1"/>
  <c r="M411" i="12" s="1"/>
  <c r="M387" i="12" a="1"/>
  <c r="M387" i="12" s="1"/>
  <c r="M363" i="12" a="1"/>
  <c r="M363" i="12" s="1"/>
  <c r="M339" i="12" a="1"/>
  <c r="M339" i="12" s="1"/>
  <c r="M315" i="12" a="1"/>
  <c r="M315" i="12" s="1"/>
  <c r="M291" i="12" a="1"/>
  <c r="M291" i="12" s="1"/>
  <c r="M267" i="12" a="1"/>
  <c r="M267" i="12" s="1"/>
  <c r="M243" i="12" a="1"/>
  <c r="M243" i="12" s="1"/>
  <c r="M219" i="12" a="1"/>
  <c r="M219" i="12" s="1"/>
  <c r="M195" i="12" a="1"/>
  <c r="M195" i="12" s="1"/>
  <c r="M171" i="12" a="1"/>
  <c r="M171" i="12" s="1"/>
  <c r="M147" i="12" a="1"/>
  <c r="M147" i="12" s="1"/>
  <c r="M123" i="12" a="1"/>
  <c r="M123" i="12" s="1"/>
  <c r="I179" i="12" a="1"/>
  <c r="I179" i="12" s="1"/>
  <c r="L344" i="12" a="1"/>
  <c r="L344" i="12" s="1"/>
  <c r="L332" i="12" a="1"/>
  <c r="L332" i="12" s="1"/>
  <c r="L320" i="12" a="1"/>
  <c r="L320" i="12" s="1"/>
  <c r="L308" i="12" a="1"/>
  <c r="L308" i="12" s="1"/>
  <c r="L296" i="12" a="1"/>
  <c r="L296" i="12" s="1"/>
  <c r="L284" i="12" a="1"/>
  <c r="L284" i="12" s="1"/>
  <c r="L272" i="12" a="1"/>
  <c r="L272" i="12" s="1"/>
  <c r="L260" i="12" a="1"/>
  <c r="L260" i="12" s="1"/>
  <c r="I246" i="12" a="1"/>
  <c r="I246" i="12" s="1"/>
  <c r="L226" i="12" a="1"/>
  <c r="L226" i="12" s="1"/>
  <c r="L205" i="12" a="1"/>
  <c r="L205" i="12" s="1"/>
  <c r="L175" i="12" a="1"/>
  <c r="L175" i="12" s="1"/>
  <c r="N175" i="12" s="1"/>
  <c r="I355" i="12" a="1"/>
  <c r="I355" i="12" s="1"/>
  <c r="I343" i="12" a="1"/>
  <c r="I343" i="12" s="1"/>
  <c r="I331" i="12" a="1"/>
  <c r="I331" i="12" s="1"/>
  <c r="I319" i="12" a="1"/>
  <c r="I319" i="12" s="1"/>
  <c r="I307" i="12" a="1"/>
  <c r="I307" i="12" s="1"/>
  <c r="I295" i="12" a="1"/>
  <c r="I295" i="12" s="1"/>
  <c r="I283" i="12" a="1"/>
  <c r="I283" i="12" s="1"/>
  <c r="I271" i="12" a="1"/>
  <c r="I271" i="12" s="1"/>
  <c r="I259" i="12" a="1"/>
  <c r="I259" i="12" s="1"/>
  <c r="L244" i="12" a="1"/>
  <c r="L244" i="12" s="1"/>
  <c r="N244" i="12" s="1"/>
  <c r="I219" i="12" a="1"/>
  <c r="I219" i="12" s="1"/>
  <c r="L191" i="12" a="1"/>
  <c r="L191" i="12" s="1"/>
  <c r="L142" i="12" a="1"/>
  <c r="L142" i="12" s="1"/>
  <c r="L247" i="12" a="1"/>
  <c r="L247" i="12" s="1"/>
  <c r="N247" i="12" s="1"/>
  <c r="L235" i="12" a="1"/>
  <c r="L235" i="12" s="1"/>
  <c r="L223" i="12" a="1"/>
  <c r="L223" i="12" s="1"/>
  <c r="N223" i="12" s="1"/>
  <c r="L211" i="12" a="1"/>
  <c r="L211" i="12" s="1"/>
  <c r="I197" i="12" a="1"/>
  <c r="I197" i="12" s="1"/>
  <c r="I181" i="12" a="1"/>
  <c r="I181" i="12" s="1"/>
  <c r="L161" i="12" a="1"/>
  <c r="L161" i="12" s="1"/>
  <c r="I140" i="12" a="1"/>
  <c r="I140" i="12" s="1"/>
  <c r="I232" i="12" a="1"/>
  <c r="I232" i="12" s="1"/>
  <c r="I220" i="12" a="1"/>
  <c r="I220" i="12" s="1"/>
  <c r="I208" i="12" a="1"/>
  <c r="I208" i="12" s="1"/>
  <c r="I191" i="12" a="1"/>
  <c r="I191" i="12" s="1"/>
  <c r="I178" i="12" a="1"/>
  <c r="I178" i="12" s="1"/>
  <c r="I154" i="12" a="1"/>
  <c r="I154" i="12" s="1"/>
  <c r="L200" i="12" a="1"/>
  <c r="L200" i="12" s="1"/>
  <c r="L188" i="12" a="1"/>
  <c r="L188" i="12" s="1"/>
  <c r="L176" i="12" a="1"/>
  <c r="L176" i="12" s="1"/>
  <c r="L164" i="12" a="1"/>
  <c r="L164" i="12" s="1"/>
  <c r="I150" i="12" a="1"/>
  <c r="I150" i="12" s="1"/>
  <c r="L118" i="12" a="1"/>
  <c r="L118" i="12" s="1"/>
  <c r="N118" i="12" s="1"/>
  <c r="I171" i="12" a="1"/>
  <c r="I171" i="12" s="1"/>
  <c r="I159" i="12" a="1"/>
  <c r="I159" i="12" s="1"/>
  <c r="L148" i="12" a="1"/>
  <c r="L148" i="12" s="1"/>
  <c r="N148" i="12" s="1"/>
  <c r="I115" i="12" a="1"/>
  <c r="I115" i="12" s="1"/>
  <c r="I143" i="12" a="1"/>
  <c r="I143" i="12" s="1"/>
  <c r="L128" i="12" a="1"/>
  <c r="L128" i="12" s="1"/>
  <c r="L108" i="12" a="1"/>
  <c r="L108" i="12" s="1"/>
  <c r="L141" i="12" a="1"/>
  <c r="L141" i="12" s="1"/>
  <c r="N141" i="12" s="1"/>
  <c r="L129" i="12" a="1"/>
  <c r="L129" i="12" s="1"/>
  <c r="I109" i="12" a="1"/>
  <c r="I109" i="12" s="1"/>
  <c r="L115" i="12" a="1"/>
  <c r="L115" i="12" s="1"/>
  <c r="L103" i="12" a="1"/>
  <c r="L103" i="12" s="1"/>
  <c r="N103" i="12" s="1"/>
  <c r="I130" i="12" a="1"/>
  <c r="I130" i="12" s="1"/>
  <c r="I118" i="12" a="1"/>
  <c r="I118" i="12" s="1"/>
  <c r="I106" i="12" a="1"/>
  <c r="I106" i="12" s="1"/>
  <c r="L123" i="12" a="1"/>
  <c r="L123" i="12" s="1"/>
  <c r="N123" i="12" s="1"/>
  <c r="M358" i="12" a="1"/>
  <c r="M358" i="12" s="1"/>
  <c r="N358" i="12" s="1"/>
  <c r="M290" i="12" a="1"/>
  <c r="M290" i="12" s="1"/>
  <c r="M218" i="12" a="1"/>
  <c r="M218" i="12" s="1"/>
  <c r="M146" i="12" a="1"/>
  <c r="M146" i="12" s="1"/>
  <c r="M401" i="12" a="1"/>
  <c r="M401" i="12" s="1"/>
  <c r="M377" i="12" a="1"/>
  <c r="M377" i="12" s="1"/>
  <c r="M353" i="12" a="1"/>
  <c r="M353" i="12" s="1"/>
  <c r="M329" i="12" a="1"/>
  <c r="M329" i="12" s="1"/>
  <c r="M305" i="12" a="1"/>
  <c r="M305" i="12" s="1"/>
  <c r="M281" i="12" a="1"/>
  <c r="M281" i="12" s="1"/>
  <c r="M257" i="12" a="1"/>
  <c r="M257" i="12" s="1"/>
  <c r="M233" i="12" a="1"/>
  <c r="M233" i="12" s="1"/>
  <c r="M209" i="12" a="1"/>
  <c r="M209" i="12" s="1"/>
  <c r="M185" i="12" a="1"/>
  <c r="M185" i="12" s="1"/>
  <c r="M161" i="12" a="1"/>
  <c r="M161" i="12" s="1"/>
  <c r="M137" i="12" a="1"/>
  <c r="M137" i="12" s="1"/>
  <c r="M113" i="12" a="1"/>
  <c r="M113" i="12" s="1"/>
  <c r="M386" i="12" a="1"/>
  <c r="M386" i="12" s="1"/>
  <c r="M314" i="12" a="1"/>
  <c r="M314" i="12" s="1"/>
  <c r="M234" i="12" a="1"/>
  <c r="M234" i="12" s="1"/>
  <c r="M162" i="12" a="1"/>
  <c r="M162" i="12" s="1"/>
  <c r="M404" i="12" a="1"/>
  <c r="M404" i="12" s="1"/>
  <c r="M380" i="12" a="1"/>
  <c r="M380" i="12" s="1"/>
  <c r="M356" i="12" a="1"/>
  <c r="M356" i="12" s="1"/>
  <c r="M332" i="12" a="1"/>
  <c r="M332" i="12" s="1"/>
  <c r="M308" i="12" a="1"/>
  <c r="M308" i="12" s="1"/>
  <c r="M284" i="12" a="1"/>
  <c r="M284" i="12" s="1"/>
  <c r="M260" i="12" a="1"/>
  <c r="M260" i="12" s="1"/>
  <c r="M236" i="12" a="1"/>
  <c r="M236" i="12" s="1"/>
  <c r="M212" i="12" a="1"/>
  <c r="M212" i="12" s="1"/>
  <c r="M188" i="12" a="1"/>
  <c r="M188" i="12" s="1"/>
  <c r="M164" i="12" a="1"/>
  <c r="M164" i="12" s="1"/>
  <c r="M140" i="12" a="1"/>
  <c r="M140" i="12" s="1"/>
  <c r="M116" i="12" a="1"/>
  <c r="M116" i="12" s="1"/>
  <c r="M378" i="12" a="1"/>
  <c r="M378" i="12" s="1"/>
  <c r="M306" i="12" a="1"/>
  <c r="M306" i="12" s="1"/>
  <c r="M238" i="12" a="1"/>
  <c r="M238" i="12" s="1"/>
  <c r="M166" i="12" a="1"/>
  <c r="M166" i="12" s="1"/>
  <c r="M407" i="12" a="1"/>
  <c r="M407" i="12" s="1"/>
  <c r="M383" i="12" a="1"/>
  <c r="M383" i="12" s="1"/>
  <c r="M359" i="12" a="1"/>
  <c r="M359" i="12" s="1"/>
  <c r="M335" i="12" a="1"/>
  <c r="M335" i="12" s="1"/>
  <c r="M311" i="12" a="1"/>
  <c r="M311" i="12" s="1"/>
  <c r="M287" i="12" a="1"/>
  <c r="M287" i="12" s="1"/>
  <c r="M263" i="12" a="1"/>
  <c r="M263" i="12" s="1"/>
  <c r="M239" i="12" a="1"/>
  <c r="M239" i="12" s="1"/>
  <c r="M215" i="12" a="1"/>
  <c r="M215" i="12" s="1"/>
  <c r="M191" i="12" a="1"/>
  <c r="M191" i="12" s="1"/>
  <c r="M167" i="12" a="1"/>
  <c r="M167" i="12" s="1"/>
  <c r="M143" i="12" a="1"/>
  <c r="M143" i="12" s="1"/>
  <c r="M119" i="12" a="1"/>
  <c r="M119" i="12" s="1"/>
  <c r="I176" i="12" a="1"/>
  <c r="I176" i="12" s="1"/>
  <c r="L342" i="12" a="1"/>
  <c r="L342" i="12" s="1"/>
  <c r="L330" i="12" a="1"/>
  <c r="L330" i="12" s="1"/>
  <c r="N330" i="12" s="1"/>
  <c r="L318" i="12" a="1"/>
  <c r="L318" i="12" s="1"/>
  <c r="N318" i="12" s="1"/>
  <c r="L306" i="12" a="1"/>
  <c r="L306" i="12" s="1"/>
  <c r="N306" i="12" s="1"/>
  <c r="L294" i="12" a="1"/>
  <c r="L294" i="12" s="1"/>
  <c r="L282" i="12" a="1"/>
  <c r="L282" i="12" s="1"/>
  <c r="L270" i="12" a="1"/>
  <c r="L270" i="12" s="1"/>
  <c r="L258" i="12" a="1"/>
  <c r="L258" i="12" s="1"/>
  <c r="N258" i="12" s="1"/>
  <c r="I245" i="12" a="1"/>
  <c r="I245" i="12" s="1"/>
  <c r="L222" i="12" a="1"/>
  <c r="L222" i="12" s="1"/>
  <c r="I201" i="12" a="1"/>
  <c r="I201" i="12" s="1"/>
  <c r="L167" i="12" a="1"/>
  <c r="L167" i="12" s="1"/>
  <c r="N167" i="12" s="1"/>
  <c r="I353" i="12" a="1"/>
  <c r="I353" i="12" s="1"/>
  <c r="I341" i="12" a="1"/>
  <c r="I341" i="12" s="1"/>
  <c r="I329" i="12" a="1"/>
  <c r="I329" i="12" s="1"/>
  <c r="I317" i="12" a="1"/>
  <c r="I317" i="12" s="1"/>
  <c r="I305" i="12" a="1"/>
  <c r="I305" i="12" s="1"/>
  <c r="I293" i="12" a="1"/>
  <c r="I293" i="12" s="1"/>
  <c r="I281" i="12" a="1"/>
  <c r="I281" i="12" s="1"/>
  <c r="I269" i="12" a="1"/>
  <c r="I269" i="12" s="1"/>
  <c r="I257" i="12" a="1"/>
  <c r="I257" i="12" s="1"/>
  <c r="I239" i="12" a="1"/>
  <c r="I239" i="12" s="1"/>
  <c r="I215" i="12" a="1"/>
  <c r="I215" i="12" s="1"/>
  <c r="I187" i="12" a="1"/>
  <c r="I187" i="12" s="1"/>
  <c r="L126" i="12" a="1"/>
  <c r="L126" i="12" s="1"/>
  <c r="N126" i="12" s="1"/>
  <c r="L245" i="12" a="1"/>
  <c r="L245" i="12" s="1"/>
  <c r="L233" i="12" a="1"/>
  <c r="L233" i="12" s="1"/>
  <c r="N233" i="12" s="1"/>
  <c r="L221" i="12" a="1"/>
  <c r="L221" i="12" s="1"/>
  <c r="L209" i="12" a="1"/>
  <c r="L209" i="12" s="1"/>
  <c r="N209" i="12" s="1"/>
  <c r="I196" i="12" a="1"/>
  <c r="I196" i="12" s="1"/>
  <c r="I180" i="12" a="1"/>
  <c r="I180" i="12" s="1"/>
  <c r="L157" i="12" a="1"/>
  <c r="L157" i="12" s="1"/>
  <c r="L114" i="12" a="1"/>
  <c r="L114" i="12" s="1"/>
  <c r="N114" i="12" s="1"/>
  <c r="I230" i="12" a="1"/>
  <c r="I230" i="12" s="1"/>
  <c r="I218" i="12" a="1"/>
  <c r="I218" i="12" s="1"/>
  <c r="I206" i="12" a="1"/>
  <c r="I206" i="12" s="1"/>
  <c r="I190" i="12" a="1"/>
  <c r="I190" i="12" s="1"/>
  <c r="I174" i="12" a="1"/>
  <c r="I174" i="12" s="1"/>
  <c r="L152" i="12" a="1"/>
  <c r="L152" i="12" s="1"/>
  <c r="L198" i="12" a="1"/>
  <c r="L198" i="12" s="1"/>
  <c r="L186" i="12" a="1"/>
  <c r="L186" i="12" s="1"/>
  <c r="N186" i="12" s="1"/>
  <c r="L174" i="12" a="1"/>
  <c r="L174" i="12" s="1"/>
  <c r="N174" i="12" s="1"/>
  <c r="L162" i="12" a="1"/>
  <c r="L162" i="12" s="1"/>
  <c r="I146" i="12" a="1"/>
  <c r="I146" i="12" s="1"/>
  <c r="L110" i="12" a="1"/>
  <c r="L110" i="12" s="1"/>
  <c r="N110" i="12" s="1"/>
  <c r="I169" i="12" a="1"/>
  <c r="I169" i="12" s="1"/>
  <c r="I157" i="12" a="1"/>
  <c r="I157" i="12" s="1"/>
  <c r="L144" i="12" a="1"/>
  <c r="L144" i="12" s="1"/>
  <c r="N144" i="12" s="1"/>
  <c r="I107" i="12" a="1"/>
  <c r="I107" i="12" s="1"/>
  <c r="I141" i="12" a="1"/>
  <c r="I141" i="12" s="1"/>
  <c r="L127" i="12" a="1"/>
  <c r="L127" i="12" s="1"/>
  <c r="N127" i="12" s="1"/>
  <c r="L104" i="12" a="1"/>
  <c r="L104" i="12" s="1"/>
  <c r="L139" i="12" a="1"/>
  <c r="L139" i="12" s="1"/>
  <c r="I125" i="12" a="1"/>
  <c r="I125" i="12" s="1"/>
  <c r="I105" i="12" a="1"/>
  <c r="I105" i="12" s="1"/>
  <c r="L113" i="12" a="1"/>
  <c r="L113" i="12" s="1"/>
  <c r="N113" i="12" s="1"/>
  <c r="L101" i="12" a="1"/>
  <c r="L101" i="12" s="1"/>
  <c r="I128" i="12" a="1"/>
  <c r="I128" i="12" s="1"/>
  <c r="I116" i="12" a="1"/>
  <c r="I116" i="12" s="1"/>
  <c r="I104" i="12" a="1"/>
  <c r="I104" i="12" s="1"/>
  <c r="M418" i="12" a="1"/>
  <c r="M418" i="12" s="1"/>
  <c r="M346" i="12" a="1"/>
  <c r="M346" i="12" s="1"/>
  <c r="M278" i="12" a="1"/>
  <c r="M278" i="12" s="1"/>
  <c r="M206" i="12" a="1"/>
  <c r="M206" i="12" s="1"/>
  <c r="M134" i="12" a="1"/>
  <c r="M134" i="12" s="1"/>
  <c r="M421" i="12" a="1"/>
  <c r="M421" i="12" s="1"/>
  <c r="M397" i="12" a="1"/>
  <c r="M397" i="12" s="1"/>
  <c r="N397" i="12" s="1"/>
  <c r="M373" i="12" a="1"/>
  <c r="M373" i="12" s="1"/>
  <c r="M349" i="12" a="1"/>
  <c r="M349" i="12" s="1"/>
  <c r="M325" i="12" a="1"/>
  <c r="M325" i="12" s="1"/>
  <c r="M301" i="12" a="1"/>
  <c r="M301" i="12" s="1"/>
  <c r="M277" i="12" a="1"/>
  <c r="M277" i="12" s="1"/>
  <c r="M253" i="12" a="1"/>
  <c r="M253" i="12" s="1"/>
  <c r="M229" i="12" a="1"/>
  <c r="M229" i="12" s="1"/>
  <c r="M205" i="12" a="1"/>
  <c r="M205" i="12" s="1"/>
  <c r="M181" i="12" a="1"/>
  <c r="M181" i="12" s="1"/>
  <c r="M157" i="12" a="1"/>
  <c r="M157" i="12" s="1"/>
  <c r="M133" i="12" a="1"/>
  <c r="M133" i="12" s="1"/>
  <c r="M109" i="12" a="1"/>
  <c r="M109" i="12" s="1"/>
  <c r="M374" i="12" a="1"/>
  <c r="M374" i="12" s="1"/>
  <c r="M302" i="12" a="1"/>
  <c r="M302" i="12" s="1"/>
  <c r="M222" i="12" a="1"/>
  <c r="M222" i="12" s="1"/>
  <c r="M150" i="12" a="1"/>
  <c r="M150" i="12" s="1"/>
  <c r="M400" i="12" a="1"/>
  <c r="M400" i="12" s="1"/>
  <c r="M376" i="12" a="1"/>
  <c r="M376" i="12" s="1"/>
  <c r="M352" i="12" a="1"/>
  <c r="M352" i="12" s="1"/>
  <c r="M328" i="12" a="1"/>
  <c r="M328" i="12" s="1"/>
  <c r="M304" i="12" a="1"/>
  <c r="M304" i="12" s="1"/>
  <c r="M280" i="12" a="1"/>
  <c r="M280" i="12" s="1"/>
  <c r="M256" i="12" a="1"/>
  <c r="M256" i="12" s="1"/>
  <c r="M232" i="12" a="1"/>
  <c r="M232" i="12" s="1"/>
  <c r="M208" i="12" a="1"/>
  <c r="M208" i="12" s="1"/>
  <c r="N208" i="12" s="1"/>
  <c r="M184" i="12" a="1"/>
  <c r="M184" i="12" s="1"/>
  <c r="M160" i="12" a="1"/>
  <c r="M160" i="12" s="1"/>
  <c r="M136" i="12" a="1"/>
  <c r="M136" i="12" s="1"/>
  <c r="M112" i="12" a="1"/>
  <c r="M112" i="12" s="1"/>
  <c r="M366" i="12" a="1"/>
  <c r="M366" i="12" s="1"/>
  <c r="M294" i="12" a="1"/>
  <c r="M294" i="12" s="1"/>
  <c r="M226" i="12" a="1"/>
  <c r="M226" i="12" s="1"/>
  <c r="M154" i="12" a="1"/>
  <c r="M154" i="12" s="1"/>
  <c r="M403" i="12" a="1"/>
  <c r="M403" i="12" s="1"/>
  <c r="M379" i="12" a="1"/>
  <c r="M379" i="12" s="1"/>
  <c r="M355" i="12" a="1"/>
  <c r="M355" i="12" s="1"/>
  <c r="M331" i="12" a="1"/>
  <c r="M331" i="12" s="1"/>
  <c r="M307" i="12" a="1"/>
  <c r="M307" i="12" s="1"/>
  <c r="M283" i="12" a="1"/>
  <c r="M283" i="12" s="1"/>
  <c r="M259" i="12" a="1"/>
  <c r="M259" i="12" s="1"/>
  <c r="M235" i="12" a="1"/>
  <c r="M235" i="12" s="1"/>
  <c r="M211" i="12" a="1"/>
  <c r="M211" i="12" s="1"/>
  <c r="M187" i="12" a="1"/>
  <c r="M187" i="12" s="1"/>
  <c r="M163" i="12" a="1"/>
  <c r="M163" i="12" s="1"/>
  <c r="M139" i="12" a="1"/>
  <c r="M139" i="12" s="1"/>
  <c r="M115" i="12" a="1"/>
  <c r="M115" i="12" s="1"/>
  <c r="M273" i="12" a="1"/>
  <c r="M273" i="12" s="1"/>
  <c r="M249" i="12" a="1"/>
  <c r="M249" i="12" s="1"/>
  <c r="M225" i="12" a="1"/>
  <c r="M225" i="12" s="1"/>
  <c r="M201" i="12" a="1"/>
  <c r="M201" i="12" s="1"/>
  <c r="M177" i="12" a="1"/>
  <c r="M177" i="12" s="1"/>
  <c r="M153" i="12" a="1"/>
  <c r="M153" i="12" s="1"/>
  <c r="M129" i="12" a="1"/>
  <c r="M129" i="12" s="1"/>
  <c r="M105" i="12" a="1"/>
  <c r="M105" i="12" s="1"/>
  <c r="M362" i="12" a="1"/>
  <c r="M362" i="12" s="1"/>
  <c r="M282" i="12" a="1"/>
  <c r="M282" i="12" s="1"/>
  <c r="M210" i="12" a="1"/>
  <c r="M210" i="12" s="1"/>
  <c r="M138" i="12" a="1"/>
  <c r="M138" i="12" s="1"/>
  <c r="M420" i="12" a="1"/>
  <c r="M420" i="12" s="1"/>
  <c r="M396" i="12" a="1"/>
  <c r="M396" i="12" s="1"/>
  <c r="M372" i="12" a="1"/>
  <c r="M372" i="12" s="1"/>
  <c r="M348" i="12" a="1"/>
  <c r="M348" i="12" s="1"/>
  <c r="M324" i="12" a="1"/>
  <c r="M324" i="12" s="1"/>
  <c r="M300" i="12" a="1"/>
  <c r="M300" i="12" s="1"/>
  <c r="M276" i="12" a="1"/>
  <c r="M276" i="12" s="1"/>
  <c r="M252" i="12" a="1"/>
  <c r="M252" i="12" s="1"/>
  <c r="M228" i="12" a="1"/>
  <c r="M228" i="12" s="1"/>
  <c r="M204" i="12" a="1"/>
  <c r="M204" i="12" s="1"/>
  <c r="M180" i="12" a="1"/>
  <c r="M180" i="12" s="1"/>
  <c r="M156" i="12" a="1"/>
  <c r="M156" i="12" s="1"/>
  <c r="M132" i="12" a="1"/>
  <c r="M132" i="12" s="1"/>
  <c r="M108" i="12" a="1"/>
  <c r="M108" i="12" s="1"/>
  <c r="M354" i="12" a="1"/>
  <c r="M354" i="12" s="1"/>
  <c r="M286" i="12" a="1"/>
  <c r="M286" i="12" s="1"/>
  <c r="M214" i="12" a="1"/>
  <c r="M214" i="12" s="1"/>
  <c r="M142" i="12" a="1"/>
  <c r="M142" i="12" s="1"/>
  <c r="M423" i="12" a="1"/>
  <c r="M423" i="12" s="1"/>
  <c r="M399" i="12" a="1"/>
  <c r="M399" i="12" s="1"/>
  <c r="M375" i="12" a="1"/>
  <c r="M375" i="12" s="1"/>
  <c r="M351" i="12" a="1"/>
  <c r="M351" i="12" s="1"/>
  <c r="M327" i="12" a="1"/>
  <c r="M327" i="12" s="1"/>
  <c r="M303" i="12" a="1"/>
  <c r="M303" i="12" s="1"/>
  <c r="N303" i="12" s="1"/>
  <c r="M279" i="12" a="1"/>
  <c r="M279" i="12" s="1"/>
  <c r="M255" i="12" a="1"/>
  <c r="M255" i="12" s="1"/>
  <c r="M231" i="12" a="1"/>
  <c r="M231" i="12" s="1"/>
  <c r="M207" i="12" a="1"/>
  <c r="M207" i="12" s="1"/>
  <c r="M183" i="12" a="1"/>
  <c r="M183" i="12" s="1"/>
  <c r="M159" i="12" a="1"/>
  <c r="M159" i="12" s="1"/>
  <c r="M135" i="12" a="1"/>
  <c r="M135" i="12" s="1"/>
  <c r="M111" i="12" a="1"/>
  <c r="M111" i="12" s="1"/>
  <c r="M317" i="12" a="1"/>
  <c r="M317" i="12" s="1"/>
  <c r="M293" i="12" a="1"/>
  <c r="M293" i="12" s="1"/>
  <c r="M269" i="12" a="1"/>
  <c r="M269" i="12" s="1"/>
  <c r="M245" i="12" a="1"/>
  <c r="M245" i="12" s="1"/>
  <c r="M221" i="12" a="1"/>
  <c r="M221" i="12" s="1"/>
  <c r="M197" i="12" a="1"/>
  <c r="M197" i="12" s="1"/>
  <c r="M173" i="12" a="1"/>
  <c r="M173" i="12" s="1"/>
  <c r="M149" i="12" a="1"/>
  <c r="M149" i="12" s="1"/>
  <c r="M125" i="12" a="1"/>
  <c r="M125" i="12" s="1"/>
  <c r="M101" i="12" a="1"/>
  <c r="M101" i="12" s="1"/>
  <c r="M422" i="12" a="1"/>
  <c r="M422" i="12" s="1"/>
  <c r="M350" i="12" a="1"/>
  <c r="M350" i="12" s="1"/>
  <c r="M270" i="12" a="1"/>
  <c r="M270" i="12" s="1"/>
  <c r="M198" i="12" a="1"/>
  <c r="M198" i="12" s="1"/>
  <c r="M130" i="12" a="1"/>
  <c r="M130" i="12" s="1"/>
  <c r="M416" i="12" a="1"/>
  <c r="M416" i="12" s="1"/>
  <c r="M392" i="12" a="1"/>
  <c r="M392" i="12" s="1"/>
  <c r="M368" i="12" a="1"/>
  <c r="M368" i="12" s="1"/>
  <c r="M344" i="12" a="1"/>
  <c r="M344" i="12" s="1"/>
  <c r="M320" i="12" a="1"/>
  <c r="M320" i="12" s="1"/>
  <c r="M296" i="12" a="1"/>
  <c r="M296" i="12" s="1"/>
  <c r="M272" i="12" a="1"/>
  <c r="M272" i="12" s="1"/>
  <c r="M248" i="12" a="1"/>
  <c r="M248" i="12" s="1"/>
  <c r="M224" i="12" a="1"/>
  <c r="M224" i="12" s="1"/>
  <c r="M200" i="12" a="1"/>
  <c r="M200" i="12" s="1"/>
  <c r="M176" i="12" a="1"/>
  <c r="M176" i="12" s="1"/>
  <c r="M152" i="12" a="1"/>
  <c r="M152" i="12" s="1"/>
  <c r="M128" i="12" a="1"/>
  <c r="M128" i="12" s="1"/>
  <c r="M104" i="12" a="1"/>
  <c r="M104" i="12" s="1"/>
  <c r="M414" i="12" a="1"/>
  <c r="M414" i="12" s="1"/>
  <c r="M342" i="12" a="1"/>
  <c r="M342" i="12" s="1"/>
  <c r="M274" i="12" a="1"/>
  <c r="M274" i="12" s="1"/>
  <c r="M202" i="12" a="1"/>
  <c r="M202" i="12" s="1"/>
  <c r="M122" i="12" a="1"/>
  <c r="M122" i="12" s="1"/>
  <c r="M419" i="12" a="1"/>
  <c r="M419" i="12" s="1"/>
  <c r="M395" i="12" a="1"/>
  <c r="M395" i="12" s="1"/>
  <c r="M371" i="12" a="1"/>
  <c r="M371" i="12" s="1"/>
  <c r="N371" i="12" s="1"/>
  <c r="M347" i="12" a="1"/>
  <c r="M347" i="12" s="1"/>
  <c r="M323" i="12" a="1"/>
  <c r="M323" i="12" s="1"/>
  <c r="M299" i="12" a="1"/>
  <c r="M299" i="12" s="1"/>
  <c r="M275" i="12" a="1"/>
  <c r="M275" i="12" s="1"/>
  <c r="M251" i="12" a="1"/>
  <c r="M251" i="12" s="1"/>
  <c r="M227" i="12" a="1"/>
  <c r="M227" i="12" s="1"/>
  <c r="M203" i="12" a="1"/>
  <c r="M203" i="12" s="1"/>
  <c r="M179" i="12" a="1"/>
  <c r="M179" i="12" s="1"/>
  <c r="M155" i="12" a="1"/>
  <c r="M155" i="12" s="1"/>
  <c r="M131" i="12" a="1"/>
  <c r="M131" i="12" s="1"/>
  <c r="M107" i="12" a="1"/>
  <c r="M107" i="12" s="1"/>
  <c r="I699" i="1"/>
  <c r="I683" i="1"/>
  <c r="I679" i="1"/>
  <c r="I663" i="1"/>
  <c r="I647" i="1"/>
  <c r="I631" i="1"/>
  <c r="I615" i="1"/>
  <c r="I599" i="1"/>
  <c r="I583" i="1"/>
  <c r="I567" i="1"/>
  <c r="I551" i="1"/>
  <c r="I535" i="1"/>
  <c r="I519" i="1"/>
  <c r="I503" i="1"/>
  <c r="I487" i="1"/>
  <c r="I471" i="1"/>
  <c r="I455" i="1"/>
  <c r="I439" i="1"/>
  <c r="I423" i="1"/>
  <c r="I407" i="1"/>
  <c r="I391" i="1"/>
  <c r="I375" i="1"/>
  <c r="I359" i="1"/>
  <c r="I343" i="1"/>
  <c r="I327" i="1"/>
  <c r="I311" i="1"/>
  <c r="I295" i="1"/>
  <c r="I279" i="1"/>
  <c r="I263" i="1"/>
  <c r="I247" i="1"/>
  <c r="I231" i="1"/>
  <c r="I215" i="1"/>
  <c r="I199" i="1"/>
  <c r="I710" i="1"/>
  <c r="I694" i="1"/>
  <c r="I654" i="1"/>
  <c r="I638" i="1"/>
  <c r="I622" i="1"/>
  <c r="I606" i="1"/>
  <c r="I590" i="1"/>
  <c r="I574" i="1"/>
  <c r="I558" i="1"/>
  <c r="I542" i="1"/>
  <c r="I526" i="1"/>
  <c r="I510" i="1"/>
  <c r="I486" i="1"/>
  <c r="I470" i="1"/>
  <c r="I446" i="1"/>
  <c r="I430" i="1"/>
  <c r="I414" i="1"/>
  <c r="I398" i="1"/>
  <c r="I382" i="1"/>
  <c r="I366" i="1"/>
  <c r="I350" i="1"/>
  <c r="I334" i="1"/>
  <c r="I318" i="1"/>
  <c r="I302" i="1"/>
  <c r="I294" i="1"/>
  <c r="I278" i="1"/>
  <c r="I262" i="1"/>
  <c r="I246" i="1"/>
  <c r="I230" i="1"/>
  <c r="I214" i="1"/>
  <c r="I198" i="1"/>
  <c r="I709" i="1"/>
  <c r="I693" i="1"/>
  <c r="I669" i="1"/>
  <c r="I649" i="1"/>
  <c r="I633" i="1"/>
  <c r="I617" i="1"/>
  <c r="I601" i="1"/>
  <c r="I585" i="1"/>
  <c r="I569" i="1"/>
  <c r="I553" i="1"/>
  <c r="I537" i="1"/>
  <c r="I521" i="1"/>
  <c r="I505" i="1"/>
  <c r="I493" i="1"/>
  <c r="I477" i="1"/>
  <c r="I457" i="1"/>
  <c r="I441" i="1"/>
  <c r="I703" i="1"/>
  <c r="I687" i="1"/>
  <c r="I667" i="1"/>
  <c r="I651" i="1"/>
  <c r="I635" i="1"/>
  <c r="I619" i="1"/>
  <c r="I603" i="1"/>
  <c r="I587" i="1"/>
  <c r="I571" i="1"/>
  <c r="I555" i="1"/>
  <c r="I539" i="1"/>
  <c r="I523" i="1"/>
  <c r="I507" i="1"/>
  <c r="I491" i="1"/>
  <c r="I475" i="1"/>
  <c r="I459" i="1"/>
  <c r="I443" i="1"/>
  <c r="I427" i="1"/>
  <c r="I411" i="1"/>
  <c r="I395" i="1"/>
  <c r="I379" i="1"/>
  <c r="I363" i="1"/>
  <c r="I347" i="1"/>
  <c r="I331" i="1"/>
  <c r="I315" i="1"/>
  <c r="I299" i="1"/>
  <c r="I283" i="1"/>
  <c r="I267" i="1"/>
  <c r="I251" i="1"/>
  <c r="I235" i="1"/>
  <c r="I219" i="1"/>
  <c r="I203" i="1"/>
  <c r="I187" i="1"/>
  <c r="I698" i="1"/>
  <c r="I682" i="1"/>
  <c r="I670" i="1"/>
  <c r="I666" i="1"/>
  <c r="I658" i="1"/>
  <c r="I642" i="1"/>
  <c r="I626" i="1"/>
  <c r="I610" i="1"/>
  <c r="I594" i="1"/>
  <c r="I578" i="1"/>
  <c r="I562" i="1"/>
  <c r="I546" i="1"/>
  <c r="I530" i="1"/>
  <c r="I514" i="1"/>
  <c r="I490" i="1"/>
  <c r="I474" i="1"/>
  <c r="I450" i="1"/>
  <c r="I434" i="1"/>
  <c r="I418" i="1"/>
  <c r="I402" i="1"/>
  <c r="I386" i="1"/>
  <c r="I370" i="1"/>
  <c r="I354" i="1"/>
  <c r="I338" i="1"/>
  <c r="I322" i="1"/>
  <c r="I306" i="1"/>
  <c r="I298" i="1"/>
  <c r="I282" i="1"/>
  <c r="I266" i="1"/>
  <c r="I250" i="1"/>
  <c r="I234" i="1"/>
  <c r="I218" i="1"/>
  <c r="I202" i="1"/>
  <c r="I697" i="1"/>
  <c r="I681" i="1"/>
  <c r="I673" i="1"/>
  <c r="I653" i="1"/>
  <c r="I637" i="1"/>
  <c r="I621" i="1"/>
  <c r="I605" i="1"/>
  <c r="I589" i="1"/>
  <c r="I573" i="1"/>
  <c r="I557" i="1"/>
  <c r="I541" i="1"/>
  <c r="I525" i="1"/>
  <c r="I509" i="1"/>
  <c r="I497" i="1"/>
  <c r="I707" i="1"/>
  <c r="I691" i="1"/>
  <c r="I671" i="1"/>
  <c r="I655" i="1"/>
  <c r="I639" i="1"/>
  <c r="I623" i="1"/>
  <c r="I607" i="1"/>
  <c r="I591" i="1"/>
  <c r="I575" i="1"/>
  <c r="I559" i="1"/>
  <c r="I543" i="1"/>
  <c r="I527" i="1"/>
  <c r="I511" i="1"/>
  <c r="I495" i="1"/>
  <c r="I479" i="1"/>
  <c r="I463" i="1"/>
  <c r="I447" i="1"/>
  <c r="I431" i="1"/>
  <c r="I415" i="1"/>
  <c r="I399" i="1"/>
  <c r="I383" i="1"/>
  <c r="I367" i="1"/>
  <c r="I351" i="1"/>
  <c r="I335" i="1"/>
  <c r="I319" i="1"/>
  <c r="I303" i="1"/>
  <c r="I287" i="1"/>
  <c r="I271" i="1"/>
  <c r="I255" i="1"/>
  <c r="I239" i="1"/>
  <c r="I223" i="1"/>
  <c r="I207" i="1"/>
  <c r="I191" i="1"/>
  <c r="I702" i="1"/>
  <c r="I686" i="1"/>
  <c r="I662" i="1"/>
  <c r="I646" i="1"/>
  <c r="I630" i="1"/>
  <c r="I614" i="1"/>
  <c r="I598" i="1"/>
  <c r="I582" i="1"/>
  <c r="I566" i="1"/>
  <c r="I550" i="1"/>
  <c r="I534" i="1"/>
  <c r="I518" i="1"/>
  <c r="I502" i="1"/>
  <c r="I494" i="1"/>
  <c r="I478" i="1"/>
  <c r="I462" i="1"/>
  <c r="I454" i="1"/>
  <c r="I438" i="1"/>
  <c r="I422" i="1"/>
  <c r="I406" i="1"/>
  <c r="I390" i="1"/>
  <c r="I374" i="1"/>
  <c r="I358" i="1"/>
  <c r="I342" i="1"/>
  <c r="I326" i="1"/>
  <c r="I310" i="1"/>
  <c r="I286" i="1"/>
  <c r="I270" i="1"/>
  <c r="I254" i="1"/>
  <c r="I238" i="1"/>
  <c r="I222" i="1"/>
  <c r="I206" i="1"/>
  <c r="I190" i="1"/>
  <c r="I701" i="1"/>
  <c r="I685" i="1"/>
  <c r="I677" i="1"/>
  <c r="I657" i="1"/>
  <c r="I641" i="1"/>
  <c r="I625" i="1"/>
  <c r="I609" i="1"/>
  <c r="I593" i="1"/>
  <c r="I577" i="1"/>
  <c r="I561" i="1"/>
  <c r="I545" i="1"/>
  <c r="I529" i="1"/>
  <c r="I513" i="1"/>
  <c r="I485" i="1"/>
  <c r="I469" i="1"/>
  <c r="I449" i="1"/>
  <c r="I433" i="1"/>
  <c r="I417" i="1"/>
  <c r="I401" i="1"/>
  <c r="I196" i="1"/>
  <c r="I212" i="1"/>
  <c r="I228" i="1"/>
  <c r="I244" i="1"/>
  <c r="I260" i="1"/>
  <c r="I276" i="1"/>
  <c r="I292" i="1"/>
  <c r="I304" i="1"/>
  <c r="I320" i="1"/>
  <c r="I336" i="1"/>
  <c r="I352" i="1"/>
  <c r="I368" i="1"/>
  <c r="I384" i="1"/>
  <c r="I400" i="1"/>
  <c r="I416" i="1"/>
  <c r="I432" i="1"/>
  <c r="I448" i="1"/>
  <c r="I468" i="1"/>
  <c r="I484" i="1"/>
  <c r="I512" i="1"/>
  <c r="I528" i="1"/>
  <c r="I544" i="1"/>
  <c r="I560" i="1"/>
  <c r="I576" i="1"/>
  <c r="I592" i="1"/>
  <c r="I608" i="1"/>
  <c r="I624" i="1"/>
  <c r="I640" i="1"/>
  <c r="I656" i="1"/>
  <c r="I676" i="1"/>
  <c r="I680" i="1"/>
  <c r="I696" i="1"/>
  <c r="I193" i="1"/>
  <c r="I209" i="1"/>
  <c r="I225" i="1"/>
  <c r="I241" i="1"/>
  <c r="I257" i="1"/>
  <c r="I273" i="1"/>
  <c r="I289" i="1"/>
  <c r="I301" i="1"/>
  <c r="I317" i="1"/>
  <c r="I333" i="1"/>
  <c r="I349" i="1"/>
  <c r="I365" i="1"/>
  <c r="I381" i="1"/>
  <c r="I397" i="1"/>
  <c r="I409" i="1"/>
  <c r="I421" i="1"/>
  <c r="I445" i="1"/>
  <c r="I481" i="1"/>
  <c r="I517" i="1"/>
  <c r="I581" i="1"/>
  <c r="I645" i="1"/>
  <c r="I689" i="1"/>
  <c r="I210" i="1"/>
  <c r="I274" i="1"/>
  <c r="I314" i="1"/>
  <c r="I378" i="1"/>
  <c r="I442" i="1"/>
  <c r="I466" i="1"/>
  <c r="I554" i="1"/>
  <c r="I618" i="1"/>
  <c r="I706" i="1"/>
  <c r="I243" i="1"/>
  <c r="I307" i="1"/>
  <c r="I371" i="1"/>
  <c r="I435" i="1"/>
  <c r="I499" i="1"/>
  <c r="I563" i="1"/>
  <c r="I627" i="1"/>
  <c r="I711" i="1"/>
  <c r="I192" i="1"/>
  <c r="I208" i="1"/>
  <c r="I224" i="1"/>
  <c r="I240" i="1"/>
  <c r="I256" i="1"/>
  <c r="I272" i="1"/>
  <c r="I288" i="1"/>
  <c r="I300" i="1"/>
  <c r="I316" i="1"/>
  <c r="I332" i="1"/>
  <c r="I348" i="1"/>
  <c r="I364" i="1"/>
  <c r="I380" i="1"/>
  <c r="I396" i="1"/>
  <c r="I412" i="1"/>
  <c r="I428" i="1"/>
  <c r="I444" i="1"/>
  <c r="I460" i="1"/>
  <c r="I464" i="1"/>
  <c r="I480" i="1"/>
  <c r="I496" i="1"/>
  <c r="I508" i="1"/>
  <c r="I524" i="1"/>
  <c r="I540" i="1"/>
  <c r="I556" i="1"/>
  <c r="I572" i="1"/>
  <c r="I588" i="1"/>
  <c r="I604" i="1"/>
  <c r="I620" i="1"/>
  <c r="I636" i="1"/>
  <c r="I652" i="1"/>
  <c r="I672" i="1"/>
  <c r="I692" i="1"/>
  <c r="I708" i="1"/>
  <c r="I189" i="1"/>
  <c r="I205" i="1"/>
  <c r="I221" i="1"/>
  <c r="I237" i="1"/>
  <c r="I253" i="1"/>
  <c r="I269" i="1"/>
  <c r="I285" i="1"/>
  <c r="I313" i="1"/>
  <c r="I329" i="1"/>
  <c r="I345" i="1"/>
  <c r="I361" i="1"/>
  <c r="I377" i="1"/>
  <c r="I393" i="1"/>
  <c r="I405" i="1"/>
  <c r="I453" i="1"/>
  <c r="I489" i="1"/>
  <c r="I533" i="1"/>
  <c r="I597" i="1"/>
  <c r="I661" i="1"/>
  <c r="I665" i="1"/>
  <c r="I705" i="1"/>
  <c r="I226" i="1"/>
  <c r="I290" i="1"/>
  <c r="I330" i="1"/>
  <c r="I394" i="1"/>
  <c r="I458" i="1"/>
  <c r="I482" i="1"/>
  <c r="I506" i="1"/>
  <c r="I570" i="1"/>
  <c r="I634" i="1"/>
  <c r="I674" i="1"/>
  <c r="I678" i="1"/>
  <c r="I195" i="1"/>
  <c r="I259" i="1"/>
  <c r="I323" i="1"/>
  <c r="I387" i="1"/>
  <c r="I451" i="1"/>
  <c r="I515" i="1"/>
  <c r="I579" i="1"/>
  <c r="I643" i="1"/>
  <c r="I188" i="1"/>
  <c r="I204" i="1"/>
  <c r="I220" i="1"/>
  <c r="I236" i="1"/>
  <c r="I252" i="1"/>
  <c r="I268" i="1"/>
  <c r="I284" i="1"/>
  <c r="I312" i="1"/>
  <c r="I328" i="1"/>
  <c r="I344" i="1"/>
  <c r="I360" i="1"/>
  <c r="I376" i="1"/>
  <c r="I392" i="1"/>
  <c r="I408" i="1"/>
  <c r="I424" i="1"/>
  <c r="I440" i="1"/>
  <c r="I456" i="1"/>
  <c r="I476" i="1"/>
  <c r="I492" i="1"/>
  <c r="I504" i="1"/>
  <c r="I520" i="1"/>
  <c r="I536" i="1"/>
  <c r="I552" i="1"/>
  <c r="I568" i="1"/>
  <c r="I584" i="1"/>
  <c r="I600" i="1"/>
  <c r="I616" i="1"/>
  <c r="I632" i="1"/>
  <c r="I648" i="1"/>
  <c r="I668" i="1"/>
  <c r="I688" i="1"/>
  <c r="I704" i="1"/>
  <c r="I201" i="1"/>
  <c r="I217" i="1"/>
  <c r="I233" i="1"/>
  <c r="I249" i="1"/>
  <c r="I265" i="1"/>
  <c r="I281" i="1"/>
  <c r="I297" i="1"/>
  <c r="I309" i="1"/>
  <c r="I325" i="1"/>
  <c r="I341" i="1"/>
  <c r="I357" i="1"/>
  <c r="I373" i="1"/>
  <c r="I389" i="1"/>
  <c r="I429" i="1"/>
  <c r="I461" i="1"/>
  <c r="I465" i="1"/>
  <c r="I549" i="1"/>
  <c r="I613" i="1"/>
  <c r="I242" i="1"/>
  <c r="I346" i="1"/>
  <c r="I410" i="1"/>
  <c r="I498" i="1"/>
  <c r="I522" i="1"/>
  <c r="I586" i="1"/>
  <c r="I650" i="1"/>
  <c r="I211" i="1"/>
  <c r="I275" i="1"/>
  <c r="I339" i="1"/>
  <c r="I403" i="1"/>
  <c r="I467" i="1"/>
  <c r="I531" i="1"/>
  <c r="I595" i="1"/>
  <c r="I659" i="1"/>
  <c r="I200" i="1"/>
  <c r="I216" i="1"/>
  <c r="I232" i="1"/>
  <c r="I248" i="1"/>
  <c r="I264" i="1"/>
  <c r="I280" i="1"/>
  <c r="I296" i="1"/>
  <c r="I308" i="1"/>
  <c r="I324" i="1"/>
  <c r="I340" i="1"/>
  <c r="I356" i="1"/>
  <c r="I372" i="1"/>
  <c r="I388" i="1"/>
  <c r="I404" i="1"/>
  <c r="I420" i="1"/>
  <c r="I436" i="1"/>
  <c r="I452" i="1"/>
  <c r="I472" i="1"/>
  <c r="I488" i="1"/>
  <c r="I500" i="1"/>
  <c r="I516" i="1"/>
  <c r="I532" i="1"/>
  <c r="I548" i="1"/>
  <c r="I564" i="1"/>
  <c r="I580" i="1"/>
  <c r="I596" i="1"/>
  <c r="I612" i="1"/>
  <c r="I628" i="1"/>
  <c r="I644" i="1"/>
  <c r="I660" i="1"/>
  <c r="I664" i="1"/>
  <c r="I684" i="1"/>
  <c r="I700" i="1"/>
  <c r="I197" i="1"/>
  <c r="I213" i="1"/>
  <c r="I229" i="1"/>
  <c r="I245" i="1"/>
  <c r="I261" i="1"/>
  <c r="I277" i="1"/>
  <c r="I293" i="1"/>
  <c r="I305" i="1"/>
  <c r="I321" i="1"/>
  <c r="I337" i="1"/>
  <c r="I353" i="1"/>
  <c r="I369" i="1"/>
  <c r="I385" i="1"/>
  <c r="I413" i="1"/>
  <c r="I425" i="1"/>
  <c r="I437" i="1"/>
  <c r="I473" i="1"/>
  <c r="I501" i="1"/>
  <c r="I565" i="1"/>
  <c r="I629" i="1"/>
  <c r="I194" i="1"/>
  <c r="I258" i="1"/>
  <c r="I362" i="1"/>
  <c r="I426" i="1"/>
  <c r="I538" i="1"/>
  <c r="I602" i="1"/>
  <c r="I690" i="1"/>
  <c r="I227" i="1"/>
  <c r="I291" i="1"/>
  <c r="I355" i="1"/>
  <c r="I419" i="1"/>
  <c r="I483" i="1"/>
  <c r="I547" i="1"/>
  <c r="I611" i="1"/>
  <c r="I675" i="1"/>
  <c r="I695" i="1"/>
  <c r="I202" i="8"/>
  <c r="I243" i="8"/>
  <c r="I539" i="8"/>
  <c r="I573" i="8"/>
  <c r="I569" i="8"/>
  <c r="I583" i="8"/>
  <c r="I615" i="8"/>
  <c r="I298" i="8"/>
  <c r="I436" i="8"/>
  <c r="I348" i="8"/>
  <c r="I227" i="8"/>
  <c r="I361" i="8"/>
  <c r="I525" i="8"/>
  <c r="I565" i="8"/>
  <c r="I581" i="8"/>
  <c r="I613" i="8"/>
  <c r="I633" i="8"/>
  <c r="I551" i="8"/>
  <c r="I575" i="8"/>
  <c r="I599" i="8"/>
  <c r="I609" i="8"/>
  <c r="I636" i="8"/>
  <c r="I532" i="8"/>
  <c r="I324" i="8"/>
  <c r="I519" i="8"/>
  <c r="I503" i="8"/>
  <c r="I292" i="8"/>
  <c r="I364" i="8"/>
  <c r="I404" i="8"/>
  <c r="I235" i="8"/>
  <c r="I385" i="8"/>
  <c r="I533" i="8"/>
  <c r="I571" i="8"/>
  <c r="I603" i="8"/>
  <c r="I621" i="8"/>
  <c r="I637" i="8"/>
  <c r="I577" i="8"/>
  <c r="I640" i="8"/>
  <c r="I521" i="8"/>
  <c r="I537" i="8"/>
  <c r="I193" i="8"/>
  <c r="I316" i="8"/>
  <c r="I507" i="8"/>
  <c r="I177" i="8"/>
  <c r="I266" i="8"/>
  <c r="I181" i="8"/>
  <c r="I164" i="8"/>
  <c r="I174" i="8"/>
  <c r="I196" i="8"/>
  <c r="I206" i="8"/>
  <c r="I197" i="8"/>
  <c r="I249" i="8"/>
  <c r="I265" i="8"/>
  <c r="I281" i="8"/>
  <c r="I297" i="8"/>
  <c r="I313" i="8"/>
  <c r="I501" i="8"/>
  <c r="I442" i="8"/>
  <c r="I477" i="8"/>
  <c r="I562" i="8"/>
  <c r="I578" i="8"/>
  <c r="I594" i="8"/>
  <c r="I610" i="8"/>
  <c r="I643" i="8"/>
  <c r="I659" i="8"/>
  <c r="I414" i="8"/>
  <c r="I639" i="8"/>
  <c r="I584" i="8"/>
  <c r="I390" i="8"/>
  <c r="I543" i="8"/>
  <c r="I564" i="8"/>
  <c r="I153" i="8"/>
  <c r="I222" i="8"/>
  <c r="I308" i="8"/>
  <c r="I483" i="8"/>
  <c r="I283" i="8"/>
  <c r="I357" i="8"/>
  <c r="I416" i="8"/>
  <c r="I443" i="8"/>
  <c r="I455" i="8"/>
  <c r="I476" i="8"/>
  <c r="I322" i="8"/>
  <c r="I350" i="8"/>
  <c r="I408" i="8"/>
  <c r="I287" i="8"/>
  <c r="I461" i="8"/>
  <c r="I201" i="8"/>
  <c r="I423" i="8"/>
  <c r="I267" i="8"/>
  <c r="I331" i="8"/>
  <c r="I427" i="8"/>
  <c r="I531" i="8"/>
  <c r="I514" i="8"/>
  <c r="I530" i="8"/>
  <c r="I169" i="8"/>
  <c r="I162" i="8"/>
  <c r="I268" i="8"/>
  <c r="I366" i="8"/>
  <c r="I389" i="8"/>
  <c r="I415" i="8"/>
  <c r="I424" i="8"/>
  <c r="I666" i="8"/>
  <c r="I467" i="8"/>
  <c r="I540" i="8"/>
  <c r="I379" i="8"/>
  <c r="I210" i="8"/>
  <c r="I213" i="8"/>
  <c r="I226" i="8"/>
  <c r="I229" i="8"/>
  <c r="I242" i="8"/>
  <c r="I437" i="8"/>
  <c r="I506" i="8"/>
  <c r="I590" i="8"/>
  <c r="I492" i="8"/>
  <c r="I388" i="8"/>
  <c r="I184" i="8"/>
  <c r="I502" i="8"/>
  <c r="I522" i="8"/>
  <c r="I250" i="8"/>
  <c r="I420" i="8"/>
  <c r="I472" i="8"/>
  <c r="I580" i="8"/>
  <c r="I373" i="8"/>
  <c r="I396" i="8"/>
  <c r="I460" i="8"/>
  <c r="I419" i="8"/>
  <c r="I491" i="8"/>
  <c r="I431" i="8"/>
  <c r="I495" i="8"/>
  <c r="I330" i="8"/>
  <c r="I154" i="8"/>
  <c r="I587" i="8"/>
  <c r="I591" i="8"/>
  <c r="I429" i="8"/>
  <c r="I493" i="8"/>
  <c r="I529" i="8"/>
  <c r="I626" i="8"/>
  <c r="I395" i="8"/>
  <c r="I468" i="8"/>
  <c r="I407" i="8"/>
  <c r="I338" i="8"/>
  <c r="I328" i="8"/>
  <c r="I561" i="8"/>
  <c r="I593" i="8"/>
  <c r="I628" i="8"/>
  <c r="I217" i="8"/>
  <c r="I263" i="8"/>
  <c r="I536" i="8"/>
  <c r="I258" i="8"/>
  <c r="I411" i="8"/>
  <c r="I523" i="8"/>
  <c r="I182" i="8"/>
  <c r="I188" i="8"/>
  <c r="I257" i="8"/>
  <c r="I273" i="8"/>
  <c r="I289" i="8"/>
  <c r="I305" i="8"/>
  <c r="I321" i="8"/>
  <c r="I198" i="8"/>
  <c r="I334" i="8"/>
  <c r="I611" i="8"/>
  <c r="I554" i="8"/>
  <c r="I570" i="8"/>
  <c r="I586" i="8"/>
  <c r="I602" i="8"/>
  <c r="I618" i="8"/>
  <c r="I651" i="8"/>
  <c r="I653" i="8"/>
  <c r="I667" i="8"/>
  <c r="I669" i="8"/>
  <c r="I634" i="8"/>
  <c r="I646" i="8"/>
  <c r="I260" i="8"/>
  <c r="I300" i="8"/>
  <c r="I527" i="8"/>
  <c r="I224" i="8"/>
  <c r="I240" i="8"/>
  <c r="I160" i="8"/>
  <c r="I318" i="8"/>
  <c r="I347" i="8"/>
  <c r="I363" i="8"/>
  <c r="I336" i="8"/>
  <c r="I405" i="8"/>
  <c r="I421" i="8"/>
  <c r="I469" i="8"/>
  <c r="I485" i="8"/>
  <c r="I262" i="8"/>
  <c r="I425" i="8"/>
  <c r="I457" i="8"/>
  <c r="I489" i="8"/>
  <c r="I445" i="8"/>
  <c r="I509" i="8"/>
  <c r="I566" i="8"/>
  <c r="I638" i="8"/>
  <c r="I647" i="8"/>
  <c r="I663" i="8"/>
  <c r="I430" i="8"/>
  <c r="I627" i="8"/>
  <c r="I343" i="8"/>
  <c r="I544" i="8"/>
  <c r="I568" i="8"/>
  <c r="I600" i="8"/>
  <c r="I277" i="8"/>
  <c r="I352" i="8"/>
  <c r="I398" i="8"/>
  <c r="I542" i="8"/>
  <c r="I238" i="8"/>
  <c r="I452" i="8"/>
  <c r="I459" i="8"/>
  <c r="I332" i="8"/>
  <c r="I274" i="8"/>
  <c r="I340" i="8"/>
  <c r="I463" i="8"/>
  <c r="I163" i="8"/>
  <c r="I280" i="8"/>
  <c r="I302" i="8"/>
  <c r="I341" i="8"/>
  <c r="I329" i="8"/>
  <c r="I344" i="8"/>
  <c r="I288" i="8"/>
  <c r="I359" i="8"/>
  <c r="I458" i="8"/>
  <c r="I293" i="8"/>
  <c r="I545" i="8"/>
  <c r="I384" i="8"/>
  <c r="I406" i="8"/>
  <c r="I417" i="8"/>
  <c r="I550" i="8"/>
  <c r="I619" i="8"/>
  <c r="I465" i="8"/>
  <c r="I526" i="8"/>
  <c r="I635" i="8"/>
  <c r="I209" i="8"/>
  <c r="I451" i="8"/>
  <c r="I374" i="8"/>
  <c r="I230" i="8"/>
  <c r="I358" i="8"/>
  <c r="S35" i="4"/>
  <c r="T35" i="4" s="1" a="1"/>
  <c r="T35" i="4" s="1"/>
  <c r="V35" i="4" s="1" a="1"/>
  <c r="V35" i="4" s="1"/>
  <c r="S39" i="4"/>
  <c r="T39" i="4" s="1" a="1"/>
  <c r="T39" i="4" s="1"/>
  <c r="V39" i="4" s="1" a="1"/>
  <c r="V39" i="4" s="1"/>
  <c r="S43" i="4"/>
  <c r="S47" i="4"/>
  <c r="S51" i="4"/>
  <c r="S55" i="4"/>
  <c r="S59" i="4"/>
  <c r="S63" i="4"/>
  <c r="S67" i="4"/>
  <c r="S71" i="4"/>
  <c r="S75" i="4"/>
  <c r="S79" i="4"/>
  <c r="S83" i="4"/>
  <c r="S87" i="4"/>
  <c r="S91" i="4"/>
  <c r="S95" i="4"/>
  <c r="S99" i="4"/>
  <c r="S103" i="4"/>
  <c r="S107" i="4"/>
  <c r="S111" i="4"/>
  <c r="S115" i="4"/>
  <c r="S119" i="4"/>
  <c r="S123" i="4"/>
  <c r="S127" i="4"/>
  <c r="S131" i="4"/>
  <c r="S135" i="4"/>
  <c r="S139" i="4"/>
  <c r="S143" i="4"/>
  <c r="S36" i="4"/>
  <c r="T36" i="4" s="1" a="1"/>
  <c r="T36" i="4" s="1"/>
  <c r="V36" i="4" s="1" a="1"/>
  <c r="V36" i="4" s="1"/>
  <c r="S40" i="4"/>
  <c r="T40" i="4" s="1" a="1"/>
  <c r="T40" i="4" s="1"/>
  <c r="V40" i="4" s="1" a="1"/>
  <c r="V40" i="4" s="1"/>
  <c r="S44" i="4"/>
  <c r="S48" i="4"/>
  <c r="S52" i="4"/>
  <c r="S56" i="4"/>
  <c r="S60" i="4"/>
  <c r="S64" i="4"/>
  <c r="S68" i="4"/>
  <c r="S72" i="4"/>
  <c r="S76" i="4"/>
  <c r="S80" i="4"/>
  <c r="S84" i="4"/>
  <c r="S88" i="4"/>
  <c r="S92" i="4"/>
  <c r="S96" i="4"/>
  <c r="S100" i="4"/>
  <c r="S104" i="4"/>
  <c r="S108" i="4"/>
  <c r="S112" i="4"/>
  <c r="S116" i="4"/>
  <c r="S120" i="4"/>
  <c r="S124" i="4"/>
  <c r="S128" i="4"/>
  <c r="S132" i="4"/>
  <c r="S136" i="4"/>
  <c r="S140" i="4"/>
  <c r="S144" i="4"/>
  <c r="S148" i="4"/>
  <c r="S38" i="4"/>
  <c r="T38" i="4" s="1" a="1"/>
  <c r="T38" i="4" s="1"/>
  <c r="V38" i="4" s="1" a="1"/>
  <c r="V38" i="4" s="1"/>
  <c r="S46" i="4"/>
  <c r="S54" i="4"/>
  <c r="S62" i="4"/>
  <c r="S70" i="4"/>
  <c r="S78" i="4"/>
  <c r="S86" i="4"/>
  <c r="S94" i="4"/>
  <c r="S102" i="4"/>
  <c r="S110" i="4"/>
  <c r="S118" i="4"/>
  <c r="S126" i="4"/>
  <c r="S134" i="4"/>
  <c r="S142" i="4"/>
  <c r="S149" i="4"/>
  <c r="C89" i="4"/>
  <c r="D89" i="4" s="1"/>
  <c r="C93" i="4"/>
  <c r="D93" i="4" s="1"/>
  <c r="C97" i="4"/>
  <c r="D97" i="4" s="1"/>
  <c r="C101" i="4"/>
  <c r="D101" i="4" s="1"/>
  <c r="C105" i="4"/>
  <c r="D105" i="4" s="1"/>
  <c r="C109" i="4"/>
  <c r="D109" i="4" s="1"/>
  <c r="C113" i="4"/>
  <c r="D113" i="4" s="1"/>
  <c r="C117" i="4"/>
  <c r="D117" i="4" s="1"/>
  <c r="C121" i="4"/>
  <c r="D121" i="4" s="1"/>
  <c r="C125" i="4"/>
  <c r="D125" i="4" s="1"/>
  <c r="C129" i="4"/>
  <c r="D129" i="4" s="1"/>
  <c r="C133" i="4"/>
  <c r="D133" i="4" s="1"/>
  <c r="C137" i="4"/>
  <c r="D137" i="4" s="1"/>
  <c r="C141" i="4"/>
  <c r="D141" i="4" s="1"/>
  <c r="C145" i="4"/>
  <c r="D145" i="4" s="1"/>
  <c r="C149" i="4"/>
  <c r="D149" i="4" s="1"/>
  <c r="S41" i="4"/>
  <c r="T41" i="4" s="1" a="1"/>
  <c r="T41" i="4" s="1"/>
  <c r="V41" i="4" s="1" a="1"/>
  <c r="V41" i="4" s="1"/>
  <c r="S49" i="4"/>
  <c r="S57" i="4"/>
  <c r="S65" i="4"/>
  <c r="S73" i="4"/>
  <c r="S81" i="4"/>
  <c r="S89" i="4"/>
  <c r="S97" i="4"/>
  <c r="S105" i="4"/>
  <c r="S113" i="4"/>
  <c r="S121" i="4"/>
  <c r="S129" i="4"/>
  <c r="S137" i="4"/>
  <c r="S145" i="4"/>
  <c r="S150" i="4"/>
  <c r="C90" i="4"/>
  <c r="D90" i="4" s="1"/>
  <c r="C94" i="4"/>
  <c r="D94" i="4" s="1"/>
  <c r="C98" i="4"/>
  <c r="D98" i="4" s="1"/>
  <c r="C102" i="4"/>
  <c r="D102" i="4" s="1"/>
  <c r="C106" i="4"/>
  <c r="D106" i="4" s="1"/>
  <c r="C110" i="4"/>
  <c r="D110" i="4" s="1"/>
  <c r="C114" i="4"/>
  <c r="D114" i="4" s="1"/>
  <c r="C118" i="4"/>
  <c r="D118" i="4" s="1"/>
  <c r="C122" i="4"/>
  <c r="D122" i="4" s="1"/>
  <c r="C126" i="4"/>
  <c r="D126" i="4" s="1"/>
  <c r="C130" i="4"/>
  <c r="D130" i="4" s="1"/>
  <c r="C134" i="4"/>
  <c r="D134" i="4" s="1"/>
  <c r="C138" i="4"/>
  <c r="D138" i="4" s="1"/>
  <c r="C142" i="4"/>
  <c r="D142" i="4" s="1"/>
  <c r="C146" i="4"/>
  <c r="D146" i="4" s="1"/>
  <c r="C150" i="4"/>
  <c r="D150" i="4" s="1"/>
  <c r="S34" i="4"/>
  <c r="T34" i="4" s="1" a="1"/>
  <c r="T34" i="4" s="1"/>
  <c r="V34" i="4" s="1" a="1"/>
  <c r="V34" i="4" s="1"/>
  <c r="S42" i="4"/>
  <c r="T42" i="4" s="1" a="1"/>
  <c r="T42" i="4" s="1"/>
  <c r="V42" i="4" s="1" a="1"/>
  <c r="V42" i="4" s="1"/>
  <c r="S50" i="4"/>
  <c r="S58" i="4"/>
  <c r="S66" i="4"/>
  <c r="S74" i="4"/>
  <c r="S82" i="4"/>
  <c r="S90" i="4"/>
  <c r="S98" i="4"/>
  <c r="S106" i="4"/>
  <c r="S114" i="4"/>
  <c r="S122" i="4"/>
  <c r="S130" i="4"/>
  <c r="S138" i="4"/>
  <c r="S146" i="4"/>
  <c r="S151" i="4"/>
  <c r="C91" i="4"/>
  <c r="D91" i="4" s="1"/>
  <c r="C95" i="4"/>
  <c r="D95" i="4" s="1"/>
  <c r="C99" i="4"/>
  <c r="D99" i="4" s="1"/>
  <c r="C103" i="4"/>
  <c r="D103" i="4" s="1"/>
  <c r="C107" i="4"/>
  <c r="D107" i="4" s="1"/>
  <c r="C111" i="4"/>
  <c r="D111" i="4" s="1"/>
  <c r="C115" i="4"/>
  <c r="D115" i="4" s="1"/>
  <c r="C119" i="4"/>
  <c r="D119" i="4" s="1"/>
  <c r="C123" i="4"/>
  <c r="D123" i="4" s="1"/>
  <c r="C127" i="4"/>
  <c r="D127" i="4" s="1"/>
  <c r="C131" i="4"/>
  <c r="D131" i="4" s="1"/>
  <c r="C135" i="4"/>
  <c r="D135" i="4" s="1"/>
  <c r="C139" i="4"/>
  <c r="D139" i="4" s="1"/>
  <c r="C143" i="4"/>
  <c r="D143" i="4" s="1"/>
  <c r="C147" i="4"/>
  <c r="D147" i="4" s="1"/>
  <c r="C151" i="4"/>
  <c r="D151" i="4" s="1"/>
  <c r="A107" i="8"/>
  <c r="B107" i="8" s="1"/>
  <c r="A109" i="8"/>
  <c r="B109" i="8" s="1"/>
  <c r="A110" i="8"/>
  <c r="B110" i="8" s="1"/>
  <c r="A118" i="8"/>
  <c r="B118" i="8" s="1"/>
  <c r="A126" i="8"/>
  <c r="B126" i="8" s="1"/>
  <c r="A134" i="8"/>
  <c r="B134" i="8" s="1"/>
  <c r="A137" i="8"/>
  <c r="B137" i="8" s="1"/>
  <c r="A140" i="8"/>
  <c r="B140" i="8" s="1"/>
  <c r="A147" i="8"/>
  <c r="B147" i="8" s="1"/>
  <c r="S37" i="4"/>
  <c r="T37" i="4" s="1" a="1"/>
  <c r="T37" i="4" s="1"/>
  <c r="V37" i="4" s="1" a="1"/>
  <c r="V37" i="4" s="1"/>
  <c r="S45" i="4"/>
  <c r="S53" i="4"/>
  <c r="S61" i="4"/>
  <c r="S69" i="4"/>
  <c r="S77" i="4"/>
  <c r="S85" i="4"/>
  <c r="S93" i="4"/>
  <c r="S101" i="4"/>
  <c r="S109" i="4"/>
  <c r="S117" i="4"/>
  <c r="S125" i="4"/>
  <c r="S133" i="4"/>
  <c r="S141" i="4"/>
  <c r="S147" i="4"/>
  <c r="C92" i="4"/>
  <c r="D92" i="4" s="1"/>
  <c r="C96" i="4"/>
  <c r="D96" i="4" s="1"/>
  <c r="C100" i="4"/>
  <c r="D100" i="4" s="1"/>
  <c r="C104" i="4"/>
  <c r="D104" i="4" s="1"/>
  <c r="C108" i="4"/>
  <c r="D108" i="4" s="1"/>
  <c r="C112" i="4"/>
  <c r="D112" i="4" s="1"/>
  <c r="C116" i="4"/>
  <c r="D116" i="4" s="1"/>
  <c r="C120" i="4"/>
  <c r="D120" i="4" s="1"/>
  <c r="C124" i="4"/>
  <c r="D124" i="4" s="1"/>
  <c r="C128" i="4"/>
  <c r="D128" i="4" s="1"/>
  <c r="C132" i="4"/>
  <c r="D132" i="4" s="1"/>
  <c r="C136" i="4"/>
  <c r="D136" i="4" s="1"/>
  <c r="C140" i="4"/>
  <c r="D140" i="4" s="1"/>
  <c r="C144" i="4"/>
  <c r="D144" i="4" s="1"/>
  <c r="C148" i="4"/>
  <c r="D148" i="4" s="1"/>
  <c r="A104" i="8"/>
  <c r="B104" i="8" s="1"/>
  <c r="A105" i="8"/>
  <c r="B105" i="8" s="1"/>
  <c r="A106" i="8"/>
  <c r="B106" i="8" s="1"/>
  <c r="A112" i="8"/>
  <c r="B112" i="8" s="1"/>
  <c r="A115" i="8"/>
  <c r="B115" i="8" s="1"/>
  <c r="A117" i="8"/>
  <c r="B117" i="8" s="1"/>
  <c r="A120" i="8"/>
  <c r="B120" i="8" s="1"/>
  <c r="A123" i="8"/>
  <c r="B123" i="8" s="1"/>
  <c r="A125" i="8"/>
  <c r="B125" i="8" s="1"/>
  <c r="A128" i="8"/>
  <c r="B128" i="8" s="1"/>
  <c r="A131" i="8"/>
  <c r="B131" i="8" s="1"/>
  <c r="A133" i="8"/>
  <c r="B133" i="8" s="1"/>
  <c r="A136" i="8"/>
  <c r="B136" i="8" s="1"/>
  <c r="A113" i="8"/>
  <c r="B113" i="8" s="1"/>
  <c r="A122" i="8"/>
  <c r="B122" i="8" s="1"/>
  <c r="A129" i="8"/>
  <c r="B129" i="8" s="1"/>
  <c r="A143" i="8"/>
  <c r="B143" i="8" s="1"/>
  <c r="A145" i="8"/>
  <c r="B145" i="8" s="1"/>
  <c r="A116" i="8"/>
  <c r="B116" i="8" s="1"/>
  <c r="A119" i="8"/>
  <c r="B119" i="8" s="1"/>
  <c r="A132" i="8"/>
  <c r="B132" i="8" s="1"/>
  <c r="A135" i="8"/>
  <c r="B135" i="8" s="1"/>
  <c r="A138" i="8"/>
  <c r="B138" i="8" s="1"/>
  <c r="A141" i="8"/>
  <c r="B141" i="8" s="1"/>
  <c r="A150" i="8"/>
  <c r="B150" i="8" s="1"/>
  <c r="A108" i="8"/>
  <c r="B108" i="8" s="1"/>
  <c r="A114" i="8"/>
  <c r="B114" i="8" s="1"/>
  <c r="A121" i="8"/>
  <c r="B121" i="8" s="1"/>
  <c r="A139" i="8"/>
  <c r="B139" i="8" s="1"/>
  <c r="A144" i="8"/>
  <c r="B144" i="8" s="1"/>
  <c r="A148" i="8"/>
  <c r="B148" i="8" s="1"/>
  <c r="G91" i="4"/>
  <c r="H91" i="4" s="1"/>
  <c r="F91" i="4" s="1"/>
  <c r="G94" i="4"/>
  <c r="H94" i="4" s="1"/>
  <c r="F94" i="4" s="1"/>
  <c r="G97" i="4"/>
  <c r="H97" i="4" s="1"/>
  <c r="F97" i="4" s="1"/>
  <c r="G102" i="4"/>
  <c r="H102" i="4" s="1"/>
  <c r="F102" i="4" s="1"/>
  <c r="G105" i="4"/>
  <c r="H105" i="4" s="1"/>
  <c r="F105" i="4" s="1"/>
  <c r="G108" i="4"/>
  <c r="H108" i="4" s="1"/>
  <c r="F108" i="4" s="1"/>
  <c r="G111" i="4"/>
  <c r="H111" i="4" s="1"/>
  <c r="F111" i="4" s="1"/>
  <c r="G116" i="4"/>
  <c r="H116" i="4" s="1"/>
  <c r="F116" i="4" s="1"/>
  <c r="G119" i="4"/>
  <c r="H119" i="4" s="1"/>
  <c r="F119" i="4" s="1"/>
  <c r="G124" i="4"/>
  <c r="H124" i="4" s="1"/>
  <c r="F124" i="4" s="1"/>
  <c r="G127" i="4"/>
  <c r="H127" i="4" s="1"/>
  <c r="F127" i="4" s="1"/>
  <c r="G132" i="4"/>
  <c r="H132" i="4" s="1"/>
  <c r="F132" i="4" s="1"/>
  <c r="G135" i="4"/>
  <c r="H135" i="4" s="1"/>
  <c r="F135" i="4" s="1"/>
  <c r="G140" i="4"/>
  <c r="H140" i="4" s="1"/>
  <c r="F140" i="4" s="1"/>
  <c r="G143" i="4"/>
  <c r="H143" i="4" s="1"/>
  <c r="F143" i="4" s="1"/>
  <c r="G148" i="4"/>
  <c r="H148" i="4" s="1"/>
  <c r="F148" i="4" s="1"/>
  <c r="G151" i="4"/>
  <c r="H151" i="4" s="1"/>
  <c r="F151" i="4" s="1"/>
  <c r="A127" i="8"/>
  <c r="B127" i="8" s="1"/>
  <c r="A149" i="8"/>
  <c r="B149" i="8" s="1"/>
  <c r="G89" i="4"/>
  <c r="H89" i="4" s="1"/>
  <c r="F89" i="4" s="1"/>
  <c r="G92" i="4"/>
  <c r="H92" i="4" s="1"/>
  <c r="F92" i="4" s="1"/>
  <c r="G95" i="4"/>
  <c r="H95" i="4" s="1"/>
  <c r="F95" i="4" s="1"/>
  <c r="G99" i="4"/>
  <c r="H99" i="4" s="1"/>
  <c r="F99" i="4" s="1"/>
  <c r="G101" i="4"/>
  <c r="H101" i="4" s="1"/>
  <c r="F101" i="4" s="1"/>
  <c r="G104" i="4"/>
  <c r="H104" i="4" s="1"/>
  <c r="F104" i="4" s="1"/>
  <c r="G110" i="4"/>
  <c r="H110" i="4" s="1"/>
  <c r="F110" i="4" s="1"/>
  <c r="G113" i="4"/>
  <c r="H113" i="4" s="1"/>
  <c r="F113" i="4" s="1"/>
  <c r="G118" i="4"/>
  <c r="H118" i="4" s="1"/>
  <c r="F118" i="4" s="1"/>
  <c r="G121" i="4"/>
  <c r="H121" i="4" s="1"/>
  <c r="F121" i="4" s="1"/>
  <c r="G126" i="4"/>
  <c r="H126" i="4" s="1"/>
  <c r="F126" i="4" s="1"/>
  <c r="G129" i="4"/>
  <c r="H129" i="4" s="1"/>
  <c r="F129" i="4" s="1"/>
  <c r="G134" i="4"/>
  <c r="H134" i="4" s="1"/>
  <c r="F134" i="4" s="1"/>
  <c r="G137" i="4"/>
  <c r="H137" i="4" s="1"/>
  <c r="F137" i="4" s="1"/>
  <c r="G142" i="4"/>
  <c r="H142" i="4" s="1"/>
  <c r="F142" i="4" s="1"/>
  <c r="G145" i="4"/>
  <c r="H145" i="4" s="1"/>
  <c r="F145" i="4" s="1"/>
  <c r="G150" i="4"/>
  <c r="H150" i="4" s="1"/>
  <c r="F150" i="4" s="1"/>
  <c r="A130" i="8"/>
  <c r="B130" i="8" s="1"/>
  <c r="A142" i="8"/>
  <c r="B142" i="8" s="1"/>
  <c r="A146" i="8"/>
  <c r="B146" i="8" s="1"/>
  <c r="A151" i="8"/>
  <c r="B151" i="8" s="1"/>
  <c r="G93" i="4"/>
  <c r="H93" i="4" s="1"/>
  <c r="F93" i="4" s="1"/>
  <c r="G96" i="4"/>
  <c r="H96" i="4" s="1"/>
  <c r="F96" i="4" s="1"/>
  <c r="G107" i="4"/>
  <c r="H107" i="4" s="1"/>
  <c r="F107" i="4" s="1"/>
  <c r="G109" i="4"/>
  <c r="H109" i="4" s="1"/>
  <c r="F109" i="4" s="1"/>
  <c r="G112" i="4"/>
  <c r="H112" i="4" s="1"/>
  <c r="F112" i="4" s="1"/>
  <c r="G115" i="4"/>
  <c r="H115" i="4" s="1"/>
  <c r="F115" i="4" s="1"/>
  <c r="G117" i="4"/>
  <c r="H117" i="4" s="1"/>
  <c r="F117" i="4" s="1"/>
  <c r="G120" i="4"/>
  <c r="H120" i="4" s="1"/>
  <c r="F120" i="4" s="1"/>
  <c r="G123" i="4"/>
  <c r="H123" i="4" s="1"/>
  <c r="F123" i="4" s="1"/>
  <c r="G125" i="4"/>
  <c r="H125" i="4" s="1"/>
  <c r="F125" i="4" s="1"/>
  <c r="G128" i="4"/>
  <c r="H128" i="4" s="1"/>
  <c r="F128" i="4" s="1"/>
  <c r="G131" i="4"/>
  <c r="H131" i="4" s="1"/>
  <c r="F131" i="4" s="1"/>
  <c r="G133" i="4"/>
  <c r="H133" i="4" s="1"/>
  <c r="F133" i="4" s="1"/>
  <c r="G136" i="4"/>
  <c r="H136" i="4" s="1"/>
  <c r="F136" i="4" s="1"/>
  <c r="G139" i="4"/>
  <c r="H139" i="4" s="1"/>
  <c r="F139" i="4" s="1"/>
  <c r="G141" i="4"/>
  <c r="H141" i="4" s="1"/>
  <c r="F141" i="4" s="1"/>
  <c r="G144" i="4"/>
  <c r="H144" i="4" s="1"/>
  <c r="F144" i="4" s="1"/>
  <c r="G147" i="4"/>
  <c r="H147" i="4" s="1"/>
  <c r="F147" i="4" s="1"/>
  <c r="G149" i="4"/>
  <c r="H149" i="4" s="1"/>
  <c r="F149" i="4" s="1"/>
  <c r="A92" i="4"/>
  <c r="A96" i="4"/>
  <c r="A100" i="4"/>
  <c r="A104" i="4"/>
  <c r="A108" i="4"/>
  <c r="A112" i="4"/>
  <c r="A116" i="4"/>
  <c r="A120" i="4"/>
  <c r="A124" i="4"/>
  <c r="A128" i="4"/>
  <c r="A132" i="4"/>
  <c r="A136" i="4"/>
  <c r="A140" i="4"/>
  <c r="A144" i="4"/>
  <c r="A148" i="4"/>
  <c r="S26" i="4"/>
  <c r="T26" i="4" s="1" a="1"/>
  <c r="T26" i="4" s="1"/>
  <c r="V26" i="4" s="1" a="1"/>
  <c r="V26" i="4" s="1"/>
  <c r="S30" i="4"/>
  <c r="T30" i="4" s="1" a="1"/>
  <c r="T30" i="4" s="1"/>
  <c r="V30" i="4" s="1" a="1"/>
  <c r="V30" i="4" s="1"/>
  <c r="Q48" i="4"/>
  <c r="Q52" i="4"/>
  <c r="Q56" i="4"/>
  <c r="Q60" i="4"/>
  <c r="Q64" i="4"/>
  <c r="Q68" i="4"/>
  <c r="Q72" i="4"/>
  <c r="Q76" i="4"/>
  <c r="Q80" i="4"/>
  <c r="Q84" i="4"/>
  <c r="Q88" i="4"/>
  <c r="Q92" i="4"/>
  <c r="Q96" i="4"/>
  <c r="Q100" i="4"/>
  <c r="Q104" i="4"/>
  <c r="Q108" i="4"/>
  <c r="Q112" i="4"/>
  <c r="Q116" i="4"/>
  <c r="Q120" i="4"/>
  <c r="Q124" i="4"/>
  <c r="Q128" i="4"/>
  <c r="Q132" i="4"/>
  <c r="Q136" i="4"/>
  <c r="Q140" i="4"/>
  <c r="Q144" i="4"/>
  <c r="Q148" i="4"/>
  <c r="Q27" i="4"/>
  <c r="Q31" i="4"/>
  <c r="Q35" i="4"/>
  <c r="Q39" i="4"/>
  <c r="Q43" i="4"/>
  <c r="Q47" i="4"/>
  <c r="X29" i="4" a="1"/>
  <c r="X33" i="4" a="1"/>
  <c r="X37" i="4" a="1"/>
  <c r="X41" i="4" a="1"/>
  <c r="X45" i="4" a="1"/>
  <c r="X49" i="4" a="1"/>
  <c r="X53" i="4" a="1"/>
  <c r="X57" i="4" a="1"/>
  <c r="X61" i="4" a="1"/>
  <c r="X65" i="4" a="1"/>
  <c r="X69" i="4" a="1"/>
  <c r="X73" i="4" a="1"/>
  <c r="X77" i="4" a="1"/>
  <c r="X81" i="4" a="1"/>
  <c r="X85" i="4" a="1"/>
  <c r="X89" i="4" a="1"/>
  <c r="X93" i="4" a="1"/>
  <c r="X97" i="4" a="1"/>
  <c r="X101" i="4" a="1"/>
  <c r="X105" i="4" a="1"/>
  <c r="X109" i="4" a="1"/>
  <c r="X113" i="4" a="1"/>
  <c r="X117" i="4" a="1"/>
  <c r="X121" i="4" a="1"/>
  <c r="X125" i="4" a="1"/>
  <c r="X129" i="4" a="1"/>
  <c r="X133" i="4" a="1"/>
  <c r="X137" i="4" a="1"/>
  <c r="A111" i="8"/>
  <c r="B111" i="8" s="1"/>
  <c r="A124" i="8"/>
  <c r="B124" i="8" s="1"/>
  <c r="G90" i="4"/>
  <c r="H90" i="4" s="1"/>
  <c r="F90" i="4" s="1"/>
  <c r="G98" i="4"/>
  <c r="H98" i="4" s="1"/>
  <c r="F98" i="4" s="1"/>
  <c r="G100" i="4"/>
  <c r="H100" i="4" s="1"/>
  <c r="F100" i="4" s="1"/>
  <c r="G103" i="4"/>
  <c r="H103" i="4" s="1"/>
  <c r="F103" i="4" s="1"/>
  <c r="G106" i="4"/>
  <c r="H106" i="4" s="1"/>
  <c r="F106" i="4" s="1"/>
  <c r="G114" i="4"/>
  <c r="H114" i="4" s="1"/>
  <c r="F114" i="4" s="1"/>
  <c r="G122" i="4"/>
  <c r="H122" i="4" s="1"/>
  <c r="F122" i="4" s="1"/>
  <c r="G130" i="4"/>
  <c r="H130" i="4" s="1"/>
  <c r="F130" i="4" s="1"/>
  <c r="G138" i="4"/>
  <c r="H138" i="4" s="1"/>
  <c r="F138" i="4" s="1"/>
  <c r="G146" i="4"/>
  <c r="H146" i="4" s="1"/>
  <c r="F146" i="4" s="1"/>
  <c r="A93" i="4"/>
  <c r="A98" i="4"/>
  <c r="A103" i="4"/>
  <c r="A109" i="4"/>
  <c r="A114" i="4"/>
  <c r="A119" i="4"/>
  <c r="A125" i="4"/>
  <c r="A130" i="4"/>
  <c r="A135" i="4"/>
  <c r="A141" i="4"/>
  <c r="A146" i="4"/>
  <c r="A151" i="4"/>
  <c r="S31" i="4"/>
  <c r="T31" i="4" s="1" a="1"/>
  <c r="T31" i="4" s="1"/>
  <c r="V31" i="4" s="1" a="1"/>
  <c r="V31" i="4" s="1"/>
  <c r="Q50" i="4"/>
  <c r="Q55" i="4"/>
  <c r="Q61" i="4"/>
  <c r="Q66" i="4"/>
  <c r="Q71" i="4"/>
  <c r="Q77" i="4"/>
  <c r="Q82" i="4"/>
  <c r="Q87" i="4"/>
  <c r="Q93" i="4"/>
  <c r="Q98" i="4"/>
  <c r="Q103" i="4"/>
  <c r="Q109" i="4"/>
  <c r="Q114" i="4"/>
  <c r="Q119" i="4"/>
  <c r="Q125" i="4"/>
  <c r="Q130" i="4"/>
  <c r="Q135" i="4"/>
  <c r="Q141" i="4"/>
  <c r="Q146" i="4"/>
  <c r="Q151" i="4"/>
  <c r="Q26" i="4"/>
  <c r="Q32" i="4"/>
  <c r="Q37" i="4"/>
  <c r="Q42" i="4"/>
  <c r="X26" i="4" a="1"/>
  <c r="X31" i="4" a="1"/>
  <c r="X36" i="4" a="1"/>
  <c r="X42" i="4" a="1"/>
  <c r="X47" i="4" a="1"/>
  <c r="X52" i="4" a="1"/>
  <c r="X58" i="4" a="1"/>
  <c r="X63" i="4" a="1"/>
  <c r="X68" i="4" a="1"/>
  <c r="X74" i="4" a="1"/>
  <c r="X79" i="4" a="1"/>
  <c r="X84" i="4" a="1"/>
  <c r="X90" i="4" a="1"/>
  <c r="X95" i="4" a="1"/>
  <c r="X100" i="4" a="1"/>
  <c r="X106" i="4" a="1"/>
  <c r="X111" i="4" a="1"/>
  <c r="X116" i="4" a="1"/>
  <c r="X122" i="4" a="1"/>
  <c r="X127" i="4" a="1"/>
  <c r="X132" i="4" a="1"/>
  <c r="X138" i="4" a="1"/>
  <c r="X142" i="4" a="1"/>
  <c r="X146" i="4" a="1"/>
  <c r="X150" i="4" a="1"/>
  <c r="C43" i="4"/>
  <c r="D43" i="4" s="1"/>
  <c r="AF43" i="4" s="1"/>
  <c r="A44" i="4"/>
  <c r="M44" i="4"/>
  <c r="O44" i="4" s="1" a="1"/>
  <c r="O44" i="4" s="1"/>
  <c r="L45" i="4"/>
  <c r="N45" i="4" s="1"/>
  <c r="C46" i="4"/>
  <c r="D46" i="4" s="1"/>
  <c r="A47" i="4"/>
  <c r="M47" i="4"/>
  <c r="O47" i="4" s="1" a="1"/>
  <c r="O47" i="4" s="1"/>
  <c r="G48" i="4"/>
  <c r="H48" i="4" s="1"/>
  <c r="F48" i="4" s="1"/>
  <c r="A49" i="4"/>
  <c r="M49" i="4"/>
  <c r="O49" i="4" s="1" a="1"/>
  <c r="O49" i="4" s="1"/>
  <c r="G50" i="4"/>
  <c r="H50" i="4" s="1"/>
  <c r="F50" i="4" s="1"/>
  <c r="A51" i="4"/>
  <c r="M51" i="4"/>
  <c r="O51" i="4" s="1" a="1"/>
  <c r="O51" i="4" s="1"/>
  <c r="G52" i="4"/>
  <c r="H52" i="4" s="1"/>
  <c r="F52" i="4" s="1"/>
  <c r="A53" i="4"/>
  <c r="M53" i="4"/>
  <c r="O53" i="4" s="1" a="1"/>
  <c r="O53" i="4" s="1"/>
  <c r="G54" i="4"/>
  <c r="H54" i="4" s="1"/>
  <c r="F54" i="4" s="1"/>
  <c r="A55" i="4"/>
  <c r="M55" i="4"/>
  <c r="O55" i="4" s="1" a="1"/>
  <c r="O55" i="4" s="1"/>
  <c r="G56" i="4"/>
  <c r="H56" i="4" s="1"/>
  <c r="F56" i="4" s="1"/>
  <c r="A57" i="4"/>
  <c r="M57" i="4"/>
  <c r="O57" i="4" s="1" a="1"/>
  <c r="O57" i="4" s="1"/>
  <c r="G58" i="4"/>
  <c r="H58" i="4" s="1"/>
  <c r="F58" i="4" s="1"/>
  <c r="A59" i="4"/>
  <c r="M59" i="4"/>
  <c r="O59" i="4" s="1" a="1"/>
  <c r="O59" i="4" s="1"/>
  <c r="G60" i="4"/>
  <c r="H60" i="4" s="1"/>
  <c r="F60" i="4" s="1"/>
  <c r="A61" i="4"/>
  <c r="M61" i="4"/>
  <c r="O61" i="4" s="1" a="1"/>
  <c r="O61" i="4" s="1"/>
  <c r="G62" i="4"/>
  <c r="H62" i="4" s="1"/>
  <c r="F62" i="4" s="1"/>
  <c r="A63" i="4"/>
  <c r="M63" i="4"/>
  <c r="O63" i="4" s="1" a="1"/>
  <c r="O63" i="4" s="1"/>
  <c r="G64" i="4"/>
  <c r="H64" i="4" s="1"/>
  <c r="F64" i="4" s="1"/>
  <c r="A65" i="4"/>
  <c r="M65" i="4"/>
  <c r="O65" i="4" s="1" a="1"/>
  <c r="O65" i="4" s="1"/>
  <c r="G66" i="4"/>
  <c r="H66" i="4" s="1"/>
  <c r="F66" i="4" s="1"/>
  <c r="A67" i="4"/>
  <c r="M67" i="4"/>
  <c r="O67" i="4" s="1" a="1"/>
  <c r="O67" i="4" s="1"/>
  <c r="G68" i="4"/>
  <c r="H68" i="4" s="1"/>
  <c r="F68" i="4" s="1"/>
  <c r="A69" i="4"/>
  <c r="M69" i="4"/>
  <c r="O69" i="4" s="1" a="1"/>
  <c r="O69" i="4" s="1"/>
  <c r="G70" i="4"/>
  <c r="H70" i="4" s="1"/>
  <c r="F70" i="4" s="1"/>
  <c r="A71" i="4"/>
  <c r="M71" i="4"/>
  <c r="O71" i="4" s="1" a="1"/>
  <c r="O71" i="4" s="1"/>
  <c r="G72" i="4"/>
  <c r="H72" i="4" s="1"/>
  <c r="F72" i="4" s="1"/>
  <c r="A73" i="4"/>
  <c r="M73" i="4"/>
  <c r="O73" i="4" s="1" a="1"/>
  <c r="O73" i="4" s="1"/>
  <c r="G74" i="4"/>
  <c r="H74" i="4" s="1"/>
  <c r="F74" i="4" s="1"/>
  <c r="A75" i="4"/>
  <c r="M75" i="4"/>
  <c r="O75" i="4" s="1" a="1"/>
  <c r="O75" i="4" s="1"/>
  <c r="G76" i="4"/>
  <c r="H76" i="4" s="1"/>
  <c r="F76" i="4" s="1"/>
  <c r="A77" i="4"/>
  <c r="M77" i="4"/>
  <c r="O77" i="4" s="1" a="1"/>
  <c r="O77" i="4" s="1"/>
  <c r="G78" i="4"/>
  <c r="H78" i="4" s="1"/>
  <c r="F78" i="4" s="1"/>
  <c r="A79" i="4"/>
  <c r="M79" i="4"/>
  <c r="O79" i="4" s="1" a="1"/>
  <c r="O79" i="4" s="1"/>
  <c r="G80" i="4"/>
  <c r="H80" i="4" s="1"/>
  <c r="F80" i="4" s="1"/>
  <c r="A81" i="4"/>
  <c r="M81" i="4"/>
  <c r="O81" i="4" s="1" a="1"/>
  <c r="O81" i="4" s="1"/>
  <c r="G82" i="4"/>
  <c r="H82" i="4" s="1"/>
  <c r="F82" i="4" s="1"/>
  <c r="A83" i="4"/>
  <c r="M83" i="4"/>
  <c r="O83" i="4" s="1" a="1"/>
  <c r="O83" i="4" s="1"/>
  <c r="G84" i="4"/>
  <c r="H84" i="4" s="1"/>
  <c r="F84" i="4" s="1"/>
  <c r="A85" i="4"/>
  <c r="M85" i="4"/>
  <c r="O85" i="4" s="1" a="1"/>
  <c r="O85" i="4" s="1"/>
  <c r="G86" i="4"/>
  <c r="H86" i="4" s="1"/>
  <c r="F86" i="4" s="1"/>
  <c r="A87" i="4"/>
  <c r="M87" i="4"/>
  <c r="O87" i="4" s="1" a="1"/>
  <c r="O87" i="4" s="1"/>
  <c r="G88" i="4"/>
  <c r="H88" i="4" s="1"/>
  <c r="F88" i="4" s="1"/>
  <c r="A89" i="4"/>
  <c r="L90" i="4"/>
  <c r="N90" i="4" s="1"/>
  <c r="M91" i="4"/>
  <c r="O91" i="4" s="1" a="1"/>
  <c r="O91" i="4" s="1"/>
  <c r="L94" i="4"/>
  <c r="N94" i="4" s="1"/>
  <c r="M95" i="4"/>
  <c r="O95" i="4" s="1" a="1"/>
  <c r="O95" i="4" s="1"/>
  <c r="L98" i="4"/>
  <c r="N98" i="4" s="1"/>
  <c r="M99" i="4"/>
  <c r="O99" i="4" s="1" a="1"/>
  <c r="O99" i="4" s="1"/>
  <c r="L102" i="4"/>
  <c r="N102" i="4" s="1"/>
  <c r="M103" i="4"/>
  <c r="O103" i="4" s="1" a="1"/>
  <c r="O103" i="4" s="1"/>
  <c r="L106" i="4"/>
  <c r="N106" i="4" s="1"/>
  <c r="M107" i="4"/>
  <c r="O107" i="4" s="1" a="1"/>
  <c r="O107" i="4" s="1"/>
  <c r="L110" i="4"/>
  <c r="N110" i="4" s="1"/>
  <c r="M111" i="4"/>
  <c r="O111" i="4" s="1" a="1"/>
  <c r="O111" i="4" s="1"/>
  <c r="L114" i="4"/>
  <c r="N114" i="4" s="1"/>
  <c r="M115" i="4"/>
  <c r="O115" i="4" s="1" a="1"/>
  <c r="O115" i="4" s="1"/>
  <c r="L118" i="4"/>
  <c r="N118" i="4" s="1"/>
  <c r="M119" i="4"/>
  <c r="O119" i="4" s="1" a="1"/>
  <c r="O119" i="4" s="1"/>
  <c r="L122" i="4"/>
  <c r="N122" i="4" s="1"/>
  <c r="M123" i="4"/>
  <c r="O123" i="4" s="1" a="1"/>
  <c r="O123" i="4" s="1"/>
  <c r="L126" i="4"/>
  <c r="N126" i="4" s="1"/>
  <c r="M127" i="4"/>
  <c r="O127" i="4" s="1" a="1"/>
  <c r="O127" i="4" s="1"/>
  <c r="L130" i="4"/>
  <c r="N130" i="4" s="1"/>
  <c r="M131" i="4"/>
  <c r="O131" i="4" s="1" a="1"/>
  <c r="O131" i="4" s="1"/>
  <c r="L134" i="4"/>
  <c r="N134" i="4" s="1"/>
  <c r="M135" i="4"/>
  <c r="O135" i="4" s="1" a="1"/>
  <c r="O135" i="4" s="1"/>
  <c r="A94" i="4"/>
  <c r="A101" i="4"/>
  <c r="A107" i="4"/>
  <c r="A115" i="4"/>
  <c r="A122" i="4"/>
  <c r="A129" i="4"/>
  <c r="A137" i="4"/>
  <c r="A143" i="4"/>
  <c r="A150" i="4"/>
  <c r="S27" i="4"/>
  <c r="T27" i="4" s="1" a="1"/>
  <c r="T27" i="4" s="1"/>
  <c r="V27" i="4" s="1" a="1"/>
  <c r="V27" i="4" s="1"/>
  <c r="S33" i="4"/>
  <c r="T33" i="4" s="1" a="1"/>
  <c r="Q54" i="4"/>
  <c r="Q62" i="4"/>
  <c r="Q69" i="4"/>
  <c r="Q75" i="4"/>
  <c r="Q83" i="4"/>
  <c r="Q90" i="4"/>
  <c r="Q97" i="4"/>
  <c r="Q105" i="4"/>
  <c r="Q111" i="4"/>
  <c r="Q118" i="4"/>
  <c r="Q126" i="4"/>
  <c r="Q133" i="4"/>
  <c r="Q139" i="4"/>
  <c r="Q147" i="4"/>
  <c r="Q30" i="4"/>
  <c r="Q38" i="4"/>
  <c r="Q45" i="4"/>
  <c r="X30" i="4" a="1"/>
  <c r="X38" i="4" a="1"/>
  <c r="X44" i="4" a="1"/>
  <c r="X51" i="4" a="1"/>
  <c r="X59" i="4" a="1"/>
  <c r="X66" i="4" a="1"/>
  <c r="X72" i="4" a="1"/>
  <c r="X80" i="4" a="1"/>
  <c r="X87" i="4" a="1"/>
  <c r="X94" i="4" a="1"/>
  <c r="X102" i="4" a="1"/>
  <c r="X108" i="4" a="1"/>
  <c r="X115" i="4" a="1"/>
  <c r="X123" i="4" a="1"/>
  <c r="X130" i="4" a="1"/>
  <c r="X136" i="4" a="1"/>
  <c r="X143" i="4" a="1"/>
  <c r="X148" i="4" a="1"/>
  <c r="A90" i="4"/>
  <c r="A99" i="4"/>
  <c r="A110" i="4"/>
  <c r="A118" i="4"/>
  <c r="A127" i="4"/>
  <c r="A138" i="4"/>
  <c r="A147" i="4"/>
  <c r="A91" i="4"/>
  <c r="A102" i="4"/>
  <c r="A111" i="4"/>
  <c r="A121" i="4"/>
  <c r="A131" i="4"/>
  <c r="A139" i="4"/>
  <c r="A149" i="4"/>
  <c r="S28" i="4"/>
  <c r="Q51" i="4"/>
  <c r="Q59" i="4"/>
  <c r="Q70" i="4"/>
  <c r="Q79" i="4"/>
  <c r="Q89" i="4"/>
  <c r="Q99" i="4"/>
  <c r="Q107" i="4"/>
  <c r="Q117" i="4"/>
  <c r="Q127" i="4"/>
  <c r="Q137" i="4"/>
  <c r="Q145" i="4"/>
  <c r="Q33" i="4"/>
  <c r="Q41" i="4"/>
  <c r="X28" i="4" a="1"/>
  <c r="X39" i="4" a="1"/>
  <c r="X48" i="4" a="1"/>
  <c r="X56" i="4" a="1"/>
  <c r="X67" i="4" a="1"/>
  <c r="X76" i="4" a="1"/>
  <c r="X86" i="4" a="1"/>
  <c r="X96" i="4" a="1"/>
  <c r="X104" i="4" a="1"/>
  <c r="X114" i="4" a="1"/>
  <c r="X124" i="4" a="1"/>
  <c r="X134" i="4" a="1"/>
  <c r="X141" i="4" a="1"/>
  <c r="X149" i="4" a="1"/>
  <c r="G43" i="4"/>
  <c r="H43" i="4" s="1"/>
  <c r="F43" i="4" s="1"/>
  <c r="G44" i="4"/>
  <c r="H44" i="4" s="1"/>
  <c r="F44" i="4" s="1"/>
  <c r="G45" i="4"/>
  <c r="H45" i="4" s="1"/>
  <c r="F45" i="4" s="1"/>
  <c r="G46" i="4"/>
  <c r="H46" i="4" s="1"/>
  <c r="F46" i="4" s="1"/>
  <c r="G47" i="4"/>
  <c r="H47" i="4" s="1"/>
  <c r="F47" i="4" s="1"/>
  <c r="C48" i="4"/>
  <c r="D48" i="4" s="1"/>
  <c r="C49" i="4"/>
  <c r="D49" i="4" s="1"/>
  <c r="A50" i="4"/>
  <c r="M52" i="4"/>
  <c r="O52" i="4" s="1" a="1"/>
  <c r="O52" i="4" s="1"/>
  <c r="L53" i="4"/>
  <c r="N53" i="4" s="1"/>
  <c r="L54" i="4"/>
  <c r="N54" i="4" s="1"/>
  <c r="G55" i="4"/>
  <c r="H55" i="4" s="1"/>
  <c r="F55" i="4" s="1"/>
  <c r="C56" i="4"/>
  <c r="D56" i="4" s="1"/>
  <c r="C57" i="4"/>
  <c r="D57" i="4" s="1"/>
  <c r="A58" i="4"/>
  <c r="M60" i="4"/>
  <c r="O60" i="4" s="1" a="1"/>
  <c r="O60" i="4" s="1"/>
  <c r="L61" i="4"/>
  <c r="N61" i="4" s="1"/>
  <c r="L62" i="4"/>
  <c r="N62" i="4" s="1"/>
  <c r="G63" i="4"/>
  <c r="H63" i="4" s="1"/>
  <c r="F63" i="4" s="1"/>
  <c r="C64" i="4"/>
  <c r="D64" i="4" s="1"/>
  <c r="AF64" i="4" s="1"/>
  <c r="C65" i="4"/>
  <c r="D65" i="4" s="1"/>
  <c r="A66" i="4"/>
  <c r="A95" i="4"/>
  <c r="A105" i="4"/>
  <c r="A113" i="4"/>
  <c r="A123" i="4"/>
  <c r="A133" i="4"/>
  <c r="A142" i="4"/>
  <c r="S29" i="4"/>
  <c r="Q53" i="4"/>
  <c r="Q63" i="4"/>
  <c r="Q73" i="4"/>
  <c r="Q81" i="4"/>
  <c r="Q91" i="4"/>
  <c r="Q101" i="4"/>
  <c r="Q110" i="4"/>
  <c r="Q121" i="4"/>
  <c r="Q129" i="4"/>
  <c r="Q138" i="4"/>
  <c r="Q149" i="4"/>
  <c r="A97" i="4"/>
  <c r="A134" i="4"/>
  <c r="Q58" i="4"/>
  <c r="Q78" i="4"/>
  <c r="Q95" i="4"/>
  <c r="Q115" i="4"/>
  <c r="Q134" i="4"/>
  <c r="Q29" i="4"/>
  <c r="Q44" i="4"/>
  <c r="X34" i="4" a="1"/>
  <c r="X46" i="4" a="1"/>
  <c r="X60" i="4" a="1"/>
  <c r="X71" i="4" a="1"/>
  <c r="X83" i="4" a="1"/>
  <c r="X98" i="4" a="1"/>
  <c r="X110" i="4" a="1"/>
  <c r="X120" i="4" a="1"/>
  <c r="X135" i="4" a="1"/>
  <c r="X145" i="4" a="1"/>
  <c r="C66" i="4"/>
  <c r="D66" i="4" s="1"/>
  <c r="A78" i="4"/>
  <c r="C85" i="4"/>
  <c r="D85" i="4" s="1"/>
  <c r="L97" i="4"/>
  <c r="N97" i="4" s="1"/>
  <c r="L111" i="4"/>
  <c r="N111" i="4" s="1"/>
  <c r="M116" i="4"/>
  <c r="O116" i="4" s="1" a="1"/>
  <c r="O116" i="4" s="1"/>
  <c r="M125" i="4"/>
  <c r="O125" i="4" s="1" a="1"/>
  <c r="O125" i="4" s="1"/>
  <c r="M134" i="4"/>
  <c r="O134" i="4" s="1" a="1"/>
  <c r="O134" i="4" s="1"/>
  <c r="P134" i="4" s="1"/>
  <c r="M140" i="4"/>
  <c r="O140" i="4" s="1" a="1"/>
  <c r="O140" i="4" s="1"/>
  <c r="L147" i="4"/>
  <c r="N147" i="4" s="1"/>
  <c r="A106" i="4"/>
  <c r="A145" i="4"/>
  <c r="S32" i="4"/>
  <c r="T32" i="4" s="1" a="1"/>
  <c r="T32" i="4" s="1"/>
  <c r="V32" i="4" s="1" a="1"/>
  <c r="V32" i="4" s="1"/>
  <c r="Q65" i="4"/>
  <c r="Q85" i="4"/>
  <c r="Q102" i="4"/>
  <c r="Q122" i="4"/>
  <c r="Q142" i="4"/>
  <c r="Q34" i="4"/>
  <c r="Q46" i="4"/>
  <c r="X35" i="4" a="1"/>
  <c r="X50" i="4" a="1"/>
  <c r="X62" i="4" a="1"/>
  <c r="X75" i="4" a="1"/>
  <c r="X88" i="4" a="1"/>
  <c r="X99" i="4" a="1"/>
  <c r="X112" i="4" a="1"/>
  <c r="X126" i="4" a="1"/>
  <c r="X139" i="4" a="1"/>
  <c r="X147" i="4" a="1"/>
  <c r="L43" i="4"/>
  <c r="N43" i="4" s="1"/>
  <c r="A45" i="4"/>
  <c r="A46" i="4"/>
  <c r="L47" i="4"/>
  <c r="N47" i="4" s="1"/>
  <c r="M48" i="4"/>
  <c r="O48" i="4" s="1" a="1"/>
  <c r="O48" i="4" s="1"/>
  <c r="C51" i="4"/>
  <c r="D51" i="4" s="1"/>
  <c r="C52" i="4"/>
  <c r="D52" i="4" s="1"/>
  <c r="G53" i="4"/>
  <c r="H53" i="4" s="1"/>
  <c r="F53" i="4" s="1"/>
  <c r="M54" i="4"/>
  <c r="O54" i="4" s="1" a="1"/>
  <c r="O54" i="4" s="1"/>
  <c r="C58" i="4"/>
  <c r="D58" i="4" s="1"/>
  <c r="G59" i="4"/>
  <c r="H59" i="4" s="1"/>
  <c r="F59" i="4" s="1"/>
  <c r="L60" i="4"/>
  <c r="N60" i="4" s="1"/>
  <c r="P60" i="4" s="1"/>
  <c r="A64" i="4"/>
  <c r="G65" i="4"/>
  <c r="H65" i="4" s="1"/>
  <c r="F65" i="4" s="1"/>
  <c r="L66" i="4"/>
  <c r="N66" i="4" s="1"/>
  <c r="L67" i="4"/>
  <c r="N67" i="4" s="1"/>
  <c r="P67" i="4" s="1"/>
  <c r="L68" i="4"/>
  <c r="N68" i="4" s="1"/>
  <c r="G69" i="4"/>
  <c r="H69" i="4" s="1"/>
  <c r="F69" i="4" s="1"/>
  <c r="C70" i="4"/>
  <c r="D70" i="4" s="1"/>
  <c r="C71" i="4"/>
  <c r="D71" i="4" s="1"/>
  <c r="A72" i="4"/>
  <c r="M74" i="4"/>
  <c r="O74" i="4" s="1" a="1"/>
  <c r="O74" i="4" s="1"/>
  <c r="L75" i="4"/>
  <c r="N75" i="4" s="1"/>
  <c r="P75" i="4" s="1"/>
  <c r="L76" i="4"/>
  <c r="N76" i="4" s="1"/>
  <c r="P76" i="4" s="1"/>
  <c r="G77" i="4"/>
  <c r="H77" i="4" s="1"/>
  <c r="F77" i="4" s="1"/>
  <c r="C78" i="4"/>
  <c r="D78" i="4" s="1"/>
  <c r="C79" i="4"/>
  <c r="D79" i="4" s="1"/>
  <c r="A80" i="4"/>
  <c r="M82" i="4"/>
  <c r="O82" i="4" s="1" a="1"/>
  <c r="O82" i="4" s="1"/>
  <c r="L83" i="4"/>
  <c r="N83" i="4" s="1"/>
  <c r="P83" i="4" s="1"/>
  <c r="L84" i="4"/>
  <c r="N84" i="4" s="1"/>
  <c r="G85" i="4"/>
  <c r="H85" i="4" s="1"/>
  <c r="F85" i="4" s="1"/>
  <c r="C86" i="4"/>
  <c r="D86" i="4" s="1"/>
  <c r="C87" i="4"/>
  <c r="D87" i="4" s="1"/>
  <c r="A88" i="4"/>
  <c r="M90" i="4"/>
  <c r="O90" i="4" s="1" a="1"/>
  <c r="O90" i="4" s="1"/>
  <c r="P90" i="4" s="1"/>
  <c r="L92" i="4"/>
  <c r="N92" i="4" s="1"/>
  <c r="M97" i="4"/>
  <c r="O97" i="4" s="1" a="1"/>
  <c r="O97" i="4" s="1"/>
  <c r="P97" i="4" s="1"/>
  <c r="L99" i="4"/>
  <c r="N99" i="4" s="1"/>
  <c r="L101" i="4"/>
  <c r="N101" i="4" s="1"/>
  <c r="P101" i="4" s="1"/>
  <c r="M104" i="4"/>
  <c r="O104" i="4" s="1" a="1"/>
  <c r="O104" i="4" s="1"/>
  <c r="M106" i="4"/>
  <c r="O106" i="4" s="1" a="1"/>
  <c r="O106" i="4" s="1"/>
  <c r="L108" i="4"/>
  <c r="N108" i="4" s="1"/>
  <c r="M113" i="4"/>
  <c r="O113" i="4" s="1" a="1"/>
  <c r="O113" i="4" s="1"/>
  <c r="L115" i="4"/>
  <c r="N115" i="4" s="1"/>
  <c r="L117" i="4"/>
  <c r="N117" i="4" s="1"/>
  <c r="M120" i="4"/>
  <c r="O120" i="4" s="1" a="1"/>
  <c r="O120" i="4" s="1"/>
  <c r="M122" i="4"/>
  <c r="O122" i="4" s="1" a="1"/>
  <c r="O122" i="4" s="1"/>
  <c r="P122" i="4" s="1"/>
  <c r="L124" i="4"/>
  <c r="N124" i="4" s="1"/>
  <c r="M129" i="4"/>
  <c r="O129" i="4" s="1" a="1"/>
  <c r="O129" i="4" s="1"/>
  <c r="L131" i="4"/>
  <c r="N131" i="4" s="1"/>
  <c r="L133" i="4"/>
  <c r="N133" i="4" s="1"/>
  <c r="P133" i="4" s="1"/>
  <c r="M136" i="4"/>
  <c r="O136" i="4" s="1" a="1"/>
  <c r="O136" i="4" s="1"/>
  <c r="L138" i="4"/>
  <c r="N138" i="4" s="1"/>
  <c r="M139" i="4"/>
  <c r="O139" i="4" s="1" a="1"/>
  <c r="O139" i="4" s="1"/>
  <c r="L142" i="4"/>
  <c r="N142" i="4" s="1"/>
  <c r="M143" i="4"/>
  <c r="O143" i="4" s="1" a="1"/>
  <c r="O143" i="4" s="1"/>
  <c r="L146" i="4"/>
  <c r="N146" i="4" s="1"/>
  <c r="M147" i="4"/>
  <c r="O147" i="4" s="1" a="1"/>
  <c r="O147" i="4" s="1"/>
  <c r="L150" i="4"/>
  <c r="N150" i="4" s="1"/>
  <c r="M151" i="4"/>
  <c r="O151" i="4" s="1" a="1"/>
  <c r="O151" i="4" s="1"/>
  <c r="A117" i="4"/>
  <c r="Q49" i="4"/>
  <c r="Q67" i="4"/>
  <c r="Q86" i="4"/>
  <c r="Q106" i="4"/>
  <c r="Q123" i="4"/>
  <c r="Q143" i="4"/>
  <c r="Q36" i="4"/>
  <c r="X27" i="4" a="1"/>
  <c r="X40" i="4" a="1"/>
  <c r="X54" i="4" a="1"/>
  <c r="X54" i="4" s="1"/>
  <c r="X64" i="4" a="1"/>
  <c r="X64" i="4" s="1"/>
  <c r="X78" i="4" a="1"/>
  <c r="X78" i="4" s="1"/>
  <c r="X91" i="4" a="1"/>
  <c r="X91" i="4" s="1"/>
  <c r="X103" i="4" a="1"/>
  <c r="X103" i="4" s="1"/>
  <c r="X118" i="4" a="1"/>
  <c r="X118" i="4" s="1"/>
  <c r="X128" i="4" a="1"/>
  <c r="X128" i="4" s="1"/>
  <c r="X140" i="4" a="1"/>
  <c r="X140" i="4" s="1"/>
  <c r="X151" i="4" a="1"/>
  <c r="X151" i="4" s="1"/>
  <c r="M43" i="4"/>
  <c r="O43" i="4" s="1" a="1"/>
  <c r="O43" i="4" s="1"/>
  <c r="C45" i="4"/>
  <c r="D45" i="4" s="1"/>
  <c r="L46" i="4"/>
  <c r="N46" i="4" s="1"/>
  <c r="C50" i="4"/>
  <c r="D50" i="4" s="1"/>
  <c r="G51" i="4"/>
  <c r="H51" i="4" s="1"/>
  <c r="F51" i="4" s="1"/>
  <c r="L52" i="4"/>
  <c r="N52" i="4" s="1"/>
  <c r="A56" i="4"/>
  <c r="G57" i="4"/>
  <c r="H57" i="4" s="1"/>
  <c r="F57" i="4" s="1"/>
  <c r="L58" i="4"/>
  <c r="N58" i="4" s="1"/>
  <c r="L59" i="4"/>
  <c r="N59" i="4" s="1"/>
  <c r="P59" i="4" s="1"/>
  <c r="A62" i="4"/>
  <c r="C63" i="4"/>
  <c r="D63" i="4" s="1"/>
  <c r="L64" i="4"/>
  <c r="N64" i="4" s="1"/>
  <c r="L65" i="4"/>
  <c r="N65" i="4" s="1"/>
  <c r="M66" i="4"/>
  <c r="O66" i="4" s="1" a="1"/>
  <c r="O66" i="4" s="1"/>
  <c r="M68" i="4"/>
  <c r="O68" i="4" s="1" a="1"/>
  <c r="O68" i="4" s="1"/>
  <c r="L69" i="4"/>
  <c r="N69" i="4" s="1"/>
  <c r="P69" i="4" s="1"/>
  <c r="L70" i="4"/>
  <c r="N70" i="4" s="1"/>
  <c r="G71" i="4"/>
  <c r="H71" i="4" s="1"/>
  <c r="F71" i="4" s="1"/>
  <c r="C72" i="4"/>
  <c r="D72" i="4" s="1"/>
  <c r="C73" i="4"/>
  <c r="D73" i="4" s="1"/>
  <c r="A74" i="4"/>
  <c r="M76" i="4"/>
  <c r="O76" i="4" s="1" a="1"/>
  <c r="O76" i="4" s="1"/>
  <c r="L77" i="4"/>
  <c r="N77" i="4" s="1"/>
  <c r="L78" i="4"/>
  <c r="N78" i="4" s="1"/>
  <c r="G79" i="4"/>
  <c r="H79" i="4" s="1"/>
  <c r="F79" i="4" s="1"/>
  <c r="C80" i="4"/>
  <c r="D80" i="4" s="1"/>
  <c r="C81" i="4"/>
  <c r="D81" i="4" s="1"/>
  <c r="A82" i="4"/>
  <c r="M84" i="4"/>
  <c r="O84" i="4" s="1" a="1"/>
  <c r="O84" i="4" s="1"/>
  <c r="L85" i="4"/>
  <c r="N85" i="4" s="1"/>
  <c r="L86" i="4"/>
  <c r="N86" i="4" s="1"/>
  <c r="G87" i="4"/>
  <c r="H87" i="4" s="1"/>
  <c r="F87" i="4" s="1"/>
  <c r="C88" i="4"/>
  <c r="D88" i="4" s="1"/>
  <c r="L89" i="4"/>
  <c r="N89" i="4" s="1"/>
  <c r="M92" i="4"/>
  <c r="O92" i="4" s="1" a="1"/>
  <c r="O92" i="4" s="1"/>
  <c r="M94" i="4"/>
  <c r="O94" i="4" s="1" a="1"/>
  <c r="O94" i="4" s="1"/>
  <c r="L96" i="4"/>
  <c r="N96" i="4" s="1"/>
  <c r="M101" i="4"/>
  <c r="O101" i="4" s="1" a="1"/>
  <c r="O101" i="4" s="1"/>
  <c r="L103" i="4"/>
  <c r="N103" i="4" s="1"/>
  <c r="L105" i="4"/>
  <c r="N105" i="4" s="1"/>
  <c r="M108" i="4"/>
  <c r="O108" i="4" s="1" a="1"/>
  <c r="O108" i="4" s="1"/>
  <c r="M110" i="4"/>
  <c r="O110" i="4" s="1" a="1"/>
  <c r="O110" i="4" s="1"/>
  <c r="L112" i="4"/>
  <c r="N112" i="4" s="1"/>
  <c r="M117" i="4"/>
  <c r="O117" i="4" s="1" a="1"/>
  <c r="O117" i="4" s="1"/>
  <c r="L119" i="4"/>
  <c r="N119" i="4" s="1"/>
  <c r="L121" i="4"/>
  <c r="N121" i="4" s="1"/>
  <c r="M124" i="4"/>
  <c r="O124" i="4" s="1" a="1"/>
  <c r="O124" i="4" s="1"/>
  <c r="M126" i="4"/>
  <c r="O126" i="4" s="1" a="1"/>
  <c r="O126" i="4" s="1"/>
  <c r="L128" i="4"/>
  <c r="N128" i="4" s="1"/>
  <c r="M133" i="4"/>
  <c r="O133" i="4" s="1" a="1"/>
  <c r="O133" i="4" s="1"/>
  <c r="L135" i="4"/>
  <c r="N135" i="4" s="1"/>
  <c r="L137" i="4"/>
  <c r="N137" i="4" s="1"/>
  <c r="M138" i="4"/>
  <c r="O138" i="4" s="1" a="1"/>
  <c r="O138" i="4" s="1"/>
  <c r="L141" i="4"/>
  <c r="N141" i="4" s="1"/>
  <c r="M142" i="4"/>
  <c r="O142" i="4" s="1" a="1"/>
  <c r="O142" i="4" s="1"/>
  <c r="L145" i="4"/>
  <c r="N145" i="4" s="1"/>
  <c r="M146" i="4"/>
  <c r="O146" i="4" s="1" a="1"/>
  <c r="O146" i="4" s="1"/>
  <c r="L149" i="4"/>
  <c r="N149" i="4" s="1"/>
  <c r="M150" i="4"/>
  <c r="O150" i="4" s="1" a="1"/>
  <c r="O150" i="4" s="1"/>
  <c r="Q74" i="4"/>
  <c r="Q113" i="4"/>
  <c r="Q150" i="4"/>
  <c r="Q40" i="4"/>
  <c r="X43" i="4" a="1"/>
  <c r="X43" i="4" s="1"/>
  <c r="X55" i="4" a="1"/>
  <c r="X55" i="4" s="1"/>
  <c r="X82" i="4" a="1"/>
  <c r="X82" i="4" s="1"/>
  <c r="X107" i="4" a="1"/>
  <c r="X107" i="4" s="1"/>
  <c r="X131" i="4" a="1"/>
  <c r="X131" i="4" s="1"/>
  <c r="X144" i="4" a="1"/>
  <c r="X144" i="4" s="1"/>
  <c r="C44" i="4"/>
  <c r="D44" i="4" s="1"/>
  <c r="M46" i="4"/>
  <c r="O46" i="4" s="1" a="1"/>
  <c r="O46" i="4" s="1"/>
  <c r="A48" i="4"/>
  <c r="L50" i="4"/>
  <c r="N50" i="4" s="1"/>
  <c r="L51" i="4"/>
  <c r="N51" i="4" s="1"/>
  <c r="P51" i="4" s="1"/>
  <c r="A54" i="4"/>
  <c r="L56" i="4"/>
  <c r="N56" i="4" s="1"/>
  <c r="M58" i="4"/>
  <c r="O58" i="4" s="1" a="1"/>
  <c r="O58" i="4" s="1"/>
  <c r="C61" i="4"/>
  <c r="D61" i="4" s="1"/>
  <c r="C62" i="4"/>
  <c r="D62" i="4" s="1"/>
  <c r="M64" i="4"/>
  <c r="O64" i="4" s="1" a="1"/>
  <c r="O64" i="4" s="1"/>
  <c r="A68" i="4"/>
  <c r="M70" i="4"/>
  <c r="O70" i="4" s="1" a="1"/>
  <c r="O70" i="4" s="1"/>
  <c r="L72" i="4"/>
  <c r="N72" i="4" s="1"/>
  <c r="C74" i="4"/>
  <c r="D74" i="4" s="1"/>
  <c r="A76" i="4"/>
  <c r="L79" i="4"/>
  <c r="N79" i="4" s="1"/>
  <c r="G81" i="4"/>
  <c r="H81" i="4" s="1"/>
  <c r="F81" i="4" s="1"/>
  <c r="C83" i="4"/>
  <c r="D83" i="4" s="1"/>
  <c r="M86" i="4"/>
  <c r="O86" i="4" s="1" a="1"/>
  <c r="O86" i="4" s="1"/>
  <c r="L88" i="4"/>
  <c r="N88" i="4" s="1"/>
  <c r="L91" i="4"/>
  <c r="N91" i="4" s="1"/>
  <c r="M98" i="4"/>
  <c r="O98" i="4" s="1" a="1"/>
  <c r="O98" i="4" s="1"/>
  <c r="L107" i="4"/>
  <c r="N107" i="4" s="1"/>
  <c r="L116" i="4"/>
  <c r="N116" i="4" s="1"/>
  <c r="L123" i="4"/>
  <c r="N123" i="4" s="1"/>
  <c r="L132" i="4"/>
  <c r="N132" i="4" s="1"/>
  <c r="M141" i="4"/>
  <c r="O141" i="4" s="1" a="1"/>
  <c r="O141" i="4" s="1"/>
  <c r="L144" i="4"/>
  <c r="N144" i="4" s="1"/>
  <c r="M145" i="4"/>
  <c r="O145" i="4" s="1" a="1"/>
  <c r="O145" i="4" s="1"/>
  <c r="L148" i="4"/>
  <c r="N148" i="4" s="1"/>
  <c r="L44" i="4"/>
  <c r="N44" i="4" s="1"/>
  <c r="P44" i="4" s="1"/>
  <c r="C47" i="4"/>
  <c r="D47" i="4" s="1"/>
  <c r="L48" i="4"/>
  <c r="N48" i="4" s="1"/>
  <c r="M50" i="4"/>
  <c r="O50" i="4" s="1" a="1"/>
  <c r="O50" i="4" s="1"/>
  <c r="C53" i="4"/>
  <c r="D53" i="4" s="1"/>
  <c r="L55" i="4"/>
  <c r="N55" i="4" s="1"/>
  <c r="C60" i="4"/>
  <c r="D60" i="4" s="1"/>
  <c r="M62" i="4"/>
  <c r="O62" i="4" s="1" a="1"/>
  <c r="O62" i="4" s="1"/>
  <c r="C68" i="4"/>
  <c r="D68" i="4" s="1"/>
  <c r="A70" i="4"/>
  <c r="M72" i="4"/>
  <c r="O72" i="4" s="1" a="1"/>
  <c r="O72" i="4" s="1"/>
  <c r="L74" i="4"/>
  <c r="N74" i="4" s="1"/>
  <c r="P74" i="4" s="1"/>
  <c r="C76" i="4"/>
  <c r="D76" i="4" s="1"/>
  <c r="M80" i="4"/>
  <c r="O80" i="4" s="1" a="1"/>
  <c r="O80" i="4" s="1"/>
  <c r="G83" i="4"/>
  <c r="H83" i="4" s="1"/>
  <c r="F83" i="4" s="1"/>
  <c r="M88" i="4"/>
  <c r="O88" i="4" s="1" a="1"/>
  <c r="O88" i="4" s="1"/>
  <c r="M93" i="4"/>
  <c r="O93" i="4" s="1" a="1"/>
  <c r="O93" i="4" s="1"/>
  <c r="M102" i="4"/>
  <c r="O102" i="4" s="1" a="1"/>
  <c r="O102" i="4" s="1"/>
  <c r="L113" i="4"/>
  <c r="N113" i="4" s="1"/>
  <c r="P113" i="4" s="1"/>
  <c r="M118" i="4"/>
  <c r="O118" i="4" s="1" a="1"/>
  <c r="O118" i="4" s="1"/>
  <c r="P118" i="4" s="1"/>
  <c r="L127" i="4"/>
  <c r="N127" i="4" s="1"/>
  <c r="L136" i="4"/>
  <c r="N136" i="4" s="1"/>
  <c r="L139" i="4"/>
  <c r="N139" i="4" s="1"/>
  <c r="L143" i="4"/>
  <c r="N143" i="4" s="1"/>
  <c r="A126" i="4"/>
  <c r="Q57" i="4"/>
  <c r="Q94" i="4"/>
  <c r="Q131" i="4"/>
  <c r="Q28" i="4"/>
  <c r="X32" i="4" a="1"/>
  <c r="X70" i="4" a="1"/>
  <c r="X92" i="4" a="1"/>
  <c r="X119" i="4" a="1"/>
  <c r="M45" i="4"/>
  <c r="O45" i="4" s="1" a="1"/>
  <c r="O45" i="4" s="1"/>
  <c r="G49" i="4"/>
  <c r="H49" i="4" s="1"/>
  <c r="F49" i="4" s="1"/>
  <c r="C55" i="4"/>
  <c r="D55" i="4" s="1"/>
  <c r="L57" i="4"/>
  <c r="N57" i="4" s="1"/>
  <c r="A60" i="4"/>
  <c r="L63" i="4"/>
  <c r="N63" i="4" s="1"/>
  <c r="P63" i="4" s="1"/>
  <c r="C67" i="4"/>
  <c r="D67" i="4" s="1"/>
  <c r="L71" i="4"/>
  <c r="N71" i="4" s="1"/>
  <c r="P71" i="4" s="1"/>
  <c r="G73" i="4"/>
  <c r="H73" i="4" s="1"/>
  <c r="F73" i="4" s="1"/>
  <c r="C75" i="4"/>
  <c r="D75" i="4" s="1"/>
  <c r="M78" i="4"/>
  <c r="O78" i="4" s="1" a="1"/>
  <c r="O78" i="4" s="1"/>
  <c r="L80" i="4"/>
  <c r="N80" i="4" s="1"/>
  <c r="P80" i="4" s="1"/>
  <c r="C82" i="4"/>
  <c r="D82" i="4" s="1"/>
  <c r="AF82" i="4" s="1"/>
  <c r="A84" i="4"/>
  <c r="L87" i="4"/>
  <c r="N87" i="4" s="1"/>
  <c r="P87" i="4" s="1"/>
  <c r="M89" i="4"/>
  <c r="O89" i="4" s="1" a="1"/>
  <c r="O89" i="4" s="1"/>
  <c r="L93" i="4"/>
  <c r="N93" i="4" s="1"/>
  <c r="M96" i="4"/>
  <c r="O96" i="4" s="1" a="1"/>
  <c r="O96" i="4" s="1"/>
  <c r="L100" i="4"/>
  <c r="N100" i="4" s="1"/>
  <c r="M105" i="4"/>
  <c r="O105" i="4" s="1" a="1"/>
  <c r="O105" i="4" s="1"/>
  <c r="L109" i="4"/>
  <c r="N109" i="4" s="1"/>
  <c r="M112" i="4"/>
  <c r="O112" i="4" s="1" a="1"/>
  <c r="O112" i="4" s="1"/>
  <c r="P112" i="4" s="1"/>
  <c r="M114" i="4"/>
  <c r="O114" i="4" s="1" a="1"/>
  <c r="O114" i="4" s="1"/>
  <c r="M121" i="4"/>
  <c r="O121" i="4" s="1" a="1"/>
  <c r="O121" i="4" s="1"/>
  <c r="L125" i="4"/>
  <c r="N125" i="4" s="1"/>
  <c r="M128" i="4"/>
  <c r="O128" i="4" s="1" a="1"/>
  <c r="O128" i="4" s="1"/>
  <c r="M130" i="4"/>
  <c r="O130" i="4" s="1" a="1"/>
  <c r="O130" i="4" s="1"/>
  <c r="M137" i="4"/>
  <c r="O137" i="4" s="1" a="1"/>
  <c r="O137" i="4" s="1"/>
  <c r="L140" i="4"/>
  <c r="N140" i="4" s="1"/>
  <c r="M149" i="4"/>
  <c r="O149" i="4" s="1" a="1"/>
  <c r="O149" i="4" s="1"/>
  <c r="A43" i="4"/>
  <c r="L49" i="4"/>
  <c r="N49" i="4" s="1"/>
  <c r="A52" i="4"/>
  <c r="C54" i="4"/>
  <c r="D54" i="4" s="1"/>
  <c r="AF54" i="4" s="1"/>
  <c r="M56" i="4"/>
  <c r="O56" i="4" s="1" a="1"/>
  <c r="O56" i="4" s="1"/>
  <c r="C59" i="4"/>
  <c r="D59" i="4" s="1"/>
  <c r="G61" i="4"/>
  <c r="H61" i="4" s="1"/>
  <c r="F61" i="4" s="1"/>
  <c r="G67" i="4"/>
  <c r="H67" i="4" s="1"/>
  <c r="F67" i="4" s="1"/>
  <c r="C69" i="4"/>
  <c r="D69" i="4" s="1"/>
  <c r="L73" i="4"/>
  <c r="N73" i="4" s="1"/>
  <c r="G75" i="4"/>
  <c r="H75" i="4" s="1"/>
  <c r="F75" i="4" s="1"/>
  <c r="C77" i="4"/>
  <c r="D77" i="4" s="1"/>
  <c r="L81" i="4"/>
  <c r="N81" i="4" s="1"/>
  <c r="L82" i="4"/>
  <c r="N82" i="4" s="1"/>
  <c r="P82" i="4" s="1"/>
  <c r="C84" i="4"/>
  <c r="D84" i="4" s="1"/>
  <c r="A86" i="4"/>
  <c r="L95" i="4"/>
  <c r="N95" i="4" s="1"/>
  <c r="M100" i="4"/>
  <c r="O100" i="4" s="1" a="1"/>
  <c r="O100" i="4" s="1"/>
  <c r="L104" i="4"/>
  <c r="N104" i="4" s="1"/>
  <c r="M109" i="4"/>
  <c r="O109" i="4" s="1" a="1"/>
  <c r="O109" i="4" s="1"/>
  <c r="L120" i="4"/>
  <c r="N120" i="4" s="1"/>
  <c r="L129" i="4"/>
  <c r="N129" i="4" s="1"/>
  <c r="P129" i="4" s="1"/>
  <c r="M132" i="4"/>
  <c r="O132" i="4" s="1" a="1"/>
  <c r="O132" i="4" s="1"/>
  <c r="M144" i="4"/>
  <c r="O144" i="4" s="1" a="1"/>
  <c r="O144" i="4" s="1"/>
  <c r="P144" i="4" s="1"/>
  <c r="M148" i="4"/>
  <c r="O148" i="4" s="1" a="1"/>
  <c r="O148" i="4" s="1"/>
  <c r="P148" i="4" s="1"/>
  <c r="L151" i="4"/>
  <c r="N151" i="4" s="1"/>
  <c r="P151" i="4" s="1"/>
  <c r="I183" i="8"/>
  <c r="I152" i="8"/>
  <c r="I166" i="8"/>
  <c r="I176" i="8"/>
  <c r="I223" i="8"/>
  <c r="I254" i="8"/>
  <c r="I272" i="8"/>
  <c r="I355" i="8"/>
  <c r="I371" i="8"/>
  <c r="I387" i="8"/>
  <c r="I270" i="8"/>
  <c r="I225" i="8"/>
  <c r="I453" i="8"/>
  <c r="I354" i="8"/>
  <c r="I409" i="8"/>
  <c r="I441" i="8"/>
  <c r="I473" i="8"/>
  <c r="I505" i="8"/>
  <c r="I269" i="8"/>
  <c r="I378" i="8"/>
  <c r="I383" i="8"/>
  <c r="I413" i="8"/>
  <c r="I370" i="8"/>
  <c r="I401" i="8"/>
  <c r="I614" i="8"/>
  <c r="I622" i="8"/>
  <c r="I655" i="8"/>
  <c r="I668" i="8"/>
  <c r="I397" i="8"/>
  <c r="I450" i="8"/>
  <c r="I616" i="8"/>
  <c r="I290" i="8"/>
  <c r="I214" i="8"/>
  <c r="I306" i="8"/>
  <c r="I642" i="8"/>
  <c r="I547" i="8"/>
  <c r="I342" i="8"/>
  <c r="I172" i="8"/>
  <c r="I179" i="8"/>
  <c r="I173" i="8"/>
  <c r="I205" i="8"/>
  <c r="I158" i="8"/>
  <c r="I178" i="8"/>
  <c r="I189" i="8"/>
  <c r="I186" i="8"/>
  <c r="I220" i="8"/>
  <c r="I236" i="8"/>
  <c r="I231" i="8"/>
  <c r="I247" i="8"/>
  <c r="I278" i="8"/>
  <c r="I304" i="8"/>
  <c r="I311" i="8"/>
  <c r="I165" i="8"/>
  <c r="I167" i="8"/>
  <c r="I253" i="8"/>
  <c r="I285" i="8"/>
  <c r="I317" i="8"/>
  <c r="I241" i="8"/>
  <c r="I337" i="8"/>
  <c r="I376" i="8"/>
  <c r="I245" i="8"/>
  <c r="I309" i="8"/>
  <c r="I410" i="8"/>
  <c r="I474" i="8"/>
  <c r="I233" i="8"/>
  <c r="I360" i="8"/>
  <c r="I520" i="8"/>
  <c r="I546" i="8"/>
  <c r="I598" i="8"/>
  <c r="I649" i="8"/>
  <c r="I665" i="8"/>
  <c r="I190" i="8"/>
  <c r="I434" i="8"/>
  <c r="I438" i="8"/>
  <c r="I449" i="8"/>
  <c r="I462" i="8"/>
  <c r="I422" i="8"/>
  <c r="I446" i="8"/>
  <c r="I652" i="8"/>
  <c r="I320" i="8"/>
  <c r="I402" i="8"/>
  <c r="I574" i="8"/>
  <c r="I662" i="8"/>
  <c r="I418" i="8"/>
  <c r="I478" i="8"/>
  <c r="I648" i="8"/>
  <c r="I664" i="8"/>
  <c r="I191" i="8"/>
  <c r="I216" i="8"/>
  <c r="I232" i="8"/>
  <c r="I187" i="8"/>
  <c r="I207" i="8"/>
  <c r="I180" i="8"/>
  <c r="I212" i="8"/>
  <c r="I228" i="8"/>
  <c r="I156" i="8"/>
  <c r="I192" i="8"/>
  <c r="I215" i="8"/>
  <c r="I244" i="8"/>
  <c r="I195" i="8"/>
  <c r="I246" i="8"/>
  <c r="I279" i="8"/>
  <c r="I310" i="8"/>
  <c r="I157" i="8"/>
  <c r="I271" i="8"/>
  <c r="I303" i="8"/>
  <c r="I333" i="8"/>
  <c r="I335" i="8"/>
  <c r="I261" i="8"/>
  <c r="I301" i="8"/>
  <c r="I394" i="8"/>
  <c r="I200" i="8"/>
  <c r="I368" i="8"/>
  <c r="I175" i="8"/>
  <c r="I553" i="8"/>
  <c r="I641" i="8"/>
  <c r="I657" i="8"/>
  <c r="I498" i="8"/>
  <c r="I497" i="8"/>
  <c r="I644" i="8"/>
  <c r="I660" i="8"/>
  <c r="I155" i="8"/>
  <c r="I375" i="8"/>
  <c r="I606" i="8"/>
  <c r="I654" i="8"/>
  <c r="I670" i="8"/>
  <c r="I294" i="8"/>
  <c r="I656" i="8"/>
  <c r="I159" i="8"/>
  <c r="I204" i="8"/>
  <c r="I171" i="8"/>
  <c r="I203" i="8"/>
  <c r="I199" i="8"/>
  <c r="I208" i="8"/>
  <c r="I239" i="8"/>
  <c r="I248" i="8"/>
  <c r="I255" i="8"/>
  <c r="I286" i="8"/>
  <c r="I312" i="8"/>
  <c r="I319" i="8"/>
  <c r="I326" i="8"/>
  <c r="I218" i="8"/>
  <c r="I221" i="8"/>
  <c r="I234" i="8"/>
  <c r="I237" i="8"/>
  <c r="I264" i="8"/>
  <c r="I296" i="8"/>
  <c r="I325" i="8"/>
  <c r="I327" i="8"/>
  <c r="I362" i="8"/>
  <c r="I367" i="8"/>
  <c r="I168" i="8"/>
  <c r="I295" i="8"/>
  <c r="I386" i="8"/>
  <c r="I391" i="8"/>
  <c r="I426" i="8"/>
  <c r="I490" i="8"/>
  <c r="I346" i="8"/>
  <c r="I351" i="8"/>
  <c r="I392" i="8"/>
  <c r="I518" i="8"/>
  <c r="I538" i="8"/>
  <c r="I552" i="8"/>
  <c r="I582" i="8"/>
  <c r="I631" i="8"/>
  <c r="I645" i="8"/>
  <c r="I661" i="8"/>
  <c r="I466" i="8"/>
  <c r="I470" i="8"/>
  <c r="I481" i="8"/>
  <c r="I494" i="8"/>
  <c r="I560" i="8"/>
  <c r="I576" i="8"/>
  <c r="I592" i="8"/>
  <c r="I608" i="8"/>
  <c r="I454" i="8"/>
  <c r="I482" i="8"/>
  <c r="I528" i="8"/>
  <c r="I256" i="8"/>
  <c r="I534" i="8"/>
  <c r="I558" i="8"/>
  <c r="I623" i="8"/>
  <c r="I658" i="8"/>
  <c r="I433" i="8"/>
  <c r="I486" i="8"/>
  <c r="I510" i="8"/>
  <c r="I163" i="1"/>
  <c r="I165" i="1"/>
  <c r="I167" i="1"/>
  <c r="I174" i="1"/>
  <c r="I177" i="1"/>
  <c r="I185" i="1"/>
  <c r="I168" i="1"/>
  <c r="I170" i="1"/>
  <c r="I164" i="1"/>
  <c r="I166" i="1"/>
  <c r="I173" i="1"/>
  <c r="I178" i="1"/>
  <c r="I186" i="1"/>
  <c r="I171" i="1"/>
  <c r="I172" i="1"/>
  <c r="I180" i="1"/>
  <c r="I181" i="1"/>
  <c r="I169" i="1"/>
  <c r="I176" i="1"/>
  <c r="I179" i="1"/>
  <c r="I184" i="1"/>
  <c r="I175" i="1"/>
  <c r="I182" i="1"/>
  <c r="I183" i="1"/>
  <c r="H21" i="6"/>
  <c r="H22" i="6"/>
  <c r="AB11" i="6"/>
  <c r="I31" i="6"/>
  <c r="AB14" i="6"/>
  <c r="I26" i="6"/>
  <c r="AB34" i="6"/>
  <c r="F35" i="6"/>
  <c r="E39" i="6"/>
  <c r="J39" i="6"/>
  <c r="F41" i="6"/>
  <c r="J43" i="6"/>
  <c r="E43" i="6"/>
  <c r="F44" i="6"/>
  <c r="E26" i="6"/>
  <c r="J26" i="6"/>
  <c r="AB22" i="6"/>
  <c r="I20" i="6"/>
  <c r="J28" i="6"/>
  <c r="J44" i="6"/>
  <c r="E44" i="6"/>
  <c r="E36" i="6"/>
  <c r="J36" i="6"/>
  <c r="E41" i="6"/>
  <c r="J41" i="6"/>
  <c r="E28" i="6"/>
  <c r="E40" i="6"/>
  <c r="J40" i="6"/>
  <c r="F37" i="6"/>
  <c r="S42" i="6"/>
  <c r="I28" i="6"/>
  <c r="S38" i="6"/>
  <c r="E37" i="6"/>
  <c r="J37" i="6"/>
  <c r="F38" i="6"/>
  <c r="AB38" i="6"/>
  <c r="H33" i="6"/>
  <c r="I33" i="6"/>
  <c r="H29" i="6"/>
  <c r="E29" i="6"/>
  <c r="AB31" i="6"/>
  <c r="S31" i="6"/>
  <c r="S28" i="6"/>
  <c r="AB28" i="6"/>
  <c r="AB21" i="6"/>
  <c r="AB26" i="6"/>
  <c r="S26" i="6"/>
  <c r="S29" i="6"/>
  <c r="AB29" i="6"/>
  <c r="X65" i="1" s="1"/>
  <c r="AB32" i="6"/>
  <c r="S32" i="6"/>
  <c r="H31" i="6"/>
  <c r="J31" i="6"/>
  <c r="AB27" i="6"/>
  <c r="X63" i="1" s="1"/>
  <c r="S27" i="6"/>
  <c r="H32" i="6"/>
  <c r="I32" i="6"/>
  <c r="J32" i="6"/>
  <c r="H30" i="6"/>
  <c r="E30" i="6"/>
  <c r="J30" i="6"/>
  <c r="H27" i="6"/>
  <c r="I27" i="6"/>
  <c r="S33" i="6"/>
  <c r="AB33" i="6"/>
  <c r="S30" i="6"/>
  <c r="H15" i="6"/>
  <c r="AB17" i="6"/>
  <c r="I18" i="6"/>
  <c r="H14" i="6"/>
  <c r="S13" i="4"/>
  <c r="T13" i="4" s="1" a="1"/>
  <c r="T13" i="4" s="1"/>
  <c r="V13" i="4" s="1" a="1"/>
  <c r="V13" i="4" s="1"/>
  <c r="S19" i="4"/>
  <c r="S25" i="4"/>
  <c r="Q9" i="4"/>
  <c r="Q15" i="4"/>
  <c r="Q21" i="4"/>
  <c r="X12" i="4" a="1"/>
  <c r="X12" i="4" s="1"/>
  <c r="X18" i="4" a="1"/>
  <c r="X18" i="4" s="1"/>
  <c r="X24" i="4" a="1"/>
  <c r="S14" i="4"/>
  <c r="S20" i="4"/>
  <c r="Q10" i="4"/>
  <c r="Q16" i="4"/>
  <c r="Q22" i="4"/>
  <c r="X13" i="4" a="1"/>
  <c r="X13" i="4" s="1"/>
  <c r="X19" i="4" a="1"/>
  <c r="X19" i="4" s="1"/>
  <c r="X25" i="4" a="1"/>
  <c r="S9" i="4"/>
  <c r="T9" i="4" s="1" a="1"/>
  <c r="T9" i="4" s="1"/>
  <c r="V9" i="4" s="1" a="1"/>
  <c r="V9" i="4" s="1"/>
  <c r="S15" i="4"/>
  <c r="T15" i="4" s="1" a="1"/>
  <c r="T15" i="4" s="1"/>
  <c r="V15" i="4" s="1" a="1"/>
  <c r="V15" i="4" s="1"/>
  <c r="S21" i="4"/>
  <c r="T21" i="4" s="1" a="1"/>
  <c r="Q11" i="4"/>
  <c r="Q17" i="4"/>
  <c r="Q23" i="4"/>
  <c r="X14" i="4" a="1"/>
  <c r="X14" i="4" s="1"/>
  <c r="X20" i="4" a="1"/>
  <c r="X20" i="4" s="1"/>
  <c r="S10" i="4"/>
  <c r="S16" i="4"/>
  <c r="S22" i="4"/>
  <c r="T22" i="4" s="1" a="1"/>
  <c r="T22" i="4" s="1"/>
  <c r="V22" i="4" s="1" a="1"/>
  <c r="V22" i="4" s="1"/>
  <c r="Q12" i="4"/>
  <c r="Q18" i="4"/>
  <c r="Q24" i="4"/>
  <c r="X9" i="4" a="1"/>
  <c r="X9" i="4" s="1"/>
  <c r="X15" i="4" a="1"/>
  <c r="X15" i="4" s="1"/>
  <c r="X21" i="4" a="1"/>
  <c r="X21" i="4" s="1"/>
  <c r="S11" i="4"/>
  <c r="S17" i="4"/>
  <c r="T17" i="4" s="1" a="1"/>
  <c r="T17" i="4" s="1"/>
  <c r="V17" i="4" s="1" a="1"/>
  <c r="V17" i="4" s="1"/>
  <c r="S23" i="4"/>
  <c r="Q13" i="4"/>
  <c r="Q19" i="4"/>
  <c r="Q25" i="4"/>
  <c r="X10" i="4" a="1"/>
  <c r="X10" i="4" s="1"/>
  <c r="X16" i="4" a="1"/>
  <c r="X16" i="4" s="1"/>
  <c r="X22" i="4" a="1"/>
  <c r="X22" i="4" s="1"/>
  <c r="S12" i="4"/>
  <c r="T12" i="4" s="1" a="1"/>
  <c r="T12" i="4" s="1"/>
  <c r="V12" i="4" s="1" a="1"/>
  <c r="V12" i="4" s="1"/>
  <c r="S18" i="4"/>
  <c r="S24" i="4"/>
  <c r="Q14" i="4"/>
  <c r="Q20" i="4"/>
  <c r="X11" i="4" a="1"/>
  <c r="X11" i="4" s="1"/>
  <c r="X17" i="4" a="1"/>
  <c r="X17" i="4" s="1"/>
  <c r="X23" i="4" a="1"/>
  <c r="S7" i="4"/>
  <c r="T7" i="4" s="1" a="1"/>
  <c r="T7" i="4" s="1"/>
  <c r="V7" i="4" s="1" a="1"/>
  <c r="V7" i="4" s="1"/>
  <c r="Q8" i="4"/>
  <c r="X3" i="4" a="1"/>
  <c r="X3" i="4" s="1"/>
  <c r="Q7" i="4"/>
  <c r="S8" i="4"/>
  <c r="T8" i="4" s="1" a="1"/>
  <c r="Q3" i="4"/>
  <c r="X4" i="4" a="1"/>
  <c r="X4" i="4" s="1"/>
  <c r="S3" i="4"/>
  <c r="T3" i="4" s="1" a="1"/>
  <c r="T3" i="4" s="1"/>
  <c r="V3" i="4" s="1" a="1"/>
  <c r="V3" i="4" s="1"/>
  <c r="Q4" i="4"/>
  <c r="X5" i="4" a="1"/>
  <c r="X5" i="4" s="1"/>
  <c r="S6" i="4"/>
  <c r="T6" i="4" s="1" a="1"/>
  <c r="T6" i="4" s="1"/>
  <c r="V6" i="4" s="1" a="1"/>
  <c r="V6" i="4" s="1"/>
  <c r="X8" i="4" a="1"/>
  <c r="X8" i="4" s="1"/>
  <c r="S4" i="4"/>
  <c r="T4" i="4" s="1" a="1"/>
  <c r="T4" i="4" s="1"/>
  <c r="V4" i="4" s="1" a="1"/>
  <c r="V4" i="4" s="1"/>
  <c r="Q5" i="4"/>
  <c r="X6" i="4" a="1"/>
  <c r="X6" i="4" s="1"/>
  <c r="S5" i="4"/>
  <c r="Q6" i="4"/>
  <c r="X7" i="4" a="1"/>
  <c r="X7" i="4" s="1"/>
  <c r="AB6" i="6"/>
  <c r="AB7" i="6"/>
  <c r="I17" i="6"/>
  <c r="X40" i="1"/>
  <c r="AB5" i="6"/>
  <c r="AB2" i="6"/>
  <c r="X21" i="1" s="1"/>
  <c r="AB8" i="6"/>
  <c r="S23" i="6"/>
  <c r="AB23" i="6"/>
  <c r="X99" i="1"/>
  <c r="X87" i="1"/>
  <c r="X45" i="1"/>
  <c r="X29" i="1"/>
  <c r="X101" i="1"/>
  <c r="X137" i="1"/>
  <c r="X6" i="1"/>
  <c r="X42" i="1"/>
  <c r="X78" i="1"/>
  <c r="X114" i="1"/>
  <c r="X150" i="1"/>
  <c r="X25" i="1"/>
  <c r="X133" i="1"/>
  <c r="X142" i="1"/>
  <c r="X44" i="1"/>
  <c r="X92" i="1"/>
  <c r="X57" i="1"/>
  <c r="X129" i="1"/>
  <c r="X165" i="1"/>
  <c r="AB18" i="6"/>
  <c r="AB20" i="6"/>
  <c r="AB13" i="6"/>
  <c r="AB25" i="6"/>
  <c r="X61" i="1" s="1"/>
  <c r="X69" i="1"/>
  <c r="X94" i="1"/>
  <c r="X97" i="1"/>
  <c r="X35" i="1"/>
  <c r="X71" i="1"/>
  <c r="X107" i="1"/>
  <c r="X143" i="1"/>
  <c r="X48" i="1"/>
  <c r="X84" i="1"/>
  <c r="X120" i="1"/>
  <c r="X156" i="1"/>
  <c r="X136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I61" i="1" s="1"/>
  <c r="AB15" i="6"/>
  <c r="X51" i="1" s="1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X12" i="1" s="1"/>
  <c r="AB24" i="6"/>
  <c r="AB19" i="6"/>
  <c r="X55" i="1" s="1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I24" i="1" s="1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I29" i="1" s="1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L10" i="4"/>
  <c r="N10" i="4" s="1"/>
  <c r="L6" i="4"/>
  <c r="N6" i="4" s="1"/>
  <c r="I8" i="6"/>
  <c r="I27" i="1" s="1"/>
  <c r="I7" i="6"/>
  <c r="I26" i="1" s="1"/>
  <c r="H4" i="6"/>
  <c r="S3" i="6"/>
  <c r="S8" i="6"/>
  <c r="S5" i="6"/>
  <c r="L3" i="4"/>
  <c r="N3" i="4" s="1"/>
  <c r="A4" i="4"/>
  <c r="L5" i="4"/>
  <c r="N5" i="4" s="1"/>
  <c r="M6" i="4"/>
  <c r="O6" i="4" s="1" a="1"/>
  <c r="O6" i="4" s="1"/>
  <c r="A7" i="4"/>
  <c r="M9" i="4"/>
  <c r="O9" i="4" s="1" a="1"/>
  <c r="O9" i="4" s="1"/>
  <c r="A10" i="4"/>
  <c r="G11" i="4"/>
  <c r="H11" i="4" s="1"/>
  <c r="F11" i="4" s="1"/>
  <c r="L12" i="4"/>
  <c r="N12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A15" i="4"/>
  <c r="C16" i="4"/>
  <c r="D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C28" i="4"/>
  <c r="D28" i="4" s="1"/>
  <c r="AF28" i="4" s="1"/>
  <c r="G4" i="4"/>
  <c r="H4" i="4" s="1"/>
  <c r="F4" i="4" s="1"/>
  <c r="C6" i="4"/>
  <c r="D6" i="4" s="1"/>
  <c r="G7" i="4"/>
  <c r="H7" i="4" s="1"/>
  <c r="F7" i="4" s="1"/>
  <c r="L8" i="4"/>
  <c r="N8" i="4" s="1"/>
  <c r="A9" i="4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A3" i="4"/>
  <c r="L4" i="4"/>
  <c r="N4" i="4" s="1"/>
  <c r="A5" i="4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G15" i="4"/>
  <c r="H15" i="4" s="1"/>
  <c r="F15" i="4" s="1"/>
  <c r="G16" i="4"/>
  <c r="H16" i="4" s="1"/>
  <c r="F16" i="4" s="1"/>
  <c r="C17" i="4"/>
  <c r="D17" i="4" s="1"/>
  <c r="A18" i="4"/>
  <c r="A19" i="4"/>
  <c r="A22" i="4"/>
  <c r="G24" i="4"/>
  <c r="H24" i="4" s="1"/>
  <c r="F24" i="4" s="1"/>
  <c r="C25" i="4"/>
  <c r="D25" i="4" s="1"/>
  <c r="AF25" i="4" s="1"/>
  <c r="G27" i="4"/>
  <c r="H27" i="4" s="1"/>
  <c r="F27" i="4" s="1"/>
  <c r="G28" i="4"/>
  <c r="H28" i="4" s="1"/>
  <c r="F28" i="4" s="1"/>
  <c r="C29" i="4"/>
  <c r="D29" i="4" s="1"/>
  <c r="A30" i="4"/>
  <c r="A31" i="4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G9" i="4"/>
  <c r="H9" i="4" s="1"/>
  <c r="F9" i="4" s="1"/>
  <c r="M10" i="4"/>
  <c r="O10" i="4" s="1" a="1"/>
  <c r="O10" i="4" s="1"/>
  <c r="C11" i="4"/>
  <c r="D11" i="4" s="1"/>
  <c r="C12" i="4"/>
  <c r="D12" i="4" s="1"/>
  <c r="A13" i="4"/>
  <c r="L14" i="4"/>
  <c r="N14" i="4" s="1"/>
  <c r="L15" i="4"/>
  <c r="N15" i="4" s="1"/>
  <c r="C18" i="4"/>
  <c r="D18" i="4" s="1"/>
  <c r="C19" i="4"/>
  <c r="D19" i="4" s="1"/>
  <c r="A20" i="4"/>
  <c r="G3" i="4"/>
  <c r="H3" i="4" s="1"/>
  <c r="F3" i="4" s="1"/>
  <c r="G5" i="4"/>
  <c r="H5" i="4" s="1"/>
  <c r="F5" i="4" s="1"/>
  <c r="C8" i="4"/>
  <c r="D8" i="4" s="1"/>
  <c r="L9" i="4"/>
  <c r="N9" i="4" s="1"/>
  <c r="G12" i="4"/>
  <c r="H12" i="4" s="1"/>
  <c r="F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G19" i="4"/>
  <c r="H19" i="4" s="1"/>
  <c r="F19" i="4" s="1"/>
  <c r="C20" i="4"/>
  <c r="D20" i="4" s="1"/>
  <c r="C21" i="4"/>
  <c r="D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G31" i="4"/>
  <c r="H31" i="4" s="1"/>
  <c r="F31" i="4" s="1"/>
  <c r="C32" i="4"/>
  <c r="D32" i="4" s="1"/>
  <c r="C33" i="4"/>
  <c r="D33" i="4" s="1"/>
  <c r="G34" i="4"/>
  <c r="H34" i="4" s="1"/>
  <c r="F34" i="4" s="1"/>
  <c r="L35" i="4"/>
  <c r="N35" i="4" s="1"/>
  <c r="M39" i="4"/>
  <c r="O39" i="4" s="1" a="1"/>
  <c r="O39" i="4" s="1"/>
  <c r="C42" i="4"/>
  <c r="D42" i="4" s="1"/>
  <c r="C14" i="4"/>
  <c r="D14" i="4" s="1"/>
  <c r="A16" i="4"/>
  <c r="G20" i="4"/>
  <c r="H20" i="4" s="1"/>
  <c r="F20" i="4" s="1"/>
  <c r="M21" i="4"/>
  <c r="O21" i="4" s="1" a="1"/>
  <c r="O21" i="4" s="1"/>
  <c r="A32" i="4"/>
  <c r="L33" i="4"/>
  <c r="N33" i="4" s="1"/>
  <c r="G35" i="4"/>
  <c r="H35" i="4" s="1"/>
  <c r="F35" i="4" s="1"/>
  <c r="A36" i="4"/>
  <c r="C37" i="4"/>
  <c r="D37" i="4" s="1"/>
  <c r="G38" i="4"/>
  <c r="H38" i="4" s="1"/>
  <c r="F38" i="4" s="1"/>
  <c r="C40" i="4"/>
  <c r="D40" i="4" s="1"/>
  <c r="C41" i="4"/>
  <c r="D41" i="4" s="1"/>
  <c r="G42" i="4"/>
  <c r="H42" i="4" s="1"/>
  <c r="F42" i="4" s="1"/>
  <c r="M17" i="4"/>
  <c r="O17" i="4" s="1" a="1"/>
  <c r="O17" i="4" s="1"/>
  <c r="M20" i="4"/>
  <c r="O20" i="4" s="1" a="1"/>
  <c r="O20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L38" i="4"/>
  <c r="N38" i="4" s="1"/>
  <c r="A39" i="4"/>
  <c r="G41" i="4"/>
  <c r="H41" i="4" s="1"/>
  <c r="F41" i="4" s="1"/>
  <c r="L42" i="4"/>
  <c r="N42" i="4" s="1"/>
  <c r="M16" i="4"/>
  <c r="O16" i="4" s="1" a="1"/>
  <c r="O16" i="4" s="1"/>
  <c r="L19" i="4"/>
  <c r="N19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F24" i="4" s="1"/>
  <c r="A25" i="4"/>
  <c r="C26" i="4"/>
  <c r="D26" i="4" s="1"/>
  <c r="AF26" i="4" s="1"/>
  <c r="C27" i="4"/>
  <c r="D27" i="4" s="1"/>
  <c r="AF27" i="4" s="1"/>
  <c r="L30" i="4"/>
  <c r="N30" i="4" s="1"/>
  <c r="C31" i="4"/>
  <c r="D31" i="4" s="1"/>
  <c r="M32" i="4"/>
  <c r="O32" i="4" s="1" a="1"/>
  <c r="O32" i="4" s="1"/>
  <c r="L34" i="4"/>
  <c r="N34" i="4" s="1"/>
  <c r="A35" i="4"/>
  <c r="L36" i="4"/>
  <c r="N36" i="4" s="1"/>
  <c r="L37" i="4"/>
  <c r="N37" i="4" s="1"/>
  <c r="A38" i="4"/>
  <c r="G39" i="4"/>
  <c r="H39" i="4" s="1"/>
  <c r="F39" i="4" s="1"/>
  <c r="L40" i="4"/>
  <c r="N40" i="4" s="1"/>
  <c r="L41" i="4"/>
  <c r="N41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L39" i="4"/>
  <c r="N39" i="4" s="1"/>
  <c r="M40" i="4"/>
  <c r="O40" i="4" s="1" a="1"/>
  <c r="O40" i="4" s="1"/>
  <c r="M41" i="4"/>
  <c r="O41" i="4" s="1" a="1"/>
  <c r="O41" i="4" s="1"/>
  <c r="A42" i="4"/>
  <c r="A17" i="4"/>
  <c r="M18" i="4"/>
  <c r="O18" i="4" s="1" a="1"/>
  <c r="O18" i="4" s="1"/>
  <c r="G21" i="4"/>
  <c r="H21" i="4" s="1"/>
  <c r="F21" i="4" s="1"/>
  <c r="L22" i="4"/>
  <c r="N22" i="4" s="1"/>
  <c r="M23" i="4"/>
  <c r="O23" i="4" s="1" a="1"/>
  <c r="O23" i="4" s="1"/>
  <c r="L25" i="4"/>
  <c r="N25" i="4" s="1"/>
  <c r="L26" i="4"/>
  <c r="N26" i="4" s="1"/>
  <c r="M28" i="4"/>
  <c r="O28" i="4" s="1" a="1"/>
  <c r="O28" i="4" s="1"/>
  <c r="M31" i="4"/>
  <c r="O31" i="4" s="1" a="1"/>
  <c r="O31" i="4" s="1"/>
  <c r="G33" i="4"/>
  <c r="H33" i="4" s="1"/>
  <c r="F33" i="4" s="1"/>
  <c r="A37" i="4"/>
  <c r="A40" i="4"/>
  <c r="A41" i="4"/>
  <c r="B2" i="4"/>
  <c r="S2" i="4" s="1"/>
  <c r="I7" i="1"/>
  <c r="I4" i="1"/>
  <c r="I17" i="1"/>
  <c r="I23" i="1"/>
  <c r="I35" i="1"/>
  <c r="I41" i="1"/>
  <c r="I47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46" i="1"/>
  <c r="I64" i="1"/>
  <c r="I82" i="1"/>
  <c r="I100" i="1"/>
  <c r="I124" i="1"/>
  <c r="I142" i="1"/>
  <c r="I160" i="1"/>
  <c r="I12" i="1"/>
  <c r="I18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" i="1"/>
  <c r="I34" i="1"/>
  <c r="I70" i="1"/>
  <c r="I88" i="1"/>
  <c r="I106" i="1"/>
  <c r="I130" i="1"/>
  <c r="I148" i="1"/>
  <c r="I13" i="1"/>
  <c r="I19" i="1"/>
  <c r="I31" i="1"/>
  <c r="I37" i="1"/>
  <c r="I43" i="1"/>
  <c r="I49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40" i="1"/>
  <c r="I58" i="1"/>
  <c r="I76" i="1"/>
  <c r="I94" i="1"/>
  <c r="I118" i="1"/>
  <c r="I136" i="1"/>
  <c r="I154" i="1"/>
  <c r="I14" i="1"/>
  <c r="I20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12" i="1"/>
  <c r="I15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S4" i="6"/>
  <c r="S9" i="6"/>
  <c r="A49" i="8"/>
  <c r="B49" i="8" s="1"/>
  <c r="C49" i="8" s="1"/>
  <c r="A53" i="8"/>
  <c r="B53" i="8" s="1"/>
  <c r="C53" i="8" s="1"/>
  <c r="A57" i="8"/>
  <c r="B57" i="8" s="1"/>
  <c r="C57" i="8" s="1"/>
  <c r="A61" i="8"/>
  <c r="B61" i="8" s="1"/>
  <c r="C61" i="8" s="1"/>
  <c r="A65" i="8"/>
  <c r="B65" i="8" s="1"/>
  <c r="C65" i="8" s="1"/>
  <c r="A69" i="8"/>
  <c r="B69" i="8" s="1"/>
  <c r="C69" i="8" s="1"/>
  <c r="A73" i="8"/>
  <c r="B73" i="8" s="1"/>
  <c r="C73" i="8" s="1"/>
  <c r="A77" i="8"/>
  <c r="B77" i="8" s="1"/>
  <c r="C77" i="8" s="1"/>
  <c r="A81" i="8"/>
  <c r="B81" i="8" s="1"/>
  <c r="C81" i="8" s="1"/>
  <c r="A85" i="8"/>
  <c r="B85" i="8" s="1"/>
  <c r="C85" i="8" s="1"/>
  <c r="A89" i="8"/>
  <c r="B89" i="8" s="1"/>
  <c r="C89" i="8" s="1"/>
  <c r="A102" i="8"/>
  <c r="B102" i="8" s="1"/>
  <c r="C102" i="8" s="1"/>
  <c r="A4" i="8"/>
  <c r="B4" i="8" s="1"/>
  <c r="C4" i="8" s="1"/>
  <c r="A7" i="8"/>
  <c r="B7" i="8" s="1"/>
  <c r="C7" i="8" s="1"/>
  <c r="A10" i="8"/>
  <c r="B10" i="8" s="1"/>
  <c r="C10" i="8" s="1"/>
  <c r="A13" i="8"/>
  <c r="B13" i="8" s="1"/>
  <c r="C13" i="8" s="1"/>
  <c r="A96" i="8"/>
  <c r="B96" i="8" s="1"/>
  <c r="C96" i="8" s="1"/>
  <c r="A99" i="8"/>
  <c r="B99" i="8" s="1"/>
  <c r="C99" i="8" s="1"/>
  <c r="A103" i="8"/>
  <c r="B103" i="8" s="1"/>
  <c r="C103" i="8" s="1"/>
  <c r="A51" i="8"/>
  <c r="B51" i="8" s="1"/>
  <c r="C51" i="8" s="1"/>
  <c r="A55" i="8"/>
  <c r="B55" i="8" s="1"/>
  <c r="C55" i="8" s="1"/>
  <c r="A59" i="8"/>
  <c r="B59" i="8" s="1"/>
  <c r="C59" i="8" s="1"/>
  <c r="A63" i="8"/>
  <c r="B63" i="8" s="1"/>
  <c r="C63" i="8" s="1"/>
  <c r="A67" i="8"/>
  <c r="B67" i="8" s="1"/>
  <c r="C67" i="8" s="1"/>
  <c r="A71" i="8"/>
  <c r="B71" i="8" s="1"/>
  <c r="C71" i="8" s="1"/>
  <c r="A75" i="8"/>
  <c r="B75" i="8" s="1"/>
  <c r="C75" i="8" s="1"/>
  <c r="A79" i="8"/>
  <c r="B79" i="8" s="1"/>
  <c r="C79" i="8" s="1"/>
  <c r="A83" i="8"/>
  <c r="B83" i="8" s="1"/>
  <c r="C83" i="8" s="1"/>
  <c r="A87" i="8"/>
  <c r="B87" i="8" s="1"/>
  <c r="C87" i="8" s="1"/>
  <c r="A91" i="8"/>
  <c r="B91" i="8" s="1"/>
  <c r="C91" i="8" s="1"/>
  <c r="A100" i="8"/>
  <c r="B100" i="8" s="1"/>
  <c r="C100" i="8" s="1"/>
  <c r="A50" i="8"/>
  <c r="B50" i="8" s="1"/>
  <c r="C50" i="8" s="1"/>
  <c r="A58" i="8"/>
  <c r="B58" i="8" s="1"/>
  <c r="C58" i="8" s="1"/>
  <c r="A66" i="8"/>
  <c r="B66" i="8" s="1"/>
  <c r="C66" i="8" s="1"/>
  <c r="A74" i="8"/>
  <c r="B74" i="8" s="1"/>
  <c r="C74" i="8" s="1"/>
  <c r="A82" i="8"/>
  <c r="B82" i="8" s="1"/>
  <c r="C82" i="8" s="1"/>
  <c r="A90" i="8"/>
  <c r="B90" i="8" s="1"/>
  <c r="C90" i="8" s="1"/>
  <c r="A97" i="8"/>
  <c r="B97" i="8" s="1"/>
  <c r="C97" i="8" s="1"/>
  <c r="A8" i="8"/>
  <c r="B8" i="8" s="1"/>
  <c r="C8" i="8" s="1"/>
  <c r="A14" i="8"/>
  <c r="B14" i="8" s="1"/>
  <c r="C14" i="8" s="1"/>
  <c r="A70" i="8"/>
  <c r="B70" i="8" s="1"/>
  <c r="C70" i="8" s="1"/>
  <c r="A21" i="8"/>
  <c r="B21" i="8" s="1"/>
  <c r="C21" i="8" s="1"/>
  <c r="A27" i="8"/>
  <c r="B27" i="8" s="1"/>
  <c r="C27" i="8" s="1"/>
  <c r="A36" i="8"/>
  <c r="B36" i="8" s="1"/>
  <c r="C36" i="8" s="1"/>
  <c r="A42" i="8"/>
  <c r="B42" i="8" s="1"/>
  <c r="C42" i="8" s="1"/>
  <c r="A98" i="8"/>
  <c r="B98" i="8" s="1"/>
  <c r="C98" i="8" s="1"/>
  <c r="A3" i="8"/>
  <c r="B3" i="8" s="1"/>
  <c r="C3" i="8" s="1"/>
  <c r="A9" i="8"/>
  <c r="B9" i="8" s="1"/>
  <c r="C9" i="8" s="1"/>
  <c r="A15" i="8"/>
  <c r="B15" i="8" s="1"/>
  <c r="C15" i="8" s="1"/>
  <c r="A19" i="8"/>
  <c r="B19" i="8" s="1"/>
  <c r="C19" i="8" s="1"/>
  <c r="A23" i="8"/>
  <c r="B23" i="8" s="1"/>
  <c r="C23" i="8" s="1"/>
  <c r="A26" i="8"/>
  <c r="B26" i="8" s="1"/>
  <c r="C26" i="8" s="1"/>
  <c r="A29" i="8"/>
  <c r="B29" i="8" s="1"/>
  <c r="C29" i="8" s="1"/>
  <c r="A32" i="8"/>
  <c r="B32" i="8" s="1"/>
  <c r="C32" i="8" s="1"/>
  <c r="A35" i="8"/>
  <c r="B35" i="8" s="1"/>
  <c r="C35" i="8" s="1"/>
  <c r="A38" i="8"/>
  <c r="B38" i="8" s="1"/>
  <c r="C38" i="8" s="1"/>
  <c r="A41" i="8"/>
  <c r="B41" i="8" s="1"/>
  <c r="C41" i="8" s="1"/>
  <c r="A44" i="8"/>
  <c r="B44" i="8" s="1"/>
  <c r="C44" i="8" s="1"/>
  <c r="A47" i="8"/>
  <c r="B47" i="8" s="1"/>
  <c r="C47" i="8" s="1"/>
  <c r="A54" i="8"/>
  <c r="B54" i="8" s="1"/>
  <c r="C54" i="8" s="1"/>
  <c r="A78" i="8"/>
  <c r="B78" i="8" s="1"/>
  <c r="C78" i="8" s="1"/>
  <c r="A93" i="8"/>
  <c r="B93" i="8" s="1"/>
  <c r="C93" i="8" s="1"/>
  <c r="A16" i="8"/>
  <c r="B16" i="8" s="1"/>
  <c r="C16" i="8" s="1"/>
  <c r="A30" i="8"/>
  <c r="B30" i="8" s="1"/>
  <c r="C30" i="8" s="1"/>
  <c r="A45" i="8"/>
  <c r="B45" i="8" s="1"/>
  <c r="C45" i="8" s="1"/>
  <c r="A52" i="8"/>
  <c r="B52" i="8" s="1"/>
  <c r="C52" i="8" s="1"/>
  <c r="A60" i="8"/>
  <c r="B60" i="8" s="1"/>
  <c r="C60" i="8" s="1"/>
  <c r="A68" i="8"/>
  <c r="B68" i="8" s="1"/>
  <c r="C68" i="8" s="1"/>
  <c r="A76" i="8"/>
  <c r="B76" i="8" s="1"/>
  <c r="C76" i="8" s="1"/>
  <c r="A84" i="8"/>
  <c r="B84" i="8" s="1"/>
  <c r="C84" i="8" s="1"/>
  <c r="A92" i="8"/>
  <c r="B92" i="8" s="1"/>
  <c r="C92" i="8" s="1"/>
  <c r="A20" i="8"/>
  <c r="B20" i="8" s="1"/>
  <c r="C20" i="8" s="1"/>
  <c r="A62" i="8"/>
  <c r="B62" i="8" s="1"/>
  <c r="C62" i="8" s="1"/>
  <c r="A86" i="8"/>
  <c r="B86" i="8" s="1"/>
  <c r="C86" i="8" s="1"/>
  <c r="A11" i="8"/>
  <c r="B11" i="8" s="1"/>
  <c r="C11" i="8" s="1"/>
  <c r="A24" i="8"/>
  <c r="B24" i="8" s="1"/>
  <c r="C24" i="8" s="1"/>
  <c r="A33" i="8"/>
  <c r="B33" i="8" s="1"/>
  <c r="C33" i="8" s="1"/>
  <c r="A39" i="8"/>
  <c r="B39" i="8" s="1"/>
  <c r="C39" i="8" s="1"/>
  <c r="A5" i="8"/>
  <c r="B5" i="8" s="1"/>
  <c r="C5" i="8" s="1"/>
  <c r="A6" i="8"/>
  <c r="B6" i="8" s="1"/>
  <c r="C6" i="8" s="1"/>
  <c r="A48" i="8"/>
  <c r="B48" i="8" s="1"/>
  <c r="C48" i="8" s="1"/>
  <c r="A64" i="8"/>
  <c r="B64" i="8" s="1"/>
  <c r="C64" i="8" s="1"/>
  <c r="A22" i="8"/>
  <c r="B22" i="8" s="1"/>
  <c r="C22" i="8" s="1"/>
  <c r="A40" i="8"/>
  <c r="B40" i="8" s="1"/>
  <c r="C40" i="8" s="1"/>
  <c r="A94" i="8"/>
  <c r="B94" i="8" s="1"/>
  <c r="C94" i="8" s="1"/>
  <c r="A12" i="8"/>
  <c r="B12" i="8" s="1"/>
  <c r="C12" i="8" s="1"/>
  <c r="A72" i="8"/>
  <c r="B72" i="8" s="1"/>
  <c r="C72" i="8" s="1"/>
  <c r="A95" i="8"/>
  <c r="B95" i="8" s="1"/>
  <c r="C95" i="8" s="1"/>
  <c r="A25" i="8"/>
  <c r="B25" i="8" s="1"/>
  <c r="C25" i="8" s="1"/>
  <c r="A34" i="8"/>
  <c r="B34" i="8" s="1"/>
  <c r="C34" i="8" s="1"/>
  <c r="A43" i="8"/>
  <c r="B43" i="8" s="1"/>
  <c r="C43" i="8" s="1"/>
  <c r="A101" i="8"/>
  <c r="B101" i="8" s="1"/>
  <c r="C101" i="8" s="1"/>
  <c r="A17" i="8"/>
  <c r="B17" i="8" s="1"/>
  <c r="C17" i="8" s="1"/>
  <c r="A56" i="8"/>
  <c r="B56" i="8" s="1"/>
  <c r="C56" i="8" s="1"/>
  <c r="A80" i="8"/>
  <c r="B80" i="8" s="1"/>
  <c r="C80" i="8" s="1"/>
  <c r="A18" i="8"/>
  <c r="B18" i="8" s="1"/>
  <c r="C18" i="8" s="1"/>
  <c r="A28" i="8"/>
  <c r="B28" i="8" s="1"/>
  <c r="C28" i="8" s="1"/>
  <c r="A37" i="8"/>
  <c r="B37" i="8" s="1"/>
  <c r="C37" i="8" s="1"/>
  <c r="A46" i="8"/>
  <c r="B46" i="8" s="1"/>
  <c r="C46" i="8" s="1"/>
  <c r="A88" i="8"/>
  <c r="B88" i="8" s="1"/>
  <c r="C88" i="8" s="1"/>
  <c r="A31" i="8"/>
  <c r="B31" i="8" s="1"/>
  <c r="C31" i="8" s="1"/>
  <c r="I3" i="6"/>
  <c r="E3" i="6"/>
  <c r="H3" i="6"/>
  <c r="J3" i="6"/>
  <c r="E2" i="6"/>
  <c r="S6" i="6"/>
  <c r="I6" i="6"/>
  <c r="E6" i="6"/>
  <c r="I9" i="6"/>
  <c r="I11" i="1" s="1"/>
  <c r="E9" i="6"/>
  <c r="J4" i="6"/>
  <c r="E4" i="6"/>
  <c r="I2" i="6"/>
  <c r="S2" i="6"/>
  <c r="J2" i="6"/>
  <c r="J9" i="6"/>
  <c r="H9" i="6"/>
  <c r="H6" i="6"/>
  <c r="J6" i="6"/>
  <c r="I5" i="1" l="1"/>
  <c r="I53" i="1"/>
  <c r="I8" i="1"/>
  <c r="I52" i="1"/>
  <c r="I2" i="1"/>
  <c r="I55" i="1"/>
  <c r="P94" i="4"/>
  <c r="P126" i="4"/>
  <c r="P138" i="4"/>
  <c r="P142" i="4"/>
  <c r="P150" i="4"/>
  <c r="AF4" i="4"/>
  <c r="AF7" i="4"/>
  <c r="AF16" i="4"/>
  <c r="AF6" i="4"/>
  <c r="AF9" i="4"/>
  <c r="AF17" i="4"/>
  <c r="AF3" i="4"/>
  <c r="AF5" i="4"/>
  <c r="AF11" i="4"/>
  <c r="AF12" i="4"/>
  <c r="AF13" i="4"/>
  <c r="AF14" i="4"/>
  <c r="AF15" i="4"/>
  <c r="AF22" i="4"/>
  <c r="X29" i="4"/>
  <c r="AF29" i="4" s="1"/>
  <c r="X33" i="4"/>
  <c r="AF33" i="4" s="1"/>
  <c r="X37" i="4"/>
  <c r="AF37" i="4" s="1"/>
  <c r="X41" i="4"/>
  <c r="AF41" i="4" s="1"/>
  <c r="X45" i="4"/>
  <c r="AF45" i="4" s="1"/>
  <c r="X49" i="4"/>
  <c r="AF49" i="4" s="1"/>
  <c r="X53" i="4"/>
  <c r="AF53" i="4" s="1"/>
  <c r="X57" i="4"/>
  <c r="AF57" i="4" s="1"/>
  <c r="X61" i="4"/>
  <c r="AF61" i="4" s="1"/>
  <c r="X65" i="4"/>
  <c r="AF65" i="4" s="1"/>
  <c r="X69" i="4"/>
  <c r="AF69" i="4" s="1"/>
  <c r="X73" i="4"/>
  <c r="AF73" i="4" s="1"/>
  <c r="X77" i="4"/>
  <c r="AF77" i="4" s="1"/>
  <c r="X81" i="4"/>
  <c r="AF81" i="4" s="1"/>
  <c r="X85" i="4"/>
  <c r="AF85" i="4" s="1"/>
  <c r="X89" i="4"/>
  <c r="AF89" i="4" s="1"/>
  <c r="X93" i="4"/>
  <c r="X97" i="4"/>
  <c r="X101" i="4"/>
  <c r="X105" i="4"/>
  <c r="AF105" i="4" s="1"/>
  <c r="X109" i="4"/>
  <c r="X113" i="4"/>
  <c r="X117" i="4"/>
  <c r="X121" i="4"/>
  <c r="AF121" i="4" s="1"/>
  <c r="X125" i="4"/>
  <c r="X129" i="4"/>
  <c r="X133" i="4"/>
  <c r="X137" i="4"/>
  <c r="AF137" i="4" s="1"/>
  <c r="X26" i="4"/>
  <c r="X31" i="4"/>
  <c r="AF31" i="4" s="1"/>
  <c r="X36" i="4"/>
  <c r="AF36" i="4" s="1"/>
  <c r="X42" i="4"/>
  <c r="AF42" i="4" s="1"/>
  <c r="X47" i="4"/>
  <c r="AF47" i="4" s="1"/>
  <c r="X52" i="4"/>
  <c r="AF52" i="4" s="1"/>
  <c r="X58" i="4"/>
  <c r="X63" i="4"/>
  <c r="AF63" i="4" s="1"/>
  <c r="X68" i="4"/>
  <c r="AF68" i="4" s="1"/>
  <c r="X74" i="4"/>
  <c r="X79" i="4"/>
  <c r="X84" i="4"/>
  <c r="AF84" i="4" s="1"/>
  <c r="X90" i="4"/>
  <c r="X95" i="4"/>
  <c r="AF95" i="4" s="1"/>
  <c r="X100" i="4"/>
  <c r="X106" i="4"/>
  <c r="X111" i="4"/>
  <c r="AF111" i="4" s="1"/>
  <c r="X116" i="4"/>
  <c r="X122" i="4"/>
  <c r="X127" i="4"/>
  <c r="AF127" i="4" s="1"/>
  <c r="X132" i="4"/>
  <c r="X138" i="4"/>
  <c r="X142" i="4"/>
  <c r="AF142" i="4" s="1"/>
  <c r="X146" i="4"/>
  <c r="X150" i="4"/>
  <c r="X30" i="4"/>
  <c r="AF30" i="4" s="1"/>
  <c r="X38" i="4"/>
  <c r="AF38" i="4" s="1"/>
  <c r="X44" i="4"/>
  <c r="AF44" i="4" s="1"/>
  <c r="X51" i="4"/>
  <c r="X59" i="4"/>
  <c r="X66" i="4"/>
  <c r="AF66" i="4" s="1"/>
  <c r="X72" i="4"/>
  <c r="AF72" i="4" s="1"/>
  <c r="X80" i="4"/>
  <c r="AF80" i="4" s="1"/>
  <c r="X87" i="4"/>
  <c r="X94" i="4"/>
  <c r="AF94" i="4" s="1"/>
  <c r="X102" i="4"/>
  <c r="X108" i="4"/>
  <c r="X115" i="4"/>
  <c r="X123" i="4"/>
  <c r="AF123" i="4" s="1"/>
  <c r="X130" i="4"/>
  <c r="X136" i="4"/>
  <c r="X143" i="4"/>
  <c r="X148" i="4"/>
  <c r="X28" i="4"/>
  <c r="X39" i="4"/>
  <c r="AF39" i="4" s="1"/>
  <c r="X48" i="4"/>
  <c r="X56" i="4"/>
  <c r="AF56" i="4" s="1"/>
  <c r="X67" i="4"/>
  <c r="AF67" i="4" s="1"/>
  <c r="X76" i="4"/>
  <c r="AF76" i="4" s="1"/>
  <c r="X86" i="4"/>
  <c r="X96" i="4"/>
  <c r="X104" i="4"/>
  <c r="X114" i="4"/>
  <c r="X124" i="4"/>
  <c r="X134" i="4"/>
  <c r="X141" i="4"/>
  <c r="X149" i="4"/>
  <c r="X34" i="4"/>
  <c r="AF34" i="4" s="1"/>
  <c r="X46" i="4"/>
  <c r="X60" i="4"/>
  <c r="AF60" i="4" s="1"/>
  <c r="X71" i="4"/>
  <c r="AF71" i="4" s="1"/>
  <c r="X83" i="4"/>
  <c r="AF83" i="4" s="1"/>
  <c r="X98" i="4"/>
  <c r="X110" i="4"/>
  <c r="AF110" i="4" s="1"/>
  <c r="X120" i="4"/>
  <c r="X135" i="4"/>
  <c r="X145" i="4"/>
  <c r="P116" i="4"/>
  <c r="X35" i="4"/>
  <c r="AF35" i="4" s="1"/>
  <c r="X50" i="4"/>
  <c r="AF50" i="4" s="1"/>
  <c r="X62" i="4"/>
  <c r="AF62" i="4" s="1"/>
  <c r="X75" i="4"/>
  <c r="AF75" i="4" s="1"/>
  <c r="X88" i="4"/>
  <c r="X99" i="4"/>
  <c r="X112" i="4"/>
  <c r="X126" i="4"/>
  <c r="AF126" i="4" s="1"/>
  <c r="X139" i="4"/>
  <c r="AF139" i="4" s="1"/>
  <c r="X147" i="4"/>
  <c r="X27" i="4"/>
  <c r="X40" i="4"/>
  <c r="AF40" i="4" s="1"/>
  <c r="X32" i="4"/>
  <c r="AF32" i="4" s="1"/>
  <c r="X70" i="4"/>
  <c r="X92" i="4"/>
  <c r="X119" i="4"/>
  <c r="X24" i="4"/>
  <c r="X25" i="4"/>
  <c r="X23" i="4"/>
  <c r="N122" i="12"/>
  <c r="N133" i="12"/>
  <c r="N107" i="12"/>
  <c r="N179" i="12"/>
  <c r="N202" i="12"/>
  <c r="N143" i="12"/>
  <c r="N342" i="12"/>
  <c r="N104" i="12"/>
  <c r="N323" i="12"/>
  <c r="N131" i="12"/>
  <c r="N275" i="12"/>
  <c r="N155" i="12"/>
  <c r="N419" i="12"/>
  <c r="N299" i="12"/>
  <c r="N347" i="12"/>
  <c r="N395" i="12"/>
  <c r="N251" i="12"/>
  <c r="N128" i="12"/>
  <c r="N139" i="12"/>
  <c r="N203" i="12"/>
  <c r="N414" i="12"/>
  <c r="N147" i="12"/>
  <c r="N173" i="12"/>
  <c r="N227" i="12"/>
  <c r="N152" i="12"/>
  <c r="N407" i="12"/>
  <c r="N331" i="12"/>
  <c r="N321" i="12"/>
  <c r="N360" i="12"/>
  <c r="N220" i="12"/>
  <c r="N408" i="12"/>
  <c r="N341" i="12"/>
  <c r="N240" i="12"/>
  <c r="N137" i="12"/>
  <c r="N385" i="12"/>
  <c r="N267" i="12"/>
  <c r="N394" i="12"/>
  <c r="N313" i="12"/>
  <c r="N218" i="12"/>
  <c r="N172" i="12"/>
  <c r="N381" i="12"/>
  <c r="N259" i="12"/>
  <c r="N392" i="12"/>
  <c r="N309" i="12"/>
  <c r="N214" i="12"/>
  <c r="N120" i="12"/>
  <c r="N390" i="12"/>
  <c r="N281" i="12"/>
  <c r="N213" i="12"/>
  <c r="N196" i="12"/>
  <c r="N376" i="12"/>
  <c r="N349" i="12"/>
  <c r="N111" i="12"/>
  <c r="N391" i="12"/>
  <c r="N421" i="12"/>
  <c r="N112" i="12"/>
  <c r="N296" i="12"/>
  <c r="N205" i="12"/>
  <c r="N108" i="12"/>
  <c r="N222" i="12"/>
  <c r="N101" i="12"/>
  <c r="N413" i="12"/>
  <c r="N230" i="12"/>
  <c r="N336" i="12"/>
  <c r="N324" i="12"/>
  <c r="N312" i="12"/>
  <c r="N300" i="12"/>
  <c r="N288" i="12"/>
  <c r="N276" i="12"/>
  <c r="N264" i="12"/>
  <c r="N234" i="12"/>
  <c r="N210" i="12"/>
  <c r="N215" i="12"/>
  <c r="N169" i="12"/>
  <c r="N150" i="12"/>
  <c r="N204" i="12"/>
  <c r="N180" i="12"/>
  <c r="N156" i="12"/>
  <c r="N135" i="12"/>
  <c r="N116" i="12"/>
  <c r="N145" i="12"/>
  <c r="N119" i="12"/>
  <c r="N125" i="12"/>
  <c r="N195" i="12"/>
  <c r="N166" i="12"/>
  <c r="N117" i="12"/>
  <c r="N284" i="12"/>
  <c r="N200" i="12"/>
  <c r="N201" i="12"/>
  <c r="N132" i="12"/>
  <c r="N361" i="12"/>
  <c r="N171" i="12"/>
  <c r="N382" i="12"/>
  <c r="N289" i="12"/>
  <c r="N256" i="12"/>
  <c r="N140" i="12"/>
  <c r="N359" i="12"/>
  <c r="N212" i="12"/>
  <c r="N368" i="12"/>
  <c r="N261" i="12"/>
  <c r="N326" i="12"/>
  <c r="N151" i="12"/>
  <c r="N377" i="12"/>
  <c r="N199" i="12"/>
  <c r="N378" i="12"/>
  <c r="N305" i="12"/>
  <c r="N415" i="12"/>
  <c r="N268" i="12"/>
  <c r="N373" i="12"/>
  <c r="N411" i="12"/>
  <c r="N236" i="12"/>
  <c r="N154" i="12"/>
  <c r="N105" i="12"/>
  <c r="N320" i="12"/>
  <c r="N164" i="12"/>
  <c r="N129" i="12"/>
  <c r="N245" i="12"/>
  <c r="N157" i="12"/>
  <c r="N255" i="12"/>
  <c r="N253" i="12"/>
  <c r="N379" i="12"/>
  <c r="N279" i="12"/>
  <c r="N420" i="12"/>
  <c r="N269" i="12"/>
  <c r="N334" i="12"/>
  <c r="N249" i="12"/>
  <c r="N136" i="12"/>
  <c r="N375" i="12"/>
  <c r="N327" i="12"/>
  <c r="N418" i="12"/>
  <c r="N355" i="12"/>
  <c r="N232" i="12"/>
  <c r="N304" i="12"/>
  <c r="N405" i="12"/>
  <c r="N351" i="12"/>
  <c r="N404" i="12"/>
  <c r="N333" i="12"/>
  <c r="N278" i="12"/>
  <c r="N241" i="12"/>
  <c r="N311" i="12"/>
  <c r="N246" i="12"/>
  <c r="N402" i="12"/>
  <c r="N329" i="12"/>
  <c r="N106" i="12"/>
  <c r="N322" i="12"/>
  <c r="N185" i="12"/>
  <c r="N363" i="12"/>
  <c r="N325" i="12"/>
  <c r="N340" i="12"/>
  <c r="N207" i="12"/>
  <c r="N367" i="12"/>
  <c r="N238" i="12"/>
  <c r="N422" i="12"/>
  <c r="N308" i="12"/>
  <c r="N226" i="12"/>
  <c r="N211" i="12"/>
  <c r="N188" i="12"/>
  <c r="N115" i="12"/>
  <c r="N294" i="12"/>
  <c r="N417" i="12"/>
  <c r="N374" i="12"/>
  <c r="N252" i="12"/>
  <c r="N403" i="12"/>
  <c r="N343" i="12"/>
  <c r="N365" i="12"/>
  <c r="N293" i="12"/>
  <c r="N225" i="12"/>
  <c r="N399" i="12"/>
  <c r="N319" i="12"/>
  <c r="N228" i="12"/>
  <c r="N370" i="12"/>
  <c r="N265" i="12"/>
  <c r="N280" i="12"/>
  <c r="N153" i="12"/>
  <c r="N352" i="12"/>
  <c r="N285" i="12"/>
  <c r="N217" i="12"/>
  <c r="N170" i="12"/>
  <c r="N197" i="12"/>
  <c r="N366" i="12"/>
  <c r="N257" i="12"/>
  <c r="N298" i="12"/>
  <c r="N237" i="12"/>
  <c r="N187" i="12"/>
  <c r="N100" i="12"/>
  <c r="N301" i="12"/>
  <c r="N316" i="12"/>
  <c r="N177" i="12"/>
  <c r="N291" i="12"/>
  <c r="N353" i="12"/>
  <c r="N138" i="12"/>
  <c r="N401" i="12"/>
  <c r="N383" i="12"/>
  <c r="N362" i="12"/>
  <c r="N130" i="12"/>
  <c r="N332" i="12"/>
  <c r="N272" i="12"/>
  <c r="N270" i="12"/>
  <c r="N221" i="12"/>
  <c r="N339" i="12"/>
  <c r="N398" i="12"/>
  <c r="N273" i="12"/>
  <c r="N189" i="12"/>
  <c r="N229" i="12"/>
  <c r="N263" i="12"/>
  <c r="N389" i="12"/>
  <c r="N384" i="12"/>
  <c r="N317" i="12"/>
  <c r="N181" i="12"/>
  <c r="N165" i="12"/>
  <c r="N423" i="12"/>
  <c r="N409" i="12"/>
  <c r="N315" i="12"/>
  <c r="N406" i="12"/>
  <c r="N337" i="12"/>
  <c r="N163" i="12"/>
  <c r="N357" i="12"/>
  <c r="N328" i="12"/>
  <c r="N159" i="12"/>
  <c r="N102" i="12"/>
  <c r="N335" i="12"/>
  <c r="N295" i="12"/>
  <c r="N307" i="12"/>
  <c r="N416" i="12"/>
  <c r="N224" i="12"/>
  <c r="N302" i="12"/>
  <c r="N134" i="12"/>
  <c r="N350" i="12"/>
  <c r="N216" i="12"/>
  <c r="N346" i="12"/>
  <c r="N206" i="12"/>
  <c r="N287" i="12"/>
  <c r="N292" i="12"/>
  <c r="N231" i="12"/>
  <c r="N387" i="12"/>
  <c r="N277" i="12"/>
  <c r="N283" i="12"/>
  <c r="N271" i="12"/>
  <c r="N248" i="12"/>
  <c r="N386" i="12"/>
  <c r="N149" i="12"/>
  <c r="N344" i="12"/>
  <c r="N260" i="12"/>
  <c r="N142" i="12"/>
  <c r="N161" i="12"/>
  <c r="N338" i="12"/>
  <c r="N162" i="12"/>
  <c r="N176" i="12"/>
  <c r="N191" i="12"/>
  <c r="N178" i="12"/>
  <c r="N239" i="12"/>
  <c r="N250" i="12"/>
  <c r="N146" i="12"/>
  <c r="N243" i="12"/>
  <c r="N262" i="12"/>
  <c r="N282" i="12"/>
  <c r="N158" i="12"/>
  <c r="N274" i="12"/>
  <c r="N286" i="12"/>
  <c r="N396" i="12"/>
  <c r="N266" i="12"/>
  <c r="N168" i="12"/>
  <c r="N314" i="12"/>
  <c r="N160" i="12"/>
  <c r="N310" i="12"/>
  <c r="N290" i="12"/>
  <c r="N198" i="12"/>
  <c r="N235" i="12"/>
  <c r="N400" i="12"/>
  <c r="N356" i="12"/>
  <c r="N354" i="12"/>
  <c r="N182" i="12"/>
  <c r="N184" i="12"/>
  <c r="N192" i="12"/>
  <c r="N348" i="12"/>
  <c r="N193" i="12"/>
  <c r="N109" i="12"/>
  <c r="N183" i="12"/>
  <c r="N380" i="12"/>
  <c r="N219" i="12"/>
  <c r="N372" i="12"/>
  <c r="N388" i="12"/>
  <c r="AF144" i="4"/>
  <c r="AF128" i="4"/>
  <c r="AF112" i="4"/>
  <c r="AF96" i="4"/>
  <c r="AF143" i="4"/>
  <c r="AF79" i="4"/>
  <c r="AF70" i="4"/>
  <c r="AF46" i="4"/>
  <c r="AF140" i="4"/>
  <c r="AF124" i="4"/>
  <c r="AF108" i="4"/>
  <c r="AF92" i="4"/>
  <c r="AF107" i="4"/>
  <c r="AF91" i="4"/>
  <c r="AF138" i="4"/>
  <c r="AF122" i="4"/>
  <c r="AF106" i="4"/>
  <c r="AF90" i="4"/>
  <c r="AF149" i="4"/>
  <c r="AF133" i="4"/>
  <c r="AF117" i="4"/>
  <c r="AF101" i="4"/>
  <c r="AF59" i="4"/>
  <c r="P89" i="4"/>
  <c r="P93" i="4"/>
  <c r="P108" i="4"/>
  <c r="AF88" i="4"/>
  <c r="AF87" i="4"/>
  <c r="AF78" i="4"/>
  <c r="AF58" i="4"/>
  <c r="AF51" i="4"/>
  <c r="AF136" i="4"/>
  <c r="AF120" i="4"/>
  <c r="AF104" i="4"/>
  <c r="AF151" i="4"/>
  <c r="AF135" i="4"/>
  <c r="AF119" i="4"/>
  <c r="AF103" i="4"/>
  <c r="AF150" i="4"/>
  <c r="AF134" i="4"/>
  <c r="AF118" i="4"/>
  <c r="AF102" i="4"/>
  <c r="AF145" i="4"/>
  <c r="AF129" i="4"/>
  <c r="AF113" i="4"/>
  <c r="AF97" i="4"/>
  <c r="AF55" i="4"/>
  <c r="AF74" i="4"/>
  <c r="AF86" i="4"/>
  <c r="AF48" i="4"/>
  <c r="AF148" i="4"/>
  <c r="AF132" i="4"/>
  <c r="AF116" i="4"/>
  <c r="AF100" i="4"/>
  <c r="AF147" i="4"/>
  <c r="AF131" i="4"/>
  <c r="AF115" i="4"/>
  <c r="AF99" i="4"/>
  <c r="AF146" i="4"/>
  <c r="AF130" i="4"/>
  <c r="AF114" i="4"/>
  <c r="AF98" i="4"/>
  <c r="AF141" i="4"/>
  <c r="AF125" i="4"/>
  <c r="AF109" i="4"/>
  <c r="AF93" i="4"/>
  <c r="T8" i="4"/>
  <c r="V8" i="4" s="1" a="1"/>
  <c r="V8" i="4" s="1"/>
  <c r="AF8" i="4" s="1"/>
  <c r="W8" i="4" a="1"/>
  <c r="W8" i="4" s="1"/>
  <c r="T21" i="4"/>
  <c r="V21" i="4" s="1" a="1"/>
  <c r="V21" i="4" s="1"/>
  <c r="AF21" i="4" s="1"/>
  <c r="W21" i="4" a="1"/>
  <c r="W21" i="4" s="1"/>
  <c r="T33" i="4"/>
  <c r="V33" i="4" s="1" a="1"/>
  <c r="V33" i="4" s="1"/>
  <c r="W33" i="4" a="1"/>
  <c r="W33" i="4" s="1"/>
  <c r="T24" i="4" a="1"/>
  <c r="T24" i="4" s="1"/>
  <c r="V24" i="4" s="1" a="1"/>
  <c r="V24" i="4" s="1"/>
  <c r="T10" i="4" a="1"/>
  <c r="T10" i="4" s="1"/>
  <c r="V10" i="4" s="1" a="1"/>
  <c r="V10" i="4" s="1"/>
  <c r="AF10" i="4" s="1"/>
  <c r="T14" i="4" a="1"/>
  <c r="T14" i="4" s="1"/>
  <c r="V14" i="4" s="1" a="1"/>
  <c r="V14" i="4" s="1"/>
  <c r="T19" i="4" a="1"/>
  <c r="T19" i="4" s="1"/>
  <c r="V19" i="4" s="1" a="1"/>
  <c r="V19" i="4" s="1"/>
  <c r="AF19" i="4" s="1"/>
  <c r="T125" i="4" a="1"/>
  <c r="T93" i="4" a="1"/>
  <c r="T93" i="4" s="1"/>
  <c r="V93" i="4" s="1" a="1"/>
  <c r="V93" i="4" s="1"/>
  <c r="T61" i="4" a="1"/>
  <c r="T61" i="4" s="1"/>
  <c r="V61" i="4" s="1" a="1"/>
  <c r="V61" i="4" s="1"/>
  <c r="T130" i="4" a="1"/>
  <c r="T98" i="4" a="1"/>
  <c r="T98" i="4" s="1"/>
  <c r="V98" i="4" s="1" a="1"/>
  <c r="V98" i="4" s="1"/>
  <c r="T66" i="4" a="1"/>
  <c r="T66" i="4" s="1"/>
  <c r="V66" i="4" s="1" a="1"/>
  <c r="V66" i="4" s="1"/>
  <c r="T129" i="4" a="1"/>
  <c r="T97" i="4" a="1"/>
  <c r="T97" i="4" s="1"/>
  <c r="V97" i="4" s="1" a="1"/>
  <c r="V97" i="4" s="1"/>
  <c r="T65" i="4" a="1"/>
  <c r="T65" i="4" s="1"/>
  <c r="V65" i="4" s="1" a="1"/>
  <c r="V65" i="4" s="1"/>
  <c r="T149" i="4" a="1"/>
  <c r="T149" i="4" s="1"/>
  <c r="V149" i="4" s="1" a="1"/>
  <c r="V149" i="4" s="1"/>
  <c r="T118" i="4" a="1"/>
  <c r="T86" i="4" a="1"/>
  <c r="T86" i="4" s="1"/>
  <c r="V86" i="4" s="1" a="1"/>
  <c r="V86" i="4" s="1"/>
  <c r="T54" i="4" a="1"/>
  <c r="T54" i="4" s="1"/>
  <c r="V54" i="4" s="1" a="1"/>
  <c r="V54" i="4" s="1"/>
  <c r="T144" i="4" a="1"/>
  <c r="T144" i="4" s="1"/>
  <c r="V144" i="4" s="1" a="1"/>
  <c r="V144" i="4" s="1"/>
  <c r="T128" i="4" a="1"/>
  <c r="T128" i="4" s="1"/>
  <c r="V128" i="4" s="1" a="1"/>
  <c r="V128" i="4" s="1"/>
  <c r="T112" i="4" a="1"/>
  <c r="T112" i="4" s="1"/>
  <c r="V112" i="4" s="1" a="1"/>
  <c r="V112" i="4" s="1"/>
  <c r="T96" i="4" a="1"/>
  <c r="T96" i="4" s="1"/>
  <c r="V96" i="4" s="1" a="1"/>
  <c r="V96" i="4" s="1"/>
  <c r="T80" i="4" a="1"/>
  <c r="T80" i="4" s="1"/>
  <c r="V80" i="4" s="1" a="1"/>
  <c r="V80" i="4" s="1"/>
  <c r="T64" i="4" a="1"/>
  <c r="T64" i="4" s="1"/>
  <c r="V64" i="4" s="1" a="1"/>
  <c r="V64" i="4" s="1"/>
  <c r="T48" i="4" a="1"/>
  <c r="T48" i="4" s="1"/>
  <c r="V48" i="4" s="1" a="1"/>
  <c r="V48" i="4" s="1"/>
  <c r="T143" i="4" a="1"/>
  <c r="T143" i="4" s="1"/>
  <c r="V143" i="4" s="1" a="1"/>
  <c r="V143" i="4" s="1"/>
  <c r="T127" i="4" a="1"/>
  <c r="T127" i="4" s="1"/>
  <c r="V127" i="4" s="1" a="1"/>
  <c r="V127" i="4" s="1"/>
  <c r="T111" i="4" a="1"/>
  <c r="T111" i="4" s="1"/>
  <c r="V111" i="4" s="1" a="1"/>
  <c r="V111" i="4" s="1"/>
  <c r="T95" i="4" a="1"/>
  <c r="T79" i="4" a="1"/>
  <c r="T79" i="4" s="1"/>
  <c r="V79" i="4" s="1" a="1"/>
  <c r="V79" i="4" s="1"/>
  <c r="T63" i="4" a="1"/>
  <c r="T63" i="4" s="1"/>
  <c r="V63" i="4" s="1" a="1"/>
  <c r="V63" i="4" s="1"/>
  <c r="T47" i="4" a="1"/>
  <c r="T47" i="4" s="1"/>
  <c r="V47" i="4" s="1" a="1"/>
  <c r="V47" i="4" s="1"/>
  <c r="T5" i="4" a="1"/>
  <c r="T5" i="4" s="1"/>
  <c r="V5" i="4" s="1" a="1"/>
  <c r="V5" i="4" s="1"/>
  <c r="T11" i="4" a="1"/>
  <c r="T11" i="4" s="1"/>
  <c r="V11" i="4" s="1" a="1"/>
  <c r="V11" i="4" s="1"/>
  <c r="T16" i="4" a="1"/>
  <c r="T16" i="4" s="1"/>
  <c r="V16" i="4" s="1" a="1"/>
  <c r="V16" i="4" s="1"/>
  <c r="T20" i="4" a="1"/>
  <c r="T20" i="4" s="1"/>
  <c r="V20" i="4" s="1" a="1"/>
  <c r="V20" i="4" s="1"/>
  <c r="AF20" i="4" s="1"/>
  <c r="T25" i="4" a="1"/>
  <c r="T25" i="4" s="1"/>
  <c r="V25" i="4" s="1" a="1"/>
  <c r="V25" i="4" s="1"/>
  <c r="T147" i="4" a="1"/>
  <c r="T117" i="4" a="1"/>
  <c r="T117" i="4" s="1"/>
  <c r="V117" i="4" s="1" a="1"/>
  <c r="V117" i="4" s="1"/>
  <c r="T85" i="4" a="1"/>
  <c r="T85" i="4" s="1"/>
  <c r="V85" i="4" s="1" a="1"/>
  <c r="V85" i="4" s="1"/>
  <c r="T53" i="4" a="1"/>
  <c r="T53" i="4" s="1"/>
  <c r="V53" i="4" s="1" a="1"/>
  <c r="V53" i="4" s="1"/>
  <c r="T151" i="4" a="1"/>
  <c r="T151" i="4" s="1"/>
  <c r="V151" i="4" s="1" a="1"/>
  <c r="V151" i="4" s="1"/>
  <c r="T122" i="4" a="1"/>
  <c r="T122" i="4" s="1"/>
  <c r="V122" i="4" s="1" a="1"/>
  <c r="V122" i="4" s="1"/>
  <c r="T90" i="4" a="1"/>
  <c r="T90" i="4" s="1"/>
  <c r="V90" i="4" s="1" a="1"/>
  <c r="V90" i="4" s="1"/>
  <c r="T58" i="4" a="1"/>
  <c r="T58" i="4" s="1"/>
  <c r="V58" i="4" s="1" a="1"/>
  <c r="V58" i="4" s="1"/>
  <c r="T150" i="4" a="1"/>
  <c r="T121" i="4" a="1"/>
  <c r="T121" i="4" s="1"/>
  <c r="V121" i="4" s="1" a="1"/>
  <c r="V121" i="4" s="1"/>
  <c r="T89" i="4" a="1"/>
  <c r="T57" i="4" a="1"/>
  <c r="T142" i="4" a="1"/>
  <c r="T142" i="4" s="1"/>
  <c r="V142" i="4" s="1" a="1"/>
  <c r="V142" i="4" s="1"/>
  <c r="T110" i="4" a="1"/>
  <c r="T110" i="4" s="1"/>
  <c r="V110" i="4" s="1" a="1"/>
  <c r="V110" i="4" s="1"/>
  <c r="T78" i="4" a="1"/>
  <c r="T46" i="4" a="1"/>
  <c r="T46" i="4" s="1"/>
  <c r="V46" i="4" s="1" a="1"/>
  <c r="V46" i="4" s="1"/>
  <c r="T140" i="4" a="1"/>
  <c r="T140" i="4" s="1"/>
  <c r="V140" i="4" s="1" a="1"/>
  <c r="V140" i="4" s="1"/>
  <c r="T124" i="4" a="1"/>
  <c r="T124" i="4" s="1"/>
  <c r="V124" i="4" s="1" a="1"/>
  <c r="V124" i="4" s="1"/>
  <c r="T108" i="4" a="1"/>
  <c r="T108" i="4" s="1"/>
  <c r="V108" i="4" s="1" a="1"/>
  <c r="V108" i="4" s="1"/>
  <c r="T92" i="4" a="1"/>
  <c r="T92" i="4" s="1"/>
  <c r="V92" i="4" s="1" a="1"/>
  <c r="V92" i="4" s="1"/>
  <c r="T76" i="4" a="1"/>
  <c r="T76" i="4" s="1"/>
  <c r="V76" i="4" s="1" a="1"/>
  <c r="V76" i="4" s="1"/>
  <c r="T60" i="4" a="1"/>
  <c r="T44" i="4" a="1"/>
  <c r="T44" i="4" s="1"/>
  <c r="V44" i="4" s="1" a="1"/>
  <c r="V44" i="4" s="1"/>
  <c r="T139" i="4" a="1"/>
  <c r="T139" i="4" s="1"/>
  <c r="V139" i="4" s="1" a="1"/>
  <c r="V139" i="4" s="1"/>
  <c r="T123" i="4" a="1"/>
  <c r="T123" i="4" s="1"/>
  <c r="V123" i="4" s="1" a="1"/>
  <c r="V123" i="4" s="1"/>
  <c r="T107" i="4" a="1"/>
  <c r="T107" i="4" s="1"/>
  <c r="V107" i="4" s="1" a="1"/>
  <c r="V107" i="4" s="1"/>
  <c r="T91" i="4" a="1"/>
  <c r="T91" i="4" s="1"/>
  <c r="V91" i="4" s="1" a="1"/>
  <c r="V91" i="4" s="1"/>
  <c r="T75" i="4" a="1"/>
  <c r="T75" i="4" s="1"/>
  <c r="V75" i="4" s="1" a="1"/>
  <c r="V75" i="4" s="1"/>
  <c r="T59" i="4" a="1"/>
  <c r="T59" i="4" s="1"/>
  <c r="V59" i="4" s="1" a="1"/>
  <c r="V59" i="4" s="1"/>
  <c r="T43" i="4" a="1"/>
  <c r="T43" i="4" s="1"/>
  <c r="V43" i="4" s="1" a="1"/>
  <c r="V43" i="4" s="1"/>
  <c r="T141" i="4" a="1"/>
  <c r="T109" i="4" a="1"/>
  <c r="T109" i="4" s="1"/>
  <c r="V109" i="4" s="1" a="1"/>
  <c r="V109" i="4" s="1"/>
  <c r="T77" i="4" a="1"/>
  <c r="T77" i="4" s="1"/>
  <c r="V77" i="4" s="1" a="1"/>
  <c r="V77" i="4" s="1"/>
  <c r="T45" i="4" a="1"/>
  <c r="T45" i="4" s="1"/>
  <c r="V45" i="4" s="1" a="1"/>
  <c r="V45" i="4" s="1"/>
  <c r="T146" i="4" a="1"/>
  <c r="T146" i="4" s="1"/>
  <c r="V146" i="4" s="1" a="1"/>
  <c r="V146" i="4" s="1"/>
  <c r="T114" i="4" a="1"/>
  <c r="T114" i="4" s="1"/>
  <c r="V114" i="4" s="1" a="1"/>
  <c r="V114" i="4" s="1"/>
  <c r="T82" i="4" a="1"/>
  <c r="T50" i="4" a="1"/>
  <c r="T145" i="4" a="1"/>
  <c r="T145" i="4" s="1"/>
  <c r="V145" i="4" s="1" a="1"/>
  <c r="V145" i="4" s="1"/>
  <c r="T113" i="4" a="1"/>
  <c r="T113" i="4" s="1"/>
  <c r="V113" i="4" s="1" a="1"/>
  <c r="V113" i="4" s="1"/>
  <c r="T81" i="4" a="1"/>
  <c r="T81" i="4" s="1"/>
  <c r="V81" i="4" s="1" a="1"/>
  <c r="V81" i="4" s="1"/>
  <c r="T49" i="4" a="1"/>
  <c r="T134" i="4" a="1"/>
  <c r="T134" i="4" s="1"/>
  <c r="V134" i="4" s="1" a="1"/>
  <c r="V134" i="4" s="1"/>
  <c r="T102" i="4" a="1"/>
  <c r="T102" i="4" s="1"/>
  <c r="V102" i="4" s="1" a="1"/>
  <c r="V102" i="4" s="1"/>
  <c r="T70" i="4" a="1"/>
  <c r="T70" i="4" s="1"/>
  <c r="V70" i="4" s="1" a="1"/>
  <c r="V70" i="4" s="1"/>
  <c r="T136" i="4" a="1"/>
  <c r="T136" i="4" s="1"/>
  <c r="V136" i="4" s="1" a="1"/>
  <c r="V136" i="4" s="1"/>
  <c r="T120" i="4" a="1"/>
  <c r="T120" i="4" s="1"/>
  <c r="V120" i="4" s="1" a="1"/>
  <c r="V120" i="4" s="1"/>
  <c r="T104" i="4" a="1"/>
  <c r="T104" i="4" s="1"/>
  <c r="V104" i="4" s="1" a="1"/>
  <c r="V104" i="4" s="1"/>
  <c r="T88" i="4" a="1"/>
  <c r="T88" i="4" s="1"/>
  <c r="V88" i="4" s="1" a="1"/>
  <c r="V88" i="4" s="1"/>
  <c r="T72" i="4" a="1"/>
  <c r="T72" i="4" s="1"/>
  <c r="V72" i="4" s="1" a="1"/>
  <c r="V72" i="4" s="1"/>
  <c r="T56" i="4" a="1"/>
  <c r="T56" i="4" s="1"/>
  <c r="V56" i="4" s="1" a="1"/>
  <c r="V56" i="4" s="1"/>
  <c r="T135" i="4" a="1"/>
  <c r="T135" i="4" s="1"/>
  <c r="V135" i="4" s="1" a="1"/>
  <c r="V135" i="4" s="1"/>
  <c r="T119" i="4" a="1"/>
  <c r="T103" i="4" a="1"/>
  <c r="T103" i="4" s="1"/>
  <c r="V103" i="4" s="1" a="1"/>
  <c r="V103" i="4" s="1"/>
  <c r="T87" i="4" a="1"/>
  <c r="T87" i="4" s="1"/>
  <c r="V87" i="4" s="1" a="1"/>
  <c r="V87" i="4" s="1"/>
  <c r="T71" i="4" a="1"/>
  <c r="T71" i="4" s="1"/>
  <c r="V71" i="4" s="1" a="1"/>
  <c r="V71" i="4" s="1"/>
  <c r="T55" i="4" a="1"/>
  <c r="T55" i="4" s="1"/>
  <c r="V55" i="4" s="1" a="1"/>
  <c r="V55" i="4" s="1"/>
  <c r="T2" i="4" a="1"/>
  <c r="T2" i="4" s="1"/>
  <c r="V2" i="4" s="1" a="1"/>
  <c r="V2" i="4" s="1"/>
  <c r="T18" i="4" a="1"/>
  <c r="T23" i="4" a="1"/>
  <c r="T23" i="4" s="1"/>
  <c r="V23" i="4" s="1" a="1"/>
  <c r="V23" i="4" s="1"/>
  <c r="AF23" i="4" s="1"/>
  <c r="T29" i="4" a="1"/>
  <c r="T28" i="4" a="1"/>
  <c r="T28" i="4" s="1"/>
  <c r="V28" i="4" s="1" a="1"/>
  <c r="V28" i="4" s="1"/>
  <c r="T133" i="4" a="1"/>
  <c r="T133" i="4" s="1"/>
  <c r="V133" i="4" s="1" a="1"/>
  <c r="V133" i="4" s="1"/>
  <c r="T101" i="4" a="1"/>
  <c r="T101" i="4" s="1"/>
  <c r="V101" i="4" s="1" a="1"/>
  <c r="V101" i="4" s="1"/>
  <c r="T69" i="4" a="1"/>
  <c r="T138" i="4" a="1"/>
  <c r="T138" i="4" s="1"/>
  <c r="V138" i="4" s="1" a="1"/>
  <c r="V138" i="4" s="1"/>
  <c r="T106" i="4" a="1"/>
  <c r="T106" i="4" s="1"/>
  <c r="V106" i="4" s="1" a="1"/>
  <c r="V106" i="4" s="1"/>
  <c r="T74" i="4" a="1"/>
  <c r="T74" i="4" s="1"/>
  <c r="V74" i="4" s="1" a="1"/>
  <c r="V74" i="4" s="1"/>
  <c r="T137" i="4" a="1"/>
  <c r="T137" i="4" s="1"/>
  <c r="V137" i="4" s="1" a="1"/>
  <c r="V137" i="4" s="1"/>
  <c r="T105" i="4" a="1"/>
  <c r="T73" i="4" a="1"/>
  <c r="T73" i="4" s="1"/>
  <c r="V73" i="4" s="1" a="1"/>
  <c r="V73" i="4" s="1"/>
  <c r="T126" i="4" a="1"/>
  <c r="T126" i="4" s="1"/>
  <c r="V126" i="4" s="1" a="1"/>
  <c r="V126" i="4" s="1"/>
  <c r="T94" i="4" a="1"/>
  <c r="T94" i="4" s="1"/>
  <c r="V94" i="4" s="1" a="1"/>
  <c r="V94" i="4" s="1"/>
  <c r="T62" i="4" a="1"/>
  <c r="T62" i="4" s="1"/>
  <c r="V62" i="4" s="1" a="1"/>
  <c r="V62" i="4" s="1"/>
  <c r="T148" i="4" a="1"/>
  <c r="T148" i="4" s="1"/>
  <c r="V148" i="4" s="1" a="1"/>
  <c r="V148" i="4" s="1"/>
  <c r="T132" i="4" a="1"/>
  <c r="T132" i="4" s="1"/>
  <c r="V132" i="4" s="1" a="1"/>
  <c r="V132" i="4" s="1"/>
  <c r="T116" i="4" a="1"/>
  <c r="T116" i="4" s="1"/>
  <c r="V116" i="4" s="1" a="1"/>
  <c r="V116" i="4" s="1"/>
  <c r="T100" i="4" a="1"/>
  <c r="T100" i="4" s="1"/>
  <c r="V100" i="4" s="1" a="1"/>
  <c r="V100" i="4" s="1"/>
  <c r="T84" i="4" a="1"/>
  <c r="T84" i="4" s="1"/>
  <c r="V84" i="4" s="1" a="1"/>
  <c r="V84" i="4" s="1"/>
  <c r="T68" i="4" a="1"/>
  <c r="T52" i="4" a="1"/>
  <c r="T131" i="4" a="1"/>
  <c r="T131" i="4" s="1"/>
  <c r="V131" i="4" s="1" a="1"/>
  <c r="V131" i="4" s="1"/>
  <c r="T115" i="4" a="1"/>
  <c r="T115" i="4" s="1"/>
  <c r="V115" i="4" s="1" a="1"/>
  <c r="V115" i="4" s="1"/>
  <c r="T99" i="4" a="1"/>
  <c r="T99" i="4" s="1"/>
  <c r="V99" i="4" s="1" a="1"/>
  <c r="V99" i="4" s="1"/>
  <c r="T83" i="4" a="1"/>
  <c r="T83" i="4" s="1"/>
  <c r="V83" i="4" s="1" a="1"/>
  <c r="V83" i="4" s="1"/>
  <c r="T67" i="4" a="1"/>
  <c r="T67" i="4" s="1"/>
  <c r="V67" i="4" s="1" a="1"/>
  <c r="V67" i="4" s="1"/>
  <c r="T51" i="4" a="1"/>
  <c r="T51" i="4" s="1"/>
  <c r="V51" i="4" s="1" a="1"/>
  <c r="V51" i="4" s="1"/>
  <c r="P73" i="4"/>
  <c r="P49" i="4"/>
  <c r="P57" i="4"/>
  <c r="P70" i="4"/>
  <c r="P65" i="4"/>
  <c r="P52" i="4"/>
  <c r="P110" i="4"/>
  <c r="P102" i="4"/>
  <c r="P45" i="4"/>
  <c r="P81" i="4"/>
  <c r="P130" i="4"/>
  <c r="P114" i="4"/>
  <c r="P98" i="4"/>
  <c r="P145" i="4"/>
  <c r="P137" i="4"/>
  <c r="P105" i="4"/>
  <c r="P58" i="4"/>
  <c r="P136" i="4"/>
  <c r="P104" i="4"/>
  <c r="P68" i="4"/>
  <c r="P53" i="4"/>
  <c r="P131" i="4"/>
  <c r="P123" i="4"/>
  <c r="P99" i="4"/>
  <c r="P91" i="4"/>
  <c r="P25" i="4"/>
  <c r="P56" i="4"/>
  <c r="P143" i="4"/>
  <c r="P43" i="4"/>
  <c r="P62" i="4"/>
  <c r="P115" i="4"/>
  <c r="P107" i="4"/>
  <c r="D111" i="8"/>
  <c r="G111" i="8" s="1"/>
  <c r="C111" i="8"/>
  <c r="F111" i="8" s="1"/>
  <c r="E111" i="8"/>
  <c r="H111" i="8" s="1"/>
  <c r="E130" i="8"/>
  <c r="H130" i="8" s="1"/>
  <c r="C130" i="8"/>
  <c r="F130" i="8" s="1"/>
  <c r="D130" i="8"/>
  <c r="G130" i="8" s="1"/>
  <c r="C121" i="8"/>
  <c r="F121" i="8" s="1"/>
  <c r="D121" i="8"/>
  <c r="G121" i="8" s="1"/>
  <c r="E121" i="8"/>
  <c r="H121" i="8" s="1"/>
  <c r="C141" i="8"/>
  <c r="F141" i="8" s="1"/>
  <c r="D141" i="8"/>
  <c r="G141" i="8" s="1"/>
  <c r="E141" i="8"/>
  <c r="H141" i="8" s="1"/>
  <c r="D119" i="8"/>
  <c r="G119" i="8" s="1"/>
  <c r="C119" i="8"/>
  <c r="F119" i="8" s="1"/>
  <c r="E119" i="8"/>
  <c r="H119" i="8" s="1"/>
  <c r="C129" i="8"/>
  <c r="F129" i="8" s="1"/>
  <c r="D129" i="8"/>
  <c r="G129" i="8" s="1"/>
  <c r="E129" i="8"/>
  <c r="H129" i="8" s="1"/>
  <c r="C133" i="8"/>
  <c r="F133" i="8" s="1"/>
  <c r="D133" i="8"/>
  <c r="G133" i="8" s="1"/>
  <c r="E133" i="8"/>
  <c r="H133" i="8" s="1"/>
  <c r="D123" i="8"/>
  <c r="G123" i="8" s="1"/>
  <c r="C123" i="8"/>
  <c r="F123" i="8" s="1"/>
  <c r="E123" i="8"/>
  <c r="H123" i="8" s="1"/>
  <c r="D112" i="8"/>
  <c r="G112" i="8" s="1"/>
  <c r="E112" i="8"/>
  <c r="H112" i="8" s="1"/>
  <c r="C112" i="8"/>
  <c r="F112" i="8" s="1"/>
  <c r="C137" i="8"/>
  <c r="F137" i="8" s="1"/>
  <c r="D137" i="8"/>
  <c r="G137" i="8" s="1"/>
  <c r="E137" i="8"/>
  <c r="H137" i="8" s="1"/>
  <c r="E110" i="8"/>
  <c r="H110" i="8" s="1"/>
  <c r="C110" i="8"/>
  <c r="F110" i="8" s="1"/>
  <c r="D110" i="8"/>
  <c r="G110" i="8" s="1"/>
  <c r="P78" i="4"/>
  <c r="P64" i="4"/>
  <c r="P22" i="4"/>
  <c r="P128" i="4"/>
  <c r="P96" i="4"/>
  <c r="P48" i="4"/>
  <c r="P72" i="4"/>
  <c r="P124" i="4"/>
  <c r="P92" i="4"/>
  <c r="P86" i="4"/>
  <c r="P77" i="4"/>
  <c r="D151" i="8"/>
  <c r="G151" i="8" s="1"/>
  <c r="E151" i="8"/>
  <c r="H151" i="8" s="1"/>
  <c r="C151" i="8"/>
  <c r="F151" i="8" s="1"/>
  <c r="D148" i="8"/>
  <c r="G148" i="8" s="1"/>
  <c r="E148" i="8"/>
  <c r="H148" i="8" s="1"/>
  <c r="C148" i="8"/>
  <c r="F148" i="8" s="1"/>
  <c r="E114" i="8"/>
  <c r="H114" i="8" s="1"/>
  <c r="C114" i="8"/>
  <c r="F114" i="8" s="1"/>
  <c r="D114" i="8"/>
  <c r="G114" i="8" s="1"/>
  <c r="E138" i="8"/>
  <c r="H138" i="8" s="1"/>
  <c r="C138" i="8"/>
  <c r="F138" i="8" s="1"/>
  <c r="D138" i="8"/>
  <c r="G138" i="8" s="1"/>
  <c r="D116" i="8"/>
  <c r="G116" i="8" s="1"/>
  <c r="E116" i="8"/>
  <c r="H116" i="8" s="1"/>
  <c r="C116" i="8"/>
  <c r="F116" i="8" s="1"/>
  <c r="E122" i="8"/>
  <c r="H122" i="8" s="1"/>
  <c r="C122" i="8"/>
  <c r="F122" i="8" s="1"/>
  <c r="D122" i="8"/>
  <c r="G122" i="8" s="1"/>
  <c r="D131" i="8"/>
  <c r="G131" i="8" s="1"/>
  <c r="C131" i="8"/>
  <c r="F131" i="8" s="1"/>
  <c r="E131" i="8"/>
  <c r="H131" i="8" s="1"/>
  <c r="D120" i="8"/>
  <c r="G120" i="8" s="1"/>
  <c r="E120" i="8"/>
  <c r="H120" i="8" s="1"/>
  <c r="C120" i="8"/>
  <c r="F120" i="8" s="1"/>
  <c r="E106" i="8"/>
  <c r="H106" i="8" s="1"/>
  <c r="C106" i="8"/>
  <c r="F106" i="8" s="1"/>
  <c r="D106" i="8"/>
  <c r="G106" i="8" s="1"/>
  <c r="E134" i="8"/>
  <c r="H134" i="8" s="1"/>
  <c r="C134" i="8"/>
  <c r="F134" i="8" s="1"/>
  <c r="D134" i="8"/>
  <c r="G134" i="8" s="1"/>
  <c r="C109" i="8"/>
  <c r="F109" i="8" s="1"/>
  <c r="D109" i="8"/>
  <c r="G109" i="8" s="1"/>
  <c r="E109" i="8"/>
  <c r="H109" i="8" s="1"/>
  <c r="P47" i="4"/>
  <c r="P61" i="4"/>
  <c r="P106" i="4"/>
  <c r="P132" i="4"/>
  <c r="P125" i="4"/>
  <c r="P109" i="4"/>
  <c r="P55" i="4"/>
  <c r="P88" i="4"/>
  <c r="P79" i="4"/>
  <c r="P149" i="4"/>
  <c r="P141" i="4"/>
  <c r="P121" i="4"/>
  <c r="P85" i="4"/>
  <c r="P46" i="4"/>
  <c r="P147" i="4"/>
  <c r="P139" i="4"/>
  <c r="P120" i="4"/>
  <c r="P84" i="4"/>
  <c r="P66" i="4"/>
  <c r="P140" i="4"/>
  <c r="P135" i="4"/>
  <c r="P127" i="4"/>
  <c r="P119" i="4"/>
  <c r="P111" i="4"/>
  <c r="P103" i="4"/>
  <c r="P95" i="4"/>
  <c r="E146" i="8"/>
  <c r="H146" i="8" s="1"/>
  <c r="C146" i="8"/>
  <c r="F146" i="8" s="1"/>
  <c r="D146" i="8"/>
  <c r="G146" i="8" s="1"/>
  <c r="D149" i="8"/>
  <c r="G149" i="8" s="1"/>
  <c r="E149" i="8"/>
  <c r="H149" i="8" s="1"/>
  <c r="C149" i="8"/>
  <c r="F149" i="8" s="1"/>
  <c r="D144" i="8"/>
  <c r="G144" i="8" s="1"/>
  <c r="E144" i="8"/>
  <c r="H144" i="8" s="1"/>
  <c r="C144" i="8"/>
  <c r="F144" i="8" s="1"/>
  <c r="D108" i="8"/>
  <c r="G108" i="8" s="1"/>
  <c r="E108" i="8"/>
  <c r="H108" i="8" s="1"/>
  <c r="C108" i="8"/>
  <c r="F108" i="8" s="1"/>
  <c r="D135" i="8"/>
  <c r="G135" i="8" s="1"/>
  <c r="C135" i="8"/>
  <c r="F135" i="8" s="1"/>
  <c r="E135" i="8"/>
  <c r="H135" i="8" s="1"/>
  <c r="C145" i="8"/>
  <c r="F145" i="8" s="1"/>
  <c r="D145" i="8"/>
  <c r="G145" i="8" s="1"/>
  <c r="E145" i="8"/>
  <c r="H145" i="8" s="1"/>
  <c r="C113" i="8"/>
  <c r="F113" i="8" s="1"/>
  <c r="D113" i="8"/>
  <c r="G113" i="8" s="1"/>
  <c r="E113" i="8"/>
  <c r="H113" i="8" s="1"/>
  <c r="D128" i="8"/>
  <c r="G128" i="8" s="1"/>
  <c r="E128" i="8"/>
  <c r="H128" i="8" s="1"/>
  <c r="C128" i="8"/>
  <c r="F128" i="8" s="1"/>
  <c r="C117" i="8"/>
  <c r="F117" i="8" s="1"/>
  <c r="D117" i="8"/>
  <c r="G117" i="8" s="1"/>
  <c r="E117" i="8"/>
  <c r="H117" i="8" s="1"/>
  <c r="C105" i="8"/>
  <c r="F105" i="8" s="1"/>
  <c r="D105" i="8"/>
  <c r="G105" i="8" s="1"/>
  <c r="E105" i="8"/>
  <c r="H105" i="8" s="1"/>
  <c r="E147" i="8"/>
  <c r="H147" i="8" s="1"/>
  <c r="C147" i="8"/>
  <c r="F147" i="8" s="1"/>
  <c r="D147" i="8"/>
  <c r="G147" i="8" s="1"/>
  <c r="E126" i="8"/>
  <c r="H126" i="8" s="1"/>
  <c r="C126" i="8"/>
  <c r="F126" i="8" s="1"/>
  <c r="D126" i="8"/>
  <c r="G126" i="8" s="1"/>
  <c r="D107" i="8"/>
  <c r="G107" i="8" s="1"/>
  <c r="C107" i="8"/>
  <c r="F107" i="8" s="1"/>
  <c r="E107" i="8"/>
  <c r="H107" i="8" s="1"/>
  <c r="P100" i="4"/>
  <c r="P50" i="4"/>
  <c r="P146" i="4"/>
  <c r="P117" i="4"/>
  <c r="P54" i="4"/>
  <c r="D124" i="8"/>
  <c r="G124" i="8" s="1"/>
  <c r="E124" i="8"/>
  <c r="H124" i="8" s="1"/>
  <c r="C124" i="8"/>
  <c r="F124" i="8" s="1"/>
  <c r="E142" i="8"/>
  <c r="H142" i="8" s="1"/>
  <c r="C142" i="8"/>
  <c r="F142" i="8" s="1"/>
  <c r="D142" i="8"/>
  <c r="G142" i="8" s="1"/>
  <c r="D127" i="8"/>
  <c r="G127" i="8" s="1"/>
  <c r="C127" i="8"/>
  <c r="F127" i="8" s="1"/>
  <c r="E127" i="8"/>
  <c r="H127" i="8" s="1"/>
  <c r="D139" i="8"/>
  <c r="G139" i="8" s="1"/>
  <c r="C139" i="8"/>
  <c r="F139" i="8" s="1"/>
  <c r="E139" i="8"/>
  <c r="H139" i="8" s="1"/>
  <c r="E150" i="8"/>
  <c r="H150" i="8" s="1"/>
  <c r="C150" i="8"/>
  <c r="F150" i="8" s="1"/>
  <c r="D150" i="8"/>
  <c r="G150" i="8" s="1"/>
  <c r="D132" i="8"/>
  <c r="G132" i="8" s="1"/>
  <c r="E132" i="8"/>
  <c r="H132" i="8" s="1"/>
  <c r="C132" i="8"/>
  <c r="F132" i="8" s="1"/>
  <c r="D143" i="8"/>
  <c r="G143" i="8" s="1"/>
  <c r="C143" i="8"/>
  <c r="F143" i="8" s="1"/>
  <c r="E143" i="8"/>
  <c r="H143" i="8" s="1"/>
  <c r="D136" i="8"/>
  <c r="G136" i="8" s="1"/>
  <c r="E136" i="8"/>
  <c r="H136" i="8" s="1"/>
  <c r="C136" i="8"/>
  <c r="F136" i="8" s="1"/>
  <c r="C125" i="8"/>
  <c r="F125" i="8" s="1"/>
  <c r="D125" i="8"/>
  <c r="G125" i="8" s="1"/>
  <c r="E125" i="8"/>
  <c r="H125" i="8" s="1"/>
  <c r="D115" i="8"/>
  <c r="G115" i="8" s="1"/>
  <c r="C115" i="8"/>
  <c r="F115" i="8" s="1"/>
  <c r="E115" i="8"/>
  <c r="H115" i="8" s="1"/>
  <c r="E104" i="8"/>
  <c r="H104" i="8" s="1"/>
  <c r="D104" i="8"/>
  <c r="G104" i="8" s="1"/>
  <c r="C104" i="8"/>
  <c r="F104" i="8" s="1"/>
  <c r="D140" i="8"/>
  <c r="G140" i="8" s="1"/>
  <c r="E140" i="8"/>
  <c r="H140" i="8" s="1"/>
  <c r="C140" i="8"/>
  <c r="F140" i="8" s="1"/>
  <c r="E118" i="8"/>
  <c r="H118" i="8" s="1"/>
  <c r="C118" i="8"/>
  <c r="F118" i="8" s="1"/>
  <c r="D118" i="8"/>
  <c r="G118" i="8" s="1"/>
  <c r="P42" i="4"/>
  <c r="P27" i="4"/>
  <c r="X31" i="1"/>
  <c r="I25" i="1"/>
  <c r="I22" i="1"/>
  <c r="I21" i="1"/>
  <c r="I28" i="1"/>
  <c r="Q2" i="4"/>
  <c r="X2" i="4" a="1"/>
  <c r="L2" i="4"/>
  <c r="N2" i="4" s="1"/>
  <c r="I9" i="1"/>
  <c r="I6" i="1"/>
  <c r="I3" i="1"/>
  <c r="I10" i="1"/>
  <c r="I81" i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M2" i="4"/>
  <c r="O2" i="4" s="1" a="1"/>
  <c r="O2" i="4" s="1"/>
  <c r="F5" i="8"/>
  <c r="D5" i="8"/>
  <c r="G5" i="8" s="1"/>
  <c r="E5" i="8"/>
  <c r="H5" i="8" s="1"/>
  <c r="F99" i="8"/>
  <c r="D99" i="8"/>
  <c r="G99" i="8" s="1"/>
  <c r="E99" i="8"/>
  <c r="H99" i="8" s="1"/>
  <c r="D102" i="8"/>
  <c r="G102" i="8" s="1"/>
  <c r="F102" i="8"/>
  <c r="E102" i="8"/>
  <c r="H102" i="8" s="1"/>
  <c r="F69" i="8"/>
  <c r="E69" i="8"/>
  <c r="H69" i="8" s="1"/>
  <c r="D69" i="8"/>
  <c r="G69" i="8" s="1"/>
  <c r="F62" i="8"/>
  <c r="D62" i="8"/>
  <c r="G62" i="8" s="1"/>
  <c r="E62" i="8"/>
  <c r="H62" i="8" s="1"/>
  <c r="D98" i="8"/>
  <c r="G98" i="8" s="1"/>
  <c r="E98" i="8"/>
  <c r="H98" i="8" s="1"/>
  <c r="F98" i="8"/>
  <c r="F14" i="8"/>
  <c r="D14" i="8"/>
  <c r="G14" i="8" s="1"/>
  <c r="E14" i="8"/>
  <c r="H14" i="8" s="1"/>
  <c r="D66" i="8"/>
  <c r="G66" i="8" s="1"/>
  <c r="F66" i="8"/>
  <c r="E66" i="8"/>
  <c r="H66" i="8" s="1"/>
  <c r="E87" i="8"/>
  <c r="H87" i="8" s="1"/>
  <c r="F87" i="8"/>
  <c r="D87" i="8"/>
  <c r="G87" i="8" s="1"/>
  <c r="E63" i="8"/>
  <c r="H63" i="8" s="1"/>
  <c r="F63" i="8"/>
  <c r="D63" i="8"/>
  <c r="G63" i="8" s="1"/>
  <c r="D89" i="8"/>
  <c r="G89" i="8" s="1"/>
  <c r="E89" i="8"/>
  <c r="H89" i="8" s="1"/>
  <c r="F89" i="8"/>
  <c r="F65" i="8"/>
  <c r="D65" i="8"/>
  <c r="G65" i="8" s="1"/>
  <c r="E65" i="8"/>
  <c r="H65" i="8" s="1"/>
  <c r="A2" i="8"/>
  <c r="F37" i="8"/>
  <c r="D37" i="8"/>
  <c r="G37" i="8" s="1"/>
  <c r="E37" i="8"/>
  <c r="H37" i="8" s="1"/>
  <c r="F28" i="8"/>
  <c r="D28" i="8"/>
  <c r="G28" i="8" s="1"/>
  <c r="E28" i="8"/>
  <c r="H28" i="8" s="1"/>
  <c r="D60" i="8"/>
  <c r="G60" i="8" s="1"/>
  <c r="E60" i="8"/>
  <c r="H60" i="8" s="1"/>
  <c r="F60" i="8"/>
  <c r="G2" i="4"/>
  <c r="H2" i="4" s="1"/>
  <c r="F2" i="4" s="1"/>
  <c r="D18" i="8"/>
  <c r="G18" i="8" s="1"/>
  <c r="F18" i="8"/>
  <c r="E18" i="8"/>
  <c r="H18" i="8" s="1"/>
  <c r="F34" i="8"/>
  <c r="D34" i="8"/>
  <c r="G34" i="8" s="1"/>
  <c r="E34" i="8"/>
  <c r="H34" i="8" s="1"/>
  <c r="F40" i="8"/>
  <c r="D40" i="8"/>
  <c r="G40" i="8" s="1"/>
  <c r="E40" i="8"/>
  <c r="H40" i="8" s="1"/>
  <c r="E39" i="8"/>
  <c r="H39" i="8" s="1"/>
  <c r="F39" i="8"/>
  <c r="D39" i="8"/>
  <c r="G39" i="8" s="1"/>
  <c r="F20" i="8"/>
  <c r="D20" i="8"/>
  <c r="G20" i="8" s="1"/>
  <c r="E20" i="8"/>
  <c r="H20" i="8" s="1"/>
  <c r="F52" i="8"/>
  <c r="D52" i="8"/>
  <c r="G52" i="8" s="1"/>
  <c r="E52" i="8"/>
  <c r="H52" i="8" s="1"/>
  <c r="D54" i="8"/>
  <c r="G54" i="8" s="1"/>
  <c r="F54" i="8"/>
  <c r="E54" i="8"/>
  <c r="H54" i="8" s="1"/>
  <c r="F32" i="8"/>
  <c r="D32" i="8"/>
  <c r="G32" i="8" s="1"/>
  <c r="E32" i="8"/>
  <c r="H32" i="8" s="1"/>
  <c r="F9" i="8"/>
  <c r="E9" i="8"/>
  <c r="H9" i="8" s="1"/>
  <c r="D9" i="8"/>
  <c r="G9" i="8" s="1"/>
  <c r="F21" i="8"/>
  <c r="E21" i="8"/>
  <c r="H21" i="8" s="1"/>
  <c r="D21" i="8"/>
  <c r="G21" i="8" s="1"/>
  <c r="D82" i="8"/>
  <c r="G82" i="8" s="1"/>
  <c r="E82" i="8"/>
  <c r="H82" i="8" s="1"/>
  <c r="F82" i="8"/>
  <c r="F31" i="8"/>
  <c r="D31" i="8"/>
  <c r="G31" i="8" s="1"/>
  <c r="E31" i="8"/>
  <c r="H31" i="8" s="1"/>
  <c r="F80" i="8"/>
  <c r="D80" i="8"/>
  <c r="G80" i="8" s="1"/>
  <c r="E80" i="8"/>
  <c r="H80" i="8" s="1"/>
  <c r="F25" i="8"/>
  <c r="D25" i="8"/>
  <c r="G25" i="8" s="1"/>
  <c r="E25" i="8"/>
  <c r="H25" i="8" s="1"/>
  <c r="F22" i="8"/>
  <c r="D22" i="8"/>
  <c r="G22" i="8" s="1"/>
  <c r="E22" i="8"/>
  <c r="H22" i="8" s="1"/>
  <c r="F33" i="8"/>
  <c r="E33" i="8"/>
  <c r="H33" i="8" s="1"/>
  <c r="D33" i="8"/>
  <c r="G33" i="8" s="1"/>
  <c r="D92" i="8"/>
  <c r="G92" i="8" s="1"/>
  <c r="F92" i="8"/>
  <c r="E92" i="8"/>
  <c r="H92" i="8" s="1"/>
  <c r="F45" i="8"/>
  <c r="E45" i="8"/>
  <c r="H45" i="8" s="1"/>
  <c r="D45" i="8"/>
  <c r="G45" i="8" s="1"/>
  <c r="F47" i="8"/>
  <c r="D47" i="8"/>
  <c r="G47" i="8" s="1"/>
  <c r="E47" i="8"/>
  <c r="H47" i="8" s="1"/>
  <c r="F29" i="8"/>
  <c r="D29" i="8"/>
  <c r="G29" i="8" s="1"/>
  <c r="E29" i="8"/>
  <c r="H29" i="8" s="1"/>
  <c r="E3" i="8"/>
  <c r="H3" i="8" s="1"/>
  <c r="F3" i="8"/>
  <c r="D3" i="8"/>
  <c r="G3" i="8" s="1"/>
  <c r="F70" i="8"/>
  <c r="D70" i="8"/>
  <c r="G70" i="8" s="1"/>
  <c r="E70" i="8"/>
  <c r="H70" i="8" s="1"/>
  <c r="E74" i="8"/>
  <c r="H74" i="8" s="1"/>
  <c r="D74" i="8"/>
  <c r="G74" i="8" s="1"/>
  <c r="F74" i="8"/>
  <c r="F91" i="8"/>
  <c r="D91" i="8"/>
  <c r="G91" i="8" s="1"/>
  <c r="E91" i="8"/>
  <c r="H91" i="8" s="1"/>
  <c r="F67" i="8"/>
  <c r="D67" i="8"/>
  <c r="G67" i="8" s="1"/>
  <c r="E67" i="8"/>
  <c r="H67" i="8" s="1"/>
  <c r="D88" i="8"/>
  <c r="G88" i="8" s="1"/>
  <c r="F88" i="8"/>
  <c r="E88" i="8"/>
  <c r="H88" i="8" s="1"/>
  <c r="F56" i="8"/>
  <c r="D56" i="8"/>
  <c r="G56" i="8" s="1"/>
  <c r="E56" i="8"/>
  <c r="H56" i="8" s="1"/>
  <c r="F95" i="8"/>
  <c r="D95" i="8"/>
  <c r="G95" i="8" s="1"/>
  <c r="E95" i="8"/>
  <c r="H95" i="8" s="1"/>
  <c r="F64" i="8"/>
  <c r="D64" i="8"/>
  <c r="G64" i="8" s="1"/>
  <c r="E64" i="8"/>
  <c r="H64" i="8" s="1"/>
  <c r="D24" i="8"/>
  <c r="G24" i="8" s="1"/>
  <c r="E24" i="8"/>
  <c r="H24" i="8" s="1"/>
  <c r="F24" i="8"/>
  <c r="F84" i="8"/>
  <c r="D84" i="8"/>
  <c r="G84" i="8" s="1"/>
  <c r="E84" i="8"/>
  <c r="H84" i="8" s="1"/>
  <c r="D30" i="8"/>
  <c r="G30" i="8" s="1"/>
  <c r="F30" i="8"/>
  <c r="E30" i="8"/>
  <c r="H30" i="8" s="1"/>
  <c r="F44" i="8"/>
  <c r="D44" i="8"/>
  <c r="G44" i="8" s="1"/>
  <c r="E44" i="8"/>
  <c r="H44" i="8" s="1"/>
  <c r="F26" i="8"/>
  <c r="D26" i="8"/>
  <c r="G26" i="8" s="1"/>
  <c r="E26" i="8"/>
  <c r="H26" i="8" s="1"/>
  <c r="D96" i="8"/>
  <c r="G96" i="8" s="1"/>
  <c r="E96" i="8"/>
  <c r="H96" i="8" s="1"/>
  <c r="F96" i="8"/>
  <c r="F46" i="8"/>
  <c r="D46" i="8"/>
  <c r="G46" i="8" s="1"/>
  <c r="E46" i="8"/>
  <c r="H46" i="8" s="1"/>
  <c r="F17" i="8"/>
  <c r="D17" i="8"/>
  <c r="G17" i="8" s="1"/>
  <c r="E17" i="8"/>
  <c r="H17" i="8" s="1"/>
  <c r="D72" i="8"/>
  <c r="G72" i="8" s="1"/>
  <c r="E72" i="8"/>
  <c r="H72" i="8" s="1"/>
  <c r="F72" i="8"/>
  <c r="D48" i="8"/>
  <c r="G48" i="8" s="1"/>
  <c r="E48" i="8"/>
  <c r="H48" i="8" s="1"/>
  <c r="F48" i="8"/>
  <c r="F11" i="8"/>
  <c r="D11" i="8"/>
  <c r="G11" i="8" s="1"/>
  <c r="E11" i="8"/>
  <c r="H11" i="8" s="1"/>
  <c r="F76" i="8"/>
  <c r="D76" i="8"/>
  <c r="G76" i="8" s="1"/>
  <c r="E76" i="8"/>
  <c r="H76" i="8" s="1"/>
  <c r="F16" i="8"/>
  <c r="D16" i="8"/>
  <c r="G16" i="8" s="1"/>
  <c r="E16" i="8"/>
  <c r="H16" i="8" s="1"/>
  <c r="F41" i="8"/>
  <c r="D41" i="8"/>
  <c r="G41" i="8" s="1"/>
  <c r="E41" i="8"/>
  <c r="H41" i="8" s="1"/>
  <c r="F23" i="8"/>
  <c r="D23" i="8"/>
  <c r="G23" i="8" s="1"/>
  <c r="E23" i="8"/>
  <c r="H23" i="8" s="1"/>
  <c r="D42" i="8"/>
  <c r="G42" i="8" s="1"/>
  <c r="F42" i="8"/>
  <c r="E42" i="8"/>
  <c r="H42" i="8" s="1"/>
  <c r="F8" i="8"/>
  <c r="D8" i="8"/>
  <c r="G8" i="8" s="1"/>
  <c r="E8" i="8"/>
  <c r="H8" i="8" s="1"/>
  <c r="F58" i="8"/>
  <c r="D58" i="8"/>
  <c r="G58" i="8" s="1"/>
  <c r="E58" i="8"/>
  <c r="H58" i="8" s="1"/>
  <c r="D83" i="8"/>
  <c r="G83" i="8" s="1"/>
  <c r="F83" i="8"/>
  <c r="E83" i="8"/>
  <c r="H83" i="8" s="1"/>
  <c r="F59" i="8"/>
  <c r="D59" i="8"/>
  <c r="G59" i="8" s="1"/>
  <c r="E59" i="8"/>
  <c r="H59" i="8" s="1"/>
  <c r="F13" i="8"/>
  <c r="D13" i="8"/>
  <c r="G13" i="8" s="1"/>
  <c r="E13" i="8"/>
  <c r="H13" i="8" s="1"/>
  <c r="D85" i="8"/>
  <c r="G85" i="8" s="1"/>
  <c r="E85" i="8"/>
  <c r="H85" i="8" s="1"/>
  <c r="F85" i="8"/>
  <c r="F61" i="8"/>
  <c r="D61" i="8"/>
  <c r="G61" i="8" s="1"/>
  <c r="E61" i="8"/>
  <c r="H61" i="8" s="1"/>
  <c r="F101" i="8"/>
  <c r="D101" i="8"/>
  <c r="G101" i="8" s="1"/>
  <c r="E101" i="8"/>
  <c r="H101" i="8" s="1"/>
  <c r="D12" i="8"/>
  <c r="G12" i="8" s="1"/>
  <c r="E12" i="8"/>
  <c r="H12" i="8" s="1"/>
  <c r="F12" i="8"/>
  <c r="D6" i="8"/>
  <c r="G6" i="8" s="1"/>
  <c r="F6" i="8"/>
  <c r="E6" i="8"/>
  <c r="H6" i="8" s="1"/>
  <c r="D86" i="8"/>
  <c r="G86" i="8" s="1"/>
  <c r="E86" i="8"/>
  <c r="H86" i="8" s="1"/>
  <c r="F86" i="8"/>
  <c r="F68" i="8"/>
  <c r="D68" i="8"/>
  <c r="G68" i="8" s="1"/>
  <c r="E68" i="8"/>
  <c r="H68" i="8" s="1"/>
  <c r="F93" i="8"/>
  <c r="D93" i="8"/>
  <c r="G93" i="8" s="1"/>
  <c r="E93" i="8"/>
  <c r="H93" i="8" s="1"/>
  <c r="F38" i="8"/>
  <c r="D38" i="8"/>
  <c r="G38" i="8" s="1"/>
  <c r="E38" i="8"/>
  <c r="H38" i="8" s="1"/>
  <c r="F19" i="8"/>
  <c r="D19" i="8"/>
  <c r="G19" i="8" s="1"/>
  <c r="E19" i="8"/>
  <c r="H19" i="8" s="1"/>
  <c r="D36" i="8"/>
  <c r="G36" i="8" s="1"/>
  <c r="E36" i="8"/>
  <c r="H36" i="8" s="1"/>
  <c r="F36" i="8"/>
  <c r="D97" i="8"/>
  <c r="G97" i="8" s="1"/>
  <c r="E97" i="8"/>
  <c r="H97" i="8" s="1"/>
  <c r="F97" i="8"/>
  <c r="F50" i="8"/>
  <c r="D50" i="8"/>
  <c r="G50" i="8" s="1"/>
  <c r="E50" i="8"/>
  <c r="H50" i="8" s="1"/>
  <c r="F79" i="8"/>
  <c r="D79" i="8"/>
  <c r="G79" i="8" s="1"/>
  <c r="E79" i="8"/>
  <c r="H79" i="8" s="1"/>
  <c r="F55" i="8"/>
  <c r="D55" i="8"/>
  <c r="G55" i="8" s="1"/>
  <c r="E55" i="8"/>
  <c r="H55" i="8" s="1"/>
  <c r="F10" i="8"/>
  <c r="D10" i="8"/>
  <c r="G10" i="8" s="1"/>
  <c r="E10" i="8"/>
  <c r="H10" i="8" s="1"/>
  <c r="D81" i="8"/>
  <c r="G81" i="8" s="1"/>
  <c r="F81" i="8"/>
  <c r="E81" i="8"/>
  <c r="H81" i="8" s="1"/>
  <c r="F57" i="8"/>
  <c r="E57" i="8"/>
  <c r="H57" i="8" s="1"/>
  <c r="D57" i="8"/>
  <c r="G57" i="8" s="1"/>
  <c r="D94" i="8"/>
  <c r="G94" i="8" s="1"/>
  <c r="E94" i="8"/>
  <c r="H94" i="8" s="1"/>
  <c r="F94" i="8"/>
  <c r="E78" i="8"/>
  <c r="H78" i="8" s="1"/>
  <c r="F78" i="8"/>
  <c r="D78" i="8"/>
  <c r="G78" i="8" s="1"/>
  <c r="F35" i="8"/>
  <c r="D35" i="8"/>
  <c r="G35" i="8" s="1"/>
  <c r="E35" i="8"/>
  <c r="H35" i="8" s="1"/>
  <c r="E15" i="8"/>
  <c r="H15" i="8" s="1"/>
  <c r="F15" i="8"/>
  <c r="D15" i="8"/>
  <c r="G15" i="8" s="1"/>
  <c r="E27" i="8"/>
  <c r="H27" i="8" s="1"/>
  <c r="F27" i="8"/>
  <c r="D27" i="8"/>
  <c r="G27" i="8" s="1"/>
  <c r="D90" i="8"/>
  <c r="G90" i="8" s="1"/>
  <c r="E90" i="8"/>
  <c r="H90" i="8" s="1"/>
  <c r="F90" i="8"/>
  <c r="F75" i="8"/>
  <c r="D75" i="8"/>
  <c r="G75" i="8" s="1"/>
  <c r="E75" i="8"/>
  <c r="H75" i="8" s="1"/>
  <c r="E51" i="8"/>
  <c r="H51" i="8" s="1"/>
  <c r="F51" i="8"/>
  <c r="D51" i="8"/>
  <c r="G51" i="8" s="1"/>
  <c r="F7" i="8"/>
  <c r="D7" i="8"/>
  <c r="G7" i="8" s="1"/>
  <c r="E7" i="8"/>
  <c r="H7" i="8" s="1"/>
  <c r="F77" i="8"/>
  <c r="D77" i="8"/>
  <c r="G77" i="8" s="1"/>
  <c r="E77" i="8"/>
  <c r="H77" i="8" s="1"/>
  <c r="F53" i="8"/>
  <c r="D53" i="8"/>
  <c r="G53" i="8" s="1"/>
  <c r="E53" i="8"/>
  <c r="H53" i="8" s="1"/>
  <c r="F43" i="8"/>
  <c r="D43" i="8"/>
  <c r="G43" i="8" s="1"/>
  <c r="E43" i="8"/>
  <c r="H43" i="8" s="1"/>
  <c r="D100" i="8"/>
  <c r="G100" i="8" s="1"/>
  <c r="F100" i="8"/>
  <c r="E100" i="8"/>
  <c r="H100" i="8" s="1"/>
  <c r="F71" i="8"/>
  <c r="D71" i="8"/>
  <c r="G71" i="8" s="1"/>
  <c r="E71" i="8"/>
  <c r="H71" i="8" s="1"/>
  <c r="D103" i="8"/>
  <c r="G103" i="8" s="1"/>
  <c r="F103" i="8"/>
  <c r="E103" i="8"/>
  <c r="H103" i="8" s="1"/>
  <c r="F4" i="8"/>
  <c r="D4" i="8"/>
  <c r="G4" i="8" s="1"/>
  <c r="E4" i="8"/>
  <c r="H4" i="8" s="1"/>
  <c r="F73" i="8"/>
  <c r="D73" i="8"/>
  <c r="G73" i="8" s="1"/>
  <c r="E73" i="8"/>
  <c r="H73" i="8" s="1"/>
  <c r="F49" i="8"/>
  <c r="D49" i="8"/>
  <c r="G49" i="8" s="1"/>
  <c r="E49" i="8"/>
  <c r="H49" i="8" s="1"/>
  <c r="C2" i="4"/>
  <c r="D2" i="4" s="1"/>
  <c r="A2" i="4"/>
  <c r="X2" i="4" l="1"/>
  <c r="AF2" i="4" s="1"/>
  <c r="O62" i="1"/>
  <c r="O72" i="1"/>
  <c r="M72" i="15" s="1"/>
  <c r="N72" i="15" s="1" a="1"/>
  <c r="N72" i="15" s="1"/>
  <c r="O61" i="1"/>
  <c r="M61" i="15" s="1"/>
  <c r="N61" i="15" s="1" a="1"/>
  <c r="N61" i="15" s="1"/>
  <c r="O65" i="1"/>
  <c r="O66" i="1"/>
  <c r="O68" i="1"/>
  <c r="O70" i="1"/>
  <c r="O64" i="1"/>
  <c r="M64" i="15" s="1"/>
  <c r="N64" i="15" s="1" a="1"/>
  <c r="N64" i="15" s="1"/>
  <c r="O67" i="1"/>
  <c r="O69" i="1"/>
  <c r="O71" i="1"/>
  <c r="T141" i="4"/>
  <c r="V141" i="4" s="1" a="1"/>
  <c r="V141" i="4" s="1"/>
  <c r="W141" i="4" a="1"/>
  <c r="W141" i="4" s="1"/>
  <c r="T147" i="4"/>
  <c r="V147" i="4" s="1" a="1"/>
  <c r="V147" i="4" s="1"/>
  <c r="W147" i="4" a="1"/>
  <c r="W147" i="4" s="1"/>
  <c r="T105" i="4"/>
  <c r="V105" i="4" s="1" a="1"/>
  <c r="V105" i="4" s="1"/>
  <c r="W105" i="4" a="1"/>
  <c r="W105" i="4" s="1"/>
  <c r="T69" i="4"/>
  <c r="V69" i="4" s="1" a="1"/>
  <c r="V69" i="4" s="1"/>
  <c r="W69" i="4" a="1"/>
  <c r="W69" i="4" s="1"/>
  <c r="T29" i="4"/>
  <c r="V29" i="4" s="1" a="1"/>
  <c r="V29" i="4" s="1"/>
  <c r="W29" i="4" a="1"/>
  <c r="W29" i="4" s="1"/>
  <c r="T18" i="4"/>
  <c r="V18" i="4" s="1" a="1"/>
  <c r="V18" i="4" s="1"/>
  <c r="AF18" i="4" s="1"/>
  <c r="O63" i="1" s="1"/>
  <c r="M63" i="15" s="1"/>
  <c r="N63" i="15" s="1" a="1"/>
  <c r="N63" i="15" s="1"/>
  <c r="W18" i="4" a="1"/>
  <c r="W18" i="4" s="1"/>
  <c r="T49" i="4"/>
  <c r="V49" i="4" s="1" a="1"/>
  <c r="V49" i="4" s="1"/>
  <c r="W49" i="4" a="1"/>
  <c r="W49" i="4" s="1"/>
  <c r="T50" i="4"/>
  <c r="V50" i="4" s="1" a="1"/>
  <c r="V50" i="4" s="1"/>
  <c r="W50" i="4" a="1"/>
  <c r="W50" i="4" s="1"/>
  <c r="T82" i="4"/>
  <c r="V82" i="4" s="1" a="1"/>
  <c r="V82" i="4" s="1"/>
  <c r="W82" i="4" a="1"/>
  <c r="W82" i="4" s="1"/>
  <c r="T78" i="4"/>
  <c r="V78" i="4" s="1" a="1"/>
  <c r="V78" i="4" s="1"/>
  <c r="W78" i="4" a="1"/>
  <c r="W78" i="4" s="1"/>
  <c r="T57" i="4"/>
  <c r="V57" i="4" s="1" a="1"/>
  <c r="V57" i="4" s="1"/>
  <c r="W57" i="4" a="1"/>
  <c r="W57" i="4" s="1"/>
  <c r="T89" i="4"/>
  <c r="V89" i="4" s="1" a="1"/>
  <c r="V89" i="4" s="1"/>
  <c r="W89" i="4" a="1"/>
  <c r="W89" i="4" s="1"/>
  <c r="T150" i="4"/>
  <c r="V150" i="4" s="1" a="1"/>
  <c r="V150" i="4" s="1"/>
  <c r="W150" i="4" a="1"/>
  <c r="W150" i="4" s="1"/>
  <c r="T118" i="4"/>
  <c r="V118" i="4" s="1" a="1"/>
  <c r="V118" i="4" s="1"/>
  <c r="W118" i="4" a="1"/>
  <c r="W118" i="4" s="1"/>
  <c r="T129" i="4"/>
  <c r="V129" i="4" s="1" a="1"/>
  <c r="V129" i="4" s="1"/>
  <c r="W129" i="4" a="1"/>
  <c r="W129" i="4" s="1"/>
  <c r="T130" i="4"/>
  <c r="V130" i="4" s="1" a="1"/>
  <c r="V130" i="4" s="1"/>
  <c r="W130" i="4" a="1"/>
  <c r="W130" i="4" s="1"/>
  <c r="T125" i="4"/>
  <c r="V125" i="4" s="1" a="1"/>
  <c r="V125" i="4" s="1"/>
  <c r="W125" i="4" a="1"/>
  <c r="W125" i="4" s="1"/>
  <c r="F187" i="1" a="1"/>
  <c r="F187" i="1" s="1"/>
  <c r="R187" i="15" s="1"/>
  <c r="L187" i="1" a="1"/>
  <c r="L187" i="1" s="1"/>
  <c r="Q187" i="1" a="1"/>
  <c r="Q187" i="1" s="1"/>
  <c r="S187" i="15" s="1"/>
  <c r="M188" i="1" a="1"/>
  <c r="M188" i="1" s="1"/>
  <c r="F189" i="1" a="1"/>
  <c r="F189" i="1" s="1"/>
  <c r="R189" i="15" s="1"/>
  <c r="J189" i="1" a="1"/>
  <c r="J189" i="1" s="1"/>
  <c r="O189" i="1"/>
  <c r="M189" i="15" s="1"/>
  <c r="N189" i="15" s="1" a="1"/>
  <c r="N189" i="15" s="1"/>
  <c r="J190" i="1" a="1"/>
  <c r="J190" i="1" s="1"/>
  <c r="O190" i="1"/>
  <c r="M190" i="15" s="1"/>
  <c r="N190" i="15" s="1" a="1"/>
  <c r="N190" i="15" s="1"/>
  <c r="F191" i="1" a="1"/>
  <c r="F191" i="1" s="1"/>
  <c r="R191" i="15" s="1"/>
  <c r="J191" i="1" a="1"/>
  <c r="J191" i="1" s="1"/>
  <c r="O191" i="1"/>
  <c r="M191" i="15" s="1"/>
  <c r="N191" i="15" s="1" a="1"/>
  <c r="N191" i="15" s="1"/>
  <c r="C192" i="1" a="1"/>
  <c r="C192" i="1" s="1"/>
  <c r="E192" i="15" s="1"/>
  <c r="G192" i="1" a="1"/>
  <c r="G192" i="1" s="1"/>
  <c r="J192" i="1" a="1"/>
  <c r="J192" i="1" s="1"/>
  <c r="O192" i="1"/>
  <c r="M192" i="15" s="1"/>
  <c r="N192" i="15" s="1" a="1"/>
  <c r="N192" i="15" s="1"/>
  <c r="C193" i="1" a="1"/>
  <c r="C193" i="1" s="1"/>
  <c r="E193" i="15" s="1"/>
  <c r="F193" i="1" a="1"/>
  <c r="F193" i="1" s="1"/>
  <c r="R193" i="15" s="1"/>
  <c r="F195" i="1" a="1"/>
  <c r="F195" i="1" s="1"/>
  <c r="R195" i="15" s="1"/>
  <c r="J195" i="1" a="1"/>
  <c r="J195" i="1" s="1"/>
  <c r="H196" i="1" a="1"/>
  <c r="H196" i="1" s="1"/>
  <c r="L196" i="1" a="1"/>
  <c r="L196" i="1" s="1"/>
  <c r="Q196" i="1" a="1"/>
  <c r="Q196" i="1" s="1"/>
  <c r="S196" i="15" s="1"/>
  <c r="M197" i="1" a="1"/>
  <c r="M197" i="1" s="1"/>
  <c r="Q197" i="1" a="1"/>
  <c r="Q197" i="1" s="1"/>
  <c r="S197" i="15" s="1"/>
  <c r="J198" i="1" a="1"/>
  <c r="J198" i="1" s="1"/>
  <c r="M198" i="1" a="1"/>
  <c r="M198" i="1" s="1"/>
  <c r="F199" i="1" a="1"/>
  <c r="F199" i="1" s="1"/>
  <c r="R199" i="15" s="1"/>
  <c r="J199" i="1" a="1"/>
  <c r="J199" i="1" s="1"/>
  <c r="F200" i="1" a="1"/>
  <c r="F200" i="1" s="1"/>
  <c r="R200" i="15" s="1"/>
  <c r="F201" i="1" a="1"/>
  <c r="F201" i="1" s="1"/>
  <c r="R201" i="15" s="1"/>
  <c r="F203" i="1" a="1"/>
  <c r="F203" i="1" s="1"/>
  <c r="R203" i="15" s="1"/>
  <c r="J203" i="1" a="1"/>
  <c r="J203" i="1" s="1"/>
  <c r="H204" i="1" a="1"/>
  <c r="H204" i="1" s="1"/>
  <c r="K204" i="1" a="1"/>
  <c r="K204" i="1" s="1"/>
  <c r="P204" i="1" a="1"/>
  <c r="P204" i="1" s="1"/>
  <c r="D205" i="1" a="1"/>
  <c r="D205" i="1" s="1"/>
  <c r="I205" i="15" s="1"/>
  <c r="G205" i="1" a="1"/>
  <c r="G205" i="1" s="1"/>
  <c r="J205" i="1" a="1"/>
  <c r="J205" i="1" s="1"/>
  <c r="M205" i="1" a="1"/>
  <c r="M205" i="1" s="1"/>
  <c r="H206" i="1" a="1"/>
  <c r="H206" i="1" s="1"/>
  <c r="P206" i="1" a="1"/>
  <c r="P206" i="1" s="1"/>
  <c r="D207" i="1" a="1"/>
  <c r="D207" i="1" s="1"/>
  <c r="I207" i="15" s="1"/>
  <c r="G207" i="1" a="1"/>
  <c r="G207" i="1" s="1"/>
  <c r="K207" i="1" a="1"/>
  <c r="K207" i="1" s="1"/>
  <c r="O207" i="1"/>
  <c r="M207" i="15" s="1"/>
  <c r="N207" i="15" s="1" a="1"/>
  <c r="N207" i="15" s="1"/>
  <c r="C208" i="1" a="1"/>
  <c r="C208" i="1" s="1"/>
  <c r="E208" i="15" s="1"/>
  <c r="F208" i="1" a="1"/>
  <c r="F208" i="1" s="1"/>
  <c r="R208" i="15" s="1"/>
  <c r="M208" i="1" a="1"/>
  <c r="M208" i="1" s="1"/>
  <c r="H209" i="1" a="1"/>
  <c r="H209" i="1" s="1"/>
  <c r="K209" i="1" a="1"/>
  <c r="K209" i="1" s="1"/>
  <c r="O209" i="1"/>
  <c r="M209" i="15" s="1"/>
  <c r="N209" i="15" s="1" a="1"/>
  <c r="N209" i="15" s="1"/>
  <c r="C210" i="1" a="1"/>
  <c r="C210" i="1" s="1"/>
  <c r="E210" i="15" s="1"/>
  <c r="F210" i="1" a="1"/>
  <c r="F210" i="1" s="1"/>
  <c r="R210" i="15" s="1"/>
  <c r="L210" i="1" a="1"/>
  <c r="L210" i="1" s="1"/>
  <c r="C187" i="1" a="1"/>
  <c r="C187" i="1" s="1"/>
  <c r="E187" i="15" s="1"/>
  <c r="J187" i="1" a="1"/>
  <c r="J187" i="1" s="1"/>
  <c r="M187" i="1" a="1"/>
  <c r="M187" i="1" s="1"/>
  <c r="F188" i="1" a="1"/>
  <c r="F188" i="1" s="1"/>
  <c r="R188" i="15" s="1"/>
  <c r="J188" i="1" a="1"/>
  <c r="J188" i="1" s="1"/>
  <c r="O188" i="1"/>
  <c r="M188" i="15" s="1"/>
  <c r="N188" i="15" s="1" a="1"/>
  <c r="N188" i="15" s="1"/>
  <c r="C189" i="1" a="1"/>
  <c r="C189" i="1" s="1"/>
  <c r="E189" i="15" s="1"/>
  <c r="G189" i="1" a="1"/>
  <c r="G189" i="1" s="1"/>
  <c r="K189" i="1" a="1"/>
  <c r="K189" i="1" s="1"/>
  <c r="P189" i="1" a="1"/>
  <c r="P189" i="1" s="1"/>
  <c r="F190" i="1" a="1"/>
  <c r="F190" i="1" s="1"/>
  <c r="R190" i="15" s="1"/>
  <c r="H190" i="1" a="1"/>
  <c r="H190" i="1" s="1"/>
  <c r="K190" i="1" a="1"/>
  <c r="K190" i="1" s="1"/>
  <c r="P190" i="1" a="1"/>
  <c r="P190" i="1" s="1"/>
  <c r="C191" i="1" a="1"/>
  <c r="C191" i="1" s="1"/>
  <c r="E191" i="15" s="1"/>
  <c r="G191" i="1" a="1"/>
  <c r="G191" i="1" s="1"/>
  <c r="K191" i="1" a="1"/>
  <c r="K191" i="1" s="1"/>
  <c r="P191" i="1" a="1"/>
  <c r="P191" i="1" s="1"/>
  <c r="D192" i="1" a="1"/>
  <c r="D192" i="1" s="1"/>
  <c r="I192" i="15" s="1"/>
  <c r="H192" i="1" a="1"/>
  <c r="H192" i="1" s="1"/>
  <c r="K192" i="1" a="1"/>
  <c r="K192" i="1" s="1"/>
  <c r="P192" i="1" a="1"/>
  <c r="P192" i="1" s="1"/>
  <c r="D193" i="1" a="1"/>
  <c r="D193" i="1" s="1"/>
  <c r="I193" i="15" s="1"/>
  <c r="G193" i="1" a="1"/>
  <c r="G193" i="1" s="1"/>
  <c r="J193" i="1" a="1"/>
  <c r="J193" i="1" s="1"/>
  <c r="L193" i="1" a="1"/>
  <c r="L193" i="1" s="1"/>
  <c r="O193" i="1"/>
  <c r="M193" i="15" s="1"/>
  <c r="N193" i="15" s="1" a="1"/>
  <c r="N193" i="15" s="1"/>
  <c r="F194" i="1" a="1"/>
  <c r="F194" i="1" s="1"/>
  <c r="R194" i="15" s="1"/>
  <c r="J194" i="1" a="1"/>
  <c r="J194" i="1" s="1"/>
  <c r="L194" i="1" a="1"/>
  <c r="L194" i="1" s="1"/>
  <c r="O194" i="1"/>
  <c r="M194" i="15" s="1"/>
  <c r="N194" i="15" s="1" a="1"/>
  <c r="N194" i="15" s="1"/>
  <c r="C195" i="1" a="1"/>
  <c r="C195" i="1" s="1"/>
  <c r="E195" i="15" s="1"/>
  <c r="G195" i="1" a="1"/>
  <c r="G195" i="1" s="1"/>
  <c r="K195" i="1" a="1"/>
  <c r="K195" i="1" s="1"/>
  <c r="O195" i="1"/>
  <c r="M195" i="15" s="1"/>
  <c r="N195" i="15" s="1" a="1"/>
  <c r="N195" i="15" s="1"/>
  <c r="C196" i="1" a="1"/>
  <c r="C196" i="1" s="1"/>
  <c r="E196" i="15" s="1"/>
  <c r="M196" i="1" a="1"/>
  <c r="M196" i="1" s="1"/>
  <c r="F197" i="1" a="1"/>
  <c r="F197" i="1" s="1"/>
  <c r="R197" i="15" s="1"/>
  <c r="J197" i="1" a="1"/>
  <c r="J197" i="1" s="1"/>
  <c r="D198" i="1" a="1"/>
  <c r="D198" i="1" s="1"/>
  <c r="I198" i="15" s="1"/>
  <c r="G198" i="1" a="1"/>
  <c r="G198" i="1" s="1"/>
  <c r="O198" i="1"/>
  <c r="M198" i="15" s="1"/>
  <c r="N198" i="15" s="1" a="1"/>
  <c r="N198" i="15" s="1"/>
  <c r="C199" i="1" a="1"/>
  <c r="C199" i="1" s="1"/>
  <c r="E199" i="15" s="1"/>
  <c r="G199" i="1" a="1"/>
  <c r="G199" i="1" s="1"/>
  <c r="K199" i="1" a="1"/>
  <c r="K199" i="1" s="1"/>
  <c r="O199" i="1"/>
  <c r="M199" i="15" s="1"/>
  <c r="N199" i="15" s="1" a="1"/>
  <c r="N199" i="15" s="1"/>
  <c r="C200" i="1" a="1"/>
  <c r="C200" i="1" s="1"/>
  <c r="E200" i="15" s="1"/>
  <c r="G200" i="1" a="1"/>
  <c r="G200" i="1" s="1"/>
  <c r="J200" i="1" a="1"/>
  <c r="J200" i="1" s="1"/>
  <c r="M200" i="1" a="1"/>
  <c r="M200" i="1" s="1"/>
  <c r="Q200" i="1" a="1"/>
  <c r="Q200" i="1" s="1"/>
  <c r="S200" i="15" s="1"/>
  <c r="D201" i="1" a="1"/>
  <c r="D201" i="1" s="1"/>
  <c r="I201" i="15" s="1"/>
  <c r="G201" i="1" a="1"/>
  <c r="G201" i="1" s="1"/>
  <c r="J201" i="1" a="1"/>
  <c r="J201" i="1" s="1"/>
  <c r="L201" i="1" a="1"/>
  <c r="L201" i="1" s="1"/>
  <c r="O201" i="1"/>
  <c r="M201" i="15" s="1"/>
  <c r="N201" i="15" s="1" a="1"/>
  <c r="N201" i="15" s="1"/>
  <c r="F202" i="1" a="1"/>
  <c r="F202" i="1" s="1"/>
  <c r="R202" i="15" s="1"/>
  <c r="J202" i="1" a="1"/>
  <c r="J202" i="1" s="1"/>
  <c r="L202" i="1" a="1"/>
  <c r="L202" i="1" s="1"/>
  <c r="D187" i="1" a="1"/>
  <c r="D187" i="1" s="1"/>
  <c r="I187" i="15" s="1"/>
  <c r="G187" i="1" a="1"/>
  <c r="G187" i="1" s="1"/>
  <c r="O187" i="1"/>
  <c r="M187" i="15" s="1"/>
  <c r="N187" i="15" s="1" a="1"/>
  <c r="N187" i="15" s="1"/>
  <c r="C188" i="1" a="1"/>
  <c r="C188" i="1" s="1"/>
  <c r="E188" i="15" s="1"/>
  <c r="G188" i="1" a="1"/>
  <c r="G188" i="1" s="1"/>
  <c r="K188" i="1" a="1"/>
  <c r="K188" i="1" s="1"/>
  <c r="P188" i="1" a="1"/>
  <c r="P188" i="1" s="1"/>
  <c r="D189" i="1" a="1"/>
  <c r="D189" i="1" s="1"/>
  <c r="I189" i="15" s="1"/>
  <c r="H189" i="1" a="1"/>
  <c r="H189" i="1" s="1"/>
  <c r="L189" i="1" a="1"/>
  <c r="L189" i="1" s="1"/>
  <c r="C190" i="1" a="1"/>
  <c r="C190" i="1" s="1"/>
  <c r="E190" i="15" s="1"/>
  <c r="L190" i="1" a="1"/>
  <c r="L190" i="1" s="1"/>
  <c r="Q190" i="1" a="1"/>
  <c r="Q190" i="1" s="1"/>
  <c r="S190" i="15" s="1"/>
  <c r="D191" i="1" a="1"/>
  <c r="D191" i="1" s="1"/>
  <c r="I191" i="15" s="1"/>
  <c r="H191" i="1" a="1"/>
  <c r="H191" i="1" s="1"/>
  <c r="L191" i="1" a="1"/>
  <c r="L191" i="1" s="1"/>
  <c r="Q191" i="1" a="1"/>
  <c r="Q191" i="1" s="1"/>
  <c r="S191" i="15" s="1"/>
  <c r="L192" i="1" a="1"/>
  <c r="L192" i="1" s="1"/>
  <c r="Q192" i="1" a="1"/>
  <c r="Q192" i="1" s="1"/>
  <c r="S192" i="15" s="1"/>
  <c r="P193" i="1" a="1"/>
  <c r="P193" i="1" s="1"/>
  <c r="C194" i="1" a="1"/>
  <c r="C194" i="1" s="1"/>
  <c r="E194" i="15" s="1"/>
  <c r="G194" i="1" a="1"/>
  <c r="G194" i="1" s="1"/>
  <c r="P194" i="1" a="1"/>
  <c r="P194" i="1" s="1"/>
  <c r="D195" i="1" a="1"/>
  <c r="D195" i="1" s="1"/>
  <c r="I195" i="15" s="1"/>
  <c r="H195" i="1" a="1"/>
  <c r="H195" i="1" s="1"/>
  <c r="L195" i="1" a="1"/>
  <c r="L195" i="1" s="1"/>
  <c r="P195" i="1" a="1"/>
  <c r="P195" i="1" s="1"/>
  <c r="F196" i="1" a="1"/>
  <c r="F196" i="1" s="1"/>
  <c r="R196" i="15" s="1"/>
  <c r="J196" i="1" a="1"/>
  <c r="J196" i="1" s="1"/>
  <c r="O196" i="1"/>
  <c r="M196" i="15" s="1"/>
  <c r="N196" i="15" s="1" a="1"/>
  <c r="N196" i="15" s="1"/>
  <c r="C197" i="1" a="1"/>
  <c r="C197" i="1" s="1"/>
  <c r="E197" i="15" s="1"/>
  <c r="G197" i="1" a="1"/>
  <c r="G197" i="1" s="1"/>
  <c r="K197" i="1" a="1"/>
  <c r="K197" i="1" s="1"/>
  <c r="O197" i="1"/>
  <c r="M197" i="15" s="1"/>
  <c r="N197" i="15" s="1" a="1"/>
  <c r="N197" i="15" s="1"/>
  <c r="H198" i="1" a="1"/>
  <c r="H198" i="1" s="1"/>
  <c r="K198" i="1" a="1"/>
  <c r="K198" i="1" s="1"/>
  <c r="P198" i="1" a="1"/>
  <c r="P198" i="1" s="1"/>
  <c r="D199" i="1" a="1"/>
  <c r="D199" i="1" s="1"/>
  <c r="I199" i="15" s="1"/>
  <c r="H199" i="1" a="1"/>
  <c r="H199" i="1" s="1"/>
  <c r="L199" i="1" a="1"/>
  <c r="L199" i="1" s="1"/>
  <c r="P199" i="1" a="1"/>
  <c r="P199" i="1" s="1"/>
  <c r="D200" i="1" a="1"/>
  <c r="D200" i="1" s="1"/>
  <c r="I200" i="15" s="1"/>
  <c r="H200" i="1" a="1"/>
  <c r="H200" i="1" s="1"/>
  <c r="K200" i="1" a="1"/>
  <c r="K200" i="1" s="1"/>
  <c r="O200" i="1"/>
  <c r="M200" i="15" s="1"/>
  <c r="N200" i="15" s="1" a="1"/>
  <c r="N200" i="15" s="1"/>
  <c r="P201" i="1" a="1"/>
  <c r="P201" i="1" s="1"/>
  <c r="C202" i="1" a="1"/>
  <c r="C202" i="1" s="1"/>
  <c r="E202" i="15" s="1"/>
  <c r="G202" i="1" a="1"/>
  <c r="G202" i="1" s="1"/>
  <c r="P202" i="1" a="1"/>
  <c r="P202" i="1" s="1"/>
  <c r="D203" i="1" a="1"/>
  <c r="D203" i="1" s="1"/>
  <c r="I203" i="15" s="1"/>
  <c r="H203" i="1" a="1"/>
  <c r="H203" i="1" s="1"/>
  <c r="L203" i="1" a="1"/>
  <c r="L203" i="1" s="1"/>
  <c r="P203" i="1" a="1"/>
  <c r="P203" i="1" s="1"/>
  <c r="F204" i="1" a="1"/>
  <c r="F204" i="1" s="1"/>
  <c r="R204" i="15" s="1"/>
  <c r="J204" i="1" a="1"/>
  <c r="J204" i="1" s="1"/>
  <c r="M204" i="1" a="1"/>
  <c r="M204" i="1" s="1"/>
  <c r="H205" i="1" a="1"/>
  <c r="H205" i="1" s="1"/>
  <c r="K205" i="1" a="1"/>
  <c r="K205" i="1" s="1"/>
  <c r="P205" i="1" a="1"/>
  <c r="P205" i="1" s="1"/>
  <c r="J206" i="1" a="1"/>
  <c r="J206" i="1" s="1"/>
  <c r="M206" i="1" a="1"/>
  <c r="M206" i="1" s="1"/>
  <c r="L207" i="1" a="1"/>
  <c r="L207" i="1" s="1"/>
  <c r="Q207" i="1" a="1"/>
  <c r="Q207" i="1" s="1"/>
  <c r="S207" i="15" s="1"/>
  <c r="D208" i="1" a="1"/>
  <c r="D208" i="1" s="1"/>
  <c r="I208" i="15" s="1"/>
  <c r="K187" i="1" a="1"/>
  <c r="K187" i="1" s="1"/>
  <c r="L187" i="15" s="1"/>
  <c r="Q188" i="1" a="1"/>
  <c r="Q188" i="1" s="1"/>
  <c r="S188" i="15" s="1"/>
  <c r="M189" i="1" a="1"/>
  <c r="M189" i="1" s="1"/>
  <c r="M191" i="1" a="1"/>
  <c r="M191" i="1" s="1"/>
  <c r="H193" i="1" a="1"/>
  <c r="H193" i="1" s="1"/>
  <c r="Q193" i="1" a="1"/>
  <c r="Q193" i="1" s="1"/>
  <c r="S193" i="15" s="1"/>
  <c r="H194" i="1" a="1"/>
  <c r="H194" i="1" s="1"/>
  <c r="Q194" i="1" a="1"/>
  <c r="Q194" i="1" s="1"/>
  <c r="S194" i="15" s="1"/>
  <c r="M195" i="1" a="1"/>
  <c r="M195" i="1" s="1"/>
  <c r="P196" i="1" a="1"/>
  <c r="P196" i="1" s="1"/>
  <c r="H197" i="1" a="1"/>
  <c r="H197" i="1" s="1"/>
  <c r="L200" i="1" a="1"/>
  <c r="L200" i="1" s="1"/>
  <c r="M201" i="1" a="1"/>
  <c r="M201" i="1" s="1"/>
  <c r="M202" i="1" a="1"/>
  <c r="M202" i="1" s="1"/>
  <c r="C203" i="1" a="1"/>
  <c r="C203" i="1" s="1"/>
  <c r="E203" i="15" s="1"/>
  <c r="K203" i="1" a="1"/>
  <c r="K203" i="1" s="1"/>
  <c r="G204" i="1" a="1"/>
  <c r="G204" i="1" s="1"/>
  <c r="O204" i="1"/>
  <c r="M204" i="15" s="1"/>
  <c r="N204" i="15" s="1" a="1"/>
  <c r="N204" i="15" s="1"/>
  <c r="Q205" i="1" a="1"/>
  <c r="Q205" i="1" s="1"/>
  <c r="S205" i="15" s="1"/>
  <c r="K206" i="1" a="1"/>
  <c r="K206" i="1" s="1"/>
  <c r="F207" i="1" a="1"/>
  <c r="F207" i="1" s="1"/>
  <c r="R207" i="15" s="1"/>
  <c r="L208" i="1" a="1"/>
  <c r="L208" i="1" s="1"/>
  <c r="J210" i="1" a="1"/>
  <c r="J210" i="1" s="1"/>
  <c r="F211" i="1" a="1"/>
  <c r="F211" i="1" s="1"/>
  <c r="R211" i="15" s="1"/>
  <c r="J211" i="1" a="1"/>
  <c r="J211" i="1" s="1"/>
  <c r="O211" i="1"/>
  <c r="M211" i="15" s="1"/>
  <c r="N211" i="15" s="1" a="1"/>
  <c r="N211" i="15" s="1"/>
  <c r="C212" i="1" a="1"/>
  <c r="C212" i="1" s="1"/>
  <c r="E212" i="15" s="1"/>
  <c r="F212" i="1" a="1"/>
  <c r="F212" i="1" s="1"/>
  <c r="R212" i="15" s="1"/>
  <c r="J212" i="1" a="1"/>
  <c r="J212" i="1" s="1"/>
  <c r="M212" i="1" a="1"/>
  <c r="M212" i="1" s="1"/>
  <c r="F213" i="1" a="1"/>
  <c r="F213" i="1" s="1"/>
  <c r="R213" i="15" s="1"/>
  <c r="J213" i="1" a="1"/>
  <c r="J213" i="1" s="1"/>
  <c r="M213" i="1" a="1"/>
  <c r="M213" i="1" s="1"/>
  <c r="H214" i="1" a="1"/>
  <c r="H214" i="1" s="1"/>
  <c r="L214" i="1" a="1"/>
  <c r="L214" i="1" s="1"/>
  <c r="P214" i="1" a="1"/>
  <c r="P214" i="1" s="1"/>
  <c r="D215" i="1" a="1"/>
  <c r="D215" i="1" s="1"/>
  <c r="I215" i="15" s="1"/>
  <c r="G215" i="1" a="1"/>
  <c r="G215" i="1" s="1"/>
  <c r="K215" i="1" a="1"/>
  <c r="K215" i="1" s="1"/>
  <c r="O215" i="1"/>
  <c r="M215" i="15" s="1"/>
  <c r="N215" i="15" s="1" a="1"/>
  <c r="N215" i="15" s="1"/>
  <c r="C216" i="1" a="1"/>
  <c r="C216" i="1" s="1"/>
  <c r="E216" i="15" s="1"/>
  <c r="F216" i="1" a="1"/>
  <c r="F216" i="1" s="1"/>
  <c r="R216" i="15" s="1"/>
  <c r="L216" i="1" a="1"/>
  <c r="L216" i="1" s="1"/>
  <c r="P216" i="1" a="1"/>
  <c r="P216" i="1" s="1"/>
  <c r="D217" i="1" a="1"/>
  <c r="D217" i="1" s="1"/>
  <c r="I217" i="15" s="1"/>
  <c r="G217" i="1" a="1"/>
  <c r="G217" i="1" s="1"/>
  <c r="K217" i="1" a="1"/>
  <c r="K217" i="1" s="1"/>
  <c r="H218" i="1" a="1"/>
  <c r="H218" i="1" s="1"/>
  <c r="L218" i="1" a="1"/>
  <c r="L218" i="1" s="1"/>
  <c r="P218" i="1" a="1"/>
  <c r="P218" i="1" s="1"/>
  <c r="D219" i="1" a="1"/>
  <c r="D219" i="1" s="1"/>
  <c r="I219" i="15" s="1"/>
  <c r="G219" i="1" a="1"/>
  <c r="G219" i="1" s="1"/>
  <c r="K219" i="1" a="1"/>
  <c r="K219" i="1" s="1"/>
  <c r="O219" i="1"/>
  <c r="M219" i="15" s="1"/>
  <c r="N219" i="15" s="1" a="1"/>
  <c r="N219" i="15" s="1"/>
  <c r="C220" i="1" a="1"/>
  <c r="C220" i="1" s="1"/>
  <c r="E220" i="15" s="1"/>
  <c r="G220" i="1" a="1"/>
  <c r="G220" i="1" s="1"/>
  <c r="M220" i="1" a="1"/>
  <c r="M220" i="1" s="1"/>
  <c r="P187" i="1" a="1"/>
  <c r="P187" i="1" s="1"/>
  <c r="H188" i="1" a="1"/>
  <c r="H188" i="1" s="1"/>
  <c r="Q189" i="1" a="1"/>
  <c r="Q189" i="1" s="1"/>
  <c r="S189" i="15" s="1"/>
  <c r="G190" i="1" a="1"/>
  <c r="G190" i="1" s="1"/>
  <c r="J190" i="15" s="1"/>
  <c r="M192" i="1" a="1"/>
  <c r="M192" i="1" s="1"/>
  <c r="Q195" i="1" a="1"/>
  <c r="Q195" i="1" s="1"/>
  <c r="S195" i="15" s="1"/>
  <c r="G196" i="1" a="1"/>
  <c r="G196" i="1" s="1"/>
  <c r="J196" i="15" s="1"/>
  <c r="C198" i="1" a="1"/>
  <c r="C198" i="1" s="1"/>
  <c r="E198" i="15" s="1"/>
  <c r="L198" i="1" a="1"/>
  <c r="L198" i="1" s="1"/>
  <c r="P200" i="1" a="1"/>
  <c r="P200" i="1" s="1"/>
  <c r="H201" i="1" a="1"/>
  <c r="H201" i="1" s="1"/>
  <c r="Q201" i="1" a="1"/>
  <c r="Q201" i="1" s="1"/>
  <c r="S201" i="15" s="1"/>
  <c r="H202" i="1" a="1"/>
  <c r="H202" i="1" s="1"/>
  <c r="O202" i="1"/>
  <c r="M202" i="15" s="1"/>
  <c r="N202" i="15" s="1" a="1"/>
  <c r="N202" i="15" s="1"/>
  <c r="M203" i="1" a="1"/>
  <c r="M203" i="1" s="1"/>
  <c r="C204" i="1" a="1"/>
  <c r="C204" i="1" s="1"/>
  <c r="E204" i="15" s="1"/>
  <c r="Q204" i="1" a="1"/>
  <c r="Q204" i="1" s="1"/>
  <c r="S204" i="15" s="1"/>
  <c r="F206" i="1" a="1"/>
  <c r="F206" i="1" s="1"/>
  <c r="R206" i="15" s="1"/>
  <c r="L206" i="1" a="1"/>
  <c r="L206" i="1" s="1"/>
  <c r="C207" i="1" a="1"/>
  <c r="C207" i="1" s="1"/>
  <c r="E207" i="15" s="1"/>
  <c r="H207" i="1" a="1"/>
  <c r="H207" i="1" s="1"/>
  <c r="M207" i="1" a="1"/>
  <c r="M207" i="1" s="1"/>
  <c r="O208" i="1"/>
  <c r="M208" i="15" s="1"/>
  <c r="N208" i="15" s="1" a="1"/>
  <c r="N208" i="15" s="1"/>
  <c r="C209" i="1" a="1"/>
  <c r="C209" i="1" s="1"/>
  <c r="E209" i="15" s="1"/>
  <c r="F209" i="1" a="1"/>
  <c r="F209" i="1" s="1"/>
  <c r="R209" i="15" s="1"/>
  <c r="J209" i="1" a="1"/>
  <c r="J209" i="1" s="1"/>
  <c r="M209" i="1" a="1"/>
  <c r="M209" i="1" s="1"/>
  <c r="G210" i="1" a="1"/>
  <c r="G210" i="1" s="1"/>
  <c r="K210" i="1" a="1"/>
  <c r="K210" i="1" s="1"/>
  <c r="O210" i="1"/>
  <c r="M210" i="15" s="1"/>
  <c r="N210" i="15" s="1" a="1"/>
  <c r="N210" i="15" s="1"/>
  <c r="C211" i="1" a="1"/>
  <c r="C211" i="1" s="1"/>
  <c r="E211" i="15" s="1"/>
  <c r="G211" i="1" a="1"/>
  <c r="G211" i="1" s="1"/>
  <c r="K211" i="1" a="1"/>
  <c r="K211" i="1" s="1"/>
  <c r="P211" i="1" a="1"/>
  <c r="P211" i="1" s="1"/>
  <c r="G212" i="1" a="1"/>
  <c r="G212" i="1" s="1"/>
  <c r="O212" i="1"/>
  <c r="M212" i="15" s="1"/>
  <c r="N212" i="15" s="1" a="1"/>
  <c r="N212" i="15" s="1"/>
  <c r="C213" i="1" a="1"/>
  <c r="C213" i="1" s="1"/>
  <c r="E213" i="15" s="1"/>
  <c r="G213" i="1" a="1"/>
  <c r="G213" i="1" s="1"/>
  <c r="K213" i="1" a="1"/>
  <c r="K213" i="1" s="1"/>
  <c r="O213" i="1"/>
  <c r="M213" i="15" s="1"/>
  <c r="N213" i="15" s="1" a="1"/>
  <c r="N213" i="15" s="1"/>
  <c r="C214" i="1" a="1"/>
  <c r="C214" i="1" s="1"/>
  <c r="E214" i="15" s="1"/>
  <c r="F214" i="1" a="1"/>
  <c r="F214" i="1" s="1"/>
  <c r="R214" i="15" s="1"/>
  <c r="Q214" i="1" a="1"/>
  <c r="Q214" i="1" s="1"/>
  <c r="S214" i="15" s="1"/>
  <c r="H215" i="1" a="1"/>
  <c r="H215" i="1" s="1"/>
  <c r="P215" i="1" a="1"/>
  <c r="P215" i="1" s="1"/>
  <c r="J216" i="1" a="1"/>
  <c r="J216" i="1" s="1"/>
  <c r="M216" i="1" a="1"/>
  <c r="M216" i="1" s="1"/>
  <c r="Q216" i="1" a="1"/>
  <c r="Q216" i="1" s="1"/>
  <c r="S216" i="15" s="1"/>
  <c r="H217" i="1" a="1"/>
  <c r="H217" i="1" s="1"/>
  <c r="O217" i="1"/>
  <c r="M217" i="15" s="1"/>
  <c r="N217" i="15" s="1" a="1"/>
  <c r="N217" i="15" s="1"/>
  <c r="F218" i="1" a="1"/>
  <c r="F218" i="1" s="1"/>
  <c r="R218" i="15" s="1"/>
  <c r="Q218" i="1" a="1"/>
  <c r="Q218" i="1" s="1"/>
  <c r="S218" i="15" s="1"/>
  <c r="H219" i="1" a="1"/>
  <c r="H219" i="1" s="1"/>
  <c r="P219" i="1" a="1"/>
  <c r="P219" i="1" s="1"/>
  <c r="D220" i="1" a="1"/>
  <c r="D220" i="1" s="1"/>
  <c r="I220" i="15" s="1"/>
  <c r="H220" i="1" a="1"/>
  <c r="H220" i="1" s="1"/>
  <c r="K220" i="1" a="1"/>
  <c r="K220" i="1" s="1"/>
  <c r="O220" i="1"/>
  <c r="M220" i="15" s="1"/>
  <c r="N220" i="15" s="1" a="1"/>
  <c r="N220" i="15" s="1"/>
  <c r="L221" i="1" a="1"/>
  <c r="L221" i="1" s="1"/>
  <c r="H187" i="1" a="1"/>
  <c r="H187" i="1" s="1"/>
  <c r="K193" i="1" a="1"/>
  <c r="K193" i="1" s="1"/>
  <c r="D194" i="1" a="1"/>
  <c r="D194" i="1" s="1"/>
  <c r="I194" i="15" s="1"/>
  <c r="K194" i="1" a="1"/>
  <c r="K194" i="1" s="1"/>
  <c r="D197" i="1" a="1"/>
  <c r="D197" i="1" s="1"/>
  <c r="I197" i="15" s="1"/>
  <c r="L197" i="1" a="1"/>
  <c r="L197" i="1" s="1"/>
  <c r="Q198" i="1" a="1"/>
  <c r="Q198" i="1" s="1"/>
  <c r="S198" i="15" s="1"/>
  <c r="M199" i="1" a="1"/>
  <c r="M199" i="1" s="1"/>
  <c r="Q202" i="1" a="1"/>
  <c r="Q202" i="1" s="1"/>
  <c r="S202" i="15" s="1"/>
  <c r="G203" i="1" a="1"/>
  <c r="G203" i="1" s="1"/>
  <c r="J203" i="15" s="1"/>
  <c r="O203" i="1"/>
  <c r="M203" i="15" s="1"/>
  <c r="N203" i="15" s="1" a="1"/>
  <c r="N203" i="15" s="1"/>
  <c r="D204" i="1" a="1"/>
  <c r="D204" i="1" s="1"/>
  <c r="I204" i="15" s="1"/>
  <c r="F205" i="1" a="1"/>
  <c r="F205" i="1" s="1"/>
  <c r="R205" i="15" s="1"/>
  <c r="L205" i="1" a="1"/>
  <c r="L205" i="1" s="1"/>
  <c r="C206" i="1" a="1"/>
  <c r="C206" i="1" s="1"/>
  <c r="E206" i="15" s="1"/>
  <c r="G206" i="1" a="1"/>
  <c r="G206" i="1" s="1"/>
  <c r="O206" i="1"/>
  <c r="M206" i="15" s="1"/>
  <c r="N206" i="15" s="1" a="1"/>
  <c r="N206" i="15" s="1"/>
  <c r="P207" i="1" a="1"/>
  <c r="P207" i="1" s="1"/>
  <c r="G208" i="1" a="1"/>
  <c r="G208" i="1" s="1"/>
  <c r="J208" i="1" a="1"/>
  <c r="J208" i="1" s="1"/>
  <c r="P208" i="1" a="1"/>
  <c r="P208" i="1" s="1"/>
  <c r="D209" i="1" a="1"/>
  <c r="D209" i="1" s="1"/>
  <c r="I209" i="15" s="1"/>
  <c r="G209" i="1" a="1"/>
  <c r="G209" i="1" s="1"/>
  <c r="J209" i="15" s="1"/>
  <c r="P209" i="1" a="1"/>
  <c r="P209" i="1" s="1"/>
  <c r="D210" i="1" a="1"/>
  <c r="D210" i="1" s="1"/>
  <c r="I210" i="15" s="1"/>
  <c r="H210" i="1" a="1"/>
  <c r="H210" i="1" s="1"/>
  <c r="P210" i="1" a="1"/>
  <c r="P210" i="1" s="1"/>
  <c r="D211" i="1" a="1"/>
  <c r="D211" i="1" s="1"/>
  <c r="I211" i="15" s="1"/>
  <c r="H211" i="1" a="1"/>
  <c r="H211" i="1" s="1"/>
  <c r="L211" i="1" a="1"/>
  <c r="L211" i="1" s="1"/>
  <c r="Q211" i="1" a="1"/>
  <c r="Q211" i="1" s="1"/>
  <c r="S211" i="15" s="1"/>
  <c r="D212" i="1" a="1"/>
  <c r="D212" i="1" s="1"/>
  <c r="I212" i="15" s="1"/>
  <c r="H212" i="1" a="1"/>
  <c r="H212" i="1" s="1"/>
  <c r="K212" i="1" a="1"/>
  <c r="K212" i="1" s="1"/>
  <c r="P212" i="1" a="1"/>
  <c r="P212" i="1" s="1"/>
  <c r="D213" i="1" a="1"/>
  <c r="D213" i="1" s="1"/>
  <c r="I213" i="15" s="1"/>
  <c r="H213" i="1" a="1"/>
  <c r="H213" i="1" s="1"/>
  <c r="P213" i="1" a="1"/>
  <c r="P213" i="1" s="1"/>
  <c r="J214" i="1" a="1"/>
  <c r="J214" i="1" s="1"/>
  <c r="M214" i="1" a="1"/>
  <c r="M214" i="1" s="1"/>
  <c r="L215" i="1" a="1"/>
  <c r="L215" i="1" s="1"/>
  <c r="Q215" i="1" a="1"/>
  <c r="Q215" i="1" s="1"/>
  <c r="S215" i="15" s="1"/>
  <c r="D216" i="1" a="1"/>
  <c r="D216" i="1" s="1"/>
  <c r="I216" i="15" s="1"/>
  <c r="G216" i="1" a="1"/>
  <c r="G216" i="1" s="1"/>
  <c r="K216" i="1" a="1"/>
  <c r="K216" i="1" s="1"/>
  <c r="L216" i="15" s="1"/>
  <c r="L217" i="1" a="1"/>
  <c r="L217" i="1" s="1"/>
  <c r="P217" i="1" a="1"/>
  <c r="P217" i="1" s="1"/>
  <c r="C218" i="1" a="1"/>
  <c r="C218" i="1" s="1"/>
  <c r="E218" i="15" s="1"/>
  <c r="J218" i="1" a="1"/>
  <c r="J218" i="1" s="1"/>
  <c r="M218" i="1" a="1"/>
  <c r="M218" i="1" s="1"/>
  <c r="L219" i="1" a="1"/>
  <c r="L219" i="1" s="1"/>
  <c r="Q219" i="1" a="1"/>
  <c r="Q219" i="1" s="1"/>
  <c r="S219" i="15" s="1"/>
  <c r="L220" i="1" a="1"/>
  <c r="L220" i="1" s="1"/>
  <c r="P220" i="1" a="1"/>
  <c r="P220" i="1" s="1"/>
  <c r="C221" i="1" a="1"/>
  <c r="C221" i="1" s="1"/>
  <c r="E221" i="15" s="1"/>
  <c r="F221" i="1" a="1"/>
  <c r="F221" i="1" s="1"/>
  <c r="R221" i="15" s="1"/>
  <c r="J221" i="1" a="1"/>
  <c r="J221" i="1" s="1"/>
  <c r="M221" i="1" a="1"/>
  <c r="M221" i="1" s="1"/>
  <c r="D188" i="1" a="1"/>
  <c r="D188" i="1" s="1"/>
  <c r="I188" i="15" s="1"/>
  <c r="L188" i="1" a="1"/>
  <c r="L188" i="1" s="1"/>
  <c r="D190" i="1" a="1"/>
  <c r="D190" i="1" s="1"/>
  <c r="I190" i="15" s="1"/>
  <c r="M190" i="1" a="1"/>
  <c r="M190" i="1" s="1"/>
  <c r="F192" i="1" a="1"/>
  <c r="F192" i="1" s="1"/>
  <c r="R192" i="15" s="1"/>
  <c r="M193" i="1" a="1"/>
  <c r="M193" i="1" s="1"/>
  <c r="M194" i="1" a="1"/>
  <c r="M194" i="1" s="1"/>
  <c r="D196" i="1" a="1"/>
  <c r="D196" i="1" s="1"/>
  <c r="I196" i="15" s="1"/>
  <c r="K196" i="1" a="1"/>
  <c r="K196" i="1" s="1"/>
  <c r="L196" i="15" s="1"/>
  <c r="P197" i="1" a="1"/>
  <c r="P197" i="1" s="1"/>
  <c r="F198" i="1" a="1"/>
  <c r="F198" i="1" s="1"/>
  <c r="R198" i="15" s="1"/>
  <c r="Q199" i="1" a="1"/>
  <c r="Q199" i="1" s="1"/>
  <c r="S199" i="15" s="1"/>
  <c r="C201" i="1" a="1"/>
  <c r="C201" i="1" s="1"/>
  <c r="E201" i="15" s="1"/>
  <c r="K201" i="1" a="1"/>
  <c r="K201" i="1" s="1"/>
  <c r="L201" i="15" s="1"/>
  <c r="D202" i="1" a="1"/>
  <c r="D202" i="1" s="1"/>
  <c r="I202" i="15" s="1"/>
  <c r="K202" i="1" a="1"/>
  <c r="K202" i="1" s="1"/>
  <c r="L202" i="15" s="1"/>
  <c r="Q203" i="1" a="1"/>
  <c r="Q203" i="1" s="1"/>
  <c r="S203" i="15" s="1"/>
  <c r="L204" i="1" a="1"/>
  <c r="L204" i="1" s="1"/>
  <c r="C205" i="1" a="1"/>
  <c r="C205" i="1" s="1"/>
  <c r="E205" i="15" s="1"/>
  <c r="O205" i="1"/>
  <c r="M205" i="15" s="1"/>
  <c r="N205" i="15" s="1" a="1"/>
  <c r="N205" i="15" s="1"/>
  <c r="D206" i="1" a="1"/>
  <c r="D206" i="1" s="1"/>
  <c r="I206" i="15" s="1"/>
  <c r="Q206" i="1" a="1"/>
  <c r="Q206" i="1" s="1"/>
  <c r="S206" i="15" s="1"/>
  <c r="J207" i="1" a="1"/>
  <c r="J207" i="1" s="1"/>
  <c r="H208" i="1" a="1"/>
  <c r="H208" i="1" s="1"/>
  <c r="K208" i="1" a="1"/>
  <c r="K208" i="1" s="1"/>
  <c r="L208" i="15" s="1"/>
  <c r="Q208" i="1" a="1"/>
  <c r="Q208" i="1" s="1"/>
  <c r="S208" i="15" s="1"/>
  <c r="L209" i="1" a="1"/>
  <c r="L209" i="1" s="1"/>
  <c r="Q209" i="1" a="1"/>
  <c r="Q209" i="1" s="1"/>
  <c r="S209" i="15" s="1"/>
  <c r="M210" i="1" a="1"/>
  <c r="M210" i="1" s="1"/>
  <c r="Q210" i="1" a="1"/>
  <c r="Q210" i="1" s="1"/>
  <c r="S210" i="15" s="1"/>
  <c r="M211" i="1" a="1"/>
  <c r="M211" i="1" s="1"/>
  <c r="L212" i="1" a="1"/>
  <c r="L212" i="1" s="1"/>
  <c r="Q212" i="1" a="1"/>
  <c r="Q212" i="1" s="1"/>
  <c r="S212" i="15" s="1"/>
  <c r="L213" i="1" a="1"/>
  <c r="L213" i="1" s="1"/>
  <c r="Q213" i="1" a="1"/>
  <c r="Q213" i="1" s="1"/>
  <c r="S213" i="15" s="1"/>
  <c r="D214" i="1" a="1"/>
  <c r="D214" i="1" s="1"/>
  <c r="I214" i="15" s="1"/>
  <c r="G214" i="1" a="1"/>
  <c r="G214" i="1" s="1"/>
  <c r="J214" i="15" s="1"/>
  <c r="K214" i="1" a="1"/>
  <c r="K214" i="1" s="1"/>
  <c r="L214" i="15" s="1"/>
  <c r="O214" i="1"/>
  <c r="M214" i="15" s="1"/>
  <c r="N214" i="15" s="1" a="1"/>
  <c r="N214" i="15" s="1"/>
  <c r="C215" i="1" a="1"/>
  <c r="C215" i="1" s="1"/>
  <c r="E215" i="15" s="1"/>
  <c r="F215" i="1" a="1"/>
  <c r="F215" i="1" s="1"/>
  <c r="R215" i="15" s="1"/>
  <c r="J215" i="1" a="1"/>
  <c r="J215" i="1" s="1"/>
  <c r="M215" i="1" a="1"/>
  <c r="M215" i="1" s="1"/>
  <c r="H216" i="1" a="1"/>
  <c r="H216" i="1" s="1"/>
  <c r="O216" i="1"/>
  <c r="M216" i="15" s="1"/>
  <c r="N216" i="15" s="1" a="1"/>
  <c r="N216" i="15" s="1"/>
  <c r="C217" i="1" a="1"/>
  <c r="C217" i="1" s="1"/>
  <c r="E217" i="15" s="1"/>
  <c r="F217" i="1" a="1"/>
  <c r="F217" i="1" s="1"/>
  <c r="R217" i="15" s="1"/>
  <c r="J217" i="1" a="1"/>
  <c r="J217" i="1" s="1"/>
  <c r="M217" i="1" a="1"/>
  <c r="M217" i="1" s="1"/>
  <c r="Q217" i="1" a="1"/>
  <c r="Q217" i="1" s="1"/>
  <c r="S217" i="15" s="1"/>
  <c r="D218" i="1" a="1"/>
  <c r="D218" i="1" s="1"/>
  <c r="I218" i="15" s="1"/>
  <c r="G218" i="1" a="1"/>
  <c r="G218" i="1" s="1"/>
  <c r="J218" i="15" s="1"/>
  <c r="K218" i="1" a="1"/>
  <c r="K218" i="1" s="1"/>
  <c r="L218" i="15" s="1"/>
  <c r="O218" i="1"/>
  <c r="M218" i="15" s="1"/>
  <c r="N218" i="15" s="1" a="1"/>
  <c r="N218" i="15" s="1"/>
  <c r="C219" i="1" a="1"/>
  <c r="C219" i="1" s="1"/>
  <c r="E219" i="15" s="1"/>
  <c r="F219" i="1" a="1"/>
  <c r="F219" i="1" s="1"/>
  <c r="R219" i="15" s="1"/>
  <c r="J219" i="1" a="1"/>
  <c r="J219" i="1" s="1"/>
  <c r="M219" i="1" a="1"/>
  <c r="M219" i="1" s="1"/>
  <c r="F220" i="1" a="1"/>
  <c r="F220" i="1" s="1"/>
  <c r="R220" i="15" s="1"/>
  <c r="J220" i="1" a="1"/>
  <c r="J220" i="1" s="1"/>
  <c r="G221" i="1" a="1"/>
  <c r="G221" i="1" s="1"/>
  <c r="K221" i="1" a="1"/>
  <c r="K221" i="1" s="1"/>
  <c r="L221" i="15" s="1"/>
  <c r="L222" i="1" a="1"/>
  <c r="L222" i="1" s="1"/>
  <c r="Q222" i="1" a="1"/>
  <c r="Q222" i="1" s="1"/>
  <c r="S222" i="15" s="1"/>
  <c r="H223" i="1" a="1"/>
  <c r="H223" i="1" s="1"/>
  <c r="O223" i="1"/>
  <c r="M223" i="15" s="1"/>
  <c r="N223" i="15" s="1" a="1"/>
  <c r="N223" i="15" s="1"/>
  <c r="C224" i="1" a="1"/>
  <c r="C224" i="1" s="1"/>
  <c r="E224" i="15" s="1"/>
  <c r="F224" i="1" a="1"/>
  <c r="F224" i="1" s="1"/>
  <c r="R224" i="15" s="1"/>
  <c r="J224" i="1" a="1"/>
  <c r="J224" i="1" s="1"/>
  <c r="M224" i="1" a="1"/>
  <c r="M224" i="1" s="1"/>
  <c r="F225" i="1" a="1"/>
  <c r="F225" i="1" s="1"/>
  <c r="R225" i="15" s="1"/>
  <c r="J225" i="1" a="1"/>
  <c r="J225" i="1" s="1"/>
  <c r="O225" i="1"/>
  <c r="M225" i="15" s="1"/>
  <c r="N225" i="15" s="1" a="1"/>
  <c r="N225" i="15" s="1"/>
  <c r="F226" i="1" a="1"/>
  <c r="F226" i="1" s="1"/>
  <c r="R226" i="15" s="1"/>
  <c r="D221" i="1" a="1"/>
  <c r="D221" i="1" s="1"/>
  <c r="I221" i="15" s="1"/>
  <c r="F222" i="1" a="1"/>
  <c r="F222" i="1" s="1"/>
  <c r="R222" i="15" s="1"/>
  <c r="J222" i="1" a="1"/>
  <c r="J222" i="1" s="1"/>
  <c r="O222" i="1"/>
  <c r="M222" i="15" s="1"/>
  <c r="N222" i="15" s="1" a="1"/>
  <c r="N222" i="15" s="1"/>
  <c r="D223" i="1" a="1"/>
  <c r="D223" i="1" s="1"/>
  <c r="I223" i="15" s="1"/>
  <c r="M223" i="1" a="1"/>
  <c r="M223" i="1" s="1"/>
  <c r="G224" i="1" a="1"/>
  <c r="G224" i="1" s="1"/>
  <c r="K224" i="1" a="1"/>
  <c r="K224" i="1" s="1"/>
  <c r="Q224" i="1" a="1"/>
  <c r="Q224" i="1" s="1"/>
  <c r="S224" i="15" s="1"/>
  <c r="K225" i="1" a="1"/>
  <c r="K225" i="1" s="1"/>
  <c r="D226" i="1" a="1"/>
  <c r="D226" i="1" s="1"/>
  <c r="I226" i="15" s="1"/>
  <c r="H226" i="1" a="1"/>
  <c r="H226" i="1" s="1"/>
  <c r="K226" i="1" a="1"/>
  <c r="K226" i="1" s="1"/>
  <c r="P226" i="1" a="1"/>
  <c r="P226" i="1" s="1"/>
  <c r="C227" i="1" a="1"/>
  <c r="C227" i="1" s="1"/>
  <c r="E227" i="15" s="1"/>
  <c r="G227" i="1" a="1"/>
  <c r="G227" i="1" s="1"/>
  <c r="J227" i="1" a="1"/>
  <c r="J227" i="1" s="1"/>
  <c r="O227" i="1"/>
  <c r="M227" i="15" s="1"/>
  <c r="N227" i="15" s="1" a="1"/>
  <c r="N227" i="15" s="1"/>
  <c r="F228" i="1" a="1"/>
  <c r="F228" i="1" s="1"/>
  <c r="R228" i="15" s="1"/>
  <c r="L228" i="1" a="1"/>
  <c r="L228" i="1" s="1"/>
  <c r="Q228" i="1" a="1"/>
  <c r="Q228" i="1" s="1"/>
  <c r="S228" i="15" s="1"/>
  <c r="P229" i="1" a="1"/>
  <c r="P229" i="1" s="1"/>
  <c r="C230" i="1" a="1"/>
  <c r="C230" i="1" s="1"/>
  <c r="E230" i="15" s="1"/>
  <c r="G230" i="1" a="1"/>
  <c r="G230" i="1" s="1"/>
  <c r="K230" i="1" a="1"/>
  <c r="K230" i="1" s="1"/>
  <c r="P230" i="1" a="1"/>
  <c r="P230" i="1" s="1"/>
  <c r="C231" i="1" a="1"/>
  <c r="C231" i="1" s="1"/>
  <c r="E231" i="15" s="1"/>
  <c r="P231" i="1" a="1"/>
  <c r="P231" i="1" s="1"/>
  <c r="C232" i="1" a="1"/>
  <c r="C232" i="1" s="1"/>
  <c r="E232" i="15" s="1"/>
  <c r="G232" i="1" a="1"/>
  <c r="G232" i="1" s="1"/>
  <c r="J232" i="1" a="1"/>
  <c r="J232" i="1" s="1"/>
  <c r="M232" i="1" a="1"/>
  <c r="M232" i="1" s="1"/>
  <c r="F233" i="1" a="1"/>
  <c r="F233" i="1" s="1"/>
  <c r="R233" i="15" s="1"/>
  <c r="M233" i="1" a="1"/>
  <c r="M233" i="1" s="1"/>
  <c r="Q233" i="1" a="1"/>
  <c r="Q233" i="1" s="1"/>
  <c r="S233" i="15" s="1"/>
  <c r="H234" i="1" a="1"/>
  <c r="H234" i="1" s="1"/>
  <c r="K234" i="1" a="1"/>
  <c r="K234" i="1" s="1"/>
  <c r="P234" i="1" a="1"/>
  <c r="P234" i="1" s="1"/>
  <c r="C235" i="1" a="1"/>
  <c r="C235" i="1" s="1"/>
  <c r="E235" i="15" s="1"/>
  <c r="G235" i="1" a="1"/>
  <c r="G235" i="1" s="1"/>
  <c r="J235" i="1" a="1"/>
  <c r="J235" i="1" s="1"/>
  <c r="O235" i="1"/>
  <c r="M235" i="15" s="1"/>
  <c r="N235" i="15" s="1" a="1"/>
  <c r="N235" i="15" s="1"/>
  <c r="C236" i="1" a="1"/>
  <c r="C236" i="1" s="1"/>
  <c r="E236" i="15" s="1"/>
  <c r="G236" i="1" a="1"/>
  <c r="G236" i="1" s="1"/>
  <c r="J236" i="1" a="1"/>
  <c r="J236" i="1" s="1"/>
  <c r="M236" i="1" a="1"/>
  <c r="M236" i="1" s="1"/>
  <c r="F237" i="1" a="1"/>
  <c r="F237" i="1" s="1"/>
  <c r="R237" i="15" s="1"/>
  <c r="L237" i="1" a="1"/>
  <c r="L237" i="1" s="1"/>
  <c r="Q237" i="1" a="1"/>
  <c r="Q237" i="1" s="1"/>
  <c r="S237" i="15" s="1"/>
  <c r="D238" i="1" a="1"/>
  <c r="D238" i="1" s="1"/>
  <c r="I238" i="15" s="1"/>
  <c r="H238" i="1" a="1"/>
  <c r="H238" i="1" s="1"/>
  <c r="L238" i="1" a="1"/>
  <c r="L238" i="1" s="1"/>
  <c r="Q238" i="1" a="1"/>
  <c r="Q238" i="1" s="1"/>
  <c r="S238" i="15" s="1"/>
  <c r="D239" i="1" a="1"/>
  <c r="D239" i="1" s="1"/>
  <c r="I239" i="15" s="1"/>
  <c r="G239" i="1" a="1"/>
  <c r="G239" i="1" s="1"/>
  <c r="K239" i="1" a="1"/>
  <c r="K239" i="1" s="1"/>
  <c r="O239" i="1"/>
  <c r="M239" i="15" s="1"/>
  <c r="N239" i="15" s="1" a="1"/>
  <c r="N239" i="15" s="1"/>
  <c r="C240" i="1" a="1"/>
  <c r="C240" i="1" s="1"/>
  <c r="E240" i="15" s="1"/>
  <c r="G240" i="1" a="1"/>
  <c r="G240" i="1" s="1"/>
  <c r="K240" i="1" a="1"/>
  <c r="K240" i="1" s="1"/>
  <c r="M241" i="1" a="1"/>
  <c r="M241" i="1" s="1"/>
  <c r="L242" i="1" a="1"/>
  <c r="L242" i="1" s="1"/>
  <c r="P242" i="1" a="1"/>
  <c r="P242" i="1" s="1"/>
  <c r="G243" i="1" a="1"/>
  <c r="G243" i="1" s="1"/>
  <c r="M243" i="1" a="1"/>
  <c r="M243" i="1" s="1"/>
  <c r="F244" i="1" a="1"/>
  <c r="F244" i="1" s="1"/>
  <c r="R244" i="15" s="1"/>
  <c r="J244" i="1" a="1"/>
  <c r="J244" i="1" s="1"/>
  <c r="M244" i="1" a="1"/>
  <c r="M244" i="1" s="1"/>
  <c r="Q244" i="1" a="1"/>
  <c r="Q244" i="1" s="1"/>
  <c r="S244" i="15" s="1"/>
  <c r="H245" i="1" a="1"/>
  <c r="H245" i="1" s="1"/>
  <c r="O245" i="1"/>
  <c r="M245" i="15" s="1"/>
  <c r="N245" i="15" s="1" a="1"/>
  <c r="N245" i="15" s="1"/>
  <c r="C246" i="1" a="1"/>
  <c r="C246" i="1" s="1"/>
  <c r="E246" i="15" s="1"/>
  <c r="G246" i="1" a="1"/>
  <c r="G246" i="1" s="1"/>
  <c r="O221" i="1"/>
  <c r="M221" i="15" s="1"/>
  <c r="N221" i="15" s="1" a="1"/>
  <c r="N221" i="15" s="1"/>
  <c r="C222" i="1" a="1"/>
  <c r="C222" i="1" s="1"/>
  <c r="E222" i="15" s="1"/>
  <c r="G222" i="1" a="1"/>
  <c r="G222" i="1" s="1"/>
  <c r="P222" i="1" a="1"/>
  <c r="P222" i="1" s="1"/>
  <c r="J223" i="1" a="1"/>
  <c r="J223" i="1" s="1"/>
  <c r="D224" i="1" a="1"/>
  <c r="D224" i="1" s="1"/>
  <c r="I224" i="15" s="1"/>
  <c r="H224" i="1" a="1"/>
  <c r="H224" i="1" s="1"/>
  <c r="L224" i="1" a="1"/>
  <c r="L224" i="1" s="1"/>
  <c r="G225" i="1" a="1"/>
  <c r="G225" i="1" s="1"/>
  <c r="L225" i="1" a="1"/>
  <c r="L225" i="1" s="1"/>
  <c r="Q225" i="1" a="1"/>
  <c r="Q225" i="1" s="1"/>
  <c r="S225" i="15" s="1"/>
  <c r="L226" i="1" a="1"/>
  <c r="L226" i="1" s="1"/>
  <c r="Q226" i="1" a="1"/>
  <c r="Q226" i="1" s="1"/>
  <c r="S226" i="15" s="1"/>
  <c r="D227" i="1" a="1"/>
  <c r="D227" i="1" s="1"/>
  <c r="I227" i="15" s="1"/>
  <c r="K227" i="1" a="1"/>
  <c r="K227" i="1" s="1"/>
  <c r="P227" i="1" a="1"/>
  <c r="P227" i="1" s="1"/>
  <c r="C228" i="1" a="1"/>
  <c r="C228" i="1" s="1"/>
  <c r="E228" i="15" s="1"/>
  <c r="G228" i="1" a="1"/>
  <c r="G228" i="1" s="1"/>
  <c r="J228" i="1" a="1"/>
  <c r="J228" i="1" s="1"/>
  <c r="M228" i="1" a="1"/>
  <c r="M228" i="1" s="1"/>
  <c r="F229" i="1" a="1"/>
  <c r="F229" i="1" s="1"/>
  <c r="R229" i="15" s="1"/>
  <c r="L229" i="1" a="1"/>
  <c r="L229" i="1" s="1"/>
  <c r="Q229" i="1" a="1"/>
  <c r="Q229" i="1" s="1"/>
  <c r="S229" i="15" s="1"/>
  <c r="D230" i="1" a="1"/>
  <c r="D230" i="1" s="1"/>
  <c r="I230" i="15" s="1"/>
  <c r="H230" i="1" a="1"/>
  <c r="H230" i="1" s="1"/>
  <c r="L230" i="1" a="1"/>
  <c r="L230" i="1" s="1"/>
  <c r="Q230" i="1" a="1"/>
  <c r="Q230" i="1" s="1"/>
  <c r="S230" i="15" s="1"/>
  <c r="D231" i="1" a="1"/>
  <c r="D231" i="1" s="1"/>
  <c r="I231" i="15" s="1"/>
  <c r="G231" i="1" a="1"/>
  <c r="G231" i="1" s="1"/>
  <c r="L231" i="1" a="1"/>
  <c r="L231" i="1" s="1"/>
  <c r="D232" i="1" a="1"/>
  <c r="D232" i="1" s="1"/>
  <c r="I232" i="15" s="1"/>
  <c r="O232" i="1"/>
  <c r="M232" i="15" s="1"/>
  <c r="N232" i="15" s="1" a="1"/>
  <c r="N232" i="15" s="1"/>
  <c r="C233" i="1" a="1"/>
  <c r="C233" i="1" s="1"/>
  <c r="E233" i="15" s="1"/>
  <c r="G233" i="1" a="1"/>
  <c r="G233" i="1" s="1"/>
  <c r="J233" i="1" a="1"/>
  <c r="J233" i="1" s="1"/>
  <c r="O233" i="1"/>
  <c r="M233" i="15" s="1"/>
  <c r="N233" i="15" s="1" a="1"/>
  <c r="N233" i="15" s="1"/>
  <c r="F234" i="1" a="1"/>
  <c r="F234" i="1" s="1"/>
  <c r="R234" i="15" s="1"/>
  <c r="L234" i="1" a="1"/>
  <c r="L234" i="1" s="1"/>
  <c r="Q234" i="1" a="1"/>
  <c r="Q234" i="1" s="1"/>
  <c r="S234" i="15" s="1"/>
  <c r="D235" i="1" a="1"/>
  <c r="D235" i="1" s="1"/>
  <c r="I235" i="15" s="1"/>
  <c r="K235" i="1" a="1"/>
  <c r="K235" i="1" s="1"/>
  <c r="P235" i="1" a="1"/>
  <c r="P235" i="1" s="1"/>
  <c r="D236" i="1" a="1"/>
  <c r="D236" i="1" s="1"/>
  <c r="I236" i="15" s="1"/>
  <c r="O236" i="1"/>
  <c r="M236" i="15" s="1"/>
  <c r="N236" i="15" s="1" a="1"/>
  <c r="N236" i="15" s="1"/>
  <c r="C237" i="1" a="1"/>
  <c r="C237" i="1" s="1"/>
  <c r="E237" i="15" s="1"/>
  <c r="G237" i="1" a="1"/>
  <c r="G237" i="1" s="1"/>
  <c r="J237" i="1" a="1"/>
  <c r="J237" i="1" s="1"/>
  <c r="M237" i="1" a="1"/>
  <c r="M237" i="1" s="1"/>
  <c r="M238" i="1" a="1"/>
  <c r="M238" i="1" s="1"/>
  <c r="H239" i="1" a="1"/>
  <c r="H239" i="1" s="1"/>
  <c r="L239" i="1" a="1"/>
  <c r="L239" i="1" s="1"/>
  <c r="P239" i="1" a="1"/>
  <c r="P239" i="1" s="1"/>
  <c r="D240" i="1" a="1"/>
  <c r="D240" i="1" s="1"/>
  <c r="I240" i="15" s="1"/>
  <c r="H240" i="1" a="1"/>
  <c r="H240" i="1" s="1"/>
  <c r="O240" i="1"/>
  <c r="M240" i="15" s="1"/>
  <c r="N240" i="15" s="1" a="1"/>
  <c r="N240" i="15" s="1"/>
  <c r="C241" i="1" a="1"/>
  <c r="C241" i="1" s="1"/>
  <c r="E241" i="15" s="1"/>
  <c r="F241" i="1" a="1"/>
  <c r="F241" i="1" s="1"/>
  <c r="R241" i="15" s="1"/>
  <c r="J241" i="1" a="1"/>
  <c r="J241" i="1" s="1"/>
  <c r="O241" i="1"/>
  <c r="M241" i="15" s="1"/>
  <c r="N241" i="15" s="1" a="1"/>
  <c r="N241" i="15" s="1"/>
  <c r="C242" i="1" a="1"/>
  <c r="C242" i="1" s="1"/>
  <c r="E242" i="15" s="1"/>
  <c r="F242" i="1" a="1"/>
  <c r="F242" i="1" s="1"/>
  <c r="R242" i="15" s="1"/>
  <c r="J242" i="1" a="1"/>
  <c r="J242" i="1" s="1"/>
  <c r="Q242" i="1" a="1"/>
  <c r="Q242" i="1" s="1"/>
  <c r="S242" i="15" s="1"/>
  <c r="Q220" i="1" a="1"/>
  <c r="Q220" i="1" s="1"/>
  <c r="S220" i="15" s="1"/>
  <c r="H221" i="1" a="1"/>
  <c r="H221" i="1" s="1"/>
  <c r="P221" i="1" a="1"/>
  <c r="P221" i="1" s="1"/>
  <c r="D222" i="1" a="1"/>
  <c r="D222" i="1" s="1"/>
  <c r="I222" i="15" s="1"/>
  <c r="H222" i="1" a="1"/>
  <c r="H222" i="1" s="1"/>
  <c r="K222" i="1" a="1"/>
  <c r="K222" i="1" s="1"/>
  <c r="F223" i="1" a="1"/>
  <c r="F223" i="1" s="1"/>
  <c r="R223" i="15" s="1"/>
  <c r="K223" i="1" a="1"/>
  <c r="K223" i="1" s="1"/>
  <c r="P223" i="1" a="1"/>
  <c r="P223" i="1" s="1"/>
  <c r="O224" i="1"/>
  <c r="M224" i="15" s="1"/>
  <c r="N224" i="15" s="1" a="1"/>
  <c r="N224" i="15" s="1"/>
  <c r="C225" i="1" a="1"/>
  <c r="C225" i="1" s="1"/>
  <c r="E225" i="15" s="1"/>
  <c r="H225" i="1" a="1"/>
  <c r="H225" i="1" s="1"/>
  <c r="M225" i="1" a="1"/>
  <c r="M225" i="1" s="1"/>
  <c r="G226" i="1" a="1"/>
  <c r="G226" i="1" s="1"/>
  <c r="J226" i="15" s="1"/>
  <c r="J226" i="1" a="1"/>
  <c r="J226" i="1" s="1"/>
  <c r="M226" i="1" a="1"/>
  <c r="M226" i="1" s="1"/>
  <c r="H227" i="1" a="1"/>
  <c r="H227" i="1" s="1"/>
  <c r="L227" i="1" a="1"/>
  <c r="L227" i="1" s="1"/>
  <c r="Q227" i="1" a="1"/>
  <c r="Q227" i="1" s="1"/>
  <c r="S227" i="15" s="1"/>
  <c r="D228" i="1" a="1"/>
  <c r="D228" i="1" s="1"/>
  <c r="I228" i="15" s="1"/>
  <c r="O228" i="1"/>
  <c r="M228" i="15" s="1"/>
  <c r="N228" i="15" s="1" a="1"/>
  <c r="N228" i="15" s="1"/>
  <c r="C229" i="1" a="1"/>
  <c r="C229" i="1" s="1"/>
  <c r="E229" i="15" s="1"/>
  <c r="G229" i="1" a="1"/>
  <c r="G229" i="1" s="1"/>
  <c r="J229" i="1" a="1"/>
  <c r="J229" i="1" s="1"/>
  <c r="M229" i="1" a="1"/>
  <c r="M229" i="1" s="1"/>
  <c r="M230" i="1" a="1"/>
  <c r="M230" i="1" s="1"/>
  <c r="J231" i="1" a="1"/>
  <c r="J231" i="1" s="1"/>
  <c r="M231" i="1" a="1"/>
  <c r="M231" i="1" s="1"/>
  <c r="Q231" i="1" a="1"/>
  <c r="Q231" i="1" s="1"/>
  <c r="S231" i="15" s="1"/>
  <c r="H232" i="1" a="1"/>
  <c r="H232" i="1" s="1"/>
  <c r="K232" i="1" a="1"/>
  <c r="K232" i="1" s="1"/>
  <c r="P232" i="1" a="1"/>
  <c r="P232" i="1" s="1"/>
  <c r="D233" i="1" a="1"/>
  <c r="D233" i="1" s="1"/>
  <c r="I233" i="15" s="1"/>
  <c r="K233" i="1" a="1"/>
  <c r="K233" i="1" s="1"/>
  <c r="P233" i="1" a="1"/>
  <c r="P233" i="1" s="1"/>
  <c r="C234" i="1" a="1"/>
  <c r="C234" i="1" s="1"/>
  <c r="E234" i="15" s="1"/>
  <c r="G234" i="1" a="1"/>
  <c r="G234" i="1" s="1"/>
  <c r="J234" i="15" s="1"/>
  <c r="J234" i="1" a="1"/>
  <c r="J234" i="1" s="1"/>
  <c r="M234" i="1" a="1"/>
  <c r="M234" i="1" s="1"/>
  <c r="H235" i="1" a="1"/>
  <c r="H235" i="1" s="1"/>
  <c r="L235" i="1" a="1"/>
  <c r="L235" i="1" s="1"/>
  <c r="Q235" i="1" a="1"/>
  <c r="Q235" i="1" s="1"/>
  <c r="S235" i="15" s="1"/>
  <c r="H236" i="1" a="1"/>
  <c r="H236" i="1" s="1"/>
  <c r="K236" i="1" a="1"/>
  <c r="K236" i="1" s="1"/>
  <c r="P236" i="1" a="1"/>
  <c r="P236" i="1" s="1"/>
  <c r="D237" i="1" a="1"/>
  <c r="D237" i="1" s="1"/>
  <c r="I237" i="15" s="1"/>
  <c r="H237" i="1" a="1"/>
  <c r="H237" i="1" s="1"/>
  <c r="K237" i="1" a="1"/>
  <c r="K237" i="1" s="1"/>
  <c r="L237" i="15" s="1"/>
  <c r="O237" i="1"/>
  <c r="M237" i="15" s="1"/>
  <c r="N237" i="15" s="1" a="1"/>
  <c r="N237" i="15" s="1"/>
  <c r="F238" i="1" a="1"/>
  <c r="F238" i="1" s="1"/>
  <c r="R238" i="15" s="1"/>
  <c r="J238" i="1" a="1"/>
  <c r="J238" i="1" s="1"/>
  <c r="O238" i="1"/>
  <c r="M238" i="15" s="1"/>
  <c r="N238" i="15" s="1" a="1"/>
  <c r="N238" i="15" s="1"/>
  <c r="C239" i="1" a="1"/>
  <c r="C239" i="1" s="1"/>
  <c r="E239" i="15" s="1"/>
  <c r="Q239" i="1" a="1"/>
  <c r="Q239" i="1" s="1"/>
  <c r="S239" i="15" s="1"/>
  <c r="L240" i="1" a="1"/>
  <c r="L240" i="1" s="1"/>
  <c r="P240" i="1" a="1"/>
  <c r="P240" i="1" s="1"/>
  <c r="D241" i="1" a="1"/>
  <c r="D241" i="1" s="1"/>
  <c r="I241" i="15" s="1"/>
  <c r="G241" i="1" a="1"/>
  <c r="G241" i="1" s="1"/>
  <c r="K241" i="1" a="1"/>
  <c r="K241" i="1" s="1"/>
  <c r="P241" i="1" a="1"/>
  <c r="P241" i="1" s="1"/>
  <c r="D242" i="1" a="1"/>
  <c r="D242" i="1" s="1"/>
  <c r="I242" i="15" s="1"/>
  <c r="G242" i="1" a="1"/>
  <c r="G242" i="1" s="1"/>
  <c r="M242" i="1" a="1"/>
  <c r="M242" i="1" s="1"/>
  <c r="L243" i="1" a="1"/>
  <c r="L243" i="1" s="1"/>
  <c r="P243" i="1" a="1"/>
  <c r="P243" i="1" s="1"/>
  <c r="D244" i="1" a="1"/>
  <c r="D244" i="1" s="1"/>
  <c r="I244" i="15" s="1"/>
  <c r="H244" i="1" a="1"/>
  <c r="H244" i="1" s="1"/>
  <c r="O244" i="1"/>
  <c r="M244" i="15" s="1"/>
  <c r="N244" i="15" s="1" a="1"/>
  <c r="N244" i="15" s="1"/>
  <c r="C245" i="1" a="1"/>
  <c r="C245" i="1" s="1"/>
  <c r="E245" i="15" s="1"/>
  <c r="F245" i="1" a="1"/>
  <c r="F245" i="1" s="1"/>
  <c r="R245" i="15" s="1"/>
  <c r="J245" i="1" a="1"/>
  <c r="J245" i="1" s="1"/>
  <c r="M245" i="1" a="1"/>
  <c r="M245" i="1" s="1"/>
  <c r="Q245" i="1" a="1"/>
  <c r="Q245" i="1" s="1"/>
  <c r="S245" i="15" s="1"/>
  <c r="H247" i="1" a="1"/>
  <c r="H247" i="1" s="1"/>
  <c r="L247" i="1" a="1"/>
  <c r="L247" i="1" s="1"/>
  <c r="Q247" i="1" a="1"/>
  <c r="Q247" i="1" s="1"/>
  <c r="S247" i="15" s="1"/>
  <c r="D248" i="1" a="1"/>
  <c r="D248" i="1" s="1"/>
  <c r="I248" i="15" s="1"/>
  <c r="Q221" i="1" a="1"/>
  <c r="Q221" i="1" s="1"/>
  <c r="S221" i="15" s="1"/>
  <c r="M222" i="1" a="1"/>
  <c r="M222" i="1" s="1"/>
  <c r="C223" i="1" a="1"/>
  <c r="C223" i="1" s="1"/>
  <c r="E223" i="15" s="1"/>
  <c r="G223" i="1" a="1"/>
  <c r="G223" i="1" s="1"/>
  <c r="J223" i="15" s="1"/>
  <c r="L223" i="1" a="1"/>
  <c r="L223" i="1" s="1"/>
  <c r="Q223" i="1" a="1"/>
  <c r="Q223" i="1" s="1"/>
  <c r="S223" i="15" s="1"/>
  <c r="P224" i="1" a="1"/>
  <c r="P224" i="1" s="1"/>
  <c r="D225" i="1" a="1"/>
  <c r="D225" i="1" s="1"/>
  <c r="I225" i="15" s="1"/>
  <c r="P225" i="1" a="1"/>
  <c r="P225" i="1" s="1"/>
  <c r="C226" i="1" a="1"/>
  <c r="C226" i="1" s="1"/>
  <c r="E226" i="15" s="1"/>
  <c r="O226" i="1"/>
  <c r="M226" i="15" s="1"/>
  <c r="N226" i="15" s="1" a="1"/>
  <c r="N226" i="15" s="1"/>
  <c r="F227" i="1" a="1"/>
  <c r="F227" i="1" s="1"/>
  <c r="R227" i="15" s="1"/>
  <c r="M227" i="1" a="1"/>
  <c r="M227" i="1" s="1"/>
  <c r="H228" i="1" a="1"/>
  <c r="H228" i="1" s="1"/>
  <c r="K228" i="1" a="1"/>
  <c r="K228" i="1" s="1"/>
  <c r="L228" i="15" s="1"/>
  <c r="P228" i="1" a="1"/>
  <c r="P228" i="1" s="1"/>
  <c r="D229" i="1" a="1"/>
  <c r="D229" i="1" s="1"/>
  <c r="I229" i="15" s="1"/>
  <c r="H229" i="1" a="1"/>
  <c r="H229" i="1" s="1"/>
  <c r="K229" i="1" a="1"/>
  <c r="K229" i="1" s="1"/>
  <c r="L229" i="15" s="1"/>
  <c r="O229" i="1"/>
  <c r="M229" i="15" s="1"/>
  <c r="N229" i="15" s="1" a="1"/>
  <c r="N229" i="15" s="1"/>
  <c r="F230" i="1" a="1"/>
  <c r="F230" i="1" s="1"/>
  <c r="R230" i="15" s="1"/>
  <c r="J230" i="1" a="1"/>
  <c r="J230" i="1" s="1"/>
  <c r="O230" i="1"/>
  <c r="M230" i="15" s="1"/>
  <c r="N230" i="15" s="1" a="1"/>
  <c r="N230" i="15" s="1"/>
  <c r="F231" i="1" a="1"/>
  <c r="F231" i="1" s="1"/>
  <c r="R231" i="15" s="1"/>
  <c r="H231" i="1" a="1"/>
  <c r="H231" i="1" s="1"/>
  <c r="K231" i="1" a="1"/>
  <c r="K231" i="1" s="1"/>
  <c r="L231" i="15" s="1"/>
  <c r="O231" i="1"/>
  <c r="M231" i="15" s="1"/>
  <c r="N231" i="15" s="1" a="1"/>
  <c r="N231" i="15" s="1"/>
  <c r="F232" i="1" a="1"/>
  <c r="F232" i="1" s="1"/>
  <c r="R232" i="15" s="1"/>
  <c r="L232" i="1" a="1"/>
  <c r="L232" i="1" s="1"/>
  <c r="Q232" i="1" a="1"/>
  <c r="Q232" i="1" s="1"/>
  <c r="S232" i="15" s="1"/>
  <c r="H233" i="1" a="1"/>
  <c r="H233" i="1" s="1"/>
  <c r="L233" i="1" a="1"/>
  <c r="L233" i="1" s="1"/>
  <c r="D234" i="1" a="1"/>
  <c r="D234" i="1" s="1"/>
  <c r="I234" i="15" s="1"/>
  <c r="O234" i="1"/>
  <c r="M234" i="15" s="1"/>
  <c r="N234" i="15" s="1" a="1"/>
  <c r="N234" i="15" s="1"/>
  <c r="F235" i="1" a="1"/>
  <c r="F235" i="1" s="1"/>
  <c r="R235" i="15" s="1"/>
  <c r="M235" i="1" a="1"/>
  <c r="M235" i="1" s="1"/>
  <c r="F236" i="1" a="1"/>
  <c r="F236" i="1" s="1"/>
  <c r="R236" i="15" s="1"/>
  <c r="L236" i="1" a="1"/>
  <c r="L236" i="1" s="1"/>
  <c r="Q236" i="1" a="1"/>
  <c r="Q236" i="1" s="1"/>
  <c r="S236" i="15" s="1"/>
  <c r="P237" i="1" a="1"/>
  <c r="P237" i="1" s="1"/>
  <c r="C238" i="1" a="1"/>
  <c r="C238" i="1" s="1"/>
  <c r="E238" i="15" s="1"/>
  <c r="G238" i="1" a="1"/>
  <c r="G238" i="1" s="1"/>
  <c r="J238" i="15" s="1"/>
  <c r="K238" i="1" a="1"/>
  <c r="K238" i="1" s="1"/>
  <c r="L238" i="15" s="1"/>
  <c r="P238" i="1" a="1"/>
  <c r="P238" i="1" s="1"/>
  <c r="F239" i="1" a="1"/>
  <c r="F239" i="1" s="1"/>
  <c r="R239" i="15" s="1"/>
  <c r="J239" i="1" a="1"/>
  <c r="J239" i="1" s="1"/>
  <c r="M239" i="1" a="1"/>
  <c r="M239" i="1" s="1"/>
  <c r="F240" i="1" a="1"/>
  <c r="F240" i="1" s="1"/>
  <c r="R240" i="15" s="1"/>
  <c r="J240" i="1" a="1"/>
  <c r="J240" i="1" s="1"/>
  <c r="M240" i="1" a="1"/>
  <c r="M240" i="1" s="1"/>
  <c r="Q240" i="1" a="1"/>
  <c r="Q240" i="1" s="1"/>
  <c r="S240" i="15" s="1"/>
  <c r="H241" i="1" a="1"/>
  <c r="H241" i="1" s="1"/>
  <c r="L241" i="1" a="1"/>
  <c r="L241" i="1" s="1"/>
  <c r="Q241" i="1" a="1"/>
  <c r="Q241" i="1" s="1"/>
  <c r="S241" i="15" s="1"/>
  <c r="H242" i="1" a="1"/>
  <c r="H242" i="1" s="1"/>
  <c r="K242" i="1" a="1"/>
  <c r="K242" i="1" s="1"/>
  <c r="L242" i="15" s="1"/>
  <c r="O242" i="1"/>
  <c r="M242" i="15" s="1"/>
  <c r="N242" i="15" s="1" a="1"/>
  <c r="N242" i="15" s="1"/>
  <c r="C243" i="1" a="1"/>
  <c r="C243" i="1" s="1"/>
  <c r="E243" i="15" s="1"/>
  <c r="F243" i="1" a="1"/>
  <c r="F243" i="1" s="1"/>
  <c r="R243" i="15" s="1"/>
  <c r="J243" i="1" a="1"/>
  <c r="J243" i="1" s="1"/>
  <c r="Q243" i="1" a="1"/>
  <c r="Q243" i="1" s="1"/>
  <c r="S243" i="15" s="1"/>
  <c r="L244" i="1" a="1"/>
  <c r="L244" i="1" s="1"/>
  <c r="P244" i="1" a="1"/>
  <c r="P244" i="1" s="1"/>
  <c r="D245" i="1" a="1"/>
  <c r="D245" i="1" s="1"/>
  <c r="I245" i="15" s="1"/>
  <c r="G245" i="1" a="1"/>
  <c r="G245" i="1" s="1"/>
  <c r="J245" i="15" s="1"/>
  <c r="K245" i="1" a="1"/>
  <c r="K245" i="1" s="1"/>
  <c r="F246" i="1" a="1"/>
  <c r="F246" i="1" s="1"/>
  <c r="R246" i="15" s="1"/>
  <c r="J246" i="1" a="1"/>
  <c r="J246" i="1" s="1"/>
  <c r="L246" i="1" a="1"/>
  <c r="L246" i="1" s="1"/>
  <c r="O246" i="1"/>
  <c r="M246" i="15" s="1"/>
  <c r="N246" i="15" s="1" a="1"/>
  <c r="N246" i="15" s="1"/>
  <c r="C247" i="1" a="1"/>
  <c r="C247" i="1" s="1"/>
  <c r="E247" i="15" s="1"/>
  <c r="M247" i="1" a="1"/>
  <c r="M247" i="1" s="1"/>
  <c r="H249" i="1" a="1"/>
  <c r="H249" i="1" s="1"/>
  <c r="L249" i="1" a="1"/>
  <c r="L249" i="1" s="1"/>
  <c r="P249" i="1" a="1"/>
  <c r="P249" i="1" s="1"/>
  <c r="D250" i="1" a="1"/>
  <c r="D250" i="1" s="1"/>
  <c r="I250" i="15" s="1"/>
  <c r="H250" i="1" a="1"/>
  <c r="H250" i="1" s="1"/>
  <c r="K250" i="1" a="1"/>
  <c r="K250" i="1" s="1"/>
  <c r="M250" i="1" a="1"/>
  <c r="M250" i="1" s="1"/>
  <c r="Q250" i="1" a="1"/>
  <c r="Q250" i="1" s="1"/>
  <c r="S250" i="15" s="1"/>
  <c r="D251" i="1" a="1"/>
  <c r="D251" i="1" s="1"/>
  <c r="I251" i="15" s="1"/>
  <c r="G251" i="1" a="1"/>
  <c r="G251" i="1" s="1"/>
  <c r="K251" i="1" a="1"/>
  <c r="K251" i="1" s="1"/>
  <c r="O251" i="1"/>
  <c r="M251" i="15" s="1"/>
  <c r="N251" i="15" s="1" a="1"/>
  <c r="N251" i="15" s="1"/>
  <c r="C252" i="1" a="1"/>
  <c r="C252" i="1" s="1"/>
  <c r="E252" i="15" s="1"/>
  <c r="F252" i="1" a="1"/>
  <c r="F252" i="1" s="1"/>
  <c r="R252" i="15" s="1"/>
  <c r="J252" i="1" a="1"/>
  <c r="J252" i="1" s="1"/>
  <c r="Q252" i="1" a="1"/>
  <c r="Q252" i="1" s="1"/>
  <c r="S252" i="15" s="1"/>
  <c r="D253" i="1" a="1"/>
  <c r="D253" i="1" s="1"/>
  <c r="I253" i="15" s="1"/>
  <c r="H253" i="1" a="1"/>
  <c r="H253" i="1" s="1"/>
  <c r="K253" i="1" a="1"/>
  <c r="K253" i="1" s="1"/>
  <c r="P253" i="1" a="1"/>
  <c r="P253" i="1" s="1"/>
  <c r="G254" i="1" a="1"/>
  <c r="G254" i="1" s="1"/>
  <c r="P254" i="1" a="1"/>
  <c r="P254" i="1" s="1"/>
  <c r="F255" i="1" a="1"/>
  <c r="F255" i="1" s="1"/>
  <c r="R255" i="15" s="1"/>
  <c r="J255" i="1" a="1"/>
  <c r="J255" i="1" s="1"/>
  <c r="M255" i="1" a="1"/>
  <c r="M255" i="1" s="1"/>
  <c r="C244" i="1" a="1"/>
  <c r="C244" i="1" s="1"/>
  <c r="E244" i="15" s="1"/>
  <c r="K244" i="1" a="1"/>
  <c r="K244" i="1" s="1"/>
  <c r="L244" i="15" s="1"/>
  <c r="D246" i="1" a="1"/>
  <c r="D246" i="1" s="1"/>
  <c r="I246" i="15" s="1"/>
  <c r="P246" i="1" a="1"/>
  <c r="P246" i="1" s="1"/>
  <c r="D247" i="1" a="1"/>
  <c r="D247" i="1" s="1"/>
  <c r="I247" i="15" s="1"/>
  <c r="P247" i="1" a="1"/>
  <c r="P247" i="1" s="1"/>
  <c r="L248" i="1" a="1"/>
  <c r="L248" i="1" s="1"/>
  <c r="P248" i="1" a="1"/>
  <c r="P248" i="1" s="1"/>
  <c r="G249" i="1" a="1"/>
  <c r="G249" i="1" s="1"/>
  <c r="J249" i="15" s="1"/>
  <c r="M249" i="1" a="1"/>
  <c r="M249" i="1" s="1"/>
  <c r="G250" i="1" a="1"/>
  <c r="G250" i="1" s="1"/>
  <c r="J250" i="15" s="1"/>
  <c r="O250" i="1"/>
  <c r="M250" i="15" s="1"/>
  <c r="N250" i="15" s="1" a="1"/>
  <c r="N250" i="15" s="1"/>
  <c r="H251" i="1" a="1"/>
  <c r="H251" i="1" s="1"/>
  <c r="G252" i="1" a="1"/>
  <c r="G252" i="1" s="1"/>
  <c r="K252" i="1" a="1"/>
  <c r="K252" i="1" s="1"/>
  <c r="P252" i="1" a="1"/>
  <c r="P252" i="1" s="1"/>
  <c r="J253" i="1" a="1"/>
  <c r="J253" i="1" s="1"/>
  <c r="O253" i="1"/>
  <c r="M253" i="15" s="1"/>
  <c r="N253" i="15" s="1" a="1"/>
  <c r="N253" i="15" s="1"/>
  <c r="D254" i="1" a="1"/>
  <c r="D254" i="1" s="1"/>
  <c r="I254" i="15" s="1"/>
  <c r="L254" i="1" a="1"/>
  <c r="L254" i="1" s="1"/>
  <c r="Q254" i="1" a="1"/>
  <c r="Q254" i="1" s="1"/>
  <c r="S254" i="15" s="1"/>
  <c r="O255" i="1"/>
  <c r="M255" i="15" s="1"/>
  <c r="N255" i="15" s="1" a="1"/>
  <c r="N255" i="15" s="1"/>
  <c r="C256" i="1" a="1"/>
  <c r="C256" i="1" s="1"/>
  <c r="E256" i="15" s="1"/>
  <c r="F256" i="1" a="1"/>
  <c r="F256" i="1" s="1"/>
  <c r="R256" i="15" s="1"/>
  <c r="J256" i="1" a="1"/>
  <c r="J256" i="1" s="1"/>
  <c r="Q256" i="1" a="1"/>
  <c r="Q256" i="1" s="1"/>
  <c r="S256" i="15" s="1"/>
  <c r="D257" i="1" a="1"/>
  <c r="D257" i="1" s="1"/>
  <c r="I257" i="15" s="1"/>
  <c r="H257" i="1" a="1"/>
  <c r="H257" i="1" s="1"/>
  <c r="K257" i="1" a="1"/>
  <c r="K257" i="1" s="1"/>
  <c r="P257" i="1" a="1"/>
  <c r="P257" i="1" s="1"/>
  <c r="G258" i="1" a="1"/>
  <c r="G258" i="1" s="1"/>
  <c r="P258" i="1" a="1"/>
  <c r="P258" i="1" s="1"/>
  <c r="F259" i="1" a="1"/>
  <c r="F259" i="1" s="1"/>
  <c r="R259" i="15" s="1"/>
  <c r="J259" i="1" a="1"/>
  <c r="J259" i="1" s="1"/>
  <c r="M259" i="1" a="1"/>
  <c r="M259" i="1" s="1"/>
  <c r="L260" i="1" a="1"/>
  <c r="L260" i="1" s="1"/>
  <c r="P260" i="1" a="1"/>
  <c r="P260" i="1" s="1"/>
  <c r="G261" i="1" a="1"/>
  <c r="G261" i="1" s="1"/>
  <c r="O261" i="1"/>
  <c r="M261" i="15" s="1"/>
  <c r="N261" i="15" s="1" a="1"/>
  <c r="N261" i="15" s="1"/>
  <c r="C262" i="1" a="1"/>
  <c r="C262" i="1" s="1"/>
  <c r="E262" i="15" s="1"/>
  <c r="F262" i="1" a="1"/>
  <c r="F262" i="1" s="1"/>
  <c r="R262" i="15" s="1"/>
  <c r="J262" i="1" a="1"/>
  <c r="J262" i="1" s="1"/>
  <c r="L262" i="1" a="1"/>
  <c r="L262" i="1" s="1"/>
  <c r="O262" i="1"/>
  <c r="M262" i="15" s="1"/>
  <c r="N262" i="15" s="1" a="1"/>
  <c r="N262" i="15" s="1"/>
  <c r="C263" i="1" a="1"/>
  <c r="C263" i="1" s="1"/>
  <c r="E263" i="15" s="1"/>
  <c r="L263" i="1" a="1"/>
  <c r="L263" i="1" s="1"/>
  <c r="Q263" i="1" a="1"/>
  <c r="Q263" i="1" s="1"/>
  <c r="S263" i="15" s="1"/>
  <c r="H264" i="1" a="1"/>
  <c r="H264" i="1" s="1"/>
  <c r="K264" i="1" a="1"/>
  <c r="K264" i="1" s="1"/>
  <c r="O264" i="1"/>
  <c r="M264" i="15" s="1"/>
  <c r="N264" i="15" s="1" a="1"/>
  <c r="N264" i="15" s="1"/>
  <c r="C265" i="1" a="1"/>
  <c r="C265" i="1" s="1"/>
  <c r="E265" i="15" s="1"/>
  <c r="F265" i="1" a="1"/>
  <c r="F265" i="1" s="1"/>
  <c r="R265" i="15" s="1"/>
  <c r="J265" i="1" a="1"/>
  <c r="J265" i="1" s="1"/>
  <c r="M265" i="1" a="1"/>
  <c r="M265" i="1" s="1"/>
  <c r="H267" i="1" a="1"/>
  <c r="H267" i="1" s="1"/>
  <c r="P267" i="1" a="1"/>
  <c r="P267" i="1" s="1"/>
  <c r="D268" i="1" a="1"/>
  <c r="D268" i="1" s="1"/>
  <c r="I268" i="15" s="1"/>
  <c r="G268" i="1" a="1"/>
  <c r="G268" i="1" s="1"/>
  <c r="M268" i="1" a="1"/>
  <c r="M268" i="1" s="1"/>
  <c r="L269" i="1" a="1"/>
  <c r="L269" i="1" s="1"/>
  <c r="D243" i="1" a="1"/>
  <c r="D243" i="1" s="1"/>
  <c r="I243" i="15" s="1"/>
  <c r="K243" i="1" a="1"/>
  <c r="K243" i="1" s="1"/>
  <c r="L243" i="15" s="1"/>
  <c r="L245" i="1" a="1"/>
  <c r="L245" i="1" s="1"/>
  <c r="K246" i="1" a="1"/>
  <c r="K246" i="1" s="1"/>
  <c r="Q246" i="1" a="1"/>
  <c r="Q246" i="1" s="1"/>
  <c r="S246" i="15" s="1"/>
  <c r="J247" i="1" a="1"/>
  <c r="J247" i="1" s="1"/>
  <c r="F248" i="1" a="1"/>
  <c r="F248" i="1" s="1"/>
  <c r="R248" i="15" s="1"/>
  <c r="J248" i="1" a="1"/>
  <c r="J248" i="1" s="1"/>
  <c r="Q248" i="1" a="1"/>
  <c r="Q248" i="1" s="1"/>
  <c r="S248" i="15" s="1"/>
  <c r="D249" i="1" a="1"/>
  <c r="D249" i="1" s="1"/>
  <c r="I249" i="15" s="1"/>
  <c r="C250" i="1" a="1"/>
  <c r="C250" i="1" s="1"/>
  <c r="E250" i="15" s="1"/>
  <c r="L250" i="1" a="1"/>
  <c r="L250" i="1" s="1"/>
  <c r="P250" i="1" a="1"/>
  <c r="P250" i="1" s="1"/>
  <c r="M251" i="1" a="1"/>
  <c r="M251" i="1" s="1"/>
  <c r="D252" i="1" a="1"/>
  <c r="D252" i="1" s="1"/>
  <c r="I252" i="15" s="1"/>
  <c r="H252" i="1" a="1"/>
  <c r="H252" i="1" s="1"/>
  <c r="L252" i="1" a="1"/>
  <c r="L252" i="1" s="1"/>
  <c r="F253" i="1" a="1"/>
  <c r="F253" i="1" s="1"/>
  <c r="R253" i="15" s="1"/>
  <c r="Q253" i="1" a="1"/>
  <c r="Q253" i="1" s="1"/>
  <c r="S253" i="15" s="1"/>
  <c r="J254" i="1" a="1"/>
  <c r="J254" i="1" s="1"/>
  <c r="M254" i="1" a="1"/>
  <c r="M254" i="1" s="1"/>
  <c r="K255" i="1" a="1"/>
  <c r="K255" i="1" s="1"/>
  <c r="P255" i="1" a="1"/>
  <c r="P255" i="1" s="1"/>
  <c r="D256" i="1" a="1"/>
  <c r="D256" i="1" s="1"/>
  <c r="I256" i="15" s="1"/>
  <c r="G256" i="1" a="1"/>
  <c r="G256" i="1" s="1"/>
  <c r="M256" i="1" a="1"/>
  <c r="M256" i="1" s="1"/>
  <c r="L257" i="1" a="1"/>
  <c r="L257" i="1" s="1"/>
  <c r="Q257" i="1" a="1"/>
  <c r="Q257" i="1" s="1"/>
  <c r="S257" i="15" s="1"/>
  <c r="D258" i="1" a="1"/>
  <c r="D258" i="1" s="1"/>
  <c r="I258" i="15" s="1"/>
  <c r="H258" i="1" a="1"/>
  <c r="H258" i="1" s="1"/>
  <c r="K258" i="1" a="1"/>
  <c r="K258" i="1" s="1"/>
  <c r="M258" i="1" a="1"/>
  <c r="M258" i="1" s="1"/>
  <c r="Q258" i="1" a="1"/>
  <c r="Q258" i="1" s="1"/>
  <c r="S258" i="15" s="1"/>
  <c r="D259" i="1" a="1"/>
  <c r="D259" i="1" s="1"/>
  <c r="I259" i="15" s="1"/>
  <c r="G259" i="1" a="1"/>
  <c r="G259" i="1" s="1"/>
  <c r="K259" i="1" a="1"/>
  <c r="K259" i="1" s="1"/>
  <c r="O259" i="1"/>
  <c r="M259" i="15" s="1"/>
  <c r="N259" i="15" s="1" a="1"/>
  <c r="N259" i="15" s="1"/>
  <c r="C260" i="1" a="1"/>
  <c r="C260" i="1" s="1"/>
  <c r="E260" i="15" s="1"/>
  <c r="F260" i="1" a="1"/>
  <c r="F260" i="1" s="1"/>
  <c r="R260" i="15" s="1"/>
  <c r="J260" i="1" a="1"/>
  <c r="J260" i="1" s="1"/>
  <c r="Q260" i="1" a="1"/>
  <c r="Q260" i="1" s="1"/>
  <c r="S260" i="15" s="1"/>
  <c r="D261" i="1" a="1"/>
  <c r="D261" i="1" s="1"/>
  <c r="I261" i="15" s="1"/>
  <c r="H261" i="1" a="1"/>
  <c r="H261" i="1" s="1"/>
  <c r="K261" i="1" a="1"/>
  <c r="K261" i="1" s="1"/>
  <c r="P261" i="1" a="1"/>
  <c r="P261" i="1" s="1"/>
  <c r="G262" i="1" a="1"/>
  <c r="G262" i="1" s="1"/>
  <c r="P262" i="1" a="1"/>
  <c r="P262" i="1" s="1"/>
  <c r="F263" i="1" a="1"/>
  <c r="F263" i="1" s="1"/>
  <c r="R263" i="15" s="1"/>
  <c r="J263" i="1" a="1"/>
  <c r="J263" i="1" s="1"/>
  <c r="M263" i="1" a="1"/>
  <c r="M263" i="1" s="1"/>
  <c r="L264" i="1" a="1"/>
  <c r="L264" i="1" s="1"/>
  <c r="P264" i="1" a="1"/>
  <c r="P264" i="1" s="1"/>
  <c r="G265" i="1" a="1"/>
  <c r="G265" i="1" s="1"/>
  <c r="O265" i="1"/>
  <c r="M265" i="15" s="1"/>
  <c r="N265" i="15" s="1" a="1"/>
  <c r="N265" i="15" s="1"/>
  <c r="C266" i="1" a="1"/>
  <c r="C266" i="1" s="1"/>
  <c r="E266" i="15" s="1"/>
  <c r="F266" i="1" a="1"/>
  <c r="F266" i="1" s="1"/>
  <c r="R266" i="15" s="1"/>
  <c r="J266" i="1" a="1"/>
  <c r="J266" i="1" s="1"/>
  <c r="L266" i="1" a="1"/>
  <c r="L266" i="1" s="1"/>
  <c r="O266" i="1"/>
  <c r="M266" i="15" s="1"/>
  <c r="N266" i="15" s="1" a="1"/>
  <c r="N266" i="15" s="1"/>
  <c r="C267" i="1" a="1"/>
  <c r="C267" i="1" s="1"/>
  <c r="E267" i="15" s="1"/>
  <c r="L267" i="1" a="1"/>
  <c r="L267" i="1" s="1"/>
  <c r="Q267" i="1" a="1"/>
  <c r="Q267" i="1" s="1"/>
  <c r="S267" i="15" s="1"/>
  <c r="H268" i="1" a="1"/>
  <c r="H268" i="1" s="1"/>
  <c r="K268" i="1" a="1"/>
  <c r="K268" i="1" s="1"/>
  <c r="O268" i="1"/>
  <c r="M268" i="15" s="1"/>
  <c r="N268" i="15" s="1" a="1"/>
  <c r="N268" i="15" s="1"/>
  <c r="C269" i="1" a="1"/>
  <c r="C269" i="1" s="1"/>
  <c r="E269" i="15" s="1"/>
  <c r="F269" i="1" a="1"/>
  <c r="F269" i="1" s="1"/>
  <c r="R269" i="15" s="1"/>
  <c r="J269" i="1" a="1"/>
  <c r="J269" i="1" s="1"/>
  <c r="M269" i="1" a="1"/>
  <c r="M269" i="1" s="1"/>
  <c r="O243" i="1"/>
  <c r="M243" i="15" s="1"/>
  <c r="N243" i="15" s="1" a="1"/>
  <c r="N243" i="15" s="1"/>
  <c r="G244" i="1" a="1"/>
  <c r="G244" i="1" s="1"/>
  <c r="J244" i="15" s="1"/>
  <c r="P245" i="1" a="1"/>
  <c r="P245" i="1" s="1"/>
  <c r="H246" i="1" a="1"/>
  <c r="H246" i="1" s="1"/>
  <c r="F247" i="1" a="1"/>
  <c r="F247" i="1" s="1"/>
  <c r="R247" i="15" s="1"/>
  <c r="K247" i="1" a="1"/>
  <c r="K247" i="1" s="1"/>
  <c r="L247" i="15" s="1"/>
  <c r="C248" i="1" a="1"/>
  <c r="C248" i="1" s="1"/>
  <c r="E248" i="15" s="1"/>
  <c r="G248" i="1" a="1"/>
  <c r="G248" i="1" s="1"/>
  <c r="M248" i="1" a="1"/>
  <c r="M248" i="1" s="1"/>
  <c r="J249" i="1" a="1"/>
  <c r="J249" i="1" s="1"/>
  <c r="O249" i="1"/>
  <c r="M249" i="15" s="1"/>
  <c r="N249" i="15" s="1" a="1"/>
  <c r="N249" i="15" s="1"/>
  <c r="J250" i="1" a="1"/>
  <c r="J250" i="1" s="1"/>
  <c r="J251" i="1" a="1"/>
  <c r="J251" i="1" s="1"/>
  <c r="P251" i="1" a="1"/>
  <c r="P251" i="1" s="1"/>
  <c r="M252" i="1" a="1"/>
  <c r="M252" i="1" s="1"/>
  <c r="C253" i="1" a="1"/>
  <c r="C253" i="1" s="1"/>
  <c r="E253" i="15" s="1"/>
  <c r="G253" i="1" a="1"/>
  <c r="G253" i="1" s="1"/>
  <c r="J253" i="15" s="1"/>
  <c r="L253" i="1" a="1"/>
  <c r="L253" i="1" s="1"/>
  <c r="F254" i="1" a="1"/>
  <c r="F254" i="1" s="1"/>
  <c r="R254" i="15" s="1"/>
  <c r="K254" i="1" a="1"/>
  <c r="K254" i="1" s="1"/>
  <c r="L254" i="15" s="1"/>
  <c r="C255" i="1" a="1"/>
  <c r="C255" i="1" s="1"/>
  <c r="E255" i="15" s="1"/>
  <c r="G255" i="1" a="1"/>
  <c r="G255" i="1" s="1"/>
  <c r="Q255" i="1" a="1"/>
  <c r="Q255" i="1" s="1"/>
  <c r="S255" i="15" s="1"/>
  <c r="H256" i="1" a="1"/>
  <c r="H256" i="1" s="1"/>
  <c r="K256" i="1" a="1"/>
  <c r="K256" i="1" s="1"/>
  <c r="O256" i="1"/>
  <c r="M256" i="15" s="1"/>
  <c r="N256" i="15" s="1" a="1"/>
  <c r="N256" i="15" s="1"/>
  <c r="C257" i="1" a="1"/>
  <c r="C257" i="1" s="1"/>
  <c r="E257" i="15" s="1"/>
  <c r="F257" i="1" a="1"/>
  <c r="F257" i="1" s="1"/>
  <c r="R257" i="15" s="1"/>
  <c r="J257" i="1" a="1"/>
  <c r="J257" i="1" s="1"/>
  <c r="M257" i="1" a="1"/>
  <c r="M257" i="1" s="1"/>
  <c r="H259" i="1" a="1"/>
  <c r="H259" i="1" s="1"/>
  <c r="P259" i="1" a="1"/>
  <c r="P259" i="1" s="1"/>
  <c r="D260" i="1" a="1"/>
  <c r="D260" i="1" s="1"/>
  <c r="I260" i="15" s="1"/>
  <c r="G260" i="1" a="1"/>
  <c r="G260" i="1" s="1"/>
  <c r="M260" i="1" a="1"/>
  <c r="M260" i="1" s="1"/>
  <c r="L261" i="1" a="1"/>
  <c r="L261" i="1" s="1"/>
  <c r="Q261" i="1" a="1"/>
  <c r="Q261" i="1" s="1"/>
  <c r="S261" i="15" s="1"/>
  <c r="D262" i="1" a="1"/>
  <c r="D262" i="1" s="1"/>
  <c r="I262" i="15" s="1"/>
  <c r="H262" i="1" a="1"/>
  <c r="H262" i="1" s="1"/>
  <c r="K262" i="1" a="1"/>
  <c r="K262" i="1" s="1"/>
  <c r="M262" i="1" a="1"/>
  <c r="M262" i="1" s="1"/>
  <c r="Q262" i="1" a="1"/>
  <c r="Q262" i="1" s="1"/>
  <c r="S262" i="15" s="1"/>
  <c r="D263" i="1" a="1"/>
  <c r="D263" i="1" s="1"/>
  <c r="I263" i="15" s="1"/>
  <c r="G263" i="1" a="1"/>
  <c r="G263" i="1" s="1"/>
  <c r="K263" i="1" a="1"/>
  <c r="K263" i="1" s="1"/>
  <c r="L263" i="15" s="1"/>
  <c r="O263" i="1"/>
  <c r="M263" i="15" s="1"/>
  <c r="N263" i="15" s="1" a="1"/>
  <c r="N263" i="15" s="1"/>
  <c r="C264" i="1" a="1"/>
  <c r="C264" i="1" s="1"/>
  <c r="E264" i="15" s="1"/>
  <c r="F264" i="1" a="1"/>
  <c r="F264" i="1" s="1"/>
  <c r="R264" i="15" s="1"/>
  <c r="J264" i="1" a="1"/>
  <c r="J264" i="1" s="1"/>
  <c r="Q264" i="1" a="1"/>
  <c r="Q264" i="1" s="1"/>
  <c r="S264" i="15" s="1"/>
  <c r="D265" i="1" a="1"/>
  <c r="D265" i="1" s="1"/>
  <c r="I265" i="15" s="1"/>
  <c r="H265" i="1" a="1"/>
  <c r="H265" i="1" s="1"/>
  <c r="K265" i="1" a="1"/>
  <c r="K265" i="1" s="1"/>
  <c r="P265" i="1" a="1"/>
  <c r="P265" i="1" s="1"/>
  <c r="G266" i="1" a="1"/>
  <c r="G266" i="1" s="1"/>
  <c r="P266" i="1" a="1"/>
  <c r="P266" i="1" s="1"/>
  <c r="F267" i="1" a="1"/>
  <c r="F267" i="1" s="1"/>
  <c r="R267" i="15" s="1"/>
  <c r="J267" i="1" a="1"/>
  <c r="J267" i="1" s="1"/>
  <c r="M267" i="1" a="1"/>
  <c r="M267" i="1" s="1"/>
  <c r="L268" i="1" a="1"/>
  <c r="L268" i="1" s="1"/>
  <c r="P268" i="1" a="1"/>
  <c r="P268" i="1" s="1"/>
  <c r="G269" i="1" a="1"/>
  <c r="G269" i="1" s="1"/>
  <c r="O269" i="1"/>
  <c r="M269" i="15" s="1"/>
  <c r="N269" i="15" s="1" a="1"/>
  <c r="N269" i="15" s="1"/>
  <c r="C270" i="1" a="1"/>
  <c r="C270" i="1" s="1"/>
  <c r="E270" i="15" s="1"/>
  <c r="F270" i="1" a="1"/>
  <c r="F270" i="1" s="1"/>
  <c r="R270" i="15" s="1"/>
  <c r="J270" i="1" a="1"/>
  <c r="J270" i="1" s="1"/>
  <c r="L270" i="1" a="1"/>
  <c r="L270" i="1" s="1"/>
  <c r="O270" i="1"/>
  <c r="M270" i="15" s="1"/>
  <c r="N270" i="15" s="1" a="1"/>
  <c r="N270" i="15" s="1"/>
  <c r="C271" i="1" a="1"/>
  <c r="C271" i="1" s="1"/>
  <c r="E271" i="15" s="1"/>
  <c r="L271" i="1" a="1"/>
  <c r="L271" i="1" s="1"/>
  <c r="Q271" i="1" a="1"/>
  <c r="Q271" i="1" s="1"/>
  <c r="S271" i="15" s="1"/>
  <c r="H243" i="1" a="1"/>
  <c r="H243" i="1" s="1"/>
  <c r="M246" i="1" a="1"/>
  <c r="M246" i="1" s="1"/>
  <c r="G247" i="1" a="1"/>
  <c r="G247" i="1" s="1"/>
  <c r="J247" i="15" s="1"/>
  <c r="O247" i="1"/>
  <c r="M247" i="15" s="1"/>
  <c r="N247" i="15" s="1" a="1"/>
  <c r="N247" i="15" s="1"/>
  <c r="H248" i="1" a="1"/>
  <c r="H248" i="1" s="1"/>
  <c r="K248" i="1" a="1"/>
  <c r="K248" i="1" s="1"/>
  <c r="L248" i="15" s="1"/>
  <c r="O248" i="1"/>
  <c r="M248" i="15" s="1"/>
  <c r="N248" i="15" s="1" a="1"/>
  <c r="N248" i="15" s="1"/>
  <c r="C249" i="1" a="1"/>
  <c r="C249" i="1" s="1"/>
  <c r="E249" i="15" s="1"/>
  <c r="F249" i="1" a="1"/>
  <c r="F249" i="1" s="1"/>
  <c r="R249" i="15" s="1"/>
  <c r="K249" i="1" a="1"/>
  <c r="K249" i="1" s="1"/>
  <c r="L249" i="15" s="1"/>
  <c r="Q249" i="1" a="1"/>
  <c r="Q249" i="1" s="1"/>
  <c r="S249" i="15" s="1"/>
  <c r="F250" i="1" a="1"/>
  <c r="F250" i="1" s="1"/>
  <c r="R250" i="15" s="1"/>
  <c r="C251" i="1" a="1"/>
  <c r="C251" i="1" s="1"/>
  <c r="E251" i="15" s="1"/>
  <c r="F251" i="1" a="1"/>
  <c r="F251" i="1" s="1"/>
  <c r="R251" i="15" s="1"/>
  <c r="L251" i="1" a="1"/>
  <c r="L251" i="1" s="1"/>
  <c r="Q251" i="1" a="1"/>
  <c r="Q251" i="1" s="1"/>
  <c r="S251" i="15" s="1"/>
  <c r="O252" i="1"/>
  <c r="M252" i="15" s="1"/>
  <c r="N252" i="15" s="1" a="1"/>
  <c r="N252" i="15" s="1"/>
  <c r="M253" i="1" a="1"/>
  <c r="M253" i="1" s="1"/>
  <c r="C254" i="1" a="1"/>
  <c r="C254" i="1" s="1"/>
  <c r="E254" i="15" s="1"/>
  <c r="H254" i="1" a="1"/>
  <c r="H254" i="1" s="1"/>
  <c r="O254" i="1"/>
  <c r="M254" i="15" s="1"/>
  <c r="N254" i="15" s="1" a="1"/>
  <c r="N254" i="15" s="1"/>
  <c r="D255" i="1" a="1"/>
  <c r="D255" i="1" s="1"/>
  <c r="I255" i="15" s="1"/>
  <c r="H255" i="1" a="1"/>
  <c r="H255" i="1" s="1"/>
  <c r="L255" i="1" a="1"/>
  <c r="L255" i="1" s="1"/>
  <c r="L256" i="1" a="1"/>
  <c r="L256" i="1" s="1"/>
  <c r="P256" i="1" a="1"/>
  <c r="P256" i="1" s="1"/>
  <c r="G257" i="1" a="1"/>
  <c r="G257" i="1" s="1"/>
  <c r="J257" i="15" s="1"/>
  <c r="O257" i="1"/>
  <c r="M257" i="15" s="1"/>
  <c r="N257" i="15" s="1" a="1"/>
  <c r="N257" i="15" s="1"/>
  <c r="C258" i="1" a="1"/>
  <c r="C258" i="1" s="1"/>
  <c r="E258" i="15" s="1"/>
  <c r="F258" i="1" a="1"/>
  <c r="F258" i="1" s="1"/>
  <c r="R258" i="15" s="1"/>
  <c r="J258" i="1" a="1"/>
  <c r="J258" i="1" s="1"/>
  <c r="L258" i="1" a="1"/>
  <c r="L258" i="1" s="1"/>
  <c r="O258" i="1"/>
  <c r="M258" i="15" s="1"/>
  <c r="N258" i="15" s="1" a="1"/>
  <c r="N258" i="15" s="1"/>
  <c r="C259" i="1" a="1"/>
  <c r="C259" i="1" s="1"/>
  <c r="E259" i="15" s="1"/>
  <c r="L259" i="1" a="1"/>
  <c r="L259" i="1" s="1"/>
  <c r="Q259" i="1" a="1"/>
  <c r="Q259" i="1" s="1"/>
  <c r="S259" i="15" s="1"/>
  <c r="H260" i="1" a="1"/>
  <c r="H260" i="1" s="1"/>
  <c r="K260" i="1" a="1"/>
  <c r="K260" i="1" s="1"/>
  <c r="L260" i="15" s="1"/>
  <c r="O260" i="1"/>
  <c r="M260" i="15" s="1"/>
  <c r="N260" i="15" s="1" a="1"/>
  <c r="N260" i="15" s="1"/>
  <c r="C261" i="1" a="1"/>
  <c r="C261" i="1" s="1"/>
  <c r="E261" i="15" s="1"/>
  <c r="F261" i="1" a="1"/>
  <c r="F261" i="1" s="1"/>
  <c r="R261" i="15" s="1"/>
  <c r="J261" i="1" a="1"/>
  <c r="J261" i="1" s="1"/>
  <c r="M261" i="1" a="1"/>
  <c r="M261" i="1" s="1"/>
  <c r="H263" i="1" a="1"/>
  <c r="H263" i="1" s="1"/>
  <c r="P263" i="1" a="1"/>
  <c r="P263" i="1" s="1"/>
  <c r="D264" i="1" a="1"/>
  <c r="D264" i="1" s="1"/>
  <c r="I264" i="15" s="1"/>
  <c r="G264" i="1" a="1"/>
  <c r="G264" i="1" s="1"/>
  <c r="J264" i="15" s="1"/>
  <c r="M264" i="1" a="1"/>
  <c r="M264" i="1" s="1"/>
  <c r="L265" i="1" a="1"/>
  <c r="L265" i="1" s="1"/>
  <c r="Q265" i="1" a="1"/>
  <c r="Q265" i="1" s="1"/>
  <c r="S265" i="15" s="1"/>
  <c r="D266" i="1" a="1"/>
  <c r="D266" i="1" s="1"/>
  <c r="I266" i="15" s="1"/>
  <c r="H266" i="1" a="1"/>
  <c r="H266" i="1" s="1"/>
  <c r="K266" i="1" a="1"/>
  <c r="K266" i="1" s="1"/>
  <c r="M266" i="1" a="1"/>
  <c r="M266" i="1" s="1"/>
  <c r="Q266" i="1" a="1"/>
  <c r="Q266" i="1" s="1"/>
  <c r="S266" i="15" s="1"/>
  <c r="D267" i="1" a="1"/>
  <c r="D267" i="1" s="1"/>
  <c r="I267" i="15" s="1"/>
  <c r="G267" i="1" a="1"/>
  <c r="G267" i="1" s="1"/>
  <c r="J267" i="15" s="1"/>
  <c r="K267" i="1" a="1"/>
  <c r="K267" i="1" s="1"/>
  <c r="L267" i="15" s="1"/>
  <c r="O267" i="1"/>
  <c r="M267" i="15" s="1"/>
  <c r="N267" i="15" s="1" a="1"/>
  <c r="N267" i="15" s="1"/>
  <c r="C268" i="1" a="1"/>
  <c r="C268" i="1" s="1"/>
  <c r="E268" i="15" s="1"/>
  <c r="F268" i="1" a="1"/>
  <c r="F268" i="1" s="1"/>
  <c r="R268" i="15" s="1"/>
  <c r="J268" i="1" a="1"/>
  <c r="J268" i="1" s="1"/>
  <c r="Q268" i="1" a="1"/>
  <c r="Q268" i="1" s="1"/>
  <c r="S268" i="15" s="1"/>
  <c r="D269" i="1" a="1"/>
  <c r="D269" i="1" s="1"/>
  <c r="I269" i="15" s="1"/>
  <c r="H269" i="1" a="1"/>
  <c r="H269" i="1" s="1"/>
  <c r="K269" i="1" a="1"/>
  <c r="K269" i="1" s="1"/>
  <c r="L269" i="15" s="1"/>
  <c r="P269" i="1" a="1"/>
  <c r="P269" i="1" s="1"/>
  <c r="G270" i="1" a="1"/>
  <c r="G270" i="1" s="1"/>
  <c r="P270" i="1" a="1"/>
  <c r="P270" i="1" s="1"/>
  <c r="F271" i="1" a="1"/>
  <c r="F271" i="1" s="1"/>
  <c r="R271" i="15" s="1"/>
  <c r="J271" i="1" a="1"/>
  <c r="J271" i="1" s="1"/>
  <c r="M271" i="1" a="1"/>
  <c r="M271" i="1" s="1"/>
  <c r="L272" i="1" a="1"/>
  <c r="L272" i="1" s="1"/>
  <c r="P272" i="1" a="1"/>
  <c r="P272" i="1" s="1"/>
  <c r="G273" i="1" a="1"/>
  <c r="G273" i="1" s="1"/>
  <c r="O273" i="1"/>
  <c r="M273" i="15" s="1"/>
  <c r="N273" i="15" s="1" a="1"/>
  <c r="N273" i="15" s="1"/>
  <c r="C274" i="1" a="1"/>
  <c r="C274" i="1" s="1"/>
  <c r="E274" i="15" s="1"/>
  <c r="F274" i="1" a="1"/>
  <c r="F274" i="1" s="1"/>
  <c r="R274" i="15" s="1"/>
  <c r="J274" i="1" a="1"/>
  <c r="J274" i="1" s="1"/>
  <c r="L274" i="1" a="1"/>
  <c r="L274" i="1" s="1"/>
  <c r="O274" i="1"/>
  <c r="M274" i="15" s="1"/>
  <c r="N274" i="15" s="1" a="1"/>
  <c r="N274" i="15" s="1"/>
  <c r="C275" i="1" a="1"/>
  <c r="C275" i="1" s="1"/>
  <c r="E275" i="15" s="1"/>
  <c r="L275" i="1" a="1"/>
  <c r="L275" i="1" s="1"/>
  <c r="Q275" i="1" a="1"/>
  <c r="Q275" i="1" s="1"/>
  <c r="S275" i="15" s="1"/>
  <c r="H276" i="1" a="1"/>
  <c r="H276" i="1" s="1"/>
  <c r="K276" i="1" a="1"/>
  <c r="K276" i="1" s="1"/>
  <c r="O276" i="1"/>
  <c r="M276" i="15" s="1"/>
  <c r="N276" i="15" s="1" a="1"/>
  <c r="N276" i="15" s="1"/>
  <c r="C277" i="1" a="1"/>
  <c r="C277" i="1" s="1"/>
  <c r="E277" i="15" s="1"/>
  <c r="F277" i="1" a="1"/>
  <c r="F277" i="1" s="1"/>
  <c r="R277" i="15" s="1"/>
  <c r="J277" i="1" a="1"/>
  <c r="J277" i="1" s="1"/>
  <c r="M277" i="1" a="1"/>
  <c r="M277" i="1" s="1"/>
  <c r="H279" i="1" a="1"/>
  <c r="H279" i="1" s="1"/>
  <c r="P279" i="1" a="1"/>
  <c r="P279" i="1" s="1"/>
  <c r="D280" i="1" a="1"/>
  <c r="D280" i="1" s="1"/>
  <c r="I280" i="15" s="1"/>
  <c r="G280" i="1" a="1"/>
  <c r="G280" i="1" s="1"/>
  <c r="M280" i="1" a="1"/>
  <c r="M280" i="1" s="1"/>
  <c r="L281" i="1" a="1"/>
  <c r="L281" i="1" s="1"/>
  <c r="M270" i="1" a="1"/>
  <c r="M270" i="1" s="1"/>
  <c r="P271" i="1" a="1"/>
  <c r="P271" i="1" s="1"/>
  <c r="H272" i="1" a="1"/>
  <c r="H272" i="1" s="1"/>
  <c r="K272" i="1" a="1"/>
  <c r="K272" i="1" s="1"/>
  <c r="Q272" i="1" a="1"/>
  <c r="Q272" i="1" s="1"/>
  <c r="S272" i="15" s="1"/>
  <c r="J273" i="1" a="1"/>
  <c r="J273" i="1" s="1"/>
  <c r="P273" i="1" a="1"/>
  <c r="P273" i="1" s="1"/>
  <c r="D274" i="1" a="1"/>
  <c r="D274" i="1" s="1"/>
  <c r="I274" i="15" s="1"/>
  <c r="Q274" i="1" a="1"/>
  <c r="Q274" i="1" s="1"/>
  <c r="S274" i="15" s="1"/>
  <c r="H275" i="1" a="1"/>
  <c r="H275" i="1" s="1"/>
  <c r="F276" i="1" a="1"/>
  <c r="F276" i="1" s="1"/>
  <c r="R276" i="15" s="1"/>
  <c r="P276" i="1" a="1"/>
  <c r="P276" i="1" s="1"/>
  <c r="D277" i="1" a="1"/>
  <c r="D277" i="1" s="1"/>
  <c r="I277" i="15" s="1"/>
  <c r="O277" i="1"/>
  <c r="M277" i="15" s="1"/>
  <c r="N277" i="15" s="1" a="1"/>
  <c r="N277" i="15" s="1"/>
  <c r="C278" i="1" a="1"/>
  <c r="C278" i="1" s="1"/>
  <c r="E278" i="15" s="1"/>
  <c r="F278" i="1" a="1"/>
  <c r="F278" i="1" s="1"/>
  <c r="R278" i="15" s="1"/>
  <c r="J278" i="1" a="1"/>
  <c r="J278" i="1" s="1"/>
  <c r="Q278" i="1" a="1"/>
  <c r="Q278" i="1" s="1"/>
  <c r="S278" i="15" s="1"/>
  <c r="D279" i="1" a="1"/>
  <c r="D279" i="1" s="1"/>
  <c r="I279" i="15" s="1"/>
  <c r="M279" i="1" a="1"/>
  <c r="M279" i="1" s="1"/>
  <c r="C280" i="1" a="1"/>
  <c r="C280" i="1" s="1"/>
  <c r="E280" i="15" s="1"/>
  <c r="H280" i="1" a="1"/>
  <c r="H280" i="1" s="1"/>
  <c r="L280" i="1" a="1"/>
  <c r="L280" i="1" s="1"/>
  <c r="Q280" i="1" a="1"/>
  <c r="Q280" i="1" s="1"/>
  <c r="S280" i="15" s="1"/>
  <c r="D281" i="1" a="1"/>
  <c r="D281" i="1" s="1"/>
  <c r="I281" i="15" s="1"/>
  <c r="H281" i="1" a="1"/>
  <c r="H281" i="1" s="1"/>
  <c r="K281" i="1" a="1"/>
  <c r="K281" i="1" s="1"/>
  <c r="Q281" i="1" a="1"/>
  <c r="Q281" i="1" s="1"/>
  <c r="S281" i="15" s="1"/>
  <c r="D282" i="1" a="1"/>
  <c r="D282" i="1" s="1"/>
  <c r="I282" i="15" s="1"/>
  <c r="H282" i="1" a="1"/>
  <c r="H282" i="1" s="1"/>
  <c r="K282" i="1" a="1"/>
  <c r="K282" i="1" s="1"/>
  <c r="M282" i="1" a="1"/>
  <c r="M282" i="1" s="1"/>
  <c r="Q282" i="1" a="1"/>
  <c r="Q282" i="1" s="1"/>
  <c r="S282" i="15" s="1"/>
  <c r="D283" i="1" a="1"/>
  <c r="D283" i="1" s="1"/>
  <c r="I283" i="15" s="1"/>
  <c r="G283" i="1" a="1"/>
  <c r="G283" i="1" s="1"/>
  <c r="K283" i="1" a="1"/>
  <c r="K283" i="1" s="1"/>
  <c r="O283" i="1"/>
  <c r="M283" i="15" s="1"/>
  <c r="N283" i="15" s="1" a="1"/>
  <c r="N283" i="15" s="1"/>
  <c r="C284" i="1" a="1"/>
  <c r="C284" i="1" s="1"/>
  <c r="E284" i="15" s="1"/>
  <c r="F284" i="1" a="1"/>
  <c r="F284" i="1" s="1"/>
  <c r="R284" i="15" s="1"/>
  <c r="J284" i="1" a="1"/>
  <c r="J284" i="1" s="1"/>
  <c r="Q284" i="1" a="1"/>
  <c r="Q284" i="1" s="1"/>
  <c r="S284" i="15" s="1"/>
  <c r="D285" i="1" a="1"/>
  <c r="D285" i="1" s="1"/>
  <c r="I285" i="15" s="1"/>
  <c r="H285" i="1" a="1"/>
  <c r="H285" i="1" s="1"/>
  <c r="K285" i="1" a="1"/>
  <c r="K285" i="1" s="1"/>
  <c r="P285" i="1" a="1"/>
  <c r="P285" i="1" s="1"/>
  <c r="G286" i="1" a="1"/>
  <c r="G286" i="1" s="1"/>
  <c r="P286" i="1" a="1"/>
  <c r="P286" i="1" s="1"/>
  <c r="F287" i="1" a="1"/>
  <c r="F287" i="1" s="1"/>
  <c r="R287" i="15" s="1"/>
  <c r="J287" i="1" a="1"/>
  <c r="J287" i="1" s="1"/>
  <c r="M287" i="1" a="1"/>
  <c r="M287" i="1" s="1"/>
  <c r="L288" i="1" a="1"/>
  <c r="L288" i="1" s="1"/>
  <c r="P288" i="1" a="1"/>
  <c r="P288" i="1" s="1"/>
  <c r="G289" i="1" a="1"/>
  <c r="G289" i="1" s="1"/>
  <c r="O289" i="1"/>
  <c r="M289" i="15" s="1"/>
  <c r="N289" i="15" s="1" a="1"/>
  <c r="N289" i="15" s="1"/>
  <c r="C290" i="1" a="1"/>
  <c r="C290" i="1" s="1"/>
  <c r="E290" i="15" s="1"/>
  <c r="F290" i="1" a="1"/>
  <c r="F290" i="1" s="1"/>
  <c r="R290" i="15" s="1"/>
  <c r="J290" i="1" a="1"/>
  <c r="J290" i="1" s="1"/>
  <c r="L290" i="1" a="1"/>
  <c r="L290" i="1" s="1"/>
  <c r="O290" i="1"/>
  <c r="M290" i="15" s="1"/>
  <c r="N290" i="15" s="1" a="1"/>
  <c r="N290" i="15" s="1"/>
  <c r="C291" i="1" a="1"/>
  <c r="C291" i="1" s="1"/>
  <c r="E291" i="15" s="1"/>
  <c r="L291" i="1" a="1"/>
  <c r="L291" i="1" s="1"/>
  <c r="Q291" i="1" a="1"/>
  <c r="Q291" i="1" s="1"/>
  <c r="S291" i="15" s="1"/>
  <c r="H292" i="1" a="1"/>
  <c r="H292" i="1" s="1"/>
  <c r="K292" i="1" a="1"/>
  <c r="K292" i="1" s="1"/>
  <c r="O292" i="1"/>
  <c r="M292" i="15" s="1"/>
  <c r="N292" i="15" s="1" a="1"/>
  <c r="N292" i="15" s="1"/>
  <c r="L293" i="1" a="1"/>
  <c r="L293" i="1" s="1"/>
  <c r="P293" i="1" a="1"/>
  <c r="P293" i="1" s="1"/>
  <c r="C294" i="1" a="1"/>
  <c r="C294" i="1" s="1"/>
  <c r="E294" i="15" s="1"/>
  <c r="G294" i="1" a="1"/>
  <c r="G294" i="1" s="1"/>
  <c r="M294" i="1" a="1"/>
  <c r="M294" i="1" s="1"/>
  <c r="L295" i="1" a="1"/>
  <c r="L295" i="1" s="1"/>
  <c r="P295" i="1" a="1"/>
  <c r="P295" i="1" s="1"/>
  <c r="G296" i="1" a="1"/>
  <c r="G296" i="1" s="1"/>
  <c r="O296" i="1"/>
  <c r="M296" i="15" s="1"/>
  <c r="N296" i="15" s="1" a="1"/>
  <c r="N296" i="15" s="1"/>
  <c r="C297" i="1" a="1"/>
  <c r="C297" i="1" s="1"/>
  <c r="E297" i="15" s="1"/>
  <c r="F297" i="1" a="1"/>
  <c r="F297" i="1" s="1"/>
  <c r="R297" i="15" s="1"/>
  <c r="J297" i="1" a="1"/>
  <c r="J297" i="1" s="1"/>
  <c r="L297" i="1" a="1"/>
  <c r="L297" i="1" s="1"/>
  <c r="O297" i="1"/>
  <c r="M297" i="15" s="1"/>
  <c r="N297" i="15" s="1" a="1"/>
  <c r="N297" i="15" s="1"/>
  <c r="C298" i="1" a="1"/>
  <c r="C298" i="1" s="1"/>
  <c r="E298" i="15" s="1"/>
  <c r="L298" i="1" a="1"/>
  <c r="L298" i="1" s="1"/>
  <c r="Q298" i="1" a="1"/>
  <c r="Q298" i="1" s="1"/>
  <c r="S298" i="15" s="1"/>
  <c r="H299" i="1" a="1"/>
  <c r="H299" i="1" s="1"/>
  <c r="K299" i="1" a="1"/>
  <c r="K299" i="1" s="1"/>
  <c r="O299" i="1"/>
  <c r="M299" i="15" s="1"/>
  <c r="N299" i="15" s="1" a="1"/>
  <c r="N299" i="15" s="1"/>
  <c r="C300" i="1" a="1"/>
  <c r="C300" i="1" s="1"/>
  <c r="E300" i="15" s="1"/>
  <c r="F300" i="1" a="1"/>
  <c r="F300" i="1" s="1"/>
  <c r="R300" i="15" s="1"/>
  <c r="J300" i="1" a="1"/>
  <c r="J300" i="1" s="1"/>
  <c r="M300" i="1" a="1"/>
  <c r="M300" i="1" s="1"/>
  <c r="H302" i="1" a="1"/>
  <c r="H302" i="1" s="1"/>
  <c r="P302" i="1" a="1"/>
  <c r="P302" i="1" s="1"/>
  <c r="D303" i="1" a="1"/>
  <c r="D303" i="1" s="1"/>
  <c r="I303" i="15" s="1"/>
  <c r="G303" i="1" a="1"/>
  <c r="G303" i="1" s="1"/>
  <c r="M303" i="1" a="1"/>
  <c r="M303" i="1" s="1"/>
  <c r="L304" i="1" a="1"/>
  <c r="L304" i="1" s="1"/>
  <c r="Q304" i="1" a="1"/>
  <c r="Q304" i="1" s="1"/>
  <c r="S304" i="15" s="1"/>
  <c r="D305" i="1" a="1"/>
  <c r="D305" i="1" s="1"/>
  <c r="I305" i="15" s="1"/>
  <c r="H305" i="1" a="1"/>
  <c r="H305" i="1" s="1"/>
  <c r="K305" i="1" a="1"/>
  <c r="K305" i="1" s="1"/>
  <c r="Q269" i="1" a="1"/>
  <c r="Q269" i="1" s="1"/>
  <c r="S269" i="15" s="1"/>
  <c r="H270" i="1" a="1"/>
  <c r="H270" i="1" s="1"/>
  <c r="Q270" i="1" a="1"/>
  <c r="Q270" i="1" s="1"/>
  <c r="S270" i="15" s="1"/>
  <c r="K271" i="1" a="1"/>
  <c r="K271" i="1" s="1"/>
  <c r="L271" i="15" s="1"/>
  <c r="F273" i="1" a="1"/>
  <c r="F273" i="1" s="1"/>
  <c r="R273" i="15" s="1"/>
  <c r="K273" i="1" a="1"/>
  <c r="K273" i="1" s="1"/>
  <c r="Q273" i="1" a="1"/>
  <c r="Q273" i="1" s="1"/>
  <c r="S273" i="15" s="1"/>
  <c r="M274" i="1" a="1"/>
  <c r="M274" i="1" s="1"/>
  <c r="M275" i="1" a="1"/>
  <c r="M275" i="1" s="1"/>
  <c r="C276" i="1" a="1"/>
  <c r="C276" i="1" s="1"/>
  <c r="E276" i="15" s="1"/>
  <c r="G276" i="1" a="1"/>
  <c r="G276" i="1" s="1"/>
  <c r="J276" i="15" s="1"/>
  <c r="L276" i="1" a="1"/>
  <c r="L276" i="1" s="1"/>
  <c r="Q276" i="1" a="1"/>
  <c r="Q276" i="1" s="1"/>
  <c r="S276" i="15" s="1"/>
  <c r="P277" i="1" a="1"/>
  <c r="P277" i="1" s="1"/>
  <c r="G278" i="1" a="1"/>
  <c r="G278" i="1" s="1"/>
  <c r="M278" i="1" a="1"/>
  <c r="M278" i="1" s="1"/>
  <c r="J279" i="1" a="1"/>
  <c r="J279" i="1" s="1"/>
  <c r="O279" i="1"/>
  <c r="M279" i="15" s="1"/>
  <c r="N279" i="15" s="1" a="1"/>
  <c r="N279" i="15" s="1"/>
  <c r="M281" i="1" a="1"/>
  <c r="M281" i="1" s="1"/>
  <c r="H283" i="1" a="1"/>
  <c r="H283" i="1" s="1"/>
  <c r="P283" i="1" a="1"/>
  <c r="P283" i="1" s="1"/>
  <c r="D284" i="1" a="1"/>
  <c r="D284" i="1" s="1"/>
  <c r="I284" i="15" s="1"/>
  <c r="G284" i="1" a="1"/>
  <c r="G284" i="1" s="1"/>
  <c r="M284" i="1" a="1"/>
  <c r="M284" i="1" s="1"/>
  <c r="L285" i="1" a="1"/>
  <c r="L285" i="1" s="1"/>
  <c r="Q285" i="1" a="1"/>
  <c r="Q285" i="1" s="1"/>
  <c r="S285" i="15" s="1"/>
  <c r="D286" i="1" a="1"/>
  <c r="D286" i="1" s="1"/>
  <c r="I286" i="15" s="1"/>
  <c r="H286" i="1" a="1"/>
  <c r="H286" i="1" s="1"/>
  <c r="K286" i="1" a="1"/>
  <c r="K286" i="1" s="1"/>
  <c r="M286" i="1" a="1"/>
  <c r="M286" i="1" s="1"/>
  <c r="Q286" i="1" a="1"/>
  <c r="Q286" i="1" s="1"/>
  <c r="S286" i="15" s="1"/>
  <c r="D287" i="1" a="1"/>
  <c r="D287" i="1" s="1"/>
  <c r="I287" i="15" s="1"/>
  <c r="G287" i="1" a="1"/>
  <c r="G287" i="1" s="1"/>
  <c r="K287" i="1" a="1"/>
  <c r="K287" i="1" s="1"/>
  <c r="O287" i="1"/>
  <c r="M287" i="15" s="1"/>
  <c r="N287" i="15" s="1" a="1"/>
  <c r="N287" i="15" s="1"/>
  <c r="C288" i="1" a="1"/>
  <c r="C288" i="1" s="1"/>
  <c r="E288" i="15" s="1"/>
  <c r="F288" i="1" a="1"/>
  <c r="F288" i="1" s="1"/>
  <c r="R288" i="15" s="1"/>
  <c r="J288" i="1" a="1"/>
  <c r="J288" i="1" s="1"/>
  <c r="Q288" i="1" a="1"/>
  <c r="Q288" i="1" s="1"/>
  <c r="S288" i="15" s="1"/>
  <c r="D289" i="1" a="1"/>
  <c r="D289" i="1" s="1"/>
  <c r="I289" i="15" s="1"/>
  <c r="H289" i="1" a="1"/>
  <c r="H289" i="1" s="1"/>
  <c r="K289" i="1" a="1"/>
  <c r="K289" i="1" s="1"/>
  <c r="P289" i="1" a="1"/>
  <c r="P289" i="1" s="1"/>
  <c r="G290" i="1" a="1"/>
  <c r="G290" i="1" s="1"/>
  <c r="P290" i="1" a="1"/>
  <c r="P290" i="1" s="1"/>
  <c r="F291" i="1" a="1"/>
  <c r="F291" i="1" s="1"/>
  <c r="R291" i="15" s="1"/>
  <c r="J291" i="1" a="1"/>
  <c r="J291" i="1" s="1"/>
  <c r="M291" i="1" a="1"/>
  <c r="M291" i="1" s="1"/>
  <c r="L292" i="1" a="1"/>
  <c r="L292" i="1" s="1"/>
  <c r="P292" i="1" a="1"/>
  <c r="P292" i="1" s="1"/>
  <c r="C293" i="1" a="1"/>
  <c r="C293" i="1" s="1"/>
  <c r="E293" i="15" s="1"/>
  <c r="F293" i="1" a="1"/>
  <c r="F293" i="1" s="1"/>
  <c r="R293" i="15" s="1"/>
  <c r="J293" i="1" a="1"/>
  <c r="J293" i="1" s="1"/>
  <c r="M293" i="1" a="1"/>
  <c r="M293" i="1" s="1"/>
  <c r="Q293" i="1" a="1"/>
  <c r="Q293" i="1" s="1"/>
  <c r="S293" i="15" s="1"/>
  <c r="D294" i="1" a="1"/>
  <c r="D294" i="1" s="1"/>
  <c r="I294" i="15" s="1"/>
  <c r="H294" i="1" a="1"/>
  <c r="H294" i="1" s="1"/>
  <c r="K294" i="1" a="1"/>
  <c r="K294" i="1" s="1"/>
  <c r="O294" i="1"/>
  <c r="M294" i="15" s="1"/>
  <c r="N294" i="15" s="1" a="1"/>
  <c r="N294" i="15" s="1"/>
  <c r="C295" i="1" a="1"/>
  <c r="C295" i="1" s="1"/>
  <c r="E295" i="15" s="1"/>
  <c r="F295" i="1" a="1"/>
  <c r="F295" i="1" s="1"/>
  <c r="R295" i="15" s="1"/>
  <c r="J295" i="1" a="1"/>
  <c r="J295" i="1" s="1"/>
  <c r="Q295" i="1" a="1"/>
  <c r="Q295" i="1" s="1"/>
  <c r="S295" i="15" s="1"/>
  <c r="D296" i="1" a="1"/>
  <c r="D296" i="1" s="1"/>
  <c r="I296" i="15" s="1"/>
  <c r="H296" i="1" a="1"/>
  <c r="H296" i="1" s="1"/>
  <c r="K296" i="1" a="1"/>
  <c r="K296" i="1" s="1"/>
  <c r="P296" i="1" a="1"/>
  <c r="P296" i="1" s="1"/>
  <c r="G297" i="1" a="1"/>
  <c r="G297" i="1" s="1"/>
  <c r="P297" i="1" a="1"/>
  <c r="P297" i="1" s="1"/>
  <c r="F298" i="1" a="1"/>
  <c r="F298" i="1" s="1"/>
  <c r="R298" i="15" s="1"/>
  <c r="J298" i="1" a="1"/>
  <c r="J298" i="1" s="1"/>
  <c r="M298" i="1" a="1"/>
  <c r="M298" i="1" s="1"/>
  <c r="L299" i="1" a="1"/>
  <c r="L299" i="1" s="1"/>
  <c r="P299" i="1" a="1"/>
  <c r="P299" i="1" s="1"/>
  <c r="G300" i="1" a="1"/>
  <c r="G300" i="1" s="1"/>
  <c r="O300" i="1"/>
  <c r="M300" i="15" s="1"/>
  <c r="N300" i="15" s="1" a="1"/>
  <c r="N300" i="15" s="1"/>
  <c r="C301" i="1" a="1"/>
  <c r="C301" i="1" s="1"/>
  <c r="E301" i="15" s="1"/>
  <c r="F301" i="1" a="1"/>
  <c r="F301" i="1" s="1"/>
  <c r="R301" i="15" s="1"/>
  <c r="J301" i="1" a="1"/>
  <c r="J301" i="1" s="1"/>
  <c r="L301" i="1" a="1"/>
  <c r="L301" i="1" s="1"/>
  <c r="O301" i="1"/>
  <c r="M301" i="15" s="1"/>
  <c r="N301" i="15" s="1" a="1"/>
  <c r="N301" i="15" s="1"/>
  <c r="C302" i="1" a="1"/>
  <c r="C302" i="1" s="1"/>
  <c r="E302" i="15" s="1"/>
  <c r="L302" i="1" a="1"/>
  <c r="L302" i="1" s="1"/>
  <c r="Q302" i="1" a="1"/>
  <c r="Q302" i="1" s="1"/>
  <c r="S302" i="15" s="1"/>
  <c r="H303" i="1" a="1"/>
  <c r="H303" i="1" s="1"/>
  <c r="K303" i="1" a="1"/>
  <c r="K303" i="1" s="1"/>
  <c r="O303" i="1"/>
  <c r="M303" i="15" s="1"/>
  <c r="N303" i="15" s="1" a="1"/>
  <c r="N303" i="15" s="1"/>
  <c r="C304" i="1" a="1"/>
  <c r="C304" i="1" s="1"/>
  <c r="E304" i="15" s="1"/>
  <c r="F304" i="1" a="1"/>
  <c r="F304" i="1" s="1"/>
  <c r="R304" i="15" s="1"/>
  <c r="J304" i="1" a="1"/>
  <c r="J304" i="1" s="1"/>
  <c r="M304" i="1" a="1"/>
  <c r="M304" i="1" s="1"/>
  <c r="H306" i="1" a="1"/>
  <c r="H306" i="1" s="1"/>
  <c r="P306" i="1" a="1"/>
  <c r="P306" i="1" s="1"/>
  <c r="D307" i="1" a="1"/>
  <c r="D307" i="1" s="1"/>
  <c r="I307" i="15" s="1"/>
  <c r="G307" i="1" a="1"/>
  <c r="G307" i="1" s="1"/>
  <c r="M307" i="1" a="1"/>
  <c r="M307" i="1" s="1"/>
  <c r="L308" i="1" a="1"/>
  <c r="L308" i="1" s="1"/>
  <c r="Q308" i="1" a="1"/>
  <c r="Q308" i="1" s="1"/>
  <c r="S308" i="15" s="1"/>
  <c r="D309" i="1" a="1"/>
  <c r="D309" i="1" s="1"/>
  <c r="I309" i="15" s="1"/>
  <c r="G309" i="1" a="1"/>
  <c r="G309" i="1" s="1"/>
  <c r="K309" i="1" a="1"/>
  <c r="K309" i="1" s="1"/>
  <c r="O309" i="1"/>
  <c r="M309" i="15" s="1"/>
  <c r="N309" i="15" s="1" a="1"/>
  <c r="N309" i="15" s="1"/>
  <c r="C310" i="1" a="1"/>
  <c r="C310" i="1" s="1"/>
  <c r="E310" i="15" s="1"/>
  <c r="G310" i="1" a="1"/>
  <c r="G310" i="1" s="1"/>
  <c r="K310" i="1" a="1"/>
  <c r="K310" i="1" s="1"/>
  <c r="P310" i="1" a="1"/>
  <c r="P310" i="1" s="1"/>
  <c r="G271" i="1" a="1"/>
  <c r="G271" i="1" s="1"/>
  <c r="C272" i="1" a="1"/>
  <c r="C272" i="1" s="1"/>
  <c r="E272" i="15" s="1"/>
  <c r="F272" i="1" a="1"/>
  <c r="F272" i="1" s="1"/>
  <c r="R272" i="15" s="1"/>
  <c r="J272" i="1" a="1"/>
  <c r="J272" i="1" s="1"/>
  <c r="M272" i="1" a="1"/>
  <c r="M272" i="1" s="1"/>
  <c r="C273" i="1" a="1"/>
  <c r="C273" i="1" s="1"/>
  <c r="E273" i="15" s="1"/>
  <c r="H273" i="1" a="1"/>
  <c r="H273" i="1" s="1"/>
  <c r="L273" i="1" a="1"/>
  <c r="L273" i="1" s="1"/>
  <c r="G274" i="1" a="1"/>
  <c r="G274" i="1" s="1"/>
  <c r="K274" i="1" a="1"/>
  <c r="K274" i="1" s="1"/>
  <c r="L274" i="15" s="1"/>
  <c r="F275" i="1" a="1"/>
  <c r="F275" i="1" s="1"/>
  <c r="R275" i="15" s="1"/>
  <c r="J275" i="1" a="1"/>
  <c r="J275" i="1" s="1"/>
  <c r="O275" i="1"/>
  <c r="M275" i="15" s="1"/>
  <c r="N275" i="15" s="1" a="1"/>
  <c r="N275" i="15" s="1"/>
  <c r="D276" i="1" a="1"/>
  <c r="D276" i="1" s="1"/>
  <c r="I276" i="15" s="1"/>
  <c r="G277" i="1" a="1"/>
  <c r="G277" i="1" s="1"/>
  <c r="K277" i="1" a="1"/>
  <c r="K277" i="1" s="1"/>
  <c r="Q277" i="1" a="1"/>
  <c r="Q277" i="1" s="1"/>
  <c r="S277" i="15" s="1"/>
  <c r="D278" i="1" a="1"/>
  <c r="D278" i="1" s="1"/>
  <c r="I278" i="15" s="1"/>
  <c r="H278" i="1" a="1"/>
  <c r="H278" i="1" s="1"/>
  <c r="K278" i="1" a="1"/>
  <c r="K278" i="1" s="1"/>
  <c r="O278" i="1"/>
  <c r="M278" i="15" s="1"/>
  <c r="N278" i="15" s="1" a="1"/>
  <c r="N278" i="15" s="1"/>
  <c r="C279" i="1" a="1"/>
  <c r="C279" i="1" s="1"/>
  <c r="E279" i="15" s="1"/>
  <c r="F279" i="1" a="1"/>
  <c r="F279" i="1" s="1"/>
  <c r="R279" i="15" s="1"/>
  <c r="K279" i="1" a="1"/>
  <c r="K279" i="1" s="1"/>
  <c r="Q279" i="1" a="1"/>
  <c r="Q279" i="1" s="1"/>
  <c r="S279" i="15" s="1"/>
  <c r="J280" i="1" a="1"/>
  <c r="J280" i="1" s="1"/>
  <c r="O280" i="1"/>
  <c r="M280" i="15" s="1"/>
  <c r="N280" i="15" s="1" a="1"/>
  <c r="N280" i="15" s="1"/>
  <c r="C281" i="1" a="1"/>
  <c r="C281" i="1" s="1"/>
  <c r="E281" i="15" s="1"/>
  <c r="F281" i="1" a="1"/>
  <c r="F281" i="1" s="1"/>
  <c r="R281" i="15" s="1"/>
  <c r="J281" i="1" a="1"/>
  <c r="J281" i="1" s="1"/>
  <c r="O281" i="1"/>
  <c r="M281" i="15" s="1"/>
  <c r="N281" i="15" s="1" a="1"/>
  <c r="N281" i="15" s="1"/>
  <c r="C282" i="1" a="1"/>
  <c r="C282" i="1" s="1"/>
  <c r="E282" i="15" s="1"/>
  <c r="F282" i="1" a="1"/>
  <c r="F282" i="1" s="1"/>
  <c r="R282" i="15" s="1"/>
  <c r="J282" i="1" a="1"/>
  <c r="J282" i="1" s="1"/>
  <c r="L282" i="1" a="1"/>
  <c r="L282" i="1" s="1"/>
  <c r="O282" i="1"/>
  <c r="M282" i="15" s="1"/>
  <c r="N282" i="15" s="1" a="1"/>
  <c r="N282" i="15" s="1"/>
  <c r="C283" i="1" a="1"/>
  <c r="C283" i="1" s="1"/>
  <c r="E283" i="15" s="1"/>
  <c r="L283" i="1" a="1"/>
  <c r="L283" i="1" s="1"/>
  <c r="Q283" i="1" a="1"/>
  <c r="Q283" i="1" s="1"/>
  <c r="S283" i="15" s="1"/>
  <c r="H284" i="1" a="1"/>
  <c r="H284" i="1" s="1"/>
  <c r="K284" i="1" a="1"/>
  <c r="K284" i="1" s="1"/>
  <c r="O284" i="1"/>
  <c r="M284" i="15" s="1"/>
  <c r="N284" i="15" s="1" a="1"/>
  <c r="N284" i="15" s="1"/>
  <c r="C285" i="1" a="1"/>
  <c r="C285" i="1" s="1"/>
  <c r="E285" i="15" s="1"/>
  <c r="F285" i="1" a="1"/>
  <c r="F285" i="1" s="1"/>
  <c r="R285" i="15" s="1"/>
  <c r="J285" i="1" a="1"/>
  <c r="J285" i="1" s="1"/>
  <c r="M285" i="1" a="1"/>
  <c r="M285" i="1" s="1"/>
  <c r="H287" i="1" a="1"/>
  <c r="H287" i="1" s="1"/>
  <c r="P287" i="1" a="1"/>
  <c r="P287" i="1" s="1"/>
  <c r="D288" i="1" a="1"/>
  <c r="D288" i="1" s="1"/>
  <c r="I288" i="15" s="1"/>
  <c r="G288" i="1" a="1"/>
  <c r="G288" i="1" s="1"/>
  <c r="M288" i="1" a="1"/>
  <c r="M288" i="1" s="1"/>
  <c r="L289" i="1" a="1"/>
  <c r="L289" i="1" s="1"/>
  <c r="Q289" i="1" a="1"/>
  <c r="Q289" i="1" s="1"/>
  <c r="S289" i="15" s="1"/>
  <c r="D290" i="1" a="1"/>
  <c r="D290" i="1" s="1"/>
  <c r="I290" i="15" s="1"/>
  <c r="H290" i="1" a="1"/>
  <c r="H290" i="1" s="1"/>
  <c r="K290" i="1" a="1"/>
  <c r="K290" i="1" s="1"/>
  <c r="M290" i="1" a="1"/>
  <c r="M290" i="1" s="1"/>
  <c r="Q290" i="1" a="1"/>
  <c r="Q290" i="1" s="1"/>
  <c r="S290" i="15" s="1"/>
  <c r="D291" i="1" a="1"/>
  <c r="D291" i="1" s="1"/>
  <c r="I291" i="15" s="1"/>
  <c r="G291" i="1" a="1"/>
  <c r="G291" i="1" s="1"/>
  <c r="K291" i="1" a="1"/>
  <c r="K291" i="1" s="1"/>
  <c r="L291" i="15" s="1"/>
  <c r="O291" i="1"/>
  <c r="M291" i="15" s="1"/>
  <c r="N291" i="15" s="1" a="1"/>
  <c r="N291" i="15" s="1"/>
  <c r="C292" i="1" a="1"/>
  <c r="C292" i="1" s="1"/>
  <c r="E292" i="15" s="1"/>
  <c r="F292" i="1" a="1"/>
  <c r="F292" i="1" s="1"/>
  <c r="R292" i="15" s="1"/>
  <c r="J292" i="1" a="1"/>
  <c r="J292" i="1" s="1"/>
  <c r="G293" i="1" a="1"/>
  <c r="G293" i="1" s="1"/>
  <c r="K293" i="1" a="1"/>
  <c r="K293" i="1" s="1"/>
  <c r="L293" i="15" s="1"/>
  <c r="L294" i="1" a="1"/>
  <c r="L294" i="1" s="1"/>
  <c r="P294" i="1" a="1"/>
  <c r="P294" i="1" s="1"/>
  <c r="D295" i="1" a="1"/>
  <c r="D295" i="1" s="1"/>
  <c r="I295" i="15" s="1"/>
  <c r="G295" i="1" a="1"/>
  <c r="G295" i="1" s="1"/>
  <c r="M295" i="1" a="1"/>
  <c r="M295" i="1" s="1"/>
  <c r="L296" i="1" a="1"/>
  <c r="L296" i="1" s="1"/>
  <c r="Q296" i="1" a="1"/>
  <c r="Q296" i="1" s="1"/>
  <c r="S296" i="15" s="1"/>
  <c r="D297" i="1" a="1"/>
  <c r="D297" i="1" s="1"/>
  <c r="I297" i="15" s="1"/>
  <c r="H297" i="1" a="1"/>
  <c r="H297" i="1" s="1"/>
  <c r="K297" i="1" a="1"/>
  <c r="K297" i="1" s="1"/>
  <c r="M297" i="1" a="1"/>
  <c r="M297" i="1" s="1"/>
  <c r="Q297" i="1" a="1"/>
  <c r="Q297" i="1" s="1"/>
  <c r="S297" i="15" s="1"/>
  <c r="D298" i="1" a="1"/>
  <c r="D298" i="1" s="1"/>
  <c r="I298" i="15" s="1"/>
  <c r="G298" i="1" a="1"/>
  <c r="G298" i="1" s="1"/>
  <c r="K298" i="1" a="1"/>
  <c r="K298" i="1" s="1"/>
  <c r="L298" i="15" s="1"/>
  <c r="O298" i="1"/>
  <c r="M298" i="15" s="1"/>
  <c r="N298" i="15" s="1" a="1"/>
  <c r="N298" i="15" s="1"/>
  <c r="C299" i="1" a="1"/>
  <c r="C299" i="1" s="1"/>
  <c r="E299" i="15" s="1"/>
  <c r="F299" i="1" a="1"/>
  <c r="F299" i="1" s="1"/>
  <c r="R299" i="15" s="1"/>
  <c r="J299" i="1" a="1"/>
  <c r="J299" i="1" s="1"/>
  <c r="Q299" i="1" a="1"/>
  <c r="Q299" i="1" s="1"/>
  <c r="S299" i="15" s="1"/>
  <c r="D300" i="1" a="1"/>
  <c r="D300" i="1" s="1"/>
  <c r="I300" i="15" s="1"/>
  <c r="H300" i="1" a="1"/>
  <c r="H300" i="1" s="1"/>
  <c r="K300" i="1" a="1"/>
  <c r="K300" i="1" s="1"/>
  <c r="P300" i="1" a="1"/>
  <c r="P300" i="1" s="1"/>
  <c r="G301" i="1" a="1"/>
  <c r="G301" i="1" s="1"/>
  <c r="P301" i="1" a="1"/>
  <c r="P301" i="1" s="1"/>
  <c r="F302" i="1" a="1"/>
  <c r="F302" i="1" s="1"/>
  <c r="R302" i="15" s="1"/>
  <c r="J302" i="1" a="1"/>
  <c r="J302" i="1" s="1"/>
  <c r="M302" i="1" a="1"/>
  <c r="M302" i="1" s="1"/>
  <c r="L303" i="1" a="1"/>
  <c r="L303" i="1" s="1"/>
  <c r="P303" i="1" a="1"/>
  <c r="P303" i="1" s="1"/>
  <c r="G304" i="1" a="1"/>
  <c r="G304" i="1" s="1"/>
  <c r="O304" i="1"/>
  <c r="M304" i="15" s="1"/>
  <c r="N304" i="15" s="1" a="1"/>
  <c r="N304" i="15" s="1"/>
  <c r="C305" i="1" a="1"/>
  <c r="C305" i="1" s="1"/>
  <c r="E305" i="15" s="1"/>
  <c r="F305" i="1" a="1"/>
  <c r="F305" i="1" s="1"/>
  <c r="R305" i="15" s="1"/>
  <c r="J305" i="1" a="1"/>
  <c r="J305" i="1" s="1"/>
  <c r="L305" i="1" a="1"/>
  <c r="L305" i="1" s="1"/>
  <c r="O305" i="1"/>
  <c r="M305" i="15" s="1"/>
  <c r="N305" i="15" s="1" a="1"/>
  <c r="N305" i="15" s="1"/>
  <c r="C306" i="1" a="1"/>
  <c r="C306" i="1" s="1"/>
  <c r="E306" i="15" s="1"/>
  <c r="L306" i="1" a="1"/>
  <c r="L306" i="1" s="1"/>
  <c r="D270" i="1" a="1"/>
  <c r="D270" i="1" s="1"/>
  <c r="I270" i="15" s="1"/>
  <c r="K270" i="1" a="1"/>
  <c r="K270" i="1" s="1"/>
  <c r="L270" i="15" s="1"/>
  <c r="D271" i="1" a="1"/>
  <c r="D271" i="1" s="1"/>
  <c r="I271" i="15" s="1"/>
  <c r="H271" i="1" a="1"/>
  <c r="H271" i="1" s="1"/>
  <c r="O271" i="1"/>
  <c r="M271" i="15" s="1"/>
  <c r="N271" i="15" s="1" a="1"/>
  <c r="N271" i="15" s="1"/>
  <c r="D272" i="1" a="1"/>
  <c r="D272" i="1" s="1"/>
  <c r="I272" i="15" s="1"/>
  <c r="G272" i="1" a="1"/>
  <c r="G272" i="1" s="1"/>
  <c r="O272" i="1"/>
  <c r="M272" i="15" s="1"/>
  <c r="N272" i="15" s="1" a="1"/>
  <c r="N272" i="15" s="1"/>
  <c r="D273" i="1" a="1"/>
  <c r="D273" i="1" s="1"/>
  <c r="I273" i="15" s="1"/>
  <c r="M273" i="1" a="1"/>
  <c r="M273" i="1" s="1"/>
  <c r="H274" i="1" a="1"/>
  <c r="H274" i="1" s="1"/>
  <c r="P274" i="1" a="1"/>
  <c r="P274" i="1" s="1"/>
  <c r="D275" i="1" a="1"/>
  <c r="D275" i="1" s="1"/>
  <c r="I275" i="15" s="1"/>
  <c r="G275" i="1" a="1"/>
  <c r="G275" i="1" s="1"/>
  <c r="K275" i="1" a="1"/>
  <c r="K275" i="1" s="1"/>
  <c r="P275" i="1" a="1"/>
  <c r="P275" i="1" s="1"/>
  <c r="J276" i="1" a="1"/>
  <c r="J276" i="1" s="1"/>
  <c r="M276" i="1" a="1"/>
  <c r="M276" i="1" s="1"/>
  <c r="H277" i="1" a="1"/>
  <c r="H277" i="1" s="1"/>
  <c r="L277" i="1" a="1"/>
  <c r="L277" i="1" s="1"/>
  <c r="L278" i="1" a="1"/>
  <c r="L278" i="1" s="1"/>
  <c r="P278" i="1" a="1"/>
  <c r="P278" i="1" s="1"/>
  <c r="G279" i="1" a="1"/>
  <c r="G279" i="1" s="1"/>
  <c r="L279" i="1" a="1"/>
  <c r="L279" i="1" s="1"/>
  <c r="F280" i="1" a="1"/>
  <c r="F280" i="1" s="1"/>
  <c r="R280" i="15" s="1"/>
  <c r="K280" i="1" a="1"/>
  <c r="K280" i="1" s="1"/>
  <c r="P280" i="1" a="1"/>
  <c r="P280" i="1" s="1"/>
  <c r="G281" i="1" a="1"/>
  <c r="G281" i="1" s="1"/>
  <c r="P281" i="1" a="1"/>
  <c r="P281" i="1" s="1"/>
  <c r="G282" i="1" a="1"/>
  <c r="G282" i="1" s="1"/>
  <c r="P282" i="1" a="1"/>
  <c r="P282" i="1" s="1"/>
  <c r="F283" i="1" a="1"/>
  <c r="F283" i="1" s="1"/>
  <c r="R283" i="15" s="1"/>
  <c r="J283" i="1" a="1"/>
  <c r="J283" i="1" s="1"/>
  <c r="M283" i="1" a="1"/>
  <c r="M283" i="1" s="1"/>
  <c r="L284" i="1" a="1"/>
  <c r="L284" i="1" s="1"/>
  <c r="P284" i="1" a="1"/>
  <c r="P284" i="1" s="1"/>
  <c r="G285" i="1" a="1"/>
  <c r="G285" i="1" s="1"/>
  <c r="O285" i="1"/>
  <c r="M285" i="15" s="1"/>
  <c r="N285" i="15" s="1" a="1"/>
  <c r="N285" i="15" s="1"/>
  <c r="C286" i="1" a="1"/>
  <c r="C286" i="1" s="1"/>
  <c r="E286" i="15" s="1"/>
  <c r="F286" i="1" a="1"/>
  <c r="F286" i="1" s="1"/>
  <c r="R286" i="15" s="1"/>
  <c r="J286" i="1" a="1"/>
  <c r="J286" i="1" s="1"/>
  <c r="L286" i="1" a="1"/>
  <c r="L286" i="1" s="1"/>
  <c r="O286" i="1"/>
  <c r="M286" i="15" s="1"/>
  <c r="N286" i="15" s="1" a="1"/>
  <c r="N286" i="15" s="1"/>
  <c r="C287" i="1" a="1"/>
  <c r="C287" i="1" s="1"/>
  <c r="E287" i="15" s="1"/>
  <c r="L287" i="1" a="1"/>
  <c r="L287" i="1" s="1"/>
  <c r="Q287" i="1" a="1"/>
  <c r="Q287" i="1" s="1"/>
  <c r="S287" i="15" s="1"/>
  <c r="H288" i="1" a="1"/>
  <c r="H288" i="1" s="1"/>
  <c r="K288" i="1" a="1"/>
  <c r="K288" i="1" s="1"/>
  <c r="O288" i="1"/>
  <c r="M288" i="15" s="1"/>
  <c r="N288" i="15" s="1" a="1"/>
  <c r="N288" i="15" s="1"/>
  <c r="C289" i="1" a="1"/>
  <c r="C289" i="1" s="1"/>
  <c r="E289" i="15" s="1"/>
  <c r="F289" i="1" a="1"/>
  <c r="F289" i="1" s="1"/>
  <c r="R289" i="15" s="1"/>
  <c r="J289" i="1" a="1"/>
  <c r="J289" i="1" s="1"/>
  <c r="M289" i="1" a="1"/>
  <c r="M289" i="1" s="1"/>
  <c r="H291" i="1" a="1"/>
  <c r="H291" i="1" s="1"/>
  <c r="P291" i="1" a="1"/>
  <c r="P291" i="1" s="1"/>
  <c r="D292" i="1" a="1"/>
  <c r="D292" i="1" s="1"/>
  <c r="I292" i="15" s="1"/>
  <c r="G292" i="1" a="1"/>
  <c r="G292" i="1" s="1"/>
  <c r="M292" i="1" a="1"/>
  <c r="M292" i="1" s="1"/>
  <c r="Q292" i="1" a="1"/>
  <c r="Q292" i="1" s="1"/>
  <c r="S292" i="15" s="1"/>
  <c r="D293" i="1" a="1"/>
  <c r="D293" i="1" s="1"/>
  <c r="I293" i="15" s="1"/>
  <c r="H293" i="1" a="1"/>
  <c r="H293" i="1" s="1"/>
  <c r="O293" i="1"/>
  <c r="M293" i="15" s="1"/>
  <c r="N293" i="15" s="1" a="1"/>
  <c r="N293" i="15" s="1"/>
  <c r="F294" i="1" a="1"/>
  <c r="F294" i="1" s="1"/>
  <c r="R294" i="15" s="1"/>
  <c r="J294" i="1" a="1"/>
  <c r="J294" i="1" s="1"/>
  <c r="Q294" i="1" a="1"/>
  <c r="Q294" i="1" s="1"/>
  <c r="S294" i="15" s="1"/>
  <c r="H295" i="1" a="1"/>
  <c r="H295" i="1" s="1"/>
  <c r="K295" i="1" a="1"/>
  <c r="K295" i="1" s="1"/>
  <c r="O295" i="1"/>
  <c r="M295" i="15" s="1"/>
  <c r="N295" i="15" s="1" a="1"/>
  <c r="N295" i="15" s="1"/>
  <c r="C296" i="1" a="1"/>
  <c r="C296" i="1" s="1"/>
  <c r="E296" i="15" s="1"/>
  <c r="F296" i="1" a="1"/>
  <c r="F296" i="1" s="1"/>
  <c r="R296" i="15" s="1"/>
  <c r="J296" i="1" a="1"/>
  <c r="J296" i="1" s="1"/>
  <c r="M296" i="1" a="1"/>
  <c r="M296" i="1" s="1"/>
  <c r="H298" i="1" a="1"/>
  <c r="H298" i="1" s="1"/>
  <c r="P298" i="1" a="1"/>
  <c r="P298" i="1" s="1"/>
  <c r="D299" i="1" a="1"/>
  <c r="D299" i="1" s="1"/>
  <c r="I299" i="15" s="1"/>
  <c r="G299" i="1" a="1"/>
  <c r="G299" i="1" s="1"/>
  <c r="M299" i="1" a="1"/>
  <c r="M299" i="1" s="1"/>
  <c r="L300" i="1" a="1"/>
  <c r="L300" i="1" s="1"/>
  <c r="Q300" i="1" a="1"/>
  <c r="Q300" i="1" s="1"/>
  <c r="S300" i="15" s="1"/>
  <c r="D301" i="1" a="1"/>
  <c r="D301" i="1" s="1"/>
  <c r="I301" i="15" s="1"/>
  <c r="H301" i="1" a="1"/>
  <c r="H301" i="1" s="1"/>
  <c r="K301" i="1" a="1"/>
  <c r="K301" i="1" s="1"/>
  <c r="M301" i="1" a="1"/>
  <c r="M301" i="1" s="1"/>
  <c r="Q301" i="1" a="1"/>
  <c r="Q301" i="1" s="1"/>
  <c r="S301" i="15" s="1"/>
  <c r="D302" i="1" a="1"/>
  <c r="D302" i="1" s="1"/>
  <c r="I302" i="15" s="1"/>
  <c r="G302" i="1" a="1"/>
  <c r="G302" i="1" s="1"/>
  <c r="K302" i="1" a="1"/>
  <c r="K302" i="1" s="1"/>
  <c r="O302" i="1"/>
  <c r="M302" i="15" s="1"/>
  <c r="N302" i="15" s="1" a="1"/>
  <c r="N302" i="15" s="1"/>
  <c r="C303" i="1" a="1"/>
  <c r="C303" i="1" s="1"/>
  <c r="E303" i="15" s="1"/>
  <c r="F303" i="1" a="1"/>
  <c r="F303" i="1" s="1"/>
  <c r="R303" i="15" s="1"/>
  <c r="J303" i="1" a="1"/>
  <c r="J303" i="1" s="1"/>
  <c r="Q303" i="1" a="1"/>
  <c r="Q303" i="1" s="1"/>
  <c r="S303" i="15" s="1"/>
  <c r="D304" i="1" a="1"/>
  <c r="D304" i="1" s="1"/>
  <c r="I304" i="15" s="1"/>
  <c r="H304" i="1" a="1"/>
  <c r="H304" i="1" s="1"/>
  <c r="K304" i="1" a="1"/>
  <c r="K304" i="1" s="1"/>
  <c r="P304" i="1" a="1"/>
  <c r="P304" i="1" s="1"/>
  <c r="G305" i="1" a="1"/>
  <c r="G305" i="1" s="1"/>
  <c r="P305" i="1" a="1"/>
  <c r="P305" i="1" s="1"/>
  <c r="F306" i="1" a="1"/>
  <c r="F306" i="1" s="1"/>
  <c r="R306" i="15" s="1"/>
  <c r="J306" i="1" a="1"/>
  <c r="J306" i="1" s="1"/>
  <c r="M306" i="1" a="1"/>
  <c r="M306" i="1" s="1"/>
  <c r="L307" i="1" a="1"/>
  <c r="L307" i="1" s="1"/>
  <c r="P307" i="1" a="1"/>
  <c r="P307" i="1" s="1"/>
  <c r="G308" i="1" a="1"/>
  <c r="G308" i="1" s="1"/>
  <c r="O308" i="1"/>
  <c r="M308" i="15" s="1"/>
  <c r="N308" i="15" s="1" a="1"/>
  <c r="N308" i="15" s="1"/>
  <c r="C309" i="1" a="1"/>
  <c r="C309" i="1" s="1"/>
  <c r="E309" i="15" s="1"/>
  <c r="L309" i="1" a="1"/>
  <c r="L309" i="1" s="1"/>
  <c r="Q309" i="1" a="1"/>
  <c r="Q309" i="1" s="1"/>
  <c r="S309" i="15" s="1"/>
  <c r="M310" i="1" a="1"/>
  <c r="M310" i="1" s="1"/>
  <c r="H311" i="1" a="1"/>
  <c r="H311" i="1" s="1"/>
  <c r="K311" i="1" a="1"/>
  <c r="K311" i="1" s="1"/>
  <c r="O311" i="1"/>
  <c r="M311" i="15" s="1"/>
  <c r="N311" i="15" s="1" a="1"/>
  <c r="N311" i="15" s="1"/>
  <c r="Q312" i="1" a="1"/>
  <c r="Q312" i="1" s="1"/>
  <c r="S312" i="15" s="1"/>
  <c r="H313" i="1" a="1"/>
  <c r="H313" i="1" s="1"/>
  <c r="L313" i="1" a="1"/>
  <c r="L313" i="1" s="1"/>
  <c r="P313" i="1" a="1"/>
  <c r="P313" i="1" s="1"/>
  <c r="D314" i="1" a="1"/>
  <c r="D314" i="1" s="1"/>
  <c r="I314" i="15" s="1"/>
  <c r="O314" i="1"/>
  <c r="M314" i="15" s="1"/>
  <c r="N314" i="15" s="1" a="1"/>
  <c r="N314" i="15" s="1"/>
  <c r="P315" i="1" a="1"/>
  <c r="P315" i="1" s="1"/>
  <c r="D316" i="1" a="1"/>
  <c r="D316" i="1" s="1"/>
  <c r="I316" i="15" s="1"/>
  <c r="H316" i="1" a="1"/>
  <c r="H316" i="1" s="1"/>
  <c r="L316" i="1" a="1"/>
  <c r="L316" i="1" s="1"/>
  <c r="Q316" i="1" a="1"/>
  <c r="Q316" i="1" s="1"/>
  <c r="S316" i="15" s="1"/>
  <c r="H317" i="1" a="1"/>
  <c r="H317" i="1" s="1"/>
  <c r="L317" i="1" a="1"/>
  <c r="L317" i="1" s="1"/>
  <c r="Q317" i="1" a="1"/>
  <c r="Q317" i="1" s="1"/>
  <c r="S317" i="15" s="1"/>
  <c r="M318" i="1" a="1"/>
  <c r="M318" i="1" s="1"/>
  <c r="F319" i="1" a="1"/>
  <c r="F319" i="1" s="1"/>
  <c r="R319" i="15" s="1"/>
  <c r="J319" i="1" a="1"/>
  <c r="J319" i="1" s="1"/>
  <c r="D306" i="1" a="1"/>
  <c r="D306" i="1" s="1"/>
  <c r="I306" i="15" s="1"/>
  <c r="K306" i="1" a="1"/>
  <c r="K306" i="1" s="1"/>
  <c r="C307" i="1" a="1"/>
  <c r="C307" i="1" s="1"/>
  <c r="E307" i="15" s="1"/>
  <c r="H307" i="1" a="1"/>
  <c r="H307" i="1" s="1"/>
  <c r="C308" i="1" a="1"/>
  <c r="C308" i="1" s="1"/>
  <c r="E308" i="15" s="1"/>
  <c r="H308" i="1" a="1"/>
  <c r="H308" i="1" s="1"/>
  <c r="M308" i="1" a="1"/>
  <c r="M308" i="1" s="1"/>
  <c r="P309" i="1" a="1"/>
  <c r="P309" i="1" s="1"/>
  <c r="F310" i="1" a="1"/>
  <c r="F310" i="1" s="1"/>
  <c r="R310" i="15" s="1"/>
  <c r="L310" i="1" a="1"/>
  <c r="L310" i="1" s="1"/>
  <c r="C311" i="1" a="1"/>
  <c r="C311" i="1" s="1"/>
  <c r="E311" i="15" s="1"/>
  <c r="G311" i="1" a="1"/>
  <c r="G311" i="1" s="1"/>
  <c r="J311" i="15" s="1"/>
  <c r="G312" i="1" a="1"/>
  <c r="G312" i="1" s="1"/>
  <c r="K312" i="1" a="1"/>
  <c r="K312" i="1" s="1"/>
  <c r="P312" i="1" a="1"/>
  <c r="P312" i="1" s="1"/>
  <c r="C314" i="1" a="1"/>
  <c r="C314" i="1" s="1"/>
  <c r="E314" i="15" s="1"/>
  <c r="H314" i="1" a="1"/>
  <c r="H314" i="1" s="1"/>
  <c r="L314" i="1" a="1"/>
  <c r="L314" i="1" s="1"/>
  <c r="H315" i="1" a="1"/>
  <c r="H315" i="1" s="1"/>
  <c r="L315" i="1" a="1"/>
  <c r="L315" i="1" s="1"/>
  <c r="G316" i="1" a="1"/>
  <c r="G316" i="1" s="1"/>
  <c r="J316" i="15" s="1"/>
  <c r="M316" i="1" a="1"/>
  <c r="M316" i="1" s="1"/>
  <c r="C317" i="1" a="1"/>
  <c r="C317" i="1" s="1"/>
  <c r="E317" i="15" s="1"/>
  <c r="K317" i="1" a="1"/>
  <c r="K317" i="1" s="1"/>
  <c r="F318" i="1" a="1"/>
  <c r="F318" i="1" s="1"/>
  <c r="R318" i="15" s="1"/>
  <c r="J318" i="1" a="1"/>
  <c r="J318" i="1" s="1"/>
  <c r="P318" i="1" a="1"/>
  <c r="P318" i="1" s="1"/>
  <c r="D319" i="1" a="1"/>
  <c r="D319" i="1" s="1"/>
  <c r="I319" i="15" s="1"/>
  <c r="O319" i="1"/>
  <c r="M319" i="15" s="1"/>
  <c r="N319" i="15" s="1" a="1"/>
  <c r="N319" i="15" s="1"/>
  <c r="F320" i="1" a="1"/>
  <c r="F320" i="1" s="1"/>
  <c r="R320" i="15" s="1"/>
  <c r="L320" i="1" a="1"/>
  <c r="L320" i="1" s="1"/>
  <c r="Q320" i="1" a="1"/>
  <c r="Q320" i="1" s="1"/>
  <c r="S320" i="15" s="1"/>
  <c r="D321" i="1" a="1"/>
  <c r="D321" i="1" s="1"/>
  <c r="I321" i="15" s="1"/>
  <c r="G321" i="1" a="1"/>
  <c r="G321" i="1" s="1"/>
  <c r="K321" i="1" a="1"/>
  <c r="K321" i="1" s="1"/>
  <c r="O321" i="1"/>
  <c r="M321" i="15" s="1"/>
  <c r="N321" i="15" s="1" a="1"/>
  <c r="N321" i="15" s="1"/>
  <c r="H322" i="1" a="1"/>
  <c r="H322" i="1" s="1"/>
  <c r="K322" i="1" a="1"/>
  <c r="K322" i="1" s="1"/>
  <c r="O322" i="1"/>
  <c r="M322" i="15" s="1"/>
  <c r="N322" i="15" s="1" a="1"/>
  <c r="N322" i="15" s="1"/>
  <c r="H323" i="1" a="1"/>
  <c r="H323" i="1" s="1"/>
  <c r="L323" i="1" a="1"/>
  <c r="L323" i="1" s="1"/>
  <c r="G324" i="1" a="1"/>
  <c r="G324" i="1" s="1"/>
  <c r="K324" i="1" a="1"/>
  <c r="K324" i="1" s="1"/>
  <c r="O324" i="1"/>
  <c r="M324" i="15" s="1"/>
  <c r="N324" i="15" s="1" a="1"/>
  <c r="N324" i="15" s="1"/>
  <c r="C325" i="1" a="1"/>
  <c r="C325" i="1" s="1"/>
  <c r="E325" i="15" s="1"/>
  <c r="L325" i="1" a="1"/>
  <c r="L325" i="1" s="1"/>
  <c r="G326" i="1" a="1"/>
  <c r="G326" i="1" s="1"/>
  <c r="K326" i="1" a="1"/>
  <c r="K326" i="1" s="1"/>
  <c r="O326" i="1"/>
  <c r="M326" i="15" s="1"/>
  <c r="N326" i="15" s="1" a="1"/>
  <c r="N326" i="15" s="1"/>
  <c r="C327" i="1" a="1"/>
  <c r="C327" i="1" s="1"/>
  <c r="E327" i="15" s="1"/>
  <c r="J327" i="1" a="1"/>
  <c r="J327" i="1" s="1"/>
  <c r="F328" i="1" a="1"/>
  <c r="F328" i="1" s="1"/>
  <c r="R328" i="15" s="1"/>
  <c r="L328" i="1" a="1"/>
  <c r="L328" i="1" s="1"/>
  <c r="Q328" i="1" a="1"/>
  <c r="Q328" i="1" s="1"/>
  <c r="S328" i="15" s="1"/>
  <c r="D329" i="1" a="1"/>
  <c r="D329" i="1" s="1"/>
  <c r="I329" i="15" s="1"/>
  <c r="G329" i="1" a="1"/>
  <c r="G329" i="1" s="1"/>
  <c r="J329" i="1" a="1"/>
  <c r="J329" i="1" s="1"/>
  <c r="F330" i="1" a="1"/>
  <c r="F330" i="1" s="1"/>
  <c r="R330" i="15" s="1"/>
  <c r="J330" i="1" a="1"/>
  <c r="J330" i="1" s="1"/>
  <c r="O330" i="1"/>
  <c r="M330" i="15" s="1"/>
  <c r="N330" i="15" s="1" a="1"/>
  <c r="N330" i="15" s="1"/>
  <c r="C331" i="1" a="1"/>
  <c r="C331" i="1" s="1"/>
  <c r="E331" i="15" s="1"/>
  <c r="J331" i="1" a="1"/>
  <c r="J331" i="1" s="1"/>
  <c r="O331" i="1"/>
  <c r="M331" i="15" s="1"/>
  <c r="N331" i="15" s="1" a="1"/>
  <c r="N331" i="15" s="1"/>
  <c r="F332" i="1" a="1"/>
  <c r="F332" i="1" s="1"/>
  <c r="R332" i="15" s="1"/>
  <c r="M332" i="1" a="1"/>
  <c r="M332" i="1" s="1"/>
  <c r="F333" i="1" a="1"/>
  <c r="F333" i="1" s="1"/>
  <c r="R333" i="15" s="1"/>
  <c r="M333" i="1" a="1"/>
  <c r="M333" i="1" s="1"/>
  <c r="Q333" i="1" a="1"/>
  <c r="Q333" i="1" s="1"/>
  <c r="S333" i="15" s="1"/>
  <c r="H334" i="1" a="1"/>
  <c r="H334" i="1" s="1"/>
  <c r="K334" i="1" a="1"/>
  <c r="K334" i="1" s="1"/>
  <c r="P334" i="1" a="1"/>
  <c r="P334" i="1" s="1"/>
  <c r="C335" i="1" a="1"/>
  <c r="C335" i="1" s="1"/>
  <c r="E335" i="15" s="1"/>
  <c r="G335" i="1" a="1"/>
  <c r="G335" i="1" s="1"/>
  <c r="J335" i="1" a="1"/>
  <c r="J335" i="1" s="1"/>
  <c r="M335" i="1" a="1"/>
  <c r="M335" i="1" s="1"/>
  <c r="M336" i="1" a="1"/>
  <c r="M336" i="1" s="1"/>
  <c r="F337" i="1" a="1"/>
  <c r="F337" i="1" s="1"/>
  <c r="R337" i="15" s="1"/>
  <c r="M337" i="1" a="1"/>
  <c r="M337" i="1" s="1"/>
  <c r="F338" i="1" a="1"/>
  <c r="F338" i="1" s="1"/>
  <c r="R338" i="15" s="1"/>
  <c r="J338" i="1" a="1"/>
  <c r="J338" i="1" s="1"/>
  <c r="O338" i="1"/>
  <c r="M338" i="15" s="1"/>
  <c r="N338" i="15" s="1" a="1"/>
  <c r="N338" i="15" s="1"/>
  <c r="F339" i="1" a="1"/>
  <c r="F339" i="1" s="1"/>
  <c r="R339" i="15" s="1"/>
  <c r="J339" i="1" a="1"/>
  <c r="J339" i="1" s="1"/>
  <c r="O339" i="1"/>
  <c r="M339" i="15" s="1"/>
  <c r="N339" i="15" s="1" a="1"/>
  <c r="N339" i="15" s="1"/>
  <c r="F340" i="1" a="1"/>
  <c r="F340" i="1" s="1"/>
  <c r="R340" i="15" s="1"/>
  <c r="L340" i="1" a="1"/>
  <c r="L340" i="1" s="1"/>
  <c r="D341" i="1" a="1"/>
  <c r="D341" i="1" s="1"/>
  <c r="I341" i="15" s="1"/>
  <c r="G341" i="1" a="1"/>
  <c r="G341" i="1" s="1"/>
  <c r="J341" i="1" a="1"/>
  <c r="J341" i="1" s="1"/>
  <c r="O341" i="1"/>
  <c r="M341" i="15" s="1"/>
  <c r="N341" i="15" s="1" a="1"/>
  <c r="N341" i="15" s="1"/>
  <c r="F342" i="1" a="1"/>
  <c r="F342" i="1" s="1"/>
  <c r="R342" i="15" s="1"/>
  <c r="L342" i="1" a="1"/>
  <c r="L342" i="1" s="1"/>
  <c r="D343" i="1" a="1"/>
  <c r="D343" i="1" s="1"/>
  <c r="I343" i="15" s="1"/>
  <c r="G343" i="1" a="1"/>
  <c r="G343" i="1" s="1"/>
  <c r="J343" i="1" a="1"/>
  <c r="J343" i="1" s="1"/>
  <c r="O343" i="1"/>
  <c r="M343" i="15" s="1"/>
  <c r="N343" i="15" s="1" a="1"/>
  <c r="N343" i="15" s="1"/>
  <c r="F344" i="1" a="1"/>
  <c r="F344" i="1" s="1"/>
  <c r="R344" i="15" s="1"/>
  <c r="L344" i="1" a="1"/>
  <c r="L344" i="1" s="1"/>
  <c r="D345" i="1" a="1"/>
  <c r="D345" i="1" s="1"/>
  <c r="I345" i="15" s="1"/>
  <c r="G345" i="1" a="1"/>
  <c r="G345" i="1" s="1"/>
  <c r="J345" i="1" a="1"/>
  <c r="J345" i="1" s="1"/>
  <c r="O345" i="1"/>
  <c r="M345" i="15" s="1"/>
  <c r="N345" i="15" s="1" a="1"/>
  <c r="N345" i="15" s="1"/>
  <c r="F346" i="1" a="1"/>
  <c r="F346" i="1" s="1"/>
  <c r="R346" i="15" s="1"/>
  <c r="L346" i="1" a="1"/>
  <c r="L346" i="1" s="1"/>
  <c r="D347" i="1" a="1"/>
  <c r="D347" i="1" s="1"/>
  <c r="I347" i="15" s="1"/>
  <c r="G347" i="1" a="1"/>
  <c r="G347" i="1" s="1"/>
  <c r="J347" i="1" a="1"/>
  <c r="J347" i="1" s="1"/>
  <c r="O347" i="1"/>
  <c r="M347" i="15" s="1"/>
  <c r="N347" i="15" s="1" a="1"/>
  <c r="N347" i="15" s="1"/>
  <c r="F348" i="1" a="1"/>
  <c r="F348" i="1" s="1"/>
  <c r="R348" i="15" s="1"/>
  <c r="L348" i="1" a="1"/>
  <c r="L348" i="1" s="1"/>
  <c r="D349" i="1" a="1"/>
  <c r="D349" i="1" s="1"/>
  <c r="I349" i="15" s="1"/>
  <c r="G349" i="1" a="1"/>
  <c r="G349" i="1" s="1"/>
  <c r="J349" i="1" a="1"/>
  <c r="J349" i="1" s="1"/>
  <c r="O349" i="1"/>
  <c r="M349" i="15" s="1"/>
  <c r="N349" i="15" s="1" a="1"/>
  <c r="N349" i="15" s="1"/>
  <c r="M305" i="1" a="1"/>
  <c r="M305" i="1" s="1"/>
  <c r="O306" i="1"/>
  <c r="M306" i="15" s="1"/>
  <c r="N306" i="15" s="1" a="1"/>
  <c r="N306" i="15" s="1"/>
  <c r="O307" i="1"/>
  <c r="M307" i="15" s="1"/>
  <c r="N307" i="15" s="1" a="1"/>
  <c r="N307" i="15" s="1"/>
  <c r="D308" i="1" a="1"/>
  <c r="D308" i="1" s="1"/>
  <c r="I308" i="15" s="1"/>
  <c r="P308" i="1" a="1"/>
  <c r="P308" i="1" s="1"/>
  <c r="J309" i="1" a="1"/>
  <c r="J309" i="1" s="1"/>
  <c r="H310" i="1" a="1"/>
  <c r="H310" i="1" s="1"/>
  <c r="O310" i="1"/>
  <c r="M310" i="15" s="1"/>
  <c r="N310" i="15" s="1" a="1"/>
  <c r="N310" i="15" s="1"/>
  <c r="D311" i="1" a="1"/>
  <c r="D311" i="1" s="1"/>
  <c r="I311" i="15" s="1"/>
  <c r="L311" i="1" a="1"/>
  <c r="L311" i="1" s="1"/>
  <c r="Q311" i="1" a="1"/>
  <c r="Q311" i="1" s="1"/>
  <c r="S311" i="15" s="1"/>
  <c r="D312" i="1" a="1"/>
  <c r="D312" i="1" s="1"/>
  <c r="I312" i="15" s="1"/>
  <c r="H312" i="1" a="1"/>
  <c r="H312" i="1" s="1"/>
  <c r="L312" i="1" a="1"/>
  <c r="L312" i="1" s="1"/>
  <c r="F313" i="1" a="1"/>
  <c r="F313" i="1" s="1"/>
  <c r="R313" i="15" s="1"/>
  <c r="J313" i="1" a="1"/>
  <c r="J313" i="1" s="1"/>
  <c r="O313" i="1"/>
  <c r="M313" i="15" s="1"/>
  <c r="N313" i="15" s="1" a="1"/>
  <c r="N313" i="15" s="1"/>
  <c r="M314" i="1" a="1"/>
  <c r="M314" i="1" s="1"/>
  <c r="M315" i="1" a="1"/>
  <c r="M315" i="1" s="1"/>
  <c r="C316" i="1" a="1"/>
  <c r="C316" i="1" s="1"/>
  <c r="E316" i="15" s="1"/>
  <c r="O316" i="1"/>
  <c r="M316" i="15" s="1"/>
  <c r="N316" i="15" s="1" a="1"/>
  <c r="N316" i="15" s="1"/>
  <c r="D317" i="1" a="1"/>
  <c r="D317" i="1" s="1"/>
  <c r="I317" i="15" s="1"/>
  <c r="G317" i="1" a="1"/>
  <c r="G317" i="1" s="1"/>
  <c r="J317" i="15" s="1"/>
  <c r="M317" i="1" a="1"/>
  <c r="M317" i="1" s="1"/>
  <c r="C318" i="1" a="1"/>
  <c r="C318" i="1" s="1"/>
  <c r="E318" i="15" s="1"/>
  <c r="G318" i="1" a="1"/>
  <c r="G318" i="1" s="1"/>
  <c r="K318" i="1" a="1"/>
  <c r="K318" i="1" s="1"/>
  <c r="Q318" i="1" a="1"/>
  <c r="Q318" i="1" s="1"/>
  <c r="S318" i="15" s="1"/>
  <c r="K319" i="1" a="1"/>
  <c r="K319" i="1" s="1"/>
  <c r="P319" i="1" a="1"/>
  <c r="P319" i="1" s="1"/>
  <c r="C320" i="1" a="1"/>
  <c r="C320" i="1" s="1"/>
  <c r="E320" i="15" s="1"/>
  <c r="G320" i="1" a="1"/>
  <c r="G320" i="1" s="1"/>
  <c r="J320" i="1" a="1"/>
  <c r="J320" i="1" s="1"/>
  <c r="M320" i="1" a="1"/>
  <c r="M320" i="1" s="1"/>
  <c r="H321" i="1" a="1"/>
  <c r="H321" i="1" s="1"/>
  <c r="L321" i="1" a="1"/>
  <c r="L321" i="1" s="1"/>
  <c r="P321" i="1" a="1"/>
  <c r="P321" i="1" s="1"/>
  <c r="C322" i="1" a="1"/>
  <c r="C322" i="1" s="1"/>
  <c r="E322" i="15" s="1"/>
  <c r="F322" i="1" a="1"/>
  <c r="F322" i="1" s="1"/>
  <c r="R322" i="15" s="1"/>
  <c r="L322" i="1" a="1"/>
  <c r="L322" i="1" s="1"/>
  <c r="P322" i="1" a="1"/>
  <c r="P322" i="1" s="1"/>
  <c r="C323" i="1" a="1"/>
  <c r="C323" i="1" s="1"/>
  <c r="E323" i="15" s="1"/>
  <c r="F323" i="1" a="1"/>
  <c r="F323" i="1" s="1"/>
  <c r="R323" i="15" s="1"/>
  <c r="M323" i="1" a="1"/>
  <c r="M323" i="1" s="1"/>
  <c r="Q323" i="1" a="1"/>
  <c r="Q323" i="1" s="1"/>
  <c r="S323" i="15" s="1"/>
  <c r="D324" i="1" a="1"/>
  <c r="D324" i="1" s="1"/>
  <c r="I324" i="15" s="1"/>
  <c r="H324" i="1" a="1"/>
  <c r="H324" i="1" s="1"/>
  <c r="L324" i="1" a="1"/>
  <c r="L324" i="1" s="1"/>
  <c r="P324" i="1" a="1"/>
  <c r="P324" i="1" s="1"/>
  <c r="D325" i="1" a="1"/>
  <c r="D325" i="1" s="1"/>
  <c r="I325" i="15" s="1"/>
  <c r="G325" i="1" a="1"/>
  <c r="G325" i="1" s="1"/>
  <c r="J325" i="1" a="1"/>
  <c r="J325" i="1" s="1"/>
  <c r="M325" i="1" a="1"/>
  <c r="M325" i="1" s="1"/>
  <c r="Q325" i="1" a="1"/>
  <c r="Q325" i="1" s="1"/>
  <c r="S325" i="15" s="1"/>
  <c r="D326" i="1" a="1"/>
  <c r="D326" i="1" s="1"/>
  <c r="I326" i="15" s="1"/>
  <c r="H326" i="1" a="1"/>
  <c r="H326" i="1" s="1"/>
  <c r="L326" i="1" a="1"/>
  <c r="L326" i="1" s="1"/>
  <c r="P326" i="1" a="1"/>
  <c r="P326" i="1" s="1"/>
  <c r="D327" i="1" a="1"/>
  <c r="D327" i="1" s="1"/>
  <c r="I327" i="15" s="1"/>
  <c r="G327" i="1" a="1"/>
  <c r="G327" i="1" s="1"/>
  <c r="K327" i="1" a="1"/>
  <c r="K327" i="1" s="1"/>
  <c r="O327" i="1"/>
  <c r="M327" i="15" s="1"/>
  <c r="N327" i="15" s="1" a="1"/>
  <c r="N327" i="15" s="1"/>
  <c r="C328" i="1" a="1"/>
  <c r="C328" i="1" s="1"/>
  <c r="E328" i="15" s="1"/>
  <c r="G328" i="1" a="1"/>
  <c r="G328" i="1" s="1"/>
  <c r="J328" i="1" a="1"/>
  <c r="J328" i="1" s="1"/>
  <c r="M328" i="1" a="1"/>
  <c r="M328" i="1" s="1"/>
  <c r="H329" i="1" a="1"/>
  <c r="H329" i="1" s="1"/>
  <c r="K329" i="1" a="1"/>
  <c r="K329" i="1" s="1"/>
  <c r="O329" i="1"/>
  <c r="M329" i="15" s="1"/>
  <c r="N329" i="15" s="1" a="1"/>
  <c r="N329" i="15" s="1"/>
  <c r="C330" i="1" a="1"/>
  <c r="C330" i="1" s="1"/>
  <c r="E330" i="15" s="1"/>
  <c r="G330" i="1" a="1"/>
  <c r="G330" i="1" s="1"/>
  <c r="K330" i="1" a="1"/>
  <c r="K330" i="1" s="1"/>
  <c r="P330" i="1" a="1"/>
  <c r="P330" i="1" s="1"/>
  <c r="D331" i="1" a="1"/>
  <c r="D331" i="1" s="1"/>
  <c r="I331" i="15" s="1"/>
  <c r="G331" i="1" a="1"/>
  <c r="G331" i="1" s="1"/>
  <c r="K331" i="1" a="1"/>
  <c r="K331" i="1" s="1"/>
  <c r="P331" i="1" a="1"/>
  <c r="P331" i="1" s="1"/>
  <c r="C332" i="1" a="1"/>
  <c r="C332" i="1" s="1"/>
  <c r="E332" i="15" s="1"/>
  <c r="G332" i="1" a="1"/>
  <c r="G332" i="1" s="1"/>
  <c r="J332" i="1" a="1"/>
  <c r="J332" i="1" s="1"/>
  <c r="O332" i="1"/>
  <c r="M332" i="15" s="1"/>
  <c r="N332" i="15" s="1" a="1"/>
  <c r="N332" i="15" s="1"/>
  <c r="C333" i="1" a="1"/>
  <c r="C333" i="1" s="1"/>
  <c r="E333" i="15" s="1"/>
  <c r="G333" i="1" a="1"/>
  <c r="G333" i="1" s="1"/>
  <c r="J333" i="1" a="1"/>
  <c r="J333" i="1" s="1"/>
  <c r="O333" i="1"/>
  <c r="M333" i="15" s="1"/>
  <c r="N333" i="15" s="1" a="1"/>
  <c r="N333" i="15" s="1"/>
  <c r="F334" i="1" a="1"/>
  <c r="F334" i="1" s="1"/>
  <c r="R334" i="15" s="1"/>
  <c r="L334" i="1" a="1"/>
  <c r="L334" i="1" s="1"/>
  <c r="Q334" i="1" a="1"/>
  <c r="Q334" i="1" s="1"/>
  <c r="S334" i="15" s="1"/>
  <c r="D335" i="1" a="1"/>
  <c r="D335" i="1" s="1"/>
  <c r="I335" i="15" s="1"/>
  <c r="H335" i="1" a="1"/>
  <c r="H335" i="1" s="1"/>
  <c r="K335" i="1" a="1"/>
  <c r="K335" i="1" s="1"/>
  <c r="O335" i="1"/>
  <c r="M335" i="15" s="1"/>
  <c r="N335" i="15" s="1" a="1"/>
  <c r="N335" i="15" s="1"/>
  <c r="F336" i="1" a="1"/>
  <c r="F336" i="1" s="1"/>
  <c r="R336" i="15" s="1"/>
  <c r="J336" i="1" a="1"/>
  <c r="J336" i="1" s="1"/>
  <c r="O336" i="1"/>
  <c r="M336" i="15" s="1"/>
  <c r="N336" i="15" s="1" a="1"/>
  <c r="N336" i="15" s="1"/>
  <c r="C337" i="1" a="1"/>
  <c r="C337" i="1" s="1"/>
  <c r="E337" i="15" s="1"/>
  <c r="G337" i="1" a="1"/>
  <c r="G337" i="1" s="1"/>
  <c r="J337" i="1" a="1"/>
  <c r="J337" i="1" s="1"/>
  <c r="O337" i="1"/>
  <c r="M337" i="15" s="1"/>
  <c r="N337" i="15" s="1" a="1"/>
  <c r="N337" i="15" s="1"/>
  <c r="C338" i="1" a="1"/>
  <c r="C338" i="1" s="1"/>
  <c r="E338" i="15" s="1"/>
  <c r="G338" i="1" a="1"/>
  <c r="G338" i="1" s="1"/>
  <c r="K338" i="1" a="1"/>
  <c r="K338" i="1" s="1"/>
  <c r="P338" i="1" a="1"/>
  <c r="P338" i="1" s="1"/>
  <c r="C339" i="1" a="1"/>
  <c r="C339" i="1" s="1"/>
  <c r="E339" i="15" s="1"/>
  <c r="G339" i="1" a="1"/>
  <c r="G339" i="1" s="1"/>
  <c r="K339" i="1" a="1"/>
  <c r="K339" i="1" s="1"/>
  <c r="P339" i="1" a="1"/>
  <c r="P339" i="1" s="1"/>
  <c r="C340" i="1" a="1"/>
  <c r="C340" i="1" s="1"/>
  <c r="E340" i="15" s="1"/>
  <c r="M340" i="1" a="1"/>
  <c r="M340" i="1" s="1"/>
  <c r="Q340" i="1" a="1"/>
  <c r="Q340" i="1" s="1"/>
  <c r="S340" i="15" s="1"/>
  <c r="H341" i="1" a="1"/>
  <c r="H341" i="1" s="1"/>
  <c r="K341" i="1" a="1"/>
  <c r="K341" i="1" s="1"/>
  <c r="P341" i="1" a="1"/>
  <c r="P341" i="1" s="1"/>
  <c r="C342" i="1" a="1"/>
  <c r="C342" i="1" s="1"/>
  <c r="E342" i="15" s="1"/>
  <c r="M342" i="1" a="1"/>
  <c r="M342" i="1" s="1"/>
  <c r="Q342" i="1" a="1"/>
  <c r="Q342" i="1" s="1"/>
  <c r="S342" i="15" s="1"/>
  <c r="H343" i="1" a="1"/>
  <c r="H343" i="1" s="1"/>
  <c r="K343" i="1" a="1"/>
  <c r="K343" i="1" s="1"/>
  <c r="P343" i="1" a="1"/>
  <c r="P343" i="1" s="1"/>
  <c r="C344" i="1" a="1"/>
  <c r="C344" i="1" s="1"/>
  <c r="E344" i="15" s="1"/>
  <c r="M344" i="1" a="1"/>
  <c r="M344" i="1" s="1"/>
  <c r="Q305" i="1" a="1"/>
  <c r="Q305" i="1" s="1"/>
  <c r="S305" i="15" s="1"/>
  <c r="G306" i="1" a="1"/>
  <c r="G306" i="1" s="1"/>
  <c r="Q306" i="1" a="1"/>
  <c r="Q306" i="1" s="1"/>
  <c r="S306" i="15" s="1"/>
  <c r="J307" i="1" a="1"/>
  <c r="J307" i="1" s="1"/>
  <c r="Q307" i="1" a="1"/>
  <c r="Q307" i="1" s="1"/>
  <c r="S307" i="15" s="1"/>
  <c r="J308" i="1" a="1"/>
  <c r="J308" i="1" s="1"/>
  <c r="F309" i="1" a="1"/>
  <c r="F309" i="1" s="1"/>
  <c r="R309" i="15" s="1"/>
  <c r="D310" i="1" a="1"/>
  <c r="D310" i="1" s="1"/>
  <c r="I310" i="15" s="1"/>
  <c r="Q310" i="1" a="1"/>
  <c r="Q310" i="1" s="1"/>
  <c r="S310" i="15" s="1"/>
  <c r="M311" i="1" a="1"/>
  <c r="M311" i="1" s="1"/>
  <c r="M312" i="1" a="1"/>
  <c r="M312" i="1" s="1"/>
  <c r="C313" i="1" a="1"/>
  <c r="C313" i="1" s="1"/>
  <c r="E313" i="15" s="1"/>
  <c r="K313" i="1" a="1"/>
  <c r="K313" i="1" s="1"/>
  <c r="Q313" i="1" a="1"/>
  <c r="Q313" i="1" s="1"/>
  <c r="S313" i="15" s="1"/>
  <c r="F314" i="1" a="1"/>
  <c r="F314" i="1" s="1"/>
  <c r="R314" i="15" s="1"/>
  <c r="J314" i="1" a="1"/>
  <c r="J314" i="1" s="1"/>
  <c r="P314" i="1" a="1"/>
  <c r="P314" i="1" s="1"/>
  <c r="C315" i="1" a="1"/>
  <c r="C315" i="1" s="1"/>
  <c r="E315" i="15" s="1"/>
  <c r="F315" i="1" a="1"/>
  <c r="F315" i="1" s="1"/>
  <c r="R315" i="15" s="1"/>
  <c r="J315" i="1" a="1"/>
  <c r="J315" i="1" s="1"/>
  <c r="O315" i="1"/>
  <c r="M315" i="15" s="1"/>
  <c r="N315" i="15" s="1" a="1"/>
  <c r="N315" i="15" s="1"/>
  <c r="J316" i="1" a="1"/>
  <c r="J316" i="1" s="1"/>
  <c r="P316" i="1" a="1"/>
  <c r="P316" i="1" s="1"/>
  <c r="O317" i="1"/>
  <c r="M317" i="15" s="1"/>
  <c r="N317" i="15" s="1" a="1"/>
  <c r="N317" i="15" s="1"/>
  <c r="D318" i="1" a="1"/>
  <c r="D318" i="1" s="1"/>
  <c r="I318" i="15" s="1"/>
  <c r="H318" i="1" a="1"/>
  <c r="H318" i="1" s="1"/>
  <c r="L318" i="1" a="1"/>
  <c r="L318" i="1" s="1"/>
  <c r="G319" i="1" a="1"/>
  <c r="G319" i="1" s="1"/>
  <c r="L319" i="1" a="1"/>
  <c r="L319" i="1" s="1"/>
  <c r="Q319" i="1" a="1"/>
  <c r="Q319" i="1" s="1"/>
  <c r="S319" i="15" s="1"/>
  <c r="D320" i="1" a="1"/>
  <c r="D320" i="1" s="1"/>
  <c r="I320" i="15" s="1"/>
  <c r="O320" i="1"/>
  <c r="M320" i="15" s="1"/>
  <c r="N320" i="15" s="1" a="1"/>
  <c r="N320" i="15" s="1"/>
  <c r="M321" i="1" a="1"/>
  <c r="M321" i="1" s="1"/>
  <c r="G322" i="1" a="1"/>
  <c r="G322" i="1" s="1"/>
  <c r="J322" i="15" s="1"/>
  <c r="J322" i="1" a="1"/>
  <c r="J322" i="1" s="1"/>
  <c r="Q322" i="1" a="1"/>
  <c r="Q322" i="1" s="1"/>
  <c r="S322" i="15" s="1"/>
  <c r="D323" i="1" a="1"/>
  <c r="D323" i="1" s="1"/>
  <c r="I323" i="15" s="1"/>
  <c r="J323" i="1" a="1"/>
  <c r="J323" i="1" s="1"/>
  <c r="O323" i="1"/>
  <c r="M323" i="15" s="1"/>
  <c r="N323" i="15" s="1" a="1"/>
  <c r="N323" i="15" s="1"/>
  <c r="Q324" i="1" a="1"/>
  <c r="Q324" i="1" s="1"/>
  <c r="S324" i="15" s="1"/>
  <c r="H325" i="1" a="1"/>
  <c r="H325" i="1" s="1"/>
  <c r="K325" i="1" a="1"/>
  <c r="K325" i="1" s="1"/>
  <c r="L325" i="15" s="1"/>
  <c r="O325" i="1"/>
  <c r="M325" i="15" s="1"/>
  <c r="N325" i="15" s="1" a="1"/>
  <c r="N325" i="15" s="1"/>
  <c r="Q326" i="1" a="1"/>
  <c r="Q326" i="1" s="1"/>
  <c r="S326" i="15" s="1"/>
  <c r="H327" i="1" a="1"/>
  <c r="H327" i="1" s="1"/>
  <c r="L327" i="1" a="1"/>
  <c r="L327" i="1" s="1"/>
  <c r="P327" i="1" a="1"/>
  <c r="P327" i="1" s="1"/>
  <c r="D328" i="1" a="1"/>
  <c r="D328" i="1" s="1"/>
  <c r="I328" i="15" s="1"/>
  <c r="O328" i="1"/>
  <c r="M328" i="15" s="1"/>
  <c r="N328" i="15" s="1" a="1"/>
  <c r="N328" i="15" s="1"/>
  <c r="L329" i="1" a="1"/>
  <c r="L329" i="1" s="1"/>
  <c r="P329" i="1" a="1"/>
  <c r="P329" i="1" s="1"/>
  <c r="D330" i="1" a="1"/>
  <c r="D330" i="1" s="1"/>
  <c r="I330" i="15" s="1"/>
  <c r="H330" i="1" a="1"/>
  <c r="H330" i="1" s="1"/>
  <c r="L330" i="1" a="1"/>
  <c r="L330" i="1" s="1"/>
  <c r="Q330" i="1" a="1"/>
  <c r="Q330" i="1" s="1"/>
  <c r="S330" i="15" s="1"/>
  <c r="H331" i="1" a="1"/>
  <c r="H331" i="1" s="1"/>
  <c r="L331" i="1" a="1"/>
  <c r="L331" i="1" s="1"/>
  <c r="D332" i="1" a="1"/>
  <c r="D332" i="1" s="1"/>
  <c r="I332" i="15" s="1"/>
  <c r="K332" i="1" a="1"/>
  <c r="K332" i="1" s="1"/>
  <c r="P332" i="1" a="1"/>
  <c r="P332" i="1" s="1"/>
  <c r="D333" i="1" a="1"/>
  <c r="D333" i="1" s="1"/>
  <c r="I333" i="15" s="1"/>
  <c r="H333" i="1" a="1"/>
  <c r="H333" i="1" s="1"/>
  <c r="K333" i="1" a="1"/>
  <c r="K333" i="1" s="1"/>
  <c r="P333" i="1" a="1"/>
  <c r="P333" i="1" s="1"/>
  <c r="C334" i="1" a="1"/>
  <c r="C334" i="1" s="1"/>
  <c r="E334" i="15" s="1"/>
  <c r="G334" i="1" a="1"/>
  <c r="G334" i="1" s="1"/>
  <c r="J334" i="15" s="1"/>
  <c r="J334" i="1" a="1"/>
  <c r="J334" i="1" s="1"/>
  <c r="M334" i="1" a="1"/>
  <c r="M334" i="1" s="1"/>
  <c r="P335" i="1" a="1"/>
  <c r="P335" i="1" s="1"/>
  <c r="C336" i="1" a="1"/>
  <c r="C336" i="1" s="1"/>
  <c r="E336" i="15" s="1"/>
  <c r="G336" i="1" a="1"/>
  <c r="G336" i="1" s="1"/>
  <c r="K336" i="1" a="1"/>
  <c r="K336" i="1" s="1"/>
  <c r="P336" i="1" a="1"/>
  <c r="P336" i="1" s="1"/>
  <c r="D337" i="1" a="1"/>
  <c r="D337" i="1" s="1"/>
  <c r="I337" i="15" s="1"/>
  <c r="K337" i="1" a="1"/>
  <c r="K337" i="1" s="1"/>
  <c r="P337" i="1" a="1"/>
  <c r="P337" i="1" s="1"/>
  <c r="D338" i="1" a="1"/>
  <c r="D338" i="1" s="1"/>
  <c r="I338" i="15" s="1"/>
  <c r="H338" i="1" a="1"/>
  <c r="H338" i="1" s="1"/>
  <c r="L338" i="1" a="1"/>
  <c r="L338" i="1" s="1"/>
  <c r="D339" i="1" a="1"/>
  <c r="D339" i="1" s="1"/>
  <c r="I339" i="15" s="1"/>
  <c r="H339" i="1" a="1"/>
  <c r="H339" i="1" s="1"/>
  <c r="L339" i="1" a="1"/>
  <c r="L339" i="1" s="1"/>
  <c r="D340" i="1" a="1"/>
  <c r="D340" i="1" s="1"/>
  <c r="I340" i="15" s="1"/>
  <c r="G340" i="1" a="1"/>
  <c r="G340" i="1" s="1"/>
  <c r="J340" i="1" a="1"/>
  <c r="J340" i="1" s="1"/>
  <c r="O340" i="1"/>
  <c r="M340" i="15" s="1"/>
  <c r="N340" i="15" s="1" a="1"/>
  <c r="N340" i="15" s="1"/>
  <c r="F341" i="1" a="1"/>
  <c r="F341" i="1" s="1"/>
  <c r="R341" i="15" s="1"/>
  <c r="L341" i="1" a="1"/>
  <c r="L341" i="1" s="1"/>
  <c r="D342" i="1" a="1"/>
  <c r="D342" i="1" s="1"/>
  <c r="I342" i="15" s="1"/>
  <c r="G342" i="1" a="1"/>
  <c r="G342" i="1" s="1"/>
  <c r="J342" i="1" a="1"/>
  <c r="J342" i="1" s="1"/>
  <c r="O342" i="1"/>
  <c r="M342" i="15" s="1"/>
  <c r="N342" i="15" s="1" a="1"/>
  <c r="N342" i="15" s="1"/>
  <c r="F343" i="1" a="1"/>
  <c r="F343" i="1" s="1"/>
  <c r="R343" i="15" s="1"/>
  <c r="L343" i="1" a="1"/>
  <c r="L343" i="1" s="1"/>
  <c r="D344" i="1" a="1"/>
  <c r="D344" i="1" s="1"/>
  <c r="I344" i="15" s="1"/>
  <c r="G344" i="1" a="1"/>
  <c r="G344" i="1" s="1"/>
  <c r="J344" i="1" a="1"/>
  <c r="J344" i="1" s="1"/>
  <c r="O344" i="1"/>
  <c r="M344" i="15" s="1"/>
  <c r="N344" i="15" s="1" a="1"/>
  <c r="N344" i="15" s="1"/>
  <c r="F345" i="1" a="1"/>
  <c r="F345" i="1" s="1"/>
  <c r="R345" i="15" s="1"/>
  <c r="L345" i="1" a="1"/>
  <c r="L345" i="1" s="1"/>
  <c r="D346" i="1" a="1"/>
  <c r="D346" i="1" s="1"/>
  <c r="I346" i="15" s="1"/>
  <c r="G346" i="1" a="1"/>
  <c r="G346" i="1" s="1"/>
  <c r="J346" i="1" a="1"/>
  <c r="J346" i="1" s="1"/>
  <c r="O346" i="1"/>
  <c r="M346" i="15" s="1"/>
  <c r="N346" i="15" s="1" a="1"/>
  <c r="N346" i="15" s="1"/>
  <c r="F347" i="1" a="1"/>
  <c r="F347" i="1" s="1"/>
  <c r="R347" i="15" s="1"/>
  <c r="L347" i="1" a="1"/>
  <c r="L347" i="1" s="1"/>
  <c r="D348" i="1" a="1"/>
  <c r="D348" i="1" s="1"/>
  <c r="I348" i="15" s="1"/>
  <c r="G348" i="1" a="1"/>
  <c r="G348" i="1" s="1"/>
  <c r="J348" i="1" a="1"/>
  <c r="J348" i="1" s="1"/>
  <c r="O348" i="1"/>
  <c r="M348" i="15" s="1"/>
  <c r="N348" i="15" s="1" a="1"/>
  <c r="N348" i="15" s="1"/>
  <c r="F349" i="1" a="1"/>
  <c r="F349" i="1" s="1"/>
  <c r="R349" i="15" s="1"/>
  <c r="L349" i="1" a="1"/>
  <c r="L349" i="1" s="1"/>
  <c r="D350" i="1" a="1"/>
  <c r="D350" i="1" s="1"/>
  <c r="I350" i="15" s="1"/>
  <c r="G350" i="1" a="1"/>
  <c r="G350" i="1" s="1"/>
  <c r="J350" i="1" a="1"/>
  <c r="J350" i="1" s="1"/>
  <c r="O350" i="1"/>
  <c r="M350" i="15" s="1"/>
  <c r="N350" i="15" s="1" a="1"/>
  <c r="N350" i="15" s="1"/>
  <c r="F351" i="1" a="1"/>
  <c r="F351" i="1" s="1"/>
  <c r="R351" i="15" s="1"/>
  <c r="L351" i="1" a="1"/>
  <c r="L351" i="1" s="1"/>
  <c r="D352" i="1" a="1"/>
  <c r="D352" i="1" s="1"/>
  <c r="I352" i="15" s="1"/>
  <c r="G352" i="1" a="1"/>
  <c r="G352" i="1" s="1"/>
  <c r="J352" i="1" a="1"/>
  <c r="J352" i="1" s="1"/>
  <c r="O352" i="1"/>
  <c r="M352" i="15" s="1"/>
  <c r="N352" i="15" s="1" a="1"/>
  <c r="N352" i="15" s="1"/>
  <c r="F353" i="1" a="1"/>
  <c r="F353" i="1" s="1"/>
  <c r="R353" i="15" s="1"/>
  <c r="L353" i="1" a="1"/>
  <c r="L353" i="1" s="1"/>
  <c r="D354" i="1" a="1"/>
  <c r="D354" i="1" s="1"/>
  <c r="I354" i="15" s="1"/>
  <c r="G354" i="1" a="1"/>
  <c r="G354" i="1" s="1"/>
  <c r="J354" i="1" a="1"/>
  <c r="J354" i="1" s="1"/>
  <c r="O354" i="1"/>
  <c r="M354" i="15" s="1"/>
  <c r="N354" i="15" s="1" a="1"/>
  <c r="N354" i="15" s="1"/>
  <c r="F355" i="1" a="1"/>
  <c r="F355" i="1" s="1"/>
  <c r="R355" i="15" s="1"/>
  <c r="L355" i="1" a="1"/>
  <c r="L355" i="1" s="1"/>
  <c r="D356" i="1" a="1"/>
  <c r="D356" i="1" s="1"/>
  <c r="I356" i="15" s="1"/>
  <c r="G356" i="1" a="1"/>
  <c r="G356" i="1" s="1"/>
  <c r="J356" i="1" a="1"/>
  <c r="J356" i="1" s="1"/>
  <c r="F307" i="1" a="1"/>
  <c r="F307" i="1" s="1"/>
  <c r="R307" i="15" s="1"/>
  <c r="K307" i="1" a="1"/>
  <c r="K307" i="1" s="1"/>
  <c r="F308" i="1" a="1"/>
  <c r="F308" i="1" s="1"/>
  <c r="R308" i="15" s="1"/>
  <c r="K308" i="1" a="1"/>
  <c r="K308" i="1" s="1"/>
  <c r="H309" i="1" a="1"/>
  <c r="H309" i="1" s="1"/>
  <c r="M309" i="1" a="1"/>
  <c r="M309" i="1" s="1"/>
  <c r="J310" i="1" a="1"/>
  <c r="J310" i="1" s="1"/>
  <c r="F311" i="1" a="1"/>
  <c r="F311" i="1" s="1"/>
  <c r="R311" i="15" s="1"/>
  <c r="J311" i="1" a="1"/>
  <c r="J311" i="1" s="1"/>
  <c r="P311" i="1" a="1"/>
  <c r="P311" i="1" s="1"/>
  <c r="C312" i="1" a="1"/>
  <c r="C312" i="1" s="1"/>
  <c r="E312" i="15" s="1"/>
  <c r="F312" i="1" a="1"/>
  <c r="F312" i="1" s="1"/>
  <c r="R312" i="15" s="1"/>
  <c r="J312" i="1" a="1"/>
  <c r="J312" i="1" s="1"/>
  <c r="O312" i="1"/>
  <c r="M312" i="15" s="1"/>
  <c r="N312" i="15" s="1" a="1"/>
  <c r="N312" i="15" s="1"/>
  <c r="D313" i="1" a="1"/>
  <c r="D313" i="1" s="1"/>
  <c r="I313" i="15" s="1"/>
  <c r="G313" i="1" a="1"/>
  <c r="G313" i="1" s="1"/>
  <c r="J313" i="15" s="1"/>
  <c r="M313" i="1" a="1"/>
  <c r="M313" i="1" s="1"/>
  <c r="G314" i="1" a="1"/>
  <c r="G314" i="1" s="1"/>
  <c r="J314" i="15" s="1"/>
  <c r="K314" i="1" a="1"/>
  <c r="K314" i="1" s="1"/>
  <c r="L314" i="15" s="1"/>
  <c r="Q314" i="1" a="1"/>
  <c r="Q314" i="1" s="1"/>
  <c r="S314" i="15" s="1"/>
  <c r="D315" i="1" a="1"/>
  <c r="D315" i="1" s="1"/>
  <c r="I315" i="15" s="1"/>
  <c r="G315" i="1" a="1"/>
  <c r="G315" i="1" s="1"/>
  <c r="J315" i="15" s="1"/>
  <c r="K315" i="1" a="1"/>
  <c r="K315" i="1" s="1"/>
  <c r="L315" i="15" s="1"/>
  <c r="Q315" i="1" a="1"/>
  <c r="Q315" i="1" s="1"/>
  <c r="S315" i="15" s="1"/>
  <c r="F316" i="1" a="1"/>
  <c r="F316" i="1" s="1"/>
  <c r="R316" i="15" s="1"/>
  <c r="K316" i="1" a="1"/>
  <c r="K316" i="1" s="1"/>
  <c r="L316" i="15" s="1"/>
  <c r="F317" i="1" a="1"/>
  <c r="F317" i="1" s="1"/>
  <c r="R317" i="15" s="1"/>
  <c r="J317" i="1" a="1"/>
  <c r="J317" i="1" s="1"/>
  <c r="P317" i="1" a="1"/>
  <c r="P317" i="1" s="1"/>
  <c r="O318" i="1"/>
  <c r="M318" i="15" s="1"/>
  <c r="N318" i="15" s="1" a="1"/>
  <c r="N318" i="15" s="1"/>
  <c r="C319" i="1" a="1"/>
  <c r="C319" i="1" s="1"/>
  <c r="E319" i="15" s="1"/>
  <c r="H319" i="1" a="1"/>
  <c r="H319" i="1" s="1"/>
  <c r="M319" i="1" a="1"/>
  <c r="M319" i="1" s="1"/>
  <c r="H320" i="1" a="1"/>
  <c r="H320" i="1" s="1"/>
  <c r="K320" i="1" a="1"/>
  <c r="K320" i="1" s="1"/>
  <c r="L320" i="15" s="1"/>
  <c r="P320" i="1" a="1"/>
  <c r="P320" i="1" s="1"/>
  <c r="C321" i="1" a="1"/>
  <c r="C321" i="1" s="1"/>
  <c r="E321" i="15" s="1"/>
  <c r="F321" i="1" a="1"/>
  <c r="F321" i="1" s="1"/>
  <c r="R321" i="15" s="1"/>
  <c r="J321" i="1" a="1"/>
  <c r="J321" i="1" s="1"/>
  <c r="Q321" i="1" a="1"/>
  <c r="Q321" i="1" s="1"/>
  <c r="S321" i="15" s="1"/>
  <c r="D322" i="1" a="1"/>
  <c r="D322" i="1" s="1"/>
  <c r="I322" i="15" s="1"/>
  <c r="M322" i="1" a="1"/>
  <c r="M322" i="1" s="1"/>
  <c r="G323" i="1" a="1"/>
  <c r="G323" i="1" s="1"/>
  <c r="J323" i="15" s="1"/>
  <c r="K323" i="1" a="1"/>
  <c r="K323" i="1" s="1"/>
  <c r="L323" i="15" s="1"/>
  <c r="P323" i="1" a="1"/>
  <c r="P323" i="1" s="1"/>
  <c r="C324" i="1" a="1"/>
  <c r="C324" i="1" s="1"/>
  <c r="E324" i="15" s="1"/>
  <c r="F324" i="1" a="1"/>
  <c r="F324" i="1" s="1"/>
  <c r="R324" i="15" s="1"/>
  <c r="J324" i="1" a="1"/>
  <c r="J324" i="1" s="1"/>
  <c r="M324" i="1" a="1"/>
  <c r="M324" i="1" s="1"/>
  <c r="F325" i="1" a="1"/>
  <c r="F325" i="1" s="1"/>
  <c r="R325" i="15" s="1"/>
  <c r="P325" i="1" a="1"/>
  <c r="P325" i="1" s="1"/>
  <c r="C326" i="1" a="1"/>
  <c r="C326" i="1" s="1"/>
  <c r="E326" i="15" s="1"/>
  <c r="F326" i="1" a="1"/>
  <c r="F326" i="1" s="1"/>
  <c r="R326" i="15" s="1"/>
  <c r="J326" i="1" a="1"/>
  <c r="J326" i="1" s="1"/>
  <c r="M326" i="1" a="1"/>
  <c r="M326" i="1" s="1"/>
  <c r="F327" i="1" a="1"/>
  <c r="F327" i="1" s="1"/>
  <c r="R327" i="15" s="1"/>
  <c r="M327" i="1" a="1"/>
  <c r="M327" i="1" s="1"/>
  <c r="Q327" i="1" a="1"/>
  <c r="Q327" i="1" s="1"/>
  <c r="S327" i="15" s="1"/>
  <c r="H328" i="1" a="1"/>
  <c r="H328" i="1" s="1"/>
  <c r="K328" i="1" a="1"/>
  <c r="K328" i="1" s="1"/>
  <c r="L328" i="15" s="1"/>
  <c r="P328" i="1" a="1"/>
  <c r="P328" i="1" s="1"/>
  <c r="C329" i="1" a="1"/>
  <c r="C329" i="1" s="1"/>
  <c r="E329" i="15" s="1"/>
  <c r="F329" i="1" a="1"/>
  <c r="F329" i="1" s="1"/>
  <c r="R329" i="15" s="1"/>
  <c r="M329" i="1" a="1"/>
  <c r="M329" i="1" s="1"/>
  <c r="Q329" i="1" a="1"/>
  <c r="Q329" i="1" s="1"/>
  <c r="S329" i="15" s="1"/>
  <c r="M330" i="1" a="1"/>
  <c r="M330" i="1" s="1"/>
  <c r="F331" i="1" a="1"/>
  <c r="F331" i="1" s="1"/>
  <c r="R331" i="15" s="1"/>
  <c r="M331" i="1" a="1"/>
  <c r="M331" i="1" s="1"/>
  <c r="Q331" i="1" a="1"/>
  <c r="Q331" i="1" s="1"/>
  <c r="S331" i="15" s="1"/>
  <c r="H332" i="1" a="1"/>
  <c r="H332" i="1" s="1"/>
  <c r="L332" i="1" a="1"/>
  <c r="L332" i="1" s="1"/>
  <c r="Q332" i="1" a="1"/>
  <c r="Q332" i="1" s="1"/>
  <c r="S332" i="15" s="1"/>
  <c r="L333" i="1" a="1"/>
  <c r="L333" i="1" s="1"/>
  <c r="D334" i="1" a="1"/>
  <c r="D334" i="1" s="1"/>
  <c r="I334" i="15" s="1"/>
  <c r="O334" i="1"/>
  <c r="M334" i="15" s="1"/>
  <c r="N334" i="15" s="1" a="1"/>
  <c r="N334" i="15" s="1"/>
  <c r="F335" i="1" a="1"/>
  <c r="F335" i="1" s="1"/>
  <c r="R335" i="15" s="1"/>
  <c r="L335" i="1" a="1"/>
  <c r="L335" i="1" s="1"/>
  <c r="Q335" i="1" a="1"/>
  <c r="Q335" i="1" s="1"/>
  <c r="S335" i="15" s="1"/>
  <c r="D336" i="1" a="1"/>
  <c r="D336" i="1" s="1"/>
  <c r="I336" i="15" s="1"/>
  <c r="H336" i="1" a="1"/>
  <c r="H336" i="1" s="1"/>
  <c r="L336" i="1" a="1"/>
  <c r="L336" i="1" s="1"/>
  <c r="Q336" i="1" a="1"/>
  <c r="Q336" i="1" s="1"/>
  <c r="S336" i="15" s="1"/>
  <c r="H337" i="1" a="1"/>
  <c r="H337" i="1" s="1"/>
  <c r="L337" i="1" a="1"/>
  <c r="L337" i="1" s="1"/>
  <c r="Q337" i="1" a="1"/>
  <c r="Q337" i="1" s="1"/>
  <c r="S337" i="15" s="1"/>
  <c r="M338" i="1" a="1"/>
  <c r="M338" i="1" s="1"/>
  <c r="Q338" i="1" a="1"/>
  <c r="Q338" i="1" s="1"/>
  <c r="S338" i="15" s="1"/>
  <c r="M339" i="1" a="1"/>
  <c r="M339" i="1" s="1"/>
  <c r="Q339" i="1" a="1"/>
  <c r="Q339" i="1" s="1"/>
  <c r="S339" i="15" s="1"/>
  <c r="H340" i="1" a="1"/>
  <c r="H340" i="1" s="1"/>
  <c r="K340" i="1" a="1"/>
  <c r="K340" i="1" s="1"/>
  <c r="L340" i="15" s="1"/>
  <c r="P340" i="1" a="1"/>
  <c r="P340" i="1" s="1"/>
  <c r="C341" i="1" a="1"/>
  <c r="C341" i="1" s="1"/>
  <c r="E341" i="15" s="1"/>
  <c r="M341" i="1" a="1"/>
  <c r="M341" i="1" s="1"/>
  <c r="Q341" i="1" a="1"/>
  <c r="Q341" i="1" s="1"/>
  <c r="S341" i="15" s="1"/>
  <c r="H342" i="1" a="1"/>
  <c r="H342" i="1" s="1"/>
  <c r="K342" i="1" a="1"/>
  <c r="K342" i="1" s="1"/>
  <c r="L342" i="15" s="1"/>
  <c r="P342" i="1" a="1"/>
  <c r="P342" i="1" s="1"/>
  <c r="C343" i="1" a="1"/>
  <c r="C343" i="1" s="1"/>
  <c r="E343" i="15" s="1"/>
  <c r="M343" i="1" a="1"/>
  <c r="M343" i="1" s="1"/>
  <c r="Q343" i="1" a="1"/>
  <c r="Q343" i="1" s="1"/>
  <c r="S343" i="15" s="1"/>
  <c r="H344" i="1" a="1"/>
  <c r="H344" i="1" s="1"/>
  <c r="K344" i="1" a="1"/>
  <c r="K344" i="1" s="1"/>
  <c r="L344" i="15" s="1"/>
  <c r="P344" i="1" a="1"/>
  <c r="P344" i="1" s="1"/>
  <c r="C345" i="1" a="1"/>
  <c r="C345" i="1" s="1"/>
  <c r="E345" i="15" s="1"/>
  <c r="M345" i="1" a="1"/>
  <c r="M345" i="1" s="1"/>
  <c r="Q345" i="1" a="1"/>
  <c r="Q345" i="1" s="1"/>
  <c r="S345" i="15" s="1"/>
  <c r="H346" i="1" a="1"/>
  <c r="H346" i="1" s="1"/>
  <c r="K346" i="1" a="1"/>
  <c r="K346" i="1" s="1"/>
  <c r="P346" i="1" a="1"/>
  <c r="P346" i="1" s="1"/>
  <c r="C347" i="1" a="1"/>
  <c r="C347" i="1" s="1"/>
  <c r="E347" i="15" s="1"/>
  <c r="M347" i="1" a="1"/>
  <c r="M347" i="1" s="1"/>
  <c r="Q347" i="1" a="1"/>
  <c r="Q347" i="1" s="1"/>
  <c r="S347" i="15" s="1"/>
  <c r="H348" i="1" a="1"/>
  <c r="H348" i="1" s="1"/>
  <c r="K348" i="1" a="1"/>
  <c r="K348" i="1" s="1"/>
  <c r="P348" i="1" a="1"/>
  <c r="P348" i="1" s="1"/>
  <c r="C349" i="1" a="1"/>
  <c r="C349" i="1" s="1"/>
  <c r="E349" i="15" s="1"/>
  <c r="M349" i="1" a="1"/>
  <c r="M349" i="1" s="1"/>
  <c r="Q349" i="1" a="1"/>
  <c r="Q349" i="1" s="1"/>
  <c r="S349" i="15" s="1"/>
  <c r="H350" i="1" a="1"/>
  <c r="H350" i="1" s="1"/>
  <c r="K350" i="1" a="1"/>
  <c r="K350" i="1" s="1"/>
  <c r="P350" i="1" a="1"/>
  <c r="P350" i="1" s="1"/>
  <c r="C351" i="1" a="1"/>
  <c r="C351" i="1" s="1"/>
  <c r="E351" i="15" s="1"/>
  <c r="M351" i="1" a="1"/>
  <c r="M351" i="1" s="1"/>
  <c r="Q351" i="1" a="1"/>
  <c r="Q351" i="1" s="1"/>
  <c r="S351" i="15" s="1"/>
  <c r="H352" i="1" a="1"/>
  <c r="H352" i="1" s="1"/>
  <c r="K352" i="1" a="1"/>
  <c r="K352" i="1" s="1"/>
  <c r="P352" i="1" a="1"/>
  <c r="P352" i="1" s="1"/>
  <c r="C353" i="1" a="1"/>
  <c r="C353" i="1" s="1"/>
  <c r="E353" i="15" s="1"/>
  <c r="M353" i="1" a="1"/>
  <c r="M353" i="1" s="1"/>
  <c r="Q353" i="1" a="1"/>
  <c r="Q353" i="1" s="1"/>
  <c r="S353" i="15" s="1"/>
  <c r="H354" i="1" a="1"/>
  <c r="H354" i="1" s="1"/>
  <c r="K354" i="1" a="1"/>
  <c r="K354" i="1" s="1"/>
  <c r="P354" i="1" a="1"/>
  <c r="P354" i="1" s="1"/>
  <c r="P345" i="1" a="1"/>
  <c r="P345" i="1" s="1"/>
  <c r="K347" i="1" a="1"/>
  <c r="K347" i="1" s="1"/>
  <c r="L347" i="15" s="1"/>
  <c r="Q348" i="1" a="1"/>
  <c r="Q348" i="1" s="1"/>
  <c r="S348" i="15" s="1"/>
  <c r="C350" i="1" a="1"/>
  <c r="C350" i="1" s="1"/>
  <c r="E350" i="15" s="1"/>
  <c r="J351" i="1" a="1"/>
  <c r="J351" i="1" s="1"/>
  <c r="M352" i="1" a="1"/>
  <c r="M352" i="1" s="1"/>
  <c r="D353" i="1" a="1"/>
  <c r="D353" i="1" s="1"/>
  <c r="I353" i="15" s="1"/>
  <c r="P353" i="1" a="1"/>
  <c r="P353" i="1" s="1"/>
  <c r="F354" i="1" a="1"/>
  <c r="F354" i="1" s="1"/>
  <c r="R354" i="15" s="1"/>
  <c r="L354" i="1" a="1"/>
  <c r="L354" i="1" s="1"/>
  <c r="J355" i="1" a="1"/>
  <c r="J355" i="1" s="1"/>
  <c r="P355" i="1" a="1"/>
  <c r="P355" i="1" s="1"/>
  <c r="M356" i="1" a="1"/>
  <c r="M356" i="1" s="1"/>
  <c r="Q356" i="1" a="1"/>
  <c r="Q356" i="1" s="1"/>
  <c r="S356" i="15" s="1"/>
  <c r="H357" i="1" a="1"/>
  <c r="H357" i="1" s="1"/>
  <c r="K357" i="1" a="1"/>
  <c r="K357" i="1" s="1"/>
  <c r="P357" i="1" a="1"/>
  <c r="P357" i="1" s="1"/>
  <c r="C358" i="1" a="1"/>
  <c r="C358" i="1" s="1"/>
  <c r="E358" i="15" s="1"/>
  <c r="M358" i="1" a="1"/>
  <c r="M358" i="1" s="1"/>
  <c r="Q358" i="1" a="1"/>
  <c r="Q358" i="1" s="1"/>
  <c r="S358" i="15" s="1"/>
  <c r="H359" i="1" a="1"/>
  <c r="H359" i="1" s="1"/>
  <c r="K359" i="1" a="1"/>
  <c r="K359" i="1" s="1"/>
  <c r="P359" i="1" a="1"/>
  <c r="P359" i="1" s="1"/>
  <c r="C360" i="1" a="1"/>
  <c r="C360" i="1" s="1"/>
  <c r="E360" i="15" s="1"/>
  <c r="M360" i="1" a="1"/>
  <c r="M360" i="1" s="1"/>
  <c r="Q360" i="1" a="1"/>
  <c r="Q360" i="1" s="1"/>
  <c r="S360" i="15" s="1"/>
  <c r="H361" i="1" a="1"/>
  <c r="H361" i="1" s="1"/>
  <c r="K361" i="1" a="1"/>
  <c r="K361" i="1" s="1"/>
  <c r="P361" i="1" a="1"/>
  <c r="P361" i="1" s="1"/>
  <c r="C362" i="1" a="1"/>
  <c r="C362" i="1" s="1"/>
  <c r="E362" i="15" s="1"/>
  <c r="M362" i="1" a="1"/>
  <c r="M362" i="1" s="1"/>
  <c r="Q362" i="1" a="1"/>
  <c r="Q362" i="1" s="1"/>
  <c r="S362" i="15" s="1"/>
  <c r="H363" i="1" a="1"/>
  <c r="H363" i="1" s="1"/>
  <c r="K363" i="1" a="1"/>
  <c r="K363" i="1" s="1"/>
  <c r="P363" i="1" a="1"/>
  <c r="P363" i="1" s="1"/>
  <c r="C364" i="1" a="1"/>
  <c r="C364" i="1" s="1"/>
  <c r="E364" i="15" s="1"/>
  <c r="M364" i="1" a="1"/>
  <c r="M364" i="1" s="1"/>
  <c r="Q364" i="1" a="1"/>
  <c r="Q364" i="1" s="1"/>
  <c r="S364" i="15" s="1"/>
  <c r="H365" i="1" a="1"/>
  <c r="H365" i="1" s="1"/>
  <c r="K365" i="1" a="1"/>
  <c r="K365" i="1" s="1"/>
  <c r="P365" i="1" a="1"/>
  <c r="P365" i="1" s="1"/>
  <c r="C366" i="1" a="1"/>
  <c r="C366" i="1" s="1"/>
  <c r="E366" i="15" s="1"/>
  <c r="M366" i="1" a="1"/>
  <c r="M366" i="1" s="1"/>
  <c r="Q366" i="1" a="1"/>
  <c r="Q366" i="1" s="1"/>
  <c r="S366" i="15" s="1"/>
  <c r="H367" i="1" a="1"/>
  <c r="H367" i="1" s="1"/>
  <c r="K367" i="1" a="1"/>
  <c r="K367" i="1" s="1"/>
  <c r="P367" i="1" a="1"/>
  <c r="P367" i="1" s="1"/>
  <c r="C368" i="1" a="1"/>
  <c r="C368" i="1" s="1"/>
  <c r="E368" i="15" s="1"/>
  <c r="M368" i="1" a="1"/>
  <c r="M368" i="1" s="1"/>
  <c r="Q368" i="1" a="1"/>
  <c r="Q368" i="1" s="1"/>
  <c r="S368" i="15" s="1"/>
  <c r="H369" i="1" a="1"/>
  <c r="H369" i="1" s="1"/>
  <c r="K369" i="1" a="1"/>
  <c r="K369" i="1" s="1"/>
  <c r="P369" i="1" a="1"/>
  <c r="P369" i="1" s="1"/>
  <c r="C370" i="1" a="1"/>
  <c r="C370" i="1" s="1"/>
  <c r="E370" i="15" s="1"/>
  <c r="M370" i="1" a="1"/>
  <c r="M370" i="1" s="1"/>
  <c r="Q370" i="1" a="1"/>
  <c r="Q370" i="1" s="1"/>
  <c r="S370" i="15" s="1"/>
  <c r="H371" i="1" a="1"/>
  <c r="H371" i="1" s="1"/>
  <c r="K371" i="1" a="1"/>
  <c r="K371" i="1" s="1"/>
  <c r="P371" i="1" a="1"/>
  <c r="P371" i="1" s="1"/>
  <c r="C372" i="1" a="1"/>
  <c r="C372" i="1" s="1"/>
  <c r="E372" i="15" s="1"/>
  <c r="M372" i="1" a="1"/>
  <c r="M372" i="1" s="1"/>
  <c r="Q372" i="1" a="1"/>
  <c r="Q372" i="1" s="1"/>
  <c r="S372" i="15" s="1"/>
  <c r="H373" i="1" a="1"/>
  <c r="H373" i="1" s="1"/>
  <c r="K373" i="1" a="1"/>
  <c r="K373" i="1" s="1"/>
  <c r="P373" i="1" a="1"/>
  <c r="P373" i="1" s="1"/>
  <c r="C374" i="1" a="1"/>
  <c r="C374" i="1" s="1"/>
  <c r="E374" i="15" s="1"/>
  <c r="M374" i="1" a="1"/>
  <c r="M374" i="1" s="1"/>
  <c r="Q374" i="1" a="1"/>
  <c r="Q374" i="1" s="1"/>
  <c r="S374" i="15" s="1"/>
  <c r="H375" i="1" a="1"/>
  <c r="H375" i="1" s="1"/>
  <c r="K375" i="1" a="1"/>
  <c r="K375" i="1" s="1"/>
  <c r="P375" i="1" a="1"/>
  <c r="P375" i="1" s="1"/>
  <c r="C376" i="1" a="1"/>
  <c r="C376" i="1" s="1"/>
  <c r="E376" i="15" s="1"/>
  <c r="M376" i="1" a="1"/>
  <c r="M376" i="1" s="1"/>
  <c r="Q376" i="1" a="1"/>
  <c r="Q376" i="1" s="1"/>
  <c r="S376" i="15" s="1"/>
  <c r="H377" i="1" a="1"/>
  <c r="H377" i="1" s="1"/>
  <c r="K377" i="1" a="1"/>
  <c r="K377" i="1" s="1"/>
  <c r="P377" i="1" a="1"/>
  <c r="P377" i="1" s="1"/>
  <c r="C378" i="1" a="1"/>
  <c r="C378" i="1" s="1"/>
  <c r="E378" i="15" s="1"/>
  <c r="M378" i="1" a="1"/>
  <c r="M378" i="1" s="1"/>
  <c r="Q378" i="1" a="1"/>
  <c r="Q378" i="1" s="1"/>
  <c r="S378" i="15" s="1"/>
  <c r="H379" i="1" a="1"/>
  <c r="H379" i="1" s="1"/>
  <c r="K379" i="1" a="1"/>
  <c r="K379" i="1" s="1"/>
  <c r="P379" i="1" a="1"/>
  <c r="P379" i="1" s="1"/>
  <c r="C380" i="1" a="1"/>
  <c r="C380" i="1" s="1"/>
  <c r="E380" i="15" s="1"/>
  <c r="M380" i="1" a="1"/>
  <c r="M380" i="1" s="1"/>
  <c r="Q380" i="1" a="1"/>
  <c r="Q380" i="1" s="1"/>
  <c r="S380" i="15" s="1"/>
  <c r="H381" i="1" a="1"/>
  <c r="H381" i="1" s="1"/>
  <c r="K381" i="1" a="1"/>
  <c r="K381" i="1" s="1"/>
  <c r="P381" i="1" a="1"/>
  <c r="P381" i="1" s="1"/>
  <c r="C382" i="1" a="1"/>
  <c r="C382" i="1" s="1"/>
  <c r="E382" i="15" s="1"/>
  <c r="M382" i="1" a="1"/>
  <c r="M382" i="1" s="1"/>
  <c r="Q382" i="1" a="1"/>
  <c r="Q382" i="1" s="1"/>
  <c r="S382" i="15" s="1"/>
  <c r="H383" i="1" a="1"/>
  <c r="H383" i="1" s="1"/>
  <c r="K383" i="1" a="1"/>
  <c r="K383" i="1" s="1"/>
  <c r="P383" i="1" a="1"/>
  <c r="P383" i="1" s="1"/>
  <c r="C384" i="1" a="1"/>
  <c r="C384" i="1" s="1"/>
  <c r="E384" i="15" s="1"/>
  <c r="M384" i="1" a="1"/>
  <c r="M384" i="1" s="1"/>
  <c r="Q384" i="1" a="1"/>
  <c r="Q384" i="1" s="1"/>
  <c r="S384" i="15" s="1"/>
  <c r="H385" i="1" a="1"/>
  <c r="H385" i="1" s="1"/>
  <c r="K385" i="1" a="1"/>
  <c r="K385" i="1" s="1"/>
  <c r="P385" i="1" a="1"/>
  <c r="P385" i="1" s="1"/>
  <c r="C386" i="1" a="1"/>
  <c r="C386" i="1" s="1"/>
  <c r="E386" i="15" s="1"/>
  <c r="M386" i="1" a="1"/>
  <c r="M386" i="1" s="1"/>
  <c r="Q386" i="1" a="1"/>
  <c r="Q386" i="1" s="1"/>
  <c r="S386" i="15" s="1"/>
  <c r="H387" i="1" a="1"/>
  <c r="H387" i="1" s="1"/>
  <c r="K387" i="1" a="1"/>
  <c r="K387" i="1" s="1"/>
  <c r="P387" i="1" a="1"/>
  <c r="P387" i="1" s="1"/>
  <c r="C388" i="1" a="1"/>
  <c r="C388" i="1" s="1"/>
  <c r="E388" i="15" s="1"/>
  <c r="M388" i="1" a="1"/>
  <c r="M388" i="1" s="1"/>
  <c r="Q388" i="1" a="1"/>
  <c r="Q388" i="1" s="1"/>
  <c r="S388" i="15" s="1"/>
  <c r="D389" i="1" a="1"/>
  <c r="D389" i="1" s="1"/>
  <c r="I389" i="15" s="1"/>
  <c r="G389" i="1" a="1"/>
  <c r="G389" i="1" s="1"/>
  <c r="O389" i="1"/>
  <c r="M389" i="15" s="1"/>
  <c r="N389" i="15" s="1" a="1"/>
  <c r="N389" i="15" s="1"/>
  <c r="C390" i="1" a="1"/>
  <c r="C390" i="1" s="1"/>
  <c r="E390" i="15" s="1"/>
  <c r="J390" i="1" a="1"/>
  <c r="J390" i="1" s="1"/>
  <c r="L391" i="1" a="1"/>
  <c r="L391" i="1" s="1"/>
  <c r="P391" i="1" a="1"/>
  <c r="P391" i="1" s="1"/>
  <c r="C392" i="1" a="1"/>
  <c r="C392" i="1" s="1"/>
  <c r="E392" i="15" s="1"/>
  <c r="G392" i="1" a="1"/>
  <c r="G392" i="1" s="1"/>
  <c r="K392" i="1" a="1"/>
  <c r="K392" i="1" s="1"/>
  <c r="H345" i="1" a="1"/>
  <c r="H345" i="1" s="1"/>
  <c r="P347" i="1" a="1"/>
  <c r="P347" i="1" s="1"/>
  <c r="K349" i="1" a="1"/>
  <c r="K349" i="1" s="1"/>
  <c r="L349" i="15" s="1"/>
  <c r="Q350" i="1" a="1"/>
  <c r="Q350" i="1" s="1"/>
  <c r="S350" i="15" s="1"/>
  <c r="G351" i="1" a="1"/>
  <c r="G351" i="1" s="1"/>
  <c r="K351" i="1" a="1"/>
  <c r="K351" i="1" s="1"/>
  <c r="L351" i="15" s="1"/>
  <c r="C352" i="1" a="1"/>
  <c r="C352" i="1" s="1"/>
  <c r="E352" i="15" s="1"/>
  <c r="J353" i="1" a="1"/>
  <c r="J353" i="1" s="1"/>
  <c r="M354" i="1" a="1"/>
  <c r="M354" i="1" s="1"/>
  <c r="C355" i="1" a="1"/>
  <c r="C355" i="1" s="1"/>
  <c r="E355" i="15" s="1"/>
  <c r="G355" i="1" a="1"/>
  <c r="G355" i="1" s="1"/>
  <c r="K355" i="1" a="1"/>
  <c r="K355" i="1" s="1"/>
  <c r="Q355" i="1" a="1"/>
  <c r="Q355" i="1" s="1"/>
  <c r="S355" i="15" s="1"/>
  <c r="F356" i="1" a="1"/>
  <c r="F356" i="1" s="1"/>
  <c r="R356" i="15" s="1"/>
  <c r="O356" i="1"/>
  <c r="M356" i="15" s="1"/>
  <c r="N356" i="15" s="1" a="1"/>
  <c r="N356" i="15" s="1"/>
  <c r="F357" i="1" a="1"/>
  <c r="F357" i="1" s="1"/>
  <c r="R357" i="15" s="1"/>
  <c r="L357" i="1" a="1"/>
  <c r="L357" i="1" s="1"/>
  <c r="D358" i="1" a="1"/>
  <c r="D358" i="1" s="1"/>
  <c r="I358" i="15" s="1"/>
  <c r="G358" i="1" a="1"/>
  <c r="G358" i="1" s="1"/>
  <c r="J358" i="1" a="1"/>
  <c r="J358" i="1" s="1"/>
  <c r="O358" i="1"/>
  <c r="M358" i="15" s="1"/>
  <c r="N358" i="15" s="1" a="1"/>
  <c r="N358" i="15" s="1"/>
  <c r="F359" i="1" a="1"/>
  <c r="F359" i="1" s="1"/>
  <c r="R359" i="15" s="1"/>
  <c r="L359" i="1" a="1"/>
  <c r="L359" i="1" s="1"/>
  <c r="D360" i="1" a="1"/>
  <c r="D360" i="1" s="1"/>
  <c r="I360" i="15" s="1"/>
  <c r="G360" i="1" a="1"/>
  <c r="G360" i="1" s="1"/>
  <c r="J360" i="1" a="1"/>
  <c r="J360" i="1" s="1"/>
  <c r="O360" i="1"/>
  <c r="M360" i="15" s="1"/>
  <c r="N360" i="15" s="1" a="1"/>
  <c r="N360" i="15" s="1"/>
  <c r="F361" i="1" a="1"/>
  <c r="F361" i="1" s="1"/>
  <c r="R361" i="15" s="1"/>
  <c r="L361" i="1" a="1"/>
  <c r="L361" i="1" s="1"/>
  <c r="D362" i="1" a="1"/>
  <c r="D362" i="1" s="1"/>
  <c r="I362" i="15" s="1"/>
  <c r="G362" i="1" a="1"/>
  <c r="G362" i="1" s="1"/>
  <c r="J362" i="1" a="1"/>
  <c r="J362" i="1" s="1"/>
  <c r="O362" i="1"/>
  <c r="M362" i="15" s="1"/>
  <c r="N362" i="15" s="1" a="1"/>
  <c r="N362" i="15" s="1"/>
  <c r="F363" i="1" a="1"/>
  <c r="F363" i="1" s="1"/>
  <c r="R363" i="15" s="1"/>
  <c r="L363" i="1" a="1"/>
  <c r="L363" i="1" s="1"/>
  <c r="D364" i="1" a="1"/>
  <c r="D364" i="1" s="1"/>
  <c r="I364" i="15" s="1"/>
  <c r="G364" i="1" a="1"/>
  <c r="G364" i="1" s="1"/>
  <c r="J364" i="1" a="1"/>
  <c r="J364" i="1" s="1"/>
  <c r="O364" i="1"/>
  <c r="M364" i="15" s="1"/>
  <c r="N364" i="15" s="1" a="1"/>
  <c r="N364" i="15" s="1"/>
  <c r="F365" i="1" a="1"/>
  <c r="F365" i="1" s="1"/>
  <c r="R365" i="15" s="1"/>
  <c r="L365" i="1" a="1"/>
  <c r="L365" i="1" s="1"/>
  <c r="D366" i="1" a="1"/>
  <c r="D366" i="1" s="1"/>
  <c r="I366" i="15" s="1"/>
  <c r="G366" i="1" a="1"/>
  <c r="G366" i="1" s="1"/>
  <c r="J366" i="1" a="1"/>
  <c r="J366" i="1" s="1"/>
  <c r="O366" i="1"/>
  <c r="M366" i="15" s="1"/>
  <c r="N366" i="15" s="1" a="1"/>
  <c r="N366" i="15" s="1"/>
  <c r="F367" i="1" a="1"/>
  <c r="F367" i="1" s="1"/>
  <c r="R367" i="15" s="1"/>
  <c r="L367" i="1" a="1"/>
  <c r="L367" i="1" s="1"/>
  <c r="D368" i="1" a="1"/>
  <c r="D368" i="1" s="1"/>
  <c r="I368" i="15" s="1"/>
  <c r="G368" i="1" a="1"/>
  <c r="G368" i="1" s="1"/>
  <c r="J368" i="1" a="1"/>
  <c r="J368" i="1" s="1"/>
  <c r="O368" i="1"/>
  <c r="M368" i="15" s="1"/>
  <c r="N368" i="15" s="1" a="1"/>
  <c r="N368" i="15" s="1"/>
  <c r="F369" i="1" a="1"/>
  <c r="F369" i="1" s="1"/>
  <c r="R369" i="15" s="1"/>
  <c r="L369" i="1" a="1"/>
  <c r="L369" i="1" s="1"/>
  <c r="D370" i="1" a="1"/>
  <c r="D370" i="1" s="1"/>
  <c r="I370" i="15" s="1"/>
  <c r="G370" i="1" a="1"/>
  <c r="G370" i="1" s="1"/>
  <c r="J370" i="1" a="1"/>
  <c r="J370" i="1" s="1"/>
  <c r="O370" i="1"/>
  <c r="M370" i="15" s="1"/>
  <c r="N370" i="15" s="1" a="1"/>
  <c r="N370" i="15" s="1"/>
  <c r="F371" i="1" a="1"/>
  <c r="F371" i="1" s="1"/>
  <c r="R371" i="15" s="1"/>
  <c r="L371" i="1" a="1"/>
  <c r="L371" i="1" s="1"/>
  <c r="D372" i="1" a="1"/>
  <c r="D372" i="1" s="1"/>
  <c r="I372" i="15" s="1"/>
  <c r="G372" i="1" a="1"/>
  <c r="G372" i="1" s="1"/>
  <c r="J372" i="1" a="1"/>
  <c r="J372" i="1" s="1"/>
  <c r="O372" i="1"/>
  <c r="M372" i="15" s="1"/>
  <c r="N372" i="15" s="1" a="1"/>
  <c r="N372" i="15" s="1"/>
  <c r="F373" i="1" a="1"/>
  <c r="F373" i="1" s="1"/>
  <c r="R373" i="15" s="1"/>
  <c r="L373" i="1" a="1"/>
  <c r="L373" i="1" s="1"/>
  <c r="D374" i="1" a="1"/>
  <c r="D374" i="1" s="1"/>
  <c r="I374" i="15" s="1"/>
  <c r="G374" i="1" a="1"/>
  <c r="G374" i="1" s="1"/>
  <c r="J374" i="1" a="1"/>
  <c r="J374" i="1" s="1"/>
  <c r="O374" i="1"/>
  <c r="M374" i="15" s="1"/>
  <c r="N374" i="15" s="1" a="1"/>
  <c r="N374" i="15" s="1"/>
  <c r="F375" i="1" a="1"/>
  <c r="F375" i="1" s="1"/>
  <c r="R375" i="15" s="1"/>
  <c r="L375" i="1" a="1"/>
  <c r="L375" i="1" s="1"/>
  <c r="D376" i="1" a="1"/>
  <c r="D376" i="1" s="1"/>
  <c r="I376" i="15" s="1"/>
  <c r="G376" i="1" a="1"/>
  <c r="G376" i="1" s="1"/>
  <c r="J376" i="1" a="1"/>
  <c r="J376" i="1" s="1"/>
  <c r="O376" i="1"/>
  <c r="M376" i="15" s="1"/>
  <c r="N376" i="15" s="1" a="1"/>
  <c r="N376" i="15" s="1"/>
  <c r="F377" i="1" a="1"/>
  <c r="F377" i="1" s="1"/>
  <c r="R377" i="15" s="1"/>
  <c r="L377" i="1" a="1"/>
  <c r="L377" i="1" s="1"/>
  <c r="D378" i="1" a="1"/>
  <c r="D378" i="1" s="1"/>
  <c r="I378" i="15" s="1"/>
  <c r="G378" i="1" a="1"/>
  <c r="G378" i="1" s="1"/>
  <c r="J378" i="1" a="1"/>
  <c r="J378" i="1" s="1"/>
  <c r="O378" i="1"/>
  <c r="M378" i="15" s="1"/>
  <c r="N378" i="15" s="1" a="1"/>
  <c r="N378" i="15" s="1"/>
  <c r="F379" i="1" a="1"/>
  <c r="F379" i="1" s="1"/>
  <c r="R379" i="15" s="1"/>
  <c r="L379" i="1" a="1"/>
  <c r="L379" i="1" s="1"/>
  <c r="D380" i="1" a="1"/>
  <c r="D380" i="1" s="1"/>
  <c r="I380" i="15" s="1"/>
  <c r="G380" i="1" a="1"/>
  <c r="G380" i="1" s="1"/>
  <c r="J380" i="1" a="1"/>
  <c r="J380" i="1" s="1"/>
  <c r="O380" i="1"/>
  <c r="M380" i="15" s="1"/>
  <c r="N380" i="15" s="1" a="1"/>
  <c r="N380" i="15" s="1"/>
  <c r="F381" i="1" a="1"/>
  <c r="F381" i="1" s="1"/>
  <c r="R381" i="15" s="1"/>
  <c r="L381" i="1" a="1"/>
  <c r="L381" i="1" s="1"/>
  <c r="D382" i="1" a="1"/>
  <c r="D382" i="1" s="1"/>
  <c r="I382" i="15" s="1"/>
  <c r="G382" i="1" a="1"/>
  <c r="G382" i="1" s="1"/>
  <c r="J382" i="1" a="1"/>
  <c r="J382" i="1" s="1"/>
  <c r="O382" i="1"/>
  <c r="M382" i="15" s="1"/>
  <c r="N382" i="15" s="1" a="1"/>
  <c r="N382" i="15" s="1"/>
  <c r="F383" i="1" a="1"/>
  <c r="F383" i="1" s="1"/>
  <c r="R383" i="15" s="1"/>
  <c r="L383" i="1" a="1"/>
  <c r="L383" i="1" s="1"/>
  <c r="D384" i="1" a="1"/>
  <c r="D384" i="1" s="1"/>
  <c r="I384" i="15" s="1"/>
  <c r="G384" i="1" a="1"/>
  <c r="G384" i="1" s="1"/>
  <c r="J384" i="1" a="1"/>
  <c r="J384" i="1" s="1"/>
  <c r="O384" i="1"/>
  <c r="M384" i="15" s="1"/>
  <c r="N384" i="15" s="1" a="1"/>
  <c r="N384" i="15" s="1"/>
  <c r="F385" i="1" a="1"/>
  <c r="F385" i="1" s="1"/>
  <c r="R385" i="15" s="1"/>
  <c r="L385" i="1" a="1"/>
  <c r="L385" i="1" s="1"/>
  <c r="D386" i="1" a="1"/>
  <c r="D386" i="1" s="1"/>
  <c r="I386" i="15" s="1"/>
  <c r="G386" i="1" a="1"/>
  <c r="G386" i="1" s="1"/>
  <c r="J386" i="1" a="1"/>
  <c r="J386" i="1" s="1"/>
  <c r="O386" i="1"/>
  <c r="M386" i="15" s="1"/>
  <c r="N386" i="15" s="1" a="1"/>
  <c r="N386" i="15" s="1"/>
  <c r="F387" i="1" a="1"/>
  <c r="F387" i="1" s="1"/>
  <c r="R387" i="15" s="1"/>
  <c r="L387" i="1" a="1"/>
  <c r="L387" i="1" s="1"/>
  <c r="D388" i="1" a="1"/>
  <c r="D388" i="1" s="1"/>
  <c r="I388" i="15" s="1"/>
  <c r="G388" i="1" a="1"/>
  <c r="G388" i="1" s="1"/>
  <c r="J388" i="1" a="1"/>
  <c r="J388" i="1" s="1"/>
  <c r="O388" i="1"/>
  <c r="M388" i="15" s="1"/>
  <c r="N388" i="15" s="1" a="1"/>
  <c r="N388" i="15" s="1"/>
  <c r="H389" i="1" a="1"/>
  <c r="H389" i="1" s="1"/>
  <c r="K389" i="1" a="1"/>
  <c r="K389" i="1" s="1"/>
  <c r="P389" i="1" a="1"/>
  <c r="P389" i="1" s="1"/>
  <c r="D390" i="1" a="1"/>
  <c r="D390" i="1" s="1"/>
  <c r="I390" i="15" s="1"/>
  <c r="G390" i="1" a="1"/>
  <c r="G390" i="1" s="1"/>
  <c r="K390" i="1" a="1"/>
  <c r="K390" i="1" s="1"/>
  <c r="O390" i="1"/>
  <c r="M390" i="15" s="1"/>
  <c r="N390" i="15" s="1" a="1"/>
  <c r="N390" i="15" s="1"/>
  <c r="F391" i="1" a="1"/>
  <c r="F391" i="1" s="1"/>
  <c r="R391" i="15" s="1"/>
  <c r="D392" i="1" a="1"/>
  <c r="D392" i="1" s="1"/>
  <c r="I392" i="15" s="1"/>
  <c r="H392" i="1" a="1"/>
  <c r="H392" i="1" s="1"/>
  <c r="P392" i="1" a="1"/>
  <c r="P392" i="1" s="1"/>
  <c r="J393" i="1" a="1"/>
  <c r="J393" i="1" s="1"/>
  <c r="M393" i="1" a="1"/>
  <c r="M393" i="1" s="1"/>
  <c r="H394" i="1" a="1"/>
  <c r="H394" i="1" s="1"/>
  <c r="L394" i="1" a="1"/>
  <c r="L394" i="1" s="1"/>
  <c r="P394" i="1" a="1"/>
  <c r="P394" i="1" s="1"/>
  <c r="C395" i="1" a="1"/>
  <c r="C395" i="1" s="1"/>
  <c r="E395" i="15" s="1"/>
  <c r="G395" i="1" a="1"/>
  <c r="G395" i="1" s="1"/>
  <c r="Q344" i="1" a="1"/>
  <c r="Q344" i="1" s="1"/>
  <c r="S344" i="15" s="1"/>
  <c r="C346" i="1" a="1"/>
  <c r="C346" i="1" s="1"/>
  <c r="E346" i="15" s="1"/>
  <c r="M346" i="1" a="1"/>
  <c r="M346" i="1" s="1"/>
  <c r="H347" i="1" a="1"/>
  <c r="H347" i="1" s="1"/>
  <c r="P349" i="1" a="1"/>
  <c r="P349" i="1" s="1"/>
  <c r="F350" i="1" a="1"/>
  <c r="F350" i="1" s="1"/>
  <c r="R350" i="15" s="1"/>
  <c r="L350" i="1" a="1"/>
  <c r="L350" i="1" s="1"/>
  <c r="H351" i="1" a="1"/>
  <c r="H351" i="1" s="1"/>
  <c r="O351" i="1"/>
  <c r="M351" i="15" s="1"/>
  <c r="N351" i="15" s="1" a="1"/>
  <c r="N351" i="15" s="1"/>
  <c r="Q352" i="1" a="1"/>
  <c r="Q352" i="1" s="1"/>
  <c r="S352" i="15" s="1"/>
  <c r="G353" i="1" a="1"/>
  <c r="G353" i="1" s="1"/>
  <c r="K353" i="1" a="1"/>
  <c r="K353" i="1" s="1"/>
  <c r="L353" i="15" s="1"/>
  <c r="C354" i="1" a="1"/>
  <c r="C354" i="1" s="1"/>
  <c r="E354" i="15" s="1"/>
  <c r="D355" i="1" a="1"/>
  <c r="D355" i="1" s="1"/>
  <c r="I355" i="15" s="1"/>
  <c r="H355" i="1" a="1"/>
  <c r="H355" i="1" s="1"/>
  <c r="M355" i="1" a="1"/>
  <c r="M355" i="1" s="1"/>
  <c r="K356" i="1" a="1"/>
  <c r="K356" i="1" s="1"/>
  <c r="P356" i="1" a="1"/>
  <c r="P356" i="1" s="1"/>
  <c r="C357" i="1" a="1"/>
  <c r="C357" i="1" s="1"/>
  <c r="E357" i="15" s="1"/>
  <c r="M357" i="1" a="1"/>
  <c r="M357" i="1" s="1"/>
  <c r="Q357" i="1" a="1"/>
  <c r="Q357" i="1" s="1"/>
  <c r="S357" i="15" s="1"/>
  <c r="H358" i="1" a="1"/>
  <c r="H358" i="1" s="1"/>
  <c r="K358" i="1" a="1"/>
  <c r="K358" i="1" s="1"/>
  <c r="P358" i="1" a="1"/>
  <c r="P358" i="1" s="1"/>
  <c r="C359" i="1" a="1"/>
  <c r="C359" i="1" s="1"/>
  <c r="E359" i="15" s="1"/>
  <c r="M359" i="1" a="1"/>
  <c r="M359" i="1" s="1"/>
  <c r="Q359" i="1" a="1"/>
  <c r="Q359" i="1" s="1"/>
  <c r="S359" i="15" s="1"/>
  <c r="H360" i="1" a="1"/>
  <c r="H360" i="1" s="1"/>
  <c r="K360" i="1" a="1"/>
  <c r="K360" i="1" s="1"/>
  <c r="P360" i="1" a="1"/>
  <c r="P360" i="1" s="1"/>
  <c r="C361" i="1" a="1"/>
  <c r="C361" i="1" s="1"/>
  <c r="E361" i="15" s="1"/>
  <c r="M361" i="1" a="1"/>
  <c r="M361" i="1" s="1"/>
  <c r="Q361" i="1" a="1"/>
  <c r="Q361" i="1" s="1"/>
  <c r="S361" i="15" s="1"/>
  <c r="H362" i="1" a="1"/>
  <c r="H362" i="1" s="1"/>
  <c r="K362" i="1" a="1"/>
  <c r="K362" i="1" s="1"/>
  <c r="P362" i="1" a="1"/>
  <c r="P362" i="1" s="1"/>
  <c r="C363" i="1" a="1"/>
  <c r="C363" i="1" s="1"/>
  <c r="E363" i="15" s="1"/>
  <c r="M363" i="1" a="1"/>
  <c r="M363" i="1" s="1"/>
  <c r="Q363" i="1" a="1"/>
  <c r="Q363" i="1" s="1"/>
  <c r="S363" i="15" s="1"/>
  <c r="H364" i="1" a="1"/>
  <c r="H364" i="1" s="1"/>
  <c r="K364" i="1" a="1"/>
  <c r="K364" i="1" s="1"/>
  <c r="P364" i="1" a="1"/>
  <c r="P364" i="1" s="1"/>
  <c r="C365" i="1" a="1"/>
  <c r="C365" i="1" s="1"/>
  <c r="E365" i="15" s="1"/>
  <c r="M365" i="1" a="1"/>
  <c r="M365" i="1" s="1"/>
  <c r="Q365" i="1" a="1"/>
  <c r="Q365" i="1" s="1"/>
  <c r="S365" i="15" s="1"/>
  <c r="H366" i="1" a="1"/>
  <c r="H366" i="1" s="1"/>
  <c r="K366" i="1" a="1"/>
  <c r="K366" i="1" s="1"/>
  <c r="P366" i="1" a="1"/>
  <c r="P366" i="1" s="1"/>
  <c r="C367" i="1" a="1"/>
  <c r="C367" i="1" s="1"/>
  <c r="E367" i="15" s="1"/>
  <c r="M367" i="1" a="1"/>
  <c r="M367" i="1" s="1"/>
  <c r="Q367" i="1" a="1"/>
  <c r="Q367" i="1" s="1"/>
  <c r="S367" i="15" s="1"/>
  <c r="H368" i="1" a="1"/>
  <c r="H368" i="1" s="1"/>
  <c r="K368" i="1" a="1"/>
  <c r="K368" i="1" s="1"/>
  <c r="P368" i="1" a="1"/>
  <c r="P368" i="1" s="1"/>
  <c r="C369" i="1" a="1"/>
  <c r="C369" i="1" s="1"/>
  <c r="E369" i="15" s="1"/>
  <c r="M369" i="1" a="1"/>
  <c r="M369" i="1" s="1"/>
  <c r="Q369" i="1" a="1"/>
  <c r="Q369" i="1" s="1"/>
  <c r="S369" i="15" s="1"/>
  <c r="H370" i="1" a="1"/>
  <c r="H370" i="1" s="1"/>
  <c r="K370" i="1" a="1"/>
  <c r="K370" i="1" s="1"/>
  <c r="P370" i="1" a="1"/>
  <c r="P370" i="1" s="1"/>
  <c r="C371" i="1" a="1"/>
  <c r="C371" i="1" s="1"/>
  <c r="E371" i="15" s="1"/>
  <c r="M371" i="1" a="1"/>
  <c r="M371" i="1" s="1"/>
  <c r="Q371" i="1" a="1"/>
  <c r="Q371" i="1" s="1"/>
  <c r="S371" i="15" s="1"/>
  <c r="H372" i="1" a="1"/>
  <c r="H372" i="1" s="1"/>
  <c r="K372" i="1" a="1"/>
  <c r="K372" i="1" s="1"/>
  <c r="P372" i="1" a="1"/>
  <c r="P372" i="1" s="1"/>
  <c r="C373" i="1" a="1"/>
  <c r="C373" i="1" s="1"/>
  <c r="E373" i="15" s="1"/>
  <c r="M373" i="1" a="1"/>
  <c r="M373" i="1" s="1"/>
  <c r="Q373" i="1" a="1"/>
  <c r="Q373" i="1" s="1"/>
  <c r="S373" i="15" s="1"/>
  <c r="H374" i="1" a="1"/>
  <c r="H374" i="1" s="1"/>
  <c r="K374" i="1" a="1"/>
  <c r="K374" i="1" s="1"/>
  <c r="P374" i="1" a="1"/>
  <c r="P374" i="1" s="1"/>
  <c r="C375" i="1" a="1"/>
  <c r="C375" i="1" s="1"/>
  <c r="E375" i="15" s="1"/>
  <c r="M375" i="1" a="1"/>
  <c r="M375" i="1" s="1"/>
  <c r="Q375" i="1" a="1"/>
  <c r="Q375" i="1" s="1"/>
  <c r="S375" i="15" s="1"/>
  <c r="H376" i="1" a="1"/>
  <c r="H376" i="1" s="1"/>
  <c r="K376" i="1" a="1"/>
  <c r="K376" i="1" s="1"/>
  <c r="P376" i="1" a="1"/>
  <c r="P376" i="1" s="1"/>
  <c r="C377" i="1" a="1"/>
  <c r="C377" i="1" s="1"/>
  <c r="E377" i="15" s="1"/>
  <c r="M377" i="1" a="1"/>
  <c r="M377" i="1" s="1"/>
  <c r="Q377" i="1" a="1"/>
  <c r="Q377" i="1" s="1"/>
  <c r="S377" i="15" s="1"/>
  <c r="H378" i="1" a="1"/>
  <c r="H378" i="1" s="1"/>
  <c r="K378" i="1" a="1"/>
  <c r="K378" i="1" s="1"/>
  <c r="P378" i="1" a="1"/>
  <c r="P378" i="1" s="1"/>
  <c r="C379" i="1" a="1"/>
  <c r="C379" i="1" s="1"/>
  <c r="E379" i="15" s="1"/>
  <c r="M379" i="1" a="1"/>
  <c r="M379" i="1" s="1"/>
  <c r="Q379" i="1" a="1"/>
  <c r="Q379" i="1" s="1"/>
  <c r="S379" i="15" s="1"/>
  <c r="H380" i="1" a="1"/>
  <c r="H380" i="1" s="1"/>
  <c r="K380" i="1" a="1"/>
  <c r="K380" i="1" s="1"/>
  <c r="P380" i="1" a="1"/>
  <c r="P380" i="1" s="1"/>
  <c r="C381" i="1" a="1"/>
  <c r="C381" i="1" s="1"/>
  <c r="E381" i="15" s="1"/>
  <c r="M381" i="1" a="1"/>
  <c r="M381" i="1" s="1"/>
  <c r="Q381" i="1" a="1"/>
  <c r="Q381" i="1" s="1"/>
  <c r="S381" i="15" s="1"/>
  <c r="H382" i="1" a="1"/>
  <c r="H382" i="1" s="1"/>
  <c r="K382" i="1" a="1"/>
  <c r="K382" i="1" s="1"/>
  <c r="P382" i="1" a="1"/>
  <c r="P382" i="1" s="1"/>
  <c r="C383" i="1" a="1"/>
  <c r="C383" i="1" s="1"/>
  <c r="E383" i="15" s="1"/>
  <c r="M383" i="1" a="1"/>
  <c r="M383" i="1" s="1"/>
  <c r="Q383" i="1" a="1"/>
  <c r="Q383" i="1" s="1"/>
  <c r="S383" i="15" s="1"/>
  <c r="H384" i="1" a="1"/>
  <c r="H384" i="1" s="1"/>
  <c r="K384" i="1" a="1"/>
  <c r="K384" i="1" s="1"/>
  <c r="P384" i="1" a="1"/>
  <c r="P384" i="1" s="1"/>
  <c r="C385" i="1" a="1"/>
  <c r="C385" i="1" s="1"/>
  <c r="E385" i="15" s="1"/>
  <c r="M385" i="1" a="1"/>
  <c r="M385" i="1" s="1"/>
  <c r="Q385" i="1" a="1"/>
  <c r="Q385" i="1" s="1"/>
  <c r="S385" i="15" s="1"/>
  <c r="K345" i="1" a="1"/>
  <c r="K345" i="1" s="1"/>
  <c r="L345" i="15" s="1"/>
  <c r="Q346" i="1" a="1"/>
  <c r="Q346" i="1" s="1"/>
  <c r="S346" i="15" s="1"/>
  <c r="C348" i="1" a="1"/>
  <c r="C348" i="1" s="1"/>
  <c r="E348" i="15" s="1"/>
  <c r="M348" i="1" a="1"/>
  <c r="M348" i="1" s="1"/>
  <c r="H349" i="1" a="1"/>
  <c r="H349" i="1" s="1"/>
  <c r="M350" i="1" a="1"/>
  <c r="M350" i="1" s="1"/>
  <c r="D351" i="1" a="1"/>
  <c r="D351" i="1" s="1"/>
  <c r="I351" i="15" s="1"/>
  <c r="P351" i="1" a="1"/>
  <c r="P351" i="1" s="1"/>
  <c r="F352" i="1" a="1"/>
  <c r="F352" i="1" s="1"/>
  <c r="R352" i="15" s="1"/>
  <c r="L352" i="1" a="1"/>
  <c r="L352" i="1" s="1"/>
  <c r="H353" i="1" a="1"/>
  <c r="H353" i="1" s="1"/>
  <c r="O353" i="1"/>
  <c r="M353" i="15" s="1"/>
  <c r="N353" i="15" s="1" a="1"/>
  <c r="N353" i="15" s="1"/>
  <c r="Q354" i="1" a="1"/>
  <c r="Q354" i="1" s="1"/>
  <c r="S354" i="15" s="1"/>
  <c r="O355" i="1"/>
  <c r="M355" i="15" s="1"/>
  <c r="N355" i="15" s="1" a="1"/>
  <c r="N355" i="15" s="1"/>
  <c r="C356" i="1" a="1"/>
  <c r="C356" i="1" s="1"/>
  <c r="E356" i="15" s="1"/>
  <c r="H356" i="1" a="1"/>
  <c r="H356" i="1" s="1"/>
  <c r="L356" i="1" a="1"/>
  <c r="L356" i="1" s="1"/>
  <c r="D357" i="1" a="1"/>
  <c r="D357" i="1" s="1"/>
  <c r="I357" i="15" s="1"/>
  <c r="G357" i="1" a="1"/>
  <c r="G357" i="1" s="1"/>
  <c r="J357" i="15" s="1"/>
  <c r="J357" i="1" a="1"/>
  <c r="J357" i="1" s="1"/>
  <c r="O357" i="1"/>
  <c r="M357" i="15" s="1"/>
  <c r="N357" i="15" s="1" a="1"/>
  <c r="N357" i="15" s="1"/>
  <c r="F358" i="1" a="1"/>
  <c r="F358" i="1" s="1"/>
  <c r="R358" i="15" s="1"/>
  <c r="L358" i="1" a="1"/>
  <c r="L358" i="1" s="1"/>
  <c r="D359" i="1" a="1"/>
  <c r="D359" i="1" s="1"/>
  <c r="I359" i="15" s="1"/>
  <c r="G359" i="1" a="1"/>
  <c r="G359" i="1" s="1"/>
  <c r="J359" i="15" s="1"/>
  <c r="J359" i="1" a="1"/>
  <c r="J359" i="1" s="1"/>
  <c r="O359" i="1"/>
  <c r="M359" i="15" s="1"/>
  <c r="N359" i="15" s="1" a="1"/>
  <c r="N359" i="15" s="1"/>
  <c r="F360" i="1" a="1"/>
  <c r="F360" i="1" s="1"/>
  <c r="R360" i="15" s="1"/>
  <c r="L360" i="1" a="1"/>
  <c r="L360" i="1" s="1"/>
  <c r="D361" i="1" a="1"/>
  <c r="D361" i="1" s="1"/>
  <c r="I361" i="15" s="1"/>
  <c r="G361" i="1" a="1"/>
  <c r="G361" i="1" s="1"/>
  <c r="J361" i="15" s="1"/>
  <c r="J361" i="1" a="1"/>
  <c r="J361" i="1" s="1"/>
  <c r="O361" i="1"/>
  <c r="M361" i="15" s="1"/>
  <c r="N361" i="15" s="1" a="1"/>
  <c r="N361" i="15" s="1"/>
  <c r="F362" i="1" a="1"/>
  <c r="F362" i="1" s="1"/>
  <c r="R362" i="15" s="1"/>
  <c r="L362" i="1" a="1"/>
  <c r="L362" i="1" s="1"/>
  <c r="D363" i="1" a="1"/>
  <c r="D363" i="1" s="1"/>
  <c r="I363" i="15" s="1"/>
  <c r="G363" i="1" a="1"/>
  <c r="G363" i="1" s="1"/>
  <c r="J363" i="15" s="1"/>
  <c r="J363" i="1" a="1"/>
  <c r="J363" i="1" s="1"/>
  <c r="O363" i="1"/>
  <c r="M363" i="15" s="1"/>
  <c r="N363" i="15" s="1" a="1"/>
  <c r="N363" i="15" s="1"/>
  <c r="F364" i="1" a="1"/>
  <c r="F364" i="1" s="1"/>
  <c r="R364" i="15" s="1"/>
  <c r="L364" i="1" a="1"/>
  <c r="L364" i="1" s="1"/>
  <c r="D365" i="1" a="1"/>
  <c r="D365" i="1" s="1"/>
  <c r="I365" i="15" s="1"/>
  <c r="G365" i="1" a="1"/>
  <c r="G365" i="1" s="1"/>
  <c r="J365" i="15" s="1"/>
  <c r="J365" i="1" a="1"/>
  <c r="J365" i="1" s="1"/>
  <c r="O365" i="1"/>
  <c r="M365" i="15" s="1"/>
  <c r="N365" i="15" s="1" a="1"/>
  <c r="N365" i="15" s="1"/>
  <c r="F366" i="1" a="1"/>
  <c r="F366" i="1" s="1"/>
  <c r="R366" i="15" s="1"/>
  <c r="L366" i="1" a="1"/>
  <c r="L366" i="1" s="1"/>
  <c r="D367" i="1" a="1"/>
  <c r="D367" i="1" s="1"/>
  <c r="I367" i="15" s="1"/>
  <c r="G367" i="1" a="1"/>
  <c r="G367" i="1" s="1"/>
  <c r="J367" i="15" s="1"/>
  <c r="J367" i="1" a="1"/>
  <c r="J367" i="1" s="1"/>
  <c r="O367" i="1"/>
  <c r="M367" i="15" s="1"/>
  <c r="N367" i="15" s="1" a="1"/>
  <c r="N367" i="15" s="1"/>
  <c r="F368" i="1" a="1"/>
  <c r="F368" i="1" s="1"/>
  <c r="R368" i="15" s="1"/>
  <c r="L368" i="1" a="1"/>
  <c r="L368" i="1" s="1"/>
  <c r="D369" i="1" a="1"/>
  <c r="D369" i="1" s="1"/>
  <c r="I369" i="15" s="1"/>
  <c r="G369" i="1" a="1"/>
  <c r="G369" i="1" s="1"/>
  <c r="J369" i="15" s="1"/>
  <c r="J369" i="1" a="1"/>
  <c r="J369" i="1" s="1"/>
  <c r="O369" i="1"/>
  <c r="M369" i="15" s="1"/>
  <c r="N369" i="15" s="1" a="1"/>
  <c r="N369" i="15" s="1"/>
  <c r="F370" i="1" a="1"/>
  <c r="F370" i="1" s="1"/>
  <c r="R370" i="15" s="1"/>
  <c r="L370" i="1" a="1"/>
  <c r="L370" i="1" s="1"/>
  <c r="D371" i="1" a="1"/>
  <c r="D371" i="1" s="1"/>
  <c r="I371" i="15" s="1"/>
  <c r="G371" i="1" a="1"/>
  <c r="G371" i="1" s="1"/>
  <c r="J371" i="15" s="1"/>
  <c r="J371" i="1" a="1"/>
  <c r="J371" i="1" s="1"/>
  <c r="O371" i="1"/>
  <c r="M371" i="15" s="1"/>
  <c r="N371" i="15" s="1" a="1"/>
  <c r="N371" i="15" s="1"/>
  <c r="F372" i="1" a="1"/>
  <c r="F372" i="1" s="1"/>
  <c r="R372" i="15" s="1"/>
  <c r="L372" i="1" a="1"/>
  <c r="L372" i="1" s="1"/>
  <c r="D373" i="1" a="1"/>
  <c r="D373" i="1" s="1"/>
  <c r="I373" i="15" s="1"/>
  <c r="G373" i="1" a="1"/>
  <c r="G373" i="1" s="1"/>
  <c r="J373" i="15" s="1"/>
  <c r="J373" i="1" a="1"/>
  <c r="J373" i="1" s="1"/>
  <c r="O373" i="1"/>
  <c r="M373" i="15" s="1"/>
  <c r="N373" i="15" s="1" a="1"/>
  <c r="N373" i="15" s="1"/>
  <c r="F374" i="1" a="1"/>
  <c r="F374" i="1" s="1"/>
  <c r="R374" i="15" s="1"/>
  <c r="L374" i="1" a="1"/>
  <c r="L374" i="1" s="1"/>
  <c r="D375" i="1" a="1"/>
  <c r="D375" i="1" s="1"/>
  <c r="I375" i="15" s="1"/>
  <c r="G375" i="1" a="1"/>
  <c r="G375" i="1" s="1"/>
  <c r="J375" i="15" s="1"/>
  <c r="J375" i="1" a="1"/>
  <c r="J375" i="1" s="1"/>
  <c r="O375" i="1"/>
  <c r="M375" i="15" s="1"/>
  <c r="N375" i="15" s="1" a="1"/>
  <c r="N375" i="15" s="1"/>
  <c r="F376" i="1" a="1"/>
  <c r="F376" i="1" s="1"/>
  <c r="R376" i="15" s="1"/>
  <c r="L376" i="1" a="1"/>
  <c r="L376" i="1" s="1"/>
  <c r="D377" i="1" a="1"/>
  <c r="D377" i="1" s="1"/>
  <c r="I377" i="15" s="1"/>
  <c r="G377" i="1" a="1"/>
  <c r="G377" i="1" s="1"/>
  <c r="J377" i="15" s="1"/>
  <c r="J377" i="1" a="1"/>
  <c r="J377" i="1" s="1"/>
  <c r="O377" i="1"/>
  <c r="M377" i="15" s="1"/>
  <c r="N377" i="15" s="1" a="1"/>
  <c r="N377" i="15" s="1"/>
  <c r="F378" i="1" a="1"/>
  <c r="F378" i="1" s="1"/>
  <c r="R378" i="15" s="1"/>
  <c r="L378" i="1" a="1"/>
  <c r="L378" i="1" s="1"/>
  <c r="D379" i="1" a="1"/>
  <c r="D379" i="1" s="1"/>
  <c r="I379" i="15" s="1"/>
  <c r="G379" i="1" a="1"/>
  <c r="G379" i="1" s="1"/>
  <c r="J379" i="15" s="1"/>
  <c r="J379" i="1" a="1"/>
  <c r="J379" i="1" s="1"/>
  <c r="O379" i="1"/>
  <c r="M379" i="15" s="1"/>
  <c r="N379" i="15" s="1" a="1"/>
  <c r="N379" i="15" s="1"/>
  <c r="F380" i="1" a="1"/>
  <c r="F380" i="1" s="1"/>
  <c r="R380" i="15" s="1"/>
  <c r="L380" i="1" a="1"/>
  <c r="L380" i="1" s="1"/>
  <c r="D381" i="1" a="1"/>
  <c r="D381" i="1" s="1"/>
  <c r="I381" i="15" s="1"/>
  <c r="G381" i="1" a="1"/>
  <c r="G381" i="1" s="1"/>
  <c r="J381" i="15" s="1"/>
  <c r="J381" i="1" a="1"/>
  <c r="J381" i="1" s="1"/>
  <c r="O381" i="1"/>
  <c r="M381" i="15" s="1"/>
  <c r="N381" i="15" s="1" a="1"/>
  <c r="N381" i="15" s="1"/>
  <c r="F382" i="1" a="1"/>
  <c r="F382" i="1" s="1"/>
  <c r="R382" i="15" s="1"/>
  <c r="L382" i="1" a="1"/>
  <c r="L382" i="1" s="1"/>
  <c r="D383" i="1" a="1"/>
  <c r="D383" i="1" s="1"/>
  <c r="I383" i="15" s="1"/>
  <c r="G383" i="1" a="1"/>
  <c r="G383" i="1" s="1"/>
  <c r="J383" i="15" s="1"/>
  <c r="J383" i="1" a="1"/>
  <c r="J383" i="1" s="1"/>
  <c r="O383" i="1"/>
  <c r="M383" i="15" s="1"/>
  <c r="N383" i="15" s="1" a="1"/>
  <c r="N383" i="15" s="1"/>
  <c r="F384" i="1" a="1"/>
  <c r="F384" i="1" s="1"/>
  <c r="R384" i="15" s="1"/>
  <c r="L384" i="1" a="1"/>
  <c r="L384" i="1" s="1"/>
  <c r="D385" i="1" a="1"/>
  <c r="D385" i="1" s="1"/>
  <c r="I385" i="15" s="1"/>
  <c r="G385" i="1" a="1"/>
  <c r="G385" i="1" s="1"/>
  <c r="J385" i="15" s="1"/>
  <c r="J385" i="1" a="1"/>
  <c r="J385" i="1" s="1"/>
  <c r="O385" i="1"/>
  <c r="M385" i="15" s="1"/>
  <c r="N385" i="15" s="1" a="1"/>
  <c r="N385" i="15" s="1"/>
  <c r="F386" i="1" a="1"/>
  <c r="F386" i="1" s="1"/>
  <c r="R386" i="15" s="1"/>
  <c r="L386" i="1" a="1"/>
  <c r="L386" i="1" s="1"/>
  <c r="D387" i="1" a="1"/>
  <c r="D387" i="1" s="1"/>
  <c r="I387" i="15" s="1"/>
  <c r="G387" i="1" a="1"/>
  <c r="G387" i="1" s="1"/>
  <c r="J387" i="15" s="1"/>
  <c r="J387" i="1" a="1"/>
  <c r="J387" i="1" s="1"/>
  <c r="O387" i="1"/>
  <c r="M387" i="15" s="1"/>
  <c r="N387" i="15" s="1" a="1"/>
  <c r="N387" i="15" s="1"/>
  <c r="F388" i="1" a="1"/>
  <c r="F388" i="1" s="1"/>
  <c r="R388" i="15" s="1"/>
  <c r="L388" i="1" a="1"/>
  <c r="L388" i="1" s="1"/>
  <c r="J389" i="1" a="1"/>
  <c r="J389" i="1" s="1"/>
  <c r="M389" i="1" a="1"/>
  <c r="M389" i="1" s="1"/>
  <c r="F390" i="1" a="1"/>
  <c r="F390" i="1" s="1"/>
  <c r="R390" i="15" s="1"/>
  <c r="M390" i="1" a="1"/>
  <c r="M390" i="1" s="1"/>
  <c r="Q390" i="1" a="1"/>
  <c r="Q390" i="1" s="1"/>
  <c r="S390" i="15" s="1"/>
  <c r="D391" i="1" a="1"/>
  <c r="D391" i="1" s="1"/>
  <c r="I391" i="15" s="1"/>
  <c r="H391" i="1" a="1"/>
  <c r="H391" i="1" s="1"/>
  <c r="K391" i="1" a="1"/>
  <c r="K391" i="1" s="1"/>
  <c r="O391" i="1"/>
  <c r="M391" i="15" s="1"/>
  <c r="N391" i="15" s="1" a="1"/>
  <c r="N391" i="15" s="1"/>
  <c r="F392" i="1" a="1"/>
  <c r="F392" i="1" s="1"/>
  <c r="R392" i="15" s="1"/>
  <c r="J392" i="1" a="1"/>
  <c r="J392" i="1" s="1"/>
  <c r="M392" i="1" a="1"/>
  <c r="M392" i="1" s="1"/>
  <c r="H393" i="1" a="1"/>
  <c r="H393" i="1" s="1"/>
  <c r="K393" i="1" a="1"/>
  <c r="K393" i="1" s="1"/>
  <c r="P393" i="1" a="1"/>
  <c r="P393" i="1" s="1"/>
  <c r="D394" i="1" a="1"/>
  <c r="D394" i="1" s="1"/>
  <c r="I394" i="15" s="1"/>
  <c r="G394" i="1" a="1"/>
  <c r="G394" i="1" s="1"/>
  <c r="J394" i="15" s="1"/>
  <c r="J394" i="1" a="1"/>
  <c r="J394" i="1" s="1"/>
  <c r="L395" i="1" a="1"/>
  <c r="L395" i="1" s="1"/>
  <c r="P395" i="1" a="1"/>
  <c r="P395" i="1" s="1"/>
  <c r="C396" i="1" a="1"/>
  <c r="C396" i="1" s="1"/>
  <c r="E396" i="15" s="1"/>
  <c r="G396" i="1" a="1"/>
  <c r="G396" i="1" s="1"/>
  <c r="K396" i="1" a="1"/>
  <c r="K396" i="1" s="1"/>
  <c r="P396" i="1" a="1"/>
  <c r="P396" i="1" s="1"/>
  <c r="J397" i="1" a="1"/>
  <c r="J397" i="1" s="1"/>
  <c r="M397" i="1" a="1"/>
  <c r="M397" i="1" s="1"/>
  <c r="Q397" i="1" a="1"/>
  <c r="Q397" i="1" s="1"/>
  <c r="S397" i="15" s="1"/>
  <c r="M398" i="1" a="1"/>
  <c r="M398" i="1" s="1"/>
  <c r="Q398" i="1" a="1"/>
  <c r="Q398" i="1" s="1"/>
  <c r="S398" i="15" s="1"/>
  <c r="D400" i="1" a="1"/>
  <c r="D400" i="1" s="1"/>
  <c r="I400" i="15" s="1"/>
  <c r="H400" i="1" a="1"/>
  <c r="H400" i="1" s="1"/>
  <c r="P400" i="1" a="1"/>
  <c r="P400" i="1" s="1"/>
  <c r="C387" i="1" a="1"/>
  <c r="C387" i="1" s="1"/>
  <c r="E387" i="15" s="1"/>
  <c r="M387" i="1" a="1"/>
  <c r="M387" i="1" s="1"/>
  <c r="H388" i="1" a="1"/>
  <c r="H388" i="1" s="1"/>
  <c r="P390" i="1" a="1"/>
  <c r="P390" i="1" s="1"/>
  <c r="G391" i="1" a="1"/>
  <c r="G391" i="1" s="1"/>
  <c r="J391" i="15" s="1"/>
  <c r="Q391" i="1" a="1"/>
  <c r="Q391" i="1" s="1"/>
  <c r="S391" i="15" s="1"/>
  <c r="L392" i="1" a="1"/>
  <c r="L392" i="1" s="1"/>
  <c r="C393" i="1" a="1"/>
  <c r="C393" i="1" s="1"/>
  <c r="E393" i="15" s="1"/>
  <c r="G393" i="1" a="1"/>
  <c r="G393" i="1" s="1"/>
  <c r="J393" i="15" s="1"/>
  <c r="O393" i="1"/>
  <c r="M393" i="15" s="1"/>
  <c r="N393" i="15" s="1" a="1"/>
  <c r="N393" i="15" s="1"/>
  <c r="Q394" i="1" a="1"/>
  <c r="Q394" i="1" s="1"/>
  <c r="S394" i="15" s="1"/>
  <c r="F395" i="1" a="1"/>
  <c r="F395" i="1" s="1"/>
  <c r="R395" i="15" s="1"/>
  <c r="K395" i="1" a="1"/>
  <c r="K395" i="1" s="1"/>
  <c r="J396" i="1" a="1"/>
  <c r="J396" i="1" s="1"/>
  <c r="Q396" i="1" a="1"/>
  <c r="Q396" i="1" s="1"/>
  <c r="S396" i="15" s="1"/>
  <c r="O397" i="1"/>
  <c r="M397" i="15" s="1"/>
  <c r="N397" i="15" s="1" a="1"/>
  <c r="N397" i="15" s="1"/>
  <c r="C398" i="1" a="1"/>
  <c r="C398" i="1" s="1"/>
  <c r="E398" i="15" s="1"/>
  <c r="G398" i="1" a="1"/>
  <c r="G398" i="1" s="1"/>
  <c r="K398" i="1" a="1"/>
  <c r="K398" i="1" s="1"/>
  <c r="P398" i="1" a="1"/>
  <c r="P398" i="1" s="1"/>
  <c r="D399" i="1" a="1"/>
  <c r="D399" i="1" s="1"/>
  <c r="I399" i="15" s="1"/>
  <c r="H399" i="1" a="1"/>
  <c r="H399" i="1" s="1"/>
  <c r="K399" i="1" a="1"/>
  <c r="K399" i="1" s="1"/>
  <c r="P399" i="1" a="1"/>
  <c r="P399" i="1" s="1"/>
  <c r="J400" i="1" a="1"/>
  <c r="J400" i="1" s="1"/>
  <c r="O400" i="1"/>
  <c r="M400" i="15" s="1"/>
  <c r="N400" i="15" s="1" a="1"/>
  <c r="N400" i="15" s="1"/>
  <c r="J401" i="1" a="1"/>
  <c r="J401" i="1" s="1"/>
  <c r="M401" i="1" a="1"/>
  <c r="M401" i="1" s="1"/>
  <c r="Q401" i="1" a="1"/>
  <c r="Q401" i="1" s="1"/>
  <c r="S401" i="15" s="1"/>
  <c r="M402" i="1" a="1"/>
  <c r="M402" i="1" s="1"/>
  <c r="H403" i="1" a="1"/>
  <c r="H403" i="1" s="1"/>
  <c r="K403" i="1" a="1"/>
  <c r="K403" i="1" s="1"/>
  <c r="P403" i="1" a="1"/>
  <c r="P403" i="1" s="1"/>
  <c r="D404" i="1" a="1"/>
  <c r="D404" i="1" s="1"/>
  <c r="I404" i="15" s="1"/>
  <c r="H404" i="1" a="1"/>
  <c r="H404" i="1" s="1"/>
  <c r="P404" i="1" a="1"/>
  <c r="P404" i="1" s="1"/>
  <c r="D405" i="1" a="1"/>
  <c r="D405" i="1" s="1"/>
  <c r="I405" i="15" s="1"/>
  <c r="H405" i="1" a="1"/>
  <c r="H405" i="1" s="1"/>
  <c r="O405" i="1"/>
  <c r="M405" i="15" s="1"/>
  <c r="N405" i="15" s="1" a="1"/>
  <c r="N405" i="15" s="1"/>
  <c r="C406" i="1" a="1"/>
  <c r="C406" i="1" s="1"/>
  <c r="E406" i="15" s="1"/>
  <c r="F406" i="1" a="1"/>
  <c r="F406" i="1" s="1"/>
  <c r="R406" i="15" s="1"/>
  <c r="L406" i="1" a="1"/>
  <c r="L406" i="1" s="1"/>
  <c r="P406" i="1" a="1"/>
  <c r="P406" i="1" s="1"/>
  <c r="C407" i="1" a="1"/>
  <c r="C407" i="1" s="1"/>
  <c r="E407" i="15" s="1"/>
  <c r="G407" i="1" a="1"/>
  <c r="G407" i="1" s="1"/>
  <c r="M407" i="1" a="1"/>
  <c r="M407" i="1" s="1"/>
  <c r="Q407" i="1" a="1"/>
  <c r="Q407" i="1" s="1"/>
  <c r="S407" i="15" s="1"/>
  <c r="H408" i="1" a="1"/>
  <c r="H408" i="1" s="1"/>
  <c r="L408" i="1" a="1"/>
  <c r="L408" i="1" s="1"/>
  <c r="Q408" i="1" a="1"/>
  <c r="Q408" i="1" s="1"/>
  <c r="S408" i="15" s="1"/>
  <c r="H409" i="1" a="1"/>
  <c r="H409" i="1" s="1"/>
  <c r="L409" i="1" a="1"/>
  <c r="L409" i="1" s="1"/>
  <c r="Q409" i="1" a="1"/>
  <c r="Q409" i="1" s="1"/>
  <c r="S409" i="15" s="1"/>
  <c r="D410" i="1" a="1"/>
  <c r="D410" i="1" s="1"/>
  <c r="I410" i="15" s="1"/>
  <c r="K410" i="1" a="1"/>
  <c r="K410" i="1" s="1"/>
  <c r="P410" i="1" a="1"/>
  <c r="P410" i="1" s="1"/>
  <c r="C411" i="1" a="1"/>
  <c r="C411" i="1" s="1"/>
  <c r="E411" i="15" s="1"/>
  <c r="G411" i="1" a="1"/>
  <c r="G411" i="1" s="1"/>
  <c r="J411" i="1" a="1"/>
  <c r="J411" i="1" s="1"/>
  <c r="O411" i="1"/>
  <c r="M411" i="15" s="1"/>
  <c r="N411" i="15" s="1" a="1"/>
  <c r="N411" i="15" s="1"/>
  <c r="F412" i="1" a="1"/>
  <c r="F412" i="1" s="1"/>
  <c r="R412" i="15" s="1"/>
  <c r="M412" i="1" a="1"/>
  <c r="M412" i="1" s="1"/>
  <c r="H413" i="1" a="1"/>
  <c r="H413" i="1" s="1"/>
  <c r="L413" i="1" a="1"/>
  <c r="L413" i="1" s="1"/>
  <c r="Q413" i="1" a="1"/>
  <c r="Q413" i="1" s="1"/>
  <c r="S413" i="15" s="1"/>
  <c r="D414" i="1" a="1"/>
  <c r="D414" i="1" s="1"/>
  <c r="I414" i="15" s="1"/>
  <c r="K414" i="1" a="1"/>
  <c r="K414" i="1" s="1"/>
  <c r="P414" i="1" a="1"/>
  <c r="P414" i="1" s="1"/>
  <c r="C415" i="1" a="1"/>
  <c r="C415" i="1" s="1"/>
  <c r="E415" i="15" s="1"/>
  <c r="G415" i="1" a="1"/>
  <c r="G415" i="1" s="1"/>
  <c r="J415" i="1" a="1"/>
  <c r="J415" i="1" s="1"/>
  <c r="O415" i="1"/>
  <c r="M415" i="15" s="1"/>
  <c r="N415" i="15" s="1" a="1"/>
  <c r="N415" i="15" s="1"/>
  <c r="F416" i="1" a="1"/>
  <c r="F416" i="1" s="1"/>
  <c r="R416" i="15" s="1"/>
  <c r="M416" i="1" a="1"/>
  <c r="M416" i="1" s="1"/>
  <c r="H417" i="1" a="1"/>
  <c r="H417" i="1" s="1"/>
  <c r="L417" i="1" a="1"/>
  <c r="L417" i="1" s="1"/>
  <c r="Q417" i="1" a="1"/>
  <c r="Q417" i="1" s="1"/>
  <c r="S417" i="15" s="1"/>
  <c r="D418" i="1" a="1"/>
  <c r="D418" i="1" s="1"/>
  <c r="I418" i="15" s="1"/>
  <c r="K418" i="1" a="1"/>
  <c r="K418" i="1" s="1"/>
  <c r="P418" i="1" a="1"/>
  <c r="P418" i="1" s="1"/>
  <c r="C419" i="1" a="1"/>
  <c r="C419" i="1" s="1"/>
  <c r="E419" i="15" s="1"/>
  <c r="G419" i="1" a="1"/>
  <c r="G419" i="1" s="1"/>
  <c r="J419" i="1" a="1"/>
  <c r="J419" i="1" s="1"/>
  <c r="O419" i="1"/>
  <c r="M419" i="15" s="1"/>
  <c r="N419" i="15" s="1" a="1"/>
  <c r="N419" i="15" s="1"/>
  <c r="F420" i="1" a="1"/>
  <c r="F420" i="1" s="1"/>
  <c r="R420" i="15" s="1"/>
  <c r="M420" i="1" a="1"/>
  <c r="M420" i="1" s="1"/>
  <c r="M421" i="1" a="1"/>
  <c r="M421" i="1" s="1"/>
  <c r="F422" i="1" a="1"/>
  <c r="F422" i="1" s="1"/>
  <c r="R422" i="15" s="1"/>
  <c r="J422" i="1" a="1"/>
  <c r="J422" i="1" s="1"/>
  <c r="O422" i="1"/>
  <c r="M422" i="15" s="1"/>
  <c r="N422" i="15" s="1" a="1"/>
  <c r="N422" i="15" s="1"/>
  <c r="C423" i="1" a="1"/>
  <c r="C423" i="1" s="1"/>
  <c r="E423" i="15" s="1"/>
  <c r="G423" i="1" a="1"/>
  <c r="G423" i="1" s="1"/>
  <c r="K423" i="1" a="1"/>
  <c r="K423" i="1" s="1"/>
  <c r="P423" i="1" a="1"/>
  <c r="P423" i="1" s="1"/>
  <c r="D424" i="1" a="1"/>
  <c r="D424" i="1" s="1"/>
  <c r="I424" i="15" s="1"/>
  <c r="H424" i="1" a="1"/>
  <c r="H424" i="1" s="1"/>
  <c r="L424" i="1" a="1"/>
  <c r="L424" i="1" s="1"/>
  <c r="Q424" i="1" a="1"/>
  <c r="Q424" i="1" s="1"/>
  <c r="S424" i="15" s="1"/>
  <c r="M425" i="1" a="1"/>
  <c r="M425" i="1" s="1"/>
  <c r="F426" i="1" a="1"/>
  <c r="F426" i="1" s="1"/>
  <c r="R426" i="15" s="1"/>
  <c r="J426" i="1" a="1"/>
  <c r="J426" i="1" s="1"/>
  <c r="O426" i="1"/>
  <c r="M426" i="15" s="1"/>
  <c r="N426" i="15" s="1" a="1"/>
  <c r="N426" i="15" s="1"/>
  <c r="C427" i="1" a="1"/>
  <c r="C427" i="1" s="1"/>
  <c r="E427" i="15" s="1"/>
  <c r="G427" i="1" a="1"/>
  <c r="G427" i="1" s="1"/>
  <c r="K427" i="1" a="1"/>
  <c r="K427" i="1" s="1"/>
  <c r="P427" i="1" a="1"/>
  <c r="P427" i="1" s="1"/>
  <c r="D428" i="1" a="1"/>
  <c r="D428" i="1" s="1"/>
  <c r="I428" i="15" s="1"/>
  <c r="H428" i="1" a="1"/>
  <c r="H428" i="1" s="1"/>
  <c r="L428" i="1" a="1"/>
  <c r="L428" i="1" s="1"/>
  <c r="Q428" i="1" a="1"/>
  <c r="Q428" i="1" s="1"/>
  <c r="S428" i="15" s="1"/>
  <c r="M429" i="1" a="1"/>
  <c r="M429" i="1" s="1"/>
  <c r="M430" i="1" a="1"/>
  <c r="M430" i="1" s="1"/>
  <c r="F431" i="1" a="1"/>
  <c r="F431" i="1" s="1"/>
  <c r="R431" i="15" s="1"/>
  <c r="M431" i="1" a="1"/>
  <c r="M431" i="1" s="1"/>
  <c r="M432" i="1" a="1"/>
  <c r="M432" i="1" s="1"/>
  <c r="F433" i="1" a="1"/>
  <c r="F433" i="1" s="1"/>
  <c r="R433" i="15" s="1"/>
  <c r="M433" i="1" a="1"/>
  <c r="M433" i="1" s="1"/>
  <c r="F434" i="1" a="1"/>
  <c r="F434" i="1" s="1"/>
  <c r="R434" i="15" s="1"/>
  <c r="J434" i="1" a="1"/>
  <c r="J434" i="1" s="1"/>
  <c r="O434" i="1"/>
  <c r="M434" i="15" s="1"/>
  <c r="N434" i="15" s="1" a="1"/>
  <c r="N434" i="15" s="1"/>
  <c r="C435" i="1" a="1"/>
  <c r="C435" i="1" s="1"/>
  <c r="E435" i="15" s="1"/>
  <c r="G435" i="1" a="1"/>
  <c r="G435" i="1" s="1"/>
  <c r="K435" i="1" a="1"/>
  <c r="K435" i="1" s="1"/>
  <c r="P435" i="1" a="1"/>
  <c r="P435" i="1" s="1"/>
  <c r="D436" i="1" a="1"/>
  <c r="D436" i="1" s="1"/>
  <c r="I436" i="15" s="1"/>
  <c r="H436" i="1" a="1"/>
  <c r="H436" i="1" s="1"/>
  <c r="L436" i="1" a="1"/>
  <c r="L436" i="1" s="1"/>
  <c r="P436" i="1" a="1"/>
  <c r="P436" i="1" s="1"/>
  <c r="L437" i="1" a="1"/>
  <c r="L437" i="1" s="1"/>
  <c r="P437" i="1" a="1"/>
  <c r="P437" i="1" s="1"/>
  <c r="F438" i="1" a="1"/>
  <c r="F438" i="1" s="1"/>
  <c r="R438" i="15" s="1"/>
  <c r="H438" i="1" a="1"/>
  <c r="H438" i="1" s="1"/>
  <c r="K438" i="1" a="1"/>
  <c r="K438" i="1" s="1"/>
  <c r="P438" i="1" a="1"/>
  <c r="P438" i="1" s="1"/>
  <c r="F439" i="1" a="1"/>
  <c r="F439" i="1" s="1"/>
  <c r="R439" i="15" s="1"/>
  <c r="H439" i="1" a="1"/>
  <c r="H439" i="1" s="1"/>
  <c r="K439" i="1" a="1"/>
  <c r="K439" i="1" s="1"/>
  <c r="P439" i="1" a="1"/>
  <c r="P439" i="1" s="1"/>
  <c r="F440" i="1" a="1"/>
  <c r="F440" i="1" s="1"/>
  <c r="R440" i="15" s="1"/>
  <c r="H440" i="1" a="1"/>
  <c r="H440" i="1" s="1"/>
  <c r="K440" i="1" a="1"/>
  <c r="K440" i="1" s="1"/>
  <c r="P440" i="1" a="1"/>
  <c r="P440" i="1" s="1"/>
  <c r="F441" i="1" a="1"/>
  <c r="F441" i="1" s="1"/>
  <c r="R441" i="15" s="1"/>
  <c r="L441" i="1" a="1"/>
  <c r="L441" i="1" s="1"/>
  <c r="Q441" i="1" a="1"/>
  <c r="Q441" i="1" s="1"/>
  <c r="S441" i="15" s="1"/>
  <c r="D442" i="1" a="1"/>
  <c r="D442" i="1" s="1"/>
  <c r="I442" i="15" s="1"/>
  <c r="H442" i="1" a="1"/>
  <c r="H442" i="1" s="1"/>
  <c r="L442" i="1" a="1"/>
  <c r="L442" i="1" s="1"/>
  <c r="Q442" i="1" a="1"/>
  <c r="Q442" i="1" s="1"/>
  <c r="S442" i="15" s="1"/>
  <c r="M443" i="1" a="1"/>
  <c r="M443" i="1" s="1"/>
  <c r="F444" i="1" a="1"/>
  <c r="F444" i="1" s="1"/>
  <c r="R444" i="15" s="1"/>
  <c r="K386" i="1" a="1"/>
  <c r="K386" i="1" s="1"/>
  <c r="L386" i="15" s="1"/>
  <c r="Q387" i="1" a="1"/>
  <c r="Q387" i="1" s="1"/>
  <c r="S387" i="15" s="1"/>
  <c r="C389" i="1" a="1"/>
  <c r="C389" i="1" s="1"/>
  <c r="E389" i="15" s="1"/>
  <c r="L389" i="1" a="1"/>
  <c r="L389" i="1" s="1"/>
  <c r="H390" i="1" a="1"/>
  <c r="H390" i="1" s="1"/>
  <c r="O392" i="1"/>
  <c r="M392" i="15" s="1"/>
  <c r="N392" i="15" s="1" a="1"/>
  <c r="N392" i="15" s="1"/>
  <c r="D393" i="1" a="1"/>
  <c r="D393" i="1" s="1"/>
  <c r="I393" i="15" s="1"/>
  <c r="Q393" i="1" a="1"/>
  <c r="Q393" i="1" s="1"/>
  <c r="S393" i="15" s="1"/>
  <c r="K394" i="1" a="1"/>
  <c r="K394" i="1" s="1"/>
  <c r="H395" i="1" a="1"/>
  <c r="H395" i="1" s="1"/>
  <c r="Q395" i="1" a="1"/>
  <c r="Q395" i="1" s="1"/>
  <c r="S395" i="15" s="1"/>
  <c r="F396" i="1" a="1"/>
  <c r="F396" i="1" s="1"/>
  <c r="R396" i="15" s="1"/>
  <c r="L396" i="1" a="1"/>
  <c r="L396" i="1" s="1"/>
  <c r="F397" i="1" a="1"/>
  <c r="F397" i="1" s="1"/>
  <c r="R397" i="15" s="1"/>
  <c r="K397" i="1" a="1"/>
  <c r="K397" i="1" s="1"/>
  <c r="P397" i="1" a="1"/>
  <c r="P397" i="1" s="1"/>
  <c r="D398" i="1" a="1"/>
  <c r="D398" i="1" s="1"/>
  <c r="I398" i="15" s="1"/>
  <c r="H398" i="1" a="1"/>
  <c r="H398" i="1" s="1"/>
  <c r="L398" i="1" a="1"/>
  <c r="L398" i="1" s="1"/>
  <c r="L399" i="1" a="1"/>
  <c r="L399" i="1" s="1"/>
  <c r="Q399" i="1" a="1"/>
  <c r="Q399" i="1" s="1"/>
  <c r="S399" i="15" s="1"/>
  <c r="F400" i="1" a="1"/>
  <c r="F400" i="1" s="1"/>
  <c r="R400" i="15" s="1"/>
  <c r="K400" i="1" a="1"/>
  <c r="K400" i="1" s="1"/>
  <c r="Q400" i="1" a="1"/>
  <c r="Q400" i="1" s="1"/>
  <c r="S400" i="15" s="1"/>
  <c r="D401" i="1" a="1"/>
  <c r="D401" i="1" s="1"/>
  <c r="I401" i="15" s="1"/>
  <c r="G401" i="1" a="1"/>
  <c r="G401" i="1" s="1"/>
  <c r="K401" i="1" a="1"/>
  <c r="K401" i="1" s="1"/>
  <c r="O401" i="1"/>
  <c r="M401" i="15" s="1"/>
  <c r="N401" i="15" s="1" a="1"/>
  <c r="N401" i="15" s="1"/>
  <c r="F402" i="1" a="1"/>
  <c r="F402" i="1" s="1"/>
  <c r="R402" i="15" s="1"/>
  <c r="J402" i="1" a="1"/>
  <c r="J402" i="1" s="1"/>
  <c r="O402" i="1"/>
  <c r="M402" i="15" s="1"/>
  <c r="N402" i="15" s="1" a="1"/>
  <c r="N402" i="15" s="1"/>
  <c r="C403" i="1" a="1"/>
  <c r="C403" i="1" s="1"/>
  <c r="E403" i="15" s="1"/>
  <c r="F403" i="1" a="1"/>
  <c r="F403" i="1" s="1"/>
  <c r="R403" i="15" s="1"/>
  <c r="L403" i="1" a="1"/>
  <c r="L403" i="1" s="1"/>
  <c r="Q403" i="1" a="1"/>
  <c r="Q403" i="1" s="1"/>
  <c r="S403" i="15" s="1"/>
  <c r="L404" i="1" a="1"/>
  <c r="L404" i="1" s="1"/>
  <c r="Q404" i="1" a="1"/>
  <c r="Q404" i="1" s="1"/>
  <c r="S404" i="15" s="1"/>
  <c r="K405" i="1" a="1"/>
  <c r="K405" i="1" s="1"/>
  <c r="P405" i="1" a="1"/>
  <c r="P405" i="1" s="1"/>
  <c r="D406" i="1" a="1"/>
  <c r="D406" i="1" s="1"/>
  <c r="I406" i="15" s="1"/>
  <c r="G406" i="1" a="1"/>
  <c r="G406" i="1" s="1"/>
  <c r="J406" i="1" a="1"/>
  <c r="J406" i="1" s="1"/>
  <c r="M406" i="1" a="1"/>
  <c r="M406" i="1" s="1"/>
  <c r="Q406" i="1" a="1"/>
  <c r="Q406" i="1" s="1"/>
  <c r="S406" i="15" s="1"/>
  <c r="D407" i="1" a="1"/>
  <c r="D407" i="1" s="1"/>
  <c r="I407" i="15" s="1"/>
  <c r="H407" i="1" a="1"/>
  <c r="H407" i="1" s="1"/>
  <c r="K407" i="1" a="1"/>
  <c r="K407" i="1" s="1"/>
  <c r="O407" i="1"/>
  <c r="M407" i="15" s="1"/>
  <c r="N407" i="15" s="1" a="1"/>
  <c r="N407" i="15" s="1"/>
  <c r="F408" i="1" a="1"/>
  <c r="F408" i="1" s="1"/>
  <c r="R408" i="15" s="1"/>
  <c r="M408" i="1" a="1"/>
  <c r="M408" i="1" s="1"/>
  <c r="F409" i="1" a="1"/>
  <c r="F409" i="1" s="1"/>
  <c r="R409" i="15" s="1"/>
  <c r="M409" i="1" a="1"/>
  <c r="M409" i="1" s="1"/>
  <c r="H410" i="1" a="1"/>
  <c r="H410" i="1" s="1"/>
  <c r="L410" i="1" a="1"/>
  <c r="L410" i="1" s="1"/>
  <c r="Q410" i="1" a="1"/>
  <c r="Q410" i="1" s="1"/>
  <c r="S410" i="15" s="1"/>
  <c r="D411" i="1" a="1"/>
  <c r="D411" i="1" s="1"/>
  <c r="I411" i="15" s="1"/>
  <c r="K411" i="1" a="1"/>
  <c r="K411" i="1" s="1"/>
  <c r="P411" i="1" a="1"/>
  <c r="P411" i="1" s="1"/>
  <c r="C412" i="1" a="1"/>
  <c r="C412" i="1" s="1"/>
  <c r="E412" i="15" s="1"/>
  <c r="G412" i="1" a="1"/>
  <c r="G412" i="1" s="1"/>
  <c r="J412" i="1" a="1"/>
  <c r="J412" i="1" s="1"/>
  <c r="O412" i="1"/>
  <c r="M412" i="15" s="1"/>
  <c r="N412" i="15" s="1" a="1"/>
  <c r="N412" i="15" s="1"/>
  <c r="F413" i="1" a="1"/>
  <c r="F413" i="1" s="1"/>
  <c r="R413" i="15" s="1"/>
  <c r="M413" i="1" a="1"/>
  <c r="M413" i="1" s="1"/>
  <c r="H414" i="1" a="1"/>
  <c r="H414" i="1" s="1"/>
  <c r="L414" i="1" a="1"/>
  <c r="L414" i="1" s="1"/>
  <c r="Q414" i="1" a="1"/>
  <c r="Q414" i="1" s="1"/>
  <c r="S414" i="15" s="1"/>
  <c r="D415" i="1" a="1"/>
  <c r="D415" i="1" s="1"/>
  <c r="I415" i="15" s="1"/>
  <c r="K415" i="1" a="1"/>
  <c r="K415" i="1" s="1"/>
  <c r="P415" i="1" a="1"/>
  <c r="P415" i="1" s="1"/>
  <c r="C416" i="1" a="1"/>
  <c r="C416" i="1" s="1"/>
  <c r="E416" i="15" s="1"/>
  <c r="G416" i="1" a="1"/>
  <c r="G416" i="1" s="1"/>
  <c r="J416" i="1" a="1"/>
  <c r="J416" i="1" s="1"/>
  <c r="O416" i="1"/>
  <c r="M416" i="15" s="1"/>
  <c r="N416" i="15" s="1" a="1"/>
  <c r="N416" i="15" s="1"/>
  <c r="F417" i="1" a="1"/>
  <c r="F417" i="1" s="1"/>
  <c r="R417" i="15" s="1"/>
  <c r="M417" i="1" a="1"/>
  <c r="M417" i="1" s="1"/>
  <c r="H418" i="1" a="1"/>
  <c r="H418" i="1" s="1"/>
  <c r="L418" i="1" a="1"/>
  <c r="L418" i="1" s="1"/>
  <c r="Q418" i="1" a="1"/>
  <c r="Q418" i="1" s="1"/>
  <c r="S418" i="15" s="1"/>
  <c r="D419" i="1" a="1"/>
  <c r="D419" i="1" s="1"/>
  <c r="I419" i="15" s="1"/>
  <c r="K419" i="1" a="1"/>
  <c r="K419" i="1" s="1"/>
  <c r="P419" i="1" a="1"/>
  <c r="P419" i="1" s="1"/>
  <c r="C420" i="1" a="1"/>
  <c r="C420" i="1" s="1"/>
  <c r="E420" i="15" s="1"/>
  <c r="G420" i="1" a="1"/>
  <c r="G420" i="1" s="1"/>
  <c r="J420" i="1" a="1"/>
  <c r="J420" i="1" s="1"/>
  <c r="O420" i="1"/>
  <c r="M420" i="15" s="1"/>
  <c r="N420" i="15" s="1" a="1"/>
  <c r="N420" i="15" s="1"/>
  <c r="F421" i="1" a="1"/>
  <c r="F421" i="1" s="1"/>
  <c r="R421" i="15" s="1"/>
  <c r="J421" i="1" a="1"/>
  <c r="J421" i="1" s="1"/>
  <c r="O421" i="1"/>
  <c r="M421" i="15" s="1"/>
  <c r="N421" i="15" s="1" a="1"/>
  <c r="N421" i="15" s="1"/>
  <c r="C422" i="1" a="1"/>
  <c r="C422" i="1" s="1"/>
  <c r="E422" i="15" s="1"/>
  <c r="G422" i="1" a="1"/>
  <c r="G422" i="1" s="1"/>
  <c r="K422" i="1" a="1"/>
  <c r="K422" i="1" s="1"/>
  <c r="P422" i="1" a="1"/>
  <c r="P422" i="1" s="1"/>
  <c r="D423" i="1" a="1"/>
  <c r="D423" i="1" s="1"/>
  <c r="I423" i="15" s="1"/>
  <c r="H423" i="1" a="1"/>
  <c r="H423" i="1" s="1"/>
  <c r="L423" i="1" a="1"/>
  <c r="L423" i="1" s="1"/>
  <c r="Q423" i="1" a="1"/>
  <c r="Q423" i="1" s="1"/>
  <c r="S423" i="15" s="1"/>
  <c r="M424" i="1" a="1"/>
  <c r="M424" i="1" s="1"/>
  <c r="F425" i="1" a="1"/>
  <c r="F425" i="1" s="1"/>
  <c r="R425" i="15" s="1"/>
  <c r="J425" i="1" a="1"/>
  <c r="J425" i="1" s="1"/>
  <c r="O425" i="1"/>
  <c r="M425" i="15" s="1"/>
  <c r="N425" i="15" s="1" a="1"/>
  <c r="N425" i="15" s="1"/>
  <c r="C426" i="1" a="1"/>
  <c r="C426" i="1" s="1"/>
  <c r="E426" i="15" s="1"/>
  <c r="G426" i="1" a="1"/>
  <c r="G426" i="1" s="1"/>
  <c r="K426" i="1" a="1"/>
  <c r="K426" i="1" s="1"/>
  <c r="P426" i="1" a="1"/>
  <c r="P426" i="1" s="1"/>
  <c r="D427" i="1" a="1"/>
  <c r="D427" i="1" s="1"/>
  <c r="I427" i="15" s="1"/>
  <c r="H427" i="1" a="1"/>
  <c r="H427" i="1" s="1"/>
  <c r="L427" i="1" a="1"/>
  <c r="L427" i="1" s="1"/>
  <c r="Q427" i="1" a="1"/>
  <c r="Q427" i="1" s="1"/>
  <c r="S427" i="15" s="1"/>
  <c r="M428" i="1" a="1"/>
  <c r="M428" i="1" s="1"/>
  <c r="F429" i="1" a="1"/>
  <c r="F429" i="1" s="1"/>
  <c r="R429" i="15" s="1"/>
  <c r="J429" i="1" a="1"/>
  <c r="J429" i="1" s="1"/>
  <c r="O429" i="1"/>
  <c r="M429" i="15" s="1"/>
  <c r="N429" i="15" s="1" a="1"/>
  <c r="N429" i="15" s="1"/>
  <c r="F430" i="1" a="1"/>
  <c r="F430" i="1" s="1"/>
  <c r="R430" i="15" s="1"/>
  <c r="J430" i="1" a="1"/>
  <c r="J430" i="1" s="1"/>
  <c r="O430" i="1"/>
  <c r="M430" i="15" s="1"/>
  <c r="N430" i="15" s="1" a="1"/>
  <c r="N430" i="15" s="1"/>
  <c r="C431" i="1" a="1"/>
  <c r="C431" i="1" s="1"/>
  <c r="E431" i="15" s="1"/>
  <c r="G431" i="1" a="1"/>
  <c r="G431" i="1" s="1"/>
  <c r="J431" i="1" a="1"/>
  <c r="J431" i="1" s="1"/>
  <c r="O431" i="1"/>
  <c r="M431" i="15" s="1"/>
  <c r="N431" i="15" s="1" a="1"/>
  <c r="N431" i="15" s="1"/>
  <c r="F432" i="1" a="1"/>
  <c r="F432" i="1" s="1"/>
  <c r="R432" i="15" s="1"/>
  <c r="J432" i="1" a="1"/>
  <c r="J432" i="1" s="1"/>
  <c r="O432" i="1"/>
  <c r="M432" i="15" s="1"/>
  <c r="N432" i="15" s="1" a="1"/>
  <c r="N432" i="15" s="1"/>
  <c r="C433" i="1" a="1"/>
  <c r="C433" i="1" s="1"/>
  <c r="E433" i="15" s="1"/>
  <c r="G433" i="1" a="1"/>
  <c r="G433" i="1" s="1"/>
  <c r="J433" i="1" a="1"/>
  <c r="J433" i="1" s="1"/>
  <c r="O433" i="1"/>
  <c r="M433" i="15" s="1"/>
  <c r="N433" i="15" s="1" a="1"/>
  <c r="N433" i="15" s="1"/>
  <c r="C434" i="1" a="1"/>
  <c r="C434" i="1" s="1"/>
  <c r="E434" i="15" s="1"/>
  <c r="G434" i="1" a="1"/>
  <c r="G434" i="1" s="1"/>
  <c r="K434" i="1" a="1"/>
  <c r="K434" i="1" s="1"/>
  <c r="P434" i="1" a="1"/>
  <c r="P434" i="1" s="1"/>
  <c r="D435" i="1" a="1"/>
  <c r="D435" i="1" s="1"/>
  <c r="I435" i="15" s="1"/>
  <c r="H435" i="1" a="1"/>
  <c r="H435" i="1" s="1"/>
  <c r="L435" i="1" a="1"/>
  <c r="L435" i="1" s="1"/>
  <c r="Q435" i="1" a="1"/>
  <c r="Q435" i="1" s="1"/>
  <c r="S435" i="15" s="1"/>
  <c r="M436" i="1" a="1"/>
  <c r="M436" i="1" s="1"/>
  <c r="Q436" i="1" a="1"/>
  <c r="Q436" i="1" s="1"/>
  <c r="S436" i="15" s="1"/>
  <c r="D437" i="1" a="1"/>
  <c r="D437" i="1" s="1"/>
  <c r="I437" i="15" s="1"/>
  <c r="G437" i="1" a="1"/>
  <c r="G437" i="1" s="1"/>
  <c r="C438" i="1" a="1"/>
  <c r="C438" i="1" s="1"/>
  <c r="E438" i="15" s="1"/>
  <c r="L438" i="1" a="1"/>
  <c r="L438" i="1" s="1"/>
  <c r="C439" i="1" a="1"/>
  <c r="C439" i="1" s="1"/>
  <c r="E439" i="15" s="1"/>
  <c r="L439" i="1" a="1"/>
  <c r="L439" i="1" s="1"/>
  <c r="C440" i="1" a="1"/>
  <c r="C440" i="1" s="1"/>
  <c r="E440" i="15" s="1"/>
  <c r="L440" i="1" a="1"/>
  <c r="L440" i="1" s="1"/>
  <c r="C441" i="1" a="1"/>
  <c r="C441" i="1" s="1"/>
  <c r="E441" i="15" s="1"/>
  <c r="M441" i="1" a="1"/>
  <c r="M441" i="1" s="1"/>
  <c r="M442" i="1" a="1"/>
  <c r="M442" i="1" s="1"/>
  <c r="F443" i="1" a="1"/>
  <c r="F443" i="1" s="1"/>
  <c r="R443" i="15" s="1"/>
  <c r="J443" i="1" a="1"/>
  <c r="J443" i="1" s="1"/>
  <c r="O443" i="1"/>
  <c r="M443" i="15" s="1"/>
  <c r="N443" i="15" s="1" a="1"/>
  <c r="N443" i="15" s="1"/>
  <c r="C444" i="1" a="1"/>
  <c r="C444" i="1" s="1"/>
  <c r="E444" i="15" s="1"/>
  <c r="G444" i="1" a="1"/>
  <c r="G444" i="1" s="1"/>
  <c r="K444" i="1" a="1"/>
  <c r="K444" i="1" s="1"/>
  <c r="P444" i="1" a="1"/>
  <c r="P444" i="1" s="1"/>
  <c r="D445" i="1" a="1"/>
  <c r="D445" i="1" s="1"/>
  <c r="I445" i="15" s="1"/>
  <c r="H445" i="1" a="1"/>
  <c r="H445" i="1" s="1"/>
  <c r="L445" i="1" a="1"/>
  <c r="L445" i="1" s="1"/>
  <c r="Q445" i="1" a="1"/>
  <c r="Q445" i="1" s="1"/>
  <c r="S445" i="15" s="1"/>
  <c r="M446" i="1" a="1"/>
  <c r="M446" i="1" s="1"/>
  <c r="F447" i="1" a="1"/>
  <c r="F447" i="1" s="1"/>
  <c r="R447" i="15" s="1"/>
  <c r="J447" i="1" a="1"/>
  <c r="J447" i="1" s="1"/>
  <c r="O447" i="1"/>
  <c r="M447" i="15" s="1"/>
  <c r="N447" i="15" s="1" a="1"/>
  <c r="N447" i="15" s="1"/>
  <c r="C448" i="1" a="1"/>
  <c r="C448" i="1" s="1"/>
  <c r="E448" i="15" s="1"/>
  <c r="G448" i="1" a="1"/>
  <c r="G448" i="1" s="1"/>
  <c r="K448" i="1" a="1"/>
  <c r="K448" i="1" s="1"/>
  <c r="P448" i="1" a="1"/>
  <c r="P448" i="1" s="1"/>
  <c r="D449" i="1" a="1"/>
  <c r="D449" i="1" s="1"/>
  <c r="I449" i="15" s="1"/>
  <c r="H449" i="1" a="1"/>
  <c r="H449" i="1" s="1"/>
  <c r="L449" i="1" a="1"/>
  <c r="L449" i="1" s="1"/>
  <c r="Q449" i="1" a="1"/>
  <c r="Q449" i="1" s="1"/>
  <c r="S449" i="15" s="1"/>
  <c r="M450" i="1" a="1"/>
  <c r="M450" i="1" s="1"/>
  <c r="P386" i="1" a="1"/>
  <c r="P386" i="1" s="1"/>
  <c r="K388" i="1" a="1"/>
  <c r="K388" i="1" s="1"/>
  <c r="Q389" i="1" a="1"/>
  <c r="Q389" i="1" s="1"/>
  <c r="S389" i="15" s="1"/>
  <c r="C391" i="1" a="1"/>
  <c r="C391" i="1" s="1"/>
  <c r="E391" i="15" s="1"/>
  <c r="J391" i="1" a="1"/>
  <c r="J391" i="1" s="1"/>
  <c r="Q392" i="1" a="1"/>
  <c r="Q392" i="1" s="1"/>
  <c r="S392" i="15" s="1"/>
  <c r="F394" i="1" a="1"/>
  <c r="F394" i="1" s="1"/>
  <c r="R394" i="15" s="1"/>
  <c r="M394" i="1" a="1"/>
  <c r="M394" i="1" s="1"/>
  <c r="D395" i="1" a="1"/>
  <c r="D395" i="1" s="1"/>
  <c r="I395" i="15" s="1"/>
  <c r="M395" i="1" a="1"/>
  <c r="M395" i="1" s="1"/>
  <c r="H396" i="1" a="1"/>
  <c r="H396" i="1" s="1"/>
  <c r="M396" i="1" a="1"/>
  <c r="M396" i="1" s="1"/>
  <c r="C397" i="1" a="1"/>
  <c r="C397" i="1" s="1"/>
  <c r="E397" i="15" s="1"/>
  <c r="G397" i="1" a="1"/>
  <c r="G397" i="1" s="1"/>
  <c r="L397" i="1" a="1"/>
  <c r="L397" i="1" s="1"/>
  <c r="F399" i="1" a="1"/>
  <c r="F399" i="1" s="1"/>
  <c r="R399" i="15" s="1"/>
  <c r="M399" i="1" a="1"/>
  <c r="M399" i="1" s="1"/>
  <c r="G400" i="1" a="1"/>
  <c r="G400" i="1" s="1"/>
  <c r="L400" i="1" a="1"/>
  <c r="L400" i="1" s="1"/>
  <c r="H401" i="1" a="1"/>
  <c r="H401" i="1" s="1"/>
  <c r="L401" i="1" a="1"/>
  <c r="L401" i="1" s="1"/>
  <c r="P401" i="1" a="1"/>
  <c r="P401" i="1" s="1"/>
  <c r="C402" i="1" a="1"/>
  <c r="C402" i="1" s="1"/>
  <c r="E402" i="15" s="1"/>
  <c r="G402" i="1" a="1"/>
  <c r="G402" i="1" s="1"/>
  <c r="K402" i="1" a="1"/>
  <c r="K402" i="1" s="1"/>
  <c r="P402" i="1" a="1"/>
  <c r="P402" i="1" s="1"/>
  <c r="M403" i="1" a="1"/>
  <c r="M403" i="1" s="1"/>
  <c r="F404" i="1" a="1"/>
  <c r="F404" i="1" s="1"/>
  <c r="R404" i="15" s="1"/>
  <c r="J404" i="1" a="1"/>
  <c r="J404" i="1" s="1"/>
  <c r="M404" i="1" a="1"/>
  <c r="M404" i="1" s="1"/>
  <c r="F405" i="1" a="1"/>
  <c r="F405" i="1" s="1"/>
  <c r="R405" i="15" s="1"/>
  <c r="L405" i="1" a="1"/>
  <c r="L405" i="1" s="1"/>
  <c r="Q405" i="1" a="1"/>
  <c r="Q405" i="1" s="1"/>
  <c r="S405" i="15" s="1"/>
  <c r="K406" i="1" a="1"/>
  <c r="K406" i="1" s="1"/>
  <c r="L407" i="1" a="1"/>
  <c r="L407" i="1" s="1"/>
  <c r="P407" i="1" a="1"/>
  <c r="P407" i="1" s="1"/>
  <c r="C408" i="1" a="1"/>
  <c r="C408" i="1" s="1"/>
  <c r="E408" i="15" s="1"/>
  <c r="G408" i="1" a="1"/>
  <c r="G408" i="1" s="1"/>
  <c r="J408" i="1" a="1"/>
  <c r="J408" i="1" s="1"/>
  <c r="O408" i="1"/>
  <c r="M408" i="15" s="1"/>
  <c r="N408" i="15" s="1" a="1"/>
  <c r="N408" i="15" s="1"/>
  <c r="C409" i="1" a="1"/>
  <c r="C409" i="1" s="1"/>
  <c r="E409" i="15" s="1"/>
  <c r="J409" i="1" a="1"/>
  <c r="J409" i="1" s="1"/>
  <c r="O409" i="1"/>
  <c r="M409" i="15" s="1"/>
  <c r="N409" i="15" s="1" a="1"/>
  <c r="N409" i="15" s="1"/>
  <c r="F410" i="1" a="1"/>
  <c r="F410" i="1" s="1"/>
  <c r="R410" i="15" s="1"/>
  <c r="M410" i="1" a="1"/>
  <c r="M410" i="1" s="1"/>
  <c r="H411" i="1" a="1"/>
  <c r="H411" i="1" s="1"/>
  <c r="L411" i="1" a="1"/>
  <c r="L411" i="1" s="1"/>
  <c r="Q411" i="1" a="1"/>
  <c r="Q411" i="1" s="1"/>
  <c r="S411" i="15" s="1"/>
  <c r="D412" i="1" a="1"/>
  <c r="D412" i="1" s="1"/>
  <c r="I412" i="15" s="1"/>
  <c r="K412" i="1" a="1"/>
  <c r="K412" i="1" s="1"/>
  <c r="P412" i="1" a="1"/>
  <c r="P412" i="1" s="1"/>
  <c r="C413" i="1" a="1"/>
  <c r="C413" i="1" s="1"/>
  <c r="E413" i="15" s="1"/>
  <c r="G413" i="1" a="1"/>
  <c r="G413" i="1" s="1"/>
  <c r="J413" i="1" a="1"/>
  <c r="J413" i="1" s="1"/>
  <c r="O413" i="1"/>
  <c r="M413" i="15" s="1"/>
  <c r="N413" i="15" s="1" a="1"/>
  <c r="N413" i="15" s="1"/>
  <c r="F414" i="1" a="1"/>
  <c r="F414" i="1" s="1"/>
  <c r="R414" i="15" s="1"/>
  <c r="M414" i="1" a="1"/>
  <c r="M414" i="1" s="1"/>
  <c r="H415" i="1" a="1"/>
  <c r="H415" i="1" s="1"/>
  <c r="L415" i="1" a="1"/>
  <c r="L415" i="1" s="1"/>
  <c r="Q415" i="1" a="1"/>
  <c r="Q415" i="1" s="1"/>
  <c r="S415" i="15" s="1"/>
  <c r="D416" i="1" a="1"/>
  <c r="D416" i="1" s="1"/>
  <c r="I416" i="15" s="1"/>
  <c r="K416" i="1" a="1"/>
  <c r="K416" i="1" s="1"/>
  <c r="P416" i="1" a="1"/>
  <c r="P416" i="1" s="1"/>
  <c r="C417" i="1" a="1"/>
  <c r="C417" i="1" s="1"/>
  <c r="E417" i="15" s="1"/>
  <c r="G417" i="1" a="1"/>
  <c r="G417" i="1" s="1"/>
  <c r="J417" i="1" a="1"/>
  <c r="J417" i="1" s="1"/>
  <c r="O417" i="1"/>
  <c r="M417" i="15" s="1"/>
  <c r="N417" i="15" s="1" a="1"/>
  <c r="N417" i="15" s="1"/>
  <c r="F418" i="1" a="1"/>
  <c r="F418" i="1" s="1"/>
  <c r="R418" i="15" s="1"/>
  <c r="M418" i="1" a="1"/>
  <c r="M418" i="1" s="1"/>
  <c r="H419" i="1" a="1"/>
  <c r="H419" i="1" s="1"/>
  <c r="L419" i="1" a="1"/>
  <c r="L419" i="1" s="1"/>
  <c r="Q419" i="1" a="1"/>
  <c r="Q419" i="1" s="1"/>
  <c r="S419" i="15" s="1"/>
  <c r="D420" i="1" a="1"/>
  <c r="D420" i="1" s="1"/>
  <c r="I420" i="15" s="1"/>
  <c r="K420" i="1" a="1"/>
  <c r="K420" i="1" s="1"/>
  <c r="P420" i="1" a="1"/>
  <c r="P420" i="1" s="1"/>
  <c r="C421" i="1" a="1"/>
  <c r="C421" i="1" s="1"/>
  <c r="E421" i="15" s="1"/>
  <c r="G421" i="1" a="1"/>
  <c r="G421" i="1" s="1"/>
  <c r="K421" i="1" a="1"/>
  <c r="K421" i="1" s="1"/>
  <c r="P421" i="1" a="1"/>
  <c r="P421" i="1" s="1"/>
  <c r="D422" i="1" a="1"/>
  <c r="D422" i="1" s="1"/>
  <c r="I422" i="15" s="1"/>
  <c r="H422" i="1" a="1"/>
  <c r="H422" i="1" s="1"/>
  <c r="L422" i="1" a="1"/>
  <c r="L422" i="1" s="1"/>
  <c r="Q422" i="1" a="1"/>
  <c r="Q422" i="1" s="1"/>
  <c r="S422" i="15" s="1"/>
  <c r="M423" i="1" a="1"/>
  <c r="M423" i="1" s="1"/>
  <c r="F424" i="1" a="1"/>
  <c r="F424" i="1" s="1"/>
  <c r="R424" i="15" s="1"/>
  <c r="J424" i="1" a="1"/>
  <c r="J424" i="1" s="1"/>
  <c r="O424" i="1"/>
  <c r="M424" i="15" s="1"/>
  <c r="N424" i="15" s="1" a="1"/>
  <c r="N424" i="15" s="1"/>
  <c r="C425" i="1" a="1"/>
  <c r="C425" i="1" s="1"/>
  <c r="E425" i="15" s="1"/>
  <c r="G425" i="1" a="1"/>
  <c r="G425" i="1" s="1"/>
  <c r="K425" i="1" a="1"/>
  <c r="K425" i="1" s="1"/>
  <c r="P425" i="1" a="1"/>
  <c r="P425" i="1" s="1"/>
  <c r="D426" i="1" a="1"/>
  <c r="D426" i="1" s="1"/>
  <c r="I426" i="15" s="1"/>
  <c r="H426" i="1" a="1"/>
  <c r="H426" i="1" s="1"/>
  <c r="L426" i="1" a="1"/>
  <c r="L426" i="1" s="1"/>
  <c r="Q426" i="1" a="1"/>
  <c r="Q426" i="1" s="1"/>
  <c r="S426" i="15" s="1"/>
  <c r="M427" i="1" a="1"/>
  <c r="M427" i="1" s="1"/>
  <c r="F428" i="1" a="1"/>
  <c r="F428" i="1" s="1"/>
  <c r="R428" i="15" s="1"/>
  <c r="J428" i="1" a="1"/>
  <c r="J428" i="1" s="1"/>
  <c r="O428" i="1"/>
  <c r="M428" i="15" s="1"/>
  <c r="N428" i="15" s="1" a="1"/>
  <c r="N428" i="15" s="1"/>
  <c r="C429" i="1" a="1"/>
  <c r="C429" i="1" s="1"/>
  <c r="E429" i="15" s="1"/>
  <c r="G429" i="1" a="1"/>
  <c r="G429" i="1" s="1"/>
  <c r="K429" i="1" a="1"/>
  <c r="K429" i="1" s="1"/>
  <c r="P429" i="1" a="1"/>
  <c r="P429" i="1" s="1"/>
  <c r="C430" i="1" a="1"/>
  <c r="C430" i="1" s="1"/>
  <c r="E430" i="15" s="1"/>
  <c r="G430" i="1" a="1"/>
  <c r="G430" i="1" s="1"/>
  <c r="K430" i="1" a="1"/>
  <c r="K430" i="1" s="1"/>
  <c r="P430" i="1" a="1"/>
  <c r="P430" i="1" s="1"/>
  <c r="D431" i="1" a="1"/>
  <c r="D431" i="1" s="1"/>
  <c r="I431" i="15" s="1"/>
  <c r="K431" i="1" a="1"/>
  <c r="K431" i="1" s="1"/>
  <c r="P431" i="1" a="1"/>
  <c r="P431" i="1" s="1"/>
  <c r="C432" i="1" a="1"/>
  <c r="C432" i="1" s="1"/>
  <c r="E432" i="15" s="1"/>
  <c r="G432" i="1" a="1"/>
  <c r="G432" i="1" s="1"/>
  <c r="K432" i="1" a="1"/>
  <c r="K432" i="1" s="1"/>
  <c r="P432" i="1" a="1"/>
  <c r="P432" i="1" s="1"/>
  <c r="D433" i="1" a="1"/>
  <c r="D433" i="1" s="1"/>
  <c r="I433" i="15" s="1"/>
  <c r="K433" i="1" a="1"/>
  <c r="K433" i="1" s="1"/>
  <c r="P433" i="1" a="1"/>
  <c r="P433" i="1" s="1"/>
  <c r="D434" i="1" a="1"/>
  <c r="D434" i="1" s="1"/>
  <c r="I434" i="15" s="1"/>
  <c r="H434" i="1" a="1"/>
  <c r="H434" i="1" s="1"/>
  <c r="L434" i="1" a="1"/>
  <c r="L434" i="1" s="1"/>
  <c r="Q434" i="1" a="1"/>
  <c r="Q434" i="1" s="1"/>
  <c r="S434" i="15" s="1"/>
  <c r="M435" i="1" a="1"/>
  <c r="M435" i="1" s="1"/>
  <c r="F436" i="1" a="1"/>
  <c r="F436" i="1" s="1"/>
  <c r="R436" i="15" s="1"/>
  <c r="J436" i="1" a="1"/>
  <c r="J436" i="1" s="1"/>
  <c r="J437" i="1" a="1"/>
  <c r="J437" i="1" s="1"/>
  <c r="M437" i="1" a="1"/>
  <c r="M437" i="1" s="1"/>
  <c r="Q437" i="1" a="1"/>
  <c r="Q437" i="1" s="1"/>
  <c r="S437" i="15" s="1"/>
  <c r="D438" i="1" a="1"/>
  <c r="D438" i="1" s="1"/>
  <c r="I438" i="15" s="1"/>
  <c r="G438" i="1" a="1"/>
  <c r="G438" i="1" s="1"/>
  <c r="M438" i="1" a="1"/>
  <c r="M438" i="1" s="1"/>
  <c r="Q438" i="1" a="1"/>
  <c r="Q438" i="1" s="1"/>
  <c r="S438" i="15" s="1"/>
  <c r="D439" i="1" a="1"/>
  <c r="D439" i="1" s="1"/>
  <c r="I439" i="15" s="1"/>
  <c r="G439" i="1" a="1"/>
  <c r="G439" i="1" s="1"/>
  <c r="M439" i="1" a="1"/>
  <c r="M439" i="1" s="1"/>
  <c r="Q439" i="1" a="1"/>
  <c r="Q439" i="1" s="1"/>
  <c r="S439" i="15" s="1"/>
  <c r="D440" i="1" a="1"/>
  <c r="D440" i="1" s="1"/>
  <c r="I440" i="15" s="1"/>
  <c r="G440" i="1" a="1"/>
  <c r="G440" i="1" s="1"/>
  <c r="M440" i="1" a="1"/>
  <c r="M440" i="1" s="1"/>
  <c r="Q440" i="1" a="1"/>
  <c r="Q440" i="1" s="1"/>
  <c r="S440" i="15" s="1"/>
  <c r="D441" i="1" a="1"/>
  <c r="D441" i="1" s="1"/>
  <c r="I441" i="15" s="1"/>
  <c r="G441" i="1" a="1"/>
  <c r="G441" i="1" s="1"/>
  <c r="J441" i="1" a="1"/>
  <c r="J441" i="1" s="1"/>
  <c r="O441" i="1"/>
  <c r="M441" i="15" s="1"/>
  <c r="N441" i="15" s="1" a="1"/>
  <c r="N441" i="15" s="1"/>
  <c r="F442" i="1" a="1"/>
  <c r="F442" i="1" s="1"/>
  <c r="R442" i="15" s="1"/>
  <c r="J442" i="1" a="1"/>
  <c r="J442" i="1" s="1"/>
  <c r="O442" i="1"/>
  <c r="M442" i="15" s="1"/>
  <c r="N442" i="15" s="1" a="1"/>
  <c r="N442" i="15" s="1"/>
  <c r="C443" i="1" a="1"/>
  <c r="C443" i="1" s="1"/>
  <c r="E443" i="15" s="1"/>
  <c r="G443" i="1" a="1"/>
  <c r="G443" i="1" s="1"/>
  <c r="K443" i="1" a="1"/>
  <c r="K443" i="1" s="1"/>
  <c r="P443" i="1" a="1"/>
  <c r="P443" i="1" s="1"/>
  <c r="D444" i="1" a="1"/>
  <c r="D444" i="1" s="1"/>
  <c r="I444" i="15" s="1"/>
  <c r="H444" i="1" a="1"/>
  <c r="H444" i="1" s="1"/>
  <c r="L444" i="1" a="1"/>
  <c r="L444" i="1" s="1"/>
  <c r="Q444" i="1" a="1"/>
  <c r="Q444" i="1" s="1"/>
  <c r="S444" i="15" s="1"/>
  <c r="H386" i="1" a="1"/>
  <c r="H386" i="1" s="1"/>
  <c r="P388" i="1" a="1"/>
  <c r="P388" i="1" s="1"/>
  <c r="F389" i="1" a="1"/>
  <c r="F389" i="1" s="1"/>
  <c r="R389" i="15" s="1"/>
  <c r="L390" i="1" a="1"/>
  <c r="L390" i="1" s="1"/>
  <c r="M391" i="1" a="1"/>
  <c r="M391" i="1" s="1"/>
  <c r="F393" i="1" a="1"/>
  <c r="F393" i="1" s="1"/>
  <c r="R393" i="15" s="1"/>
  <c r="L393" i="1" a="1"/>
  <c r="L393" i="1" s="1"/>
  <c r="C394" i="1" a="1"/>
  <c r="C394" i="1" s="1"/>
  <c r="E394" i="15" s="1"/>
  <c r="O394" i="1"/>
  <c r="M394" i="15" s="1"/>
  <c r="N394" i="15" s="1" a="1"/>
  <c r="N394" i="15" s="1"/>
  <c r="J395" i="1" a="1"/>
  <c r="J395" i="1" s="1"/>
  <c r="O395" i="1"/>
  <c r="M395" i="15" s="1"/>
  <c r="N395" i="15" s="1" a="1"/>
  <c r="N395" i="15" s="1"/>
  <c r="D396" i="1" a="1"/>
  <c r="D396" i="1" s="1"/>
  <c r="I396" i="15" s="1"/>
  <c r="O396" i="1"/>
  <c r="M396" i="15" s="1"/>
  <c r="N396" i="15" s="1" a="1"/>
  <c r="N396" i="15" s="1"/>
  <c r="D397" i="1" a="1"/>
  <c r="D397" i="1" s="1"/>
  <c r="I397" i="15" s="1"/>
  <c r="H397" i="1" a="1"/>
  <c r="H397" i="1" s="1"/>
  <c r="F398" i="1" a="1"/>
  <c r="F398" i="1" s="1"/>
  <c r="R398" i="15" s="1"/>
  <c r="J398" i="1" a="1"/>
  <c r="J398" i="1" s="1"/>
  <c r="O398" i="1"/>
  <c r="M398" i="15" s="1"/>
  <c r="N398" i="15" s="1" a="1"/>
  <c r="N398" i="15" s="1"/>
  <c r="C399" i="1" a="1"/>
  <c r="C399" i="1" s="1"/>
  <c r="E399" i="15" s="1"/>
  <c r="G399" i="1" a="1"/>
  <c r="G399" i="1" s="1"/>
  <c r="J399" i="1" a="1"/>
  <c r="J399" i="1" s="1"/>
  <c r="O399" i="1"/>
  <c r="M399" i="15" s="1"/>
  <c r="N399" i="15" s="1" a="1"/>
  <c r="N399" i="15" s="1"/>
  <c r="C400" i="1" a="1"/>
  <c r="C400" i="1" s="1"/>
  <c r="E400" i="15" s="1"/>
  <c r="M400" i="1" a="1"/>
  <c r="M400" i="1" s="1"/>
  <c r="C401" i="1" a="1"/>
  <c r="C401" i="1" s="1"/>
  <c r="E401" i="15" s="1"/>
  <c r="F401" i="1" a="1"/>
  <c r="F401" i="1" s="1"/>
  <c r="R401" i="15" s="1"/>
  <c r="D402" i="1" a="1"/>
  <c r="D402" i="1" s="1"/>
  <c r="I402" i="15" s="1"/>
  <c r="H402" i="1" a="1"/>
  <c r="H402" i="1" s="1"/>
  <c r="L402" i="1" a="1"/>
  <c r="L402" i="1" s="1"/>
  <c r="Q402" i="1" a="1"/>
  <c r="Q402" i="1" s="1"/>
  <c r="S402" i="15" s="1"/>
  <c r="D403" i="1" a="1"/>
  <c r="D403" i="1" s="1"/>
  <c r="I403" i="15" s="1"/>
  <c r="G403" i="1" a="1"/>
  <c r="G403" i="1" s="1"/>
  <c r="J403" i="1" a="1"/>
  <c r="J403" i="1" s="1"/>
  <c r="O403" i="1"/>
  <c r="M403" i="15" s="1"/>
  <c r="N403" i="15" s="1" a="1"/>
  <c r="N403" i="15" s="1"/>
  <c r="C404" i="1" a="1"/>
  <c r="C404" i="1" s="1"/>
  <c r="E404" i="15" s="1"/>
  <c r="G404" i="1" a="1"/>
  <c r="G404" i="1" s="1"/>
  <c r="K404" i="1" a="1"/>
  <c r="K404" i="1" s="1"/>
  <c r="O404" i="1"/>
  <c r="M404" i="15" s="1"/>
  <c r="N404" i="15" s="1" a="1"/>
  <c r="N404" i="15" s="1"/>
  <c r="C405" i="1" a="1"/>
  <c r="C405" i="1" s="1"/>
  <c r="E405" i="15" s="1"/>
  <c r="G405" i="1" a="1"/>
  <c r="G405" i="1" s="1"/>
  <c r="J405" i="1" a="1"/>
  <c r="J405" i="1" s="1"/>
  <c r="M405" i="1" a="1"/>
  <c r="M405" i="1" s="1"/>
  <c r="H406" i="1" a="1"/>
  <c r="H406" i="1" s="1"/>
  <c r="O406" i="1"/>
  <c r="M406" i="15" s="1"/>
  <c r="N406" i="15" s="1" a="1"/>
  <c r="N406" i="15" s="1"/>
  <c r="F407" i="1" a="1"/>
  <c r="F407" i="1" s="1"/>
  <c r="R407" i="15" s="1"/>
  <c r="J407" i="1" a="1"/>
  <c r="J407" i="1" s="1"/>
  <c r="D408" i="1" a="1"/>
  <c r="D408" i="1" s="1"/>
  <c r="I408" i="15" s="1"/>
  <c r="K408" i="1" a="1"/>
  <c r="K408" i="1" s="1"/>
  <c r="P408" i="1" a="1"/>
  <c r="P408" i="1" s="1"/>
  <c r="D409" i="1" a="1"/>
  <c r="D409" i="1" s="1"/>
  <c r="I409" i="15" s="1"/>
  <c r="G409" i="1" a="1"/>
  <c r="G409" i="1" s="1"/>
  <c r="K409" i="1" a="1"/>
  <c r="K409" i="1" s="1"/>
  <c r="P409" i="1" a="1"/>
  <c r="P409" i="1" s="1"/>
  <c r="C410" i="1" a="1"/>
  <c r="C410" i="1" s="1"/>
  <c r="E410" i="15" s="1"/>
  <c r="G410" i="1" a="1"/>
  <c r="G410" i="1" s="1"/>
  <c r="J410" i="1" a="1"/>
  <c r="J410" i="1" s="1"/>
  <c r="O410" i="1"/>
  <c r="M410" i="15" s="1"/>
  <c r="N410" i="15" s="1" a="1"/>
  <c r="N410" i="15" s="1"/>
  <c r="F411" i="1" a="1"/>
  <c r="F411" i="1" s="1"/>
  <c r="R411" i="15" s="1"/>
  <c r="M411" i="1" a="1"/>
  <c r="M411" i="1" s="1"/>
  <c r="H412" i="1" a="1"/>
  <c r="H412" i="1" s="1"/>
  <c r="L412" i="1" a="1"/>
  <c r="L412" i="1" s="1"/>
  <c r="Q412" i="1" a="1"/>
  <c r="Q412" i="1" s="1"/>
  <c r="S412" i="15" s="1"/>
  <c r="D413" i="1" a="1"/>
  <c r="D413" i="1" s="1"/>
  <c r="I413" i="15" s="1"/>
  <c r="K413" i="1" a="1"/>
  <c r="K413" i="1" s="1"/>
  <c r="P413" i="1" a="1"/>
  <c r="P413" i="1" s="1"/>
  <c r="C414" i="1" a="1"/>
  <c r="C414" i="1" s="1"/>
  <c r="E414" i="15" s="1"/>
  <c r="G414" i="1" a="1"/>
  <c r="G414" i="1" s="1"/>
  <c r="J414" i="1" a="1"/>
  <c r="J414" i="1" s="1"/>
  <c r="O414" i="1"/>
  <c r="M414" i="15" s="1"/>
  <c r="N414" i="15" s="1" a="1"/>
  <c r="N414" i="15" s="1"/>
  <c r="F415" i="1" a="1"/>
  <c r="F415" i="1" s="1"/>
  <c r="R415" i="15" s="1"/>
  <c r="M415" i="1" a="1"/>
  <c r="M415" i="1" s="1"/>
  <c r="H416" i="1" a="1"/>
  <c r="H416" i="1" s="1"/>
  <c r="L416" i="1" a="1"/>
  <c r="L416" i="1" s="1"/>
  <c r="Q416" i="1" a="1"/>
  <c r="Q416" i="1" s="1"/>
  <c r="S416" i="15" s="1"/>
  <c r="D417" i="1" a="1"/>
  <c r="D417" i="1" s="1"/>
  <c r="I417" i="15" s="1"/>
  <c r="K417" i="1" a="1"/>
  <c r="K417" i="1" s="1"/>
  <c r="P417" i="1" a="1"/>
  <c r="P417" i="1" s="1"/>
  <c r="C418" i="1" a="1"/>
  <c r="C418" i="1" s="1"/>
  <c r="E418" i="15" s="1"/>
  <c r="G418" i="1" a="1"/>
  <c r="G418" i="1" s="1"/>
  <c r="J418" i="1" a="1"/>
  <c r="J418" i="1" s="1"/>
  <c r="O418" i="1"/>
  <c r="M418" i="15" s="1"/>
  <c r="N418" i="15" s="1" a="1"/>
  <c r="N418" i="15" s="1"/>
  <c r="F419" i="1" a="1"/>
  <c r="F419" i="1" s="1"/>
  <c r="R419" i="15" s="1"/>
  <c r="M419" i="1" a="1"/>
  <c r="M419" i="1" s="1"/>
  <c r="H420" i="1" a="1"/>
  <c r="H420" i="1" s="1"/>
  <c r="L420" i="1" a="1"/>
  <c r="L420" i="1" s="1"/>
  <c r="Q420" i="1" a="1"/>
  <c r="Q420" i="1" s="1"/>
  <c r="S420" i="15" s="1"/>
  <c r="D421" i="1" a="1"/>
  <c r="D421" i="1" s="1"/>
  <c r="I421" i="15" s="1"/>
  <c r="H421" i="1" a="1"/>
  <c r="H421" i="1" s="1"/>
  <c r="L421" i="1" a="1"/>
  <c r="L421" i="1" s="1"/>
  <c r="Q421" i="1" a="1"/>
  <c r="Q421" i="1" s="1"/>
  <c r="S421" i="15" s="1"/>
  <c r="M422" i="1" a="1"/>
  <c r="M422" i="1" s="1"/>
  <c r="F423" i="1" a="1"/>
  <c r="F423" i="1" s="1"/>
  <c r="R423" i="15" s="1"/>
  <c r="J423" i="1" a="1"/>
  <c r="J423" i="1" s="1"/>
  <c r="O423" i="1"/>
  <c r="M423" i="15" s="1"/>
  <c r="N423" i="15" s="1" a="1"/>
  <c r="N423" i="15" s="1"/>
  <c r="C424" i="1" a="1"/>
  <c r="C424" i="1" s="1"/>
  <c r="E424" i="15" s="1"/>
  <c r="G424" i="1" a="1"/>
  <c r="G424" i="1" s="1"/>
  <c r="K424" i="1" a="1"/>
  <c r="K424" i="1" s="1"/>
  <c r="P424" i="1" a="1"/>
  <c r="P424" i="1" s="1"/>
  <c r="D425" i="1" a="1"/>
  <c r="D425" i="1" s="1"/>
  <c r="I425" i="15" s="1"/>
  <c r="H425" i="1" a="1"/>
  <c r="H425" i="1" s="1"/>
  <c r="L425" i="1" a="1"/>
  <c r="L425" i="1" s="1"/>
  <c r="Q425" i="1" a="1"/>
  <c r="Q425" i="1" s="1"/>
  <c r="S425" i="15" s="1"/>
  <c r="M426" i="1" a="1"/>
  <c r="M426" i="1" s="1"/>
  <c r="F427" i="1" a="1"/>
  <c r="F427" i="1" s="1"/>
  <c r="R427" i="15" s="1"/>
  <c r="J427" i="1" a="1"/>
  <c r="J427" i="1" s="1"/>
  <c r="O427" i="1"/>
  <c r="M427" i="15" s="1"/>
  <c r="N427" i="15" s="1" a="1"/>
  <c r="N427" i="15" s="1"/>
  <c r="C428" i="1" a="1"/>
  <c r="C428" i="1" s="1"/>
  <c r="E428" i="15" s="1"/>
  <c r="G428" i="1" a="1"/>
  <c r="G428" i="1" s="1"/>
  <c r="K428" i="1" a="1"/>
  <c r="K428" i="1" s="1"/>
  <c r="P428" i="1" a="1"/>
  <c r="P428" i="1" s="1"/>
  <c r="D429" i="1" a="1"/>
  <c r="D429" i="1" s="1"/>
  <c r="I429" i="15" s="1"/>
  <c r="H429" i="1" a="1"/>
  <c r="H429" i="1" s="1"/>
  <c r="L429" i="1" a="1"/>
  <c r="L429" i="1" s="1"/>
  <c r="Q429" i="1" a="1"/>
  <c r="Q429" i="1" s="1"/>
  <c r="S429" i="15" s="1"/>
  <c r="D430" i="1" a="1"/>
  <c r="D430" i="1" s="1"/>
  <c r="I430" i="15" s="1"/>
  <c r="H430" i="1" a="1"/>
  <c r="H430" i="1" s="1"/>
  <c r="L430" i="1" a="1"/>
  <c r="L430" i="1" s="1"/>
  <c r="Q430" i="1" a="1"/>
  <c r="Q430" i="1" s="1"/>
  <c r="S430" i="15" s="1"/>
  <c r="H431" i="1" a="1"/>
  <c r="H431" i="1" s="1"/>
  <c r="L431" i="1" a="1"/>
  <c r="L431" i="1" s="1"/>
  <c r="Q431" i="1" a="1"/>
  <c r="Q431" i="1" s="1"/>
  <c r="S431" i="15" s="1"/>
  <c r="D432" i="1" a="1"/>
  <c r="D432" i="1" s="1"/>
  <c r="I432" i="15" s="1"/>
  <c r="H432" i="1" a="1"/>
  <c r="H432" i="1" s="1"/>
  <c r="L432" i="1" a="1"/>
  <c r="L432" i="1" s="1"/>
  <c r="Q432" i="1" a="1"/>
  <c r="Q432" i="1" s="1"/>
  <c r="S432" i="15" s="1"/>
  <c r="H433" i="1" a="1"/>
  <c r="H433" i="1" s="1"/>
  <c r="L433" i="1" a="1"/>
  <c r="L433" i="1" s="1"/>
  <c r="Q433" i="1" a="1"/>
  <c r="Q433" i="1" s="1"/>
  <c r="S433" i="15" s="1"/>
  <c r="M434" i="1" a="1"/>
  <c r="M434" i="1" s="1"/>
  <c r="F435" i="1" a="1"/>
  <c r="F435" i="1" s="1"/>
  <c r="R435" i="15" s="1"/>
  <c r="J435" i="1" a="1"/>
  <c r="J435" i="1" s="1"/>
  <c r="O435" i="1"/>
  <c r="M435" i="15" s="1"/>
  <c r="N435" i="15" s="1" a="1"/>
  <c r="N435" i="15" s="1"/>
  <c r="C436" i="1" a="1"/>
  <c r="C436" i="1" s="1"/>
  <c r="E436" i="15" s="1"/>
  <c r="G436" i="1" a="1"/>
  <c r="G436" i="1" s="1"/>
  <c r="K436" i="1" a="1"/>
  <c r="K436" i="1" s="1"/>
  <c r="O436" i="1"/>
  <c r="M436" i="15" s="1"/>
  <c r="N436" i="15" s="1" a="1"/>
  <c r="N436" i="15" s="1"/>
  <c r="C437" i="1" a="1"/>
  <c r="C437" i="1" s="1"/>
  <c r="E437" i="15" s="1"/>
  <c r="F437" i="1" a="1"/>
  <c r="F437" i="1" s="1"/>
  <c r="R437" i="15" s="1"/>
  <c r="H437" i="1" a="1"/>
  <c r="H437" i="1" s="1"/>
  <c r="K437" i="1" a="1"/>
  <c r="K437" i="1" s="1"/>
  <c r="O437" i="1"/>
  <c r="M437" i="15" s="1"/>
  <c r="N437" i="15" s="1" a="1"/>
  <c r="N437" i="15" s="1"/>
  <c r="J438" i="1" a="1"/>
  <c r="J438" i="1" s="1"/>
  <c r="O438" i="1"/>
  <c r="M438" i="15" s="1"/>
  <c r="N438" i="15" s="1" a="1"/>
  <c r="N438" i="15" s="1"/>
  <c r="J439" i="1" a="1"/>
  <c r="J439" i="1" s="1"/>
  <c r="O439" i="1"/>
  <c r="M439" i="15" s="1"/>
  <c r="N439" i="15" s="1" a="1"/>
  <c r="N439" i="15" s="1"/>
  <c r="J440" i="1" a="1"/>
  <c r="J440" i="1" s="1"/>
  <c r="O440" i="1"/>
  <c r="M440" i="15" s="1"/>
  <c r="N440" i="15" s="1" a="1"/>
  <c r="N440" i="15" s="1"/>
  <c r="H441" i="1" a="1"/>
  <c r="H441" i="1" s="1"/>
  <c r="K441" i="1" a="1"/>
  <c r="K441" i="1" s="1"/>
  <c r="P441" i="1" a="1"/>
  <c r="P441" i="1" s="1"/>
  <c r="C442" i="1" a="1"/>
  <c r="C442" i="1" s="1"/>
  <c r="E442" i="15" s="1"/>
  <c r="G442" i="1" a="1"/>
  <c r="G442" i="1" s="1"/>
  <c r="K442" i="1" a="1"/>
  <c r="K442" i="1" s="1"/>
  <c r="P442" i="1" a="1"/>
  <c r="P442" i="1" s="1"/>
  <c r="D443" i="1" a="1"/>
  <c r="D443" i="1" s="1"/>
  <c r="I443" i="15" s="1"/>
  <c r="H443" i="1" a="1"/>
  <c r="H443" i="1" s="1"/>
  <c r="L443" i="1" a="1"/>
  <c r="L443" i="1" s="1"/>
  <c r="Q443" i="1" a="1"/>
  <c r="Q443" i="1" s="1"/>
  <c r="S443" i="15" s="1"/>
  <c r="M444" i="1" a="1"/>
  <c r="M444" i="1" s="1"/>
  <c r="F445" i="1" a="1"/>
  <c r="F445" i="1" s="1"/>
  <c r="R445" i="15" s="1"/>
  <c r="J445" i="1" a="1"/>
  <c r="J445" i="1" s="1"/>
  <c r="O445" i="1"/>
  <c r="M445" i="15" s="1"/>
  <c r="N445" i="15" s="1" a="1"/>
  <c r="N445" i="15" s="1"/>
  <c r="C446" i="1" a="1"/>
  <c r="C446" i="1" s="1"/>
  <c r="E446" i="15" s="1"/>
  <c r="G446" i="1" a="1"/>
  <c r="G446" i="1" s="1"/>
  <c r="K446" i="1" a="1"/>
  <c r="K446" i="1" s="1"/>
  <c r="P446" i="1" a="1"/>
  <c r="P446" i="1" s="1"/>
  <c r="D447" i="1" a="1"/>
  <c r="D447" i="1" s="1"/>
  <c r="I447" i="15" s="1"/>
  <c r="H447" i="1" a="1"/>
  <c r="H447" i="1" s="1"/>
  <c r="L447" i="1" a="1"/>
  <c r="L447" i="1" s="1"/>
  <c r="Q447" i="1" a="1"/>
  <c r="Q447" i="1" s="1"/>
  <c r="S447" i="15" s="1"/>
  <c r="M448" i="1" a="1"/>
  <c r="M448" i="1" s="1"/>
  <c r="F449" i="1" a="1"/>
  <c r="F449" i="1" s="1"/>
  <c r="R449" i="15" s="1"/>
  <c r="H446" i="1" a="1"/>
  <c r="H446" i="1" s="1"/>
  <c r="O446" i="1"/>
  <c r="M446" i="15" s="1"/>
  <c r="N446" i="15" s="1" a="1"/>
  <c r="N446" i="15" s="1"/>
  <c r="M447" i="1" a="1"/>
  <c r="M447" i="1" s="1"/>
  <c r="J448" i="1" a="1"/>
  <c r="J448" i="1" s="1"/>
  <c r="O449" i="1"/>
  <c r="M449" i="15" s="1"/>
  <c r="N449" i="15" s="1" a="1"/>
  <c r="N449" i="15" s="1"/>
  <c r="D450" i="1" a="1"/>
  <c r="D450" i="1" s="1"/>
  <c r="I450" i="15" s="1"/>
  <c r="H450" i="1" a="1"/>
  <c r="H450" i="1" s="1"/>
  <c r="L450" i="1" a="1"/>
  <c r="L450" i="1" s="1"/>
  <c r="F451" i="1" a="1"/>
  <c r="F451" i="1" s="1"/>
  <c r="R451" i="15" s="1"/>
  <c r="J451" i="1" a="1"/>
  <c r="J451" i="1" s="1"/>
  <c r="O451" i="1"/>
  <c r="M451" i="15" s="1"/>
  <c r="N451" i="15" s="1" a="1"/>
  <c r="N451" i="15" s="1"/>
  <c r="C452" i="1" a="1"/>
  <c r="C452" i="1" s="1"/>
  <c r="E452" i="15" s="1"/>
  <c r="G452" i="1" a="1"/>
  <c r="G452" i="1" s="1"/>
  <c r="K452" i="1" a="1"/>
  <c r="K452" i="1" s="1"/>
  <c r="P452" i="1" a="1"/>
  <c r="P452" i="1" s="1"/>
  <c r="D453" i="1" a="1"/>
  <c r="D453" i="1" s="1"/>
  <c r="I453" i="15" s="1"/>
  <c r="H453" i="1" a="1"/>
  <c r="H453" i="1" s="1"/>
  <c r="L453" i="1" a="1"/>
  <c r="L453" i="1" s="1"/>
  <c r="Q453" i="1" a="1"/>
  <c r="Q453" i="1" s="1"/>
  <c r="S453" i="15" s="1"/>
  <c r="M454" i="1" a="1"/>
  <c r="M454" i="1" s="1"/>
  <c r="F455" i="1" a="1"/>
  <c r="F455" i="1" s="1"/>
  <c r="R455" i="15" s="1"/>
  <c r="J455" i="1" a="1"/>
  <c r="J455" i="1" s="1"/>
  <c r="O455" i="1"/>
  <c r="M455" i="15" s="1"/>
  <c r="N455" i="15" s="1" a="1"/>
  <c r="N455" i="15" s="1"/>
  <c r="C456" i="1" a="1"/>
  <c r="C456" i="1" s="1"/>
  <c r="E456" i="15" s="1"/>
  <c r="G456" i="1" a="1"/>
  <c r="G456" i="1" s="1"/>
  <c r="K456" i="1" a="1"/>
  <c r="K456" i="1" s="1"/>
  <c r="P456" i="1" a="1"/>
  <c r="P456" i="1" s="1"/>
  <c r="D457" i="1" a="1"/>
  <c r="D457" i="1" s="1"/>
  <c r="I457" i="15" s="1"/>
  <c r="H457" i="1" a="1"/>
  <c r="H457" i="1" s="1"/>
  <c r="L457" i="1" a="1"/>
  <c r="L457" i="1" s="1"/>
  <c r="Q457" i="1" a="1"/>
  <c r="Q457" i="1" s="1"/>
  <c r="S457" i="15" s="1"/>
  <c r="M458" i="1" a="1"/>
  <c r="M458" i="1" s="1"/>
  <c r="F459" i="1" a="1"/>
  <c r="F459" i="1" s="1"/>
  <c r="R459" i="15" s="1"/>
  <c r="J459" i="1" a="1"/>
  <c r="J459" i="1" s="1"/>
  <c r="O459" i="1"/>
  <c r="M459" i="15" s="1"/>
  <c r="N459" i="15" s="1" a="1"/>
  <c r="N459" i="15" s="1"/>
  <c r="C460" i="1" a="1"/>
  <c r="C460" i="1" s="1"/>
  <c r="E460" i="15" s="1"/>
  <c r="G460" i="1" a="1"/>
  <c r="G460" i="1" s="1"/>
  <c r="K460" i="1" a="1"/>
  <c r="K460" i="1" s="1"/>
  <c r="P460" i="1" a="1"/>
  <c r="P460" i="1" s="1"/>
  <c r="D461" i="1" a="1"/>
  <c r="D461" i="1" s="1"/>
  <c r="I461" i="15" s="1"/>
  <c r="H461" i="1" a="1"/>
  <c r="H461" i="1" s="1"/>
  <c r="L461" i="1" a="1"/>
  <c r="L461" i="1" s="1"/>
  <c r="Q461" i="1" a="1"/>
  <c r="Q461" i="1" s="1"/>
  <c r="S461" i="15" s="1"/>
  <c r="M462" i="1" a="1"/>
  <c r="M462" i="1" s="1"/>
  <c r="F463" i="1" a="1"/>
  <c r="F463" i="1" s="1"/>
  <c r="R463" i="15" s="1"/>
  <c r="J463" i="1" a="1"/>
  <c r="J463" i="1" s="1"/>
  <c r="O463" i="1"/>
  <c r="M463" i="15" s="1"/>
  <c r="N463" i="15" s="1" a="1"/>
  <c r="N463" i="15" s="1"/>
  <c r="C464" i="1" a="1"/>
  <c r="C464" i="1" s="1"/>
  <c r="E464" i="15" s="1"/>
  <c r="G464" i="1" a="1"/>
  <c r="G464" i="1" s="1"/>
  <c r="K464" i="1" a="1"/>
  <c r="K464" i="1" s="1"/>
  <c r="P464" i="1" a="1"/>
  <c r="P464" i="1" s="1"/>
  <c r="D465" i="1" a="1"/>
  <c r="D465" i="1" s="1"/>
  <c r="I465" i="15" s="1"/>
  <c r="H465" i="1" a="1"/>
  <c r="H465" i="1" s="1"/>
  <c r="L465" i="1" a="1"/>
  <c r="L465" i="1" s="1"/>
  <c r="Q465" i="1" a="1"/>
  <c r="Q465" i="1" s="1"/>
  <c r="S465" i="15" s="1"/>
  <c r="M466" i="1" a="1"/>
  <c r="M466" i="1" s="1"/>
  <c r="F467" i="1" a="1"/>
  <c r="F467" i="1" s="1"/>
  <c r="R467" i="15" s="1"/>
  <c r="J467" i="1" a="1"/>
  <c r="J467" i="1" s="1"/>
  <c r="O467" i="1"/>
  <c r="M467" i="15" s="1"/>
  <c r="N467" i="15" s="1" a="1"/>
  <c r="N467" i="15" s="1"/>
  <c r="C468" i="1" a="1"/>
  <c r="C468" i="1" s="1"/>
  <c r="E468" i="15" s="1"/>
  <c r="G468" i="1" a="1"/>
  <c r="G468" i="1" s="1"/>
  <c r="K468" i="1" a="1"/>
  <c r="K468" i="1" s="1"/>
  <c r="P468" i="1" a="1"/>
  <c r="P468" i="1" s="1"/>
  <c r="D469" i="1" a="1"/>
  <c r="D469" i="1" s="1"/>
  <c r="I469" i="15" s="1"/>
  <c r="H469" i="1" a="1"/>
  <c r="H469" i="1" s="1"/>
  <c r="L469" i="1" a="1"/>
  <c r="L469" i="1" s="1"/>
  <c r="Q469" i="1" a="1"/>
  <c r="Q469" i="1" s="1"/>
  <c r="S469" i="15" s="1"/>
  <c r="M470" i="1" a="1"/>
  <c r="M470" i="1" s="1"/>
  <c r="F471" i="1" a="1"/>
  <c r="F471" i="1" s="1"/>
  <c r="R471" i="15" s="1"/>
  <c r="J471" i="1" a="1"/>
  <c r="J471" i="1" s="1"/>
  <c r="O471" i="1"/>
  <c r="M471" i="15" s="1"/>
  <c r="N471" i="15" s="1" a="1"/>
  <c r="N471" i="15" s="1"/>
  <c r="C472" i="1" a="1"/>
  <c r="C472" i="1" s="1"/>
  <c r="E472" i="15" s="1"/>
  <c r="G472" i="1" a="1"/>
  <c r="G472" i="1" s="1"/>
  <c r="K472" i="1" a="1"/>
  <c r="K472" i="1" s="1"/>
  <c r="P472" i="1" a="1"/>
  <c r="P472" i="1" s="1"/>
  <c r="D473" i="1" a="1"/>
  <c r="D473" i="1" s="1"/>
  <c r="I473" i="15" s="1"/>
  <c r="H473" i="1" a="1"/>
  <c r="H473" i="1" s="1"/>
  <c r="L473" i="1" a="1"/>
  <c r="L473" i="1" s="1"/>
  <c r="Q473" i="1" a="1"/>
  <c r="Q473" i="1" s="1"/>
  <c r="S473" i="15" s="1"/>
  <c r="M474" i="1" a="1"/>
  <c r="M474" i="1" s="1"/>
  <c r="F475" i="1" a="1"/>
  <c r="F475" i="1" s="1"/>
  <c r="R475" i="15" s="1"/>
  <c r="J475" i="1" a="1"/>
  <c r="J475" i="1" s="1"/>
  <c r="O475" i="1"/>
  <c r="M475" i="15" s="1"/>
  <c r="N475" i="15" s="1" a="1"/>
  <c r="N475" i="15" s="1"/>
  <c r="C476" i="1" a="1"/>
  <c r="C476" i="1" s="1"/>
  <c r="E476" i="15" s="1"/>
  <c r="G476" i="1" a="1"/>
  <c r="G476" i="1" s="1"/>
  <c r="K476" i="1" a="1"/>
  <c r="K476" i="1" s="1"/>
  <c r="P476" i="1" a="1"/>
  <c r="P476" i="1" s="1"/>
  <c r="D477" i="1" a="1"/>
  <c r="D477" i="1" s="1"/>
  <c r="I477" i="15" s="1"/>
  <c r="H477" i="1" a="1"/>
  <c r="H477" i="1" s="1"/>
  <c r="L477" i="1" a="1"/>
  <c r="L477" i="1" s="1"/>
  <c r="Q477" i="1" a="1"/>
  <c r="Q477" i="1" s="1"/>
  <c r="S477" i="15" s="1"/>
  <c r="M478" i="1" a="1"/>
  <c r="M478" i="1" s="1"/>
  <c r="F479" i="1" a="1"/>
  <c r="F479" i="1" s="1"/>
  <c r="R479" i="15" s="1"/>
  <c r="J479" i="1" a="1"/>
  <c r="J479" i="1" s="1"/>
  <c r="O479" i="1"/>
  <c r="M479" i="15" s="1"/>
  <c r="N479" i="15" s="1" a="1"/>
  <c r="N479" i="15" s="1"/>
  <c r="C480" i="1" a="1"/>
  <c r="C480" i="1" s="1"/>
  <c r="E480" i="15" s="1"/>
  <c r="G480" i="1" a="1"/>
  <c r="G480" i="1" s="1"/>
  <c r="K480" i="1" a="1"/>
  <c r="K480" i="1" s="1"/>
  <c r="P480" i="1" a="1"/>
  <c r="P480" i="1" s="1"/>
  <c r="D481" i="1" a="1"/>
  <c r="D481" i="1" s="1"/>
  <c r="I481" i="15" s="1"/>
  <c r="H481" i="1" a="1"/>
  <c r="H481" i="1" s="1"/>
  <c r="L481" i="1" a="1"/>
  <c r="L481" i="1" s="1"/>
  <c r="Q481" i="1" a="1"/>
  <c r="Q481" i="1" s="1"/>
  <c r="S481" i="15" s="1"/>
  <c r="M482" i="1" a="1"/>
  <c r="M482" i="1" s="1"/>
  <c r="F483" i="1" a="1"/>
  <c r="F483" i="1" s="1"/>
  <c r="R483" i="15" s="1"/>
  <c r="J483" i="1" a="1"/>
  <c r="J483" i="1" s="1"/>
  <c r="O483" i="1"/>
  <c r="M483" i="15" s="1"/>
  <c r="N483" i="15" s="1" a="1"/>
  <c r="N483" i="15" s="1"/>
  <c r="C484" i="1" a="1"/>
  <c r="C484" i="1" s="1"/>
  <c r="E484" i="15" s="1"/>
  <c r="G484" i="1" a="1"/>
  <c r="G484" i="1" s="1"/>
  <c r="J484" i="1" a="1"/>
  <c r="J484" i="1" s="1"/>
  <c r="O484" i="1"/>
  <c r="M484" i="15" s="1"/>
  <c r="N484" i="15" s="1" a="1"/>
  <c r="N484" i="15" s="1"/>
  <c r="F485" i="1" a="1"/>
  <c r="F485" i="1" s="1"/>
  <c r="R485" i="15" s="1"/>
  <c r="J485" i="1" a="1"/>
  <c r="J485" i="1" s="1"/>
  <c r="O485" i="1"/>
  <c r="M485" i="15" s="1"/>
  <c r="N485" i="15" s="1" a="1"/>
  <c r="N485" i="15" s="1"/>
  <c r="C486" i="1" a="1"/>
  <c r="C486" i="1" s="1"/>
  <c r="E486" i="15" s="1"/>
  <c r="G486" i="1" a="1"/>
  <c r="G486" i="1" s="1"/>
  <c r="J486" i="1" a="1"/>
  <c r="J486" i="1" s="1"/>
  <c r="O486" i="1"/>
  <c r="M486" i="15" s="1"/>
  <c r="N486" i="15" s="1" a="1"/>
  <c r="N486" i="15" s="1"/>
  <c r="F487" i="1" a="1"/>
  <c r="F487" i="1" s="1"/>
  <c r="R487" i="15" s="1"/>
  <c r="J487" i="1" a="1"/>
  <c r="J487" i="1" s="1"/>
  <c r="O487" i="1"/>
  <c r="M487" i="15" s="1"/>
  <c r="N487" i="15" s="1" a="1"/>
  <c r="N487" i="15" s="1"/>
  <c r="C488" i="1" a="1"/>
  <c r="C488" i="1" s="1"/>
  <c r="E488" i="15" s="1"/>
  <c r="G488" i="1" a="1"/>
  <c r="G488" i="1" s="1"/>
  <c r="J488" i="1" a="1"/>
  <c r="J488" i="1" s="1"/>
  <c r="O488" i="1"/>
  <c r="M488" i="15" s="1"/>
  <c r="N488" i="15" s="1" a="1"/>
  <c r="N488" i="15" s="1"/>
  <c r="F489" i="1" a="1"/>
  <c r="F489" i="1" s="1"/>
  <c r="R489" i="15" s="1"/>
  <c r="J489" i="1" a="1"/>
  <c r="J489" i="1" s="1"/>
  <c r="O489" i="1"/>
  <c r="M489" i="15" s="1"/>
  <c r="N489" i="15" s="1" a="1"/>
  <c r="N489" i="15" s="1"/>
  <c r="F490" i="1" a="1"/>
  <c r="F490" i="1" s="1"/>
  <c r="R490" i="15" s="1"/>
  <c r="M490" i="1" a="1"/>
  <c r="M490" i="1" s="1"/>
  <c r="H491" i="1" a="1"/>
  <c r="H491" i="1" s="1"/>
  <c r="L491" i="1" a="1"/>
  <c r="L491" i="1" s="1"/>
  <c r="Q491" i="1" a="1"/>
  <c r="Q491" i="1" s="1"/>
  <c r="S491" i="15" s="1"/>
  <c r="D492" i="1" a="1"/>
  <c r="D492" i="1" s="1"/>
  <c r="I492" i="15" s="1"/>
  <c r="H492" i="1" a="1"/>
  <c r="H492" i="1" s="1"/>
  <c r="L492" i="1" a="1"/>
  <c r="L492" i="1" s="1"/>
  <c r="Q492" i="1" a="1"/>
  <c r="Q492" i="1" s="1"/>
  <c r="S492" i="15" s="1"/>
  <c r="M493" i="1" a="1"/>
  <c r="M493" i="1" s="1"/>
  <c r="F494" i="1" a="1"/>
  <c r="F494" i="1" s="1"/>
  <c r="R494" i="15" s="1"/>
  <c r="J494" i="1" a="1"/>
  <c r="J494" i="1" s="1"/>
  <c r="O494" i="1"/>
  <c r="M494" i="15" s="1"/>
  <c r="N494" i="15" s="1" a="1"/>
  <c r="N494" i="15" s="1"/>
  <c r="C495" i="1" a="1"/>
  <c r="C495" i="1" s="1"/>
  <c r="E495" i="15" s="1"/>
  <c r="G495" i="1" a="1"/>
  <c r="G495" i="1" s="1"/>
  <c r="K495" i="1" a="1"/>
  <c r="K495" i="1" s="1"/>
  <c r="P495" i="1" a="1"/>
  <c r="P495" i="1" s="1"/>
  <c r="D496" i="1" a="1"/>
  <c r="D496" i="1" s="1"/>
  <c r="I496" i="15" s="1"/>
  <c r="H496" i="1" a="1"/>
  <c r="H496" i="1" s="1"/>
  <c r="L496" i="1" a="1"/>
  <c r="L496" i="1" s="1"/>
  <c r="Q496" i="1" a="1"/>
  <c r="Q496" i="1" s="1"/>
  <c r="S496" i="15" s="1"/>
  <c r="M497" i="1" a="1"/>
  <c r="M497" i="1" s="1"/>
  <c r="F498" i="1" a="1"/>
  <c r="F498" i="1" s="1"/>
  <c r="R498" i="15" s="1"/>
  <c r="J498" i="1" a="1"/>
  <c r="J498" i="1" s="1"/>
  <c r="O498" i="1"/>
  <c r="M498" i="15" s="1"/>
  <c r="N498" i="15" s="1" a="1"/>
  <c r="N498" i="15" s="1"/>
  <c r="C499" i="1" a="1"/>
  <c r="C499" i="1" s="1"/>
  <c r="E499" i="15" s="1"/>
  <c r="G499" i="1" a="1"/>
  <c r="G499" i="1" s="1"/>
  <c r="K499" i="1" a="1"/>
  <c r="K499" i="1" s="1"/>
  <c r="P499" i="1" a="1"/>
  <c r="P499" i="1" s="1"/>
  <c r="D500" i="1" a="1"/>
  <c r="D500" i="1" s="1"/>
  <c r="I500" i="15" s="1"/>
  <c r="H500" i="1" a="1"/>
  <c r="H500" i="1" s="1"/>
  <c r="L500" i="1" a="1"/>
  <c r="L500" i="1" s="1"/>
  <c r="Q500" i="1" a="1"/>
  <c r="Q500" i="1" s="1"/>
  <c r="S500" i="15" s="1"/>
  <c r="M501" i="1" a="1"/>
  <c r="M501" i="1" s="1"/>
  <c r="F502" i="1" a="1"/>
  <c r="F502" i="1" s="1"/>
  <c r="R502" i="15" s="1"/>
  <c r="J502" i="1" a="1"/>
  <c r="J502" i="1" s="1"/>
  <c r="O502" i="1"/>
  <c r="M502" i="15" s="1"/>
  <c r="N502" i="15" s="1" a="1"/>
  <c r="N502" i="15" s="1"/>
  <c r="C503" i="1" a="1"/>
  <c r="C503" i="1" s="1"/>
  <c r="E503" i="15" s="1"/>
  <c r="G503" i="1" a="1"/>
  <c r="G503" i="1" s="1"/>
  <c r="K503" i="1" a="1"/>
  <c r="K503" i="1" s="1"/>
  <c r="P503" i="1" a="1"/>
  <c r="P503" i="1" s="1"/>
  <c r="D504" i="1" a="1"/>
  <c r="D504" i="1" s="1"/>
  <c r="I504" i="15" s="1"/>
  <c r="H504" i="1" a="1"/>
  <c r="H504" i="1" s="1"/>
  <c r="L504" i="1" a="1"/>
  <c r="L504" i="1" s="1"/>
  <c r="Q504" i="1" a="1"/>
  <c r="Q504" i="1" s="1"/>
  <c r="S504" i="15" s="1"/>
  <c r="M505" i="1" a="1"/>
  <c r="M505" i="1" s="1"/>
  <c r="F506" i="1" a="1"/>
  <c r="F506" i="1" s="1"/>
  <c r="R506" i="15" s="1"/>
  <c r="J506" i="1" a="1"/>
  <c r="J506" i="1" s="1"/>
  <c r="O506" i="1"/>
  <c r="M506" i="15" s="1"/>
  <c r="N506" i="15" s="1" a="1"/>
  <c r="N506" i="15" s="1"/>
  <c r="C507" i="1" a="1"/>
  <c r="C507" i="1" s="1"/>
  <c r="E507" i="15" s="1"/>
  <c r="G507" i="1" a="1"/>
  <c r="G507" i="1" s="1"/>
  <c r="K507" i="1" a="1"/>
  <c r="K507" i="1" s="1"/>
  <c r="P507" i="1" a="1"/>
  <c r="P507" i="1" s="1"/>
  <c r="D508" i="1" a="1"/>
  <c r="D508" i="1" s="1"/>
  <c r="I508" i="15" s="1"/>
  <c r="H508" i="1" a="1"/>
  <c r="H508" i="1" s="1"/>
  <c r="L508" i="1" a="1"/>
  <c r="L508" i="1" s="1"/>
  <c r="Q508" i="1" a="1"/>
  <c r="Q508" i="1" s="1"/>
  <c r="S508" i="15" s="1"/>
  <c r="M509" i="1" a="1"/>
  <c r="M509" i="1" s="1"/>
  <c r="F510" i="1" a="1"/>
  <c r="F510" i="1" s="1"/>
  <c r="R510" i="15" s="1"/>
  <c r="J510" i="1" a="1"/>
  <c r="J510" i="1" s="1"/>
  <c r="O510" i="1"/>
  <c r="M510" i="15" s="1"/>
  <c r="N510" i="15" s="1" a="1"/>
  <c r="N510" i="15" s="1"/>
  <c r="C511" i="1" a="1"/>
  <c r="C511" i="1" s="1"/>
  <c r="E511" i="15" s="1"/>
  <c r="G511" i="1" a="1"/>
  <c r="G511" i="1" s="1"/>
  <c r="K511" i="1" a="1"/>
  <c r="K511" i="1" s="1"/>
  <c r="P511" i="1" a="1"/>
  <c r="P511" i="1" s="1"/>
  <c r="D512" i="1" a="1"/>
  <c r="D512" i="1" s="1"/>
  <c r="I512" i="15" s="1"/>
  <c r="H512" i="1" a="1"/>
  <c r="H512" i="1" s="1"/>
  <c r="L512" i="1" a="1"/>
  <c r="L512" i="1" s="1"/>
  <c r="Q512" i="1" a="1"/>
  <c r="Q512" i="1" s="1"/>
  <c r="S512" i="15" s="1"/>
  <c r="M513" i="1" a="1"/>
  <c r="M513" i="1" s="1"/>
  <c r="F514" i="1" a="1"/>
  <c r="F514" i="1" s="1"/>
  <c r="R514" i="15" s="1"/>
  <c r="J514" i="1" a="1"/>
  <c r="J514" i="1" s="1"/>
  <c r="O514" i="1"/>
  <c r="M514" i="15" s="1"/>
  <c r="N514" i="15" s="1" a="1"/>
  <c r="N514" i="15" s="1"/>
  <c r="C515" i="1" a="1"/>
  <c r="C515" i="1" s="1"/>
  <c r="E515" i="15" s="1"/>
  <c r="G515" i="1" a="1"/>
  <c r="G515" i="1" s="1"/>
  <c r="K515" i="1" a="1"/>
  <c r="K515" i="1" s="1"/>
  <c r="P515" i="1" a="1"/>
  <c r="P515" i="1" s="1"/>
  <c r="D516" i="1" a="1"/>
  <c r="D516" i="1" s="1"/>
  <c r="I516" i="15" s="1"/>
  <c r="H516" i="1" a="1"/>
  <c r="H516" i="1" s="1"/>
  <c r="L516" i="1" a="1"/>
  <c r="L516" i="1" s="1"/>
  <c r="Q516" i="1" a="1"/>
  <c r="Q516" i="1" s="1"/>
  <c r="S516" i="15" s="1"/>
  <c r="M517" i="1" a="1"/>
  <c r="M517" i="1" s="1"/>
  <c r="F518" i="1" a="1"/>
  <c r="F518" i="1" s="1"/>
  <c r="R518" i="15" s="1"/>
  <c r="J518" i="1" a="1"/>
  <c r="J518" i="1" s="1"/>
  <c r="O518" i="1"/>
  <c r="M518" i="15" s="1"/>
  <c r="N518" i="15" s="1" a="1"/>
  <c r="N518" i="15" s="1"/>
  <c r="C519" i="1" a="1"/>
  <c r="C519" i="1" s="1"/>
  <c r="E519" i="15" s="1"/>
  <c r="G519" i="1" a="1"/>
  <c r="G519" i="1" s="1"/>
  <c r="K519" i="1" a="1"/>
  <c r="K519" i="1" s="1"/>
  <c r="P519" i="1" a="1"/>
  <c r="P519" i="1" s="1"/>
  <c r="D520" i="1" a="1"/>
  <c r="D520" i="1" s="1"/>
  <c r="I520" i="15" s="1"/>
  <c r="H520" i="1" a="1"/>
  <c r="H520" i="1" s="1"/>
  <c r="L520" i="1" a="1"/>
  <c r="L520" i="1" s="1"/>
  <c r="Q520" i="1" a="1"/>
  <c r="Q520" i="1" s="1"/>
  <c r="S520" i="15" s="1"/>
  <c r="M521" i="1" a="1"/>
  <c r="M521" i="1" s="1"/>
  <c r="F522" i="1" a="1"/>
  <c r="F522" i="1" s="1"/>
  <c r="R522" i="15" s="1"/>
  <c r="J522" i="1" a="1"/>
  <c r="J522" i="1" s="1"/>
  <c r="O522" i="1"/>
  <c r="M522" i="15" s="1"/>
  <c r="N522" i="15" s="1" a="1"/>
  <c r="N522" i="15" s="1"/>
  <c r="C523" i="1" a="1"/>
  <c r="C523" i="1" s="1"/>
  <c r="E523" i="15" s="1"/>
  <c r="G523" i="1" a="1"/>
  <c r="G523" i="1" s="1"/>
  <c r="K523" i="1" a="1"/>
  <c r="K523" i="1" s="1"/>
  <c r="P523" i="1" a="1"/>
  <c r="P523" i="1" s="1"/>
  <c r="D524" i="1" a="1"/>
  <c r="D524" i="1" s="1"/>
  <c r="I524" i="15" s="1"/>
  <c r="H524" i="1" a="1"/>
  <c r="H524" i="1" s="1"/>
  <c r="L524" i="1" a="1"/>
  <c r="L524" i="1" s="1"/>
  <c r="Q524" i="1" a="1"/>
  <c r="Q524" i="1" s="1"/>
  <c r="S524" i="15" s="1"/>
  <c r="M525" i="1" a="1"/>
  <c r="M525" i="1" s="1"/>
  <c r="F526" i="1" a="1"/>
  <c r="F526" i="1" s="1"/>
  <c r="R526" i="15" s="1"/>
  <c r="J526" i="1" a="1"/>
  <c r="J526" i="1" s="1"/>
  <c r="O526" i="1"/>
  <c r="M526" i="15" s="1"/>
  <c r="N526" i="15" s="1" a="1"/>
  <c r="N526" i="15" s="1"/>
  <c r="C527" i="1" a="1"/>
  <c r="C527" i="1" s="1"/>
  <c r="E527" i="15" s="1"/>
  <c r="G527" i="1" a="1"/>
  <c r="G527" i="1" s="1"/>
  <c r="K527" i="1" a="1"/>
  <c r="K527" i="1" s="1"/>
  <c r="P527" i="1" a="1"/>
  <c r="P527" i="1" s="1"/>
  <c r="D528" i="1" a="1"/>
  <c r="D528" i="1" s="1"/>
  <c r="I528" i="15" s="1"/>
  <c r="H528" i="1" a="1"/>
  <c r="H528" i="1" s="1"/>
  <c r="L528" i="1" a="1"/>
  <c r="L528" i="1" s="1"/>
  <c r="Q528" i="1" a="1"/>
  <c r="Q528" i="1" s="1"/>
  <c r="S528" i="15" s="1"/>
  <c r="M529" i="1" a="1"/>
  <c r="M529" i="1" s="1"/>
  <c r="F530" i="1" a="1"/>
  <c r="F530" i="1" s="1"/>
  <c r="R530" i="15" s="1"/>
  <c r="J530" i="1" a="1"/>
  <c r="J530" i="1" s="1"/>
  <c r="O530" i="1"/>
  <c r="M530" i="15" s="1"/>
  <c r="N530" i="15" s="1" a="1"/>
  <c r="N530" i="15" s="1"/>
  <c r="C531" i="1" a="1"/>
  <c r="C531" i="1" s="1"/>
  <c r="E531" i="15" s="1"/>
  <c r="G531" i="1" a="1"/>
  <c r="G531" i="1" s="1"/>
  <c r="K531" i="1" a="1"/>
  <c r="K531" i="1" s="1"/>
  <c r="P531" i="1" a="1"/>
  <c r="P531" i="1" s="1"/>
  <c r="D532" i="1" a="1"/>
  <c r="D532" i="1" s="1"/>
  <c r="I532" i="15" s="1"/>
  <c r="H532" i="1" a="1"/>
  <c r="H532" i="1" s="1"/>
  <c r="L532" i="1" a="1"/>
  <c r="L532" i="1" s="1"/>
  <c r="Q532" i="1" a="1"/>
  <c r="Q532" i="1" s="1"/>
  <c r="S532" i="15" s="1"/>
  <c r="M533" i="1" a="1"/>
  <c r="M533" i="1" s="1"/>
  <c r="F534" i="1" a="1"/>
  <c r="F534" i="1" s="1"/>
  <c r="R534" i="15" s="1"/>
  <c r="J534" i="1" a="1"/>
  <c r="J534" i="1" s="1"/>
  <c r="O534" i="1"/>
  <c r="M534" i="15" s="1"/>
  <c r="N534" i="15" s="1" a="1"/>
  <c r="N534" i="15" s="1"/>
  <c r="C535" i="1" a="1"/>
  <c r="C535" i="1" s="1"/>
  <c r="E535" i="15" s="1"/>
  <c r="G535" i="1" a="1"/>
  <c r="G535" i="1" s="1"/>
  <c r="K535" i="1" a="1"/>
  <c r="K535" i="1" s="1"/>
  <c r="P535" i="1" a="1"/>
  <c r="P535" i="1" s="1"/>
  <c r="D536" i="1" a="1"/>
  <c r="D536" i="1" s="1"/>
  <c r="I536" i="15" s="1"/>
  <c r="H536" i="1" a="1"/>
  <c r="H536" i="1" s="1"/>
  <c r="L536" i="1" a="1"/>
  <c r="L536" i="1" s="1"/>
  <c r="Q536" i="1" a="1"/>
  <c r="Q536" i="1" s="1"/>
  <c r="S536" i="15" s="1"/>
  <c r="M537" i="1" a="1"/>
  <c r="M537" i="1" s="1"/>
  <c r="F538" i="1" a="1"/>
  <c r="F538" i="1" s="1"/>
  <c r="R538" i="15" s="1"/>
  <c r="J538" i="1" a="1"/>
  <c r="J538" i="1" s="1"/>
  <c r="O538" i="1"/>
  <c r="M538" i="15" s="1"/>
  <c r="N538" i="15" s="1" a="1"/>
  <c r="N538" i="15" s="1"/>
  <c r="C539" i="1" a="1"/>
  <c r="C539" i="1" s="1"/>
  <c r="E539" i="15" s="1"/>
  <c r="G539" i="1" a="1"/>
  <c r="G539" i="1" s="1"/>
  <c r="K539" i="1" a="1"/>
  <c r="K539" i="1" s="1"/>
  <c r="P539" i="1" a="1"/>
  <c r="P539" i="1" s="1"/>
  <c r="D540" i="1" a="1"/>
  <c r="D540" i="1" s="1"/>
  <c r="I540" i="15" s="1"/>
  <c r="H540" i="1" a="1"/>
  <c r="H540" i="1" s="1"/>
  <c r="L540" i="1" a="1"/>
  <c r="L540" i="1" s="1"/>
  <c r="Q540" i="1" a="1"/>
  <c r="Q540" i="1" s="1"/>
  <c r="S540" i="15" s="1"/>
  <c r="M541" i="1" a="1"/>
  <c r="M541" i="1" s="1"/>
  <c r="F542" i="1" a="1"/>
  <c r="F542" i="1" s="1"/>
  <c r="R542" i="15" s="1"/>
  <c r="J542" i="1" a="1"/>
  <c r="J542" i="1" s="1"/>
  <c r="O542" i="1"/>
  <c r="M542" i="15" s="1"/>
  <c r="N542" i="15" s="1" a="1"/>
  <c r="N542" i="15" s="1"/>
  <c r="C445" i="1" a="1"/>
  <c r="C445" i="1" s="1"/>
  <c r="E445" i="15" s="1"/>
  <c r="K445" i="1" a="1"/>
  <c r="K445" i="1" s="1"/>
  <c r="D446" i="1" a="1"/>
  <c r="D446" i="1" s="1"/>
  <c r="I446" i="15" s="1"/>
  <c r="Q446" i="1" a="1"/>
  <c r="Q446" i="1" s="1"/>
  <c r="S446" i="15" s="1"/>
  <c r="G447" i="1" a="1"/>
  <c r="G447" i="1" s="1"/>
  <c r="J447" i="15" s="1"/>
  <c r="P447" i="1" a="1"/>
  <c r="P447" i="1" s="1"/>
  <c r="F448" i="1" a="1"/>
  <c r="F448" i="1" s="1"/>
  <c r="R448" i="15" s="1"/>
  <c r="L448" i="1" a="1"/>
  <c r="L448" i="1" s="1"/>
  <c r="C449" i="1" a="1"/>
  <c r="C449" i="1" s="1"/>
  <c r="E449" i="15" s="1"/>
  <c r="J449" i="1" a="1"/>
  <c r="J449" i="1" s="1"/>
  <c r="P449" i="1" a="1"/>
  <c r="P449" i="1" s="1"/>
  <c r="O450" i="1"/>
  <c r="M450" i="15" s="1"/>
  <c r="N450" i="15" s="1" a="1"/>
  <c r="N450" i="15" s="1"/>
  <c r="C451" i="1" a="1"/>
  <c r="C451" i="1" s="1"/>
  <c r="E451" i="15" s="1"/>
  <c r="G451" i="1" a="1"/>
  <c r="G451" i="1" s="1"/>
  <c r="K451" i="1" a="1"/>
  <c r="K451" i="1" s="1"/>
  <c r="P451" i="1" a="1"/>
  <c r="P451" i="1" s="1"/>
  <c r="D452" i="1" a="1"/>
  <c r="D452" i="1" s="1"/>
  <c r="I452" i="15" s="1"/>
  <c r="H452" i="1" a="1"/>
  <c r="H452" i="1" s="1"/>
  <c r="L452" i="1" a="1"/>
  <c r="L452" i="1" s="1"/>
  <c r="Q452" i="1" a="1"/>
  <c r="Q452" i="1" s="1"/>
  <c r="S452" i="15" s="1"/>
  <c r="M453" i="1" a="1"/>
  <c r="M453" i="1" s="1"/>
  <c r="F454" i="1" a="1"/>
  <c r="F454" i="1" s="1"/>
  <c r="R454" i="15" s="1"/>
  <c r="J454" i="1" a="1"/>
  <c r="J454" i="1" s="1"/>
  <c r="O454" i="1"/>
  <c r="M454" i="15" s="1"/>
  <c r="N454" i="15" s="1" a="1"/>
  <c r="N454" i="15" s="1"/>
  <c r="C455" i="1" a="1"/>
  <c r="C455" i="1" s="1"/>
  <c r="E455" i="15" s="1"/>
  <c r="G455" i="1" a="1"/>
  <c r="G455" i="1" s="1"/>
  <c r="K455" i="1" a="1"/>
  <c r="K455" i="1" s="1"/>
  <c r="P455" i="1" a="1"/>
  <c r="P455" i="1" s="1"/>
  <c r="D456" i="1" a="1"/>
  <c r="D456" i="1" s="1"/>
  <c r="I456" i="15" s="1"/>
  <c r="H456" i="1" a="1"/>
  <c r="H456" i="1" s="1"/>
  <c r="L456" i="1" a="1"/>
  <c r="L456" i="1" s="1"/>
  <c r="Q456" i="1" a="1"/>
  <c r="Q456" i="1" s="1"/>
  <c r="S456" i="15" s="1"/>
  <c r="M457" i="1" a="1"/>
  <c r="M457" i="1" s="1"/>
  <c r="F458" i="1" a="1"/>
  <c r="F458" i="1" s="1"/>
  <c r="R458" i="15" s="1"/>
  <c r="J458" i="1" a="1"/>
  <c r="J458" i="1" s="1"/>
  <c r="O458" i="1"/>
  <c r="M458" i="15" s="1"/>
  <c r="N458" i="15" s="1" a="1"/>
  <c r="N458" i="15" s="1"/>
  <c r="C459" i="1" a="1"/>
  <c r="C459" i="1" s="1"/>
  <c r="E459" i="15" s="1"/>
  <c r="G459" i="1" a="1"/>
  <c r="G459" i="1" s="1"/>
  <c r="K459" i="1" a="1"/>
  <c r="K459" i="1" s="1"/>
  <c r="P459" i="1" a="1"/>
  <c r="P459" i="1" s="1"/>
  <c r="D460" i="1" a="1"/>
  <c r="D460" i="1" s="1"/>
  <c r="I460" i="15" s="1"/>
  <c r="H460" i="1" a="1"/>
  <c r="H460" i="1" s="1"/>
  <c r="L460" i="1" a="1"/>
  <c r="L460" i="1" s="1"/>
  <c r="Q460" i="1" a="1"/>
  <c r="Q460" i="1" s="1"/>
  <c r="S460" i="15" s="1"/>
  <c r="M461" i="1" a="1"/>
  <c r="M461" i="1" s="1"/>
  <c r="F462" i="1" a="1"/>
  <c r="F462" i="1" s="1"/>
  <c r="R462" i="15" s="1"/>
  <c r="J462" i="1" a="1"/>
  <c r="J462" i="1" s="1"/>
  <c r="O462" i="1"/>
  <c r="M462" i="15" s="1"/>
  <c r="N462" i="15" s="1" a="1"/>
  <c r="N462" i="15" s="1"/>
  <c r="C463" i="1" a="1"/>
  <c r="C463" i="1" s="1"/>
  <c r="E463" i="15" s="1"/>
  <c r="G463" i="1" a="1"/>
  <c r="G463" i="1" s="1"/>
  <c r="K463" i="1" a="1"/>
  <c r="K463" i="1" s="1"/>
  <c r="P463" i="1" a="1"/>
  <c r="P463" i="1" s="1"/>
  <c r="D464" i="1" a="1"/>
  <c r="D464" i="1" s="1"/>
  <c r="I464" i="15" s="1"/>
  <c r="H464" i="1" a="1"/>
  <c r="H464" i="1" s="1"/>
  <c r="L464" i="1" a="1"/>
  <c r="L464" i="1" s="1"/>
  <c r="Q464" i="1" a="1"/>
  <c r="Q464" i="1" s="1"/>
  <c r="S464" i="15" s="1"/>
  <c r="M465" i="1" a="1"/>
  <c r="M465" i="1" s="1"/>
  <c r="F466" i="1" a="1"/>
  <c r="F466" i="1" s="1"/>
  <c r="R466" i="15" s="1"/>
  <c r="J466" i="1" a="1"/>
  <c r="J466" i="1" s="1"/>
  <c r="O466" i="1"/>
  <c r="M466" i="15" s="1"/>
  <c r="N466" i="15" s="1" a="1"/>
  <c r="N466" i="15" s="1"/>
  <c r="C467" i="1" a="1"/>
  <c r="C467" i="1" s="1"/>
  <c r="E467" i="15" s="1"/>
  <c r="G467" i="1" a="1"/>
  <c r="G467" i="1" s="1"/>
  <c r="K467" i="1" a="1"/>
  <c r="K467" i="1" s="1"/>
  <c r="P467" i="1" a="1"/>
  <c r="P467" i="1" s="1"/>
  <c r="D468" i="1" a="1"/>
  <c r="D468" i="1" s="1"/>
  <c r="I468" i="15" s="1"/>
  <c r="H468" i="1" a="1"/>
  <c r="H468" i="1" s="1"/>
  <c r="L468" i="1" a="1"/>
  <c r="L468" i="1" s="1"/>
  <c r="Q468" i="1" a="1"/>
  <c r="Q468" i="1" s="1"/>
  <c r="S468" i="15" s="1"/>
  <c r="M469" i="1" a="1"/>
  <c r="M469" i="1" s="1"/>
  <c r="F470" i="1" a="1"/>
  <c r="F470" i="1" s="1"/>
  <c r="R470" i="15" s="1"/>
  <c r="J470" i="1" a="1"/>
  <c r="J470" i="1" s="1"/>
  <c r="O470" i="1"/>
  <c r="M470" i="15" s="1"/>
  <c r="N470" i="15" s="1" a="1"/>
  <c r="N470" i="15" s="1"/>
  <c r="C471" i="1" a="1"/>
  <c r="C471" i="1" s="1"/>
  <c r="E471" i="15" s="1"/>
  <c r="G471" i="1" a="1"/>
  <c r="G471" i="1" s="1"/>
  <c r="K471" i="1" a="1"/>
  <c r="K471" i="1" s="1"/>
  <c r="P471" i="1" a="1"/>
  <c r="P471" i="1" s="1"/>
  <c r="D472" i="1" a="1"/>
  <c r="D472" i="1" s="1"/>
  <c r="I472" i="15" s="1"/>
  <c r="H472" i="1" a="1"/>
  <c r="H472" i="1" s="1"/>
  <c r="L472" i="1" a="1"/>
  <c r="L472" i="1" s="1"/>
  <c r="Q472" i="1" a="1"/>
  <c r="Q472" i="1" s="1"/>
  <c r="S472" i="15" s="1"/>
  <c r="M473" i="1" a="1"/>
  <c r="M473" i="1" s="1"/>
  <c r="F474" i="1" a="1"/>
  <c r="F474" i="1" s="1"/>
  <c r="R474" i="15" s="1"/>
  <c r="J474" i="1" a="1"/>
  <c r="J474" i="1" s="1"/>
  <c r="O474" i="1"/>
  <c r="M474" i="15" s="1"/>
  <c r="N474" i="15" s="1" a="1"/>
  <c r="N474" i="15" s="1"/>
  <c r="C475" i="1" a="1"/>
  <c r="C475" i="1" s="1"/>
  <c r="E475" i="15" s="1"/>
  <c r="G475" i="1" a="1"/>
  <c r="G475" i="1" s="1"/>
  <c r="K475" i="1" a="1"/>
  <c r="K475" i="1" s="1"/>
  <c r="P475" i="1" a="1"/>
  <c r="P475" i="1" s="1"/>
  <c r="D476" i="1" a="1"/>
  <c r="D476" i="1" s="1"/>
  <c r="I476" i="15" s="1"/>
  <c r="H476" i="1" a="1"/>
  <c r="H476" i="1" s="1"/>
  <c r="L476" i="1" a="1"/>
  <c r="L476" i="1" s="1"/>
  <c r="Q476" i="1" a="1"/>
  <c r="Q476" i="1" s="1"/>
  <c r="S476" i="15" s="1"/>
  <c r="M477" i="1" a="1"/>
  <c r="M477" i="1" s="1"/>
  <c r="F478" i="1" a="1"/>
  <c r="F478" i="1" s="1"/>
  <c r="R478" i="15" s="1"/>
  <c r="J478" i="1" a="1"/>
  <c r="J478" i="1" s="1"/>
  <c r="O478" i="1"/>
  <c r="M478" i="15" s="1"/>
  <c r="N478" i="15" s="1" a="1"/>
  <c r="N478" i="15" s="1"/>
  <c r="C479" i="1" a="1"/>
  <c r="C479" i="1" s="1"/>
  <c r="E479" i="15" s="1"/>
  <c r="G479" i="1" a="1"/>
  <c r="G479" i="1" s="1"/>
  <c r="K479" i="1" a="1"/>
  <c r="K479" i="1" s="1"/>
  <c r="P479" i="1" a="1"/>
  <c r="P479" i="1" s="1"/>
  <c r="D480" i="1" a="1"/>
  <c r="D480" i="1" s="1"/>
  <c r="I480" i="15" s="1"/>
  <c r="H480" i="1" a="1"/>
  <c r="H480" i="1" s="1"/>
  <c r="L480" i="1" a="1"/>
  <c r="L480" i="1" s="1"/>
  <c r="Q480" i="1" a="1"/>
  <c r="Q480" i="1" s="1"/>
  <c r="S480" i="15" s="1"/>
  <c r="M481" i="1" a="1"/>
  <c r="M481" i="1" s="1"/>
  <c r="F482" i="1" a="1"/>
  <c r="F482" i="1" s="1"/>
  <c r="R482" i="15" s="1"/>
  <c r="J482" i="1" a="1"/>
  <c r="J482" i="1" s="1"/>
  <c r="O482" i="1"/>
  <c r="M482" i="15" s="1"/>
  <c r="N482" i="15" s="1" a="1"/>
  <c r="N482" i="15" s="1"/>
  <c r="C483" i="1" a="1"/>
  <c r="C483" i="1" s="1"/>
  <c r="E483" i="15" s="1"/>
  <c r="G483" i="1" a="1"/>
  <c r="G483" i="1" s="1"/>
  <c r="K483" i="1" a="1"/>
  <c r="K483" i="1" s="1"/>
  <c r="P483" i="1" a="1"/>
  <c r="P483" i="1" s="1"/>
  <c r="D484" i="1" a="1"/>
  <c r="D484" i="1" s="1"/>
  <c r="I484" i="15" s="1"/>
  <c r="K484" i="1" a="1"/>
  <c r="K484" i="1" s="1"/>
  <c r="P484" i="1" a="1"/>
  <c r="P484" i="1" s="1"/>
  <c r="C485" i="1" a="1"/>
  <c r="C485" i="1" s="1"/>
  <c r="E485" i="15" s="1"/>
  <c r="G485" i="1" a="1"/>
  <c r="G485" i="1" s="1"/>
  <c r="K485" i="1" a="1"/>
  <c r="K485" i="1" s="1"/>
  <c r="P485" i="1" a="1"/>
  <c r="P485" i="1" s="1"/>
  <c r="D486" i="1" a="1"/>
  <c r="D486" i="1" s="1"/>
  <c r="I486" i="15" s="1"/>
  <c r="K486" i="1" a="1"/>
  <c r="K486" i="1" s="1"/>
  <c r="P486" i="1" a="1"/>
  <c r="P486" i="1" s="1"/>
  <c r="C487" i="1" a="1"/>
  <c r="C487" i="1" s="1"/>
  <c r="E487" i="15" s="1"/>
  <c r="G487" i="1" a="1"/>
  <c r="G487" i="1" s="1"/>
  <c r="K487" i="1" a="1"/>
  <c r="K487" i="1" s="1"/>
  <c r="P487" i="1" a="1"/>
  <c r="P487" i="1" s="1"/>
  <c r="D488" i="1" a="1"/>
  <c r="D488" i="1" s="1"/>
  <c r="I488" i="15" s="1"/>
  <c r="K488" i="1" a="1"/>
  <c r="K488" i="1" s="1"/>
  <c r="P488" i="1" a="1"/>
  <c r="P488" i="1" s="1"/>
  <c r="C489" i="1" a="1"/>
  <c r="C489" i="1" s="1"/>
  <c r="E489" i="15" s="1"/>
  <c r="G489" i="1" a="1"/>
  <c r="G489" i="1" s="1"/>
  <c r="K489" i="1" a="1"/>
  <c r="K489" i="1" s="1"/>
  <c r="P489" i="1" a="1"/>
  <c r="P489" i="1" s="1"/>
  <c r="C490" i="1" a="1"/>
  <c r="C490" i="1" s="1"/>
  <c r="E490" i="15" s="1"/>
  <c r="G490" i="1" a="1"/>
  <c r="G490" i="1" s="1"/>
  <c r="J490" i="1" a="1"/>
  <c r="J490" i="1" s="1"/>
  <c r="O490" i="1"/>
  <c r="M490" i="15" s="1"/>
  <c r="N490" i="15" s="1" a="1"/>
  <c r="N490" i="15" s="1"/>
  <c r="F491" i="1" a="1"/>
  <c r="F491" i="1" s="1"/>
  <c r="R491" i="15" s="1"/>
  <c r="M491" i="1" a="1"/>
  <c r="M491" i="1" s="1"/>
  <c r="M492" i="1" a="1"/>
  <c r="M492" i="1" s="1"/>
  <c r="F493" i="1" a="1"/>
  <c r="F493" i="1" s="1"/>
  <c r="R493" i="15" s="1"/>
  <c r="J493" i="1" a="1"/>
  <c r="J493" i="1" s="1"/>
  <c r="O493" i="1"/>
  <c r="M493" i="15" s="1"/>
  <c r="N493" i="15" s="1" a="1"/>
  <c r="N493" i="15" s="1"/>
  <c r="C494" i="1" a="1"/>
  <c r="C494" i="1" s="1"/>
  <c r="E494" i="15" s="1"/>
  <c r="G494" i="1" a="1"/>
  <c r="G494" i="1" s="1"/>
  <c r="K494" i="1" a="1"/>
  <c r="K494" i="1" s="1"/>
  <c r="P494" i="1" a="1"/>
  <c r="P494" i="1" s="1"/>
  <c r="D495" i="1" a="1"/>
  <c r="D495" i="1" s="1"/>
  <c r="I495" i="15" s="1"/>
  <c r="H495" i="1" a="1"/>
  <c r="H495" i="1" s="1"/>
  <c r="L495" i="1" a="1"/>
  <c r="L495" i="1" s="1"/>
  <c r="Q495" i="1" a="1"/>
  <c r="Q495" i="1" s="1"/>
  <c r="S495" i="15" s="1"/>
  <c r="M496" i="1" a="1"/>
  <c r="M496" i="1" s="1"/>
  <c r="F497" i="1" a="1"/>
  <c r="F497" i="1" s="1"/>
  <c r="R497" i="15" s="1"/>
  <c r="J497" i="1" a="1"/>
  <c r="J497" i="1" s="1"/>
  <c r="O497" i="1"/>
  <c r="M497" i="15" s="1"/>
  <c r="N497" i="15" s="1" a="1"/>
  <c r="N497" i="15" s="1"/>
  <c r="C498" i="1" a="1"/>
  <c r="C498" i="1" s="1"/>
  <c r="E498" i="15" s="1"/>
  <c r="G498" i="1" a="1"/>
  <c r="G498" i="1" s="1"/>
  <c r="K498" i="1" a="1"/>
  <c r="K498" i="1" s="1"/>
  <c r="P498" i="1" a="1"/>
  <c r="P498" i="1" s="1"/>
  <c r="D499" i="1" a="1"/>
  <c r="D499" i="1" s="1"/>
  <c r="I499" i="15" s="1"/>
  <c r="H499" i="1" a="1"/>
  <c r="H499" i="1" s="1"/>
  <c r="L499" i="1" a="1"/>
  <c r="L499" i="1" s="1"/>
  <c r="Q499" i="1" a="1"/>
  <c r="Q499" i="1" s="1"/>
  <c r="S499" i="15" s="1"/>
  <c r="M500" i="1" a="1"/>
  <c r="M500" i="1" s="1"/>
  <c r="F501" i="1" a="1"/>
  <c r="F501" i="1" s="1"/>
  <c r="R501" i="15" s="1"/>
  <c r="J501" i="1" a="1"/>
  <c r="J501" i="1" s="1"/>
  <c r="O501" i="1"/>
  <c r="M501" i="15" s="1"/>
  <c r="N501" i="15" s="1" a="1"/>
  <c r="N501" i="15" s="1"/>
  <c r="C502" i="1" a="1"/>
  <c r="C502" i="1" s="1"/>
  <c r="E502" i="15" s="1"/>
  <c r="G502" i="1" a="1"/>
  <c r="G502" i="1" s="1"/>
  <c r="K502" i="1" a="1"/>
  <c r="K502" i="1" s="1"/>
  <c r="P502" i="1" a="1"/>
  <c r="P502" i="1" s="1"/>
  <c r="D503" i="1" a="1"/>
  <c r="D503" i="1" s="1"/>
  <c r="I503" i="15" s="1"/>
  <c r="H503" i="1" a="1"/>
  <c r="H503" i="1" s="1"/>
  <c r="L503" i="1" a="1"/>
  <c r="L503" i="1" s="1"/>
  <c r="Q503" i="1" a="1"/>
  <c r="Q503" i="1" s="1"/>
  <c r="S503" i="15" s="1"/>
  <c r="M504" i="1" a="1"/>
  <c r="M504" i="1" s="1"/>
  <c r="F505" i="1" a="1"/>
  <c r="F505" i="1" s="1"/>
  <c r="R505" i="15" s="1"/>
  <c r="J505" i="1" a="1"/>
  <c r="J505" i="1" s="1"/>
  <c r="O505" i="1"/>
  <c r="M505" i="15" s="1"/>
  <c r="N505" i="15" s="1" a="1"/>
  <c r="N505" i="15" s="1"/>
  <c r="C506" i="1" a="1"/>
  <c r="C506" i="1" s="1"/>
  <c r="E506" i="15" s="1"/>
  <c r="G506" i="1" a="1"/>
  <c r="G506" i="1" s="1"/>
  <c r="K506" i="1" a="1"/>
  <c r="K506" i="1" s="1"/>
  <c r="P506" i="1" a="1"/>
  <c r="P506" i="1" s="1"/>
  <c r="D507" i="1" a="1"/>
  <c r="D507" i="1" s="1"/>
  <c r="I507" i="15" s="1"/>
  <c r="H507" i="1" a="1"/>
  <c r="H507" i="1" s="1"/>
  <c r="L507" i="1" a="1"/>
  <c r="L507" i="1" s="1"/>
  <c r="Q507" i="1" a="1"/>
  <c r="Q507" i="1" s="1"/>
  <c r="S507" i="15" s="1"/>
  <c r="M508" i="1" a="1"/>
  <c r="M508" i="1" s="1"/>
  <c r="F509" i="1" a="1"/>
  <c r="F509" i="1" s="1"/>
  <c r="R509" i="15" s="1"/>
  <c r="J509" i="1" a="1"/>
  <c r="J509" i="1" s="1"/>
  <c r="O509" i="1"/>
  <c r="M509" i="15" s="1"/>
  <c r="N509" i="15" s="1" a="1"/>
  <c r="N509" i="15" s="1"/>
  <c r="C510" i="1" a="1"/>
  <c r="C510" i="1" s="1"/>
  <c r="E510" i="15" s="1"/>
  <c r="G510" i="1" a="1"/>
  <c r="G510" i="1" s="1"/>
  <c r="K510" i="1" a="1"/>
  <c r="K510" i="1" s="1"/>
  <c r="P510" i="1" a="1"/>
  <c r="P510" i="1" s="1"/>
  <c r="D511" i="1" a="1"/>
  <c r="D511" i="1" s="1"/>
  <c r="I511" i="15" s="1"/>
  <c r="H511" i="1" a="1"/>
  <c r="H511" i="1" s="1"/>
  <c r="L511" i="1" a="1"/>
  <c r="L511" i="1" s="1"/>
  <c r="Q511" i="1" a="1"/>
  <c r="Q511" i="1" s="1"/>
  <c r="S511" i="15" s="1"/>
  <c r="M512" i="1" a="1"/>
  <c r="M512" i="1" s="1"/>
  <c r="F513" i="1" a="1"/>
  <c r="F513" i="1" s="1"/>
  <c r="R513" i="15" s="1"/>
  <c r="J513" i="1" a="1"/>
  <c r="J513" i="1" s="1"/>
  <c r="O513" i="1"/>
  <c r="M513" i="15" s="1"/>
  <c r="N513" i="15" s="1" a="1"/>
  <c r="N513" i="15" s="1"/>
  <c r="C514" i="1" a="1"/>
  <c r="C514" i="1" s="1"/>
  <c r="E514" i="15" s="1"/>
  <c r="G514" i="1" a="1"/>
  <c r="G514" i="1" s="1"/>
  <c r="K514" i="1" a="1"/>
  <c r="K514" i="1" s="1"/>
  <c r="P514" i="1" a="1"/>
  <c r="P514" i="1" s="1"/>
  <c r="D515" i="1" a="1"/>
  <c r="D515" i="1" s="1"/>
  <c r="I515" i="15" s="1"/>
  <c r="H515" i="1" a="1"/>
  <c r="H515" i="1" s="1"/>
  <c r="L515" i="1" a="1"/>
  <c r="L515" i="1" s="1"/>
  <c r="Q515" i="1" a="1"/>
  <c r="Q515" i="1" s="1"/>
  <c r="S515" i="15" s="1"/>
  <c r="M516" i="1" a="1"/>
  <c r="M516" i="1" s="1"/>
  <c r="F517" i="1" a="1"/>
  <c r="F517" i="1" s="1"/>
  <c r="R517" i="15" s="1"/>
  <c r="J517" i="1" a="1"/>
  <c r="J517" i="1" s="1"/>
  <c r="O517" i="1"/>
  <c r="M517" i="15" s="1"/>
  <c r="N517" i="15" s="1" a="1"/>
  <c r="N517" i="15" s="1"/>
  <c r="C518" i="1" a="1"/>
  <c r="C518" i="1" s="1"/>
  <c r="E518" i="15" s="1"/>
  <c r="G518" i="1" a="1"/>
  <c r="G518" i="1" s="1"/>
  <c r="K518" i="1" a="1"/>
  <c r="K518" i="1" s="1"/>
  <c r="P518" i="1" a="1"/>
  <c r="P518" i="1" s="1"/>
  <c r="D519" i="1" a="1"/>
  <c r="D519" i="1" s="1"/>
  <c r="I519" i="15" s="1"/>
  <c r="H519" i="1" a="1"/>
  <c r="H519" i="1" s="1"/>
  <c r="L519" i="1" a="1"/>
  <c r="L519" i="1" s="1"/>
  <c r="Q519" i="1" a="1"/>
  <c r="Q519" i="1" s="1"/>
  <c r="S519" i="15" s="1"/>
  <c r="M520" i="1" a="1"/>
  <c r="M520" i="1" s="1"/>
  <c r="F521" i="1" a="1"/>
  <c r="F521" i="1" s="1"/>
  <c r="R521" i="15" s="1"/>
  <c r="J521" i="1" a="1"/>
  <c r="J521" i="1" s="1"/>
  <c r="O521" i="1"/>
  <c r="M521" i="15" s="1"/>
  <c r="N521" i="15" s="1" a="1"/>
  <c r="N521" i="15" s="1"/>
  <c r="C522" i="1" a="1"/>
  <c r="C522" i="1" s="1"/>
  <c r="E522" i="15" s="1"/>
  <c r="G522" i="1" a="1"/>
  <c r="G522" i="1" s="1"/>
  <c r="K522" i="1" a="1"/>
  <c r="K522" i="1" s="1"/>
  <c r="P522" i="1" a="1"/>
  <c r="P522" i="1" s="1"/>
  <c r="D523" i="1" a="1"/>
  <c r="D523" i="1" s="1"/>
  <c r="I523" i="15" s="1"/>
  <c r="H523" i="1" a="1"/>
  <c r="H523" i="1" s="1"/>
  <c r="L523" i="1" a="1"/>
  <c r="L523" i="1" s="1"/>
  <c r="Q523" i="1" a="1"/>
  <c r="Q523" i="1" s="1"/>
  <c r="S523" i="15" s="1"/>
  <c r="M524" i="1" a="1"/>
  <c r="M524" i="1" s="1"/>
  <c r="F525" i="1" a="1"/>
  <c r="F525" i="1" s="1"/>
  <c r="R525" i="15" s="1"/>
  <c r="J525" i="1" a="1"/>
  <c r="J525" i="1" s="1"/>
  <c r="O525" i="1"/>
  <c r="M525" i="15" s="1"/>
  <c r="N525" i="15" s="1" a="1"/>
  <c r="N525" i="15" s="1"/>
  <c r="C526" i="1" a="1"/>
  <c r="C526" i="1" s="1"/>
  <c r="E526" i="15" s="1"/>
  <c r="G526" i="1" a="1"/>
  <c r="G526" i="1" s="1"/>
  <c r="K526" i="1" a="1"/>
  <c r="K526" i="1" s="1"/>
  <c r="P526" i="1" a="1"/>
  <c r="P526" i="1" s="1"/>
  <c r="D527" i="1" a="1"/>
  <c r="D527" i="1" s="1"/>
  <c r="I527" i="15" s="1"/>
  <c r="H527" i="1" a="1"/>
  <c r="H527" i="1" s="1"/>
  <c r="L527" i="1" a="1"/>
  <c r="L527" i="1" s="1"/>
  <c r="Q527" i="1" a="1"/>
  <c r="Q527" i="1" s="1"/>
  <c r="S527" i="15" s="1"/>
  <c r="M528" i="1" a="1"/>
  <c r="M528" i="1" s="1"/>
  <c r="F529" i="1" a="1"/>
  <c r="F529" i="1" s="1"/>
  <c r="R529" i="15" s="1"/>
  <c r="J529" i="1" a="1"/>
  <c r="J529" i="1" s="1"/>
  <c r="O529" i="1"/>
  <c r="M529" i="15" s="1"/>
  <c r="N529" i="15" s="1" a="1"/>
  <c r="N529" i="15" s="1"/>
  <c r="C530" i="1" a="1"/>
  <c r="C530" i="1" s="1"/>
  <c r="E530" i="15" s="1"/>
  <c r="G530" i="1" a="1"/>
  <c r="G530" i="1" s="1"/>
  <c r="K530" i="1" a="1"/>
  <c r="K530" i="1" s="1"/>
  <c r="P530" i="1" a="1"/>
  <c r="P530" i="1" s="1"/>
  <c r="D531" i="1" a="1"/>
  <c r="D531" i="1" s="1"/>
  <c r="I531" i="15" s="1"/>
  <c r="H531" i="1" a="1"/>
  <c r="H531" i="1" s="1"/>
  <c r="L531" i="1" a="1"/>
  <c r="L531" i="1" s="1"/>
  <c r="Q531" i="1" a="1"/>
  <c r="Q531" i="1" s="1"/>
  <c r="S531" i="15" s="1"/>
  <c r="M532" i="1" a="1"/>
  <c r="M532" i="1" s="1"/>
  <c r="F533" i="1" a="1"/>
  <c r="F533" i="1" s="1"/>
  <c r="R533" i="15" s="1"/>
  <c r="J533" i="1" a="1"/>
  <c r="J533" i="1" s="1"/>
  <c r="O533" i="1"/>
  <c r="M533" i="15" s="1"/>
  <c r="N533" i="15" s="1" a="1"/>
  <c r="N533" i="15" s="1"/>
  <c r="C534" i="1" a="1"/>
  <c r="C534" i="1" s="1"/>
  <c r="E534" i="15" s="1"/>
  <c r="G534" i="1" a="1"/>
  <c r="G534" i="1" s="1"/>
  <c r="K534" i="1" a="1"/>
  <c r="K534" i="1" s="1"/>
  <c r="P534" i="1" a="1"/>
  <c r="P534" i="1" s="1"/>
  <c r="D535" i="1" a="1"/>
  <c r="D535" i="1" s="1"/>
  <c r="I535" i="15" s="1"/>
  <c r="H535" i="1" a="1"/>
  <c r="H535" i="1" s="1"/>
  <c r="L535" i="1" a="1"/>
  <c r="L535" i="1" s="1"/>
  <c r="Q535" i="1" a="1"/>
  <c r="Q535" i="1" s="1"/>
  <c r="S535" i="15" s="1"/>
  <c r="M536" i="1" a="1"/>
  <c r="M536" i="1" s="1"/>
  <c r="F537" i="1" a="1"/>
  <c r="F537" i="1" s="1"/>
  <c r="R537" i="15" s="1"/>
  <c r="J537" i="1" a="1"/>
  <c r="J537" i="1" s="1"/>
  <c r="O537" i="1"/>
  <c r="M537" i="15" s="1"/>
  <c r="N537" i="15" s="1" a="1"/>
  <c r="N537" i="15" s="1"/>
  <c r="C538" i="1" a="1"/>
  <c r="C538" i="1" s="1"/>
  <c r="E538" i="15" s="1"/>
  <c r="G538" i="1" a="1"/>
  <c r="G538" i="1" s="1"/>
  <c r="K538" i="1" a="1"/>
  <c r="K538" i="1" s="1"/>
  <c r="P538" i="1" a="1"/>
  <c r="P538" i="1" s="1"/>
  <c r="D539" i="1" a="1"/>
  <c r="D539" i="1" s="1"/>
  <c r="I539" i="15" s="1"/>
  <c r="H539" i="1" a="1"/>
  <c r="H539" i="1" s="1"/>
  <c r="L539" i="1" a="1"/>
  <c r="L539" i="1" s="1"/>
  <c r="Q539" i="1" a="1"/>
  <c r="Q539" i="1" s="1"/>
  <c r="S539" i="15" s="1"/>
  <c r="M540" i="1" a="1"/>
  <c r="M540" i="1" s="1"/>
  <c r="F541" i="1" a="1"/>
  <c r="F541" i="1" s="1"/>
  <c r="R541" i="15" s="1"/>
  <c r="J541" i="1" a="1"/>
  <c r="J541" i="1" s="1"/>
  <c r="O541" i="1"/>
  <c r="M541" i="15" s="1"/>
  <c r="N541" i="15" s="1" a="1"/>
  <c r="N541" i="15" s="1"/>
  <c r="C542" i="1" a="1"/>
  <c r="C542" i="1" s="1"/>
  <c r="E542" i="15" s="1"/>
  <c r="G542" i="1" a="1"/>
  <c r="G542" i="1" s="1"/>
  <c r="K542" i="1" a="1"/>
  <c r="K542" i="1" s="1"/>
  <c r="P542" i="1" a="1"/>
  <c r="P542" i="1" s="1"/>
  <c r="C543" i="1" a="1"/>
  <c r="C543" i="1" s="1"/>
  <c r="E543" i="15" s="1"/>
  <c r="G543" i="1" a="1"/>
  <c r="G543" i="1" s="1"/>
  <c r="K543" i="1" a="1"/>
  <c r="K543" i="1" s="1"/>
  <c r="P543" i="1" a="1"/>
  <c r="P543" i="1" s="1"/>
  <c r="D544" i="1" a="1"/>
  <c r="D544" i="1" s="1"/>
  <c r="I544" i="15" s="1"/>
  <c r="K544" i="1" a="1"/>
  <c r="K544" i="1" s="1"/>
  <c r="P544" i="1" a="1"/>
  <c r="P544" i="1" s="1"/>
  <c r="J444" i="1" a="1"/>
  <c r="J444" i="1" s="1"/>
  <c r="M445" i="1" a="1"/>
  <c r="M445" i="1" s="1"/>
  <c r="J446" i="1" a="1"/>
  <c r="J446" i="1" s="1"/>
  <c r="H448" i="1" a="1"/>
  <c r="H448" i="1" s="1"/>
  <c r="O448" i="1"/>
  <c r="M448" i="15" s="1"/>
  <c r="N448" i="15" s="1" a="1"/>
  <c r="N448" i="15" s="1"/>
  <c r="K449" i="1" a="1"/>
  <c r="K449" i="1" s="1"/>
  <c r="F450" i="1" a="1"/>
  <c r="F450" i="1" s="1"/>
  <c r="R450" i="15" s="1"/>
  <c r="J450" i="1" a="1"/>
  <c r="J450" i="1" s="1"/>
  <c r="P450" i="1" a="1"/>
  <c r="P450" i="1" s="1"/>
  <c r="D451" i="1" a="1"/>
  <c r="D451" i="1" s="1"/>
  <c r="I451" i="15" s="1"/>
  <c r="H451" i="1" a="1"/>
  <c r="H451" i="1" s="1"/>
  <c r="L451" i="1" a="1"/>
  <c r="L451" i="1" s="1"/>
  <c r="Q451" i="1" a="1"/>
  <c r="Q451" i="1" s="1"/>
  <c r="S451" i="15" s="1"/>
  <c r="M452" i="1" a="1"/>
  <c r="M452" i="1" s="1"/>
  <c r="F453" i="1" a="1"/>
  <c r="F453" i="1" s="1"/>
  <c r="R453" i="15" s="1"/>
  <c r="J453" i="1" a="1"/>
  <c r="J453" i="1" s="1"/>
  <c r="O453" i="1"/>
  <c r="M453" i="15" s="1"/>
  <c r="N453" i="15" s="1" a="1"/>
  <c r="N453" i="15" s="1"/>
  <c r="C454" i="1" a="1"/>
  <c r="C454" i="1" s="1"/>
  <c r="E454" i="15" s="1"/>
  <c r="G454" i="1" a="1"/>
  <c r="G454" i="1" s="1"/>
  <c r="K454" i="1" a="1"/>
  <c r="K454" i="1" s="1"/>
  <c r="P454" i="1" a="1"/>
  <c r="P454" i="1" s="1"/>
  <c r="D455" i="1" a="1"/>
  <c r="D455" i="1" s="1"/>
  <c r="I455" i="15" s="1"/>
  <c r="H455" i="1" a="1"/>
  <c r="H455" i="1" s="1"/>
  <c r="L455" i="1" a="1"/>
  <c r="L455" i="1" s="1"/>
  <c r="Q455" i="1" a="1"/>
  <c r="Q455" i="1" s="1"/>
  <c r="S455" i="15" s="1"/>
  <c r="M456" i="1" a="1"/>
  <c r="M456" i="1" s="1"/>
  <c r="F457" i="1" a="1"/>
  <c r="F457" i="1" s="1"/>
  <c r="R457" i="15" s="1"/>
  <c r="J457" i="1" a="1"/>
  <c r="J457" i="1" s="1"/>
  <c r="O457" i="1"/>
  <c r="M457" i="15" s="1"/>
  <c r="N457" i="15" s="1" a="1"/>
  <c r="N457" i="15" s="1"/>
  <c r="C458" i="1" a="1"/>
  <c r="C458" i="1" s="1"/>
  <c r="E458" i="15" s="1"/>
  <c r="G458" i="1" a="1"/>
  <c r="G458" i="1" s="1"/>
  <c r="K458" i="1" a="1"/>
  <c r="K458" i="1" s="1"/>
  <c r="P458" i="1" a="1"/>
  <c r="P458" i="1" s="1"/>
  <c r="D459" i="1" a="1"/>
  <c r="D459" i="1" s="1"/>
  <c r="I459" i="15" s="1"/>
  <c r="H459" i="1" a="1"/>
  <c r="H459" i="1" s="1"/>
  <c r="L459" i="1" a="1"/>
  <c r="L459" i="1" s="1"/>
  <c r="Q459" i="1" a="1"/>
  <c r="Q459" i="1" s="1"/>
  <c r="S459" i="15" s="1"/>
  <c r="M460" i="1" a="1"/>
  <c r="M460" i="1" s="1"/>
  <c r="F461" i="1" a="1"/>
  <c r="F461" i="1" s="1"/>
  <c r="R461" i="15" s="1"/>
  <c r="J461" i="1" a="1"/>
  <c r="J461" i="1" s="1"/>
  <c r="O461" i="1"/>
  <c r="M461" i="15" s="1"/>
  <c r="N461" i="15" s="1" a="1"/>
  <c r="N461" i="15" s="1"/>
  <c r="C462" i="1" a="1"/>
  <c r="C462" i="1" s="1"/>
  <c r="E462" i="15" s="1"/>
  <c r="G462" i="1" a="1"/>
  <c r="G462" i="1" s="1"/>
  <c r="K462" i="1" a="1"/>
  <c r="K462" i="1" s="1"/>
  <c r="P462" i="1" a="1"/>
  <c r="P462" i="1" s="1"/>
  <c r="D463" i="1" a="1"/>
  <c r="D463" i="1" s="1"/>
  <c r="I463" i="15" s="1"/>
  <c r="H463" i="1" a="1"/>
  <c r="H463" i="1" s="1"/>
  <c r="L463" i="1" a="1"/>
  <c r="L463" i="1" s="1"/>
  <c r="Q463" i="1" a="1"/>
  <c r="Q463" i="1" s="1"/>
  <c r="S463" i="15" s="1"/>
  <c r="M464" i="1" a="1"/>
  <c r="M464" i="1" s="1"/>
  <c r="F465" i="1" a="1"/>
  <c r="F465" i="1" s="1"/>
  <c r="R465" i="15" s="1"/>
  <c r="J465" i="1" a="1"/>
  <c r="J465" i="1" s="1"/>
  <c r="O465" i="1"/>
  <c r="M465" i="15" s="1"/>
  <c r="N465" i="15" s="1" a="1"/>
  <c r="N465" i="15" s="1"/>
  <c r="C466" i="1" a="1"/>
  <c r="C466" i="1" s="1"/>
  <c r="E466" i="15" s="1"/>
  <c r="G466" i="1" a="1"/>
  <c r="G466" i="1" s="1"/>
  <c r="K466" i="1" a="1"/>
  <c r="K466" i="1" s="1"/>
  <c r="P466" i="1" a="1"/>
  <c r="P466" i="1" s="1"/>
  <c r="D467" i="1" a="1"/>
  <c r="D467" i="1" s="1"/>
  <c r="I467" i="15" s="1"/>
  <c r="H467" i="1" a="1"/>
  <c r="H467" i="1" s="1"/>
  <c r="L467" i="1" a="1"/>
  <c r="L467" i="1" s="1"/>
  <c r="Q467" i="1" a="1"/>
  <c r="Q467" i="1" s="1"/>
  <c r="S467" i="15" s="1"/>
  <c r="M468" i="1" a="1"/>
  <c r="M468" i="1" s="1"/>
  <c r="F469" i="1" a="1"/>
  <c r="F469" i="1" s="1"/>
  <c r="R469" i="15" s="1"/>
  <c r="J469" i="1" a="1"/>
  <c r="J469" i="1" s="1"/>
  <c r="O469" i="1"/>
  <c r="M469" i="15" s="1"/>
  <c r="N469" i="15" s="1" a="1"/>
  <c r="N469" i="15" s="1"/>
  <c r="C470" i="1" a="1"/>
  <c r="C470" i="1" s="1"/>
  <c r="E470" i="15" s="1"/>
  <c r="G470" i="1" a="1"/>
  <c r="G470" i="1" s="1"/>
  <c r="K470" i="1" a="1"/>
  <c r="K470" i="1" s="1"/>
  <c r="P470" i="1" a="1"/>
  <c r="P470" i="1" s="1"/>
  <c r="D471" i="1" a="1"/>
  <c r="D471" i="1" s="1"/>
  <c r="I471" i="15" s="1"/>
  <c r="H471" i="1" a="1"/>
  <c r="H471" i="1" s="1"/>
  <c r="L471" i="1" a="1"/>
  <c r="L471" i="1" s="1"/>
  <c r="Q471" i="1" a="1"/>
  <c r="Q471" i="1" s="1"/>
  <c r="S471" i="15" s="1"/>
  <c r="M472" i="1" a="1"/>
  <c r="M472" i="1" s="1"/>
  <c r="F473" i="1" a="1"/>
  <c r="F473" i="1" s="1"/>
  <c r="R473" i="15" s="1"/>
  <c r="J473" i="1" a="1"/>
  <c r="J473" i="1" s="1"/>
  <c r="O473" i="1"/>
  <c r="M473" i="15" s="1"/>
  <c r="N473" i="15" s="1" a="1"/>
  <c r="N473" i="15" s="1"/>
  <c r="C474" i="1" a="1"/>
  <c r="C474" i="1" s="1"/>
  <c r="E474" i="15" s="1"/>
  <c r="G474" i="1" a="1"/>
  <c r="G474" i="1" s="1"/>
  <c r="K474" i="1" a="1"/>
  <c r="K474" i="1" s="1"/>
  <c r="P474" i="1" a="1"/>
  <c r="P474" i="1" s="1"/>
  <c r="D475" i="1" a="1"/>
  <c r="D475" i="1" s="1"/>
  <c r="I475" i="15" s="1"/>
  <c r="H475" i="1" a="1"/>
  <c r="H475" i="1" s="1"/>
  <c r="L475" i="1" a="1"/>
  <c r="L475" i="1" s="1"/>
  <c r="Q475" i="1" a="1"/>
  <c r="Q475" i="1" s="1"/>
  <c r="S475" i="15" s="1"/>
  <c r="M476" i="1" a="1"/>
  <c r="M476" i="1" s="1"/>
  <c r="F477" i="1" a="1"/>
  <c r="F477" i="1" s="1"/>
  <c r="R477" i="15" s="1"/>
  <c r="J477" i="1" a="1"/>
  <c r="J477" i="1" s="1"/>
  <c r="O477" i="1"/>
  <c r="M477" i="15" s="1"/>
  <c r="N477" i="15" s="1" a="1"/>
  <c r="N477" i="15" s="1"/>
  <c r="C478" i="1" a="1"/>
  <c r="C478" i="1" s="1"/>
  <c r="E478" i="15" s="1"/>
  <c r="G478" i="1" a="1"/>
  <c r="G478" i="1" s="1"/>
  <c r="K478" i="1" a="1"/>
  <c r="K478" i="1" s="1"/>
  <c r="P478" i="1" a="1"/>
  <c r="P478" i="1" s="1"/>
  <c r="D479" i="1" a="1"/>
  <c r="D479" i="1" s="1"/>
  <c r="I479" i="15" s="1"/>
  <c r="H479" i="1" a="1"/>
  <c r="H479" i="1" s="1"/>
  <c r="L479" i="1" a="1"/>
  <c r="L479" i="1" s="1"/>
  <c r="Q479" i="1" a="1"/>
  <c r="Q479" i="1" s="1"/>
  <c r="S479" i="15" s="1"/>
  <c r="M480" i="1" a="1"/>
  <c r="M480" i="1" s="1"/>
  <c r="F481" i="1" a="1"/>
  <c r="F481" i="1" s="1"/>
  <c r="R481" i="15" s="1"/>
  <c r="J481" i="1" a="1"/>
  <c r="J481" i="1" s="1"/>
  <c r="O481" i="1"/>
  <c r="M481" i="15" s="1"/>
  <c r="N481" i="15" s="1" a="1"/>
  <c r="N481" i="15" s="1"/>
  <c r="C482" i="1" a="1"/>
  <c r="C482" i="1" s="1"/>
  <c r="E482" i="15" s="1"/>
  <c r="G482" i="1" a="1"/>
  <c r="G482" i="1" s="1"/>
  <c r="K482" i="1" a="1"/>
  <c r="K482" i="1" s="1"/>
  <c r="P482" i="1" a="1"/>
  <c r="P482" i="1" s="1"/>
  <c r="D483" i="1" a="1"/>
  <c r="D483" i="1" s="1"/>
  <c r="I483" i="15" s="1"/>
  <c r="H483" i="1" a="1"/>
  <c r="H483" i="1" s="1"/>
  <c r="L483" i="1" a="1"/>
  <c r="L483" i="1" s="1"/>
  <c r="Q483" i="1" a="1"/>
  <c r="Q483" i="1" s="1"/>
  <c r="S483" i="15" s="1"/>
  <c r="H484" i="1" a="1"/>
  <c r="H484" i="1" s="1"/>
  <c r="L484" i="1" a="1"/>
  <c r="L484" i="1" s="1"/>
  <c r="Q484" i="1" a="1"/>
  <c r="Q484" i="1" s="1"/>
  <c r="S484" i="15" s="1"/>
  <c r="D485" i="1" a="1"/>
  <c r="D485" i="1" s="1"/>
  <c r="I485" i="15" s="1"/>
  <c r="H485" i="1" a="1"/>
  <c r="H485" i="1" s="1"/>
  <c r="L485" i="1" a="1"/>
  <c r="L485" i="1" s="1"/>
  <c r="Q485" i="1" a="1"/>
  <c r="Q485" i="1" s="1"/>
  <c r="S485" i="15" s="1"/>
  <c r="H486" i="1" a="1"/>
  <c r="H486" i="1" s="1"/>
  <c r="L486" i="1" a="1"/>
  <c r="L486" i="1" s="1"/>
  <c r="Q486" i="1" a="1"/>
  <c r="Q486" i="1" s="1"/>
  <c r="S486" i="15" s="1"/>
  <c r="D487" i="1" a="1"/>
  <c r="D487" i="1" s="1"/>
  <c r="I487" i="15" s="1"/>
  <c r="H487" i="1" a="1"/>
  <c r="H487" i="1" s="1"/>
  <c r="L487" i="1" a="1"/>
  <c r="L487" i="1" s="1"/>
  <c r="Q487" i="1" a="1"/>
  <c r="Q487" i="1" s="1"/>
  <c r="S487" i="15" s="1"/>
  <c r="H488" i="1" a="1"/>
  <c r="H488" i="1" s="1"/>
  <c r="L488" i="1" a="1"/>
  <c r="L488" i="1" s="1"/>
  <c r="Q488" i="1" a="1"/>
  <c r="Q488" i="1" s="1"/>
  <c r="S488" i="15" s="1"/>
  <c r="D489" i="1" a="1"/>
  <c r="D489" i="1" s="1"/>
  <c r="I489" i="15" s="1"/>
  <c r="H489" i="1" a="1"/>
  <c r="H489" i="1" s="1"/>
  <c r="L489" i="1" a="1"/>
  <c r="L489" i="1" s="1"/>
  <c r="Q489" i="1" a="1"/>
  <c r="Q489" i="1" s="1"/>
  <c r="S489" i="15" s="1"/>
  <c r="D490" i="1" a="1"/>
  <c r="D490" i="1" s="1"/>
  <c r="I490" i="15" s="1"/>
  <c r="K490" i="1" a="1"/>
  <c r="K490" i="1" s="1"/>
  <c r="P490" i="1" a="1"/>
  <c r="P490" i="1" s="1"/>
  <c r="C491" i="1" a="1"/>
  <c r="C491" i="1" s="1"/>
  <c r="E491" i="15" s="1"/>
  <c r="G491" i="1" a="1"/>
  <c r="G491" i="1" s="1"/>
  <c r="J491" i="15" s="1"/>
  <c r="J491" i="1" a="1"/>
  <c r="J491" i="1" s="1"/>
  <c r="O491" i="1"/>
  <c r="M491" i="15" s="1"/>
  <c r="N491" i="15" s="1" a="1"/>
  <c r="N491" i="15" s="1"/>
  <c r="F492" i="1" a="1"/>
  <c r="F492" i="1" s="1"/>
  <c r="R492" i="15" s="1"/>
  <c r="J492" i="1" a="1"/>
  <c r="J492" i="1" s="1"/>
  <c r="O492" i="1"/>
  <c r="M492" i="15" s="1"/>
  <c r="N492" i="15" s="1" a="1"/>
  <c r="N492" i="15" s="1"/>
  <c r="C493" i="1" a="1"/>
  <c r="C493" i="1" s="1"/>
  <c r="E493" i="15" s="1"/>
  <c r="G493" i="1" a="1"/>
  <c r="G493" i="1" s="1"/>
  <c r="K493" i="1" a="1"/>
  <c r="K493" i="1" s="1"/>
  <c r="P493" i="1" a="1"/>
  <c r="P493" i="1" s="1"/>
  <c r="D494" i="1" a="1"/>
  <c r="D494" i="1" s="1"/>
  <c r="I494" i="15" s="1"/>
  <c r="H494" i="1" a="1"/>
  <c r="H494" i="1" s="1"/>
  <c r="L494" i="1" a="1"/>
  <c r="L494" i="1" s="1"/>
  <c r="Q494" i="1" a="1"/>
  <c r="Q494" i="1" s="1"/>
  <c r="S494" i="15" s="1"/>
  <c r="M495" i="1" a="1"/>
  <c r="M495" i="1" s="1"/>
  <c r="F496" i="1" a="1"/>
  <c r="F496" i="1" s="1"/>
  <c r="R496" i="15" s="1"/>
  <c r="J496" i="1" a="1"/>
  <c r="J496" i="1" s="1"/>
  <c r="O496" i="1"/>
  <c r="M496" i="15" s="1"/>
  <c r="N496" i="15" s="1" a="1"/>
  <c r="N496" i="15" s="1"/>
  <c r="C497" i="1" a="1"/>
  <c r="C497" i="1" s="1"/>
  <c r="E497" i="15" s="1"/>
  <c r="G497" i="1" a="1"/>
  <c r="G497" i="1" s="1"/>
  <c r="K497" i="1" a="1"/>
  <c r="K497" i="1" s="1"/>
  <c r="P497" i="1" a="1"/>
  <c r="P497" i="1" s="1"/>
  <c r="D498" i="1" a="1"/>
  <c r="D498" i="1" s="1"/>
  <c r="I498" i="15" s="1"/>
  <c r="H498" i="1" a="1"/>
  <c r="H498" i="1" s="1"/>
  <c r="L498" i="1" a="1"/>
  <c r="L498" i="1" s="1"/>
  <c r="Q498" i="1" a="1"/>
  <c r="Q498" i="1" s="1"/>
  <c r="S498" i="15" s="1"/>
  <c r="M499" i="1" a="1"/>
  <c r="M499" i="1" s="1"/>
  <c r="F500" i="1" a="1"/>
  <c r="F500" i="1" s="1"/>
  <c r="R500" i="15" s="1"/>
  <c r="J500" i="1" a="1"/>
  <c r="J500" i="1" s="1"/>
  <c r="O500" i="1"/>
  <c r="M500" i="15" s="1"/>
  <c r="N500" i="15" s="1" a="1"/>
  <c r="N500" i="15" s="1"/>
  <c r="C501" i="1" a="1"/>
  <c r="C501" i="1" s="1"/>
  <c r="E501" i="15" s="1"/>
  <c r="G501" i="1" a="1"/>
  <c r="G501" i="1" s="1"/>
  <c r="K501" i="1" a="1"/>
  <c r="K501" i="1" s="1"/>
  <c r="P501" i="1" a="1"/>
  <c r="P501" i="1" s="1"/>
  <c r="D502" i="1" a="1"/>
  <c r="D502" i="1" s="1"/>
  <c r="I502" i="15" s="1"/>
  <c r="H502" i="1" a="1"/>
  <c r="H502" i="1" s="1"/>
  <c r="L502" i="1" a="1"/>
  <c r="L502" i="1" s="1"/>
  <c r="Q502" i="1" a="1"/>
  <c r="Q502" i="1" s="1"/>
  <c r="S502" i="15" s="1"/>
  <c r="M503" i="1" a="1"/>
  <c r="M503" i="1" s="1"/>
  <c r="F504" i="1" a="1"/>
  <c r="F504" i="1" s="1"/>
  <c r="R504" i="15" s="1"/>
  <c r="J504" i="1" a="1"/>
  <c r="J504" i="1" s="1"/>
  <c r="O504" i="1"/>
  <c r="M504" i="15" s="1"/>
  <c r="N504" i="15" s="1" a="1"/>
  <c r="N504" i="15" s="1"/>
  <c r="C505" i="1" a="1"/>
  <c r="C505" i="1" s="1"/>
  <c r="E505" i="15" s="1"/>
  <c r="G505" i="1" a="1"/>
  <c r="G505" i="1" s="1"/>
  <c r="K505" i="1" a="1"/>
  <c r="K505" i="1" s="1"/>
  <c r="P505" i="1" a="1"/>
  <c r="P505" i="1" s="1"/>
  <c r="D506" i="1" a="1"/>
  <c r="D506" i="1" s="1"/>
  <c r="I506" i="15" s="1"/>
  <c r="H506" i="1" a="1"/>
  <c r="H506" i="1" s="1"/>
  <c r="L506" i="1" a="1"/>
  <c r="L506" i="1" s="1"/>
  <c r="Q506" i="1" a="1"/>
  <c r="Q506" i="1" s="1"/>
  <c r="S506" i="15" s="1"/>
  <c r="M507" i="1" a="1"/>
  <c r="M507" i="1" s="1"/>
  <c r="F508" i="1" a="1"/>
  <c r="F508" i="1" s="1"/>
  <c r="R508" i="15" s="1"/>
  <c r="J508" i="1" a="1"/>
  <c r="J508" i="1" s="1"/>
  <c r="O508" i="1"/>
  <c r="M508" i="15" s="1"/>
  <c r="N508" i="15" s="1" a="1"/>
  <c r="N508" i="15" s="1"/>
  <c r="C509" i="1" a="1"/>
  <c r="C509" i="1" s="1"/>
  <c r="E509" i="15" s="1"/>
  <c r="G509" i="1" a="1"/>
  <c r="G509" i="1" s="1"/>
  <c r="K509" i="1" a="1"/>
  <c r="K509" i="1" s="1"/>
  <c r="P509" i="1" a="1"/>
  <c r="P509" i="1" s="1"/>
  <c r="D510" i="1" a="1"/>
  <c r="D510" i="1" s="1"/>
  <c r="I510" i="15" s="1"/>
  <c r="H510" i="1" a="1"/>
  <c r="H510" i="1" s="1"/>
  <c r="L510" i="1" a="1"/>
  <c r="L510" i="1" s="1"/>
  <c r="Q510" i="1" a="1"/>
  <c r="Q510" i="1" s="1"/>
  <c r="S510" i="15" s="1"/>
  <c r="M511" i="1" a="1"/>
  <c r="M511" i="1" s="1"/>
  <c r="F512" i="1" a="1"/>
  <c r="F512" i="1" s="1"/>
  <c r="R512" i="15" s="1"/>
  <c r="J512" i="1" a="1"/>
  <c r="J512" i="1" s="1"/>
  <c r="O512" i="1"/>
  <c r="M512" i="15" s="1"/>
  <c r="N512" i="15" s="1" a="1"/>
  <c r="N512" i="15" s="1"/>
  <c r="C513" i="1" a="1"/>
  <c r="C513" i="1" s="1"/>
  <c r="E513" i="15" s="1"/>
  <c r="G513" i="1" a="1"/>
  <c r="G513" i="1" s="1"/>
  <c r="K513" i="1" a="1"/>
  <c r="K513" i="1" s="1"/>
  <c r="P513" i="1" a="1"/>
  <c r="P513" i="1" s="1"/>
  <c r="D514" i="1" a="1"/>
  <c r="D514" i="1" s="1"/>
  <c r="I514" i="15" s="1"/>
  <c r="H514" i="1" a="1"/>
  <c r="H514" i="1" s="1"/>
  <c r="L514" i="1" a="1"/>
  <c r="L514" i="1" s="1"/>
  <c r="Q514" i="1" a="1"/>
  <c r="Q514" i="1" s="1"/>
  <c r="S514" i="15" s="1"/>
  <c r="M515" i="1" a="1"/>
  <c r="M515" i="1" s="1"/>
  <c r="F516" i="1" a="1"/>
  <c r="F516" i="1" s="1"/>
  <c r="R516" i="15" s="1"/>
  <c r="J516" i="1" a="1"/>
  <c r="J516" i="1" s="1"/>
  <c r="O516" i="1"/>
  <c r="M516" i="15" s="1"/>
  <c r="N516" i="15" s="1" a="1"/>
  <c r="N516" i="15" s="1"/>
  <c r="C517" i="1" a="1"/>
  <c r="C517" i="1" s="1"/>
  <c r="E517" i="15" s="1"/>
  <c r="G517" i="1" a="1"/>
  <c r="G517" i="1" s="1"/>
  <c r="K517" i="1" a="1"/>
  <c r="K517" i="1" s="1"/>
  <c r="P517" i="1" a="1"/>
  <c r="P517" i="1" s="1"/>
  <c r="D518" i="1" a="1"/>
  <c r="D518" i="1" s="1"/>
  <c r="I518" i="15" s="1"/>
  <c r="H518" i="1" a="1"/>
  <c r="H518" i="1" s="1"/>
  <c r="L518" i="1" a="1"/>
  <c r="L518" i="1" s="1"/>
  <c r="Q518" i="1" a="1"/>
  <c r="Q518" i="1" s="1"/>
  <c r="S518" i="15" s="1"/>
  <c r="M519" i="1" a="1"/>
  <c r="M519" i="1" s="1"/>
  <c r="F520" i="1" a="1"/>
  <c r="F520" i="1" s="1"/>
  <c r="R520" i="15" s="1"/>
  <c r="J520" i="1" a="1"/>
  <c r="J520" i="1" s="1"/>
  <c r="O520" i="1"/>
  <c r="M520" i="15" s="1"/>
  <c r="N520" i="15" s="1" a="1"/>
  <c r="N520" i="15" s="1"/>
  <c r="C521" i="1" a="1"/>
  <c r="C521" i="1" s="1"/>
  <c r="E521" i="15" s="1"/>
  <c r="G521" i="1" a="1"/>
  <c r="G521" i="1" s="1"/>
  <c r="K521" i="1" a="1"/>
  <c r="K521" i="1" s="1"/>
  <c r="P521" i="1" a="1"/>
  <c r="P521" i="1" s="1"/>
  <c r="D522" i="1" a="1"/>
  <c r="D522" i="1" s="1"/>
  <c r="I522" i="15" s="1"/>
  <c r="H522" i="1" a="1"/>
  <c r="H522" i="1" s="1"/>
  <c r="L522" i="1" a="1"/>
  <c r="L522" i="1" s="1"/>
  <c r="Q522" i="1" a="1"/>
  <c r="Q522" i="1" s="1"/>
  <c r="S522" i="15" s="1"/>
  <c r="M523" i="1" a="1"/>
  <c r="M523" i="1" s="1"/>
  <c r="F524" i="1" a="1"/>
  <c r="F524" i="1" s="1"/>
  <c r="R524" i="15" s="1"/>
  <c r="J524" i="1" a="1"/>
  <c r="J524" i="1" s="1"/>
  <c r="O524" i="1"/>
  <c r="M524" i="15" s="1"/>
  <c r="N524" i="15" s="1" a="1"/>
  <c r="N524" i="15" s="1"/>
  <c r="C525" i="1" a="1"/>
  <c r="C525" i="1" s="1"/>
  <c r="E525" i="15" s="1"/>
  <c r="G525" i="1" a="1"/>
  <c r="G525" i="1" s="1"/>
  <c r="K525" i="1" a="1"/>
  <c r="K525" i="1" s="1"/>
  <c r="P525" i="1" a="1"/>
  <c r="P525" i="1" s="1"/>
  <c r="D526" i="1" a="1"/>
  <c r="D526" i="1" s="1"/>
  <c r="I526" i="15" s="1"/>
  <c r="H526" i="1" a="1"/>
  <c r="H526" i="1" s="1"/>
  <c r="L526" i="1" a="1"/>
  <c r="L526" i="1" s="1"/>
  <c r="Q526" i="1" a="1"/>
  <c r="Q526" i="1" s="1"/>
  <c r="S526" i="15" s="1"/>
  <c r="M527" i="1" a="1"/>
  <c r="M527" i="1" s="1"/>
  <c r="F528" i="1" a="1"/>
  <c r="F528" i="1" s="1"/>
  <c r="R528" i="15" s="1"/>
  <c r="J528" i="1" a="1"/>
  <c r="J528" i="1" s="1"/>
  <c r="O528" i="1"/>
  <c r="M528" i="15" s="1"/>
  <c r="N528" i="15" s="1" a="1"/>
  <c r="N528" i="15" s="1"/>
  <c r="C529" i="1" a="1"/>
  <c r="C529" i="1" s="1"/>
  <c r="E529" i="15" s="1"/>
  <c r="G529" i="1" a="1"/>
  <c r="G529" i="1" s="1"/>
  <c r="K529" i="1" a="1"/>
  <c r="K529" i="1" s="1"/>
  <c r="P529" i="1" a="1"/>
  <c r="P529" i="1" s="1"/>
  <c r="D530" i="1" a="1"/>
  <c r="D530" i="1" s="1"/>
  <c r="I530" i="15" s="1"/>
  <c r="H530" i="1" a="1"/>
  <c r="H530" i="1" s="1"/>
  <c r="L530" i="1" a="1"/>
  <c r="L530" i="1" s="1"/>
  <c r="Q530" i="1" a="1"/>
  <c r="Q530" i="1" s="1"/>
  <c r="S530" i="15" s="1"/>
  <c r="M531" i="1" a="1"/>
  <c r="M531" i="1" s="1"/>
  <c r="F532" i="1" a="1"/>
  <c r="F532" i="1" s="1"/>
  <c r="R532" i="15" s="1"/>
  <c r="J532" i="1" a="1"/>
  <c r="J532" i="1" s="1"/>
  <c r="O532" i="1"/>
  <c r="M532" i="15" s="1"/>
  <c r="N532" i="15" s="1" a="1"/>
  <c r="N532" i="15" s="1"/>
  <c r="C533" i="1" a="1"/>
  <c r="C533" i="1" s="1"/>
  <c r="E533" i="15" s="1"/>
  <c r="G533" i="1" a="1"/>
  <c r="G533" i="1" s="1"/>
  <c r="K533" i="1" a="1"/>
  <c r="K533" i="1" s="1"/>
  <c r="P533" i="1" a="1"/>
  <c r="P533" i="1" s="1"/>
  <c r="D534" i="1" a="1"/>
  <c r="D534" i="1" s="1"/>
  <c r="I534" i="15" s="1"/>
  <c r="H534" i="1" a="1"/>
  <c r="H534" i="1" s="1"/>
  <c r="L534" i="1" a="1"/>
  <c r="L534" i="1" s="1"/>
  <c r="Q534" i="1" a="1"/>
  <c r="Q534" i="1" s="1"/>
  <c r="S534" i="15" s="1"/>
  <c r="M535" i="1" a="1"/>
  <c r="M535" i="1" s="1"/>
  <c r="F536" i="1" a="1"/>
  <c r="F536" i="1" s="1"/>
  <c r="R536" i="15" s="1"/>
  <c r="J536" i="1" a="1"/>
  <c r="J536" i="1" s="1"/>
  <c r="O536" i="1"/>
  <c r="M536" i="15" s="1"/>
  <c r="N536" i="15" s="1" a="1"/>
  <c r="N536" i="15" s="1"/>
  <c r="C537" i="1" a="1"/>
  <c r="C537" i="1" s="1"/>
  <c r="E537" i="15" s="1"/>
  <c r="G537" i="1" a="1"/>
  <c r="G537" i="1" s="1"/>
  <c r="K537" i="1" a="1"/>
  <c r="K537" i="1" s="1"/>
  <c r="P537" i="1" a="1"/>
  <c r="P537" i="1" s="1"/>
  <c r="D538" i="1" a="1"/>
  <c r="D538" i="1" s="1"/>
  <c r="I538" i="15" s="1"/>
  <c r="H538" i="1" a="1"/>
  <c r="H538" i="1" s="1"/>
  <c r="L538" i="1" a="1"/>
  <c r="L538" i="1" s="1"/>
  <c r="Q538" i="1" a="1"/>
  <c r="Q538" i="1" s="1"/>
  <c r="S538" i="15" s="1"/>
  <c r="M539" i="1" a="1"/>
  <c r="M539" i="1" s="1"/>
  <c r="F540" i="1" a="1"/>
  <c r="F540" i="1" s="1"/>
  <c r="R540" i="15" s="1"/>
  <c r="J540" i="1" a="1"/>
  <c r="J540" i="1" s="1"/>
  <c r="O540" i="1"/>
  <c r="M540" i="15" s="1"/>
  <c r="N540" i="15" s="1" a="1"/>
  <c r="N540" i="15" s="1"/>
  <c r="C541" i="1" a="1"/>
  <c r="C541" i="1" s="1"/>
  <c r="E541" i="15" s="1"/>
  <c r="G541" i="1" a="1"/>
  <c r="G541" i="1" s="1"/>
  <c r="K541" i="1" a="1"/>
  <c r="K541" i="1" s="1"/>
  <c r="P541" i="1" a="1"/>
  <c r="P541" i="1" s="1"/>
  <c r="D542" i="1" a="1"/>
  <c r="D542" i="1" s="1"/>
  <c r="I542" i="15" s="1"/>
  <c r="H542" i="1" a="1"/>
  <c r="H542" i="1" s="1"/>
  <c r="L542" i="1" a="1"/>
  <c r="L542" i="1" s="1"/>
  <c r="Q542" i="1" a="1"/>
  <c r="Q542" i="1" s="1"/>
  <c r="S542" i="15" s="1"/>
  <c r="D543" i="1" a="1"/>
  <c r="D543" i="1" s="1"/>
  <c r="I543" i="15" s="1"/>
  <c r="H543" i="1" a="1"/>
  <c r="H543" i="1" s="1"/>
  <c r="L543" i="1" a="1"/>
  <c r="L543" i="1" s="1"/>
  <c r="Q543" i="1" a="1"/>
  <c r="Q543" i="1" s="1"/>
  <c r="S543" i="15" s="1"/>
  <c r="H544" i="1" a="1"/>
  <c r="H544" i="1" s="1"/>
  <c r="L544" i="1" a="1"/>
  <c r="L544" i="1" s="1"/>
  <c r="Q544" i="1" a="1"/>
  <c r="Q544" i="1" s="1"/>
  <c r="S544" i="15" s="1"/>
  <c r="D545" i="1" a="1"/>
  <c r="D545" i="1" s="1"/>
  <c r="I545" i="15" s="1"/>
  <c r="H545" i="1" a="1"/>
  <c r="H545" i="1" s="1"/>
  <c r="L545" i="1" a="1"/>
  <c r="L545" i="1" s="1"/>
  <c r="Q545" i="1" a="1"/>
  <c r="Q545" i="1" s="1"/>
  <c r="S545" i="15" s="1"/>
  <c r="H546" i="1" a="1"/>
  <c r="H546" i="1" s="1"/>
  <c r="K546" i="1" a="1"/>
  <c r="K546" i="1" s="1"/>
  <c r="P546" i="1" a="1"/>
  <c r="P546" i="1" s="1"/>
  <c r="F547" i="1" a="1"/>
  <c r="F547" i="1" s="1"/>
  <c r="R547" i="15" s="1"/>
  <c r="H547" i="1" a="1"/>
  <c r="H547" i="1" s="1"/>
  <c r="K547" i="1" a="1"/>
  <c r="K547" i="1" s="1"/>
  <c r="P547" i="1" a="1"/>
  <c r="P547" i="1" s="1"/>
  <c r="F548" i="1" a="1"/>
  <c r="F548" i="1" s="1"/>
  <c r="R548" i="15" s="1"/>
  <c r="H548" i="1" a="1"/>
  <c r="H548" i="1" s="1"/>
  <c r="L548" i="1" a="1"/>
  <c r="L548" i="1" s="1"/>
  <c r="Q548" i="1" a="1"/>
  <c r="Q548" i="1" s="1"/>
  <c r="S548" i="15" s="1"/>
  <c r="D549" i="1" a="1"/>
  <c r="D549" i="1" s="1"/>
  <c r="I549" i="15" s="1"/>
  <c r="H549" i="1" a="1"/>
  <c r="H549" i="1" s="1"/>
  <c r="L549" i="1" a="1"/>
  <c r="L549" i="1" s="1"/>
  <c r="Q549" i="1" a="1"/>
  <c r="Q549" i="1" s="1"/>
  <c r="S549" i="15" s="1"/>
  <c r="D550" i="1" a="1"/>
  <c r="D550" i="1" s="1"/>
  <c r="I550" i="15" s="1"/>
  <c r="M550" i="1" a="1"/>
  <c r="M550" i="1" s="1"/>
  <c r="F551" i="1" a="1"/>
  <c r="F551" i="1" s="1"/>
  <c r="R551" i="15" s="1"/>
  <c r="D552" i="1" a="1"/>
  <c r="D552" i="1" s="1"/>
  <c r="I552" i="15" s="1"/>
  <c r="K552" i="1" a="1"/>
  <c r="K552" i="1" s="1"/>
  <c r="O552" i="1"/>
  <c r="M552" i="15" s="1"/>
  <c r="N552" i="15" s="1" a="1"/>
  <c r="N552" i="15" s="1"/>
  <c r="H553" i="1" a="1"/>
  <c r="H553" i="1" s="1"/>
  <c r="O553" i="1"/>
  <c r="M553" i="15" s="1"/>
  <c r="N553" i="15" s="1" a="1"/>
  <c r="N553" i="15" s="1"/>
  <c r="F554" i="1" a="1"/>
  <c r="F554" i="1" s="1"/>
  <c r="R554" i="15" s="1"/>
  <c r="P554" i="1" a="1"/>
  <c r="P554" i="1" s="1"/>
  <c r="C555" i="1" a="1"/>
  <c r="C555" i="1" s="1"/>
  <c r="E555" i="15" s="1"/>
  <c r="G555" i="1" a="1"/>
  <c r="G555" i="1" s="1"/>
  <c r="O444" i="1"/>
  <c r="M444" i="15" s="1"/>
  <c r="N444" i="15" s="1" a="1"/>
  <c r="N444" i="15" s="1"/>
  <c r="G445" i="1" a="1"/>
  <c r="G445" i="1" s="1"/>
  <c r="J445" i="15" s="1"/>
  <c r="P445" i="1" a="1"/>
  <c r="P445" i="1" s="1"/>
  <c r="F446" i="1" a="1"/>
  <c r="F446" i="1" s="1"/>
  <c r="R446" i="15" s="1"/>
  <c r="L446" i="1" a="1"/>
  <c r="L446" i="1" s="1"/>
  <c r="C447" i="1" a="1"/>
  <c r="C447" i="1" s="1"/>
  <c r="E447" i="15" s="1"/>
  <c r="K447" i="1" a="1"/>
  <c r="K447" i="1" s="1"/>
  <c r="L447" i="15" s="1"/>
  <c r="D448" i="1" a="1"/>
  <c r="D448" i="1" s="1"/>
  <c r="I448" i="15" s="1"/>
  <c r="Q448" i="1" a="1"/>
  <c r="Q448" i="1" s="1"/>
  <c r="S448" i="15" s="1"/>
  <c r="G449" i="1" a="1"/>
  <c r="G449" i="1" s="1"/>
  <c r="J449" i="15" s="1"/>
  <c r="M449" i="1" a="1"/>
  <c r="M449" i="1" s="1"/>
  <c r="C450" i="1" a="1"/>
  <c r="C450" i="1" s="1"/>
  <c r="E450" i="15" s="1"/>
  <c r="G450" i="1" a="1"/>
  <c r="G450" i="1" s="1"/>
  <c r="J450" i="15" s="1"/>
  <c r="K450" i="1" a="1"/>
  <c r="K450" i="1" s="1"/>
  <c r="L450" i="15" s="1"/>
  <c r="Q450" i="1" a="1"/>
  <c r="Q450" i="1" s="1"/>
  <c r="S450" i="15" s="1"/>
  <c r="M451" i="1" a="1"/>
  <c r="M451" i="1" s="1"/>
  <c r="F452" i="1" a="1"/>
  <c r="F452" i="1" s="1"/>
  <c r="R452" i="15" s="1"/>
  <c r="J452" i="1" a="1"/>
  <c r="J452" i="1" s="1"/>
  <c r="O452" i="1"/>
  <c r="M452" i="15" s="1"/>
  <c r="N452" i="15" s="1" a="1"/>
  <c r="N452" i="15" s="1"/>
  <c r="C453" i="1" a="1"/>
  <c r="C453" i="1" s="1"/>
  <c r="E453" i="15" s="1"/>
  <c r="G453" i="1" a="1"/>
  <c r="G453" i="1" s="1"/>
  <c r="J453" i="15" s="1"/>
  <c r="K453" i="1" a="1"/>
  <c r="K453" i="1" s="1"/>
  <c r="L453" i="15" s="1"/>
  <c r="P453" i="1" a="1"/>
  <c r="P453" i="1" s="1"/>
  <c r="D454" i="1" a="1"/>
  <c r="D454" i="1" s="1"/>
  <c r="I454" i="15" s="1"/>
  <c r="H454" i="1" a="1"/>
  <c r="H454" i="1" s="1"/>
  <c r="L454" i="1" a="1"/>
  <c r="L454" i="1" s="1"/>
  <c r="Q454" i="1" a="1"/>
  <c r="Q454" i="1" s="1"/>
  <c r="S454" i="15" s="1"/>
  <c r="M455" i="1" a="1"/>
  <c r="M455" i="1" s="1"/>
  <c r="F456" i="1" a="1"/>
  <c r="F456" i="1" s="1"/>
  <c r="R456" i="15" s="1"/>
  <c r="J456" i="1" a="1"/>
  <c r="J456" i="1" s="1"/>
  <c r="O456" i="1"/>
  <c r="M456" i="15" s="1"/>
  <c r="N456" i="15" s="1" a="1"/>
  <c r="N456" i="15" s="1"/>
  <c r="C457" i="1" a="1"/>
  <c r="C457" i="1" s="1"/>
  <c r="E457" i="15" s="1"/>
  <c r="G457" i="1" a="1"/>
  <c r="G457" i="1" s="1"/>
  <c r="J457" i="15" s="1"/>
  <c r="K457" i="1" a="1"/>
  <c r="K457" i="1" s="1"/>
  <c r="L457" i="15" s="1"/>
  <c r="P457" i="1" a="1"/>
  <c r="P457" i="1" s="1"/>
  <c r="D458" i="1" a="1"/>
  <c r="D458" i="1" s="1"/>
  <c r="I458" i="15" s="1"/>
  <c r="H458" i="1" a="1"/>
  <c r="H458" i="1" s="1"/>
  <c r="L458" i="1" a="1"/>
  <c r="L458" i="1" s="1"/>
  <c r="Q458" i="1" a="1"/>
  <c r="Q458" i="1" s="1"/>
  <c r="S458" i="15" s="1"/>
  <c r="M459" i="1" a="1"/>
  <c r="M459" i="1" s="1"/>
  <c r="F460" i="1" a="1"/>
  <c r="F460" i="1" s="1"/>
  <c r="R460" i="15" s="1"/>
  <c r="J460" i="1" a="1"/>
  <c r="J460" i="1" s="1"/>
  <c r="O460" i="1"/>
  <c r="M460" i="15" s="1"/>
  <c r="N460" i="15" s="1" a="1"/>
  <c r="N460" i="15" s="1"/>
  <c r="C461" i="1" a="1"/>
  <c r="C461" i="1" s="1"/>
  <c r="E461" i="15" s="1"/>
  <c r="G461" i="1" a="1"/>
  <c r="G461" i="1" s="1"/>
  <c r="J461" i="15" s="1"/>
  <c r="K461" i="1" a="1"/>
  <c r="K461" i="1" s="1"/>
  <c r="L461" i="15" s="1"/>
  <c r="P461" i="1" a="1"/>
  <c r="P461" i="1" s="1"/>
  <c r="D462" i="1" a="1"/>
  <c r="D462" i="1" s="1"/>
  <c r="I462" i="15" s="1"/>
  <c r="H462" i="1" a="1"/>
  <c r="H462" i="1" s="1"/>
  <c r="L462" i="1" a="1"/>
  <c r="L462" i="1" s="1"/>
  <c r="Q462" i="1" a="1"/>
  <c r="Q462" i="1" s="1"/>
  <c r="S462" i="15" s="1"/>
  <c r="M463" i="1" a="1"/>
  <c r="M463" i="1" s="1"/>
  <c r="F464" i="1" a="1"/>
  <c r="F464" i="1" s="1"/>
  <c r="R464" i="15" s="1"/>
  <c r="J464" i="1" a="1"/>
  <c r="J464" i="1" s="1"/>
  <c r="O464" i="1"/>
  <c r="M464" i="15" s="1"/>
  <c r="N464" i="15" s="1" a="1"/>
  <c r="N464" i="15" s="1"/>
  <c r="C465" i="1" a="1"/>
  <c r="C465" i="1" s="1"/>
  <c r="E465" i="15" s="1"/>
  <c r="G465" i="1" a="1"/>
  <c r="G465" i="1" s="1"/>
  <c r="J465" i="15" s="1"/>
  <c r="K465" i="1" a="1"/>
  <c r="K465" i="1" s="1"/>
  <c r="L465" i="15" s="1"/>
  <c r="P465" i="1" a="1"/>
  <c r="P465" i="1" s="1"/>
  <c r="D466" i="1" a="1"/>
  <c r="D466" i="1" s="1"/>
  <c r="I466" i="15" s="1"/>
  <c r="H466" i="1" a="1"/>
  <c r="H466" i="1" s="1"/>
  <c r="L466" i="1" a="1"/>
  <c r="L466" i="1" s="1"/>
  <c r="Q466" i="1" a="1"/>
  <c r="Q466" i="1" s="1"/>
  <c r="S466" i="15" s="1"/>
  <c r="M467" i="1" a="1"/>
  <c r="M467" i="1" s="1"/>
  <c r="F468" i="1" a="1"/>
  <c r="F468" i="1" s="1"/>
  <c r="R468" i="15" s="1"/>
  <c r="J468" i="1" a="1"/>
  <c r="J468" i="1" s="1"/>
  <c r="O468" i="1"/>
  <c r="M468" i="15" s="1"/>
  <c r="N468" i="15" s="1" a="1"/>
  <c r="N468" i="15" s="1"/>
  <c r="C469" i="1" a="1"/>
  <c r="C469" i="1" s="1"/>
  <c r="E469" i="15" s="1"/>
  <c r="G469" i="1" a="1"/>
  <c r="G469" i="1" s="1"/>
  <c r="K469" i="1" a="1"/>
  <c r="K469" i="1" s="1"/>
  <c r="L469" i="15" s="1"/>
  <c r="P469" i="1" a="1"/>
  <c r="P469" i="1" s="1"/>
  <c r="D470" i="1" a="1"/>
  <c r="D470" i="1" s="1"/>
  <c r="I470" i="15" s="1"/>
  <c r="H470" i="1" a="1"/>
  <c r="H470" i="1" s="1"/>
  <c r="L470" i="1" a="1"/>
  <c r="L470" i="1" s="1"/>
  <c r="Q470" i="1" a="1"/>
  <c r="Q470" i="1" s="1"/>
  <c r="S470" i="15" s="1"/>
  <c r="M471" i="1" a="1"/>
  <c r="M471" i="1" s="1"/>
  <c r="F472" i="1" a="1"/>
  <c r="F472" i="1" s="1"/>
  <c r="R472" i="15" s="1"/>
  <c r="J472" i="1" a="1"/>
  <c r="J472" i="1" s="1"/>
  <c r="O472" i="1"/>
  <c r="M472" i="15" s="1"/>
  <c r="N472" i="15" s="1" a="1"/>
  <c r="N472" i="15" s="1"/>
  <c r="C473" i="1" a="1"/>
  <c r="C473" i="1" s="1"/>
  <c r="E473" i="15" s="1"/>
  <c r="G473" i="1" a="1"/>
  <c r="G473" i="1" s="1"/>
  <c r="J473" i="15" s="1"/>
  <c r="K473" i="1" a="1"/>
  <c r="K473" i="1" s="1"/>
  <c r="L473" i="15" s="1"/>
  <c r="P473" i="1" a="1"/>
  <c r="P473" i="1" s="1"/>
  <c r="D474" i="1" a="1"/>
  <c r="D474" i="1" s="1"/>
  <c r="I474" i="15" s="1"/>
  <c r="H474" i="1" a="1"/>
  <c r="H474" i="1" s="1"/>
  <c r="L474" i="1" a="1"/>
  <c r="L474" i="1" s="1"/>
  <c r="Q474" i="1" a="1"/>
  <c r="Q474" i="1" s="1"/>
  <c r="S474" i="15" s="1"/>
  <c r="M475" i="1" a="1"/>
  <c r="M475" i="1" s="1"/>
  <c r="F476" i="1" a="1"/>
  <c r="F476" i="1" s="1"/>
  <c r="R476" i="15" s="1"/>
  <c r="J476" i="1" a="1"/>
  <c r="J476" i="1" s="1"/>
  <c r="O476" i="1"/>
  <c r="M476" i="15" s="1"/>
  <c r="N476" i="15" s="1" a="1"/>
  <c r="N476" i="15" s="1"/>
  <c r="C477" i="1" a="1"/>
  <c r="C477" i="1" s="1"/>
  <c r="E477" i="15" s="1"/>
  <c r="G477" i="1" a="1"/>
  <c r="G477" i="1" s="1"/>
  <c r="K477" i="1" a="1"/>
  <c r="K477" i="1" s="1"/>
  <c r="P477" i="1" a="1"/>
  <c r="P477" i="1" s="1"/>
  <c r="D478" i="1" a="1"/>
  <c r="D478" i="1" s="1"/>
  <c r="I478" i="15" s="1"/>
  <c r="H478" i="1" a="1"/>
  <c r="H478" i="1" s="1"/>
  <c r="L478" i="1" a="1"/>
  <c r="L478" i="1" s="1"/>
  <c r="Q478" i="1" a="1"/>
  <c r="Q478" i="1" s="1"/>
  <c r="S478" i="15" s="1"/>
  <c r="M479" i="1" a="1"/>
  <c r="M479" i="1" s="1"/>
  <c r="F480" i="1" a="1"/>
  <c r="F480" i="1" s="1"/>
  <c r="R480" i="15" s="1"/>
  <c r="J480" i="1" a="1"/>
  <c r="J480" i="1" s="1"/>
  <c r="O480" i="1"/>
  <c r="M480" i="15" s="1"/>
  <c r="N480" i="15" s="1" a="1"/>
  <c r="N480" i="15" s="1"/>
  <c r="C481" i="1" a="1"/>
  <c r="C481" i="1" s="1"/>
  <c r="E481" i="15" s="1"/>
  <c r="G481" i="1" a="1"/>
  <c r="G481" i="1" s="1"/>
  <c r="K481" i="1" a="1"/>
  <c r="K481" i="1" s="1"/>
  <c r="P481" i="1" a="1"/>
  <c r="P481" i="1" s="1"/>
  <c r="D482" i="1" a="1"/>
  <c r="D482" i="1" s="1"/>
  <c r="I482" i="15" s="1"/>
  <c r="H482" i="1" a="1"/>
  <c r="H482" i="1" s="1"/>
  <c r="L482" i="1" a="1"/>
  <c r="L482" i="1" s="1"/>
  <c r="Q482" i="1" a="1"/>
  <c r="Q482" i="1" s="1"/>
  <c r="S482" i="15" s="1"/>
  <c r="M483" i="1" a="1"/>
  <c r="M483" i="1" s="1"/>
  <c r="F484" i="1" a="1"/>
  <c r="F484" i="1" s="1"/>
  <c r="R484" i="15" s="1"/>
  <c r="M484" i="1" a="1"/>
  <c r="M484" i="1" s="1"/>
  <c r="M485" i="1" a="1"/>
  <c r="M485" i="1" s="1"/>
  <c r="F486" i="1" a="1"/>
  <c r="F486" i="1" s="1"/>
  <c r="R486" i="15" s="1"/>
  <c r="M486" i="1" a="1"/>
  <c r="M486" i="1" s="1"/>
  <c r="M487" i="1" a="1"/>
  <c r="M487" i="1" s="1"/>
  <c r="F488" i="1" a="1"/>
  <c r="F488" i="1" s="1"/>
  <c r="R488" i="15" s="1"/>
  <c r="M488" i="1" a="1"/>
  <c r="M488" i="1" s="1"/>
  <c r="M489" i="1" a="1"/>
  <c r="M489" i="1" s="1"/>
  <c r="H490" i="1" a="1"/>
  <c r="H490" i="1" s="1"/>
  <c r="L490" i="1" a="1"/>
  <c r="L490" i="1" s="1"/>
  <c r="Q490" i="1" a="1"/>
  <c r="Q490" i="1" s="1"/>
  <c r="S490" i="15" s="1"/>
  <c r="D491" i="1" a="1"/>
  <c r="D491" i="1" s="1"/>
  <c r="I491" i="15" s="1"/>
  <c r="K491" i="1" a="1"/>
  <c r="K491" i="1" s="1"/>
  <c r="P491" i="1" a="1"/>
  <c r="P491" i="1" s="1"/>
  <c r="C492" i="1" a="1"/>
  <c r="C492" i="1" s="1"/>
  <c r="E492" i="15" s="1"/>
  <c r="G492" i="1" a="1"/>
  <c r="G492" i="1" s="1"/>
  <c r="K492" i="1" a="1"/>
  <c r="K492" i="1" s="1"/>
  <c r="P492" i="1" a="1"/>
  <c r="P492" i="1" s="1"/>
  <c r="D493" i="1" a="1"/>
  <c r="D493" i="1" s="1"/>
  <c r="I493" i="15" s="1"/>
  <c r="H493" i="1" a="1"/>
  <c r="H493" i="1" s="1"/>
  <c r="L493" i="1" a="1"/>
  <c r="L493" i="1" s="1"/>
  <c r="Q493" i="1" a="1"/>
  <c r="Q493" i="1" s="1"/>
  <c r="S493" i="15" s="1"/>
  <c r="M494" i="1" a="1"/>
  <c r="M494" i="1" s="1"/>
  <c r="F495" i="1" a="1"/>
  <c r="F495" i="1" s="1"/>
  <c r="R495" i="15" s="1"/>
  <c r="J495" i="1" a="1"/>
  <c r="J495" i="1" s="1"/>
  <c r="O495" i="1"/>
  <c r="M495" i="15" s="1"/>
  <c r="N495" i="15" s="1" a="1"/>
  <c r="N495" i="15" s="1"/>
  <c r="C496" i="1" a="1"/>
  <c r="C496" i="1" s="1"/>
  <c r="E496" i="15" s="1"/>
  <c r="G496" i="1" a="1"/>
  <c r="G496" i="1" s="1"/>
  <c r="K496" i="1" a="1"/>
  <c r="K496" i="1" s="1"/>
  <c r="P496" i="1" a="1"/>
  <c r="P496" i="1" s="1"/>
  <c r="D497" i="1" a="1"/>
  <c r="D497" i="1" s="1"/>
  <c r="I497" i="15" s="1"/>
  <c r="H497" i="1" a="1"/>
  <c r="H497" i="1" s="1"/>
  <c r="L497" i="1" a="1"/>
  <c r="L497" i="1" s="1"/>
  <c r="Q497" i="1" a="1"/>
  <c r="Q497" i="1" s="1"/>
  <c r="S497" i="15" s="1"/>
  <c r="M498" i="1" a="1"/>
  <c r="M498" i="1" s="1"/>
  <c r="F499" i="1" a="1"/>
  <c r="F499" i="1" s="1"/>
  <c r="R499" i="15" s="1"/>
  <c r="J499" i="1" a="1"/>
  <c r="J499" i="1" s="1"/>
  <c r="O499" i="1"/>
  <c r="M499" i="15" s="1"/>
  <c r="N499" i="15" s="1" a="1"/>
  <c r="N499" i="15" s="1"/>
  <c r="C500" i="1" a="1"/>
  <c r="C500" i="1" s="1"/>
  <c r="E500" i="15" s="1"/>
  <c r="G500" i="1" a="1"/>
  <c r="G500" i="1" s="1"/>
  <c r="K500" i="1" a="1"/>
  <c r="K500" i="1" s="1"/>
  <c r="P500" i="1" a="1"/>
  <c r="P500" i="1" s="1"/>
  <c r="D501" i="1" a="1"/>
  <c r="D501" i="1" s="1"/>
  <c r="I501" i="15" s="1"/>
  <c r="H501" i="1" a="1"/>
  <c r="H501" i="1" s="1"/>
  <c r="L501" i="1" a="1"/>
  <c r="L501" i="1" s="1"/>
  <c r="Q501" i="1" a="1"/>
  <c r="Q501" i="1" s="1"/>
  <c r="S501" i="15" s="1"/>
  <c r="M502" i="1" a="1"/>
  <c r="M502" i="1" s="1"/>
  <c r="F503" i="1" a="1"/>
  <c r="F503" i="1" s="1"/>
  <c r="R503" i="15" s="1"/>
  <c r="J503" i="1" a="1"/>
  <c r="J503" i="1" s="1"/>
  <c r="O503" i="1"/>
  <c r="M503" i="15" s="1"/>
  <c r="N503" i="15" s="1" a="1"/>
  <c r="N503" i="15" s="1"/>
  <c r="C504" i="1" a="1"/>
  <c r="C504" i="1" s="1"/>
  <c r="E504" i="15" s="1"/>
  <c r="G504" i="1" a="1"/>
  <c r="G504" i="1" s="1"/>
  <c r="K504" i="1" a="1"/>
  <c r="K504" i="1" s="1"/>
  <c r="P504" i="1" a="1"/>
  <c r="P504" i="1" s="1"/>
  <c r="D505" i="1" a="1"/>
  <c r="D505" i="1" s="1"/>
  <c r="I505" i="15" s="1"/>
  <c r="H505" i="1" a="1"/>
  <c r="H505" i="1" s="1"/>
  <c r="L505" i="1" a="1"/>
  <c r="L505" i="1" s="1"/>
  <c r="Q505" i="1" a="1"/>
  <c r="Q505" i="1" s="1"/>
  <c r="S505" i="15" s="1"/>
  <c r="M506" i="1" a="1"/>
  <c r="M506" i="1" s="1"/>
  <c r="F507" i="1" a="1"/>
  <c r="F507" i="1" s="1"/>
  <c r="R507" i="15" s="1"/>
  <c r="J507" i="1" a="1"/>
  <c r="J507" i="1" s="1"/>
  <c r="O507" i="1"/>
  <c r="M507" i="15" s="1"/>
  <c r="N507" i="15" s="1" a="1"/>
  <c r="N507" i="15" s="1"/>
  <c r="C508" i="1" a="1"/>
  <c r="C508" i="1" s="1"/>
  <c r="E508" i="15" s="1"/>
  <c r="G508" i="1" a="1"/>
  <c r="G508" i="1" s="1"/>
  <c r="K508" i="1" a="1"/>
  <c r="K508" i="1" s="1"/>
  <c r="P508" i="1" a="1"/>
  <c r="P508" i="1" s="1"/>
  <c r="D509" i="1" a="1"/>
  <c r="D509" i="1" s="1"/>
  <c r="I509" i="15" s="1"/>
  <c r="H509" i="1" a="1"/>
  <c r="H509" i="1" s="1"/>
  <c r="L509" i="1" a="1"/>
  <c r="L509" i="1" s="1"/>
  <c r="Q509" i="1" a="1"/>
  <c r="Q509" i="1" s="1"/>
  <c r="S509" i="15" s="1"/>
  <c r="M510" i="1" a="1"/>
  <c r="M510" i="1" s="1"/>
  <c r="F511" i="1" a="1"/>
  <c r="F511" i="1" s="1"/>
  <c r="R511" i="15" s="1"/>
  <c r="J511" i="1" a="1"/>
  <c r="J511" i="1" s="1"/>
  <c r="O511" i="1"/>
  <c r="M511" i="15" s="1"/>
  <c r="N511" i="15" s="1" a="1"/>
  <c r="N511" i="15" s="1"/>
  <c r="C512" i="1" a="1"/>
  <c r="C512" i="1" s="1"/>
  <c r="E512" i="15" s="1"/>
  <c r="G512" i="1" a="1"/>
  <c r="G512" i="1" s="1"/>
  <c r="K512" i="1" a="1"/>
  <c r="K512" i="1" s="1"/>
  <c r="P512" i="1" a="1"/>
  <c r="P512" i="1" s="1"/>
  <c r="D513" i="1" a="1"/>
  <c r="D513" i="1" s="1"/>
  <c r="I513" i="15" s="1"/>
  <c r="H513" i="1" a="1"/>
  <c r="H513" i="1" s="1"/>
  <c r="L513" i="1" a="1"/>
  <c r="L513" i="1" s="1"/>
  <c r="Q513" i="1" a="1"/>
  <c r="Q513" i="1" s="1"/>
  <c r="S513" i="15" s="1"/>
  <c r="M514" i="1" a="1"/>
  <c r="M514" i="1" s="1"/>
  <c r="F515" i="1" a="1"/>
  <c r="F515" i="1" s="1"/>
  <c r="R515" i="15" s="1"/>
  <c r="J515" i="1" a="1"/>
  <c r="J515" i="1" s="1"/>
  <c r="O515" i="1"/>
  <c r="M515" i="15" s="1"/>
  <c r="N515" i="15" s="1" a="1"/>
  <c r="N515" i="15" s="1"/>
  <c r="C516" i="1" a="1"/>
  <c r="C516" i="1" s="1"/>
  <c r="E516" i="15" s="1"/>
  <c r="G516" i="1" a="1"/>
  <c r="G516" i="1" s="1"/>
  <c r="K516" i="1" a="1"/>
  <c r="K516" i="1" s="1"/>
  <c r="P516" i="1" a="1"/>
  <c r="P516" i="1" s="1"/>
  <c r="D517" i="1" a="1"/>
  <c r="D517" i="1" s="1"/>
  <c r="I517" i="15" s="1"/>
  <c r="H517" i="1" a="1"/>
  <c r="H517" i="1" s="1"/>
  <c r="L517" i="1" a="1"/>
  <c r="L517" i="1" s="1"/>
  <c r="Q517" i="1" a="1"/>
  <c r="Q517" i="1" s="1"/>
  <c r="S517" i="15" s="1"/>
  <c r="M518" i="1" a="1"/>
  <c r="M518" i="1" s="1"/>
  <c r="F519" i="1" a="1"/>
  <c r="F519" i="1" s="1"/>
  <c r="R519" i="15" s="1"/>
  <c r="J519" i="1" a="1"/>
  <c r="J519" i="1" s="1"/>
  <c r="O519" i="1"/>
  <c r="M519" i="15" s="1"/>
  <c r="N519" i="15" s="1" a="1"/>
  <c r="N519" i="15" s="1"/>
  <c r="C520" i="1" a="1"/>
  <c r="C520" i="1" s="1"/>
  <c r="E520" i="15" s="1"/>
  <c r="G520" i="1" a="1"/>
  <c r="G520" i="1" s="1"/>
  <c r="K520" i="1" a="1"/>
  <c r="K520" i="1" s="1"/>
  <c r="P520" i="1" a="1"/>
  <c r="P520" i="1" s="1"/>
  <c r="D521" i="1" a="1"/>
  <c r="D521" i="1" s="1"/>
  <c r="I521" i="15" s="1"/>
  <c r="H521" i="1" a="1"/>
  <c r="H521" i="1" s="1"/>
  <c r="L521" i="1" a="1"/>
  <c r="L521" i="1" s="1"/>
  <c r="Q521" i="1" a="1"/>
  <c r="Q521" i="1" s="1"/>
  <c r="S521" i="15" s="1"/>
  <c r="M522" i="1" a="1"/>
  <c r="M522" i="1" s="1"/>
  <c r="F523" i="1" a="1"/>
  <c r="F523" i="1" s="1"/>
  <c r="R523" i="15" s="1"/>
  <c r="J523" i="1" a="1"/>
  <c r="J523" i="1" s="1"/>
  <c r="O523" i="1"/>
  <c r="M523" i="15" s="1"/>
  <c r="N523" i="15" s="1" a="1"/>
  <c r="N523" i="15" s="1"/>
  <c r="C524" i="1" a="1"/>
  <c r="C524" i="1" s="1"/>
  <c r="E524" i="15" s="1"/>
  <c r="G524" i="1" a="1"/>
  <c r="G524" i="1" s="1"/>
  <c r="K524" i="1" a="1"/>
  <c r="K524" i="1" s="1"/>
  <c r="P524" i="1" a="1"/>
  <c r="P524" i="1" s="1"/>
  <c r="D525" i="1" a="1"/>
  <c r="D525" i="1" s="1"/>
  <c r="I525" i="15" s="1"/>
  <c r="H525" i="1" a="1"/>
  <c r="H525" i="1" s="1"/>
  <c r="L525" i="1" a="1"/>
  <c r="L525" i="1" s="1"/>
  <c r="Q525" i="1" a="1"/>
  <c r="Q525" i="1" s="1"/>
  <c r="S525" i="15" s="1"/>
  <c r="M526" i="1" a="1"/>
  <c r="M526" i="1" s="1"/>
  <c r="F527" i="1" a="1"/>
  <c r="F527" i="1" s="1"/>
  <c r="R527" i="15" s="1"/>
  <c r="J527" i="1" a="1"/>
  <c r="J527" i="1" s="1"/>
  <c r="O527" i="1"/>
  <c r="M527" i="15" s="1"/>
  <c r="N527" i="15" s="1" a="1"/>
  <c r="N527" i="15" s="1"/>
  <c r="C528" i="1" a="1"/>
  <c r="C528" i="1" s="1"/>
  <c r="E528" i="15" s="1"/>
  <c r="G528" i="1" a="1"/>
  <c r="G528" i="1" s="1"/>
  <c r="K528" i="1" a="1"/>
  <c r="K528" i="1" s="1"/>
  <c r="P528" i="1" a="1"/>
  <c r="P528" i="1" s="1"/>
  <c r="D529" i="1" a="1"/>
  <c r="D529" i="1" s="1"/>
  <c r="I529" i="15" s="1"/>
  <c r="H529" i="1" a="1"/>
  <c r="H529" i="1" s="1"/>
  <c r="L529" i="1" a="1"/>
  <c r="L529" i="1" s="1"/>
  <c r="Q529" i="1" a="1"/>
  <c r="Q529" i="1" s="1"/>
  <c r="S529" i="15" s="1"/>
  <c r="M530" i="1" a="1"/>
  <c r="M530" i="1" s="1"/>
  <c r="F531" i="1" a="1"/>
  <c r="F531" i="1" s="1"/>
  <c r="R531" i="15" s="1"/>
  <c r="J531" i="1" a="1"/>
  <c r="J531" i="1" s="1"/>
  <c r="O531" i="1"/>
  <c r="M531" i="15" s="1"/>
  <c r="N531" i="15" s="1" a="1"/>
  <c r="N531" i="15" s="1"/>
  <c r="C532" i="1" a="1"/>
  <c r="C532" i="1" s="1"/>
  <c r="E532" i="15" s="1"/>
  <c r="G532" i="1" a="1"/>
  <c r="G532" i="1" s="1"/>
  <c r="K532" i="1" a="1"/>
  <c r="K532" i="1" s="1"/>
  <c r="P532" i="1" a="1"/>
  <c r="P532" i="1" s="1"/>
  <c r="D533" i="1" a="1"/>
  <c r="D533" i="1" s="1"/>
  <c r="I533" i="15" s="1"/>
  <c r="H533" i="1" a="1"/>
  <c r="H533" i="1" s="1"/>
  <c r="L533" i="1" a="1"/>
  <c r="L533" i="1" s="1"/>
  <c r="Q533" i="1" a="1"/>
  <c r="Q533" i="1" s="1"/>
  <c r="S533" i="15" s="1"/>
  <c r="M534" i="1" a="1"/>
  <c r="M534" i="1" s="1"/>
  <c r="F535" i="1" a="1"/>
  <c r="F535" i="1" s="1"/>
  <c r="R535" i="15" s="1"/>
  <c r="J535" i="1" a="1"/>
  <c r="J535" i="1" s="1"/>
  <c r="O535" i="1"/>
  <c r="M535" i="15" s="1"/>
  <c r="N535" i="15" s="1" a="1"/>
  <c r="N535" i="15" s="1"/>
  <c r="C536" i="1" a="1"/>
  <c r="C536" i="1" s="1"/>
  <c r="E536" i="15" s="1"/>
  <c r="G536" i="1" a="1"/>
  <c r="G536" i="1" s="1"/>
  <c r="K536" i="1" a="1"/>
  <c r="K536" i="1" s="1"/>
  <c r="P536" i="1" a="1"/>
  <c r="P536" i="1" s="1"/>
  <c r="D537" i="1" a="1"/>
  <c r="D537" i="1" s="1"/>
  <c r="I537" i="15" s="1"/>
  <c r="H537" i="1" a="1"/>
  <c r="H537" i="1" s="1"/>
  <c r="L537" i="1" a="1"/>
  <c r="L537" i="1" s="1"/>
  <c r="Q537" i="1" a="1"/>
  <c r="Q537" i="1" s="1"/>
  <c r="S537" i="15" s="1"/>
  <c r="M538" i="1" a="1"/>
  <c r="M538" i="1" s="1"/>
  <c r="F539" i="1" a="1"/>
  <c r="F539" i="1" s="1"/>
  <c r="R539" i="15" s="1"/>
  <c r="J539" i="1" a="1"/>
  <c r="J539" i="1" s="1"/>
  <c r="O539" i="1"/>
  <c r="M539" i="15" s="1"/>
  <c r="N539" i="15" s="1" a="1"/>
  <c r="N539" i="15" s="1"/>
  <c r="C540" i="1" a="1"/>
  <c r="C540" i="1" s="1"/>
  <c r="E540" i="15" s="1"/>
  <c r="G540" i="1" a="1"/>
  <c r="G540" i="1" s="1"/>
  <c r="K540" i="1" a="1"/>
  <c r="K540" i="1" s="1"/>
  <c r="P540" i="1" a="1"/>
  <c r="P540" i="1" s="1"/>
  <c r="D541" i="1" a="1"/>
  <c r="D541" i="1" s="1"/>
  <c r="I541" i="15" s="1"/>
  <c r="H541" i="1" a="1"/>
  <c r="H541" i="1" s="1"/>
  <c r="L541" i="1" a="1"/>
  <c r="L541" i="1" s="1"/>
  <c r="Q541" i="1" a="1"/>
  <c r="Q541" i="1" s="1"/>
  <c r="S541" i="15" s="1"/>
  <c r="M542" i="1" a="1"/>
  <c r="M542" i="1" s="1"/>
  <c r="M543" i="1" a="1"/>
  <c r="M543" i="1" s="1"/>
  <c r="F544" i="1" a="1"/>
  <c r="F544" i="1" s="1"/>
  <c r="R544" i="15" s="1"/>
  <c r="M544" i="1" a="1"/>
  <c r="M544" i="1" s="1"/>
  <c r="M545" i="1" a="1"/>
  <c r="M545" i="1" s="1"/>
  <c r="F546" i="1" a="1"/>
  <c r="F546" i="1" s="1"/>
  <c r="R546" i="15" s="1"/>
  <c r="L546" i="1" a="1"/>
  <c r="L546" i="1" s="1"/>
  <c r="C547" i="1" a="1"/>
  <c r="C547" i="1" s="1"/>
  <c r="E547" i="15" s="1"/>
  <c r="L547" i="1" a="1"/>
  <c r="L547" i="1" s="1"/>
  <c r="C548" i="1" a="1"/>
  <c r="C548" i="1" s="1"/>
  <c r="E548" i="15" s="1"/>
  <c r="M548" i="1" a="1"/>
  <c r="M548" i="1" s="1"/>
  <c r="M549" i="1" a="1"/>
  <c r="M549" i="1" s="1"/>
  <c r="G550" i="1" a="1"/>
  <c r="G550" i="1" s="1"/>
  <c r="J550" i="1" a="1"/>
  <c r="J550" i="1" s="1"/>
  <c r="O550" i="1"/>
  <c r="M550" i="15" s="1"/>
  <c r="N550" i="15" s="1" a="1"/>
  <c r="N550" i="15" s="1"/>
  <c r="C551" i="1" a="1"/>
  <c r="C551" i="1" s="1"/>
  <c r="E551" i="15" s="1"/>
  <c r="G551" i="1" a="1"/>
  <c r="G551" i="1" s="1"/>
  <c r="J551" i="1" a="1"/>
  <c r="J551" i="1" s="1"/>
  <c r="M551" i="1" a="1"/>
  <c r="M551" i="1" s="1"/>
  <c r="Q551" i="1" a="1"/>
  <c r="Q551" i="1" s="1"/>
  <c r="S551" i="15" s="1"/>
  <c r="H552" i="1" a="1"/>
  <c r="H552" i="1" s="1"/>
  <c r="L552" i="1" a="1"/>
  <c r="L552" i="1" s="1"/>
  <c r="P552" i="1" a="1"/>
  <c r="P552" i="1" s="1"/>
  <c r="C553" i="1" a="1"/>
  <c r="C553" i="1" s="1"/>
  <c r="E553" i="15" s="1"/>
  <c r="F553" i="1" a="1"/>
  <c r="F553" i="1" s="1"/>
  <c r="R553" i="15" s="1"/>
  <c r="K553" i="1" a="1"/>
  <c r="K553" i="1" s="1"/>
  <c r="P553" i="1" a="1"/>
  <c r="P553" i="1" s="1"/>
  <c r="C554" i="1" a="1"/>
  <c r="C554" i="1" s="1"/>
  <c r="E554" i="15" s="1"/>
  <c r="L554" i="1" a="1"/>
  <c r="L554" i="1" s="1"/>
  <c r="Q554" i="1" a="1"/>
  <c r="Q554" i="1" s="1"/>
  <c r="S554" i="15" s="1"/>
  <c r="D555" i="1" a="1"/>
  <c r="D555" i="1" s="1"/>
  <c r="I555" i="15" s="1"/>
  <c r="H555" i="1" a="1"/>
  <c r="H555" i="1" s="1"/>
  <c r="K555" i="1" a="1"/>
  <c r="K555" i="1" s="1"/>
  <c r="P555" i="1" a="1"/>
  <c r="P555" i="1" s="1"/>
  <c r="D556" i="1" a="1"/>
  <c r="D556" i="1" s="1"/>
  <c r="I556" i="15" s="1"/>
  <c r="H556" i="1" a="1"/>
  <c r="H556" i="1" s="1"/>
  <c r="L556" i="1" a="1"/>
  <c r="L556" i="1" s="1"/>
  <c r="Q556" i="1" a="1"/>
  <c r="Q556" i="1" s="1"/>
  <c r="S556" i="15" s="1"/>
  <c r="M557" i="1" a="1"/>
  <c r="M557" i="1" s="1"/>
  <c r="F558" i="1" a="1"/>
  <c r="F558" i="1" s="1"/>
  <c r="R558" i="15" s="1"/>
  <c r="J558" i="1" a="1"/>
  <c r="J558" i="1" s="1"/>
  <c r="O558" i="1"/>
  <c r="M558" i="15" s="1"/>
  <c r="N558" i="15" s="1" a="1"/>
  <c r="N558" i="15" s="1"/>
  <c r="C559" i="1" a="1"/>
  <c r="C559" i="1" s="1"/>
  <c r="E559" i="15" s="1"/>
  <c r="G559" i="1" a="1"/>
  <c r="G559" i="1" s="1"/>
  <c r="J543" i="1" a="1"/>
  <c r="J543" i="1" s="1"/>
  <c r="O544" i="1"/>
  <c r="M544" i="15" s="1"/>
  <c r="N544" i="15" s="1" a="1"/>
  <c r="N544" i="15" s="1"/>
  <c r="F545" i="1" a="1"/>
  <c r="F545" i="1" s="1"/>
  <c r="R545" i="15" s="1"/>
  <c r="K545" i="1" a="1"/>
  <c r="K545" i="1" s="1"/>
  <c r="C546" i="1" a="1"/>
  <c r="C546" i="1" s="1"/>
  <c r="E546" i="15" s="1"/>
  <c r="O546" i="1"/>
  <c r="M546" i="15" s="1"/>
  <c r="N546" i="15" s="1" a="1"/>
  <c r="N546" i="15" s="1"/>
  <c r="D547" i="1" a="1"/>
  <c r="D547" i="1" s="1"/>
  <c r="I547" i="15" s="1"/>
  <c r="Q547" i="1" a="1"/>
  <c r="Q547" i="1" s="1"/>
  <c r="S547" i="15" s="1"/>
  <c r="J548" i="1" a="1"/>
  <c r="J548" i="1" s="1"/>
  <c r="G549" i="1" a="1"/>
  <c r="G549" i="1" s="1"/>
  <c r="O549" i="1"/>
  <c r="M549" i="15" s="1"/>
  <c r="N549" i="15" s="1" a="1"/>
  <c r="N549" i="15" s="1"/>
  <c r="Q550" i="1" a="1"/>
  <c r="Q550" i="1" s="1"/>
  <c r="S550" i="15" s="1"/>
  <c r="L551" i="1" a="1"/>
  <c r="L551" i="1" s="1"/>
  <c r="C552" i="1" a="1"/>
  <c r="C552" i="1" s="1"/>
  <c r="E552" i="15" s="1"/>
  <c r="D553" i="1" a="1"/>
  <c r="D553" i="1" s="1"/>
  <c r="I553" i="15" s="1"/>
  <c r="Q553" i="1" a="1"/>
  <c r="Q553" i="1" s="1"/>
  <c r="S553" i="15" s="1"/>
  <c r="J554" i="1" a="1"/>
  <c r="J554" i="1" s="1"/>
  <c r="M555" i="1" a="1"/>
  <c r="M555" i="1" s="1"/>
  <c r="C556" i="1" a="1"/>
  <c r="C556" i="1" s="1"/>
  <c r="E556" i="15" s="1"/>
  <c r="O556" i="1"/>
  <c r="M556" i="15" s="1"/>
  <c r="N556" i="15" s="1" a="1"/>
  <c r="N556" i="15" s="1"/>
  <c r="D557" i="1" a="1"/>
  <c r="D557" i="1" s="1"/>
  <c r="I557" i="15" s="1"/>
  <c r="H557" i="1" a="1"/>
  <c r="H557" i="1" s="1"/>
  <c r="L557" i="1" a="1"/>
  <c r="L557" i="1" s="1"/>
  <c r="G558" i="1" a="1"/>
  <c r="G558" i="1" s="1"/>
  <c r="L558" i="1" a="1"/>
  <c r="L558" i="1" s="1"/>
  <c r="H559" i="1" a="1"/>
  <c r="H559" i="1" s="1"/>
  <c r="L559" i="1" a="1"/>
  <c r="L559" i="1" s="1"/>
  <c r="Q559" i="1" a="1"/>
  <c r="Q559" i="1" s="1"/>
  <c r="S559" i="15" s="1"/>
  <c r="M560" i="1" a="1"/>
  <c r="M560" i="1" s="1"/>
  <c r="F561" i="1" a="1"/>
  <c r="F561" i="1" s="1"/>
  <c r="R561" i="15" s="1"/>
  <c r="J561" i="1" a="1"/>
  <c r="J561" i="1" s="1"/>
  <c r="O561" i="1"/>
  <c r="M561" i="15" s="1"/>
  <c r="N561" i="15" s="1" a="1"/>
  <c r="N561" i="15" s="1"/>
  <c r="C562" i="1" a="1"/>
  <c r="C562" i="1" s="1"/>
  <c r="E562" i="15" s="1"/>
  <c r="G562" i="1" a="1"/>
  <c r="G562" i="1" s="1"/>
  <c r="K562" i="1" a="1"/>
  <c r="K562" i="1" s="1"/>
  <c r="P562" i="1" a="1"/>
  <c r="P562" i="1" s="1"/>
  <c r="D563" i="1" a="1"/>
  <c r="D563" i="1" s="1"/>
  <c r="I563" i="15" s="1"/>
  <c r="H563" i="1" a="1"/>
  <c r="H563" i="1" s="1"/>
  <c r="L563" i="1" a="1"/>
  <c r="L563" i="1" s="1"/>
  <c r="Q563" i="1" a="1"/>
  <c r="Q563" i="1" s="1"/>
  <c r="S563" i="15" s="1"/>
  <c r="M564" i="1" a="1"/>
  <c r="M564" i="1" s="1"/>
  <c r="F565" i="1" a="1"/>
  <c r="F565" i="1" s="1"/>
  <c r="R565" i="15" s="1"/>
  <c r="J565" i="1" a="1"/>
  <c r="J565" i="1" s="1"/>
  <c r="O565" i="1"/>
  <c r="M565" i="15" s="1"/>
  <c r="N565" i="15" s="1" a="1"/>
  <c r="N565" i="15" s="1"/>
  <c r="C566" i="1" a="1"/>
  <c r="C566" i="1" s="1"/>
  <c r="E566" i="15" s="1"/>
  <c r="G566" i="1" a="1"/>
  <c r="G566" i="1" s="1"/>
  <c r="K566" i="1" a="1"/>
  <c r="K566" i="1" s="1"/>
  <c r="P566" i="1" a="1"/>
  <c r="P566" i="1" s="1"/>
  <c r="D567" i="1" a="1"/>
  <c r="D567" i="1" s="1"/>
  <c r="I567" i="15" s="1"/>
  <c r="H567" i="1" a="1"/>
  <c r="H567" i="1" s="1"/>
  <c r="L567" i="1" a="1"/>
  <c r="L567" i="1" s="1"/>
  <c r="Q567" i="1" a="1"/>
  <c r="Q567" i="1" s="1"/>
  <c r="S567" i="15" s="1"/>
  <c r="M568" i="1" a="1"/>
  <c r="M568" i="1" s="1"/>
  <c r="F569" i="1" a="1"/>
  <c r="F569" i="1" s="1"/>
  <c r="R569" i="15" s="1"/>
  <c r="J569" i="1" a="1"/>
  <c r="J569" i="1" s="1"/>
  <c r="O569" i="1"/>
  <c r="M569" i="15" s="1"/>
  <c r="N569" i="15" s="1" a="1"/>
  <c r="N569" i="15" s="1"/>
  <c r="C570" i="1" a="1"/>
  <c r="C570" i="1" s="1"/>
  <c r="E570" i="15" s="1"/>
  <c r="G570" i="1" a="1"/>
  <c r="G570" i="1" s="1"/>
  <c r="K570" i="1" a="1"/>
  <c r="K570" i="1" s="1"/>
  <c r="P570" i="1" a="1"/>
  <c r="P570" i="1" s="1"/>
  <c r="D571" i="1" a="1"/>
  <c r="D571" i="1" s="1"/>
  <c r="I571" i="15" s="1"/>
  <c r="H571" i="1" a="1"/>
  <c r="H571" i="1" s="1"/>
  <c r="L571" i="1" a="1"/>
  <c r="L571" i="1" s="1"/>
  <c r="Q571" i="1" a="1"/>
  <c r="Q571" i="1" s="1"/>
  <c r="S571" i="15" s="1"/>
  <c r="M572" i="1" a="1"/>
  <c r="M572" i="1" s="1"/>
  <c r="F573" i="1" a="1"/>
  <c r="F573" i="1" s="1"/>
  <c r="R573" i="15" s="1"/>
  <c r="J573" i="1" a="1"/>
  <c r="J573" i="1" s="1"/>
  <c r="O573" i="1"/>
  <c r="M573" i="15" s="1"/>
  <c r="N573" i="15" s="1" a="1"/>
  <c r="N573" i="15" s="1"/>
  <c r="C574" i="1" a="1"/>
  <c r="C574" i="1" s="1"/>
  <c r="E574" i="15" s="1"/>
  <c r="G574" i="1" a="1"/>
  <c r="G574" i="1" s="1"/>
  <c r="K574" i="1" a="1"/>
  <c r="K574" i="1" s="1"/>
  <c r="P574" i="1" a="1"/>
  <c r="P574" i="1" s="1"/>
  <c r="D575" i="1" a="1"/>
  <c r="D575" i="1" s="1"/>
  <c r="I575" i="15" s="1"/>
  <c r="H575" i="1" a="1"/>
  <c r="H575" i="1" s="1"/>
  <c r="L575" i="1" a="1"/>
  <c r="L575" i="1" s="1"/>
  <c r="Q575" i="1" a="1"/>
  <c r="Q575" i="1" s="1"/>
  <c r="S575" i="15" s="1"/>
  <c r="M576" i="1" a="1"/>
  <c r="M576" i="1" s="1"/>
  <c r="F577" i="1" a="1"/>
  <c r="F577" i="1" s="1"/>
  <c r="R577" i="15" s="1"/>
  <c r="J577" i="1" a="1"/>
  <c r="J577" i="1" s="1"/>
  <c r="O577" i="1"/>
  <c r="M577" i="15" s="1"/>
  <c r="N577" i="15" s="1" a="1"/>
  <c r="N577" i="15" s="1"/>
  <c r="C578" i="1" a="1"/>
  <c r="C578" i="1" s="1"/>
  <c r="E578" i="15" s="1"/>
  <c r="G578" i="1" a="1"/>
  <c r="G578" i="1" s="1"/>
  <c r="K578" i="1" a="1"/>
  <c r="K578" i="1" s="1"/>
  <c r="P578" i="1" a="1"/>
  <c r="P578" i="1" s="1"/>
  <c r="D579" i="1" a="1"/>
  <c r="D579" i="1" s="1"/>
  <c r="I579" i="15" s="1"/>
  <c r="H579" i="1" a="1"/>
  <c r="H579" i="1" s="1"/>
  <c r="L579" i="1" a="1"/>
  <c r="L579" i="1" s="1"/>
  <c r="Q579" i="1" a="1"/>
  <c r="Q579" i="1" s="1"/>
  <c r="S579" i="15" s="1"/>
  <c r="M580" i="1" a="1"/>
  <c r="M580" i="1" s="1"/>
  <c r="F581" i="1" a="1"/>
  <c r="F581" i="1" s="1"/>
  <c r="R581" i="15" s="1"/>
  <c r="J581" i="1" a="1"/>
  <c r="J581" i="1" s="1"/>
  <c r="O581" i="1"/>
  <c r="M581" i="15" s="1"/>
  <c r="N581" i="15" s="1" a="1"/>
  <c r="N581" i="15" s="1"/>
  <c r="C582" i="1" a="1"/>
  <c r="C582" i="1" s="1"/>
  <c r="E582" i="15" s="1"/>
  <c r="G582" i="1" a="1"/>
  <c r="G582" i="1" s="1"/>
  <c r="K582" i="1" a="1"/>
  <c r="K582" i="1" s="1"/>
  <c r="P582" i="1" a="1"/>
  <c r="P582" i="1" s="1"/>
  <c r="D583" i="1" a="1"/>
  <c r="D583" i="1" s="1"/>
  <c r="I583" i="15" s="1"/>
  <c r="H583" i="1" a="1"/>
  <c r="H583" i="1" s="1"/>
  <c r="L583" i="1" a="1"/>
  <c r="L583" i="1" s="1"/>
  <c r="Q583" i="1" a="1"/>
  <c r="Q583" i="1" s="1"/>
  <c r="S583" i="15" s="1"/>
  <c r="M584" i="1" a="1"/>
  <c r="M584" i="1" s="1"/>
  <c r="F585" i="1" a="1"/>
  <c r="F585" i="1" s="1"/>
  <c r="R585" i="15" s="1"/>
  <c r="J585" i="1" a="1"/>
  <c r="J585" i="1" s="1"/>
  <c r="O585" i="1"/>
  <c r="M585" i="15" s="1"/>
  <c r="N585" i="15" s="1" a="1"/>
  <c r="N585" i="15" s="1"/>
  <c r="C586" i="1" a="1"/>
  <c r="C586" i="1" s="1"/>
  <c r="E586" i="15" s="1"/>
  <c r="G586" i="1" a="1"/>
  <c r="G586" i="1" s="1"/>
  <c r="K586" i="1" a="1"/>
  <c r="K586" i="1" s="1"/>
  <c r="P586" i="1" a="1"/>
  <c r="P586" i="1" s="1"/>
  <c r="D587" i="1" a="1"/>
  <c r="D587" i="1" s="1"/>
  <c r="I587" i="15" s="1"/>
  <c r="H587" i="1" a="1"/>
  <c r="H587" i="1" s="1"/>
  <c r="L587" i="1" a="1"/>
  <c r="L587" i="1" s="1"/>
  <c r="Q587" i="1" a="1"/>
  <c r="Q587" i="1" s="1"/>
  <c r="S587" i="15" s="1"/>
  <c r="M588" i="1" a="1"/>
  <c r="M588" i="1" s="1"/>
  <c r="F589" i="1" a="1"/>
  <c r="F589" i="1" s="1"/>
  <c r="R589" i="15" s="1"/>
  <c r="J589" i="1" a="1"/>
  <c r="J589" i="1" s="1"/>
  <c r="O589" i="1"/>
  <c r="M589" i="15" s="1"/>
  <c r="N589" i="15" s="1" a="1"/>
  <c r="N589" i="15" s="1"/>
  <c r="C590" i="1" a="1"/>
  <c r="C590" i="1" s="1"/>
  <c r="E590" i="15" s="1"/>
  <c r="G590" i="1" a="1"/>
  <c r="G590" i="1" s="1"/>
  <c r="K590" i="1" a="1"/>
  <c r="K590" i="1" s="1"/>
  <c r="P590" i="1" a="1"/>
  <c r="P590" i="1" s="1"/>
  <c r="D591" i="1" a="1"/>
  <c r="D591" i="1" s="1"/>
  <c r="I591" i="15" s="1"/>
  <c r="H591" i="1" a="1"/>
  <c r="H591" i="1" s="1"/>
  <c r="L591" i="1" a="1"/>
  <c r="L591" i="1" s="1"/>
  <c r="Q591" i="1" a="1"/>
  <c r="Q591" i="1" s="1"/>
  <c r="S591" i="15" s="1"/>
  <c r="M592" i="1" a="1"/>
  <c r="M592" i="1" s="1"/>
  <c r="F593" i="1" a="1"/>
  <c r="F593" i="1" s="1"/>
  <c r="R593" i="15" s="1"/>
  <c r="J593" i="1" a="1"/>
  <c r="J593" i="1" s="1"/>
  <c r="O593" i="1"/>
  <c r="M593" i="15" s="1"/>
  <c r="N593" i="15" s="1" a="1"/>
  <c r="N593" i="15" s="1"/>
  <c r="M594" i="1" a="1"/>
  <c r="M594" i="1" s="1"/>
  <c r="F595" i="1" a="1"/>
  <c r="F595" i="1" s="1"/>
  <c r="R595" i="15" s="1"/>
  <c r="J595" i="1" a="1"/>
  <c r="J595" i="1" s="1"/>
  <c r="M595" i="1" a="1"/>
  <c r="M595" i="1" s="1"/>
  <c r="Q595" i="1" a="1"/>
  <c r="Q595" i="1" s="1"/>
  <c r="S595" i="15" s="1"/>
  <c r="D596" i="1" a="1"/>
  <c r="D596" i="1" s="1"/>
  <c r="I596" i="15" s="1"/>
  <c r="G596" i="1" a="1"/>
  <c r="G596" i="1" s="1"/>
  <c r="K596" i="1" a="1"/>
  <c r="K596" i="1" s="1"/>
  <c r="O596" i="1"/>
  <c r="M596" i="15" s="1"/>
  <c r="N596" i="15" s="1" a="1"/>
  <c r="N596" i="15" s="1"/>
  <c r="C597" i="1" a="1"/>
  <c r="C597" i="1" s="1"/>
  <c r="E597" i="15" s="1"/>
  <c r="F597" i="1" a="1"/>
  <c r="F597" i="1" s="1"/>
  <c r="R597" i="15" s="1"/>
  <c r="H597" i="1" a="1"/>
  <c r="H597" i="1" s="1"/>
  <c r="K597" i="1" a="1"/>
  <c r="K597" i="1" s="1"/>
  <c r="P597" i="1" a="1"/>
  <c r="P597" i="1" s="1"/>
  <c r="D598" i="1" a="1"/>
  <c r="D598" i="1" s="1"/>
  <c r="I598" i="15" s="1"/>
  <c r="G598" i="1" a="1"/>
  <c r="G598" i="1" s="1"/>
  <c r="M598" i="1" a="1"/>
  <c r="M598" i="1" s="1"/>
  <c r="Q598" i="1" a="1"/>
  <c r="Q598" i="1" s="1"/>
  <c r="S598" i="15" s="1"/>
  <c r="H599" i="1" a="1"/>
  <c r="H599" i="1" s="1"/>
  <c r="K599" i="1" a="1"/>
  <c r="K599" i="1" s="1"/>
  <c r="P599" i="1" a="1"/>
  <c r="P599" i="1" s="1"/>
  <c r="D600" i="1" a="1"/>
  <c r="D600" i="1" s="1"/>
  <c r="I600" i="15" s="1"/>
  <c r="H600" i="1" a="1"/>
  <c r="H600" i="1" s="1"/>
  <c r="K600" i="1" a="1"/>
  <c r="K600" i="1" s="1"/>
  <c r="O600" i="1"/>
  <c r="M600" i="15" s="1"/>
  <c r="N600" i="15" s="1" a="1"/>
  <c r="N600" i="15" s="1"/>
  <c r="M601" i="1" a="1"/>
  <c r="M601" i="1" s="1"/>
  <c r="H602" i="1" a="1"/>
  <c r="H602" i="1" s="1"/>
  <c r="L602" i="1" a="1"/>
  <c r="L602" i="1" s="1"/>
  <c r="Q602" i="1" a="1"/>
  <c r="Q602" i="1" s="1"/>
  <c r="S602" i="15" s="1"/>
  <c r="C604" i="1" a="1"/>
  <c r="C604" i="1" s="1"/>
  <c r="E604" i="15" s="1"/>
  <c r="J604" i="1" a="1"/>
  <c r="J604" i="1" s="1"/>
  <c r="K605" i="1" a="1"/>
  <c r="K605" i="1" s="1"/>
  <c r="P605" i="1" a="1"/>
  <c r="P605" i="1" s="1"/>
  <c r="C606" i="1" a="1"/>
  <c r="C606" i="1" s="1"/>
  <c r="E606" i="15" s="1"/>
  <c r="G606" i="1" a="1"/>
  <c r="G606" i="1" s="1"/>
  <c r="K606" i="1" a="1"/>
  <c r="K606" i="1" s="1"/>
  <c r="P606" i="1" a="1"/>
  <c r="P606" i="1" s="1"/>
  <c r="D607" i="1" a="1"/>
  <c r="D607" i="1" s="1"/>
  <c r="I607" i="15" s="1"/>
  <c r="H607" i="1" a="1"/>
  <c r="H607" i="1" s="1"/>
  <c r="K607" i="1" a="1"/>
  <c r="K607" i="1" s="1"/>
  <c r="P607" i="1" a="1"/>
  <c r="P607" i="1" s="1"/>
  <c r="C608" i="1" a="1"/>
  <c r="C608" i="1" s="1"/>
  <c r="E608" i="15" s="1"/>
  <c r="G608" i="1" a="1"/>
  <c r="G608" i="1" s="1"/>
  <c r="J608" i="1" a="1"/>
  <c r="J608" i="1" s="1"/>
  <c r="O608" i="1"/>
  <c r="M608" i="15" s="1"/>
  <c r="N608" i="15" s="1" a="1"/>
  <c r="N608" i="15" s="1"/>
  <c r="F609" i="1" a="1"/>
  <c r="F609" i="1" s="1"/>
  <c r="R609" i="15" s="1"/>
  <c r="M609" i="1" a="1"/>
  <c r="M609" i="1" s="1"/>
  <c r="F610" i="1" a="1"/>
  <c r="F610" i="1" s="1"/>
  <c r="R610" i="15" s="1"/>
  <c r="J610" i="1" a="1"/>
  <c r="J610" i="1" s="1"/>
  <c r="O610" i="1"/>
  <c r="M610" i="15" s="1"/>
  <c r="N610" i="15" s="1" a="1"/>
  <c r="N610" i="15" s="1"/>
  <c r="J611" i="1" a="1"/>
  <c r="J611" i="1" s="1"/>
  <c r="O611" i="1"/>
  <c r="M611" i="15" s="1"/>
  <c r="N611" i="15" s="1" a="1"/>
  <c r="N611" i="15" s="1"/>
  <c r="J612" i="1" a="1"/>
  <c r="J612" i="1" s="1"/>
  <c r="O612" i="1"/>
  <c r="M612" i="15" s="1"/>
  <c r="N612" i="15" s="1" a="1"/>
  <c r="N612" i="15" s="1"/>
  <c r="J613" i="1" a="1"/>
  <c r="J613" i="1" s="1"/>
  <c r="O613" i="1"/>
  <c r="M613" i="15" s="1"/>
  <c r="N613" i="15" s="1" a="1"/>
  <c r="N613" i="15" s="1"/>
  <c r="J614" i="1" a="1"/>
  <c r="J614" i="1" s="1"/>
  <c r="O614" i="1"/>
  <c r="M614" i="15" s="1"/>
  <c r="N614" i="15" s="1" a="1"/>
  <c r="N614" i="15" s="1"/>
  <c r="J615" i="1" a="1"/>
  <c r="J615" i="1" s="1"/>
  <c r="O615" i="1"/>
  <c r="M615" i="15" s="1"/>
  <c r="N615" i="15" s="1" a="1"/>
  <c r="N615" i="15" s="1"/>
  <c r="J616" i="1" a="1"/>
  <c r="J616" i="1" s="1"/>
  <c r="O616" i="1"/>
  <c r="M616" i="15" s="1"/>
  <c r="N616" i="15" s="1" a="1"/>
  <c r="N616" i="15" s="1"/>
  <c r="J617" i="1" a="1"/>
  <c r="J617" i="1" s="1"/>
  <c r="O617" i="1"/>
  <c r="M617" i="15" s="1"/>
  <c r="N617" i="15" s="1" a="1"/>
  <c r="N617" i="15" s="1"/>
  <c r="J618" i="1" a="1"/>
  <c r="J618" i="1" s="1"/>
  <c r="O618" i="1"/>
  <c r="M618" i="15" s="1"/>
  <c r="N618" i="15" s="1" a="1"/>
  <c r="N618" i="15" s="1"/>
  <c r="J619" i="1" a="1"/>
  <c r="J619" i="1" s="1"/>
  <c r="O619" i="1"/>
  <c r="M619" i="15" s="1"/>
  <c r="N619" i="15" s="1" a="1"/>
  <c r="N619" i="15" s="1"/>
  <c r="J620" i="1" a="1"/>
  <c r="J620" i="1" s="1"/>
  <c r="O620" i="1"/>
  <c r="M620" i="15" s="1"/>
  <c r="N620" i="15" s="1" a="1"/>
  <c r="N620" i="15" s="1"/>
  <c r="J621" i="1" a="1"/>
  <c r="J621" i="1" s="1"/>
  <c r="O621" i="1"/>
  <c r="M621" i="15" s="1"/>
  <c r="N621" i="15" s="1" a="1"/>
  <c r="N621" i="15" s="1"/>
  <c r="J622" i="1" a="1"/>
  <c r="J622" i="1" s="1"/>
  <c r="O622" i="1"/>
  <c r="M622" i="15" s="1"/>
  <c r="N622" i="15" s="1" a="1"/>
  <c r="N622" i="15" s="1"/>
  <c r="J623" i="1" a="1"/>
  <c r="J623" i="1" s="1"/>
  <c r="O623" i="1"/>
  <c r="M623" i="15" s="1"/>
  <c r="N623" i="15" s="1" a="1"/>
  <c r="N623" i="15" s="1"/>
  <c r="J624" i="1" a="1"/>
  <c r="J624" i="1" s="1"/>
  <c r="O624" i="1"/>
  <c r="M624" i="15" s="1"/>
  <c r="N624" i="15" s="1" a="1"/>
  <c r="N624" i="15" s="1"/>
  <c r="J625" i="1" a="1"/>
  <c r="J625" i="1" s="1"/>
  <c r="O625" i="1"/>
  <c r="M625" i="15" s="1"/>
  <c r="N625" i="15" s="1" a="1"/>
  <c r="N625" i="15" s="1"/>
  <c r="J626" i="1" a="1"/>
  <c r="J626" i="1" s="1"/>
  <c r="O626" i="1"/>
  <c r="M626" i="15" s="1"/>
  <c r="N626" i="15" s="1" a="1"/>
  <c r="N626" i="15" s="1"/>
  <c r="J627" i="1" a="1"/>
  <c r="J627" i="1" s="1"/>
  <c r="O627" i="1"/>
  <c r="M627" i="15" s="1"/>
  <c r="N627" i="15" s="1" a="1"/>
  <c r="N627" i="15" s="1"/>
  <c r="J628" i="1" a="1"/>
  <c r="J628" i="1" s="1"/>
  <c r="O628" i="1"/>
  <c r="M628" i="15" s="1"/>
  <c r="N628" i="15" s="1" a="1"/>
  <c r="N628" i="15" s="1"/>
  <c r="J629" i="1" a="1"/>
  <c r="J629" i="1" s="1"/>
  <c r="O629" i="1"/>
  <c r="M629" i="15" s="1"/>
  <c r="N629" i="15" s="1" a="1"/>
  <c r="N629" i="15" s="1"/>
  <c r="J630" i="1" a="1"/>
  <c r="J630" i="1" s="1"/>
  <c r="O630" i="1"/>
  <c r="M630" i="15" s="1"/>
  <c r="N630" i="15" s="1" a="1"/>
  <c r="N630" i="15" s="1"/>
  <c r="J631" i="1" a="1"/>
  <c r="J631" i="1" s="1"/>
  <c r="O631" i="1"/>
  <c r="M631" i="15" s="1"/>
  <c r="N631" i="15" s="1" a="1"/>
  <c r="N631" i="15" s="1"/>
  <c r="J632" i="1" a="1"/>
  <c r="J632" i="1" s="1"/>
  <c r="O632" i="1"/>
  <c r="M632" i="15" s="1"/>
  <c r="N632" i="15" s="1" a="1"/>
  <c r="N632" i="15" s="1"/>
  <c r="J633" i="1" a="1"/>
  <c r="J633" i="1" s="1"/>
  <c r="O633" i="1"/>
  <c r="M633" i="15" s="1"/>
  <c r="N633" i="15" s="1" a="1"/>
  <c r="N633" i="15" s="1"/>
  <c r="J634" i="1" a="1"/>
  <c r="J634" i="1" s="1"/>
  <c r="O634" i="1"/>
  <c r="M634" i="15" s="1"/>
  <c r="N634" i="15" s="1" a="1"/>
  <c r="N634" i="15" s="1"/>
  <c r="J635" i="1" a="1"/>
  <c r="J635" i="1" s="1"/>
  <c r="O635" i="1"/>
  <c r="M635" i="15" s="1"/>
  <c r="N635" i="15" s="1" a="1"/>
  <c r="N635" i="15" s="1"/>
  <c r="J636" i="1" a="1"/>
  <c r="J636" i="1" s="1"/>
  <c r="O636" i="1"/>
  <c r="M636" i="15" s="1"/>
  <c r="N636" i="15" s="1" a="1"/>
  <c r="N636" i="15" s="1"/>
  <c r="J637" i="1" a="1"/>
  <c r="J637" i="1" s="1"/>
  <c r="O637" i="1"/>
  <c r="M637" i="15" s="1"/>
  <c r="N637" i="15" s="1" a="1"/>
  <c r="N637" i="15" s="1"/>
  <c r="J638" i="1" a="1"/>
  <c r="J638" i="1" s="1"/>
  <c r="O638" i="1"/>
  <c r="M638" i="15" s="1"/>
  <c r="N638" i="15" s="1" a="1"/>
  <c r="N638" i="15" s="1"/>
  <c r="J639" i="1" a="1"/>
  <c r="J639" i="1" s="1"/>
  <c r="O639" i="1"/>
  <c r="M639" i="15" s="1"/>
  <c r="N639" i="15" s="1" a="1"/>
  <c r="N639" i="15" s="1"/>
  <c r="J640" i="1" a="1"/>
  <c r="J640" i="1" s="1"/>
  <c r="O640" i="1"/>
  <c r="M640" i="15" s="1"/>
  <c r="N640" i="15" s="1" a="1"/>
  <c r="N640" i="15" s="1"/>
  <c r="J641" i="1" a="1"/>
  <c r="J641" i="1" s="1"/>
  <c r="O641" i="1"/>
  <c r="M641" i="15" s="1"/>
  <c r="N641" i="15" s="1" a="1"/>
  <c r="N641" i="15" s="1"/>
  <c r="J642" i="1" a="1"/>
  <c r="J642" i="1" s="1"/>
  <c r="O642" i="1"/>
  <c r="M642" i="15" s="1"/>
  <c r="N642" i="15" s="1" a="1"/>
  <c r="N642" i="15" s="1"/>
  <c r="J643" i="1" a="1"/>
  <c r="J643" i="1" s="1"/>
  <c r="O643" i="1"/>
  <c r="M643" i="15" s="1"/>
  <c r="N643" i="15" s="1" a="1"/>
  <c r="N643" i="15" s="1"/>
  <c r="J644" i="1" a="1"/>
  <c r="J644" i="1" s="1"/>
  <c r="O543" i="1"/>
  <c r="M543" i="15" s="1"/>
  <c r="N543" i="15" s="1" a="1"/>
  <c r="N543" i="15" s="1"/>
  <c r="G544" i="1" a="1"/>
  <c r="G544" i="1" s="1"/>
  <c r="G545" i="1" a="1"/>
  <c r="G545" i="1" s="1"/>
  <c r="O545" i="1"/>
  <c r="M545" i="15" s="1"/>
  <c r="N545" i="15" s="1" a="1"/>
  <c r="N545" i="15" s="1"/>
  <c r="D546" i="1" a="1"/>
  <c r="D546" i="1" s="1"/>
  <c r="I546" i="15" s="1"/>
  <c r="Q546" i="1" a="1"/>
  <c r="Q546" i="1" s="1"/>
  <c r="S546" i="15" s="1"/>
  <c r="J547" i="1" a="1"/>
  <c r="J547" i="1" s="1"/>
  <c r="G548" i="1" a="1"/>
  <c r="G548" i="1" s="1"/>
  <c r="K548" i="1" a="1"/>
  <c r="K548" i="1" s="1"/>
  <c r="C549" i="1" a="1"/>
  <c r="C549" i="1" s="1"/>
  <c r="E549" i="15" s="1"/>
  <c r="P549" i="1" a="1"/>
  <c r="P549" i="1" s="1"/>
  <c r="F550" i="1" a="1"/>
  <c r="F550" i="1" s="1"/>
  <c r="R550" i="15" s="1"/>
  <c r="K550" i="1" a="1"/>
  <c r="K550" i="1" s="1"/>
  <c r="H551" i="1" a="1"/>
  <c r="H551" i="1" s="1"/>
  <c r="O551" i="1"/>
  <c r="M551" i="15" s="1"/>
  <c r="N551" i="15" s="1" a="1"/>
  <c r="N551" i="15" s="1"/>
  <c r="J552" i="1" a="1"/>
  <c r="J552" i="1" s="1"/>
  <c r="Q552" i="1" a="1"/>
  <c r="Q552" i="1" s="1"/>
  <c r="S552" i="15" s="1"/>
  <c r="J553" i="1" a="1"/>
  <c r="J553" i="1" s="1"/>
  <c r="G554" i="1" a="1"/>
  <c r="G554" i="1" s="1"/>
  <c r="K554" i="1" a="1"/>
  <c r="K554" i="1" s="1"/>
  <c r="J555" i="1" a="1"/>
  <c r="J555" i="1" s="1"/>
  <c r="O555" i="1"/>
  <c r="M555" i="15" s="1"/>
  <c r="N555" i="15" s="1" a="1"/>
  <c r="N555" i="15" s="1"/>
  <c r="J556" i="1" a="1"/>
  <c r="J556" i="1" s="1"/>
  <c r="P556" i="1" a="1"/>
  <c r="P556" i="1" s="1"/>
  <c r="O557" i="1"/>
  <c r="M557" i="15" s="1"/>
  <c r="N557" i="15" s="1" a="1"/>
  <c r="N557" i="15" s="1"/>
  <c r="C558" i="1" a="1"/>
  <c r="C558" i="1" s="1"/>
  <c r="E558" i="15" s="1"/>
  <c r="H558" i="1" a="1"/>
  <c r="H558" i="1" s="1"/>
  <c r="M558" i="1" a="1"/>
  <c r="M558" i="1" s="1"/>
  <c r="D559" i="1" a="1"/>
  <c r="D559" i="1" s="1"/>
  <c r="I559" i="15" s="1"/>
  <c r="M559" i="1" a="1"/>
  <c r="M559" i="1" s="1"/>
  <c r="F560" i="1" a="1"/>
  <c r="F560" i="1" s="1"/>
  <c r="R560" i="15" s="1"/>
  <c r="J560" i="1" a="1"/>
  <c r="J560" i="1" s="1"/>
  <c r="O560" i="1"/>
  <c r="M560" i="15" s="1"/>
  <c r="N560" i="15" s="1" a="1"/>
  <c r="N560" i="15" s="1"/>
  <c r="C561" i="1" a="1"/>
  <c r="C561" i="1" s="1"/>
  <c r="E561" i="15" s="1"/>
  <c r="G561" i="1" a="1"/>
  <c r="G561" i="1" s="1"/>
  <c r="K561" i="1" a="1"/>
  <c r="K561" i="1" s="1"/>
  <c r="P561" i="1" a="1"/>
  <c r="P561" i="1" s="1"/>
  <c r="D562" i="1" a="1"/>
  <c r="D562" i="1" s="1"/>
  <c r="I562" i="15" s="1"/>
  <c r="H562" i="1" a="1"/>
  <c r="H562" i="1" s="1"/>
  <c r="L562" i="1" a="1"/>
  <c r="L562" i="1" s="1"/>
  <c r="Q562" i="1" a="1"/>
  <c r="Q562" i="1" s="1"/>
  <c r="S562" i="15" s="1"/>
  <c r="M563" i="1" a="1"/>
  <c r="M563" i="1" s="1"/>
  <c r="F564" i="1" a="1"/>
  <c r="F564" i="1" s="1"/>
  <c r="R564" i="15" s="1"/>
  <c r="J564" i="1" a="1"/>
  <c r="J564" i="1" s="1"/>
  <c r="O564" i="1"/>
  <c r="M564" i="15" s="1"/>
  <c r="N564" i="15" s="1" a="1"/>
  <c r="N564" i="15" s="1"/>
  <c r="C565" i="1" a="1"/>
  <c r="C565" i="1" s="1"/>
  <c r="E565" i="15" s="1"/>
  <c r="G565" i="1" a="1"/>
  <c r="G565" i="1" s="1"/>
  <c r="K565" i="1" a="1"/>
  <c r="K565" i="1" s="1"/>
  <c r="P565" i="1" a="1"/>
  <c r="P565" i="1" s="1"/>
  <c r="D566" i="1" a="1"/>
  <c r="D566" i="1" s="1"/>
  <c r="I566" i="15" s="1"/>
  <c r="H566" i="1" a="1"/>
  <c r="H566" i="1" s="1"/>
  <c r="L566" i="1" a="1"/>
  <c r="L566" i="1" s="1"/>
  <c r="Q566" i="1" a="1"/>
  <c r="Q566" i="1" s="1"/>
  <c r="S566" i="15" s="1"/>
  <c r="M567" i="1" a="1"/>
  <c r="M567" i="1" s="1"/>
  <c r="F568" i="1" a="1"/>
  <c r="F568" i="1" s="1"/>
  <c r="R568" i="15" s="1"/>
  <c r="J568" i="1" a="1"/>
  <c r="J568" i="1" s="1"/>
  <c r="O568" i="1"/>
  <c r="M568" i="15" s="1"/>
  <c r="N568" i="15" s="1" a="1"/>
  <c r="N568" i="15" s="1"/>
  <c r="C569" i="1" a="1"/>
  <c r="C569" i="1" s="1"/>
  <c r="E569" i="15" s="1"/>
  <c r="G569" i="1" a="1"/>
  <c r="G569" i="1" s="1"/>
  <c r="K569" i="1" a="1"/>
  <c r="K569" i="1" s="1"/>
  <c r="P569" i="1" a="1"/>
  <c r="P569" i="1" s="1"/>
  <c r="D570" i="1" a="1"/>
  <c r="D570" i="1" s="1"/>
  <c r="I570" i="15" s="1"/>
  <c r="H570" i="1" a="1"/>
  <c r="H570" i="1" s="1"/>
  <c r="L570" i="1" a="1"/>
  <c r="L570" i="1" s="1"/>
  <c r="Q570" i="1" a="1"/>
  <c r="Q570" i="1" s="1"/>
  <c r="S570" i="15" s="1"/>
  <c r="M571" i="1" a="1"/>
  <c r="M571" i="1" s="1"/>
  <c r="F572" i="1" a="1"/>
  <c r="F572" i="1" s="1"/>
  <c r="R572" i="15" s="1"/>
  <c r="J572" i="1" a="1"/>
  <c r="J572" i="1" s="1"/>
  <c r="O572" i="1"/>
  <c r="M572" i="15" s="1"/>
  <c r="N572" i="15" s="1" a="1"/>
  <c r="N572" i="15" s="1"/>
  <c r="C573" i="1" a="1"/>
  <c r="C573" i="1" s="1"/>
  <c r="E573" i="15" s="1"/>
  <c r="G573" i="1" a="1"/>
  <c r="G573" i="1" s="1"/>
  <c r="K573" i="1" a="1"/>
  <c r="K573" i="1" s="1"/>
  <c r="P573" i="1" a="1"/>
  <c r="P573" i="1" s="1"/>
  <c r="D574" i="1" a="1"/>
  <c r="D574" i="1" s="1"/>
  <c r="I574" i="15" s="1"/>
  <c r="H574" i="1" a="1"/>
  <c r="H574" i="1" s="1"/>
  <c r="L574" i="1" a="1"/>
  <c r="L574" i="1" s="1"/>
  <c r="Q574" i="1" a="1"/>
  <c r="Q574" i="1" s="1"/>
  <c r="S574" i="15" s="1"/>
  <c r="M575" i="1" a="1"/>
  <c r="M575" i="1" s="1"/>
  <c r="F576" i="1" a="1"/>
  <c r="F576" i="1" s="1"/>
  <c r="R576" i="15" s="1"/>
  <c r="J576" i="1" a="1"/>
  <c r="J576" i="1" s="1"/>
  <c r="O576" i="1"/>
  <c r="M576" i="15" s="1"/>
  <c r="N576" i="15" s="1" a="1"/>
  <c r="N576" i="15" s="1"/>
  <c r="C577" i="1" a="1"/>
  <c r="C577" i="1" s="1"/>
  <c r="E577" i="15" s="1"/>
  <c r="G577" i="1" a="1"/>
  <c r="G577" i="1" s="1"/>
  <c r="K577" i="1" a="1"/>
  <c r="K577" i="1" s="1"/>
  <c r="P577" i="1" a="1"/>
  <c r="P577" i="1" s="1"/>
  <c r="D578" i="1" a="1"/>
  <c r="D578" i="1" s="1"/>
  <c r="I578" i="15" s="1"/>
  <c r="H578" i="1" a="1"/>
  <c r="H578" i="1" s="1"/>
  <c r="L578" i="1" a="1"/>
  <c r="L578" i="1" s="1"/>
  <c r="Q578" i="1" a="1"/>
  <c r="Q578" i="1" s="1"/>
  <c r="S578" i="15" s="1"/>
  <c r="M579" i="1" a="1"/>
  <c r="M579" i="1" s="1"/>
  <c r="F580" i="1" a="1"/>
  <c r="F580" i="1" s="1"/>
  <c r="R580" i="15" s="1"/>
  <c r="J580" i="1" a="1"/>
  <c r="J580" i="1" s="1"/>
  <c r="O580" i="1"/>
  <c r="M580" i="15" s="1"/>
  <c r="N580" i="15" s="1" a="1"/>
  <c r="N580" i="15" s="1"/>
  <c r="C581" i="1" a="1"/>
  <c r="C581" i="1" s="1"/>
  <c r="E581" i="15" s="1"/>
  <c r="G581" i="1" a="1"/>
  <c r="G581" i="1" s="1"/>
  <c r="K581" i="1" a="1"/>
  <c r="K581" i="1" s="1"/>
  <c r="P581" i="1" a="1"/>
  <c r="P581" i="1" s="1"/>
  <c r="D582" i="1" a="1"/>
  <c r="D582" i="1" s="1"/>
  <c r="I582" i="15" s="1"/>
  <c r="H582" i="1" a="1"/>
  <c r="H582" i="1" s="1"/>
  <c r="L582" i="1" a="1"/>
  <c r="L582" i="1" s="1"/>
  <c r="Q582" i="1" a="1"/>
  <c r="Q582" i="1" s="1"/>
  <c r="S582" i="15" s="1"/>
  <c r="M583" i="1" a="1"/>
  <c r="M583" i="1" s="1"/>
  <c r="F584" i="1" a="1"/>
  <c r="F584" i="1" s="1"/>
  <c r="R584" i="15" s="1"/>
  <c r="J584" i="1" a="1"/>
  <c r="J584" i="1" s="1"/>
  <c r="O584" i="1"/>
  <c r="M584" i="15" s="1"/>
  <c r="N584" i="15" s="1" a="1"/>
  <c r="N584" i="15" s="1"/>
  <c r="C585" i="1" a="1"/>
  <c r="C585" i="1" s="1"/>
  <c r="E585" i="15" s="1"/>
  <c r="G585" i="1" a="1"/>
  <c r="G585" i="1" s="1"/>
  <c r="K585" i="1" a="1"/>
  <c r="K585" i="1" s="1"/>
  <c r="P585" i="1" a="1"/>
  <c r="P585" i="1" s="1"/>
  <c r="D586" i="1" a="1"/>
  <c r="D586" i="1" s="1"/>
  <c r="I586" i="15" s="1"/>
  <c r="H586" i="1" a="1"/>
  <c r="H586" i="1" s="1"/>
  <c r="L586" i="1" a="1"/>
  <c r="L586" i="1" s="1"/>
  <c r="Q586" i="1" a="1"/>
  <c r="Q586" i="1" s="1"/>
  <c r="S586" i="15" s="1"/>
  <c r="M587" i="1" a="1"/>
  <c r="M587" i="1" s="1"/>
  <c r="F588" i="1" a="1"/>
  <c r="F588" i="1" s="1"/>
  <c r="R588" i="15" s="1"/>
  <c r="J588" i="1" a="1"/>
  <c r="J588" i="1" s="1"/>
  <c r="O588" i="1"/>
  <c r="M588" i="15" s="1"/>
  <c r="N588" i="15" s="1" a="1"/>
  <c r="N588" i="15" s="1"/>
  <c r="C589" i="1" a="1"/>
  <c r="C589" i="1" s="1"/>
  <c r="E589" i="15" s="1"/>
  <c r="G589" i="1" a="1"/>
  <c r="G589" i="1" s="1"/>
  <c r="K589" i="1" a="1"/>
  <c r="K589" i="1" s="1"/>
  <c r="P589" i="1" a="1"/>
  <c r="P589" i="1" s="1"/>
  <c r="D590" i="1" a="1"/>
  <c r="D590" i="1" s="1"/>
  <c r="I590" i="15" s="1"/>
  <c r="H590" i="1" a="1"/>
  <c r="H590" i="1" s="1"/>
  <c r="L590" i="1" a="1"/>
  <c r="L590" i="1" s="1"/>
  <c r="Q590" i="1" a="1"/>
  <c r="Q590" i="1" s="1"/>
  <c r="S590" i="15" s="1"/>
  <c r="M591" i="1" a="1"/>
  <c r="M591" i="1" s="1"/>
  <c r="F592" i="1" a="1"/>
  <c r="F592" i="1" s="1"/>
  <c r="R592" i="15" s="1"/>
  <c r="J592" i="1" a="1"/>
  <c r="J592" i="1" s="1"/>
  <c r="O592" i="1"/>
  <c r="M592" i="15" s="1"/>
  <c r="N592" i="15" s="1" a="1"/>
  <c r="N592" i="15" s="1"/>
  <c r="C593" i="1" a="1"/>
  <c r="C593" i="1" s="1"/>
  <c r="E593" i="15" s="1"/>
  <c r="G593" i="1" a="1"/>
  <c r="G593" i="1" s="1"/>
  <c r="K593" i="1" a="1"/>
  <c r="K593" i="1" s="1"/>
  <c r="P593" i="1" a="1"/>
  <c r="P593" i="1" s="1"/>
  <c r="C594" i="1" a="1"/>
  <c r="C594" i="1" s="1"/>
  <c r="E594" i="15" s="1"/>
  <c r="F594" i="1" a="1"/>
  <c r="F594" i="1" s="1"/>
  <c r="R594" i="15" s="1"/>
  <c r="J594" i="1" a="1"/>
  <c r="J594" i="1" s="1"/>
  <c r="O594" i="1"/>
  <c r="M594" i="15" s="1"/>
  <c r="N594" i="15" s="1" a="1"/>
  <c r="N594" i="15" s="1"/>
  <c r="C595" i="1" a="1"/>
  <c r="C595" i="1" s="1"/>
  <c r="E595" i="15" s="1"/>
  <c r="G595" i="1" a="1"/>
  <c r="G595" i="1" s="1"/>
  <c r="K595" i="1" a="1"/>
  <c r="K595" i="1" s="1"/>
  <c r="O595" i="1"/>
  <c r="M595" i="15" s="1"/>
  <c r="N595" i="15" s="1" a="1"/>
  <c r="N595" i="15" s="1"/>
  <c r="H596" i="1" a="1"/>
  <c r="H596" i="1" s="1"/>
  <c r="L596" i="1" a="1"/>
  <c r="L596" i="1" s="1"/>
  <c r="P596" i="1" a="1"/>
  <c r="P596" i="1" s="1"/>
  <c r="L597" i="1" a="1"/>
  <c r="L597" i="1" s="1"/>
  <c r="Q597" i="1" a="1"/>
  <c r="Q597" i="1" s="1"/>
  <c r="S597" i="15" s="1"/>
  <c r="J598" i="1" a="1"/>
  <c r="J598" i="1" s="1"/>
  <c r="O598" i="1"/>
  <c r="M598" i="15" s="1"/>
  <c r="N598" i="15" s="1" a="1"/>
  <c r="N598" i="15" s="1"/>
  <c r="F599" i="1" a="1"/>
  <c r="F599" i="1" s="1"/>
  <c r="R599" i="15" s="1"/>
  <c r="L599" i="1" a="1"/>
  <c r="L599" i="1" s="1"/>
  <c r="Q599" i="1" a="1"/>
  <c r="Q599" i="1" s="1"/>
  <c r="S599" i="15" s="1"/>
  <c r="P600" i="1" a="1"/>
  <c r="P600" i="1" s="1"/>
  <c r="F601" i="1" a="1"/>
  <c r="F601" i="1" s="1"/>
  <c r="R601" i="15" s="1"/>
  <c r="J601" i="1" a="1"/>
  <c r="J601" i="1" s="1"/>
  <c r="O601" i="1"/>
  <c r="M601" i="15" s="1"/>
  <c r="N601" i="15" s="1" a="1"/>
  <c r="N601" i="15" s="1"/>
  <c r="M602" i="1" a="1"/>
  <c r="M602" i="1" s="1"/>
  <c r="F603" i="1" a="1"/>
  <c r="F603" i="1" s="1"/>
  <c r="R603" i="15" s="1"/>
  <c r="J603" i="1" a="1"/>
  <c r="J603" i="1" s="1"/>
  <c r="M603" i="1" a="1"/>
  <c r="M603" i="1" s="1"/>
  <c r="Q603" i="1" a="1"/>
  <c r="Q603" i="1" s="1"/>
  <c r="S603" i="15" s="1"/>
  <c r="D604" i="1" a="1"/>
  <c r="D604" i="1" s="1"/>
  <c r="I604" i="15" s="1"/>
  <c r="G604" i="1" a="1"/>
  <c r="G604" i="1" s="1"/>
  <c r="K604" i="1" a="1"/>
  <c r="K604" i="1" s="1"/>
  <c r="O604" i="1"/>
  <c r="M604" i="15" s="1"/>
  <c r="N604" i="15" s="1" a="1"/>
  <c r="N604" i="15" s="1"/>
  <c r="C605" i="1" a="1"/>
  <c r="C605" i="1" s="1"/>
  <c r="E605" i="15" s="1"/>
  <c r="F605" i="1" a="1"/>
  <c r="F605" i="1" s="1"/>
  <c r="R605" i="15" s="1"/>
  <c r="H605" i="1" a="1"/>
  <c r="H605" i="1" s="1"/>
  <c r="L605" i="1" a="1"/>
  <c r="L605" i="1" s="1"/>
  <c r="Q605" i="1" a="1"/>
  <c r="Q605" i="1" s="1"/>
  <c r="S605" i="15" s="1"/>
  <c r="D606" i="1" a="1"/>
  <c r="D606" i="1" s="1"/>
  <c r="I606" i="15" s="1"/>
  <c r="H606" i="1" a="1"/>
  <c r="H606" i="1" s="1"/>
  <c r="L606" i="1" a="1"/>
  <c r="L606" i="1" s="1"/>
  <c r="Q606" i="1" a="1"/>
  <c r="Q606" i="1" s="1"/>
  <c r="S606" i="15" s="1"/>
  <c r="L607" i="1" a="1"/>
  <c r="L607" i="1" s="1"/>
  <c r="D608" i="1" a="1"/>
  <c r="D608" i="1" s="1"/>
  <c r="I608" i="15" s="1"/>
  <c r="K608" i="1" a="1"/>
  <c r="K608" i="1" s="1"/>
  <c r="P608" i="1" a="1"/>
  <c r="P608" i="1" s="1"/>
  <c r="C609" i="1" a="1"/>
  <c r="C609" i="1" s="1"/>
  <c r="E609" i="15" s="1"/>
  <c r="J609" i="1" a="1"/>
  <c r="J609" i="1" s="1"/>
  <c r="O609" i="1"/>
  <c r="M609" i="15" s="1"/>
  <c r="N609" i="15" s="1" a="1"/>
  <c r="N609" i="15" s="1"/>
  <c r="C610" i="1" a="1"/>
  <c r="C610" i="1" s="1"/>
  <c r="E610" i="15" s="1"/>
  <c r="G610" i="1" a="1"/>
  <c r="G610" i="1" s="1"/>
  <c r="K610" i="1" a="1"/>
  <c r="K610" i="1" s="1"/>
  <c r="P610" i="1" a="1"/>
  <c r="P610" i="1" s="1"/>
  <c r="F611" i="1" a="1"/>
  <c r="F611" i="1" s="1"/>
  <c r="R611" i="15" s="1"/>
  <c r="H611" i="1" a="1"/>
  <c r="H611" i="1" s="1"/>
  <c r="K611" i="1" a="1"/>
  <c r="K611" i="1" s="1"/>
  <c r="P611" i="1" a="1"/>
  <c r="P611" i="1" s="1"/>
  <c r="F612" i="1" a="1"/>
  <c r="F612" i="1" s="1"/>
  <c r="R612" i="15" s="1"/>
  <c r="H612" i="1" a="1"/>
  <c r="H612" i="1" s="1"/>
  <c r="K612" i="1" a="1"/>
  <c r="K612" i="1" s="1"/>
  <c r="P612" i="1" a="1"/>
  <c r="P612" i="1" s="1"/>
  <c r="F613" i="1" a="1"/>
  <c r="F613" i="1" s="1"/>
  <c r="R613" i="15" s="1"/>
  <c r="H613" i="1" a="1"/>
  <c r="H613" i="1" s="1"/>
  <c r="K613" i="1" a="1"/>
  <c r="K613" i="1" s="1"/>
  <c r="P613" i="1" a="1"/>
  <c r="P613" i="1" s="1"/>
  <c r="F614" i="1" a="1"/>
  <c r="F614" i="1" s="1"/>
  <c r="R614" i="15" s="1"/>
  <c r="H614" i="1" a="1"/>
  <c r="H614" i="1" s="1"/>
  <c r="K614" i="1" a="1"/>
  <c r="K614" i="1" s="1"/>
  <c r="P614" i="1" a="1"/>
  <c r="P614" i="1" s="1"/>
  <c r="F615" i="1" a="1"/>
  <c r="F615" i="1" s="1"/>
  <c r="R615" i="15" s="1"/>
  <c r="H615" i="1" a="1"/>
  <c r="H615" i="1" s="1"/>
  <c r="K615" i="1" a="1"/>
  <c r="K615" i="1" s="1"/>
  <c r="P615" i="1" a="1"/>
  <c r="P615" i="1" s="1"/>
  <c r="F616" i="1" a="1"/>
  <c r="F616" i="1" s="1"/>
  <c r="R616" i="15" s="1"/>
  <c r="H616" i="1" a="1"/>
  <c r="H616" i="1" s="1"/>
  <c r="K616" i="1" a="1"/>
  <c r="K616" i="1" s="1"/>
  <c r="P616" i="1" a="1"/>
  <c r="P616" i="1" s="1"/>
  <c r="F617" i="1" a="1"/>
  <c r="F617" i="1" s="1"/>
  <c r="R617" i="15" s="1"/>
  <c r="H617" i="1" a="1"/>
  <c r="H617" i="1" s="1"/>
  <c r="K617" i="1" a="1"/>
  <c r="K617" i="1" s="1"/>
  <c r="P617" i="1" a="1"/>
  <c r="P617" i="1" s="1"/>
  <c r="F618" i="1" a="1"/>
  <c r="F618" i="1" s="1"/>
  <c r="R618" i="15" s="1"/>
  <c r="H618" i="1" a="1"/>
  <c r="H618" i="1" s="1"/>
  <c r="K618" i="1" a="1"/>
  <c r="K618" i="1" s="1"/>
  <c r="P618" i="1" a="1"/>
  <c r="P618" i="1" s="1"/>
  <c r="F619" i="1" a="1"/>
  <c r="F619" i="1" s="1"/>
  <c r="R619" i="15" s="1"/>
  <c r="H619" i="1" a="1"/>
  <c r="H619" i="1" s="1"/>
  <c r="K619" i="1" a="1"/>
  <c r="K619" i="1" s="1"/>
  <c r="P619" i="1" a="1"/>
  <c r="P619" i="1" s="1"/>
  <c r="F620" i="1" a="1"/>
  <c r="F620" i="1" s="1"/>
  <c r="R620" i="15" s="1"/>
  <c r="H620" i="1" a="1"/>
  <c r="H620" i="1" s="1"/>
  <c r="K620" i="1" a="1"/>
  <c r="K620" i="1" s="1"/>
  <c r="P620" i="1" a="1"/>
  <c r="P620" i="1" s="1"/>
  <c r="F621" i="1" a="1"/>
  <c r="F621" i="1" s="1"/>
  <c r="R621" i="15" s="1"/>
  <c r="H621" i="1" a="1"/>
  <c r="H621" i="1" s="1"/>
  <c r="K621" i="1" a="1"/>
  <c r="K621" i="1" s="1"/>
  <c r="P621" i="1" a="1"/>
  <c r="P621" i="1" s="1"/>
  <c r="F622" i="1" a="1"/>
  <c r="F622" i="1" s="1"/>
  <c r="R622" i="15" s="1"/>
  <c r="H622" i="1" a="1"/>
  <c r="H622" i="1" s="1"/>
  <c r="K622" i="1" a="1"/>
  <c r="K622" i="1" s="1"/>
  <c r="P622" i="1" a="1"/>
  <c r="P622" i="1" s="1"/>
  <c r="F623" i="1" a="1"/>
  <c r="F623" i="1" s="1"/>
  <c r="R623" i="15" s="1"/>
  <c r="H623" i="1" a="1"/>
  <c r="H623" i="1" s="1"/>
  <c r="K623" i="1" a="1"/>
  <c r="K623" i="1" s="1"/>
  <c r="P623" i="1" a="1"/>
  <c r="P623" i="1" s="1"/>
  <c r="F624" i="1" a="1"/>
  <c r="F624" i="1" s="1"/>
  <c r="R624" i="15" s="1"/>
  <c r="H624" i="1" a="1"/>
  <c r="H624" i="1" s="1"/>
  <c r="K624" i="1" a="1"/>
  <c r="K624" i="1" s="1"/>
  <c r="P624" i="1" a="1"/>
  <c r="P624" i="1" s="1"/>
  <c r="F625" i="1" a="1"/>
  <c r="F625" i="1" s="1"/>
  <c r="R625" i="15" s="1"/>
  <c r="H625" i="1" a="1"/>
  <c r="H625" i="1" s="1"/>
  <c r="K625" i="1" a="1"/>
  <c r="K625" i="1" s="1"/>
  <c r="P625" i="1" a="1"/>
  <c r="P625" i="1" s="1"/>
  <c r="F626" i="1" a="1"/>
  <c r="F626" i="1" s="1"/>
  <c r="R626" i="15" s="1"/>
  <c r="H626" i="1" a="1"/>
  <c r="H626" i="1" s="1"/>
  <c r="K626" i="1" a="1"/>
  <c r="K626" i="1" s="1"/>
  <c r="F543" i="1" a="1"/>
  <c r="F543" i="1" s="1"/>
  <c r="R543" i="15" s="1"/>
  <c r="C545" i="1" a="1"/>
  <c r="C545" i="1" s="1"/>
  <c r="E545" i="15" s="1"/>
  <c r="P545" i="1" a="1"/>
  <c r="P545" i="1" s="1"/>
  <c r="J546" i="1" a="1"/>
  <c r="J546" i="1" s="1"/>
  <c r="G547" i="1" a="1"/>
  <c r="G547" i="1" s="1"/>
  <c r="M547" i="1" a="1"/>
  <c r="M547" i="1" s="1"/>
  <c r="O548" i="1"/>
  <c r="M548" i="15" s="1"/>
  <c r="N548" i="15" s="1" a="1"/>
  <c r="N548" i="15" s="1"/>
  <c r="J549" i="1" a="1"/>
  <c r="J549" i="1" s="1"/>
  <c r="H550" i="1" a="1"/>
  <c r="H550" i="1" s="1"/>
  <c r="L550" i="1" a="1"/>
  <c r="L550" i="1" s="1"/>
  <c r="D551" i="1" a="1"/>
  <c r="D551" i="1" s="1"/>
  <c r="I551" i="15" s="1"/>
  <c r="P551" i="1" a="1"/>
  <c r="P551" i="1" s="1"/>
  <c r="F552" i="1" a="1"/>
  <c r="F552" i="1" s="1"/>
  <c r="R552" i="15" s="1"/>
  <c r="M552" i="1" a="1"/>
  <c r="M552" i="1" s="1"/>
  <c r="L553" i="1" a="1"/>
  <c r="L553" i="1" s="1"/>
  <c r="H554" i="1" a="1"/>
  <c r="H554" i="1" s="1"/>
  <c r="M554" i="1" a="1"/>
  <c r="M554" i="1" s="1"/>
  <c r="Q555" i="1" a="1"/>
  <c r="Q555" i="1" s="1"/>
  <c r="S555" i="15" s="1"/>
  <c r="F556" i="1" a="1"/>
  <c r="F556" i="1" s="1"/>
  <c r="R556" i="15" s="1"/>
  <c r="K556" i="1" a="1"/>
  <c r="K556" i="1" s="1"/>
  <c r="F557" i="1" a="1"/>
  <c r="F557" i="1" s="1"/>
  <c r="R557" i="15" s="1"/>
  <c r="J557" i="1" a="1"/>
  <c r="J557" i="1" s="1"/>
  <c r="P557" i="1" a="1"/>
  <c r="P557" i="1" s="1"/>
  <c r="D558" i="1" a="1"/>
  <c r="D558" i="1" s="1"/>
  <c r="I558" i="15" s="1"/>
  <c r="P558" i="1" a="1"/>
  <c r="P558" i="1" s="1"/>
  <c r="J559" i="1" a="1"/>
  <c r="J559" i="1" s="1"/>
  <c r="O559" i="1"/>
  <c r="M559" i="15" s="1"/>
  <c r="N559" i="15" s="1" a="1"/>
  <c r="N559" i="15" s="1"/>
  <c r="C560" i="1" a="1"/>
  <c r="C560" i="1" s="1"/>
  <c r="E560" i="15" s="1"/>
  <c r="G560" i="1" a="1"/>
  <c r="G560" i="1" s="1"/>
  <c r="K560" i="1" a="1"/>
  <c r="K560" i="1" s="1"/>
  <c r="P560" i="1" a="1"/>
  <c r="P560" i="1" s="1"/>
  <c r="D561" i="1" a="1"/>
  <c r="D561" i="1" s="1"/>
  <c r="I561" i="15" s="1"/>
  <c r="H561" i="1" a="1"/>
  <c r="H561" i="1" s="1"/>
  <c r="L561" i="1" a="1"/>
  <c r="L561" i="1" s="1"/>
  <c r="Q561" i="1" a="1"/>
  <c r="Q561" i="1" s="1"/>
  <c r="S561" i="15" s="1"/>
  <c r="M562" i="1" a="1"/>
  <c r="M562" i="1" s="1"/>
  <c r="F563" i="1" a="1"/>
  <c r="F563" i="1" s="1"/>
  <c r="R563" i="15" s="1"/>
  <c r="J563" i="1" a="1"/>
  <c r="J563" i="1" s="1"/>
  <c r="O563" i="1"/>
  <c r="M563" i="15" s="1"/>
  <c r="N563" i="15" s="1" a="1"/>
  <c r="N563" i="15" s="1"/>
  <c r="C564" i="1" a="1"/>
  <c r="C564" i="1" s="1"/>
  <c r="E564" i="15" s="1"/>
  <c r="G564" i="1" a="1"/>
  <c r="G564" i="1" s="1"/>
  <c r="K564" i="1" a="1"/>
  <c r="K564" i="1" s="1"/>
  <c r="P564" i="1" a="1"/>
  <c r="P564" i="1" s="1"/>
  <c r="D565" i="1" a="1"/>
  <c r="D565" i="1" s="1"/>
  <c r="I565" i="15" s="1"/>
  <c r="H565" i="1" a="1"/>
  <c r="H565" i="1" s="1"/>
  <c r="L565" i="1" a="1"/>
  <c r="L565" i="1" s="1"/>
  <c r="Q565" i="1" a="1"/>
  <c r="Q565" i="1" s="1"/>
  <c r="S565" i="15" s="1"/>
  <c r="M566" i="1" a="1"/>
  <c r="M566" i="1" s="1"/>
  <c r="F567" i="1" a="1"/>
  <c r="F567" i="1" s="1"/>
  <c r="R567" i="15" s="1"/>
  <c r="J567" i="1" a="1"/>
  <c r="J567" i="1" s="1"/>
  <c r="O567" i="1"/>
  <c r="M567" i="15" s="1"/>
  <c r="N567" i="15" s="1" a="1"/>
  <c r="N567" i="15" s="1"/>
  <c r="C568" i="1" a="1"/>
  <c r="C568" i="1" s="1"/>
  <c r="E568" i="15" s="1"/>
  <c r="G568" i="1" a="1"/>
  <c r="G568" i="1" s="1"/>
  <c r="K568" i="1" a="1"/>
  <c r="K568" i="1" s="1"/>
  <c r="P568" i="1" a="1"/>
  <c r="P568" i="1" s="1"/>
  <c r="D569" i="1" a="1"/>
  <c r="D569" i="1" s="1"/>
  <c r="I569" i="15" s="1"/>
  <c r="H569" i="1" a="1"/>
  <c r="H569" i="1" s="1"/>
  <c r="L569" i="1" a="1"/>
  <c r="L569" i="1" s="1"/>
  <c r="Q569" i="1" a="1"/>
  <c r="Q569" i="1" s="1"/>
  <c r="S569" i="15" s="1"/>
  <c r="M570" i="1" a="1"/>
  <c r="M570" i="1" s="1"/>
  <c r="F571" i="1" a="1"/>
  <c r="F571" i="1" s="1"/>
  <c r="R571" i="15" s="1"/>
  <c r="J571" i="1" a="1"/>
  <c r="J571" i="1" s="1"/>
  <c r="O571" i="1"/>
  <c r="M571" i="15" s="1"/>
  <c r="N571" i="15" s="1" a="1"/>
  <c r="N571" i="15" s="1"/>
  <c r="C572" i="1" a="1"/>
  <c r="C572" i="1" s="1"/>
  <c r="E572" i="15" s="1"/>
  <c r="G572" i="1" a="1"/>
  <c r="G572" i="1" s="1"/>
  <c r="K572" i="1" a="1"/>
  <c r="K572" i="1" s="1"/>
  <c r="P572" i="1" a="1"/>
  <c r="P572" i="1" s="1"/>
  <c r="D573" i="1" a="1"/>
  <c r="D573" i="1" s="1"/>
  <c r="I573" i="15" s="1"/>
  <c r="H573" i="1" a="1"/>
  <c r="H573" i="1" s="1"/>
  <c r="L573" i="1" a="1"/>
  <c r="L573" i="1" s="1"/>
  <c r="Q573" i="1" a="1"/>
  <c r="Q573" i="1" s="1"/>
  <c r="S573" i="15" s="1"/>
  <c r="M574" i="1" a="1"/>
  <c r="M574" i="1" s="1"/>
  <c r="F575" i="1" a="1"/>
  <c r="F575" i="1" s="1"/>
  <c r="R575" i="15" s="1"/>
  <c r="J575" i="1" a="1"/>
  <c r="J575" i="1" s="1"/>
  <c r="O575" i="1"/>
  <c r="M575" i="15" s="1"/>
  <c r="N575" i="15" s="1" a="1"/>
  <c r="N575" i="15" s="1"/>
  <c r="C576" i="1" a="1"/>
  <c r="C576" i="1" s="1"/>
  <c r="E576" i="15" s="1"/>
  <c r="G576" i="1" a="1"/>
  <c r="G576" i="1" s="1"/>
  <c r="K576" i="1" a="1"/>
  <c r="K576" i="1" s="1"/>
  <c r="P576" i="1" a="1"/>
  <c r="P576" i="1" s="1"/>
  <c r="D577" i="1" a="1"/>
  <c r="D577" i="1" s="1"/>
  <c r="I577" i="15" s="1"/>
  <c r="H577" i="1" a="1"/>
  <c r="H577" i="1" s="1"/>
  <c r="L577" i="1" a="1"/>
  <c r="L577" i="1" s="1"/>
  <c r="Q577" i="1" a="1"/>
  <c r="Q577" i="1" s="1"/>
  <c r="S577" i="15" s="1"/>
  <c r="M578" i="1" a="1"/>
  <c r="M578" i="1" s="1"/>
  <c r="F579" i="1" a="1"/>
  <c r="F579" i="1" s="1"/>
  <c r="R579" i="15" s="1"/>
  <c r="J579" i="1" a="1"/>
  <c r="J579" i="1" s="1"/>
  <c r="O579" i="1"/>
  <c r="M579" i="15" s="1"/>
  <c r="N579" i="15" s="1" a="1"/>
  <c r="N579" i="15" s="1"/>
  <c r="C580" i="1" a="1"/>
  <c r="C580" i="1" s="1"/>
  <c r="E580" i="15" s="1"/>
  <c r="G580" i="1" a="1"/>
  <c r="G580" i="1" s="1"/>
  <c r="K580" i="1" a="1"/>
  <c r="K580" i="1" s="1"/>
  <c r="P580" i="1" a="1"/>
  <c r="P580" i="1" s="1"/>
  <c r="D581" i="1" a="1"/>
  <c r="D581" i="1" s="1"/>
  <c r="I581" i="15" s="1"/>
  <c r="H581" i="1" a="1"/>
  <c r="H581" i="1" s="1"/>
  <c r="L581" i="1" a="1"/>
  <c r="L581" i="1" s="1"/>
  <c r="Q581" i="1" a="1"/>
  <c r="Q581" i="1" s="1"/>
  <c r="S581" i="15" s="1"/>
  <c r="M582" i="1" a="1"/>
  <c r="M582" i="1" s="1"/>
  <c r="F583" i="1" a="1"/>
  <c r="F583" i="1" s="1"/>
  <c r="R583" i="15" s="1"/>
  <c r="J583" i="1" a="1"/>
  <c r="J583" i="1" s="1"/>
  <c r="O583" i="1"/>
  <c r="M583" i="15" s="1"/>
  <c r="N583" i="15" s="1" a="1"/>
  <c r="N583" i="15" s="1"/>
  <c r="C584" i="1" a="1"/>
  <c r="C584" i="1" s="1"/>
  <c r="E584" i="15" s="1"/>
  <c r="G584" i="1" a="1"/>
  <c r="G584" i="1" s="1"/>
  <c r="K584" i="1" a="1"/>
  <c r="K584" i="1" s="1"/>
  <c r="P584" i="1" a="1"/>
  <c r="P584" i="1" s="1"/>
  <c r="D585" i="1" a="1"/>
  <c r="D585" i="1" s="1"/>
  <c r="I585" i="15" s="1"/>
  <c r="H585" i="1" a="1"/>
  <c r="H585" i="1" s="1"/>
  <c r="L585" i="1" a="1"/>
  <c r="L585" i="1" s="1"/>
  <c r="Q585" i="1" a="1"/>
  <c r="Q585" i="1" s="1"/>
  <c r="S585" i="15" s="1"/>
  <c r="M586" i="1" a="1"/>
  <c r="M586" i="1" s="1"/>
  <c r="F587" i="1" a="1"/>
  <c r="F587" i="1" s="1"/>
  <c r="R587" i="15" s="1"/>
  <c r="J587" i="1" a="1"/>
  <c r="J587" i="1" s="1"/>
  <c r="O587" i="1"/>
  <c r="M587" i="15" s="1"/>
  <c r="N587" i="15" s="1" a="1"/>
  <c r="N587" i="15" s="1"/>
  <c r="C588" i="1" a="1"/>
  <c r="C588" i="1" s="1"/>
  <c r="E588" i="15" s="1"/>
  <c r="G588" i="1" a="1"/>
  <c r="G588" i="1" s="1"/>
  <c r="K588" i="1" a="1"/>
  <c r="K588" i="1" s="1"/>
  <c r="P588" i="1" a="1"/>
  <c r="P588" i="1" s="1"/>
  <c r="D589" i="1" a="1"/>
  <c r="D589" i="1" s="1"/>
  <c r="I589" i="15" s="1"/>
  <c r="H589" i="1" a="1"/>
  <c r="H589" i="1" s="1"/>
  <c r="L589" i="1" a="1"/>
  <c r="L589" i="1" s="1"/>
  <c r="Q589" i="1" a="1"/>
  <c r="Q589" i="1" s="1"/>
  <c r="S589" i="15" s="1"/>
  <c r="M590" i="1" a="1"/>
  <c r="M590" i="1" s="1"/>
  <c r="F591" i="1" a="1"/>
  <c r="F591" i="1" s="1"/>
  <c r="R591" i="15" s="1"/>
  <c r="J591" i="1" a="1"/>
  <c r="J591" i="1" s="1"/>
  <c r="O591" i="1"/>
  <c r="M591" i="15" s="1"/>
  <c r="N591" i="15" s="1" a="1"/>
  <c r="N591" i="15" s="1"/>
  <c r="C592" i="1" a="1"/>
  <c r="C592" i="1" s="1"/>
  <c r="E592" i="15" s="1"/>
  <c r="G592" i="1" a="1"/>
  <c r="G592" i="1" s="1"/>
  <c r="K592" i="1" a="1"/>
  <c r="K592" i="1" s="1"/>
  <c r="P592" i="1" a="1"/>
  <c r="P592" i="1" s="1"/>
  <c r="D593" i="1" a="1"/>
  <c r="D593" i="1" s="1"/>
  <c r="I593" i="15" s="1"/>
  <c r="H593" i="1" a="1"/>
  <c r="H593" i="1" s="1"/>
  <c r="L593" i="1" a="1"/>
  <c r="L593" i="1" s="1"/>
  <c r="Q593" i="1" a="1"/>
  <c r="Q593" i="1" s="1"/>
  <c r="S593" i="15" s="1"/>
  <c r="D594" i="1" a="1"/>
  <c r="D594" i="1" s="1"/>
  <c r="I594" i="15" s="1"/>
  <c r="G594" i="1" a="1"/>
  <c r="G594" i="1" s="1"/>
  <c r="K594" i="1" a="1"/>
  <c r="K594" i="1" s="1"/>
  <c r="P594" i="1" a="1"/>
  <c r="P594" i="1" s="1"/>
  <c r="D595" i="1" a="1"/>
  <c r="D595" i="1" s="1"/>
  <c r="I595" i="15" s="1"/>
  <c r="H595" i="1" a="1"/>
  <c r="H595" i="1" s="1"/>
  <c r="L595" i="1" a="1"/>
  <c r="L595" i="1" s="1"/>
  <c r="P595" i="1" a="1"/>
  <c r="P595" i="1" s="1"/>
  <c r="F596" i="1" a="1"/>
  <c r="F596" i="1" s="1"/>
  <c r="R596" i="15" s="1"/>
  <c r="M596" i="1" a="1"/>
  <c r="M596" i="1" s="1"/>
  <c r="Q596" i="1" a="1"/>
  <c r="Q596" i="1" s="1"/>
  <c r="S596" i="15" s="1"/>
  <c r="D597" i="1" a="1"/>
  <c r="D597" i="1" s="1"/>
  <c r="I597" i="15" s="1"/>
  <c r="G597" i="1" a="1"/>
  <c r="G597" i="1" s="1"/>
  <c r="J597" i="15" s="1"/>
  <c r="M597" i="1" a="1"/>
  <c r="M597" i="1" s="1"/>
  <c r="F598" i="1" a="1"/>
  <c r="F598" i="1" s="1"/>
  <c r="R598" i="15" s="1"/>
  <c r="H598" i="1" a="1"/>
  <c r="H598" i="1" s="1"/>
  <c r="K598" i="1" a="1"/>
  <c r="K598" i="1" s="1"/>
  <c r="P598" i="1" a="1"/>
  <c r="P598" i="1" s="1"/>
  <c r="C599" i="1" a="1"/>
  <c r="C599" i="1" s="1"/>
  <c r="E599" i="15" s="1"/>
  <c r="G599" i="1" a="1"/>
  <c r="G599" i="1" s="1"/>
  <c r="J599" i="15" s="1"/>
  <c r="J599" i="1" a="1"/>
  <c r="J599" i="1" s="1"/>
  <c r="M599" i="1" a="1"/>
  <c r="M599" i="1" s="1"/>
  <c r="F600" i="1" a="1"/>
  <c r="F600" i="1" s="1"/>
  <c r="R600" i="15" s="1"/>
  <c r="L600" i="1" a="1"/>
  <c r="L600" i="1" s="1"/>
  <c r="C601" i="1" a="1"/>
  <c r="C601" i="1" s="1"/>
  <c r="E601" i="15" s="1"/>
  <c r="G601" i="1" a="1"/>
  <c r="G601" i="1" s="1"/>
  <c r="K601" i="1" a="1"/>
  <c r="K601" i="1" s="1"/>
  <c r="P601" i="1" a="1"/>
  <c r="P601" i="1" s="1"/>
  <c r="C602" i="1" a="1"/>
  <c r="C602" i="1" s="1"/>
  <c r="E602" i="15" s="1"/>
  <c r="F602" i="1" a="1"/>
  <c r="F602" i="1" s="1"/>
  <c r="R602" i="15" s="1"/>
  <c r="J602" i="1" a="1"/>
  <c r="J602" i="1" s="1"/>
  <c r="O602" i="1"/>
  <c r="M602" i="15" s="1"/>
  <c r="N602" i="15" s="1" a="1"/>
  <c r="N602" i="15" s="1"/>
  <c r="C603" i="1" a="1"/>
  <c r="C603" i="1" s="1"/>
  <c r="E603" i="15" s="1"/>
  <c r="G603" i="1" a="1"/>
  <c r="G603" i="1" s="1"/>
  <c r="K603" i="1" a="1"/>
  <c r="K603" i="1" s="1"/>
  <c r="O603" i="1"/>
  <c r="M603" i="15" s="1"/>
  <c r="N603" i="15" s="1" a="1"/>
  <c r="N603" i="15" s="1"/>
  <c r="H604" i="1" a="1"/>
  <c r="H604" i="1" s="1"/>
  <c r="L604" i="1" a="1"/>
  <c r="L604" i="1" s="1"/>
  <c r="P604" i="1" a="1"/>
  <c r="P604" i="1" s="1"/>
  <c r="M605" i="1" a="1"/>
  <c r="M605" i="1" s="1"/>
  <c r="M606" i="1" a="1"/>
  <c r="M606" i="1" s="1"/>
  <c r="F607" i="1" a="1"/>
  <c r="F607" i="1" s="1"/>
  <c r="R607" i="15" s="1"/>
  <c r="M607" i="1" a="1"/>
  <c r="M607" i="1" s="1"/>
  <c r="Q607" i="1" a="1"/>
  <c r="Q607" i="1" s="1"/>
  <c r="S607" i="15" s="1"/>
  <c r="H608" i="1" a="1"/>
  <c r="H608" i="1" s="1"/>
  <c r="L608" i="1" a="1"/>
  <c r="L608" i="1" s="1"/>
  <c r="Q608" i="1" a="1"/>
  <c r="Q608" i="1" s="1"/>
  <c r="S608" i="15" s="1"/>
  <c r="D609" i="1" a="1"/>
  <c r="D609" i="1" s="1"/>
  <c r="I609" i="15" s="1"/>
  <c r="G609" i="1" a="1"/>
  <c r="G609" i="1" s="1"/>
  <c r="K609" i="1" a="1"/>
  <c r="K609" i="1" s="1"/>
  <c r="P609" i="1" a="1"/>
  <c r="P609" i="1" s="1"/>
  <c r="D610" i="1" a="1"/>
  <c r="D610" i="1" s="1"/>
  <c r="I610" i="15" s="1"/>
  <c r="H610" i="1" a="1"/>
  <c r="H610" i="1" s="1"/>
  <c r="L610" i="1" a="1"/>
  <c r="L610" i="1" s="1"/>
  <c r="C611" i="1" a="1"/>
  <c r="C611" i="1" s="1"/>
  <c r="E611" i="15" s="1"/>
  <c r="L611" i="1" a="1"/>
  <c r="L611" i="1" s="1"/>
  <c r="C612" i="1" a="1"/>
  <c r="C612" i="1" s="1"/>
  <c r="E612" i="15" s="1"/>
  <c r="L612" i="1" a="1"/>
  <c r="L612" i="1" s="1"/>
  <c r="C613" i="1" a="1"/>
  <c r="C613" i="1" s="1"/>
  <c r="E613" i="15" s="1"/>
  <c r="L613" i="1" a="1"/>
  <c r="L613" i="1" s="1"/>
  <c r="C614" i="1" a="1"/>
  <c r="C614" i="1" s="1"/>
  <c r="E614" i="15" s="1"/>
  <c r="L614" i="1" a="1"/>
  <c r="L614" i="1" s="1"/>
  <c r="C615" i="1" a="1"/>
  <c r="C615" i="1" s="1"/>
  <c r="E615" i="15" s="1"/>
  <c r="L615" i="1" a="1"/>
  <c r="L615" i="1" s="1"/>
  <c r="C616" i="1" a="1"/>
  <c r="C616" i="1" s="1"/>
  <c r="E616" i="15" s="1"/>
  <c r="L616" i="1" a="1"/>
  <c r="L616" i="1" s="1"/>
  <c r="C617" i="1" a="1"/>
  <c r="C617" i="1" s="1"/>
  <c r="E617" i="15" s="1"/>
  <c r="L617" i="1" a="1"/>
  <c r="L617" i="1" s="1"/>
  <c r="C618" i="1" a="1"/>
  <c r="C618" i="1" s="1"/>
  <c r="E618" i="15" s="1"/>
  <c r="L618" i="1" a="1"/>
  <c r="L618" i="1" s="1"/>
  <c r="C619" i="1" a="1"/>
  <c r="C619" i="1" s="1"/>
  <c r="E619" i="15" s="1"/>
  <c r="L619" i="1" a="1"/>
  <c r="L619" i="1" s="1"/>
  <c r="C620" i="1" a="1"/>
  <c r="C620" i="1" s="1"/>
  <c r="E620" i="15" s="1"/>
  <c r="L620" i="1" a="1"/>
  <c r="L620" i="1" s="1"/>
  <c r="C621" i="1" a="1"/>
  <c r="C621" i="1" s="1"/>
  <c r="E621" i="15" s="1"/>
  <c r="L621" i="1" a="1"/>
  <c r="L621" i="1" s="1"/>
  <c r="C622" i="1" a="1"/>
  <c r="C622" i="1" s="1"/>
  <c r="E622" i="15" s="1"/>
  <c r="L622" i="1" a="1"/>
  <c r="L622" i="1" s="1"/>
  <c r="C623" i="1" a="1"/>
  <c r="C623" i="1" s="1"/>
  <c r="E623" i="15" s="1"/>
  <c r="L623" i="1" a="1"/>
  <c r="L623" i="1" s="1"/>
  <c r="C624" i="1" a="1"/>
  <c r="C624" i="1" s="1"/>
  <c r="E624" i="15" s="1"/>
  <c r="L624" i="1" a="1"/>
  <c r="L624" i="1" s="1"/>
  <c r="C625" i="1" a="1"/>
  <c r="C625" i="1" s="1"/>
  <c r="E625" i="15" s="1"/>
  <c r="L625" i="1" a="1"/>
  <c r="L625" i="1" s="1"/>
  <c r="C626" i="1" a="1"/>
  <c r="C626" i="1" s="1"/>
  <c r="E626" i="15" s="1"/>
  <c r="L626" i="1" a="1"/>
  <c r="L626" i="1" s="1"/>
  <c r="C627" i="1" a="1"/>
  <c r="C627" i="1" s="1"/>
  <c r="E627" i="15" s="1"/>
  <c r="L627" i="1" a="1"/>
  <c r="L627" i="1" s="1"/>
  <c r="C628" i="1" a="1"/>
  <c r="C628" i="1" s="1"/>
  <c r="E628" i="15" s="1"/>
  <c r="L628" i="1" a="1"/>
  <c r="L628" i="1" s="1"/>
  <c r="C629" i="1" a="1"/>
  <c r="C629" i="1" s="1"/>
  <c r="E629" i="15" s="1"/>
  <c r="L629" i="1" a="1"/>
  <c r="L629" i="1" s="1"/>
  <c r="C630" i="1" a="1"/>
  <c r="C630" i="1" s="1"/>
  <c r="E630" i="15" s="1"/>
  <c r="L630" i="1" a="1"/>
  <c r="L630" i="1" s="1"/>
  <c r="C631" i="1" a="1"/>
  <c r="C631" i="1" s="1"/>
  <c r="E631" i="15" s="1"/>
  <c r="L631" i="1" a="1"/>
  <c r="L631" i="1" s="1"/>
  <c r="C632" i="1" a="1"/>
  <c r="C632" i="1" s="1"/>
  <c r="E632" i="15" s="1"/>
  <c r="L632" i="1" a="1"/>
  <c r="L632" i="1" s="1"/>
  <c r="C633" i="1" a="1"/>
  <c r="C633" i="1" s="1"/>
  <c r="E633" i="15" s="1"/>
  <c r="L633" i="1" a="1"/>
  <c r="L633" i="1" s="1"/>
  <c r="C634" i="1" a="1"/>
  <c r="C634" i="1" s="1"/>
  <c r="E634" i="15" s="1"/>
  <c r="L634" i="1" a="1"/>
  <c r="L634" i="1" s="1"/>
  <c r="C635" i="1" a="1"/>
  <c r="C635" i="1" s="1"/>
  <c r="E635" i="15" s="1"/>
  <c r="L635" i="1" a="1"/>
  <c r="L635" i="1" s="1"/>
  <c r="C636" i="1" a="1"/>
  <c r="C636" i="1" s="1"/>
  <c r="E636" i="15" s="1"/>
  <c r="L636" i="1" a="1"/>
  <c r="L636" i="1" s="1"/>
  <c r="C637" i="1" a="1"/>
  <c r="C637" i="1" s="1"/>
  <c r="E637" i="15" s="1"/>
  <c r="L637" i="1" a="1"/>
  <c r="L637" i="1" s="1"/>
  <c r="C638" i="1" a="1"/>
  <c r="C638" i="1" s="1"/>
  <c r="E638" i="15" s="1"/>
  <c r="L638" i="1" a="1"/>
  <c r="L638" i="1" s="1"/>
  <c r="C639" i="1" a="1"/>
  <c r="C639" i="1" s="1"/>
  <c r="E639" i="15" s="1"/>
  <c r="L639" i="1" a="1"/>
  <c r="L639" i="1" s="1"/>
  <c r="C640" i="1" a="1"/>
  <c r="C640" i="1" s="1"/>
  <c r="E640" i="15" s="1"/>
  <c r="C544" i="1" a="1"/>
  <c r="C544" i="1" s="1"/>
  <c r="E544" i="15" s="1"/>
  <c r="J544" i="1" a="1"/>
  <c r="J544" i="1" s="1"/>
  <c r="J545" i="1" a="1"/>
  <c r="J545" i="1" s="1"/>
  <c r="G546" i="1" a="1"/>
  <c r="G546" i="1" s="1"/>
  <c r="M546" i="1" a="1"/>
  <c r="M546" i="1" s="1"/>
  <c r="O547" i="1"/>
  <c r="M547" i="15" s="1"/>
  <c r="N547" i="15" s="1" a="1"/>
  <c r="N547" i="15" s="1"/>
  <c r="D548" i="1" a="1"/>
  <c r="D548" i="1" s="1"/>
  <c r="I548" i="15" s="1"/>
  <c r="P548" i="1" a="1"/>
  <c r="P548" i="1" s="1"/>
  <c r="F549" i="1" a="1"/>
  <c r="F549" i="1" s="1"/>
  <c r="R549" i="15" s="1"/>
  <c r="K549" i="1" a="1"/>
  <c r="K549" i="1" s="1"/>
  <c r="C550" i="1" a="1"/>
  <c r="C550" i="1" s="1"/>
  <c r="E550" i="15" s="1"/>
  <c r="P550" i="1" a="1"/>
  <c r="P550" i="1" s="1"/>
  <c r="K551" i="1" a="1"/>
  <c r="K551" i="1" s="1"/>
  <c r="L551" i="15" s="1"/>
  <c r="G552" i="1" a="1"/>
  <c r="G552" i="1" s="1"/>
  <c r="J552" i="15" s="1"/>
  <c r="G553" i="1" a="1"/>
  <c r="G553" i="1" s="1"/>
  <c r="M553" i="1" a="1"/>
  <c r="M553" i="1" s="1"/>
  <c r="D554" i="1" a="1"/>
  <c r="D554" i="1" s="1"/>
  <c r="I554" i="15" s="1"/>
  <c r="O554" i="1"/>
  <c r="M554" i="15" s="1"/>
  <c r="N554" i="15" s="1" a="1"/>
  <c r="N554" i="15" s="1"/>
  <c r="F555" i="1" a="1"/>
  <c r="F555" i="1" s="1"/>
  <c r="R555" i="15" s="1"/>
  <c r="L555" i="1" a="1"/>
  <c r="L555" i="1" s="1"/>
  <c r="G556" i="1" a="1"/>
  <c r="G556" i="1" s="1"/>
  <c r="J556" i="15" s="1"/>
  <c r="M556" i="1" a="1"/>
  <c r="M556" i="1" s="1"/>
  <c r="C557" i="1" a="1"/>
  <c r="C557" i="1" s="1"/>
  <c r="E557" i="15" s="1"/>
  <c r="G557" i="1" a="1"/>
  <c r="G557" i="1" s="1"/>
  <c r="J557" i="15" s="1"/>
  <c r="K557" i="1" a="1"/>
  <c r="K557" i="1" s="1"/>
  <c r="L557" i="15" s="1"/>
  <c r="Q557" i="1" a="1"/>
  <c r="Q557" i="1" s="1"/>
  <c r="S557" i="15" s="1"/>
  <c r="K558" i="1" a="1"/>
  <c r="K558" i="1" s="1"/>
  <c r="L558" i="15" s="1"/>
  <c r="Q558" i="1" a="1"/>
  <c r="Q558" i="1" s="1"/>
  <c r="S558" i="15" s="1"/>
  <c r="F559" i="1" a="1"/>
  <c r="F559" i="1" s="1"/>
  <c r="R559" i="15" s="1"/>
  <c r="K559" i="1" a="1"/>
  <c r="K559" i="1" s="1"/>
  <c r="L559" i="15" s="1"/>
  <c r="P559" i="1" a="1"/>
  <c r="P559" i="1" s="1"/>
  <c r="D560" i="1" a="1"/>
  <c r="D560" i="1" s="1"/>
  <c r="I560" i="15" s="1"/>
  <c r="H560" i="1" a="1"/>
  <c r="H560" i="1" s="1"/>
  <c r="L560" i="1" a="1"/>
  <c r="L560" i="1" s="1"/>
  <c r="Q560" i="1" a="1"/>
  <c r="Q560" i="1" s="1"/>
  <c r="S560" i="15" s="1"/>
  <c r="M561" i="1" a="1"/>
  <c r="M561" i="1" s="1"/>
  <c r="F562" i="1" a="1"/>
  <c r="F562" i="1" s="1"/>
  <c r="R562" i="15" s="1"/>
  <c r="J562" i="1" a="1"/>
  <c r="J562" i="1" s="1"/>
  <c r="O562" i="1"/>
  <c r="M562" i="15" s="1"/>
  <c r="N562" i="15" s="1" a="1"/>
  <c r="N562" i="15" s="1"/>
  <c r="C563" i="1" a="1"/>
  <c r="C563" i="1" s="1"/>
  <c r="E563" i="15" s="1"/>
  <c r="G563" i="1" a="1"/>
  <c r="G563" i="1" s="1"/>
  <c r="J563" i="15" s="1"/>
  <c r="K563" i="1" a="1"/>
  <c r="K563" i="1" s="1"/>
  <c r="L563" i="15" s="1"/>
  <c r="P563" i="1" a="1"/>
  <c r="P563" i="1" s="1"/>
  <c r="D564" i="1" a="1"/>
  <c r="D564" i="1" s="1"/>
  <c r="I564" i="15" s="1"/>
  <c r="H564" i="1" a="1"/>
  <c r="H564" i="1" s="1"/>
  <c r="L564" i="1" a="1"/>
  <c r="L564" i="1" s="1"/>
  <c r="Q564" i="1" a="1"/>
  <c r="Q564" i="1" s="1"/>
  <c r="S564" i="15" s="1"/>
  <c r="M565" i="1" a="1"/>
  <c r="M565" i="1" s="1"/>
  <c r="F566" i="1" a="1"/>
  <c r="F566" i="1" s="1"/>
  <c r="R566" i="15" s="1"/>
  <c r="J566" i="1" a="1"/>
  <c r="J566" i="1" s="1"/>
  <c r="O566" i="1"/>
  <c r="M566" i="15" s="1"/>
  <c r="N566" i="15" s="1" a="1"/>
  <c r="N566" i="15" s="1"/>
  <c r="C567" i="1" a="1"/>
  <c r="C567" i="1" s="1"/>
  <c r="E567" i="15" s="1"/>
  <c r="G567" i="1" a="1"/>
  <c r="G567" i="1" s="1"/>
  <c r="J567" i="15" s="1"/>
  <c r="K567" i="1" a="1"/>
  <c r="K567" i="1" s="1"/>
  <c r="L567" i="15" s="1"/>
  <c r="P567" i="1" a="1"/>
  <c r="P567" i="1" s="1"/>
  <c r="D568" i="1" a="1"/>
  <c r="D568" i="1" s="1"/>
  <c r="I568" i="15" s="1"/>
  <c r="H568" i="1" a="1"/>
  <c r="H568" i="1" s="1"/>
  <c r="L568" i="1" a="1"/>
  <c r="L568" i="1" s="1"/>
  <c r="Q568" i="1" a="1"/>
  <c r="Q568" i="1" s="1"/>
  <c r="S568" i="15" s="1"/>
  <c r="M569" i="1" a="1"/>
  <c r="M569" i="1" s="1"/>
  <c r="F570" i="1" a="1"/>
  <c r="F570" i="1" s="1"/>
  <c r="R570" i="15" s="1"/>
  <c r="J570" i="1" a="1"/>
  <c r="J570" i="1" s="1"/>
  <c r="O570" i="1"/>
  <c r="M570" i="15" s="1"/>
  <c r="N570" i="15" s="1" a="1"/>
  <c r="N570" i="15" s="1"/>
  <c r="C571" i="1" a="1"/>
  <c r="C571" i="1" s="1"/>
  <c r="E571" i="15" s="1"/>
  <c r="G571" i="1" a="1"/>
  <c r="G571" i="1" s="1"/>
  <c r="J571" i="15" s="1"/>
  <c r="K571" i="1" a="1"/>
  <c r="K571" i="1" s="1"/>
  <c r="L571" i="15" s="1"/>
  <c r="P571" i="1" a="1"/>
  <c r="P571" i="1" s="1"/>
  <c r="D572" i="1" a="1"/>
  <c r="D572" i="1" s="1"/>
  <c r="I572" i="15" s="1"/>
  <c r="H572" i="1" a="1"/>
  <c r="H572" i="1" s="1"/>
  <c r="L572" i="1" a="1"/>
  <c r="L572" i="1" s="1"/>
  <c r="Q572" i="1" a="1"/>
  <c r="Q572" i="1" s="1"/>
  <c r="S572" i="15" s="1"/>
  <c r="M573" i="1" a="1"/>
  <c r="M573" i="1" s="1"/>
  <c r="F574" i="1" a="1"/>
  <c r="F574" i="1" s="1"/>
  <c r="R574" i="15" s="1"/>
  <c r="J574" i="1" a="1"/>
  <c r="J574" i="1" s="1"/>
  <c r="O574" i="1"/>
  <c r="M574" i="15" s="1"/>
  <c r="N574" i="15" s="1" a="1"/>
  <c r="N574" i="15" s="1"/>
  <c r="C575" i="1" a="1"/>
  <c r="C575" i="1" s="1"/>
  <c r="E575" i="15" s="1"/>
  <c r="G575" i="1" a="1"/>
  <c r="G575" i="1" s="1"/>
  <c r="J575" i="15" s="1"/>
  <c r="K575" i="1" a="1"/>
  <c r="K575" i="1" s="1"/>
  <c r="L575" i="15" s="1"/>
  <c r="P575" i="1" a="1"/>
  <c r="P575" i="1" s="1"/>
  <c r="D576" i="1" a="1"/>
  <c r="D576" i="1" s="1"/>
  <c r="I576" i="15" s="1"/>
  <c r="H576" i="1" a="1"/>
  <c r="H576" i="1" s="1"/>
  <c r="L576" i="1" a="1"/>
  <c r="L576" i="1" s="1"/>
  <c r="Q576" i="1" a="1"/>
  <c r="Q576" i="1" s="1"/>
  <c r="S576" i="15" s="1"/>
  <c r="M577" i="1" a="1"/>
  <c r="M577" i="1" s="1"/>
  <c r="F578" i="1" a="1"/>
  <c r="F578" i="1" s="1"/>
  <c r="R578" i="15" s="1"/>
  <c r="J578" i="1" a="1"/>
  <c r="J578" i="1" s="1"/>
  <c r="O578" i="1"/>
  <c r="M578" i="15" s="1"/>
  <c r="N578" i="15" s="1" a="1"/>
  <c r="N578" i="15" s="1"/>
  <c r="C579" i="1" a="1"/>
  <c r="C579" i="1" s="1"/>
  <c r="E579" i="15" s="1"/>
  <c r="G579" i="1" a="1"/>
  <c r="G579" i="1" s="1"/>
  <c r="J579" i="15" s="1"/>
  <c r="K579" i="1" a="1"/>
  <c r="K579" i="1" s="1"/>
  <c r="L579" i="15" s="1"/>
  <c r="P579" i="1" a="1"/>
  <c r="P579" i="1" s="1"/>
  <c r="D580" i="1" a="1"/>
  <c r="D580" i="1" s="1"/>
  <c r="I580" i="15" s="1"/>
  <c r="H580" i="1" a="1"/>
  <c r="H580" i="1" s="1"/>
  <c r="L580" i="1" a="1"/>
  <c r="L580" i="1" s="1"/>
  <c r="Q580" i="1" a="1"/>
  <c r="Q580" i="1" s="1"/>
  <c r="S580" i="15" s="1"/>
  <c r="M581" i="1" a="1"/>
  <c r="M581" i="1" s="1"/>
  <c r="F582" i="1" a="1"/>
  <c r="F582" i="1" s="1"/>
  <c r="R582" i="15" s="1"/>
  <c r="J582" i="1" a="1"/>
  <c r="J582" i="1" s="1"/>
  <c r="O582" i="1"/>
  <c r="M582" i="15" s="1"/>
  <c r="N582" i="15" s="1" a="1"/>
  <c r="N582" i="15" s="1"/>
  <c r="C583" i="1" a="1"/>
  <c r="C583" i="1" s="1"/>
  <c r="E583" i="15" s="1"/>
  <c r="G583" i="1" a="1"/>
  <c r="G583" i="1" s="1"/>
  <c r="J583" i="15" s="1"/>
  <c r="K583" i="1" a="1"/>
  <c r="K583" i="1" s="1"/>
  <c r="L583" i="15" s="1"/>
  <c r="P583" i="1" a="1"/>
  <c r="P583" i="1" s="1"/>
  <c r="D584" i="1" a="1"/>
  <c r="D584" i="1" s="1"/>
  <c r="I584" i="15" s="1"/>
  <c r="H584" i="1" a="1"/>
  <c r="H584" i="1" s="1"/>
  <c r="L584" i="1" a="1"/>
  <c r="L584" i="1" s="1"/>
  <c r="Q584" i="1" a="1"/>
  <c r="Q584" i="1" s="1"/>
  <c r="S584" i="15" s="1"/>
  <c r="M585" i="1" a="1"/>
  <c r="M585" i="1" s="1"/>
  <c r="F586" i="1" a="1"/>
  <c r="F586" i="1" s="1"/>
  <c r="R586" i="15" s="1"/>
  <c r="J586" i="1" a="1"/>
  <c r="J586" i="1" s="1"/>
  <c r="O586" i="1"/>
  <c r="M586" i="15" s="1"/>
  <c r="N586" i="15" s="1" a="1"/>
  <c r="N586" i="15" s="1"/>
  <c r="C587" i="1" a="1"/>
  <c r="C587" i="1" s="1"/>
  <c r="E587" i="15" s="1"/>
  <c r="G587" i="1" a="1"/>
  <c r="G587" i="1" s="1"/>
  <c r="J587" i="15" s="1"/>
  <c r="K587" i="1" a="1"/>
  <c r="K587" i="1" s="1"/>
  <c r="L587" i="15" s="1"/>
  <c r="P587" i="1" a="1"/>
  <c r="P587" i="1" s="1"/>
  <c r="D588" i="1" a="1"/>
  <c r="D588" i="1" s="1"/>
  <c r="I588" i="15" s="1"/>
  <c r="H588" i="1" a="1"/>
  <c r="H588" i="1" s="1"/>
  <c r="L588" i="1" a="1"/>
  <c r="L588" i="1" s="1"/>
  <c r="Q588" i="1" a="1"/>
  <c r="Q588" i="1" s="1"/>
  <c r="S588" i="15" s="1"/>
  <c r="M589" i="1" a="1"/>
  <c r="M589" i="1" s="1"/>
  <c r="F590" i="1" a="1"/>
  <c r="F590" i="1" s="1"/>
  <c r="R590" i="15" s="1"/>
  <c r="J590" i="1" a="1"/>
  <c r="J590" i="1" s="1"/>
  <c r="O590" i="1"/>
  <c r="M590" i="15" s="1"/>
  <c r="N590" i="15" s="1" a="1"/>
  <c r="N590" i="15" s="1"/>
  <c r="C591" i="1" a="1"/>
  <c r="C591" i="1" s="1"/>
  <c r="E591" i="15" s="1"/>
  <c r="G591" i="1" a="1"/>
  <c r="G591" i="1" s="1"/>
  <c r="J591" i="15" s="1"/>
  <c r="K591" i="1" a="1"/>
  <c r="K591" i="1" s="1"/>
  <c r="L591" i="15" s="1"/>
  <c r="P591" i="1" a="1"/>
  <c r="P591" i="1" s="1"/>
  <c r="D592" i="1" a="1"/>
  <c r="D592" i="1" s="1"/>
  <c r="I592" i="15" s="1"/>
  <c r="H592" i="1" a="1"/>
  <c r="H592" i="1" s="1"/>
  <c r="L592" i="1" a="1"/>
  <c r="L592" i="1" s="1"/>
  <c r="Q592" i="1" a="1"/>
  <c r="Q592" i="1" s="1"/>
  <c r="S592" i="15" s="1"/>
  <c r="M593" i="1" a="1"/>
  <c r="M593" i="1" s="1"/>
  <c r="H594" i="1" a="1"/>
  <c r="H594" i="1" s="1"/>
  <c r="L594" i="1" a="1"/>
  <c r="L594" i="1" s="1"/>
  <c r="Q594" i="1" a="1"/>
  <c r="Q594" i="1" s="1"/>
  <c r="S594" i="15" s="1"/>
  <c r="C596" i="1" a="1"/>
  <c r="C596" i="1" s="1"/>
  <c r="E596" i="15" s="1"/>
  <c r="J596" i="1" a="1"/>
  <c r="J596" i="1" s="1"/>
  <c r="J597" i="1" a="1"/>
  <c r="J597" i="1" s="1"/>
  <c r="O597" i="1"/>
  <c r="M597" i="15" s="1"/>
  <c r="N597" i="15" s="1" a="1"/>
  <c r="N597" i="15" s="1"/>
  <c r="C598" i="1" a="1"/>
  <c r="C598" i="1" s="1"/>
  <c r="E598" i="15" s="1"/>
  <c r="L598" i="1" a="1"/>
  <c r="L598" i="1" s="1"/>
  <c r="D599" i="1" a="1"/>
  <c r="D599" i="1" s="1"/>
  <c r="I599" i="15" s="1"/>
  <c r="O599" i="1"/>
  <c r="M599" i="15" s="1"/>
  <c r="N599" i="15" s="1" a="1"/>
  <c r="N599" i="15" s="1"/>
  <c r="C600" i="1" a="1"/>
  <c r="C600" i="1" s="1"/>
  <c r="E600" i="15" s="1"/>
  <c r="G600" i="1" a="1"/>
  <c r="G600" i="1" s="1"/>
  <c r="J600" i="15" s="1"/>
  <c r="J600" i="1" a="1"/>
  <c r="J600" i="1" s="1"/>
  <c r="M600" i="1" a="1"/>
  <c r="M600" i="1" s="1"/>
  <c r="Q600" i="1" a="1"/>
  <c r="Q600" i="1" s="1"/>
  <c r="S600" i="15" s="1"/>
  <c r="D601" i="1" a="1"/>
  <c r="D601" i="1" s="1"/>
  <c r="I601" i="15" s="1"/>
  <c r="H601" i="1" a="1"/>
  <c r="H601" i="1" s="1"/>
  <c r="L601" i="1" a="1"/>
  <c r="L601" i="1" s="1"/>
  <c r="Q601" i="1" a="1"/>
  <c r="Q601" i="1" s="1"/>
  <c r="S601" i="15" s="1"/>
  <c r="D602" i="1" a="1"/>
  <c r="D602" i="1" s="1"/>
  <c r="I602" i="15" s="1"/>
  <c r="G602" i="1" a="1"/>
  <c r="G602" i="1" s="1"/>
  <c r="J602" i="15" s="1"/>
  <c r="K602" i="1" a="1"/>
  <c r="K602" i="1" s="1"/>
  <c r="L602" i="15" s="1"/>
  <c r="P602" i="1" a="1"/>
  <c r="P602" i="1" s="1"/>
  <c r="D603" i="1" a="1"/>
  <c r="D603" i="1" s="1"/>
  <c r="I603" i="15" s="1"/>
  <c r="H603" i="1" a="1"/>
  <c r="H603" i="1" s="1"/>
  <c r="L603" i="1" a="1"/>
  <c r="L603" i="1" s="1"/>
  <c r="P603" i="1" a="1"/>
  <c r="P603" i="1" s="1"/>
  <c r="F604" i="1" a="1"/>
  <c r="F604" i="1" s="1"/>
  <c r="R604" i="15" s="1"/>
  <c r="M604" i="1" a="1"/>
  <c r="M604" i="1" s="1"/>
  <c r="Q604" i="1" a="1"/>
  <c r="Q604" i="1" s="1"/>
  <c r="S604" i="15" s="1"/>
  <c r="D605" i="1" a="1"/>
  <c r="D605" i="1" s="1"/>
  <c r="I605" i="15" s="1"/>
  <c r="G605" i="1" a="1"/>
  <c r="G605" i="1" s="1"/>
  <c r="J605" i="15" s="1"/>
  <c r="J605" i="1" a="1"/>
  <c r="J605" i="1" s="1"/>
  <c r="O605" i="1"/>
  <c r="M605" i="15" s="1"/>
  <c r="N605" i="15" s="1" a="1"/>
  <c r="N605" i="15" s="1"/>
  <c r="F606" i="1" a="1"/>
  <c r="F606" i="1" s="1"/>
  <c r="R606" i="15" s="1"/>
  <c r="J606" i="1" a="1"/>
  <c r="J606" i="1" s="1"/>
  <c r="O606" i="1"/>
  <c r="M606" i="15" s="1"/>
  <c r="N606" i="15" s="1" a="1"/>
  <c r="N606" i="15" s="1"/>
  <c r="C607" i="1" a="1"/>
  <c r="C607" i="1" s="1"/>
  <c r="E607" i="15" s="1"/>
  <c r="G607" i="1" a="1"/>
  <c r="G607" i="1" s="1"/>
  <c r="J607" i="15" s="1"/>
  <c r="J607" i="1" a="1"/>
  <c r="J607" i="1" s="1"/>
  <c r="O607" i="1"/>
  <c r="M607" i="15" s="1"/>
  <c r="N607" i="15" s="1" a="1"/>
  <c r="N607" i="15" s="1"/>
  <c r="F608" i="1" a="1"/>
  <c r="F608" i="1" s="1"/>
  <c r="R608" i="15" s="1"/>
  <c r="M608" i="1" a="1"/>
  <c r="M608" i="1" s="1"/>
  <c r="H609" i="1" a="1"/>
  <c r="H609" i="1" s="1"/>
  <c r="L609" i="1" a="1"/>
  <c r="L609" i="1" s="1"/>
  <c r="Q609" i="1" a="1"/>
  <c r="Q609" i="1" s="1"/>
  <c r="S609" i="15" s="1"/>
  <c r="M610" i="1" a="1"/>
  <c r="M610" i="1" s="1"/>
  <c r="Q610" i="1" a="1"/>
  <c r="Q610" i="1" s="1"/>
  <c r="S610" i="15" s="1"/>
  <c r="D611" i="1" a="1"/>
  <c r="D611" i="1" s="1"/>
  <c r="I611" i="15" s="1"/>
  <c r="G611" i="1" a="1"/>
  <c r="G611" i="1" s="1"/>
  <c r="J611" i="15" s="1"/>
  <c r="M611" i="1" a="1"/>
  <c r="M611" i="1" s="1"/>
  <c r="Q611" i="1" a="1"/>
  <c r="Q611" i="1" s="1"/>
  <c r="S611" i="15" s="1"/>
  <c r="D612" i="1" a="1"/>
  <c r="D612" i="1" s="1"/>
  <c r="I612" i="15" s="1"/>
  <c r="G612" i="1" a="1"/>
  <c r="G612" i="1" s="1"/>
  <c r="J612" i="15" s="1"/>
  <c r="M612" i="1" a="1"/>
  <c r="M612" i="1" s="1"/>
  <c r="Q612" i="1" a="1"/>
  <c r="Q612" i="1" s="1"/>
  <c r="S612" i="15" s="1"/>
  <c r="D613" i="1" a="1"/>
  <c r="D613" i="1" s="1"/>
  <c r="I613" i="15" s="1"/>
  <c r="G613" i="1" a="1"/>
  <c r="G613" i="1" s="1"/>
  <c r="J613" i="15" s="1"/>
  <c r="M613" i="1" a="1"/>
  <c r="M613" i="1" s="1"/>
  <c r="Q613" i="1" a="1"/>
  <c r="Q613" i="1" s="1"/>
  <c r="S613" i="15" s="1"/>
  <c r="D614" i="1" a="1"/>
  <c r="D614" i="1" s="1"/>
  <c r="I614" i="15" s="1"/>
  <c r="G614" i="1" a="1"/>
  <c r="G614" i="1" s="1"/>
  <c r="J614" i="15" s="1"/>
  <c r="M614" i="1" a="1"/>
  <c r="M614" i="1" s="1"/>
  <c r="Q614" i="1" a="1"/>
  <c r="Q614" i="1" s="1"/>
  <c r="S614" i="15" s="1"/>
  <c r="D615" i="1" a="1"/>
  <c r="D615" i="1" s="1"/>
  <c r="I615" i="15" s="1"/>
  <c r="G615" i="1" a="1"/>
  <c r="G615" i="1" s="1"/>
  <c r="J615" i="15" s="1"/>
  <c r="M615" i="1" a="1"/>
  <c r="M615" i="1" s="1"/>
  <c r="Q615" i="1" a="1"/>
  <c r="Q615" i="1" s="1"/>
  <c r="S615" i="15" s="1"/>
  <c r="D616" i="1" a="1"/>
  <c r="D616" i="1" s="1"/>
  <c r="I616" i="15" s="1"/>
  <c r="G616" i="1" a="1"/>
  <c r="G616" i="1" s="1"/>
  <c r="J616" i="15" s="1"/>
  <c r="M616" i="1" a="1"/>
  <c r="M616" i="1" s="1"/>
  <c r="Q616" i="1" a="1"/>
  <c r="Q616" i="1" s="1"/>
  <c r="S616" i="15" s="1"/>
  <c r="D617" i="1" a="1"/>
  <c r="D617" i="1" s="1"/>
  <c r="I617" i="15" s="1"/>
  <c r="G617" i="1" a="1"/>
  <c r="G617" i="1" s="1"/>
  <c r="J617" i="15" s="1"/>
  <c r="M617" i="1" a="1"/>
  <c r="M617" i="1" s="1"/>
  <c r="Q617" i="1" a="1"/>
  <c r="Q617" i="1" s="1"/>
  <c r="S617" i="15" s="1"/>
  <c r="D618" i="1" a="1"/>
  <c r="D618" i="1" s="1"/>
  <c r="I618" i="15" s="1"/>
  <c r="G618" i="1" a="1"/>
  <c r="G618" i="1" s="1"/>
  <c r="J618" i="15" s="1"/>
  <c r="M618" i="1" a="1"/>
  <c r="M618" i="1" s="1"/>
  <c r="Q618" i="1" a="1"/>
  <c r="Q618" i="1" s="1"/>
  <c r="S618" i="15" s="1"/>
  <c r="D619" i="1" a="1"/>
  <c r="D619" i="1" s="1"/>
  <c r="I619" i="15" s="1"/>
  <c r="G619" i="1" a="1"/>
  <c r="G619" i="1" s="1"/>
  <c r="J619" i="15" s="1"/>
  <c r="M619" i="1" a="1"/>
  <c r="M619" i="1" s="1"/>
  <c r="Q619" i="1" a="1"/>
  <c r="Q619" i="1" s="1"/>
  <c r="S619" i="15" s="1"/>
  <c r="D620" i="1" a="1"/>
  <c r="D620" i="1" s="1"/>
  <c r="I620" i="15" s="1"/>
  <c r="G620" i="1" a="1"/>
  <c r="G620" i="1" s="1"/>
  <c r="J620" i="15" s="1"/>
  <c r="M620" i="1" a="1"/>
  <c r="M620" i="1" s="1"/>
  <c r="Q620" i="1" a="1"/>
  <c r="Q620" i="1" s="1"/>
  <c r="S620" i="15" s="1"/>
  <c r="D621" i="1" a="1"/>
  <c r="D621" i="1" s="1"/>
  <c r="I621" i="15" s="1"/>
  <c r="G621" i="1" a="1"/>
  <c r="G621" i="1" s="1"/>
  <c r="J621" i="15" s="1"/>
  <c r="M621" i="1" a="1"/>
  <c r="M621" i="1" s="1"/>
  <c r="Q621" i="1" a="1"/>
  <c r="Q621" i="1" s="1"/>
  <c r="S621" i="15" s="1"/>
  <c r="D622" i="1" a="1"/>
  <c r="D622" i="1" s="1"/>
  <c r="I622" i="15" s="1"/>
  <c r="G622" i="1" a="1"/>
  <c r="G622" i="1" s="1"/>
  <c r="J622" i="15" s="1"/>
  <c r="M622" i="1" a="1"/>
  <c r="M622" i="1" s="1"/>
  <c r="Q622" i="1" a="1"/>
  <c r="Q622" i="1" s="1"/>
  <c r="S622" i="15" s="1"/>
  <c r="D623" i="1" a="1"/>
  <c r="D623" i="1" s="1"/>
  <c r="I623" i="15" s="1"/>
  <c r="G623" i="1" a="1"/>
  <c r="G623" i="1" s="1"/>
  <c r="J623" i="15" s="1"/>
  <c r="M623" i="1" a="1"/>
  <c r="M623" i="1" s="1"/>
  <c r="Q623" i="1" a="1"/>
  <c r="Q623" i="1" s="1"/>
  <c r="S623" i="15" s="1"/>
  <c r="D624" i="1" a="1"/>
  <c r="D624" i="1" s="1"/>
  <c r="I624" i="15" s="1"/>
  <c r="G624" i="1" a="1"/>
  <c r="G624" i="1" s="1"/>
  <c r="J624" i="15" s="1"/>
  <c r="M624" i="1" a="1"/>
  <c r="M624" i="1" s="1"/>
  <c r="Q624" i="1" a="1"/>
  <c r="Q624" i="1" s="1"/>
  <c r="S624" i="15" s="1"/>
  <c r="D625" i="1" a="1"/>
  <c r="D625" i="1" s="1"/>
  <c r="I625" i="15" s="1"/>
  <c r="G625" i="1" a="1"/>
  <c r="G625" i="1" s="1"/>
  <c r="J625" i="15" s="1"/>
  <c r="M625" i="1" a="1"/>
  <c r="M625" i="1" s="1"/>
  <c r="Q625" i="1" a="1"/>
  <c r="Q625" i="1" s="1"/>
  <c r="S625" i="15" s="1"/>
  <c r="D626" i="1" a="1"/>
  <c r="D626" i="1" s="1"/>
  <c r="I626" i="15" s="1"/>
  <c r="G626" i="1" a="1"/>
  <c r="G626" i="1" s="1"/>
  <c r="J626" i="15" s="1"/>
  <c r="M626" i="1" a="1"/>
  <c r="M626" i="1" s="1"/>
  <c r="Q626" i="1" a="1"/>
  <c r="Q626" i="1" s="1"/>
  <c r="S626" i="15" s="1"/>
  <c r="D627" i="1" a="1"/>
  <c r="D627" i="1" s="1"/>
  <c r="I627" i="15" s="1"/>
  <c r="G627" i="1" a="1"/>
  <c r="G627" i="1" s="1"/>
  <c r="M627" i="1" a="1"/>
  <c r="M627" i="1" s="1"/>
  <c r="Q627" i="1" a="1"/>
  <c r="Q627" i="1" s="1"/>
  <c r="S627" i="15" s="1"/>
  <c r="D628" i="1" a="1"/>
  <c r="D628" i="1" s="1"/>
  <c r="I628" i="15" s="1"/>
  <c r="G628" i="1" a="1"/>
  <c r="G628" i="1" s="1"/>
  <c r="M628" i="1" a="1"/>
  <c r="M628" i="1" s="1"/>
  <c r="Q628" i="1" a="1"/>
  <c r="Q628" i="1" s="1"/>
  <c r="S628" i="15" s="1"/>
  <c r="D629" i="1" a="1"/>
  <c r="D629" i="1" s="1"/>
  <c r="I629" i="15" s="1"/>
  <c r="G629" i="1" a="1"/>
  <c r="G629" i="1" s="1"/>
  <c r="M629" i="1" a="1"/>
  <c r="M629" i="1" s="1"/>
  <c r="Q629" i="1" a="1"/>
  <c r="Q629" i="1" s="1"/>
  <c r="S629" i="15" s="1"/>
  <c r="D630" i="1" a="1"/>
  <c r="D630" i="1" s="1"/>
  <c r="I630" i="15" s="1"/>
  <c r="G630" i="1" a="1"/>
  <c r="G630" i="1" s="1"/>
  <c r="M630" i="1" a="1"/>
  <c r="M630" i="1" s="1"/>
  <c r="Q630" i="1" a="1"/>
  <c r="Q630" i="1" s="1"/>
  <c r="S630" i="15" s="1"/>
  <c r="D631" i="1" a="1"/>
  <c r="D631" i="1" s="1"/>
  <c r="I631" i="15" s="1"/>
  <c r="G631" i="1" a="1"/>
  <c r="G631" i="1" s="1"/>
  <c r="M631" i="1" a="1"/>
  <c r="M631" i="1" s="1"/>
  <c r="Q631" i="1" a="1"/>
  <c r="Q631" i="1" s="1"/>
  <c r="S631" i="15" s="1"/>
  <c r="D632" i="1" a="1"/>
  <c r="D632" i="1" s="1"/>
  <c r="I632" i="15" s="1"/>
  <c r="G632" i="1" a="1"/>
  <c r="G632" i="1" s="1"/>
  <c r="M632" i="1" a="1"/>
  <c r="M632" i="1" s="1"/>
  <c r="Q632" i="1" a="1"/>
  <c r="Q632" i="1" s="1"/>
  <c r="S632" i="15" s="1"/>
  <c r="D633" i="1" a="1"/>
  <c r="D633" i="1" s="1"/>
  <c r="I633" i="15" s="1"/>
  <c r="G633" i="1" a="1"/>
  <c r="G633" i="1" s="1"/>
  <c r="M633" i="1" a="1"/>
  <c r="M633" i="1" s="1"/>
  <c r="Q633" i="1" a="1"/>
  <c r="Q633" i="1" s="1"/>
  <c r="S633" i="15" s="1"/>
  <c r="D634" i="1" a="1"/>
  <c r="D634" i="1" s="1"/>
  <c r="I634" i="15" s="1"/>
  <c r="G634" i="1" a="1"/>
  <c r="G634" i="1" s="1"/>
  <c r="P626" i="1" a="1"/>
  <c r="P626" i="1" s="1"/>
  <c r="H627" i="1" a="1"/>
  <c r="H627" i="1" s="1"/>
  <c r="K629" i="1" a="1"/>
  <c r="K629" i="1" s="1"/>
  <c r="L629" i="15" s="1"/>
  <c r="F630" i="1" a="1"/>
  <c r="F630" i="1" s="1"/>
  <c r="R630" i="15" s="1"/>
  <c r="P630" i="1" a="1"/>
  <c r="P630" i="1" s="1"/>
  <c r="H631" i="1" a="1"/>
  <c r="H631" i="1" s="1"/>
  <c r="K633" i="1" a="1"/>
  <c r="K633" i="1" s="1"/>
  <c r="L633" i="15" s="1"/>
  <c r="F634" i="1" a="1"/>
  <c r="F634" i="1" s="1"/>
  <c r="R634" i="15" s="1"/>
  <c r="M634" i="1" a="1"/>
  <c r="M634" i="1" s="1"/>
  <c r="D635" i="1" a="1"/>
  <c r="D635" i="1" s="1"/>
  <c r="I635" i="15" s="1"/>
  <c r="H635" i="1" a="1"/>
  <c r="H635" i="1" s="1"/>
  <c r="P635" i="1" a="1"/>
  <c r="P635" i="1" s="1"/>
  <c r="Q636" i="1" a="1"/>
  <c r="Q636" i="1" s="1"/>
  <c r="S636" i="15" s="1"/>
  <c r="F637" i="1" a="1"/>
  <c r="F637" i="1" s="1"/>
  <c r="R637" i="15" s="1"/>
  <c r="K637" i="1" a="1"/>
  <c r="K637" i="1" s="1"/>
  <c r="G638" i="1" a="1"/>
  <c r="G638" i="1" s="1"/>
  <c r="M638" i="1" a="1"/>
  <c r="M638" i="1" s="1"/>
  <c r="D639" i="1" a="1"/>
  <c r="D639" i="1" s="1"/>
  <c r="I639" i="15" s="1"/>
  <c r="H639" i="1" a="1"/>
  <c r="H639" i="1" s="1"/>
  <c r="P639" i="1" a="1"/>
  <c r="P639" i="1" s="1"/>
  <c r="H640" i="1" a="1"/>
  <c r="H640" i="1" s="1"/>
  <c r="L640" i="1" a="1"/>
  <c r="L640" i="1" s="1"/>
  <c r="Q640" i="1" a="1"/>
  <c r="Q640" i="1" s="1"/>
  <c r="S640" i="15" s="1"/>
  <c r="H641" i="1" a="1"/>
  <c r="H641" i="1" s="1"/>
  <c r="L641" i="1" a="1"/>
  <c r="L641" i="1" s="1"/>
  <c r="Q641" i="1" a="1"/>
  <c r="Q641" i="1" s="1"/>
  <c r="S641" i="15" s="1"/>
  <c r="H642" i="1" a="1"/>
  <c r="H642" i="1" s="1"/>
  <c r="L642" i="1" a="1"/>
  <c r="L642" i="1" s="1"/>
  <c r="Q642" i="1" a="1"/>
  <c r="Q642" i="1" s="1"/>
  <c r="S642" i="15" s="1"/>
  <c r="H643" i="1" a="1"/>
  <c r="H643" i="1" s="1"/>
  <c r="L643" i="1" a="1"/>
  <c r="L643" i="1" s="1"/>
  <c r="Q643" i="1" a="1"/>
  <c r="Q643" i="1" s="1"/>
  <c r="S643" i="15" s="1"/>
  <c r="H644" i="1" a="1"/>
  <c r="H644" i="1" s="1"/>
  <c r="L644" i="1" a="1"/>
  <c r="L644" i="1" s="1"/>
  <c r="Q644" i="1" a="1"/>
  <c r="Q644" i="1" s="1"/>
  <c r="S644" i="15" s="1"/>
  <c r="D645" i="1" a="1"/>
  <c r="D645" i="1" s="1"/>
  <c r="I645" i="15" s="1"/>
  <c r="K645" i="1" a="1"/>
  <c r="K645" i="1" s="1"/>
  <c r="P645" i="1" a="1"/>
  <c r="P645" i="1" s="1"/>
  <c r="C646" i="1" a="1"/>
  <c r="C646" i="1" s="1"/>
  <c r="E646" i="15" s="1"/>
  <c r="G646" i="1" a="1"/>
  <c r="G646" i="1" s="1"/>
  <c r="J646" i="1" a="1"/>
  <c r="J646" i="1" s="1"/>
  <c r="O646" i="1"/>
  <c r="M646" i="15" s="1"/>
  <c r="N646" i="15" s="1" a="1"/>
  <c r="N646" i="15" s="1"/>
  <c r="F647" i="1" a="1"/>
  <c r="F647" i="1" s="1"/>
  <c r="R647" i="15" s="1"/>
  <c r="M647" i="1" a="1"/>
  <c r="M647" i="1" s="1"/>
  <c r="H648" i="1" a="1"/>
  <c r="H648" i="1" s="1"/>
  <c r="L648" i="1" a="1"/>
  <c r="L648" i="1" s="1"/>
  <c r="Q648" i="1" a="1"/>
  <c r="Q648" i="1" s="1"/>
  <c r="S648" i="15" s="1"/>
  <c r="D649" i="1" a="1"/>
  <c r="D649" i="1" s="1"/>
  <c r="I649" i="15" s="1"/>
  <c r="K649" i="1" a="1"/>
  <c r="K649" i="1" s="1"/>
  <c r="P649" i="1" a="1"/>
  <c r="P649" i="1" s="1"/>
  <c r="C650" i="1" a="1"/>
  <c r="C650" i="1" s="1"/>
  <c r="E650" i="15" s="1"/>
  <c r="G650" i="1" a="1"/>
  <c r="G650" i="1" s="1"/>
  <c r="J650" i="1" a="1"/>
  <c r="J650" i="1" s="1"/>
  <c r="O650" i="1"/>
  <c r="M650" i="15" s="1"/>
  <c r="N650" i="15" s="1" a="1"/>
  <c r="N650" i="15" s="1"/>
  <c r="F651" i="1" a="1"/>
  <c r="F651" i="1" s="1"/>
  <c r="R651" i="15" s="1"/>
  <c r="M651" i="1" a="1"/>
  <c r="M651" i="1" s="1"/>
  <c r="H652" i="1" a="1"/>
  <c r="H652" i="1" s="1"/>
  <c r="L652" i="1" a="1"/>
  <c r="L652" i="1" s="1"/>
  <c r="Q652" i="1" a="1"/>
  <c r="Q652" i="1" s="1"/>
  <c r="S652" i="15" s="1"/>
  <c r="D653" i="1" a="1"/>
  <c r="D653" i="1" s="1"/>
  <c r="I653" i="15" s="1"/>
  <c r="K653" i="1" a="1"/>
  <c r="K653" i="1" s="1"/>
  <c r="P653" i="1" a="1"/>
  <c r="P653" i="1" s="1"/>
  <c r="C654" i="1" a="1"/>
  <c r="C654" i="1" s="1"/>
  <c r="E654" i="15" s="1"/>
  <c r="G654" i="1" a="1"/>
  <c r="G654" i="1" s="1"/>
  <c r="J654" i="1" a="1"/>
  <c r="J654" i="1" s="1"/>
  <c r="O654" i="1"/>
  <c r="M654" i="15" s="1"/>
  <c r="N654" i="15" s="1" a="1"/>
  <c r="N654" i="15" s="1"/>
  <c r="F655" i="1" a="1"/>
  <c r="F655" i="1" s="1"/>
  <c r="R655" i="15" s="1"/>
  <c r="M655" i="1" a="1"/>
  <c r="M655" i="1" s="1"/>
  <c r="Q655" i="1" a="1"/>
  <c r="Q655" i="1" s="1"/>
  <c r="S655" i="15" s="1"/>
  <c r="D656" i="1" a="1"/>
  <c r="D656" i="1" s="1"/>
  <c r="I656" i="15" s="1"/>
  <c r="M656" i="1" a="1"/>
  <c r="M656" i="1" s="1"/>
  <c r="F657" i="1" a="1"/>
  <c r="F657" i="1" s="1"/>
  <c r="R657" i="15" s="1"/>
  <c r="J657" i="1" a="1"/>
  <c r="J657" i="1" s="1"/>
  <c r="L657" i="1" a="1"/>
  <c r="L657" i="1" s="1"/>
  <c r="O657" i="1"/>
  <c r="M657" i="15" s="1"/>
  <c r="N657" i="15" s="1" a="1"/>
  <c r="N657" i="15" s="1"/>
  <c r="C658" i="1" a="1"/>
  <c r="C658" i="1" s="1"/>
  <c r="E658" i="15" s="1"/>
  <c r="L658" i="1" a="1"/>
  <c r="L658" i="1" s="1"/>
  <c r="P658" i="1" a="1"/>
  <c r="P658" i="1" s="1"/>
  <c r="D659" i="1" a="1"/>
  <c r="D659" i="1" s="1"/>
  <c r="I659" i="15" s="1"/>
  <c r="G659" i="1" a="1"/>
  <c r="G659" i="1" s="1"/>
  <c r="K659" i="1" a="1"/>
  <c r="K659" i="1" s="1"/>
  <c r="P659" i="1" a="1"/>
  <c r="P659" i="1" s="1"/>
  <c r="C660" i="1" a="1"/>
  <c r="C660" i="1" s="1"/>
  <c r="E660" i="15" s="1"/>
  <c r="H660" i="1" a="1"/>
  <c r="H660" i="1" s="1"/>
  <c r="K660" i="1" a="1"/>
  <c r="K660" i="1" s="1"/>
  <c r="M660" i="1" a="1"/>
  <c r="M660" i="1" s="1"/>
  <c r="Q660" i="1" a="1"/>
  <c r="Q660" i="1" s="1"/>
  <c r="S660" i="15" s="1"/>
  <c r="Q661" i="1" a="1"/>
  <c r="Q661" i="1" s="1"/>
  <c r="S661" i="15" s="1"/>
  <c r="D662" i="1" a="1"/>
  <c r="D662" i="1" s="1"/>
  <c r="I662" i="15" s="1"/>
  <c r="H662" i="1" a="1"/>
  <c r="H662" i="1" s="1"/>
  <c r="O662" i="1"/>
  <c r="M662" i="15" s="1"/>
  <c r="N662" i="15" s="1" a="1"/>
  <c r="N662" i="15" s="1"/>
  <c r="F663" i="1" a="1"/>
  <c r="F663" i="1" s="1"/>
  <c r="R663" i="15" s="1"/>
  <c r="L663" i="1" a="1"/>
  <c r="L663" i="1" s="1"/>
  <c r="P663" i="1" a="1"/>
  <c r="P663" i="1" s="1"/>
  <c r="C664" i="1" a="1"/>
  <c r="C664" i="1" s="1"/>
  <c r="E664" i="15" s="1"/>
  <c r="F664" i="1" a="1"/>
  <c r="F664" i="1" s="1"/>
  <c r="R664" i="15" s="1"/>
  <c r="L664" i="1" a="1"/>
  <c r="L664" i="1" s="1"/>
  <c r="Q664" i="1" a="1"/>
  <c r="Q664" i="1" s="1"/>
  <c r="S664" i="15" s="1"/>
  <c r="D665" i="1" a="1"/>
  <c r="D665" i="1" s="1"/>
  <c r="I665" i="15" s="1"/>
  <c r="G665" i="1" a="1"/>
  <c r="G665" i="1" s="1"/>
  <c r="M665" i="1" a="1"/>
  <c r="M665" i="1" s="1"/>
  <c r="H666" i="1" a="1"/>
  <c r="H666" i="1" s="1"/>
  <c r="L666" i="1" a="1"/>
  <c r="L666" i="1" s="1"/>
  <c r="P666" i="1" a="1"/>
  <c r="P666" i="1" s="1"/>
  <c r="C667" i="1" a="1"/>
  <c r="C667" i="1" s="1"/>
  <c r="E667" i="15" s="1"/>
  <c r="G667" i="1" a="1"/>
  <c r="G667" i="1" s="1"/>
  <c r="J667" i="1" a="1"/>
  <c r="J667" i="1" s="1"/>
  <c r="M667" i="1" a="1"/>
  <c r="M667" i="1" s="1"/>
  <c r="Q667" i="1" a="1"/>
  <c r="Q667" i="1" s="1"/>
  <c r="S667" i="15" s="1"/>
  <c r="L668" i="1" a="1"/>
  <c r="L668" i="1" s="1"/>
  <c r="Q668" i="1" a="1"/>
  <c r="Q668" i="1" s="1"/>
  <c r="S668" i="15" s="1"/>
  <c r="D669" i="1" a="1"/>
  <c r="D669" i="1" s="1"/>
  <c r="I669" i="15" s="1"/>
  <c r="G669" i="1" a="1"/>
  <c r="G669" i="1" s="1"/>
  <c r="J669" i="1" a="1"/>
  <c r="J669" i="1" s="1"/>
  <c r="M669" i="1" a="1"/>
  <c r="M669" i="1" s="1"/>
  <c r="H670" i="1" a="1"/>
  <c r="H670" i="1" s="1"/>
  <c r="O670" i="1"/>
  <c r="M670" i="15" s="1"/>
  <c r="N670" i="15" s="1" a="1"/>
  <c r="N670" i="15" s="1"/>
  <c r="F671" i="1" a="1"/>
  <c r="F671" i="1" s="1"/>
  <c r="R671" i="15" s="1"/>
  <c r="L671" i="1" a="1"/>
  <c r="L671" i="1" s="1"/>
  <c r="P671" i="1" a="1"/>
  <c r="P671" i="1" s="1"/>
  <c r="C672" i="1" a="1"/>
  <c r="C672" i="1" s="1"/>
  <c r="E672" i="15" s="1"/>
  <c r="F672" i="1" a="1"/>
  <c r="F672" i="1" s="1"/>
  <c r="R672" i="15" s="1"/>
  <c r="L672" i="1" a="1"/>
  <c r="L672" i="1" s="1"/>
  <c r="P672" i="1" a="1"/>
  <c r="P672" i="1" s="1"/>
  <c r="J673" i="1" a="1"/>
  <c r="J673" i="1" s="1"/>
  <c r="D674" i="1" a="1"/>
  <c r="D674" i="1" s="1"/>
  <c r="I674" i="15" s="1"/>
  <c r="H674" i="1" a="1"/>
  <c r="H674" i="1" s="1"/>
  <c r="L674" i="1" a="1"/>
  <c r="L674" i="1" s="1"/>
  <c r="Q674" i="1" a="1"/>
  <c r="Q674" i="1" s="1"/>
  <c r="S674" i="15" s="1"/>
  <c r="L675" i="1" a="1"/>
  <c r="L675" i="1" s="1"/>
  <c r="C676" i="1" a="1"/>
  <c r="C676" i="1" s="1"/>
  <c r="E676" i="15" s="1"/>
  <c r="M676" i="1" a="1"/>
  <c r="M676" i="1" s="1"/>
  <c r="M677" i="1" a="1"/>
  <c r="M677" i="1" s="1"/>
  <c r="F678" i="1" a="1"/>
  <c r="F678" i="1" s="1"/>
  <c r="R678" i="15" s="1"/>
  <c r="J678" i="1" a="1"/>
  <c r="J678" i="1" s="1"/>
  <c r="O678" i="1"/>
  <c r="M678" i="15" s="1"/>
  <c r="N678" i="15" s="1" a="1"/>
  <c r="N678" i="15" s="1"/>
  <c r="C679" i="1" a="1"/>
  <c r="C679" i="1" s="1"/>
  <c r="E679" i="15" s="1"/>
  <c r="G679" i="1" a="1"/>
  <c r="G679" i="1" s="1"/>
  <c r="K679" i="1" a="1"/>
  <c r="K679" i="1" s="1"/>
  <c r="P679" i="1" a="1"/>
  <c r="P679" i="1" s="1"/>
  <c r="D680" i="1" a="1"/>
  <c r="D680" i="1" s="1"/>
  <c r="I680" i="15" s="1"/>
  <c r="H680" i="1" a="1"/>
  <c r="H680" i="1" s="1"/>
  <c r="L680" i="1" a="1"/>
  <c r="L680" i="1" s="1"/>
  <c r="Q680" i="1" a="1"/>
  <c r="Q680" i="1" s="1"/>
  <c r="S680" i="15" s="1"/>
  <c r="M681" i="1" a="1"/>
  <c r="M681" i="1" s="1"/>
  <c r="F682" i="1" a="1"/>
  <c r="F682" i="1" s="1"/>
  <c r="R682" i="15" s="1"/>
  <c r="J682" i="1" a="1"/>
  <c r="J682" i="1" s="1"/>
  <c r="O682" i="1"/>
  <c r="M682" i="15" s="1"/>
  <c r="N682" i="15" s="1" a="1"/>
  <c r="N682" i="15" s="1"/>
  <c r="C683" i="1" a="1"/>
  <c r="C683" i="1" s="1"/>
  <c r="E683" i="15" s="1"/>
  <c r="G683" i="1" a="1"/>
  <c r="G683" i="1" s="1"/>
  <c r="K683" i="1" a="1"/>
  <c r="K683" i="1" s="1"/>
  <c r="P683" i="1" a="1"/>
  <c r="P683" i="1" s="1"/>
  <c r="D684" i="1" a="1"/>
  <c r="D684" i="1" s="1"/>
  <c r="I684" i="15" s="1"/>
  <c r="H684" i="1" a="1"/>
  <c r="H684" i="1" s="1"/>
  <c r="L684" i="1" a="1"/>
  <c r="L684" i="1" s="1"/>
  <c r="Q684" i="1" a="1"/>
  <c r="Q684" i="1" s="1"/>
  <c r="S684" i="15" s="1"/>
  <c r="M685" i="1" a="1"/>
  <c r="M685" i="1" s="1"/>
  <c r="F686" i="1" a="1"/>
  <c r="F686" i="1" s="1"/>
  <c r="R686" i="15" s="1"/>
  <c r="J686" i="1" a="1"/>
  <c r="J686" i="1" s="1"/>
  <c r="O686" i="1"/>
  <c r="M686" i="15" s="1"/>
  <c r="N686" i="15" s="1" a="1"/>
  <c r="N686" i="15" s="1"/>
  <c r="C687" i="1" a="1"/>
  <c r="C687" i="1" s="1"/>
  <c r="E687" i="15" s="1"/>
  <c r="G687" i="1" a="1"/>
  <c r="G687" i="1" s="1"/>
  <c r="K687" i="1" a="1"/>
  <c r="K687" i="1" s="1"/>
  <c r="P687" i="1" a="1"/>
  <c r="P687" i="1" s="1"/>
  <c r="D688" i="1" a="1"/>
  <c r="D688" i="1" s="1"/>
  <c r="I688" i="15" s="1"/>
  <c r="H688" i="1" a="1"/>
  <c r="H688" i="1" s="1"/>
  <c r="L688" i="1" a="1"/>
  <c r="L688" i="1" s="1"/>
  <c r="Q688" i="1" a="1"/>
  <c r="Q688" i="1" s="1"/>
  <c r="S688" i="15" s="1"/>
  <c r="M689" i="1" a="1"/>
  <c r="M689" i="1" s="1"/>
  <c r="F690" i="1" a="1"/>
  <c r="F690" i="1" s="1"/>
  <c r="R690" i="15" s="1"/>
  <c r="J690" i="1" a="1"/>
  <c r="J690" i="1" s="1"/>
  <c r="O690" i="1"/>
  <c r="M690" i="15" s="1"/>
  <c r="N690" i="15" s="1" a="1"/>
  <c r="N690" i="15" s="1"/>
  <c r="C691" i="1" a="1"/>
  <c r="C691" i="1" s="1"/>
  <c r="E691" i="15" s="1"/>
  <c r="G691" i="1" a="1"/>
  <c r="G691" i="1" s="1"/>
  <c r="K691" i="1" a="1"/>
  <c r="K691" i="1" s="1"/>
  <c r="P691" i="1" a="1"/>
  <c r="P691" i="1" s="1"/>
  <c r="D692" i="1" a="1"/>
  <c r="D692" i="1" s="1"/>
  <c r="I692" i="15" s="1"/>
  <c r="H692" i="1" a="1"/>
  <c r="H692" i="1" s="1"/>
  <c r="L692" i="1" a="1"/>
  <c r="L692" i="1" s="1"/>
  <c r="Q692" i="1" a="1"/>
  <c r="Q692" i="1" s="1"/>
  <c r="S692" i="15" s="1"/>
  <c r="M693" i="1" a="1"/>
  <c r="M693" i="1" s="1"/>
  <c r="F694" i="1" a="1"/>
  <c r="F694" i="1" s="1"/>
  <c r="R694" i="15" s="1"/>
  <c r="J694" i="1" a="1"/>
  <c r="J694" i="1" s="1"/>
  <c r="O694" i="1"/>
  <c r="M694" i="15" s="1"/>
  <c r="N694" i="15" s="1" a="1"/>
  <c r="N694" i="15" s="1"/>
  <c r="C695" i="1" a="1"/>
  <c r="C695" i="1" s="1"/>
  <c r="E695" i="15" s="1"/>
  <c r="G695" i="1" a="1"/>
  <c r="G695" i="1" s="1"/>
  <c r="K695" i="1" a="1"/>
  <c r="K695" i="1" s="1"/>
  <c r="P695" i="1" a="1"/>
  <c r="P695" i="1" s="1"/>
  <c r="D696" i="1" a="1"/>
  <c r="D696" i="1" s="1"/>
  <c r="I696" i="15" s="1"/>
  <c r="H696" i="1" a="1"/>
  <c r="H696" i="1" s="1"/>
  <c r="L696" i="1" a="1"/>
  <c r="L696" i="1" s="1"/>
  <c r="Q696" i="1" a="1"/>
  <c r="Q696" i="1" s="1"/>
  <c r="S696" i="15" s="1"/>
  <c r="M697" i="1" a="1"/>
  <c r="M697" i="1" s="1"/>
  <c r="F698" i="1" a="1"/>
  <c r="F698" i="1" s="1"/>
  <c r="R698" i="15" s="1"/>
  <c r="J698" i="1" a="1"/>
  <c r="J698" i="1" s="1"/>
  <c r="O698" i="1"/>
  <c r="M698" i="15" s="1"/>
  <c r="N698" i="15" s="1" a="1"/>
  <c r="N698" i="15" s="1"/>
  <c r="C699" i="1" a="1"/>
  <c r="C699" i="1" s="1"/>
  <c r="E699" i="15" s="1"/>
  <c r="G699" i="1" a="1"/>
  <c r="G699" i="1" s="1"/>
  <c r="K699" i="1" a="1"/>
  <c r="K699" i="1" s="1"/>
  <c r="P699" i="1" a="1"/>
  <c r="P699" i="1" s="1"/>
  <c r="D700" i="1" a="1"/>
  <c r="D700" i="1" s="1"/>
  <c r="I700" i="15" s="1"/>
  <c r="H700" i="1" a="1"/>
  <c r="H700" i="1" s="1"/>
  <c r="L700" i="1" a="1"/>
  <c r="L700" i="1" s="1"/>
  <c r="Q700" i="1" a="1"/>
  <c r="Q700" i="1" s="1"/>
  <c r="S700" i="15" s="1"/>
  <c r="M701" i="1" a="1"/>
  <c r="M701" i="1" s="1"/>
  <c r="F702" i="1" a="1"/>
  <c r="F702" i="1" s="1"/>
  <c r="R702" i="15" s="1"/>
  <c r="J702" i="1" a="1"/>
  <c r="J702" i="1" s="1"/>
  <c r="O702" i="1"/>
  <c r="M702" i="15" s="1"/>
  <c r="N702" i="15" s="1" a="1"/>
  <c r="N702" i="15" s="1"/>
  <c r="C703" i="1" a="1"/>
  <c r="C703" i="1" s="1"/>
  <c r="E703" i="15" s="1"/>
  <c r="G703" i="1" a="1"/>
  <c r="G703" i="1" s="1"/>
  <c r="K703" i="1" a="1"/>
  <c r="K703" i="1" s="1"/>
  <c r="P703" i="1" a="1"/>
  <c r="P703" i="1" s="1"/>
  <c r="D704" i="1" a="1"/>
  <c r="D704" i="1" s="1"/>
  <c r="I704" i="15" s="1"/>
  <c r="H704" i="1" a="1"/>
  <c r="H704" i="1" s="1"/>
  <c r="L704" i="1" a="1"/>
  <c r="L704" i="1" s="1"/>
  <c r="Q704" i="1" a="1"/>
  <c r="Q704" i="1" s="1"/>
  <c r="S704" i="15" s="1"/>
  <c r="M705" i="1" a="1"/>
  <c r="M705" i="1" s="1"/>
  <c r="F706" i="1" a="1"/>
  <c r="F706" i="1" s="1"/>
  <c r="R706" i="15" s="1"/>
  <c r="J706" i="1" a="1"/>
  <c r="J706" i="1" s="1"/>
  <c r="O706" i="1"/>
  <c r="M706" i="15" s="1"/>
  <c r="N706" i="15" s="1" a="1"/>
  <c r="N706" i="15" s="1"/>
  <c r="F707" i="1" a="1"/>
  <c r="F707" i="1" s="1"/>
  <c r="R707" i="15" s="1"/>
  <c r="J707" i="1" a="1"/>
  <c r="J707" i="1" s="1"/>
  <c r="O707" i="1"/>
  <c r="M707" i="15" s="1"/>
  <c r="N707" i="15" s="1" a="1"/>
  <c r="N707" i="15" s="1"/>
  <c r="C708" i="1" a="1"/>
  <c r="C708" i="1" s="1"/>
  <c r="E708" i="15" s="1"/>
  <c r="G708" i="1" a="1"/>
  <c r="G708" i="1" s="1"/>
  <c r="J708" i="1" a="1"/>
  <c r="J708" i="1" s="1"/>
  <c r="O708" i="1"/>
  <c r="M708" i="15" s="1"/>
  <c r="N708" i="15" s="1" a="1"/>
  <c r="N708" i="15" s="1"/>
  <c r="F709" i="1" a="1"/>
  <c r="F709" i="1" s="1"/>
  <c r="R709" i="15" s="1"/>
  <c r="J709" i="1" a="1"/>
  <c r="J709" i="1" s="1"/>
  <c r="O709" i="1"/>
  <c r="M709" i="15" s="1"/>
  <c r="N709" i="15" s="1" a="1"/>
  <c r="N709" i="15" s="1"/>
  <c r="C710" i="1" a="1"/>
  <c r="C710" i="1" s="1"/>
  <c r="E710" i="15" s="1"/>
  <c r="G710" i="1" a="1"/>
  <c r="G710" i="1" s="1"/>
  <c r="J710" i="1" a="1"/>
  <c r="J710" i="1" s="1"/>
  <c r="O710" i="1"/>
  <c r="M710" i="15" s="1"/>
  <c r="N710" i="15" s="1" a="1"/>
  <c r="N710" i="15" s="1"/>
  <c r="F711" i="1" a="1"/>
  <c r="F711" i="1" s="1"/>
  <c r="R711" i="15" s="1"/>
  <c r="J711" i="1" a="1"/>
  <c r="J711" i="1" s="1"/>
  <c r="O711" i="1"/>
  <c r="M711" i="15" s="1"/>
  <c r="N711" i="15" s="1" a="1"/>
  <c r="N711" i="15" s="1"/>
  <c r="D146" i="1" a="1"/>
  <c r="D146" i="1" s="1"/>
  <c r="I146" i="15" s="1"/>
  <c r="K628" i="1" a="1"/>
  <c r="K628" i="1" s="1"/>
  <c r="L628" i="15" s="1"/>
  <c r="F629" i="1" a="1"/>
  <c r="F629" i="1" s="1"/>
  <c r="R629" i="15" s="1"/>
  <c r="P629" i="1" a="1"/>
  <c r="P629" i="1" s="1"/>
  <c r="H630" i="1" a="1"/>
  <c r="H630" i="1" s="1"/>
  <c r="K632" i="1" a="1"/>
  <c r="K632" i="1" s="1"/>
  <c r="L632" i="15" s="1"/>
  <c r="F633" i="1" a="1"/>
  <c r="F633" i="1" s="1"/>
  <c r="R633" i="15" s="1"/>
  <c r="P633" i="1" a="1"/>
  <c r="P633" i="1" s="1"/>
  <c r="H634" i="1" a="1"/>
  <c r="H634" i="1" s="1"/>
  <c r="P634" i="1" a="1"/>
  <c r="P634" i="1" s="1"/>
  <c r="Q635" i="1" a="1"/>
  <c r="Q635" i="1" s="1"/>
  <c r="S635" i="15" s="1"/>
  <c r="F636" i="1" a="1"/>
  <c r="F636" i="1" s="1"/>
  <c r="R636" i="15" s="1"/>
  <c r="K636" i="1" a="1"/>
  <c r="K636" i="1" s="1"/>
  <c r="G637" i="1" a="1"/>
  <c r="G637" i="1" s="1"/>
  <c r="M637" i="1" a="1"/>
  <c r="M637" i="1" s="1"/>
  <c r="D638" i="1" a="1"/>
  <c r="D638" i="1" s="1"/>
  <c r="I638" i="15" s="1"/>
  <c r="H638" i="1" a="1"/>
  <c r="H638" i="1" s="1"/>
  <c r="P638" i="1" a="1"/>
  <c r="P638" i="1" s="1"/>
  <c r="Q639" i="1" a="1"/>
  <c r="Q639" i="1" s="1"/>
  <c r="S639" i="15" s="1"/>
  <c r="F640" i="1" a="1"/>
  <c r="F640" i="1" s="1"/>
  <c r="R640" i="15" s="1"/>
  <c r="M640" i="1" a="1"/>
  <c r="M640" i="1" s="1"/>
  <c r="F641" i="1" a="1"/>
  <c r="F641" i="1" s="1"/>
  <c r="R641" i="15" s="1"/>
  <c r="M641" i="1" a="1"/>
  <c r="M641" i="1" s="1"/>
  <c r="F642" i="1" a="1"/>
  <c r="F642" i="1" s="1"/>
  <c r="R642" i="15" s="1"/>
  <c r="M642" i="1" a="1"/>
  <c r="M642" i="1" s="1"/>
  <c r="F643" i="1" a="1"/>
  <c r="F643" i="1" s="1"/>
  <c r="R643" i="15" s="1"/>
  <c r="M643" i="1" a="1"/>
  <c r="M643" i="1" s="1"/>
  <c r="F644" i="1" a="1"/>
  <c r="F644" i="1" s="1"/>
  <c r="R644" i="15" s="1"/>
  <c r="M644" i="1" a="1"/>
  <c r="M644" i="1" s="1"/>
  <c r="H645" i="1" a="1"/>
  <c r="H645" i="1" s="1"/>
  <c r="L645" i="1" a="1"/>
  <c r="L645" i="1" s="1"/>
  <c r="Q645" i="1" a="1"/>
  <c r="Q645" i="1" s="1"/>
  <c r="S645" i="15" s="1"/>
  <c r="D646" i="1" a="1"/>
  <c r="D646" i="1" s="1"/>
  <c r="I646" i="15" s="1"/>
  <c r="K646" i="1" a="1"/>
  <c r="K646" i="1" s="1"/>
  <c r="P646" i="1" a="1"/>
  <c r="P646" i="1" s="1"/>
  <c r="C647" i="1" a="1"/>
  <c r="C647" i="1" s="1"/>
  <c r="E647" i="15" s="1"/>
  <c r="G647" i="1" a="1"/>
  <c r="G647" i="1" s="1"/>
  <c r="J647" i="1" a="1"/>
  <c r="J647" i="1" s="1"/>
  <c r="O647" i="1"/>
  <c r="M647" i="15" s="1"/>
  <c r="N647" i="15" s="1" a="1"/>
  <c r="N647" i="15" s="1"/>
  <c r="F648" i="1" a="1"/>
  <c r="F648" i="1" s="1"/>
  <c r="R648" i="15" s="1"/>
  <c r="M648" i="1" a="1"/>
  <c r="M648" i="1" s="1"/>
  <c r="H649" i="1" a="1"/>
  <c r="H649" i="1" s="1"/>
  <c r="L649" i="1" a="1"/>
  <c r="L649" i="1" s="1"/>
  <c r="Q649" i="1" a="1"/>
  <c r="Q649" i="1" s="1"/>
  <c r="S649" i="15" s="1"/>
  <c r="D650" i="1" a="1"/>
  <c r="D650" i="1" s="1"/>
  <c r="I650" i="15" s="1"/>
  <c r="K650" i="1" a="1"/>
  <c r="K650" i="1" s="1"/>
  <c r="P650" i="1" a="1"/>
  <c r="P650" i="1" s="1"/>
  <c r="C651" i="1" a="1"/>
  <c r="C651" i="1" s="1"/>
  <c r="E651" i="15" s="1"/>
  <c r="G651" i="1" a="1"/>
  <c r="G651" i="1" s="1"/>
  <c r="J651" i="1" a="1"/>
  <c r="J651" i="1" s="1"/>
  <c r="O651" i="1"/>
  <c r="M651" i="15" s="1"/>
  <c r="N651" i="15" s="1" a="1"/>
  <c r="N651" i="15" s="1"/>
  <c r="F652" i="1" a="1"/>
  <c r="F652" i="1" s="1"/>
  <c r="R652" i="15" s="1"/>
  <c r="M652" i="1" a="1"/>
  <c r="M652" i="1" s="1"/>
  <c r="H653" i="1" a="1"/>
  <c r="H653" i="1" s="1"/>
  <c r="L653" i="1" a="1"/>
  <c r="L653" i="1" s="1"/>
  <c r="Q653" i="1" a="1"/>
  <c r="Q653" i="1" s="1"/>
  <c r="S653" i="15" s="1"/>
  <c r="D654" i="1" a="1"/>
  <c r="D654" i="1" s="1"/>
  <c r="I654" i="15" s="1"/>
  <c r="K654" i="1" a="1"/>
  <c r="K654" i="1" s="1"/>
  <c r="P654" i="1" a="1"/>
  <c r="P654" i="1" s="1"/>
  <c r="C655" i="1" a="1"/>
  <c r="C655" i="1" s="1"/>
  <c r="E655" i="15" s="1"/>
  <c r="G655" i="1" a="1"/>
  <c r="G655" i="1" s="1"/>
  <c r="J655" i="1" a="1"/>
  <c r="J655" i="1" s="1"/>
  <c r="O655" i="1"/>
  <c r="M655" i="15" s="1"/>
  <c r="N655" i="15" s="1" a="1"/>
  <c r="N655" i="15" s="1"/>
  <c r="H656" i="1" a="1"/>
  <c r="H656" i="1" s="1"/>
  <c r="K656" i="1" a="1"/>
  <c r="K656" i="1" s="1"/>
  <c r="O656" i="1"/>
  <c r="M656" i="15" s="1"/>
  <c r="N656" i="15" s="1" a="1"/>
  <c r="N656" i="15" s="1"/>
  <c r="C657" i="1" a="1"/>
  <c r="C657" i="1" s="1"/>
  <c r="E657" i="15" s="1"/>
  <c r="G657" i="1" a="1"/>
  <c r="G657" i="1" s="1"/>
  <c r="P657" i="1" a="1"/>
  <c r="P657" i="1" s="1"/>
  <c r="F658" i="1" a="1"/>
  <c r="F658" i="1" s="1"/>
  <c r="R658" i="15" s="1"/>
  <c r="J658" i="1" a="1"/>
  <c r="J658" i="1" s="1"/>
  <c r="M658" i="1" a="1"/>
  <c r="M658" i="1" s="1"/>
  <c r="Q658" i="1" a="1"/>
  <c r="Q658" i="1" s="1"/>
  <c r="S658" i="15" s="1"/>
  <c r="H659" i="1" a="1"/>
  <c r="H659" i="1" s="1"/>
  <c r="L659" i="1" a="1"/>
  <c r="L659" i="1" s="1"/>
  <c r="F660" i="1" a="1"/>
  <c r="F660" i="1" s="1"/>
  <c r="R660" i="15" s="1"/>
  <c r="D661" i="1" a="1"/>
  <c r="D661" i="1" s="1"/>
  <c r="I661" i="15" s="1"/>
  <c r="G661" i="1" a="1"/>
  <c r="G661" i="1" s="1"/>
  <c r="J661" i="1" a="1"/>
  <c r="J661" i="1" s="1"/>
  <c r="L661" i="1" a="1"/>
  <c r="L661" i="1" s="1"/>
  <c r="O661" i="1"/>
  <c r="M661" i="15" s="1"/>
  <c r="N661" i="15" s="1" a="1"/>
  <c r="N661" i="15" s="1"/>
  <c r="L662" i="1" a="1"/>
  <c r="L662" i="1" s="1"/>
  <c r="P662" i="1" a="1"/>
  <c r="P662" i="1" s="1"/>
  <c r="C663" i="1" a="1"/>
  <c r="C663" i="1" s="1"/>
  <c r="E663" i="15" s="1"/>
  <c r="G663" i="1" a="1"/>
  <c r="G663" i="1" s="1"/>
  <c r="J663" i="1" a="1"/>
  <c r="J663" i="1" s="1"/>
  <c r="D664" i="1" a="1"/>
  <c r="D664" i="1" s="1"/>
  <c r="I664" i="15" s="1"/>
  <c r="G664" i="1" a="1"/>
  <c r="G664" i="1" s="1"/>
  <c r="J664" i="1" a="1"/>
  <c r="J664" i="1" s="1"/>
  <c r="M664" i="1" a="1"/>
  <c r="M664" i="1" s="1"/>
  <c r="H665" i="1" a="1"/>
  <c r="H665" i="1" s="1"/>
  <c r="K665" i="1" a="1"/>
  <c r="K665" i="1" s="1"/>
  <c r="O665" i="1"/>
  <c r="M665" i="15" s="1"/>
  <c r="N665" i="15" s="1" a="1"/>
  <c r="N665" i="15" s="1"/>
  <c r="C666" i="1" a="1"/>
  <c r="C666" i="1" s="1"/>
  <c r="E666" i="15" s="1"/>
  <c r="F666" i="1" a="1"/>
  <c r="F666" i="1" s="1"/>
  <c r="R666" i="15" s="1"/>
  <c r="M666" i="1" a="1"/>
  <c r="M666" i="1" s="1"/>
  <c r="Q666" i="1" a="1"/>
  <c r="Q666" i="1" s="1"/>
  <c r="S666" i="15" s="1"/>
  <c r="D667" i="1" a="1"/>
  <c r="D667" i="1" s="1"/>
  <c r="I667" i="15" s="1"/>
  <c r="H667" i="1" a="1"/>
  <c r="H667" i="1" s="1"/>
  <c r="K667" i="1" a="1"/>
  <c r="K667" i="1" s="1"/>
  <c r="O667" i="1"/>
  <c r="M667" i="15" s="1"/>
  <c r="N667" i="15" s="1" a="1"/>
  <c r="N667" i="15" s="1"/>
  <c r="F668" i="1" a="1"/>
  <c r="F668" i="1" s="1"/>
  <c r="R668" i="15" s="1"/>
  <c r="J668" i="1" a="1"/>
  <c r="J668" i="1" s="1"/>
  <c r="M668" i="1" a="1"/>
  <c r="M668" i="1" s="1"/>
  <c r="H669" i="1" a="1"/>
  <c r="H669" i="1" s="1"/>
  <c r="O669" i="1"/>
  <c r="M669" i="15" s="1"/>
  <c r="N669" i="15" s="1" a="1"/>
  <c r="N669" i="15" s="1"/>
  <c r="C670" i="1" a="1"/>
  <c r="C670" i="1" s="1"/>
  <c r="E670" i="15" s="1"/>
  <c r="F670" i="1" a="1"/>
  <c r="F670" i="1" s="1"/>
  <c r="R670" i="15" s="1"/>
  <c r="L670" i="1" a="1"/>
  <c r="L670" i="1" s="1"/>
  <c r="P670" i="1" a="1"/>
  <c r="P670" i="1" s="1"/>
  <c r="C671" i="1" a="1"/>
  <c r="C671" i="1" s="1"/>
  <c r="E671" i="15" s="1"/>
  <c r="G671" i="1" a="1"/>
  <c r="G671" i="1" s="1"/>
  <c r="J671" i="1" a="1"/>
  <c r="J671" i="1" s="1"/>
  <c r="D672" i="1" a="1"/>
  <c r="D672" i="1" s="1"/>
  <c r="I672" i="15" s="1"/>
  <c r="G672" i="1" a="1"/>
  <c r="G672" i="1" s="1"/>
  <c r="J672" i="1" a="1"/>
  <c r="J672" i="1" s="1"/>
  <c r="M672" i="1" a="1"/>
  <c r="M672" i="1" s="1"/>
  <c r="Q672" i="1" a="1"/>
  <c r="Q672" i="1" s="1"/>
  <c r="S672" i="15" s="1"/>
  <c r="D673" i="1" a="1"/>
  <c r="D673" i="1" s="1"/>
  <c r="I673" i="15" s="1"/>
  <c r="G673" i="1" a="1"/>
  <c r="G673" i="1" s="1"/>
  <c r="M673" i="1" a="1"/>
  <c r="M673" i="1" s="1"/>
  <c r="Q673" i="1" a="1"/>
  <c r="Q673" i="1" s="1"/>
  <c r="S673" i="15" s="1"/>
  <c r="M674" i="1" a="1"/>
  <c r="M674" i="1" s="1"/>
  <c r="F675" i="1" a="1"/>
  <c r="F675" i="1" s="1"/>
  <c r="R675" i="15" s="1"/>
  <c r="M675" i="1" a="1"/>
  <c r="M675" i="1" s="1"/>
  <c r="Q675" i="1" a="1"/>
  <c r="Q675" i="1" s="1"/>
  <c r="S675" i="15" s="1"/>
  <c r="D676" i="1" a="1"/>
  <c r="D676" i="1" s="1"/>
  <c r="I676" i="15" s="1"/>
  <c r="G676" i="1" a="1"/>
  <c r="G676" i="1" s="1"/>
  <c r="J676" i="1" a="1"/>
  <c r="J676" i="1" s="1"/>
  <c r="O676" i="1"/>
  <c r="M676" i="15" s="1"/>
  <c r="N676" i="15" s="1" a="1"/>
  <c r="N676" i="15" s="1"/>
  <c r="F677" i="1" a="1"/>
  <c r="F677" i="1" s="1"/>
  <c r="R677" i="15" s="1"/>
  <c r="J677" i="1" a="1"/>
  <c r="J677" i="1" s="1"/>
  <c r="O677" i="1"/>
  <c r="M677" i="15" s="1"/>
  <c r="N677" i="15" s="1" a="1"/>
  <c r="N677" i="15" s="1"/>
  <c r="C678" i="1" a="1"/>
  <c r="C678" i="1" s="1"/>
  <c r="E678" i="15" s="1"/>
  <c r="G678" i="1" a="1"/>
  <c r="G678" i="1" s="1"/>
  <c r="K678" i="1" a="1"/>
  <c r="K678" i="1" s="1"/>
  <c r="P678" i="1" a="1"/>
  <c r="P678" i="1" s="1"/>
  <c r="D679" i="1" a="1"/>
  <c r="D679" i="1" s="1"/>
  <c r="I679" i="15" s="1"/>
  <c r="H679" i="1" a="1"/>
  <c r="H679" i="1" s="1"/>
  <c r="L679" i="1" a="1"/>
  <c r="L679" i="1" s="1"/>
  <c r="Q679" i="1" a="1"/>
  <c r="Q679" i="1" s="1"/>
  <c r="S679" i="15" s="1"/>
  <c r="M680" i="1" a="1"/>
  <c r="M680" i="1" s="1"/>
  <c r="F681" i="1" a="1"/>
  <c r="F681" i="1" s="1"/>
  <c r="R681" i="15" s="1"/>
  <c r="J681" i="1" a="1"/>
  <c r="J681" i="1" s="1"/>
  <c r="O681" i="1"/>
  <c r="M681" i="15" s="1"/>
  <c r="N681" i="15" s="1" a="1"/>
  <c r="N681" i="15" s="1"/>
  <c r="C682" i="1" a="1"/>
  <c r="C682" i="1" s="1"/>
  <c r="E682" i="15" s="1"/>
  <c r="G682" i="1" a="1"/>
  <c r="G682" i="1" s="1"/>
  <c r="K682" i="1" a="1"/>
  <c r="K682" i="1" s="1"/>
  <c r="P682" i="1" a="1"/>
  <c r="P682" i="1" s="1"/>
  <c r="D683" i="1" a="1"/>
  <c r="D683" i="1" s="1"/>
  <c r="I683" i="15" s="1"/>
  <c r="H683" i="1" a="1"/>
  <c r="H683" i="1" s="1"/>
  <c r="L683" i="1" a="1"/>
  <c r="L683" i="1" s="1"/>
  <c r="Q683" i="1" a="1"/>
  <c r="Q683" i="1" s="1"/>
  <c r="S683" i="15" s="1"/>
  <c r="M684" i="1" a="1"/>
  <c r="M684" i="1" s="1"/>
  <c r="F685" i="1" a="1"/>
  <c r="F685" i="1" s="1"/>
  <c r="R685" i="15" s="1"/>
  <c r="J685" i="1" a="1"/>
  <c r="J685" i="1" s="1"/>
  <c r="O685" i="1"/>
  <c r="M685" i="15" s="1"/>
  <c r="N685" i="15" s="1" a="1"/>
  <c r="N685" i="15" s="1"/>
  <c r="C686" i="1" a="1"/>
  <c r="C686" i="1" s="1"/>
  <c r="E686" i="15" s="1"/>
  <c r="G686" i="1" a="1"/>
  <c r="G686" i="1" s="1"/>
  <c r="K686" i="1" a="1"/>
  <c r="K686" i="1" s="1"/>
  <c r="P686" i="1" a="1"/>
  <c r="P686" i="1" s="1"/>
  <c r="D687" i="1" a="1"/>
  <c r="D687" i="1" s="1"/>
  <c r="I687" i="15" s="1"/>
  <c r="H687" i="1" a="1"/>
  <c r="H687" i="1" s="1"/>
  <c r="L687" i="1" a="1"/>
  <c r="L687" i="1" s="1"/>
  <c r="Q687" i="1" a="1"/>
  <c r="Q687" i="1" s="1"/>
  <c r="S687" i="15" s="1"/>
  <c r="M688" i="1" a="1"/>
  <c r="M688" i="1" s="1"/>
  <c r="F689" i="1" a="1"/>
  <c r="F689" i="1" s="1"/>
  <c r="R689" i="15" s="1"/>
  <c r="J689" i="1" a="1"/>
  <c r="J689" i="1" s="1"/>
  <c r="O689" i="1"/>
  <c r="M689" i="15" s="1"/>
  <c r="N689" i="15" s="1" a="1"/>
  <c r="N689" i="15" s="1"/>
  <c r="C690" i="1" a="1"/>
  <c r="C690" i="1" s="1"/>
  <c r="E690" i="15" s="1"/>
  <c r="G690" i="1" a="1"/>
  <c r="G690" i="1" s="1"/>
  <c r="K690" i="1" a="1"/>
  <c r="K690" i="1" s="1"/>
  <c r="P690" i="1" a="1"/>
  <c r="P690" i="1" s="1"/>
  <c r="D691" i="1" a="1"/>
  <c r="D691" i="1" s="1"/>
  <c r="I691" i="15" s="1"/>
  <c r="H691" i="1" a="1"/>
  <c r="H691" i="1" s="1"/>
  <c r="L691" i="1" a="1"/>
  <c r="L691" i="1" s="1"/>
  <c r="Q691" i="1" a="1"/>
  <c r="Q691" i="1" s="1"/>
  <c r="S691" i="15" s="1"/>
  <c r="M692" i="1" a="1"/>
  <c r="M692" i="1" s="1"/>
  <c r="F693" i="1" a="1"/>
  <c r="F693" i="1" s="1"/>
  <c r="R693" i="15" s="1"/>
  <c r="J693" i="1" a="1"/>
  <c r="J693" i="1" s="1"/>
  <c r="O693" i="1"/>
  <c r="M693" i="15" s="1"/>
  <c r="N693" i="15" s="1" a="1"/>
  <c r="N693" i="15" s="1"/>
  <c r="C694" i="1" a="1"/>
  <c r="C694" i="1" s="1"/>
  <c r="E694" i="15" s="1"/>
  <c r="G694" i="1" a="1"/>
  <c r="G694" i="1" s="1"/>
  <c r="K694" i="1" a="1"/>
  <c r="K694" i="1" s="1"/>
  <c r="P694" i="1" a="1"/>
  <c r="P694" i="1" s="1"/>
  <c r="D695" i="1" a="1"/>
  <c r="D695" i="1" s="1"/>
  <c r="I695" i="15" s="1"/>
  <c r="H695" i="1" a="1"/>
  <c r="H695" i="1" s="1"/>
  <c r="L695" i="1" a="1"/>
  <c r="L695" i="1" s="1"/>
  <c r="Q695" i="1" a="1"/>
  <c r="Q695" i="1" s="1"/>
  <c r="S695" i="15" s="1"/>
  <c r="M696" i="1" a="1"/>
  <c r="M696" i="1" s="1"/>
  <c r="F697" i="1" a="1"/>
  <c r="F697" i="1" s="1"/>
  <c r="R697" i="15" s="1"/>
  <c r="J697" i="1" a="1"/>
  <c r="J697" i="1" s="1"/>
  <c r="O697" i="1"/>
  <c r="M697" i="15" s="1"/>
  <c r="N697" i="15" s="1" a="1"/>
  <c r="N697" i="15" s="1"/>
  <c r="C698" i="1" a="1"/>
  <c r="C698" i="1" s="1"/>
  <c r="E698" i="15" s="1"/>
  <c r="G698" i="1" a="1"/>
  <c r="G698" i="1" s="1"/>
  <c r="K698" i="1" a="1"/>
  <c r="K698" i="1" s="1"/>
  <c r="P698" i="1" a="1"/>
  <c r="P698" i="1" s="1"/>
  <c r="D699" i="1" a="1"/>
  <c r="D699" i="1" s="1"/>
  <c r="I699" i="15" s="1"/>
  <c r="H699" i="1" a="1"/>
  <c r="H699" i="1" s="1"/>
  <c r="L699" i="1" a="1"/>
  <c r="L699" i="1" s="1"/>
  <c r="Q699" i="1" a="1"/>
  <c r="Q699" i="1" s="1"/>
  <c r="S699" i="15" s="1"/>
  <c r="M700" i="1" a="1"/>
  <c r="M700" i="1" s="1"/>
  <c r="F701" i="1" a="1"/>
  <c r="F701" i="1" s="1"/>
  <c r="R701" i="15" s="1"/>
  <c r="J701" i="1" a="1"/>
  <c r="J701" i="1" s="1"/>
  <c r="O701" i="1"/>
  <c r="M701" i="15" s="1"/>
  <c r="N701" i="15" s="1" a="1"/>
  <c r="N701" i="15" s="1"/>
  <c r="C702" i="1" a="1"/>
  <c r="C702" i="1" s="1"/>
  <c r="E702" i="15" s="1"/>
  <c r="G702" i="1" a="1"/>
  <c r="G702" i="1" s="1"/>
  <c r="K702" i="1" a="1"/>
  <c r="K702" i="1" s="1"/>
  <c r="P702" i="1" a="1"/>
  <c r="P702" i="1" s="1"/>
  <c r="D703" i="1" a="1"/>
  <c r="D703" i="1" s="1"/>
  <c r="I703" i="15" s="1"/>
  <c r="H703" i="1" a="1"/>
  <c r="H703" i="1" s="1"/>
  <c r="L703" i="1" a="1"/>
  <c r="L703" i="1" s="1"/>
  <c r="Q703" i="1" a="1"/>
  <c r="Q703" i="1" s="1"/>
  <c r="S703" i="15" s="1"/>
  <c r="M704" i="1" a="1"/>
  <c r="M704" i="1" s="1"/>
  <c r="F705" i="1" a="1"/>
  <c r="F705" i="1" s="1"/>
  <c r="R705" i="15" s="1"/>
  <c r="J705" i="1" a="1"/>
  <c r="J705" i="1" s="1"/>
  <c r="O705" i="1"/>
  <c r="M705" i="15" s="1"/>
  <c r="N705" i="15" s="1" a="1"/>
  <c r="N705" i="15" s="1"/>
  <c r="C706" i="1" a="1"/>
  <c r="C706" i="1" s="1"/>
  <c r="E706" i="15" s="1"/>
  <c r="G706" i="1" a="1"/>
  <c r="G706" i="1" s="1"/>
  <c r="K706" i="1" a="1"/>
  <c r="K706" i="1" s="1"/>
  <c r="P706" i="1" a="1"/>
  <c r="P706" i="1" s="1"/>
  <c r="C707" i="1" a="1"/>
  <c r="C707" i="1" s="1"/>
  <c r="E707" i="15" s="1"/>
  <c r="G707" i="1" a="1"/>
  <c r="G707" i="1" s="1"/>
  <c r="K707" i="1" a="1"/>
  <c r="K707" i="1" s="1"/>
  <c r="P707" i="1" a="1"/>
  <c r="P707" i="1" s="1"/>
  <c r="D708" i="1" a="1"/>
  <c r="D708" i="1" s="1"/>
  <c r="I708" i="15" s="1"/>
  <c r="K708" i="1" a="1"/>
  <c r="K708" i="1" s="1"/>
  <c r="P708" i="1" a="1"/>
  <c r="P708" i="1" s="1"/>
  <c r="C709" i="1" a="1"/>
  <c r="C709" i="1" s="1"/>
  <c r="E709" i="15" s="1"/>
  <c r="G709" i="1" a="1"/>
  <c r="G709" i="1" s="1"/>
  <c r="K709" i="1" a="1"/>
  <c r="K709" i="1" s="1"/>
  <c r="P709" i="1" a="1"/>
  <c r="P709" i="1" s="1"/>
  <c r="D710" i="1" a="1"/>
  <c r="D710" i="1" s="1"/>
  <c r="I710" i="15" s="1"/>
  <c r="K710" i="1" a="1"/>
  <c r="K710" i="1" s="1"/>
  <c r="P710" i="1" a="1"/>
  <c r="P710" i="1" s="1"/>
  <c r="C711" i="1" a="1"/>
  <c r="C711" i="1" s="1"/>
  <c r="E711" i="15" s="1"/>
  <c r="G711" i="1" a="1"/>
  <c r="G711" i="1" s="1"/>
  <c r="K711" i="1" a="1"/>
  <c r="K711" i="1" s="1"/>
  <c r="P711" i="1" a="1"/>
  <c r="P711" i="1" s="1"/>
  <c r="K627" i="1" a="1"/>
  <c r="K627" i="1" s="1"/>
  <c r="L627" i="15" s="1"/>
  <c r="F628" i="1" a="1"/>
  <c r="F628" i="1" s="1"/>
  <c r="R628" i="15" s="1"/>
  <c r="P628" i="1" a="1"/>
  <c r="P628" i="1" s="1"/>
  <c r="H629" i="1" a="1"/>
  <c r="H629" i="1" s="1"/>
  <c r="K631" i="1" a="1"/>
  <c r="K631" i="1" s="1"/>
  <c r="L631" i="15" s="1"/>
  <c r="F632" i="1" a="1"/>
  <c r="F632" i="1" s="1"/>
  <c r="R632" i="15" s="1"/>
  <c r="P632" i="1" a="1"/>
  <c r="P632" i="1" s="1"/>
  <c r="H633" i="1" a="1"/>
  <c r="H633" i="1" s="1"/>
  <c r="Q634" i="1" a="1"/>
  <c r="Q634" i="1" s="1"/>
  <c r="S634" i="15" s="1"/>
  <c r="F635" i="1" a="1"/>
  <c r="F635" i="1" s="1"/>
  <c r="R635" i="15" s="1"/>
  <c r="K635" i="1" a="1"/>
  <c r="K635" i="1" s="1"/>
  <c r="G636" i="1" a="1"/>
  <c r="G636" i="1" s="1"/>
  <c r="M636" i="1" a="1"/>
  <c r="M636" i="1" s="1"/>
  <c r="D637" i="1" a="1"/>
  <c r="D637" i="1" s="1"/>
  <c r="I637" i="15" s="1"/>
  <c r="H637" i="1" a="1"/>
  <c r="H637" i="1" s="1"/>
  <c r="P637" i="1" a="1"/>
  <c r="P637" i="1" s="1"/>
  <c r="Q638" i="1" a="1"/>
  <c r="Q638" i="1" s="1"/>
  <c r="S638" i="15" s="1"/>
  <c r="F639" i="1" a="1"/>
  <c r="F639" i="1" s="1"/>
  <c r="R639" i="15" s="1"/>
  <c r="K639" i="1" a="1"/>
  <c r="K639" i="1" s="1"/>
  <c r="P640" i="1" a="1"/>
  <c r="P640" i="1" s="1"/>
  <c r="C641" i="1" a="1"/>
  <c r="C641" i="1" s="1"/>
  <c r="E641" i="15" s="1"/>
  <c r="P641" i="1" a="1"/>
  <c r="P641" i="1" s="1"/>
  <c r="C642" i="1" a="1"/>
  <c r="C642" i="1" s="1"/>
  <c r="E642" i="15" s="1"/>
  <c r="P642" i="1" a="1"/>
  <c r="P642" i="1" s="1"/>
  <c r="C643" i="1" a="1"/>
  <c r="C643" i="1" s="1"/>
  <c r="E643" i="15" s="1"/>
  <c r="P643" i="1" a="1"/>
  <c r="P643" i="1" s="1"/>
  <c r="C644" i="1" a="1"/>
  <c r="C644" i="1" s="1"/>
  <c r="E644" i="15" s="1"/>
  <c r="O644" i="1"/>
  <c r="M644" i="15" s="1"/>
  <c r="N644" i="15" s="1" a="1"/>
  <c r="N644" i="15" s="1"/>
  <c r="F645" i="1" a="1"/>
  <c r="F645" i="1" s="1"/>
  <c r="R645" i="15" s="1"/>
  <c r="M645" i="1" a="1"/>
  <c r="M645" i="1" s="1"/>
  <c r="H646" i="1" a="1"/>
  <c r="H646" i="1" s="1"/>
  <c r="L646" i="1" a="1"/>
  <c r="L646" i="1" s="1"/>
  <c r="Q646" i="1" a="1"/>
  <c r="Q646" i="1" s="1"/>
  <c r="S646" i="15" s="1"/>
  <c r="D647" i="1" a="1"/>
  <c r="D647" i="1" s="1"/>
  <c r="I647" i="15" s="1"/>
  <c r="K647" i="1" a="1"/>
  <c r="K647" i="1" s="1"/>
  <c r="P647" i="1" a="1"/>
  <c r="P647" i="1" s="1"/>
  <c r="C648" i="1" a="1"/>
  <c r="C648" i="1" s="1"/>
  <c r="E648" i="15" s="1"/>
  <c r="G648" i="1" a="1"/>
  <c r="G648" i="1" s="1"/>
  <c r="J648" i="15" s="1"/>
  <c r="J648" i="1" a="1"/>
  <c r="J648" i="1" s="1"/>
  <c r="O648" i="1"/>
  <c r="M648" i="15" s="1"/>
  <c r="N648" i="15" s="1" a="1"/>
  <c r="N648" i="15" s="1"/>
  <c r="F649" i="1" a="1"/>
  <c r="F649" i="1" s="1"/>
  <c r="R649" i="15" s="1"/>
  <c r="M649" i="1" a="1"/>
  <c r="M649" i="1" s="1"/>
  <c r="H650" i="1" a="1"/>
  <c r="H650" i="1" s="1"/>
  <c r="L650" i="1" a="1"/>
  <c r="L650" i="1" s="1"/>
  <c r="Q650" i="1" a="1"/>
  <c r="Q650" i="1" s="1"/>
  <c r="S650" i="15" s="1"/>
  <c r="D651" i="1" a="1"/>
  <c r="D651" i="1" s="1"/>
  <c r="I651" i="15" s="1"/>
  <c r="K651" i="1" a="1"/>
  <c r="K651" i="1" s="1"/>
  <c r="P651" i="1" a="1"/>
  <c r="P651" i="1" s="1"/>
  <c r="C652" i="1" a="1"/>
  <c r="C652" i="1" s="1"/>
  <c r="E652" i="15" s="1"/>
  <c r="G652" i="1" a="1"/>
  <c r="G652" i="1" s="1"/>
  <c r="J652" i="15" s="1"/>
  <c r="J652" i="1" a="1"/>
  <c r="J652" i="1" s="1"/>
  <c r="O652" i="1"/>
  <c r="M652" i="15" s="1"/>
  <c r="N652" i="15" s="1" a="1"/>
  <c r="N652" i="15" s="1"/>
  <c r="F653" i="1" a="1"/>
  <c r="F653" i="1" s="1"/>
  <c r="R653" i="15" s="1"/>
  <c r="M653" i="1" a="1"/>
  <c r="M653" i="1" s="1"/>
  <c r="H654" i="1" a="1"/>
  <c r="H654" i="1" s="1"/>
  <c r="L654" i="1" a="1"/>
  <c r="L654" i="1" s="1"/>
  <c r="Q654" i="1" a="1"/>
  <c r="Q654" i="1" s="1"/>
  <c r="S654" i="15" s="1"/>
  <c r="D655" i="1" a="1"/>
  <c r="D655" i="1" s="1"/>
  <c r="I655" i="15" s="1"/>
  <c r="K655" i="1" a="1"/>
  <c r="K655" i="1" s="1"/>
  <c r="P655" i="1" a="1"/>
  <c r="P655" i="1" s="1"/>
  <c r="F656" i="1" a="1"/>
  <c r="F656" i="1" s="1"/>
  <c r="R656" i="15" s="1"/>
  <c r="L656" i="1" a="1"/>
  <c r="L656" i="1" s="1"/>
  <c r="P656" i="1" a="1"/>
  <c r="P656" i="1" s="1"/>
  <c r="D657" i="1" a="1"/>
  <c r="D657" i="1" s="1"/>
  <c r="I657" i="15" s="1"/>
  <c r="H657" i="1" a="1"/>
  <c r="H657" i="1" s="1"/>
  <c r="K657" i="1" a="1"/>
  <c r="K657" i="1" s="1"/>
  <c r="M657" i="1" a="1"/>
  <c r="M657" i="1" s="1"/>
  <c r="Q657" i="1" a="1"/>
  <c r="Q657" i="1" s="1"/>
  <c r="S657" i="15" s="1"/>
  <c r="D658" i="1" a="1"/>
  <c r="D658" i="1" s="1"/>
  <c r="I658" i="15" s="1"/>
  <c r="G658" i="1" a="1"/>
  <c r="G658" i="1" s="1"/>
  <c r="K658" i="1" a="1"/>
  <c r="K658" i="1" s="1"/>
  <c r="L658" i="15" s="1"/>
  <c r="F659" i="1" a="1"/>
  <c r="F659" i="1" s="1"/>
  <c r="R659" i="15" s="1"/>
  <c r="M659" i="1" a="1"/>
  <c r="M659" i="1" s="1"/>
  <c r="Q659" i="1" a="1"/>
  <c r="Q659" i="1" s="1"/>
  <c r="S659" i="15" s="1"/>
  <c r="D660" i="1" a="1"/>
  <c r="D660" i="1" s="1"/>
  <c r="I660" i="15" s="1"/>
  <c r="G660" i="1" a="1"/>
  <c r="G660" i="1" s="1"/>
  <c r="J660" i="15" s="1"/>
  <c r="J660" i="1" a="1"/>
  <c r="J660" i="1" s="1"/>
  <c r="L660" i="1" a="1"/>
  <c r="L660" i="1" s="1"/>
  <c r="O660" i="1"/>
  <c r="M660" i="15" s="1"/>
  <c r="N660" i="15" s="1" a="1"/>
  <c r="N660" i="15" s="1"/>
  <c r="H661" i="1" a="1"/>
  <c r="H661" i="1" s="1"/>
  <c r="P661" i="1" a="1"/>
  <c r="P661" i="1" s="1"/>
  <c r="C662" i="1" a="1"/>
  <c r="C662" i="1" s="1"/>
  <c r="E662" i="15" s="1"/>
  <c r="F662" i="1" a="1"/>
  <c r="F662" i="1" s="1"/>
  <c r="R662" i="15" s="1"/>
  <c r="J662" i="1" a="1"/>
  <c r="J662" i="1" s="1"/>
  <c r="M662" i="1" a="1"/>
  <c r="M662" i="1" s="1"/>
  <c r="Q662" i="1" a="1"/>
  <c r="Q662" i="1" s="1"/>
  <c r="S662" i="15" s="1"/>
  <c r="D663" i="1" a="1"/>
  <c r="D663" i="1" s="1"/>
  <c r="I663" i="15" s="1"/>
  <c r="H663" i="1" a="1"/>
  <c r="H663" i="1" s="1"/>
  <c r="M663" i="1" a="1"/>
  <c r="M663" i="1" s="1"/>
  <c r="Q663" i="1" a="1"/>
  <c r="Q663" i="1" s="1"/>
  <c r="S663" i="15" s="1"/>
  <c r="K664" i="1" a="1"/>
  <c r="K664" i="1" s="1"/>
  <c r="L664" i="15" s="1"/>
  <c r="O664" i="1"/>
  <c r="M664" i="15" s="1"/>
  <c r="N664" i="15" s="1" a="1"/>
  <c r="N664" i="15" s="1"/>
  <c r="C665" i="1" a="1"/>
  <c r="C665" i="1" s="1"/>
  <c r="E665" i="15" s="1"/>
  <c r="F665" i="1" a="1"/>
  <c r="F665" i="1" s="1"/>
  <c r="R665" i="15" s="1"/>
  <c r="L665" i="1" a="1"/>
  <c r="L665" i="1" s="1"/>
  <c r="P665" i="1" a="1"/>
  <c r="P665" i="1" s="1"/>
  <c r="D666" i="1" a="1"/>
  <c r="D666" i="1" s="1"/>
  <c r="I666" i="15" s="1"/>
  <c r="G666" i="1" a="1"/>
  <c r="G666" i="1" s="1"/>
  <c r="J666" i="15" s="1"/>
  <c r="J666" i="1" a="1"/>
  <c r="J666" i="1" s="1"/>
  <c r="L667" i="1" a="1"/>
  <c r="L667" i="1" s="1"/>
  <c r="P667" i="1" a="1"/>
  <c r="P667" i="1" s="1"/>
  <c r="C668" i="1" a="1"/>
  <c r="C668" i="1" s="1"/>
  <c r="E668" i="15" s="1"/>
  <c r="G668" i="1" a="1"/>
  <c r="G668" i="1" s="1"/>
  <c r="K668" i="1" a="1"/>
  <c r="K668" i="1" s="1"/>
  <c r="L668" i="15" s="1"/>
  <c r="O668" i="1"/>
  <c r="M668" i="15" s="1"/>
  <c r="N668" i="15" s="1" a="1"/>
  <c r="N668" i="15" s="1"/>
  <c r="C669" i="1" a="1"/>
  <c r="C669" i="1" s="1"/>
  <c r="E669" i="15" s="1"/>
  <c r="F669" i="1" a="1"/>
  <c r="F669" i="1" s="1"/>
  <c r="R669" i="15" s="1"/>
  <c r="K669" i="1" a="1"/>
  <c r="K669" i="1" s="1"/>
  <c r="P669" i="1" a="1"/>
  <c r="P669" i="1" s="1"/>
  <c r="D670" i="1" a="1"/>
  <c r="D670" i="1" s="1"/>
  <c r="I670" i="15" s="1"/>
  <c r="G670" i="1" a="1"/>
  <c r="G670" i="1" s="1"/>
  <c r="J670" i="15" s="1"/>
  <c r="J670" i="1" a="1"/>
  <c r="J670" i="1" s="1"/>
  <c r="M670" i="1" a="1"/>
  <c r="M670" i="1" s="1"/>
  <c r="Q670" i="1" a="1"/>
  <c r="Q670" i="1" s="1"/>
  <c r="S670" i="15" s="1"/>
  <c r="D671" i="1" a="1"/>
  <c r="D671" i="1" s="1"/>
  <c r="I671" i="15" s="1"/>
  <c r="H671" i="1" a="1"/>
  <c r="H671" i="1" s="1"/>
  <c r="M671" i="1" a="1"/>
  <c r="M671" i="1" s="1"/>
  <c r="Q671" i="1" a="1"/>
  <c r="Q671" i="1" s="1"/>
  <c r="S671" i="15" s="1"/>
  <c r="K672" i="1" a="1"/>
  <c r="K672" i="1" s="1"/>
  <c r="L672" i="15" s="1"/>
  <c r="H673" i="1" a="1"/>
  <c r="H673" i="1" s="1"/>
  <c r="K673" i="1" a="1"/>
  <c r="K673" i="1" s="1"/>
  <c r="O673" i="1"/>
  <c r="M673" i="15" s="1"/>
  <c r="N673" i="15" s="1" a="1"/>
  <c r="N673" i="15" s="1"/>
  <c r="F674" i="1" a="1"/>
  <c r="F674" i="1" s="1"/>
  <c r="R674" i="15" s="1"/>
  <c r="J674" i="1" a="1"/>
  <c r="J674" i="1" s="1"/>
  <c r="O674" i="1"/>
  <c r="M674" i="15" s="1"/>
  <c r="N674" i="15" s="1" a="1"/>
  <c r="N674" i="15" s="1"/>
  <c r="C675" i="1" a="1"/>
  <c r="C675" i="1" s="1"/>
  <c r="E675" i="15" s="1"/>
  <c r="G675" i="1" a="1"/>
  <c r="G675" i="1" s="1"/>
  <c r="J675" i="1" a="1"/>
  <c r="J675" i="1" s="1"/>
  <c r="O675" i="1"/>
  <c r="M675" i="15" s="1"/>
  <c r="N675" i="15" s="1" a="1"/>
  <c r="N675" i="15" s="1"/>
  <c r="K676" i="1" a="1"/>
  <c r="K676" i="1" s="1"/>
  <c r="P676" i="1" a="1"/>
  <c r="P676" i="1" s="1"/>
  <c r="C677" i="1" a="1"/>
  <c r="C677" i="1" s="1"/>
  <c r="E677" i="15" s="1"/>
  <c r="G677" i="1" a="1"/>
  <c r="G677" i="1" s="1"/>
  <c r="K677" i="1" a="1"/>
  <c r="K677" i="1" s="1"/>
  <c r="P677" i="1" a="1"/>
  <c r="P677" i="1" s="1"/>
  <c r="D678" i="1" a="1"/>
  <c r="D678" i="1" s="1"/>
  <c r="I678" i="15" s="1"/>
  <c r="H678" i="1" a="1"/>
  <c r="H678" i="1" s="1"/>
  <c r="L678" i="1" a="1"/>
  <c r="L678" i="1" s="1"/>
  <c r="Q678" i="1" a="1"/>
  <c r="Q678" i="1" s="1"/>
  <c r="S678" i="15" s="1"/>
  <c r="M679" i="1" a="1"/>
  <c r="M679" i="1" s="1"/>
  <c r="F680" i="1" a="1"/>
  <c r="F680" i="1" s="1"/>
  <c r="R680" i="15" s="1"/>
  <c r="J680" i="1" a="1"/>
  <c r="J680" i="1" s="1"/>
  <c r="O680" i="1"/>
  <c r="M680" i="15" s="1"/>
  <c r="N680" i="15" s="1" a="1"/>
  <c r="N680" i="15" s="1"/>
  <c r="C681" i="1" a="1"/>
  <c r="C681" i="1" s="1"/>
  <c r="E681" i="15" s="1"/>
  <c r="G681" i="1" a="1"/>
  <c r="G681" i="1" s="1"/>
  <c r="K681" i="1" a="1"/>
  <c r="K681" i="1" s="1"/>
  <c r="P681" i="1" a="1"/>
  <c r="P681" i="1" s="1"/>
  <c r="D682" i="1" a="1"/>
  <c r="D682" i="1" s="1"/>
  <c r="I682" i="15" s="1"/>
  <c r="H682" i="1" a="1"/>
  <c r="H682" i="1" s="1"/>
  <c r="L682" i="1" a="1"/>
  <c r="L682" i="1" s="1"/>
  <c r="Q682" i="1" a="1"/>
  <c r="Q682" i="1" s="1"/>
  <c r="S682" i="15" s="1"/>
  <c r="M683" i="1" a="1"/>
  <c r="M683" i="1" s="1"/>
  <c r="F684" i="1" a="1"/>
  <c r="F684" i="1" s="1"/>
  <c r="R684" i="15" s="1"/>
  <c r="J684" i="1" a="1"/>
  <c r="J684" i="1" s="1"/>
  <c r="O684" i="1"/>
  <c r="M684" i="15" s="1"/>
  <c r="N684" i="15" s="1" a="1"/>
  <c r="N684" i="15" s="1"/>
  <c r="C685" i="1" a="1"/>
  <c r="C685" i="1" s="1"/>
  <c r="E685" i="15" s="1"/>
  <c r="G685" i="1" a="1"/>
  <c r="G685" i="1" s="1"/>
  <c r="K685" i="1" a="1"/>
  <c r="K685" i="1" s="1"/>
  <c r="P685" i="1" a="1"/>
  <c r="P685" i="1" s="1"/>
  <c r="D686" i="1" a="1"/>
  <c r="D686" i="1" s="1"/>
  <c r="I686" i="15" s="1"/>
  <c r="H686" i="1" a="1"/>
  <c r="H686" i="1" s="1"/>
  <c r="L686" i="1" a="1"/>
  <c r="L686" i="1" s="1"/>
  <c r="Q686" i="1" a="1"/>
  <c r="Q686" i="1" s="1"/>
  <c r="S686" i="15" s="1"/>
  <c r="M687" i="1" a="1"/>
  <c r="M687" i="1" s="1"/>
  <c r="F688" i="1" a="1"/>
  <c r="F688" i="1" s="1"/>
  <c r="R688" i="15" s="1"/>
  <c r="J688" i="1" a="1"/>
  <c r="J688" i="1" s="1"/>
  <c r="O688" i="1"/>
  <c r="M688" i="15" s="1"/>
  <c r="N688" i="15" s="1" a="1"/>
  <c r="N688" i="15" s="1"/>
  <c r="C689" i="1" a="1"/>
  <c r="C689" i="1" s="1"/>
  <c r="E689" i="15" s="1"/>
  <c r="G689" i="1" a="1"/>
  <c r="G689" i="1" s="1"/>
  <c r="K689" i="1" a="1"/>
  <c r="K689" i="1" s="1"/>
  <c r="P689" i="1" a="1"/>
  <c r="P689" i="1" s="1"/>
  <c r="D690" i="1" a="1"/>
  <c r="D690" i="1" s="1"/>
  <c r="I690" i="15" s="1"/>
  <c r="H690" i="1" a="1"/>
  <c r="H690" i="1" s="1"/>
  <c r="L690" i="1" a="1"/>
  <c r="L690" i="1" s="1"/>
  <c r="Q690" i="1" a="1"/>
  <c r="Q690" i="1" s="1"/>
  <c r="S690" i="15" s="1"/>
  <c r="M691" i="1" a="1"/>
  <c r="M691" i="1" s="1"/>
  <c r="F692" i="1" a="1"/>
  <c r="F692" i="1" s="1"/>
  <c r="R692" i="15" s="1"/>
  <c r="J692" i="1" a="1"/>
  <c r="J692" i="1" s="1"/>
  <c r="O692" i="1"/>
  <c r="M692" i="15" s="1"/>
  <c r="N692" i="15" s="1" a="1"/>
  <c r="N692" i="15" s="1"/>
  <c r="C693" i="1" a="1"/>
  <c r="C693" i="1" s="1"/>
  <c r="E693" i="15" s="1"/>
  <c r="G693" i="1" a="1"/>
  <c r="G693" i="1" s="1"/>
  <c r="K693" i="1" a="1"/>
  <c r="K693" i="1" s="1"/>
  <c r="P693" i="1" a="1"/>
  <c r="P693" i="1" s="1"/>
  <c r="D694" i="1" a="1"/>
  <c r="D694" i="1" s="1"/>
  <c r="I694" i="15" s="1"/>
  <c r="H694" i="1" a="1"/>
  <c r="H694" i="1" s="1"/>
  <c r="L694" i="1" a="1"/>
  <c r="L694" i="1" s="1"/>
  <c r="Q694" i="1" a="1"/>
  <c r="Q694" i="1" s="1"/>
  <c r="S694" i="15" s="1"/>
  <c r="M695" i="1" a="1"/>
  <c r="M695" i="1" s="1"/>
  <c r="F696" i="1" a="1"/>
  <c r="F696" i="1" s="1"/>
  <c r="R696" i="15" s="1"/>
  <c r="J696" i="1" a="1"/>
  <c r="J696" i="1" s="1"/>
  <c r="O696" i="1"/>
  <c r="M696" i="15" s="1"/>
  <c r="N696" i="15" s="1" a="1"/>
  <c r="N696" i="15" s="1"/>
  <c r="C697" i="1" a="1"/>
  <c r="C697" i="1" s="1"/>
  <c r="E697" i="15" s="1"/>
  <c r="G697" i="1" a="1"/>
  <c r="G697" i="1" s="1"/>
  <c r="K697" i="1" a="1"/>
  <c r="K697" i="1" s="1"/>
  <c r="P697" i="1" a="1"/>
  <c r="P697" i="1" s="1"/>
  <c r="D698" i="1" a="1"/>
  <c r="D698" i="1" s="1"/>
  <c r="I698" i="15" s="1"/>
  <c r="H698" i="1" a="1"/>
  <c r="H698" i="1" s="1"/>
  <c r="L698" i="1" a="1"/>
  <c r="L698" i="1" s="1"/>
  <c r="Q698" i="1" a="1"/>
  <c r="Q698" i="1" s="1"/>
  <c r="S698" i="15" s="1"/>
  <c r="M699" i="1" a="1"/>
  <c r="M699" i="1" s="1"/>
  <c r="F700" i="1" a="1"/>
  <c r="F700" i="1" s="1"/>
  <c r="R700" i="15" s="1"/>
  <c r="J700" i="1" a="1"/>
  <c r="J700" i="1" s="1"/>
  <c r="O700" i="1"/>
  <c r="M700" i="15" s="1"/>
  <c r="N700" i="15" s="1" a="1"/>
  <c r="N700" i="15" s="1"/>
  <c r="C701" i="1" a="1"/>
  <c r="C701" i="1" s="1"/>
  <c r="E701" i="15" s="1"/>
  <c r="G701" i="1" a="1"/>
  <c r="G701" i="1" s="1"/>
  <c r="K701" i="1" a="1"/>
  <c r="K701" i="1" s="1"/>
  <c r="P701" i="1" a="1"/>
  <c r="P701" i="1" s="1"/>
  <c r="D702" i="1" a="1"/>
  <c r="D702" i="1" s="1"/>
  <c r="I702" i="15" s="1"/>
  <c r="H702" i="1" a="1"/>
  <c r="H702" i="1" s="1"/>
  <c r="L702" i="1" a="1"/>
  <c r="L702" i="1" s="1"/>
  <c r="Q702" i="1" a="1"/>
  <c r="Q702" i="1" s="1"/>
  <c r="S702" i="15" s="1"/>
  <c r="M703" i="1" a="1"/>
  <c r="M703" i="1" s="1"/>
  <c r="F704" i="1" a="1"/>
  <c r="F704" i="1" s="1"/>
  <c r="R704" i="15" s="1"/>
  <c r="J704" i="1" a="1"/>
  <c r="J704" i="1" s="1"/>
  <c r="O704" i="1"/>
  <c r="M704" i="15" s="1"/>
  <c r="N704" i="15" s="1" a="1"/>
  <c r="N704" i="15" s="1"/>
  <c r="C705" i="1" a="1"/>
  <c r="C705" i="1" s="1"/>
  <c r="E705" i="15" s="1"/>
  <c r="G705" i="1" a="1"/>
  <c r="G705" i="1" s="1"/>
  <c r="K705" i="1" a="1"/>
  <c r="K705" i="1" s="1"/>
  <c r="P705" i="1" a="1"/>
  <c r="P705" i="1" s="1"/>
  <c r="D706" i="1" a="1"/>
  <c r="D706" i="1" s="1"/>
  <c r="I706" i="15" s="1"/>
  <c r="H706" i="1" a="1"/>
  <c r="H706" i="1" s="1"/>
  <c r="L706" i="1" a="1"/>
  <c r="L706" i="1" s="1"/>
  <c r="Q706" i="1" a="1"/>
  <c r="Q706" i="1" s="1"/>
  <c r="S706" i="15" s="1"/>
  <c r="D707" i="1" a="1"/>
  <c r="D707" i="1" s="1"/>
  <c r="I707" i="15" s="1"/>
  <c r="H707" i="1" a="1"/>
  <c r="H707" i="1" s="1"/>
  <c r="L707" i="1" a="1"/>
  <c r="L707" i="1" s="1"/>
  <c r="Q707" i="1" a="1"/>
  <c r="Q707" i="1" s="1"/>
  <c r="S707" i="15" s="1"/>
  <c r="H708" i="1" a="1"/>
  <c r="H708" i="1" s="1"/>
  <c r="L708" i="1" a="1"/>
  <c r="L708" i="1" s="1"/>
  <c r="Q708" i="1" a="1"/>
  <c r="Q708" i="1" s="1"/>
  <c r="S708" i="15" s="1"/>
  <c r="D709" i="1" a="1"/>
  <c r="D709" i="1" s="1"/>
  <c r="I709" i="15" s="1"/>
  <c r="H709" i="1" a="1"/>
  <c r="H709" i="1" s="1"/>
  <c r="L709" i="1" a="1"/>
  <c r="L709" i="1" s="1"/>
  <c r="Q709" i="1" a="1"/>
  <c r="Q709" i="1" s="1"/>
  <c r="S709" i="15" s="1"/>
  <c r="H710" i="1" a="1"/>
  <c r="H710" i="1" s="1"/>
  <c r="L710" i="1" a="1"/>
  <c r="L710" i="1" s="1"/>
  <c r="Q710" i="1" a="1"/>
  <c r="Q710" i="1" s="1"/>
  <c r="S710" i="15" s="1"/>
  <c r="D711" i="1" a="1"/>
  <c r="D711" i="1" s="1"/>
  <c r="I711" i="15" s="1"/>
  <c r="H711" i="1" a="1"/>
  <c r="H711" i="1" s="1"/>
  <c r="L711" i="1" a="1"/>
  <c r="L711" i="1" s="1"/>
  <c r="Q711" i="1" a="1"/>
  <c r="Q711" i="1" s="1"/>
  <c r="S711" i="15" s="1"/>
  <c r="F627" i="1" a="1"/>
  <c r="F627" i="1" s="1"/>
  <c r="R627" i="15" s="1"/>
  <c r="P627" i="1" a="1"/>
  <c r="P627" i="1" s="1"/>
  <c r="H628" i="1" a="1"/>
  <c r="H628" i="1" s="1"/>
  <c r="K630" i="1" a="1"/>
  <c r="K630" i="1" s="1"/>
  <c r="L630" i="15" s="1"/>
  <c r="F631" i="1" a="1"/>
  <c r="F631" i="1" s="1"/>
  <c r="R631" i="15" s="1"/>
  <c r="P631" i="1" a="1"/>
  <c r="P631" i="1" s="1"/>
  <c r="H632" i="1" a="1"/>
  <c r="H632" i="1" s="1"/>
  <c r="K634" i="1" a="1"/>
  <c r="K634" i="1" s="1"/>
  <c r="L634" i="15" s="1"/>
  <c r="G635" i="1" a="1"/>
  <c r="G635" i="1" s="1"/>
  <c r="J635" i="15" s="1"/>
  <c r="M635" i="1" a="1"/>
  <c r="M635" i="1" s="1"/>
  <c r="D636" i="1" a="1"/>
  <c r="D636" i="1" s="1"/>
  <c r="I636" i="15" s="1"/>
  <c r="H636" i="1" a="1"/>
  <c r="H636" i="1" s="1"/>
  <c r="P636" i="1" a="1"/>
  <c r="P636" i="1" s="1"/>
  <c r="Q637" i="1" a="1"/>
  <c r="Q637" i="1" s="1"/>
  <c r="S637" i="15" s="1"/>
  <c r="F638" i="1" a="1"/>
  <c r="F638" i="1" s="1"/>
  <c r="R638" i="15" s="1"/>
  <c r="K638" i="1" a="1"/>
  <c r="K638" i="1" s="1"/>
  <c r="L638" i="15" s="1"/>
  <c r="G639" i="1" a="1"/>
  <c r="G639" i="1" s="1"/>
  <c r="J639" i="15" s="1"/>
  <c r="M639" i="1" a="1"/>
  <c r="M639" i="1" s="1"/>
  <c r="D640" i="1" a="1"/>
  <c r="D640" i="1" s="1"/>
  <c r="I640" i="15" s="1"/>
  <c r="G640" i="1" a="1"/>
  <c r="G640" i="1" s="1"/>
  <c r="J640" i="15" s="1"/>
  <c r="K640" i="1" a="1"/>
  <c r="K640" i="1" s="1"/>
  <c r="L640" i="15" s="1"/>
  <c r="D641" i="1" a="1"/>
  <c r="D641" i="1" s="1"/>
  <c r="I641" i="15" s="1"/>
  <c r="G641" i="1" a="1"/>
  <c r="G641" i="1" s="1"/>
  <c r="J641" i="15" s="1"/>
  <c r="K641" i="1" a="1"/>
  <c r="K641" i="1" s="1"/>
  <c r="L641" i="15" s="1"/>
  <c r="D642" i="1" a="1"/>
  <c r="D642" i="1" s="1"/>
  <c r="I642" i="15" s="1"/>
  <c r="G642" i="1" a="1"/>
  <c r="G642" i="1" s="1"/>
  <c r="J642" i="15" s="1"/>
  <c r="K642" i="1" a="1"/>
  <c r="K642" i="1" s="1"/>
  <c r="L642" i="15" s="1"/>
  <c r="D643" i="1" a="1"/>
  <c r="D643" i="1" s="1"/>
  <c r="I643" i="15" s="1"/>
  <c r="G643" i="1" a="1"/>
  <c r="G643" i="1" s="1"/>
  <c r="J643" i="15" s="1"/>
  <c r="K643" i="1" a="1"/>
  <c r="K643" i="1" s="1"/>
  <c r="L643" i="15" s="1"/>
  <c r="D644" i="1" a="1"/>
  <c r="D644" i="1" s="1"/>
  <c r="I644" i="15" s="1"/>
  <c r="G644" i="1" a="1"/>
  <c r="G644" i="1" s="1"/>
  <c r="J644" i="15" s="1"/>
  <c r="K644" i="1" a="1"/>
  <c r="K644" i="1" s="1"/>
  <c r="L644" i="15" s="1"/>
  <c r="P644" i="1" a="1"/>
  <c r="P644" i="1" s="1"/>
  <c r="C645" i="1" a="1"/>
  <c r="C645" i="1" s="1"/>
  <c r="E645" i="15" s="1"/>
  <c r="G645" i="1" a="1"/>
  <c r="G645" i="1" s="1"/>
  <c r="J645" i="15" s="1"/>
  <c r="J645" i="1" a="1"/>
  <c r="J645" i="1" s="1"/>
  <c r="O645" i="1"/>
  <c r="M645" i="15" s="1"/>
  <c r="N645" i="15" s="1" a="1"/>
  <c r="N645" i="15" s="1"/>
  <c r="F646" i="1" a="1"/>
  <c r="F646" i="1" s="1"/>
  <c r="R646" i="15" s="1"/>
  <c r="M646" i="1" a="1"/>
  <c r="M646" i="1" s="1"/>
  <c r="H647" i="1" a="1"/>
  <c r="H647" i="1" s="1"/>
  <c r="L647" i="1" a="1"/>
  <c r="L647" i="1" s="1"/>
  <c r="Q647" i="1" a="1"/>
  <c r="Q647" i="1" s="1"/>
  <c r="S647" i="15" s="1"/>
  <c r="D648" i="1" a="1"/>
  <c r="D648" i="1" s="1"/>
  <c r="I648" i="15" s="1"/>
  <c r="K648" i="1" a="1"/>
  <c r="K648" i="1" s="1"/>
  <c r="L648" i="15" s="1"/>
  <c r="P648" i="1" a="1"/>
  <c r="P648" i="1" s="1"/>
  <c r="C649" i="1" a="1"/>
  <c r="C649" i="1" s="1"/>
  <c r="E649" i="15" s="1"/>
  <c r="G649" i="1" a="1"/>
  <c r="G649" i="1" s="1"/>
  <c r="J649" i="15" s="1"/>
  <c r="J649" i="1" a="1"/>
  <c r="J649" i="1" s="1"/>
  <c r="O649" i="1"/>
  <c r="M649" i="15" s="1"/>
  <c r="N649" i="15" s="1" a="1"/>
  <c r="N649" i="15" s="1"/>
  <c r="F650" i="1" a="1"/>
  <c r="F650" i="1" s="1"/>
  <c r="R650" i="15" s="1"/>
  <c r="M650" i="1" a="1"/>
  <c r="M650" i="1" s="1"/>
  <c r="H651" i="1" a="1"/>
  <c r="H651" i="1" s="1"/>
  <c r="L651" i="1" a="1"/>
  <c r="L651" i="1" s="1"/>
  <c r="Q651" i="1" a="1"/>
  <c r="Q651" i="1" s="1"/>
  <c r="S651" i="15" s="1"/>
  <c r="D652" i="1" a="1"/>
  <c r="D652" i="1" s="1"/>
  <c r="I652" i="15" s="1"/>
  <c r="K652" i="1" a="1"/>
  <c r="K652" i="1" s="1"/>
  <c r="L652" i="15" s="1"/>
  <c r="P652" i="1" a="1"/>
  <c r="P652" i="1" s="1"/>
  <c r="C653" i="1" a="1"/>
  <c r="C653" i="1" s="1"/>
  <c r="E653" i="15" s="1"/>
  <c r="G653" i="1" a="1"/>
  <c r="G653" i="1" s="1"/>
  <c r="J653" i="15" s="1"/>
  <c r="J653" i="1" a="1"/>
  <c r="J653" i="1" s="1"/>
  <c r="O653" i="1"/>
  <c r="M653" i="15" s="1"/>
  <c r="N653" i="15" s="1" a="1"/>
  <c r="N653" i="15" s="1"/>
  <c r="F654" i="1" a="1"/>
  <c r="F654" i="1" s="1"/>
  <c r="R654" i="15" s="1"/>
  <c r="M654" i="1" a="1"/>
  <c r="M654" i="1" s="1"/>
  <c r="H655" i="1" a="1"/>
  <c r="H655" i="1" s="1"/>
  <c r="L655" i="1" a="1"/>
  <c r="L655" i="1" s="1"/>
  <c r="C656" i="1" a="1"/>
  <c r="C656" i="1" s="1"/>
  <c r="E656" i="15" s="1"/>
  <c r="G656" i="1" a="1"/>
  <c r="G656" i="1" s="1"/>
  <c r="J656" i="15" s="1"/>
  <c r="J656" i="1" a="1"/>
  <c r="J656" i="1" s="1"/>
  <c r="Q656" i="1" a="1"/>
  <c r="Q656" i="1" s="1"/>
  <c r="S656" i="15" s="1"/>
  <c r="H658" i="1" a="1"/>
  <c r="H658" i="1" s="1"/>
  <c r="O658" i="1"/>
  <c r="M658" i="15" s="1"/>
  <c r="N658" i="15" s="1" a="1"/>
  <c r="N658" i="15" s="1"/>
  <c r="C659" i="1" a="1"/>
  <c r="C659" i="1" s="1"/>
  <c r="E659" i="15" s="1"/>
  <c r="J659" i="1" a="1"/>
  <c r="J659" i="1" s="1"/>
  <c r="O659" i="1"/>
  <c r="M659" i="15" s="1"/>
  <c r="N659" i="15" s="1" a="1"/>
  <c r="N659" i="15" s="1"/>
  <c r="P660" i="1" a="1"/>
  <c r="P660" i="1" s="1"/>
  <c r="C661" i="1" a="1"/>
  <c r="C661" i="1" s="1"/>
  <c r="E661" i="15" s="1"/>
  <c r="F661" i="1" a="1"/>
  <c r="F661" i="1" s="1"/>
  <c r="R661" i="15" s="1"/>
  <c r="K661" i="1" a="1"/>
  <c r="K661" i="1" s="1"/>
  <c r="M661" i="1" a="1"/>
  <c r="M661" i="1" s="1"/>
  <c r="G662" i="1" a="1"/>
  <c r="G662" i="1" s="1"/>
  <c r="J662" i="15" s="1"/>
  <c r="K662" i="1" a="1"/>
  <c r="K662" i="1" s="1"/>
  <c r="L662" i="15" s="1"/>
  <c r="K663" i="1" a="1"/>
  <c r="K663" i="1" s="1"/>
  <c r="L663" i="15" s="1"/>
  <c r="O663" i="1"/>
  <c r="M663" i="15" s="1"/>
  <c r="N663" i="15" s="1" a="1"/>
  <c r="N663" i="15" s="1"/>
  <c r="H664" i="1" a="1"/>
  <c r="H664" i="1" s="1"/>
  <c r="P664" i="1" a="1"/>
  <c r="P664" i="1" s="1"/>
  <c r="J665" i="1" a="1"/>
  <c r="J665" i="1" s="1"/>
  <c r="Q665" i="1" a="1"/>
  <c r="Q665" i="1" s="1"/>
  <c r="S665" i="15" s="1"/>
  <c r="K666" i="1" a="1"/>
  <c r="K666" i="1" s="1"/>
  <c r="L666" i="15" s="1"/>
  <c r="O666" i="1"/>
  <c r="M666" i="15" s="1"/>
  <c r="N666" i="15" s="1" a="1"/>
  <c r="N666" i="15" s="1"/>
  <c r="F667" i="1" a="1"/>
  <c r="F667" i="1" s="1"/>
  <c r="R667" i="15" s="1"/>
  <c r="D668" i="1" a="1"/>
  <c r="D668" i="1" s="1"/>
  <c r="I668" i="15" s="1"/>
  <c r="H668" i="1" a="1"/>
  <c r="H668" i="1" s="1"/>
  <c r="P668" i="1" a="1"/>
  <c r="P668" i="1" s="1"/>
  <c r="L669" i="1" a="1"/>
  <c r="L669" i="1" s="1"/>
  <c r="Q669" i="1" a="1"/>
  <c r="Q669" i="1" s="1"/>
  <c r="S669" i="15" s="1"/>
  <c r="K670" i="1" a="1"/>
  <c r="K670" i="1" s="1"/>
  <c r="L670" i="15" s="1"/>
  <c r="K671" i="1" a="1"/>
  <c r="K671" i="1" s="1"/>
  <c r="L671" i="15" s="1"/>
  <c r="O671" i="1"/>
  <c r="M671" i="15" s="1"/>
  <c r="N671" i="15" s="1" a="1"/>
  <c r="N671" i="15" s="1"/>
  <c r="H672" i="1" a="1"/>
  <c r="H672" i="1" s="1"/>
  <c r="O672" i="1"/>
  <c r="M672" i="15" s="1"/>
  <c r="N672" i="15" s="1" a="1"/>
  <c r="N672" i="15" s="1"/>
  <c r="C673" i="1" a="1"/>
  <c r="C673" i="1" s="1"/>
  <c r="E673" i="15" s="1"/>
  <c r="F673" i="1" a="1"/>
  <c r="F673" i="1" s="1"/>
  <c r="R673" i="15" s="1"/>
  <c r="L673" i="1" a="1"/>
  <c r="L673" i="1" s="1"/>
  <c r="P673" i="1" a="1"/>
  <c r="P673" i="1" s="1"/>
  <c r="C674" i="1" a="1"/>
  <c r="C674" i="1" s="1"/>
  <c r="E674" i="15" s="1"/>
  <c r="G674" i="1" a="1"/>
  <c r="G674" i="1" s="1"/>
  <c r="J674" i="15" s="1"/>
  <c r="K674" i="1" a="1"/>
  <c r="K674" i="1" s="1"/>
  <c r="L674" i="15" s="1"/>
  <c r="P674" i="1" a="1"/>
  <c r="P674" i="1" s="1"/>
  <c r="D675" i="1" a="1"/>
  <c r="D675" i="1" s="1"/>
  <c r="I675" i="15" s="1"/>
  <c r="H675" i="1" a="1"/>
  <c r="H675" i="1" s="1"/>
  <c r="K675" i="1" a="1"/>
  <c r="K675" i="1" s="1"/>
  <c r="L675" i="15" s="1"/>
  <c r="P675" i="1" a="1"/>
  <c r="P675" i="1" s="1"/>
  <c r="F676" i="1" a="1"/>
  <c r="F676" i="1" s="1"/>
  <c r="R676" i="15" s="1"/>
  <c r="H676" i="1" a="1"/>
  <c r="H676" i="1" s="1"/>
  <c r="L676" i="1" a="1"/>
  <c r="L676" i="1" s="1"/>
  <c r="Q676" i="1" a="1"/>
  <c r="Q676" i="1" s="1"/>
  <c r="S676" i="15" s="1"/>
  <c r="D677" i="1" a="1"/>
  <c r="D677" i="1" s="1"/>
  <c r="I677" i="15" s="1"/>
  <c r="H677" i="1" a="1"/>
  <c r="H677" i="1" s="1"/>
  <c r="L677" i="1" a="1"/>
  <c r="L677" i="1" s="1"/>
  <c r="Q677" i="1" a="1"/>
  <c r="Q677" i="1" s="1"/>
  <c r="S677" i="15" s="1"/>
  <c r="M678" i="1" a="1"/>
  <c r="M678" i="1" s="1"/>
  <c r="F679" i="1" a="1"/>
  <c r="F679" i="1" s="1"/>
  <c r="R679" i="15" s="1"/>
  <c r="J679" i="1" a="1"/>
  <c r="J679" i="1" s="1"/>
  <c r="O679" i="1"/>
  <c r="M679" i="15" s="1"/>
  <c r="N679" i="15" s="1" a="1"/>
  <c r="N679" i="15" s="1"/>
  <c r="C680" i="1" a="1"/>
  <c r="C680" i="1" s="1"/>
  <c r="E680" i="15" s="1"/>
  <c r="G680" i="1" a="1"/>
  <c r="G680" i="1" s="1"/>
  <c r="J680" i="15" s="1"/>
  <c r="K680" i="1" a="1"/>
  <c r="K680" i="1" s="1"/>
  <c r="L680" i="15" s="1"/>
  <c r="P680" i="1" a="1"/>
  <c r="P680" i="1" s="1"/>
  <c r="D681" i="1" a="1"/>
  <c r="D681" i="1" s="1"/>
  <c r="I681" i="15" s="1"/>
  <c r="H681" i="1" a="1"/>
  <c r="H681" i="1" s="1"/>
  <c r="L681" i="1" a="1"/>
  <c r="L681" i="1" s="1"/>
  <c r="Q681" i="1" a="1"/>
  <c r="Q681" i="1" s="1"/>
  <c r="S681" i="15" s="1"/>
  <c r="M682" i="1" a="1"/>
  <c r="M682" i="1" s="1"/>
  <c r="F683" i="1" a="1"/>
  <c r="F683" i="1" s="1"/>
  <c r="R683" i="15" s="1"/>
  <c r="J683" i="1" a="1"/>
  <c r="J683" i="1" s="1"/>
  <c r="O683" i="1"/>
  <c r="M683" i="15" s="1"/>
  <c r="N683" i="15" s="1" a="1"/>
  <c r="N683" i="15" s="1"/>
  <c r="C684" i="1" a="1"/>
  <c r="C684" i="1" s="1"/>
  <c r="E684" i="15" s="1"/>
  <c r="G684" i="1" a="1"/>
  <c r="G684" i="1" s="1"/>
  <c r="K684" i="1" a="1"/>
  <c r="K684" i="1" s="1"/>
  <c r="L684" i="15" s="1"/>
  <c r="P684" i="1" a="1"/>
  <c r="P684" i="1" s="1"/>
  <c r="D685" i="1" a="1"/>
  <c r="D685" i="1" s="1"/>
  <c r="I685" i="15" s="1"/>
  <c r="H685" i="1" a="1"/>
  <c r="H685" i="1" s="1"/>
  <c r="L685" i="1" a="1"/>
  <c r="L685" i="1" s="1"/>
  <c r="Q685" i="1" a="1"/>
  <c r="Q685" i="1" s="1"/>
  <c r="S685" i="15" s="1"/>
  <c r="M686" i="1" a="1"/>
  <c r="M686" i="1" s="1"/>
  <c r="F687" i="1" a="1"/>
  <c r="F687" i="1" s="1"/>
  <c r="R687" i="15" s="1"/>
  <c r="J687" i="1" a="1"/>
  <c r="J687" i="1" s="1"/>
  <c r="O687" i="1"/>
  <c r="M687" i="15" s="1"/>
  <c r="N687" i="15" s="1" a="1"/>
  <c r="N687" i="15" s="1"/>
  <c r="C688" i="1" a="1"/>
  <c r="C688" i="1" s="1"/>
  <c r="E688" i="15" s="1"/>
  <c r="G688" i="1" a="1"/>
  <c r="G688" i="1" s="1"/>
  <c r="K688" i="1" a="1"/>
  <c r="K688" i="1" s="1"/>
  <c r="L688" i="15" s="1"/>
  <c r="P688" i="1" a="1"/>
  <c r="P688" i="1" s="1"/>
  <c r="D689" i="1" a="1"/>
  <c r="D689" i="1" s="1"/>
  <c r="I689" i="15" s="1"/>
  <c r="H689" i="1" a="1"/>
  <c r="H689" i="1" s="1"/>
  <c r="L689" i="1" a="1"/>
  <c r="L689" i="1" s="1"/>
  <c r="Q689" i="1" a="1"/>
  <c r="Q689" i="1" s="1"/>
  <c r="S689" i="15" s="1"/>
  <c r="M690" i="1" a="1"/>
  <c r="M690" i="1" s="1"/>
  <c r="F691" i="1" a="1"/>
  <c r="F691" i="1" s="1"/>
  <c r="R691" i="15" s="1"/>
  <c r="J691" i="1" a="1"/>
  <c r="J691" i="1" s="1"/>
  <c r="O691" i="1"/>
  <c r="M691" i="15" s="1"/>
  <c r="N691" i="15" s="1" a="1"/>
  <c r="N691" i="15" s="1"/>
  <c r="C692" i="1" a="1"/>
  <c r="C692" i="1" s="1"/>
  <c r="E692" i="15" s="1"/>
  <c r="G692" i="1" a="1"/>
  <c r="G692" i="1" s="1"/>
  <c r="K692" i="1" a="1"/>
  <c r="K692" i="1" s="1"/>
  <c r="L692" i="15" s="1"/>
  <c r="P692" i="1" a="1"/>
  <c r="P692" i="1" s="1"/>
  <c r="D693" i="1" a="1"/>
  <c r="D693" i="1" s="1"/>
  <c r="I693" i="15" s="1"/>
  <c r="H693" i="1" a="1"/>
  <c r="H693" i="1" s="1"/>
  <c r="L693" i="1" a="1"/>
  <c r="L693" i="1" s="1"/>
  <c r="Q693" i="1" a="1"/>
  <c r="Q693" i="1" s="1"/>
  <c r="S693" i="15" s="1"/>
  <c r="M694" i="1" a="1"/>
  <c r="M694" i="1" s="1"/>
  <c r="F695" i="1" a="1"/>
  <c r="F695" i="1" s="1"/>
  <c r="R695" i="15" s="1"/>
  <c r="J695" i="1" a="1"/>
  <c r="J695" i="1" s="1"/>
  <c r="O695" i="1"/>
  <c r="M695" i="15" s="1"/>
  <c r="N695" i="15" s="1" a="1"/>
  <c r="N695" i="15" s="1"/>
  <c r="C696" i="1" a="1"/>
  <c r="C696" i="1" s="1"/>
  <c r="E696" i="15" s="1"/>
  <c r="G696" i="1" a="1"/>
  <c r="G696" i="1" s="1"/>
  <c r="J696" i="15" s="1"/>
  <c r="K696" i="1" a="1"/>
  <c r="K696" i="1" s="1"/>
  <c r="L696" i="15" s="1"/>
  <c r="P696" i="1" a="1"/>
  <c r="P696" i="1" s="1"/>
  <c r="D697" i="1" a="1"/>
  <c r="D697" i="1" s="1"/>
  <c r="I697" i="15" s="1"/>
  <c r="H697" i="1" a="1"/>
  <c r="H697" i="1" s="1"/>
  <c r="L697" i="1" a="1"/>
  <c r="L697" i="1" s="1"/>
  <c r="Q697" i="1" a="1"/>
  <c r="Q697" i="1" s="1"/>
  <c r="S697" i="15" s="1"/>
  <c r="M698" i="1" a="1"/>
  <c r="M698" i="1" s="1"/>
  <c r="F699" i="1" a="1"/>
  <c r="F699" i="1" s="1"/>
  <c r="R699" i="15" s="1"/>
  <c r="J699" i="1" a="1"/>
  <c r="J699" i="1" s="1"/>
  <c r="O699" i="1"/>
  <c r="M699" i="15" s="1"/>
  <c r="N699" i="15" s="1" a="1"/>
  <c r="N699" i="15" s="1"/>
  <c r="C700" i="1" a="1"/>
  <c r="C700" i="1" s="1"/>
  <c r="E700" i="15" s="1"/>
  <c r="G700" i="1" a="1"/>
  <c r="G700" i="1" s="1"/>
  <c r="J700" i="15" s="1"/>
  <c r="K700" i="1" a="1"/>
  <c r="K700" i="1" s="1"/>
  <c r="L700" i="15" s="1"/>
  <c r="P700" i="1" a="1"/>
  <c r="P700" i="1" s="1"/>
  <c r="D701" i="1" a="1"/>
  <c r="D701" i="1" s="1"/>
  <c r="I701" i="15" s="1"/>
  <c r="H701" i="1" a="1"/>
  <c r="H701" i="1" s="1"/>
  <c r="L701" i="1" a="1"/>
  <c r="L701" i="1" s="1"/>
  <c r="Q701" i="1" a="1"/>
  <c r="Q701" i="1" s="1"/>
  <c r="S701" i="15" s="1"/>
  <c r="M702" i="1" a="1"/>
  <c r="M702" i="1" s="1"/>
  <c r="F703" i="1" a="1"/>
  <c r="F703" i="1" s="1"/>
  <c r="R703" i="15" s="1"/>
  <c r="J703" i="1" a="1"/>
  <c r="J703" i="1" s="1"/>
  <c r="O703" i="1"/>
  <c r="M703" i="15" s="1"/>
  <c r="N703" i="15" s="1" a="1"/>
  <c r="N703" i="15" s="1"/>
  <c r="C704" i="1" a="1"/>
  <c r="C704" i="1" s="1"/>
  <c r="E704" i="15" s="1"/>
  <c r="G704" i="1" a="1"/>
  <c r="G704" i="1" s="1"/>
  <c r="J704" i="15" s="1"/>
  <c r="K704" i="1" a="1"/>
  <c r="K704" i="1" s="1"/>
  <c r="L704" i="15" s="1"/>
  <c r="P704" i="1" a="1"/>
  <c r="P704" i="1" s="1"/>
  <c r="D705" i="1" a="1"/>
  <c r="D705" i="1" s="1"/>
  <c r="I705" i="15" s="1"/>
  <c r="H705" i="1" a="1"/>
  <c r="H705" i="1" s="1"/>
  <c r="L705" i="1" a="1"/>
  <c r="L705" i="1" s="1"/>
  <c r="Q705" i="1" a="1"/>
  <c r="Q705" i="1" s="1"/>
  <c r="S705" i="15" s="1"/>
  <c r="M706" i="1" a="1"/>
  <c r="M706" i="1" s="1"/>
  <c r="M707" i="1" a="1"/>
  <c r="M707" i="1" s="1"/>
  <c r="F708" i="1" a="1"/>
  <c r="F708" i="1" s="1"/>
  <c r="R708" i="15" s="1"/>
  <c r="M708" i="1" a="1"/>
  <c r="M708" i="1" s="1"/>
  <c r="M709" i="1" a="1"/>
  <c r="M709" i="1" s="1"/>
  <c r="F710" i="1" a="1"/>
  <c r="F710" i="1" s="1"/>
  <c r="R710" i="15" s="1"/>
  <c r="M710" i="1" a="1"/>
  <c r="M710" i="1" s="1"/>
  <c r="M711" i="1" a="1"/>
  <c r="M711" i="1" s="1"/>
  <c r="D145" i="1" a="1"/>
  <c r="D145" i="1" s="1"/>
  <c r="I145" i="15" s="1"/>
  <c r="T52" i="4"/>
  <c r="V52" i="4" s="1" a="1"/>
  <c r="V52" i="4" s="1"/>
  <c r="W52" i="4" a="1"/>
  <c r="W52" i="4" s="1"/>
  <c r="T68" i="4"/>
  <c r="V68" i="4" s="1" a="1"/>
  <c r="V68" i="4" s="1"/>
  <c r="W68" i="4" a="1"/>
  <c r="W68" i="4" s="1"/>
  <c r="T119" i="4"/>
  <c r="V119" i="4" s="1" a="1"/>
  <c r="V119" i="4" s="1"/>
  <c r="W119" i="4" a="1"/>
  <c r="W119" i="4" s="1"/>
  <c r="T60" i="4"/>
  <c r="V60" i="4" s="1" a="1"/>
  <c r="V60" i="4" s="1"/>
  <c r="W60" i="4" a="1"/>
  <c r="W60" i="4" s="1"/>
  <c r="T95" i="4"/>
  <c r="V95" i="4" s="1" a="1"/>
  <c r="V95" i="4" s="1"/>
  <c r="W95" i="4" a="1"/>
  <c r="W95" i="4" s="1"/>
  <c r="I118" i="8"/>
  <c r="I140" i="8"/>
  <c r="I125" i="8"/>
  <c r="I147" i="8"/>
  <c r="I137" i="8"/>
  <c r="I105" i="8"/>
  <c r="I145" i="8"/>
  <c r="I107" i="8"/>
  <c r="I130" i="8"/>
  <c r="I117" i="8"/>
  <c r="O170" i="1"/>
  <c r="M170" i="15" s="1"/>
  <c r="N170" i="15" s="1" a="1"/>
  <c r="N170" i="15" s="1"/>
  <c r="O171" i="1"/>
  <c r="M171" i="15" s="1"/>
  <c r="N171" i="15" s="1" a="1"/>
  <c r="N171" i="15" s="1"/>
  <c r="I120" i="8"/>
  <c r="I119" i="8"/>
  <c r="I111" i="8"/>
  <c r="I143" i="8"/>
  <c r="I132" i="8"/>
  <c r="I144" i="8"/>
  <c r="I134" i="8"/>
  <c r="I131" i="8"/>
  <c r="I114" i="8"/>
  <c r="I148" i="8"/>
  <c r="I123" i="8"/>
  <c r="I136" i="8"/>
  <c r="I112" i="8"/>
  <c r="O169" i="1"/>
  <c r="M169" i="15" s="1"/>
  <c r="N169" i="15" s="1" a="1"/>
  <c r="N169" i="15" s="1"/>
  <c r="I121" i="8"/>
  <c r="I106" i="8"/>
  <c r="I129" i="8"/>
  <c r="Q173" i="1" a="1"/>
  <c r="Q173" i="1" s="1"/>
  <c r="S173" i="15" s="1"/>
  <c r="Q185" i="1" a="1"/>
  <c r="Q185" i="1" s="1"/>
  <c r="S185" i="15" s="1"/>
  <c r="O172" i="1"/>
  <c r="M172" i="15" s="1"/>
  <c r="N172" i="15" s="1" a="1"/>
  <c r="N172" i="15" s="1"/>
  <c r="Q171" i="1" a="1"/>
  <c r="Q171" i="1" s="1"/>
  <c r="S171" i="15" s="1"/>
  <c r="Q179" i="1" a="1"/>
  <c r="Q179" i="1" s="1"/>
  <c r="S179" i="15" s="1"/>
  <c r="Q172" i="1" a="1"/>
  <c r="Q172" i="1" s="1"/>
  <c r="S172" i="15" s="1"/>
  <c r="I115" i="8"/>
  <c r="I142" i="8"/>
  <c r="I124" i="8"/>
  <c r="I113" i="8"/>
  <c r="I149" i="8"/>
  <c r="I122" i="8"/>
  <c r="I116" i="8"/>
  <c r="I151" i="8"/>
  <c r="I110" i="8"/>
  <c r="I133" i="8"/>
  <c r="I104" i="8"/>
  <c r="I150" i="8"/>
  <c r="I127" i="8"/>
  <c r="I141" i="8"/>
  <c r="I139" i="8"/>
  <c r="I126" i="8"/>
  <c r="I128" i="8"/>
  <c r="I135" i="8"/>
  <c r="I108" i="8"/>
  <c r="I146" i="8"/>
  <c r="I109" i="8"/>
  <c r="I138" i="8"/>
  <c r="F174" i="1" a="1"/>
  <c r="F174" i="1" s="1"/>
  <c r="R174" i="15" s="1"/>
  <c r="O174" i="1"/>
  <c r="M174" i="15" s="1"/>
  <c r="N174" i="15" s="1" a="1"/>
  <c r="N174" i="15" s="1"/>
  <c r="F175" i="1" a="1"/>
  <c r="F175" i="1" s="1"/>
  <c r="R175" i="15" s="1"/>
  <c r="M175" i="1" a="1"/>
  <c r="M175" i="1" s="1"/>
  <c r="F176" i="1" a="1"/>
  <c r="F176" i="1" s="1"/>
  <c r="R176" i="15" s="1"/>
  <c r="L176" i="1" a="1"/>
  <c r="L176" i="1" s="1"/>
  <c r="C177" i="1" a="1"/>
  <c r="C177" i="1" s="1"/>
  <c r="E177" i="15" s="1"/>
  <c r="G177" i="1" a="1"/>
  <c r="G177" i="1" s="1"/>
  <c r="L177" i="1" a="1"/>
  <c r="L177" i="1" s="1"/>
  <c r="L178" i="1" a="1"/>
  <c r="L178" i="1" s="1"/>
  <c r="K180" i="1" a="1"/>
  <c r="K180" i="1" s="1"/>
  <c r="F182" i="1" a="1"/>
  <c r="F182" i="1" s="1"/>
  <c r="R182" i="15" s="1"/>
  <c r="M182" i="1" a="1"/>
  <c r="M182" i="1" s="1"/>
  <c r="H184" i="1" a="1"/>
  <c r="H184" i="1" s="1"/>
  <c r="O184" i="1"/>
  <c r="M184" i="15" s="1"/>
  <c r="N184" i="15" s="1" a="1"/>
  <c r="N184" i="15" s="1"/>
  <c r="D186" i="1" a="1"/>
  <c r="D186" i="1" s="1"/>
  <c r="I186" i="15" s="1"/>
  <c r="J186" i="1" a="1"/>
  <c r="J186" i="1" s="1"/>
  <c r="H174" i="1" a="1"/>
  <c r="H174" i="1" s="1"/>
  <c r="G175" i="1" a="1"/>
  <c r="G175" i="1" s="1"/>
  <c r="G176" i="1" a="1"/>
  <c r="G176" i="1" s="1"/>
  <c r="M176" i="1" a="1"/>
  <c r="M176" i="1" s="1"/>
  <c r="D177" i="1" a="1"/>
  <c r="D177" i="1" s="1"/>
  <c r="I177" i="15" s="1"/>
  <c r="H177" i="1" a="1"/>
  <c r="H177" i="1" s="1"/>
  <c r="O177" i="1"/>
  <c r="M177" i="15" s="1"/>
  <c r="N177" i="15" s="1" a="1"/>
  <c r="N177" i="15" s="1"/>
  <c r="F178" i="1" a="1"/>
  <c r="F178" i="1" s="1"/>
  <c r="R178" i="15" s="1"/>
  <c r="M178" i="1" a="1"/>
  <c r="M178" i="1" s="1"/>
  <c r="F180" i="1" a="1"/>
  <c r="F180" i="1" s="1"/>
  <c r="R180" i="15" s="1"/>
  <c r="M180" i="1" a="1"/>
  <c r="M180" i="1" s="1"/>
  <c r="G182" i="1" a="1"/>
  <c r="G182" i="1" s="1"/>
  <c r="O182" i="1"/>
  <c r="M182" i="15" s="1"/>
  <c r="N182" i="15" s="1" a="1"/>
  <c r="N182" i="15" s="1"/>
  <c r="C184" i="1" a="1"/>
  <c r="C184" i="1" s="1"/>
  <c r="E184" i="15" s="1"/>
  <c r="J184" i="1" a="1"/>
  <c r="J184" i="1" s="1"/>
  <c r="L186" i="1" a="1"/>
  <c r="L186" i="1" s="1"/>
  <c r="D174" i="1" a="1"/>
  <c r="D174" i="1" s="1"/>
  <c r="I174" i="15" s="1"/>
  <c r="J174" i="1" a="1"/>
  <c r="J174" i="1" s="1"/>
  <c r="D175" i="1" a="1"/>
  <c r="D175" i="1" s="1"/>
  <c r="I175" i="15" s="1"/>
  <c r="K175" i="1" a="1"/>
  <c r="K175" i="1" s="1"/>
  <c r="C176" i="1" a="1"/>
  <c r="C176" i="1" s="1"/>
  <c r="E176" i="15" s="1"/>
  <c r="H176" i="1" a="1"/>
  <c r="H176" i="1" s="1"/>
  <c r="O176" i="1"/>
  <c r="M176" i="15" s="1"/>
  <c r="N176" i="15" s="1" a="1"/>
  <c r="N176" i="15" s="1"/>
  <c r="J177" i="1" a="1"/>
  <c r="J177" i="1" s="1"/>
  <c r="H178" i="1" a="1"/>
  <c r="H178" i="1" s="1"/>
  <c r="O178" i="1"/>
  <c r="M178" i="15" s="1"/>
  <c r="N178" i="15" s="1" a="1"/>
  <c r="N178" i="15" s="1"/>
  <c r="C180" i="1" a="1"/>
  <c r="C180" i="1" s="1"/>
  <c r="E180" i="15" s="1"/>
  <c r="G180" i="1" a="1"/>
  <c r="G180" i="1" s="1"/>
  <c r="O180" i="1"/>
  <c r="M180" i="15" s="1"/>
  <c r="N180" i="15" s="1" a="1"/>
  <c r="N180" i="15" s="1"/>
  <c r="C182" i="1" a="1"/>
  <c r="C182" i="1" s="1"/>
  <c r="E182" i="15" s="1"/>
  <c r="J182" i="1" a="1"/>
  <c r="J182" i="1" s="1"/>
  <c r="L184" i="1" a="1"/>
  <c r="L184" i="1" s="1"/>
  <c r="F186" i="1" a="1"/>
  <c r="F186" i="1" s="1"/>
  <c r="R186" i="15" s="1"/>
  <c r="M186" i="1" a="1"/>
  <c r="M186" i="1" s="1"/>
  <c r="L174" i="1" a="1"/>
  <c r="L174" i="1" s="1"/>
  <c r="L175" i="1" a="1"/>
  <c r="L175" i="1" s="1"/>
  <c r="J176" i="1" a="1"/>
  <c r="J176" i="1" s="1"/>
  <c r="F177" i="1" a="1"/>
  <c r="F177" i="1" s="1"/>
  <c r="R177" i="15" s="1"/>
  <c r="K177" i="1" a="1"/>
  <c r="K177" i="1" s="1"/>
  <c r="D178" i="1" a="1"/>
  <c r="D178" i="1" s="1"/>
  <c r="I178" i="15" s="1"/>
  <c r="J178" i="1" a="1"/>
  <c r="J178" i="1" s="1"/>
  <c r="D180" i="1" a="1"/>
  <c r="D180" i="1" s="1"/>
  <c r="I180" i="15" s="1"/>
  <c r="J180" i="1" a="1"/>
  <c r="J180" i="1" s="1"/>
  <c r="K182" i="1" a="1"/>
  <c r="K182" i="1" s="1"/>
  <c r="F184" i="1" a="1"/>
  <c r="F184" i="1" s="1"/>
  <c r="R184" i="15" s="1"/>
  <c r="M184" i="1" a="1"/>
  <c r="M184" i="1" s="1"/>
  <c r="H186" i="1" a="1"/>
  <c r="H186" i="1" s="1"/>
  <c r="O186" i="1"/>
  <c r="M186" i="15" s="1"/>
  <c r="N186" i="15" s="1" a="1"/>
  <c r="N186" i="15" s="1"/>
  <c r="O173" i="1"/>
  <c r="M173" i="15" s="1"/>
  <c r="N173" i="15" s="1" a="1"/>
  <c r="N173" i="15" s="1"/>
  <c r="O179" i="1"/>
  <c r="M179" i="15" s="1"/>
  <c r="N179" i="15" s="1" a="1"/>
  <c r="N179" i="15" s="1"/>
  <c r="C170" i="1" a="1"/>
  <c r="C170" i="1" s="1"/>
  <c r="E170" i="15" s="1"/>
  <c r="M172" i="1" a="1"/>
  <c r="M172" i="1" s="1"/>
  <c r="H181" i="1" a="1"/>
  <c r="H181" i="1" s="1"/>
  <c r="P185" i="1" a="1"/>
  <c r="P185" i="1" s="1"/>
  <c r="G168" i="1" a="1"/>
  <c r="G168" i="1" s="1"/>
  <c r="D181" i="1" a="1"/>
  <c r="D181" i="1" s="1"/>
  <c r="I181" i="15" s="1"/>
  <c r="M183" i="1" a="1"/>
  <c r="M183" i="1" s="1"/>
  <c r="G181" i="1" a="1"/>
  <c r="G181" i="1" s="1"/>
  <c r="J181" i="15" s="1"/>
  <c r="D185" i="1" a="1"/>
  <c r="D185" i="1" s="1"/>
  <c r="I185" i="15" s="1"/>
  <c r="M169" i="1" a="1"/>
  <c r="M169" i="1" s="1"/>
  <c r="C179" i="1" a="1"/>
  <c r="C179" i="1" s="1"/>
  <c r="E179" i="15" s="1"/>
  <c r="G171" i="1" a="1"/>
  <c r="G171" i="1" s="1"/>
  <c r="F173" i="1" a="1"/>
  <c r="F173" i="1" s="1"/>
  <c r="R173" i="15" s="1"/>
  <c r="M163" i="1" a="1"/>
  <c r="M163" i="1" s="1"/>
  <c r="G166" i="1" a="1"/>
  <c r="G166" i="1" s="1"/>
  <c r="M167" i="1" a="1"/>
  <c r="M167" i="1" s="1"/>
  <c r="K173" i="1" a="1"/>
  <c r="K173" i="1" s="1"/>
  <c r="D164" i="1" a="1"/>
  <c r="D164" i="1" s="1"/>
  <c r="I164" i="15" s="1"/>
  <c r="J165" i="1" a="1"/>
  <c r="J165" i="1" s="1"/>
  <c r="L166" i="1" a="1"/>
  <c r="L166" i="1" s="1"/>
  <c r="D168" i="1" a="1"/>
  <c r="D168" i="1" s="1"/>
  <c r="I168" i="15" s="1"/>
  <c r="J169" i="1" a="1"/>
  <c r="J169" i="1" s="1"/>
  <c r="L170" i="1" a="1"/>
  <c r="L170" i="1" s="1"/>
  <c r="D172" i="1" a="1"/>
  <c r="D172" i="1" s="1"/>
  <c r="I172" i="15" s="1"/>
  <c r="M174" i="1" a="1"/>
  <c r="M174" i="1" s="1"/>
  <c r="D176" i="1" a="1"/>
  <c r="D176" i="1" s="1"/>
  <c r="I176" i="15" s="1"/>
  <c r="C178" i="1" a="1"/>
  <c r="C178" i="1" s="1"/>
  <c r="E178" i="15" s="1"/>
  <c r="J179" i="1" a="1"/>
  <c r="J179" i="1" s="1"/>
  <c r="F181" i="1" a="1"/>
  <c r="F181" i="1" s="1"/>
  <c r="R181" i="15" s="1"/>
  <c r="H182" i="1" a="1"/>
  <c r="H182" i="1" s="1"/>
  <c r="O183" i="1"/>
  <c r="M183" i="15" s="1"/>
  <c r="N183" i="15" s="1" a="1"/>
  <c r="N183" i="15" s="1"/>
  <c r="K186" i="1" a="1"/>
  <c r="K186" i="1" s="1"/>
  <c r="L186" i="15" s="1"/>
  <c r="C169" i="1" a="1"/>
  <c r="C169" i="1" s="1"/>
  <c r="E169" i="15" s="1"/>
  <c r="H173" i="1" a="1"/>
  <c r="H173" i="1" s="1"/>
  <c r="C165" i="1" a="1"/>
  <c r="C165" i="1" s="1"/>
  <c r="E165" i="15" s="1"/>
  <c r="H163" i="1" a="1"/>
  <c r="H163" i="1" s="1"/>
  <c r="O164" i="1"/>
  <c r="M164" i="15" s="1"/>
  <c r="N164" i="15" s="1" a="1"/>
  <c r="N164" i="15" s="1"/>
  <c r="F166" i="1" a="1"/>
  <c r="F166" i="1" s="1"/>
  <c r="R166" i="15" s="1"/>
  <c r="H167" i="1" a="1"/>
  <c r="H167" i="1" s="1"/>
  <c r="O168" i="1"/>
  <c r="M168" i="15" s="1"/>
  <c r="N168" i="15" s="1" a="1"/>
  <c r="N168" i="15" s="1"/>
  <c r="F170" i="1" a="1"/>
  <c r="F170" i="1" s="1"/>
  <c r="R170" i="15" s="1"/>
  <c r="L171" i="1" a="1"/>
  <c r="L171" i="1" s="1"/>
  <c r="C174" i="1" a="1"/>
  <c r="C174" i="1" s="1"/>
  <c r="E174" i="15" s="1"/>
  <c r="G179" i="1" a="1"/>
  <c r="G179" i="1" s="1"/>
  <c r="D183" i="1" a="1"/>
  <c r="D183" i="1" s="1"/>
  <c r="I183" i="15" s="1"/>
  <c r="L183" i="1" a="1"/>
  <c r="L183" i="1" s="1"/>
  <c r="M171" i="1" a="1"/>
  <c r="M171" i="1" s="1"/>
  <c r="K181" i="1" a="1"/>
  <c r="K181" i="1" s="1"/>
  <c r="C185" i="1" a="1"/>
  <c r="C185" i="1" s="1"/>
  <c r="E185" i="15" s="1"/>
  <c r="M181" i="1" a="1"/>
  <c r="M181" i="1" s="1"/>
  <c r="H185" i="1" a="1"/>
  <c r="H185" i="1" s="1"/>
  <c r="G170" i="1" a="1"/>
  <c r="G170" i="1" s="1"/>
  <c r="K179" i="1" a="1"/>
  <c r="K179" i="1" s="1"/>
  <c r="K172" i="1" a="1"/>
  <c r="K172" i="1" s="1"/>
  <c r="J173" i="1" a="1"/>
  <c r="J173" i="1" s="1"/>
  <c r="C164" i="1" a="1"/>
  <c r="C164" i="1" s="1"/>
  <c r="E164" i="15" s="1"/>
  <c r="C168" i="1" a="1"/>
  <c r="C168" i="1" s="1"/>
  <c r="E168" i="15" s="1"/>
  <c r="F163" i="1" a="1"/>
  <c r="F163" i="1" s="1"/>
  <c r="R163" i="15" s="1"/>
  <c r="H164" i="1" a="1"/>
  <c r="H164" i="1" s="1"/>
  <c r="O165" i="1"/>
  <c r="M165" i="15" s="1"/>
  <c r="N165" i="15" s="1" a="1"/>
  <c r="N165" i="15" s="1"/>
  <c r="F167" i="1" a="1"/>
  <c r="F167" i="1" s="1"/>
  <c r="R167" i="15" s="1"/>
  <c r="H168" i="1" a="1"/>
  <c r="H168" i="1" s="1"/>
  <c r="F171" i="1" a="1"/>
  <c r="F171" i="1" s="1"/>
  <c r="R171" i="15" s="1"/>
  <c r="H172" i="1" a="1"/>
  <c r="H172" i="1" s="1"/>
  <c r="C175" i="1" a="1"/>
  <c r="C175" i="1" s="1"/>
  <c r="E175" i="15" s="1"/>
  <c r="K176" i="1" a="1"/>
  <c r="K176" i="1" s="1"/>
  <c r="L176" i="15" s="1"/>
  <c r="G178" i="1" a="1"/>
  <c r="G178" i="1" s="1"/>
  <c r="J178" i="15" s="1"/>
  <c r="P179" i="1" a="1"/>
  <c r="P179" i="1" s="1"/>
  <c r="J181" i="1" a="1"/>
  <c r="J181" i="1" s="1"/>
  <c r="L182" i="1" a="1"/>
  <c r="L182" i="1" s="1"/>
  <c r="D184" i="1" a="1"/>
  <c r="D184" i="1" s="1"/>
  <c r="I184" i="15" s="1"/>
  <c r="M185" i="1" a="1"/>
  <c r="M185" i="1" s="1"/>
  <c r="G169" i="1" a="1"/>
  <c r="G169" i="1" s="1"/>
  <c r="M170" i="1" a="1"/>
  <c r="M170" i="1" s="1"/>
  <c r="L173" i="1" a="1"/>
  <c r="L173" i="1" s="1"/>
  <c r="G165" i="1" a="1"/>
  <c r="G165" i="1" s="1"/>
  <c r="M166" i="1" a="1"/>
  <c r="M166" i="1" s="1"/>
  <c r="L163" i="1" a="1"/>
  <c r="L163" i="1" s="1"/>
  <c r="D165" i="1" a="1"/>
  <c r="D165" i="1" s="1"/>
  <c r="I165" i="15" s="1"/>
  <c r="J166" i="1" a="1"/>
  <c r="J166" i="1" s="1"/>
  <c r="L167" i="1" a="1"/>
  <c r="L167" i="1" s="1"/>
  <c r="D169" i="1" a="1"/>
  <c r="D169" i="1" s="1"/>
  <c r="I169" i="15" s="1"/>
  <c r="J170" i="1" a="1"/>
  <c r="J170" i="1" s="1"/>
  <c r="F172" i="1" a="1"/>
  <c r="F172" i="1" s="1"/>
  <c r="R172" i="15" s="1"/>
  <c r="G174" i="1" a="1"/>
  <c r="G174" i="1" s="1"/>
  <c r="J174" i="15" s="1"/>
  <c r="K171" i="1" a="1"/>
  <c r="K171" i="1" s="1"/>
  <c r="L171" i="15" s="1"/>
  <c r="M179" i="1" a="1"/>
  <c r="M179" i="1" s="1"/>
  <c r="K183" i="1" a="1"/>
  <c r="K183" i="1" s="1"/>
  <c r="L183" i="15" s="1"/>
  <c r="F185" i="1" a="1"/>
  <c r="F185" i="1" s="1"/>
  <c r="R185" i="15" s="1"/>
  <c r="P172" i="1" a="1"/>
  <c r="P172" i="1" s="1"/>
  <c r="L181" i="1" a="1"/>
  <c r="L181" i="1" s="1"/>
  <c r="G185" i="1" a="1"/>
  <c r="G185" i="1" s="1"/>
  <c r="J185" i="15" s="1"/>
  <c r="C183" i="1" a="1"/>
  <c r="C183" i="1" s="1"/>
  <c r="E183" i="15" s="1"/>
  <c r="O185" i="1"/>
  <c r="M185" i="15" s="1"/>
  <c r="N185" i="15" s="1" a="1"/>
  <c r="N185" i="15" s="1"/>
  <c r="P171" i="1" a="1"/>
  <c r="P171" i="1" s="1"/>
  <c r="L179" i="1" a="1"/>
  <c r="L179" i="1" s="1"/>
  <c r="P173" i="1" a="1"/>
  <c r="P173" i="1" s="1"/>
  <c r="G164" i="1" a="1"/>
  <c r="G164" i="1" s="1"/>
  <c r="J164" i="15" s="1"/>
  <c r="M165" i="1" a="1"/>
  <c r="M165" i="1" s="1"/>
  <c r="C173" i="1" a="1"/>
  <c r="C173" i="1" s="1"/>
  <c r="E173" i="15" s="1"/>
  <c r="J163" i="1" a="1"/>
  <c r="J163" i="1" s="1"/>
  <c r="L164" i="1" a="1"/>
  <c r="L164" i="1" s="1"/>
  <c r="D166" i="1" a="1"/>
  <c r="D166" i="1" s="1"/>
  <c r="I166" i="15" s="1"/>
  <c r="J167" i="1" a="1"/>
  <c r="J167" i="1" s="1"/>
  <c r="L168" i="1" a="1"/>
  <c r="L168" i="1" s="1"/>
  <c r="D170" i="1" a="1"/>
  <c r="D170" i="1" s="1"/>
  <c r="I170" i="15" s="1"/>
  <c r="J171" i="1" a="1"/>
  <c r="J171" i="1" s="1"/>
  <c r="L172" i="1" a="1"/>
  <c r="L172" i="1" s="1"/>
  <c r="J175" i="1" a="1"/>
  <c r="J175" i="1" s="1"/>
  <c r="K178" i="1" a="1"/>
  <c r="K178" i="1" s="1"/>
  <c r="L178" i="15" s="1"/>
  <c r="H180" i="1" a="1"/>
  <c r="H180" i="1" s="1"/>
  <c r="O181" i="1"/>
  <c r="M181" i="15" s="1"/>
  <c r="N181" i="15" s="1" a="1"/>
  <c r="N181" i="15" s="1"/>
  <c r="F183" i="1" a="1"/>
  <c r="F183" i="1" s="1"/>
  <c r="R183" i="15" s="1"/>
  <c r="G184" i="1" a="1"/>
  <c r="G184" i="1" s="1"/>
  <c r="J184" i="15" s="1"/>
  <c r="C186" i="1" a="1"/>
  <c r="C186" i="1" s="1"/>
  <c r="E186" i="15" s="1"/>
  <c r="C171" i="1" a="1"/>
  <c r="C171" i="1" s="1"/>
  <c r="E171" i="15" s="1"/>
  <c r="C163" i="1" a="1"/>
  <c r="C163" i="1" s="1"/>
  <c r="E163" i="15" s="1"/>
  <c r="C167" i="1" a="1"/>
  <c r="C167" i="1" s="1"/>
  <c r="E167" i="15" s="1"/>
  <c r="M173" i="1" a="1"/>
  <c r="M173" i="1" s="1"/>
  <c r="F164" i="1" a="1"/>
  <c r="F164" i="1" s="1"/>
  <c r="R164" i="15" s="1"/>
  <c r="H165" i="1" a="1"/>
  <c r="H165" i="1" s="1"/>
  <c r="O166" i="1"/>
  <c r="M166" i="15" s="1"/>
  <c r="N166" i="15" s="1" a="1"/>
  <c r="N166" i="15" s="1"/>
  <c r="F168" i="1" a="1"/>
  <c r="F168" i="1" s="1"/>
  <c r="R168" i="15" s="1"/>
  <c r="H169" i="1" a="1"/>
  <c r="H169" i="1" s="1"/>
  <c r="D171" i="1" a="1"/>
  <c r="D171" i="1" s="1"/>
  <c r="I171" i="15" s="1"/>
  <c r="J172" i="1" a="1"/>
  <c r="J172" i="1" s="1"/>
  <c r="K174" i="1" a="1"/>
  <c r="K174" i="1" s="1"/>
  <c r="L174" i="15" s="1"/>
  <c r="C172" i="1" a="1"/>
  <c r="C172" i="1" s="1"/>
  <c r="E172" i="15" s="1"/>
  <c r="C181" i="1" a="1"/>
  <c r="C181" i="1" s="1"/>
  <c r="E181" i="15" s="1"/>
  <c r="J185" i="1" a="1"/>
  <c r="J185" i="1" s="1"/>
  <c r="K185" i="1" a="1"/>
  <c r="K185" i="1" s="1"/>
  <c r="H179" i="1" a="1"/>
  <c r="H179" i="1" s="1"/>
  <c r="G183" i="1" a="1"/>
  <c r="G183" i="1" s="1"/>
  <c r="L185" i="1" a="1"/>
  <c r="L185" i="1" s="1"/>
  <c r="H183" i="1" a="1"/>
  <c r="H183" i="1" s="1"/>
  <c r="G172" i="1" a="1"/>
  <c r="G172" i="1" s="1"/>
  <c r="J172" i="15" s="1"/>
  <c r="D179" i="1" a="1"/>
  <c r="D179" i="1" s="1"/>
  <c r="I179" i="15" s="1"/>
  <c r="C166" i="1" a="1"/>
  <c r="C166" i="1" s="1"/>
  <c r="E166" i="15" s="1"/>
  <c r="G173" i="1" a="1"/>
  <c r="G173" i="1" s="1"/>
  <c r="J173" i="15" s="1"/>
  <c r="O163" i="1"/>
  <c r="M163" i="15" s="1"/>
  <c r="N163" i="15" s="1" a="1"/>
  <c r="N163" i="15" s="1"/>
  <c r="F165" i="1" a="1"/>
  <c r="F165" i="1" s="1"/>
  <c r="R165" i="15" s="1"/>
  <c r="H166" i="1" a="1"/>
  <c r="H166" i="1" s="1"/>
  <c r="O167" i="1"/>
  <c r="M167" i="15" s="1"/>
  <c r="N167" i="15" s="1" a="1"/>
  <c r="N167" i="15" s="1"/>
  <c r="F169" i="1" a="1"/>
  <c r="F169" i="1" s="1"/>
  <c r="R169" i="15" s="1"/>
  <c r="H170" i="1" a="1"/>
  <c r="H170" i="1" s="1"/>
  <c r="O175" i="1"/>
  <c r="M175" i="15" s="1"/>
  <c r="N175" i="15" s="1" a="1"/>
  <c r="N175" i="15" s="1"/>
  <c r="M177" i="1" a="1"/>
  <c r="M177" i="1" s="1"/>
  <c r="F179" i="1" a="1"/>
  <c r="F179" i="1" s="1"/>
  <c r="R179" i="15" s="1"/>
  <c r="L180" i="1" a="1"/>
  <c r="L180" i="1" s="1"/>
  <c r="D182" i="1" a="1"/>
  <c r="D182" i="1" s="1"/>
  <c r="I182" i="15" s="1"/>
  <c r="J183" i="1" a="1"/>
  <c r="J183" i="1" s="1"/>
  <c r="K184" i="1" a="1"/>
  <c r="K184" i="1" s="1"/>
  <c r="L184" i="15" s="1"/>
  <c r="G186" i="1" a="1"/>
  <c r="G186" i="1" s="1"/>
  <c r="J186" i="15" s="1"/>
  <c r="M168" i="1" a="1"/>
  <c r="M168" i="1" s="1"/>
  <c r="D173" i="1" a="1"/>
  <c r="D173" i="1" s="1"/>
  <c r="I173" i="15" s="1"/>
  <c r="G163" i="1" a="1"/>
  <c r="G163" i="1" s="1"/>
  <c r="J163" i="15" s="1"/>
  <c r="M164" i="1" a="1"/>
  <c r="M164" i="1" s="1"/>
  <c r="G167" i="1" a="1"/>
  <c r="G167" i="1" s="1"/>
  <c r="J167" i="15" s="1"/>
  <c r="D163" i="1" a="1"/>
  <c r="D163" i="1" s="1"/>
  <c r="I163" i="15" s="1"/>
  <c r="J164" i="1" a="1"/>
  <c r="J164" i="1" s="1"/>
  <c r="L165" i="1" a="1"/>
  <c r="L165" i="1" s="1"/>
  <c r="D167" i="1" a="1"/>
  <c r="D167" i="1" s="1"/>
  <c r="I167" i="15" s="1"/>
  <c r="J168" i="1" a="1"/>
  <c r="J168" i="1" s="1"/>
  <c r="L169" i="1" a="1"/>
  <c r="L169" i="1" s="1"/>
  <c r="H171" i="1" a="1"/>
  <c r="H171" i="1" s="1"/>
  <c r="H175" i="1" a="1"/>
  <c r="H175" i="1" s="1"/>
  <c r="J26" i="1" a="1"/>
  <c r="J26" i="1" s="1"/>
  <c r="J27" i="1" a="1"/>
  <c r="J27" i="1" s="1"/>
  <c r="J28" i="1" a="1"/>
  <c r="J28" i="1" s="1"/>
  <c r="C49" i="1" a="1"/>
  <c r="C49" i="1" s="1"/>
  <c r="E49" i="15" s="1"/>
  <c r="C22" i="1" a="1"/>
  <c r="C22" i="1" s="1"/>
  <c r="E22" i="15" s="1"/>
  <c r="O50" i="1"/>
  <c r="M50" i="15" s="1"/>
  <c r="N50" i="15" s="1" a="1"/>
  <c r="N50" i="15" s="1"/>
  <c r="O86" i="1"/>
  <c r="M86" i="15" s="1"/>
  <c r="N86" i="15" s="1" a="1"/>
  <c r="N86" i="15" s="1"/>
  <c r="O122" i="1"/>
  <c r="M122" i="15" s="1"/>
  <c r="N122" i="15" s="1" a="1"/>
  <c r="N122" i="15" s="1"/>
  <c r="O158" i="1"/>
  <c r="M158" i="15" s="1"/>
  <c r="N158" i="15" s="1" a="1"/>
  <c r="N158" i="15" s="1"/>
  <c r="O32" i="1"/>
  <c r="M32" i="15" s="1"/>
  <c r="N32" i="15" s="1" a="1"/>
  <c r="N32" i="15" s="1"/>
  <c r="O116" i="1"/>
  <c r="M116" i="15" s="1"/>
  <c r="N116" i="15" s="1" a="1"/>
  <c r="N116" i="15" s="1"/>
  <c r="O56" i="1"/>
  <c r="M56" i="15" s="1"/>
  <c r="N56" i="15" s="1" a="1"/>
  <c r="N56" i="15" s="1"/>
  <c r="O92" i="1"/>
  <c r="M92" i="15" s="1"/>
  <c r="N92" i="15" s="1" a="1"/>
  <c r="N92" i="15" s="1"/>
  <c r="O128" i="1"/>
  <c r="M128" i="15" s="1"/>
  <c r="N128" i="15" s="1" a="1"/>
  <c r="N128" i="15" s="1"/>
  <c r="O44" i="1"/>
  <c r="M44" i="15" s="1"/>
  <c r="N44" i="15" s="1" a="1"/>
  <c r="N44" i="15" s="1"/>
  <c r="M62" i="15"/>
  <c r="N62" i="15" s="1" a="1"/>
  <c r="N62" i="15" s="1"/>
  <c r="O98" i="1"/>
  <c r="M98" i="15" s="1"/>
  <c r="N98" i="15" s="1" a="1"/>
  <c r="N98" i="15" s="1"/>
  <c r="O134" i="1"/>
  <c r="M134" i="15" s="1"/>
  <c r="N134" i="15" s="1" a="1"/>
  <c r="N134" i="15" s="1"/>
  <c r="O8" i="1"/>
  <c r="M8" i="15" s="1"/>
  <c r="N8" i="15" s="1" a="1"/>
  <c r="N8" i="15" s="1"/>
  <c r="O80" i="1"/>
  <c r="M80" i="15" s="1"/>
  <c r="N80" i="15" s="1" a="1"/>
  <c r="N80" i="15" s="1"/>
  <c r="M68" i="15"/>
  <c r="N68" i="15" s="1" a="1"/>
  <c r="N68" i="15" s="1"/>
  <c r="O104" i="1"/>
  <c r="M104" i="15" s="1"/>
  <c r="N104" i="15" s="1" a="1"/>
  <c r="N104" i="15" s="1"/>
  <c r="O140" i="1"/>
  <c r="M140" i="15" s="1"/>
  <c r="N140" i="15" s="1" a="1"/>
  <c r="N140" i="15" s="1"/>
  <c r="O14" i="1"/>
  <c r="M14" i="15" s="1"/>
  <c r="N14" i="15" s="1" a="1"/>
  <c r="N14" i="15" s="1"/>
  <c r="O152" i="1"/>
  <c r="M152" i="15" s="1"/>
  <c r="N152" i="15" s="1" a="1"/>
  <c r="N152" i="15" s="1"/>
  <c r="O38" i="1"/>
  <c r="M38" i="15" s="1"/>
  <c r="N38" i="15" s="1" a="1"/>
  <c r="N38" i="15" s="1"/>
  <c r="O74" i="1"/>
  <c r="M74" i="15" s="1"/>
  <c r="N74" i="15" s="1" a="1"/>
  <c r="N74" i="15" s="1"/>
  <c r="O110" i="1"/>
  <c r="M110" i="15" s="1"/>
  <c r="N110" i="15" s="1" a="1"/>
  <c r="N110" i="15" s="1"/>
  <c r="O146" i="1"/>
  <c r="M146" i="15" s="1"/>
  <c r="N146" i="15" s="1" a="1"/>
  <c r="N146" i="15" s="1"/>
  <c r="O20" i="1"/>
  <c r="M20" i="15" s="1"/>
  <c r="N20" i="15" s="1" a="1"/>
  <c r="N20" i="15" s="1"/>
  <c r="O26" i="1"/>
  <c r="M26" i="15" s="1"/>
  <c r="N26" i="15" s="1" a="1"/>
  <c r="N26" i="15" s="1"/>
  <c r="O87" i="1"/>
  <c r="M87" i="15" s="1"/>
  <c r="N87" i="15" s="1" a="1"/>
  <c r="N87" i="15" s="1"/>
  <c r="O51" i="1"/>
  <c r="M51" i="15" s="1"/>
  <c r="N51" i="15" s="1" a="1"/>
  <c r="N51" i="15" s="1"/>
  <c r="O15" i="1"/>
  <c r="M15" i="15" s="1"/>
  <c r="N15" i="15" s="1" a="1"/>
  <c r="N15" i="15" s="1"/>
  <c r="M70" i="15"/>
  <c r="N70" i="15" s="1" a="1"/>
  <c r="N70" i="15" s="1"/>
  <c r="O25" i="1"/>
  <c r="M25" i="15" s="1"/>
  <c r="N25" i="15" s="1" a="1"/>
  <c r="N25" i="15" s="1"/>
  <c r="O151" i="1"/>
  <c r="M151" i="15" s="1"/>
  <c r="N151" i="15" s="1" a="1"/>
  <c r="N151" i="15" s="1"/>
  <c r="O115" i="1"/>
  <c r="M115" i="15" s="1"/>
  <c r="N115" i="15" s="1" a="1"/>
  <c r="N115" i="15" s="1"/>
  <c r="O73" i="1"/>
  <c r="M73" i="15" s="1"/>
  <c r="N73" i="15" s="1" a="1"/>
  <c r="N73" i="15" s="1"/>
  <c r="O37" i="1"/>
  <c r="M37" i="15" s="1"/>
  <c r="N37" i="15" s="1" a="1"/>
  <c r="N37" i="15" s="1"/>
  <c r="O12" i="1"/>
  <c r="M12" i="15" s="1"/>
  <c r="N12" i="15" s="1" a="1"/>
  <c r="N12" i="15" s="1"/>
  <c r="O138" i="1"/>
  <c r="M138" i="15" s="1"/>
  <c r="N138" i="15" s="1" a="1"/>
  <c r="N138" i="15" s="1"/>
  <c r="O102" i="1"/>
  <c r="M102" i="15" s="1"/>
  <c r="N102" i="15" s="1" a="1"/>
  <c r="N102" i="15" s="1"/>
  <c r="O54" i="1"/>
  <c r="M54" i="15" s="1"/>
  <c r="N54" i="15" s="1" a="1"/>
  <c r="N54" i="15" s="1"/>
  <c r="O23" i="1"/>
  <c r="M23" i="15" s="1"/>
  <c r="N23" i="15" s="1" a="1"/>
  <c r="N23" i="15" s="1"/>
  <c r="O149" i="1"/>
  <c r="M149" i="15" s="1"/>
  <c r="N149" i="15" s="1" a="1"/>
  <c r="N149" i="15" s="1"/>
  <c r="O113" i="1"/>
  <c r="M113" i="15" s="1"/>
  <c r="N113" i="15" s="1" a="1"/>
  <c r="N113" i="15" s="1"/>
  <c r="O77" i="1"/>
  <c r="M77" i="15" s="1"/>
  <c r="N77" i="15" s="1" a="1"/>
  <c r="N77" i="15" s="1"/>
  <c r="O41" i="1"/>
  <c r="M41" i="15" s="1"/>
  <c r="N41" i="15" s="1" a="1"/>
  <c r="N41" i="15" s="1"/>
  <c r="O148" i="1"/>
  <c r="M148" i="15" s="1"/>
  <c r="N148" i="15" s="1" a="1"/>
  <c r="N148" i="15" s="1"/>
  <c r="O112" i="1"/>
  <c r="M112" i="15" s="1"/>
  <c r="N112" i="15" s="1" a="1"/>
  <c r="N112" i="15" s="1"/>
  <c r="O21" i="1"/>
  <c r="M21" i="15" s="1"/>
  <c r="N21" i="15" s="1" a="1"/>
  <c r="N21" i="15" s="1"/>
  <c r="O135" i="1"/>
  <c r="M135" i="15" s="1"/>
  <c r="N135" i="15" s="1" a="1"/>
  <c r="N135" i="15" s="1"/>
  <c r="O75" i="1"/>
  <c r="M75" i="15" s="1"/>
  <c r="N75" i="15" s="1" a="1"/>
  <c r="N75" i="15" s="1"/>
  <c r="O81" i="1"/>
  <c r="M81" i="15" s="1"/>
  <c r="N81" i="15" s="1" a="1"/>
  <c r="N81" i="15" s="1"/>
  <c r="O45" i="1"/>
  <c r="M45" i="15" s="1"/>
  <c r="N45" i="15" s="1" a="1"/>
  <c r="N45" i="15" s="1"/>
  <c r="O9" i="1"/>
  <c r="M9" i="15" s="1"/>
  <c r="N9" i="15" s="1" a="1"/>
  <c r="N9" i="15" s="1"/>
  <c r="O100" i="1"/>
  <c r="M100" i="15" s="1"/>
  <c r="N100" i="15" s="1" a="1"/>
  <c r="N100" i="15" s="1"/>
  <c r="O52" i="1"/>
  <c r="M52" i="15" s="1"/>
  <c r="N52" i="15" s="1" a="1"/>
  <c r="N52" i="15" s="1"/>
  <c r="O19" i="1"/>
  <c r="M19" i="15" s="1"/>
  <c r="N19" i="15" s="1" a="1"/>
  <c r="N19" i="15" s="1"/>
  <c r="O145" i="1"/>
  <c r="M145" i="15" s="1"/>
  <c r="N145" i="15" s="1" a="1"/>
  <c r="N145" i="15" s="1"/>
  <c r="O109" i="1"/>
  <c r="M109" i="15" s="1"/>
  <c r="N109" i="15" s="1" a="1"/>
  <c r="N109" i="15" s="1"/>
  <c r="M67" i="15"/>
  <c r="N67" i="15" s="1" a="1"/>
  <c r="N67" i="15" s="1"/>
  <c r="O6" i="1"/>
  <c r="M6" i="15" s="1"/>
  <c r="N6" i="15" s="1" a="1"/>
  <c r="N6" i="15" s="1"/>
  <c r="O132" i="1"/>
  <c r="M132" i="15" s="1"/>
  <c r="N132" i="15" s="1" a="1"/>
  <c r="N132" i="15" s="1"/>
  <c r="O84" i="1"/>
  <c r="M84" i="15" s="1"/>
  <c r="N84" i="15" s="1" a="1"/>
  <c r="N84" i="15" s="1"/>
  <c r="O48" i="1"/>
  <c r="M48" i="15" s="1"/>
  <c r="N48" i="15" s="1" a="1"/>
  <c r="N48" i="15" s="1"/>
  <c r="O17" i="1"/>
  <c r="M17" i="15" s="1"/>
  <c r="N17" i="15" s="1" a="1"/>
  <c r="N17" i="15" s="1"/>
  <c r="O143" i="1"/>
  <c r="M143" i="15" s="1"/>
  <c r="N143" i="15" s="1" a="1"/>
  <c r="N143" i="15" s="1"/>
  <c r="O107" i="1"/>
  <c r="M107" i="15" s="1"/>
  <c r="N107" i="15" s="1" a="1"/>
  <c r="N107" i="15" s="1"/>
  <c r="M71" i="15"/>
  <c r="N71" i="15" s="1" a="1"/>
  <c r="N71" i="15" s="1"/>
  <c r="O142" i="1"/>
  <c r="M142" i="15" s="1"/>
  <c r="N142" i="15" s="1" a="1"/>
  <c r="N142" i="15" s="1"/>
  <c r="O106" i="1"/>
  <c r="M106" i="15" s="1"/>
  <c r="N106" i="15" s="1" a="1"/>
  <c r="N106" i="15" s="1"/>
  <c r="O3" i="1"/>
  <c r="M3" i="15" s="1"/>
  <c r="N3" i="15" s="1" a="1"/>
  <c r="N3" i="15" s="1"/>
  <c r="O129" i="1"/>
  <c r="M129" i="15" s="1"/>
  <c r="N129" i="15" s="1" a="1"/>
  <c r="N129" i="15" s="1"/>
  <c r="O57" i="1"/>
  <c r="M57" i="15" s="1"/>
  <c r="N57" i="15" s="1" a="1"/>
  <c r="N57" i="15" s="1"/>
  <c r="O28" i="1"/>
  <c r="M28" i="15" s="1"/>
  <c r="N28" i="15" s="1" a="1"/>
  <c r="N28" i="15" s="1"/>
  <c r="O96" i="1"/>
  <c r="M96" i="15" s="1"/>
  <c r="N96" i="15" s="1" a="1"/>
  <c r="N96" i="15" s="1"/>
  <c r="O13" i="1"/>
  <c r="M13" i="15" s="1"/>
  <c r="N13" i="15" s="1" a="1"/>
  <c r="N13" i="15" s="1"/>
  <c r="O139" i="1"/>
  <c r="M139" i="15" s="1"/>
  <c r="N139" i="15" s="1" a="1"/>
  <c r="N139" i="15" s="1"/>
  <c r="O103" i="1"/>
  <c r="M103" i="15" s="1"/>
  <c r="N103" i="15" s="1" a="1"/>
  <c r="N103" i="15" s="1"/>
  <c r="O2" i="1"/>
  <c r="M2" i="15" s="1"/>
  <c r="N2" i="15" s="1" a="1"/>
  <c r="N2" i="15" s="1"/>
  <c r="O162" i="1"/>
  <c r="M162" i="15" s="1"/>
  <c r="N162" i="15" s="1" a="1"/>
  <c r="N162" i="15" s="1"/>
  <c r="O126" i="1"/>
  <c r="M126" i="15" s="1"/>
  <c r="N126" i="15" s="1" a="1"/>
  <c r="N126" i="15" s="1"/>
  <c r="O78" i="1"/>
  <c r="M78" i="15" s="1"/>
  <c r="N78" i="15" s="1" a="1"/>
  <c r="N78" i="15" s="1"/>
  <c r="O42" i="1"/>
  <c r="M42" i="15" s="1"/>
  <c r="N42" i="15" s="1" a="1"/>
  <c r="N42" i="15" s="1"/>
  <c r="O11" i="1"/>
  <c r="M11" i="15" s="1"/>
  <c r="N11" i="15" s="1" a="1"/>
  <c r="N11" i="15" s="1"/>
  <c r="O137" i="1"/>
  <c r="M137" i="15" s="1"/>
  <c r="N137" i="15" s="1" a="1"/>
  <c r="N137" i="15" s="1"/>
  <c r="O101" i="1"/>
  <c r="M101" i="15" s="1"/>
  <c r="N101" i="15" s="1" a="1"/>
  <c r="N101" i="15" s="1"/>
  <c r="M65" i="15"/>
  <c r="N65" i="15" s="1" a="1"/>
  <c r="N65" i="15" s="1"/>
  <c r="O136" i="1"/>
  <c r="M136" i="15" s="1"/>
  <c r="N136" i="15" s="1" a="1"/>
  <c r="N136" i="15" s="1"/>
  <c r="O76" i="1"/>
  <c r="M76" i="15" s="1"/>
  <c r="N76" i="15" s="1" a="1"/>
  <c r="N76" i="15" s="1"/>
  <c r="O159" i="1"/>
  <c r="M159" i="15" s="1"/>
  <c r="N159" i="15" s="1" a="1"/>
  <c r="N159" i="15" s="1"/>
  <c r="O39" i="1"/>
  <c r="M39" i="15" s="1"/>
  <c r="N39" i="15" s="1" a="1"/>
  <c r="N39" i="15" s="1"/>
  <c r="M69" i="15"/>
  <c r="N69" i="15" s="1" a="1"/>
  <c r="N69" i="15" s="1"/>
  <c r="O33" i="1"/>
  <c r="M33" i="15" s="1"/>
  <c r="N33" i="15" s="1" a="1"/>
  <c r="N33" i="15" s="1"/>
  <c r="O46" i="1"/>
  <c r="M46" i="15" s="1"/>
  <c r="N46" i="15" s="1" a="1"/>
  <c r="N46" i="15" s="1"/>
  <c r="O90" i="1"/>
  <c r="M90" i="15" s="1"/>
  <c r="N90" i="15" s="1" a="1"/>
  <c r="N90" i="15" s="1"/>
  <c r="O88" i="1"/>
  <c r="M88" i="15" s="1"/>
  <c r="N88" i="15" s="1" a="1"/>
  <c r="N88" i="15" s="1"/>
  <c r="O7" i="1"/>
  <c r="M7" i="15" s="1"/>
  <c r="N7" i="15" s="1" a="1"/>
  <c r="N7" i="15" s="1"/>
  <c r="O133" i="1"/>
  <c r="M133" i="15" s="1"/>
  <c r="N133" i="15" s="1" a="1"/>
  <c r="N133" i="15" s="1"/>
  <c r="O91" i="1"/>
  <c r="M91" i="15" s="1"/>
  <c r="N91" i="15" s="1" a="1"/>
  <c r="N91" i="15" s="1"/>
  <c r="O55" i="1"/>
  <c r="M55" i="15" s="1"/>
  <c r="N55" i="15" s="1" a="1"/>
  <c r="N55" i="15" s="1"/>
  <c r="O30" i="1"/>
  <c r="M30" i="15" s="1"/>
  <c r="N30" i="15" s="1" a="1"/>
  <c r="N30" i="15" s="1"/>
  <c r="O156" i="1"/>
  <c r="M156" i="15" s="1"/>
  <c r="N156" i="15" s="1" a="1"/>
  <c r="N156" i="15" s="1"/>
  <c r="O120" i="1"/>
  <c r="M120" i="15" s="1"/>
  <c r="N120" i="15" s="1" a="1"/>
  <c r="N120" i="15" s="1"/>
  <c r="O36" i="1"/>
  <c r="M36" i="15" s="1"/>
  <c r="N36" i="15" s="1" a="1"/>
  <c r="N36" i="15" s="1"/>
  <c r="O5" i="1"/>
  <c r="M5" i="15" s="1"/>
  <c r="N5" i="15" s="1" a="1"/>
  <c r="N5" i="15" s="1"/>
  <c r="O131" i="1"/>
  <c r="M131" i="15" s="1"/>
  <c r="N131" i="15" s="1" a="1"/>
  <c r="N131" i="15" s="1"/>
  <c r="O95" i="1"/>
  <c r="M95" i="15" s="1"/>
  <c r="N95" i="15" s="1" a="1"/>
  <c r="N95" i="15" s="1"/>
  <c r="O59" i="1"/>
  <c r="M59" i="15" s="1"/>
  <c r="N59" i="15" s="1" a="1"/>
  <c r="N59" i="15" s="1"/>
  <c r="O4" i="1"/>
  <c r="M4" i="15" s="1"/>
  <c r="N4" i="15" s="1" a="1"/>
  <c r="N4" i="15" s="1"/>
  <c r="O130" i="1"/>
  <c r="M130" i="15" s="1"/>
  <c r="N130" i="15" s="1" a="1"/>
  <c r="N130" i="15" s="1"/>
  <c r="O58" i="1"/>
  <c r="M58" i="15" s="1"/>
  <c r="N58" i="15" s="1" a="1"/>
  <c r="N58" i="15" s="1"/>
  <c r="O153" i="1"/>
  <c r="M153" i="15" s="1"/>
  <c r="N153" i="15" s="1" a="1"/>
  <c r="N153" i="15" s="1"/>
  <c r="O117" i="1"/>
  <c r="M117" i="15" s="1"/>
  <c r="N117" i="15" s="1" a="1"/>
  <c r="N117" i="15" s="1"/>
  <c r="O16" i="1"/>
  <c r="M16" i="15" s="1"/>
  <c r="N16" i="15" s="1" a="1"/>
  <c r="N16" i="15" s="1"/>
  <c r="O99" i="1"/>
  <c r="M99" i="15" s="1"/>
  <c r="N99" i="15" s="1" a="1"/>
  <c r="N99" i="15" s="1"/>
  <c r="O27" i="1"/>
  <c r="M27" i="15" s="1"/>
  <c r="N27" i="15" s="1" a="1"/>
  <c r="N27" i="15" s="1"/>
  <c r="O10" i="1"/>
  <c r="M10" i="15" s="1"/>
  <c r="N10" i="15" s="1" a="1"/>
  <c r="N10" i="15" s="1"/>
  <c r="O127" i="1"/>
  <c r="M127" i="15" s="1"/>
  <c r="N127" i="15" s="1" a="1"/>
  <c r="N127" i="15" s="1"/>
  <c r="O85" i="1"/>
  <c r="M85" i="15" s="1"/>
  <c r="N85" i="15" s="1" a="1"/>
  <c r="N85" i="15" s="1"/>
  <c r="O49" i="1"/>
  <c r="M49" i="15" s="1"/>
  <c r="N49" i="15" s="1" a="1"/>
  <c r="N49" i="15" s="1"/>
  <c r="O24" i="1"/>
  <c r="M24" i="15" s="1"/>
  <c r="N24" i="15" s="1" a="1"/>
  <c r="N24" i="15" s="1"/>
  <c r="O150" i="1"/>
  <c r="M150" i="15" s="1"/>
  <c r="N150" i="15" s="1" a="1"/>
  <c r="N150" i="15" s="1"/>
  <c r="O114" i="1"/>
  <c r="M114" i="15" s="1"/>
  <c r="N114" i="15" s="1" a="1"/>
  <c r="N114" i="15" s="1"/>
  <c r="M66" i="15"/>
  <c r="N66" i="15" s="1" a="1"/>
  <c r="N66" i="15" s="1"/>
  <c r="O35" i="1"/>
  <c r="M35" i="15" s="1"/>
  <c r="N35" i="15" s="1" a="1"/>
  <c r="N35" i="15" s="1"/>
  <c r="O161" i="1"/>
  <c r="M161" i="15" s="1"/>
  <c r="N161" i="15" s="1" a="1"/>
  <c r="N161" i="15" s="1"/>
  <c r="O125" i="1"/>
  <c r="M125" i="15" s="1"/>
  <c r="N125" i="15" s="1" a="1"/>
  <c r="N125" i="15" s="1"/>
  <c r="O89" i="1"/>
  <c r="M89" i="15" s="1"/>
  <c r="N89" i="15" s="1" a="1"/>
  <c r="N89" i="15" s="1"/>
  <c r="O53" i="1"/>
  <c r="M53" i="15" s="1"/>
  <c r="N53" i="15" s="1" a="1"/>
  <c r="N53" i="15" s="1"/>
  <c r="O160" i="1"/>
  <c r="M160" i="15" s="1"/>
  <c r="N160" i="15" s="1" a="1"/>
  <c r="N160" i="15" s="1"/>
  <c r="O124" i="1"/>
  <c r="M124" i="15" s="1"/>
  <c r="N124" i="15" s="1" a="1"/>
  <c r="N124" i="15" s="1"/>
  <c r="O40" i="1"/>
  <c r="M40" i="15" s="1"/>
  <c r="N40" i="15" s="1" a="1"/>
  <c r="N40" i="15" s="1"/>
  <c r="O147" i="1"/>
  <c r="M147" i="15" s="1"/>
  <c r="N147" i="15" s="1" a="1"/>
  <c r="N147" i="15" s="1"/>
  <c r="O111" i="1"/>
  <c r="M111" i="15" s="1"/>
  <c r="N111" i="15" s="1" a="1"/>
  <c r="N111" i="15" s="1"/>
  <c r="O93" i="1"/>
  <c r="M93" i="15" s="1"/>
  <c r="N93" i="15" s="1" a="1"/>
  <c r="N93" i="15" s="1"/>
  <c r="O82" i="1"/>
  <c r="M82" i="15" s="1"/>
  <c r="N82" i="15" s="1" a="1"/>
  <c r="N82" i="15" s="1"/>
  <c r="O97" i="1"/>
  <c r="M97" i="15" s="1"/>
  <c r="N97" i="15" s="1" a="1"/>
  <c r="N97" i="15" s="1"/>
  <c r="O94" i="1"/>
  <c r="M94" i="15" s="1"/>
  <c r="N94" i="15" s="1" a="1"/>
  <c r="N94" i="15" s="1"/>
  <c r="O34" i="1"/>
  <c r="M34" i="15" s="1"/>
  <c r="N34" i="15" s="1" a="1"/>
  <c r="N34" i="15" s="1"/>
  <c r="O31" i="1"/>
  <c r="M31" i="15" s="1"/>
  <c r="N31" i="15" s="1" a="1"/>
  <c r="N31" i="15" s="1"/>
  <c r="O157" i="1"/>
  <c r="M157" i="15" s="1"/>
  <c r="N157" i="15" s="1" a="1"/>
  <c r="N157" i="15" s="1"/>
  <c r="O121" i="1"/>
  <c r="M121" i="15" s="1"/>
  <c r="N121" i="15" s="1" a="1"/>
  <c r="N121" i="15" s="1"/>
  <c r="O79" i="1"/>
  <c r="M79" i="15" s="1"/>
  <c r="N79" i="15" s="1" a="1"/>
  <c r="N79" i="15" s="1"/>
  <c r="O43" i="1"/>
  <c r="M43" i="15" s="1"/>
  <c r="N43" i="15" s="1" a="1"/>
  <c r="N43" i="15" s="1"/>
  <c r="O18" i="1"/>
  <c r="M18" i="15" s="1"/>
  <c r="N18" i="15" s="1" a="1"/>
  <c r="N18" i="15" s="1"/>
  <c r="O144" i="1"/>
  <c r="M144" i="15" s="1"/>
  <c r="N144" i="15" s="1" a="1"/>
  <c r="N144" i="15" s="1"/>
  <c r="O108" i="1"/>
  <c r="M108" i="15" s="1"/>
  <c r="N108" i="15" s="1" a="1"/>
  <c r="N108" i="15" s="1"/>
  <c r="O60" i="1"/>
  <c r="M60" i="15" s="1"/>
  <c r="N60" i="15" s="1" a="1"/>
  <c r="N60" i="15" s="1"/>
  <c r="O29" i="1"/>
  <c r="M29" i="15" s="1"/>
  <c r="N29" i="15" s="1" a="1"/>
  <c r="N29" i="15" s="1"/>
  <c r="O155" i="1"/>
  <c r="M155" i="15" s="1"/>
  <c r="N155" i="15" s="1" a="1"/>
  <c r="N155" i="15" s="1"/>
  <c r="O119" i="1"/>
  <c r="M119" i="15" s="1"/>
  <c r="N119" i="15" s="1" a="1"/>
  <c r="N119" i="15" s="1"/>
  <c r="O83" i="1"/>
  <c r="M83" i="15" s="1"/>
  <c r="N83" i="15" s="1" a="1"/>
  <c r="N83" i="15" s="1"/>
  <c r="O47" i="1"/>
  <c r="M47" i="15" s="1"/>
  <c r="N47" i="15" s="1" a="1"/>
  <c r="N47" i="15" s="1"/>
  <c r="O154" i="1"/>
  <c r="M154" i="15" s="1"/>
  <c r="N154" i="15" s="1" a="1"/>
  <c r="N154" i="15" s="1"/>
  <c r="O118" i="1"/>
  <c r="M118" i="15" s="1"/>
  <c r="N118" i="15" s="1" a="1"/>
  <c r="N118" i="15" s="1"/>
  <c r="O141" i="1"/>
  <c r="M141" i="15" s="1"/>
  <c r="N141" i="15" s="1" a="1"/>
  <c r="N141" i="15" s="1"/>
  <c r="O105" i="1"/>
  <c r="M105" i="15" s="1"/>
  <c r="N105" i="15" s="1" a="1"/>
  <c r="N105" i="15" s="1"/>
  <c r="O22" i="1"/>
  <c r="M22" i="15" s="1"/>
  <c r="N22" i="15" s="1" a="1"/>
  <c r="N22" i="15" s="1"/>
  <c r="D38" i="1" a="1"/>
  <c r="D38" i="1" s="1"/>
  <c r="I38" i="15" s="1"/>
  <c r="D36" i="1" a="1"/>
  <c r="D36" i="1" s="1"/>
  <c r="I36" i="15" s="1"/>
  <c r="D37" i="1" a="1"/>
  <c r="D37" i="1" s="1"/>
  <c r="I37" i="15" s="1"/>
  <c r="K108" i="4"/>
  <c r="K114" i="4"/>
  <c r="K119" i="4"/>
  <c r="K94" i="1" s="1" a="1"/>
  <c r="K94" i="1" s="1"/>
  <c r="K125" i="4"/>
  <c r="K131" i="4"/>
  <c r="K137" i="4"/>
  <c r="K143" i="4"/>
  <c r="K149" i="4"/>
  <c r="K168" i="1" s="1" a="1"/>
  <c r="K168" i="1" s="1"/>
  <c r="L168" i="15" s="1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109" i="4"/>
  <c r="K111" i="4"/>
  <c r="K161" i="1" s="1" a="1"/>
  <c r="K161" i="1" s="1"/>
  <c r="L161" i="15" s="1"/>
  <c r="K104" i="4"/>
  <c r="K115" i="4"/>
  <c r="K117" i="4"/>
  <c r="K120" i="4"/>
  <c r="K167" i="1" s="1" a="1"/>
  <c r="K167" i="1" s="1"/>
  <c r="L167" i="15" s="1"/>
  <c r="K121" i="4"/>
  <c r="K123" i="4"/>
  <c r="K156" i="1" s="1" a="1"/>
  <c r="K156" i="1" s="1"/>
  <c r="L156" i="15" s="1"/>
  <c r="K126" i="4"/>
  <c r="K127" i="4"/>
  <c r="K38" i="1" s="1" a="1"/>
  <c r="K38" i="1" s="1"/>
  <c r="L38" i="15" s="1"/>
  <c r="K129" i="4"/>
  <c r="K37" i="1" s="1" a="1"/>
  <c r="K37" i="1" s="1"/>
  <c r="L37" i="15" s="1"/>
  <c r="K132" i="4"/>
  <c r="K129" i="1" s="1" a="1"/>
  <c r="K129" i="1" s="1"/>
  <c r="L129" i="15" s="1"/>
  <c r="K133" i="4"/>
  <c r="K135" i="4"/>
  <c r="K159" i="1" s="1" a="1"/>
  <c r="K159" i="1" s="1"/>
  <c r="L159" i="15" s="1"/>
  <c r="K138" i="4"/>
  <c r="K85" i="1" s="1" a="1"/>
  <c r="K85" i="1" s="1"/>
  <c r="L85" i="15" s="1"/>
  <c r="K139" i="4"/>
  <c r="K107" i="1" s="1" a="1"/>
  <c r="K107" i="1" s="1"/>
  <c r="L107" i="15" s="1"/>
  <c r="K141" i="4"/>
  <c r="K144" i="4"/>
  <c r="K136" i="1" s="1" a="1"/>
  <c r="K136" i="1" s="1"/>
  <c r="L136" i="15" s="1"/>
  <c r="K145" i="4"/>
  <c r="K143" i="1" s="1" a="1"/>
  <c r="K143" i="1" s="1"/>
  <c r="L143" i="15" s="1"/>
  <c r="K147" i="4"/>
  <c r="K150" i="4"/>
  <c r="K92" i="1" s="1" a="1"/>
  <c r="K92" i="1" s="1"/>
  <c r="L92" i="15" s="1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105" i="4"/>
  <c r="K112" i="4"/>
  <c r="K137" i="1" s="1" a="1"/>
  <c r="K137" i="1" s="1"/>
  <c r="L137" i="15" s="1"/>
  <c r="K113" i="4"/>
  <c r="K116" i="4"/>
  <c r="K97" i="1" s="1" a="1"/>
  <c r="K97" i="1" s="1"/>
  <c r="L97" i="15" s="1"/>
  <c r="K118" i="4"/>
  <c r="K96" i="1" s="1" a="1"/>
  <c r="K96" i="1" s="1"/>
  <c r="L96" i="15" s="1"/>
  <c r="K122" i="4"/>
  <c r="K154" i="1" s="1" a="1"/>
  <c r="K154" i="1" s="1"/>
  <c r="L154" i="15" s="1"/>
  <c r="K124" i="4"/>
  <c r="K82" i="1" s="1" a="1"/>
  <c r="K82" i="1" s="1"/>
  <c r="L82" i="15" s="1"/>
  <c r="K128" i="4"/>
  <c r="K106" i="1" s="1" a="1"/>
  <c r="K106" i="1" s="1"/>
  <c r="L106" i="15" s="1"/>
  <c r="K130" i="4"/>
  <c r="K134" i="4"/>
  <c r="K136" i="4"/>
  <c r="K140" i="4"/>
  <c r="K141" i="1" s="1" a="1"/>
  <c r="K141" i="1" s="1"/>
  <c r="L141" i="15" s="1"/>
  <c r="K142" i="4"/>
  <c r="K120" i="1" s="1" a="1"/>
  <c r="K120" i="1" s="1"/>
  <c r="L120" i="15" s="1"/>
  <c r="K146" i="4"/>
  <c r="K127" i="1" s="1" a="1"/>
  <c r="K127" i="1" s="1"/>
  <c r="K148" i="4"/>
  <c r="K83" i="1" s="1" a="1"/>
  <c r="K83" i="1" s="1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107" i="4"/>
  <c r="K153" i="1" s="1" a="1"/>
  <c r="K153" i="1" s="1"/>
  <c r="K106" i="4"/>
  <c r="K145" i="1" s="1" a="1"/>
  <c r="K145" i="1" s="1"/>
  <c r="K110" i="4"/>
  <c r="B2" i="8"/>
  <c r="I87" i="8"/>
  <c r="K87" i="4" s="1"/>
  <c r="F71" i="1" a="1"/>
  <c r="F71" i="1" s="1"/>
  <c r="R71" i="15" s="1"/>
  <c r="F48" i="1" a="1"/>
  <c r="F48" i="1" s="1"/>
  <c r="R48" i="15" s="1"/>
  <c r="F85" i="1" a="1"/>
  <c r="F85" i="1" s="1"/>
  <c r="R85" i="15" s="1"/>
  <c r="F76" i="1" a="1"/>
  <c r="F76" i="1" s="1"/>
  <c r="R76" i="15" s="1"/>
  <c r="F31" i="1" a="1"/>
  <c r="F31" i="1" s="1"/>
  <c r="R31" i="15" s="1"/>
  <c r="F63" i="1" a="1"/>
  <c r="F63" i="1" s="1"/>
  <c r="R63" i="15" s="1"/>
  <c r="F68" i="1" a="1"/>
  <c r="F68" i="1" s="1"/>
  <c r="R68" i="15" s="1"/>
  <c r="F60" i="1" a="1"/>
  <c r="F60" i="1" s="1"/>
  <c r="R60" i="15" s="1"/>
  <c r="F18" i="1" a="1"/>
  <c r="F18" i="1" s="1"/>
  <c r="R18" i="15" s="1"/>
  <c r="J2" i="1" a="1"/>
  <c r="J2" i="1" s="1"/>
  <c r="F2" i="1" a="1"/>
  <c r="F2" i="1" s="1"/>
  <c r="R2" i="15" s="1"/>
  <c r="F52" i="1" a="1"/>
  <c r="F52" i="1" s="1"/>
  <c r="R52" i="15" s="1"/>
  <c r="F95" i="1" a="1"/>
  <c r="F95" i="1" s="1"/>
  <c r="R95" i="15" s="1"/>
  <c r="F19" i="1" a="1"/>
  <c r="F19" i="1" s="1"/>
  <c r="R19" i="15" s="1"/>
  <c r="F8" i="1" a="1"/>
  <c r="F8" i="1" s="1"/>
  <c r="R8" i="15" s="1"/>
  <c r="H11" i="1" a="1"/>
  <c r="H11" i="1" s="1"/>
  <c r="Q40" i="1" a="1"/>
  <c r="Q40" i="1" s="1"/>
  <c r="S40" i="15" s="1"/>
  <c r="F66" i="1" a="1"/>
  <c r="F66" i="1" s="1"/>
  <c r="R66" i="15" s="1"/>
  <c r="F98" i="1" a="1"/>
  <c r="F98" i="1" s="1"/>
  <c r="R98" i="15" s="1"/>
  <c r="F72" i="1" a="1"/>
  <c r="F72" i="1" s="1"/>
  <c r="R72" i="15" s="1"/>
  <c r="F92" i="1" a="1"/>
  <c r="F92" i="1" s="1"/>
  <c r="R92" i="15" s="1"/>
  <c r="F77" i="1" a="1"/>
  <c r="F77" i="1" s="1"/>
  <c r="R77" i="15" s="1"/>
  <c r="J8" i="1" a="1"/>
  <c r="J8" i="1" s="1"/>
  <c r="F22" i="1" a="1"/>
  <c r="F22" i="1" s="1"/>
  <c r="R22" i="15" s="1"/>
  <c r="F87" i="1" a="1"/>
  <c r="F87" i="1" s="1"/>
  <c r="R87" i="15" s="1"/>
  <c r="F89" i="1" a="1"/>
  <c r="F89" i="1" s="1"/>
  <c r="R89" i="15" s="1"/>
  <c r="F15" i="1" a="1"/>
  <c r="F15" i="1" s="1"/>
  <c r="R15" i="15" s="1"/>
  <c r="F29" i="1" a="1"/>
  <c r="F29" i="1" s="1"/>
  <c r="R29" i="15" s="1"/>
  <c r="D8" i="1" a="1"/>
  <c r="D8" i="1" s="1"/>
  <c r="I8" i="15" s="1"/>
  <c r="F88" i="1" a="1"/>
  <c r="F88" i="1" s="1"/>
  <c r="R88" i="15" s="1"/>
  <c r="F51" i="1" a="1"/>
  <c r="F51" i="1" s="1"/>
  <c r="R51" i="15" s="1"/>
  <c r="F83" i="1" a="1"/>
  <c r="F83" i="1" s="1"/>
  <c r="R83" i="15" s="1"/>
  <c r="P158" i="1" a="1"/>
  <c r="P158" i="1" s="1"/>
  <c r="P162" i="1" a="1"/>
  <c r="P162" i="1" s="1"/>
  <c r="Q144" i="1" a="1"/>
  <c r="Q144" i="1" s="1"/>
  <c r="S144" i="15" s="1"/>
  <c r="Q152" i="1" a="1"/>
  <c r="Q152" i="1" s="1"/>
  <c r="S152" i="15" s="1"/>
  <c r="P109" i="1" a="1"/>
  <c r="P109" i="1" s="1"/>
  <c r="P122" i="1" a="1"/>
  <c r="P122" i="1" s="1"/>
  <c r="P150" i="1" a="1"/>
  <c r="P150" i="1" s="1"/>
  <c r="Q118" i="1" a="1"/>
  <c r="Q118" i="1" s="1"/>
  <c r="S118" i="15" s="1"/>
  <c r="Q122" i="1" a="1"/>
  <c r="Q122" i="1" s="1"/>
  <c r="S122" i="15" s="1"/>
  <c r="M3" i="1" a="1"/>
  <c r="M3" i="1" s="1"/>
  <c r="M6" i="1" a="1"/>
  <c r="M6" i="1" s="1"/>
  <c r="M9" i="1" a="1"/>
  <c r="M9" i="1" s="1"/>
  <c r="M12" i="1" a="1"/>
  <c r="M12" i="1" s="1"/>
  <c r="P118" i="1" a="1"/>
  <c r="P118" i="1" s="1"/>
  <c r="P151" i="1" a="1"/>
  <c r="P151" i="1" s="1"/>
  <c r="Q109" i="1" a="1"/>
  <c r="Q109" i="1" s="1"/>
  <c r="S109" i="15" s="1"/>
  <c r="Q119" i="1" a="1"/>
  <c r="Q119" i="1" s="1"/>
  <c r="S119" i="15" s="1"/>
  <c r="Q149" i="1" a="1"/>
  <c r="Q149" i="1" s="1"/>
  <c r="S149" i="15" s="1"/>
  <c r="Q157" i="1" a="1"/>
  <c r="Q157" i="1" s="1"/>
  <c r="S157" i="15" s="1"/>
  <c r="Q162" i="1" a="1"/>
  <c r="Q162" i="1" s="1"/>
  <c r="S162" i="15" s="1"/>
  <c r="Q158" i="1" a="1"/>
  <c r="Q158" i="1" s="1"/>
  <c r="S158" i="15" s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52" i="1" a="1"/>
  <c r="P152" i="1" s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19" i="1" a="1"/>
  <c r="P119" i="1" s="1"/>
  <c r="P144" i="1" a="1"/>
  <c r="P144" i="1" s="1"/>
  <c r="Q111" i="1" a="1"/>
  <c r="Q111" i="1" s="1"/>
  <c r="S111" i="15" s="1"/>
  <c r="Q150" i="1" a="1"/>
  <c r="Q150" i="1" s="1"/>
  <c r="S150" i="15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57" i="1" a="1"/>
  <c r="P157" i="1" s="1"/>
  <c r="Q151" i="1" a="1"/>
  <c r="Q151" i="1" s="1"/>
  <c r="S151" i="15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Q116" i="1" a="1"/>
  <c r="Q116" i="1" s="1"/>
  <c r="S116" i="15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L10" i="1" a="1"/>
  <c r="L10" i="1" s="1"/>
  <c r="L19" i="1" a="1"/>
  <c r="L19" i="1" s="1"/>
  <c r="L28" i="1" a="1"/>
  <c r="L28" i="1" s="1"/>
  <c r="L37" i="1" a="1"/>
  <c r="L37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16" i="1" a="1"/>
  <c r="L16" i="1" s="1"/>
  <c r="L25" i="1" a="1"/>
  <c r="L25" i="1" s="1"/>
  <c r="L34" i="1" a="1"/>
  <c r="L34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L13" i="1" a="1"/>
  <c r="L13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K118" i="1" a="1"/>
  <c r="K118" i="1" s="1"/>
  <c r="H4" i="1" a="1"/>
  <c r="H4" i="1" s="1"/>
  <c r="H17" i="1" a="1"/>
  <c r="H17" i="1" s="1"/>
  <c r="H23" i="1" a="1"/>
  <c r="H23" i="1" s="1"/>
  <c r="H29" i="1" a="1"/>
  <c r="H29" i="1" s="1"/>
  <c r="H35" i="1" a="1"/>
  <c r="H35" i="1" s="1"/>
  <c r="H41" i="1" a="1"/>
  <c r="H41" i="1" s="1"/>
  <c r="H47" i="1" a="1"/>
  <c r="H47" i="1" s="1"/>
  <c r="H53" i="1" a="1"/>
  <c r="H53" i="1" s="1"/>
  <c r="H59" i="1" a="1"/>
  <c r="H59" i="1" s="1"/>
  <c r="H65" i="1" a="1"/>
  <c r="H65" i="1" s="1"/>
  <c r="H71" i="1" a="1"/>
  <c r="H71" i="1" s="1"/>
  <c r="H77" i="1" a="1"/>
  <c r="H77" i="1" s="1"/>
  <c r="H83" i="1" a="1"/>
  <c r="H83" i="1" s="1"/>
  <c r="H89" i="1" a="1"/>
  <c r="H89" i="1" s="1"/>
  <c r="H95" i="1" a="1"/>
  <c r="H95" i="1" s="1"/>
  <c r="H101" i="1" a="1"/>
  <c r="H101" i="1" s="1"/>
  <c r="M88" i="1" a="1"/>
  <c r="M88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K40" i="1" a="1"/>
  <c r="K40" i="1" s="1"/>
  <c r="L40" i="15" s="1"/>
  <c r="K119" i="1" a="1"/>
  <c r="K119" i="1" s="1"/>
  <c r="K149" i="1" a="1"/>
  <c r="K149" i="1" s="1"/>
  <c r="L149" i="15" s="1"/>
  <c r="H12" i="1" a="1"/>
  <c r="H12" i="1" s="1"/>
  <c r="H18" i="1" a="1"/>
  <c r="H18" i="1" s="1"/>
  <c r="H24" i="1" a="1"/>
  <c r="H24" i="1" s="1"/>
  <c r="H30" i="1" a="1"/>
  <c r="H30" i="1" s="1"/>
  <c r="H36" i="1" a="1"/>
  <c r="H36" i="1" s="1"/>
  <c r="H42" i="1" a="1"/>
  <c r="H42" i="1" s="1"/>
  <c r="H48" i="1" a="1"/>
  <c r="H48" i="1" s="1"/>
  <c r="H54" i="1" a="1"/>
  <c r="H54" i="1" s="1"/>
  <c r="H60" i="1" a="1"/>
  <c r="H60" i="1" s="1"/>
  <c r="H66" i="1" a="1"/>
  <c r="H66" i="1" s="1"/>
  <c r="H72" i="1" a="1"/>
  <c r="H72" i="1" s="1"/>
  <c r="H78" i="1" a="1"/>
  <c r="H78" i="1" s="1"/>
  <c r="H84" i="1" a="1"/>
  <c r="H84" i="1" s="1"/>
  <c r="H90" i="1" a="1"/>
  <c r="H90" i="1" s="1"/>
  <c r="H96" i="1" a="1"/>
  <c r="H96" i="1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K27" i="1" a="1"/>
  <c r="K27" i="1" s="1"/>
  <c r="L27" i="15" s="1"/>
  <c r="K144" i="1" a="1"/>
  <c r="K144" i="1" s="1"/>
  <c r="K150" i="1" a="1"/>
  <c r="K150" i="1" s="1"/>
  <c r="L150" i="15" s="1"/>
  <c r="K162" i="1" a="1"/>
  <c r="K162" i="1" s="1"/>
  <c r="H13" i="1" a="1"/>
  <c r="H13" i="1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K109" i="1" a="1"/>
  <c r="K109" i="1" s="1"/>
  <c r="L109" i="15" s="1"/>
  <c r="K151" i="1" a="1"/>
  <c r="K151" i="1" s="1"/>
  <c r="L151" i="15" s="1"/>
  <c r="K157" i="1" a="1"/>
  <c r="K157" i="1" s="1"/>
  <c r="H14" i="1" a="1"/>
  <c r="H14" i="1" s="1"/>
  <c r="H20" i="1" a="1"/>
  <c r="H20" i="1" s="1"/>
  <c r="H26" i="1" a="1"/>
  <c r="H26" i="1" s="1"/>
  <c r="H32" i="1" a="1"/>
  <c r="H32" i="1" s="1"/>
  <c r="H38" i="1" a="1"/>
  <c r="H38" i="1" s="1"/>
  <c r="H44" i="1" a="1"/>
  <c r="H44" i="1" s="1"/>
  <c r="H50" i="1" a="1"/>
  <c r="H50" i="1" s="1"/>
  <c r="H56" i="1" a="1"/>
  <c r="H56" i="1" s="1"/>
  <c r="H62" i="1" a="1"/>
  <c r="H62" i="1" s="1"/>
  <c r="H68" i="1" a="1"/>
  <c r="H68" i="1" s="1"/>
  <c r="H74" i="1" a="1"/>
  <c r="H74" i="1" s="1"/>
  <c r="H80" i="1" a="1"/>
  <c r="H80" i="1" s="1"/>
  <c r="M105" i="1" a="1"/>
  <c r="M105" i="1" s="1"/>
  <c r="M132" i="1" a="1"/>
  <c r="M132" i="1" s="1"/>
  <c r="M159" i="1" a="1"/>
  <c r="M159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K116" i="1" a="1"/>
  <c r="K116" i="1" s="1"/>
  <c r="L116" i="15" s="1"/>
  <c r="K122" i="1" a="1"/>
  <c r="K122" i="1" s="1"/>
  <c r="L122" i="15" s="1"/>
  <c r="K152" i="1" a="1"/>
  <c r="K152" i="1" s="1"/>
  <c r="L152" i="15" s="1"/>
  <c r="K158" i="1" a="1"/>
  <c r="K158" i="1" s="1"/>
  <c r="L158" i="15" s="1"/>
  <c r="H15" i="1" a="1"/>
  <c r="H15" i="1" s="1"/>
  <c r="H21" i="1" a="1"/>
  <c r="H21" i="1" s="1"/>
  <c r="H27" i="1" a="1"/>
  <c r="H27" i="1" s="1"/>
  <c r="H33" i="1" a="1"/>
  <c r="H33" i="1" s="1"/>
  <c r="H39" i="1" a="1"/>
  <c r="H39" i="1" s="1"/>
  <c r="H45" i="1" a="1"/>
  <c r="H45" i="1" s="1"/>
  <c r="H51" i="1" a="1"/>
  <c r="H51" i="1" s="1"/>
  <c r="H57" i="1" a="1"/>
  <c r="H57" i="1" s="1"/>
  <c r="H63" i="1" a="1"/>
  <c r="H63" i="1" s="1"/>
  <c r="H69" i="1" a="1"/>
  <c r="H69" i="1" s="1"/>
  <c r="H75" i="1" a="1"/>
  <c r="H75" i="1" s="1"/>
  <c r="H81" i="1" a="1"/>
  <c r="H81" i="1" s="1"/>
  <c r="H87" i="1" a="1"/>
  <c r="H87" i="1" s="1"/>
  <c r="H93" i="1" a="1"/>
  <c r="H93" i="1" s="1"/>
  <c r="H99" i="1" a="1"/>
  <c r="H99" i="1" s="1"/>
  <c r="H105" i="1" a="1"/>
  <c r="H105" i="1" s="1"/>
  <c r="H111" i="1" a="1"/>
  <c r="H111" i="1" s="1"/>
  <c r="H117" i="1" a="1"/>
  <c r="H117" i="1" s="1"/>
  <c r="H123" i="1" a="1"/>
  <c r="H123" i="1" s="1"/>
  <c r="H129" i="1" a="1"/>
  <c r="H129" i="1" s="1"/>
  <c r="H135" i="1" a="1"/>
  <c r="H135" i="1" s="1"/>
  <c r="H141" i="1" a="1"/>
  <c r="H141" i="1" s="1"/>
  <c r="H147" i="1" a="1"/>
  <c r="H147" i="1" s="1"/>
  <c r="H153" i="1" a="1"/>
  <c r="H153" i="1" s="1"/>
  <c r="H159" i="1" a="1"/>
  <c r="H159" i="1" s="1"/>
  <c r="M57" i="1" a="1"/>
  <c r="M57" i="1" s="1"/>
  <c r="L108" i="1" a="1"/>
  <c r="L108" i="1" s="1"/>
  <c r="L135" i="1" a="1"/>
  <c r="L135" i="1" s="1"/>
  <c r="L162" i="1" a="1"/>
  <c r="L162" i="1" s="1"/>
  <c r="H16" i="1" a="1"/>
  <c r="H16" i="1" s="1"/>
  <c r="H34" i="1" a="1"/>
  <c r="H34" i="1" s="1"/>
  <c r="H52" i="1" a="1"/>
  <c r="H52" i="1" s="1"/>
  <c r="H70" i="1" a="1"/>
  <c r="H70" i="1" s="1"/>
  <c r="H86" i="1" a="1"/>
  <c r="H86" i="1" s="1"/>
  <c r="H98" i="1" a="1"/>
  <c r="H98" i="1" s="1"/>
  <c r="H107" i="1" a="1"/>
  <c r="H107" i="1" s="1"/>
  <c r="H114" i="1" a="1"/>
  <c r="H114" i="1" s="1"/>
  <c r="H121" i="1" a="1"/>
  <c r="H121" i="1" s="1"/>
  <c r="H128" i="1" a="1"/>
  <c r="H128" i="1" s="1"/>
  <c r="H136" i="1" a="1"/>
  <c r="H136" i="1" s="1"/>
  <c r="H143" i="1" a="1"/>
  <c r="H143" i="1" s="1"/>
  <c r="H150" i="1" a="1"/>
  <c r="H150" i="1" s="1"/>
  <c r="H157" i="1" a="1"/>
  <c r="H157" i="1" s="1"/>
  <c r="G8" i="1" a="1"/>
  <c r="G8" i="1" s="1"/>
  <c r="G14" i="1" a="1"/>
  <c r="G14" i="1" s="1"/>
  <c r="J14" i="15" s="1"/>
  <c r="G20" i="1" a="1"/>
  <c r="G20" i="1" s="1"/>
  <c r="J20" i="15" s="1"/>
  <c r="G26" i="1" a="1"/>
  <c r="G26" i="1" s="1"/>
  <c r="J26" i="15" s="1"/>
  <c r="G32" i="1" a="1"/>
  <c r="G32" i="1" s="1"/>
  <c r="J32" i="15" s="1"/>
  <c r="G38" i="1" a="1"/>
  <c r="G38" i="1" s="1"/>
  <c r="J38" i="15" s="1"/>
  <c r="G44" i="1" a="1"/>
  <c r="G44" i="1" s="1"/>
  <c r="J44" i="15" s="1"/>
  <c r="G50" i="1" a="1"/>
  <c r="G50" i="1" s="1"/>
  <c r="J50" i="15" s="1"/>
  <c r="G56" i="1" a="1"/>
  <c r="G56" i="1" s="1"/>
  <c r="J56" i="15" s="1"/>
  <c r="G62" i="1" a="1"/>
  <c r="G62" i="1" s="1"/>
  <c r="J62" i="15" s="1"/>
  <c r="G68" i="1" a="1"/>
  <c r="G68" i="1" s="1"/>
  <c r="J68" i="15" s="1"/>
  <c r="G74" i="1" a="1"/>
  <c r="G74" i="1" s="1"/>
  <c r="J74" i="15" s="1"/>
  <c r="G80" i="1" a="1"/>
  <c r="G80" i="1" s="1"/>
  <c r="J80" i="15" s="1"/>
  <c r="G86" i="1" a="1"/>
  <c r="G86" i="1" s="1"/>
  <c r="J86" i="15" s="1"/>
  <c r="G92" i="1" a="1"/>
  <c r="G92" i="1" s="1"/>
  <c r="G98" i="1" a="1"/>
  <c r="G98" i="1" s="1"/>
  <c r="J98" i="15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J128" i="15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F47" i="1" a="1"/>
  <c r="F47" i="1" s="1"/>
  <c r="R47" i="15" s="1"/>
  <c r="F56" i="1" a="1"/>
  <c r="F56" i="1" s="1"/>
  <c r="R56" i="15" s="1"/>
  <c r="F84" i="1" a="1"/>
  <c r="F84" i="1" s="1"/>
  <c r="R84" i="15" s="1"/>
  <c r="F108" i="1" a="1"/>
  <c r="F108" i="1" s="1"/>
  <c r="R108" i="15" s="1"/>
  <c r="F113" i="1" a="1"/>
  <c r="F113" i="1" s="1"/>
  <c r="R113" i="15" s="1"/>
  <c r="F117" i="1" a="1"/>
  <c r="F117" i="1" s="1"/>
  <c r="R117" i="15" s="1"/>
  <c r="F123" i="1" a="1"/>
  <c r="F123" i="1" s="1"/>
  <c r="R123" i="15" s="1"/>
  <c r="F127" i="1" a="1"/>
  <c r="F127" i="1" s="1"/>
  <c r="R127" i="15" s="1"/>
  <c r="F132" i="1" a="1"/>
  <c r="F132" i="1" s="1"/>
  <c r="R132" i="15" s="1"/>
  <c r="F146" i="1" a="1"/>
  <c r="F146" i="1" s="1"/>
  <c r="R146" i="15" s="1"/>
  <c r="F150" i="1" a="1"/>
  <c r="F150" i="1" s="1"/>
  <c r="R150" i="15" s="1"/>
  <c r="D12" i="1" a="1"/>
  <c r="D12" i="1" s="1"/>
  <c r="I12" i="15" s="1"/>
  <c r="D15" i="1" a="1"/>
  <c r="D15" i="1" s="1"/>
  <c r="I15" i="15" s="1"/>
  <c r="D18" i="1" a="1"/>
  <c r="D18" i="1" s="1"/>
  <c r="I18" i="15" s="1"/>
  <c r="D21" i="1" a="1"/>
  <c r="D21" i="1" s="1"/>
  <c r="I21" i="15" s="1"/>
  <c r="D24" i="1" a="1"/>
  <c r="D24" i="1" s="1"/>
  <c r="I24" i="15" s="1"/>
  <c r="D27" i="1" a="1"/>
  <c r="D27" i="1" s="1"/>
  <c r="I27" i="15" s="1"/>
  <c r="D30" i="1" a="1"/>
  <c r="D30" i="1" s="1"/>
  <c r="I30" i="15" s="1"/>
  <c r="D33" i="1" a="1"/>
  <c r="D33" i="1" s="1"/>
  <c r="I33" i="15" s="1"/>
  <c r="D39" i="1" a="1"/>
  <c r="D39" i="1" s="1"/>
  <c r="I39" i="15" s="1"/>
  <c r="D42" i="1" a="1"/>
  <c r="D42" i="1" s="1"/>
  <c r="I42" i="15" s="1"/>
  <c r="D45" i="1" a="1"/>
  <c r="D45" i="1" s="1"/>
  <c r="I45" i="15" s="1"/>
  <c r="L47" i="1" a="1"/>
  <c r="L47" i="1" s="1"/>
  <c r="L112" i="1" a="1"/>
  <c r="L112" i="1" s="1"/>
  <c r="L139" i="1" a="1"/>
  <c r="L139" i="1" s="1"/>
  <c r="K111" i="1" a="1"/>
  <c r="K111" i="1" s="1"/>
  <c r="L111" i="15" s="1"/>
  <c r="H19" i="1" a="1"/>
  <c r="H19" i="1" s="1"/>
  <c r="H37" i="1" a="1"/>
  <c r="H37" i="1" s="1"/>
  <c r="H55" i="1" a="1"/>
  <c r="H55" i="1" s="1"/>
  <c r="H73" i="1" a="1"/>
  <c r="H73" i="1" s="1"/>
  <c r="H88" i="1" a="1"/>
  <c r="H88" i="1" s="1"/>
  <c r="H100" i="1" a="1"/>
  <c r="H100" i="1" s="1"/>
  <c r="H108" i="1" a="1"/>
  <c r="H108" i="1" s="1"/>
  <c r="H115" i="1" a="1"/>
  <c r="H115" i="1" s="1"/>
  <c r="H122" i="1" a="1"/>
  <c r="H122" i="1" s="1"/>
  <c r="H130" i="1" a="1"/>
  <c r="H130" i="1" s="1"/>
  <c r="H137" i="1" a="1"/>
  <c r="H137" i="1" s="1"/>
  <c r="H144" i="1" a="1"/>
  <c r="H144" i="1" s="1"/>
  <c r="H151" i="1" a="1"/>
  <c r="H151" i="1" s="1"/>
  <c r="H158" i="1" a="1"/>
  <c r="H158" i="1" s="1"/>
  <c r="G3" i="1" a="1"/>
  <c r="G3" i="1" s="1"/>
  <c r="G9" i="1" a="1"/>
  <c r="G9" i="1" s="1"/>
  <c r="G15" i="1" a="1"/>
  <c r="G15" i="1" s="1"/>
  <c r="J15" i="15" s="1"/>
  <c r="G21" i="1" a="1"/>
  <c r="G21" i="1" s="1"/>
  <c r="J21" i="15" s="1"/>
  <c r="G27" i="1" a="1"/>
  <c r="G27" i="1" s="1"/>
  <c r="J27" i="15" s="1"/>
  <c r="G33" i="1" a="1"/>
  <c r="G33" i="1" s="1"/>
  <c r="J33" i="15" s="1"/>
  <c r="G39" i="1" a="1"/>
  <c r="G39" i="1" s="1"/>
  <c r="J39" i="15" s="1"/>
  <c r="G45" i="1" a="1"/>
  <c r="G45" i="1" s="1"/>
  <c r="J45" i="15" s="1"/>
  <c r="G51" i="1" a="1"/>
  <c r="G51" i="1" s="1"/>
  <c r="J51" i="15" s="1"/>
  <c r="G57" i="1" a="1"/>
  <c r="G57" i="1" s="1"/>
  <c r="J57" i="15" s="1"/>
  <c r="G63" i="1" a="1"/>
  <c r="G63" i="1" s="1"/>
  <c r="J63" i="15" s="1"/>
  <c r="G69" i="1" a="1"/>
  <c r="G69" i="1" s="1"/>
  <c r="J69" i="15" s="1"/>
  <c r="G75" i="1" a="1"/>
  <c r="G75" i="1" s="1"/>
  <c r="J75" i="15" s="1"/>
  <c r="G81" i="1" a="1"/>
  <c r="G81" i="1" s="1"/>
  <c r="J81" i="15" s="1"/>
  <c r="G87" i="1" a="1"/>
  <c r="G87" i="1" s="1"/>
  <c r="J87" i="15" s="1"/>
  <c r="G93" i="1" a="1"/>
  <c r="G93" i="1" s="1"/>
  <c r="J93" i="15" s="1"/>
  <c r="G99" i="1" a="1"/>
  <c r="G99" i="1" s="1"/>
  <c r="J99" i="15" s="1"/>
  <c r="G105" i="1" a="1"/>
  <c r="G105" i="1" s="1"/>
  <c r="J105" i="15" s="1"/>
  <c r="G111" i="1" a="1"/>
  <c r="G111" i="1" s="1"/>
  <c r="J111" i="15" s="1"/>
  <c r="G117" i="1" a="1"/>
  <c r="G117" i="1" s="1"/>
  <c r="J117" i="15" s="1"/>
  <c r="G123" i="1" a="1"/>
  <c r="G123" i="1" s="1"/>
  <c r="J123" i="15" s="1"/>
  <c r="G129" i="1" a="1"/>
  <c r="G129" i="1" s="1"/>
  <c r="J129" i="15" s="1"/>
  <c r="G135" i="1" a="1"/>
  <c r="G135" i="1" s="1"/>
  <c r="J135" i="15" s="1"/>
  <c r="G141" i="1" a="1"/>
  <c r="G141" i="1" s="1"/>
  <c r="J141" i="15" s="1"/>
  <c r="G147" i="1" a="1"/>
  <c r="G147" i="1" s="1"/>
  <c r="J147" i="15" s="1"/>
  <c r="G153" i="1" a="1"/>
  <c r="G153" i="1" s="1"/>
  <c r="J153" i="15" s="1"/>
  <c r="G159" i="1" a="1"/>
  <c r="G159" i="1" s="1"/>
  <c r="J159" i="15" s="1"/>
  <c r="G2" i="1" a="1"/>
  <c r="G2" i="1" s="1"/>
  <c r="F3" i="1" a="1"/>
  <c r="F3" i="1" s="1"/>
  <c r="R3" i="15" s="1"/>
  <c r="F49" i="1" a="1"/>
  <c r="F49" i="1" s="1"/>
  <c r="R49" i="15" s="1"/>
  <c r="F64" i="1" a="1"/>
  <c r="F64" i="1" s="1"/>
  <c r="R64" i="15" s="1"/>
  <c r="F94" i="1" a="1"/>
  <c r="F94" i="1" s="1"/>
  <c r="R94" i="15" s="1"/>
  <c r="F109" i="1" a="1"/>
  <c r="F109" i="1" s="1"/>
  <c r="R109" i="15" s="1"/>
  <c r="F114" i="1" a="1"/>
  <c r="F114" i="1" s="1"/>
  <c r="R114" i="15" s="1"/>
  <c r="F118" i="1" a="1"/>
  <c r="F118" i="1" s="1"/>
  <c r="R118" i="15" s="1"/>
  <c r="F128" i="1" a="1"/>
  <c r="F128" i="1" s="1"/>
  <c r="R128" i="15" s="1"/>
  <c r="F133" i="1" a="1"/>
  <c r="F133" i="1" s="1"/>
  <c r="R133" i="15" s="1"/>
  <c r="F137" i="1" a="1"/>
  <c r="F137" i="1" s="1"/>
  <c r="R137" i="15" s="1"/>
  <c r="F142" i="1" a="1"/>
  <c r="F142" i="1" s="1"/>
  <c r="R142" i="15" s="1"/>
  <c r="F147" i="1" a="1"/>
  <c r="F147" i="1" s="1"/>
  <c r="R147" i="15" s="1"/>
  <c r="F151" i="1" a="1"/>
  <c r="F151" i="1" s="1"/>
  <c r="R151" i="15" s="1"/>
  <c r="F155" i="1" a="1"/>
  <c r="F155" i="1" s="1"/>
  <c r="R155" i="15" s="1"/>
  <c r="F160" i="1" a="1"/>
  <c r="F160" i="1" s="1"/>
  <c r="R160" i="15" s="1"/>
  <c r="L90" i="1" a="1"/>
  <c r="L90" i="1" s="1"/>
  <c r="L117" i="1" a="1"/>
  <c r="L117" i="1" s="1"/>
  <c r="L144" i="1" a="1"/>
  <c r="L144" i="1" s="1"/>
  <c r="L2" i="1" a="1"/>
  <c r="L2" i="1" s="1"/>
  <c r="H22" i="1" a="1"/>
  <c r="H22" i="1" s="1"/>
  <c r="H40" i="1" a="1"/>
  <c r="H40" i="1" s="1"/>
  <c r="H58" i="1" a="1"/>
  <c r="H58" i="1" s="1"/>
  <c r="H76" i="1" a="1"/>
  <c r="H76" i="1" s="1"/>
  <c r="H91" i="1" a="1"/>
  <c r="H91" i="1" s="1"/>
  <c r="H102" i="1" a="1"/>
  <c r="H102" i="1" s="1"/>
  <c r="H109" i="1" a="1"/>
  <c r="H109" i="1" s="1"/>
  <c r="H116" i="1" a="1"/>
  <c r="H116" i="1" s="1"/>
  <c r="H124" i="1" a="1"/>
  <c r="H124" i="1" s="1"/>
  <c r="H131" i="1" a="1"/>
  <c r="H131" i="1" s="1"/>
  <c r="H138" i="1" a="1"/>
  <c r="H138" i="1" s="1"/>
  <c r="H145" i="1" a="1"/>
  <c r="H145" i="1" s="1"/>
  <c r="H152" i="1" a="1"/>
  <c r="H152" i="1" s="1"/>
  <c r="H160" i="1" a="1"/>
  <c r="H160" i="1" s="1"/>
  <c r="L94" i="1" a="1"/>
  <c r="L94" i="1" s="1"/>
  <c r="L121" i="1" a="1"/>
  <c r="L121" i="1" s="1"/>
  <c r="L148" i="1" a="1"/>
  <c r="L148" i="1" s="1"/>
  <c r="H25" i="1" a="1"/>
  <c r="H25" i="1" s="1"/>
  <c r="H43" i="1" a="1"/>
  <c r="H43" i="1" s="1"/>
  <c r="H61" i="1" a="1"/>
  <c r="H61" i="1" s="1"/>
  <c r="H79" i="1" a="1"/>
  <c r="H79" i="1" s="1"/>
  <c r="H92" i="1" a="1"/>
  <c r="H92" i="1" s="1"/>
  <c r="H103" i="1" a="1"/>
  <c r="H103" i="1" s="1"/>
  <c r="H110" i="1" a="1"/>
  <c r="H110" i="1" s="1"/>
  <c r="H118" i="1" a="1"/>
  <c r="H118" i="1" s="1"/>
  <c r="H125" i="1" a="1"/>
  <c r="H125" i="1" s="1"/>
  <c r="H132" i="1" a="1"/>
  <c r="H132" i="1" s="1"/>
  <c r="H139" i="1" a="1"/>
  <c r="H139" i="1" s="1"/>
  <c r="H146" i="1" a="1"/>
  <c r="H146" i="1" s="1"/>
  <c r="H154" i="1" a="1"/>
  <c r="H154" i="1" s="1"/>
  <c r="H161" i="1" a="1"/>
  <c r="H161" i="1" s="1"/>
  <c r="G5" i="1" a="1"/>
  <c r="G5" i="1" s="1"/>
  <c r="G11" i="1" a="1"/>
  <c r="G11" i="1" s="1"/>
  <c r="J11" i="15" s="1"/>
  <c r="G17" i="1" a="1"/>
  <c r="G17" i="1" s="1"/>
  <c r="J17" i="15" s="1"/>
  <c r="G23" i="1" a="1"/>
  <c r="G23" i="1" s="1"/>
  <c r="J23" i="15" s="1"/>
  <c r="G29" i="1" a="1"/>
  <c r="G29" i="1" s="1"/>
  <c r="J29" i="15" s="1"/>
  <c r="G35" i="1" a="1"/>
  <c r="G35" i="1" s="1"/>
  <c r="J35" i="15" s="1"/>
  <c r="G41" i="1" a="1"/>
  <c r="G41" i="1" s="1"/>
  <c r="J41" i="15" s="1"/>
  <c r="G47" i="1" a="1"/>
  <c r="G47" i="1" s="1"/>
  <c r="J47" i="15" s="1"/>
  <c r="G53" i="1" a="1"/>
  <c r="G53" i="1" s="1"/>
  <c r="J53" i="15" s="1"/>
  <c r="G59" i="1" a="1"/>
  <c r="G59" i="1" s="1"/>
  <c r="J59" i="15" s="1"/>
  <c r="G65" i="1" a="1"/>
  <c r="G65" i="1" s="1"/>
  <c r="J65" i="15" s="1"/>
  <c r="G71" i="1" a="1"/>
  <c r="G71" i="1" s="1"/>
  <c r="J71" i="15" s="1"/>
  <c r="G77" i="1" a="1"/>
  <c r="G77" i="1" s="1"/>
  <c r="J77" i="15" s="1"/>
  <c r="G83" i="1" a="1"/>
  <c r="G83" i="1" s="1"/>
  <c r="J83" i="15" s="1"/>
  <c r="G89" i="1" a="1"/>
  <c r="G89" i="1" s="1"/>
  <c r="J89" i="15" s="1"/>
  <c r="G95" i="1" a="1"/>
  <c r="G95" i="1" s="1"/>
  <c r="J95" i="15" s="1"/>
  <c r="G101" i="1" a="1"/>
  <c r="G101" i="1" s="1"/>
  <c r="J101" i="15" s="1"/>
  <c r="G107" i="1" a="1"/>
  <c r="G107" i="1" s="1"/>
  <c r="J107" i="15" s="1"/>
  <c r="G113" i="1" a="1"/>
  <c r="G113" i="1" s="1"/>
  <c r="G119" i="1" a="1"/>
  <c r="G119" i="1" s="1"/>
  <c r="G125" i="1" a="1"/>
  <c r="G125" i="1" s="1"/>
  <c r="J125" i="15" s="1"/>
  <c r="G131" i="1" a="1"/>
  <c r="G131" i="1" s="1"/>
  <c r="J131" i="15" s="1"/>
  <c r="G137" i="1" a="1"/>
  <c r="G137" i="1" s="1"/>
  <c r="J137" i="15" s="1"/>
  <c r="G143" i="1" a="1"/>
  <c r="G143" i="1" s="1"/>
  <c r="J143" i="15" s="1"/>
  <c r="G149" i="1" a="1"/>
  <c r="G149" i="1" s="1"/>
  <c r="G155" i="1" a="1"/>
  <c r="G155" i="1" s="1"/>
  <c r="G161" i="1" a="1"/>
  <c r="G161" i="1" s="1"/>
  <c r="J161" i="15" s="1"/>
  <c r="F12" i="1" a="1"/>
  <c r="F12" i="1" s="1"/>
  <c r="R12" i="15" s="1"/>
  <c r="F54" i="1" a="1"/>
  <c r="F54" i="1" s="1"/>
  <c r="R54" i="15" s="1"/>
  <c r="F75" i="1" a="1"/>
  <c r="F75" i="1" s="1"/>
  <c r="R75" i="15" s="1"/>
  <c r="F106" i="1" a="1"/>
  <c r="F106" i="1" s="1"/>
  <c r="R106" i="15" s="1"/>
  <c r="F110" i="1" a="1"/>
  <c r="F110" i="1" s="1"/>
  <c r="R110" i="15" s="1"/>
  <c r="F115" i="1" a="1"/>
  <c r="F115" i="1" s="1"/>
  <c r="R115" i="15" s="1"/>
  <c r="F120" i="1" a="1"/>
  <c r="F120" i="1" s="1"/>
  <c r="R120" i="15" s="1"/>
  <c r="F130" i="1" a="1"/>
  <c r="F130" i="1" s="1"/>
  <c r="R130" i="15" s="1"/>
  <c r="F135" i="1" a="1"/>
  <c r="F135" i="1" s="1"/>
  <c r="R135" i="15" s="1"/>
  <c r="F139" i="1" a="1"/>
  <c r="F139" i="1" s="1"/>
  <c r="R139" i="15" s="1"/>
  <c r="F143" i="1" a="1"/>
  <c r="F143" i="1" s="1"/>
  <c r="R143" i="15" s="1"/>
  <c r="F148" i="1" a="1"/>
  <c r="F148" i="1" s="1"/>
  <c r="R148" i="15" s="1"/>
  <c r="F153" i="1" a="1"/>
  <c r="F153" i="1" s="1"/>
  <c r="R153" i="15" s="1"/>
  <c r="F157" i="1" a="1"/>
  <c r="F157" i="1" s="1"/>
  <c r="R157" i="15" s="1"/>
  <c r="F161" i="1" a="1"/>
  <c r="F161" i="1" s="1"/>
  <c r="R161" i="15" s="1"/>
  <c r="C6" i="1" a="1"/>
  <c r="C6" i="1" s="1"/>
  <c r="E6" i="15" s="1"/>
  <c r="L99" i="1" a="1"/>
  <c r="L99" i="1" s="1"/>
  <c r="L126" i="1" a="1"/>
  <c r="L126" i="1" s="1"/>
  <c r="L153" i="1" a="1"/>
  <c r="L153" i="1" s="1"/>
  <c r="H28" i="1" a="1"/>
  <c r="H28" i="1" s="1"/>
  <c r="H46" i="1" a="1"/>
  <c r="H46" i="1" s="1"/>
  <c r="H64" i="1" a="1"/>
  <c r="H64" i="1" s="1"/>
  <c r="H82" i="1" a="1"/>
  <c r="H82" i="1" s="1"/>
  <c r="H94" i="1" a="1"/>
  <c r="H94" i="1" s="1"/>
  <c r="H104" i="1" a="1"/>
  <c r="H104" i="1" s="1"/>
  <c r="H112" i="1" a="1"/>
  <c r="H112" i="1" s="1"/>
  <c r="H119" i="1" a="1"/>
  <c r="H119" i="1" s="1"/>
  <c r="H126" i="1" a="1"/>
  <c r="H126" i="1" s="1"/>
  <c r="H133" i="1" a="1"/>
  <c r="H133" i="1" s="1"/>
  <c r="H140" i="1" a="1"/>
  <c r="H140" i="1" s="1"/>
  <c r="H148" i="1" a="1"/>
  <c r="H148" i="1" s="1"/>
  <c r="H155" i="1" a="1"/>
  <c r="H155" i="1" s="1"/>
  <c r="H162" i="1" a="1"/>
  <c r="H162" i="1" s="1"/>
  <c r="G6" i="1" a="1"/>
  <c r="G6" i="1" s="1"/>
  <c r="G12" i="1" a="1"/>
  <c r="G12" i="1" s="1"/>
  <c r="J12" i="15" s="1"/>
  <c r="G18" i="1" a="1"/>
  <c r="G18" i="1" s="1"/>
  <c r="J18" i="15" s="1"/>
  <c r="G24" i="1" a="1"/>
  <c r="G24" i="1" s="1"/>
  <c r="J24" i="15" s="1"/>
  <c r="G30" i="1" a="1"/>
  <c r="G30" i="1" s="1"/>
  <c r="J30" i="15" s="1"/>
  <c r="G36" i="1" a="1"/>
  <c r="G36" i="1" s="1"/>
  <c r="J36" i="15" s="1"/>
  <c r="G42" i="1" a="1"/>
  <c r="G42" i="1" s="1"/>
  <c r="J42" i="15" s="1"/>
  <c r="G48" i="1" a="1"/>
  <c r="G48" i="1" s="1"/>
  <c r="J48" i="15" s="1"/>
  <c r="G54" i="1" a="1"/>
  <c r="G54" i="1" s="1"/>
  <c r="J54" i="15" s="1"/>
  <c r="G60" i="1" a="1"/>
  <c r="G60" i="1" s="1"/>
  <c r="J60" i="15" s="1"/>
  <c r="G66" i="1" a="1"/>
  <c r="G66" i="1" s="1"/>
  <c r="J66" i="15" s="1"/>
  <c r="G72" i="1" a="1"/>
  <c r="G72" i="1" s="1"/>
  <c r="J72" i="15" s="1"/>
  <c r="G78" i="1" a="1"/>
  <c r="G78" i="1" s="1"/>
  <c r="J78" i="15" s="1"/>
  <c r="G84" i="1" a="1"/>
  <c r="G84" i="1" s="1"/>
  <c r="J84" i="15" s="1"/>
  <c r="G90" i="1" a="1"/>
  <c r="G90" i="1" s="1"/>
  <c r="J90" i="15" s="1"/>
  <c r="G96" i="1" a="1"/>
  <c r="G96" i="1" s="1"/>
  <c r="J96" i="15" s="1"/>
  <c r="G102" i="1" a="1"/>
  <c r="G102" i="1" s="1"/>
  <c r="J102" i="15" s="1"/>
  <c r="G108" i="1" a="1"/>
  <c r="G108" i="1" s="1"/>
  <c r="J108" i="15" s="1"/>
  <c r="G114" i="1" a="1"/>
  <c r="G114" i="1" s="1"/>
  <c r="J114" i="15" s="1"/>
  <c r="G120" i="1" a="1"/>
  <c r="G120" i="1" s="1"/>
  <c r="G126" i="1" a="1"/>
  <c r="G126" i="1" s="1"/>
  <c r="J126" i="15" s="1"/>
  <c r="G132" i="1" a="1"/>
  <c r="G132" i="1" s="1"/>
  <c r="J132" i="15" s="1"/>
  <c r="G138" i="1" a="1"/>
  <c r="G138" i="1" s="1"/>
  <c r="J138" i="15" s="1"/>
  <c r="G144" i="1" a="1"/>
  <c r="G144" i="1" s="1"/>
  <c r="J144" i="15" s="1"/>
  <c r="G150" i="1" a="1"/>
  <c r="G150" i="1" s="1"/>
  <c r="J150" i="15" s="1"/>
  <c r="G156" i="1" a="1"/>
  <c r="G156" i="1" s="1"/>
  <c r="G162" i="1" a="1"/>
  <c r="G162" i="1" s="1"/>
  <c r="J162" i="15" s="1"/>
  <c r="F30" i="1" a="1"/>
  <c r="F30" i="1" s="1"/>
  <c r="R30" i="15" s="1"/>
  <c r="F55" i="1" a="1"/>
  <c r="F55" i="1" s="1"/>
  <c r="R55" i="15" s="1"/>
  <c r="F80" i="1" a="1"/>
  <c r="F80" i="1" s="1"/>
  <c r="R80" i="15" s="1"/>
  <c r="F111" i="1" a="1"/>
  <c r="F111" i="1" s="1"/>
  <c r="R111" i="15" s="1"/>
  <c r="F121" i="1" a="1"/>
  <c r="F121" i="1" s="1"/>
  <c r="R121" i="15" s="1"/>
  <c r="F125" i="1" a="1"/>
  <c r="F125" i="1" s="1"/>
  <c r="R125" i="15" s="1"/>
  <c r="F140" i="1" a="1"/>
  <c r="F140" i="1" s="1"/>
  <c r="R140" i="15" s="1"/>
  <c r="F144" i="1" a="1"/>
  <c r="F144" i="1" s="1"/>
  <c r="R144" i="15" s="1"/>
  <c r="F158" i="1" a="1"/>
  <c r="F158" i="1" s="1"/>
  <c r="R158" i="15" s="1"/>
  <c r="F162" i="1" a="1"/>
  <c r="F162" i="1" s="1"/>
  <c r="R162" i="15" s="1"/>
  <c r="D4" i="1" a="1"/>
  <c r="D4" i="1" s="1"/>
  <c r="I4" i="15" s="1"/>
  <c r="D14" i="1" a="1"/>
  <c r="D14" i="1" s="1"/>
  <c r="I14" i="15" s="1"/>
  <c r="D17" i="1" a="1"/>
  <c r="D17" i="1" s="1"/>
  <c r="I17" i="15" s="1"/>
  <c r="D20" i="1" a="1"/>
  <c r="D20" i="1" s="1"/>
  <c r="I20" i="15" s="1"/>
  <c r="D23" i="1" a="1"/>
  <c r="D23" i="1" s="1"/>
  <c r="I23" i="15" s="1"/>
  <c r="D26" i="1" a="1"/>
  <c r="D26" i="1" s="1"/>
  <c r="I26" i="15" s="1"/>
  <c r="D29" i="1" a="1"/>
  <c r="D29" i="1" s="1"/>
  <c r="I29" i="15" s="1"/>
  <c r="D32" i="1" a="1"/>
  <c r="D32" i="1" s="1"/>
  <c r="I32" i="15" s="1"/>
  <c r="D35" i="1" a="1"/>
  <c r="D35" i="1" s="1"/>
  <c r="I35" i="15" s="1"/>
  <c r="D41" i="1" a="1"/>
  <c r="D41" i="1" s="1"/>
  <c r="I41" i="15" s="1"/>
  <c r="D44" i="1" a="1"/>
  <c r="D44" i="1" s="1"/>
  <c r="I44" i="15" s="1"/>
  <c r="D47" i="1" a="1"/>
  <c r="D47" i="1" s="1"/>
  <c r="I47" i="15" s="1"/>
  <c r="D50" i="1" a="1"/>
  <c r="D50" i="1" s="1"/>
  <c r="I50" i="15" s="1"/>
  <c r="D53" i="1" a="1"/>
  <c r="D53" i="1" s="1"/>
  <c r="I53" i="15" s="1"/>
  <c r="D56" i="1" a="1"/>
  <c r="D56" i="1" s="1"/>
  <c r="I56" i="15" s="1"/>
  <c r="D59" i="1" a="1"/>
  <c r="D59" i="1" s="1"/>
  <c r="I59" i="15" s="1"/>
  <c r="D62" i="1" a="1"/>
  <c r="D62" i="1" s="1"/>
  <c r="I62" i="15" s="1"/>
  <c r="D65" i="1" a="1"/>
  <c r="D65" i="1" s="1"/>
  <c r="I65" i="15" s="1"/>
  <c r="D68" i="1" a="1"/>
  <c r="D68" i="1" s="1"/>
  <c r="I68" i="15" s="1"/>
  <c r="H67" i="1" a="1"/>
  <c r="H67" i="1" s="1"/>
  <c r="H127" i="1" a="1"/>
  <c r="H127" i="1" s="1"/>
  <c r="G4" i="1" a="1"/>
  <c r="G4" i="1" s="1"/>
  <c r="J4" i="15" s="1"/>
  <c r="G22" i="1" a="1"/>
  <c r="G22" i="1" s="1"/>
  <c r="J22" i="15" s="1"/>
  <c r="G40" i="1" a="1"/>
  <c r="G40" i="1" s="1"/>
  <c r="J40" i="15" s="1"/>
  <c r="G58" i="1" a="1"/>
  <c r="G58" i="1" s="1"/>
  <c r="J58" i="15" s="1"/>
  <c r="G76" i="1" a="1"/>
  <c r="G76" i="1" s="1"/>
  <c r="J76" i="15" s="1"/>
  <c r="G94" i="1" a="1"/>
  <c r="G94" i="1" s="1"/>
  <c r="J94" i="15" s="1"/>
  <c r="G112" i="1" a="1"/>
  <c r="G112" i="1" s="1"/>
  <c r="J112" i="15" s="1"/>
  <c r="G130" i="1" a="1"/>
  <c r="G130" i="1" s="1"/>
  <c r="J130" i="15" s="1"/>
  <c r="G148" i="1" a="1"/>
  <c r="G148" i="1" s="1"/>
  <c r="J148" i="15" s="1"/>
  <c r="F53" i="1" a="1"/>
  <c r="F53" i="1" s="1"/>
  <c r="R53" i="15" s="1"/>
  <c r="F124" i="1" a="1"/>
  <c r="F124" i="1" s="1"/>
  <c r="R124" i="15" s="1"/>
  <c r="F138" i="1" a="1"/>
  <c r="F138" i="1" s="1"/>
  <c r="R138" i="15" s="1"/>
  <c r="F152" i="1" a="1"/>
  <c r="F152" i="1" s="1"/>
  <c r="R152" i="15" s="1"/>
  <c r="D16" i="1" a="1"/>
  <c r="D16" i="1" s="1"/>
  <c r="I16" i="15" s="1"/>
  <c r="D25" i="1" a="1"/>
  <c r="D25" i="1" s="1"/>
  <c r="I25" i="15" s="1"/>
  <c r="D34" i="1" a="1"/>
  <c r="D34" i="1" s="1"/>
  <c r="I34" i="15" s="1"/>
  <c r="D43" i="1" a="1"/>
  <c r="D43" i="1" s="1"/>
  <c r="I43" i="15" s="1"/>
  <c r="D55" i="1" a="1"/>
  <c r="D55" i="1" s="1"/>
  <c r="I55" i="15" s="1"/>
  <c r="D60" i="1" a="1"/>
  <c r="D60" i="1" s="1"/>
  <c r="I60" i="15" s="1"/>
  <c r="D64" i="1" a="1"/>
  <c r="D64" i="1" s="1"/>
  <c r="I64" i="15" s="1"/>
  <c r="D69" i="1" a="1"/>
  <c r="D69" i="1" s="1"/>
  <c r="I69" i="15" s="1"/>
  <c r="D76" i="1" a="1"/>
  <c r="D76" i="1" s="1"/>
  <c r="I76" i="15" s="1"/>
  <c r="D80" i="1" a="1"/>
  <c r="D80" i="1" s="1"/>
  <c r="I80" i="15" s="1"/>
  <c r="D87" i="1" a="1"/>
  <c r="D87" i="1" s="1"/>
  <c r="I87" i="15" s="1"/>
  <c r="D94" i="1" a="1"/>
  <c r="D94" i="1" s="1"/>
  <c r="I94" i="15" s="1"/>
  <c r="D98" i="1" a="1"/>
  <c r="D98" i="1" s="1"/>
  <c r="I98" i="15" s="1"/>
  <c r="D105" i="1" a="1"/>
  <c r="D105" i="1" s="1"/>
  <c r="I105" i="15" s="1"/>
  <c r="D112" i="1" a="1"/>
  <c r="D112" i="1" s="1"/>
  <c r="I112" i="15" s="1"/>
  <c r="D116" i="1" a="1"/>
  <c r="D116" i="1" s="1"/>
  <c r="I116" i="15" s="1"/>
  <c r="D123" i="1" a="1"/>
  <c r="D123" i="1" s="1"/>
  <c r="I123" i="15" s="1"/>
  <c r="D130" i="1" a="1"/>
  <c r="D130" i="1" s="1"/>
  <c r="I130" i="15" s="1"/>
  <c r="D134" i="1" a="1"/>
  <c r="D134" i="1" s="1"/>
  <c r="I134" i="15" s="1"/>
  <c r="D141" i="1" a="1"/>
  <c r="D141" i="1" s="1"/>
  <c r="I141" i="15" s="1"/>
  <c r="D148" i="1" a="1"/>
  <c r="D148" i="1" s="1"/>
  <c r="I148" i="15" s="1"/>
  <c r="D152" i="1" a="1"/>
  <c r="D152" i="1" s="1"/>
  <c r="I152" i="15" s="1"/>
  <c r="D159" i="1" a="1"/>
  <c r="D159" i="1" s="1"/>
  <c r="I159" i="15" s="1"/>
  <c r="C18" i="1" a="1"/>
  <c r="C18" i="1" s="1"/>
  <c r="E18" i="15" s="1"/>
  <c r="C33" i="1" a="1"/>
  <c r="C33" i="1" s="1"/>
  <c r="E33" i="15" s="1"/>
  <c r="C48" i="1" a="1"/>
  <c r="C48" i="1" s="1"/>
  <c r="E48" i="15" s="1"/>
  <c r="C70" i="1" a="1"/>
  <c r="C70" i="1" s="1"/>
  <c r="E70" i="15" s="1"/>
  <c r="C88" i="1" a="1"/>
  <c r="C88" i="1" s="1"/>
  <c r="E88" i="15" s="1"/>
  <c r="C103" i="1" a="1"/>
  <c r="C103" i="1" s="1"/>
  <c r="E103" i="15" s="1"/>
  <c r="C120" i="1" a="1"/>
  <c r="C120" i="1" s="1"/>
  <c r="E120" i="15" s="1"/>
  <c r="C133" i="1" a="1"/>
  <c r="C133" i="1" s="1"/>
  <c r="E133" i="15" s="1"/>
  <c r="C148" i="1" a="1"/>
  <c r="C148" i="1" s="1"/>
  <c r="E148" i="15" s="1"/>
  <c r="H85" i="1" a="1"/>
  <c r="H85" i="1" s="1"/>
  <c r="H134" i="1" a="1"/>
  <c r="H134" i="1" s="1"/>
  <c r="G7" i="1" a="1"/>
  <c r="G7" i="1" s="1"/>
  <c r="G25" i="1" a="1"/>
  <c r="G25" i="1" s="1"/>
  <c r="J25" i="15" s="1"/>
  <c r="G43" i="1" a="1"/>
  <c r="G43" i="1" s="1"/>
  <c r="J43" i="15" s="1"/>
  <c r="G61" i="1" a="1"/>
  <c r="G61" i="1" s="1"/>
  <c r="J61" i="15" s="1"/>
  <c r="G79" i="1" a="1"/>
  <c r="G79" i="1" s="1"/>
  <c r="J79" i="15" s="1"/>
  <c r="G97" i="1" a="1"/>
  <c r="G97" i="1" s="1"/>
  <c r="G115" i="1" a="1"/>
  <c r="G115" i="1" s="1"/>
  <c r="J115" i="15" s="1"/>
  <c r="G133" i="1" a="1"/>
  <c r="G133" i="1" s="1"/>
  <c r="J133" i="15" s="1"/>
  <c r="G151" i="1" a="1"/>
  <c r="G151" i="1" s="1"/>
  <c r="J151" i="15" s="1"/>
  <c r="F112" i="1" a="1"/>
  <c r="F112" i="1" s="1"/>
  <c r="R112" i="15" s="1"/>
  <c r="F126" i="1" a="1"/>
  <c r="F126" i="1" s="1"/>
  <c r="R126" i="15" s="1"/>
  <c r="F141" i="1" a="1"/>
  <c r="F141" i="1" s="1"/>
  <c r="R141" i="15" s="1"/>
  <c r="F154" i="1" a="1"/>
  <c r="F154" i="1" s="1"/>
  <c r="R154" i="15" s="1"/>
  <c r="D51" i="1" a="1"/>
  <c r="D51" i="1" s="1"/>
  <c r="I51" i="15" s="1"/>
  <c r="D73" i="1" a="1"/>
  <c r="D73" i="1" s="1"/>
  <c r="I73" i="15" s="1"/>
  <c r="D77" i="1" a="1"/>
  <c r="D77" i="1" s="1"/>
  <c r="I77" i="15" s="1"/>
  <c r="D84" i="1" a="1"/>
  <c r="D84" i="1" s="1"/>
  <c r="I84" i="15" s="1"/>
  <c r="D91" i="1" a="1"/>
  <c r="D91" i="1" s="1"/>
  <c r="I91" i="15" s="1"/>
  <c r="D95" i="1" a="1"/>
  <c r="D95" i="1" s="1"/>
  <c r="I95" i="15" s="1"/>
  <c r="D102" i="1" a="1"/>
  <c r="D102" i="1" s="1"/>
  <c r="I102" i="15" s="1"/>
  <c r="D109" i="1" a="1"/>
  <c r="D109" i="1" s="1"/>
  <c r="I109" i="15" s="1"/>
  <c r="D113" i="1" a="1"/>
  <c r="D113" i="1" s="1"/>
  <c r="I113" i="15" s="1"/>
  <c r="D120" i="1" a="1"/>
  <c r="D120" i="1" s="1"/>
  <c r="I120" i="15" s="1"/>
  <c r="D127" i="1" a="1"/>
  <c r="D127" i="1" s="1"/>
  <c r="I127" i="15" s="1"/>
  <c r="D131" i="1" a="1"/>
  <c r="D131" i="1" s="1"/>
  <c r="I131" i="15" s="1"/>
  <c r="D138" i="1" a="1"/>
  <c r="D138" i="1" s="1"/>
  <c r="I138" i="15" s="1"/>
  <c r="D149" i="1" a="1"/>
  <c r="D149" i="1" s="1"/>
  <c r="I149" i="15" s="1"/>
  <c r="D156" i="1" a="1"/>
  <c r="D156" i="1" s="1"/>
  <c r="I156" i="15" s="1"/>
  <c r="C21" i="1" a="1"/>
  <c r="C21" i="1" s="1"/>
  <c r="E21" i="15" s="1"/>
  <c r="C52" i="1" a="1"/>
  <c r="C52" i="1" s="1"/>
  <c r="E52" i="15" s="1"/>
  <c r="C72" i="1" a="1"/>
  <c r="C72" i="1" s="1"/>
  <c r="E72" i="15" s="1"/>
  <c r="C90" i="1" a="1"/>
  <c r="C90" i="1" s="1"/>
  <c r="E90" i="15" s="1"/>
  <c r="C106" i="1" a="1"/>
  <c r="C106" i="1" s="1"/>
  <c r="E106" i="15" s="1"/>
  <c r="C121" i="1" a="1"/>
  <c r="C121" i="1" s="1"/>
  <c r="E121" i="15" s="1"/>
  <c r="C136" i="1" a="1"/>
  <c r="C136" i="1" s="1"/>
  <c r="E136" i="15" s="1"/>
  <c r="C150" i="1" a="1"/>
  <c r="C150" i="1" s="1"/>
  <c r="E150" i="15" s="1"/>
  <c r="C160" i="1" a="1"/>
  <c r="C160" i="1" s="1"/>
  <c r="E160" i="15" s="1"/>
  <c r="L103" i="1" a="1"/>
  <c r="L103" i="1" s="1"/>
  <c r="H97" i="1" a="1"/>
  <c r="H97" i="1" s="1"/>
  <c r="H142" i="1" a="1"/>
  <c r="H142" i="1" s="1"/>
  <c r="G10" i="1" a="1"/>
  <c r="G10" i="1" s="1"/>
  <c r="G28" i="1" a="1"/>
  <c r="G28" i="1" s="1"/>
  <c r="J28" i="15" s="1"/>
  <c r="G46" i="1" a="1"/>
  <c r="G46" i="1" s="1"/>
  <c r="J46" i="15" s="1"/>
  <c r="G64" i="1" a="1"/>
  <c r="G64" i="1" s="1"/>
  <c r="J64" i="15" s="1"/>
  <c r="G82" i="1" a="1"/>
  <c r="G82" i="1" s="1"/>
  <c r="J82" i="15" s="1"/>
  <c r="G100" i="1" a="1"/>
  <c r="G100" i="1" s="1"/>
  <c r="J100" i="15" s="1"/>
  <c r="G118" i="1" a="1"/>
  <c r="G118" i="1" s="1"/>
  <c r="J118" i="15" s="1"/>
  <c r="G136" i="1" a="1"/>
  <c r="G136" i="1" s="1"/>
  <c r="J136" i="15" s="1"/>
  <c r="G154" i="1" a="1"/>
  <c r="G154" i="1" s="1"/>
  <c r="J154" i="15" s="1"/>
  <c r="F65" i="1" a="1"/>
  <c r="F65" i="1" s="1"/>
  <c r="R65" i="15" s="1"/>
  <c r="F129" i="1" a="1"/>
  <c r="F129" i="1" s="1"/>
  <c r="R129" i="15" s="1"/>
  <c r="F156" i="1" a="1"/>
  <c r="F156" i="1" s="1"/>
  <c r="R156" i="15" s="1"/>
  <c r="D3" i="1" a="1"/>
  <c r="D3" i="1" s="1"/>
  <c r="I3" i="15" s="1"/>
  <c r="D19" i="1" a="1"/>
  <c r="D19" i="1" s="1"/>
  <c r="I19" i="15" s="1"/>
  <c r="D28" i="1" a="1"/>
  <c r="D28" i="1" s="1"/>
  <c r="I28" i="15" s="1"/>
  <c r="D46" i="1" a="1"/>
  <c r="D46" i="1" s="1"/>
  <c r="I46" i="15" s="1"/>
  <c r="D52" i="1" a="1"/>
  <c r="D52" i="1" s="1"/>
  <c r="I52" i="15" s="1"/>
  <c r="D57" i="1" a="1"/>
  <c r="D57" i="1" s="1"/>
  <c r="I57" i="15" s="1"/>
  <c r="D61" i="1" a="1"/>
  <c r="D61" i="1" s="1"/>
  <c r="I61" i="15" s="1"/>
  <c r="D66" i="1" a="1"/>
  <c r="D66" i="1" s="1"/>
  <c r="I66" i="15" s="1"/>
  <c r="D70" i="1" a="1"/>
  <c r="D70" i="1" s="1"/>
  <c r="I70" i="15" s="1"/>
  <c r="D74" i="1" a="1"/>
  <c r="D74" i="1" s="1"/>
  <c r="I74" i="15" s="1"/>
  <c r="D81" i="1" a="1"/>
  <c r="D81" i="1" s="1"/>
  <c r="I81" i="15" s="1"/>
  <c r="D88" i="1" a="1"/>
  <c r="D88" i="1" s="1"/>
  <c r="I88" i="15" s="1"/>
  <c r="D92" i="1" a="1"/>
  <c r="D92" i="1" s="1"/>
  <c r="I92" i="15" s="1"/>
  <c r="D99" i="1" a="1"/>
  <c r="D99" i="1" s="1"/>
  <c r="I99" i="15" s="1"/>
  <c r="D106" i="1" a="1"/>
  <c r="D106" i="1" s="1"/>
  <c r="I106" i="15" s="1"/>
  <c r="D110" i="1" a="1"/>
  <c r="D110" i="1" s="1"/>
  <c r="I110" i="15" s="1"/>
  <c r="D117" i="1" a="1"/>
  <c r="D117" i="1" s="1"/>
  <c r="I117" i="15" s="1"/>
  <c r="D124" i="1" a="1"/>
  <c r="D124" i="1" s="1"/>
  <c r="I124" i="15" s="1"/>
  <c r="D128" i="1" a="1"/>
  <c r="D128" i="1" s="1"/>
  <c r="I128" i="15" s="1"/>
  <c r="D135" i="1" a="1"/>
  <c r="D135" i="1" s="1"/>
  <c r="I135" i="15" s="1"/>
  <c r="D142" i="1" a="1"/>
  <c r="D142" i="1" s="1"/>
  <c r="I142" i="15" s="1"/>
  <c r="D153" i="1" a="1"/>
  <c r="D153" i="1" s="1"/>
  <c r="I153" i="15" s="1"/>
  <c r="D160" i="1" a="1"/>
  <c r="D160" i="1" s="1"/>
  <c r="I160" i="15" s="1"/>
  <c r="C24" i="1" a="1"/>
  <c r="C24" i="1" s="1"/>
  <c r="E24" i="15" s="1"/>
  <c r="C34" i="1" a="1"/>
  <c r="C34" i="1" s="1"/>
  <c r="E34" i="15" s="1"/>
  <c r="C54" i="1" a="1"/>
  <c r="C54" i="1" s="1"/>
  <c r="E54" i="15" s="1"/>
  <c r="C76" i="1" a="1"/>
  <c r="C76" i="1" s="1"/>
  <c r="E76" i="15" s="1"/>
  <c r="C94" i="1" a="1"/>
  <c r="C94" i="1" s="1"/>
  <c r="E94" i="15" s="1"/>
  <c r="C108" i="1" a="1"/>
  <c r="C108" i="1" s="1"/>
  <c r="E108" i="15" s="1"/>
  <c r="C124" i="1" a="1"/>
  <c r="C124" i="1" s="1"/>
  <c r="E124" i="15" s="1"/>
  <c r="C138" i="1" a="1"/>
  <c r="C138" i="1" s="1"/>
  <c r="E138" i="15" s="1"/>
  <c r="C151" i="1" a="1"/>
  <c r="C151" i="1" s="1"/>
  <c r="E151" i="15" s="1"/>
  <c r="C162" i="1" a="1"/>
  <c r="C162" i="1" s="1"/>
  <c r="E162" i="15" s="1"/>
  <c r="L130" i="1" a="1"/>
  <c r="L130" i="1" s="1"/>
  <c r="H3" i="1" a="1"/>
  <c r="H3" i="1" s="1"/>
  <c r="H106" i="1" a="1"/>
  <c r="H106" i="1" s="1"/>
  <c r="H149" i="1" a="1"/>
  <c r="H149" i="1" s="1"/>
  <c r="G13" i="1" a="1"/>
  <c r="G13" i="1" s="1"/>
  <c r="J13" i="15" s="1"/>
  <c r="G31" i="1" a="1"/>
  <c r="G31" i="1" s="1"/>
  <c r="G49" i="1" a="1"/>
  <c r="G49" i="1" s="1"/>
  <c r="G67" i="1" a="1"/>
  <c r="G67" i="1" s="1"/>
  <c r="J67" i="15" s="1"/>
  <c r="G85" i="1" a="1"/>
  <c r="G85" i="1" s="1"/>
  <c r="J85" i="15" s="1"/>
  <c r="G103" i="1" a="1"/>
  <c r="G103" i="1" s="1"/>
  <c r="J103" i="15" s="1"/>
  <c r="G121" i="1" a="1"/>
  <c r="G121" i="1" s="1"/>
  <c r="J121" i="15" s="1"/>
  <c r="G139" i="1" a="1"/>
  <c r="G139" i="1" s="1"/>
  <c r="J139" i="15" s="1"/>
  <c r="G157" i="1" a="1"/>
  <c r="G157" i="1" s="1"/>
  <c r="J157" i="15" s="1"/>
  <c r="F81" i="1" a="1"/>
  <c r="F81" i="1" s="1"/>
  <c r="R81" i="15" s="1"/>
  <c r="F116" i="1" a="1"/>
  <c r="F116" i="1" s="1"/>
  <c r="R116" i="15" s="1"/>
  <c r="F131" i="1" a="1"/>
  <c r="F131" i="1" s="1"/>
  <c r="R131" i="15" s="1"/>
  <c r="F145" i="1" a="1"/>
  <c r="F145" i="1" s="1"/>
  <c r="R145" i="15" s="1"/>
  <c r="F159" i="1" a="1"/>
  <c r="F159" i="1" s="1"/>
  <c r="R159" i="15" s="1"/>
  <c r="D71" i="1" a="1"/>
  <c r="D71" i="1" s="1"/>
  <c r="I71" i="15" s="1"/>
  <c r="D78" i="1" a="1"/>
  <c r="D78" i="1" s="1"/>
  <c r="I78" i="15" s="1"/>
  <c r="D85" i="1" a="1"/>
  <c r="D85" i="1" s="1"/>
  <c r="I85" i="15" s="1"/>
  <c r="D89" i="1" a="1"/>
  <c r="D89" i="1" s="1"/>
  <c r="I89" i="15" s="1"/>
  <c r="D96" i="1" a="1"/>
  <c r="D96" i="1" s="1"/>
  <c r="I96" i="15" s="1"/>
  <c r="D103" i="1" a="1"/>
  <c r="D103" i="1" s="1"/>
  <c r="I103" i="15" s="1"/>
  <c r="D107" i="1" a="1"/>
  <c r="D107" i="1" s="1"/>
  <c r="I107" i="15" s="1"/>
  <c r="D114" i="1" a="1"/>
  <c r="D114" i="1" s="1"/>
  <c r="I114" i="15" s="1"/>
  <c r="D121" i="1" a="1"/>
  <c r="D121" i="1" s="1"/>
  <c r="I121" i="15" s="1"/>
  <c r="D125" i="1" a="1"/>
  <c r="D125" i="1" s="1"/>
  <c r="I125" i="15" s="1"/>
  <c r="D132" i="1" a="1"/>
  <c r="D132" i="1" s="1"/>
  <c r="I132" i="15" s="1"/>
  <c r="D139" i="1" a="1"/>
  <c r="D139" i="1" s="1"/>
  <c r="I139" i="15" s="1"/>
  <c r="D143" i="1" a="1"/>
  <c r="D143" i="1" s="1"/>
  <c r="I143" i="15" s="1"/>
  <c r="D150" i="1" a="1"/>
  <c r="D150" i="1" s="1"/>
  <c r="I150" i="15" s="1"/>
  <c r="D157" i="1" a="1"/>
  <c r="D157" i="1" s="1"/>
  <c r="I157" i="15" s="1"/>
  <c r="D161" i="1" a="1"/>
  <c r="D161" i="1" s="1"/>
  <c r="I161" i="15" s="1"/>
  <c r="C12" i="1" a="1"/>
  <c r="C12" i="1" s="1"/>
  <c r="E12" i="15" s="1"/>
  <c r="C36" i="1" a="1"/>
  <c r="C36" i="1" s="1"/>
  <c r="E36" i="15" s="1"/>
  <c r="C58" i="1" a="1"/>
  <c r="C58" i="1" s="1"/>
  <c r="E58" i="15" s="1"/>
  <c r="C78" i="1" a="1"/>
  <c r="C78" i="1" s="1"/>
  <c r="E78" i="15" s="1"/>
  <c r="C96" i="1" a="1"/>
  <c r="C96" i="1" s="1"/>
  <c r="E96" i="15" s="1"/>
  <c r="C112" i="1" a="1"/>
  <c r="C112" i="1" s="1"/>
  <c r="E112" i="15" s="1"/>
  <c r="C126" i="1" a="1"/>
  <c r="C126" i="1" s="1"/>
  <c r="E126" i="15" s="1"/>
  <c r="C139" i="1" a="1"/>
  <c r="C139" i="1" s="1"/>
  <c r="E139" i="15" s="1"/>
  <c r="C153" i="1" a="1"/>
  <c r="C153" i="1" s="1"/>
  <c r="E153" i="15" s="1"/>
  <c r="L157" i="1" a="1"/>
  <c r="L157" i="1" s="1"/>
  <c r="H31" i="1" a="1"/>
  <c r="H31" i="1" s="1"/>
  <c r="H113" i="1" a="1"/>
  <c r="H113" i="1" s="1"/>
  <c r="H156" i="1" a="1"/>
  <c r="H156" i="1" s="1"/>
  <c r="G16" i="1" a="1"/>
  <c r="G16" i="1" s="1"/>
  <c r="J16" i="15" s="1"/>
  <c r="G34" i="1" a="1"/>
  <c r="G34" i="1" s="1"/>
  <c r="J34" i="15" s="1"/>
  <c r="G52" i="1" a="1"/>
  <c r="G52" i="1" s="1"/>
  <c r="J52" i="15" s="1"/>
  <c r="G70" i="1" a="1"/>
  <c r="G70" i="1" s="1"/>
  <c r="J70" i="15" s="1"/>
  <c r="G88" i="1" a="1"/>
  <c r="G88" i="1" s="1"/>
  <c r="J88" i="15" s="1"/>
  <c r="G106" i="1" a="1"/>
  <c r="G106" i="1" s="1"/>
  <c r="J106" i="15" s="1"/>
  <c r="G124" i="1" a="1"/>
  <c r="G124" i="1" s="1"/>
  <c r="J124" i="15" s="1"/>
  <c r="G142" i="1" a="1"/>
  <c r="G142" i="1" s="1"/>
  <c r="J142" i="15" s="1"/>
  <c r="G160" i="1" a="1"/>
  <c r="G160" i="1" s="1"/>
  <c r="J160" i="15" s="1"/>
  <c r="F4" i="1" a="1"/>
  <c r="F4" i="1" s="1"/>
  <c r="R4" i="15" s="1"/>
  <c r="F103" i="1" a="1"/>
  <c r="F103" i="1" s="1"/>
  <c r="R103" i="15" s="1"/>
  <c r="F119" i="1" a="1"/>
  <c r="F119" i="1" s="1"/>
  <c r="R119" i="15" s="1"/>
  <c r="F134" i="1" a="1"/>
  <c r="F134" i="1" s="1"/>
  <c r="R134" i="15" s="1"/>
  <c r="D13" i="1" a="1"/>
  <c r="D13" i="1" s="1"/>
  <c r="I13" i="15" s="1"/>
  <c r="D22" i="1" a="1"/>
  <c r="D22" i="1" s="1"/>
  <c r="I22" i="15" s="1"/>
  <c r="D31" i="1" a="1"/>
  <c r="D31" i="1" s="1"/>
  <c r="I31" i="15" s="1"/>
  <c r="D40" i="1" a="1"/>
  <c r="D40" i="1" s="1"/>
  <c r="I40" i="15" s="1"/>
  <c r="D48" i="1" a="1"/>
  <c r="D48" i="1" s="1"/>
  <c r="I48" i="15" s="1"/>
  <c r="D54" i="1" a="1"/>
  <c r="D54" i="1" s="1"/>
  <c r="I54" i="15" s="1"/>
  <c r="D58" i="1" a="1"/>
  <c r="D58" i="1" s="1"/>
  <c r="I58" i="15" s="1"/>
  <c r="D63" i="1" a="1"/>
  <c r="D63" i="1" s="1"/>
  <c r="I63" i="15" s="1"/>
  <c r="D67" i="1" a="1"/>
  <c r="D67" i="1" s="1"/>
  <c r="I67" i="15" s="1"/>
  <c r="D75" i="1" a="1"/>
  <c r="D75" i="1" s="1"/>
  <c r="I75" i="15" s="1"/>
  <c r="D82" i="1" a="1"/>
  <c r="D82" i="1" s="1"/>
  <c r="I82" i="15" s="1"/>
  <c r="D86" i="1" a="1"/>
  <c r="D86" i="1" s="1"/>
  <c r="I86" i="15" s="1"/>
  <c r="D93" i="1" a="1"/>
  <c r="D93" i="1" s="1"/>
  <c r="I93" i="15" s="1"/>
  <c r="D100" i="1" a="1"/>
  <c r="D100" i="1" s="1"/>
  <c r="I100" i="15" s="1"/>
  <c r="D104" i="1" a="1"/>
  <c r="D104" i="1" s="1"/>
  <c r="I104" i="15" s="1"/>
  <c r="D111" i="1" a="1"/>
  <c r="D111" i="1" s="1"/>
  <c r="I111" i="15" s="1"/>
  <c r="D118" i="1" a="1"/>
  <c r="D118" i="1" s="1"/>
  <c r="I118" i="15" s="1"/>
  <c r="D122" i="1" a="1"/>
  <c r="D122" i="1" s="1"/>
  <c r="I122" i="15" s="1"/>
  <c r="D129" i="1" a="1"/>
  <c r="D129" i="1" s="1"/>
  <c r="I129" i="15" s="1"/>
  <c r="D136" i="1" a="1"/>
  <c r="D136" i="1" s="1"/>
  <c r="I136" i="15" s="1"/>
  <c r="D140" i="1" a="1"/>
  <c r="D140" i="1" s="1"/>
  <c r="I140" i="15" s="1"/>
  <c r="D147" i="1" a="1"/>
  <c r="D147" i="1" s="1"/>
  <c r="I147" i="15" s="1"/>
  <c r="D154" i="1" a="1"/>
  <c r="D154" i="1" s="1"/>
  <c r="I154" i="15" s="1"/>
  <c r="D158" i="1" a="1"/>
  <c r="D158" i="1" s="1"/>
  <c r="I158" i="15" s="1"/>
  <c r="C15" i="1" a="1"/>
  <c r="C15" i="1" s="1"/>
  <c r="E15" i="15" s="1"/>
  <c r="C27" i="1" a="1"/>
  <c r="C27" i="1" s="1"/>
  <c r="E27" i="15" s="1"/>
  <c r="C40" i="1" a="1"/>
  <c r="C40" i="1" s="1"/>
  <c r="E40" i="15" s="1"/>
  <c r="C60" i="1" a="1"/>
  <c r="C60" i="1" s="1"/>
  <c r="E60" i="15" s="1"/>
  <c r="C79" i="1" a="1"/>
  <c r="C79" i="1" s="1"/>
  <c r="E79" i="15" s="1"/>
  <c r="C97" i="1" a="1"/>
  <c r="C97" i="1" s="1"/>
  <c r="E97" i="15" s="1"/>
  <c r="C114" i="1" a="1"/>
  <c r="C114" i="1" s="1"/>
  <c r="E114" i="15" s="1"/>
  <c r="C130" i="1" a="1"/>
  <c r="C130" i="1" s="1"/>
  <c r="E130" i="15" s="1"/>
  <c r="C142" i="1" a="1"/>
  <c r="C142" i="1" s="1"/>
  <c r="E142" i="15" s="1"/>
  <c r="C154" i="1" a="1"/>
  <c r="C154" i="1" s="1"/>
  <c r="E154" i="15" s="1"/>
  <c r="D133" i="1" a="1"/>
  <c r="D133" i="1" s="1"/>
  <c r="I133" i="15" s="1"/>
  <c r="D151" i="1" a="1"/>
  <c r="D151" i="1" s="1"/>
  <c r="I151" i="15" s="1"/>
  <c r="D162" i="1" a="1"/>
  <c r="D162" i="1" s="1"/>
  <c r="I162" i="15" s="1"/>
  <c r="C30" i="1" a="1"/>
  <c r="C30" i="1" s="1"/>
  <c r="E30" i="15" s="1"/>
  <c r="C42" i="1" a="1"/>
  <c r="C42" i="1" s="1"/>
  <c r="E42" i="15" s="1"/>
  <c r="C84" i="1" a="1"/>
  <c r="C84" i="1" s="1"/>
  <c r="E84" i="15" s="1"/>
  <c r="C102" i="1" a="1"/>
  <c r="C102" i="1" s="1"/>
  <c r="E102" i="15" s="1"/>
  <c r="C132" i="1" a="1"/>
  <c r="C132" i="1" s="1"/>
  <c r="E132" i="15" s="1"/>
  <c r="C156" i="1" a="1"/>
  <c r="C156" i="1" s="1"/>
  <c r="E156" i="15" s="1"/>
  <c r="H49" i="1" a="1"/>
  <c r="H49" i="1" s="1"/>
  <c r="H120" i="1" a="1"/>
  <c r="H120" i="1" s="1"/>
  <c r="G19" i="1" a="1"/>
  <c r="G19" i="1" s="1"/>
  <c r="J19" i="15" s="1"/>
  <c r="G37" i="1" a="1"/>
  <c r="G37" i="1" s="1"/>
  <c r="J37" i="15" s="1"/>
  <c r="G55" i="1" a="1"/>
  <c r="G55" i="1" s="1"/>
  <c r="J55" i="15" s="1"/>
  <c r="G73" i="1" a="1"/>
  <c r="G73" i="1" s="1"/>
  <c r="J73" i="15" s="1"/>
  <c r="G91" i="1" a="1"/>
  <c r="G91" i="1" s="1"/>
  <c r="J91" i="15" s="1"/>
  <c r="G109" i="1" a="1"/>
  <c r="G109" i="1" s="1"/>
  <c r="J109" i="15" s="1"/>
  <c r="G127" i="1" a="1"/>
  <c r="G127" i="1" s="1"/>
  <c r="J127" i="15" s="1"/>
  <c r="G145" i="1" a="1"/>
  <c r="G145" i="1" s="1"/>
  <c r="J145" i="15" s="1"/>
  <c r="F44" i="1" a="1"/>
  <c r="F44" i="1" s="1"/>
  <c r="R44" i="15" s="1"/>
  <c r="F107" i="1" a="1"/>
  <c r="F107" i="1" s="1"/>
  <c r="R107" i="15" s="1"/>
  <c r="F122" i="1" a="1"/>
  <c r="F122" i="1" s="1"/>
  <c r="R122" i="15" s="1"/>
  <c r="F136" i="1" a="1"/>
  <c r="F136" i="1" s="1"/>
  <c r="R136" i="15" s="1"/>
  <c r="F149" i="1" a="1"/>
  <c r="F149" i="1" s="1"/>
  <c r="R149" i="15" s="1"/>
  <c r="D49" i="1" a="1"/>
  <c r="D49" i="1" s="1"/>
  <c r="I49" i="15" s="1"/>
  <c r="D72" i="1" a="1"/>
  <c r="D72" i="1" s="1"/>
  <c r="I72" i="15" s="1"/>
  <c r="D79" i="1" a="1"/>
  <c r="D79" i="1" s="1"/>
  <c r="I79" i="15" s="1"/>
  <c r="D83" i="1" a="1"/>
  <c r="D83" i="1" s="1"/>
  <c r="I83" i="15" s="1"/>
  <c r="D90" i="1" a="1"/>
  <c r="D90" i="1" s="1"/>
  <c r="I90" i="15" s="1"/>
  <c r="D97" i="1" a="1"/>
  <c r="D97" i="1" s="1"/>
  <c r="I97" i="15" s="1"/>
  <c r="D101" i="1" a="1"/>
  <c r="D101" i="1" s="1"/>
  <c r="I101" i="15" s="1"/>
  <c r="D108" i="1" a="1"/>
  <c r="D108" i="1" s="1"/>
  <c r="I108" i="15" s="1"/>
  <c r="D115" i="1" a="1"/>
  <c r="D115" i="1" s="1"/>
  <c r="I115" i="15" s="1"/>
  <c r="D119" i="1" a="1"/>
  <c r="D119" i="1" s="1"/>
  <c r="I119" i="15" s="1"/>
  <c r="D126" i="1" a="1"/>
  <c r="D126" i="1" s="1"/>
  <c r="I126" i="15" s="1"/>
  <c r="D137" i="1" a="1"/>
  <c r="D137" i="1" s="1"/>
  <c r="I137" i="15" s="1"/>
  <c r="D144" i="1" a="1"/>
  <c r="D144" i="1" s="1"/>
  <c r="I144" i="15" s="1"/>
  <c r="D155" i="1" a="1"/>
  <c r="D155" i="1" s="1"/>
  <c r="I155" i="15" s="1"/>
  <c r="C66" i="1" a="1"/>
  <c r="C66" i="1" s="1"/>
  <c r="E66" i="15" s="1"/>
  <c r="C115" i="1" a="1"/>
  <c r="C115" i="1" s="1"/>
  <c r="E115" i="15" s="1"/>
  <c r="C144" i="1" a="1"/>
  <c r="C144" i="1" s="1"/>
  <c r="E144" i="15" s="1"/>
  <c r="H7" i="1" a="1"/>
  <c r="H7" i="1" s="1"/>
  <c r="C28" i="1" a="1"/>
  <c r="C28" i="1" s="1"/>
  <c r="E28" i="15" s="1"/>
  <c r="C87" i="1" a="1"/>
  <c r="C87" i="1" s="1"/>
  <c r="E87" i="15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E157" i="15" s="1"/>
  <c r="C31" i="1" a="1"/>
  <c r="C31" i="1" s="1"/>
  <c r="E31" i="15" s="1"/>
  <c r="C5" i="1" a="1"/>
  <c r="C5" i="1" s="1"/>
  <c r="E5" i="15" s="1"/>
  <c r="C161" i="1" a="1"/>
  <c r="C161" i="1" s="1"/>
  <c r="E161" i="15" s="1"/>
  <c r="C149" i="1" a="1"/>
  <c r="C149" i="1" s="1"/>
  <c r="E149" i="15" s="1"/>
  <c r="C137" i="1" a="1"/>
  <c r="C137" i="1" s="1"/>
  <c r="E137" i="15" s="1"/>
  <c r="C125" i="1" a="1"/>
  <c r="C125" i="1" s="1"/>
  <c r="E125" i="15" s="1"/>
  <c r="C113" i="1" a="1"/>
  <c r="C113" i="1" s="1"/>
  <c r="E113" i="15" s="1"/>
  <c r="C101" i="1" a="1"/>
  <c r="C101" i="1" s="1"/>
  <c r="E101" i="15" s="1"/>
  <c r="C89" i="1" a="1"/>
  <c r="C89" i="1" s="1"/>
  <c r="E89" i="15" s="1"/>
  <c r="C77" i="1" a="1"/>
  <c r="C77" i="1" s="1"/>
  <c r="E77" i="15" s="1"/>
  <c r="C65" i="1" a="1"/>
  <c r="C65" i="1" s="1"/>
  <c r="E65" i="15" s="1"/>
  <c r="C53" i="1" a="1"/>
  <c r="C53" i="1" s="1"/>
  <c r="E53" i="15" s="1"/>
  <c r="C41" i="1" a="1"/>
  <c r="C41" i="1" s="1"/>
  <c r="E41" i="15" s="1"/>
  <c r="C29" i="1" a="1"/>
  <c r="C29" i="1" s="1"/>
  <c r="E29" i="15" s="1"/>
  <c r="C17" i="1" a="1"/>
  <c r="C17" i="1" s="1"/>
  <c r="E17" i="15" s="1"/>
  <c r="C67" i="1" a="1"/>
  <c r="C67" i="1" s="1"/>
  <c r="E67" i="15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E129" i="15" s="1"/>
  <c r="C111" i="1" a="1"/>
  <c r="C111" i="1" s="1"/>
  <c r="E111" i="15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14" i="1" a="1"/>
  <c r="J14" i="1" s="1"/>
  <c r="C147" i="1" a="1"/>
  <c r="C147" i="1" s="1"/>
  <c r="E147" i="15" s="1"/>
  <c r="C64" i="1" a="1"/>
  <c r="C64" i="1" s="1"/>
  <c r="E64" i="15" s="1"/>
  <c r="H10" i="1" a="1"/>
  <c r="H10" i="1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E145" i="15" s="1"/>
  <c r="C55" i="1" a="1"/>
  <c r="C55" i="1" s="1"/>
  <c r="E55" i="15" s="1"/>
  <c r="C9" i="1" a="1"/>
  <c r="C9" i="1" s="1"/>
  <c r="E9" i="15" s="1"/>
  <c r="C13" i="1" a="1"/>
  <c r="C13" i="1" s="1"/>
  <c r="E13" i="15" s="1"/>
  <c r="C63" i="1" a="1"/>
  <c r="C63" i="1" s="1"/>
  <c r="E63" i="15" s="1"/>
  <c r="C61" i="1" a="1"/>
  <c r="C61" i="1" s="1"/>
  <c r="E61" i="15" s="1"/>
  <c r="C75" i="1" a="1"/>
  <c r="C75" i="1" s="1"/>
  <c r="E75" i="15" s="1"/>
  <c r="C11" i="1" a="1"/>
  <c r="C11" i="1" s="1"/>
  <c r="E11" i="15" s="1"/>
  <c r="C158" i="1" a="1"/>
  <c r="C158" i="1" s="1"/>
  <c r="E158" i="15" s="1"/>
  <c r="C146" i="1" a="1"/>
  <c r="C146" i="1" s="1"/>
  <c r="E146" i="15" s="1"/>
  <c r="C134" i="1" a="1"/>
  <c r="C134" i="1" s="1"/>
  <c r="E134" i="15" s="1"/>
  <c r="C122" i="1" a="1"/>
  <c r="C122" i="1" s="1"/>
  <c r="E122" i="15" s="1"/>
  <c r="C110" i="1" a="1"/>
  <c r="C110" i="1" s="1"/>
  <c r="E110" i="15" s="1"/>
  <c r="C98" i="1" a="1"/>
  <c r="C98" i="1" s="1"/>
  <c r="E98" i="15" s="1"/>
  <c r="C86" i="1" a="1"/>
  <c r="C86" i="1" s="1"/>
  <c r="E86" i="15" s="1"/>
  <c r="C74" i="1" a="1"/>
  <c r="C74" i="1" s="1"/>
  <c r="E74" i="15" s="1"/>
  <c r="C62" i="1" a="1"/>
  <c r="C62" i="1" s="1"/>
  <c r="E62" i="15" s="1"/>
  <c r="C50" i="1" a="1"/>
  <c r="C50" i="1" s="1"/>
  <c r="E50" i="15" s="1"/>
  <c r="C38" i="1" a="1"/>
  <c r="C38" i="1" s="1"/>
  <c r="E38" i="15" s="1"/>
  <c r="C26" i="1" a="1"/>
  <c r="C26" i="1" s="1"/>
  <c r="E26" i="15" s="1"/>
  <c r="C14" i="1" a="1"/>
  <c r="C14" i="1" s="1"/>
  <c r="E14" i="15" s="1"/>
  <c r="C109" i="1" a="1"/>
  <c r="C109" i="1" s="1"/>
  <c r="E109" i="15" s="1"/>
  <c r="C37" i="1" a="1"/>
  <c r="C37" i="1" s="1"/>
  <c r="E37" i="15" s="1"/>
  <c r="J21" i="1" a="1"/>
  <c r="J21" i="1" s="1"/>
  <c r="J9" i="1" a="1"/>
  <c r="J9" i="1" s="1"/>
  <c r="C93" i="1" a="1"/>
  <c r="C93" i="1" s="1"/>
  <c r="E93" i="15" s="1"/>
  <c r="C141" i="1" a="1"/>
  <c r="C141" i="1" s="1"/>
  <c r="E141" i="15" s="1"/>
  <c r="C51" i="1" a="1"/>
  <c r="C51" i="1" s="1"/>
  <c r="E51" i="15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E3" i="15" s="1"/>
  <c r="C7" i="1" a="1"/>
  <c r="C7" i="1" s="1"/>
  <c r="E7" i="15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E135" i="15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E57" i="15" s="1"/>
  <c r="C25" i="1" a="1"/>
  <c r="C25" i="1" s="1"/>
  <c r="E25" i="15" s="1"/>
  <c r="C105" i="1" a="1"/>
  <c r="C105" i="1" s="1"/>
  <c r="E105" i="15" s="1"/>
  <c r="C118" i="1" a="1"/>
  <c r="C118" i="1" s="1"/>
  <c r="E118" i="15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E127" i="15" s="1"/>
  <c r="C19" i="1" a="1"/>
  <c r="C19" i="1" s="1"/>
  <c r="E19" i="15" s="1"/>
  <c r="C117" i="1" a="1"/>
  <c r="C117" i="1" s="1"/>
  <c r="E117" i="15" s="1"/>
  <c r="C155" i="1" a="1"/>
  <c r="C155" i="1" s="1"/>
  <c r="E155" i="15" s="1"/>
  <c r="C143" i="1" a="1"/>
  <c r="C143" i="1" s="1"/>
  <c r="E143" i="15" s="1"/>
  <c r="C131" i="1" a="1"/>
  <c r="C131" i="1" s="1"/>
  <c r="E131" i="15" s="1"/>
  <c r="C119" i="1" a="1"/>
  <c r="C119" i="1" s="1"/>
  <c r="E119" i="15" s="1"/>
  <c r="C107" i="1" a="1"/>
  <c r="C107" i="1" s="1"/>
  <c r="E107" i="15" s="1"/>
  <c r="C95" i="1" a="1"/>
  <c r="C95" i="1" s="1"/>
  <c r="E95" i="15" s="1"/>
  <c r="C83" i="1" a="1"/>
  <c r="C83" i="1" s="1"/>
  <c r="E83" i="15" s="1"/>
  <c r="C71" i="1" a="1"/>
  <c r="C71" i="1" s="1"/>
  <c r="E71" i="15" s="1"/>
  <c r="C59" i="1" a="1"/>
  <c r="C59" i="1" s="1"/>
  <c r="E59" i="15" s="1"/>
  <c r="C47" i="1" a="1"/>
  <c r="C47" i="1" s="1"/>
  <c r="E47" i="15" s="1"/>
  <c r="C35" i="1" a="1"/>
  <c r="C35" i="1" s="1"/>
  <c r="E35" i="15" s="1"/>
  <c r="C23" i="1" a="1"/>
  <c r="C23" i="1" s="1"/>
  <c r="E23" i="15" s="1"/>
  <c r="C99" i="1" a="1"/>
  <c r="C99" i="1" s="1"/>
  <c r="E99" i="15" s="1"/>
  <c r="J4" i="1" a="1"/>
  <c r="J4" i="1" s="1"/>
  <c r="C2" i="1" a="1"/>
  <c r="C2" i="1" s="1"/>
  <c r="E2" i="15" s="1"/>
  <c r="C43" i="1" a="1"/>
  <c r="C43" i="1" s="1"/>
  <c r="E43" i="15" s="1"/>
  <c r="C16" i="1" a="1"/>
  <c r="C16" i="1" s="1"/>
  <c r="E16" i="15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E10" i="15" s="1"/>
  <c r="C100" i="1" a="1"/>
  <c r="C100" i="1" s="1"/>
  <c r="E100" i="15" s="1"/>
  <c r="J33" i="1" a="1"/>
  <c r="J33" i="1" s="1"/>
  <c r="J15" i="1" a="1"/>
  <c r="J15" i="1" s="1"/>
  <c r="C82" i="1" a="1"/>
  <c r="C82" i="1" s="1"/>
  <c r="E82" i="15" s="1"/>
  <c r="J3" i="1" a="1"/>
  <c r="J3" i="1" s="1"/>
  <c r="C123" i="1" a="1"/>
  <c r="C123" i="1" s="1"/>
  <c r="E123" i="15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85" i="1" a="1"/>
  <c r="C85" i="1" s="1"/>
  <c r="E85" i="15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C39" i="1" a="1"/>
  <c r="C39" i="1" s="1"/>
  <c r="E39" i="15" s="1"/>
  <c r="C152" i="1" a="1"/>
  <c r="C152" i="1" s="1"/>
  <c r="E152" i="15" s="1"/>
  <c r="C140" i="1" a="1"/>
  <c r="C140" i="1" s="1"/>
  <c r="E140" i="15" s="1"/>
  <c r="C128" i="1" a="1"/>
  <c r="C128" i="1" s="1"/>
  <c r="E128" i="15" s="1"/>
  <c r="C116" i="1" a="1"/>
  <c r="C116" i="1" s="1"/>
  <c r="E116" i="15" s="1"/>
  <c r="C104" i="1" a="1"/>
  <c r="C104" i="1" s="1"/>
  <c r="E104" i="15" s="1"/>
  <c r="C92" i="1" a="1"/>
  <c r="C92" i="1" s="1"/>
  <c r="E92" i="15" s="1"/>
  <c r="C80" i="1" a="1"/>
  <c r="C80" i="1" s="1"/>
  <c r="E80" i="15" s="1"/>
  <c r="C68" i="1" a="1"/>
  <c r="C68" i="1" s="1"/>
  <c r="E68" i="15" s="1"/>
  <c r="C56" i="1" a="1"/>
  <c r="C56" i="1" s="1"/>
  <c r="E56" i="15" s="1"/>
  <c r="C44" i="1" a="1"/>
  <c r="C44" i="1" s="1"/>
  <c r="E44" i="15" s="1"/>
  <c r="C32" i="1" a="1"/>
  <c r="C32" i="1" s="1"/>
  <c r="E32" i="15" s="1"/>
  <c r="C20" i="1" a="1"/>
  <c r="C20" i="1" s="1"/>
  <c r="E20" i="15" s="1"/>
  <c r="C4" i="1" a="1"/>
  <c r="C4" i="1" s="1"/>
  <c r="E4" i="15" s="1"/>
  <c r="C73" i="1" a="1"/>
  <c r="C73" i="1" s="1"/>
  <c r="E73" i="15" s="1"/>
  <c r="C46" i="1" a="1"/>
  <c r="C46" i="1" s="1"/>
  <c r="E46" i="15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E91" i="15" s="1"/>
  <c r="C45" i="1" a="1"/>
  <c r="C45" i="1" s="1"/>
  <c r="E45" i="15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E81" i="15" s="1"/>
  <c r="J22" i="1" a="1"/>
  <c r="J22" i="1" s="1"/>
  <c r="C159" i="1" a="1"/>
  <c r="C159" i="1" s="1"/>
  <c r="E159" i="15" s="1"/>
  <c r="C8" i="1" a="1"/>
  <c r="C8" i="1" s="1"/>
  <c r="E8" i="15" s="1"/>
  <c r="C69" i="1" a="1"/>
  <c r="C69" i="1" s="1"/>
  <c r="E69" i="15" s="1"/>
  <c r="F105" i="1" a="1"/>
  <c r="F105" i="1" s="1"/>
  <c r="R105" i="15" s="1"/>
  <c r="J10" i="1" a="1"/>
  <c r="J10" i="1" s="1"/>
  <c r="D10" i="1" a="1"/>
  <c r="D10" i="1" s="1"/>
  <c r="I10" i="15" s="1"/>
  <c r="J7" i="1" a="1"/>
  <c r="J7" i="1" s="1"/>
  <c r="F9" i="1" a="1"/>
  <c r="F9" i="1" s="1"/>
  <c r="R9" i="15" s="1"/>
  <c r="H9" i="1" a="1"/>
  <c r="H9" i="1" s="1"/>
  <c r="H6" i="1" a="1"/>
  <c r="H6" i="1" s="1"/>
  <c r="F7" i="1" a="1"/>
  <c r="F7" i="1" s="1"/>
  <c r="R7" i="15" s="1"/>
  <c r="P40" i="1" a="1"/>
  <c r="P40" i="1" s="1"/>
  <c r="D9" i="1" a="1"/>
  <c r="D9" i="1" s="1"/>
  <c r="I9" i="15" s="1"/>
  <c r="D7" i="1" a="1"/>
  <c r="D7" i="1" s="1"/>
  <c r="I7" i="15" s="1"/>
  <c r="F10" i="1" a="1"/>
  <c r="F10" i="1" s="1"/>
  <c r="R10" i="15" s="1"/>
  <c r="F17" i="1" a="1"/>
  <c r="F17" i="1" s="1"/>
  <c r="R17" i="15" s="1"/>
  <c r="F34" i="1" a="1"/>
  <c r="F34" i="1" s="1"/>
  <c r="R34" i="15" s="1"/>
  <c r="F46" i="1" a="1"/>
  <c r="F46" i="1" s="1"/>
  <c r="R46" i="15" s="1"/>
  <c r="F86" i="1" a="1"/>
  <c r="F86" i="1" s="1"/>
  <c r="R86" i="15" s="1"/>
  <c r="F67" i="1" a="1"/>
  <c r="F67" i="1" s="1"/>
  <c r="R67" i="15" s="1"/>
  <c r="F11" i="1" a="1"/>
  <c r="F11" i="1" s="1"/>
  <c r="R11" i="15" s="1"/>
  <c r="F38" i="1" a="1"/>
  <c r="F38" i="1" s="1"/>
  <c r="R38" i="15" s="1"/>
  <c r="F90" i="1" a="1"/>
  <c r="F90" i="1" s="1"/>
  <c r="R90" i="15" s="1"/>
  <c r="F37" i="1" a="1"/>
  <c r="F37" i="1" s="1"/>
  <c r="R37" i="15" s="1"/>
  <c r="F26" i="1" a="1"/>
  <c r="F26" i="1" s="1"/>
  <c r="R26" i="15" s="1"/>
  <c r="F24" i="1" a="1"/>
  <c r="F24" i="1" s="1"/>
  <c r="R24" i="15" s="1"/>
  <c r="F35" i="1" a="1"/>
  <c r="F35" i="1" s="1"/>
  <c r="R35" i="15" s="1"/>
  <c r="F69" i="1" a="1"/>
  <c r="F69" i="1" s="1"/>
  <c r="R69" i="15" s="1"/>
  <c r="F5" i="1" a="1"/>
  <c r="F5" i="1" s="1"/>
  <c r="R5" i="15" s="1"/>
  <c r="F21" i="1" a="1"/>
  <c r="F21" i="1" s="1"/>
  <c r="R21" i="15" s="1"/>
  <c r="F16" i="1" a="1"/>
  <c r="F16" i="1" s="1"/>
  <c r="R16" i="15" s="1"/>
  <c r="F50" i="1" a="1"/>
  <c r="F50" i="1" s="1"/>
  <c r="R50" i="15" s="1"/>
  <c r="D5" i="1" a="1"/>
  <c r="D5" i="1" s="1"/>
  <c r="I5" i="15" s="1"/>
  <c r="F25" i="1" a="1"/>
  <c r="F25" i="1" s="1"/>
  <c r="R25" i="15" s="1"/>
  <c r="H5" i="1" a="1"/>
  <c r="H5" i="1" s="1"/>
  <c r="F45" i="1" a="1"/>
  <c r="F45" i="1" s="1"/>
  <c r="R45" i="15" s="1"/>
  <c r="F91" i="1" a="1"/>
  <c r="F91" i="1" s="1"/>
  <c r="R91" i="15" s="1"/>
  <c r="J5" i="1" a="1"/>
  <c r="J5" i="1" s="1"/>
  <c r="D11" i="1" a="1"/>
  <c r="D11" i="1" s="1"/>
  <c r="I11" i="15" s="1"/>
  <c r="H2" i="1" a="1"/>
  <c r="H2" i="1" s="1"/>
  <c r="F93" i="1" a="1"/>
  <c r="F93" i="1" s="1"/>
  <c r="R93" i="15" s="1"/>
  <c r="F100" i="1" a="1"/>
  <c r="F100" i="1" s="1"/>
  <c r="R100" i="15" s="1"/>
  <c r="F23" i="1" a="1"/>
  <c r="F23" i="1" s="1"/>
  <c r="R23" i="15" s="1"/>
  <c r="F6" i="1" a="1"/>
  <c r="F6" i="1" s="1"/>
  <c r="R6" i="15" s="1"/>
  <c r="D2" i="1" a="1"/>
  <c r="D2" i="1" s="1"/>
  <c r="I2" i="15" s="1"/>
  <c r="F27" i="1" a="1"/>
  <c r="F27" i="1" s="1"/>
  <c r="R27" i="15" s="1"/>
  <c r="F39" i="1" a="1"/>
  <c r="F39" i="1" s="1"/>
  <c r="R39" i="15" s="1"/>
  <c r="F96" i="1" a="1"/>
  <c r="F96" i="1" s="1"/>
  <c r="R96" i="15" s="1"/>
  <c r="F36" i="1" a="1"/>
  <c r="F36" i="1" s="1"/>
  <c r="R36" i="15" s="1"/>
  <c r="H8" i="1" a="1"/>
  <c r="H8" i="1" s="1"/>
  <c r="F20" i="1" a="1"/>
  <c r="F20" i="1" s="1"/>
  <c r="R20" i="15" s="1"/>
  <c r="F62" i="1" a="1"/>
  <c r="F62" i="1" s="1"/>
  <c r="R62" i="15" s="1"/>
  <c r="F33" i="1" a="1"/>
  <c r="F33" i="1" s="1"/>
  <c r="R33" i="15" s="1"/>
  <c r="F14" i="1" a="1"/>
  <c r="F14" i="1" s="1"/>
  <c r="R14" i="15" s="1"/>
  <c r="F57" i="1" a="1"/>
  <c r="F57" i="1" s="1"/>
  <c r="R57" i="15" s="1"/>
  <c r="F70" i="1" a="1"/>
  <c r="F70" i="1" s="1"/>
  <c r="R70" i="15" s="1"/>
  <c r="F42" i="1" a="1"/>
  <c r="F42" i="1" s="1"/>
  <c r="R42" i="15" s="1"/>
  <c r="F99" i="1" a="1"/>
  <c r="F99" i="1" s="1"/>
  <c r="R99" i="15" s="1"/>
  <c r="F43" i="1" a="1"/>
  <c r="F43" i="1" s="1"/>
  <c r="R43" i="15" s="1"/>
  <c r="J11" i="1" a="1"/>
  <c r="J11" i="1" s="1"/>
  <c r="F102" i="1" a="1"/>
  <c r="F102" i="1" s="1"/>
  <c r="R102" i="15" s="1"/>
  <c r="F28" i="1" a="1"/>
  <c r="F28" i="1" s="1"/>
  <c r="R28" i="15" s="1"/>
  <c r="F101" i="1" a="1"/>
  <c r="F101" i="1" s="1"/>
  <c r="R101" i="15" s="1"/>
  <c r="F41" i="1" a="1"/>
  <c r="F41" i="1" s="1"/>
  <c r="R41" i="15" s="1"/>
  <c r="F78" i="1" a="1"/>
  <c r="F78" i="1" s="1"/>
  <c r="R78" i="15" s="1"/>
  <c r="F32" i="1" a="1"/>
  <c r="F32" i="1" s="1"/>
  <c r="R32" i="15" s="1"/>
  <c r="F79" i="1" a="1"/>
  <c r="F79" i="1" s="1"/>
  <c r="R79" i="15" s="1"/>
  <c r="F82" i="1" a="1"/>
  <c r="F82" i="1" s="1"/>
  <c r="R82" i="15" s="1"/>
  <c r="F59" i="1" a="1"/>
  <c r="F59" i="1" s="1"/>
  <c r="R59" i="15" s="1"/>
  <c r="F58" i="1" a="1"/>
  <c r="F58" i="1" s="1"/>
  <c r="R58" i="15" s="1"/>
  <c r="F104" i="1" a="1"/>
  <c r="F104" i="1" s="1"/>
  <c r="R104" i="15" s="1"/>
  <c r="F74" i="1" a="1"/>
  <c r="F74" i="1" s="1"/>
  <c r="R74" i="15" s="1"/>
  <c r="J6" i="1" a="1"/>
  <c r="J6" i="1" s="1"/>
  <c r="F61" i="1" a="1"/>
  <c r="F61" i="1" s="1"/>
  <c r="R61" i="15" s="1"/>
  <c r="F40" i="1" a="1"/>
  <c r="F40" i="1" s="1"/>
  <c r="R40" i="15" s="1"/>
  <c r="F13" i="1" a="1"/>
  <c r="F13" i="1" s="1"/>
  <c r="R13" i="15" s="1"/>
  <c r="F97" i="1" a="1"/>
  <c r="F97" i="1" s="1"/>
  <c r="R97" i="15" s="1"/>
  <c r="F73" i="1" a="1"/>
  <c r="F73" i="1" s="1"/>
  <c r="R73" i="15" s="1"/>
  <c r="D6" i="1" a="1"/>
  <c r="D6" i="1" s="1"/>
  <c r="I6" i="15" s="1"/>
  <c r="I44" i="8"/>
  <c r="K44" i="4" s="1"/>
  <c r="K160" i="1" s="1" a="1"/>
  <c r="K160" i="1" s="1"/>
  <c r="L160" i="15" s="1"/>
  <c r="I84" i="8"/>
  <c r="K84" i="4" s="1"/>
  <c r="I56" i="8"/>
  <c r="K56" i="4" s="1"/>
  <c r="K103" i="1" s="1" a="1"/>
  <c r="K103" i="1" s="1"/>
  <c r="L103" i="15" s="1"/>
  <c r="I58" i="8"/>
  <c r="K58" i="4" s="1"/>
  <c r="K87" i="1" s="1" a="1"/>
  <c r="K87" i="1" s="1"/>
  <c r="L87" i="15" s="1"/>
  <c r="I21" i="8"/>
  <c r="I4" i="8"/>
  <c r="I27" i="8"/>
  <c r="K27" i="4" s="1"/>
  <c r="K165" i="1" s="1" a="1"/>
  <c r="K165" i="1" s="1"/>
  <c r="I74" i="8"/>
  <c r="K74" i="4" s="1"/>
  <c r="I22" i="8"/>
  <c r="I60" i="8"/>
  <c r="K60" i="4" s="1"/>
  <c r="I90" i="8"/>
  <c r="K90" i="4" s="1"/>
  <c r="I57" i="8"/>
  <c r="K57" i="4" s="1"/>
  <c r="K102" i="1" s="1" a="1"/>
  <c r="K102" i="1" s="1"/>
  <c r="L102" i="15" s="1"/>
  <c r="I97" i="8"/>
  <c r="K97" i="4" s="1"/>
  <c r="I86" i="8"/>
  <c r="K86" i="4" s="1"/>
  <c r="I12" i="8"/>
  <c r="K12" i="4" s="1"/>
  <c r="K75" i="1" s="1" a="1"/>
  <c r="K75" i="1" s="1"/>
  <c r="L75" i="15" s="1"/>
  <c r="I72" i="8"/>
  <c r="K72" i="4" s="1"/>
  <c r="I45" i="8"/>
  <c r="K45" i="4" s="1"/>
  <c r="K112" i="1" s="1" a="1"/>
  <c r="K112" i="1" s="1"/>
  <c r="L112" i="15" s="1"/>
  <c r="I33" i="8"/>
  <c r="K33" i="4" s="1"/>
  <c r="I54" i="8"/>
  <c r="K54" i="4" s="1"/>
  <c r="K41" i="1" s="1" a="1"/>
  <c r="K41" i="1" s="1"/>
  <c r="L41" i="15" s="1"/>
  <c r="I20" i="8"/>
  <c r="I18" i="8"/>
  <c r="K256" i="4"/>
  <c r="K255" i="4"/>
  <c r="K258" i="4"/>
  <c r="K253" i="4"/>
  <c r="K254" i="4"/>
  <c r="K257" i="4"/>
  <c r="K259" i="4"/>
  <c r="K260" i="4"/>
  <c r="I89" i="8"/>
  <c r="I73" i="8"/>
  <c r="K73" i="4" s="1"/>
  <c r="K146" i="1" s="1" a="1"/>
  <c r="K146" i="1" s="1"/>
  <c r="L146" i="15" s="1"/>
  <c r="I103" i="8"/>
  <c r="K103" i="4" s="1"/>
  <c r="K135" i="1" s="1" a="1"/>
  <c r="K135" i="1" s="1"/>
  <c r="L135" i="15" s="1"/>
  <c r="I100" i="8"/>
  <c r="K100" i="4" s="1"/>
  <c r="K124" i="1" s="1" a="1"/>
  <c r="K124" i="1" s="1"/>
  <c r="L124" i="15" s="1"/>
  <c r="I53" i="8"/>
  <c r="K53" i="4" s="1"/>
  <c r="K132" i="1" s="1" a="1"/>
  <c r="K132" i="1" s="1"/>
  <c r="L132" i="15" s="1"/>
  <c r="I7" i="8"/>
  <c r="I75" i="8"/>
  <c r="K75" i="4" s="1"/>
  <c r="I79" i="8"/>
  <c r="K79" i="4" s="1"/>
  <c r="K47" i="1" s="1" a="1"/>
  <c r="K47" i="1" s="1"/>
  <c r="L47" i="15" s="1"/>
  <c r="I19" i="8"/>
  <c r="K19" i="4" s="1"/>
  <c r="I93" i="8"/>
  <c r="K93" i="4" s="1"/>
  <c r="K105" i="1" s="1" a="1"/>
  <c r="K105" i="1" s="1"/>
  <c r="L105" i="15" s="1"/>
  <c r="I61" i="8"/>
  <c r="K61" i="4" s="1"/>
  <c r="K142" i="1" s="1" a="1"/>
  <c r="K142" i="1" s="1"/>
  <c r="L142" i="15" s="1"/>
  <c r="I13" i="8"/>
  <c r="I83" i="8"/>
  <c r="K83" i="4" s="1"/>
  <c r="K128" i="1" s="1" a="1"/>
  <c r="K128" i="1" s="1"/>
  <c r="L128" i="15" s="1"/>
  <c r="I8" i="8"/>
  <c r="I23" i="8"/>
  <c r="I11" i="8"/>
  <c r="K11" i="4" s="1"/>
  <c r="K147" i="1" s="1" a="1"/>
  <c r="K147" i="1" s="1"/>
  <c r="L147" i="15" s="1"/>
  <c r="I96" i="8"/>
  <c r="K96" i="4" s="1"/>
  <c r="K114" i="1" s="1" a="1"/>
  <c r="K114" i="1" s="1"/>
  <c r="L114" i="15" s="1"/>
  <c r="I91" i="8"/>
  <c r="K91" i="4" s="1"/>
  <c r="K101" i="1" s="1" a="1"/>
  <c r="K101" i="1" s="1"/>
  <c r="L101" i="15" s="1"/>
  <c r="I29" i="8"/>
  <c r="I25" i="8"/>
  <c r="K25" i="4" s="1"/>
  <c r="I31" i="8"/>
  <c r="I52" i="8"/>
  <c r="K52" i="4" s="1"/>
  <c r="I39" i="8"/>
  <c r="K39" i="4" s="1"/>
  <c r="I34" i="8"/>
  <c r="I37" i="8"/>
  <c r="I65" i="8"/>
  <c r="K65" i="4" s="1"/>
  <c r="I63" i="8"/>
  <c r="K63" i="4" s="1"/>
  <c r="I66" i="8"/>
  <c r="K66" i="4" s="1"/>
  <c r="K49" i="1" s="1" a="1"/>
  <c r="K49" i="1" s="1"/>
  <c r="L49" i="15" s="1"/>
  <c r="I99" i="8"/>
  <c r="K99" i="4" s="1"/>
  <c r="P2" i="4"/>
  <c r="L55" i="1" s="1" a="1"/>
  <c r="L55" i="1" s="1"/>
  <c r="I64" i="8"/>
  <c r="K64" i="4" s="1"/>
  <c r="K138" i="1" s="1" a="1"/>
  <c r="K138" i="1" s="1"/>
  <c r="L138" i="15" s="1"/>
  <c r="I98" i="8"/>
  <c r="K98" i="4" s="1"/>
  <c r="K130" i="1" s="1" a="1"/>
  <c r="K130" i="1" s="1"/>
  <c r="L130" i="15" s="1"/>
  <c r="I69" i="8"/>
  <c r="K69" i="4" s="1"/>
  <c r="I15" i="8"/>
  <c r="I78" i="8"/>
  <c r="K78" i="4" s="1"/>
  <c r="I10" i="8"/>
  <c r="K10" i="4" s="1"/>
  <c r="I16" i="8"/>
  <c r="I46" i="8"/>
  <c r="K46" i="4" s="1"/>
  <c r="K117" i="1" s="1" a="1"/>
  <c r="K117" i="1" s="1"/>
  <c r="L117" i="15" s="1"/>
  <c r="I26" i="8"/>
  <c r="I30" i="8"/>
  <c r="I95" i="8"/>
  <c r="K95" i="4" s="1"/>
  <c r="I88" i="8"/>
  <c r="K88" i="4" s="1"/>
  <c r="I70" i="8"/>
  <c r="K70" i="4" s="1"/>
  <c r="K126" i="1" s="1" a="1"/>
  <c r="K126" i="1" s="1"/>
  <c r="L126" i="15" s="1"/>
  <c r="I82" i="8"/>
  <c r="K82" i="4" s="1"/>
  <c r="K84" i="1" s="1" a="1"/>
  <c r="K84" i="1" s="1"/>
  <c r="L84" i="15" s="1"/>
  <c r="I9" i="8"/>
  <c r="I49" i="8"/>
  <c r="K49" i="4" s="1"/>
  <c r="I71" i="8"/>
  <c r="K71" i="4" s="1"/>
  <c r="K88" i="1" s="1" a="1"/>
  <c r="K88" i="1" s="1"/>
  <c r="L88" i="15" s="1"/>
  <c r="I43" i="8"/>
  <c r="K43" i="4" s="1"/>
  <c r="K170" i="1" s="1" a="1"/>
  <c r="K170" i="1" s="1"/>
  <c r="I77" i="8"/>
  <c r="K77" i="4" s="1"/>
  <c r="I51" i="8"/>
  <c r="K51" i="4" s="1"/>
  <c r="I35" i="8"/>
  <c r="I81" i="8"/>
  <c r="K81" i="4" s="1"/>
  <c r="K148" i="1" s="1" a="1"/>
  <c r="K148" i="1" s="1"/>
  <c r="L148" i="15" s="1"/>
  <c r="I55" i="8"/>
  <c r="K55" i="4" s="1"/>
  <c r="K140" i="1" s="1" a="1"/>
  <c r="K140" i="1" s="1"/>
  <c r="L140" i="15" s="1"/>
  <c r="I50" i="8"/>
  <c r="K50" i="4" s="1"/>
  <c r="I38" i="8"/>
  <c r="I68" i="8"/>
  <c r="K68" i="4" s="1"/>
  <c r="K113" i="1" s="1" a="1"/>
  <c r="K113" i="1" s="1"/>
  <c r="L113" i="15" s="1"/>
  <c r="I6" i="8"/>
  <c r="I101" i="8"/>
  <c r="K101" i="4" s="1"/>
  <c r="I59" i="8"/>
  <c r="K59" i="4" s="1"/>
  <c r="K164" i="1" s="1" a="1"/>
  <c r="K164" i="1" s="1"/>
  <c r="I42" i="8"/>
  <c r="K42" i="4" s="1"/>
  <c r="I41" i="8"/>
  <c r="I76" i="8"/>
  <c r="K76" i="4" s="1"/>
  <c r="I17" i="8"/>
  <c r="I24" i="8"/>
  <c r="I67" i="8"/>
  <c r="K67" i="4" s="1"/>
  <c r="K108" i="1" s="1" a="1"/>
  <c r="K108" i="1" s="1"/>
  <c r="L108" i="15" s="1"/>
  <c r="I3" i="8"/>
  <c r="I47" i="8"/>
  <c r="K47" i="4" s="1"/>
  <c r="I92" i="8"/>
  <c r="K92" i="4" s="1"/>
  <c r="K131" i="1" s="1" a="1"/>
  <c r="K131" i="1" s="1"/>
  <c r="L131" i="15" s="1"/>
  <c r="I80" i="8"/>
  <c r="K80" i="4" s="1"/>
  <c r="K133" i="1" s="1" a="1"/>
  <c r="K133" i="1" s="1"/>
  <c r="L133" i="15" s="1"/>
  <c r="I40" i="8"/>
  <c r="K40" i="4" s="1"/>
  <c r="I28" i="8"/>
  <c r="I14" i="8"/>
  <c r="I62" i="8"/>
  <c r="K62" i="4" s="1"/>
  <c r="I102" i="8"/>
  <c r="K102" i="4" s="1"/>
  <c r="K134" i="1" s="1" a="1"/>
  <c r="K134" i="1" s="1"/>
  <c r="L134" i="15" s="1"/>
  <c r="I5" i="8"/>
  <c r="I94" i="8"/>
  <c r="K94" i="4" s="1"/>
  <c r="I36" i="8"/>
  <c r="I85" i="8"/>
  <c r="K85" i="4" s="1"/>
  <c r="I48" i="8"/>
  <c r="K48" i="4" s="1"/>
  <c r="K155" i="1" s="1" a="1"/>
  <c r="K155" i="1" s="1"/>
  <c r="L155" i="15" s="1"/>
  <c r="I32" i="8"/>
  <c r="J299" i="15" l="1"/>
  <c r="J302" i="15"/>
  <c r="L302" i="15"/>
  <c r="L304" i="15"/>
  <c r="J305" i="15"/>
  <c r="L306" i="15"/>
  <c r="J306" i="15"/>
  <c r="L307" i="15"/>
  <c r="L308" i="15"/>
  <c r="L482" i="15"/>
  <c r="J496" i="15"/>
  <c r="J500" i="15"/>
  <c r="J504" i="15"/>
  <c r="J508" i="15"/>
  <c r="J512" i="15"/>
  <c r="J516" i="15"/>
  <c r="J520" i="15"/>
  <c r="J546" i="15"/>
  <c r="L549" i="15"/>
  <c r="J553" i="15"/>
  <c r="L165" i="15"/>
  <c r="L170" i="15"/>
  <c r="L164" i="15"/>
  <c r="L287" i="15"/>
  <c r="L277" i="15"/>
  <c r="L278" i="15"/>
  <c r="L279" i="15"/>
  <c r="L284" i="15"/>
  <c r="L391" i="15"/>
  <c r="L393" i="15"/>
  <c r="L395" i="15"/>
  <c r="L435" i="15"/>
  <c r="L438" i="15"/>
  <c r="L439" i="15"/>
  <c r="L440" i="15"/>
  <c r="L394" i="15"/>
  <c r="L397" i="15"/>
  <c r="L400" i="15"/>
  <c r="L401" i="15"/>
  <c r="L405" i="15"/>
  <c r="L407" i="15"/>
  <c r="L411" i="15"/>
  <c r="L415" i="15"/>
  <c r="L419" i="15"/>
  <c r="L422" i="15"/>
  <c r="L426" i="15"/>
  <c r="L478" i="15"/>
  <c r="L490" i="15"/>
  <c r="L493" i="15"/>
  <c r="L497" i="15"/>
  <c r="L501" i="15"/>
  <c r="L505" i="15"/>
  <c r="L509" i="15"/>
  <c r="L513" i="15"/>
  <c r="L517" i="15"/>
  <c r="L521" i="15"/>
  <c r="L525" i="15"/>
  <c r="L529" i="15"/>
  <c r="L533" i="15"/>
  <c r="L537" i="15"/>
  <c r="L541" i="15"/>
  <c r="L547" i="15"/>
  <c r="L552" i="15"/>
  <c r="J692" i="15"/>
  <c r="L204" i="15"/>
  <c r="L207" i="15"/>
  <c r="L209" i="15"/>
  <c r="L189" i="15"/>
  <c r="L190" i="15"/>
  <c r="L191" i="15"/>
  <c r="L192" i="15"/>
  <c r="L195" i="15"/>
  <c r="L199" i="15"/>
  <c r="L188" i="15"/>
  <c r="L197" i="15"/>
  <c r="L198" i="15"/>
  <c r="L200" i="15"/>
  <c r="L205" i="15"/>
  <c r="L203" i="15"/>
  <c r="L206" i="15"/>
  <c r="L215" i="15"/>
  <c r="L217" i="15"/>
  <c r="L219" i="15"/>
  <c r="L210" i="15"/>
  <c r="L211" i="15"/>
  <c r="L213" i="15"/>
  <c r="L220" i="15"/>
  <c r="L193" i="15"/>
  <c r="L194" i="15"/>
  <c r="L212" i="15"/>
  <c r="L224" i="15"/>
  <c r="L225" i="15"/>
  <c r="L226" i="15"/>
  <c r="L230" i="15"/>
  <c r="L234" i="15"/>
  <c r="L239" i="15"/>
  <c r="L240" i="15"/>
  <c r="L227" i="15"/>
  <c r="L235" i="15"/>
  <c r="L222" i="15"/>
  <c r="L223" i="15"/>
  <c r="L232" i="15"/>
  <c r="L233" i="15"/>
  <c r="L236" i="15"/>
  <c r="L241" i="15"/>
  <c r="L245" i="15"/>
  <c r="L250" i="15"/>
  <c r="L251" i="15"/>
  <c r="L253" i="15"/>
  <c r="L252" i="15"/>
  <c r="L257" i="15"/>
  <c r="L264" i="15"/>
  <c r="L246" i="15"/>
  <c r="L255" i="15"/>
  <c r="L258" i="15"/>
  <c r="L259" i="15"/>
  <c r="L261" i="15"/>
  <c r="L268" i="15"/>
  <c r="L256" i="15"/>
  <c r="L262" i="15"/>
  <c r="L265" i="15"/>
  <c r="L266" i="15"/>
  <c r="L276" i="15"/>
  <c r="L272" i="15"/>
  <c r="L281" i="15"/>
  <c r="L282" i="15"/>
  <c r="L283" i="15"/>
  <c r="L285" i="15"/>
  <c r="L292" i="15"/>
  <c r="L299" i="15"/>
  <c r="L305" i="15"/>
  <c r="L273" i="15"/>
  <c r="L286" i="15"/>
  <c r="L289" i="15"/>
  <c r="L294" i="15"/>
  <c r="L296" i="15"/>
  <c r="L303" i="15"/>
  <c r="L309" i="15"/>
  <c r="L310" i="15"/>
  <c r="L290" i="15"/>
  <c r="L297" i="15"/>
  <c r="L300" i="15"/>
  <c r="L301" i="15"/>
  <c r="L311" i="15"/>
  <c r="L312" i="15"/>
  <c r="L317" i="15"/>
  <c r="L321" i="15"/>
  <c r="L322" i="15"/>
  <c r="L324" i="15"/>
  <c r="L326" i="15"/>
  <c r="L334" i="15"/>
  <c r="L318" i="15"/>
  <c r="L319" i="15"/>
  <c r="L327" i="15"/>
  <c r="L329" i="15"/>
  <c r="L330" i="15"/>
  <c r="L331" i="15"/>
  <c r="L335" i="15"/>
  <c r="L338" i="15"/>
  <c r="L339" i="15"/>
  <c r="L341" i="15"/>
  <c r="L343" i="15"/>
  <c r="L313" i="15"/>
  <c r="L332" i="15"/>
  <c r="L333" i="15"/>
  <c r="L336" i="15"/>
  <c r="L337" i="15"/>
  <c r="L346" i="15"/>
  <c r="L348" i="15"/>
  <c r="L350" i="15"/>
  <c r="L352" i="15"/>
  <c r="L354" i="15"/>
  <c r="L357" i="15"/>
  <c r="L359" i="15"/>
  <c r="L361" i="15"/>
  <c r="L363" i="15"/>
  <c r="L365" i="15"/>
  <c r="L367" i="15"/>
  <c r="L369" i="15"/>
  <c r="L371" i="15"/>
  <c r="L373" i="15"/>
  <c r="L375" i="15"/>
  <c r="L377" i="15"/>
  <c r="L379" i="15"/>
  <c r="L381" i="15"/>
  <c r="L383" i="15"/>
  <c r="L385" i="15"/>
  <c r="L387" i="15"/>
  <c r="L392" i="15"/>
  <c r="L355" i="15"/>
  <c r="L389" i="15"/>
  <c r="L390" i="15"/>
  <c r="L356" i="15"/>
  <c r="L358" i="15"/>
  <c r="L360" i="15"/>
  <c r="L362" i="15"/>
  <c r="L364" i="15"/>
  <c r="L366" i="15"/>
  <c r="L368" i="15"/>
  <c r="L370" i="15"/>
  <c r="L372" i="15"/>
  <c r="L374" i="15"/>
  <c r="L376" i="15"/>
  <c r="L378" i="15"/>
  <c r="L380" i="15"/>
  <c r="L382" i="15"/>
  <c r="L384" i="15"/>
  <c r="L396" i="15"/>
  <c r="L398" i="15"/>
  <c r="L399" i="15"/>
  <c r="L403" i="15"/>
  <c r="L410" i="15"/>
  <c r="L414" i="15"/>
  <c r="L418" i="15"/>
  <c r="L423" i="15"/>
  <c r="L427" i="15"/>
  <c r="L185" i="15"/>
  <c r="L94" i="15"/>
  <c r="L275" i="15"/>
  <c r="L280" i="15"/>
  <c r="L288" i="15"/>
  <c r="L295" i="15"/>
  <c r="L434" i="15"/>
  <c r="L444" i="15"/>
  <c r="L448" i="15"/>
  <c r="L388" i="15"/>
  <c r="L402" i="15"/>
  <c r="L406" i="15"/>
  <c r="J408" i="15"/>
  <c r="L412" i="15"/>
  <c r="J413" i="15"/>
  <c r="L416" i="15"/>
  <c r="J417" i="15"/>
  <c r="L420" i="15"/>
  <c r="L421" i="15"/>
  <c r="L425" i="15"/>
  <c r="L429" i="15"/>
  <c r="L430" i="15"/>
  <c r="L431" i="15"/>
  <c r="L432" i="15"/>
  <c r="L433" i="15"/>
  <c r="J438" i="15"/>
  <c r="J439" i="15"/>
  <c r="J440" i="15"/>
  <c r="L443" i="15"/>
  <c r="J399" i="15"/>
  <c r="J403" i="15"/>
  <c r="J404" i="15"/>
  <c r="L404" i="15"/>
  <c r="J405" i="15"/>
  <c r="L408" i="15"/>
  <c r="J409" i="15"/>
  <c r="L409" i="15"/>
  <c r="J410" i="15"/>
  <c r="L413" i="15"/>
  <c r="J414" i="15"/>
  <c r="L417" i="15"/>
  <c r="J418" i="15"/>
  <c r="J424" i="15"/>
  <c r="L424" i="15"/>
  <c r="J428" i="15"/>
  <c r="L428" i="15"/>
  <c r="J436" i="15"/>
  <c r="L436" i="15"/>
  <c r="L437" i="15"/>
  <c r="L441" i="15"/>
  <c r="J442" i="15"/>
  <c r="L442" i="15"/>
  <c r="L446" i="15"/>
  <c r="L452" i="15"/>
  <c r="L456" i="15"/>
  <c r="L460" i="15"/>
  <c r="L464" i="15"/>
  <c r="L468" i="15"/>
  <c r="L472" i="15"/>
  <c r="L476" i="15"/>
  <c r="L480" i="15"/>
  <c r="L495" i="15"/>
  <c r="L499" i="15"/>
  <c r="L503" i="15"/>
  <c r="L507" i="15"/>
  <c r="L511" i="15"/>
  <c r="L515" i="15"/>
  <c r="L519" i="15"/>
  <c r="L523" i="15"/>
  <c r="L527" i="15"/>
  <c r="L531" i="15"/>
  <c r="L535" i="15"/>
  <c r="L539" i="15"/>
  <c r="L445" i="15"/>
  <c r="L451" i="15"/>
  <c r="L455" i="15"/>
  <c r="L459" i="15"/>
  <c r="L463" i="15"/>
  <c r="L467" i="15"/>
  <c r="L471" i="15"/>
  <c r="L475" i="15"/>
  <c r="L479" i="15"/>
  <c r="L483" i="15"/>
  <c r="L484" i="15"/>
  <c r="L485" i="15"/>
  <c r="L486" i="15"/>
  <c r="L487" i="15"/>
  <c r="L488" i="15"/>
  <c r="L489" i="15"/>
  <c r="L494" i="15"/>
  <c r="L498" i="15"/>
  <c r="L502" i="15"/>
  <c r="L506" i="15"/>
  <c r="L510" i="15"/>
  <c r="L514" i="15"/>
  <c r="L518" i="15"/>
  <c r="L522" i="15"/>
  <c r="L526" i="15"/>
  <c r="L530" i="15"/>
  <c r="L534" i="15"/>
  <c r="L538" i="15"/>
  <c r="L542" i="15"/>
  <c r="L543" i="15"/>
  <c r="L544" i="15"/>
  <c r="L449" i="15"/>
  <c r="L454" i="15"/>
  <c r="L458" i="15"/>
  <c r="L462" i="15"/>
  <c r="L466" i="15"/>
  <c r="L470" i="15"/>
  <c r="L474" i="15"/>
  <c r="L546" i="15"/>
  <c r="L637" i="15"/>
  <c r="L645" i="15"/>
  <c r="L649" i="15"/>
  <c r="L660" i="15"/>
  <c r="L175" i="15"/>
  <c r="L177" i="15"/>
  <c r="L172" i="15"/>
  <c r="L477" i="15"/>
  <c r="L481" i="15"/>
  <c r="L491" i="15"/>
  <c r="L492" i="15"/>
  <c r="L496" i="15"/>
  <c r="L500" i="15"/>
  <c r="L504" i="15"/>
  <c r="L508" i="15"/>
  <c r="L512" i="15"/>
  <c r="L516" i="15"/>
  <c r="L520" i="15"/>
  <c r="J524" i="15"/>
  <c r="L524" i="15"/>
  <c r="J528" i="15"/>
  <c r="L528" i="15"/>
  <c r="J532" i="15"/>
  <c r="L532" i="15"/>
  <c r="J536" i="15"/>
  <c r="L536" i="15"/>
  <c r="J540" i="15"/>
  <c r="L540" i="15"/>
  <c r="L553" i="15"/>
  <c r="L555" i="15"/>
  <c r="L545" i="15"/>
  <c r="J549" i="15"/>
  <c r="L562" i="15"/>
  <c r="L566" i="15"/>
  <c r="L570" i="15"/>
  <c r="L574" i="15"/>
  <c r="L578" i="15"/>
  <c r="L582" i="15"/>
  <c r="L586" i="15"/>
  <c r="L590" i="15"/>
  <c r="L596" i="15"/>
  <c r="L597" i="15"/>
  <c r="L599" i="15"/>
  <c r="L600" i="15"/>
  <c r="L605" i="15"/>
  <c r="L606" i="15"/>
  <c r="L607" i="15"/>
  <c r="J544" i="15"/>
  <c r="J545" i="15"/>
  <c r="J548" i="15"/>
  <c r="L548" i="15"/>
  <c r="L550" i="15"/>
  <c r="L554" i="15"/>
  <c r="L561" i="15"/>
  <c r="L565" i="15"/>
  <c r="L569" i="15"/>
  <c r="L573" i="15"/>
  <c r="L577" i="15"/>
  <c r="L581" i="15"/>
  <c r="L585" i="15"/>
  <c r="L589" i="15"/>
  <c r="L593" i="15"/>
  <c r="L595" i="15"/>
  <c r="L604" i="15"/>
  <c r="L608" i="15"/>
  <c r="L610" i="15"/>
  <c r="L611" i="15"/>
  <c r="L612" i="15"/>
  <c r="L613" i="15"/>
  <c r="L614" i="15"/>
  <c r="L615" i="15"/>
  <c r="L616" i="15"/>
  <c r="L617" i="15"/>
  <c r="L618" i="15"/>
  <c r="L619" i="15"/>
  <c r="L620" i="15"/>
  <c r="L621" i="15"/>
  <c r="L622" i="15"/>
  <c r="L623" i="15"/>
  <c r="L624" i="15"/>
  <c r="L625" i="15"/>
  <c r="L626" i="15"/>
  <c r="J547" i="15"/>
  <c r="L556" i="15"/>
  <c r="L560" i="15"/>
  <c r="L564" i="15"/>
  <c r="L568" i="15"/>
  <c r="L572" i="15"/>
  <c r="L576" i="15"/>
  <c r="L580" i="15"/>
  <c r="L584" i="15"/>
  <c r="L588" i="15"/>
  <c r="L592" i="15"/>
  <c r="L594" i="15"/>
  <c r="L598" i="15"/>
  <c r="L601" i="15"/>
  <c r="L603" i="15"/>
  <c r="L609" i="15"/>
  <c r="L653" i="15"/>
  <c r="L659" i="15"/>
  <c r="L687" i="15"/>
  <c r="L691" i="15"/>
  <c r="L695" i="15"/>
  <c r="L699" i="15"/>
  <c r="L703" i="15"/>
  <c r="L636" i="15"/>
  <c r="L646" i="15"/>
  <c r="L650" i="15"/>
  <c r="L654" i="15"/>
  <c r="L656" i="15"/>
  <c r="L665" i="15"/>
  <c r="L667" i="15"/>
  <c r="L678" i="15"/>
  <c r="L682" i="15"/>
  <c r="L686" i="15"/>
  <c r="L690" i="15"/>
  <c r="L694" i="15"/>
  <c r="L698" i="15"/>
  <c r="L702" i="15"/>
  <c r="L706" i="15"/>
  <c r="L707" i="15"/>
  <c r="L708" i="15"/>
  <c r="L709" i="15"/>
  <c r="L710" i="15"/>
  <c r="L711" i="15"/>
  <c r="L635" i="15"/>
  <c r="L639" i="15"/>
  <c r="L647" i="15"/>
  <c r="L651" i="15"/>
  <c r="L655" i="15"/>
  <c r="L657" i="15"/>
  <c r="L669" i="15"/>
  <c r="L673" i="15"/>
  <c r="L676" i="15"/>
  <c r="L677" i="15"/>
  <c r="L681" i="15"/>
  <c r="L685" i="15"/>
  <c r="L689" i="15"/>
  <c r="L693" i="15"/>
  <c r="L697" i="15"/>
  <c r="L701" i="15"/>
  <c r="L705" i="15"/>
  <c r="L661" i="15"/>
  <c r="L173" i="15"/>
  <c r="L181" i="15"/>
  <c r="L179" i="15"/>
  <c r="L679" i="15"/>
  <c r="L683" i="15"/>
  <c r="L180" i="15"/>
  <c r="L182" i="15"/>
  <c r="L127" i="15"/>
  <c r="L83" i="15"/>
  <c r="L153" i="15"/>
  <c r="L145" i="15"/>
  <c r="L118" i="15"/>
  <c r="L119" i="15"/>
  <c r="L144" i="15"/>
  <c r="L162" i="15"/>
  <c r="L157" i="15"/>
  <c r="J400" i="15"/>
  <c r="J206" i="15"/>
  <c r="J292" i="15"/>
  <c r="J492" i="15"/>
  <c r="J204" i="15"/>
  <c r="J281" i="15"/>
  <c r="J282" i="15"/>
  <c r="J285" i="15"/>
  <c r="J481" i="15"/>
  <c r="J688" i="15"/>
  <c r="J271" i="15"/>
  <c r="J427" i="15"/>
  <c r="J470" i="15"/>
  <c r="J684" i="15"/>
  <c r="J275" i="15"/>
  <c r="J279" i="15"/>
  <c r="J477" i="15"/>
  <c r="J192" i="15"/>
  <c r="J205" i="15"/>
  <c r="J207" i="15"/>
  <c r="J189" i="15"/>
  <c r="J191" i="15"/>
  <c r="J193" i="15"/>
  <c r="J195" i="15"/>
  <c r="J198" i="15"/>
  <c r="J199" i="15"/>
  <c r="J200" i="15"/>
  <c r="J201" i="15"/>
  <c r="J187" i="15"/>
  <c r="J188" i="15"/>
  <c r="J194" i="15"/>
  <c r="J197" i="15"/>
  <c r="J202" i="15"/>
  <c r="J215" i="15"/>
  <c r="J217" i="15"/>
  <c r="J219" i="15"/>
  <c r="J220" i="15"/>
  <c r="J210" i="15"/>
  <c r="J211" i="15"/>
  <c r="J212" i="15"/>
  <c r="J213" i="15"/>
  <c r="J208" i="15"/>
  <c r="J216" i="15"/>
  <c r="J221" i="15"/>
  <c r="J224" i="15"/>
  <c r="J227" i="15"/>
  <c r="J230" i="15"/>
  <c r="J232" i="15"/>
  <c r="J235" i="15"/>
  <c r="J236" i="15"/>
  <c r="J239" i="15"/>
  <c r="J240" i="15"/>
  <c r="J243" i="15"/>
  <c r="J246" i="15"/>
  <c r="J222" i="15"/>
  <c r="J225" i="15"/>
  <c r="J228" i="15"/>
  <c r="J231" i="15"/>
  <c r="J233" i="15"/>
  <c r="J237" i="15"/>
  <c r="J229" i="15"/>
  <c r="J241" i="15"/>
  <c r="J242" i="15"/>
  <c r="J251" i="15"/>
  <c r="J254" i="15"/>
  <c r="J252" i="15"/>
  <c r="J258" i="15"/>
  <c r="J261" i="15"/>
  <c r="J268" i="15"/>
  <c r="J256" i="15"/>
  <c r="J259" i="15"/>
  <c r="J262" i="15"/>
  <c r="J265" i="15"/>
  <c r="J248" i="15"/>
  <c r="J255" i="15"/>
  <c r="J260" i="15"/>
  <c r="J263" i="15"/>
  <c r="J266" i="15"/>
  <c r="J269" i="15"/>
  <c r="J270" i="15"/>
  <c r="J273" i="15"/>
  <c r="J280" i="15"/>
  <c r="J283" i="15"/>
  <c r="J286" i="15"/>
  <c r="J289" i="15"/>
  <c r="J294" i="15"/>
  <c r="J296" i="15"/>
  <c r="J303" i="15"/>
  <c r="J278" i="15"/>
  <c r="J284" i="15"/>
  <c r="J287" i="15"/>
  <c r="J290" i="15"/>
  <c r="J297" i="15"/>
  <c r="J300" i="15"/>
  <c r="J307" i="15"/>
  <c r="J309" i="15"/>
  <c r="J310" i="15"/>
  <c r="J274" i="15"/>
  <c r="J277" i="15"/>
  <c r="J288" i="15"/>
  <c r="J291" i="15"/>
  <c r="J293" i="15"/>
  <c r="J295" i="15"/>
  <c r="J298" i="15"/>
  <c r="J301" i="15"/>
  <c r="J304" i="15"/>
  <c r="J308" i="15"/>
  <c r="J312" i="15"/>
  <c r="J321" i="15"/>
  <c r="J324" i="15"/>
  <c r="J326" i="15"/>
  <c r="J329" i="15"/>
  <c r="J335" i="15"/>
  <c r="J341" i="15"/>
  <c r="J343" i="15"/>
  <c r="J345" i="15"/>
  <c r="J347" i="15"/>
  <c r="J349" i="15"/>
  <c r="J318" i="15"/>
  <c r="J320" i="15"/>
  <c r="J325" i="15"/>
  <c r="J327" i="15"/>
  <c r="J328" i="15"/>
  <c r="J330" i="15"/>
  <c r="J331" i="15"/>
  <c r="J332" i="15"/>
  <c r="J333" i="15"/>
  <c r="J337" i="15"/>
  <c r="J338" i="15"/>
  <c r="J339" i="15"/>
  <c r="J319" i="15"/>
  <c r="J336" i="15"/>
  <c r="J340" i="15"/>
  <c r="J342" i="15"/>
  <c r="J344" i="15"/>
  <c r="J346" i="15"/>
  <c r="J348" i="15"/>
  <c r="J350" i="15"/>
  <c r="J352" i="15"/>
  <c r="J354" i="15"/>
  <c r="J356" i="15"/>
  <c r="J389" i="15"/>
  <c r="J392" i="15"/>
  <c r="J351" i="15"/>
  <c r="J355" i="15"/>
  <c r="J358" i="15"/>
  <c r="J360" i="15"/>
  <c r="J362" i="15"/>
  <c r="J364" i="15"/>
  <c r="J366" i="15"/>
  <c r="J368" i="15"/>
  <c r="J370" i="15"/>
  <c r="J372" i="15"/>
  <c r="J374" i="15"/>
  <c r="J376" i="15"/>
  <c r="J378" i="15"/>
  <c r="J380" i="15"/>
  <c r="J382" i="15"/>
  <c r="J384" i="15"/>
  <c r="J386" i="15"/>
  <c r="J388" i="15"/>
  <c r="J390" i="15"/>
  <c r="J395" i="15"/>
  <c r="J353" i="15"/>
  <c r="J396" i="15"/>
  <c r="J398" i="15"/>
  <c r="J407" i="15"/>
  <c r="J411" i="15"/>
  <c r="J415" i="15"/>
  <c r="J419" i="15"/>
  <c r="J423" i="15"/>
  <c r="J435" i="15"/>
  <c r="J401" i="15"/>
  <c r="J406" i="15"/>
  <c r="J412" i="15"/>
  <c r="J416" i="15"/>
  <c r="J420" i="15"/>
  <c r="J422" i="15"/>
  <c r="J433" i="15"/>
  <c r="J434" i="15"/>
  <c r="J437" i="15"/>
  <c r="J444" i="15"/>
  <c r="J448" i="15"/>
  <c r="J397" i="15"/>
  <c r="J402" i="15"/>
  <c r="J421" i="15"/>
  <c r="J425" i="15"/>
  <c r="J429" i="15"/>
  <c r="J430" i="15"/>
  <c r="J432" i="15"/>
  <c r="J441" i="15"/>
  <c r="J443" i="15"/>
  <c r="J446" i="15"/>
  <c r="J452" i="15"/>
  <c r="J456" i="15"/>
  <c r="J460" i="15"/>
  <c r="J464" i="15"/>
  <c r="J468" i="15"/>
  <c r="J472" i="15"/>
  <c r="J476" i="15"/>
  <c r="J480" i="15"/>
  <c r="J484" i="15"/>
  <c r="J486" i="15"/>
  <c r="J488" i="15"/>
  <c r="J495" i="15"/>
  <c r="J499" i="15"/>
  <c r="J503" i="15"/>
  <c r="J507" i="15"/>
  <c r="J511" i="15"/>
  <c r="J515" i="15"/>
  <c r="J519" i="15"/>
  <c r="J523" i="15"/>
  <c r="J527" i="15"/>
  <c r="J531" i="15"/>
  <c r="J535" i="15"/>
  <c r="J539" i="15"/>
  <c r="J451" i="15"/>
  <c r="J455" i="15"/>
  <c r="J459" i="15"/>
  <c r="J463" i="15"/>
  <c r="J467" i="15"/>
  <c r="J471" i="15"/>
  <c r="J475" i="15"/>
  <c r="J479" i="15"/>
  <c r="J483" i="15"/>
  <c r="J485" i="15"/>
  <c r="J487" i="15"/>
  <c r="J489" i="15"/>
  <c r="J490" i="15"/>
  <c r="J494" i="15"/>
  <c r="J498" i="15"/>
  <c r="J502" i="15"/>
  <c r="J506" i="15"/>
  <c r="J510" i="15"/>
  <c r="J514" i="15"/>
  <c r="J518" i="15"/>
  <c r="J522" i="15"/>
  <c r="J526" i="15"/>
  <c r="J530" i="15"/>
  <c r="J534" i="15"/>
  <c r="J538" i="15"/>
  <c r="J542" i="15"/>
  <c r="J543" i="15"/>
  <c r="J454" i="15"/>
  <c r="J458" i="15"/>
  <c r="J462" i="15"/>
  <c r="J466" i="15"/>
  <c r="J474" i="15"/>
  <c r="J478" i="15"/>
  <c r="J482" i="15"/>
  <c r="J493" i="15"/>
  <c r="J497" i="15"/>
  <c r="J501" i="15"/>
  <c r="J505" i="15"/>
  <c r="J509" i="15"/>
  <c r="J513" i="15"/>
  <c r="J517" i="15"/>
  <c r="J521" i="15"/>
  <c r="J525" i="15"/>
  <c r="J529" i="15"/>
  <c r="J533" i="15"/>
  <c r="J537" i="15"/>
  <c r="J541" i="15"/>
  <c r="J555" i="15"/>
  <c r="J550" i="15"/>
  <c r="J551" i="15"/>
  <c r="J559" i="15"/>
  <c r="J558" i="15"/>
  <c r="J562" i="15"/>
  <c r="J566" i="15"/>
  <c r="J570" i="15"/>
  <c r="J574" i="15"/>
  <c r="J578" i="15"/>
  <c r="J582" i="15"/>
  <c r="J586" i="15"/>
  <c r="J590" i="15"/>
  <c r="J596" i="15"/>
  <c r="J598" i="15"/>
  <c r="J606" i="15"/>
  <c r="J608" i="15"/>
  <c r="J554" i="15"/>
  <c r="J561" i="15"/>
  <c r="J565" i="15"/>
  <c r="J569" i="15"/>
  <c r="J573" i="15"/>
  <c r="J577" i="15"/>
  <c r="J581" i="15"/>
  <c r="J585" i="15"/>
  <c r="J589" i="15"/>
  <c r="J593" i="15"/>
  <c r="J595" i="15"/>
  <c r="J604" i="15"/>
  <c r="J610" i="15"/>
  <c r="J560" i="15"/>
  <c r="J564" i="15"/>
  <c r="J568" i="15"/>
  <c r="J572" i="15"/>
  <c r="J576" i="15"/>
  <c r="J580" i="15"/>
  <c r="J584" i="15"/>
  <c r="J588" i="15"/>
  <c r="J592" i="15"/>
  <c r="J594" i="15"/>
  <c r="J601" i="15"/>
  <c r="J603" i="15"/>
  <c r="J609" i="15"/>
  <c r="J627" i="15"/>
  <c r="J628" i="15"/>
  <c r="J629" i="15"/>
  <c r="J630" i="15"/>
  <c r="J631" i="15"/>
  <c r="J632" i="15"/>
  <c r="J633" i="15"/>
  <c r="J634" i="15"/>
  <c r="J638" i="15"/>
  <c r="J646" i="15"/>
  <c r="J650" i="15"/>
  <c r="J654" i="15"/>
  <c r="J659" i="15"/>
  <c r="J665" i="15"/>
  <c r="J667" i="15"/>
  <c r="J669" i="15"/>
  <c r="J679" i="15"/>
  <c r="J683" i="15"/>
  <c r="J687" i="15"/>
  <c r="J691" i="15"/>
  <c r="J695" i="15"/>
  <c r="J699" i="15"/>
  <c r="J703" i="15"/>
  <c r="J708" i="15"/>
  <c r="J710" i="15"/>
  <c r="J637" i="15"/>
  <c r="J647" i="15"/>
  <c r="J651" i="15"/>
  <c r="J655" i="15"/>
  <c r="J657" i="15"/>
  <c r="J661" i="15"/>
  <c r="J663" i="15"/>
  <c r="J664" i="15"/>
  <c r="J671" i="15"/>
  <c r="J672" i="15"/>
  <c r="J673" i="15"/>
  <c r="J676" i="15"/>
  <c r="J678" i="15"/>
  <c r="J682" i="15"/>
  <c r="J686" i="15"/>
  <c r="J690" i="15"/>
  <c r="J694" i="15"/>
  <c r="J698" i="15"/>
  <c r="J702" i="15"/>
  <c r="J706" i="15"/>
  <c r="J707" i="15"/>
  <c r="J709" i="15"/>
  <c r="J711" i="15"/>
  <c r="J636" i="15"/>
  <c r="J658" i="15"/>
  <c r="J668" i="15"/>
  <c r="J675" i="15"/>
  <c r="J677" i="15"/>
  <c r="J681" i="15"/>
  <c r="J685" i="15"/>
  <c r="J689" i="15"/>
  <c r="J693" i="15"/>
  <c r="J697" i="15"/>
  <c r="J701" i="15"/>
  <c r="J705" i="15"/>
  <c r="J177" i="15"/>
  <c r="J175" i="15"/>
  <c r="J176" i="15"/>
  <c r="J182" i="15"/>
  <c r="J180" i="15"/>
  <c r="J168" i="15"/>
  <c r="J171" i="15"/>
  <c r="J166" i="15"/>
  <c r="J179" i="15"/>
  <c r="J170" i="15"/>
  <c r="J169" i="15"/>
  <c r="J165" i="15"/>
  <c r="J183" i="15"/>
  <c r="J3" i="15"/>
  <c r="J9" i="15"/>
  <c r="J2" i="15"/>
  <c r="J5" i="15"/>
  <c r="J113" i="15"/>
  <c r="J119" i="15"/>
  <c r="J149" i="15"/>
  <c r="J155" i="15"/>
  <c r="J6" i="15"/>
  <c r="J120" i="15"/>
  <c r="J156" i="15"/>
  <c r="J7" i="15"/>
  <c r="J97" i="15"/>
  <c r="J10" i="15"/>
  <c r="J31" i="15"/>
  <c r="J49" i="15"/>
  <c r="J272" i="15"/>
  <c r="J426" i="15"/>
  <c r="J431" i="15"/>
  <c r="J469" i="15"/>
  <c r="J8" i="15"/>
  <c r="J92" i="15"/>
  <c r="J104" i="15"/>
  <c r="J110" i="15"/>
  <c r="J116" i="15"/>
  <c r="J122" i="15"/>
  <c r="J134" i="15"/>
  <c r="J140" i="15"/>
  <c r="J146" i="15"/>
  <c r="J152" i="15"/>
  <c r="J158" i="15"/>
  <c r="L4" i="1" a="1"/>
  <c r="L4" i="1" s="1"/>
  <c r="L69" i="1" a="1"/>
  <c r="L69" i="1" s="1"/>
  <c r="K48" i="1" a="1"/>
  <c r="K48" i="1" s="1"/>
  <c r="L48" i="15" s="1"/>
  <c r="K45" i="1" a="1"/>
  <c r="K45" i="1" s="1"/>
  <c r="L45" i="15" s="1"/>
  <c r="L123" i="1" a="1"/>
  <c r="L123" i="1" s="1"/>
  <c r="K139" i="1" a="1"/>
  <c r="K139" i="1" s="1"/>
  <c r="L139" i="15" s="1"/>
  <c r="K110" i="1" a="1"/>
  <c r="K110" i="1" s="1"/>
  <c r="L110" i="15" s="1"/>
  <c r="O123" i="1"/>
  <c r="M123" i="15" s="1"/>
  <c r="N123" i="15" s="1" a="1"/>
  <c r="N123" i="15" s="1"/>
  <c r="C2" i="8"/>
  <c r="F2" i="8" s="1"/>
  <c r="L7" i="1" a="1"/>
  <c r="L7" i="1" s="1"/>
  <c r="L22" i="1" a="1"/>
  <c r="L22" i="1" s="1"/>
  <c r="K6" i="1" a="1"/>
  <c r="K6" i="1" s="1"/>
  <c r="L6" i="15" s="1"/>
  <c r="K10" i="1" a="1"/>
  <c r="K10" i="1" s="1"/>
  <c r="L10" i="15" s="1"/>
  <c r="A2" i="13" a="1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13" i="4"/>
  <c r="K20" i="4"/>
  <c r="K74" i="1" s="1" a="1"/>
  <c r="K74" i="1" s="1"/>
  <c r="L74" i="15" s="1"/>
  <c r="K4" i="4"/>
  <c r="K23" i="4"/>
  <c r="K6" i="4"/>
  <c r="K91" i="1" s="1" a="1"/>
  <c r="K91" i="1" s="1"/>
  <c r="L91" i="15" s="1"/>
  <c r="K7" i="4"/>
  <c r="K14" i="4"/>
  <c r="L57" i="1" a="1"/>
  <c r="L57" i="1" s="1"/>
  <c r="K34" i="4"/>
  <c r="K64" i="1" s="1" a="1"/>
  <c r="K64" i="1" s="1"/>
  <c r="L64" i="15" s="1"/>
  <c r="K17" i="4"/>
  <c r="K59" i="1" s="1" a="1"/>
  <c r="K59" i="1" s="1"/>
  <c r="L59" i="15" s="1"/>
  <c r="K36" i="4"/>
  <c r="K37" i="4"/>
  <c r="K8" i="4"/>
  <c r="K89" i="1" s="1" a="1"/>
  <c r="K89" i="1" s="1"/>
  <c r="L89" i="15" s="1"/>
  <c r="K21" i="4"/>
  <c r="K28" i="4"/>
  <c r="K30" i="4"/>
  <c r="K31" i="4"/>
  <c r="K121" i="1" s="1" a="1"/>
  <c r="K121" i="1" s="1"/>
  <c r="L121" i="15" s="1"/>
  <c r="K38" i="4"/>
  <c r="K15" i="4"/>
  <c r="K46" i="1" s="1" a="1"/>
  <c r="K46" i="1" s="1"/>
  <c r="L46" i="15" s="1"/>
  <c r="K22" i="4"/>
  <c r="K41" i="4"/>
  <c r="K77" i="1" s="1" a="1"/>
  <c r="K77" i="1" s="1"/>
  <c r="L77" i="15" s="1"/>
  <c r="K5" i="4"/>
  <c r="K53" i="1" s="1" a="1"/>
  <c r="K53" i="1" s="1"/>
  <c r="L53" i="15" s="1"/>
  <c r="K24" i="4"/>
  <c r="K32" i="4"/>
  <c r="K9" i="4"/>
  <c r="K98" i="1" s="1" a="1"/>
  <c r="K98" i="1" s="1"/>
  <c r="L98" i="15" s="1"/>
  <c r="K16" i="4"/>
  <c r="K79" i="1" s="1" a="1"/>
  <c r="K79" i="1" s="1"/>
  <c r="L79" i="15" s="1"/>
  <c r="K35" i="4"/>
  <c r="K18" i="4"/>
  <c r="K26" i="4"/>
  <c r="K3" i="4"/>
  <c r="K21" i="1" s="1" a="1"/>
  <c r="K21" i="1" s="1"/>
  <c r="L21" i="15" s="1"/>
  <c r="K3" i="1" a="1"/>
  <c r="K3" i="1" s="1"/>
  <c r="L3" i="15" s="1"/>
  <c r="K11" i="1" a="1"/>
  <c r="K11" i="1" s="1"/>
  <c r="L11" i="15" s="1"/>
  <c r="K2" i="1" a="1"/>
  <c r="K2" i="1" s="1"/>
  <c r="L2" i="15" s="1"/>
  <c r="D2" i="8"/>
  <c r="G2" i="8" s="1"/>
  <c r="E2" i="8"/>
  <c r="H2" i="8" s="1"/>
  <c r="K68" i="1" l="1" a="1"/>
  <c r="K68" i="1" s="1"/>
  <c r="L68" i="15" s="1"/>
  <c r="K14" i="1" a="1"/>
  <c r="K14" i="1" s="1"/>
  <c r="L14" i="15" s="1"/>
  <c r="K28" i="1" a="1"/>
  <c r="K28" i="1" s="1"/>
  <c r="L28" i="15" s="1"/>
  <c r="K61" i="1" a="1"/>
  <c r="K61" i="1" s="1"/>
  <c r="L61" i="15" s="1"/>
  <c r="K169" i="1" a="1"/>
  <c r="K169" i="1" s="1"/>
  <c r="L169" i="15" s="1"/>
  <c r="K56" i="1" a="1"/>
  <c r="K56" i="1" s="1"/>
  <c r="L56" i="15" s="1"/>
  <c r="K39" i="1" a="1"/>
  <c r="K39" i="1" s="1"/>
  <c r="L39" i="15" s="1"/>
  <c r="K80" i="1" a="1"/>
  <c r="K80" i="1" s="1"/>
  <c r="L80" i="15" s="1"/>
  <c r="K86" i="1" a="1"/>
  <c r="K86" i="1" s="1"/>
  <c r="L86" i="15" s="1"/>
  <c r="K16" i="1" a="1"/>
  <c r="K16" i="1" s="1"/>
  <c r="L16" i="15" s="1"/>
  <c r="K166" i="1" a="1"/>
  <c r="K166" i="1" s="1"/>
  <c r="L166" i="15" s="1"/>
  <c r="K12" i="1" a="1"/>
  <c r="K12" i="1" s="1"/>
  <c r="L12" i="15" s="1"/>
  <c r="K93" i="1" a="1"/>
  <c r="K93" i="1" s="1"/>
  <c r="L93" i="15" s="1"/>
  <c r="K73" i="1" a="1"/>
  <c r="K73" i="1" s="1"/>
  <c r="L73" i="15" s="1"/>
  <c r="K104" i="1" a="1"/>
  <c r="K104" i="1" s="1"/>
  <c r="L104" i="15" s="1"/>
  <c r="K13" i="1" a="1"/>
  <c r="K13" i="1" s="1"/>
  <c r="L13" i="15" s="1"/>
  <c r="K115" i="1" a="1"/>
  <c r="K115" i="1" s="1"/>
  <c r="L115" i="15" s="1"/>
  <c r="K50" i="1" a="1"/>
  <c r="K50" i="1" s="1"/>
  <c r="L50" i="15" s="1"/>
  <c r="K125" i="1" a="1"/>
  <c r="K125" i="1" s="1"/>
  <c r="L125" i="15" s="1"/>
  <c r="K76" i="1" a="1"/>
  <c r="K76" i="1" s="1"/>
  <c r="L76" i="15" s="1"/>
  <c r="K71" i="1" a="1"/>
  <c r="K71" i="1" s="1"/>
  <c r="L71" i="15" s="1"/>
  <c r="K163" i="1" a="1"/>
  <c r="K163" i="1" s="1"/>
  <c r="L163" i="15" s="1"/>
  <c r="K63" i="1" a="1"/>
  <c r="K63" i="1" s="1"/>
  <c r="L63" i="15" s="1"/>
  <c r="K90" i="1" a="1"/>
  <c r="K90" i="1" s="1"/>
  <c r="L90" i="15" s="1"/>
  <c r="K65" i="1" a="1"/>
  <c r="K65" i="1" s="1"/>
  <c r="L65" i="15" s="1"/>
  <c r="K95" i="1" a="1"/>
  <c r="K95" i="1" s="1"/>
  <c r="L95" i="15" s="1"/>
  <c r="K42" i="1" a="1"/>
  <c r="K42" i="1" s="1"/>
  <c r="L42" i="15" s="1"/>
  <c r="K100" i="1" a="1"/>
  <c r="K100" i="1" s="1"/>
  <c r="L100" i="15" s="1"/>
  <c r="K9" i="1" a="1"/>
  <c r="K9" i="1" s="1"/>
  <c r="L9" i="15" s="1"/>
  <c r="K52" i="1" a="1"/>
  <c r="K52" i="1" s="1"/>
  <c r="L52" i="15" s="1"/>
  <c r="K99" i="1" a="1"/>
  <c r="K99" i="1" s="1"/>
  <c r="L99" i="15" s="1"/>
  <c r="C34" i="13"/>
  <c r="C33" i="13"/>
  <c r="E41" i="13"/>
  <c r="C32" i="13"/>
  <c r="E40" i="13"/>
  <c r="C31" i="13"/>
  <c r="E39" i="13"/>
  <c r="C18" i="13"/>
  <c r="D18" i="13"/>
  <c r="B41" i="13"/>
  <c r="E37" i="13"/>
  <c r="B35" i="13"/>
  <c r="E31" i="13"/>
  <c r="B32" i="13"/>
  <c r="D40" i="13"/>
  <c r="B25" i="13"/>
  <c r="D39" i="13"/>
  <c r="D37" i="13"/>
  <c r="D34" i="13"/>
  <c r="D33" i="13"/>
  <c r="D32" i="13"/>
  <c r="D25" i="13"/>
  <c r="B22" i="13"/>
  <c r="D19" i="13"/>
  <c r="C41" i="13"/>
  <c r="E38" i="13"/>
  <c r="C35" i="13"/>
  <c r="B34" i="13"/>
  <c r="E35" i="13"/>
  <c r="E34" i="13"/>
  <c r="D20" i="13"/>
  <c r="E33" i="13"/>
  <c r="B29" i="13"/>
  <c r="E25" i="13"/>
  <c r="B23" i="13"/>
  <c r="E19" i="13"/>
  <c r="B17" i="13"/>
  <c r="B30" i="13"/>
  <c r="D38" i="13"/>
  <c r="D31" i="13"/>
  <c r="B40" i="13"/>
  <c r="D24" i="13"/>
  <c r="C24" i="13"/>
  <c r="D30" i="13"/>
  <c r="C30" i="13"/>
  <c r="D36" i="13"/>
  <c r="C36" i="13"/>
  <c r="C37" i="13"/>
  <c r="C25" i="13"/>
  <c r="C38" i="13"/>
  <c r="C39" i="13"/>
  <c r="E29" i="13"/>
  <c r="D41" i="13"/>
  <c r="B28" i="13"/>
  <c r="C17" i="13"/>
  <c r="E20" i="13"/>
  <c r="C23" i="13"/>
  <c r="E26" i="13"/>
  <c r="C29" i="13"/>
  <c r="E32" i="13"/>
  <c r="B36" i="13"/>
  <c r="E21" i="13"/>
  <c r="B37" i="13"/>
  <c r="B38" i="13"/>
  <c r="C21" i="13"/>
  <c r="C40" i="13"/>
  <c r="B33" i="13"/>
  <c r="B39" i="13"/>
  <c r="E36" i="13"/>
  <c r="D35" i="13"/>
  <c r="E18" i="13"/>
  <c r="C28" i="13"/>
  <c r="E23" i="13"/>
  <c r="B19" i="13"/>
  <c r="D27" i="13"/>
  <c r="D29" i="13"/>
  <c r="B26" i="13"/>
  <c r="C20" i="13"/>
  <c r="E28" i="13"/>
  <c r="B18" i="13"/>
  <c r="D26" i="13"/>
  <c r="E17" i="13"/>
  <c r="C27" i="13"/>
  <c r="D21" i="13"/>
  <c r="B31" i="13"/>
  <c r="C19" i="13"/>
  <c r="E27" i="13"/>
  <c r="B20" i="13"/>
  <c r="D28" i="13"/>
  <c r="E22" i="13"/>
  <c r="B24" i="13"/>
  <c r="C26" i="13"/>
  <c r="D22" i="13"/>
  <c r="B21" i="13"/>
  <c r="B27" i="13"/>
  <c r="E24" i="13"/>
  <c r="D23" i="13"/>
  <c r="E30" i="13"/>
  <c r="C22" i="13"/>
  <c r="D17" i="13"/>
  <c r="K8" i="1" a="1"/>
  <c r="K8" i="1" s="1"/>
  <c r="L8" i="15" s="1"/>
  <c r="K23" i="1" a="1"/>
  <c r="K23" i="1" s="1"/>
  <c r="L23" i="15" s="1"/>
  <c r="K25" i="1" a="1"/>
  <c r="K25" i="1" s="1"/>
  <c r="L25" i="15" s="1"/>
  <c r="K24" i="1" a="1"/>
  <c r="K24" i="1" s="1"/>
  <c r="L24" i="15" s="1"/>
  <c r="K44" i="1" a="1"/>
  <c r="K44" i="1" s="1"/>
  <c r="L44" i="15" s="1"/>
  <c r="K19" i="1" a="1"/>
  <c r="K19" i="1" s="1"/>
  <c r="L19" i="15" s="1"/>
  <c r="K51" i="1" a="1"/>
  <c r="K51" i="1" s="1"/>
  <c r="L51" i="15" s="1"/>
  <c r="K20" i="1" a="1"/>
  <c r="K20" i="1" s="1"/>
  <c r="L20" i="15" s="1"/>
  <c r="K54" i="1" a="1"/>
  <c r="K54" i="1" s="1"/>
  <c r="L54" i="15" s="1"/>
  <c r="K26" i="1" a="1"/>
  <c r="K26" i="1" s="1"/>
  <c r="L26" i="15" s="1"/>
  <c r="K58" i="1" a="1"/>
  <c r="K58" i="1" s="1"/>
  <c r="L58" i="15" s="1"/>
  <c r="K15" i="1" a="1"/>
  <c r="K15" i="1" s="1"/>
  <c r="L15" i="15" s="1"/>
  <c r="K5" i="1" a="1"/>
  <c r="K5" i="1" s="1"/>
  <c r="L5" i="15" s="1"/>
  <c r="K66" i="1" a="1"/>
  <c r="K66" i="1" s="1"/>
  <c r="L66" i="15" s="1"/>
  <c r="K17" i="1" a="1"/>
  <c r="K17" i="1" s="1"/>
  <c r="L17" i="15" s="1"/>
  <c r="K67" i="1" a="1"/>
  <c r="K67" i="1" s="1"/>
  <c r="L67" i="15" s="1"/>
  <c r="K18" i="1" a="1"/>
  <c r="K18" i="1" s="1"/>
  <c r="L18" i="15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L72" i="15" s="1"/>
  <c r="K34" i="1" a="1"/>
  <c r="K34" i="1" s="1"/>
  <c r="L34" i="15" s="1"/>
  <c r="K78" i="1" a="1"/>
  <c r="K78" i="1" s="1"/>
  <c r="L78" i="15" s="1"/>
  <c r="K29" i="1" a="1"/>
  <c r="K29" i="1" s="1"/>
  <c r="L29" i="15" s="1"/>
  <c r="K81" i="1" a="1"/>
  <c r="K81" i="1" s="1"/>
  <c r="L81" i="15" s="1"/>
  <c r="K31" i="1" a="1"/>
  <c r="K31" i="1" s="1"/>
  <c r="L31" i="15" s="1"/>
  <c r="K60" i="1" a="1"/>
  <c r="K60" i="1" s="1"/>
  <c r="L60" i="15" s="1"/>
  <c r="K35" i="1" a="1"/>
  <c r="K35" i="1" s="1"/>
  <c r="L35" i="15" s="1"/>
  <c r="K70" i="1" a="1"/>
  <c r="K70" i="1" s="1"/>
  <c r="L70" i="15" s="1"/>
  <c r="K32" i="1" a="1"/>
  <c r="K32" i="1" s="1"/>
  <c r="L32" i="15" s="1"/>
  <c r="K43" i="1" a="1"/>
  <c r="K43" i="1" s="1"/>
  <c r="L43" i="15" s="1"/>
  <c r="K30" i="1" a="1"/>
  <c r="K30" i="1" s="1"/>
  <c r="L30" i="15" s="1"/>
  <c r="K62" i="1" a="1"/>
  <c r="K62" i="1" s="1"/>
  <c r="L62" i="15" s="1"/>
  <c r="K36" i="1" a="1"/>
  <c r="K36" i="1" s="1"/>
  <c r="L36" i="15" s="1"/>
  <c r="I2" i="8"/>
  <c r="K2" i="4" s="1"/>
  <c r="K69" i="1" l="1" a="1"/>
  <c r="K69" i="1" s="1"/>
  <c r="L69" i="15" s="1"/>
  <c r="K55" i="1" a="1"/>
  <c r="K55" i="1" s="1"/>
  <c r="L55" i="15" s="1"/>
  <c r="K7" i="1" a="1"/>
  <c r="K7" i="1" s="1"/>
  <c r="L7" i="15" s="1"/>
  <c r="K123" i="1" a="1"/>
  <c r="K123" i="1" s="1"/>
  <c r="L123" i="15" s="1"/>
  <c r="K33" i="1" a="1"/>
  <c r="K33" i="1" s="1"/>
  <c r="L33" i="15" s="1"/>
  <c r="K22" i="1" a="1"/>
  <c r="K22" i="1" s="1"/>
  <c r="L22" i="15" s="1"/>
  <c r="D2" i="13"/>
  <c r="C2" i="13"/>
  <c r="E2" i="13"/>
  <c r="B2" i="13"/>
  <c r="K4" i="1" a="1"/>
  <c r="K4" i="1" s="1"/>
  <c r="L4" i="15" s="1"/>
  <c r="K57" i="1" a="1"/>
  <c r="K57" i="1" s="1"/>
  <c r="L57" i="15" s="1"/>
  <c r="Q27" i="1" l="1" a="1"/>
  <c r="Q27" i="1" s="1"/>
  <c r="S27" i="15" s="1"/>
  <c r="P23" i="1" a="1"/>
  <c r="P23" i="1" s="1"/>
  <c r="P75" i="1" l="1" a="1"/>
  <c r="P75" i="1" s="1"/>
  <c r="F34" i="13" s="1"/>
  <c r="F6" i="13"/>
  <c r="F8" i="13"/>
  <c r="F7" i="13"/>
  <c r="J64" i="12"/>
  <c r="K24" i="12"/>
  <c r="H33" i="12"/>
  <c r="H45" i="12"/>
  <c r="J430" i="12"/>
  <c r="H84" i="12"/>
  <c r="K32" i="12"/>
  <c r="J41" i="12"/>
  <c r="J13" i="12"/>
  <c r="H16" i="12"/>
  <c r="H59" i="12"/>
  <c r="J38" i="12"/>
  <c r="H86" i="12"/>
  <c r="J15" i="12"/>
  <c r="J441" i="12"/>
  <c r="H25" i="12"/>
  <c r="J33" i="12"/>
  <c r="H95" i="12"/>
  <c r="H19" i="12"/>
  <c r="K48" i="12"/>
  <c r="J79" i="12"/>
  <c r="H31" i="12"/>
  <c r="J56" i="12"/>
  <c r="J52" i="12"/>
  <c r="J21" i="12"/>
  <c r="J82" i="12"/>
  <c r="H71" i="12"/>
  <c r="H431" i="12"/>
  <c r="K58" i="12"/>
  <c r="K2" i="12"/>
  <c r="K51" i="12"/>
  <c r="J25" i="12"/>
  <c r="J89" i="12"/>
  <c r="K74" i="12"/>
  <c r="K77" i="12"/>
  <c r="H8" i="12"/>
  <c r="H97" i="12"/>
  <c r="K81" i="12"/>
  <c r="H89" i="12"/>
  <c r="J80" i="12"/>
  <c r="H40" i="12"/>
  <c r="H428" i="12"/>
  <c r="J438" i="12"/>
  <c r="H64" i="12"/>
  <c r="K28" i="12"/>
  <c r="H18" i="12"/>
  <c r="J55" i="12"/>
  <c r="J48" i="12"/>
  <c r="K45" i="12"/>
  <c r="K31" i="12"/>
  <c r="K35" i="12"/>
  <c r="J92" i="12"/>
  <c r="J44" i="12"/>
  <c r="K56" i="12"/>
  <c r="J17" i="12"/>
  <c r="K21" i="12"/>
  <c r="H20" i="12"/>
  <c r="K17" i="12"/>
  <c r="J4" i="12"/>
  <c r="H85" i="12"/>
  <c r="K14" i="12"/>
  <c r="K73" i="12"/>
  <c r="H90" i="12"/>
  <c r="H67" i="12"/>
  <c r="J46" i="12"/>
  <c r="H433" i="12"/>
  <c r="H57" i="12"/>
  <c r="H52" i="12"/>
  <c r="H54" i="12"/>
  <c r="H29" i="12"/>
  <c r="H66" i="12"/>
  <c r="J9" i="12"/>
  <c r="J440" i="12"/>
  <c r="K75" i="12"/>
  <c r="K40" i="12"/>
  <c r="H39" i="12"/>
  <c r="H93" i="12"/>
  <c r="K4" i="12"/>
  <c r="H56" i="12"/>
  <c r="K60" i="12"/>
  <c r="J445" i="12"/>
  <c r="J40" i="12"/>
  <c r="H12" i="12"/>
  <c r="J39" i="12"/>
  <c r="H72" i="12"/>
  <c r="H73" i="12"/>
  <c r="H47" i="12"/>
  <c r="H426" i="12"/>
  <c r="H35" i="12"/>
  <c r="H60" i="12"/>
  <c r="J5" i="12"/>
  <c r="H65" i="12"/>
  <c r="J2" i="12"/>
  <c r="K19" i="12"/>
  <c r="K54" i="12"/>
  <c r="J86" i="12"/>
  <c r="H75" i="12"/>
  <c r="H82" i="12"/>
  <c r="K68" i="12"/>
  <c r="H69" i="12"/>
  <c r="J66" i="12"/>
  <c r="J97" i="12"/>
  <c r="J49" i="12"/>
  <c r="J62" i="12"/>
  <c r="J426" i="12"/>
  <c r="H10" i="12"/>
  <c r="J51" i="12"/>
  <c r="J431" i="12"/>
  <c r="H432" i="12"/>
  <c r="K13" i="12"/>
  <c r="J36" i="12"/>
  <c r="J42" i="12"/>
  <c r="H48" i="12"/>
  <c r="J63" i="12"/>
  <c r="J23" i="12"/>
  <c r="J30" i="12"/>
  <c r="J37" i="12"/>
  <c r="J8" i="12"/>
  <c r="K42" i="12"/>
  <c r="K78" i="12"/>
  <c r="K39" i="12"/>
  <c r="H55" i="12"/>
  <c r="K61" i="12"/>
  <c r="K57" i="12"/>
  <c r="K25" i="12"/>
  <c r="J6" i="12"/>
  <c r="K82" i="12"/>
  <c r="K64" i="12"/>
  <c r="H88" i="12"/>
  <c r="J96" i="12"/>
  <c r="J61" i="12"/>
  <c r="J444" i="12"/>
  <c r="J3" i="12"/>
  <c r="J424" i="12"/>
  <c r="J67" i="12"/>
  <c r="K55" i="12"/>
  <c r="J65" i="12"/>
  <c r="K18" i="12"/>
  <c r="K12" i="12"/>
  <c r="J434" i="12"/>
  <c r="K72" i="12"/>
  <c r="H28" i="12"/>
  <c r="J57" i="12"/>
  <c r="K41" i="12"/>
  <c r="K30" i="12"/>
  <c r="J35" i="12"/>
  <c r="J428" i="12"/>
  <c r="I428" i="12" l="1" a="1"/>
  <c r="I428" i="12" s="1"/>
  <c r="I426" i="12" a="1"/>
  <c r="I426" i="12" s="1"/>
  <c r="K53" i="12"/>
  <c r="K65" i="12"/>
  <c r="J28" i="12"/>
  <c r="H76" i="12"/>
  <c r="K11" i="12"/>
  <c r="K80" i="12"/>
  <c r="K50" i="12"/>
  <c r="J77" i="12"/>
  <c r="J20" i="12"/>
  <c r="H32" i="12"/>
  <c r="H49" i="12"/>
  <c r="K10" i="12"/>
  <c r="H41" i="12"/>
  <c r="K16" i="12"/>
  <c r="H3" i="12"/>
  <c r="H429" i="12"/>
  <c r="K29" i="12"/>
  <c r="H27" i="12"/>
  <c r="K79" i="12"/>
  <c r="H13" i="12"/>
  <c r="J45" i="12"/>
  <c r="H96" i="12"/>
  <c r="K8" i="12"/>
  <c r="H83" i="12"/>
  <c r="J74" i="12"/>
  <c r="H9" i="12"/>
  <c r="K70" i="12"/>
  <c r="K66" i="12"/>
  <c r="J34" i="12"/>
  <c r="J433" i="12"/>
  <c r="H34" i="12"/>
  <c r="J60" i="12"/>
  <c r="H50" i="12"/>
  <c r="K49" i="12"/>
  <c r="J32" i="12"/>
  <c r="J83" i="12"/>
  <c r="H5" i="12"/>
  <c r="J446" i="12"/>
  <c r="J59" i="12"/>
  <c r="H43" i="12"/>
  <c r="H21" i="12"/>
  <c r="K38" i="12"/>
  <c r="J27" i="12"/>
  <c r="J47" i="12"/>
  <c r="K36" i="12"/>
  <c r="K23" i="12"/>
  <c r="J68" i="12"/>
  <c r="K47" i="12"/>
  <c r="K3" i="12"/>
  <c r="H63" i="12"/>
  <c r="J95" i="12"/>
  <c r="J84" i="12"/>
  <c r="H92" i="12"/>
  <c r="K9" i="12"/>
  <c r="H30" i="12"/>
  <c r="H435" i="12"/>
  <c r="J437" i="12"/>
  <c r="H22" i="12"/>
  <c r="J427" i="12"/>
  <c r="J435" i="12"/>
  <c r="H74" i="12"/>
  <c r="J43" i="12"/>
  <c r="J442" i="12"/>
  <c r="J53" i="12"/>
  <c r="H37" i="12"/>
  <c r="H17" i="12"/>
  <c r="K62" i="12"/>
  <c r="K22" i="12"/>
  <c r="K46" i="12"/>
  <c r="K52" i="12"/>
  <c r="J16" i="12"/>
  <c r="J69" i="12"/>
  <c r="H15" i="12"/>
  <c r="J10" i="12"/>
  <c r="H68" i="12"/>
  <c r="H24" i="12"/>
  <c r="K33" i="12"/>
  <c r="H87" i="12"/>
  <c r="H6" i="12"/>
  <c r="K5" i="12"/>
  <c r="H81" i="12"/>
  <c r="H46" i="12"/>
  <c r="H51" i="12"/>
  <c r="H434" i="12"/>
  <c r="H436" i="12"/>
  <c r="H23" i="12"/>
  <c r="K43" i="12"/>
  <c r="K34" i="12"/>
  <c r="K44" i="12"/>
  <c r="J98" i="12"/>
  <c r="H61" i="12"/>
  <c r="H77" i="12"/>
  <c r="J50" i="12"/>
  <c r="K37" i="12"/>
  <c r="J85" i="12"/>
  <c r="J436" i="12"/>
  <c r="K67" i="12"/>
  <c r="H78" i="12"/>
  <c r="K6" i="12"/>
  <c r="J73" i="12"/>
  <c r="J90" i="12"/>
  <c r="J91" i="12"/>
  <c r="H70" i="12"/>
  <c r="H79" i="12"/>
  <c r="J93" i="12"/>
  <c r="H98" i="12"/>
  <c r="K76" i="12"/>
  <c r="J19" i="12"/>
  <c r="H14" i="12"/>
  <c r="J425" i="12"/>
  <c r="H58" i="12"/>
  <c r="J429" i="12"/>
  <c r="H94" i="12"/>
  <c r="J29" i="12"/>
  <c r="J88" i="12"/>
  <c r="J7" i="12"/>
  <c r="J70" i="12"/>
  <c r="K63" i="12"/>
  <c r="H7" i="12"/>
  <c r="J94" i="12"/>
  <c r="H4" i="12"/>
  <c r="H53" i="12"/>
  <c r="J14" i="12"/>
  <c r="K27" i="12"/>
  <c r="H44" i="12"/>
  <c r="K20" i="12"/>
  <c r="J75" i="12"/>
  <c r="H2" i="12"/>
  <c r="J24" i="12"/>
  <c r="K71" i="12"/>
  <c r="J11" i="12"/>
  <c r="K59" i="12"/>
  <c r="J58" i="12"/>
  <c r="K7" i="12"/>
  <c r="H427" i="12"/>
  <c r="J78" i="12"/>
  <c r="J432" i="12"/>
  <c r="H425" i="12"/>
  <c r="J54" i="12"/>
  <c r="J439" i="12"/>
  <c r="J18" i="12"/>
  <c r="K69" i="12"/>
  <c r="H62" i="12"/>
  <c r="J76" i="12"/>
  <c r="H430" i="12"/>
  <c r="H26" i="12"/>
  <c r="K26" i="12"/>
  <c r="H91" i="12"/>
  <c r="J71" i="12"/>
  <c r="J12" i="12"/>
  <c r="J26" i="12"/>
  <c r="J22" i="12"/>
  <c r="J81" i="12"/>
  <c r="J31" i="12"/>
  <c r="K15" i="12"/>
  <c r="J72" i="12"/>
  <c r="H42" i="12"/>
  <c r="J87" i="12"/>
  <c r="H424" i="12"/>
  <c r="I424" i="12" l="1" a="1"/>
  <c r="I424" i="12" s="1"/>
  <c r="I430" i="12" a="1"/>
  <c r="I430" i="12" s="1"/>
  <c r="I429" i="12" a="1"/>
  <c r="I429" i="12" s="1"/>
  <c r="I425" i="12" a="1"/>
  <c r="I425" i="12" s="1"/>
  <c r="I427" i="12" a="1"/>
  <c r="I427" i="12" s="1"/>
  <c r="J443" i="12"/>
  <c r="H38" i="12"/>
  <c r="H11" i="12"/>
  <c r="H80" i="12"/>
  <c r="H36" i="12"/>
  <c r="I38" i="12" l="1" a="1"/>
  <c r="I38" i="12" s="1"/>
  <c r="I36" i="12" a="1"/>
  <c r="I36" i="12" s="1"/>
  <c r="I80" i="12" a="1"/>
  <c r="I80" i="12" s="1"/>
  <c r="I11" i="12" a="1"/>
  <c r="I11" i="12" s="1"/>
  <c r="M22" i="12" a="1"/>
  <c r="M22" i="12" s="1"/>
  <c r="M66" i="12" a="1"/>
  <c r="M66" i="12" s="1"/>
  <c r="M27" i="12" a="1"/>
  <c r="M27" i="12" s="1"/>
  <c r="I14" i="12" a="1"/>
  <c r="I14" i="12" s="1"/>
  <c r="I51" i="12" a="1"/>
  <c r="I51" i="12" s="1"/>
  <c r="L12" i="12" a="1"/>
  <c r="L12" i="12" s="1"/>
  <c r="M62" i="12" a="1"/>
  <c r="M62" i="12" s="1"/>
  <c r="M70" i="12" a="1"/>
  <c r="M70" i="12" s="1"/>
  <c r="M89" i="12" a="1"/>
  <c r="M89" i="12" s="1"/>
  <c r="L19" i="12" a="1"/>
  <c r="L19" i="12" s="1"/>
  <c r="L59" i="12" a="1"/>
  <c r="L59" i="12" s="1"/>
  <c r="L71" i="12" a="1"/>
  <c r="L71" i="12" s="1"/>
  <c r="I17" i="12" a="1"/>
  <c r="I17" i="12" s="1"/>
  <c r="I9" i="12" a="1"/>
  <c r="I9" i="12" s="1"/>
  <c r="I21" i="12" a="1"/>
  <c r="I21" i="12" s="1"/>
  <c r="M76" i="12" a="1"/>
  <c r="M76" i="12" s="1"/>
  <c r="I46" i="12" a="1"/>
  <c r="I46" i="12" s="1"/>
  <c r="M91" i="12" a="1"/>
  <c r="M91" i="12" s="1"/>
  <c r="I91" i="12" a="1"/>
  <c r="I91" i="12" s="1"/>
  <c r="I37" i="12" a="1"/>
  <c r="I37" i="12" s="1"/>
  <c r="L74" i="12" a="1"/>
  <c r="L74" i="12" s="1"/>
  <c r="L87" i="12" a="1"/>
  <c r="L87" i="12" s="1"/>
  <c r="I98" i="12" a="1"/>
  <c r="I98" i="12" s="1"/>
  <c r="I81" i="12" a="1"/>
  <c r="I81" i="12" s="1"/>
  <c r="M26" i="12" a="1"/>
  <c r="M26" i="12" s="1"/>
  <c r="L53" i="12" a="1"/>
  <c r="L53" i="12" s="1"/>
  <c r="I83" i="12" a="1"/>
  <c r="I83" i="12" s="1"/>
  <c r="L14" i="12" a="1"/>
  <c r="L14" i="12" s="1"/>
  <c r="L93" i="12" a="1"/>
  <c r="L93" i="12" s="1"/>
  <c r="I26" i="12" a="1"/>
  <c r="I26" i="12" s="1"/>
  <c r="M8" i="12" a="1"/>
  <c r="M8" i="12" s="1"/>
  <c r="I43" i="12" a="1"/>
  <c r="I43" i="12" s="1"/>
  <c r="I79" i="12" a="1"/>
  <c r="I79" i="12" s="1"/>
  <c r="M5" i="12" a="1"/>
  <c r="M5" i="12" s="1"/>
  <c r="L43" i="12" a="1"/>
  <c r="L43" i="12" s="1"/>
  <c r="I96" i="12" a="1"/>
  <c r="I96" i="12" s="1"/>
  <c r="I42" i="12" a="1"/>
  <c r="I42" i="12" s="1"/>
  <c r="I70" i="12" a="1"/>
  <c r="I70" i="12" s="1"/>
  <c r="I5" i="12" a="1"/>
  <c r="I5" i="12" s="1"/>
  <c r="L76" i="12" a="1"/>
  <c r="L76" i="12" s="1"/>
  <c r="M85" i="12" a="1"/>
  <c r="M85" i="12" s="1"/>
  <c r="I74" i="12" a="1"/>
  <c r="I74" i="12" s="1"/>
  <c r="L45" i="12" a="1"/>
  <c r="L45" i="12" s="1"/>
  <c r="I53" i="12" a="1"/>
  <c r="I53" i="12" s="1"/>
  <c r="L91" i="12" a="1"/>
  <c r="L91" i="12" s="1"/>
  <c r="I6" i="12" a="1"/>
  <c r="I6" i="12" s="1"/>
  <c r="I62" i="12" a="1"/>
  <c r="I62" i="12" s="1"/>
  <c r="I13" i="12" a="1"/>
  <c r="I13" i="12" s="1"/>
  <c r="I4" i="12" a="1"/>
  <c r="I4" i="12" s="1"/>
  <c r="L90" i="12" a="1"/>
  <c r="L90" i="12" s="1"/>
  <c r="L83" i="12" a="1"/>
  <c r="L83" i="12" s="1"/>
  <c r="M69" i="12" a="1"/>
  <c r="M69" i="12" s="1"/>
  <c r="M79" i="12" a="1"/>
  <c r="M79" i="12" s="1"/>
  <c r="L72" i="12" a="1"/>
  <c r="L72" i="12" s="1"/>
  <c r="L73" i="12" a="1"/>
  <c r="L73" i="12" s="1"/>
  <c r="I87" i="12" a="1"/>
  <c r="I87" i="12" s="1"/>
  <c r="L18" i="12" a="1"/>
  <c r="L18" i="12" s="1"/>
  <c r="I22" i="12" a="1"/>
  <c r="I22" i="12" s="1"/>
  <c r="M86" i="12" a="1"/>
  <c r="M86" i="12" s="1"/>
  <c r="I27" i="12" a="1"/>
  <c r="I27" i="12" s="1"/>
  <c r="L94" i="12" a="1"/>
  <c r="L94" i="12" s="1"/>
  <c r="M6" i="12" a="1"/>
  <c r="M6" i="12" s="1"/>
  <c r="L32" i="12" a="1"/>
  <c r="L32" i="12" s="1"/>
  <c r="M87" i="12" a="1"/>
  <c r="M87" i="12" s="1"/>
  <c r="M29" i="12" a="1"/>
  <c r="M29" i="12" s="1"/>
  <c r="M15" i="12" a="1"/>
  <c r="M15" i="12" s="1"/>
  <c r="I78" i="12" a="1"/>
  <c r="I78" i="12" s="1"/>
  <c r="M33" i="12" a="1"/>
  <c r="M33" i="12" s="1"/>
  <c r="L54" i="12" a="1"/>
  <c r="L54" i="12" s="1"/>
  <c r="M88" i="12" a="1"/>
  <c r="M88" i="12" s="1"/>
  <c r="I7" i="12" a="1"/>
  <c r="I7" i="12" s="1"/>
  <c r="M67" i="12" a="1"/>
  <c r="M67" i="12" s="1"/>
  <c r="M49" i="12" a="1"/>
  <c r="M49" i="12" s="1"/>
  <c r="M99" i="12" a="1"/>
  <c r="M99" i="12" s="1"/>
  <c r="I30" i="12" a="1"/>
  <c r="I30" i="12" s="1"/>
  <c r="I3" i="12" a="1"/>
  <c r="I3" i="12" s="1"/>
  <c r="AG89" i="4" s="1"/>
  <c r="L31" i="12" a="1"/>
  <c r="L31" i="12" s="1"/>
  <c r="I24" i="12" a="1"/>
  <c r="I24" i="12" s="1"/>
  <c r="M9" i="12" a="1"/>
  <c r="M9" i="12" s="1"/>
  <c r="M16" i="12" a="1"/>
  <c r="M16" i="12" s="1"/>
  <c r="M53" i="12" a="1"/>
  <c r="M53" i="12" s="1"/>
  <c r="L85" i="12" a="1"/>
  <c r="L85" i="12" s="1"/>
  <c r="I50" i="12" a="1"/>
  <c r="I50" i="12" s="1"/>
  <c r="L78" i="12" a="1"/>
  <c r="L78" i="12" s="1"/>
  <c r="I92" i="12" a="1"/>
  <c r="I92" i="12" s="1"/>
  <c r="I41" i="12" a="1"/>
  <c r="I41" i="12" s="1"/>
  <c r="M63" i="12" a="1"/>
  <c r="M63" i="12" s="1"/>
  <c r="M37" i="12" a="1"/>
  <c r="M37" i="12" s="1"/>
  <c r="I68" i="12" a="1"/>
  <c r="I68" i="12" s="1"/>
  <c r="L84" i="12" a="1"/>
  <c r="L84" i="12" s="1"/>
  <c r="M10" i="12" a="1"/>
  <c r="M10" i="12" s="1"/>
  <c r="L81" i="12" a="1"/>
  <c r="L81" i="12" s="1"/>
  <c r="L50" i="12" a="1"/>
  <c r="L50" i="12" s="1"/>
  <c r="L60" i="12" a="1"/>
  <c r="L60" i="12" s="1"/>
  <c r="M7" i="12" a="1"/>
  <c r="M7" i="12" s="1"/>
  <c r="L95" i="12" a="1"/>
  <c r="L95" i="12" s="1"/>
  <c r="I49" i="12" a="1"/>
  <c r="I49" i="12" s="1"/>
  <c r="L70" i="12" a="1"/>
  <c r="L70" i="12" s="1"/>
  <c r="I77" i="12" a="1"/>
  <c r="I77" i="12" s="1"/>
  <c r="L10" i="12" a="1"/>
  <c r="L10" i="12" s="1"/>
  <c r="L58" i="12" a="1"/>
  <c r="L58" i="12" s="1"/>
  <c r="I63" i="12" a="1"/>
  <c r="I63" i="12" s="1"/>
  <c r="I32" i="12" a="1"/>
  <c r="I32" i="12" s="1"/>
  <c r="L22" i="12" a="1"/>
  <c r="L22" i="12" s="1"/>
  <c r="I61" i="12" a="1"/>
  <c r="I61" i="12" s="1"/>
  <c r="I34" i="12" a="1"/>
  <c r="I34" i="12" s="1"/>
  <c r="M59" i="12" a="1"/>
  <c r="M59" i="12" s="1"/>
  <c r="M3" i="12" a="1"/>
  <c r="M3" i="12" s="1"/>
  <c r="L20" i="12" a="1"/>
  <c r="L20" i="12" s="1"/>
  <c r="M98" i="12" a="1"/>
  <c r="M98" i="12" s="1"/>
  <c r="L7" i="12" a="1"/>
  <c r="L7" i="12" s="1"/>
  <c r="L98" i="12" a="1"/>
  <c r="L98" i="12" s="1"/>
  <c r="I15" i="12" a="1"/>
  <c r="I15" i="12" s="1"/>
  <c r="L11" i="12" a="1"/>
  <c r="L11" i="12" s="1"/>
  <c r="M47" i="12" a="1"/>
  <c r="M47" i="12" s="1"/>
  <c r="L77" i="12" a="1"/>
  <c r="L77" i="12" s="1"/>
  <c r="L88" i="12" a="1"/>
  <c r="L88" i="12" s="1"/>
  <c r="M44" i="12" a="1"/>
  <c r="M44" i="12" s="1"/>
  <c r="M71" i="12" a="1"/>
  <c r="M71" i="12" s="1"/>
  <c r="L68" i="12" a="1"/>
  <c r="L68" i="12" s="1"/>
  <c r="M50" i="12" a="1"/>
  <c r="M50" i="12" s="1"/>
  <c r="L29" i="12" a="1"/>
  <c r="L29" i="12" s="1"/>
  <c r="M34" i="12" a="1"/>
  <c r="M34" i="12" s="1"/>
  <c r="L69" i="12" a="1"/>
  <c r="L69" i="12" s="1"/>
  <c r="N69" i="12" s="1"/>
  <c r="L24" i="12" a="1"/>
  <c r="L24" i="12" s="1"/>
  <c r="M23" i="12" a="1"/>
  <c r="M23" i="12" s="1"/>
  <c r="M80" i="12" a="1"/>
  <c r="M80" i="12" s="1"/>
  <c r="I94" i="12" a="1"/>
  <c r="I94" i="12" s="1"/>
  <c r="M43" i="12" a="1"/>
  <c r="M43" i="12" s="1"/>
  <c r="L16" i="12" a="1"/>
  <c r="L16" i="12" s="1"/>
  <c r="I2" i="12" a="1"/>
  <c r="I2" i="12" s="1"/>
  <c r="M36" i="12" a="1"/>
  <c r="M36" i="12" s="1"/>
  <c r="M11" i="12" a="1"/>
  <c r="M11" i="12" s="1"/>
  <c r="L26" i="12" a="1"/>
  <c r="L26" i="12" s="1"/>
  <c r="I23" i="12" a="1"/>
  <c r="I23" i="12" s="1"/>
  <c r="M52" i="12" a="1"/>
  <c r="M52" i="12" s="1"/>
  <c r="L75" i="12" a="1"/>
  <c r="L75" i="12" s="1"/>
  <c r="M90" i="12" a="1"/>
  <c r="M90" i="12" s="1"/>
  <c r="L47" i="12" a="1"/>
  <c r="L47" i="12" s="1"/>
  <c r="I76" i="12" a="1"/>
  <c r="I76" i="12" s="1"/>
  <c r="L34" i="12" a="1"/>
  <c r="L34" i="12" s="1"/>
  <c r="N34" i="12" s="1"/>
  <c r="M20" i="12" a="1"/>
  <c r="M20" i="12" s="1"/>
  <c r="L27" i="12" a="1"/>
  <c r="L27" i="12" s="1"/>
  <c r="N27" i="12" s="1"/>
  <c r="L28" i="12" a="1"/>
  <c r="L28" i="12" s="1"/>
  <c r="I58" i="12" a="1"/>
  <c r="I58" i="12" s="1"/>
  <c r="M46" i="12" a="1"/>
  <c r="M46" i="12" s="1"/>
  <c r="I44" i="12" a="1"/>
  <c r="I44" i="12" s="1"/>
  <c r="M38" i="12" a="1"/>
  <c r="M38" i="12" s="1"/>
  <c r="M65" i="12" a="1"/>
  <c r="M65" i="12" s="1"/>
  <c r="L99" i="12" a="1"/>
  <c r="L99" i="12" s="1"/>
  <c r="M72" i="12" a="1"/>
  <c r="M72" i="12" s="1"/>
  <c r="L3" i="12" a="1"/>
  <c r="L3" i="12" s="1"/>
  <c r="M93" i="12" a="1"/>
  <c r="M93" i="12" s="1"/>
  <c r="I12" i="12" a="1"/>
  <c r="I12" i="12" s="1"/>
  <c r="M83" i="12" a="1"/>
  <c r="M83" i="12" s="1"/>
  <c r="M28" i="12" a="1"/>
  <c r="M28" i="12" s="1"/>
  <c r="L51" i="12" a="1"/>
  <c r="L51" i="12" s="1"/>
  <c r="L40" i="12" a="1"/>
  <c r="L40" i="12" s="1"/>
  <c r="I31" i="12" a="1"/>
  <c r="I31" i="12" s="1"/>
  <c r="I28" i="12" a="1"/>
  <c r="I28" i="12" s="1"/>
  <c r="L33" i="12" a="1"/>
  <c r="L33" i="12" s="1"/>
  <c r="L61" i="12" a="1"/>
  <c r="L61" i="12" s="1"/>
  <c r="I10" i="12" a="1"/>
  <c r="I10" i="12" s="1"/>
  <c r="L35" i="12" a="1"/>
  <c r="L35" i="12" s="1"/>
  <c r="I64" i="12" a="1"/>
  <c r="I64" i="12" s="1"/>
  <c r="M95" i="12" a="1"/>
  <c r="M95" i="12" s="1"/>
  <c r="M12" i="12" a="1"/>
  <c r="M12" i="12" s="1"/>
  <c r="L96" i="12" a="1"/>
  <c r="L96" i="12" s="1"/>
  <c r="M60" i="12" a="1"/>
  <c r="M60" i="12" s="1"/>
  <c r="L48" i="12" a="1"/>
  <c r="L48" i="12" s="1"/>
  <c r="M18" i="12" a="1"/>
  <c r="M18" i="12" s="1"/>
  <c r="N18" i="12" s="1"/>
  <c r="I88" i="12" a="1"/>
  <c r="I88" i="12" s="1"/>
  <c r="L62" i="12" a="1"/>
  <c r="L62" i="12" s="1"/>
  <c r="N62" i="12" s="1"/>
  <c r="I56" i="12" a="1"/>
  <c r="I56" i="12" s="1"/>
  <c r="L79" i="12" a="1"/>
  <c r="L79" i="12" s="1"/>
  <c r="N79" i="12" s="1"/>
  <c r="I25" i="12" a="1"/>
  <c r="I25" i="12" s="1"/>
  <c r="M64" i="12" a="1"/>
  <c r="M64" i="12" s="1"/>
  <c r="L49" i="12" a="1"/>
  <c r="L49" i="12" s="1"/>
  <c r="N49" i="12" s="1"/>
  <c r="M4" i="12" a="1"/>
  <c r="M4" i="12" s="1"/>
  <c r="M30" i="12" a="1"/>
  <c r="M30" i="12" s="1"/>
  <c r="I40" i="12" a="1"/>
  <c r="I40" i="12" s="1"/>
  <c r="L65" i="12" a="1"/>
  <c r="L65" i="12" s="1"/>
  <c r="M82" i="12" a="1"/>
  <c r="M82" i="12" s="1"/>
  <c r="L97" i="12" a="1"/>
  <c r="L97" i="12" s="1"/>
  <c r="I93" i="12" a="1"/>
  <c r="I93" i="12" s="1"/>
  <c r="L55" i="12" a="1"/>
  <c r="L55" i="12" s="1"/>
  <c r="L80" i="12" a="1"/>
  <c r="L80" i="12" s="1"/>
  <c r="M96" i="12" a="1"/>
  <c r="M96" i="12" s="1"/>
  <c r="L6" i="12" a="1"/>
  <c r="L6" i="12" s="1"/>
  <c r="L66" i="12" a="1"/>
  <c r="L66" i="12" s="1"/>
  <c r="M97" i="12" a="1"/>
  <c r="M97" i="12" s="1"/>
  <c r="I39" i="12" a="1"/>
  <c r="I39" i="12" s="1"/>
  <c r="M48" i="12" a="1"/>
  <c r="M48" i="12" s="1"/>
  <c r="I89" i="12" a="1"/>
  <c r="I89" i="12" s="1"/>
  <c r="M92" i="12" a="1"/>
  <c r="M92" i="12" s="1"/>
  <c r="M55" i="12" a="1"/>
  <c r="M55" i="12" s="1"/>
  <c r="M25" i="12" a="1"/>
  <c r="M25" i="12" s="1"/>
  <c r="I69" i="12" a="1"/>
  <c r="I69" i="12" s="1"/>
  <c r="M40" i="12" a="1"/>
  <c r="M40" i="12" s="1"/>
  <c r="M41" i="12" a="1"/>
  <c r="M41" i="12" s="1"/>
  <c r="M81" i="12" a="1"/>
  <c r="M81" i="12" s="1"/>
  <c r="L15" i="12" a="1"/>
  <c r="L15" i="12" s="1"/>
  <c r="M57" i="12" a="1"/>
  <c r="M57" i="12" s="1"/>
  <c r="M68" i="12" a="1"/>
  <c r="M68" i="12" s="1"/>
  <c r="M75" i="12" a="1"/>
  <c r="M75" i="12" s="1"/>
  <c r="I19" i="12" a="1"/>
  <c r="I19" i="12" s="1"/>
  <c r="I97" i="12" a="1"/>
  <c r="I97" i="12" s="1"/>
  <c r="L67" i="12" a="1"/>
  <c r="L67" i="12" s="1"/>
  <c r="M61" i="12" a="1"/>
  <c r="M61" i="12" s="1"/>
  <c r="I82" i="12" a="1"/>
  <c r="I82" i="12" s="1"/>
  <c r="I18" i="12" a="1"/>
  <c r="I18" i="12" s="1"/>
  <c r="I8" i="12" a="1"/>
  <c r="I8" i="12" s="1"/>
  <c r="I86" i="12" a="1"/>
  <c r="I86" i="12" s="1"/>
  <c r="I55" i="12" a="1"/>
  <c r="I55" i="12" s="1"/>
  <c r="I75" i="12" a="1"/>
  <c r="I75" i="12" s="1"/>
  <c r="L9" i="12" a="1"/>
  <c r="L9" i="12" s="1"/>
  <c r="L57" i="12" a="1"/>
  <c r="L57" i="12" s="1"/>
  <c r="M77" i="12" a="1"/>
  <c r="M77" i="12" s="1"/>
  <c r="M94" i="12" a="1"/>
  <c r="M94" i="12" s="1"/>
  <c r="L38" i="12" a="1"/>
  <c r="L38" i="12" s="1"/>
  <c r="M39" i="12" a="1"/>
  <c r="M39" i="12" s="1"/>
  <c r="L86" i="12" a="1"/>
  <c r="L86" i="12" s="1"/>
  <c r="I66" i="12" a="1"/>
  <c r="I66" i="12" s="1"/>
  <c r="I95" i="12" a="1"/>
  <c r="I95" i="12" s="1"/>
  <c r="M74" i="12" a="1"/>
  <c r="M74" i="12" s="1"/>
  <c r="M78" i="12" a="1"/>
  <c r="M78" i="12" s="1"/>
  <c r="M54" i="12" a="1"/>
  <c r="M54" i="12" s="1"/>
  <c r="I29" i="12" a="1"/>
  <c r="I29" i="12" s="1"/>
  <c r="I99" i="12" a="1"/>
  <c r="I99" i="12" s="1"/>
  <c r="L4" i="12" a="1"/>
  <c r="L4" i="12" s="1"/>
  <c r="L89" i="12" a="1"/>
  <c r="L89" i="12" s="1"/>
  <c r="N89" i="12" s="1"/>
  <c r="I59" i="12" a="1"/>
  <c r="I59" i="12" s="1"/>
  <c r="M42" i="12" a="1"/>
  <c r="M42" i="12" s="1"/>
  <c r="M19" i="12" a="1"/>
  <c r="M19" i="12" s="1"/>
  <c r="I54" i="12" a="1"/>
  <c r="I54" i="12" s="1"/>
  <c r="M17" i="12" a="1"/>
  <c r="M17" i="12" s="1"/>
  <c r="L25" i="12" a="1"/>
  <c r="L25" i="12" s="1"/>
  <c r="I16" i="12" a="1"/>
  <c r="I16" i="12" s="1"/>
  <c r="L8" i="12" a="1"/>
  <c r="L8" i="12" s="1"/>
  <c r="L2" i="12" a="1"/>
  <c r="L2" i="12" s="1"/>
  <c r="I52" i="12" a="1"/>
  <c r="I52" i="12" s="1"/>
  <c r="I20" i="12" a="1"/>
  <c r="I20" i="12" s="1"/>
  <c r="M84" i="12" a="1"/>
  <c r="M84" i="12" s="1"/>
  <c r="M51" i="12" a="1"/>
  <c r="M51" i="12" s="1"/>
  <c r="L13" i="12" a="1"/>
  <c r="L13" i="12" s="1"/>
  <c r="L37" i="12" a="1"/>
  <c r="L37" i="12" s="1"/>
  <c r="I65" i="12" a="1"/>
  <c r="I65" i="12" s="1"/>
  <c r="I57" i="12" a="1"/>
  <c r="I57" i="12" s="1"/>
  <c r="M21" i="12" a="1"/>
  <c r="M21" i="12" s="1"/>
  <c r="M2" i="12" a="1"/>
  <c r="M2" i="12" s="1"/>
  <c r="L41" i="12" a="1"/>
  <c r="L41" i="12" s="1"/>
  <c r="L30" i="12" a="1"/>
  <c r="L30" i="12" s="1"/>
  <c r="L5" i="12" a="1"/>
  <c r="L5" i="12" s="1"/>
  <c r="L17" i="12" a="1"/>
  <c r="L17" i="12" s="1"/>
  <c r="M58" i="12" a="1"/>
  <c r="M58" i="12" s="1"/>
  <c r="M32" i="12" a="1"/>
  <c r="M32" i="12" s="1"/>
  <c r="L23" i="12" a="1"/>
  <c r="L23" i="12" s="1"/>
  <c r="I60" i="12" a="1"/>
  <c r="I60" i="12" s="1"/>
  <c r="L46" i="12" a="1"/>
  <c r="L46" i="12" s="1"/>
  <c r="M56" i="12" a="1"/>
  <c r="M56" i="12" s="1"/>
  <c r="I84" i="12" a="1"/>
  <c r="I84" i="12" s="1"/>
  <c r="L63" i="12" a="1"/>
  <c r="L63" i="12" s="1"/>
  <c r="I35" i="12" a="1"/>
  <c r="I35" i="12" s="1"/>
  <c r="I67" i="12" a="1"/>
  <c r="I67" i="12" s="1"/>
  <c r="L44" i="12" a="1"/>
  <c r="L44" i="12" s="1"/>
  <c r="I71" i="12" a="1"/>
  <c r="I71" i="12" s="1"/>
  <c r="I48" i="12" a="1"/>
  <c r="I48" i="12" s="1"/>
  <c r="I90" i="12" a="1"/>
  <c r="I90" i="12" s="1"/>
  <c r="L92" i="12" a="1"/>
  <c r="L92" i="12" s="1"/>
  <c r="L82" i="12" a="1"/>
  <c r="L82" i="12" s="1"/>
  <c r="I45" i="12" a="1"/>
  <c r="I45" i="12" s="1"/>
  <c r="L42" i="12" a="1"/>
  <c r="L42" i="12" s="1"/>
  <c r="I47" i="12" a="1"/>
  <c r="I47" i="12" s="1"/>
  <c r="M73" i="12" a="1"/>
  <c r="M73" i="12" s="1"/>
  <c r="M35" i="12" a="1"/>
  <c r="M35" i="12" s="1"/>
  <c r="L21" i="12" a="1"/>
  <c r="L21" i="12" s="1"/>
  <c r="I33" i="12" a="1"/>
  <c r="I33" i="12" s="1"/>
  <c r="L36" i="12" a="1"/>
  <c r="L36" i="12" s="1"/>
  <c r="I73" i="12" a="1"/>
  <c r="I73" i="12" s="1"/>
  <c r="M14" i="12" a="1"/>
  <c r="M14" i="12" s="1"/>
  <c r="M31" i="12" a="1"/>
  <c r="M31" i="12" s="1"/>
  <c r="L52" i="12" a="1"/>
  <c r="L52" i="12" s="1"/>
  <c r="M24" i="12" a="1"/>
  <c r="M24" i="12" s="1"/>
  <c r="M13" i="12" a="1"/>
  <c r="M13" i="12" s="1"/>
  <c r="I72" i="12" a="1"/>
  <c r="I72" i="12" s="1"/>
  <c r="I85" i="12" a="1"/>
  <c r="I85" i="12" s="1"/>
  <c r="M45" i="12" a="1"/>
  <c r="M45" i="12" s="1"/>
  <c r="L56" i="12" a="1"/>
  <c r="L56" i="12" s="1"/>
  <c r="L64" i="12" a="1"/>
  <c r="L64" i="12" s="1"/>
  <c r="L39" i="12" a="1"/>
  <c r="L39" i="12" s="1"/>
  <c r="N83" i="12"/>
  <c r="N71" i="12"/>
  <c r="F39" i="13"/>
  <c r="F40" i="13"/>
  <c r="F35" i="13"/>
  <c r="N80" i="12" l="1"/>
  <c r="N22" i="12"/>
  <c r="N29" i="12"/>
  <c r="N45" i="12"/>
  <c r="AG7" i="4"/>
  <c r="N48" i="12"/>
  <c r="N8" i="12"/>
  <c r="N84" i="12"/>
  <c r="P115" i="1" a="1"/>
  <c r="P115" i="1" s="1"/>
  <c r="N70" i="12"/>
  <c r="AG88" i="4"/>
  <c r="T7" i="6"/>
  <c r="T8" i="6"/>
  <c r="T14" i="6"/>
  <c r="AG4" i="4"/>
  <c r="P18" i="1" s="1" a="1"/>
  <c r="P18" i="1" s="1"/>
  <c r="F13" i="13" s="1"/>
  <c r="N15" i="12"/>
  <c r="T10" i="6"/>
  <c r="AG87" i="4"/>
  <c r="N67" i="12"/>
  <c r="N9" i="12"/>
  <c r="N38" i="12"/>
  <c r="N25" i="12"/>
  <c r="N92" i="12"/>
  <c r="N36" i="12"/>
  <c r="N52" i="12"/>
  <c r="N85" i="12"/>
  <c r="N26" i="12"/>
  <c r="N3" i="12"/>
  <c r="N86" i="12"/>
  <c r="N37" i="12"/>
  <c r="N30" i="12"/>
  <c r="N5" i="12"/>
  <c r="N23" i="12"/>
  <c r="N46" i="12"/>
  <c r="N63" i="12"/>
  <c r="N44" i="12"/>
  <c r="N82" i="12"/>
  <c r="N73" i="12"/>
  <c r="N24" i="12"/>
  <c r="N64" i="12"/>
  <c r="AH241" i="4"/>
  <c r="AH154" i="4"/>
  <c r="AH220" i="4"/>
  <c r="AH64" i="4"/>
  <c r="Q138" i="1" s="1" a="1"/>
  <c r="Q138" i="1" s="1"/>
  <c r="S138" i="15" s="1"/>
  <c r="AH146" i="4"/>
  <c r="Q127" i="1" s="1" a="1"/>
  <c r="Q127" i="1" s="1"/>
  <c r="S127" i="15" s="1"/>
  <c r="AH245" i="4"/>
  <c r="AH142" i="4"/>
  <c r="Q120" i="1" s="1" a="1"/>
  <c r="Q120" i="1" s="1"/>
  <c r="S120" i="15" s="1"/>
  <c r="AH163" i="4"/>
  <c r="AH160" i="4"/>
  <c r="AH234" i="4"/>
  <c r="AH112" i="4"/>
  <c r="Q137" i="1" s="1" a="1"/>
  <c r="Q137" i="1" s="1"/>
  <c r="S137" i="15" s="1"/>
  <c r="AH205" i="4"/>
  <c r="AH121" i="4"/>
  <c r="AH244" i="4"/>
  <c r="AH225" i="4"/>
  <c r="AH76" i="4"/>
  <c r="Q21" i="1" s="1" a="1"/>
  <c r="Q21" i="1" s="1"/>
  <c r="S21" i="15" s="1"/>
  <c r="AH159" i="4"/>
  <c r="AH141" i="4"/>
  <c r="AH150" i="4"/>
  <c r="Q92" i="1" s="1" a="1"/>
  <c r="Q92" i="1" s="1"/>
  <c r="S92" i="15" s="1"/>
  <c r="AH186" i="4"/>
  <c r="AH203" i="4"/>
  <c r="AH223" i="4"/>
  <c r="AH115" i="4"/>
  <c r="Q10" i="1" s="1" a="1"/>
  <c r="Q10" i="1" s="1"/>
  <c r="S10" i="15" s="1"/>
  <c r="AH215" i="4"/>
  <c r="AH41" i="4"/>
  <c r="AH198" i="4"/>
  <c r="AH123" i="4"/>
  <c r="Q156" i="1" s="1" a="1"/>
  <c r="Q156" i="1" s="1"/>
  <c r="S156" i="15" s="1"/>
  <c r="AH99" i="4"/>
  <c r="AH170" i="4"/>
  <c r="N56" i="12"/>
  <c r="AH45" i="4"/>
  <c r="Q112" i="1" s="1" a="1"/>
  <c r="Q112" i="1" s="1"/>
  <c r="S112" i="15" s="1"/>
  <c r="AH32" i="4"/>
  <c r="AG3" i="4"/>
  <c r="P9" i="1" s="1" a="1"/>
  <c r="P9" i="1" s="1"/>
  <c r="AH174" i="4"/>
  <c r="AH128" i="4"/>
  <c r="Q106" i="1" s="1" a="1"/>
  <c r="Q106" i="1" s="1"/>
  <c r="S106" i="15" s="1"/>
  <c r="AH153" i="4"/>
  <c r="AH20" i="4"/>
  <c r="AH74" i="4"/>
  <c r="AH33" i="4"/>
  <c r="AH73" i="4"/>
  <c r="Q146" i="1" s="1" a="1"/>
  <c r="Q146" i="1" s="1"/>
  <c r="S146" i="15" s="1"/>
  <c r="AH240" i="4"/>
  <c r="AH194" i="4"/>
  <c r="AH103" i="4"/>
  <c r="Q135" i="1" s="1" a="1"/>
  <c r="Q135" i="1" s="1"/>
  <c r="S135" i="15" s="1"/>
  <c r="AH29" i="4"/>
  <c r="AH148" i="4"/>
  <c r="AH124" i="4"/>
  <c r="AH246" i="4"/>
  <c r="AH62" i="4"/>
  <c r="Q17" i="1" s="1" a="1"/>
  <c r="Q17" i="1" s="1"/>
  <c r="S17" i="15" s="1"/>
  <c r="AH58" i="4"/>
  <c r="Q87" i="1" s="1" a="1"/>
  <c r="Q87" i="1" s="1"/>
  <c r="S87" i="15" s="1"/>
  <c r="AH172" i="4"/>
  <c r="AH195" i="4"/>
  <c r="AH193" i="4"/>
  <c r="AH196" i="4"/>
  <c r="AH187" i="4"/>
  <c r="AH122" i="4"/>
  <c r="Q154" i="1" s="1" a="1"/>
  <c r="Q154" i="1" s="1"/>
  <c r="S154" i="15" s="1"/>
  <c r="AH107" i="4"/>
  <c r="Q153" i="1" s="1" a="1"/>
  <c r="Q153" i="1" s="1"/>
  <c r="S153" i="15" s="1"/>
  <c r="AH60" i="4"/>
  <c r="AH23" i="4"/>
  <c r="AH5" i="4"/>
  <c r="AH222" i="4"/>
  <c r="AH120" i="4"/>
  <c r="AH135" i="4"/>
  <c r="Q159" i="1" s="1" a="1"/>
  <c r="Q159" i="1" s="1"/>
  <c r="S159" i="15" s="1"/>
  <c r="AH214" i="4"/>
  <c r="N41" i="12"/>
  <c r="N42" i="12"/>
  <c r="N99" i="12"/>
  <c r="AH188" i="4"/>
  <c r="AH191" i="4"/>
  <c r="AH101" i="4"/>
  <c r="AH237" i="4"/>
  <c r="AH243" i="4"/>
  <c r="AH251" i="4"/>
  <c r="AH144" i="4"/>
  <c r="Q136" i="1" s="1" a="1"/>
  <c r="Q136" i="1" s="1"/>
  <c r="S136" i="15" s="1"/>
  <c r="AH108" i="4"/>
  <c r="Q3" i="1" s="1" a="1"/>
  <c r="Q3" i="1" s="1"/>
  <c r="S3" i="15" s="1"/>
  <c r="AH183" i="4"/>
  <c r="AH93" i="4"/>
  <c r="Q105" i="1" s="1" a="1"/>
  <c r="Q105" i="1" s="1"/>
  <c r="S105" i="15" s="1"/>
  <c r="AH250" i="4"/>
  <c r="AH210" i="4"/>
  <c r="AH143" i="4"/>
  <c r="AH226" i="4"/>
  <c r="AH109" i="4"/>
  <c r="Q4" i="1" s="1" a="1"/>
  <c r="Q4" i="1" s="1"/>
  <c r="S4" i="15" s="1"/>
  <c r="AH111" i="4"/>
  <c r="Q161" i="1" s="1" a="1"/>
  <c r="Q161" i="1" s="1"/>
  <c r="S161" i="15" s="1"/>
  <c r="AH178" i="4"/>
  <c r="AH88" i="4"/>
  <c r="Q22" i="1" s="1" a="1"/>
  <c r="Q22" i="1" s="1"/>
  <c r="S22" i="15" s="1"/>
  <c r="AH162" i="4"/>
  <c r="AH26" i="4"/>
  <c r="AH6" i="4"/>
  <c r="AH212" i="4"/>
  <c r="AH94" i="4"/>
  <c r="Q29" i="1" s="1" a="1"/>
  <c r="Q29" i="1" s="1"/>
  <c r="S29" i="15" s="1"/>
  <c r="AH79" i="4"/>
  <c r="Q47" i="1" s="1" a="1"/>
  <c r="Q47" i="1" s="1"/>
  <c r="S47" i="15" s="1"/>
  <c r="AH219" i="4"/>
  <c r="AH125" i="4"/>
  <c r="N33" i="12"/>
  <c r="N66" i="12"/>
  <c r="N16" i="12"/>
  <c r="N39" i="12"/>
  <c r="N4" i="12"/>
  <c r="N6" i="12"/>
  <c r="AG90" i="4"/>
  <c r="P13" i="1" s="1" a="1"/>
  <c r="P13" i="1" s="1"/>
  <c r="F11" i="13" s="1"/>
  <c r="AG92" i="4"/>
  <c r="P131" i="1" s="1" a="1"/>
  <c r="P131" i="1" s="1"/>
  <c r="AG91" i="4"/>
  <c r="P101" i="1" s="1" a="1"/>
  <c r="P101" i="1" s="1"/>
  <c r="AG93" i="4"/>
  <c r="P105" i="1" s="1" a="1"/>
  <c r="P105" i="1" s="1"/>
  <c r="N40" i="12"/>
  <c r="N53" i="12"/>
  <c r="N51" i="12"/>
  <c r="N50" i="12"/>
  <c r="N88" i="12"/>
  <c r="AH78" i="4" s="1"/>
  <c r="N91" i="12"/>
  <c r="AH81" i="4" s="1"/>
  <c r="Q148" i="1" s="1" a="1"/>
  <c r="Q148" i="1" s="1"/>
  <c r="S148" i="15" s="1"/>
  <c r="Q167" i="1" a="1"/>
  <c r="Q167" i="1" s="1"/>
  <c r="S167" i="15" s="1"/>
  <c r="Q168" i="1" a="1"/>
  <c r="Q168" i="1" s="1"/>
  <c r="S168" i="15" s="1"/>
  <c r="Q166" i="1" a="1"/>
  <c r="Q166" i="1" s="1"/>
  <c r="S166" i="15" s="1"/>
  <c r="N21" i="12"/>
  <c r="AH21" i="4" s="1"/>
  <c r="Q58" i="1" a="1"/>
  <c r="Q58" i="1" s="1"/>
  <c r="S58" i="15" s="1"/>
  <c r="Q45" i="1" a="1"/>
  <c r="Q45" i="1" s="1"/>
  <c r="S45" i="15" s="1"/>
  <c r="Q35" i="1" a="1"/>
  <c r="Q35" i="1" s="1"/>
  <c r="S35" i="15" s="1"/>
  <c r="Q42" i="1" a="1"/>
  <c r="Q42" i="1" s="1"/>
  <c r="S42" i="15" s="1"/>
  <c r="Q100" i="1" a="1"/>
  <c r="Q100" i="1" s="1"/>
  <c r="S100" i="15" s="1"/>
  <c r="Q48" i="1" a="1"/>
  <c r="Q48" i="1" s="1"/>
  <c r="S48" i="15" s="1"/>
  <c r="Q110" i="1" a="1"/>
  <c r="Q110" i="1" s="1"/>
  <c r="S110" i="15" s="1"/>
  <c r="Q6" i="1" a="1"/>
  <c r="Q6" i="1" s="1"/>
  <c r="S6" i="15" s="1"/>
  <c r="Q15" i="1" a="1"/>
  <c r="Q15" i="1" s="1"/>
  <c r="S15" i="15" s="1"/>
  <c r="Q31" i="1" a="1"/>
  <c r="Q31" i="1" s="1"/>
  <c r="S31" i="15" s="1"/>
  <c r="Q8" i="1" a="1"/>
  <c r="Q8" i="1" s="1"/>
  <c r="S8" i="15" s="1"/>
  <c r="Q95" i="1" a="1"/>
  <c r="Q95" i="1" s="1"/>
  <c r="S95" i="15" s="1"/>
  <c r="Q23" i="1" a="1"/>
  <c r="Q23" i="1" s="1"/>
  <c r="S23" i="15" s="1"/>
  <c r="Q91" i="1" a="1"/>
  <c r="Q91" i="1" s="1"/>
  <c r="S91" i="15" s="1"/>
  <c r="Q104" i="1" a="1"/>
  <c r="Q104" i="1" s="1"/>
  <c r="S104" i="15" s="1"/>
  <c r="Q44" i="1" a="1"/>
  <c r="Q44" i="1" s="1"/>
  <c r="S44" i="15" s="1"/>
  <c r="Q39" i="1" a="1"/>
  <c r="Q39" i="1" s="1"/>
  <c r="S39" i="15" s="1"/>
  <c r="Q163" i="1" a="1"/>
  <c r="Q163" i="1" s="1"/>
  <c r="S163" i="15" s="1"/>
  <c r="P27" i="1" a="1"/>
  <c r="P27" i="1" s="1"/>
  <c r="P182" i="1" a="1"/>
  <c r="P182" i="1" s="1"/>
  <c r="P180" i="1" a="1"/>
  <c r="P180" i="1" s="1"/>
  <c r="P184" i="1" a="1"/>
  <c r="P184" i="1" s="1"/>
  <c r="N17" i="12"/>
  <c r="N57" i="12"/>
  <c r="AH50" i="4" s="1"/>
  <c r="Q46" i="1" s="1" a="1"/>
  <c r="Q46" i="1" s="1"/>
  <c r="S46" i="15" s="1"/>
  <c r="N76" i="12"/>
  <c r="AH67" i="4" s="1"/>
  <c r="Q108" i="1" s="1" a="1"/>
  <c r="Q108" i="1" s="1"/>
  <c r="S108" i="15" s="1"/>
  <c r="AH100" i="4"/>
  <c r="Q124" i="1" s="1" a="1"/>
  <c r="Q124" i="1" s="1"/>
  <c r="S124" i="15" s="1"/>
  <c r="N65" i="12"/>
  <c r="AH56" i="4" s="1"/>
  <c r="Q103" i="1" s="1" a="1"/>
  <c r="Q103" i="1" s="1"/>
  <c r="S103" i="15" s="1"/>
  <c r="N61" i="12"/>
  <c r="AH53" i="4" s="1"/>
  <c r="Q132" i="1" s="1" a="1"/>
  <c r="Q132" i="1" s="1"/>
  <c r="S132" i="15" s="1"/>
  <c r="N47" i="12"/>
  <c r="AH40" i="4" s="1"/>
  <c r="Q139" i="1" s="1" a="1"/>
  <c r="Q139" i="1" s="1"/>
  <c r="S139" i="15" s="1"/>
  <c r="N11" i="12"/>
  <c r="N7" i="12"/>
  <c r="N10" i="12"/>
  <c r="N81" i="12"/>
  <c r="AH71" i="4" s="1"/>
  <c r="Q88" i="1" s="1" a="1"/>
  <c r="Q88" i="1" s="1"/>
  <c r="S88" i="15" s="1"/>
  <c r="AG192" i="4"/>
  <c r="AG205" i="4"/>
  <c r="AG70" i="4"/>
  <c r="P126" i="1" s="1" a="1"/>
  <c r="P126" i="1" s="1"/>
  <c r="AG37" i="4"/>
  <c r="P95" i="1" s="1" a="1"/>
  <c r="P95" i="1" s="1"/>
  <c r="AG144" i="4"/>
  <c r="P136" i="1" s="1" a="1"/>
  <c r="P136" i="1" s="1"/>
  <c r="AG218" i="4"/>
  <c r="AG24" i="4"/>
  <c r="AG229" i="4"/>
  <c r="AG62" i="4"/>
  <c r="AG184" i="4"/>
  <c r="AG51" i="4"/>
  <c r="AG217" i="4"/>
  <c r="AG247" i="4"/>
  <c r="AG197" i="4"/>
  <c r="AG136" i="4"/>
  <c r="AG223" i="4"/>
  <c r="AG129" i="4"/>
  <c r="P37" i="1" s="1" a="1"/>
  <c r="P37" i="1" s="1"/>
  <c r="AG249" i="4"/>
  <c r="AG29" i="4"/>
  <c r="AG183" i="4"/>
  <c r="AG141" i="4"/>
  <c r="AG57" i="4"/>
  <c r="P102" i="1" s="1" a="1"/>
  <c r="P102" i="1" s="1"/>
  <c r="AG204" i="4"/>
  <c r="AG66" i="4"/>
  <c r="AG156" i="4"/>
  <c r="AG9" i="4"/>
  <c r="P98" i="1" s="1" a="1"/>
  <c r="P98" i="1" s="1"/>
  <c r="AG130" i="4"/>
  <c r="AG177" i="4"/>
  <c r="AG19" i="4"/>
  <c r="AG86" i="4"/>
  <c r="P20" i="1" s="1" a="1"/>
  <c r="P20" i="1" s="1"/>
  <c r="AG185" i="4"/>
  <c r="AG116" i="4"/>
  <c r="P97" i="1" s="1" a="1"/>
  <c r="P97" i="1" s="1"/>
  <c r="AG115" i="4"/>
  <c r="P10" i="1" s="1" a="1"/>
  <c r="P10" i="1" s="1"/>
  <c r="AG191" i="4"/>
  <c r="AG174" i="4"/>
  <c r="AG38" i="4"/>
  <c r="P93" i="1" s="1" a="1"/>
  <c r="P93" i="1" s="1"/>
  <c r="AG142" i="4"/>
  <c r="P120" i="1" s="1" a="1"/>
  <c r="P120" i="1" s="1"/>
  <c r="AG147" i="4"/>
  <c r="P36" i="1" s="1" a="1"/>
  <c r="P36" i="1" s="1"/>
  <c r="AG64" i="4"/>
  <c r="P138" i="1" s="1" a="1"/>
  <c r="P138" i="1" s="1"/>
  <c r="AG43" i="4"/>
  <c r="P170" i="1" s="1" a="1"/>
  <c r="P170" i="1" s="1"/>
  <c r="AG250" i="4"/>
  <c r="AG225" i="4"/>
  <c r="AG228" i="4"/>
  <c r="AG96" i="4"/>
  <c r="P114" i="1" s="1" a="1"/>
  <c r="P114" i="1" s="1"/>
  <c r="AG46" i="4"/>
  <c r="P117" i="1" s="1" a="1"/>
  <c r="P117" i="1" s="1"/>
  <c r="AG60" i="4"/>
  <c r="AG128" i="4"/>
  <c r="P106" i="1" s="1" a="1"/>
  <c r="P106" i="1" s="1"/>
  <c r="AG198" i="4"/>
  <c r="AG81" i="4"/>
  <c r="P148" i="1" s="1" a="1"/>
  <c r="P148" i="1" s="1"/>
  <c r="AG238" i="4"/>
  <c r="AG22" i="4"/>
  <c r="P169" i="1" s="1" a="1"/>
  <c r="P169" i="1" s="1"/>
  <c r="AG11" i="4"/>
  <c r="P147" i="1" s="1" a="1"/>
  <c r="P147" i="1" s="1"/>
  <c r="AG150" i="4"/>
  <c r="P92" i="1" s="1" a="1"/>
  <c r="P92" i="1" s="1"/>
  <c r="AG152" i="4"/>
  <c r="P22" i="1" a="1"/>
  <c r="P22" i="1" s="1"/>
  <c r="AG16" i="4"/>
  <c r="AG161" i="4"/>
  <c r="AG27" i="4"/>
  <c r="P165" i="1" s="1" a="1"/>
  <c r="P165" i="1" s="1"/>
  <c r="AG31" i="4"/>
  <c r="AG44" i="4"/>
  <c r="P160" i="1" s="1" a="1"/>
  <c r="P160" i="1" s="1"/>
  <c r="AG63" i="4"/>
  <c r="AG167" i="4"/>
  <c r="AG111" i="4"/>
  <c r="P161" i="1" s="1" a="1"/>
  <c r="P161" i="1" s="1"/>
  <c r="AG33" i="4"/>
  <c r="AG13" i="4"/>
  <c r="P125" i="1" s="1" a="1"/>
  <c r="P125" i="1" s="1"/>
  <c r="AG95" i="4"/>
  <c r="P16" i="1" s="1" a="1"/>
  <c r="P16" i="1" s="1"/>
  <c r="AG170" i="4"/>
  <c r="AG246" i="4"/>
  <c r="AG52" i="4"/>
  <c r="P14" i="1" s="1" a="1"/>
  <c r="P14" i="1" s="1"/>
  <c r="AG175" i="4"/>
  <c r="AG166" i="4"/>
  <c r="AG40" i="4"/>
  <c r="P139" i="1" s="1" a="1"/>
  <c r="P139" i="1" s="1"/>
  <c r="AG233" i="4"/>
  <c r="AG159" i="4"/>
  <c r="AG200" i="4"/>
  <c r="AG178" i="4"/>
  <c r="AG208" i="4"/>
  <c r="AG215" i="4"/>
  <c r="AG77" i="4"/>
  <c r="AG97" i="4"/>
  <c r="P32" i="1" s="1" a="1"/>
  <c r="P32" i="1" s="1"/>
  <c r="AG39" i="4"/>
  <c r="AG75" i="4"/>
  <c r="P34" i="1" s="1" a="1"/>
  <c r="P34" i="1" s="1"/>
  <c r="AG227" i="4"/>
  <c r="AG54" i="4"/>
  <c r="P41" i="1" s="1" a="1"/>
  <c r="P41" i="1" s="1"/>
  <c r="AG14" i="4"/>
  <c r="P24" i="1" s="1" a="1"/>
  <c r="P24" i="1" s="1"/>
  <c r="AG78" i="4"/>
  <c r="AG32" i="4"/>
  <c r="AG122" i="4"/>
  <c r="P154" i="1" s="1" a="1"/>
  <c r="P154" i="1" s="1"/>
  <c r="AG58" i="4"/>
  <c r="P87" i="1" s="1" a="1"/>
  <c r="P87" i="1" s="1"/>
  <c r="AG244" i="4"/>
  <c r="AG202" i="4"/>
  <c r="AG160" i="4"/>
  <c r="AG123" i="4"/>
  <c r="P156" i="1" s="1" a="1"/>
  <c r="P156" i="1" s="1"/>
  <c r="AG195" i="4"/>
  <c r="AG155" i="4"/>
  <c r="AG98" i="4"/>
  <c r="P130" i="1" s="1" a="1"/>
  <c r="P130" i="1" s="1"/>
  <c r="AG252" i="4"/>
  <c r="AG121" i="4"/>
  <c r="AG203" i="4"/>
  <c r="AG220" i="4"/>
  <c r="AG67" i="4"/>
  <c r="P108" i="1" s="1" a="1"/>
  <c r="P108" i="1" s="1"/>
  <c r="AG237" i="4"/>
  <c r="AG55" i="4"/>
  <c r="P140" i="1" s="1" a="1"/>
  <c r="P140" i="1" s="1"/>
  <c r="AG137" i="4"/>
  <c r="AG190" i="4"/>
  <c r="AG149" i="4"/>
  <c r="P168" i="1" s="1" a="1"/>
  <c r="P168" i="1" s="1"/>
  <c r="AG120" i="4"/>
  <c r="P167" i="1" s="1" a="1"/>
  <c r="P167" i="1" s="1"/>
  <c r="AG76" i="4"/>
  <c r="P21" i="1" s="1" a="1"/>
  <c r="P21" i="1" s="1"/>
  <c r="AG138" i="4"/>
  <c r="AG226" i="4"/>
  <c r="AG187" i="4"/>
  <c r="AG34" i="4"/>
  <c r="AG180" i="4"/>
  <c r="AG165" i="4"/>
  <c r="AG48" i="4"/>
  <c r="P155" i="1" s="1" a="1"/>
  <c r="P155" i="1" s="1"/>
  <c r="AG245" i="4"/>
  <c r="AG219" i="4"/>
  <c r="AG214" i="4"/>
  <c r="AG231" i="4"/>
  <c r="AG61" i="4"/>
  <c r="P142" i="1" s="1" a="1"/>
  <c r="P142" i="1" s="1"/>
  <c r="AG243" i="4"/>
  <c r="AG73" i="4"/>
  <c r="P146" i="1" s="1" a="1"/>
  <c r="P146" i="1" s="1"/>
  <c r="AG30" i="4"/>
  <c r="P90" i="1" s="1" a="1"/>
  <c r="P90" i="1" s="1"/>
  <c r="AG224" i="4"/>
  <c r="AG84" i="4"/>
  <c r="P12" i="1" s="1" a="1"/>
  <c r="P12" i="1" s="1"/>
  <c r="AG126" i="4"/>
  <c r="P19" i="1" s="1" a="1"/>
  <c r="P19" i="1" s="1"/>
  <c r="AG164" i="4"/>
  <c r="AG45" i="4"/>
  <c r="P112" i="1" s="1" a="1"/>
  <c r="P112" i="1" s="1"/>
  <c r="AG65" i="4"/>
  <c r="AG117" i="4"/>
  <c r="AG28" i="4"/>
  <c r="AG221" i="4"/>
  <c r="P25" i="1" a="1"/>
  <c r="P25" i="1" s="1"/>
  <c r="AG157" i="4"/>
  <c r="AG251" i="4"/>
  <c r="AG41" i="4"/>
  <c r="AG169" i="4"/>
  <c r="AG35" i="4"/>
  <c r="P35" i="1" s="1" a="1"/>
  <c r="P35" i="1" s="1"/>
  <c r="AG119" i="4"/>
  <c r="P94" i="1" s="1" a="1"/>
  <c r="P94" i="1" s="1"/>
  <c r="AG196" i="4"/>
  <c r="AG69" i="4"/>
  <c r="P61" i="1" s="1" a="1"/>
  <c r="P61" i="1" s="1"/>
  <c r="AG102" i="4"/>
  <c r="P134" i="1" s="1" a="1"/>
  <c r="P134" i="1" s="1"/>
  <c r="AG74" i="4"/>
  <c r="P31" i="1" s="1" a="1"/>
  <c r="P31" i="1" s="1"/>
  <c r="F12" i="13" s="1"/>
  <c r="AG134" i="4"/>
  <c r="AG216" i="4"/>
  <c r="AG145" i="4"/>
  <c r="P143" i="1" s="1" a="1"/>
  <c r="P143" i="1" s="1"/>
  <c r="AG206" i="4"/>
  <c r="AG235" i="4"/>
  <c r="AG103" i="4"/>
  <c r="P135" i="1" s="1" a="1"/>
  <c r="P135" i="1" s="1"/>
  <c r="AG146" i="4"/>
  <c r="P127" i="1" s="1" a="1"/>
  <c r="P127" i="1" s="1"/>
  <c r="AG112" i="4"/>
  <c r="P137" i="1" s="1" a="1"/>
  <c r="P137" i="1" s="1"/>
  <c r="AG114" i="4"/>
  <c r="AG210" i="4"/>
  <c r="AG168" i="4"/>
  <c r="AG68" i="4"/>
  <c r="P113" i="1" s="1" a="1"/>
  <c r="P113" i="1" s="1"/>
  <c r="AG158" i="4"/>
  <c r="AG26" i="4"/>
  <c r="AG12" i="4"/>
  <c r="P11" i="1" s="1" a="1"/>
  <c r="P11" i="1" s="1"/>
  <c r="F9" i="13" s="1"/>
  <c r="AG239" i="4"/>
  <c r="AG80" i="4"/>
  <c r="P133" i="1" s="1" a="1"/>
  <c r="P133" i="1" s="1"/>
  <c r="AG85" i="4"/>
  <c r="P33" i="1" s="1" a="1"/>
  <c r="P33" i="1" s="1"/>
  <c r="AG5" i="4"/>
  <c r="P166" i="1" s="1" a="1"/>
  <c r="P166" i="1" s="1"/>
  <c r="AG188" i="4"/>
  <c r="AG72" i="4"/>
  <c r="P44" i="1" s="1" a="1"/>
  <c r="P44" i="1" s="1"/>
  <c r="AG209" i="4"/>
  <c r="AG234" i="4"/>
  <c r="AG110" i="4"/>
  <c r="P26" i="1" s="1" a="1"/>
  <c r="P26" i="1" s="1"/>
  <c r="AG15" i="4"/>
  <c r="AG153" i="4"/>
  <c r="AG194" i="4"/>
  <c r="AG240" i="4"/>
  <c r="AG101" i="4"/>
  <c r="AG105" i="4"/>
  <c r="AG154" i="4"/>
  <c r="AG171" i="4"/>
  <c r="AG79" i="4"/>
  <c r="P47" i="1" s="1" a="1"/>
  <c r="P47" i="1" s="1"/>
  <c r="AG20" i="4"/>
  <c r="P68" i="1" s="1" a="1"/>
  <c r="P68" i="1" s="1"/>
  <c r="F30" i="13" s="1"/>
  <c r="AG236" i="4"/>
  <c r="AG213" i="4"/>
  <c r="AG242" i="4"/>
  <c r="AG59" i="4"/>
  <c r="P164" i="1" s="1" a="1"/>
  <c r="P164" i="1" s="1"/>
  <c r="AG232" i="4"/>
  <c r="AG189" i="4"/>
  <c r="AG99" i="4"/>
  <c r="AG131" i="4"/>
  <c r="P79" i="1" s="1" a="1"/>
  <c r="P79" i="1" s="1"/>
  <c r="AG212" i="4"/>
  <c r="AG132" i="4"/>
  <c r="P129" i="1" s="1" a="1"/>
  <c r="P129" i="1" s="1"/>
  <c r="AG207" i="4"/>
  <c r="AG127" i="4"/>
  <c r="P38" i="1" s="1" a="1"/>
  <c r="P38" i="1" s="1"/>
  <c r="AG199" i="4"/>
  <c r="AG10" i="4"/>
  <c r="AG125" i="4"/>
  <c r="AG82" i="4"/>
  <c r="P84" i="1" s="1" a="1"/>
  <c r="P84" i="1" s="1"/>
  <c r="AG17" i="4"/>
  <c r="P104" i="1" s="1" a="1"/>
  <c r="P104" i="1" s="1"/>
  <c r="AG18" i="4"/>
  <c r="AG118" i="4"/>
  <c r="P96" i="1" s="1" a="1"/>
  <c r="P96" i="1" s="1"/>
  <c r="AG109" i="4"/>
  <c r="P4" i="1" s="1" a="1"/>
  <c r="P4" i="1" s="1"/>
  <c r="AG181" i="4"/>
  <c r="AG140" i="4"/>
  <c r="P141" i="1" s="1" a="1"/>
  <c r="P141" i="1" s="1"/>
  <c r="AG106" i="4"/>
  <c r="P145" i="1" s="1" a="1"/>
  <c r="P145" i="1" s="1"/>
  <c r="AG6" i="4"/>
  <c r="P91" i="1" s="1" a="1"/>
  <c r="P91" i="1" s="1"/>
  <c r="AG176" i="4"/>
  <c r="AG163" i="4"/>
  <c r="AG25" i="4"/>
  <c r="P45" i="1" s="1" a="1"/>
  <c r="P45" i="1" s="1"/>
  <c r="AG100" i="4"/>
  <c r="P124" i="1" s="1" a="1"/>
  <c r="P124" i="1" s="1"/>
  <c r="AG71" i="4"/>
  <c r="P88" i="1" s="1" a="1"/>
  <c r="P88" i="1" s="1"/>
  <c r="AG42" i="4"/>
  <c r="P67" i="1" s="1" a="1"/>
  <c r="P67" i="1" s="1"/>
  <c r="F29" i="13" s="1"/>
  <c r="AG201" i="4"/>
  <c r="AG222" i="4"/>
  <c r="AG56" i="4"/>
  <c r="P103" i="1" s="1" a="1"/>
  <c r="P103" i="1" s="1"/>
  <c r="AG104" i="4"/>
  <c r="P7" i="1" s="1" a="1"/>
  <c r="P7" i="1" s="1"/>
  <c r="AG135" i="4"/>
  <c r="P159" i="1" s="1" a="1"/>
  <c r="P159" i="1" s="1"/>
  <c r="AG124" i="4"/>
  <c r="P82" i="1" s="1" a="1"/>
  <c r="P82" i="1" s="1"/>
  <c r="F37" i="13" s="1"/>
  <c r="AG139" i="4"/>
  <c r="P107" i="1" s="1" a="1"/>
  <c r="P107" i="1" s="1"/>
  <c r="AG133" i="4"/>
  <c r="P65" i="1" s="1" a="1"/>
  <c r="P65" i="1" s="1"/>
  <c r="F27" i="13" s="1"/>
  <c r="AG182" i="4"/>
  <c r="AG113" i="4"/>
  <c r="P81" i="1" s="1" a="1"/>
  <c r="P81" i="1" s="1"/>
  <c r="F36" i="13" s="1"/>
  <c r="AG151" i="4"/>
  <c r="AG162" i="4"/>
  <c r="AG173" i="4"/>
  <c r="AG23" i="4"/>
  <c r="P39" i="1" s="1" a="1"/>
  <c r="P39" i="1" s="1"/>
  <c r="AG49" i="4"/>
  <c r="P43" i="1" s="1" a="1"/>
  <c r="P43" i="1" s="1"/>
  <c r="AG179" i="4"/>
  <c r="AG53" i="4"/>
  <c r="P132" i="1" s="1" a="1"/>
  <c r="P132" i="1" s="1"/>
  <c r="AG50" i="4"/>
  <c r="P46" i="1" s="1" a="1"/>
  <c r="P46" i="1" s="1"/>
  <c r="AG248" i="4"/>
  <c r="AG143" i="4"/>
  <c r="AG148" i="4"/>
  <c r="P83" i="1" s="1" a="1"/>
  <c r="P83" i="1" s="1"/>
  <c r="F38" i="13" s="1"/>
  <c r="AG36" i="4"/>
  <c r="AG193" i="4"/>
  <c r="AG94" i="4"/>
  <c r="P29" i="1" s="1" a="1"/>
  <c r="P29" i="1" s="1"/>
  <c r="F10" i="13" s="1"/>
  <c r="AG107" i="4"/>
  <c r="P153" i="1" s="1" a="1"/>
  <c r="P153" i="1" s="1"/>
  <c r="AG241" i="4"/>
  <c r="AG47" i="4"/>
  <c r="P5" i="1" s="1" a="1"/>
  <c r="P5" i="1" s="1"/>
  <c r="AG21" i="4"/>
  <c r="P8" i="1" s="1" a="1"/>
  <c r="P8" i="1" s="1"/>
  <c r="AG230" i="4"/>
  <c r="AG172" i="4"/>
  <c r="AG8" i="4"/>
  <c r="AG108" i="4"/>
  <c r="P3" i="1" s="1" a="1"/>
  <c r="P3" i="1" s="1"/>
  <c r="AG211" i="4"/>
  <c r="AG83" i="4"/>
  <c r="P128" i="1" s="1" a="1"/>
  <c r="P128" i="1" s="1"/>
  <c r="AG186" i="4"/>
  <c r="N54" i="12"/>
  <c r="AH47" i="4" s="1"/>
  <c r="Q5" i="1" s="1" a="1"/>
  <c r="Q5" i="1" s="1"/>
  <c r="S5" i="15" s="1"/>
  <c r="N43" i="12"/>
  <c r="AH36" i="4" s="1"/>
  <c r="Q99" i="1" s="1" a="1"/>
  <c r="Q99" i="1" s="1"/>
  <c r="S99" i="15" s="1"/>
  <c r="AH102" i="4"/>
  <c r="Q134" i="1" s="1" a="1"/>
  <c r="Q134" i="1" s="1"/>
  <c r="S134" i="15" s="1"/>
  <c r="N87" i="12"/>
  <c r="AH77" i="4" s="1"/>
  <c r="N19" i="12"/>
  <c r="AH19" i="4" s="1"/>
  <c r="N12" i="12"/>
  <c r="AH10" i="4" s="1"/>
  <c r="N13" i="12"/>
  <c r="AH97" i="4"/>
  <c r="Q32" i="1" s="1" a="1"/>
  <c r="Q32" i="1" s="1"/>
  <c r="S32" i="15" s="1"/>
  <c r="N97" i="12"/>
  <c r="AH87" i="4" s="1"/>
  <c r="N35" i="12"/>
  <c r="N77" i="12"/>
  <c r="N95" i="12"/>
  <c r="N60" i="12"/>
  <c r="N32" i="12"/>
  <c r="N94" i="12"/>
  <c r="N93" i="12"/>
  <c r="N74" i="12"/>
  <c r="N2" i="12"/>
  <c r="N96" i="12"/>
  <c r="T39" i="6"/>
  <c r="T41" i="6"/>
  <c r="T37" i="6"/>
  <c r="T32" i="6"/>
  <c r="T24" i="6"/>
  <c r="T18" i="6"/>
  <c r="T16" i="6"/>
  <c r="T13" i="6"/>
  <c r="T4" i="6"/>
  <c r="P176" i="1" s="1" a="1"/>
  <c r="P176" i="1" s="1"/>
  <c r="T21" i="6"/>
  <c r="T44" i="6"/>
  <c r="T40" i="6"/>
  <c r="T11" i="6"/>
  <c r="T25" i="6"/>
  <c r="T29" i="6"/>
  <c r="T23" i="6"/>
  <c r="T28" i="6"/>
  <c r="T22" i="6"/>
  <c r="T3" i="6"/>
  <c r="P175" i="1" s="1" a="1"/>
  <c r="P175" i="1" s="1"/>
  <c r="T38" i="6"/>
  <c r="T43" i="6"/>
  <c r="T19" i="6"/>
  <c r="T17" i="6"/>
  <c r="T6" i="6"/>
  <c r="P178" i="1" s="1" a="1"/>
  <c r="P178" i="1" s="1"/>
  <c r="T20" i="6"/>
  <c r="T31" i="6"/>
  <c r="T26" i="6"/>
  <c r="P62" i="1" s="1" a="1"/>
  <c r="P62" i="1" s="1"/>
  <c r="T33" i="6"/>
  <c r="T36" i="6"/>
  <c r="T42" i="6"/>
  <c r="T35" i="6"/>
  <c r="T12" i="6"/>
  <c r="P181" i="1" s="1" a="1"/>
  <c r="P181" i="1" s="1"/>
  <c r="T15" i="6"/>
  <c r="T2" i="6"/>
  <c r="P174" i="1" s="1" a="1"/>
  <c r="P174" i="1" s="1"/>
  <c r="T5" i="6"/>
  <c r="P177" i="1" s="1" a="1"/>
  <c r="P177" i="1" s="1"/>
  <c r="T9" i="6"/>
  <c r="T27" i="6"/>
  <c r="T30" i="6"/>
  <c r="T100" i="6"/>
  <c r="T209" i="6"/>
  <c r="T318" i="6"/>
  <c r="T356" i="6"/>
  <c r="T369" i="6"/>
  <c r="T127" i="6"/>
  <c r="T342" i="6"/>
  <c r="T82" i="6"/>
  <c r="T231" i="6"/>
  <c r="T324" i="6"/>
  <c r="T373" i="6"/>
  <c r="T75" i="6"/>
  <c r="T345" i="6"/>
  <c r="T93" i="6"/>
  <c r="T181" i="6"/>
  <c r="T282" i="6"/>
  <c r="T311" i="6"/>
  <c r="T346" i="6"/>
  <c r="T161" i="6"/>
  <c r="T381" i="6"/>
  <c r="T88" i="6"/>
  <c r="T136" i="6"/>
  <c r="T214" i="6"/>
  <c r="T355" i="6"/>
  <c r="T52" i="6"/>
  <c r="T190" i="6"/>
  <c r="T186" i="6"/>
  <c r="T290" i="6"/>
  <c r="T248" i="6"/>
  <c r="T142" i="6"/>
  <c r="T108" i="6"/>
  <c r="T56" i="6"/>
  <c r="T302" i="6"/>
  <c r="T278" i="6"/>
  <c r="T157" i="6"/>
  <c r="T174" i="6"/>
  <c r="T359" i="6"/>
  <c r="T314" i="6"/>
  <c r="T296" i="6"/>
  <c r="T83" i="6"/>
  <c r="T156" i="6"/>
  <c r="T254" i="6"/>
  <c r="T274" i="6"/>
  <c r="T116" i="6"/>
  <c r="T266" i="6"/>
  <c r="T303" i="6"/>
  <c r="T66" i="6"/>
  <c r="T283" i="6"/>
  <c r="T228" i="6"/>
  <c r="T247" i="6"/>
  <c r="T350" i="6"/>
  <c r="T141" i="6"/>
  <c r="T353" i="6"/>
  <c r="T53" i="6"/>
  <c r="T107" i="6"/>
  <c r="T147" i="6"/>
  <c r="T167" i="6"/>
  <c r="T197" i="6"/>
  <c r="T218" i="6"/>
  <c r="T273" i="6"/>
  <c r="T323" i="6"/>
  <c r="T47" i="6"/>
  <c r="T98" i="6"/>
  <c r="T133" i="6"/>
  <c r="T194" i="6"/>
  <c r="T230" i="6"/>
  <c r="T280" i="6"/>
  <c r="T321" i="6"/>
  <c r="T331" i="6"/>
  <c r="T65" i="6"/>
  <c r="T151" i="6"/>
  <c r="T217" i="6"/>
  <c r="T261" i="6"/>
  <c r="T301" i="6"/>
  <c r="T361" i="6"/>
  <c r="T371" i="6"/>
  <c r="T57" i="6"/>
  <c r="T112" i="6"/>
  <c r="T139" i="6"/>
  <c r="T233" i="6"/>
  <c r="T269" i="6"/>
  <c r="T339" i="6"/>
  <c r="T377" i="6"/>
  <c r="T185" i="6"/>
  <c r="T73" i="6"/>
  <c r="AG2" i="4"/>
  <c r="P123" i="1" s="1" a="1"/>
  <c r="P123" i="1" s="1"/>
  <c r="T51" i="6"/>
  <c r="T121" i="6"/>
  <c r="T219" i="6"/>
  <c r="T319" i="6"/>
  <c r="T360" i="6"/>
  <c r="T375" i="6"/>
  <c r="T196" i="6"/>
  <c r="T61" i="6"/>
  <c r="T95" i="6"/>
  <c r="T232" i="6"/>
  <c r="T325" i="6"/>
  <c r="T374" i="6"/>
  <c r="T131" i="6"/>
  <c r="T387" i="6"/>
  <c r="T109" i="6"/>
  <c r="T184" i="6"/>
  <c r="T289" i="6"/>
  <c r="T330" i="6"/>
  <c r="T348" i="6"/>
  <c r="T207" i="6"/>
  <c r="T50" i="6"/>
  <c r="T89" i="6"/>
  <c r="T146" i="6"/>
  <c r="T227" i="6"/>
  <c r="T357" i="6"/>
  <c r="T59" i="6"/>
  <c r="T297" i="6"/>
  <c r="T114" i="6"/>
  <c r="T320" i="6"/>
  <c r="T260" i="6"/>
  <c r="T200" i="6"/>
  <c r="T168" i="6"/>
  <c r="T126" i="6"/>
  <c r="T250" i="6"/>
  <c r="T259" i="6"/>
  <c r="T138" i="6"/>
  <c r="T192" i="6"/>
  <c r="T267" i="6"/>
  <c r="T229" i="6"/>
  <c r="T272" i="6"/>
  <c r="T74" i="6"/>
  <c r="T132" i="6"/>
  <c r="T224" i="6"/>
  <c r="T362" i="6"/>
  <c r="T87" i="6"/>
  <c r="T187" i="6"/>
  <c r="T150" i="6"/>
  <c r="T204" i="6"/>
  <c r="T206" i="6"/>
  <c r="T335" i="6"/>
  <c r="T144" i="6"/>
  <c r="T262" i="6"/>
  <c r="T177" i="6"/>
  <c r="T264" i="6"/>
  <c r="T60" i="6"/>
  <c r="T117" i="6"/>
  <c r="T154" i="6"/>
  <c r="T173" i="6"/>
  <c r="T201" i="6"/>
  <c r="T221" i="6"/>
  <c r="T281" i="6"/>
  <c r="T332" i="6"/>
  <c r="T48" i="6"/>
  <c r="T113" i="6"/>
  <c r="T137" i="6"/>
  <c r="T202" i="6"/>
  <c r="T246" i="6"/>
  <c r="T294" i="6"/>
  <c r="T322" i="6"/>
  <c r="T333" i="6"/>
  <c r="T79" i="6"/>
  <c r="T166" i="6"/>
  <c r="T237" i="6"/>
  <c r="T285" i="6"/>
  <c r="T316" i="6"/>
  <c r="T364" i="6"/>
  <c r="T379" i="6"/>
  <c r="T92" i="6"/>
  <c r="T119" i="6"/>
  <c r="T191" i="6"/>
  <c r="T235" i="6"/>
  <c r="T275" i="6"/>
  <c r="T347" i="6"/>
  <c r="T149" i="6"/>
  <c r="T241" i="6"/>
  <c r="T91" i="6"/>
  <c r="T85" i="6"/>
  <c r="T148" i="6"/>
  <c r="T253" i="6"/>
  <c r="T326" i="6"/>
  <c r="T365" i="6"/>
  <c r="T378" i="6"/>
  <c r="T238" i="6"/>
  <c r="T76" i="6"/>
  <c r="T103" i="6"/>
  <c r="T249" i="6"/>
  <c r="T337" i="6"/>
  <c r="T382" i="6"/>
  <c r="T153" i="6"/>
  <c r="T55" i="6"/>
  <c r="T115" i="6"/>
  <c r="T199" i="6"/>
  <c r="T299" i="6"/>
  <c r="T338" i="6"/>
  <c r="T58" i="6"/>
  <c r="T352" i="6"/>
  <c r="T54" i="6"/>
  <c r="T110" i="6"/>
  <c r="T160" i="6"/>
  <c r="T239" i="6"/>
  <c r="T367" i="6"/>
  <c r="T99" i="6"/>
  <c r="T358" i="6"/>
  <c r="T63" i="6"/>
  <c r="T288" i="6"/>
  <c r="T236" i="6"/>
  <c r="T140" i="6"/>
  <c r="T216" i="6"/>
  <c r="T341" i="6"/>
  <c r="T208" i="6"/>
  <c r="T284" i="6"/>
  <c r="T180" i="6"/>
  <c r="T120" i="6"/>
  <c r="T286" i="6"/>
  <c r="T279" i="6"/>
  <c r="T86" i="6"/>
  <c r="T102" i="6"/>
  <c r="T212" i="6"/>
  <c r="T300" i="6"/>
  <c r="T193" i="6"/>
  <c r="T72" i="6"/>
  <c r="T183" i="6"/>
  <c r="T255" i="6"/>
  <c r="T243" i="6"/>
  <c r="T308" i="6"/>
  <c r="T271" i="6"/>
  <c r="T198" i="6"/>
  <c r="T242" i="6"/>
  <c r="T129" i="6"/>
  <c r="T306" i="6"/>
  <c r="T62" i="6"/>
  <c r="T123" i="6"/>
  <c r="T158" i="6"/>
  <c r="T179" i="6"/>
  <c r="T205" i="6"/>
  <c r="T251" i="6"/>
  <c r="T312" i="6"/>
  <c r="T334" i="6"/>
  <c r="T49" i="6"/>
  <c r="T124" i="6"/>
  <c r="T155" i="6"/>
  <c r="T215" i="6"/>
  <c r="T276" i="6"/>
  <c r="T315" i="6"/>
  <c r="T327" i="6"/>
  <c r="T45" i="6"/>
  <c r="T135" i="6"/>
  <c r="T176" i="6"/>
  <c r="T256" i="6"/>
  <c r="T292" i="6"/>
  <c r="T351" i="6"/>
  <c r="T366" i="6"/>
  <c r="T380" i="6"/>
  <c r="T94" i="6"/>
  <c r="T125" i="6"/>
  <c r="T203" i="6"/>
  <c r="T245" i="6"/>
  <c r="T287" i="6"/>
  <c r="T349" i="6"/>
  <c r="T165" i="6"/>
  <c r="T244" i="6"/>
  <c r="T106" i="6"/>
  <c r="T34" i="6"/>
  <c r="T97" i="6"/>
  <c r="T152" i="6"/>
  <c r="T258" i="6"/>
  <c r="T329" i="6"/>
  <c r="T368" i="6"/>
  <c r="T383" i="6"/>
  <c r="T305" i="6"/>
  <c r="T80" i="6"/>
  <c r="T122" i="6"/>
  <c r="T265" i="6"/>
  <c r="T340" i="6"/>
  <c r="T385" i="6"/>
  <c r="T195" i="6"/>
  <c r="T71" i="6"/>
  <c r="T159" i="6"/>
  <c r="T225" i="6"/>
  <c r="T304" i="6"/>
  <c r="T343" i="6"/>
  <c r="T90" i="6"/>
  <c r="T363" i="6"/>
  <c r="T69" i="6"/>
  <c r="T118" i="6"/>
  <c r="T169" i="6"/>
  <c r="T310" i="6"/>
  <c r="T386" i="6"/>
  <c r="T170" i="6"/>
  <c r="T372" i="6"/>
  <c r="T222" i="6"/>
  <c r="T172" i="6"/>
  <c r="T96" i="6"/>
  <c r="T84" i="6"/>
  <c r="T210" i="6"/>
  <c r="T307" i="6"/>
  <c r="T252" i="6"/>
  <c r="T270" i="6"/>
  <c r="T240" i="6"/>
  <c r="T291" i="6"/>
  <c r="T178" i="6"/>
  <c r="T182" i="6"/>
  <c r="T77" i="6"/>
  <c r="T234" i="6"/>
  <c r="T298" i="6"/>
  <c r="T223" i="6"/>
  <c r="T295" i="6"/>
  <c r="T162" i="6"/>
  <c r="T111" i="6"/>
  <c r="T81" i="6"/>
  <c r="T68" i="6"/>
  <c r="T105" i="6"/>
  <c r="T171" i="6"/>
  <c r="T344" i="6"/>
  <c r="T213" i="6"/>
  <c r="T78" i="6"/>
  <c r="T46" i="6"/>
  <c r="P86" i="1" s="1" a="1"/>
  <c r="P86" i="1" s="1"/>
  <c r="F41" i="13" s="1"/>
  <c r="T101" i="6"/>
  <c r="T128" i="6"/>
  <c r="T163" i="6"/>
  <c r="T189" i="6"/>
  <c r="T211" i="6"/>
  <c r="T263" i="6"/>
  <c r="T313" i="6"/>
  <c r="T336" i="6"/>
  <c r="T67" i="6"/>
  <c r="T130" i="6"/>
  <c r="T164" i="6"/>
  <c r="T226" i="6"/>
  <c r="T277" i="6"/>
  <c r="T317" i="6"/>
  <c r="T328" i="6"/>
  <c r="T64" i="6"/>
  <c r="T145" i="6"/>
  <c r="T188" i="6"/>
  <c r="T257" i="6"/>
  <c r="T293" i="6"/>
  <c r="T354" i="6"/>
  <c r="T370" i="6"/>
  <c r="T384" i="6"/>
  <c r="T104" i="6"/>
  <c r="T134" i="6"/>
  <c r="T220" i="6"/>
  <c r="T268" i="6"/>
  <c r="T309" i="6"/>
  <c r="T376" i="6"/>
  <c r="T175" i="6"/>
  <c r="T70" i="6"/>
  <c r="T143" i="6"/>
  <c r="N68" i="12"/>
  <c r="N72" i="12"/>
  <c r="N14" i="12"/>
  <c r="N55" i="12"/>
  <c r="N28" i="12"/>
  <c r="N75" i="12"/>
  <c r="N98" i="12"/>
  <c r="N20" i="12"/>
  <c r="N58" i="12"/>
  <c r="N78" i="12"/>
  <c r="N31" i="12"/>
  <c r="N90" i="12"/>
  <c r="N59" i="12"/>
  <c r="Q28" i="1" a="1"/>
  <c r="Q28" i="1" s="1"/>
  <c r="S28" i="15" s="1"/>
  <c r="Q30" i="1" a="1"/>
  <c r="Q30" i="1" s="1"/>
  <c r="S30" i="15" s="1"/>
  <c r="Q26" i="1" a="1"/>
  <c r="Q26" i="1" s="1"/>
  <c r="S26" i="15" s="1"/>
  <c r="Q85" i="1" a="1"/>
  <c r="Q85" i="1" s="1"/>
  <c r="S85" i="15" s="1"/>
  <c r="Q76" i="1" a="1"/>
  <c r="Q76" i="1" s="1"/>
  <c r="S76" i="15" s="1"/>
  <c r="Q81" i="1" a="1"/>
  <c r="Q81" i="1" s="1"/>
  <c r="S81" i="15" s="1"/>
  <c r="Q75" i="1" a="1"/>
  <c r="Q75" i="1" s="1"/>
  <c r="S75" i="15" s="1"/>
  <c r="Q82" i="1" a="1"/>
  <c r="Q82" i="1" s="1"/>
  <c r="S82" i="15" s="1"/>
  <c r="Q83" i="1" a="1"/>
  <c r="Q83" i="1" s="1"/>
  <c r="S83" i="15" s="1"/>
  <c r="Q84" i="1" a="1"/>
  <c r="Q84" i="1" s="1"/>
  <c r="S84" i="15" s="1"/>
  <c r="AH35" i="4" l="1"/>
  <c r="AH11" i="4"/>
  <c r="Q147" i="1" s="1" a="1"/>
  <c r="Q147" i="1" s="1"/>
  <c r="S147" i="15" s="1"/>
  <c r="AH13" i="4"/>
  <c r="P78" i="1" a="1"/>
  <c r="P78" i="1" s="1"/>
  <c r="P59" i="1" a="1"/>
  <c r="P59" i="1" s="1"/>
  <c r="F23" i="13" s="1"/>
  <c r="P74" i="1" a="1"/>
  <c r="P74" i="1" s="1"/>
  <c r="F33" i="13" s="1"/>
  <c r="P66" i="1" a="1"/>
  <c r="P66" i="1" s="1"/>
  <c r="F28" i="13" s="1"/>
  <c r="AH169" i="4"/>
  <c r="AH136" i="4"/>
  <c r="Q2" i="1" s="1" a="1"/>
  <c r="Q2" i="1" s="1"/>
  <c r="S2" i="15" s="1"/>
  <c r="AH229" i="4"/>
  <c r="AH137" i="4"/>
  <c r="Q125" i="1" a="1"/>
  <c r="Q125" i="1" s="1"/>
  <c r="S125" i="15" s="1"/>
  <c r="AH14" i="4"/>
  <c r="AH9" i="4"/>
  <c r="AH7" i="4"/>
  <c r="AH8" i="4"/>
  <c r="AH17" i="4"/>
  <c r="P57" i="1" a="1"/>
  <c r="P57" i="1" s="1"/>
  <c r="F21" i="13" s="1"/>
  <c r="Q59" i="1" a="1"/>
  <c r="Q59" i="1" s="1"/>
  <c r="S59" i="15" s="1"/>
  <c r="Q57" i="1" a="1"/>
  <c r="Q57" i="1" s="1"/>
  <c r="S57" i="15" s="1"/>
  <c r="P63" i="1" a="1"/>
  <c r="P63" i="1" s="1"/>
  <c r="F25" i="13" s="1"/>
  <c r="P69" i="1" a="1"/>
  <c r="P69" i="1" s="1"/>
  <c r="F31" i="13" s="1"/>
  <c r="P80" i="1" a="1"/>
  <c r="P80" i="1" s="1"/>
  <c r="P72" i="1" a="1"/>
  <c r="P72" i="1" s="1"/>
  <c r="P73" i="1" a="1"/>
  <c r="P73" i="1" s="1"/>
  <c r="P50" i="1" a="1"/>
  <c r="P50" i="1" s="1"/>
  <c r="F14" i="13" s="1"/>
  <c r="Q24" i="1" a="1"/>
  <c r="Q24" i="1" s="1"/>
  <c r="S24" i="15" s="1"/>
  <c r="Q80" i="1" a="1"/>
  <c r="Q80" i="1" s="1"/>
  <c r="S80" i="15" s="1"/>
  <c r="Q98" i="1" a="1"/>
  <c r="Q98" i="1" s="1"/>
  <c r="S98" i="15" s="1"/>
  <c r="Q68" i="1" a="1"/>
  <c r="Q68" i="1" s="1"/>
  <c r="S68" i="15" s="1"/>
  <c r="Q115" i="1" a="1"/>
  <c r="Q115" i="1" s="1"/>
  <c r="S115" i="15" s="1"/>
  <c r="Q66" i="1" a="1"/>
  <c r="Q66" i="1" s="1"/>
  <c r="S66" i="15" s="1"/>
  <c r="Q74" i="1" a="1"/>
  <c r="Q74" i="1" s="1"/>
  <c r="S74" i="15" s="1"/>
  <c r="Q65" i="1" a="1"/>
  <c r="Q65" i="1" s="1"/>
  <c r="S65" i="15" s="1"/>
  <c r="P53" i="1" a="1"/>
  <c r="P53" i="1" s="1"/>
  <c r="F17" i="13" s="1"/>
  <c r="P54" i="1" a="1"/>
  <c r="P54" i="1" s="1"/>
  <c r="F18" i="13" s="1"/>
  <c r="P56" i="1" a="1"/>
  <c r="P56" i="1" s="1"/>
  <c r="AH164" i="4"/>
  <c r="AH181" i="4"/>
  <c r="AH15" i="4"/>
  <c r="Q77" i="1" s="1" a="1"/>
  <c r="Q77" i="1" s="1"/>
  <c r="S77" i="15" s="1"/>
  <c r="AH105" i="4"/>
  <c r="AH30" i="4"/>
  <c r="Q90" i="1" s="1" a="1"/>
  <c r="Q90" i="1" s="1"/>
  <c r="S90" i="15" s="1"/>
  <c r="AH68" i="4"/>
  <c r="Q113" i="1" s="1" a="1"/>
  <c r="Q113" i="1" s="1"/>
  <c r="S113" i="15" s="1"/>
  <c r="AH189" i="4"/>
  <c r="AH233" i="4"/>
  <c r="AH131" i="4"/>
  <c r="AH200" i="4"/>
  <c r="AH242" i="4"/>
  <c r="AH90" i="4"/>
  <c r="Q13" i="1" s="1" a="1"/>
  <c r="Q13" i="1" s="1"/>
  <c r="S13" i="15" s="1"/>
  <c r="AH85" i="4"/>
  <c r="Q33" i="1" s="1" a="1"/>
  <c r="Q33" i="1" s="1"/>
  <c r="S33" i="15" s="1"/>
  <c r="AH52" i="4"/>
  <c r="Q14" i="1" s="1" a="1"/>
  <c r="Q14" i="1" s="1"/>
  <c r="S14" i="15" s="1"/>
  <c r="AH84" i="4"/>
  <c r="Q12" i="1" s="1" a="1"/>
  <c r="Q12" i="1" s="1"/>
  <c r="S12" i="15" s="1"/>
  <c r="AH83" i="4"/>
  <c r="Q128" i="1" s="1" a="1"/>
  <c r="Q128" i="1" s="1"/>
  <c r="S128" i="15" s="1"/>
  <c r="AH65" i="4"/>
  <c r="Q50" i="1" s="1" a="1"/>
  <c r="Q50" i="1" s="1"/>
  <c r="S50" i="15" s="1"/>
  <c r="AH118" i="4"/>
  <c r="Q96" i="1" s="1" a="1"/>
  <c r="Q96" i="1" s="1"/>
  <c r="S96" i="15" s="1"/>
  <c r="AH157" i="4"/>
  <c r="AH248" i="4"/>
  <c r="AH114" i="4"/>
  <c r="AH89" i="4"/>
  <c r="Q25" i="1" s="1" a="1"/>
  <c r="Q25" i="1" s="1"/>
  <c r="S25" i="15" s="1"/>
  <c r="AH3" i="4"/>
  <c r="AH166" i="4"/>
  <c r="AH39" i="4"/>
  <c r="AH221" i="4"/>
  <c r="AH209" i="4"/>
  <c r="AH208" i="4"/>
  <c r="AH38" i="4"/>
  <c r="Q93" i="1" s="1" a="1"/>
  <c r="Q93" i="1" s="1"/>
  <c r="S93" i="15" s="1"/>
  <c r="AH91" i="4"/>
  <c r="Q101" i="1" s="1" a="1"/>
  <c r="Q101" i="1" s="1"/>
  <c r="S101" i="15" s="1"/>
  <c r="AH230" i="4"/>
  <c r="AH110" i="4"/>
  <c r="AH155" i="4"/>
  <c r="AH185" i="4"/>
  <c r="AH235" i="4"/>
  <c r="AH104" i="4"/>
  <c r="Q7" i="1" s="1" a="1"/>
  <c r="Q7" i="1" s="1"/>
  <c r="S7" i="15" s="1"/>
  <c r="AH182" i="4"/>
  <c r="AH218" i="4"/>
  <c r="AH133" i="4"/>
  <c r="AH156" i="4"/>
  <c r="AH116" i="4"/>
  <c r="Q97" i="1" s="1" a="1"/>
  <c r="Q97" i="1" s="1"/>
  <c r="S97" i="15" s="1"/>
  <c r="AH46" i="4"/>
  <c r="Q117" i="1" s="1" a="1"/>
  <c r="Q117" i="1" s="1"/>
  <c r="S117" i="15" s="1"/>
  <c r="AH149" i="4"/>
  <c r="AH217" i="4"/>
  <c r="AH72" i="4"/>
  <c r="AH165" i="4"/>
  <c r="AH130" i="4"/>
  <c r="AH145" i="4"/>
  <c r="Q143" i="1" s="1" a="1"/>
  <c r="Q143" i="1" s="1"/>
  <c r="S143" i="15" s="1"/>
  <c r="AH206" i="4"/>
  <c r="AH82" i="4"/>
  <c r="AH98" i="4"/>
  <c r="Q130" i="1" s="1" a="1"/>
  <c r="Q130" i="1" s="1"/>
  <c r="S130" i="15" s="1"/>
  <c r="AH158" i="4"/>
  <c r="AH119" i="4"/>
  <c r="Q94" i="1" s="1" a="1"/>
  <c r="Q94" i="1" s="1"/>
  <c r="S94" i="15" s="1"/>
  <c r="AH147" i="4"/>
  <c r="Q36" i="1" s="1" a="1"/>
  <c r="Q36" i="1" s="1"/>
  <c r="S36" i="15" s="1"/>
  <c r="AH92" i="4"/>
  <c r="Q131" i="1" s="1" a="1"/>
  <c r="Q131" i="1" s="1"/>
  <c r="S131" i="15" s="1"/>
  <c r="AH18" i="4"/>
  <c r="AH227" i="4"/>
  <c r="AH31" i="4"/>
  <c r="Q121" i="1" s="1" a="1"/>
  <c r="Q121" i="1" s="1"/>
  <c r="S121" i="15" s="1"/>
  <c r="AH95" i="4"/>
  <c r="Q16" i="1" s="1" a="1"/>
  <c r="Q16" i="1" s="1"/>
  <c r="S16" i="15" s="1"/>
  <c r="AH134" i="4"/>
  <c r="AH249" i="4"/>
  <c r="AH61" i="4"/>
  <c r="Q142" i="1" s="1" a="1"/>
  <c r="Q142" i="1" s="1"/>
  <c r="S142" i="15" s="1"/>
  <c r="AH192" i="4"/>
  <c r="AH180" i="4"/>
  <c r="AH117" i="4"/>
  <c r="AH126" i="4"/>
  <c r="Q19" i="1" s="1" a="1"/>
  <c r="Q19" i="1" s="1"/>
  <c r="S19" i="15" s="1"/>
  <c r="AH184" i="4"/>
  <c r="AH179" i="4"/>
  <c r="AH12" i="4"/>
  <c r="Q60" i="1" s="1" a="1"/>
  <c r="Q60" i="1" s="1"/>
  <c r="S60" i="15" s="1"/>
  <c r="AH216" i="4"/>
  <c r="AH173" i="4"/>
  <c r="AH176" i="4"/>
  <c r="AH177" i="4"/>
  <c r="AH247" i="4"/>
  <c r="AH49" i="4"/>
  <c r="Q43" i="1" s="1" a="1"/>
  <c r="Q43" i="1" s="1"/>
  <c r="S43" i="15" s="1"/>
  <c r="AH37" i="4"/>
  <c r="AH113" i="4"/>
  <c r="AH34" i="4"/>
  <c r="AH252" i="4"/>
  <c r="AH140" i="4"/>
  <c r="Q141" i="1" s="1" a="1"/>
  <c r="Q141" i="1" s="1"/>
  <c r="S141" i="15" s="1"/>
  <c r="AH199" i="4"/>
  <c r="AH42" i="4"/>
  <c r="AH54" i="4"/>
  <c r="Q41" i="1" s="1" a="1"/>
  <c r="Q41" i="1" s="1"/>
  <c r="S41" i="15" s="1"/>
  <c r="AH138" i="4"/>
  <c r="AH202" i="4"/>
  <c r="AH139" i="4"/>
  <c r="Q107" i="1" s="1" a="1"/>
  <c r="Q107" i="1" s="1"/>
  <c r="S107" i="15" s="1"/>
  <c r="AH4" i="4"/>
  <c r="AH96" i="4"/>
  <c r="Q114" i="1" s="1" a="1"/>
  <c r="Q114" i="1" s="1"/>
  <c r="S114" i="15" s="1"/>
  <c r="AH55" i="4"/>
  <c r="Q140" i="1" s="1" a="1"/>
  <c r="Q140" i="1" s="1"/>
  <c r="S140" i="15" s="1"/>
  <c r="AH106" i="4"/>
  <c r="Q145" i="1" s="1" a="1"/>
  <c r="Q145" i="1" s="1"/>
  <c r="S145" i="15" s="1"/>
  <c r="AH70" i="4"/>
  <c r="Q126" i="1" s="1" a="1"/>
  <c r="Q126" i="1" s="1"/>
  <c r="S126" i="15" s="1"/>
  <c r="AH132" i="4"/>
  <c r="Q129" i="1" s="1" a="1"/>
  <c r="Q129" i="1" s="1"/>
  <c r="S129" i="15" s="1"/>
  <c r="AH232" i="4"/>
  <c r="AH171" i="4"/>
  <c r="AH213" i="4"/>
  <c r="AH231" i="4"/>
  <c r="AH127" i="4"/>
  <c r="Q38" i="1" s="1" a="1"/>
  <c r="Q38" i="1" s="1"/>
  <c r="S38" i="15" s="1"/>
  <c r="AH161" i="4"/>
  <c r="AH168" i="4"/>
  <c r="AH211" i="4"/>
  <c r="AH204" i="4"/>
  <c r="AH129" i="4"/>
  <c r="Q37" i="1" s="1" a="1"/>
  <c r="Q37" i="1" s="1"/>
  <c r="S37" i="15" s="1"/>
  <c r="AH86" i="4"/>
  <c r="Q20" i="1" s="1" a="1"/>
  <c r="Q20" i="1" s="1"/>
  <c r="S20" i="15" s="1"/>
  <c r="AH59" i="4"/>
  <c r="AH63" i="4"/>
  <c r="Q70" i="1" s="1" a="1"/>
  <c r="Q70" i="1" s="1"/>
  <c r="S70" i="15" s="1"/>
  <c r="AH48" i="4"/>
  <c r="Q155" i="1" s="1" a="1"/>
  <c r="Q155" i="1" s="1"/>
  <c r="S155" i="15" s="1"/>
  <c r="AH24" i="4"/>
  <c r="AH66" i="4"/>
  <c r="Q49" i="1" s="1" a="1"/>
  <c r="Q49" i="1" s="1"/>
  <c r="S49" i="15" s="1"/>
  <c r="AH16" i="4"/>
  <c r="AH51" i="4"/>
  <c r="Q56" i="1" s="1" a="1"/>
  <c r="Q56" i="1" s="1"/>
  <c r="S56" i="15" s="1"/>
  <c r="AH69" i="4"/>
  <c r="AH27" i="4"/>
  <c r="AH80" i="4"/>
  <c r="Q133" i="1" s="1" a="1"/>
  <c r="Q133" i="1" s="1"/>
  <c r="S133" i="15" s="1"/>
  <c r="AH167" i="4"/>
  <c r="AH201" i="4"/>
  <c r="AH197" i="4"/>
  <c r="AH236" i="4"/>
  <c r="AH25" i="4"/>
  <c r="Q64" i="1" s="1" a="1"/>
  <c r="Q64" i="1" s="1"/>
  <c r="S64" i="15" s="1"/>
  <c r="AH57" i="4"/>
  <c r="Q102" i="1" s="1" a="1"/>
  <c r="Q102" i="1" s="1"/>
  <c r="S102" i="15" s="1"/>
  <c r="AH152" i="4"/>
  <c r="AH239" i="4"/>
  <c r="AH224" i="4"/>
  <c r="AH190" i="4"/>
  <c r="AH28" i="4"/>
  <c r="AH175" i="4"/>
  <c r="AH75" i="4"/>
  <c r="Q34" i="1" s="1" a="1"/>
  <c r="Q34" i="1" s="1"/>
  <c r="S34" i="15" s="1"/>
  <c r="AH207" i="4"/>
  <c r="AH228" i="4"/>
  <c r="AH238" i="4"/>
  <c r="AH44" i="4"/>
  <c r="Q160" i="1" s="1" a="1"/>
  <c r="Q160" i="1" s="1"/>
  <c r="S160" i="15" s="1"/>
  <c r="AH22" i="4"/>
  <c r="Q169" i="1" s="1" a="1"/>
  <c r="Q169" i="1" s="1"/>
  <c r="S169" i="15" s="1"/>
  <c r="AH151" i="4"/>
  <c r="AH43" i="4"/>
  <c r="Q170" i="1" s="1" a="1"/>
  <c r="Q170" i="1" s="1"/>
  <c r="S170" i="15" s="1"/>
  <c r="P85" i="1" a="1"/>
  <c r="P85" i="1" s="1"/>
  <c r="Q164" i="1" a="1"/>
  <c r="Q164" i="1" s="1"/>
  <c r="S164" i="15" s="1"/>
  <c r="Q165" i="1" a="1"/>
  <c r="Q165" i="1" s="1"/>
  <c r="S165" i="15" s="1"/>
  <c r="P64" i="1" a="1"/>
  <c r="P64" i="1" s="1"/>
  <c r="F26" i="13" s="1"/>
  <c r="P70" i="1" a="1"/>
  <c r="P70" i="1" s="1"/>
  <c r="P30" i="1" a="1"/>
  <c r="P30" i="1" s="1"/>
  <c r="P60" i="1" a="1"/>
  <c r="P60" i="1" s="1"/>
  <c r="F24" i="13" s="1"/>
  <c r="P17" i="1" a="1"/>
  <c r="P17" i="1" s="1"/>
  <c r="P2" i="1" a="1"/>
  <c r="P2" i="1" s="1"/>
  <c r="P89" i="1" a="1"/>
  <c r="P89" i="1" s="1"/>
  <c r="P42" i="1" a="1"/>
  <c r="P42" i="1" s="1"/>
  <c r="P100" i="1" a="1"/>
  <c r="P100" i="1" s="1"/>
  <c r="P52" i="1" a="1"/>
  <c r="P52" i="1" s="1"/>
  <c r="P99" i="1" a="1"/>
  <c r="P99" i="1" s="1"/>
  <c r="P77" i="1" a="1"/>
  <c r="P77" i="1" s="1"/>
  <c r="P76" i="1" a="1"/>
  <c r="P76" i="1" s="1"/>
  <c r="P48" i="1" a="1"/>
  <c r="P48" i="1" s="1"/>
  <c r="P110" i="1" a="1"/>
  <c r="P110" i="1" s="1"/>
  <c r="P58" i="1" a="1"/>
  <c r="P58" i="1" s="1"/>
  <c r="F22" i="13" s="1"/>
  <c r="P55" i="1" a="1"/>
  <c r="P55" i="1" s="1"/>
  <c r="F19" i="13" s="1"/>
  <c r="P71" i="1" a="1"/>
  <c r="P71" i="1" s="1"/>
  <c r="P163" i="1" a="1"/>
  <c r="P163" i="1" s="1"/>
  <c r="P51" i="1" a="1"/>
  <c r="P51" i="1" s="1"/>
  <c r="P121" i="1" a="1"/>
  <c r="P121" i="1" s="1"/>
  <c r="P6" i="1" a="1"/>
  <c r="P6" i="1" s="1"/>
  <c r="P15" i="1" a="1"/>
  <c r="P15" i="1" s="1"/>
  <c r="P49" i="1" a="1"/>
  <c r="P49" i="1" s="1"/>
  <c r="P183" i="1" a="1"/>
  <c r="P183" i="1" s="1"/>
  <c r="P28" i="1" a="1"/>
  <c r="P28" i="1" s="1"/>
  <c r="P186" i="1" a="1"/>
  <c r="P186" i="1" s="1"/>
  <c r="U43" i="6"/>
  <c r="V43" i="6" s="1"/>
  <c r="U40" i="6"/>
  <c r="V40" i="6" s="1"/>
  <c r="U33" i="6"/>
  <c r="V33" i="6" s="1"/>
  <c r="U18" i="6"/>
  <c r="V18" i="6" s="1"/>
  <c r="U26" i="6"/>
  <c r="V26" i="6" s="1"/>
  <c r="U8" i="6"/>
  <c r="U32" i="6"/>
  <c r="V32" i="6" s="1"/>
  <c r="U22" i="6"/>
  <c r="V22" i="6" s="1"/>
  <c r="U2" i="6"/>
  <c r="Q55" i="1" s="1" a="1"/>
  <c r="Q55" i="1" s="1"/>
  <c r="S55" i="15" s="1"/>
  <c r="U16" i="6"/>
  <c r="V16" i="6" s="1"/>
  <c r="U64" i="6"/>
  <c r="V64" i="6" s="1"/>
  <c r="U194" i="6"/>
  <c r="V194" i="6" s="1"/>
  <c r="U224" i="6"/>
  <c r="V224" i="6" s="1"/>
  <c r="U74" i="6"/>
  <c r="V74" i="6" s="1"/>
  <c r="U209" i="6"/>
  <c r="V209" i="6" s="1"/>
  <c r="U122" i="6"/>
  <c r="V122" i="6" s="1"/>
  <c r="U379" i="6"/>
  <c r="V379" i="6" s="1"/>
  <c r="U188" i="6"/>
  <c r="V188" i="6" s="1"/>
  <c r="U65" i="6"/>
  <c r="V65" i="6" s="1"/>
  <c r="U367" i="6"/>
  <c r="V367" i="6" s="1"/>
  <c r="U200" i="6"/>
  <c r="V200" i="6" s="1"/>
  <c r="U83" i="6"/>
  <c r="V83" i="6" s="1"/>
  <c r="U333" i="6"/>
  <c r="V333" i="6" s="1"/>
  <c r="U282" i="6"/>
  <c r="V282" i="6" s="1"/>
  <c r="U310" i="6"/>
  <c r="V310" i="6" s="1"/>
  <c r="U304" i="6"/>
  <c r="V304" i="6" s="1"/>
  <c r="U380" i="6"/>
  <c r="V380" i="6" s="1"/>
  <c r="U207" i="6"/>
  <c r="V207" i="6" s="1"/>
  <c r="U247" i="6"/>
  <c r="V247" i="6" s="1"/>
  <c r="U163" i="6"/>
  <c r="V163" i="6" s="1"/>
  <c r="U124" i="6"/>
  <c r="V124" i="6" s="1"/>
  <c r="U68" i="6"/>
  <c r="V68" i="6" s="1"/>
  <c r="U92" i="6"/>
  <c r="V92" i="6" s="1"/>
  <c r="U324" i="6"/>
  <c r="V324" i="6" s="1"/>
  <c r="U292" i="6"/>
  <c r="V292" i="6" s="1"/>
  <c r="U346" i="6"/>
  <c r="V346" i="6" s="1"/>
  <c r="U377" i="6"/>
  <c r="V377" i="6" s="1"/>
  <c r="U262" i="6"/>
  <c r="V262" i="6" s="1"/>
  <c r="U331" i="6"/>
  <c r="V331" i="6" s="1"/>
  <c r="U145" i="6"/>
  <c r="V145" i="6" s="1"/>
  <c r="U313" i="6"/>
  <c r="V313" i="6" s="1"/>
  <c r="U147" i="6"/>
  <c r="V147" i="6" s="1"/>
  <c r="U359" i="6"/>
  <c r="V359" i="6" s="1"/>
  <c r="U298" i="6"/>
  <c r="V298" i="6" s="1"/>
  <c r="U336" i="6"/>
  <c r="V336" i="6" s="1"/>
  <c r="U187" i="6"/>
  <c r="V187" i="6" s="1"/>
  <c r="U277" i="6"/>
  <c r="V277" i="6" s="1"/>
  <c r="U211" i="6"/>
  <c r="V211" i="6" s="1"/>
  <c r="U99" i="6"/>
  <c r="V99" i="6" s="1"/>
  <c r="U322" i="6"/>
  <c r="V322" i="6" s="1"/>
  <c r="U323" i="6"/>
  <c r="V323" i="6" s="1"/>
  <c r="U189" i="6"/>
  <c r="V189" i="6" s="1"/>
  <c r="U266" i="6"/>
  <c r="V266" i="6" s="1"/>
  <c r="U270" i="6"/>
  <c r="V270" i="6" s="1"/>
  <c r="U290" i="6"/>
  <c r="V290" i="6" s="1"/>
  <c r="U116" i="6"/>
  <c r="V116" i="6" s="1"/>
  <c r="U260" i="6"/>
  <c r="V260" i="6" s="1"/>
  <c r="U208" i="6"/>
  <c r="V208" i="6" s="1"/>
  <c r="U237" i="6"/>
  <c r="V237" i="6" s="1"/>
  <c r="U294" i="6"/>
  <c r="V294" i="6" s="1"/>
  <c r="U248" i="6"/>
  <c r="V248" i="6" s="1"/>
  <c r="U63" i="6"/>
  <c r="V63" i="6" s="1"/>
  <c r="U296" i="6"/>
  <c r="V296" i="6" s="1"/>
  <c r="U115" i="6"/>
  <c r="V115" i="6" s="1"/>
  <c r="U314" i="6"/>
  <c r="V314" i="6" s="1"/>
  <c r="U117" i="6"/>
  <c r="V117" i="6" s="1"/>
  <c r="U353" i="6"/>
  <c r="V353" i="6" s="1"/>
  <c r="U190" i="6"/>
  <c r="V190" i="6" s="1"/>
  <c r="U77" i="6"/>
  <c r="V77" i="6" s="1"/>
  <c r="U123" i="6"/>
  <c r="V123" i="6" s="1"/>
  <c r="U285" i="6"/>
  <c r="V285" i="6" s="1"/>
  <c r="U133" i="6"/>
  <c r="V133" i="6" s="1"/>
  <c r="U327" i="6"/>
  <c r="V327" i="6" s="1"/>
  <c r="U52" i="6"/>
  <c r="V52" i="6" s="1"/>
  <c r="U75" i="6"/>
  <c r="V75" i="6" s="1"/>
  <c r="U112" i="6"/>
  <c r="V112" i="6" s="1"/>
  <c r="U150" i="6"/>
  <c r="V150" i="6" s="1"/>
  <c r="U234" i="6"/>
  <c r="V234" i="6" s="1"/>
  <c r="U60" i="6"/>
  <c r="V60" i="6" s="1"/>
  <c r="U107" i="6"/>
  <c r="V107" i="6" s="1"/>
  <c r="U167" i="6"/>
  <c r="V167" i="6" s="1"/>
  <c r="U179" i="6"/>
  <c r="V179" i="6" s="1"/>
  <c r="U218" i="6"/>
  <c r="V218" i="6" s="1"/>
  <c r="U98" i="6"/>
  <c r="V98" i="6" s="1"/>
  <c r="U149" i="6"/>
  <c r="V149" i="6" s="1"/>
  <c r="U340" i="6"/>
  <c r="V340" i="6" s="1"/>
  <c r="U387" i="6"/>
  <c r="V387" i="6" s="1"/>
  <c r="U85" i="6"/>
  <c r="V85" i="6" s="1"/>
  <c r="U162" i="6"/>
  <c r="V162" i="6" s="1"/>
  <c r="U210" i="6"/>
  <c r="V210" i="6" s="1"/>
  <c r="U240" i="6"/>
  <c r="V240" i="6" s="1"/>
  <c r="U378" i="6"/>
  <c r="V378" i="6" s="1"/>
  <c r="U198" i="6"/>
  <c r="V198" i="6" s="1"/>
  <c r="U236" i="6"/>
  <c r="V236" i="6" s="1"/>
  <c r="U113" i="6"/>
  <c r="V113" i="6" s="1"/>
  <c r="U140" i="6"/>
  <c r="V140" i="6" s="1"/>
  <c r="U36" i="6"/>
  <c r="V36" i="6" s="1"/>
  <c r="U44" i="6"/>
  <c r="V44" i="6" s="1"/>
  <c r="U37" i="6"/>
  <c r="V37" i="6" s="1"/>
  <c r="U10" i="6"/>
  <c r="U30" i="6"/>
  <c r="V30" i="6" s="1"/>
  <c r="U12" i="6"/>
  <c r="U5" i="6"/>
  <c r="U3" i="6"/>
  <c r="Q53" i="1" s="1" a="1"/>
  <c r="Q53" i="1" s="1"/>
  <c r="S53" i="15" s="1"/>
  <c r="U29" i="6"/>
  <c r="V29" i="6" s="1"/>
  <c r="U11" i="6"/>
  <c r="V11" i="6" s="1"/>
  <c r="U6" i="6"/>
  <c r="U66" i="6"/>
  <c r="V66" i="6" s="1"/>
  <c r="U230" i="6"/>
  <c r="V230" i="6" s="1"/>
  <c r="U373" i="6"/>
  <c r="V373" i="6" s="1"/>
  <c r="U100" i="6"/>
  <c r="V100" i="6" s="1"/>
  <c r="U365" i="6"/>
  <c r="V365" i="6" s="1"/>
  <c r="U180" i="6"/>
  <c r="V180" i="6" s="1"/>
  <c r="U56" i="6"/>
  <c r="V56" i="6" s="1"/>
  <c r="U376" i="6"/>
  <c r="V376" i="6" s="1"/>
  <c r="U88" i="6"/>
  <c r="V88" i="6" s="1"/>
  <c r="U49" i="6"/>
  <c r="V49" i="6" s="1"/>
  <c r="U349" i="6"/>
  <c r="V349" i="6" s="1"/>
  <c r="U89" i="6"/>
  <c r="V89" i="6" s="1"/>
  <c r="U347" i="6"/>
  <c r="V347" i="6" s="1"/>
  <c r="U281" i="6"/>
  <c r="V281" i="6" s="1"/>
  <c r="U326" i="6"/>
  <c r="V326" i="6" s="1"/>
  <c r="U244" i="6"/>
  <c r="V244" i="6" s="1"/>
  <c r="U302" i="6"/>
  <c r="V302" i="6" s="1"/>
  <c r="U229" i="6"/>
  <c r="V229" i="6" s="1"/>
  <c r="U284" i="6"/>
  <c r="V284" i="6" s="1"/>
  <c r="U273" i="6"/>
  <c r="V273" i="6" s="1"/>
  <c r="U109" i="6"/>
  <c r="V109" i="6" s="1"/>
  <c r="U213" i="6"/>
  <c r="V213" i="6" s="1"/>
  <c r="U135" i="6"/>
  <c r="V135" i="6" s="1"/>
  <c r="U293" i="6"/>
  <c r="V293" i="6" s="1"/>
  <c r="U225" i="6"/>
  <c r="V225" i="6" s="1"/>
  <c r="U337" i="6"/>
  <c r="V337" i="6" s="1"/>
  <c r="U362" i="6"/>
  <c r="V362" i="6" s="1"/>
  <c r="U193" i="6"/>
  <c r="V193" i="6" s="1"/>
  <c r="U220" i="6"/>
  <c r="V220" i="6" s="1"/>
  <c r="U90" i="6"/>
  <c r="V90" i="6" s="1"/>
  <c r="U256" i="6"/>
  <c r="V256" i="6" s="1"/>
  <c r="U321" i="6"/>
  <c r="V321" i="6" s="1"/>
  <c r="U352" i="6"/>
  <c r="V352" i="6" s="1"/>
  <c r="U271" i="6"/>
  <c r="V271" i="6" s="1"/>
  <c r="U283" i="6"/>
  <c r="V283" i="6" s="1"/>
  <c r="U328" i="6"/>
  <c r="V328" i="6" s="1"/>
  <c r="U249" i="6"/>
  <c r="V249" i="6" s="1"/>
  <c r="U103" i="6"/>
  <c r="V103" i="6" s="1"/>
  <c r="U78" i="6"/>
  <c r="V78" i="6" s="1"/>
  <c r="U231" i="6"/>
  <c r="V231" i="6" s="1"/>
  <c r="U299" i="6"/>
  <c r="V299" i="6" s="1"/>
  <c r="U72" i="6"/>
  <c r="V72" i="6" s="1"/>
  <c r="U178" i="6"/>
  <c r="V178" i="6" s="1"/>
  <c r="U251" i="6"/>
  <c r="V251" i="6" s="1"/>
  <c r="U223" i="6"/>
  <c r="V223" i="6" s="1"/>
  <c r="U81" i="6"/>
  <c r="V81" i="6" s="1"/>
  <c r="U142" i="6"/>
  <c r="V142" i="6" s="1"/>
  <c r="U339" i="6"/>
  <c r="V339" i="6" s="1"/>
  <c r="U121" i="6"/>
  <c r="V121" i="6" s="1"/>
  <c r="U246" i="6"/>
  <c r="V246" i="6" s="1"/>
  <c r="U183" i="6"/>
  <c r="V183" i="6" s="1"/>
  <c r="U316" i="6"/>
  <c r="V316" i="6" s="1"/>
  <c r="U141" i="6"/>
  <c r="V141" i="6" s="1"/>
  <c r="U264" i="6"/>
  <c r="V264" i="6" s="1"/>
  <c r="U97" i="6"/>
  <c r="V97" i="6" s="1"/>
  <c r="U172" i="6"/>
  <c r="V172" i="6" s="1"/>
  <c r="U320" i="6"/>
  <c r="V320" i="6" s="1"/>
  <c r="U175" i="6"/>
  <c r="V175" i="6" s="1"/>
  <c r="U80" i="6"/>
  <c r="V80" i="6" s="1"/>
  <c r="U343" i="6"/>
  <c r="V343" i="6" s="1"/>
  <c r="U289" i="6"/>
  <c r="V289" i="6" s="1"/>
  <c r="U139" i="6"/>
  <c r="V139" i="6" s="1"/>
  <c r="U205" i="6"/>
  <c r="V205" i="6" s="1"/>
  <c r="U61" i="6"/>
  <c r="V61" i="6" s="1"/>
  <c r="U76" i="6"/>
  <c r="V76" i="6" s="1"/>
  <c r="U120" i="6"/>
  <c r="V120" i="6" s="1"/>
  <c r="U185" i="6"/>
  <c r="V185" i="6" s="1"/>
  <c r="U238" i="6"/>
  <c r="V238" i="6" s="1"/>
  <c r="U62" i="6"/>
  <c r="V62" i="6" s="1"/>
  <c r="U128" i="6"/>
  <c r="V128" i="6" s="1"/>
  <c r="U168" i="6"/>
  <c r="V168" i="6" s="1"/>
  <c r="U186" i="6"/>
  <c r="V186" i="6" s="1"/>
  <c r="U221" i="6"/>
  <c r="V221" i="6" s="1"/>
  <c r="U114" i="6"/>
  <c r="V114" i="6" s="1"/>
  <c r="U192" i="6"/>
  <c r="V192" i="6" s="1"/>
  <c r="U363" i="6"/>
  <c r="V363" i="6" s="1"/>
  <c r="U51" i="6"/>
  <c r="V51" i="6" s="1"/>
  <c r="U110" i="6"/>
  <c r="V110" i="6" s="1"/>
  <c r="U164" i="6"/>
  <c r="V164" i="6" s="1"/>
  <c r="U216" i="6"/>
  <c r="V216" i="6" s="1"/>
  <c r="U356" i="6"/>
  <c r="V356" i="6" s="1"/>
  <c r="U385" i="6"/>
  <c r="V385" i="6" s="1"/>
  <c r="U203" i="6"/>
  <c r="V203" i="6" s="1"/>
  <c r="U57" i="6"/>
  <c r="V57" i="6" s="1"/>
  <c r="U119" i="6"/>
  <c r="V119" i="6" s="1"/>
  <c r="U46" i="6"/>
  <c r="V46" i="6" s="1"/>
  <c r="U334" i="6"/>
  <c r="V334" i="6" s="1"/>
  <c r="U228" i="6"/>
  <c r="V228" i="6" s="1"/>
  <c r="U372" i="6"/>
  <c r="V372" i="6" s="1"/>
  <c r="U148" i="6"/>
  <c r="V148" i="6" s="1"/>
  <c r="U227" i="6"/>
  <c r="V227" i="6" s="1"/>
  <c r="U358" i="6"/>
  <c r="V358" i="6" s="1"/>
  <c r="U204" i="6"/>
  <c r="V204" i="6" s="1"/>
  <c r="U67" i="6"/>
  <c r="V67" i="6" s="1"/>
  <c r="AH2" i="4"/>
  <c r="U39" i="6"/>
  <c r="V39" i="6" s="1"/>
  <c r="U35" i="6"/>
  <c r="V35" i="6" s="1"/>
  <c r="U38" i="6"/>
  <c r="V38" i="6" s="1"/>
  <c r="U19" i="6"/>
  <c r="V19" i="6" s="1"/>
  <c r="U31" i="6"/>
  <c r="V31" i="6" s="1"/>
  <c r="U25" i="6"/>
  <c r="V25" i="6" s="1"/>
  <c r="U17" i="6"/>
  <c r="V17" i="6" s="1"/>
  <c r="U23" i="6"/>
  <c r="V23" i="6" s="1"/>
  <c r="U28" i="6"/>
  <c r="V28" i="6" s="1"/>
  <c r="U15" i="6"/>
  <c r="V15" i="6" s="1"/>
  <c r="U14" i="6"/>
  <c r="V14" i="6" s="1"/>
  <c r="U45" i="6"/>
  <c r="V45" i="6" s="1"/>
  <c r="U138" i="6"/>
  <c r="V138" i="6" s="1"/>
  <c r="U108" i="6"/>
  <c r="V108" i="6" s="1"/>
  <c r="U382" i="6"/>
  <c r="V382" i="6" s="1"/>
  <c r="U152" i="6"/>
  <c r="V152" i="6" s="1"/>
  <c r="U375" i="6"/>
  <c r="V375" i="6" s="1"/>
  <c r="U232" i="6"/>
  <c r="V232" i="6" s="1"/>
  <c r="U131" i="6"/>
  <c r="V131" i="6" s="1"/>
  <c r="U50" i="6"/>
  <c r="V50" i="6" s="1"/>
  <c r="U137" i="6"/>
  <c r="V137" i="6" s="1"/>
  <c r="U55" i="6"/>
  <c r="V55" i="6" s="1"/>
  <c r="U366" i="6"/>
  <c r="V366" i="6" s="1"/>
  <c r="U146" i="6"/>
  <c r="V146" i="6" s="1"/>
  <c r="U364" i="6"/>
  <c r="V364" i="6" s="1"/>
  <c r="U219" i="6"/>
  <c r="V219" i="6" s="1"/>
  <c r="U287" i="6"/>
  <c r="V287" i="6" s="1"/>
  <c r="U153" i="6"/>
  <c r="V153" i="6" s="1"/>
  <c r="U250" i="6"/>
  <c r="V250" i="6" s="1"/>
  <c r="U345" i="6"/>
  <c r="V345" i="6" s="1"/>
  <c r="U297" i="6"/>
  <c r="V297" i="6" s="1"/>
  <c r="U154" i="6"/>
  <c r="V154" i="6" s="1"/>
  <c r="U84" i="6"/>
  <c r="V84" i="6" s="1"/>
  <c r="U301" i="6"/>
  <c r="V301" i="6" s="1"/>
  <c r="U275" i="6"/>
  <c r="V275" i="6" s="1"/>
  <c r="U300" i="6"/>
  <c r="V300" i="6" s="1"/>
  <c r="U291" i="6"/>
  <c r="V291" i="6" s="1"/>
  <c r="U350" i="6"/>
  <c r="V350" i="6" s="1"/>
  <c r="U335" i="6"/>
  <c r="V335" i="6" s="1"/>
  <c r="U360" i="6"/>
  <c r="V360" i="6" s="1"/>
  <c r="U279" i="6"/>
  <c r="V279" i="6" s="1"/>
  <c r="U245" i="6"/>
  <c r="V245" i="6" s="1"/>
  <c r="U305" i="6"/>
  <c r="V305" i="6" s="1"/>
  <c r="U269" i="6"/>
  <c r="V269" i="6" s="1"/>
  <c r="U371" i="6"/>
  <c r="V371" i="6" s="1"/>
  <c r="U254" i="6"/>
  <c r="V254" i="6" s="1"/>
  <c r="U274" i="6"/>
  <c r="V274" i="6" s="1"/>
  <c r="U295" i="6"/>
  <c r="V295" i="6" s="1"/>
  <c r="U261" i="6"/>
  <c r="V261" i="6" s="1"/>
  <c r="U94" i="6"/>
  <c r="V94" i="6" s="1"/>
  <c r="U87" i="6"/>
  <c r="V87" i="6" s="1"/>
  <c r="U195" i="6"/>
  <c r="V195" i="6" s="1"/>
  <c r="U317" i="6"/>
  <c r="V317" i="6" s="1"/>
  <c r="U386" i="6"/>
  <c r="V386" i="6" s="1"/>
  <c r="U351" i="6"/>
  <c r="V351" i="6" s="1"/>
  <c r="U315" i="6"/>
  <c r="V315" i="6" s="1"/>
  <c r="U201" i="6"/>
  <c r="V201" i="6" s="1"/>
  <c r="U329" i="6"/>
  <c r="V329" i="6" s="1"/>
  <c r="U96" i="6"/>
  <c r="V96" i="6" s="1"/>
  <c r="U182" i="6"/>
  <c r="V182" i="6" s="1"/>
  <c r="U129" i="6"/>
  <c r="V129" i="6" s="1"/>
  <c r="U341" i="6"/>
  <c r="V341" i="6" s="1"/>
  <c r="U217" i="6"/>
  <c r="V217" i="6" s="1"/>
  <c r="U268" i="6"/>
  <c r="V268" i="6" s="1"/>
  <c r="U265" i="6"/>
  <c r="V265" i="6" s="1"/>
  <c r="U311" i="6"/>
  <c r="V311" i="6" s="1"/>
  <c r="U288" i="6"/>
  <c r="V288" i="6" s="1"/>
  <c r="U212" i="6"/>
  <c r="V212" i="6" s="1"/>
  <c r="U357" i="6"/>
  <c r="V357" i="6" s="1"/>
  <c r="U105" i="6"/>
  <c r="V105" i="6" s="1"/>
  <c r="U71" i="6"/>
  <c r="V71" i="6" s="1"/>
  <c r="U348" i="6"/>
  <c r="V348" i="6" s="1"/>
  <c r="U253" i="6"/>
  <c r="V253" i="6" s="1"/>
  <c r="U106" i="6"/>
  <c r="V106" i="6" s="1"/>
  <c r="U199" i="6"/>
  <c r="V199" i="6" s="1"/>
  <c r="U69" i="6"/>
  <c r="V69" i="6" s="1"/>
  <c r="U79" i="6"/>
  <c r="V79" i="6" s="1"/>
  <c r="U136" i="6"/>
  <c r="V136" i="6" s="1"/>
  <c r="U214" i="6"/>
  <c r="V214" i="6" s="1"/>
  <c r="U101" i="6"/>
  <c r="V101" i="6" s="1"/>
  <c r="U144" i="6"/>
  <c r="V144" i="6" s="1"/>
  <c r="U173" i="6"/>
  <c r="V173" i="6" s="1"/>
  <c r="U197" i="6"/>
  <c r="V197" i="6" s="1"/>
  <c r="U126" i="6"/>
  <c r="V126" i="6" s="1"/>
  <c r="U59" i="6"/>
  <c r="V59" i="6" s="1"/>
  <c r="U184" i="6"/>
  <c r="V184" i="6" s="1"/>
  <c r="U156" i="6"/>
  <c r="V156" i="6" s="1"/>
  <c r="U125" i="6"/>
  <c r="V125" i="6" s="1"/>
  <c r="U42" i="6"/>
  <c r="V42" i="6" s="1"/>
  <c r="U41" i="6"/>
  <c r="V41" i="6" s="1"/>
  <c r="U24" i="6"/>
  <c r="V24" i="6" s="1"/>
  <c r="U4" i="6"/>
  <c r="U13" i="6"/>
  <c r="U20" i="6"/>
  <c r="V20" i="6" s="1"/>
  <c r="U27" i="6"/>
  <c r="V27" i="6" s="1"/>
  <c r="U7" i="6"/>
  <c r="U9" i="6"/>
  <c r="U21" i="6"/>
  <c r="V21" i="6" s="1"/>
  <c r="U58" i="6"/>
  <c r="V58" i="6" s="1"/>
  <c r="U170" i="6"/>
  <c r="V170" i="6" s="1"/>
  <c r="U155" i="6"/>
  <c r="V155" i="6" s="1"/>
  <c r="U47" i="6"/>
  <c r="V47" i="6" s="1"/>
  <c r="U176" i="6"/>
  <c r="V176" i="6" s="1"/>
  <c r="U95" i="6"/>
  <c r="V95" i="6" s="1"/>
  <c r="U370" i="6"/>
  <c r="V370" i="6" s="1"/>
  <c r="U132" i="6"/>
  <c r="V132" i="6" s="1"/>
  <c r="U54" i="6"/>
  <c r="V54" i="6" s="1"/>
  <c r="U202" i="6"/>
  <c r="V202" i="6" s="1"/>
  <c r="U166" i="6"/>
  <c r="V166" i="6" s="1"/>
  <c r="U48" i="6"/>
  <c r="V48" i="6" s="1"/>
  <c r="U215" i="6"/>
  <c r="V215" i="6" s="1"/>
  <c r="U384" i="6"/>
  <c r="V384" i="6" s="1"/>
  <c r="U330" i="6"/>
  <c r="V330" i="6" s="1"/>
  <c r="U111" i="6"/>
  <c r="V111" i="6" s="1"/>
  <c r="U255" i="6"/>
  <c r="V255" i="6" s="1"/>
  <c r="U171" i="6"/>
  <c r="V171" i="6" s="1"/>
  <c r="U278" i="6"/>
  <c r="V278" i="6" s="1"/>
  <c r="U235" i="6"/>
  <c r="V235" i="6" s="1"/>
  <c r="U181" i="6"/>
  <c r="V181" i="6" s="1"/>
  <c r="U93" i="6"/>
  <c r="V93" i="6" s="1"/>
  <c r="U118" i="6"/>
  <c r="V118" i="6" s="1"/>
  <c r="U280" i="6"/>
  <c r="V280" i="6" s="1"/>
  <c r="U319" i="6"/>
  <c r="V319" i="6" s="1"/>
  <c r="U355" i="6"/>
  <c r="V355" i="6" s="1"/>
  <c r="U361" i="6"/>
  <c r="V361" i="6" s="1"/>
  <c r="U267" i="6"/>
  <c r="V267" i="6" s="1"/>
  <c r="U342" i="6"/>
  <c r="V342" i="6" s="1"/>
  <c r="U177" i="6"/>
  <c r="V177" i="6" s="1"/>
  <c r="U318" i="6"/>
  <c r="V318" i="6" s="1"/>
  <c r="U306" i="6"/>
  <c r="V306" i="6" s="1"/>
  <c r="U303" i="6"/>
  <c r="V303" i="6" s="1"/>
  <c r="U344" i="6"/>
  <c r="V344" i="6" s="1"/>
  <c r="U354" i="6"/>
  <c r="V354" i="6" s="1"/>
  <c r="U242" i="6"/>
  <c r="V242" i="6" s="1"/>
  <c r="U243" i="6"/>
  <c r="V243" i="6" s="1"/>
  <c r="U169" i="6"/>
  <c r="V169" i="6" s="1"/>
  <c r="U151" i="6"/>
  <c r="V151" i="6" s="1"/>
  <c r="U159" i="6"/>
  <c r="V159" i="6" s="1"/>
  <c r="U258" i="6"/>
  <c r="V258" i="6" s="1"/>
  <c r="U257" i="6"/>
  <c r="V257" i="6" s="1"/>
  <c r="U368" i="6"/>
  <c r="V368" i="6" s="1"/>
  <c r="U263" i="6"/>
  <c r="V263" i="6" s="1"/>
  <c r="U276" i="6"/>
  <c r="V276" i="6" s="1"/>
  <c r="U272" i="6"/>
  <c r="V272" i="6" s="1"/>
  <c r="U383" i="6"/>
  <c r="V383" i="6" s="1"/>
  <c r="U309" i="6"/>
  <c r="V309" i="6" s="1"/>
  <c r="U165" i="6"/>
  <c r="V165" i="6" s="1"/>
  <c r="U312" i="6"/>
  <c r="V312" i="6" s="1"/>
  <c r="U332" i="6"/>
  <c r="V332" i="6" s="1"/>
  <c r="U157" i="6"/>
  <c r="V157" i="6" s="1"/>
  <c r="U286" i="6"/>
  <c r="V286" i="6" s="1"/>
  <c r="U226" i="6"/>
  <c r="V226" i="6" s="1"/>
  <c r="U307" i="6"/>
  <c r="V307" i="6" s="1"/>
  <c r="U252" i="6"/>
  <c r="V252" i="6" s="1"/>
  <c r="U374" i="6"/>
  <c r="V374" i="6" s="1"/>
  <c r="U241" i="6"/>
  <c r="V241" i="6" s="1"/>
  <c r="U160" i="6"/>
  <c r="V160" i="6" s="1"/>
  <c r="U325" i="6"/>
  <c r="V325" i="6" s="1"/>
  <c r="U259" i="6"/>
  <c r="V259" i="6" s="1"/>
  <c r="U308" i="6"/>
  <c r="V308" i="6" s="1"/>
  <c r="U86" i="6"/>
  <c r="V86" i="6" s="1"/>
  <c r="U127" i="6"/>
  <c r="V127" i="6" s="1"/>
  <c r="U73" i="6"/>
  <c r="V73" i="6" s="1"/>
  <c r="U91" i="6"/>
  <c r="V91" i="6" s="1"/>
  <c r="U143" i="6"/>
  <c r="V143" i="6" s="1"/>
  <c r="U233" i="6"/>
  <c r="V233" i="6" s="1"/>
  <c r="U53" i="6"/>
  <c r="V53" i="6" s="1"/>
  <c r="U102" i="6"/>
  <c r="V102" i="6" s="1"/>
  <c r="U158" i="6"/>
  <c r="V158" i="6" s="1"/>
  <c r="U174" i="6"/>
  <c r="V174" i="6" s="1"/>
  <c r="U206" i="6"/>
  <c r="V206" i="6" s="1"/>
  <c r="U70" i="6"/>
  <c r="V70" i="6" s="1"/>
  <c r="U130" i="6"/>
  <c r="V130" i="6" s="1"/>
  <c r="U338" i="6"/>
  <c r="V338" i="6" s="1"/>
  <c r="U381" i="6"/>
  <c r="V381" i="6" s="1"/>
  <c r="U82" i="6"/>
  <c r="V82" i="6" s="1"/>
  <c r="U161" i="6"/>
  <c r="V161" i="6" s="1"/>
  <c r="U196" i="6"/>
  <c r="V196" i="6" s="1"/>
  <c r="U239" i="6"/>
  <c r="V239" i="6" s="1"/>
  <c r="U369" i="6"/>
  <c r="V369" i="6" s="1"/>
  <c r="U191" i="6"/>
  <c r="V191" i="6" s="1"/>
  <c r="U222" i="6"/>
  <c r="V222" i="6" s="1"/>
  <c r="U104" i="6"/>
  <c r="V104" i="6" s="1"/>
  <c r="U134" i="6"/>
  <c r="V134" i="6" s="1"/>
  <c r="U34" i="6"/>
  <c r="V34" i="6" s="1"/>
  <c r="Q72" i="1" l="1" a="1"/>
  <c r="Q72" i="1" s="1"/>
  <c r="S72" i="15" s="1"/>
  <c r="Q51" i="1" a="1"/>
  <c r="Q51" i="1" s="1"/>
  <c r="S51" i="15" s="1"/>
  <c r="Q52" i="1" a="1"/>
  <c r="Q52" i="1" s="1"/>
  <c r="S52" i="15" s="1"/>
  <c r="Q89" i="1" a="1"/>
  <c r="Q89" i="1" s="1"/>
  <c r="S89" i="15" s="1"/>
  <c r="Q73" i="1" a="1"/>
  <c r="Q73" i="1" s="1"/>
  <c r="S73" i="15" s="1"/>
  <c r="Q63" i="1" a="1"/>
  <c r="Q63" i="1" s="1"/>
  <c r="S63" i="15" s="1"/>
  <c r="Q78" i="1" a="1"/>
  <c r="Q78" i="1" s="1"/>
  <c r="S78" i="15" s="1"/>
  <c r="Q61" i="1" a="1"/>
  <c r="Q61" i="1" s="1"/>
  <c r="S61" i="15" s="1"/>
  <c r="Q9" i="1" a="1"/>
  <c r="Q9" i="1" s="1"/>
  <c r="S9" i="15" s="1"/>
  <c r="Q67" i="1" a="1"/>
  <c r="Q67" i="1" s="1"/>
  <c r="S67" i="15" s="1"/>
  <c r="Q11" i="1" a="1"/>
  <c r="Q11" i="1" s="1"/>
  <c r="S11" i="15" s="1"/>
  <c r="Q71" i="1" a="1"/>
  <c r="Q71" i="1" s="1"/>
  <c r="S71" i="15" s="1"/>
  <c r="Q18" i="1" a="1"/>
  <c r="Q18" i="1" s="1"/>
  <c r="S18" i="15" s="1"/>
  <c r="Q62" i="1" a="1"/>
  <c r="Q62" i="1" s="1"/>
  <c r="S62" i="15" s="1"/>
  <c r="Q86" i="1" a="1"/>
  <c r="Q86" i="1" s="1"/>
  <c r="S86" i="15" s="1"/>
  <c r="Q79" i="1" a="1"/>
  <c r="Q79" i="1" s="1"/>
  <c r="S79" i="15" s="1"/>
  <c r="F32" i="13"/>
  <c r="F5" i="13"/>
  <c r="Q123" i="1" a="1"/>
  <c r="Q123" i="1" s="1"/>
  <c r="S123" i="15" s="1"/>
  <c r="Q69" i="1" a="1"/>
  <c r="Q69" i="1" s="1"/>
  <c r="S69" i="15" s="1"/>
  <c r="F20" i="13"/>
  <c r="F4" i="13"/>
  <c r="F16" i="13"/>
  <c r="F3" i="13"/>
  <c r="F15" i="13"/>
  <c r="F2" i="13"/>
  <c r="Q54" i="1" a="1"/>
  <c r="Q54" i="1" s="1"/>
  <c r="S54" i="15" s="1"/>
  <c r="V2" i="6"/>
  <c r="Q174" i="1" a="1"/>
  <c r="Q174" i="1" s="1"/>
  <c r="S174" i="15" s="1"/>
  <c r="V3" i="6"/>
  <c r="Q175" i="1" a="1"/>
  <c r="Q175" i="1" s="1"/>
  <c r="S175" i="15" s="1"/>
  <c r="V10" i="6"/>
  <c r="Q184" i="1" a="1"/>
  <c r="Q184" i="1" s="1"/>
  <c r="S184" i="15" s="1"/>
  <c r="V9" i="6"/>
  <c r="Q186" i="1" a="1"/>
  <c r="Q186" i="1" s="1"/>
  <c r="S186" i="15" s="1"/>
  <c r="V13" i="6"/>
  <c r="Q183" i="1" a="1"/>
  <c r="Q183" i="1" s="1"/>
  <c r="S183" i="15" s="1"/>
  <c r="V6" i="6"/>
  <c r="Q178" i="1" a="1"/>
  <c r="Q178" i="1" s="1"/>
  <c r="S178" i="15" s="1"/>
  <c r="V5" i="6"/>
  <c r="Q177" i="1" a="1"/>
  <c r="Q177" i="1" s="1"/>
  <c r="S177" i="15" s="1"/>
  <c r="V7" i="6"/>
  <c r="Q180" i="1" a="1"/>
  <c r="Q180" i="1" s="1"/>
  <c r="S180" i="15" s="1"/>
  <c r="V4" i="6"/>
  <c r="Q176" i="1" a="1"/>
  <c r="Q176" i="1" s="1"/>
  <c r="S176" i="15" s="1"/>
  <c r="V12" i="6"/>
  <c r="Q181" i="1" a="1"/>
  <c r="Q181" i="1" s="1"/>
  <c r="S181" i="15" s="1"/>
  <c r="V8" i="6"/>
  <c r="Q182" i="1" a="1"/>
  <c r="Q182" i="1" s="1"/>
  <c r="S182" i="1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<sst xmlns="http://schemas.openxmlformats.org/spreadsheetml/2006/main" count="1272" uniqueCount="770">
  <si>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</si>
  <si>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</si>
  <si>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</si>
  <si>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</si>
  <si>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</si>
  <si>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</si>
  <si>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</si>
  <si>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</si>
  <si>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</si>
  <si>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</si>
  <si>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</si>
  <si>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</si>
  <si>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</si>
  <si>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</si>
  <si>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</si>
  <si>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</si>
  <si>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</si>
  <si>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</si>
  <si>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</si>
  <si>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</si>
  <si>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</si>
  <si>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</si>
  <si>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</si>
  <si>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</si>
  <si>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</si>
  <si>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</si>
  <si>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</si>
  <si>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</si>
  <si>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</si>
  <si>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</si>
  <si>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</si>
  <si>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</si>
  <si>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</si>
  <si>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</si>
  <si>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</si>
  <si>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</si>
  <si>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</si>
  <si>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</si>
  <si>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</si>
  <si>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</si>
  <si>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</si>
  <si>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</si>
  <si>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</si>
  <si>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</si>
  <si>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</si>
  <si>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</si>
  <si>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</si>
  <si>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</si>
  <si>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</si>
  <si>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</si>
  <si>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</si>
  <si>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</si>
  <si>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</si>
  <si>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</si>
  <si>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</si>
  <si>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</si>
  <si>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</si>
  <si>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</si>
  <si>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</si>
  <si>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</si>
  <si>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</si>
  <si>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</si>
  <si>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</si>
  <si>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</si>
  <si>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</si>
  <si>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</si>
  <si>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</si>
  <si>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</si>
  <si>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</si>
  <si>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</si>
  <si>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</si>
  <si>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</si>
  <si>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</si>
  <si>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</si>
  <si>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</si>
  <si>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</si>
  <si>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</si>
  <si>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</si>
  <si>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</si>
  <si>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</si>
  <si>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</si>
  <si>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</si>
  <si>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</si>
  <si>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</si>
  <si>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</si>
  <si>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</si>
  <si>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</si>
  <si>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</si>
  <si>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</si>
  <si>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</si>
  <si>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</si>
  <si>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</si>
  <si>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</si>
  <si>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</si>
  <si>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</si>
  <si>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</si>
  <si>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</si>
  <si>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</si>
  <si>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</si>
  <si>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</si>
  <si>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</si>
  <si>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</si>
  <si>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</si>
  <si>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</si>
  <si>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</si>
  <si>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</si>
  <si>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</si>
  <si>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</si>
  <si>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</si>
  <si>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</si>
  <si>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</si>
  <si>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</si>
  <si>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</si>
  <si>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</si>
  <si>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</si>
  <si>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</si>
  <si>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</si>
  <si>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</si>
  <si>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</si>
  <si>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</si>
  <si>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</si>
  <si>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</si>
  <si>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</si>
  <si>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</si>
  <si>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</si>
  <si>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</si>
  <si>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</si>
  <si>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</si>
  <si>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</si>
  <si>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</si>
  <si>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</si>
  <si>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</si>
  <si>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</si>
  <si>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</si>
  <si>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</si>
  <si>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</si>
  <si>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</si>
  <si>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</si>
  <si>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</si>
  <si>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</si>
  <si>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</si>
  <si>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</si>
  <si>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</si>
  <si>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</si>
  <si>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</si>
  <si>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</si>
  <si>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</si>
  <si>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</si>
  <si>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</si>
  <si>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</si>
  <si>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</si>
  <si>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</si>
  <si>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</si>
  <si>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</si>
  <si>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</si>
  <si>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</si>
  <si>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</si>
  <si>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</si>
  <si>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</si>
  <si>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</si>
  <si>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</si>
  <si>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</si>
  <si>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</si>
  <si>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</si>
  <si>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</si>
  <si>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</si>
  <si>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</si>
  <si>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</si>
  <si>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</si>
  <si>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</si>
  <si>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</si>
  <si>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</si>
  <si>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</si>
  <si>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</si>
  <si>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</si>
  <si>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</si>
  <si>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</si>
  <si>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</si>
  <si>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</si>
  <si>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</si>
  <si>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</si>
  <si>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</si>
  <si>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</si>
  <si>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</si>
  <si>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</si>
  <si>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</si>
  <si>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</si>
  <si>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</si>
  <si>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</si>
  <si>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</si>
  <si>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</si>
  <si>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</si>
  <si>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</si>
  <si>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</si>
  <si>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</si>
  <si>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</si>
  <si>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</si>
  <si>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</si>
  <si>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</si>
  <si>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</si>
  <si>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</si>
  <si>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</si>
  <si>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</si>
  <si>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</si>
  <si>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</si>
  <si>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</si>
  <si>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</si>
  <si>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</si>
  <si>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</si>
  <si>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</si>
  <si>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</si>
  <si>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</si>
  <si>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</si>
  <si>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</si>
  <si>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</si>
  <si>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</si>
  <si>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</si>
  <si>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</si>
  <si>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</si>
  <si>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</si>
  <si>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</si>
  <si>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</si>
  <si>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</si>
  <si>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</si>
  <si>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</si>
  <si>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</si>
  <si>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</si>
  <si>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</si>
  <si>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</si>
  <si>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</si>
  <si>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</si>
  <si>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</si>
  <si>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</si>
  <si>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</si>
  <si>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</si>
  <si>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</si>
  <si>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</si>
  <si>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</si>
  <si>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</si>
  <si>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</si>
  <si>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</si>
  <si>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</si>
  <si>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</si>
  <si>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</si>
  <si>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</si>
  <si>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</si>
  <si>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</si>
  <si>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</si>
  <si>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</si>
  <si>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</si>
  <si>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</si>
  <si>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</si>
  <si>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</si>
  <si>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</si>
  <si>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</si>
  <si>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</si>
  <si>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</si>
  <si>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</si>
  <si>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</si>
  <si>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</si>
  <si>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</si>
  <si>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</si>
  <si>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</si>
  <si>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</si>
  <si>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</si>
  <si>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</si>
  <si>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</si>
  <si>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</si>
  <si>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</si>
  <si>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</si>
  <si>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</si>
  <si>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</si>
  <si>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</si>
  <si>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</si>
  <si>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</si>
  <si>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</si>
  <si>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</si>
  <si>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</si>
  <si>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</si>
  <si>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</si>
  <si>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</si>
  <si>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</si>
  <si>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</si>
  <si>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</si>
  <si>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</si>
  <si>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</si>
  <si>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</si>
  <si>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</si>
  <si>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</si>
  <si>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</si>
  <si>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</si>
  <si>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</si>
  <si>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</si>
  <si>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</si>
  <si>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</si>
  <si>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</si>
  <si>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</si>
  <si>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</si>
  <si>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</si>
  <si>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</si>
  <si>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</si>
  <si>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</si>
  <si>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</si>
  <si>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</si>
  <si>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</si>
  <si>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</si>
  <si>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</si>
  <si>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</si>
  <si>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</si>
  <si>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</si>
  <si>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</si>
  <si>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</si>
  <si>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</si>
  <si>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</si>
  <si>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</si>
  <si>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</si>
  <si>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</si>
  <si>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</si>
  <si>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</si>
  <si>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</si>
  <si>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</si>
  <si>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</si>
  <si>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</si>
  <si>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</si>
  <si>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</si>
  <si>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</si>
  <si>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</si>
  <si>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</si>
  <si>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</si>
  <si>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</si>
  <si>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</si>
  <si>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</si>
  <si>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</si>
  <si>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</si>
  <si>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</si>
  <si>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</si>
  <si>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</si>
  <si>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</si>
  <si>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</si>
  <si>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</si>
  <si>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</si>
  <si>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</si>
  <si>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</si>
  <si>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</si>
  <si>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</si>
  <si>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</si>
  <si>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</si>
  <si>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</si>
  <si>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</si>
  <si>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</si>
  <si>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</si>
  <si>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</si>
  <si>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</si>
  <si>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</si>
  <si>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</si>
  <si>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</si>
  <si>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</si>
  <si>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</si>
  <si>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</si>
  <si>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</si>
  <si>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</si>
  <si>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</si>
  <si>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</si>
  <si>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</si>
  <si>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</si>
  <si>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</si>
  <si>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</si>
  <si>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</si>
  <si>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</si>
  <si>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</si>
  <si>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</si>
  <si>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</si>
  <si>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</si>
  <si>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</si>
  <si>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</si>
  <si>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</si>
  <si>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</si>
  <si>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</si>
  <si>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</si>
  <si>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</si>
  <si>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</si>
  <si>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</si>
  <si>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</si>
  <si>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</si>
  <si>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</si>
  <si>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</si>
  <si>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</si>
  <si>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</si>
  <si>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</si>
  <si>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</si>
  <si>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</si>
  <si>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</si>
  <si>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</si>
  <si>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</si>
  <si>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</si>
  <si>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</si>
  <si>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</si>
  <si>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</si>
  <si>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</si>
  <si>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</si>
  <si>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</si>
  <si>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</si>
  <si>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</si>
  <si>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</si>
  <si>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</si>
  <si>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</si>
  <si>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</si>
  <si>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</si>
  <si>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</si>
  <si>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</si>
  <si>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</si>
  <si>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</si>
  <si>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</si>
  <si>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</si>
  <si>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</si>
  <si>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</si>
  <si>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</si>
  <si>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</si>
  <si>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</si>
  <si>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</si>
  <si>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</si>
  <si>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</si>
  <si>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</si>
  <si>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</si>
  <si>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</si>
  <si>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</si>
  <si>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</si>
  <si>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</si>
  <si>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</si>
  <si>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</si>
  <si>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</si>
  <si>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</si>
  <si>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</si>
  <si>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</si>
  <si>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</si>
  <si>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</si>
  <si>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</si>
  <si>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</si>
  <si>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</si>
  <si>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</si>
  <si>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</si>
  <si>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</si>
  <si>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</si>
  <si>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</si>
  <si>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</si>
  <si>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</si>
  <si>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</si>
  <si>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</si>
  <si>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</si>
  <si>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</si>
  <si>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</si>
  <si>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</si>
  <si>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</si>
  <si>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</si>
  <si>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</si>
  <si>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</si>
  <si>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</si>
  <si>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</si>
  <si>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</si>
  <si>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</si>
  <si>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</si>
  <si>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</si>
  <si>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</si>
  <si>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</si>
  <si>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</si>
  <si>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</si>
  <si>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</si>
  <si>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</si>
  <si>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</si>
  <si>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</si>
  <si>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</si>
  <si>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</si>
  <si>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</si>
  <si>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</si>
  <si>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</si>
  <si>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</si>
  <si>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</si>
  <si>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</si>
  <si>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</si>
  <si>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</si>
  <si>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</si>
  <si>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</si>
  <si>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</si>
  <si>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</si>
  <si>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</si>
  <si>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</si>
  <si>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</si>
  <si>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</si>
  <si>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Yes/No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</si>
  <si>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</si>
  <si>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</si>
  <si>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</si>
  <si>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</si>
  <si>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</si>
  <si>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</si>
  <si>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</si>
  <si>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</si>
  <si>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</si>
  <si>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</si>
  <si>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</si>
  <si>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</si>
  <si>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</si>
  <si>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</si>
  <si>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</si>
  <si>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</si>
  <si>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XXX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</si>
  <si>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</si>
  <si>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</si>
  <si>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</si>
  <si>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</si>
  <si>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</si>
  <si>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</si>
  <si>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</si>
  <si>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</si>
  <si>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</si>
  <si>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</si>
  <si>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</si>
  <si>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</si>
  <si>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</si>
  <si>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</si>
  <si>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</si>
  <si>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</si>
  <si>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</si>
  <si>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</si>
  <si>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</si>
  <si>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</si>
  <si>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</si>
  <si>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</si>
  <si>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</si>
  <si>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</si>
  <si>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</si>
  <si>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</si>
  <si>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</si>
  <si>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</si>
  <si>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</si>
  <si>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</si>
  <si>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</si>
  <si>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</si>
  <si>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</si>
  <si>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</si>
  <si>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category</t>
  </si>
  <si>
    <t>code</t>
  </si>
  <si>
    <t>description</t>
  </si>
  <si>
    <t>ITAD description</t>
  </si>
  <si>
    <t>LPT001</t>
  </si>
  <si>
    <t>a/c adapter defect</t>
  </si>
  <si>
    <t>LPT002</t>
  </si>
  <si>
    <t>a/c adapter missing</t>
  </si>
  <si>
    <t>LPT010</t>
  </si>
  <si>
    <t>backlight defect</t>
  </si>
  <si>
    <t>LPT012</t>
  </si>
  <si>
    <t>badge missing</t>
  </si>
  <si>
    <t>LPT013</t>
  </si>
  <si>
    <t>battery bay defect</t>
  </si>
  <si>
    <t>LPT014</t>
  </si>
  <si>
    <t>battery defect</t>
  </si>
  <si>
    <t>Battery C,Battery D</t>
  </si>
  <si>
    <t>LPT016</t>
  </si>
  <si>
    <t>battery missing</t>
  </si>
  <si>
    <t>LPT018</t>
  </si>
  <si>
    <t>bezel defect</t>
  </si>
  <si>
    <t>LPT019</t>
  </si>
  <si>
    <t>bezel missing</t>
  </si>
  <si>
    <t>LPT020</t>
  </si>
  <si>
    <t>bios failure</t>
  </si>
  <si>
    <t>LPT027</t>
  </si>
  <si>
    <t>cable missing</t>
  </si>
  <si>
    <t>LPT030</t>
  </si>
  <si>
    <t>case cracked major</t>
  </si>
  <si>
    <t>LPT031</t>
  </si>
  <si>
    <t>case cracked minor</t>
  </si>
  <si>
    <t>LPT032</t>
  </si>
  <si>
    <t>case dent major</t>
  </si>
  <si>
    <t>Chassis damage C,Chassis damage D</t>
  </si>
  <si>
    <t>LPT033</t>
  </si>
  <si>
    <t>case dent minor</t>
  </si>
  <si>
    <t>Chassis damage B</t>
  </si>
  <si>
    <t>LPT034</t>
  </si>
  <si>
    <t>case discoloration</t>
  </si>
  <si>
    <t>Label marks B,Label marks C,Label marks D</t>
  </si>
  <si>
    <t>LPT037</t>
  </si>
  <si>
    <t>case scratched major</t>
  </si>
  <si>
    <t>LPT038</t>
  </si>
  <si>
    <t>case scratched minor</t>
  </si>
  <si>
    <t>LPT040</t>
  </si>
  <si>
    <t>charger entry point defect</t>
  </si>
  <si>
    <t>Charging port defect</t>
  </si>
  <si>
    <t>LPT041</t>
  </si>
  <si>
    <t>control panel defect</t>
  </si>
  <si>
    <t>LPT042</t>
  </si>
  <si>
    <t>control panel missing</t>
  </si>
  <si>
    <t>LPT043</t>
  </si>
  <si>
    <t>cover defect</t>
  </si>
  <si>
    <t>LPT044</t>
  </si>
  <si>
    <t>cover missing</t>
  </si>
  <si>
    <t>LPT046</t>
  </si>
  <si>
    <t>cpu missing</t>
  </si>
  <si>
    <t>LPT051</t>
  </si>
  <si>
    <t>display brigthness major</t>
  </si>
  <si>
    <t>LPT052</t>
  </si>
  <si>
    <t>display brigthness minor</t>
  </si>
  <si>
    <t>LPT053</t>
  </si>
  <si>
    <t>display burnt-in</t>
  </si>
  <si>
    <t>LPT054</t>
  </si>
  <si>
    <t>display coating major</t>
  </si>
  <si>
    <t>LPT055</t>
  </si>
  <si>
    <t>display coating minor</t>
  </si>
  <si>
    <t>LPT056</t>
  </si>
  <si>
    <t>display colour major</t>
  </si>
  <si>
    <t>Display C,Display D</t>
  </si>
  <si>
    <t>LPT057</t>
  </si>
  <si>
    <t>display colour minor</t>
  </si>
  <si>
    <t>Display B</t>
  </si>
  <si>
    <t>LPT058</t>
  </si>
  <si>
    <t>display cracked</t>
  </si>
  <si>
    <t>Broken screen</t>
  </si>
  <si>
    <t>LPT063</t>
  </si>
  <si>
    <t>display flickering</t>
  </si>
  <si>
    <t>LPT067</t>
  </si>
  <si>
    <t>display mark bright major</t>
  </si>
  <si>
    <t>LED spot C,LED spot D</t>
  </si>
  <si>
    <t>LPT068</t>
  </si>
  <si>
    <t>display mark bright minor</t>
  </si>
  <si>
    <t>LED spot B</t>
  </si>
  <si>
    <t>LPT069</t>
  </si>
  <si>
    <t>display mark dark major</t>
  </si>
  <si>
    <t>LPT070</t>
  </si>
  <si>
    <t>display mark dark minor</t>
  </si>
  <si>
    <t>LPT071</t>
  </si>
  <si>
    <t>display missing</t>
  </si>
  <si>
    <t>LPT072</t>
  </si>
  <si>
    <t>display pixel failure major</t>
  </si>
  <si>
    <t>Screen defect</t>
  </si>
  <si>
    <t>LPT073</t>
  </si>
  <si>
    <t>display pixel failure minor</t>
  </si>
  <si>
    <t>LPT074</t>
  </si>
  <si>
    <t>display pressure points major</t>
  </si>
  <si>
    <t>LPT075</t>
  </si>
  <si>
    <t>display pressure points minor</t>
  </si>
  <si>
    <t>LPT076</t>
  </si>
  <si>
    <t>display scratched major</t>
  </si>
  <si>
    <t>Screen scratches C,Screen scratches D</t>
  </si>
  <si>
    <t>LPT077</t>
  </si>
  <si>
    <t>display scratched minor</t>
  </si>
  <si>
    <t>Screen scratches B</t>
  </si>
  <si>
    <t>LPT078</t>
  </si>
  <si>
    <t>doa unspecified</t>
  </si>
  <si>
    <t>LPT083</t>
  </si>
  <si>
    <t>fan defect</t>
  </si>
  <si>
    <t>LPT084</t>
  </si>
  <si>
    <t>fan missing</t>
  </si>
  <si>
    <t>LPT090</t>
  </si>
  <si>
    <t>foreign keyboard</t>
  </si>
  <si>
    <t>US kb,Foreign kb</t>
  </si>
  <si>
    <t>LPT097</t>
  </si>
  <si>
    <t>data carrier adapter is missing</t>
  </si>
  <si>
    <t>LPT098</t>
  </si>
  <si>
    <t>data carrier defect</t>
  </si>
  <si>
    <t>LPT099</t>
  </si>
  <si>
    <t>data carrier frame defect</t>
  </si>
  <si>
    <t>LPT100</t>
  </si>
  <si>
    <t>data carrier frame missing</t>
  </si>
  <si>
    <t>LPT101</t>
  </si>
  <si>
    <t>data carrier missing</t>
  </si>
  <si>
    <t>LPT102</t>
  </si>
  <si>
    <t>hinge defect</t>
  </si>
  <si>
    <t>LPT104</t>
  </si>
  <si>
    <t>i/o ports defect</t>
  </si>
  <si>
    <t>LPT107</t>
  </si>
  <si>
    <t>keyboard defect</t>
  </si>
  <si>
    <t>Sticky kb</t>
  </si>
  <si>
    <t>LPT108</t>
  </si>
  <si>
    <t>keyboard keys missing</t>
  </si>
  <si>
    <t>LPT109</t>
  </si>
  <si>
    <t>keyboard missing</t>
  </si>
  <si>
    <t>LPT110</t>
  </si>
  <si>
    <t>keyboard worn out</t>
  </si>
  <si>
    <t>LPT115</t>
  </si>
  <si>
    <t>lid clip defect</t>
  </si>
  <si>
    <t>LPT116</t>
  </si>
  <si>
    <t>liquid damage</t>
  </si>
  <si>
    <t>LPT119</t>
  </si>
  <si>
    <t>locked - key missing</t>
  </si>
  <si>
    <t>LPT120</t>
  </si>
  <si>
    <t>mainboard defect</t>
  </si>
  <si>
    <t>bad MB</t>
  </si>
  <si>
    <t>LPT123</t>
  </si>
  <si>
    <t>memory defect</t>
  </si>
  <si>
    <t>LPT124</t>
  </si>
  <si>
    <t>memory missing</t>
  </si>
  <si>
    <t>LPT131</t>
  </si>
  <si>
    <t>no audit</t>
  </si>
  <si>
    <t>LPT133</t>
  </si>
  <si>
    <t>no picture</t>
  </si>
  <si>
    <t>LPT135</t>
  </si>
  <si>
    <t>non removable asset tag</t>
  </si>
  <si>
    <t>LPT136</t>
  </si>
  <si>
    <t>non removable asset tag sanded down</t>
  </si>
  <si>
    <t>LPT140</t>
  </si>
  <si>
    <t>oem sticker missing</t>
  </si>
  <si>
    <t>LPT141</t>
  </si>
  <si>
    <t>optical drive defect</t>
  </si>
  <si>
    <t>LPT142</t>
  </si>
  <si>
    <t>optical drive missing</t>
  </si>
  <si>
    <t>LPT144</t>
  </si>
  <si>
    <t>outdated</t>
  </si>
  <si>
    <t>LPT151</t>
  </si>
  <si>
    <t>password protected</t>
  </si>
  <si>
    <t>LPT169</t>
  </si>
  <si>
    <t>required docking defect</t>
  </si>
  <si>
    <t>LPT170</t>
  </si>
  <si>
    <t>required docking missing</t>
  </si>
  <si>
    <t>LPT172</t>
  </si>
  <si>
    <t>see remarks</t>
  </si>
  <si>
    <t>LPT182</t>
  </si>
  <si>
    <t>stripped</t>
  </si>
  <si>
    <t>LPT183</t>
  </si>
  <si>
    <t>stylus defect</t>
  </si>
  <si>
    <t>LPT184</t>
  </si>
  <si>
    <t>stylus missing</t>
  </si>
  <si>
    <t>LPT189</t>
  </si>
  <si>
    <t>touchpad defect</t>
  </si>
  <si>
    <t>TP defect</t>
  </si>
  <si>
    <t>LPT190</t>
  </si>
  <si>
    <t>touchpad faded</t>
  </si>
  <si>
    <t>TP discolored</t>
  </si>
  <si>
    <t>LPT191</t>
  </si>
  <si>
    <t>touchpad missing</t>
  </si>
  <si>
    <t>LPT192</t>
  </si>
  <si>
    <t>touchscreen defect</t>
  </si>
  <si>
    <t>LPT199</t>
  </si>
  <si>
    <t>webcam defect</t>
  </si>
  <si>
    <t>LPT201</t>
  </si>
  <si>
    <t>wifi defect</t>
  </si>
  <si>
    <t>LPT202</t>
  </si>
  <si>
    <t>wifi missing</t>
  </si>
  <si>
    <t>PTB Project No</t>
  </si>
  <si>
    <t>PTB Description</t>
  </si>
  <si>
    <t>Collection Date</t>
  </si>
  <si>
    <t>Item No</t>
  </si>
  <si>
    <t>Serial No</t>
  </si>
  <si>
    <t>Client asset tag</t>
  </si>
  <si>
    <t>3rd Party No / IMEI No</t>
  </si>
  <si>
    <t>Category</t>
  </si>
  <si>
    <t>Model No</t>
  </si>
  <si>
    <t>Purchase Description</t>
  </si>
  <si>
    <t>Diagnostic Codes</t>
  </si>
  <si>
    <t>Item Remark</t>
  </si>
  <si>
    <t>Grade</t>
  </si>
  <si>
    <t>Item Status</t>
  </si>
  <si>
    <t>Weight (kg)</t>
  </si>
  <si>
    <t>Blancco Result</t>
  </si>
  <si>
    <t>Additional data deletions (if yes provide qty)</t>
  </si>
  <si>
    <t>Proposed Purchase price</t>
  </si>
  <si>
    <t>Currency</t>
  </si>
  <si>
    <t>Failed</t>
  </si>
  <si>
    <t>Successful</t>
  </si>
  <si>
    <t>Broken chassis,Chassis broken</t>
  </si>
  <si>
    <t>Battery 1</t>
  </si>
  <si>
    <t>Battery 2</t>
  </si>
  <si>
    <t>Battery 1 %</t>
  </si>
  <si>
    <t>Battery 2 %</t>
  </si>
  <si>
    <t>XX</t>
  </si>
  <si>
    <t>chassis scratches B</t>
  </si>
  <si>
    <t>Chassis scratches C,Chassis Scratches D</t>
  </si>
  <si>
    <t>Sims Type</t>
  </si>
  <si>
    <t>Mobile Device</t>
  </si>
  <si>
    <t>Mobile Telephone</t>
  </si>
  <si>
    <t>SHRXXX</t>
  </si>
  <si>
    <t>Battery Missing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</si>
</sst>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8"/>
      <color rgb="FFFFFFFF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60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3" fillId="7" borderId="2" xfId="0" applyFont="1" applyFill="1" applyBorder="1" applyAlignment="1">
      <alignment wrapText="1"/>
    </xf>
    <xf numFmtId="0" fontId="0" fillId="0" borderId="8" xfId="0" applyBorder="1"/>
    <xf numFmtId="0" fontId="0" fillId="0" borderId="9" xfId="0" applyBorder="1"/>
    <xf numFmtId="0" fontId="12" fillId="8" borderId="6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vertical="center" wrapText="1"/>
    </xf>
    <xf numFmtId="0" fontId="3" fillId="9" borderId="7" xfId="0" applyFont="1" applyFill="1" applyBorder="1" applyAlignment="1">
      <alignment vertical="center" wrapText="1"/>
    </xf>
    <xf numFmtId="0" fontId="12" fillId="8" borderId="7" xfId="0" applyFont="1" applyFill="1" applyBorder="1" applyAlignment="1">
      <alignment vertical="center" wrapText="1"/>
    </xf>
    <xf numFmtId="0" fontId="12" fillId="10" borderId="7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vertical="center" wrapText="1"/>
    </xf>
    <xf numFmtId="0" fontId="1" fillId="0" borderId="8" xfId="1" applyBorder="1" applyAlignment="1">
      <alignment horizontal="center" vertical="center"/>
    </xf>
    <xf numFmtId="0" fontId="10" fillId="0" borderId="8" xfId="0" applyFont="1" applyBorder="1"/>
    <xf numFmtId="0" fontId="10" fillId="0" borderId="8" xfId="0" applyFont="1" applyBorder="1" applyAlignment="1">
      <alignment wrapText="1"/>
    </xf>
    <xf numFmtId="49" fontId="0" fillId="0" borderId="8" xfId="0" applyNumberFormat="1" applyBorder="1"/>
    <xf numFmtId="49" fontId="1" fillId="0" borderId="8" xfId="1" applyNumberFormat="1" applyBorder="1" applyAlignment="1">
      <alignment horizontal="center" vertical="center"/>
    </xf>
    <xf numFmtId="0" fontId="0" fillId="3" borderId="0" xfId="0" applyFill="1" applyAlignment="1">
      <alignment horizontal="left"/>
    </xf>
    <xf numFmtId="0" fontId="1" fillId="3" borderId="1" xfId="1" applyFill="1" applyAlignment="1">
      <alignment horizontal="center" vertical="center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0" fillId="0" borderId="0" xfId="0" applyNumberFormat="1"/>
    <xf numFmtId="0" fontId="0" fillId="0" borderId="9" xfId="0" applyFill="1" applyBorder="1"/>
    <xf numFmtId="0" fontId="0" fillId="0" borderId="10" xfId="0" applyFill="1" applyBorder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149.366410185183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Memory capacit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5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F1048576" totalsRowShown="0" tableBorderDxfId="5">
  <autoFilter ref="D1:AF1048576" xr:uid="{29308B2E-F192-42B4-8523-53AD44BB76CD}"/>
  <tableColumns count="29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2" xr3:uid="{DB98B945-3709-420E-924A-FFA918C4CDFC}" name="CPU model"/>
    <tableColumn id="23" xr3:uid="{D44E1F9F-981A-4F98-BD6C-E86E2C91E7D5}" name="Memory capacit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245"/>
  <sheetViews>
    <sheetView workbookViewId="0">
      <pane ySplit="1" topLeftCell="A46" activePane="bottomLeft" state="frozen"/>
      <selection pane="bottomLeft" activeCell="L66" sqref="L66"/>
    </sheetView>
  </sheetViews>
  <sheetFormatPr defaultRowHeight="15"/>
  <cols>
    <col min="1" max="1" width="9.42578125" style="2" hidden="1" customWidth="1"/>
    <col min="2" max="2" width="26" style="2" customWidth="1"/>
    <col min="3" max="3" width="18.7109375" style="2" customWidth="1"/>
    <col min="4" max="4" width="7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ht="18" thickBot="1">
      <c r="A1" s="1" t="s">
        <v>494</v>
      </c>
      <c r="B1" s="1" t="s">
        <v>495</v>
      </c>
      <c r="C1" s="1" t="s">
        <v>59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37" t="s">
        <v>493</v>
      </c>
    </row>
    <row r="2" spans="1:24" ht="15.75" thickTop="1">
      <c r="A2" s="2" t="str">
        <f>_xlfn.TEXTJOIN("",TRUE,Input!$B$2,"0",ROW(My_Audit!A1))</f>
        <v>XX01</v>
      </c>
      <c r="B2" s="2" t="str">
        <f>_xlfn.TEXTJOIN("-",TRUE,"ITD",Input!$A$2,A2)</f>
        <v>ITD-SHRXXX-XX01</v>
      </c>
      <c r="C2" s="2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2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2" t="str">
        <f>_xlfn.XLOOKUP(A2,My_Audit!A:A,My_Audit!D:D,"")&amp;""</f>
        <v/>
      </c>
      <c r="F2" s="2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2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2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2" t="str">
        <f>_xlfn.XLOOKUP(A2,Output_Mac!A:A,Output_Mac!I:I,"")</f>
        <v/>
      </c>
      <c r="J2" s="2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2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2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2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O2" s="2" t="str">
        <f>_xlfn.LET(
    _xlpm.CSVVal, _xlfn.XLOOKUP($A2, CSV!$A:$A, CSV!AF:AF,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2" t="str" cm="1">
        <f t="array" ref="P2">IFERROR(_xlfn.LET(
_xlpm.CSVVal,_xlfn.XLOOKUP($A2,CSV!$A:$A,CSV!AG:AG,""),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2" t="str" cm="1">
        <f t="array" ref="Q2">IFERROR(_xlfn.LET(
_xlpm.CSVVal,_xlfn.XLOOKUP($A2,CSV!$A:$A,CSV!AH:AH,""),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X2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2" t="str">
        <f>_xlfn.TEXTJOIN("",TRUE,Input!$B$2,"0",ROW(My_Audit!A2))</f>
        <v>XX02</v>
      </c>
      <c r="B3" s="2" t="str">
        <f>_xlfn.TEXTJOIN("-",TRUE,"ITD",Input!$A$2,A3)</f>
        <v>ITD-SHRXXX-XX02</v>
      </c>
      <c r="C3" s="2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2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2" t="str">
        <f>_xlfn.XLOOKUP(A3,My_Audit!A:A,My_Audit!D:D,"")&amp;""</f>
        <v/>
      </c>
      <c r="F3" s="2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2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2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2" t="str">
        <f>_xlfn.XLOOKUP(A3,Output_Mac!A:A,Output_Mac!I:I,"")</f>
        <v/>
      </c>
      <c r="J3" s="2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2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2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2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O3" s="2" t="str">
        <f>_xlfn.LET(
    _xlpm.CSVVal, _xlfn.XLOOKUP($A3, CSV!$A:$A, CSV!AF:AF,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2" t="str" cm="1">
        <f t="array" ref="P3">IFERROR(_xlfn.LET(
_xlpm.CSVVal,_xlfn.XLOOKUP($A3,CSV!$A:$A,CSV!AG:AG,""),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2" t="str" cm="1">
        <f t="array" ref="Q3">IFERROR(_xlfn.LET(
_xlpm.CSVVal,_xlfn.XLOOKUP($A3,CSV!$A:$A,CSV!AH:AH,""),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X3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2" t="str">
        <f>_xlfn.TEXTJOIN("",TRUE,Input!$B$2,"0",ROW(My_Audit!A3))</f>
        <v>XX03</v>
      </c>
      <c r="B4" s="2" t="str">
        <f>_xlfn.TEXTJOIN("-",TRUE,"ITD",Input!$A$2,A4)</f>
        <v>ITD-SHRXXX-XX03</v>
      </c>
      <c r="C4" s="2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2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2" t="str">
        <f>_xlfn.XLOOKUP(A4,My_Audit!A:A,My_Audit!D:D,"")&amp;""</f>
        <v/>
      </c>
      <c r="F4" s="2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2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2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2" t="str">
        <f>_xlfn.XLOOKUP(A4,Output_Mac!A:A,Output_Mac!I:I,"")</f>
        <v/>
      </c>
      <c r="J4" s="2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2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2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2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O4" s="2" t="str">
        <f>_xlfn.LET(
    _xlpm.CSVVal, _xlfn.XLOOKUP($A4, CSV!$A:$A, CSV!AF:AF,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2" t="str" cm="1">
        <f t="array" ref="P4">IFERROR(_xlfn.LET(
_xlpm.CSVVal,_xlfn.XLOOKUP($A4,CSV!$A:$A,CSV!AG:AG,""),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2" t="str" cm="1">
        <f t="array" ref="Q4">IFERROR(_xlfn.LET(
_xlpm.CSVVal,_xlfn.XLOOKUP($A4,CSV!$A:$A,CSV!AH:AH,""),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X4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2" t="str">
        <f>_xlfn.TEXTJOIN("",TRUE,Input!$B$2,"0",ROW(My_Audit!A4))</f>
        <v>XX04</v>
      </c>
      <c r="B5" s="2" t="str">
        <f>_xlfn.TEXTJOIN("-",TRUE,"ITD",Input!$A$2,A5)</f>
        <v>ITD-SHRXXX-XX04</v>
      </c>
      <c r="C5" s="2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2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2" t="str">
        <f>_xlfn.XLOOKUP(A5,My_Audit!A:A,My_Audit!D:D,"")&amp;""</f>
        <v/>
      </c>
      <c r="F5" s="2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2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2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2" t="str">
        <f>_xlfn.XLOOKUP(A5,Output_Mac!A:A,Output_Mac!I:I,"")</f>
        <v/>
      </c>
      <c r="J5" s="2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2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2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2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O5" s="2" t="str">
        <f>_xlfn.LET(
    _xlpm.CSVVal, _xlfn.XLOOKUP($A5, CSV!$A:$A, CSV!AF:AF,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2" t="str" cm="1">
        <f t="array" ref="P5">IFERROR(_xlfn.LET(
_xlpm.CSVVal,_xlfn.XLOOKUP($A5,CSV!$A:$A,CSV!AG:AG,""),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2" t="str" cm="1">
        <f t="array" ref="Q5">IFERROR(_xlfn.LET(
_xlpm.CSVVal,_xlfn.XLOOKUP($A5,CSV!$A:$A,CSV!AH:AH,""),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X5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2" t="str">
        <f>_xlfn.TEXTJOIN("",TRUE,Input!$B$2,"0",ROW(My_Audit!A5))</f>
        <v>XX05</v>
      </c>
      <c r="B6" s="2" t="str">
        <f>_xlfn.TEXTJOIN("-",TRUE,"ITD",Input!$A$2,A6)</f>
        <v>ITD-SHRXXX-XX05</v>
      </c>
      <c r="C6" s="2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2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2" t="str">
        <f>_xlfn.XLOOKUP(A6,My_Audit!A:A,My_Audit!D:D,"")&amp;""</f>
        <v/>
      </c>
      <c r="F6" s="2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2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2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2" t="str">
        <f>_xlfn.XLOOKUP(A6,Output_Mac!A:A,Output_Mac!I:I,"")</f>
        <v/>
      </c>
      <c r="J6" s="2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2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2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2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O6" s="2" t="str">
        <f>_xlfn.LET(
    _xlpm.CSVVal, _xlfn.XLOOKUP($A6, CSV!$A:$A, CSV!AF:AF,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2" t="str" cm="1">
        <f t="array" ref="P6">IFERROR(_xlfn.LET(
_xlpm.CSVVal,_xlfn.XLOOKUP($A6,CSV!$A:$A,CSV!AG:AG,""),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2" t="str" cm="1">
        <f t="array" ref="Q6">IFERROR(_xlfn.LET(
_xlpm.CSVVal,_xlfn.XLOOKUP($A6,CSV!$A:$A,CSV!AH:AH,""),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X6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2" t="str">
        <f>_xlfn.TEXTJOIN("",TRUE,Input!$B$2,"0",ROW(My_Audit!A6))</f>
        <v>XX06</v>
      </c>
      <c r="B7" s="2" t="str">
        <f>_xlfn.TEXTJOIN("-",TRUE,"ITD",Input!$A$2,A7)</f>
        <v>ITD-SHRXXX-XX06</v>
      </c>
      <c r="C7" s="2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2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2" t="str">
        <f>_xlfn.XLOOKUP(A7,My_Audit!A:A,My_Audit!D:D,"")&amp;""</f>
        <v/>
      </c>
      <c r="F7" s="2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2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2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2" t="str">
        <f>_xlfn.XLOOKUP(A7,Output_Mac!A:A,Output_Mac!I:I,"")</f>
        <v/>
      </c>
      <c r="J7" s="2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2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2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2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O7" s="2" t="str">
        <f>_xlfn.LET(
    _xlpm.CSVVal, _xlfn.XLOOKUP($A7, CSV!$A:$A, CSV!AF:AF,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2" t="str" cm="1">
        <f t="array" ref="P7">IFERROR(_xlfn.LET(
_xlpm.CSVVal,_xlfn.XLOOKUP($A7,CSV!$A:$A,CSV!AG:AG,""),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2" t="str" cm="1">
        <f t="array" ref="Q7">IFERROR(_xlfn.LET(
_xlpm.CSVVal,_xlfn.XLOOKUP($A7,CSV!$A:$A,CSV!AH:AH,""),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X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2" t="str">
        <f>_xlfn.TEXTJOIN("",TRUE,Input!$B$2,"0",ROW(My_Audit!A7))</f>
        <v>XX07</v>
      </c>
      <c r="B8" s="2" t="str">
        <f>_xlfn.TEXTJOIN("-",TRUE,"ITD",Input!$A$2,A8)</f>
        <v>ITD-SHRXXX-XX07</v>
      </c>
      <c r="C8" s="2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2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2" t="str">
        <f>_xlfn.XLOOKUP(A8,My_Audit!A:A,My_Audit!D:D,"")&amp;""</f>
        <v/>
      </c>
      <c r="F8" s="2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2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2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2" t="str">
        <f>_xlfn.XLOOKUP(A8,Output_Mac!A:A,Output_Mac!I:I,"")</f>
        <v/>
      </c>
      <c r="J8" s="2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2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2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2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O8" s="2" t="str">
        <f>_xlfn.LET(
    _xlpm.CSVVal, _xlfn.XLOOKUP($A8, CSV!$A:$A, CSV!AF:AF,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2" t="str" cm="1">
        <f t="array" ref="P8">IFERROR(_xlfn.LET(
_xlpm.CSVVal,_xlfn.XLOOKUP($A8,CSV!$A:$A,CSV!AG:AG,""),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2" t="str" cm="1">
        <f t="array" ref="Q8">IFERROR(_xlfn.LET(
_xlpm.CSVVal,_xlfn.XLOOKUP($A8,CSV!$A:$A,CSV!AH:AH,""),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X8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2" t="str">
        <f>_xlfn.TEXTJOIN("",TRUE,Input!$B$2,"0",ROW(My_Audit!A8))</f>
        <v>XX08</v>
      </c>
      <c r="B9" s="2" t="str">
        <f>_xlfn.TEXTJOIN("-",TRUE,"ITD",Input!$A$2,A9)</f>
        <v>ITD-SHRXXX-XX08</v>
      </c>
      <c r="C9" s="2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2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2" t="str">
        <f>_xlfn.XLOOKUP(A9,My_Audit!A:A,My_Audit!D:D,"")&amp;""</f>
        <v/>
      </c>
      <c r="F9" s="2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2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2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2" t="str">
        <f>_xlfn.XLOOKUP(A9,Output_Mac!A:A,Output_Mac!I:I,"")</f>
        <v/>
      </c>
      <c r="J9" s="2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2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2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2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O9" s="2" t="str">
        <f>_xlfn.LET(
    _xlpm.CSVVal, _xlfn.XLOOKUP($A9, CSV!$A:$A, CSV!AF:AF,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2" t="str" cm="1">
        <f t="array" ref="P9">IFERROR(_xlfn.LET(
_xlpm.CSVVal,_xlfn.XLOOKUP($A9,CSV!$A:$A,CSV!AG:AG,""),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2" t="str" cm="1">
        <f t="array" ref="Q9">IFERROR(_xlfn.LET(
_xlpm.CSVVal,_xlfn.XLOOKUP($A9,CSV!$A:$A,CSV!AH:AH,""),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X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2" t="str">
        <f>_xlfn.TEXTJOIN("",TRUE,Input!$B$2,"0",ROW(My_Audit!A9))</f>
        <v>XX09</v>
      </c>
      <c r="B10" s="2" t="str">
        <f>_xlfn.TEXTJOIN("-",TRUE,"ITD",Input!$A$2,A10)</f>
        <v>ITD-SHRXXX-XX09</v>
      </c>
      <c r="C10" s="2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2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2" t="str">
        <f>_xlfn.XLOOKUP(A10,My_Audit!A:A,My_Audit!D:D,"")&amp;""</f>
        <v/>
      </c>
      <c r="F10" s="2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2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2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2" t="str">
        <f>_xlfn.XLOOKUP(A10,Output_Mac!A:A,Output_Mac!I:I,"")</f>
        <v/>
      </c>
      <c r="J10" s="2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2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2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2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O10" s="2" t="str">
        <f>_xlfn.LET(
    _xlpm.CSVVal, _xlfn.XLOOKUP($A10, CSV!$A:$A, CSV!AF:AF,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2" t="str" cm="1">
        <f t="array" ref="P10">IFERROR(_xlfn.LET(
_xlpm.CSVVal,_xlfn.XLOOKUP($A10,CSV!$A:$A,CSV!AG:AG,""),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2" t="str" cm="1">
        <f t="array" ref="Q10">IFERROR(_xlfn.LET(
_xlpm.CSVVal,_xlfn.XLOOKUP($A10,CSV!$A:$A,CSV!AH:AH,""),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X10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2" t="str">
        <f>_xlfn.TEXTJOIN("",TRUE,Input!$B$2,ROW(My_Audit!A10))</f>
        <v>XX10</v>
      </c>
      <c r="B11" s="2" t="str">
        <f>_xlfn.TEXTJOIN("-",TRUE,"ITD",Input!$A$2,A11)</f>
        <v>ITD-SHRXXX-XX10</v>
      </c>
      <c r="C11" s="2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2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2" t="str">
        <f>_xlfn.XLOOKUP(A11,My_Audit!A:A,My_Audit!D:D,"")&amp;""</f>
        <v/>
      </c>
      <c r="F11" s="2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2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2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2" t="str">
        <f>_xlfn.XLOOKUP(A11,Output_Mac!A:A,Output_Mac!I:I,"")</f>
        <v/>
      </c>
      <c r="J11" s="2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2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2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2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O11" s="2" t="str">
        <f>_xlfn.LET(
    _xlpm.CSVVal, _xlfn.XLOOKUP($A11, CSV!$A:$A, CSV!AF:AF,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2" t="str" cm="1">
        <f t="array" ref="P11">IFERROR(_xlfn.LET(
_xlpm.CSVVal,_xlfn.XLOOKUP($A11,CSV!$A:$A,CSV!AG:AG,""),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2" t="str" cm="1">
        <f t="array" ref="Q11">IFERROR(_xlfn.LET(
_xlpm.CSVVal,_xlfn.XLOOKUP($A11,CSV!$A:$A,CSV!AH:AH,""),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X1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2" t="str">
        <f>_xlfn.TEXTJOIN("",TRUE,Input!$B$2,ROW(My_Audit!A11))</f>
        <v>XX11</v>
      </c>
      <c r="B12" s="2" t="str">
        <f>_xlfn.TEXTJOIN("-",TRUE,"ITD",Input!$A$2,A12)</f>
        <v>ITD-SHRXXX-XX11</v>
      </c>
      <c r="C12" s="2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2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2" t="str">
        <f>_xlfn.XLOOKUP(A12,My_Audit!A:A,My_Audit!D:D,"")&amp;""</f>
        <v/>
      </c>
      <c r="F12" s="2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2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2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2" t="str">
        <f>_xlfn.XLOOKUP(A12,Output_Mac!A:A,Output_Mac!I:I,"")</f>
        <v/>
      </c>
      <c r="J12" s="2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2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2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2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O12" s="2" t="str">
        <f>_xlfn.LET(
    _xlpm.CSVVal, _xlfn.XLOOKUP($A12, CSV!$A:$A, CSV!AF:AF,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2" t="str" cm="1">
        <f t="array" ref="P12">IFERROR(_xlfn.LET(
_xlpm.CSVVal,_xlfn.XLOOKUP($A12,CSV!$A:$A,CSV!AG:AG,""),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2" t="str" cm="1">
        <f t="array" ref="Q12">IFERROR(_xlfn.LET(
_xlpm.CSVVal,_xlfn.XLOOKUP($A12,CSV!$A:$A,CSV!AH:AH,""),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X12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2" t="str">
        <f>_xlfn.TEXTJOIN("",TRUE,Input!$B$2,ROW(My_Audit!A12))</f>
        <v>XX12</v>
      </c>
      <c r="B13" s="2" t="str">
        <f>_xlfn.TEXTJOIN("-",TRUE,"ITD",Input!$A$2,A13)</f>
        <v>ITD-SHRXXX-XX12</v>
      </c>
      <c r="C13" s="2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2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2" t="str">
        <f>_xlfn.XLOOKUP(A13,My_Audit!A:A,My_Audit!D:D,"")&amp;""</f>
        <v/>
      </c>
      <c r="F13" s="2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2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2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2" t="str">
        <f>_xlfn.XLOOKUP(A13,Output_Mac!A:A,Output_Mac!I:I,"")</f>
        <v/>
      </c>
      <c r="J13" s="2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2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2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2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O13" s="2" t="str">
        <f>_xlfn.LET(
    _xlpm.CSVVal, _xlfn.XLOOKUP($A13, CSV!$A:$A, CSV!AF:AF,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2" t="str" cm="1">
        <f t="array" ref="P13">IFERROR(_xlfn.LET(
_xlpm.CSVVal,_xlfn.XLOOKUP($A13,CSV!$A:$A,CSV!AG:AG,""),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2" t="str" cm="1">
        <f t="array" ref="Q13">IFERROR(_xlfn.LET(
_xlpm.CSVVal,_xlfn.XLOOKUP($A13,CSV!$A:$A,CSV!AH:AH,""),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X13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2" t="str">
        <f>_xlfn.TEXTJOIN("",TRUE,Input!$B$2,ROW(My_Audit!A13))</f>
        <v>XX13</v>
      </c>
      <c r="B14" s="2" t="str">
        <f>_xlfn.TEXTJOIN("-",TRUE,"ITD",Input!$A$2,A14)</f>
        <v>ITD-SHRXXX-XX13</v>
      </c>
      <c r="C14" s="2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2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2" t="str">
        <f>_xlfn.XLOOKUP(A14,My_Audit!A:A,My_Audit!D:D,"")&amp;""</f>
        <v/>
      </c>
      <c r="F14" s="2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2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2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2" t="str">
        <f>_xlfn.XLOOKUP(A14,Output_Mac!A:A,Output_Mac!I:I,"")</f>
        <v/>
      </c>
      <c r="J14" s="2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2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2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2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O14" s="2" t="str">
        <f>_xlfn.LET(
    _xlpm.CSVVal, _xlfn.XLOOKUP($A14, CSV!$A:$A, CSV!AF:AF,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2" t="str" cm="1">
        <f t="array" ref="P14">IFERROR(_xlfn.LET(
_xlpm.CSVVal,_xlfn.XLOOKUP($A14,CSV!$A:$A,CSV!AG:AG,""),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2" t="str" cm="1">
        <f t="array" ref="Q14">IFERROR(_xlfn.LET(
_xlpm.CSVVal,_xlfn.XLOOKUP($A14,CSV!$A:$A,CSV!AH:AH,""),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X14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2" t="str">
        <f>_xlfn.TEXTJOIN("",TRUE,Input!$B$2,ROW(My_Audit!A14))</f>
        <v>XX14</v>
      </c>
      <c r="B15" s="2" t="str">
        <f>_xlfn.TEXTJOIN("-",TRUE,"ITD",Input!$A$2,A15)</f>
        <v>ITD-SHRXXX-XX14</v>
      </c>
      <c r="C15" s="2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2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2" t="str">
        <f>_xlfn.XLOOKUP(A15,My_Audit!A:A,My_Audit!D:D,"")&amp;""</f>
        <v/>
      </c>
      <c r="F15" s="2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2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2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2" t="str">
        <f>_xlfn.XLOOKUP(A15,Output_Mac!A:A,Output_Mac!I:I,"")</f>
        <v/>
      </c>
      <c r="J15" s="2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2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2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2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O15" s="2" t="str">
        <f>_xlfn.LET(
    _xlpm.CSVVal, _xlfn.XLOOKUP($A15, CSV!$A:$A, CSV!AF:AF,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2" t="str" cm="1">
        <f t="array" ref="P15">IFERROR(_xlfn.LET(
_xlpm.CSVVal,_xlfn.XLOOKUP($A15,CSV!$A:$A,CSV!AG:AG,""),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2" t="str" cm="1">
        <f t="array" ref="Q15">IFERROR(_xlfn.LET(
_xlpm.CSVVal,_xlfn.XLOOKUP($A15,CSV!$A:$A,CSV!AH:AH,""),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X15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2" t="str">
        <f>_xlfn.TEXTJOIN("",TRUE,Input!$B$2,ROW(My_Audit!A15))</f>
        <v>XX15</v>
      </c>
      <c r="B16" s="2" t="str">
        <f>_xlfn.TEXTJOIN("-",TRUE,"ITD",Input!$A$2,A16)</f>
        <v>ITD-SHRXXX-XX15</v>
      </c>
      <c r="C16" s="2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2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2" t="str">
        <f>_xlfn.XLOOKUP(A16,My_Audit!A:A,My_Audit!D:D,"")&amp;""</f>
        <v/>
      </c>
      <c r="F16" s="2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2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2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2" t="str">
        <f>_xlfn.XLOOKUP(A16,Output_Mac!A:A,Output_Mac!I:I,"")</f>
        <v/>
      </c>
      <c r="J16" s="2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2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2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2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O16" s="2" t="str">
        <f>_xlfn.LET(
    _xlpm.CSVVal, _xlfn.XLOOKUP($A16, CSV!$A:$A, CSV!AF:AF,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2" t="str" cm="1">
        <f t="array" ref="P16">IFERROR(_xlfn.LET(
_xlpm.CSVVal,_xlfn.XLOOKUP($A16,CSV!$A:$A,CSV!AG:AG,""),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2" t="str" cm="1">
        <f t="array" ref="Q16">IFERROR(_xlfn.LET(
_xlpm.CSVVal,_xlfn.XLOOKUP($A16,CSV!$A:$A,CSV!AH:AH,""),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X16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2" t="str">
        <f>_xlfn.TEXTJOIN("",TRUE,Input!$B$2,ROW(My_Audit!A16))</f>
        <v>XX16</v>
      </c>
      <c r="B17" s="2" t="str">
        <f>_xlfn.TEXTJOIN("-",TRUE,"ITD",Input!$A$2,A17)</f>
        <v>ITD-SHRXXX-XX16</v>
      </c>
      <c r="C17" s="2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2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2" t="str">
        <f>_xlfn.XLOOKUP(A17,My_Audit!A:A,My_Audit!D:D,"")&amp;""</f>
        <v/>
      </c>
      <c r="F17" s="2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2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2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2" t="str">
        <f>_xlfn.XLOOKUP(A17,Output_Mac!A:A,Output_Mac!I:I,"")</f>
        <v/>
      </c>
      <c r="J17" s="2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2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2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2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O17" s="2" t="str">
        <f>_xlfn.LET(
    _xlpm.CSVVal, _xlfn.XLOOKUP($A17, CSV!$A:$A, CSV!AF:AF,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2" t="str" cm="1">
        <f t="array" ref="P17">IFERROR(_xlfn.LET(
_xlpm.CSVVal,_xlfn.XLOOKUP($A17,CSV!$A:$A,CSV!AG:AG,""),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2" t="str" cm="1">
        <f t="array" ref="Q17">IFERROR(_xlfn.LET(
_xlpm.CSVVal,_xlfn.XLOOKUP($A17,CSV!$A:$A,CSV!AH:AH,""),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X1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2" t="str">
        <f>_xlfn.TEXTJOIN("",TRUE,Input!$B$2,ROW(My_Audit!A17))</f>
        <v>XX17</v>
      </c>
      <c r="B18" s="2" t="str">
        <f>_xlfn.TEXTJOIN("-",TRUE,"ITD",Input!$A$2,A18)</f>
        <v>ITD-SHRXXX-XX17</v>
      </c>
      <c r="C18" s="2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2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2" t="str">
        <f>_xlfn.XLOOKUP(A18,My_Audit!A:A,My_Audit!D:D,"")&amp;""</f>
        <v/>
      </c>
      <c r="F18" s="2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2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2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2" t="str">
        <f>_xlfn.XLOOKUP(A18,Output_Mac!A:A,Output_Mac!I:I,"")</f>
        <v/>
      </c>
      <c r="J18" s="2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2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2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2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O18" s="2" t="str">
        <f>_xlfn.LET(
    _xlpm.CSVVal, _xlfn.XLOOKUP($A18, CSV!$A:$A, CSV!AF:AF,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2" t="str" cm="1">
        <f t="array" ref="P18">IFERROR(_xlfn.LET(
_xlpm.CSVVal,_xlfn.XLOOKUP($A18,CSV!$A:$A,CSV!AG:AG,""),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2" t="str" cm="1">
        <f t="array" ref="Q18">IFERROR(_xlfn.LET(
_xlpm.CSVVal,_xlfn.XLOOKUP($A18,CSV!$A:$A,CSV!AH:AH,""),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X18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2" t="str">
        <f>_xlfn.TEXTJOIN("",TRUE,Input!$B$2,ROW(My_Audit!A18))</f>
        <v>XX18</v>
      </c>
      <c r="B19" s="2" t="str">
        <f>_xlfn.TEXTJOIN("-",TRUE,"ITD",Input!$A$2,A19)</f>
        <v>ITD-SHRXXX-XX18</v>
      </c>
      <c r="C19" s="2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2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2" t="str">
        <f>_xlfn.XLOOKUP(A19,My_Audit!A:A,My_Audit!D:D,"")&amp;""</f>
        <v/>
      </c>
      <c r="F19" s="2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2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2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2" t="str">
        <f>_xlfn.XLOOKUP(A19,Output_Mac!A:A,Output_Mac!I:I,"")</f>
        <v/>
      </c>
      <c r="J19" s="2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2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2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2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O19" s="2" t="str">
        <f>_xlfn.LET(
    _xlpm.CSVVal, _xlfn.XLOOKUP($A19, CSV!$A:$A, CSV!AF:AF,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2" t="str" cm="1">
        <f t="array" ref="P19">IFERROR(_xlfn.LET(
_xlpm.CSVVal,_xlfn.XLOOKUP($A19,CSV!$A:$A,CSV!AG:AG,""),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2" t="str" cm="1">
        <f t="array" ref="Q19">IFERROR(_xlfn.LET(
_xlpm.CSVVal,_xlfn.XLOOKUP($A19,CSV!$A:$A,CSV!AH:AH,""),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X1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2" t="str">
        <f>_xlfn.TEXTJOIN("",TRUE,Input!$B$2,ROW(My_Audit!A19))</f>
        <v>XX19</v>
      </c>
      <c r="B20" s="2" t="str">
        <f>_xlfn.TEXTJOIN("-",TRUE,"ITD",Input!$A$2,A20)</f>
        <v>ITD-SHRXXX-XX19</v>
      </c>
      <c r="C20" s="2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2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2" t="str">
        <f>_xlfn.XLOOKUP(A20,My_Audit!A:A,My_Audit!D:D,"")&amp;""</f>
        <v/>
      </c>
      <c r="F20" s="2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2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2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2" t="str">
        <f>_xlfn.XLOOKUP(A20,Output_Mac!A:A,Output_Mac!I:I,"")</f>
        <v/>
      </c>
      <c r="J20" s="2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2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2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2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O20" s="2" t="str">
        <f>_xlfn.LET(
    _xlpm.CSVVal, _xlfn.XLOOKUP($A20, CSV!$A:$A, CSV!AF:AF,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2" t="str" cm="1">
        <f t="array" ref="P20">IFERROR(_xlfn.LET(
_xlpm.CSVVal,_xlfn.XLOOKUP($A20,CSV!$A:$A,CSV!AG:AG,""),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2" t="str" cm="1">
        <f t="array" ref="Q20">IFERROR(_xlfn.LET(
_xlpm.CSVVal,_xlfn.XLOOKUP($A20,CSV!$A:$A,CSV!AH:AH,""),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X20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2" t="str">
        <f>_xlfn.TEXTJOIN("",TRUE,Input!$B$2,ROW(My_Audit!A20))</f>
        <v>XX20</v>
      </c>
      <c r="B21" s="2" t="str">
        <f>_xlfn.TEXTJOIN("-",TRUE,"ITD",Input!$A$2,A21)</f>
        <v>ITD-SHRXXX-XX20</v>
      </c>
      <c r="C21" s="2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2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2" t="str">
        <f>_xlfn.XLOOKUP(A21,My_Audit!A:A,My_Audit!D:D,"")&amp;""</f>
        <v/>
      </c>
      <c r="F21" s="2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2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2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2" t="str">
        <f>_xlfn.XLOOKUP(A21,Output_Mac!A:A,Output_Mac!I:I,"")</f>
        <v/>
      </c>
      <c r="J21" s="2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2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2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2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O21" s="2" t="str">
        <f>_xlfn.LET(
    _xlpm.CSVVal, _xlfn.XLOOKUP($A21, CSV!$A:$A, CSV!AF:AF,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2" t="str" cm="1">
        <f t="array" ref="P21">IFERROR(_xlfn.LET(
_xlpm.CSVVal,_xlfn.XLOOKUP($A21,CSV!$A:$A,CSV!AG:AG,""),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2" t="str" cm="1">
        <f t="array" ref="Q21">IFERROR(_xlfn.LET(
_xlpm.CSVVal,_xlfn.XLOOKUP($A21,CSV!$A:$A,CSV!AH:AH,""),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X2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2" t="str">
        <f>_xlfn.TEXTJOIN("",TRUE,Input!$B$2,ROW(My_Audit!A21))</f>
        <v>XX21</v>
      </c>
      <c r="B22" s="2" t="str">
        <f>_xlfn.TEXTJOIN("-",TRUE,"ITD",Input!$A$2,A22)</f>
        <v>ITD-SHRXXX-XX21</v>
      </c>
      <c r="C22" s="2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2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2" t="str">
        <f>_xlfn.XLOOKUP(A22,My_Audit!A:A,My_Audit!D:D,"")&amp;""</f>
        <v/>
      </c>
      <c r="F22" s="2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2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2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2" t="str">
        <f>_xlfn.XLOOKUP(A22,Output_Mac!A:A,Output_Mac!I:I,"")</f>
        <v/>
      </c>
      <c r="J22" s="2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2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2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2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O22" s="2" t="str">
        <f>_xlfn.LET(
    _xlpm.CSVVal, _xlfn.XLOOKUP($A22, CSV!$A:$A, CSV!AF:AF,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2" t="str" cm="1">
        <f t="array" ref="P22">IFERROR(_xlfn.LET(
_xlpm.CSVVal,_xlfn.XLOOKUP($A22,CSV!$A:$A,CSV!AG:AG,""),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2" t="str" cm="1">
        <f t="array" ref="Q22">IFERROR(_xlfn.LET(
_xlpm.CSVVal,_xlfn.XLOOKUP($A22,CSV!$A:$A,CSV!AH:AH,""),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X22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2" t="str">
        <f>_xlfn.TEXTJOIN("",TRUE,Input!$B$2,ROW(My_Audit!A22))</f>
        <v>XX22</v>
      </c>
      <c r="B23" s="2" t="str">
        <f>_xlfn.TEXTJOIN("-",TRUE,"ITD",Input!$A$2,A23)</f>
        <v>ITD-SHRXXX-XX22</v>
      </c>
      <c r="C23" s="2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2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2" t="str">
        <f>_xlfn.XLOOKUP(A23,My_Audit!A:A,My_Audit!D:D,"")&amp;""</f>
        <v/>
      </c>
      <c r="F23" s="2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2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2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2" t="str">
        <f>_xlfn.XLOOKUP(A23,Output_Mac!A:A,Output_Mac!I:I,"")</f>
        <v/>
      </c>
      <c r="J23" s="2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2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2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2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O23" s="2" t="str">
        <f>_xlfn.LET(
    _xlpm.CSVVal, _xlfn.XLOOKUP($A23, CSV!$A:$A, CSV!AF:AF,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2" t="str" cm="1">
        <f t="array" ref="P23">IFERROR(_xlfn.LET(
_xlpm.CSVVal,_xlfn.XLOOKUP($A23,CSV!$A:$A,CSV!AG:AG,""),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2" t="str" cm="1">
        <f t="array" ref="Q23">IFERROR(_xlfn.LET(
_xlpm.CSVVal,_xlfn.XLOOKUP($A23,CSV!$A:$A,CSV!AH:AH,""),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X23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2" t="str">
        <f>_xlfn.TEXTJOIN("",TRUE,Input!$B$2,ROW(My_Audit!A23))</f>
        <v>XX23</v>
      </c>
      <c r="B24" s="2" t="str">
        <f>_xlfn.TEXTJOIN("-",TRUE,"ITD",Input!$A$2,A24)</f>
        <v>ITD-SHRXXX-XX23</v>
      </c>
      <c r="C24" s="2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2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2" t="str">
        <f>_xlfn.XLOOKUP(A24,My_Audit!A:A,My_Audit!D:D,"")&amp;""</f>
        <v/>
      </c>
      <c r="F24" s="2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2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2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2" t="str">
        <f>_xlfn.XLOOKUP(A24,Output_Mac!A:A,Output_Mac!I:I,"")</f>
        <v/>
      </c>
      <c r="J24" s="2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2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2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2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O24" s="2" t="str">
        <f>_xlfn.LET(
    _xlpm.CSVVal, _xlfn.XLOOKUP($A24, CSV!$A:$A, CSV!AF:AF,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2" t="str" cm="1">
        <f t="array" ref="P24">IFERROR(_xlfn.LET(
_xlpm.CSVVal,_xlfn.XLOOKUP($A24,CSV!$A:$A,CSV!AG:AG,""),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2" t="str" cm="1">
        <f t="array" ref="Q24">IFERROR(_xlfn.LET(
_xlpm.CSVVal,_xlfn.XLOOKUP($A24,CSV!$A:$A,CSV!AH:AH,""),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X24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2" t="str">
        <f>_xlfn.TEXTJOIN("",TRUE,Input!$B$2,ROW(My_Audit!A24))</f>
        <v>XX24</v>
      </c>
      <c r="B25" s="2" t="str">
        <f>_xlfn.TEXTJOIN("-",TRUE,"ITD",Input!$A$2,A25)</f>
        <v>ITD-SHRXXX-XX24</v>
      </c>
      <c r="C25" s="2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2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2" t="str">
        <f>_xlfn.XLOOKUP(A25,My_Audit!A:A,My_Audit!D:D,"")&amp;""</f>
        <v/>
      </c>
      <c r="F25" s="2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2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2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2" t="str">
        <f>_xlfn.XLOOKUP(A25,Output_Mac!A:A,Output_Mac!I:I,"")</f>
        <v/>
      </c>
      <c r="J25" s="2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2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2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2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O25" s="2" t="str">
        <f>_xlfn.LET(
    _xlpm.CSVVal, _xlfn.XLOOKUP($A25, CSV!$A:$A, CSV!AF:AF,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2" t="str" cm="1">
        <f t="array" ref="P25">IFERROR(_xlfn.LET(
_xlpm.CSVVal,_xlfn.XLOOKUP($A25,CSV!$A:$A,CSV!AG:AG,""),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2" t="str" cm="1">
        <f t="array" ref="Q25">IFERROR(_xlfn.LET(
_xlpm.CSVVal,_xlfn.XLOOKUP($A25,CSV!$A:$A,CSV!AH:AH,""),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X25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2" t="str">
        <f>_xlfn.TEXTJOIN("",TRUE,Input!$B$2,ROW(My_Audit!A25))</f>
        <v>XX25</v>
      </c>
      <c r="B26" s="2" t="str">
        <f>_xlfn.TEXTJOIN("-",TRUE,"ITD",Input!$A$2,A26)</f>
        <v>ITD-SHRXXX-XX25</v>
      </c>
      <c r="C26" s="2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2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2" t="str">
        <f>_xlfn.XLOOKUP(A26,My_Audit!A:A,My_Audit!D:D,"")&amp;""</f>
        <v/>
      </c>
      <c r="F26" s="2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2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2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2" t="str">
        <f>_xlfn.XLOOKUP(A26,Output_Mac!A:A,Output_Mac!I:I,"")</f>
        <v/>
      </c>
      <c r="J26" s="2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2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2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2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O26" s="2" t="str">
        <f>_xlfn.LET(
    _xlpm.CSVVal, _xlfn.XLOOKUP($A26, CSV!$A:$A, CSV!AF:AF,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2" t="str" cm="1">
        <f t="array" ref="P26">IFERROR(_xlfn.LET(
_xlpm.CSVVal,_xlfn.XLOOKUP($A26,CSV!$A:$A,CSV!AG:AG,""),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2" t="str" cm="1">
        <f t="array" ref="Q26">IFERROR(_xlfn.LET(
_xlpm.CSVVal,_xlfn.XLOOKUP($A26,CSV!$A:$A,CSV!AH:AH,""),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X26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2" t="str">
        <f>_xlfn.TEXTJOIN("",TRUE,Input!$B$2,ROW(My_Audit!A26))</f>
        <v>XX26</v>
      </c>
      <c r="B27" s="2" t="str">
        <f>_xlfn.TEXTJOIN("-",TRUE,"ITD",Input!$A$2,A27)</f>
        <v>ITD-SHRXXX-XX26</v>
      </c>
      <c r="C27" s="2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2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2" t="str">
        <f>_xlfn.XLOOKUP(A27,My_Audit!A:A,My_Audit!D:D,"")&amp;""</f>
        <v/>
      </c>
      <c r="F27" s="2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2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2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2" t="str">
        <f>_xlfn.XLOOKUP(A27,Output_Mac!A:A,Output_Mac!I:I,"")</f>
        <v/>
      </c>
      <c r="J27" s="2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2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2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2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O27" s="2" t="str">
        <f>_xlfn.LET(
    _xlpm.CSVVal, _xlfn.XLOOKUP($A27, CSV!$A:$A, CSV!AF:AF,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2" t="str" cm="1">
        <f t="array" ref="P27">IFERROR(_xlfn.LET(
_xlpm.CSVVal,_xlfn.XLOOKUP($A27,CSV!$A:$A,CSV!AG:AG,""),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2" t="str" cm="1">
        <f t="array" ref="Q27">IFERROR(_xlfn.LET(
_xlpm.CSVVal,_xlfn.XLOOKUP($A27,CSV!$A:$A,CSV!AH:AH,""),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X2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2" t="str">
        <f>_xlfn.TEXTJOIN("",TRUE,Input!$B$2,ROW(My_Audit!A27))</f>
        <v>XX27</v>
      </c>
      <c r="B28" s="2" t="str">
        <f>_xlfn.TEXTJOIN("-",TRUE,"ITD",Input!$A$2,A28)</f>
        <v>ITD-SHRXXX-XX27</v>
      </c>
      <c r="C28" s="2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2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2" t="str">
        <f>_xlfn.XLOOKUP(A28,My_Audit!A:A,My_Audit!D:D,"")&amp;""</f>
        <v/>
      </c>
      <c r="F28" s="2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2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2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2" t="str">
        <f>_xlfn.XLOOKUP(A28,Output_Mac!A:A,Output_Mac!I:I,"")</f>
        <v/>
      </c>
      <c r="J28" s="2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2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2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2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O28" s="2" t="str">
        <f>_xlfn.LET(
    _xlpm.CSVVal, _xlfn.XLOOKUP($A28, CSV!$A:$A, CSV!AF:AF,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2" t="str" cm="1">
        <f t="array" ref="P28">IFERROR(_xlfn.LET(
_xlpm.CSVVal,_xlfn.XLOOKUP($A28,CSV!$A:$A,CSV!AG:AG,""),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2" t="str" cm="1">
        <f t="array" ref="Q28">IFERROR(_xlfn.LET(
_xlpm.CSVVal,_xlfn.XLOOKUP($A28,CSV!$A:$A,CSV!AH:AH,""),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X28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2" t="str">
        <f>_xlfn.TEXTJOIN("",TRUE,Input!$B$2,ROW(My_Audit!A28))</f>
        <v>XX28</v>
      </c>
      <c r="B29" s="2" t="str">
        <f>_xlfn.TEXTJOIN("-",TRUE,"ITD",Input!$A$2,A29)</f>
        <v>ITD-SHRXXX-XX28</v>
      </c>
      <c r="C29" s="2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2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2" t="str">
        <f>_xlfn.XLOOKUP(A29,My_Audit!A:A,My_Audit!D:D,"")&amp;""</f>
        <v/>
      </c>
      <c r="F29" s="2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2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2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2" t="str">
        <f>_xlfn.XLOOKUP(A29,Output_Mac!A:A,Output_Mac!I:I,"")</f>
        <v/>
      </c>
      <c r="J29" s="2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2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2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2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O29" s="2" t="str">
        <f>_xlfn.LET(
    _xlpm.CSVVal, _xlfn.XLOOKUP($A29, CSV!$A:$A, CSV!AF:AF,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2" t="str" cm="1">
        <f t="array" ref="P29">IFERROR(_xlfn.LET(
_xlpm.CSVVal,_xlfn.XLOOKUP($A29,CSV!$A:$A,CSV!AG:AG,""),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2" t="str" cm="1">
        <f t="array" ref="Q29">IFERROR(_xlfn.LET(
_xlpm.CSVVal,_xlfn.XLOOKUP($A29,CSV!$A:$A,CSV!AH:AH,""),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X2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2" t="str">
        <f>_xlfn.TEXTJOIN("",TRUE,Input!$B$2,ROW(My_Audit!A29))</f>
        <v>XX29</v>
      </c>
      <c r="B30" s="2" t="str">
        <f>_xlfn.TEXTJOIN("-",TRUE,"ITD",Input!$A$2,A30)</f>
        <v>ITD-SHRXXX-XX29</v>
      </c>
      <c r="C30" s="2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2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2" t="str">
        <f>_xlfn.XLOOKUP(A30,My_Audit!A:A,My_Audit!D:D,"")&amp;""</f>
        <v/>
      </c>
      <c r="F30" s="2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2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2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2" t="str">
        <f>_xlfn.XLOOKUP(A30,Output_Mac!A:A,Output_Mac!I:I,"")</f>
        <v/>
      </c>
      <c r="J30" s="2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2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2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2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O30" s="2" t="str">
        <f>_xlfn.LET(
    _xlpm.CSVVal, _xlfn.XLOOKUP($A30, CSV!$A:$A, CSV!AF:AF,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2" t="str" cm="1">
        <f t="array" ref="P30">IFERROR(_xlfn.LET(
_xlpm.CSVVal,_xlfn.XLOOKUP($A30,CSV!$A:$A,CSV!AG:AG,""),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2" t="str" cm="1">
        <f t="array" ref="Q30">IFERROR(_xlfn.LET(
_xlpm.CSVVal,_xlfn.XLOOKUP($A30,CSV!$A:$A,CSV!AH:AH,""),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X30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2" t="str">
        <f>_xlfn.TEXTJOIN("",TRUE,Input!$B$2,ROW(My_Audit!A30))</f>
        <v>XX30</v>
      </c>
      <c r="B31" s="2" t="str">
        <f>_xlfn.TEXTJOIN("-",TRUE,"ITD",Input!$A$2,A31)</f>
        <v>ITD-SHRXXX-XX30</v>
      </c>
      <c r="C31" s="2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2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2" t="str">
        <f>_xlfn.XLOOKUP(A31,My_Audit!A:A,My_Audit!D:D,"")&amp;""</f>
        <v/>
      </c>
      <c r="F31" s="2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2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2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2" t="str">
        <f>_xlfn.XLOOKUP(A31,Output_Mac!A:A,Output_Mac!I:I,"")</f>
        <v/>
      </c>
      <c r="J31" s="2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2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2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2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O31" s="2" t="str">
        <f>_xlfn.LET(
    _xlpm.CSVVal, _xlfn.XLOOKUP($A31, CSV!$A:$A, CSV!AF:AF,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2" t="str" cm="1">
        <f t="array" ref="P31">IFERROR(_xlfn.LET(
_xlpm.CSVVal,_xlfn.XLOOKUP($A31,CSV!$A:$A,CSV!AG:AG,""),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2" t="str" cm="1">
        <f t="array" ref="Q31">IFERROR(_xlfn.LET(
_xlpm.CSVVal,_xlfn.XLOOKUP($A31,CSV!$A:$A,CSV!AH:AH,""),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X3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2" t="str">
        <f>_xlfn.TEXTJOIN("",TRUE,Input!$B$2,ROW(My_Audit!A31))</f>
        <v>XX31</v>
      </c>
      <c r="B32" s="2" t="str">
        <f>_xlfn.TEXTJOIN("-",TRUE,"ITD",Input!$A$2,A32)</f>
        <v>ITD-SHRXXX-XX31</v>
      </c>
      <c r="C32" s="2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2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2" t="str">
        <f>_xlfn.XLOOKUP(A32,My_Audit!A:A,My_Audit!D:D,"")&amp;""</f>
        <v/>
      </c>
      <c r="F32" s="2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2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2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2" t="str">
        <f>_xlfn.XLOOKUP(A32,Output_Mac!A:A,Output_Mac!I:I,"")</f>
        <v/>
      </c>
      <c r="J32" s="2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2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2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2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O32" s="2" t="str">
        <f>_xlfn.LET(
    _xlpm.CSVVal, _xlfn.XLOOKUP($A32, CSV!$A:$A, CSV!AF:AF,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2" t="str" cm="1">
        <f t="array" ref="P32">IFERROR(_xlfn.LET(
_xlpm.CSVVal,_xlfn.XLOOKUP($A32,CSV!$A:$A,CSV!AG:AG,""),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2" t="str" cm="1">
        <f t="array" ref="Q32">IFERROR(_xlfn.LET(
_xlpm.CSVVal,_xlfn.XLOOKUP($A32,CSV!$A:$A,CSV!AH:AH,""),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X32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2" t="str">
        <f>_xlfn.TEXTJOIN("",TRUE,Input!$B$2,ROW(My_Audit!A32))</f>
        <v>XX32</v>
      </c>
      <c r="B33" s="2" t="str">
        <f>_xlfn.TEXTJOIN("-",TRUE,"ITD",Input!$A$2,A33)</f>
        <v>ITD-SHRXXX-XX32</v>
      </c>
      <c r="C33" s="2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2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2" t="str">
        <f>_xlfn.XLOOKUP(A33,My_Audit!A:A,My_Audit!D:D,"")&amp;""</f>
        <v/>
      </c>
      <c r="F33" s="2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2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2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2" t="str">
        <f>_xlfn.XLOOKUP(A33,Output_Mac!A:A,Output_Mac!I:I,"")</f>
        <v/>
      </c>
      <c r="J33" s="2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2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2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2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O33" s="2" t="str">
        <f>_xlfn.LET(
    _xlpm.CSVVal, _xlfn.XLOOKUP($A33, CSV!$A:$A, CSV!AF:AF,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2" t="str" cm="1">
        <f t="array" ref="P33">IFERROR(_xlfn.LET(
_xlpm.CSVVal,_xlfn.XLOOKUP($A33,CSV!$A:$A,CSV!AG:AG,""),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2" t="str" cm="1">
        <f t="array" ref="Q33">IFERROR(_xlfn.LET(
_xlpm.CSVVal,_xlfn.XLOOKUP($A33,CSV!$A:$A,CSV!AH:AH,""),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X33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2" t="str">
        <f>_xlfn.TEXTJOIN("",TRUE,Input!$B$2,ROW(My_Audit!A33))</f>
        <v>XX33</v>
      </c>
      <c r="B34" s="2" t="str">
        <f>_xlfn.TEXTJOIN("-",TRUE,"ITD",Input!$A$2,A34)</f>
        <v>ITD-SHRXXX-XX33</v>
      </c>
      <c r="C34" s="2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2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2" t="str">
        <f>_xlfn.XLOOKUP(A34,My_Audit!A:A,My_Audit!D:D,"")&amp;""</f>
        <v/>
      </c>
      <c r="F34" s="2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2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2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2" t="str">
        <f>_xlfn.XLOOKUP(A34,Output_Mac!A:A,Output_Mac!I:I,"")</f>
        <v/>
      </c>
      <c r="J34" s="2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2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2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2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O34" s="2" t="str">
        <f>_xlfn.LET(
    _xlpm.CSVVal, _xlfn.XLOOKUP($A34, CSV!$A:$A, CSV!AF:AF,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2" t="str" cm="1">
        <f t="array" ref="P34">IFERROR(_xlfn.LET(
_xlpm.CSVVal,_xlfn.XLOOKUP($A34,CSV!$A:$A,CSV!AG:AG,""),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2" t="str" cm="1">
        <f t="array" ref="Q34">IFERROR(_xlfn.LET(
_xlpm.CSVVal,_xlfn.XLOOKUP($A34,CSV!$A:$A,CSV!AH:AH,""),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X34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2" t="str">
        <f>_xlfn.TEXTJOIN("",TRUE,Input!$B$2,ROW(My_Audit!A34))</f>
        <v>XX34</v>
      </c>
      <c r="B35" s="2" t="str">
        <f>_xlfn.TEXTJOIN("-",TRUE,"ITD",Input!$A$2,A35)</f>
        <v>ITD-SHRXXX-XX34</v>
      </c>
      <c r="C35" s="2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2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2" t="str">
        <f>_xlfn.XLOOKUP(A35,My_Audit!A:A,My_Audit!D:D,"")&amp;""</f>
        <v/>
      </c>
      <c r="F35" s="2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2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2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2" t="str">
        <f>_xlfn.XLOOKUP(A35,Output_Mac!A:A,Output_Mac!I:I,"")</f>
        <v/>
      </c>
      <c r="J35" s="2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2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2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2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O35" s="2" t="str">
        <f>_xlfn.LET(
    _xlpm.CSVVal, _xlfn.XLOOKUP($A35, CSV!$A:$A, CSV!AF:AF,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2" t="str" cm="1">
        <f t="array" ref="P35">IFERROR(_xlfn.LET(
_xlpm.CSVVal,_xlfn.XLOOKUP($A35,CSV!$A:$A,CSV!AG:AG,""),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2" t="str" cm="1">
        <f t="array" ref="Q35">IFERROR(_xlfn.LET(
_xlpm.CSVVal,_xlfn.XLOOKUP($A35,CSV!$A:$A,CSV!AH:AH,""),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X35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2" t="str">
        <f>_xlfn.TEXTJOIN("",TRUE,Input!$B$2,ROW(My_Audit!A35))</f>
        <v>XX35</v>
      </c>
      <c r="B36" s="2" t="str">
        <f>_xlfn.TEXTJOIN("-",TRUE,"ITD",Input!$A$2,A36)</f>
        <v>ITD-SHRXXX-XX35</v>
      </c>
      <c r="C36" s="2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2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2" t="str">
        <f>_xlfn.XLOOKUP(A36,My_Audit!A:A,My_Audit!D:D,"")&amp;""</f>
        <v/>
      </c>
      <c r="F36" s="2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2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2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2" t="str">
        <f>_xlfn.XLOOKUP(A36,Output_Mac!A:A,Output_Mac!I:I,"")</f>
        <v/>
      </c>
      <c r="J36" s="2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2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2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2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O36" s="2" t="str">
        <f>_xlfn.LET(
    _xlpm.CSVVal, _xlfn.XLOOKUP($A36, CSV!$A:$A, CSV!AF:AF,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2" t="str" cm="1">
        <f t="array" ref="P36">IFERROR(_xlfn.LET(
_xlpm.CSVVal,_xlfn.XLOOKUP($A36,CSV!$A:$A,CSV!AG:AG,""),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2" t="str" cm="1">
        <f t="array" ref="Q36">IFERROR(_xlfn.LET(
_xlpm.CSVVal,_xlfn.XLOOKUP($A36,CSV!$A:$A,CSV!AH:AH,""),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X36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2" t="str">
        <f>_xlfn.TEXTJOIN("",TRUE,Input!$B$2,ROW(My_Audit!A36))</f>
        <v>XX36</v>
      </c>
      <c r="B37" s="2" t="str">
        <f>_xlfn.TEXTJOIN("-",TRUE,"ITD",Input!$A$2,A37)</f>
        <v>ITD-SHRXXX-XX36</v>
      </c>
      <c r="C37" s="2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2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2" t="str">
        <f>_xlfn.XLOOKUP(A37,My_Audit!A:A,My_Audit!D:D,"")&amp;""</f>
        <v/>
      </c>
      <c r="F37" s="2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2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2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2" t="str">
        <f>_xlfn.XLOOKUP(A37,Output_Mac!A:A,Output_Mac!I:I,"")</f>
        <v/>
      </c>
      <c r="J37" s="2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2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2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2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O37" s="2" t="str">
        <f>_xlfn.LET(
    _xlpm.CSVVal, _xlfn.XLOOKUP($A37, CSV!$A:$A, CSV!AF:AF,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2" t="str" cm="1">
        <f t="array" ref="P37">IFERROR(_xlfn.LET(
_xlpm.CSVVal,_xlfn.XLOOKUP($A37,CSV!$A:$A,CSV!AG:AG,""),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2" t="str" cm="1">
        <f t="array" ref="Q37">IFERROR(_xlfn.LET(
_xlpm.CSVVal,_xlfn.XLOOKUP($A37,CSV!$A:$A,CSV!AH:AH,""),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X3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2" t="str">
        <f>_xlfn.TEXTJOIN("",TRUE,Input!$B$2,ROW(My_Audit!A37))</f>
        <v>XX37</v>
      </c>
      <c r="B38" s="2" t="str">
        <f>_xlfn.TEXTJOIN("-",TRUE,"ITD",Input!$A$2,A38)</f>
        <v>ITD-SHRXXX-XX37</v>
      </c>
      <c r="C38" s="2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2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2" t="str">
        <f>_xlfn.XLOOKUP(A38,My_Audit!A:A,My_Audit!D:D,"")&amp;""</f>
        <v/>
      </c>
      <c r="F38" s="2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2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2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2" t="str">
        <f>_xlfn.XLOOKUP(A38,Output_Mac!A:A,Output_Mac!I:I,"")</f>
        <v/>
      </c>
      <c r="J38" s="2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2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2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2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O38" s="2" t="str">
        <f>_xlfn.LET(
    _xlpm.CSVVal, _xlfn.XLOOKUP($A38, CSV!$A:$A, CSV!AF:AF,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2" t="str" cm="1">
        <f t="array" ref="P38">IFERROR(_xlfn.LET(
_xlpm.CSVVal,_xlfn.XLOOKUP($A38,CSV!$A:$A,CSV!AG:AG,""),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2" t="str" cm="1">
        <f t="array" ref="Q38">IFERROR(_xlfn.LET(
_xlpm.CSVVal,_xlfn.XLOOKUP($A38,CSV!$A:$A,CSV!AH:AH,""),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X38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2" t="str">
        <f>_xlfn.TEXTJOIN("",TRUE,Input!$B$2,ROW(My_Audit!A38))</f>
        <v>XX38</v>
      </c>
      <c r="B39" s="2" t="str">
        <f>_xlfn.TEXTJOIN("-",TRUE,"ITD",Input!$A$2,A39)</f>
        <v>ITD-SHRXXX-XX38</v>
      </c>
      <c r="C39" s="2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2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2" t="str">
        <f>_xlfn.XLOOKUP(A39,My_Audit!A:A,My_Audit!D:D,"")&amp;""</f>
        <v/>
      </c>
      <c r="F39" s="2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2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2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2" t="str">
        <f>_xlfn.XLOOKUP(A39,Output_Mac!A:A,Output_Mac!I:I,"")</f>
        <v/>
      </c>
      <c r="J39" s="2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2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2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2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O39" s="2" t="str">
        <f>_xlfn.LET(
    _xlpm.CSVVal, _xlfn.XLOOKUP($A39, CSV!$A:$A, CSV!AF:AF,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2" t="str" cm="1">
        <f t="array" ref="P39">IFERROR(_xlfn.LET(
_xlpm.CSVVal,_xlfn.XLOOKUP($A39,CSV!$A:$A,CSV!AG:AG,""),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2" t="str" cm="1">
        <f t="array" ref="Q39">IFERROR(_xlfn.LET(
_xlpm.CSVVal,_xlfn.XLOOKUP($A39,CSV!$A:$A,CSV!AH:AH,""),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X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2" t="str">
        <f>_xlfn.TEXTJOIN("",TRUE,Input!$B$2,ROW(My_Audit!A39))</f>
        <v>XX39</v>
      </c>
      <c r="B40" s="2" t="str">
        <f>_xlfn.TEXTJOIN("-",TRUE,"ITD",Input!$A$2,A40)</f>
        <v>ITD-SHRXXX-XX39</v>
      </c>
      <c r="C40" s="2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2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2" t="str">
        <f>_xlfn.XLOOKUP(A40,My_Audit!A:A,My_Audit!D:D,"")&amp;""</f>
        <v/>
      </c>
      <c r="F40" s="2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2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2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2" t="str">
        <f>_xlfn.XLOOKUP(A40,Output_Mac!A:A,Output_Mac!I:I,"")</f>
        <v/>
      </c>
      <c r="J40" s="2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2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2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2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O40" s="2" t="str">
        <f>_xlfn.LET(
    _xlpm.CSVVal, _xlfn.XLOOKUP($A40, CSV!$A:$A, CSV!AF:AF,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2" t="str" cm="1">
        <f t="array" ref="P40">IFERROR(_xlfn.LET(
_xlpm.CSVVal,_xlfn.XLOOKUP($A40,CSV!$A:$A,CSV!AG:AG,""),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2" t="str" cm="1">
        <f t="array" ref="Q40">IFERROR(_xlfn.LET(
_xlpm.CSVVal,_xlfn.XLOOKUP($A40,CSV!$A:$A,CSV!AH:AH,""),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X40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2" t="str">
        <f>_xlfn.TEXTJOIN("",TRUE,Input!$B$2,ROW(My_Audit!A40))</f>
        <v>XX40</v>
      </c>
      <c r="B41" s="2" t="str">
        <f>_xlfn.TEXTJOIN("-",TRUE,"ITD",Input!$A$2,A41)</f>
        <v>ITD-SHRXXX-XX40</v>
      </c>
      <c r="C41" s="2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2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2" t="str">
        <f>_xlfn.XLOOKUP(A41,My_Audit!A:A,My_Audit!D:D,"")&amp;""</f>
        <v/>
      </c>
      <c r="F41" s="2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2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2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2" t="str">
        <f>_xlfn.XLOOKUP(A41,Output_Mac!A:A,Output_Mac!I:I,"")</f>
        <v/>
      </c>
      <c r="J41" s="2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2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2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2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O41" s="2" t="str">
        <f>_xlfn.LET(
    _xlpm.CSVVal, _xlfn.XLOOKUP($A41, CSV!$A:$A, CSV!AF:AF,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2" t="str" cm="1">
        <f t="array" ref="P41">IFERROR(_xlfn.LET(
_xlpm.CSVVal,_xlfn.XLOOKUP($A41,CSV!$A:$A,CSV!AG:AG,""),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2" t="str" cm="1">
        <f t="array" ref="Q41">IFERROR(_xlfn.LET(
_xlpm.CSVVal,_xlfn.XLOOKUP($A41,CSV!$A:$A,CSV!AH:AH,""),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X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2" t="str">
        <f>_xlfn.TEXTJOIN("",TRUE,Input!$B$2,ROW(My_Audit!A41))</f>
        <v>XX41</v>
      </c>
      <c r="B42" s="2" t="str">
        <f>_xlfn.TEXTJOIN("-",TRUE,"ITD",Input!$A$2,A42)</f>
        <v>ITD-SHRXXX-XX41</v>
      </c>
      <c r="C42" s="2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2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2" t="str">
        <f>_xlfn.XLOOKUP(A42,My_Audit!A:A,My_Audit!D:D,"")&amp;""</f>
        <v/>
      </c>
      <c r="F42" s="2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2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2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2" t="str">
        <f>_xlfn.XLOOKUP(A42,Output_Mac!A:A,Output_Mac!I:I,"")</f>
        <v/>
      </c>
      <c r="J42" s="2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2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2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2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O42" s="2" t="str">
        <f>_xlfn.LET(
    _xlpm.CSVVal, _xlfn.XLOOKUP($A42, CSV!$A:$A, CSV!AF:AF,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2" t="str" cm="1">
        <f t="array" ref="P42">IFERROR(_xlfn.LET(
_xlpm.CSVVal,_xlfn.XLOOKUP($A42,CSV!$A:$A,CSV!AG:AG,""),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2" t="str" cm="1">
        <f t="array" ref="Q42">IFERROR(_xlfn.LET(
_xlpm.CSVVal,_xlfn.XLOOKUP($A42,CSV!$A:$A,CSV!AH:AH,""),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X42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2" t="str">
        <f>_xlfn.TEXTJOIN("",TRUE,Input!$B$2,ROW(My_Audit!A42))</f>
        <v>XX42</v>
      </c>
      <c r="B43" s="2" t="str">
        <f>_xlfn.TEXTJOIN("-",TRUE,"ITD",Input!$A$2,A43)</f>
        <v>ITD-SHRXXX-XX42</v>
      </c>
      <c r="C43" s="2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2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2" t="str">
        <f>_xlfn.XLOOKUP(A43,My_Audit!A:A,My_Audit!D:D,"")&amp;""</f>
        <v/>
      </c>
      <c r="F43" s="2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2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2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2" t="str">
        <f>_xlfn.XLOOKUP(A43,Output_Mac!A:A,Output_Mac!I:I,"")</f>
        <v/>
      </c>
      <c r="J43" s="2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2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2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2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O43" s="2" t="str">
        <f>_xlfn.LET(
    _xlpm.CSVVal, _xlfn.XLOOKUP($A43, CSV!$A:$A, CSV!AF:AF,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2" t="str" cm="1">
        <f t="array" ref="P43">IFERROR(_xlfn.LET(
_xlpm.CSVVal,_xlfn.XLOOKUP($A43,CSV!$A:$A,CSV!AG:AG,""),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2" t="str" cm="1">
        <f t="array" ref="Q43">IFERROR(_xlfn.LET(
_xlpm.CSVVal,_xlfn.XLOOKUP($A43,CSV!$A:$A,CSV!AH:AH,""),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X43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2" t="str">
        <f>_xlfn.TEXTJOIN("",TRUE,Input!$B$2,ROW(My_Audit!A43))</f>
        <v>XX43</v>
      </c>
      <c r="B44" s="2" t="str">
        <f>_xlfn.TEXTJOIN("-",TRUE,"ITD",Input!$A$2,A44)</f>
        <v>ITD-SHRXXX-XX43</v>
      </c>
      <c r="C44" s="2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2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2" t="str">
        <f>_xlfn.XLOOKUP(A44,My_Audit!A:A,My_Audit!D:D,"")&amp;""</f>
        <v/>
      </c>
      <c r="F44" s="2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2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2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2" t="str">
        <f>_xlfn.XLOOKUP(A44,Output_Mac!A:A,Output_Mac!I:I,"")</f>
        <v/>
      </c>
      <c r="J44" s="2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2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2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2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O44" s="2" t="str">
        <f>_xlfn.LET(
    _xlpm.CSVVal, _xlfn.XLOOKUP($A44, CSV!$A:$A, CSV!AF:AF,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2" t="str" cm="1">
        <f t="array" ref="P44">IFERROR(_xlfn.LET(
_xlpm.CSVVal,_xlfn.XLOOKUP($A44,CSV!$A:$A,CSV!AG:AG,""),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2" t="str" cm="1">
        <f t="array" ref="Q44">IFERROR(_xlfn.LET(
_xlpm.CSVVal,_xlfn.XLOOKUP($A44,CSV!$A:$A,CSV!AH:AH,""),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X44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2" t="str">
        <f>_xlfn.TEXTJOIN("",TRUE,Input!$B$2,ROW(My_Audit!A44))</f>
        <v>XX44</v>
      </c>
      <c r="B45" s="2" t="str">
        <f>_xlfn.TEXTJOIN("-",TRUE,"ITD",Input!$A$2,A45)</f>
        <v>ITD-SHRXXX-XX44</v>
      </c>
      <c r="C45" s="2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2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2" t="str">
        <f>_xlfn.XLOOKUP(A45,My_Audit!A:A,My_Audit!D:D,"")&amp;""</f>
        <v/>
      </c>
      <c r="F45" s="2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2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2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2" t="str">
        <f>_xlfn.XLOOKUP(A45,Output_Mac!A:A,Output_Mac!I:I,"")</f>
        <v/>
      </c>
      <c r="J45" s="2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2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2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2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O45" s="2" t="str">
        <f>_xlfn.LET(
    _xlpm.CSVVal, _xlfn.XLOOKUP($A45, CSV!$A:$A, CSV!AF:AF,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2" t="str" cm="1">
        <f t="array" ref="P45">IFERROR(_xlfn.LET(
_xlpm.CSVVal,_xlfn.XLOOKUP($A45,CSV!$A:$A,CSV!AG:AG,""),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2" t="str" cm="1">
        <f t="array" ref="Q45">IFERROR(_xlfn.LET(
_xlpm.CSVVal,_xlfn.XLOOKUP($A45,CSV!$A:$A,CSV!AH:AH,""),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X45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2" t="str">
        <f>_xlfn.TEXTJOIN("",TRUE,Input!$B$2,ROW(My_Audit!A45))</f>
        <v>XX45</v>
      </c>
      <c r="B46" s="2" t="str">
        <f>_xlfn.TEXTJOIN("-",TRUE,"ITD",Input!$A$2,A46)</f>
        <v>ITD-SHRXXX-XX45</v>
      </c>
      <c r="C46" s="2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2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2" t="str">
        <f>_xlfn.XLOOKUP(A46,My_Audit!A:A,My_Audit!D:D,"")&amp;""</f>
        <v/>
      </c>
      <c r="F46" s="2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2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2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2" t="str">
        <f>_xlfn.XLOOKUP(A46,Output_Mac!A:A,Output_Mac!I:I,"")</f>
        <v/>
      </c>
      <c r="J46" s="2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2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2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2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O46" s="2" t="str">
        <f>_xlfn.LET(
    _xlpm.CSVVal, _xlfn.XLOOKUP($A46, CSV!$A:$A, CSV!AF:AF,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2" t="str" cm="1">
        <f t="array" ref="P46">IFERROR(_xlfn.LET(
_xlpm.CSVVal,_xlfn.XLOOKUP($A46,CSV!$A:$A,CSV!AG:AG,""),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2" t="str" cm="1">
        <f t="array" ref="Q46">IFERROR(_xlfn.LET(
_xlpm.CSVVal,_xlfn.XLOOKUP($A46,CSV!$A:$A,CSV!AH:AH,""),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X46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2" t="str">
        <f>_xlfn.TEXTJOIN("",TRUE,Input!$B$2,ROW(My_Audit!A46))</f>
        <v>XX46</v>
      </c>
      <c r="B47" s="2" t="str">
        <f>_xlfn.TEXTJOIN("-",TRUE,"ITD",Input!$A$2,A47)</f>
        <v>ITD-SHRXXX-XX46</v>
      </c>
      <c r="C47" s="2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2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2" t="str">
        <f>_xlfn.XLOOKUP(A47,My_Audit!A:A,My_Audit!D:D,"")&amp;""</f>
        <v/>
      </c>
      <c r="F47" s="2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2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2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2" t="str">
        <f>_xlfn.XLOOKUP(A47,Output_Mac!A:A,Output_Mac!I:I,"")</f>
        <v/>
      </c>
      <c r="J47" s="2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2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2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2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O47" s="2" t="str">
        <f>_xlfn.LET(
    _xlpm.CSVVal, _xlfn.XLOOKUP($A47, CSV!$A:$A, CSV!AF:AF,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2" t="str" cm="1">
        <f t="array" ref="P47">IFERROR(_xlfn.LET(
_xlpm.CSVVal,_xlfn.XLOOKUP($A47,CSV!$A:$A,CSV!AG:AG,""),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2" t="str" cm="1">
        <f t="array" ref="Q47">IFERROR(_xlfn.LET(
_xlpm.CSVVal,_xlfn.XLOOKUP($A47,CSV!$A:$A,CSV!AH:AH,""),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X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2" t="str">
        <f>_xlfn.TEXTJOIN("",TRUE,Input!$B$2,ROW(My_Audit!A47))</f>
        <v>XX47</v>
      </c>
      <c r="B48" s="2" t="str">
        <f>_xlfn.TEXTJOIN("-",TRUE,"ITD",Input!$A$2,A48)</f>
        <v>ITD-SHRXXX-XX47</v>
      </c>
      <c r="C48" s="2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2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2" t="str">
        <f>_xlfn.XLOOKUP(A48,My_Audit!A:A,My_Audit!D:D,"")&amp;""</f>
        <v/>
      </c>
      <c r="F48" s="2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2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2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2" t="str">
        <f>_xlfn.XLOOKUP(A48,Output_Mac!A:A,Output_Mac!I:I,"")</f>
        <v/>
      </c>
      <c r="J48" s="2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2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2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2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O48" s="2" t="str">
        <f>_xlfn.LET(
    _xlpm.CSVVal, _xlfn.XLOOKUP($A48, CSV!$A:$A, CSV!AF:AF,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2" t="str" cm="1">
        <f t="array" ref="P48">IFERROR(_xlfn.LET(
_xlpm.CSVVal,_xlfn.XLOOKUP($A48,CSV!$A:$A,CSV!AG:AG,""),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2" t="str" cm="1">
        <f t="array" ref="Q48">IFERROR(_xlfn.LET(
_xlpm.CSVVal,_xlfn.XLOOKUP($A48,CSV!$A:$A,CSV!AH:AH,""),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X48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2" t="str">
        <f>_xlfn.TEXTJOIN("",TRUE,Input!$B$2,ROW(My_Audit!A48))</f>
        <v>XX48</v>
      </c>
      <c r="B49" s="2" t="str">
        <f>_xlfn.TEXTJOIN("-",TRUE,"ITD",Input!$A$2,A49)</f>
        <v>ITD-SHRXXX-XX48</v>
      </c>
      <c r="C49" s="2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2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2" t="str">
        <f>_xlfn.XLOOKUP(A49,My_Audit!A:A,My_Audit!D:D,"")&amp;""</f>
        <v/>
      </c>
      <c r="F49" s="2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2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2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2" t="str">
        <f>_xlfn.XLOOKUP(A49,Output_Mac!A:A,Output_Mac!I:I,"")</f>
        <v/>
      </c>
      <c r="J49" s="2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2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2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2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O49" s="2" t="str">
        <f>_xlfn.LET(
    _xlpm.CSVVal, _xlfn.XLOOKUP($A49, CSV!$A:$A, CSV!AF:AF,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2" t="str" cm="1">
        <f t="array" ref="P49">IFERROR(_xlfn.LET(
_xlpm.CSVVal,_xlfn.XLOOKUP($A49,CSV!$A:$A,CSV!AG:AG,""),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2" t="str" cm="1">
        <f t="array" ref="Q49">IFERROR(_xlfn.LET(
_xlpm.CSVVal,_xlfn.XLOOKUP($A49,CSV!$A:$A,CSV!AH:AH,""),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X4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2" t="str">
        <f>_xlfn.TEXTJOIN("",TRUE,Input!$B$2,ROW(My_Audit!A49))</f>
        <v>XX49</v>
      </c>
      <c r="B50" s="2" t="str">
        <f>_xlfn.TEXTJOIN("-",TRUE,"ITD",Input!$A$2,A50)</f>
        <v>ITD-SHRXXX-XX49</v>
      </c>
      <c r="C50" s="2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2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2" t="str">
        <f>_xlfn.XLOOKUP(A50,My_Audit!A:A,My_Audit!D:D,"")&amp;""</f>
        <v/>
      </c>
      <c r="F50" s="2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2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2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2" t="str">
        <f>_xlfn.XLOOKUP(A50,Output_Mac!A:A,Output_Mac!I:I,"")</f>
        <v/>
      </c>
      <c r="J50" s="2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2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2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2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O50" s="2" t="str">
        <f>_xlfn.LET(
    _xlpm.CSVVal, _xlfn.XLOOKUP($A50, CSV!$A:$A, CSV!AF:AF,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2" t="str" cm="1">
        <f t="array" ref="P50">IFERROR(_xlfn.LET(
_xlpm.CSVVal,_xlfn.XLOOKUP($A50,CSV!$A:$A,CSV!AG:AG,""),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2" t="str" cm="1">
        <f t="array" ref="Q50">IFERROR(_xlfn.LET(
_xlpm.CSVVal,_xlfn.XLOOKUP($A50,CSV!$A:$A,CSV!AH:AH,""),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X50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2" t="str">
        <f>_xlfn.TEXTJOIN("",TRUE,Input!$B$2,ROW(My_Audit!A50))</f>
        <v>XX50</v>
      </c>
      <c r="B51" s="2" t="str">
        <f>_xlfn.TEXTJOIN("-",TRUE,"ITD",Input!$A$2,A51)</f>
        <v>ITD-SHRXXX-XX50</v>
      </c>
      <c r="C51" s="2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2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2" t="str">
        <f>_xlfn.XLOOKUP(A51,My_Audit!A:A,My_Audit!D:D,"")&amp;""</f>
        <v/>
      </c>
      <c r="F51" s="2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2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2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2" t="str">
        <f>_xlfn.XLOOKUP(A51,Output_Mac!A:A,Output_Mac!I:I,"")</f>
        <v/>
      </c>
      <c r="J51" s="2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2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2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2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O51" s="2" t="str">
        <f>_xlfn.LET(
    _xlpm.CSVVal, _xlfn.XLOOKUP($A51, CSV!$A:$A, CSV!AF:AF,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2" t="str" cm="1">
        <f t="array" ref="P51">IFERROR(_xlfn.LET(
_xlpm.CSVVal,_xlfn.XLOOKUP($A51,CSV!$A:$A,CSV!AG:AG,""),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2" t="str" cm="1">
        <f t="array" ref="Q51">IFERROR(_xlfn.LET(
_xlpm.CSVVal,_xlfn.XLOOKUP($A51,CSV!$A:$A,CSV!AH:AH,""),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X5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2" t="str">
        <f>_xlfn.TEXTJOIN("",TRUE,Input!$B$2,ROW(My_Audit!A51))</f>
        <v>XX51</v>
      </c>
      <c r="B52" s="2" t="str">
        <f>_xlfn.TEXTJOIN("-",TRUE,"ITD",Input!$A$2,A52)</f>
        <v>ITD-SHRXXX-XX51</v>
      </c>
      <c r="C52" s="2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2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2" t="str">
        <f>_xlfn.XLOOKUP(A52,My_Audit!A:A,My_Audit!D:D,"")&amp;""</f>
        <v/>
      </c>
      <c r="F52" s="2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2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2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2" t="str">
        <f>_xlfn.XLOOKUP(A52,Output_Mac!A:A,Output_Mac!I:I,"")</f>
        <v/>
      </c>
      <c r="J52" s="2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2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2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2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O52" s="2" t="str">
        <f>_xlfn.LET(
    _xlpm.CSVVal, _xlfn.XLOOKUP($A52, CSV!$A:$A, CSV!AF:AF,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2" t="str" cm="1">
        <f t="array" ref="P52">IFERROR(_xlfn.LET(
_xlpm.CSVVal,_xlfn.XLOOKUP($A52,CSV!$A:$A,CSV!AG:AG,""),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2" t="str" cm="1">
        <f t="array" ref="Q52">IFERROR(_xlfn.LET(
_xlpm.CSVVal,_xlfn.XLOOKUP($A52,CSV!$A:$A,CSV!AH:AH,""),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X52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2" t="str">
        <f>_xlfn.TEXTJOIN("",TRUE,Input!$B$2,ROW(My_Audit!A52))</f>
        <v>XX52</v>
      </c>
      <c r="B53" s="2" t="str">
        <f>_xlfn.TEXTJOIN("-",TRUE,"ITD",Input!$A$2,A53)</f>
        <v>ITD-SHRXXX-XX52</v>
      </c>
      <c r="C53" s="2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2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2" t="str">
        <f>_xlfn.XLOOKUP(A53,My_Audit!A:A,My_Audit!D:D,"")&amp;""</f>
        <v/>
      </c>
      <c r="F53" s="2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2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2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2" t="str">
        <f>_xlfn.XLOOKUP(A53,Output_Mac!A:A,Output_Mac!I:I,"")</f>
        <v/>
      </c>
      <c r="J53" s="2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2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2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2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O53" s="2" t="str">
        <f>_xlfn.LET(
    _xlpm.CSVVal, _xlfn.XLOOKUP($A53, CSV!$A:$A, CSV!AF:AF,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2" t="str" cm="1">
        <f t="array" ref="P53">IFERROR(_xlfn.LET(
_xlpm.CSVVal,_xlfn.XLOOKUP($A53,CSV!$A:$A,CSV!AG:AG,""),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2" t="str" cm="1">
        <f t="array" ref="Q53">IFERROR(_xlfn.LET(
_xlpm.CSVVal,_xlfn.XLOOKUP($A53,CSV!$A:$A,CSV!AH:AH,""),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X53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2" t="str">
        <f>_xlfn.TEXTJOIN("",TRUE,Input!$B$2,ROW(My_Audit!A53))</f>
        <v>XX53</v>
      </c>
      <c r="B54" s="2" t="str">
        <f>_xlfn.TEXTJOIN("-",TRUE,"ITD",Input!$A$2,A54)</f>
        <v>ITD-SHRXXX-XX53</v>
      </c>
      <c r="C54" s="2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2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2" t="str">
        <f>_xlfn.XLOOKUP(A54,My_Audit!A:A,My_Audit!D:D,"")&amp;""</f>
        <v/>
      </c>
      <c r="F54" s="2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2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2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2" t="str">
        <f>_xlfn.XLOOKUP(A54,Output_Mac!A:A,Output_Mac!I:I,"")</f>
        <v/>
      </c>
      <c r="J54" s="2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2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2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2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O54" s="2" t="str">
        <f>_xlfn.LET(
    _xlpm.CSVVal, _xlfn.XLOOKUP($A54, CSV!$A:$A, CSV!AF:AF,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2" t="str" cm="1">
        <f t="array" ref="P54">IFERROR(_xlfn.LET(
_xlpm.CSVVal,_xlfn.XLOOKUP($A54,CSV!$A:$A,CSV!AG:AG,""),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2" t="str" cm="1">
        <f t="array" ref="Q54">IFERROR(_xlfn.LET(
_xlpm.CSVVal,_xlfn.XLOOKUP($A54,CSV!$A:$A,CSV!AH:AH,""),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X54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2" t="str">
        <f>_xlfn.TEXTJOIN("",TRUE,Input!$B$2,ROW(My_Audit!A54))</f>
        <v>XX54</v>
      </c>
      <c r="B55" s="2" t="str">
        <f>_xlfn.TEXTJOIN("-",TRUE,"ITD",Input!$A$2,A55)</f>
        <v>ITD-SHRXXX-XX54</v>
      </c>
      <c r="C55" s="2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2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2" t="str">
        <f>_xlfn.XLOOKUP(A55,My_Audit!A:A,My_Audit!D:D,"")&amp;""</f>
        <v/>
      </c>
      <c r="F55" s="2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2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2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2" t="str">
        <f>_xlfn.XLOOKUP(A55,Output_Mac!A:A,Output_Mac!I:I,"")</f>
        <v/>
      </c>
      <c r="J55" s="2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2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2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2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O55" s="2" t="str">
        <f>_xlfn.LET(
    _xlpm.CSVVal, _xlfn.XLOOKUP($A55, CSV!$A:$A, CSV!AF:AF,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2" t="str" cm="1">
        <f t="array" ref="P55">IFERROR(_xlfn.LET(
_xlpm.CSVVal,_xlfn.XLOOKUP($A55,CSV!$A:$A,CSV!AG:AG,""),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2" t="str" cm="1">
        <f t="array" ref="Q55">IFERROR(_xlfn.LET(
_xlpm.CSVVal,_xlfn.XLOOKUP($A55,CSV!$A:$A,CSV!AH:AH,""),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X55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2" t="str">
        <f>_xlfn.TEXTJOIN("",TRUE,Input!$B$2,ROW(My_Audit!A55))</f>
        <v>XX55</v>
      </c>
      <c r="B56" s="2" t="str">
        <f>_xlfn.TEXTJOIN("-",TRUE,"ITD",Input!$A$2,A56)</f>
        <v>ITD-SHRXXX-XX55</v>
      </c>
      <c r="C56" s="2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2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2" t="str">
        <f>_xlfn.XLOOKUP(A56,My_Audit!A:A,My_Audit!D:D,"")&amp;""</f>
        <v/>
      </c>
      <c r="F56" s="2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2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2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2" t="str">
        <f>_xlfn.XLOOKUP(A56,Output_Mac!A:A,Output_Mac!I:I,"")</f>
        <v/>
      </c>
      <c r="J56" s="2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2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2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2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O56" s="2" t="str">
        <f>_xlfn.LET(
    _xlpm.CSVVal, _xlfn.XLOOKUP($A56, CSV!$A:$A, CSV!AF:AF,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2" t="str" cm="1">
        <f t="array" ref="P56">IFERROR(_xlfn.LET(
_xlpm.CSVVal,_xlfn.XLOOKUP($A56,CSV!$A:$A,CSV!AG:AG,""),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2" t="str" cm="1">
        <f t="array" ref="Q56">IFERROR(_xlfn.LET(
_xlpm.CSVVal,_xlfn.XLOOKUP($A56,CSV!$A:$A,CSV!AH:AH,""),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X56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2" t="str">
        <f>_xlfn.TEXTJOIN("",TRUE,Input!$B$2,ROW(My_Audit!A56))</f>
        <v>XX56</v>
      </c>
      <c r="B57" s="2" t="str">
        <f>_xlfn.TEXTJOIN("-",TRUE,"ITD",Input!$A$2,A57)</f>
        <v>ITD-SHRXXX-XX56</v>
      </c>
      <c r="C57" s="2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2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2" t="str">
        <f>_xlfn.XLOOKUP(A57,My_Audit!A:A,My_Audit!D:D,"")&amp;""</f>
        <v/>
      </c>
      <c r="F57" s="2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2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2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2" t="str">
        <f>_xlfn.XLOOKUP(A57,Output_Mac!A:A,Output_Mac!I:I,"")</f>
        <v/>
      </c>
      <c r="J57" s="2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2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2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2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O57" s="2" t="str">
        <f>_xlfn.LET(
    _xlpm.CSVVal, _xlfn.XLOOKUP($A57, CSV!$A:$A, CSV!AF:AF,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2" t="str" cm="1">
        <f t="array" ref="P57">IFERROR(_xlfn.LET(
_xlpm.CSVVal,_xlfn.XLOOKUP($A57,CSV!$A:$A,CSV!AG:AG,""),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2" t="str" cm="1">
        <f t="array" ref="Q57">IFERROR(_xlfn.LET(
_xlpm.CSVVal,_xlfn.XLOOKUP($A57,CSV!$A:$A,CSV!AH:AH,""),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X5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2" t="str">
        <f>_xlfn.TEXTJOIN("",TRUE,Input!$B$2,ROW(My_Audit!A57))</f>
        <v>XX57</v>
      </c>
      <c r="B58" s="2" t="str">
        <f>_xlfn.TEXTJOIN("-",TRUE,"ITD",Input!$A$2,A58)</f>
        <v>ITD-SHRXXX-XX57</v>
      </c>
      <c r="C58" s="2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2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2" t="str">
        <f>_xlfn.XLOOKUP(A58,My_Audit!A:A,My_Audit!D:D,"")&amp;""</f>
        <v/>
      </c>
      <c r="F58" s="2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2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2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2" t="str">
        <f>_xlfn.XLOOKUP(A58,Output_Mac!A:A,Output_Mac!I:I,"")</f>
        <v/>
      </c>
      <c r="J58" s="2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2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2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2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O58" s="2" t="str">
        <f>_xlfn.LET(
    _xlpm.CSVVal, _xlfn.XLOOKUP($A58, CSV!$A:$A, CSV!AF:AF,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2" t="str" cm="1">
        <f t="array" ref="P58">IFERROR(_xlfn.LET(
_xlpm.CSVVal,_xlfn.XLOOKUP($A58,CSV!$A:$A,CSV!AG:AG,""),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2" t="str" cm="1">
        <f t="array" ref="Q58">IFERROR(_xlfn.LET(
_xlpm.CSVVal,_xlfn.XLOOKUP($A58,CSV!$A:$A,CSV!AH:AH,""),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X58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2" t="str">
        <f>_xlfn.TEXTJOIN("",TRUE,Input!$B$2,ROW(My_Audit!A58))</f>
        <v>XX58</v>
      </c>
      <c r="B59" s="2" t="str">
        <f>_xlfn.TEXTJOIN("-",TRUE,"ITD",Input!$A$2,A59)</f>
        <v>ITD-SHRXXX-XX58</v>
      </c>
      <c r="C59" s="2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2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2" t="str">
        <f>_xlfn.XLOOKUP(A59,My_Audit!A:A,My_Audit!D:D,"")&amp;""</f>
        <v/>
      </c>
      <c r="F59" s="2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2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2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2" t="str">
        <f>_xlfn.XLOOKUP(A59,Output_Mac!A:A,Output_Mac!I:I,"")</f>
        <v/>
      </c>
      <c r="J59" s="2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2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2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2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O59" s="2" t="str">
        <f>_xlfn.LET(
    _xlpm.CSVVal, _xlfn.XLOOKUP($A59, CSV!$A:$A, CSV!AF:AF,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2" t="str" cm="1">
        <f t="array" ref="P59">IFERROR(_xlfn.LET(
_xlpm.CSVVal,_xlfn.XLOOKUP($A59,CSV!$A:$A,CSV!AG:AG,""),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2" t="str" cm="1">
        <f t="array" ref="Q59">IFERROR(_xlfn.LET(
_xlpm.CSVVal,_xlfn.XLOOKUP($A59,CSV!$A:$A,CSV!AH:AH,""),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X5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2" t="str">
        <f>_xlfn.TEXTJOIN("",TRUE,Input!$B$2,ROW(My_Audit!A59))</f>
        <v>XX59</v>
      </c>
      <c r="B60" s="2" t="str">
        <f>_xlfn.TEXTJOIN("-",TRUE,"ITD",Input!$A$2,A60)</f>
        <v>ITD-SHRXXX-XX59</v>
      </c>
      <c r="C60" s="2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2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2" t="str">
        <f>_xlfn.XLOOKUP(A60,My_Audit!A:A,My_Audit!D:D,"")&amp;""</f>
        <v/>
      </c>
      <c r="F60" s="2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2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2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2" t="str">
        <f>_xlfn.XLOOKUP(A60,Output_Mac!A:A,Output_Mac!I:I,"")</f>
        <v/>
      </c>
      <c r="J60" s="2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2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2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2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O60" s="2" t="str">
        <f>_xlfn.LET(
    _xlpm.CSVVal, _xlfn.XLOOKUP($A60, CSV!$A:$A, CSV!AF:AF,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2" t="str" cm="1">
        <f t="array" ref="P60">IFERROR(_xlfn.LET(
_xlpm.CSVVal,_xlfn.XLOOKUP($A60,CSV!$A:$A,CSV!AG:AG,""),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2" t="str" cm="1">
        <f t="array" ref="Q60">IFERROR(_xlfn.LET(
_xlpm.CSVVal,_xlfn.XLOOKUP($A60,CSV!$A:$A,CSV!AH:AH,""),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X60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2" t="str">
        <f>_xlfn.TEXTJOIN("",TRUE,Input!$B$2,ROW(My_Audit!A60))</f>
        <v>XX60</v>
      </c>
      <c r="B61" s="2" t="str">
        <f>_xlfn.TEXTJOIN("-",TRUE,"ITD",Input!$A$2,A61)</f>
        <v>ITD-SHRXXX-XX60</v>
      </c>
      <c r="C61" s="2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2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2" t="str">
        <f>_xlfn.XLOOKUP(A61,My_Audit!A:A,My_Audit!D:D,"")&amp;""</f>
        <v/>
      </c>
      <c r="F61" s="2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2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2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2" t="str">
        <f>_xlfn.XLOOKUP(A61,Output_Mac!A:A,Output_Mac!I:I,"")</f>
        <v/>
      </c>
      <c r="J61" s="2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2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2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2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O61" s="2" t="str">
        <f>_xlfn.LET(
    _xlpm.CSVVal, _xlfn.XLOOKUP($A61, CSV!$A:$A, CSV!AF:AF,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2" t="str" cm="1">
        <f t="array" ref="P61">IFERROR(_xlfn.LET(
_xlpm.CSVVal,_xlfn.XLOOKUP($A61,CSV!$A:$A,CSV!AG:AG,""),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2" t="str" cm="1">
        <f t="array" ref="Q61">IFERROR(_xlfn.LET(
_xlpm.CSVVal,_xlfn.XLOOKUP($A61,CSV!$A:$A,CSV!AH:AH,""),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X6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2" t="str">
        <f>_xlfn.TEXTJOIN("",TRUE,Input!$B$2,ROW(My_Audit!A61))</f>
        <v>XX61</v>
      </c>
      <c r="B62" s="2" t="str">
        <f>_xlfn.TEXTJOIN("-",TRUE,"ITD",Input!$A$2,A62)</f>
        <v>ITD-SHRXXX-XX61</v>
      </c>
      <c r="C62" s="2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2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2" t="str">
        <f>_xlfn.XLOOKUP(A62,My_Audit!A:A,My_Audit!D:D,"")&amp;""</f>
        <v/>
      </c>
      <c r="F62" s="2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2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2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2" t="str">
        <f>_xlfn.XLOOKUP(A62,Output_Mac!A:A,Output_Mac!I:I,"")</f>
        <v/>
      </c>
      <c r="J62" s="2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2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2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2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O62" s="2" t="str">
        <f>_xlfn.LET(
    _xlpm.CSVVal, _xlfn.XLOOKUP($A62, CSV!$A:$A, CSV!AF:AF,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2" t="str" cm="1">
        <f t="array" ref="P62">IFERROR(_xlfn.LET(
_xlpm.CSVVal,_xlfn.XLOOKUP($A62,CSV!$A:$A,CSV!AG:AG,""),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2" t="str" cm="1">
        <f t="array" ref="Q62">IFERROR(_xlfn.LET(
_xlpm.CSVVal,_xlfn.XLOOKUP($A62,CSV!$A:$A,CSV!AH:AH,""),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X62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2" t="str">
        <f>_xlfn.TEXTJOIN("",TRUE,Input!$B$2,ROW(My_Audit!A62))</f>
        <v>XX62</v>
      </c>
      <c r="B63" s="2" t="str">
        <f>_xlfn.TEXTJOIN("-",TRUE,"ITD",Input!$A$2,A63)</f>
        <v>ITD-SHRXXX-XX62</v>
      </c>
      <c r="C63" s="2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2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2" t="str">
        <f>_xlfn.XLOOKUP(A63,My_Audit!A:A,My_Audit!D:D,"")&amp;""</f>
        <v/>
      </c>
      <c r="F63" s="2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2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2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2" t="str">
        <f>_xlfn.XLOOKUP(A63,Output_Mac!A:A,Output_Mac!I:I,"")</f>
        <v/>
      </c>
      <c r="J63" s="2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2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2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2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O63" s="2" t="str">
        <f>_xlfn.LET(
    _xlpm.CSVVal, _xlfn.XLOOKUP($A63, CSV!$A:$A, CSV!AF:AF,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2" t="str" cm="1">
        <f t="array" ref="P63">IFERROR(_xlfn.LET(
_xlpm.CSVVal,_xlfn.XLOOKUP($A63,CSV!$A:$A,CSV!AG:AG,""),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2" t="str" cm="1">
        <f t="array" ref="Q63">IFERROR(_xlfn.LET(
_xlpm.CSVVal,_xlfn.XLOOKUP($A63,CSV!$A:$A,CSV!AH:AH,""),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X63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2" t="str">
        <f>_xlfn.TEXTJOIN("",TRUE,Input!$B$2,ROW(My_Audit!A63))</f>
        <v>XX63</v>
      </c>
      <c r="B64" s="2" t="str">
        <f>_xlfn.TEXTJOIN("-",TRUE,"ITD",Input!$A$2,A64)</f>
        <v>ITD-SHRXXX-XX63</v>
      </c>
      <c r="C64" s="2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2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2" t="str">
        <f>_xlfn.XLOOKUP(A64,My_Audit!A:A,My_Audit!D:D,"")&amp;""</f>
        <v/>
      </c>
      <c r="F64" s="2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2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2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2" t="str">
        <f>_xlfn.XLOOKUP(A64,Output_Mac!A:A,Output_Mac!I:I,"")</f>
        <v/>
      </c>
      <c r="J64" s="2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2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2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2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O64" s="2" t="str">
        <f>_xlfn.LET(
    _xlpm.CSVVal, _xlfn.XLOOKUP($A64, CSV!$A:$A, CSV!AF:AF,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2" t="str" cm="1">
        <f t="array" ref="P64">IFERROR(_xlfn.LET(
_xlpm.CSVVal,_xlfn.XLOOKUP($A64,CSV!$A:$A,CSV!AG:AG,""),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2" t="str" cm="1">
        <f t="array" ref="Q64">IFERROR(_xlfn.LET(
_xlpm.CSVVal,_xlfn.XLOOKUP($A64,CSV!$A:$A,CSV!AH:AH,""),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X64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2" t="str">
        <f>_xlfn.TEXTJOIN("",TRUE,Input!$B$2,ROW(My_Audit!A64))</f>
        <v>XX64</v>
      </c>
      <c r="B65" s="2" t="str">
        <f>_xlfn.TEXTJOIN("-",TRUE,"ITD",Input!$A$2,A65)</f>
        <v>ITD-SHRXXX-XX64</v>
      </c>
      <c r="C65" s="2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2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2" t="str">
        <f>_xlfn.XLOOKUP(A65,My_Audit!A:A,My_Audit!D:D,"")&amp;""</f>
        <v/>
      </c>
      <c r="F65" s="2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2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2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2" t="str">
        <f>_xlfn.XLOOKUP(A65,Output_Mac!A:A,Output_Mac!I:I,"")</f>
        <v/>
      </c>
      <c r="J65" s="2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2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2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2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O65" s="2" t="str">
        <f>_xlfn.LET(
    _xlpm.CSVVal, _xlfn.XLOOKUP($A65, CSV!$A:$A, CSV!AF:AF,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2" t="str" cm="1">
        <f t="array" ref="P65">IFERROR(_xlfn.LET(
_xlpm.CSVVal,_xlfn.XLOOKUP($A65,CSV!$A:$A,CSV!AG:AG,""),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2" t="str" cm="1">
        <f t="array" ref="Q65">IFERROR(_xlfn.LET(
_xlpm.CSVVal,_xlfn.XLOOKUP($A65,CSV!$A:$A,CSV!AH:AH,""),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X65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2" t="str">
        <f>_xlfn.TEXTJOIN("",TRUE,Input!$B$2,ROW(My_Audit!A65))</f>
        <v>XX65</v>
      </c>
      <c r="B66" s="2" t="str">
        <f>_xlfn.TEXTJOIN("-",TRUE,"ITD",Input!$A$2,A66)</f>
        <v>ITD-SHRXXX-XX65</v>
      </c>
      <c r="C66" s="2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2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2" t="str">
        <f>_xlfn.XLOOKUP(A66,My_Audit!A:A,My_Audit!D:D,"")&amp;""</f>
        <v/>
      </c>
      <c r="F66" s="2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2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2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2" t="str">
        <f>_xlfn.XLOOKUP(A66,Output_Mac!A:A,Output_Mac!I:I,"")</f>
        <v/>
      </c>
      <c r="J66" s="2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2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2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2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O66" s="2" t="str">
        <f>_xlfn.LET(
    _xlpm.CSVVal, _xlfn.XLOOKUP($A66, CSV!$A:$A, CSV!AF:AF,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2" t="str" cm="1">
        <f t="array" ref="P66">IFERROR(_xlfn.LET(
_xlpm.CSVVal,_xlfn.XLOOKUP($A66,CSV!$A:$A,CSV!AG:AG,""),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2" t="str" cm="1">
        <f t="array" ref="Q66">IFERROR(_xlfn.LET(
_xlpm.CSVVal,_xlfn.XLOOKUP($A66,CSV!$A:$A,CSV!AH:AH,""),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X66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2" t="str">
        <f>_xlfn.TEXTJOIN("",TRUE,Input!$B$2,ROW(My_Audit!A66))</f>
        <v>XX66</v>
      </c>
      <c r="B67" s="2" t="str">
        <f>_xlfn.TEXTJOIN("-",TRUE,"ITD",Input!$A$2,A67)</f>
        <v>ITD-SHRXXX-XX66</v>
      </c>
      <c r="C67" s="2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2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2" t="str">
        <f>_xlfn.XLOOKUP(A67,My_Audit!A:A,My_Audit!D:D,"")&amp;""</f>
        <v/>
      </c>
      <c r="F67" s="2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2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2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2" t="str">
        <f>_xlfn.XLOOKUP(A67,Output_Mac!A:A,Output_Mac!I:I,"")</f>
        <v/>
      </c>
      <c r="J67" s="2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2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2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2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O67" s="2" t="str">
        <f>_xlfn.LET(
    _xlpm.CSVVal, _xlfn.XLOOKUP($A67, CSV!$A:$A, CSV!AF:AF,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2" t="str" cm="1">
        <f t="array" ref="P67">IFERROR(_xlfn.LET(
_xlpm.CSVVal,_xlfn.XLOOKUP($A67,CSV!$A:$A,CSV!AG:AG,""),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2" t="str" cm="1">
        <f t="array" ref="Q67">IFERROR(_xlfn.LET(
_xlpm.CSVVal,_xlfn.XLOOKUP($A67,CSV!$A:$A,CSV!AH:AH,""),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X6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2" t="str">
        <f>_xlfn.TEXTJOIN("",TRUE,Input!$B$2,ROW(My_Audit!A67))</f>
        <v>XX67</v>
      </c>
      <c r="B68" s="2" t="str">
        <f>_xlfn.TEXTJOIN("-",TRUE,"ITD",Input!$A$2,A68)</f>
        <v>ITD-SHRXXX-XX67</v>
      </c>
      <c r="C68" s="2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2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2" t="str">
        <f>_xlfn.XLOOKUP(A68,My_Audit!A:A,My_Audit!D:D,"")&amp;""</f>
        <v/>
      </c>
      <c r="F68" s="2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2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2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2" t="str">
        <f>_xlfn.XLOOKUP(A68,Output_Mac!A:A,Output_Mac!I:I,"")</f>
        <v/>
      </c>
      <c r="J68" s="2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2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2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2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O68" s="2" t="str">
        <f>_xlfn.LET(
    _xlpm.CSVVal, _xlfn.XLOOKUP($A68, CSV!$A:$A, CSV!AF:AF,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2" t="str" cm="1">
        <f t="array" ref="P68">IFERROR(_xlfn.LET(
_xlpm.CSVVal,_xlfn.XLOOKUP($A68,CSV!$A:$A,CSV!AG:AG,""),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2" t="str" cm="1">
        <f t="array" ref="Q68">IFERROR(_xlfn.LET(
_xlpm.CSVVal,_xlfn.XLOOKUP($A68,CSV!$A:$A,CSV!AH:AH,""),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X68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2" t="str">
        <f>_xlfn.TEXTJOIN("",TRUE,Input!$B$2,ROW(My_Audit!A68))</f>
        <v>XX68</v>
      </c>
      <c r="B69" s="2" t="str">
        <f>_xlfn.TEXTJOIN("-",TRUE,"ITD",Input!$A$2,A69)</f>
        <v>ITD-SHRXXX-XX68</v>
      </c>
      <c r="C69" s="2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2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2" t="str">
        <f>_xlfn.XLOOKUP(A69,My_Audit!A:A,My_Audit!D:D,"")&amp;""</f>
        <v/>
      </c>
      <c r="F69" s="2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2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2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2" t="str">
        <f>_xlfn.XLOOKUP(A69,Output_Mac!A:A,Output_Mac!I:I,"")</f>
        <v/>
      </c>
      <c r="J69" s="2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2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2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2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O69" s="2" t="str">
        <f>_xlfn.LET(
    _xlpm.CSVVal, _xlfn.XLOOKUP($A69, CSV!$A:$A, CSV!AF:AF,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2" t="str" cm="1">
        <f t="array" ref="P69">IFERROR(_xlfn.LET(
_xlpm.CSVVal,_xlfn.XLOOKUP($A69,CSV!$A:$A,CSV!AG:AG,""),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2" t="str" cm="1">
        <f t="array" ref="Q69">IFERROR(_xlfn.LET(
_xlpm.CSVVal,_xlfn.XLOOKUP($A69,CSV!$A:$A,CSV!AH:AH,""),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X6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2" t="str">
        <f>_xlfn.TEXTJOIN("",TRUE,Input!$B$2,ROW(My_Audit!A69))</f>
        <v>XX69</v>
      </c>
      <c r="B70" s="2" t="str">
        <f>_xlfn.TEXTJOIN("-",TRUE,"ITD",Input!$A$2,A70)</f>
        <v>ITD-SHRXXX-XX69</v>
      </c>
      <c r="C70" s="2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2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2" t="str">
        <f>_xlfn.XLOOKUP(A70,My_Audit!A:A,My_Audit!D:D,"")&amp;""</f>
        <v/>
      </c>
      <c r="F70" s="2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2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2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2" t="str">
        <f>_xlfn.XLOOKUP(A70,Output_Mac!A:A,Output_Mac!I:I,"")</f>
        <v/>
      </c>
      <c r="J70" s="2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2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2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2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O70" s="2" t="str">
        <f>_xlfn.LET(
    _xlpm.CSVVal, _xlfn.XLOOKUP($A70, CSV!$A:$A, CSV!AF:AF,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2" t="str" cm="1">
        <f t="array" ref="P70">IFERROR(_xlfn.LET(
_xlpm.CSVVal,_xlfn.XLOOKUP($A70,CSV!$A:$A,CSV!AG:AG,""),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2" t="str" cm="1">
        <f t="array" ref="Q70">IFERROR(_xlfn.LET(
_xlpm.CSVVal,_xlfn.XLOOKUP($A70,CSV!$A:$A,CSV!AH:AH,""),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X70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2" t="str">
        <f>_xlfn.TEXTJOIN("",TRUE,Input!$B$2,ROW(My_Audit!A70))</f>
        <v>XX70</v>
      </c>
      <c r="B71" s="2" t="str">
        <f>_xlfn.TEXTJOIN("-",TRUE,"ITD",Input!$A$2,A71)</f>
        <v>ITD-SHRXXX-XX70</v>
      </c>
      <c r="C71" s="2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2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2" t="str">
        <f>_xlfn.XLOOKUP(A71,My_Audit!A:A,My_Audit!D:D,"")&amp;""</f>
        <v/>
      </c>
      <c r="F71" s="2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2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2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2" t="str">
        <f>_xlfn.XLOOKUP(A71,Output_Mac!A:A,Output_Mac!I:I,"")</f>
        <v/>
      </c>
      <c r="J71" s="2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2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2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2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O71" s="2" t="str">
        <f>_xlfn.LET(
    _xlpm.CSVVal, _xlfn.XLOOKUP($A71, CSV!$A:$A, CSV!AF:AF,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2" t="str" cm="1">
        <f t="array" ref="P71">IFERROR(_xlfn.LET(
_xlpm.CSVVal,_xlfn.XLOOKUP($A71,CSV!$A:$A,CSV!AG:AG,""),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2" t="str" cm="1">
        <f t="array" ref="Q71">IFERROR(_xlfn.LET(
_xlpm.CSVVal,_xlfn.XLOOKUP($A71,CSV!$A:$A,CSV!AH:AH,""),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X7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2" t="str">
        <f>_xlfn.TEXTJOIN("",TRUE,Input!$B$2,ROW(My_Audit!A71))</f>
        <v>XX71</v>
      </c>
      <c r="B72" s="2" t="str">
        <f>_xlfn.TEXTJOIN("-",TRUE,"ITD",Input!$A$2,A72)</f>
        <v>ITD-SHRXXX-XX71</v>
      </c>
      <c r="C72" s="2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2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2" t="str">
        <f>_xlfn.XLOOKUP(A72,My_Audit!A:A,My_Audit!D:D,"")&amp;""</f>
        <v/>
      </c>
      <c r="F72" s="2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2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2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2" t="str">
        <f>_xlfn.XLOOKUP(A72,Output_Mac!A:A,Output_Mac!I:I,"")</f>
        <v/>
      </c>
      <c r="J72" s="2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2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2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2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O72" s="2" t="str">
        <f>_xlfn.LET(
    _xlpm.CSVVal, _xlfn.XLOOKUP($A72, CSV!$A:$A, CSV!AF:AF,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2" t="str" cm="1">
        <f t="array" ref="P72">IFERROR(_xlfn.LET(
_xlpm.CSVVal,_xlfn.XLOOKUP($A72,CSV!$A:$A,CSV!AG:AG,""),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2" t="str" cm="1">
        <f t="array" ref="Q72">IFERROR(_xlfn.LET(
_xlpm.CSVVal,_xlfn.XLOOKUP($A72,CSV!$A:$A,CSV!AH:AH,""),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X72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2" t="str">
        <f>_xlfn.TEXTJOIN("",TRUE,Input!$B$2,ROW(My_Audit!A72))</f>
        <v>XX72</v>
      </c>
      <c r="B73" s="2" t="str">
        <f>_xlfn.TEXTJOIN("-",TRUE,"ITD",Input!$A$2,A73)</f>
        <v>ITD-SHRXXX-XX72</v>
      </c>
      <c r="C73" s="2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2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2" t="str">
        <f>_xlfn.XLOOKUP(A73,My_Audit!A:A,My_Audit!D:D,"")&amp;""</f>
        <v/>
      </c>
      <c r="F73" s="2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2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2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2" t="str">
        <f>_xlfn.XLOOKUP(A73,Output_Mac!A:A,Output_Mac!I:I,"")</f>
        <v/>
      </c>
      <c r="J73" s="2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2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2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2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O73" s="2" t="str">
        <f>_xlfn.LET(
    _xlpm.CSVVal, _xlfn.XLOOKUP($A73, CSV!$A:$A, CSV!AF:AF,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2" t="str" cm="1">
        <f t="array" ref="P73">IFERROR(_xlfn.LET(
_xlpm.CSVVal,_xlfn.XLOOKUP($A73,CSV!$A:$A,CSV!AG:AG,""),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2" t="str" cm="1">
        <f t="array" ref="Q73">IFERROR(_xlfn.LET(
_xlpm.CSVVal,_xlfn.XLOOKUP($A73,CSV!$A:$A,CSV!AH:AH,""),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X73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2" t="str">
        <f>_xlfn.TEXTJOIN("",TRUE,Input!$B$2,ROW(My_Audit!A73))</f>
        <v>XX73</v>
      </c>
      <c r="B74" s="2" t="str">
        <f>_xlfn.TEXTJOIN("-",TRUE,"ITD",Input!$A$2,A74)</f>
        <v>ITD-SHRXXX-XX73</v>
      </c>
      <c r="C74" s="2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2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2" t="str">
        <f>_xlfn.XLOOKUP(A74,My_Audit!A:A,My_Audit!D:D,"")&amp;""</f>
        <v/>
      </c>
      <c r="F74" s="2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2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2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2" t="str">
        <f>_xlfn.XLOOKUP(A74,Output_Mac!A:A,Output_Mac!I:I,"")</f>
        <v/>
      </c>
      <c r="J74" s="2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2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2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2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O74" s="2" t="str">
        <f>_xlfn.LET(
    _xlpm.CSVVal, _xlfn.XLOOKUP($A74, CSV!$A:$A, CSV!AF:AF,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2" t="str" cm="1">
        <f t="array" ref="P74">IFERROR(_xlfn.LET(
_xlpm.CSVVal,_xlfn.XLOOKUP($A74,CSV!$A:$A,CSV!AG:AG,""),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2" t="str" cm="1">
        <f t="array" ref="Q74">IFERROR(_xlfn.LET(
_xlpm.CSVVal,_xlfn.XLOOKUP($A74,CSV!$A:$A,CSV!AH:AH,""),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X74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2" t="str">
        <f>_xlfn.TEXTJOIN("",TRUE,Input!$B$2,ROW(My_Audit!A74))</f>
        <v>XX74</v>
      </c>
      <c r="B75" s="2" t="str">
        <f>_xlfn.TEXTJOIN("-",TRUE,"ITD",Input!$A$2,A75)</f>
        <v>ITD-SHRXXX-XX74</v>
      </c>
      <c r="C75" s="2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2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2" t="str">
        <f>_xlfn.XLOOKUP(A75,My_Audit!A:A,My_Audit!D:D,"")&amp;""</f>
        <v/>
      </c>
      <c r="F75" s="2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2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2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2" t="str">
        <f>_xlfn.XLOOKUP(A75,Output_Mac!A:A,Output_Mac!I:I,"")</f>
        <v/>
      </c>
      <c r="J75" s="2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2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2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2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O75" s="2" t="str">
        <f>_xlfn.LET(
    _xlpm.CSVVal, _xlfn.XLOOKUP($A75, CSV!$A:$A, CSV!AF:AF,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2" t="str" cm="1">
        <f t="array" ref="P75">IFERROR(_xlfn.LET(
_xlpm.CSVVal,_xlfn.XLOOKUP($A75,CSV!$A:$A,CSV!AG:AG,""),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2" t="str" cm="1">
        <f t="array" ref="Q75">IFERROR(_xlfn.LET(
_xlpm.CSVVal,_xlfn.XLOOKUP($A75,CSV!$A:$A,CSV!AH:AH,""),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X75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2" t="str">
        <f>_xlfn.TEXTJOIN("",TRUE,Input!$B$2,ROW(My_Audit!A75))</f>
        <v>XX75</v>
      </c>
      <c r="B76" s="2" t="str">
        <f>_xlfn.TEXTJOIN("-",TRUE,"ITD",Input!$A$2,A76)</f>
        <v>ITD-SHRXXX-XX75</v>
      </c>
      <c r="C76" s="2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2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2" t="str">
        <f>_xlfn.XLOOKUP(A76,My_Audit!A:A,My_Audit!D:D,"")&amp;""</f>
        <v/>
      </c>
      <c r="F76" s="2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2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2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2" t="str">
        <f>_xlfn.XLOOKUP(A76,Output_Mac!A:A,Output_Mac!I:I,"")</f>
        <v/>
      </c>
      <c r="J76" s="2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2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2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2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O76" s="2" t="str">
        <f>_xlfn.LET(
    _xlpm.CSVVal, _xlfn.XLOOKUP($A76, CSV!$A:$A, CSV!AF:AF,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2" t="str" cm="1">
        <f t="array" ref="P76">IFERROR(_xlfn.LET(
_xlpm.CSVVal,_xlfn.XLOOKUP($A76,CSV!$A:$A,CSV!AG:AG,""),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2" t="str" cm="1">
        <f t="array" ref="Q76">IFERROR(_xlfn.LET(
_xlpm.CSVVal,_xlfn.XLOOKUP($A76,CSV!$A:$A,CSV!AH:AH,""),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X76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2" t="str">
        <f>_xlfn.TEXTJOIN("",TRUE,Input!$B$2,ROW(My_Audit!A76))</f>
        <v>XX76</v>
      </c>
      <c r="B77" s="2" t="str">
        <f>_xlfn.TEXTJOIN("-",TRUE,"ITD",Input!$A$2,A77)</f>
        <v>ITD-SHRXXX-XX76</v>
      </c>
      <c r="C77" s="2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2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2" t="str">
        <f>_xlfn.XLOOKUP(A77,My_Audit!A:A,My_Audit!D:D,"")&amp;""</f>
        <v/>
      </c>
      <c r="F77" s="2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2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2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2" t="str">
        <f>_xlfn.XLOOKUP(A77,Output_Mac!A:A,Output_Mac!I:I,"")</f>
        <v/>
      </c>
      <c r="J77" s="2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2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2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2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O77" s="2" t="str">
        <f>_xlfn.LET(
    _xlpm.CSVVal, _xlfn.XLOOKUP($A77, CSV!$A:$A, CSV!AF:AF,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2" t="str" cm="1">
        <f t="array" ref="P77">IFERROR(_xlfn.LET(
_xlpm.CSVVal,_xlfn.XLOOKUP($A77,CSV!$A:$A,CSV!AG:AG,""),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2" t="str" cm="1">
        <f t="array" ref="Q77">IFERROR(_xlfn.LET(
_xlpm.CSVVal,_xlfn.XLOOKUP($A77,CSV!$A:$A,CSV!AH:AH,""),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X7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2" t="str">
        <f>_xlfn.TEXTJOIN("",TRUE,Input!$B$2,ROW(My_Audit!A77))</f>
        <v>XX77</v>
      </c>
      <c r="B78" s="2" t="str">
        <f>_xlfn.TEXTJOIN("-",TRUE,"ITD",Input!$A$2,A78)</f>
        <v>ITD-SHRXXX-XX77</v>
      </c>
      <c r="C78" s="2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2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2" t="str">
        <f>_xlfn.XLOOKUP(A78,My_Audit!A:A,My_Audit!D:D,"")&amp;""</f>
        <v/>
      </c>
      <c r="F78" s="2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2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2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2" t="str">
        <f>_xlfn.XLOOKUP(A78,Output_Mac!A:A,Output_Mac!I:I,"")</f>
        <v/>
      </c>
      <c r="J78" s="2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2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2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2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O78" s="2" t="str">
        <f>_xlfn.LET(
    _xlpm.CSVVal, _xlfn.XLOOKUP($A78, CSV!$A:$A, CSV!AF:AF,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2" t="str" cm="1">
        <f t="array" ref="P78">IFERROR(_xlfn.LET(
_xlpm.CSVVal,_xlfn.XLOOKUP($A78,CSV!$A:$A,CSV!AG:AG,""),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2" t="str" cm="1">
        <f t="array" ref="Q78">IFERROR(_xlfn.LET(
_xlpm.CSVVal,_xlfn.XLOOKUP($A78,CSV!$A:$A,CSV!AH:AH,""),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X78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2" t="str">
        <f>_xlfn.TEXTJOIN("",TRUE,Input!$B$2,ROW(My_Audit!A78))</f>
        <v>XX78</v>
      </c>
      <c r="B79" s="2" t="str">
        <f>_xlfn.TEXTJOIN("-",TRUE,"ITD",Input!$A$2,A79)</f>
        <v>ITD-SHRXXX-XX78</v>
      </c>
      <c r="C79" s="2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2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2" t="str">
        <f>_xlfn.XLOOKUP(A79,My_Audit!A:A,My_Audit!D:D,"")&amp;""</f>
        <v/>
      </c>
      <c r="F79" s="2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2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2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2" t="str">
        <f>_xlfn.XLOOKUP(A79,Output_Mac!A:A,Output_Mac!I:I,"")</f>
        <v/>
      </c>
      <c r="J79" s="2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2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2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2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O79" s="2" t="str">
        <f>_xlfn.LET(
    _xlpm.CSVVal, _xlfn.XLOOKUP($A79, CSV!$A:$A, CSV!AF:AF,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2" t="str" cm="1">
        <f t="array" ref="P79">IFERROR(_xlfn.LET(
_xlpm.CSVVal,_xlfn.XLOOKUP($A79,CSV!$A:$A,CSV!AG:AG,""),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2" t="str" cm="1">
        <f t="array" ref="Q79">IFERROR(_xlfn.LET(
_xlpm.CSVVal,_xlfn.XLOOKUP($A79,CSV!$A:$A,CSV!AH:AH,""),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X7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2" t="str">
        <f>_xlfn.TEXTJOIN("",TRUE,Input!$B$2,ROW(My_Audit!A79))</f>
        <v>XX79</v>
      </c>
      <c r="B80" s="2" t="str">
        <f>_xlfn.TEXTJOIN("-",TRUE,"ITD",Input!$A$2,A80)</f>
        <v>ITD-SHRXXX-XX79</v>
      </c>
      <c r="C80" s="2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2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2" t="str">
        <f>_xlfn.XLOOKUP(A80,My_Audit!A:A,My_Audit!D:D,"")&amp;""</f>
        <v/>
      </c>
      <c r="F80" s="2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2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2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2" t="str">
        <f>_xlfn.XLOOKUP(A80,Output_Mac!A:A,Output_Mac!I:I,"")</f>
        <v/>
      </c>
      <c r="J80" s="2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2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2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2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O80" s="2" t="str">
        <f>_xlfn.LET(
    _xlpm.CSVVal, _xlfn.XLOOKUP($A80, CSV!$A:$A, CSV!AF:AF,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2" t="str" cm="1">
        <f t="array" ref="P80">IFERROR(_xlfn.LET(
_xlpm.CSVVal,_xlfn.XLOOKUP($A80,CSV!$A:$A,CSV!AG:AG,""),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2" t="str" cm="1">
        <f t="array" ref="Q80">IFERROR(_xlfn.LET(
_xlpm.CSVVal,_xlfn.XLOOKUP($A80,CSV!$A:$A,CSV!AH:AH,""),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X80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2" t="str">
        <f>_xlfn.TEXTJOIN("",TRUE,Input!$B$2,ROW(My_Audit!A80))</f>
        <v>XX80</v>
      </c>
      <c r="B81" s="2" t="str">
        <f>_xlfn.TEXTJOIN("-",TRUE,"ITD",Input!$A$2,A81)</f>
        <v>ITD-SHRXXX-XX80</v>
      </c>
      <c r="C81" s="2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2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2" t="str">
        <f>_xlfn.XLOOKUP(A81,My_Audit!A:A,My_Audit!D:D,"")&amp;""</f>
        <v/>
      </c>
      <c r="F81" s="2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2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2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2" t="str">
        <f>_xlfn.XLOOKUP(A81,Output_Mac!A:A,Output_Mac!I:I,"")</f>
        <v/>
      </c>
      <c r="J81" s="2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2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2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2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O81" s="2" t="str">
        <f>_xlfn.LET(
    _xlpm.CSVVal, _xlfn.XLOOKUP($A81, CSV!$A:$A, CSV!AF:AF,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2" t="str" cm="1">
        <f t="array" ref="P81">IFERROR(_xlfn.LET(
_xlpm.CSVVal,_xlfn.XLOOKUP($A81,CSV!$A:$A,CSV!AG:AG,""),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2" t="str" cm="1">
        <f t="array" ref="Q81">IFERROR(_xlfn.LET(
_xlpm.CSVVal,_xlfn.XLOOKUP($A81,CSV!$A:$A,CSV!AH:AH,""),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X8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2" t="str">
        <f>_xlfn.TEXTJOIN("",TRUE,Input!$B$2,ROW(My_Audit!A81))</f>
        <v>XX81</v>
      </c>
      <c r="B82" s="2" t="str">
        <f>_xlfn.TEXTJOIN("-",TRUE,"ITD",Input!$A$2,A82)</f>
        <v>ITD-SHRXXX-XX81</v>
      </c>
      <c r="C82" s="2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2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2" t="str">
        <f>_xlfn.XLOOKUP(A82,My_Audit!A:A,My_Audit!D:D,"")&amp;""</f>
        <v/>
      </c>
      <c r="F82" s="2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2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2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2" t="str">
        <f>_xlfn.XLOOKUP(A82,Output_Mac!A:A,Output_Mac!I:I,"")</f>
        <v/>
      </c>
      <c r="J82" s="2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2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2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2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O82" s="2" t="str">
        <f>_xlfn.LET(
    _xlpm.CSVVal, _xlfn.XLOOKUP($A82, CSV!$A:$A, CSV!AF:AF,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2" t="str" cm="1">
        <f t="array" ref="P82">IFERROR(_xlfn.LET(
_xlpm.CSVVal,_xlfn.XLOOKUP($A82,CSV!$A:$A,CSV!AG:AG,""),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2" t="str" cm="1">
        <f t="array" ref="Q82">IFERROR(_xlfn.LET(
_xlpm.CSVVal,_xlfn.XLOOKUP($A82,CSV!$A:$A,CSV!AH:AH,""),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X82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2" t="str">
        <f>_xlfn.TEXTJOIN("",TRUE,Input!$B$2,ROW(My_Audit!A82))</f>
        <v>XX82</v>
      </c>
      <c r="B83" s="2" t="str">
        <f>_xlfn.TEXTJOIN("-",TRUE,"ITD",Input!$A$2,A83)</f>
        <v>ITD-SHRXXX-XX82</v>
      </c>
      <c r="C83" s="2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2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2" t="str">
        <f>_xlfn.XLOOKUP(A83,My_Audit!A:A,My_Audit!D:D,"")&amp;""</f>
        <v/>
      </c>
      <c r="F83" s="2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2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2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2" t="str">
        <f>_xlfn.XLOOKUP(A83,Output_Mac!A:A,Output_Mac!I:I,"")</f>
        <v/>
      </c>
      <c r="J83" s="2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2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2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2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O83" s="2" t="str">
        <f>_xlfn.LET(
    _xlpm.CSVVal, _xlfn.XLOOKUP($A83, CSV!$A:$A, CSV!AF:AF,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2" t="str" cm="1">
        <f t="array" ref="P83">IFERROR(_xlfn.LET(
_xlpm.CSVVal,_xlfn.XLOOKUP($A83,CSV!$A:$A,CSV!AG:AG,""),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2" t="str" cm="1">
        <f t="array" ref="Q83">IFERROR(_xlfn.LET(
_xlpm.CSVVal,_xlfn.XLOOKUP($A83,CSV!$A:$A,CSV!AH:AH,""),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X83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2" t="str">
        <f>_xlfn.TEXTJOIN("",TRUE,Input!$B$2,ROW(My_Audit!A83))</f>
        <v>XX83</v>
      </c>
      <c r="B84" s="2" t="str">
        <f>_xlfn.TEXTJOIN("-",TRUE,"ITD",Input!$A$2,A84)</f>
        <v>ITD-SHRXXX-XX83</v>
      </c>
      <c r="C84" s="2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2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2" t="str">
        <f>_xlfn.XLOOKUP(A84,My_Audit!A:A,My_Audit!D:D,"")&amp;""</f>
        <v/>
      </c>
      <c r="F84" s="2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2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2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2" t="str">
        <f>_xlfn.XLOOKUP(A84,Output_Mac!A:A,Output_Mac!I:I,"")</f>
        <v/>
      </c>
      <c r="J84" s="2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2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2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2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O84" s="2" t="str">
        <f>_xlfn.LET(
    _xlpm.CSVVal, _xlfn.XLOOKUP($A84, CSV!$A:$A, CSV!AF:AF,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2" t="str" cm="1">
        <f t="array" ref="P84">IFERROR(_xlfn.LET(
_xlpm.CSVVal,_xlfn.XLOOKUP($A84,CSV!$A:$A,CSV!AG:AG,""),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2" t="str" cm="1">
        <f t="array" ref="Q84">IFERROR(_xlfn.LET(
_xlpm.CSVVal,_xlfn.XLOOKUP($A84,CSV!$A:$A,CSV!AH:AH,""),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X84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2" t="str">
        <f>_xlfn.TEXTJOIN("",TRUE,Input!$B$2,ROW(My_Audit!A84))</f>
        <v>XX84</v>
      </c>
      <c r="B85" s="2" t="str">
        <f>_xlfn.TEXTJOIN("-",TRUE,"ITD",Input!$A$2,A85)</f>
        <v>ITD-SHRXXX-XX84</v>
      </c>
      <c r="C85" s="2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2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2" t="str">
        <f>_xlfn.XLOOKUP(A85,My_Audit!A:A,My_Audit!D:D,"")&amp;""</f>
        <v/>
      </c>
      <c r="F85" s="2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2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2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2" t="str">
        <f>_xlfn.XLOOKUP(A85,Output_Mac!A:A,Output_Mac!I:I,"")</f>
        <v/>
      </c>
      <c r="J85" s="2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2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2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2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O85" s="2" t="str">
        <f>_xlfn.LET(
    _xlpm.CSVVal, _xlfn.XLOOKUP($A85, CSV!$A:$A, CSV!AF:AF,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2" t="str" cm="1">
        <f t="array" ref="P85">IFERROR(_xlfn.LET(
_xlpm.CSVVal,_xlfn.XLOOKUP($A85,CSV!$A:$A,CSV!AG:AG,""),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2" t="str" cm="1">
        <f t="array" ref="Q85">IFERROR(_xlfn.LET(
_xlpm.CSVVal,_xlfn.XLOOKUP($A85,CSV!$A:$A,CSV!AH:AH,""),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X85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2" t="str">
        <f>_xlfn.TEXTJOIN("",TRUE,Input!$B$2,ROW(My_Audit!A85))</f>
        <v>XX85</v>
      </c>
      <c r="B86" s="2" t="str">
        <f>_xlfn.TEXTJOIN("-",TRUE,"ITD",Input!$A$2,A86)</f>
        <v>ITD-SHRXXX-XX85</v>
      </c>
      <c r="C86" s="2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2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2" t="str">
        <f>_xlfn.XLOOKUP(A86,My_Audit!A:A,My_Audit!D:D,"")&amp;""</f>
        <v/>
      </c>
      <c r="F86" s="2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2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2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2" t="str">
        <f>_xlfn.XLOOKUP(A86,Output_Mac!A:A,Output_Mac!I:I,"")</f>
        <v/>
      </c>
      <c r="J86" s="2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2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2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2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O86" s="2" t="str">
        <f>_xlfn.LET(
    _xlpm.CSVVal, _xlfn.XLOOKUP($A86, CSV!$A:$A, CSV!AF:AF,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2" t="str" cm="1">
        <f t="array" ref="P86">IFERROR(_xlfn.LET(
_xlpm.CSVVal,_xlfn.XLOOKUP($A86,CSV!$A:$A,CSV!AG:AG,""),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2" t="str" cm="1">
        <f t="array" ref="Q86">IFERROR(_xlfn.LET(
_xlpm.CSVVal,_xlfn.XLOOKUP($A86,CSV!$A:$A,CSV!AH:AH,""),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X86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2" t="str">
        <f>_xlfn.TEXTJOIN("",TRUE,Input!$B$2,ROW(My_Audit!A86))</f>
        <v>XX86</v>
      </c>
      <c r="B87" s="2" t="str">
        <f>_xlfn.TEXTJOIN("-",TRUE,"ITD",Input!$A$2,A87)</f>
        <v>ITD-SHRXXX-XX86</v>
      </c>
      <c r="C87" s="2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2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2" t="str">
        <f>_xlfn.XLOOKUP(A87,My_Audit!A:A,My_Audit!D:D,"")&amp;""</f>
        <v/>
      </c>
      <c r="F87" s="2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2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2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2" t="str">
        <f>_xlfn.XLOOKUP(A87,Output_Mac!A:A,Output_Mac!I:I,"")</f>
        <v/>
      </c>
      <c r="J87" s="2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2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2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2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O87" s="2" t="str">
        <f>_xlfn.LET(
    _xlpm.CSVVal, _xlfn.XLOOKUP($A87, CSV!$A:$A, CSV!AF:AF,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2" t="str" cm="1">
        <f t="array" ref="P87">IFERROR(_xlfn.LET(
_xlpm.CSVVal,_xlfn.XLOOKUP($A87,CSV!$A:$A,CSV!AG:AG,""),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2" t="str" cm="1">
        <f t="array" ref="Q87">IFERROR(_xlfn.LET(
_xlpm.CSVVal,_xlfn.XLOOKUP($A87,CSV!$A:$A,CSV!AH:AH,""),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X8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2" t="str">
        <f>_xlfn.TEXTJOIN("",TRUE,Input!$B$2,ROW(My_Audit!A87))</f>
        <v>XX87</v>
      </c>
      <c r="B88" s="2" t="str">
        <f>_xlfn.TEXTJOIN("-",TRUE,"ITD",Input!$A$2,A88)</f>
        <v>ITD-SHRXXX-XX87</v>
      </c>
      <c r="C88" s="2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2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2" t="str">
        <f>_xlfn.XLOOKUP(A88,My_Audit!A:A,My_Audit!D:D,"")&amp;""</f>
        <v/>
      </c>
      <c r="F88" s="2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2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2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2" t="str">
        <f>_xlfn.XLOOKUP(A88,Output_Mac!A:A,Output_Mac!I:I,"")</f>
        <v/>
      </c>
      <c r="J88" s="2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2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2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2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O88" s="2" t="str">
        <f>_xlfn.LET(
    _xlpm.CSVVal, _xlfn.XLOOKUP($A88, CSV!$A:$A, CSV!AF:AF,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2" t="str" cm="1">
        <f t="array" ref="P88">IFERROR(_xlfn.LET(
_xlpm.CSVVal,_xlfn.XLOOKUP($A88,CSV!$A:$A,CSV!AG:AG,""),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2" t="str" cm="1">
        <f t="array" ref="Q88">IFERROR(_xlfn.LET(
_xlpm.CSVVal,_xlfn.XLOOKUP($A88,CSV!$A:$A,CSV!AH:AH,""),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X88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2" t="str">
        <f>_xlfn.TEXTJOIN("",TRUE,Input!$B$2,ROW(My_Audit!A88))</f>
        <v>XX88</v>
      </c>
      <c r="B89" s="2" t="str">
        <f>_xlfn.TEXTJOIN("-",TRUE,"ITD",Input!$A$2,A89)</f>
        <v>ITD-SHRXXX-XX88</v>
      </c>
      <c r="C89" s="2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2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2" t="str">
        <f>_xlfn.XLOOKUP(A89,My_Audit!A:A,My_Audit!D:D,"")&amp;""</f>
        <v/>
      </c>
      <c r="F89" s="2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2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2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2" t="str">
        <f>_xlfn.XLOOKUP(A89,Output_Mac!A:A,Output_Mac!I:I,"")</f>
        <v/>
      </c>
      <c r="J89" s="2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2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2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2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O89" s="2" t="str">
        <f>_xlfn.LET(
    _xlpm.CSVVal, _xlfn.XLOOKUP($A89, CSV!$A:$A, CSV!AF:AF,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2" t="str" cm="1">
        <f t="array" ref="P89">IFERROR(_xlfn.LET(
_xlpm.CSVVal,_xlfn.XLOOKUP($A89,CSV!$A:$A,CSV!AG:AG,""),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2" t="str" cm="1">
        <f t="array" ref="Q89">IFERROR(_xlfn.LET(
_xlpm.CSVVal,_xlfn.XLOOKUP($A89,CSV!$A:$A,CSV!AH:AH,""),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X8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2" t="str">
        <f>_xlfn.TEXTJOIN("",TRUE,Input!$B$2,ROW(My_Audit!A89))</f>
        <v>XX89</v>
      </c>
      <c r="B90" s="2" t="str">
        <f>_xlfn.TEXTJOIN("-",TRUE,"ITD",Input!$A$2,A90)</f>
        <v>ITD-SHRXXX-XX89</v>
      </c>
      <c r="C90" s="2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2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2" t="str">
        <f>_xlfn.XLOOKUP(A90,My_Audit!A:A,My_Audit!D:D,"")&amp;""</f>
        <v/>
      </c>
      <c r="F90" s="2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2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2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2" t="str">
        <f>_xlfn.XLOOKUP(A90,Output_Mac!A:A,Output_Mac!I:I,"")</f>
        <v/>
      </c>
      <c r="J90" s="2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2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2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2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O90" s="2" t="str">
        <f>_xlfn.LET(
    _xlpm.CSVVal, _xlfn.XLOOKUP($A90, CSV!$A:$A, CSV!AF:AF,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2" t="str" cm="1">
        <f t="array" ref="P90">IFERROR(_xlfn.LET(
_xlpm.CSVVal,_xlfn.XLOOKUP($A90,CSV!$A:$A,CSV!AG:AG,""),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2" t="str" cm="1">
        <f t="array" ref="Q90">IFERROR(_xlfn.LET(
_xlpm.CSVVal,_xlfn.XLOOKUP($A90,CSV!$A:$A,CSV!AH:AH,""),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X90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2" t="str">
        <f>_xlfn.TEXTJOIN("",TRUE,Input!$B$2,ROW(My_Audit!A90))</f>
        <v>XX90</v>
      </c>
      <c r="B91" s="2" t="str">
        <f>_xlfn.TEXTJOIN("-",TRUE,"ITD",Input!$A$2,A91)</f>
        <v>ITD-SHRXXX-XX90</v>
      </c>
      <c r="C91" s="2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2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2" t="str">
        <f>_xlfn.XLOOKUP(A91,My_Audit!A:A,My_Audit!D:D,"")&amp;""</f>
        <v/>
      </c>
      <c r="F91" s="2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2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2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2" t="str">
        <f>_xlfn.XLOOKUP(A91,Output_Mac!A:A,Output_Mac!I:I,"")</f>
        <v/>
      </c>
      <c r="J91" s="2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2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2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2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O91" s="2" t="str">
        <f>_xlfn.LET(
    _xlpm.CSVVal, _xlfn.XLOOKUP($A91, CSV!$A:$A, CSV!AF:AF,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2" t="str" cm="1">
        <f t="array" ref="P91">IFERROR(_xlfn.LET(
_xlpm.CSVVal,_xlfn.XLOOKUP($A91,CSV!$A:$A,CSV!AG:AG,""),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2" t="str" cm="1">
        <f t="array" ref="Q91">IFERROR(_xlfn.LET(
_xlpm.CSVVal,_xlfn.XLOOKUP($A91,CSV!$A:$A,CSV!AH:AH,""),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X9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2" t="str">
        <f>_xlfn.TEXTJOIN("",TRUE,Input!$B$2,ROW(My_Audit!A91))</f>
        <v>XX91</v>
      </c>
      <c r="B92" s="2" t="str">
        <f>_xlfn.TEXTJOIN("-",TRUE,"ITD",Input!$A$2,A92)</f>
        <v>ITD-SHRXXX-XX91</v>
      </c>
      <c r="C92" s="2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2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2" t="str">
        <f>_xlfn.XLOOKUP(A92,My_Audit!A:A,My_Audit!D:D,"")&amp;""</f>
        <v/>
      </c>
      <c r="F92" s="2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2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2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2" t="str">
        <f>_xlfn.XLOOKUP(A92,Output_Mac!A:A,Output_Mac!I:I,"")</f>
        <v/>
      </c>
      <c r="J92" s="2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2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2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2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O92" s="2" t="str">
        <f>_xlfn.LET(
    _xlpm.CSVVal, _xlfn.XLOOKUP($A92, CSV!$A:$A, CSV!AF:AF,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2" t="str" cm="1">
        <f t="array" ref="P92">IFERROR(_xlfn.LET(
_xlpm.CSVVal,_xlfn.XLOOKUP($A92,CSV!$A:$A,CSV!AG:AG,""),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2" t="str" cm="1">
        <f t="array" ref="Q92">IFERROR(_xlfn.LET(
_xlpm.CSVVal,_xlfn.XLOOKUP($A92,CSV!$A:$A,CSV!AH:AH,""),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X92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2" t="str">
        <f>_xlfn.TEXTJOIN("",TRUE,Input!$B$2,ROW(My_Audit!A92))</f>
        <v>XX92</v>
      </c>
      <c r="B93" s="2" t="str">
        <f>_xlfn.TEXTJOIN("-",TRUE,"ITD",Input!$A$2,A93)</f>
        <v>ITD-SHRXXX-XX92</v>
      </c>
      <c r="C93" s="2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2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2" t="str">
        <f>_xlfn.XLOOKUP(A93,My_Audit!A:A,My_Audit!D:D,"")&amp;""</f>
        <v/>
      </c>
      <c r="F93" s="2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2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2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2" t="str">
        <f>_xlfn.XLOOKUP(A93,Output_Mac!A:A,Output_Mac!I:I,"")</f>
        <v/>
      </c>
      <c r="J93" s="2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2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2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2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O93" s="2" t="str">
        <f>_xlfn.LET(
    _xlpm.CSVVal, _xlfn.XLOOKUP($A93, CSV!$A:$A, CSV!AF:AF,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2" t="str" cm="1">
        <f t="array" ref="P93">IFERROR(_xlfn.LET(
_xlpm.CSVVal,_xlfn.XLOOKUP($A93,CSV!$A:$A,CSV!AG:AG,""),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2" t="str" cm="1">
        <f t="array" ref="Q93">IFERROR(_xlfn.LET(
_xlpm.CSVVal,_xlfn.XLOOKUP($A93,CSV!$A:$A,CSV!AH:AH,""),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X93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2" t="str">
        <f>_xlfn.TEXTJOIN("",TRUE,Input!$B$2,ROW(My_Audit!A93))</f>
        <v>XX93</v>
      </c>
      <c r="B94" s="2" t="str">
        <f>_xlfn.TEXTJOIN("-",TRUE,"ITD",Input!$A$2,A94)</f>
        <v>ITD-SHRXXX-XX93</v>
      </c>
      <c r="C94" s="2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2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2" t="str">
        <f>_xlfn.XLOOKUP(A94,My_Audit!A:A,My_Audit!D:D,"")&amp;""</f>
        <v/>
      </c>
      <c r="F94" s="2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2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2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2" t="str">
        <f>_xlfn.XLOOKUP(A94,Output_Mac!A:A,Output_Mac!I:I,"")</f>
        <v/>
      </c>
      <c r="J94" s="2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2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2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2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O94" s="2" t="str">
        <f>_xlfn.LET(
    _xlpm.CSVVal, _xlfn.XLOOKUP($A94, CSV!$A:$A, CSV!AF:AF,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2" t="str" cm="1">
        <f t="array" ref="P94">IFERROR(_xlfn.LET(
_xlpm.CSVVal,_xlfn.XLOOKUP($A94,CSV!$A:$A,CSV!AG:AG,""),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2" t="str" cm="1">
        <f t="array" ref="Q94">IFERROR(_xlfn.LET(
_xlpm.CSVVal,_xlfn.XLOOKUP($A94,CSV!$A:$A,CSV!AH:AH,""),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X94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2" t="str">
        <f>_xlfn.TEXTJOIN("",TRUE,Input!$B$2,ROW(My_Audit!A94))</f>
        <v>XX94</v>
      </c>
      <c r="B95" s="2" t="str">
        <f>_xlfn.TEXTJOIN("-",TRUE,"ITD",Input!$A$2,A95)</f>
        <v>ITD-SHRXXX-XX94</v>
      </c>
      <c r="C95" s="2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2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2" t="str">
        <f>_xlfn.XLOOKUP(A95,My_Audit!A:A,My_Audit!D:D,"")&amp;""</f>
        <v/>
      </c>
      <c r="F95" s="2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2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2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2" t="str">
        <f>_xlfn.XLOOKUP(A95,Output_Mac!A:A,Output_Mac!I:I,"")</f>
        <v/>
      </c>
      <c r="J95" s="2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2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2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2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O95" s="2" t="str">
        <f>_xlfn.LET(
    _xlpm.CSVVal, _xlfn.XLOOKUP($A95, CSV!$A:$A, CSV!AF:AF,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2" t="str" cm="1">
        <f t="array" ref="P95">IFERROR(_xlfn.LET(
_xlpm.CSVVal,_xlfn.XLOOKUP($A95,CSV!$A:$A,CSV!AG:AG,""),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2" t="str" cm="1">
        <f t="array" ref="Q95">IFERROR(_xlfn.LET(
_xlpm.CSVVal,_xlfn.XLOOKUP($A95,CSV!$A:$A,CSV!AH:AH,""),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X95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2" t="str">
        <f>_xlfn.TEXTJOIN("",TRUE,Input!$B$2,ROW(My_Audit!A95))</f>
        <v>XX95</v>
      </c>
      <c r="B96" s="2" t="str">
        <f>_xlfn.TEXTJOIN("-",TRUE,"ITD",Input!$A$2,A96)</f>
        <v>ITD-SHRXXX-XX95</v>
      </c>
      <c r="C96" s="2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2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2" t="str">
        <f>_xlfn.XLOOKUP(A96,My_Audit!A:A,My_Audit!D:D,"")&amp;""</f>
        <v/>
      </c>
      <c r="F96" s="2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2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2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2" t="str">
        <f>_xlfn.XLOOKUP(A96,Output_Mac!A:A,Output_Mac!I:I,"")</f>
        <v/>
      </c>
      <c r="J96" s="2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2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2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2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O96" s="2" t="str">
        <f>_xlfn.LET(
    _xlpm.CSVVal, _xlfn.XLOOKUP($A96, CSV!$A:$A, CSV!AF:AF,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2" t="str" cm="1">
        <f t="array" ref="P96">IFERROR(_xlfn.LET(
_xlpm.CSVVal,_xlfn.XLOOKUP($A96,CSV!$A:$A,CSV!AG:AG,""),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2" t="str" cm="1">
        <f t="array" ref="Q96">IFERROR(_xlfn.LET(
_xlpm.CSVVal,_xlfn.XLOOKUP($A96,CSV!$A:$A,CSV!AH:AH,""),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X96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2" t="str">
        <f>_xlfn.TEXTJOIN("",TRUE,Input!$B$2,ROW(My_Audit!A96))</f>
        <v>XX96</v>
      </c>
      <c r="B97" s="2" t="str">
        <f>_xlfn.TEXTJOIN("-",TRUE,"ITD",Input!$A$2,A97)</f>
        <v>ITD-SHRXXX-XX96</v>
      </c>
      <c r="C97" s="2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2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2" t="str">
        <f>_xlfn.XLOOKUP(A97,My_Audit!A:A,My_Audit!D:D,"")&amp;""</f>
        <v/>
      </c>
      <c r="F97" s="2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2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2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2" t="str">
        <f>_xlfn.XLOOKUP(A97,Output_Mac!A:A,Output_Mac!I:I,"")</f>
        <v/>
      </c>
      <c r="J97" s="2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2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2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2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O97" s="2" t="str">
        <f>_xlfn.LET(
    _xlpm.CSVVal, _xlfn.XLOOKUP($A97, CSV!$A:$A, CSV!AF:AF,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2" t="str" cm="1">
        <f t="array" ref="P97">IFERROR(_xlfn.LET(
_xlpm.CSVVal,_xlfn.XLOOKUP($A97,CSV!$A:$A,CSV!AG:AG,""),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2" t="str" cm="1">
        <f t="array" ref="Q97">IFERROR(_xlfn.LET(
_xlpm.CSVVal,_xlfn.XLOOKUP($A97,CSV!$A:$A,CSV!AH:AH,""),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X9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2" t="str">
        <f>_xlfn.TEXTJOIN("",TRUE,Input!$B$2,ROW(My_Audit!A97))</f>
        <v>XX97</v>
      </c>
      <c r="B98" s="2" t="str">
        <f>_xlfn.TEXTJOIN("-",TRUE,"ITD",Input!$A$2,A98)</f>
        <v>ITD-SHRXXX-XX97</v>
      </c>
      <c r="C98" s="2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2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2" t="str">
        <f>_xlfn.XLOOKUP(A98,My_Audit!A:A,My_Audit!D:D,"")&amp;""</f>
        <v/>
      </c>
      <c r="F98" s="2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2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2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2" t="str">
        <f>_xlfn.XLOOKUP(A98,Output_Mac!A:A,Output_Mac!I:I,"")</f>
        <v/>
      </c>
      <c r="J98" s="2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2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2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2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O98" s="2" t="str">
        <f>_xlfn.LET(
    _xlpm.CSVVal, _xlfn.XLOOKUP($A98, CSV!$A:$A, CSV!AF:AF,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2" t="str" cm="1">
        <f t="array" ref="P98">IFERROR(_xlfn.LET(
_xlpm.CSVVal,_xlfn.XLOOKUP($A98,CSV!$A:$A,CSV!AG:AG,""),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2" t="str" cm="1">
        <f t="array" ref="Q98">IFERROR(_xlfn.LET(
_xlpm.CSVVal,_xlfn.XLOOKUP($A98,CSV!$A:$A,CSV!AH:AH,""),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X98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2" t="str">
        <f>_xlfn.TEXTJOIN("",TRUE,Input!$B$2,ROW(My_Audit!A98))</f>
        <v>XX98</v>
      </c>
      <c r="B99" s="2" t="str">
        <f>_xlfn.TEXTJOIN("-",TRUE,"ITD",Input!$A$2,A99)</f>
        <v>ITD-SHRXXX-XX98</v>
      </c>
      <c r="C99" s="2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2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2" t="str">
        <f>_xlfn.XLOOKUP(A99,My_Audit!A:A,My_Audit!D:D,"")&amp;""</f>
        <v/>
      </c>
      <c r="F99" s="2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2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2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2" t="str">
        <f>_xlfn.XLOOKUP(A99,Output_Mac!A:A,Output_Mac!I:I,"")</f>
        <v/>
      </c>
      <c r="J99" s="2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2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2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2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O99" s="2" t="str">
        <f>_xlfn.LET(
    _xlpm.CSVVal, _xlfn.XLOOKUP($A99, CSV!$A:$A, CSV!AF:AF,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2" t="str" cm="1">
        <f t="array" ref="P99">IFERROR(_xlfn.LET(
_xlpm.CSVVal,_xlfn.XLOOKUP($A99,CSV!$A:$A,CSV!AG:AG,""),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2" t="str" cm="1">
        <f t="array" ref="Q99">IFERROR(_xlfn.LET(
_xlpm.CSVVal,_xlfn.XLOOKUP($A99,CSV!$A:$A,CSV!AH:AH,""),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X9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2" t="str">
        <f>_xlfn.TEXTJOIN("",TRUE,Input!$B$2,ROW(My_Audit!A99))</f>
        <v>XX99</v>
      </c>
      <c r="B100" s="2" t="str">
        <f>_xlfn.TEXTJOIN("-",TRUE,"ITD",Input!$A$2,A100)</f>
        <v>ITD-SHRXXX-XX99</v>
      </c>
      <c r="C100" s="2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2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2" t="str">
        <f>_xlfn.XLOOKUP(A100,My_Audit!A:A,My_Audit!D:D,"")&amp;""</f>
        <v/>
      </c>
      <c r="F100" s="2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2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2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2" t="str">
        <f>_xlfn.XLOOKUP(A100,Output_Mac!A:A,Output_Mac!I:I,"")</f>
        <v/>
      </c>
      <c r="J100" s="2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2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2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2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O100" s="2" t="str">
        <f>_xlfn.LET(
    _xlpm.CSVVal, _xlfn.XLOOKUP($A100, CSV!$A:$A, CSV!AF:AF,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2" t="str" cm="1">
        <f t="array" ref="P100">IFERROR(_xlfn.LET(
_xlpm.CSVVal,_xlfn.XLOOKUP($A100,CSV!$A:$A,CSV!AG:AG,""),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2" t="str" cm="1">
        <f t="array" ref="Q100">IFERROR(_xlfn.LET(
_xlpm.CSVVal,_xlfn.XLOOKUP($A100,CSV!$A:$A,CSV!AH:AH,""),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X100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2" t="str">
        <f>_xlfn.TEXTJOIN("",TRUE,Input!$B$2,ROW(My_Audit!A100))</f>
        <v>XX100</v>
      </c>
      <c r="B101" s="2" t="str">
        <f>_xlfn.TEXTJOIN("-",TRUE,"ITD",Input!$A$2,A101)</f>
        <v>ITD-SHRXXX-XX100</v>
      </c>
      <c r="C101" s="2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2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2" t="str">
        <f>_xlfn.XLOOKUP(A101,My_Audit!A:A,My_Audit!D:D,"")&amp;""</f>
        <v/>
      </c>
      <c r="F101" s="2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2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2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2" t="str">
        <f>_xlfn.XLOOKUP(A101,Output_Mac!A:A,Output_Mac!I:I,"")</f>
        <v/>
      </c>
      <c r="J101" s="2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2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2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2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O101" s="2" t="str">
        <f>_xlfn.LET(
    _xlpm.CSVVal, _xlfn.XLOOKUP($A101, CSV!$A:$A, CSV!AF:AF,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2" t="str" cm="1">
        <f t="array" ref="P101">IFERROR(_xlfn.LET(
_xlpm.CSVVal,_xlfn.XLOOKUP($A101,CSV!$A:$A,CSV!AG:AG,""),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2" t="str" cm="1">
        <f t="array" ref="Q101">IFERROR(_xlfn.LET(
_xlpm.CSVVal,_xlfn.XLOOKUP($A101,CSV!$A:$A,CSV!AH:AH,""),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X10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2" t="str">
        <f>_xlfn.TEXTJOIN("",TRUE,Input!$B$2,ROW(My_Audit!A101))</f>
        <v>XX101</v>
      </c>
      <c r="B102" s="2" t="str">
        <f>_xlfn.TEXTJOIN("-",TRUE,"ITD",Input!$A$2,A102)</f>
        <v>ITD-SHRXXX-XX101</v>
      </c>
      <c r="C102" s="2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2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2" t="str">
        <f>_xlfn.XLOOKUP(A102,My_Audit!A:A,My_Audit!D:D,"")&amp;""</f>
        <v/>
      </c>
      <c r="F102" s="2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2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2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2" t="str">
        <f>_xlfn.XLOOKUP(A102,Output_Mac!A:A,Output_Mac!I:I,"")</f>
        <v/>
      </c>
      <c r="J102" s="2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2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2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2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O102" s="2" t="str">
        <f>_xlfn.LET(
    _xlpm.CSVVal, _xlfn.XLOOKUP($A102, CSV!$A:$A, CSV!AF:AF,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2" t="str" cm="1">
        <f t="array" ref="P102">IFERROR(_xlfn.LET(
_xlpm.CSVVal,_xlfn.XLOOKUP($A102,CSV!$A:$A,CSV!AG:AG,""),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2" t="str" cm="1">
        <f t="array" ref="Q102">IFERROR(_xlfn.LET(
_xlpm.CSVVal,_xlfn.XLOOKUP($A102,CSV!$A:$A,CSV!AH:AH,""),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X102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2" t="str">
        <f>_xlfn.TEXTJOIN("",TRUE,Input!$B$2,ROW(My_Audit!A102))</f>
        <v>XX102</v>
      </c>
      <c r="B103" s="2" t="str">
        <f>_xlfn.TEXTJOIN("-",TRUE,"ITD",Input!$A$2,A103)</f>
        <v>ITD-SHRXXX-XX102</v>
      </c>
      <c r="C103" s="2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2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2" t="str">
        <f>_xlfn.XLOOKUP(A103,My_Audit!A:A,My_Audit!D:D,"")&amp;""</f>
        <v/>
      </c>
      <c r="F103" s="2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2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2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2" t="str">
        <f>_xlfn.XLOOKUP(A103,Output_Mac!A:A,Output_Mac!I:I,"")</f>
        <v/>
      </c>
      <c r="J103" s="2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2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2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2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O103" s="2" t="str">
        <f>_xlfn.LET(
    _xlpm.CSVVal, _xlfn.XLOOKUP($A103, CSV!$A:$A, CSV!AF:AF,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2" t="str" cm="1">
        <f t="array" ref="P103">IFERROR(_xlfn.LET(
_xlpm.CSVVal,_xlfn.XLOOKUP($A103,CSV!$A:$A,CSV!AG:AG,""),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2" t="str" cm="1">
        <f t="array" ref="Q103">IFERROR(_xlfn.LET(
_xlpm.CSVVal,_xlfn.XLOOKUP($A103,CSV!$A:$A,CSV!AH:AH,""),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X103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2" t="str">
        <f>_xlfn.TEXTJOIN("",TRUE,Input!$B$2,ROW(My_Audit!A103))</f>
        <v>XX103</v>
      </c>
      <c r="B104" s="2" t="str">
        <f>_xlfn.TEXTJOIN("-",TRUE,"ITD",Input!$A$2,A104)</f>
        <v>ITD-SHRXXX-XX103</v>
      </c>
      <c r="C104" s="2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2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2" t="str">
        <f>_xlfn.XLOOKUP(A104,My_Audit!A:A,My_Audit!D:D,"")&amp;""</f>
        <v/>
      </c>
      <c r="F104" s="2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2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2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2" t="str">
        <f>_xlfn.XLOOKUP(A104,Output_Mac!A:A,Output_Mac!I:I,"")</f>
        <v/>
      </c>
      <c r="J104" s="2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2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2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2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O104" s="2" t="str">
        <f>_xlfn.LET(
    _xlpm.CSVVal, _xlfn.XLOOKUP($A104, CSV!$A:$A, CSV!AF:AF,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2" t="str" cm="1">
        <f t="array" ref="P104">IFERROR(_xlfn.LET(
_xlpm.CSVVal,_xlfn.XLOOKUP($A104,CSV!$A:$A,CSV!AG:AG,""),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2" t="str" cm="1">
        <f t="array" ref="Q104">IFERROR(_xlfn.LET(
_xlpm.CSVVal,_xlfn.XLOOKUP($A104,CSV!$A:$A,CSV!AH:AH,""),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X104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2" t="str">
        <f>_xlfn.TEXTJOIN("",TRUE,Input!$B$2,ROW(My_Audit!A104))</f>
        <v>XX104</v>
      </c>
      <c r="B105" s="2" t="str">
        <f>_xlfn.TEXTJOIN("-",TRUE,"ITD",Input!$A$2,A105)</f>
        <v>ITD-SHRXXX-XX104</v>
      </c>
      <c r="C105" s="2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2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2" t="str">
        <f>_xlfn.XLOOKUP(A105,My_Audit!A:A,My_Audit!D:D,"")&amp;""</f>
        <v/>
      </c>
      <c r="F105" s="2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2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2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2" t="str">
        <f>_xlfn.XLOOKUP(A105,Output_Mac!A:A,Output_Mac!I:I,"")</f>
        <v/>
      </c>
      <c r="J105" s="2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2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2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2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O105" s="2" t="str">
        <f>_xlfn.LET(
    _xlpm.CSVVal, _xlfn.XLOOKUP($A105, CSV!$A:$A, CSV!AF:AF,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2" t="str" cm="1">
        <f t="array" ref="P105">IFERROR(_xlfn.LET(
_xlpm.CSVVal,_xlfn.XLOOKUP($A105,CSV!$A:$A,CSV!AG:AG,""),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2" t="str" cm="1">
        <f t="array" ref="Q105">IFERROR(_xlfn.LET(
_xlpm.CSVVal,_xlfn.XLOOKUP($A105,CSV!$A:$A,CSV!AH:AH,""),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X105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2" t="str">
        <f>_xlfn.TEXTJOIN("",TRUE,Input!$B$2,ROW(My_Audit!A105))</f>
        <v>XX105</v>
      </c>
      <c r="B106" s="2" t="str">
        <f>_xlfn.TEXTJOIN("-",TRUE,"ITD",Input!$A$2,A106)</f>
        <v>ITD-SHRXXX-XX105</v>
      </c>
      <c r="C106" s="2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2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2" t="str">
        <f>_xlfn.XLOOKUP(A106,My_Audit!A:A,My_Audit!D:D,"")&amp;""</f>
        <v/>
      </c>
      <c r="F106" s="2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2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2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2" t="str">
        <f>_xlfn.XLOOKUP(A106,Output_Mac!A:A,Output_Mac!I:I,"")</f>
        <v/>
      </c>
      <c r="J106" s="2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2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2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2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O106" s="2" t="str">
        <f>_xlfn.LET(
    _xlpm.CSVVal, _xlfn.XLOOKUP($A106, CSV!$A:$A, CSV!AF:AF,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2" t="str" cm="1">
        <f t="array" ref="P106">IFERROR(_xlfn.LET(
_xlpm.CSVVal,_xlfn.XLOOKUP($A106,CSV!$A:$A,CSV!AG:AG,""),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2" t="str" cm="1">
        <f t="array" ref="Q106">IFERROR(_xlfn.LET(
_xlpm.CSVVal,_xlfn.XLOOKUP($A106,CSV!$A:$A,CSV!AH:AH,""),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X106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2" t="str">
        <f>_xlfn.TEXTJOIN("",TRUE,Input!$B$2,ROW(My_Audit!A106))</f>
        <v>XX106</v>
      </c>
      <c r="B107" s="2" t="str">
        <f>_xlfn.TEXTJOIN("-",TRUE,"ITD",Input!$A$2,A107)</f>
        <v>ITD-SHRXXX-XX106</v>
      </c>
      <c r="C107" s="2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2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2" t="str">
        <f>_xlfn.XLOOKUP(A107,My_Audit!A:A,My_Audit!D:D,"")&amp;""</f>
        <v/>
      </c>
      <c r="F107" s="2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2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2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2" t="str">
        <f>_xlfn.XLOOKUP(A107,Output_Mac!A:A,Output_Mac!I:I,"")</f>
        <v/>
      </c>
      <c r="J107" s="2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2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2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2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O107" s="2" t="str">
        <f>_xlfn.LET(
    _xlpm.CSVVal, _xlfn.XLOOKUP($A107, CSV!$A:$A, CSV!AF:AF,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2" t="str" cm="1">
        <f t="array" ref="P107">IFERROR(_xlfn.LET(
_xlpm.CSVVal,_xlfn.XLOOKUP($A107,CSV!$A:$A,CSV!AG:AG,""),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2" t="str" cm="1">
        <f t="array" ref="Q107">IFERROR(_xlfn.LET(
_xlpm.CSVVal,_xlfn.XLOOKUP($A107,CSV!$A:$A,CSV!AH:AH,""),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X10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2" t="str">
        <f>_xlfn.TEXTJOIN("",TRUE,Input!$B$2,ROW(My_Audit!A107))</f>
        <v>XX107</v>
      </c>
      <c r="B108" s="2" t="str">
        <f>_xlfn.TEXTJOIN("-",TRUE,"ITD",Input!$A$2,A108)</f>
        <v>ITD-SHRXXX-XX107</v>
      </c>
      <c r="C108" s="2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2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2" t="str">
        <f>_xlfn.XLOOKUP(A108,My_Audit!A:A,My_Audit!D:D,"")&amp;""</f>
        <v/>
      </c>
      <c r="F108" s="2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2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2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2" t="str">
        <f>_xlfn.XLOOKUP(A108,Output_Mac!A:A,Output_Mac!I:I,"")</f>
        <v/>
      </c>
      <c r="J108" s="2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2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2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2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O108" s="2" t="str">
        <f>_xlfn.LET(
    _xlpm.CSVVal, _xlfn.XLOOKUP($A108, CSV!$A:$A, CSV!AF:AF,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2" t="str" cm="1">
        <f t="array" ref="P108">IFERROR(_xlfn.LET(
_xlpm.CSVVal,_xlfn.XLOOKUP($A108,CSV!$A:$A,CSV!AG:AG,""),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2" t="str" cm="1">
        <f t="array" ref="Q108">IFERROR(_xlfn.LET(
_xlpm.CSVVal,_xlfn.XLOOKUP($A108,CSV!$A:$A,CSV!AH:AH,""),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X108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2" t="str">
        <f>_xlfn.TEXTJOIN("",TRUE,Input!$B$2,ROW(My_Audit!A108))</f>
        <v>XX108</v>
      </c>
      <c r="B109" s="2" t="str">
        <f>_xlfn.TEXTJOIN("-",TRUE,"ITD",Input!$A$2,A109)</f>
        <v>ITD-SHRXXX-XX108</v>
      </c>
      <c r="C109" s="2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2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2" t="str">
        <f>_xlfn.XLOOKUP(A109,My_Audit!A:A,My_Audit!D:D,"")&amp;""</f>
        <v/>
      </c>
      <c r="F109" s="2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2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2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2" t="str">
        <f>_xlfn.XLOOKUP(A109,Output_Mac!A:A,Output_Mac!I:I,"")</f>
        <v/>
      </c>
      <c r="J109" s="2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2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2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2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O109" s="2" t="str">
        <f>_xlfn.LET(
    _xlpm.CSVVal, _xlfn.XLOOKUP($A109, CSV!$A:$A, CSV!AF:AF,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2" t="str" cm="1">
        <f t="array" ref="P109">IFERROR(_xlfn.LET(
_xlpm.CSVVal,_xlfn.XLOOKUP($A109,CSV!$A:$A,CSV!AG:AG,""),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2" t="str" cm="1">
        <f t="array" ref="Q109">IFERROR(_xlfn.LET(
_xlpm.CSVVal,_xlfn.XLOOKUP($A109,CSV!$A:$A,CSV!AH:AH,""),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X10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2" t="str">
        <f>_xlfn.TEXTJOIN("",TRUE,Input!$B$2,ROW(My_Audit!A109))</f>
        <v>XX109</v>
      </c>
      <c r="B110" s="2" t="str">
        <f>_xlfn.TEXTJOIN("-",TRUE,"ITD",Input!$A$2,A110)</f>
        <v>ITD-SHRXXX-XX109</v>
      </c>
      <c r="C110" s="2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2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2" t="str">
        <f>_xlfn.XLOOKUP(A110,My_Audit!A:A,My_Audit!D:D,"")&amp;""</f>
        <v/>
      </c>
      <c r="F110" s="2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2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2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2" t="str">
        <f>_xlfn.XLOOKUP(A110,Output_Mac!A:A,Output_Mac!I:I,"")</f>
        <v/>
      </c>
      <c r="J110" s="2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2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2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2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O110" s="2" t="str">
        <f>_xlfn.LET(
    _xlpm.CSVVal, _xlfn.XLOOKUP($A110, CSV!$A:$A, CSV!AF:AF,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2" t="str" cm="1">
        <f t="array" ref="P110">IFERROR(_xlfn.LET(
_xlpm.CSVVal,_xlfn.XLOOKUP($A110,CSV!$A:$A,CSV!AG:AG,""),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2" t="str" cm="1">
        <f t="array" ref="Q110">IFERROR(_xlfn.LET(
_xlpm.CSVVal,_xlfn.XLOOKUP($A110,CSV!$A:$A,CSV!AH:AH,""),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X110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2" t="str">
        <f>_xlfn.TEXTJOIN("",TRUE,Input!$B$2,ROW(My_Audit!A110))</f>
        <v>XX110</v>
      </c>
      <c r="B111" s="2" t="str">
        <f>_xlfn.TEXTJOIN("-",TRUE,"ITD",Input!$A$2,A111)</f>
        <v>ITD-SHRXXX-XX110</v>
      </c>
      <c r="C111" s="2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2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2" t="str">
        <f>_xlfn.XLOOKUP(A111,My_Audit!A:A,My_Audit!D:D,"")&amp;""</f>
        <v/>
      </c>
      <c r="F111" s="2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2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2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2" t="str">
        <f>_xlfn.XLOOKUP(A111,Output_Mac!A:A,Output_Mac!I:I,"")</f>
        <v/>
      </c>
      <c r="J111" s="2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2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2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2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O111" s="2" t="str">
        <f>_xlfn.LET(
    _xlpm.CSVVal, _xlfn.XLOOKUP($A111, CSV!$A:$A, CSV!AF:AF,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2" t="str" cm="1">
        <f t="array" ref="P111">IFERROR(_xlfn.LET(
_xlpm.CSVVal,_xlfn.XLOOKUP($A111,CSV!$A:$A,CSV!AG:AG,""),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2" t="str" cm="1">
        <f t="array" ref="Q111">IFERROR(_xlfn.LET(
_xlpm.CSVVal,_xlfn.XLOOKUP($A111,CSV!$A:$A,CSV!AH:AH,""),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X11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2" t="str">
        <f>_xlfn.TEXTJOIN("",TRUE,Input!$B$2,ROW(My_Audit!A111))</f>
        <v>XX111</v>
      </c>
      <c r="B112" s="2" t="str">
        <f>_xlfn.TEXTJOIN("-",TRUE,"ITD",Input!$A$2,A112)</f>
        <v>ITD-SHRXXX-XX111</v>
      </c>
      <c r="C112" s="2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2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2" t="str">
        <f>_xlfn.XLOOKUP(A112,My_Audit!A:A,My_Audit!D:D,"")&amp;""</f>
        <v/>
      </c>
      <c r="F112" s="2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2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2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2" t="str">
        <f>_xlfn.XLOOKUP(A112,Output_Mac!A:A,Output_Mac!I:I,"")</f>
        <v/>
      </c>
      <c r="J112" s="2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2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2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2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O112" s="2" t="str">
        <f>_xlfn.LET(
    _xlpm.CSVVal, _xlfn.XLOOKUP($A112, CSV!$A:$A, CSV!AF:AF,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2" t="str" cm="1">
        <f t="array" ref="P112">IFERROR(_xlfn.LET(
_xlpm.CSVVal,_xlfn.XLOOKUP($A112,CSV!$A:$A,CSV!AG:AG,""),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2" t="str" cm="1">
        <f t="array" ref="Q112">IFERROR(_xlfn.LET(
_xlpm.CSVVal,_xlfn.XLOOKUP($A112,CSV!$A:$A,CSV!AH:AH,""),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X112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2" t="str">
        <f>_xlfn.TEXTJOIN("",TRUE,Input!$B$2,ROW(My_Audit!A112))</f>
        <v>XX112</v>
      </c>
      <c r="B113" s="2" t="str">
        <f>_xlfn.TEXTJOIN("-",TRUE,"ITD",Input!$A$2,A113)</f>
        <v>ITD-SHRXXX-XX112</v>
      </c>
      <c r="C113" s="2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2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2" t="str">
        <f>_xlfn.XLOOKUP(A113,My_Audit!A:A,My_Audit!D:D,"")&amp;""</f>
        <v/>
      </c>
      <c r="F113" s="2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2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2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2" t="str">
        <f>_xlfn.XLOOKUP(A113,Output_Mac!A:A,Output_Mac!I:I,"")</f>
        <v/>
      </c>
      <c r="J113" s="2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2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2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2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O113" s="2" t="str">
        <f>_xlfn.LET(
    _xlpm.CSVVal, _xlfn.XLOOKUP($A113, CSV!$A:$A, CSV!AF:AF,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2" t="str" cm="1">
        <f t="array" ref="P113">IFERROR(_xlfn.LET(
_xlpm.CSVVal,_xlfn.XLOOKUP($A113,CSV!$A:$A,CSV!AG:AG,""),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2" t="str" cm="1">
        <f t="array" ref="Q113">IFERROR(_xlfn.LET(
_xlpm.CSVVal,_xlfn.XLOOKUP($A113,CSV!$A:$A,CSV!AH:AH,""),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X113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2" t="str">
        <f>_xlfn.TEXTJOIN("",TRUE,Input!$B$2,ROW(My_Audit!A113))</f>
        <v>XX113</v>
      </c>
      <c r="B114" s="2" t="str">
        <f>_xlfn.TEXTJOIN("-",TRUE,"ITD",Input!$A$2,A114)</f>
        <v>ITD-SHRXXX-XX113</v>
      </c>
      <c r="C114" s="2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2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2" t="str">
        <f>_xlfn.XLOOKUP(A114,My_Audit!A:A,My_Audit!D:D,"")&amp;""</f>
        <v/>
      </c>
      <c r="F114" s="2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2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2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2" t="str">
        <f>_xlfn.XLOOKUP(A114,Output_Mac!A:A,Output_Mac!I:I,"")</f>
        <v/>
      </c>
      <c r="J114" s="2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2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2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2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O114" s="2" t="str">
        <f>_xlfn.LET(
    _xlpm.CSVVal, _xlfn.XLOOKUP($A114, CSV!$A:$A, CSV!AF:AF,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2" t="str" cm="1">
        <f t="array" ref="P114">IFERROR(_xlfn.LET(
_xlpm.CSVVal,_xlfn.XLOOKUP($A114,CSV!$A:$A,CSV!AG:AG,""),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2" t="str" cm="1">
        <f t="array" ref="Q114">IFERROR(_xlfn.LET(
_xlpm.CSVVal,_xlfn.XLOOKUP($A114,CSV!$A:$A,CSV!AH:AH,""),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X114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2" t="str">
        <f>_xlfn.TEXTJOIN("",TRUE,Input!$B$2,ROW(My_Audit!A114))</f>
        <v>XX114</v>
      </c>
      <c r="B115" s="2" t="str">
        <f>_xlfn.TEXTJOIN("-",TRUE,"ITD",Input!$A$2,A115)</f>
        <v>ITD-SHRXXX-XX114</v>
      </c>
      <c r="C115" s="2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2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2" t="str">
        <f>_xlfn.XLOOKUP(A115,My_Audit!A:A,My_Audit!D:D,"")&amp;""</f>
        <v/>
      </c>
      <c r="F115" s="2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2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2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2" t="str">
        <f>_xlfn.XLOOKUP(A115,Output_Mac!A:A,Output_Mac!I:I,"")</f>
        <v/>
      </c>
      <c r="J115" s="2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2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2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2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O115" s="2" t="str">
        <f>_xlfn.LET(
    _xlpm.CSVVal, _xlfn.XLOOKUP($A115, CSV!$A:$A, CSV!AF:AF,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2" t="str" cm="1">
        <f t="array" ref="P115">IFERROR(_xlfn.LET(
_xlpm.CSVVal,_xlfn.XLOOKUP($A115,CSV!$A:$A,CSV!AG:AG,""),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2" t="str" cm="1">
        <f t="array" ref="Q115">IFERROR(_xlfn.LET(
_xlpm.CSVVal,_xlfn.XLOOKUP($A115,CSV!$A:$A,CSV!AH:AH,""),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X115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2" t="str">
        <f>_xlfn.TEXTJOIN("",TRUE,Input!$B$2,ROW(My_Audit!A115))</f>
        <v>XX115</v>
      </c>
      <c r="B116" s="2" t="str">
        <f>_xlfn.TEXTJOIN("-",TRUE,"ITD",Input!$A$2,A116)</f>
        <v>ITD-SHRXXX-XX115</v>
      </c>
      <c r="C116" s="2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2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2" t="str">
        <f>_xlfn.XLOOKUP(A116,My_Audit!A:A,My_Audit!D:D,"")&amp;""</f>
        <v/>
      </c>
      <c r="F116" s="2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2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2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2" t="str">
        <f>_xlfn.XLOOKUP(A116,Output_Mac!A:A,Output_Mac!I:I,"")</f>
        <v/>
      </c>
      <c r="J116" s="2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2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2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2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O116" s="2" t="str">
        <f>_xlfn.LET(
    _xlpm.CSVVal, _xlfn.XLOOKUP($A116, CSV!$A:$A, CSV!AF:AF,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2" t="str" cm="1">
        <f t="array" ref="P116">IFERROR(_xlfn.LET(
_xlpm.CSVVal,_xlfn.XLOOKUP($A116,CSV!$A:$A,CSV!AG:AG,""),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2" t="str" cm="1">
        <f t="array" ref="Q116">IFERROR(_xlfn.LET(
_xlpm.CSVVal,_xlfn.XLOOKUP($A116,CSV!$A:$A,CSV!AH:AH,""),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X116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2" t="str">
        <f>_xlfn.TEXTJOIN("",TRUE,Input!$B$2,ROW(My_Audit!A116))</f>
        <v>XX116</v>
      </c>
      <c r="B117" s="2" t="str">
        <f>_xlfn.TEXTJOIN("-",TRUE,"ITD",Input!$A$2,A117)</f>
        <v>ITD-SHRXXX-XX116</v>
      </c>
      <c r="C117" s="2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2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2" t="str">
        <f>_xlfn.XLOOKUP(A117,My_Audit!A:A,My_Audit!D:D,"")&amp;""</f>
        <v/>
      </c>
      <c r="F117" s="2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2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2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2" t="str">
        <f>_xlfn.XLOOKUP(A117,Output_Mac!A:A,Output_Mac!I:I,"")</f>
        <v/>
      </c>
      <c r="J117" s="2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2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2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2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O117" s="2" t="str">
        <f>_xlfn.LET(
    _xlpm.CSVVal, _xlfn.XLOOKUP($A117, CSV!$A:$A, CSV!AF:AF,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2" t="str" cm="1">
        <f t="array" ref="P117">IFERROR(_xlfn.LET(
_xlpm.CSVVal,_xlfn.XLOOKUP($A117,CSV!$A:$A,CSV!AG:AG,""),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2" t="str" cm="1">
        <f t="array" ref="Q117">IFERROR(_xlfn.LET(
_xlpm.CSVVal,_xlfn.XLOOKUP($A117,CSV!$A:$A,CSV!AH:AH,""),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X11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2" t="str">
        <f>_xlfn.TEXTJOIN("",TRUE,Input!$B$2,ROW(My_Audit!A117))</f>
        <v>XX117</v>
      </c>
      <c r="B118" s="2" t="str">
        <f>_xlfn.TEXTJOIN("-",TRUE,"ITD",Input!$A$2,A118)</f>
        <v>ITD-SHRXXX-XX117</v>
      </c>
      <c r="C118" s="2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2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2" t="str">
        <f>_xlfn.XLOOKUP(A118,My_Audit!A:A,My_Audit!D:D,"")&amp;""</f>
        <v/>
      </c>
      <c r="F118" s="2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2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2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2" t="str">
        <f>_xlfn.XLOOKUP(A118,Output_Mac!A:A,Output_Mac!I:I,"")</f>
        <v/>
      </c>
      <c r="J118" s="2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2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2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2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O118" s="2" t="str">
        <f>_xlfn.LET(
    _xlpm.CSVVal, _xlfn.XLOOKUP($A118, CSV!$A:$A, CSV!AF:AF,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2" t="str" cm="1">
        <f t="array" ref="P118">IFERROR(_xlfn.LET(
_xlpm.CSVVal,_xlfn.XLOOKUP($A118,CSV!$A:$A,CSV!AG:AG,""),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2" t="str" cm="1">
        <f t="array" ref="Q118">IFERROR(_xlfn.LET(
_xlpm.CSVVal,_xlfn.XLOOKUP($A118,CSV!$A:$A,CSV!AH:AH,""),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X118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2" t="str">
        <f>_xlfn.TEXTJOIN("",TRUE,Input!$B$2,ROW(My_Audit!A118))</f>
        <v>XX118</v>
      </c>
      <c r="B119" s="2" t="str">
        <f>_xlfn.TEXTJOIN("-",TRUE,"ITD",Input!$A$2,A119)</f>
        <v>ITD-SHRXXX-XX118</v>
      </c>
      <c r="C119" s="2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2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2" t="str">
        <f>_xlfn.XLOOKUP(A119,My_Audit!A:A,My_Audit!D:D,"")&amp;""</f>
        <v/>
      </c>
      <c r="F119" s="2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2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2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2" t="str">
        <f>_xlfn.XLOOKUP(A119,Output_Mac!A:A,Output_Mac!I:I,"")</f>
        <v/>
      </c>
      <c r="J119" s="2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2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2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2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O119" s="2" t="str">
        <f>_xlfn.LET(
    _xlpm.CSVVal, _xlfn.XLOOKUP($A119, CSV!$A:$A, CSV!AF:AF,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2" t="str" cm="1">
        <f t="array" ref="P119">IFERROR(_xlfn.LET(
_xlpm.CSVVal,_xlfn.XLOOKUP($A119,CSV!$A:$A,CSV!AG:AG,""),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2" t="str" cm="1">
        <f t="array" ref="Q119">IFERROR(_xlfn.LET(
_xlpm.CSVVal,_xlfn.XLOOKUP($A119,CSV!$A:$A,CSV!AH:AH,""),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X11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2" t="str">
        <f>_xlfn.TEXTJOIN("",TRUE,Input!$B$2,ROW(My_Audit!A119))</f>
        <v>XX119</v>
      </c>
      <c r="B120" s="2" t="str">
        <f>_xlfn.TEXTJOIN("-",TRUE,"ITD",Input!$A$2,A120)</f>
        <v>ITD-SHRXXX-XX119</v>
      </c>
      <c r="C120" s="2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2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2" t="str">
        <f>_xlfn.XLOOKUP(A120,My_Audit!A:A,My_Audit!D:D,"")&amp;""</f>
        <v/>
      </c>
      <c r="F120" s="2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2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2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2" t="str">
        <f>_xlfn.XLOOKUP(A120,Output_Mac!A:A,Output_Mac!I:I,"")</f>
        <v/>
      </c>
      <c r="J120" s="2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2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2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2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O120" s="2" t="str">
        <f>_xlfn.LET(
    _xlpm.CSVVal, _xlfn.XLOOKUP($A120, CSV!$A:$A, CSV!AF:AF,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2" t="str" cm="1">
        <f t="array" ref="P120">IFERROR(_xlfn.LET(
_xlpm.CSVVal,_xlfn.XLOOKUP($A120,CSV!$A:$A,CSV!AG:AG,""),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2" t="str" cm="1">
        <f t="array" ref="Q120">IFERROR(_xlfn.LET(
_xlpm.CSVVal,_xlfn.XLOOKUP($A120,CSV!$A:$A,CSV!AH:AH,""),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X120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2" t="str">
        <f>_xlfn.TEXTJOIN("",TRUE,Input!$B$2,ROW(My_Audit!A120))</f>
        <v>XX120</v>
      </c>
      <c r="B121" s="2" t="str">
        <f>_xlfn.TEXTJOIN("-",TRUE,"ITD",Input!$A$2,A121)</f>
        <v>ITD-SHRXXX-XX120</v>
      </c>
      <c r="C121" s="2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2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2" t="str">
        <f>_xlfn.XLOOKUP(A121,My_Audit!A:A,My_Audit!D:D,"")&amp;""</f>
        <v/>
      </c>
      <c r="F121" s="2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2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2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2" t="str">
        <f>_xlfn.XLOOKUP(A121,Output_Mac!A:A,Output_Mac!I:I,"")</f>
        <v/>
      </c>
      <c r="J121" s="2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2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2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2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O121" s="2" t="str">
        <f>_xlfn.LET(
    _xlpm.CSVVal, _xlfn.XLOOKUP($A121, CSV!$A:$A, CSV!AF:AF,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2" t="str" cm="1">
        <f t="array" ref="P121">IFERROR(_xlfn.LET(
_xlpm.CSVVal,_xlfn.XLOOKUP($A121,CSV!$A:$A,CSV!AG:AG,""),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2" t="str" cm="1">
        <f t="array" ref="Q121">IFERROR(_xlfn.LET(
_xlpm.CSVVal,_xlfn.XLOOKUP($A121,CSV!$A:$A,CSV!AH:AH,""),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X12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2" t="str">
        <f>_xlfn.TEXTJOIN("",TRUE,Input!$B$2,ROW(My_Audit!A121))</f>
        <v>XX121</v>
      </c>
      <c r="B122" s="2" t="str">
        <f>_xlfn.TEXTJOIN("-",TRUE,"ITD",Input!$A$2,A122)</f>
        <v>ITD-SHRXXX-XX121</v>
      </c>
      <c r="C122" s="2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2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2" t="str">
        <f>_xlfn.XLOOKUP(A122,My_Audit!A:A,My_Audit!D:D,"")&amp;""</f>
        <v/>
      </c>
      <c r="F122" s="2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2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2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2" t="str">
        <f>_xlfn.XLOOKUP(A122,Output_Mac!A:A,Output_Mac!I:I,"")</f>
        <v/>
      </c>
      <c r="J122" s="2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2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2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2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O122" s="2" t="str">
        <f>_xlfn.LET(
    _xlpm.CSVVal, _xlfn.XLOOKUP($A122, CSV!$A:$A, CSV!AF:AF,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2" t="str" cm="1">
        <f t="array" ref="P122">IFERROR(_xlfn.LET(
_xlpm.CSVVal,_xlfn.XLOOKUP($A122,CSV!$A:$A,CSV!AG:AG,""),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2" t="str" cm="1">
        <f t="array" ref="Q122">IFERROR(_xlfn.LET(
_xlpm.CSVVal,_xlfn.XLOOKUP($A122,CSV!$A:$A,CSV!AH:AH,""),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X122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2" t="str">
        <f>_xlfn.TEXTJOIN("",TRUE,Input!$B$2,ROW(My_Audit!A122))</f>
        <v>XX122</v>
      </c>
      <c r="B123" s="2" t="str">
        <f>_xlfn.TEXTJOIN("-",TRUE,"ITD",Input!$A$2,A123)</f>
        <v>ITD-SHRXXX-XX122</v>
      </c>
      <c r="C123" s="2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2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2" t="str">
        <f>_xlfn.XLOOKUP(A123,My_Audit!A:A,My_Audit!D:D,"")&amp;""</f>
        <v/>
      </c>
      <c r="F123" s="2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2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2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2" t="str">
        <f>_xlfn.XLOOKUP(A123,Output_Mac!A:A,Output_Mac!I:I,"")</f>
        <v/>
      </c>
      <c r="J123" s="2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2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2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2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O123" s="2" t="str">
        <f>_xlfn.LET(
    _xlpm.CSVVal, _xlfn.XLOOKUP($A123, CSV!$A:$A, CSV!AF:AF,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2" t="str" cm="1">
        <f t="array" ref="P123">IFERROR(_xlfn.LET(
_xlpm.CSVVal,_xlfn.XLOOKUP($A123,CSV!$A:$A,CSV!AG:AG,""),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2" t="str" cm="1">
        <f t="array" ref="Q123">IFERROR(_xlfn.LET(
_xlpm.CSVVal,_xlfn.XLOOKUP($A123,CSV!$A:$A,CSV!AH:AH,""),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X123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2" t="str">
        <f>_xlfn.TEXTJOIN("",TRUE,Input!$B$2,ROW(My_Audit!A123))</f>
        <v>XX123</v>
      </c>
      <c r="B124" s="2" t="str">
        <f>_xlfn.TEXTJOIN("-",TRUE,"ITD",Input!$A$2,A124)</f>
        <v>ITD-SHRXXX-XX123</v>
      </c>
      <c r="C124" s="2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2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2" t="str">
        <f>_xlfn.XLOOKUP(A124,My_Audit!A:A,My_Audit!D:D,"")&amp;""</f>
        <v/>
      </c>
      <c r="F124" s="2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2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2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2" t="str">
        <f>_xlfn.XLOOKUP(A124,Output_Mac!A:A,Output_Mac!I:I,"")</f>
        <v/>
      </c>
      <c r="J124" s="2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2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2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2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O124" s="2" t="str">
        <f>_xlfn.LET(
    _xlpm.CSVVal, _xlfn.XLOOKUP($A124, CSV!$A:$A, CSV!AF:AF,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2" t="str" cm="1">
        <f t="array" ref="P124">IFERROR(_xlfn.LET(
_xlpm.CSVVal,_xlfn.XLOOKUP($A124,CSV!$A:$A,CSV!AG:AG,""),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2" t="str" cm="1">
        <f t="array" ref="Q124">IFERROR(_xlfn.LET(
_xlpm.CSVVal,_xlfn.XLOOKUP($A124,CSV!$A:$A,CSV!AH:AH,""),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X124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2" t="str">
        <f>_xlfn.TEXTJOIN("",TRUE,Input!$B$2,ROW(My_Audit!A124))</f>
        <v>XX124</v>
      </c>
      <c r="B125" s="2" t="str">
        <f>_xlfn.TEXTJOIN("-",TRUE,"ITD",Input!$A$2,A125)</f>
        <v>ITD-SHRXXX-XX124</v>
      </c>
      <c r="C125" s="2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2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2" t="str">
        <f>_xlfn.XLOOKUP(A125,My_Audit!A:A,My_Audit!D:D,"")&amp;""</f>
        <v/>
      </c>
      <c r="F125" s="2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2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2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2" t="str">
        <f>_xlfn.XLOOKUP(A125,Output_Mac!A:A,Output_Mac!I:I,"")</f>
        <v/>
      </c>
      <c r="J125" s="2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2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2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2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O125" s="2" t="str">
        <f>_xlfn.LET(
    _xlpm.CSVVal, _xlfn.XLOOKUP($A125, CSV!$A:$A, CSV!AF:AF,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2" t="str" cm="1">
        <f t="array" ref="P125">IFERROR(_xlfn.LET(
_xlpm.CSVVal,_xlfn.XLOOKUP($A125,CSV!$A:$A,CSV!AG:AG,""),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2" t="str" cm="1">
        <f t="array" ref="Q125">IFERROR(_xlfn.LET(
_xlpm.CSVVal,_xlfn.XLOOKUP($A125,CSV!$A:$A,CSV!AH:AH,""),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X125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2" t="str">
        <f>_xlfn.TEXTJOIN("",TRUE,Input!$B$2,ROW(My_Audit!A125))</f>
        <v>XX125</v>
      </c>
      <c r="B126" s="2" t="str">
        <f>_xlfn.TEXTJOIN("-",TRUE,"ITD",Input!$A$2,A126)</f>
        <v>ITD-SHRXXX-XX125</v>
      </c>
      <c r="C126" s="2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2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2" t="str">
        <f>_xlfn.XLOOKUP(A126,My_Audit!A:A,My_Audit!D:D,"")&amp;""</f>
        <v/>
      </c>
      <c r="F126" s="2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2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2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2" t="str">
        <f>_xlfn.XLOOKUP(A126,Output_Mac!A:A,Output_Mac!I:I,"")</f>
        <v/>
      </c>
      <c r="J126" s="2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2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2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2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O126" s="2" t="str">
        <f>_xlfn.LET(
    _xlpm.CSVVal, _xlfn.XLOOKUP($A126, CSV!$A:$A, CSV!AF:AF,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2" t="str" cm="1">
        <f t="array" ref="P126">IFERROR(_xlfn.LET(
_xlpm.CSVVal,_xlfn.XLOOKUP($A126,CSV!$A:$A,CSV!AG:AG,""),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2" t="str" cm="1">
        <f t="array" ref="Q126">IFERROR(_xlfn.LET(
_xlpm.CSVVal,_xlfn.XLOOKUP($A126,CSV!$A:$A,CSV!AH:AH,""),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X126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2" t="str">
        <f>_xlfn.TEXTJOIN("",TRUE,Input!$B$2,ROW(My_Audit!A126))</f>
        <v>XX126</v>
      </c>
      <c r="B127" s="2" t="str">
        <f>_xlfn.TEXTJOIN("-",TRUE,"ITD",Input!$A$2,A127)</f>
        <v>ITD-SHRXXX-XX126</v>
      </c>
      <c r="C127" s="2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2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2" t="str">
        <f>_xlfn.XLOOKUP(A127,My_Audit!A:A,My_Audit!D:D,"")&amp;""</f>
        <v/>
      </c>
      <c r="F127" s="2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2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2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2" t="str">
        <f>_xlfn.XLOOKUP(A127,Output_Mac!A:A,Output_Mac!I:I,"")</f>
        <v/>
      </c>
      <c r="J127" s="2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2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2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2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O127" s="2" t="str">
        <f>_xlfn.LET(
    _xlpm.CSVVal, _xlfn.XLOOKUP($A127, CSV!$A:$A, CSV!AF:AF,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2" t="str" cm="1">
        <f t="array" ref="P127">IFERROR(_xlfn.LET(
_xlpm.CSVVal,_xlfn.XLOOKUP($A127,CSV!$A:$A,CSV!AG:AG,""),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2" t="str" cm="1">
        <f t="array" ref="Q127">IFERROR(_xlfn.LET(
_xlpm.CSVVal,_xlfn.XLOOKUP($A127,CSV!$A:$A,CSV!AH:AH,""),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X12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2" t="str">
        <f>_xlfn.TEXTJOIN("",TRUE,Input!$B$2,ROW(My_Audit!A127))</f>
        <v>XX127</v>
      </c>
      <c r="B128" s="2" t="str">
        <f>_xlfn.TEXTJOIN("-",TRUE,"ITD",Input!$A$2,A128)</f>
        <v>ITD-SHRXXX-XX127</v>
      </c>
      <c r="C128" s="2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2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2" t="str">
        <f>_xlfn.XLOOKUP(A128,My_Audit!A:A,My_Audit!D:D,"")&amp;""</f>
        <v/>
      </c>
      <c r="F128" s="2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2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2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2" t="str">
        <f>_xlfn.XLOOKUP(A128,Output_Mac!A:A,Output_Mac!I:I,"")</f>
        <v/>
      </c>
      <c r="J128" s="2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2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2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2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O128" s="2" t="str">
        <f>_xlfn.LET(
    _xlpm.CSVVal, _xlfn.XLOOKUP($A128, CSV!$A:$A, CSV!AF:AF,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2" t="str" cm="1">
        <f t="array" ref="P128">IFERROR(_xlfn.LET(
_xlpm.CSVVal,_xlfn.XLOOKUP($A128,CSV!$A:$A,CSV!AG:AG,""),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2" t="str" cm="1">
        <f t="array" ref="Q128">IFERROR(_xlfn.LET(
_xlpm.CSVVal,_xlfn.XLOOKUP($A128,CSV!$A:$A,CSV!AH:AH,""),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X128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2" t="str">
        <f>_xlfn.TEXTJOIN("",TRUE,Input!$B$2,ROW(My_Audit!A128))</f>
        <v>XX128</v>
      </c>
      <c r="B129" s="2" t="str">
        <f>_xlfn.TEXTJOIN("-",TRUE,"ITD",Input!$A$2,A129)</f>
        <v>ITD-SHRXXX-XX128</v>
      </c>
      <c r="C129" s="2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2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2" t="str">
        <f>_xlfn.XLOOKUP(A129,My_Audit!A:A,My_Audit!D:D,"")&amp;""</f>
        <v/>
      </c>
      <c r="F129" s="2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2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2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2" t="str">
        <f>_xlfn.XLOOKUP(A129,Output_Mac!A:A,Output_Mac!I:I,"")</f>
        <v/>
      </c>
      <c r="J129" s="2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2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2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2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O129" s="2" t="str">
        <f>_xlfn.LET(
    _xlpm.CSVVal, _xlfn.XLOOKUP($A129, CSV!$A:$A, CSV!AF:AF,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2" t="str" cm="1">
        <f t="array" ref="P129">IFERROR(_xlfn.LET(
_xlpm.CSVVal,_xlfn.XLOOKUP($A129,CSV!$A:$A,CSV!AG:AG,""),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2" t="str" cm="1">
        <f t="array" ref="Q129">IFERROR(_xlfn.LET(
_xlpm.CSVVal,_xlfn.XLOOKUP($A129,CSV!$A:$A,CSV!AH:AH,""),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X12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2" t="str">
        <f>_xlfn.TEXTJOIN("",TRUE,Input!$B$2,ROW(My_Audit!A129))</f>
        <v>XX129</v>
      </c>
      <c r="B130" s="2" t="str">
        <f>_xlfn.TEXTJOIN("-",TRUE,"ITD",Input!$A$2,A130)</f>
        <v>ITD-SHRXXX-XX129</v>
      </c>
      <c r="C130" s="2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2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2" t="str">
        <f>_xlfn.XLOOKUP(A130,My_Audit!A:A,My_Audit!D:D,"")&amp;""</f>
        <v/>
      </c>
      <c r="F130" s="2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2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2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2" t="str">
        <f>_xlfn.XLOOKUP(A130,Output_Mac!A:A,Output_Mac!I:I,"")</f>
        <v/>
      </c>
      <c r="J130" s="2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2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2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2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O130" s="2" t="str">
        <f>_xlfn.LET(
    _xlpm.CSVVal, _xlfn.XLOOKUP($A130, CSV!$A:$A, CSV!AF:AF,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2" t="str" cm="1">
        <f t="array" ref="P130">IFERROR(_xlfn.LET(
_xlpm.CSVVal,_xlfn.XLOOKUP($A130,CSV!$A:$A,CSV!AG:AG,""),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2" t="str" cm="1">
        <f t="array" ref="Q130">IFERROR(_xlfn.LET(
_xlpm.CSVVal,_xlfn.XLOOKUP($A130,CSV!$A:$A,CSV!AH:AH,""),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X130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2" t="str">
        <f>_xlfn.TEXTJOIN("",TRUE,Input!$B$2,ROW(My_Audit!A130))</f>
        <v>XX130</v>
      </c>
      <c r="B131" s="2" t="str">
        <f>_xlfn.TEXTJOIN("-",TRUE,"ITD",Input!$A$2,A131)</f>
        <v>ITD-SHRXXX-XX130</v>
      </c>
      <c r="C131" s="2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2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2" t="str">
        <f>_xlfn.XLOOKUP(A131,My_Audit!A:A,My_Audit!D:D,"")&amp;""</f>
        <v/>
      </c>
      <c r="F131" s="2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2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2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2" t="str">
        <f>_xlfn.XLOOKUP(A131,Output_Mac!A:A,Output_Mac!I:I,"")</f>
        <v/>
      </c>
      <c r="J131" s="2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2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2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2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O131" s="2" t="str">
        <f>_xlfn.LET(
    _xlpm.CSVVal, _xlfn.XLOOKUP($A131, CSV!$A:$A, CSV!AF:AF,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2" t="str" cm="1">
        <f t="array" ref="P131">IFERROR(_xlfn.LET(
_xlpm.CSVVal,_xlfn.XLOOKUP($A131,CSV!$A:$A,CSV!AG:AG,""),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2" t="str" cm="1">
        <f t="array" ref="Q131">IFERROR(_xlfn.LET(
_xlpm.CSVVal,_xlfn.XLOOKUP($A131,CSV!$A:$A,CSV!AH:AH,""),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X13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2" t="str">
        <f>_xlfn.TEXTJOIN("",TRUE,Input!$B$2,ROW(My_Audit!A131))</f>
        <v>XX131</v>
      </c>
      <c r="B132" s="2" t="str">
        <f>_xlfn.TEXTJOIN("-",TRUE,"ITD",Input!$A$2,A132)</f>
        <v>ITD-SHRXXX-XX131</v>
      </c>
      <c r="C132" s="2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2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2" t="str">
        <f>_xlfn.XLOOKUP(A132,My_Audit!A:A,My_Audit!D:D,"")&amp;""</f>
        <v/>
      </c>
      <c r="F132" s="2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2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2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2" t="str">
        <f>_xlfn.XLOOKUP(A132,Output_Mac!A:A,Output_Mac!I:I,"")</f>
        <v/>
      </c>
      <c r="J132" s="2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2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2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2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O132" s="2" t="str">
        <f>_xlfn.LET(
    _xlpm.CSVVal, _xlfn.XLOOKUP($A132, CSV!$A:$A, CSV!AF:AF,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2" t="str" cm="1">
        <f t="array" ref="P132">IFERROR(_xlfn.LET(
_xlpm.CSVVal,_xlfn.XLOOKUP($A132,CSV!$A:$A,CSV!AG:AG,""),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2" t="str" cm="1">
        <f t="array" ref="Q132">IFERROR(_xlfn.LET(
_xlpm.CSVVal,_xlfn.XLOOKUP($A132,CSV!$A:$A,CSV!AH:AH,""),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X132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2" t="str">
        <f>_xlfn.TEXTJOIN("",TRUE,Input!$B$2,ROW(My_Audit!A132))</f>
        <v>XX132</v>
      </c>
      <c r="B133" s="2" t="str">
        <f>_xlfn.TEXTJOIN("-",TRUE,"ITD",Input!$A$2,A133)</f>
        <v>ITD-SHRXXX-XX132</v>
      </c>
      <c r="C133" s="2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2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2" t="str">
        <f>_xlfn.XLOOKUP(A133,My_Audit!A:A,My_Audit!D:D,"")&amp;""</f>
        <v/>
      </c>
      <c r="F133" s="2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2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2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2" t="str">
        <f>_xlfn.XLOOKUP(A133,Output_Mac!A:A,Output_Mac!I:I,"")</f>
        <v/>
      </c>
      <c r="J133" s="2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2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2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2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O133" s="2" t="str">
        <f>_xlfn.LET(
    _xlpm.CSVVal, _xlfn.XLOOKUP($A133, CSV!$A:$A, CSV!AF:AF,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2" t="str" cm="1">
        <f t="array" ref="P133">IFERROR(_xlfn.LET(
_xlpm.CSVVal,_xlfn.XLOOKUP($A133,CSV!$A:$A,CSV!AG:AG,""),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2" t="str" cm="1">
        <f t="array" ref="Q133">IFERROR(_xlfn.LET(
_xlpm.CSVVal,_xlfn.XLOOKUP($A133,CSV!$A:$A,CSV!AH:AH,""),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X133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2" t="str">
        <f>_xlfn.TEXTJOIN("",TRUE,Input!$B$2,ROW(My_Audit!A133))</f>
        <v>XX133</v>
      </c>
      <c r="B134" s="2" t="str">
        <f>_xlfn.TEXTJOIN("-",TRUE,"ITD",Input!$A$2,A134)</f>
        <v>ITD-SHRXXX-XX133</v>
      </c>
      <c r="C134" s="2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2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2" t="str">
        <f>_xlfn.XLOOKUP(A134,My_Audit!A:A,My_Audit!D:D,"")&amp;""</f>
        <v/>
      </c>
      <c r="F134" s="2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2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2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2" t="str">
        <f>_xlfn.XLOOKUP(A134,Output_Mac!A:A,Output_Mac!I:I,"")</f>
        <v/>
      </c>
      <c r="J134" s="2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2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2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2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O134" s="2" t="str">
        <f>_xlfn.LET(
    _xlpm.CSVVal, _xlfn.XLOOKUP($A134, CSV!$A:$A, CSV!AF:AF,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2" t="str" cm="1">
        <f t="array" ref="P134">IFERROR(_xlfn.LET(
_xlpm.CSVVal,_xlfn.XLOOKUP($A134,CSV!$A:$A,CSV!AG:AG,""),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2" t="str" cm="1">
        <f t="array" ref="Q134">IFERROR(_xlfn.LET(
_xlpm.CSVVal,_xlfn.XLOOKUP($A134,CSV!$A:$A,CSV!AH:AH,""),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X134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2" t="str">
        <f>_xlfn.TEXTJOIN("",TRUE,Input!$B$2,ROW(My_Audit!A134))</f>
        <v>XX134</v>
      </c>
      <c r="B135" s="2" t="str">
        <f>_xlfn.TEXTJOIN("-",TRUE,"ITD",Input!$A$2,A135)</f>
        <v>ITD-SHRXXX-XX134</v>
      </c>
      <c r="C135" s="2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2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2" t="str">
        <f>_xlfn.XLOOKUP(A135,My_Audit!A:A,My_Audit!D:D,"")&amp;""</f>
        <v/>
      </c>
      <c r="F135" s="2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2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2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2" t="str">
        <f>_xlfn.XLOOKUP(A135,Output_Mac!A:A,Output_Mac!I:I,"")</f>
        <v/>
      </c>
      <c r="J135" s="2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2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2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2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O135" s="2" t="str">
        <f>_xlfn.LET(
    _xlpm.CSVVal, _xlfn.XLOOKUP($A135, CSV!$A:$A, CSV!AF:AF,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2" t="str" cm="1">
        <f t="array" ref="P135">IFERROR(_xlfn.LET(
_xlpm.CSVVal,_xlfn.XLOOKUP($A135,CSV!$A:$A,CSV!AG:AG,""),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2" t="str" cm="1">
        <f t="array" ref="Q135">IFERROR(_xlfn.LET(
_xlpm.CSVVal,_xlfn.XLOOKUP($A135,CSV!$A:$A,CSV!AH:AH,""),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X135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2" t="str">
        <f>_xlfn.TEXTJOIN("",TRUE,Input!$B$2,ROW(My_Audit!A135))</f>
        <v>XX135</v>
      </c>
      <c r="B136" s="2" t="str">
        <f>_xlfn.TEXTJOIN("-",TRUE,"ITD",Input!$A$2,A136)</f>
        <v>ITD-SHRXXX-XX135</v>
      </c>
      <c r="C136" s="2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2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2" t="str">
        <f>_xlfn.XLOOKUP(A136,My_Audit!A:A,My_Audit!D:D,"")&amp;""</f>
        <v/>
      </c>
      <c r="F136" s="2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2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2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2" t="str">
        <f>_xlfn.XLOOKUP(A136,Output_Mac!A:A,Output_Mac!I:I,"")</f>
        <v/>
      </c>
      <c r="J136" s="2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2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2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2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O136" s="2" t="str">
        <f>_xlfn.LET(
    _xlpm.CSVVal, _xlfn.XLOOKUP($A136, CSV!$A:$A, CSV!AF:AF,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2" t="str" cm="1">
        <f t="array" ref="P136">IFERROR(_xlfn.LET(
_xlpm.CSVVal,_xlfn.XLOOKUP($A136,CSV!$A:$A,CSV!AG:AG,""),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2" t="str" cm="1">
        <f t="array" ref="Q136">IFERROR(_xlfn.LET(
_xlpm.CSVVal,_xlfn.XLOOKUP($A136,CSV!$A:$A,CSV!AH:AH,""),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X136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2" t="str">
        <f>_xlfn.TEXTJOIN("",TRUE,Input!$B$2,ROW(My_Audit!A136))</f>
        <v>XX136</v>
      </c>
      <c r="B137" s="2" t="str">
        <f>_xlfn.TEXTJOIN("-",TRUE,"ITD",Input!$A$2,A137)</f>
        <v>ITD-SHRXXX-XX136</v>
      </c>
      <c r="C137" s="2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2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2" t="str">
        <f>_xlfn.XLOOKUP(A137,My_Audit!A:A,My_Audit!D:D,"")&amp;""</f>
        <v/>
      </c>
      <c r="F137" s="2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2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2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2" t="str">
        <f>_xlfn.XLOOKUP(A137,Output_Mac!A:A,Output_Mac!I:I,"")</f>
        <v/>
      </c>
      <c r="J137" s="2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2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2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2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O137" s="2" t="str">
        <f>_xlfn.LET(
    _xlpm.CSVVal, _xlfn.XLOOKUP($A137, CSV!$A:$A, CSV!AF:AF,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2" t="str" cm="1">
        <f t="array" ref="P137">IFERROR(_xlfn.LET(
_xlpm.CSVVal,_xlfn.XLOOKUP($A137,CSV!$A:$A,CSV!AG:AG,""),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2" t="str" cm="1">
        <f t="array" ref="Q137">IFERROR(_xlfn.LET(
_xlpm.CSVVal,_xlfn.XLOOKUP($A137,CSV!$A:$A,CSV!AH:AH,""),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X13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2" t="str">
        <f>_xlfn.TEXTJOIN("",TRUE,Input!$B$2,ROW(My_Audit!A137))</f>
        <v>XX137</v>
      </c>
      <c r="B138" s="2" t="str">
        <f>_xlfn.TEXTJOIN("-",TRUE,"ITD",Input!$A$2,A138)</f>
        <v>ITD-SHRXXX-XX137</v>
      </c>
      <c r="C138" s="2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2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2" t="str">
        <f>_xlfn.XLOOKUP(A138,My_Audit!A:A,My_Audit!D:D,"")&amp;""</f>
        <v/>
      </c>
      <c r="F138" s="2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2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2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2" t="str">
        <f>_xlfn.XLOOKUP(A138,Output_Mac!A:A,Output_Mac!I:I,"")</f>
        <v/>
      </c>
      <c r="J138" s="2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2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2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2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O138" s="2" t="str">
        <f>_xlfn.LET(
    _xlpm.CSVVal, _xlfn.XLOOKUP($A138, CSV!$A:$A, CSV!AF:AF,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2" t="str" cm="1">
        <f t="array" ref="P138">IFERROR(_xlfn.LET(
_xlpm.CSVVal,_xlfn.XLOOKUP($A138,CSV!$A:$A,CSV!AG:AG,""),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2" t="str" cm="1">
        <f t="array" ref="Q138">IFERROR(_xlfn.LET(
_xlpm.CSVVal,_xlfn.XLOOKUP($A138,CSV!$A:$A,CSV!AH:AH,""),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X138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2" t="str">
        <f>_xlfn.TEXTJOIN("",TRUE,Input!$B$2,ROW(My_Audit!A138))</f>
        <v>XX138</v>
      </c>
      <c r="B139" s="2" t="str">
        <f>_xlfn.TEXTJOIN("-",TRUE,"ITD",Input!$A$2,A139)</f>
        <v>ITD-SHRXXX-XX138</v>
      </c>
      <c r="C139" s="2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2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2" t="str">
        <f>_xlfn.XLOOKUP(A139,My_Audit!A:A,My_Audit!D:D,"")&amp;""</f>
        <v/>
      </c>
      <c r="F139" s="2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2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2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2" t="str">
        <f>_xlfn.XLOOKUP(A139,Output_Mac!A:A,Output_Mac!I:I,"")</f>
        <v/>
      </c>
      <c r="J139" s="2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2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2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2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O139" s="2" t="str">
        <f>_xlfn.LET(
    _xlpm.CSVVal, _xlfn.XLOOKUP($A139, CSV!$A:$A, CSV!AF:AF,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2" t="str" cm="1">
        <f t="array" ref="P139">IFERROR(_xlfn.LET(
_xlpm.CSVVal,_xlfn.XLOOKUP($A139,CSV!$A:$A,CSV!AG:AG,""),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2" t="str" cm="1">
        <f t="array" ref="Q139">IFERROR(_xlfn.LET(
_xlpm.CSVVal,_xlfn.XLOOKUP($A139,CSV!$A:$A,CSV!AH:AH,""),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X1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2" t="str">
        <f>_xlfn.TEXTJOIN("",TRUE,Input!$B$2,ROW(My_Audit!A139))</f>
        <v>XX139</v>
      </c>
      <c r="B140" s="2" t="str">
        <f>_xlfn.TEXTJOIN("-",TRUE,"ITD",Input!$A$2,A140)</f>
        <v>ITD-SHRXXX-XX139</v>
      </c>
      <c r="C140" s="2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2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2" t="str">
        <f>_xlfn.XLOOKUP(A140,My_Audit!A:A,My_Audit!D:D,"")&amp;""</f>
        <v/>
      </c>
      <c r="F140" s="2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2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2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2" t="str">
        <f>_xlfn.XLOOKUP(A140,Output_Mac!A:A,Output_Mac!I:I,"")</f>
        <v/>
      </c>
      <c r="J140" s="2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2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2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2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O140" s="2" t="str">
        <f>_xlfn.LET(
    _xlpm.CSVVal, _xlfn.XLOOKUP($A140, CSV!$A:$A, CSV!AF:AF,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2" t="str" cm="1">
        <f t="array" ref="P140">IFERROR(_xlfn.LET(
_xlpm.CSVVal,_xlfn.XLOOKUP($A140,CSV!$A:$A,CSV!AG:AG,""),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2" t="str" cm="1">
        <f t="array" ref="Q140">IFERROR(_xlfn.LET(
_xlpm.CSVVal,_xlfn.XLOOKUP($A140,CSV!$A:$A,CSV!AH:AH,""),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X140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2" t="str">
        <f>_xlfn.TEXTJOIN("",TRUE,Input!$B$2,ROW(My_Audit!A140))</f>
        <v>XX140</v>
      </c>
      <c r="B141" s="2" t="str">
        <f>_xlfn.TEXTJOIN("-",TRUE,"ITD",Input!$A$2,A141)</f>
        <v>ITD-SHRXXX-XX140</v>
      </c>
      <c r="C141" s="2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2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2" t="str">
        <f>_xlfn.XLOOKUP(A141,My_Audit!A:A,My_Audit!D:D,"")&amp;""</f>
        <v/>
      </c>
      <c r="F141" s="2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2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2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2" t="str">
        <f>_xlfn.XLOOKUP(A141,Output_Mac!A:A,Output_Mac!I:I,"")</f>
        <v/>
      </c>
      <c r="J141" s="2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2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2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2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O141" s="2" t="str">
        <f>_xlfn.LET(
    _xlpm.CSVVal, _xlfn.XLOOKUP($A141, CSV!$A:$A, CSV!AF:AF,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2" t="str" cm="1">
        <f t="array" ref="P141">IFERROR(_xlfn.LET(
_xlpm.CSVVal,_xlfn.XLOOKUP($A141,CSV!$A:$A,CSV!AG:AG,""),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2" t="str" cm="1">
        <f t="array" ref="Q141">IFERROR(_xlfn.LET(
_xlpm.CSVVal,_xlfn.XLOOKUP($A141,CSV!$A:$A,CSV!AH:AH,""),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X1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2" t="str">
        <f>_xlfn.TEXTJOIN("",TRUE,Input!$B$2,ROW(My_Audit!A141))</f>
        <v>XX141</v>
      </c>
      <c r="B142" s="2" t="str">
        <f>_xlfn.TEXTJOIN("-",TRUE,"ITD",Input!$A$2,A142)</f>
        <v>ITD-SHRXXX-XX141</v>
      </c>
      <c r="C142" s="2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2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2" t="str">
        <f>_xlfn.XLOOKUP(A142,My_Audit!A:A,My_Audit!D:D,"")&amp;""</f>
        <v/>
      </c>
      <c r="F142" s="2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2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2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2" t="str">
        <f>_xlfn.XLOOKUP(A142,Output_Mac!A:A,Output_Mac!I:I,"")</f>
        <v/>
      </c>
      <c r="J142" s="2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2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2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2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O142" s="2" t="str">
        <f>_xlfn.LET(
    _xlpm.CSVVal, _xlfn.XLOOKUP($A142, CSV!$A:$A, CSV!AF:AF,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2" t="str" cm="1">
        <f t="array" ref="P142">IFERROR(_xlfn.LET(
_xlpm.CSVVal,_xlfn.XLOOKUP($A142,CSV!$A:$A,CSV!AG:AG,""),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2" t="str" cm="1">
        <f t="array" ref="Q142">IFERROR(_xlfn.LET(
_xlpm.CSVVal,_xlfn.XLOOKUP($A142,CSV!$A:$A,CSV!AH:AH,""),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X142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2" t="str">
        <f>_xlfn.TEXTJOIN("",TRUE,Input!$B$2,ROW(My_Audit!A142))</f>
        <v>XX142</v>
      </c>
      <c r="B143" s="2" t="str">
        <f>_xlfn.TEXTJOIN("-",TRUE,"ITD",Input!$A$2,A143)</f>
        <v>ITD-SHRXXX-XX142</v>
      </c>
      <c r="C143" s="2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2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2" t="str">
        <f>_xlfn.XLOOKUP(A143,My_Audit!A:A,My_Audit!D:D,"")&amp;""</f>
        <v/>
      </c>
      <c r="F143" s="2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2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2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2" t="str">
        <f>_xlfn.XLOOKUP(A143,Output_Mac!A:A,Output_Mac!I:I,"")</f>
        <v/>
      </c>
      <c r="J143" s="2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2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2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2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O143" s="2" t="str">
        <f>_xlfn.LET(
    _xlpm.CSVVal, _xlfn.XLOOKUP($A143, CSV!$A:$A, CSV!AF:AF,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2" t="str" cm="1">
        <f t="array" ref="P143">IFERROR(_xlfn.LET(
_xlpm.CSVVal,_xlfn.XLOOKUP($A143,CSV!$A:$A,CSV!AG:AG,""),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2" t="str" cm="1">
        <f t="array" ref="Q143">IFERROR(_xlfn.LET(
_xlpm.CSVVal,_xlfn.XLOOKUP($A143,CSV!$A:$A,CSV!AH:AH,""),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X143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2" t="str">
        <f>_xlfn.TEXTJOIN("",TRUE,Input!$B$2,ROW(My_Audit!A143))</f>
        <v>XX143</v>
      </c>
      <c r="B144" s="2" t="str">
        <f>_xlfn.TEXTJOIN("-",TRUE,"ITD",Input!$A$2,A144)</f>
        <v>ITD-SHRXXX-XX143</v>
      </c>
      <c r="C144" s="2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2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2" t="str">
        <f>_xlfn.XLOOKUP(A144,My_Audit!A:A,My_Audit!D:D,"")&amp;""</f>
        <v/>
      </c>
      <c r="F144" s="2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2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2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2" t="str">
        <f>_xlfn.XLOOKUP(A144,Output_Mac!A:A,Output_Mac!I:I,"")</f>
        <v/>
      </c>
      <c r="J144" s="2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2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2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2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O144" s="2" t="str">
        <f>_xlfn.LET(
    _xlpm.CSVVal, _xlfn.XLOOKUP($A144, CSV!$A:$A, CSV!AF:AF,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2" t="str" cm="1">
        <f t="array" ref="P144">IFERROR(_xlfn.LET(
_xlpm.CSVVal,_xlfn.XLOOKUP($A144,CSV!$A:$A,CSV!AG:AG,""),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2" t="str" cm="1">
        <f t="array" ref="Q144">IFERROR(_xlfn.LET(
_xlpm.CSVVal,_xlfn.XLOOKUP($A144,CSV!$A:$A,CSV!AH:AH,""),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X144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2" t="str">
        <f>_xlfn.TEXTJOIN("",TRUE,Input!$B$2,ROW(My_Audit!A144))</f>
        <v>XX144</v>
      </c>
      <c r="B145" s="2" t="str">
        <f>_xlfn.TEXTJOIN("-",TRUE,"ITD",Input!$A$2,A145)</f>
        <v>ITD-SHRXXX-XX144</v>
      </c>
      <c r="C145" s="2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2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2" t="str">
        <f>_xlfn.XLOOKUP(A145,My_Audit!A:A,My_Audit!D:D,"")&amp;""</f>
        <v/>
      </c>
      <c r="F145" s="2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2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2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2" t="str">
        <f>_xlfn.XLOOKUP(A145,Output_Mac!A:A,Output_Mac!I:I,"")</f>
        <v/>
      </c>
      <c r="J145" s="2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2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2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2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O145" s="2" t="str">
        <f>_xlfn.LET(
    _xlpm.CSVVal, _xlfn.XLOOKUP($A145, CSV!$A:$A, CSV!AF:AF,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2" t="str" cm="1">
        <f t="array" ref="P145">IFERROR(_xlfn.LET(
_xlpm.CSVVal,_xlfn.XLOOKUP($A145,CSV!$A:$A,CSV!AG:AG,""),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2" t="str" cm="1">
        <f t="array" ref="Q145">IFERROR(_xlfn.LET(
_xlpm.CSVVal,_xlfn.XLOOKUP($A145,CSV!$A:$A,CSV!AH:AH,""),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X145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2" t="str">
        <f>_xlfn.TEXTJOIN("",TRUE,Input!$B$2,ROW(My_Audit!A145))</f>
        <v>XX145</v>
      </c>
      <c r="B146" s="2" t="str">
        <f>_xlfn.TEXTJOIN("-",TRUE,"ITD",Input!$A$2,A146)</f>
        <v>ITD-SHRXXX-XX145</v>
      </c>
      <c r="C146" s="2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2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2" t="str">
        <f>_xlfn.XLOOKUP(A146,My_Audit!A:A,My_Audit!D:D,"")&amp;""</f>
        <v/>
      </c>
      <c r="F146" s="2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2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2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2" t="str">
        <f>_xlfn.XLOOKUP(A146,Output_Mac!A:A,Output_Mac!I:I,"")</f>
        <v/>
      </c>
      <c r="J146" s="2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2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2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2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O146" s="2" t="str">
        <f>_xlfn.LET(
    _xlpm.CSVVal, _xlfn.XLOOKUP($A146, CSV!$A:$A, CSV!AF:AF,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2" t="str" cm="1">
        <f t="array" ref="P146">IFERROR(_xlfn.LET(
_xlpm.CSVVal,_xlfn.XLOOKUP($A146,CSV!$A:$A,CSV!AG:AG,""),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2" t="str" cm="1">
        <f t="array" ref="Q146">IFERROR(_xlfn.LET(
_xlpm.CSVVal,_xlfn.XLOOKUP($A146,CSV!$A:$A,CSV!AH:AH,""),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X146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2" t="str">
        <f>_xlfn.TEXTJOIN("",TRUE,Input!$B$2,ROW(My_Audit!A146))</f>
        <v>XX146</v>
      </c>
      <c r="B147" s="2" t="str">
        <f>_xlfn.TEXTJOIN("-",TRUE,"ITD",Input!$A$2,A147)</f>
        <v>ITD-SHRXXX-XX146</v>
      </c>
      <c r="C147" s="2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2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2" t="str">
        <f>_xlfn.XLOOKUP(A147,My_Audit!A:A,My_Audit!D:D,"")&amp;""</f>
        <v/>
      </c>
      <c r="F147" s="2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2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2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2" t="str">
        <f>_xlfn.XLOOKUP(A147,Output_Mac!A:A,Output_Mac!I:I,"")</f>
        <v/>
      </c>
      <c r="J147" s="2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2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2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2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O147" s="2" t="str">
        <f>_xlfn.LET(
    _xlpm.CSVVal, _xlfn.XLOOKUP($A147, CSV!$A:$A, CSV!AF:AF,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2" t="str" cm="1">
        <f t="array" ref="P147">IFERROR(_xlfn.LET(
_xlpm.CSVVal,_xlfn.XLOOKUP($A147,CSV!$A:$A,CSV!AG:AG,""),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2" t="str" cm="1">
        <f t="array" ref="Q147">IFERROR(_xlfn.LET(
_xlpm.CSVVal,_xlfn.XLOOKUP($A147,CSV!$A:$A,CSV!AH:AH,""),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X1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2" t="str">
        <f>_xlfn.TEXTJOIN("",TRUE,Input!$B$2,ROW(My_Audit!A147))</f>
        <v>XX147</v>
      </c>
      <c r="B148" s="2" t="str">
        <f>_xlfn.TEXTJOIN("-",TRUE,"ITD",Input!$A$2,A148)</f>
        <v>ITD-SHRXXX-XX147</v>
      </c>
      <c r="C148" s="2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2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2" t="str">
        <f>_xlfn.XLOOKUP(A148,My_Audit!A:A,My_Audit!D:D,"")&amp;""</f>
        <v/>
      </c>
      <c r="F148" s="2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2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2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2" t="str">
        <f>_xlfn.XLOOKUP(A148,Output_Mac!A:A,Output_Mac!I:I,"")</f>
        <v/>
      </c>
      <c r="J148" s="2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2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2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2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O148" s="2" t="str">
        <f>_xlfn.LET(
    _xlpm.CSVVal, _xlfn.XLOOKUP($A148, CSV!$A:$A, CSV!AF:AF,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2" t="str" cm="1">
        <f t="array" ref="P148">IFERROR(_xlfn.LET(
_xlpm.CSVVal,_xlfn.XLOOKUP($A148,CSV!$A:$A,CSV!AG:AG,""),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2" t="str" cm="1">
        <f t="array" ref="Q148">IFERROR(_xlfn.LET(
_xlpm.CSVVal,_xlfn.XLOOKUP($A148,CSV!$A:$A,CSV!AH:AH,""),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X148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2" t="str">
        <f>_xlfn.TEXTJOIN("",TRUE,Input!$B$2,ROW(My_Audit!A148))</f>
        <v>XX148</v>
      </c>
      <c r="B149" s="2" t="str">
        <f>_xlfn.TEXTJOIN("-",TRUE,"ITD",Input!$A$2,A149)</f>
        <v>ITD-SHRXXX-XX148</v>
      </c>
      <c r="C149" s="2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2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2" t="str">
        <f>_xlfn.XLOOKUP(A149,My_Audit!A:A,My_Audit!D:D,"")&amp;""</f>
        <v/>
      </c>
      <c r="F149" s="2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2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2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2" t="str">
        <f>_xlfn.XLOOKUP(A149,Output_Mac!A:A,Output_Mac!I:I,"")</f>
        <v/>
      </c>
      <c r="J149" s="2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2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2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2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O149" s="2" t="str">
        <f>_xlfn.LET(
    _xlpm.CSVVal, _xlfn.XLOOKUP($A149, CSV!$A:$A, CSV!AF:AF,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2" t="str" cm="1">
        <f t="array" ref="P149">IFERROR(_xlfn.LET(
_xlpm.CSVVal,_xlfn.XLOOKUP($A149,CSV!$A:$A,CSV!AG:AG,""),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2" t="str" cm="1">
        <f t="array" ref="Q149">IFERROR(_xlfn.LET(
_xlpm.CSVVal,_xlfn.XLOOKUP($A149,CSV!$A:$A,CSV!AH:AH,""),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X14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2" t="str">
        <f>_xlfn.TEXTJOIN("",TRUE,Input!$B$2,ROW(My_Audit!A149))</f>
        <v>XX149</v>
      </c>
      <c r="B150" s="2" t="str">
        <f>_xlfn.TEXTJOIN("-",TRUE,"ITD",Input!$A$2,A150)</f>
        <v>ITD-SHRXXX-XX149</v>
      </c>
      <c r="C150" s="2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2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2" t="str">
        <f>_xlfn.XLOOKUP(A150,My_Audit!A:A,My_Audit!D:D,"")&amp;""</f>
        <v/>
      </c>
      <c r="F150" s="2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2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2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2" t="str">
        <f>_xlfn.XLOOKUP(A150,Output_Mac!A:A,Output_Mac!I:I,"")</f>
        <v/>
      </c>
      <c r="J150" s="2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2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2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2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O150" s="2" t="str">
        <f>_xlfn.LET(
    _xlpm.CSVVal, _xlfn.XLOOKUP($A150, CSV!$A:$A, CSV!AF:AF,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2" t="str" cm="1">
        <f t="array" ref="P150">IFERROR(_xlfn.LET(
_xlpm.CSVVal,_xlfn.XLOOKUP($A150,CSV!$A:$A,CSV!AG:AG,""),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2" t="str" cm="1">
        <f t="array" ref="Q150">IFERROR(_xlfn.LET(
_xlpm.CSVVal,_xlfn.XLOOKUP($A150,CSV!$A:$A,CSV!AH:AH,""),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X150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2" t="str">
        <f>_xlfn.TEXTJOIN("",TRUE,Input!$B$2,ROW(My_Audit!A150))</f>
        <v>XX150</v>
      </c>
      <c r="B151" s="2" t="str">
        <f>_xlfn.TEXTJOIN("-",TRUE,"ITD",Input!$A$2,A151)</f>
        <v>ITD-SHRXXX-XX150</v>
      </c>
      <c r="C151" s="2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2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2" t="str">
        <f>_xlfn.XLOOKUP(A151,My_Audit!A:A,My_Audit!D:D,"")&amp;""</f>
        <v/>
      </c>
      <c r="F151" s="2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2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2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2" t="str">
        <f>_xlfn.XLOOKUP(A151,Output_Mac!A:A,Output_Mac!I:I,"")</f>
        <v/>
      </c>
      <c r="J151" s="2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2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2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2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O151" s="2" t="str">
        <f>_xlfn.LET(
    _xlpm.CSVVal, _xlfn.XLOOKUP($A151, CSV!$A:$A, CSV!AF:AF,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2" t="str" cm="1">
        <f t="array" ref="P151">IFERROR(_xlfn.LET(
_xlpm.CSVVal,_xlfn.XLOOKUP($A151,CSV!$A:$A,CSV!AG:AG,""),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2" t="str" cm="1">
        <f t="array" ref="Q151">IFERROR(_xlfn.LET(
_xlpm.CSVVal,_xlfn.XLOOKUP($A151,CSV!$A:$A,CSV!AH:AH,""),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X15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2" t="str">
        <f>_xlfn.TEXTJOIN("",TRUE,Input!$B$2,ROW(My_Audit!A151))</f>
        <v>XX151</v>
      </c>
      <c r="B152" s="2" t="str">
        <f>_xlfn.TEXTJOIN("-",TRUE,"ITD",Input!$A$2,A152)</f>
        <v>ITD-SHRXXX-XX151</v>
      </c>
      <c r="C152" s="2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2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2" t="str">
        <f>_xlfn.XLOOKUP(A152,My_Audit!A:A,My_Audit!D:D,"")&amp;""</f>
        <v/>
      </c>
      <c r="F152" s="2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2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2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2" t="str">
        <f>_xlfn.XLOOKUP(A152,Output_Mac!A:A,Output_Mac!I:I,"")</f>
        <v/>
      </c>
      <c r="J152" s="2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2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2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2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O152" s="2" t="str">
        <f>_xlfn.LET(
    _xlpm.CSVVal, _xlfn.XLOOKUP($A152, CSV!$A:$A, CSV!AF:AF,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2" t="str" cm="1">
        <f t="array" ref="P152">IFERROR(_xlfn.LET(
_xlpm.CSVVal,_xlfn.XLOOKUP($A152,CSV!$A:$A,CSV!AG:AG,""),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2" t="str" cm="1">
        <f t="array" ref="Q152">IFERROR(_xlfn.LET(
_xlpm.CSVVal,_xlfn.XLOOKUP($A152,CSV!$A:$A,CSV!AH:AH,""),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X152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2" t="str">
        <f>_xlfn.TEXTJOIN("",TRUE,Input!$B$2,ROW(My_Audit!A152))</f>
        <v>XX152</v>
      </c>
      <c r="B153" s="2" t="str">
        <f>_xlfn.TEXTJOIN("-",TRUE,"ITD",Input!$A$2,A153)</f>
        <v>ITD-SHRXXX-XX152</v>
      </c>
      <c r="C153" s="2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2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2" t="str">
        <f>_xlfn.XLOOKUP(A153,My_Audit!A:A,My_Audit!D:D,"")&amp;""</f>
        <v/>
      </c>
      <c r="F153" s="2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2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2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2" t="str">
        <f>_xlfn.XLOOKUP(A153,Output_Mac!A:A,Output_Mac!I:I,"")</f>
        <v/>
      </c>
      <c r="J153" s="2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2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2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2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O153" s="2" t="str">
        <f>_xlfn.LET(
    _xlpm.CSVVal, _xlfn.XLOOKUP($A153, CSV!$A:$A, CSV!AF:AF,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2" t="str" cm="1">
        <f t="array" ref="P153">IFERROR(_xlfn.LET(
_xlpm.CSVVal,_xlfn.XLOOKUP($A153,CSV!$A:$A,CSV!AG:AG,""),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2" t="str" cm="1">
        <f t="array" ref="Q153">IFERROR(_xlfn.LET(
_xlpm.CSVVal,_xlfn.XLOOKUP($A153,CSV!$A:$A,CSV!AH:AH,""),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X153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2" t="str">
        <f>_xlfn.TEXTJOIN("",TRUE,Input!$B$2,ROW(My_Audit!A153))</f>
        <v>XX153</v>
      </c>
      <c r="B154" s="2" t="str">
        <f>_xlfn.TEXTJOIN("-",TRUE,"ITD",Input!$A$2,A154)</f>
        <v>ITD-SHRXXX-XX153</v>
      </c>
      <c r="C154" s="2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2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2" t="str">
        <f>_xlfn.XLOOKUP(A154,My_Audit!A:A,My_Audit!D:D,"")&amp;""</f>
        <v/>
      </c>
      <c r="F154" s="2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2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2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2" t="str">
        <f>_xlfn.XLOOKUP(A154,Output_Mac!A:A,Output_Mac!I:I,"")</f>
        <v/>
      </c>
      <c r="J154" s="2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2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2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2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O154" s="2" t="str">
        <f>_xlfn.LET(
    _xlpm.CSVVal, _xlfn.XLOOKUP($A154, CSV!$A:$A, CSV!AF:AF,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2" t="str" cm="1">
        <f t="array" ref="P154">IFERROR(_xlfn.LET(
_xlpm.CSVVal,_xlfn.XLOOKUP($A154,CSV!$A:$A,CSV!AG:AG,""),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2" t="str" cm="1">
        <f t="array" ref="Q154">IFERROR(_xlfn.LET(
_xlpm.CSVVal,_xlfn.XLOOKUP($A154,CSV!$A:$A,CSV!AH:AH,""),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X154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2" t="str">
        <f>_xlfn.TEXTJOIN("",TRUE,Input!$B$2,ROW(My_Audit!A154))</f>
        <v>XX154</v>
      </c>
      <c r="B155" s="2" t="str">
        <f>_xlfn.TEXTJOIN("-",TRUE,"ITD",Input!$A$2,A155)</f>
        <v>ITD-SHRXXX-XX154</v>
      </c>
      <c r="C155" s="2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2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2" t="str">
        <f>_xlfn.XLOOKUP(A155,My_Audit!A:A,My_Audit!D:D,"")&amp;""</f>
        <v/>
      </c>
      <c r="F155" s="2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2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2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2" t="str">
        <f>_xlfn.XLOOKUP(A155,Output_Mac!A:A,Output_Mac!I:I,"")</f>
        <v/>
      </c>
      <c r="J155" s="2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2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2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2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O155" s="2" t="str">
        <f>_xlfn.LET(
    _xlpm.CSVVal, _xlfn.XLOOKUP($A155, CSV!$A:$A, CSV!AF:AF,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2" t="str" cm="1">
        <f t="array" ref="P155">IFERROR(_xlfn.LET(
_xlpm.CSVVal,_xlfn.XLOOKUP($A155,CSV!$A:$A,CSV!AG:AG,""),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2" t="str" cm="1">
        <f t="array" ref="Q155">IFERROR(_xlfn.LET(
_xlpm.CSVVal,_xlfn.XLOOKUP($A155,CSV!$A:$A,CSV!AH:AH,""),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X155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2" t="str">
        <f>_xlfn.TEXTJOIN("",TRUE,Input!$B$2,ROW(My_Audit!A155))</f>
        <v>XX155</v>
      </c>
      <c r="B156" s="2" t="str">
        <f>_xlfn.TEXTJOIN("-",TRUE,"ITD",Input!$A$2,A156)</f>
        <v>ITD-SHRXXX-XX155</v>
      </c>
      <c r="C156" s="2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2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2" t="str">
        <f>_xlfn.XLOOKUP(A156,My_Audit!A:A,My_Audit!D:D,"")&amp;""</f>
        <v/>
      </c>
      <c r="F156" s="2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2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2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2" t="str">
        <f>_xlfn.XLOOKUP(A156,Output_Mac!A:A,Output_Mac!I:I,"")</f>
        <v/>
      </c>
      <c r="J156" s="2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2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2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2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O156" s="2" t="str">
        <f>_xlfn.LET(
    _xlpm.CSVVal, _xlfn.XLOOKUP($A156, CSV!$A:$A, CSV!AF:AF,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2" t="str" cm="1">
        <f t="array" ref="P156">IFERROR(_xlfn.LET(
_xlpm.CSVVal,_xlfn.XLOOKUP($A156,CSV!$A:$A,CSV!AG:AG,""),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2" t="str" cm="1">
        <f t="array" ref="Q156">IFERROR(_xlfn.LET(
_xlpm.CSVVal,_xlfn.XLOOKUP($A156,CSV!$A:$A,CSV!AH:AH,""),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X156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2" t="str">
        <f>_xlfn.TEXTJOIN("",TRUE,Input!$B$2,ROW(My_Audit!A156))</f>
        <v>XX156</v>
      </c>
      <c r="B157" s="2" t="str">
        <f>_xlfn.TEXTJOIN("-",TRUE,"ITD",Input!$A$2,A157)</f>
        <v>ITD-SHRXXX-XX156</v>
      </c>
      <c r="C157" s="2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2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2" t="str">
        <f>_xlfn.XLOOKUP(A157,My_Audit!A:A,My_Audit!D:D,"")&amp;""</f>
        <v/>
      </c>
      <c r="F157" s="2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2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2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2" t="str">
        <f>_xlfn.XLOOKUP(A157,Output_Mac!A:A,Output_Mac!I:I,"")</f>
        <v/>
      </c>
      <c r="J157" s="2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2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2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2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O157" s="2" t="str">
        <f>_xlfn.LET(
    _xlpm.CSVVal, _xlfn.XLOOKUP($A157, CSV!$A:$A, CSV!AF:AF,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2" t="str" cm="1">
        <f t="array" ref="P157">IFERROR(_xlfn.LET(
_xlpm.CSVVal,_xlfn.XLOOKUP($A157,CSV!$A:$A,CSV!AG:AG,""),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2" t="str" cm="1">
        <f t="array" ref="Q157">IFERROR(_xlfn.LET(
_xlpm.CSVVal,_xlfn.XLOOKUP($A157,CSV!$A:$A,CSV!AH:AH,""),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X15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2" t="str">
        <f>_xlfn.TEXTJOIN("",TRUE,Input!$B$2,ROW(My_Audit!A157))</f>
        <v>XX157</v>
      </c>
      <c r="B158" s="2" t="str">
        <f>_xlfn.TEXTJOIN("-",TRUE,"ITD",Input!$A$2,A158)</f>
        <v>ITD-SHRXXX-XX157</v>
      </c>
      <c r="C158" s="2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2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2" t="str">
        <f>_xlfn.XLOOKUP(A158,My_Audit!A:A,My_Audit!D:D,"")&amp;""</f>
        <v/>
      </c>
      <c r="F158" s="2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2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2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2" t="str">
        <f>_xlfn.XLOOKUP(A158,Output_Mac!A:A,Output_Mac!I:I,"")</f>
        <v/>
      </c>
      <c r="J158" s="2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2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2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2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O158" s="2" t="str">
        <f>_xlfn.LET(
    _xlpm.CSVVal, _xlfn.XLOOKUP($A158, CSV!$A:$A, CSV!AF:AF,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2" t="str" cm="1">
        <f t="array" ref="P158">IFERROR(_xlfn.LET(
_xlpm.CSVVal,_xlfn.XLOOKUP($A158,CSV!$A:$A,CSV!AG:AG,""),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2" t="str" cm="1">
        <f t="array" ref="Q158">IFERROR(_xlfn.LET(
_xlpm.CSVVal,_xlfn.XLOOKUP($A158,CSV!$A:$A,CSV!AH:AH,""),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X158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2" t="str">
        <f>_xlfn.TEXTJOIN("",TRUE,Input!$B$2,ROW(My_Audit!A158))</f>
        <v>XX158</v>
      </c>
      <c r="B159" s="2" t="str">
        <f>_xlfn.TEXTJOIN("-",TRUE,"ITD",Input!$A$2,A159)</f>
        <v>ITD-SHRXXX-XX158</v>
      </c>
      <c r="C159" s="2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2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2" t="str">
        <f>_xlfn.XLOOKUP(A159,My_Audit!A:A,My_Audit!D:D,"")&amp;""</f>
        <v/>
      </c>
      <c r="F159" s="2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2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2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2" t="str">
        <f>_xlfn.XLOOKUP(A159,Output_Mac!A:A,Output_Mac!I:I,"")</f>
        <v/>
      </c>
      <c r="J159" s="2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2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2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2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O159" s="2" t="str">
        <f>_xlfn.LET(
    _xlpm.CSVVal, _xlfn.XLOOKUP($A159, CSV!$A:$A, CSV!AF:AF,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2" t="str" cm="1">
        <f t="array" ref="P159">IFERROR(_xlfn.LET(
_xlpm.CSVVal,_xlfn.XLOOKUP($A159,CSV!$A:$A,CSV!AG:AG,""),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2" t="str" cm="1">
        <f t="array" ref="Q159">IFERROR(_xlfn.LET(
_xlpm.CSVVal,_xlfn.XLOOKUP($A159,CSV!$A:$A,CSV!AH:AH,""),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X15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2" t="str">
        <f>_xlfn.TEXTJOIN("",TRUE,Input!$B$2,ROW(My_Audit!A159))</f>
        <v>XX159</v>
      </c>
      <c r="B160" s="2" t="str">
        <f>_xlfn.TEXTJOIN("-",TRUE,"ITD",Input!$A$2,A160)</f>
        <v>ITD-SHRXXX-XX159</v>
      </c>
      <c r="C160" s="2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2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2" t="str">
        <f>_xlfn.XLOOKUP(A160,My_Audit!A:A,My_Audit!D:D,"")&amp;""</f>
        <v/>
      </c>
      <c r="F160" s="2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2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2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2" t="str">
        <f>_xlfn.XLOOKUP(A160,Output_Mac!A:A,Output_Mac!I:I,"")</f>
        <v/>
      </c>
      <c r="J160" s="2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2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2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2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O160" s="2" t="str">
        <f>_xlfn.LET(
    _xlpm.CSVVal, _xlfn.XLOOKUP($A160, CSV!$A:$A, CSV!AF:AF,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2" t="str" cm="1">
        <f t="array" ref="P160">IFERROR(_xlfn.LET(
_xlpm.CSVVal,_xlfn.XLOOKUP($A160,CSV!$A:$A,CSV!AG:AG,""),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2" t="str" cm="1">
        <f t="array" ref="Q160">IFERROR(_xlfn.LET(
_xlpm.CSVVal,_xlfn.XLOOKUP($A160,CSV!$A:$A,CSV!AH:AH,""),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X160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2" t="str">
        <f>_xlfn.TEXTJOIN("",TRUE,Input!$B$2,ROW(My_Audit!A160))</f>
        <v>XX160</v>
      </c>
      <c r="B161" s="2" t="str">
        <f>_xlfn.TEXTJOIN("-",TRUE,"ITD",Input!$A$2,A161)</f>
        <v>ITD-SHRXXX-XX160</v>
      </c>
      <c r="C161" s="2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2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2" t="str">
        <f>_xlfn.XLOOKUP(A161,My_Audit!A:A,My_Audit!D:D,"")&amp;""</f>
        <v/>
      </c>
      <c r="F161" s="2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2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2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2" t="str">
        <f>_xlfn.XLOOKUP(A161,Output_Mac!A:A,Output_Mac!I:I,"")</f>
        <v/>
      </c>
      <c r="J161" s="2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2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2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2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O161" s="2" t="str">
        <f>_xlfn.LET(
    _xlpm.CSVVal, _xlfn.XLOOKUP($A161, CSV!$A:$A, CSV!AF:AF,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2" t="str" cm="1">
        <f t="array" ref="P161">IFERROR(_xlfn.LET(
_xlpm.CSVVal,_xlfn.XLOOKUP($A161,CSV!$A:$A,CSV!AG:AG,""),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2" t="str" cm="1">
        <f t="array" ref="Q161">IFERROR(_xlfn.LET(
_xlpm.CSVVal,_xlfn.XLOOKUP($A161,CSV!$A:$A,CSV!AH:AH,""),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X16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2" t="str">
        <f>_xlfn.TEXTJOIN("",TRUE,Input!$B$2,ROW(My_Audit!A161))</f>
        <v>XX161</v>
      </c>
      <c r="B162" s="2" t="str">
        <f>_xlfn.TEXTJOIN("-",TRUE,"ITD",Input!$A$2,A162)</f>
        <v>ITD-SHRXXX-XX161</v>
      </c>
      <c r="C162" s="2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2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2" t="str">
        <f>_xlfn.XLOOKUP(A162,My_Audit!A:A,My_Audit!D:D,"")&amp;""</f>
        <v/>
      </c>
      <c r="F162" s="2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2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2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2" t="str">
        <f>_xlfn.XLOOKUP(A162,Output_Mac!A:A,Output_Mac!I:I,"")</f>
        <v/>
      </c>
      <c r="J162" s="2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2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2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2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O162" s="2" t="str">
        <f>_xlfn.LET(
    _xlpm.CSVVal, _xlfn.XLOOKUP($A162, CSV!$A:$A, CSV!AF:AF,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2" t="str" cm="1">
        <f t="array" ref="P162">IFERROR(_xlfn.LET(
_xlpm.CSVVal,_xlfn.XLOOKUP($A162,CSV!$A:$A,CSV!AG:AG,""),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2" t="str" cm="1">
        <f t="array" ref="Q162">IFERROR(_xlfn.LET(
_xlpm.CSVVal,_xlfn.XLOOKUP($A162,CSV!$A:$A,CSV!AH:AH,""),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X162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2" t="str">
        <f>_xlfn.TEXTJOIN("",TRUE,Input!$B$2,ROW(My_Audit!A162))</f>
        <v>XX162</v>
      </c>
      <c r="B163" s="2" t="str">
        <f>_xlfn.TEXTJOIN("-",TRUE,"ITD",Input!$A$2,A163)</f>
        <v>ITD-SHRXXX-XX162</v>
      </c>
      <c r="C163" s="2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2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2" t="str">
        <f>_xlfn.XLOOKUP(A163,My_Audit!A:A,My_Audit!D:D,"")&amp;""</f>
        <v/>
      </c>
      <c r="F163" s="2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2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2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2" t="str">
        <f>_xlfn.XLOOKUP(A163,Output_Mac!A:A,Output_Mac!I:I,"")</f>
        <v/>
      </c>
      <c r="J163" s="2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2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2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2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O163" s="2" t="str">
        <f>_xlfn.LET(
    _xlpm.CSVVal, _xlfn.XLOOKUP($A163, CSV!$A:$A, CSV!AF:AF,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2" t="str" cm="1">
        <f t="array" ref="P163">IFERROR(_xlfn.LET(
_xlpm.CSVVal,_xlfn.XLOOKUP($A163,CSV!$A:$A,CSV!AG:AG,""),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2" t="str" cm="1">
        <f t="array" ref="Q163">IFERROR(_xlfn.LET(
_xlpm.CSVVal,_xlfn.XLOOKUP($A163,CSV!$A:$A,CSV!AH:AH,""),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X163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2" t="str">
        <f>_xlfn.TEXTJOIN("",TRUE,Input!$B$2,ROW(My_Audit!A163))</f>
        <v>XX163</v>
      </c>
      <c r="B164" s="2" t="str">
        <f>_xlfn.TEXTJOIN("-",TRUE,"ITD",Input!$A$2,A164)</f>
        <v>ITD-SHRXXX-XX163</v>
      </c>
      <c r="C164" s="2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2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2" t="str">
        <f>_xlfn.XLOOKUP(A164,My_Audit!A:A,My_Audit!D:D,"")&amp;""</f>
        <v/>
      </c>
      <c r="F164" s="2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2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2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2" t="str">
        <f>_xlfn.XLOOKUP(A164,Output_Mac!A:A,Output_Mac!I:I,"")</f>
        <v/>
      </c>
      <c r="J164" s="2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2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2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2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O164" s="2" t="str">
        <f>_xlfn.LET(
    _xlpm.CSVVal, _xlfn.XLOOKUP($A164, CSV!$A:$A, CSV!AF:AF,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2" t="str" cm="1">
        <f t="array" ref="P164">IFERROR(_xlfn.LET(
_xlpm.CSVVal,_xlfn.XLOOKUP($A164,CSV!$A:$A,CSV!AG:AG,""),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2" t="str" cm="1">
        <f t="array" ref="Q164">IFERROR(_xlfn.LET(
_xlpm.CSVVal,_xlfn.XLOOKUP($A164,CSV!$A:$A,CSV!AH:AH,""),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X164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2" t="str">
        <f>_xlfn.TEXTJOIN("",TRUE,Input!$B$2,ROW(My_Audit!A164))</f>
        <v>XX164</v>
      </c>
      <c r="B165" s="2" t="str">
        <f>_xlfn.TEXTJOIN("-",TRUE,"ITD",Input!$A$2,A165)</f>
        <v>ITD-SHRXXX-XX164</v>
      </c>
      <c r="C165" s="2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2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2" t="str">
        <f>_xlfn.XLOOKUP(A165,My_Audit!A:A,My_Audit!D:D,"")&amp;""</f>
        <v/>
      </c>
      <c r="F165" s="2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2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2" t="str" cm="1">
        <f t="array" ref="H165">IFERROR(_xlfn.LET(
_xlpm.CSVVal,_xlfn.XLOOKUP($A165,CSV!$A:$A,CSV!H:H,""),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2" t="str">
        <f>_xlfn.XLOOKUP(A165,Output_Mac!A:A,Output_Mac!I:I,"")</f>
        <v/>
      </c>
      <c r="J165" s="2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2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2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2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O165" s="2" t="str">
        <f>_xlfn.LET(
    _xlpm.CSVVal, _xlfn.XLOOKUP($A165, CSV!$A:$A, CSV!AF:AF, ""),
    _xlpm.MacVal, _xlfn.XLOOKUP($A165, Output_Mac!$A:$A, Output_Mac!S:S, ""),
    _xlpm.MyAuditVal, _xlfn.XLOOKUP($A165, My_Audit!$A:$A, My_Audit!P:P, ""),
    _xlfn.TEXTJOIN(", ", TRUE, _xlpm.MyAuditVal, _xlpm.MacVal, _xlpm.CSVVal)
)</f>
        <v/>
      </c>
      <c r="P165" s="2" t="str" cm="1">
        <f t="array" ref="P165">IFERROR(_xlfn.LET(
_xlpm.CSVVal,_xlfn.XLOOKUP($A165,CSV!$A:$A,CSV!AG:AG,""),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2" t="str" cm="1">
        <f t="array" ref="Q165">IFERROR(_xlfn.LET(
_xlpm.CSVVal,_xlfn.XLOOKUP($A165,CSV!$A:$A,CSV!AH:AH,""),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X165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2" t="str">
        <f>_xlfn.TEXTJOIN("",TRUE,Input!$B$2,ROW(My_Audit!A165))</f>
        <v>XX165</v>
      </c>
      <c r="B166" s="2" t="str">
        <f>_xlfn.TEXTJOIN("-",TRUE,"ITD",Input!$A$2,A166)</f>
        <v>ITD-SHRXXX-XX165</v>
      </c>
      <c r="C166" s="2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2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2" t="str">
        <f>_xlfn.XLOOKUP(A166,My_Audit!A:A,My_Audit!D:D,"")&amp;""</f>
        <v/>
      </c>
      <c r="F166" s="2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2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2" t="str" cm="1">
        <f t="array" ref="H166">IFERROR(_xlfn.LET(
_xlpm.CSVVal,_xlfn.XLOOKUP($A166,CSV!$A:$A,CSV!H:H,""),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2" t="str">
        <f>_xlfn.XLOOKUP(A166,Output_Mac!A:A,Output_Mac!I:I,"")</f>
        <v/>
      </c>
      <c r="J166" s="2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2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2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2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O166" s="2" t="str">
        <f>_xlfn.LET(
    _xlpm.CSVVal, _xlfn.XLOOKUP($A166, CSV!$A:$A, CSV!AF:AF, ""),
    _xlpm.MacVal, _xlfn.XLOOKUP($A166, Output_Mac!$A:$A, Output_Mac!S:S, ""),
    _xlpm.MyAuditVal, _xlfn.XLOOKUP($A166, My_Audit!$A:$A, My_Audit!P:P, ""),
    _xlfn.TEXTJOIN(", ", TRUE, _xlpm.MyAuditVal, _xlpm.MacVal, _xlpm.CSVVal)
)</f>
        <v/>
      </c>
      <c r="P166" s="2" t="str" cm="1">
        <f t="array" ref="P166">IFERROR(_xlfn.LET(
_xlpm.CSVVal,_xlfn.XLOOKUP($A166,CSV!$A:$A,CSV!AG:AG,""),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2" t="str" cm="1">
        <f t="array" ref="Q166">IFERROR(_xlfn.LET(
_xlpm.CSVVal,_xlfn.XLOOKUP($A166,CSV!$A:$A,CSV!AH:AH,""),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X166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2" t="str">
        <f>_xlfn.TEXTJOIN("",TRUE,Input!$B$2,ROW(My_Audit!A166))</f>
        <v>XX166</v>
      </c>
      <c r="B167" s="2" t="str">
        <f>_xlfn.TEXTJOIN("-",TRUE,"ITD",Input!$A$2,A167)</f>
        <v>ITD-SHRXXX-XX166</v>
      </c>
      <c r="C167" s="2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2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2" t="str">
        <f>_xlfn.XLOOKUP(A167,My_Audit!A:A,My_Audit!D:D,"")&amp;""</f>
        <v/>
      </c>
      <c r="F167" s="2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2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2" t="str" cm="1">
        <f t="array" ref="H167">IFERROR(_xlfn.LET(
_xlpm.CSVVal,_xlfn.XLOOKUP($A167,CSV!$A:$A,CSV!H:H,""),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2" t="str">
        <f>_xlfn.XLOOKUP(A167,Output_Mac!A:A,Output_Mac!I:I,"")</f>
        <v/>
      </c>
      <c r="J167" s="2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2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2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2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O167" s="2" t="str">
        <f>_xlfn.LET(
    _xlpm.CSVVal, _xlfn.XLOOKUP($A167, CSV!$A:$A, CSV!AF:AF, ""),
    _xlpm.MacVal, _xlfn.XLOOKUP($A167, Output_Mac!$A:$A, Output_Mac!S:S, ""),
    _xlpm.MyAuditVal, _xlfn.XLOOKUP($A167, My_Audit!$A:$A, My_Audit!P:P, ""),
    _xlfn.TEXTJOIN(", ", TRUE, _xlpm.MyAuditVal, _xlpm.MacVal, _xlpm.CSVVal)
)</f>
        <v/>
      </c>
      <c r="P167" s="2" t="str" cm="1">
        <f t="array" ref="P167">IFERROR(_xlfn.LET(
_xlpm.CSVVal,_xlfn.XLOOKUP($A167,CSV!$A:$A,CSV!AG:AG,""),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2" t="str" cm="1">
        <f t="array" ref="Q167">IFERROR(_xlfn.LET(
_xlpm.CSVVal,_xlfn.XLOOKUP($A167,CSV!$A:$A,CSV!AH:AH,""),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</row>
    <row r="168" spans="1:24">
      <c r="A168" s="2" t="str">
        <f>_xlfn.TEXTJOIN("",TRUE,Input!$B$2,ROW(My_Audit!A167))</f>
        <v>XX167</v>
      </c>
      <c r="B168" s="2" t="str">
        <f>_xlfn.TEXTJOIN("-",TRUE,"ITD",Input!$A$2,A168)</f>
        <v>ITD-SHRXXX-XX167</v>
      </c>
      <c r="C168" s="2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2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2" t="str">
        <f>_xlfn.XLOOKUP(A168,My_Audit!A:A,My_Audit!D:D,"")&amp;""</f>
        <v/>
      </c>
      <c r="F168" s="2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2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2" t="str" cm="1">
        <f t="array" ref="H168">IFERROR(_xlfn.LET(
_xlpm.CSVVal,_xlfn.XLOOKUP($A168,CSV!$A:$A,CSV!H:H,""),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2" t="str">
        <f>_xlfn.XLOOKUP(A168,Output_Mac!A:A,Output_Mac!I:I,"")</f>
        <v/>
      </c>
      <c r="J168" s="2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2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2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2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O168" s="2" t="str">
        <f>_xlfn.LET(
    _xlpm.CSVVal, _xlfn.XLOOKUP($A168, CSV!$A:$A, CSV!AF:AF, ""),
    _xlpm.MacVal, _xlfn.XLOOKUP($A168, Output_Mac!$A:$A, Output_Mac!S:S, ""),
    _xlpm.MyAuditVal, _xlfn.XLOOKUP($A168, My_Audit!$A:$A, My_Audit!P:P, ""),
    _xlfn.TEXTJOIN(", ", TRUE, _xlpm.MyAuditVal, _xlpm.MacVal, _xlpm.CSVVal)
)</f>
        <v/>
      </c>
      <c r="P168" s="2" t="str" cm="1">
        <f t="array" ref="P168">IFERROR(_xlfn.LET(
_xlpm.CSVVal,_xlfn.XLOOKUP($A168,CSV!$A:$A,CSV!AG:AG,""),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2" t="str" cm="1">
        <f t="array" ref="Q168">IFERROR(_xlfn.LET(
_xlpm.CSVVal,_xlfn.XLOOKUP($A168,CSV!$A:$A,CSV!AH:AH,""),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</row>
    <row r="169" spans="1:24">
      <c r="A169" s="2" t="str">
        <f>_xlfn.TEXTJOIN("",TRUE,Input!$B$2,ROW(My_Audit!A168))</f>
        <v>XX168</v>
      </c>
      <c r="B169" s="2" t="str">
        <f>_xlfn.TEXTJOIN("-",TRUE,"ITD",Input!$A$2,A169)</f>
        <v>ITD-SHRXXX-XX168</v>
      </c>
      <c r="C169" s="2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2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2" t="str">
        <f>_xlfn.XLOOKUP(A169,My_Audit!A:A,My_Audit!D:D,"")&amp;""</f>
        <v/>
      </c>
      <c r="F169" s="2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2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2" t="str" cm="1">
        <f t="array" ref="H169">IFERROR(_xlfn.LET(
_xlpm.CSVVal,_xlfn.XLOOKUP($A169,CSV!$A:$A,CSV!H:H,""),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2" t="str">
        <f>_xlfn.XLOOKUP(A169,Output_Mac!A:A,Output_Mac!I:I,"")</f>
        <v/>
      </c>
      <c r="J169" s="2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2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2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2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O169" s="2" t="str">
        <f>_xlfn.LET(
    _xlpm.CSVVal, _xlfn.XLOOKUP($A169, CSV!$A:$A, CSV!AF:AF, ""),
    _xlpm.MacVal, _xlfn.XLOOKUP($A169, Output_Mac!$A:$A, Output_Mac!S:S, ""),
    _xlpm.MyAuditVal, _xlfn.XLOOKUP($A169, My_Audit!$A:$A, My_Audit!P:P, ""),
    _xlfn.TEXTJOIN(", ", TRUE, _xlpm.MyAuditVal, _xlpm.MacVal, _xlpm.CSVVal)
)</f>
        <v/>
      </c>
      <c r="P169" s="2" t="str" cm="1">
        <f t="array" ref="P169">IFERROR(_xlfn.LET(
_xlpm.CSVVal,_xlfn.XLOOKUP($A169,CSV!$A:$A,CSV!AG:AG,""),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)),"No")</f>
        <v>No</v>
      </c>
      <c r="Q169" s="2" t="str" cm="1">
        <f t="array" ref="Q169">IFERROR(_xlfn.LET(
_xlpm.CSVVal,_xlfn.XLOOKUP($A169,CSV!$A:$A,CSV!AH:AH,""),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</row>
    <row r="170" spans="1:24">
      <c r="A170" s="2" t="str">
        <f>_xlfn.TEXTJOIN("",TRUE,Input!$B$2,ROW(My_Audit!A169))</f>
        <v>XX169</v>
      </c>
      <c r="B170" s="2" t="str">
        <f>_xlfn.TEXTJOIN("-",TRUE,"ITD",Input!$A$2,A170)</f>
        <v>ITD-SHRXXX-XX169</v>
      </c>
      <c r="C170" s="2" t="str" cm="1">
        <f t="array" ref="C170">IFERROR(_xlfn.LET(
_xlpm.CSVVal,_xlfn.XLOOKUP($A170,CSV!$A:$A,CSV!B:B,""),
_xlpm.MacVal,_xlfn.XLOOKUP($A170,Output_Mac!$A:$A,Output_Mac!B:B,""),
_xlpm.MyAuditVal,_xlfn.XLOOKUP($A170,My_Audit!$A:$A,My_Audit!B:B,""),
_xlfn.IFS(_xlpm.MyAuditVal&lt;&gt;"",UPPER(_xlpm.MyAuditVal),_xlpm.MacVal&lt;&gt;"",_xlpm.MacVal,_xlpm.CSVVal&lt;&gt;"",_xlpm.CSVVal
)),"")</f>
        <v/>
      </c>
      <c r="D170" s="2" t="str" cm="1">
        <f t="array" ref="D170">IFERROR(_xlfn.LET(
_xlpm.CSVVal,_xlfn.XLOOKUP($A170,CSV!$A:$A,CSV!D:D,""),
_xlpm.MacVal,_xlfn.XLOOKUP($A170,Output_Mac!$A:$A,Output_Mac!C:C,""),
_xlpm.MyAuditVal,_xlfn.XLOOKUP($A170,My_Audit!$A:$A,My_Audit!C:C,""),
_xlfn.IFS(_xlpm.MyAuditVal&lt;&gt;"",_xlpm.MyAuditVal,_xlpm.MacVal&lt;&gt;"",_xlpm.MacVal,_xlpm.CSVVal&lt;&gt;"",_xlpm.CSVVal
)),"")</f>
        <v/>
      </c>
      <c r="E170" s="2" t="str">
        <f>_xlfn.XLOOKUP(A170,My_Audit!A:A,My_Audit!D:D,"")&amp;""</f>
        <v/>
      </c>
      <c r="F170" s="2" t="str" cm="1">
        <f t="array" ref="F170">IFERROR(_xlfn.LET(
_xlpm.CSVVal,_xlfn.XLOOKUP($A170,CSV!$A:$A,CSV!F:F,""),
_xlpm.MacVal,_xlfn.XLOOKUP($A170,Output_Mac!$A:$A,Output_Mac!E:E,""),
_xlpm.MyAuditVal,_xlfn.XLOOKUP($A170,My_Audit!$A:$A,My_Audit!E:E,""),
_xlfn.IFS(_xlpm.MyAuditVal&lt;&gt;"",_xlpm.MyAuditVal,_xlpm.MacVal&lt;&gt;"",_xlpm.MacVal,_xlpm.CSVVal&lt;&gt;"",_xlpm.CSVVal
)),"")</f>
        <v/>
      </c>
      <c r="G170" s="2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H170" s="2" t="str" cm="1">
        <f t="array" ref="H170">IFERROR(_xlfn.LET(
_xlpm.CSVVal,_xlfn.XLOOKUP($A170,CSV!$A:$A,CSV!H:H,""),
_xlpm.MacVal,_xlfn.XLOOKUP($A170,Output_Mac!$A:$A,Output_Mac!H:H,""),
_xlpm.MyAuditVal,_xlfn.XLOOKUP($A170,My_Audit!$A:$A,My_Audit!G:G,""),
_xlfn.IFS(_xlpm.MyAuditVal&lt;&gt;"",_xlpm.MyAuditVal,_xlpm.MacVal&lt;&gt;"",_xlpm.MacVal,_xlpm.CSVVal&lt;&gt;"",_xlpm.CSVVal
)),"")</f>
        <v/>
      </c>
      <c r="I170" s="2" t="str">
        <f>_xlfn.XLOOKUP(A170,Output_Mac!A:A,Output_Mac!I:I,"")</f>
        <v/>
      </c>
      <c r="J170" s="2" t="str" cm="1">
        <f t="array" ref="J170">IFERROR(_xlfn.LET(
_xlpm.CSVVal,_xlfn.XLOOKUP($A170,CSV!$A:$A,CSV!I:I,""),
_xlpm.MacVal,_xlfn.XLOOKUP($A170,Output_Mac!$A:$A,Output_Mac!J:J,""),
_xlpm.MyAuditVal,_xlfn.XLOOKUP($A170,My_Audit!$A:$A,My_Audit!I:I,""),
_xlfn.IFS(_xlpm.MyAuditVal&lt;&gt;"",UPPER(_xlpm.MyAuditVal),_xlpm.MacVal&lt;&gt;"",_xlpm.MacVal,_xlpm.CSVVal&lt;&gt;"",_xlpm.CSVVal
)),"")</f>
        <v/>
      </c>
      <c r="K170" s="2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2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2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O170" s="2" t="str">
        <f>_xlfn.LET(
    _xlpm.CSVVal, _xlfn.XLOOKUP($A170, CSV!$A:$A, CSV!AF:AF, ""),
    _xlpm.MacVal, _xlfn.XLOOKUP($A170, Output_Mac!$A:$A, Output_Mac!S:S, ""),
    _xlpm.MyAuditVal, _xlfn.XLOOKUP($A170, My_Audit!$A:$A, My_Audit!P:P, ""),
    _xlfn.TEXTJOIN(", ", TRUE, _xlpm.MyAuditVal, _xlpm.MacVal, _xlpm.CSVVal)
)</f>
        <v/>
      </c>
      <c r="P170" s="2" t="str" cm="1">
        <f t="array" ref="P170">IFERROR(_xlfn.LET(
_xlpm.CSVVal,_xlfn.XLOOKUP($A170,CSV!$A:$A,CSV!AG:AG,""),
_xlpm.MacVal,_xlfn.XLOOKUP($A170,Output_Mac!$A:$A,Output_Mac!T:T,""),
_xlpm.MyAuditVal,_xlfn.XLOOKUP($A170,My_Audit!$A:$A,My_Audit!Q:Q,""),
_xlfn.IFS(_xlpm.MyAuditVal&lt;&gt;"",UPPER(_xlpm.MyAuditVal),_xlpm.MacVal&lt;&gt;"",_xlpm.MacVal,_xlpm.CSVVal&lt;&gt;"",_xlpm.CSVVal
)),"No")</f>
        <v>No</v>
      </c>
      <c r="Q170" s="2" t="str" cm="1">
        <f t="array" ref="Q170">IFERROR(_xlfn.LET(
_xlpm.CSVVal,_xlfn.XLOOKUP($A170,CSV!$A:$A,CSV!AH:AH,""),
_xlpm.MacVal,_xlfn.XLOOKUP($A170,Output_Mac!$A:$A,Output_Mac!U:U,""),
_xlpm.MyAuditVal,_xlfn.XLOOKUP($A170,My_Audit!$A:$A,My_Audit!R:R,""),
_xlfn.IFS(_xlpm.MyAuditVal&lt;&gt;"",UPPER(_xlpm.MyAuditVal),_xlpm.MacVal&lt;&gt;"",_xlpm.MacVal,_xlpm.CSVVal&lt;&gt;"",_xlpm.CSVVal
)),"")</f>
        <v/>
      </c>
    </row>
    <row r="171" spans="1:24">
      <c r="A171" s="2" t="str">
        <f>_xlfn.TEXTJOIN("",TRUE,Input!$B$2,ROW(My_Audit!A170))</f>
        <v>XX170</v>
      </c>
      <c r="B171" s="2" t="str">
        <f>_xlfn.TEXTJOIN("-",TRUE,"ITD",Input!$A$2,A171)</f>
        <v>ITD-SHRXXX-XX170</v>
      </c>
      <c r="C171" s="2" t="str" cm="1">
        <f t="array" ref="C171">IFERROR(_xlfn.LET(
_xlpm.CSVVal,_xlfn.XLOOKUP($A171,CSV!$A:$A,CSV!B:B,""),
_xlpm.MacVal,_xlfn.XLOOKUP($A171,Output_Mac!$A:$A,Output_Mac!B:B,""),
_xlpm.MyAuditVal,_xlfn.XLOOKUP($A171,My_Audit!$A:$A,My_Audit!B:B,""),
_xlfn.IFS(_xlpm.MyAuditVal&lt;&gt;"",UPPER(_xlpm.MyAuditVal),_xlpm.MacVal&lt;&gt;"",_xlpm.MacVal,_xlpm.CSVVal&lt;&gt;"",_xlpm.CSVVal
)),"")</f>
        <v/>
      </c>
      <c r="D171" s="2" t="str" cm="1">
        <f t="array" ref="D171">IFERROR(_xlfn.LET(
_xlpm.CSVVal,_xlfn.XLOOKUP($A171,CSV!$A:$A,CSV!D:D,""),
_xlpm.MacVal,_xlfn.XLOOKUP($A171,Output_Mac!$A:$A,Output_Mac!C:C,""),
_xlpm.MyAuditVal,_xlfn.XLOOKUP($A171,My_Audit!$A:$A,My_Audit!C:C,""),
_xlfn.IFS(_xlpm.MyAuditVal&lt;&gt;"",_xlpm.MyAuditVal,_xlpm.MacVal&lt;&gt;"",_xlpm.MacVal,_xlpm.CSVVal&lt;&gt;"",_xlpm.CSVVal
)),"")</f>
        <v/>
      </c>
      <c r="E171" s="2" t="str">
        <f>_xlfn.XLOOKUP(A171,My_Audit!A:A,My_Audit!D:D,"")&amp;""</f>
        <v/>
      </c>
      <c r="F171" s="2" t="str" cm="1">
        <f t="array" ref="F171">IFERROR(_xlfn.LET(
_xlpm.CSVVal,_xlfn.XLOOKUP($A171,CSV!$A:$A,CSV!F:F,""),
_xlpm.MacVal,_xlfn.XLOOKUP($A171,Output_Mac!$A:$A,Output_Mac!E:E,""),
_xlpm.MyAuditVal,_xlfn.XLOOKUP($A171,My_Audit!$A:$A,My_Audit!E:E,""),
_xlfn.IFS(_xlpm.MyAuditVal&lt;&gt;"",_xlpm.MyAuditVal,_xlpm.MacVal&lt;&gt;"",_xlpm.MacVal,_xlpm.CSVVal&lt;&gt;"",_xlpm.CSVVal
)),"")</f>
        <v/>
      </c>
      <c r="G171" s="2" t="str" cm="1">
        <f t="array" ref="G171">IFERROR(_xlfn.LET(
_xlpm.CSVVal,_xlfn.XLOOKUP($A171,CSV!$A:$A,CSV!G:G,""),
_xlpm.MacVal,_xlfn.XLOOKUP($A171,Output_Mac!$A:$A,Output_Mac!F:F,""),
_xlpm.MyAuditVal,_xlfn.XLOOKUP($A171,My_Audit!$A:$A,My_Audit!F:F,""),
_xlfn.IFS(_xlpm.MyAuditVal&lt;&gt;"",_xlpm.MyAuditVal,_xlpm.MacVal&lt;&gt;"",_xlpm.MacVal,_xlpm.CSVVal&lt;&gt;"",PROPER(_xlpm.CSVVal)
)),"")</f>
        <v/>
      </c>
      <c r="H171" s="2" t="str" cm="1">
        <f t="array" ref="H171">IFERROR(_xlfn.LET(
_xlpm.CSVVal,_xlfn.XLOOKUP($A171,CSV!$A:$A,CSV!H:H,""),
_xlpm.MacVal,_xlfn.XLOOKUP($A171,Output_Mac!$A:$A,Output_Mac!H:H,""),
_xlpm.MyAuditVal,_xlfn.XLOOKUP($A171,My_Audit!$A:$A,My_Audit!G:G,""),
_xlfn.IFS(_xlpm.MyAuditVal&lt;&gt;"",_xlpm.MyAuditVal,_xlpm.MacVal&lt;&gt;"",_xlpm.MacVal,_xlpm.CSVVal&lt;&gt;"",_xlpm.CSVVal
)),"")</f>
        <v/>
      </c>
      <c r="I171" s="2" t="str">
        <f>_xlfn.XLOOKUP(A171,Output_Mac!A:A,Output_Mac!I:I,"")</f>
        <v/>
      </c>
      <c r="J171" s="2" t="str" cm="1">
        <f t="array" ref="J171">IFERROR(_xlfn.LET(
_xlpm.CSVVal,_xlfn.XLOOKUP($A171,CSV!$A:$A,CSV!I:I,""),
_xlpm.MacVal,_xlfn.XLOOKUP($A171,Output_Mac!$A:$A,Output_Mac!J:J,""),
_xlpm.MyAuditVal,_xlfn.XLOOKUP($A171,My_Audit!$A:$A,My_Audit!I:I,""),
_xlfn.IFS(_xlpm.MyAuditVal&lt;&gt;"",UPPER(_xlpm.MyAuditVal),_xlpm.MacVal&lt;&gt;"",_xlpm.MacVal,_xlpm.CSVVal&lt;&gt;"",_xlpm.CSVVal
)),"")</f>
        <v/>
      </c>
      <c r="K171" s="2" t="str" cm="1">
        <f t="array" ref="K171">IFERROR(_xlfn.LET(
_xlpm.CSVVal,_xlfn.XLOOKUP($A171,CSV!$A:$A,CSV!K:K,""),
_xlpm.MacVal,_xlfn.XLOOKUP($A171,Output_Mac!$A:$A,Output_Mac!K:K,""),
_xlpm.MyAuditVal,_xlfn.XLOOKUP($A171,My_Audit!$A:$A,My_Audit!J:J,""),
_xlfn.IFS(_xlpm.MyAuditVal&lt;&gt;"",UPPER(_xlpm.MyAuditVal),_xlpm.MacVal&lt;&gt;"",_xlpm.MacVal,_xlpm.CSVVal&lt;&gt;"",_xlpm.CSVVal
)),"")</f>
        <v/>
      </c>
      <c r="L171" s="2" t="str" cm="1">
        <f t="array" ref="L171">IFERROR(_xlfn.LET(
_xlpm.CSVVal,_xlfn.XLOOKUP($A171,CSV!$A:$A,CSV!P:P,""),
_xlpm.MacVal,_xlfn.XLOOKUP($A171,Output_Mac!$A:$A,Output_Mac!L:L,""),
_xlpm.MyAuditVal,_xlfn.XLOOKUP($A171,My_Audit!$A:$A,My_Audit!K:K,""),
_xlfn.IFS(_xlpm.MyAuditVal&lt;&gt;"",UPPER(_xlpm.MyAuditVal),_xlpm.MacVal&lt;&gt;"",_xlpm.MacVal,_xlpm.CSVVal&lt;&gt;"",_xlpm.CSVVal
)),"")</f>
        <v/>
      </c>
      <c r="M171" s="2" t="str" cm="1">
        <f t="array" ref="M171">IFERROR(_xlfn.LET(
_xlpm.CSVVal,_xlfn.XLOOKUP($A171,CSV!$A:$A,CSV!Q:Q,""),
_xlpm.MacVal,_xlfn.XLOOKUP($A171,Output_Mac!$A:$A,Output_Mac!M:M,""),
_xlpm.MyAuditVal,_xlfn.XLOOKUP($A171,My_Audit!$A:$A,My_Audit!L:L,""),
_xlfn.IFS(_xlpm.MyAuditVal&lt;&gt;"",UPPER(_xlpm.MyAuditVal),_xlpm.MacVal&lt;&gt;"",_xlpm.MacVal,_xlpm.CSVVal&lt;&gt;"",_xlpm.CSVVal
)),"")</f>
        <v/>
      </c>
      <c r="O171" s="2" t="str">
        <f>_xlfn.LET(
    _xlpm.CSVVal, _xlfn.XLOOKUP($A171, CSV!$A:$A, CSV!AF:AF, ""),
    _xlpm.MacVal, _xlfn.XLOOKUP($A171, Output_Mac!$A:$A, Output_Mac!S:S, ""),
    _xlpm.MyAuditVal, _xlfn.XLOOKUP($A171, My_Audit!$A:$A, My_Audit!P:P, ""),
    _xlfn.TEXTJOIN(", ", TRUE, _xlpm.MyAuditVal, _xlpm.MacVal, _xlpm.CSVVal)
)</f>
        <v/>
      </c>
      <c r="P171" s="2" t="str" cm="1">
        <f t="array" ref="P171">IFERROR(_xlfn.LET(
_xlpm.CSVVal,_xlfn.XLOOKUP($A171,CSV!$A:$A,CSV!AG:AG,""),
_xlpm.MacVal,_xlfn.XLOOKUP($A171,Output_Mac!$A:$A,Output_Mac!T:T,""),
_xlpm.MyAuditVal,_xlfn.XLOOKUP($A171,My_Audit!$A:$A,My_Audit!Q:Q,""),
_xlfn.IFS(_xlpm.MyAuditVal&lt;&gt;"",UPPER(_xlpm.MyAuditVal),_xlpm.MacVal&lt;&gt;"",_xlpm.MacVal,_xlpm.CSVVal&lt;&gt;"",_xlpm.CSVVal
)),"No")</f>
        <v>No</v>
      </c>
      <c r="Q171" s="2" t="str" cm="1">
        <f t="array" ref="Q171">IFERROR(_xlfn.LET(
_xlpm.CSVVal,_xlfn.XLOOKUP($A171,CSV!$A:$A,CSV!AH:AH,""),
_xlpm.MacVal,_xlfn.XLOOKUP($A171,Output_Mac!$A:$A,Output_Mac!U:U,""),
_xlpm.MyAuditVal,_xlfn.XLOOKUP($A171,My_Audit!$A:$A,My_Audit!R:R,""),
_xlfn.IFS(_xlpm.MyAuditVal&lt;&gt;"",UPPER(_xlpm.MyAuditVal),_xlpm.MacVal&lt;&gt;"",_xlpm.MacVal,_xlpm.CSVVal&lt;&gt;"",_xlpm.CSVVal
)),"")</f>
        <v/>
      </c>
    </row>
    <row r="172" spans="1:24">
      <c r="A172" s="2" t="str">
        <f>_xlfn.TEXTJOIN("",TRUE,Input!$B$2,ROW(My_Audit!A171))</f>
        <v>XX171</v>
      </c>
      <c r="B172" s="2" t="str">
        <f>_xlfn.TEXTJOIN("-",TRUE,"ITD",Input!$A$2,A172)</f>
        <v>ITD-SHRXXX-XX171</v>
      </c>
      <c r="C172" s="2" t="str" cm="1">
        <f t="array" ref="C172">IFERROR(_xlfn.LET(
_xlpm.CSVVal,_xlfn.XLOOKUP($A172,CSV!$A:$A,CSV!B:B,""),
_xlpm.MacVal,_xlfn.XLOOKUP($A172,Output_Mac!$A:$A,Output_Mac!B:B,""),
_xlpm.MyAuditVal,_xlfn.XLOOKUP($A172,My_Audit!$A:$A,My_Audit!B:B,""),
_xlfn.IFS(_xlpm.MyAuditVal&lt;&gt;"",UPPER(_xlpm.MyAuditVal),_xlpm.MacVal&lt;&gt;"",_xlpm.MacVal,_xlpm.CSVVal&lt;&gt;"",_xlpm.CSVVal
)),"")</f>
        <v/>
      </c>
      <c r="D172" s="2" t="str" cm="1">
        <f t="array" ref="D172">IFERROR(_xlfn.LET(
_xlpm.CSVVal,_xlfn.XLOOKUP($A172,CSV!$A:$A,CSV!D:D,""),
_xlpm.MacVal,_xlfn.XLOOKUP($A172,Output_Mac!$A:$A,Output_Mac!C:C,""),
_xlpm.MyAuditVal,_xlfn.XLOOKUP($A172,My_Audit!$A:$A,My_Audit!C:C,""),
_xlfn.IFS(_xlpm.MyAuditVal&lt;&gt;"",_xlpm.MyAuditVal,_xlpm.MacVal&lt;&gt;"",_xlpm.MacVal,_xlpm.CSVVal&lt;&gt;"",_xlpm.CSVVal
)),"")</f>
        <v/>
      </c>
      <c r="E172" s="2" t="str">
        <f>_xlfn.XLOOKUP(A172,My_Audit!A:A,My_Audit!D:D,"")&amp;""</f>
        <v/>
      </c>
      <c r="F172" s="2" t="str" cm="1">
        <f t="array" ref="F172">IFERROR(_xlfn.LET(
_xlpm.CSVVal,_xlfn.XLOOKUP($A172,CSV!$A:$A,CSV!F:F,""),
_xlpm.MacVal,_xlfn.XLOOKUP($A172,Output_Mac!$A:$A,Output_Mac!E:E,""),
_xlpm.MyAuditVal,_xlfn.XLOOKUP($A172,My_Audit!$A:$A,My_Audit!E:E,""),
_xlfn.IFS(_xlpm.MyAuditVal&lt;&gt;"",_xlpm.MyAuditVal,_xlpm.MacVal&lt;&gt;"",_xlpm.MacVal,_xlpm.CSVVal&lt;&gt;"",_xlpm.CSVVal
)),"")</f>
        <v/>
      </c>
      <c r="G172" s="2" t="str" cm="1">
        <f t="array" ref="G172">IFERROR(_xlfn.LET(
_xlpm.CSVVal,_xlfn.XLOOKUP($A172,CSV!$A:$A,CSV!G:G,""),
_xlpm.MacVal,_xlfn.XLOOKUP($A172,Output_Mac!$A:$A,Output_Mac!F:F,""),
_xlpm.MyAuditVal,_xlfn.XLOOKUP($A172,My_Audit!$A:$A,My_Audit!F:F,""),
_xlfn.IFS(_xlpm.MyAuditVal&lt;&gt;"",_xlpm.MyAuditVal,_xlpm.MacVal&lt;&gt;"",_xlpm.MacVal,_xlpm.CSVVal&lt;&gt;"",PROPER(_xlpm.CSVVal)
)),"")</f>
        <v/>
      </c>
      <c r="H172" s="2" t="str" cm="1">
        <f t="array" ref="H172">IFERROR(_xlfn.LET(
_xlpm.CSVVal,_xlfn.XLOOKUP($A172,CSV!$A:$A,CSV!H:H,""),
_xlpm.MacVal,_xlfn.XLOOKUP($A172,Output_Mac!$A:$A,Output_Mac!H:H,""),
_xlpm.MyAuditVal,_xlfn.XLOOKUP($A172,My_Audit!$A:$A,My_Audit!G:G,""),
_xlfn.IFS(_xlpm.MyAuditVal&lt;&gt;"",_xlpm.MyAuditVal,_xlpm.MacVal&lt;&gt;"",_xlpm.MacVal,_xlpm.CSVVal&lt;&gt;"",_xlpm.CSVVal
)),"")</f>
        <v/>
      </c>
      <c r="I172" s="2" t="str">
        <f>_xlfn.XLOOKUP(A172,Output_Mac!A:A,Output_Mac!I:I,"")</f>
        <v/>
      </c>
      <c r="J172" s="2" t="str" cm="1">
        <f t="array" ref="J172">IFERROR(_xlfn.LET(
_xlpm.CSVVal,_xlfn.XLOOKUP($A172,CSV!$A:$A,CSV!I:I,""),
_xlpm.MacVal,_xlfn.XLOOKUP($A172,Output_Mac!$A:$A,Output_Mac!J:J,""),
_xlpm.MyAuditVal,_xlfn.XLOOKUP($A172,My_Audit!$A:$A,My_Audit!I:I,""),
_xlfn.IFS(_xlpm.MyAuditVal&lt;&gt;"",UPPER(_xlpm.MyAuditVal),_xlpm.MacVal&lt;&gt;"",_xlpm.MacVal,_xlpm.CSVVal&lt;&gt;"",_xlpm.CSVVal
)),"")</f>
        <v/>
      </c>
      <c r="K172" s="2" t="str" cm="1">
        <f t="array" ref="K172">IFERROR(_xlfn.LET(
_xlpm.CSVVal,_xlfn.XLOOKUP($A172,CSV!$A:$A,CSV!K:K,""),
_xlpm.MacVal,_xlfn.XLOOKUP($A172,Output_Mac!$A:$A,Output_Mac!K:K,""),
_xlpm.MyAuditVal,_xlfn.XLOOKUP($A172,My_Audit!$A:$A,My_Audit!J:J,""),
_xlfn.IFS(_xlpm.MyAuditVal&lt;&gt;"",UPPER(_xlpm.MyAuditVal),_xlpm.MacVal&lt;&gt;"",_xlpm.MacVal,_xlpm.CSVVal&lt;&gt;"",_xlpm.CSVVal
)),"")</f>
        <v/>
      </c>
      <c r="L172" s="2" t="str" cm="1">
        <f t="array" ref="L172">IFERROR(_xlfn.LET(
_xlpm.CSVVal,_xlfn.XLOOKUP($A172,CSV!$A:$A,CSV!P:P,""),
_xlpm.MacVal,_xlfn.XLOOKUP($A172,Output_Mac!$A:$A,Output_Mac!L:L,""),
_xlpm.MyAuditVal,_xlfn.XLOOKUP($A172,My_Audit!$A:$A,My_Audit!K:K,""),
_xlfn.IFS(_xlpm.MyAuditVal&lt;&gt;"",UPPER(_xlpm.MyAuditVal),_xlpm.MacVal&lt;&gt;"",_xlpm.MacVal,_xlpm.CSVVal&lt;&gt;"",_xlpm.CSVVal
)),"")</f>
        <v/>
      </c>
      <c r="M172" s="2" t="str" cm="1">
        <f t="array" ref="M172">IFERROR(_xlfn.LET(
_xlpm.CSVVal,_xlfn.XLOOKUP($A172,CSV!$A:$A,CSV!Q:Q,""),
_xlpm.MacVal,_xlfn.XLOOKUP($A172,Output_Mac!$A:$A,Output_Mac!M:M,""),
_xlpm.MyAuditVal,_xlfn.XLOOKUP($A172,My_Audit!$A:$A,My_Audit!L:L,""),
_xlfn.IFS(_xlpm.MyAuditVal&lt;&gt;"",UPPER(_xlpm.MyAuditVal),_xlpm.MacVal&lt;&gt;"",_xlpm.MacVal,_xlpm.CSVVal&lt;&gt;"",_xlpm.CSVVal
)),"")</f>
        <v/>
      </c>
      <c r="O172" s="2" t="str">
        <f>_xlfn.LET(
    _xlpm.CSVVal, _xlfn.XLOOKUP($A172, CSV!$A:$A, CSV!AF:AF, ""),
    _xlpm.MacVal, _xlfn.XLOOKUP($A172, Output_Mac!$A:$A, Output_Mac!S:S, ""),
    _xlpm.MyAuditVal, _xlfn.XLOOKUP($A172, My_Audit!$A:$A, My_Audit!P:P, ""),
    _xlfn.TEXTJOIN(", ", TRUE, _xlpm.MyAuditVal, _xlpm.MacVal, _xlpm.CSVVal)
)</f>
        <v/>
      </c>
      <c r="P172" s="2" t="str" cm="1">
        <f t="array" ref="P172">IFERROR(_xlfn.LET(
_xlpm.CSVVal,_xlfn.XLOOKUP($A172,CSV!$A:$A,CSV!AG:AG,""),
_xlpm.MacVal,_xlfn.XLOOKUP($A172,Output_Mac!$A:$A,Output_Mac!T:T,""),
_xlpm.MyAuditVal,_xlfn.XLOOKUP($A172,My_Audit!$A:$A,My_Audit!Q:Q,""),
_xlfn.IFS(_xlpm.MyAuditVal&lt;&gt;"",UPPER(_xlpm.MyAuditVal),_xlpm.MacVal&lt;&gt;"",_xlpm.MacVal,_xlpm.CSVVal&lt;&gt;"",_xlpm.CSVVal
)),"No")</f>
        <v>No</v>
      </c>
      <c r="Q172" s="2" t="str" cm="1">
        <f t="array" ref="Q172">IFERROR(_xlfn.LET(
_xlpm.CSVVal,_xlfn.XLOOKUP($A172,CSV!$A:$A,CSV!AH:AH,""),
_xlpm.MacVal,_xlfn.XLOOKUP($A172,Output_Mac!$A:$A,Output_Mac!U:U,""),
_xlpm.MyAuditVal,_xlfn.XLOOKUP($A172,My_Audit!$A:$A,My_Audit!R:R,""),
_xlfn.IFS(_xlpm.MyAuditVal&lt;&gt;"",UPPER(_xlpm.MyAuditVal),_xlpm.MacVal&lt;&gt;"",_xlpm.MacVal,_xlpm.CSVVal&lt;&gt;"",_xlpm.CSVVal
)),"")</f>
        <v/>
      </c>
    </row>
    <row r="173" spans="1:24">
      <c r="A173" s="2" t="str">
        <f>_xlfn.TEXTJOIN("",TRUE,Input!$B$2,ROW(My_Audit!A172))</f>
        <v>XX172</v>
      </c>
      <c r="B173" s="2" t="str">
        <f>_xlfn.TEXTJOIN("-",TRUE,"ITD",Input!$A$2,A173)</f>
        <v>ITD-SHRXXX-XX172</v>
      </c>
      <c r="C173" s="2" t="str" cm="1">
        <f t="array" ref="C173">IFERROR(_xlfn.LET(
_xlpm.CSVVal,_xlfn.XLOOKUP($A173,CSV!$A:$A,CSV!B:B,""),
_xlpm.MacVal,_xlfn.XLOOKUP($A173,Output_Mac!$A:$A,Output_Mac!B:B,""),
_xlpm.MyAuditVal,_xlfn.XLOOKUP($A173,My_Audit!$A:$A,My_Audit!B:B,""),
_xlfn.IFS(_xlpm.MyAuditVal&lt;&gt;"",UPPER(_xlpm.MyAuditVal),_xlpm.MacVal&lt;&gt;"",_xlpm.MacVal,_xlpm.CSVVal&lt;&gt;"",_xlpm.CSVVal
)),"")</f>
        <v/>
      </c>
      <c r="D173" s="2" t="str" cm="1">
        <f t="array" ref="D173">IFERROR(_xlfn.LET(
_xlpm.CSVVal,_xlfn.XLOOKUP($A173,CSV!$A:$A,CSV!D:D,""),
_xlpm.MacVal,_xlfn.XLOOKUP($A173,Output_Mac!$A:$A,Output_Mac!C:C,""),
_xlpm.MyAuditVal,_xlfn.XLOOKUP($A173,My_Audit!$A:$A,My_Audit!C:C,""),
_xlfn.IFS(_xlpm.MyAuditVal&lt;&gt;"",_xlpm.MyAuditVal,_xlpm.MacVal&lt;&gt;"",_xlpm.MacVal,_xlpm.CSVVal&lt;&gt;"",_xlpm.CSVVal
)),"")</f>
        <v/>
      </c>
      <c r="E173" s="2" t="str">
        <f>_xlfn.XLOOKUP(A173,My_Audit!A:A,My_Audit!D:D,"")&amp;""</f>
        <v/>
      </c>
      <c r="F173" s="2" t="str" cm="1">
        <f t="array" ref="F173">IFERROR(_xlfn.LET(
_xlpm.CSVVal,_xlfn.XLOOKUP($A173,CSV!$A:$A,CSV!F:F,""),
_xlpm.MacVal,_xlfn.XLOOKUP($A173,Output_Mac!$A:$A,Output_Mac!E:E,""),
_xlpm.MyAuditVal,_xlfn.XLOOKUP($A173,My_Audit!$A:$A,My_Audit!E:E,""),
_xlfn.IFS(_xlpm.MyAuditVal&lt;&gt;"",_xlpm.MyAuditVal,_xlpm.MacVal&lt;&gt;"",_xlpm.MacVal,_xlpm.CSVVal&lt;&gt;"",_xlpm.CSVVal
)),"")</f>
        <v/>
      </c>
      <c r="G173" s="2" t="str" cm="1">
        <f t="array" ref="G173">IFERROR(_xlfn.LET(
_xlpm.CSVVal,_xlfn.XLOOKUP($A173,CSV!$A:$A,CSV!G:G,""),
_xlpm.MacVal,_xlfn.XLOOKUP($A173,Output_Mac!$A:$A,Output_Mac!F:F,""),
_xlpm.MyAuditVal,_xlfn.XLOOKUP($A173,My_Audit!$A:$A,My_Audit!F:F,""),
_xlfn.IFS(_xlpm.MyAuditVal&lt;&gt;"",_xlpm.MyAuditVal,_xlpm.MacVal&lt;&gt;"",_xlpm.MacVal,_xlpm.CSVVal&lt;&gt;"",PROPER(_xlpm.CSVVal)
)),"")</f>
        <v/>
      </c>
      <c r="H173" s="2" t="str" cm="1">
        <f t="array" ref="H173">IFERROR(_xlfn.LET(
_xlpm.CSVVal,_xlfn.XLOOKUP($A173,CSV!$A:$A,CSV!H:H,""),
_xlpm.MacVal,_xlfn.XLOOKUP($A173,Output_Mac!$A:$A,Output_Mac!H:H,""),
_xlpm.MyAuditVal,_xlfn.XLOOKUP($A173,My_Audit!$A:$A,My_Audit!G:G,""),
_xlfn.IFS(_xlpm.MyAuditVal&lt;&gt;"",_xlpm.MyAuditVal,_xlpm.MacVal&lt;&gt;"",_xlpm.MacVal,_xlpm.CSVVal&lt;&gt;"",_xlpm.CSVVal
)),"")</f>
        <v/>
      </c>
      <c r="I173" s="2" t="str">
        <f>_xlfn.XLOOKUP(A173,Output_Mac!A:A,Output_Mac!I:I,"")</f>
        <v/>
      </c>
      <c r="J173" s="2" t="str" cm="1">
        <f t="array" ref="J173">IFERROR(_xlfn.LET(
_xlpm.CSVVal,_xlfn.XLOOKUP($A173,CSV!$A:$A,CSV!I:I,""),
_xlpm.MacVal,_xlfn.XLOOKUP($A173,Output_Mac!$A:$A,Output_Mac!J:J,""),
_xlpm.MyAuditVal,_xlfn.XLOOKUP($A173,My_Audit!$A:$A,My_Audit!I:I,""),
_xlfn.IFS(_xlpm.MyAuditVal&lt;&gt;"",UPPER(_xlpm.MyAuditVal),_xlpm.MacVal&lt;&gt;"",_xlpm.MacVal,_xlpm.CSVVal&lt;&gt;"",_xlpm.CSVVal
)),"")</f>
        <v/>
      </c>
      <c r="K173" s="2" t="str" cm="1">
        <f t="array" ref="K173">IFERROR(_xlfn.LET(
_xlpm.CSVVal,_xlfn.XLOOKUP($A173,CSV!$A:$A,CSV!K:K,""),
_xlpm.MacVal,_xlfn.XLOOKUP($A173,Output_Mac!$A:$A,Output_Mac!K:K,""),
_xlpm.MyAuditVal,_xlfn.XLOOKUP($A173,My_Audit!$A:$A,My_Audit!J:J,""),
_xlfn.IFS(_xlpm.MyAuditVal&lt;&gt;"",UPPER(_xlpm.MyAuditVal),_xlpm.MacVal&lt;&gt;"",_xlpm.MacVal,_xlpm.CSVVal&lt;&gt;"",_xlpm.CSVVal
)),"")</f>
        <v/>
      </c>
      <c r="L173" s="2" t="str" cm="1">
        <f t="array" ref="L173">IFERROR(_xlfn.LET(
_xlpm.CSVVal,_xlfn.XLOOKUP($A173,CSV!$A:$A,CSV!P:P,""),
_xlpm.MacVal,_xlfn.XLOOKUP($A173,Output_Mac!$A:$A,Output_Mac!L:L,""),
_xlpm.MyAuditVal,_xlfn.XLOOKUP($A173,My_Audit!$A:$A,My_Audit!K:K,""),
_xlfn.IFS(_xlpm.MyAuditVal&lt;&gt;"",UPPER(_xlpm.MyAuditVal),_xlpm.MacVal&lt;&gt;"",_xlpm.MacVal,_xlpm.CSVVal&lt;&gt;"",_xlpm.CSVVal
)),"")</f>
        <v/>
      </c>
      <c r="M173" s="2" t="str" cm="1">
        <f t="array" ref="M173">IFERROR(_xlfn.LET(
_xlpm.CSVVal,_xlfn.XLOOKUP($A173,CSV!$A:$A,CSV!Q:Q,""),
_xlpm.MacVal,_xlfn.XLOOKUP($A173,Output_Mac!$A:$A,Output_Mac!M:M,""),
_xlpm.MyAuditVal,_xlfn.XLOOKUP($A173,My_Audit!$A:$A,My_Audit!L:L,""),
_xlfn.IFS(_xlpm.MyAuditVal&lt;&gt;"",UPPER(_xlpm.MyAuditVal),_xlpm.MacVal&lt;&gt;"",_xlpm.MacVal,_xlpm.CSVVal&lt;&gt;"",_xlpm.CSVVal
)),"")</f>
        <v/>
      </c>
      <c r="O173" s="2" t="str">
        <f>_xlfn.LET(
    _xlpm.CSVVal, _xlfn.XLOOKUP($A173, CSV!$A:$A, CSV!AF:AF, ""),
    _xlpm.MacVal, _xlfn.XLOOKUP($A173, Output_Mac!$A:$A, Output_Mac!S:S, ""),
    _xlpm.MyAuditVal, _xlfn.XLOOKUP($A173, My_Audit!$A:$A, My_Audit!P:P, ""),
    _xlfn.TEXTJOIN(", ", TRUE, _xlpm.MyAuditVal, _xlpm.MacVal, _xlpm.CSVVal)
)</f>
        <v/>
      </c>
      <c r="P173" s="2" t="str" cm="1">
        <f t="array" ref="P173">IFERROR(_xlfn.LET(
_xlpm.CSVVal,_xlfn.XLOOKUP($A173,CSV!$A:$A,CSV!AG:AG,""),
_xlpm.MacVal,_xlfn.XLOOKUP($A173,Output_Mac!$A:$A,Output_Mac!T:T,""),
_xlpm.MyAuditVal,_xlfn.XLOOKUP($A173,My_Audit!$A:$A,My_Audit!Q:Q,""),
_xlfn.IFS(_xlpm.MyAuditVal&lt;&gt;"",UPPER(_xlpm.MyAuditVal),_xlpm.MacVal&lt;&gt;"",_xlpm.MacVal,_xlpm.CSVVal&lt;&gt;"",_xlpm.CSVVal
)),"No")</f>
        <v>No</v>
      </c>
      <c r="Q173" s="2" t="str" cm="1">
        <f t="array" ref="Q173">IFERROR(_xlfn.LET(
_xlpm.CSVVal,_xlfn.XLOOKUP($A173,CSV!$A:$A,CSV!AH:AH,""),
_xlpm.MacVal,_xlfn.XLOOKUP($A173,Output_Mac!$A:$A,Output_Mac!U:U,""),
_xlpm.MyAuditVal,_xlfn.XLOOKUP($A173,My_Audit!$A:$A,My_Audit!R:R,""),
_xlfn.IFS(_xlpm.MyAuditVal&lt;&gt;"",UPPER(_xlpm.MyAuditVal),_xlpm.MacVal&lt;&gt;"",_xlpm.MacVal,_xlpm.CSVVal&lt;&gt;"",_xlpm.CSVVal
)),"")</f>
        <v/>
      </c>
    </row>
    <row r="174" spans="1:24">
      <c r="A174" s="2" t="str">
        <f>_xlfn.TEXTJOIN("",TRUE,Input!$B$2,ROW(My_Audit!A173))</f>
        <v>XX173</v>
      </c>
      <c r="B174" s="2" t="str">
        <f>_xlfn.TEXTJOIN("-",TRUE,"ITD",Input!$A$2,A174)</f>
        <v>ITD-SHRXXX-XX173</v>
      </c>
      <c r="C174" s="2" t="str" cm="1">
        <f t="array" ref="C174">IFERROR(_xlfn.LET(
_xlpm.CSVVal,_xlfn.XLOOKUP($A174,CSV!$A:$A,CSV!B:B,""),
_xlpm.MacVal,_xlfn.XLOOKUP($A174,Output_Mac!$A:$A,Output_Mac!B:B,""),
_xlpm.MyAuditVal,_xlfn.XLOOKUP($A174,My_Audit!$A:$A,My_Audit!B:B,""),
_xlfn.IFS(_xlpm.MyAuditVal&lt;&gt;"",UPPER(_xlpm.MyAuditVal),_xlpm.MacVal&lt;&gt;"",_xlpm.MacVal,_xlpm.CSVVal&lt;&gt;"",_xlpm.CSVVal
)),"")</f>
        <v/>
      </c>
      <c r="D174" s="2" t="str" cm="1">
        <f t="array" ref="D174">IFERROR(_xlfn.LET(
_xlpm.CSVVal,_xlfn.XLOOKUP($A174,CSV!$A:$A,CSV!D:D,""),
_xlpm.MacVal,_xlfn.XLOOKUP($A174,Output_Mac!$A:$A,Output_Mac!C:C,""),
_xlpm.MyAuditVal,_xlfn.XLOOKUP($A174,My_Audit!$A:$A,My_Audit!C:C,""),
_xlfn.IFS(_xlpm.MyAuditVal&lt;&gt;"",_xlpm.MyAuditVal,_xlpm.MacVal&lt;&gt;"",_xlpm.MacVal,_xlpm.CSVVal&lt;&gt;"",_xlpm.CSVVal
)),"")</f>
        <v/>
      </c>
      <c r="E174" s="2" t="str">
        <f>_xlfn.XLOOKUP(A174,My_Audit!A:A,My_Audit!D:D,"")&amp;""</f>
        <v/>
      </c>
      <c r="F174" s="2" t="str" cm="1">
        <f t="array" ref="F174">IFERROR(_xlfn.LET(
_xlpm.CSVVal,_xlfn.XLOOKUP($A174,CSV!$A:$A,CSV!F:F,""),
_xlpm.MacVal,_xlfn.XLOOKUP($A174,Output_Mac!$A:$A,Output_Mac!E:E,""),
_xlpm.MyAuditVal,_xlfn.XLOOKUP($A174,My_Audit!$A:$A,My_Audit!E:E,""),
_xlfn.IFS(_xlpm.MyAuditVal&lt;&gt;"",_xlpm.MyAuditVal,_xlpm.MacVal&lt;&gt;"",_xlpm.MacVal,_xlpm.CSVVal&lt;&gt;"",_xlpm.CSVVal
)),"")</f>
        <v/>
      </c>
      <c r="G174" s="2" t="str" cm="1">
        <f t="array" ref="G174">IFERROR(_xlfn.LET(
_xlpm.CSVVal,_xlfn.XLOOKUP($A174,CSV!$A:$A,CSV!G:G,""),
_xlpm.MacVal,_xlfn.XLOOKUP($A174,Output_Mac!$A:$A,Output_Mac!F:F,""),
_xlpm.MyAuditVal,_xlfn.XLOOKUP($A174,My_Audit!$A:$A,My_Audit!F:F,""),
_xlfn.IFS(_xlpm.MyAuditVal&lt;&gt;"",_xlpm.MyAuditVal,_xlpm.MacVal&lt;&gt;"",_xlpm.MacVal,_xlpm.CSVVal&lt;&gt;"",PROPER(_xlpm.CSVVal)
)),"")</f>
        <v/>
      </c>
      <c r="H174" s="2" t="str" cm="1">
        <f t="array" ref="H174">IFERROR(_xlfn.LET(
_xlpm.CSVVal,_xlfn.XLOOKUP($A174,CSV!$A:$A,CSV!H:H,""),
_xlpm.MacVal,_xlfn.XLOOKUP($A174,Output_Mac!$A:$A,Output_Mac!H:H,""),
_xlpm.MyAuditVal,_xlfn.XLOOKUP($A174,My_Audit!$A:$A,My_Audit!G:G,""),
_xlfn.IFS(_xlpm.MyAuditVal&lt;&gt;"",_xlpm.MyAuditVal,_xlpm.MacVal&lt;&gt;"",_xlpm.MacVal,_xlpm.CSVVal&lt;&gt;"",_xlpm.CSVVal
)),"")</f>
        <v/>
      </c>
      <c r="I174" s="2" t="str">
        <f>_xlfn.XLOOKUP(A174,Output_Mac!A:A,Output_Mac!I:I,"")</f>
        <v/>
      </c>
      <c r="J174" s="2" t="str" cm="1">
        <f t="array" ref="J174">IFERROR(_xlfn.LET(
_xlpm.CSVVal,_xlfn.XLOOKUP($A174,CSV!$A:$A,CSV!I:I,""),
_xlpm.MacVal,_xlfn.XLOOKUP($A174,Output_Mac!$A:$A,Output_Mac!J:J,""),
_xlpm.MyAuditVal,_xlfn.XLOOKUP($A174,My_Audit!$A:$A,My_Audit!I:I,""),
_xlfn.IFS(_xlpm.MyAuditVal&lt;&gt;"",UPPER(_xlpm.MyAuditVal),_xlpm.MacVal&lt;&gt;"",_xlpm.MacVal,_xlpm.CSVVal&lt;&gt;"",_xlpm.CSVVal
)),"")</f>
        <v/>
      </c>
      <c r="K174" s="2" t="str" cm="1">
        <f t="array" ref="K174">IFERROR(_xlfn.LET(
_xlpm.CSVVal,_xlfn.XLOOKUP($A174,CSV!$A:$A,CSV!K:K,""),
_xlpm.MacVal,_xlfn.XLOOKUP($A174,Output_Mac!$A:$A,Output_Mac!K:K,""),
_xlpm.MyAuditVal,_xlfn.XLOOKUP($A174,My_Audit!$A:$A,My_Audit!J:J,""),
_xlfn.IFS(_xlpm.MyAuditVal&lt;&gt;"",UPPER(_xlpm.MyAuditVal),_xlpm.MacVal&lt;&gt;"",_xlpm.MacVal,_xlpm.CSVVal&lt;&gt;"",_xlpm.CSVVal
)),"")</f>
        <v/>
      </c>
      <c r="L174" s="2" t="str" cm="1">
        <f t="array" ref="L174">IFERROR(_xlfn.LET(
_xlpm.CSVVal,_xlfn.XLOOKUP($A174,CSV!$A:$A,CSV!P:P,""),
_xlpm.MacVal,_xlfn.XLOOKUP($A174,Output_Mac!$A:$A,Output_Mac!L:L,""),
_xlpm.MyAuditVal,_xlfn.XLOOKUP($A174,My_Audit!$A:$A,My_Audit!K:K,""),
_xlfn.IFS(_xlpm.MyAuditVal&lt;&gt;"",UPPER(_xlpm.MyAuditVal),_xlpm.MacVal&lt;&gt;"",_xlpm.MacVal,_xlpm.CSVVal&lt;&gt;"",_xlpm.CSVVal
)),"")</f>
        <v/>
      </c>
      <c r="M174" s="2" t="str" cm="1">
        <f t="array" ref="M174">IFERROR(_xlfn.LET(
_xlpm.CSVVal,_xlfn.XLOOKUP($A174,CSV!$A:$A,CSV!Q:Q,""),
_xlpm.MacVal,_xlfn.XLOOKUP($A174,Output_Mac!$A:$A,Output_Mac!M:M,""),
_xlpm.MyAuditVal,_xlfn.XLOOKUP($A174,My_Audit!$A:$A,My_Audit!L:L,""),
_xlfn.IFS(_xlpm.MyAuditVal&lt;&gt;"",UPPER(_xlpm.MyAuditVal),_xlpm.MacVal&lt;&gt;"",_xlpm.MacVal,_xlpm.CSVVal&lt;&gt;"",_xlpm.CSVVal
)),"")</f>
        <v/>
      </c>
      <c r="O174" s="2" t="str">
        <f>_xlfn.LET(
    _xlpm.CSVVal, _xlfn.XLOOKUP($A174, CSV!$A:$A, CSV!AF:AF, ""),
    _xlpm.MacVal, _xlfn.XLOOKUP($A174, Output_Mac!$A:$A, Output_Mac!S:S, ""),
    _xlpm.MyAuditVal, _xlfn.XLOOKUP($A174, My_Audit!$A:$A, My_Audit!P:P, ""),
    _xlfn.TEXTJOIN(", ", TRUE, _xlpm.MyAuditVal, _xlpm.MacVal, _xlpm.CSVVal)
)</f>
        <v/>
      </c>
      <c r="P174" s="2" t="str" cm="1">
        <f t="array" ref="P174">IFERROR(_xlfn.LET(
_xlpm.CSVVal,_xlfn.XLOOKUP($A174,CSV!$A:$A,CSV!AG:AG,""),
_xlpm.MacVal,_xlfn.XLOOKUP($A174,Output_Mac!$A:$A,Output_Mac!T:T,""),
_xlpm.MyAuditVal,_xlfn.XLOOKUP($A174,My_Audit!$A:$A,My_Audit!Q:Q,""),
_xlfn.IFS(_xlpm.MyAuditVal&lt;&gt;"",UPPER(_xlpm.MyAuditVal),_xlpm.MacVal&lt;&gt;"",_xlpm.MacVal,_xlpm.CSVVal&lt;&gt;"",_xlpm.CSVVal
)),"No")</f>
        <v>No</v>
      </c>
      <c r="Q174" s="2" t="str" cm="1">
        <f t="array" ref="Q174">IFERROR(_xlfn.LET(
_xlpm.CSVVal,_xlfn.XLOOKUP($A174,CSV!$A:$A,CSV!AH:AH,""),
_xlpm.MacVal,_xlfn.XLOOKUP($A174,Output_Mac!$A:$A,Output_Mac!U:U,""),
_xlpm.MyAuditVal,_xlfn.XLOOKUP($A174,My_Audit!$A:$A,My_Audit!R:R,""),
_xlfn.IFS(_xlpm.MyAuditVal&lt;&gt;"",UPPER(_xlpm.MyAuditVal),_xlpm.MacVal&lt;&gt;"",_xlpm.MacVal,_xlpm.CSVVal&lt;&gt;"",_xlpm.CSVVal
)),"")</f>
        <v/>
      </c>
    </row>
    <row r="175" spans="1:24">
      <c r="A175" s="2" t="str">
        <f>_xlfn.TEXTJOIN("",TRUE,Input!$B$2,ROW(My_Audit!A174))</f>
        <v>XX174</v>
      </c>
      <c r="B175" s="2" t="str">
        <f>_xlfn.TEXTJOIN("-",TRUE,"ITD",Input!$A$2,A175)</f>
        <v>ITD-SHRXXX-XX174</v>
      </c>
      <c r="C175" s="2" t="str" cm="1">
        <f t="array" ref="C175">IFERROR(_xlfn.LET(
_xlpm.CSVVal,_xlfn.XLOOKUP($A175,CSV!$A:$A,CSV!B:B,""),
_xlpm.MacVal,_xlfn.XLOOKUP($A175,Output_Mac!$A:$A,Output_Mac!B:B,""),
_xlpm.MyAuditVal,_xlfn.XLOOKUP($A175,My_Audit!$A:$A,My_Audit!B:B,""),
_xlfn.IFS(_xlpm.MyAuditVal&lt;&gt;"",UPPER(_xlpm.MyAuditVal),_xlpm.MacVal&lt;&gt;"",_xlpm.MacVal,_xlpm.CSVVal&lt;&gt;"",_xlpm.CSVVal
)),"")</f>
        <v/>
      </c>
      <c r="D175" s="2" t="str" cm="1">
        <f t="array" ref="D175">IFERROR(_xlfn.LET(
_xlpm.CSVVal,_xlfn.XLOOKUP($A175,CSV!$A:$A,CSV!D:D,""),
_xlpm.MacVal,_xlfn.XLOOKUP($A175,Output_Mac!$A:$A,Output_Mac!C:C,""),
_xlpm.MyAuditVal,_xlfn.XLOOKUP($A175,My_Audit!$A:$A,My_Audit!C:C,""),
_xlfn.IFS(_xlpm.MyAuditVal&lt;&gt;"",_xlpm.MyAuditVal,_xlpm.MacVal&lt;&gt;"",_xlpm.MacVal,_xlpm.CSVVal&lt;&gt;"",_xlpm.CSVVal
)),"")</f>
        <v/>
      </c>
      <c r="E175" s="2" t="str">
        <f>_xlfn.XLOOKUP(A175,My_Audit!A:A,My_Audit!D:D,"")&amp;""</f>
        <v/>
      </c>
      <c r="F175" s="2" t="str" cm="1">
        <f t="array" ref="F175">IFERROR(_xlfn.LET(
_xlpm.CSVVal,_xlfn.XLOOKUP($A175,CSV!$A:$A,CSV!F:F,""),
_xlpm.MacVal,_xlfn.XLOOKUP($A175,Output_Mac!$A:$A,Output_Mac!E:E,""),
_xlpm.MyAuditVal,_xlfn.XLOOKUP($A175,My_Audit!$A:$A,My_Audit!E:E,""),
_xlfn.IFS(_xlpm.MyAuditVal&lt;&gt;"",_xlpm.MyAuditVal,_xlpm.MacVal&lt;&gt;"",_xlpm.MacVal,_xlpm.CSVVal&lt;&gt;"",_xlpm.CSVVal
)),"")</f>
        <v/>
      </c>
      <c r="G175" s="2" t="str" cm="1">
        <f t="array" ref="G175">IFERROR(_xlfn.LET(
_xlpm.CSVVal,_xlfn.XLOOKUP($A175,CSV!$A:$A,CSV!G:G,""),
_xlpm.MacVal,_xlfn.XLOOKUP($A175,Output_Mac!$A:$A,Output_Mac!F:F,""),
_xlpm.MyAuditVal,_xlfn.XLOOKUP($A175,My_Audit!$A:$A,My_Audit!F:F,""),
_xlfn.IFS(_xlpm.MyAuditVal&lt;&gt;"",_xlpm.MyAuditVal,_xlpm.MacVal&lt;&gt;"",_xlpm.MacVal,_xlpm.CSVVal&lt;&gt;"",PROPER(_xlpm.CSVVal)
)),"")</f>
        <v/>
      </c>
      <c r="H175" s="2" t="str" cm="1">
        <f t="array" ref="H175">IFERROR(_xlfn.LET(
_xlpm.CSVVal,_xlfn.XLOOKUP($A175,CSV!$A:$A,CSV!H:H,""),
_xlpm.MacVal,_xlfn.XLOOKUP($A175,Output_Mac!$A:$A,Output_Mac!H:H,""),
_xlpm.MyAuditVal,_xlfn.XLOOKUP($A175,My_Audit!$A:$A,My_Audit!G:G,""),
_xlfn.IFS(_xlpm.MyAuditVal&lt;&gt;"",_xlpm.MyAuditVal,_xlpm.MacVal&lt;&gt;"",_xlpm.MacVal,_xlpm.CSVVal&lt;&gt;"",_xlpm.CSVVal
)),"")</f>
        <v/>
      </c>
      <c r="I175" s="2" t="str">
        <f>_xlfn.XLOOKUP(A175,Output_Mac!A:A,Output_Mac!I:I,"")</f>
        <v/>
      </c>
      <c r="J175" s="2" t="str" cm="1">
        <f t="array" ref="J175">IFERROR(_xlfn.LET(
_xlpm.CSVVal,_xlfn.XLOOKUP($A175,CSV!$A:$A,CSV!I:I,""),
_xlpm.MacVal,_xlfn.XLOOKUP($A175,Output_Mac!$A:$A,Output_Mac!J:J,""),
_xlpm.MyAuditVal,_xlfn.XLOOKUP($A175,My_Audit!$A:$A,My_Audit!I:I,""),
_xlfn.IFS(_xlpm.MyAuditVal&lt;&gt;"",UPPER(_xlpm.MyAuditVal),_xlpm.MacVal&lt;&gt;"",_xlpm.MacVal,_xlpm.CSVVal&lt;&gt;"",_xlpm.CSVVal
)),"")</f>
        <v/>
      </c>
      <c r="K175" s="2" t="str" cm="1">
        <f t="array" ref="K175">IFERROR(_xlfn.LET(
_xlpm.CSVVal,_xlfn.XLOOKUP($A175,CSV!$A:$A,CSV!K:K,""),
_xlpm.MacVal,_xlfn.XLOOKUP($A175,Output_Mac!$A:$A,Output_Mac!K:K,""),
_xlpm.MyAuditVal,_xlfn.XLOOKUP($A175,My_Audit!$A:$A,My_Audit!J:J,""),
_xlfn.IFS(_xlpm.MyAuditVal&lt;&gt;"",UPPER(_xlpm.MyAuditVal),_xlpm.MacVal&lt;&gt;"",_xlpm.MacVal,_xlpm.CSVVal&lt;&gt;"",_xlpm.CSVVal
)),"")</f>
        <v/>
      </c>
      <c r="L175" s="2" t="str" cm="1">
        <f t="array" ref="L175">IFERROR(_xlfn.LET(
_xlpm.CSVVal,_xlfn.XLOOKUP($A175,CSV!$A:$A,CSV!P:P,""),
_xlpm.MacVal,_xlfn.XLOOKUP($A175,Output_Mac!$A:$A,Output_Mac!L:L,""),
_xlpm.MyAuditVal,_xlfn.XLOOKUP($A175,My_Audit!$A:$A,My_Audit!K:K,""),
_xlfn.IFS(_xlpm.MyAuditVal&lt;&gt;"",UPPER(_xlpm.MyAuditVal),_xlpm.MacVal&lt;&gt;"",_xlpm.MacVal,_xlpm.CSVVal&lt;&gt;"",_xlpm.CSVVal
)),"")</f>
        <v/>
      </c>
      <c r="M175" s="2" t="str" cm="1">
        <f t="array" ref="M175">IFERROR(_xlfn.LET(
_xlpm.CSVVal,_xlfn.XLOOKUP($A175,CSV!$A:$A,CSV!Q:Q,""),
_xlpm.MacVal,_xlfn.XLOOKUP($A175,Output_Mac!$A:$A,Output_Mac!M:M,""),
_xlpm.MyAuditVal,_xlfn.XLOOKUP($A175,My_Audit!$A:$A,My_Audit!L:L,""),
_xlfn.IFS(_xlpm.MyAuditVal&lt;&gt;"",UPPER(_xlpm.MyAuditVal),_xlpm.MacVal&lt;&gt;"",_xlpm.MacVal,_xlpm.CSVVal&lt;&gt;"",_xlpm.CSVVal
)),"")</f>
        <v/>
      </c>
      <c r="O175" s="2" t="str">
        <f>_xlfn.LET(
    _xlpm.CSVVal, _xlfn.XLOOKUP($A175, CSV!$A:$A, CSV!AF:AF, ""),
    _xlpm.MacVal, _xlfn.XLOOKUP($A175, Output_Mac!$A:$A, Output_Mac!S:S, ""),
    _xlpm.MyAuditVal, _xlfn.XLOOKUP($A175, My_Audit!$A:$A, My_Audit!P:P, ""),
    _xlfn.TEXTJOIN(", ", TRUE, _xlpm.MyAuditVal, _xlpm.MacVal, _xlpm.CSVVal)
)</f>
        <v/>
      </c>
      <c r="P175" s="2" t="str" cm="1">
        <f t="array" ref="P175">IFERROR(_xlfn.LET(
_xlpm.CSVVal,_xlfn.XLOOKUP($A175,CSV!$A:$A,CSV!AG:AG,""),
_xlpm.MacVal,_xlfn.XLOOKUP($A175,Output_Mac!$A:$A,Output_Mac!T:T,""),
_xlpm.MyAuditVal,_xlfn.XLOOKUP($A175,My_Audit!$A:$A,My_Audit!Q:Q,""),
_xlfn.IFS(_xlpm.MyAuditVal&lt;&gt;"",UPPER(_xlpm.MyAuditVal),_xlpm.MacVal&lt;&gt;"",_xlpm.MacVal,_xlpm.CSVVal&lt;&gt;"",_xlpm.CSVVal
)),"No")</f>
        <v>No</v>
      </c>
      <c r="Q175" s="2" t="str" cm="1">
        <f t="array" ref="Q175">IFERROR(_xlfn.LET(
_xlpm.CSVVal,_xlfn.XLOOKUP($A175,CSV!$A:$A,CSV!AH:AH,""),
_xlpm.MacVal,_xlfn.XLOOKUP($A175,Output_Mac!$A:$A,Output_Mac!U:U,""),
_xlpm.MyAuditVal,_xlfn.XLOOKUP($A175,My_Audit!$A:$A,My_Audit!R:R,""),
_xlfn.IFS(_xlpm.MyAuditVal&lt;&gt;"",UPPER(_xlpm.MyAuditVal),_xlpm.MacVal&lt;&gt;"",_xlpm.MacVal,_xlpm.CSVVal&lt;&gt;"",_xlpm.CSVVal
)),"")</f>
        <v/>
      </c>
    </row>
    <row r="176" spans="1:24">
      <c r="A176" s="2" t="str">
        <f>_xlfn.TEXTJOIN("",TRUE,Input!$B$2,ROW(My_Audit!A175))</f>
        <v>XX175</v>
      </c>
      <c r="B176" s="2" t="str">
        <f>_xlfn.TEXTJOIN("-",TRUE,"ITD",Input!$A$2,A176)</f>
        <v>ITD-SHRXXX-XX175</v>
      </c>
      <c r="C176" s="2" t="str" cm="1">
        <f t="array" ref="C176">IFERROR(_xlfn.LET(
_xlpm.CSVVal,_xlfn.XLOOKUP($A176,CSV!$A:$A,CSV!B:B,""),
_xlpm.MacVal,_xlfn.XLOOKUP($A176,Output_Mac!$A:$A,Output_Mac!B:B,""),
_xlpm.MyAuditVal,_xlfn.XLOOKUP($A176,My_Audit!$A:$A,My_Audit!B:B,""),
_xlfn.IFS(_xlpm.MyAuditVal&lt;&gt;"",UPPER(_xlpm.MyAuditVal),_xlpm.MacVal&lt;&gt;"",_xlpm.MacVal,_xlpm.CSVVal&lt;&gt;"",_xlpm.CSVVal
)),"")</f>
        <v/>
      </c>
      <c r="D176" s="2" t="str" cm="1">
        <f t="array" ref="D176">IFERROR(_xlfn.LET(
_xlpm.CSVVal,_xlfn.XLOOKUP($A176,CSV!$A:$A,CSV!D:D,""),
_xlpm.MacVal,_xlfn.XLOOKUP($A176,Output_Mac!$A:$A,Output_Mac!C:C,""),
_xlpm.MyAuditVal,_xlfn.XLOOKUP($A176,My_Audit!$A:$A,My_Audit!C:C,""),
_xlfn.IFS(_xlpm.MyAuditVal&lt;&gt;"",_xlpm.MyAuditVal,_xlpm.MacVal&lt;&gt;"",_xlpm.MacVal,_xlpm.CSVVal&lt;&gt;"",_xlpm.CSVVal
)),"")</f>
        <v/>
      </c>
      <c r="E176" s="2" t="str">
        <f>_xlfn.XLOOKUP(A176,My_Audit!A:A,My_Audit!D:D,"")&amp;""</f>
        <v/>
      </c>
      <c r="F176" s="2" t="str" cm="1">
        <f t="array" ref="F176">IFERROR(_xlfn.LET(
_xlpm.CSVVal,_xlfn.XLOOKUP($A176,CSV!$A:$A,CSV!F:F,""),
_xlpm.MacVal,_xlfn.XLOOKUP($A176,Output_Mac!$A:$A,Output_Mac!E:E,""),
_xlpm.MyAuditVal,_xlfn.XLOOKUP($A176,My_Audit!$A:$A,My_Audit!E:E,""),
_xlfn.IFS(_xlpm.MyAuditVal&lt;&gt;"",_xlpm.MyAuditVal,_xlpm.MacVal&lt;&gt;"",_xlpm.MacVal,_xlpm.CSVVal&lt;&gt;"",_xlpm.CSVVal
)),"")</f>
        <v/>
      </c>
      <c r="G176" s="2" t="str" cm="1">
        <f t="array" ref="G176">IFERROR(_xlfn.LET(
_xlpm.CSVVal,_xlfn.XLOOKUP($A176,CSV!$A:$A,CSV!G:G,""),
_xlpm.MacVal,_xlfn.XLOOKUP($A176,Output_Mac!$A:$A,Output_Mac!F:F,""),
_xlpm.MyAuditVal,_xlfn.XLOOKUP($A176,My_Audit!$A:$A,My_Audit!F:F,""),
_xlfn.IFS(_xlpm.MyAuditVal&lt;&gt;"",_xlpm.MyAuditVal,_xlpm.MacVal&lt;&gt;"",_xlpm.MacVal,_xlpm.CSVVal&lt;&gt;"",PROPER(_xlpm.CSVVal)
)),"")</f>
        <v/>
      </c>
      <c r="H176" s="2" t="str" cm="1">
        <f t="array" ref="H176">IFERROR(_xlfn.LET(
_xlpm.CSVVal,_xlfn.XLOOKUP($A176,CSV!$A:$A,CSV!H:H,""),
_xlpm.MacVal,_xlfn.XLOOKUP($A176,Output_Mac!$A:$A,Output_Mac!H:H,""),
_xlpm.MyAuditVal,_xlfn.XLOOKUP($A176,My_Audit!$A:$A,My_Audit!G:G,""),
_xlfn.IFS(_xlpm.MyAuditVal&lt;&gt;"",_xlpm.MyAuditVal,_xlpm.MacVal&lt;&gt;"",_xlpm.MacVal,_xlpm.CSVVal&lt;&gt;"",_xlpm.CSVVal
)),"")</f>
        <v/>
      </c>
      <c r="I176" s="2" t="str">
        <f>_xlfn.XLOOKUP(A176,Output_Mac!A:A,Output_Mac!I:I,"")</f>
        <v/>
      </c>
      <c r="J176" s="2" t="str" cm="1">
        <f t="array" ref="J176">IFERROR(_xlfn.LET(
_xlpm.CSVVal,_xlfn.XLOOKUP($A176,CSV!$A:$A,CSV!I:I,""),
_xlpm.MacVal,_xlfn.XLOOKUP($A176,Output_Mac!$A:$A,Output_Mac!J:J,""),
_xlpm.MyAuditVal,_xlfn.XLOOKUP($A176,My_Audit!$A:$A,My_Audit!I:I,""),
_xlfn.IFS(_xlpm.MyAuditVal&lt;&gt;"",UPPER(_xlpm.MyAuditVal),_xlpm.MacVal&lt;&gt;"",_xlpm.MacVal,_xlpm.CSVVal&lt;&gt;"",_xlpm.CSVVal
)),"")</f>
        <v/>
      </c>
      <c r="K176" s="2" t="str" cm="1">
        <f t="array" ref="K176">IFERROR(_xlfn.LET(
_xlpm.CSVVal,_xlfn.XLOOKUP($A176,CSV!$A:$A,CSV!K:K,""),
_xlpm.MacVal,_xlfn.XLOOKUP($A176,Output_Mac!$A:$A,Output_Mac!K:K,""),
_xlpm.MyAuditVal,_xlfn.XLOOKUP($A176,My_Audit!$A:$A,My_Audit!J:J,""),
_xlfn.IFS(_xlpm.MyAuditVal&lt;&gt;"",UPPER(_xlpm.MyAuditVal),_xlpm.MacVal&lt;&gt;"",_xlpm.MacVal,_xlpm.CSVVal&lt;&gt;"",_xlpm.CSVVal
)),"")</f>
        <v/>
      </c>
      <c r="L176" s="2" t="str" cm="1">
        <f t="array" ref="L176">IFERROR(_xlfn.LET(
_xlpm.CSVVal,_xlfn.XLOOKUP($A176,CSV!$A:$A,CSV!P:P,""),
_xlpm.MacVal,_xlfn.XLOOKUP($A176,Output_Mac!$A:$A,Output_Mac!L:L,""),
_xlpm.MyAuditVal,_xlfn.XLOOKUP($A176,My_Audit!$A:$A,My_Audit!K:K,""),
_xlfn.IFS(_xlpm.MyAuditVal&lt;&gt;"",UPPER(_xlpm.MyAuditVal),_xlpm.MacVal&lt;&gt;"",_xlpm.MacVal,_xlpm.CSVVal&lt;&gt;"",_xlpm.CSVVal
)),"")</f>
        <v/>
      </c>
      <c r="M176" s="2" t="str" cm="1">
        <f t="array" ref="M176">IFERROR(_xlfn.LET(
_xlpm.CSVVal,_xlfn.XLOOKUP($A176,CSV!$A:$A,CSV!Q:Q,""),
_xlpm.MacVal,_xlfn.XLOOKUP($A176,Output_Mac!$A:$A,Output_Mac!M:M,""),
_xlpm.MyAuditVal,_xlfn.XLOOKUP($A176,My_Audit!$A:$A,My_Audit!L:L,""),
_xlfn.IFS(_xlpm.MyAuditVal&lt;&gt;"",UPPER(_xlpm.MyAuditVal),_xlpm.MacVal&lt;&gt;"",_xlpm.MacVal,_xlpm.CSVVal&lt;&gt;"",_xlpm.CSVVal
)),"")</f>
        <v/>
      </c>
      <c r="O176" s="2" t="str">
        <f>_xlfn.LET(
    _xlpm.CSVVal, _xlfn.XLOOKUP($A176, CSV!$A:$A, CSV!AF:AF, ""),
    _xlpm.MacVal, _xlfn.XLOOKUP($A176, Output_Mac!$A:$A, Output_Mac!S:S, ""),
    _xlpm.MyAuditVal, _xlfn.XLOOKUP($A176, My_Audit!$A:$A, My_Audit!P:P, ""),
    _xlfn.TEXTJOIN(", ", TRUE, _xlpm.MyAuditVal, _xlpm.MacVal, _xlpm.CSVVal)
)</f>
        <v/>
      </c>
      <c r="P176" s="2" t="str" cm="1">
        <f t="array" ref="P176">IFERROR(_xlfn.LET(
_xlpm.CSVVal,_xlfn.XLOOKUP($A176,CSV!$A:$A,CSV!AG:AG,""),
_xlpm.MacVal,_xlfn.XLOOKUP($A176,Output_Mac!$A:$A,Output_Mac!T:T,""),
_xlpm.MyAuditVal,_xlfn.XLOOKUP($A176,My_Audit!$A:$A,My_Audit!Q:Q,""),
_xlfn.IFS(_xlpm.MyAuditVal&lt;&gt;"",UPPER(_xlpm.MyAuditVal),_xlpm.MacVal&lt;&gt;"",_xlpm.MacVal,_xlpm.CSVVal&lt;&gt;"",_xlpm.CSVVal
)),"No")</f>
        <v>No</v>
      </c>
      <c r="Q176" s="2" t="str" cm="1">
        <f t="array" ref="Q176">IFERROR(_xlfn.LET(
_xlpm.CSVVal,_xlfn.XLOOKUP($A176,CSV!$A:$A,CSV!AH:AH,""),
_xlpm.MacVal,_xlfn.XLOOKUP($A176,Output_Mac!$A:$A,Output_Mac!U:U,""),
_xlpm.MyAuditVal,_xlfn.XLOOKUP($A176,My_Audit!$A:$A,My_Audit!R:R,""),
_xlfn.IFS(_xlpm.MyAuditVal&lt;&gt;"",UPPER(_xlpm.MyAuditVal),_xlpm.MacVal&lt;&gt;"",_xlpm.MacVal,_xlpm.CSVVal&lt;&gt;"",_xlpm.CSVVal
)),"")</f>
        <v/>
      </c>
    </row>
    <row r="177" spans="1:17">
      <c r="A177" s="2" t="str">
        <f>_xlfn.TEXTJOIN("",TRUE,Input!$B$2,ROW(My_Audit!A176))</f>
        <v>XX176</v>
      </c>
      <c r="B177" s="2" t="str">
        <f>_xlfn.TEXTJOIN("-",TRUE,"ITD",Input!$A$2,A177)</f>
        <v>ITD-SHRXXX-XX176</v>
      </c>
      <c r="C177" s="2" t="str" cm="1">
        <f t="array" ref="C177">IFERROR(_xlfn.LET(
_xlpm.CSVVal,_xlfn.XLOOKUP($A177,CSV!$A:$A,CSV!B:B,""),
_xlpm.MacVal,_xlfn.XLOOKUP($A177,Output_Mac!$A:$A,Output_Mac!B:B,""),
_xlpm.MyAuditVal,_xlfn.XLOOKUP($A177,My_Audit!$A:$A,My_Audit!B:B,""),
_xlfn.IFS(_xlpm.MyAuditVal&lt;&gt;"",UPPER(_xlpm.MyAuditVal),_xlpm.MacVal&lt;&gt;"",_xlpm.MacVal,_xlpm.CSVVal&lt;&gt;"",_xlpm.CSVVal
)),"")</f>
        <v/>
      </c>
      <c r="D177" s="2" t="str" cm="1">
        <f t="array" ref="D177">IFERROR(_xlfn.LET(
_xlpm.CSVVal,_xlfn.XLOOKUP($A177,CSV!$A:$A,CSV!D:D,""),
_xlpm.MacVal,_xlfn.XLOOKUP($A177,Output_Mac!$A:$A,Output_Mac!C:C,""),
_xlpm.MyAuditVal,_xlfn.XLOOKUP($A177,My_Audit!$A:$A,My_Audit!C:C,""),
_xlfn.IFS(_xlpm.MyAuditVal&lt;&gt;"",_xlpm.MyAuditVal,_xlpm.MacVal&lt;&gt;"",_xlpm.MacVal,_xlpm.CSVVal&lt;&gt;"",_xlpm.CSVVal
)),"")</f>
        <v/>
      </c>
      <c r="E177" s="2" t="str">
        <f>_xlfn.XLOOKUP(A177,My_Audit!A:A,My_Audit!D:D,"")&amp;""</f>
        <v/>
      </c>
      <c r="F177" s="2" t="str" cm="1">
        <f t="array" ref="F177">IFERROR(_xlfn.LET(
_xlpm.CSVVal,_xlfn.XLOOKUP($A177,CSV!$A:$A,CSV!F:F,""),
_xlpm.MacVal,_xlfn.XLOOKUP($A177,Output_Mac!$A:$A,Output_Mac!E:E,""),
_xlpm.MyAuditVal,_xlfn.XLOOKUP($A177,My_Audit!$A:$A,My_Audit!E:E,""),
_xlfn.IFS(_xlpm.MyAuditVal&lt;&gt;"",_xlpm.MyAuditVal,_xlpm.MacVal&lt;&gt;"",_xlpm.MacVal,_xlpm.CSVVal&lt;&gt;"",_xlpm.CSVVal
)),"")</f>
        <v/>
      </c>
      <c r="G177" s="2" t="str" cm="1">
        <f t="array" ref="G177">IFERROR(_xlfn.LET(
_xlpm.CSVVal,_xlfn.XLOOKUP($A177,CSV!$A:$A,CSV!G:G,""),
_xlpm.MacVal,_xlfn.XLOOKUP($A177,Output_Mac!$A:$A,Output_Mac!F:F,""),
_xlpm.MyAuditVal,_xlfn.XLOOKUP($A177,My_Audit!$A:$A,My_Audit!F:F,""),
_xlfn.IFS(_xlpm.MyAuditVal&lt;&gt;"",_xlpm.MyAuditVal,_xlpm.MacVal&lt;&gt;"",_xlpm.MacVal,_xlpm.CSVVal&lt;&gt;"",PROPER(_xlpm.CSVVal)
)),"")</f>
        <v/>
      </c>
      <c r="H177" s="2" t="str" cm="1">
        <f t="array" ref="H177">IFERROR(_xlfn.LET(
_xlpm.CSVVal,_xlfn.XLOOKUP($A177,CSV!$A:$A,CSV!H:H,""),
_xlpm.MacVal,_xlfn.XLOOKUP($A177,Output_Mac!$A:$A,Output_Mac!H:H,""),
_xlpm.MyAuditVal,_xlfn.XLOOKUP($A177,My_Audit!$A:$A,My_Audit!G:G,""),
_xlfn.IFS(_xlpm.MyAuditVal&lt;&gt;"",_xlpm.MyAuditVal,_xlpm.MacVal&lt;&gt;"",_xlpm.MacVal,_xlpm.CSVVal&lt;&gt;"",_xlpm.CSVVal
)),"")</f>
        <v/>
      </c>
      <c r="I177" s="2" t="str">
        <f>_xlfn.XLOOKUP(A177,Output_Mac!A:A,Output_Mac!I:I,"")</f>
        <v/>
      </c>
      <c r="J177" s="2" t="str" cm="1">
        <f t="array" ref="J177">IFERROR(_xlfn.LET(
_xlpm.CSVVal,_xlfn.XLOOKUP($A177,CSV!$A:$A,CSV!I:I,""),
_xlpm.MacVal,_xlfn.XLOOKUP($A177,Output_Mac!$A:$A,Output_Mac!J:J,""),
_xlpm.MyAuditVal,_xlfn.XLOOKUP($A177,My_Audit!$A:$A,My_Audit!I:I,""),
_xlfn.IFS(_xlpm.MyAuditVal&lt;&gt;"",UPPER(_xlpm.MyAuditVal),_xlpm.MacVal&lt;&gt;"",_xlpm.MacVal,_xlpm.CSVVal&lt;&gt;"",_xlpm.CSVVal
)),"")</f>
        <v/>
      </c>
      <c r="K177" s="2" t="str" cm="1">
        <f t="array" ref="K177">IFERROR(_xlfn.LET(
_xlpm.CSVVal,_xlfn.XLOOKUP($A177,CSV!$A:$A,CSV!K:K,""),
_xlpm.MacVal,_xlfn.XLOOKUP($A177,Output_Mac!$A:$A,Output_Mac!K:K,""),
_xlpm.MyAuditVal,_xlfn.XLOOKUP($A177,My_Audit!$A:$A,My_Audit!J:J,""),
_xlfn.IFS(_xlpm.MyAuditVal&lt;&gt;"",UPPER(_xlpm.MyAuditVal),_xlpm.MacVal&lt;&gt;"",_xlpm.MacVal,_xlpm.CSVVal&lt;&gt;"",_xlpm.CSVVal
)),"")</f>
        <v/>
      </c>
      <c r="L177" s="2" t="str" cm="1">
        <f t="array" ref="L177">IFERROR(_xlfn.LET(
_xlpm.CSVVal,_xlfn.XLOOKUP($A177,CSV!$A:$A,CSV!P:P,""),
_xlpm.MacVal,_xlfn.XLOOKUP($A177,Output_Mac!$A:$A,Output_Mac!L:L,""),
_xlpm.MyAuditVal,_xlfn.XLOOKUP($A177,My_Audit!$A:$A,My_Audit!K:K,""),
_xlfn.IFS(_xlpm.MyAuditVal&lt;&gt;"",UPPER(_xlpm.MyAuditVal),_xlpm.MacVal&lt;&gt;"",_xlpm.MacVal,_xlpm.CSVVal&lt;&gt;"",_xlpm.CSVVal
)),"")</f>
        <v/>
      </c>
      <c r="M177" s="2" t="str" cm="1">
        <f t="array" ref="M177">IFERROR(_xlfn.LET(
_xlpm.CSVVal,_xlfn.XLOOKUP($A177,CSV!$A:$A,CSV!Q:Q,""),
_xlpm.MacVal,_xlfn.XLOOKUP($A177,Output_Mac!$A:$A,Output_Mac!M:M,""),
_xlpm.MyAuditVal,_xlfn.XLOOKUP($A177,My_Audit!$A:$A,My_Audit!L:L,""),
_xlfn.IFS(_xlpm.MyAuditVal&lt;&gt;"",UPPER(_xlpm.MyAuditVal),_xlpm.MacVal&lt;&gt;"",_xlpm.MacVal,_xlpm.CSVVal&lt;&gt;"",_xlpm.CSVVal
)),"")</f>
        <v/>
      </c>
      <c r="O177" s="2" t="str">
        <f>_xlfn.LET(
    _xlpm.CSVVal, _xlfn.XLOOKUP($A177, CSV!$A:$A, CSV!AF:AF, ""),
    _xlpm.MacVal, _xlfn.XLOOKUP($A177, Output_Mac!$A:$A, Output_Mac!S:S, ""),
    _xlpm.MyAuditVal, _xlfn.XLOOKUP($A177, My_Audit!$A:$A, My_Audit!P:P, ""),
    _xlfn.TEXTJOIN(", ", TRUE, _xlpm.MyAuditVal, _xlpm.MacVal, _xlpm.CSVVal)
)</f>
        <v/>
      </c>
      <c r="P177" s="2" t="str" cm="1">
        <f t="array" ref="P177">IFERROR(_xlfn.LET(
_xlpm.CSVVal,_xlfn.XLOOKUP($A177,CSV!$A:$A,CSV!AG:AG,""),
_xlpm.MacVal,_xlfn.XLOOKUP($A177,Output_Mac!$A:$A,Output_Mac!T:T,""),
_xlpm.MyAuditVal,_xlfn.XLOOKUP($A177,My_Audit!$A:$A,My_Audit!Q:Q,""),
_xlfn.IFS(_xlpm.MyAuditVal&lt;&gt;"",UPPER(_xlpm.MyAuditVal),_xlpm.MacVal&lt;&gt;"",_xlpm.MacVal,_xlpm.CSVVal&lt;&gt;"",_xlpm.CSVVal
)),"No")</f>
        <v>No</v>
      </c>
      <c r="Q177" s="2" t="str" cm="1">
        <f t="array" ref="Q177">IFERROR(_xlfn.LET(
_xlpm.CSVVal,_xlfn.XLOOKUP($A177,CSV!$A:$A,CSV!AH:AH,""),
_xlpm.MacVal,_xlfn.XLOOKUP($A177,Output_Mac!$A:$A,Output_Mac!U:U,""),
_xlpm.MyAuditVal,_xlfn.XLOOKUP($A177,My_Audit!$A:$A,My_Audit!R:R,""),
_xlfn.IFS(_xlpm.MyAuditVal&lt;&gt;"",UPPER(_xlpm.MyAuditVal),_xlpm.MacVal&lt;&gt;"",_xlpm.MacVal,_xlpm.CSVVal&lt;&gt;"",_xlpm.CSVVal
)),"")</f>
        <v/>
      </c>
    </row>
    <row r="178" spans="1:17">
      <c r="A178" s="2" t="str">
        <f>_xlfn.TEXTJOIN("",TRUE,Input!$B$2,ROW(My_Audit!A177))</f>
        <v>XX177</v>
      </c>
      <c r="B178" s="2" t="str">
        <f>_xlfn.TEXTJOIN("-",TRUE,"ITD",Input!$A$2,A178)</f>
        <v>ITD-SHRXXX-XX177</v>
      </c>
      <c r="C178" s="2" t="str" cm="1">
        <f t="array" ref="C178">IFERROR(_xlfn.LET(
_xlpm.CSVVal,_xlfn.XLOOKUP($A178,CSV!$A:$A,CSV!B:B,""),
_xlpm.MacVal,_xlfn.XLOOKUP($A178,Output_Mac!$A:$A,Output_Mac!B:B,""),
_xlpm.MyAuditVal,_xlfn.XLOOKUP($A178,My_Audit!$A:$A,My_Audit!B:B,""),
_xlfn.IFS(_xlpm.MyAuditVal&lt;&gt;"",UPPER(_xlpm.MyAuditVal),_xlpm.MacVal&lt;&gt;"",_xlpm.MacVal,_xlpm.CSVVal&lt;&gt;"",_xlpm.CSVVal
)),"")</f>
        <v/>
      </c>
      <c r="D178" s="2" t="str" cm="1">
        <f t="array" ref="D178">IFERROR(_xlfn.LET(
_xlpm.CSVVal,_xlfn.XLOOKUP($A178,CSV!$A:$A,CSV!D:D,""),
_xlpm.MacVal,_xlfn.XLOOKUP($A178,Output_Mac!$A:$A,Output_Mac!C:C,""),
_xlpm.MyAuditVal,_xlfn.XLOOKUP($A178,My_Audit!$A:$A,My_Audit!C:C,""),
_xlfn.IFS(_xlpm.MyAuditVal&lt;&gt;"",_xlpm.MyAuditVal,_xlpm.MacVal&lt;&gt;"",_xlpm.MacVal,_xlpm.CSVVal&lt;&gt;"",_xlpm.CSVVal
)),"")</f>
        <v/>
      </c>
      <c r="E178" s="2" t="str">
        <f>_xlfn.XLOOKUP(A178,My_Audit!A:A,My_Audit!D:D,"")&amp;""</f>
        <v/>
      </c>
      <c r="F178" s="2" t="str" cm="1">
        <f t="array" ref="F178">IFERROR(_xlfn.LET(
_xlpm.CSVVal,_xlfn.XLOOKUP($A178,CSV!$A:$A,CSV!F:F,""),
_xlpm.MacVal,_xlfn.XLOOKUP($A178,Output_Mac!$A:$A,Output_Mac!E:E,""),
_xlpm.MyAuditVal,_xlfn.XLOOKUP($A178,My_Audit!$A:$A,My_Audit!E:E,""),
_xlfn.IFS(_xlpm.MyAuditVal&lt;&gt;"",_xlpm.MyAuditVal,_xlpm.MacVal&lt;&gt;"",_xlpm.MacVal,_xlpm.CSVVal&lt;&gt;"",_xlpm.CSVVal
)),"")</f>
        <v/>
      </c>
      <c r="G178" s="2" t="str" cm="1">
        <f t="array" ref="G178">IFERROR(_xlfn.LET(
_xlpm.CSVVal,_xlfn.XLOOKUP($A178,CSV!$A:$A,CSV!G:G,""),
_xlpm.MacVal,_xlfn.XLOOKUP($A178,Output_Mac!$A:$A,Output_Mac!F:F,""),
_xlpm.MyAuditVal,_xlfn.XLOOKUP($A178,My_Audit!$A:$A,My_Audit!F:F,""),
_xlfn.IFS(_xlpm.MyAuditVal&lt;&gt;"",_xlpm.MyAuditVal,_xlpm.MacVal&lt;&gt;"",_xlpm.MacVal,_xlpm.CSVVal&lt;&gt;"",PROPER(_xlpm.CSVVal)
)),"")</f>
        <v/>
      </c>
      <c r="H178" s="2" t="str" cm="1">
        <f t="array" ref="H178">IFERROR(_xlfn.LET(
_xlpm.CSVVal,_xlfn.XLOOKUP($A178,CSV!$A:$A,CSV!H:H,""),
_xlpm.MacVal,_xlfn.XLOOKUP($A178,Output_Mac!$A:$A,Output_Mac!H:H,""),
_xlpm.MyAuditVal,_xlfn.XLOOKUP($A178,My_Audit!$A:$A,My_Audit!G:G,""),
_xlfn.IFS(_xlpm.MyAuditVal&lt;&gt;"",_xlpm.MyAuditVal,_xlpm.MacVal&lt;&gt;"",_xlpm.MacVal,_xlpm.CSVVal&lt;&gt;"",_xlpm.CSVVal
)),"")</f>
        <v/>
      </c>
      <c r="I178" s="2" t="str">
        <f>_xlfn.XLOOKUP(A178,Output_Mac!A:A,Output_Mac!I:I,"")</f>
        <v/>
      </c>
      <c r="J178" s="2" t="str" cm="1">
        <f t="array" ref="J178">IFERROR(_xlfn.LET(
_xlpm.CSVVal,_xlfn.XLOOKUP($A178,CSV!$A:$A,CSV!I:I,""),
_xlpm.MacVal,_xlfn.XLOOKUP($A178,Output_Mac!$A:$A,Output_Mac!J:J,""),
_xlpm.MyAuditVal,_xlfn.XLOOKUP($A178,My_Audit!$A:$A,My_Audit!I:I,""),
_xlfn.IFS(_xlpm.MyAuditVal&lt;&gt;"",UPPER(_xlpm.MyAuditVal),_xlpm.MacVal&lt;&gt;"",_xlpm.MacVal,_xlpm.CSVVal&lt;&gt;"",_xlpm.CSVVal
)),"")</f>
        <v/>
      </c>
      <c r="K178" s="2" t="str" cm="1">
        <f t="array" ref="K178">IFERROR(_xlfn.LET(
_xlpm.CSVVal,_xlfn.XLOOKUP($A178,CSV!$A:$A,CSV!K:K,""),
_xlpm.MacVal,_xlfn.XLOOKUP($A178,Output_Mac!$A:$A,Output_Mac!K:K,""),
_xlpm.MyAuditVal,_xlfn.XLOOKUP($A178,My_Audit!$A:$A,My_Audit!J:J,""),
_xlfn.IFS(_xlpm.MyAuditVal&lt;&gt;"",UPPER(_xlpm.MyAuditVal),_xlpm.MacVal&lt;&gt;"",_xlpm.MacVal,_xlpm.CSVVal&lt;&gt;"",_xlpm.CSVVal
)),"")</f>
        <v/>
      </c>
      <c r="L178" s="2" t="str" cm="1">
        <f t="array" ref="L178">IFERROR(_xlfn.LET(
_xlpm.CSVVal,_xlfn.XLOOKUP($A178,CSV!$A:$A,CSV!P:P,""),
_xlpm.MacVal,_xlfn.XLOOKUP($A178,Output_Mac!$A:$A,Output_Mac!L:L,""),
_xlpm.MyAuditVal,_xlfn.XLOOKUP($A178,My_Audit!$A:$A,My_Audit!K:K,""),
_xlfn.IFS(_xlpm.MyAuditVal&lt;&gt;"",UPPER(_xlpm.MyAuditVal),_xlpm.MacVal&lt;&gt;"",_xlpm.MacVal,_xlpm.CSVVal&lt;&gt;"",_xlpm.CSVVal
)),"")</f>
        <v/>
      </c>
      <c r="M178" s="2" t="str" cm="1">
        <f t="array" ref="M178">IFERROR(_xlfn.LET(
_xlpm.CSVVal,_xlfn.XLOOKUP($A178,CSV!$A:$A,CSV!Q:Q,""),
_xlpm.MacVal,_xlfn.XLOOKUP($A178,Output_Mac!$A:$A,Output_Mac!M:M,""),
_xlpm.MyAuditVal,_xlfn.XLOOKUP($A178,My_Audit!$A:$A,My_Audit!L:L,""),
_xlfn.IFS(_xlpm.MyAuditVal&lt;&gt;"",UPPER(_xlpm.MyAuditVal),_xlpm.MacVal&lt;&gt;"",_xlpm.MacVal,_xlpm.CSVVal&lt;&gt;"",_xlpm.CSVVal
)),"")</f>
        <v/>
      </c>
      <c r="O178" s="2" t="str">
        <f>_xlfn.LET(
    _xlpm.CSVVal, _xlfn.XLOOKUP($A178, CSV!$A:$A, CSV!AF:AF, ""),
    _xlpm.MacVal, _xlfn.XLOOKUP($A178, Output_Mac!$A:$A, Output_Mac!S:S, ""),
    _xlpm.MyAuditVal, _xlfn.XLOOKUP($A178, My_Audit!$A:$A, My_Audit!P:P, ""),
    _xlfn.TEXTJOIN(", ", TRUE, _xlpm.MyAuditVal, _xlpm.MacVal, _xlpm.CSVVal)
)</f>
        <v/>
      </c>
      <c r="P178" s="2" t="str" cm="1">
        <f t="array" ref="P178">IFERROR(_xlfn.LET(
_xlpm.CSVVal,_xlfn.XLOOKUP($A178,CSV!$A:$A,CSV!AG:AG,""),
_xlpm.MacVal,_xlfn.XLOOKUP($A178,Output_Mac!$A:$A,Output_Mac!T:T,""),
_xlpm.MyAuditVal,_xlfn.XLOOKUP($A178,My_Audit!$A:$A,My_Audit!Q:Q,""),
_xlfn.IFS(_xlpm.MyAuditVal&lt;&gt;"",UPPER(_xlpm.MyAuditVal),_xlpm.MacVal&lt;&gt;"",_xlpm.MacVal,_xlpm.CSVVal&lt;&gt;"",_xlpm.CSVVal
)),"No")</f>
        <v>No</v>
      </c>
      <c r="Q178" s="2" t="str" cm="1">
        <f t="array" ref="Q178">IFERROR(_xlfn.LET(
_xlpm.CSVVal,_xlfn.XLOOKUP($A178,CSV!$A:$A,CSV!AH:AH,""),
_xlpm.MacVal,_xlfn.XLOOKUP($A178,Output_Mac!$A:$A,Output_Mac!U:U,""),
_xlpm.MyAuditVal,_xlfn.XLOOKUP($A178,My_Audit!$A:$A,My_Audit!R:R,""),
_xlfn.IFS(_xlpm.MyAuditVal&lt;&gt;"",UPPER(_xlpm.MyAuditVal),_xlpm.MacVal&lt;&gt;"",_xlpm.MacVal,_xlpm.CSVVal&lt;&gt;"",_xlpm.CSVVal
)),"")</f>
        <v/>
      </c>
    </row>
    <row r="179" spans="1:17">
      <c r="A179" s="2" t="str">
        <f>_xlfn.TEXTJOIN("",TRUE,Input!$B$2,ROW(My_Audit!A178))</f>
        <v>XX178</v>
      </c>
      <c r="B179" s="2" t="str">
        <f>_xlfn.TEXTJOIN("-",TRUE,"ITD",Input!$A$2,A179)</f>
        <v>ITD-SHRXXX-XX178</v>
      </c>
      <c r="C179" s="2" t="str" cm="1">
        <f t="array" ref="C179">IFERROR(_xlfn.LET(
_xlpm.CSVVal,_xlfn.XLOOKUP($A179,CSV!$A:$A,CSV!B:B,""),
_xlpm.MacVal,_xlfn.XLOOKUP($A179,Output_Mac!$A:$A,Output_Mac!B:B,""),
_xlpm.MyAuditVal,_xlfn.XLOOKUP($A179,My_Audit!$A:$A,My_Audit!B:B,""),
_xlfn.IFS(_xlpm.MyAuditVal&lt;&gt;"",UPPER(_xlpm.MyAuditVal),_xlpm.MacVal&lt;&gt;"",_xlpm.MacVal,_xlpm.CSVVal&lt;&gt;"",_xlpm.CSVVal
)),"")</f>
        <v/>
      </c>
      <c r="D179" s="2" t="str" cm="1">
        <f t="array" ref="D179">IFERROR(_xlfn.LET(
_xlpm.CSVVal,_xlfn.XLOOKUP($A179,CSV!$A:$A,CSV!D:D,""),
_xlpm.MacVal,_xlfn.XLOOKUP($A179,Output_Mac!$A:$A,Output_Mac!C:C,""),
_xlpm.MyAuditVal,_xlfn.XLOOKUP($A179,My_Audit!$A:$A,My_Audit!C:C,""),
_xlfn.IFS(_xlpm.MyAuditVal&lt;&gt;"",_xlpm.MyAuditVal,_xlpm.MacVal&lt;&gt;"",_xlpm.MacVal,_xlpm.CSVVal&lt;&gt;"",_xlpm.CSVVal
)),"")</f>
        <v/>
      </c>
      <c r="E179" s="2" t="str">
        <f>_xlfn.XLOOKUP(A179,My_Audit!A:A,My_Audit!D:D,"")&amp;""</f>
        <v/>
      </c>
      <c r="F179" s="2" t="str" cm="1">
        <f t="array" ref="F179">IFERROR(_xlfn.LET(
_xlpm.CSVVal,_xlfn.XLOOKUP($A179,CSV!$A:$A,CSV!F:F,""),
_xlpm.MacVal,_xlfn.XLOOKUP($A179,Output_Mac!$A:$A,Output_Mac!E:E,""),
_xlpm.MyAuditVal,_xlfn.XLOOKUP($A179,My_Audit!$A:$A,My_Audit!E:E,""),
_xlfn.IFS(_xlpm.MyAuditVal&lt;&gt;"",_xlpm.MyAuditVal,_xlpm.MacVal&lt;&gt;"",_xlpm.MacVal,_xlpm.CSVVal&lt;&gt;"",_xlpm.CSVVal
)),"")</f>
        <v/>
      </c>
      <c r="G179" s="2" t="str" cm="1">
        <f t="array" ref="G179">IFERROR(_xlfn.LET(
_xlpm.CSVVal,_xlfn.XLOOKUP($A179,CSV!$A:$A,CSV!G:G,""),
_xlpm.MacVal,_xlfn.XLOOKUP($A179,Output_Mac!$A:$A,Output_Mac!F:F,""),
_xlpm.MyAuditVal,_xlfn.XLOOKUP($A179,My_Audit!$A:$A,My_Audit!F:F,""),
_xlfn.IFS(_xlpm.MyAuditVal&lt;&gt;"",_xlpm.MyAuditVal,_xlpm.MacVal&lt;&gt;"",_xlpm.MacVal,_xlpm.CSVVal&lt;&gt;"",PROPER(_xlpm.CSVVal)
)),"")</f>
        <v/>
      </c>
      <c r="H179" s="2" t="str" cm="1">
        <f t="array" ref="H179">IFERROR(_xlfn.LET(
_xlpm.CSVVal,_xlfn.XLOOKUP($A179,CSV!$A:$A,CSV!H:H,""),
_xlpm.MacVal,_xlfn.XLOOKUP($A179,Output_Mac!$A:$A,Output_Mac!H:H,""),
_xlpm.MyAuditVal,_xlfn.XLOOKUP($A179,My_Audit!$A:$A,My_Audit!G:G,""),
_xlfn.IFS(_xlpm.MyAuditVal&lt;&gt;"",_xlpm.MyAuditVal,_xlpm.MacVal&lt;&gt;"",_xlpm.MacVal,_xlpm.CSVVal&lt;&gt;"",_xlpm.CSVVal
)),"")</f>
        <v/>
      </c>
      <c r="I179" s="2" t="str">
        <f>_xlfn.XLOOKUP(A179,Output_Mac!A:A,Output_Mac!I:I,"")</f>
        <v/>
      </c>
      <c r="J179" s="2" t="str" cm="1">
        <f t="array" ref="J179">IFERROR(_xlfn.LET(
_xlpm.CSVVal,_xlfn.XLOOKUP($A179,CSV!$A:$A,CSV!I:I,""),
_xlpm.MacVal,_xlfn.XLOOKUP($A179,Output_Mac!$A:$A,Output_Mac!J:J,""),
_xlpm.MyAuditVal,_xlfn.XLOOKUP($A179,My_Audit!$A:$A,My_Audit!I:I,""),
_xlfn.IFS(_xlpm.MyAuditVal&lt;&gt;"",UPPER(_xlpm.MyAuditVal),_xlpm.MacVal&lt;&gt;"",_xlpm.MacVal,_xlpm.CSVVal&lt;&gt;"",_xlpm.CSVVal
)),"")</f>
        <v/>
      </c>
      <c r="K179" s="2" t="str" cm="1">
        <f t="array" ref="K179">IFERROR(_xlfn.LET(
_xlpm.CSVVal,_xlfn.XLOOKUP($A179,CSV!$A:$A,CSV!K:K,""),
_xlpm.MacVal,_xlfn.XLOOKUP($A179,Output_Mac!$A:$A,Output_Mac!K:K,""),
_xlpm.MyAuditVal,_xlfn.XLOOKUP($A179,My_Audit!$A:$A,My_Audit!J:J,""),
_xlfn.IFS(_xlpm.MyAuditVal&lt;&gt;"",UPPER(_xlpm.MyAuditVal),_xlpm.MacVal&lt;&gt;"",_xlpm.MacVal,_xlpm.CSVVal&lt;&gt;"",_xlpm.CSVVal
)),"")</f>
        <v/>
      </c>
      <c r="L179" s="2" t="str" cm="1">
        <f t="array" ref="L179">IFERROR(_xlfn.LET(
_xlpm.CSVVal,_xlfn.XLOOKUP($A179,CSV!$A:$A,CSV!P:P,""),
_xlpm.MacVal,_xlfn.XLOOKUP($A179,Output_Mac!$A:$A,Output_Mac!L:L,""),
_xlpm.MyAuditVal,_xlfn.XLOOKUP($A179,My_Audit!$A:$A,My_Audit!K:K,""),
_xlfn.IFS(_xlpm.MyAuditVal&lt;&gt;"",UPPER(_xlpm.MyAuditVal),_xlpm.MacVal&lt;&gt;"",_xlpm.MacVal,_xlpm.CSVVal&lt;&gt;"",_xlpm.CSVVal
)),"")</f>
        <v/>
      </c>
      <c r="M179" s="2" t="str" cm="1">
        <f t="array" ref="M179">IFERROR(_xlfn.LET(
_xlpm.CSVVal,_xlfn.XLOOKUP($A179,CSV!$A:$A,CSV!Q:Q,""),
_xlpm.MacVal,_xlfn.XLOOKUP($A179,Output_Mac!$A:$A,Output_Mac!M:M,""),
_xlpm.MyAuditVal,_xlfn.XLOOKUP($A179,My_Audit!$A:$A,My_Audit!L:L,""),
_xlfn.IFS(_xlpm.MyAuditVal&lt;&gt;"",UPPER(_xlpm.MyAuditVal),_xlpm.MacVal&lt;&gt;"",_xlpm.MacVal,_xlpm.CSVVal&lt;&gt;"",_xlpm.CSVVal
)),"")</f>
        <v/>
      </c>
      <c r="O179" s="2" t="str">
        <f>_xlfn.LET(
    _xlpm.CSVVal, _xlfn.XLOOKUP($A179, CSV!$A:$A, CSV!AF:AF, ""),
    _xlpm.MacVal, _xlfn.XLOOKUP($A179, Output_Mac!$A:$A, Output_Mac!S:S, ""),
    _xlpm.MyAuditVal, _xlfn.XLOOKUP($A179, My_Audit!$A:$A, My_Audit!P:P, ""),
    _xlfn.TEXTJOIN(", ", TRUE, _xlpm.MyAuditVal, _xlpm.MacVal, _xlpm.CSVVal)
)</f>
        <v/>
      </c>
      <c r="P179" s="2" t="str" cm="1">
        <f t="array" ref="P179">IFERROR(_xlfn.LET(
_xlpm.CSVVal,_xlfn.XLOOKUP($A179,CSV!$A:$A,CSV!AG:AG,""),
_xlpm.MacVal,_xlfn.XLOOKUP($A179,Output_Mac!$A:$A,Output_Mac!T:T,""),
_xlpm.MyAuditVal,_xlfn.XLOOKUP($A179,My_Audit!$A:$A,My_Audit!Q:Q,""),
_xlfn.IFS(_xlpm.MyAuditVal&lt;&gt;"",UPPER(_xlpm.MyAuditVal),_xlpm.MacVal&lt;&gt;"",_xlpm.MacVal,_xlpm.CSVVal&lt;&gt;"",_xlpm.CSVVal
)),"No")</f>
        <v>No</v>
      </c>
      <c r="Q179" s="2" t="str" cm="1">
        <f t="array" ref="Q179">IFERROR(_xlfn.LET(
_xlpm.CSVVal,_xlfn.XLOOKUP($A179,CSV!$A:$A,CSV!AH:AH,""),
_xlpm.MacVal,_xlfn.XLOOKUP($A179,Output_Mac!$A:$A,Output_Mac!U:U,""),
_xlpm.MyAuditVal,_xlfn.XLOOKUP($A179,My_Audit!$A:$A,My_Audit!R:R,""),
_xlfn.IFS(_xlpm.MyAuditVal&lt;&gt;"",UPPER(_xlpm.MyAuditVal),_xlpm.MacVal&lt;&gt;"",_xlpm.MacVal,_xlpm.CSVVal&lt;&gt;"",_xlpm.CSVVal
)),"")</f>
        <v/>
      </c>
    </row>
    <row r="180" spans="1:17">
      <c r="A180" s="2" t="str">
        <f>_xlfn.TEXTJOIN("",TRUE,Input!$B$2,ROW(My_Audit!A179))</f>
        <v>XX179</v>
      </c>
      <c r="B180" s="2" t="str">
        <f>_xlfn.TEXTJOIN("-",TRUE,"ITD",Input!$A$2,A180)</f>
        <v>ITD-SHRXXX-XX179</v>
      </c>
      <c r="C180" s="2" t="str" cm="1">
        <f t="array" ref="C180">IFERROR(_xlfn.LET(
_xlpm.CSVVal,_xlfn.XLOOKUP($A180,CSV!$A:$A,CSV!B:B,""),
_xlpm.MacVal,_xlfn.XLOOKUP($A180,Output_Mac!$A:$A,Output_Mac!B:B,""),
_xlpm.MyAuditVal,_xlfn.XLOOKUP($A180,My_Audit!$A:$A,My_Audit!B:B,""),
_xlfn.IFS(_xlpm.MyAuditVal&lt;&gt;"",UPPER(_xlpm.MyAuditVal),_xlpm.MacVal&lt;&gt;"",_xlpm.MacVal,_xlpm.CSVVal&lt;&gt;"",_xlpm.CSVVal
)),"")</f>
        <v/>
      </c>
      <c r="D180" s="2" t="str" cm="1">
        <f t="array" ref="D180">IFERROR(_xlfn.LET(
_xlpm.CSVVal,_xlfn.XLOOKUP($A180,CSV!$A:$A,CSV!D:D,""),
_xlpm.MacVal,_xlfn.XLOOKUP($A180,Output_Mac!$A:$A,Output_Mac!C:C,""),
_xlpm.MyAuditVal,_xlfn.XLOOKUP($A180,My_Audit!$A:$A,My_Audit!C:C,""),
_xlfn.IFS(_xlpm.MyAuditVal&lt;&gt;"",_xlpm.MyAuditVal,_xlpm.MacVal&lt;&gt;"",_xlpm.MacVal,_xlpm.CSVVal&lt;&gt;"",_xlpm.CSVVal
)),"")</f>
        <v/>
      </c>
      <c r="E180" s="2" t="str">
        <f>_xlfn.XLOOKUP(A180,My_Audit!A:A,My_Audit!D:D,"")&amp;""</f>
        <v/>
      </c>
      <c r="F180" s="2" t="str" cm="1">
        <f t="array" ref="F180">IFERROR(_xlfn.LET(
_xlpm.CSVVal,_xlfn.XLOOKUP($A180,CSV!$A:$A,CSV!F:F,""),
_xlpm.MacVal,_xlfn.XLOOKUP($A180,Output_Mac!$A:$A,Output_Mac!E:E,""),
_xlpm.MyAuditVal,_xlfn.XLOOKUP($A180,My_Audit!$A:$A,My_Audit!E:E,""),
_xlfn.IFS(_xlpm.MyAuditVal&lt;&gt;"",_xlpm.MyAuditVal,_xlpm.MacVal&lt;&gt;"",_xlpm.MacVal,_xlpm.CSVVal&lt;&gt;"",_xlpm.CSVVal
)),"")</f>
        <v/>
      </c>
      <c r="G180" s="2" t="str" cm="1">
        <f t="array" ref="G180">IFERROR(_xlfn.LET(
_xlpm.CSVVal,_xlfn.XLOOKUP($A180,CSV!$A:$A,CSV!G:G,""),
_xlpm.MacVal,_xlfn.XLOOKUP($A180,Output_Mac!$A:$A,Output_Mac!F:F,""),
_xlpm.MyAuditVal,_xlfn.XLOOKUP($A180,My_Audit!$A:$A,My_Audit!F:F,""),
_xlfn.IFS(_xlpm.MyAuditVal&lt;&gt;"",_xlpm.MyAuditVal,_xlpm.MacVal&lt;&gt;"",_xlpm.MacVal,_xlpm.CSVVal&lt;&gt;"",PROPER(_xlpm.CSVVal)
)),"")</f>
        <v/>
      </c>
      <c r="H180" s="2" t="str" cm="1">
        <f t="array" ref="H180">IFERROR(_xlfn.LET(
_xlpm.CSVVal,_xlfn.XLOOKUP($A180,CSV!$A:$A,CSV!H:H,""),
_xlpm.MacVal,_xlfn.XLOOKUP($A180,Output_Mac!$A:$A,Output_Mac!H:H,""),
_xlpm.MyAuditVal,_xlfn.XLOOKUP($A180,My_Audit!$A:$A,My_Audit!G:G,""),
_xlfn.IFS(_xlpm.MyAuditVal&lt;&gt;"",_xlpm.MyAuditVal,_xlpm.MacVal&lt;&gt;"",_xlpm.MacVal,_xlpm.CSVVal&lt;&gt;"",_xlpm.CSVVal
)),"")</f>
        <v/>
      </c>
      <c r="I180" s="2" t="str">
        <f>_xlfn.XLOOKUP(A180,Output_Mac!A:A,Output_Mac!I:I,"")</f>
        <v/>
      </c>
      <c r="J180" s="2" t="str" cm="1">
        <f t="array" ref="J180">IFERROR(_xlfn.LET(
_xlpm.CSVVal,_xlfn.XLOOKUP($A180,CSV!$A:$A,CSV!I:I,""),
_xlpm.MacVal,_xlfn.XLOOKUP($A180,Output_Mac!$A:$A,Output_Mac!J:J,""),
_xlpm.MyAuditVal,_xlfn.XLOOKUP($A180,My_Audit!$A:$A,My_Audit!I:I,""),
_xlfn.IFS(_xlpm.MyAuditVal&lt;&gt;"",UPPER(_xlpm.MyAuditVal),_xlpm.MacVal&lt;&gt;"",_xlpm.MacVal,_xlpm.CSVVal&lt;&gt;"",_xlpm.CSVVal
)),"")</f>
        <v/>
      </c>
      <c r="K180" s="2" t="str" cm="1">
        <f t="array" ref="K180">IFERROR(_xlfn.LET(
_xlpm.CSVVal,_xlfn.XLOOKUP($A180,CSV!$A:$A,CSV!K:K,""),
_xlpm.MacVal,_xlfn.XLOOKUP($A180,Output_Mac!$A:$A,Output_Mac!K:K,""),
_xlpm.MyAuditVal,_xlfn.XLOOKUP($A180,My_Audit!$A:$A,My_Audit!J:J,""),
_xlfn.IFS(_xlpm.MyAuditVal&lt;&gt;"",UPPER(_xlpm.MyAuditVal),_xlpm.MacVal&lt;&gt;"",_xlpm.MacVal,_xlpm.CSVVal&lt;&gt;"",_xlpm.CSVVal
)),"")</f>
        <v/>
      </c>
      <c r="L180" s="2" t="str" cm="1">
        <f t="array" ref="L180">IFERROR(_xlfn.LET(
_xlpm.CSVVal,_xlfn.XLOOKUP($A180,CSV!$A:$A,CSV!P:P,""),
_xlpm.MacVal,_xlfn.XLOOKUP($A180,Output_Mac!$A:$A,Output_Mac!L:L,""),
_xlpm.MyAuditVal,_xlfn.XLOOKUP($A180,My_Audit!$A:$A,My_Audit!K:K,""),
_xlfn.IFS(_xlpm.MyAuditVal&lt;&gt;"",UPPER(_xlpm.MyAuditVal),_xlpm.MacVal&lt;&gt;"",_xlpm.MacVal,_xlpm.CSVVal&lt;&gt;"",_xlpm.CSVVal
)),"")</f>
        <v/>
      </c>
      <c r="M180" s="2" t="str" cm="1">
        <f t="array" ref="M180">IFERROR(_xlfn.LET(
_xlpm.CSVVal,_xlfn.XLOOKUP($A180,CSV!$A:$A,CSV!Q:Q,""),
_xlpm.MacVal,_xlfn.XLOOKUP($A180,Output_Mac!$A:$A,Output_Mac!M:M,""),
_xlpm.MyAuditVal,_xlfn.XLOOKUP($A180,My_Audit!$A:$A,My_Audit!L:L,""),
_xlfn.IFS(_xlpm.MyAuditVal&lt;&gt;"",UPPER(_xlpm.MyAuditVal),_xlpm.MacVal&lt;&gt;"",_xlpm.MacVal,_xlpm.CSVVal&lt;&gt;"",_xlpm.CSVVal
)),"")</f>
        <v/>
      </c>
      <c r="O180" s="2" t="str">
        <f>_xlfn.LET(
    _xlpm.CSVVal, _xlfn.XLOOKUP($A180, CSV!$A:$A, CSV!AF:AF, ""),
    _xlpm.MacVal, _xlfn.XLOOKUP($A180, Output_Mac!$A:$A, Output_Mac!S:S, ""),
    _xlpm.MyAuditVal, _xlfn.XLOOKUP($A180, My_Audit!$A:$A, My_Audit!P:P, ""),
    _xlfn.TEXTJOIN(", ", TRUE, _xlpm.MyAuditVal, _xlpm.MacVal, _xlpm.CSVVal)
)</f>
        <v/>
      </c>
      <c r="P180" s="2" t="str" cm="1">
        <f t="array" ref="P180">IFERROR(_xlfn.LET(
_xlpm.CSVVal,_xlfn.XLOOKUP($A180,CSV!$A:$A,CSV!AG:AG,""),
_xlpm.MacVal,_xlfn.XLOOKUP($A180,Output_Mac!$A:$A,Output_Mac!T:T,""),
_xlpm.MyAuditVal,_xlfn.XLOOKUP($A180,My_Audit!$A:$A,My_Audit!Q:Q,""),
_xlfn.IFS(_xlpm.MyAuditVal&lt;&gt;"",UPPER(_xlpm.MyAuditVal),_xlpm.MacVal&lt;&gt;"",_xlpm.MacVal,_xlpm.CSVVal&lt;&gt;"",_xlpm.CSVVal
)),"No")</f>
        <v>No</v>
      </c>
      <c r="Q180" s="2" t="str" cm="1">
        <f t="array" ref="Q180">IFERROR(_xlfn.LET(
_xlpm.CSVVal,_xlfn.XLOOKUP($A180,CSV!$A:$A,CSV!AH:AH,""),
_xlpm.MacVal,_xlfn.XLOOKUP($A180,Output_Mac!$A:$A,Output_Mac!U:U,""),
_xlpm.MyAuditVal,_xlfn.XLOOKUP($A180,My_Audit!$A:$A,My_Audit!R:R,""),
_xlfn.IFS(_xlpm.MyAuditVal&lt;&gt;"",UPPER(_xlpm.MyAuditVal),_xlpm.MacVal&lt;&gt;"",_xlpm.MacVal,_xlpm.CSVVal&lt;&gt;"",_xlpm.CSVVal
)),"")</f>
        <v/>
      </c>
    </row>
    <row r="181" spans="1:17">
      <c r="A181" s="2" t="str">
        <f>_xlfn.TEXTJOIN("",TRUE,Input!$B$2,ROW(My_Audit!A180))</f>
        <v>XX180</v>
      </c>
      <c r="B181" s="2" t="str">
        <f>_xlfn.TEXTJOIN("-",TRUE,"ITD",Input!$A$2,A181)</f>
        <v>ITD-SHRXXX-XX180</v>
      </c>
      <c r="C181" s="2" t="str" cm="1">
        <f t="array" ref="C181">IFERROR(_xlfn.LET(
_xlpm.CSVVal,_xlfn.XLOOKUP($A181,CSV!$A:$A,CSV!B:B,""),
_xlpm.MacVal,_xlfn.XLOOKUP($A181,Output_Mac!$A:$A,Output_Mac!B:B,""),
_xlpm.MyAuditVal,_xlfn.XLOOKUP($A181,My_Audit!$A:$A,My_Audit!B:B,""),
_xlfn.IFS(_xlpm.MyAuditVal&lt;&gt;"",UPPER(_xlpm.MyAuditVal),_xlpm.MacVal&lt;&gt;"",_xlpm.MacVal,_xlpm.CSVVal&lt;&gt;"",_xlpm.CSVVal
)),"")</f>
        <v/>
      </c>
      <c r="D181" s="2" t="str" cm="1">
        <f t="array" ref="D181">IFERROR(_xlfn.LET(
_xlpm.CSVVal,_xlfn.XLOOKUP($A181,CSV!$A:$A,CSV!D:D,""),
_xlpm.MacVal,_xlfn.XLOOKUP($A181,Output_Mac!$A:$A,Output_Mac!C:C,""),
_xlpm.MyAuditVal,_xlfn.XLOOKUP($A181,My_Audit!$A:$A,My_Audit!C:C,""),
_xlfn.IFS(_xlpm.MyAuditVal&lt;&gt;"",_xlpm.MyAuditVal,_xlpm.MacVal&lt;&gt;"",_xlpm.MacVal,_xlpm.CSVVal&lt;&gt;"",_xlpm.CSVVal
)),"")</f>
        <v/>
      </c>
      <c r="E181" s="2" t="str">
        <f>_xlfn.XLOOKUP(A181,My_Audit!A:A,My_Audit!D:D,"")&amp;""</f>
        <v/>
      </c>
      <c r="F181" s="2" t="str" cm="1">
        <f t="array" ref="F181">IFERROR(_xlfn.LET(
_xlpm.CSVVal,_xlfn.XLOOKUP($A181,CSV!$A:$A,CSV!F:F,""),
_xlpm.MacVal,_xlfn.XLOOKUP($A181,Output_Mac!$A:$A,Output_Mac!E:E,""),
_xlpm.MyAuditVal,_xlfn.XLOOKUP($A181,My_Audit!$A:$A,My_Audit!E:E,""),
_xlfn.IFS(_xlpm.MyAuditVal&lt;&gt;"",_xlpm.MyAuditVal,_xlpm.MacVal&lt;&gt;"",_xlpm.MacVal,_xlpm.CSVVal&lt;&gt;"",_xlpm.CSVVal
)),"")</f>
        <v/>
      </c>
      <c r="G181" s="2" t="str" cm="1">
        <f t="array" ref="G181">IFERROR(_xlfn.LET(
_xlpm.CSVVal,_xlfn.XLOOKUP($A181,CSV!$A:$A,CSV!G:G,""),
_xlpm.MacVal,_xlfn.XLOOKUP($A181,Output_Mac!$A:$A,Output_Mac!F:F,""),
_xlpm.MyAuditVal,_xlfn.XLOOKUP($A181,My_Audit!$A:$A,My_Audit!F:F,""),
_xlfn.IFS(_xlpm.MyAuditVal&lt;&gt;"",_xlpm.MyAuditVal,_xlpm.MacVal&lt;&gt;"",_xlpm.MacVal,_xlpm.CSVVal&lt;&gt;"",PROPER(_xlpm.CSVVal)
)),"")</f>
        <v/>
      </c>
      <c r="H181" s="2" t="str" cm="1">
        <f t="array" ref="H181">IFERROR(_xlfn.LET(
_xlpm.CSVVal,_xlfn.XLOOKUP($A181,CSV!$A:$A,CSV!H:H,""),
_xlpm.MacVal,_xlfn.XLOOKUP($A181,Output_Mac!$A:$A,Output_Mac!H:H,""),
_xlpm.MyAuditVal,_xlfn.XLOOKUP($A181,My_Audit!$A:$A,My_Audit!G:G,""),
_xlfn.IFS(_xlpm.MyAuditVal&lt;&gt;"",_xlpm.MyAuditVal,_xlpm.MacVal&lt;&gt;"",_xlpm.MacVal,_xlpm.CSVVal&lt;&gt;"",_xlpm.CSVVal
)),"")</f>
        <v/>
      </c>
      <c r="I181" s="2" t="str">
        <f>_xlfn.XLOOKUP(A181,Output_Mac!A:A,Output_Mac!I:I,"")</f>
        <v/>
      </c>
      <c r="J181" s="2" t="str" cm="1">
        <f t="array" ref="J181">IFERROR(_xlfn.LET(
_xlpm.CSVVal,_xlfn.XLOOKUP($A181,CSV!$A:$A,CSV!I:I,""),
_xlpm.MacVal,_xlfn.XLOOKUP($A181,Output_Mac!$A:$A,Output_Mac!J:J,""),
_xlpm.MyAuditVal,_xlfn.XLOOKUP($A181,My_Audit!$A:$A,My_Audit!I:I,""),
_xlfn.IFS(_xlpm.MyAuditVal&lt;&gt;"",UPPER(_xlpm.MyAuditVal),_xlpm.MacVal&lt;&gt;"",_xlpm.MacVal,_xlpm.CSVVal&lt;&gt;"",_xlpm.CSVVal
)),"")</f>
        <v/>
      </c>
      <c r="K181" s="2" t="str" cm="1">
        <f t="array" ref="K181">IFERROR(_xlfn.LET(
_xlpm.CSVVal,_xlfn.XLOOKUP($A181,CSV!$A:$A,CSV!K:K,""),
_xlpm.MacVal,_xlfn.XLOOKUP($A181,Output_Mac!$A:$A,Output_Mac!K:K,""),
_xlpm.MyAuditVal,_xlfn.XLOOKUP($A181,My_Audit!$A:$A,My_Audit!J:J,""),
_xlfn.IFS(_xlpm.MyAuditVal&lt;&gt;"",UPPER(_xlpm.MyAuditVal),_xlpm.MacVal&lt;&gt;"",_xlpm.MacVal,_xlpm.CSVVal&lt;&gt;"",_xlpm.CSVVal
)),"")</f>
        <v/>
      </c>
      <c r="L181" s="2" t="str" cm="1">
        <f t="array" ref="L181">IFERROR(_xlfn.LET(
_xlpm.CSVVal,_xlfn.XLOOKUP($A181,CSV!$A:$A,CSV!P:P,""),
_xlpm.MacVal,_xlfn.XLOOKUP($A181,Output_Mac!$A:$A,Output_Mac!L:L,""),
_xlpm.MyAuditVal,_xlfn.XLOOKUP($A181,My_Audit!$A:$A,My_Audit!K:K,""),
_xlfn.IFS(_xlpm.MyAuditVal&lt;&gt;"",UPPER(_xlpm.MyAuditVal),_xlpm.MacVal&lt;&gt;"",_xlpm.MacVal,_xlpm.CSVVal&lt;&gt;"",_xlpm.CSVVal
)),"")</f>
        <v/>
      </c>
      <c r="M181" s="2" t="str" cm="1">
        <f t="array" ref="M181">IFERROR(_xlfn.LET(
_xlpm.CSVVal,_xlfn.XLOOKUP($A181,CSV!$A:$A,CSV!Q:Q,""),
_xlpm.MacVal,_xlfn.XLOOKUP($A181,Output_Mac!$A:$A,Output_Mac!M:M,""),
_xlpm.MyAuditVal,_xlfn.XLOOKUP($A181,My_Audit!$A:$A,My_Audit!L:L,""),
_xlfn.IFS(_xlpm.MyAuditVal&lt;&gt;"",UPPER(_xlpm.MyAuditVal),_xlpm.MacVal&lt;&gt;"",_xlpm.MacVal,_xlpm.CSVVal&lt;&gt;"",_xlpm.CSVVal
)),"")</f>
        <v/>
      </c>
      <c r="O181" s="2" t="str">
        <f>_xlfn.LET(
    _xlpm.CSVVal, _xlfn.XLOOKUP($A181, CSV!$A:$A, CSV!AF:AF, ""),
    _xlpm.MacVal, _xlfn.XLOOKUP($A181, Output_Mac!$A:$A, Output_Mac!S:S, ""),
    _xlpm.MyAuditVal, _xlfn.XLOOKUP($A181, My_Audit!$A:$A, My_Audit!P:P, ""),
    _xlfn.TEXTJOIN(", ", TRUE, _xlpm.MyAuditVal, _xlpm.MacVal, _xlpm.CSVVal)
)</f>
        <v/>
      </c>
      <c r="P181" s="2" t="str" cm="1">
        <f t="array" ref="P181">IFERROR(_xlfn.LET(
_xlpm.CSVVal,_xlfn.XLOOKUP($A181,CSV!$A:$A,CSV!AG:AG,""),
_xlpm.MacVal,_xlfn.XLOOKUP($A181,Output_Mac!$A:$A,Output_Mac!T:T,""),
_xlpm.MyAuditVal,_xlfn.XLOOKUP($A181,My_Audit!$A:$A,My_Audit!Q:Q,""),
_xlfn.IFS(_xlpm.MyAuditVal&lt;&gt;"",UPPER(_xlpm.MyAuditVal),_xlpm.MacVal&lt;&gt;"",_xlpm.MacVal,_xlpm.CSVVal&lt;&gt;"",_xlpm.CSVVal
)),"No")</f>
        <v>No</v>
      </c>
      <c r="Q181" s="2" t="str" cm="1">
        <f t="array" ref="Q181">IFERROR(_xlfn.LET(
_xlpm.CSVVal,_xlfn.XLOOKUP($A181,CSV!$A:$A,CSV!AH:AH,""),
_xlpm.MacVal,_xlfn.XLOOKUP($A181,Output_Mac!$A:$A,Output_Mac!U:U,""),
_xlpm.MyAuditVal,_xlfn.XLOOKUP($A181,My_Audit!$A:$A,My_Audit!R:R,""),
_xlfn.IFS(_xlpm.MyAuditVal&lt;&gt;"",UPPER(_xlpm.MyAuditVal),_xlpm.MacVal&lt;&gt;"",_xlpm.MacVal,_xlpm.CSVVal&lt;&gt;"",_xlpm.CSVVal
)),"")</f>
        <v/>
      </c>
    </row>
    <row r="182" spans="1:17">
      <c r="A182" s="2" t="str">
        <f>_xlfn.TEXTJOIN("",TRUE,Input!$B$2,ROW(My_Audit!A181))</f>
        <v>XX181</v>
      </c>
      <c r="B182" s="2" t="str">
        <f>_xlfn.TEXTJOIN("-",TRUE,"ITD",Input!$A$2,A182)</f>
        <v>ITD-SHRXXX-XX181</v>
      </c>
      <c r="C182" s="2" t="str" cm="1">
        <f t="array" ref="C182">IFERROR(_xlfn.LET(
_xlpm.CSVVal,_xlfn.XLOOKUP($A182,CSV!$A:$A,CSV!B:B,""),
_xlpm.MacVal,_xlfn.XLOOKUP($A182,Output_Mac!$A:$A,Output_Mac!B:B,""),
_xlpm.MyAuditVal,_xlfn.XLOOKUP($A182,My_Audit!$A:$A,My_Audit!B:B,""),
_xlfn.IFS(_xlpm.MyAuditVal&lt;&gt;"",UPPER(_xlpm.MyAuditVal),_xlpm.MacVal&lt;&gt;"",_xlpm.MacVal,_xlpm.CSVVal&lt;&gt;"",_xlpm.CSVVal
)),"")</f>
        <v/>
      </c>
      <c r="D182" s="2" t="str" cm="1">
        <f t="array" ref="D182">IFERROR(_xlfn.LET(
_xlpm.CSVVal,_xlfn.XLOOKUP($A182,CSV!$A:$A,CSV!D:D,""),
_xlpm.MacVal,_xlfn.XLOOKUP($A182,Output_Mac!$A:$A,Output_Mac!C:C,""),
_xlpm.MyAuditVal,_xlfn.XLOOKUP($A182,My_Audit!$A:$A,My_Audit!C:C,""),
_xlfn.IFS(_xlpm.MyAuditVal&lt;&gt;"",_xlpm.MyAuditVal,_xlpm.MacVal&lt;&gt;"",_xlpm.MacVal,_xlpm.CSVVal&lt;&gt;"",_xlpm.CSVVal
)),"")</f>
        <v/>
      </c>
      <c r="E182" s="2" t="str">
        <f>_xlfn.XLOOKUP(A182,My_Audit!A:A,My_Audit!D:D,"")&amp;""</f>
        <v/>
      </c>
      <c r="F182" s="2" t="str" cm="1">
        <f t="array" ref="F182">IFERROR(_xlfn.LET(
_xlpm.CSVVal,_xlfn.XLOOKUP($A182,CSV!$A:$A,CSV!F:F,""),
_xlpm.MacVal,_xlfn.XLOOKUP($A182,Output_Mac!$A:$A,Output_Mac!E:E,""),
_xlpm.MyAuditVal,_xlfn.XLOOKUP($A182,My_Audit!$A:$A,My_Audit!E:E,""),
_xlfn.IFS(_xlpm.MyAuditVal&lt;&gt;"",_xlpm.MyAuditVal,_xlpm.MacVal&lt;&gt;"",_xlpm.MacVal,_xlpm.CSVVal&lt;&gt;"",_xlpm.CSVVal
)),"")</f>
        <v/>
      </c>
      <c r="G182" s="2" t="str" cm="1">
        <f t="array" ref="G182">IFERROR(_xlfn.LET(
_xlpm.CSVVal,_xlfn.XLOOKUP($A182,CSV!$A:$A,CSV!G:G,""),
_xlpm.MacVal,_xlfn.XLOOKUP($A182,Output_Mac!$A:$A,Output_Mac!F:F,""),
_xlpm.MyAuditVal,_xlfn.XLOOKUP($A182,My_Audit!$A:$A,My_Audit!F:F,""),
_xlfn.IFS(_xlpm.MyAuditVal&lt;&gt;"",_xlpm.MyAuditVal,_xlpm.MacVal&lt;&gt;"",_xlpm.MacVal,_xlpm.CSVVal&lt;&gt;"",PROPER(_xlpm.CSVVal)
)),"")</f>
        <v/>
      </c>
      <c r="H182" s="2" t="str" cm="1">
        <f t="array" ref="H182">IFERROR(_xlfn.LET(
_xlpm.CSVVal,_xlfn.XLOOKUP($A182,CSV!$A:$A,CSV!H:H,""),
_xlpm.MacVal,_xlfn.XLOOKUP($A182,Output_Mac!$A:$A,Output_Mac!H:H,""),
_xlpm.MyAuditVal,_xlfn.XLOOKUP($A182,My_Audit!$A:$A,My_Audit!G:G,""),
_xlfn.IFS(_xlpm.MyAuditVal&lt;&gt;"",_xlpm.MyAuditVal,_xlpm.MacVal&lt;&gt;"",_xlpm.MacVal,_xlpm.CSVVal&lt;&gt;"",_xlpm.CSVVal
)),"")</f>
        <v/>
      </c>
      <c r="I182" s="2" t="str">
        <f>_xlfn.XLOOKUP(A182,Output_Mac!A:A,Output_Mac!I:I,"")</f>
        <v/>
      </c>
      <c r="J182" s="2" t="str" cm="1">
        <f t="array" ref="J182">IFERROR(_xlfn.LET(
_xlpm.CSVVal,_xlfn.XLOOKUP($A182,CSV!$A:$A,CSV!I:I,""),
_xlpm.MacVal,_xlfn.XLOOKUP($A182,Output_Mac!$A:$A,Output_Mac!J:J,""),
_xlpm.MyAuditVal,_xlfn.XLOOKUP($A182,My_Audit!$A:$A,My_Audit!I:I,""),
_xlfn.IFS(_xlpm.MyAuditVal&lt;&gt;"",UPPER(_xlpm.MyAuditVal),_xlpm.MacVal&lt;&gt;"",_xlpm.MacVal,_xlpm.CSVVal&lt;&gt;"",_xlpm.CSVVal
)),"")</f>
        <v/>
      </c>
      <c r="K182" s="2" t="str" cm="1">
        <f t="array" ref="K182">IFERROR(_xlfn.LET(
_xlpm.CSVVal,_xlfn.XLOOKUP($A182,CSV!$A:$A,CSV!K:K,""),
_xlpm.MacVal,_xlfn.XLOOKUP($A182,Output_Mac!$A:$A,Output_Mac!K:K,""),
_xlpm.MyAuditVal,_xlfn.XLOOKUP($A182,My_Audit!$A:$A,My_Audit!J:J,""),
_xlfn.IFS(_xlpm.MyAuditVal&lt;&gt;"",UPPER(_xlpm.MyAuditVal),_xlpm.MacVal&lt;&gt;"",_xlpm.MacVal,_xlpm.CSVVal&lt;&gt;"",_xlpm.CSVVal
)),"")</f>
        <v/>
      </c>
      <c r="L182" s="2" t="str" cm="1">
        <f t="array" ref="L182">IFERROR(_xlfn.LET(
_xlpm.CSVVal,_xlfn.XLOOKUP($A182,CSV!$A:$A,CSV!P:P,""),
_xlpm.MacVal,_xlfn.XLOOKUP($A182,Output_Mac!$A:$A,Output_Mac!L:L,""),
_xlpm.MyAuditVal,_xlfn.XLOOKUP($A182,My_Audit!$A:$A,My_Audit!K:K,""),
_xlfn.IFS(_xlpm.MyAuditVal&lt;&gt;"",UPPER(_xlpm.MyAuditVal),_xlpm.MacVal&lt;&gt;"",_xlpm.MacVal,_xlpm.CSVVal&lt;&gt;"",_xlpm.CSVVal
)),"")</f>
        <v/>
      </c>
      <c r="M182" s="2" t="str" cm="1">
        <f t="array" ref="M182">IFERROR(_xlfn.LET(
_xlpm.CSVVal,_xlfn.XLOOKUP($A182,CSV!$A:$A,CSV!Q:Q,""),
_xlpm.MacVal,_xlfn.XLOOKUP($A182,Output_Mac!$A:$A,Output_Mac!M:M,""),
_xlpm.MyAuditVal,_xlfn.XLOOKUP($A182,My_Audit!$A:$A,My_Audit!L:L,""),
_xlfn.IFS(_xlpm.MyAuditVal&lt;&gt;"",UPPER(_xlpm.MyAuditVal),_xlpm.MacVal&lt;&gt;"",_xlpm.MacVal,_xlpm.CSVVal&lt;&gt;"",_xlpm.CSVVal
)),"")</f>
        <v/>
      </c>
      <c r="O182" s="2" t="str">
        <f>_xlfn.LET(
    _xlpm.CSVVal, _xlfn.XLOOKUP($A182, CSV!$A:$A, CSV!AF:AF, ""),
    _xlpm.MacVal, _xlfn.XLOOKUP($A182, Output_Mac!$A:$A, Output_Mac!S:S, ""),
    _xlpm.MyAuditVal, _xlfn.XLOOKUP($A182, My_Audit!$A:$A, My_Audit!P:P, ""),
    _xlfn.TEXTJOIN(", ", TRUE, _xlpm.MyAuditVal, _xlpm.MacVal, _xlpm.CSVVal)
)</f>
        <v/>
      </c>
      <c r="P182" s="2" t="str" cm="1">
        <f t="array" ref="P182">IFERROR(_xlfn.LET(
_xlpm.CSVVal,_xlfn.XLOOKUP($A182,CSV!$A:$A,CSV!AG:AG,""),
_xlpm.MacVal,_xlfn.XLOOKUP($A182,Output_Mac!$A:$A,Output_Mac!T:T,""),
_xlpm.MyAuditVal,_xlfn.XLOOKUP($A182,My_Audit!$A:$A,My_Audit!Q:Q,""),
_xlfn.IFS(_xlpm.MyAuditVal&lt;&gt;"",UPPER(_xlpm.MyAuditVal),_xlpm.MacVal&lt;&gt;"",_xlpm.MacVal,_xlpm.CSVVal&lt;&gt;"",_xlpm.CSVVal
)),"No")</f>
        <v>No</v>
      </c>
      <c r="Q182" s="2" t="str" cm="1">
        <f t="array" ref="Q182">IFERROR(_xlfn.LET(
_xlpm.CSVVal,_xlfn.XLOOKUP($A182,CSV!$A:$A,CSV!AH:AH,""),
_xlpm.MacVal,_xlfn.XLOOKUP($A182,Output_Mac!$A:$A,Output_Mac!U:U,""),
_xlpm.MyAuditVal,_xlfn.XLOOKUP($A182,My_Audit!$A:$A,My_Audit!R:R,""),
_xlfn.IFS(_xlpm.MyAuditVal&lt;&gt;"",UPPER(_xlpm.MyAuditVal),_xlpm.MacVal&lt;&gt;"",_xlpm.MacVal,_xlpm.CSVVal&lt;&gt;"",_xlpm.CSVVal
)),"")</f>
        <v/>
      </c>
    </row>
    <row r="183" spans="1:17">
      <c r="A183" s="2" t="str">
        <f>_xlfn.TEXTJOIN("",TRUE,Input!$B$2,ROW(My_Audit!A182))</f>
        <v>XX182</v>
      </c>
      <c r="B183" s="2" t="str">
        <f>_xlfn.TEXTJOIN("-",TRUE,"ITD",Input!$A$2,A183)</f>
        <v>ITD-SHRXXX-XX182</v>
      </c>
      <c r="C183" s="2" t="str" cm="1">
        <f t="array" ref="C183">IFERROR(_xlfn.LET(
_xlpm.CSVVal,_xlfn.XLOOKUP($A183,CSV!$A:$A,CSV!B:B,""),
_xlpm.MacVal,_xlfn.XLOOKUP($A183,Output_Mac!$A:$A,Output_Mac!B:B,""),
_xlpm.MyAuditVal,_xlfn.XLOOKUP($A183,My_Audit!$A:$A,My_Audit!B:B,""),
_xlfn.IFS(_xlpm.MyAuditVal&lt;&gt;"",UPPER(_xlpm.MyAuditVal),_xlpm.MacVal&lt;&gt;"",_xlpm.MacVal,_xlpm.CSVVal&lt;&gt;"",_xlpm.CSVVal
)),"")</f>
        <v/>
      </c>
      <c r="D183" s="2" t="str" cm="1">
        <f t="array" ref="D183">IFERROR(_xlfn.LET(
_xlpm.CSVVal,_xlfn.XLOOKUP($A183,CSV!$A:$A,CSV!D:D,""),
_xlpm.MacVal,_xlfn.XLOOKUP($A183,Output_Mac!$A:$A,Output_Mac!C:C,""),
_xlpm.MyAuditVal,_xlfn.XLOOKUP($A183,My_Audit!$A:$A,My_Audit!C:C,""),
_xlfn.IFS(_xlpm.MyAuditVal&lt;&gt;"",_xlpm.MyAuditVal,_xlpm.MacVal&lt;&gt;"",_xlpm.MacVal,_xlpm.CSVVal&lt;&gt;"",_xlpm.CSVVal
)),"")</f>
        <v/>
      </c>
      <c r="E183" s="2" t="str">
        <f>_xlfn.XLOOKUP(A183,My_Audit!A:A,My_Audit!D:D,"")&amp;""</f>
        <v/>
      </c>
      <c r="F183" s="2" t="str" cm="1">
        <f t="array" ref="F183">IFERROR(_xlfn.LET(
_xlpm.CSVVal,_xlfn.XLOOKUP($A183,CSV!$A:$A,CSV!F:F,""),
_xlpm.MacVal,_xlfn.XLOOKUP($A183,Output_Mac!$A:$A,Output_Mac!E:E,""),
_xlpm.MyAuditVal,_xlfn.XLOOKUP($A183,My_Audit!$A:$A,My_Audit!E:E,""),
_xlfn.IFS(_xlpm.MyAuditVal&lt;&gt;"",_xlpm.MyAuditVal,_xlpm.MacVal&lt;&gt;"",_xlpm.MacVal,_xlpm.CSVVal&lt;&gt;"",_xlpm.CSVVal
)),"")</f>
        <v/>
      </c>
      <c r="G183" s="2" t="str" cm="1">
        <f t="array" ref="G183">IFERROR(_xlfn.LET(
_xlpm.CSVVal,_xlfn.XLOOKUP($A183,CSV!$A:$A,CSV!G:G,""),
_xlpm.MacVal,_xlfn.XLOOKUP($A183,Output_Mac!$A:$A,Output_Mac!F:F,""),
_xlpm.MyAuditVal,_xlfn.XLOOKUP($A183,My_Audit!$A:$A,My_Audit!F:F,""),
_xlfn.IFS(_xlpm.MyAuditVal&lt;&gt;"",_xlpm.MyAuditVal,_xlpm.MacVal&lt;&gt;"",_xlpm.MacVal,_xlpm.CSVVal&lt;&gt;"",PROPER(_xlpm.CSVVal)
)),"")</f>
        <v/>
      </c>
      <c r="H183" s="2" t="str" cm="1">
        <f t="array" ref="H183">IFERROR(_xlfn.LET(
_xlpm.CSVVal,_xlfn.XLOOKUP($A183,CSV!$A:$A,CSV!H:H,""),
_xlpm.MacVal,_xlfn.XLOOKUP($A183,Output_Mac!$A:$A,Output_Mac!H:H,""),
_xlpm.MyAuditVal,_xlfn.XLOOKUP($A183,My_Audit!$A:$A,My_Audit!G:G,""),
_xlfn.IFS(_xlpm.MyAuditVal&lt;&gt;"",_xlpm.MyAuditVal,_xlpm.MacVal&lt;&gt;"",_xlpm.MacVal,_xlpm.CSVVal&lt;&gt;"",_xlpm.CSVVal
)),"")</f>
        <v/>
      </c>
      <c r="I183" s="2" t="str">
        <f>_xlfn.XLOOKUP(A183,Output_Mac!A:A,Output_Mac!I:I,"")</f>
        <v/>
      </c>
      <c r="J183" s="2" t="str" cm="1">
        <f t="array" ref="J183">IFERROR(_xlfn.LET(
_xlpm.CSVVal,_xlfn.XLOOKUP($A183,CSV!$A:$A,CSV!I:I,""),
_xlpm.MacVal,_xlfn.XLOOKUP($A183,Output_Mac!$A:$A,Output_Mac!J:J,""),
_xlpm.MyAuditVal,_xlfn.XLOOKUP($A183,My_Audit!$A:$A,My_Audit!I:I,""),
_xlfn.IFS(_xlpm.MyAuditVal&lt;&gt;"",UPPER(_xlpm.MyAuditVal),_xlpm.MacVal&lt;&gt;"",_xlpm.MacVal,_xlpm.CSVVal&lt;&gt;"",_xlpm.CSVVal
)),"")</f>
        <v/>
      </c>
      <c r="K183" s="2" t="str" cm="1">
        <f t="array" ref="K183">IFERROR(_xlfn.LET(
_xlpm.CSVVal,_xlfn.XLOOKUP($A183,CSV!$A:$A,CSV!K:K,""),
_xlpm.MacVal,_xlfn.XLOOKUP($A183,Output_Mac!$A:$A,Output_Mac!K:K,""),
_xlpm.MyAuditVal,_xlfn.XLOOKUP($A183,My_Audit!$A:$A,My_Audit!J:J,""),
_xlfn.IFS(_xlpm.MyAuditVal&lt;&gt;"",UPPER(_xlpm.MyAuditVal),_xlpm.MacVal&lt;&gt;"",_xlpm.MacVal,_xlpm.CSVVal&lt;&gt;"",_xlpm.CSVVal
)),"")</f>
        <v/>
      </c>
      <c r="L183" s="2" t="str" cm="1">
        <f t="array" ref="L183">IFERROR(_xlfn.LET(
_xlpm.CSVVal,_xlfn.XLOOKUP($A183,CSV!$A:$A,CSV!P:P,""),
_xlpm.MacVal,_xlfn.XLOOKUP($A183,Output_Mac!$A:$A,Output_Mac!L:L,""),
_xlpm.MyAuditVal,_xlfn.XLOOKUP($A183,My_Audit!$A:$A,My_Audit!K:K,""),
_xlfn.IFS(_xlpm.MyAuditVal&lt;&gt;"",UPPER(_xlpm.MyAuditVal),_xlpm.MacVal&lt;&gt;"",_xlpm.MacVal,_xlpm.CSVVal&lt;&gt;"",_xlpm.CSVVal
)),"")</f>
        <v/>
      </c>
      <c r="M183" s="2" t="str" cm="1">
        <f t="array" ref="M183">IFERROR(_xlfn.LET(
_xlpm.CSVVal,_xlfn.XLOOKUP($A183,CSV!$A:$A,CSV!Q:Q,""),
_xlpm.MacVal,_xlfn.XLOOKUP($A183,Output_Mac!$A:$A,Output_Mac!M:M,""),
_xlpm.MyAuditVal,_xlfn.XLOOKUP($A183,My_Audit!$A:$A,My_Audit!L:L,""),
_xlfn.IFS(_xlpm.MyAuditVal&lt;&gt;"",UPPER(_xlpm.MyAuditVal),_xlpm.MacVal&lt;&gt;"",_xlpm.MacVal,_xlpm.CSVVal&lt;&gt;"",_xlpm.CSVVal
)),"")</f>
        <v/>
      </c>
      <c r="O183" s="2" t="str">
        <f>_xlfn.LET(
    _xlpm.CSVVal, _xlfn.XLOOKUP($A183, CSV!$A:$A, CSV!AF:AF, ""),
    _xlpm.MacVal, _xlfn.XLOOKUP($A183, Output_Mac!$A:$A, Output_Mac!S:S, ""),
    _xlpm.MyAuditVal, _xlfn.XLOOKUP($A183, My_Audit!$A:$A, My_Audit!P:P, ""),
    _xlfn.TEXTJOIN(", ", TRUE, _xlpm.MyAuditVal, _xlpm.MacVal, _xlpm.CSVVal)
)</f>
        <v/>
      </c>
      <c r="P183" s="2" t="str" cm="1">
        <f t="array" ref="P183">IFERROR(_xlfn.LET(
_xlpm.CSVVal,_xlfn.XLOOKUP($A183,CSV!$A:$A,CSV!AG:AG,""),
_xlpm.MacVal,_xlfn.XLOOKUP($A183,Output_Mac!$A:$A,Output_Mac!T:T,""),
_xlpm.MyAuditVal,_xlfn.XLOOKUP($A183,My_Audit!$A:$A,My_Audit!Q:Q,""),
_xlfn.IFS(_xlpm.MyAuditVal&lt;&gt;"",UPPER(_xlpm.MyAuditVal),_xlpm.MacVal&lt;&gt;"",_xlpm.MacVal,_xlpm.CSVVal&lt;&gt;"",_xlpm.CSVVal
)),"No")</f>
        <v>No</v>
      </c>
      <c r="Q183" s="2" t="str" cm="1">
        <f t="array" ref="Q183">IFERROR(_xlfn.LET(
_xlpm.CSVVal,_xlfn.XLOOKUP($A183,CSV!$A:$A,CSV!AH:AH,""),
_xlpm.MacVal,_xlfn.XLOOKUP($A183,Output_Mac!$A:$A,Output_Mac!U:U,""),
_xlpm.MyAuditVal,_xlfn.XLOOKUP($A183,My_Audit!$A:$A,My_Audit!R:R,""),
_xlfn.IFS(_xlpm.MyAuditVal&lt;&gt;"",UPPER(_xlpm.MyAuditVal),_xlpm.MacVal&lt;&gt;"",_xlpm.MacVal,_xlpm.CSVVal&lt;&gt;"",_xlpm.CSVVal
)),"")</f>
        <v/>
      </c>
    </row>
    <row r="184" spans="1:17">
      <c r="A184" s="2" t="str">
        <f>_xlfn.TEXTJOIN("",TRUE,Input!$B$2,ROW(My_Audit!A183))</f>
        <v>XX183</v>
      </c>
      <c r="B184" s="2" t="str">
        <f>_xlfn.TEXTJOIN("-",TRUE,"ITD",Input!$A$2,A184)</f>
        <v>ITD-SHRXXX-XX183</v>
      </c>
      <c r="C184" s="2" t="str" cm="1">
        <f t="array" ref="C184">IFERROR(_xlfn.LET(
_xlpm.CSVVal,_xlfn.XLOOKUP($A184,CSV!$A:$A,CSV!B:B,""),
_xlpm.MacVal,_xlfn.XLOOKUP($A184,Output_Mac!$A:$A,Output_Mac!B:B,""),
_xlpm.MyAuditVal,_xlfn.XLOOKUP($A184,My_Audit!$A:$A,My_Audit!B:B,""),
_xlfn.IFS(_xlpm.MyAuditVal&lt;&gt;"",UPPER(_xlpm.MyAuditVal),_xlpm.MacVal&lt;&gt;"",_xlpm.MacVal,_xlpm.CSVVal&lt;&gt;"",_xlpm.CSVVal
)),"")</f>
        <v/>
      </c>
      <c r="D184" s="2" t="str" cm="1">
        <f t="array" ref="D184">IFERROR(_xlfn.LET(
_xlpm.CSVVal,_xlfn.XLOOKUP($A184,CSV!$A:$A,CSV!D:D,""),
_xlpm.MacVal,_xlfn.XLOOKUP($A184,Output_Mac!$A:$A,Output_Mac!C:C,""),
_xlpm.MyAuditVal,_xlfn.XLOOKUP($A184,My_Audit!$A:$A,My_Audit!C:C,""),
_xlfn.IFS(_xlpm.MyAuditVal&lt;&gt;"",_xlpm.MyAuditVal,_xlpm.MacVal&lt;&gt;"",_xlpm.MacVal,_xlpm.CSVVal&lt;&gt;"",_xlpm.CSVVal
)),"")</f>
        <v/>
      </c>
      <c r="E184" s="2" t="str">
        <f>_xlfn.XLOOKUP(A184,My_Audit!A:A,My_Audit!D:D,"")&amp;""</f>
        <v/>
      </c>
      <c r="F184" s="2" t="str" cm="1">
        <f t="array" ref="F184">IFERROR(_xlfn.LET(
_xlpm.CSVVal,_xlfn.XLOOKUP($A184,CSV!$A:$A,CSV!F:F,""),
_xlpm.MacVal,_xlfn.XLOOKUP($A184,Output_Mac!$A:$A,Output_Mac!E:E,""),
_xlpm.MyAuditVal,_xlfn.XLOOKUP($A184,My_Audit!$A:$A,My_Audit!E:E,""),
_xlfn.IFS(_xlpm.MyAuditVal&lt;&gt;"",_xlpm.MyAuditVal,_xlpm.MacVal&lt;&gt;"",_xlpm.MacVal,_xlpm.CSVVal&lt;&gt;"",_xlpm.CSVVal
)),"")</f>
        <v/>
      </c>
      <c r="G184" s="2" t="str" cm="1">
        <f t="array" ref="G184">IFERROR(_xlfn.LET(
_xlpm.CSVVal,_xlfn.XLOOKUP($A184,CSV!$A:$A,CSV!G:G,""),
_xlpm.MacVal,_xlfn.XLOOKUP($A184,Output_Mac!$A:$A,Output_Mac!F:F,""),
_xlpm.MyAuditVal,_xlfn.XLOOKUP($A184,My_Audit!$A:$A,My_Audit!F:F,""),
_xlfn.IFS(_xlpm.MyAuditVal&lt;&gt;"",_xlpm.MyAuditVal,_xlpm.MacVal&lt;&gt;"",_xlpm.MacVal,_xlpm.CSVVal&lt;&gt;"",PROPER(_xlpm.CSVVal)
)),"")</f>
        <v/>
      </c>
      <c r="H184" s="2" t="str" cm="1">
        <f t="array" ref="H184">IFERROR(_xlfn.LET(
_xlpm.CSVVal,_xlfn.XLOOKUP($A184,CSV!$A:$A,CSV!H:H,""),
_xlpm.MacVal,_xlfn.XLOOKUP($A184,Output_Mac!$A:$A,Output_Mac!H:H,""),
_xlpm.MyAuditVal,_xlfn.XLOOKUP($A184,My_Audit!$A:$A,My_Audit!G:G,""),
_xlfn.IFS(_xlpm.MyAuditVal&lt;&gt;"",_xlpm.MyAuditVal,_xlpm.MacVal&lt;&gt;"",_xlpm.MacVal,_xlpm.CSVVal&lt;&gt;"",_xlpm.CSVVal
)),"")</f>
        <v/>
      </c>
      <c r="I184" s="2" t="str">
        <f>_xlfn.XLOOKUP(A184,Output_Mac!A:A,Output_Mac!I:I,"")</f>
        <v/>
      </c>
      <c r="J184" s="2" t="str" cm="1">
        <f t="array" ref="J184">IFERROR(_xlfn.LET(
_xlpm.CSVVal,_xlfn.XLOOKUP($A184,CSV!$A:$A,CSV!I:I,""),
_xlpm.MacVal,_xlfn.XLOOKUP($A184,Output_Mac!$A:$A,Output_Mac!J:J,""),
_xlpm.MyAuditVal,_xlfn.XLOOKUP($A184,My_Audit!$A:$A,My_Audit!I:I,""),
_xlfn.IFS(_xlpm.MyAuditVal&lt;&gt;"",UPPER(_xlpm.MyAuditVal),_xlpm.MacVal&lt;&gt;"",_xlpm.MacVal,_xlpm.CSVVal&lt;&gt;"",_xlpm.CSVVal
)),"")</f>
        <v/>
      </c>
      <c r="K184" s="2" t="str" cm="1">
        <f t="array" ref="K184">IFERROR(_xlfn.LET(
_xlpm.CSVVal,_xlfn.XLOOKUP($A184,CSV!$A:$A,CSV!K:K,""),
_xlpm.MacVal,_xlfn.XLOOKUP($A184,Output_Mac!$A:$A,Output_Mac!K:K,""),
_xlpm.MyAuditVal,_xlfn.XLOOKUP($A184,My_Audit!$A:$A,My_Audit!J:J,""),
_xlfn.IFS(_xlpm.MyAuditVal&lt;&gt;"",UPPER(_xlpm.MyAuditVal),_xlpm.MacVal&lt;&gt;"",_xlpm.MacVal,_xlpm.CSVVal&lt;&gt;"",_xlpm.CSVVal
)),"")</f>
        <v/>
      </c>
      <c r="L184" s="2" t="str" cm="1">
        <f t="array" ref="L184">IFERROR(_xlfn.LET(
_xlpm.CSVVal,_xlfn.XLOOKUP($A184,CSV!$A:$A,CSV!P:P,""),
_xlpm.MacVal,_xlfn.XLOOKUP($A184,Output_Mac!$A:$A,Output_Mac!L:L,""),
_xlpm.MyAuditVal,_xlfn.XLOOKUP($A184,My_Audit!$A:$A,My_Audit!K:K,""),
_xlfn.IFS(_xlpm.MyAuditVal&lt;&gt;"",UPPER(_xlpm.MyAuditVal),_xlpm.MacVal&lt;&gt;"",_xlpm.MacVal,_xlpm.CSVVal&lt;&gt;"",_xlpm.CSVVal
)),"")</f>
        <v/>
      </c>
      <c r="M184" s="2" t="str" cm="1">
        <f t="array" ref="M184">IFERROR(_xlfn.LET(
_xlpm.CSVVal,_xlfn.XLOOKUP($A184,CSV!$A:$A,CSV!Q:Q,""),
_xlpm.MacVal,_xlfn.XLOOKUP($A184,Output_Mac!$A:$A,Output_Mac!M:M,""),
_xlpm.MyAuditVal,_xlfn.XLOOKUP($A184,My_Audit!$A:$A,My_Audit!L:L,""),
_xlfn.IFS(_xlpm.MyAuditVal&lt;&gt;"",UPPER(_xlpm.MyAuditVal),_xlpm.MacVal&lt;&gt;"",_xlpm.MacVal,_xlpm.CSVVal&lt;&gt;"",_xlpm.CSVVal
)),"")</f>
        <v/>
      </c>
      <c r="O184" s="2" t="str">
        <f>_xlfn.LET(
    _xlpm.CSVVal, _xlfn.XLOOKUP($A184, CSV!$A:$A, CSV!AF:AF, ""),
    _xlpm.MacVal, _xlfn.XLOOKUP($A184, Output_Mac!$A:$A, Output_Mac!S:S, ""),
    _xlpm.MyAuditVal, _xlfn.XLOOKUP($A184, My_Audit!$A:$A, My_Audit!P:P, ""),
    _xlfn.TEXTJOIN(", ", TRUE, _xlpm.MyAuditVal, _xlpm.MacVal, _xlpm.CSVVal)
)</f>
        <v/>
      </c>
      <c r="P184" s="2" t="str" cm="1">
        <f t="array" ref="P184">IFERROR(_xlfn.LET(
_xlpm.CSVVal,_xlfn.XLOOKUP($A184,CSV!$A:$A,CSV!AG:AG,""),
_xlpm.MacVal,_xlfn.XLOOKUP($A184,Output_Mac!$A:$A,Output_Mac!T:T,""),
_xlpm.MyAuditVal,_xlfn.XLOOKUP($A184,My_Audit!$A:$A,My_Audit!Q:Q,""),
_xlfn.IFS(_xlpm.MyAuditVal&lt;&gt;"",UPPER(_xlpm.MyAuditVal),_xlpm.MacVal&lt;&gt;"",_xlpm.MacVal,_xlpm.CSVVal&lt;&gt;"",_xlpm.CSVVal
)),"No")</f>
        <v>No</v>
      </c>
      <c r="Q184" s="2" t="str" cm="1">
        <f t="array" ref="Q184">IFERROR(_xlfn.LET(
_xlpm.CSVVal,_xlfn.XLOOKUP($A184,CSV!$A:$A,CSV!AH:AH,""),
_xlpm.MacVal,_xlfn.XLOOKUP($A184,Output_Mac!$A:$A,Output_Mac!U:U,""),
_xlpm.MyAuditVal,_xlfn.XLOOKUP($A184,My_Audit!$A:$A,My_Audit!R:R,""),
_xlfn.IFS(_xlpm.MyAuditVal&lt;&gt;"",UPPER(_xlpm.MyAuditVal),_xlpm.MacVal&lt;&gt;"",_xlpm.MacVal,_xlpm.CSVVal&lt;&gt;"",_xlpm.CSVVal
)),"")</f>
        <v/>
      </c>
    </row>
    <row r="185" spans="1:17">
      <c r="A185" s="2" t="str">
        <f>_xlfn.TEXTJOIN("",TRUE,Input!$B$2,ROW(My_Audit!A184))</f>
        <v>XX184</v>
      </c>
      <c r="B185" s="2" t="str">
        <f>_xlfn.TEXTJOIN("-",TRUE,"ITD",Input!$A$2,A185)</f>
        <v>ITD-SHRXXX-XX184</v>
      </c>
      <c r="C185" s="2" t="str" cm="1">
        <f t="array" ref="C185">IFERROR(_xlfn.LET(
_xlpm.CSVVal,_xlfn.XLOOKUP($A185,CSV!$A:$A,CSV!B:B,""),
_xlpm.MacVal,_xlfn.XLOOKUP($A185,Output_Mac!$A:$A,Output_Mac!B:B,""),
_xlpm.MyAuditVal,_xlfn.XLOOKUP($A185,My_Audit!$A:$A,My_Audit!B:B,""),
_xlfn.IFS(_xlpm.MyAuditVal&lt;&gt;"",UPPER(_xlpm.MyAuditVal),_xlpm.MacVal&lt;&gt;"",_xlpm.MacVal,_xlpm.CSVVal&lt;&gt;"",_xlpm.CSVVal
)),"")</f>
        <v/>
      </c>
      <c r="D185" s="2" t="str" cm="1">
        <f t="array" ref="D185">IFERROR(_xlfn.LET(
_xlpm.CSVVal,_xlfn.XLOOKUP($A185,CSV!$A:$A,CSV!D:D,""),
_xlpm.MacVal,_xlfn.XLOOKUP($A185,Output_Mac!$A:$A,Output_Mac!C:C,""),
_xlpm.MyAuditVal,_xlfn.XLOOKUP($A185,My_Audit!$A:$A,My_Audit!C:C,""),
_xlfn.IFS(_xlpm.MyAuditVal&lt;&gt;"",_xlpm.MyAuditVal,_xlpm.MacVal&lt;&gt;"",_xlpm.MacVal,_xlpm.CSVVal&lt;&gt;"",_xlpm.CSVVal
)),"")</f>
        <v/>
      </c>
      <c r="E185" s="2" t="str">
        <f>_xlfn.XLOOKUP(A185,My_Audit!A:A,My_Audit!D:D,"")&amp;""</f>
        <v/>
      </c>
      <c r="F185" s="2" t="str" cm="1">
        <f t="array" ref="F185">IFERROR(_xlfn.LET(
_xlpm.CSVVal,_xlfn.XLOOKUP($A185,CSV!$A:$A,CSV!F:F,""),
_xlpm.MacVal,_xlfn.XLOOKUP($A185,Output_Mac!$A:$A,Output_Mac!E:E,""),
_xlpm.MyAuditVal,_xlfn.XLOOKUP($A185,My_Audit!$A:$A,My_Audit!E:E,""),
_xlfn.IFS(_xlpm.MyAuditVal&lt;&gt;"",_xlpm.MyAuditVal,_xlpm.MacVal&lt;&gt;"",_xlpm.MacVal,_xlpm.CSVVal&lt;&gt;"",_xlpm.CSVVal
)),"")</f>
        <v/>
      </c>
      <c r="G185" s="2" t="str" cm="1">
        <f t="array" ref="G185">IFERROR(_xlfn.LET(
_xlpm.CSVVal,_xlfn.XLOOKUP($A185,CSV!$A:$A,CSV!G:G,""),
_xlpm.MacVal,_xlfn.XLOOKUP($A185,Output_Mac!$A:$A,Output_Mac!F:F,""),
_xlpm.MyAuditVal,_xlfn.XLOOKUP($A185,My_Audit!$A:$A,My_Audit!F:F,""),
_xlfn.IFS(_xlpm.MyAuditVal&lt;&gt;"",_xlpm.MyAuditVal,_xlpm.MacVal&lt;&gt;"",_xlpm.MacVal,_xlpm.CSVVal&lt;&gt;"",PROPER(_xlpm.CSVVal)
)),"")</f>
        <v/>
      </c>
      <c r="H185" s="2" t="str" cm="1">
        <f t="array" ref="H185">IFERROR(_xlfn.LET(
_xlpm.CSVVal,_xlfn.XLOOKUP($A185,CSV!$A:$A,CSV!H:H,""),
_xlpm.MacVal,_xlfn.XLOOKUP($A185,Output_Mac!$A:$A,Output_Mac!H:H,""),
_xlpm.MyAuditVal,_xlfn.XLOOKUP($A185,My_Audit!$A:$A,My_Audit!G:G,""),
_xlfn.IFS(_xlpm.MyAuditVal&lt;&gt;"",_xlpm.MyAuditVal,_xlpm.MacVal&lt;&gt;"",_xlpm.MacVal,_xlpm.CSVVal&lt;&gt;"",_xlpm.CSVVal
)),"")</f>
        <v/>
      </c>
      <c r="I185" s="2" t="str">
        <f>_xlfn.XLOOKUP(A185,Output_Mac!A:A,Output_Mac!I:I,"")</f>
        <v/>
      </c>
      <c r="J185" s="2" t="str" cm="1">
        <f t="array" ref="J185">IFERROR(_xlfn.LET(
_xlpm.CSVVal,_xlfn.XLOOKUP($A185,CSV!$A:$A,CSV!I:I,""),
_xlpm.MacVal,_xlfn.XLOOKUP($A185,Output_Mac!$A:$A,Output_Mac!J:J,""),
_xlpm.MyAuditVal,_xlfn.XLOOKUP($A185,My_Audit!$A:$A,My_Audit!I:I,""),
_xlfn.IFS(_xlpm.MyAuditVal&lt;&gt;"",UPPER(_xlpm.MyAuditVal),_xlpm.MacVal&lt;&gt;"",_xlpm.MacVal,_xlpm.CSVVal&lt;&gt;"",_xlpm.CSVVal
)),"")</f>
        <v/>
      </c>
      <c r="K185" s="2" t="str" cm="1">
        <f t="array" ref="K185">IFERROR(_xlfn.LET(
_xlpm.CSVVal,_xlfn.XLOOKUP($A185,CSV!$A:$A,CSV!K:K,""),
_xlpm.MacVal,_xlfn.XLOOKUP($A185,Output_Mac!$A:$A,Output_Mac!K:K,""),
_xlpm.MyAuditVal,_xlfn.XLOOKUP($A185,My_Audit!$A:$A,My_Audit!J:J,""),
_xlfn.IFS(_xlpm.MyAuditVal&lt;&gt;"",UPPER(_xlpm.MyAuditVal),_xlpm.MacVal&lt;&gt;"",_xlpm.MacVal,_xlpm.CSVVal&lt;&gt;"",_xlpm.CSVVal
)),"")</f>
        <v/>
      </c>
      <c r="L185" s="2" t="str" cm="1">
        <f t="array" ref="L185">IFERROR(_xlfn.LET(
_xlpm.CSVVal,_xlfn.XLOOKUP($A185,CSV!$A:$A,CSV!P:P,""),
_xlpm.MacVal,_xlfn.XLOOKUP($A185,Output_Mac!$A:$A,Output_Mac!L:L,""),
_xlpm.MyAuditVal,_xlfn.XLOOKUP($A185,My_Audit!$A:$A,My_Audit!K:K,""),
_xlfn.IFS(_xlpm.MyAuditVal&lt;&gt;"",UPPER(_xlpm.MyAuditVal),_xlpm.MacVal&lt;&gt;"",_xlpm.MacVal,_xlpm.CSVVal&lt;&gt;"",_xlpm.CSVVal
)),"")</f>
        <v/>
      </c>
      <c r="M185" s="2" t="str" cm="1">
        <f t="array" ref="M185">IFERROR(_xlfn.LET(
_xlpm.CSVVal,_xlfn.XLOOKUP($A185,CSV!$A:$A,CSV!Q:Q,""),
_xlpm.MacVal,_xlfn.XLOOKUP($A185,Output_Mac!$A:$A,Output_Mac!M:M,""),
_xlpm.MyAuditVal,_xlfn.XLOOKUP($A185,My_Audit!$A:$A,My_Audit!L:L,""),
_xlfn.IFS(_xlpm.MyAuditVal&lt;&gt;"",UPPER(_xlpm.MyAuditVal),_xlpm.MacVal&lt;&gt;"",_xlpm.MacVal,_xlpm.CSVVal&lt;&gt;"",_xlpm.CSVVal
)),"")</f>
        <v/>
      </c>
      <c r="O185" s="2" t="str">
        <f>_xlfn.LET(
    _xlpm.CSVVal, _xlfn.XLOOKUP($A185, CSV!$A:$A, CSV!AF:AF, ""),
    _xlpm.MacVal, _xlfn.XLOOKUP($A185, Output_Mac!$A:$A, Output_Mac!S:S, ""),
    _xlpm.MyAuditVal, _xlfn.XLOOKUP($A185, My_Audit!$A:$A, My_Audit!P:P, ""),
    _xlfn.TEXTJOIN(", ", TRUE, _xlpm.MyAuditVal, _xlpm.MacVal, _xlpm.CSVVal)
)</f>
        <v/>
      </c>
      <c r="P185" s="2" t="str" cm="1">
        <f t="array" ref="P185">IFERROR(_xlfn.LET(
_xlpm.CSVVal,_xlfn.XLOOKUP($A185,CSV!$A:$A,CSV!AG:AG,""),
_xlpm.MacVal,_xlfn.XLOOKUP($A185,Output_Mac!$A:$A,Output_Mac!T:T,""),
_xlpm.MyAuditVal,_xlfn.XLOOKUP($A185,My_Audit!$A:$A,My_Audit!Q:Q,""),
_xlfn.IFS(_xlpm.MyAuditVal&lt;&gt;"",UPPER(_xlpm.MyAuditVal),_xlpm.MacVal&lt;&gt;"",_xlpm.MacVal,_xlpm.CSVVal&lt;&gt;"",_xlpm.CSVVal
)),"No")</f>
        <v>No</v>
      </c>
      <c r="Q185" s="2" t="str" cm="1">
        <f t="array" ref="Q185">IFERROR(_xlfn.LET(
_xlpm.CSVVal,_xlfn.XLOOKUP($A185,CSV!$A:$A,CSV!AH:AH,""),
_xlpm.MacVal,_xlfn.XLOOKUP($A185,Output_Mac!$A:$A,Output_Mac!U:U,""),
_xlpm.MyAuditVal,_xlfn.XLOOKUP($A185,My_Audit!$A:$A,My_Audit!R:R,""),
_xlfn.IFS(_xlpm.MyAuditVal&lt;&gt;"",UPPER(_xlpm.MyAuditVal),_xlpm.MacVal&lt;&gt;"",_xlpm.MacVal,_xlpm.CSVVal&lt;&gt;"",_xlpm.CSVVal
)),"")</f>
        <v/>
      </c>
    </row>
    <row r="186" spans="1:17">
      <c r="A186" s="2" t="str">
        <f>_xlfn.TEXTJOIN("",TRUE,Input!$B$2,ROW(My_Audit!A185))</f>
        <v>XX185</v>
      </c>
      <c r="B186" s="2" t="str">
        <f>_xlfn.TEXTJOIN("-",TRUE,"ITD",Input!$A$2,A186)</f>
        <v>ITD-SHRXXX-XX185</v>
      </c>
      <c r="C186" s="2" t="str" cm="1">
        <f t="array" ref="C186">IFERROR(_xlfn.LET(
_xlpm.CSVVal,_xlfn.XLOOKUP($A186,CSV!$A:$A,CSV!B:B,""),
_xlpm.MacVal,_xlfn.XLOOKUP($A186,Output_Mac!$A:$A,Output_Mac!B:B,""),
_xlpm.MyAuditVal,_xlfn.XLOOKUP($A186,My_Audit!$A:$A,My_Audit!B:B,""),
_xlfn.IFS(_xlpm.MyAuditVal&lt;&gt;"",UPPER(_xlpm.MyAuditVal),_xlpm.MacVal&lt;&gt;"",_xlpm.MacVal,_xlpm.CSVVal&lt;&gt;"",_xlpm.CSVVal
)),"")</f>
        <v/>
      </c>
      <c r="D186" s="2" t="str" cm="1">
        <f t="array" ref="D186">IFERROR(_xlfn.LET(
_xlpm.CSVVal,_xlfn.XLOOKUP($A186,CSV!$A:$A,CSV!D:D,""),
_xlpm.MacVal,_xlfn.XLOOKUP($A186,Output_Mac!$A:$A,Output_Mac!C:C,""),
_xlpm.MyAuditVal,_xlfn.XLOOKUP($A186,My_Audit!$A:$A,My_Audit!C:C,""),
_xlfn.IFS(_xlpm.MyAuditVal&lt;&gt;"",_xlpm.MyAuditVal,_xlpm.MacVal&lt;&gt;"",_xlpm.MacVal,_xlpm.CSVVal&lt;&gt;"",_xlpm.CSVVal
)),"")</f>
        <v/>
      </c>
      <c r="E186" s="2" t="str">
        <f>_xlfn.XLOOKUP(A186,My_Audit!A:A,My_Audit!D:D,"")&amp;""</f>
        <v/>
      </c>
      <c r="F186" s="2" t="str" cm="1">
        <f t="array" ref="F186">IFERROR(_xlfn.LET(
_xlpm.CSVVal,_xlfn.XLOOKUP($A186,CSV!$A:$A,CSV!F:F,""),
_xlpm.MacVal,_xlfn.XLOOKUP($A186,Output_Mac!$A:$A,Output_Mac!E:E,""),
_xlpm.MyAuditVal,_xlfn.XLOOKUP($A186,My_Audit!$A:$A,My_Audit!E:E,""),
_xlfn.IFS(_xlpm.MyAuditVal&lt;&gt;"",_xlpm.MyAuditVal,_xlpm.MacVal&lt;&gt;"",_xlpm.MacVal,_xlpm.CSVVal&lt;&gt;"",_xlpm.CSVVal
)),"")</f>
        <v/>
      </c>
      <c r="G186" s="2" t="str" cm="1">
        <f t="array" ref="G186">IFERROR(_xlfn.LET(
_xlpm.CSVVal,_xlfn.XLOOKUP($A186,CSV!$A:$A,CSV!G:G,""),
_xlpm.MacVal,_xlfn.XLOOKUP($A186,Output_Mac!$A:$A,Output_Mac!F:F,""),
_xlpm.MyAuditVal,_xlfn.XLOOKUP($A186,My_Audit!$A:$A,My_Audit!F:F,""),
_xlfn.IFS(_xlpm.MyAuditVal&lt;&gt;"",_xlpm.MyAuditVal,_xlpm.MacVal&lt;&gt;"",_xlpm.MacVal,_xlpm.CSVVal&lt;&gt;"",PROPER(_xlpm.CSVVal)
)),"")</f>
        <v/>
      </c>
      <c r="H186" s="2" t="str" cm="1">
        <f t="array" ref="H186">IFERROR(_xlfn.LET(
_xlpm.CSVVal,_xlfn.XLOOKUP($A186,CSV!$A:$A,CSV!H:H,""),
_xlpm.MacVal,_xlfn.XLOOKUP($A186,Output_Mac!$A:$A,Output_Mac!H:H,""),
_xlpm.MyAuditVal,_xlfn.XLOOKUP($A186,My_Audit!$A:$A,My_Audit!G:G,""),
_xlfn.IFS(_xlpm.MyAuditVal&lt;&gt;"",_xlpm.MyAuditVal,_xlpm.MacVal&lt;&gt;"",_xlpm.MacVal,_xlpm.CSVVal&lt;&gt;"",_xlpm.CSVVal
)),"")</f>
        <v/>
      </c>
      <c r="I186" s="2" t="str">
        <f>_xlfn.XLOOKUP(A186,Output_Mac!A:A,Output_Mac!I:I,"")</f>
        <v/>
      </c>
      <c r="J186" s="2" t="str" cm="1">
        <f t="array" ref="J186">IFERROR(_xlfn.LET(
_xlpm.CSVVal,_xlfn.XLOOKUP($A186,CSV!$A:$A,CSV!I:I,""),
_xlpm.MacVal,_xlfn.XLOOKUP($A186,Output_Mac!$A:$A,Output_Mac!J:J,""),
_xlpm.MyAuditVal,_xlfn.XLOOKUP($A186,My_Audit!$A:$A,My_Audit!I:I,""),
_xlfn.IFS(_xlpm.MyAuditVal&lt;&gt;"",UPPER(_xlpm.MyAuditVal),_xlpm.MacVal&lt;&gt;"",_xlpm.MacVal,_xlpm.CSVVal&lt;&gt;"",_xlpm.CSVVal
)),"")</f>
        <v/>
      </c>
      <c r="K186" s="2" t="str" cm="1">
        <f t="array" ref="K186">IFERROR(_xlfn.LET(
_xlpm.CSVVal,_xlfn.XLOOKUP($A186,CSV!$A:$A,CSV!K:K,""),
_xlpm.MacVal,_xlfn.XLOOKUP($A186,Output_Mac!$A:$A,Output_Mac!K:K,""),
_xlpm.MyAuditVal,_xlfn.XLOOKUP($A186,My_Audit!$A:$A,My_Audit!J:J,""),
_xlfn.IFS(_xlpm.MyAuditVal&lt;&gt;"",UPPER(_xlpm.MyAuditVal),_xlpm.MacVal&lt;&gt;"",_xlpm.MacVal,_xlpm.CSVVal&lt;&gt;"",_xlpm.CSVVal
)),"")</f>
        <v/>
      </c>
      <c r="L186" s="2" t="str" cm="1">
        <f t="array" ref="L186">IFERROR(_xlfn.LET(
_xlpm.CSVVal,_xlfn.XLOOKUP($A186,CSV!$A:$A,CSV!P:P,""),
_xlpm.MacVal,_xlfn.XLOOKUP($A186,Output_Mac!$A:$A,Output_Mac!L:L,""),
_xlpm.MyAuditVal,_xlfn.XLOOKUP($A186,My_Audit!$A:$A,My_Audit!K:K,""),
_xlfn.IFS(_xlpm.MyAuditVal&lt;&gt;"",UPPER(_xlpm.MyAuditVal),_xlpm.MacVal&lt;&gt;"",_xlpm.MacVal,_xlpm.CSVVal&lt;&gt;"",_xlpm.CSVVal
)),"")</f>
        <v/>
      </c>
      <c r="M186" s="2" t="str" cm="1">
        <f t="array" ref="M186">IFERROR(_xlfn.LET(
_xlpm.CSVVal,_xlfn.XLOOKUP($A186,CSV!$A:$A,CSV!Q:Q,""),
_xlpm.MacVal,_xlfn.XLOOKUP($A186,Output_Mac!$A:$A,Output_Mac!M:M,""),
_xlpm.MyAuditVal,_xlfn.XLOOKUP($A186,My_Audit!$A:$A,My_Audit!L:L,""),
_xlfn.IFS(_xlpm.MyAuditVal&lt;&gt;"",UPPER(_xlpm.MyAuditVal),_xlpm.MacVal&lt;&gt;"",_xlpm.MacVal,_xlpm.CSVVal&lt;&gt;"",_xlpm.CSVVal
)),"")</f>
        <v/>
      </c>
      <c r="O186" s="2" t="str">
        <f>_xlfn.LET(
    _xlpm.CSVVal, _xlfn.XLOOKUP($A186, CSV!$A:$A, CSV!AF:AF, ""),
    _xlpm.MacVal, _xlfn.XLOOKUP($A186, Output_Mac!$A:$A, Output_Mac!S:S, ""),
    _xlpm.MyAuditVal, _xlfn.XLOOKUP($A186, My_Audit!$A:$A, My_Audit!P:P, ""),
    _xlfn.TEXTJOIN(", ", TRUE, _xlpm.MyAuditVal, _xlpm.MacVal, _xlpm.CSVVal)
)</f>
        <v/>
      </c>
      <c r="P186" s="2" t="str" cm="1">
        <f t="array" ref="P186">IFERROR(_xlfn.LET(
_xlpm.CSVVal,_xlfn.XLOOKUP($A186,CSV!$A:$A,CSV!AG:AG,""),
_xlpm.MacVal,_xlfn.XLOOKUP($A186,Output_Mac!$A:$A,Output_Mac!T:T,""),
_xlpm.MyAuditVal,_xlfn.XLOOKUP($A186,My_Audit!$A:$A,My_Audit!Q:Q,""),
_xlfn.IFS(_xlpm.MyAuditVal&lt;&gt;"",UPPER(_xlpm.MyAuditVal),_xlpm.MacVal&lt;&gt;"",_xlpm.MacVal,_xlpm.CSVVal&lt;&gt;"",_xlpm.CSVVal
)),"No")</f>
        <v>No</v>
      </c>
      <c r="Q186" s="2" t="str" cm="1">
        <f t="array" ref="Q186">IFERROR(_xlfn.LET(
_xlpm.CSVVal,_xlfn.XLOOKUP($A186,CSV!$A:$A,CSV!AH:AH,""),
_xlpm.MacVal,_xlfn.XLOOKUP($A186,Output_Mac!$A:$A,Output_Mac!U:U,""),
_xlpm.MyAuditVal,_xlfn.XLOOKUP($A186,My_Audit!$A:$A,My_Audit!R:R,""),
_xlfn.IFS(_xlpm.MyAuditVal&lt;&gt;"",UPPER(_xlpm.MyAuditVal),_xlpm.MacVal&lt;&gt;"",_xlpm.MacVal,_xlpm.CSVVal&lt;&gt;"",_xlpm.CSVVal
)),"")</f>
        <v/>
      </c>
    </row>
    <row r="187" spans="1:17">
      <c r="A187" s="2" t="str">
        <f>_xlfn.TEXTJOIN("",TRUE,Input!$B$2,ROW(My_Audit!A186))</f>
        <v>XX186</v>
      </c>
      <c r="B187" s="2" t="str">
        <f>_xlfn.TEXTJOIN("-",TRUE,"ITD",Input!$A$2,A187)</f>
        <v>ITD-SHRXXX-XX186</v>
      </c>
      <c r="C187" s="2" t="str" cm="1">
        <f t="array" ref="C187">IFERROR(_xlfn.LET(
_xlpm.CSVVal,_xlfn.XLOOKUP($A187,CSV!$A:$A,CSV!B:B,""),
_xlpm.MacVal,_xlfn.XLOOKUP($A187,Output_Mac!$A:$A,Output_Mac!B:B,""),
_xlpm.MyAuditVal,_xlfn.XLOOKUP($A187,My_Audit!$A:$A,My_Audit!B:B,""),
_xlfn.IFS(_xlpm.MyAuditVal&lt;&gt;"",UPPER(_xlpm.MyAuditVal),_xlpm.MacVal&lt;&gt;"",_xlpm.MacVal,_xlpm.CSVVal&lt;&gt;"",_xlpm.CSVVal
)),"")</f>
        <v/>
      </c>
      <c r="D187" s="2" t="str" cm="1">
        <f t="array" ref="D187">IFERROR(_xlfn.LET(
_xlpm.CSVVal,_xlfn.XLOOKUP($A187,CSV!$A:$A,CSV!D:D,""),
_xlpm.MacVal,_xlfn.XLOOKUP($A187,Output_Mac!$A:$A,Output_Mac!C:C,""),
_xlpm.MyAuditVal,_xlfn.XLOOKUP($A187,My_Audit!$A:$A,My_Audit!C:C,""),
_xlfn.IFS(_xlpm.MyAuditVal&lt;&gt;"",_xlpm.MyAuditVal,_xlpm.MacVal&lt;&gt;"",_xlpm.MacVal,_xlpm.CSVVal&lt;&gt;"",_xlpm.CSVVal
)),"")</f>
        <v/>
      </c>
      <c r="E187" s="2" t="str">
        <f>_xlfn.XLOOKUP(A187,My_Audit!A:A,My_Audit!D:D,"")&amp;""</f>
        <v/>
      </c>
      <c r="F187" s="2" t="str" cm="1">
        <f t="array" ref="F187">IFERROR(_xlfn.LET(
_xlpm.CSVVal,_xlfn.XLOOKUP($A187,CSV!$A:$A,CSV!F:F,""),
_xlpm.MacVal,_xlfn.XLOOKUP($A187,Output_Mac!$A:$A,Output_Mac!E:E,""),
_xlpm.MyAuditVal,_xlfn.XLOOKUP($A187,My_Audit!$A:$A,My_Audit!E:E,""),
_xlfn.IFS(_xlpm.MyAuditVal&lt;&gt;"",_xlpm.MyAuditVal,_xlpm.MacVal&lt;&gt;"",_xlpm.MacVal,_xlpm.CSVVal&lt;&gt;"",_xlpm.CSVVal
)),"")</f>
        <v/>
      </c>
      <c r="G187" s="2" t="str" cm="1">
        <f t="array" ref="G187">IFERROR(_xlfn.LET(
_xlpm.CSVVal,_xlfn.XLOOKUP($A187,CSV!$A:$A,CSV!G:G,""),
_xlpm.MacVal,_xlfn.XLOOKUP($A187,Output_Mac!$A:$A,Output_Mac!F:F,""),
_xlpm.MyAuditVal,_xlfn.XLOOKUP($A187,My_Audit!$A:$A,My_Audit!F:F,""),
_xlfn.IFS(_xlpm.MyAuditVal&lt;&gt;"",_xlpm.MyAuditVal,_xlpm.MacVal&lt;&gt;"",_xlpm.MacVal,_xlpm.CSVVal&lt;&gt;"",PROPER(_xlpm.CSVVal)
)),"")</f>
        <v/>
      </c>
      <c r="H187" s="2" t="str" cm="1">
        <f t="array" ref="H187">IFERROR(_xlfn.LET(
_xlpm.CSVVal,_xlfn.XLOOKUP($A187,CSV!$A:$A,CSV!H:H,""),
_xlpm.MacVal,_xlfn.XLOOKUP($A187,Output_Mac!$A:$A,Output_Mac!H:H,""),
_xlpm.MyAuditVal,_xlfn.XLOOKUP($A187,My_Audit!$A:$A,My_Audit!G:G,""),
_xlfn.IFS(_xlpm.MyAuditVal&lt;&gt;"",_xlpm.MyAuditVal,_xlpm.MacVal&lt;&gt;"",_xlpm.MacVal,_xlpm.CSVVal&lt;&gt;"",_xlpm.CSVVal
)),"")</f>
        <v/>
      </c>
      <c r="I187" s="2" t="str">
        <f>_xlfn.XLOOKUP(A187,Output_Mac!A:A,Output_Mac!I:I,"")</f>
        <v/>
      </c>
      <c r="J187" s="2" t="str" cm="1">
        <f t="array" ref="J187">IFERROR(_xlfn.LET(
_xlpm.CSVVal,_xlfn.XLOOKUP($A187,CSV!$A:$A,CSV!I:I,""),
_xlpm.MacVal,_xlfn.XLOOKUP($A187,Output_Mac!$A:$A,Output_Mac!J:J,""),
_xlpm.MyAuditVal,_xlfn.XLOOKUP($A187,My_Audit!$A:$A,My_Audit!I:I,""),
_xlfn.IFS(_xlpm.MyAuditVal&lt;&gt;"",UPPER(_xlpm.MyAuditVal),_xlpm.MacVal&lt;&gt;"",_xlpm.MacVal,_xlpm.CSVVal&lt;&gt;"",_xlpm.CSVVal
)),"")</f>
        <v/>
      </c>
      <c r="K187" s="2" t="str" cm="1">
        <f t="array" ref="K187">IFERROR(_xlfn.LET(
_xlpm.CSVVal,_xlfn.XLOOKUP($A187,CSV!$A:$A,CSV!K:K,""),
_xlpm.MacVal,_xlfn.XLOOKUP($A187,Output_Mac!$A:$A,Output_Mac!K:K,""),
_xlpm.MyAuditVal,_xlfn.XLOOKUP($A187,My_Audit!$A:$A,My_Audit!J:J,""),
_xlfn.IFS(_xlpm.MyAuditVal&lt;&gt;"",UPPER(_xlpm.MyAuditVal),_xlpm.MacVal&lt;&gt;"",_xlpm.MacVal,_xlpm.CSVVal&lt;&gt;"",_xlpm.CSVVal
)),"")</f>
        <v/>
      </c>
      <c r="L187" s="2" t="str" cm="1">
        <f t="array" ref="L187">IFERROR(_xlfn.LET(
_xlpm.CSVVal,_xlfn.XLOOKUP($A187,CSV!$A:$A,CSV!P:P,""),
_xlpm.MacVal,_xlfn.XLOOKUP($A187,Output_Mac!$A:$A,Output_Mac!L:L,""),
_xlpm.MyAuditVal,_xlfn.XLOOKUP($A187,My_Audit!$A:$A,My_Audit!K:K,""),
_xlfn.IFS(_xlpm.MyAuditVal&lt;&gt;"",UPPER(_xlpm.MyAuditVal),_xlpm.MacVal&lt;&gt;"",_xlpm.MacVal,_xlpm.CSVVal&lt;&gt;"",_xlpm.CSVVal
)),"")</f>
        <v/>
      </c>
      <c r="M187" s="2" t="str" cm="1">
        <f t="array" ref="M187">IFERROR(_xlfn.LET(
_xlpm.CSVVal,_xlfn.XLOOKUP($A187,CSV!$A:$A,CSV!Q:Q,""),
_xlpm.MacVal,_xlfn.XLOOKUP($A187,Output_Mac!$A:$A,Output_Mac!M:M,""),
_xlpm.MyAuditVal,_xlfn.XLOOKUP($A187,My_Audit!$A:$A,My_Audit!L:L,""),
_xlfn.IFS(_xlpm.MyAuditVal&lt;&gt;"",UPPER(_xlpm.MyAuditVal),_xlpm.MacVal&lt;&gt;"",_xlpm.MacVal,_xlpm.CSVVal&lt;&gt;"",_xlpm.CSVVal
)),"")</f>
        <v/>
      </c>
      <c r="O187" s="2" t="str">
        <f>_xlfn.LET(
    _xlpm.CSVVal, _xlfn.XLOOKUP($A187, CSV!$A:$A, CSV!AF:AF, ""),
    _xlpm.MacVal, _xlfn.XLOOKUP($A187, Output_Mac!$A:$A, Output_Mac!S:S, ""),
    _xlpm.MyAuditVal, _xlfn.XLOOKUP($A187, My_Audit!$A:$A, My_Audit!P:P, ""),
    _xlfn.TEXTJOIN(", ", TRUE, _xlpm.MyAuditVal, _xlpm.MacVal, _xlpm.CSVVal)
)</f>
        <v/>
      </c>
      <c r="P187" s="2" t="str" cm="1">
        <f t="array" ref="P187">IFERROR(_xlfn.LET(
_xlpm.CSVVal,_xlfn.XLOOKUP($A187,CSV!$A:$A,CSV!AG:AG,""),
_xlpm.MacVal,_xlfn.XLOOKUP($A187,Output_Mac!$A:$A,Output_Mac!T:T,""),
_xlpm.MyAuditVal,_xlfn.XLOOKUP($A187,My_Audit!$A:$A,My_Audit!Q:Q,""),
_xlfn.IFS(_xlpm.MyAuditVal&lt;&gt;"",UPPER(_xlpm.MyAuditVal),_xlpm.MacVal&lt;&gt;"",_xlpm.MacVal,_xlpm.CSVVal&lt;&gt;"",_xlpm.CSVVal
)),"No")</f>
        <v>No</v>
      </c>
      <c r="Q187" s="2" t="str" cm="1">
        <f t="array" ref="Q187">IFERROR(_xlfn.LET(
_xlpm.CSVVal,_xlfn.XLOOKUP($A187,CSV!$A:$A,CSV!AH:AH,""),
_xlpm.MacVal,_xlfn.XLOOKUP($A187,Output_Mac!$A:$A,Output_Mac!U:U,""),
_xlpm.MyAuditVal,_xlfn.XLOOKUP($A187,My_Audit!$A:$A,My_Audit!R:R,""),
_xlfn.IFS(_xlpm.MyAuditVal&lt;&gt;"",UPPER(_xlpm.MyAuditVal),_xlpm.MacVal&lt;&gt;"",_xlpm.MacVal,_xlpm.CSVVal&lt;&gt;"",_xlpm.CSVVal
)),"")</f>
        <v/>
      </c>
    </row>
    <row r="188" spans="1:17">
      <c r="A188" s="2" t="str">
        <f>_xlfn.TEXTJOIN("",TRUE,Input!$B$2,ROW(My_Audit!A187))</f>
        <v>XX187</v>
      </c>
      <c r="B188" s="2" t="str">
        <f>_xlfn.TEXTJOIN("-",TRUE,"ITD",Input!$A$2,A188)</f>
        <v>ITD-SHRXXX-XX187</v>
      </c>
      <c r="C188" s="2" t="str" cm="1">
        <f t="array" ref="C188">IFERROR(_xlfn.LET(
_xlpm.CSVVal,_xlfn.XLOOKUP($A188,CSV!$A:$A,CSV!B:B,""),
_xlpm.MacVal,_xlfn.XLOOKUP($A188,Output_Mac!$A:$A,Output_Mac!B:B,""),
_xlpm.MyAuditVal,_xlfn.XLOOKUP($A188,My_Audit!$A:$A,My_Audit!B:B,""),
_xlfn.IFS(_xlpm.MyAuditVal&lt;&gt;"",UPPER(_xlpm.MyAuditVal),_xlpm.MacVal&lt;&gt;"",_xlpm.MacVal,_xlpm.CSVVal&lt;&gt;"",_xlpm.CSVVal
)),"")</f>
        <v/>
      </c>
      <c r="D188" s="2" t="str" cm="1">
        <f t="array" ref="D188">IFERROR(_xlfn.LET(
_xlpm.CSVVal,_xlfn.XLOOKUP($A188,CSV!$A:$A,CSV!D:D,""),
_xlpm.MacVal,_xlfn.XLOOKUP($A188,Output_Mac!$A:$A,Output_Mac!C:C,""),
_xlpm.MyAuditVal,_xlfn.XLOOKUP($A188,My_Audit!$A:$A,My_Audit!C:C,""),
_xlfn.IFS(_xlpm.MyAuditVal&lt;&gt;"",_xlpm.MyAuditVal,_xlpm.MacVal&lt;&gt;"",_xlpm.MacVal,_xlpm.CSVVal&lt;&gt;"",_xlpm.CSVVal
)),"")</f>
        <v/>
      </c>
      <c r="E188" s="2" t="str">
        <f>_xlfn.XLOOKUP(A188,My_Audit!A:A,My_Audit!D:D,"")&amp;""</f>
        <v/>
      </c>
      <c r="F188" s="2" t="str" cm="1">
        <f t="array" ref="F188">IFERROR(_xlfn.LET(
_xlpm.CSVVal,_xlfn.XLOOKUP($A188,CSV!$A:$A,CSV!F:F,""),
_xlpm.MacVal,_xlfn.XLOOKUP($A188,Output_Mac!$A:$A,Output_Mac!E:E,""),
_xlpm.MyAuditVal,_xlfn.XLOOKUP($A188,My_Audit!$A:$A,My_Audit!E:E,""),
_xlfn.IFS(_xlpm.MyAuditVal&lt;&gt;"",_xlpm.MyAuditVal,_xlpm.MacVal&lt;&gt;"",_xlpm.MacVal,_xlpm.CSVVal&lt;&gt;"",_xlpm.CSVVal
)),"")</f>
        <v/>
      </c>
      <c r="G188" s="2" t="str" cm="1">
        <f t="array" ref="G188">IFERROR(_xlfn.LET(
_xlpm.CSVVal,_xlfn.XLOOKUP($A188,CSV!$A:$A,CSV!G:G,""),
_xlpm.MacVal,_xlfn.XLOOKUP($A188,Output_Mac!$A:$A,Output_Mac!F:F,""),
_xlpm.MyAuditVal,_xlfn.XLOOKUP($A188,My_Audit!$A:$A,My_Audit!F:F,""),
_xlfn.IFS(_xlpm.MyAuditVal&lt;&gt;"",_xlpm.MyAuditVal,_xlpm.MacVal&lt;&gt;"",_xlpm.MacVal,_xlpm.CSVVal&lt;&gt;"",PROPER(_xlpm.CSVVal)
)),"")</f>
        <v/>
      </c>
      <c r="H188" s="2" t="str" cm="1">
        <f t="array" ref="H188">IFERROR(_xlfn.LET(
_xlpm.CSVVal,_xlfn.XLOOKUP($A188,CSV!$A:$A,CSV!H:H,""),
_xlpm.MacVal,_xlfn.XLOOKUP($A188,Output_Mac!$A:$A,Output_Mac!H:H,""),
_xlpm.MyAuditVal,_xlfn.XLOOKUP($A188,My_Audit!$A:$A,My_Audit!G:G,""),
_xlfn.IFS(_xlpm.MyAuditVal&lt;&gt;"",_xlpm.MyAuditVal,_xlpm.MacVal&lt;&gt;"",_xlpm.MacVal,_xlpm.CSVVal&lt;&gt;"",_xlpm.CSVVal
)),"")</f>
        <v/>
      </c>
      <c r="I188" s="2" t="str">
        <f>_xlfn.XLOOKUP(A188,Output_Mac!A:A,Output_Mac!I:I,"")</f>
        <v/>
      </c>
      <c r="J188" s="2" t="str" cm="1">
        <f t="array" ref="J188">IFERROR(_xlfn.LET(
_xlpm.CSVVal,_xlfn.XLOOKUP($A188,CSV!$A:$A,CSV!I:I,""),
_xlpm.MacVal,_xlfn.XLOOKUP($A188,Output_Mac!$A:$A,Output_Mac!J:J,""),
_xlpm.MyAuditVal,_xlfn.XLOOKUP($A188,My_Audit!$A:$A,My_Audit!I:I,""),
_xlfn.IFS(_xlpm.MyAuditVal&lt;&gt;"",UPPER(_xlpm.MyAuditVal),_xlpm.MacVal&lt;&gt;"",_xlpm.MacVal,_xlpm.CSVVal&lt;&gt;"",_xlpm.CSVVal
)),"")</f>
        <v/>
      </c>
      <c r="K188" s="2" t="str" cm="1">
        <f t="array" ref="K188">IFERROR(_xlfn.LET(
_xlpm.CSVVal,_xlfn.XLOOKUP($A188,CSV!$A:$A,CSV!K:K,""),
_xlpm.MacVal,_xlfn.XLOOKUP($A188,Output_Mac!$A:$A,Output_Mac!K:K,""),
_xlpm.MyAuditVal,_xlfn.XLOOKUP($A188,My_Audit!$A:$A,My_Audit!J:J,""),
_xlfn.IFS(_xlpm.MyAuditVal&lt;&gt;"",UPPER(_xlpm.MyAuditVal),_xlpm.MacVal&lt;&gt;"",_xlpm.MacVal,_xlpm.CSVVal&lt;&gt;"",_xlpm.CSVVal
)),"")</f>
        <v/>
      </c>
      <c r="L188" s="2" t="str" cm="1">
        <f t="array" ref="L188">IFERROR(_xlfn.LET(
_xlpm.CSVVal,_xlfn.XLOOKUP($A188,CSV!$A:$A,CSV!P:P,""),
_xlpm.MacVal,_xlfn.XLOOKUP($A188,Output_Mac!$A:$A,Output_Mac!L:L,""),
_xlpm.MyAuditVal,_xlfn.XLOOKUP($A188,My_Audit!$A:$A,My_Audit!K:K,""),
_xlfn.IFS(_xlpm.MyAuditVal&lt;&gt;"",UPPER(_xlpm.MyAuditVal),_xlpm.MacVal&lt;&gt;"",_xlpm.MacVal,_xlpm.CSVVal&lt;&gt;"",_xlpm.CSVVal
)),"")</f>
        <v/>
      </c>
      <c r="M188" s="2" t="str" cm="1">
        <f t="array" ref="M188">IFERROR(_xlfn.LET(
_xlpm.CSVVal,_xlfn.XLOOKUP($A188,CSV!$A:$A,CSV!Q:Q,""),
_xlpm.MacVal,_xlfn.XLOOKUP($A188,Output_Mac!$A:$A,Output_Mac!M:M,""),
_xlpm.MyAuditVal,_xlfn.XLOOKUP($A188,My_Audit!$A:$A,My_Audit!L:L,""),
_xlfn.IFS(_xlpm.MyAuditVal&lt;&gt;"",UPPER(_xlpm.MyAuditVal),_xlpm.MacVal&lt;&gt;"",_xlpm.MacVal,_xlpm.CSVVal&lt;&gt;"",_xlpm.CSVVal
)),"")</f>
        <v/>
      </c>
      <c r="O188" s="2" t="str">
        <f>_xlfn.LET(
    _xlpm.CSVVal, _xlfn.XLOOKUP($A188, CSV!$A:$A, CSV!AF:AF, ""),
    _xlpm.MacVal, _xlfn.XLOOKUP($A188, Output_Mac!$A:$A, Output_Mac!S:S, ""),
    _xlpm.MyAuditVal, _xlfn.XLOOKUP($A188, My_Audit!$A:$A, My_Audit!P:P, ""),
    _xlfn.TEXTJOIN(", ", TRUE, _xlpm.MyAuditVal, _xlpm.MacVal, _xlpm.CSVVal)
)</f>
        <v/>
      </c>
      <c r="P188" s="2" t="str" cm="1">
        <f t="array" ref="P188">IFERROR(_xlfn.LET(
_xlpm.CSVVal,_xlfn.XLOOKUP($A188,CSV!$A:$A,CSV!AG:AG,""),
_xlpm.MacVal,_xlfn.XLOOKUP($A188,Output_Mac!$A:$A,Output_Mac!T:T,""),
_xlpm.MyAuditVal,_xlfn.XLOOKUP($A188,My_Audit!$A:$A,My_Audit!Q:Q,""),
_xlfn.IFS(_xlpm.MyAuditVal&lt;&gt;"",UPPER(_xlpm.MyAuditVal),_xlpm.MacVal&lt;&gt;"",_xlpm.MacVal,_xlpm.CSVVal&lt;&gt;"",_xlpm.CSVVal
)),"No")</f>
        <v>No</v>
      </c>
      <c r="Q188" s="2" t="str" cm="1">
        <f t="array" ref="Q188">IFERROR(_xlfn.LET(
_xlpm.CSVVal,_xlfn.XLOOKUP($A188,CSV!$A:$A,CSV!AH:AH,""),
_xlpm.MacVal,_xlfn.XLOOKUP($A188,Output_Mac!$A:$A,Output_Mac!U:U,""),
_xlpm.MyAuditVal,_xlfn.XLOOKUP($A188,My_Audit!$A:$A,My_Audit!R:R,""),
_xlfn.IFS(_xlpm.MyAuditVal&lt;&gt;"",UPPER(_xlpm.MyAuditVal),_xlpm.MacVal&lt;&gt;"",_xlpm.MacVal,_xlpm.CSVVal&lt;&gt;"",_xlpm.CSVVal
)),"")</f>
        <v/>
      </c>
    </row>
    <row r="189" spans="1:17">
      <c r="A189" s="2" t="str">
        <f>_xlfn.TEXTJOIN("",TRUE,Input!$B$2,ROW(My_Audit!A188))</f>
        <v>XX188</v>
      </c>
      <c r="B189" s="2" t="str">
        <f>_xlfn.TEXTJOIN("-",TRUE,"ITD",Input!$A$2,A189)</f>
        <v>ITD-SHRXXX-XX188</v>
      </c>
      <c r="C189" s="2" t="str" cm="1">
        <f t="array" ref="C189">IFERROR(_xlfn.LET(
_xlpm.CSVVal,_xlfn.XLOOKUP($A189,CSV!$A:$A,CSV!B:B,""),
_xlpm.MacVal,_xlfn.XLOOKUP($A189,Output_Mac!$A:$A,Output_Mac!B:B,""),
_xlpm.MyAuditVal,_xlfn.XLOOKUP($A189,My_Audit!$A:$A,My_Audit!B:B,""),
_xlfn.IFS(_xlpm.MyAuditVal&lt;&gt;"",UPPER(_xlpm.MyAuditVal),_xlpm.MacVal&lt;&gt;"",_xlpm.MacVal,_xlpm.CSVVal&lt;&gt;"",_xlpm.CSVVal
)),"")</f>
        <v/>
      </c>
      <c r="D189" s="2" t="str" cm="1">
        <f t="array" ref="D189">IFERROR(_xlfn.LET(
_xlpm.CSVVal,_xlfn.XLOOKUP($A189,CSV!$A:$A,CSV!D:D,""),
_xlpm.MacVal,_xlfn.XLOOKUP($A189,Output_Mac!$A:$A,Output_Mac!C:C,""),
_xlpm.MyAuditVal,_xlfn.XLOOKUP($A189,My_Audit!$A:$A,My_Audit!C:C,""),
_xlfn.IFS(_xlpm.MyAuditVal&lt;&gt;"",_xlpm.MyAuditVal,_xlpm.MacVal&lt;&gt;"",_xlpm.MacVal,_xlpm.CSVVal&lt;&gt;"",_xlpm.CSVVal
)),"")</f>
        <v/>
      </c>
      <c r="E189" s="2" t="str">
        <f>_xlfn.XLOOKUP(A189,My_Audit!A:A,My_Audit!D:D,"")&amp;""</f>
        <v/>
      </c>
      <c r="F189" s="2" t="str" cm="1">
        <f t="array" ref="F189">IFERROR(_xlfn.LET(
_xlpm.CSVVal,_xlfn.XLOOKUP($A189,CSV!$A:$A,CSV!F:F,""),
_xlpm.MacVal,_xlfn.XLOOKUP($A189,Output_Mac!$A:$A,Output_Mac!E:E,""),
_xlpm.MyAuditVal,_xlfn.XLOOKUP($A189,My_Audit!$A:$A,My_Audit!E:E,""),
_xlfn.IFS(_xlpm.MyAuditVal&lt;&gt;"",_xlpm.MyAuditVal,_xlpm.MacVal&lt;&gt;"",_xlpm.MacVal,_xlpm.CSVVal&lt;&gt;"",_xlpm.CSVVal
)),"")</f>
        <v/>
      </c>
      <c r="G189" s="2" t="str" cm="1">
        <f t="array" ref="G189">IFERROR(_xlfn.LET(
_xlpm.CSVVal,_xlfn.XLOOKUP($A189,CSV!$A:$A,CSV!G:G,""),
_xlpm.MacVal,_xlfn.XLOOKUP($A189,Output_Mac!$A:$A,Output_Mac!F:F,""),
_xlpm.MyAuditVal,_xlfn.XLOOKUP($A189,My_Audit!$A:$A,My_Audit!F:F,""),
_xlfn.IFS(_xlpm.MyAuditVal&lt;&gt;"",_xlpm.MyAuditVal,_xlpm.MacVal&lt;&gt;"",_xlpm.MacVal,_xlpm.CSVVal&lt;&gt;"",PROPER(_xlpm.CSVVal)
)),"")</f>
        <v/>
      </c>
      <c r="H189" s="2" t="str" cm="1">
        <f t="array" ref="H189">IFERROR(_xlfn.LET(
_xlpm.CSVVal,_xlfn.XLOOKUP($A189,CSV!$A:$A,CSV!H:H,""),
_xlpm.MacVal,_xlfn.XLOOKUP($A189,Output_Mac!$A:$A,Output_Mac!H:H,""),
_xlpm.MyAuditVal,_xlfn.XLOOKUP($A189,My_Audit!$A:$A,My_Audit!G:G,""),
_xlfn.IFS(_xlpm.MyAuditVal&lt;&gt;"",_xlpm.MyAuditVal,_xlpm.MacVal&lt;&gt;"",_xlpm.MacVal,_xlpm.CSVVal&lt;&gt;"",_xlpm.CSVVal
)),"")</f>
        <v/>
      </c>
      <c r="I189" s="2" t="str">
        <f>_xlfn.XLOOKUP(A189,Output_Mac!A:A,Output_Mac!I:I,"")</f>
        <v/>
      </c>
      <c r="J189" s="2" t="str" cm="1">
        <f t="array" ref="J189">IFERROR(_xlfn.LET(
_xlpm.CSVVal,_xlfn.XLOOKUP($A189,CSV!$A:$A,CSV!I:I,""),
_xlpm.MacVal,_xlfn.XLOOKUP($A189,Output_Mac!$A:$A,Output_Mac!J:J,""),
_xlpm.MyAuditVal,_xlfn.XLOOKUP($A189,My_Audit!$A:$A,My_Audit!I:I,""),
_xlfn.IFS(_xlpm.MyAuditVal&lt;&gt;"",UPPER(_xlpm.MyAuditVal),_xlpm.MacVal&lt;&gt;"",_xlpm.MacVal,_xlpm.CSVVal&lt;&gt;"",_xlpm.CSVVal
)),"")</f>
        <v/>
      </c>
      <c r="K189" s="2" t="str" cm="1">
        <f t="array" ref="K189">IFERROR(_xlfn.LET(
_xlpm.CSVVal,_xlfn.XLOOKUP($A189,CSV!$A:$A,CSV!K:K,""),
_xlpm.MacVal,_xlfn.XLOOKUP($A189,Output_Mac!$A:$A,Output_Mac!K:K,""),
_xlpm.MyAuditVal,_xlfn.XLOOKUP($A189,My_Audit!$A:$A,My_Audit!J:J,""),
_xlfn.IFS(_xlpm.MyAuditVal&lt;&gt;"",UPPER(_xlpm.MyAuditVal),_xlpm.MacVal&lt;&gt;"",_xlpm.MacVal,_xlpm.CSVVal&lt;&gt;"",_xlpm.CSVVal
)),"")</f>
        <v/>
      </c>
      <c r="L189" s="2" t="str" cm="1">
        <f t="array" ref="L189">IFERROR(_xlfn.LET(
_xlpm.CSVVal,_xlfn.XLOOKUP($A189,CSV!$A:$A,CSV!P:P,""),
_xlpm.MacVal,_xlfn.XLOOKUP($A189,Output_Mac!$A:$A,Output_Mac!L:L,""),
_xlpm.MyAuditVal,_xlfn.XLOOKUP($A189,My_Audit!$A:$A,My_Audit!K:K,""),
_xlfn.IFS(_xlpm.MyAuditVal&lt;&gt;"",UPPER(_xlpm.MyAuditVal),_xlpm.MacVal&lt;&gt;"",_xlpm.MacVal,_xlpm.CSVVal&lt;&gt;"",_xlpm.CSVVal
)),"")</f>
        <v/>
      </c>
      <c r="M189" s="2" t="str" cm="1">
        <f t="array" ref="M189">IFERROR(_xlfn.LET(
_xlpm.CSVVal,_xlfn.XLOOKUP($A189,CSV!$A:$A,CSV!Q:Q,""),
_xlpm.MacVal,_xlfn.XLOOKUP($A189,Output_Mac!$A:$A,Output_Mac!M:M,""),
_xlpm.MyAuditVal,_xlfn.XLOOKUP($A189,My_Audit!$A:$A,My_Audit!L:L,""),
_xlfn.IFS(_xlpm.MyAuditVal&lt;&gt;"",UPPER(_xlpm.MyAuditVal),_xlpm.MacVal&lt;&gt;"",_xlpm.MacVal,_xlpm.CSVVal&lt;&gt;"",_xlpm.CSVVal
)),"")</f>
        <v/>
      </c>
      <c r="O189" s="2" t="str">
        <f>_xlfn.LET(
    _xlpm.CSVVal, _xlfn.XLOOKUP($A189, CSV!$A:$A, CSV!AF:AF, ""),
    _xlpm.MacVal, _xlfn.XLOOKUP($A189, Output_Mac!$A:$A, Output_Mac!S:S, ""),
    _xlpm.MyAuditVal, _xlfn.XLOOKUP($A189, My_Audit!$A:$A, My_Audit!P:P, ""),
    _xlfn.TEXTJOIN(", ", TRUE, _xlpm.MyAuditVal, _xlpm.MacVal, _xlpm.CSVVal)
)</f>
        <v/>
      </c>
      <c r="P189" s="2" t="str" cm="1">
        <f t="array" ref="P189">IFERROR(_xlfn.LET(
_xlpm.CSVVal,_xlfn.XLOOKUP($A189,CSV!$A:$A,CSV!AG:AG,""),
_xlpm.MacVal,_xlfn.XLOOKUP($A189,Output_Mac!$A:$A,Output_Mac!T:T,""),
_xlpm.MyAuditVal,_xlfn.XLOOKUP($A189,My_Audit!$A:$A,My_Audit!Q:Q,""),
_xlfn.IFS(_xlpm.MyAuditVal&lt;&gt;"",UPPER(_xlpm.MyAuditVal),_xlpm.MacVal&lt;&gt;"",_xlpm.MacVal,_xlpm.CSVVal&lt;&gt;"",_xlpm.CSVVal
)),"No")</f>
        <v>No</v>
      </c>
      <c r="Q189" s="2" t="str" cm="1">
        <f t="array" ref="Q189">IFERROR(_xlfn.LET(
_xlpm.CSVVal,_xlfn.XLOOKUP($A189,CSV!$A:$A,CSV!AH:AH,""),
_xlpm.MacVal,_xlfn.XLOOKUP($A189,Output_Mac!$A:$A,Output_Mac!U:U,""),
_xlpm.MyAuditVal,_xlfn.XLOOKUP($A189,My_Audit!$A:$A,My_Audit!R:R,""),
_xlfn.IFS(_xlpm.MyAuditVal&lt;&gt;"",UPPER(_xlpm.MyAuditVal),_xlpm.MacVal&lt;&gt;"",_xlpm.MacVal,_xlpm.CSVVal&lt;&gt;"",_xlpm.CSVVal
)),"")</f>
        <v/>
      </c>
    </row>
    <row r="190" spans="1:17">
      <c r="A190" s="2" t="str">
        <f>_xlfn.TEXTJOIN("",TRUE,Input!$B$2,ROW(My_Audit!A189))</f>
        <v>XX189</v>
      </c>
      <c r="B190" s="2" t="str">
        <f>_xlfn.TEXTJOIN("-",TRUE,"ITD",Input!$A$2,A190)</f>
        <v>ITD-SHRXXX-XX189</v>
      </c>
      <c r="C190" s="2" t="str" cm="1">
        <f t="array" ref="C190">IFERROR(_xlfn.LET(
_xlpm.CSVVal,_xlfn.XLOOKUP($A190,CSV!$A:$A,CSV!B:B,""),
_xlpm.MacVal,_xlfn.XLOOKUP($A190,Output_Mac!$A:$A,Output_Mac!B:B,""),
_xlpm.MyAuditVal,_xlfn.XLOOKUP($A190,My_Audit!$A:$A,My_Audit!B:B,""),
_xlfn.IFS(_xlpm.MyAuditVal&lt;&gt;"",UPPER(_xlpm.MyAuditVal),_xlpm.MacVal&lt;&gt;"",_xlpm.MacVal,_xlpm.CSVVal&lt;&gt;"",_xlpm.CSVVal
)),"")</f>
        <v/>
      </c>
      <c r="D190" s="2" t="str" cm="1">
        <f t="array" ref="D190">IFERROR(_xlfn.LET(
_xlpm.CSVVal,_xlfn.XLOOKUP($A190,CSV!$A:$A,CSV!D:D,""),
_xlpm.MacVal,_xlfn.XLOOKUP($A190,Output_Mac!$A:$A,Output_Mac!C:C,""),
_xlpm.MyAuditVal,_xlfn.XLOOKUP($A190,My_Audit!$A:$A,My_Audit!C:C,""),
_xlfn.IFS(_xlpm.MyAuditVal&lt;&gt;"",_xlpm.MyAuditVal,_xlpm.MacVal&lt;&gt;"",_xlpm.MacVal,_xlpm.CSVVal&lt;&gt;"",_xlpm.CSVVal
)),"")</f>
        <v/>
      </c>
      <c r="E190" s="2" t="str">
        <f>_xlfn.XLOOKUP(A190,My_Audit!A:A,My_Audit!D:D,"")&amp;""</f>
        <v/>
      </c>
      <c r="F190" s="2" t="str" cm="1">
        <f t="array" ref="F190">IFERROR(_xlfn.LET(
_xlpm.CSVVal,_xlfn.XLOOKUP($A190,CSV!$A:$A,CSV!F:F,""),
_xlpm.MacVal,_xlfn.XLOOKUP($A190,Output_Mac!$A:$A,Output_Mac!E:E,""),
_xlpm.MyAuditVal,_xlfn.XLOOKUP($A190,My_Audit!$A:$A,My_Audit!E:E,""),
_xlfn.IFS(_xlpm.MyAuditVal&lt;&gt;"",_xlpm.MyAuditVal,_xlpm.MacVal&lt;&gt;"",_xlpm.MacVal,_xlpm.CSVVal&lt;&gt;"",_xlpm.CSVVal
)),"")</f>
        <v/>
      </c>
      <c r="G190" s="2" t="str" cm="1">
        <f t="array" ref="G190">IFERROR(_xlfn.LET(
_xlpm.CSVVal,_xlfn.XLOOKUP($A190,CSV!$A:$A,CSV!G:G,""),
_xlpm.MacVal,_xlfn.XLOOKUP($A190,Output_Mac!$A:$A,Output_Mac!F:F,""),
_xlpm.MyAuditVal,_xlfn.XLOOKUP($A190,My_Audit!$A:$A,My_Audit!F:F,""),
_xlfn.IFS(_xlpm.MyAuditVal&lt;&gt;"",_xlpm.MyAuditVal,_xlpm.MacVal&lt;&gt;"",_xlpm.MacVal,_xlpm.CSVVal&lt;&gt;"",PROPER(_xlpm.CSVVal)
)),"")</f>
        <v/>
      </c>
      <c r="H190" s="2" t="str" cm="1">
        <f t="array" ref="H190">IFERROR(_xlfn.LET(
_xlpm.CSVVal,_xlfn.XLOOKUP($A190,CSV!$A:$A,CSV!H:H,""),
_xlpm.MacVal,_xlfn.XLOOKUP($A190,Output_Mac!$A:$A,Output_Mac!H:H,""),
_xlpm.MyAuditVal,_xlfn.XLOOKUP($A190,My_Audit!$A:$A,My_Audit!G:G,""),
_xlfn.IFS(_xlpm.MyAuditVal&lt;&gt;"",_xlpm.MyAuditVal,_xlpm.MacVal&lt;&gt;"",_xlpm.MacVal,_xlpm.CSVVal&lt;&gt;"",_xlpm.CSVVal
)),"")</f>
        <v/>
      </c>
      <c r="I190" s="2" t="str">
        <f>_xlfn.XLOOKUP(A190,Output_Mac!A:A,Output_Mac!I:I,"")</f>
        <v/>
      </c>
      <c r="J190" s="2" t="str" cm="1">
        <f t="array" ref="J190">IFERROR(_xlfn.LET(
_xlpm.CSVVal,_xlfn.XLOOKUP($A190,CSV!$A:$A,CSV!I:I,""),
_xlpm.MacVal,_xlfn.XLOOKUP($A190,Output_Mac!$A:$A,Output_Mac!J:J,""),
_xlpm.MyAuditVal,_xlfn.XLOOKUP($A190,My_Audit!$A:$A,My_Audit!I:I,""),
_xlfn.IFS(_xlpm.MyAuditVal&lt;&gt;"",UPPER(_xlpm.MyAuditVal),_xlpm.MacVal&lt;&gt;"",_xlpm.MacVal,_xlpm.CSVVal&lt;&gt;"",_xlpm.CSVVal
)),"")</f>
        <v/>
      </c>
      <c r="K190" s="2" t="str" cm="1">
        <f t="array" ref="K190">IFERROR(_xlfn.LET(
_xlpm.CSVVal,_xlfn.XLOOKUP($A190,CSV!$A:$A,CSV!K:K,""),
_xlpm.MacVal,_xlfn.XLOOKUP($A190,Output_Mac!$A:$A,Output_Mac!K:K,""),
_xlpm.MyAuditVal,_xlfn.XLOOKUP($A190,My_Audit!$A:$A,My_Audit!J:J,""),
_xlfn.IFS(_xlpm.MyAuditVal&lt;&gt;"",UPPER(_xlpm.MyAuditVal),_xlpm.MacVal&lt;&gt;"",_xlpm.MacVal,_xlpm.CSVVal&lt;&gt;"",_xlpm.CSVVal
)),"")</f>
        <v/>
      </c>
      <c r="L190" s="2" t="str" cm="1">
        <f t="array" ref="L190">IFERROR(_xlfn.LET(
_xlpm.CSVVal,_xlfn.XLOOKUP($A190,CSV!$A:$A,CSV!P:P,""),
_xlpm.MacVal,_xlfn.XLOOKUP($A190,Output_Mac!$A:$A,Output_Mac!L:L,""),
_xlpm.MyAuditVal,_xlfn.XLOOKUP($A190,My_Audit!$A:$A,My_Audit!K:K,""),
_xlfn.IFS(_xlpm.MyAuditVal&lt;&gt;"",UPPER(_xlpm.MyAuditVal),_xlpm.MacVal&lt;&gt;"",_xlpm.MacVal,_xlpm.CSVVal&lt;&gt;"",_xlpm.CSVVal
)),"")</f>
        <v/>
      </c>
      <c r="M190" s="2" t="str" cm="1">
        <f t="array" ref="M190">IFERROR(_xlfn.LET(
_xlpm.CSVVal,_xlfn.XLOOKUP($A190,CSV!$A:$A,CSV!Q:Q,""),
_xlpm.MacVal,_xlfn.XLOOKUP($A190,Output_Mac!$A:$A,Output_Mac!M:M,""),
_xlpm.MyAuditVal,_xlfn.XLOOKUP($A190,My_Audit!$A:$A,My_Audit!L:L,""),
_xlfn.IFS(_xlpm.MyAuditVal&lt;&gt;"",UPPER(_xlpm.MyAuditVal),_xlpm.MacVal&lt;&gt;"",_xlpm.MacVal,_xlpm.CSVVal&lt;&gt;"",_xlpm.CSVVal
)),"")</f>
        <v/>
      </c>
      <c r="O190" s="2" t="str">
        <f>_xlfn.LET(
    _xlpm.CSVVal, _xlfn.XLOOKUP($A190, CSV!$A:$A, CSV!AF:AF, ""),
    _xlpm.MacVal, _xlfn.XLOOKUP($A190, Output_Mac!$A:$A, Output_Mac!S:S, ""),
    _xlpm.MyAuditVal, _xlfn.XLOOKUP($A190, My_Audit!$A:$A, My_Audit!P:P, ""),
    _xlfn.TEXTJOIN(", ", TRUE, _xlpm.MyAuditVal, _xlpm.MacVal, _xlpm.CSVVal)
)</f>
        <v/>
      </c>
      <c r="P190" s="2" t="str" cm="1">
        <f t="array" ref="P190">IFERROR(_xlfn.LET(
_xlpm.CSVVal,_xlfn.XLOOKUP($A190,CSV!$A:$A,CSV!AG:AG,""),
_xlpm.MacVal,_xlfn.XLOOKUP($A190,Output_Mac!$A:$A,Output_Mac!T:T,""),
_xlpm.MyAuditVal,_xlfn.XLOOKUP($A190,My_Audit!$A:$A,My_Audit!Q:Q,""),
_xlfn.IFS(_xlpm.MyAuditVal&lt;&gt;"",UPPER(_xlpm.MyAuditVal),_xlpm.MacVal&lt;&gt;"",_xlpm.MacVal,_xlpm.CSVVal&lt;&gt;"",_xlpm.CSVVal
)),"No")</f>
        <v>No</v>
      </c>
      <c r="Q190" s="2" t="str" cm="1">
        <f t="array" ref="Q190">IFERROR(_xlfn.LET(
_xlpm.CSVVal,_xlfn.XLOOKUP($A190,CSV!$A:$A,CSV!AH:AH,""),
_xlpm.MacVal,_xlfn.XLOOKUP($A190,Output_Mac!$A:$A,Output_Mac!U:U,""),
_xlpm.MyAuditVal,_xlfn.XLOOKUP($A190,My_Audit!$A:$A,My_Audit!R:R,""),
_xlfn.IFS(_xlpm.MyAuditVal&lt;&gt;"",UPPER(_xlpm.MyAuditVal),_xlpm.MacVal&lt;&gt;"",_xlpm.MacVal,_xlpm.CSVVal&lt;&gt;"",_xlpm.CSVVal
)),"")</f>
        <v/>
      </c>
    </row>
    <row r="191" spans="1:17">
      <c r="A191" s="2" t="str">
        <f>_xlfn.TEXTJOIN("",TRUE,Input!$B$2,ROW(My_Audit!A190))</f>
        <v>XX190</v>
      </c>
      <c r="B191" s="2" t="str">
        <f>_xlfn.TEXTJOIN("-",TRUE,"ITD",Input!$A$2,A191)</f>
        <v>ITD-SHRXXX-XX190</v>
      </c>
      <c r="C191" s="2" t="str" cm="1">
        <f t="array" ref="C191">IFERROR(_xlfn.LET(
_xlpm.CSVVal,_xlfn.XLOOKUP($A191,CSV!$A:$A,CSV!B:B,""),
_xlpm.MacVal,_xlfn.XLOOKUP($A191,Output_Mac!$A:$A,Output_Mac!B:B,""),
_xlpm.MyAuditVal,_xlfn.XLOOKUP($A191,My_Audit!$A:$A,My_Audit!B:B,""),
_xlfn.IFS(_xlpm.MyAuditVal&lt;&gt;"",UPPER(_xlpm.MyAuditVal),_xlpm.MacVal&lt;&gt;"",_xlpm.MacVal,_xlpm.CSVVal&lt;&gt;"",_xlpm.CSVVal
)),"")</f>
        <v/>
      </c>
      <c r="D191" s="2" t="str" cm="1">
        <f t="array" ref="D191">IFERROR(_xlfn.LET(
_xlpm.CSVVal,_xlfn.XLOOKUP($A191,CSV!$A:$A,CSV!D:D,""),
_xlpm.MacVal,_xlfn.XLOOKUP($A191,Output_Mac!$A:$A,Output_Mac!C:C,""),
_xlpm.MyAuditVal,_xlfn.XLOOKUP($A191,My_Audit!$A:$A,My_Audit!C:C,""),
_xlfn.IFS(_xlpm.MyAuditVal&lt;&gt;"",_xlpm.MyAuditVal,_xlpm.MacVal&lt;&gt;"",_xlpm.MacVal,_xlpm.CSVVal&lt;&gt;"",_xlpm.CSVVal
)),"")</f>
        <v/>
      </c>
      <c r="E191" s="2" t="str">
        <f>_xlfn.XLOOKUP(A191,My_Audit!A:A,My_Audit!D:D,"")&amp;""</f>
        <v/>
      </c>
      <c r="F191" s="2" t="str" cm="1">
        <f t="array" ref="F191">IFERROR(_xlfn.LET(
_xlpm.CSVVal,_xlfn.XLOOKUP($A191,CSV!$A:$A,CSV!F:F,""),
_xlpm.MacVal,_xlfn.XLOOKUP($A191,Output_Mac!$A:$A,Output_Mac!E:E,""),
_xlpm.MyAuditVal,_xlfn.XLOOKUP($A191,My_Audit!$A:$A,My_Audit!E:E,""),
_xlfn.IFS(_xlpm.MyAuditVal&lt;&gt;"",_xlpm.MyAuditVal,_xlpm.MacVal&lt;&gt;"",_xlpm.MacVal,_xlpm.CSVVal&lt;&gt;"",_xlpm.CSVVal
)),"")</f>
        <v/>
      </c>
      <c r="G191" s="2" t="str" cm="1">
        <f t="array" ref="G191">IFERROR(_xlfn.LET(
_xlpm.CSVVal,_xlfn.XLOOKUP($A191,CSV!$A:$A,CSV!G:G,""),
_xlpm.MacVal,_xlfn.XLOOKUP($A191,Output_Mac!$A:$A,Output_Mac!F:F,""),
_xlpm.MyAuditVal,_xlfn.XLOOKUP($A191,My_Audit!$A:$A,My_Audit!F:F,""),
_xlfn.IFS(_xlpm.MyAuditVal&lt;&gt;"",_xlpm.MyAuditVal,_xlpm.MacVal&lt;&gt;"",_xlpm.MacVal,_xlpm.CSVVal&lt;&gt;"",PROPER(_xlpm.CSVVal)
)),"")</f>
        <v/>
      </c>
      <c r="H191" s="2" t="str" cm="1">
        <f t="array" ref="H191">IFERROR(_xlfn.LET(
_xlpm.CSVVal,_xlfn.XLOOKUP($A191,CSV!$A:$A,CSV!H:H,""),
_xlpm.MacVal,_xlfn.XLOOKUP($A191,Output_Mac!$A:$A,Output_Mac!H:H,""),
_xlpm.MyAuditVal,_xlfn.XLOOKUP($A191,My_Audit!$A:$A,My_Audit!G:G,""),
_xlfn.IFS(_xlpm.MyAuditVal&lt;&gt;"",_xlpm.MyAuditVal,_xlpm.MacVal&lt;&gt;"",_xlpm.MacVal,_xlpm.CSVVal&lt;&gt;"",_xlpm.CSVVal
)),"")</f>
        <v/>
      </c>
      <c r="I191" s="2" t="str">
        <f>_xlfn.XLOOKUP(A191,Output_Mac!A:A,Output_Mac!I:I,"")</f>
        <v/>
      </c>
      <c r="J191" s="2" t="str" cm="1">
        <f t="array" ref="J191">IFERROR(_xlfn.LET(
_xlpm.CSVVal,_xlfn.XLOOKUP($A191,CSV!$A:$A,CSV!I:I,""),
_xlpm.MacVal,_xlfn.XLOOKUP($A191,Output_Mac!$A:$A,Output_Mac!J:J,""),
_xlpm.MyAuditVal,_xlfn.XLOOKUP($A191,My_Audit!$A:$A,My_Audit!I:I,""),
_xlfn.IFS(_xlpm.MyAuditVal&lt;&gt;"",UPPER(_xlpm.MyAuditVal),_xlpm.MacVal&lt;&gt;"",_xlpm.MacVal,_xlpm.CSVVal&lt;&gt;"",_xlpm.CSVVal
)),"")</f>
        <v/>
      </c>
      <c r="K191" s="2" t="str" cm="1">
        <f t="array" ref="K191">IFERROR(_xlfn.LET(
_xlpm.CSVVal,_xlfn.XLOOKUP($A191,CSV!$A:$A,CSV!K:K,""),
_xlpm.MacVal,_xlfn.XLOOKUP($A191,Output_Mac!$A:$A,Output_Mac!K:K,""),
_xlpm.MyAuditVal,_xlfn.XLOOKUP($A191,My_Audit!$A:$A,My_Audit!J:J,""),
_xlfn.IFS(_xlpm.MyAuditVal&lt;&gt;"",UPPER(_xlpm.MyAuditVal),_xlpm.MacVal&lt;&gt;"",_xlpm.MacVal,_xlpm.CSVVal&lt;&gt;"",_xlpm.CSVVal
)),"")</f>
        <v/>
      </c>
      <c r="L191" s="2" t="str" cm="1">
        <f t="array" ref="L191">IFERROR(_xlfn.LET(
_xlpm.CSVVal,_xlfn.XLOOKUP($A191,CSV!$A:$A,CSV!P:P,""),
_xlpm.MacVal,_xlfn.XLOOKUP($A191,Output_Mac!$A:$A,Output_Mac!L:L,""),
_xlpm.MyAuditVal,_xlfn.XLOOKUP($A191,My_Audit!$A:$A,My_Audit!K:K,""),
_xlfn.IFS(_xlpm.MyAuditVal&lt;&gt;"",UPPER(_xlpm.MyAuditVal),_xlpm.MacVal&lt;&gt;"",_xlpm.MacVal,_xlpm.CSVVal&lt;&gt;"",_xlpm.CSVVal
)),"")</f>
        <v/>
      </c>
      <c r="M191" s="2" t="str" cm="1">
        <f t="array" ref="M191">IFERROR(_xlfn.LET(
_xlpm.CSVVal,_xlfn.XLOOKUP($A191,CSV!$A:$A,CSV!Q:Q,""),
_xlpm.MacVal,_xlfn.XLOOKUP($A191,Output_Mac!$A:$A,Output_Mac!M:M,""),
_xlpm.MyAuditVal,_xlfn.XLOOKUP($A191,My_Audit!$A:$A,My_Audit!L:L,""),
_xlfn.IFS(_xlpm.MyAuditVal&lt;&gt;"",UPPER(_xlpm.MyAuditVal),_xlpm.MacVal&lt;&gt;"",_xlpm.MacVal,_xlpm.CSVVal&lt;&gt;"",_xlpm.CSVVal
)),"")</f>
        <v/>
      </c>
      <c r="O191" s="2" t="str">
        <f>_xlfn.LET(
    _xlpm.CSVVal, _xlfn.XLOOKUP($A191, CSV!$A:$A, CSV!AF:AF, ""),
    _xlpm.MacVal, _xlfn.XLOOKUP($A191, Output_Mac!$A:$A, Output_Mac!S:S, ""),
    _xlpm.MyAuditVal, _xlfn.XLOOKUP($A191, My_Audit!$A:$A, My_Audit!P:P, ""),
    _xlfn.TEXTJOIN(", ", TRUE, _xlpm.MyAuditVal, _xlpm.MacVal, _xlpm.CSVVal)
)</f>
        <v/>
      </c>
      <c r="P191" s="2" t="str" cm="1">
        <f t="array" ref="P191">IFERROR(_xlfn.LET(
_xlpm.CSVVal,_xlfn.XLOOKUP($A191,CSV!$A:$A,CSV!AG:AG,""),
_xlpm.MacVal,_xlfn.XLOOKUP($A191,Output_Mac!$A:$A,Output_Mac!T:T,""),
_xlpm.MyAuditVal,_xlfn.XLOOKUP($A191,My_Audit!$A:$A,My_Audit!Q:Q,""),
_xlfn.IFS(_xlpm.MyAuditVal&lt;&gt;"",UPPER(_xlpm.MyAuditVal),_xlpm.MacVal&lt;&gt;"",_xlpm.MacVal,_xlpm.CSVVal&lt;&gt;"",_xlpm.CSVVal
)),"No")</f>
        <v>No</v>
      </c>
      <c r="Q191" s="2" t="str" cm="1">
        <f t="array" ref="Q191">IFERROR(_xlfn.LET(
_xlpm.CSVVal,_xlfn.XLOOKUP($A191,CSV!$A:$A,CSV!AH:AH,""),
_xlpm.MacVal,_xlfn.XLOOKUP($A191,Output_Mac!$A:$A,Output_Mac!U:U,""),
_xlpm.MyAuditVal,_xlfn.XLOOKUP($A191,My_Audit!$A:$A,My_Audit!R:R,""),
_xlfn.IFS(_xlpm.MyAuditVal&lt;&gt;"",UPPER(_xlpm.MyAuditVal),_xlpm.MacVal&lt;&gt;"",_xlpm.MacVal,_xlpm.CSVVal&lt;&gt;"",_xlpm.CSVVal
)),"")</f>
        <v/>
      </c>
    </row>
    <row r="192" spans="1:17">
      <c r="A192" s="2" t="str">
        <f>_xlfn.TEXTJOIN("",TRUE,Input!$B$2,ROW(My_Audit!A191))</f>
        <v>XX191</v>
      </c>
      <c r="B192" s="2" t="str">
        <f>_xlfn.TEXTJOIN("-",TRUE,"ITD",Input!$A$2,A192)</f>
        <v>ITD-SHRXXX-XX191</v>
      </c>
      <c r="C192" s="2" t="str" cm="1">
        <f t="array" ref="C192">IFERROR(_xlfn.LET(
_xlpm.CSVVal,_xlfn.XLOOKUP($A192,CSV!$A:$A,CSV!B:B,""),
_xlpm.MacVal,_xlfn.XLOOKUP($A192,Output_Mac!$A:$A,Output_Mac!B:B,""),
_xlpm.MyAuditVal,_xlfn.XLOOKUP($A192,My_Audit!$A:$A,My_Audit!B:B,""),
_xlfn.IFS(_xlpm.MyAuditVal&lt;&gt;"",UPPER(_xlpm.MyAuditVal),_xlpm.MacVal&lt;&gt;"",_xlpm.MacVal,_xlpm.CSVVal&lt;&gt;"",_xlpm.CSVVal
)),"")</f>
        <v/>
      </c>
      <c r="D192" s="2" t="str" cm="1">
        <f t="array" ref="D192">IFERROR(_xlfn.LET(
_xlpm.CSVVal,_xlfn.XLOOKUP($A192,CSV!$A:$A,CSV!D:D,""),
_xlpm.MacVal,_xlfn.XLOOKUP($A192,Output_Mac!$A:$A,Output_Mac!C:C,""),
_xlpm.MyAuditVal,_xlfn.XLOOKUP($A192,My_Audit!$A:$A,My_Audit!C:C,""),
_xlfn.IFS(_xlpm.MyAuditVal&lt;&gt;"",_xlpm.MyAuditVal,_xlpm.MacVal&lt;&gt;"",_xlpm.MacVal,_xlpm.CSVVal&lt;&gt;"",_xlpm.CSVVal
)),"")</f>
        <v/>
      </c>
      <c r="E192" s="2" t="str">
        <f>_xlfn.XLOOKUP(A192,My_Audit!A:A,My_Audit!D:D,"")&amp;""</f>
        <v/>
      </c>
      <c r="F192" s="2" t="str" cm="1">
        <f t="array" ref="F192">IFERROR(_xlfn.LET(
_xlpm.CSVVal,_xlfn.XLOOKUP($A192,CSV!$A:$A,CSV!F:F,""),
_xlpm.MacVal,_xlfn.XLOOKUP($A192,Output_Mac!$A:$A,Output_Mac!E:E,""),
_xlpm.MyAuditVal,_xlfn.XLOOKUP($A192,My_Audit!$A:$A,My_Audit!E:E,""),
_xlfn.IFS(_xlpm.MyAuditVal&lt;&gt;"",_xlpm.MyAuditVal,_xlpm.MacVal&lt;&gt;"",_xlpm.MacVal,_xlpm.CSVVal&lt;&gt;"",_xlpm.CSVVal
)),"")</f>
        <v/>
      </c>
      <c r="G192" s="2" t="str" cm="1">
        <f t="array" ref="G192">IFERROR(_xlfn.LET(
_xlpm.CSVVal,_xlfn.XLOOKUP($A192,CSV!$A:$A,CSV!G:G,""),
_xlpm.MacVal,_xlfn.XLOOKUP($A192,Output_Mac!$A:$A,Output_Mac!F:F,""),
_xlpm.MyAuditVal,_xlfn.XLOOKUP($A192,My_Audit!$A:$A,My_Audit!F:F,""),
_xlfn.IFS(_xlpm.MyAuditVal&lt;&gt;"",_xlpm.MyAuditVal,_xlpm.MacVal&lt;&gt;"",_xlpm.MacVal,_xlpm.CSVVal&lt;&gt;"",PROPER(_xlpm.CSVVal)
)),"")</f>
        <v/>
      </c>
      <c r="H192" s="2" t="str" cm="1">
        <f t="array" ref="H192">IFERROR(_xlfn.LET(
_xlpm.CSVVal,_xlfn.XLOOKUP($A192,CSV!$A:$A,CSV!H:H,""),
_xlpm.MacVal,_xlfn.XLOOKUP($A192,Output_Mac!$A:$A,Output_Mac!H:H,""),
_xlpm.MyAuditVal,_xlfn.XLOOKUP($A192,My_Audit!$A:$A,My_Audit!G:G,""),
_xlfn.IFS(_xlpm.MyAuditVal&lt;&gt;"",_xlpm.MyAuditVal,_xlpm.MacVal&lt;&gt;"",_xlpm.MacVal,_xlpm.CSVVal&lt;&gt;"",_xlpm.CSVVal
)),"")</f>
        <v/>
      </c>
      <c r="I192" s="2" t="str">
        <f>_xlfn.XLOOKUP(A192,Output_Mac!A:A,Output_Mac!I:I,"")</f>
        <v/>
      </c>
      <c r="J192" s="2" t="str" cm="1">
        <f t="array" ref="J192">IFERROR(_xlfn.LET(
_xlpm.CSVVal,_xlfn.XLOOKUP($A192,CSV!$A:$A,CSV!I:I,""),
_xlpm.MacVal,_xlfn.XLOOKUP($A192,Output_Mac!$A:$A,Output_Mac!J:J,""),
_xlpm.MyAuditVal,_xlfn.XLOOKUP($A192,My_Audit!$A:$A,My_Audit!I:I,""),
_xlfn.IFS(_xlpm.MyAuditVal&lt;&gt;"",UPPER(_xlpm.MyAuditVal),_xlpm.MacVal&lt;&gt;"",_xlpm.MacVal,_xlpm.CSVVal&lt;&gt;"",_xlpm.CSVVal
)),"")</f>
        <v/>
      </c>
      <c r="K192" s="2" t="str" cm="1">
        <f t="array" ref="K192">IFERROR(_xlfn.LET(
_xlpm.CSVVal,_xlfn.XLOOKUP($A192,CSV!$A:$A,CSV!K:K,""),
_xlpm.MacVal,_xlfn.XLOOKUP($A192,Output_Mac!$A:$A,Output_Mac!K:K,""),
_xlpm.MyAuditVal,_xlfn.XLOOKUP($A192,My_Audit!$A:$A,My_Audit!J:J,""),
_xlfn.IFS(_xlpm.MyAuditVal&lt;&gt;"",UPPER(_xlpm.MyAuditVal),_xlpm.MacVal&lt;&gt;"",_xlpm.MacVal,_xlpm.CSVVal&lt;&gt;"",_xlpm.CSVVal
)),"")</f>
        <v/>
      </c>
      <c r="L192" s="2" t="str" cm="1">
        <f t="array" ref="L192">IFERROR(_xlfn.LET(
_xlpm.CSVVal,_xlfn.XLOOKUP($A192,CSV!$A:$A,CSV!P:P,""),
_xlpm.MacVal,_xlfn.XLOOKUP($A192,Output_Mac!$A:$A,Output_Mac!L:L,""),
_xlpm.MyAuditVal,_xlfn.XLOOKUP($A192,My_Audit!$A:$A,My_Audit!K:K,""),
_xlfn.IFS(_xlpm.MyAuditVal&lt;&gt;"",UPPER(_xlpm.MyAuditVal),_xlpm.MacVal&lt;&gt;"",_xlpm.MacVal,_xlpm.CSVVal&lt;&gt;"",_xlpm.CSVVal
)),"")</f>
        <v/>
      </c>
      <c r="M192" s="2" t="str" cm="1">
        <f t="array" ref="M192">IFERROR(_xlfn.LET(
_xlpm.CSVVal,_xlfn.XLOOKUP($A192,CSV!$A:$A,CSV!Q:Q,""),
_xlpm.MacVal,_xlfn.XLOOKUP($A192,Output_Mac!$A:$A,Output_Mac!M:M,""),
_xlpm.MyAuditVal,_xlfn.XLOOKUP($A192,My_Audit!$A:$A,My_Audit!L:L,""),
_xlfn.IFS(_xlpm.MyAuditVal&lt;&gt;"",UPPER(_xlpm.MyAuditVal),_xlpm.MacVal&lt;&gt;"",_xlpm.MacVal,_xlpm.CSVVal&lt;&gt;"",_xlpm.CSVVal
)),"")</f>
        <v/>
      </c>
      <c r="O192" s="2" t="str">
        <f>_xlfn.LET(
    _xlpm.CSVVal, _xlfn.XLOOKUP($A192, CSV!$A:$A, CSV!AF:AF, ""),
    _xlpm.MacVal, _xlfn.XLOOKUP($A192, Output_Mac!$A:$A, Output_Mac!S:S, ""),
    _xlpm.MyAuditVal, _xlfn.XLOOKUP($A192, My_Audit!$A:$A, My_Audit!P:P, ""),
    _xlfn.TEXTJOIN(", ", TRUE, _xlpm.MyAuditVal, _xlpm.MacVal, _xlpm.CSVVal)
)</f>
        <v/>
      </c>
      <c r="P192" s="2" t="str" cm="1">
        <f t="array" ref="P192">IFERROR(_xlfn.LET(
_xlpm.CSVVal,_xlfn.XLOOKUP($A192,CSV!$A:$A,CSV!AG:AG,""),
_xlpm.MacVal,_xlfn.XLOOKUP($A192,Output_Mac!$A:$A,Output_Mac!T:T,""),
_xlpm.MyAuditVal,_xlfn.XLOOKUP($A192,My_Audit!$A:$A,My_Audit!Q:Q,""),
_xlfn.IFS(_xlpm.MyAuditVal&lt;&gt;"",UPPER(_xlpm.MyAuditVal),_xlpm.MacVal&lt;&gt;"",_xlpm.MacVal,_xlpm.CSVVal&lt;&gt;"",_xlpm.CSVVal
)),"No")</f>
        <v>No</v>
      </c>
      <c r="Q192" s="2" t="str" cm="1">
        <f t="array" ref="Q192">IFERROR(_xlfn.LET(
_xlpm.CSVVal,_xlfn.XLOOKUP($A192,CSV!$A:$A,CSV!AH:AH,""),
_xlpm.MacVal,_xlfn.XLOOKUP($A192,Output_Mac!$A:$A,Output_Mac!U:U,""),
_xlpm.MyAuditVal,_xlfn.XLOOKUP($A192,My_Audit!$A:$A,My_Audit!R:R,""),
_xlfn.IFS(_xlpm.MyAuditVal&lt;&gt;"",UPPER(_xlpm.MyAuditVal),_xlpm.MacVal&lt;&gt;"",_xlpm.MacVal,_xlpm.CSVVal&lt;&gt;"",_xlpm.CSVVal
)),"")</f>
        <v/>
      </c>
    </row>
    <row r="193" spans="1:17">
      <c r="A193" s="2" t="str">
        <f>_xlfn.TEXTJOIN("",TRUE,Input!$B$2,ROW(My_Audit!A192))</f>
        <v>XX192</v>
      </c>
      <c r="B193" s="2" t="str">
        <f>_xlfn.TEXTJOIN("-",TRUE,"ITD",Input!$A$2,A193)</f>
        <v>ITD-SHRXXX-XX192</v>
      </c>
      <c r="C193" s="2" t="str" cm="1">
        <f t="array" ref="C193">IFERROR(_xlfn.LET(
_xlpm.CSVVal,_xlfn.XLOOKUP($A193,CSV!$A:$A,CSV!B:B,""),
_xlpm.MacVal,_xlfn.XLOOKUP($A193,Output_Mac!$A:$A,Output_Mac!B:B,""),
_xlpm.MyAuditVal,_xlfn.XLOOKUP($A193,My_Audit!$A:$A,My_Audit!B:B,""),
_xlfn.IFS(_xlpm.MyAuditVal&lt;&gt;"",UPPER(_xlpm.MyAuditVal),_xlpm.MacVal&lt;&gt;"",_xlpm.MacVal,_xlpm.CSVVal&lt;&gt;"",_xlpm.CSVVal
)),"")</f>
        <v/>
      </c>
      <c r="D193" s="2" t="str" cm="1">
        <f t="array" ref="D193">IFERROR(_xlfn.LET(
_xlpm.CSVVal,_xlfn.XLOOKUP($A193,CSV!$A:$A,CSV!D:D,""),
_xlpm.MacVal,_xlfn.XLOOKUP($A193,Output_Mac!$A:$A,Output_Mac!C:C,""),
_xlpm.MyAuditVal,_xlfn.XLOOKUP($A193,My_Audit!$A:$A,My_Audit!C:C,""),
_xlfn.IFS(_xlpm.MyAuditVal&lt;&gt;"",_xlpm.MyAuditVal,_xlpm.MacVal&lt;&gt;"",_xlpm.MacVal,_xlpm.CSVVal&lt;&gt;"",_xlpm.CSVVal
)),"")</f>
        <v/>
      </c>
      <c r="E193" s="2" t="str">
        <f>_xlfn.XLOOKUP(A193,My_Audit!A:A,My_Audit!D:D,"")&amp;""</f>
        <v/>
      </c>
      <c r="F193" s="2" t="str" cm="1">
        <f t="array" ref="F193">IFERROR(_xlfn.LET(
_xlpm.CSVVal,_xlfn.XLOOKUP($A193,CSV!$A:$A,CSV!F:F,""),
_xlpm.MacVal,_xlfn.XLOOKUP($A193,Output_Mac!$A:$A,Output_Mac!E:E,""),
_xlpm.MyAuditVal,_xlfn.XLOOKUP($A193,My_Audit!$A:$A,My_Audit!E:E,""),
_xlfn.IFS(_xlpm.MyAuditVal&lt;&gt;"",_xlpm.MyAuditVal,_xlpm.MacVal&lt;&gt;"",_xlpm.MacVal,_xlpm.CSVVal&lt;&gt;"",_xlpm.CSVVal
)),"")</f>
        <v/>
      </c>
      <c r="G193" s="2" t="str" cm="1">
        <f t="array" ref="G193">IFERROR(_xlfn.LET(
_xlpm.CSVVal,_xlfn.XLOOKUP($A193,CSV!$A:$A,CSV!G:G,""),
_xlpm.MacVal,_xlfn.XLOOKUP($A193,Output_Mac!$A:$A,Output_Mac!F:F,""),
_xlpm.MyAuditVal,_xlfn.XLOOKUP($A193,My_Audit!$A:$A,My_Audit!F:F,""),
_xlfn.IFS(_xlpm.MyAuditVal&lt;&gt;"",_xlpm.MyAuditVal,_xlpm.MacVal&lt;&gt;"",_xlpm.MacVal,_xlpm.CSVVal&lt;&gt;"",PROPER(_xlpm.CSVVal)
)),"")</f>
        <v/>
      </c>
      <c r="H193" s="2" t="str" cm="1">
        <f t="array" ref="H193">IFERROR(_xlfn.LET(
_xlpm.CSVVal,_xlfn.XLOOKUP($A193,CSV!$A:$A,CSV!H:H,""),
_xlpm.MacVal,_xlfn.XLOOKUP($A193,Output_Mac!$A:$A,Output_Mac!H:H,""),
_xlpm.MyAuditVal,_xlfn.XLOOKUP($A193,My_Audit!$A:$A,My_Audit!G:G,""),
_xlfn.IFS(_xlpm.MyAuditVal&lt;&gt;"",_xlpm.MyAuditVal,_xlpm.MacVal&lt;&gt;"",_xlpm.MacVal,_xlpm.CSVVal&lt;&gt;"",_xlpm.CSVVal
)),"")</f>
        <v/>
      </c>
      <c r="I193" s="2" t="str">
        <f>_xlfn.XLOOKUP(A193,Output_Mac!A:A,Output_Mac!I:I,"")</f>
        <v/>
      </c>
      <c r="J193" s="2" t="str" cm="1">
        <f t="array" ref="J193">IFERROR(_xlfn.LET(
_xlpm.CSVVal,_xlfn.XLOOKUP($A193,CSV!$A:$A,CSV!I:I,""),
_xlpm.MacVal,_xlfn.XLOOKUP($A193,Output_Mac!$A:$A,Output_Mac!J:J,""),
_xlpm.MyAuditVal,_xlfn.XLOOKUP($A193,My_Audit!$A:$A,My_Audit!I:I,""),
_xlfn.IFS(_xlpm.MyAuditVal&lt;&gt;"",UPPER(_xlpm.MyAuditVal),_xlpm.MacVal&lt;&gt;"",_xlpm.MacVal,_xlpm.CSVVal&lt;&gt;"",_xlpm.CSVVal
)),"")</f>
        <v/>
      </c>
      <c r="K193" s="2" t="str" cm="1">
        <f t="array" ref="K193">IFERROR(_xlfn.LET(
_xlpm.CSVVal,_xlfn.XLOOKUP($A193,CSV!$A:$A,CSV!K:K,""),
_xlpm.MacVal,_xlfn.XLOOKUP($A193,Output_Mac!$A:$A,Output_Mac!K:K,""),
_xlpm.MyAuditVal,_xlfn.XLOOKUP($A193,My_Audit!$A:$A,My_Audit!J:J,""),
_xlfn.IFS(_xlpm.MyAuditVal&lt;&gt;"",UPPER(_xlpm.MyAuditVal),_xlpm.MacVal&lt;&gt;"",_xlpm.MacVal,_xlpm.CSVVal&lt;&gt;"",_xlpm.CSVVal
)),"")</f>
        <v/>
      </c>
      <c r="L193" s="2" t="str" cm="1">
        <f t="array" ref="L193">IFERROR(_xlfn.LET(
_xlpm.CSVVal,_xlfn.XLOOKUP($A193,CSV!$A:$A,CSV!P:P,""),
_xlpm.MacVal,_xlfn.XLOOKUP($A193,Output_Mac!$A:$A,Output_Mac!L:L,""),
_xlpm.MyAuditVal,_xlfn.XLOOKUP($A193,My_Audit!$A:$A,My_Audit!K:K,""),
_xlfn.IFS(_xlpm.MyAuditVal&lt;&gt;"",UPPER(_xlpm.MyAuditVal),_xlpm.MacVal&lt;&gt;"",_xlpm.MacVal,_xlpm.CSVVal&lt;&gt;"",_xlpm.CSVVal
)),"")</f>
        <v/>
      </c>
      <c r="M193" s="2" t="str" cm="1">
        <f t="array" ref="M193">IFERROR(_xlfn.LET(
_xlpm.CSVVal,_xlfn.XLOOKUP($A193,CSV!$A:$A,CSV!Q:Q,""),
_xlpm.MacVal,_xlfn.XLOOKUP($A193,Output_Mac!$A:$A,Output_Mac!M:M,""),
_xlpm.MyAuditVal,_xlfn.XLOOKUP($A193,My_Audit!$A:$A,My_Audit!L:L,""),
_xlfn.IFS(_xlpm.MyAuditVal&lt;&gt;"",UPPER(_xlpm.MyAuditVal),_xlpm.MacVal&lt;&gt;"",_xlpm.MacVal,_xlpm.CSVVal&lt;&gt;"",_xlpm.CSVVal
)),"")</f>
        <v/>
      </c>
      <c r="O193" s="2" t="str">
        <f>_xlfn.LET(
    _xlpm.CSVVal, _xlfn.XLOOKUP($A193, CSV!$A:$A, CSV!AF:AF, ""),
    _xlpm.MacVal, _xlfn.XLOOKUP($A193, Output_Mac!$A:$A, Output_Mac!S:S, ""),
    _xlpm.MyAuditVal, _xlfn.XLOOKUP($A193, My_Audit!$A:$A, My_Audit!P:P, ""),
    _xlfn.TEXTJOIN(", ", TRUE, _xlpm.MyAuditVal, _xlpm.MacVal, _xlpm.CSVVal)
)</f>
        <v/>
      </c>
      <c r="P193" s="2" t="str" cm="1">
        <f t="array" ref="P193">IFERROR(_xlfn.LET(
_xlpm.CSVVal,_xlfn.XLOOKUP($A193,CSV!$A:$A,CSV!AG:AG,""),
_xlpm.MacVal,_xlfn.XLOOKUP($A193,Output_Mac!$A:$A,Output_Mac!T:T,""),
_xlpm.MyAuditVal,_xlfn.XLOOKUP($A193,My_Audit!$A:$A,My_Audit!Q:Q,""),
_xlfn.IFS(_xlpm.MyAuditVal&lt;&gt;"",UPPER(_xlpm.MyAuditVal),_xlpm.MacVal&lt;&gt;"",_xlpm.MacVal,_xlpm.CSVVal&lt;&gt;"",_xlpm.CSVVal
)),"No")</f>
        <v>No</v>
      </c>
      <c r="Q193" s="2" t="str" cm="1">
        <f t="array" ref="Q193">IFERROR(_xlfn.LET(
_xlpm.CSVVal,_xlfn.XLOOKUP($A193,CSV!$A:$A,CSV!AH:AH,""),
_xlpm.MacVal,_xlfn.XLOOKUP($A193,Output_Mac!$A:$A,Output_Mac!U:U,""),
_xlpm.MyAuditVal,_xlfn.XLOOKUP($A193,My_Audit!$A:$A,My_Audit!R:R,""),
_xlfn.IFS(_xlpm.MyAuditVal&lt;&gt;"",UPPER(_xlpm.MyAuditVal),_xlpm.MacVal&lt;&gt;"",_xlpm.MacVal,_xlpm.CSVVal&lt;&gt;"",_xlpm.CSVVal
)),"")</f>
        <v/>
      </c>
    </row>
    <row r="194" spans="1:17">
      <c r="A194" s="2" t="str">
        <f>_xlfn.TEXTJOIN("",TRUE,Input!$B$2,ROW(My_Audit!A193))</f>
        <v>XX193</v>
      </c>
      <c r="B194" s="2" t="str">
        <f>_xlfn.TEXTJOIN("-",TRUE,"ITD",Input!$A$2,A194)</f>
        <v>ITD-SHRXXX-XX193</v>
      </c>
      <c r="C194" s="2" t="str" cm="1">
        <f t="array" ref="C194">IFERROR(_xlfn.LET(
_xlpm.CSVVal,_xlfn.XLOOKUP($A194,CSV!$A:$A,CSV!B:B,""),
_xlpm.MacVal,_xlfn.XLOOKUP($A194,Output_Mac!$A:$A,Output_Mac!B:B,""),
_xlpm.MyAuditVal,_xlfn.XLOOKUP($A194,My_Audit!$A:$A,My_Audit!B:B,""),
_xlfn.IFS(_xlpm.MyAuditVal&lt;&gt;"",UPPER(_xlpm.MyAuditVal),_xlpm.MacVal&lt;&gt;"",_xlpm.MacVal,_xlpm.CSVVal&lt;&gt;"",_xlpm.CSVVal
)),"")</f>
        <v/>
      </c>
      <c r="D194" s="2" t="str" cm="1">
        <f t="array" ref="D194">IFERROR(_xlfn.LET(
_xlpm.CSVVal,_xlfn.XLOOKUP($A194,CSV!$A:$A,CSV!D:D,""),
_xlpm.MacVal,_xlfn.XLOOKUP($A194,Output_Mac!$A:$A,Output_Mac!C:C,""),
_xlpm.MyAuditVal,_xlfn.XLOOKUP($A194,My_Audit!$A:$A,My_Audit!C:C,""),
_xlfn.IFS(_xlpm.MyAuditVal&lt;&gt;"",_xlpm.MyAuditVal,_xlpm.MacVal&lt;&gt;"",_xlpm.MacVal,_xlpm.CSVVal&lt;&gt;"",_xlpm.CSVVal
)),"")</f>
        <v/>
      </c>
      <c r="E194" s="2" t="str">
        <f>_xlfn.XLOOKUP(A194,My_Audit!A:A,My_Audit!D:D,"")&amp;""</f>
        <v/>
      </c>
      <c r="F194" s="2" t="str" cm="1">
        <f t="array" ref="F194">IFERROR(_xlfn.LET(
_xlpm.CSVVal,_xlfn.XLOOKUP($A194,CSV!$A:$A,CSV!F:F,""),
_xlpm.MacVal,_xlfn.XLOOKUP($A194,Output_Mac!$A:$A,Output_Mac!E:E,""),
_xlpm.MyAuditVal,_xlfn.XLOOKUP($A194,My_Audit!$A:$A,My_Audit!E:E,""),
_xlfn.IFS(_xlpm.MyAuditVal&lt;&gt;"",_xlpm.MyAuditVal,_xlpm.MacVal&lt;&gt;"",_xlpm.MacVal,_xlpm.CSVVal&lt;&gt;"",_xlpm.CSVVal
)),"")</f>
        <v/>
      </c>
      <c r="G194" s="2" t="str" cm="1">
        <f t="array" ref="G194">IFERROR(_xlfn.LET(
_xlpm.CSVVal,_xlfn.XLOOKUP($A194,CSV!$A:$A,CSV!G:G,""),
_xlpm.MacVal,_xlfn.XLOOKUP($A194,Output_Mac!$A:$A,Output_Mac!F:F,""),
_xlpm.MyAuditVal,_xlfn.XLOOKUP($A194,My_Audit!$A:$A,My_Audit!F:F,""),
_xlfn.IFS(_xlpm.MyAuditVal&lt;&gt;"",_xlpm.MyAuditVal,_xlpm.MacVal&lt;&gt;"",_xlpm.MacVal,_xlpm.CSVVal&lt;&gt;"",PROPER(_xlpm.CSVVal)
)),"")</f>
        <v/>
      </c>
      <c r="H194" s="2" t="str" cm="1">
        <f t="array" ref="H194">IFERROR(_xlfn.LET(
_xlpm.CSVVal,_xlfn.XLOOKUP($A194,CSV!$A:$A,CSV!H:H,""),
_xlpm.MacVal,_xlfn.XLOOKUP($A194,Output_Mac!$A:$A,Output_Mac!H:H,""),
_xlpm.MyAuditVal,_xlfn.XLOOKUP($A194,My_Audit!$A:$A,My_Audit!G:G,""),
_xlfn.IFS(_xlpm.MyAuditVal&lt;&gt;"",_xlpm.MyAuditVal,_xlpm.MacVal&lt;&gt;"",_xlpm.MacVal,_xlpm.CSVVal&lt;&gt;"",_xlpm.CSVVal
)),"")</f>
        <v/>
      </c>
      <c r="I194" s="2" t="str">
        <f>_xlfn.XLOOKUP(A194,Output_Mac!A:A,Output_Mac!I:I,"")</f>
        <v/>
      </c>
      <c r="J194" s="2" t="str" cm="1">
        <f t="array" ref="J194">IFERROR(_xlfn.LET(
_xlpm.CSVVal,_xlfn.XLOOKUP($A194,CSV!$A:$A,CSV!I:I,""),
_xlpm.MacVal,_xlfn.XLOOKUP($A194,Output_Mac!$A:$A,Output_Mac!J:J,""),
_xlpm.MyAuditVal,_xlfn.XLOOKUP($A194,My_Audit!$A:$A,My_Audit!I:I,""),
_xlfn.IFS(_xlpm.MyAuditVal&lt;&gt;"",UPPER(_xlpm.MyAuditVal),_xlpm.MacVal&lt;&gt;"",_xlpm.MacVal,_xlpm.CSVVal&lt;&gt;"",_xlpm.CSVVal
)),"")</f>
        <v/>
      </c>
      <c r="K194" s="2" t="str" cm="1">
        <f t="array" ref="K194">IFERROR(_xlfn.LET(
_xlpm.CSVVal,_xlfn.XLOOKUP($A194,CSV!$A:$A,CSV!K:K,""),
_xlpm.MacVal,_xlfn.XLOOKUP($A194,Output_Mac!$A:$A,Output_Mac!K:K,""),
_xlpm.MyAuditVal,_xlfn.XLOOKUP($A194,My_Audit!$A:$A,My_Audit!J:J,""),
_xlfn.IFS(_xlpm.MyAuditVal&lt;&gt;"",UPPER(_xlpm.MyAuditVal),_xlpm.MacVal&lt;&gt;"",_xlpm.MacVal,_xlpm.CSVVal&lt;&gt;"",_xlpm.CSVVal
)),"")</f>
        <v/>
      </c>
      <c r="L194" s="2" t="str" cm="1">
        <f t="array" ref="L194">IFERROR(_xlfn.LET(
_xlpm.CSVVal,_xlfn.XLOOKUP($A194,CSV!$A:$A,CSV!P:P,""),
_xlpm.MacVal,_xlfn.XLOOKUP($A194,Output_Mac!$A:$A,Output_Mac!L:L,""),
_xlpm.MyAuditVal,_xlfn.XLOOKUP($A194,My_Audit!$A:$A,My_Audit!K:K,""),
_xlfn.IFS(_xlpm.MyAuditVal&lt;&gt;"",UPPER(_xlpm.MyAuditVal),_xlpm.MacVal&lt;&gt;"",_xlpm.MacVal,_xlpm.CSVVal&lt;&gt;"",_xlpm.CSVVal
)),"")</f>
        <v/>
      </c>
      <c r="M194" s="2" t="str" cm="1">
        <f t="array" ref="M194">IFERROR(_xlfn.LET(
_xlpm.CSVVal,_xlfn.XLOOKUP($A194,CSV!$A:$A,CSV!Q:Q,""),
_xlpm.MacVal,_xlfn.XLOOKUP($A194,Output_Mac!$A:$A,Output_Mac!M:M,""),
_xlpm.MyAuditVal,_xlfn.XLOOKUP($A194,My_Audit!$A:$A,My_Audit!L:L,""),
_xlfn.IFS(_xlpm.MyAuditVal&lt;&gt;"",UPPER(_xlpm.MyAuditVal),_xlpm.MacVal&lt;&gt;"",_xlpm.MacVal,_xlpm.CSVVal&lt;&gt;"",_xlpm.CSVVal
)),"")</f>
        <v/>
      </c>
      <c r="O194" s="2" t="str">
        <f>_xlfn.LET(
    _xlpm.CSVVal, _xlfn.XLOOKUP($A194, CSV!$A:$A, CSV!AF:AF, ""),
    _xlpm.MacVal, _xlfn.XLOOKUP($A194, Output_Mac!$A:$A, Output_Mac!S:S, ""),
    _xlpm.MyAuditVal, _xlfn.XLOOKUP($A194, My_Audit!$A:$A, My_Audit!P:P, ""),
    _xlfn.TEXTJOIN(", ", TRUE, _xlpm.MyAuditVal, _xlpm.MacVal, _xlpm.CSVVal)
)</f>
        <v/>
      </c>
      <c r="P194" s="2" t="str" cm="1">
        <f t="array" ref="P194">IFERROR(_xlfn.LET(
_xlpm.CSVVal,_xlfn.XLOOKUP($A194,CSV!$A:$A,CSV!AG:AG,""),
_xlpm.MacVal,_xlfn.XLOOKUP($A194,Output_Mac!$A:$A,Output_Mac!T:T,""),
_xlpm.MyAuditVal,_xlfn.XLOOKUP($A194,My_Audit!$A:$A,My_Audit!Q:Q,""),
_xlfn.IFS(_xlpm.MyAuditVal&lt;&gt;"",UPPER(_xlpm.MyAuditVal),_xlpm.MacVal&lt;&gt;"",_xlpm.MacVal,_xlpm.CSVVal&lt;&gt;"",_xlpm.CSVVal
)),"No")</f>
        <v>No</v>
      </c>
      <c r="Q194" s="2" t="str" cm="1">
        <f t="array" ref="Q194">IFERROR(_xlfn.LET(
_xlpm.CSVVal,_xlfn.XLOOKUP($A194,CSV!$A:$A,CSV!AH:AH,""),
_xlpm.MacVal,_xlfn.XLOOKUP($A194,Output_Mac!$A:$A,Output_Mac!U:U,""),
_xlpm.MyAuditVal,_xlfn.XLOOKUP($A194,My_Audit!$A:$A,My_Audit!R:R,""),
_xlfn.IFS(_xlpm.MyAuditVal&lt;&gt;"",UPPER(_xlpm.MyAuditVal),_xlpm.MacVal&lt;&gt;"",_xlpm.MacVal,_xlpm.CSVVal&lt;&gt;"",_xlpm.CSVVal
)),"")</f>
        <v/>
      </c>
    </row>
    <row r="195" spans="1:17">
      <c r="A195" s="2" t="str">
        <f>_xlfn.TEXTJOIN("",TRUE,Input!$B$2,ROW(My_Audit!A194))</f>
        <v>XX194</v>
      </c>
      <c r="B195" s="2" t="str">
        <f>_xlfn.TEXTJOIN("-",TRUE,"ITD",Input!$A$2,A195)</f>
        <v>ITD-SHRXXX-XX194</v>
      </c>
      <c r="C195" s="2" t="str" cm="1">
        <f t="array" ref="C195">IFERROR(_xlfn.LET(
_xlpm.CSVVal,_xlfn.XLOOKUP($A195,CSV!$A:$A,CSV!B:B,""),
_xlpm.MacVal,_xlfn.XLOOKUP($A195,Output_Mac!$A:$A,Output_Mac!B:B,""),
_xlpm.MyAuditVal,_xlfn.XLOOKUP($A195,My_Audit!$A:$A,My_Audit!B:B,""),
_xlfn.IFS(_xlpm.MyAuditVal&lt;&gt;"",UPPER(_xlpm.MyAuditVal),_xlpm.MacVal&lt;&gt;"",_xlpm.MacVal,_xlpm.CSVVal&lt;&gt;"",_xlpm.CSVVal
)),"")</f>
        <v/>
      </c>
      <c r="D195" s="2" t="str" cm="1">
        <f t="array" ref="D195">IFERROR(_xlfn.LET(
_xlpm.CSVVal,_xlfn.XLOOKUP($A195,CSV!$A:$A,CSV!D:D,""),
_xlpm.MacVal,_xlfn.XLOOKUP($A195,Output_Mac!$A:$A,Output_Mac!C:C,""),
_xlpm.MyAuditVal,_xlfn.XLOOKUP($A195,My_Audit!$A:$A,My_Audit!C:C,""),
_xlfn.IFS(_xlpm.MyAuditVal&lt;&gt;"",_xlpm.MyAuditVal,_xlpm.MacVal&lt;&gt;"",_xlpm.MacVal,_xlpm.CSVVal&lt;&gt;"",_xlpm.CSVVal
)),"")</f>
        <v/>
      </c>
      <c r="E195" s="2" t="str">
        <f>_xlfn.XLOOKUP(A195,My_Audit!A:A,My_Audit!D:D,"")&amp;""</f>
        <v/>
      </c>
      <c r="F195" s="2" t="str" cm="1">
        <f t="array" ref="F195">IFERROR(_xlfn.LET(
_xlpm.CSVVal,_xlfn.XLOOKUP($A195,CSV!$A:$A,CSV!F:F,""),
_xlpm.MacVal,_xlfn.XLOOKUP($A195,Output_Mac!$A:$A,Output_Mac!E:E,""),
_xlpm.MyAuditVal,_xlfn.XLOOKUP($A195,My_Audit!$A:$A,My_Audit!E:E,""),
_xlfn.IFS(_xlpm.MyAuditVal&lt;&gt;"",_xlpm.MyAuditVal,_xlpm.MacVal&lt;&gt;"",_xlpm.MacVal,_xlpm.CSVVal&lt;&gt;"",_xlpm.CSVVal
)),"")</f>
        <v/>
      </c>
      <c r="G195" s="2" t="str" cm="1">
        <f t="array" ref="G195">IFERROR(_xlfn.LET(
_xlpm.CSVVal,_xlfn.XLOOKUP($A195,CSV!$A:$A,CSV!G:G,""),
_xlpm.MacVal,_xlfn.XLOOKUP($A195,Output_Mac!$A:$A,Output_Mac!F:F,""),
_xlpm.MyAuditVal,_xlfn.XLOOKUP($A195,My_Audit!$A:$A,My_Audit!F:F,""),
_xlfn.IFS(_xlpm.MyAuditVal&lt;&gt;"",_xlpm.MyAuditVal,_xlpm.MacVal&lt;&gt;"",_xlpm.MacVal,_xlpm.CSVVal&lt;&gt;"",PROPER(_xlpm.CSVVal)
)),"")</f>
        <v/>
      </c>
      <c r="H195" s="2" t="str" cm="1">
        <f t="array" ref="H195">IFERROR(_xlfn.LET(
_xlpm.CSVVal,_xlfn.XLOOKUP($A195,CSV!$A:$A,CSV!H:H,""),
_xlpm.MacVal,_xlfn.XLOOKUP($A195,Output_Mac!$A:$A,Output_Mac!H:H,""),
_xlpm.MyAuditVal,_xlfn.XLOOKUP($A195,My_Audit!$A:$A,My_Audit!G:G,""),
_xlfn.IFS(_xlpm.MyAuditVal&lt;&gt;"",_xlpm.MyAuditVal,_xlpm.MacVal&lt;&gt;"",_xlpm.MacVal,_xlpm.CSVVal&lt;&gt;"",_xlpm.CSVVal
)),"")</f>
        <v/>
      </c>
      <c r="I195" s="2" t="str">
        <f>_xlfn.XLOOKUP(A195,Output_Mac!A:A,Output_Mac!I:I,"")</f>
        <v/>
      </c>
      <c r="J195" s="2" t="str" cm="1">
        <f t="array" ref="J195">IFERROR(_xlfn.LET(
_xlpm.CSVVal,_xlfn.XLOOKUP($A195,CSV!$A:$A,CSV!I:I,""),
_xlpm.MacVal,_xlfn.XLOOKUP($A195,Output_Mac!$A:$A,Output_Mac!J:J,""),
_xlpm.MyAuditVal,_xlfn.XLOOKUP($A195,My_Audit!$A:$A,My_Audit!I:I,""),
_xlfn.IFS(_xlpm.MyAuditVal&lt;&gt;"",UPPER(_xlpm.MyAuditVal),_xlpm.MacVal&lt;&gt;"",_xlpm.MacVal,_xlpm.CSVVal&lt;&gt;"",_xlpm.CSVVal
)),"")</f>
        <v/>
      </c>
      <c r="K195" s="2" t="str" cm="1">
        <f t="array" ref="K195">IFERROR(_xlfn.LET(
_xlpm.CSVVal,_xlfn.XLOOKUP($A195,CSV!$A:$A,CSV!K:K,""),
_xlpm.MacVal,_xlfn.XLOOKUP($A195,Output_Mac!$A:$A,Output_Mac!K:K,""),
_xlpm.MyAuditVal,_xlfn.XLOOKUP($A195,My_Audit!$A:$A,My_Audit!J:J,""),
_xlfn.IFS(_xlpm.MyAuditVal&lt;&gt;"",UPPER(_xlpm.MyAuditVal),_xlpm.MacVal&lt;&gt;"",_xlpm.MacVal,_xlpm.CSVVal&lt;&gt;"",_xlpm.CSVVal
)),"")</f>
        <v/>
      </c>
      <c r="L195" s="2" t="str" cm="1">
        <f t="array" ref="L195">IFERROR(_xlfn.LET(
_xlpm.CSVVal,_xlfn.XLOOKUP($A195,CSV!$A:$A,CSV!P:P,""),
_xlpm.MacVal,_xlfn.XLOOKUP($A195,Output_Mac!$A:$A,Output_Mac!L:L,""),
_xlpm.MyAuditVal,_xlfn.XLOOKUP($A195,My_Audit!$A:$A,My_Audit!K:K,""),
_xlfn.IFS(_xlpm.MyAuditVal&lt;&gt;"",UPPER(_xlpm.MyAuditVal),_xlpm.MacVal&lt;&gt;"",_xlpm.MacVal,_xlpm.CSVVal&lt;&gt;"",_xlpm.CSVVal
)),"")</f>
        <v/>
      </c>
      <c r="M195" s="2" t="str" cm="1">
        <f t="array" ref="M195">IFERROR(_xlfn.LET(
_xlpm.CSVVal,_xlfn.XLOOKUP($A195,CSV!$A:$A,CSV!Q:Q,""),
_xlpm.MacVal,_xlfn.XLOOKUP($A195,Output_Mac!$A:$A,Output_Mac!M:M,""),
_xlpm.MyAuditVal,_xlfn.XLOOKUP($A195,My_Audit!$A:$A,My_Audit!L:L,""),
_xlfn.IFS(_xlpm.MyAuditVal&lt;&gt;"",UPPER(_xlpm.MyAuditVal),_xlpm.MacVal&lt;&gt;"",_xlpm.MacVal,_xlpm.CSVVal&lt;&gt;"",_xlpm.CSVVal
)),"")</f>
        <v/>
      </c>
      <c r="O195" s="2" t="str">
        <f>_xlfn.LET(
    _xlpm.CSVVal, _xlfn.XLOOKUP($A195, CSV!$A:$A, CSV!AF:AF, ""),
    _xlpm.MacVal, _xlfn.XLOOKUP($A195, Output_Mac!$A:$A, Output_Mac!S:S, ""),
    _xlpm.MyAuditVal, _xlfn.XLOOKUP($A195, My_Audit!$A:$A, My_Audit!P:P, ""),
    _xlfn.TEXTJOIN(", ", TRUE, _xlpm.MyAuditVal, _xlpm.MacVal, _xlpm.CSVVal)
)</f>
        <v/>
      </c>
      <c r="P195" s="2" t="str" cm="1">
        <f t="array" ref="P195">IFERROR(_xlfn.LET(
_xlpm.CSVVal,_xlfn.XLOOKUP($A195,CSV!$A:$A,CSV!AG:AG,""),
_xlpm.MacVal,_xlfn.XLOOKUP($A195,Output_Mac!$A:$A,Output_Mac!T:T,""),
_xlpm.MyAuditVal,_xlfn.XLOOKUP($A195,My_Audit!$A:$A,My_Audit!Q:Q,""),
_xlfn.IFS(_xlpm.MyAuditVal&lt;&gt;"",UPPER(_xlpm.MyAuditVal),_xlpm.MacVal&lt;&gt;"",_xlpm.MacVal,_xlpm.CSVVal&lt;&gt;"",_xlpm.CSVVal
)),"No")</f>
        <v>No</v>
      </c>
      <c r="Q195" s="2" t="str" cm="1">
        <f t="array" ref="Q195">IFERROR(_xlfn.LET(
_xlpm.CSVVal,_xlfn.XLOOKUP($A195,CSV!$A:$A,CSV!AH:AH,""),
_xlpm.MacVal,_xlfn.XLOOKUP($A195,Output_Mac!$A:$A,Output_Mac!U:U,""),
_xlpm.MyAuditVal,_xlfn.XLOOKUP($A195,My_Audit!$A:$A,My_Audit!R:R,""),
_xlfn.IFS(_xlpm.MyAuditVal&lt;&gt;"",UPPER(_xlpm.MyAuditVal),_xlpm.MacVal&lt;&gt;"",_xlpm.MacVal,_xlpm.CSVVal&lt;&gt;"",_xlpm.CSVVal
)),"")</f>
        <v/>
      </c>
    </row>
    <row r="196" spans="1:17">
      <c r="A196" s="2" t="str">
        <f>_xlfn.TEXTJOIN("",TRUE,Input!$B$2,ROW(My_Audit!A195))</f>
        <v>XX195</v>
      </c>
      <c r="B196" s="2" t="str">
        <f>_xlfn.TEXTJOIN("-",TRUE,"ITD",Input!$A$2,A196)</f>
        <v>ITD-SHRXXX-XX195</v>
      </c>
      <c r="C196" s="2" t="str" cm="1">
        <f t="array" ref="C196">IFERROR(_xlfn.LET(
_xlpm.CSVVal,_xlfn.XLOOKUP($A196,CSV!$A:$A,CSV!B:B,""),
_xlpm.MacVal,_xlfn.XLOOKUP($A196,Output_Mac!$A:$A,Output_Mac!B:B,""),
_xlpm.MyAuditVal,_xlfn.XLOOKUP($A196,My_Audit!$A:$A,My_Audit!B:B,""),
_xlfn.IFS(_xlpm.MyAuditVal&lt;&gt;"",UPPER(_xlpm.MyAuditVal),_xlpm.MacVal&lt;&gt;"",_xlpm.MacVal,_xlpm.CSVVal&lt;&gt;"",_xlpm.CSVVal
)),"")</f>
        <v/>
      </c>
      <c r="D196" s="2" t="str" cm="1">
        <f t="array" ref="D196">IFERROR(_xlfn.LET(
_xlpm.CSVVal,_xlfn.XLOOKUP($A196,CSV!$A:$A,CSV!D:D,""),
_xlpm.MacVal,_xlfn.XLOOKUP($A196,Output_Mac!$A:$A,Output_Mac!C:C,""),
_xlpm.MyAuditVal,_xlfn.XLOOKUP($A196,My_Audit!$A:$A,My_Audit!C:C,""),
_xlfn.IFS(_xlpm.MyAuditVal&lt;&gt;"",_xlpm.MyAuditVal,_xlpm.MacVal&lt;&gt;"",_xlpm.MacVal,_xlpm.CSVVal&lt;&gt;"",_xlpm.CSVVal
)),"")</f>
        <v/>
      </c>
      <c r="E196" s="2" t="str">
        <f>_xlfn.XLOOKUP(A196,My_Audit!A:A,My_Audit!D:D,"")&amp;""</f>
        <v/>
      </c>
      <c r="F196" s="2" t="str" cm="1">
        <f t="array" ref="F196">IFERROR(_xlfn.LET(
_xlpm.CSVVal,_xlfn.XLOOKUP($A196,CSV!$A:$A,CSV!F:F,""),
_xlpm.MacVal,_xlfn.XLOOKUP($A196,Output_Mac!$A:$A,Output_Mac!E:E,""),
_xlpm.MyAuditVal,_xlfn.XLOOKUP($A196,My_Audit!$A:$A,My_Audit!E:E,""),
_xlfn.IFS(_xlpm.MyAuditVal&lt;&gt;"",_xlpm.MyAuditVal,_xlpm.MacVal&lt;&gt;"",_xlpm.MacVal,_xlpm.CSVVal&lt;&gt;"",_xlpm.CSVVal
)),"")</f>
        <v/>
      </c>
      <c r="G196" s="2" t="str" cm="1">
        <f t="array" ref="G196">IFERROR(_xlfn.LET(
_xlpm.CSVVal,_xlfn.XLOOKUP($A196,CSV!$A:$A,CSV!G:G,""),
_xlpm.MacVal,_xlfn.XLOOKUP($A196,Output_Mac!$A:$A,Output_Mac!F:F,""),
_xlpm.MyAuditVal,_xlfn.XLOOKUP($A196,My_Audit!$A:$A,My_Audit!F:F,""),
_xlfn.IFS(_xlpm.MyAuditVal&lt;&gt;"",_xlpm.MyAuditVal,_xlpm.MacVal&lt;&gt;"",_xlpm.MacVal,_xlpm.CSVVal&lt;&gt;"",PROPER(_xlpm.CSVVal)
)),"")</f>
        <v/>
      </c>
      <c r="H196" s="2" t="str" cm="1">
        <f t="array" ref="H196">IFERROR(_xlfn.LET(
_xlpm.CSVVal,_xlfn.XLOOKUP($A196,CSV!$A:$A,CSV!H:H,""),
_xlpm.MacVal,_xlfn.XLOOKUP($A196,Output_Mac!$A:$A,Output_Mac!H:H,""),
_xlpm.MyAuditVal,_xlfn.XLOOKUP($A196,My_Audit!$A:$A,My_Audit!G:G,""),
_xlfn.IFS(_xlpm.MyAuditVal&lt;&gt;"",_xlpm.MyAuditVal,_xlpm.MacVal&lt;&gt;"",_xlpm.MacVal,_xlpm.CSVVal&lt;&gt;"",_xlpm.CSVVal
)),"")</f>
        <v/>
      </c>
      <c r="I196" s="2" t="str">
        <f>_xlfn.XLOOKUP(A196,Output_Mac!A:A,Output_Mac!I:I,"")</f>
        <v/>
      </c>
      <c r="J196" s="2" t="str" cm="1">
        <f t="array" ref="J196">IFERROR(_xlfn.LET(
_xlpm.CSVVal,_xlfn.XLOOKUP($A196,CSV!$A:$A,CSV!I:I,""),
_xlpm.MacVal,_xlfn.XLOOKUP($A196,Output_Mac!$A:$A,Output_Mac!J:J,""),
_xlpm.MyAuditVal,_xlfn.XLOOKUP($A196,My_Audit!$A:$A,My_Audit!I:I,""),
_xlfn.IFS(_xlpm.MyAuditVal&lt;&gt;"",UPPER(_xlpm.MyAuditVal),_xlpm.MacVal&lt;&gt;"",_xlpm.MacVal,_xlpm.CSVVal&lt;&gt;"",_xlpm.CSVVal
)),"")</f>
        <v/>
      </c>
      <c r="K196" s="2" t="str" cm="1">
        <f t="array" ref="K196">IFERROR(_xlfn.LET(
_xlpm.CSVVal,_xlfn.XLOOKUP($A196,CSV!$A:$A,CSV!K:K,""),
_xlpm.MacVal,_xlfn.XLOOKUP($A196,Output_Mac!$A:$A,Output_Mac!K:K,""),
_xlpm.MyAuditVal,_xlfn.XLOOKUP($A196,My_Audit!$A:$A,My_Audit!J:J,""),
_xlfn.IFS(_xlpm.MyAuditVal&lt;&gt;"",UPPER(_xlpm.MyAuditVal),_xlpm.MacVal&lt;&gt;"",_xlpm.MacVal,_xlpm.CSVVal&lt;&gt;"",_xlpm.CSVVal
)),"")</f>
        <v/>
      </c>
      <c r="L196" s="2" t="str" cm="1">
        <f t="array" ref="L196">IFERROR(_xlfn.LET(
_xlpm.CSVVal,_xlfn.XLOOKUP($A196,CSV!$A:$A,CSV!P:P,""),
_xlpm.MacVal,_xlfn.XLOOKUP($A196,Output_Mac!$A:$A,Output_Mac!L:L,""),
_xlpm.MyAuditVal,_xlfn.XLOOKUP($A196,My_Audit!$A:$A,My_Audit!K:K,""),
_xlfn.IFS(_xlpm.MyAuditVal&lt;&gt;"",UPPER(_xlpm.MyAuditVal),_xlpm.MacVal&lt;&gt;"",_xlpm.MacVal,_xlpm.CSVVal&lt;&gt;"",_xlpm.CSVVal
)),"")</f>
        <v/>
      </c>
      <c r="M196" s="2" t="str" cm="1">
        <f t="array" ref="M196">IFERROR(_xlfn.LET(
_xlpm.CSVVal,_xlfn.XLOOKUP($A196,CSV!$A:$A,CSV!Q:Q,""),
_xlpm.MacVal,_xlfn.XLOOKUP($A196,Output_Mac!$A:$A,Output_Mac!M:M,""),
_xlpm.MyAuditVal,_xlfn.XLOOKUP($A196,My_Audit!$A:$A,My_Audit!L:L,""),
_xlfn.IFS(_xlpm.MyAuditVal&lt;&gt;"",UPPER(_xlpm.MyAuditVal),_xlpm.MacVal&lt;&gt;"",_xlpm.MacVal,_xlpm.CSVVal&lt;&gt;"",_xlpm.CSVVal
)),"")</f>
        <v/>
      </c>
      <c r="O196" s="2" t="str">
        <f>_xlfn.LET(
    _xlpm.CSVVal, _xlfn.XLOOKUP($A196, CSV!$A:$A, CSV!AF:AF, ""),
    _xlpm.MacVal, _xlfn.XLOOKUP($A196, Output_Mac!$A:$A, Output_Mac!S:S, ""),
    _xlpm.MyAuditVal, _xlfn.XLOOKUP($A196, My_Audit!$A:$A, My_Audit!P:P, ""),
    _xlfn.TEXTJOIN(", ", TRUE, _xlpm.MyAuditVal, _xlpm.MacVal, _xlpm.CSVVal)
)</f>
        <v/>
      </c>
      <c r="P196" s="2" t="str" cm="1">
        <f t="array" ref="P196">IFERROR(_xlfn.LET(
_xlpm.CSVVal,_xlfn.XLOOKUP($A196,CSV!$A:$A,CSV!AG:AG,""),
_xlpm.MacVal,_xlfn.XLOOKUP($A196,Output_Mac!$A:$A,Output_Mac!T:T,""),
_xlpm.MyAuditVal,_xlfn.XLOOKUP($A196,My_Audit!$A:$A,My_Audit!Q:Q,""),
_xlfn.IFS(_xlpm.MyAuditVal&lt;&gt;"",UPPER(_xlpm.MyAuditVal),_xlpm.MacVal&lt;&gt;"",_xlpm.MacVal,_xlpm.CSVVal&lt;&gt;"",_xlpm.CSVVal
)),"No")</f>
        <v>No</v>
      </c>
      <c r="Q196" s="2" t="str" cm="1">
        <f t="array" ref="Q196">IFERROR(_xlfn.LET(
_xlpm.CSVVal,_xlfn.XLOOKUP($A196,CSV!$A:$A,CSV!AH:AH,""),
_xlpm.MacVal,_xlfn.XLOOKUP($A196,Output_Mac!$A:$A,Output_Mac!U:U,""),
_xlpm.MyAuditVal,_xlfn.XLOOKUP($A196,My_Audit!$A:$A,My_Audit!R:R,""),
_xlfn.IFS(_xlpm.MyAuditVal&lt;&gt;"",UPPER(_xlpm.MyAuditVal),_xlpm.MacVal&lt;&gt;"",_xlpm.MacVal,_xlpm.CSVVal&lt;&gt;"",_xlpm.CSVVal
)),"")</f>
        <v/>
      </c>
    </row>
    <row r="197" spans="1:17">
      <c r="A197" s="2" t="str">
        <f>_xlfn.TEXTJOIN("",TRUE,Input!$B$2,ROW(My_Audit!A196))</f>
        <v>XX196</v>
      </c>
      <c r="B197" s="2" t="str">
        <f>_xlfn.TEXTJOIN("-",TRUE,"ITD",Input!$A$2,A197)</f>
        <v>ITD-SHRXXX-XX196</v>
      </c>
      <c r="C197" s="2" t="str" cm="1">
        <f t="array" ref="C197">IFERROR(_xlfn.LET(
_xlpm.CSVVal,_xlfn.XLOOKUP($A197,CSV!$A:$A,CSV!B:B,""),
_xlpm.MacVal,_xlfn.XLOOKUP($A197,Output_Mac!$A:$A,Output_Mac!B:B,""),
_xlpm.MyAuditVal,_xlfn.XLOOKUP($A197,My_Audit!$A:$A,My_Audit!B:B,""),
_xlfn.IFS(_xlpm.MyAuditVal&lt;&gt;"",UPPER(_xlpm.MyAuditVal),_xlpm.MacVal&lt;&gt;"",_xlpm.MacVal,_xlpm.CSVVal&lt;&gt;"",_xlpm.CSVVal
)),"")</f>
        <v/>
      </c>
      <c r="D197" s="2" t="str" cm="1">
        <f t="array" ref="D197">IFERROR(_xlfn.LET(
_xlpm.CSVVal,_xlfn.XLOOKUP($A197,CSV!$A:$A,CSV!D:D,""),
_xlpm.MacVal,_xlfn.XLOOKUP($A197,Output_Mac!$A:$A,Output_Mac!C:C,""),
_xlpm.MyAuditVal,_xlfn.XLOOKUP($A197,My_Audit!$A:$A,My_Audit!C:C,""),
_xlfn.IFS(_xlpm.MyAuditVal&lt;&gt;"",_xlpm.MyAuditVal,_xlpm.MacVal&lt;&gt;"",_xlpm.MacVal,_xlpm.CSVVal&lt;&gt;"",_xlpm.CSVVal
)),"")</f>
        <v/>
      </c>
      <c r="E197" s="2" t="str">
        <f>_xlfn.XLOOKUP(A197,My_Audit!A:A,My_Audit!D:D,"")&amp;""</f>
        <v/>
      </c>
      <c r="F197" s="2" t="str" cm="1">
        <f t="array" ref="F197">IFERROR(_xlfn.LET(
_xlpm.CSVVal,_xlfn.XLOOKUP($A197,CSV!$A:$A,CSV!F:F,""),
_xlpm.MacVal,_xlfn.XLOOKUP($A197,Output_Mac!$A:$A,Output_Mac!E:E,""),
_xlpm.MyAuditVal,_xlfn.XLOOKUP($A197,My_Audit!$A:$A,My_Audit!E:E,""),
_xlfn.IFS(_xlpm.MyAuditVal&lt;&gt;"",_xlpm.MyAuditVal,_xlpm.MacVal&lt;&gt;"",_xlpm.MacVal,_xlpm.CSVVal&lt;&gt;"",_xlpm.CSVVal
)),"")</f>
        <v/>
      </c>
      <c r="G197" s="2" t="str" cm="1">
        <f t="array" ref="G197">IFERROR(_xlfn.LET(
_xlpm.CSVVal,_xlfn.XLOOKUP($A197,CSV!$A:$A,CSV!G:G,""),
_xlpm.MacVal,_xlfn.XLOOKUP($A197,Output_Mac!$A:$A,Output_Mac!F:F,""),
_xlpm.MyAuditVal,_xlfn.XLOOKUP($A197,My_Audit!$A:$A,My_Audit!F:F,""),
_xlfn.IFS(_xlpm.MyAuditVal&lt;&gt;"",_xlpm.MyAuditVal,_xlpm.MacVal&lt;&gt;"",_xlpm.MacVal,_xlpm.CSVVal&lt;&gt;"",PROPER(_xlpm.CSVVal)
)),"")</f>
        <v/>
      </c>
      <c r="H197" s="2" t="str" cm="1">
        <f t="array" ref="H197">IFERROR(_xlfn.LET(
_xlpm.CSVVal,_xlfn.XLOOKUP($A197,CSV!$A:$A,CSV!H:H,""),
_xlpm.MacVal,_xlfn.XLOOKUP($A197,Output_Mac!$A:$A,Output_Mac!H:H,""),
_xlpm.MyAuditVal,_xlfn.XLOOKUP($A197,My_Audit!$A:$A,My_Audit!G:G,""),
_xlfn.IFS(_xlpm.MyAuditVal&lt;&gt;"",_xlpm.MyAuditVal,_xlpm.MacVal&lt;&gt;"",_xlpm.MacVal,_xlpm.CSVVal&lt;&gt;"",_xlpm.CSVVal
)),"")</f>
        <v/>
      </c>
      <c r="I197" s="2" t="str">
        <f>_xlfn.XLOOKUP(A197,Output_Mac!A:A,Output_Mac!I:I,"")</f>
        <v/>
      </c>
      <c r="J197" s="2" t="str" cm="1">
        <f t="array" ref="J197">IFERROR(_xlfn.LET(
_xlpm.CSVVal,_xlfn.XLOOKUP($A197,CSV!$A:$A,CSV!I:I,""),
_xlpm.MacVal,_xlfn.XLOOKUP($A197,Output_Mac!$A:$A,Output_Mac!J:J,""),
_xlpm.MyAuditVal,_xlfn.XLOOKUP($A197,My_Audit!$A:$A,My_Audit!I:I,""),
_xlfn.IFS(_xlpm.MyAuditVal&lt;&gt;"",UPPER(_xlpm.MyAuditVal),_xlpm.MacVal&lt;&gt;"",_xlpm.MacVal,_xlpm.CSVVal&lt;&gt;"",_xlpm.CSVVal
)),"")</f>
        <v/>
      </c>
      <c r="K197" s="2" t="str" cm="1">
        <f t="array" ref="K197">IFERROR(_xlfn.LET(
_xlpm.CSVVal,_xlfn.XLOOKUP($A197,CSV!$A:$A,CSV!K:K,""),
_xlpm.MacVal,_xlfn.XLOOKUP($A197,Output_Mac!$A:$A,Output_Mac!K:K,""),
_xlpm.MyAuditVal,_xlfn.XLOOKUP($A197,My_Audit!$A:$A,My_Audit!J:J,""),
_xlfn.IFS(_xlpm.MyAuditVal&lt;&gt;"",UPPER(_xlpm.MyAuditVal),_xlpm.MacVal&lt;&gt;"",_xlpm.MacVal,_xlpm.CSVVal&lt;&gt;"",_xlpm.CSVVal
)),"")</f>
        <v/>
      </c>
      <c r="L197" s="2" t="str" cm="1">
        <f t="array" ref="L197">IFERROR(_xlfn.LET(
_xlpm.CSVVal,_xlfn.XLOOKUP($A197,CSV!$A:$A,CSV!P:P,""),
_xlpm.MacVal,_xlfn.XLOOKUP($A197,Output_Mac!$A:$A,Output_Mac!L:L,""),
_xlpm.MyAuditVal,_xlfn.XLOOKUP($A197,My_Audit!$A:$A,My_Audit!K:K,""),
_xlfn.IFS(_xlpm.MyAuditVal&lt;&gt;"",UPPER(_xlpm.MyAuditVal),_xlpm.MacVal&lt;&gt;"",_xlpm.MacVal,_xlpm.CSVVal&lt;&gt;"",_xlpm.CSVVal
)),"")</f>
        <v/>
      </c>
      <c r="M197" s="2" t="str" cm="1">
        <f t="array" ref="M197">IFERROR(_xlfn.LET(
_xlpm.CSVVal,_xlfn.XLOOKUP($A197,CSV!$A:$A,CSV!Q:Q,""),
_xlpm.MacVal,_xlfn.XLOOKUP($A197,Output_Mac!$A:$A,Output_Mac!M:M,""),
_xlpm.MyAuditVal,_xlfn.XLOOKUP($A197,My_Audit!$A:$A,My_Audit!L:L,""),
_xlfn.IFS(_xlpm.MyAuditVal&lt;&gt;"",UPPER(_xlpm.MyAuditVal),_xlpm.MacVal&lt;&gt;"",_xlpm.MacVal,_xlpm.CSVVal&lt;&gt;"",_xlpm.CSVVal
)),"")</f>
        <v/>
      </c>
      <c r="O197" s="2" t="str">
        <f>_xlfn.LET(
    _xlpm.CSVVal, _xlfn.XLOOKUP($A197, CSV!$A:$A, CSV!AF:AF, ""),
    _xlpm.MacVal, _xlfn.XLOOKUP($A197, Output_Mac!$A:$A, Output_Mac!S:S, ""),
    _xlpm.MyAuditVal, _xlfn.XLOOKUP($A197, My_Audit!$A:$A, My_Audit!P:P, ""),
    _xlfn.TEXTJOIN(", ", TRUE, _xlpm.MyAuditVal, _xlpm.MacVal, _xlpm.CSVVal)
)</f>
        <v/>
      </c>
      <c r="P197" s="2" t="str" cm="1">
        <f t="array" ref="P197">IFERROR(_xlfn.LET(
_xlpm.CSVVal,_xlfn.XLOOKUP($A197,CSV!$A:$A,CSV!AG:AG,""),
_xlpm.MacVal,_xlfn.XLOOKUP($A197,Output_Mac!$A:$A,Output_Mac!T:T,""),
_xlpm.MyAuditVal,_xlfn.XLOOKUP($A197,My_Audit!$A:$A,My_Audit!Q:Q,""),
_xlfn.IFS(_xlpm.MyAuditVal&lt;&gt;"",UPPER(_xlpm.MyAuditVal),_xlpm.MacVal&lt;&gt;"",_xlpm.MacVal,_xlpm.CSVVal&lt;&gt;"",_xlpm.CSVVal
)),"No")</f>
        <v>No</v>
      </c>
      <c r="Q197" s="2" t="str" cm="1">
        <f t="array" ref="Q197">IFERROR(_xlfn.LET(
_xlpm.CSVVal,_xlfn.XLOOKUP($A197,CSV!$A:$A,CSV!AH:AH,""),
_xlpm.MacVal,_xlfn.XLOOKUP($A197,Output_Mac!$A:$A,Output_Mac!U:U,""),
_xlpm.MyAuditVal,_xlfn.XLOOKUP($A197,My_Audit!$A:$A,My_Audit!R:R,""),
_xlfn.IFS(_xlpm.MyAuditVal&lt;&gt;"",UPPER(_xlpm.MyAuditVal),_xlpm.MacVal&lt;&gt;"",_xlpm.MacVal,_xlpm.CSVVal&lt;&gt;"",_xlpm.CSVVal
)),"")</f>
        <v/>
      </c>
    </row>
    <row r="198" spans="1:17">
      <c r="A198" s="2" t="str">
        <f>_xlfn.TEXTJOIN("",TRUE,Input!$B$2,ROW(My_Audit!A197))</f>
        <v>XX197</v>
      </c>
      <c r="B198" s="2" t="str">
        <f>_xlfn.TEXTJOIN("-",TRUE,"ITD",Input!$A$2,A198)</f>
        <v>ITD-SHRXXX-XX197</v>
      </c>
      <c r="C198" s="2" t="str" cm="1">
        <f t="array" ref="C198">IFERROR(_xlfn.LET(
_xlpm.CSVVal,_xlfn.XLOOKUP($A198,CSV!$A:$A,CSV!B:B,""),
_xlpm.MacVal,_xlfn.XLOOKUP($A198,Output_Mac!$A:$A,Output_Mac!B:B,""),
_xlpm.MyAuditVal,_xlfn.XLOOKUP($A198,My_Audit!$A:$A,My_Audit!B:B,""),
_xlfn.IFS(_xlpm.MyAuditVal&lt;&gt;"",UPPER(_xlpm.MyAuditVal),_xlpm.MacVal&lt;&gt;"",_xlpm.MacVal,_xlpm.CSVVal&lt;&gt;"",_xlpm.CSVVal
)),"")</f>
        <v/>
      </c>
      <c r="D198" s="2" t="str" cm="1">
        <f t="array" ref="D198">IFERROR(_xlfn.LET(
_xlpm.CSVVal,_xlfn.XLOOKUP($A198,CSV!$A:$A,CSV!D:D,""),
_xlpm.MacVal,_xlfn.XLOOKUP($A198,Output_Mac!$A:$A,Output_Mac!C:C,""),
_xlpm.MyAuditVal,_xlfn.XLOOKUP($A198,My_Audit!$A:$A,My_Audit!C:C,""),
_xlfn.IFS(_xlpm.MyAuditVal&lt;&gt;"",_xlpm.MyAuditVal,_xlpm.MacVal&lt;&gt;"",_xlpm.MacVal,_xlpm.CSVVal&lt;&gt;"",_xlpm.CSVVal
)),"")</f>
        <v/>
      </c>
      <c r="E198" s="2" t="str">
        <f>_xlfn.XLOOKUP(A198,My_Audit!A:A,My_Audit!D:D,"")&amp;""</f>
        <v/>
      </c>
      <c r="F198" s="2" t="str" cm="1">
        <f t="array" ref="F198">IFERROR(_xlfn.LET(
_xlpm.CSVVal,_xlfn.XLOOKUP($A198,CSV!$A:$A,CSV!F:F,""),
_xlpm.MacVal,_xlfn.XLOOKUP($A198,Output_Mac!$A:$A,Output_Mac!E:E,""),
_xlpm.MyAuditVal,_xlfn.XLOOKUP($A198,My_Audit!$A:$A,My_Audit!E:E,""),
_xlfn.IFS(_xlpm.MyAuditVal&lt;&gt;"",_xlpm.MyAuditVal,_xlpm.MacVal&lt;&gt;"",_xlpm.MacVal,_xlpm.CSVVal&lt;&gt;"",_xlpm.CSVVal
)),"")</f>
        <v/>
      </c>
      <c r="G198" s="2" t="str" cm="1">
        <f t="array" ref="G198">IFERROR(_xlfn.LET(
_xlpm.CSVVal,_xlfn.XLOOKUP($A198,CSV!$A:$A,CSV!G:G,""),
_xlpm.MacVal,_xlfn.XLOOKUP($A198,Output_Mac!$A:$A,Output_Mac!F:F,""),
_xlpm.MyAuditVal,_xlfn.XLOOKUP($A198,My_Audit!$A:$A,My_Audit!F:F,""),
_xlfn.IFS(_xlpm.MyAuditVal&lt;&gt;"",_xlpm.MyAuditVal,_xlpm.MacVal&lt;&gt;"",_xlpm.MacVal,_xlpm.CSVVal&lt;&gt;"",PROPER(_xlpm.CSVVal)
)),"")</f>
        <v/>
      </c>
      <c r="H198" s="2" t="str" cm="1">
        <f t="array" ref="H198">IFERROR(_xlfn.LET(
_xlpm.CSVVal,_xlfn.XLOOKUP($A198,CSV!$A:$A,CSV!H:H,""),
_xlpm.MacVal,_xlfn.XLOOKUP($A198,Output_Mac!$A:$A,Output_Mac!H:H,""),
_xlpm.MyAuditVal,_xlfn.XLOOKUP($A198,My_Audit!$A:$A,My_Audit!G:G,""),
_xlfn.IFS(_xlpm.MyAuditVal&lt;&gt;"",_xlpm.MyAuditVal,_xlpm.MacVal&lt;&gt;"",_xlpm.MacVal,_xlpm.CSVVal&lt;&gt;"",_xlpm.CSVVal
)),"")</f>
        <v/>
      </c>
      <c r="I198" s="2" t="str">
        <f>_xlfn.XLOOKUP(A198,Output_Mac!A:A,Output_Mac!I:I,"")</f>
        <v/>
      </c>
      <c r="J198" s="2" t="str" cm="1">
        <f t="array" ref="J198">IFERROR(_xlfn.LET(
_xlpm.CSVVal,_xlfn.XLOOKUP($A198,CSV!$A:$A,CSV!I:I,""),
_xlpm.MacVal,_xlfn.XLOOKUP($A198,Output_Mac!$A:$A,Output_Mac!J:J,""),
_xlpm.MyAuditVal,_xlfn.XLOOKUP($A198,My_Audit!$A:$A,My_Audit!I:I,""),
_xlfn.IFS(_xlpm.MyAuditVal&lt;&gt;"",UPPER(_xlpm.MyAuditVal),_xlpm.MacVal&lt;&gt;"",_xlpm.MacVal,_xlpm.CSVVal&lt;&gt;"",_xlpm.CSVVal
)),"")</f>
        <v/>
      </c>
      <c r="K198" s="2" t="str" cm="1">
        <f t="array" ref="K198">IFERROR(_xlfn.LET(
_xlpm.CSVVal,_xlfn.XLOOKUP($A198,CSV!$A:$A,CSV!K:K,""),
_xlpm.MacVal,_xlfn.XLOOKUP($A198,Output_Mac!$A:$A,Output_Mac!K:K,""),
_xlpm.MyAuditVal,_xlfn.XLOOKUP($A198,My_Audit!$A:$A,My_Audit!J:J,""),
_xlfn.IFS(_xlpm.MyAuditVal&lt;&gt;"",UPPER(_xlpm.MyAuditVal),_xlpm.MacVal&lt;&gt;"",_xlpm.MacVal,_xlpm.CSVVal&lt;&gt;"",_xlpm.CSVVal
)),"")</f>
        <v/>
      </c>
      <c r="L198" s="2" t="str" cm="1">
        <f t="array" ref="L198">IFERROR(_xlfn.LET(
_xlpm.CSVVal,_xlfn.XLOOKUP($A198,CSV!$A:$A,CSV!P:P,""),
_xlpm.MacVal,_xlfn.XLOOKUP($A198,Output_Mac!$A:$A,Output_Mac!L:L,""),
_xlpm.MyAuditVal,_xlfn.XLOOKUP($A198,My_Audit!$A:$A,My_Audit!K:K,""),
_xlfn.IFS(_xlpm.MyAuditVal&lt;&gt;"",UPPER(_xlpm.MyAuditVal),_xlpm.MacVal&lt;&gt;"",_xlpm.MacVal,_xlpm.CSVVal&lt;&gt;"",_xlpm.CSVVal
)),"")</f>
        <v/>
      </c>
      <c r="M198" s="2" t="str" cm="1">
        <f t="array" ref="M198">IFERROR(_xlfn.LET(
_xlpm.CSVVal,_xlfn.XLOOKUP($A198,CSV!$A:$A,CSV!Q:Q,""),
_xlpm.MacVal,_xlfn.XLOOKUP($A198,Output_Mac!$A:$A,Output_Mac!M:M,""),
_xlpm.MyAuditVal,_xlfn.XLOOKUP($A198,My_Audit!$A:$A,My_Audit!L:L,""),
_xlfn.IFS(_xlpm.MyAuditVal&lt;&gt;"",UPPER(_xlpm.MyAuditVal),_xlpm.MacVal&lt;&gt;"",_xlpm.MacVal,_xlpm.CSVVal&lt;&gt;"",_xlpm.CSVVal
)),"")</f>
        <v/>
      </c>
      <c r="O198" s="2" t="str">
        <f>_xlfn.LET(
    _xlpm.CSVVal, _xlfn.XLOOKUP($A198, CSV!$A:$A, CSV!AF:AF, ""),
    _xlpm.MacVal, _xlfn.XLOOKUP($A198, Output_Mac!$A:$A, Output_Mac!S:S, ""),
    _xlpm.MyAuditVal, _xlfn.XLOOKUP($A198, My_Audit!$A:$A, My_Audit!P:P, ""),
    _xlfn.TEXTJOIN(", ", TRUE, _xlpm.MyAuditVal, _xlpm.MacVal, _xlpm.CSVVal)
)</f>
        <v/>
      </c>
      <c r="P198" s="2" t="str" cm="1">
        <f t="array" ref="P198">IFERROR(_xlfn.LET(
_xlpm.CSVVal,_xlfn.XLOOKUP($A198,CSV!$A:$A,CSV!AG:AG,""),
_xlpm.MacVal,_xlfn.XLOOKUP($A198,Output_Mac!$A:$A,Output_Mac!T:T,""),
_xlpm.MyAuditVal,_xlfn.XLOOKUP($A198,My_Audit!$A:$A,My_Audit!Q:Q,""),
_xlfn.IFS(_xlpm.MyAuditVal&lt;&gt;"",UPPER(_xlpm.MyAuditVal),_xlpm.MacVal&lt;&gt;"",_xlpm.MacVal,_xlpm.CSVVal&lt;&gt;"",_xlpm.CSVVal
)),"No")</f>
        <v>No</v>
      </c>
      <c r="Q198" s="2" t="str" cm="1">
        <f t="array" ref="Q198">IFERROR(_xlfn.LET(
_xlpm.CSVVal,_xlfn.XLOOKUP($A198,CSV!$A:$A,CSV!AH:AH,""),
_xlpm.MacVal,_xlfn.XLOOKUP($A198,Output_Mac!$A:$A,Output_Mac!U:U,""),
_xlpm.MyAuditVal,_xlfn.XLOOKUP($A198,My_Audit!$A:$A,My_Audit!R:R,""),
_xlfn.IFS(_xlpm.MyAuditVal&lt;&gt;"",UPPER(_xlpm.MyAuditVal),_xlpm.MacVal&lt;&gt;"",_xlpm.MacVal,_xlpm.CSVVal&lt;&gt;"",_xlpm.CSVVal
)),"")</f>
        <v/>
      </c>
    </row>
    <row r="199" spans="1:17">
      <c r="A199" s="2" t="str">
        <f>_xlfn.TEXTJOIN("",TRUE,Input!$B$2,ROW(My_Audit!A198))</f>
        <v>XX198</v>
      </c>
      <c r="B199" s="2" t="str">
        <f>_xlfn.TEXTJOIN("-",TRUE,"ITD",Input!$A$2,A199)</f>
        <v>ITD-SHRXXX-XX198</v>
      </c>
      <c r="C199" s="2" t="str" cm="1">
        <f t="array" ref="C199">IFERROR(_xlfn.LET(
_xlpm.CSVVal,_xlfn.XLOOKUP($A199,CSV!$A:$A,CSV!B:B,""),
_xlpm.MacVal,_xlfn.XLOOKUP($A199,Output_Mac!$A:$A,Output_Mac!B:B,""),
_xlpm.MyAuditVal,_xlfn.XLOOKUP($A199,My_Audit!$A:$A,My_Audit!B:B,""),
_xlfn.IFS(_xlpm.MyAuditVal&lt;&gt;"",UPPER(_xlpm.MyAuditVal),_xlpm.MacVal&lt;&gt;"",_xlpm.MacVal,_xlpm.CSVVal&lt;&gt;"",_xlpm.CSVVal
)),"")</f>
        <v/>
      </c>
      <c r="D199" s="2" t="str" cm="1">
        <f t="array" ref="D199">IFERROR(_xlfn.LET(
_xlpm.CSVVal,_xlfn.XLOOKUP($A199,CSV!$A:$A,CSV!D:D,""),
_xlpm.MacVal,_xlfn.XLOOKUP($A199,Output_Mac!$A:$A,Output_Mac!C:C,""),
_xlpm.MyAuditVal,_xlfn.XLOOKUP($A199,My_Audit!$A:$A,My_Audit!C:C,""),
_xlfn.IFS(_xlpm.MyAuditVal&lt;&gt;"",_xlpm.MyAuditVal,_xlpm.MacVal&lt;&gt;"",_xlpm.MacVal,_xlpm.CSVVal&lt;&gt;"",_xlpm.CSVVal
)),"")</f>
        <v/>
      </c>
      <c r="E199" s="2" t="str">
        <f>_xlfn.XLOOKUP(A199,My_Audit!A:A,My_Audit!D:D,"")&amp;""</f>
        <v/>
      </c>
      <c r="F199" s="2" t="str" cm="1">
        <f t="array" ref="F199">IFERROR(_xlfn.LET(
_xlpm.CSVVal,_xlfn.XLOOKUP($A199,CSV!$A:$A,CSV!F:F,""),
_xlpm.MacVal,_xlfn.XLOOKUP($A199,Output_Mac!$A:$A,Output_Mac!E:E,""),
_xlpm.MyAuditVal,_xlfn.XLOOKUP($A199,My_Audit!$A:$A,My_Audit!E:E,""),
_xlfn.IFS(_xlpm.MyAuditVal&lt;&gt;"",_xlpm.MyAuditVal,_xlpm.MacVal&lt;&gt;"",_xlpm.MacVal,_xlpm.CSVVal&lt;&gt;"",_xlpm.CSVVal
)),"")</f>
        <v/>
      </c>
      <c r="G199" s="2" t="str" cm="1">
        <f t="array" ref="G199">IFERROR(_xlfn.LET(
_xlpm.CSVVal,_xlfn.XLOOKUP($A199,CSV!$A:$A,CSV!G:G,""),
_xlpm.MacVal,_xlfn.XLOOKUP($A199,Output_Mac!$A:$A,Output_Mac!F:F,""),
_xlpm.MyAuditVal,_xlfn.XLOOKUP($A199,My_Audit!$A:$A,My_Audit!F:F,""),
_xlfn.IFS(_xlpm.MyAuditVal&lt;&gt;"",_xlpm.MyAuditVal,_xlpm.MacVal&lt;&gt;"",_xlpm.MacVal,_xlpm.CSVVal&lt;&gt;"",PROPER(_xlpm.CSVVal)
)),"")</f>
        <v/>
      </c>
      <c r="H199" s="2" t="str" cm="1">
        <f t="array" ref="H199">IFERROR(_xlfn.LET(
_xlpm.CSVVal,_xlfn.XLOOKUP($A199,CSV!$A:$A,CSV!H:H,""),
_xlpm.MacVal,_xlfn.XLOOKUP($A199,Output_Mac!$A:$A,Output_Mac!H:H,""),
_xlpm.MyAuditVal,_xlfn.XLOOKUP($A199,My_Audit!$A:$A,My_Audit!G:G,""),
_xlfn.IFS(_xlpm.MyAuditVal&lt;&gt;"",_xlpm.MyAuditVal,_xlpm.MacVal&lt;&gt;"",_xlpm.MacVal,_xlpm.CSVVal&lt;&gt;"",_xlpm.CSVVal
)),"")</f>
        <v/>
      </c>
      <c r="I199" s="2" t="str">
        <f>_xlfn.XLOOKUP(A199,Output_Mac!A:A,Output_Mac!I:I,"")</f>
        <v/>
      </c>
      <c r="J199" s="2" t="str" cm="1">
        <f t="array" ref="J199">IFERROR(_xlfn.LET(
_xlpm.CSVVal,_xlfn.XLOOKUP($A199,CSV!$A:$A,CSV!I:I,""),
_xlpm.MacVal,_xlfn.XLOOKUP($A199,Output_Mac!$A:$A,Output_Mac!J:J,""),
_xlpm.MyAuditVal,_xlfn.XLOOKUP($A199,My_Audit!$A:$A,My_Audit!I:I,""),
_xlfn.IFS(_xlpm.MyAuditVal&lt;&gt;"",UPPER(_xlpm.MyAuditVal),_xlpm.MacVal&lt;&gt;"",_xlpm.MacVal,_xlpm.CSVVal&lt;&gt;"",_xlpm.CSVVal
)),"")</f>
        <v/>
      </c>
      <c r="K199" s="2" t="str" cm="1">
        <f t="array" ref="K199">IFERROR(_xlfn.LET(
_xlpm.CSVVal,_xlfn.XLOOKUP($A199,CSV!$A:$A,CSV!K:K,""),
_xlpm.MacVal,_xlfn.XLOOKUP($A199,Output_Mac!$A:$A,Output_Mac!K:K,""),
_xlpm.MyAuditVal,_xlfn.XLOOKUP($A199,My_Audit!$A:$A,My_Audit!J:J,""),
_xlfn.IFS(_xlpm.MyAuditVal&lt;&gt;"",UPPER(_xlpm.MyAuditVal),_xlpm.MacVal&lt;&gt;"",_xlpm.MacVal,_xlpm.CSVVal&lt;&gt;"",_xlpm.CSVVal
)),"")</f>
        <v/>
      </c>
      <c r="L199" s="2" t="str" cm="1">
        <f t="array" ref="L199">IFERROR(_xlfn.LET(
_xlpm.CSVVal,_xlfn.XLOOKUP($A199,CSV!$A:$A,CSV!P:P,""),
_xlpm.MacVal,_xlfn.XLOOKUP($A199,Output_Mac!$A:$A,Output_Mac!L:L,""),
_xlpm.MyAuditVal,_xlfn.XLOOKUP($A199,My_Audit!$A:$A,My_Audit!K:K,""),
_xlfn.IFS(_xlpm.MyAuditVal&lt;&gt;"",UPPER(_xlpm.MyAuditVal),_xlpm.MacVal&lt;&gt;"",_xlpm.MacVal,_xlpm.CSVVal&lt;&gt;"",_xlpm.CSVVal
)),"")</f>
        <v/>
      </c>
      <c r="M199" s="2" t="str" cm="1">
        <f t="array" ref="M199">IFERROR(_xlfn.LET(
_xlpm.CSVVal,_xlfn.XLOOKUP($A199,CSV!$A:$A,CSV!Q:Q,""),
_xlpm.MacVal,_xlfn.XLOOKUP($A199,Output_Mac!$A:$A,Output_Mac!M:M,""),
_xlpm.MyAuditVal,_xlfn.XLOOKUP($A199,My_Audit!$A:$A,My_Audit!L:L,""),
_xlfn.IFS(_xlpm.MyAuditVal&lt;&gt;"",UPPER(_xlpm.MyAuditVal),_xlpm.MacVal&lt;&gt;"",_xlpm.MacVal,_xlpm.CSVVal&lt;&gt;"",_xlpm.CSVVal
)),"")</f>
        <v/>
      </c>
      <c r="O199" s="2" t="str">
        <f>_xlfn.LET(
    _xlpm.CSVVal, _xlfn.XLOOKUP($A199, CSV!$A:$A, CSV!AF:AF, ""),
    _xlpm.MacVal, _xlfn.XLOOKUP($A199, Output_Mac!$A:$A, Output_Mac!S:S, ""),
    _xlpm.MyAuditVal, _xlfn.XLOOKUP($A199, My_Audit!$A:$A, My_Audit!P:P, ""),
    _xlfn.TEXTJOIN(", ", TRUE, _xlpm.MyAuditVal, _xlpm.MacVal, _xlpm.CSVVal)
)</f>
        <v/>
      </c>
      <c r="P199" s="2" t="str" cm="1">
        <f t="array" ref="P199">IFERROR(_xlfn.LET(
_xlpm.CSVVal,_xlfn.XLOOKUP($A199,CSV!$A:$A,CSV!AG:AG,""),
_xlpm.MacVal,_xlfn.XLOOKUP($A199,Output_Mac!$A:$A,Output_Mac!T:T,""),
_xlpm.MyAuditVal,_xlfn.XLOOKUP($A199,My_Audit!$A:$A,My_Audit!Q:Q,""),
_xlfn.IFS(_xlpm.MyAuditVal&lt;&gt;"",UPPER(_xlpm.MyAuditVal),_xlpm.MacVal&lt;&gt;"",_xlpm.MacVal,_xlpm.CSVVal&lt;&gt;"",_xlpm.CSVVal
)),"No")</f>
        <v>No</v>
      </c>
      <c r="Q199" s="2" t="str" cm="1">
        <f t="array" ref="Q199">IFERROR(_xlfn.LET(
_xlpm.CSVVal,_xlfn.XLOOKUP($A199,CSV!$A:$A,CSV!AH:AH,""),
_xlpm.MacVal,_xlfn.XLOOKUP($A199,Output_Mac!$A:$A,Output_Mac!U:U,""),
_xlpm.MyAuditVal,_xlfn.XLOOKUP($A199,My_Audit!$A:$A,My_Audit!R:R,""),
_xlfn.IFS(_xlpm.MyAuditVal&lt;&gt;"",UPPER(_xlpm.MyAuditVal),_xlpm.MacVal&lt;&gt;"",_xlpm.MacVal,_xlpm.CSVVal&lt;&gt;"",_xlpm.CSVVal
)),"")</f>
        <v/>
      </c>
    </row>
    <row r="200" spans="1:17">
      <c r="A200" s="2" t="str">
        <f>_xlfn.TEXTJOIN("",TRUE,Input!$B$2,ROW(My_Audit!A199))</f>
        <v>XX199</v>
      </c>
      <c r="B200" s="2" t="str">
        <f>_xlfn.TEXTJOIN("-",TRUE,"ITD",Input!$A$2,A200)</f>
        <v>ITD-SHRXXX-XX199</v>
      </c>
      <c r="C200" s="2" t="str" cm="1">
        <f t="array" ref="C200">IFERROR(_xlfn.LET(
_xlpm.CSVVal,_xlfn.XLOOKUP($A200,CSV!$A:$A,CSV!B:B,""),
_xlpm.MacVal,_xlfn.XLOOKUP($A200,Output_Mac!$A:$A,Output_Mac!B:B,""),
_xlpm.MyAuditVal,_xlfn.XLOOKUP($A200,My_Audit!$A:$A,My_Audit!B:B,""),
_xlfn.IFS(_xlpm.MyAuditVal&lt;&gt;"",UPPER(_xlpm.MyAuditVal),_xlpm.MacVal&lt;&gt;"",_xlpm.MacVal,_xlpm.CSVVal&lt;&gt;"",_xlpm.CSVVal
)),"")</f>
        <v/>
      </c>
      <c r="D200" s="2" t="str" cm="1">
        <f t="array" ref="D200">IFERROR(_xlfn.LET(
_xlpm.CSVVal,_xlfn.XLOOKUP($A200,CSV!$A:$A,CSV!D:D,""),
_xlpm.MacVal,_xlfn.XLOOKUP($A200,Output_Mac!$A:$A,Output_Mac!C:C,""),
_xlpm.MyAuditVal,_xlfn.XLOOKUP($A200,My_Audit!$A:$A,My_Audit!C:C,""),
_xlfn.IFS(_xlpm.MyAuditVal&lt;&gt;"",_xlpm.MyAuditVal,_xlpm.MacVal&lt;&gt;"",_xlpm.MacVal,_xlpm.CSVVal&lt;&gt;"",_xlpm.CSVVal
)),"")</f>
        <v/>
      </c>
      <c r="E200" s="2" t="str">
        <f>_xlfn.XLOOKUP(A200,My_Audit!A:A,My_Audit!D:D,"")&amp;""</f>
        <v/>
      </c>
      <c r="F200" s="2" t="str" cm="1">
        <f t="array" ref="F200">IFERROR(_xlfn.LET(
_xlpm.CSVVal,_xlfn.XLOOKUP($A200,CSV!$A:$A,CSV!F:F,""),
_xlpm.MacVal,_xlfn.XLOOKUP($A200,Output_Mac!$A:$A,Output_Mac!E:E,""),
_xlpm.MyAuditVal,_xlfn.XLOOKUP($A200,My_Audit!$A:$A,My_Audit!E:E,""),
_xlfn.IFS(_xlpm.MyAuditVal&lt;&gt;"",_xlpm.MyAuditVal,_xlpm.MacVal&lt;&gt;"",_xlpm.MacVal,_xlpm.CSVVal&lt;&gt;"",_xlpm.CSVVal
)),"")</f>
        <v/>
      </c>
      <c r="G200" s="2" t="str" cm="1">
        <f t="array" ref="G200">IFERROR(_xlfn.LET(
_xlpm.CSVVal,_xlfn.XLOOKUP($A200,CSV!$A:$A,CSV!G:G,""),
_xlpm.MacVal,_xlfn.XLOOKUP($A200,Output_Mac!$A:$A,Output_Mac!F:F,""),
_xlpm.MyAuditVal,_xlfn.XLOOKUP($A200,My_Audit!$A:$A,My_Audit!F:F,""),
_xlfn.IFS(_xlpm.MyAuditVal&lt;&gt;"",_xlpm.MyAuditVal,_xlpm.MacVal&lt;&gt;"",_xlpm.MacVal,_xlpm.CSVVal&lt;&gt;"",PROPER(_xlpm.CSVVal)
)),"")</f>
        <v/>
      </c>
      <c r="H200" s="2" t="str" cm="1">
        <f t="array" ref="H200">IFERROR(_xlfn.LET(
_xlpm.CSVVal,_xlfn.XLOOKUP($A200,CSV!$A:$A,CSV!H:H,""),
_xlpm.MacVal,_xlfn.XLOOKUP($A200,Output_Mac!$A:$A,Output_Mac!H:H,""),
_xlpm.MyAuditVal,_xlfn.XLOOKUP($A200,My_Audit!$A:$A,My_Audit!G:G,""),
_xlfn.IFS(_xlpm.MyAuditVal&lt;&gt;"",_xlpm.MyAuditVal,_xlpm.MacVal&lt;&gt;"",_xlpm.MacVal,_xlpm.CSVVal&lt;&gt;"",_xlpm.CSVVal
)),"")</f>
        <v/>
      </c>
      <c r="I200" s="2" t="str">
        <f>_xlfn.XLOOKUP(A200,Output_Mac!A:A,Output_Mac!I:I,"")</f>
        <v/>
      </c>
      <c r="J200" s="2" t="str" cm="1">
        <f t="array" ref="J200">IFERROR(_xlfn.LET(
_xlpm.CSVVal,_xlfn.XLOOKUP($A200,CSV!$A:$A,CSV!I:I,""),
_xlpm.MacVal,_xlfn.XLOOKUP($A200,Output_Mac!$A:$A,Output_Mac!J:J,""),
_xlpm.MyAuditVal,_xlfn.XLOOKUP($A200,My_Audit!$A:$A,My_Audit!I:I,""),
_xlfn.IFS(_xlpm.MyAuditVal&lt;&gt;"",UPPER(_xlpm.MyAuditVal),_xlpm.MacVal&lt;&gt;"",_xlpm.MacVal,_xlpm.CSVVal&lt;&gt;"",_xlpm.CSVVal
)),"")</f>
        <v/>
      </c>
      <c r="K200" s="2" t="str" cm="1">
        <f t="array" ref="K200">IFERROR(_xlfn.LET(
_xlpm.CSVVal,_xlfn.XLOOKUP($A200,CSV!$A:$A,CSV!K:K,""),
_xlpm.MacVal,_xlfn.XLOOKUP($A200,Output_Mac!$A:$A,Output_Mac!K:K,""),
_xlpm.MyAuditVal,_xlfn.XLOOKUP($A200,My_Audit!$A:$A,My_Audit!J:J,""),
_xlfn.IFS(_xlpm.MyAuditVal&lt;&gt;"",UPPER(_xlpm.MyAuditVal),_xlpm.MacVal&lt;&gt;"",_xlpm.MacVal,_xlpm.CSVVal&lt;&gt;"",_xlpm.CSVVal
)),"")</f>
        <v/>
      </c>
      <c r="L200" s="2" t="str" cm="1">
        <f t="array" ref="L200">IFERROR(_xlfn.LET(
_xlpm.CSVVal,_xlfn.XLOOKUP($A200,CSV!$A:$A,CSV!P:P,""),
_xlpm.MacVal,_xlfn.XLOOKUP($A200,Output_Mac!$A:$A,Output_Mac!L:L,""),
_xlpm.MyAuditVal,_xlfn.XLOOKUP($A200,My_Audit!$A:$A,My_Audit!K:K,""),
_xlfn.IFS(_xlpm.MyAuditVal&lt;&gt;"",UPPER(_xlpm.MyAuditVal),_xlpm.MacVal&lt;&gt;"",_xlpm.MacVal,_xlpm.CSVVal&lt;&gt;"",_xlpm.CSVVal
)),"")</f>
        <v/>
      </c>
      <c r="M200" s="2" t="str" cm="1">
        <f t="array" ref="M200">IFERROR(_xlfn.LET(
_xlpm.CSVVal,_xlfn.XLOOKUP($A200,CSV!$A:$A,CSV!Q:Q,""),
_xlpm.MacVal,_xlfn.XLOOKUP($A200,Output_Mac!$A:$A,Output_Mac!M:M,""),
_xlpm.MyAuditVal,_xlfn.XLOOKUP($A200,My_Audit!$A:$A,My_Audit!L:L,""),
_xlfn.IFS(_xlpm.MyAuditVal&lt;&gt;"",UPPER(_xlpm.MyAuditVal),_xlpm.MacVal&lt;&gt;"",_xlpm.MacVal,_xlpm.CSVVal&lt;&gt;"",_xlpm.CSVVal
)),"")</f>
        <v/>
      </c>
      <c r="O200" s="2" t="str">
        <f>_xlfn.LET(
    _xlpm.CSVVal, _xlfn.XLOOKUP($A200, CSV!$A:$A, CSV!AF:AF, ""),
    _xlpm.MacVal, _xlfn.XLOOKUP($A200, Output_Mac!$A:$A, Output_Mac!S:S, ""),
    _xlpm.MyAuditVal, _xlfn.XLOOKUP($A200, My_Audit!$A:$A, My_Audit!P:P, ""),
    _xlfn.TEXTJOIN(", ", TRUE, _xlpm.MyAuditVal, _xlpm.MacVal, _xlpm.CSVVal)
)</f>
        <v/>
      </c>
      <c r="P200" s="2" t="str" cm="1">
        <f t="array" ref="P200">IFERROR(_xlfn.LET(
_xlpm.CSVVal,_xlfn.XLOOKUP($A200,CSV!$A:$A,CSV!AG:AG,""),
_xlpm.MacVal,_xlfn.XLOOKUP($A200,Output_Mac!$A:$A,Output_Mac!T:T,""),
_xlpm.MyAuditVal,_xlfn.XLOOKUP($A200,My_Audit!$A:$A,My_Audit!Q:Q,""),
_xlfn.IFS(_xlpm.MyAuditVal&lt;&gt;"",UPPER(_xlpm.MyAuditVal),_xlpm.MacVal&lt;&gt;"",_xlpm.MacVal,_xlpm.CSVVal&lt;&gt;"",_xlpm.CSVVal
)),"No")</f>
        <v>No</v>
      </c>
      <c r="Q200" s="2" t="str" cm="1">
        <f t="array" ref="Q200">IFERROR(_xlfn.LET(
_xlpm.CSVVal,_xlfn.XLOOKUP($A200,CSV!$A:$A,CSV!AH:AH,""),
_xlpm.MacVal,_xlfn.XLOOKUP($A200,Output_Mac!$A:$A,Output_Mac!U:U,""),
_xlpm.MyAuditVal,_xlfn.XLOOKUP($A200,My_Audit!$A:$A,My_Audit!R:R,""),
_xlfn.IFS(_xlpm.MyAuditVal&lt;&gt;"",UPPER(_xlpm.MyAuditVal),_xlpm.MacVal&lt;&gt;"",_xlpm.MacVal,_xlpm.CSVVal&lt;&gt;"",_xlpm.CSVVal
)),"")</f>
        <v/>
      </c>
    </row>
    <row r="201" spans="1:17">
      <c r="A201" s="2" t="str">
        <f>_xlfn.TEXTJOIN("",TRUE,Input!$B$2,ROW(My_Audit!A200))</f>
        <v>XX200</v>
      </c>
      <c r="B201" s="2" t="str">
        <f>_xlfn.TEXTJOIN("-",TRUE,"ITD",Input!$A$2,A201)</f>
        <v>ITD-SHRXXX-XX200</v>
      </c>
      <c r="C201" s="2" t="str" cm="1">
        <f t="array" ref="C201">IFERROR(_xlfn.LET(
_xlpm.CSVVal,_xlfn.XLOOKUP($A201,CSV!$A:$A,CSV!B:B,""),
_xlpm.MacVal,_xlfn.XLOOKUP($A201,Output_Mac!$A:$A,Output_Mac!B:B,""),
_xlpm.MyAuditVal,_xlfn.XLOOKUP($A201,My_Audit!$A:$A,My_Audit!B:B,""),
_xlfn.IFS(_xlpm.MyAuditVal&lt;&gt;"",UPPER(_xlpm.MyAuditVal),_xlpm.MacVal&lt;&gt;"",_xlpm.MacVal,_xlpm.CSVVal&lt;&gt;"",_xlpm.CSVVal
)),"")</f>
        <v/>
      </c>
      <c r="D201" s="2" t="str" cm="1">
        <f t="array" ref="D201">IFERROR(_xlfn.LET(
_xlpm.CSVVal,_xlfn.XLOOKUP($A201,CSV!$A:$A,CSV!D:D,""),
_xlpm.MacVal,_xlfn.XLOOKUP($A201,Output_Mac!$A:$A,Output_Mac!C:C,""),
_xlpm.MyAuditVal,_xlfn.XLOOKUP($A201,My_Audit!$A:$A,My_Audit!C:C,""),
_xlfn.IFS(_xlpm.MyAuditVal&lt;&gt;"",_xlpm.MyAuditVal,_xlpm.MacVal&lt;&gt;"",_xlpm.MacVal,_xlpm.CSVVal&lt;&gt;"",_xlpm.CSVVal
)),"")</f>
        <v/>
      </c>
      <c r="E201" s="2" t="str">
        <f>_xlfn.XLOOKUP(A201,My_Audit!A:A,My_Audit!D:D,"")&amp;""</f>
        <v/>
      </c>
      <c r="F201" s="2" t="str" cm="1">
        <f t="array" ref="F201">IFERROR(_xlfn.LET(
_xlpm.CSVVal,_xlfn.XLOOKUP($A201,CSV!$A:$A,CSV!F:F,""),
_xlpm.MacVal,_xlfn.XLOOKUP($A201,Output_Mac!$A:$A,Output_Mac!E:E,""),
_xlpm.MyAuditVal,_xlfn.XLOOKUP($A201,My_Audit!$A:$A,My_Audit!E:E,""),
_xlfn.IFS(_xlpm.MyAuditVal&lt;&gt;"",_xlpm.MyAuditVal,_xlpm.MacVal&lt;&gt;"",_xlpm.MacVal,_xlpm.CSVVal&lt;&gt;"",_xlpm.CSVVal
)),"")</f>
        <v/>
      </c>
      <c r="G201" s="2" t="str" cm="1">
        <f t="array" ref="G201">IFERROR(_xlfn.LET(
_xlpm.CSVVal,_xlfn.XLOOKUP($A201,CSV!$A:$A,CSV!G:G,""),
_xlpm.MacVal,_xlfn.XLOOKUP($A201,Output_Mac!$A:$A,Output_Mac!F:F,""),
_xlpm.MyAuditVal,_xlfn.XLOOKUP($A201,My_Audit!$A:$A,My_Audit!F:F,""),
_xlfn.IFS(_xlpm.MyAuditVal&lt;&gt;"",_xlpm.MyAuditVal,_xlpm.MacVal&lt;&gt;"",_xlpm.MacVal,_xlpm.CSVVal&lt;&gt;"",PROPER(_xlpm.CSVVal)
)),"")</f>
        <v/>
      </c>
      <c r="H201" s="2" t="str" cm="1">
        <f t="array" ref="H201">IFERROR(_xlfn.LET(
_xlpm.CSVVal,_xlfn.XLOOKUP($A201,CSV!$A:$A,CSV!H:H,""),
_xlpm.MacVal,_xlfn.XLOOKUP($A201,Output_Mac!$A:$A,Output_Mac!H:H,""),
_xlpm.MyAuditVal,_xlfn.XLOOKUP($A201,My_Audit!$A:$A,My_Audit!G:G,""),
_xlfn.IFS(_xlpm.MyAuditVal&lt;&gt;"",_xlpm.MyAuditVal,_xlpm.MacVal&lt;&gt;"",_xlpm.MacVal,_xlpm.CSVVal&lt;&gt;"",_xlpm.CSVVal
)),"")</f>
        <v/>
      </c>
      <c r="I201" s="2" t="str">
        <f>_xlfn.XLOOKUP(A201,Output_Mac!A:A,Output_Mac!I:I,"")</f>
        <v/>
      </c>
      <c r="J201" s="2" t="str" cm="1">
        <f t="array" ref="J201">IFERROR(_xlfn.LET(
_xlpm.CSVVal,_xlfn.XLOOKUP($A201,CSV!$A:$A,CSV!I:I,""),
_xlpm.MacVal,_xlfn.XLOOKUP($A201,Output_Mac!$A:$A,Output_Mac!J:J,""),
_xlpm.MyAuditVal,_xlfn.XLOOKUP($A201,My_Audit!$A:$A,My_Audit!I:I,""),
_xlfn.IFS(_xlpm.MyAuditVal&lt;&gt;"",UPPER(_xlpm.MyAuditVal),_xlpm.MacVal&lt;&gt;"",_xlpm.MacVal,_xlpm.CSVVal&lt;&gt;"",_xlpm.CSVVal
)),"")</f>
        <v/>
      </c>
      <c r="K201" s="2" t="str" cm="1">
        <f t="array" ref="K201">IFERROR(_xlfn.LET(
_xlpm.CSVVal,_xlfn.XLOOKUP($A201,CSV!$A:$A,CSV!K:K,""),
_xlpm.MacVal,_xlfn.XLOOKUP($A201,Output_Mac!$A:$A,Output_Mac!K:K,""),
_xlpm.MyAuditVal,_xlfn.XLOOKUP($A201,My_Audit!$A:$A,My_Audit!J:J,""),
_xlfn.IFS(_xlpm.MyAuditVal&lt;&gt;"",UPPER(_xlpm.MyAuditVal),_xlpm.MacVal&lt;&gt;"",_xlpm.MacVal,_xlpm.CSVVal&lt;&gt;"",_xlpm.CSVVal
)),"")</f>
        <v/>
      </c>
      <c r="L201" s="2" t="str" cm="1">
        <f t="array" ref="L201">IFERROR(_xlfn.LET(
_xlpm.CSVVal,_xlfn.XLOOKUP($A201,CSV!$A:$A,CSV!P:P,""),
_xlpm.MacVal,_xlfn.XLOOKUP($A201,Output_Mac!$A:$A,Output_Mac!L:L,""),
_xlpm.MyAuditVal,_xlfn.XLOOKUP($A201,My_Audit!$A:$A,My_Audit!K:K,""),
_xlfn.IFS(_xlpm.MyAuditVal&lt;&gt;"",UPPER(_xlpm.MyAuditVal),_xlpm.MacVal&lt;&gt;"",_xlpm.MacVal,_xlpm.CSVVal&lt;&gt;"",_xlpm.CSVVal
)),"")</f>
        <v/>
      </c>
      <c r="M201" s="2" t="str" cm="1">
        <f t="array" ref="M201">IFERROR(_xlfn.LET(
_xlpm.CSVVal,_xlfn.XLOOKUP($A201,CSV!$A:$A,CSV!Q:Q,""),
_xlpm.MacVal,_xlfn.XLOOKUP($A201,Output_Mac!$A:$A,Output_Mac!M:M,""),
_xlpm.MyAuditVal,_xlfn.XLOOKUP($A201,My_Audit!$A:$A,My_Audit!L:L,""),
_xlfn.IFS(_xlpm.MyAuditVal&lt;&gt;"",UPPER(_xlpm.MyAuditVal),_xlpm.MacVal&lt;&gt;"",_xlpm.MacVal,_xlpm.CSVVal&lt;&gt;"",_xlpm.CSVVal
)),"")</f>
        <v/>
      </c>
      <c r="O201" s="2" t="str">
        <f>_xlfn.LET(
    _xlpm.CSVVal, _xlfn.XLOOKUP($A201, CSV!$A:$A, CSV!AF:AF, ""),
    _xlpm.MacVal, _xlfn.XLOOKUP($A201, Output_Mac!$A:$A, Output_Mac!S:S, ""),
    _xlpm.MyAuditVal, _xlfn.XLOOKUP($A201, My_Audit!$A:$A, My_Audit!P:P, ""),
    _xlfn.TEXTJOIN(", ", TRUE, _xlpm.MyAuditVal, _xlpm.MacVal, _xlpm.CSVVal)
)</f>
        <v/>
      </c>
      <c r="P201" s="2" t="str" cm="1">
        <f t="array" ref="P201">IFERROR(_xlfn.LET(
_xlpm.CSVVal,_xlfn.XLOOKUP($A201,CSV!$A:$A,CSV!AG:AG,""),
_xlpm.MacVal,_xlfn.XLOOKUP($A201,Output_Mac!$A:$A,Output_Mac!T:T,""),
_xlpm.MyAuditVal,_xlfn.XLOOKUP($A201,My_Audit!$A:$A,My_Audit!Q:Q,""),
_xlfn.IFS(_xlpm.MyAuditVal&lt;&gt;"",UPPER(_xlpm.MyAuditVal),_xlpm.MacVal&lt;&gt;"",_xlpm.MacVal,_xlpm.CSVVal&lt;&gt;"",_xlpm.CSVVal
)),"No")</f>
        <v>No</v>
      </c>
      <c r="Q201" s="2" t="str" cm="1">
        <f t="array" ref="Q201">IFERROR(_xlfn.LET(
_xlpm.CSVVal,_xlfn.XLOOKUP($A201,CSV!$A:$A,CSV!AH:AH,""),
_xlpm.MacVal,_xlfn.XLOOKUP($A201,Output_Mac!$A:$A,Output_Mac!U:U,""),
_xlpm.MyAuditVal,_xlfn.XLOOKUP($A201,My_Audit!$A:$A,My_Audit!R:R,""),
_xlfn.IFS(_xlpm.MyAuditVal&lt;&gt;"",UPPER(_xlpm.MyAuditVal),_xlpm.MacVal&lt;&gt;"",_xlpm.MacVal,_xlpm.CSVVal&lt;&gt;"",_xlpm.CSVVal
)),"")</f>
        <v/>
      </c>
    </row>
    <row r="202" spans="1:17">
      <c r="A202" s="2" t="str">
        <f>_xlfn.TEXTJOIN("",TRUE,Input!$B$2,ROW(My_Audit!A201))</f>
        <v>XX201</v>
      </c>
      <c r="B202" s="2" t="str">
        <f>_xlfn.TEXTJOIN("-",TRUE,"ITD",Input!$A$2,A202)</f>
        <v>ITD-SHRXXX-XX201</v>
      </c>
      <c r="C202" s="2" t="str" cm="1">
        <f t="array" ref="C202">IFERROR(_xlfn.LET(
_xlpm.CSVVal,_xlfn.XLOOKUP($A202,CSV!$A:$A,CSV!B:B,""),
_xlpm.MacVal,_xlfn.XLOOKUP($A202,Output_Mac!$A:$A,Output_Mac!B:B,""),
_xlpm.MyAuditVal,_xlfn.XLOOKUP($A202,My_Audit!$A:$A,My_Audit!B:B,""),
_xlfn.IFS(_xlpm.MyAuditVal&lt;&gt;"",UPPER(_xlpm.MyAuditVal),_xlpm.MacVal&lt;&gt;"",_xlpm.MacVal,_xlpm.CSVVal&lt;&gt;"",_xlpm.CSVVal
)),"")</f>
        <v/>
      </c>
      <c r="D202" s="2" t="str" cm="1">
        <f t="array" ref="D202">IFERROR(_xlfn.LET(
_xlpm.CSVVal,_xlfn.XLOOKUP($A202,CSV!$A:$A,CSV!D:D,""),
_xlpm.MacVal,_xlfn.XLOOKUP($A202,Output_Mac!$A:$A,Output_Mac!C:C,""),
_xlpm.MyAuditVal,_xlfn.XLOOKUP($A202,My_Audit!$A:$A,My_Audit!C:C,""),
_xlfn.IFS(_xlpm.MyAuditVal&lt;&gt;"",_xlpm.MyAuditVal,_xlpm.MacVal&lt;&gt;"",_xlpm.MacVal,_xlpm.CSVVal&lt;&gt;"",_xlpm.CSVVal
)),"")</f>
        <v/>
      </c>
      <c r="E202" s="2" t="str">
        <f>_xlfn.XLOOKUP(A202,My_Audit!A:A,My_Audit!D:D,"")&amp;""</f>
        <v/>
      </c>
      <c r="F202" s="2" t="str" cm="1">
        <f t="array" ref="F202">IFERROR(_xlfn.LET(
_xlpm.CSVVal,_xlfn.XLOOKUP($A202,CSV!$A:$A,CSV!F:F,""),
_xlpm.MacVal,_xlfn.XLOOKUP($A202,Output_Mac!$A:$A,Output_Mac!E:E,""),
_xlpm.MyAuditVal,_xlfn.XLOOKUP($A202,My_Audit!$A:$A,My_Audit!E:E,""),
_xlfn.IFS(_xlpm.MyAuditVal&lt;&gt;"",_xlpm.MyAuditVal,_xlpm.MacVal&lt;&gt;"",_xlpm.MacVal,_xlpm.CSVVal&lt;&gt;"",_xlpm.CSVVal
)),"")</f>
        <v/>
      </c>
      <c r="G202" s="2" t="str" cm="1">
        <f t="array" ref="G202">IFERROR(_xlfn.LET(
_xlpm.CSVVal,_xlfn.XLOOKUP($A202,CSV!$A:$A,CSV!G:G,""),
_xlpm.MacVal,_xlfn.XLOOKUP($A202,Output_Mac!$A:$A,Output_Mac!F:F,""),
_xlpm.MyAuditVal,_xlfn.XLOOKUP($A202,My_Audit!$A:$A,My_Audit!F:F,""),
_xlfn.IFS(_xlpm.MyAuditVal&lt;&gt;"",_xlpm.MyAuditVal,_xlpm.MacVal&lt;&gt;"",_xlpm.MacVal,_xlpm.CSVVal&lt;&gt;"",PROPER(_xlpm.CSVVal)
)),"")</f>
        <v/>
      </c>
      <c r="H202" s="2" t="str" cm="1">
        <f t="array" ref="H202">IFERROR(_xlfn.LET(
_xlpm.CSVVal,_xlfn.XLOOKUP($A202,CSV!$A:$A,CSV!H:H,""),
_xlpm.MacVal,_xlfn.XLOOKUP($A202,Output_Mac!$A:$A,Output_Mac!H:H,""),
_xlpm.MyAuditVal,_xlfn.XLOOKUP($A202,My_Audit!$A:$A,My_Audit!G:G,""),
_xlfn.IFS(_xlpm.MyAuditVal&lt;&gt;"",_xlpm.MyAuditVal,_xlpm.MacVal&lt;&gt;"",_xlpm.MacVal,_xlpm.CSVVal&lt;&gt;"",_xlpm.CSVVal
)),"")</f>
        <v/>
      </c>
      <c r="I202" s="2" t="str">
        <f>_xlfn.XLOOKUP(A202,Output_Mac!A:A,Output_Mac!I:I,"")</f>
        <v/>
      </c>
      <c r="J202" s="2" t="str" cm="1">
        <f t="array" ref="J202">IFERROR(_xlfn.LET(
_xlpm.CSVVal,_xlfn.XLOOKUP($A202,CSV!$A:$A,CSV!I:I,""),
_xlpm.MacVal,_xlfn.XLOOKUP($A202,Output_Mac!$A:$A,Output_Mac!J:J,""),
_xlpm.MyAuditVal,_xlfn.XLOOKUP($A202,My_Audit!$A:$A,My_Audit!I:I,""),
_xlfn.IFS(_xlpm.MyAuditVal&lt;&gt;"",UPPER(_xlpm.MyAuditVal),_xlpm.MacVal&lt;&gt;"",_xlpm.MacVal,_xlpm.CSVVal&lt;&gt;"",_xlpm.CSVVal
)),"")</f>
        <v/>
      </c>
      <c r="K202" s="2" t="str" cm="1">
        <f t="array" ref="K202">IFERROR(_xlfn.LET(
_xlpm.CSVVal,_xlfn.XLOOKUP($A202,CSV!$A:$A,CSV!K:K,""),
_xlpm.MacVal,_xlfn.XLOOKUP($A202,Output_Mac!$A:$A,Output_Mac!K:K,""),
_xlpm.MyAuditVal,_xlfn.XLOOKUP($A202,My_Audit!$A:$A,My_Audit!J:J,""),
_xlfn.IFS(_xlpm.MyAuditVal&lt;&gt;"",UPPER(_xlpm.MyAuditVal),_xlpm.MacVal&lt;&gt;"",_xlpm.MacVal,_xlpm.CSVVal&lt;&gt;"",_xlpm.CSVVal
)),"")</f>
        <v/>
      </c>
      <c r="L202" s="2" t="str" cm="1">
        <f t="array" ref="L202">IFERROR(_xlfn.LET(
_xlpm.CSVVal,_xlfn.XLOOKUP($A202,CSV!$A:$A,CSV!P:P,""),
_xlpm.MacVal,_xlfn.XLOOKUP($A202,Output_Mac!$A:$A,Output_Mac!L:L,""),
_xlpm.MyAuditVal,_xlfn.XLOOKUP($A202,My_Audit!$A:$A,My_Audit!K:K,""),
_xlfn.IFS(_xlpm.MyAuditVal&lt;&gt;"",UPPER(_xlpm.MyAuditVal),_xlpm.MacVal&lt;&gt;"",_xlpm.MacVal,_xlpm.CSVVal&lt;&gt;"",_xlpm.CSVVal
)),"")</f>
        <v/>
      </c>
      <c r="M202" s="2" t="str" cm="1">
        <f t="array" ref="M202">IFERROR(_xlfn.LET(
_xlpm.CSVVal,_xlfn.XLOOKUP($A202,CSV!$A:$A,CSV!Q:Q,""),
_xlpm.MacVal,_xlfn.XLOOKUP($A202,Output_Mac!$A:$A,Output_Mac!M:M,""),
_xlpm.MyAuditVal,_xlfn.XLOOKUP($A202,My_Audit!$A:$A,My_Audit!L:L,""),
_xlfn.IFS(_xlpm.MyAuditVal&lt;&gt;"",UPPER(_xlpm.MyAuditVal),_xlpm.MacVal&lt;&gt;"",_xlpm.MacVal,_xlpm.CSVVal&lt;&gt;"",_xlpm.CSVVal
)),"")</f>
        <v/>
      </c>
      <c r="O202" s="2" t="str">
        <f>_xlfn.LET(
    _xlpm.CSVVal, _xlfn.XLOOKUP($A202, CSV!$A:$A, CSV!AF:AF, ""),
    _xlpm.MacVal, _xlfn.XLOOKUP($A202, Output_Mac!$A:$A, Output_Mac!S:S, ""),
    _xlpm.MyAuditVal, _xlfn.XLOOKUP($A202, My_Audit!$A:$A, My_Audit!P:P, ""),
    _xlfn.TEXTJOIN(", ", TRUE, _xlpm.MyAuditVal, _xlpm.MacVal, _xlpm.CSVVal)
)</f>
        <v/>
      </c>
      <c r="P202" s="2" t="str" cm="1">
        <f t="array" ref="P202">IFERROR(_xlfn.LET(
_xlpm.CSVVal,_xlfn.XLOOKUP($A202,CSV!$A:$A,CSV!AG:AG,""),
_xlpm.MacVal,_xlfn.XLOOKUP($A202,Output_Mac!$A:$A,Output_Mac!T:T,""),
_xlpm.MyAuditVal,_xlfn.XLOOKUP($A202,My_Audit!$A:$A,My_Audit!Q:Q,""),
_xlfn.IFS(_xlpm.MyAuditVal&lt;&gt;"",UPPER(_xlpm.MyAuditVal),_xlpm.MacVal&lt;&gt;"",_xlpm.MacVal,_xlpm.CSVVal&lt;&gt;"",_xlpm.CSVVal
)),"No")</f>
        <v>No</v>
      </c>
      <c r="Q202" s="2" t="str" cm="1">
        <f t="array" ref="Q202">IFERROR(_xlfn.LET(
_xlpm.CSVVal,_xlfn.XLOOKUP($A202,CSV!$A:$A,CSV!AH:AH,""),
_xlpm.MacVal,_xlfn.XLOOKUP($A202,Output_Mac!$A:$A,Output_Mac!U:U,""),
_xlpm.MyAuditVal,_xlfn.XLOOKUP($A202,My_Audit!$A:$A,My_Audit!R:R,""),
_xlfn.IFS(_xlpm.MyAuditVal&lt;&gt;"",UPPER(_xlpm.MyAuditVal),_xlpm.MacVal&lt;&gt;"",_xlpm.MacVal,_xlpm.CSVVal&lt;&gt;"",_xlpm.CSVVal
)),"")</f>
        <v/>
      </c>
    </row>
    <row r="203" spans="1:17">
      <c r="A203" s="2" t="str">
        <f>_xlfn.TEXTJOIN("",TRUE,Input!$B$2,ROW(My_Audit!A202))</f>
        <v>XX202</v>
      </c>
      <c r="B203" s="2" t="str">
        <f>_xlfn.TEXTJOIN("-",TRUE,"ITD",Input!$A$2,A203)</f>
        <v>ITD-SHRXXX-XX202</v>
      </c>
      <c r="C203" s="2" t="str" cm="1">
        <f t="array" ref="C203">IFERROR(_xlfn.LET(
_xlpm.CSVVal,_xlfn.XLOOKUP($A203,CSV!$A:$A,CSV!B:B,""),
_xlpm.MacVal,_xlfn.XLOOKUP($A203,Output_Mac!$A:$A,Output_Mac!B:B,""),
_xlpm.MyAuditVal,_xlfn.XLOOKUP($A203,My_Audit!$A:$A,My_Audit!B:B,""),
_xlfn.IFS(_xlpm.MyAuditVal&lt;&gt;"",UPPER(_xlpm.MyAuditVal),_xlpm.MacVal&lt;&gt;"",_xlpm.MacVal,_xlpm.CSVVal&lt;&gt;"",_xlpm.CSVVal
)),"")</f>
        <v/>
      </c>
      <c r="D203" s="2" t="str" cm="1">
        <f t="array" ref="D203">IFERROR(_xlfn.LET(
_xlpm.CSVVal,_xlfn.XLOOKUP($A203,CSV!$A:$A,CSV!D:D,""),
_xlpm.MacVal,_xlfn.XLOOKUP($A203,Output_Mac!$A:$A,Output_Mac!C:C,""),
_xlpm.MyAuditVal,_xlfn.XLOOKUP($A203,My_Audit!$A:$A,My_Audit!C:C,""),
_xlfn.IFS(_xlpm.MyAuditVal&lt;&gt;"",_xlpm.MyAuditVal,_xlpm.MacVal&lt;&gt;"",_xlpm.MacVal,_xlpm.CSVVal&lt;&gt;"",_xlpm.CSVVal
)),"")</f>
        <v/>
      </c>
      <c r="E203" s="2" t="str">
        <f>_xlfn.XLOOKUP(A203,My_Audit!A:A,My_Audit!D:D,"")&amp;""</f>
        <v/>
      </c>
      <c r="F203" s="2" t="str" cm="1">
        <f t="array" ref="F203">IFERROR(_xlfn.LET(
_xlpm.CSVVal,_xlfn.XLOOKUP($A203,CSV!$A:$A,CSV!F:F,""),
_xlpm.MacVal,_xlfn.XLOOKUP($A203,Output_Mac!$A:$A,Output_Mac!E:E,""),
_xlpm.MyAuditVal,_xlfn.XLOOKUP($A203,My_Audit!$A:$A,My_Audit!E:E,""),
_xlfn.IFS(_xlpm.MyAuditVal&lt;&gt;"",_xlpm.MyAuditVal,_xlpm.MacVal&lt;&gt;"",_xlpm.MacVal,_xlpm.CSVVal&lt;&gt;"",_xlpm.CSVVal
)),"")</f>
        <v/>
      </c>
      <c r="G203" s="2" t="str" cm="1">
        <f t="array" ref="G203">IFERROR(_xlfn.LET(
_xlpm.CSVVal,_xlfn.XLOOKUP($A203,CSV!$A:$A,CSV!G:G,""),
_xlpm.MacVal,_xlfn.XLOOKUP($A203,Output_Mac!$A:$A,Output_Mac!F:F,""),
_xlpm.MyAuditVal,_xlfn.XLOOKUP($A203,My_Audit!$A:$A,My_Audit!F:F,""),
_xlfn.IFS(_xlpm.MyAuditVal&lt;&gt;"",_xlpm.MyAuditVal,_xlpm.MacVal&lt;&gt;"",_xlpm.MacVal,_xlpm.CSVVal&lt;&gt;"",PROPER(_xlpm.CSVVal)
)),"")</f>
        <v/>
      </c>
      <c r="H203" s="2" t="str" cm="1">
        <f t="array" ref="H203">IFERROR(_xlfn.LET(
_xlpm.CSVVal,_xlfn.XLOOKUP($A203,CSV!$A:$A,CSV!H:H,""),
_xlpm.MacVal,_xlfn.XLOOKUP($A203,Output_Mac!$A:$A,Output_Mac!H:H,""),
_xlpm.MyAuditVal,_xlfn.XLOOKUP($A203,My_Audit!$A:$A,My_Audit!G:G,""),
_xlfn.IFS(_xlpm.MyAuditVal&lt;&gt;"",_xlpm.MyAuditVal,_xlpm.MacVal&lt;&gt;"",_xlpm.MacVal,_xlpm.CSVVal&lt;&gt;"",_xlpm.CSVVal
)),"")</f>
        <v/>
      </c>
      <c r="I203" s="2" t="str">
        <f>_xlfn.XLOOKUP(A203,Output_Mac!A:A,Output_Mac!I:I,"")</f>
        <v/>
      </c>
      <c r="J203" s="2" t="str" cm="1">
        <f t="array" ref="J203">IFERROR(_xlfn.LET(
_xlpm.CSVVal,_xlfn.XLOOKUP($A203,CSV!$A:$A,CSV!I:I,""),
_xlpm.MacVal,_xlfn.XLOOKUP($A203,Output_Mac!$A:$A,Output_Mac!J:J,""),
_xlpm.MyAuditVal,_xlfn.XLOOKUP($A203,My_Audit!$A:$A,My_Audit!I:I,""),
_xlfn.IFS(_xlpm.MyAuditVal&lt;&gt;"",UPPER(_xlpm.MyAuditVal),_xlpm.MacVal&lt;&gt;"",_xlpm.MacVal,_xlpm.CSVVal&lt;&gt;"",_xlpm.CSVVal
)),"")</f>
        <v/>
      </c>
      <c r="K203" s="2" t="str" cm="1">
        <f t="array" ref="K203">IFERROR(_xlfn.LET(
_xlpm.CSVVal,_xlfn.XLOOKUP($A203,CSV!$A:$A,CSV!K:K,""),
_xlpm.MacVal,_xlfn.XLOOKUP($A203,Output_Mac!$A:$A,Output_Mac!K:K,""),
_xlpm.MyAuditVal,_xlfn.XLOOKUP($A203,My_Audit!$A:$A,My_Audit!J:J,""),
_xlfn.IFS(_xlpm.MyAuditVal&lt;&gt;"",UPPER(_xlpm.MyAuditVal),_xlpm.MacVal&lt;&gt;"",_xlpm.MacVal,_xlpm.CSVVal&lt;&gt;"",_xlpm.CSVVal
)),"")</f>
        <v/>
      </c>
      <c r="L203" s="2" t="str" cm="1">
        <f t="array" ref="L203">IFERROR(_xlfn.LET(
_xlpm.CSVVal,_xlfn.XLOOKUP($A203,CSV!$A:$A,CSV!P:P,""),
_xlpm.MacVal,_xlfn.XLOOKUP($A203,Output_Mac!$A:$A,Output_Mac!L:L,""),
_xlpm.MyAuditVal,_xlfn.XLOOKUP($A203,My_Audit!$A:$A,My_Audit!K:K,""),
_xlfn.IFS(_xlpm.MyAuditVal&lt;&gt;"",UPPER(_xlpm.MyAuditVal),_xlpm.MacVal&lt;&gt;"",_xlpm.MacVal,_xlpm.CSVVal&lt;&gt;"",_xlpm.CSVVal
)),"")</f>
        <v/>
      </c>
      <c r="M203" s="2" t="str" cm="1">
        <f t="array" ref="M203">IFERROR(_xlfn.LET(
_xlpm.CSVVal,_xlfn.XLOOKUP($A203,CSV!$A:$A,CSV!Q:Q,""),
_xlpm.MacVal,_xlfn.XLOOKUP($A203,Output_Mac!$A:$A,Output_Mac!M:M,""),
_xlpm.MyAuditVal,_xlfn.XLOOKUP($A203,My_Audit!$A:$A,My_Audit!L:L,""),
_xlfn.IFS(_xlpm.MyAuditVal&lt;&gt;"",UPPER(_xlpm.MyAuditVal),_xlpm.MacVal&lt;&gt;"",_xlpm.MacVal,_xlpm.CSVVal&lt;&gt;"",_xlpm.CSVVal
)),"")</f>
        <v/>
      </c>
      <c r="O203" s="2" t="str">
        <f>_xlfn.LET(
    _xlpm.CSVVal, _xlfn.XLOOKUP($A203, CSV!$A:$A, CSV!AF:AF, ""),
    _xlpm.MacVal, _xlfn.XLOOKUP($A203, Output_Mac!$A:$A, Output_Mac!S:S, ""),
    _xlpm.MyAuditVal, _xlfn.XLOOKUP($A203, My_Audit!$A:$A, My_Audit!P:P, ""),
    _xlfn.TEXTJOIN(", ", TRUE, _xlpm.MyAuditVal, _xlpm.MacVal, _xlpm.CSVVal)
)</f>
        <v/>
      </c>
      <c r="P203" s="2" t="str" cm="1">
        <f t="array" ref="P203">IFERROR(_xlfn.LET(
_xlpm.CSVVal,_xlfn.XLOOKUP($A203,CSV!$A:$A,CSV!AG:AG,""),
_xlpm.MacVal,_xlfn.XLOOKUP($A203,Output_Mac!$A:$A,Output_Mac!T:T,""),
_xlpm.MyAuditVal,_xlfn.XLOOKUP($A203,My_Audit!$A:$A,My_Audit!Q:Q,""),
_xlfn.IFS(_xlpm.MyAuditVal&lt;&gt;"",UPPER(_xlpm.MyAuditVal),_xlpm.MacVal&lt;&gt;"",_xlpm.MacVal,_xlpm.CSVVal&lt;&gt;"",_xlpm.CSVVal
)),"No")</f>
        <v>No</v>
      </c>
      <c r="Q203" s="2" t="str" cm="1">
        <f t="array" ref="Q203">IFERROR(_xlfn.LET(
_xlpm.CSVVal,_xlfn.XLOOKUP($A203,CSV!$A:$A,CSV!AH:AH,""),
_xlpm.MacVal,_xlfn.XLOOKUP($A203,Output_Mac!$A:$A,Output_Mac!U:U,""),
_xlpm.MyAuditVal,_xlfn.XLOOKUP($A203,My_Audit!$A:$A,My_Audit!R:R,""),
_xlfn.IFS(_xlpm.MyAuditVal&lt;&gt;"",UPPER(_xlpm.MyAuditVal),_xlpm.MacVal&lt;&gt;"",_xlpm.MacVal,_xlpm.CSVVal&lt;&gt;"",_xlpm.CSVVal
)),"")</f>
        <v/>
      </c>
    </row>
    <row r="204" spans="1:17">
      <c r="A204" s="2" t="str">
        <f>_xlfn.TEXTJOIN("",TRUE,Input!$B$2,ROW(My_Audit!A203))</f>
        <v>XX203</v>
      </c>
      <c r="B204" s="2" t="str">
        <f>_xlfn.TEXTJOIN("-",TRUE,"ITD",Input!$A$2,A204)</f>
        <v>ITD-SHRXXX-XX203</v>
      </c>
      <c r="C204" s="2" t="str" cm="1">
        <f t="array" ref="C204">IFERROR(_xlfn.LET(
_xlpm.CSVVal,_xlfn.XLOOKUP($A204,CSV!$A:$A,CSV!B:B,""),
_xlpm.MacVal,_xlfn.XLOOKUP($A204,Output_Mac!$A:$A,Output_Mac!B:B,""),
_xlpm.MyAuditVal,_xlfn.XLOOKUP($A204,My_Audit!$A:$A,My_Audit!B:B,""),
_xlfn.IFS(_xlpm.MyAuditVal&lt;&gt;"",UPPER(_xlpm.MyAuditVal),_xlpm.MacVal&lt;&gt;"",_xlpm.MacVal,_xlpm.CSVVal&lt;&gt;"",_xlpm.CSVVal
)),"")</f>
        <v/>
      </c>
      <c r="D204" s="2" t="str" cm="1">
        <f t="array" ref="D204">IFERROR(_xlfn.LET(
_xlpm.CSVVal,_xlfn.XLOOKUP($A204,CSV!$A:$A,CSV!D:D,""),
_xlpm.MacVal,_xlfn.XLOOKUP($A204,Output_Mac!$A:$A,Output_Mac!C:C,""),
_xlpm.MyAuditVal,_xlfn.XLOOKUP($A204,My_Audit!$A:$A,My_Audit!C:C,""),
_xlfn.IFS(_xlpm.MyAuditVal&lt;&gt;"",_xlpm.MyAuditVal,_xlpm.MacVal&lt;&gt;"",_xlpm.MacVal,_xlpm.CSVVal&lt;&gt;"",_xlpm.CSVVal
)),"")</f>
        <v/>
      </c>
      <c r="E204" s="2" t="str">
        <f>_xlfn.XLOOKUP(A204,My_Audit!A:A,My_Audit!D:D,"")&amp;""</f>
        <v/>
      </c>
      <c r="F204" s="2" t="str" cm="1">
        <f t="array" ref="F204">IFERROR(_xlfn.LET(
_xlpm.CSVVal,_xlfn.XLOOKUP($A204,CSV!$A:$A,CSV!F:F,""),
_xlpm.MacVal,_xlfn.XLOOKUP($A204,Output_Mac!$A:$A,Output_Mac!E:E,""),
_xlpm.MyAuditVal,_xlfn.XLOOKUP($A204,My_Audit!$A:$A,My_Audit!E:E,""),
_xlfn.IFS(_xlpm.MyAuditVal&lt;&gt;"",_xlpm.MyAuditVal,_xlpm.MacVal&lt;&gt;"",_xlpm.MacVal,_xlpm.CSVVal&lt;&gt;"",_xlpm.CSVVal
)),"")</f>
        <v/>
      </c>
      <c r="G204" s="2" t="str" cm="1">
        <f t="array" ref="G204">IFERROR(_xlfn.LET(
_xlpm.CSVVal,_xlfn.XLOOKUP($A204,CSV!$A:$A,CSV!G:G,""),
_xlpm.MacVal,_xlfn.XLOOKUP($A204,Output_Mac!$A:$A,Output_Mac!F:F,""),
_xlpm.MyAuditVal,_xlfn.XLOOKUP($A204,My_Audit!$A:$A,My_Audit!F:F,""),
_xlfn.IFS(_xlpm.MyAuditVal&lt;&gt;"",_xlpm.MyAuditVal,_xlpm.MacVal&lt;&gt;"",_xlpm.MacVal,_xlpm.CSVVal&lt;&gt;"",PROPER(_xlpm.CSVVal)
)),"")</f>
        <v/>
      </c>
      <c r="H204" s="2" t="str" cm="1">
        <f t="array" ref="H204">IFERROR(_xlfn.LET(
_xlpm.CSVVal,_xlfn.XLOOKUP($A204,CSV!$A:$A,CSV!H:H,""),
_xlpm.MacVal,_xlfn.XLOOKUP($A204,Output_Mac!$A:$A,Output_Mac!H:H,""),
_xlpm.MyAuditVal,_xlfn.XLOOKUP($A204,My_Audit!$A:$A,My_Audit!G:G,""),
_xlfn.IFS(_xlpm.MyAuditVal&lt;&gt;"",_xlpm.MyAuditVal,_xlpm.MacVal&lt;&gt;"",_xlpm.MacVal,_xlpm.CSVVal&lt;&gt;"",_xlpm.CSVVal
)),"")</f>
        <v/>
      </c>
      <c r="I204" s="2" t="str">
        <f>_xlfn.XLOOKUP(A204,Output_Mac!A:A,Output_Mac!I:I,"")</f>
        <v/>
      </c>
      <c r="J204" s="2" t="str" cm="1">
        <f t="array" ref="J204">IFERROR(_xlfn.LET(
_xlpm.CSVVal,_xlfn.XLOOKUP($A204,CSV!$A:$A,CSV!I:I,""),
_xlpm.MacVal,_xlfn.XLOOKUP($A204,Output_Mac!$A:$A,Output_Mac!J:J,""),
_xlpm.MyAuditVal,_xlfn.XLOOKUP($A204,My_Audit!$A:$A,My_Audit!I:I,""),
_xlfn.IFS(_xlpm.MyAuditVal&lt;&gt;"",UPPER(_xlpm.MyAuditVal),_xlpm.MacVal&lt;&gt;"",_xlpm.MacVal,_xlpm.CSVVal&lt;&gt;"",_xlpm.CSVVal
)),"")</f>
        <v/>
      </c>
      <c r="K204" s="2" t="str" cm="1">
        <f t="array" ref="K204">IFERROR(_xlfn.LET(
_xlpm.CSVVal,_xlfn.XLOOKUP($A204,CSV!$A:$A,CSV!K:K,""),
_xlpm.MacVal,_xlfn.XLOOKUP($A204,Output_Mac!$A:$A,Output_Mac!K:K,""),
_xlpm.MyAuditVal,_xlfn.XLOOKUP($A204,My_Audit!$A:$A,My_Audit!J:J,""),
_xlfn.IFS(_xlpm.MyAuditVal&lt;&gt;"",UPPER(_xlpm.MyAuditVal),_xlpm.MacVal&lt;&gt;"",_xlpm.MacVal,_xlpm.CSVVal&lt;&gt;"",_xlpm.CSVVal
)),"")</f>
        <v/>
      </c>
      <c r="L204" s="2" t="str" cm="1">
        <f t="array" ref="L204">IFERROR(_xlfn.LET(
_xlpm.CSVVal,_xlfn.XLOOKUP($A204,CSV!$A:$A,CSV!P:P,""),
_xlpm.MacVal,_xlfn.XLOOKUP($A204,Output_Mac!$A:$A,Output_Mac!L:L,""),
_xlpm.MyAuditVal,_xlfn.XLOOKUP($A204,My_Audit!$A:$A,My_Audit!K:K,""),
_xlfn.IFS(_xlpm.MyAuditVal&lt;&gt;"",UPPER(_xlpm.MyAuditVal),_xlpm.MacVal&lt;&gt;"",_xlpm.MacVal,_xlpm.CSVVal&lt;&gt;"",_xlpm.CSVVal
)),"")</f>
        <v/>
      </c>
      <c r="M204" s="2" t="str" cm="1">
        <f t="array" ref="M204">IFERROR(_xlfn.LET(
_xlpm.CSVVal,_xlfn.XLOOKUP($A204,CSV!$A:$A,CSV!Q:Q,""),
_xlpm.MacVal,_xlfn.XLOOKUP($A204,Output_Mac!$A:$A,Output_Mac!M:M,""),
_xlpm.MyAuditVal,_xlfn.XLOOKUP($A204,My_Audit!$A:$A,My_Audit!L:L,""),
_xlfn.IFS(_xlpm.MyAuditVal&lt;&gt;"",UPPER(_xlpm.MyAuditVal),_xlpm.MacVal&lt;&gt;"",_xlpm.MacVal,_xlpm.CSVVal&lt;&gt;"",_xlpm.CSVVal
)),"")</f>
        <v/>
      </c>
      <c r="O204" s="2" t="str">
        <f>_xlfn.LET(
    _xlpm.CSVVal, _xlfn.XLOOKUP($A204, CSV!$A:$A, CSV!AF:AF, ""),
    _xlpm.MacVal, _xlfn.XLOOKUP($A204, Output_Mac!$A:$A, Output_Mac!S:S, ""),
    _xlpm.MyAuditVal, _xlfn.XLOOKUP($A204, My_Audit!$A:$A, My_Audit!P:P, ""),
    _xlfn.TEXTJOIN(", ", TRUE, _xlpm.MyAuditVal, _xlpm.MacVal, _xlpm.CSVVal)
)</f>
        <v/>
      </c>
      <c r="P204" s="2" t="str" cm="1">
        <f t="array" ref="P204">IFERROR(_xlfn.LET(
_xlpm.CSVVal,_xlfn.XLOOKUP($A204,CSV!$A:$A,CSV!AG:AG,""),
_xlpm.MacVal,_xlfn.XLOOKUP($A204,Output_Mac!$A:$A,Output_Mac!T:T,""),
_xlpm.MyAuditVal,_xlfn.XLOOKUP($A204,My_Audit!$A:$A,My_Audit!Q:Q,""),
_xlfn.IFS(_xlpm.MyAuditVal&lt;&gt;"",UPPER(_xlpm.MyAuditVal),_xlpm.MacVal&lt;&gt;"",_xlpm.MacVal,_xlpm.CSVVal&lt;&gt;"",_xlpm.CSVVal
)),"No")</f>
        <v>No</v>
      </c>
      <c r="Q204" s="2" t="str" cm="1">
        <f t="array" ref="Q204">IFERROR(_xlfn.LET(
_xlpm.CSVVal,_xlfn.XLOOKUP($A204,CSV!$A:$A,CSV!AH:AH,""),
_xlpm.MacVal,_xlfn.XLOOKUP($A204,Output_Mac!$A:$A,Output_Mac!U:U,""),
_xlpm.MyAuditVal,_xlfn.XLOOKUP($A204,My_Audit!$A:$A,My_Audit!R:R,""),
_xlfn.IFS(_xlpm.MyAuditVal&lt;&gt;"",UPPER(_xlpm.MyAuditVal),_xlpm.MacVal&lt;&gt;"",_xlpm.MacVal,_xlpm.CSVVal&lt;&gt;"",_xlpm.CSVVal
)),"")</f>
        <v/>
      </c>
    </row>
    <row r="205" spans="1:17">
      <c r="A205" s="2" t="str">
        <f>_xlfn.TEXTJOIN("",TRUE,Input!$B$2,ROW(My_Audit!A204))</f>
        <v>XX204</v>
      </c>
      <c r="B205" s="2" t="str">
        <f>_xlfn.TEXTJOIN("-",TRUE,"ITD",Input!$A$2,A205)</f>
        <v>ITD-SHRXXX-XX204</v>
      </c>
      <c r="C205" s="2" t="str" cm="1">
        <f t="array" ref="C205">IFERROR(_xlfn.LET(
_xlpm.CSVVal,_xlfn.XLOOKUP($A205,CSV!$A:$A,CSV!B:B,""),
_xlpm.MacVal,_xlfn.XLOOKUP($A205,Output_Mac!$A:$A,Output_Mac!B:B,""),
_xlpm.MyAuditVal,_xlfn.XLOOKUP($A205,My_Audit!$A:$A,My_Audit!B:B,""),
_xlfn.IFS(_xlpm.MyAuditVal&lt;&gt;"",UPPER(_xlpm.MyAuditVal),_xlpm.MacVal&lt;&gt;"",_xlpm.MacVal,_xlpm.CSVVal&lt;&gt;"",_xlpm.CSVVal
)),"")</f>
        <v/>
      </c>
      <c r="D205" s="2" t="str" cm="1">
        <f t="array" ref="D205">IFERROR(_xlfn.LET(
_xlpm.CSVVal,_xlfn.XLOOKUP($A205,CSV!$A:$A,CSV!D:D,""),
_xlpm.MacVal,_xlfn.XLOOKUP($A205,Output_Mac!$A:$A,Output_Mac!C:C,""),
_xlpm.MyAuditVal,_xlfn.XLOOKUP($A205,My_Audit!$A:$A,My_Audit!C:C,""),
_xlfn.IFS(_xlpm.MyAuditVal&lt;&gt;"",_xlpm.MyAuditVal,_xlpm.MacVal&lt;&gt;"",_xlpm.MacVal,_xlpm.CSVVal&lt;&gt;"",_xlpm.CSVVal
)),"")</f>
        <v/>
      </c>
      <c r="E205" s="2" t="str">
        <f>_xlfn.XLOOKUP(A205,My_Audit!A:A,My_Audit!D:D,"")&amp;""</f>
        <v/>
      </c>
      <c r="F205" s="2" t="str" cm="1">
        <f t="array" ref="F205">IFERROR(_xlfn.LET(
_xlpm.CSVVal,_xlfn.XLOOKUP($A205,CSV!$A:$A,CSV!F:F,""),
_xlpm.MacVal,_xlfn.XLOOKUP($A205,Output_Mac!$A:$A,Output_Mac!E:E,""),
_xlpm.MyAuditVal,_xlfn.XLOOKUP($A205,My_Audit!$A:$A,My_Audit!E:E,""),
_xlfn.IFS(_xlpm.MyAuditVal&lt;&gt;"",_xlpm.MyAuditVal,_xlpm.MacVal&lt;&gt;"",_xlpm.MacVal,_xlpm.CSVVal&lt;&gt;"",_xlpm.CSVVal
)),"")</f>
        <v/>
      </c>
      <c r="G205" s="2" t="str" cm="1">
        <f t="array" ref="G205">IFERROR(_xlfn.LET(
_xlpm.CSVVal,_xlfn.XLOOKUP($A205,CSV!$A:$A,CSV!G:G,""),
_xlpm.MacVal,_xlfn.XLOOKUP($A205,Output_Mac!$A:$A,Output_Mac!F:F,""),
_xlpm.MyAuditVal,_xlfn.XLOOKUP($A205,My_Audit!$A:$A,My_Audit!F:F,""),
_xlfn.IFS(_xlpm.MyAuditVal&lt;&gt;"",_xlpm.MyAuditVal,_xlpm.MacVal&lt;&gt;"",_xlpm.MacVal,_xlpm.CSVVal&lt;&gt;"",PROPER(_xlpm.CSVVal)
)),"")</f>
        <v/>
      </c>
      <c r="H205" s="2" t="str" cm="1">
        <f t="array" ref="H205">IFERROR(_xlfn.LET(
_xlpm.CSVVal,_xlfn.XLOOKUP($A205,CSV!$A:$A,CSV!H:H,""),
_xlpm.MacVal,_xlfn.XLOOKUP($A205,Output_Mac!$A:$A,Output_Mac!H:H,""),
_xlpm.MyAuditVal,_xlfn.XLOOKUP($A205,My_Audit!$A:$A,My_Audit!G:G,""),
_xlfn.IFS(_xlpm.MyAuditVal&lt;&gt;"",_xlpm.MyAuditVal,_xlpm.MacVal&lt;&gt;"",_xlpm.MacVal,_xlpm.CSVVal&lt;&gt;"",_xlpm.CSVVal
)),"")</f>
        <v/>
      </c>
      <c r="I205" s="2" t="str">
        <f>_xlfn.XLOOKUP(A205,Output_Mac!A:A,Output_Mac!I:I,"")</f>
        <v/>
      </c>
      <c r="J205" s="2" t="str" cm="1">
        <f t="array" ref="J205">IFERROR(_xlfn.LET(
_xlpm.CSVVal,_xlfn.XLOOKUP($A205,CSV!$A:$A,CSV!I:I,""),
_xlpm.MacVal,_xlfn.XLOOKUP($A205,Output_Mac!$A:$A,Output_Mac!J:J,""),
_xlpm.MyAuditVal,_xlfn.XLOOKUP($A205,My_Audit!$A:$A,My_Audit!I:I,""),
_xlfn.IFS(_xlpm.MyAuditVal&lt;&gt;"",UPPER(_xlpm.MyAuditVal),_xlpm.MacVal&lt;&gt;"",_xlpm.MacVal,_xlpm.CSVVal&lt;&gt;"",_xlpm.CSVVal
)),"")</f>
        <v/>
      </c>
      <c r="K205" s="2" t="str" cm="1">
        <f t="array" ref="K205">IFERROR(_xlfn.LET(
_xlpm.CSVVal,_xlfn.XLOOKUP($A205,CSV!$A:$A,CSV!K:K,""),
_xlpm.MacVal,_xlfn.XLOOKUP($A205,Output_Mac!$A:$A,Output_Mac!K:K,""),
_xlpm.MyAuditVal,_xlfn.XLOOKUP($A205,My_Audit!$A:$A,My_Audit!J:J,""),
_xlfn.IFS(_xlpm.MyAuditVal&lt;&gt;"",UPPER(_xlpm.MyAuditVal),_xlpm.MacVal&lt;&gt;"",_xlpm.MacVal,_xlpm.CSVVal&lt;&gt;"",_xlpm.CSVVal
)),"")</f>
        <v/>
      </c>
      <c r="L205" s="2" t="str" cm="1">
        <f t="array" ref="L205">IFERROR(_xlfn.LET(
_xlpm.CSVVal,_xlfn.XLOOKUP($A205,CSV!$A:$A,CSV!P:P,""),
_xlpm.MacVal,_xlfn.XLOOKUP($A205,Output_Mac!$A:$A,Output_Mac!L:L,""),
_xlpm.MyAuditVal,_xlfn.XLOOKUP($A205,My_Audit!$A:$A,My_Audit!K:K,""),
_xlfn.IFS(_xlpm.MyAuditVal&lt;&gt;"",UPPER(_xlpm.MyAuditVal),_xlpm.MacVal&lt;&gt;"",_xlpm.MacVal,_xlpm.CSVVal&lt;&gt;"",_xlpm.CSVVal
)),"")</f>
        <v/>
      </c>
      <c r="M205" s="2" t="str" cm="1">
        <f t="array" ref="M205">IFERROR(_xlfn.LET(
_xlpm.CSVVal,_xlfn.XLOOKUP($A205,CSV!$A:$A,CSV!Q:Q,""),
_xlpm.MacVal,_xlfn.XLOOKUP($A205,Output_Mac!$A:$A,Output_Mac!M:M,""),
_xlpm.MyAuditVal,_xlfn.XLOOKUP($A205,My_Audit!$A:$A,My_Audit!L:L,""),
_xlfn.IFS(_xlpm.MyAuditVal&lt;&gt;"",UPPER(_xlpm.MyAuditVal),_xlpm.MacVal&lt;&gt;"",_xlpm.MacVal,_xlpm.CSVVal&lt;&gt;"",_xlpm.CSVVal
)),"")</f>
        <v/>
      </c>
      <c r="O205" s="2" t="str">
        <f>_xlfn.LET(
    _xlpm.CSVVal, _xlfn.XLOOKUP($A205, CSV!$A:$A, CSV!AF:AF, ""),
    _xlpm.MacVal, _xlfn.XLOOKUP($A205, Output_Mac!$A:$A, Output_Mac!S:S, ""),
    _xlpm.MyAuditVal, _xlfn.XLOOKUP($A205, My_Audit!$A:$A, My_Audit!P:P, ""),
    _xlfn.TEXTJOIN(", ", TRUE, _xlpm.MyAuditVal, _xlpm.MacVal, _xlpm.CSVVal)
)</f>
        <v/>
      </c>
      <c r="P205" s="2" t="str" cm="1">
        <f t="array" ref="P205">IFERROR(_xlfn.LET(
_xlpm.CSVVal,_xlfn.XLOOKUP($A205,CSV!$A:$A,CSV!AG:AG,""),
_xlpm.MacVal,_xlfn.XLOOKUP($A205,Output_Mac!$A:$A,Output_Mac!T:T,""),
_xlpm.MyAuditVal,_xlfn.XLOOKUP($A205,My_Audit!$A:$A,My_Audit!Q:Q,""),
_xlfn.IFS(_xlpm.MyAuditVal&lt;&gt;"",UPPER(_xlpm.MyAuditVal),_xlpm.MacVal&lt;&gt;"",_xlpm.MacVal,_xlpm.CSVVal&lt;&gt;"",_xlpm.CSVVal
)),"No")</f>
        <v>No</v>
      </c>
      <c r="Q205" s="2" t="str" cm="1">
        <f t="array" ref="Q205">IFERROR(_xlfn.LET(
_xlpm.CSVVal,_xlfn.XLOOKUP($A205,CSV!$A:$A,CSV!AH:AH,""),
_xlpm.MacVal,_xlfn.XLOOKUP($A205,Output_Mac!$A:$A,Output_Mac!U:U,""),
_xlpm.MyAuditVal,_xlfn.XLOOKUP($A205,My_Audit!$A:$A,My_Audit!R:R,""),
_xlfn.IFS(_xlpm.MyAuditVal&lt;&gt;"",UPPER(_xlpm.MyAuditVal),_xlpm.MacVal&lt;&gt;"",_xlpm.MacVal,_xlpm.CSVVal&lt;&gt;"",_xlpm.CSVVal
)),"")</f>
        <v/>
      </c>
    </row>
    <row r="206" spans="1:17">
      <c r="A206" s="2" t="str">
        <f>_xlfn.TEXTJOIN("",TRUE,Input!$B$2,ROW(My_Audit!A205))</f>
        <v>XX205</v>
      </c>
      <c r="B206" s="2" t="str">
        <f>_xlfn.TEXTJOIN("-",TRUE,"ITD",Input!$A$2,A206)</f>
        <v>ITD-SHRXXX-XX205</v>
      </c>
      <c r="C206" s="2" t="str" cm="1">
        <f t="array" ref="C206">IFERROR(_xlfn.LET(
_xlpm.CSVVal,_xlfn.XLOOKUP($A206,CSV!$A:$A,CSV!B:B,""),
_xlpm.MacVal,_xlfn.XLOOKUP($A206,Output_Mac!$A:$A,Output_Mac!B:B,""),
_xlpm.MyAuditVal,_xlfn.XLOOKUP($A206,My_Audit!$A:$A,My_Audit!B:B,""),
_xlfn.IFS(_xlpm.MyAuditVal&lt;&gt;"",UPPER(_xlpm.MyAuditVal),_xlpm.MacVal&lt;&gt;"",_xlpm.MacVal,_xlpm.CSVVal&lt;&gt;"",_xlpm.CSVVal
)),"")</f>
        <v/>
      </c>
      <c r="D206" s="2" t="str" cm="1">
        <f t="array" ref="D206">IFERROR(_xlfn.LET(
_xlpm.CSVVal,_xlfn.XLOOKUP($A206,CSV!$A:$A,CSV!D:D,""),
_xlpm.MacVal,_xlfn.XLOOKUP($A206,Output_Mac!$A:$A,Output_Mac!C:C,""),
_xlpm.MyAuditVal,_xlfn.XLOOKUP($A206,My_Audit!$A:$A,My_Audit!C:C,""),
_xlfn.IFS(_xlpm.MyAuditVal&lt;&gt;"",_xlpm.MyAuditVal,_xlpm.MacVal&lt;&gt;"",_xlpm.MacVal,_xlpm.CSVVal&lt;&gt;"",_xlpm.CSVVal
)),"")</f>
        <v/>
      </c>
      <c r="E206" s="2" t="str">
        <f>_xlfn.XLOOKUP(A206,My_Audit!A:A,My_Audit!D:D,"")&amp;""</f>
        <v/>
      </c>
      <c r="F206" s="2" t="str" cm="1">
        <f t="array" ref="F206">IFERROR(_xlfn.LET(
_xlpm.CSVVal,_xlfn.XLOOKUP($A206,CSV!$A:$A,CSV!F:F,""),
_xlpm.MacVal,_xlfn.XLOOKUP($A206,Output_Mac!$A:$A,Output_Mac!E:E,""),
_xlpm.MyAuditVal,_xlfn.XLOOKUP($A206,My_Audit!$A:$A,My_Audit!E:E,""),
_xlfn.IFS(_xlpm.MyAuditVal&lt;&gt;"",_xlpm.MyAuditVal,_xlpm.MacVal&lt;&gt;"",_xlpm.MacVal,_xlpm.CSVVal&lt;&gt;"",_xlpm.CSVVal
)),"")</f>
        <v/>
      </c>
      <c r="G206" s="2" t="str" cm="1">
        <f t="array" ref="G206">IFERROR(_xlfn.LET(
_xlpm.CSVVal,_xlfn.XLOOKUP($A206,CSV!$A:$A,CSV!G:G,""),
_xlpm.MacVal,_xlfn.XLOOKUP($A206,Output_Mac!$A:$A,Output_Mac!F:F,""),
_xlpm.MyAuditVal,_xlfn.XLOOKUP($A206,My_Audit!$A:$A,My_Audit!F:F,""),
_xlfn.IFS(_xlpm.MyAuditVal&lt;&gt;"",_xlpm.MyAuditVal,_xlpm.MacVal&lt;&gt;"",_xlpm.MacVal,_xlpm.CSVVal&lt;&gt;"",PROPER(_xlpm.CSVVal)
)),"")</f>
        <v/>
      </c>
      <c r="H206" s="2" t="str" cm="1">
        <f t="array" ref="H206">IFERROR(_xlfn.LET(
_xlpm.CSVVal,_xlfn.XLOOKUP($A206,CSV!$A:$A,CSV!H:H,""),
_xlpm.MacVal,_xlfn.XLOOKUP($A206,Output_Mac!$A:$A,Output_Mac!H:H,""),
_xlpm.MyAuditVal,_xlfn.XLOOKUP($A206,My_Audit!$A:$A,My_Audit!G:G,""),
_xlfn.IFS(_xlpm.MyAuditVal&lt;&gt;"",_xlpm.MyAuditVal,_xlpm.MacVal&lt;&gt;"",_xlpm.MacVal,_xlpm.CSVVal&lt;&gt;"",_xlpm.CSVVal
)),"")</f>
        <v/>
      </c>
      <c r="I206" s="2" t="str">
        <f>_xlfn.XLOOKUP(A206,Output_Mac!A:A,Output_Mac!I:I,"")</f>
        <v/>
      </c>
      <c r="J206" s="2" t="str" cm="1">
        <f t="array" ref="J206">IFERROR(_xlfn.LET(
_xlpm.CSVVal,_xlfn.XLOOKUP($A206,CSV!$A:$A,CSV!I:I,""),
_xlpm.MacVal,_xlfn.XLOOKUP($A206,Output_Mac!$A:$A,Output_Mac!J:J,""),
_xlpm.MyAuditVal,_xlfn.XLOOKUP($A206,My_Audit!$A:$A,My_Audit!I:I,""),
_xlfn.IFS(_xlpm.MyAuditVal&lt;&gt;"",UPPER(_xlpm.MyAuditVal),_xlpm.MacVal&lt;&gt;"",_xlpm.MacVal,_xlpm.CSVVal&lt;&gt;"",_xlpm.CSVVal
)),"")</f>
        <v/>
      </c>
      <c r="K206" s="2" t="str" cm="1">
        <f t="array" ref="K206">IFERROR(_xlfn.LET(
_xlpm.CSVVal,_xlfn.XLOOKUP($A206,CSV!$A:$A,CSV!K:K,""),
_xlpm.MacVal,_xlfn.XLOOKUP($A206,Output_Mac!$A:$A,Output_Mac!K:K,""),
_xlpm.MyAuditVal,_xlfn.XLOOKUP($A206,My_Audit!$A:$A,My_Audit!J:J,""),
_xlfn.IFS(_xlpm.MyAuditVal&lt;&gt;"",UPPER(_xlpm.MyAuditVal),_xlpm.MacVal&lt;&gt;"",_xlpm.MacVal,_xlpm.CSVVal&lt;&gt;"",_xlpm.CSVVal
)),"")</f>
        <v/>
      </c>
      <c r="L206" s="2" t="str" cm="1">
        <f t="array" ref="L206">IFERROR(_xlfn.LET(
_xlpm.CSVVal,_xlfn.XLOOKUP($A206,CSV!$A:$A,CSV!P:P,""),
_xlpm.MacVal,_xlfn.XLOOKUP($A206,Output_Mac!$A:$A,Output_Mac!L:L,""),
_xlpm.MyAuditVal,_xlfn.XLOOKUP($A206,My_Audit!$A:$A,My_Audit!K:K,""),
_xlfn.IFS(_xlpm.MyAuditVal&lt;&gt;"",UPPER(_xlpm.MyAuditVal),_xlpm.MacVal&lt;&gt;"",_xlpm.MacVal,_xlpm.CSVVal&lt;&gt;"",_xlpm.CSVVal
)),"")</f>
        <v/>
      </c>
      <c r="M206" s="2" t="str" cm="1">
        <f t="array" ref="M206">IFERROR(_xlfn.LET(
_xlpm.CSVVal,_xlfn.XLOOKUP($A206,CSV!$A:$A,CSV!Q:Q,""),
_xlpm.MacVal,_xlfn.XLOOKUP($A206,Output_Mac!$A:$A,Output_Mac!M:M,""),
_xlpm.MyAuditVal,_xlfn.XLOOKUP($A206,My_Audit!$A:$A,My_Audit!L:L,""),
_xlfn.IFS(_xlpm.MyAuditVal&lt;&gt;"",UPPER(_xlpm.MyAuditVal),_xlpm.MacVal&lt;&gt;"",_xlpm.MacVal,_xlpm.CSVVal&lt;&gt;"",_xlpm.CSVVal
)),"")</f>
        <v/>
      </c>
      <c r="O206" s="2" t="str">
        <f>_xlfn.LET(
    _xlpm.CSVVal, _xlfn.XLOOKUP($A206, CSV!$A:$A, CSV!AF:AF, ""),
    _xlpm.MacVal, _xlfn.XLOOKUP($A206, Output_Mac!$A:$A, Output_Mac!S:S, ""),
    _xlpm.MyAuditVal, _xlfn.XLOOKUP($A206, My_Audit!$A:$A, My_Audit!P:P, ""),
    _xlfn.TEXTJOIN(", ", TRUE, _xlpm.MyAuditVal, _xlpm.MacVal, _xlpm.CSVVal)
)</f>
        <v/>
      </c>
      <c r="P206" s="2" t="str" cm="1">
        <f t="array" ref="P206">IFERROR(_xlfn.LET(
_xlpm.CSVVal,_xlfn.XLOOKUP($A206,CSV!$A:$A,CSV!AG:AG,""),
_xlpm.MacVal,_xlfn.XLOOKUP($A206,Output_Mac!$A:$A,Output_Mac!T:T,""),
_xlpm.MyAuditVal,_xlfn.XLOOKUP($A206,My_Audit!$A:$A,My_Audit!Q:Q,""),
_xlfn.IFS(_xlpm.MyAuditVal&lt;&gt;"",UPPER(_xlpm.MyAuditVal),_xlpm.MacVal&lt;&gt;"",_xlpm.MacVal,_xlpm.CSVVal&lt;&gt;"",_xlpm.CSVVal
)),"No")</f>
        <v>No</v>
      </c>
      <c r="Q206" s="2" t="str" cm="1">
        <f t="array" ref="Q206">IFERROR(_xlfn.LET(
_xlpm.CSVVal,_xlfn.XLOOKUP($A206,CSV!$A:$A,CSV!AH:AH,""),
_xlpm.MacVal,_xlfn.XLOOKUP($A206,Output_Mac!$A:$A,Output_Mac!U:U,""),
_xlpm.MyAuditVal,_xlfn.XLOOKUP($A206,My_Audit!$A:$A,My_Audit!R:R,""),
_xlfn.IFS(_xlpm.MyAuditVal&lt;&gt;"",UPPER(_xlpm.MyAuditVal),_xlpm.MacVal&lt;&gt;"",_xlpm.MacVal,_xlpm.CSVVal&lt;&gt;"",_xlpm.CSVVal
)),"")</f>
        <v/>
      </c>
    </row>
    <row r="207" spans="1:17">
      <c r="A207" s="2" t="str">
        <f>_xlfn.TEXTJOIN("",TRUE,Input!$B$2,ROW(My_Audit!A206))</f>
        <v>XX206</v>
      </c>
      <c r="B207" s="2" t="str">
        <f>_xlfn.TEXTJOIN("-",TRUE,"ITD",Input!$A$2,A207)</f>
        <v>ITD-SHRXXX-XX206</v>
      </c>
      <c r="C207" s="2" t="str" cm="1">
        <f t="array" ref="C207">IFERROR(_xlfn.LET(
_xlpm.CSVVal,_xlfn.XLOOKUP($A207,CSV!$A:$A,CSV!B:B,""),
_xlpm.MacVal,_xlfn.XLOOKUP($A207,Output_Mac!$A:$A,Output_Mac!B:B,""),
_xlpm.MyAuditVal,_xlfn.XLOOKUP($A207,My_Audit!$A:$A,My_Audit!B:B,""),
_xlfn.IFS(_xlpm.MyAuditVal&lt;&gt;"",UPPER(_xlpm.MyAuditVal),_xlpm.MacVal&lt;&gt;"",_xlpm.MacVal,_xlpm.CSVVal&lt;&gt;"",_xlpm.CSVVal
)),"")</f>
        <v/>
      </c>
      <c r="D207" s="2" t="str" cm="1">
        <f t="array" ref="D207">IFERROR(_xlfn.LET(
_xlpm.CSVVal,_xlfn.XLOOKUP($A207,CSV!$A:$A,CSV!D:D,""),
_xlpm.MacVal,_xlfn.XLOOKUP($A207,Output_Mac!$A:$A,Output_Mac!C:C,""),
_xlpm.MyAuditVal,_xlfn.XLOOKUP($A207,My_Audit!$A:$A,My_Audit!C:C,""),
_xlfn.IFS(_xlpm.MyAuditVal&lt;&gt;"",_xlpm.MyAuditVal,_xlpm.MacVal&lt;&gt;"",_xlpm.MacVal,_xlpm.CSVVal&lt;&gt;"",_xlpm.CSVVal
)),"")</f>
        <v/>
      </c>
      <c r="E207" s="2" t="str">
        <f>_xlfn.XLOOKUP(A207,My_Audit!A:A,My_Audit!D:D,"")&amp;""</f>
        <v/>
      </c>
      <c r="F207" s="2" t="str" cm="1">
        <f t="array" ref="F207">IFERROR(_xlfn.LET(
_xlpm.CSVVal,_xlfn.XLOOKUP($A207,CSV!$A:$A,CSV!F:F,""),
_xlpm.MacVal,_xlfn.XLOOKUP($A207,Output_Mac!$A:$A,Output_Mac!E:E,""),
_xlpm.MyAuditVal,_xlfn.XLOOKUP($A207,My_Audit!$A:$A,My_Audit!E:E,""),
_xlfn.IFS(_xlpm.MyAuditVal&lt;&gt;"",_xlpm.MyAuditVal,_xlpm.MacVal&lt;&gt;"",_xlpm.MacVal,_xlpm.CSVVal&lt;&gt;"",_xlpm.CSVVal
)),"")</f>
        <v/>
      </c>
      <c r="G207" s="2" t="str" cm="1">
        <f t="array" ref="G207">IFERROR(_xlfn.LET(
_xlpm.CSVVal,_xlfn.XLOOKUP($A207,CSV!$A:$A,CSV!G:G,""),
_xlpm.MacVal,_xlfn.XLOOKUP($A207,Output_Mac!$A:$A,Output_Mac!F:F,""),
_xlpm.MyAuditVal,_xlfn.XLOOKUP($A207,My_Audit!$A:$A,My_Audit!F:F,""),
_xlfn.IFS(_xlpm.MyAuditVal&lt;&gt;"",_xlpm.MyAuditVal,_xlpm.MacVal&lt;&gt;"",_xlpm.MacVal,_xlpm.CSVVal&lt;&gt;"",PROPER(_xlpm.CSVVal)
)),"")</f>
        <v/>
      </c>
      <c r="H207" s="2" t="str" cm="1">
        <f t="array" ref="H207">IFERROR(_xlfn.LET(
_xlpm.CSVVal,_xlfn.XLOOKUP($A207,CSV!$A:$A,CSV!H:H,""),
_xlpm.MacVal,_xlfn.XLOOKUP($A207,Output_Mac!$A:$A,Output_Mac!H:H,""),
_xlpm.MyAuditVal,_xlfn.XLOOKUP($A207,My_Audit!$A:$A,My_Audit!G:G,""),
_xlfn.IFS(_xlpm.MyAuditVal&lt;&gt;"",_xlpm.MyAuditVal,_xlpm.MacVal&lt;&gt;"",_xlpm.MacVal,_xlpm.CSVVal&lt;&gt;"",_xlpm.CSVVal
)),"")</f>
        <v/>
      </c>
      <c r="I207" s="2" t="str">
        <f>_xlfn.XLOOKUP(A207,Output_Mac!A:A,Output_Mac!I:I,"")</f>
        <v/>
      </c>
      <c r="J207" s="2" t="str" cm="1">
        <f t="array" ref="J207">IFERROR(_xlfn.LET(
_xlpm.CSVVal,_xlfn.XLOOKUP($A207,CSV!$A:$A,CSV!I:I,""),
_xlpm.MacVal,_xlfn.XLOOKUP($A207,Output_Mac!$A:$A,Output_Mac!J:J,""),
_xlpm.MyAuditVal,_xlfn.XLOOKUP($A207,My_Audit!$A:$A,My_Audit!I:I,""),
_xlfn.IFS(_xlpm.MyAuditVal&lt;&gt;"",UPPER(_xlpm.MyAuditVal),_xlpm.MacVal&lt;&gt;"",_xlpm.MacVal,_xlpm.CSVVal&lt;&gt;"",_xlpm.CSVVal
)),"")</f>
        <v/>
      </c>
      <c r="K207" s="2" t="str" cm="1">
        <f t="array" ref="K207">IFERROR(_xlfn.LET(
_xlpm.CSVVal,_xlfn.XLOOKUP($A207,CSV!$A:$A,CSV!K:K,""),
_xlpm.MacVal,_xlfn.XLOOKUP($A207,Output_Mac!$A:$A,Output_Mac!K:K,""),
_xlpm.MyAuditVal,_xlfn.XLOOKUP($A207,My_Audit!$A:$A,My_Audit!J:J,""),
_xlfn.IFS(_xlpm.MyAuditVal&lt;&gt;"",UPPER(_xlpm.MyAuditVal),_xlpm.MacVal&lt;&gt;"",_xlpm.MacVal,_xlpm.CSVVal&lt;&gt;"",_xlpm.CSVVal
)),"")</f>
        <v/>
      </c>
      <c r="L207" s="2" t="str" cm="1">
        <f t="array" ref="L207">IFERROR(_xlfn.LET(
_xlpm.CSVVal,_xlfn.XLOOKUP($A207,CSV!$A:$A,CSV!P:P,""),
_xlpm.MacVal,_xlfn.XLOOKUP($A207,Output_Mac!$A:$A,Output_Mac!L:L,""),
_xlpm.MyAuditVal,_xlfn.XLOOKUP($A207,My_Audit!$A:$A,My_Audit!K:K,""),
_xlfn.IFS(_xlpm.MyAuditVal&lt;&gt;"",UPPER(_xlpm.MyAuditVal),_xlpm.MacVal&lt;&gt;"",_xlpm.MacVal,_xlpm.CSVVal&lt;&gt;"",_xlpm.CSVVal
)),"")</f>
        <v/>
      </c>
      <c r="M207" s="2" t="str" cm="1">
        <f t="array" ref="M207">IFERROR(_xlfn.LET(
_xlpm.CSVVal,_xlfn.XLOOKUP($A207,CSV!$A:$A,CSV!Q:Q,""),
_xlpm.MacVal,_xlfn.XLOOKUP($A207,Output_Mac!$A:$A,Output_Mac!M:M,""),
_xlpm.MyAuditVal,_xlfn.XLOOKUP($A207,My_Audit!$A:$A,My_Audit!L:L,""),
_xlfn.IFS(_xlpm.MyAuditVal&lt;&gt;"",UPPER(_xlpm.MyAuditVal),_xlpm.MacVal&lt;&gt;"",_xlpm.MacVal,_xlpm.CSVVal&lt;&gt;"",_xlpm.CSVVal
)),"")</f>
        <v/>
      </c>
      <c r="O207" s="2" t="str">
        <f>_xlfn.LET(
    _xlpm.CSVVal, _xlfn.XLOOKUP($A207, CSV!$A:$A, CSV!AF:AF, ""),
    _xlpm.MacVal, _xlfn.XLOOKUP($A207, Output_Mac!$A:$A, Output_Mac!S:S, ""),
    _xlpm.MyAuditVal, _xlfn.XLOOKUP($A207, My_Audit!$A:$A, My_Audit!P:P, ""),
    _xlfn.TEXTJOIN(", ", TRUE, _xlpm.MyAuditVal, _xlpm.MacVal, _xlpm.CSVVal)
)</f>
        <v/>
      </c>
      <c r="P207" s="2" t="str" cm="1">
        <f t="array" ref="P207">IFERROR(_xlfn.LET(
_xlpm.CSVVal,_xlfn.XLOOKUP($A207,CSV!$A:$A,CSV!AG:AG,""),
_xlpm.MacVal,_xlfn.XLOOKUP($A207,Output_Mac!$A:$A,Output_Mac!T:T,""),
_xlpm.MyAuditVal,_xlfn.XLOOKUP($A207,My_Audit!$A:$A,My_Audit!Q:Q,""),
_xlfn.IFS(_xlpm.MyAuditVal&lt;&gt;"",UPPER(_xlpm.MyAuditVal),_xlpm.MacVal&lt;&gt;"",_xlpm.MacVal,_xlpm.CSVVal&lt;&gt;"",_xlpm.CSVVal
)),"No")</f>
        <v>No</v>
      </c>
      <c r="Q207" s="2" t="str" cm="1">
        <f t="array" ref="Q207">IFERROR(_xlfn.LET(
_xlpm.CSVVal,_xlfn.XLOOKUP($A207,CSV!$A:$A,CSV!AH:AH,""),
_xlpm.MacVal,_xlfn.XLOOKUP($A207,Output_Mac!$A:$A,Output_Mac!U:U,""),
_xlpm.MyAuditVal,_xlfn.XLOOKUP($A207,My_Audit!$A:$A,My_Audit!R:R,""),
_xlfn.IFS(_xlpm.MyAuditVal&lt;&gt;"",UPPER(_xlpm.MyAuditVal),_xlpm.MacVal&lt;&gt;"",_xlpm.MacVal,_xlpm.CSVVal&lt;&gt;"",_xlpm.CSVVal
)),"")</f>
        <v/>
      </c>
    </row>
    <row r="208" spans="1:17">
      <c r="A208" s="2" t="str">
        <f>_xlfn.TEXTJOIN("",TRUE,Input!$B$2,ROW(My_Audit!A207))</f>
        <v>XX207</v>
      </c>
      <c r="B208" s="2" t="str">
        <f>_xlfn.TEXTJOIN("-",TRUE,"ITD",Input!$A$2,A208)</f>
        <v>ITD-SHRXXX-XX207</v>
      </c>
      <c r="C208" s="2" t="str" cm="1">
        <f t="array" ref="C208">IFERROR(_xlfn.LET(
_xlpm.CSVVal,_xlfn.XLOOKUP($A208,CSV!$A:$A,CSV!B:B,""),
_xlpm.MacVal,_xlfn.XLOOKUP($A208,Output_Mac!$A:$A,Output_Mac!B:B,""),
_xlpm.MyAuditVal,_xlfn.XLOOKUP($A208,My_Audit!$A:$A,My_Audit!B:B,""),
_xlfn.IFS(_xlpm.MyAuditVal&lt;&gt;"",UPPER(_xlpm.MyAuditVal),_xlpm.MacVal&lt;&gt;"",_xlpm.MacVal,_xlpm.CSVVal&lt;&gt;"",_xlpm.CSVVal
)),"")</f>
        <v/>
      </c>
      <c r="D208" s="2" t="str" cm="1">
        <f t="array" ref="D208">IFERROR(_xlfn.LET(
_xlpm.CSVVal,_xlfn.XLOOKUP($A208,CSV!$A:$A,CSV!D:D,""),
_xlpm.MacVal,_xlfn.XLOOKUP($A208,Output_Mac!$A:$A,Output_Mac!C:C,""),
_xlpm.MyAuditVal,_xlfn.XLOOKUP($A208,My_Audit!$A:$A,My_Audit!C:C,""),
_xlfn.IFS(_xlpm.MyAuditVal&lt;&gt;"",_xlpm.MyAuditVal,_xlpm.MacVal&lt;&gt;"",_xlpm.MacVal,_xlpm.CSVVal&lt;&gt;"",_xlpm.CSVVal
)),"")</f>
        <v/>
      </c>
      <c r="E208" s="2" t="str">
        <f>_xlfn.XLOOKUP(A208,My_Audit!A:A,My_Audit!D:D,"")&amp;""</f>
        <v/>
      </c>
      <c r="F208" s="2" t="str" cm="1">
        <f t="array" ref="F208">IFERROR(_xlfn.LET(
_xlpm.CSVVal,_xlfn.XLOOKUP($A208,CSV!$A:$A,CSV!F:F,""),
_xlpm.MacVal,_xlfn.XLOOKUP($A208,Output_Mac!$A:$A,Output_Mac!E:E,""),
_xlpm.MyAuditVal,_xlfn.XLOOKUP($A208,My_Audit!$A:$A,My_Audit!E:E,""),
_xlfn.IFS(_xlpm.MyAuditVal&lt;&gt;"",_xlpm.MyAuditVal,_xlpm.MacVal&lt;&gt;"",_xlpm.MacVal,_xlpm.CSVVal&lt;&gt;"",_xlpm.CSVVal
)),"")</f>
        <v/>
      </c>
      <c r="G208" s="2" t="str" cm="1">
        <f t="array" ref="G208">IFERROR(_xlfn.LET(
_xlpm.CSVVal,_xlfn.XLOOKUP($A208,CSV!$A:$A,CSV!G:G,""),
_xlpm.MacVal,_xlfn.XLOOKUP($A208,Output_Mac!$A:$A,Output_Mac!F:F,""),
_xlpm.MyAuditVal,_xlfn.XLOOKUP($A208,My_Audit!$A:$A,My_Audit!F:F,""),
_xlfn.IFS(_xlpm.MyAuditVal&lt;&gt;"",_xlpm.MyAuditVal,_xlpm.MacVal&lt;&gt;"",_xlpm.MacVal,_xlpm.CSVVal&lt;&gt;"",PROPER(_xlpm.CSVVal)
)),"")</f>
        <v/>
      </c>
      <c r="H208" s="2" t="str" cm="1">
        <f t="array" ref="H208">IFERROR(_xlfn.LET(
_xlpm.CSVVal,_xlfn.XLOOKUP($A208,CSV!$A:$A,CSV!H:H,""),
_xlpm.MacVal,_xlfn.XLOOKUP($A208,Output_Mac!$A:$A,Output_Mac!H:H,""),
_xlpm.MyAuditVal,_xlfn.XLOOKUP($A208,My_Audit!$A:$A,My_Audit!G:G,""),
_xlfn.IFS(_xlpm.MyAuditVal&lt;&gt;"",_xlpm.MyAuditVal,_xlpm.MacVal&lt;&gt;"",_xlpm.MacVal,_xlpm.CSVVal&lt;&gt;"",_xlpm.CSVVal
)),"")</f>
        <v/>
      </c>
      <c r="I208" s="2" t="str">
        <f>_xlfn.XLOOKUP(A208,Output_Mac!A:A,Output_Mac!I:I,"")</f>
        <v/>
      </c>
      <c r="J208" s="2" t="str" cm="1">
        <f t="array" ref="J208">IFERROR(_xlfn.LET(
_xlpm.CSVVal,_xlfn.XLOOKUP($A208,CSV!$A:$A,CSV!I:I,""),
_xlpm.MacVal,_xlfn.XLOOKUP($A208,Output_Mac!$A:$A,Output_Mac!J:J,""),
_xlpm.MyAuditVal,_xlfn.XLOOKUP($A208,My_Audit!$A:$A,My_Audit!I:I,""),
_xlfn.IFS(_xlpm.MyAuditVal&lt;&gt;"",UPPER(_xlpm.MyAuditVal),_xlpm.MacVal&lt;&gt;"",_xlpm.MacVal,_xlpm.CSVVal&lt;&gt;"",_xlpm.CSVVal
)),"")</f>
        <v/>
      </c>
      <c r="K208" s="2" t="str" cm="1">
        <f t="array" ref="K208">IFERROR(_xlfn.LET(
_xlpm.CSVVal,_xlfn.XLOOKUP($A208,CSV!$A:$A,CSV!K:K,""),
_xlpm.MacVal,_xlfn.XLOOKUP($A208,Output_Mac!$A:$A,Output_Mac!K:K,""),
_xlpm.MyAuditVal,_xlfn.XLOOKUP($A208,My_Audit!$A:$A,My_Audit!J:J,""),
_xlfn.IFS(_xlpm.MyAuditVal&lt;&gt;"",UPPER(_xlpm.MyAuditVal),_xlpm.MacVal&lt;&gt;"",_xlpm.MacVal,_xlpm.CSVVal&lt;&gt;"",_xlpm.CSVVal
)),"")</f>
        <v/>
      </c>
      <c r="L208" s="2" t="str" cm="1">
        <f t="array" ref="L208">IFERROR(_xlfn.LET(
_xlpm.CSVVal,_xlfn.XLOOKUP($A208,CSV!$A:$A,CSV!P:P,""),
_xlpm.MacVal,_xlfn.XLOOKUP($A208,Output_Mac!$A:$A,Output_Mac!L:L,""),
_xlpm.MyAuditVal,_xlfn.XLOOKUP($A208,My_Audit!$A:$A,My_Audit!K:K,""),
_xlfn.IFS(_xlpm.MyAuditVal&lt;&gt;"",UPPER(_xlpm.MyAuditVal),_xlpm.MacVal&lt;&gt;"",_xlpm.MacVal,_xlpm.CSVVal&lt;&gt;"",_xlpm.CSVVal
)),"")</f>
        <v/>
      </c>
      <c r="M208" s="2" t="str" cm="1">
        <f t="array" ref="M208">IFERROR(_xlfn.LET(
_xlpm.CSVVal,_xlfn.XLOOKUP($A208,CSV!$A:$A,CSV!Q:Q,""),
_xlpm.MacVal,_xlfn.XLOOKUP($A208,Output_Mac!$A:$A,Output_Mac!M:M,""),
_xlpm.MyAuditVal,_xlfn.XLOOKUP($A208,My_Audit!$A:$A,My_Audit!L:L,""),
_xlfn.IFS(_xlpm.MyAuditVal&lt;&gt;"",UPPER(_xlpm.MyAuditVal),_xlpm.MacVal&lt;&gt;"",_xlpm.MacVal,_xlpm.CSVVal&lt;&gt;"",_xlpm.CSVVal
)),"")</f>
        <v/>
      </c>
      <c r="O208" s="2" t="str">
        <f>_xlfn.LET(
    _xlpm.CSVVal, _xlfn.XLOOKUP($A208, CSV!$A:$A, CSV!AF:AF, ""),
    _xlpm.MacVal, _xlfn.XLOOKUP($A208, Output_Mac!$A:$A, Output_Mac!S:S, ""),
    _xlpm.MyAuditVal, _xlfn.XLOOKUP($A208, My_Audit!$A:$A, My_Audit!P:P, ""),
    _xlfn.TEXTJOIN(", ", TRUE, _xlpm.MyAuditVal, _xlpm.MacVal, _xlpm.CSVVal)
)</f>
        <v/>
      </c>
      <c r="P208" s="2" t="str" cm="1">
        <f t="array" ref="P208">IFERROR(_xlfn.LET(
_xlpm.CSVVal,_xlfn.XLOOKUP($A208,CSV!$A:$A,CSV!AG:AG,""),
_xlpm.MacVal,_xlfn.XLOOKUP($A208,Output_Mac!$A:$A,Output_Mac!T:T,""),
_xlpm.MyAuditVal,_xlfn.XLOOKUP($A208,My_Audit!$A:$A,My_Audit!Q:Q,""),
_xlfn.IFS(_xlpm.MyAuditVal&lt;&gt;"",UPPER(_xlpm.MyAuditVal),_xlpm.MacVal&lt;&gt;"",_xlpm.MacVal,_xlpm.CSVVal&lt;&gt;"",_xlpm.CSVVal
)),"No")</f>
        <v>No</v>
      </c>
      <c r="Q208" s="2" t="str" cm="1">
        <f t="array" ref="Q208">IFERROR(_xlfn.LET(
_xlpm.CSVVal,_xlfn.XLOOKUP($A208,CSV!$A:$A,CSV!AH:AH,""),
_xlpm.MacVal,_xlfn.XLOOKUP($A208,Output_Mac!$A:$A,Output_Mac!U:U,""),
_xlpm.MyAuditVal,_xlfn.XLOOKUP($A208,My_Audit!$A:$A,My_Audit!R:R,""),
_xlfn.IFS(_xlpm.MyAuditVal&lt;&gt;"",UPPER(_xlpm.MyAuditVal),_xlpm.MacVal&lt;&gt;"",_xlpm.MacVal,_xlpm.CSVVal&lt;&gt;"",_xlpm.CSVVal
)),"")</f>
        <v/>
      </c>
    </row>
    <row r="209" spans="1:17">
      <c r="A209" s="2" t="str">
        <f>_xlfn.TEXTJOIN("",TRUE,Input!$B$2,ROW(My_Audit!A208))</f>
        <v>XX208</v>
      </c>
      <c r="B209" s="2" t="str">
        <f>_xlfn.TEXTJOIN("-",TRUE,"ITD",Input!$A$2,A209)</f>
        <v>ITD-SHRXXX-XX208</v>
      </c>
      <c r="C209" s="2" t="str" cm="1">
        <f t="array" ref="C209">IFERROR(_xlfn.LET(
_xlpm.CSVVal,_xlfn.XLOOKUP($A209,CSV!$A:$A,CSV!B:B,""),
_xlpm.MacVal,_xlfn.XLOOKUP($A209,Output_Mac!$A:$A,Output_Mac!B:B,""),
_xlpm.MyAuditVal,_xlfn.XLOOKUP($A209,My_Audit!$A:$A,My_Audit!B:B,""),
_xlfn.IFS(_xlpm.MyAuditVal&lt;&gt;"",UPPER(_xlpm.MyAuditVal),_xlpm.MacVal&lt;&gt;"",_xlpm.MacVal,_xlpm.CSVVal&lt;&gt;"",_xlpm.CSVVal
)),"")</f>
        <v/>
      </c>
      <c r="D209" s="2" t="str" cm="1">
        <f t="array" ref="D209">IFERROR(_xlfn.LET(
_xlpm.CSVVal,_xlfn.XLOOKUP($A209,CSV!$A:$A,CSV!D:D,""),
_xlpm.MacVal,_xlfn.XLOOKUP($A209,Output_Mac!$A:$A,Output_Mac!C:C,""),
_xlpm.MyAuditVal,_xlfn.XLOOKUP($A209,My_Audit!$A:$A,My_Audit!C:C,""),
_xlfn.IFS(_xlpm.MyAuditVal&lt;&gt;"",_xlpm.MyAuditVal,_xlpm.MacVal&lt;&gt;"",_xlpm.MacVal,_xlpm.CSVVal&lt;&gt;"",_xlpm.CSVVal
)),"")</f>
        <v/>
      </c>
      <c r="E209" s="2" t="str">
        <f>_xlfn.XLOOKUP(A209,My_Audit!A:A,My_Audit!D:D,"")&amp;""</f>
        <v/>
      </c>
      <c r="F209" s="2" t="str" cm="1">
        <f t="array" ref="F209">IFERROR(_xlfn.LET(
_xlpm.CSVVal,_xlfn.XLOOKUP($A209,CSV!$A:$A,CSV!F:F,""),
_xlpm.MacVal,_xlfn.XLOOKUP($A209,Output_Mac!$A:$A,Output_Mac!E:E,""),
_xlpm.MyAuditVal,_xlfn.XLOOKUP($A209,My_Audit!$A:$A,My_Audit!E:E,""),
_xlfn.IFS(_xlpm.MyAuditVal&lt;&gt;"",_xlpm.MyAuditVal,_xlpm.MacVal&lt;&gt;"",_xlpm.MacVal,_xlpm.CSVVal&lt;&gt;"",_xlpm.CSVVal
)),"")</f>
        <v/>
      </c>
      <c r="G209" s="2" t="str" cm="1">
        <f t="array" ref="G209">IFERROR(_xlfn.LET(
_xlpm.CSVVal,_xlfn.XLOOKUP($A209,CSV!$A:$A,CSV!G:G,""),
_xlpm.MacVal,_xlfn.XLOOKUP($A209,Output_Mac!$A:$A,Output_Mac!F:F,""),
_xlpm.MyAuditVal,_xlfn.XLOOKUP($A209,My_Audit!$A:$A,My_Audit!F:F,""),
_xlfn.IFS(_xlpm.MyAuditVal&lt;&gt;"",_xlpm.MyAuditVal,_xlpm.MacVal&lt;&gt;"",_xlpm.MacVal,_xlpm.CSVVal&lt;&gt;"",PROPER(_xlpm.CSVVal)
)),"")</f>
        <v/>
      </c>
      <c r="H209" s="2" t="str" cm="1">
        <f t="array" ref="H209">IFERROR(_xlfn.LET(
_xlpm.CSVVal,_xlfn.XLOOKUP($A209,CSV!$A:$A,CSV!H:H,""),
_xlpm.MacVal,_xlfn.XLOOKUP($A209,Output_Mac!$A:$A,Output_Mac!H:H,""),
_xlpm.MyAuditVal,_xlfn.XLOOKUP($A209,My_Audit!$A:$A,My_Audit!G:G,""),
_xlfn.IFS(_xlpm.MyAuditVal&lt;&gt;"",_xlpm.MyAuditVal,_xlpm.MacVal&lt;&gt;"",_xlpm.MacVal,_xlpm.CSVVal&lt;&gt;"",_xlpm.CSVVal
)),"")</f>
        <v/>
      </c>
      <c r="I209" s="2" t="str">
        <f>_xlfn.XLOOKUP(A209,Output_Mac!A:A,Output_Mac!I:I,"")</f>
        <v/>
      </c>
      <c r="J209" s="2" t="str" cm="1">
        <f t="array" ref="J209">IFERROR(_xlfn.LET(
_xlpm.CSVVal,_xlfn.XLOOKUP($A209,CSV!$A:$A,CSV!I:I,""),
_xlpm.MacVal,_xlfn.XLOOKUP($A209,Output_Mac!$A:$A,Output_Mac!J:J,""),
_xlpm.MyAuditVal,_xlfn.XLOOKUP($A209,My_Audit!$A:$A,My_Audit!I:I,""),
_xlfn.IFS(_xlpm.MyAuditVal&lt;&gt;"",UPPER(_xlpm.MyAuditVal),_xlpm.MacVal&lt;&gt;"",_xlpm.MacVal,_xlpm.CSVVal&lt;&gt;"",_xlpm.CSVVal
)),"")</f>
        <v/>
      </c>
      <c r="K209" s="2" t="str" cm="1">
        <f t="array" ref="K209">IFERROR(_xlfn.LET(
_xlpm.CSVVal,_xlfn.XLOOKUP($A209,CSV!$A:$A,CSV!K:K,""),
_xlpm.MacVal,_xlfn.XLOOKUP($A209,Output_Mac!$A:$A,Output_Mac!K:K,""),
_xlpm.MyAuditVal,_xlfn.XLOOKUP($A209,My_Audit!$A:$A,My_Audit!J:J,""),
_xlfn.IFS(_xlpm.MyAuditVal&lt;&gt;"",UPPER(_xlpm.MyAuditVal),_xlpm.MacVal&lt;&gt;"",_xlpm.MacVal,_xlpm.CSVVal&lt;&gt;"",_xlpm.CSVVal
)),"")</f>
        <v/>
      </c>
      <c r="L209" s="2" t="str" cm="1">
        <f t="array" ref="L209">IFERROR(_xlfn.LET(
_xlpm.CSVVal,_xlfn.XLOOKUP($A209,CSV!$A:$A,CSV!P:P,""),
_xlpm.MacVal,_xlfn.XLOOKUP($A209,Output_Mac!$A:$A,Output_Mac!L:L,""),
_xlpm.MyAuditVal,_xlfn.XLOOKUP($A209,My_Audit!$A:$A,My_Audit!K:K,""),
_xlfn.IFS(_xlpm.MyAuditVal&lt;&gt;"",UPPER(_xlpm.MyAuditVal),_xlpm.MacVal&lt;&gt;"",_xlpm.MacVal,_xlpm.CSVVal&lt;&gt;"",_xlpm.CSVVal
)),"")</f>
        <v/>
      </c>
      <c r="M209" s="2" t="str" cm="1">
        <f t="array" ref="M209">IFERROR(_xlfn.LET(
_xlpm.CSVVal,_xlfn.XLOOKUP($A209,CSV!$A:$A,CSV!Q:Q,""),
_xlpm.MacVal,_xlfn.XLOOKUP($A209,Output_Mac!$A:$A,Output_Mac!M:M,""),
_xlpm.MyAuditVal,_xlfn.XLOOKUP($A209,My_Audit!$A:$A,My_Audit!L:L,""),
_xlfn.IFS(_xlpm.MyAuditVal&lt;&gt;"",UPPER(_xlpm.MyAuditVal),_xlpm.MacVal&lt;&gt;"",_xlpm.MacVal,_xlpm.CSVVal&lt;&gt;"",_xlpm.CSVVal
)),"")</f>
        <v/>
      </c>
      <c r="O209" s="2" t="str">
        <f>_xlfn.LET(
    _xlpm.CSVVal, _xlfn.XLOOKUP($A209, CSV!$A:$A, CSV!AF:AF, ""),
    _xlpm.MacVal, _xlfn.XLOOKUP($A209, Output_Mac!$A:$A, Output_Mac!S:S, ""),
    _xlpm.MyAuditVal, _xlfn.XLOOKUP($A209, My_Audit!$A:$A, My_Audit!P:P, ""),
    _xlfn.TEXTJOIN(", ", TRUE, _xlpm.MyAuditVal, _xlpm.MacVal, _xlpm.CSVVal)
)</f>
        <v/>
      </c>
      <c r="P209" s="2" t="str" cm="1">
        <f t="array" ref="P209">IFERROR(_xlfn.LET(
_xlpm.CSVVal,_xlfn.XLOOKUP($A209,CSV!$A:$A,CSV!AG:AG,""),
_xlpm.MacVal,_xlfn.XLOOKUP($A209,Output_Mac!$A:$A,Output_Mac!T:T,""),
_xlpm.MyAuditVal,_xlfn.XLOOKUP($A209,My_Audit!$A:$A,My_Audit!Q:Q,""),
_xlfn.IFS(_xlpm.MyAuditVal&lt;&gt;"",UPPER(_xlpm.MyAuditVal),_xlpm.MacVal&lt;&gt;"",_xlpm.MacVal,_xlpm.CSVVal&lt;&gt;"",_xlpm.CSVVal
)),"No")</f>
        <v>No</v>
      </c>
      <c r="Q209" s="2" t="str" cm="1">
        <f t="array" ref="Q209">IFERROR(_xlfn.LET(
_xlpm.CSVVal,_xlfn.XLOOKUP($A209,CSV!$A:$A,CSV!AH:AH,""),
_xlpm.MacVal,_xlfn.XLOOKUP($A209,Output_Mac!$A:$A,Output_Mac!U:U,""),
_xlpm.MyAuditVal,_xlfn.XLOOKUP($A209,My_Audit!$A:$A,My_Audit!R:R,""),
_xlfn.IFS(_xlpm.MyAuditVal&lt;&gt;"",UPPER(_xlpm.MyAuditVal),_xlpm.MacVal&lt;&gt;"",_xlpm.MacVal,_xlpm.CSVVal&lt;&gt;"",_xlpm.CSVVal
)),"")</f>
        <v/>
      </c>
    </row>
    <row r="210" spans="1:17">
      <c r="A210" s="2" t="str">
        <f>_xlfn.TEXTJOIN("",TRUE,Input!$B$2,ROW(My_Audit!A209))</f>
        <v>XX209</v>
      </c>
      <c r="B210" s="2" t="str">
        <f>_xlfn.TEXTJOIN("-",TRUE,"ITD",Input!$A$2,A210)</f>
        <v>ITD-SHRXXX-XX209</v>
      </c>
      <c r="C210" s="2" t="str" cm="1">
        <f t="array" ref="C210">IFERROR(_xlfn.LET(
_xlpm.CSVVal,_xlfn.XLOOKUP($A210,CSV!$A:$A,CSV!B:B,""),
_xlpm.MacVal,_xlfn.XLOOKUP($A210,Output_Mac!$A:$A,Output_Mac!B:B,""),
_xlpm.MyAuditVal,_xlfn.XLOOKUP($A210,My_Audit!$A:$A,My_Audit!B:B,""),
_xlfn.IFS(_xlpm.MyAuditVal&lt;&gt;"",UPPER(_xlpm.MyAuditVal),_xlpm.MacVal&lt;&gt;"",_xlpm.MacVal,_xlpm.CSVVal&lt;&gt;"",_xlpm.CSVVal
)),"")</f>
        <v/>
      </c>
      <c r="D210" s="2" t="str" cm="1">
        <f t="array" ref="D210">IFERROR(_xlfn.LET(
_xlpm.CSVVal,_xlfn.XLOOKUP($A210,CSV!$A:$A,CSV!D:D,""),
_xlpm.MacVal,_xlfn.XLOOKUP($A210,Output_Mac!$A:$A,Output_Mac!C:C,""),
_xlpm.MyAuditVal,_xlfn.XLOOKUP($A210,My_Audit!$A:$A,My_Audit!C:C,""),
_xlfn.IFS(_xlpm.MyAuditVal&lt;&gt;"",_xlpm.MyAuditVal,_xlpm.MacVal&lt;&gt;"",_xlpm.MacVal,_xlpm.CSVVal&lt;&gt;"",_xlpm.CSVVal
)),"")</f>
        <v/>
      </c>
      <c r="E210" s="2" t="str">
        <f>_xlfn.XLOOKUP(A210,My_Audit!A:A,My_Audit!D:D,"")&amp;""</f>
        <v/>
      </c>
      <c r="F210" s="2" t="str" cm="1">
        <f t="array" ref="F210">IFERROR(_xlfn.LET(
_xlpm.CSVVal,_xlfn.XLOOKUP($A210,CSV!$A:$A,CSV!F:F,""),
_xlpm.MacVal,_xlfn.XLOOKUP($A210,Output_Mac!$A:$A,Output_Mac!E:E,""),
_xlpm.MyAuditVal,_xlfn.XLOOKUP($A210,My_Audit!$A:$A,My_Audit!E:E,""),
_xlfn.IFS(_xlpm.MyAuditVal&lt;&gt;"",_xlpm.MyAuditVal,_xlpm.MacVal&lt;&gt;"",_xlpm.MacVal,_xlpm.CSVVal&lt;&gt;"",_xlpm.CSVVal
)),"")</f>
        <v/>
      </c>
      <c r="G210" s="2" t="str" cm="1">
        <f t="array" ref="G210">IFERROR(_xlfn.LET(
_xlpm.CSVVal,_xlfn.XLOOKUP($A210,CSV!$A:$A,CSV!G:G,""),
_xlpm.MacVal,_xlfn.XLOOKUP($A210,Output_Mac!$A:$A,Output_Mac!F:F,""),
_xlpm.MyAuditVal,_xlfn.XLOOKUP($A210,My_Audit!$A:$A,My_Audit!F:F,""),
_xlfn.IFS(_xlpm.MyAuditVal&lt;&gt;"",_xlpm.MyAuditVal,_xlpm.MacVal&lt;&gt;"",_xlpm.MacVal,_xlpm.CSVVal&lt;&gt;"",PROPER(_xlpm.CSVVal)
)),"")</f>
        <v/>
      </c>
      <c r="H210" s="2" t="str" cm="1">
        <f t="array" ref="H210">IFERROR(_xlfn.LET(
_xlpm.CSVVal,_xlfn.XLOOKUP($A210,CSV!$A:$A,CSV!H:H,""),
_xlpm.MacVal,_xlfn.XLOOKUP($A210,Output_Mac!$A:$A,Output_Mac!H:H,""),
_xlpm.MyAuditVal,_xlfn.XLOOKUP($A210,My_Audit!$A:$A,My_Audit!G:G,""),
_xlfn.IFS(_xlpm.MyAuditVal&lt;&gt;"",_xlpm.MyAuditVal,_xlpm.MacVal&lt;&gt;"",_xlpm.MacVal,_xlpm.CSVVal&lt;&gt;"",_xlpm.CSVVal
)),"")</f>
        <v/>
      </c>
      <c r="I210" s="2" t="str">
        <f>_xlfn.XLOOKUP(A210,Output_Mac!A:A,Output_Mac!I:I,"")</f>
        <v/>
      </c>
      <c r="J210" s="2" t="str" cm="1">
        <f t="array" ref="J210">IFERROR(_xlfn.LET(
_xlpm.CSVVal,_xlfn.XLOOKUP($A210,CSV!$A:$A,CSV!I:I,""),
_xlpm.MacVal,_xlfn.XLOOKUP($A210,Output_Mac!$A:$A,Output_Mac!J:J,""),
_xlpm.MyAuditVal,_xlfn.XLOOKUP($A210,My_Audit!$A:$A,My_Audit!I:I,""),
_xlfn.IFS(_xlpm.MyAuditVal&lt;&gt;"",UPPER(_xlpm.MyAuditVal),_xlpm.MacVal&lt;&gt;"",_xlpm.MacVal,_xlpm.CSVVal&lt;&gt;"",_xlpm.CSVVal
)),"")</f>
        <v/>
      </c>
      <c r="K210" s="2" t="str" cm="1">
        <f t="array" ref="K210">IFERROR(_xlfn.LET(
_xlpm.CSVVal,_xlfn.XLOOKUP($A210,CSV!$A:$A,CSV!K:K,""),
_xlpm.MacVal,_xlfn.XLOOKUP($A210,Output_Mac!$A:$A,Output_Mac!K:K,""),
_xlpm.MyAuditVal,_xlfn.XLOOKUP($A210,My_Audit!$A:$A,My_Audit!J:J,""),
_xlfn.IFS(_xlpm.MyAuditVal&lt;&gt;"",UPPER(_xlpm.MyAuditVal),_xlpm.MacVal&lt;&gt;"",_xlpm.MacVal,_xlpm.CSVVal&lt;&gt;"",_xlpm.CSVVal
)),"")</f>
        <v/>
      </c>
      <c r="L210" s="2" t="str" cm="1">
        <f t="array" ref="L210">IFERROR(_xlfn.LET(
_xlpm.CSVVal,_xlfn.XLOOKUP($A210,CSV!$A:$A,CSV!P:P,""),
_xlpm.MacVal,_xlfn.XLOOKUP($A210,Output_Mac!$A:$A,Output_Mac!L:L,""),
_xlpm.MyAuditVal,_xlfn.XLOOKUP($A210,My_Audit!$A:$A,My_Audit!K:K,""),
_xlfn.IFS(_xlpm.MyAuditVal&lt;&gt;"",UPPER(_xlpm.MyAuditVal),_xlpm.MacVal&lt;&gt;"",_xlpm.MacVal,_xlpm.CSVVal&lt;&gt;"",_xlpm.CSVVal
)),"")</f>
        <v/>
      </c>
      <c r="M210" s="2" t="str" cm="1">
        <f t="array" ref="M210">IFERROR(_xlfn.LET(
_xlpm.CSVVal,_xlfn.XLOOKUP($A210,CSV!$A:$A,CSV!Q:Q,""),
_xlpm.MacVal,_xlfn.XLOOKUP($A210,Output_Mac!$A:$A,Output_Mac!M:M,""),
_xlpm.MyAuditVal,_xlfn.XLOOKUP($A210,My_Audit!$A:$A,My_Audit!L:L,""),
_xlfn.IFS(_xlpm.MyAuditVal&lt;&gt;"",UPPER(_xlpm.MyAuditVal),_xlpm.MacVal&lt;&gt;"",_xlpm.MacVal,_xlpm.CSVVal&lt;&gt;"",_xlpm.CSVVal
)),"")</f>
        <v/>
      </c>
      <c r="O210" s="2" t="str">
        <f>_xlfn.LET(
    _xlpm.CSVVal, _xlfn.XLOOKUP($A210, CSV!$A:$A, CSV!AF:AF, ""),
    _xlpm.MacVal, _xlfn.XLOOKUP($A210, Output_Mac!$A:$A, Output_Mac!S:S, ""),
    _xlpm.MyAuditVal, _xlfn.XLOOKUP($A210, My_Audit!$A:$A, My_Audit!P:P, ""),
    _xlfn.TEXTJOIN(", ", TRUE, _xlpm.MyAuditVal, _xlpm.MacVal, _xlpm.CSVVal)
)</f>
        <v/>
      </c>
      <c r="P210" s="2" t="str" cm="1">
        <f t="array" ref="P210">IFERROR(_xlfn.LET(
_xlpm.CSVVal,_xlfn.XLOOKUP($A210,CSV!$A:$A,CSV!AG:AG,""),
_xlpm.MacVal,_xlfn.XLOOKUP($A210,Output_Mac!$A:$A,Output_Mac!T:T,""),
_xlpm.MyAuditVal,_xlfn.XLOOKUP($A210,My_Audit!$A:$A,My_Audit!Q:Q,""),
_xlfn.IFS(_xlpm.MyAuditVal&lt;&gt;"",UPPER(_xlpm.MyAuditVal),_xlpm.MacVal&lt;&gt;"",_xlpm.MacVal,_xlpm.CSVVal&lt;&gt;"",_xlpm.CSVVal
)),"No")</f>
        <v>No</v>
      </c>
      <c r="Q210" s="2" t="str" cm="1">
        <f t="array" ref="Q210">IFERROR(_xlfn.LET(
_xlpm.CSVVal,_xlfn.XLOOKUP($A210,CSV!$A:$A,CSV!AH:AH,""),
_xlpm.MacVal,_xlfn.XLOOKUP($A210,Output_Mac!$A:$A,Output_Mac!U:U,""),
_xlpm.MyAuditVal,_xlfn.XLOOKUP($A210,My_Audit!$A:$A,My_Audit!R:R,""),
_xlfn.IFS(_xlpm.MyAuditVal&lt;&gt;"",UPPER(_xlpm.MyAuditVal),_xlpm.MacVal&lt;&gt;"",_xlpm.MacVal,_xlpm.CSVVal&lt;&gt;"",_xlpm.CSVVal
)),"")</f>
        <v/>
      </c>
    </row>
    <row r="211" spans="1:17">
      <c r="A211" s="2" t="str">
        <f>_xlfn.TEXTJOIN("",TRUE,Input!$B$2,ROW(My_Audit!A210))</f>
        <v>XX210</v>
      </c>
      <c r="B211" s="2" t="str">
        <f>_xlfn.TEXTJOIN("-",TRUE,"ITD",Input!$A$2,A211)</f>
        <v>ITD-SHRXXX-XX210</v>
      </c>
      <c r="C211" s="2" t="str" cm="1">
        <f t="array" ref="C211">IFERROR(_xlfn.LET(
_xlpm.CSVVal,_xlfn.XLOOKUP($A211,CSV!$A:$A,CSV!B:B,""),
_xlpm.MacVal,_xlfn.XLOOKUP($A211,Output_Mac!$A:$A,Output_Mac!B:B,""),
_xlpm.MyAuditVal,_xlfn.XLOOKUP($A211,My_Audit!$A:$A,My_Audit!B:B,""),
_xlfn.IFS(_xlpm.MyAuditVal&lt;&gt;"",UPPER(_xlpm.MyAuditVal),_xlpm.MacVal&lt;&gt;"",_xlpm.MacVal,_xlpm.CSVVal&lt;&gt;"",_xlpm.CSVVal
)),"")</f>
        <v/>
      </c>
      <c r="D211" s="2" t="str" cm="1">
        <f t="array" ref="D211">IFERROR(_xlfn.LET(
_xlpm.CSVVal,_xlfn.XLOOKUP($A211,CSV!$A:$A,CSV!D:D,""),
_xlpm.MacVal,_xlfn.XLOOKUP($A211,Output_Mac!$A:$A,Output_Mac!C:C,""),
_xlpm.MyAuditVal,_xlfn.XLOOKUP($A211,My_Audit!$A:$A,My_Audit!C:C,""),
_xlfn.IFS(_xlpm.MyAuditVal&lt;&gt;"",_xlpm.MyAuditVal,_xlpm.MacVal&lt;&gt;"",_xlpm.MacVal,_xlpm.CSVVal&lt;&gt;"",_xlpm.CSVVal
)),"")</f>
        <v/>
      </c>
      <c r="E211" s="2" t="str">
        <f>_xlfn.XLOOKUP(A211,My_Audit!A:A,My_Audit!D:D,"")&amp;""</f>
        <v/>
      </c>
      <c r="F211" s="2" t="str" cm="1">
        <f t="array" ref="F211">IFERROR(_xlfn.LET(
_xlpm.CSVVal,_xlfn.XLOOKUP($A211,CSV!$A:$A,CSV!F:F,""),
_xlpm.MacVal,_xlfn.XLOOKUP($A211,Output_Mac!$A:$A,Output_Mac!E:E,""),
_xlpm.MyAuditVal,_xlfn.XLOOKUP($A211,My_Audit!$A:$A,My_Audit!E:E,""),
_xlfn.IFS(_xlpm.MyAuditVal&lt;&gt;"",_xlpm.MyAuditVal,_xlpm.MacVal&lt;&gt;"",_xlpm.MacVal,_xlpm.CSVVal&lt;&gt;"",_xlpm.CSVVal
)),"")</f>
        <v/>
      </c>
      <c r="G211" s="2" t="str" cm="1">
        <f t="array" ref="G211">IFERROR(_xlfn.LET(
_xlpm.CSVVal,_xlfn.XLOOKUP($A211,CSV!$A:$A,CSV!G:G,""),
_xlpm.MacVal,_xlfn.XLOOKUP($A211,Output_Mac!$A:$A,Output_Mac!F:F,""),
_xlpm.MyAuditVal,_xlfn.XLOOKUP($A211,My_Audit!$A:$A,My_Audit!F:F,""),
_xlfn.IFS(_xlpm.MyAuditVal&lt;&gt;"",_xlpm.MyAuditVal,_xlpm.MacVal&lt;&gt;"",_xlpm.MacVal,_xlpm.CSVVal&lt;&gt;"",PROPER(_xlpm.CSVVal)
)),"")</f>
        <v/>
      </c>
      <c r="H211" s="2" t="str" cm="1">
        <f t="array" ref="H211">IFERROR(_xlfn.LET(
_xlpm.CSVVal,_xlfn.XLOOKUP($A211,CSV!$A:$A,CSV!H:H,""),
_xlpm.MacVal,_xlfn.XLOOKUP($A211,Output_Mac!$A:$A,Output_Mac!H:H,""),
_xlpm.MyAuditVal,_xlfn.XLOOKUP($A211,My_Audit!$A:$A,My_Audit!G:G,""),
_xlfn.IFS(_xlpm.MyAuditVal&lt;&gt;"",_xlpm.MyAuditVal,_xlpm.MacVal&lt;&gt;"",_xlpm.MacVal,_xlpm.CSVVal&lt;&gt;"",_xlpm.CSVVal
)),"")</f>
        <v/>
      </c>
      <c r="I211" s="2" t="str">
        <f>_xlfn.XLOOKUP(A211,Output_Mac!A:A,Output_Mac!I:I,"")</f>
        <v/>
      </c>
      <c r="J211" s="2" t="str" cm="1">
        <f t="array" ref="J211">IFERROR(_xlfn.LET(
_xlpm.CSVVal,_xlfn.XLOOKUP($A211,CSV!$A:$A,CSV!I:I,""),
_xlpm.MacVal,_xlfn.XLOOKUP($A211,Output_Mac!$A:$A,Output_Mac!J:J,""),
_xlpm.MyAuditVal,_xlfn.XLOOKUP($A211,My_Audit!$A:$A,My_Audit!I:I,""),
_xlfn.IFS(_xlpm.MyAuditVal&lt;&gt;"",UPPER(_xlpm.MyAuditVal),_xlpm.MacVal&lt;&gt;"",_xlpm.MacVal,_xlpm.CSVVal&lt;&gt;"",_xlpm.CSVVal
)),"")</f>
        <v/>
      </c>
      <c r="K211" s="2" t="str" cm="1">
        <f t="array" ref="K211">IFERROR(_xlfn.LET(
_xlpm.CSVVal,_xlfn.XLOOKUP($A211,CSV!$A:$A,CSV!K:K,""),
_xlpm.MacVal,_xlfn.XLOOKUP($A211,Output_Mac!$A:$A,Output_Mac!K:K,""),
_xlpm.MyAuditVal,_xlfn.XLOOKUP($A211,My_Audit!$A:$A,My_Audit!J:J,""),
_xlfn.IFS(_xlpm.MyAuditVal&lt;&gt;"",UPPER(_xlpm.MyAuditVal),_xlpm.MacVal&lt;&gt;"",_xlpm.MacVal,_xlpm.CSVVal&lt;&gt;"",_xlpm.CSVVal
)),"")</f>
        <v/>
      </c>
      <c r="L211" s="2" t="str" cm="1">
        <f t="array" ref="L211">IFERROR(_xlfn.LET(
_xlpm.CSVVal,_xlfn.XLOOKUP($A211,CSV!$A:$A,CSV!P:P,""),
_xlpm.MacVal,_xlfn.XLOOKUP($A211,Output_Mac!$A:$A,Output_Mac!L:L,""),
_xlpm.MyAuditVal,_xlfn.XLOOKUP($A211,My_Audit!$A:$A,My_Audit!K:K,""),
_xlfn.IFS(_xlpm.MyAuditVal&lt;&gt;"",UPPER(_xlpm.MyAuditVal),_xlpm.MacVal&lt;&gt;"",_xlpm.MacVal,_xlpm.CSVVal&lt;&gt;"",_xlpm.CSVVal
)),"")</f>
        <v/>
      </c>
      <c r="M211" s="2" t="str" cm="1">
        <f t="array" ref="M211">IFERROR(_xlfn.LET(
_xlpm.CSVVal,_xlfn.XLOOKUP($A211,CSV!$A:$A,CSV!Q:Q,""),
_xlpm.MacVal,_xlfn.XLOOKUP($A211,Output_Mac!$A:$A,Output_Mac!M:M,""),
_xlpm.MyAuditVal,_xlfn.XLOOKUP($A211,My_Audit!$A:$A,My_Audit!L:L,""),
_xlfn.IFS(_xlpm.MyAuditVal&lt;&gt;"",UPPER(_xlpm.MyAuditVal),_xlpm.MacVal&lt;&gt;"",_xlpm.MacVal,_xlpm.CSVVal&lt;&gt;"",_xlpm.CSVVal
)),"")</f>
        <v/>
      </c>
      <c r="O211" s="2" t="str">
        <f>_xlfn.LET(
    _xlpm.CSVVal, _xlfn.XLOOKUP($A211, CSV!$A:$A, CSV!AF:AF, ""),
    _xlpm.MacVal, _xlfn.XLOOKUP($A211, Output_Mac!$A:$A, Output_Mac!S:S, ""),
    _xlpm.MyAuditVal, _xlfn.XLOOKUP($A211, My_Audit!$A:$A, My_Audit!P:P, ""),
    _xlfn.TEXTJOIN(", ", TRUE, _xlpm.MyAuditVal, _xlpm.MacVal, _xlpm.CSVVal)
)</f>
        <v/>
      </c>
      <c r="P211" s="2" t="str" cm="1">
        <f t="array" ref="P211">IFERROR(_xlfn.LET(
_xlpm.CSVVal,_xlfn.XLOOKUP($A211,CSV!$A:$A,CSV!AG:AG,""),
_xlpm.MacVal,_xlfn.XLOOKUP($A211,Output_Mac!$A:$A,Output_Mac!T:T,""),
_xlpm.MyAuditVal,_xlfn.XLOOKUP($A211,My_Audit!$A:$A,My_Audit!Q:Q,""),
_xlfn.IFS(_xlpm.MyAuditVal&lt;&gt;"",UPPER(_xlpm.MyAuditVal),_xlpm.MacVal&lt;&gt;"",_xlpm.MacVal,_xlpm.CSVVal&lt;&gt;"",_xlpm.CSVVal
)),"No")</f>
        <v>No</v>
      </c>
      <c r="Q211" s="2" t="str" cm="1">
        <f t="array" ref="Q211">IFERROR(_xlfn.LET(
_xlpm.CSVVal,_xlfn.XLOOKUP($A211,CSV!$A:$A,CSV!AH:AH,""),
_xlpm.MacVal,_xlfn.XLOOKUP($A211,Output_Mac!$A:$A,Output_Mac!U:U,""),
_xlpm.MyAuditVal,_xlfn.XLOOKUP($A211,My_Audit!$A:$A,My_Audit!R:R,""),
_xlfn.IFS(_xlpm.MyAuditVal&lt;&gt;"",UPPER(_xlpm.MyAuditVal),_xlpm.MacVal&lt;&gt;"",_xlpm.MacVal,_xlpm.CSVVal&lt;&gt;"",_xlpm.CSVVal
)),"")</f>
        <v/>
      </c>
    </row>
    <row r="212" spans="1:17">
      <c r="A212" s="2" t="str">
        <f>_xlfn.TEXTJOIN("",TRUE,Input!$B$2,ROW(My_Audit!A211))</f>
        <v>XX211</v>
      </c>
      <c r="B212" s="2" t="str">
        <f>_xlfn.TEXTJOIN("-",TRUE,"ITD",Input!$A$2,A212)</f>
        <v>ITD-SHRXXX-XX211</v>
      </c>
      <c r="C212" s="2" t="str" cm="1">
        <f t="array" ref="C212">IFERROR(_xlfn.LET(
_xlpm.CSVVal,_xlfn.XLOOKUP($A212,CSV!$A:$A,CSV!B:B,""),
_xlpm.MacVal,_xlfn.XLOOKUP($A212,Output_Mac!$A:$A,Output_Mac!B:B,""),
_xlpm.MyAuditVal,_xlfn.XLOOKUP($A212,My_Audit!$A:$A,My_Audit!B:B,""),
_xlfn.IFS(_xlpm.MyAuditVal&lt;&gt;"",UPPER(_xlpm.MyAuditVal),_xlpm.MacVal&lt;&gt;"",_xlpm.MacVal,_xlpm.CSVVal&lt;&gt;"",_xlpm.CSVVal
)),"")</f>
        <v/>
      </c>
      <c r="D212" s="2" t="str" cm="1">
        <f t="array" ref="D212">IFERROR(_xlfn.LET(
_xlpm.CSVVal,_xlfn.XLOOKUP($A212,CSV!$A:$A,CSV!D:D,""),
_xlpm.MacVal,_xlfn.XLOOKUP($A212,Output_Mac!$A:$A,Output_Mac!C:C,""),
_xlpm.MyAuditVal,_xlfn.XLOOKUP($A212,My_Audit!$A:$A,My_Audit!C:C,""),
_xlfn.IFS(_xlpm.MyAuditVal&lt;&gt;"",_xlpm.MyAuditVal,_xlpm.MacVal&lt;&gt;"",_xlpm.MacVal,_xlpm.CSVVal&lt;&gt;"",_xlpm.CSVVal
)),"")</f>
        <v/>
      </c>
      <c r="E212" s="2" t="str">
        <f>_xlfn.XLOOKUP(A212,My_Audit!A:A,My_Audit!D:D,"")&amp;""</f>
        <v/>
      </c>
      <c r="F212" s="2" t="str" cm="1">
        <f t="array" ref="F212">IFERROR(_xlfn.LET(
_xlpm.CSVVal,_xlfn.XLOOKUP($A212,CSV!$A:$A,CSV!F:F,""),
_xlpm.MacVal,_xlfn.XLOOKUP($A212,Output_Mac!$A:$A,Output_Mac!E:E,""),
_xlpm.MyAuditVal,_xlfn.XLOOKUP($A212,My_Audit!$A:$A,My_Audit!E:E,""),
_xlfn.IFS(_xlpm.MyAuditVal&lt;&gt;"",_xlpm.MyAuditVal,_xlpm.MacVal&lt;&gt;"",_xlpm.MacVal,_xlpm.CSVVal&lt;&gt;"",_xlpm.CSVVal
)),"")</f>
        <v/>
      </c>
      <c r="G212" s="2" t="str" cm="1">
        <f t="array" ref="G212">IFERROR(_xlfn.LET(
_xlpm.CSVVal,_xlfn.XLOOKUP($A212,CSV!$A:$A,CSV!G:G,""),
_xlpm.MacVal,_xlfn.XLOOKUP($A212,Output_Mac!$A:$A,Output_Mac!F:F,""),
_xlpm.MyAuditVal,_xlfn.XLOOKUP($A212,My_Audit!$A:$A,My_Audit!F:F,""),
_xlfn.IFS(_xlpm.MyAuditVal&lt;&gt;"",_xlpm.MyAuditVal,_xlpm.MacVal&lt;&gt;"",_xlpm.MacVal,_xlpm.CSVVal&lt;&gt;"",PROPER(_xlpm.CSVVal)
)),"")</f>
        <v/>
      </c>
      <c r="H212" s="2" t="str" cm="1">
        <f t="array" ref="H212">IFERROR(_xlfn.LET(
_xlpm.CSVVal,_xlfn.XLOOKUP($A212,CSV!$A:$A,CSV!H:H,""),
_xlpm.MacVal,_xlfn.XLOOKUP($A212,Output_Mac!$A:$A,Output_Mac!H:H,""),
_xlpm.MyAuditVal,_xlfn.XLOOKUP($A212,My_Audit!$A:$A,My_Audit!G:G,""),
_xlfn.IFS(_xlpm.MyAuditVal&lt;&gt;"",_xlpm.MyAuditVal,_xlpm.MacVal&lt;&gt;"",_xlpm.MacVal,_xlpm.CSVVal&lt;&gt;"",_xlpm.CSVVal
)),"")</f>
        <v/>
      </c>
      <c r="I212" s="2" t="str">
        <f>_xlfn.XLOOKUP(A212,Output_Mac!A:A,Output_Mac!I:I,"")</f>
        <v/>
      </c>
      <c r="J212" s="2" t="str" cm="1">
        <f t="array" ref="J212">IFERROR(_xlfn.LET(
_xlpm.CSVVal,_xlfn.XLOOKUP($A212,CSV!$A:$A,CSV!I:I,""),
_xlpm.MacVal,_xlfn.XLOOKUP($A212,Output_Mac!$A:$A,Output_Mac!J:J,""),
_xlpm.MyAuditVal,_xlfn.XLOOKUP($A212,My_Audit!$A:$A,My_Audit!I:I,""),
_xlfn.IFS(_xlpm.MyAuditVal&lt;&gt;"",UPPER(_xlpm.MyAuditVal),_xlpm.MacVal&lt;&gt;"",_xlpm.MacVal,_xlpm.CSVVal&lt;&gt;"",_xlpm.CSVVal
)),"")</f>
        <v/>
      </c>
      <c r="K212" s="2" t="str" cm="1">
        <f t="array" ref="K212">IFERROR(_xlfn.LET(
_xlpm.CSVVal,_xlfn.XLOOKUP($A212,CSV!$A:$A,CSV!K:K,""),
_xlpm.MacVal,_xlfn.XLOOKUP($A212,Output_Mac!$A:$A,Output_Mac!K:K,""),
_xlpm.MyAuditVal,_xlfn.XLOOKUP($A212,My_Audit!$A:$A,My_Audit!J:J,""),
_xlfn.IFS(_xlpm.MyAuditVal&lt;&gt;"",UPPER(_xlpm.MyAuditVal),_xlpm.MacVal&lt;&gt;"",_xlpm.MacVal,_xlpm.CSVVal&lt;&gt;"",_xlpm.CSVVal
)),"")</f>
        <v/>
      </c>
      <c r="L212" s="2" t="str" cm="1">
        <f t="array" ref="L212">IFERROR(_xlfn.LET(
_xlpm.CSVVal,_xlfn.XLOOKUP($A212,CSV!$A:$A,CSV!P:P,""),
_xlpm.MacVal,_xlfn.XLOOKUP($A212,Output_Mac!$A:$A,Output_Mac!L:L,""),
_xlpm.MyAuditVal,_xlfn.XLOOKUP($A212,My_Audit!$A:$A,My_Audit!K:K,""),
_xlfn.IFS(_xlpm.MyAuditVal&lt;&gt;"",UPPER(_xlpm.MyAuditVal),_xlpm.MacVal&lt;&gt;"",_xlpm.MacVal,_xlpm.CSVVal&lt;&gt;"",_xlpm.CSVVal
)),"")</f>
        <v/>
      </c>
      <c r="M212" s="2" t="str" cm="1">
        <f t="array" ref="M212">IFERROR(_xlfn.LET(
_xlpm.CSVVal,_xlfn.XLOOKUP($A212,CSV!$A:$A,CSV!Q:Q,""),
_xlpm.MacVal,_xlfn.XLOOKUP($A212,Output_Mac!$A:$A,Output_Mac!M:M,""),
_xlpm.MyAuditVal,_xlfn.XLOOKUP($A212,My_Audit!$A:$A,My_Audit!L:L,""),
_xlfn.IFS(_xlpm.MyAuditVal&lt;&gt;"",UPPER(_xlpm.MyAuditVal),_xlpm.MacVal&lt;&gt;"",_xlpm.MacVal,_xlpm.CSVVal&lt;&gt;"",_xlpm.CSVVal
)),"")</f>
        <v/>
      </c>
      <c r="O212" s="2" t="str">
        <f>_xlfn.LET(
    _xlpm.CSVVal, _xlfn.XLOOKUP($A212, CSV!$A:$A, CSV!AF:AF, ""),
    _xlpm.MacVal, _xlfn.XLOOKUP($A212, Output_Mac!$A:$A, Output_Mac!S:S, ""),
    _xlpm.MyAuditVal, _xlfn.XLOOKUP($A212, My_Audit!$A:$A, My_Audit!P:P, ""),
    _xlfn.TEXTJOIN(", ", TRUE, _xlpm.MyAuditVal, _xlpm.MacVal, _xlpm.CSVVal)
)</f>
        <v/>
      </c>
      <c r="P212" s="2" t="str" cm="1">
        <f t="array" ref="P212">IFERROR(_xlfn.LET(
_xlpm.CSVVal,_xlfn.XLOOKUP($A212,CSV!$A:$A,CSV!AG:AG,""),
_xlpm.MacVal,_xlfn.XLOOKUP($A212,Output_Mac!$A:$A,Output_Mac!T:T,""),
_xlpm.MyAuditVal,_xlfn.XLOOKUP($A212,My_Audit!$A:$A,My_Audit!Q:Q,""),
_xlfn.IFS(_xlpm.MyAuditVal&lt;&gt;"",UPPER(_xlpm.MyAuditVal),_xlpm.MacVal&lt;&gt;"",_xlpm.MacVal,_xlpm.CSVVal&lt;&gt;"",_xlpm.CSVVal
)),"No")</f>
        <v>No</v>
      </c>
      <c r="Q212" s="2" t="str" cm="1">
        <f t="array" ref="Q212">IFERROR(_xlfn.LET(
_xlpm.CSVVal,_xlfn.XLOOKUP($A212,CSV!$A:$A,CSV!AH:AH,""),
_xlpm.MacVal,_xlfn.XLOOKUP($A212,Output_Mac!$A:$A,Output_Mac!U:U,""),
_xlpm.MyAuditVal,_xlfn.XLOOKUP($A212,My_Audit!$A:$A,My_Audit!R:R,""),
_xlfn.IFS(_xlpm.MyAuditVal&lt;&gt;"",UPPER(_xlpm.MyAuditVal),_xlpm.MacVal&lt;&gt;"",_xlpm.MacVal,_xlpm.CSVVal&lt;&gt;"",_xlpm.CSVVal
)),"")</f>
        <v/>
      </c>
    </row>
    <row r="213" spans="1:17">
      <c r="A213" s="2" t="str">
        <f>_xlfn.TEXTJOIN("",TRUE,Input!$B$2,ROW(My_Audit!A212))</f>
        <v>XX212</v>
      </c>
      <c r="B213" s="2" t="str">
        <f>_xlfn.TEXTJOIN("-",TRUE,"ITD",Input!$A$2,A213)</f>
        <v>ITD-SHRXXX-XX212</v>
      </c>
      <c r="C213" s="2" t="str" cm="1">
        <f t="array" ref="C213">IFERROR(_xlfn.LET(
_xlpm.CSVVal,_xlfn.XLOOKUP($A213,CSV!$A:$A,CSV!B:B,""),
_xlpm.MacVal,_xlfn.XLOOKUP($A213,Output_Mac!$A:$A,Output_Mac!B:B,""),
_xlpm.MyAuditVal,_xlfn.XLOOKUP($A213,My_Audit!$A:$A,My_Audit!B:B,""),
_xlfn.IFS(_xlpm.MyAuditVal&lt;&gt;"",UPPER(_xlpm.MyAuditVal),_xlpm.MacVal&lt;&gt;"",_xlpm.MacVal,_xlpm.CSVVal&lt;&gt;"",_xlpm.CSVVal
)),"")</f>
        <v/>
      </c>
      <c r="D213" s="2" t="str" cm="1">
        <f t="array" ref="D213">IFERROR(_xlfn.LET(
_xlpm.CSVVal,_xlfn.XLOOKUP($A213,CSV!$A:$A,CSV!D:D,""),
_xlpm.MacVal,_xlfn.XLOOKUP($A213,Output_Mac!$A:$A,Output_Mac!C:C,""),
_xlpm.MyAuditVal,_xlfn.XLOOKUP($A213,My_Audit!$A:$A,My_Audit!C:C,""),
_xlfn.IFS(_xlpm.MyAuditVal&lt;&gt;"",_xlpm.MyAuditVal,_xlpm.MacVal&lt;&gt;"",_xlpm.MacVal,_xlpm.CSVVal&lt;&gt;"",_xlpm.CSVVal
)),"")</f>
        <v/>
      </c>
      <c r="E213" s="2" t="str">
        <f>_xlfn.XLOOKUP(A213,My_Audit!A:A,My_Audit!D:D,"")&amp;""</f>
        <v/>
      </c>
      <c r="F213" s="2" t="str" cm="1">
        <f t="array" ref="F213">IFERROR(_xlfn.LET(
_xlpm.CSVVal,_xlfn.XLOOKUP($A213,CSV!$A:$A,CSV!F:F,""),
_xlpm.MacVal,_xlfn.XLOOKUP($A213,Output_Mac!$A:$A,Output_Mac!E:E,""),
_xlpm.MyAuditVal,_xlfn.XLOOKUP($A213,My_Audit!$A:$A,My_Audit!E:E,""),
_xlfn.IFS(_xlpm.MyAuditVal&lt;&gt;"",_xlpm.MyAuditVal,_xlpm.MacVal&lt;&gt;"",_xlpm.MacVal,_xlpm.CSVVal&lt;&gt;"",_xlpm.CSVVal
)),"")</f>
        <v/>
      </c>
      <c r="G213" s="2" t="str" cm="1">
        <f t="array" ref="G213">IFERROR(_xlfn.LET(
_xlpm.CSVVal,_xlfn.XLOOKUP($A213,CSV!$A:$A,CSV!G:G,""),
_xlpm.MacVal,_xlfn.XLOOKUP($A213,Output_Mac!$A:$A,Output_Mac!F:F,""),
_xlpm.MyAuditVal,_xlfn.XLOOKUP($A213,My_Audit!$A:$A,My_Audit!F:F,""),
_xlfn.IFS(_xlpm.MyAuditVal&lt;&gt;"",_xlpm.MyAuditVal,_xlpm.MacVal&lt;&gt;"",_xlpm.MacVal,_xlpm.CSVVal&lt;&gt;"",PROPER(_xlpm.CSVVal)
)),"")</f>
        <v/>
      </c>
      <c r="H213" s="2" t="str" cm="1">
        <f t="array" ref="H213">IFERROR(_xlfn.LET(
_xlpm.CSVVal,_xlfn.XLOOKUP($A213,CSV!$A:$A,CSV!H:H,""),
_xlpm.MacVal,_xlfn.XLOOKUP($A213,Output_Mac!$A:$A,Output_Mac!H:H,""),
_xlpm.MyAuditVal,_xlfn.XLOOKUP($A213,My_Audit!$A:$A,My_Audit!G:G,""),
_xlfn.IFS(_xlpm.MyAuditVal&lt;&gt;"",_xlpm.MyAuditVal,_xlpm.MacVal&lt;&gt;"",_xlpm.MacVal,_xlpm.CSVVal&lt;&gt;"",_xlpm.CSVVal
)),"")</f>
        <v/>
      </c>
      <c r="I213" s="2" t="str">
        <f>_xlfn.XLOOKUP(A213,Output_Mac!A:A,Output_Mac!I:I,"")</f>
        <v/>
      </c>
      <c r="J213" s="2" t="str" cm="1">
        <f t="array" ref="J213">IFERROR(_xlfn.LET(
_xlpm.CSVVal,_xlfn.XLOOKUP($A213,CSV!$A:$A,CSV!I:I,""),
_xlpm.MacVal,_xlfn.XLOOKUP($A213,Output_Mac!$A:$A,Output_Mac!J:J,""),
_xlpm.MyAuditVal,_xlfn.XLOOKUP($A213,My_Audit!$A:$A,My_Audit!I:I,""),
_xlfn.IFS(_xlpm.MyAuditVal&lt;&gt;"",UPPER(_xlpm.MyAuditVal),_xlpm.MacVal&lt;&gt;"",_xlpm.MacVal,_xlpm.CSVVal&lt;&gt;"",_xlpm.CSVVal
)),"")</f>
        <v/>
      </c>
      <c r="K213" s="2" t="str" cm="1">
        <f t="array" ref="K213">IFERROR(_xlfn.LET(
_xlpm.CSVVal,_xlfn.XLOOKUP($A213,CSV!$A:$A,CSV!K:K,""),
_xlpm.MacVal,_xlfn.XLOOKUP($A213,Output_Mac!$A:$A,Output_Mac!K:K,""),
_xlpm.MyAuditVal,_xlfn.XLOOKUP($A213,My_Audit!$A:$A,My_Audit!J:J,""),
_xlfn.IFS(_xlpm.MyAuditVal&lt;&gt;"",UPPER(_xlpm.MyAuditVal),_xlpm.MacVal&lt;&gt;"",_xlpm.MacVal,_xlpm.CSVVal&lt;&gt;"",_xlpm.CSVVal
)),"")</f>
        <v/>
      </c>
      <c r="L213" s="2" t="str" cm="1">
        <f t="array" ref="L213">IFERROR(_xlfn.LET(
_xlpm.CSVVal,_xlfn.XLOOKUP($A213,CSV!$A:$A,CSV!P:P,""),
_xlpm.MacVal,_xlfn.XLOOKUP($A213,Output_Mac!$A:$A,Output_Mac!L:L,""),
_xlpm.MyAuditVal,_xlfn.XLOOKUP($A213,My_Audit!$A:$A,My_Audit!K:K,""),
_xlfn.IFS(_xlpm.MyAuditVal&lt;&gt;"",UPPER(_xlpm.MyAuditVal),_xlpm.MacVal&lt;&gt;"",_xlpm.MacVal,_xlpm.CSVVal&lt;&gt;"",_xlpm.CSVVal
)),"")</f>
        <v/>
      </c>
      <c r="M213" s="2" t="str" cm="1">
        <f t="array" ref="M213">IFERROR(_xlfn.LET(
_xlpm.CSVVal,_xlfn.XLOOKUP($A213,CSV!$A:$A,CSV!Q:Q,""),
_xlpm.MacVal,_xlfn.XLOOKUP($A213,Output_Mac!$A:$A,Output_Mac!M:M,""),
_xlpm.MyAuditVal,_xlfn.XLOOKUP($A213,My_Audit!$A:$A,My_Audit!L:L,""),
_xlfn.IFS(_xlpm.MyAuditVal&lt;&gt;"",UPPER(_xlpm.MyAuditVal),_xlpm.MacVal&lt;&gt;"",_xlpm.MacVal,_xlpm.CSVVal&lt;&gt;"",_xlpm.CSVVal
)),"")</f>
        <v/>
      </c>
      <c r="O213" s="2" t="str">
        <f>_xlfn.LET(
    _xlpm.CSVVal, _xlfn.XLOOKUP($A213, CSV!$A:$A, CSV!AF:AF, ""),
    _xlpm.MacVal, _xlfn.XLOOKUP($A213, Output_Mac!$A:$A, Output_Mac!S:S, ""),
    _xlpm.MyAuditVal, _xlfn.XLOOKUP($A213, My_Audit!$A:$A, My_Audit!P:P, ""),
    _xlfn.TEXTJOIN(", ", TRUE, _xlpm.MyAuditVal, _xlpm.MacVal, _xlpm.CSVVal)
)</f>
        <v/>
      </c>
      <c r="P213" s="2" t="str" cm="1">
        <f t="array" ref="P213">IFERROR(_xlfn.LET(
_xlpm.CSVVal,_xlfn.XLOOKUP($A213,CSV!$A:$A,CSV!AG:AG,""),
_xlpm.MacVal,_xlfn.XLOOKUP($A213,Output_Mac!$A:$A,Output_Mac!T:T,""),
_xlpm.MyAuditVal,_xlfn.XLOOKUP($A213,My_Audit!$A:$A,My_Audit!Q:Q,""),
_xlfn.IFS(_xlpm.MyAuditVal&lt;&gt;"",UPPER(_xlpm.MyAuditVal),_xlpm.MacVal&lt;&gt;"",_xlpm.MacVal,_xlpm.CSVVal&lt;&gt;"",_xlpm.CSVVal
)),"No")</f>
        <v>No</v>
      </c>
      <c r="Q213" s="2" t="str" cm="1">
        <f t="array" ref="Q213">IFERROR(_xlfn.LET(
_xlpm.CSVVal,_xlfn.XLOOKUP($A213,CSV!$A:$A,CSV!AH:AH,""),
_xlpm.MacVal,_xlfn.XLOOKUP($A213,Output_Mac!$A:$A,Output_Mac!U:U,""),
_xlpm.MyAuditVal,_xlfn.XLOOKUP($A213,My_Audit!$A:$A,My_Audit!R:R,""),
_xlfn.IFS(_xlpm.MyAuditVal&lt;&gt;"",UPPER(_xlpm.MyAuditVal),_xlpm.MacVal&lt;&gt;"",_xlpm.MacVal,_xlpm.CSVVal&lt;&gt;"",_xlpm.CSVVal
)),"")</f>
        <v/>
      </c>
    </row>
    <row r="214" spans="1:17">
      <c r="A214" s="2" t="str">
        <f>_xlfn.TEXTJOIN("",TRUE,Input!$B$2,ROW(My_Audit!A213))</f>
        <v>XX213</v>
      </c>
      <c r="B214" s="2" t="str">
        <f>_xlfn.TEXTJOIN("-",TRUE,"ITD",Input!$A$2,A214)</f>
        <v>ITD-SHRXXX-XX213</v>
      </c>
      <c r="C214" s="2" t="str" cm="1">
        <f t="array" ref="C214">IFERROR(_xlfn.LET(
_xlpm.CSVVal,_xlfn.XLOOKUP($A214,CSV!$A:$A,CSV!B:B,""),
_xlpm.MacVal,_xlfn.XLOOKUP($A214,Output_Mac!$A:$A,Output_Mac!B:B,""),
_xlpm.MyAuditVal,_xlfn.XLOOKUP($A214,My_Audit!$A:$A,My_Audit!B:B,""),
_xlfn.IFS(_xlpm.MyAuditVal&lt;&gt;"",UPPER(_xlpm.MyAuditVal),_xlpm.MacVal&lt;&gt;"",_xlpm.MacVal,_xlpm.CSVVal&lt;&gt;"",_xlpm.CSVVal
)),"")</f>
        <v/>
      </c>
      <c r="D214" s="2" t="str" cm="1">
        <f t="array" ref="D214">IFERROR(_xlfn.LET(
_xlpm.CSVVal,_xlfn.XLOOKUP($A214,CSV!$A:$A,CSV!D:D,""),
_xlpm.MacVal,_xlfn.XLOOKUP($A214,Output_Mac!$A:$A,Output_Mac!C:C,""),
_xlpm.MyAuditVal,_xlfn.XLOOKUP($A214,My_Audit!$A:$A,My_Audit!C:C,""),
_xlfn.IFS(_xlpm.MyAuditVal&lt;&gt;"",_xlpm.MyAuditVal,_xlpm.MacVal&lt;&gt;"",_xlpm.MacVal,_xlpm.CSVVal&lt;&gt;"",_xlpm.CSVVal
)),"")</f>
        <v/>
      </c>
      <c r="E214" s="2" t="str">
        <f>_xlfn.XLOOKUP(A214,My_Audit!A:A,My_Audit!D:D,"")&amp;""</f>
        <v/>
      </c>
      <c r="F214" s="2" t="str" cm="1">
        <f t="array" ref="F214">IFERROR(_xlfn.LET(
_xlpm.CSVVal,_xlfn.XLOOKUP($A214,CSV!$A:$A,CSV!F:F,""),
_xlpm.MacVal,_xlfn.XLOOKUP($A214,Output_Mac!$A:$A,Output_Mac!E:E,""),
_xlpm.MyAuditVal,_xlfn.XLOOKUP($A214,My_Audit!$A:$A,My_Audit!E:E,""),
_xlfn.IFS(_xlpm.MyAuditVal&lt;&gt;"",_xlpm.MyAuditVal,_xlpm.MacVal&lt;&gt;"",_xlpm.MacVal,_xlpm.CSVVal&lt;&gt;"",_xlpm.CSVVal
)),"")</f>
        <v/>
      </c>
      <c r="G214" s="2" t="str" cm="1">
        <f t="array" ref="G214">IFERROR(_xlfn.LET(
_xlpm.CSVVal,_xlfn.XLOOKUP($A214,CSV!$A:$A,CSV!G:G,""),
_xlpm.MacVal,_xlfn.XLOOKUP($A214,Output_Mac!$A:$A,Output_Mac!F:F,""),
_xlpm.MyAuditVal,_xlfn.XLOOKUP($A214,My_Audit!$A:$A,My_Audit!F:F,""),
_xlfn.IFS(_xlpm.MyAuditVal&lt;&gt;"",_xlpm.MyAuditVal,_xlpm.MacVal&lt;&gt;"",_xlpm.MacVal,_xlpm.CSVVal&lt;&gt;"",PROPER(_xlpm.CSVVal)
)),"")</f>
        <v/>
      </c>
      <c r="H214" s="2" t="str" cm="1">
        <f t="array" ref="H214">IFERROR(_xlfn.LET(
_xlpm.CSVVal,_xlfn.XLOOKUP($A214,CSV!$A:$A,CSV!H:H,""),
_xlpm.MacVal,_xlfn.XLOOKUP($A214,Output_Mac!$A:$A,Output_Mac!H:H,""),
_xlpm.MyAuditVal,_xlfn.XLOOKUP($A214,My_Audit!$A:$A,My_Audit!G:G,""),
_xlfn.IFS(_xlpm.MyAuditVal&lt;&gt;"",_xlpm.MyAuditVal,_xlpm.MacVal&lt;&gt;"",_xlpm.MacVal,_xlpm.CSVVal&lt;&gt;"",_xlpm.CSVVal
)),"")</f>
        <v/>
      </c>
      <c r="I214" s="2" t="str">
        <f>_xlfn.XLOOKUP(A214,Output_Mac!A:A,Output_Mac!I:I,"")</f>
        <v/>
      </c>
      <c r="J214" s="2" t="str" cm="1">
        <f t="array" ref="J214">IFERROR(_xlfn.LET(
_xlpm.CSVVal,_xlfn.XLOOKUP($A214,CSV!$A:$A,CSV!I:I,""),
_xlpm.MacVal,_xlfn.XLOOKUP($A214,Output_Mac!$A:$A,Output_Mac!J:J,""),
_xlpm.MyAuditVal,_xlfn.XLOOKUP($A214,My_Audit!$A:$A,My_Audit!I:I,""),
_xlfn.IFS(_xlpm.MyAuditVal&lt;&gt;"",UPPER(_xlpm.MyAuditVal),_xlpm.MacVal&lt;&gt;"",_xlpm.MacVal,_xlpm.CSVVal&lt;&gt;"",_xlpm.CSVVal
)),"")</f>
        <v/>
      </c>
      <c r="K214" s="2" t="str" cm="1">
        <f t="array" ref="K214">IFERROR(_xlfn.LET(
_xlpm.CSVVal,_xlfn.XLOOKUP($A214,CSV!$A:$A,CSV!K:K,""),
_xlpm.MacVal,_xlfn.XLOOKUP($A214,Output_Mac!$A:$A,Output_Mac!K:K,""),
_xlpm.MyAuditVal,_xlfn.XLOOKUP($A214,My_Audit!$A:$A,My_Audit!J:J,""),
_xlfn.IFS(_xlpm.MyAuditVal&lt;&gt;"",UPPER(_xlpm.MyAuditVal),_xlpm.MacVal&lt;&gt;"",_xlpm.MacVal,_xlpm.CSVVal&lt;&gt;"",_xlpm.CSVVal
)),"")</f>
        <v/>
      </c>
      <c r="L214" s="2" t="str" cm="1">
        <f t="array" ref="L214">IFERROR(_xlfn.LET(
_xlpm.CSVVal,_xlfn.XLOOKUP($A214,CSV!$A:$A,CSV!P:P,""),
_xlpm.MacVal,_xlfn.XLOOKUP($A214,Output_Mac!$A:$A,Output_Mac!L:L,""),
_xlpm.MyAuditVal,_xlfn.XLOOKUP($A214,My_Audit!$A:$A,My_Audit!K:K,""),
_xlfn.IFS(_xlpm.MyAuditVal&lt;&gt;"",UPPER(_xlpm.MyAuditVal),_xlpm.MacVal&lt;&gt;"",_xlpm.MacVal,_xlpm.CSVVal&lt;&gt;"",_xlpm.CSVVal
)),"")</f>
        <v/>
      </c>
      <c r="M214" s="2" t="str" cm="1">
        <f t="array" ref="M214">IFERROR(_xlfn.LET(
_xlpm.CSVVal,_xlfn.XLOOKUP($A214,CSV!$A:$A,CSV!Q:Q,""),
_xlpm.MacVal,_xlfn.XLOOKUP($A214,Output_Mac!$A:$A,Output_Mac!M:M,""),
_xlpm.MyAuditVal,_xlfn.XLOOKUP($A214,My_Audit!$A:$A,My_Audit!L:L,""),
_xlfn.IFS(_xlpm.MyAuditVal&lt;&gt;"",UPPER(_xlpm.MyAuditVal),_xlpm.MacVal&lt;&gt;"",_xlpm.MacVal,_xlpm.CSVVal&lt;&gt;"",_xlpm.CSVVal
)),"")</f>
        <v/>
      </c>
      <c r="O214" s="2" t="str">
        <f>_xlfn.LET(
    _xlpm.CSVVal, _xlfn.XLOOKUP($A214, CSV!$A:$A, CSV!AF:AF, ""),
    _xlpm.MacVal, _xlfn.XLOOKUP($A214, Output_Mac!$A:$A, Output_Mac!S:S, ""),
    _xlpm.MyAuditVal, _xlfn.XLOOKUP($A214, My_Audit!$A:$A, My_Audit!P:P, ""),
    _xlfn.TEXTJOIN(", ", TRUE, _xlpm.MyAuditVal, _xlpm.MacVal, _xlpm.CSVVal)
)</f>
        <v/>
      </c>
      <c r="P214" s="2" t="str" cm="1">
        <f t="array" ref="P214">IFERROR(_xlfn.LET(
_xlpm.CSVVal,_xlfn.XLOOKUP($A214,CSV!$A:$A,CSV!AG:AG,""),
_xlpm.MacVal,_xlfn.XLOOKUP($A214,Output_Mac!$A:$A,Output_Mac!T:T,""),
_xlpm.MyAuditVal,_xlfn.XLOOKUP($A214,My_Audit!$A:$A,My_Audit!Q:Q,""),
_xlfn.IFS(_xlpm.MyAuditVal&lt;&gt;"",UPPER(_xlpm.MyAuditVal),_xlpm.MacVal&lt;&gt;"",_xlpm.MacVal,_xlpm.CSVVal&lt;&gt;"",_xlpm.CSVVal
)),"No")</f>
        <v>No</v>
      </c>
      <c r="Q214" s="2" t="str" cm="1">
        <f t="array" ref="Q214">IFERROR(_xlfn.LET(
_xlpm.CSVVal,_xlfn.XLOOKUP($A214,CSV!$A:$A,CSV!AH:AH,""),
_xlpm.MacVal,_xlfn.XLOOKUP($A214,Output_Mac!$A:$A,Output_Mac!U:U,""),
_xlpm.MyAuditVal,_xlfn.XLOOKUP($A214,My_Audit!$A:$A,My_Audit!R:R,""),
_xlfn.IFS(_xlpm.MyAuditVal&lt;&gt;"",UPPER(_xlpm.MyAuditVal),_xlpm.MacVal&lt;&gt;"",_xlpm.MacVal,_xlpm.CSVVal&lt;&gt;"",_xlpm.CSVVal
)),"")</f>
        <v/>
      </c>
    </row>
    <row r="215" spans="1:17">
      <c r="A215" s="2" t="str">
        <f>_xlfn.TEXTJOIN("",TRUE,Input!$B$2,ROW(My_Audit!A214))</f>
        <v>XX214</v>
      </c>
      <c r="B215" s="2" t="str">
        <f>_xlfn.TEXTJOIN("-",TRUE,"ITD",Input!$A$2,A215)</f>
        <v>ITD-SHRXXX-XX214</v>
      </c>
      <c r="C215" s="2" t="str" cm="1">
        <f t="array" ref="C215">IFERROR(_xlfn.LET(
_xlpm.CSVVal,_xlfn.XLOOKUP($A215,CSV!$A:$A,CSV!B:B,""),
_xlpm.MacVal,_xlfn.XLOOKUP($A215,Output_Mac!$A:$A,Output_Mac!B:B,""),
_xlpm.MyAuditVal,_xlfn.XLOOKUP($A215,My_Audit!$A:$A,My_Audit!B:B,""),
_xlfn.IFS(_xlpm.MyAuditVal&lt;&gt;"",UPPER(_xlpm.MyAuditVal),_xlpm.MacVal&lt;&gt;"",_xlpm.MacVal,_xlpm.CSVVal&lt;&gt;"",_xlpm.CSVVal
)),"")</f>
        <v/>
      </c>
      <c r="D215" s="2" t="str" cm="1">
        <f t="array" ref="D215">IFERROR(_xlfn.LET(
_xlpm.CSVVal,_xlfn.XLOOKUP($A215,CSV!$A:$A,CSV!D:D,""),
_xlpm.MacVal,_xlfn.XLOOKUP($A215,Output_Mac!$A:$A,Output_Mac!C:C,""),
_xlpm.MyAuditVal,_xlfn.XLOOKUP($A215,My_Audit!$A:$A,My_Audit!C:C,""),
_xlfn.IFS(_xlpm.MyAuditVal&lt;&gt;"",_xlpm.MyAuditVal,_xlpm.MacVal&lt;&gt;"",_xlpm.MacVal,_xlpm.CSVVal&lt;&gt;"",_xlpm.CSVVal
)),"")</f>
        <v/>
      </c>
      <c r="E215" s="2" t="str">
        <f>_xlfn.XLOOKUP(A215,My_Audit!A:A,My_Audit!D:D,"")&amp;""</f>
        <v/>
      </c>
      <c r="F215" s="2" t="str" cm="1">
        <f t="array" ref="F215">IFERROR(_xlfn.LET(
_xlpm.CSVVal,_xlfn.XLOOKUP($A215,CSV!$A:$A,CSV!F:F,""),
_xlpm.MacVal,_xlfn.XLOOKUP($A215,Output_Mac!$A:$A,Output_Mac!E:E,""),
_xlpm.MyAuditVal,_xlfn.XLOOKUP($A215,My_Audit!$A:$A,My_Audit!E:E,""),
_xlfn.IFS(_xlpm.MyAuditVal&lt;&gt;"",_xlpm.MyAuditVal,_xlpm.MacVal&lt;&gt;"",_xlpm.MacVal,_xlpm.CSVVal&lt;&gt;"",_xlpm.CSVVal
)),"")</f>
        <v/>
      </c>
      <c r="G215" s="2" t="str" cm="1">
        <f t="array" ref="G215">IFERROR(_xlfn.LET(
_xlpm.CSVVal,_xlfn.XLOOKUP($A215,CSV!$A:$A,CSV!G:G,""),
_xlpm.MacVal,_xlfn.XLOOKUP($A215,Output_Mac!$A:$A,Output_Mac!F:F,""),
_xlpm.MyAuditVal,_xlfn.XLOOKUP($A215,My_Audit!$A:$A,My_Audit!F:F,""),
_xlfn.IFS(_xlpm.MyAuditVal&lt;&gt;"",_xlpm.MyAuditVal,_xlpm.MacVal&lt;&gt;"",_xlpm.MacVal,_xlpm.CSVVal&lt;&gt;"",PROPER(_xlpm.CSVVal)
)),"")</f>
        <v/>
      </c>
      <c r="H215" s="2" t="str" cm="1">
        <f t="array" ref="H215">IFERROR(_xlfn.LET(
_xlpm.CSVVal,_xlfn.XLOOKUP($A215,CSV!$A:$A,CSV!H:H,""),
_xlpm.MacVal,_xlfn.XLOOKUP($A215,Output_Mac!$A:$A,Output_Mac!H:H,""),
_xlpm.MyAuditVal,_xlfn.XLOOKUP($A215,My_Audit!$A:$A,My_Audit!G:G,""),
_xlfn.IFS(_xlpm.MyAuditVal&lt;&gt;"",_xlpm.MyAuditVal,_xlpm.MacVal&lt;&gt;"",_xlpm.MacVal,_xlpm.CSVVal&lt;&gt;"",_xlpm.CSVVal
)),"")</f>
        <v/>
      </c>
      <c r="I215" s="2" t="str">
        <f>_xlfn.XLOOKUP(A215,Output_Mac!A:A,Output_Mac!I:I,"")</f>
        <v/>
      </c>
      <c r="J215" s="2" t="str" cm="1">
        <f t="array" ref="J215">IFERROR(_xlfn.LET(
_xlpm.CSVVal,_xlfn.XLOOKUP($A215,CSV!$A:$A,CSV!I:I,""),
_xlpm.MacVal,_xlfn.XLOOKUP($A215,Output_Mac!$A:$A,Output_Mac!J:J,""),
_xlpm.MyAuditVal,_xlfn.XLOOKUP($A215,My_Audit!$A:$A,My_Audit!I:I,""),
_xlfn.IFS(_xlpm.MyAuditVal&lt;&gt;"",UPPER(_xlpm.MyAuditVal),_xlpm.MacVal&lt;&gt;"",_xlpm.MacVal,_xlpm.CSVVal&lt;&gt;"",_xlpm.CSVVal
)),"")</f>
        <v/>
      </c>
      <c r="K215" s="2" t="str" cm="1">
        <f t="array" ref="K215">IFERROR(_xlfn.LET(
_xlpm.CSVVal,_xlfn.XLOOKUP($A215,CSV!$A:$A,CSV!K:K,""),
_xlpm.MacVal,_xlfn.XLOOKUP($A215,Output_Mac!$A:$A,Output_Mac!K:K,""),
_xlpm.MyAuditVal,_xlfn.XLOOKUP($A215,My_Audit!$A:$A,My_Audit!J:J,""),
_xlfn.IFS(_xlpm.MyAuditVal&lt;&gt;"",UPPER(_xlpm.MyAuditVal),_xlpm.MacVal&lt;&gt;"",_xlpm.MacVal,_xlpm.CSVVal&lt;&gt;"",_xlpm.CSVVal
)),"")</f>
        <v/>
      </c>
      <c r="L215" s="2" t="str" cm="1">
        <f t="array" ref="L215">IFERROR(_xlfn.LET(
_xlpm.CSVVal,_xlfn.XLOOKUP($A215,CSV!$A:$A,CSV!P:P,""),
_xlpm.MacVal,_xlfn.XLOOKUP($A215,Output_Mac!$A:$A,Output_Mac!L:L,""),
_xlpm.MyAuditVal,_xlfn.XLOOKUP($A215,My_Audit!$A:$A,My_Audit!K:K,""),
_xlfn.IFS(_xlpm.MyAuditVal&lt;&gt;"",UPPER(_xlpm.MyAuditVal),_xlpm.MacVal&lt;&gt;"",_xlpm.MacVal,_xlpm.CSVVal&lt;&gt;"",_xlpm.CSVVal
)),"")</f>
        <v/>
      </c>
      <c r="M215" s="2" t="str" cm="1">
        <f t="array" ref="M215">IFERROR(_xlfn.LET(
_xlpm.CSVVal,_xlfn.XLOOKUP($A215,CSV!$A:$A,CSV!Q:Q,""),
_xlpm.MacVal,_xlfn.XLOOKUP($A215,Output_Mac!$A:$A,Output_Mac!M:M,""),
_xlpm.MyAuditVal,_xlfn.XLOOKUP($A215,My_Audit!$A:$A,My_Audit!L:L,""),
_xlfn.IFS(_xlpm.MyAuditVal&lt;&gt;"",UPPER(_xlpm.MyAuditVal),_xlpm.MacVal&lt;&gt;"",_xlpm.MacVal,_xlpm.CSVVal&lt;&gt;"",_xlpm.CSVVal
)),"")</f>
        <v/>
      </c>
      <c r="O215" s="2" t="str">
        <f>_xlfn.LET(
    _xlpm.CSVVal, _xlfn.XLOOKUP($A215, CSV!$A:$A, CSV!AF:AF, ""),
    _xlpm.MacVal, _xlfn.XLOOKUP($A215, Output_Mac!$A:$A, Output_Mac!S:S, ""),
    _xlpm.MyAuditVal, _xlfn.XLOOKUP($A215, My_Audit!$A:$A, My_Audit!P:P, ""),
    _xlfn.TEXTJOIN(", ", TRUE, _xlpm.MyAuditVal, _xlpm.MacVal, _xlpm.CSVVal)
)</f>
        <v/>
      </c>
      <c r="P215" s="2" t="str" cm="1">
        <f t="array" ref="P215">IFERROR(_xlfn.LET(
_xlpm.CSVVal,_xlfn.XLOOKUP($A215,CSV!$A:$A,CSV!AG:AG,""),
_xlpm.MacVal,_xlfn.XLOOKUP($A215,Output_Mac!$A:$A,Output_Mac!T:T,""),
_xlpm.MyAuditVal,_xlfn.XLOOKUP($A215,My_Audit!$A:$A,My_Audit!Q:Q,""),
_xlfn.IFS(_xlpm.MyAuditVal&lt;&gt;"",UPPER(_xlpm.MyAuditVal),_xlpm.MacVal&lt;&gt;"",_xlpm.MacVal,_xlpm.CSVVal&lt;&gt;"",_xlpm.CSVVal
)),"No")</f>
        <v>No</v>
      </c>
      <c r="Q215" s="2" t="str" cm="1">
        <f t="array" ref="Q215">IFERROR(_xlfn.LET(
_xlpm.CSVVal,_xlfn.XLOOKUP($A215,CSV!$A:$A,CSV!AH:AH,""),
_xlpm.MacVal,_xlfn.XLOOKUP($A215,Output_Mac!$A:$A,Output_Mac!U:U,""),
_xlpm.MyAuditVal,_xlfn.XLOOKUP($A215,My_Audit!$A:$A,My_Audit!R:R,""),
_xlfn.IFS(_xlpm.MyAuditVal&lt;&gt;"",UPPER(_xlpm.MyAuditVal),_xlpm.MacVal&lt;&gt;"",_xlpm.MacVal,_xlpm.CSVVal&lt;&gt;"",_xlpm.CSVVal
)),"")</f>
        <v/>
      </c>
    </row>
    <row r="216" spans="1:17">
      <c r="A216" s="2" t="str">
        <f>_xlfn.TEXTJOIN("",TRUE,Input!$B$2,ROW(My_Audit!A215))</f>
        <v>XX215</v>
      </c>
      <c r="B216" s="2" t="str">
        <f>_xlfn.TEXTJOIN("-",TRUE,"ITD",Input!$A$2,A216)</f>
        <v>ITD-SHRXXX-XX215</v>
      </c>
      <c r="C216" s="2" t="str" cm="1">
        <f t="array" ref="C216">IFERROR(_xlfn.LET(
_xlpm.CSVVal,_xlfn.XLOOKUP($A216,CSV!$A:$A,CSV!B:B,""),
_xlpm.MacVal,_xlfn.XLOOKUP($A216,Output_Mac!$A:$A,Output_Mac!B:B,""),
_xlpm.MyAuditVal,_xlfn.XLOOKUP($A216,My_Audit!$A:$A,My_Audit!B:B,""),
_xlfn.IFS(_xlpm.MyAuditVal&lt;&gt;"",UPPER(_xlpm.MyAuditVal),_xlpm.MacVal&lt;&gt;"",_xlpm.MacVal,_xlpm.CSVVal&lt;&gt;"",_xlpm.CSVVal
)),"")</f>
        <v/>
      </c>
      <c r="D216" s="2" t="str" cm="1">
        <f t="array" ref="D216">IFERROR(_xlfn.LET(
_xlpm.CSVVal,_xlfn.XLOOKUP($A216,CSV!$A:$A,CSV!D:D,""),
_xlpm.MacVal,_xlfn.XLOOKUP($A216,Output_Mac!$A:$A,Output_Mac!C:C,""),
_xlpm.MyAuditVal,_xlfn.XLOOKUP($A216,My_Audit!$A:$A,My_Audit!C:C,""),
_xlfn.IFS(_xlpm.MyAuditVal&lt;&gt;"",_xlpm.MyAuditVal,_xlpm.MacVal&lt;&gt;"",_xlpm.MacVal,_xlpm.CSVVal&lt;&gt;"",_xlpm.CSVVal
)),"")</f>
        <v/>
      </c>
      <c r="E216" s="2" t="str">
        <f>_xlfn.XLOOKUP(A216,My_Audit!A:A,My_Audit!D:D,"")&amp;""</f>
        <v/>
      </c>
      <c r="F216" s="2" t="str" cm="1">
        <f t="array" ref="F216">IFERROR(_xlfn.LET(
_xlpm.CSVVal,_xlfn.XLOOKUP($A216,CSV!$A:$A,CSV!F:F,""),
_xlpm.MacVal,_xlfn.XLOOKUP($A216,Output_Mac!$A:$A,Output_Mac!E:E,""),
_xlpm.MyAuditVal,_xlfn.XLOOKUP($A216,My_Audit!$A:$A,My_Audit!E:E,""),
_xlfn.IFS(_xlpm.MyAuditVal&lt;&gt;"",_xlpm.MyAuditVal,_xlpm.MacVal&lt;&gt;"",_xlpm.MacVal,_xlpm.CSVVal&lt;&gt;"",_xlpm.CSVVal
)),"")</f>
        <v/>
      </c>
      <c r="G216" s="2" t="str" cm="1">
        <f t="array" ref="G216">IFERROR(_xlfn.LET(
_xlpm.CSVVal,_xlfn.XLOOKUP($A216,CSV!$A:$A,CSV!G:G,""),
_xlpm.MacVal,_xlfn.XLOOKUP($A216,Output_Mac!$A:$A,Output_Mac!F:F,""),
_xlpm.MyAuditVal,_xlfn.XLOOKUP($A216,My_Audit!$A:$A,My_Audit!F:F,""),
_xlfn.IFS(_xlpm.MyAuditVal&lt;&gt;"",_xlpm.MyAuditVal,_xlpm.MacVal&lt;&gt;"",_xlpm.MacVal,_xlpm.CSVVal&lt;&gt;"",PROPER(_xlpm.CSVVal)
)),"")</f>
        <v/>
      </c>
      <c r="H216" s="2" t="str" cm="1">
        <f t="array" ref="H216">IFERROR(_xlfn.LET(
_xlpm.CSVVal,_xlfn.XLOOKUP($A216,CSV!$A:$A,CSV!H:H,""),
_xlpm.MacVal,_xlfn.XLOOKUP($A216,Output_Mac!$A:$A,Output_Mac!H:H,""),
_xlpm.MyAuditVal,_xlfn.XLOOKUP($A216,My_Audit!$A:$A,My_Audit!G:G,""),
_xlfn.IFS(_xlpm.MyAuditVal&lt;&gt;"",_xlpm.MyAuditVal,_xlpm.MacVal&lt;&gt;"",_xlpm.MacVal,_xlpm.CSVVal&lt;&gt;"",_xlpm.CSVVal
)),"")</f>
        <v/>
      </c>
      <c r="I216" s="2" t="str">
        <f>_xlfn.XLOOKUP(A216,Output_Mac!A:A,Output_Mac!I:I,"")</f>
        <v/>
      </c>
      <c r="J216" s="2" t="str" cm="1">
        <f t="array" ref="J216">IFERROR(_xlfn.LET(
_xlpm.CSVVal,_xlfn.XLOOKUP($A216,CSV!$A:$A,CSV!I:I,""),
_xlpm.MacVal,_xlfn.XLOOKUP($A216,Output_Mac!$A:$A,Output_Mac!J:J,""),
_xlpm.MyAuditVal,_xlfn.XLOOKUP($A216,My_Audit!$A:$A,My_Audit!I:I,""),
_xlfn.IFS(_xlpm.MyAuditVal&lt;&gt;"",UPPER(_xlpm.MyAuditVal),_xlpm.MacVal&lt;&gt;"",_xlpm.MacVal,_xlpm.CSVVal&lt;&gt;"",_xlpm.CSVVal
)),"")</f>
        <v/>
      </c>
      <c r="K216" s="2" t="str" cm="1">
        <f t="array" ref="K216">IFERROR(_xlfn.LET(
_xlpm.CSVVal,_xlfn.XLOOKUP($A216,CSV!$A:$A,CSV!K:K,""),
_xlpm.MacVal,_xlfn.XLOOKUP($A216,Output_Mac!$A:$A,Output_Mac!K:K,""),
_xlpm.MyAuditVal,_xlfn.XLOOKUP($A216,My_Audit!$A:$A,My_Audit!J:J,""),
_xlfn.IFS(_xlpm.MyAuditVal&lt;&gt;"",UPPER(_xlpm.MyAuditVal),_xlpm.MacVal&lt;&gt;"",_xlpm.MacVal,_xlpm.CSVVal&lt;&gt;"",_xlpm.CSVVal
)),"")</f>
        <v/>
      </c>
      <c r="L216" s="2" t="str" cm="1">
        <f t="array" ref="L216">IFERROR(_xlfn.LET(
_xlpm.CSVVal,_xlfn.XLOOKUP($A216,CSV!$A:$A,CSV!P:P,""),
_xlpm.MacVal,_xlfn.XLOOKUP($A216,Output_Mac!$A:$A,Output_Mac!L:L,""),
_xlpm.MyAuditVal,_xlfn.XLOOKUP($A216,My_Audit!$A:$A,My_Audit!K:K,""),
_xlfn.IFS(_xlpm.MyAuditVal&lt;&gt;"",UPPER(_xlpm.MyAuditVal),_xlpm.MacVal&lt;&gt;"",_xlpm.MacVal,_xlpm.CSVVal&lt;&gt;"",_xlpm.CSVVal
)),"")</f>
        <v/>
      </c>
      <c r="M216" s="2" t="str" cm="1">
        <f t="array" ref="M216">IFERROR(_xlfn.LET(
_xlpm.CSVVal,_xlfn.XLOOKUP($A216,CSV!$A:$A,CSV!Q:Q,""),
_xlpm.MacVal,_xlfn.XLOOKUP($A216,Output_Mac!$A:$A,Output_Mac!M:M,""),
_xlpm.MyAuditVal,_xlfn.XLOOKUP($A216,My_Audit!$A:$A,My_Audit!L:L,""),
_xlfn.IFS(_xlpm.MyAuditVal&lt;&gt;"",UPPER(_xlpm.MyAuditVal),_xlpm.MacVal&lt;&gt;"",_xlpm.MacVal,_xlpm.CSVVal&lt;&gt;"",_xlpm.CSVVal
)),"")</f>
        <v/>
      </c>
      <c r="O216" s="2" t="str">
        <f>_xlfn.LET(
    _xlpm.CSVVal, _xlfn.XLOOKUP($A216, CSV!$A:$A, CSV!AF:AF, ""),
    _xlpm.MacVal, _xlfn.XLOOKUP($A216, Output_Mac!$A:$A, Output_Mac!S:S, ""),
    _xlpm.MyAuditVal, _xlfn.XLOOKUP($A216, My_Audit!$A:$A, My_Audit!P:P, ""),
    _xlfn.TEXTJOIN(", ", TRUE, _xlpm.MyAuditVal, _xlpm.MacVal, _xlpm.CSVVal)
)</f>
        <v/>
      </c>
      <c r="P216" s="2" t="str" cm="1">
        <f t="array" ref="P216">IFERROR(_xlfn.LET(
_xlpm.CSVVal,_xlfn.XLOOKUP($A216,CSV!$A:$A,CSV!AG:AG,""),
_xlpm.MacVal,_xlfn.XLOOKUP($A216,Output_Mac!$A:$A,Output_Mac!T:T,""),
_xlpm.MyAuditVal,_xlfn.XLOOKUP($A216,My_Audit!$A:$A,My_Audit!Q:Q,""),
_xlfn.IFS(_xlpm.MyAuditVal&lt;&gt;"",UPPER(_xlpm.MyAuditVal),_xlpm.MacVal&lt;&gt;"",_xlpm.MacVal,_xlpm.CSVVal&lt;&gt;"",_xlpm.CSVVal
)),"No")</f>
        <v>No</v>
      </c>
      <c r="Q216" s="2" t="str" cm="1">
        <f t="array" ref="Q216">IFERROR(_xlfn.LET(
_xlpm.CSVVal,_xlfn.XLOOKUP($A216,CSV!$A:$A,CSV!AH:AH,""),
_xlpm.MacVal,_xlfn.XLOOKUP($A216,Output_Mac!$A:$A,Output_Mac!U:U,""),
_xlpm.MyAuditVal,_xlfn.XLOOKUP($A216,My_Audit!$A:$A,My_Audit!R:R,""),
_xlfn.IFS(_xlpm.MyAuditVal&lt;&gt;"",UPPER(_xlpm.MyAuditVal),_xlpm.MacVal&lt;&gt;"",_xlpm.MacVal,_xlpm.CSVVal&lt;&gt;"",_xlpm.CSVVal
)),"")</f>
        <v/>
      </c>
    </row>
    <row r="217" spans="1:17">
      <c r="A217" s="2" t="str">
        <f>_xlfn.TEXTJOIN("",TRUE,Input!$B$2,ROW(My_Audit!A216))</f>
        <v>XX216</v>
      </c>
      <c r="B217" s="2" t="str">
        <f>_xlfn.TEXTJOIN("-",TRUE,"ITD",Input!$A$2,A217)</f>
        <v>ITD-SHRXXX-XX216</v>
      </c>
      <c r="C217" s="2" t="str" cm="1">
        <f t="array" ref="C217">IFERROR(_xlfn.LET(
_xlpm.CSVVal,_xlfn.XLOOKUP($A217,CSV!$A:$A,CSV!B:B,""),
_xlpm.MacVal,_xlfn.XLOOKUP($A217,Output_Mac!$A:$A,Output_Mac!B:B,""),
_xlpm.MyAuditVal,_xlfn.XLOOKUP($A217,My_Audit!$A:$A,My_Audit!B:B,""),
_xlfn.IFS(_xlpm.MyAuditVal&lt;&gt;"",UPPER(_xlpm.MyAuditVal),_xlpm.MacVal&lt;&gt;"",_xlpm.MacVal,_xlpm.CSVVal&lt;&gt;"",_xlpm.CSVVal
)),"")</f>
        <v/>
      </c>
      <c r="D217" s="2" t="str" cm="1">
        <f t="array" ref="D217">IFERROR(_xlfn.LET(
_xlpm.CSVVal,_xlfn.XLOOKUP($A217,CSV!$A:$A,CSV!D:D,""),
_xlpm.MacVal,_xlfn.XLOOKUP($A217,Output_Mac!$A:$A,Output_Mac!C:C,""),
_xlpm.MyAuditVal,_xlfn.XLOOKUP($A217,My_Audit!$A:$A,My_Audit!C:C,""),
_xlfn.IFS(_xlpm.MyAuditVal&lt;&gt;"",_xlpm.MyAuditVal,_xlpm.MacVal&lt;&gt;"",_xlpm.MacVal,_xlpm.CSVVal&lt;&gt;"",_xlpm.CSVVal
)),"")</f>
        <v/>
      </c>
      <c r="E217" s="2" t="str">
        <f>_xlfn.XLOOKUP(A217,My_Audit!A:A,My_Audit!D:D,"")&amp;""</f>
        <v/>
      </c>
      <c r="F217" s="2" t="str" cm="1">
        <f t="array" ref="F217">IFERROR(_xlfn.LET(
_xlpm.CSVVal,_xlfn.XLOOKUP($A217,CSV!$A:$A,CSV!F:F,""),
_xlpm.MacVal,_xlfn.XLOOKUP($A217,Output_Mac!$A:$A,Output_Mac!E:E,""),
_xlpm.MyAuditVal,_xlfn.XLOOKUP($A217,My_Audit!$A:$A,My_Audit!E:E,""),
_xlfn.IFS(_xlpm.MyAuditVal&lt;&gt;"",_xlpm.MyAuditVal,_xlpm.MacVal&lt;&gt;"",_xlpm.MacVal,_xlpm.CSVVal&lt;&gt;"",_xlpm.CSVVal
)),"")</f>
        <v/>
      </c>
      <c r="G217" s="2" t="str" cm="1">
        <f t="array" ref="G217">IFERROR(_xlfn.LET(
_xlpm.CSVVal,_xlfn.XLOOKUP($A217,CSV!$A:$A,CSV!G:G,""),
_xlpm.MacVal,_xlfn.XLOOKUP($A217,Output_Mac!$A:$A,Output_Mac!F:F,""),
_xlpm.MyAuditVal,_xlfn.XLOOKUP($A217,My_Audit!$A:$A,My_Audit!F:F,""),
_xlfn.IFS(_xlpm.MyAuditVal&lt;&gt;"",_xlpm.MyAuditVal,_xlpm.MacVal&lt;&gt;"",_xlpm.MacVal,_xlpm.CSVVal&lt;&gt;"",PROPER(_xlpm.CSVVal)
)),"")</f>
        <v/>
      </c>
      <c r="H217" s="2" t="str" cm="1">
        <f t="array" ref="H217">IFERROR(_xlfn.LET(
_xlpm.CSVVal,_xlfn.XLOOKUP($A217,CSV!$A:$A,CSV!H:H,""),
_xlpm.MacVal,_xlfn.XLOOKUP($A217,Output_Mac!$A:$A,Output_Mac!H:H,""),
_xlpm.MyAuditVal,_xlfn.XLOOKUP($A217,My_Audit!$A:$A,My_Audit!G:G,""),
_xlfn.IFS(_xlpm.MyAuditVal&lt;&gt;"",_xlpm.MyAuditVal,_xlpm.MacVal&lt;&gt;"",_xlpm.MacVal,_xlpm.CSVVal&lt;&gt;"",_xlpm.CSVVal
)),"")</f>
        <v/>
      </c>
      <c r="I217" s="2" t="str">
        <f>_xlfn.XLOOKUP(A217,Output_Mac!A:A,Output_Mac!I:I,"")</f>
        <v/>
      </c>
      <c r="J217" s="2" t="str" cm="1">
        <f t="array" ref="J217">IFERROR(_xlfn.LET(
_xlpm.CSVVal,_xlfn.XLOOKUP($A217,CSV!$A:$A,CSV!I:I,""),
_xlpm.MacVal,_xlfn.XLOOKUP($A217,Output_Mac!$A:$A,Output_Mac!J:J,""),
_xlpm.MyAuditVal,_xlfn.XLOOKUP($A217,My_Audit!$A:$A,My_Audit!I:I,""),
_xlfn.IFS(_xlpm.MyAuditVal&lt;&gt;"",UPPER(_xlpm.MyAuditVal),_xlpm.MacVal&lt;&gt;"",_xlpm.MacVal,_xlpm.CSVVal&lt;&gt;"",_xlpm.CSVVal
)),"")</f>
        <v/>
      </c>
      <c r="K217" s="2" t="str" cm="1">
        <f t="array" ref="K217">IFERROR(_xlfn.LET(
_xlpm.CSVVal,_xlfn.XLOOKUP($A217,CSV!$A:$A,CSV!K:K,""),
_xlpm.MacVal,_xlfn.XLOOKUP($A217,Output_Mac!$A:$A,Output_Mac!K:K,""),
_xlpm.MyAuditVal,_xlfn.XLOOKUP($A217,My_Audit!$A:$A,My_Audit!J:J,""),
_xlfn.IFS(_xlpm.MyAuditVal&lt;&gt;"",UPPER(_xlpm.MyAuditVal),_xlpm.MacVal&lt;&gt;"",_xlpm.MacVal,_xlpm.CSVVal&lt;&gt;"",_xlpm.CSVVal
)),"")</f>
        <v/>
      </c>
      <c r="L217" s="2" t="str" cm="1">
        <f t="array" ref="L217">IFERROR(_xlfn.LET(
_xlpm.CSVVal,_xlfn.XLOOKUP($A217,CSV!$A:$A,CSV!P:P,""),
_xlpm.MacVal,_xlfn.XLOOKUP($A217,Output_Mac!$A:$A,Output_Mac!L:L,""),
_xlpm.MyAuditVal,_xlfn.XLOOKUP($A217,My_Audit!$A:$A,My_Audit!K:K,""),
_xlfn.IFS(_xlpm.MyAuditVal&lt;&gt;"",UPPER(_xlpm.MyAuditVal),_xlpm.MacVal&lt;&gt;"",_xlpm.MacVal,_xlpm.CSVVal&lt;&gt;"",_xlpm.CSVVal
)),"")</f>
        <v/>
      </c>
      <c r="M217" s="2" t="str" cm="1">
        <f t="array" ref="M217">IFERROR(_xlfn.LET(
_xlpm.CSVVal,_xlfn.XLOOKUP($A217,CSV!$A:$A,CSV!Q:Q,""),
_xlpm.MacVal,_xlfn.XLOOKUP($A217,Output_Mac!$A:$A,Output_Mac!M:M,""),
_xlpm.MyAuditVal,_xlfn.XLOOKUP($A217,My_Audit!$A:$A,My_Audit!L:L,""),
_xlfn.IFS(_xlpm.MyAuditVal&lt;&gt;"",UPPER(_xlpm.MyAuditVal),_xlpm.MacVal&lt;&gt;"",_xlpm.MacVal,_xlpm.CSVVal&lt;&gt;"",_xlpm.CSVVal
)),"")</f>
        <v/>
      </c>
      <c r="O217" s="2" t="str">
        <f>_xlfn.LET(
    _xlpm.CSVVal, _xlfn.XLOOKUP($A217, CSV!$A:$A, CSV!AF:AF, ""),
    _xlpm.MacVal, _xlfn.XLOOKUP($A217, Output_Mac!$A:$A, Output_Mac!S:S, ""),
    _xlpm.MyAuditVal, _xlfn.XLOOKUP($A217, My_Audit!$A:$A, My_Audit!P:P, ""),
    _xlfn.TEXTJOIN(", ", TRUE, _xlpm.MyAuditVal, _xlpm.MacVal, _xlpm.CSVVal)
)</f>
        <v/>
      </c>
      <c r="P217" s="2" t="str" cm="1">
        <f t="array" ref="P217">IFERROR(_xlfn.LET(
_xlpm.CSVVal,_xlfn.XLOOKUP($A217,CSV!$A:$A,CSV!AG:AG,""),
_xlpm.MacVal,_xlfn.XLOOKUP($A217,Output_Mac!$A:$A,Output_Mac!T:T,""),
_xlpm.MyAuditVal,_xlfn.XLOOKUP($A217,My_Audit!$A:$A,My_Audit!Q:Q,""),
_xlfn.IFS(_xlpm.MyAuditVal&lt;&gt;"",UPPER(_xlpm.MyAuditVal),_xlpm.MacVal&lt;&gt;"",_xlpm.MacVal,_xlpm.CSVVal&lt;&gt;"",_xlpm.CSVVal
)),"No")</f>
        <v>No</v>
      </c>
      <c r="Q217" s="2" t="str" cm="1">
        <f t="array" ref="Q217">IFERROR(_xlfn.LET(
_xlpm.CSVVal,_xlfn.XLOOKUP($A217,CSV!$A:$A,CSV!AH:AH,""),
_xlpm.MacVal,_xlfn.XLOOKUP($A217,Output_Mac!$A:$A,Output_Mac!U:U,""),
_xlpm.MyAuditVal,_xlfn.XLOOKUP($A217,My_Audit!$A:$A,My_Audit!R:R,""),
_xlfn.IFS(_xlpm.MyAuditVal&lt;&gt;"",UPPER(_xlpm.MyAuditVal),_xlpm.MacVal&lt;&gt;"",_xlpm.MacVal,_xlpm.CSVVal&lt;&gt;"",_xlpm.CSVVal
)),"")</f>
        <v/>
      </c>
    </row>
    <row r="218" spans="1:17">
      <c r="A218" s="2" t="str">
        <f>_xlfn.TEXTJOIN("",TRUE,Input!$B$2,ROW(My_Audit!A217))</f>
        <v>XX217</v>
      </c>
      <c r="B218" s="2" t="str">
        <f>_xlfn.TEXTJOIN("-",TRUE,"ITD",Input!$A$2,A218)</f>
        <v>ITD-SHRXXX-XX217</v>
      </c>
      <c r="C218" s="2" t="str" cm="1">
        <f t="array" ref="C218">IFERROR(_xlfn.LET(
_xlpm.CSVVal,_xlfn.XLOOKUP($A218,CSV!$A:$A,CSV!B:B,""),
_xlpm.MacVal,_xlfn.XLOOKUP($A218,Output_Mac!$A:$A,Output_Mac!B:B,""),
_xlpm.MyAuditVal,_xlfn.XLOOKUP($A218,My_Audit!$A:$A,My_Audit!B:B,""),
_xlfn.IFS(_xlpm.MyAuditVal&lt;&gt;"",UPPER(_xlpm.MyAuditVal),_xlpm.MacVal&lt;&gt;"",_xlpm.MacVal,_xlpm.CSVVal&lt;&gt;"",_xlpm.CSVVal
)),"")</f>
        <v/>
      </c>
      <c r="D218" s="2" t="str" cm="1">
        <f t="array" ref="D218">IFERROR(_xlfn.LET(
_xlpm.CSVVal,_xlfn.XLOOKUP($A218,CSV!$A:$A,CSV!D:D,""),
_xlpm.MacVal,_xlfn.XLOOKUP($A218,Output_Mac!$A:$A,Output_Mac!C:C,""),
_xlpm.MyAuditVal,_xlfn.XLOOKUP($A218,My_Audit!$A:$A,My_Audit!C:C,""),
_xlfn.IFS(_xlpm.MyAuditVal&lt;&gt;"",_xlpm.MyAuditVal,_xlpm.MacVal&lt;&gt;"",_xlpm.MacVal,_xlpm.CSVVal&lt;&gt;"",_xlpm.CSVVal
)),"")</f>
        <v/>
      </c>
      <c r="E218" s="2" t="str">
        <f>_xlfn.XLOOKUP(A218,My_Audit!A:A,My_Audit!D:D,"")&amp;""</f>
        <v/>
      </c>
      <c r="F218" s="2" t="str" cm="1">
        <f t="array" ref="F218">IFERROR(_xlfn.LET(
_xlpm.CSVVal,_xlfn.XLOOKUP($A218,CSV!$A:$A,CSV!F:F,""),
_xlpm.MacVal,_xlfn.XLOOKUP($A218,Output_Mac!$A:$A,Output_Mac!E:E,""),
_xlpm.MyAuditVal,_xlfn.XLOOKUP($A218,My_Audit!$A:$A,My_Audit!E:E,""),
_xlfn.IFS(_xlpm.MyAuditVal&lt;&gt;"",_xlpm.MyAuditVal,_xlpm.MacVal&lt;&gt;"",_xlpm.MacVal,_xlpm.CSVVal&lt;&gt;"",_xlpm.CSVVal
)),"")</f>
        <v/>
      </c>
      <c r="G218" s="2" t="str" cm="1">
        <f t="array" ref="G218">IFERROR(_xlfn.LET(
_xlpm.CSVVal,_xlfn.XLOOKUP($A218,CSV!$A:$A,CSV!G:G,""),
_xlpm.MacVal,_xlfn.XLOOKUP($A218,Output_Mac!$A:$A,Output_Mac!F:F,""),
_xlpm.MyAuditVal,_xlfn.XLOOKUP($A218,My_Audit!$A:$A,My_Audit!F:F,""),
_xlfn.IFS(_xlpm.MyAuditVal&lt;&gt;"",_xlpm.MyAuditVal,_xlpm.MacVal&lt;&gt;"",_xlpm.MacVal,_xlpm.CSVVal&lt;&gt;"",PROPER(_xlpm.CSVVal)
)),"")</f>
        <v/>
      </c>
      <c r="H218" s="2" t="str" cm="1">
        <f t="array" ref="H218">IFERROR(_xlfn.LET(
_xlpm.CSVVal,_xlfn.XLOOKUP($A218,CSV!$A:$A,CSV!H:H,""),
_xlpm.MacVal,_xlfn.XLOOKUP($A218,Output_Mac!$A:$A,Output_Mac!H:H,""),
_xlpm.MyAuditVal,_xlfn.XLOOKUP($A218,My_Audit!$A:$A,My_Audit!G:G,""),
_xlfn.IFS(_xlpm.MyAuditVal&lt;&gt;"",_xlpm.MyAuditVal,_xlpm.MacVal&lt;&gt;"",_xlpm.MacVal,_xlpm.CSVVal&lt;&gt;"",_xlpm.CSVVal
)),"")</f>
        <v/>
      </c>
      <c r="I218" s="2" t="str">
        <f>_xlfn.XLOOKUP(A218,Output_Mac!A:A,Output_Mac!I:I,"")</f>
        <v/>
      </c>
      <c r="J218" s="2" t="str" cm="1">
        <f t="array" ref="J218">IFERROR(_xlfn.LET(
_xlpm.CSVVal,_xlfn.XLOOKUP($A218,CSV!$A:$A,CSV!I:I,""),
_xlpm.MacVal,_xlfn.XLOOKUP($A218,Output_Mac!$A:$A,Output_Mac!J:J,""),
_xlpm.MyAuditVal,_xlfn.XLOOKUP($A218,My_Audit!$A:$A,My_Audit!I:I,""),
_xlfn.IFS(_xlpm.MyAuditVal&lt;&gt;"",UPPER(_xlpm.MyAuditVal),_xlpm.MacVal&lt;&gt;"",_xlpm.MacVal,_xlpm.CSVVal&lt;&gt;"",_xlpm.CSVVal
)),"")</f>
        <v/>
      </c>
      <c r="K218" s="2" t="str" cm="1">
        <f t="array" ref="K218">IFERROR(_xlfn.LET(
_xlpm.CSVVal,_xlfn.XLOOKUP($A218,CSV!$A:$A,CSV!K:K,""),
_xlpm.MacVal,_xlfn.XLOOKUP($A218,Output_Mac!$A:$A,Output_Mac!K:K,""),
_xlpm.MyAuditVal,_xlfn.XLOOKUP($A218,My_Audit!$A:$A,My_Audit!J:J,""),
_xlfn.IFS(_xlpm.MyAuditVal&lt;&gt;"",UPPER(_xlpm.MyAuditVal),_xlpm.MacVal&lt;&gt;"",_xlpm.MacVal,_xlpm.CSVVal&lt;&gt;"",_xlpm.CSVVal
)),"")</f>
        <v/>
      </c>
      <c r="L218" s="2" t="str" cm="1">
        <f t="array" ref="L218">IFERROR(_xlfn.LET(
_xlpm.CSVVal,_xlfn.XLOOKUP($A218,CSV!$A:$A,CSV!P:P,""),
_xlpm.MacVal,_xlfn.XLOOKUP($A218,Output_Mac!$A:$A,Output_Mac!L:L,""),
_xlpm.MyAuditVal,_xlfn.XLOOKUP($A218,My_Audit!$A:$A,My_Audit!K:K,""),
_xlfn.IFS(_xlpm.MyAuditVal&lt;&gt;"",UPPER(_xlpm.MyAuditVal),_xlpm.MacVal&lt;&gt;"",_xlpm.MacVal,_xlpm.CSVVal&lt;&gt;"",_xlpm.CSVVal
)),"")</f>
        <v/>
      </c>
      <c r="M218" s="2" t="str" cm="1">
        <f t="array" ref="M218">IFERROR(_xlfn.LET(
_xlpm.CSVVal,_xlfn.XLOOKUP($A218,CSV!$A:$A,CSV!Q:Q,""),
_xlpm.MacVal,_xlfn.XLOOKUP($A218,Output_Mac!$A:$A,Output_Mac!M:M,""),
_xlpm.MyAuditVal,_xlfn.XLOOKUP($A218,My_Audit!$A:$A,My_Audit!L:L,""),
_xlfn.IFS(_xlpm.MyAuditVal&lt;&gt;"",UPPER(_xlpm.MyAuditVal),_xlpm.MacVal&lt;&gt;"",_xlpm.MacVal,_xlpm.CSVVal&lt;&gt;"",_xlpm.CSVVal
)),"")</f>
        <v/>
      </c>
      <c r="O218" s="2" t="str">
        <f>_xlfn.LET(
    _xlpm.CSVVal, _xlfn.XLOOKUP($A218, CSV!$A:$A, CSV!AF:AF, ""),
    _xlpm.MacVal, _xlfn.XLOOKUP($A218, Output_Mac!$A:$A, Output_Mac!S:S, ""),
    _xlpm.MyAuditVal, _xlfn.XLOOKUP($A218, My_Audit!$A:$A, My_Audit!P:P, ""),
    _xlfn.TEXTJOIN(", ", TRUE, _xlpm.MyAuditVal, _xlpm.MacVal, _xlpm.CSVVal)
)</f>
        <v/>
      </c>
      <c r="P218" s="2" t="str" cm="1">
        <f t="array" ref="P218">IFERROR(_xlfn.LET(
_xlpm.CSVVal,_xlfn.XLOOKUP($A218,CSV!$A:$A,CSV!AG:AG,""),
_xlpm.MacVal,_xlfn.XLOOKUP($A218,Output_Mac!$A:$A,Output_Mac!T:T,""),
_xlpm.MyAuditVal,_xlfn.XLOOKUP($A218,My_Audit!$A:$A,My_Audit!Q:Q,""),
_xlfn.IFS(_xlpm.MyAuditVal&lt;&gt;"",UPPER(_xlpm.MyAuditVal),_xlpm.MacVal&lt;&gt;"",_xlpm.MacVal,_xlpm.CSVVal&lt;&gt;"",_xlpm.CSVVal
)),"No")</f>
        <v>No</v>
      </c>
      <c r="Q218" s="2" t="str" cm="1">
        <f t="array" ref="Q218">IFERROR(_xlfn.LET(
_xlpm.CSVVal,_xlfn.XLOOKUP($A218,CSV!$A:$A,CSV!AH:AH,""),
_xlpm.MacVal,_xlfn.XLOOKUP($A218,Output_Mac!$A:$A,Output_Mac!U:U,""),
_xlpm.MyAuditVal,_xlfn.XLOOKUP($A218,My_Audit!$A:$A,My_Audit!R:R,""),
_xlfn.IFS(_xlpm.MyAuditVal&lt;&gt;"",UPPER(_xlpm.MyAuditVal),_xlpm.MacVal&lt;&gt;"",_xlpm.MacVal,_xlpm.CSVVal&lt;&gt;"",_xlpm.CSVVal
)),"")</f>
        <v/>
      </c>
    </row>
    <row r="219" spans="1:17">
      <c r="A219" s="2" t="str">
        <f>_xlfn.TEXTJOIN("",TRUE,Input!$B$2,ROW(My_Audit!A218))</f>
        <v>XX218</v>
      </c>
      <c r="B219" s="2" t="str">
        <f>_xlfn.TEXTJOIN("-",TRUE,"ITD",Input!$A$2,A219)</f>
        <v>ITD-SHRXXX-XX218</v>
      </c>
      <c r="C219" s="2" t="str" cm="1">
        <f t="array" ref="C219">IFERROR(_xlfn.LET(
_xlpm.CSVVal,_xlfn.XLOOKUP($A219,CSV!$A:$A,CSV!B:B,""),
_xlpm.MacVal,_xlfn.XLOOKUP($A219,Output_Mac!$A:$A,Output_Mac!B:B,""),
_xlpm.MyAuditVal,_xlfn.XLOOKUP($A219,My_Audit!$A:$A,My_Audit!B:B,""),
_xlfn.IFS(_xlpm.MyAuditVal&lt;&gt;"",UPPER(_xlpm.MyAuditVal),_xlpm.MacVal&lt;&gt;"",_xlpm.MacVal,_xlpm.CSVVal&lt;&gt;"",_xlpm.CSVVal
)),"")</f>
        <v/>
      </c>
      <c r="D219" s="2" t="str" cm="1">
        <f t="array" ref="D219">IFERROR(_xlfn.LET(
_xlpm.CSVVal,_xlfn.XLOOKUP($A219,CSV!$A:$A,CSV!D:D,""),
_xlpm.MacVal,_xlfn.XLOOKUP($A219,Output_Mac!$A:$A,Output_Mac!C:C,""),
_xlpm.MyAuditVal,_xlfn.XLOOKUP($A219,My_Audit!$A:$A,My_Audit!C:C,""),
_xlfn.IFS(_xlpm.MyAuditVal&lt;&gt;"",_xlpm.MyAuditVal,_xlpm.MacVal&lt;&gt;"",_xlpm.MacVal,_xlpm.CSVVal&lt;&gt;"",_xlpm.CSVVal
)),"")</f>
        <v/>
      </c>
      <c r="E219" s="2" t="str">
        <f>_xlfn.XLOOKUP(A219,My_Audit!A:A,My_Audit!D:D,"")&amp;""</f>
        <v/>
      </c>
      <c r="F219" s="2" t="str" cm="1">
        <f t="array" ref="F219">IFERROR(_xlfn.LET(
_xlpm.CSVVal,_xlfn.XLOOKUP($A219,CSV!$A:$A,CSV!F:F,""),
_xlpm.MacVal,_xlfn.XLOOKUP($A219,Output_Mac!$A:$A,Output_Mac!E:E,""),
_xlpm.MyAuditVal,_xlfn.XLOOKUP($A219,My_Audit!$A:$A,My_Audit!E:E,""),
_xlfn.IFS(_xlpm.MyAuditVal&lt;&gt;"",_xlpm.MyAuditVal,_xlpm.MacVal&lt;&gt;"",_xlpm.MacVal,_xlpm.CSVVal&lt;&gt;"",_xlpm.CSVVal
)),"")</f>
        <v/>
      </c>
      <c r="G219" s="2" t="str" cm="1">
        <f t="array" ref="G219">IFERROR(_xlfn.LET(
_xlpm.CSVVal,_xlfn.XLOOKUP($A219,CSV!$A:$A,CSV!G:G,""),
_xlpm.MacVal,_xlfn.XLOOKUP($A219,Output_Mac!$A:$A,Output_Mac!F:F,""),
_xlpm.MyAuditVal,_xlfn.XLOOKUP($A219,My_Audit!$A:$A,My_Audit!F:F,""),
_xlfn.IFS(_xlpm.MyAuditVal&lt;&gt;"",_xlpm.MyAuditVal,_xlpm.MacVal&lt;&gt;"",_xlpm.MacVal,_xlpm.CSVVal&lt;&gt;"",PROPER(_xlpm.CSVVal)
)),"")</f>
        <v/>
      </c>
      <c r="H219" s="2" t="str" cm="1">
        <f t="array" ref="H219">IFERROR(_xlfn.LET(
_xlpm.CSVVal,_xlfn.XLOOKUP($A219,CSV!$A:$A,CSV!H:H,""),
_xlpm.MacVal,_xlfn.XLOOKUP($A219,Output_Mac!$A:$A,Output_Mac!H:H,""),
_xlpm.MyAuditVal,_xlfn.XLOOKUP($A219,My_Audit!$A:$A,My_Audit!G:G,""),
_xlfn.IFS(_xlpm.MyAuditVal&lt;&gt;"",_xlpm.MyAuditVal,_xlpm.MacVal&lt;&gt;"",_xlpm.MacVal,_xlpm.CSVVal&lt;&gt;"",_xlpm.CSVVal
)),"")</f>
        <v/>
      </c>
      <c r="I219" s="2" t="str">
        <f>_xlfn.XLOOKUP(A219,Output_Mac!A:A,Output_Mac!I:I,"")</f>
        <v/>
      </c>
      <c r="J219" s="2" t="str" cm="1">
        <f t="array" ref="J219">IFERROR(_xlfn.LET(
_xlpm.CSVVal,_xlfn.XLOOKUP($A219,CSV!$A:$A,CSV!I:I,""),
_xlpm.MacVal,_xlfn.XLOOKUP($A219,Output_Mac!$A:$A,Output_Mac!J:J,""),
_xlpm.MyAuditVal,_xlfn.XLOOKUP($A219,My_Audit!$A:$A,My_Audit!I:I,""),
_xlfn.IFS(_xlpm.MyAuditVal&lt;&gt;"",UPPER(_xlpm.MyAuditVal),_xlpm.MacVal&lt;&gt;"",_xlpm.MacVal,_xlpm.CSVVal&lt;&gt;"",_xlpm.CSVVal
)),"")</f>
        <v/>
      </c>
      <c r="K219" s="2" t="str" cm="1">
        <f t="array" ref="K219">IFERROR(_xlfn.LET(
_xlpm.CSVVal,_xlfn.XLOOKUP($A219,CSV!$A:$A,CSV!K:K,""),
_xlpm.MacVal,_xlfn.XLOOKUP($A219,Output_Mac!$A:$A,Output_Mac!K:K,""),
_xlpm.MyAuditVal,_xlfn.XLOOKUP($A219,My_Audit!$A:$A,My_Audit!J:J,""),
_xlfn.IFS(_xlpm.MyAuditVal&lt;&gt;"",UPPER(_xlpm.MyAuditVal),_xlpm.MacVal&lt;&gt;"",_xlpm.MacVal,_xlpm.CSVVal&lt;&gt;"",_xlpm.CSVVal
)),"")</f>
        <v/>
      </c>
      <c r="L219" s="2" t="str" cm="1">
        <f t="array" ref="L219">IFERROR(_xlfn.LET(
_xlpm.CSVVal,_xlfn.XLOOKUP($A219,CSV!$A:$A,CSV!P:P,""),
_xlpm.MacVal,_xlfn.XLOOKUP($A219,Output_Mac!$A:$A,Output_Mac!L:L,""),
_xlpm.MyAuditVal,_xlfn.XLOOKUP($A219,My_Audit!$A:$A,My_Audit!K:K,""),
_xlfn.IFS(_xlpm.MyAuditVal&lt;&gt;"",UPPER(_xlpm.MyAuditVal),_xlpm.MacVal&lt;&gt;"",_xlpm.MacVal,_xlpm.CSVVal&lt;&gt;"",_xlpm.CSVVal
)),"")</f>
        <v/>
      </c>
      <c r="M219" s="2" t="str" cm="1">
        <f t="array" ref="M219">IFERROR(_xlfn.LET(
_xlpm.CSVVal,_xlfn.XLOOKUP($A219,CSV!$A:$A,CSV!Q:Q,""),
_xlpm.MacVal,_xlfn.XLOOKUP($A219,Output_Mac!$A:$A,Output_Mac!M:M,""),
_xlpm.MyAuditVal,_xlfn.XLOOKUP($A219,My_Audit!$A:$A,My_Audit!L:L,""),
_xlfn.IFS(_xlpm.MyAuditVal&lt;&gt;"",UPPER(_xlpm.MyAuditVal),_xlpm.MacVal&lt;&gt;"",_xlpm.MacVal,_xlpm.CSVVal&lt;&gt;"",_xlpm.CSVVal
)),"")</f>
        <v/>
      </c>
      <c r="O219" s="2" t="str">
        <f>_xlfn.LET(
    _xlpm.CSVVal, _xlfn.XLOOKUP($A219, CSV!$A:$A, CSV!AF:AF, ""),
    _xlpm.MacVal, _xlfn.XLOOKUP($A219, Output_Mac!$A:$A, Output_Mac!S:S, ""),
    _xlpm.MyAuditVal, _xlfn.XLOOKUP($A219, My_Audit!$A:$A, My_Audit!P:P, ""),
    _xlfn.TEXTJOIN(", ", TRUE, _xlpm.MyAuditVal, _xlpm.MacVal, _xlpm.CSVVal)
)</f>
        <v/>
      </c>
      <c r="P219" s="2" t="str" cm="1">
        <f t="array" ref="P219">IFERROR(_xlfn.LET(
_xlpm.CSVVal,_xlfn.XLOOKUP($A219,CSV!$A:$A,CSV!AG:AG,""),
_xlpm.MacVal,_xlfn.XLOOKUP($A219,Output_Mac!$A:$A,Output_Mac!T:T,""),
_xlpm.MyAuditVal,_xlfn.XLOOKUP($A219,My_Audit!$A:$A,My_Audit!Q:Q,""),
_xlfn.IFS(_xlpm.MyAuditVal&lt;&gt;"",UPPER(_xlpm.MyAuditVal),_xlpm.MacVal&lt;&gt;"",_xlpm.MacVal,_xlpm.CSVVal&lt;&gt;"",_xlpm.CSVVal
)),"No")</f>
        <v>No</v>
      </c>
      <c r="Q219" s="2" t="str" cm="1">
        <f t="array" ref="Q219">IFERROR(_xlfn.LET(
_xlpm.CSVVal,_xlfn.XLOOKUP($A219,CSV!$A:$A,CSV!AH:AH,""),
_xlpm.MacVal,_xlfn.XLOOKUP($A219,Output_Mac!$A:$A,Output_Mac!U:U,""),
_xlpm.MyAuditVal,_xlfn.XLOOKUP($A219,My_Audit!$A:$A,My_Audit!R:R,""),
_xlfn.IFS(_xlpm.MyAuditVal&lt;&gt;"",UPPER(_xlpm.MyAuditVal),_xlpm.MacVal&lt;&gt;"",_xlpm.MacVal,_xlpm.CSVVal&lt;&gt;"",_xlpm.CSVVal
)),"")</f>
        <v/>
      </c>
    </row>
    <row r="220" spans="1:17">
      <c r="A220" s="2" t="str">
        <f>_xlfn.TEXTJOIN("",TRUE,Input!$B$2,ROW(My_Audit!A219))</f>
        <v>XX219</v>
      </c>
      <c r="B220" s="2" t="str">
        <f>_xlfn.TEXTJOIN("-",TRUE,"ITD",Input!$A$2,A220)</f>
        <v>ITD-SHRXXX-XX219</v>
      </c>
      <c r="C220" s="2" t="str" cm="1">
        <f t="array" ref="C220">IFERROR(_xlfn.LET(
_xlpm.CSVVal,_xlfn.XLOOKUP($A220,CSV!$A:$A,CSV!B:B,""),
_xlpm.MacVal,_xlfn.XLOOKUP($A220,Output_Mac!$A:$A,Output_Mac!B:B,""),
_xlpm.MyAuditVal,_xlfn.XLOOKUP($A220,My_Audit!$A:$A,My_Audit!B:B,""),
_xlfn.IFS(_xlpm.MyAuditVal&lt;&gt;"",UPPER(_xlpm.MyAuditVal),_xlpm.MacVal&lt;&gt;"",_xlpm.MacVal,_xlpm.CSVVal&lt;&gt;"",_xlpm.CSVVal
)),"")</f>
        <v/>
      </c>
      <c r="D220" s="2" t="str" cm="1">
        <f t="array" ref="D220">IFERROR(_xlfn.LET(
_xlpm.CSVVal,_xlfn.XLOOKUP($A220,CSV!$A:$A,CSV!D:D,""),
_xlpm.MacVal,_xlfn.XLOOKUP($A220,Output_Mac!$A:$A,Output_Mac!C:C,""),
_xlpm.MyAuditVal,_xlfn.XLOOKUP($A220,My_Audit!$A:$A,My_Audit!C:C,""),
_xlfn.IFS(_xlpm.MyAuditVal&lt;&gt;"",_xlpm.MyAuditVal,_xlpm.MacVal&lt;&gt;"",_xlpm.MacVal,_xlpm.CSVVal&lt;&gt;"",_xlpm.CSVVal
)),"")</f>
        <v/>
      </c>
      <c r="E220" s="2" t="str">
        <f>_xlfn.XLOOKUP(A220,My_Audit!A:A,My_Audit!D:D,"")&amp;""</f>
        <v/>
      </c>
      <c r="F220" s="2" t="str" cm="1">
        <f t="array" ref="F220">IFERROR(_xlfn.LET(
_xlpm.CSVVal,_xlfn.XLOOKUP($A220,CSV!$A:$A,CSV!F:F,""),
_xlpm.MacVal,_xlfn.XLOOKUP($A220,Output_Mac!$A:$A,Output_Mac!E:E,""),
_xlpm.MyAuditVal,_xlfn.XLOOKUP($A220,My_Audit!$A:$A,My_Audit!E:E,""),
_xlfn.IFS(_xlpm.MyAuditVal&lt;&gt;"",_xlpm.MyAuditVal,_xlpm.MacVal&lt;&gt;"",_xlpm.MacVal,_xlpm.CSVVal&lt;&gt;"",_xlpm.CSVVal
)),"")</f>
        <v/>
      </c>
      <c r="G220" s="2" t="str" cm="1">
        <f t="array" ref="G220">IFERROR(_xlfn.LET(
_xlpm.CSVVal,_xlfn.XLOOKUP($A220,CSV!$A:$A,CSV!G:G,""),
_xlpm.MacVal,_xlfn.XLOOKUP($A220,Output_Mac!$A:$A,Output_Mac!F:F,""),
_xlpm.MyAuditVal,_xlfn.XLOOKUP($A220,My_Audit!$A:$A,My_Audit!F:F,""),
_xlfn.IFS(_xlpm.MyAuditVal&lt;&gt;"",_xlpm.MyAuditVal,_xlpm.MacVal&lt;&gt;"",_xlpm.MacVal,_xlpm.CSVVal&lt;&gt;"",PROPER(_xlpm.CSVVal)
)),"")</f>
        <v/>
      </c>
      <c r="H220" s="2" t="str" cm="1">
        <f t="array" ref="H220">IFERROR(_xlfn.LET(
_xlpm.CSVVal,_xlfn.XLOOKUP($A220,CSV!$A:$A,CSV!H:H,""),
_xlpm.MacVal,_xlfn.XLOOKUP($A220,Output_Mac!$A:$A,Output_Mac!H:H,""),
_xlpm.MyAuditVal,_xlfn.XLOOKUP($A220,My_Audit!$A:$A,My_Audit!G:G,""),
_xlfn.IFS(_xlpm.MyAuditVal&lt;&gt;"",_xlpm.MyAuditVal,_xlpm.MacVal&lt;&gt;"",_xlpm.MacVal,_xlpm.CSVVal&lt;&gt;"",_xlpm.CSVVal
)),"")</f>
        <v/>
      </c>
      <c r="I220" s="2" t="str">
        <f>_xlfn.XLOOKUP(A220,Output_Mac!A:A,Output_Mac!I:I,"")</f>
        <v/>
      </c>
      <c r="J220" s="2" t="str" cm="1">
        <f t="array" ref="J220">IFERROR(_xlfn.LET(
_xlpm.CSVVal,_xlfn.XLOOKUP($A220,CSV!$A:$A,CSV!I:I,""),
_xlpm.MacVal,_xlfn.XLOOKUP($A220,Output_Mac!$A:$A,Output_Mac!J:J,""),
_xlpm.MyAuditVal,_xlfn.XLOOKUP($A220,My_Audit!$A:$A,My_Audit!I:I,""),
_xlfn.IFS(_xlpm.MyAuditVal&lt;&gt;"",UPPER(_xlpm.MyAuditVal),_xlpm.MacVal&lt;&gt;"",_xlpm.MacVal,_xlpm.CSVVal&lt;&gt;"",_xlpm.CSVVal
)),"")</f>
        <v/>
      </c>
      <c r="K220" s="2" t="str" cm="1">
        <f t="array" ref="K220">IFERROR(_xlfn.LET(
_xlpm.CSVVal,_xlfn.XLOOKUP($A220,CSV!$A:$A,CSV!K:K,""),
_xlpm.MacVal,_xlfn.XLOOKUP($A220,Output_Mac!$A:$A,Output_Mac!K:K,""),
_xlpm.MyAuditVal,_xlfn.XLOOKUP($A220,My_Audit!$A:$A,My_Audit!J:J,""),
_xlfn.IFS(_xlpm.MyAuditVal&lt;&gt;"",UPPER(_xlpm.MyAuditVal),_xlpm.MacVal&lt;&gt;"",_xlpm.MacVal,_xlpm.CSVVal&lt;&gt;"",_xlpm.CSVVal
)),"")</f>
        <v/>
      </c>
      <c r="L220" s="2" t="str" cm="1">
        <f t="array" ref="L220">IFERROR(_xlfn.LET(
_xlpm.CSVVal,_xlfn.XLOOKUP($A220,CSV!$A:$A,CSV!P:P,""),
_xlpm.MacVal,_xlfn.XLOOKUP($A220,Output_Mac!$A:$A,Output_Mac!L:L,""),
_xlpm.MyAuditVal,_xlfn.XLOOKUP($A220,My_Audit!$A:$A,My_Audit!K:K,""),
_xlfn.IFS(_xlpm.MyAuditVal&lt;&gt;"",UPPER(_xlpm.MyAuditVal),_xlpm.MacVal&lt;&gt;"",_xlpm.MacVal,_xlpm.CSVVal&lt;&gt;"",_xlpm.CSVVal
)),"")</f>
        <v/>
      </c>
      <c r="M220" s="2" t="str" cm="1">
        <f t="array" ref="M220">IFERROR(_xlfn.LET(
_xlpm.CSVVal,_xlfn.XLOOKUP($A220,CSV!$A:$A,CSV!Q:Q,""),
_xlpm.MacVal,_xlfn.XLOOKUP($A220,Output_Mac!$A:$A,Output_Mac!M:M,""),
_xlpm.MyAuditVal,_xlfn.XLOOKUP($A220,My_Audit!$A:$A,My_Audit!L:L,""),
_xlfn.IFS(_xlpm.MyAuditVal&lt;&gt;"",UPPER(_xlpm.MyAuditVal),_xlpm.MacVal&lt;&gt;"",_xlpm.MacVal,_xlpm.CSVVal&lt;&gt;"",_xlpm.CSVVal
)),"")</f>
        <v/>
      </c>
      <c r="O220" s="2" t="str">
        <f>_xlfn.LET(
    _xlpm.CSVVal, _xlfn.XLOOKUP($A220, CSV!$A:$A, CSV!AF:AF, ""),
    _xlpm.MacVal, _xlfn.XLOOKUP($A220, Output_Mac!$A:$A, Output_Mac!S:S, ""),
    _xlpm.MyAuditVal, _xlfn.XLOOKUP($A220, My_Audit!$A:$A, My_Audit!P:P, ""),
    _xlfn.TEXTJOIN(", ", TRUE, _xlpm.MyAuditVal, _xlpm.MacVal, _xlpm.CSVVal)
)</f>
        <v/>
      </c>
      <c r="P220" s="2" t="str" cm="1">
        <f t="array" ref="P220">IFERROR(_xlfn.LET(
_xlpm.CSVVal,_xlfn.XLOOKUP($A220,CSV!$A:$A,CSV!AG:AG,""),
_xlpm.MacVal,_xlfn.XLOOKUP($A220,Output_Mac!$A:$A,Output_Mac!T:T,""),
_xlpm.MyAuditVal,_xlfn.XLOOKUP($A220,My_Audit!$A:$A,My_Audit!Q:Q,""),
_xlfn.IFS(_xlpm.MyAuditVal&lt;&gt;"",UPPER(_xlpm.MyAuditVal),_xlpm.MacVal&lt;&gt;"",_xlpm.MacVal,_xlpm.CSVVal&lt;&gt;"",_xlpm.CSVVal
)),"No")</f>
        <v>No</v>
      </c>
      <c r="Q220" s="2" t="str" cm="1">
        <f t="array" ref="Q220">IFERROR(_xlfn.LET(
_xlpm.CSVVal,_xlfn.XLOOKUP($A220,CSV!$A:$A,CSV!AH:AH,""),
_xlpm.MacVal,_xlfn.XLOOKUP($A220,Output_Mac!$A:$A,Output_Mac!U:U,""),
_xlpm.MyAuditVal,_xlfn.XLOOKUP($A220,My_Audit!$A:$A,My_Audit!R:R,""),
_xlfn.IFS(_xlpm.MyAuditVal&lt;&gt;"",UPPER(_xlpm.MyAuditVal),_xlpm.MacVal&lt;&gt;"",_xlpm.MacVal,_xlpm.CSVVal&lt;&gt;"",_xlpm.CSVVal
)),"")</f>
        <v/>
      </c>
    </row>
    <row r="221" spans="1:17">
      <c r="A221" s="2" t="str">
        <f>_xlfn.TEXTJOIN("",TRUE,Input!$B$2,ROW(My_Audit!A220))</f>
        <v>XX220</v>
      </c>
      <c r="B221" s="2" t="str">
        <f>_xlfn.TEXTJOIN("-",TRUE,"ITD",Input!$A$2,A221)</f>
        <v>ITD-SHRXXX-XX220</v>
      </c>
      <c r="C221" s="2" t="str" cm="1">
        <f t="array" ref="C221">IFERROR(_xlfn.LET(
_xlpm.CSVVal,_xlfn.XLOOKUP($A221,CSV!$A:$A,CSV!B:B,""),
_xlpm.MacVal,_xlfn.XLOOKUP($A221,Output_Mac!$A:$A,Output_Mac!B:B,""),
_xlpm.MyAuditVal,_xlfn.XLOOKUP($A221,My_Audit!$A:$A,My_Audit!B:B,""),
_xlfn.IFS(_xlpm.MyAuditVal&lt;&gt;"",UPPER(_xlpm.MyAuditVal),_xlpm.MacVal&lt;&gt;"",_xlpm.MacVal,_xlpm.CSVVal&lt;&gt;"",_xlpm.CSVVal
)),"")</f>
        <v/>
      </c>
      <c r="D221" s="2" t="str" cm="1">
        <f t="array" ref="D221">IFERROR(_xlfn.LET(
_xlpm.CSVVal,_xlfn.XLOOKUP($A221,CSV!$A:$A,CSV!D:D,""),
_xlpm.MacVal,_xlfn.XLOOKUP($A221,Output_Mac!$A:$A,Output_Mac!C:C,""),
_xlpm.MyAuditVal,_xlfn.XLOOKUP($A221,My_Audit!$A:$A,My_Audit!C:C,""),
_xlfn.IFS(_xlpm.MyAuditVal&lt;&gt;"",_xlpm.MyAuditVal,_xlpm.MacVal&lt;&gt;"",_xlpm.MacVal,_xlpm.CSVVal&lt;&gt;"",_xlpm.CSVVal
)),"")</f>
        <v/>
      </c>
      <c r="E221" s="2" t="str">
        <f>_xlfn.XLOOKUP(A221,My_Audit!A:A,My_Audit!D:D,"")&amp;""</f>
        <v/>
      </c>
      <c r="F221" s="2" t="str" cm="1">
        <f t="array" ref="F221">IFERROR(_xlfn.LET(
_xlpm.CSVVal,_xlfn.XLOOKUP($A221,CSV!$A:$A,CSV!F:F,""),
_xlpm.MacVal,_xlfn.XLOOKUP($A221,Output_Mac!$A:$A,Output_Mac!E:E,""),
_xlpm.MyAuditVal,_xlfn.XLOOKUP($A221,My_Audit!$A:$A,My_Audit!E:E,""),
_xlfn.IFS(_xlpm.MyAuditVal&lt;&gt;"",_xlpm.MyAuditVal,_xlpm.MacVal&lt;&gt;"",_xlpm.MacVal,_xlpm.CSVVal&lt;&gt;"",_xlpm.CSVVal
)),"")</f>
        <v/>
      </c>
      <c r="G221" s="2" t="str" cm="1">
        <f t="array" ref="G221">IFERROR(_xlfn.LET(
_xlpm.CSVVal,_xlfn.XLOOKUP($A221,CSV!$A:$A,CSV!G:G,""),
_xlpm.MacVal,_xlfn.XLOOKUP($A221,Output_Mac!$A:$A,Output_Mac!F:F,""),
_xlpm.MyAuditVal,_xlfn.XLOOKUP($A221,My_Audit!$A:$A,My_Audit!F:F,""),
_xlfn.IFS(_xlpm.MyAuditVal&lt;&gt;"",_xlpm.MyAuditVal,_xlpm.MacVal&lt;&gt;"",_xlpm.MacVal,_xlpm.CSVVal&lt;&gt;"",PROPER(_xlpm.CSVVal)
)),"")</f>
        <v/>
      </c>
      <c r="H221" s="2" t="str" cm="1">
        <f t="array" ref="H221">IFERROR(_xlfn.LET(
_xlpm.CSVVal,_xlfn.XLOOKUP($A221,CSV!$A:$A,CSV!H:H,""),
_xlpm.MacVal,_xlfn.XLOOKUP($A221,Output_Mac!$A:$A,Output_Mac!H:H,""),
_xlpm.MyAuditVal,_xlfn.XLOOKUP($A221,My_Audit!$A:$A,My_Audit!G:G,""),
_xlfn.IFS(_xlpm.MyAuditVal&lt;&gt;"",_xlpm.MyAuditVal,_xlpm.MacVal&lt;&gt;"",_xlpm.MacVal,_xlpm.CSVVal&lt;&gt;"",_xlpm.CSVVal
)),"")</f>
        <v/>
      </c>
      <c r="I221" s="2" t="str">
        <f>_xlfn.XLOOKUP(A221,Output_Mac!A:A,Output_Mac!I:I,"")</f>
        <v/>
      </c>
      <c r="J221" s="2" t="str" cm="1">
        <f t="array" ref="J221">IFERROR(_xlfn.LET(
_xlpm.CSVVal,_xlfn.XLOOKUP($A221,CSV!$A:$A,CSV!I:I,""),
_xlpm.MacVal,_xlfn.XLOOKUP($A221,Output_Mac!$A:$A,Output_Mac!J:J,""),
_xlpm.MyAuditVal,_xlfn.XLOOKUP($A221,My_Audit!$A:$A,My_Audit!I:I,""),
_xlfn.IFS(_xlpm.MyAuditVal&lt;&gt;"",UPPER(_xlpm.MyAuditVal),_xlpm.MacVal&lt;&gt;"",_xlpm.MacVal,_xlpm.CSVVal&lt;&gt;"",_xlpm.CSVVal
)),"")</f>
        <v/>
      </c>
      <c r="K221" s="2" t="str" cm="1">
        <f t="array" ref="K221">IFERROR(_xlfn.LET(
_xlpm.CSVVal,_xlfn.XLOOKUP($A221,CSV!$A:$A,CSV!K:K,""),
_xlpm.MacVal,_xlfn.XLOOKUP($A221,Output_Mac!$A:$A,Output_Mac!K:K,""),
_xlpm.MyAuditVal,_xlfn.XLOOKUP($A221,My_Audit!$A:$A,My_Audit!J:J,""),
_xlfn.IFS(_xlpm.MyAuditVal&lt;&gt;"",UPPER(_xlpm.MyAuditVal),_xlpm.MacVal&lt;&gt;"",_xlpm.MacVal,_xlpm.CSVVal&lt;&gt;"",_xlpm.CSVVal
)),"")</f>
        <v/>
      </c>
      <c r="L221" s="2" t="str" cm="1">
        <f t="array" ref="L221">IFERROR(_xlfn.LET(
_xlpm.CSVVal,_xlfn.XLOOKUP($A221,CSV!$A:$A,CSV!P:P,""),
_xlpm.MacVal,_xlfn.XLOOKUP($A221,Output_Mac!$A:$A,Output_Mac!L:L,""),
_xlpm.MyAuditVal,_xlfn.XLOOKUP($A221,My_Audit!$A:$A,My_Audit!K:K,""),
_xlfn.IFS(_xlpm.MyAuditVal&lt;&gt;"",UPPER(_xlpm.MyAuditVal),_xlpm.MacVal&lt;&gt;"",_xlpm.MacVal,_xlpm.CSVVal&lt;&gt;"",_xlpm.CSVVal
)),"")</f>
        <v/>
      </c>
      <c r="M221" s="2" t="str" cm="1">
        <f t="array" ref="M221">IFERROR(_xlfn.LET(
_xlpm.CSVVal,_xlfn.XLOOKUP($A221,CSV!$A:$A,CSV!Q:Q,""),
_xlpm.MacVal,_xlfn.XLOOKUP($A221,Output_Mac!$A:$A,Output_Mac!M:M,""),
_xlpm.MyAuditVal,_xlfn.XLOOKUP($A221,My_Audit!$A:$A,My_Audit!L:L,""),
_xlfn.IFS(_xlpm.MyAuditVal&lt;&gt;"",UPPER(_xlpm.MyAuditVal),_xlpm.MacVal&lt;&gt;"",_xlpm.MacVal,_xlpm.CSVVal&lt;&gt;"",_xlpm.CSVVal
)),"")</f>
        <v/>
      </c>
      <c r="O221" s="2" t="str">
        <f>_xlfn.LET(
    _xlpm.CSVVal, _xlfn.XLOOKUP($A221, CSV!$A:$A, CSV!AF:AF, ""),
    _xlpm.MacVal, _xlfn.XLOOKUP($A221, Output_Mac!$A:$A, Output_Mac!S:S, ""),
    _xlpm.MyAuditVal, _xlfn.XLOOKUP($A221, My_Audit!$A:$A, My_Audit!P:P, ""),
    _xlfn.TEXTJOIN(", ", TRUE, _xlpm.MyAuditVal, _xlpm.MacVal, _xlpm.CSVVal)
)</f>
        <v/>
      </c>
      <c r="P221" s="2" t="str" cm="1">
        <f t="array" ref="P221">IFERROR(_xlfn.LET(
_xlpm.CSVVal,_xlfn.XLOOKUP($A221,CSV!$A:$A,CSV!AG:AG,""),
_xlpm.MacVal,_xlfn.XLOOKUP($A221,Output_Mac!$A:$A,Output_Mac!T:T,""),
_xlpm.MyAuditVal,_xlfn.XLOOKUP($A221,My_Audit!$A:$A,My_Audit!Q:Q,""),
_xlfn.IFS(_xlpm.MyAuditVal&lt;&gt;"",UPPER(_xlpm.MyAuditVal),_xlpm.MacVal&lt;&gt;"",_xlpm.MacVal,_xlpm.CSVVal&lt;&gt;"",_xlpm.CSVVal
)),"No")</f>
        <v>No</v>
      </c>
      <c r="Q221" s="2" t="str" cm="1">
        <f t="array" ref="Q221">IFERROR(_xlfn.LET(
_xlpm.CSVVal,_xlfn.XLOOKUP($A221,CSV!$A:$A,CSV!AH:AH,""),
_xlpm.MacVal,_xlfn.XLOOKUP($A221,Output_Mac!$A:$A,Output_Mac!U:U,""),
_xlpm.MyAuditVal,_xlfn.XLOOKUP($A221,My_Audit!$A:$A,My_Audit!R:R,""),
_xlfn.IFS(_xlpm.MyAuditVal&lt;&gt;"",UPPER(_xlpm.MyAuditVal),_xlpm.MacVal&lt;&gt;"",_xlpm.MacVal,_xlpm.CSVVal&lt;&gt;"",_xlpm.CSVVal
)),"")</f>
        <v/>
      </c>
    </row>
    <row r="222" spans="1:17">
      <c r="A222" s="2" t="str">
        <f>_xlfn.TEXTJOIN("",TRUE,Input!$B$2,ROW(My_Audit!A221))</f>
        <v>XX221</v>
      </c>
      <c r="B222" s="2" t="str">
        <f>_xlfn.TEXTJOIN("-",TRUE,"ITD",Input!$A$2,A222)</f>
        <v>ITD-SHRXXX-XX221</v>
      </c>
      <c r="C222" s="2" t="str" cm="1">
        <f t="array" ref="C222">IFERROR(_xlfn.LET(
_xlpm.CSVVal,_xlfn.XLOOKUP($A222,CSV!$A:$A,CSV!B:B,""),
_xlpm.MacVal,_xlfn.XLOOKUP($A222,Output_Mac!$A:$A,Output_Mac!B:B,""),
_xlpm.MyAuditVal,_xlfn.XLOOKUP($A222,My_Audit!$A:$A,My_Audit!B:B,""),
_xlfn.IFS(_xlpm.MyAuditVal&lt;&gt;"",UPPER(_xlpm.MyAuditVal),_xlpm.MacVal&lt;&gt;"",_xlpm.MacVal,_xlpm.CSVVal&lt;&gt;"",_xlpm.CSVVal
)),"")</f>
        <v/>
      </c>
      <c r="D222" s="2" t="str" cm="1">
        <f t="array" ref="D222">IFERROR(_xlfn.LET(
_xlpm.CSVVal,_xlfn.XLOOKUP($A222,CSV!$A:$A,CSV!D:D,""),
_xlpm.MacVal,_xlfn.XLOOKUP($A222,Output_Mac!$A:$A,Output_Mac!C:C,""),
_xlpm.MyAuditVal,_xlfn.XLOOKUP($A222,My_Audit!$A:$A,My_Audit!C:C,""),
_xlfn.IFS(_xlpm.MyAuditVal&lt;&gt;"",_xlpm.MyAuditVal,_xlpm.MacVal&lt;&gt;"",_xlpm.MacVal,_xlpm.CSVVal&lt;&gt;"",_xlpm.CSVVal
)),"")</f>
        <v/>
      </c>
      <c r="E222" s="2" t="str">
        <f>_xlfn.XLOOKUP(A222,My_Audit!A:A,My_Audit!D:D,"")&amp;""</f>
        <v/>
      </c>
      <c r="F222" s="2" t="str" cm="1">
        <f t="array" ref="F222">IFERROR(_xlfn.LET(
_xlpm.CSVVal,_xlfn.XLOOKUP($A222,CSV!$A:$A,CSV!F:F,""),
_xlpm.MacVal,_xlfn.XLOOKUP($A222,Output_Mac!$A:$A,Output_Mac!E:E,""),
_xlpm.MyAuditVal,_xlfn.XLOOKUP($A222,My_Audit!$A:$A,My_Audit!E:E,""),
_xlfn.IFS(_xlpm.MyAuditVal&lt;&gt;"",_xlpm.MyAuditVal,_xlpm.MacVal&lt;&gt;"",_xlpm.MacVal,_xlpm.CSVVal&lt;&gt;"",_xlpm.CSVVal
)),"")</f>
        <v/>
      </c>
      <c r="G222" s="2" t="str" cm="1">
        <f t="array" ref="G222">IFERROR(_xlfn.LET(
_xlpm.CSVVal,_xlfn.XLOOKUP($A222,CSV!$A:$A,CSV!G:G,""),
_xlpm.MacVal,_xlfn.XLOOKUP($A222,Output_Mac!$A:$A,Output_Mac!F:F,""),
_xlpm.MyAuditVal,_xlfn.XLOOKUP($A222,My_Audit!$A:$A,My_Audit!F:F,""),
_xlfn.IFS(_xlpm.MyAuditVal&lt;&gt;"",_xlpm.MyAuditVal,_xlpm.MacVal&lt;&gt;"",_xlpm.MacVal,_xlpm.CSVVal&lt;&gt;"",PROPER(_xlpm.CSVVal)
)),"")</f>
        <v/>
      </c>
      <c r="H222" s="2" t="str" cm="1">
        <f t="array" ref="H222">IFERROR(_xlfn.LET(
_xlpm.CSVVal,_xlfn.XLOOKUP($A222,CSV!$A:$A,CSV!H:H,""),
_xlpm.MacVal,_xlfn.XLOOKUP($A222,Output_Mac!$A:$A,Output_Mac!H:H,""),
_xlpm.MyAuditVal,_xlfn.XLOOKUP($A222,My_Audit!$A:$A,My_Audit!G:G,""),
_xlfn.IFS(_xlpm.MyAuditVal&lt;&gt;"",_xlpm.MyAuditVal,_xlpm.MacVal&lt;&gt;"",_xlpm.MacVal,_xlpm.CSVVal&lt;&gt;"",_xlpm.CSVVal
)),"")</f>
        <v/>
      </c>
      <c r="I222" s="2" t="str">
        <f>_xlfn.XLOOKUP(A222,Output_Mac!A:A,Output_Mac!I:I,"")</f>
        <v/>
      </c>
      <c r="J222" s="2" t="str" cm="1">
        <f t="array" ref="J222">IFERROR(_xlfn.LET(
_xlpm.CSVVal,_xlfn.XLOOKUP($A222,CSV!$A:$A,CSV!I:I,""),
_xlpm.MacVal,_xlfn.XLOOKUP($A222,Output_Mac!$A:$A,Output_Mac!J:J,""),
_xlpm.MyAuditVal,_xlfn.XLOOKUP($A222,My_Audit!$A:$A,My_Audit!I:I,""),
_xlfn.IFS(_xlpm.MyAuditVal&lt;&gt;"",UPPER(_xlpm.MyAuditVal),_xlpm.MacVal&lt;&gt;"",_xlpm.MacVal,_xlpm.CSVVal&lt;&gt;"",_xlpm.CSVVal
)),"")</f>
        <v/>
      </c>
      <c r="K222" s="2" t="str" cm="1">
        <f t="array" ref="K222">IFERROR(_xlfn.LET(
_xlpm.CSVVal,_xlfn.XLOOKUP($A222,CSV!$A:$A,CSV!K:K,""),
_xlpm.MacVal,_xlfn.XLOOKUP($A222,Output_Mac!$A:$A,Output_Mac!K:K,""),
_xlpm.MyAuditVal,_xlfn.XLOOKUP($A222,My_Audit!$A:$A,My_Audit!J:J,""),
_xlfn.IFS(_xlpm.MyAuditVal&lt;&gt;"",UPPER(_xlpm.MyAuditVal),_xlpm.MacVal&lt;&gt;"",_xlpm.MacVal,_xlpm.CSVVal&lt;&gt;"",_xlpm.CSVVal
)),"")</f>
        <v/>
      </c>
      <c r="L222" s="2" t="str" cm="1">
        <f t="array" ref="L222">IFERROR(_xlfn.LET(
_xlpm.CSVVal,_xlfn.XLOOKUP($A222,CSV!$A:$A,CSV!P:P,""),
_xlpm.MacVal,_xlfn.XLOOKUP($A222,Output_Mac!$A:$A,Output_Mac!L:L,""),
_xlpm.MyAuditVal,_xlfn.XLOOKUP($A222,My_Audit!$A:$A,My_Audit!K:K,""),
_xlfn.IFS(_xlpm.MyAuditVal&lt;&gt;"",UPPER(_xlpm.MyAuditVal),_xlpm.MacVal&lt;&gt;"",_xlpm.MacVal,_xlpm.CSVVal&lt;&gt;"",_xlpm.CSVVal
)),"")</f>
        <v/>
      </c>
      <c r="M222" s="2" t="str" cm="1">
        <f t="array" ref="M222">IFERROR(_xlfn.LET(
_xlpm.CSVVal,_xlfn.XLOOKUP($A222,CSV!$A:$A,CSV!Q:Q,""),
_xlpm.MacVal,_xlfn.XLOOKUP($A222,Output_Mac!$A:$A,Output_Mac!M:M,""),
_xlpm.MyAuditVal,_xlfn.XLOOKUP($A222,My_Audit!$A:$A,My_Audit!L:L,""),
_xlfn.IFS(_xlpm.MyAuditVal&lt;&gt;"",UPPER(_xlpm.MyAuditVal),_xlpm.MacVal&lt;&gt;"",_xlpm.MacVal,_xlpm.CSVVal&lt;&gt;"",_xlpm.CSVVal
)),"")</f>
        <v/>
      </c>
      <c r="O222" s="2" t="str">
        <f>_xlfn.LET(
    _xlpm.CSVVal, _xlfn.XLOOKUP($A222, CSV!$A:$A, CSV!AF:AF, ""),
    _xlpm.MacVal, _xlfn.XLOOKUP($A222, Output_Mac!$A:$A, Output_Mac!S:S, ""),
    _xlpm.MyAuditVal, _xlfn.XLOOKUP($A222, My_Audit!$A:$A, My_Audit!P:P, ""),
    _xlfn.TEXTJOIN(", ", TRUE, _xlpm.MyAuditVal, _xlpm.MacVal, _xlpm.CSVVal)
)</f>
        <v/>
      </c>
      <c r="P222" s="2" t="str" cm="1">
        <f t="array" ref="P222">IFERROR(_xlfn.LET(
_xlpm.CSVVal,_xlfn.XLOOKUP($A222,CSV!$A:$A,CSV!AG:AG,""),
_xlpm.MacVal,_xlfn.XLOOKUP($A222,Output_Mac!$A:$A,Output_Mac!T:T,""),
_xlpm.MyAuditVal,_xlfn.XLOOKUP($A222,My_Audit!$A:$A,My_Audit!Q:Q,""),
_xlfn.IFS(_xlpm.MyAuditVal&lt;&gt;"",UPPER(_xlpm.MyAuditVal),_xlpm.MacVal&lt;&gt;"",_xlpm.MacVal,_xlpm.CSVVal&lt;&gt;"",_xlpm.CSVVal
)),"No")</f>
        <v>No</v>
      </c>
      <c r="Q222" s="2" t="str" cm="1">
        <f t="array" ref="Q222">IFERROR(_xlfn.LET(
_xlpm.CSVVal,_xlfn.XLOOKUP($A222,CSV!$A:$A,CSV!AH:AH,""),
_xlpm.MacVal,_xlfn.XLOOKUP($A222,Output_Mac!$A:$A,Output_Mac!U:U,""),
_xlpm.MyAuditVal,_xlfn.XLOOKUP($A222,My_Audit!$A:$A,My_Audit!R:R,""),
_xlfn.IFS(_xlpm.MyAuditVal&lt;&gt;"",UPPER(_xlpm.MyAuditVal),_xlpm.MacVal&lt;&gt;"",_xlpm.MacVal,_xlpm.CSVVal&lt;&gt;"",_xlpm.CSVVal
)),"")</f>
        <v/>
      </c>
    </row>
    <row r="223" spans="1:17">
      <c r="A223" s="2" t="str">
        <f>_xlfn.TEXTJOIN("",TRUE,Input!$B$2,ROW(My_Audit!A222))</f>
        <v>XX222</v>
      </c>
      <c r="B223" s="2" t="str">
        <f>_xlfn.TEXTJOIN("-",TRUE,"ITD",Input!$A$2,A223)</f>
        <v>ITD-SHRXXX-XX222</v>
      </c>
      <c r="C223" s="2" t="str" cm="1">
        <f t="array" ref="C223">IFERROR(_xlfn.LET(
_xlpm.CSVVal,_xlfn.XLOOKUP($A223,CSV!$A:$A,CSV!B:B,""),
_xlpm.MacVal,_xlfn.XLOOKUP($A223,Output_Mac!$A:$A,Output_Mac!B:B,""),
_xlpm.MyAuditVal,_xlfn.XLOOKUP($A223,My_Audit!$A:$A,My_Audit!B:B,""),
_xlfn.IFS(_xlpm.MyAuditVal&lt;&gt;"",UPPER(_xlpm.MyAuditVal),_xlpm.MacVal&lt;&gt;"",_xlpm.MacVal,_xlpm.CSVVal&lt;&gt;"",_xlpm.CSVVal
)),"")</f>
        <v/>
      </c>
      <c r="D223" s="2" t="str" cm="1">
        <f t="array" ref="D223">IFERROR(_xlfn.LET(
_xlpm.CSVVal,_xlfn.XLOOKUP($A223,CSV!$A:$A,CSV!D:D,""),
_xlpm.MacVal,_xlfn.XLOOKUP($A223,Output_Mac!$A:$A,Output_Mac!C:C,""),
_xlpm.MyAuditVal,_xlfn.XLOOKUP($A223,My_Audit!$A:$A,My_Audit!C:C,""),
_xlfn.IFS(_xlpm.MyAuditVal&lt;&gt;"",_xlpm.MyAuditVal,_xlpm.MacVal&lt;&gt;"",_xlpm.MacVal,_xlpm.CSVVal&lt;&gt;"",_xlpm.CSVVal
)),"")</f>
        <v/>
      </c>
      <c r="E223" s="2" t="str">
        <f>_xlfn.XLOOKUP(A223,My_Audit!A:A,My_Audit!D:D,"")&amp;""</f>
        <v/>
      </c>
      <c r="F223" s="2" t="str" cm="1">
        <f t="array" ref="F223">IFERROR(_xlfn.LET(
_xlpm.CSVVal,_xlfn.XLOOKUP($A223,CSV!$A:$A,CSV!F:F,""),
_xlpm.MacVal,_xlfn.XLOOKUP($A223,Output_Mac!$A:$A,Output_Mac!E:E,""),
_xlpm.MyAuditVal,_xlfn.XLOOKUP($A223,My_Audit!$A:$A,My_Audit!E:E,""),
_xlfn.IFS(_xlpm.MyAuditVal&lt;&gt;"",_xlpm.MyAuditVal,_xlpm.MacVal&lt;&gt;"",_xlpm.MacVal,_xlpm.CSVVal&lt;&gt;"",_xlpm.CSVVal
)),"")</f>
        <v/>
      </c>
      <c r="G223" s="2" t="str" cm="1">
        <f t="array" ref="G223">IFERROR(_xlfn.LET(
_xlpm.CSVVal,_xlfn.XLOOKUP($A223,CSV!$A:$A,CSV!G:G,""),
_xlpm.MacVal,_xlfn.XLOOKUP($A223,Output_Mac!$A:$A,Output_Mac!F:F,""),
_xlpm.MyAuditVal,_xlfn.XLOOKUP($A223,My_Audit!$A:$A,My_Audit!F:F,""),
_xlfn.IFS(_xlpm.MyAuditVal&lt;&gt;"",_xlpm.MyAuditVal,_xlpm.MacVal&lt;&gt;"",_xlpm.MacVal,_xlpm.CSVVal&lt;&gt;"",PROPER(_xlpm.CSVVal)
)),"")</f>
        <v/>
      </c>
      <c r="H223" s="2" t="str" cm="1">
        <f t="array" ref="H223">IFERROR(_xlfn.LET(
_xlpm.CSVVal,_xlfn.XLOOKUP($A223,CSV!$A:$A,CSV!H:H,""),
_xlpm.MacVal,_xlfn.XLOOKUP($A223,Output_Mac!$A:$A,Output_Mac!H:H,""),
_xlpm.MyAuditVal,_xlfn.XLOOKUP($A223,My_Audit!$A:$A,My_Audit!G:G,""),
_xlfn.IFS(_xlpm.MyAuditVal&lt;&gt;"",_xlpm.MyAuditVal,_xlpm.MacVal&lt;&gt;"",_xlpm.MacVal,_xlpm.CSVVal&lt;&gt;"",_xlpm.CSVVal
)),"")</f>
        <v/>
      </c>
      <c r="I223" s="2" t="str">
        <f>_xlfn.XLOOKUP(A223,Output_Mac!A:A,Output_Mac!I:I,"")</f>
        <v/>
      </c>
      <c r="J223" s="2" t="str" cm="1">
        <f t="array" ref="J223">IFERROR(_xlfn.LET(
_xlpm.CSVVal,_xlfn.XLOOKUP($A223,CSV!$A:$A,CSV!I:I,""),
_xlpm.MacVal,_xlfn.XLOOKUP($A223,Output_Mac!$A:$A,Output_Mac!J:J,""),
_xlpm.MyAuditVal,_xlfn.XLOOKUP($A223,My_Audit!$A:$A,My_Audit!I:I,""),
_xlfn.IFS(_xlpm.MyAuditVal&lt;&gt;"",UPPER(_xlpm.MyAuditVal),_xlpm.MacVal&lt;&gt;"",_xlpm.MacVal,_xlpm.CSVVal&lt;&gt;"",_xlpm.CSVVal
)),"")</f>
        <v/>
      </c>
      <c r="K223" s="2" t="str" cm="1">
        <f t="array" ref="K223">IFERROR(_xlfn.LET(
_xlpm.CSVVal,_xlfn.XLOOKUP($A223,CSV!$A:$A,CSV!K:K,""),
_xlpm.MacVal,_xlfn.XLOOKUP($A223,Output_Mac!$A:$A,Output_Mac!K:K,""),
_xlpm.MyAuditVal,_xlfn.XLOOKUP($A223,My_Audit!$A:$A,My_Audit!J:J,""),
_xlfn.IFS(_xlpm.MyAuditVal&lt;&gt;"",UPPER(_xlpm.MyAuditVal),_xlpm.MacVal&lt;&gt;"",_xlpm.MacVal,_xlpm.CSVVal&lt;&gt;"",_xlpm.CSVVal
)),"")</f>
        <v/>
      </c>
      <c r="L223" s="2" t="str" cm="1">
        <f t="array" ref="L223">IFERROR(_xlfn.LET(
_xlpm.CSVVal,_xlfn.XLOOKUP($A223,CSV!$A:$A,CSV!P:P,""),
_xlpm.MacVal,_xlfn.XLOOKUP($A223,Output_Mac!$A:$A,Output_Mac!L:L,""),
_xlpm.MyAuditVal,_xlfn.XLOOKUP($A223,My_Audit!$A:$A,My_Audit!K:K,""),
_xlfn.IFS(_xlpm.MyAuditVal&lt;&gt;"",UPPER(_xlpm.MyAuditVal),_xlpm.MacVal&lt;&gt;"",_xlpm.MacVal,_xlpm.CSVVal&lt;&gt;"",_xlpm.CSVVal
)),"")</f>
        <v/>
      </c>
      <c r="M223" s="2" t="str" cm="1">
        <f t="array" ref="M223">IFERROR(_xlfn.LET(
_xlpm.CSVVal,_xlfn.XLOOKUP($A223,CSV!$A:$A,CSV!Q:Q,""),
_xlpm.MacVal,_xlfn.XLOOKUP($A223,Output_Mac!$A:$A,Output_Mac!M:M,""),
_xlpm.MyAuditVal,_xlfn.XLOOKUP($A223,My_Audit!$A:$A,My_Audit!L:L,""),
_xlfn.IFS(_xlpm.MyAuditVal&lt;&gt;"",UPPER(_xlpm.MyAuditVal),_xlpm.MacVal&lt;&gt;"",_xlpm.MacVal,_xlpm.CSVVal&lt;&gt;"",_xlpm.CSVVal
)),"")</f>
        <v/>
      </c>
      <c r="O223" s="2" t="str">
        <f>_xlfn.LET(
    _xlpm.CSVVal, _xlfn.XLOOKUP($A223, CSV!$A:$A, CSV!AF:AF, ""),
    _xlpm.MacVal, _xlfn.XLOOKUP($A223, Output_Mac!$A:$A, Output_Mac!S:S, ""),
    _xlpm.MyAuditVal, _xlfn.XLOOKUP($A223, My_Audit!$A:$A, My_Audit!P:P, ""),
    _xlfn.TEXTJOIN(", ", TRUE, _xlpm.MyAuditVal, _xlpm.MacVal, _xlpm.CSVVal)
)</f>
        <v/>
      </c>
      <c r="P223" s="2" t="str" cm="1">
        <f t="array" ref="P223">IFERROR(_xlfn.LET(
_xlpm.CSVVal,_xlfn.XLOOKUP($A223,CSV!$A:$A,CSV!AG:AG,""),
_xlpm.MacVal,_xlfn.XLOOKUP($A223,Output_Mac!$A:$A,Output_Mac!T:T,""),
_xlpm.MyAuditVal,_xlfn.XLOOKUP($A223,My_Audit!$A:$A,My_Audit!Q:Q,""),
_xlfn.IFS(_xlpm.MyAuditVal&lt;&gt;"",UPPER(_xlpm.MyAuditVal),_xlpm.MacVal&lt;&gt;"",_xlpm.MacVal,_xlpm.CSVVal&lt;&gt;"",_xlpm.CSVVal
)),"No")</f>
        <v>No</v>
      </c>
      <c r="Q223" s="2" t="str" cm="1">
        <f t="array" ref="Q223">IFERROR(_xlfn.LET(
_xlpm.CSVVal,_xlfn.XLOOKUP($A223,CSV!$A:$A,CSV!AH:AH,""),
_xlpm.MacVal,_xlfn.XLOOKUP($A223,Output_Mac!$A:$A,Output_Mac!U:U,""),
_xlpm.MyAuditVal,_xlfn.XLOOKUP($A223,My_Audit!$A:$A,My_Audit!R:R,""),
_xlfn.IFS(_xlpm.MyAuditVal&lt;&gt;"",UPPER(_xlpm.MyAuditVal),_xlpm.MacVal&lt;&gt;"",_xlpm.MacVal,_xlpm.CSVVal&lt;&gt;"",_xlpm.CSVVal
)),"")</f>
        <v/>
      </c>
    </row>
    <row r="224" spans="1:17">
      <c r="A224" s="2" t="str">
        <f>_xlfn.TEXTJOIN("",TRUE,Input!$B$2,ROW(My_Audit!A223))</f>
        <v>XX223</v>
      </c>
      <c r="B224" s="2" t="str">
        <f>_xlfn.TEXTJOIN("-",TRUE,"ITD",Input!$A$2,A224)</f>
        <v>ITD-SHRXXX-XX223</v>
      </c>
      <c r="C224" s="2" t="str" cm="1">
        <f t="array" ref="C224">IFERROR(_xlfn.LET(
_xlpm.CSVVal,_xlfn.XLOOKUP($A224,CSV!$A:$A,CSV!B:B,""),
_xlpm.MacVal,_xlfn.XLOOKUP($A224,Output_Mac!$A:$A,Output_Mac!B:B,""),
_xlpm.MyAuditVal,_xlfn.XLOOKUP($A224,My_Audit!$A:$A,My_Audit!B:B,""),
_xlfn.IFS(_xlpm.MyAuditVal&lt;&gt;"",UPPER(_xlpm.MyAuditVal),_xlpm.MacVal&lt;&gt;"",_xlpm.MacVal,_xlpm.CSVVal&lt;&gt;"",_xlpm.CSVVal
)),"")</f>
        <v/>
      </c>
      <c r="D224" s="2" t="str" cm="1">
        <f t="array" ref="D224">IFERROR(_xlfn.LET(
_xlpm.CSVVal,_xlfn.XLOOKUP($A224,CSV!$A:$A,CSV!D:D,""),
_xlpm.MacVal,_xlfn.XLOOKUP($A224,Output_Mac!$A:$A,Output_Mac!C:C,""),
_xlpm.MyAuditVal,_xlfn.XLOOKUP($A224,My_Audit!$A:$A,My_Audit!C:C,""),
_xlfn.IFS(_xlpm.MyAuditVal&lt;&gt;"",_xlpm.MyAuditVal,_xlpm.MacVal&lt;&gt;"",_xlpm.MacVal,_xlpm.CSVVal&lt;&gt;"",_xlpm.CSVVal
)),"")</f>
        <v/>
      </c>
      <c r="E224" s="2" t="str">
        <f>_xlfn.XLOOKUP(A224,My_Audit!A:A,My_Audit!D:D,"")&amp;""</f>
        <v/>
      </c>
      <c r="F224" s="2" t="str" cm="1">
        <f t="array" ref="F224">IFERROR(_xlfn.LET(
_xlpm.CSVVal,_xlfn.XLOOKUP($A224,CSV!$A:$A,CSV!F:F,""),
_xlpm.MacVal,_xlfn.XLOOKUP($A224,Output_Mac!$A:$A,Output_Mac!E:E,""),
_xlpm.MyAuditVal,_xlfn.XLOOKUP($A224,My_Audit!$A:$A,My_Audit!E:E,""),
_xlfn.IFS(_xlpm.MyAuditVal&lt;&gt;"",_xlpm.MyAuditVal,_xlpm.MacVal&lt;&gt;"",_xlpm.MacVal,_xlpm.CSVVal&lt;&gt;"",_xlpm.CSVVal
)),"")</f>
        <v/>
      </c>
      <c r="G224" s="2" t="str" cm="1">
        <f t="array" ref="G224">IFERROR(_xlfn.LET(
_xlpm.CSVVal,_xlfn.XLOOKUP($A224,CSV!$A:$A,CSV!G:G,""),
_xlpm.MacVal,_xlfn.XLOOKUP($A224,Output_Mac!$A:$A,Output_Mac!F:F,""),
_xlpm.MyAuditVal,_xlfn.XLOOKUP($A224,My_Audit!$A:$A,My_Audit!F:F,""),
_xlfn.IFS(_xlpm.MyAuditVal&lt;&gt;"",_xlpm.MyAuditVal,_xlpm.MacVal&lt;&gt;"",_xlpm.MacVal,_xlpm.CSVVal&lt;&gt;"",PROPER(_xlpm.CSVVal)
)),"")</f>
        <v/>
      </c>
      <c r="H224" s="2" t="str" cm="1">
        <f t="array" ref="H224">IFERROR(_xlfn.LET(
_xlpm.CSVVal,_xlfn.XLOOKUP($A224,CSV!$A:$A,CSV!H:H,""),
_xlpm.MacVal,_xlfn.XLOOKUP($A224,Output_Mac!$A:$A,Output_Mac!H:H,""),
_xlpm.MyAuditVal,_xlfn.XLOOKUP($A224,My_Audit!$A:$A,My_Audit!G:G,""),
_xlfn.IFS(_xlpm.MyAuditVal&lt;&gt;"",_xlpm.MyAuditVal,_xlpm.MacVal&lt;&gt;"",_xlpm.MacVal,_xlpm.CSVVal&lt;&gt;"",_xlpm.CSVVal
)),"")</f>
        <v/>
      </c>
      <c r="I224" s="2" t="str">
        <f>_xlfn.XLOOKUP(A224,Output_Mac!A:A,Output_Mac!I:I,"")</f>
        <v/>
      </c>
      <c r="J224" s="2" t="str" cm="1">
        <f t="array" ref="J224">IFERROR(_xlfn.LET(
_xlpm.CSVVal,_xlfn.XLOOKUP($A224,CSV!$A:$A,CSV!I:I,""),
_xlpm.MacVal,_xlfn.XLOOKUP($A224,Output_Mac!$A:$A,Output_Mac!J:J,""),
_xlpm.MyAuditVal,_xlfn.XLOOKUP($A224,My_Audit!$A:$A,My_Audit!I:I,""),
_xlfn.IFS(_xlpm.MyAuditVal&lt;&gt;"",UPPER(_xlpm.MyAuditVal),_xlpm.MacVal&lt;&gt;"",_xlpm.MacVal,_xlpm.CSVVal&lt;&gt;"",_xlpm.CSVVal
)),"")</f>
        <v/>
      </c>
      <c r="K224" s="2" t="str" cm="1">
        <f t="array" ref="K224">IFERROR(_xlfn.LET(
_xlpm.CSVVal,_xlfn.XLOOKUP($A224,CSV!$A:$A,CSV!K:K,""),
_xlpm.MacVal,_xlfn.XLOOKUP($A224,Output_Mac!$A:$A,Output_Mac!K:K,""),
_xlpm.MyAuditVal,_xlfn.XLOOKUP($A224,My_Audit!$A:$A,My_Audit!J:J,""),
_xlfn.IFS(_xlpm.MyAuditVal&lt;&gt;"",UPPER(_xlpm.MyAuditVal),_xlpm.MacVal&lt;&gt;"",_xlpm.MacVal,_xlpm.CSVVal&lt;&gt;"",_xlpm.CSVVal
)),"")</f>
        <v/>
      </c>
      <c r="L224" s="2" t="str" cm="1">
        <f t="array" ref="L224">IFERROR(_xlfn.LET(
_xlpm.CSVVal,_xlfn.XLOOKUP($A224,CSV!$A:$A,CSV!P:P,""),
_xlpm.MacVal,_xlfn.XLOOKUP($A224,Output_Mac!$A:$A,Output_Mac!L:L,""),
_xlpm.MyAuditVal,_xlfn.XLOOKUP($A224,My_Audit!$A:$A,My_Audit!K:K,""),
_xlfn.IFS(_xlpm.MyAuditVal&lt;&gt;"",UPPER(_xlpm.MyAuditVal),_xlpm.MacVal&lt;&gt;"",_xlpm.MacVal,_xlpm.CSVVal&lt;&gt;"",_xlpm.CSVVal
)),"")</f>
        <v/>
      </c>
      <c r="M224" s="2" t="str" cm="1">
        <f t="array" ref="M224">IFERROR(_xlfn.LET(
_xlpm.CSVVal,_xlfn.XLOOKUP($A224,CSV!$A:$A,CSV!Q:Q,""),
_xlpm.MacVal,_xlfn.XLOOKUP($A224,Output_Mac!$A:$A,Output_Mac!M:M,""),
_xlpm.MyAuditVal,_xlfn.XLOOKUP($A224,My_Audit!$A:$A,My_Audit!L:L,""),
_xlfn.IFS(_xlpm.MyAuditVal&lt;&gt;"",UPPER(_xlpm.MyAuditVal),_xlpm.MacVal&lt;&gt;"",_xlpm.MacVal,_xlpm.CSVVal&lt;&gt;"",_xlpm.CSVVal
)),"")</f>
        <v/>
      </c>
      <c r="O224" s="2" t="str">
        <f>_xlfn.LET(
    _xlpm.CSVVal, _xlfn.XLOOKUP($A224, CSV!$A:$A, CSV!AF:AF, ""),
    _xlpm.MacVal, _xlfn.XLOOKUP($A224, Output_Mac!$A:$A, Output_Mac!S:S, ""),
    _xlpm.MyAuditVal, _xlfn.XLOOKUP($A224, My_Audit!$A:$A, My_Audit!P:P, ""),
    _xlfn.TEXTJOIN(", ", TRUE, _xlpm.MyAuditVal, _xlpm.MacVal, _xlpm.CSVVal)
)</f>
        <v/>
      </c>
      <c r="P224" s="2" t="str" cm="1">
        <f t="array" ref="P224">IFERROR(_xlfn.LET(
_xlpm.CSVVal,_xlfn.XLOOKUP($A224,CSV!$A:$A,CSV!AG:AG,""),
_xlpm.MacVal,_xlfn.XLOOKUP($A224,Output_Mac!$A:$A,Output_Mac!T:T,""),
_xlpm.MyAuditVal,_xlfn.XLOOKUP($A224,My_Audit!$A:$A,My_Audit!Q:Q,""),
_xlfn.IFS(_xlpm.MyAuditVal&lt;&gt;"",UPPER(_xlpm.MyAuditVal),_xlpm.MacVal&lt;&gt;"",_xlpm.MacVal,_xlpm.CSVVal&lt;&gt;"",_xlpm.CSVVal
)),"No")</f>
        <v>No</v>
      </c>
      <c r="Q224" s="2" t="str" cm="1">
        <f t="array" ref="Q224">IFERROR(_xlfn.LET(
_xlpm.CSVVal,_xlfn.XLOOKUP($A224,CSV!$A:$A,CSV!AH:AH,""),
_xlpm.MacVal,_xlfn.XLOOKUP($A224,Output_Mac!$A:$A,Output_Mac!U:U,""),
_xlpm.MyAuditVal,_xlfn.XLOOKUP($A224,My_Audit!$A:$A,My_Audit!R:R,""),
_xlfn.IFS(_xlpm.MyAuditVal&lt;&gt;"",UPPER(_xlpm.MyAuditVal),_xlpm.MacVal&lt;&gt;"",_xlpm.MacVal,_xlpm.CSVVal&lt;&gt;"",_xlpm.CSVVal
)),"")</f>
        <v/>
      </c>
    </row>
    <row r="225" spans="1:17">
      <c r="A225" s="2" t="str">
        <f>_xlfn.TEXTJOIN("",TRUE,Input!$B$2,ROW(My_Audit!A224))</f>
        <v>XX224</v>
      </c>
      <c r="B225" s="2" t="str">
        <f>_xlfn.TEXTJOIN("-",TRUE,"ITD",Input!$A$2,A225)</f>
        <v>ITD-SHRXXX-XX224</v>
      </c>
      <c r="C225" s="2" t="str" cm="1">
        <f t="array" ref="C225">IFERROR(_xlfn.LET(
_xlpm.CSVVal,_xlfn.XLOOKUP($A225,CSV!$A:$A,CSV!B:B,""),
_xlpm.MacVal,_xlfn.XLOOKUP($A225,Output_Mac!$A:$A,Output_Mac!B:B,""),
_xlpm.MyAuditVal,_xlfn.XLOOKUP($A225,My_Audit!$A:$A,My_Audit!B:B,""),
_xlfn.IFS(_xlpm.MyAuditVal&lt;&gt;"",UPPER(_xlpm.MyAuditVal),_xlpm.MacVal&lt;&gt;"",_xlpm.MacVal,_xlpm.CSVVal&lt;&gt;"",_xlpm.CSVVal
)),"")</f>
        <v/>
      </c>
      <c r="D225" s="2" t="str" cm="1">
        <f t="array" ref="D225">IFERROR(_xlfn.LET(
_xlpm.CSVVal,_xlfn.XLOOKUP($A225,CSV!$A:$A,CSV!D:D,""),
_xlpm.MacVal,_xlfn.XLOOKUP($A225,Output_Mac!$A:$A,Output_Mac!C:C,""),
_xlpm.MyAuditVal,_xlfn.XLOOKUP($A225,My_Audit!$A:$A,My_Audit!C:C,""),
_xlfn.IFS(_xlpm.MyAuditVal&lt;&gt;"",_xlpm.MyAuditVal,_xlpm.MacVal&lt;&gt;"",_xlpm.MacVal,_xlpm.CSVVal&lt;&gt;"",_xlpm.CSVVal
)),"")</f>
        <v/>
      </c>
      <c r="E225" s="2" t="str">
        <f>_xlfn.XLOOKUP(A225,My_Audit!A:A,My_Audit!D:D,"")&amp;""</f>
        <v/>
      </c>
      <c r="F225" s="2" t="str" cm="1">
        <f t="array" ref="F225">IFERROR(_xlfn.LET(
_xlpm.CSVVal,_xlfn.XLOOKUP($A225,CSV!$A:$A,CSV!F:F,""),
_xlpm.MacVal,_xlfn.XLOOKUP($A225,Output_Mac!$A:$A,Output_Mac!E:E,""),
_xlpm.MyAuditVal,_xlfn.XLOOKUP($A225,My_Audit!$A:$A,My_Audit!E:E,""),
_xlfn.IFS(_xlpm.MyAuditVal&lt;&gt;"",_xlpm.MyAuditVal,_xlpm.MacVal&lt;&gt;"",_xlpm.MacVal,_xlpm.CSVVal&lt;&gt;"",_xlpm.CSVVal
)),"")</f>
        <v/>
      </c>
      <c r="G225" s="2" t="str" cm="1">
        <f t="array" ref="G225">IFERROR(_xlfn.LET(
_xlpm.CSVVal,_xlfn.XLOOKUP($A225,CSV!$A:$A,CSV!G:G,""),
_xlpm.MacVal,_xlfn.XLOOKUP($A225,Output_Mac!$A:$A,Output_Mac!F:F,""),
_xlpm.MyAuditVal,_xlfn.XLOOKUP($A225,My_Audit!$A:$A,My_Audit!F:F,""),
_xlfn.IFS(_xlpm.MyAuditVal&lt;&gt;"",_xlpm.MyAuditVal,_xlpm.MacVal&lt;&gt;"",_xlpm.MacVal,_xlpm.CSVVal&lt;&gt;"",PROPER(_xlpm.CSVVal)
)),"")</f>
        <v/>
      </c>
      <c r="H225" s="2" t="str" cm="1">
        <f t="array" ref="H225">IFERROR(_xlfn.LET(
_xlpm.CSVVal,_xlfn.XLOOKUP($A225,CSV!$A:$A,CSV!H:H,""),
_xlpm.MacVal,_xlfn.XLOOKUP($A225,Output_Mac!$A:$A,Output_Mac!H:H,""),
_xlpm.MyAuditVal,_xlfn.XLOOKUP($A225,My_Audit!$A:$A,My_Audit!G:G,""),
_xlfn.IFS(_xlpm.MyAuditVal&lt;&gt;"",_xlpm.MyAuditVal,_xlpm.MacVal&lt;&gt;"",_xlpm.MacVal,_xlpm.CSVVal&lt;&gt;"",_xlpm.CSVVal
)),"")</f>
        <v/>
      </c>
      <c r="I225" s="2" t="str">
        <f>_xlfn.XLOOKUP(A225,Output_Mac!A:A,Output_Mac!I:I,"")</f>
        <v/>
      </c>
      <c r="J225" s="2" t="str" cm="1">
        <f t="array" ref="J225">IFERROR(_xlfn.LET(
_xlpm.CSVVal,_xlfn.XLOOKUP($A225,CSV!$A:$A,CSV!I:I,""),
_xlpm.MacVal,_xlfn.XLOOKUP($A225,Output_Mac!$A:$A,Output_Mac!J:J,""),
_xlpm.MyAuditVal,_xlfn.XLOOKUP($A225,My_Audit!$A:$A,My_Audit!I:I,""),
_xlfn.IFS(_xlpm.MyAuditVal&lt;&gt;"",UPPER(_xlpm.MyAuditVal),_xlpm.MacVal&lt;&gt;"",_xlpm.MacVal,_xlpm.CSVVal&lt;&gt;"",_xlpm.CSVVal
)),"")</f>
        <v/>
      </c>
      <c r="K225" s="2" t="str" cm="1">
        <f t="array" ref="K225">IFERROR(_xlfn.LET(
_xlpm.CSVVal,_xlfn.XLOOKUP($A225,CSV!$A:$A,CSV!K:K,""),
_xlpm.MacVal,_xlfn.XLOOKUP($A225,Output_Mac!$A:$A,Output_Mac!K:K,""),
_xlpm.MyAuditVal,_xlfn.XLOOKUP($A225,My_Audit!$A:$A,My_Audit!J:J,""),
_xlfn.IFS(_xlpm.MyAuditVal&lt;&gt;"",UPPER(_xlpm.MyAuditVal),_xlpm.MacVal&lt;&gt;"",_xlpm.MacVal,_xlpm.CSVVal&lt;&gt;"",_xlpm.CSVVal
)),"")</f>
        <v/>
      </c>
      <c r="L225" s="2" t="str" cm="1">
        <f t="array" ref="L225">IFERROR(_xlfn.LET(
_xlpm.CSVVal,_xlfn.XLOOKUP($A225,CSV!$A:$A,CSV!P:P,""),
_xlpm.MacVal,_xlfn.XLOOKUP($A225,Output_Mac!$A:$A,Output_Mac!L:L,""),
_xlpm.MyAuditVal,_xlfn.XLOOKUP($A225,My_Audit!$A:$A,My_Audit!K:K,""),
_xlfn.IFS(_xlpm.MyAuditVal&lt;&gt;"",UPPER(_xlpm.MyAuditVal),_xlpm.MacVal&lt;&gt;"",_xlpm.MacVal,_xlpm.CSVVal&lt;&gt;"",_xlpm.CSVVal
)),"")</f>
        <v/>
      </c>
      <c r="M225" s="2" t="str" cm="1">
        <f t="array" ref="M225">IFERROR(_xlfn.LET(
_xlpm.CSVVal,_xlfn.XLOOKUP($A225,CSV!$A:$A,CSV!Q:Q,""),
_xlpm.MacVal,_xlfn.XLOOKUP($A225,Output_Mac!$A:$A,Output_Mac!M:M,""),
_xlpm.MyAuditVal,_xlfn.XLOOKUP($A225,My_Audit!$A:$A,My_Audit!L:L,""),
_xlfn.IFS(_xlpm.MyAuditVal&lt;&gt;"",UPPER(_xlpm.MyAuditVal),_xlpm.MacVal&lt;&gt;"",_xlpm.MacVal,_xlpm.CSVVal&lt;&gt;"",_xlpm.CSVVal
)),"")</f>
        <v/>
      </c>
      <c r="O225" s="2" t="str">
        <f>_xlfn.LET(
    _xlpm.CSVVal, _xlfn.XLOOKUP($A225, CSV!$A:$A, CSV!AF:AF, ""),
    _xlpm.MacVal, _xlfn.XLOOKUP($A225, Output_Mac!$A:$A, Output_Mac!S:S, ""),
    _xlpm.MyAuditVal, _xlfn.XLOOKUP($A225, My_Audit!$A:$A, My_Audit!P:P, ""),
    _xlfn.TEXTJOIN(", ", TRUE, _xlpm.MyAuditVal, _xlpm.MacVal, _xlpm.CSVVal)
)</f>
        <v/>
      </c>
      <c r="P225" s="2" t="str" cm="1">
        <f t="array" ref="P225">IFERROR(_xlfn.LET(
_xlpm.CSVVal,_xlfn.XLOOKUP($A225,CSV!$A:$A,CSV!AG:AG,""),
_xlpm.MacVal,_xlfn.XLOOKUP($A225,Output_Mac!$A:$A,Output_Mac!T:T,""),
_xlpm.MyAuditVal,_xlfn.XLOOKUP($A225,My_Audit!$A:$A,My_Audit!Q:Q,""),
_xlfn.IFS(_xlpm.MyAuditVal&lt;&gt;"",UPPER(_xlpm.MyAuditVal),_xlpm.MacVal&lt;&gt;"",_xlpm.MacVal,_xlpm.CSVVal&lt;&gt;"",_xlpm.CSVVal
)),"No")</f>
        <v>No</v>
      </c>
      <c r="Q225" s="2" t="str" cm="1">
        <f t="array" ref="Q225">IFERROR(_xlfn.LET(
_xlpm.CSVVal,_xlfn.XLOOKUP($A225,CSV!$A:$A,CSV!AH:AH,""),
_xlpm.MacVal,_xlfn.XLOOKUP($A225,Output_Mac!$A:$A,Output_Mac!U:U,""),
_xlpm.MyAuditVal,_xlfn.XLOOKUP($A225,My_Audit!$A:$A,My_Audit!R:R,""),
_xlfn.IFS(_xlpm.MyAuditVal&lt;&gt;"",UPPER(_xlpm.MyAuditVal),_xlpm.MacVal&lt;&gt;"",_xlpm.MacVal,_xlpm.CSVVal&lt;&gt;"",_xlpm.CSVVal
)),"")</f>
        <v/>
      </c>
    </row>
    <row r="226" spans="1:17">
      <c r="A226" s="2" t="str">
        <f>_xlfn.TEXTJOIN("",TRUE,Input!$B$2,ROW(My_Audit!A225))</f>
        <v>XX225</v>
      </c>
      <c r="B226" s="2" t="str">
        <f>_xlfn.TEXTJOIN("-",TRUE,"ITD",Input!$A$2,A226)</f>
        <v>ITD-SHRXXX-XX225</v>
      </c>
      <c r="C226" s="2" t="str" cm="1">
        <f t="array" ref="C226">IFERROR(_xlfn.LET(
_xlpm.CSVVal,_xlfn.XLOOKUP($A226,CSV!$A:$A,CSV!B:B,""),
_xlpm.MacVal,_xlfn.XLOOKUP($A226,Output_Mac!$A:$A,Output_Mac!B:B,""),
_xlpm.MyAuditVal,_xlfn.XLOOKUP($A226,My_Audit!$A:$A,My_Audit!B:B,""),
_xlfn.IFS(_xlpm.MyAuditVal&lt;&gt;"",UPPER(_xlpm.MyAuditVal),_xlpm.MacVal&lt;&gt;"",_xlpm.MacVal,_xlpm.CSVVal&lt;&gt;"",_xlpm.CSVVal
)),"")</f>
        <v/>
      </c>
      <c r="D226" s="2" t="str" cm="1">
        <f t="array" ref="D226">IFERROR(_xlfn.LET(
_xlpm.CSVVal,_xlfn.XLOOKUP($A226,CSV!$A:$A,CSV!D:D,""),
_xlpm.MacVal,_xlfn.XLOOKUP($A226,Output_Mac!$A:$A,Output_Mac!C:C,""),
_xlpm.MyAuditVal,_xlfn.XLOOKUP($A226,My_Audit!$A:$A,My_Audit!C:C,""),
_xlfn.IFS(_xlpm.MyAuditVal&lt;&gt;"",_xlpm.MyAuditVal,_xlpm.MacVal&lt;&gt;"",_xlpm.MacVal,_xlpm.CSVVal&lt;&gt;"",_xlpm.CSVVal
)),"")</f>
        <v/>
      </c>
      <c r="E226" s="2" t="str">
        <f>_xlfn.XLOOKUP(A226,My_Audit!A:A,My_Audit!D:D,"")&amp;""</f>
        <v/>
      </c>
      <c r="F226" s="2" t="str" cm="1">
        <f t="array" ref="F226">IFERROR(_xlfn.LET(
_xlpm.CSVVal,_xlfn.XLOOKUP($A226,CSV!$A:$A,CSV!F:F,""),
_xlpm.MacVal,_xlfn.XLOOKUP($A226,Output_Mac!$A:$A,Output_Mac!E:E,""),
_xlpm.MyAuditVal,_xlfn.XLOOKUP($A226,My_Audit!$A:$A,My_Audit!E:E,""),
_xlfn.IFS(_xlpm.MyAuditVal&lt;&gt;"",_xlpm.MyAuditVal,_xlpm.MacVal&lt;&gt;"",_xlpm.MacVal,_xlpm.CSVVal&lt;&gt;"",_xlpm.CSVVal
)),"")</f>
        <v/>
      </c>
      <c r="G226" s="2" t="str" cm="1">
        <f t="array" ref="G226">IFERROR(_xlfn.LET(
_xlpm.CSVVal,_xlfn.XLOOKUP($A226,CSV!$A:$A,CSV!G:G,""),
_xlpm.MacVal,_xlfn.XLOOKUP($A226,Output_Mac!$A:$A,Output_Mac!F:F,""),
_xlpm.MyAuditVal,_xlfn.XLOOKUP($A226,My_Audit!$A:$A,My_Audit!F:F,""),
_xlfn.IFS(_xlpm.MyAuditVal&lt;&gt;"",_xlpm.MyAuditVal,_xlpm.MacVal&lt;&gt;"",_xlpm.MacVal,_xlpm.CSVVal&lt;&gt;"",PROPER(_xlpm.CSVVal)
)),"")</f>
        <v/>
      </c>
      <c r="H226" s="2" t="str" cm="1">
        <f t="array" ref="H226">IFERROR(_xlfn.LET(
_xlpm.CSVVal,_xlfn.XLOOKUP($A226,CSV!$A:$A,CSV!H:H,""),
_xlpm.MacVal,_xlfn.XLOOKUP($A226,Output_Mac!$A:$A,Output_Mac!H:H,""),
_xlpm.MyAuditVal,_xlfn.XLOOKUP($A226,My_Audit!$A:$A,My_Audit!G:G,""),
_xlfn.IFS(_xlpm.MyAuditVal&lt;&gt;"",_xlpm.MyAuditVal,_xlpm.MacVal&lt;&gt;"",_xlpm.MacVal,_xlpm.CSVVal&lt;&gt;"",_xlpm.CSVVal
)),"")</f>
        <v/>
      </c>
      <c r="I226" s="2" t="str">
        <f>_xlfn.XLOOKUP(A226,Output_Mac!A:A,Output_Mac!I:I,"")</f>
        <v/>
      </c>
      <c r="J226" s="2" t="str" cm="1">
        <f t="array" ref="J226">IFERROR(_xlfn.LET(
_xlpm.CSVVal,_xlfn.XLOOKUP($A226,CSV!$A:$A,CSV!I:I,""),
_xlpm.MacVal,_xlfn.XLOOKUP($A226,Output_Mac!$A:$A,Output_Mac!J:J,""),
_xlpm.MyAuditVal,_xlfn.XLOOKUP($A226,My_Audit!$A:$A,My_Audit!I:I,""),
_xlfn.IFS(_xlpm.MyAuditVal&lt;&gt;"",UPPER(_xlpm.MyAuditVal),_xlpm.MacVal&lt;&gt;"",_xlpm.MacVal,_xlpm.CSVVal&lt;&gt;"",_xlpm.CSVVal
)),"")</f>
        <v/>
      </c>
      <c r="K226" s="2" t="str" cm="1">
        <f t="array" ref="K226">IFERROR(_xlfn.LET(
_xlpm.CSVVal,_xlfn.XLOOKUP($A226,CSV!$A:$A,CSV!K:K,""),
_xlpm.MacVal,_xlfn.XLOOKUP($A226,Output_Mac!$A:$A,Output_Mac!K:K,""),
_xlpm.MyAuditVal,_xlfn.XLOOKUP($A226,My_Audit!$A:$A,My_Audit!J:J,""),
_xlfn.IFS(_xlpm.MyAuditVal&lt;&gt;"",UPPER(_xlpm.MyAuditVal),_xlpm.MacVal&lt;&gt;"",_xlpm.MacVal,_xlpm.CSVVal&lt;&gt;"",_xlpm.CSVVal
)),"")</f>
        <v/>
      </c>
      <c r="L226" s="2" t="str" cm="1">
        <f t="array" ref="L226">IFERROR(_xlfn.LET(
_xlpm.CSVVal,_xlfn.XLOOKUP($A226,CSV!$A:$A,CSV!P:P,""),
_xlpm.MacVal,_xlfn.XLOOKUP($A226,Output_Mac!$A:$A,Output_Mac!L:L,""),
_xlpm.MyAuditVal,_xlfn.XLOOKUP($A226,My_Audit!$A:$A,My_Audit!K:K,""),
_xlfn.IFS(_xlpm.MyAuditVal&lt;&gt;"",UPPER(_xlpm.MyAuditVal),_xlpm.MacVal&lt;&gt;"",_xlpm.MacVal,_xlpm.CSVVal&lt;&gt;"",_xlpm.CSVVal
)),"")</f>
        <v/>
      </c>
      <c r="M226" s="2" t="str" cm="1">
        <f t="array" ref="M226">IFERROR(_xlfn.LET(
_xlpm.CSVVal,_xlfn.XLOOKUP($A226,CSV!$A:$A,CSV!Q:Q,""),
_xlpm.MacVal,_xlfn.XLOOKUP($A226,Output_Mac!$A:$A,Output_Mac!M:M,""),
_xlpm.MyAuditVal,_xlfn.XLOOKUP($A226,My_Audit!$A:$A,My_Audit!L:L,""),
_xlfn.IFS(_xlpm.MyAuditVal&lt;&gt;"",UPPER(_xlpm.MyAuditVal),_xlpm.MacVal&lt;&gt;"",_xlpm.MacVal,_xlpm.CSVVal&lt;&gt;"",_xlpm.CSVVal
)),"")</f>
        <v/>
      </c>
      <c r="O226" s="2" t="str">
        <f>_xlfn.LET(
    _xlpm.CSVVal, _xlfn.XLOOKUP($A226, CSV!$A:$A, CSV!AF:AF, ""),
    _xlpm.MacVal, _xlfn.XLOOKUP($A226, Output_Mac!$A:$A, Output_Mac!S:S, ""),
    _xlpm.MyAuditVal, _xlfn.XLOOKUP($A226, My_Audit!$A:$A, My_Audit!P:P, ""),
    _xlfn.TEXTJOIN(", ", TRUE, _xlpm.MyAuditVal, _xlpm.MacVal, _xlpm.CSVVal)
)</f>
        <v/>
      </c>
      <c r="P226" s="2" t="str" cm="1">
        <f t="array" ref="P226">IFERROR(_xlfn.LET(
_xlpm.CSVVal,_xlfn.XLOOKUP($A226,CSV!$A:$A,CSV!AG:AG,""),
_xlpm.MacVal,_xlfn.XLOOKUP($A226,Output_Mac!$A:$A,Output_Mac!T:T,""),
_xlpm.MyAuditVal,_xlfn.XLOOKUP($A226,My_Audit!$A:$A,My_Audit!Q:Q,""),
_xlfn.IFS(_xlpm.MyAuditVal&lt;&gt;"",UPPER(_xlpm.MyAuditVal),_xlpm.MacVal&lt;&gt;"",_xlpm.MacVal,_xlpm.CSVVal&lt;&gt;"",_xlpm.CSVVal
)),"No")</f>
        <v>No</v>
      </c>
      <c r="Q226" s="2" t="str" cm="1">
        <f t="array" ref="Q226">IFERROR(_xlfn.LET(
_xlpm.CSVVal,_xlfn.XLOOKUP($A226,CSV!$A:$A,CSV!AH:AH,""),
_xlpm.MacVal,_xlfn.XLOOKUP($A226,Output_Mac!$A:$A,Output_Mac!U:U,""),
_xlpm.MyAuditVal,_xlfn.XLOOKUP($A226,My_Audit!$A:$A,My_Audit!R:R,""),
_xlfn.IFS(_xlpm.MyAuditVal&lt;&gt;"",UPPER(_xlpm.MyAuditVal),_xlpm.MacVal&lt;&gt;"",_xlpm.MacVal,_xlpm.CSVVal&lt;&gt;"",_xlpm.CSVVal
)),"")</f>
        <v/>
      </c>
    </row>
    <row r="227" spans="1:17">
      <c r="A227" s="2" t="str">
        <f>_xlfn.TEXTJOIN("",TRUE,Input!$B$2,ROW(My_Audit!A226))</f>
        <v>XX226</v>
      </c>
      <c r="B227" s="2" t="str">
        <f>_xlfn.TEXTJOIN("-",TRUE,"ITD",Input!$A$2,A227)</f>
        <v>ITD-SHRXXX-XX226</v>
      </c>
      <c r="C227" s="2" t="str" cm="1">
        <f t="array" ref="C227">IFERROR(_xlfn.LET(
_xlpm.CSVVal,_xlfn.XLOOKUP($A227,CSV!$A:$A,CSV!B:B,""),
_xlpm.MacVal,_xlfn.XLOOKUP($A227,Output_Mac!$A:$A,Output_Mac!B:B,""),
_xlpm.MyAuditVal,_xlfn.XLOOKUP($A227,My_Audit!$A:$A,My_Audit!B:B,""),
_xlfn.IFS(_xlpm.MyAuditVal&lt;&gt;"",UPPER(_xlpm.MyAuditVal),_xlpm.MacVal&lt;&gt;"",_xlpm.MacVal,_xlpm.CSVVal&lt;&gt;"",_xlpm.CSVVal
)),"")</f>
        <v/>
      </c>
      <c r="D227" s="2" t="str" cm="1">
        <f t="array" ref="D227">IFERROR(_xlfn.LET(
_xlpm.CSVVal,_xlfn.XLOOKUP($A227,CSV!$A:$A,CSV!D:D,""),
_xlpm.MacVal,_xlfn.XLOOKUP($A227,Output_Mac!$A:$A,Output_Mac!C:C,""),
_xlpm.MyAuditVal,_xlfn.XLOOKUP($A227,My_Audit!$A:$A,My_Audit!C:C,""),
_xlfn.IFS(_xlpm.MyAuditVal&lt;&gt;"",_xlpm.MyAuditVal,_xlpm.MacVal&lt;&gt;"",_xlpm.MacVal,_xlpm.CSVVal&lt;&gt;"",_xlpm.CSVVal
)),"")</f>
        <v/>
      </c>
      <c r="E227" s="2" t="str">
        <f>_xlfn.XLOOKUP(A227,My_Audit!A:A,My_Audit!D:D,"")&amp;""</f>
        <v/>
      </c>
      <c r="F227" s="2" t="str" cm="1">
        <f t="array" ref="F227">IFERROR(_xlfn.LET(
_xlpm.CSVVal,_xlfn.XLOOKUP($A227,CSV!$A:$A,CSV!F:F,""),
_xlpm.MacVal,_xlfn.XLOOKUP($A227,Output_Mac!$A:$A,Output_Mac!E:E,""),
_xlpm.MyAuditVal,_xlfn.XLOOKUP($A227,My_Audit!$A:$A,My_Audit!E:E,""),
_xlfn.IFS(_xlpm.MyAuditVal&lt;&gt;"",_xlpm.MyAuditVal,_xlpm.MacVal&lt;&gt;"",_xlpm.MacVal,_xlpm.CSVVal&lt;&gt;"",_xlpm.CSVVal
)),"")</f>
        <v/>
      </c>
      <c r="G227" s="2" t="str" cm="1">
        <f t="array" ref="G227">IFERROR(_xlfn.LET(
_xlpm.CSVVal,_xlfn.XLOOKUP($A227,CSV!$A:$A,CSV!G:G,""),
_xlpm.MacVal,_xlfn.XLOOKUP($A227,Output_Mac!$A:$A,Output_Mac!F:F,""),
_xlpm.MyAuditVal,_xlfn.XLOOKUP($A227,My_Audit!$A:$A,My_Audit!F:F,""),
_xlfn.IFS(_xlpm.MyAuditVal&lt;&gt;"",_xlpm.MyAuditVal,_xlpm.MacVal&lt;&gt;"",_xlpm.MacVal,_xlpm.CSVVal&lt;&gt;"",PROPER(_xlpm.CSVVal)
)),"")</f>
        <v/>
      </c>
      <c r="H227" s="2" t="str" cm="1">
        <f t="array" ref="H227">IFERROR(_xlfn.LET(
_xlpm.CSVVal,_xlfn.XLOOKUP($A227,CSV!$A:$A,CSV!H:H,""),
_xlpm.MacVal,_xlfn.XLOOKUP($A227,Output_Mac!$A:$A,Output_Mac!H:H,""),
_xlpm.MyAuditVal,_xlfn.XLOOKUP($A227,My_Audit!$A:$A,My_Audit!G:G,""),
_xlfn.IFS(_xlpm.MyAuditVal&lt;&gt;"",_xlpm.MyAuditVal,_xlpm.MacVal&lt;&gt;"",_xlpm.MacVal,_xlpm.CSVVal&lt;&gt;"",_xlpm.CSVVal
)),"")</f>
        <v/>
      </c>
      <c r="I227" s="2" t="str">
        <f>_xlfn.XLOOKUP(A227,Output_Mac!A:A,Output_Mac!I:I,"")</f>
        <v/>
      </c>
      <c r="J227" s="2" t="str" cm="1">
        <f t="array" ref="J227">IFERROR(_xlfn.LET(
_xlpm.CSVVal,_xlfn.XLOOKUP($A227,CSV!$A:$A,CSV!I:I,""),
_xlpm.MacVal,_xlfn.XLOOKUP($A227,Output_Mac!$A:$A,Output_Mac!J:J,""),
_xlpm.MyAuditVal,_xlfn.XLOOKUP($A227,My_Audit!$A:$A,My_Audit!I:I,""),
_xlfn.IFS(_xlpm.MyAuditVal&lt;&gt;"",UPPER(_xlpm.MyAuditVal),_xlpm.MacVal&lt;&gt;"",_xlpm.MacVal,_xlpm.CSVVal&lt;&gt;"",_xlpm.CSVVal
)),"")</f>
        <v/>
      </c>
      <c r="K227" s="2" t="str" cm="1">
        <f t="array" ref="K227">IFERROR(_xlfn.LET(
_xlpm.CSVVal,_xlfn.XLOOKUP($A227,CSV!$A:$A,CSV!K:K,""),
_xlpm.MacVal,_xlfn.XLOOKUP($A227,Output_Mac!$A:$A,Output_Mac!K:K,""),
_xlpm.MyAuditVal,_xlfn.XLOOKUP($A227,My_Audit!$A:$A,My_Audit!J:J,""),
_xlfn.IFS(_xlpm.MyAuditVal&lt;&gt;"",UPPER(_xlpm.MyAuditVal),_xlpm.MacVal&lt;&gt;"",_xlpm.MacVal,_xlpm.CSVVal&lt;&gt;"",_xlpm.CSVVal
)),"")</f>
        <v/>
      </c>
      <c r="L227" s="2" t="str" cm="1">
        <f t="array" ref="L227">IFERROR(_xlfn.LET(
_xlpm.CSVVal,_xlfn.XLOOKUP($A227,CSV!$A:$A,CSV!P:P,""),
_xlpm.MacVal,_xlfn.XLOOKUP($A227,Output_Mac!$A:$A,Output_Mac!L:L,""),
_xlpm.MyAuditVal,_xlfn.XLOOKUP($A227,My_Audit!$A:$A,My_Audit!K:K,""),
_xlfn.IFS(_xlpm.MyAuditVal&lt;&gt;"",UPPER(_xlpm.MyAuditVal),_xlpm.MacVal&lt;&gt;"",_xlpm.MacVal,_xlpm.CSVVal&lt;&gt;"",_xlpm.CSVVal
)),"")</f>
        <v/>
      </c>
      <c r="M227" s="2" t="str" cm="1">
        <f t="array" ref="M227">IFERROR(_xlfn.LET(
_xlpm.CSVVal,_xlfn.XLOOKUP($A227,CSV!$A:$A,CSV!Q:Q,""),
_xlpm.MacVal,_xlfn.XLOOKUP($A227,Output_Mac!$A:$A,Output_Mac!M:M,""),
_xlpm.MyAuditVal,_xlfn.XLOOKUP($A227,My_Audit!$A:$A,My_Audit!L:L,""),
_xlfn.IFS(_xlpm.MyAuditVal&lt;&gt;"",UPPER(_xlpm.MyAuditVal),_xlpm.MacVal&lt;&gt;"",_xlpm.MacVal,_xlpm.CSVVal&lt;&gt;"",_xlpm.CSVVal
)),"")</f>
        <v/>
      </c>
      <c r="O227" s="2" t="str">
        <f>_xlfn.LET(
    _xlpm.CSVVal, _xlfn.XLOOKUP($A227, CSV!$A:$A, CSV!AF:AF, ""),
    _xlpm.MacVal, _xlfn.XLOOKUP($A227, Output_Mac!$A:$A, Output_Mac!S:S, ""),
    _xlpm.MyAuditVal, _xlfn.XLOOKUP($A227, My_Audit!$A:$A, My_Audit!P:P, ""),
    _xlfn.TEXTJOIN(", ", TRUE, _xlpm.MyAuditVal, _xlpm.MacVal, _xlpm.CSVVal)
)</f>
        <v/>
      </c>
      <c r="P227" s="2" t="str" cm="1">
        <f t="array" ref="P227">IFERROR(_xlfn.LET(
_xlpm.CSVVal,_xlfn.XLOOKUP($A227,CSV!$A:$A,CSV!AG:AG,""),
_xlpm.MacVal,_xlfn.XLOOKUP($A227,Output_Mac!$A:$A,Output_Mac!T:T,""),
_xlpm.MyAuditVal,_xlfn.XLOOKUP($A227,My_Audit!$A:$A,My_Audit!Q:Q,""),
_xlfn.IFS(_xlpm.MyAuditVal&lt;&gt;"",UPPER(_xlpm.MyAuditVal),_xlpm.MacVal&lt;&gt;"",_xlpm.MacVal,_xlpm.CSVVal&lt;&gt;"",_xlpm.CSVVal
)),"No")</f>
        <v>No</v>
      </c>
      <c r="Q227" s="2" t="str" cm="1">
        <f t="array" ref="Q227">IFERROR(_xlfn.LET(
_xlpm.CSVVal,_xlfn.XLOOKUP($A227,CSV!$A:$A,CSV!AH:AH,""),
_xlpm.MacVal,_xlfn.XLOOKUP($A227,Output_Mac!$A:$A,Output_Mac!U:U,""),
_xlpm.MyAuditVal,_xlfn.XLOOKUP($A227,My_Audit!$A:$A,My_Audit!R:R,""),
_xlfn.IFS(_xlpm.MyAuditVal&lt;&gt;"",UPPER(_xlpm.MyAuditVal),_xlpm.MacVal&lt;&gt;"",_xlpm.MacVal,_xlpm.CSVVal&lt;&gt;"",_xlpm.CSVVal
)),"")</f>
        <v/>
      </c>
    </row>
    <row r="228" spans="1:17">
      <c r="A228" s="2" t="str">
        <f>_xlfn.TEXTJOIN("",TRUE,Input!$B$2,ROW(My_Audit!A227))</f>
        <v>XX227</v>
      </c>
      <c r="B228" s="2" t="str">
        <f>_xlfn.TEXTJOIN("-",TRUE,"ITD",Input!$A$2,A228)</f>
        <v>ITD-SHRXXX-XX227</v>
      </c>
      <c r="C228" s="2" t="str" cm="1">
        <f t="array" ref="C228">IFERROR(_xlfn.LET(
_xlpm.CSVVal,_xlfn.XLOOKUP($A228,CSV!$A:$A,CSV!B:B,""),
_xlpm.MacVal,_xlfn.XLOOKUP($A228,Output_Mac!$A:$A,Output_Mac!B:B,""),
_xlpm.MyAuditVal,_xlfn.XLOOKUP($A228,My_Audit!$A:$A,My_Audit!B:B,""),
_xlfn.IFS(_xlpm.MyAuditVal&lt;&gt;"",UPPER(_xlpm.MyAuditVal),_xlpm.MacVal&lt;&gt;"",_xlpm.MacVal,_xlpm.CSVVal&lt;&gt;"",_xlpm.CSVVal
)),"")</f>
        <v/>
      </c>
      <c r="D228" s="2" t="str" cm="1">
        <f t="array" ref="D228">IFERROR(_xlfn.LET(
_xlpm.CSVVal,_xlfn.XLOOKUP($A228,CSV!$A:$A,CSV!D:D,""),
_xlpm.MacVal,_xlfn.XLOOKUP($A228,Output_Mac!$A:$A,Output_Mac!C:C,""),
_xlpm.MyAuditVal,_xlfn.XLOOKUP($A228,My_Audit!$A:$A,My_Audit!C:C,""),
_xlfn.IFS(_xlpm.MyAuditVal&lt;&gt;"",_xlpm.MyAuditVal,_xlpm.MacVal&lt;&gt;"",_xlpm.MacVal,_xlpm.CSVVal&lt;&gt;"",_xlpm.CSVVal
)),"")</f>
        <v/>
      </c>
      <c r="E228" s="2" t="str">
        <f>_xlfn.XLOOKUP(A228,My_Audit!A:A,My_Audit!D:D,"")&amp;""</f>
        <v/>
      </c>
      <c r="F228" s="2" t="str" cm="1">
        <f t="array" ref="F228">IFERROR(_xlfn.LET(
_xlpm.CSVVal,_xlfn.XLOOKUP($A228,CSV!$A:$A,CSV!F:F,""),
_xlpm.MacVal,_xlfn.XLOOKUP($A228,Output_Mac!$A:$A,Output_Mac!E:E,""),
_xlpm.MyAuditVal,_xlfn.XLOOKUP($A228,My_Audit!$A:$A,My_Audit!E:E,""),
_xlfn.IFS(_xlpm.MyAuditVal&lt;&gt;"",_xlpm.MyAuditVal,_xlpm.MacVal&lt;&gt;"",_xlpm.MacVal,_xlpm.CSVVal&lt;&gt;"",_xlpm.CSVVal
)),"")</f>
        <v/>
      </c>
      <c r="G228" s="2" t="str" cm="1">
        <f t="array" ref="G228">IFERROR(_xlfn.LET(
_xlpm.CSVVal,_xlfn.XLOOKUP($A228,CSV!$A:$A,CSV!G:G,""),
_xlpm.MacVal,_xlfn.XLOOKUP($A228,Output_Mac!$A:$A,Output_Mac!F:F,""),
_xlpm.MyAuditVal,_xlfn.XLOOKUP($A228,My_Audit!$A:$A,My_Audit!F:F,""),
_xlfn.IFS(_xlpm.MyAuditVal&lt;&gt;"",_xlpm.MyAuditVal,_xlpm.MacVal&lt;&gt;"",_xlpm.MacVal,_xlpm.CSVVal&lt;&gt;"",PROPER(_xlpm.CSVVal)
)),"")</f>
        <v/>
      </c>
      <c r="H228" s="2" t="str" cm="1">
        <f t="array" ref="H228">IFERROR(_xlfn.LET(
_xlpm.CSVVal,_xlfn.XLOOKUP($A228,CSV!$A:$A,CSV!H:H,""),
_xlpm.MacVal,_xlfn.XLOOKUP($A228,Output_Mac!$A:$A,Output_Mac!H:H,""),
_xlpm.MyAuditVal,_xlfn.XLOOKUP($A228,My_Audit!$A:$A,My_Audit!G:G,""),
_xlfn.IFS(_xlpm.MyAuditVal&lt;&gt;"",_xlpm.MyAuditVal,_xlpm.MacVal&lt;&gt;"",_xlpm.MacVal,_xlpm.CSVVal&lt;&gt;"",_xlpm.CSVVal
)),"")</f>
        <v/>
      </c>
      <c r="I228" s="2" t="str">
        <f>_xlfn.XLOOKUP(A228,Output_Mac!A:A,Output_Mac!I:I,"")</f>
        <v/>
      </c>
      <c r="J228" s="2" t="str" cm="1">
        <f t="array" ref="J228">IFERROR(_xlfn.LET(
_xlpm.CSVVal,_xlfn.XLOOKUP($A228,CSV!$A:$A,CSV!I:I,""),
_xlpm.MacVal,_xlfn.XLOOKUP($A228,Output_Mac!$A:$A,Output_Mac!J:J,""),
_xlpm.MyAuditVal,_xlfn.XLOOKUP($A228,My_Audit!$A:$A,My_Audit!I:I,""),
_xlfn.IFS(_xlpm.MyAuditVal&lt;&gt;"",UPPER(_xlpm.MyAuditVal),_xlpm.MacVal&lt;&gt;"",_xlpm.MacVal,_xlpm.CSVVal&lt;&gt;"",_xlpm.CSVVal
)),"")</f>
        <v/>
      </c>
      <c r="K228" s="2" t="str" cm="1">
        <f t="array" ref="K228">IFERROR(_xlfn.LET(
_xlpm.CSVVal,_xlfn.XLOOKUP($A228,CSV!$A:$A,CSV!K:K,""),
_xlpm.MacVal,_xlfn.XLOOKUP($A228,Output_Mac!$A:$A,Output_Mac!K:K,""),
_xlpm.MyAuditVal,_xlfn.XLOOKUP($A228,My_Audit!$A:$A,My_Audit!J:J,""),
_xlfn.IFS(_xlpm.MyAuditVal&lt;&gt;"",UPPER(_xlpm.MyAuditVal),_xlpm.MacVal&lt;&gt;"",_xlpm.MacVal,_xlpm.CSVVal&lt;&gt;"",_xlpm.CSVVal
)),"")</f>
        <v/>
      </c>
      <c r="L228" s="2" t="str" cm="1">
        <f t="array" ref="L228">IFERROR(_xlfn.LET(
_xlpm.CSVVal,_xlfn.XLOOKUP($A228,CSV!$A:$A,CSV!P:P,""),
_xlpm.MacVal,_xlfn.XLOOKUP($A228,Output_Mac!$A:$A,Output_Mac!L:L,""),
_xlpm.MyAuditVal,_xlfn.XLOOKUP($A228,My_Audit!$A:$A,My_Audit!K:K,""),
_xlfn.IFS(_xlpm.MyAuditVal&lt;&gt;"",UPPER(_xlpm.MyAuditVal),_xlpm.MacVal&lt;&gt;"",_xlpm.MacVal,_xlpm.CSVVal&lt;&gt;"",_xlpm.CSVVal
)),"")</f>
        <v/>
      </c>
      <c r="M228" s="2" t="str" cm="1">
        <f t="array" ref="M228">IFERROR(_xlfn.LET(
_xlpm.CSVVal,_xlfn.XLOOKUP($A228,CSV!$A:$A,CSV!Q:Q,""),
_xlpm.MacVal,_xlfn.XLOOKUP($A228,Output_Mac!$A:$A,Output_Mac!M:M,""),
_xlpm.MyAuditVal,_xlfn.XLOOKUP($A228,My_Audit!$A:$A,My_Audit!L:L,""),
_xlfn.IFS(_xlpm.MyAuditVal&lt;&gt;"",UPPER(_xlpm.MyAuditVal),_xlpm.MacVal&lt;&gt;"",_xlpm.MacVal,_xlpm.CSVVal&lt;&gt;"",_xlpm.CSVVal
)),"")</f>
        <v/>
      </c>
      <c r="O228" s="2" t="str">
        <f>_xlfn.LET(
    _xlpm.CSVVal, _xlfn.XLOOKUP($A228, CSV!$A:$A, CSV!AF:AF, ""),
    _xlpm.MacVal, _xlfn.XLOOKUP($A228, Output_Mac!$A:$A, Output_Mac!S:S, ""),
    _xlpm.MyAuditVal, _xlfn.XLOOKUP($A228, My_Audit!$A:$A, My_Audit!P:P, ""),
    _xlfn.TEXTJOIN(", ", TRUE, _xlpm.MyAuditVal, _xlpm.MacVal, _xlpm.CSVVal)
)</f>
        <v/>
      </c>
      <c r="P228" s="2" t="str" cm="1">
        <f t="array" ref="P228">IFERROR(_xlfn.LET(
_xlpm.CSVVal,_xlfn.XLOOKUP($A228,CSV!$A:$A,CSV!AG:AG,""),
_xlpm.MacVal,_xlfn.XLOOKUP($A228,Output_Mac!$A:$A,Output_Mac!T:T,""),
_xlpm.MyAuditVal,_xlfn.XLOOKUP($A228,My_Audit!$A:$A,My_Audit!Q:Q,""),
_xlfn.IFS(_xlpm.MyAuditVal&lt;&gt;"",UPPER(_xlpm.MyAuditVal),_xlpm.MacVal&lt;&gt;"",_xlpm.MacVal,_xlpm.CSVVal&lt;&gt;"",_xlpm.CSVVal
)),"No")</f>
        <v>No</v>
      </c>
      <c r="Q228" s="2" t="str" cm="1">
        <f t="array" ref="Q228">IFERROR(_xlfn.LET(
_xlpm.CSVVal,_xlfn.XLOOKUP($A228,CSV!$A:$A,CSV!AH:AH,""),
_xlpm.MacVal,_xlfn.XLOOKUP($A228,Output_Mac!$A:$A,Output_Mac!U:U,""),
_xlpm.MyAuditVal,_xlfn.XLOOKUP($A228,My_Audit!$A:$A,My_Audit!R:R,""),
_xlfn.IFS(_xlpm.MyAuditVal&lt;&gt;"",UPPER(_xlpm.MyAuditVal),_xlpm.MacVal&lt;&gt;"",_xlpm.MacVal,_xlpm.CSVVal&lt;&gt;"",_xlpm.CSVVal
)),"")</f>
        <v/>
      </c>
    </row>
    <row r="229" spans="1:17">
      <c r="A229" s="2" t="str">
        <f>_xlfn.TEXTJOIN("",TRUE,Input!$B$2,ROW(My_Audit!A228))</f>
        <v>XX228</v>
      </c>
      <c r="B229" s="2" t="str">
        <f>_xlfn.TEXTJOIN("-",TRUE,"ITD",Input!$A$2,A229)</f>
        <v>ITD-SHRXXX-XX228</v>
      </c>
      <c r="C229" s="2" t="str" cm="1">
        <f t="array" ref="C229">IFERROR(_xlfn.LET(
_xlpm.CSVVal,_xlfn.XLOOKUP($A229,CSV!$A:$A,CSV!B:B,""),
_xlpm.MacVal,_xlfn.XLOOKUP($A229,Output_Mac!$A:$A,Output_Mac!B:B,""),
_xlpm.MyAuditVal,_xlfn.XLOOKUP($A229,My_Audit!$A:$A,My_Audit!B:B,""),
_xlfn.IFS(_xlpm.MyAuditVal&lt;&gt;"",UPPER(_xlpm.MyAuditVal),_xlpm.MacVal&lt;&gt;"",_xlpm.MacVal,_xlpm.CSVVal&lt;&gt;"",_xlpm.CSVVal
)),"")</f>
        <v/>
      </c>
      <c r="D229" s="2" t="str" cm="1">
        <f t="array" ref="D229">IFERROR(_xlfn.LET(
_xlpm.CSVVal,_xlfn.XLOOKUP($A229,CSV!$A:$A,CSV!D:D,""),
_xlpm.MacVal,_xlfn.XLOOKUP($A229,Output_Mac!$A:$A,Output_Mac!C:C,""),
_xlpm.MyAuditVal,_xlfn.XLOOKUP($A229,My_Audit!$A:$A,My_Audit!C:C,""),
_xlfn.IFS(_xlpm.MyAuditVal&lt;&gt;"",_xlpm.MyAuditVal,_xlpm.MacVal&lt;&gt;"",_xlpm.MacVal,_xlpm.CSVVal&lt;&gt;"",_xlpm.CSVVal
)),"")</f>
        <v/>
      </c>
      <c r="E229" s="2" t="str">
        <f>_xlfn.XLOOKUP(A229,My_Audit!A:A,My_Audit!D:D,"")&amp;""</f>
        <v/>
      </c>
      <c r="F229" s="2" t="str" cm="1">
        <f t="array" ref="F229">IFERROR(_xlfn.LET(
_xlpm.CSVVal,_xlfn.XLOOKUP($A229,CSV!$A:$A,CSV!F:F,""),
_xlpm.MacVal,_xlfn.XLOOKUP($A229,Output_Mac!$A:$A,Output_Mac!E:E,""),
_xlpm.MyAuditVal,_xlfn.XLOOKUP($A229,My_Audit!$A:$A,My_Audit!E:E,""),
_xlfn.IFS(_xlpm.MyAuditVal&lt;&gt;"",_xlpm.MyAuditVal,_xlpm.MacVal&lt;&gt;"",_xlpm.MacVal,_xlpm.CSVVal&lt;&gt;"",_xlpm.CSVVal
)),"")</f>
        <v/>
      </c>
      <c r="G229" s="2" t="str" cm="1">
        <f t="array" ref="G229">IFERROR(_xlfn.LET(
_xlpm.CSVVal,_xlfn.XLOOKUP($A229,CSV!$A:$A,CSV!G:G,""),
_xlpm.MacVal,_xlfn.XLOOKUP($A229,Output_Mac!$A:$A,Output_Mac!F:F,""),
_xlpm.MyAuditVal,_xlfn.XLOOKUP($A229,My_Audit!$A:$A,My_Audit!F:F,""),
_xlfn.IFS(_xlpm.MyAuditVal&lt;&gt;"",_xlpm.MyAuditVal,_xlpm.MacVal&lt;&gt;"",_xlpm.MacVal,_xlpm.CSVVal&lt;&gt;"",PROPER(_xlpm.CSVVal)
)),"")</f>
        <v/>
      </c>
      <c r="H229" s="2" t="str" cm="1">
        <f t="array" ref="H229">IFERROR(_xlfn.LET(
_xlpm.CSVVal,_xlfn.XLOOKUP($A229,CSV!$A:$A,CSV!H:H,""),
_xlpm.MacVal,_xlfn.XLOOKUP($A229,Output_Mac!$A:$A,Output_Mac!H:H,""),
_xlpm.MyAuditVal,_xlfn.XLOOKUP($A229,My_Audit!$A:$A,My_Audit!G:G,""),
_xlfn.IFS(_xlpm.MyAuditVal&lt;&gt;"",_xlpm.MyAuditVal,_xlpm.MacVal&lt;&gt;"",_xlpm.MacVal,_xlpm.CSVVal&lt;&gt;"",_xlpm.CSVVal
)),"")</f>
        <v/>
      </c>
      <c r="I229" s="2" t="str">
        <f>_xlfn.XLOOKUP(A229,Output_Mac!A:A,Output_Mac!I:I,"")</f>
        <v/>
      </c>
      <c r="J229" s="2" t="str" cm="1">
        <f t="array" ref="J229">IFERROR(_xlfn.LET(
_xlpm.CSVVal,_xlfn.XLOOKUP($A229,CSV!$A:$A,CSV!I:I,""),
_xlpm.MacVal,_xlfn.XLOOKUP($A229,Output_Mac!$A:$A,Output_Mac!J:J,""),
_xlpm.MyAuditVal,_xlfn.XLOOKUP($A229,My_Audit!$A:$A,My_Audit!I:I,""),
_xlfn.IFS(_xlpm.MyAuditVal&lt;&gt;"",UPPER(_xlpm.MyAuditVal),_xlpm.MacVal&lt;&gt;"",_xlpm.MacVal,_xlpm.CSVVal&lt;&gt;"",_xlpm.CSVVal
)),"")</f>
        <v/>
      </c>
      <c r="K229" s="2" t="str" cm="1">
        <f t="array" ref="K229">IFERROR(_xlfn.LET(
_xlpm.CSVVal,_xlfn.XLOOKUP($A229,CSV!$A:$A,CSV!K:K,""),
_xlpm.MacVal,_xlfn.XLOOKUP($A229,Output_Mac!$A:$A,Output_Mac!K:K,""),
_xlpm.MyAuditVal,_xlfn.XLOOKUP($A229,My_Audit!$A:$A,My_Audit!J:J,""),
_xlfn.IFS(_xlpm.MyAuditVal&lt;&gt;"",UPPER(_xlpm.MyAuditVal),_xlpm.MacVal&lt;&gt;"",_xlpm.MacVal,_xlpm.CSVVal&lt;&gt;"",_xlpm.CSVVal
)),"")</f>
        <v/>
      </c>
      <c r="L229" s="2" t="str" cm="1">
        <f t="array" ref="L229">IFERROR(_xlfn.LET(
_xlpm.CSVVal,_xlfn.XLOOKUP($A229,CSV!$A:$A,CSV!P:P,""),
_xlpm.MacVal,_xlfn.XLOOKUP($A229,Output_Mac!$A:$A,Output_Mac!L:L,""),
_xlpm.MyAuditVal,_xlfn.XLOOKUP($A229,My_Audit!$A:$A,My_Audit!K:K,""),
_xlfn.IFS(_xlpm.MyAuditVal&lt;&gt;"",UPPER(_xlpm.MyAuditVal),_xlpm.MacVal&lt;&gt;"",_xlpm.MacVal,_xlpm.CSVVal&lt;&gt;"",_xlpm.CSVVal
)),"")</f>
        <v/>
      </c>
      <c r="M229" s="2" t="str" cm="1">
        <f t="array" ref="M229">IFERROR(_xlfn.LET(
_xlpm.CSVVal,_xlfn.XLOOKUP($A229,CSV!$A:$A,CSV!Q:Q,""),
_xlpm.MacVal,_xlfn.XLOOKUP($A229,Output_Mac!$A:$A,Output_Mac!M:M,""),
_xlpm.MyAuditVal,_xlfn.XLOOKUP($A229,My_Audit!$A:$A,My_Audit!L:L,""),
_xlfn.IFS(_xlpm.MyAuditVal&lt;&gt;"",UPPER(_xlpm.MyAuditVal),_xlpm.MacVal&lt;&gt;"",_xlpm.MacVal,_xlpm.CSVVal&lt;&gt;"",_xlpm.CSVVal
)),"")</f>
        <v/>
      </c>
      <c r="O229" s="2" t="str">
        <f>_xlfn.LET(
    _xlpm.CSVVal, _xlfn.XLOOKUP($A229, CSV!$A:$A, CSV!AF:AF, ""),
    _xlpm.MacVal, _xlfn.XLOOKUP($A229, Output_Mac!$A:$A, Output_Mac!S:S, ""),
    _xlpm.MyAuditVal, _xlfn.XLOOKUP($A229, My_Audit!$A:$A, My_Audit!P:P, ""),
    _xlfn.TEXTJOIN(", ", TRUE, _xlpm.MyAuditVal, _xlpm.MacVal, _xlpm.CSVVal)
)</f>
        <v/>
      </c>
      <c r="P229" s="2" t="str" cm="1">
        <f t="array" ref="P229">IFERROR(_xlfn.LET(
_xlpm.CSVVal,_xlfn.XLOOKUP($A229,CSV!$A:$A,CSV!AG:AG,""),
_xlpm.MacVal,_xlfn.XLOOKUP($A229,Output_Mac!$A:$A,Output_Mac!T:T,""),
_xlpm.MyAuditVal,_xlfn.XLOOKUP($A229,My_Audit!$A:$A,My_Audit!Q:Q,""),
_xlfn.IFS(_xlpm.MyAuditVal&lt;&gt;"",UPPER(_xlpm.MyAuditVal),_xlpm.MacVal&lt;&gt;"",_xlpm.MacVal,_xlpm.CSVVal&lt;&gt;"",_xlpm.CSVVal
)),"No")</f>
        <v>No</v>
      </c>
      <c r="Q229" s="2" t="str" cm="1">
        <f t="array" ref="Q229">IFERROR(_xlfn.LET(
_xlpm.CSVVal,_xlfn.XLOOKUP($A229,CSV!$A:$A,CSV!AH:AH,""),
_xlpm.MacVal,_xlfn.XLOOKUP($A229,Output_Mac!$A:$A,Output_Mac!U:U,""),
_xlpm.MyAuditVal,_xlfn.XLOOKUP($A229,My_Audit!$A:$A,My_Audit!R:R,""),
_xlfn.IFS(_xlpm.MyAuditVal&lt;&gt;"",UPPER(_xlpm.MyAuditVal),_xlpm.MacVal&lt;&gt;"",_xlpm.MacVal,_xlpm.CSVVal&lt;&gt;"",_xlpm.CSVVal
)),"")</f>
        <v/>
      </c>
    </row>
    <row r="230" spans="1:17">
      <c r="A230" s="2" t="str">
        <f>_xlfn.TEXTJOIN("",TRUE,Input!$B$2,ROW(My_Audit!A229))</f>
        <v>XX229</v>
      </c>
      <c r="B230" s="2" t="str">
        <f>_xlfn.TEXTJOIN("-",TRUE,"ITD",Input!$A$2,A230)</f>
        <v>ITD-SHRXXX-XX229</v>
      </c>
      <c r="C230" s="2" t="str" cm="1">
        <f t="array" ref="C230">IFERROR(_xlfn.LET(
_xlpm.CSVVal,_xlfn.XLOOKUP($A230,CSV!$A:$A,CSV!B:B,""),
_xlpm.MacVal,_xlfn.XLOOKUP($A230,Output_Mac!$A:$A,Output_Mac!B:B,""),
_xlpm.MyAuditVal,_xlfn.XLOOKUP($A230,My_Audit!$A:$A,My_Audit!B:B,""),
_xlfn.IFS(_xlpm.MyAuditVal&lt;&gt;"",UPPER(_xlpm.MyAuditVal),_xlpm.MacVal&lt;&gt;"",_xlpm.MacVal,_xlpm.CSVVal&lt;&gt;"",_xlpm.CSVVal
)),"")</f>
        <v/>
      </c>
      <c r="D230" s="2" t="str" cm="1">
        <f t="array" ref="D230">IFERROR(_xlfn.LET(
_xlpm.CSVVal,_xlfn.XLOOKUP($A230,CSV!$A:$A,CSV!D:D,""),
_xlpm.MacVal,_xlfn.XLOOKUP($A230,Output_Mac!$A:$A,Output_Mac!C:C,""),
_xlpm.MyAuditVal,_xlfn.XLOOKUP($A230,My_Audit!$A:$A,My_Audit!C:C,""),
_xlfn.IFS(_xlpm.MyAuditVal&lt;&gt;"",_xlpm.MyAuditVal,_xlpm.MacVal&lt;&gt;"",_xlpm.MacVal,_xlpm.CSVVal&lt;&gt;"",_xlpm.CSVVal
)),"")</f>
        <v/>
      </c>
      <c r="E230" s="2" t="str">
        <f>_xlfn.XLOOKUP(A230,My_Audit!A:A,My_Audit!D:D,"")&amp;""</f>
        <v/>
      </c>
      <c r="F230" s="2" t="str" cm="1">
        <f t="array" ref="F230">IFERROR(_xlfn.LET(
_xlpm.CSVVal,_xlfn.XLOOKUP($A230,CSV!$A:$A,CSV!F:F,""),
_xlpm.MacVal,_xlfn.XLOOKUP($A230,Output_Mac!$A:$A,Output_Mac!E:E,""),
_xlpm.MyAuditVal,_xlfn.XLOOKUP($A230,My_Audit!$A:$A,My_Audit!E:E,""),
_xlfn.IFS(_xlpm.MyAuditVal&lt;&gt;"",_xlpm.MyAuditVal,_xlpm.MacVal&lt;&gt;"",_xlpm.MacVal,_xlpm.CSVVal&lt;&gt;"",_xlpm.CSVVal
)),"")</f>
        <v/>
      </c>
      <c r="G230" s="2" t="str" cm="1">
        <f t="array" ref="G230">IFERROR(_xlfn.LET(
_xlpm.CSVVal,_xlfn.XLOOKUP($A230,CSV!$A:$A,CSV!G:G,""),
_xlpm.MacVal,_xlfn.XLOOKUP($A230,Output_Mac!$A:$A,Output_Mac!F:F,""),
_xlpm.MyAuditVal,_xlfn.XLOOKUP($A230,My_Audit!$A:$A,My_Audit!F:F,""),
_xlfn.IFS(_xlpm.MyAuditVal&lt;&gt;"",_xlpm.MyAuditVal,_xlpm.MacVal&lt;&gt;"",_xlpm.MacVal,_xlpm.CSVVal&lt;&gt;"",PROPER(_xlpm.CSVVal)
)),"")</f>
        <v/>
      </c>
      <c r="H230" s="2" t="str" cm="1">
        <f t="array" ref="H230">IFERROR(_xlfn.LET(
_xlpm.CSVVal,_xlfn.XLOOKUP($A230,CSV!$A:$A,CSV!H:H,""),
_xlpm.MacVal,_xlfn.XLOOKUP($A230,Output_Mac!$A:$A,Output_Mac!H:H,""),
_xlpm.MyAuditVal,_xlfn.XLOOKUP($A230,My_Audit!$A:$A,My_Audit!G:G,""),
_xlfn.IFS(_xlpm.MyAuditVal&lt;&gt;"",_xlpm.MyAuditVal,_xlpm.MacVal&lt;&gt;"",_xlpm.MacVal,_xlpm.CSVVal&lt;&gt;"",_xlpm.CSVVal
)),"")</f>
        <v/>
      </c>
      <c r="I230" s="2" t="str">
        <f>_xlfn.XLOOKUP(A230,Output_Mac!A:A,Output_Mac!I:I,"")</f>
        <v/>
      </c>
      <c r="J230" s="2" t="str" cm="1">
        <f t="array" ref="J230">IFERROR(_xlfn.LET(
_xlpm.CSVVal,_xlfn.XLOOKUP($A230,CSV!$A:$A,CSV!I:I,""),
_xlpm.MacVal,_xlfn.XLOOKUP($A230,Output_Mac!$A:$A,Output_Mac!J:J,""),
_xlpm.MyAuditVal,_xlfn.XLOOKUP($A230,My_Audit!$A:$A,My_Audit!I:I,""),
_xlfn.IFS(_xlpm.MyAuditVal&lt;&gt;"",UPPER(_xlpm.MyAuditVal),_xlpm.MacVal&lt;&gt;"",_xlpm.MacVal,_xlpm.CSVVal&lt;&gt;"",_xlpm.CSVVal
)),"")</f>
        <v/>
      </c>
      <c r="K230" s="2" t="str" cm="1">
        <f t="array" ref="K230">IFERROR(_xlfn.LET(
_xlpm.CSVVal,_xlfn.XLOOKUP($A230,CSV!$A:$A,CSV!K:K,""),
_xlpm.MacVal,_xlfn.XLOOKUP($A230,Output_Mac!$A:$A,Output_Mac!K:K,""),
_xlpm.MyAuditVal,_xlfn.XLOOKUP($A230,My_Audit!$A:$A,My_Audit!J:J,""),
_xlfn.IFS(_xlpm.MyAuditVal&lt;&gt;"",UPPER(_xlpm.MyAuditVal),_xlpm.MacVal&lt;&gt;"",_xlpm.MacVal,_xlpm.CSVVal&lt;&gt;"",_xlpm.CSVVal
)),"")</f>
        <v/>
      </c>
      <c r="L230" s="2" t="str" cm="1">
        <f t="array" ref="L230">IFERROR(_xlfn.LET(
_xlpm.CSVVal,_xlfn.XLOOKUP($A230,CSV!$A:$A,CSV!P:P,""),
_xlpm.MacVal,_xlfn.XLOOKUP($A230,Output_Mac!$A:$A,Output_Mac!L:L,""),
_xlpm.MyAuditVal,_xlfn.XLOOKUP($A230,My_Audit!$A:$A,My_Audit!K:K,""),
_xlfn.IFS(_xlpm.MyAuditVal&lt;&gt;"",UPPER(_xlpm.MyAuditVal),_xlpm.MacVal&lt;&gt;"",_xlpm.MacVal,_xlpm.CSVVal&lt;&gt;"",_xlpm.CSVVal
)),"")</f>
        <v/>
      </c>
      <c r="M230" s="2" t="str" cm="1">
        <f t="array" ref="M230">IFERROR(_xlfn.LET(
_xlpm.CSVVal,_xlfn.XLOOKUP($A230,CSV!$A:$A,CSV!Q:Q,""),
_xlpm.MacVal,_xlfn.XLOOKUP($A230,Output_Mac!$A:$A,Output_Mac!M:M,""),
_xlpm.MyAuditVal,_xlfn.XLOOKUP($A230,My_Audit!$A:$A,My_Audit!L:L,""),
_xlfn.IFS(_xlpm.MyAuditVal&lt;&gt;"",UPPER(_xlpm.MyAuditVal),_xlpm.MacVal&lt;&gt;"",_xlpm.MacVal,_xlpm.CSVVal&lt;&gt;"",_xlpm.CSVVal
)),"")</f>
        <v/>
      </c>
      <c r="O230" s="2" t="str">
        <f>_xlfn.LET(
    _xlpm.CSVVal, _xlfn.XLOOKUP($A230, CSV!$A:$A, CSV!AF:AF, ""),
    _xlpm.MacVal, _xlfn.XLOOKUP($A230, Output_Mac!$A:$A, Output_Mac!S:S, ""),
    _xlpm.MyAuditVal, _xlfn.XLOOKUP($A230, My_Audit!$A:$A, My_Audit!P:P, ""),
    _xlfn.TEXTJOIN(", ", TRUE, _xlpm.MyAuditVal, _xlpm.MacVal, _xlpm.CSVVal)
)</f>
        <v/>
      </c>
      <c r="P230" s="2" t="str" cm="1">
        <f t="array" ref="P230">IFERROR(_xlfn.LET(
_xlpm.CSVVal,_xlfn.XLOOKUP($A230,CSV!$A:$A,CSV!AG:AG,""),
_xlpm.MacVal,_xlfn.XLOOKUP($A230,Output_Mac!$A:$A,Output_Mac!T:T,""),
_xlpm.MyAuditVal,_xlfn.XLOOKUP($A230,My_Audit!$A:$A,My_Audit!Q:Q,""),
_xlfn.IFS(_xlpm.MyAuditVal&lt;&gt;"",UPPER(_xlpm.MyAuditVal),_xlpm.MacVal&lt;&gt;"",_xlpm.MacVal,_xlpm.CSVVal&lt;&gt;"",_xlpm.CSVVal
)),"No")</f>
        <v>No</v>
      </c>
      <c r="Q230" s="2" t="str" cm="1">
        <f t="array" ref="Q230">IFERROR(_xlfn.LET(
_xlpm.CSVVal,_xlfn.XLOOKUP($A230,CSV!$A:$A,CSV!AH:AH,""),
_xlpm.MacVal,_xlfn.XLOOKUP($A230,Output_Mac!$A:$A,Output_Mac!U:U,""),
_xlpm.MyAuditVal,_xlfn.XLOOKUP($A230,My_Audit!$A:$A,My_Audit!R:R,""),
_xlfn.IFS(_xlpm.MyAuditVal&lt;&gt;"",UPPER(_xlpm.MyAuditVal),_xlpm.MacVal&lt;&gt;"",_xlpm.MacVal,_xlpm.CSVVal&lt;&gt;"",_xlpm.CSVVal
)),"")</f>
        <v/>
      </c>
    </row>
    <row r="231" spans="1:17">
      <c r="A231" s="2" t="str">
        <f>_xlfn.TEXTJOIN("",TRUE,Input!$B$2,ROW(My_Audit!A230))</f>
        <v>XX230</v>
      </c>
      <c r="B231" s="2" t="str">
        <f>_xlfn.TEXTJOIN("-",TRUE,"ITD",Input!$A$2,A231)</f>
        <v>ITD-SHRXXX-XX230</v>
      </c>
      <c r="C231" s="2" t="str" cm="1">
        <f t="array" ref="C231">IFERROR(_xlfn.LET(
_xlpm.CSVVal,_xlfn.XLOOKUP($A231,CSV!$A:$A,CSV!B:B,""),
_xlpm.MacVal,_xlfn.XLOOKUP($A231,Output_Mac!$A:$A,Output_Mac!B:B,""),
_xlpm.MyAuditVal,_xlfn.XLOOKUP($A231,My_Audit!$A:$A,My_Audit!B:B,""),
_xlfn.IFS(_xlpm.MyAuditVal&lt;&gt;"",UPPER(_xlpm.MyAuditVal),_xlpm.MacVal&lt;&gt;"",_xlpm.MacVal,_xlpm.CSVVal&lt;&gt;"",_xlpm.CSVVal
)),"")</f>
        <v/>
      </c>
      <c r="D231" s="2" t="str" cm="1">
        <f t="array" ref="D231">IFERROR(_xlfn.LET(
_xlpm.CSVVal,_xlfn.XLOOKUP($A231,CSV!$A:$A,CSV!D:D,""),
_xlpm.MacVal,_xlfn.XLOOKUP($A231,Output_Mac!$A:$A,Output_Mac!C:C,""),
_xlpm.MyAuditVal,_xlfn.XLOOKUP($A231,My_Audit!$A:$A,My_Audit!C:C,""),
_xlfn.IFS(_xlpm.MyAuditVal&lt;&gt;"",_xlpm.MyAuditVal,_xlpm.MacVal&lt;&gt;"",_xlpm.MacVal,_xlpm.CSVVal&lt;&gt;"",_xlpm.CSVVal
)),"")</f>
        <v/>
      </c>
      <c r="E231" s="2" t="str">
        <f>_xlfn.XLOOKUP(A231,My_Audit!A:A,My_Audit!D:D,"")&amp;""</f>
        <v/>
      </c>
      <c r="F231" s="2" t="str" cm="1">
        <f t="array" ref="F231">IFERROR(_xlfn.LET(
_xlpm.CSVVal,_xlfn.XLOOKUP($A231,CSV!$A:$A,CSV!F:F,""),
_xlpm.MacVal,_xlfn.XLOOKUP($A231,Output_Mac!$A:$A,Output_Mac!E:E,""),
_xlpm.MyAuditVal,_xlfn.XLOOKUP($A231,My_Audit!$A:$A,My_Audit!E:E,""),
_xlfn.IFS(_xlpm.MyAuditVal&lt;&gt;"",_xlpm.MyAuditVal,_xlpm.MacVal&lt;&gt;"",_xlpm.MacVal,_xlpm.CSVVal&lt;&gt;"",_xlpm.CSVVal
)),"")</f>
        <v/>
      </c>
      <c r="G231" s="2" t="str" cm="1">
        <f t="array" ref="G231">IFERROR(_xlfn.LET(
_xlpm.CSVVal,_xlfn.XLOOKUP($A231,CSV!$A:$A,CSV!G:G,""),
_xlpm.MacVal,_xlfn.XLOOKUP($A231,Output_Mac!$A:$A,Output_Mac!F:F,""),
_xlpm.MyAuditVal,_xlfn.XLOOKUP($A231,My_Audit!$A:$A,My_Audit!F:F,""),
_xlfn.IFS(_xlpm.MyAuditVal&lt;&gt;"",_xlpm.MyAuditVal,_xlpm.MacVal&lt;&gt;"",_xlpm.MacVal,_xlpm.CSVVal&lt;&gt;"",PROPER(_xlpm.CSVVal)
)),"")</f>
        <v/>
      </c>
      <c r="H231" s="2" t="str" cm="1">
        <f t="array" ref="H231">IFERROR(_xlfn.LET(
_xlpm.CSVVal,_xlfn.XLOOKUP($A231,CSV!$A:$A,CSV!H:H,""),
_xlpm.MacVal,_xlfn.XLOOKUP($A231,Output_Mac!$A:$A,Output_Mac!H:H,""),
_xlpm.MyAuditVal,_xlfn.XLOOKUP($A231,My_Audit!$A:$A,My_Audit!G:G,""),
_xlfn.IFS(_xlpm.MyAuditVal&lt;&gt;"",_xlpm.MyAuditVal,_xlpm.MacVal&lt;&gt;"",_xlpm.MacVal,_xlpm.CSVVal&lt;&gt;"",_xlpm.CSVVal
)),"")</f>
        <v/>
      </c>
      <c r="I231" s="2" t="str">
        <f>_xlfn.XLOOKUP(A231,Output_Mac!A:A,Output_Mac!I:I,"")</f>
        <v/>
      </c>
      <c r="J231" s="2" t="str" cm="1">
        <f t="array" ref="J231">IFERROR(_xlfn.LET(
_xlpm.CSVVal,_xlfn.XLOOKUP($A231,CSV!$A:$A,CSV!I:I,""),
_xlpm.MacVal,_xlfn.XLOOKUP($A231,Output_Mac!$A:$A,Output_Mac!J:J,""),
_xlpm.MyAuditVal,_xlfn.XLOOKUP($A231,My_Audit!$A:$A,My_Audit!I:I,""),
_xlfn.IFS(_xlpm.MyAuditVal&lt;&gt;"",UPPER(_xlpm.MyAuditVal),_xlpm.MacVal&lt;&gt;"",_xlpm.MacVal,_xlpm.CSVVal&lt;&gt;"",_xlpm.CSVVal
)),"")</f>
        <v/>
      </c>
      <c r="K231" s="2" t="str" cm="1">
        <f t="array" ref="K231">IFERROR(_xlfn.LET(
_xlpm.CSVVal,_xlfn.XLOOKUP($A231,CSV!$A:$A,CSV!K:K,""),
_xlpm.MacVal,_xlfn.XLOOKUP($A231,Output_Mac!$A:$A,Output_Mac!K:K,""),
_xlpm.MyAuditVal,_xlfn.XLOOKUP($A231,My_Audit!$A:$A,My_Audit!J:J,""),
_xlfn.IFS(_xlpm.MyAuditVal&lt;&gt;"",UPPER(_xlpm.MyAuditVal),_xlpm.MacVal&lt;&gt;"",_xlpm.MacVal,_xlpm.CSVVal&lt;&gt;"",_xlpm.CSVVal
)),"")</f>
        <v/>
      </c>
      <c r="L231" s="2" t="str" cm="1">
        <f t="array" ref="L231">IFERROR(_xlfn.LET(
_xlpm.CSVVal,_xlfn.XLOOKUP($A231,CSV!$A:$A,CSV!P:P,""),
_xlpm.MacVal,_xlfn.XLOOKUP($A231,Output_Mac!$A:$A,Output_Mac!L:L,""),
_xlpm.MyAuditVal,_xlfn.XLOOKUP($A231,My_Audit!$A:$A,My_Audit!K:K,""),
_xlfn.IFS(_xlpm.MyAuditVal&lt;&gt;"",UPPER(_xlpm.MyAuditVal),_xlpm.MacVal&lt;&gt;"",_xlpm.MacVal,_xlpm.CSVVal&lt;&gt;"",_xlpm.CSVVal
)),"")</f>
        <v/>
      </c>
      <c r="M231" s="2" t="str" cm="1">
        <f t="array" ref="M231">IFERROR(_xlfn.LET(
_xlpm.CSVVal,_xlfn.XLOOKUP($A231,CSV!$A:$A,CSV!Q:Q,""),
_xlpm.MacVal,_xlfn.XLOOKUP($A231,Output_Mac!$A:$A,Output_Mac!M:M,""),
_xlpm.MyAuditVal,_xlfn.XLOOKUP($A231,My_Audit!$A:$A,My_Audit!L:L,""),
_xlfn.IFS(_xlpm.MyAuditVal&lt;&gt;"",UPPER(_xlpm.MyAuditVal),_xlpm.MacVal&lt;&gt;"",_xlpm.MacVal,_xlpm.CSVVal&lt;&gt;"",_xlpm.CSVVal
)),"")</f>
        <v/>
      </c>
      <c r="O231" s="2" t="str">
        <f>_xlfn.LET(
    _xlpm.CSVVal, _xlfn.XLOOKUP($A231, CSV!$A:$A, CSV!AF:AF, ""),
    _xlpm.MacVal, _xlfn.XLOOKUP($A231, Output_Mac!$A:$A, Output_Mac!S:S, ""),
    _xlpm.MyAuditVal, _xlfn.XLOOKUP($A231, My_Audit!$A:$A, My_Audit!P:P, ""),
    _xlfn.TEXTJOIN(", ", TRUE, _xlpm.MyAuditVal, _xlpm.MacVal, _xlpm.CSVVal)
)</f>
        <v/>
      </c>
      <c r="P231" s="2" t="str" cm="1">
        <f t="array" ref="P231">IFERROR(_xlfn.LET(
_xlpm.CSVVal,_xlfn.XLOOKUP($A231,CSV!$A:$A,CSV!AG:AG,""),
_xlpm.MacVal,_xlfn.XLOOKUP($A231,Output_Mac!$A:$A,Output_Mac!T:T,""),
_xlpm.MyAuditVal,_xlfn.XLOOKUP($A231,My_Audit!$A:$A,My_Audit!Q:Q,""),
_xlfn.IFS(_xlpm.MyAuditVal&lt;&gt;"",UPPER(_xlpm.MyAuditVal),_xlpm.MacVal&lt;&gt;"",_xlpm.MacVal,_xlpm.CSVVal&lt;&gt;"",_xlpm.CSVVal
)),"No")</f>
        <v>No</v>
      </c>
      <c r="Q231" s="2" t="str" cm="1">
        <f t="array" ref="Q231">IFERROR(_xlfn.LET(
_xlpm.CSVVal,_xlfn.XLOOKUP($A231,CSV!$A:$A,CSV!AH:AH,""),
_xlpm.MacVal,_xlfn.XLOOKUP($A231,Output_Mac!$A:$A,Output_Mac!U:U,""),
_xlpm.MyAuditVal,_xlfn.XLOOKUP($A231,My_Audit!$A:$A,My_Audit!R:R,""),
_xlfn.IFS(_xlpm.MyAuditVal&lt;&gt;"",UPPER(_xlpm.MyAuditVal),_xlpm.MacVal&lt;&gt;"",_xlpm.MacVal,_xlpm.CSVVal&lt;&gt;"",_xlpm.CSVVal
)),"")</f>
        <v/>
      </c>
    </row>
    <row r="232" spans="1:17">
      <c r="A232" s="2" t="str">
        <f>_xlfn.TEXTJOIN("",TRUE,Input!$B$2,ROW(My_Audit!A231))</f>
        <v>XX231</v>
      </c>
      <c r="B232" s="2" t="str">
        <f>_xlfn.TEXTJOIN("-",TRUE,"ITD",Input!$A$2,A232)</f>
        <v>ITD-SHRXXX-XX231</v>
      </c>
      <c r="C232" s="2" t="str" cm="1">
        <f t="array" ref="C232">IFERROR(_xlfn.LET(
_xlpm.CSVVal,_xlfn.XLOOKUP($A232,CSV!$A:$A,CSV!B:B,""),
_xlpm.MacVal,_xlfn.XLOOKUP($A232,Output_Mac!$A:$A,Output_Mac!B:B,""),
_xlpm.MyAuditVal,_xlfn.XLOOKUP($A232,My_Audit!$A:$A,My_Audit!B:B,""),
_xlfn.IFS(_xlpm.MyAuditVal&lt;&gt;"",UPPER(_xlpm.MyAuditVal),_xlpm.MacVal&lt;&gt;"",_xlpm.MacVal,_xlpm.CSVVal&lt;&gt;"",_xlpm.CSVVal
)),"")</f>
        <v/>
      </c>
      <c r="D232" s="2" t="str" cm="1">
        <f t="array" ref="D232">IFERROR(_xlfn.LET(
_xlpm.CSVVal,_xlfn.XLOOKUP($A232,CSV!$A:$A,CSV!D:D,""),
_xlpm.MacVal,_xlfn.XLOOKUP($A232,Output_Mac!$A:$A,Output_Mac!C:C,""),
_xlpm.MyAuditVal,_xlfn.XLOOKUP($A232,My_Audit!$A:$A,My_Audit!C:C,""),
_xlfn.IFS(_xlpm.MyAuditVal&lt;&gt;"",_xlpm.MyAuditVal,_xlpm.MacVal&lt;&gt;"",_xlpm.MacVal,_xlpm.CSVVal&lt;&gt;"",_xlpm.CSVVal
)),"")</f>
        <v/>
      </c>
      <c r="E232" s="2" t="str">
        <f>_xlfn.XLOOKUP(A232,My_Audit!A:A,My_Audit!D:D,"")&amp;""</f>
        <v/>
      </c>
      <c r="F232" s="2" t="str" cm="1">
        <f t="array" ref="F232">IFERROR(_xlfn.LET(
_xlpm.CSVVal,_xlfn.XLOOKUP($A232,CSV!$A:$A,CSV!F:F,""),
_xlpm.MacVal,_xlfn.XLOOKUP($A232,Output_Mac!$A:$A,Output_Mac!E:E,""),
_xlpm.MyAuditVal,_xlfn.XLOOKUP($A232,My_Audit!$A:$A,My_Audit!E:E,""),
_xlfn.IFS(_xlpm.MyAuditVal&lt;&gt;"",_xlpm.MyAuditVal,_xlpm.MacVal&lt;&gt;"",_xlpm.MacVal,_xlpm.CSVVal&lt;&gt;"",_xlpm.CSVVal
)),"")</f>
        <v/>
      </c>
      <c r="G232" s="2" t="str" cm="1">
        <f t="array" ref="G232">IFERROR(_xlfn.LET(
_xlpm.CSVVal,_xlfn.XLOOKUP($A232,CSV!$A:$A,CSV!G:G,""),
_xlpm.MacVal,_xlfn.XLOOKUP($A232,Output_Mac!$A:$A,Output_Mac!F:F,""),
_xlpm.MyAuditVal,_xlfn.XLOOKUP($A232,My_Audit!$A:$A,My_Audit!F:F,""),
_xlfn.IFS(_xlpm.MyAuditVal&lt;&gt;"",_xlpm.MyAuditVal,_xlpm.MacVal&lt;&gt;"",_xlpm.MacVal,_xlpm.CSVVal&lt;&gt;"",PROPER(_xlpm.CSVVal)
)),"")</f>
        <v/>
      </c>
      <c r="H232" s="2" t="str" cm="1">
        <f t="array" ref="H232">IFERROR(_xlfn.LET(
_xlpm.CSVVal,_xlfn.XLOOKUP($A232,CSV!$A:$A,CSV!H:H,""),
_xlpm.MacVal,_xlfn.XLOOKUP($A232,Output_Mac!$A:$A,Output_Mac!H:H,""),
_xlpm.MyAuditVal,_xlfn.XLOOKUP($A232,My_Audit!$A:$A,My_Audit!G:G,""),
_xlfn.IFS(_xlpm.MyAuditVal&lt;&gt;"",_xlpm.MyAuditVal,_xlpm.MacVal&lt;&gt;"",_xlpm.MacVal,_xlpm.CSVVal&lt;&gt;"",_xlpm.CSVVal
)),"")</f>
        <v/>
      </c>
      <c r="I232" s="2" t="str">
        <f>_xlfn.XLOOKUP(A232,Output_Mac!A:A,Output_Mac!I:I,"")</f>
        <v/>
      </c>
      <c r="J232" s="2" t="str" cm="1">
        <f t="array" ref="J232">IFERROR(_xlfn.LET(
_xlpm.CSVVal,_xlfn.XLOOKUP($A232,CSV!$A:$A,CSV!I:I,""),
_xlpm.MacVal,_xlfn.XLOOKUP($A232,Output_Mac!$A:$A,Output_Mac!J:J,""),
_xlpm.MyAuditVal,_xlfn.XLOOKUP($A232,My_Audit!$A:$A,My_Audit!I:I,""),
_xlfn.IFS(_xlpm.MyAuditVal&lt;&gt;"",UPPER(_xlpm.MyAuditVal),_xlpm.MacVal&lt;&gt;"",_xlpm.MacVal,_xlpm.CSVVal&lt;&gt;"",_xlpm.CSVVal
)),"")</f>
        <v/>
      </c>
      <c r="K232" s="2" t="str" cm="1">
        <f t="array" ref="K232">IFERROR(_xlfn.LET(
_xlpm.CSVVal,_xlfn.XLOOKUP($A232,CSV!$A:$A,CSV!K:K,""),
_xlpm.MacVal,_xlfn.XLOOKUP($A232,Output_Mac!$A:$A,Output_Mac!K:K,""),
_xlpm.MyAuditVal,_xlfn.XLOOKUP($A232,My_Audit!$A:$A,My_Audit!J:J,""),
_xlfn.IFS(_xlpm.MyAuditVal&lt;&gt;"",UPPER(_xlpm.MyAuditVal),_xlpm.MacVal&lt;&gt;"",_xlpm.MacVal,_xlpm.CSVVal&lt;&gt;"",_xlpm.CSVVal
)),"")</f>
        <v/>
      </c>
      <c r="L232" s="2" t="str" cm="1">
        <f t="array" ref="L232">IFERROR(_xlfn.LET(
_xlpm.CSVVal,_xlfn.XLOOKUP($A232,CSV!$A:$A,CSV!P:P,""),
_xlpm.MacVal,_xlfn.XLOOKUP($A232,Output_Mac!$A:$A,Output_Mac!L:L,""),
_xlpm.MyAuditVal,_xlfn.XLOOKUP($A232,My_Audit!$A:$A,My_Audit!K:K,""),
_xlfn.IFS(_xlpm.MyAuditVal&lt;&gt;"",UPPER(_xlpm.MyAuditVal),_xlpm.MacVal&lt;&gt;"",_xlpm.MacVal,_xlpm.CSVVal&lt;&gt;"",_xlpm.CSVVal
)),"")</f>
        <v/>
      </c>
      <c r="M232" s="2" t="str" cm="1">
        <f t="array" ref="M232">IFERROR(_xlfn.LET(
_xlpm.CSVVal,_xlfn.XLOOKUP($A232,CSV!$A:$A,CSV!Q:Q,""),
_xlpm.MacVal,_xlfn.XLOOKUP($A232,Output_Mac!$A:$A,Output_Mac!M:M,""),
_xlpm.MyAuditVal,_xlfn.XLOOKUP($A232,My_Audit!$A:$A,My_Audit!L:L,""),
_xlfn.IFS(_xlpm.MyAuditVal&lt;&gt;"",UPPER(_xlpm.MyAuditVal),_xlpm.MacVal&lt;&gt;"",_xlpm.MacVal,_xlpm.CSVVal&lt;&gt;"",_xlpm.CSVVal
)),"")</f>
        <v/>
      </c>
      <c r="O232" s="2" t="str">
        <f>_xlfn.LET(
    _xlpm.CSVVal, _xlfn.XLOOKUP($A232, CSV!$A:$A, CSV!AF:AF, ""),
    _xlpm.MacVal, _xlfn.XLOOKUP($A232, Output_Mac!$A:$A, Output_Mac!S:S, ""),
    _xlpm.MyAuditVal, _xlfn.XLOOKUP($A232, My_Audit!$A:$A, My_Audit!P:P, ""),
    _xlfn.TEXTJOIN(", ", TRUE, _xlpm.MyAuditVal, _xlpm.MacVal, _xlpm.CSVVal)
)</f>
        <v/>
      </c>
      <c r="P232" s="2" t="str" cm="1">
        <f t="array" ref="P232">IFERROR(_xlfn.LET(
_xlpm.CSVVal,_xlfn.XLOOKUP($A232,CSV!$A:$A,CSV!AG:AG,""),
_xlpm.MacVal,_xlfn.XLOOKUP($A232,Output_Mac!$A:$A,Output_Mac!T:T,""),
_xlpm.MyAuditVal,_xlfn.XLOOKUP($A232,My_Audit!$A:$A,My_Audit!Q:Q,""),
_xlfn.IFS(_xlpm.MyAuditVal&lt;&gt;"",UPPER(_xlpm.MyAuditVal),_xlpm.MacVal&lt;&gt;"",_xlpm.MacVal,_xlpm.CSVVal&lt;&gt;"",_xlpm.CSVVal
)),"No")</f>
        <v>No</v>
      </c>
      <c r="Q232" s="2" t="str" cm="1">
        <f t="array" ref="Q232">IFERROR(_xlfn.LET(
_xlpm.CSVVal,_xlfn.XLOOKUP($A232,CSV!$A:$A,CSV!AH:AH,""),
_xlpm.MacVal,_xlfn.XLOOKUP($A232,Output_Mac!$A:$A,Output_Mac!U:U,""),
_xlpm.MyAuditVal,_xlfn.XLOOKUP($A232,My_Audit!$A:$A,My_Audit!R:R,""),
_xlfn.IFS(_xlpm.MyAuditVal&lt;&gt;"",UPPER(_xlpm.MyAuditVal),_xlpm.MacVal&lt;&gt;"",_xlpm.MacVal,_xlpm.CSVVal&lt;&gt;"",_xlpm.CSVVal
)),"")</f>
        <v/>
      </c>
    </row>
    <row r="233" spans="1:17">
      <c r="A233" s="2" t="str">
        <f>_xlfn.TEXTJOIN("",TRUE,Input!$B$2,ROW(My_Audit!A232))</f>
        <v>XX232</v>
      </c>
      <c r="B233" s="2" t="str">
        <f>_xlfn.TEXTJOIN("-",TRUE,"ITD",Input!$A$2,A233)</f>
        <v>ITD-SHRXXX-XX232</v>
      </c>
      <c r="C233" s="2" t="str" cm="1">
        <f t="array" ref="C233">IFERROR(_xlfn.LET(
_xlpm.CSVVal,_xlfn.XLOOKUP($A233,CSV!$A:$A,CSV!B:B,""),
_xlpm.MacVal,_xlfn.XLOOKUP($A233,Output_Mac!$A:$A,Output_Mac!B:B,""),
_xlpm.MyAuditVal,_xlfn.XLOOKUP($A233,My_Audit!$A:$A,My_Audit!B:B,""),
_xlfn.IFS(_xlpm.MyAuditVal&lt;&gt;"",UPPER(_xlpm.MyAuditVal),_xlpm.MacVal&lt;&gt;"",_xlpm.MacVal,_xlpm.CSVVal&lt;&gt;"",_xlpm.CSVVal
)),"")</f>
        <v/>
      </c>
      <c r="D233" s="2" t="str" cm="1">
        <f t="array" ref="D233">IFERROR(_xlfn.LET(
_xlpm.CSVVal,_xlfn.XLOOKUP($A233,CSV!$A:$A,CSV!D:D,""),
_xlpm.MacVal,_xlfn.XLOOKUP($A233,Output_Mac!$A:$A,Output_Mac!C:C,""),
_xlpm.MyAuditVal,_xlfn.XLOOKUP($A233,My_Audit!$A:$A,My_Audit!C:C,""),
_xlfn.IFS(_xlpm.MyAuditVal&lt;&gt;"",_xlpm.MyAuditVal,_xlpm.MacVal&lt;&gt;"",_xlpm.MacVal,_xlpm.CSVVal&lt;&gt;"",_xlpm.CSVVal
)),"")</f>
        <v/>
      </c>
      <c r="E233" s="2" t="str">
        <f>_xlfn.XLOOKUP(A233,My_Audit!A:A,My_Audit!D:D,"")&amp;""</f>
        <v/>
      </c>
      <c r="F233" s="2" t="str" cm="1">
        <f t="array" ref="F233">IFERROR(_xlfn.LET(
_xlpm.CSVVal,_xlfn.XLOOKUP($A233,CSV!$A:$A,CSV!F:F,""),
_xlpm.MacVal,_xlfn.XLOOKUP($A233,Output_Mac!$A:$A,Output_Mac!E:E,""),
_xlpm.MyAuditVal,_xlfn.XLOOKUP($A233,My_Audit!$A:$A,My_Audit!E:E,""),
_xlfn.IFS(_xlpm.MyAuditVal&lt;&gt;"",_xlpm.MyAuditVal,_xlpm.MacVal&lt;&gt;"",_xlpm.MacVal,_xlpm.CSVVal&lt;&gt;"",_xlpm.CSVVal
)),"")</f>
        <v/>
      </c>
      <c r="G233" s="2" t="str" cm="1">
        <f t="array" ref="G233">IFERROR(_xlfn.LET(
_xlpm.CSVVal,_xlfn.XLOOKUP($A233,CSV!$A:$A,CSV!G:G,""),
_xlpm.MacVal,_xlfn.XLOOKUP($A233,Output_Mac!$A:$A,Output_Mac!F:F,""),
_xlpm.MyAuditVal,_xlfn.XLOOKUP($A233,My_Audit!$A:$A,My_Audit!F:F,""),
_xlfn.IFS(_xlpm.MyAuditVal&lt;&gt;"",_xlpm.MyAuditVal,_xlpm.MacVal&lt;&gt;"",_xlpm.MacVal,_xlpm.CSVVal&lt;&gt;"",PROPER(_xlpm.CSVVal)
)),"")</f>
        <v/>
      </c>
      <c r="H233" s="2" t="str" cm="1">
        <f t="array" ref="H233">IFERROR(_xlfn.LET(
_xlpm.CSVVal,_xlfn.XLOOKUP($A233,CSV!$A:$A,CSV!H:H,""),
_xlpm.MacVal,_xlfn.XLOOKUP($A233,Output_Mac!$A:$A,Output_Mac!H:H,""),
_xlpm.MyAuditVal,_xlfn.XLOOKUP($A233,My_Audit!$A:$A,My_Audit!G:G,""),
_xlfn.IFS(_xlpm.MyAuditVal&lt;&gt;"",_xlpm.MyAuditVal,_xlpm.MacVal&lt;&gt;"",_xlpm.MacVal,_xlpm.CSVVal&lt;&gt;"",_xlpm.CSVVal
)),"")</f>
        <v/>
      </c>
      <c r="I233" s="2" t="str">
        <f>_xlfn.XLOOKUP(A233,Output_Mac!A:A,Output_Mac!I:I,"")</f>
        <v/>
      </c>
      <c r="J233" s="2" t="str" cm="1">
        <f t="array" ref="J233">IFERROR(_xlfn.LET(
_xlpm.CSVVal,_xlfn.XLOOKUP($A233,CSV!$A:$A,CSV!I:I,""),
_xlpm.MacVal,_xlfn.XLOOKUP($A233,Output_Mac!$A:$A,Output_Mac!J:J,""),
_xlpm.MyAuditVal,_xlfn.XLOOKUP($A233,My_Audit!$A:$A,My_Audit!I:I,""),
_xlfn.IFS(_xlpm.MyAuditVal&lt;&gt;"",UPPER(_xlpm.MyAuditVal),_xlpm.MacVal&lt;&gt;"",_xlpm.MacVal,_xlpm.CSVVal&lt;&gt;"",_xlpm.CSVVal
)),"")</f>
        <v/>
      </c>
      <c r="K233" s="2" t="str" cm="1">
        <f t="array" ref="K233">IFERROR(_xlfn.LET(
_xlpm.CSVVal,_xlfn.XLOOKUP($A233,CSV!$A:$A,CSV!K:K,""),
_xlpm.MacVal,_xlfn.XLOOKUP($A233,Output_Mac!$A:$A,Output_Mac!K:K,""),
_xlpm.MyAuditVal,_xlfn.XLOOKUP($A233,My_Audit!$A:$A,My_Audit!J:J,""),
_xlfn.IFS(_xlpm.MyAuditVal&lt;&gt;"",UPPER(_xlpm.MyAuditVal),_xlpm.MacVal&lt;&gt;"",_xlpm.MacVal,_xlpm.CSVVal&lt;&gt;"",_xlpm.CSVVal
)),"")</f>
        <v/>
      </c>
      <c r="L233" s="2" t="str" cm="1">
        <f t="array" ref="L233">IFERROR(_xlfn.LET(
_xlpm.CSVVal,_xlfn.XLOOKUP($A233,CSV!$A:$A,CSV!P:P,""),
_xlpm.MacVal,_xlfn.XLOOKUP($A233,Output_Mac!$A:$A,Output_Mac!L:L,""),
_xlpm.MyAuditVal,_xlfn.XLOOKUP($A233,My_Audit!$A:$A,My_Audit!K:K,""),
_xlfn.IFS(_xlpm.MyAuditVal&lt;&gt;"",UPPER(_xlpm.MyAuditVal),_xlpm.MacVal&lt;&gt;"",_xlpm.MacVal,_xlpm.CSVVal&lt;&gt;"",_xlpm.CSVVal
)),"")</f>
        <v/>
      </c>
      <c r="M233" s="2" t="str" cm="1">
        <f t="array" ref="M233">IFERROR(_xlfn.LET(
_xlpm.CSVVal,_xlfn.XLOOKUP($A233,CSV!$A:$A,CSV!Q:Q,""),
_xlpm.MacVal,_xlfn.XLOOKUP($A233,Output_Mac!$A:$A,Output_Mac!M:M,""),
_xlpm.MyAuditVal,_xlfn.XLOOKUP($A233,My_Audit!$A:$A,My_Audit!L:L,""),
_xlfn.IFS(_xlpm.MyAuditVal&lt;&gt;"",UPPER(_xlpm.MyAuditVal),_xlpm.MacVal&lt;&gt;"",_xlpm.MacVal,_xlpm.CSVVal&lt;&gt;"",_xlpm.CSVVal
)),"")</f>
        <v/>
      </c>
      <c r="O233" s="2" t="str">
        <f>_xlfn.LET(
    _xlpm.CSVVal, _xlfn.XLOOKUP($A233, CSV!$A:$A, CSV!AF:AF, ""),
    _xlpm.MacVal, _xlfn.XLOOKUP($A233, Output_Mac!$A:$A, Output_Mac!S:S, ""),
    _xlpm.MyAuditVal, _xlfn.XLOOKUP($A233, My_Audit!$A:$A, My_Audit!P:P, ""),
    _xlfn.TEXTJOIN(", ", TRUE, _xlpm.MyAuditVal, _xlpm.MacVal, _xlpm.CSVVal)
)</f>
        <v/>
      </c>
      <c r="P233" s="2" t="str" cm="1">
        <f t="array" ref="P233">IFERROR(_xlfn.LET(
_xlpm.CSVVal,_xlfn.XLOOKUP($A233,CSV!$A:$A,CSV!AG:AG,""),
_xlpm.MacVal,_xlfn.XLOOKUP($A233,Output_Mac!$A:$A,Output_Mac!T:T,""),
_xlpm.MyAuditVal,_xlfn.XLOOKUP($A233,My_Audit!$A:$A,My_Audit!Q:Q,""),
_xlfn.IFS(_xlpm.MyAuditVal&lt;&gt;"",UPPER(_xlpm.MyAuditVal),_xlpm.MacVal&lt;&gt;"",_xlpm.MacVal,_xlpm.CSVVal&lt;&gt;"",_xlpm.CSVVal
)),"No")</f>
        <v>No</v>
      </c>
      <c r="Q233" s="2" t="str" cm="1">
        <f t="array" ref="Q233">IFERROR(_xlfn.LET(
_xlpm.CSVVal,_xlfn.XLOOKUP($A233,CSV!$A:$A,CSV!AH:AH,""),
_xlpm.MacVal,_xlfn.XLOOKUP($A233,Output_Mac!$A:$A,Output_Mac!U:U,""),
_xlpm.MyAuditVal,_xlfn.XLOOKUP($A233,My_Audit!$A:$A,My_Audit!R:R,""),
_xlfn.IFS(_xlpm.MyAuditVal&lt;&gt;"",UPPER(_xlpm.MyAuditVal),_xlpm.MacVal&lt;&gt;"",_xlpm.MacVal,_xlpm.CSVVal&lt;&gt;"",_xlpm.CSVVal
)),"")</f>
        <v/>
      </c>
    </row>
    <row r="234" spans="1:17">
      <c r="A234" s="2" t="str">
        <f>_xlfn.TEXTJOIN("",TRUE,Input!$B$2,ROW(My_Audit!A233))</f>
        <v>XX233</v>
      </c>
      <c r="B234" s="2" t="str">
        <f>_xlfn.TEXTJOIN("-",TRUE,"ITD",Input!$A$2,A234)</f>
        <v>ITD-SHRXXX-XX233</v>
      </c>
      <c r="C234" s="2" t="str" cm="1">
        <f t="array" ref="C234">IFERROR(_xlfn.LET(
_xlpm.CSVVal,_xlfn.XLOOKUP($A234,CSV!$A:$A,CSV!B:B,""),
_xlpm.MacVal,_xlfn.XLOOKUP($A234,Output_Mac!$A:$A,Output_Mac!B:B,""),
_xlpm.MyAuditVal,_xlfn.XLOOKUP($A234,My_Audit!$A:$A,My_Audit!B:B,""),
_xlfn.IFS(_xlpm.MyAuditVal&lt;&gt;"",UPPER(_xlpm.MyAuditVal),_xlpm.MacVal&lt;&gt;"",_xlpm.MacVal,_xlpm.CSVVal&lt;&gt;"",_xlpm.CSVVal
)),"")</f>
        <v/>
      </c>
      <c r="D234" s="2" t="str" cm="1">
        <f t="array" ref="D234">IFERROR(_xlfn.LET(
_xlpm.CSVVal,_xlfn.XLOOKUP($A234,CSV!$A:$A,CSV!D:D,""),
_xlpm.MacVal,_xlfn.XLOOKUP($A234,Output_Mac!$A:$A,Output_Mac!C:C,""),
_xlpm.MyAuditVal,_xlfn.XLOOKUP($A234,My_Audit!$A:$A,My_Audit!C:C,""),
_xlfn.IFS(_xlpm.MyAuditVal&lt;&gt;"",_xlpm.MyAuditVal,_xlpm.MacVal&lt;&gt;"",_xlpm.MacVal,_xlpm.CSVVal&lt;&gt;"",_xlpm.CSVVal
)),"")</f>
        <v/>
      </c>
      <c r="E234" s="2" t="str">
        <f>_xlfn.XLOOKUP(A234,My_Audit!A:A,My_Audit!D:D,"")&amp;""</f>
        <v/>
      </c>
      <c r="F234" s="2" t="str" cm="1">
        <f t="array" ref="F234">IFERROR(_xlfn.LET(
_xlpm.CSVVal,_xlfn.XLOOKUP($A234,CSV!$A:$A,CSV!F:F,""),
_xlpm.MacVal,_xlfn.XLOOKUP($A234,Output_Mac!$A:$A,Output_Mac!E:E,""),
_xlpm.MyAuditVal,_xlfn.XLOOKUP($A234,My_Audit!$A:$A,My_Audit!E:E,""),
_xlfn.IFS(_xlpm.MyAuditVal&lt;&gt;"",_xlpm.MyAuditVal,_xlpm.MacVal&lt;&gt;"",_xlpm.MacVal,_xlpm.CSVVal&lt;&gt;"",_xlpm.CSVVal
)),"")</f>
        <v/>
      </c>
      <c r="G234" s="2" t="str" cm="1">
        <f t="array" ref="G234">IFERROR(_xlfn.LET(
_xlpm.CSVVal,_xlfn.XLOOKUP($A234,CSV!$A:$A,CSV!G:G,""),
_xlpm.MacVal,_xlfn.XLOOKUP($A234,Output_Mac!$A:$A,Output_Mac!F:F,""),
_xlpm.MyAuditVal,_xlfn.XLOOKUP($A234,My_Audit!$A:$A,My_Audit!F:F,""),
_xlfn.IFS(_xlpm.MyAuditVal&lt;&gt;"",_xlpm.MyAuditVal,_xlpm.MacVal&lt;&gt;"",_xlpm.MacVal,_xlpm.CSVVal&lt;&gt;"",PROPER(_xlpm.CSVVal)
)),"")</f>
        <v/>
      </c>
      <c r="H234" s="2" t="str" cm="1">
        <f t="array" ref="H234">IFERROR(_xlfn.LET(
_xlpm.CSVVal,_xlfn.XLOOKUP($A234,CSV!$A:$A,CSV!H:H,""),
_xlpm.MacVal,_xlfn.XLOOKUP($A234,Output_Mac!$A:$A,Output_Mac!H:H,""),
_xlpm.MyAuditVal,_xlfn.XLOOKUP($A234,My_Audit!$A:$A,My_Audit!G:G,""),
_xlfn.IFS(_xlpm.MyAuditVal&lt;&gt;"",_xlpm.MyAuditVal,_xlpm.MacVal&lt;&gt;"",_xlpm.MacVal,_xlpm.CSVVal&lt;&gt;"",_xlpm.CSVVal
)),"")</f>
        <v/>
      </c>
      <c r="I234" s="2" t="str">
        <f>_xlfn.XLOOKUP(A234,Output_Mac!A:A,Output_Mac!I:I,"")</f>
        <v/>
      </c>
      <c r="J234" s="2" t="str" cm="1">
        <f t="array" ref="J234">IFERROR(_xlfn.LET(
_xlpm.CSVVal,_xlfn.XLOOKUP($A234,CSV!$A:$A,CSV!I:I,""),
_xlpm.MacVal,_xlfn.XLOOKUP($A234,Output_Mac!$A:$A,Output_Mac!J:J,""),
_xlpm.MyAuditVal,_xlfn.XLOOKUP($A234,My_Audit!$A:$A,My_Audit!I:I,""),
_xlfn.IFS(_xlpm.MyAuditVal&lt;&gt;"",UPPER(_xlpm.MyAuditVal),_xlpm.MacVal&lt;&gt;"",_xlpm.MacVal,_xlpm.CSVVal&lt;&gt;"",_xlpm.CSVVal
)),"")</f>
        <v/>
      </c>
      <c r="K234" s="2" t="str" cm="1">
        <f t="array" ref="K234">IFERROR(_xlfn.LET(
_xlpm.CSVVal,_xlfn.XLOOKUP($A234,CSV!$A:$A,CSV!K:K,""),
_xlpm.MacVal,_xlfn.XLOOKUP($A234,Output_Mac!$A:$A,Output_Mac!K:K,""),
_xlpm.MyAuditVal,_xlfn.XLOOKUP($A234,My_Audit!$A:$A,My_Audit!J:J,""),
_xlfn.IFS(_xlpm.MyAuditVal&lt;&gt;"",UPPER(_xlpm.MyAuditVal),_xlpm.MacVal&lt;&gt;"",_xlpm.MacVal,_xlpm.CSVVal&lt;&gt;"",_xlpm.CSVVal
)),"")</f>
        <v/>
      </c>
      <c r="L234" s="2" t="str" cm="1">
        <f t="array" ref="L234">IFERROR(_xlfn.LET(
_xlpm.CSVVal,_xlfn.XLOOKUP($A234,CSV!$A:$A,CSV!P:P,""),
_xlpm.MacVal,_xlfn.XLOOKUP($A234,Output_Mac!$A:$A,Output_Mac!L:L,""),
_xlpm.MyAuditVal,_xlfn.XLOOKUP($A234,My_Audit!$A:$A,My_Audit!K:K,""),
_xlfn.IFS(_xlpm.MyAuditVal&lt;&gt;"",UPPER(_xlpm.MyAuditVal),_xlpm.MacVal&lt;&gt;"",_xlpm.MacVal,_xlpm.CSVVal&lt;&gt;"",_xlpm.CSVVal
)),"")</f>
        <v/>
      </c>
      <c r="M234" s="2" t="str" cm="1">
        <f t="array" ref="M234">IFERROR(_xlfn.LET(
_xlpm.CSVVal,_xlfn.XLOOKUP($A234,CSV!$A:$A,CSV!Q:Q,""),
_xlpm.MacVal,_xlfn.XLOOKUP($A234,Output_Mac!$A:$A,Output_Mac!M:M,""),
_xlpm.MyAuditVal,_xlfn.XLOOKUP($A234,My_Audit!$A:$A,My_Audit!L:L,""),
_xlfn.IFS(_xlpm.MyAuditVal&lt;&gt;"",UPPER(_xlpm.MyAuditVal),_xlpm.MacVal&lt;&gt;"",_xlpm.MacVal,_xlpm.CSVVal&lt;&gt;"",_xlpm.CSVVal
)),"")</f>
        <v/>
      </c>
      <c r="O234" s="2" t="str">
        <f>_xlfn.LET(
    _xlpm.CSVVal, _xlfn.XLOOKUP($A234, CSV!$A:$A, CSV!AF:AF, ""),
    _xlpm.MacVal, _xlfn.XLOOKUP($A234, Output_Mac!$A:$A, Output_Mac!S:S, ""),
    _xlpm.MyAuditVal, _xlfn.XLOOKUP($A234, My_Audit!$A:$A, My_Audit!P:P, ""),
    _xlfn.TEXTJOIN(", ", TRUE, _xlpm.MyAuditVal, _xlpm.MacVal, _xlpm.CSVVal)
)</f>
        <v/>
      </c>
      <c r="P234" s="2" t="str" cm="1">
        <f t="array" ref="P234">IFERROR(_xlfn.LET(
_xlpm.CSVVal,_xlfn.XLOOKUP($A234,CSV!$A:$A,CSV!AG:AG,""),
_xlpm.MacVal,_xlfn.XLOOKUP($A234,Output_Mac!$A:$A,Output_Mac!T:T,""),
_xlpm.MyAuditVal,_xlfn.XLOOKUP($A234,My_Audit!$A:$A,My_Audit!Q:Q,""),
_xlfn.IFS(_xlpm.MyAuditVal&lt;&gt;"",UPPER(_xlpm.MyAuditVal),_xlpm.MacVal&lt;&gt;"",_xlpm.MacVal,_xlpm.CSVVal&lt;&gt;"",_xlpm.CSVVal
)),"No")</f>
        <v>No</v>
      </c>
      <c r="Q234" s="2" t="str" cm="1">
        <f t="array" ref="Q234">IFERROR(_xlfn.LET(
_xlpm.CSVVal,_xlfn.XLOOKUP($A234,CSV!$A:$A,CSV!AH:AH,""),
_xlpm.MacVal,_xlfn.XLOOKUP($A234,Output_Mac!$A:$A,Output_Mac!U:U,""),
_xlpm.MyAuditVal,_xlfn.XLOOKUP($A234,My_Audit!$A:$A,My_Audit!R:R,""),
_xlfn.IFS(_xlpm.MyAuditVal&lt;&gt;"",UPPER(_xlpm.MyAuditVal),_xlpm.MacVal&lt;&gt;"",_xlpm.MacVal,_xlpm.CSVVal&lt;&gt;"",_xlpm.CSVVal
)),"")</f>
        <v/>
      </c>
    </row>
    <row r="235" spans="1:17">
      <c r="A235" s="2" t="str">
        <f>_xlfn.TEXTJOIN("",TRUE,Input!$B$2,ROW(My_Audit!A234))</f>
        <v>XX234</v>
      </c>
      <c r="B235" s="2" t="str">
        <f>_xlfn.TEXTJOIN("-",TRUE,"ITD",Input!$A$2,A235)</f>
        <v>ITD-SHRXXX-XX234</v>
      </c>
      <c r="C235" s="2" t="str" cm="1">
        <f t="array" ref="C235">IFERROR(_xlfn.LET(
_xlpm.CSVVal,_xlfn.XLOOKUP($A235,CSV!$A:$A,CSV!B:B,""),
_xlpm.MacVal,_xlfn.XLOOKUP($A235,Output_Mac!$A:$A,Output_Mac!B:B,""),
_xlpm.MyAuditVal,_xlfn.XLOOKUP($A235,My_Audit!$A:$A,My_Audit!B:B,""),
_xlfn.IFS(_xlpm.MyAuditVal&lt;&gt;"",UPPER(_xlpm.MyAuditVal),_xlpm.MacVal&lt;&gt;"",_xlpm.MacVal,_xlpm.CSVVal&lt;&gt;"",_xlpm.CSVVal
)),"")</f>
        <v/>
      </c>
      <c r="D235" s="2" t="str" cm="1">
        <f t="array" ref="D235">IFERROR(_xlfn.LET(
_xlpm.CSVVal,_xlfn.XLOOKUP($A235,CSV!$A:$A,CSV!D:D,""),
_xlpm.MacVal,_xlfn.XLOOKUP($A235,Output_Mac!$A:$A,Output_Mac!C:C,""),
_xlpm.MyAuditVal,_xlfn.XLOOKUP($A235,My_Audit!$A:$A,My_Audit!C:C,""),
_xlfn.IFS(_xlpm.MyAuditVal&lt;&gt;"",_xlpm.MyAuditVal,_xlpm.MacVal&lt;&gt;"",_xlpm.MacVal,_xlpm.CSVVal&lt;&gt;"",_xlpm.CSVVal
)),"")</f>
        <v/>
      </c>
      <c r="E235" s="2" t="str">
        <f>_xlfn.XLOOKUP(A235,My_Audit!A:A,My_Audit!D:D,"")&amp;""</f>
        <v/>
      </c>
      <c r="F235" s="2" t="str" cm="1">
        <f t="array" ref="F235">IFERROR(_xlfn.LET(
_xlpm.CSVVal,_xlfn.XLOOKUP($A235,CSV!$A:$A,CSV!F:F,""),
_xlpm.MacVal,_xlfn.XLOOKUP($A235,Output_Mac!$A:$A,Output_Mac!E:E,""),
_xlpm.MyAuditVal,_xlfn.XLOOKUP($A235,My_Audit!$A:$A,My_Audit!E:E,""),
_xlfn.IFS(_xlpm.MyAuditVal&lt;&gt;"",_xlpm.MyAuditVal,_xlpm.MacVal&lt;&gt;"",_xlpm.MacVal,_xlpm.CSVVal&lt;&gt;"",_xlpm.CSVVal
)),"")</f>
        <v/>
      </c>
      <c r="G235" s="2" t="str" cm="1">
        <f t="array" ref="G235">IFERROR(_xlfn.LET(
_xlpm.CSVVal,_xlfn.XLOOKUP($A235,CSV!$A:$A,CSV!G:G,""),
_xlpm.MacVal,_xlfn.XLOOKUP($A235,Output_Mac!$A:$A,Output_Mac!F:F,""),
_xlpm.MyAuditVal,_xlfn.XLOOKUP($A235,My_Audit!$A:$A,My_Audit!F:F,""),
_xlfn.IFS(_xlpm.MyAuditVal&lt;&gt;"",_xlpm.MyAuditVal,_xlpm.MacVal&lt;&gt;"",_xlpm.MacVal,_xlpm.CSVVal&lt;&gt;"",PROPER(_xlpm.CSVVal)
)),"")</f>
        <v/>
      </c>
      <c r="H235" s="2" t="str" cm="1">
        <f t="array" ref="H235">IFERROR(_xlfn.LET(
_xlpm.CSVVal,_xlfn.XLOOKUP($A235,CSV!$A:$A,CSV!H:H,""),
_xlpm.MacVal,_xlfn.XLOOKUP($A235,Output_Mac!$A:$A,Output_Mac!H:H,""),
_xlpm.MyAuditVal,_xlfn.XLOOKUP($A235,My_Audit!$A:$A,My_Audit!G:G,""),
_xlfn.IFS(_xlpm.MyAuditVal&lt;&gt;"",_xlpm.MyAuditVal,_xlpm.MacVal&lt;&gt;"",_xlpm.MacVal,_xlpm.CSVVal&lt;&gt;"",_xlpm.CSVVal
)),"")</f>
        <v/>
      </c>
      <c r="I235" s="2" t="str">
        <f>_xlfn.XLOOKUP(A235,Output_Mac!A:A,Output_Mac!I:I,"")</f>
        <v/>
      </c>
      <c r="J235" s="2" t="str" cm="1">
        <f t="array" ref="J235">IFERROR(_xlfn.LET(
_xlpm.CSVVal,_xlfn.XLOOKUP($A235,CSV!$A:$A,CSV!I:I,""),
_xlpm.MacVal,_xlfn.XLOOKUP($A235,Output_Mac!$A:$A,Output_Mac!J:J,""),
_xlpm.MyAuditVal,_xlfn.XLOOKUP($A235,My_Audit!$A:$A,My_Audit!I:I,""),
_xlfn.IFS(_xlpm.MyAuditVal&lt;&gt;"",UPPER(_xlpm.MyAuditVal),_xlpm.MacVal&lt;&gt;"",_xlpm.MacVal,_xlpm.CSVVal&lt;&gt;"",_xlpm.CSVVal
)),"")</f>
        <v/>
      </c>
      <c r="K235" s="2" t="str" cm="1">
        <f t="array" ref="K235">IFERROR(_xlfn.LET(
_xlpm.CSVVal,_xlfn.XLOOKUP($A235,CSV!$A:$A,CSV!K:K,""),
_xlpm.MacVal,_xlfn.XLOOKUP($A235,Output_Mac!$A:$A,Output_Mac!K:K,""),
_xlpm.MyAuditVal,_xlfn.XLOOKUP($A235,My_Audit!$A:$A,My_Audit!J:J,""),
_xlfn.IFS(_xlpm.MyAuditVal&lt;&gt;"",UPPER(_xlpm.MyAuditVal),_xlpm.MacVal&lt;&gt;"",_xlpm.MacVal,_xlpm.CSVVal&lt;&gt;"",_xlpm.CSVVal
)),"")</f>
        <v/>
      </c>
      <c r="L235" s="2" t="str" cm="1">
        <f t="array" ref="L235">IFERROR(_xlfn.LET(
_xlpm.CSVVal,_xlfn.XLOOKUP($A235,CSV!$A:$A,CSV!P:P,""),
_xlpm.MacVal,_xlfn.XLOOKUP($A235,Output_Mac!$A:$A,Output_Mac!L:L,""),
_xlpm.MyAuditVal,_xlfn.XLOOKUP($A235,My_Audit!$A:$A,My_Audit!K:K,""),
_xlfn.IFS(_xlpm.MyAuditVal&lt;&gt;"",UPPER(_xlpm.MyAuditVal),_xlpm.MacVal&lt;&gt;"",_xlpm.MacVal,_xlpm.CSVVal&lt;&gt;"",_xlpm.CSVVal
)),"")</f>
        <v/>
      </c>
      <c r="M235" s="2" t="str" cm="1">
        <f t="array" ref="M235">IFERROR(_xlfn.LET(
_xlpm.CSVVal,_xlfn.XLOOKUP($A235,CSV!$A:$A,CSV!Q:Q,""),
_xlpm.MacVal,_xlfn.XLOOKUP($A235,Output_Mac!$A:$A,Output_Mac!M:M,""),
_xlpm.MyAuditVal,_xlfn.XLOOKUP($A235,My_Audit!$A:$A,My_Audit!L:L,""),
_xlfn.IFS(_xlpm.MyAuditVal&lt;&gt;"",UPPER(_xlpm.MyAuditVal),_xlpm.MacVal&lt;&gt;"",_xlpm.MacVal,_xlpm.CSVVal&lt;&gt;"",_xlpm.CSVVal
)),"")</f>
        <v/>
      </c>
      <c r="O235" s="2" t="str">
        <f>_xlfn.LET(
    _xlpm.CSVVal, _xlfn.XLOOKUP($A235, CSV!$A:$A, CSV!AF:AF, ""),
    _xlpm.MacVal, _xlfn.XLOOKUP($A235, Output_Mac!$A:$A, Output_Mac!S:S, ""),
    _xlpm.MyAuditVal, _xlfn.XLOOKUP($A235, My_Audit!$A:$A, My_Audit!P:P, ""),
    _xlfn.TEXTJOIN(", ", TRUE, _xlpm.MyAuditVal, _xlpm.MacVal, _xlpm.CSVVal)
)</f>
        <v/>
      </c>
      <c r="P235" s="2" t="str" cm="1">
        <f t="array" ref="P235">IFERROR(_xlfn.LET(
_xlpm.CSVVal,_xlfn.XLOOKUP($A235,CSV!$A:$A,CSV!AG:AG,""),
_xlpm.MacVal,_xlfn.XLOOKUP($A235,Output_Mac!$A:$A,Output_Mac!T:T,""),
_xlpm.MyAuditVal,_xlfn.XLOOKUP($A235,My_Audit!$A:$A,My_Audit!Q:Q,""),
_xlfn.IFS(_xlpm.MyAuditVal&lt;&gt;"",UPPER(_xlpm.MyAuditVal),_xlpm.MacVal&lt;&gt;"",_xlpm.MacVal,_xlpm.CSVVal&lt;&gt;"",_xlpm.CSVVal
)),"No")</f>
        <v>No</v>
      </c>
      <c r="Q235" s="2" t="str" cm="1">
        <f t="array" ref="Q235">IFERROR(_xlfn.LET(
_xlpm.CSVVal,_xlfn.XLOOKUP($A235,CSV!$A:$A,CSV!AH:AH,""),
_xlpm.MacVal,_xlfn.XLOOKUP($A235,Output_Mac!$A:$A,Output_Mac!U:U,""),
_xlpm.MyAuditVal,_xlfn.XLOOKUP($A235,My_Audit!$A:$A,My_Audit!R:R,""),
_xlfn.IFS(_xlpm.MyAuditVal&lt;&gt;"",UPPER(_xlpm.MyAuditVal),_xlpm.MacVal&lt;&gt;"",_xlpm.MacVal,_xlpm.CSVVal&lt;&gt;"",_xlpm.CSVVal
)),"")</f>
        <v/>
      </c>
    </row>
    <row r="236" spans="1:17">
      <c r="A236" s="2" t="str">
        <f>_xlfn.TEXTJOIN("",TRUE,Input!$B$2,ROW(My_Audit!A235))</f>
        <v>XX235</v>
      </c>
      <c r="B236" s="2" t="str">
        <f>_xlfn.TEXTJOIN("-",TRUE,"ITD",Input!$A$2,A236)</f>
        <v>ITD-SHRXXX-XX235</v>
      </c>
      <c r="C236" s="2" t="str" cm="1">
        <f t="array" ref="C236">IFERROR(_xlfn.LET(
_xlpm.CSVVal,_xlfn.XLOOKUP($A236,CSV!$A:$A,CSV!B:B,""),
_xlpm.MacVal,_xlfn.XLOOKUP($A236,Output_Mac!$A:$A,Output_Mac!B:B,""),
_xlpm.MyAuditVal,_xlfn.XLOOKUP($A236,My_Audit!$A:$A,My_Audit!B:B,""),
_xlfn.IFS(_xlpm.MyAuditVal&lt;&gt;"",UPPER(_xlpm.MyAuditVal),_xlpm.MacVal&lt;&gt;"",_xlpm.MacVal,_xlpm.CSVVal&lt;&gt;"",_xlpm.CSVVal
)),"")</f>
        <v/>
      </c>
      <c r="D236" s="2" t="str" cm="1">
        <f t="array" ref="D236">IFERROR(_xlfn.LET(
_xlpm.CSVVal,_xlfn.XLOOKUP($A236,CSV!$A:$A,CSV!D:D,""),
_xlpm.MacVal,_xlfn.XLOOKUP($A236,Output_Mac!$A:$A,Output_Mac!C:C,""),
_xlpm.MyAuditVal,_xlfn.XLOOKUP($A236,My_Audit!$A:$A,My_Audit!C:C,""),
_xlfn.IFS(_xlpm.MyAuditVal&lt;&gt;"",_xlpm.MyAuditVal,_xlpm.MacVal&lt;&gt;"",_xlpm.MacVal,_xlpm.CSVVal&lt;&gt;"",_xlpm.CSVVal
)),"")</f>
        <v/>
      </c>
      <c r="E236" s="2" t="str">
        <f>_xlfn.XLOOKUP(A236,My_Audit!A:A,My_Audit!D:D,"")&amp;""</f>
        <v/>
      </c>
      <c r="F236" s="2" t="str" cm="1">
        <f t="array" ref="F236">IFERROR(_xlfn.LET(
_xlpm.CSVVal,_xlfn.XLOOKUP($A236,CSV!$A:$A,CSV!F:F,""),
_xlpm.MacVal,_xlfn.XLOOKUP($A236,Output_Mac!$A:$A,Output_Mac!E:E,""),
_xlpm.MyAuditVal,_xlfn.XLOOKUP($A236,My_Audit!$A:$A,My_Audit!E:E,""),
_xlfn.IFS(_xlpm.MyAuditVal&lt;&gt;"",_xlpm.MyAuditVal,_xlpm.MacVal&lt;&gt;"",_xlpm.MacVal,_xlpm.CSVVal&lt;&gt;"",_xlpm.CSVVal
)),"")</f>
        <v/>
      </c>
      <c r="G236" s="2" t="str" cm="1">
        <f t="array" ref="G236">IFERROR(_xlfn.LET(
_xlpm.CSVVal,_xlfn.XLOOKUP($A236,CSV!$A:$A,CSV!G:G,""),
_xlpm.MacVal,_xlfn.XLOOKUP($A236,Output_Mac!$A:$A,Output_Mac!F:F,""),
_xlpm.MyAuditVal,_xlfn.XLOOKUP($A236,My_Audit!$A:$A,My_Audit!F:F,""),
_xlfn.IFS(_xlpm.MyAuditVal&lt;&gt;"",_xlpm.MyAuditVal,_xlpm.MacVal&lt;&gt;"",_xlpm.MacVal,_xlpm.CSVVal&lt;&gt;"",PROPER(_xlpm.CSVVal)
)),"")</f>
        <v/>
      </c>
      <c r="H236" s="2" t="str" cm="1">
        <f t="array" ref="H236">IFERROR(_xlfn.LET(
_xlpm.CSVVal,_xlfn.XLOOKUP($A236,CSV!$A:$A,CSV!H:H,""),
_xlpm.MacVal,_xlfn.XLOOKUP($A236,Output_Mac!$A:$A,Output_Mac!H:H,""),
_xlpm.MyAuditVal,_xlfn.XLOOKUP($A236,My_Audit!$A:$A,My_Audit!G:G,""),
_xlfn.IFS(_xlpm.MyAuditVal&lt;&gt;"",_xlpm.MyAuditVal,_xlpm.MacVal&lt;&gt;"",_xlpm.MacVal,_xlpm.CSVVal&lt;&gt;"",_xlpm.CSVVal
)),"")</f>
        <v/>
      </c>
      <c r="I236" s="2" t="str">
        <f>_xlfn.XLOOKUP(A236,Output_Mac!A:A,Output_Mac!I:I,"")</f>
        <v/>
      </c>
      <c r="J236" s="2" t="str" cm="1">
        <f t="array" ref="J236">IFERROR(_xlfn.LET(
_xlpm.CSVVal,_xlfn.XLOOKUP($A236,CSV!$A:$A,CSV!I:I,""),
_xlpm.MacVal,_xlfn.XLOOKUP($A236,Output_Mac!$A:$A,Output_Mac!J:J,""),
_xlpm.MyAuditVal,_xlfn.XLOOKUP($A236,My_Audit!$A:$A,My_Audit!I:I,""),
_xlfn.IFS(_xlpm.MyAuditVal&lt;&gt;"",UPPER(_xlpm.MyAuditVal),_xlpm.MacVal&lt;&gt;"",_xlpm.MacVal,_xlpm.CSVVal&lt;&gt;"",_xlpm.CSVVal
)),"")</f>
        <v/>
      </c>
      <c r="K236" s="2" t="str" cm="1">
        <f t="array" ref="K236">IFERROR(_xlfn.LET(
_xlpm.CSVVal,_xlfn.XLOOKUP($A236,CSV!$A:$A,CSV!K:K,""),
_xlpm.MacVal,_xlfn.XLOOKUP($A236,Output_Mac!$A:$A,Output_Mac!K:K,""),
_xlpm.MyAuditVal,_xlfn.XLOOKUP($A236,My_Audit!$A:$A,My_Audit!J:J,""),
_xlfn.IFS(_xlpm.MyAuditVal&lt;&gt;"",UPPER(_xlpm.MyAuditVal),_xlpm.MacVal&lt;&gt;"",_xlpm.MacVal,_xlpm.CSVVal&lt;&gt;"",_xlpm.CSVVal
)),"")</f>
        <v/>
      </c>
      <c r="L236" s="2" t="str" cm="1">
        <f t="array" ref="L236">IFERROR(_xlfn.LET(
_xlpm.CSVVal,_xlfn.XLOOKUP($A236,CSV!$A:$A,CSV!P:P,""),
_xlpm.MacVal,_xlfn.XLOOKUP($A236,Output_Mac!$A:$A,Output_Mac!L:L,""),
_xlpm.MyAuditVal,_xlfn.XLOOKUP($A236,My_Audit!$A:$A,My_Audit!K:K,""),
_xlfn.IFS(_xlpm.MyAuditVal&lt;&gt;"",UPPER(_xlpm.MyAuditVal),_xlpm.MacVal&lt;&gt;"",_xlpm.MacVal,_xlpm.CSVVal&lt;&gt;"",_xlpm.CSVVal
)),"")</f>
        <v/>
      </c>
      <c r="M236" s="2" t="str" cm="1">
        <f t="array" ref="M236">IFERROR(_xlfn.LET(
_xlpm.CSVVal,_xlfn.XLOOKUP($A236,CSV!$A:$A,CSV!Q:Q,""),
_xlpm.MacVal,_xlfn.XLOOKUP($A236,Output_Mac!$A:$A,Output_Mac!M:M,""),
_xlpm.MyAuditVal,_xlfn.XLOOKUP($A236,My_Audit!$A:$A,My_Audit!L:L,""),
_xlfn.IFS(_xlpm.MyAuditVal&lt;&gt;"",UPPER(_xlpm.MyAuditVal),_xlpm.MacVal&lt;&gt;"",_xlpm.MacVal,_xlpm.CSVVal&lt;&gt;"",_xlpm.CSVVal
)),"")</f>
        <v/>
      </c>
      <c r="O236" s="2" t="str">
        <f>_xlfn.LET(
    _xlpm.CSVVal, _xlfn.XLOOKUP($A236, CSV!$A:$A, CSV!AF:AF, ""),
    _xlpm.MacVal, _xlfn.XLOOKUP($A236, Output_Mac!$A:$A, Output_Mac!S:S, ""),
    _xlpm.MyAuditVal, _xlfn.XLOOKUP($A236, My_Audit!$A:$A, My_Audit!P:P, ""),
    _xlfn.TEXTJOIN(", ", TRUE, _xlpm.MyAuditVal, _xlpm.MacVal, _xlpm.CSVVal)
)</f>
        <v/>
      </c>
      <c r="P236" s="2" t="str" cm="1">
        <f t="array" ref="P236">IFERROR(_xlfn.LET(
_xlpm.CSVVal,_xlfn.XLOOKUP($A236,CSV!$A:$A,CSV!AG:AG,""),
_xlpm.MacVal,_xlfn.XLOOKUP($A236,Output_Mac!$A:$A,Output_Mac!T:T,""),
_xlpm.MyAuditVal,_xlfn.XLOOKUP($A236,My_Audit!$A:$A,My_Audit!Q:Q,""),
_xlfn.IFS(_xlpm.MyAuditVal&lt;&gt;"",UPPER(_xlpm.MyAuditVal),_xlpm.MacVal&lt;&gt;"",_xlpm.MacVal,_xlpm.CSVVal&lt;&gt;"",_xlpm.CSVVal
)),"No")</f>
        <v>No</v>
      </c>
      <c r="Q236" s="2" t="str" cm="1">
        <f t="array" ref="Q236">IFERROR(_xlfn.LET(
_xlpm.CSVVal,_xlfn.XLOOKUP($A236,CSV!$A:$A,CSV!AH:AH,""),
_xlpm.MacVal,_xlfn.XLOOKUP($A236,Output_Mac!$A:$A,Output_Mac!U:U,""),
_xlpm.MyAuditVal,_xlfn.XLOOKUP($A236,My_Audit!$A:$A,My_Audit!R:R,""),
_xlfn.IFS(_xlpm.MyAuditVal&lt;&gt;"",UPPER(_xlpm.MyAuditVal),_xlpm.MacVal&lt;&gt;"",_xlpm.MacVal,_xlpm.CSVVal&lt;&gt;"",_xlpm.CSVVal
)),"")</f>
        <v/>
      </c>
    </row>
    <row r="237" spans="1:17">
      <c r="A237" s="2" t="str">
        <f>_xlfn.TEXTJOIN("",TRUE,Input!$B$2,ROW(My_Audit!A236))</f>
        <v>XX236</v>
      </c>
      <c r="B237" s="2" t="str">
        <f>_xlfn.TEXTJOIN("-",TRUE,"ITD",Input!$A$2,A237)</f>
        <v>ITD-SHRXXX-XX236</v>
      </c>
      <c r="C237" s="2" t="str" cm="1">
        <f t="array" ref="C237">IFERROR(_xlfn.LET(
_xlpm.CSVVal,_xlfn.XLOOKUP($A237,CSV!$A:$A,CSV!B:B,""),
_xlpm.MacVal,_xlfn.XLOOKUP($A237,Output_Mac!$A:$A,Output_Mac!B:B,""),
_xlpm.MyAuditVal,_xlfn.XLOOKUP($A237,My_Audit!$A:$A,My_Audit!B:B,""),
_xlfn.IFS(_xlpm.MyAuditVal&lt;&gt;"",UPPER(_xlpm.MyAuditVal),_xlpm.MacVal&lt;&gt;"",_xlpm.MacVal,_xlpm.CSVVal&lt;&gt;"",_xlpm.CSVVal
)),"")</f>
        <v/>
      </c>
      <c r="D237" s="2" t="str" cm="1">
        <f t="array" ref="D237">IFERROR(_xlfn.LET(
_xlpm.CSVVal,_xlfn.XLOOKUP($A237,CSV!$A:$A,CSV!D:D,""),
_xlpm.MacVal,_xlfn.XLOOKUP($A237,Output_Mac!$A:$A,Output_Mac!C:C,""),
_xlpm.MyAuditVal,_xlfn.XLOOKUP($A237,My_Audit!$A:$A,My_Audit!C:C,""),
_xlfn.IFS(_xlpm.MyAuditVal&lt;&gt;"",_xlpm.MyAuditVal,_xlpm.MacVal&lt;&gt;"",_xlpm.MacVal,_xlpm.CSVVal&lt;&gt;"",_xlpm.CSVVal
)),"")</f>
        <v/>
      </c>
      <c r="E237" s="2" t="str">
        <f>_xlfn.XLOOKUP(A237,My_Audit!A:A,My_Audit!D:D,"")&amp;""</f>
        <v/>
      </c>
      <c r="F237" s="2" t="str" cm="1">
        <f t="array" ref="F237">IFERROR(_xlfn.LET(
_xlpm.CSVVal,_xlfn.XLOOKUP($A237,CSV!$A:$A,CSV!F:F,""),
_xlpm.MacVal,_xlfn.XLOOKUP($A237,Output_Mac!$A:$A,Output_Mac!E:E,""),
_xlpm.MyAuditVal,_xlfn.XLOOKUP($A237,My_Audit!$A:$A,My_Audit!E:E,""),
_xlfn.IFS(_xlpm.MyAuditVal&lt;&gt;"",_xlpm.MyAuditVal,_xlpm.MacVal&lt;&gt;"",_xlpm.MacVal,_xlpm.CSVVal&lt;&gt;"",_xlpm.CSVVal
)),"")</f>
        <v/>
      </c>
      <c r="G237" s="2" t="str" cm="1">
        <f t="array" ref="G237">IFERROR(_xlfn.LET(
_xlpm.CSVVal,_xlfn.XLOOKUP($A237,CSV!$A:$A,CSV!G:G,""),
_xlpm.MacVal,_xlfn.XLOOKUP($A237,Output_Mac!$A:$A,Output_Mac!F:F,""),
_xlpm.MyAuditVal,_xlfn.XLOOKUP($A237,My_Audit!$A:$A,My_Audit!F:F,""),
_xlfn.IFS(_xlpm.MyAuditVal&lt;&gt;"",_xlpm.MyAuditVal,_xlpm.MacVal&lt;&gt;"",_xlpm.MacVal,_xlpm.CSVVal&lt;&gt;"",PROPER(_xlpm.CSVVal)
)),"")</f>
        <v/>
      </c>
      <c r="H237" s="2" t="str" cm="1">
        <f t="array" ref="H237">IFERROR(_xlfn.LET(
_xlpm.CSVVal,_xlfn.XLOOKUP($A237,CSV!$A:$A,CSV!H:H,""),
_xlpm.MacVal,_xlfn.XLOOKUP($A237,Output_Mac!$A:$A,Output_Mac!H:H,""),
_xlpm.MyAuditVal,_xlfn.XLOOKUP($A237,My_Audit!$A:$A,My_Audit!G:G,""),
_xlfn.IFS(_xlpm.MyAuditVal&lt;&gt;"",_xlpm.MyAuditVal,_xlpm.MacVal&lt;&gt;"",_xlpm.MacVal,_xlpm.CSVVal&lt;&gt;"",_xlpm.CSVVal
)),"")</f>
        <v/>
      </c>
      <c r="I237" s="2" t="str">
        <f>_xlfn.XLOOKUP(A237,Output_Mac!A:A,Output_Mac!I:I,"")</f>
        <v/>
      </c>
      <c r="J237" s="2" t="str" cm="1">
        <f t="array" ref="J237">IFERROR(_xlfn.LET(
_xlpm.CSVVal,_xlfn.XLOOKUP($A237,CSV!$A:$A,CSV!I:I,""),
_xlpm.MacVal,_xlfn.XLOOKUP($A237,Output_Mac!$A:$A,Output_Mac!J:J,""),
_xlpm.MyAuditVal,_xlfn.XLOOKUP($A237,My_Audit!$A:$A,My_Audit!I:I,""),
_xlfn.IFS(_xlpm.MyAuditVal&lt;&gt;"",UPPER(_xlpm.MyAuditVal),_xlpm.MacVal&lt;&gt;"",_xlpm.MacVal,_xlpm.CSVVal&lt;&gt;"",_xlpm.CSVVal
)),"")</f>
        <v/>
      </c>
      <c r="K237" s="2" t="str" cm="1">
        <f t="array" ref="K237">IFERROR(_xlfn.LET(
_xlpm.CSVVal,_xlfn.XLOOKUP($A237,CSV!$A:$A,CSV!K:K,""),
_xlpm.MacVal,_xlfn.XLOOKUP($A237,Output_Mac!$A:$A,Output_Mac!K:K,""),
_xlpm.MyAuditVal,_xlfn.XLOOKUP($A237,My_Audit!$A:$A,My_Audit!J:J,""),
_xlfn.IFS(_xlpm.MyAuditVal&lt;&gt;"",UPPER(_xlpm.MyAuditVal),_xlpm.MacVal&lt;&gt;"",_xlpm.MacVal,_xlpm.CSVVal&lt;&gt;"",_xlpm.CSVVal
)),"")</f>
        <v/>
      </c>
      <c r="L237" s="2" t="str" cm="1">
        <f t="array" ref="L237">IFERROR(_xlfn.LET(
_xlpm.CSVVal,_xlfn.XLOOKUP($A237,CSV!$A:$A,CSV!P:P,""),
_xlpm.MacVal,_xlfn.XLOOKUP($A237,Output_Mac!$A:$A,Output_Mac!L:L,""),
_xlpm.MyAuditVal,_xlfn.XLOOKUP($A237,My_Audit!$A:$A,My_Audit!K:K,""),
_xlfn.IFS(_xlpm.MyAuditVal&lt;&gt;"",UPPER(_xlpm.MyAuditVal),_xlpm.MacVal&lt;&gt;"",_xlpm.MacVal,_xlpm.CSVVal&lt;&gt;"",_xlpm.CSVVal
)),"")</f>
        <v/>
      </c>
      <c r="M237" s="2" t="str" cm="1">
        <f t="array" ref="M237">IFERROR(_xlfn.LET(
_xlpm.CSVVal,_xlfn.XLOOKUP($A237,CSV!$A:$A,CSV!Q:Q,""),
_xlpm.MacVal,_xlfn.XLOOKUP($A237,Output_Mac!$A:$A,Output_Mac!M:M,""),
_xlpm.MyAuditVal,_xlfn.XLOOKUP($A237,My_Audit!$A:$A,My_Audit!L:L,""),
_xlfn.IFS(_xlpm.MyAuditVal&lt;&gt;"",UPPER(_xlpm.MyAuditVal),_xlpm.MacVal&lt;&gt;"",_xlpm.MacVal,_xlpm.CSVVal&lt;&gt;"",_xlpm.CSVVal
)),"")</f>
        <v/>
      </c>
      <c r="O237" s="2" t="str">
        <f>_xlfn.LET(
    _xlpm.CSVVal, _xlfn.XLOOKUP($A237, CSV!$A:$A, CSV!AF:AF, ""),
    _xlpm.MacVal, _xlfn.XLOOKUP($A237, Output_Mac!$A:$A, Output_Mac!S:S, ""),
    _xlpm.MyAuditVal, _xlfn.XLOOKUP($A237, My_Audit!$A:$A, My_Audit!P:P, ""),
    _xlfn.TEXTJOIN(", ", TRUE, _xlpm.MyAuditVal, _xlpm.MacVal, _xlpm.CSVVal)
)</f>
        <v/>
      </c>
      <c r="P237" s="2" t="str" cm="1">
        <f t="array" ref="P237">IFERROR(_xlfn.LET(
_xlpm.CSVVal,_xlfn.XLOOKUP($A237,CSV!$A:$A,CSV!AG:AG,""),
_xlpm.MacVal,_xlfn.XLOOKUP($A237,Output_Mac!$A:$A,Output_Mac!T:T,""),
_xlpm.MyAuditVal,_xlfn.XLOOKUP($A237,My_Audit!$A:$A,My_Audit!Q:Q,""),
_xlfn.IFS(_xlpm.MyAuditVal&lt;&gt;"",UPPER(_xlpm.MyAuditVal),_xlpm.MacVal&lt;&gt;"",_xlpm.MacVal,_xlpm.CSVVal&lt;&gt;"",_xlpm.CSVVal
)),"No")</f>
        <v>No</v>
      </c>
      <c r="Q237" s="2" t="str" cm="1">
        <f t="array" ref="Q237">IFERROR(_xlfn.LET(
_xlpm.CSVVal,_xlfn.XLOOKUP($A237,CSV!$A:$A,CSV!AH:AH,""),
_xlpm.MacVal,_xlfn.XLOOKUP($A237,Output_Mac!$A:$A,Output_Mac!U:U,""),
_xlpm.MyAuditVal,_xlfn.XLOOKUP($A237,My_Audit!$A:$A,My_Audit!R:R,""),
_xlfn.IFS(_xlpm.MyAuditVal&lt;&gt;"",UPPER(_xlpm.MyAuditVal),_xlpm.MacVal&lt;&gt;"",_xlpm.MacVal,_xlpm.CSVVal&lt;&gt;"",_xlpm.CSVVal
)),"")</f>
        <v/>
      </c>
    </row>
    <row r="238" spans="1:17">
      <c r="A238" s="2" t="str">
        <f>_xlfn.TEXTJOIN("",TRUE,Input!$B$2,ROW(My_Audit!A237))</f>
        <v>XX237</v>
      </c>
      <c r="B238" s="2" t="str">
        <f>_xlfn.TEXTJOIN("-",TRUE,"ITD",Input!$A$2,A238)</f>
        <v>ITD-SHRXXX-XX237</v>
      </c>
      <c r="C238" s="2" t="str" cm="1">
        <f t="array" ref="C238">IFERROR(_xlfn.LET(
_xlpm.CSVVal,_xlfn.XLOOKUP($A238,CSV!$A:$A,CSV!B:B,""),
_xlpm.MacVal,_xlfn.XLOOKUP($A238,Output_Mac!$A:$A,Output_Mac!B:B,""),
_xlpm.MyAuditVal,_xlfn.XLOOKUP($A238,My_Audit!$A:$A,My_Audit!B:B,""),
_xlfn.IFS(_xlpm.MyAuditVal&lt;&gt;"",UPPER(_xlpm.MyAuditVal),_xlpm.MacVal&lt;&gt;"",_xlpm.MacVal,_xlpm.CSVVal&lt;&gt;"",_xlpm.CSVVal
)),"")</f>
        <v/>
      </c>
      <c r="D238" s="2" t="str" cm="1">
        <f t="array" ref="D238">IFERROR(_xlfn.LET(
_xlpm.CSVVal,_xlfn.XLOOKUP($A238,CSV!$A:$A,CSV!D:D,""),
_xlpm.MacVal,_xlfn.XLOOKUP($A238,Output_Mac!$A:$A,Output_Mac!C:C,""),
_xlpm.MyAuditVal,_xlfn.XLOOKUP($A238,My_Audit!$A:$A,My_Audit!C:C,""),
_xlfn.IFS(_xlpm.MyAuditVal&lt;&gt;"",_xlpm.MyAuditVal,_xlpm.MacVal&lt;&gt;"",_xlpm.MacVal,_xlpm.CSVVal&lt;&gt;"",_xlpm.CSVVal
)),"")</f>
        <v/>
      </c>
      <c r="E238" s="2" t="str">
        <f>_xlfn.XLOOKUP(A238,My_Audit!A:A,My_Audit!D:D,"")&amp;""</f>
        <v/>
      </c>
      <c r="F238" s="2" t="str" cm="1">
        <f t="array" ref="F238">IFERROR(_xlfn.LET(
_xlpm.CSVVal,_xlfn.XLOOKUP($A238,CSV!$A:$A,CSV!F:F,""),
_xlpm.MacVal,_xlfn.XLOOKUP($A238,Output_Mac!$A:$A,Output_Mac!E:E,""),
_xlpm.MyAuditVal,_xlfn.XLOOKUP($A238,My_Audit!$A:$A,My_Audit!E:E,""),
_xlfn.IFS(_xlpm.MyAuditVal&lt;&gt;"",_xlpm.MyAuditVal,_xlpm.MacVal&lt;&gt;"",_xlpm.MacVal,_xlpm.CSVVal&lt;&gt;"",_xlpm.CSVVal
)),"")</f>
        <v/>
      </c>
      <c r="G238" s="2" t="str" cm="1">
        <f t="array" ref="G238">IFERROR(_xlfn.LET(
_xlpm.CSVVal,_xlfn.XLOOKUP($A238,CSV!$A:$A,CSV!G:G,""),
_xlpm.MacVal,_xlfn.XLOOKUP($A238,Output_Mac!$A:$A,Output_Mac!F:F,""),
_xlpm.MyAuditVal,_xlfn.XLOOKUP($A238,My_Audit!$A:$A,My_Audit!F:F,""),
_xlfn.IFS(_xlpm.MyAuditVal&lt;&gt;"",_xlpm.MyAuditVal,_xlpm.MacVal&lt;&gt;"",_xlpm.MacVal,_xlpm.CSVVal&lt;&gt;"",PROPER(_xlpm.CSVVal)
)),"")</f>
        <v/>
      </c>
      <c r="H238" s="2" t="str" cm="1">
        <f t="array" ref="H238">IFERROR(_xlfn.LET(
_xlpm.CSVVal,_xlfn.XLOOKUP($A238,CSV!$A:$A,CSV!H:H,""),
_xlpm.MacVal,_xlfn.XLOOKUP($A238,Output_Mac!$A:$A,Output_Mac!H:H,""),
_xlpm.MyAuditVal,_xlfn.XLOOKUP($A238,My_Audit!$A:$A,My_Audit!G:G,""),
_xlfn.IFS(_xlpm.MyAuditVal&lt;&gt;"",_xlpm.MyAuditVal,_xlpm.MacVal&lt;&gt;"",_xlpm.MacVal,_xlpm.CSVVal&lt;&gt;"",_xlpm.CSVVal
)),"")</f>
        <v/>
      </c>
      <c r="I238" s="2" t="str">
        <f>_xlfn.XLOOKUP(A238,Output_Mac!A:A,Output_Mac!I:I,"")</f>
        <v/>
      </c>
      <c r="J238" s="2" t="str" cm="1">
        <f t="array" ref="J238">IFERROR(_xlfn.LET(
_xlpm.CSVVal,_xlfn.XLOOKUP($A238,CSV!$A:$A,CSV!I:I,""),
_xlpm.MacVal,_xlfn.XLOOKUP($A238,Output_Mac!$A:$A,Output_Mac!J:J,""),
_xlpm.MyAuditVal,_xlfn.XLOOKUP($A238,My_Audit!$A:$A,My_Audit!I:I,""),
_xlfn.IFS(_xlpm.MyAuditVal&lt;&gt;"",UPPER(_xlpm.MyAuditVal),_xlpm.MacVal&lt;&gt;"",_xlpm.MacVal,_xlpm.CSVVal&lt;&gt;"",_xlpm.CSVVal
)),"")</f>
        <v/>
      </c>
      <c r="K238" s="2" t="str" cm="1">
        <f t="array" ref="K238">IFERROR(_xlfn.LET(
_xlpm.CSVVal,_xlfn.XLOOKUP($A238,CSV!$A:$A,CSV!K:K,""),
_xlpm.MacVal,_xlfn.XLOOKUP($A238,Output_Mac!$A:$A,Output_Mac!K:K,""),
_xlpm.MyAuditVal,_xlfn.XLOOKUP($A238,My_Audit!$A:$A,My_Audit!J:J,""),
_xlfn.IFS(_xlpm.MyAuditVal&lt;&gt;"",UPPER(_xlpm.MyAuditVal),_xlpm.MacVal&lt;&gt;"",_xlpm.MacVal,_xlpm.CSVVal&lt;&gt;"",_xlpm.CSVVal
)),"")</f>
        <v/>
      </c>
      <c r="L238" s="2" t="str" cm="1">
        <f t="array" ref="L238">IFERROR(_xlfn.LET(
_xlpm.CSVVal,_xlfn.XLOOKUP($A238,CSV!$A:$A,CSV!P:P,""),
_xlpm.MacVal,_xlfn.XLOOKUP($A238,Output_Mac!$A:$A,Output_Mac!L:L,""),
_xlpm.MyAuditVal,_xlfn.XLOOKUP($A238,My_Audit!$A:$A,My_Audit!K:K,""),
_xlfn.IFS(_xlpm.MyAuditVal&lt;&gt;"",UPPER(_xlpm.MyAuditVal),_xlpm.MacVal&lt;&gt;"",_xlpm.MacVal,_xlpm.CSVVal&lt;&gt;"",_xlpm.CSVVal
)),"")</f>
        <v/>
      </c>
      <c r="M238" s="2" t="str" cm="1">
        <f t="array" ref="M238">IFERROR(_xlfn.LET(
_xlpm.CSVVal,_xlfn.XLOOKUP($A238,CSV!$A:$A,CSV!Q:Q,""),
_xlpm.MacVal,_xlfn.XLOOKUP($A238,Output_Mac!$A:$A,Output_Mac!M:M,""),
_xlpm.MyAuditVal,_xlfn.XLOOKUP($A238,My_Audit!$A:$A,My_Audit!L:L,""),
_xlfn.IFS(_xlpm.MyAuditVal&lt;&gt;"",UPPER(_xlpm.MyAuditVal),_xlpm.MacVal&lt;&gt;"",_xlpm.MacVal,_xlpm.CSVVal&lt;&gt;"",_xlpm.CSVVal
)),"")</f>
        <v/>
      </c>
      <c r="O238" s="2" t="str">
        <f>_xlfn.LET(
    _xlpm.CSVVal, _xlfn.XLOOKUP($A238, CSV!$A:$A, CSV!AF:AF, ""),
    _xlpm.MacVal, _xlfn.XLOOKUP($A238, Output_Mac!$A:$A, Output_Mac!S:S, ""),
    _xlpm.MyAuditVal, _xlfn.XLOOKUP($A238, My_Audit!$A:$A, My_Audit!P:P, ""),
    _xlfn.TEXTJOIN(", ", TRUE, _xlpm.MyAuditVal, _xlpm.MacVal, _xlpm.CSVVal)
)</f>
        <v/>
      </c>
      <c r="P238" s="2" t="str" cm="1">
        <f t="array" ref="P238">IFERROR(_xlfn.LET(
_xlpm.CSVVal,_xlfn.XLOOKUP($A238,CSV!$A:$A,CSV!AG:AG,""),
_xlpm.MacVal,_xlfn.XLOOKUP($A238,Output_Mac!$A:$A,Output_Mac!T:T,""),
_xlpm.MyAuditVal,_xlfn.XLOOKUP($A238,My_Audit!$A:$A,My_Audit!Q:Q,""),
_xlfn.IFS(_xlpm.MyAuditVal&lt;&gt;"",UPPER(_xlpm.MyAuditVal),_xlpm.MacVal&lt;&gt;"",_xlpm.MacVal,_xlpm.CSVVal&lt;&gt;"",_xlpm.CSVVal
)),"No")</f>
        <v>No</v>
      </c>
      <c r="Q238" s="2" t="str" cm="1">
        <f t="array" ref="Q238">IFERROR(_xlfn.LET(
_xlpm.CSVVal,_xlfn.XLOOKUP($A238,CSV!$A:$A,CSV!AH:AH,""),
_xlpm.MacVal,_xlfn.XLOOKUP($A238,Output_Mac!$A:$A,Output_Mac!U:U,""),
_xlpm.MyAuditVal,_xlfn.XLOOKUP($A238,My_Audit!$A:$A,My_Audit!R:R,""),
_xlfn.IFS(_xlpm.MyAuditVal&lt;&gt;"",UPPER(_xlpm.MyAuditVal),_xlpm.MacVal&lt;&gt;"",_xlpm.MacVal,_xlpm.CSVVal&lt;&gt;"",_xlpm.CSVVal
)),"")</f>
        <v/>
      </c>
    </row>
    <row r="239" spans="1:17">
      <c r="A239" s="2" t="str">
        <f>_xlfn.TEXTJOIN("",TRUE,Input!$B$2,ROW(My_Audit!A238))</f>
        <v>XX238</v>
      </c>
      <c r="B239" s="2" t="str">
        <f>_xlfn.TEXTJOIN("-",TRUE,"ITD",Input!$A$2,A239)</f>
        <v>ITD-SHRXXX-XX238</v>
      </c>
      <c r="C239" s="2" t="str" cm="1">
        <f t="array" ref="C239">IFERROR(_xlfn.LET(
_xlpm.CSVVal,_xlfn.XLOOKUP($A239,CSV!$A:$A,CSV!B:B,""),
_xlpm.MacVal,_xlfn.XLOOKUP($A239,Output_Mac!$A:$A,Output_Mac!B:B,""),
_xlpm.MyAuditVal,_xlfn.XLOOKUP($A239,My_Audit!$A:$A,My_Audit!B:B,""),
_xlfn.IFS(_xlpm.MyAuditVal&lt;&gt;"",UPPER(_xlpm.MyAuditVal),_xlpm.MacVal&lt;&gt;"",_xlpm.MacVal,_xlpm.CSVVal&lt;&gt;"",_xlpm.CSVVal
)),"")</f>
        <v/>
      </c>
      <c r="D239" s="2" t="str" cm="1">
        <f t="array" ref="D239">IFERROR(_xlfn.LET(
_xlpm.CSVVal,_xlfn.XLOOKUP($A239,CSV!$A:$A,CSV!D:D,""),
_xlpm.MacVal,_xlfn.XLOOKUP($A239,Output_Mac!$A:$A,Output_Mac!C:C,""),
_xlpm.MyAuditVal,_xlfn.XLOOKUP($A239,My_Audit!$A:$A,My_Audit!C:C,""),
_xlfn.IFS(_xlpm.MyAuditVal&lt;&gt;"",_xlpm.MyAuditVal,_xlpm.MacVal&lt;&gt;"",_xlpm.MacVal,_xlpm.CSVVal&lt;&gt;"",_xlpm.CSVVal
)),"")</f>
        <v/>
      </c>
      <c r="E239" s="2" t="str">
        <f>_xlfn.XLOOKUP(A239,My_Audit!A:A,My_Audit!D:D,"")&amp;""</f>
        <v/>
      </c>
      <c r="F239" s="2" t="str" cm="1">
        <f t="array" ref="F239">IFERROR(_xlfn.LET(
_xlpm.CSVVal,_xlfn.XLOOKUP($A239,CSV!$A:$A,CSV!F:F,""),
_xlpm.MacVal,_xlfn.XLOOKUP($A239,Output_Mac!$A:$A,Output_Mac!E:E,""),
_xlpm.MyAuditVal,_xlfn.XLOOKUP($A239,My_Audit!$A:$A,My_Audit!E:E,""),
_xlfn.IFS(_xlpm.MyAuditVal&lt;&gt;"",_xlpm.MyAuditVal,_xlpm.MacVal&lt;&gt;"",_xlpm.MacVal,_xlpm.CSVVal&lt;&gt;"",_xlpm.CSVVal
)),"")</f>
        <v/>
      </c>
      <c r="G239" s="2" t="str" cm="1">
        <f t="array" ref="G239">IFERROR(_xlfn.LET(
_xlpm.CSVVal,_xlfn.XLOOKUP($A239,CSV!$A:$A,CSV!G:G,""),
_xlpm.MacVal,_xlfn.XLOOKUP($A239,Output_Mac!$A:$A,Output_Mac!F:F,""),
_xlpm.MyAuditVal,_xlfn.XLOOKUP($A239,My_Audit!$A:$A,My_Audit!F:F,""),
_xlfn.IFS(_xlpm.MyAuditVal&lt;&gt;"",_xlpm.MyAuditVal,_xlpm.MacVal&lt;&gt;"",_xlpm.MacVal,_xlpm.CSVVal&lt;&gt;"",PROPER(_xlpm.CSVVal)
)),"")</f>
        <v/>
      </c>
      <c r="H239" s="2" t="str" cm="1">
        <f t="array" ref="H239">IFERROR(_xlfn.LET(
_xlpm.CSVVal,_xlfn.XLOOKUP($A239,CSV!$A:$A,CSV!H:H,""),
_xlpm.MacVal,_xlfn.XLOOKUP($A239,Output_Mac!$A:$A,Output_Mac!H:H,""),
_xlpm.MyAuditVal,_xlfn.XLOOKUP($A239,My_Audit!$A:$A,My_Audit!G:G,""),
_xlfn.IFS(_xlpm.MyAuditVal&lt;&gt;"",_xlpm.MyAuditVal,_xlpm.MacVal&lt;&gt;"",_xlpm.MacVal,_xlpm.CSVVal&lt;&gt;"",_xlpm.CSVVal
)),"")</f>
        <v/>
      </c>
      <c r="I239" s="2" t="str">
        <f>_xlfn.XLOOKUP(A239,Output_Mac!A:A,Output_Mac!I:I,"")</f>
        <v/>
      </c>
      <c r="J239" s="2" t="str" cm="1">
        <f t="array" ref="J239">IFERROR(_xlfn.LET(
_xlpm.CSVVal,_xlfn.XLOOKUP($A239,CSV!$A:$A,CSV!I:I,""),
_xlpm.MacVal,_xlfn.XLOOKUP($A239,Output_Mac!$A:$A,Output_Mac!J:J,""),
_xlpm.MyAuditVal,_xlfn.XLOOKUP($A239,My_Audit!$A:$A,My_Audit!I:I,""),
_xlfn.IFS(_xlpm.MyAuditVal&lt;&gt;"",UPPER(_xlpm.MyAuditVal),_xlpm.MacVal&lt;&gt;"",_xlpm.MacVal,_xlpm.CSVVal&lt;&gt;"",_xlpm.CSVVal
)),"")</f>
        <v/>
      </c>
      <c r="K239" s="2" t="str" cm="1">
        <f t="array" ref="K239">IFERROR(_xlfn.LET(
_xlpm.CSVVal,_xlfn.XLOOKUP($A239,CSV!$A:$A,CSV!K:K,""),
_xlpm.MacVal,_xlfn.XLOOKUP($A239,Output_Mac!$A:$A,Output_Mac!K:K,""),
_xlpm.MyAuditVal,_xlfn.XLOOKUP($A239,My_Audit!$A:$A,My_Audit!J:J,""),
_xlfn.IFS(_xlpm.MyAuditVal&lt;&gt;"",UPPER(_xlpm.MyAuditVal),_xlpm.MacVal&lt;&gt;"",_xlpm.MacVal,_xlpm.CSVVal&lt;&gt;"",_xlpm.CSVVal
)),"")</f>
        <v/>
      </c>
      <c r="L239" s="2" t="str" cm="1">
        <f t="array" ref="L239">IFERROR(_xlfn.LET(
_xlpm.CSVVal,_xlfn.XLOOKUP($A239,CSV!$A:$A,CSV!P:P,""),
_xlpm.MacVal,_xlfn.XLOOKUP($A239,Output_Mac!$A:$A,Output_Mac!L:L,""),
_xlpm.MyAuditVal,_xlfn.XLOOKUP($A239,My_Audit!$A:$A,My_Audit!K:K,""),
_xlfn.IFS(_xlpm.MyAuditVal&lt;&gt;"",UPPER(_xlpm.MyAuditVal),_xlpm.MacVal&lt;&gt;"",_xlpm.MacVal,_xlpm.CSVVal&lt;&gt;"",_xlpm.CSVVal
)),"")</f>
        <v/>
      </c>
      <c r="M239" s="2" t="str" cm="1">
        <f t="array" ref="M239">IFERROR(_xlfn.LET(
_xlpm.CSVVal,_xlfn.XLOOKUP($A239,CSV!$A:$A,CSV!Q:Q,""),
_xlpm.MacVal,_xlfn.XLOOKUP($A239,Output_Mac!$A:$A,Output_Mac!M:M,""),
_xlpm.MyAuditVal,_xlfn.XLOOKUP($A239,My_Audit!$A:$A,My_Audit!L:L,""),
_xlfn.IFS(_xlpm.MyAuditVal&lt;&gt;"",UPPER(_xlpm.MyAuditVal),_xlpm.MacVal&lt;&gt;"",_xlpm.MacVal,_xlpm.CSVVal&lt;&gt;"",_xlpm.CSVVal
)),"")</f>
        <v/>
      </c>
      <c r="O239" s="2" t="str">
        <f>_xlfn.LET(
    _xlpm.CSVVal, _xlfn.XLOOKUP($A239, CSV!$A:$A, CSV!AF:AF, ""),
    _xlpm.MacVal, _xlfn.XLOOKUP($A239, Output_Mac!$A:$A, Output_Mac!S:S, ""),
    _xlpm.MyAuditVal, _xlfn.XLOOKUP($A239, My_Audit!$A:$A, My_Audit!P:P, ""),
    _xlfn.TEXTJOIN(", ", TRUE, _xlpm.MyAuditVal, _xlpm.MacVal, _xlpm.CSVVal)
)</f>
        <v/>
      </c>
      <c r="P239" s="2" t="str" cm="1">
        <f t="array" ref="P239">IFERROR(_xlfn.LET(
_xlpm.CSVVal,_xlfn.XLOOKUP($A239,CSV!$A:$A,CSV!AG:AG,""),
_xlpm.MacVal,_xlfn.XLOOKUP($A239,Output_Mac!$A:$A,Output_Mac!T:T,""),
_xlpm.MyAuditVal,_xlfn.XLOOKUP($A239,My_Audit!$A:$A,My_Audit!Q:Q,""),
_xlfn.IFS(_xlpm.MyAuditVal&lt;&gt;"",UPPER(_xlpm.MyAuditVal),_xlpm.MacVal&lt;&gt;"",_xlpm.MacVal,_xlpm.CSVVal&lt;&gt;"",_xlpm.CSVVal
)),"No")</f>
        <v>No</v>
      </c>
      <c r="Q239" s="2" t="str" cm="1">
        <f t="array" ref="Q239">IFERROR(_xlfn.LET(
_xlpm.CSVVal,_xlfn.XLOOKUP($A239,CSV!$A:$A,CSV!AH:AH,""),
_xlpm.MacVal,_xlfn.XLOOKUP($A239,Output_Mac!$A:$A,Output_Mac!U:U,""),
_xlpm.MyAuditVal,_xlfn.XLOOKUP($A239,My_Audit!$A:$A,My_Audit!R:R,""),
_xlfn.IFS(_xlpm.MyAuditVal&lt;&gt;"",UPPER(_xlpm.MyAuditVal),_xlpm.MacVal&lt;&gt;"",_xlpm.MacVal,_xlpm.CSVVal&lt;&gt;"",_xlpm.CSVVal
)),"")</f>
        <v/>
      </c>
    </row>
    <row r="240" spans="1:17">
      <c r="A240" s="2" t="str">
        <f>_xlfn.TEXTJOIN("",TRUE,Input!$B$2,ROW(My_Audit!A239))</f>
        <v>XX239</v>
      </c>
      <c r="B240" s="2" t="str">
        <f>_xlfn.TEXTJOIN("-",TRUE,"ITD",Input!$A$2,A240)</f>
        <v>ITD-SHRXXX-XX239</v>
      </c>
      <c r="C240" s="2" t="str" cm="1">
        <f t="array" ref="C240">IFERROR(_xlfn.LET(
_xlpm.CSVVal,_xlfn.XLOOKUP($A240,CSV!$A:$A,CSV!B:B,""),
_xlpm.MacVal,_xlfn.XLOOKUP($A240,Output_Mac!$A:$A,Output_Mac!B:B,""),
_xlpm.MyAuditVal,_xlfn.XLOOKUP($A240,My_Audit!$A:$A,My_Audit!B:B,""),
_xlfn.IFS(_xlpm.MyAuditVal&lt;&gt;"",UPPER(_xlpm.MyAuditVal),_xlpm.MacVal&lt;&gt;"",_xlpm.MacVal,_xlpm.CSVVal&lt;&gt;"",_xlpm.CSVVal
)),"")</f>
        <v/>
      </c>
      <c r="D240" s="2" t="str" cm="1">
        <f t="array" ref="D240">IFERROR(_xlfn.LET(
_xlpm.CSVVal,_xlfn.XLOOKUP($A240,CSV!$A:$A,CSV!D:D,""),
_xlpm.MacVal,_xlfn.XLOOKUP($A240,Output_Mac!$A:$A,Output_Mac!C:C,""),
_xlpm.MyAuditVal,_xlfn.XLOOKUP($A240,My_Audit!$A:$A,My_Audit!C:C,""),
_xlfn.IFS(_xlpm.MyAuditVal&lt;&gt;"",_xlpm.MyAuditVal,_xlpm.MacVal&lt;&gt;"",_xlpm.MacVal,_xlpm.CSVVal&lt;&gt;"",_xlpm.CSVVal
)),"")</f>
        <v/>
      </c>
      <c r="E240" s="2" t="str">
        <f>_xlfn.XLOOKUP(A240,My_Audit!A:A,My_Audit!D:D,"")&amp;""</f>
        <v/>
      </c>
      <c r="F240" s="2" t="str" cm="1">
        <f t="array" ref="F240">IFERROR(_xlfn.LET(
_xlpm.CSVVal,_xlfn.XLOOKUP($A240,CSV!$A:$A,CSV!F:F,""),
_xlpm.MacVal,_xlfn.XLOOKUP($A240,Output_Mac!$A:$A,Output_Mac!E:E,""),
_xlpm.MyAuditVal,_xlfn.XLOOKUP($A240,My_Audit!$A:$A,My_Audit!E:E,""),
_xlfn.IFS(_xlpm.MyAuditVal&lt;&gt;"",_xlpm.MyAuditVal,_xlpm.MacVal&lt;&gt;"",_xlpm.MacVal,_xlpm.CSVVal&lt;&gt;"",_xlpm.CSVVal
)),"")</f>
        <v/>
      </c>
      <c r="G240" s="2" t="str" cm="1">
        <f t="array" ref="G240">IFERROR(_xlfn.LET(
_xlpm.CSVVal,_xlfn.XLOOKUP($A240,CSV!$A:$A,CSV!G:G,""),
_xlpm.MacVal,_xlfn.XLOOKUP($A240,Output_Mac!$A:$A,Output_Mac!F:F,""),
_xlpm.MyAuditVal,_xlfn.XLOOKUP($A240,My_Audit!$A:$A,My_Audit!F:F,""),
_xlfn.IFS(_xlpm.MyAuditVal&lt;&gt;"",_xlpm.MyAuditVal,_xlpm.MacVal&lt;&gt;"",_xlpm.MacVal,_xlpm.CSVVal&lt;&gt;"",PROPER(_xlpm.CSVVal)
)),"")</f>
        <v/>
      </c>
      <c r="H240" s="2" t="str" cm="1">
        <f t="array" ref="H240">IFERROR(_xlfn.LET(
_xlpm.CSVVal,_xlfn.XLOOKUP($A240,CSV!$A:$A,CSV!H:H,""),
_xlpm.MacVal,_xlfn.XLOOKUP($A240,Output_Mac!$A:$A,Output_Mac!H:H,""),
_xlpm.MyAuditVal,_xlfn.XLOOKUP($A240,My_Audit!$A:$A,My_Audit!G:G,""),
_xlfn.IFS(_xlpm.MyAuditVal&lt;&gt;"",_xlpm.MyAuditVal,_xlpm.MacVal&lt;&gt;"",_xlpm.MacVal,_xlpm.CSVVal&lt;&gt;"",_xlpm.CSVVal
)),"")</f>
        <v/>
      </c>
      <c r="I240" s="2" t="str">
        <f>_xlfn.XLOOKUP(A240,Output_Mac!A:A,Output_Mac!I:I,"")</f>
        <v/>
      </c>
      <c r="J240" s="2" t="str" cm="1">
        <f t="array" ref="J240">IFERROR(_xlfn.LET(
_xlpm.CSVVal,_xlfn.XLOOKUP($A240,CSV!$A:$A,CSV!I:I,""),
_xlpm.MacVal,_xlfn.XLOOKUP($A240,Output_Mac!$A:$A,Output_Mac!J:J,""),
_xlpm.MyAuditVal,_xlfn.XLOOKUP($A240,My_Audit!$A:$A,My_Audit!I:I,""),
_xlfn.IFS(_xlpm.MyAuditVal&lt;&gt;"",UPPER(_xlpm.MyAuditVal),_xlpm.MacVal&lt;&gt;"",_xlpm.MacVal,_xlpm.CSVVal&lt;&gt;"",_xlpm.CSVVal
)),"")</f>
        <v/>
      </c>
      <c r="K240" s="2" t="str" cm="1">
        <f t="array" ref="K240">IFERROR(_xlfn.LET(
_xlpm.CSVVal,_xlfn.XLOOKUP($A240,CSV!$A:$A,CSV!K:K,""),
_xlpm.MacVal,_xlfn.XLOOKUP($A240,Output_Mac!$A:$A,Output_Mac!K:K,""),
_xlpm.MyAuditVal,_xlfn.XLOOKUP($A240,My_Audit!$A:$A,My_Audit!J:J,""),
_xlfn.IFS(_xlpm.MyAuditVal&lt;&gt;"",UPPER(_xlpm.MyAuditVal),_xlpm.MacVal&lt;&gt;"",_xlpm.MacVal,_xlpm.CSVVal&lt;&gt;"",_xlpm.CSVVal
)),"")</f>
        <v/>
      </c>
      <c r="L240" s="2" t="str" cm="1">
        <f t="array" ref="L240">IFERROR(_xlfn.LET(
_xlpm.CSVVal,_xlfn.XLOOKUP($A240,CSV!$A:$A,CSV!P:P,""),
_xlpm.MacVal,_xlfn.XLOOKUP($A240,Output_Mac!$A:$A,Output_Mac!L:L,""),
_xlpm.MyAuditVal,_xlfn.XLOOKUP($A240,My_Audit!$A:$A,My_Audit!K:K,""),
_xlfn.IFS(_xlpm.MyAuditVal&lt;&gt;"",UPPER(_xlpm.MyAuditVal),_xlpm.MacVal&lt;&gt;"",_xlpm.MacVal,_xlpm.CSVVal&lt;&gt;"",_xlpm.CSVVal
)),"")</f>
        <v/>
      </c>
      <c r="M240" s="2" t="str" cm="1">
        <f t="array" ref="M240">IFERROR(_xlfn.LET(
_xlpm.CSVVal,_xlfn.XLOOKUP($A240,CSV!$A:$A,CSV!Q:Q,""),
_xlpm.MacVal,_xlfn.XLOOKUP($A240,Output_Mac!$A:$A,Output_Mac!M:M,""),
_xlpm.MyAuditVal,_xlfn.XLOOKUP($A240,My_Audit!$A:$A,My_Audit!L:L,""),
_xlfn.IFS(_xlpm.MyAuditVal&lt;&gt;"",UPPER(_xlpm.MyAuditVal),_xlpm.MacVal&lt;&gt;"",_xlpm.MacVal,_xlpm.CSVVal&lt;&gt;"",_xlpm.CSVVal
)),"")</f>
        <v/>
      </c>
      <c r="O240" s="2" t="str">
        <f>_xlfn.LET(
    _xlpm.CSVVal, _xlfn.XLOOKUP($A240, CSV!$A:$A, CSV!AF:AF, ""),
    _xlpm.MacVal, _xlfn.XLOOKUP($A240, Output_Mac!$A:$A, Output_Mac!S:S, ""),
    _xlpm.MyAuditVal, _xlfn.XLOOKUP($A240, My_Audit!$A:$A, My_Audit!P:P, ""),
    _xlfn.TEXTJOIN(", ", TRUE, _xlpm.MyAuditVal, _xlpm.MacVal, _xlpm.CSVVal)
)</f>
        <v/>
      </c>
      <c r="P240" s="2" t="str" cm="1">
        <f t="array" ref="P240">IFERROR(_xlfn.LET(
_xlpm.CSVVal,_xlfn.XLOOKUP($A240,CSV!$A:$A,CSV!AG:AG,""),
_xlpm.MacVal,_xlfn.XLOOKUP($A240,Output_Mac!$A:$A,Output_Mac!T:T,""),
_xlpm.MyAuditVal,_xlfn.XLOOKUP($A240,My_Audit!$A:$A,My_Audit!Q:Q,""),
_xlfn.IFS(_xlpm.MyAuditVal&lt;&gt;"",UPPER(_xlpm.MyAuditVal),_xlpm.MacVal&lt;&gt;"",_xlpm.MacVal,_xlpm.CSVVal&lt;&gt;"",_xlpm.CSVVal
)),"No")</f>
        <v>No</v>
      </c>
      <c r="Q240" s="2" t="str" cm="1">
        <f t="array" ref="Q240">IFERROR(_xlfn.LET(
_xlpm.CSVVal,_xlfn.XLOOKUP($A240,CSV!$A:$A,CSV!AH:AH,""),
_xlpm.MacVal,_xlfn.XLOOKUP($A240,Output_Mac!$A:$A,Output_Mac!U:U,""),
_xlpm.MyAuditVal,_xlfn.XLOOKUP($A240,My_Audit!$A:$A,My_Audit!R:R,""),
_xlfn.IFS(_xlpm.MyAuditVal&lt;&gt;"",UPPER(_xlpm.MyAuditVal),_xlpm.MacVal&lt;&gt;"",_xlpm.MacVal,_xlpm.CSVVal&lt;&gt;"",_xlpm.CSVVal
)),"")</f>
        <v/>
      </c>
    </row>
    <row r="241" spans="1:17">
      <c r="A241" s="2" t="str">
        <f>_xlfn.TEXTJOIN("",TRUE,Input!$B$2,ROW(My_Audit!A240))</f>
        <v>XX240</v>
      </c>
      <c r="B241" s="2" t="str">
        <f>_xlfn.TEXTJOIN("-",TRUE,"ITD",Input!$A$2,A241)</f>
        <v>ITD-SHRXXX-XX240</v>
      </c>
      <c r="C241" s="2" t="str" cm="1">
        <f t="array" ref="C241">IFERROR(_xlfn.LET(
_xlpm.CSVVal,_xlfn.XLOOKUP($A241,CSV!$A:$A,CSV!B:B,""),
_xlpm.MacVal,_xlfn.XLOOKUP($A241,Output_Mac!$A:$A,Output_Mac!B:B,""),
_xlpm.MyAuditVal,_xlfn.XLOOKUP($A241,My_Audit!$A:$A,My_Audit!B:B,""),
_xlfn.IFS(_xlpm.MyAuditVal&lt;&gt;"",UPPER(_xlpm.MyAuditVal),_xlpm.MacVal&lt;&gt;"",_xlpm.MacVal,_xlpm.CSVVal&lt;&gt;"",_xlpm.CSVVal
)),"")</f>
        <v/>
      </c>
      <c r="D241" s="2" t="str" cm="1">
        <f t="array" ref="D241">IFERROR(_xlfn.LET(
_xlpm.CSVVal,_xlfn.XLOOKUP($A241,CSV!$A:$A,CSV!D:D,""),
_xlpm.MacVal,_xlfn.XLOOKUP($A241,Output_Mac!$A:$A,Output_Mac!C:C,""),
_xlpm.MyAuditVal,_xlfn.XLOOKUP($A241,My_Audit!$A:$A,My_Audit!C:C,""),
_xlfn.IFS(_xlpm.MyAuditVal&lt;&gt;"",_xlpm.MyAuditVal,_xlpm.MacVal&lt;&gt;"",_xlpm.MacVal,_xlpm.CSVVal&lt;&gt;"",_xlpm.CSVVal
)),"")</f>
        <v/>
      </c>
      <c r="E241" s="2" t="str">
        <f>_xlfn.XLOOKUP(A241,My_Audit!A:A,My_Audit!D:D,"")&amp;""</f>
        <v/>
      </c>
      <c r="F241" s="2" t="str" cm="1">
        <f t="array" ref="F241">IFERROR(_xlfn.LET(
_xlpm.CSVVal,_xlfn.XLOOKUP($A241,CSV!$A:$A,CSV!F:F,""),
_xlpm.MacVal,_xlfn.XLOOKUP($A241,Output_Mac!$A:$A,Output_Mac!E:E,""),
_xlpm.MyAuditVal,_xlfn.XLOOKUP($A241,My_Audit!$A:$A,My_Audit!E:E,""),
_xlfn.IFS(_xlpm.MyAuditVal&lt;&gt;"",_xlpm.MyAuditVal,_xlpm.MacVal&lt;&gt;"",_xlpm.MacVal,_xlpm.CSVVal&lt;&gt;"",_xlpm.CSVVal
)),"")</f>
        <v/>
      </c>
      <c r="G241" s="2" t="str" cm="1">
        <f t="array" ref="G241">IFERROR(_xlfn.LET(
_xlpm.CSVVal,_xlfn.XLOOKUP($A241,CSV!$A:$A,CSV!G:G,""),
_xlpm.MacVal,_xlfn.XLOOKUP($A241,Output_Mac!$A:$A,Output_Mac!F:F,""),
_xlpm.MyAuditVal,_xlfn.XLOOKUP($A241,My_Audit!$A:$A,My_Audit!F:F,""),
_xlfn.IFS(_xlpm.MyAuditVal&lt;&gt;"",_xlpm.MyAuditVal,_xlpm.MacVal&lt;&gt;"",_xlpm.MacVal,_xlpm.CSVVal&lt;&gt;"",PROPER(_xlpm.CSVVal)
)),"")</f>
        <v/>
      </c>
      <c r="H241" s="2" t="str" cm="1">
        <f t="array" ref="H241">IFERROR(_xlfn.LET(
_xlpm.CSVVal,_xlfn.XLOOKUP($A241,CSV!$A:$A,CSV!H:H,""),
_xlpm.MacVal,_xlfn.XLOOKUP($A241,Output_Mac!$A:$A,Output_Mac!H:H,""),
_xlpm.MyAuditVal,_xlfn.XLOOKUP($A241,My_Audit!$A:$A,My_Audit!G:G,""),
_xlfn.IFS(_xlpm.MyAuditVal&lt;&gt;"",_xlpm.MyAuditVal,_xlpm.MacVal&lt;&gt;"",_xlpm.MacVal,_xlpm.CSVVal&lt;&gt;"",_xlpm.CSVVal
)),"")</f>
        <v/>
      </c>
      <c r="I241" s="2" t="str">
        <f>_xlfn.XLOOKUP(A241,Output_Mac!A:A,Output_Mac!I:I,"")</f>
        <v/>
      </c>
      <c r="J241" s="2" t="str" cm="1">
        <f t="array" ref="J241">IFERROR(_xlfn.LET(
_xlpm.CSVVal,_xlfn.XLOOKUP($A241,CSV!$A:$A,CSV!I:I,""),
_xlpm.MacVal,_xlfn.XLOOKUP($A241,Output_Mac!$A:$A,Output_Mac!J:J,""),
_xlpm.MyAuditVal,_xlfn.XLOOKUP($A241,My_Audit!$A:$A,My_Audit!I:I,""),
_xlfn.IFS(_xlpm.MyAuditVal&lt;&gt;"",UPPER(_xlpm.MyAuditVal),_xlpm.MacVal&lt;&gt;"",_xlpm.MacVal,_xlpm.CSVVal&lt;&gt;"",_xlpm.CSVVal
)),"")</f>
        <v/>
      </c>
      <c r="K241" s="2" t="str" cm="1">
        <f t="array" ref="K241">IFERROR(_xlfn.LET(
_xlpm.CSVVal,_xlfn.XLOOKUP($A241,CSV!$A:$A,CSV!K:K,""),
_xlpm.MacVal,_xlfn.XLOOKUP($A241,Output_Mac!$A:$A,Output_Mac!K:K,""),
_xlpm.MyAuditVal,_xlfn.XLOOKUP($A241,My_Audit!$A:$A,My_Audit!J:J,""),
_xlfn.IFS(_xlpm.MyAuditVal&lt;&gt;"",UPPER(_xlpm.MyAuditVal),_xlpm.MacVal&lt;&gt;"",_xlpm.MacVal,_xlpm.CSVVal&lt;&gt;"",_xlpm.CSVVal
)),"")</f>
        <v/>
      </c>
      <c r="L241" s="2" t="str" cm="1">
        <f t="array" ref="L241">IFERROR(_xlfn.LET(
_xlpm.CSVVal,_xlfn.XLOOKUP($A241,CSV!$A:$A,CSV!P:P,""),
_xlpm.MacVal,_xlfn.XLOOKUP($A241,Output_Mac!$A:$A,Output_Mac!L:L,""),
_xlpm.MyAuditVal,_xlfn.XLOOKUP($A241,My_Audit!$A:$A,My_Audit!K:K,""),
_xlfn.IFS(_xlpm.MyAuditVal&lt;&gt;"",UPPER(_xlpm.MyAuditVal),_xlpm.MacVal&lt;&gt;"",_xlpm.MacVal,_xlpm.CSVVal&lt;&gt;"",_xlpm.CSVVal
)),"")</f>
        <v/>
      </c>
      <c r="M241" s="2" t="str" cm="1">
        <f t="array" ref="M241">IFERROR(_xlfn.LET(
_xlpm.CSVVal,_xlfn.XLOOKUP($A241,CSV!$A:$A,CSV!Q:Q,""),
_xlpm.MacVal,_xlfn.XLOOKUP($A241,Output_Mac!$A:$A,Output_Mac!M:M,""),
_xlpm.MyAuditVal,_xlfn.XLOOKUP($A241,My_Audit!$A:$A,My_Audit!L:L,""),
_xlfn.IFS(_xlpm.MyAuditVal&lt;&gt;"",UPPER(_xlpm.MyAuditVal),_xlpm.MacVal&lt;&gt;"",_xlpm.MacVal,_xlpm.CSVVal&lt;&gt;"",_xlpm.CSVVal
)),"")</f>
        <v/>
      </c>
      <c r="O241" s="2" t="str">
        <f>_xlfn.LET(
    _xlpm.CSVVal, _xlfn.XLOOKUP($A241, CSV!$A:$A, CSV!AF:AF, ""),
    _xlpm.MacVal, _xlfn.XLOOKUP($A241, Output_Mac!$A:$A, Output_Mac!S:S, ""),
    _xlpm.MyAuditVal, _xlfn.XLOOKUP($A241, My_Audit!$A:$A, My_Audit!P:P, ""),
    _xlfn.TEXTJOIN(", ", TRUE, _xlpm.MyAuditVal, _xlpm.MacVal, _xlpm.CSVVal)
)</f>
        <v/>
      </c>
      <c r="P241" s="2" t="str" cm="1">
        <f t="array" ref="P241">IFERROR(_xlfn.LET(
_xlpm.CSVVal,_xlfn.XLOOKUP($A241,CSV!$A:$A,CSV!AG:AG,""),
_xlpm.MacVal,_xlfn.XLOOKUP($A241,Output_Mac!$A:$A,Output_Mac!T:T,""),
_xlpm.MyAuditVal,_xlfn.XLOOKUP($A241,My_Audit!$A:$A,My_Audit!Q:Q,""),
_xlfn.IFS(_xlpm.MyAuditVal&lt;&gt;"",UPPER(_xlpm.MyAuditVal),_xlpm.MacVal&lt;&gt;"",_xlpm.MacVal,_xlpm.CSVVal&lt;&gt;"",_xlpm.CSVVal
)),"No")</f>
        <v>No</v>
      </c>
      <c r="Q241" s="2" t="str" cm="1">
        <f t="array" ref="Q241">IFERROR(_xlfn.LET(
_xlpm.CSVVal,_xlfn.XLOOKUP($A241,CSV!$A:$A,CSV!AH:AH,""),
_xlpm.MacVal,_xlfn.XLOOKUP($A241,Output_Mac!$A:$A,Output_Mac!U:U,""),
_xlpm.MyAuditVal,_xlfn.XLOOKUP($A241,My_Audit!$A:$A,My_Audit!R:R,""),
_xlfn.IFS(_xlpm.MyAuditVal&lt;&gt;"",UPPER(_xlpm.MyAuditVal),_xlpm.MacVal&lt;&gt;"",_xlpm.MacVal,_xlpm.CSVVal&lt;&gt;"",_xlpm.CSVVal
)),"")</f>
        <v/>
      </c>
    </row>
    <row r="242" spans="1:17">
      <c r="A242" s="2" t="str">
        <f>_xlfn.TEXTJOIN("",TRUE,Input!$B$2,ROW(My_Audit!A241))</f>
        <v>XX241</v>
      </c>
      <c r="B242" s="2" t="str">
        <f>_xlfn.TEXTJOIN("-",TRUE,"ITD",Input!$A$2,A242)</f>
        <v>ITD-SHRXXX-XX241</v>
      </c>
      <c r="C242" s="2" t="str" cm="1">
        <f t="array" ref="C242">IFERROR(_xlfn.LET(
_xlpm.CSVVal,_xlfn.XLOOKUP($A242,CSV!$A:$A,CSV!B:B,""),
_xlpm.MacVal,_xlfn.XLOOKUP($A242,Output_Mac!$A:$A,Output_Mac!B:B,""),
_xlpm.MyAuditVal,_xlfn.XLOOKUP($A242,My_Audit!$A:$A,My_Audit!B:B,""),
_xlfn.IFS(_xlpm.MyAuditVal&lt;&gt;"",UPPER(_xlpm.MyAuditVal),_xlpm.MacVal&lt;&gt;"",_xlpm.MacVal,_xlpm.CSVVal&lt;&gt;"",_xlpm.CSVVal
)),"")</f>
        <v/>
      </c>
      <c r="D242" s="2" t="str" cm="1">
        <f t="array" ref="D242">IFERROR(_xlfn.LET(
_xlpm.CSVVal,_xlfn.XLOOKUP($A242,CSV!$A:$A,CSV!D:D,""),
_xlpm.MacVal,_xlfn.XLOOKUP($A242,Output_Mac!$A:$A,Output_Mac!C:C,""),
_xlpm.MyAuditVal,_xlfn.XLOOKUP($A242,My_Audit!$A:$A,My_Audit!C:C,""),
_xlfn.IFS(_xlpm.MyAuditVal&lt;&gt;"",_xlpm.MyAuditVal,_xlpm.MacVal&lt;&gt;"",_xlpm.MacVal,_xlpm.CSVVal&lt;&gt;"",_xlpm.CSVVal
)),"")</f>
        <v/>
      </c>
      <c r="E242" s="2" t="str">
        <f>_xlfn.XLOOKUP(A242,My_Audit!A:A,My_Audit!D:D,"")&amp;""</f>
        <v/>
      </c>
      <c r="F242" s="2" t="str" cm="1">
        <f t="array" ref="F242">IFERROR(_xlfn.LET(
_xlpm.CSVVal,_xlfn.XLOOKUP($A242,CSV!$A:$A,CSV!F:F,""),
_xlpm.MacVal,_xlfn.XLOOKUP($A242,Output_Mac!$A:$A,Output_Mac!E:E,""),
_xlpm.MyAuditVal,_xlfn.XLOOKUP($A242,My_Audit!$A:$A,My_Audit!E:E,""),
_xlfn.IFS(_xlpm.MyAuditVal&lt;&gt;"",_xlpm.MyAuditVal,_xlpm.MacVal&lt;&gt;"",_xlpm.MacVal,_xlpm.CSVVal&lt;&gt;"",_xlpm.CSVVal
)),"")</f>
        <v/>
      </c>
      <c r="G242" s="2" t="str" cm="1">
        <f t="array" ref="G242">IFERROR(_xlfn.LET(
_xlpm.CSVVal,_xlfn.XLOOKUP($A242,CSV!$A:$A,CSV!G:G,""),
_xlpm.MacVal,_xlfn.XLOOKUP($A242,Output_Mac!$A:$A,Output_Mac!F:F,""),
_xlpm.MyAuditVal,_xlfn.XLOOKUP($A242,My_Audit!$A:$A,My_Audit!F:F,""),
_xlfn.IFS(_xlpm.MyAuditVal&lt;&gt;"",_xlpm.MyAuditVal,_xlpm.MacVal&lt;&gt;"",_xlpm.MacVal,_xlpm.CSVVal&lt;&gt;"",PROPER(_xlpm.CSVVal)
)),"")</f>
        <v/>
      </c>
      <c r="H242" s="2" t="str" cm="1">
        <f t="array" ref="H242">IFERROR(_xlfn.LET(
_xlpm.CSVVal,_xlfn.XLOOKUP($A242,CSV!$A:$A,CSV!H:H,""),
_xlpm.MacVal,_xlfn.XLOOKUP($A242,Output_Mac!$A:$A,Output_Mac!H:H,""),
_xlpm.MyAuditVal,_xlfn.XLOOKUP($A242,My_Audit!$A:$A,My_Audit!G:G,""),
_xlfn.IFS(_xlpm.MyAuditVal&lt;&gt;"",_xlpm.MyAuditVal,_xlpm.MacVal&lt;&gt;"",_xlpm.MacVal,_xlpm.CSVVal&lt;&gt;"",_xlpm.CSVVal
)),"")</f>
        <v/>
      </c>
      <c r="I242" s="2" t="str">
        <f>_xlfn.XLOOKUP(A242,Output_Mac!A:A,Output_Mac!I:I,"")</f>
        <v/>
      </c>
      <c r="J242" s="2" t="str" cm="1">
        <f t="array" ref="J242">IFERROR(_xlfn.LET(
_xlpm.CSVVal,_xlfn.XLOOKUP($A242,CSV!$A:$A,CSV!I:I,""),
_xlpm.MacVal,_xlfn.XLOOKUP($A242,Output_Mac!$A:$A,Output_Mac!J:J,""),
_xlpm.MyAuditVal,_xlfn.XLOOKUP($A242,My_Audit!$A:$A,My_Audit!I:I,""),
_xlfn.IFS(_xlpm.MyAuditVal&lt;&gt;"",UPPER(_xlpm.MyAuditVal),_xlpm.MacVal&lt;&gt;"",_xlpm.MacVal,_xlpm.CSVVal&lt;&gt;"",_xlpm.CSVVal
)),"")</f>
        <v/>
      </c>
      <c r="K242" s="2" t="str" cm="1">
        <f t="array" ref="K242">IFERROR(_xlfn.LET(
_xlpm.CSVVal,_xlfn.XLOOKUP($A242,CSV!$A:$A,CSV!K:K,""),
_xlpm.MacVal,_xlfn.XLOOKUP($A242,Output_Mac!$A:$A,Output_Mac!K:K,""),
_xlpm.MyAuditVal,_xlfn.XLOOKUP($A242,My_Audit!$A:$A,My_Audit!J:J,""),
_xlfn.IFS(_xlpm.MyAuditVal&lt;&gt;"",UPPER(_xlpm.MyAuditVal),_xlpm.MacVal&lt;&gt;"",_xlpm.MacVal,_xlpm.CSVVal&lt;&gt;"",_xlpm.CSVVal
)),"")</f>
        <v/>
      </c>
      <c r="L242" s="2" t="str" cm="1">
        <f t="array" ref="L242">IFERROR(_xlfn.LET(
_xlpm.CSVVal,_xlfn.XLOOKUP($A242,CSV!$A:$A,CSV!P:P,""),
_xlpm.MacVal,_xlfn.XLOOKUP($A242,Output_Mac!$A:$A,Output_Mac!L:L,""),
_xlpm.MyAuditVal,_xlfn.XLOOKUP($A242,My_Audit!$A:$A,My_Audit!K:K,""),
_xlfn.IFS(_xlpm.MyAuditVal&lt;&gt;"",UPPER(_xlpm.MyAuditVal),_xlpm.MacVal&lt;&gt;"",_xlpm.MacVal,_xlpm.CSVVal&lt;&gt;"",_xlpm.CSVVal
)),"")</f>
        <v/>
      </c>
      <c r="M242" s="2" t="str" cm="1">
        <f t="array" ref="M242">IFERROR(_xlfn.LET(
_xlpm.CSVVal,_xlfn.XLOOKUP($A242,CSV!$A:$A,CSV!Q:Q,""),
_xlpm.MacVal,_xlfn.XLOOKUP($A242,Output_Mac!$A:$A,Output_Mac!M:M,""),
_xlpm.MyAuditVal,_xlfn.XLOOKUP($A242,My_Audit!$A:$A,My_Audit!L:L,""),
_xlfn.IFS(_xlpm.MyAuditVal&lt;&gt;"",UPPER(_xlpm.MyAuditVal),_xlpm.MacVal&lt;&gt;"",_xlpm.MacVal,_xlpm.CSVVal&lt;&gt;"",_xlpm.CSVVal
)),"")</f>
        <v/>
      </c>
      <c r="O242" s="2" t="str">
        <f>_xlfn.LET(
    _xlpm.CSVVal, _xlfn.XLOOKUP($A242, CSV!$A:$A, CSV!AF:AF, ""),
    _xlpm.MacVal, _xlfn.XLOOKUP($A242, Output_Mac!$A:$A, Output_Mac!S:S, ""),
    _xlpm.MyAuditVal, _xlfn.XLOOKUP($A242, My_Audit!$A:$A, My_Audit!P:P, ""),
    _xlfn.TEXTJOIN(", ", TRUE, _xlpm.MyAuditVal, _xlpm.MacVal, _xlpm.CSVVal)
)</f>
        <v/>
      </c>
      <c r="P242" s="2" t="str" cm="1">
        <f t="array" ref="P242">IFERROR(_xlfn.LET(
_xlpm.CSVVal,_xlfn.XLOOKUP($A242,CSV!$A:$A,CSV!AG:AG,""),
_xlpm.MacVal,_xlfn.XLOOKUP($A242,Output_Mac!$A:$A,Output_Mac!T:T,""),
_xlpm.MyAuditVal,_xlfn.XLOOKUP($A242,My_Audit!$A:$A,My_Audit!Q:Q,""),
_xlfn.IFS(_xlpm.MyAuditVal&lt;&gt;"",UPPER(_xlpm.MyAuditVal),_xlpm.MacVal&lt;&gt;"",_xlpm.MacVal,_xlpm.CSVVal&lt;&gt;"",_xlpm.CSVVal
)),"No")</f>
        <v>No</v>
      </c>
      <c r="Q242" s="2" t="str" cm="1">
        <f t="array" ref="Q242">IFERROR(_xlfn.LET(
_xlpm.CSVVal,_xlfn.XLOOKUP($A242,CSV!$A:$A,CSV!AH:AH,""),
_xlpm.MacVal,_xlfn.XLOOKUP($A242,Output_Mac!$A:$A,Output_Mac!U:U,""),
_xlpm.MyAuditVal,_xlfn.XLOOKUP($A242,My_Audit!$A:$A,My_Audit!R:R,""),
_xlfn.IFS(_xlpm.MyAuditVal&lt;&gt;"",UPPER(_xlpm.MyAuditVal),_xlpm.MacVal&lt;&gt;"",_xlpm.MacVal,_xlpm.CSVVal&lt;&gt;"",_xlpm.CSVVal
)),"")</f>
        <v/>
      </c>
    </row>
    <row r="243" spans="1:17">
      <c r="A243" s="2" t="str">
        <f>_xlfn.TEXTJOIN("",TRUE,Input!$B$2,ROW(My_Audit!A242))</f>
        <v>XX242</v>
      </c>
      <c r="B243" s="2" t="str">
        <f>_xlfn.TEXTJOIN("-",TRUE,"ITD",Input!$A$2,A243)</f>
        <v>ITD-SHRXXX-XX242</v>
      </c>
      <c r="C243" s="2" t="str" cm="1">
        <f t="array" ref="C243">IFERROR(_xlfn.LET(
_xlpm.CSVVal,_xlfn.XLOOKUP($A243,CSV!$A:$A,CSV!B:B,""),
_xlpm.MacVal,_xlfn.XLOOKUP($A243,Output_Mac!$A:$A,Output_Mac!B:B,""),
_xlpm.MyAuditVal,_xlfn.XLOOKUP($A243,My_Audit!$A:$A,My_Audit!B:B,""),
_xlfn.IFS(_xlpm.MyAuditVal&lt;&gt;"",UPPER(_xlpm.MyAuditVal),_xlpm.MacVal&lt;&gt;"",_xlpm.MacVal,_xlpm.CSVVal&lt;&gt;"",_xlpm.CSVVal
)),"")</f>
        <v/>
      </c>
      <c r="D243" s="2" t="str" cm="1">
        <f t="array" ref="D243">IFERROR(_xlfn.LET(
_xlpm.CSVVal,_xlfn.XLOOKUP($A243,CSV!$A:$A,CSV!D:D,""),
_xlpm.MacVal,_xlfn.XLOOKUP($A243,Output_Mac!$A:$A,Output_Mac!C:C,""),
_xlpm.MyAuditVal,_xlfn.XLOOKUP($A243,My_Audit!$A:$A,My_Audit!C:C,""),
_xlfn.IFS(_xlpm.MyAuditVal&lt;&gt;"",_xlpm.MyAuditVal,_xlpm.MacVal&lt;&gt;"",_xlpm.MacVal,_xlpm.CSVVal&lt;&gt;"",_xlpm.CSVVal
)),"")</f>
        <v/>
      </c>
      <c r="E243" s="2" t="str">
        <f>_xlfn.XLOOKUP(A243,My_Audit!A:A,My_Audit!D:D,"")&amp;""</f>
        <v/>
      </c>
      <c r="F243" s="2" t="str" cm="1">
        <f t="array" ref="F243">IFERROR(_xlfn.LET(
_xlpm.CSVVal,_xlfn.XLOOKUP($A243,CSV!$A:$A,CSV!F:F,""),
_xlpm.MacVal,_xlfn.XLOOKUP($A243,Output_Mac!$A:$A,Output_Mac!E:E,""),
_xlpm.MyAuditVal,_xlfn.XLOOKUP($A243,My_Audit!$A:$A,My_Audit!E:E,""),
_xlfn.IFS(_xlpm.MyAuditVal&lt;&gt;"",_xlpm.MyAuditVal,_xlpm.MacVal&lt;&gt;"",_xlpm.MacVal,_xlpm.CSVVal&lt;&gt;"",_xlpm.CSVVal
)),"")</f>
        <v/>
      </c>
      <c r="G243" s="2" t="str" cm="1">
        <f t="array" ref="G243">IFERROR(_xlfn.LET(
_xlpm.CSVVal,_xlfn.XLOOKUP($A243,CSV!$A:$A,CSV!G:G,""),
_xlpm.MacVal,_xlfn.XLOOKUP($A243,Output_Mac!$A:$A,Output_Mac!F:F,""),
_xlpm.MyAuditVal,_xlfn.XLOOKUP($A243,My_Audit!$A:$A,My_Audit!F:F,""),
_xlfn.IFS(_xlpm.MyAuditVal&lt;&gt;"",_xlpm.MyAuditVal,_xlpm.MacVal&lt;&gt;"",_xlpm.MacVal,_xlpm.CSVVal&lt;&gt;"",PROPER(_xlpm.CSVVal)
)),"")</f>
        <v/>
      </c>
      <c r="H243" s="2" t="str" cm="1">
        <f t="array" ref="H243">IFERROR(_xlfn.LET(
_xlpm.CSVVal,_xlfn.XLOOKUP($A243,CSV!$A:$A,CSV!H:H,""),
_xlpm.MacVal,_xlfn.XLOOKUP($A243,Output_Mac!$A:$A,Output_Mac!H:H,""),
_xlpm.MyAuditVal,_xlfn.XLOOKUP($A243,My_Audit!$A:$A,My_Audit!G:G,""),
_xlfn.IFS(_xlpm.MyAuditVal&lt;&gt;"",_xlpm.MyAuditVal,_xlpm.MacVal&lt;&gt;"",_xlpm.MacVal,_xlpm.CSVVal&lt;&gt;"",_xlpm.CSVVal
)),"")</f>
        <v/>
      </c>
      <c r="I243" s="2" t="str">
        <f>_xlfn.XLOOKUP(A243,Output_Mac!A:A,Output_Mac!I:I,"")</f>
        <v/>
      </c>
      <c r="J243" s="2" t="str" cm="1">
        <f t="array" ref="J243">IFERROR(_xlfn.LET(
_xlpm.CSVVal,_xlfn.XLOOKUP($A243,CSV!$A:$A,CSV!I:I,""),
_xlpm.MacVal,_xlfn.XLOOKUP($A243,Output_Mac!$A:$A,Output_Mac!J:J,""),
_xlpm.MyAuditVal,_xlfn.XLOOKUP($A243,My_Audit!$A:$A,My_Audit!I:I,""),
_xlfn.IFS(_xlpm.MyAuditVal&lt;&gt;"",UPPER(_xlpm.MyAuditVal),_xlpm.MacVal&lt;&gt;"",_xlpm.MacVal,_xlpm.CSVVal&lt;&gt;"",_xlpm.CSVVal
)),"")</f>
        <v/>
      </c>
      <c r="K243" s="2" t="str" cm="1">
        <f t="array" ref="K243">IFERROR(_xlfn.LET(
_xlpm.CSVVal,_xlfn.XLOOKUP($A243,CSV!$A:$A,CSV!K:K,""),
_xlpm.MacVal,_xlfn.XLOOKUP($A243,Output_Mac!$A:$A,Output_Mac!K:K,""),
_xlpm.MyAuditVal,_xlfn.XLOOKUP($A243,My_Audit!$A:$A,My_Audit!J:J,""),
_xlfn.IFS(_xlpm.MyAuditVal&lt;&gt;"",UPPER(_xlpm.MyAuditVal),_xlpm.MacVal&lt;&gt;"",_xlpm.MacVal,_xlpm.CSVVal&lt;&gt;"",_xlpm.CSVVal
)),"")</f>
        <v/>
      </c>
      <c r="L243" s="2" t="str" cm="1">
        <f t="array" ref="L243">IFERROR(_xlfn.LET(
_xlpm.CSVVal,_xlfn.XLOOKUP($A243,CSV!$A:$A,CSV!P:P,""),
_xlpm.MacVal,_xlfn.XLOOKUP($A243,Output_Mac!$A:$A,Output_Mac!L:L,""),
_xlpm.MyAuditVal,_xlfn.XLOOKUP($A243,My_Audit!$A:$A,My_Audit!K:K,""),
_xlfn.IFS(_xlpm.MyAuditVal&lt;&gt;"",UPPER(_xlpm.MyAuditVal),_xlpm.MacVal&lt;&gt;"",_xlpm.MacVal,_xlpm.CSVVal&lt;&gt;"",_xlpm.CSVVal
)),"")</f>
        <v/>
      </c>
      <c r="M243" s="2" t="str" cm="1">
        <f t="array" ref="M243">IFERROR(_xlfn.LET(
_xlpm.CSVVal,_xlfn.XLOOKUP($A243,CSV!$A:$A,CSV!Q:Q,""),
_xlpm.MacVal,_xlfn.XLOOKUP($A243,Output_Mac!$A:$A,Output_Mac!M:M,""),
_xlpm.MyAuditVal,_xlfn.XLOOKUP($A243,My_Audit!$A:$A,My_Audit!L:L,""),
_xlfn.IFS(_xlpm.MyAuditVal&lt;&gt;"",UPPER(_xlpm.MyAuditVal),_xlpm.MacVal&lt;&gt;"",_xlpm.MacVal,_xlpm.CSVVal&lt;&gt;"",_xlpm.CSVVal
)),"")</f>
        <v/>
      </c>
      <c r="O243" s="2" t="str">
        <f>_xlfn.LET(
    _xlpm.CSVVal, _xlfn.XLOOKUP($A243, CSV!$A:$A, CSV!AF:AF, ""),
    _xlpm.MacVal, _xlfn.XLOOKUP($A243, Output_Mac!$A:$A, Output_Mac!S:S, ""),
    _xlpm.MyAuditVal, _xlfn.XLOOKUP($A243, My_Audit!$A:$A, My_Audit!P:P, ""),
    _xlfn.TEXTJOIN(", ", TRUE, _xlpm.MyAuditVal, _xlpm.MacVal, _xlpm.CSVVal)
)</f>
        <v/>
      </c>
      <c r="P243" s="2" t="str" cm="1">
        <f t="array" ref="P243">IFERROR(_xlfn.LET(
_xlpm.CSVVal,_xlfn.XLOOKUP($A243,CSV!$A:$A,CSV!AG:AG,""),
_xlpm.MacVal,_xlfn.XLOOKUP($A243,Output_Mac!$A:$A,Output_Mac!T:T,""),
_xlpm.MyAuditVal,_xlfn.XLOOKUP($A243,My_Audit!$A:$A,My_Audit!Q:Q,""),
_xlfn.IFS(_xlpm.MyAuditVal&lt;&gt;"",UPPER(_xlpm.MyAuditVal),_xlpm.MacVal&lt;&gt;"",_xlpm.MacVal,_xlpm.CSVVal&lt;&gt;"",_xlpm.CSVVal
)),"No")</f>
        <v>No</v>
      </c>
      <c r="Q243" s="2" t="str" cm="1">
        <f t="array" ref="Q243">IFERROR(_xlfn.LET(
_xlpm.CSVVal,_xlfn.XLOOKUP($A243,CSV!$A:$A,CSV!AH:AH,""),
_xlpm.MacVal,_xlfn.XLOOKUP($A243,Output_Mac!$A:$A,Output_Mac!U:U,""),
_xlpm.MyAuditVal,_xlfn.XLOOKUP($A243,My_Audit!$A:$A,My_Audit!R:R,""),
_xlfn.IFS(_xlpm.MyAuditVal&lt;&gt;"",UPPER(_xlpm.MyAuditVal),_xlpm.MacVal&lt;&gt;"",_xlpm.MacVal,_xlpm.CSVVal&lt;&gt;"",_xlpm.CSVVal
)),"")</f>
        <v/>
      </c>
    </row>
    <row r="244" spans="1:17">
      <c r="A244" s="2" t="str">
        <f>_xlfn.TEXTJOIN("",TRUE,Input!$B$2,ROW(My_Audit!A243))</f>
        <v>XX243</v>
      </c>
      <c r="B244" s="2" t="str">
        <f>_xlfn.TEXTJOIN("-",TRUE,"ITD",Input!$A$2,A244)</f>
        <v>ITD-SHRXXX-XX243</v>
      </c>
      <c r="C244" s="2" t="str" cm="1">
        <f t="array" ref="C244">IFERROR(_xlfn.LET(
_xlpm.CSVVal,_xlfn.XLOOKUP($A244,CSV!$A:$A,CSV!B:B,""),
_xlpm.MacVal,_xlfn.XLOOKUP($A244,Output_Mac!$A:$A,Output_Mac!B:B,""),
_xlpm.MyAuditVal,_xlfn.XLOOKUP($A244,My_Audit!$A:$A,My_Audit!B:B,""),
_xlfn.IFS(_xlpm.MyAuditVal&lt;&gt;"",UPPER(_xlpm.MyAuditVal),_xlpm.MacVal&lt;&gt;"",_xlpm.MacVal,_xlpm.CSVVal&lt;&gt;"",_xlpm.CSVVal
)),"")</f>
        <v/>
      </c>
      <c r="D244" s="2" t="str" cm="1">
        <f t="array" ref="D244">IFERROR(_xlfn.LET(
_xlpm.CSVVal,_xlfn.XLOOKUP($A244,CSV!$A:$A,CSV!D:D,""),
_xlpm.MacVal,_xlfn.XLOOKUP($A244,Output_Mac!$A:$A,Output_Mac!C:C,""),
_xlpm.MyAuditVal,_xlfn.XLOOKUP($A244,My_Audit!$A:$A,My_Audit!C:C,""),
_xlfn.IFS(_xlpm.MyAuditVal&lt;&gt;"",_xlpm.MyAuditVal,_xlpm.MacVal&lt;&gt;"",_xlpm.MacVal,_xlpm.CSVVal&lt;&gt;"",_xlpm.CSVVal
)),"")</f>
        <v/>
      </c>
      <c r="E244" s="2" t="str">
        <f>_xlfn.XLOOKUP(A244,My_Audit!A:A,My_Audit!D:D,"")&amp;""</f>
        <v/>
      </c>
      <c r="F244" s="2" t="str" cm="1">
        <f t="array" ref="F244">IFERROR(_xlfn.LET(
_xlpm.CSVVal,_xlfn.XLOOKUP($A244,CSV!$A:$A,CSV!F:F,""),
_xlpm.MacVal,_xlfn.XLOOKUP($A244,Output_Mac!$A:$A,Output_Mac!E:E,""),
_xlpm.MyAuditVal,_xlfn.XLOOKUP($A244,My_Audit!$A:$A,My_Audit!E:E,""),
_xlfn.IFS(_xlpm.MyAuditVal&lt;&gt;"",_xlpm.MyAuditVal,_xlpm.MacVal&lt;&gt;"",_xlpm.MacVal,_xlpm.CSVVal&lt;&gt;"",_xlpm.CSVVal
)),"")</f>
        <v/>
      </c>
      <c r="G244" s="2" t="str" cm="1">
        <f t="array" ref="G244">IFERROR(_xlfn.LET(
_xlpm.CSVVal,_xlfn.XLOOKUP($A244,CSV!$A:$A,CSV!G:G,""),
_xlpm.MacVal,_xlfn.XLOOKUP($A244,Output_Mac!$A:$A,Output_Mac!F:F,""),
_xlpm.MyAuditVal,_xlfn.XLOOKUP($A244,My_Audit!$A:$A,My_Audit!F:F,""),
_xlfn.IFS(_xlpm.MyAuditVal&lt;&gt;"",_xlpm.MyAuditVal,_xlpm.MacVal&lt;&gt;"",_xlpm.MacVal,_xlpm.CSVVal&lt;&gt;"",PROPER(_xlpm.CSVVal)
)),"")</f>
        <v/>
      </c>
      <c r="H244" s="2" t="str" cm="1">
        <f t="array" ref="H244">IFERROR(_xlfn.LET(
_xlpm.CSVVal,_xlfn.XLOOKUP($A244,CSV!$A:$A,CSV!H:H,""),
_xlpm.MacVal,_xlfn.XLOOKUP($A244,Output_Mac!$A:$A,Output_Mac!H:H,""),
_xlpm.MyAuditVal,_xlfn.XLOOKUP($A244,My_Audit!$A:$A,My_Audit!G:G,""),
_xlfn.IFS(_xlpm.MyAuditVal&lt;&gt;"",_xlpm.MyAuditVal,_xlpm.MacVal&lt;&gt;"",_xlpm.MacVal,_xlpm.CSVVal&lt;&gt;"",_xlpm.CSVVal
)),"")</f>
        <v/>
      </c>
      <c r="I244" s="2" t="str">
        <f>_xlfn.XLOOKUP(A244,Output_Mac!A:A,Output_Mac!I:I,"")</f>
        <v/>
      </c>
      <c r="J244" s="2" t="str" cm="1">
        <f t="array" ref="J244">IFERROR(_xlfn.LET(
_xlpm.CSVVal,_xlfn.XLOOKUP($A244,CSV!$A:$A,CSV!I:I,""),
_xlpm.MacVal,_xlfn.XLOOKUP($A244,Output_Mac!$A:$A,Output_Mac!J:J,""),
_xlpm.MyAuditVal,_xlfn.XLOOKUP($A244,My_Audit!$A:$A,My_Audit!I:I,""),
_xlfn.IFS(_xlpm.MyAuditVal&lt;&gt;"",UPPER(_xlpm.MyAuditVal),_xlpm.MacVal&lt;&gt;"",_xlpm.MacVal,_xlpm.CSVVal&lt;&gt;"",_xlpm.CSVVal
)),"")</f>
        <v/>
      </c>
      <c r="K244" s="2" t="str" cm="1">
        <f t="array" ref="K244">IFERROR(_xlfn.LET(
_xlpm.CSVVal,_xlfn.XLOOKUP($A244,CSV!$A:$A,CSV!K:K,""),
_xlpm.MacVal,_xlfn.XLOOKUP($A244,Output_Mac!$A:$A,Output_Mac!K:K,""),
_xlpm.MyAuditVal,_xlfn.XLOOKUP($A244,My_Audit!$A:$A,My_Audit!J:J,""),
_xlfn.IFS(_xlpm.MyAuditVal&lt;&gt;"",UPPER(_xlpm.MyAuditVal),_xlpm.MacVal&lt;&gt;"",_xlpm.MacVal,_xlpm.CSVVal&lt;&gt;"",_xlpm.CSVVal
)),"")</f>
        <v/>
      </c>
      <c r="L244" s="2" t="str" cm="1">
        <f t="array" ref="L244">IFERROR(_xlfn.LET(
_xlpm.CSVVal,_xlfn.XLOOKUP($A244,CSV!$A:$A,CSV!P:P,""),
_xlpm.MacVal,_xlfn.XLOOKUP($A244,Output_Mac!$A:$A,Output_Mac!L:L,""),
_xlpm.MyAuditVal,_xlfn.XLOOKUP($A244,My_Audit!$A:$A,My_Audit!K:K,""),
_xlfn.IFS(_xlpm.MyAuditVal&lt;&gt;"",UPPER(_xlpm.MyAuditVal),_xlpm.MacVal&lt;&gt;"",_xlpm.MacVal,_xlpm.CSVVal&lt;&gt;"",_xlpm.CSVVal
)),"")</f>
        <v/>
      </c>
      <c r="M244" s="2" t="str" cm="1">
        <f t="array" ref="M244">IFERROR(_xlfn.LET(
_xlpm.CSVVal,_xlfn.XLOOKUP($A244,CSV!$A:$A,CSV!Q:Q,""),
_xlpm.MacVal,_xlfn.XLOOKUP($A244,Output_Mac!$A:$A,Output_Mac!M:M,""),
_xlpm.MyAuditVal,_xlfn.XLOOKUP($A244,My_Audit!$A:$A,My_Audit!L:L,""),
_xlfn.IFS(_xlpm.MyAuditVal&lt;&gt;"",UPPER(_xlpm.MyAuditVal),_xlpm.MacVal&lt;&gt;"",_xlpm.MacVal,_xlpm.CSVVal&lt;&gt;"",_xlpm.CSVVal
)),"")</f>
        <v/>
      </c>
      <c r="O244" s="2" t="str">
        <f>_xlfn.LET(
    _xlpm.CSVVal, _xlfn.XLOOKUP($A244, CSV!$A:$A, CSV!AF:AF, ""),
    _xlpm.MacVal, _xlfn.XLOOKUP($A244, Output_Mac!$A:$A, Output_Mac!S:S, ""),
    _xlpm.MyAuditVal, _xlfn.XLOOKUP($A244, My_Audit!$A:$A, My_Audit!P:P, ""),
    _xlfn.TEXTJOIN(", ", TRUE, _xlpm.MyAuditVal, _xlpm.MacVal, _xlpm.CSVVal)
)</f>
        <v/>
      </c>
      <c r="P244" s="2" t="str" cm="1">
        <f t="array" ref="P244">IFERROR(_xlfn.LET(
_xlpm.CSVVal,_xlfn.XLOOKUP($A244,CSV!$A:$A,CSV!AG:AG,""),
_xlpm.MacVal,_xlfn.XLOOKUP($A244,Output_Mac!$A:$A,Output_Mac!T:T,""),
_xlpm.MyAuditVal,_xlfn.XLOOKUP($A244,My_Audit!$A:$A,My_Audit!Q:Q,""),
_xlfn.IFS(_xlpm.MyAuditVal&lt;&gt;"",UPPER(_xlpm.MyAuditVal),_xlpm.MacVal&lt;&gt;"",_xlpm.MacVal,_xlpm.CSVVal&lt;&gt;"",_xlpm.CSVVal
)),"No")</f>
        <v>No</v>
      </c>
      <c r="Q244" s="2" t="str" cm="1">
        <f t="array" ref="Q244">IFERROR(_xlfn.LET(
_xlpm.CSVVal,_xlfn.XLOOKUP($A244,CSV!$A:$A,CSV!AH:AH,""),
_xlpm.MacVal,_xlfn.XLOOKUP($A244,Output_Mac!$A:$A,Output_Mac!U:U,""),
_xlpm.MyAuditVal,_xlfn.XLOOKUP($A244,My_Audit!$A:$A,My_Audit!R:R,""),
_xlfn.IFS(_xlpm.MyAuditVal&lt;&gt;"",UPPER(_xlpm.MyAuditVal),_xlpm.MacVal&lt;&gt;"",_xlpm.MacVal,_xlpm.CSVVal&lt;&gt;"",_xlpm.CSVVal
)),"")</f>
        <v/>
      </c>
    </row>
    <row r="245" spans="1:17">
      <c r="A245" s="2" t="str">
        <f>_xlfn.TEXTJOIN("",TRUE,Input!$B$2,ROW(My_Audit!A244))</f>
        <v>XX244</v>
      </c>
      <c r="B245" s="2" t="str">
        <f>_xlfn.TEXTJOIN("-",TRUE,"ITD",Input!$A$2,A245)</f>
        <v>ITD-SHRXXX-XX244</v>
      </c>
      <c r="C245" s="2" t="str" cm="1">
        <f t="array" ref="C245">IFERROR(_xlfn.LET(
_xlpm.CSVVal,_xlfn.XLOOKUP($A245,CSV!$A:$A,CSV!B:B,""),
_xlpm.MacVal,_xlfn.XLOOKUP($A245,Output_Mac!$A:$A,Output_Mac!B:B,""),
_xlpm.MyAuditVal,_xlfn.XLOOKUP($A245,My_Audit!$A:$A,My_Audit!B:B,""),
_xlfn.IFS(_xlpm.MyAuditVal&lt;&gt;"",UPPER(_xlpm.MyAuditVal),_xlpm.MacVal&lt;&gt;"",_xlpm.MacVal,_xlpm.CSVVal&lt;&gt;"",_xlpm.CSVVal
)),"")</f>
        <v/>
      </c>
      <c r="D245" s="2" t="str" cm="1">
        <f t="array" ref="D245">IFERROR(_xlfn.LET(
_xlpm.CSVVal,_xlfn.XLOOKUP($A245,CSV!$A:$A,CSV!D:D,""),
_xlpm.MacVal,_xlfn.XLOOKUP($A245,Output_Mac!$A:$A,Output_Mac!C:C,""),
_xlpm.MyAuditVal,_xlfn.XLOOKUP($A245,My_Audit!$A:$A,My_Audit!C:C,""),
_xlfn.IFS(_xlpm.MyAuditVal&lt;&gt;"",_xlpm.MyAuditVal,_xlpm.MacVal&lt;&gt;"",_xlpm.MacVal,_xlpm.CSVVal&lt;&gt;"",_xlpm.CSVVal
)),"")</f>
        <v/>
      </c>
      <c r="E245" s="2" t="str">
        <f>_xlfn.XLOOKUP(A245,My_Audit!A:A,My_Audit!D:D,"")&amp;""</f>
        <v/>
      </c>
      <c r="F245" s="2" t="str" cm="1">
        <f t="array" ref="F245">IFERROR(_xlfn.LET(
_xlpm.CSVVal,_xlfn.XLOOKUP($A245,CSV!$A:$A,CSV!F:F,""),
_xlpm.MacVal,_xlfn.XLOOKUP($A245,Output_Mac!$A:$A,Output_Mac!E:E,""),
_xlpm.MyAuditVal,_xlfn.XLOOKUP($A245,My_Audit!$A:$A,My_Audit!E:E,""),
_xlfn.IFS(_xlpm.MyAuditVal&lt;&gt;"",_xlpm.MyAuditVal,_xlpm.MacVal&lt;&gt;"",_xlpm.MacVal,_xlpm.CSVVal&lt;&gt;"",_xlpm.CSVVal
)),"")</f>
        <v/>
      </c>
      <c r="G245" s="2" t="str" cm="1">
        <f t="array" ref="G245">IFERROR(_xlfn.LET(
_xlpm.CSVVal,_xlfn.XLOOKUP($A245,CSV!$A:$A,CSV!G:G,""),
_xlpm.MacVal,_xlfn.XLOOKUP($A245,Output_Mac!$A:$A,Output_Mac!F:F,""),
_xlpm.MyAuditVal,_xlfn.XLOOKUP($A245,My_Audit!$A:$A,My_Audit!F:F,""),
_xlfn.IFS(_xlpm.MyAuditVal&lt;&gt;"",_xlpm.MyAuditVal,_xlpm.MacVal&lt;&gt;"",_xlpm.MacVal,_xlpm.CSVVal&lt;&gt;"",PROPER(_xlpm.CSVVal)
)),"")</f>
        <v/>
      </c>
      <c r="H245" s="2" t="str" cm="1">
        <f t="array" ref="H245">IFERROR(_xlfn.LET(
_xlpm.CSVVal,_xlfn.XLOOKUP($A245,CSV!$A:$A,CSV!H:H,""),
_xlpm.MacVal,_xlfn.XLOOKUP($A245,Output_Mac!$A:$A,Output_Mac!H:H,""),
_xlpm.MyAuditVal,_xlfn.XLOOKUP($A245,My_Audit!$A:$A,My_Audit!G:G,""),
_xlfn.IFS(_xlpm.MyAuditVal&lt;&gt;"",_xlpm.MyAuditVal,_xlpm.MacVal&lt;&gt;"",_xlpm.MacVal,_xlpm.CSVVal&lt;&gt;"",_xlpm.CSVVal
)),"")</f>
        <v/>
      </c>
      <c r="I245" s="2" t="str">
        <f>_xlfn.XLOOKUP(A245,Output_Mac!A:A,Output_Mac!I:I,"")</f>
        <v/>
      </c>
      <c r="J245" s="2" t="str" cm="1">
        <f t="array" ref="J245">IFERROR(_xlfn.LET(
_xlpm.CSVVal,_xlfn.XLOOKUP($A245,CSV!$A:$A,CSV!I:I,""),
_xlpm.MacVal,_xlfn.XLOOKUP($A245,Output_Mac!$A:$A,Output_Mac!J:J,""),
_xlpm.MyAuditVal,_xlfn.XLOOKUP($A245,My_Audit!$A:$A,My_Audit!I:I,""),
_xlfn.IFS(_xlpm.MyAuditVal&lt;&gt;"",UPPER(_xlpm.MyAuditVal),_xlpm.MacVal&lt;&gt;"",_xlpm.MacVal,_xlpm.CSVVal&lt;&gt;"",_xlpm.CSVVal
)),"")</f>
        <v/>
      </c>
      <c r="K245" s="2" t="str" cm="1">
        <f t="array" ref="K245">IFERROR(_xlfn.LET(
_xlpm.CSVVal,_xlfn.XLOOKUP($A245,CSV!$A:$A,CSV!K:K,""),
_xlpm.MacVal,_xlfn.XLOOKUP($A245,Output_Mac!$A:$A,Output_Mac!K:K,""),
_xlpm.MyAuditVal,_xlfn.XLOOKUP($A245,My_Audit!$A:$A,My_Audit!J:J,""),
_xlfn.IFS(_xlpm.MyAuditVal&lt;&gt;"",UPPER(_xlpm.MyAuditVal),_xlpm.MacVal&lt;&gt;"",_xlpm.MacVal,_xlpm.CSVVal&lt;&gt;"",_xlpm.CSVVal
)),"")</f>
        <v/>
      </c>
      <c r="L245" s="2" t="str" cm="1">
        <f t="array" ref="L245">IFERROR(_xlfn.LET(
_xlpm.CSVVal,_xlfn.XLOOKUP($A245,CSV!$A:$A,CSV!P:P,""),
_xlpm.MacVal,_xlfn.XLOOKUP($A245,Output_Mac!$A:$A,Output_Mac!L:L,""),
_xlpm.MyAuditVal,_xlfn.XLOOKUP($A245,My_Audit!$A:$A,My_Audit!K:K,""),
_xlfn.IFS(_xlpm.MyAuditVal&lt;&gt;"",UPPER(_xlpm.MyAuditVal),_xlpm.MacVal&lt;&gt;"",_xlpm.MacVal,_xlpm.CSVVal&lt;&gt;"",_xlpm.CSVVal
)),"")</f>
        <v/>
      </c>
      <c r="M245" s="2" t="str" cm="1">
        <f t="array" ref="M245">IFERROR(_xlfn.LET(
_xlpm.CSVVal,_xlfn.XLOOKUP($A245,CSV!$A:$A,CSV!Q:Q,""),
_xlpm.MacVal,_xlfn.XLOOKUP($A245,Output_Mac!$A:$A,Output_Mac!M:M,""),
_xlpm.MyAuditVal,_xlfn.XLOOKUP($A245,My_Audit!$A:$A,My_Audit!L:L,""),
_xlfn.IFS(_xlpm.MyAuditVal&lt;&gt;"",UPPER(_xlpm.MyAuditVal),_xlpm.MacVal&lt;&gt;"",_xlpm.MacVal,_xlpm.CSVVal&lt;&gt;"",_xlpm.CSVVal
)),"")</f>
        <v/>
      </c>
      <c r="O245" s="2" t="str">
        <f>_xlfn.LET(
    _xlpm.CSVVal, _xlfn.XLOOKUP($A245, CSV!$A:$A, CSV!AF:AF, ""),
    _xlpm.MacVal, _xlfn.XLOOKUP($A245, Output_Mac!$A:$A, Output_Mac!S:S, ""),
    _xlpm.MyAuditVal, _xlfn.XLOOKUP($A245, My_Audit!$A:$A, My_Audit!P:P, ""),
    _xlfn.TEXTJOIN(", ", TRUE, _xlpm.MyAuditVal, _xlpm.MacVal, _xlpm.CSVVal)
)</f>
        <v/>
      </c>
      <c r="P245" s="2" t="str" cm="1">
        <f t="array" ref="P245">IFERROR(_xlfn.LET(
_xlpm.CSVVal,_xlfn.XLOOKUP($A245,CSV!$A:$A,CSV!AG:AG,""),
_xlpm.MacVal,_xlfn.XLOOKUP($A245,Output_Mac!$A:$A,Output_Mac!T:T,""),
_xlpm.MyAuditVal,_xlfn.XLOOKUP($A245,My_Audit!$A:$A,My_Audit!Q:Q,""),
_xlfn.IFS(_xlpm.MyAuditVal&lt;&gt;"",UPPER(_xlpm.MyAuditVal),_xlpm.MacVal&lt;&gt;"",_xlpm.MacVal,_xlpm.CSVVal&lt;&gt;"",_xlpm.CSVVal
)),"No")</f>
        <v>No</v>
      </c>
      <c r="Q245" s="2" t="str" cm="1">
        <f t="array" ref="Q245">IFERROR(_xlfn.LET(
_xlpm.CSVVal,_xlfn.XLOOKUP($A245,CSV!$A:$A,CSV!AH:AH,""),
_xlpm.MacVal,_xlfn.XLOOKUP($A245,Output_Mac!$A:$A,Output_Mac!U:U,""),
_xlpm.MyAuditVal,_xlfn.XLOOKUP($A245,My_Audit!$A:$A,My_Audit!R:R,""),
_xlfn.IFS(_xlpm.MyAuditVal&lt;&gt;"",UPPER(_xlpm.MyAuditVal),_xlpm.MacVal&lt;&gt;"",_xlpm.MacVal,_xlpm.CSVVal&lt;&gt;"",_xlpm.CSVVal
)),"")</f>
        <v/>
      </c>
    </row>
    <row r="246" spans="1:17">
      <c r="A246" s="2" t="str">
        <f>_xlfn.TEXTJOIN("",TRUE,Input!$B$2,ROW(My_Audit!A245))</f>
        <v>XX245</v>
      </c>
      <c r="B246" s="2" t="str">
        <f>_xlfn.TEXTJOIN("-",TRUE,"ITD",Input!$A$2,A246)</f>
        <v>ITD-SHRXXX-XX245</v>
      </c>
      <c r="C246" s="2" t="str" cm="1">
        <f t="array" ref="C246">IFERROR(_xlfn.LET(
_xlpm.CSVVal,_xlfn.XLOOKUP($A246,CSV!$A:$A,CSV!B:B,""),
_xlpm.MacVal,_xlfn.XLOOKUP($A246,Output_Mac!$A:$A,Output_Mac!B:B,""),
_xlpm.MyAuditVal,_xlfn.XLOOKUP($A246,My_Audit!$A:$A,My_Audit!B:B,""),
_xlfn.IFS(_xlpm.MyAuditVal&lt;&gt;"",UPPER(_xlpm.MyAuditVal),_xlpm.MacVal&lt;&gt;"",_xlpm.MacVal,_xlpm.CSVVal&lt;&gt;"",_xlpm.CSVVal
)),"")</f>
        <v/>
      </c>
      <c r="D246" s="2" t="str" cm="1">
        <f t="array" ref="D246">IFERROR(_xlfn.LET(
_xlpm.CSVVal,_xlfn.XLOOKUP($A246,CSV!$A:$A,CSV!D:D,""),
_xlpm.MacVal,_xlfn.XLOOKUP($A246,Output_Mac!$A:$A,Output_Mac!C:C,""),
_xlpm.MyAuditVal,_xlfn.XLOOKUP($A246,My_Audit!$A:$A,My_Audit!C:C,""),
_xlfn.IFS(_xlpm.MyAuditVal&lt;&gt;"",_xlpm.MyAuditVal,_xlpm.MacVal&lt;&gt;"",_xlpm.MacVal,_xlpm.CSVVal&lt;&gt;"",_xlpm.CSVVal
)),"")</f>
        <v/>
      </c>
      <c r="E246" s="2" t="str">
        <f>_xlfn.XLOOKUP(A246,My_Audit!A:A,My_Audit!D:D,"")&amp;""</f>
        <v/>
      </c>
      <c r="F246" s="2" t="str" cm="1">
        <f t="array" ref="F246">IFERROR(_xlfn.LET(
_xlpm.CSVVal,_xlfn.XLOOKUP($A246,CSV!$A:$A,CSV!F:F,""),
_xlpm.MacVal,_xlfn.XLOOKUP($A246,Output_Mac!$A:$A,Output_Mac!E:E,""),
_xlpm.MyAuditVal,_xlfn.XLOOKUP($A246,My_Audit!$A:$A,My_Audit!E:E,""),
_xlfn.IFS(_xlpm.MyAuditVal&lt;&gt;"",_xlpm.MyAuditVal,_xlpm.MacVal&lt;&gt;"",_xlpm.MacVal,_xlpm.CSVVal&lt;&gt;"",_xlpm.CSVVal
)),"")</f>
        <v/>
      </c>
      <c r="G246" s="2" t="str" cm="1">
        <f t="array" ref="G246">IFERROR(_xlfn.LET(
_xlpm.CSVVal,_xlfn.XLOOKUP($A246,CSV!$A:$A,CSV!G:G,""),
_xlpm.MacVal,_xlfn.XLOOKUP($A246,Output_Mac!$A:$A,Output_Mac!F:F,""),
_xlpm.MyAuditVal,_xlfn.XLOOKUP($A246,My_Audit!$A:$A,My_Audit!F:F,""),
_xlfn.IFS(_xlpm.MyAuditVal&lt;&gt;"",_xlpm.MyAuditVal,_xlpm.MacVal&lt;&gt;"",_xlpm.MacVal,_xlpm.CSVVal&lt;&gt;"",PROPER(_xlpm.CSVVal)
)),"")</f>
        <v/>
      </c>
      <c r="H246" s="2" t="str" cm="1">
        <f t="array" ref="H246">IFERROR(_xlfn.LET(
_xlpm.CSVVal,_xlfn.XLOOKUP($A246,CSV!$A:$A,CSV!H:H,""),
_xlpm.MacVal,_xlfn.XLOOKUP($A246,Output_Mac!$A:$A,Output_Mac!H:H,""),
_xlpm.MyAuditVal,_xlfn.XLOOKUP($A246,My_Audit!$A:$A,My_Audit!G:G,""),
_xlfn.IFS(_xlpm.MyAuditVal&lt;&gt;"",_xlpm.MyAuditVal,_xlpm.MacVal&lt;&gt;"",_xlpm.MacVal,_xlpm.CSVVal&lt;&gt;"",_xlpm.CSVVal
)),"")</f>
        <v/>
      </c>
      <c r="I246" s="2" t="str">
        <f>_xlfn.XLOOKUP(A246,Output_Mac!A:A,Output_Mac!I:I,"")</f>
        <v/>
      </c>
      <c r="J246" s="2" t="str" cm="1">
        <f t="array" ref="J246">IFERROR(_xlfn.LET(
_xlpm.CSVVal,_xlfn.XLOOKUP($A246,CSV!$A:$A,CSV!I:I,""),
_xlpm.MacVal,_xlfn.XLOOKUP($A246,Output_Mac!$A:$A,Output_Mac!J:J,""),
_xlpm.MyAuditVal,_xlfn.XLOOKUP($A246,My_Audit!$A:$A,My_Audit!I:I,""),
_xlfn.IFS(_xlpm.MyAuditVal&lt;&gt;"",UPPER(_xlpm.MyAuditVal),_xlpm.MacVal&lt;&gt;"",_xlpm.MacVal,_xlpm.CSVVal&lt;&gt;"",_xlpm.CSVVal
)),"")</f>
        <v/>
      </c>
      <c r="K246" s="2" t="str" cm="1">
        <f t="array" ref="K246">IFERROR(_xlfn.LET(
_xlpm.CSVVal,_xlfn.XLOOKUP($A246,CSV!$A:$A,CSV!K:K,""),
_xlpm.MacVal,_xlfn.XLOOKUP($A246,Output_Mac!$A:$A,Output_Mac!K:K,""),
_xlpm.MyAuditVal,_xlfn.XLOOKUP($A246,My_Audit!$A:$A,My_Audit!J:J,""),
_xlfn.IFS(_xlpm.MyAuditVal&lt;&gt;"",UPPER(_xlpm.MyAuditVal),_xlpm.MacVal&lt;&gt;"",_xlpm.MacVal,_xlpm.CSVVal&lt;&gt;"",_xlpm.CSVVal
)),"")</f>
        <v/>
      </c>
      <c r="L246" s="2" t="str" cm="1">
        <f t="array" ref="L246">IFERROR(_xlfn.LET(
_xlpm.CSVVal,_xlfn.XLOOKUP($A246,CSV!$A:$A,CSV!P:P,""),
_xlpm.MacVal,_xlfn.XLOOKUP($A246,Output_Mac!$A:$A,Output_Mac!L:L,""),
_xlpm.MyAuditVal,_xlfn.XLOOKUP($A246,My_Audit!$A:$A,My_Audit!K:K,""),
_xlfn.IFS(_xlpm.MyAuditVal&lt;&gt;"",UPPER(_xlpm.MyAuditVal),_xlpm.MacVal&lt;&gt;"",_xlpm.MacVal,_xlpm.CSVVal&lt;&gt;"",_xlpm.CSVVal
)),"")</f>
        <v/>
      </c>
      <c r="M246" s="2" t="str" cm="1">
        <f t="array" ref="M246">IFERROR(_xlfn.LET(
_xlpm.CSVVal,_xlfn.XLOOKUP($A246,CSV!$A:$A,CSV!Q:Q,""),
_xlpm.MacVal,_xlfn.XLOOKUP($A246,Output_Mac!$A:$A,Output_Mac!M:M,""),
_xlpm.MyAuditVal,_xlfn.XLOOKUP($A246,My_Audit!$A:$A,My_Audit!L:L,""),
_xlfn.IFS(_xlpm.MyAuditVal&lt;&gt;"",UPPER(_xlpm.MyAuditVal),_xlpm.MacVal&lt;&gt;"",_xlpm.MacVal,_xlpm.CSVVal&lt;&gt;"",_xlpm.CSVVal
)),"")</f>
        <v/>
      </c>
      <c r="O246" s="2" t="str">
        <f>_xlfn.LET(
    _xlpm.CSVVal, _xlfn.XLOOKUP($A246, CSV!$A:$A, CSV!AF:AF, ""),
    _xlpm.MacVal, _xlfn.XLOOKUP($A246, Output_Mac!$A:$A, Output_Mac!S:S, ""),
    _xlpm.MyAuditVal, _xlfn.XLOOKUP($A246, My_Audit!$A:$A, My_Audit!P:P, ""),
    _xlfn.TEXTJOIN(", ", TRUE, _xlpm.MyAuditVal, _xlpm.MacVal, _xlpm.CSVVal)
)</f>
        <v/>
      </c>
      <c r="P246" s="2" t="str" cm="1">
        <f t="array" ref="P246">IFERROR(_xlfn.LET(
_xlpm.CSVVal,_xlfn.XLOOKUP($A246,CSV!$A:$A,CSV!AG:AG,""),
_xlpm.MacVal,_xlfn.XLOOKUP($A246,Output_Mac!$A:$A,Output_Mac!T:T,""),
_xlpm.MyAuditVal,_xlfn.XLOOKUP($A246,My_Audit!$A:$A,My_Audit!Q:Q,""),
_xlfn.IFS(_xlpm.MyAuditVal&lt;&gt;"",UPPER(_xlpm.MyAuditVal),_xlpm.MacVal&lt;&gt;"",_xlpm.MacVal,_xlpm.CSVVal&lt;&gt;"",_xlpm.CSVVal
)),"No")</f>
        <v>No</v>
      </c>
      <c r="Q246" s="2" t="str" cm="1">
        <f t="array" ref="Q246">IFERROR(_xlfn.LET(
_xlpm.CSVVal,_xlfn.XLOOKUP($A246,CSV!$A:$A,CSV!AH:AH,""),
_xlpm.MacVal,_xlfn.XLOOKUP($A246,Output_Mac!$A:$A,Output_Mac!U:U,""),
_xlpm.MyAuditVal,_xlfn.XLOOKUP($A246,My_Audit!$A:$A,My_Audit!R:R,""),
_xlfn.IFS(_xlpm.MyAuditVal&lt;&gt;"",UPPER(_xlpm.MyAuditVal),_xlpm.MacVal&lt;&gt;"",_xlpm.MacVal,_xlpm.CSVVal&lt;&gt;"",_xlpm.CSVVal
)),"")</f>
        <v/>
      </c>
    </row>
    <row r="247" spans="1:17">
      <c r="A247" s="2" t="str">
        <f>_xlfn.TEXTJOIN("",TRUE,Input!$B$2,ROW(My_Audit!A246))</f>
        <v>XX246</v>
      </c>
      <c r="B247" s="2" t="str">
        <f>_xlfn.TEXTJOIN("-",TRUE,"ITD",Input!$A$2,A247)</f>
        <v>ITD-SHRXXX-XX246</v>
      </c>
      <c r="C247" s="2" t="str" cm="1">
        <f t="array" ref="C247">IFERROR(_xlfn.LET(
_xlpm.CSVVal,_xlfn.XLOOKUP($A247,CSV!$A:$A,CSV!B:B,""),
_xlpm.MacVal,_xlfn.XLOOKUP($A247,Output_Mac!$A:$A,Output_Mac!B:B,""),
_xlpm.MyAuditVal,_xlfn.XLOOKUP($A247,My_Audit!$A:$A,My_Audit!B:B,""),
_xlfn.IFS(_xlpm.MyAuditVal&lt;&gt;"",UPPER(_xlpm.MyAuditVal),_xlpm.MacVal&lt;&gt;"",_xlpm.MacVal,_xlpm.CSVVal&lt;&gt;"",_xlpm.CSVVal
)),"")</f>
        <v/>
      </c>
      <c r="D247" s="2" t="str" cm="1">
        <f t="array" ref="D247">IFERROR(_xlfn.LET(
_xlpm.CSVVal,_xlfn.XLOOKUP($A247,CSV!$A:$A,CSV!D:D,""),
_xlpm.MacVal,_xlfn.XLOOKUP($A247,Output_Mac!$A:$A,Output_Mac!C:C,""),
_xlpm.MyAuditVal,_xlfn.XLOOKUP($A247,My_Audit!$A:$A,My_Audit!C:C,""),
_xlfn.IFS(_xlpm.MyAuditVal&lt;&gt;"",_xlpm.MyAuditVal,_xlpm.MacVal&lt;&gt;"",_xlpm.MacVal,_xlpm.CSVVal&lt;&gt;"",_xlpm.CSVVal
)),"")</f>
        <v/>
      </c>
      <c r="E247" s="2" t="str">
        <f>_xlfn.XLOOKUP(A247,My_Audit!A:A,My_Audit!D:D,"")&amp;""</f>
        <v/>
      </c>
      <c r="F247" s="2" t="str" cm="1">
        <f t="array" ref="F247">IFERROR(_xlfn.LET(
_xlpm.CSVVal,_xlfn.XLOOKUP($A247,CSV!$A:$A,CSV!F:F,""),
_xlpm.MacVal,_xlfn.XLOOKUP($A247,Output_Mac!$A:$A,Output_Mac!E:E,""),
_xlpm.MyAuditVal,_xlfn.XLOOKUP($A247,My_Audit!$A:$A,My_Audit!E:E,""),
_xlfn.IFS(_xlpm.MyAuditVal&lt;&gt;"",_xlpm.MyAuditVal,_xlpm.MacVal&lt;&gt;"",_xlpm.MacVal,_xlpm.CSVVal&lt;&gt;"",_xlpm.CSVVal
)),"")</f>
        <v/>
      </c>
      <c r="G247" s="2" t="str" cm="1">
        <f t="array" ref="G247">IFERROR(_xlfn.LET(
_xlpm.CSVVal,_xlfn.XLOOKUP($A247,CSV!$A:$A,CSV!G:G,""),
_xlpm.MacVal,_xlfn.XLOOKUP($A247,Output_Mac!$A:$A,Output_Mac!F:F,""),
_xlpm.MyAuditVal,_xlfn.XLOOKUP($A247,My_Audit!$A:$A,My_Audit!F:F,""),
_xlfn.IFS(_xlpm.MyAuditVal&lt;&gt;"",_xlpm.MyAuditVal,_xlpm.MacVal&lt;&gt;"",_xlpm.MacVal,_xlpm.CSVVal&lt;&gt;"",PROPER(_xlpm.CSVVal)
)),"")</f>
        <v/>
      </c>
      <c r="H247" s="2" t="str" cm="1">
        <f t="array" ref="H247">IFERROR(_xlfn.LET(
_xlpm.CSVVal,_xlfn.XLOOKUP($A247,CSV!$A:$A,CSV!H:H,""),
_xlpm.MacVal,_xlfn.XLOOKUP($A247,Output_Mac!$A:$A,Output_Mac!H:H,""),
_xlpm.MyAuditVal,_xlfn.XLOOKUP($A247,My_Audit!$A:$A,My_Audit!G:G,""),
_xlfn.IFS(_xlpm.MyAuditVal&lt;&gt;"",_xlpm.MyAuditVal,_xlpm.MacVal&lt;&gt;"",_xlpm.MacVal,_xlpm.CSVVal&lt;&gt;"",_xlpm.CSVVal
)),"")</f>
        <v/>
      </c>
      <c r="I247" s="2" t="str">
        <f>_xlfn.XLOOKUP(A247,Output_Mac!A:A,Output_Mac!I:I,"")</f>
        <v/>
      </c>
      <c r="J247" s="2" t="str" cm="1">
        <f t="array" ref="J247">IFERROR(_xlfn.LET(
_xlpm.CSVVal,_xlfn.XLOOKUP($A247,CSV!$A:$A,CSV!I:I,""),
_xlpm.MacVal,_xlfn.XLOOKUP($A247,Output_Mac!$A:$A,Output_Mac!J:J,""),
_xlpm.MyAuditVal,_xlfn.XLOOKUP($A247,My_Audit!$A:$A,My_Audit!I:I,""),
_xlfn.IFS(_xlpm.MyAuditVal&lt;&gt;"",UPPER(_xlpm.MyAuditVal),_xlpm.MacVal&lt;&gt;"",_xlpm.MacVal,_xlpm.CSVVal&lt;&gt;"",_xlpm.CSVVal
)),"")</f>
        <v/>
      </c>
      <c r="K247" s="2" t="str" cm="1">
        <f t="array" ref="K247">IFERROR(_xlfn.LET(
_xlpm.CSVVal,_xlfn.XLOOKUP($A247,CSV!$A:$A,CSV!K:K,""),
_xlpm.MacVal,_xlfn.XLOOKUP($A247,Output_Mac!$A:$A,Output_Mac!K:K,""),
_xlpm.MyAuditVal,_xlfn.XLOOKUP($A247,My_Audit!$A:$A,My_Audit!J:J,""),
_xlfn.IFS(_xlpm.MyAuditVal&lt;&gt;"",UPPER(_xlpm.MyAuditVal),_xlpm.MacVal&lt;&gt;"",_xlpm.MacVal,_xlpm.CSVVal&lt;&gt;"",_xlpm.CSVVal
)),"")</f>
        <v/>
      </c>
      <c r="L247" s="2" t="str" cm="1">
        <f t="array" ref="L247">IFERROR(_xlfn.LET(
_xlpm.CSVVal,_xlfn.XLOOKUP($A247,CSV!$A:$A,CSV!P:P,""),
_xlpm.MacVal,_xlfn.XLOOKUP($A247,Output_Mac!$A:$A,Output_Mac!L:L,""),
_xlpm.MyAuditVal,_xlfn.XLOOKUP($A247,My_Audit!$A:$A,My_Audit!K:K,""),
_xlfn.IFS(_xlpm.MyAuditVal&lt;&gt;"",UPPER(_xlpm.MyAuditVal),_xlpm.MacVal&lt;&gt;"",_xlpm.MacVal,_xlpm.CSVVal&lt;&gt;"",_xlpm.CSVVal
)),"")</f>
        <v/>
      </c>
      <c r="M247" s="2" t="str" cm="1">
        <f t="array" ref="M247">IFERROR(_xlfn.LET(
_xlpm.CSVVal,_xlfn.XLOOKUP($A247,CSV!$A:$A,CSV!Q:Q,""),
_xlpm.MacVal,_xlfn.XLOOKUP($A247,Output_Mac!$A:$A,Output_Mac!M:M,""),
_xlpm.MyAuditVal,_xlfn.XLOOKUP($A247,My_Audit!$A:$A,My_Audit!L:L,""),
_xlfn.IFS(_xlpm.MyAuditVal&lt;&gt;"",UPPER(_xlpm.MyAuditVal),_xlpm.MacVal&lt;&gt;"",_xlpm.MacVal,_xlpm.CSVVal&lt;&gt;"",_xlpm.CSVVal
)),"")</f>
        <v/>
      </c>
      <c r="O247" s="2" t="str">
        <f>_xlfn.LET(
    _xlpm.CSVVal, _xlfn.XLOOKUP($A247, CSV!$A:$A, CSV!AF:AF, ""),
    _xlpm.MacVal, _xlfn.XLOOKUP($A247, Output_Mac!$A:$A, Output_Mac!S:S, ""),
    _xlpm.MyAuditVal, _xlfn.XLOOKUP($A247, My_Audit!$A:$A, My_Audit!P:P, ""),
    _xlfn.TEXTJOIN(", ", TRUE, _xlpm.MyAuditVal, _xlpm.MacVal, _xlpm.CSVVal)
)</f>
        <v/>
      </c>
      <c r="P247" s="2" t="str" cm="1">
        <f t="array" ref="P247">IFERROR(_xlfn.LET(
_xlpm.CSVVal,_xlfn.XLOOKUP($A247,CSV!$A:$A,CSV!AG:AG,""),
_xlpm.MacVal,_xlfn.XLOOKUP($A247,Output_Mac!$A:$A,Output_Mac!T:T,""),
_xlpm.MyAuditVal,_xlfn.XLOOKUP($A247,My_Audit!$A:$A,My_Audit!Q:Q,""),
_xlfn.IFS(_xlpm.MyAuditVal&lt;&gt;"",UPPER(_xlpm.MyAuditVal),_xlpm.MacVal&lt;&gt;"",_xlpm.MacVal,_xlpm.CSVVal&lt;&gt;"",_xlpm.CSVVal
)),"No")</f>
        <v>No</v>
      </c>
      <c r="Q247" s="2" t="str" cm="1">
        <f t="array" ref="Q247">IFERROR(_xlfn.LET(
_xlpm.CSVVal,_xlfn.XLOOKUP($A247,CSV!$A:$A,CSV!AH:AH,""),
_xlpm.MacVal,_xlfn.XLOOKUP($A247,Output_Mac!$A:$A,Output_Mac!U:U,""),
_xlpm.MyAuditVal,_xlfn.XLOOKUP($A247,My_Audit!$A:$A,My_Audit!R:R,""),
_xlfn.IFS(_xlpm.MyAuditVal&lt;&gt;"",UPPER(_xlpm.MyAuditVal),_xlpm.MacVal&lt;&gt;"",_xlpm.MacVal,_xlpm.CSVVal&lt;&gt;"",_xlpm.CSVVal
)),"")</f>
        <v/>
      </c>
    </row>
    <row r="248" spans="1:17">
      <c r="A248" s="2" t="str">
        <f>_xlfn.TEXTJOIN("",TRUE,Input!$B$2,ROW(My_Audit!A247))</f>
        <v>XX247</v>
      </c>
      <c r="B248" s="2" t="str">
        <f>_xlfn.TEXTJOIN("-",TRUE,"ITD",Input!$A$2,A248)</f>
        <v>ITD-SHRXXX-XX247</v>
      </c>
      <c r="C248" s="2" t="str" cm="1">
        <f t="array" ref="C248">IFERROR(_xlfn.LET(
_xlpm.CSVVal,_xlfn.XLOOKUP($A248,CSV!$A:$A,CSV!B:B,""),
_xlpm.MacVal,_xlfn.XLOOKUP($A248,Output_Mac!$A:$A,Output_Mac!B:B,""),
_xlpm.MyAuditVal,_xlfn.XLOOKUP($A248,My_Audit!$A:$A,My_Audit!B:B,""),
_xlfn.IFS(_xlpm.MyAuditVal&lt;&gt;"",UPPER(_xlpm.MyAuditVal),_xlpm.MacVal&lt;&gt;"",_xlpm.MacVal,_xlpm.CSVVal&lt;&gt;"",_xlpm.CSVVal
)),"")</f>
        <v/>
      </c>
      <c r="D248" s="2" t="str" cm="1">
        <f t="array" ref="D248">IFERROR(_xlfn.LET(
_xlpm.CSVVal,_xlfn.XLOOKUP($A248,CSV!$A:$A,CSV!D:D,""),
_xlpm.MacVal,_xlfn.XLOOKUP($A248,Output_Mac!$A:$A,Output_Mac!C:C,""),
_xlpm.MyAuditVal,_xlfn.XLOOKUP($A248,My_Audit!$A:$A,My_Audit!C:C,""),
_xlfn.IFS(_xlpm.MyAuditVal&lt;&gt;"",_xlpm.MyAuditVal,_xlpm.MacVal&lt;&gt;"",_xlpm.MacVal,_xlpm.CSVVal&lt;&gt;"",_xlpm.CSVVal
)),"")</f>
        <v/>
      </c>
      <c r="E248" s="2" t="str">
        <f>_xlfn.XLOOKUP(A248,My_Audit!A:A,My_Audit!D:D,"")&amp;""</f>
        <v/>
      </c>
      <c r="F248" s="2" t="str" cm="1">
        <f t="array" ref="F248">IFERROR(_xlfn.LET(
_xlpm.CSVVal,_xlfn.XLOOKUP($A248,CSV!$A:$A,CSV!F:F,""),
_xlpm.MacVal,_xlfn.XLOOKUP($A248,Output_Mac!$A:$A,Output_Mac!E:E,""),
_xlpm.MyAuditVal,_xlfn.XLOOKUP($A248,My_Audit!$A:$A,My_Audit!E:E,""),
_xlfn.IFS(_xlpm.MyAuditVal&lt;&gt;"",_xlpm.MyAuditVal,_xlpm.MacVal&lt;&gt;"",_xlpm.MacVal,_xlpm.CSVVal&lt;&gt;"",_xlpm.CSVVal
)),"")</f>
        <v/>
      </c>
      <c r="G248" s="2" t="str" cm="1">
        <f t="array" ref="G248">IFERROR(_xlfn.LET(
_xlpm.CSVVal,_xlfn.XLOOKUP($A248,CSV!$A:$A,CSV!G:G,""),
_xlpm.MacVal,_xlfn.XLOOKUP($A248,Output_Mac!$A:$A,Output_Mac!F:F,""),
_xlpm.MyAuditVal,_xlfn.XLOOKUP($A248,My_Audit!$A:$A,My_Audit!F:F,""),
_xlfn.IFS(_xlpm.MyAuditVal&lt;&gt;"",_xlpm.MyAuditVal,_xlpm.MacVal&lt;&gt;"",_xlpm.MacVal,_xlpm.CSVVal&lt;&gt;"",PROPER(_xlpm.CSVVal)
)),"")</f>
        <v/>
      </c>
      <c r="H248" s="2" t="str" cm="1">
        <f t="array" ref="H248">IFERROR(_xlfn.LET(
_xlpm.CSVVal,_xlfn.XLOOKUP($A248,CSV!$A:$A,CSV!H:H,""),
_xlpm.MacVal,_xlfn.XLOOKUP($A248,Output_Mac!$A:$A,Output_Mac!H:H,""),
_xlpm.MyAuditVal,_xlfn.XLOOKUP($A248,My_Audit!$A:$A,My_Audit!G:G,""),
_xlfn.IFS(_xlpm.MyAuditVal&lt;&gt;"",_xlpm.MyAuditVal,_xlpm.MacVal&lt;&gt;"",_xlpm.MacVal,_xlpm.CSVVal&lt;&gt;"",_xlpm.CSVVal
)),"")</f>
        <v/>
      </c>
      <c r="I248" s="2" t="str">
        <f>_xlfn.XLOOKUP(A248,Output_Mac!A:A,Output_Mac!I:I,"")</f>
        <v/>
      </c>
      <c r="J248" s="2" t="str" cm="1">
        <f t="array" ref="J248">IFERROR(_xlfn.LET(
_xlpm.CSVVal,_xlfn.XLOOKUP($A248,CSV!$A:$A,CSV!I:I,""),
_xlpm.MacVal,_xlfn.XLOOKUP($A248,Output_Mac!$A:$A,Output_Mac!J:J,""),
_xlpm.MyAuditVal,_xlfn.XLOOKUP($A248,My_Audit!$A:$A,My_Audit!I:I,""),
_xlfn.IFS(_xlpm.MyAuditVal&lt;&gt;"",UPPER(_xlpm.MyAuditVal),_xlpm.MacVal&lt;&gt;"",_xlpm.MacVal,_xlpm.CSVVal&lt;&gt;"",_xlpm.CSVVal
)),"")</f>
        <v/>
      </c>
      <c r="K248" s="2" t="str" cm="1">
        <f t="array" ref="K248">IFERROR(_xlfn.LET(
_xlpm.CSVVal,_xlfn.XLOOKUP($A248,CSV!$A:$A,CSV!K:K,""),
_xlpm.MacVal,_xlfn.XLOOKUP($A248,Output_Mac!$A:$A,Output_Mac!K:K,""),
_xlpm.MyAuditVal,_xlfn.XLOOKUP($A248,My_Audit!$A:$A,My_Audit!J:J,""),
_xlfn.IFS(_xlpm.MyAuditVal&lt;&gt;"",UPPER(_xlpm.MyAuditVal),_xlpm.MacVal&lt;&gt;"",_xlpm.MacVal,_xlpm.CSVVal&lt;&gt;"",_xlpm.CSVVal
)),"")</f>
        <v/>
      </c>
      <c r="L248" s="2" t="str" cm="1">
        <f t="array" ref="L248">IFERROR(_xlfn.LET(
_xlpm.CSVVal,_xlfn.XLOOKUP($A248,CSV!$A:$A,CSV!P:P,""),
_xlpm.MacVal,_xlfn.XLOOKUP($A248,Output_Mac!$A:$A,Output_Mac!L:L,""),
_xlpm.MyAuditVal,_xlfn.XLOOKUP($A248,My_Audit!$A:$A,My_Audit!K:K,""),
_xlfn.IFS(_xlpm.MyAuditVal&lt;&gt;"",UPPER(_xlpm.MyAuditVal),_xlpm.MacVal&lt;&gt;"",_xlpm.MacVal,_xlpm.CSVVal&lt;&gt;"",_xlpm.CSVVal
)),"")</f>
        <v/>
      </c>
      <c r="M248" s="2" t="str" cm="1">
        <f t="array" ref="M248">IFERROR(_xlfn.LET(
_xlpm.CSVVal,_xlfn.XLOOKUP($A248,CSV!$A:$A,CSV!Q:Q,""),
_xlpm.MacVal,_xlfn.XLOOKUP($A248,Output_Mac!$A:$A,Output_Mac!M:M,""),
_xlpm.MyAuditVal,_xlfn.XLOOKUP($A248,My_Audit!$A:$A,My_Audit!L:L,""),
_xlfn.IFS(_xlpm.MyAuditVal&lt;&gt;"",UPPER(_xlpm.MyAuditVal),_xlpm.MacVal&lt;&gt;"",_xlpm.MacVal,_xlpm.CSVVal&lt;&gt;"",_xlpm.CSVVal
)),"")</f>
        <v/>
      </c>
      <c r="O248" s="2" t="str">
        <f>_xlfn.LET(
    _xlpm.CSVVal, _xlfn.XLOOKUP($A248, CSV!$A:$A, CSV!AF:AF, ""),
    _xlpm.MacVal, _xlfn.XLOOKUP($A248, Output_Mac!$A:$A, Output_Mac!S:S, ""),
    _xlpm.MyAuditVal, _xlfn.XLOOKUP($A248, My_Audit!$A:$A, My_Audit!P:P, ""),
    _xlfn.TEXTJOIN(", ", TRUE, _xlpm.MyAuditVal, _xlpm.MacVal, _xlpm.CSVVal)
)</f>
        <v/>
      </c>
      <c r="P248" s="2" t="str" cm="1">
        <f t="array" ref="P248">IFERROR(_xlfn.LET(
_xlpm.CSVVal,_xlfn.XLOOKUP($A248,CSV!$A:$A,CSV!AG:AG,""),
_xlpm.MacVal,_xlfn.XLOOKUP($A248,Output_Mac!$A:$A,Output_Mac!T:T,""),
_xlpm.MyAuditVal,_xlfn.XLOOKUP($A248,My_Audit!$A:$A,My_Audit!Q:Q,""),
_xlfn.IFS(_xlpm.MyAuditVal&lt;&gt;"",UPPER(_xlpm.MyAuditVal),_xlpm.MacVal&lt;&gt;"",_xlpm.MacVal,_xlpm.CSVVal&lt;&gt;"",_xlpm.CSVVal
)),"No")</f>
        <v>No</v>
      </c>
      <c r="Q248" s="2" t="str" cm="1">
        <f t="array" ref="Q248">IFERROR(_xlfn.LET(
_xlpm.CSVVal,_xlfn.XLOOKUP($A248,CSV!$A:$A,CSV!AH:AH,""),
_xlpm.MacVal,_xlfn.XLOOKUP($A248,Output_Mac!$A:$A,Output_Mac!U:U,""),
_xlpm.MyAuditVal,_xlfn.XLOOKUP($A248,My_Audit!$A:$A,My_Audit!R:R,""),
_xlfn.IFS(_xlpm.MyAuditVal&lt;&gt;"",UPPER(_xlpm.MyAuditVal),_xlpm.MacVal&lt;&gt;"",_xlpm.MacVal,_xlpm.CSVVal&lt;&gt;"",_xlpm.CSVVal
)),"")</f>
        <v/>
      </c>
    </row>
    <row r="249" spans="1:17">
      <c r="A249" s="2" t="str">
        <f>_xlfn.TEXTJOIN("",TRUE,Input!$B$2,ROW(My_Audit!A248))</f>
        <v>XX248</v>
      </c>
      <c r="B249" s="2" t="str">
        <f>_xlfn.TEXTJOIN("-",TRUE,"ITD",Input!$A$2,A249)</f>
        <v>ITD-SHRXXX-XX248</v>
      </c>
      <c r="C249" s="2" t="str" cm="1">
        <f t="array" ref="C249">IFERROR(_xlfn.LET(
_xlpm.CSVVal,_xlfn.XLOOKUP($A249,CSV!$A:$A,CSV!B:B,""),
_xlpm.MacVal,_xlfn.XLOOKUP($A249,Output_Mac!$A:$A,Output_Mac!B:B,""),
_xlpm.MyAuditVal,_xlfn.XLOOKUP($A249,My_Audit!$A:$A,My_Audit!B:B,""),
_xlfn.IFS(_xlpm.MyAuditVal&lt;&gt;"",UPPER(_xlpm.MyAuditVal),_xlpm.MacVal&lt;&gt;"",_xlpm.MacVal,_xlpm.CSVVal&lt;&gt;"",_xlpm.CSVVal
)),"")</f>
        <v/>
      </c>
      <c r="D249" s="2" t="str" cm="1">
        <f t="array" ref="D249">IFERROR(_xlfn.LET(
_xlpm.CSVVal,_xlfn.XLOOKUP($A249,CSV!$A:$A,CSV!D:D,""),
_xlpm.MacVal,_xlfn.XLOOKUP($A249,Output_Mac!$A:$A,Output_Mac!C:C,""),
_xlpm.MyAuditVal,_xlfn.XLOOKUP($A249,My_Audit!$A:$A,My_Audit!C:C,""),
_xlfn.IFS(_xlpm.MyAuditVal&lt;&gt;"",_xlpm.MyAuditVal,_xlpm.MacVal&lt;&gt;"",_xlpm.MacVal,_xlpm.CSVVal&lt;&gt;"",_xlpm.CSVVal
)),"")</f>
        <v/>
      </c>
      <c r="E249" s="2" t="str">
        <f>_xlfn.XLOOKUP(A249,My_Audit!A:A,My_Audit!D:D,"")&amp;""</f>
        <v/>
      </c>
      <c r="F249" s="2" t="str" cm="1">
        <f t="array" ref="F249">IFERROR(_xlfn.LET(
_xlpm.CSVVal,_xlfn.XLOOKUP($A249,CSV!$A:$A,CSV!F:F,""),
_xlpm.MacVal,_xlfn.XLOOKUP($A249,Output_Mac!$A:$A,Output_Mac!E:E,""),
_xlpm.MyAuditVal,_xlfn.XLOOKUP($A249,My_Audit!$A:$A,My_Audit!E:E,""),
_xlfn.IFS(_xlpm.MyAuditVal&lt;&gt;"",_xlpm.MyAuditVal,_xlpm.MacVal&lt;&gt;"",_xlpm.MacVal,_xlpm.CSVVal&lt;&gt;"",_xlpm.CSVVal
)),"")</f>
        <v/>
      </c>
      <c r="G249" s="2" t="str" cm="1">
        <f t="array" ref="G249">IFERROR(_xlfn.LET(
_xlpm.CSVVal,_xlfn.XLOOKUP($A249,CSV!$A:$A,CSV!G:G,""),
_xlpm.MacVal,_xlfn.XLOOKUP($A249,Output_Mac!$A:$A,Output_Mac!F:F,""),
_xlpm.MyAuditVal,_xlfn.XLOOKUP($A249,My_Audit!$A:$A,My_Audit!F:F,""),
_xlfn.IFS(_xlpm.MyAuditVal&lt;&gt;"",_xlpm.MyAuditVal,_xlpm.MacVal&lt;&gt;"",_xlpm.MacVal,_xlpm.CSVVal&lt;&gt;"",PROPER(_xlpm.CSVVal)
)),"")</f>
        <v/>
      </c>
      <c r="H249" s="2" t="str" cm="1">
        <f t="array" ref="H249">IFERROR(_xlfn.LET(
_xlpm.CSVVal,_xlfn.XLOOKUP($A249,CSV!$A:$A,CSV!H:H,""),
_xlpm.MacVal,_xlfn.XLOOKUP($A249,Output_Mac!$A:$A,Output_Mac!H:H,""),
_xlpm.MyAuditVal,_xlfn.XLOOKUP($A249,My_Audit!$A:$A,My_Audit!G:G,""),
_xlfn.IFS(_xlpm.MyAuditVal&lt;&gt;"",_xlpm.MyAuditVal,_xlpm.MacVal&lt;&gt;"",_xlpm.MacVal,_xlpm.CSVVal&lt;&gt;"",_xlpm.CSVVal
)),"")</f>
        <v/>
      </c>
      <c r="I249" s="2" t="str">
        <f>_xlfn.XLOOKUP(A249,Output_Mac!A:A,Output_Mac!I:I,"")</f>
        <v/>
      </c>
      <c r="J249" s="2" t="str" cm="1">
        <f t="array" ref="J249">IFERROR(_xlfn.LET(
_xlpm.CSVVal,_xlfn.XLOOKUP($A249,CSV!$A:$A,CSV!I:I,""),
_xlpm.MacVal,_xlfn.XLOOKUP($A249,Output_Mac!$A:$A,Output_Mac!J:J,""),
_xlpm.MyAuditVal,_xlfn.XLOOKUP($A249,My_Audit!$A:$A,My_Audit!I:I,""),
_xlfn.IFS(_xlpm.MyAuditVal&lt;&gt;"",UPPER(_xlpm.MyAuditVal),_xlpm.MacVal&lt;&gt;"",_xlpm.MacVal,_xlpm.CSVVal&lt;&gt;"",_xlpm.CSVVal
)),"")</f>
        <v/>
      </c>
      <c r="K249" s="2" t="str" cm="1">
        <f t="array" ref="K249">IFERROR(_xlfn.LET(
_xlpm.CSVVal,_xlfn.XLOOKUP($A249,CSV!$A:$A,CSV!K:K,""),
_xlpm.MacVal,_xlfn.XLOOKUP($A249,Output_Mac!$A:$A,Output_Mac!K:K,""),
_xlpm.MyAuditVal,_xlfn.XLOOKUP($A249,My_Audit!$A:$A,My_Audit!J:J,""),
_xlfn.IFS(_xlpm.MyAuditVal&lt;&gt;"",UPPER(_xlpm.MyAuditVal),_xlpm.MacVal&lt;&gt;"",_xlpm.MacVal,_xlpm.CSVVal&lt;&gt;"",_xlpm.CSVVal
)),"")</f>
        <v/>
      </c>
      <c r="L249" s="2" t="str" cm="1">
        <f t="array" ref="L249">IFERROR(_xlfn.LET(
_xlpm.CSVVal,_xlfn.XLOOKUP($A249,CSV!$A:$A,CSV!P:P,""),
_xlpm.MacVal,_xlfn.XLOOKUP($A249,Output_Mac!$A:$A,Output_Mac!L:L,""),
_xlpm.MyAuditVal,_xlfn.XLOOKUP($A249,My_Audit!$A:$A,My_Audit!K:K,""),
_xlfn.IFS(_xlpm.MyAuditVal&lt;&gt;"",UPPER(_xlpm.MyAuditVal),_xlpm.MacVal&lt;&gt;"",_xlpm.MacVal,_xlpm.CSVVal&lt;&gt;"",_xlpm.CSVVal
)),"")</f>
        <v/>
      </c>
      <c r="M249" s="2" t="str" cm="1">
        <f t="array" ref="M249">IFERROR(_xlfn.LET(
_xlpm.CSVVal,_xlfn.XLOOKUP($A249,CSV!$A:$A,CSV!Q:Q,""),
_xlpm.MacVal,_xlfn.XLOOKUP($A249,Output_Mac!$A:$A,Output_Mac!M:M,""),
_xlpm.MyAuditVal,_xlfn.XLOOKUP($A249,My_Audit!$A:$A,My_Audit!L:L,""),
_xlfn.IFS(_xlpm.MyAuditVal&lt;&gt;"",UPPER(_xlpm.MyAuditVal),_xlpm.MacVal&lt;&gt;"",_xlpm.MacVal,_xlpm.CSVVal&lt;&gt;"",_xlpm.CSVVal
)),"")</f>
        <v/>
      </c>
      <c r="O249" s="2" t="str">
        <f>_xlfn.LET(
    _xlpm.CSVVal, _xlfn.XLOOKUP($A249, CSV!$A:$A, CSV!AF:AF, ""),
    _xlpm.MacVal, _xlfn.XLOOKUP($A249, Output_Mac!$A:$A, Output_Mac!S:S, ""),
    _xlpm.MyAuditVal, _xlfn.XLOOKUP($A249, My_Audit!$A:$A, My_Audit!P:P, ""),
    _xlfn.TEXTJOIN(", ", TRUE, _xlpm.MyAuditVal, _xlpm.MacVal, _xlpm.CSVVal)
)</f>
        <v/>
      </c>
      <c r="P249" s="2" t="str" cm="1">
        <f t="array" ref="P249">IFERROR(_xlfn.LET(
_xlpm.CSVVal,_xlfn.XLOOKUP($A249,CSV!$A:$A,CSV!AG:AG,""),
_xlpm.MacVal,_xlfn.XLOOKUP($A249,Output_Mac!$A:$A,Output_Mac!T:T,""),
_xlpm.MyAuditVal,_xlfn.XLOOKUP($A249,My_Audit!$A:$A,My_Audit!Q:Q,""),
_xlfn.IFS(_xlpm.MyAuditVal&lt;&gt;"",UPPER(_xlpm.MyAuditVal),_xlpm.MacVal&lt;&gt;"",_xlpm.MacVal,_xlpm.CSVVal&lt;&gt;"",_xlpm.CSVVal
)),"No")</f>
        <v>No</v>
      </c>
      <c r="Q249" s="2" t="str" cm="1">
        <f t="array" ref="Q249">IFERROR(_xlfn.LET(
_xlpm.CSVVal,_xlfn.XLOOKUP($A249,CSV!$A:$A,CSV!AH:AH,""),
_xlpm.MacVal,_xlfn.XLOOKUP($A249,Output_Mac!$A:$A,Output_Mac!U:U,""),
_xlpm.MyAuditVal,_xlfn.XLOOKUP($A249,My_Audit!$A:$A,My_Audit!R:R,""),
_xlfn.IFS(_xlpm.MyAuditVal&lt;&gt;"",UPPER(_xlpm.MyAuditVal),_xlpm.MacVal&lt;&gt;"",_xlpm.MacVal,_xlpm.CSVVal&lt;&gt;"",_xlpm.CSVVal
)),"")</f>
        <v/>
      </c>
    </row>
    <row r="250" spans="1:17">
      <c r="A250" s="2" t="str">
        <f>_xlfn.TEXTJOIN("",TRUE,Input!$B$2,ROW(My_Audit!A249))</f>
        <v>XX249</v>
      </c>
      <c r="B250" s="2" t="str">
        <f>_xlfn.TEXTJOIN("-",TRUE,"ITD",Input!$A$2,A250)</f>
        <v>ITD-SHRXXX-XX249</v>
      </c>
      <c r="C250" s="2" t="str" cm="1">
        <f t="array" ref="C250">IFERROR(_xlfn.LET(
_xlpm.CSVVal,_xlfn.XLOOKUP($A250,CSV!$A:$A,CSV!B:B,""),
_xlpm.MacVal,_xlfn.XLOOKUP($A250,Output_Mac!$A:$A,Output_Mac!B:B,""),
_xlpm.MyAuditVal,_xlfn.XLOOKUP($A250,My_Audit!$A:$A,My_Audit!B:B,""),
_xlfn.IFS(_xlpm.MyAuditVal&lt;&gt;"",UPPER(_xlpm.MyAuditVal),_xlpm.MacVal&lt;&gt;"",_xlpm.MacVal,_xlpm.CSVVal&lt;&gt;"",_xlpm.CSVVal
)),"")</f>
        <v/>
      </c>
      <c r="D250" s="2" t="str" cm="1">
        <f t="array" ref="D250">IFERROR(_xlfn.LET(
_xlpm.CSVVal,_xlfn.XLOOKUP($A250,CSV!$A:$A,CSV!D:D,""),
_xlpm.MacVal,_xlfn.XLOOKUP($A250,Output_Mac!$A:$A,Output_Mac!C:C,""),
_xlpm.MyAuditVal,_xlfn.XLOOKUP($A250,My_Audit!$A:$A,My_Audit!C:C,""),
_xlfn.IFS(_xlpm.MyAuditVal&lt;&gt;"",_xlpm.MyAuditVal,_xlpm.MacVal&lt;&gt;"",_xlpm.MacVal,_xlpm.CSVVal&lt;&gt;"",_xlpm.CSVVal
)),"")</f>
        <v/>
      </c>
      <c r="E250" s="2" t="str">
        <f>_xlfn.XLOOKUP(A250,My_Audit!A:A,My_Audit!D:D,"")&amp;""</f>
        <v/>
      </c>
      <c r="F250" s="2" t="str" cm="1">
        <f t="array" ref="F250">IFERROR(_xlfn.LET(
_xlpm.CSVVal,_xlfn.XLOOKUP($A250,CSV!$A:$A,CSV!F:F,""),
_xlpm.MacVal,_xlfn.XLOOKUP($A250,Output_Mac!$A:$A,Output_Mac!E:E,""),
_xlpm.MyAuditVal,_xlfn.XLOOKUP($A250,My_Audit!$A:$A,My_Audit!E:E,""),
_xlfn.IFS(_xlpm.MyAuditVal&lt;&gt;"",_xlpm.MyAuditVal,_xlpm.MacVal&lt;&gt;"",_xlpm.MacVal,_xlpm.CSVVal&lt;&gt;"",_xlpm.CSVVal
)),"")</f>
        <v/>
      </c>
      <c r="G250" s="2" t="str" cm="1">
        <f t="array" ref="G250">IFERROR(_xlfn.LET(
_xlpm.CSVVal,_xlfn.XLOOKUP($A250,CSV!$A:$A,CSV!G:G,""),
_xlpm.MacVal,_xlfn.XLOOKUP($A250,Output_Mac!$A:$A,Output_Mac!F:F,""),
_xlpm.MyAuditVal,_xlfn.XLOOKUP($A250,My_Audit!$A:$A,My_Audit!F:F,""),
_xlfn.IFS(_xlpm.MyAuditVal&lt;&gt;"",_xlpm.MyAuditVal,_xlpm.MacVal&lt;&gt;"",_xlpm.MacVal,_xlpm.CSVVal&lt;&gt;"",PROPER(_xlpm.CSVVal)
)),"")</f>
        <v/>
      </c>
      <c r="H250" s="2" t="str" cm="1">
        <f t="array" ref="H250">IFERROR(_xlfn.LET(
_xlpm.CSVVal,_xlfn.XLOOKUP($A250,CSV!$A:$A,CSV!H:H,""),
_xlpm.MacVal,_xlfn.XLOOKUP($A250,Output_Mac!$A:$A,Output_Mac!H:H,""),
_xlpm.MyAuditVal,_xlfn.XLOOKUP($A250,My_Audit!$A:$A,My_Audit!G:G,""),
_xlfn.IFS(_xlpm.MyAuditVal&lt;&gt;"",_xlpm.MyAuditVal,_xlpm.MacVal&lt;&gt;"",_xlpm.MacVal,_xlpm.CSVVal&lt;&gt;"",_xlpm.CSVVal
)),"")</f>
        <v/>
      </c>
      <c r="I250" s="2" t="str">
        <f>_xlfn.XLOOKUP(A250,Output_Mac!A:A,Output_Mac!I:I,"")</f>
        <v/>
      </c>
      <c r="J250" s="2" t="str" cm="1">
        <f t="array" ref="J250">IFERROR(_xlfn.LET(
_xlpm.CSVVal,_xlfn.XLOOKUP($A250,CSV!$A:$A,CSV!I:I,""),
_xlpm.MacVal,_xlfn.XLOOKUP($A250,Output_Mac!$A:$A,Output_Mac!J:J,""),
_xlpm.MyAuditVal,_xlfn.XLOOKUP($A250,My_Audit!$A:$A,My_Audit!I:I,""),
_xlfn.IFS(_xlpm.MyAuditVal&lt;&gt;"",UPPER(_xlpm.MyAuditVal),_xlpm.MacVal&lt;&gt;"",_xlpm.MacVal,_xlpm.CSVVal&lt;&gt;"",_xlpm.CSVVal
)),"")</f>
        <v/>
      </c>
      <c r="K250" s="2" t="str" cm="1">
        <f t="array" ref="K250">IFERROR(_xlfn.LET(
_xlpm.CSVVal,_xlfn.XLOOKUP($A250,CSV!$A:$A,CSV!K:K,""),
_xlpm.MacVal,_xlfn.XLOOKUP($A250,Output_Mac!$A:$A,Output_Mac!K:K,""),
_xlpm.MyAuditVal,_xlfn.XLOOKUP($A250,My_Audit!$A:$A,My_Audit!J:J,""),
_xlfn.IFS(_xlpm.MyAuditVal&lt;&gt;"",UPPER(_xlpm.MyAuditVal),_xlpm.MacVal&lt;&gt;"",_xlpm.MacVal,_xlpm.CSVVal&lt;&gt;"",_xlpm.CSVVal
)),"")</f>
        <v/>
      </c>
      <c r="L250" s="2" t="str" cm="1">
        <f t="array" ref="L250">IFERROR(_xlfn.LET(
_xlpm.CSVVal,_xlfn.XLOOKUP($A250,CSV!$A:$A,CSV!P:P,""),
_xlpm.MacVal,_xlfn.XLOOKUP($A250,Output_Mac!$A:$A,Output_Mac!L:L,""),
_xlpm.MyAuditVal,_xlfn.XLOOKUP($A250,My_Audit!$A:$A,My_Audit!K:K,""),
_xlfn.IFS(_xlpm.MyAuditVal&lt;&gt;"",UPPER(_xlpm.MyAuditVal),_xlpm.MacVal&lt;&gt;"",_xlpm.MacVal,_xlpm.CSVVal&lt;&gt;"",_xlpm.CSVVal
)),"")</f>
        <v/>
      </c>
      <c r="M250" s="2" t="str" cm="1">
        <f t="array" ref="M250">IFERROR(_xlfn.LET(
_xlpm.CSVVal,_xlfn.XLOOKUP($A250,CSV!$A:$A,CSV!Q:Q,""),
_xlpm.MacVal,_xlfn.XLOOKUP($A250,Output_Mac!$A:$A,Output_Mac!M:M,""),
_xlpm.MyAuditVal,_xlfn.XLOOKUP($A250,My_Audit!$A:$A,My_Audit!L:L,""),
_xlfn.IFS(_xlpm.MyAuditVal&lt;&gt;"",UPPER(_xlpm.MyAuditVal),_xlpm.MacVal&lt;&gt;"",_xlpm.MacVal,_xlpm.CSVVal&lt;&gt;"",_xlpm.CSVVal
)),"")</f>
        <v/>
      </c>
      <c r="O250" s="2" t="str">
        <f>_xlfn.LET(
    _xlpm.CSVVal, _xlfn.XLOOKUP($A250, CSV!$A:$A, CSV!AF:AF, ""),
    _xlpm.MacVal, _xlfn.XLOOKUP($A250, Output_Mac!$A:$A, Output_Mac!S:S, ""),
    _xlpm.MyAuditVal, _xlfn.XLOOKUP($A250, My_Audit!$A:$A, My_Audit!P:P, ""),
    _xlfn.TEXTJOIN(", ", TRUE, _xlpm.MyAuditVal, _xlpm.MacVal, _xlpm.CSVVal)
)</f>
        <v/>
      </c>
      <c r="P250" s="2" t="str" cm="1">
        <f t="array" ref="P250">IFERROR(_xlfn.LET(
_xlpm.CSVVal,_xlfn.XLOOKUP($A250,CSV!$A:$A,CSV!AG:AG,""),
_xlpm.MacVal,_xlfn.XLOOKUP($A250,Output_Mac!$A:$A,Output_Mac!T:T,""),
_xlpm.MyAuditVal,_xlfn.XLOOKUP($A250,My_Audit!$A:$A,My_Audit!Q:Q,""),
_xlfn.IFS(_xlpm.MyAuditVal&lt;&gt;"",UPPER(_xlpm.MyAuditVal),_xlpm.MacVal&lt;&gt;"",_xlpm.MacVal,_xlpm.CSVVal&lt;&gt;"",_xlpm.CSVVal
)),"No")</f>
        <v>No</v>
      </c>
      <c r="Q250" s="2" t="str" cm="1">
        <f t="array" ref="Q250">IFERROR(_xlfn.LET(
_xlpm.CSVVal,_xlfn.XLOOKUP($A250,CSV!$A:$A,CSV!AH:AH,""),
_xlpm.MacVal,_xlfn.XLOOKUP($A250,Output_Mac!$A:$A,Output_Mac!U:U,""),
_xlpm.MyAuditVal,_xlfn.XLOOKUP($A250,My_Audit!$A:$A,My_Audit!R:R,""),
_xlfn.IFS(_xlpm.MyAuditVal&lt;&gt;"",UPPER(_xlpm.MyAuditVal),_xlpm.MacVal&lt;&gt;"",_xlpm.MacVal,_xlpm.CSVVal&lt;&gt;"",_xlpm.CSVVal
)),"")</f>
        <v/>
      </c>
    </row>
    <row r="251" spans="1:17">
      <c r="A251" s="2" t="str">
        <f>_xlfn.TEXTJOIN("",TRUE,Input!$B$2,ROW(My_Audit!A250))</f>
        <v>XX250</v>
      </c>
      <c r="B251" s="2" t="str">
        <f>_xlfn.TEXTJOIN("-",TRUE,"ITD",Input!$A$2,A251)</f>
        <v>ITD-SHRXXX-XX250</v>
      </c>
      <c r="C251" s="2" t="str" cm="1">
        <f t="array" ref="C251">IFERROR(_xlfn.LET(
_xlpm.CSVVal,_xlfn.XLOOKUP($A251,CSV!$A:$A,CSV!B:B,""),
_xlpm.MacVal,_xlfn.XLOOKUP($A251,Output_Mac!$A:$A,Output_Mac!B:B,""),
_xlpm.MyAuditVal,_xlfn.XLOOKUP($A251,My_Audit!$A:$A,My_Audit!B:B,""),
_xlfn.IFS(_xlpm.MyAuditVal&lt;&gt;"",UPPER(_xlpm.MyAuditVal),_xlpm.MacVal&lt;&gt;"",_xlpm.MacVal,_xlpm.CSVVal&lt;&gt;"",_xlpm.CSVVal
)),"")</f>
        <v/>
      </c>
      <c r="D251" s="2" t="str" cm="1">
        <f t="array" ref="D251">IFERROR(_xlfn.LET(
_xlpm.CSVVal,_xlfn.XLOOKUP($A251,CSV!$A:$A,CSV!D:D,""),
_xlpm.MacVal,_xlfn.XLOOKUP($A251,Output_Mac!$A:$A,Output_Mac!C:C,""),
_xlpm.MyAuditVal,_xlfn.XLOOKUP($A251,My_Audit!$A:$A,My_Audit!C:C,""),
_xlfn.IFS(_xlpm.MyAuditVal&lt;&gt;"",_xlpm.MyAuditVal,_xlpm.MacVal&lt;&gt;"",_xlpm.MacVal,_xlpm.CSVVal&lt;&gt;"",_xlpm.CSVVal
)),"")</f>
        <v/>
      </c>
      <c r="E251" s="2" t="str">
        <f>_xlfn.XLOOKUP(A251,My_Audit!A:A,My_Audit!D:D,"")&amp;""</f>
        <v/>
      </c>
      <c r="F251" s="2" t="str" cm="1">
        <f t="array" ref="F251">IFERROR(_xlfn.LET(
_xlpm.CSVVal,_xlfn.XLOOKUP($A251,CSV!$A:$A,CSV!F:F,""),
_xlpm.MacVal,_xlfn.XLOOKUP($A251,Output_Mac!$A:$A,Output_Mac!E:E,""),
_xlpm.MyAuditVal,_xlfn.XLOOKUP($A251,My_Audit!$A:$A,My_Audit!E:E,""),
_xlfn.IFS(_xlpm.MyAuditVal&lt;&gt;"",_xlpm.MyAuditVal,_xlpm.MacVal&lt;&gt;"",_xlpm.MacVal,_xlpm.CSVVal&lt;&gt;"",_xlpm.CSVVal
)),"")</f>
        <v/>
      </c>
      <c r="G251" s="2" t="str" cm="1">
        <f t="array" ref="G251">IFERROR(_xlfn.LET(
_xlpm.CSVVal,_xlfn.XLOOKUP($A251,CSV!$A:$A,CSV!G:G,""),
_xlpm.MacVal,_xlfn.XLOOKUP($A251,Output_Mac!$A:$A,Output_Mac!F:F,""),
_xlpm.MyAuditVal,_xlfn.XLOOKUP($A251,My_Audit!$A:$A,My_Audit!F:F,""),
_xlfn.IFS(_xlpm.MyAuditVal&lt;&gt;"",_xlpm.MyAuditVal,_xlpm.MacVal&lt;&gt;"",_xlpm.MacVal,_xlpm.CSVVal&lt;&gt;"",PROPER(_xlpm.CSVVal)
)),"")</f>
        <v/>
      </c>
      <c r="H251" s="2" t="str" cm="1">
        <f t="array" ref="H251">IFERROR(_xlfn.LET(
_xlpm.CSVVal,_xlfn.XLOOKUP($A251,CSV!$A:$A,CSV!H:H,""),
_xlpm.MacVal,_xlfn.XLOOKUP($A251,Output_Mac!$A:$A,Output_Mac!H:H,""),
_xlpm.MyAuditVal,_xlfn.XLOOKUP($A251,My_Audit!$A:$A,My_Audit!G:G,""),
_xlfn.IFS(_xlpm.MyAuditVal&lt;&gt;"",_xlpm.MyAuditVal,_xlpm.MacVal&lt;&gt;"",_xlpm.MacVal,_xlpm.CSVVal&lt;&gt;"",_xlpm.CSVVal
)),"")</f>
        <v/>
      </c>
      <c r="I251" s="2" t="str">
        <f>_xlfn.XLOOKUP(A251,Output_Mac!A:A,Output_Mac!I:I,"")</f>
        <v/>
      </c>
      <c r="J251" s="2" t="str" cm="1">
        <f t="array" ref="J251">IFERROR(_xlfn.LET(
_xlpm.CSVVal,_xlfn.XLOOKUP($A251,CSV!$A:$A,CSV!I:I,""),
_xlpm.MacVal,_xlfn.XLOOKUP($A251,Output_Mac!$A:$A,Output_Mac!J:J,""),
_xlpm.MyAuditVal,_xlfn.XLOOKUP($A251,My_Audit!$A:$A,My_Audit!I:I,""),
_xlfn.IFS(_xlpm.MyAuditVal&lt;&gt;"",UPPER(_xlpm.MyAuditVal),_xlpm.MacVal&lt;&gt;"",_xlpm.MacVal,_xlpm.CSVVal&lt;&gt;"",_xlpm.CSVVal
)),"")</f>
        <v/>
      </c>
      <c r="K251" s="2" t="str" cm="1">
        <f t="array" ref="K251">IFERROR(_xlfn.LET(
_xlpm.CSVVal,_xlfn.XLOOKUP($A251,CSV!$A:$A,CSV!K:K,""),
_xlpm.MacVal,_xlfn.XLOOKUP($A251,Output_Mac!$A:$A,Output_Mac!K:K,""),
_xlpm.MyAuditVal,_xlfn.XLOOKUP($A251,My_Audit!$A:$A,My_Audit!J:J,""),
_xlfn.IFS(_xlpm.MyAuditVal&lt;&gt;"",UPPER(_xlpm.MyAuditVal),_xlpm.MacVal&lt;&gt;"",_xlpm.MacVal,_xlpm.CSVVal&lt;&gt;"",_xlpm.CSVVal
)),"")</f>
        <v/>
      </c>
      <c r="L251" s="2" t="str" cm="1">
        <f t="array" ref="L251">IFERROR(_xlfn.LET(
_xlpm.CSVVal,_xlfn.XLOOKUP($A251,CSV!$A:$A,CSV!P:P,""),
_xlpm.MacVal,_xlfn.XLOOKUP($A251,Output_Mac!$A:$A,Output_Mac!L:L,""),
_xlpm.MyAuditVal,_xlfn.XLOOKUP($A251,My_Audit!$A:$A,My_Audit!K:K,""),
_xlfn.IFS(_xlpm.MyAuditVal&lt;&gt;"",UPPER(_xlpm.MyAuditVal),_xlpm.MacVal&lt;&gt;"",_xlpm.MacVal,_xlpm.CSVVal&lt;&gt;"",_xlpm.CSVVal
)),"")</f>
        <v/>
      </c>
      <c r="M251" s="2" t="str" cm="1">
        <f t="array" ref="M251">IFERROR(_xlfn.LET(
_xlpm.CSVVal,_xlfn.XLOOKUP($A251,CSV!$A:$A,CSV!Q:Q,""),
_xlpm.MacVal,_xlfn.XLOOKUP($A251,Output_Mac!$A:$A,Output_Mac!M:M,""),
_xlpm.MyAuditVal,_xlfn.XLOOKUP($A251,My_Audit!$A:$A,My_Audit!L:L,""),
_xlfn.IFS(_xlpm.MyAuditVal&lt;&gt;"",UPPER(_xlpm.MyAuditVal),_xlpm.MacVal&lt;&gt;"",_xlpm.MacVal,_xlpm.CSVVal&lt;&gt;"",_xlpm.CSVVal
)),"")</f>
        <v/>
      </c>
      <c r="O251" s="2" t="str">
        <f>_xlfn.LET(
    _xlpm.CSVVal, _xlfn.XLOOKUP($A251, CSV!$A:$A, CSV!AF:AF, ""),
    _xlpm.MacVal, _xlfn.XLOOKUP($A251, Output_Mac!$A:$A, Output_Mac!S:S, ""),
    _xlpm.MyAuditVal, _xlfn.XLOOKUP($A251, My_Audit!$A:$A, My_Audit!P:P, ""),
    _xlfn.TEXTJOIN(", ", TRUE, _xlpm.MyAuditVal, _xlpm.MacVal, _xlpm.CSVVal)
)</f>
        <v/>
      </c>
      <c r="P251" s="2" t="str" cm="1">
        <f t="array" ref="P251">IFERROR(_xlfn.LET(
_xlpm.CSVVal,_xlfn.XLOOKUP($A251,CSV!$A:$A,CSV!AG:AG,""),
_xlpm.MacVal,_xlfn.XLOOKUP($A251,Output_Mac!$A:$A,Output_Mac!T:T,""),
_xlpm.MyAuditVal,_xlfn.XLOOKUP($A251,My_Audit!$A:$A,My_Audit!Q:Q,""),
_xlfn.IFS(_xlpm.MyAuditVal&lt;&gt;"",UPPER(_xlpm.MyAuditVal),_xlpm.MacVal&lt;&gt;"",_xlpm.MacVal,_xlpm.CSVVal&lt;&gt;"",_xlpm.CSVVal
)),"No")</f>
        <v>No</v>
      </c>
      <c r="Q251" s="2" t="str" cm="1">
        <f t="array" ref="Q251">IFERROR(_xlfn.LET(
_xlpm.CSVVal,_xlfn.XLOOKUP($A251,CSV!$A:$A,CSV!AH:AH,""),
_xlpm.MacVal,_xlfn.XLOOKUP($A251,Output_Mac!$A:$A,Output_Mac!U:U,""),
_xlpm.MyAuditVal,_xlfn.XLOOKUP($A251,My_Audit!$A:$A,My_Audit!R:R,""),
_xlfn.IFS(_xlpm.MyAuditVal&lt;&gt;"",UPPER(_xlpm.MyAuditVal),_xlpm.MacVal&lt;&gt;"",_xlpm.MacVal,_xlpm.CSVVal&lt;&gt;"",_xlpm.CSVVal
)),"")</f>
        <v/>
      </c>
    </row>
    <row r="252" spans="1:17">
      <c r="A252" s="2" t="str">
        <f>_xlfn.TEXTJOIN("",TRUE,Input!$B$2,ROW(My_Audit!A251))</f>
        <v>XX251</v>
      </c>
      <c r="B252" s="2" t="str">
        <f>_xlfn.TEXTJOIN("-",TRUE,"ITD",Input!$A$2,A252)</f>
        <v>ITD-SHRXXX-XX251</v>
      </c>
      <c r="C252" s="2" t="str" cm="1">
        <f t="array" ref="C252">IFERROR(_xlfn.LET(
_xlpm.CSVVal,_xlfn.XLOOKUP($A252,CSV!$A:$A,CSV!B:B,""),
_xlpm.MacVal,_xlfn.XLOOKUP($A252,Output_Mac!$A:$A,Output_Mac!B:B,""),
_xlpm.MyAuditVal,_xlfn.XLOOKUP($A252,My_Audit!$A:$A,My_Audit!B:B,""),
_xlfn.IFS(_xlpm.MyAuditVal&lt;&gt;"",UPPER(_xlpm.MyAuditVal),_xlpm.MacVal&lt;&gt;"",_xlpm.MacVal,_xlpm.CSVVal&lt;&gt;"",_xlpm.CSVVal
)),"")</f>
        <v/>
      </c>
      <c r="D252" s="2" t="str" cm="1">
        <f t="array" ref="D252">IFERROR(_xlfn.LET(
_xlpm.CSVVal,_xlfn.XLOOKUP($A252,CSV!$A:$A,CSV!D:D,""),
_xlpm.MacVal,_xlfn.XLOOKUP($A252,Output_Mac!$A:$A,Output_Mac!C:C,""),
_xlpm.MyAuditVal,_xlfn.XLOOKUP($A252,My_Audit!$A:$A,My_Audit!C:C,""),
_xlfn.IFS(_xlpm.MyAuditVal&lt;&gt;"",_xlpm.MyAuditVal,_xlpm.MacVal&lt;&gt;"",_xlpm.MacVal,_xlpm.CSVVal&lt;&gt;"",_xlpm.CSVVal
)),"")</f>
        <v/>
      </c>
      <c r="E252" s="2" t="str">
        <f>_xlfn.XLOOKUP(A252,My_Audit!A:A,My_Audit!D:D,"")&amp;""</f>
        <v/>
      </c>
      <c r="F252" s="2" t="str" cm="1">
        <f t="array" ref="F252">IFERROR(_xlfn.LET(
_xlpm.CSVVal,_xlfn.XLOOKUP($A252,CSV!$A:$A,CSV!F:F,""),
_xlpm.MacVal,_xlfn.XLOOKUP($A252,Output_Mac!$A:$A,Output_Mac!E:E,""),
_xlpm.MyAuditVal,_xlfn.XLOOKUP($A252,My_Audit!$A:$A,My_Audit!E:E,""),
_xlfn.IFS(_xlpm.MyAuditVal&lt;&gt;"",_xlpm.MyAuditVal,_xlpm.MacVal&lt;&gt;"",_xlpm.MacVal,_xlpm.CSVVal&lt;&gt;"",_xlpm.CSVVal
)),"")</f>
        <v/>
      </c>
      <c r="G252" s="2" t="str" cm="1">
        <f t="array" ref="G252">IFERROR(_xlfn.LET(
_xlpm.CSVVal,_xlfn.XLOOKUP($A252,CSV!$A:$A,CSV!G:G,""),
_xlpm.MacVal,_xlfn.XLOOKUP($A252,Output_Mac!$A:$A,Output_Mac!F:F,""),
_xlpm.MyAuditVal,_xlfn.XLOOKUP($A252,My_Audit!$A:$A,My_Audit!F:F,""),
_xlfn.IFS(_xlpm.MyAuditVal&lt;&gt;"",_xlpm.MyAuditVal,_xlpm.MacVal&lt;&gt;"",_xlpm.MacVal,_xlpm.CSVVal&lt;&gt;"",PROPER(_xlpm.CSVVal)
)),"")</f>
        <v/>
      </c>
      <c r="H252" s="2" t="str" cm="1">
        <f t="array" ref="H252">IFERROR(_xlfn.LET(
_xlpm.CSVVal,_xlfn.XLOOKUP($A252,CSV!$A:$A,CSV!H:H,""),
_xlpm.MacVal,_xlfn.XLOOKUP($A252,Output_Mac!$A:$A,Output_Mac!H:H,""),
_xlpm.MyAuditVal,_xlfn.XLOOKUP($A252,My_Audit!$A:$A,My_Audit!G:G,""),
_xlfn.IFS(_xlpm.MyAuditVal&lt;&gt;"",_xlpm.MyAuditVal,_xlpm.MacVal&lt;&gt;"",_xlpm.MacVal,_xlpm.CSVVal&lt;&gt;"",_xlpm.CSVVal
)),"")</f>
        <v/>
      </c>
      <c r="I252" s="2" t="str">
        <f>_xlfn.XLOOKUP(A252,Output_Mac!A:A,Output_Mac!I:I,"")</f>
        <v/>
      </c>
      <c r="J252" s="2" t="str" cm="1">
        <f t="array" ref="J252">IFERROR(_xlfn.LET(
_xlpm.CSVVal,_xlfn.XLOOKUP($A252,CSV!$A:$A,CSV!I:I,""),
_xlpm.MacVal,_xlfn.XLOOKUP($A252,Output_Mac!$A:$A,Output_Mac!J:J,""),
_xlpm.MyAuditVal,_xlfn.XLOOKUP($A252,My_Audit!$A:$A,My_Audit!I:I,""),
_xlfn.IFS(_xlpm.MyAuditVal&lt;&gt;"",UPPER(_xlpm.MyAuditVal),_xlpm.MacVal&lt;&gt;"",_xlpm.MacVal,_xlpm.CSVVal&lt;&gt;"",_xlpm.CSVVal
)),"")</f>
        <v/>
      </c>
      <c r="K252" s="2" t="str" cm="1">
        <f t="array" ref="K252">IFERROR(_xlfn.LET(
_xlpm.CSVVal,_xlfn.XLOOKUP($A252,CSV!$A:$A,CSV!K:K,""),
_xlpm.MacVal,_xlfn.XLOOKUP($A252,Output_Mac!$A:$A,Output_Mac!K:K,""),
_xlpm.MyAuditVal,_xlfn.XLOOKUP($A252,My_Audit!$A:$A,My_Audit!J:J,""),
_xlfn.IFS(_xlpm.MyAuditVal&lt;&gt;"",UPPER(_xlpm.MyAuditVal),_xlpm.MacVal&lt;&gt;"",_xlpm.MacVal,_xlpm.CSVVal&lt;&gt;"",_xlpm.CSVVal
)),"")</f>
        <v/>
      </c>
      <c r="L252" s="2" t="str" cm="1">
        <f t="array" ref="L252">IFERROR(_xlfn.LET(
_xlpm.CSVVal,_xlfn.XLOOKUP($A252,CSV!$A:$A,CSV!P:P,""),
_xlpm.MacVal,_xlfn.XLOOKUP($A252,Output_Mac!$A:$A,Output_Mac!L:L,""),
_xlpm.MyAuditVal,_xlfn.XLOOKUP($A252,My_Audit!$A:$A,My_Audit!K:K,""),
_xlfn.IFS(_xlpm.MyAuditVal&lt;&gt;"",UPPER(_xlpm.MyAuditVal),_xlpm.MacVal&lt;&gt;"",_xlpm.MacVal,_xlpm.CSVVal&lt;&gt;"",_xlpm.CSVVal
)),"")</f>
        <v/>
      </c>
      <c r="M252" s="2" t="str" cm="1">
        <f t="array" ref="M252">IFERROR(_xlfn.LET(
_xlpm.CSVVal,_xlfn.XLOOKUP($A252,CSV!$A:$A,CSV!Q:Q,""),
_xlpm.MacVal,_xlfn.XLOOKUP($A252,Output_Mac!$A:$A,Output_Mac!M:M,""),
_xlpm.MyAuditVal,_xlfn.XLOOKUP($A252,My_Audit!$A:$A,My_Audit!L:L,""),
_xlfn.IFS(_xlpm.MyAuditVal&lt;&gt;"",UPPER(_xlpm.MyAuditVal),_xlpm.MacVal&lt;&gt;"",_xlpm.MacVal,_xlpm.CSVVal&lt;&gt;"",_xlpm.CSVVal
)),"")</f>
        <v/>
      </c>
      <c r="O252" s="2" t="str">
        <f>_xlfn.LET(
    _xlpm.CSVVal, _xlfn.XLOOKUP($A252, CSV!$A:$A, CSV!AF:AF, ""),
    _xlpm.MacVal, _xlfn.XLOOKUP($A252, Output_Mac!$A:$A, Output_Mac!S:S, ""),
    _xlpm.MyAuditVal, _xlfn.XLOOKUP($A252, My_Audit!$A:$A, My_Audit!P:P, ""),
    _xlfn.TEXTJOIN(", ", TRUE, _xlpm.MyAuditVal, _xlpm.MacVal, _xlpm.CSVVal)
)</f>
        <v/>
      </c>
      <c r="P252" s="2" t="str" cm="1">
        <f t="array" ref="P252">IFERROR(_xlfn.LET(
_xlpm.CSVVal,_xlfn.XLOOKUP($A252,CSV!$A:$A,CSV!AG:AG,""),
_xlpm.MacVal,_xlfn.XLOOKUP($A252,Output_Mac!$A:$A,Output_Mac!T:T,""),
_xlpm.MyAuditVal,_xlfn.XLOOKUP($A252,My_Audit!$A:$A,My_Audit!Q:Q,""),
_xlfn.IFS(_xlpm.MyAuditVal&lt;&gt;"",UPPER(_xlpm.MyAuditVal),_xlpm.MacVal&lt;&gt;"",_xlpm.MacVal,_xlpm.CSVVal&lt;&gt;"",_xlpm.CSVVal
)),"No")</f>
        <v>No</v>
      </c>
      <c r="Q252" s="2" t="str" cm="1">
        <f t="array" ref="Q252">IFERROR(_xlfn.LET(
_xlpm.CSVVal,_xlfn.XLOOKUP($A252,CSV!$A:$A,CSV!AH:AH,""),
_xlpm.MacVal,_xlfn.XLOOKUP($A252,Output_Mac!$A:$A,Output_Mac!U:U,""),
_xlpm.MyAuditVal,_xlfn.XLOOKUP($A252,My_Audit!$A:$A,My_Audit!R:R,""),
_xlfn.IFS(_xlpm.MyAuditVal&lt;&gt;"",UPPER(_xlpm.MyAuditVal),_xlpm.MacVal&lt;&gt;"",_xlpm.MacVal,_xlpm.CSVVal&lt;&gt;"",_xlpm.CSVVal
)),"")</f>
        <v/>
      </c>
    </row>
    <row r="253" spans="1:17">
      <c r="A253" s="2" t="str">
        <f>_xlfn.TEXTJOIN("",TRUE,Input!$B$2,ROW(My_Audit!A252))</f>
        <v>XX252</v>
      </c>
      <c r="B253" s="2" t="str">
        <f>_xlfn.TEXTJOIN("-",TRUE,"ITD",Input!$A$2,A253)</f>
        <v>ITD-SHRXXX-XX252</v>
      </c>
      <c r="C253" s="2" t="str" cm="1">
        <f t="array" ref="C253">IFERROR(_xlfn.LET(
_xlpm.CSVVal,_xlfn.XLOOKUP($A253,CSV!$A:$A,CSV!B:B,""),
_xlpm.MacVal,_xlfn.XLOOKUP($A253,Output_Mac!$A:$A,Output_Mac!B:B,""),
_xlpm.MyAuditVal,_xlfn.XLOOKUP($A253,My_Audit!$A:$A,My_Audit!B:B,""),
_xlfn.IFS(_xlpm.MyAuditVal&lt;&gt;"",UPPER(_xlpm.MyAuditVal),_xlpm.MacVal&lt;&gt;"",_xlpm.MacVal,_xlpm.CSVVal&lt;&gt;"",_xlpm.CSVVal
)),"")</f>
        <v/>
      </c>
      <c r="D253" s="2" t="str" cm="1">
        <f t="array" ref="D253">IFERROR(_xlfn.LET(
_xlpm.CSVVal,_xlfn.XLOOKUP($A253,CSV!$A:$A,CSV!D:D,""),
_xlpm.MacVal,_xlfn.XLOOKUP($A253,Output_Mac!$A:$A,Output_Mac!C:C,""),
_xlpm.MyAuditVal,_xlfn.XLOOKUP($A253,My_Audit!$A:$A,My_Audit!C:C,""),
_xlfn.IFS(_xlpm.MyAuditVal&lt;&gt;"",_xlpm.MyAuditVal,_xlpm.MacVal&lt;&gt;"",_xlpm.MacVal,_xlpm.CSVVal&lt;&gt;"",_xlpm.CSVVal
)),"")</f>
        <v/>
      </c>
      <c r="E253" s="2" t="str">
        <f>_xlfn.XLOOKUP(A253,My_Audit!A:A,My_Audit!D:D,"")&amp;""</f>
        <v/>
      </c>
      <c r="F253" s="2" t="str" cm="1">
        <f t="array" ref="F253">IFERROR(_xlfn.LET(
_xlpm.CSVVal,_xlfn.XLOOKUP($A253,CSV!$A:$A,CSV!F:F,""),
_xlpm.MacVal,_xlfn.XLOOKUP($A253,Output_Mac!$A:$A,Output_Mac!E:E,""),
_xlpm.MyAuditVal,_xlfn.XLOOKUP($A253,My_Audit!$A:$A,My_Audit!E:E,""),
_xlfn.IFS(_xlpm.MyAuditVal&lt;&gt;"",_xlpm.MyAuditVal,_xlpm.MacVal&lt;&gt;"",_xlpm.MacVal,_xlpm.CSVVal&lt;&gt;"",_xlpm.CSVVal
)),"")</f>
        <v/>
      </c>
      <c r="G253" s="2" t="str" cm="1">
        <f t="array" ref="G253">IFERROR(_xlfn.LET(
_xlpm.CSVVal,_xlfn.XLOOKUP($A253,CSV!$A:$A,CSV!G:G,""),
_xlpm.MacVal,_xlfn.XLOOKUP($A253,Output_Mac!$A:$A,Output_Mac!F:F,""),
_xlpm.MyAuditVal,_xlfn.XLOOKUP($A253,My_Audit!$A:$A,My_Audit!F:F,""),
_xlfn.IFS(_xlpm.MyAuditVal&lt;&gt;"",_xlpm.MyAuditVal,_xlpm.MacVal&lt;&gt;"",_xlpm.MacVal,_xlpm.CSVVal&lt;&gt;"",PROPER(_xlpm.CSVVal)
)),"")</f>
        <v/>
      </c>
      <c r="H253" s="2" t="str" cm="1">
        <f t="array" ref="H253">IFERROR(_xlfn.LET(
_xlpm.CSVVal,_xlfn.XLOOKUP($A253,CSV!$A:$A,CSV!H:H,""),
_xlpm.MacVal,_xlfn.XLOOKUP($A253,Output_Mac!$A:$A,Output_Mac!H:H,""),
_xlpm.MyAuditVal,_xlfn.XLOOKUP($A253,My_Audit!$A:$A,My_Audit!G:G,""),
_xlfn.IFS(_xlpm.MyAuditVal&lt;&gt;"",_xlpm.MyAuditVal,_xlpm.MacVal&lt;&gt;"",_xlpm.MacVal,_xlpm.CSVVal&lt;&gt;"",_xlpm.CSVVal
)),"")</f>
        <v/>
      </c>
      <c r="I253" s="2" t="str">
        <f>_xlfn.XLOOKUP(A253,Output_Mac!A:A,Output_Mac!I:I,"")</f>
        <v/>
      </c>
      <c r="J253" s="2" t="str" cm="1">
        <f t="array" ref="J253">IFERROR(_xlfn.LET(
_xlpm.CSVVal,_xlfn.XLOOKUP($A253,CSV!$A:$A,CSV!I:I,""),
_xlpm.MacVal,_xlfn.XLOOKUP($A253,Output_Mac!$A:$A,Output_Mac!J:J,""),
_xlpm.MyAuditVal,_xlfn.XLOOKUP($A253,My_Audit!$A:$A,My_Audit!I:I,""),
_xlfn.IFS(_xlpm.MyAuditVal&lt;&gt;"",UPPER(_xlpm.MyAuditVal),_xlpm.MacVal&lt;&gt;"",_xlpm.MacVal,_xlpm.CSVVal&lt;&gt;"",_xlpm.CSVVal
)),"")</f>
        <v/>
      </c>
      <c r="K253" s="2" t="str" cm="1">
        <f t="array" ref="K253">IFERROR(_xlfn.LET(
_xlpm.CSVVal,_xlfn.XLOOKUP($A253,CSV!$A:$A,CSV!K:K,""),
_xlpm.MacVal,_xlfn.XLOOKUP($A253,Output_Mac!$A:$A,Output_Mac!K:K,""),
_xlpm.MyAuditVal,_xlfn.XLOOKUP($A253,My_Audit!$A:$A,My_Audit!J:J,""),
_xlfn.IFS(_xlpm.MyAuditVal&lt;&gt;"",UPPER(_xlpm.MyAuditVal),_xlpm.MacVal&lt;&gt;"",_xlpm.MacVal,_xlpm.CSVVal&lt;&gt;"",_xlpm.CSVVal
)),"")</f>
        <v/>
      </c>
      <c r="L253" s="2" t="str" cm="1">
        <f t="array" ref="L253">IFERROR(_xlfn.LET(
_xlpm.CSVVal,_xlfn.XLOOKUP($A253,CSV!$A:$A,CSV!P:P,""),
_xlpm.MacVal,_xlfn.XLOOKUP($A253,Output_Mac!$A:$A,Output_Mac!L:L,""),
_xlpm.MyAuditVal,_xlfn.XLOOKUP($A253,My_Audit!$A:$A,My_Audit!K:K,""),
_xlfn.IFS(_xlpm.MyAuditVal&lt;&gt;"",UPPER(_xlpm.MyAuditVal),_xlpm.MacVal&lt;&gt;"",_xlpm.MacVal,_xlpm.CSVVal&lt;&gt;"",_xlpm.CSVVal
)),"")</f>
        <v/>
      </c>
      <c r="M253" s="2" t="str" cm="1">
        <f t="array" ref="M253">IFERROR(_xlfn.LET(
_xlpm.CSVVal,_xlfn.XLOOKUP($A253,CSV!$A:$A,CSV!Q:Q,""),
_xlpm.MacVal,_xlfn.XLOOKUP($A253,Output_Mac!$A:$A,Output_Mac!M:M,""),
_xlpm.MyAuditVal,_xlfn.XLOOKUP($A253,My_Audit!$A:$A,My_Audit!L:L,""),
_xlfn.IFS(_xlpm.MyAuditVal&lt;&gt;"",UPPER(_xlpm.MyAuditVal),_xlpm.MacVal&lt;&gt;"",_xlpm.MacVal,_xlpm.CSVVal&lt;&gt;"",_xlpm.CSVVal
)),"")</f>
        <v/>
      </c>
      <c r="O253" s="2" t="str">
        <f>_xlfn.LET(
    _xlpm.CSVVal, _xlfn.XLOOKUP($A253, CSV!$A:$A, CSV!AF:AF, ""),
    _xlpm.MacVal, _xlfn.XLOOKUP($A253, Output_Mac!$A:$A, Output_Mac!S:S, ""),
    _xlpm.MyAuditVal, _xlfn.XLOOKUP($A253, My_Audit!$A:$A, My_Audit!P:P, ""),
    _xlfn.TEXTJOIN(", ", TRUE, _xlpm.MyAuditVal, _xlpm.MacVal, _xlpm.CSVVal)
)</f>
        <v/>
      </c>
      <c r="P253" s="2" t="str" cm="1">
        <f t="array" ref="P253">IFERROR(_xlfn.LET(
_xlpm.CSVVal,_xlfn.XLOOKUP($A253,CSV!$A:$A,CSV!AG:AG,""),
_xlpm.MacVal,_xlfn.XLOOKUP($A253,Output_Mac!$A:$A,Output_Mac!T:T,""),
_xlpm.MyAuditVal,_xlfn.XLOOKUP($A253,My_Audit!$A:$A,My_Audit!Q:Q,""),
_xlfn.IFS(_xlpm.MyAuditVal&lt;&gt;"",UPPER(_xlpm.MyAuditVal),_xlpm.MacVal&lt;&gt;"",_xlpm.MacVal,_xlpm.CSVVal&lt;&gt;"",_xlpm.CSVVal
)),"No")</f>
        <v>No</v>
      </c>
      <c r="Q253" s="2" t="str" cm="1">
        <f t="array" ref="Q253">IFERROR(_xlfn.LET(
_xlpm.CSVVal,_xlfn.XLOOKUP($A253,CSV!$A:$A,CSV!AH:AH,""),
_xlpm.MacVal,_xlfn.XLOOKUP($A253,Output_Mac!$A:$A,Output_Mac!U:U,""),
_xlpm.MyAuditVal,_xlfn.XLOOKUP($A253,My_Audit!$A:$A,My_Audit!R:R,""),
_xlfn.IFS(_xlpm.MyAuditVal&lt;&gt;"",UPPER(_xlpm.MyAuditVal),_xlpm.MacVal&lt;&gt;"",_xlpm.MacVal,_xlpm.CSVVal&lt;&gt;"",_xlpm.CSVVal
)),"")</f>
        <v/>
      </c>
    </row>
    <row r="254" spans="1:17">
      <c r="A254" s="2" t="str">
        <f>_xlfn.TEXTJOIN("",TRUE,Input!$B$2,ROW(My_Audit!A253))</f>
        <v>XX253</v>
      </c>
      <c r="B254" s="2" t="str">
        <f>_xlfn.TEXTJOIN("-",TRUE,"ITD",Input!$A$2,A254)</f>
        <v>ITD-SHRXXX-XX253</v>
      </c>
      <c r="C254" s="2" t="str" cm="1">
        <f t="array" ref="C254">IFERROR(_xlfn.LET(
_xlpm.CSVVal,_xlfn.XLOOKUP($A254,CSV!$A:$A,CSV!B:B,""),
_xlpm.MacVal,_xlfn.XLOOKUP($A254,Output_Mac!$A:$A,Output_Mac!B:B,""),
_xlpm.MyAuditVal,_xlfn.XLOOKUP($A254,My_Audit!$A:$A,My_Audit!B:B,""),
_xlfn.IFS(_xlpm.MyAuditVal&lt;&gt;"",UPPER(_xlpm.MyAuditVal),_xlpm.MacVal&lt;&gt;"",_xlpm.MacVal,_xlpm.CSVVal&lt;&gt;"",_xlpm.CSVVal
)),"")</f>
        <v/>
      </c>
      <c r="D254" s="2" t="str" cm="1">
        <f t="array" ref="D254">IFERROR(_xlfn.LET(
_xlpm.CSVVal,_xlfn.XLOOKUP($A254,CSV!$A:$A,CSV!D:D,""),
_xlpm.MacVal,_xlfn.XLOOKUP($A254,Output_Mac!$A:$A,Output_Mac!C:C,""),
_xlpm.MyAuditVal,_xlfn.XLOOKUP($A254,My_Audit!$A:$A,My_Audit!C:C,""),
_xlfn.IFS(_xlpm.MyAuditVal&lt;&gt;"",_xlpm.MyAuditVal,_xlpm.MacVal&lt;&gt;"",_xlpm.MacVal,_xlpm.CSVVal&lt;&gt;"",_xlpm.CSVVal
)),"")</f>
        <v/>
      </c>
      <c r="E254" s="2" t="str">
        <f>_xlfn.XLOOKUP(A254,My_Audit!A:A,My_Audit!D:D,"")&amp;""</f>
        <v/>
      </c>
      <c r="F254" s="2" t="str" cm="1">
        <f t="array" ref="F254">IFERROR(_xlfn.LET(
_xlpm.CSVVal,_xlfn.XLOOKUP($A254,CSV!$A:$A,CSV!F:F,""),
_xlpm.MacVal,_xlfn.XLOOKUP($A254,Output_Mac!$A:$A,Output_Mac!E:E,""),
_xlpm.MyAuditVal,_xlfn.XLOOKUP($A254,My_Audit!$A:$A,My_Audit!E:E,""),
_xlfn.IFS(_xlpm.MyAuditVal&lt;&gt;"",_xlpm.MyAuditVal,_xlpm.MacVal&lt;&gt;"",_xlpm.MacVal,_xlpm.CSVVal&lt;&gt;"",_xlpm.CSVVal
)),"")</f>
        <v/>
      </c>
      <c r="G254" s="2" t="str" cm="1">
        <f t="array" ref="G254">IFERROR(_xlfn.LET(
_xlpm.CSVVal,_xlfn.XLOOKUP($A254,CSV!$A:$A,CSV!G:G,""),
_xlpm.MacVal,_xlfn.XLOOKUP($A254,Output_Mac!$A:$A,Output_Mac!F:F,""),
_xlpm.MyAuditVal,_xlfn.XLOOKUP($A254,My_Audit!$A:$A,My_Audit!F:F,""),
_xlfn.IFS(_xlpm.MyAuditVal&lt;&gt;"",_xlpm.MyAuditVal,_xlpm.MacVal&lt;&gt;"",_xlpm.MacVal,_xlpm.CSVVal&lt;&gt;"",PROPER(_xlpm.CSVVal)
)),"")</f>
        <v/>
      </c>
      <c r="H254" s="2" t="str" cm="1">
        <f t="array" ref="H254">IFERROR(_xlfn.LET(
_xlpm.CSVVal,_xlfn.XLOOKUP($A254,CSV!$A:$A,CSV!H:H,""),
_xlpm.MacVal,_xlfn.XLOOKUP($A254,Output_Mac!$A:$A,Output_Mac!H:H,""),
_xlpm.MyAuditVal,_xlfn.XLOOKUP($A254,My_Audit!$A:$A,My_Audit!G:G,""),
_xlfn.IFS(_xlpm.MyAuditVal&lt;&gt;"",_xlpm.MyAuditVal,_xlpm.MacVal&lt;&gt;"",_xlpm.MacVal,_xlpm.CSVVal&lt;&gt;"",_xlpm.CSVVal
)),"")</f>
        <v/>
      </c>
      <c r="I254" s="2" t="str">
        <f>_xlfn.XLOOKUP(A254,Output_Mac!A:A,Output_Mac!I:I,"")</f>
        <v/>
      </c>
      <c r="J254" s="2" t="str" cm="1">
        <f t="array" ref="J254">IFERROR(_xlfn.LET(
_xlpm.CSVVal,_xlfn.XLOOKUP($A254,CSV!$A:$A,CSV!I:I,""),
_xlpm.MacVal,_xlfn.XLOOKUP($A254,Output_Mac!$A:$A,Output_Mac!J:J,""),
_xlpm.MyAuditVal,_xlfn.XLOOKUP($A254,My_Audit!$A:$A,My_Audit!I:I,""),
_xlfn.IFS(_xlpm.MyAuditVal&lt;&gt;"",UPPER(_xlpm.MyAuditVal),_xlpm.MacVal&lt;&gt;"",_xlpm.MacVal,_xlpm.CSVVal&lt;&gt;"",_xlpm.CSVVal
)),"")</f>
        <v/>
      </c>
      <c r="K254" s="2" t="str" cm="1">
        <f t="array" ref="K254">IFERROR(_xlfn.LET(
_xlpm.CSVVal,_xlfn.XLOOKUP($A254,CSV!$A:$A,CSV!K:K,""),
_xlpm.MacVal,_xlfn.XLOOKUP($A254,Output_Mac!$A:$A,Output_Mac!K:K,""),
_xlpm.MyAuditVal,_xlfn.XLOOKUP($A254,My_Audit!$A:$A,My_Audit!J:J,""),
_xlfn.IFS(_xlpm.MyAuditVal&lt;&gt;"",UPPER(_xlpm.MyAuditVal),_xlpm.MacVal&lt;&gt;"",_xlpm.MacVal,_xlpm.CSVVal&lt;&gt;"",_xlpm.CSVVal
)),"")</f>
        <v/>
      </c>
      <c r="L254" s="2" t="str" cm="1">
        <f t="array" ref="L254">IFERROR(_xlfn.LET(
_xlpm.CSVVal,_xlfn.XLOOKUP($A254,CSV!$A:$A,CSV!P:P,""),
_xlpm.MacVal,_xlfn.XLOOKUP($A254,Output_Mac!$A:$A,Output_Mac!L:L,""),
_xlpm.MyAuditVal,_xlfn.XLOOKUP($A254,My_Audit!$A:$A,My_Audit!K:K,""),
_xlfn.IFS(_xlpm.MyAuditVal&lt;&gt;"",UPPER(_xlpm.MyAuditVal),_xlpm.MacVal&lt;&gt;"",_xlpm.MacVal,_xlpm.CSVVal&lt;&gt;"",_xlpm.CSVVal
)),"")</f>
        <v/>
      </c>
      <c r="M254" s="2" t="str" cm="1">
        <f t="array" ref="M254">IFERROR(_xlfn.LET(
_xlpm.CSVVal,_xlfn.XLOOKUP($A254,CSV!$A:$A,CSV!Q:Q,""),
_xlpm.MacVal,_xlfn.XLOOKUP($A254,Output_Mac!$A:$A,Output_Mac!M:M,""),
_xlpm.MyAuditVal,_xlfn.XLOOKUP($A254,My_Audit!$A:$A,My_Audit!L:L,""),
_xlfn.IFS(_xlpm.MyAuditVal&lt;&gt;"",UPPER(_xlpm.MyAuditVal),_xlpm.MacVal&lt;&gt;"",_xlpm.MacVal,_xlpm.CSVVal&lt;&gt;"",_xlpm.CSVVal
)),"")</f>
        <v/>
      </c>
      <c r="O254" s="2" t="str">
        <f>_xlfn.LET(
    _xlpm.CSVVal, _xlfn.XLOOKUP($A254, CSV!$A:$A, CSV!AF:AF, ""),
    _xlpm.MacVal, _xlfn.XLOOKUP($A254, Output_Mac!$A:$A, Output_Mac!S:S, ""),
    _xlpm.MyAuditVal, _xlfn.XLOOKUP($A254, My_Audit!$A:$A, My_Audit!P:P, ""),
    _xlfn.TEXTJOIN(", ", TRUE, _xlpm.MyAuditVal, _xlpm.MacVal, _xlpm.CSVVal)
)</f>
        <v/>
      </c>
      <c r="P254" s="2" t="str" cm="1">
        <f t="array" ref="P254">IFERROR(_xlfn.LET(
_xlpm.CSVVal,_xlfn.XLOOKUP($A254,CSV!$A:$A,CSV!AG:AG,""),
_xlpm.MacVal,_xlfn.XLOOKUP($A254,Output_Mac!$A:$A,Output_Mac!T:T,""),
_xlpm.MyAuditVal,_xlfn.XLOOKUP($A254,My_Audit!$A:$A,My_Audit!Q:Q,""),
_xlfn.IFS(_xlpm.MyAuditVal&lt;&gt;"",UPPER(_xlpm.MyAuditVal),_xlpm.MacVal&lt;&gt;"",_xlpm.MacVal,_xlpm.CSVVal&lt;&gt;"",_xlpm.CSVVal
)),"No")</f>
        <v>No</v>
      </c>
      <c r="Q254" s="2" t="str" cm="1">
        <f t="array" ref="Q254">IFERROR(_xlfn.LET(
_xlpm.CSVVal,_xlfn.XLOOKUP($A254,CSV!$A:$A,CSV!AH:AH,""),
_xlpm.MacVal,_xlfn.XLOOKUP($A254,Output_Mac!$A:$A,Output_Mac!U:U,""),
_xlpm.MyAuditVal,_xlfn.XLOOKUP($A254,My_Audit!$A:$A,My_Audit!R:R,""),
_xlfn.IFS(_xlpm.MyAuditVal&lt;&gt;"",UPPER(_xlpm.MyAuditVal),_xlpm.MacVal&lt;&gt;"",_xlpm.MacVal,_xlpm.CSVVal&lt;&gt;"",_xlpm.CSVVal
)),"")</f>
        <v/>
      </c>
    </row>
    <row r="255" spans="1:17">
      <c r="A255" s="2" t="str">
        <f>_xlfn.TEXTJOIN("",TRUE,Input!$B$2,ROW(My_Audit!A254))</f>
        <v>XX254</v>
      </c>
      <c r="B255" s="2" t="str">
        <f>_xlfn.TEXTJOIN("-",TRUE,"ITD",Input!$A$2,A255)</f>
        <v>ITD-SHRXXX-XX254</v>
      </c>
      <c r="C255" s="2" t="str" cm="1">
        <f t="array" ref="C255">IFERROR(_xlfn.LET(
_xlpm.CSVVal,_xlfn.XLOOKUP($A255,CSV!$A:$A,CSV!B:B,""),
_xlpm.MacVal,_xlfn.XLOOKUP($A255,Output_Mac!$A:$A,Output_Mac!B:B,""),
_xlpm.MyAuditVal,_xlfn.XLOOKUP($A255,My_Audit!$A:$A,My_Audit!B:B,""),
_xlfn.IFS(_xlpm.MyAuditVal&lt;&gt;"",UPPER(_xlpm.MyAuditVal),_xlpm.MacVal&lt;&gt;"",_xlpm.MacVal,_xlpm.CSVVal&lt;&gt;"",_xlpm.CSVVal
)),"")</f>
        <v/>
      </c>
      <c r="D255" s="2" t="str" cm="1">
        <f t="array" ref="D255">IFERROR(_xlfn.LET(
_xlpm.CSVVal,_xlfn.XLOOKUP($A255,CSV!$A:$A,CSV!D:D,""),
_xlpm.MacVal,_xlfn.XLOOKUP($A255,Output_Mac!$A:$A,Output_Mac!C:C,""),
_xlpm.MyAuditVal,_xlfn.XLOOKUP($A255,My_Audit!$A:$A,My_Audit!C:C,""),
_xlfn.IFS(_xlpm.MyAuditVal&lt;&gt;"",_xlpm.MyAuditVal,_xlpm.MacVal&lt;&gt;"",_xlpm.MacVal,_xlpm.CSVVal&lt;&gt;"",_xlpm.CSVVal
)),"")</f>
        <v/>
      </c>
      <c r="E255" s="2" t="str">
        <f>_xlfn.XLOOKUP(A255,My_Audit!A:A,My_Audit!D:D,"")&amp;""</f>
        <v/>
      </c>
      <c r="F255" s="2" t="str" cm="1">
        <f t="array" ref="F255">IFERROR(_xlfn.LET(
_xlpm.CSVVal,_xlfn.XLOOKUP($A255,CSV!$A:$A,CSV!F:F,""),
_xlpm.MacVal,_xlfn.XLOOKUP($A255,Output_Mac!$A:$A,Output_Mac!E:E,""),
_xlpm.MyAuditVal,_xlfn.XLOOKUP($A255,My_Audit!$A:$A,My_Audit!E:E,""),
_xlfn.IFS(_xlpm.MyAuditVal&lt;&gt;"",_xlpm.MyAuditVal,_xlpm.MacVal&lt;&gt;"",_xlpm.MacVal,_xlpm.CSVVal&lt;&gt;"",_xlpm.CSVVal
)),"")</f>
        <v/>
      </c>
      <c r="G255" s="2" t="str" cm="1">
        <f t="array" ref="G255">IFERROR(_xlfn.LET(
_xlpm.CSVVal,_xlfn.XLOOKUP($A255,CSV!$A:$A,CSV!G:G,""),
_xlpm.MacVal,_xlfn.XLOOKUP($A255,Output_Mac!$A:$A,Output_Mac!F:F,""),
_xlpm.MyAuditVal,_xlfn.XLOOKUP($A255,My_Audit!$A:$A,My_Audit!F:F,""),
_xlfn.IFS(_xlpm.MyAuditVal&lt;&gt;"",_xlpm.MyAuditVal,_xlpm.MacVal&lt;&gt;"",_xlpm.MacVal,_xlpm.CSVVal&lt;&gt;"",PROPER(_xlpm.CSVVal)
)),"")</f>
        <v/>
      </c>
      <c r="H255" s="2" t="str" cm="1">
        <f t="array" ref="H255">IFERROR(_xlfn.LET(
_xlpm.CSVVal,_xlfn.XLOOKUP($A255,CSV!$A:$A,CSV!H:H,""),
_xlpm.MacVal,_xlfn.XLOOKUP($A255,Output_Mac!$A:$A,Output_Mac!H:H,""),
_xlpm.MyAuditVal,_xlfn.XLOOKUP($A255,My_Audit!$A:$A,My_Audit!G:G,""),
_xlfn.IFS(_xlpm.MyAuditVal&lt;&gt;"",_xlpm.MyAuditVal,_xlpm.MacVal&lt;&gt;"",_xlpm.MacVal,_xlpm.CSVVal&lt;&gt;"",_xlpm.CSVVal
)),"")</f>
        <v/>
      </c>
      <c r="I255" s="2" t="str">
        <f>_xlfn.XLOOKUP(A255,Output_Mac!A:A,Output_Mac!I:I,"")</f>
        <v/>
      </c>
      <c r="J255" s="2" t="str" cm="1">
        <f t="array" ref="J255">IFERROR(_xlfn.LET(
_xlpm.CSVVal,_xlfn.XLOOKUP($A255,CSV!$A:$A,CSV!I:I,""),
_xlpm.MacVal,_xlfn.XLOOKUP($A255,Output_Mac!$A:$A,Output_Mac!J:J,""),
_xlpm.MyAuditVal,_xlfn.XLOOKUP($A255,My_Audit!$A:$A,My_Audit!I:I,""),
_xlfn.IFS(_xlpm.MyAuditVal&lt;&gt;"",UPPER(_xlpm.MyAuditVal),_xlpm.MacVal&lt;&gt;"",_xlpm.MacVal,_xlpm.CSVVal&lt;&gt;"",_xlpm.CSVVal
)),"")</f>
        <v/>
      </c>
      <c r="K255" s="2" t="str" cm="1">
        <f t="array" ref="K255">IFERROR(_xlfn.LET(
_xlpm.CSVVal,_xlfn.XLOOKUP($A255,CSV!$A:$A,CSV!K:K,""),
_xlpm.MacVal,_xlfn.XLOOKUP($A255,Output_Mac!$A:$A,Output_Mac!K:K,""),
_xlpm.MyAuditVal,_xlfn.XLOOKUP($A255,My_Audit!$A:$A,My_Audit!J:J,""),
_xlfn.IFS(_xlpm.MyAuditVal&lt;&gt;"",UPPER(_xlpm.MyAuditVal),_xlpm.MacVal&lt;&gt;"",_xlpm.MacVal,_xlpm.CSVVal&lt;&gt;"",_xlpm.CSVVal
)),"")</f>
        <v/>
      </c>
      <c r="L255" s="2" t="str" cm="1">
        <f t="array" ref="L255">IFERROR(_xlfn.LET(
_xlpm.CSVVal,_xlfn.XLOOKUP($A255,CSV!$A:$A,CSV!P:P,""),
_xlpm.MacVal,_xlfn.XLOOKUP($A255,Output_Mac!$A:$A,Output_Mac!L:L,""),
_xlpm.MyAuditVal,_xlfn.XLOOKUP($A255,My_Audit!$A:$A,My_Audit!K:K,""),
_xlfn.IFS(_xlpm.MyAuditVal&lt;&gt;"",UPPER(_xlpm.MyAuditVal),_xlpm.MacVal&lt;&gt;"",_xlpm.MacVal,_xlpm.CSVVal&lt;&gt;"",_xlpm.CSVVal
)),"")</f>
        <v/>
      </c>
      <c r="M255" s="2" t="str" cm="1">
        <f t="array" ref="M255">IFERROR(_xlfn.LET(
_xlpm.CSVVal,_xlfn.XLOOKUP($A255,CSV!$A:$A,CSV!Q:Q,""),
_xlpm.MacVal,_xlfn.XLOOKUP($A255,Output_Mac!$A:$A,Output_Mac!M:M,""),
_xlpm.MyAuditVal,_xlfn.XLOOKUP($A255,My_Audit!$A:$A,My_Audit!L:L,""),
_xlfn.IFS(_xlpm.MyAuditVal&lt;&gt;"",UPPER(_xlpm.MyAuditVal),_xlpm.MacVal&lt;&gt;"",_xlpm.MacVal,_xlpm.CSVVal&lt;&gt;"",_xlpm.CSVVal
)),"")</f>
        <v/>
      </c>
      <c r="O255" s="2" t="str">
        <f>_xlfn.LET(
    _xlpm.CSVVal, _xlfn.XLOOKUP($A255, CSV!$A:$A, CSV!AF:AF, ""),
    _xlpm.MacVal, _xlfn.XLOOKUP($A255, Output_Mac!$A:$A, Output_Mac!S:S, ""),
    _xlpm.MyAuditVal, _xlfn.XLOOKUP($A255, My_Audit!$A:$A, My_Audit!P:P, ""),
    _xlfn.TEXTJOIN(", ", TRUE, _xlpm.MyAuditVal, _xlpm.MacVal, _xlpm.CSVVal)
)</f>
        <v/>
      </c>
      <c r="P255" s="2" t="str" cm="1">
        <f t="array" ref="P255">IFERROR(_xlfn.LET(
_xlpm.CSVVal,_xlfn.XLOOKUP($A255,CSV!$A:$A,CSV!AG:AG,""),
_xlpm.MacVal,_xlfn.XLOOKUP($A255,Output_Mac!$A:$A,Output_Mac!T:T,""),
_xlpm.MyAuditVal,_xlfn.XLOOKUP($A255,My_Audit!$A:$A,My_Audit!Q:Q,""),
_xlfn.IFS(_xlpm.MyAuditVal&lt;&gt;"",UPPER(_xlpm.MyAuditVal),_xlpm.MacVal&lt;&gt;"",_xlpm.MacVal,_xlpm.CSVVal&lt;&gt;"",_xlpm.CSVVal
)),"No")</f>
        <v>No</v>
      </c>
      <c r="Q255" s="2" t="str" cm="1">
        <f t="array" ref="Q255">IFERROR(_xlfn.LET(
_xlpm.CSVVal,_xlfn.XLOOKUP($A255,CSV!$A:$A,CSV!AH:AH,""),
_xlpm.MacVal,_xlfn.XLOOKUP($A255,Output_Mac!$A:$A,Output_Mac!U:U,""),
_xlpm.MyAuditVal,_xlfn.XLOOKUP($A255,My_Audit!$A:$A,My_Audit!R:R,""),
_xlfn.IFS(_xlpm.MyAuditVal&lt;&gt;"",UPPER(_xlpm.MyAuditVal),_xlpm.MacVal&lt;&gt;"",_xlpm.MacVal,_xlpm.CSVVal&lt;&gt;"",_xlpm.CSVVal
)),"")</f>
        <v/>
      </c>
    </row>
    <row r="256" spans="1:17">
      <c r="A256" s="2" t="str">
        <f>_xlfn.TEXTJOIN("",TRUE,Input!$B$2,ROW(My_Audit!A255))</f>
        <v>XX255</v>
      </c>
      <c r="B256" s="2" t="str">
        <f>_xlfn.TEXTJOIN("-",TRUE,"ITD",Input!$A$2,A256)</f>
        <v>ITD-SHRXXX-XX255</v>
      </c>
      <c r="C256" s="2" t="str" cm="1">
        <f t="array" ref="C256">IFERROR(_xlfn.LET(
_xlpm.CSVVal,_xlfn.XLOOKUP($A256,CSV!$A:$A,CSV!B:B,""),
_xlpm.MacVal,_xlfn.XLOOKUP($A256,Output_Mac!$A:$A,Output_Mac!B:B,""),
_xlpm.MyAuditVal,_xlfn.XLOOKUP($A256,My_Audit!$A:$A,My_Audit!B:B,""),
_xlfn.IFS(_xlpm.MyAuditVal&lt;&gt;"",UPPER(_xlpm.MyAuditVal),_xlpm.MacVal&lt;&gt;"",_xlpm.MacVal,_xlpm.CSVVal&lt;&gt;"",_xlpm.CSVVal
)),"")</f>
        <v/>
      </c>
      <c r="D256" s="2" t="str" cm="1">
        <f t="array" ref="D256">IFERROR(_xlfn.LET(
_xlpm.CSVVal,_xlfn.XLOOKUP($A256,CSV!$A:$A,CSV!D:D,""),
_xlpm.MacVal,_xlfn.XLOOKUP($A256,Output_Mac!$A:$A,Output_Mac!C:C,""),
_xlpm.MyAuditVal,_xlfn.XLOOKUP($A256,My_Audit!$A:$A,My_Audit!C:C,""),
_xlfn.IFS(_xlpm.MyAuditVal&lt;&gt;"",_xlpm.MyAuditVal,_xlpm.MacVal&lt;&gt;"",_xlpm.MacVal,_xlpm.CSVVal&lt;&gt;"",_xlpm.CSVVal
)),"")</f>
        <v/>
      </c>
      <c r="E256" s="2" t="str">
        <f>_xlfn.XLOOKUP(A256,My_Audit!A:A,My_Audit!D:D,"")&amp;""</f>
        <v/>
      </c>
      <c r="F256" s="2" t="str" cm="1">
        <f t="array" ref="F256">IFERROR(_xlfn.LET(
_xlpm.CSVVal,_xlfn.XLOOKUP($A256,CSV!$A:$A,CSV!F:F,""),
_xlpm.MacVal,_xlfn.XLOOKUP($A256,Output_Mac!$A:$A,Output_Mac!E:E,""),
_xlpm.MyAuditVal,_xlfn.XLOOKUP($A256,My_Audit!$A:$A,My_Audit!E:E,""),
_xlfn.IFS(_xlpm.MyAuditVal&lt;&gt;"",_xlpm.MyAuditVal,_xlpm.MacVal&lt;&gt;"",_xlpm.MacVal,_xlpm.CSVVal&lt;&gt;"",_xlpm.CSVVal
)),"")</f>
        <v/>
      </c>
      <c r="G256" s="2" t="str" cm="1">
        <f t="array" ref="G256">IFERROR(_xlfn.LET(
_xlpm.CSVVal,_xlfn.XLOOKUP($A256,CSV!$A:$A,CSV!G:G,""),
_xlpm.MacVal,_xlfn.XLOOKUP($A256,Output_Mac!$A:$A,Output_Mac!F:F,""),
_xlpm.MyAuditVal,_xlfn.XLOOKUP($A256,My_Audit!$A:$A,My_Audit!F:F,""),
_xlfn.IFS(_xlpm.MyAuditVal&lt;&gt;"",_xlpm.MyAuditVal,_xlpm.MacVal&lt;&gt;"",_xlpm.MacVal,_xlpm.CSVVal&lt;&gt;"",PROPER(_xlpm.CSVVal)
)),"")</f>
        <v/>
      </c>
      <c r="H256" s="2" t="str" cm="1">
        <f t="array" ref="H256">IFERROR(_xlfn.LET(
_xlpm.CSVVal,_xlfn.XLOOKUP($A256,CSV!$A:$A,CSV!H:H,""),
_xlpm.MacVal,_xlfn.XLOOKUP($A256,Output_Mac!$A:$A,Output_Mac!H:H,""),
_xlpm.MyAuditVal,_xlfn.XLOOKUP($A256,My_Audit!$A:$A,My_Audit!G:G,""),
_xlfn.IFS(_xlpm.MyAuditVal&lt;&gt;"",_xlpm.MyAuditVal,_xlpm.MacVal&lt;&gt;"",_xlpm.MacVal,_xlpm.CSVVal&lt;&gt;"",_xlpm.CSVVal
)),"")</f>
        <v/>
      </c>
      <c r="I256" s="2" t="str">
        <f>_xlfn.XLOOKUP(A256,Output_Mac!A:A,Output_Mac!I:I,"")</f>
        <v/>
      </c>
      <c r="J256" s="2" t="str" cm="1">
        <f t="array" ref="J256">IFERROR(_xlfn.LET(
_xlpm.CSVVal,_xlfn.XLOOKUP($A256,CSV!$A:$A,CSV!I:I,""),
_xlpm.MacVal,_xlfn.XLOOKUP($A256,Output_Mac!$A:$A,Output_Mac!J:J,""),
_xlpm.MyAuditVal,_xlfn.XLOOKUP($A256,My_Audit!$A:$A,My_Audit!I:I,""),
_xlfn.IFS(_xlpm.MyAuditVal&lt;&gt;"",UPPER(_xlpm.MyAuditVal),_xlpm.MacVal&lt;&gt;"",_xlpm.MacVal,_xlpm.CSVVal&lt;&gt;"",_xlpm.CSVVal
)),"")</f>
        <v/>
      </c>
      <c r="K256" s="2" t="str" cm="1">
        <f t="array" ref="K256">IFERROR(_xlfn.LET(
_xlpm.CSVVal,_xlfn.XLOOKUP($A256,CSV!$A:$A,CSV!K:K,""),
_xlpm.MacVal,_xlfn.XLOOKUP($A256,Output_Mac!$A:$A,Output_Mac!K:K,""),
_xlpm.MyAuditVal,_xlfn.XLOOKUP($A256,My_Audit!$A:$A,My_Audit!J:J,""),
_xlfn.IFS(_xlpm.MyAuditVal&lt;&gt;"",UPPER(_xlpm.MyAuditVal),_xlpm.MacVal&lt;&gt;"",_xlpm.MacVal,_xlpm.CSVVal&lt;&gt;"",_xlpm.CSVVal
)),"")</f>
        <v/>
      </c>
      <c r="L256" s="2" t="str" cm="1">
        <f t="array" ref="L256">IFERROR(_xlfn.LET(
_xlpm.CSVVal,_xlfn.XLOOKUP($A256,CSV!$A:$A,CSV!P:P,""),
_xlpm.MacVal,_xlfn.XLOOKUP($A256,Output_Mac!$A:$A,Output_Mac!L:L,""),
_xlpm.MyAuditVal,_xlfn.XLOOKUP($A256,My_Audit!$A:$A,My_Audit!K:K,""),
_xlfn.IFS(_xlpm.MyAuditVal&lt;&gt;"",UPPER(_xlpm.MyAuditVal),_xlpm.MacVal&lt;&gt;"",_xlpm.MacVal,_xlpm.CSVVal&lt;&gt;"",_xlpm.CSVVal
)),"")</f>
        <v/>
      </c>
      <c r="M256" s="2" t="str" cm="1">
        <f t="array" ref="M256">IFERROR(_xlfn.LET(
_xlpm.CSVVal,_xlfn.XLOOKUP($A256,CSV!$A:$A,CSV!Q:Q,""),
_xlpm.MacVal,_xlfn.XLOOKUP($A256,Output_Mac!$A:$A,Output_Mac!M:M,""),
_xlpm.MyAuditVal,_xlfn.XLOOKUP($A256,My_Audit!$A:$A,My_Audit!L:L,""),
_xlfn.IFS(_xlpm.MyAuditVal&lt;&gt;"",UPPER(_xlpm.MyAuditVal),_xlpm.MacVal&lt;&gt;"",_xlpm.MacVal,_xlpm.CSVVal&lt;&gt;"",_xlpm.CSVVal
)),"")</f>
        <v/>
      </c>
      <c r="O256" s="2" t="str">
        <f>_xlfn.LET(
    _xlpm.CSVVal, _xlfn.XLOOKUP($A256, CSV!$A:$A, CSV!AF:AF, ""),
    _xlpm.MacVal, _xlfn.XLOOKUP($A256, Output_Mac!$A:$A, Output_Mac!S:S, ""),
    _xlpm.MyAuditVal, _xlfn.XLOOKUP($A256, My_Audit!$A:$A, My_Audit!P:P, ""),
    _xlfn.TEXTJOIN(", ", TRUE, _xlpm.MyAuditVal, _xlpm.MacVal, _xlpm.CSVVal)
)</f>
        <v/>
      </c>
      <c r="P256" s="2" t="str" cm="1">
        <f t="array" ref="P256">IFERROR(_xlfn.LET(
_xlpm.CSVVal,_xlfn.XLOOKUP($A256,CSV!$A:$A,CSV!AG:AG,""),
_xlpm.MacVal,_xlfn.XLOOKUP($A256,Output_Mac!$A:$A,Output_Mac!T:T,""),
_xlpm.MyAuditVal,_xlfn.XLOOKUP($A256,My_Audit!$A:$A,My_Audit!Q:Q,""),
_xlfn.IFS(_xlpm.MyAuditVal&lt;&gt;"",UPPER(_xlpm.MyAuditVal),_xlpm.MacVal&lt;&gt;"",_xlpm.MacVal,_xlpm.CSVVal&lt;&gt;"",_xlpm.CSVVal
)),"No")</f>
        <v>No</v>
      </c>
      <c r="Q256" s="2" t="str" cm="1">
        <f t="array" ref="Q256">IFERROR(_xlfn.LET(
_xlpm.CSVVal,_xlfn.XLOOKUP($A256,CSV!$A:$A,CSV!AH:AH,""),
_xlpm.MacVal,_xlfn.XLOOKUP($A256,Output_Mac!$A:$A,Output_Mac!U:U,""),
_xlpm.MyAuditVal,_xlfn.XLOOKUP($A256,My_Audit!$A:$A,My_Audit!R:R,""),
_xlfn.IFS(_xlpm.MyAuditVal&lt;&gt;"",UPPER(_xlpm.MyAuditVal),_xlpm.MacVal&lt;&gt;"",_xlpm.MacVal,_xlpm.CSVVal&lt;&gt;"",_xlpm.CSVVal
)),"")</f>
        <v/>
      </c>
    </row>
    <row r="257" spans="1:17">
      <c r="A257" s="2" t="str">
        <f>_xlfn.TEXTJOIN("",TRUE,Input!$B$2,ROW(My_Audit!A256))</f>
        <v>XX256</v>
      </c>
      <c r="B257" s="2" t="str">
        <f>_xlfn.TEXTJOIN("-",TRUE,"ITD",Input!$A$2,A257)</f>
        <v>ITD-SHRXXX-XX256</v>
      </c>
      <c r="C257" s="2" t="str" cm="1">
        <f t="array" ref="C257">IFERROR(_xlfn.LET(
_xlpm.CSVVal,_xlfn.XLOOKUP($A257,CSV!$A:$A,CSV!B:B,""),
_xlpm.MacVal,_xlfn.XLOOKUP($A257,Output_Mac!$A:$A,Output_Mac!B:B,""),
_xlpm.MyAuditVal,_xlfn.XLOOKUP($A257,My_Audit!$A:$A,My_Audit!B:B,""),
_xlfn.IFS(_xlpm.MyAuditVal&lt;&gt;"",UPPER(_xlpm.MyAuditVal),_xlpm.MacVal&lt;&gt;"",_xlpm.MacVal,_xlpm.CSVVal&lt;&gt;"",_xlpm.CSVVal
)),"")</f>
        <v/>
      </c>
      <c r="D257" s="2" t="str" cm="1">
        <f t="array" ref="D257">IFERROR(_xlfn.LET(
_xlpm.CSVVal,_xlfn.XLOOKUP($A257,CSV!$A:$A,CSV!D:D,""),
_xlpm.MacVal,_xlfn.XLOOKUP($A257,Output_Mac!$A:$A,Output_Mac!C:C,""),
_xlpm.MyAuditVal,_xlfn.XLOOKUP($A257,My_Audit!$A:$A,My_Audit!C:C,""),
_xlfn.IFS(_xlpm.MyAuditVal&lt;&gt;"",_xlpm.MyAuditVal,_xlpm.MacVal&lt;&gt;"",_xlpm.MacVal,_xlpm.CSVVal&lt;&gt;"",_xlpm.CSVVal
)),"")</f>
        <v/>
      </c>
      <c r="E257" s="2" t="str">
        <f>_xlfn.XLOOKUP(A257,My_Audit!A:A,My_Audit!D:D,"")&amp;""</f>
        <v/>
      </c>
      <c r="F257" s="2" t="str" cm="1">
        <f t="array" ref="F257">IFERROR(_xlfn.LET(
_xlpm.CSVVal,_xlfn.XLOOKUP($A257,CSV!$A:$A,CSV!F:F,""),
_xlpm.MacVal,_xlfn.XLOOKUP($A257,Output_Mac!$A:$A,Output_Mac!E:E,""),
_xlpm.MyAuditVal,_xlfn.XLOOKUP($A257,My_Audit!$A:$A,My_Audit!E:E,""),
_xlfn.IFS(_xlpm.MyAuditVal&lt;&gt;"",_xlpm.MyAuditVal,_xlpm.MacVal&lt;&gt;"",_xlpm.MacVal,_xlpm.CSVVal&lt;&gt;"",_xlpm.CSVVal
)),"")</f>
        <v/>
      </c>
      <c r="G257" s="2" t="str" cm="1">
        <f t="array" ref="G257">IFERROR(_xlfn.LET(
_xlpm.CSVVal,_xlfn.XLOOKUP($A257,CSV!$A:$A,CSV!G:G,""),
_xlpm.MacVal,_xlfn.XLOOKUP($A257,Output_Mac!$A:$A,Output_Mac!F:F,""),
_xlpm.MyAuditVal,_xlfn.XLOOKUP($A257,My_Audit!$A:$A,My_Audit!F:F,""),
_xlfn.IFS(_xlpm.MyAuditVal&lt;&gt;"",_xlpm.MyAuditVal,_xlpm.MacVal&lt;&gt;"",_xlpm.MacVal,_xlpm.CSVVal&lt;&gt;"",PROPER(_xlpm.CSVVal)
)),"")</f>
        <v/>
      </c>
      <c r="H257" s="2" t="str" cm="1">
        <f t="array" ref="H257">IFERROR(_xlfn.LET(
_xlpm.CSVVal,_xlfn.XLOOKUP($A257,CSV!$A:$A,CSV!H:H,""),
_xlpm.MacVal,_xlfn.XLOOKUP($A257,Output_Mac!$A:$A,Output_Mac!H:H,""),
_xlpm.MyAuditVal,_xlfn.XLOOKUP($A257,My_Audit!$A:$A,My_Audit!G:G,""),
_xlfn.IFS(_xlpm.MyAuditVal&lt;&gt;"",_xlpm.MyAuditVal,_xlpm.MacVal&lt;&gt;"",_xlpm.MacVal,_xlpm.CSVVal&lt;&gt;"",_xlpm.CSVVal
)),"")</f>
        <v/>
      </c>
      <c r="I257" s="2" t="str">
        <f>_xlfn.XLOOKUP(A257,Output_Mac!A:A,Output_Mac!I:I,"")</f>
        <v/>
      </c>
      <c r="J257" s="2" t="str" cm="1">
        <f t="array" ref="J257">IFERROR(_xlfn.LET(
_xlpm.CSVVal,_xlfn.XLOOKUP($A257,CSV!$A:$A,CSV!I:I,""),
_xlpm.MacVal,_xlfn.XLOOKUP($A257,Output_Mac!$A:$A,Output_Mac!J:J,""),
_xlpm.MyAuditVal,_xlfn.XLOOKUP($A257,My_Audit!$A:$A,My_Audit!I:I,""),
_xlfn.IFS(_xlpm.MyAuditVal&lt;&gt;"",UPPER(_xlpm.MyAuditVal),_xlpm.MacVal&lt;&gt;"",_xlpm.MacVal,_xlpm.CSVVal&lt;&gt;"",_xlpm.CSVVal
)),"")</f>
        <v/>
      </c>
      <c r="K257" s="2" t="str" cm="1">
        <f t="array" ref="K257">IFERROR(_xlfn.LET(
_xlpm.CSVVal,_xlfn.XLOOKUP($A257,CSV!$A:$A,CSV!K:K,""),
_xlpm.MacVal,_xlfn.XLOOKUP($A257,Output_Mac!$A:$A,Output_Mac!K:K,""),
_xlpm.MyAuditVal,_xlfn.XLOOKUP($A257,My_Audit!$A:$A,My_Audit!J:J,""),
_xlfn.IFS(_xlpm.MyAuditVal&lt;&gt;"",UPPER(_xlpm.MyAuditVal),_xlpm.MacVal&lt;&gt;"",_xlpm.MacVal,_xlpm.CSVVal&lt;&gt;"",_xlpm.CSVVal
)),"")</f>
        <v/>
      </c>
      <c r="L257" s="2" t="str" cm="1">
        <f t="array" ref="L257">IFERROR(_xlfn.LET(
_xlpm.CSVVal,_xlfn.XLOOKUP($A257,CSV!$A:$A,CSV!P:P,""),
_xlpm.MacVal,_xlfn.XLOOKUP($A257,Output_Mac!$A:$A,Output_Mac!L:L,""),
_xlpm.MyAuditVal,_xlfn.XLOOKUP($A257,My_Audit!$A:$A,My_Audit!K:K,""),
_xlfn.IFS(_xlpm.MyAuditVal&lt;&gt;"",UPPER(_xlpm.MyAuditVal),_xlpm.MacVal&lt;&gt;"",_xlpm.MacVal,_xlpm.CSVVal&lt;&gt;"",_xlpm.CSVVal
)),"")</f>
        <v/>
      </c>
      <c r="M257" s="2" t="str" cm="1">
        <f t="array" ref="M257">IFERROR(_xlfn.LET(
_xlpm.CSVVal,_xlfn.XLOOKUP($A257,CSV!$A:$A,CSV!Q:Q,""),
_xlpm.MacVal,_xlfn.XLOOKUP($A257,Output_Mac!$A:$A,Output_Mac!M:M,""),
_xlpm.MyAuditVal,_xlfn.XLOOKUP($A257,My_Audit!$A:$A,My_Audit!L:L,""),
_xlfn.IFS(_xlpm.MyAuditVal&lt;&gt;"",UPPER(_xlpm.MyAuditVal),_xlpm.MacVal&lt;&gt;"",_xlpm.MacVal,_xlpm.CSVVal&lt;&gt;"",_xlpm.CSVVal
)),"")</f>
        <v/>
      </c>
      <c r="O257" s="2" t="str">
        <f>_xlfn.LET(
    _xlpm.CSVVal, _xlfn.XLOOKUP($A257, CSV!$A:$A, CSV!AF:AF, ""),
    _xlpm.MacVal, _xlfn.XLOOKUP($A257, Output_Mac!$A:$A, Output_Mac!S:S, ""),
    _xlpm.MyAuditVal, _xlfn.XLOOKUP($A257, My_Audit!$A:$A, My_Audit!P:P, ""),
    _xlfn.TEXTJOIN(", ", TRUE, _xlpm.MyAuditVal, _xlpm.MacVal, _xlpm.CSVVal)
)</f>
        <v/>
      </c>
      <c r="P257" s="2" t="str" cm="1">
        <f t="array" ref="P257">IFERROR(_xlfn.LET(
_xlpm.CSVVal,_xlfn.XLOOKUP($A257,CSV!$A:$A,CSV!AG:AG,""),
_xlpm.MacVal,_xlfn.XLOOKUP($A257,Output_Mac!$A:$A,Output_Mac!T:T,""),
_xlpm.MyAuditVal,_xlfn.XLOOKUP($A257,My_Audit!$A:$A,My_Audit!Q:Q,""),
_xlfn.IFS(_xlpm.MyAuditVal&lt;&gt;"",UPPER(_xlpm.MyAuditVal),_xlpm.MacVal&lt;&gt;"",_xlpm.MacVal,_xlpm.CSVVal&lt;&gt;"",_xlpm.CSVVal
)),"No")</f>
        <v>No</v>
      </c>
      <c r="Q257" s="2" t="str" cm="1">
        <f t="array" ref="Q257">IFERROR(_xlfn.LET(
_xlpm.CSVVal,_xlfn.XLOOKUP($A257,CSV!$A:$A,CSV!AH:AH,""),
_xlpm.MacVal,_xlfn.XLOOKUP($A257,Output_Mac!$A:$A,Output_Mac!U:U,""),
_xlpm.MyAuditVal,_xlfn.XLOOKUP($A257,My_Audit!$A:$A,My_Audit!R:R,""),
_xlfn.IFS(_xlpm.MyAuditVal&lt;&gt;"",UPPER(_xlpm.MyAuditVal),_xlpm.MacVal&lt;&gt;"",_xlpm.MacVal,_xlpm.CSVVal&lt;&gt;"",_xlpm.CSVVal
)),"")</f>
        <v/>
      </c>
    </row>
    <row r="258" spans="1:17">
      <c r="A258" s="2" t="str">
        <f>_xlfn.TEXTJOIN("",TRUE,Input!$B$2,ROW(My_Audit!A257))</f>
        <v>XX257</v>
      </c>
      <c r="B258" s="2" t="str">
        <f>_xlfn.TEXTJOIN("-",TRUE,"ITD",Input!$A$2,A258)</f>
        <v>ITD-SHRXXX-XX257</v>
      </c>
      <c r="C258" s="2" t="str" cm="1">
        <f t="array" ref="C258">IFERROR(_xlfn.LET(
_xlpm.CSVVal,_xlfn.XLOOKUP($A258,CSV!$A:$A,CSV!B:B,""),
_xlpm.MacVal,_xlfn.XLOOKUP($A258,Output_Mac!$A:$A,Output_Mac!B:B,""),
_xlpm.MyAuditVal,_xlfn.XLOOKUP($A258,My_Audit!$A:$A,My_Audit!B:B,""),
_xlfn.IFS(_xlpm.MyAuditVal&lt;&gt;"",UPPER(_xlpm.MyAuditVal),_xlpm.MacVal&lt;&gt;"",_xlpm.MacVal,_xlpm.CSVVal&lt;&gt;"",_xlpm.CSVVal
)),"")</f>
        <v/>
      </c>
      <c r="D258" s="2" t="str" cm="1">
        <f t="array" ref="D258">IFERROR(_xlfn.LET(
_xlpm.CSVVal,_xlfn.XLOOKUP($A258,CSV!$A:$A,CSV!D:D,""),
_xlpm.MacVal,_xlfn.XLOOKUP($A258,Output_Mac!$A:$A,Output_Mac!C:C,""),
_xlpm.MyAuditVal,_xlfn.XLOOKUP($A258,My_Audit!$A:$A,My_Audit!C:C,""),
_xlfn.IFS(_xlpm.MyAuditVal&lt;&gt;"",_xlpm.MyAuditVal,_xlpm.MacVal&lt;&gt;"",_xlpm.MacVal,_xlpm.CSVVal&lt;&gt;"",_xlpm.CSVVal
)),"")</f>
        <v/>
      </c>
      <c r="E258" s="2" t="str">
        <f>_xlfn.XLOOKUP(A258,My_Audit!A:A,My_Audit!D:D,"")&amp;""</f>
        <v/>
      </c>
      <c r="F258" s="2" t="str" cm="1">
        <f t="array" ref="F258">IFERROR(_xlfn.LET(
_xlpm.CSVVal,_xlfn.XLOOKUP($A258,CSV!$A:$A,CSV!F:F,""),
_xlpm.MacVal,_xlfn.XLOOKUP($A258,Output_Mac!$A:$A,Output_Mac!E:E,""),
_xlpm.MyAuditVal,_xlfn.XLOOKUP($A258,My_Audit!$A:$A,My_Audit!E:E,""),
_xlfn.IFS(_xlpm.MyAuditVal&lt;&gt;"",_xlpm.MyAuditVal,_xlpm.MacVal&lt;&gt;"",_xlpm.MacVal,_xlpm.CSVVal&lt;&gt;"",_xlpm.CSVVal
)),"")</f>
        <v/>
      </c>
      <c r="G258" s="2" t="str" cm="1">
        <f t="array" ref="G258">IFERROR(_xlfn.LET(
_xlpm.CSVVal,_xlfn.XLOOKUP($A258,CSV!$A:$A,CSV!G:G,""),
_xlpm.MacVal,_xlfn.XLOOKUP($A258,Output_Mac!$A:$A,Output_Mac!F:F,""),
_xlpm.MyAuditVal,_xlfn.XLOOKUP($A258,My_Audit!$A:$A,My_Audit!F:F,""),
_xlfn.IFS(_xlpm.MyAuditVal&lt;&gt;"",_xlpm.MyAuditVal,_xlpm.MacVal&lt;&gt;"",_xlpm.MacVal,_xlpm.CSVVal&lt;&gt;"",PROPER(_xlpm.CSVVal)
)),"")</f>
        <v/>
      </c>
      <c r="H258" s="2" t="str" cm="1">
        <f t="array" ref="H258">IFERROR(_xlfn.LET(
_xlpm.CSVVal,_xlfn.XLOOKUP($A258,CSV!$A:$A,CSV!H:H,""),
_xlpm.MacVal,_xlfn.XLOOKUP($A258,Output_Mac!$A:$A,Output_Mac!H:H,""),
_xlpm.MyAuditVal,_xlfn.XLOOKUP($A258,My_Audit!$A:$A,My_Audit!G:G,""),
_xlfn.IFS(_xlpm.MyAuditVal&lt;&gt;"",_xlpm.MyAuditVal,_xlpm.MacVal&lt;&gt;"",_xlpm.MacVal,_xlpm.CSVVal&lt;&gt;"",_xlpm.CSVVal
)),"")</f>
        <v/>
      </c>
      <c r="I258" s="2" t="str">
        <f>_xlfn.XLOOKUP(A258,Output_Mac!A:A,Output_Mac!I:I,"")</f>
        <v/>
      </c>
      <c r="J258" s="2" t="str" cm="1">
        <f t="array" ref="J258">IFERROR(_xlfn.LET(
_xlpm.CSVVal,_xlfn.XLOOKUP($A258,CSV!$A:$A,CSV!I:I,""),
_xlpm.MacVal,_xlfn.XLOOKUP($A258,Output_Mac!$A:$A,Output_Mac!J:J,""),
_xlpm.MyAuditVal,_xlfn.XLOOKUP($A258,My_Audit!$A:$A,My_Audit!I:I,""),
_xlfn.IFS(_xlpm.MyAuditVal&lt;&gt;"",UPPER(_xlpm.MyAuditVal),_xlpm.MacVal&lt;&gt;"",_xlpm.MacVal,_xlpm.CSVVal&lt;&gt;"",_xlpm.CSVVal
)),"")</f>
        <v/>
      </c>
      <c r="K258" s="2" t="str" cm="1">
        <f t="array" ref="K258">IFERROR(_xlfn.LET(
_xlpm.CSVVal,_xlfn.XLOOKUP($A258,CSV!$A:$A,CSV!K:K,""),
_xlpm.MacVal,_xlfn.XLOOKUP($A258,Output_Mac!$A:$A,Output_Mac!K:K,""),
_xlpm.MyAuditVal,_xlfn.XLOOKUP($A258,My_Audit!$A:$A,My_Audit!J:J,""),
_xlfn.IFS(_xlpm.MyAuditVal&lt;&gt;"",UPPER(_xlpm.MyAuditVal),_xlpm.MacVal&lt;&gt;"",_xlpm.MacVal,_xlpm.CSVVal&lt;&gt;"",_xlpm.CSVVal
)),"")</f>
        <v/>
      </c>
      <c r="L258" s="2" t="str" cm="1">
        <f t="array" ref="L258">IFERROR(_xlfn.LET(
_xlpm.CSVVal,_xlfn.XLOOKUP($A258,CSV!$A:$A,CSV!P:P,""),
_xlpm.MacVal,_xlfn.XLOOKUP($A258,Output_Mac!$A:$A,Output_Mac!L:L,""),
_xlpm.MyAuditVal,_xlfn.XLOOKUP($A258,My_Audit!$A:$A,My_Audit!K:K,""),
_xlfn.IFS(_xlpm.MyAuditVal&lt;&gt;"",UPPER(_xlpm.MyAuditVal),_xlpm.MacVal&lt;&gt;"",_xlpm.MacVal,_xlpm.CSVVal&lt;&gt;"",_xlpm.CSVVal
)),"")</f>
        <v/>
      </c>
      <c r="M258" s="2" t="str" cm="1">
        <f t="array" ref="M258">IFERROR(_xlfn.LET(
_xlpm.CSVVal,_xlfn.XLOOKUP($A258,CSV!$A:$A,CSV!Q:Q,""),
_xlpm.MacVal,_xlfn.XLOOKUP($A258,Output_Mac!$A:$A,Output_Mac!M:M,""),
_xlpm.MyAuditVal,_xlfn.XLOOKUP($A258,My_Audit!$A:$A,My_Audit!L:L,""),
_xlfn.IFS(_xlpm.MyAuditVal&lt;&gt;"",UPPER(_xlpm.MyAuditVal),_xlpm.MacVal&lt;&gt;"",_xlpm.MacVal,_xlpm.CSVVal&lt;&gt;"",_xlpm.CSVVal
)),"")</f>
        <v/>
      </c>
      <c r="O258" s="2" t="str">
        <f>_xlfn.LET(
    _xlpm.CSVVal, _xlfn.XLOOKUP($A258, CSV!$A:$A, CSV!AF:AF, ""),
    _xlpm.MacVal, _xlfn.XLOOKUP($A258, Output_Mac!$A:$A, Output_Mac!S:S, ""),
    _xlpm.MyAuditVal, _xlfn.XLOOKUP($A258, My_Audit!$A:$A, My_Audit!P:P, ""),
    _xlfn.TEXTJOIN(", ", TRUE, _xlpm.MyAuditVal, _xlpm.MacVal, _xlpm.CSVVal)
)</f>
        <v/>
      </c>
      <c r="P258" s="2" t="str" cm="1">
        <f t="array" ref="P258">IFERROR(_xlfn.LET(
_xlpm.CSVVal,_xlfn.XLOOKUP($A258,CSV!$A:$A,CSV!AG:AG,""),
_xlpm.MacVal,_xlfn.XLOOKUP($A258,Output_Mac!$A:$A,Output_Mac!T:T,""),
_xlpm.MyAuditVal,_xlfn.XLOOKUP($A258,My_Audit!$A:$A,My_Audit!Q:Q,""),
_xlfn.IFS(_xlpm.MyAuditVal&lt;&gt;"",UPPER(_xlpm.MyAuditVal),_xlpm.MacVal&lt;&gt;"",_xlpm.MacVal,_xlpm.CSVVal&lt;&gt;"",_xlpm.CSVVal
)),"No")</f>
        <v>No</v>
      </c>
      <c r="Q258" s="2" t="str" cm="1">
        <f t="array" ref="Q258">IFERROR(_xlfn.LET(
_xlpm.CSVVal,_xlfn.XLOOKUP($A258,CSV!$A:$A,CSV!AH:AH,""),
_xlpm.MacVal,_xlfn.XLOOKUP($A258,Output_Mac!$A:$A,Output_Mac!U:U,""),
_xlpm.MyAuditVal,_xlfn.XLOOKUP($A258,My_Audit!$A:$A,My_Audit!R:R,""),
_xlfn.IFS(_xlpm.MyAuditVal&lt;&gt;"",UPPER(_xlpm.MyAuditVal),_xlpm.MacVal&lt;&gt;"",_xlpm.MacVal,_xlpm.CSVVal&lt;&gt;"",_xlpm.CSVVal
)),"")</f>
        <v/>
      </c>
    </row>
    <row r="259" spans="1:17">
      <c r="A259" s="2" t="str">
        <f>_xlfn.TEXTJOIN("",TRUE,Input!$B$2,ROW(My_Audit!A258))</f>
        <v>XX258</v>
      </c>
      <c r="B259" s="2" t="str">
        <f>_xlfn.TEXTJOIN("-",TRUE,"ITD",Input!$A$2,A259)</f>
        <v>ITD-SHRXXX-XX258</v>
      </c>
      <c r="C259" s="2" t="str" cm="1">
        <f t="array" ref="C259">IFERROR(_xlfn.LET(
_xlpm.CSVVal,_xlfn.XLOOKUP($A259,CSV!$A:$A,CSV!B:B,""),
_xlpm.MacVal,_xlfn.XLOOKUP($A259,Output_Mac!$A:$A,Output_Mac!B:B,""),
_xlpm.MyAuditVal,_xlfn.XLOOKUP($A259,My_Audit!$A:$A,My_Audit!B:B,""),
_xlfn.IFS(_xlpm.MyAuditVal&lt;&gt;"",UPPER(_xlpm.MyAuditVal),_xlpm.MacVal&lt;&gt;"",_xlpm.MacVal,_xlpm.CSVVal&lt;&gt;"",_xlpm.CSVVal
)),"")</f>
        <v/>
      </c>
      <c r="D259" s="2" t="str" cm="1">
        <f t="array" ref="D259">IFERROR(_xlfn.LET(
_xlpm.CSVVal,_xlfn.XLOOKUP($A259,CSV!$A:$A,CSV!D:D,""),
_xlpm.MacVal,_xlfn.XLOOKUP($A259,Output_Mac!$A:$A,Output_Mac!C:C,""),
_xlpm.MyAuditVal,_xlfn.XLOOKUP($A259,My_Audit!$A:$A,My_Audit!C:C,""),
_xlfn.IFS(_xlpm.MyAuditVal&lt;&gt;"",_xlpm.MyAuditVal,_xlpm.MacVal&lt;&gt;"",_xlpm.MacVal,_xlpm.CSVVal&lt;&gt;"",_xlpm.CSVVal
)),"")</f>
        <v/>
      </c>
      <c r="E259" s="2" t="str">
        <f>_xlfn.XLOOKUP(A259,My_Audit!A:A,My_Audit!D:D,"")&amp;""</f>
        <v/>
      </c>
      <c r="F259" s="2" t="str" cm="1">
        <f t="array" ref="F259">IFERROR(_xlfn.LET(
_xlpm.CSVVal,_xlfn.XLOOKUP($A259,CSV!$A:$A,CSV!F:F,""),
_xlpm.MacVal,_xlfn.XLOOKUP($A259,Output_Mac!$A:$A,Output_Mac!E:E,""),
_xlpm.MyAuditVal,_xlfn.XLOOKUP($A259,My_Audit!$A:$A,My_Audit!E:E,""),
_xlfn.IFS(_xlpm.MyAuditVal&lt;&gt;"",_xlpm.MyAuditVal,_xlpm.MacVal&lt;&gt;"",_xlpm.MacVal,_xlpm.CSVVal&lt;&gt;"",_xlpm.CSVVal
)),"")</f>
        <v/>
      </c>
      <c r="G259" s="2" t="str" cm="1">
        <f t="array" ref="G259">IFERROR(_xlfn.LET(
_xlpm.CSVVal,_xlfn.XLOOKUP($A259,CSV!$A:$A,CSV!G:G,""),
_xlpm.MacVal,_xlfn.XLOOKUP($A259,Output_Mac!$A:$A,Output_Mac!F:F,""),
_xlpm.MyAuditVal,_xlfn.XLOOKUP($A259,My_Audit!$A:$A,My_Audit!F:F,""),
_xlfn.IFS(_xlpm.MyAuditVal&lt;&gt;"",_xlpm.MyAuditVal,_xlpm.MacVal&lt;&gt;"",_xlpm.MacVal,_xlpm.CSVVal&lt;&gt;"",PROPER(_xlpm.CSVVal)
)),"")</f>
        <v/>
      </c>
      <c r="H259" s="2" t="str" cm="1">
        <f t="array" ref="H259">IFERROR(_xlfn.LET(
_xlpm.CSVVal,_xlfn.XLOOKUP($A259,CSV!$A:$A,CSV!H:H,""),
_xlpm.MacVal,_xlfn.XLOOKUP($A259,Output_Mac!$A:$A,Output_Mac!H:H,""),
_xlpm.MyAuditVal,_xlfn.XLOOKUP($A259,My_Audit!$A:$A,My_Audit!G:G,""),
_xlfn.IFS(_xlpm.MyAuditVal&lt;&gt;"",_xlpm.MyAuditVal,_xlpm.MacVal&lt;&gt;"",_xlpm.MacVal,_xlpm.CSVVal&lt;&gt;"",_xlpm.CSVVal
)),"")</f>
        <v/>
      </c>
      <c r="I259" s="2" t="str">
        <f>_xlfn.XLOOKUP(A259,Output_Mac!A:A,Output_Mac!I:I,"")</f>
        <v/>
      </c>
      <c r="J259" s="2" t="str" cm="1">
        <f t="array" ref="J259">IFERROR(_xlfn.LET(
_xlpm.CSVVal,_xlfn.XLOOKUP($A259,CSV!$A:$A,CSV!I:I,""),
_xlpm.MacVal,_xlfn.XLOOKUP($A259,Output_Mac!$A:$A,Output_Mac!J:J,""),
_xlpm.MyAuditVal,_xlfn.XLOOKUP($A259,My_Audit!$A:$A,My_Audit!I:I,""),
_xlfn.IFS(_xlpm.MyAuditVal&lt;&gt;"",UPPER(_xlpm.MyAuditVal),_xlpm.MacVal&lt;&gt;"",_xlpm.MacVal,_xlpm.CSVVal&lt;&gt;"",_xlpm.CSVVal
)),"")</f>
        <v/>
      </c>
      <c r="K259" s="2" t="str" cm="1">
        <f t="array" ref="K259">IFERROR(_xlfn.LET(
_xlpm.CSVVal,_xlfn.XLOOKUP($A259,CSV!$A:$A,CSV!K:K,""),
_xlpm.MacVal,_xlfn.XLOOKUP($A259,Output_Mac!$A:$A,Output_Mac!K:K,""),
_xlpm.MyAuditVal,_xlfn.XLOOKUP($A259,My_Audit!$A:$A,My_Audit!J:J,""),
_xlfn.IFS(_xlpm.MyAuditVal&lt;&gt;"",UPPER(_xlpm.MyAuditVal),_xlpm.MacVal&lt;&gt;"",_xlpm.MacVal,_xlpm.CSVVal&lt;&gt;"",_xlpm.CSVVal
)),"")</f>
        <v/>
      </c>
      <c r="L259" s="2" t="str" cm="1">
        <f t="array" ref="L259">IFERROR(_xlfn.LET(
_xlpm.CSVVal,_xlfn.XLOOKUP($A259,CSV!$A:$A,CSV!P:P,""),
_xlpm.MacVal,_xlfn.XLOOKUP($A259,Output_Mac!$A:$A,Output_Mac!L:L,""),
_xlpm.MyAuditVal,_xlfn.XLOOKUP($A259,My_Audit!$A:$A,My_Audit!K:K,""),
_xlfn.IFS(_xlpm.MyAuditVal&lt;&gt;"",UPPER(_xlpm.MyAuditVal),_xlpm.MacVal&lt;&gt;"",_xlpm.MacVal,_xlpm.CSVVal&lt;&gt;"",_xlpm.CSVVal
)),"")</f>
        <v/>
      </c>
      <c r="M259" s="2" t="str" cm="1">
        <f t="array" ref="M259">IFERROR(_xlfn.LET(
_xlpm.CSVVal,_xlfn.XLOOKUP($A259,CSV!$A:$A,CSV!Q:Q,""),
_xlpm.MacVal,_xlfn.XLOOKUP($A259,Output_Mac!$A:$A,Output_Mac!M:M,""),
_xlpm.MyAuditVal,_xlfn.XLOOKUP($A259,My_Audit!$A:$A,My_Audit!L:L,""),
_xlfn.IFS(_xlpm.MyAuditVal&lt;&gt;"",UPPER(_xlpm.MyAuditVal),_xlpm.MacVal&lt;&gt;"",_xlpm.MacVal,_xlpm.CSVVal&lt;&gt;"",_xlpm.CSVVal
)),"")</f>
        <v/>
      </c>
      <c r="O259" s="2" t="str">
        <f>_xlfn.LET(
    _xlpm.CSVVal, _xlfn.XLOOKUP($A259, CSV!$A:$A, CSV!AF:AF, ""),
    _xlpm.MacVal, _xlfn.XLOOKUP($A259, Output_Mac!$A:$A, Output_Mac!S:S, ""),
    _xlpm.MyAuditVal, _xlfn.XLOOKUP($A259, My_Audit!$A:$A, My_Audit!P:P, ""),
    _xlfn.TEXTJOIN(", ", TRUE, _xlpm.MyAuditVal, _xlpm.MacVal, _xlpm.CSVVal)
)</f>
        <v/>
      </c>
      <c r="P259" s="2" t="str" cm="1">
        <f t="array" ref="P259">IFERROR(_xlfn.LET(
_xlpm.CSVVal,_xlfn.XLOOKUP($A259,CSV!$A:$A,CSV!AG:AG,""),
_xlpm.MacVal,_xlfn.XLOOKUP($A259,Output_Mac!$A:$A,Output_Mac!T:T,""),
_xlpm.MyAuditVal,_xlfn.XLOOKUP($A259,My_Audit!$A:$A,My_Audit!Q:Q,""),
_xlfn.IFS(_xlpm.MyAuditVal&lt;&gt;"",UPPER(_xlpm.MyAuditVal),_xlpm.MacVal&lt;&gt;"",_xlpm.MacVal,_xlpm.CSVVal&lt;&gt;"",_xlpm.CSVVal
)),"No")</f>
        <v>No</v>
      </c>
      <c r="Q259" s="2" t="str" cm="1">
        <f t="array" ref="Q259">IFERROR(_xlfn.LET(
_xlpm.CSVVal,_xlfn.XLOOKUP($A259,CSV!$A:$A,CSV!AH:AH,""),
_xlpm.MacVal,_xlfn.XLOOKUP($A259,Output_Mac!$A:$A,Output_Mac!U:U,""),
_xlpm.MyAuditVal,_xlfn.XLOOKUP($A259,My_Audit!$A:$A,My_Audit!R:R,""),
_xlfn.IFS(_xlpm.MyAuditVal&lt;&gt;"",UPPER(_xlpm.MyAuditVal),_xlpm.MacVal&lt;&gt;"",_xlpm.MacVal,_xlpm.CSVVal&lt;&gt;"",_xlpm.CSVVal
)),"")</f>
        <v/>
      </c>
    </row>
    <row r="260" spans="1:17">
      <c r="A260" s="2" t="str">
        <f>_xlfn.TEXTJOIN("",TRUE,Input!$B$2,ROW(My_Audit!A259))</f>
        <v>XX259</v>
      </c>
      <c r="B260" s="2" t="str">
        <f>_xlfn.TEXTJOIN("-",TRUE,"ITD",Input!$A$2,A260)</f>
        <v>ITD-SHRXXX-XX259</v>
      </c>
      <c r="C260" s="2" t="str" cm="1">
        <f t="array" ref="C260">IFERROR(_xlfn.LET(
_xlpm.CSVVal,_xlfn.XLOOKUP($A260,CSV!$A:$A,CSV!B:B,""),
_xlpm.MacVal,_xlfn.XLOOKUP($A260,Output_Mac!$A:$A,Output_Mac!B:B,""),
_xlpm.MyAuditVal,_xlfn.XLOOKUP($A260,My_Audit!$A:$A,My_Audit!B:B,""),
_xlfn.IFS(_xlpm.MyAuditVal&lt;&gt;"",UPPER(_xlpm.MyAuditVal),_xlpm.MacVal&lt;&gt;"",_xlpm.MacVal,_xlpm.CSVVal&lt;&gt;"",_xlpm.CSVVal
)),"")</f>
        <v/>
      </c>
      <c r="D260" s="2" t="str" cm="1">
        <f t="array" ref="D260">IFERROR(_xlfn.LET(
_xlpm.CSVVal,_xlfn.XLOOKUP($A260,CSV!$A:$A,CSV!D:D,""),
_xlpm.MacVal,_xlfn.XLOOKUP($A260,Output_Mac!$A:$A,Output_Mac!C:C,""),
_xlpm.MyAuditVal,_xlfn.XLOOKUP($A260,My_Audit!$A:$A,My_Audit!C:C,""),
_xlfn.IFS(_xlpm.MyAuditVal&lt;&gt;"",_xlpm.MyAuditVal,_xlpm.MacVal&lt;&gt;"",_xlpm.MacVal,_xlpm.CSVVal&lt;&gt;"",_xlpm.CSVVal
)),"")</f>
        <v/>
      </c>
      <c r="E260" s="2" t="str">
        <f>_xlfn.XLOOKUP(A260,My_Audit!A:A,My_Audit!D:D,"")&amp;""</f>
        <v/>
      </c>
      <c r="F260" s="2" t="str" cm="1">
        <f t="array" ref="F260">IFERROR(_xlfn.LET(
_xlpm.CSVVal,_xlfn.XLOOKUP($A260,CSV!$A:$A,CSV!F:F,""),
_xlpm.MacVal,_xlfn.XLOOKUP($A260,Output_Mac!$A:$A,Output_Mac!E:E,""),
_xlpm.MyAuditVal,_xlfn.XLOOKUP($A260,My_Audit!$A:$A,My_Audit!E:E,""),
_xlfn.IFS(_xlpm.MyAuditVal&lt;&gt;"",_xlpm.MyAuditVal,_xlpm.MacVal&lt;&gt;"",_xlpm.MacVal,_xlpm.CSVVal&lt;&gt;"",_xlpm.CSVVal
)),"")</f>
        <v/>
      </c>
      <c r="G260" s="2" t="str" cm="1">
        <f t="array" ref="G260">IFERROR(_xlfn.LET(
_xlpm.CSVVal,_xlfn.XLOOKUP($A260,CSV!$A:$A,CSV!G:G,""),
_xlpm.MacVal,_xlfn.XLOOKUP($A260,Output_Mac!$A:$A,Output_Mac!F:F,""),
_xlpm.MyAuditVal,_xlfn.XLOOKUP($A260,My_Audit!$A:$A,My_Audit!F:F,""),
_xlfn.IFS(_xlpm.MyAuditVal&lt;&gt;"",_xlpm.MyAuditVal,_xlpm.MacVal&lt;&gt;"",_xlpm.MacVal,_xlpm.CSVVal&lt;&gt;"",PROPER(_xlpm.CSVVal)
)),"")</f>
        <v/>
      </c>
      <c r="H260" s="2" t="str" cm="1">
        <f t="array" ref="H260">IFERROR(_xlfn.LET(
_xlpm.CSVVal,_xlfn.XLOOKUP($A260,CSV!$A:$A,CSV!H:H,""),
_xlpm.MacVal,_xlfn.XLOOKUP($A260,Output_Mac!$A:$A,Output_Mac!H:H,""),
_xlpm.MyAuditVal,_xlfn.XLOOKUP($A260,My_Audit!$A:$A,My_Audit!G:G,""),
_xlfn.IFS(_xlpm.MyAuditVal&lt;&gt;"",_xlpm.MyAuditVal,_xlpm.MacVal&lt;&gt;"",_xlpm.MacVal,_xlpm.CSVVal&lt;&gt;"",_xlpm.CSVVal
)),"")</f>
        <v/>
      </c>
      <c r="I260" s="2" t="str">
        <f>_xlfn.XLOOKUP(A260,Output_Mac!A:A,Output_Mac!I:I,"")</f>
        <v/>
      </c>
      <c r="J260" s="2" t="str" cm="1">
        <f t="array" ref="J260">IFERROR(_xlfn.LET(
_xlpm.CSVVal,_xlfn.XLOOKUP($A260,CSV!$A:$A,CSV!I:I,""),
_xlpm.MacVal,_xlfn.XLOOKUP($A260,Output_Mac!$A:$A,Output_Mac!J:J,""),
_xlpm.MyAuditVal,_xlfn.XLOOKUP($A260,My_Audit!$A:$A,My_Audit!I:I,""),
_xlfn.IFS(_xlpm.MyAuditVal&lt;&gt;"",UPPER(_xlpm.MyAuditVal),_xlpm.MacVal&lt;&gt;"",_xlpm.MacVal,_xlpm.CSVVal&lt;&gt;"",_xlpm.CSVVal
)),"")</f>
        <v/>
      </c>
      <c r="K260" s="2" t="str" cm="1">
        <f t="array" ref="K260">IFERROR(_xlfn.LET(
_xlpm.CSVVal,_xlfn.XLOOKUP($A260,CSV!$A:$A,CSV!K:K,""),
_xlpm.MacVal,_xlfn.XLOOKUP($A260,Output_Mac!$A:$A,Output_Mac!K:K,""),
_xlpm.MyAuditVal,_xlfn.XLOOKUP($A260,My_Audit!$A:$A,My_Audit!J:J,""),
_xlfn.IFS(_xlpm.MyAuditVal&lt;&gt;"",UPPER(_xlpm.MyAuditVal),_xlpm.MacVal&lt;&gt;"",_xlpm.MacVal,_xlpm.CSVVal&lt;&gt;"",_xlpm.CSVVal
)),"")</f>
        <v/>
      </c>
      <c r="L260" s="2" t="str" cm="1">
        <f t="array" ref="L260">IFERROR(_xlfn.LET(
_xlpm.CSVVal,_xlfn.XLOOKUP($A260,CSV!$A:$A,CSV!P:P,""),
_xlpm.MacVal,_xlfn.XLOOKUP($A260,Output_Mac!$A:$A,Output_Mac!L:L,""),
_xlpm.MyAuditVal,_xlfn.XLOOKUP($A260,My_Audit!$A:$A,My_Audit!K:K,""),
_xlfn.IFS(_xlpm.MyAuditVal&lt;&gt;"",UPPER(_xlpm.MyAuditVal),_xlpm.MacVal&lt;&gt;"",_xlpm.MacVal,_xlpm.CSVVal&lt;&gt;"",_xlpm.CSVVal
)),"")</f>
        <v/>
      </c>
      <c r="M260" s="2" t="str" cm="1">
        <f t="array" ref="M260">IFERROR(_xlfn.LET(
_xlpm.CSVVal,_xlfn.XLOOKUP($A260,CSV!$A:$A,CSV!Q:Q,""),
_xlpm.MacVal,_xlfn.XLOOKUP($A260,Output_Mac!$A:$A,Output_Mac!M:M,""),
_xlpm.MyAuditVal,_xlfn.XLOOKUP($A260,My_Audit!$A:$A,My_Audit!L:L,""),
_xlfn.IFS(_xlpm.MyAuditVal&lt;&gt;"",UPPER(_xlpm.MyAuditVal),_xlpm.MacVal&lt;&gt;"",_xlpm.MacVal,_xlpm.CSVVal&lt;&gt;"",_xlpm.CSVVal
)),"")</f>
        <v/>
      </c>
      <c r="O260" s="2" t="str">
        <f>_xlfn.LET(
    _xlpm.CSVVal, _xlfn.XLOOKUP($A260, CSV!$A:$A, CSV!AF:AF, ""),
    _xlpm.MacVal, _xlfn.XLOOKUP($A260, Output_Mac!$A:$A, Output_Mac!S:S, ""),
    _xlpm.MyAuditVal, _xlfn.XLOOKUP($A260, My_Audit!$A:$A, My_Audit!P:P, ""),
    _xlfn.TEXTJOIN(", ", TRUE, _xlpm.MyAuditVal, _xlpm.MacVal, _xlpm.CSVVal)
)</f>
        <v/>
      </c>
      <c r="P260" s="2" t="str" cm="1">
        <f t="array" ref="P260">IFERROR(_xlfn.LET(
_xlpm.CSVVal,_xlfn.XLOOKUP($A260,CSV!$A:$A,CSV!AG:AG,""),
_xlpm.MacVal,_xlfn.XLOOKUP($A260,Output_Mac!$A:$A,Output_Mac!T:T,""),
_xlpm.MyAuditVal,_xlfn.XLOOKUP($A260,My_Audit!$A:$A,My_Audit!Q:Q,""),
_xlfn.IFS(_xlpm.MyAuditVal&lt;&gt;"",UPPER(_xlpm.MyAuditVal),_xlpm.MacVal&lt;&gt;"",_xlpm.MacVal,_xlpm.CSVVal&lt;&gt;"",_xlpm.CSVVal
)),"No")</f>
        <v>No</v>
      </c>
      <c r="Q260" s="2" t="str" cm="1">
        <f t="array" ref="Q260">IFERROR(_xlfn.LET(
_xlpm.CSVVal,_xlfn.XLOOKUP($A260,CSV!$A:$A,CSV!AH:AH,""),
_xlpm.MacVal,_xlfn.XLOOKUP($A260,Output_Mac!$A:$A,Output_Mac!U:U,""),
_xlpm.MyAuditVal,_xlfn.XLOOKUP($A260,My_Audit!$A:$A,My_Audit!R:R,""),
_xlfn.IFS(_xlpm.MyAuditVal&lt;&gt;"",UPPER(_xlpm.MyAuditVal),_xlpm.MacVal&lt;&gt;"",_xlpm.MacVal,_xlpm.CSVVal&lt;&gt;"",_xlpm.CSVVal
)),"")</f>
        <v/>
      </c>
    </row>
    <row r="261" spans="1:17">
      <c r="A261" s="2" t="str">
        <f>_xlfn.TEXTJOIN("",TRUE,Input!$B$2,ROW(My_Audit!A260))</f>
        <v>XX260</v>
      </c>
      <c r="B261" s="2" t="str">
        <f>_xlfn.TEXTJOIN("-",TRUE,"ITD",Input!$A$2,A261)</f>
        <v>ITD-SHRXXX-XX260</v>
      </c>
      <c r="C261" s="2" t="str" cm="1">
        <f t="array" ref="C261">IFERROR(_xlfn.LET(
_xlpm.CSVVal,_xlfn.XLOOKUP($A261,CSV!$A:$A,CSV!B:B,""),
_xlpm.MacVal,_xlfn.XLOOKUP($A261,Output_Mac!$A:$A,Output_Mac!B:B,""),
_xlpm.MyAuditVal,_xlfn.XLOOKUP($A261,My_Audit!$A:$A,My_Audit!B:B,""),
_xlfn.IFS(_xlpm.MyAuditVal&lt;&gt;"",UPPER(_xlpm.MyAuditVal),_xlpm.MacVal&lt;&gt;"",_xlpm.MacVal,_xlpm.CSVVal&lt;&gt;"",_xlpm.CSVVal
)),"")</f>
        <v/>
      </c>
      <c r="D261" s="2" t="str" cm="1">
        <f t="array" ref="D261">IFERROR(_xlfn.LET(
_xlpm.CSVVal,_xlfn.XLOOKUP($A261,CSV!$A:$A,CSV!D:D,""),
_xlpm.MacVal,_xlfn.XLOOKUP($A261,Output_Mac!$A:$A,Output_Mac!C:C,""),
_xlpm.MyAuditVal,_xlfn.XLOOKUP($A261,My_Audit!$A:$A,My_Audit!C:C,""),
_xlfn.IFS(_xlpm.MyAuditVal&lt;&gt;"",_xlpm.MyAuditVal,_xlpm.MacVal&lt;&gt;"",_xlpm.MacVal,_xlpm.CSVVal&lt;&gt;"",_xlpm.CSVVal
)),"")</f>
        <v/>
      </c>
      <c r="E261" s="2" t="str">
        <f>_xlfn.XLOOKUP(A261,My_Audit!A:A,My_Audit!D:D,"")&amp;""</f>
        <v/>
      </c>
      <c r="F261" s="2" t="str" cm="1">
        <f t="array" ref="F261">IFERROR(_xlfn.LET(
_xlpm.CSVVal,_xlfn.XLOOKUP($A261,CSV!$A:$A,CSV!F:F,""),
_xlpm.MacVal,_xlfn.XLOOKUP($A261,Output_Mac!$A:$A,Output_Mac!E:E,""),
_xlpm.MyAuditVal,_xlfn.XLOOKUP($A261,My_Audit!$A:$A,My_Audit!E:E,""),
_xlfn.IFS(_xlpm.MyAuditVal&lt;&gt;"",_xlpm.MyAuditVal,_xlpm.MacVal&lt;&gt;"",_xlpm.MacVal,_xlpm.CSVVal&lt;&gt;"",_xlpm.CSVVal
)),"")</f>
        <v/>
      </c>
      <c r="G261" s="2" t="str" cm="1">
        <f t="array" ref="G261">IFERROR(_xlfn.LET(
_xlpm.CSVVal,_xlfn.XLOOKUP($A261,CSV!$A:$A,CSV!G:G,""),
_xlpm.MacVal,_xlfn.XLOOKUP($A261,Output_Mac!$A:$A,Output_Mac!F:F,""),
_xlpm.MyAuditVal,_xlfn.XLOOKUP($A261,My_Audit!$A:$A,My_Audit!F:F,""),
_xlfn.IFS(_xlpm.MyAuditVal&lt;&gt;"",_xlpm.MyAuditVal,_xlpm.MacVal&lt;&gt;"",_xlpm.MacVal,_xlpm.CSVVal&lt;&gt;"",PROPER(_xlpm.CSVVal)
)),"")</f>
        <v/>
      </c>
      <c r="H261" s="2" t="str" cm="1">
        <f t="array" ref="H261">IFERROR(_xlfn.LET(
_xlpm.CSVVal,_xlfn.XLOOKUP($A261,CSV!$A:$A,CSV!H:H,""),
_xlpm.MacVal,_xlfn.XLOOKUP($A261,Output_Mac!$A:$A,Output_Mac!H:H,""),
_xlpm.MyAuditVal,_xlfn.XLOOKUP($A261,My_Audit!$A:$A,My_Audit!G:G,""),
_xlfn.IFS(_xlpm.MyAuditVal&lt;&gt;"",_xlpm.MyAuditVal,_xlpm.MacVal&lt;&gt;"",_xlpm.MacVal,_xlpm.CSVVal&lt;&gt;"",_xlpm.CSVVal
)),"")</f>
        <v/>
      </c>
      <c r="I261" s="2" t="str">
        <f>_xlfn.XLOOKUP(A261,Output_Mac!A:A,Output_Mac!I:I,"")</f>
        <v/>
      </c>
      <c r="J261" s="2" t="str" cm="1">
        <f t="array" ref="J261">IFERROR(_xlfn.LET(
_xlpm.CSVVal,_xlfn.XLOOKUP($A261,CSV!$A:$A,CSV!I:I,""),
_xlpm.MacVal,_xlfn.XLOOKUP($A261,Output_Mac!$A:$A,Output_Mac!J:J,""),
_xlpm.MyAuditVal,_xlfn.XLOOKUP($A261,My_Audit!$A:$A,My_Audit!I:I,""),
_xlfn.IFS(_xlpm.MyAuditVal&lt;&gt;"",UPPER(_xlpm.MyAuditVal),_xlpm.MacVal&lt;&gt;"",_xlpm.MacVal,_xlpm.CSVVal&lt;&gt;"",_xlpm.CSVVal
)),"")</f>
        <v/>
      </c>
      <c r="K261" s="2" t="str" cm="1">
        <f t="array" ref="K261">IFERROR(_xlfn.LET(
_xlpm.CSVVal,_xlfn.XLOOKUP($A261,CSV!$A:$A,CSV!K:K,""),
_xlpm.MacVal,_xlfn.XLOOKUP($A261,Output_Mac!$A:$A,Output_Mac!K:K,""),
_xlpm.MyAuditVal,_xlfn.XLOOKUP($A261,My_Audit!$A:$A,My_Audit!J:J,""),
_xlfn.IFS(_xlpm.MyAuditVal&lt;&gt;"",UPPER(_xlpm.MyAuditVal),_xlpm.MacVal&lt;&gt;"",_xlpm.MacVal,_xlpm.CSVVal&lt;&gt;"",_xlpm.CSVVal
)),"")</f>
        <v/>
      </c>
      <c r="L261" s="2" t="str" cm="1">
        <f t="array" ref="L261">IFERROR(_xlfn.LET(
_xlpm.CSVVal,_xlfn.XLOOKUP($A261,CSV!$A:$A,CSV!P:P,""),
_xlpm.MacVal,_xlfn.XLOOKUP($A261,Output_Mac!$A:$A,Output_Mac!L:L,""),
_xlpm.MyAuditVal,_xlfn.XLOOKUP($A261,My_Audit!$A:$A,My_Audit!K:K,""),
_xlfn.IFS(_xlpm.MyAuditVal&lt;&gt;"",UPPER(_xlpm.MyAuditVal),_xlpm.MacVal&lt;&gt;"",_xlpm.MacVal,_xlpm.CSVVal&lt;&gt;"",_xlpm.CSVVal
)),"")</f>
        <v/>
      </c>
      <c r="M261" s="2" t="str" cm="1">
        <f t="array" ref="M261">IFERROR(_xlfn.LET(
_xlpm.CSVVal,_xlfn.XLOOKUP($A261,CSV!$A:$A,CSV!Q:Q,""),
_xlpm.MacVal,_xlfn.XLOOKUP($A261,Output_Mac!$A:$A,Output_Mac!M:M,""),
_xlpm.MyAuditVal,_xlfn.XLOOKUP($A261,My_Audit!$A:$A,My_Audit!L:L,""),
_xlfn.IFS(_xlpm.MyAuditVal&lt;&gt;"",UPPER(_xlpm.MyAuditVal),_xlpm.MacVal&lt;&gt;"",_xlpm.MacVal,_xlpm.CSVVal&lt;&gt;"",_xlpm.CSVVal
)),"")</f>
        <v/>
      </c>
      <c r="O261" s="2" t="str">
        <f>_xlfn.LET(
    _xlpm.CSVVal, _xlfn.XLOOKUP($A261, CSV!$A:$A, CSV!AF:AF, ""),
    _xlpm.MacVal, _xlfn.XLOOKUP($A261, Output_Mac!$A:$A, Output_Mac!S:S, ""),
    _xlpm.MyAuditVal, _xlfn.XLOOKUP($A261, My_Audit!$A:$A, My_Audit!P:P, ""),
    _xlfn.TEXTJOIN(", ", TRUE, _xlpm.MyAuditVal, _xlpm.MacVal, _xlpm.CSVVal)
)</f>
        <v/>
      </c>
      <c r="P261" s="2" t="str" cm="1">
        <f t="array" ref="P261">IFERROR(_xlfn.LET(
_xlpm.CSVVal,_xlfn.XLOOKUP($A261,CSV!$A:$A,CSV!AG:AG,""),
_xlpm.MacVal,_xlfn.XLOOKUP($A261,Output_Mac!$A:$A,Output_Mac!T:T,""),
_xlpm.MyAuditVal,_xlfn.XLOOKUP($A261,My_Audit!$A:$A,My_Audit!Q:Q,""),
_xlfn.IFS(_xlpm.MyAuditVal&lt;&gt;"",UPPER(_xlpm.MyAuditVal),_xlpm.MacVal&lt;&gt;"",_xlpm.MacVal,_xlpm.CSVVal&lt;&gt;"",_xlpm.CSVVal
)),"No")</f>
        <v>No</v>
      </c>
      <c r="Q261" s="2" t="str" cm="1">
        <f t="array" ref="Q261">IFERROR(_xlfn.LET(
_xlpm.CSVVal,_xlfn.XLOOKUP($A261,CSV!$A:$A,CSV!AH:AH,""),
_xlpm.MacVal,_xlfn.XLOOKUP($A261,Output_Mac!$A:$A,Output_Mac!U:U,""),
_xlpm.MyAuditVal,_xlfn.XLOOKUP($A261,My_Audit!$A:$A,My_Audit!R:R,""),
_xlfn.IFS(_xlpm.MyAuditVal&lt;&gt;"",UPPER(_xlpm.MyAuditVal),_xlpm.MacVal&lt;&gt;"",_xlpm.MacVal,_xlpm.CSVVal&lt;&gt;"",_xlpm.CSVVal
)),"")</f>
        <v/>
      </c>
    </row>
    <row r="262" spans="1:17">
      <c r="A262" s="2" t="str">
        <f>_xlfn.TEXTJOIN("",TRUE,Input!$B$2,ROW(My_Audit!A261))</f>
        <v>XX261</v>
      </c>
      <c r="B262" s="2" t="str">
        <f>_xlfn.TEXTJOIN("-",TRUE,"ITD",Input!$A$2,A262)</f>
        <v>ITD-SHRXXX-XX261</v>
      </c>
      <c r="C262" s="2" t="str" cm="1">
        <f t="array" ref="C262">IFERROR(_xlfn.LET(
_xlpm.CSVVal,_xlfn.XLOOKUP($A262,CSV!$A:$A,CSV!B:B,""),
_xlpm.MacVal,_xlfn.XLOOKUP($A262,Output_Mac!$A:$A,Output_Mac!B:B,""),
_xlpm.MyAuditVal,_xlfn.XLOOKUP($A262,My_Audit!$A:$A,My_Audit!B:B,""),
_xlfn.IFS(_xlpm.MyAuditVal&lt;&gt;"",UPPER(_xlpm.MyAuditVal),_xlpm.MacVal&lt;&gt;"",_xlpm.MacVal,_xlpm.CSVVal&lt;&gt;"",_xlpm.CSVVal
)),"")</f>
        <v/>
      </c>
      <c r="D262" s="2" t="str" cm="1">
        <f t="array" ref="D262">IFERROR(_xlfn.LET(
_xlpm.CSVVal,_xlfn.XLOOKUP($A262,CSV!$A:$A,CSV!D:D,""),
_xlpm.MacVal,_xlfn.XLOOKUP($A262,Output_Mac!$A:$A,Output_Mac!C:C,""),
_xlpm.MyAuditVal,_xlfn.XLOOKUP($A262,My_Audit!$A:$A,My_Audit!C:C,""),
_xlfn.IFS(_xlpm.MyAuditVal&lt;&gt;"",_xlpm.MyAuditVal,_xlpm.MacVal&lt;&gt;"",_xlpm.MacVal,_xlpm.CSVVal&lt;&gt;"",_xlpm.CSVVal
)),"")</f>
        <v/>
      </c>
      <c r="E262" s="2" t="str">
        <f>_xlfn.XLOOKUP(A262,My_Audit!A:A,My_Audit!D:D,"")&amp;""</f>
        <v/>
      </c>
      <c r="F262" s="2" t="str" cm="1">
        <f t="array" ref="F262">IFERROR(_xlfn.LET(
_xlpm.CSVVal,_xlfn.XLOOKUP($A262,CSV!$A:$A,CSV!F:F,""),
_xlpm.MacVal,_xlfn.XLOOKUP($A262,Output_Mac!$A:$A,Output_Mac!E:E,""),
_xlpm.MyAuditVal,_xlfn.XLOOKUP($A262,My_Audit!$A:$A,My_Audit!E:E,""),
_xlfn.IFS(_xlpm.MyAuditVal&lt;&gt;"",_xlpm.MyAuditVal,_xlpm.MacVal&lt;&gt;"",_xlpm.MacVal,_xlpm.CSVVal&lt;&gt;"",_xlpm.CSVVal
)),"")</f>
        <v/>
      </c>
      <c r="G262" s="2" t="str" cm="1">
        <f t="array" ref="G262">IFERROR(_xlfn.LET(
_xlpm.CSVVal,_xlfn.XLOOKUP($A262,CSV!$A:$A,CSV!G:G,""),
_xlpm.MacVal,_xlfn.XLOOKUP($A262,Output_Mac!$A:$A,Output_Mac!F:F,""),
_xlpm.MyAuditVal,_xlfn.XLOOKUP($A262,My_Audit!$A:$A,My_Audit!F:F,""),
_xlfn.IFS(_xlpm.MyAuditVal&lt;&gt;"",_xlpm.MyAuditVal,_xlpm.MacVal&lt;&gt;"",_xlpm.MacVal,_xlpm.CSVVal&lt;&gt;"",PROPER(_xlpm.CSVVal)
)),"")</f>
        <v/>
      </c>
      <c r="H262" s="2" t="str" cm="1">
        <f t="array" ref="H262">IFERROR(_xlfn.LET(
_xlpm.CSVVal,_xlfn.XLOOKUP($A262,CSV!$A:$A,CSV!H:H,""),
_xlpm.MacVal,_xlfn.XLOOKUP($A262,Output_Mac!$A:$A,Output_Mac!H:H,""),
_xlpm.MyAuditVal,_xlfn.XLOOKUP($A262,My_Audit!$A:$A,My_Audit!G:G,""),
_xlfn.IFS(_xlpm.MyAuditVal&lt;&gt;"",_xlpm.MyAuditVal,_xlpm.MacVal&lt;&gt;"",_xlpm.MacVal,_xlpm.CSVVal&lt;&gt;"",_xlpm.CSVVal
)),"")</f>
        <v/>
      </c>
      <c r="I262" s="2" t="str">
        <f>_xlfn.XLOOKUP(A262,Output_Mac!A:A,Output_Mac!I:I,"")</f>
        <v/>
      </c>
      <c r="J262" s="2" t="str" cm="1">
        <f t="array" ref="J262">IFERROR(_xlfn.LET(
_xlpm.CSVVal,_xlfn.XLOOKUP($A262,CSV!$A:$A,CSV!I:I,""),
_xlpm.MacVal,_xlfn.XLOOKUP($A262,Output_Mac!$A:$A,Output_Mac!J:J,""),
_xlpm.MyAuditVal,_xlfn.XLOOKUP($A262,My_Audit!$A:$A,My_Audit!I:I,""),
_xlfn.IFS(_xlpm.MyAuditVal&lt;&gt;"",UPPER(_xlpm.MyAuditVal),_xlpm.MacVal&lt;&gt;"",_xlpm.MacVal,_xlpm.CSVVal&lt;&gt;"",_xlpm.CSVVal
)),"")</f>
        <v/>
      </c>
      <c r="K262" s="2" t="str" cm="1">
        <f t="array" ref="K262">IFERROR(_xlfn.LET(
_xlpm.CSVVal,_xlfn.XLOOKUP($A262,CSV!$A:$A,CSV!K:K,""),
_xlpm.MacVal,_xlfn.XLOOKUP($A262,Output_Mac!$A:$A,Output_Mac!K:K,""),
_xlpm.MyAuditVal,_xlfn.XLOOKUP($A262,My_Audit!$A:$A,My_Audit!J:J,""),
_xlfn.IFS(_xlpm.MyAuditVal&lt;&gt;"",UPPER(_xlpm.MyAuditVal),_xlpm.MacVal&lt;&gt;"",_xlpm.MacVal,_xlpm.CSVVal&lt;&gt;"",_xlpm.CSVVal
)),"")</f>
        <v/>
      </c>
      <c r="L262" s="2" t="str" cm="1">
        <f t="array" ref="L262">IFERROR(_xlfn.LET(
_xlpm.CSVVal,_xlfn.XLOOKUP($A262,CSV!$A:$A,CSV!P:P,""),
_xlpm.MacVal,_xlfn.XLOOKUP($A262,Output_Mac!$A:$A,Output_Mac!L:L,""),
_xlpm.MyAuditVal,_xlfn.XLOOKUP($A262,My_Audit!$A:$A,My_Audit!K:K,""),
_xlfn.IFS(_xlpm.MyAuditVal&lt;&gt;"",UPPER(_xlpm.MyAuditVal),_xlpm.MacVal&lt;&gt;"",_xlpm.MacVal,_xlpm.CSVVal&lt;&gt;"",_xlpm.CSVVal
)),"")</f>
        <v/>
      </c>
      <c r="M262" s="2" t="str" cm="1">
        <f t="array" ref="M262">IFERROR(_xlfn.LET(
_xlpm.CSVVal,_xlfn.XLOOKUP($A262,CSV!$A:$A,CSV!Q:Q,""),
_xlpm.MacVal,_xlfn.XLOOKUP($A262,Output_Mac!$A:$A,Output_Mac!M:M,""),
_xlpm.MyAuditVal,_xlfn.XLOOKUP($A262,My_Audit!$A:$A,My_Audit!L:L,""),
_xlfn.IFS(_xlpm.MyAuditVal&lt;&gt;"",UPPER(_xlpm.MyAuditVal),_xlpm.MacVal&lt;&gt;"",_xlpm.MacVal,_xlpm.CSVVal&lt;&gt;"",_xlpm.CSVVal
)),"")</f>
        <v/>
      </c>
      <c r="O262" s="2" t="str">
        <f>_xlfn.LET(
    _xlpm.CSVVal, _xlfn.XLOOKUP($A262, CSV!$A:$A, CSV!AF:AF, ""),
    _xlpm.MacVal, _xlfn.XLOOKUP($A262, Output_Mac!$A:$A, Output_Mac!S:S, ""),
    _xlpm.MyAuditVal, _xlfn.XLOOKUP($A262, My_Audit!$A:$A, My_Audit!P:P, ""),
    _xlfn.TEXTJOIN(", ", TRUE, _xlpm.MyAuditVal, _xlpm.MacVal, _xlpm.CSVVal)
)</f>
        <v/>
      </c>
      <c r="P262" s="2" t="str" cm="1">
        <f t="array" ref="P262">IFERROR(_xlfn.LET(
_xlpm.CSVVal,_xlfn.XLOOKUP($A262,CSV!$A:$A,CSV!AG:AG,""),
_xlpm.MacVal,_xlfn.XLOOKUP($A262,Output_Mac!$A:$A,Output_Mac!T:T,""),
_xlpm.MyAuditVal,_xlfn.XLOOKUP($A262,My_Audit!$A:$A,My_Audit!Q:Q,""),
_xlfn.IFS(_xlpm.MyAuditVal&lt;&gt;"",UPPER(_xlpm.MyAuditVal),_xlpm.MacVal&lt;&gt;"",_xlpm.MacVal,_xlpm.CSVVal&lt;&gt;"",_xlpm.CSVVal
)),"No")</f>
        <v>No</v>
      </c>
      <c r="Q262" s="2" t="str" cm="1">
        <f t="array" ref="Q262">IFERROR(_xlfn.LET(
_xlpm.CSVVal,_xlfn.XLOOKUP($A262,CSV!$A:$A,CSV!AH:AH,""),
_xlpm.MacVal,_xlfn.XLOOKUP($A262,Output_Mac!$A:$A,Output_Mac!U:U,""),
_xlpm.MyAuditVal,_xlfn.XLOOKUP($A262,My_Audit!$A:$A,My_Audit!R:R,""),
_xlfn.IFS(_xlpm.MyAuditVal&lt;&gt;"",UPPER(_xlpm.MyAuditVal),_xlpm.MacVal&lt;&gt;"",_xlpm.MacVal,_xlpm.CSVVal&lt;&gt;"",_xlpm.CSVVal
)),"")</f>
        <v/>
      </c>
    </row>
    <row r="263" spans="1:17">
      <c r="A263" s="2" t="str">
        <f>_xlfn.TEXTJOIN("",TRUE,Input!$B$2,ROW(My_Audit!A262))</f>
        <v>XX262</v>
      </c>
      <c r="B263" s="2" t="str">
        <f>_xlfn.TEXTJOIN("-",TRUE,"ITD",Input!$A$2,A263)</f>
        <v>ITD-SHRXXX-XX262</v>
      </c>
      <c r="C263" s="2" t="str" cm="1">
        <f t="array" ref="C263">IFERROR(_xlfn.LET(
_xlpm.CSVVal,_xlfn.XLOOKUP($A263,CSV!$A:$A,CSV!B:B,""),
_xlpm.MacVal,_xlfn.XLOOKUP($A263,Output_Mac!$A:$A,Output_Mac!B:B,""),
_xlpm.MyAuditVal,_xlfn.XLOOKUP($A263,My_Audit!$A:$A,My_Audit!B:B,""),
_xlfn.IFS(_xlpm.MyAuditVal&lt;&gt;"",UPPER(_xlpm.MyAuditVal),_xlpm.MacVal&lt;&gt;"",_xlpm.MacVal,_xlpm.CSVVal&lt;&gt;"",_xlpm.CSVVal
)),"")</f>
        <v/>
      </c>
      <c r="D263" s="2" t="str" cm="1">
        <f t="array" ref="D263">IFERROR(_xlfn.LET(
_xlpm.CSVVal,_xlfn.XLOOKUP($A263,CSV!$A:$A,CSV!D:D,""),
_xlpm.MacVal,_xlfn.XLOOKUP($A263,Output_Mac!$A:$A,Output_Mac!C:C,""),
_xlpm.MyAuditVal,_xlfn.XLOOKUP($A263,My_Audit!$A:$A,My_Audit!C:C,""),
_xlfn.IFS(_xlpm.MyAuditVal&lt;&gt;"",_xlpm.MyAuditVal,_xlpm.MacVal&lt;&gt;"",_xlpm.MacVal,_xlpm.CSVVal&lt;&gt;"",_xlpm.CSVVal
)),"")</f>
        <v/>
      </c>
      <c r="E263" s="2" t="str">
        <f>_xlfn.XLOOKUP(A263,My_Audit!A:A,My_Audit!D:D,"")&amp;""</f>
        <v/>
      </c>
      <c r="F263" s="2" t="str" cm="1">
        <f t="array" ref="F263">IFERROR(_xlfn.LET(
_xlpm.CSVVal,_xlfn.XLOOKUP($A263,CSV!$A:$A,CSV!F:F,""),
_xlpm.MacVal,_xlfn.XLOOKUP($A263,Output_Mac!$A:$A,Output_Mac!E:E,""),
_xlpm.MyAuditVal,_xlfn.XLOOKUP($A263,My_Audit!$A:$A,My_Audit!E:E,""),
_xlfn.IFS(_xlpm.MyAuditVal&lt;&gt;"",_xlpm.MyAuditVal,_xlpm.MacVal&lt;&gt;"",_xlpm.MacVal,_xlpm.CSVVal&lt;&gt;"",_xlpm.CSVVal
)),"")</f>
        <v/>
      </c>
      <c r="G263" s="2" t="str" cm="1">
        <f t="array" ref="G263">IFERROR(_xlfn.LET(
_xlpm.CSVVal,_xlfn.XLOOKUP($A263,CSV!$A:$A,CSV!G:G,""),
_xlpm.MacVal,_xlfn.XLOOKUP($A263,Output_Mac!$A:$A,Output_Mac!F:F,""),
_xlpm.MyAuditVal,_xlfn.XLOOKUP($A263,My_Audit!$A:$A,My_Audit!F:F,""),
_xlfn.IFS(_xlpm.MyAuditVal&lt;&gt;"",_xlpm.MyAuditVal,_xlpm.MacVal&lt;&gt;"",_xlpm.MacVal,_xlpm.CSVVal&lt;&gt;"",PROPER(_xlpm.CSVVal)
)),"")</f>
        <v/>
      </c>
      <c r="H263" s="2" t="str" cm="1">
        <f t="array" ref="H263">IFERROR(_xlfn.LET(
_xlpm.CSVVal,_xlfn.XLOOKUP($A263,CSV!$A:$A,CSV!H:H,""),
_xlpm.MacVal,_xlfn.XLOOKUP($A263,Output_Mac!$A:$A,Output_Mac!H:H,""),
_xlpm.MyAuditVal,_xlfn.XLOOKUP($A263,My_Audit!$A:$A,My_Audit!G:G,""),
_xlfn.IFS(_xlpm.MyAuditVal&lt;&gt;"",_xlpm.MyAuditVal,_xlpm.MacVal&lt;&gt;"",_xlpm.MacVal,_xlpm.CSVVal&lt;&gt;"",_xlpm.CSVVal
)),"")</f>
        <v/>
      </c>
      <c r="I263" s="2" t="str">
        <f>_xlfn.XLOOKUP(A263,Output_Mac!A:A,Output_Mac!I:I,"")</f>
        <v/>
      </c>
      <c r="J263" s="2" t="str" cm="1">
        <f t="array" ref="J263">IFERROR(_xlfn.LET(
_xlpm.CSVVal,_xlfn.XLOOKUP($A263,CSV!$A:$A,CSV!I:I,""),
_xlpm.MacVal,_xlfn.XLOOKUP($A263,Output_Mac!$A:$A,Output_Mac!J:J,""),
_xlpm.MyAuditVal,_xlfn.XLOOKUP($A263,My_Audit!$A:$A,My_Audit!I:I,""),
_xlfn.IFS(_xlpm.MyAuditVal&lt;&gt;"",UPPER(_xlpm.MyAuditVal),_xlpm.MacVal&lt;&gt;"",_xlpm.MacVal,_xlpm.CSVVal&lt;&gt;"",_xlpm.CSVVal
)),"")</f>
        <v/>
      </c>
      <c r="K263" s="2" t="str" cm="1">
        <f t="array" ref="K263">IFERROR(_xlfn.LET(
_xlpm.CSVVal,_xlfn.XLOOKUP($A263,CSV!$A:$A,CSV!K:K,""),
_xlpm.MacVal,_xlfn.XLOOKUP($A263,Output_Mac!$A:$A,Output_Mac!K:K,""),
_xlpm.MyAuditVal,_xlfn.XLOOKUP($A263,My_Audit!$A:$A,My_Audit!J:J,""),
_xlfn.IFS(_xlpm.MyAuditVal&lt;&gt;"",UPPER(_xlpm.MyAuditVal),_xlpm.MacVal&lt;&gt;"",_xlpm.MacVal,_xlpm.CSVVal&lt;&gt;"",_xlpm.CSVVal
)),"")</f>
        <v/>
      </c>
      <c r="L263" s="2" t="str" cm="1">
        <f t="array" ref="L263">IFERROR(_xlfn.LET(
_xlpm.CSVVal,_xlfn.XLOOKUP($A263,CSV!$A:$A,CSV!P:P,""),
_xlpm.MacVal,_xlfn.XLOOKUP($A263,Output_Mac!$A:$A,Output_Mac!L:L,""),
_xlpm.MyAuditVal,_xlfn.XLOOKUP($A263,My_Audit!$A:$A,My_Audit!K:K,""),
_xlfn.IFS(_xlpm.MyAuditVal&lt;&gt;"",UPPER(_xlpm.MyAuditVal),_xlpm.MacVal&lt;&gt;"",_xlpm.MacVal,_xlpm.CSVVal&lt;&gt;"",_xlpm.CSVVal
)),"")</f>
        <v/>
      </c>
      <c r="M263" s="2" t="str" cm="1">
        <f t="array" ref="M263">IFERROR(_xlfn.LET(
_xlpm.CSVVal,_xlfn.XLOOKUP($A263,CSV!$A:$A,CSV!Q:Q,""),
_xlpm.MacVal,_xlfn.XLOOKUP($A263,Output_Mac!$A:$A,Output_Mac!M:M,""),
_xlpm.MyAuditVal,_xlfn.XLOOKUP($A263,My_Audit!$A:$A,My_Audit!L:L,""),
_xlfn.IFS(_xlpm.MyAuditVal&lt;&gt;"",UPPER(_xlpm.MyAuditVal),_xlpm.MacVal&lt;&gt;"",_xlpm.MacVal,_xlpm.CSVVal&lt;&gt;"",_xlpm.CSVVal
)),"")</f>
        <v/>
      </c>
      <c r="O263" s="2" t="str">
        <f>_xlfn.LET(
    _xlpm.CSVVal, _xlfn.XLOOKUP($A263, CSV!$A:$A, CSV!AF:AF, ""),
    _xlpm.MacVal, _xlfn.XLOOKUP($A263, Output_Mac!$A:$A, Output_Mac!S:S, ""),
    _xlpm.MyAuditVal, _xlfn.XLOOKUP($A263, My_Audit!$A:$A, My_Audit!P:P, ""),
    _xlfn.TEXTJOIN(", ", TRUE, _xlpm.MyAuditVal, _xlpm.MacVal, _xlpm.CSVVal)
)</f>
        <v/>
      </c>
      <c r="P263" s="2" t="str" cm="1">
        <f t="array" ref="P263">IFERROR(_xlfn.LET(
_xlpm.CSVVal,_xlfn.XLOOKUP($A263,CSV!$A:$A,CSV!AG:AG,""),
_xlpm.MacVal,_xlfn.XLOOKUP($A263,Output_Mac!$A:$A,Output_Mac!T:T,""),
_xlpm.MyAuditVal,_xlfn.XLOOKUP($A263,My_Audit!$A:$A,My_Audit!Q:Q,""),
_xlfn.IFS(_xlpm.MyAuditVal&lt;&gt;"",UPPER(_xlpm.MyAuditVal),_xlpm.MacVal&lt;&gt;"",_xlpm.MacVal,_xlpm.CSVVal&lt;&gt;"",_xlpm.CSVVal
)),"No")</f>
        <v>No</v>
      </c>
      <c r="Q263" s="2" t="str" cm="1">
        <f t="array" ref="Q263">IFERROR(_xlfn.LET(
_xlpm.CSVVal,_xlfn.XLOOKUP($A263,CSV!$A:$A,CSV!AH:AH,""),
_xlpm.MacVal,_xlfn.XLOOKUP($A263,Output_Mac!$A:$A,Output_Mac!U:U,""),
_xlpm.MyAuditVal,_xlfn.XLOOKUP($A263,My_Audit!$A:$A,My_Audit!R:R,""),
_xlfn.IFS(_xlpm.MyAuditVal&lt;&gt;"",UPPER(_xlpm.MyAuditVal),_xlpm.MacVal&lt;&gt;"",_xlpm.MacVal,_xlpm.CSVVal&lt;&gt;"",_xlpm.CSVVal
)),"")</f>
        <v/>
      </c>
    </row>
    <row r="264" spans="1:17">
      <c r="A264" s="2" t="str">
        <f>_xlfn.TEXTJOIN("",TRUE,Input!$B$2,ROW(My_Audit!A263))</f>
        <v>XX263</v>
      </c>
      <c r="B264" s="2" t="str">
        <f>_xlfn.TEXTJOIN("-",TRUE,"ITD",Input!$A$2,A264)</f>
        <v>ITD-SHRXXX-XX263</v>
      </c>
      <c r="C264" s="2" t="str" cm="1">
        <f t="array" ref="C264">IFERROR(_xlfn.LET(
_xlpm.CSVVal,_xlfn.XLOOKUP($A264,CSV!$A:$A,CSV!B:B,""),
_xlpm.MacVal,_xlfn.XLOOKUP($A264,Output_Mac!$A:$A,Output_Mac!B:B,""),
_xlpm.MyAuditVal,_xlfn.XLOOKUP($A264,My_Audit!$A:$A,My_Audit!B:B,""),
_xlfn.IFS(_xlpm.MyAuditVal&lt;&gt;"",UPPER(_xlpm.MyAuditVal),_xlpm.MacVal&lt;&gt;"",_xlpm.MacVal,_xlpm.CSVVal&lt;&gt;"",_xlpm.CSVVal
)),"")</f>
        <v/>
      </c>
      <c r="D264" s="2" t="str" cm="1">
        <f t="array" ref="D264">IFERROR(_xlfn.LET(
_xlpm.CSVVal,_xlfn.XLOOKUP($A264,CSV!$A:$A,CSV!D:D,""),
_xlpm.MacVal,_xlfn.XLOOKUP($A264,Output_Mac!$A:$A,Output_Mac!C:C,""),
_xlpm.MyAuditVal,_xlfn.XLOOKUP($A264,My_Audit!$A:$A,My_Audit!C:C,""),
_xlfn.IFS(_xlpm.MyAuditVal&lt;&gt;"",_xlpm.MyAuditVal,_xlpm.MacVal&lt;&gt;"",_xlpm.MacVal,_xlpm.CSVVal&lt;&gt;"",_xlpm.CSVVal
)),"")</f>
        <v/>
      </c>
      <c r="E264" s="2" t="str">
        <f>_xlfn.XLOOKUP(A264,My_Audit!A:A,My_Audit!D:D,"")&amp;""</f>
        <v/>
      </c>
      <c r="F264" s="2" t="str" cm="1">
        <f t="array" ref="F264">IFERROR(_xlfn.LET(
_xlpm.CSVVal,_xlfn.XLOOKUP($A264,CSV!$A:$A,CSV!F:F,""),
_xlpm.MacVal,_xlfn.XLOOKUP($A264,Output_Mac!$A:$A,Output_Mac!E:E,""),
_xlpm.MyAuditVal,_xlfn.XLOOKUP($A264,My_Audit!$A:$A,My_Audit!E:E,""),
_xlfn.IFS(_xlpm.MyAuditVal&lt;&gt;"",_xlpm.MyAuditVal,_xlpm.MacVal&lt;&gt;"",_xlpm.MacVal,_xlpm.CSVVal&lt;&gt;"",_xlpm.CSVVal
)),"")</f>
        <v/>
      </c>
      <c r="G264" s="2" t="str" cm="1">
        <f t="array" ref="G264">IFERROR(_xlfn.LET(
_xlpm.CSVVal,_xlfn.XLOOKUP($A264,CSV!$A:$A,CSV!G:G,""),
_xlpm.MacVal,_xlfn.XLOOKUP($A264,Output_Mac!$A:$A,Output_Mac!F:F,""),
_xlpm.MyAuditVal,_xlfn.XLOOKUP($A264,My_Audit!$A:$A,My_Audit!F:F,""),
_xlfn.IFS(_xlpm.MyAuditVal&lt;&gt;"",_xlpm.MyAuditVal,_xlpm.MacVal&lt;&gt;"",_xlpm.MacVal,_xlpm.CSVVal&lt;&gt;"",PROPER(_xlpm.CSVVal)
)),"")</f>
        <v/>
      </c>
      <c r="H264" s="2" t="str" cm="1">
        <f t="array" ref="H264">IFERROR(_xlfn.LET(
_xlpm.CSVVal,_xlfn.XLOOKUP($A264,CSV!$A:$A,CSV!H:H,""),
_xlpm.MacVal,_xlfn.XLOOKUP($A264,Output_Mac!$A:$A,Output_Mac!H:H,""),
_xlpm.MyAuditVal,_xlfn.XLOOKUP($A264,My_Audit!$A:$A,My_Audit!G:G,""),
_xlfn.IFS(_xlpm.MyAuditVal&lt;&gt;"",_xlpm.MyAuditVal,_xlpm.MacVal&lt;&gt;"",_xlpm.MacVal,_xlpm.CSVVal&lt;&gt;"",_xlpm.CSVVal
)),"")</f>
        <v/>
      </c>
      <c r="I264" s="2" t="str">
        <f>_xlfn.XLOOKUP(A264,Output_Mac!A:A,Output_Mac!I:I,"")</f>
        <v/>
      </c>
      <c r="J264" s="2" t="str" cm="1">
        <f t="array" ref="J264">IFERROR(_xlfn.LET(
_xlpm.CSVVal,_xlfn.XLOOKUP($A264,CSV!$A:$A,CSV!I:I,""),
_xlpm.MacVal,_xlfn.XLOOKUP($A264,Output_Mac!$A:$A,Output_Mac!J:J,""),
_xlpm.MyAuditVal,_xlfn.XLOOKUP($A264,My_Audit!$A:$A,My_Audit!I:I,""),
_xlfn.IFS(_xlpm.MyAuditVal&lt;&gt;"",UPPER(_xlpm.MyAuditVal),_xlpm.MacVal&lt;&gt;"",_xlpm.MacVal,_xlpm.CSVVal&lt;&gt;"",_xlpm.CSVVal
)),"")</f>
        <v/>
      </c>
      <c r="K264" s="2" t="str" cm="1">
        <f t="array" ref="K264">IFERROR(_xlfn.LET(
_xlpm.CSVVal,_xlfn.XLOOKUP($A264,CSV!$A:$A,CSV!K:K,""),
_xlpm.MacVal,_xlfn.XLOOKUP($A264,Output_Mac!$A:$A,Output_Mac!K:K,""),
_xlpm.MyAuditVal,_xlfn.XLOOKUP($A264,My_Audit!$A:$A,My_Audit!J:J,""),
_xlfn.IFS(_xlpm.MyAuditVal&lt;&gt;"",UPPER(_xlpm.MyAuditVal),_xlpm.MacVal&lt;&gt;"",_xlpm.MacVal,_xlpm.CSVVal&lt;&gt;"",_xlpm.CSVVal
)),"")</f>
        <v/>
      </c>
      <c r="L264" s="2" t="str" cm="1">
        <f t="array" ref="L264">IFERROR(_xlfn.LET(
_xlpm.CSVVal,_xlfn.XLOOKUP($A264,CSV!$A:$A,CSV!P:P,""),
_xlpm.MacVal,_xlfn.XLOOKUP($A264,Output_Mac!$A:$A,Output_Mac!L:L,""),
_xlpm.MyAuditVal,_xlfn.XLOOKUP($A264,My_Audit!$A:$A,My_Audit!K:K,""),
_xlfn.IFS(_xlpm.MyAuditVal&lt;&gt;"",UPPER(_xlpm.MyAuditVal),_xlpm.MacVal&lt;&gt;"",_xlpm.MacVal,_xlpm.CSVVal&lt;&gt;"",_xlpm.CSVVal
)),"")</f>
        <v/>
      </c>
      <c r="M264" s="2" t="str" cm="1">
        <f t="array" ref="M264">IFERROR(_xlfn.LET(
_xlpm.CSVVal,_xlfn.XLOOKUP($A264,CSV!$A:$A,CSV!Q:Q,""),
_xlpm.MacVal,_xlfn.XLOOKUP($A264,Output_Mac!$A:$A,Output_Mac!M:M,""),
_xlpm.MyAuditVal,_xlfn.XLOOKUP($A264,My_Audit!$A:$A,My_Audit!L:L,""),
_xlfn.IFS(_xlpm.MyAuditVal&lt;&gt;"",UPPER(_xlpm.MyAuditVal),_xlpm.MacVal&lt;&gt;"",_xlpm.MacVal,_xlpm.CSVVal&lt;&gt;"",_xlpm.CSVVal
)),"")</f>
        <v/>
      </c>
      <c r="O264" s="2" t="str">
        <f>_xlfn.LET(
    _xlpm.CSVVal, _xlfn.XLOOKUP($A264, CSV!$A:$A, CSV!AF:AF, ""),
    _xlpm.MacVal, _xlfn.XLOOKUP($A264, Output_Mac!$A:$A, Output_Mac!S:S, ""),
    _xlpm.MyAuditVal, _xlfn.XLOOKUP($A264, My_Audit!$A:$A, My_Audit!P:P, ""),
    _xlfn.TEXTJOIN(", ", TRUE, _xlpm.MyAuditVal, _xlpm.MacVal, _xlpm.CSVVal)
)</f>
        <v/>
      </c>
      <c r="P264" s="2" t="str" cm="1">
        <f t="array" ref="P264">IFERROR(_xlfn.LET(
_xlpm.CSVVal,_xlfn.XLOOKUP($A264,CSV!$A:$A,CSV!AG:AG,""),
_xlpm.MacVal,_xlfn.XLOOKUP($A264,Output_Mac!$A:$A,Output_Mac!T:T,""),
_xlpm.MyAuditVal,_xlfn.XLOOKUP($A264,My_Audit!$A:$A,My_Audit!Q:Q,""),
_xlfn.IFS(_xlpm.MyAuditVal&lt;&gt;"",UPPER(_xlpm.MyAuditVal),_xlpm.MacVal&lt;&gt;"",_xlpm.MacVal,_xlpm.CSVVal&lt;&gt;"",_xlpm.CSVVal
)),"No")</f>
        <v>No</v>
      </c>
      <c r="Q264" s="2" t="str" cm="1">
        <f t="array" ref="Q264">IFERROR(_xlfn.LET(
_xlpm.CSVVal,_xlfn.XLOOKUP($A264,CSV!$A:$A,CSV!AH:AH,""),
_xlpm.MacVal,_xlfn.XLOOKUP($A264,Output_Mac!$A:$A,Output_Mac!U:U,""),
_xlpm.MyAuditVal,_xlfn.XLOOKUP($A264,My_Audit!$A:$A,My_Audit!R:R,""),
_xlfn.IFS(_xlpm.MyAuditVal&lt;&gt;"",UPPER(_xlpm.MyAuditVal),_xlpm.MacVal&lt;&gt;"",_xlpm.MacVal,_xlpm.CSVVal&lt;&gt;"",_xlpm.CSVVal
)),"")</f>
        <v/>
      </c>
    </row>
    <row r="265" spans="1:17">
      <c r="A265" s="2" t="str">
        <f>_xlfn.TEXTJOIN("",TRUE,Input!$B$2,ROW(My_Audit!A264))</f>
        <v>XX264</v>
      </c>
      <c r="B265" s="2" t="str">
        <f>_xlfn.TEXTJOIN("-",TRUE,"ITD",Input!$A$2,A265)</f>
        <v>ITD-SHRXXX-XX264</v>
      </c>
      <c r="C265" s="2" t="str" cm="1">
        <f t="array" ref="C265">IFERROR(_xlfn.LET(
_xlpm.CSVVal,_xlfn.XLOOKUP($A265,CSV!$A:$A,CSV!B:B,""),
_xlpm.MacVal,_xlfn.XLOOKUP($A265,Output_Mac!$A:$A,Output_Mac!B:B,""),
_xlpm.MyAuditVal,_xlfn.XLOOKUP($A265,My_Audit!$A:$A,My_Audit!B:B,""),
_xlfn.IFS(_xlpm.MyAuditVal&lt;&gt;"",UPPER(_xlpm.MyAuditVal),_xlpm.MacVal&lt;&gt;"",_xlpm.MacVal,_xlpm.CSVVal&lt;&gt;"",_xlpm.CSVVal
)),"")</f>
        <v/>
      </c>
      <c r="D265" s="2" t="str" cm="1">
        <f t="array" ref="D265">IFERROR(_xlfn.LET(
_xlpm.CSVVal,_xlfn.XLOOKUP($A265,CSV!$A:$A,CSV!D:D,""),
_xlpm.MacVal,_xlfn.XLOOKUP($A265,Output_Mac!$A:$A,Output_Mac!C:C,""),
_xlpm.MyAuditVal,_xlfn.XLOOKUP($A265,My_Audit!$A:$A,My_Audit!C:C,""),
_xlfn.IFS(_xlpm.MyAuditVal&lt;&gt;"",_xlpm.MyAuditVal,_xlpm.MacVal&lt;&gt;"",_xlpm.MacVal,_xlpm.CSVVal&lt;&gt;"",_xlpm.CSVVal
)),"")</f>
        <v/>
      </c>
      <c r="E265" s="2" t="str">
        <f>_xlfn.XLOOKUP(A265,My_Audit!A:A,My_Audit!D:D,"")&amp;""</f>
        <v/>
      </c>
      <c r="F265" s="2" t="str" cm="1">
        <f t="array" ref="F265">IFERROR(_xlfn.LET(
_xlpm.CSVVal,_xlfn.XLOOKUP($A265,CSV!$A:$A,CSV!F:F,""),
_xlpm.MacVal,_xlfn.XLOOKUP($A265,Output_Mac!$A:$A,Output_Mac!E:E,""),
_xlpm.MyAuditVal,_xlfn.XLOOKUP($A265,My_Audit!$A:$A,My_Audit!E:E,""),
_xlfn.IFS(_xlpm.MyAuditVal&lt;&gt;"",_xlpm.MyAuditVal,_xlpm.MacVal&lt;&gt;"",_xlpm.MacVal,_xlpm.CSVVal&lt;&gt;"",_xlpm.CSVVal
)),"")</f>
        <v/>
      </c>
      <c r="G265" s="2" t="str" cm="1">
        <f t="array" ref="G265">IFERROR(_xlfn.LET(
_xlpm.CSVVal,_xlfn.XLOOKUP($A265,CSV!$A:$A,CSV!G:G,""),
_xlpm.MacVal,_xlfn.XLOOKUP($A265,Output_Mac!$A:$A,Output_Mac!F:F,""),
_xlpm.MyAuditVal,_xlfn.XLOOKUP($A265,My_Audit!$A:$A,My_Audit!F:F,""),
_xlfn.IFS(_xlpm.MyAuditVal&lt;&gt;"",_xlpm.MyAuditVal,_xlpm.MacVal&lt;&gt;"",_xlpm.MacVal,_xlpm.CSVVal&lt;&gt;"",PROPER(_xlpm.CSVVal)
)),"")</f>
        <v/>
      </c>
      <c r="H265" s="2" t="str" cm="1">
        <f t="array" ref="H265">IFERROR(_xlfn.LET(
_xlpm.CSVVal,_xlfn.XLOOKUP($A265,CSV!$A:$A,CSV!H:H,""),
_xlpm.MacVal,_xlfn.XLOOKUP($A265,Output_Mac!$A:$A,Output_Mac!H:H,""),
_xlpm.MyAuditVal,_xlfn.XLOOKUP($A265,My_Audit!$A:$A,My_Audit!G:G,""),
_xlfn.IFS(_xlpm.MyAuditVal&lt;&gt;"",_xlpm.MyAuditVal,_xlpm.MacVal&lt;&gt;"",_xlpm.MacVal,_xlpm.CSVVal&lt;&gt;"",_xlpm.CSVVal
)),"")</f>
        <v/>
      </c>
      <c r="I265" s="2" t="str">
        <f>_xlfn.XLOOKUP(A265,Output_Mac!A:A,Output_Mac!I:I,"")</f>
        <v/>
      </c>
      <c r="J265" s="2" t="str" cm="1">
        <f t="array" ref="J265">IFERROR(_xlfn.LET(
_xlpm.CSVVal,_xlfn.XLOOKUP($A265,CSV!$A:$A,CSV!I:I,""),
_xlpm.MacVal,_xlfn.XLOOKUP($A265,Output_Mac!$A:$A,Output_Mac!J:J,""),
_xlpm.MyAuditVal,_xlfn.XLOOKUP($A265,My_Audit!$A:$A,My_Audit!I:I,""),
_xlfn.IFS(_xlpm.MyAuditVal&lt;&gt;"",UPPER(_xlpm.MyAuditVal),_xlpm.MacVal&lt;&gt;"",_xlpm.MacVal,_xlpm.CSVVal&lt;&gt;"",_xlpm.CSVVal
)),"")</f>
        <v/>
      </c>
      <c r="K265" s="2" t="str" cm="1">
        <f t="array" ref="K265">IFERROR(_xlfn.LET(
_xlpm.CSVVal,_xlfn.XLOOKUP($A265,CSV!$A:$A,CSV!K:K,""),
_xlpm.MacVal,_xlfn.XLOOKUP($A265,Output_Mac!$A:$A,Output_Mac!K:K,""),
_xlpm.MyAuditVal,_xlfn.XLOOKUP($A265,My_Audit!$A:$A,My_Audit!J:J,""),
_xlfn.IFS(_xlpm.MyAuditVal&lt;&gt;"",UPPER(_xlpm.MyAuditVal),_xlpm.MacVal&lt;&gt;"",_xlpm.MacVal,_xlpm.CSVVal&lt;&gt;"",_xlpm.CSVVal
)),"")</f>
        <v/>
      </c>
      <c r="L265" s="2" t="str" cm="1">
        <f t="array" ref="L265">IFERROR(_xlfn.LET(
_xlpm.CSVVal,_xlfn.XLOOKUP($A265,CSV!$A:$A,CSV!P:P,""),
_xlpm.MacVal,_xlfn.XLOOKUP($A265,Output_Mac!$A:$A,Output_Mac!L:L,""),
_xlpm.MyAuditVal,_xlfn.XLOOKUP($A265,My_Audit!$A:$A,My_Audit!K:K,""),
_xlfn.IFS(_xlpm.MyAuditVal&lt;&gt;"",UPPER(_xlpm.MyAuditVal),_xlpm.MacVal&lt;&gt;"",_xlpm.MacVal,_xlpm.CSVVal&lt;&gt;"",_xlpm.CSVVal
)),"")</f>
        <v/>
      </c>
      <c r="M265" s="2" t="str" cm="1">
        <f t="array" ref="M265">IFERROR(_xlfn.LET(
_xlpm.CSVVal,_xlfn.XLOOKUP($A265,CSV!$A:$A,CSV!Q:Q,""),
_xlpm.MacVal,_xlfn.XLOOKUP($A265,Output_Mac!$A:$A,Output_Mac!M:M,""),
_xlpm.MyAuditVal,_xlfn.XLOOKUP($A265,My_Audit!$A:$A,My_Audit!L:L,""),
_xlfn.IFS(_xlpm.MyAuditVal&lt;&gt;"",UPPER(_xlpm.MyAuditVal),_xlpm.MacVal&lt;&gt;"",_xlpm.MacVal,_xlpm.CSVVal&lt;&gt;"",_xlpm.CSVVal
)),"")</f>
        <v/>
      </c>
      <c r="O265" s="2" t="str">
        <f>_xlfn.LET(
    _xlpm.CSVVal, _xlfn.XLOOKUP($A265, CSV!$A:$A, CSV!AF:AF, ""),
    _xlpm.MacVal, _xlfn.XLOOKUP($A265, Output_Mac!$A:$A, Output_Mac!S:S, ""),
    _xlpm.MyAuditVal, _xlfn.XLOOKUP($A265, My_Audit!$A:$A, My_Audit!P:P, ""),
    _xlfn.TEXTJOIN(", ", TRUE, _xlpm.MyAuditVal, _xlpm.MacVal, _xlpm.CSVVal)
)</f>
        <v/>
      </c>
      <c r="P265" s="2" t="str" cm="1">
        <f t="array" ref="P265">IFERROR(_xlfn.LET(
_xlpm.CSVVal,_xlfn.XLOOKUP($A265,CSV!$A:$A,CSV!AG:AG,""),
_xlpm.MacVal,_xlfn.XLOOKUP($A265,Output_Mac!$A:$A,Output_Mac!T:T,""),
_xlpm.MyAuditVal,_xlfn.XLOOKUP($A265,My_Audit!$A:$A,My_Audit!Q:Q,""),
_xlfn.IFS(_xlpm.MyAuditVal&lt;&gt;"",UPPER(_xlpm.MyAuditVal),_xlpm.MacVal&lt;&gt;"",_xlpm.MacVal,_xlpm.CSVVal&lt;&gt;"",_xlpm.CSVVal
)),"No")</f>
        <v>No</v>
      </c>
      <c r="Q265" s="2" t="str" cm="1">
        <f t="array" ref="Q265">IFERROR(_xlfn.LET(
_xlpm.CSVVal,_xlfn.XLOOKUP($A265,CSV!$A:$A,CSV!AH:AH,""),
_xlpm.MacVal,_xlfn.XLOOKUP($A265,Output_Mac!$A:$A,Output_Mac!U:U,""),
_xlpm.MyAuditVal,_xlfn.XLOOKUP($A265,My_Audit!$A:$A,My_Audit!R:R,""),
_xlfn.IFS(_xlpm.MyAuditVal&lt;&gt;"",UPPER(_xlpm.MyAuditVal),_xlpm.MacVal&lt;&gt;"",_xlpm.MacVal,_xlpm.CSVVal&lt;&gt;"",_xlpm.CSVVal
)),"")</f>
        <v/>
      </c>
    </row>
    <row r="266" spans="1:17">
      <c r="A266" s="2" t="str">
        <f>_xlfn.TEXTJOIN("",TRUE,Input!$B$2,ROW(My_Audit!A265))</f>
        <v>XX265</v>
      </c>
      <c r="B266" s="2" t="str">
        <f>_xlfn.TEXTJOIN("-",TRUE,"ITD",Input!$A$2,A266)</f>
        <v>ITD-SHRXXX-XX265</v>
      </c>
      <c r="C266" s="2" t="str" cm="1">
        <f t="array" ref="C266">IFERROR(_xlfn.LET(
_xlpm.CSVVal,_xlfn.XLOOKUP($A266,CSV!$A:$A,CSV!B:B,""),
_xlpm.MacVal,_xlfn.XLOOKUP($A266,Output_Mac!$A:$A,Output_Mac!B:B,""),
_xlpm.MyAuditVal,_xlfn.XLOOKUP($A266,My_Audit!$A:$A,My_Audit!B:B,""),
_xlfn.IFS(_xlpm.MyAuditVal&lt;&gt;"",UPPER(_xlpm.MyAuditVal),_xlpm.MacVal&lt;&gt;"",_xlpm.MacVal,_xlpm.CSVVal&lt;&gt;"",_xlpm.CSVVal
)),"")</f>
        <v/>
      </c>
      <c r="D266" s="2" t="str" cm="1">
        <f t="array" ref="D266">IFERROR(_xlfn.LET(
_xlpm.CSVVal,_xlfn.XLOOKUP($A266,CSV!$A:$A,CSV!D:D,""),
_xlpm.MacVal,_xlfn.XLOOKUP($A266,Output_Mac!$A:$A,Output_Mac!C:C,""),
_xlpm.MyAuditVal,_xlfn.XLOOKUP($A266,My_Audit!$A:$A,My_Audit!C:C,""),
_xlfn.IFS(_xlpm.MyAuditVal&lt;&gt;"",_xlpm.MyAuditVal,_xlpm.MacVal&lt;&gt;"",_xlpm.MacVal,_xlpm.CSVVal&lt;&gt;"",_xlpm.CSVVal
)),"")</f>
        <v/>
      </c>
      <c r="E266" s="2" t="str">
        <f>_xlfn.XLOOKUP(A266,My_Audit!A:A,My_Audit!D:D,"")&amp;""</f>
        <v/>
      </c>
      <c r="F266" s="2" t="str" cm="1">
        <f t="array" ref="F266">IFERROR(_xlfn.LET(
_xlpm.CSVVal,_xlfn.XLOOKUP($A266,CSV!$A:$A,CSV!F:F,""),
_xlpm.MacVal,_xlfn.XLOOKUP($A266,Output_Mac!$A:$A,Output_Mac!E:E,""),
_xlpm.MyAuditVal,_xlfn.XLOOKUP($A266,My_Audit!$A:$A,My_Audit!E:E,""),
_xlfn.IFS(_xlpm.MyAuditVal&lt;&gt;"",_xlpm.MyAuditVal,_xlpm.MacVal&lt;&gt;"",_xlpm.MacVal,_xlpm.CSVVal&lt;&gt;"",_xlpm.CSVVal
)),"")</f>
        <v/>
      </c>
      <c r="G266" s="2" t="str" cm="1">
        <f t="array" ref="G266">IFERROR(_xlfn.LET(
_xlpm.CSVVal,_xlfn.XLOOKUP($A266,CSV!$A:$A,CSV!G:G,""),
_xlpm.MacVal,_xlfn.XLOOKUP($A266,Output_Mac!$A:$A,Output_Mac!F:F,""),
_xlpm.MyAuditVal,_xlfn.XLOOKUP($A266,My_Audit!$A:$A,My_Audit!F:F,""),
_xlfn.IFS(_xlpm.MyAuditVal&lt;&gt;"",_xlpm.MyAuditVal,_xlpm.MacVal&lt;&gt;"",_xlpm.MacVal,_xlpm.CSVVal&lt;&gt;"",PROPER(_xlpm.CSVVal)
)),"")</f>
        <v/>
      </c>
      <c r="H266" s="2" t="str" cm="1">
        <f t="array" ref="H266">IFERROR(_xlfn.LET(
_xlpm.CSVVal,_xlfn.XLOOKUP($A266,CSV!$A:$A,CSV!H:H,""),
_xlpm.MacVal,_xlfn.XLOOKUP($A266,Output_Mac!$A:$A,Output_Mac!H:H,""),
_xlpm.MyAuditVal,_xlfn.XLOOKUP($A266,My_Audit!$A:$A,My_Audit!G:G,""),
_xlfn.IFS(_xlpm.MyAuditVal&lt;&gt;"",_xlpm.MyAuditVal,_xlpm.MacVal&lt;&gt;"",_xlpm.MacVal,_xlpm.CSVVal&lt;&gt;"",_xlpm.CSVVal
)),"")</f>
        <v/>
      </c>
      <c r="I266" s="2" t="str">
        <f>_xlfn.XLOOKUP(A266,Output_Mac!A:A,Output_Mac!I:I,"")</f>
        <v/>
      </c>
      <c r="J266" s="2" t="str" cm="1">
        <f t="array" ref="J266">IFERROR(_xlfn.LET(
_xlpm.CSVVal,_xlfn.XLOOKUP($A266,CSV!$A:$A,CSV!I:I,""),
_xlpm.MacVal,_xlfn.XLOOKUP($A266,Output_Mac!$A:$A,Output_Mac!J:J,""),
_xlpm.MyAuditVal,_xlfn.XLOOKUP($A266,My_Audit!$A:$A,My_Audit!I:I,""),
_xlfn.IFS(_xlpm.MyAuditVal&lt;&gt;"",UPPER(_xlpm.MyAuditVal),_xlpm.MacVal&lt;&gt;"",_xlpm.MacVal,_xlpm.CSVVal&lt;&gt;"",_xlpm.CSVVal
)),"")</f>
        <v/>
      </c>
      <c r="K266" s="2" t="str" cm="1">
        <f t="array" ref="K266">IFERROR(_xlfn.LET(
_xlpm.CSVVal,_xlfn.XLOOKUP($A266,CSV!$A:$A,CSV!K:K,""),
_xlpm.MacVal,_xlfn.XLOOKUP($A266,Output_Mac!$A:$A,Output_Mac!K:K,""),
_xlpm.MyAuditVal,_xlfn.XLOOKUP($A266,My_Audit!$A:$A,My_Audit!J:J,""),
_xlfn.IFS(_xlpm.MyAuditVal&lt;&gt;"",UPPER(_xlpm.MyAuditVal),_xlpm.MacVal&lt;&gt;"",_xlpm.MacVal,_xlpm.CSVVal&lt;&gt;"",_xlpm.CSVVal
)),"")</f>
        <v/>
      </c>
      <c r="L266" s="2" t="str" cm="1">
        <f t="array" ref="L266">IFERROR(_xlfn.LET(
_xlpm.CSVVal,_xlfn.XLOOKUP($A266,CSV!$A:$A,CSV!P:P,""),
_xlpm.MacVal,_xlfn.XLOOKUP($A266,Output_Mac!$A:$A,Output_Mac!L:L,""),
_xlpm.MyAuditVal,_xlfn.XLOOKUP($A266,My_Audit!$A:$A,My_Audit!K:K,""),
_xlfn.IFS(_xlpm.MyAuditVal&lt;&gt;"",UPPER(_xlpm.MyAuditVal),_xlpm.MacVal&lt;&gt;"",_xlpm.MacVal,_xlpm.CSVVal&lt;&gt;"",_xlpm.CSVVal
)),"")</f>
        <v/>
      </c>
      <c r="M266" s="2" t="str" cm="1">
        <f t="array" ref="M266">IFERROR(_xlfn.LET(
_xlpm.CSVVal,_xlfn.XLOOKUP($A266,CSV!$A:$A,CSV!Q:Q,""),
_xlpm.MacVal,_xlfn.XLOOKUP($A266,Output_Mac!$A:$A,Output_Mac!M:M,""),
_xlpm.MyAuditVal,_xlfn.XLOOKUP($A266,My_Audit!$A:$A,My_Audit!L:L,""),
_xlfn.IFS(_xlpm.MyAuditVal&lt;&gt;"",UPPER(_xlpm.MyAuditVal),_xlpm.MacVal&lt;&gt;"",_xlpm.MacVal,_xlpm.CSVVal&lt;&gt;"",_xlpm.CSVVal
)),"")</f>
        <v/>
      </c>
      <c r="O266" s="2" t="str">
        <f>_xlfn.LET(
    _xlpm.CSVVal, _xlfn.XLOOKUP($A266, CSV!$A:$A, CSV!AF:AF, ""),
    _xlpm.MacVal, _xlfn.XLOOKUP($A266, Output_Mac!$A:$A, Output_Mac!S:S, ""),
    _xlpm.MyAuditVal, _xlfn.XLOOKUP($A266, My_Audit!$A:$A, My_Audit!P:P, ""),
    _xlfn.TEXTJOIN(", ", TRUE, _xlpm.MyAuditVal, _xlpm.MacVal, _xlpm.CSVVal)
)</f>
        <v/>
      </c>
      <c r="P266" s="2" t="str" cm="1">
        <f t="array" ref="P266">IFERROR(_xlfn.LET(
_xlpm.CSVVal,_xlfn.XLOOKUP($A266,CSV!$A:$A,CSV!AG:AG,""),
_xlpm.MacVal,_xlfn.XLOOKUP($A266,Output_Mac!$A:$A,Output_Mac!T:T,""),
_xlpm.MyAuditVal,_xlfn.XLOOKUP($A266,My_Audit!$A:$A,My_Audit!Q:Q,""),
_xlfn.IFS(_xlpm.MyAuditVal&lt;&gt;"",UPPER(_xlpm.MyAuditVal),_xlpm.MacVal&lt;&gt;"",_xlpm.MacVal,_xlpm.CSVVal&lt;&gt;"",_xlpm.CSVVal
)),"No")</f>
        <v>No</v>
      </c>
      <c r="Q266" s="2" t="str" cm="1">
        <f t="array" ref="Q266">IFERROR(_xlfn.LET(
_xlpm.CSVVal,_xlfn.XLOOKUP($A266,CSV!$A:$A,CSV!AH:AH,""),
_xlpm.MacVal,_xlfn.XLOOKUP($A266,Output_Mac!$A:$A,Output_Mac!U:U,""),
_xlpm.MyAuditVal,_xlfn.XLOOKUP($A266,My_Audit!$A:$A,My_Audit!R:R,""),
_xlfn.IFS(_xlpm.MyAuditVal&lt;&gt;"",UPPER(_xlpm.MyAuditVal),_xlpm.MacVal&lt;&gt;"",_xlpm.MacVal,_xlpm.CSVVal&lt;&gt;"",_xlpm.CSVVal
)),"")</f>
        <v/>
      </c>
    </row>
    <row r="267" spans="1:17">
      <c r="A267" s="2" t="str">
        <f>_xlfn.TEXTJOIN("",TRUE,Input!$B$2,ROW(My_Audit!A266))</f>
        <v>XX266</v>
      </c>
      <c r="B267" s="2" t="str">
        <f>_xlfn.TEXTJOIN("-",TRUE,"ITD",Input!$A$2,A267)</f>
        <v>ITD-SHRXXX-XX266</v>
      </c>
      <c r="C267" s="2" t="str" cm="1">
        <f t="array" ref="C267">IFERROR(_xlfn.LET(
_xlpm.CSVVal,_xlfn.XLOOKUP($A267,CSV!$A:$A,CSV!B:B,""),
_xlpm.MacVal,_xlfn.XLOOKUP($A267,Output_Mac!$A:$A,Output_Mac!B:B,""),
_xlpm.MyAuditVal,_xlfn.XLOOKUP($A267,My_Audit!$A:$A,My_Audit!B:B,""),
_xlfn.IFS(_xlpm.MyAuditVal&lt;&gt;"",UPPER(_xlpm.MyAuditVal),_xlpm.MacVal&lt;&gt;"",_xlpm.MacVal,_xlpm.CSVVal&lt;&gt;"",_xlpm.CSVVal
)),"")</f>
        <v/>
      </c>
      <c r="D267" s="2" t="str" cm="1">
        <f t="array" ref="D267">IFERROR(_xlfn.LET(
_xlpm.CSVVal,_xlfn.XLOOKUP($A267,CSV!$A:$A,CSV!D:D,""),
_xlpm.MacVal,_xlfn.XLOOKUP($A267,Output_Mac!$A:$A,Output_Mac!C:C,""),
_xlpm.MyAuditVal,_xlfn.XLOOKUP($A267,My_Audit!$A:$A,My_Audit!C:C,""),
_xlfn.IFS(_xlpm.MyAuditVal&lt;&gt;"",_xlpm.MyAuditVal,_xlpm.MacVal&lt;&gt;"",_xlpm.MacVal,_xlpm.CSVVal&lt;&gt;"",_xlpm.CSVVal
)),"")</f>
        <v/>
      </c>
      <c r="E267" s="2" t="str">
        <f>_xlfn.XLOOKUP(A267,My_Audit!A:A,My_Audit!D:D,"")&amp;""</f>
        <v/>
      </c>
      <c r="F267" s="2" t="str" cm="1">
        <f t="array" ref="F267">IFERROR(_xlfn.LET(
_xlpm.CSVVal,_xlfn.XLOOKUP($A267,CSV!$A:$A,CSV!F:F,""),
_xlpm.MacVal,_xlfn.XLOOKUP($A267,Output_Mac!$A:$A,Output_Mac!E:E,""),
_xlpm.MyAuditVal,_xlfn.XLOOKUP($A267,My_Audit!$A:$A,My_Audit!E:E,""),
_xlfn.IFS(_xlpm.MyAuditVal&lt;&gt;"",_xlpm.MyAuditVal,_xlpm.MacVal&lt;&gt;"",_xlpm.MacVal,_xlpm.CSVVal&lt;&gt;"",_xlpm.CSVVal
)),"")</f>
        <v/>
      </c>
      <c r="G267" s="2" t="str" cm="1">
        <f t="array" ref="G267">IFERROR(_xlfn.LET(
_xlpm.CSVVal,_xlfn.XLOOKUP($A267,CSV!$A:$A,CSV!G:G,""),
_xlpm.MacVal,_xlfn.XLOOKUP($A267,Output_Mac!$A:$A,Output_Mac!F:F,""),
_xlpm.MyAuditVal,_xlfn.XLOOKUP($A267,My_Audit!$A:$A,My_Audit!F:F,""),
_xlfn.IFS(_xlpm.MyAuditVal&lt;&gt;"",_xlpm.MyAuditVal,_xlpm.MacVal&lt;&gt;"",_xlpm.MacVal,_xlpm.CSVVal&lt;&gt;"",PROPER(_xlpm.CSVVal)
)),"")</f>
        <v/>
      </c>
      <c r="H267" s="2" t="str" cm="1">
        <f t="array" ref="H267">IFERROR(_xlfn.LET(
_xlpm.CSVVal,_xlfn.XLOOKUP($A267,CSV!$A:$A,CSV!H:H,""),
_xlpm.MacVal,_xlfn.XLOOKUP($A267,Output_Mac!$A:$A,Output_Mac!H:H,""),
_xlpm.MyAuditVal,_xlfn.XLOOKUP($A267,My_Audit!$A:$A,My_Audit!G:G,""),
_xlfn.IFS(_xlpm.MyAuditVal&lt;&gt;"",_xlpm.MyAuditVal,_xlpm.MacVal&lt;&gt;"",_xlpm.MacVal,_xlpm.CSVVal&lt;&gt;"",_xlpm.CSVVal
)),"")</f>
        <v/>
      </c>
      <c r="I267" s="2" t="str">
        <f>_xlfn.XLOOKUP(A267,Output_Mac!A:A,Output_Mac!I:I,"")</f>
        <v/>
      </c>
      <c r="J267" s="2" t="str" cm="1">
        <f t="array" ref="J267">IFERROR(_xlfn.LET(
_xlpm.CSVVal,_xlfn.XLOOKUP($A267,CSV!$A:$A,CSV!I:I,""),
_xlpm.MacVal,_xlfn.XLOOKUP($A267,Output_Mac!$A:$A,Output_Mac!J:J,""),
_xlpm.MyAuditVal,_xlfn.XLOOKUP($A267,My_Audit!$A:$A,My_Audit!I:I,""),
_xlfn.IFS(_xlpm.MyAuditVal&lt;&gt;"",UPPER(_xlpm.MyAuditVal),_xlpm.MacVal&lt;&gt;"",_xlpm.MacVal,_xlpm.CSVVal&lt;&gt;"",_xlpm.CSVVal
)),"")</f>
        <v/>
      </c>
      <c r="K267" s="2" t="str" cm="1">
        <f t="array" ref="K267">IFERROR(_xlfn.LET(
_xlpm.CSVVal,_xlfn.XLOOKUP($A267,CSV!$A:$A,CSV!K:K,""),
_xlpm.MacVal,_xlfn.XLOOKUP($A267,Output_Mac!$A:$A,Output_Mac!K:K,""),
_xlpm.MyAuditVal,_xlfn.XLOOKUP($A267,My_Audit!$A:$A,My_Audit!J:J,""),
_xlfn.IFS(_xlpm.MyAuditVal&lt;&gt;"",UPPER(_xlpm.MyAuditVal),_xlpm.MacVal&lt;&gt;"",_xlpm.MacVal,_xlpm.CSVVal&lt;&gt;"",_xlpm.CSVVal
)),"")</f>
        <v/>
      </c>
      <c r="L267" s="2" t="str" cm="1">
        <f t="array" ref="L267">IFERROR(_xlfn.LET(
_xlpm.CSVVal,_xlfn.XLOOKUP($A267,CSV!$A:$A,CSV!P:P,""),
_xlpm.MacVal,_xlfn.XLOOKUP($A267,Output_Mac!$A:$A,Output_Mac!L:L,""),
_xlpm.MyAuditVal,_xlfn.XLOOKUP($A267,My_Audit!$A:$A,My_Audit!K:K,""),
_xlfn.IFS(_xlpm.MyAuditVal&lt;&gt;"",UPPER(_xlpm.MyAuditVal),_xlpm.MacVal&lt;&gt;"",_xlpm.MacVal,_xlpm.CSVVal&lt;&gt;"",_xlpm.CSVVal
)),"")</f>
        <v/>
      </c>
      <c r="M267" s="2" t="str" cm="1">
        <f t="array" ref="M267">IFERROR(_xlfn.LET(
_xlpm.CSVVal,_xlfn.XLOOKUP($A267,CSV!$A:$A,CSV!Q:Q,""),
_xlpm.MacVal,_xlfn.XLOOKUP($A267,Output_Mac!$A:$A,Output_Mac!M:M,""),
_xlpm.MyAuditVal,_xlfn.XLOOKUP($A267,My_Audit!$A:$A,My_Audit!L:L,""),
_xlfn.IFS(_xlpm.MyAuditVal&lt;&gt;"",UPPER(_xlpm.MyAuditVal),_xlpm.MacVal&lt;&gt;"",_xlpm.MacVal,_xlpm.CSVVal&lt;&gt;"",_xlpm.CSVVal
)),"")</f>
        <v/>
      </c>
      <c r="O267" s="2" t="str">
        <f>_xlfn.LET(
    _xlpm.CSVVal, _xlfn.XLOOKUP($A267, CSV!$A:$A, CSV!AF:AF, ""),
    _xlpm.MacVal, _xlfn.XLOOKUP($A267, Output_Mac!$A:$A, Output_Mac!S:S, ""),
    _xlpm.MyAuditVal, _xlfn.XLOOKUP($A267, My_Audit!$A:$A, My_Audit!P:P, ""),
    _xlfn.TEXTJOIN(", ", TRUE, _xlpm.MyAuditVal, _xlpm.MacVal, _xlpm.CSVVal)
)</f>
        <v/>
      </c>
      <c r="P267" s="2" t="str" cm="1">
        <f t="array" ref="P267">IFERROR(_xlfn.LET(
_xlpm.CSVVal,_xlfn.XLOOKUP($A267,CSV!$A:$A,CSV!AG:AG,""),
_xlpm.MacVal,_xlfn.XLOOKUP($A267,Output_Mac!$A:$A,Output_Mac!T:T,""),
_xlpm.MyAuditVal,_xlfn.XLOOKUP($A267,My_Audit!$A:$A,My_Audit!Q:Q,""),
_xlfn.IFS(_xlpm.MyAuditVal&lt;&gt;"",UPPER(_xlpm.MyAuditVal),_xlpm.MacVal&lt;&gt;"",_xlpm.MacVal,_xlpm.CSVVal&lt;&gt;"",_xlpm.CSVVal
)),"No")</f>
        <v>No</v>
      </c>
      <c r="Q267" s="2" t="str" cm="1">
        <f t="array" ref="Q267">IFERROR(_xlfn.LET(
_xlpm.CSVVal,_xlfn.XLOOKUP($A267,CSV!$A:$A,CSV!AH:AH,""),
_xlpm.MacVal,_xlfn.XLOOKUP($A267,Output_Mac!$A:$A,Output_Mac!U:U,""),
_xlpm.MyAuditVal,_xlfn.XLOOKUP($A267,My_Audit!$A:$A,My_Audit!R:R,""),
_xlfn.IFS(_xlpm.MyAuditVal&lt;&gt;"",UPPER(_xlpm.MyAuditVal),_xlpm.MacVal&lt;&gt;"",_xlpm.MacVal,_xlpm.CSVVal&lt;&gt;"",_xlpm.CSVVal
)),"")</f>
        <v/>
      </c>
    </row>
    <row r="268" spans="1:17">
      <c r="A268" s="2" t="str">
        <f>_xlfn.TEXTJOIN("",TRUE,Input!$B$2,ROW(My_Audit!A267))</f>
        <v>XX267</v>
      </c>
      <c r="B268" s="2" t="str">
        <f>_xlfn.TEXTJOIN("-",TRUE,"ITD",Input!$A$2,A268)</f>
        <v>ITD-SHRXXX-XX267</v>
      </c>
      <c r="C268" s="2" t="str" cm="1">
        <f t="array" ref="C268">IFERROR(_xlfn.LET(
_xlpm.CSVVal,_xlfn.XLOOKUP($A268,CSV!$A:$A,CSV!B:B,""),
_xlpm.MacVal,_xlfn.XLOOKUP($A268,Output_Mac!$A:$A,Output_Mac!B:B,""),
_xlpm.MyAuditVal,_xlfn.XLOOKUP($A268,My_Audit!$A:$A,My_Audit!B:B,""),
_xlfn.IFS(_xlpm.MyAuditVal&lt;&gt;"",UPPER(_xlpm.MyAuditVal),_xlpm.MacVal&lt;&gt;"",_xlpm.MacVal,_xlpm.CSVVal&lt;&gt;"",_xlpm.CSVVal
)),"")</f>
        <v/>
      </c>
      <c r="D268" s="2" t="str" cm="1">
        <f t="array" ref="D268">IFERROR(_xlfn.LET(
_xlpm.CSVVal,_xlfn.XLOOKUP($A268,CSV!$A:$A,CSV!D:D,""),
_xlpm.MacVal,_xlfn.XLOOKUP($A268,Output_Mac!$A:$A,Output_Mac!C:C,""),
_xlpm.MyAuditVal,_xlfn.XLOOKUP($A268,My_Audit!$A:$A,My_Audit!C:C,""),
_xlfn.IFS(_xlpm.MyAuditVal&lt;&gt;"",_xlpm.MyAuditVal,_xlpm.MacVal&lt;&gt;"",_xlpm.MacVal,_xlpm.CSVVal&lt;&gt;"",_xlpm.CSVVal
)),"")</f>
        <v/>
      </c>
      <c r="E268" s="2" t="str">
        <f>_xlfn.XLOOKUP(A268,My_Audit!A:A,My_Audit!D:D,"")&amp;""</f>
        <v/>
      </c>
      <c r="F268" s="2" t="str" cm="1">
        <f t="array" ref="F268">IFERROR(_xlfn.LET(
_xlpm.CSVVal,_xlfn.XLOOKUP($A268,CSV!$A:$A,CSV!F:F,""),
_xlpm.MacVal,_xlfn.XLOOKUP($A268,Output_Mac!$A:$A,Output_Mac!E:E,""),
_xlpm.MyAuditVal,_xlfn.XLOOKUP($A268,My_Audit!$A:$A,My_Audit!E:E,""),
_xlfn.IFS(_xlpm.MyAuditVal&lt;&gt;"",_xlpm.MyAuditVal,_xlpm.MacVal&lt;&gt;"",_xlpm.MacVal,_xlpm.CSVVal&lt;&gt;"",_xlpm.CSVVal
)),"")</f>
        <v/>
      </c>
      <c r="G268" s="2" t="str" cm="1">
        <f t="array" ref="G268">IFERROR(_xlfn.LET(
_xlpm.CSVVal,_xlfn.XLOOKUP($A268,CSV!$A:$A,CSV!G:G,""),
_xlpm.MacVal,_xlfn.XLOOKUP($A268,Output_Mac!$A:$A,Output_Mac!F:F,""),
_xlpm.MyAuditVal,_xlfn.XLOOKUP($A268,My_Audit!$A:$A,My_Audit!F:F,""),
_xlfn.IFS(_xlpm.MyAuditVal&lt;&gt;"",_xlpm.MyAuditVal,_xlpm.MacVal&lt;&gt;"",_xlpm.MacVal,_xlpm.CSVVal&lt;&gt;"",PROPER(_xlpm.CSVVal)
)),"")</f>
        <v/>
      </c>
      <c r="H268" s="2" t="str" cm="1">
        <f t="array" ref="H268">IFERROR(_xlfn.LET(
_xlpm.CSVVal,_xlfn.XLOOKUP($A268,CSV!$A:$A,CSV!H:H,""),
_xlpm.MacVal,_xlfn.XLOOKUP($A268,Output_Mac!$A:$A,Output_Mac!H:H,""),
_xlpm.MyAuditVal,_xlfn.XLOOKUP($A268,My_Audit!$A:$A,My_Audit!G:G,""),
_xlfn.IFS(_xlpm.MyAuditVal&lt;&gt;"",_xlpm.MyAuditVal,_xlpm.MacVal&lt;&gt;"",_xlpm.MacVal,_xlpm.CSVVal&lt;&gt;"",_xlpm.CSVVal
)),"")</f>
        <v/>
      </c>
      <c r="I268" s="2" t="str">
        <f>_xlfn.XLOOKUP(A268,Output_Mac!A:A,Output_Mac!I:I,"")</f>
        <v/>
      </c>
      <c r="J268" s="2" t="str" cm="1">
        <f t="array" ref="J268">IFERROR(_xlfn.LET(
_xlpm.CSVVal,_xlfn.XLOOKUP($A268,CSV!$A:$A,CSV!I:I,""),
_xlpm.MacVal,_xlfn.XLOOKUP($A268,Output_Mac!$A:$A,Output_Mac!J:J,""),
_xlpm.MyAuditVal,_xlfn.XLOOKUP($A268,My_Audit!$A:$A,My_Audit!I:I,""),
_xlfn.IFS(_xlpm.MyAuditVal&lt;&gt;"",UPPER(_xlpm.MyAuditVal),_xlpm.MacVal&lt;&gt;"",_xlpm.MacVal,_xlpm.CSVVal&lt;&gt;"",_xlpm.CSVVal
)),"")</f>
        <v/>
      </c>
      <c r="K268" s="2" t="str" cm="1">
        <f t="array" ref="K268">IFERROR(_xlfn.LET(
_xlpm.CSVVal,_xlfn.XLOOKUP($A268,CSV!$A:$A,CSV!K:K,""),
_xlpm.MacVal,_xlfn.XLOOKUP($A268,Output_Mac!$A:$A,Output_Mac!K:K,""),
_xlpm.MyAuditVal,_xlfn.XLOOKUP($A268,My_Audit!$A:$A,My_Audit!J:J,""),
_xlfn.IFS(_xlpm.MyAuditVal&lt;&gt;"",UPPER(_xlpm.MyAuditVal),_xlpm.MacVal&lt;&gt;"",_xlpm.MacVal,_xlpm.CSVVal&lt;&gt;"",_xlpm.CSVVal
)),"")</f>
        <v/>
      </c>
      <c r="L268" s="2" t="str" cm="1">
        <f t="array" ref="L268">IFERROR(_xlfn.LET(
_xlpm.CSVVal,_xlfn.XLOOKUP($A268,CSV!$A:$A,CSV!P:P,""),
_xlpm.MacVal,_xlfn.XLOOKUP($A268,Output_Mac!$A:$A,Output_Mac!L:L,""),
_xlpm.MyAuditVal,_xlfn.XLOOKUP($A268,My_Audit!$A:$A,My_Audit!K:K,""),
_xlfn.IFS(_xlpm.MyAuditVal&lt;&gt;"",UPPER(_xlpm.MyAuditVal),_xlpm.MacVal&lt;&gt;"",_xlpm.MacVal,_xlpm.CSVVal&lt;&gt;"",_xlpm.CSVVal
)),"")</f>
        <v/>
      </c>
      <c r="M268" s="2" t="str" cm="1">
        <f t="array" ref="M268">IFERROR(_xlfn.LET(
_xlpm.CSVVal,_xlfn.XLOOKUP($A268,CSV!$A:$A,CSV!Q:Q,""),
_xlpm.MacVal,_xlfn.XLOOKUP($A268,Output_Mac!$A:$A,Output_Mac!M:M,""),
_xlpm.MyAuditVal,_xlfn.XLOOKUP($A268,My_Audit!$A:$A,My_Audit!L:L,""),
_xlfn.IFS(_xlpm.MyAuditVal&lt;&gt;"",UPPER(_xlpm.MyAuditVal),_xlpm.MacVal&lt;&gt;"",_xlpm.MacVal,_xlpm.CSVVal&lt;&gt;"",_xlpm.CSVVal
)),"")</f>
        <v/>
      </c>
      <c r="O268" s="2" t="str">
        <f>_xlfn.LET(
    _xlpm.CSVVal, _xlfn.XLOOKUP($A268, CSV!$A:$A, CSV!AF:AF, ""),
    _xlpm.MacVal, _xlfn.XLOOKUP($A268, Output_Mac!$A:$A, Output_Mac!S:S, ""),
    _xlpm.MyAuditVal, _xlfn.XLOOKUP($A268, My_Audit!$A:$A, My_Audit!P:P, ""),
    _xlfn.TEXTJOIN(", ", TRUE, _xlpm.MyAuditVal, _xlpm.MacVal, _xlpm.CSVVal)
)</f>
        <v/>
      </c>
      <c r="P268" s="2" t="str" cm="1">
        <f t="array" ref="P268">IFERROR(_xlfn.LET(
_xlpm.CSVVal,_xlfn.XLOOKUP($A268,CSV!$A:$A,CSV!AG:AG,""),
_xlpm.MacVal,_xlfn.XLOOKUP($A268,Output_Mac!$A:$A,Output_Mac!T:T,""),
_xlpm.MyAuditVal,_xlfn.XLOOKUP($A268,My_Audit!$A:$A,My_Audit!Q:Q,""),
_xlfn.IFS(_xlpm.MyAuditVal&lt;&gt;"",UPPER(_xlpm.MyAuditVal),_xlpm.MacVal&lt;&gt;"",_xlpm.MacVal,_xlpm.CSVVal&lt;&gt;"",_xlpm.CSVVal
)),"No")</f>
        <v>No</v>
      </c>
      <c r="Q268" s="2" t="str" cm="1">
        <f t="array" ref="Q268">IFERROR(_xlfn.LET(
_xlpm.CSVVal,_xlfn.XLOOKUP($A268,CSV!$A:$A,CSV!AH:AH,""),
_xlpm.MacVal,_xlfn.XLOOKUP($A268,Output_Mac!$A:$A,Output_Mac!U:U,""),
_xlpm.MyAuditVal,_xlfn.XLOOKUP($A268,My_Audit!$A:$A,My_Audit!R:R,""),
_xlfn.IFS(_xlpm.MyAuditVal&lt;&gt;"",UPPER(_xlpm.MyAuditVal),_xlpm.MacVal&lt;&gt;"",_xlpm.MacVal,_xlpm.CSVVal&lt;&gt;"",_xlpm.CSVVal
)),"")</f>
        <v/>
      </c>
    </row>
    <row r="269" spans="1:17">
      <c r="A269" s="2" t="str">
        <f>_xlfn.TEXTJOIN("",TRUE,Input!$B$2,ROW(My_Audit!A268))</f>
        <v>XX268</v>
      </c>
      <c r="B269" s="2" t="str">
        <f>_xlfn.TEXTJOIN("-",TRUE,"ITD",Input!$A$2,A269)</f>
        <v>ITD-SHRXXX-XX268</v>
      </c>
      <c r="C269" s="2" t="str" cm="1">
        <f t="array" ref="C269">IFERROR(_xlfn.LET(
_xlpm.CSVVal,_xlfn.XLOOKUP($A269,CSV!$A:$A,CSV!B:B,""),
_xlpm.MacVal,_xlfn.XLOOKUP($A269,Output_Mac!$A:$A,Output_Mac!B:B,""),
_xlpm.MyAuditVal,_xlfn.XLOOKUP($A269,My_Audit!$A:$A,My_Audit!B:B,""),
_xlfn.IFS(_xlpm.MyAuditVal&lt;&gt;"",UPPER(_xlpm.MyAuditVal),_xlpm.MacVal&lt;&gt;"",_xlpm.MacVal,_xlpm.CSVVal&lt;&gt;"",_xlpm.CSVVal
)),"")</f>
        <v/>
      </c>
      <c r="D269" s="2" t="str" cm="1">
        <f t="array" ref="D269">IFERROR(_xlfn.LET(
_xlpm.CSVVal,_xlfn.XLOOKUP($A269,CSV!$A:$A,CSV!D:D,""),
_xlpm.MacVal,_xlfn.XLOOKUP($A269,Output_Mac!$A:$A,Output_Mac!C:C,""),
_xlpm.MyAuditVal,_xlfn.XLOOKUP($A269,My_Audit!$A:$A,My_Audit!C:C,""),
_xlfn.IFS(_xlpm.MyAuditVal&lt;&gt;"",_xlpm.MyAuditVal,_xlpm.MacVal&lt;&gt;"",_xlpm.MacVal,_xlpm.CSVVal&lt;&gt;"",_xlpm.CSVVal
)),"")</f>
        <v/>
      </c>
      <c r="E269" s="2" t="str">
        <f>_xlfn.XLOOKUP(A269,My_Audit!A:A,My_Audit!D:D,"")&amp;""</f>
        <v/>
      </c>
      <c r="F269" s="2" t="str" cm="1">
        <f t="array" ref="F269">IFERROR(_xlfn.LET(
_xlpm.CSVVal,_xlfn.XLOOKUP($A269,CSV!$A:$A,CSV!F:F,""),
_xlpm.MacVal,_xlfn.XLOOKUP($A269,Output_Mac!$A:$A,Output_Mac!E:E,""),
_xlpm.MyAuditVal,_xlfn.XLOOKUP($A269,My_Audit!$A:$A,My_Audit!E:E,""),
_xlfn.IFS(_xlpm.MyAuditVal&lt;&gt;"",_xlpm.MyAuditVal,_xlpm.MacVal&lt;&gt;"",_xlpm.MacVal,_xlpm.CSVVal&lt;&gt;"",_xlpm.CSVVal
)),"")</f>
        <v/>
      </c>
      <c r="G269" s="2" t="str" cm="1">
        <f t="array" ref="G269">IFERROR(_xlfn.LET(
_xlpm.CSVVal,_xlfn.XLOOKUP($A269,CSV!$A:$A,CSV!G:G,""),
_xlpm.MacVal,_xlfn.XLOOKUP($A269,Output_Mac!$A:$A,Output_Mac!F:F,""),
_xlpm.MyAuditVal,_xlfn.XLOOKUP($A269,My_Audit!$A:$A,My_Audit!F:F,""),
_xlfn.IFS(_xlpm.MyAuditVal&lt;&gt;"",_xlpm.MyAuditVal,_xlpm.MacVal&lt;&gt;"",_xlpm.MacVal,_xlpm.CSVVal&lt;&gt;"",PROPER(_xlpm.CSVVal)
)),"")</f>
        <v/>
      </c>
      <c r="H269" s="2" t="str" cm="1">
        <f t="array" ref="H269">IFERROR(_xlfn.LET(
_xlpm.CSVVal,_xlfn.XLOOKUP($A269,CSV!$A:$A,CSV!H:H,""),
_xlpm.MacVal,_xlfn.XLOOKUP($A269,Output_Mac!$A:$A,Output_Mac!H:H,""),
_xlpm.MyAuditVal,_xlfn.XLOOKUP($A269,My_Audit!$A:$A,My_Audit!G:G,""),
_xlfn.IFS(_xlpm.MyAuditVal&lt;&gt;"",_xlpm.MyAuditVal,_xlpm.MacVal&lt;&gt;"",_xlpm.MacVal,_xlpm.CSVVal&lt;&gt;"",_xlpm.CSVVal
)),"")</f>
        <v/>
      </c>
      <c r="I269" s="2" t="str">
        <f>_xlfn.XLOOKUP(A269,Output_Mac!A:A,Output_Mac!I:I,"")</f>
        <v/>
      </c>
      <c r="J269" s="2" t="str" cm="1">
        <f t="array" ref="J269">IFERROR(_xlfn.LET(
_xlpm.CSVVal,_xlfn.XLOOKUP($A269,CSV!$A:$A,CSV!I:I,""),
_xlpm.MacVal,_xlfn.XLOOKUP($A269,Output_Mac!$A:$A,Output_Mac!J:J,""),
_xlpm.MyAuditVal,_xlfn.XLOOKUP($A269,My_Audit!$A:$A,My_Audit!I:I,""),
_xlfn.IFS(_xlpm.MyAuditVal&lt;&gt;"",UPPER(_xlpm.MyAuditVal),_xlpm.MacVal&lt;&gt;"",_xlpm.MacVal,_xlpm.CSVVal&lt;&gt;"",_xlpm.CSVVal
)),"")</f>
        <v/>
      </c>
      <c r="K269" s="2" t="str" cm="1">
        <f t="array" ref="K269">IFERROR(_xlfn.LET(
_xlpm.CSVVal,_xlfn.XLOOKUP($A269,CSV!$A:$A,CSV!K:K,""),
_xlpm.MacVal,_xlfn.XLOOKUP($A269,Output_Mac!$A:$A,Output_Mac!K:K,""),
_xlpm.MyAuditVal,_xlfn.XLOOKUP($A269,My_Audit!$A:$A,My_Audit!J:J,""),
_xlfn.IFS(_xlpm.MyAuditVal&lt;&gt;"",UPPER(_xlpm.MyAuditVal),_xlpm.MacVal&lt;&gt;"",_xlpm.MacVal,_xlpm.CSVVal&lt;&gt;"",_xlpm.CSVVal
)),"")</f>
        <v/>
      </c>
      <c r="L269" s="2" t="str" cm="1">
        <f t="array" ref="L269">IFERROR(_xlfn.LET(
_xlpm.CSVVal,_xlfn.XLOOKUP($A269,CSV!$A:$A,CSV!P:P,""),
_xlpm.MacVal,_xlfn.XLOOKUP($A269,Output_Mac!$A:$A,Output_Mac!L:L,""),
_xlpm.MyAuditVal,_xlfn.XLOOKUP($A269,My_Audit!$A:$A,My_Audit!K:K,""),
_xlfn.IFS(_xlpm.MyAuditVal&lt;&gt;"",UPPER(_xlpm.MyAuditVal),_xlpm.MacVal&lt;&gt;"",_xlpm.MacVal,_xlpm.CSVVal&lt;&gt;"",_xlpm.CSVVal
)),"")</f>
        <v/>
      </c>
      <c r="M269" s="2" t="str" cm="1">
        <f t="array" ref="M269">IFERROR(_xlfn.LET(
_xlpm.CSVVal,_xlfn.XLOOKUP($A269,CSV!$A:$A,CSV!Q:Q,""),
_xlpm.MacVal,_xlfn.XLOOKUP($A269,Output_Mac!$A:$A,Output_Mac!M:M,""),
_xlpm.MyAuditVal,_xlfn.XLOOKUP($A269,My_Audit!$A:$A,My_Audit!L:L,""),
_xlfn.IFS(_xlpm.MyAuditVal&lt;&gt;"",UPPER(_xlpm.MyAuditVal),_xlpm.MacVal&lt;&gt;"",_xlpm.MacVal,_xlpm.CSVVal&lt;&gt;"",_xlpm.CSVVal
)),"")</f>
        <v/>
      </c>
      <c r="O269" s="2" t="str">
        <f>_xlfn.LET(
    _xlpm.CSVVal, _xlfn.XLOOKUP($A269, CSV!$A:$A, CSV!AF:AF, ""),
    _xlpm.MacVal, _xlfn.XLOOKUP($A269, Output_Mac!$A:$A, Output_Mac!S:S, ""),
    _xlpm.MyAuditVal, _xlfn.XLOOKUP($A269, My_Audit!$A:$A, My_Audit!P:P, ""),
    _xlfn.TEXTJOIN(", ", TRUE, _xlpm.MyAuditVal, _xlpm.MacVal, _xlpm.CSVVal)
)</f>
        <v/>
      </c>
      <c r="P269" s="2" t="str" cm="1">
        <f t="array" ref="P269">IFERROR(_xlfn.LET(
_xlpm.CSVVal,_xlfn.XLOOKUP($A269,CSV!$A:$A,CSV!AG:AG,""),
_xlpm.MacVal,_xlfn.XLOOKUP($A269,Output_Mac!$A:$A,Output_Mac!T:T,""),
_xlpm.MyAuditVal,_xlfn.XLOOKUP($A269,My_Audit!$A:$A,My_Audit!Q:Q,""),
_xlfn.IFS(_xlpm.MyAuditVal&lt;&gt;"",UPPER(_xlpm.MyAuditVal),_xlpm.MacVal&lt;&gt;"",_xlpm.MacVal,_xlpm.CSVVal&lt;&gt;"",_xlpm.CSVVal
)),"No")</f>
        <v>No</v>
      </c>
      <c r="Q269" s="2" t="str" cm="1">
        <f t="array" ref="Q269">IFERROR(_xlfn.LET(
_xlpm.CSVVal,_xlfn.XLOOKUP($A269,CSV!$A:$A,CSV!AH:AH,""),
_xlpm.MacVal,_xlfn.XLOOKUP($A269,Output_Mac!$A:$A,Output_Mac!U:U,""),
_xlpm.MyAuditVal,_xlfn.XLOOKUP($A269,My_Audit!$A:$A,My_Audit!R:R,""),
_xlfn.IFS(_xlpm.MyAuditVal&lt;&gt;"",UPPER(_xlpm.MyAuditVal),_xlpm.MacVal&lt;&gt;"",_xlpm.MacVal,_xlpm.CSVVal&lt;&gt;"",_xlpm.CSVVal
)),"")</f>
        <v/>
      </c>
    </row>
    <row r="270" spans="1:17">
      <c r="A270" s="2" t="str">
        <f>_xlfn.TEXTJOIN("",TRUE,Input!$B$2,ROW(My_Audit!A269))</f>
        <v>XX269</v>
      </c>
      <c r="B270" s="2" t="str">
        <f>_xlfn.TEXTJOIN("-",TRUE,"ITD",Input!$A$2,A270)</f>
        <v>ITD-SHRXXX-XX269</v>
      </c>
      <c r="C270" s="2" t="str" cm="1">
        <f t="array" ref="C270">IFERROR(_xlfn.LET(
_xlpm.CSVVal,_xlfn.XLOOKUP($A270,CSV!$A:$A,CSV!B:B,""),
_xlpm.MacVal,_xlfn.XLOOKUP($A270,Output_Mac!$A:$A,Output_Mac!B:B,""),
_xlpm.MyAuditVal,_xlfn.XLOOKUP($A270,My_Audit!$A:$A,My_Audit!B:B,""),
_xlfn.IFS(_xlpm.MyAuditVal&lt;&gt;"",UPPER(_xlpm.MyAuditVal),_xlpm.MacVal&lt;&gt;"",_xlpm.MacVal,_xlpm.CSVVal&lt;&gt;"",_xlpm.CSVVal
)),"")</f>
        <v/>
      </c>
      <c r="D270" s="2" t="str" cm="1">
        <f t="array" ref="D270">IFERROR(_xlfn.LET(
_xlpm.CSVVal,_xlfn.XLOOKUP($A270,CSV!$A:$A,CSV!D:D,""),
_xlpm.MacVal,_xlfn.XLOOKUP($A270,Output_Mac!$A:$A,Output_Mac!C:C,""),
_xlpm.MyAuditVal,_xlfn.XLOOKUP($A270,My_Audit!$A:$A,My_Audit!C:C,""),
_xlfn.IFS(_xlpm.MyAuditVal&lt;&gt;"",_xlpm.MyAuditVal,_xlpm.MacVal&lt;&gt;"",_xlpm.MacVal,_xlpm.CSVVal&lt;&gt;"",_xlpm.CSVVal
)),"")</f>
        <v/>
      </c>
      <c r="E270" s="2" t="str">
        <f>_xlfn.XLOOKUP(A270,My_Audit!A:A,My_Audit!D:D,"")&amp;""</f>
        <v/>
      </c>
      <c r="F270" s="2" t="str" cm="1">
        <f t="array" ref="F270">IFERROR(_xlfn.LET(
_xlpm.CSVVal,_xlfn.XLOOKUP($A270,CSV!$A:$A,CSV!F:F,""),
_xlpm.MacVal,_xlfn.XLOOKUP($A270,Output_Mac!$A:$A,Output_Mac!E:E,""),
_xlpm.MyAuditVal,_xlfn.XLOOKUP($A270,My_Audit!$A:$A,My_Audit!E:E,""),
_xlfn.IFS(_xlpm.MyAuditVal&lt;&gt;"",_xlpm.MyAuditVal,_xlpm.MacVal&lt;&gt;"",_xlpm.MacVal,_xlpm.CSVVal&lt;&gt;"",_xlpm.CSVVal
)),"")</f>
        <v/>
      </c>
      <c r="G270" s="2" t="str" cm="1">
        <f t="array" ref="G270">IFERROR(_xlfn.LET(
_xlpm.CSVVal,_xlfn.XLOOKUP($A270,CSV!$A:$A,CSV!G:G,""),
_xlpm.MacVal,_xlfn.XLOOKUP($A270,Output_Mac!$A:$A,Output_Mac!F:F,""),
_xlpm.MyAuditVal,_xlfn.XLOOKUP($A270,My_Audit!$A:$A,My_Audit!F:F,""),
_xlfn.IFS(_xlpm.MyAuditVal&lt;&gt;"",_xlpm.MyAuditVal,_xlpm.MacVal&lt;&gt;"",_xlpm.MacVal,_xlpm.CSVVal&lt;&gt;"",PROPER(_xlpm.CSVVal)
)),"")</f>
        <v/>
      </c>
      <c r="H270" s="2" t="str" cm="1">
        <f t="array" ref="H270">IFERROR(_xlfn.LET(
_xlpm.CSVVal,_xlfn.XLOOKUP($A270,CSV!$A:$A,CSV!H:H,""),
_xlpm.MacVal,_xlfn.XLOOKUP($A270,Output_Mac!$A:$A,Output_Mac!H:H,""),
_xlpm.MyAuditVal,_xlfn.XLOOKUP($A270,My_Audit!$A:$A,My_Audit!G:G,""),
_xlfn.IFS(_xlpm.MyAuditVal&lt;&gt;"",_xlpm.MyAuditVal,_xlpm.MacVal&lt;&gt;"",_xlpm.MacVal,_xlpm.CSVVal&lt;&gt;"",_xlpm.CSVVal
)),"")</f>
        <v/>
      </c>
      <c r="I270" s="2" t="str">
        <f>_xlfn.XLOOKUP(A270,Output_Mac!A:A,Output_Mac!I:I,"")</f>
        <v/>
      </c>
      <c r="J270" s="2" t="str" cm="1">
        <f t="array" ref="J270">IFERROR(_xlfn.LET(
_xlpm.CSVVal,_xlfn.XLOOKUP($A270,CSV!$A:$A,CSV!I:I,""),
_xlpm.MacVal,_xlfn.XLOOKUP($A270,Output_Mac!$A:$A,Output_Mac!J:J,""),
_xlpm.MyAuditVal,_xlfn.XLOOKUP($A270,My_Audit!$A:$A,My_Audit!I:I,""),
_xlfn.IFS(_xlpm.MyAuditVal&lt;&gt;"",UPPER(_xlpm.MyAuditVal),_xlpm.MacVal&lt;&gt;"",_xlpm.MacVal,_xlpm.CSVVal&lt;&gt;"",_xlpm.CSVVal
)),"")</f>
        <v/>
      </c>
      <c r="K270" s="2" t="str" cm="1">
        <f t="array" ref="K270">IFERROR(_xlfn.LET(
_xlpm.CSVVal,_xlfn.XLOOKUP($A270,CSV!$A:$A,CSV!K:K,""),
_xlpm.MacVal,_xlfn.XLOOKUP($A270,Output_Mac!$A:$A,Output_Mac!K:K,""),
_xlpm.MyAuditVal,_xlfn.XLOOKUP($A270,My_Audit!$A:$A,My_Audit!J:J,""),
_xlfn.IFS(_xlpm.MyAuditVal&lt;&gt;"",UPPER(_xlpm.MyAuditVal),_xlpm.MacVal&lt;&gt;"",_xlpm.MacVal,_xlpm.CSVVal&lt;&gt;"",_xlpm.CSVVal
)),"")</f>
        <v/>
      </c>
      <c r="L270" s="2" t="str" cm="1">
        <f t="array" ref="L270">IFERROR(_xlfn.LET(
_xlpm.CSVVal,_xlfn.XLOOKUP($A270,CSV!$A:$A,CSV!P:P,""),
_xlpm.MacVal,_xlfn.XLOOKUP($A270,Output_Mac!$A:$A,Output_Mac!L:L,""),
_xlpm.MyAuditVal,_xlfn.XLOOKUP($A270,My_Audit!$A:$A,My_Audit!K:K,""),
_xlfn.IFS(_xlpm.MyAuditVal&lt;&gt;"",UPPER(_xlpm.MyAuditVal),_xlpm.MacVal&lt;&gt;"",_xlpm.MacVal,_xlpm.CSVVal&lt;&gt;"",_xlpm.CSVVal
)),"")</f>
        <v/>
      </c>
      <c r="M270" s="2" t="str" cm="1">
        <f t="array" ref="M270">IFERROR(_xlfn.LET(
_xlpm.CSVVal,_xlfn.XLOOKUP($A270,CSV!$A:$A,CSV!Q:Q,""),
_xlpm.MacVal,_xlfn.XLOOKUP($A270,Output_Mac!$A:$A,Output_Mac!M:M,""),
_xlpm.MyAuditVal,_xlfn.XLOOKUP($A270,My_Audit!$A:$A,My_Audit!L:L,""),
_xlfn.IFS(_xlpm.MyAuditVal&lt;&gt;"",UPPER(_xlpm.MyAuditVal),_xlpm.MacVal&lt;&gt;"",_xlpm.MacVal,_xlpm.CSVVal&lt;&gt;"",_xlpm.CSVVal
)),"")</f>
        <v/>
      </c>
      <c r="O270" s="2" t="str">
        <f>_xlfn.LET(
    _xlpm.CSVVal, _xlfn.XLOOKUP($A270, CSV!$A:$A, CSV!AF:AF, ""),
    _xlpm.MacVal, _xlfn.XLOOKUP($A270, Output_Mac!$A:$A, Output_Mac!S:S, ""),
    _xlpm.MyAuditVal, _xlfn.XLOOKUP($A270, My_Audit!$A:$A, My_Audit!P:P, ""),
    _xlfn.TEXTJOIN(", ", TRUE, _xlpm.MyAuditVal, _xlpm.MacVal, _xlpm.CSVVal)
)</f>
        <v/>
      </c>
      <c r="P270" s="2" t="str" cm="1">
        <f t="array" ref="P270">IFERROR(_xlfn.LET(
_xlpm.CSVVal,_xlfn.XLOOKUP($A270,CSV!$A:$A,CSV!AG:AG,""),
_xlpm.MacVal,_xlfn.XLOOKUP($A270,Output_Mac!$A:$A,Output_Mac!T:T,""),
_xlpm.MyAuditVal,_xlfn.XLOOKUP($A270,My_Audit!$A:$A,My_Audit!Q:Q,""),
_xlfn.IFS(_xlpm.MyAuditVal&lt;&gt;"",UPPER(_xlpm.MyAuditVal),_xlpm.MacVal&lt;&gt;"",_xlpm.MacVal,_xlpm.CSVVal&lt;&gt;"",_xlpm.CSVVal
)),"No")</f>
        <v>No</v>
      </c>
      <c r="Q270" s="2" t="str" cm="1">
        <f t="array" ref="Q270">IFERROR(_xlfn.LET(
_xlpm.CSVVal,_xlfn.XLOOKUP($A270,CSV!$A:$A,CSV!AH:AH,""),
_xlpm.MacVal,_xlfn.XLOOKUP($A270,Output_Mac!$A:$A,Output_Mac!U:U,""),
_xlpm.MyAuditVal,_xlfn.XLOOKUP($A270,My_Audit!$A:$A,My_Audit!R:R,""),
_xlfn.IFS(_xlpm.MyAuditVal&lt;&gt;"",UPPER(_xlpm.MyAuditVal),_xlpm.MacVal&lt;&gt;"",_xlpm.MacVal,_xlpm.CSVVal&lt;&gt;"",_xlpm.CSVVal
)),"")</f>
        <v/>
      </c>
    </row>
    <row r="271" spans="1:17">
      <c r="A271" s="2" t="str">
        <f>_xlfn.TEXTJOIN("",TRUE,Input!$B$2,ROW(My_Audit!A270))</f>
        <v>XX270</v>
      </c>
      <c r="B271" s="2" t="str">
        <f>_xlfn.TEXTJOIN("-",TRUE,"ITD",Input!$A$2,A271)</f>
        <v>ITD-SHRXXX-XX270</v>
      </c>
      <c r="C271" s="2" t="str" cm="1">
        <f t="array" ref="C271">IFERROR(_xlfn.LET(
_xlpm.CSVVal,_xlfn.XLOOKUP($A271,CSV!$A:$A,CSV!B:B,""),
_xlpm.MacVal,_xlfn.XLOOKUP($A271,Output_Mac!$A:$A,Output_Mac!B:B,""),
_xlpm.MyAuditVal,_xlfn.XLOOKUP($A271,My_Audit!$A:$A,My_Audit!B:B,""),
_xlfn.IFS(_xlpm.MyAuditVal&lt;&gt;"",UPPER(_xlpm.MyAuditVal),_xlpm.MacVal&lt;&gt;"",_xlpm.MacVal,_xlpm.CSVVal&lt;&gt;"",_xlpm.CSVVal
)),"")</f>
        <v/>
      </c>
      <c r="D271" s="2" t="str" cm="1">
        <f t="array" ref="D271">IFERROR(_xlfn.LET(
_xlpm.CSVVal,_xlfn.XLOOKUP($A271,CSV!$A:$A,CSV!D:D,""),
_xlpm.MacVal,_xlfn.XLOOKUP($A271,Output_Mac!$A:$A,Output_Mac!C:C,""),
_xlpm.MyAuditVal,_xlfn.XLOOKUP($A271,My_Audit!$A:$A,My_Audit!C:C,""),
_xlfn.IFS(_xlpm.MyAuditVal&lt;&gt;"",_xlpm.MyAuditVal,_xlpm.MacVal&lt;&gt;"",_xlpm.MacVal,_xlpm.CSVVal&lt;&gt;"",_xlpm.CSVVal
)),"")</f>
        <v/>
      </c>
      <c r="E271" s="2" t="str">
        <f>_xlfn.XLOOKUP(A271,My_Audit!A:A,My_Audit!D:D,"")&amp;""</f>
        <v/>
      </c>
      <c r="F271" s="2" t="str" cm="1">
        <f t="array" ref="F271">IFERROR(_xlfn.LET(
_xlpm.CSVVal,_xlfn.XLOOKUP($A271,CSV!$A:$A,CSV!F:F,""),
_xlpm.MacVal,_xlfn.XLOOKUP($A271,Output_Mac!$A:$A,Output_Mac!E:E,""),
_xlpm.MyAuditVal,_xlfn.XLOOKUP($A271,My_Audit!$A:$A,My_Audit!E:E,""),
_xlfn.IFS(_xlpm.MyAuditVal&lt;&gt;"",_xlpm.MyAuditVal,_xlpm.MacVal&lt;&gt;"",_xlpm.MacVal,_xlpm.CSVVal&lt;&gt;"",_xlpm.CSVVal
)),"")</f>
        <v/>
      </c>
      <c r="G271" s="2" t="str" cm="1">
        <f t="array" ref="G271">IFERROR(_xlfn.LET(
_xlpm.CSVVal,_xlfn.XLOOKUP($A271,CSV!$A:$A,CSV!G:G,""),
_xlpm.MacVal,_xlfn.XLOOKUP($A271,Output_Mac!$A:$A,Output_Mac!F:F,""),
_xlpm.MyAuditVal,_xlfn.XLOOKUP($A271,My_Audit!$A:$A,My_Audit!F:F,""),
_xlfn.IFS(_xlpm.MyAuditVal&lt;&gt;"",_xlpm.MyAuditVal,_xlpm.MacVal&lt;&gt;"",_xlpm.MacVal,_xlpm.CSVVal&lt;&gt;"",PROPER(_xlpm.CSVVal)
)),"")</f>
        <v/>
      </c>
      <c r="H271" s="2" t="str" cm="1">
        <f t="array" ref="H271">IFERROR(_xlfn.LET(
_xlpm.CSVVal,_xlfn.XLOOKUP($A271,CSV!$A:$A,CSV!H:H,""),
_xlpm.MacVal,_xlfn.XLOOKUP($A271,Output_Mac!$A:$A,Output_Mac!H:H,""),
_xlpm.MyAuditVal,_xlfn.XLOOKUP($A271,My_Audit!$A:$A,My_Audit!G:G,""),
_xlfn.IFS(_xlpm.MyAuditVal&lt;&gt;"",_xlpm.MyAuditVal,_xlpm.MacVal&lt;&gt;"",_xlpm.MacVal,_xlpm.CSVVal&lt;&gt;"",_xlpm.CSVVal
)),"")</f>
        <v/>
      </c>
      <c r="I271" s="2" t="str">
        <f>_xlfn.XLOOKUP(A271,Output_Mac!A:A,Output_Mac!I:I,"")</f>
        <v/>
      </c>
      <c r="J271" s="2" t="str" cm="1">
        <f t="array" ref="J271">IFERROR(_xlfn.LET(
_xlpm.CSVVal,_xlfn.XLOOKUP($A271,CSV!$A:$A,CSV!I:I,""),
_xlpm.MacVal,_xlfn.XLOOKUP($A271,Output_Mac!$A:$A,Output_Mac!J:J,""),
_xlpm.MyAuditVal,_xlfn.XLOOKUP($A271,My_Audit!$A:$A,My_Audit!I:I,""),
_xlfn.IFS(_xlpm.MyAuditVal&lt;&gt;"",UPPER(_xlpm.MyAuditVal),_xlpm.MacVal&lt;&gt;"",_xlpm.MacVal,_xlpm.CSVVal&lt;&gt;"",_xlpm.CSVVal
)),"")</f>
        <v/>
      </c>
      <c r="K271" s="2" t="str" cm="1">
        <f t="array" ref="K271">IFERROR(_xlfn.LET(
_xlpm.CSVVal,_xlfn.XLOOKUP($A271,CSV!$A:$A,CSV!K:K,""),
_xlpm.MacVal,_xlfn.XLOOKUP($A271,Output_Mac!$A:$A,Output_Mac!K:K,""),
_xlpm.MyAuditVal,_xlfn.XLOOKUP($A271,My_Audit!$A:$A,My_Audit!J:J,""),
_xlfn.IFS(_xlpm.MyAuditVal&lt;&gt;"",UPPER(_xlpm.MyAuditVal),_xlpm.MacVal&lt;&gt;"",_xlpm.MacVal,_xlpm.CSVVal&lt;&gt;"",_xlpm.CSVVal
)),"")</f>
        <v/>
      </c>
      <c r="L271" s="2" t="str" cm="1">
        <f t="array" ref="L271">IFERROR(_xlfn.LET(
_xlpm.CSVVal,_xlfn.XLOOKUP($A271,CSV!$A:$A,CSV!P:P,""),
_xlpm.MacVal,_xlfn.XLOOKUP($A271,Output_Mac!$A:$A,Output_Mac!L:L,""),
_xlpm.MyAuditVal,_xlfn.XLOOKUP($A271,My_Audit!$A:$A,My_Audit!K:K,""),
_xlfn.IFS(_xlpm.MyAuditVal&lt;&gt;"",UPPER(_xlpm.MyAuditVal),_xlpm.MacVal&lt;&gt;"",_xlpm.MacVal,_xlpm.CSVVal&lt;&gt;"",_xlpm.CSVVal
)),"")</f>
        <v/>
      </c>
      <c r="M271" s="2" t="str" cm="1">
        <f t="array" ref="M271">IFERROR(_xlfn.LET(
_xlpm.CSVVal,_xlfn.XLOOKUP($A271,CSV!$A:$A,CSV!Q:Q,""),
_xlpm.MacVal,_xlfn.XLOOKUP($A271,Output_Mac!$A:$A,Output_Mac!M:M,""),
_xlpm.MyAuditVal,_xlfn.XLOOKUP($A271,My_Audit!$A:$A,My_Audit!L:L,""),
_xlfn.IFS(_xlpm.MyAuditVal&lt;&gt;"",UPPER(_xlpm.MyAuditVal),_xlpm.MacVal&lt;&gt;"",_xlpm.MacVal,_xlpm.CSVVal&lt;&gt;"",_xlpm.CSVVal
)),"")</f>
        <v/>
      </c>
      <c r="O271" s="2" t="str">
        <f>_xlfn.LET(
    _xlpm.CSVVal, _xlfn.XLOOKUP($A271, CSV!$A:$A, CSV!AF:AF, ""),
    _xlpm.MacVal, _xlfn.XLOOKUP($A271, Output_Mac!$A:$A, Output_Mac!S:S, ""),
    _xlpm.MyAuditVal, _xlfn.XLOOKUP($A271, My_Audit!$A:$A, My_Audit!P:P, ""),
    _xlfn.TEXTJOIN(", ", TRUE, _xlpm.MyAuditVal, _xlpm.MacVal, _xlpm.CSVVal)
)</f>
        <v/>
      </c>
      <c r="P271" s="2" t="str" cm="1">
        <f t="array" ref="P271">IFERROR(_xlfn.LET(
_xlpm.CSVVal,_xlfn.XLOOKUP($A271,CSV!$A:$A,CSV!AG:AG,""),
_xlpm.MacVal,_xlfn.XLOOKUP($A271,Output_Mac!$A:$A,Output_Mac!T:T,""),
_xlpm.MyAuditVal,_xlfn.XLOOKUP($A271,My_Audit!$A:$A,My_Audit!Q:Q,""),
_xlfn.IFS(_xlpm.MyAuditVal&lt;&gt;"",UPPER(_xlpm.MyAuditVal),_xlpm.MacVal&lt;&gt;"",_xlpm.MacVal,_xlpm.CSVVal&lt;&gt;"",_xlpm.CSVVal
)),"No")</f>
        <v>No</v>
      </c>
      <c r="Q271" s="2" t="str" cm="1">
        <f t="array" ref="Q271">IFERROR(_xlfn.LET(
_xlpm.CSVVal,_xlfn.XLOOKUP($A271,CSV!$A:$A,CSV!AH:AH,""),
_xlpm.MacVal,_xlfn.XLOOKUP($A271,Output_Mac!$A:$A,Output_Mac!U:U,""),
_xlpm.MyAuditVal,_xlfn.XLOOKUP($A271,My_Audit!$A:$A,My_Audit!R:R,""),
_xlfn.IFS(_xlpm.MyAuditVal&lt;&gt;"",UPPER(_xlpm.MyAuditVal),_xlpm.MacVal&lt;&gt;"",_xlpm.MacVal,_xlpm.CSVVal&lt;&gt;"",_xlpm.CSVVal
)),"")</f>
        <v/>
      </c>
    </row>
    <row r="272" spans="1:17">
      <c r="A272" s="2" t="str">
        <f>_xlfn.TEXTJOIN("",TRUE,Input!$B$2,ROW(My_Audit!A271))</f>
        <v>XX271</v>
      </c>
      <c r="B272" s="2" t="str">
        <f>_xlfn.TEXTJOIN("-",TRUE,"ITD",Input!$A$2,A272)</f>
        <v>ITD-SHRXXX-XX271</v>
      </c>
      <c r="C272" s="2" t="str" cm="1">
        <f t="array" ref="C272">IFERROR(_xlfn.LET(
_xlpm.CSVVal,_xlfn.XLOOKUP($A272,CSV!$A:$A,CSV!B:B,""),
_xlpm.MacVal,_xlfn.XLOOKUP($A272,Output_Mac!$A:$A,Output_Mac!B:B,""),
_xlpm.MyAuditVal,_xlfn.XLOOKUP($A272,My_Audit!$A:$A,My_Audit!B:B,""),
_xlfn.IFS(_xlpm.MyAuditVal&lt;&gt;"",UPPER(_xlpm.MyAuditVal),_xlpm.MacVal&lt;&gt;"",_xlpm.MacVal,_xlpm.CSVVal&lt;&gt;"",_xlpm.CSVVal
)),"")</f>
        <v/>
      </c>
      <c r="D272" s="2" t="str" cm="1">
        <f t="array" ref="D272">IFERROR(_xlfn.LET(
_xlpm.CSVVal,_xlfn.XLOOKUP($A272,CSV!$A:$A,CSV!D:D,""),
_xlpm.MacVal,_xlfn.XLOOKUP($A272,Output_Mac!$A:$A,Output_Mac!C:C,""),
_xlpm.MyAuditVal,_xlfn.XLOOKUP($A272,My_Audit!$A:$A,My_Audit!C:C,""),
_xlfn.IFS(_xlpm.MyAuditVal&lt;&gt;"",_xlpm.MyAuditVal,_xlpm.MacVal&lt;&gt;"",_xlpm.MacVal,_xlpm.CSVVal&lt;&gt;"",_xlpm.CSVVal
)),"")</f>
        <v/>
      </c>
      <c r="E272" s="2" t="str">
        <f>_xlfn.XLOOKUP(A272,My_Audit!A:A,My_Audit!D:D,"")&amp;""</f>
        <v/>
      </c>
      <c r="F272" s="2" t="str" cm="1">
        <f t="array" ref="F272">IFERROR(_xlfn.LET(
_xlpm.CSVVal,_xlfn.XLOOKUP($A272,CSV!$A:$A,CSV!F:F,""),
_xlpm.MacVal,_xlfn.XLOOKUP($A272,Output_Mac!$A:$A,Output_Mac!E:E,""),
_xlpm.MyAuditVal,_xlfn.XLOOKUP($A272,My_Audit!$A:$A,My_Audit!E:E,""),
_xlfn.IFS(_xlpm.MyAuditVal&lt;&gt;"",_xlpm.MyAuditVal,_xlpm.MacVal&lt;&gt;"",_xlpm.MacVal,_xlpm.CSVVal&lt;&gt;"",_xlpm.CSVVal
)),"")</f>
        <v/>
      </c>
      <c r="G272" s="2" t="str" cm="1">
        <f t="array" ref="G272">IFERROR(_xlfn.LET(
_xlpm.CSVVal,_xlfn.XLOOKUP($A272,CSV!$A:$A,CSV!G:G,""),
_xlpm.MacVal,_xlfn.XLOOKUP($A272,Output_Mac!$A:$A,Output_Mac!F:F,""),
_xlpm.MyAuditVal,_xlfn.XLOOKUP($A272,My_Audit!$A:$A,My_Audit!F:F,""),
_xlfn.IFS(_xlpm.MyAuditVal&lt;&gt;"",_xlpm.MyAuditVal,_xlpm.MacVal&lt;&gt;"",_xlpm.MacVal,_xlpm.CSVVal&lt;&gt;"",PROPER(_xlpm.CSVVal)
)),"")</f>
        <v/>
      </c>
      <c r="H272" s="2" t="str" cm="1">
        <f t="array" ref="H272">IFERROR(_xlfn.LET(
_xlpm.CSVVal,_xlfn.XLOOKUP($A272,CSV!$A:$A,CSV!H:H,""),
_xlpm.MacVal,_xlfn.XLOOKUP($A272,Output_Mac!$A:$A,Output_Mac!H:H,""),
_xlpm.MyAuditVal,_xlfn.XLOOKUP($A272,My_Audit!$A:$A,My_Audit!G:G,""),
_xlfn.IFS(_xlpm.MyAuditVal&lt;&gt;"",_xlpm.MyAuditVal,_xlpm.MacVal&lt;&gt;"",_xlpm.MacVal,_xlpm.CSVVal&lt;&gt;"",_xlpm.CSVVal
)),"")</f>
        <v/>
      </c>
      <c r="I272" s="2" t="str">
        <f>_xlfn.XLOOKUP(A272,Output_Mac!A:A,Output_Mac!I:I,"")</f>
        <v/>
      </c>
      <c r="J272" s="2" t="str" cm="1">
        <f t="array" ref="J272">IFERROR(_xlfn.LET(
_xlpm.CSVVal,_xlfn.XLOOKUP($A272,CSV!$A:$A,CSV!I:I,""),
_xlpm.MacVal,_xlfn.XLOOKUP($A272,Output_Mac!$A:$A,Output_Mac!J:J,""),
_xlpm.MyAuditVal,_xlfn.XLOOKUP($A272,My_Audit!$A:$A,My_Audit!I:I,""),
_xlfn.IFS(_xlpm.MyAuditVal&lt;&gt;"",UPPER(_xlpm.MyAuditVal),_xlpm.MacVal&lt;&gt;"",_xlpm.MacVal,_xlpm.CSVVal&lt;&gt;"",_xlpm.CSVVal
)),"")</f>
        <v/>
      </c>
      <c r="K272" s="2" t="str" cm="1">
        <f t="array" ref="K272">IFERROR(_xlfn.LET(
_xlpm.CSVVal,_xlfn.XLOOKUP($A272,CSV!$A:$A,CSV!K:K,""),
_xlpm.MacVal,_xlfn.XLOOKUP($A272,Output_Mac!$A:$A,Output_Mac!K:K,""),
_xlpm.MyAuditVal,_xlfn.XLOOKUP($A272,My_Audit!$A:$A,My_Audit!J:J,""),
_xlfn.IFS(_xlpm.MyAuditVal&lt;&gt;"",UPPER(_xlpm.MyAuditVal),_xlpm.MacVal&lt;&gt;"",_xlpm.MacVal,_xlpm.CSVVal&lt;&gt;"",_xlpm.CSVVal
)),"")</f>
        <v/>
      </c>
      <c r="L272" s="2" t="str" cm="1">
        <f t="array" ref="L272">IFERROR(_xlfn.LET(
_xlpm.CSVVal,_xlfn.XLOOKUP($A272,CSV!$A:$A,CSV!P:P,""),
_xlpm.MacVal,_xlfn.XLOOKUP($A272,Output_Mac!$A:$A,Output_Mac!L:L,""),
_xlpm.MyAuditVal,_xlfn.XLOOKUP($A272,My_Audit!$A:$A,My_Audit!K:K,""),
_xlfn.IFS(_xlpm.MyAuditVal&lt;&gt;"",UPPER(_xlpm.MyAuditVal),_xlpm.MacVal&lt;&gt;"",_xlpm.MacVal,_xlpm.CSVVal&lt;&gt;"",_xlpm.CSVVal
)),"")</f>
        <v/>
      </c>
      <c r="M272" s="2" t="str" cm="1">
        <f t="array" ref="M272">IFERROR(_xlfn.LET(
_xlpm.CSVVal,_xlfn.XLOOKUP($A272,CSV!$A:$A,CSV!Q:Q,""),
_xlpm.MacVal,_xlfn.XLOOKUP($A272,Output_Mac!$A:$A,Output_Mac!M:M,""),
_xlpm.MyAuditVal,_xlfn.XLOOKUP($A272,My_Audit!$A:$A,My_Audit!L:L,""),
_xlfn.IFS(_xlpm.MyAuditVal&lt;&gt;"",UPPER(_xlpm.MyAuditVal),_xlpm.MacVal&lt;&gt;"",_xlpm.MacVal,_xlpm.CSVVal&lt;&gt;"",_xlpm.CSVVal
)),"")</f>
        <v/>
      </c>
      <c r="O272" s="2" t="str">
        <f>_xlfn.LET(
    _xlpm.CSVVal, _xlfn.XLOOKUP($A272, CSV!$A:$A, CSV!AF:AF, ""),
    _xlpm.MacVal, _xlfn.XLOOKUP($A272, Output_Mac!$A:$A, Output_Mac!S:S, ""),
    _xlpm.MyAuditVal, _xlfn.XLOOKUP($A272, My_Audit!$A:$A, My_Audit!P:P, ""),
    _xlfn.TEXTJOIN(", ", TRUE, _xlpm.MyAuditVal, _xlpm.MacVal, _xlpm.CSVVal)
)</f>
        <v/>
      </c>
      <c r="P272" s="2" t="str" cm="1">
        <f t="array" ref="P272">IFERROR(_xlfn.LET(
_xlpm.CSVVal,_xlfn.XLOOKUP($A272,CSV!$A:$A,CSV!AG:AG,""),
_xlpm.MacVal,_xlfn.XLOOKUP($A272,Output_Mac!$A:$A,Output_Mac!T:T,""),
_xlpm.MyAuditVal,_xlfn.XLOOKUP($A272,My_Audit!$A:$A,My_Audit!Q:Q,""),
_xlfn.IFS(_xlpm.MyAuditVal&lt;&gt;"",UPPER(_xlpm.MyAuditVal),_xlpm.MacVal&lt;&gt;"",_xlpm.MacVal,_xlpm.CSVVal&lt;&gt;"",_xlpm.CSVVal
)),"No")</f>
        <v>No</v>
      </c>
      <c r="Q272" s="2" t="str" cm="1">
        <f t="array" ref="Q272">IFERROR(_xlfn.LET(
_xlpm.CSVVal,_xlfn.XLOOKUP($A272,CSV!$A:$A,CSV!AH:AH,""),
_xlpm.MacVal,_xlfn.XLOOKUP($A272,Output_Mac!$A:$A,Output_Mac!U:U,""),
_xlpm.MyAuditVal,_xlfn.XLOOKUP($A272,My_Audit!$A:$A,My_Audit!R:R,""),
_xlfn.IFS(_xlpm.MyAuditVal&lt;&gt;"",UPPER(_xlpm.MyAuditVal),_xlpm.MacVal&lt;&gt;"",_xlpm.MacVal,_xlpm.CSVVal&lt;&gt;"",_xlpm.CSVVal
)),"")</f>
        <v/>
      </c>
    </row>
    <row r="273" spans="1:17">
      <c r="A273" s="2" t="str">
        <f>_xlfn.TEXTJOIN("",TRUE,Input!$B$2,ROW(My_Audit!A272))</f>
        <v>XX272</v>
      </c>
      <c r="B273" s="2" t="str">
        <f>_xlfn.TEXTJOIN("-",TRUE,"ITD",Input!$A$2,A273)</f>
        <v>ITD-SHRXXX-XX272</v>
      </c>
      <c r="C273" s="2" t="str" cm="1">
        <f t="array" ref="C273">IFERROR(_xlfn.LET(
_xlpm.CSVVal,_xlfn.XLOOKUP($A273,CSV!$A:$A,CSV!B:B,""),
_xlpm.MacVal,_xlfn.XLOOKUP($A273,Output_Mac!$A:$A,Output_Mac!B:B,""),
_xlpm.MyAuditVal,_xlfn.XLOOKUP($A273,My_Audit!$A:$A,My_Audit!B:B,""),
_xlfn.IFS(_xlpm.MyAuditVal&lt;&gt;"",UPPER(_xlpm.MyAuditVal),_xlpm.MacVal&lt;&gt;"",_xlpm.MacVal,_xlpm.CSVVal&lt;&gt;"",_xlpm.CSVVal
)),"")</f>
        <v/>
      </c>
      <c r="D273" s="2" t="str" cm="1">
        <f t="array" ref="D273">IFERROR(_xlfn.LET(
_xlpm.CSVVal,_xlfn.XLOOKUP($A273,CSV!$A:$A,CSV!D:D,""),
_xlpm.MacVal,_xlfn.XLOOKUP($A273,Output_Mac!$A:$A,Output_Mac!C:C,""),
_xlpm.MyAuditVal,_xlfn.XLOOKUP($A273,My_Audit!$A:$A,My_Audit!C:C,""),
_xlfn.IFS(_xlpm.MyAuditVal&lt;&gt;"",_xlpm.MyAuditVal,_xlpm.MacVal&lt;&gt;"",_xlpm.MacVal,_xlpm.CSVVal&lt;&gt;"",_xlpm.CSVVal
)),"")</f>
        <v/>
      </c>
      <c r="E273" s="2" t="str">
        <f>_xlfn.XLOOKUP(A273,My_Audit!A:A,My_Audit!D:D,"")&amp;""</f>
        <v/>
      </c>
      <c r="F273" s="2" t="str" cm="1">
        <f t="array" ref="F273">IFERROR(_xlfn.LET(
_xlpm.CSVVal,_xlfn.XLOOKUP($A273,CSV!$A:$A,CSV!F:F,""),
_xlpm.MacVal,_xlfn.XLOOKUP($A273,Output_Mac!$A:$A,Output_Mac!E:E,""),
_xlpm.MyAuditVal,_xlfn.XLOOKUP($A273,My_Audit!$A:$A,My_Audit!E:E,""),
_xlfn.IFS(_xlpm.MyAuditVal&lt;&gt;"",_xlpm.MyAuditVal,_xlpm.MacVal&lt;&gt;"",_xlpm.MacVal,_xlpm.CSVVal&lt;&gt;"",_xlpm.CSVVal
)),"")</f>
        <v/>
      </c>
      <c r="G273" s="2" t="str" cm="1">
        <f t="array" ref="G273">IFERROR(_xlfn.LET(
_xlpm.CSVVal,_xlfn.XLOOKUP($A273,CSV!$A:$A,CSV!G:G,""),
_xlpm.MacVal,_xlfn.XLOOKUP($A273,Output_Mac!$A:$A,Output_Mac!F:F,""),
_xlpm.MyAuditVal,_xlfn.XLOOKUP($A273,My_Audit!$A:$A,My_Audit!F:F,""),
_xlfn.IFS(_xlpm.MyAuditVal&lt;&gt;"",_xlpm.MyAuditVal,_xlpm.MacVal&lt;&gt;"",_xlpm.MacVal,_xlpm.CSVVal&lt;&gt;"",PROPER(_xlpm.CSVVal)
)),"")</f>
        <v/>
      </c>
      <c r="H273" s="2" t="str" cm="1">
        <f t="array" ref="H273">IFERROR(_xlfn.LET(
_xlpm.CSVVal,_xlfn.XLOOKUP($A273,CSV!$A:$A,CSV!H:H,""),
_xlpm.MacVal,_xlfn.XLOOKUP($A273,Output_Mac!$A:$A,Output_Mac!H:H,""),
_xlpm.MyAuditVal,_xlfn.XLOOKUP($A273,My_Audit!$A:$A,My_Audit!G:G,""),
_xlfn.IFS(_xlpm.MyAuditVal&lt;&gt;"",_xlpm.MyAuditVal,_xlpm.MacVal&lt;&gt;"",_xlpm.MacVal,_xlpm.CSVVal&lt;&gt;"",_xlpm.CSVVal
)),"")</f>
        <v/>
      </c>
      <c r="I273" s="2" t="str">
        <f>_xlfn.XLOOKUP(A273,Output_Mac!A:A,Output_Mac!I:I,"")</f>
        <v/>
      </c>
      <c r="J273" s="2" t="str" cm="1">
        <f t="array" ref="J273">IFERROR(_xlfn.LET(
_xlpm.CSVVal,_xlfn.XLOOKUP($A273,CSV!$A:$A,CSV!I:I,""),
_xlpm.MacVal,_xlfn.XLOOKUP($A273,Output_Mac!$A:$A,Output_Mac!J:J,""),
_xlpm.MyAuditVal,_xlfn.XLOOKUP($A273,My_Audit!$A:$A,My_Audit!I:I,""),
_xlfn.IFS(_xlpm.MyAuditVal&lt;&gt;"",UPPER(_xlpm.MyAuditVal),_xlpm.MacVal&lt;&gt;"",_xlpm.MacVal,_xlpm.CSVVal&lt;&gt;"",_xlpm.CSVVal
)),"")</f>
        <v/>
      </c>
      <c r="K273" s="2" t="str" cm="1">
        <f t="array" ref="K273">IFERROR(_xlfn.LET(
_xlpm.CSVVal,_xlfn.XLOOKUP($A273,CSV!$A:$A,CSV!K:K,""),
_xlpm.MacVal,_xlfn.XLOOKUP($A273,Output_Mac!$A:$A,Output_Mac!K:K,""),
_xlpm.MyAuditVal,_xlfn.XLOOKUP($A273,My_Audit!$A:$A,My_Audit!J:J,""),
_xlfn.IFS(_xlpm.MyAuditVal&lt;&gt;"",UPPER(_xlpm.MyAuditVal),_xlpm.MacVal&lt;&gt;"",_xlpm.MacVal,_xlpm.CSVVal&lt;&gt;"",_xlpm.CSVVal
)),"")</f>
        <v/>
      </c>
      <c r="L273" s="2" t="str" cm="1">
        <f t="array" ref="L273">IFERROR(_xlfn.LET(
_xlpm.CSVVal,_xlfn.XLOOKUP($A273,CSV!$A:$A,CSV!P:P,""),
_xlpm.MacVal,_xlfn.XLOOKUP($A273,Output_Mac!$A:$A,Output_Mac!L:L,""),
_xlpm.MyAuditVal,_xlfn.XLOOKUP($A273,My_Audit!$A:$A,My_Audit!K:K,""),
_xlfn.IFS(_xlpm.MyAuditVal&lt;&gt;"",UPPER(_xlpm.MyAuditVal),_xlpm.MacVal&lt;&gt;"",_xlpm.MacVal,_xlpm.CSVVal&lt;&gt;"",_xlpm.CSVVal
)),"")</f>
        <v/>
      </c>
      <c r="M273" s="2" t="str" cm="1">
        <f t="array" ref="M273">IFERROR(_xlfn.LET(
_xlpm.CSVVal,_xlfn.XLOOKUP($A273,CSV!$A:$A,CSV!Q:Q,""),
_xlpm.MacVal,_xlfn.XLOOKUP($A273,Output_Mac!$A:$A,Output_Mac!M:M,""),
_xlpm.MyAuditVal,_xlfn.XLOOKUP($A273,My_Audit!$A:$A,My_Audit!L:L,""),
_xlfn.IFS(_xlpm.MyAuditVal&lt;&gt;"",UPPER(_xlpm.MyAuditVal),_xlpm.MacVal&lt;&gt;"",_xlpm.MacVal,_xlpm.CSVVal&lt;&gt;"",_xlpm.CSVVal
)),"")</f>
        <v/>
      </c>
      <c r="O273" s="2" t="str">
        <f>_xlfn.LET(
    _xlpm.CSVVal, _xlfn.XLOOKUP($A273, CSV!$A:$A, CSV!AF:AF, ""),
    _xlpm.MacVal, _xlfn.XLOOKUP($A273, Output_Mac!$A:$A, Output_Mac!S:S, ""),
    _xlpm.MyAuditVal, _xlfn.XLOOKUP($A273, My_Audit!$A:$A, My_Audit!P:P, ""),
    _xlfn.TEXTJOIN(", ", TRUE, _xlpm.MyAuditVal, _xlpm.MacVal, _xlpm.CSVVal)
)</f>
        <v/>
      </c>
      <c r="P273" s="2" t="str" cm="1">
        <f t="array" ref="P273">IFERROR(_xlfn.LET(
_xlpm.CSVVal,_xlfn.XLOOKUP($A273,CSV!$A:$A,CSV!AG:AG,""),
_xlpm.MacVal,_xlfn.XLOOKUP($A273,Output_Mac!$A:$A,Output_Mac!T:T,""),
_xlpm.MyAuditVal,_xlfn.XLOOKUP($A273,My_Audit!$A:$A,My_Audit!Q:Q,""),
_xlfn.IFS(_xlpm.MyAuditVal&lt;&gt;"",UPPER(_xlpm.MyAuditVal),_xlpm.MacVal&lt;&gt;"",_xlpm.MacVal,_xlpm.CSVVal&lt;&gt;"",_xlpm.CSVVal
)),"No")</f>
        <v>No</v>
      </c>
      <c r="Q273" s="2" t="str" cm="1">
        <f t="array" ref="Q273">IFERROR(_xlfn.LET(
_xlpm.CSVVal,_xlfn.XLOOKUP($A273,CSV!$A:$A,CSV!AH:AH,""),
_xlpm.MacVal,_xlfn.XLOOKUP($A273,Output_Mac!$A:$A,Output_Mac!U:U,""),
_xlpm.MyAuditVal,_xlfn.XLOOKUP($A273,My_Audit!$A:$A,My_Audit!R:R,""),
_xlfn.IFS(_xlpm.MyAuditVal&lt;&gt;"",UPPER(_xlpm.MyAuditVal),_xlpm.MacVal&lt;&gt;"",_xlpm.MacVal,_xlpm.CSVVal&lt;&gt;"",_xlpm.CSVVal
)),"")</f>
        <v/>
      </c>
    </row>
    <row r="274" spans="1:17">
      <c r="A274" s="2" t="str">
        <f>_xlfn.TEXTJOIN("",TRUE,Input!$B$2,ROW(My_Audit!A273))</f>
        <v>XX273</v>
      </c>
      <c r="B274" s="2" t="str">
        <f>_xlfn.TEXTJOIN("-",TRUE,"ITD",Input!$A$2,A274)</f>
        <v>ITD-SHRXXX-XX273</v>
      </c>
      <c r="C274" s="2" t="str" cm="1">
        <f t="array" ref="C274">IFERROR(_xlfn.LET(
_xlpm.CSVVal,_xlfn.XLOOKUP($A274,CSV!$A:$A,CSV!B:B,""),
_xlpm.MacVal,_xlfn.XLOOKUP($A274,Output_Mac!$A:$A,Output_Mac!B:B,""),
_xlpm.MyAuditVal,_xlfn.XLOOKUP($A274,My_Audit!$A:$A,My_Audit!B:B,""),
_xlfn.IFS(_xlpm.MyAuditVal&lt;&gt;"",UPPER(_xlpm.MyAuditVal),_xlpm.MacVal&lt;&gt;"",_xlpm.MacVal,_xlpm.CSVVal&lt;&gt;"",_xlpm.CSVVal
)),"")</f>
        <v/>
      </c>
      <c r="D274" s="2" t="str" cm="1">
        <f t="array" ref="D274">IFERROR(_xlfn.LET(
_xlpm.CSVVal,_xlfn.XLOOKUP($A274,CSV!$A:$A,CSV!D:D,""),
_xlpm.MacVal,_xlfn.XLOOKUP($A274,Output_Mac!$A:$A,Output_Mac!C:C,""),
_xlpm.MyAuditVal,_xlfn.XLOOKUP($A274,My_Audit!$A:$A,My_Audit!C:C,""),
_xlfn.IFS(_xlpm.MyAuditVal&lt;&gt;"",_xlpm.MyAuditVal,_xlpm.MacVal&lt;&gt;"",_xlpm.MacVal,_xlpm.CSVVal&lt;&gt;"",_xlpm.CSVVal
)),"")</f>
        <v/>
      </c>
      <c r="E274" s="2" t="str">
        <f>_xlfn.XLOOKUP(A274,My_Audit!A:A,My_Audit!D:D,"")&amp;""</f>
        <v/>
      </c>
      <c r="F274" s="2" t="str" cm="1">
        <f t="array" ref="F274">IFERROR(_xlfn.LET(
_xlpm.CSVVal,_xlfn.XLOOKUP($A274,CSV!$A:$A,CSV!F:F,""),
_xlpm.MacVal,_xlfn.XLOOKUP($A274,Output_Mac!$A:$A,Output_Mac!E:E,""),
_xlpm.MyAuditVal,_xlfn.XLOOKUP($A274,My_Audit!$A:$A,My_Audit!E:E,""),
_xlfn.IFS(_xlpm.MyAuditVal&lt;&gt;"",_xlpm.MyAuditVal,_xlpm.MacVal&lt;&gt;"",_xlpm.MacVal,_xlpm.CSVVal&lt;&gt;"",_xlpm.CSVVal
)),"")</f>
        <v/>
      </c>
      <c r="G274" s="2" t="str" cm="1">
        <f t="array" ref="G274">IFERROR(_xlfn.LET(
_xlpm.CSVVal,_xlfn.XLOOKUP($A274,CSV!$A:$A,CSV!G:G,""),
_xlpm.MacVal,_xlfn.XLOOKUP($A274,Output_Mac!$A:$A,Output_Mac!F:F,""),
_xlpm.MyAuditVal,_xlfn.XLOOKUP($A274,My_Audit!$A:$A,My_Audit!F:F,""),
_xlfn.IFS(_xlpm.MyAuditVal&lt;&gt;"",_xlpm.MyAuditVal,_xlpm.MacVal&lt;&gt;"",_xlpm.MacVal,_xlpm.CSVVal&lt;&gt;"",PROPER(_xlpm.CSVVal)
)),"")</f>
        <v/>
      </c>
      <c r="H274" s="2" t="str" cm="1">
        <f t="array" ref="H274">IFERROR(_xlfn.LET(
_xlpm.CSVVal,_xlfn.XLOOKUP($A274,CSV!$A:$A,CSV!H:H,""),
_xlpm.MacVal,_xlfn.XLOOKUP($A274,Output_Mac!$A:$A,Output_Mac!H:H,""),
_xlpm.MyAuditVal,_xlfn.XLOOKUP($A274,My_Audit!$A:$A,My_Audit!G:G,""),
_xlfn.IFS(_xlpm.MyAuditVal&lt;&gt;"",_xlpm.MyAuditVal,_xlpm.MacVal&lt;&gt;"",_xlpm.MacVal,_xlpm.CSVVal&lt;&gt;"",_xlpm.CSVVal
)),"")</f>
        <v/>
      </c>
      <c r="I274" s="2" t="str">
        <f>_xlfn.XLOOKUP(A274,Output_Mac!A:A,Output_Mac!I:I,"")</f>
        <v/>
      </c>
      <c r="J274" s="2" t="str" cm="1">
        <f t="array" ref="J274">IFERROR(_xlfn.LET(
_xlpm.CSVVal,_xlfn.XLOOKUP($A274,CSV!$A:$A,CSV!I:I,""),
_xlpm.MacVal,_xlfn.XLOOKUP($A274,Output_Mac!$A:$A,Output_Mac!J:J,""),
_xlpm.MyAuditVal,_xlfn.XLOOKUP($A274,My_Audit!$A:$A,My_Audit!I:I,""),
_xlfn.IFS(_xlpm.MyAuditVal&lt;&gt;"",UPPER(_xlpm.MyAuditVal),_xlpm.MacVal&lt;&gt;"",_xlpm.MacVal,_xlpm.CSVVal&lt;&gt;"",_xlpm.CSVVal
)),"")</f>
        <v/>
      </c>
      <c r="K274" s="2" t="str" cm="1">
        <f t="array" ref="K274">IFERROR(_xlfn.LET(
_xlpm.CSVVal,_xlfn.XLOOKUP($A274,CSV!$A:$A,CSV!K:K,""),
_xlpm.MacVal,_xlfn.XLOOKUP($A274,Output_Mac!$A:$A,Output_Mac!K:K,""),
_xlpm.MyAuditVal,_xlfn.XLOOKUP($A274,My_Audit!$A:$A,My_Audit!J:J,""),
_xlfn.IFS(_xlpm.MyAuditVal&lt;&gt;"",UPPER(_xlpm.MyAuditVal),_xlpm.MacVal&lt;&gt;"",_xlpm.MacVal,_xlpm.CSVVal&lt;&gt;"",_xlpm.CSVVal
)),"")</f>
        <v/>
      </c>
      <c r="L274" s="2" t="str" cm="1">
        <f t="array" ref="L274">IFERROR(_xlfn.LET(
_xlpm.CSVVal,_xlfn.XLOOKUP($A274,CSV!$A:$A,CSV!P:P,""),
_xlpm.MacVal,_xlfn.XLOOKUP($A274,Output_Mac!$A:$A,Output_Mac!L:L,""),
_xlpm.MyAuditVal,_xlfn.XLOOKUP($A274,My_Audit!$A:$A,My_Audit!K:K,""),
_xlfn.IFS(_xlpm.MyAuditVal&lt;&gt;"",UPPER(_xlpm.MyAuditVal),_xlpm.MacVal&lt;&gt;"",_xlpm.MacVal,_xlpm.CSVVal&lt;&gt;"",_xlpm.CSVVal
)),"")</f>
        <v/>
      </c>
      <c r="M274" s="2" t="str" cm="1">
        <f t="array" ref="M274">IFERROR(_xlfn.LET(
_xlpm.CSVVal,_xlfn.XLOOKUP($A274,CSV!$A:$A,CSV!Q:Q,""),
_xlpm.MacVal,_xlfn.XLOOKUP($A274,Output_Mac!$A:$A,Output_Mac!M:M,""),
_xlpm.MyAuditVal,_xlfn.XLOOKUP($A274,My_Audit!$A:$A,My_Audit!L:L,""),
_xlfn.IFS(_xlpm.MyAuditVal&lt;&gt;"",UPPER(_xlpm.MyAuditVal),_xlpm.MacVal&lt;&gt;"",_xlpm.MacVal,_xlpm.CSVVal&lt;&gt;"",_xlpm.CSVVal
)),"")</f>
        <v/>
      </c>
      <c r="O274" s="2" t="str">
        <f>_xlfn.LET(
    _xlpm.CSVVal, _xlfn.XLOOKUP($A274, CSV!$A:$A, CSV!AF:AF, ""),
    _xlpm.MacVal, _xlfn.XLOOKUP($A274, Output_Mac!$A:$A, Output_Mac!S:S, ""),
    _xlpm.MyAuditVal, _xlfn.XLOOKUP($A274, My_Audit!$A:$A, My_Audit!P:P, ""),
    _xlfn.TEXTJOIN(", ", TRUE, _xlpm.MyAuditVal, _xlpm.MacVal, _xlpm.CSVVal)
)</f>
        <v/>
      </c>
      <c r="P274" s="2" t="str" cm="1">
        <f t="array" ref="P274">IFERROR(_xlfn.LET(
_xlpm.CSVVal,_xlfn.XLOOKUP($A274,CSV!$A:$A,CSV!AG:AG,""),
_xlpm.MacVal,_xlfn.XLOOKUP($A274,Output_Mac!$A:$A,Output_Mac!T:T,""),
_xlpm.MyAuditVal,_xlfn.XLOOKUP($A274,My_Audit!$A:$A,My_Audit!Q:Q,""),
_xlfn.IFS(_xlpm.MyAuditVal&lt;&gt;"",UPPER(_xlpm.MyAuditVal),_xlpm.MacVal&lt;&gt;"",_xlpm.MacVal,_xlpm.CSVVal&lt;&gt;"",_xlpm.CSVVal
)),"No")</f>
        <v>No</v>
      </c>
      <c r="Q274" s="2" t="str" cm="1">
        <f t="array" ref="Q274">IFERROR(_xlfn.LET(
_xlpm.CSVVal,_xlfn.XLOOKUP($A274,CSV!$A:$A,CSV!AH:AH,""),
_xlpm.MacVal,_xlfn.XLOOKUP($A274,Output_Mac!$A:$A,Output_Mac!U:U,""),
_xlpm.MyAuditVal,_xlfn.XLOOKUP($A274,My_Audit!$A:$A,My_Audit!R:R,""),
_xlfn.IFS(_xlpm.MyAuditVal&lt;&gt;"",UPPER(_xlpm.MyAuditVal),_xlpm.MacVal&lt;&gt;"",_xlpm.MacVal,_xlpm.CSVVal&lt;&gt;"",_xlpm.CSVVal
)),"")</f>
        <v/>
      </c>
    </row>
    <row r="275" spans="1:17">
      <c r="A275" s="2" t="str">
        <f>_xlfn.TEXTJOIN("",TRUE,Input!$B$2,ROW(My_Audit!A274))</f>
        <v>XX274</v>
      </c>
      <c r="B275" s="2" t="str">
        <f>_xlfn.TEXTJOIN("-",TRUE,"ITD",Input!$A$2,A275)</f>
        <v>ITD-SHRXXX-XX274</v>
      </c>
      <c r="C275" s="2" t="str" cm="1">
        <f t="array" ref="C275">IFERROR(_xlfn.LET(
_xlpm.CSVVal,_xlfn.XLOOKUP($A275,CSV!$A:$A,CSV!B:B,""),
_xlpm.MacVal,_xlfn.XLOOKUP($A275,Output_Mac!$A:$A,Output_Mac!B:B,""),
_xlpm.MyAuditVal,_xlfn.XLOOKUP($A275,My_Audit!$A:$A,My_Audit!B:B,""),
_xlfn.IFS(_xlpm.MyAuditVal&lt;&gt;"",UPPER(_xlpm.MyAuditVal),_xlpm.MacVal&lt;&gt;"",_xlpm.MacVal,_xlpm.CSVVal&lt;&gt;"",_xlpm.CSVVal
)),"")</f>
        <v/>
      </c>
      <c r="D275" s="2" t="str" cm="1">
        <f t="array" ref="D275">IFERROR(_xlfn.LET(
_xlpm.CSVVal,_xlfn.XLOOKUP($A275,CSV!$A:$A,CSV!D:D,""),
_xlpm.MacVal,_xlfn.XLOOKUP($A275,Output_Mac!$A:$A,Output_Mac!C:C,""),
_xlpm.MyAuditVal,_xlfn.XLOOKUP($A275,My_Audit!$A:$A,My_Audit!C:C,""),
_xlfn.IFS(_xlpm.MyAuditVal&lt;&gt;"",_xlpm.MyAuditVal,_xlpm.MacVal&lt;&gt;"",_xlpm.MacVal,_xlpm.CSVVal&lt;&gt;"",_xlpm.CSVVal
)),"")</f>
        <v/>
      </c>
      <c r="E275" s="2" t="str">
        <f>_xlfn.XLOOKUP(A275,My_Audit!A:A,My_Audit!D:D,"")&amp;""</f>
        <v/>
      </c>
      <c r="F275" s="2" t="str" cm="1">
        <f t="array" ref="F275">IFERROR(_xlfn.LET(
_xlpm.CSVVal,_xlfn.XLOOKUP($A275,CSV!$A:$A,CSV!F:F,""),
_xlpm.MacVal,_xlfn.XLOOKUP($A275,Output_Mac!$A:$A,Output_Mac!E:E,""),
_xlpm.MyAuditVal,_xlfn.XLOOKUP($A275,My_Audit!$A:$A,My_Audit!E:E,""),
_xlfn.IFS(_xlpm.MyAuditVal&lt;&gt;"",_xlpm.MyAuditVal,_xlpm.MacVal&lt;&gt;"",_xlpm.MacVal,_xlpm.CSVVal&lt;&gt;"",_xlpm.CSVVal
)),"")</f>
        <v/>
      </c>
      <c r="G275" s="2" t="str" cm="1">
        <f t="array" ref="G275">IFERROR(_xlfn.LET(
_xlpm.CSVVal,_xlfn.XLOOKUP($A275,CSV!$A:$A,CSV!G:G,""),
_xlpm.MacVal,_xlfn.XLOOKUP($A275,Output_Mac!$A:$A,Output_Mac!F:F,""),
_xlpm.MyAuditVal,_xlfn.XLOOKUP($A275,My_Audit!$A:$A,My_Audit!F:F,""),
_xlfn.IFS(_xlpm.MyAuditVal&lt;&gt;"",_xlpm.MyAuditVal,_xlpm.MacVal&lt;&gt;"",_xlpm.MacVal,_xlpm.CSVVal&lt;&gt;"",PROPER(_xlpm.CSVVal)
)),"")</f>
        <v/>
      </c>
      <c r="H275" s="2" t="str" cm="1">
        <f t="array" ref="H275">IFERROR(_xlfn.LET(
_xlpm.CSVVal,_xlfn.XLOOKUP($A275,CSV!$A:$A,CSV!H:H,""),
_xlpm.MacVal,_xlfn.XLOOKUP($A275,Output_Mac!$A:$A,Output_Mac!H:H,""),
_xlpm.MyAuditVal,_xlfn.XLOOKUP($A275,My_Audit!$A:$A,My_Audit!G:G,""),
_xlfn.IFS(_xlpm.MyAuditVal&lt;&gt;"",_xlpm.MyAuditVal,_xlpm.MacVal&lt;&gt;"",_xlpm.MacVal,_xlpm.CSVVal&lt;&gt;"",_xlpm.CSVVal
)),"")</f>
        <v/>
      </c>
      <c r="I275" s="2" t="str">
        <f>_xlfn.XLOOKUP(A275,Output_Mac!A:A,Output_Mac!I:I,"")</f>
        <v/>
      </c>
      <c r="J275" s="2" t="str" cm="1">
        <f t="array" ref="J275">IFERROR(_xlfn.LET(
_xlpm.CSVVal,_xlfn.XLOOKUP($A275,CSV!$A:$A,CSV!I:I,""),
_xlpm.MacVal,_xlfn.XLOOKUP($A275,Output_Mac!$A:$A,Output_Mac!J:J,""),
_xlpm.MyAuditVal,_xlfn.XLOOKUP($A275,My_Audit!$A:$A,My_Audit!I:I,""),
_xlfn.IFS(_xlpm.MyAuditVal&lt;&gt;"",UPPER(_xlpm.MyAuditVal),_xlpm.MacVal&lt;&gt;"",_xlpm.MacVal,_xlpm.CSVVal&lt;&gt;"",_xlpm.CSVVal
)),"")</f>
        <v/>
      </c>
      <c r="K275" s="2" t="str" cm="1">
        <f t="array" ref="K275">IFERROR(_xlfn.LET(
_xlpm.CSVVal,_xlfn.XLOOKUP($A275,CSV!$A:$A,CSV!K:K,""),
_xlpm.MacVal,_xlfn.XLOOKUP($A275,Output_Mac!$A:$A,Output_Mac!K:K,""),
_xlpm.MyAuditVal,_xlfn.XLOOKUP($A275,My_Audit!$A:$A,My_Audit!J:J,""),
_xlfn.IFS(_xlpm.MyAuditVal&lt;&gt;"",UPPER(_xlpm.MyAuditVal),_xlpm.MacVal&lt;&gt;"",_xlpm.MacVal,_xlpm.CSVVal&lt;&gt;"",_xlpm.CSVVal
)),"")</f>
        <v/>
      </c>
      <c r="L275" s="2" t="str" cm="1">
        <f t="array" ref="L275">IFERROR(_xlfn.LET(
_xlpm.CSVVal,_xlfn.XLOOKUP($A275,CSV!$A:$A,CSV!P:P,""),
_xlpm.MacVal,_xlfn.XLOOKUP($A275,Output_Mac!$A:$A,Output_Mac!L:L,""),
_xlpm.MyAuditVal,_xlfn.XLOOKUP($A275,My_Audit!$A:$A,My_Audit!K:K,""),
_xlfn.IFS(_xlpm.MyAuditVal&lt;&gt;"",UPPER(_xlpm.MyAuditVal),_xlpm.MacVal&lt;&gt;"",_xlpm.MacVal,_xlpm.CSVVal&lt;&gt;"",_xlpm.CSVVal
)),"")</f>
        <v/>
      </c>
      <c r="M275" s="2" t="str" cm="1">
        <f t="array" ref="M275">IFERROR(_xlfn.LET(
_xlpm.CSVVal,_xlfn.XLOOKUP($A275,CSV!$A:$A,CSV!Q:Q,""),
_xlpm.MacVal,_xlfn.XLOOKUP($A275,Output_Mac!$A:$A,Output_Mac!M:M,""),
_xlpm.MyAuditVal,_xlfn.XLOOKUP($A275,My_Audit!$A:$A,My_Audit!L:L,""),
_xlfn.IFS(_xlpm.MyAuditVal&lt;&gt;"",UPPER(_xlpm.MyAuditVal),_xlpm.MacVal&lt;&gt;"",_xlpm.MacVal,_xlpm.CSVVal&lt;&gt;"",_xlpm.CSVVal
)),"")</f>
        <v/>
      </c>
      <c r="O275" s="2" t="str">
        <f>_xlfn.LET(
    _xlpm.CSVVal, _xlfn.XLOOKUP($A275, CSV!$A:$A, CSV!AF:AF, ""),
    _xlpm.MacVal, _xlfn.XLOOKUP($A275, Output_Mac!$A:$A, Output_Mac!S:S, ""),
    _xlpm.MyAuditVal, _xlfn.XLOOKUP($A275, My_Audit!$A:$A, My_Audit!P:P, ""),
    _xlfn.TEXTJOIN(", ", TRUE, _xlpm.MyAuditVal, _xlpm.MacVal, _xlpm.CSVVal)
)</f>
        <v/>
      </c>
      <c r="P275" s="2" t="str" cm="1">
        <f t="array" ref="P275">IFERROR(_xlfn.LET(
_xlpm.CSVVal,_xlfn.XLOOKUP($A275,CSV!$A:$A,CSV!AG:AG,""),
_xlpm.MacVal,_xlfn.XLOOKUP($A275,Output_Mac!$A:$A,Output_Mac!T:T,""),
_xlpm.MyAuditVal,_xlfn.XLOOKUP($A275,My_Audit!$A:$A,My_Audit!Q:Q,""),
_xlfn.IFS(_xlpm.MyAuditVal&lt;&gt;"",UPPER(_xlpm.MyAuditVal),_xlpm.MacVal&lt;&gt;"",_xlpm.MacVal,_xlpm.CSVVal&lt;&gt;"",_xlpm.CSVVal
)),"No")</f>
        <v>No</v>
      </c>
      <c r="Q275" s="2" t="str" cm="1">
        <f t="array" ref="Q275">IFERROR(_xlfn.LET(
_xlpm.CSVVal,_xlfn.XLOOKUP($A275,CSV!$A:$A,CSV!AH:AH,""),
_xlpm.MacVal,_xlfn.XLOOKUP($A275,Output_Mac!$A:$A,Output_Mac!U:U,""),
_xlpm.MyAuditVal,_xlfn.XLOOKUP($A275,My_Audit!$A:$A,My_Audit!R:R,""),
_xlfn.IFS(_xlpm.MyAuditVal&lt;&gt;"",UPPER(_xlpm.MyAuditVal),_xlpm.MacVal&lt;&gt;"",_xlpm.MacVal,_xlpm.CSVVal&lt;&gt;"",_xlpm.CSVVal
)),"")</f>
        <v/>
      </c>
    </row>
    <row r="276" spans="1:17">
      <c r="A276" s="2" t="str">
        <f>_xlfn.TEXTJOIN("",TRUE,Input!$B$2,ROW(My_Audit!A275))</f>
        <v>XX275</v>
      </c>
      <c r="B276" s="2" t="str">
        <f>_xlfn.TEXTJOIN("-",TRUE,"ITD",Input!$A$2,A276)</f>
        <v>ITD-SHRXXX-XX275</v>
      </c>
      <c r="C276" s="2" t="str" cm="1">
        <f t="array" ref="C276">IFERROR(_xlfn.LET(
_xlpm.CSVVal,_xlfn.XLOOKUP($A276,CSV!$A:$A,CSV!B:B,""),
_xlpm.MacVal,_xlfn.XLOOKUP($A276,Output_Mac!$A:$A,Output_Mac!B:B,""),
_xlpm.MyAuditVal,_xlfn.XLOOKUP($A276,My_Audit!$A:$A,My_Audit!B:B,""),
_xlfn.IFS(_xlpm.MyAuditVal&lt;&gt;"",UPPER(_xlpm.MyAuditVal),_xlpm.MacVal&lt;&gt;"",_xlpm.MacVal,_xlpm.CSVVal&lt;&gt;"",_xlpm.CSVVal
)),"")</f>
        <v/>
      </c>
      <c r="D276" s="2" t="str" cm="1">
        <f t="array" ref="D276">IFERROR(_xlfn.LET(
_xlpm.CSVVal,_xlfn.XLOOKUP($A276,CSV!$A:$A,CSV!D:D,""),
_xlpm.MacVal,_xlfn.XLOOKUP($A276,Output_Mac!$A:$A,Output_Mac!C:C,""),
_xlpm.MyAuditVal,_xlfn.XLOOKUP($A276,My_Audit!$A:$A,My_Audit!C:C,""),
_xlfn.IFS(_xlpm.MyAuditVal&lt;&gt;"",_xlpm.MyAuditVal,_xlpm.MacVal&lt;&gt;"",_xlpm.MacVal,_xlpm.CSVVal&lt;&gt;"",_xlpm.CSVVal
)),"")</f>
        <v/>
      </c>
      <c r="E276" s="2" t="str">
        <f>_xlfn.XLOOKUP(A276,My_Audit!A:A,My_Audit!D:D,"")&amp;""</f>
        <v/>
      </c>
      <c r="F276" s="2" t="str" cm="1">
        <f t="array" ref="F276">IFERROR(_xlfn.LET(
_xlpm.CSVVal,_xlfn.XLOOKUP($A276,CSV!$A:$A,CSV!F:F,""),
_xlpm.MacVal,_xlfn.XLOOKUP($A276,Output_Mac!$A:$A,Output_Mac!E:E,""),
_xlpm.MyAuditVal,_xlfn.XLOOKUP($A276,My_Audit!$A:$A,My_Audit!E:E,""),
_xlfn.IFS(_xlpm.MyAuditVal&lt;&gt;"",_xlpm.MyAuditVal,_xlpm.MacVal&lt;&gt;"",_xlpm.MacVal,_xlpm.CSVVal&lt;&gt;"",_xlpm.CSVVal
)),"")</f>
        <v/>
      </c>
      <c r="G276" s="2" t="str" cm="1">
        <f t="array" ref="G276">IFERROR(_xlfn.LET(
_xlpm.CSVVal,_xlfn.XLOOKUP($A276,CSV!$A:$A,CSV!G:G,""),
_xlpm.MacVal,_xlfn.XLOOKUP($A276,Output_Mac!$A:$A,Output_Mac!F:F,""),
_xlpm.MyAuditVal,_xlfn.XLOOKUP($A276,My_Audit!$A:$A,My_Audit!F:F,""),
_xlfn.IFS(_xlpm.MyAuditVal&lt;&gt;"",_xlpm.MyAuditVal,_xlpm.MacVal&lt;&gt;"",_xlpm.MacVal,_xlpm.CSVVal&lt;&gt;"",PROPER(_xlpm.CSVVal)
)),"")</f>
        <v/>
      </c>
      <c r="H276" s="2" t="str" cm="1">
        <f t="array" ref="H276">IFERROR(_xlfn.LET(
_xlpm.CSVVal,_xlfn.XLOOKUP($A276,CSV!$A:$A,CSV!H:H,""),
_xlpm.MacVal,_xlfn.XLOOKUP($A276,Output_Mac!$A:$A,Output_Mac!H:H,""),
_xlpm.MyAuditVal,_xlfn.XLOOKUP($A276,My_Audit!$A:$A,My_Audit!G:G,""),
_xlfn.IFS(_xlpm.MyAuditVal&lt;&gt;"",_xlpm.MyAuditVal,_xlpm.MacVal&lt;&gt;"",_xlpm.MacVal,_xlpm.CSVVal&lt;&gt;"",_xlpm.CSVVal
)),"")</f>
        <v/>
      </c>
      <c r="I276" s="2" t="str">
        <f>_xlfn.XLOOKUP(A276,Output_Mac!A:A,Output_Mac!I:I,"")</f>
        <v/>
      </c>
      <c r="J276" s="2" t="str" cm="1">
        <f t="array" ref="J276">IFERROR(_xlfn.LET(
_xlpm.CSVVal,_xlfn.XLOOKUP($A276,CSV!$A:$A,CSV!I:I,""),
_xlpm.MacVal,_xlfn.XLOOKUP($A276,Output_Mac!$A:$A,Output_Mac!J:J,""),
_xlpm.MyAuditVal,_xlfn.XLOOKUP($A276,My_Audit!$A:$A,My_Audit!I:I,""),
_xlfn.IFS(_xlpm.MyAuditVal&lt;&gt;"",UPPER(_xlpm.MyAuditVal),_xlpm.MacVal&lt;&gt;"",_xlpm.MacVal,_xlpm.CSVVal&lt;&gt;"",_xlpm.CSVVal
)),"")</f>
        <v/>
      </c>
      <c r="K276" s="2" t="str" cm="1">
        <f t="array" ref="K276">IFERROR(_xlfn.LET(
_xlpm.CSVVal,_xlfn.XLOOKUP($A276,CSV!$A:$A,CSV!K:K,""),
_xlpm.MacVal,_xlfn.XLOOKUP($A276,Output_Mac!$A:$A,Output_Mac!K:K,""),
_xlpm.MyAuditVal,_xlfn.XLOOKUP($A276,My_Audit!$A:$A,My_Audit!J:J,""),
_xlfn.IFS(_xlpm.MyAuditVal&lt;&gt;"",UPPER(_xlpm.MyAuditVal),_xlpm.MacVal&lt;&gt;"",_xlpm.MacVal,_xlpm.CSVVal&lt;&gt;"",_xlpm.CSVVal
)),"")</f>
        <v/>
      </c>
      <c r="L276" s="2" t="str" cm="1">
        <f t="array" ref="L276">IFERROR(_xlfn.LET(
_xlpm.CSVVal,_xlfn.XLOOKUP($A276,CSV!$A:$A,CSV!P:P,""),
_xlpm.MacVal,_xlfn.XLOOKUP($A276,Output_Mac!$A:$A,Output_Mac!L:L,""),
_xlpm.MyAuditVal,_xlfn.XLOOKUP($A276,My_Audit!$A:$A,My_Audit!K:K,""),
_xlfn.IFS(_xlpm.MyAuditVal&lt;&gt;"",UPPER(_xlpm.MyAuditVal),_xlpm.MacVal&lt;&gt;"",_xlpm.MacVal,_xlpm.CSVVal&lt;&gt;"",_xlpm.CSVVal
)),"")</f>
        <v/>
      </c>
      <c r="M276" s="2" t="str" cm="1">
        <f t="array" ref="M276">IFERROR(_xlfn.LET(
_xlpm.CSVVal,_xlfn.XLOOKUP($A276,CSV!$A:$A,CSV!Q:Q,""),
_xlpm.MacVal,_xlfn.XLOOKUP($A276,Output_Mac!$A:$A,Output_Mac!M:M,""),
_xlpm.MyAuditVal,_xlfn.XLOOKUP($A276,My_Audit!$A:$A,My_Audit!L:L,""),
_xlfn.IFS(_xlpm.MyAuditVal&lt;&gt;"",UPPER(_xlpm.MyAuditVal),_xlpm.MacVal&lt;&gt;"",_xlpm.MacVal,_xlpm.CSVVal&lt;&gt;"",_xlpm.CSVVal
)),"")</f>
        <v/>
      </c>
      <c r="O276" s="2" t="str">
        <f>_xlfn.LET(
    _xlpm.CSVVal, _xlfn.XLOOKUP($A276, CSV!$A:$A, CSV!AF:AF, ""),
    _xlpm.MacVal, _xlfn.XLOOKUP($A276, Output_Mac!$A:$A, Output_Mac!S:S, ""),
    _xlpm.MyAuditVal, _xlfn.XLOOKUP($A276, My_Audit!$A:$A, My_Audit!P:P, ""),
    _xlfn.TEXTJOIN(", ", TRUE, _xlpm.MyAuditVal, _xlpm.MacVal, _xlpm.CSVVal)
)</f>
        <v/>
      </c>
      <c r="P276" s="2" t="str" cm="1">
        <f t="array" ref="P276">IFERROR(_xlfn.LET(
_xlpm.CSVVal,_xlfn.XLOOKUP($A276,CSV!$A:$A,CSV!AG:AG,""),
_xlpm.MacVal,_xlfn.XLOOKUP($A276,Output_Mac!$A:$A,Output_Mac!T:T,""),
_xlpm.MyAuditVal,_xlfn.XLOOKUP($A276,My_Audit!$A:$A,My_Audit!Q:Q,""),
_xlfn.IFS(_xlpm.MyAuditVal&lt;&gt;"",UPPER(_xlpm.MyAuditVal),_xlpm.MacVal&lt;&gt;"",_xlpm.MacVal,_xlpm.CSVVal&lt;&gt;"",_xlpm.CSVVal
)),"No")</f>
        <v>No</v>
      </c>
      <c r="Q276" s="2" t="str" cm="1">
        <f t="array" ref="Q276">IFERROR(_xlfn.LET(
_xlpm.CSVVal,_xlfn.XLOOKUP($A276,CSV!$A:$A,CSV!AH:AH,""),
_xlpm.MacVal,_xlfn.XLOOKUP($A276,Output_Mac!$A:$A,Output_Mac!U:U,""),
_xlpm.MyAuditVal,_xlfn.XLOOKUP($A276,My_Audit!$A:$A,My_Audit!R:R,""),
_xlfn.IFS(_xlpm.MyAuditVal&lt;&gt;"",UPPER(_xlpm.MyAuditVal),_xlpm.MacVal&lt;&gt;"",_xlpm.MacVal,_xlpm.CSVVal&lt;&gt;"",_xlpm.CSVVal
)),"")</f>
        <v/>
      </c>
    </row>
    <row r="277" spans="1:17">
      <c r="A277" s="2" t="str">
        <f>_xlfn.TEXTJOIN("",TRUE,Input!$B$2,ROW(My_Audit!A276))</f>
        <v>XX276</v>
      </c>
      <c r="B277" s="2" t="str">
        <f>_xlfn.TEXTJOIN("-",TRUE,"ITD",Input!$A$2,A277)</f>
        <v>ITD-SHRXXX-XX276</v>
      </c>
      <c r="C277" s="2" t="str" cm="1">
        <f t="array" ref="C277">IFERROR(_xlfn.LET(
_xlpm.CSVVal,_xlfn.XLOOKUP($A277,CSV!$A:$A,CSV!B:B,""),
_xlpm.MacVal,_xlfn.XLOOKUP($A277,Output_Mac!$A:$A,Output_Mac!B:B,""),
_xlpm.MyAuditVal,_xlfn.XLOOKUP($A277,My_Audit!$A:$A,My_Audit!B:B,""),
_xlfn.IFS(_xlpm.MyAuditVal&lt;&gt;"",UPPER(_xlpm.MyAuditVal),_xlpm.MacVal&lt;&gt;"",_xlpm.MacVal,_xlpm.CSVVal&lt;&gt;"",_xlpm.CSVVal
)),"")</f>
        <v/>
      </c>
      <c r="D277" s="2" t="str" cm="1">
        <f t="array" ref="D277">IFERROR(_xlfn.LET(
_xlpm.CSVVal,_xlfn.XLOOKUP($A277,CSV!$A:$A,CSV!D:D,""),
_xlpm.MacVal,_xlfn.XLOOKUP($A277,Output_Mac!$A:$A,Output_Mac!C:C,""),
_xlpm.MyAuditVal,_xlfn.XLOOKUP($A277,My_Audit!$A:$A,My_Audit!C:C,""),
_xlfn.IFS(_xlpm.MyAuditVal&lt;&gt;"",_xlpm.MyAuditVal,_xlpm.MacVal&lt;&gt;"",_xlpm.MacVal,_xlpm.CSVVal&lt;&gt;"",_xlpm.CSVVal
)),"")</f>
        <v/>
      </c>
      <c r="E277" s="2" t="str">
        <f>_xlfn.XLOOKUP(A277,My_Audit!A:A,My_Audit!D:D,"")&amp;""</f>
        <v/>
      </c>
      <c r="F277" s="2" t="str" cm="1">
        <f t="array" ref="F277">IFERROR(_xlfn.LET(
_xlpm.CSVVal,_xlfn.XLOOKUP($A277,CSV!$A:$A,CSV!F:F,""),
_xlpm.MacVal,_xlfn.XLOOKUP($A277,Output_Mac!$A:$A,Output_Mac!E:E,""),
_xlpm.MyAuditVal,_xlfn.XLOOKUP($A277,My_Audit!$A:$A,My_Audit!E:E,""),
_xlfn.IFS(_xlpm.MyAuditVal&lt;&gt;"",_xlpm.MyAuditVal,_xlpm.MacVal&lt;&gt;"",_xlpm.MacVal,_xlpm.CSVVal&lt;&gt;"",_xlpm.CSVVal
)),"")</f>
        <v/>
      </c>
      <c r="G277" s="2" t="str" cm="1">
        <f t="array" ref="G277">IFERROR(_xlfn.LET(
_xlpm.CSVVal,_xlfn.XLOOKUP($A277,CSV!$A:$A,CSV!G:G,""),
_xlpm.MacVal,_xlfn.XLOOKUP($A277,Output_Mac!$A:$A,Output_Mac!F:F,""),
_xlpm.MyAuditVal,_xlfn.XLOOKUP($A277,My_Audit!$A:$A,My_Audit!F:F,""),
_xlfn.IFS(_xlpm.MyAuditVal&lt;&gt;"",_xlpm.MyAuditVal,_xlpm.MacVal&lt;&gt;"",_xlpm.MacVal,_xlpm.CSVVal&lt;&gt;"",PROPER(_xlpm.CSVVal)
)),"")</f>
        <v/>
      </c>
      <c r="H277" s="2" t="str" cm="1">
        <f t="array" ref="H277">IFERROR(_xlfn.LET(
_xlpm.CSVVal,_xlfn.XLOOKUP($A277,CSV!$A:$A,CSV!H:H,""),
_xlpm.MacVal,_xlfn.XLOOKUP($A277,Output_Mac!$A:$A,Output_Mac!H:H,""),
_xlpm.MyAuditVal,_xlfn.XLOOKUP($A277,My_Audit!$A:$A,My_Audit!G:G,""),
_xlfn.IFS(_xlpm.MyAuditVal&lt;&gt;"",_xlpm.MyAuditVal,_xlpm.MacVal&lt;&gt;"",_xlpm.MacVal,_xlpm.CSVVal&lt;&gt;"",_xlpm.CSVVal
)),"")</f>
        <v/>
      </c>
      <c r="I277" s="2" t="str">
        <f>_xlfn.XLOOKUP(A277,Output_Mac!A:A,Output_Mac!I:I,"")</f>
        <v/>
      </c>
      <c r="J277" s="2" t="str" cm="1">
        <f t="array" ref="J277">IFERROR(_xlfn.LET(
_xlpm.CSVVal,_xlfn.XLOOKUP($A277,CSV!$A:$A,CSV!I:I,""),
_xlpm.MacVal,_xlfn.XLOOKUP($A277,Output_Mac!$A:$A,Output_Mac!J:J,""),
_xlpm.MyAuditVal,_xlfn.XLOOKUP($A277,My_Audit!$A:$A,My_Audit!I:I,""),
_xlfn.IFS(_xlpm.MyAuditVal&lt;&gt;"",UPPER(_xlpm.MyAuditVal),_xlpm.MacVal&lt;&gt;"",_xlpm.MacVal,_xlpm.CSVVal&lt;&gt;"",_xlpm.CSVVal
)),"")</f>
        <v/>
      </c>
      <c r="K277" s="2" t="str" cm="1">
        <f t="array" ref="K277">IFERROR(_xlfn.LET(
_xlpm.CSVVal,_xlfn.XLOOKUP($A277,CSV!$A:$A,CSV!K:K,""),
_xlpm.MacVal,_xlfn.XLOOKUP($A277,Output_Mac!$A:$A,Output_Mac!K:K,""),
_xlpm.MyAuditVal,_xlfn.XLOOKUP($A277,My_Audit!$A:$A,My_Audit!J:J,""),
_xlfn.IFS(_xlpm.MyAuditVal&lt;&gt;"",UPPER(_xlpm.MyAuditVal),_xlpm.MacVal&lt;&gt;"",_xlpm.MacVal,_xlpm.CSVVal&lt;&gt;"",_xlpm.CSVVal
)),"")</f>
        <v/>
      </c>
      <c r="L277" s="2" t="str" cm="1">
        <f t="array" ref="L277">IFERROR(_xlfn.LET(
_xlpm.CSVVal,_xlfn.XLOOKUP($A277,CSV!$A:$A,CSV!P:P,""),
_xlpm.MacVal,_xlfn.XLOOKUP($A277,Output_Mac!$A:$A,Output_Mac!L:L,""),
_xlpm.MyAuditVal,_xlfn.XLOOKUP($A277,My_Audit!$A:$A,My_Audit!K:K,""),
_xlfn.IFS(_xlpm.MyAuditVal&lt;&gt;"",UPPER(_xlpm.MyAuditVal),_xlpm.MacVal&lt;&gt;"",_xlpm.MacVal,_xlpm.CSVVal&lt;&gt;"",_xlpm.CSVVal
)),"")</f>
        <v/>
      </c>
      <c r="M277" s="2" t="str" cm="1">
        <f t="array" ref="M277">IFERROR(_xlfn.LET(
_xlpm.CSVVal,_xlfn.XLOOKUP($A277,CSV!$A:$A,CSV!Q:Q,""),
_xlpm.MacVal,_xlfn.XLOOKUP($A277,Output_Mac!$A:$A,Output_Mac!M:M,""),
_xlpm.MyAuditVal,_xlfn.XLOOKUP($A277,My_Audit!$A:$A,My_Audit!L:L,""),
_xlfn.IFS(_xlpm.MyAuditVal&lt;&gt;"",UPPER(_xlpm.MyAuditVal),_xlpm.MacVal&lt;&gt;"",_xlpm.MacVal,_xlpm.CSVVal&lt;&gt;"",_xlpm.CSVVal
)),"")</f>
        <v/>
      </c>
      <c r="O277" s="2" t="str">
        <f>_xlfn.LET(
    _xlpm.CSVVal, _xlfn.XLOOKUP($A277, CSV!$A:$A, CSV!AF:AF, ""),
    _xlpm.MacVal, _xlfn.XLOOKUP($A277, Output_Mac!$A:$A, Output_Mac!S:S, ""),
    _xlpm.MyAuditVal, _xlfn.XLOOKUP($A277, My_Audit!$A:$A, My_Audit!P:P, ""),
    _xlfn.TEXTJOIN(", ", TRUE, _xlpm.MyAuditVal, _xlpm.MacVal, _xlpm.CSVVal)
)</f>
        <v/>
      </c>
      <c r="P277" s="2" t="str" cm="1">
        <f t="array" ref="P277">IFERROR(_xlfn.LET(
_xlpm.CSVVal,_xlfn.XLOOKUP($A277,CSV!$A:$A,CSV!AG:AG,""),
_xlpm.MacVal,_xlfn.XLOOKUP($A277,Output_Mac!$A:$A,Output_Mac!T:T,""),
_xlpm.MyAuditVal,_xlfn.XLOOKUP($A277,My_Audit!$A:$A,My_Audit!Q:Q,""),
_xlfn.IFS(_xlpm.MyAuditVal&lt;&gt;"",UPPER(_xlpm.MyAuditVal),_xlpm.MacVal&lt;&gt;"",_xlpm.MacVal,_xlpm.CSVVal&lt;&gt;"",_xlpm.CSVVal
)),"No")</f>
        <v>No</v>
      </c>
      <c r="Q277" s="2" t="str" cm="1">
        <f t="array" ref="Q277">IFERROR(_xlfn.LET(
_xlpm.CSVVal,_xlfn.XLOOKUP($A277,CSV!$A:$A,CSV!AH:AH,""),
_xlpm.MacVal,_xlfn.XLOOKUP($A277,Output_Mac!$A:$A,Output_Mac!U:U,""),
_xlpm.MyAuditVal,_xlfn.XLOOKUP($A277,My_Audit!$A:$A,My_Audit!R:R,""),
_xlfn.IFS(_xlpm.MyAuditVal&lt;&gt;"",UPPER(_xlpm.MyAuditVal),_xlpm.MacVal&lt;&gt;"",_xlpm.MacVal,_xlpm.CSVVal&lt;&gt;"",_xlpm.CSVVal
)),"")</f>
        <v/>
      </c>
    </row>
    <row r="278" spans="1:17">
      <c r="A278" s="2" t="str">
        <f>_xlfn.TEXTJOIN("",TRUE,Input!$B$2,ROW(My_Audit!A277))</f>
        <v>XX277</v>
      </c>
      <c r="B278" s="2" t="str">
        <f>_xlfn.TEXTJOIN("-",TRUE,"ITD",Input!$A$2,A278)</f>
        <v>ITD-SHRXXX-XX277</v>
      </c>
      <c r="C278" s="2" t="str" cm="1">
        <f t="array" ref="C278">IFERROR(_xlfn.LET(
_xlpm.CSVVal,_xlfn.XLOOKUP($A278,CSV!$A:$A,CSV!B:B,""),
_xlpm.MacVal,_xlfn.XLOOKUP($A278,Output_Mac!$A:$A,Output_Mac!B:B,""),
_xlpm.MyAuditVal,_xlfn.XLOOKUP($A278,My_Audit!$A:$A,My_Audit!B:B,""),
_xlfn.IFS(_xlpm.MyAuditVal&lt;&gt;"",UPPER(_xlpm.MyAuditVal),_xlpm.MacVal&lt;&gt;"",_xlpm.MacVal,_xlpm.CSVVal&lt;&gt;"",_xlpm.CSVVal
)),"")</f>
        <v/>
      </c>
      <c r="D278" s="2" t="str" cm="1">
        <f t="array" ref="D278">IFERROR(_xlfn.LET(
_xlpm.CSVVal,_xlfn.XLOOKUP($A278,CSV!$A:$A,CSV!D:D,""),
_xlpm.MacVal,_xlfn.XLOOKUP($A278,Output_Mac!$A:$A,Output_Mac!C:C,""),
_xlpm.MyAuditVal,_xlfn.XLOOKUP($A278,My_Audit!$A:$A,My_Audit!C:C,""),
_xlfn.IFS(_xlpm.MyAuditVal&lt;&gt;"",_xlpm.MyAuditVal,_xlpm.MacVal&lt;&gt;"",_xlpm.MacVal,_xlpm.CSVVal&lt;&gt;"",_xlpm.CSVVal
)),"")</f>
        <v/>
      </c>
      <c r="E278" s="2" t="str">
        <f>_xlfn.XLOOKUP(A278,My_Audit!A:A,My_Audit!D:D,"")&amp;""</f>
        <v/>
      </c>
      <c r="F278" s="2" t="str" cm="1">
        <f t="array" ref="F278">IFERROR(_xlfn.LET(
_xlpm.CSVVal,_xlfn.XLOOKUP($A278,CSV!$A:$A,CSV!F:F,""),
_xlpm.MacVal,_xlfn.XLOOKUP($A278,Output_Mac!$A:$A,Output_Mac!E:E,""),
_xlpm.MyAuditVal,_xlfn.XLOOKUP($A278,My_Audit!$A:$A,My_Audit!E:E,""),
_xlfn.IFS(_xlpm.MyAuditVal&lt;&gt;"",_xlpm.MyAuditVal,_xlpm.MacVal&lt;&gt;"",_xlpm.MacVal,_xlpm.CSVVal&lt;&gt;"",_xlpm.CSVVal
)),"")</f>
        <v/>
      </c>
      <c r="G278" s="2" t="str" cm="1">
        <f t="array" ref="G278">IFERROR(_xlfn.LET(
_xlpm.CSVVal,_xlfn.XLOOKUP($A278,CSV!$A:$A,CSV!G:G,""),
_xlpm.MacVal,_xlfn.XLOOKUP($A278,Output_Mac!$A:$A,Output_Mac!F:F,""),
_xlpm.MyAuditVal,_xlfn.XLOOKUP($A278,My_Audit!$A:$A,My_Audit!F:F,""),
_xlfn.IFS(_xlpm.MyAuditVal&lt;&gt;"",_xlpm.MyAuditVal,_xlpm.MacVal&lt;&gt;"",_xlpm.MacVal,_xlpm.CSVVal&lt;&gt;"",PROPER(_xlpm.CSVVal)
)),"")</f>
        <v/>
      </c>
      <c r="H278" s="2" t="str" cm="1">
        <f t="array" ref="H278">IFERROR(_xlfn.LET(
_xlpm.CSVVal,_xlfn.XLOOKUP($A278,CSV!$A:$A,CSV!H:H,""),
_xlpm.MacVal,_xlfn.XLOOKUP($A278,Output_Mac!$A:$A,Output_Mac!H:H,""),
_xlpm.MyAuditVal,_xlfn.XLOOKUP($A278,My_Audit!$A:$A,My_Audit!G:G,""),
_xlfn.IFS(_xlpm.MyAuditVal&lt;&gt;"",_xlpm.MyAuditVal,_xlpm.MacVal&lt;&gt;"",_xlpm.MacVal,_xlpm.CSVVal&lt;&gt;"",_xlpm.CSVVal
)),"")</f>
        <v/>
      </c>
      <c r="I278" s="2" t="str">
        <f>_xlfn.XLOOKUP(A278,Output_Mac!A:A,Output_Mac!I:I,"")</f>
        <v/>
      </c>
      <c r="J278" s="2" t="str" cm="1">
        <f t="array" ref="J278">IFERROR(_xlfn.LET(
_xlpm.CSVVal,_xlfn.XLOOKUP($A278,CSV!$A:$A,CSV!I:I,""),
_xlpm.MacVal,_xlfn.XLOOKUP($A278,Output_Mac!$A:$A,Output_Mac!J:J,""),
_xlpm.MyAuditVal,_xlfn.XLOOKUP($A278,My_Audit!$A:$A,My_Audit!I:I,""),
_xlfn.IFS(_xlpm.MyAuditVal&lt;&gt;"",UPPER(_xlpm.MyAuditVal),_xlpm.MacVal&lt;&gt;"",_xlpm.MacVal,_xlpm.CSVVal&lt;&gt;"",_xlpm.CSVVal
)),"")</f>
        <v/>
      </c>
      <c r="K278" s="2" t="str" cm="1">
        <f t="array" ref="K278">IFERROR(_xlfn.LET(
_xlpm.CSVVal,_xlfn.XLOOKUP($A278,CSV!$A:$A,CSV!K:K,""),
_xlpm.MacVal,_xlfn.XLOOKUP($A278,Output_Mac!$A:$A,Output_Mac!K:K,""),
_xlpm.MyAuditVal,_xlfn.XLOOKUP($A278,My_Audit!$A:$A,My_Audit!J:J,""),
_xlfn.IFS(_xlpm.MyAuditVal&lt;&gt;"",UPPER(_xlpm.MyAuditVal),_xlpm.MacVal&lt;&gt;"",_xlpm.MacVal,_xlpm.CSVVal&lt;&gt;"",_xlpm.CSVVal
)),"")</f>
        <v/>
      </c>
      <c r="L278" s="2" t="str" cm="1">
        <f t="array" ref="L278">IFERROR(_xlfn.LET(
_xlpm.CSVVal,_xlfn.XLOOKUP($A278,CSV!$A:$A,CSV!P:P,""),
_xlpm.MacVal,_xlfn.XLOOKUP($A278,Output_Mac!$A:$A,Output_Mac!L:L,""),
_xlpm.MyAuditVal,_xlfn.XLOOKUP($A278,My_Audit!$A:$A,My_Audit!K:K,""),
_xlfn.IFS(_xlpm.MyAuditVal&lt;&gt;"",UPPER(_xlpm.MyAuditVal),_xlpm.MacVal&lt;&gt;"",_xlpm.MacVal,_xlpm.CSVVal&lt;&gt;"",_xlpm.CSVVal
)),"")</f>
        <v/>
      </c>
      <c r="M278" s="2" t="str" cm="1">
        <f t="array" ref="M278">IFERROR(_xlfn.LET(
_xlpm.CSVVal,_xlfn.XLOOKUP($A278,CSV!$A:$A,CSV!Q:Q,""),
_xlpm.MacVal,_xlfn.XLOOKUP($A278,Output_Mac!$A:$A,Output_Mac!M:M,""),
_xlpm.MyAuditVal,_xlfn.XLOOKUP($A278,My_Audit!$A:$A,My_Audit!L:L,""),
_xlfn.IFS(_xlpm.MyAuditVal&lt;&gt;"",UPPER(_xlpm.MyAuditVal),_xlpm.MacVal&lt;&gt;"",_xlpm.MacVal,_xlpm.CSVVal&lt;&gt;"",_xlpm.CSVVal
)),"")</f>
        <v/>
      </c>
      <c r="O278" s="2" t="str">
        <f>_xlfn.LET(
    _xlpm.CSVVal, _xlfn.XLOOKUP($A278, CSV!$A:$A, CSV!AF:AF, ""),
    _xlpm.MacVal, _xlfn.XLOOKUP($A278, Output_Mac!$A:$A, Output_Mac!S:S, ""),
    _xlpm.MyAuditVal, _xlfn.XLOOKUP($A278, My_Audit!$A:$A, My_Audit!P:P, ""),
    _xlfn.TEXTJOIN(", ", TRUE, _xlpm.MyAuditVal, _xlpm.MacVal, _xlpm.CSVVal)
)</f>
        <v/>
      </c>
      <c r="P278" s="2" t="str" cm="1">
        <f t="array" ref="P278">IFERROR(_xlfn.LET(
_xlpm.CSVVal,_xlfn.XLOOKUP($A278,CSV!$A:$A,CSV!AG:AG,""),
_xlpm.MacVal,_xlfn.XLOOKUP($A278,Output_Mac!$A:$A,Output_Mac!T:T,""),
_xlpm.MyAuditVal,_xlfn.XLOOKUP($A278,My_Audit!$A:$A,My_Audit!Q:Q,""),
_xlfn.IFS(_xlpm.MyAuditVal&lt;&gt;"",UPPER(_xlpm.MyAuditVal),_xlpm.MacVal&lt;&gt;"",_xlpm.MacVal,_xlpm.CSVVal&lt;&gt;"",_xlpm.CSVVal
)),"No")</f>
        <v>No</v>
      </c>
      <c r="Q278" s="2" t="str" cm="1">
        <f t="array" ref="Q278">IFERROR(_xlfn.LET(
_xlpm.CSVVal,_xlfn.XLOOKUP($A278,CSV!$A:$A,CSV!AH:AH,""),
_xlpm.MacVal,_xlfn.XLOOKUP($A278,Output_Mac!$A:$A,Output_Mac!U:U,""),
_xlpm.MyAuditVal,_xlfn.XLOOKUP($A278,My_Audit!$A:$A,My_Audit!R:R,""),
_xlfn.IFS(_xlpm.MyAuditVal&lt;&gt;"",UPPER(_xlpm.MyAuditVal),_xlpm.MacVal&lt;&gt;"",_xlpm.MacVal,_xlpm.CSVVal&lt;&gt;"",_xlpm.CSVVal
)),"")</f>
        <v/>
      </c>
    </row>
    <row r="279" spans="1:17">
      <c r="A279" s="2" t="str">
        <f>_xlfn.TEXTJOIN("",TRUE,Input!$B$2,ROW(My_Audit!A278))</f>
        <v>XX278</v>
      </c>
      <c r="B279" s="2" t="str">
        <f>_xlfn.TEXTJOIN("-",TRUE,"ITD",Input!$A$2,A279)</f>
        <v>ITD-SHRXXX-XX278</v>
      </c>
      <c r="C279" s="2" t="str" cm="1">
        <f t="array" ref="C279">IFERROR(_xlfn.LET(
_xlpm.CSVVal,_xlfn.XLOOKUP($A279,CSV!$A:$A,CSV!B:B,""),
_xlpm.MacVal,_xlfn.XLOOKUP($A279,Output_Mac!$A:$A,Output_Mac!B:B,""),
_xlpm.MyAuditVal,_xlfn.XLOOKUP($A279,My_Audit!$A:$A,My_Audit!B:B,""),
_xlfn.IFS(_xlpm.MyAuditVal&lt;&gt;"",UPPER(_xlpm.MyAuditVal),_xlpm.MacVal&lt;&gt;"",_xlpm.MacVal,_xlpm.CSVVal&lt;&gt;"",_xlpm.CSVVal
)),"")</f>
        <v/>
      </c>
      <c r="D279" s="2" t="str" cm="1">
        <f t="array" ref="D279">IFERROR(_xlfn.LET(
_xlpm.CSVVal,_xlfn.XLOOKUP($A279,CSV!$A:$A,CSV!D:D,""),
_xlpm.MacVal,_xlfn.XLOOKUP($A279,Output_Mac!$A:$A,Output_Mac!C:C,""),
_xlpm.MyAuditVal,_xlfn.XLOOKUP($A279,My_Audit!$A:$A,My_Audit!C:C,""),
_xlfn.IFS(_xlpm.MyAuditVal&lt;&gt;"",_xlpm.MyAuditVal,_xlpm.MacVal&lt;&gt;"",_xlpm.MacVal,_xlpm.CSVVal&lt;&gt;"",_xlpm.CSVVal
)),"")</f>
        <v/>
      </c>
      <c r="E279" s="2" t="str">
        <f>_xlfn.XLOOKUP(A279,My_Audit!A:A,My_Audit!D:D,"")&amp;""</f>
        <v/>
      </c>
      <c r="F279" s="2" t="str" cm="1">
        <f t="array" ref="F279">IFERROR(_xlfn.LET(
_xlpm.CSVVal,_xlfn.XLOOKUP($A279,CSV!$A:$A,CSV!F:F,""),
_xlpm.MacVal,_xlfn.XLOOKUP($A279,Output_Mac!$A:$A,Output_Mac!E:E,""),
_xlpm.MyAuditVal,_xlfn.XLOOKUP($A279,My_Audit!$A:$A,My_Audit!E:E,""),
_xlfn.IFS(_xlpm.MyAuditVal&lt;&gt;"",_xlpm.MyAuditVal,_xlpm.MacVal&lt;&gt;"",_xlpm.MacVal,_xlpm.CSVVal&lt;&gt;"",_xlpm.CSVVal
)),"")</f>
        <v/>
      </c>
      <c r="G279" s="2" t="str" cm="1">
        <f t="array" ref="G279">IFERROR(_xlfn.LET(
_xlpm.CSVVal,_xlfn.XLOOKUP($A279,CSV!$A:$A,CSV!G:G,""),
_xlpm.MacVal,_xlfn.XLOOKUP($A279,Output_Mac!$A:$A,Output_Mac!F:F,""),
_xlpm.MyAuditVal,_xlfn.XLOOKUP($A279,My_Audit!$A:$A,My_Audit!F:F,""),
_xlfn.IFS(_xlpm.MyAuditVal&lt;&gt;"",_xlpm.MyAuditVal,_xlpm.MacVal&lt;&gt;"",_xlpm.MacVal,_xlpm.CSVVal&lt;&gt;"",PROPER(_xlpm.CSVVal)
)),"")</f>
        <v/>
      </c>
      <c r="H279" s="2" t="str" cm="1">
        <f t="array" ref="H279">IFERROR(_xlfn.LET(
_xlpm.CSVVal,_xlfn.XLOOKUP($A279,CSV!$A:$A,CSV!H:H,""),
_xlpm.MacVal,_xlfn.XLOOKUP($A279,Output_Mac!$A:$A,Output_Mac!H:H,""),
_xlpm.MyAuditVal,_xlfn.XLOOKUP($A279,My_Audit!$A:$A,My_Audit!G:G,""),
_xlfn.IFS(_xlpm.MyAuditVal&lt;&gt;"",_xlpm.MyAuditVal,_xlpm.MacVal&lt;&gt;"",_xlpm.MacVal,_xlpm.CSVVal&lt;&gt;"",_xlpm.CSVVal
)),"")</f>
        <v/>
      </c>
      <c r="I279" s="2" t="str">
        <f>_xlfn.XLOOKUP(A279,Output_Mac!A:A,Output_Mac!I:I,"")</f>
        <v/>
      </c>
      <c r="J279" s="2" t="str" cm="1">
        <f t="array" ref="J279">IFERROR(_xlfn.LET(
_xlpm.CSVVal,_xlfn.XLOOKUP($A279,CSV!$A:$A,CSV!I:I,""),
_xlpm.MacVal,_xlfn.XLOOKUP($A279,Output_Mac!$A:$A,Output_Mac!J:J,""),
_xlpm.MyAuditVal,_xlfn.XLOOKUP($A279,My_Audit!$A:$A,My_Audit!I:I,""),
_xlfn.IFS(_xlpm.MyAuditVal&lt;&gt;"",UPPER(_xlpm.MyAuditVal),_xlpm.MacVal&lt;&gt;"",_xlpm.MacVal,_xlpm.CSVVal&lt;&gt;"",_xlpm.CSVVal
)),"")</f>
        <v/>
      </c>
      <c r="K279" s="2" t="str" cm="1">
        <f t="array" ref="K279">IFERROR(_xlfn.LET(
_xlpm.CSVVal,_xlfn.XLOOKUP($A279,CSV!$A:$A,CSV!K:K,""),
_xlpm.MacVal,_xlfn.XLOOKUP($A279,Output_Mac!$A:$A,Output_Mac!K:K,""),
_xlpm.MyAuditVal,_xlfn.XLOOKUP($A279,My_Audit!$A:$A,My_Audit!J:J,""),
_xlfn.IFS(_xlpm.MyAuditVal&lt;&gt;"",UPPER(_xlpm.MyAuditVal),_xlpm.MacVal&lt;&gt;"",_xlpm.MacVal,_xlpm.CSVVal&lt;&gt;"",_xlpm.CSVVal
)),"")</f>
        <v/>
      </c>
      <c r="L279" s="2" t="str" cm="1">
        <f t="array" ref="L279">IFERROR(_xlfn.LET(
_xlpm.CSVVal,_xlfn.XLOOKUP($A279,CSV!$A:$A,CSV!P:P,""),
_xlpm.MacVal,_xlfn.XLOOKUP($A279,Output_Mac!$A:$A,Output_Mac!L:L,""),
_xlpm.MyAuditVal,_xlfn.XLOOKUP($A279,My_Audit!$A:$A,My_Audit!K:K,""),
_xlfn.IFS(_xlpm.MyAuditVal&lt;&gt;"",UPPER(_xlpm.MyAuditVal),_xlpm.MacVal&lt;&gt;"",_xlpm.MacVal,_xlpm.CSVVal&lt;&gt;"",_xlpm.CSVVal
)),"")</f>
        <v/>
      </c>
      <c r="M279" s="2" t="str" cm="1">
        <f t="array" ref="M279">IFERROR(_xlfn.LET(
_xlpm.CSVVal,_xlfn.XLOOKUP($A279,CSV!$A:$A,CSV!Q:Q,""),
_xlpm.MacVal,_xlfn.XLOOKUP($A279,Output_Mac!$A:$A,Output_Mac!M:M,""),
_xlpm.MyAuditVal,_xlfn.XLOOKUP($A279,My_Audit!$A:$A,My_Audit!L:L,""),
_xlfn.IFS(_xlpm.MyAuditVal&lt;&gt;"",UPPER(_xlpm.MyAuditVal),_xlpm.MacVal&lt;&gt;"",_xlpm.MacVal,_xlpm.CSVVal&lt;&gt;"",_xlpm.CSVVal
)),"")</f>
        <v/>
      </c>
      <c r="O279" s="2" t="str">
        <f>_xlfn.LET(
    _xlpm.CSVVal, _xlfn.XLOOKUP($A279, CSV!$A:$A, CSV!AF:AF, ""),
    _xlpm.MacVal, _xlfn.XLOOKUP($A279, Output_Mac!$A:$A, Output_Mac!S:S, ""),
    _xlpm.MyAuditVal, _xlfn.XLOOKUP($A279, My_Audit!$A:$A, My_Audit!P:P, ""),
    _xlfn.TEXTJOIN(", ", TRUE, _xlpm.MyAuditVal, _xlpm.MacVal, _xlpm.CSVVal)
)</f>
        <v/>
      </c>
      <c r="P279" s="2" t="str" cm="1">
        <f t="array" ref="P279">IFERROR(_xlfn.LET(
_xlpm.CSVVal,_xlfn.XLOOKUP($A279,CSV!$A:$A,CSV!AG:AG,""),
_xlpm.MacVal,_xlfn.XLOOKUP($A279,Output_Mac!$A:$A,Output_Mac!T:T,""),
_xlpm.MyAuditVal,_xlfn.XLOOKUP($A279,My_Audit!$A:$A,My_Audit!Q:Q,""),
_xlfn.IFS(_xlpm.MyAuditVal&lt;&gt;"",UPPER(_xlpm.MyAuditVal),_xlpm.MacVal&lt;&gt;"",_xlpm.MacVal,_xlpm.CSVVal&lt;&gt;"",_xlpm.CSVVal
)),"No")</f>
        <v>No</v>
      </c>
      <c r="Q279" s="2" t="str" cm="1">
        <f t="array" ref="Q279">IFERROR(_xlfn.LET(
_xlpm.CSVVal,_xlfn.XLOOKUP($A279,CSV!$A:$A,CSV!AH:AH,""),
_xlpm.MacVal,_xlfn.XLOOKUP($A279,Output_Mac!$A:$A,Output_Mac!U:U,""),
_xlpm.MyAuditVal,_xlfn.XLOOKUP($A279,My_Audit!$A:$A,My_Audit!R:R,""),
_xlfn.IFS(_xlpm.MyAuditVal&lt;&gt;"",UPPER(_xlpm.MyAuditVal),_xlpm.MacVal&lt;&gt;"",_xlpm.MacVal,_xlpm.CSVVal&lt;&gt;"",_xlpm.CSVVal
)),"")</f>
        <v/>
      </c>
    </row>
    <row r="280" spans="1:17">
      <c r="A280" s="2" t="str">
        <f>_xlfn.TEXTJOIN("",TRUE,Input!$B$2,ROW(My_Audit!A279))</f>
        <v>XX279</v>
      </c>
      <c r="B280" s="2" t="str">
        <f>_xlfn.TEXTJOIN("-",TRUE,"ITD",Input!$A$2,A280)</f>
        <v>ITD-SHRXXX-XX279</v>
      </c>
      <c r="C280" s="2" t="str" cm="1">
        <f t="array" ref="C280">IFERROR(_xlfn.LET(
_xlpm.CSVVal,_xlfn.XLOOKUP($A280,CSV!$A:$A,CSV!B:B,""),
_xlpm.MacVal,_xlfn.XLOOKUP($A280,Output_Mac!$A:$A,Output_Mac!B:B,""),
_xlpm.MyAuditVal,_xlfn.XLOOKUP($A280,My_Audit!$A:$A,My_Audit!B:B,""),
_xlfn.IFS(_xlpm.MyAuditVal&lt;&gt;"",UPPER(_xlpm.MyAuditVal),_xlpm.MacVal&lt;&gt;"",_xlpm.MacVal,_xlpm.CSVVal&lt;&gt;"",_xlpm.CSVVal
)),"")</f>
        <v/>
      </c>
      <c r="D280" s="2" t="str" cm="1">
        <f t="array" ref="D280">IFERROR(_xlfn.LET(
_xlpm.CSVVal,_xlfn.XLOOKUP($A280,CSV!$A:$A,CSV!D:D,""),
_xlpm.MacVal,_xlfn.XLOOKUP($A280,Output_Mac!$A:$A,Output_Mac!C:C,""),
_xlpm.MyAuditVal,_xlfn.XLOOKUP($A280,My_Audit!$A:$A,My_Audit!C:C,""),
_xlfn.IFS(_xlpm.MyAuditVal&lt;&gt;"",_xlpm.MyAuditVal,_xlpm.MacVal&lt;&gt;"",_xlpm.MacVal,_xlpm.CSVVal&lt;&gt;"",_xlpm.CSVVal
)),"")</f>
        <v/>
      </c>
      <c r="E280" s="2" t="str">
        <f>_xlfn.XLOOKUP(A280,My_Audit!A:A,My_Audit!D:D,"")&amp;""</f>
        <v/>
      </c>
      <c r="F280" s="2" t="str" cm="1">
        <f t="array" ref="F280">IFERROR(_xlfn.LET(
_xlpm.CSVVal,_xlfn.XLOOKUP($A280,CSV!$A:$A,CSV!F:F,""),
_xlpm.MacVal,_xlfn.XLOOKUP($A280,Output_Mac!$A:$A,Output_Mac!E:E,""),
_xlpm.MyAuditVal,_xlfn.XLOOKUP($A280,My_Audit!$A:$A,My_Audit!E:E,""),
_xlfn.IFS(_xlpm.MyAuditVal&lt;&gt;"",_xlpm.MyAuditVal,_xlpm.MacVal&lt;&gt;"",_xlpm.MacVal,_xlpm.CSVVal&lt;&gt;"",_xlpm.CSVVal
)),"")</f>
        <v/>
      </c>
      <c r="G280" s="2" t="str" cm="1">
        <f t="array" ref="G280">IFERROR(_xlfn.LET(
_xlpm.CSVVal,_xlfn.XLOOKUP($A280,CSV!$A:$A,CSV!G:G,""),
_xlpm.MacVal,_xlfn.XLOOKUP($A280,Output_Mac!$A:$A,Output_Mac!F:F,""),
_xlpm.MyAuditVal,_xlfn.XLOOKUP($A280,My_Audit!$A:$A,My_Audit!F:F,""),
_xlfn.IFS(_xlpm.MyAuditVal&lt;&gt;"",_xlpm.MyAuditVal,_xlpm.MacVal&lt;&gt;"",_xlpm.MacVal,_xlpm.CSVVal&lt;&gt;"",PROPER(_xlpm.CSVVal)
)),"")</f>
        <v/>
      </c>
      <c r="H280" s="2" t="str" cm="1">
        <f t="array" ref="H280">IFERROR(_xlfn.LET(
_xlpm.CSVVal,_xlfn.XLOOKUP($A280,CSV!$A:$A,CSV!H:H,""),
_xlpm.MacVal,_xlfn.XLOOKUP($A280,Output_Mac!$A:$A,Output_Mac!H:H,""),
_xlpm.MyAuditVal,_xlfn.XLOOKUP($A280,My_Audit!$A:$A,My_Audit!G:G,""),
_xlfn.IFS(_xlpm.MyAuditVal&lt;&gt;"",_xlpm.MyAuditVal,_xlpm.MacVal&lt;&gt;"",_xlpm.MacVal,_xlpm.CSVVal&lt;&gt;"",_xlpm.CSVVal
)),"")</f>
        <v/>
      </c>
      <c r="I280" s="2" t="str">
        <f>_xlfn.XLOOKUP(A280,Output_Mac!A:A,Output_Mac!I:I,"")</f>
        <v/>
      </c>
      <c r="J280" s="2" t="str" cm="1">
        <f t="array" ref="J280">IFERROR(_xlfn.LET(
_xlpm.CSVVal,_xlfn.XLOOKUP($A280,CSV!$A:$A,CSV!I:I,""),
_xlpm.MacVal,_xlfn.XLOOKUP($A280,Output_Mac!$A:$A,Output_Mac!J:J,""),
_xlpm.MyAuditVal,_xlfn.XLOOKUP($A280,My_Audit!$A:$A,My_Audit!I:I,""),
_xlfn.IFS(_xlpm.MyAuditVal&lt;&gt;"",UPPER(_xlpm.MyAuditVal),_xlpm.MacVal&lt;&gt;"",_xlpm.MacVal,_xlpm.CSVVal&lt;&gt;"",_xlpm.CSVVal
)),"")</f>
        <v/>
      </c>
      <c r="K280" s="2" t="str" cm="1">
        <f t="array" ref="K280">IFERROR(_xlfn.LET(
_xlpm.CSVVal,_xlfn.XLOOKUP($A280,CSV!$A:$A,CSV!K:K,""),
_xlpm.MacVal,_xlfn.XLOOKUP($A280,Output_Mac!$A:$A,Output_Mac!K:K,""),
_xlpm.MyAuditVal,_xlfn.XLOOKUP($A280,My_Audit!$A:$A,My_Audit!J:J,""),
_xlfn.IFS(_xlpm.MyAuditVal&lt;&gt;"",UPPER(_xlpm.MyAuditVal),_xlpm.MacVal&lt;&gt;"",_xlpm.MacVal,_xlpm.CSVVal&lt;&gt;"",_xlpm.CSVVal
)),"")</f>
        <v/>
      </c>
      <c r="L280" s="2" t="str" cm="1">
        <f t="array" ref="L280">IFERROR(_xlfn.LET(
_xlpm.CSVVal,_xlfn.XLOOKUP($A280,CSV!$A:$A,CSV!P:P,""),
_xlpm.MacVal,_xlfn.XLOOKUP($A280,Output_Mac!$A:$A,Output_Mac!L:L,""),
_xlpm.MyAuditVal,_xlfn.XLOOKUP($A280,My_Audit!$A:$A,My_Audit!K:K,""),
_xlfn.IFS(_xlpm.MyAuditVal&lt;&gt;"",UPPER(_xlpm.MyAuditVal),_xlpm.MacVal&lt;&gt;"",_xlpm.MacVal,_xlpm.CSVVal&lt;&gt;"",_xlpm.CSVVal
)),"")</f>
        <v/>
      </c>
      <c r="M280" s="2" t="str" cm="1">
        <f t="array" ref="M280">IFERROR(_xlfn.LET(
_xlpm.CSVVal,_xlfn.XLOOKUP($A280,CSV!$A:$A,CSV!Q:Q,""),
_xlpm.MacVal,_xlfn.XLOOKUP($A280,Output_Mac!$A:$A,Output_Mac!M:M,""),
_xlpm.MyAuditVal,_xlfn.XLOOKUP($A280,My_Audit!$A:$A,My_Audit!L:L,""),
_xlfn.IFS(_xlpm.MyAuditVal&lt;&gt;"",UPPER(_xlpm.MyAuditVal),_xlpm.MacVal&lt;&gt;"",_xlpm.MacVal,_xlpm.CSVVal&lt;&gt;"",_xlpm.CSVVal
)),"")</f>
        <v/>
      </c>
      <c r="O280" s="2" t="str">
        <f>_xlfn.LET(
    _xlpm.CSVVal, _xlfn.XLOOKUP($A280, CSV!$A:$A, CSV!AF:AF, ""),
    _xlpm.MacVal, _xlfn.XLOOKUP($A280, Output_Mac!$A:$A, Output_Mac!S:S, ""),
    _xlpm.MyAuditVal, _xlfn.XLOOKUP($A280, My_Audit!$A:$A, My_Audit!P:P, ""),
    _xlfn.TEXTJOIN(", ", TRUE, _xlpm.MyAuditVal, _xlpm.MacVal, _xlpm.CSVVal)
)</f>
        <v/>
      </c>
      <c r="P280" s="2" t="str" cm="1">
        <f t="array" ref="P280">IFERROR(_xlfn.LET(
_xlpm.CSVVal,_xlfn.XLOOKUP($A280,CSV!$A:$A,CSV!AG:AG,""),
_xlpm.MacVal,_xlfn.XLOOKUP($A280,Output_Mac!$A:$A,Output_Mac!T:T,""),
_xlpm.MyAuditVal,_xlfn.XLOOKUP($A280,My_Audit!$A:$A,My_Audit!Q:Q,""),
_xlfn.IFS(_xlpm.MyAuditVal&lt;&gt;"",UPPER(_xlpm.MyAuditVal),_xlpm.MacVal&lt;&gt;"",_xlpm.MacVal,_xlpm.CSVVal&lt;&gt;"",_xlpm.CSVVal
)),"No")</f>
        <v>No</v>
      </c>
      <c r="Q280" s="2" t="str" cm="1">
        <f t="array" ref="Q280">IFERROR(_xlfn.LET(
_xlpm.CSVVal,_xlfn.XLOOKUP($A280,CSV!$A:$A,CSV!AH:AH,""),
_xlpm.MacVal,_xlfn.XLOOKUP($A280,Output_Mac!$A:$A,Output_Mac!U:U,""),
_xlpm.MyAuditVal,_xlfn.XLOOKUP($A280,My_Audit!$A:$A,My_Audit!R:R,""),
_xlfn.IFS(_xlpm.MyAuditVal&lt;&gt;"",UPPER(_xlpm.MyAuditVal),_xlpm.MacVal&lt;&gt;"",_xlpm.MacVal,_xlpm.CSVVal&lt;&gt;"",_xlpm.CSVVal
)),"")</f>
        <v/>
      </c>
    </row>
    <row r="281" spans="1:17">
      <c r="A281" s="2" t="str">
        <f>_xlfn.TEXTJOIN("",TRUE,Input!$B$2,ROW(My_Audit!A280))</f>
        <v>XX280</v>
      </c>
      <c r="B281" s="2" t="str">
        <f>_xlfn.TEXTJOIN("-",TRUE,"ITD",Input!$A$2,A281)</f>
        <v>ITD-SHRXXX-XX280</v>
      </c>
      <c r="C281" s="2" t="str" cm="1">
        <f t="array" ref="C281">IFERROR(_xlfn.LET(
_xlpm.CSVVal,_xlfn.XLOOKUP($A281,CSV!$A:$A,CSV!B:B,""),
_xlpm.MacVal,_xlfn.XLOOKUP($A281,Output_Mac!$A:$A,Output_Mac!B:B,""),
_xlpm.MyAuditVal,_xlfn.XLOOKUP($A281,My_Audit!$A:$A,My_Audit!B:B,""),
_xlfn.IFS(_xlpm.MyAuditVal&lt;&gt;"",UPPER(_xlpm.MyAuditVal),_xlpm.MacVal&lt;&gt;"",_xlpm.MacVal,_xlpm.CSVVal&lt;&gt;"",_xlpm.CSVVal
)),"")</f>
        <v/>
      </c>
      <c r="D281" s="2" t="str" cm="1">
        <f t="array" ref="D281">IFERROR(_xlfn.LET(
_xlpm.CSVVal,_xlfn.XLOOKUP($A281,CSV!$A:$A,CSV!D:D,""),
_xlpm.MacVal,_xlfn.XLOOKUP($A281,Output_Mac!$A:$A,Output_Mac!C:C,""),
_xlpm.MyAuditVal,_xlfn.XLOOKUP($A281,My_Audit!$A:$A,My_Audit!C:C,""),
_xlfn.IFS(_xlpm.MyAuditVal&lt;&gt;"",_xlpm.MyAuditVal,_xlpm.MacVal&lt;&gt;"",_xlpm.MacVal,_xlpm.CSVVal&lt;&gt;"",_xlpm.CSVVal
)),"")</f>
        <v/>
      </c>
      <c r="E281" s="2" t="str">
        <f>_xlfn.XLOOKUP(A281,My_Audit!A:A,My_Audit!D:D,"")&amp;""</f>
        <v/>
      </c>
      <c r="F281" s="2" t="str" cm="1">
        <f t="array" ref="F281">IFERROR(_xlfn.LET(
_xlpm.CSVVal,_xlfn.XLOOKUP($A281,CSV!$A:$A,CSV!F:F,""),
_xlpm.MacVal,_xlfn.XLOOKUP($A281,Output_Mac!$A:$A,Output_Mac!E:E,""),
_xlpm.MyAuditVal,_xlfn.XLOOKUP($A281,My_Audit!$A:$A,My_Audit!E:E,""),
_xlfn.IFS(_xlpm.MyAuditVal&lt;&gt;"",_xlpm.MyAuditVal,_xlpm.MacVal&lt;&gt;"",_xlpm.MacVal,_xlpm.CSVVal&lt;&gt;"",_xlpm.CSVVal
)),"")</f>
        <v/>
      </c>
      <c r="G281" s="2" t="str" cm="1">
        <f t="array" ref="G281">IFERROR(_xlfn.LET(
_xlpm.CSVVal,_xlfn.XLOOKUP($A281,CSV!$A:$A,CSV!G:G,""),
_xlpm.MacVal,_xlfn.XLOOKUP($A281,Output_Mac!$A:$A,Output_Mac!F:F,""),
_xlpm.MyAuditVal,_xlfn.XLOOKUP($A281,My_Audit!$A:$A,My_Audit!F:F,""),
_xlfn.IFS(_xlpm.MyAuditVal&lt;&gt;"",_xlpm.MyAuditVal,_xlpm.MacVal&lt;&gt;"",_xlpm.MacVal,_xlpm.CSVVal&lt;&gt;"",PROPER(_xlpm.CSVVal)
)),"")</f>
        <v/>
      </c>
      <c r="H281" s="2" t="str" cm="1">
        <f t="array" ref="H281">IFERROR(_xlfn.LET(
_xlpm.CSVVal,_xlfn.XLOOKUP($A281,CSV!$A:$A,CSV!H:H,""),
_xlpm.MacVal,_xlfn.XLOOKUP($A281,Output_Mac!$A:$A,Output_Mac!H:H,""),
_xlpm.MyAuditVal,_xlfn.XLOOKUP($A281,My_Audit!$A:$A,My_Audit!G:G,""),
_xlfn.IFS(_xlpm.MyAuditVal&lt;&gt;"",_xlpm.MyAuditVal,_xlpm.MacVal&lt;&gt;"",_xlpm.MacVal,_xlpm.CSVVal&lt;&gt;"",_xlpm.CSVVal
)),"")</f>
        <v/>
      </c>
      <c r="I281" s="2" t="str">
        <f>_xlfn.XLOOKUP(A281,Output_Mac!A:A,Output_Mac!I:I,"")</f>
        <v/>
      </c>
      <c r="J281" s="2" t="str" cm="1">
        <f t="array" ref="J281">IFERROR(_xlfn.LET(
_xlpm.CSVVal,_xlfn.XLOOKUP($A281,CSV!$A:$A,CSV!I:I,""),
_xlpm.MacVal,_xlfn.XLOOKUP($A281,Output_Mac!$A:$A,Output_Mac!J:J,""),
_xlpm.MyAuditVal,_xlfn.XLOOKUP($A281,My_Audit!$A:$A,My_Audit!I:I,""),
_xlfn.IFS(_xlpm.MyAuditVal&lt;&gt;"",UPPER(_xlpm.MyAuditVal),_xlpm.MacVal&lt;&gt;"",_xlpm.MacVal,_xlpm.CSVVal&lt;&gt;"",_xlpm.CSVVal
)),"")</f>
        <v/>
      </c>
      <c r="K281" s="2" t="str" cm="1">
        <f t="array" ref="K281">IFERROR(_xlfn.LET(
_xlpm.CSVVal,_xlfn.XLOOKUP($A281,CSV!$A:$A,CSV!K:K,""),
_xlpm.MacVal,_xlfn.XLOOKUP($A281,Output_Mac!$A:$A,Output_Mac!K:K,""),
_xlpm.MyAuditVal,_xlfn.XLOOKUP($A281,My_Audit!$A:$A,My_Audit!J:J,""),
_xlfn.IFS(_xlpm.MyAuditVal&lt;&gt;"",UPPER(_xlpm.MyAuditVal),_xlpm.MacVal&lt;&gt;"",_xlpm.MacVal,_xlpm.CSVVal&lt;&gt;"",_xlpm.CSVVal
)),"")</f>
        <v/>
      </c>
      <c r="L281" s="2" t="str" cm="1">
        <f t="array" ref="L281">IFERROR(_xlfn.LET(
_xlpm.CSVVal,_xlfn.XLOOKUP($A281,CSV!$A:$A,CSV!P:P,""),
_xlpm.MacVal,_xlfn.XLOOKUP($A281,Output_Mac!$A:$A,Output_Mac!L:L,""),
_xlpm.MyAuditVal,_xlfn.XLOOKUP($A281,My_Audit!$A:$A,My_Audit!K:K,""),
_xlfn.IFS(_xlpm.MyAuditVal&lt;&gt;"",UPPER(_xlpm.MyAuditVal),_xlpm.MacVal&lt;&gt;"",_xlpm.MacVal,_xlpm.CSVVal&lt;&gt;"",_xlpm.CSVVal
)),"")</f>
        <v/>
      </c>
      <c r="M281" s="2" t="str" cm="1">
        <f t="array" ref="M281">IFERROR(_xlfn.LET(
_xlpm.CSVVal,_xlfn.XLOOKUP($A281,CSV!$A:$A,CSV!Q:Q,""),
_xlpm.MacVal,_xlfn.XLOOKUP($A281,Output_Mac!$A:$A,Output_Mac!M:M,""),
_xlpm.MyAuditVal,_xlfn.XLOOKUP($A281,My_Audit!$A:$A,My_Audit!L:L,""),
_xlfn.IFS(_xlpm.MyAuditVal&lt;&gt;"",UPPER(_xlpm.MyAuditVal),_xlpm.MacVal&lt;&gt;"",_xlpm.MacVal,_xlpm.CSVVal&lt;&gt;"",_xlpm.CSVVal
)),"")</f>
        <v/>
      </c>
      <c r="O281" s="2" t="str">
        <f>_xlfn.LET(
    _xlpm.CSVVal, _xlfn.XLOOKUP($A281, CSV!$A:$A, CSV!AF:AF, ""),
    _xlpm.MacVal, _xlfn.XLOOKUP($A281, Output_Mac!$A:$A, Output_Mac!S:S, ""),
    _xlpm.MyAuditVal, _xlfn.XLOOKUP($A281, My_Audit!$A:$A, My_Audit!P:P, ""),
    _xlfn.TEXTJOIN(", ", TRUE, _xlpm.MyAuditVal, _xlpm.MacVal, _xlpm.CSVVal)
)</f>
        <v/>
      </c>
      <c r="P281" s="2" t="str" cm="1">
        <f t="array" ref="P281">IFERROR(_xlfn.LET(
_xlpm.CSVVal,_xlfn.XLOOKUP($A281,CSV!$A:$A,CSV!AG:AG,""),
_xlpm.MacVal,_xlfn.XLOOKUP($A281,Output_Mac!$A:$A,Output_Mac!T:T,""),
_xlpm.MyAuditVal,_xlfn.XLOOKUP($A281,My_Audit!$A:$A,My_Audit!Q:Q,""),
_xlfn.IFS(_xlpm.MyAuditVal&lt;&gt;"",UPPER(_xlpm.MyAuditVal),_xlpm.MacVal&lt;&gt;"",_xlpm.MacVal,_xlpm.CSVVal&lt;&gt;"",_xlpm.CSVVal
)),"No")</f>
        <v>No</v>
      </c>
      <c r="Q281" s="2" t="str" cm="1">
        <f t="array" ref="Q281">IFERROR(_xlfn.LET(
_xlpm.CSVVal,_xlfn.XLOOKUP($A281,CSV!$A:$A,CSV!AH:AH,""),
_xlpm.MacVal,_xlfn.XLOOKUP($A281,Output_Mac!$A:$A,Output_Mac!U:U,""),
_xlpm.MyAuditVal,_xlfn.XLOOKUP($A281,My_Audit!$A:$A,My_Audit!R:R,""),
_xlfn.IFS(_xlpm.MyAuditVal&lt;&gt;"",UPPER(_xlpm.MyAuditVal),_xlpm.MacVal&lt;&gt;"",_xlpm.MacVal,_xlpm.CSVVal&lt;&gt;"",_xlpm.CSVVal
)),"")</f>
        <v/>
      </c>
    </row>
    <row r="282" spans="1:17">
      <c r="A282" s="2" t="str">
        <f>_xlfn.TEXTJOIN("",TRUE,Input!$B$2,ROW(My_Audit!A281))</f>
        <v>XX281</v>
      </c>
      <c r="B282" s="2" t="str">
        <f>_xlfn.TEXTJOIN("-",TRUE,"ITD",Input!$A$2,A282)</f>
        <v>ITD-SHRXXX-XX281</v>
      </c>
      <c r="C282" s="2" t="str" cm="1">
        <f t="array" ref="C282">IFERROR(_xlfn.LET(
_xlpm.CSVVal,_xlfn.XLOOKUP($A282,CSV!$A:$A,CSV!B:B,""),
_xlpm.MacVal,_xlfn.XLOOKUP($A282,Output_Mac!$A:$A,Output_Mac!B:B,""),
_xlpm.MyAuditVal,_xlfn.XLOOKUP($A282,My_Audit!$A:$A,My_Audit!B:B,""),
_xlfn.IFS(_xlpm.MyAuditVal&lt;&gt;"",UPPER(_xlpm.MyAuditVal),_xlpm.MacVal&lt;&gt;"",_xlpm.MacVal,_xlpm.CSVVal&lt;&gt;"",_xlpm.CSVVal
)),"")</f>
        <v/>
      </c>
      <c r="D282" s="2" t="str" cm="1">
        <f t="array" ref="D282">IFERROR(_xlfn.LET(
_xlpm.CSVVal,_xlfn.XLOOKUP($A282,CSV!$A:$A,CSV!D:D,""),
_xlpm.MacVal,_xlfn.XLOOKUP($A282,Output_Mac!$A:$A,Output_Mac!C:C,""),
_xlpm.MyAuditVal,_xlfn.XLOOKUP($A282,My_Audit!$A:$A,My_Audit!C:C,""),
_xlfn.IFS(_xlpm.MyAuditVal&lt;&gt;"",_xlpm.MyAuditVal,_xlpm.MacVal&lt;&gt;"",_xlpm.MacVal,_xlpm.CSVVal&lt;&gt;"",_xlpm.CSVVal
)),"")</f>
        <v/>
      </c>
      <c r="E282" s="2" t="str">
        <f>_xlfn.XLOOKUP(A282,My_Audit!A:A,My_Audit!D:D,"")&amp;""</f>
        <v/>
      </c>
      <c r="F282" s="2" t="str" cm="1">
        <f t="array" ref="F282">IFERROR(_xlfn.LET(
_xlpm.CSVVal,_xlfn.XLOOKUP($A282,CSV!$A:$A,CSV!F:F,""),
_xlpm.MacVal,_xlfn.XLOOKUP($A282,Output_Mac!$A:$A,Output_Mac!E:E,""),
_xlpm.MyAuditVal,_xlfn.XLOOKUP($A282,My_Audit!$A:$A,My_Audit!E:E,""),
_xlfn.IFS(_xlpm.MyAuditVal&lt;&gt;"",_xlpm.MyAuditVal,_xlpm.MacVal&lt;&gt;"",_xlpm.MacVal,_xlpm.CSVVal&lt;&gt;"",_xlpm.CSVVal
)),"")</f>
        <v/>
      </c>
      <c r="G282" s="2" t="str" cm="1">
        <f t="array" ref="G282">IFERROR(_xlfn.LET(
_xlpm.CSVVal,_xlfn.XLOOKUP($A282,CSV!$A:$A,CSV!G:G,""),
_xlpm.MacVal,_xlfn.XLOOKUP($A282,Output_Mac!$A:$A,Output_Mac!F:F,""),
_xlpm.MyAuditVal,_xlfn.XLOOKUP($A282,My_Audit!$A:$A,My_Audit!F:F,""),
_xlfn.IFS(_xlpm.MyAuditVal&lt;&gt;"",_xlpm.MyAuditVal,_xlpm.MacVal&lt;&gt;"",_xlpm.MacVal,_xlpm.CSVVal&lt;&gt;"",PROPER(_xlpm.CSVVal)
)),"")</f>
        <v/>
      </c>
      <c r="H282" s="2" t="str" cm="1">
        <f t="array" ref="H282">IFERROR(_xlfn.LET(
_xlpm.CSVVal,_xlfn.XLOOKUP($A282,CSV!$A:$A,CSV!H:H,""),
_xlpm.MacVal,_xlfn.XLOOKUP($A282,Output_Mac!$A:$A,Output_Mac!H:H,""),
_xlpm.MyAuditVal,_xlfn.XLOOKUP($A282,My_Audit!$A:$A,My_Audit!G:G,""),
_xlfn.IFS(_xlpm.MyAuditVal&lt;&gt;"",_xlpm.MyAuditVal,_xlpm.MacVal&lt;&gt;"",_xlpm.MacVal,_xlpm.CSVVal&lt;&gt;"",_xlpm.CSVVal
)),"")</f>
        <v/>
      </c>
      <c r="I282" s="2" t="str">
        <f>_xlfn.XLOOKUP(A282,Output_Mac!A:A,Output_Mac!I:I,"")</f>
        <v/>
      </c>
      <c r="J282" s="2" t="str" cm="1">
        <f t="array" ref="J282">IFERROR(_xlfn.LET(
_xlpm.CSVVal,_xlfn.XLOOKUP($A282,CSV!$A:$A,CSV!I:I,""),
_xlpm.MacVal,_xlfn.XLOOKUP($A282,Output_Mac!$A:$A,Output_Mac!J:J,""),
_xlpm.MyAuditVal,_xlfn.XLOOKUP($A282,My_Audit!$A:$A,My_Audit!I:I,""),
_xlfn.IFS(_xlpm.MyAuditVal&lt;&gt;"",UPPER(_xlpm.MyAuditVal),_xlpm.MacVal&lt;&gt;"",_xlpm.MacVal,_xlpm.CSVVal&lt;&gt;"",_xlpm.CSVVal
)),"")</f>
        <v/>
      </c>
      <c r="K282" s="2" t="str" cm="1">
        <f t="array" ref="K282">IFERROR(_xlfn.LET(
_xlpm.CSVVal,_xlfn.XLOOKUP($A282,CSV!$A:$A,CSV!K:K,""),
_xlpm.MacVal,_xlfn.XLOOKUP($A282,Output_Mac!$A:$A,Output_Mac!K:K,""),
_xlpm.MyAuditVal,_xlfn.XLOOKUP($A282,My_Audit!$A:$A,My_Audit!J:J,""),
_xlfn.IFS(_xlpm.MyAuditVal&lt;&gt;"",UPPER(_xlpm.MyAuditVal),_xlpm.MacVal&lt;&gt;"",_xlpm.MacVal,_xlpm.CSVVal&lt;&gt;"",_xlpm.CSVVal
)),"")</f>
        <v/>
      </c>
      <c r="L282" s="2" t="str" cm="1">
        <f t="array" ref="L282">IFERROR(_xlfn.LET(
_xlpm.CSVVal,_xlfn.XLOOKUP($A282,CSV!$A:$A,CSV!P:P,""),
_xlpm.MacVal,_xlfn.XLOOKUP($A282,Output_Mac!$A:$A,Output_Mac!L:L,""),
_xlpm.MyAuditVal,_xlfn.XLOOKUP($A282,My_Audit!$A:$A,My_Audit!K:K,""),
_xlfn.IFS(_xlpm.MyAuditVal&lt;&gt;"",UPPER(_xlpm.MyAuditVal),_xlpm.MacVal&lt;&gt;"",_xlpm.MacVal,_xlpm.CSVVal&lt;&gt;"",_xlpm.CSVVal
)),"")</f>
        <v/>
      </c>
      <c r="M282" s="2" t="str" cm="1">
        <f t="array" ref="M282">IFERROR(_xlfn.LET(
_xlpm.CSVVal,_xlfn.XLOOKUP($A282,CSV!$A:$A,CSV!Q:Q,""),
_xlpm.MacVal,_xlfn.XLOOKUP($A282,Output_Mac!$A:$A,Output_Mac!M:M,""),
_xlpm.MyAuditVal,_xlfn.XLOOKUP($A282,My_Audit!$A:$A,My_Audit!L:L,""),
_xlfn.IFS(_xlpm.MyAuditVal&lt;&gt;"",UPPER(_xlpm.MyAuditVal),_xlpm.MacVal&lt;&gt;"",_xlpm.MacVal,_xlpm.CSVVal&lt;&gt;"",_xlpm.CSVVal
)),"")</f>
        <v/>
      </c>
      <c r="O282" s="2" t="str">
        <f>_xlfn.LET(
    _xlpm.CSVVal, _xlfn.XLOOKUP($A282, CSV!$A:$A, CSV!AF:AF, ""),
    _xlpm.MacVal, _xlfn.XLOOKUP($A282, Output_Mac!$A:$A, Output_Mac!S:S, ""),
    _xlpm.MyAuditVal, _xlfn.XLOOKUP($A282, My_Audit!$A:$A, My_Audit!P:P, ""),
    _xlfn.TEXTJOIN(", ", TRUE, _xlpm.MyAuditVal, _xlpm.MacVal, _xlpm.CSVVal)
)</f>
        <v/>
      </c>
      <c r="P282" s="2" t="str" cm="1">
        <f t="array" ref="P282">IFERROR(_xlfn.LET(
_xlpm.CSVVal,_xlfn.XLOOKUP($A282,CSV!$A:$A,CSV!AG:AG,""),
_xlpm.MacVal,_xlfn.XLOOKUP($A282,Output_Mac!$A:$A,Output_Mac!T:T,""),
_xlpm.MyAuditVal,_xlfn.XLOOKUP($A282,My_Audit!$A:$A,My_Audit!Q:Q,""),
_xlfn.IFS(_xlpm.MyAuditVal&lt;&gt;"",UPPER(_xlpm.MyAuditVal),_xlpm.MacVal&lt;&gt;"",_xlpm.MacVal,_xlpm.CSVVal&lt;&gt;"",_xlpm.CSVVal
)),"No")</f>
        <v>No</v>
      </c>
      <c r="Q282" s="2" t="str" cm="1">
        <f t="array" ref="Q282">IFERROR(_xlfn.LET(
_xlpm.CSVVal,_xlfn.XLOOKUP($A282,CSV!$A:$A,CSV!AH:AH,""),
_xlpm.MacVal,_xlfn.XLOOKUP($A282,Output_Mac!$A:$A,Output_Mac!U:U,""),
_xlpm.MyAuditVal,_xlfn.XLOOKUP($A282,My_Audit!$A:$A,My_Audit!R:R,""),
_xlfn.IFS(_xlpm.MyAuditVal&lt;&gt;"",UPPER(_xlpm.MyAuditVal),_xlpm.MacVal&lt;&gt;"",_xlpm.MacVal,_xlpm.CSVVal&lt;&gt;"",_xlpm.CSVVal
)),"")</f>
        <v/>
      </c>
    </row>
    <row r="283" spans="1:17">
      <c r="A283" s="2" t="str">
        <f>_xlfn.TEXTJOIN("",TRUE,Input!$B$2,ROW(My_Audit!A282))</f>
        <v>XX282</v>
      </c>
      <c r="B283" s="2" t="str">
        <f>_xlfn.TEXTJOIN("-",TRUE,"ITD",Input!$A$2,A283)</f>
        <v>ITD-SHRXXX-XX282</v>
      </c>
      <c r="C283" s="2" t="str" cm="1">
        <f t="array" ref="C283">IFERROR(_xlfn.LET(
_xlpm.CSVVal,_xlfn.XLOOKUP($A283,CSV!$A:$A,CSV!B:B,""),
_xlpm.MacVal,_xlfn.XLOOKUP($A283,Output_Mac!$A:$A,Output_Mac!B:B,""),
_xlpm.MyAuditVal,_xlfn.XLOOKUP($A283,My_Audit!$A:$A,My_Audit!B:B,""),
_xlfn.IFS(_xlpm.MyAuditVal&lt;&gt;"",UPPER(_xlpm.MyAuditVal),_xlpm.MacVal&lt;&gt;"",_xlpm.MacVal,_xlpm.CSVVal&lt;&gt;"",_xlpm.CSVVal
)),"")</f>
        <v/>
      </c>
      <c r="D283" s="2" t="str" cm="1">
        <f t="array" ref="D283">IFERROR(_xlfn.LET(
_xlpm.CSVVal,_xlfn.XLOOKUP($A283,CSV!$A:$A,CSV!D:D,""),
_xlpm.MacVal,_xlfn.XLOOKUP($A283,Output_Mac!$A:$A,Output_Mac!C:C,""),
_xlpm.MyAuditVal,_xlfn.XLOOKUP($A283,My_Audit!$A:$A,My_Audit!C:C,""),
_xlfn.IFS(_xlpm.MyAuditVal&lt;&gt;"",_xlpm.MyAuditVal,_xlpm.MacVal&lt;&gt;"",_xlpm.MacVal,_xlpm.CSVVal&lt;&gt;"",_xlpm.CSVVal
)),"")</f>
        <v/>
      </c>
      <c r="E283" s="2" t="str">
        <f>_xlfn.XLOOKUP(A283,My_Audit!A:A,My_Audit!D:D,"")&amp;""</f>
        <v/>
      </c>
      <c r="F283" s="2" t="str" cm="1">
        <f t="array" ref="F283">IFERROR(_xlfn.LET(
_xlpm.CSVVal,_xlfn.XLOOKUP($A283,CSV!$A:$A,CSV!F:F,""),
_xlpm.MacVal,_xlfn.XLOOKUP($A283,Output_Mac!$A:$A,Output_Mac!E:E,""),
_xlpm.MyAuditVal,_xlfn.XLOOKUP($A283,My_Audit!$A:$A,My_Audit!E:E,""),
_xlfn.IFS(_xlpm.MyAuditVal&lt;&gt;"",_xlpm.MyAuditVal,_xlpm.MacVal&lt;&gt;"",_xlpm.MacVal,_xlpm.CSVVal&lt;&gt;"",_xlpm.CSVVal
)),"")</f>
        <v/>
      </c>
      <c r="G283" s="2" t="str" cm="1">
        <f t="array" ref="G283">IFERROR(_xlfn.LET(
_xlpm.CSVVal,_xlfn.XLOOKUP($A283,CSV!$A:$A,CSV!G:G,""),
_xlpm.MacVal,_xlfn.XLOOKUP($A283,Output_Mac!$A:$A,Output_Mac!F:F,""),
_xlpm.MyAuditVal,_xlfn.XLOOKUP($A283,My_Audit!$A:$A,My_Audit!F:F,""),
_xlfn.IFS(_xlpm.MyAuditVal&lt;&gt;"",_xlpm.MyAuditVal,_xlpm.MacVal&lt;&gt;"",_xlpm.MacVal,_xlpm.CSVVal&lt;&gt;"",PROPER(_xlpm.CSVVal)
)),"")</f>
        <v/>
      </c>
      <c r="H283" s="2" t="str" cm="1">
        <f t="array" ref="H283">IFERROR(_xlfn.LET(
_xlpm.CSVVal,_xlfn.XLOOKUP($A283,CSV!$A:$A,CSV!H:H,""),
_xlpm.MacVal,_xlfn.XLOOKUP($A283,Output_Mac!$A:$A,Output_Mac!H:H,""),
_xlpm.MyAuditVal,_xlfn.XLOOKUP($A283,My_Audit!$A:$A,My_Audit!G:G,""),
_xlfn.IFS(_xlpm.MyAuditVal&lt;&gt;"",_xlpm.MyAuditVal,_xlpm.MacVal&lt;&gt;"",_xlpm.MacVal,_xlpm.CSVVal&lt;&gt;"",_xlpm.CSVVal
)),"")</f>
        <v/>
      </c>
      <c r="I283" s="2" t="str">
        <f>_xlfn.XLOOKUP(A283,Output_Mac!A:A,Output_Mac!I:I,"")</f>
        <v/>
      </c>
      <c r="J283" s="2" t="str" cm="1">
        <f t="array" ref="J283">IFERROR(_xlfn.LET(
_xlpm.CSVVal,_xlfn.XLOOKUP($A283,CSV!$A:$A,CSV!I:I,""),
_xlpm.MacVal,_xlfn.XLOOKUP($A283,Output_Mac!$A:$A,Output_Mac!J:J,""),
_xlpm.MyAuditVal,_xlfn.XLOOKUP($A283,My_Audit!$A:$A,My_Audit!I:I,""),
_xlfn.IFS(_xlpm.MyAuditVal&lt;&gt;"",UPPER(_xlpm.MyAuditVal),_xlpm.MacVal&lt;&gt;"",_xlpm.MacVal,_xlpm.CSVVal&lt;&gt;"",_xlpm.CSVVal
)),"")</f>
        <v/>
      </c>
      <c r="K283" s="2" t="str" cm="1">
        <f t="array" ref="K283">IFERROR(_xlfn.LET(
_xlpm.CSVVal,_xlfn.XLOOKUP($A283,CSV!$A:$A,CSV!K:K,""),
_xlpm.MacVal,_xlfn.XLOOKUP($A283,Output_Mac!$A:$A,Output_Mac!K:K,""),
_xlpm.MyAuditVal,_xlfn.XLOOKUP($A283,My_Audit!$A:$A,My_Audit!J:J,""),
_xlfn.IFS(_xlpm.MyAuditVal&lt;&gt;"",UPPER(_xlpm.MyAuditVal),_xlpm.MacVal&lt;&gt;"",_xlpm.MacVal,_xlpm.CSVVal&lt;&gt;"",_xlpm.CSVVal
)),"")</f>
        <v/>
      </c>
      <c r="L283" s="2" t="str" cm="1">
        <f t="array" ref="L283">IFERROR(_xlfn.LET(
_xlpm.CSVVal,_xlfn.XLOOKUP($A283,CSV!$A:$A,CSV!P:P,""),
_xlpm.MacVal,_xlfn.XLOOKUP($A283,Output_Mac!$A:$A,Output_Mac!L:L,""),
_xlpm.MyAuditVal,_xlfn.XLOOKUP($A283,My_Audit!$A:$A,My_Audit!K:K,""),
_xlfn.IFS(_xlpm.MyAuditVal&lt;&gt;"",UPPER(_xlpm.MyAuditVal),_xlpm.MacVal&lt;&gt;"",_xlpm.MacVal,_xlpm.CSVVal&lt;&gt;"",_xlpm.CSVVal
)),"")</f>
        <v/>
      </c>
      <c r="M283" s="2" t="str" cm="1">
        <f t="array" ref="M283">IFERROR(_xlfn.LET(
_xlpm.CSVVal,_xlfn.XLOOKUP($A283,CSV!$A:$A,CSV!Q:Q,""),
_xlpm.MacVal,_xlfn.XLOOKUP($A283,Output_Mac!$A:$A,Output_Mac!M:M,""),
_xlpm.MyAuditVal,_xlfn.XLOOKUP($A283,My_Audit!$A:$A,My_Audit!L:L,""),
_xlfn.IFS(_xlpm.MyAuditVal&lt;&gt;"",UPPER(_xlpm.MyAuditVal),_xlpm.MacVal&lt;&gt;"",_xlpm.MacVal,_xlpm.CSVVal&lt;&gt;"",_xlpm.CSVVal
)),"")</f>
        <v/>
      </c>
      <c r="O283" s="2" t="str">
        <f>_xlfn.LET(
    _xlpm.CSVVal, _xlfn.XLOOKUP($A283, CSV!$A:$A, CSV!AF:AF, ""),
    _xlpm.MacVal, _xlfn.XLOOKUP($A283, Output_Mac!$A:$A, Output_Mac!S:S, ""),
    _xlpm.MyAuditVal, _xlfn.XLOOKUP($A283, My_Audit!$A:$A, My_Audit!P:P, ""),
    _xlfn.TEXTJOIN(", ", TRUE, _xlpm.MyAuditVal, _xlpm.MacVal, _xlpm.CSVVal)
)</f>
        <v/>
      </c>
      <c r="P283" s="2" t="str" cm="1">
        <f t="array" ref="P283">IFERROR(_xlfn.LET(
_xlpm.CSVVal,_xlfn.XLOOKUP($A283,CSV!$A:$A,CSV!AG:AG,""),
_xlpm.MacVal,_xlfn.XLOOKUP($A283,Output_Mac!$A:$A,Output_Mac!T:T,""),
_xlpm.MyAuditVal,_xlfn.XLOOKUP($A283,My_Audit!$A:$A,My_Audit!Q:Q,""),
_xlfn.IFS(_xlpm.MyAuditVal&lt;&gt;"",UPPER(_xlpm.MyAuditVal),_xlpm.MacVal&lt;&gt;"",_xlpm.MacVal,_xlpm.CSVVal&lt;&gt;"",_xlpm.CSVVal
)),"No")</f>
        <v>No</v>
      </c>
      <c r="Q283" s="2" t="str" cm="1">
        <f t="array" ref="Q283">IFERROR(_xlfn.LET(
_xlpm.CSVVal,_xlfn.XLOOKUP($A283,CSV!$A:$A,CSV!AH:AH,""),
_xlpm.MacVal,_xlfn.XLOOKUP($A283,Output_Mac!$A:$A,Output_Mac!U:U,""),
_xlpm.MyAuditVal,_xlfn.XLOOKUP($A283,My_Audit!$A:$A,My_Audit!R:R,""),
_xlfn.IFS(_xlpm.MyAuditVal&lt;&gt;"",UPPER(_xlpm.MyAuditVal),_xlpm.MacVal&lt;&gt;"",_xlpm.MacVal,_xlpm.CSVVal&lt;&gt;"",_xlpm.CSVVal
)),"")</f>
        <v/>
      </c>
    </row>
    <row r="284" spans="1:17">
      <c r="A284" s="2" t="str">
        <f>_xlfn.TEXTJOIN("",TRUE,Input!$B$2,ROW(My_Audit!A283))</f>
        <v>XX283</v>
      </c>
      <c r="B284" s="2" t="str">
        <f>_xlfn.TEXTJOIN("-",TRUE,"ITD",Input!$A$2,A284)</f>
        <v>ITD-SHRXXX-XX283</v>
      </c>
      <c r="C284" s="2" t="str" cm="1">
        <f t="array" ref="C284">IFERROR(_xlfn.LET(
_xlpm.CSVVal,_xlfn.XLOOKUP($A284,CSV!$A:$A,CSV!B:B,""),
_xlpm.MacVal,_xlfn.XLOOKUP($A284,Output_Mac!$A:$A,Output_Mac!B:B,""),
_xlpm.MyAuditVal,_xlfn.XLOOKUP($A284,My_Audit!$A:$A,My_Audit!B:B,""),
_xlfn.IFS(_xlpm.MyAuditVal&lt;&gt;"",UPPER(_xlpm.MyAuditVal),_xlpm.MacVal&lt;&gt;"",_xlpm.MacVal,_xlpm.CSVVal&lt;&gt;"",_xlpm.CSVVal
)),"")</f>
        <v/>
      </c>
      <c r="D284" s="2" t="str" cm="1">
        <f t="array" ref="D284">IFERROR(_xlfn.LET(
_xlpm.CSVVal,_xlfn.XLOOKUP($A284,CSV!$A:$A,CSV!D:D,""),
_xlpm.MacVal,_xlfn.XLOOKUP($A284,Output_Mac!$A:$A,Output_Mac!C:C,""),
_xlpm.MyAuditVal,_xlfn.XLOOKUP($A284,My_Audit!$A:$A,My_Audit!C:C,""),
_xlfn.IFS(_xlpm.MyAuditVal&lt;&gt;"",_xlpm.MyAuditVal,_xlpm.MacVal&lt;&gt;"",_xlpm.MacVal,_xlpm.CSVVal&lt;&gt;"",_xlpm.CSVVal
)),"")</f>
        <v/>
      </c>
      <c r="E284" s="2" t="str">
        <f>_xlfn.XLOOKUP(A284,My_Audit!A:A,My_Audit!D:D,"")&amp;""</f>
        <v/>
      </c>
      <c r="F284" s="2" t="str" cm="1">
        <f t="array" ref="F284">IFERROR(_xlfn.LET(
_xlpm.CSVVal,_xlfn.XLOOKUP($A284,CSV!$A:$A,CSV!F:F,""),
_xlpm.MacVal,_xlfn.XLOOKUP($A284,Output_Mac!$A:$A,Output_Mac!E:E,""),
_xlpm.MyAuditVal,_xlfn.XLOOKUP($A284,My_Audit!$A:$A,My_Audit!E:E,""),
_xlfn.IFS(_xlpm.MyAuditVal&lt;&gt;"",_xlpm.MyAuditVal,_xlpm.MacVal&lt;&gt;"",_xlpm.MacVal,_xlpm.CSVVal&lt;&gt;"",_xlpm.CSVVal
)),"")</f>
        <v/>
      </c>
      <c r="G284" s="2" t="str" cm="1">
        <f t="array" ref="G284">IFERROR(_xlfn.LET(
_xlpm.CSVVal,_xlfn.XLOOKUP($A284,CSV!$A:$A,CSV!G:G,""),
_xlpm.MacVal,_xlfn.XLOOKUP($A284,Output_Mac!$A:$A,Output_Mac!F:F,""),
_xlpm.MyAuditVal,_xlfn.XLOOKUP($A284,My_Audit!$A:$A,My_Audit!F:F,""),
_xlfn.IFS(_xlpm.MyAuditVal&lt;&gt;"",_xlpm.MyAuditVal,_xlpm.MacVal&lt;&gt;"",_xlpm.MacVal,_xlpm.CSVVal&lt;&gt;"",PROPER(_xlpm.CSVVal)
)),"")</f>
        <v/>
      </c>
      <c r="H284" s="2" t="str" cm="1">
        <f t="array" ref="H284">IFERROR(_xlfn.LET(
_xlpm.CSVVal,_xlfn.XLOOKUP($A284,CSV!$A:$A,CSV!H:H,""),
_xlpm.MacVal,_xlfn.XLOOKUP($A284,Output_Mac!$A:$A,Output_Mac!H:H,""),
_xlpm.MyAuditVal,_xlfn.XLOOKUP($A284,My_Audit!$A:$A,My_Audit!G:G,""),
_xlfn.IFS(_xlpm.MyAuditVal&lt;&gt;"",_xlpm.MyAuditVal,_xlpm.MacVal&lt;&gt;"",_xlpm.MacVal,_xlpm.CSVVal&lt;&gt;"",_xlpm.CSVVal
)),"")</f>
        <v/>
      </c>
      <c r="I284" s="2" t="str">
        <f>_xlfn.XLOOKUP(A284,Output_Mac!A:A,Output_Mac!I:I,"")</f>
        <v/>
      </c>
      <c r="J284" s="2" t="str" cm="1">
        <f t="array" ref="J284">IFERROR(_xlfn.LET(
_xlpm.CSVVal,_xlfn.XLOOKUP($A284,CSV!$A:$A,CSV!I:I,""),
_xlpm.MacVal,_xlfn.XLOOKUP($A284,Output_Mac!$A:$A,Output_Mac!J:J,""),
_xlpm.MyAuditVal,_xlfn.XLOOKUP($A284,My_Audit!$A:$A,My_Audit!I:I,""),
_xlfn.IFS(_xlpm.MyAuditVal&lt;&gt;"",UPPER(_xlpm.MyAuditVal),_xlpm.MacVal&lt;&gt;"",_xlpm.MacVal,_xlpm.CSVVal&lt;&gt;"",_xlpm.CSVVal
)),"")</f>
        <v/>
      </c>
      <c r="K284" s="2" t="str" cm="1">
        <f t="array" ref="K284">IFERROR(_xlfn.LET(
_xlpm.CSVVal,_xlfn.XLOOKUP($A284,CSV!$A:$A,CSV!K:K,""),
_xlpm.MacVal,_xlfn.XLOOKUP($A284,Output_Mac!$A:$A,Output_Mac!K:K,""),
_xlpm.MyAuditVal,_xlfn.XLOOKUP($A284,My_Audit!$A:$A,My_Audit!J:J,""),
_xlfn.IFS(_xlpm.MyAuditVal&lt;&gt;"",UPPER(_xlpm.MyAuditVal),_xlpm.MacVal&lt;&gt;"",_xlpm.MacVal,_xlpm.CSVVal&lt;&gt;"",_xlpm.CSVVal
)),"")</f>
        <v/>
      </c>
      <c r="L284" s="2" t="str" cm="1">
        <f t="array" ref="L284">IFERROR(_xlfn.LET(
_xlpm.CSVVal,_xlfn.XLOOKUP($A284,CSV!$A:$A,CSV!P:P,""),
_xlpm.MacVal,_xlfn.XLOOKUP($A284,Output_Mac!$A:$A,Output_Mac!L:L,""),
_xlpm.MyAuditVal,_xlfn.XLOOKUP($A284,My_Audit!$A:$A,My_Audit!K:K,""),
_xlfn.IFS(_xlpm.MyAuditVal&lt;&gt;"",UPPER(_xlpm.MyAuditVal),_xlpm.MacVal&lt;&gt;"",_xlpm.MacVal,_xlpm.CSVVal&lt;&gt;"",_xlpm.CSVVal
)),"")</f>
        <v/>
      </c>
      <c r="M284" s="2" t="str" cm="1">
        <f t="array" ref="M284">IFERROR(_xlfn.LET(
_xlpm.CSVVal,_xlfn.XLOOKUP($A284,CSV!$A:$A,CSV!Q:Q,""),
_xlpm.MacVal,_xlfn.XLOOKUP($A284,Output_Mac!$A:$A,Output_Mac!M:M,""),
_xlpm.MyAuditVal,_xlfn.XLOOKUP($A284,My_Audit!$A:$A,My_Audit!L:L,""),
_xlfn.IFS(_xlpm.MyAuditVal&lt;&gt;"",UPPER(_xlpm.MyAuditVal),_xlpm.MacVal&lt;&gt;"",_xlpm.MacVal,_xlpm.CSVVal&lt;&gt;"",_xlpm.CSVVal
)),"")</f>
        <v/>
      </c>
      <c r="O284" s="2" t="str">
        <f>_xlfn.LET(
    _xlpm.CSVVal, _xlfn.XLOOKUP($A284, CSV!$A:$A, CSV!AF:AF, ""),
    _xlpm.MacVal, _xlfn.XLOOKUP($A284, Output_Mac!$A:$A, Output_Mac!S:S, ""),
    _xlpm.MyAuditVal, _xlfn.XLOOKUP($A284, My_Audit!$A:$A, My_Audit!P:P, ""),
    _xlfn.TEXTJOIN(", ", TRUE, _xlpm.MyAuditVal, _xlpm.MacVal, _xlpm.CSVVal)
)</f>
        <v/>
      </c>
      <c r="P284" s="2" t="str" cm="1">
        <f t="array" ref="P284">IFERROR(_xlfn.LET(
_xlpm.CSVVal,_xlfn.XLOOKUP($A284,CSV!$A:$A,CSV!AG:AG,""),
_xlpm.MacVal,_xlfn.XLOOKUP($A284,Output_Mac!$A:$A,Output_Mac!T:T,""),
_xlpm.MyAuditVal,_xlfn.XLOOKUP($A284,My_Audit!$A:$A,My_Audit!Q:Q,""),
_xlfn.IFS(_xlpm.MyAuditVal&lt;&gt;"",UPPER(_xlpm.MyAuditVal),_xlpm.MacVal&lt;&gt;"",_xlpm.MacVal,_xlpm.CSVVal&lt;&gt;"",_xlpm.CSVVal
)),"No")</f>
        <v>No</v>
      </c>
      <c r="Q284" s="2" t="str" cm="1">
        <f t="array" ref="Q284">IFERROR(_xlfn.LET(
_xlpm.CSVVal,_xlfn.XLOOKUP($A284,CSV!$A:$A,CSV!AH:AH,""),
_xlpm.MacVal,_xlfn.XLOOKUP($A284,Output_Mac!$A:$A,Output_Mac!U:U,""),
_xlpm.MyAuditVal,_xlfn.XLOOKUP($A284,My_Audit!$A:$A,My_Audit!R:R,""),
_xlfn.IFS(_xlpm.MyAuditVal&lt;&gt;"",UPPER(_xlpm.MyAuditVal),_xlpm.MacVal&lt;&gt;"",_xlpm.MacVal,_xlpm.CSVVal&lt;&gt;"",_xlpm.CSVVal
)),"")</f>
        <v/>
      </c>
    </row>
    <row r="285" spans="1:17">
      <c r="A285" s="2" t="str">
        <f>_xlfn.TEXTJOIN("",TRUE,Input!$B$2,ROW(My_Audit!A284))</f>
        <v>XX284</v>
      </c>
      <c r="B285" s="2" t="str">
        <f>_xlfn.TEXTJOIN("-",TRUE,"ITD",Input!$A$2,A285)</f>
        <v>ITD-SHRXXX-XX284</v>
      </c>
      <c r="C285" s="2" t="str" cm="1">
        <f t="array" ref="C285">IFERROR(_xlfn.LET(
_xlpm.CSVVal,_xlfn.XLOOKUP($A285,CSV!$A:$A,CSV!B:B,""),
_xlpm.MacVal,_xlfn.XLOOKUP($A285,Output_Mac!$A:$A,Output_Mac!B:B,""),
_xlpm.MyAuditVal,_xlfn.XLOOKUP($A285,My_Audit!$A:$A,My_Audit!B:B,""),
_xlfn.IFS(_xlpm.MyAuditVal&lt;&gt;"",UPPER(_xlpm.MyAuditVal),_xlpm.MacVal&lt;&gt;"",_xlpm.MacVal,_xlpm.CSVVal&lt;&gt;"",_xlpm.CSVVal
)),"")</f>
        <v/>
      </c>
      <c r="D285" s="2" t="str" cm="1">
        <f t="array" ref="D285">IFERROR(_xlfn.LET(
_xlpm.CSVVal,_xlfn.XLOOKUP($A285,CSV!$A:$A,CSV!D:D,""),
_xlpm.MacVal,_xlfn.XLOOKUP($A285,Output_Mac!$A:$A,Output_Mac!C:C,""),
_xlpm.MyAuditVal,_xlfn.XLOOKUP($A285,My_Audit!$A:$A,My_Audit!C:C,""),
_xlfn.IFS(_xlpm.MyAuditVal&lt;&gt;"",_xlpm.MyAuditVal,_xlpm.MacVal&lt;&gt;"",_xlpm.MacVal,_xlpm.CSVVal&lt;&gt;"",_xlpm.CSVVal
)),"")</f>
        <v/>
      </c>
      <c r="E285" s="2" t="str">
        <f>_xlfn.XLOOKUP(A285,My_Audit!A:A,My_Audit!D:D,"")&amp;""</f>
        <v/>
      </c>
      <c r="F285" s="2" t="str" cm="1">
        <f t="array" ref="F285">IFERROR(_xlfn.LET(
_xlpm.CSVVal,_xlfn.XLOOKUP($A285,CSV!$A:$A,CSV!F:F,""),
_xlpm.MacVal,_xlfn.XLOOKUP($A285,Output_Mac!$A:$A,Output_Mac!E:E,""),
_xlpm.MyAuditVal,_xlfn.XLOOKUP($A285,My_Audit!$A:$A,My_Audit!E:E,""),
_xlfn.IFS(_xlpm.MyAuditVal&lt;&gt;"",_xlpm.MyAuditVal,_xlpm.MacVal&lt;&gt;"",_xlpm.MacVal,_xlpm.CSVVal&lt;&gt;"",_xlpm.CSVVal
)),"")</f>
        <v/>
      </c>
      <c r="G285" s="2" t="str" cm="1">
        <f t="array" ref="G285">IFERROR(_xlfn.LET(
_xlpm.CSVVal,_xlfn.XLOOKUP($A285,CSV!$A:$A,CSV!G:G,""),
_xlpm.MacVal,_xlfn.XLOOKUP($A285,Output_Mac!$A:$A,Output_Mac!F:F,""),
_xlpm.MyAuditVal,_xlfn.XLOOKUP($A285,My_Audit!$A:$A,My_Audit!F:F,""),
_xlfn.IFS(_xlpm.MyAuditVal&lt;&gt;"",_xlpm.MyAuditVal,_xlpm.MacVal&lt;&gt;"",_xlpm.MacVal,_xlpm.CSVVal&lt;&gt;"",PROPER(_xlpm.CSVVal)
)),"")</f>
        <v/>
      </c>
      <c r="H285" s="2" t="str" cm="1">
        <f t="array" ref="H285">IFERROR(_xlfn.LET(
_xlpm.CSVVal,_xlfn.XLOOKUP($A285,CSV!$A:$A,CSV!H:H,""),
_xlpm.MacVal,_xlfn.XLOOKUP($A285,Output_Mac!$A:$A,Output_Mac!H:H,""),
_xlpm.MyAuditVal,_xlfn.XLOOKUP($A285,My_Audit!$A:$A,My_Audit!G:G,""),
_xlfn.IFS(_xlpm.MyAuditVal&lt;&gt;"",_xlpm.MyAuditVal,_xlpm.MacVal&lt;&gt;"",_xlpm.MacVal,_xlpm.CSVVal&lt;&gt;"",_xlpm.CSVVal
)),"")</f>
        <v/>
      </c>
      <c r="I285" s="2" t="str">
        <f>_xlfn.XLOOKUP(A285,Output_Mac!A:A,Output_Mac!I:I,"")</f>
        <v/>
      </c>
      <c r="J285" s="2" t="str" cm="1">
        <f t="array" ref="J285">IFERROR(_xlfn.LET(
_xlpm.CSVVal,_xlfn.XLOOKUP($A285,CSV!$A:$A,CSV!I:I,""),
_xlpm.MacVal,_xlfn.XLOOKUP($A285,Output_Mac!$A:$A,Output_Mac!J:J,""),
_xlpm.MyAuditVal,_xlfn.XLOOKUP($A285,My_Audit!$A:$A,My_Audit!I:I,""),
_xlfn.IFS(_xlpm.MyAuditVal&lt;&gt;"",UPPER(_xlpm.MyAuditVal),_xlpm.MacVal&lt;&gt;"",_xlpm.MacVal,_xlpm.CSVVal&lt;&gt;"",_xlpm.CSVVal
)),"")</f>
        <v/>
      </c>
      <c r="K285" s="2" t="str" cm="1">
        <f t="array" ref="K285">IFERROR(_xlfn.LET(
_xlpm.CSVVal,_xlfn.XLOOKUP($A285,CSV!$A:$A,CSV!K:K,""),
_xlpm.MacVal,_xlfn.XLOOKUP($A285,Output_Mac!$A:$A,Output_Mac!K:K,""),
_xlpm.MyAuditVal,_xlfn.XLOOKUP($A285,My_Audit!$A:$A,My_Audit!J:J,""),
_xlfn.IFS(_xlpm.MyAuditVal&lt;&gt;"",UPPER(_xlpm.MyAuditVal),_xlpm.MacVal&lt;&gt;"",_xlpm.MacVal,_xlpm.CSVVal&lt;&gt;"",_xlpm.CSVVal
)),"")</f>
        <v/>
      </c>
      <c r="L285" s="2" t="str" cm="1">
        <f t="array" ref="L285">IFERROR(_xlfn.LET(
_xlpm.CSVVal,_xlfn.XLOOKUP($A285,CSV!$A:$A,CSV!P:P,""),
_xlpm.MacVal,_xlfn.XLOOKUP($A285,Output_Mac!$A:$A,Output_Mac!L:L,""),
_xlpm.MyAuditVal,_xlfn.XLOOKUP($A285,My_Audit!$A:$A,My_Audit!K:K,""),
_xlfn.IFS(_xlpm.MyAuditVal&lt;&gt;"",UPPER(_xlpm.MyAuditVal),_xlpm.MacVal&lt;&gt;"",_xlpm.MacVal,_xlpm.CSVVal&lt;&gt;"",_xlpm.CSVVal
)),"")</f>
        <v/>
      </c>
      <c r="M285" s="2" t="str" cm="1">
        <f t="array" ref="M285">IFERROR(_xlfn.LET(
_xlpm.CSVVal,_xlfn.XLOOKUP($A285,CSV!$A:$A,CSV!Q:Q,""),
_xlpm.MacVal,_xlfn.XLOOKUP($A285,Output_Mac!$A:$A,Output_Mac!M:M,""),
_xlpm.MyAuditVal,_xlfn.XLOOKUP($A285,My_Audit!$A:$A,My_Audit!L:L,""),
_xlfn.IFS(_xlpm.MyAuditVal&lt;&gt;"",UPPER(_xlpm.MyAuditVal),_xlpm.MacVal&lt;&gt;"",_xlpm.MacVal,_xlpm.CSVVal&lt;&gt;"",_xlpm.CSVVal
)),"")</f>
        <v/>
      </c>
      <c r="O285" s="2" t="str">
        <f>_xlfn.LET(
    _xlpm.CSVVal, _xlfn.XLOOKUP($A285, CSV!$A:$A, CSV!AF:AF, ""),
    _xlpm.MacVal, _xlfn.XLOOKUP($A285, Output_Mac!$A:$A, Output_Mac!S:S, ""),
    _xlpm.MyAuditVal, _xlfn.XLOOKUP($A285, My_Audit!$A:$A, My_Audit!P:P, ""),
    _xlfn.TEXTJOIN(", ", TRUE, _xlpm.MyAuditVal, _xlpm.MacVal, _xlpm.CSVVal)
)</f>
        <v/>
      </c>
      <c r="P285" s="2" t="str" cm="1">
        <f t="array" ref="P285">IFERROR(_xlfn.LET(
_xlpm.CSVVal,_xlfn.XLOOKUP($A285,CSV!$A:$A,CSV!AG:AG,""),
_xlpm.MacVal,_xlfn.XLOOKUP($A285,Output_Mac!$A:$A,Output_Mac!T:T,""),
_xlpm.MyAuditVal,_xlfn.XLOOKUP($A285,My_Audit!$A:$A,My_Audit!Q:Q,""),
_xlfn.IFS(_xlpm.MyAuditVal&lt;&gt;"",UPPER(_xlpm.MyAuditVal),_xlpm.MacVal&lt;&gt;"",_xlpm.MacVal,_xlpm.CSVVal&lt;&gt;"",_xlpm.CSVVal
)),"No")</f>
        <v>No</v>
      </c>
      <c r="Q285" s="2" t="str" cm="1">
        <f t="array" ref="Q285">IFERROR(_xlfn.LET(
_xlpm.CSVVal,_xlfn.XLOOKUP($A285,CSV!$A:$A,CSV!AH:AH,""),
_xlpm.MacVal,_xlfn.XLOOKUP($A285,Output_Mac!$A:$A,Output_Mac!U:U,""),
_xlpm.MyAuditVal,_xlfn.XLOOKUP($A285,My_Audit!$A:$A,My_Audit!R:R,""),
_xlfn.IFS(_xlpm.MyAuditVal&lt;&gt;"",UPPER(_xlpm.MyAuditVal),_xlpm.MacVal&lt;&gt;"",_xlpm.MacVal,_xlpm.CSVVal&lt;&gt;"",_xlpm.CSVVal
)),"")</f>
        <v/>
      </c>
    </row>
    <row r="286" spans="1:17">
      <c r="A286" s="2" t="str">
        <f>_xlfn.TEXTJOIN("",TRUE,Input!$B$2,ROW(My_Audit!A285))</f>
        <v>XX285</v>
      </c>
      <c r="B286" s="2" t="str">
        <f>_xlfn.TEXTJOIN("-",TRUE,"ITD",Input!$A$2,A286)</f>
        <v>ITD-SHRXXX-XX285</v>
      </c>
      <c r="C286" s="2" t="str" cm="1">
        <f t="array" ref="C286">IFERROR(_xlfn.LET(
_xlpm.CSVVal,_xlfn.XLOOKUP($A286,CSV!$A:$A,CSV!B:B,""),
_xlpm.MacVal,_xlfn.XLOOKUP($A286,Output_Mac!$A:$A,Output_Mac!B:B,""),
_xlpm.MyAuditVal,_xlfn.XLOOKUP($A286,My_Audit!$A:$A,My_Audit!B:B,""),
_xlfn.IFS(_xlpm.MyAuditVal&lt;&gt;"",UPPER(_xlpm.MyAuditVal),_xlpm.MacVal&lt;&gt;"",_xlpm.MacVal,_xlpm.CSVVal&lt;&gt;"",_xlpm.CSVVal
)),"")</f>
        <v/>
      </c>
      <c r="D286" s="2" t="str" cm="1">
        <f t="array" ref="D286">IFERROR(_xlfn.LET(
_xlpm.CSVVal,_xlfn.XLOOKUP($A286,CSV!$A:$A,CSV!D:D,""),
_xlpm.MacVal,_xlfn.XLOOKUP($A286,Output_Mac!$A:$A,Output_Mac!C:C,""),
_xlpm.MyAuditVal,_xlfn.XLOOKUP($A286,My_Audit!$A:$A,My_Audit!C:C,""),
_xlfn.IFS(_xlpm.MyAuditVal&lt;&gt;"",_xlpm.MyAuditVal,_xlpm.MacVal&lt;&gt;"",_xlpm.MacVal,_xlpm.CSVVal&lt;&gt;"",_xlpm.CSVVal
)),"")</f>
        <v/>
      </c>
      <c r="E286" s="2" t="str">
        <f>_xlfn.XLOOKUP(A286,My_Audit!A:A,My_Audit!D:D,"")&amp;""</f>
        <v/>
      </c>
      <c r="F286" s="2" t="str" cm="1">
        <f t="array" ref="F286">IFERROR(_xlfn.LET(
_xlpm.CSVVal,_xlfn.XLOOKUP($A286,CSV!$A:$A,CSV!F:F,""),
_xlpm.MacVal,_xlfn.XLOOKUP($A286,Output_Mac!$A:$A,Output_Mac!E:E,""),
_xlpm.MyAuditVal,_xlfn.XLOOKUP($A286,My_Audit!$A:$A,My_Audit!E:E,""),
_xlfn.IFS(_xlpm.MyAuditVal&lt;&gt;"",_xlpm.MyAuditVal,_xlpm.MacVal&lt;&gt;"",_xlpm.MacVal,_xlpm.CSVVal&lt;&gt;"",_xlpm.CSVVal
)),"")</f>
        <v/>
      </c>
      <c r="G286" s="2" t="str" cm="1">
        <f t="array" ref="G286">IFERROR(_xlfn.LET(
_xlpm.CSVVal,_xlfn.XLOOKUP($A286,CSV!$A:$A,CSV!G:G,""),
_xlpm.MacVal,_xlfn.XLOOKUP($A286,Output_Mac!$A:$A,Output_Mac!F:F,""),
_xlpm.MyAuditVal,_xlfn.XLOOKUP($A286,My_Audit!$A:$A,My_Audit!F:F,""),
_xlfn.IFS(_xlpm.MyAuditVal&lt;&gt;"",_xlpm.MyAuditVal,_xlpm.MacVal&lt;&gt;"",_xlpm.MacVal,_xlpm.CSVVal&lt;&gt;"",PROPER(_xlpm.CSVVal)
)),"")</f>
        <v/>
      </c>
      <c r="H286" s="2" t="str" cm="1">
        <f t="array" ref="H286">IFERROR(_xlfn.LET(
_xlpm.CSVVal,_xlfn.XLOOKUP($A286,CSV!$A:$A,CSV!H:H,""),
_xlpm.MacVal,_xlfn.XLOOKUP($A286,Output_Mac!$A:$A,Output_Mac!H:H,""),
_xlpm.MyAuditVal,_xlfn.XLOOKUP($A286,My_Audit!$A:$A,My_Audit!G:G,""),
_xlfn.IFS(_xlpm.MyAuditVal&lt;&gt;"",_xlpm.MyAuditVal,_xlpm.MacVal&lt;&gt;"",_xlpm.MacVal,_xlpm.CSVVal&lt;&gt;"",_xlpm.CSVVal
)),"")</f>
        <v/>
      </c>
      <c r="I286" s="2" t="str">
        <f>_xlfn.XLOOKUP(A286,Output_Mac!A:A,Output_Mac!I:I,"")</f>
        <v/>
      </c>
      <c r="J286" s="2" t="str" cm="1">
        <f t="array" ref="J286">IFERROR(_xlfn.LET(
_xlpm.CSVVal,_xlfn.XLOOKUP($A286,CSV!$A:$A,CSV!I:I,""),
_xlpm.MacVal,_xlfn.XLOOKUP($A286,Output_Mac!$A:$A,Output_Mac!J:J,""),
_xlpm.MyAuditVal,_xlfn.XLOOKUP($A286,My_Audit!$A:$A,My_Audit!I:I,""),
_xlfn.IFS(_xlpm.MyAuditVal&lt;&gt;"",UPPER(_xlpm.MyAuditVal),_xlpm.MacVal&lt;&gt;"",_xlpm.MacVal,_xlpm.CSVVal&lt;&gt;"",_xlpm.CSVVal
)),"")</f>
        <v/>
      </c>
      <c r="K286" s="2" t="str" cm="1">
        <f t="array" ref="K286">IFERROR(_xlfn.LET(
_xlpm.CSVVal,_xlfn.XLOOKUP($A286,CSV!$A:$A,CSV!K:K,""),
_xlpm.MacVal,_xlfn.XLOOKUP($A286,Output_Mac!$A:$A,Output_Mac!K:K,""),
_xlpm.MyAuditVal,_xlfn.XLOOKUP($A286,My_Audit!$A:$A,My_Audit!J:J,""),
_xlfn.IFS(_xlpm.MyAuditVal&lt;&gt;"",UPPER(_xlpm.MyAuditVal),_xlpm.MacVal&lt;&gt;"",_xlpm.MacVal,_xlpm.CSVVal&lt;&gt;"",_xlpm.CSVVal
)),"")</f>
        <v/>
      </c>
      <c r="L286" s="2" t="str" cm="1">
        <f t="array" ref="L286">IFERROR(_xlfn.LET(
_xlpm.CSVVal,_xlfn.XLOOKUP($A286,CSV!$A:$A,CSV!P:P,""),
_xlpm.MacVal,_xlfn.XLOOKUP($A286,Output_Mac!$A:$A,Output_Mac!L:L,""),
_xlpm.MyAuditVal,_xlfn.XLOOKUP($A286,My_Audit!$A:$A,My_Audit!K:K,""),
_xlfn.IFS(_xlpm.MyAuditVal&lt;&gt;"",UPPER(_xlpm.MyAuditVal),_xlpm.MacVal&lt;&gt;"",_xlpm.MacVal,_xlpm.CSVVal&lt;&gt;"",_xlpm.CSVVal
)),"")</f>
        <v/>
      </c>
      <c r="M286" s="2" t="str" cm="1">
        <f t="array" ref="M286">IFERROR(_xlfn.LET(
_xlpm.CSVVal,_xlfn.XLOOKUP($A286,CSV!$A:$A,CSV!Q:Q,""),
_xlpm.MacVal,_xlfn.XLOOKUP($A286,Output_Mac!$A:$A,Output_Mac!M:M,""),
_xlpm.MyAuditVal,_xlfn.XLOOKUP($A286,My_Audit!$A:$A,My_Audit!L:L,""),
_xlfn.IFS(_xlpm.MyAuditVal&lt;&gt;"",UPPER(_xlpm.MyAuditVal),_xlpm.MacVal&lt;&gt;"",_xlpm.MacVal,_xlpm.CSVVal&lt;&gt;"",_xlpm.CSVVal
)),"")</f>
        <v/>
      </c>
      <c r="O286" s="2" t="str">
        <f>_xlfn.LET(
    _xlpm.CSVVal, _xlfn.XLOOKUP($A286, CSV!$A:$A, CSV!AF:AF, ""),
    _xlpm.MacVal, _xlfn.XLOOKUP($A286, Output_Mac!$A:$A, Output_Mac!S:S, ""),
    _xlpm.MyAuditVal, _xlfn.XLOOKUP($A286, My_Audit!$A:$A, My_Audit!P:P, ""),
    _xlfn.TEXTJOIN(", ", TRUE, _xlpm.MyAuditVal, _xlpm.MacVal, _xlpm.CSVVal)
)</f>
        <v/>
      </c>
      <c r="P286" s="2" t="str" cm="1">
        <f t="array" ref="P286">IFERROR(_xlfn.LET(
_xlpm.CSVVal,_xlfn.XLOOKUP($A286,CSV!$A:$A,CSV!AG:AG,""),
_xlpm.MacVal,_xlfn.XLOOKUP($A286,Output_Mac!$A:$A,Output_Mac!T:T,""),
_xlpm.MyAuditVal,_xlfn.XLOOKUP($A286,My_Audit!$A:$A,My_Audit!Q:Q,""),
_xlfn.IFS(_xlpm.MyAuditVal&lt;&gt;"",UPPER(_xlpm.MyAuditVal),_xlpm.MacVal&lt;&gt;"",_xlpm.MacVal,_xlpm.CSVVal&lt;&gt;"",_xlpm.CSVVal
)),"No")</f>
        <v>No</v>
      </c>
      <c r="Q286" s="2" t="str" cm="1">
        <f t="array" ref="Q286">IFERROR(_xlfn.LET(
_xlpm.CSVVal,_xlfn.XLOOKUP($A286,CSV!$A:$A,CSV!AH:AH,""),
_xlpm.MacVal,_xlfn.XLOOKUP($A286,Output_Mac!$A:$A,Output_Mac!U:U,""),
_xlpm.MyAuditVal,_xlfn.XLOOKUP($A286,My_Audit!$A:$A,My_Audit!R:R,""),
_xlfn.IFS(_xlpm.MyAuditVal&lt;&gt;"",UPPER(_xlpm.MyAuditVal),_xlpm.MacVal&lt;&gt;"",_xlpm.MacVal,_xlpm.CSVVal&lt;&gt;"",_xlpm.CSVVal
)),"")</f>
        <v/>
      </c>
    </row>
    <row r="287" spans="1:17">
      <c r="A287" s="2" t="str">
        <f>_xlfn.TEXTJOIN("",TRUE,Input!$B$2,ROW(My_Audit!A286))</f>
        <v>XX286</v>
      </c>
      <c r="B287" s="2" t="str">
        <f>_xlfn.TEXTJOIN("-",TRUE,"ITD",Input!$A$2,A287)</f>
        <v>ITD-SHRXXX-XX286</v>
      </c>
      <c r="C287" s="2" t="str" cm="1">
        <f t="array" ref="C287">IFERROR(_xlfn.LET(
_xlpm.CSVVal,_xlfn.XLOOKUP($A287,CSV!$A:$A,CSV!B:B,""),
_xlpm.MacVal,_xlfn.XLOOKUP($A287,Output_Mac!$A:$A,Output_Mac!B:B,""),
_xlpm.MyAuditVal,_xlfn.XLOOKUP($A287,My_Audit!$A:$A,My_Audit!B:B,""),
_xlfn.IFS(_xlpm.MyAuditVal&lt;&gt;"",UPPER(_xlpm.MyAuditVal),_xlpm.MacVal&lt;&gt;"",_xlpm.MacVal,_xlpm.CSVVal&lt;&gt;"",_xlpm.CSVVal
)),"")</f>
        <v/>
      </c>
      <c r="D287" s="2" t="str" cm="1">
        <f t="array" ref="D287">IFERROR(_xlfn.LET(
_xlpm.CSVVal,_xlfn.XLOOKUP($A287,CSV!$A:$A,CSV!D:D,""),
_xlpm.MacVal,_xlfn.XLOOKUP($A287,Output_Mac!$A:$A,Output_Mac!C:C,""),
_xlpm.MyAuditVal,_xlfn.XLOOKUP($A287,My_Audit!$A:$A,My_Audit!C:C,""),
_xlfn.IFS(_xlpm.MyAuditVal&lt;&gt;"",_xlpm.MyAuditVal,_xlpm.MacVal&lt;&gt;"",_xlpm.MacVal,_xlpm.CSVVal&lt;&gt;"",_xlpm.CSVVal
)),"")</f>
        <v/>
      </c>
      <c r="E287" s="2" t="str">
        <f>_xlfn.XLOOKUP(A287,My_Audit!A:A,My_Audit!D:D,"")&amp;""</f>
        <v/>
      </c>
      <c r="F287" s="2" t="str" cm="1">
        <f t="array" ref="F287">IFERROR(_xlfn.LET(
_xlpm.CSVVal,_xlfn.XLOOKUP($A287,CSV!$A:$A,CSV!F:F,""),
_xlpm.MacVal,_xlfn.XLOOKUP($A287,Output_Mac!$A:$A,Output_Mac!E:E,""),
_xlpm.MyAuditVal,_xlfn.XLOOKUP($A287,My_Audit!$A:$A,My_Audit!E:E,""),
_xlfn.IFS(_xlpm.MyAuditVal&lt;&gt;"",_xlpm.MyAuditVal,_xlpm.MacVal&lt;&gt;"",_xlpm.MacVal,_xlpm.CSVVal&lt;&gt;"",_xlpm.CSVVal
)),"")</f>
        <v/>
      </c>
      <c r="G287" s="2" t="str" cm="1">
        <f t="array" ref="G287">IFERROR(_xlfn.LET(
_xlpm.CSVVal,_xlfn.XLOOKUP($A287,CSV!$A:$A,CSV!G:G,""),
_xlpm.MacVal,_xlfn.XLOOKUP($A287,Output_Mac!$A:$A,Output_Mac!F:F,""),
_xlpm.MyAuditVal,_xlfn.XLOOKUP($A287,My_Audit!$A:$A,My_Audit!F:F,""),
_xlfn.IFS(_xlpm.MyAuditVal&lt;&gt;"",_xlpm.MyAuditVal,_xlpm.MacVal&lt;&gt;"",_xlpm.MacVal,_xlpm.CSVVal&lt;&gt;"",PROPER(_xlpm.CSVVal)
)),"")</f>
        <v/>
      </c>
      <c r="H287" s="2" t="str" cm="1">
        <f t="array" ref="H287">IFERROR(_xlfn.LET(
_xlpm.CSVVal,_xlfn.XLOOKUP($A287,CSV!$A:$A,CSV!H:H,""),
_xlpm.MacVal,_xlfn.XLOOKUP($A287,Output_Mac!$A:$A,Output_Mac!H:H,""),
_xlpm.MyAuditVal,_xlfn.XLOOKUP($A287,My_Audit!$A:$A,My_Audit!G:G,""),
_xlfn.IFS(_xlpm.MyAuditVal&lt;&gt;"",_xlpm.MyAuditVal,_xlpm.MacVal&lt;&gt;"",_xlpm.MacVal,_xlpm.CSVVal&lt;&gt;"",_xlpm.CSVVal
)),"")</f>
        <v/>
      </c>
      <c r="I287" s="2" t="str">
        <f>_xlfn.XLOOKUP(A287,Output_Mac!A:A,Output_Mac!I:I,"")</f>
        <v/>
      </c>
      <c r="J287" s="2" t="str" cm="1">
        <f t="array" ref="J287">IFERROR(_xlfn.LET(
_xlpm.CSVVal,_xlfn.XLOOKUP($A287,CSV!$A:$A,CSV!I:I,""),
_xlpm.MacVal,_xlfn.XLOOKUP($A287,Output_Mac!$A:$A,Output_Mac!J:J,""),
_xlpm.MyAuditVal,_xlfn.XLOOKUP($A287,My_Audit!$A:$A,My_Audit!I:I,""),
_xlfn.IFS(_xlpm.MyAuditVal&lt;&gt;"",UPPER(_xlpm.MyAuditVal),_xlpm.MacVal&lt;&gt;"",_xlpm.MacVal,_xlpm.CSVVal&lt;&gt;"",_xlpm.CSVVal
)),"")</f>
        <v/>
      </c>
      <c r="K287" s="2" t="str" cm="1">
        <f t="array" ref="K287">IFERROR(_xlfn.LET(
_xlpm.CSVVal,_xlfn.XLOOKUP($A287,CSV!$A:$A,CSV!K:K,""),
_xlpm.MacVal,_xlfn.XLOOKUP($A287,Output_Mac!$A:$A,Output_Mac!K:K,""),
_xlpm.MyAuditVal,_xlfn.XLOOKUP($A287,My_Audit!$A:$A,My_Audit!J:J,""),
_xlfn.IFS(_xlpm.MyAuditVal&lt;&gt;"",UPPER(_xlpm.MyAuditVal),_xlpm.MacVal&lt;&gt;"",_xlpm.MacVal,_xlpm.CSVVal&lt;&gt;"",_xlpm.CSVVal
)),"")</f>
        <v/>
      </c>
      <c r="L287" s="2" t="str" cm="1">
        <f t="array" ref="L287">IFERROR(_xlfn.LET(
_xlpm.CSVVal,_xlfn.XLOOKUP($A287,CSV!$A:$A,CSV!P:P,""),
_xlpm.MacVal,_xlfn.XLOOKUP($A287,Output_Mac!$A:$A,Output_Mac!L:L,""),
_xlpm.MyAuditVal,_xlfn.XLOOKUP($A287,My_Audit!$A:$A,My_Audit!K:K,""),
_xlfn.IFS(_xlpm.MyAuditVal&lt;&gt;"",UPPER(_xlpm.MyAuditVal),_xlpm.MacVal&lt;&gt;"",_xlpm.MacVal,_xlpm.CSVVal&lt;&gt;"",_xlpm.CSVVal
)),"")</f>
        <v/>
      </c>
      <c r="M287" s="2" t="str" cm="1">
        <f t="array" ref="M287">IFERROR(_xlfn.LET(
_xlpm.CSVVal,_xlfn.XLOOKUP($A287,CSV!$A:$A,CSV!Q:Q,""),
_xlpm.MacVal,_xlfn.XLOOKUP($A287,Output_Mac!$A:$A,Output_Mac!M:M,""),
_xlpm.MyAuditVal,_xlfn.XLOOKUP($A287,My_Audit!$A:$A,My_Audit!L:L,""),
_xlfn.IFS(_xlpm.MyAuditVal&lt;&gt;"",UPPER(_xlpm.MyAuditVal),_xlpm.MacVal&lt;&gt;"",_xlpm.MacVal,_xlpm.CSVVal&lt;&gt;"",_xlpm.CSVVal
)),"")</f>
        <v/>
      </c>
      <c r="O287" s="2" t="str">
        <f>_xlfn.LET(
    _xlpm.CSVVal, _xlfn.XLOOKUP($A287, CSV!$A:$A, CSV!AF:AF, ""),
    _xlpm.MacVal, _xlfn.XLOOKUP($A287, Output_Mac!$A:$A, Output_Mac!S:S, ""),
    _xlpm.MyAuditVal, _xlfn.XLOOKUP($A287, My_Audit!$A:$A, My_Audit!P:P, ""),
    _xlfn.TEXTJOIN(", ", TRUE, _xlpm.MyAuditVal, _xlpm.MacVal, _xlpm.CSVVal)
)</f>
        <v/>
      </c>
      <c r="P287" s="2" t="str" cm="1">
        <f t="array" ref="P287">IFERROR(_xlfn.LET(
_xlpm.CSVVal,_xlfn.XLOOKUP($A287,CSV!$A:$A,CSV!AG:AG,""),
_xlpm.MacVal,_xlfn.XLOOKUP($A287,Output_Mac!$A:$A,Output_Mac!T:T,""),
_xlpm.MyAuditVal,_xlfn.XLOOKUP($A287,My_Audit!$A:$A,My_Audit!Q:Q,""),
_xlfn.IFS(_xlpm.MyAuditVal&lt;&gt;"",UPPER(_xlpm.MyAuditVal),_xlpm.MacVal&lt;&gt;"",_xlpm.MacVal,_xlpm.CSVVal&lt;&gt;"",_xlpm.CSVVal
)),"No")</f>
        <v>No</v>
      </c>
      <c r="Q287" s="2" t="str" cm="1">
        <f t="array" ref="Q287">IFERROR(_xlfn.LET(
_xlpm.CSVVal,_xlfn.XLOOKUP($A287,CSV!$A:$A,CSV!AH:AH,""),
_xlpm.MacVal,_xlfn.XLOOKUP($A287,Output_Mac!$A:$A,Output_Mac!U:U,""),
_xlpm.MyAuditVal,_xlfn.XLOOKUP($A287,My_Audit!$A:$A,My_Audit!R:R,""),
_xlfn.IFS(_xlpm.MyAuditVal&lt;&gt;"",UPPER(_xlpm.MyAuditVal),_xlpm.MacVal&lt;&gt;"",_xlpm.MacVal,_xlpm.CSVVal&lt;&gt;"",_xlpm.CSVVal
)),"")</f>
        <v/>
      </c>
    </row>
    <row r="288" spans="1:17">
      <c r="A288" s="2" t="str">
        <f>_xlfn.TEXTJOIN("",TRUE,Input!$B$2,ROW(My_Audit!A287))</f>
        <v>XX287</v>
      </c>
      <c r="B288" s="2" t="str">
        <f>_xlfn.TEXTJOIN("-",TRUE,"ITD",Input!$A$2,A288)</f>
        <v>ITD-SHRXXX-XX287</v>
      </c>
      <c r="C288" s="2" t="str" cm="1">
        <f t="array" ref="C288">IFERROR(_xlfn.LET(
_xlpm.CSVVal,_xlfn.XLOOKUP($A288,CSV!$A:$A,CSV!B:B,""),
_xlpm.MacVal,_xlfn.XLOOKUP($A288,Output_Mac!$A:$A,Output_Mac!B:B,""),
_xlpm.MyAuditVal,_xlfn.XLOOKUP($A288,My_Audit!$A:$A,My_Audit!B:B,""),
_xlfn.IFS(_xlpm.MyAuditVal&lt;&gt;"",UPPER(_xlpm.MyAuditVal),_xlpm.MacVal&lt;&gt;"",_xlpm.MacVal,_xlpm.CSVVal&lt;&gt;"",_xlpm.CSVVal
)),"")</f>
        <v/>
      </c>
      <c r="D288" s="2" t="str" cm="1">
        <f t="array" ref="D288">IFERROR(_xlfn.LET(
_xlpm.CSVVal,_xlfn.XLOOKUP($A288,CSV!$A:$A,CSV!D:D,""),
_xlpm.MacVal,_xlfn.XLOOKUP($A288,Output_Mac!$A:$A,Output_Mac!C:C,""),
_xlpm.MyAuditVal,_xlfn.XLOOKUP($A288,My_Audit!$A:$A,My_Audit!C:C,""),
_xlfn.IFS(_xlpm.MyAuditVal&lt;&gt;"",_xlpm.MyAuditVal,_xlpm.MacVal&lt;&gt;"",_xlpm.MacVal,_xlpm.CSVVal&lt;&gt;"",_xlpm.CSVVal
)),"")</f>
        <v/>
      </c>
      <c r="E288" s="2" t="str">
        <f>_xlfn.XLOOKUP(A288,My_Audit!A:A,My_Audit!D:D,"")&amp;""</f>
        <v/>
      </c>
      <c r="F288" s="2" t="str" cm="1">
        <f t="array" ref="F288">IFERROR(_xlfn.LET(
_xlpm.CSVVal,_xlfn.XLOOKUP($A288,CSV!$A:$A,CSV!F:F,""),
_xlpm.MacVal,_xlfn.XLOOKUP($A288,Output_Mac!$A:$A,Output_Mac!E:E,""),
_xlpm.MyAuditVal,_xlfn.XLOOKUP($A288,My_Audit!$A:$A,My_Audit!E:E,""),
_xlfn.IFS(_xlpm.MyAuditVal&lt;&gt;"",_xlpm.MyAuditVal,_xlpm.MacVal&lt;&gt;"",_xlpm.MacVal,_xlpm.CSVVal&lt;&gt;"",_xlpm.CSVVal
)),"")</f>
        <v/>
      </c>
      <c r="G288" s="2" t="str" cm="1">
        <f t="array" ref="G288">IFERROR(_xlfn.LET(
_xlpm.CSVVal,_xlfn.XLOOKUP($A288,CSV!$A:$A,CSV!G:G,""),
_xlpm.MacVal,_xlfn.XLOOKUP($A288,Output_Mac!$A:$A,Output_Mac!F:F,""),
_xlpm.MyAuditVal,_xlfn.XLOOKUP($A288,My_Audit!$A:$A,My_Audit!F:F,""),
_xlfn.IFS(_xlpm.MyAuditVal&lt;&gt;"",_xlpm.MyAuditVal,_xlpm.MacVal&lt;&gt;"",_xlpm.MacVal,_xlpm.CSVVal&lt;&gt;"",PROPER(_xlpm.CSVVal)
)),"")</f>
        <v/>
      </c>
      <c r="H288" s="2" t="str" cm="1">
        <f t="array" ref="H288">IFERROR(_xlfn.LET(
_xlpm.CSVVal,_xlfn.XLOOKUP($A288,CSV!$A:$A,CSV!H:H,""),
_xlpm.MacVal,_xlfn.XLOOKUP($A288,Output_Mac!$A:$A,Output_Mac!H:H,""),
_xlpm.MyAuditVal,_xlfn.XLOOKUP($A288,My_Audit!$A:$A,My_Audit!G:G,""),
_xlfn.IFS(_xlpm.MyAuditVal&lt;&gt;"",_xlpm.MyAuditVal,_xlpm.MacVal&lt;&gt;"",_xlpm.MacVal,_xlpm.CSVVal&lt;&gt;"",_xlpm.CSVVal
)),"")</f>
        <v/>
      </c>
      <c r="I288" s="2" t="str">
        <f>_xlfn.XLOOKUP(A288,Output_Mac!A:A,Output_Mac!I:I,"")</f>
        <v/>
      </c>
      <c r="J288" s="2" t="str" cm="1">
        <f t="array" ref="J288">IFERROR(_xlfn.LET(
_xlpm.CSVVal,_xlfn.XLOOKUP($A288,CSV!$A:$A,CSV!I:I,""),
_xlpm.MacVal,_xlfn.XLOOKUP($A288,Output_Mac!$A:$A,Output_Mac!J:J,""),
_xlpm.MyAuditVal,_xlfn.XLOOKUP($A288,My_Audit!$A:$A,My_Audit!I:I,""),
_xlfn.IFS(_xlpm.MyAuditVal&lt;&gt;"",UPPER(_xlpm.MyAuditVal),_xlpm.MacVal&lt;&gt;"",_xlpm.MacVal,_xlpm.CSVVal&lt;&gt;"",_xlpm.CSVVal
)),"")</f>
        <v/>
      </c>
      <c r="K288" s="2" t="str" cm="1">
        <f t="array" ref="K288">IFERROR(_xlfn.LET(
_xlpm.CSVVal,_xlfn.XLOOKUP($A288,CSV!$A:$A,CSV!K:K,""),
_xlpm.MacVal,_xlfn.XLOOKUP($A288,Output_Mac!$A:$A,Output_Mac!K:K,""),
_xlpm.MyAuditVal,_xlfn.XLOOKUP($A288,My_Audit!$A:$A,My_Audit!J:J,""),
_xlfn.IFS(_xlpm.MyAuditVal&lt;&gt;"",UPPER(_xlpm.MyAuditVal),_xlpm.MacVal&lt;&gt;"",_xlpm.MacVal,_xlpm.CSVVal&lt;&gt;"",_xlpm.CSVVal
)),"")</f>
        <v/>
      </c>
      <c r="L288" s="2" t="str" cm="1">
        <f t="array" ref="L288">IFERROR(_xlfn.LET(
_xlpm.CSVVal,_xlfn.XLOOKUP($A288,CSV!$A:$A,CSV!P:P,""),
_xlpm.MacVal,_xlfn.XLOOKUP($A288,Output_Mac!$A:$A,Output_Mac!L:L,""),
_xlpm.MyAuditVal,_xlfn.XLOOKUP($A288,My_Audit!$A:$A,My_Audit!K:K,""),
_xlfn.IFS(_xlpm.MyAuditVal&lt;&gt;"",UPPER(_xlpm.MyAuditVal),_xlpm.MacVal&lt;&gt;"",_xlpm.MacVal,_xlpm.CSVVal&lt;&gt;"",_xlpm.CSVVal
)),"")</f>
        <v/>
      </c>
      <c r="M288" s="2" t="str" cm="1">
        <f t="array" ref="M288">IFERROR(_xlfn.LET(
_xlpm.CSVVal,_xlfn.XLOOKUP($A288,CSV!$A:$A,CSV!Q:Q,""),
_xlpm.MacVal,_xlfn.XLOOKUP($A288,Output_Mac!$A:$A,Output_Mac!M:M,""),
_xlpm.MyAuditVal,_xlfn.XLOOKUP($A288,My_Audit!$A:$A,My_Audit!L:L,""),
_xlfn.IFS(_xlpm.MyAuditVal&lt;&gt;"",UPPER(_xlpm.MyAuditVal),_xlpm.MacVal&lt;&gt;"",_xlpm.MacVal,_xlpm.CSVVal&lt;&gt;"",_xlpm.CSVVal
)),"")</f>
        <v/>
      </c>
      <c r="O288" s="2" t="str">
        <f>_xlfn.LET(
    _xlpm.CSVVal, _xlfn.XLOOKUP($A288, CSV!$A:$A, CSV!AF:AF, ""),
    _xlpm.MacVal, _xlfn.XLOOKUP($A288, Output_Mac!$A:$A, Output_Mac!S:S, ""),
    _xlpm.MyAuditVal, _xlfn.XLOOKUP($A288, My_Audit!$A:$A, My_Audit!P:P, ""),
    _xlfn.TEXTJOIN(", ", TRUE, _xlpm.MyAuditVal, _xlpm.MacVal, _xlpm.CSVVal)
)</f>
        <v/>
      </c>
      <c r="P288" s="2" t="str" cm="1">
        <f t="array" ref="P288">IFERROR(_xlfn.LET(
_xlpm.CSVVal,_xlfn.XLOOKUP($A288,CSV!$A:$A,CSV!AG:AG,""),
_xlpm.MacVal,_xlfn.XLOOKUP($A288,Output_Mac!$A:$A,Output_Mac!T:T,""),
_xlpm.MyAuditVal,_xlfn.XLOOKUP($A288,My_Audit!$A:$A,My_Audit!Q:Q,""),
_xlfn.IFS(_xlpm.MyAuditVal&lt;&gt;"",UPPER(_xlpm.MyAuditVal),_xlpm.MacVal&lt;&gt;"",_xlpm.MacVal,_xlpm.CSVVal&lt;&gt;"",_xlpm.CSVVal
)),"No")</f>
        <v>No</v>
      </c>
      <c r="Q288" s="2" t="str" cm="1">
        <f t="array" ref="Q288">IFERROR(_xlfn.LET(
_xlpm.CSVVal,_xlfn.XLOOKUP($A288,CSV!$A:$A,CSV!AH:AH,""),
_xlpm.MacVal,_xlfn.XLOOKUP($A288,Output_Mac!$A:$A,Output_Mac!U:U,""),
_xlpm.MyAuditVal,_xlfn.XLOOKUP($A288,My_Audit!$A:$A,My_Audit!R:R,""),
_xlfn.IFS(_xlpm.MyAuditVal&lt;&gt;"",UPPER(_xlpm.MyAuditVal),_xlpm.MacVal&lt;&gt;"",_xlpm.MacVal,_xlpm.CSVVal&lt;&gt;"",_xlpm.CSVVal
)),"")</f>
        <v/>
      </c>
    </row>
    <row r="289" spans="1:17">
      <c r="A289" s="2" t="str">
        <f>_xlfn.TEXTJOIN("",TRUE,Input!$B$2,ROW(My_Audit!A288))</f>
        <v>XX288</v>
      </c>
      <c r="B289" s="2" t="str">
        <f>_xlfn.TEXTJOIN("-",TRUE,"ITD",Input!$A$2,A289)</f>
        <v>ITD-SHRXXX-XX288</v>
      </c>
      <c r="C289" s="2" t="str" cm="1">
        <f t="array" ref="C289">IFERROR(_xlfn.LET(
_xlpm.CSVVal,_xlfn.XLOOKUP($A289,CSV!$A:$A,CSV!B:B,""),
_xlpm.MacVal,_xlfn.XLOOKUP($A289,Output_Mac!$A:$A,Output_Mac!B:B,""),
_xlpm.MyAuditVal,_xlfn.XLOOKUP($A289,My_Audit!$A:$A,My_Audit!B:B,""),
_xlfn.IFS(_xlpm.MyAuditVal&lt;&gt;"",UPPER(_xlpm.MyAuditVal),_xlpm.MacVal&lt;&gt;"",_xlpm.MacVal,_xlpm.CSVVal&lt;&gt;"",_xlpm.CSVVal
)),"")</f>
        <v/>
      </c>
      <c r="D289" s="2" t="str" cm="1">
        <f t="array" ref="D289">IFERROR(_xlfn.LET(
_xlpm.CSVVal,_xlfn.XLOOKUP($A289,CSV!$A:$A,CSV!D:D,""),
_xlpm.MacVal,_xlfn.XLOOKUP($A289,Output_Mac!$A:$A,Output_Mac!C:C,""),
_xlpm.MyAuditVal,_xlfn.XLOOKUP($A289,My_Audit!$A:$A,My_Audit!C:C,""),
_xlfn.IFS(_xlpm.MyAuditVal&lt;&gt;"",_xlpm.MyAuditVal,_xlpm.MacVal&lt;&gt;"",_xlpm.MacVal,_xlpm.CSVVal&lt;&gt;"",_xlpm.CSVVal
)),"")</f>
        <v/>
      </c>
      <c r="E289" s="2" t="str">
        <f>_xlfn.XLOOKUP(A289,My_Audit!A:A,My_Audit!D:D,"")&amp;""</f>
        <v/>
      </c>
      <c r="F289" s="2" t="str" cm="1">
        <f t="array" ref="F289">IFERROR(_xlfn.LET(
_xlpm.CSVVal,_xlfn.XLOOKUP($A289,CSV!$A:$A,CSV!F:F,""),
_xlpm.MacVal,_xlfn.XLOOKUP($A289,Output_Mac!$A:$A,Output_Mac!E:E,""),
_xlpm.MyAuditVal,_xlfn.XLOOKUP($A289,My_Audit!$A:$A,My_Audit!E:E,""),
_xlfn.IFS(_xlpm.MyAuditVal&lt;&gt;"",_xlpm.MyAuditVal,_xlpm.MacVal&lt;&gt;"",_xlpm.MacVal,_xlpm.CSVVal&lt;&gt;"",_xlpm.CSVVal
)),"")</f>
        <v/>
      </c>
      <c r="G289" s="2" t="str" cm="1">
        <f t="array" ref="G289">IFERROR(_xlfn.LET(
_xlpm.CSVVal,_xlfn.XLOOKUP($A289,CSV!$A:$A,CSV!G:G,""),
_xlpm.MacVal,_xlfn.XLOOKUP($A289,Output_Mac!$A:$A,Output_Mac!F:F,""),
_xlpm.MyAuditVal,_xlfn.XLOOKUP($A289,My_Audit!$A:$A,My_Audit!F:F,""),
_xlfn.IFS(_xlpm.MyAuditVal&lt;&gt;"",_xlpm.MyAuditVal,_xlpm.MacVal&lt;&gt;"",_xlpm.MacVal,_xlpm.CSVVal&lt;&gt;"",PROPER(_xlpm.CSVVal)
)),"")</f>
        <v/>
      </c>
      <c r="H289" s="2" t="str" cm="1">
        <f t="array" ref="H289">IFERROR(_xlfn.LET(
_xlpm.CSVVal,_xlfn.XLOOKUP($A289,CSV!$A:$A,CSV!H:H,""),
_xlpm.MacVal,_xlfn.XLOOKUP($A289,Output_Mac!$A:$A,Output_Mac!H:H,""),
_xlpm.MyAuditVal,_xlfn.XLOOKUP($A289,My_Audit!$A:$A,My_Audit!G:G,""),
_xlfn.IFS(_xlpm.MyAuditVal&lt;&gt;"",_xlpm.MyAuditVal,_xlpm.MacVal&lt;&gt;"",_xlpm.MacVal,_xlpm.CSVVal&lt;&gt;"",_xlpm.CSVVal
)),"")</f>
        <v/>
      </c>
      <c r="I289" s="2" t="str">
        <f>_xlfn.XLOOKUP(A289,Output_Mac!A:A,Output_Mac!I:I,"")</f>
        <v/>
      </c>
      <c r="J289" s="2" t="str" cm="1">
        <f t="array" ref="J289">IFERROR(_xlfn.LET(
_xlpm.CSVVal,_xlfn.XLOOKUP($A289,CSV!$A:$A,CSV!I:I,""),
_xlpm.MacVal,_xlfn.XLOOKUP($A289,Output_Mac!$A:$A,Output_Mac!J:J,""),
_xlpm.MyAuditVal,_xlfn.XLOOKUP($A289,My_Audit!$A:$A,My_Audit!I:I,""),
_xlfn.IFS(_xlpm.MyAuditVal&lt;&gt;"",UPPER(_xlpm.MyAuditVal),_xlpm.MacVal&lt;&gt;"",_xlpm.MacVal,_xlpm.CSVVal&lt;&gt;"",_xlpm.CSVVal
)),"")</f>
        <v/>
      </c>
      <c r="K289" s="2" t="str" cm="1">
        <f t="array" ref="K289">IFERROR(_xlfn.LET(
_xlpm.CSVVal,_xlfn.XLOOKUP($A289,CSV!$A:$A,CSV!K:K,""),
_xlpm.MacVal,_xlfn.XLOOKUP($A289,Output_Mac!$A:$A,Output_Mac!K:K,""),
_xlpm.MyAuditVal,_xlfn.XLOOKUP($A289,My_Audit!$A:$A,My_Audit!J:J,""),
_xlfn.IFS(_xlpm.MyAuditVal&lt;&gt;"",UPPER(_xlpm.MyAuditVal),_xlpm.MacVal&lt;&gt;"",_xlpm.MacVal,_xlpm.CSVVal&lt;&gt;"",_xlpm.CSVVal
)),"")</f>
        <v/>
      </c>
      <c r="L289" s="2" t="str" cm="1">
        <f t="array" ref="L289">IFERROR(_xlfn.LET(
_xlpm.CSVVal,_xlfn.XLOOKUP($A289,CSV!$A:$A,CSV!P:P,""),
_xlpm.MacVal,_xlfn.XLOOKUP($A289,Output_Mac!$A:$A,Output_Mac!L:L,""),
_xlpm.MyAuditVal,_xlfn.XLOOKUP($A289,My_Audit!$A:$A,My_Audit!K:K,""),
_xlfn.IFS(_xlpm.MyAuditVal&lt;&gt;"",UPPER(_xlpm.MyAuditVal),_xlpm.MacVal&lt;&gt;"",_xlpm.MacVal,_xlpm.CSVVal&lt;&gt;"",_xlpm.CSVVal
)),"")</f>
        <v/>
      </c>
      <c r="M289" s="2" t="str" cm="1">
        <f t="array" ref="M289">IFERROR(_xlfn.LET(
_xlpm.CSVVal,_xlfn.XLOOKUP($A289,CSV!$A:$A,CSV!Q:Q,""),
_xlpm.MacVal,_xlfn.XLOOKUP($A289,Output_Mac!$A:$A,Output_Mac!M:M,""),
_xlpm.MyAuditVal,_xlfn.XLOOKUP($A289,My_Audit!$A:$A,My_Audit!L:L,""),
_xlfn.IFS(_xlpm.MyAuditVal&lt;&gt;"",UPPER(_xlpm.MyAuditVal),_xlpm.MacVal&lt;&gt;"",_xlpm.MacVal,_xlpm.CSVVal&lt;&gt;"",_xlpm.CSVVal
)),"")</f>
        <v/>
      </c>
      <c r="O289" s="2" t="str">
        <f>_xlfn.LET(
    _xlpm.CSVVal, _xlfn.XLOOKUP($A289, CSV!$A:$A, CSV!AF:AF, ""),
    _xlpm.MacVal, _xlfn.XLOOKUP($A289, Output_Mac!$A:$A, Output_Mac!S:S, ""),
    _xlpm.MyAuditVal, _xlfn.XLOOKUP($A289, My_Audit!$A:$A, My_Audit!P:P, ""),
    _xlfn.TEXTJOIN(", ", TRUE, _xlpm.MyAuditVal, _xlpm.MacVal, _xlpm.CSVVal)
)</f>
        <v/>
      </c>
      <c r="P289" s="2" t="str" cm="1">
        <f t="array" ref="P289">IFERROR(_xlfn.LET(
_xlpm.CSVVal,_xlfn.XLOOKUP($A289,CSV!$A:$A,CSV!AG:AG,""),
_xlpm.MacVal,_xlfn.XLOOKUP($A289,Output_Mac!$A:$A,Output_Mac!T:T,""),
_xlpm.MyAuditVal,_xlfn.XLOOKUP($A289,My_Audit!$A:$A,My_Audit!Q:Q,""),
_xlfn.IFS(_xlpm.MyAuditVal&lt;&gt;"",UPPER(_xlpm.MyAuditVal),_xlpm.MacVal&lt;&gt;"",_xlpm.MacVal,_xlpm.CSVVal&lt;&gt;"",_xlpm.CSVVal
)),"No")</f>
        <v>No</v>
      </c>
      <c r="Q289" s="2" t="str" cm="1">
        <f t="array" ref="Q289">IFERROR(_xlfn.LET(
_xlpm.CSVVal,_xlfn.XLOOKUP($A289,CSV!$A:$A,CSV!AH:AH,""),
_xlpm.MacVal,_xlfn.XLOOKUP($A289,Output_Mac!$A:$A,Output_Mac!U:U,""),
_xlpm.MyAuditVal,_xlfn.XLOOKUP($A289,My_Audit!$A:$A,My_Audit!R:R,""),
_xlfn.IFS(_xlpm.MyAuditVal&lt;&gt;"",UPPER(_xlpm.MyAuditVal),_xlpm.MacVal&lt;&gt;"",_xlpm.MacVal,_xlpm.CSVVal&lt;&gt;"",_xlpm.CSVVal
)),"")</f>
        <v/>
      </c>
    </row>
    <row r="290" spans="1:17">
      <c r="A290" s="2" t="str">
        <f>_xlfn.TEXTJOIN("",TRUE,Input!$B$2,ROW(My_Audit!A289))</f>
        <v>XX289</v>
      </c>
      <c r="B290" s="2" t="str">
        <f>_xlfn.TEXTJOIN("-",TRUE,"ITD",Input!$A$2,A290)</f>
        <v>ITD-SHRXXX-XX289</v>
      </c>
      <c r="C290" s="2" t="str" cm="1">
        <f t="array" ref="C290">IFERROR(_xlfn.LET(
_xlpm.CSVVal,_xlfn.XLOOKUP($A290,CSV!$A:$A,CSV!B:B,""),
_xlpm.MacVal,_xlfn.XLOOKUP($A290,Output_Mac!$A:$A,Output_Mac!B:B,""),
_xlpm.MyAuditVal,_xlfn.XLOOKUP($A290,My_Audit!$A:$A,My_Audit!B:B,""),
_xlfn.IFS(_xlpm.MyAuditVal&lt;&gt;"",UPPER(_xlpm.MyAuditVal),_xlpm.MacVal&lt;&gt;"",_xlpm.MacVal,_xlpm.CSVVal&lt;&gt;"",_xlpm.CSVVal
)),"")</f>
        <v/>
      </c>
      <c r="D290" s="2" t="str" cm="1">
        <f t="array" ref="D290">IFERROR(_xlfn.LET(
_xlpm.CSVVal,_xlfn.XLOOKUP($A290,CSV!$A:$A,CSV!D:D,""),
_xlpm.MacVal,_xlfn.XLOOKUP($A290,Output_Mac!$A:$A,Output_Mac!C:C,""),
_xlpm.MyAuditVal,_xlfn.XLOOKUP($A290,My_Audit!$A:$A,My_Audit!C:C,""),
_xlfn.IFS(_xlpm.MyAuditVal&lt;&gt;"",_xlpm.MyAuditVal,_xlpm.MacVal&lt;&gt;"",_xlpm.MacVal,_xlpm.CSVVal&lt;&gt;"",_xlpm.CSVVal
)),"")</f>
        <v/>
      </c>
      <c r="E290" s="2" t="str">
        <f>_xlfn.XLOOKUP(A290,My_Audit!A:A,My_Audit!D:D,"")&amp;""</f>
        <v/>
      </c>
      <c r="F290" s="2" t="str" cm="1">
        <f t="array" ref="F290">IFERROR(_xlfn.LET(
_xlpm.CSVVal,_xlfn.XLOOKUP($A290,CSV!$A:$A,CSV!F:F,""),
_xlpm.MacVal,_xlfn.XLOOKUP($A290,Output_Mac!$A:$A,Output_Mac!E:E,""),
_xlpm.MyAuditVal,_xlfn.XLOOKUP($A290,My_Audit!$A:$A,My_Audit!E:E,""),
_xlfn.IFS(_xlpm.MyAuditVal&lt;&gt;"",_xlpm.MyAuditVal,_xlpm.MacVal&lt;&gt;"",_xlpm.MacVal,_xlpm.CSVVal&lt;&gt;"",_xlpm.CSVVal
)),"")</f>
        <v/>
      </c>
      <c r="G290" s="2" t="str" cm="1">
        <f t="array" ref="G290">IFERROR(_xlfn.LET(
_xlpm.CSVVal,_xlfn.XLOOKUP($A290,CSV!$A:$A,CSV!G:G,""),
_xlpm.MacVal,_xlfn.XLOOKUP($A290,Output_Mac!$A:$A,Output_Mac!F:F,""),
_xlpm.MyAuditVal,_xlfn.XLOOKUP($A290,My_Audit!$A:$A,My_Audit!F:F,""),
_xlfn.IFS(_xlpm.MyAuditVal&lt;&gt;"",_xlpm.MyAuditVal,_xlpm.MacVal&lt;&gt;"",_xlpm.MacVal,_xlpm.CSVVal&lt;&gt;"",PROPER(_xlpm.CSVVal)
)),"")</f>
        <v/>
      </c>
      <c r="H290" s="2" t="str" cm="1">
        <f t="array" ref="H290">IFERROR(_xlfn.LET(
_xlpm.CSVVal,_xlfn.XLOOKUP($A290,CSV!$A:$A,CSV!H:H,""),
_xlpm.MacVal,_xlfn.XLOOKUP($A290,Output_Mac!$A:$A,Output_Mac!H:H,""),
_xlpm.MyAuditVal,_xlfn.XLOOKUP($A290,My_Audit!$A:$A,My_Audit!G:G,""),
_xlfn.IFS(_xlpm.MyAuditVal&lt;&gt;"",_xlpm.MyAuditVal,_xlpm.MacVal&lt;&gt;"",_xlpm.MacVal,_xlpm.CSVVal&lt;&gt;"",_xlpm.CSVVal
)),"")</f>
        <v/>
      </c>
      <c r="I290" s="2" t="str">
        <f>_xlfn.XLOOKUP(A290,Output_Mac!A:A,Output_Mac!I:I,"")</f>
        <v/>
      </c>
      <c r="J290" s="2" t="str" cm="1">
        <f t="array" ref="J290">IFERROR(_xlfn.LET(
_xlpm.CSVVal,_xlfn.XLOOKUP($A290,CSV!$A:$A,CSV!I:I,""),
_xlpm.MacVal,_xlfn.XLOOKUP($A290,Output_Mac!$A:$A,Output_Mac!J:J,""),
_xlpm.MyAuditVal,_xlfn.XLOOKUP($A290,My_Audit!$A:$A,My_Audit!I:I,""),
_xlfn.IFS(_xlpm.MyAuditVal&lt;&gt;"",UPPER(_xlpm.MyAuditVal),_xlpm.MacVal&lt;&gt;"",_xlpm.MacVal,_xlpm.CSVVal&lt;&gt;"",_xlpm.CSVVal
)),"")</f>
        <v/>
      </c>
      <c r="K290" s="2" t="str" cm="1">
        <f t="array" ref="K290">IFERROR(_xlfn.LET(
_xlpm.CSVVal,_xlfn.XLOOKUP($A290,CSV!$A:$A,CSV!K:K,""),
_xlpm.MacVal,_xlfn.XLOOKUP($A290,Output_Mac!$A:$A,Output_Mac!K:K,""),
_xlpm.MyAuditVal,_xlfn.XLOOKUP($A290,My_Audit!$A:$A,My_Audit!J:J,""),
_xlfn.IFS(_xlpm.MyAuditVal&lt;&gt;"",UPPER(_xlpm.MyAuditVal),_xlpm.MacVal&lt;&gt;"",_xlpm.MacVal,_xlpm.CSVVal&lt;&gt;"",_xlpm.CSVVal
)),"")</f>
        <v/>
      </c>
      <c r="L290" s="2" t="str" cm="1">
        <f t="array" ref="L290">IFERROR(_xlfn.LET(
_xlpm.CSVVal,_xlfn.XLOOKUP($A290,CSV!$A:$A,CSV!P:P,""),
_xlpm.MacVal,_xlfn.XLOOKUP($A290,Output_Mac!$A:$A,Output_Mac!L:L,""),
_xlpm.MyAuditVal,_xlfn.XLOOKUP($A290,My_Audit!$A:$A,My_Audit!K:K,""),
_xlfn.IFS(_xlpm.MyAuditVal&lt;&gt;"",UPPER(_xlpm.MyAuditVal),_xlpm.MacVal&lt;&gt;"",_xlpm.MacVal,_xlpm.CSVVal&lt;&gt;"",_xlpm.CSVVal
)),"")</f>
        <v/>
      </c>
      <c r="M290" s="2" t="str" cm="1">
        <f t="array" ref="M290">IFERROR(_xlfn.LET(
_xlpm.CSVVal,_xlfn.XLOOKUP($A290,CSV!$A:$A,CSV!Q:Q,""),
_xlpm.MacVal,_xlfn.XLOOKUP($A290,Output_Mac!$A:$A,Output_Mac!M:M,""),
_xlpm.MyAuditVal,_xlfn.XLOOKUP($A290,My_Audit!$A:$A,My_Audit!L:L,""),
_xlfn.IFS(_xlpm.MyAuditVal&lt;&gt;"",UPPER(_xlpm.MyAuditVal),_xlpm.MacVal&lt;&gt;"",_xlpm.MacVal,_xlpm.CSVVal&lt;&gt;"",_xlpm.CSVVal
)),"")</f>
        <v/>
      </c>
      <c r="O290" s="2" t="str">
        <f>_xlfn.LET(
    _xlpm.CSVVal, _xlfn.XLOOKUP($A290, CSV!$A:$A, CSV!AF:AF, ""),
    _xlpm.MacVal, _xlfn.XLOOKUP($A290, Output_Mac!$A:$A, Output_Mac!S:S, ""),
    _xlpm.MyAuditVal, _xlfn.XLOOKUP($A290, My_Audit!$A:$A, My_Audit!P:P, ""),
    _xlfn.TEXTJOIN(", ", TRUE, _xlpm.MyAuditVal, _xlpm.MacVal, _xlpm.CSVVal)
)</f>
        <v/>
      </c>
      <c r="P290" s="2" t="str" cm="1">
        <f t="array" ref="P290">IFERROR(_xlfn.LET(
_xlpm.CSVVal,_xlfn.XLOOKUP($A290,CSV!$A:$A,CSV!AG:AG,""),
_xlpm.MacVal,_xlfn.XLOOKUP($A290,Output_Mac!$A:$A,Output_Mac!T:T,""),
_xlpm.MyAuditVal,_xlfn.XLOOKUP($A290,My_Audit!$A:$A,My_Audit!Q:Q,""),
_xlfn.IFS(_xlpm.MyAuditVal&lt;&gt;"",UPPER(_xlpm.MyAuditVal),_xlpm.MacVal&lt;&gt;"",_xlpm.MacVal,_xlpm.CSVVal&lt;&gt;"",_xlpm.CSVVal
)),"No")</f>
        <v>No</v>
      </c>
      <c r="Q290" s="2" t="str" cm="1">
        <f t="array" ref="Q290">IFERROR(_xlfn.LET(
_xlpm.CSVVal,_xlfn.XLOOKUP($A290,CSV!$A:$A,CSV!AH:AH,""),
_xlpm.MacVal,_xlfn.XLOOKUP($A290,Output_Mac!$A:$A,Output_Mac!U:U,""),
_xlpm.MyAuditVal,_xlfn.XLOOKUP($A290,My_Audit!$A:$A,My_Audit!R:R,""),
_xlfn.IFS(_xlpm.MyAuditVal&lt;&gt;"",UPPER(_xlpm.MyAuditVal),_xlpm.MacVal&lt;&gt;"",_xlpm.MacVal,_xlpm.CSVVal&lt;&gt;"",_xlpm.CSVVal
)),"")</f>
        <v/>
      </c>
    </row>
    <row r="291" spans="1:17">
      <c r="A291" s="2" t="str">
        <f>_xlfn.TEXTJOIN("",TRUE,Input!$B$2,ROW(My_Audit!A290))</f>
        <v>XX290</v>
      </c>
      <c r="B291" s="2" t="str">
        <f>_xlfn.TEXTJOIN("-",TRUE,"ITD",Input!$A$2,A291)</f>
        <v>ITD-SHRXXX-XX290</v>
      </c>
      <c r="C291" s="2" t="str" cm="1">
        <f t="array" ref="C291">IFERROR(_xlfn.LET(
_xlpm.CSVVal,_xlfn.XLOOKUP($A291,CSV!$A:$A,CSV!B:B,""),
_xlpm.MacVal,_xlfn.XLOOKUP($A291,Output_Mac!$A:$A,Output_Mac!B:B,""),
_xlpm.MyAuditVal,_xlfn.XLOOKUP($A291,My_Audit!$A:$A,My_Audit!B:B,""),
_xlfn.IFS(_xlpm.MyAuditVal&lt;&gt;"",UPPER(_xlpm.MyAuditVal),_xlpm.MacVal&lt;&gt;"",_xlpm.MacVal,_xlpm.CSVVal&lt;&gt;"",_xlpm.CSVVal
)),"")</f>
        <v/>
      </c>
      <c r="D291" s="2" t="str" cm="1">
        <f t="array" ref="D291">IFERROR(_xlfn.LET(
_xlpm.CSVVal,_xlfn.XLOOKUP($A291,CSV!$A:$A,CSV!D:D,""),
_xlpm.MacVal,_xlfn.XLOOKUP($A291,Output_Mac!$A:$A,Output_Mac!C:C,""),
_xlpm.MyAuditVal,_xlfn.XLOOKUP($A291,My_Audit!$A:$A,My_Audit!C:C,""),
_xlfn.IFS(_xlpm.MyAuditVal&lt;&gt;"",_xlpm.MyAuditVal,_xlpm.MacVal&lt;&gt;"",_xlpm.MacVal,_xlpm.CSVVal&lt;&gt;"",_xlpm.CSVVal
)),"")</f>
        <v/>
      </c>
      <c r="E291" s="2" t="str">
        <f>_xlfn.XLOOKUP(A291,My_Audit!A:A,My_Audit!D:D,"")&amp;""</f>
        <v/>
      </c>
      <c r="F291" s="2" t="str" cm="1">
        <f t="array" ref="F291">IFERROR(_xlfn.LET(
_xlpm.CSVVal,_xlfn.XLOOKUP($A291,CSV!$A:$A,CSV!F:F,""),
_xlpm.MacVal,_xlfn.XLOOKUP($A291,Output_Mac!$A:$A,Output_Mac!E:E,""),
_xlpm.MyAuditVal,_xlfn.XLOOKUP($A291,My_Audit!$A:$A,My_Audit!E:E,""),
_xlfn.IFS(_xlpm.MyAuditVal&lt;&gt;"",_xlpm.MyAuditVal,_xlpm.MacVal&lt;&gt;"",_xlpm.MacVal,_xlpm.CSVVal&lt;&gt;"",_xlpm.CSVVal
)),"")</f>
        <v/>
      </c>
      <c r="G291" s="2" t="str" cm="1">
        <f t="array" ref="G291">IFERROR(_xlfn.LET(
_xlpm.CSVVal,_xlfn.XLOOKUP($A291,CSV!$A:$A,CSV!G:G,""),
_xlpm.MacVal,_xlfn.XLOOKUP($A291,Output_Mac!$A:$A,Output_Mac!F:F,""),
_xlpm.MyAuditVal,_xlfn.XLOOKUP($A291,My_Audit!$A:$A,My_Audit!F:F,""),
_xlfn.IFS(_xlpm.MyAuditVal&lt;&gt;"",_xlpm.MyAuditVal,_xlpm.MacVal&lt;&gt;"",_xlpm.MacVal,_xlpm.CSVVal&lt;&gt;"",PROPER(_xlpm.CSVVal)
)),"")</f>
        <v/>
      </c>
      <c r="H291" s="2" t="str" cm="1">
        <f t="array" ref="H291">IFERROR(_xlfn.LET(
_xlpm.CSVVal,_xlfn.XLOOKUP($A291,CSV!$A:$A,CSV!H:H,""),
_xlpm.MacVal,_xlfn.XLOOKUP($A291,Output_Mac!$A:$A,Output_Mac!H:H,""),
_xlpm.MyAuditVal,_xlfn.XLOOKUP($A291,My_Audit!$A:$A,My_Audit!G:G,""),
_xlfn.IFS(_xlpm.MyAuditVal&lt;&gt;"",_xlpm.MyAuditVal,_xlpm.MacVal&lt;&gt;"",_xlpm.MacVal,_xlpm.CSVVal&lt;&gt;"",_xlpm.CSVVal
)),"")</f>
        <v/>
      </c>
      <c r="I291" s="2" t="str">
        <f>_xlfn.XLOOKUP(A291,Output_Mac!A:A,Output_Mac!I:I,"")</f>
        <v/>
      </c>
      <c r="J291" s="2" t="str" cm="1">
        <f t="array" ref="J291">IFERROR(_xlfn.LET(
_xlpm.CSVVal,_xlfn.XLOOKUP($A291,CSV!$A:$A,CSV!I:I,""),
_xlpm.MacVal,_xlfn.XLOOKUP($A291,Output_Mac!$A:$A,Output_Mac!J:J,""),
_xlpm.MyAuditVal,_xlfn.XLOOKUP($A291,My_Audit!$A:$A,My_Audit!I:I,""),
_xlfn.IFS(_xlpm.MyAuditVal&lt;&gt;"",UPPER(_xlpm.MyAuditVal),_xlpm.MacVal&lt;&gt;"",_xlpm.MacVal,_xlpm.CSVVal&lt;&gt;"",_xlpm.CSVVal
)),"")</f>
        <v/>
      </c>
      <c r="K291" s="2" t="str" cm="1">
        <f t="array" ref="K291">IFERROR(_xlfn.LET(
_xlpm.CSVVal,_xlfn.XLOOKUP($A291,CSV!$A:$A,CSV!K:K,""),
_xlpm.MacVal,_xlfn.XLOOKUP($A291,Output_Mac!$A:$A,Output_Mac!K:K,""),
_xlpm.MyAuditVal,_xlfn.XLOOKUP($A291,My_Audit!$A:$A,My_Audit!J:J,""),
_xlfn.IFS(_xlpm.MyAuditVal&lt;&gt;"",UPPER(_xlpm.MyAuditVal),_xlpm.MacVal&lt;&gt;"",_xlpm.MacVal,_xlpm.CSVVal&lt;&gt;"",_xlpm.CSVVal
)),"")</f>
        <v/>
      </c>
      <c r="L291" s="2" t="str" cm="1">
        <f t="array" ref="L291">IFERROR(_xlfn.LET(
_xlpm.CSVVal,_xlfn.XLOOKUP($A291,CSV!$A:$A,CSV!P:P,""),
_xlpm.MacVal,_xlfn.XLOOKUP($A291,Output_Mac!$A:$A,Output_Mac!L:L,""),
_xlpm.MyAuditVal,_xlfn.XLOOKUP($A291,My_Audit!$A:$A,My_Audit!K:K,""),
_xlfn.IFS(_xlpm.MyAuditVal&lt;&gt;"",UPPER(_xlpm.MyAuditVal),_xlpm.MacVal&lt;&gt;"",_xlpm.MacVal,_xlpm.CSVVal&lt;&gt;"",_xlpm.CSVVal
)),"")</f>
        <v/>
      </c>
      <c r="M291" s="2" t="str" cm="1">
        <f t="array" ref="M291">IFERROR(_xlfn.LET(
_xlpm.CSVVal,_xlfn.XLOOKUP($A291,CSV!$A:$A,CSV!Q:Q,""),
_xlpm.MacVal,_xlfn.XLOOKUP($A291,Output_Mac!$A:$A,Output_Mac!M:M,""),
_xlpm.MyAuditVal,_xlfn.XLOOKUP($A291,My_Audit!$A:$A,My_Audit!L:L,""),
_xlfn.IFS(_xlpm.MyAuditVal&lt;&gt;"",UPPER(_xlpm.MyAuditVal),_xlpm.MacVal&lt;&gt;"",_xlpm.MacVal,_xlpm.CSVVal&lt;&gt;"",_xlpm.CSVVal
)),"")</f>
        <v/>
      </c>
      <c r="O291" s="2" t="str">
        <f>_xlfn.LET(
    _xlpm.CSVVal, _xlfn.XLOOKUP($A291, CSV!$A:$A, CSV!AF:AF, ""),
    _xlpm.MacVal, _xlfn.XLOOKUP($A291, Output_Mac!$A:$A, Output_Mac!S:S, ""),
    _xlpm.MyAuditVal, _xlfn.XLOOKUP($A291, My_Audit!$A:$A, My_Audit!P:P, ""),
    _xlfn.TEXTJOIN(", ", TRUE, _xlpm.MyAuditVal, _xlpm.MacVal, _xlpm.CSVVal)
)</f>
        <v/>
      </c>
      <c r="P291" s="2" t="str" cm="1">
        <f t="array" ref="P291">IFERROR(_xlfn.LET(
_xlpm.CSVVal,_xlfn.XLOOKUP($A291,CSV!$A:$A,CSV!AG:AG,""),
_xlpm.MacVal,_xlfn.XLOOKUP($A291,Output_Mac!$A:$A,Output_Mac!T:T,""),
_xlpm.MyAuditVal,_xlfn.XLOOKUP($A291,My_Audit!$A:$A,My_Audit!Q:Q,""),
_xlfn.IFS(_xlpm.MyAuditVal&lt;&gt;"",UPPER(_xlpm.MyAuditVal),_xlpm.MacVal&lt;&gt;"",_xlpm.MacVal,_xlpm.CSVVal&lt;&gt;"",_xlpm.CSVVal
)),"No")</f>
        <v>No</v>
      </c>
      <c r="Q291" s="2" t="str" cm="1">
        <f t="array" ref="Q291">IFERROR(_xlfn.LET(
_xlpm.CSVVal,_xlfn.XLOOKUP($A291,CSV!$A:$A,CSV!AH:AH,""),
_xlpm.MacVal,_xlfn.XLOOKUP($A291,Output_Mac!$A:$A,Output_Mac!U:U,""),
_xlpm.MyAuditVal,_xlfn.XLOOKUP($A291,My_Audit!$A:$A,My_Audit!R:R,""),
_xlfn.IFS(_xlpm.MyAuditVal&lt;&gt;"",UPPER(_xlpm.MyAuditVal),_xlpm.MacVal&lt;&gt;"",_xlpm.MacVal,_xlpm.CSVVal&lt;&gt;"",_xlpm.CSVVal
)),"")</f>
        <v/>
      </c>
    </row>
    <row r="292" spans="1:17">
      <c r="A292" s="2" t="str">
        <f>_xlfn.TEXTJOIN("",TRUE,Input!$B$2,ROW(My_Audit!A291))</f>
        <v>XX291</v>
      </c>
      <c r="B292" s="2" t="str">
        <f>_xlfn.TEXTJOIN("-",TRUE,"ITD",Input!$A$2,A292)</f>
        <v>ITD-SHRXXX-XX291</v>
      </c>
      <c r="C292" s="2" t="str" cm="1">
        <f t="array" ref="C292">IFERROR(_xlfn.LET(
_xlpm.CSVVal,_xlfn.XLOOKUP($A292,CSV!$A:$A,CSV!B:B,""),
_xlpm.MacVal,_xlfn.XLOOKUP($A292,Output_Mac!$A:$A,Output_Mac!B:B,""),
_xlpm.MyAuditVal,_xlfn.XLOOKUP($A292,My_Audit!$A:$A,My_Audit!B:B,""),
_xlfn.IFS(_xlpm.MyAuditVal&lt;&gt;"",UPPER(_xlpm.MyAuditVal),_xlpm.MacVal&lt;&gt;"",_xlpm.MacVal,_xlpm.CSVVal&lt;&gt;"",_xlpm.CSVVal
)),"")</f>
        <v/>
      </c>
      <c r="D292" s="2" t="str" cm="1">
        <f t="array" ref="D292">IFERROR(_xlfn.LET(
_xlpm.CSVVal,_xlfn.XLOOKUP($A292,CSV!$A:$A,CSV!D:D,""),
_xlpm.MacVal,_xlfn.XLOOKUP($A292,Output_Mac!$A:$A,Output_Mac!C:C,""),
_xlpm.MyAuditVal,_xlfn.XLOOKUP($A292,My_Audit!$A:$A,My_Audit!C:C,""),
_xlfn.IFS(_xlpm.MyAuditVal&lt;&gt;"",_xlpm.MyAuditVal,_xlpm.MacVal&lt;&gt;"",_xlpm.MacVal,_xlpm.CSVVal&lt;&gt;"",_xlpm.CSVVal
)),"")</f>
        <v/>
      </c>
      <c r="E292" s="2" t="str">
        <f>_xlfn.XLOOKUP(A292,My_Audit!A:A,My_Audit!D:D,"")&amp;""</f>
        <v/>
      </c>
      <c r="F292" s="2" t="str" cm="1">
        <f t="array" ref="F292">IFERROR(_xlfn.LET(
_xlpm.CSVVal,_xlfn.XLOOKUP($A292,CSV!$A:$A,CSV!F:F,""),
_xlpm.MacVal,_xlfn.XLOOKUP($A292,Output_Mac!$A:$A,Output_Mac!E:E,""),
_xlpm.MyAuditVal,_xlfn.XLOOKUP($A292,My_Audit!$A:$A,My_Audit!E:E,""),
_xlfn.IFS(_xlpm.MyAuditVal&lt;&gt;"",_xlpm.MyAuditVal,_xlpm.MacVal&lt;&gt;"",_xlpm.MacVal,_xlpm.CSVVal&lt;&gt;"",_xlpm.CSVVal
)),"")</f>
        <v/>
      </c>
      <c r="G292" s="2" t="str" cm="1">
        <f t="array" ref="G292">IFERROR(_xlfn.LET(
_xlpm.CSVVal,_xlfn.XLOOKUP($A292,CSV!$A:$A,CSV!G:G,""),
_xlpm.MacVal,_xlfn.XLOOKUP($A292,Output_Mac!$A:$A,Output_Mac!F:F,""),
_xlpm.MyAuditVal,_xlfn.XLOOKUP($A292,My_Audit!$A:$A,My_Audit!F:F,""),
_xlfn.IFS(_xlpm.MyAuditVal&lt;&gt;"",_xlpm.MyAuditVal,_xlpm.MacVal&lt;&gt;"",_xlpm.MacVal,_xlpm.CSVVal&lt;&gt;"",PROPER(_xlpm.CSVVal)
)),"")</f>
        <v/>
      </c>
      <c r="H292" s="2" t="str" cm="1">
        <f t="array" ref="H292">IFERROR(_xlfn.LET(
_xlpm.CSVVal,_xlfn.XLOOKUP($A292,CSV!$A:$A,CSV!H:H,""),
_xlpm.MacVal,_xlfn.XLOOKUP($A292,Output_Mac!$A:$A,Output_Mac!H:H,""),
_xlpm.MyAuditVal,_xlfn.XLOOKUP($A292,My_Audit!$A:$A,My_Audit!G:G,""),
_xlfn.IFS(_xlpm.MyAuditVal&lt;&gt;"",_xlpm.MyAuditVal,_xlpm.MacVal&lt;&gt;"",_xlpm.MacVal,_xlpm.CSVVal&lt;&gt;"",_xlpm.CSVVal
)),"")</f>
        <v/>
      </c>
      <c r="I292" s="2" t="str">
        <f>_xlfn.XLOOKUP(A292,Output_Mac!A:A,Output_Mac!I:I,"")</f>
        <v/>
      </c>
      <c r="J292" s="2" t="str" cm="1">
        <f t="array" ref="J292">IFERROR(_xlfn.LET(
_xlpm.CSVVal,_xlfn.XLOOKUP($A292,CSV!$A:$A,CSV!I:I,""),
_xlpm.MacVal,_xlfn.XLOOKUP($A292,Output_Mac!$A:$A,Output_Mac!J:J,""),
_xlpm.MyAuditVal,_xlfn.XLOOKUP($A292,My_Audit!$A:$A,My_Audit!I:I,""),
_xlfn.IFS(_xlpm.MyAuditVal&lt;&gt;"",UPPER(_xlpm.MyAuditVal),_xlpm.MacVal&lt;&gt;"",_xlpm.MacVal,_xlpm.CSVVal&lt;&gt;"",_xlpm.CSVVal
)),"")</f>
        <v/>
      </c>
      <c r="K292" s="2" t="str" cm="1">
        <f t="array" ref="K292">IFERROR(_xlfn.LET(
_xlpm.CSVVal,_xlfn.XLOOKUP($A292,CSV!$A:$A,CSV!K:K,""),
_xlpm.MacVal,_xlfn.XLOOKUP($A292,Output_Mac!$A:$A,Output_Mac!K:K,""),
_xlpm.MyAuditVal,_xlfn.XLOOKUP($A292,My_Audit!$A:$A,My_Audit!J:J,""),
_xlfn.IFS(_xlpm.MyAuditVal&lt;&gt;"",UPPER(_xlpm.MyAuditVal),_xlpm.MacVal&lt;&gt;"",_xlpm.MacVal,_xlpm.CSVVal&lt;&gt;"",_xlpm.CSVVal
)),"")</f>
        <v/>
      </c>
      <c r="L292" s="2" t="str" cm="1">
        <f t="array" ref="L292">IFERROR(_xlfn.LET(
_xlpm.CSVVal,_xlfn.XLOOKUP($A292,CSV!$A:$A,CSV!P:P,""),
_xlpm.MacVal,_xlfn.XLOOKUP($A292,Output_Mac!$A:$A,Output_Mac!L:L,""),
_xlpm.MyAuditVal,_xlfn.XLOOKUP($A292,My_Audit!$A:$A,My_Audit!K:K,""),
_xlfn.IFS(_xlpm.MyAuditVal&lt;&gt;"",UPPER(_xlpm.MyAuditVal),_xlpm.MacVal&lt;&gt;"",_xlpm.MacVal,_xlpm.CSVVal&lt;&gt;"",_xlpm.CSVVal
)),"")</f>
        <v/>
      </c>
      <c r="M292" s="2" t="str" cm="1">
        <f t="array" ref="M292">IFERROR(_xlfn.LET(
_xlpm.CSVVal,_xlfn.XLOOKUP($A292,CSV!$A:$A,CSV!Q:Q,""),
_xlpm.MacVal,_xlfn.XLOOKUP($A292,Output_Mac!$A:$A,Output_Mac!M:M,""),
_xlpm.MyAuditVal,_xlfn.XLOOKUP($A292,My_Audit!$A:$A,My_Audit!L:L,""),
_xlfn.IFS(_xlpm.MyAuditVal&lt;&gt;"",UPPER(_xlpm.MyAuditVal),_xlpm.MacVal&lt;&gt;"",_xlpm.MacVal,_xlpm.CSVVal&lt;&gt;"",_xlpm.CSVVal
)),"")</f>
        <v/>
      </c>
      <c r="O292" s="2" t="str">
        <f>_xlfn.LET(
    _xlpm.CSVVal, _xlfn.XLOOKUP($A292, CSV!$A:$A, CSV!AF:AF, ""),
    _xlpm.MacVal, _xlfn.XLOOKUP($A292, Output_Mac!$A:$A, Output_Mac!S:S, ""),
    _xlpm.MyAuditVal, _xlfn.XLOOKUP($A292, My_Audit!$A:$A, My_Audit!P:P, ""),
    _xlfn.TEXTJOIN(", ", TRUE, _xlpm.MyAuditVal, _xlpm.MacVal, _xlpm.CSVVal)
)</f>
        <v/>
      </c>
      <c r="P292" s="2" t="str" cm="1">
        <f t="array" ref="P292">IFERROR(_xlfn.LET(
_xlpm.CSVVal,_xlfn.XLOOKUP($A292,CSV!$A:$A,CSV!AG:AG,""),
_xlpm.MacVal,_xlfn.XLOOKUP($A292,Output_Mac!$A:$A,Output_Mac!T:T,""),
_xlpm.MyAuditVal,_xlfn.XLOOKUP($A292,My_Audit!$A:$A,My_Audit!Q:Q,""),
_xlfn.IFS(_xlpm.MyAuditVal&lt;&gt;"",UPPER(_xlpm.MyAuditVal),_xlpm.MacVal&lt;&gt;"",_xlpm.MacVal,_xlpm.CSVVal&lt;&gt;"",_xlpm.CSVVal
)),"No")</f>
        <v>No</v>
      </c>
      <c r="Q292" s="2" t="str" cm="1">
        <f t="array" ref="Q292">IFERROR(_xlfn.LET(
_xlpm.CSVVal,_xlfn.XLOOKUP($A292,CSV!$A:$A,CSV!AH:AH,""),
_xlpm.MacVal,_xlfn.XLOOKUP($A292,Output_Mac!$A:$A,Output_Mac!U:U,""),
_xlpm.MyAuditVal,_xlfn.XLOOKUP($A292,My_Audit!$A:$A,My_Audit!R:R,""),
_xlfn.IFS(_xlpm.MyAuditVal&lt;&gt;"",UPPER(_xlpm.MyAuditVal),_xlpm.MacVal&lt;&gt;"",_xlpm.MacVal,_xlpm.CSVVal&lt;&gt;"",_xlpm.CSVVal
)),"")</f>
        <v/>
      </c>
    </row>
    <row r="293" spans="1:17">
      <c r="A293" s="2" t="str">
        <f>_xlfn.TEXTJOIN("",TRUE,Input!$B$2,ROW(My_Audit!A292))</f>
        <v>XX292</v>
      </c>
      <c r="B293" s="2" t="str">
        <f>_xlfn.TEXTJOIN("-",TRUE,"ITD",Input!$A$2,A293)</f>
        <v>ITD-SHRXXX-XX292</v>
      </c>
      <c r="C293" s="2" t="str" cm="1">
        <f t="array" ref="C293">IFERROR(_xlfn.LET(
_xlpm.CSVVal,_xlfn.XLOOKUP($A293,CSV!$A:$A,CSV!B:B,""),
_xlpm.MacVal,_xlfn.XLOOKUP($A293,Output_Mac!$A:$A,Output_Mac!B:B,""),
_xlpm.MyAuditVal,_xlfn.XLOOKUP($A293,My_Audit!$A:$A,My_Audit!B:B,""),
_xlfn.IFS(_xlpm.MyAuditVal&lt;&gt;"",UPPER(_xlpm.MyAuditVal),_xlpm.MacVal&lt;&gt;"",_xlpm.MacVal,_xlpm.CSVVal&lt;&gt;"",_xlpm.CSVVal
)),"")</f>
        <v/>
      </c>
      <c r="D293" s="2" t="str" cm="1">
        <f t="array" ref="D293">IFERROR(_xlfn.LET(
_xlpm.CSVVal,_xlfn.XLOOKUP($A293,CSV!$A:$A,CSV!D:D,""),
_xlpm.MacVal,_xlfn.XLOOKUP($A293,Output_Mac!$A:$A,Output_Mac!C:C,""),
_xlpm.MyAuditVal,_xlfn.XLOOKUP($A293,My_Audit!$A:$A,My_Audit!C:C,""),
_xlfn.IFS(_xlpm.MyAuditVal&lt;&gt;"",_xlpm.MyAuditVal,_xlpm.MacVal&lt;&gt;"",_xlpm.MacVal,_xlpm.CSVVal&lt;&gt;"",_xlpm.CSVVal
)),"")</f>
        <v/>
      </c>
      <c r="E293" s="2" t="str">
        <f>_xlfn.XLOOKUP(A293,My_Audit!A:A,My_Audit!D:D,"")&amp;""</f>
        <v/>
      </c>
      <c r="F293" s="2" t="str" cm="1">
        <f t="array" ref="F293">IFERROR(_xlfn.LET(
_xlpm.CSVVal,_xlfn.XLOOKUP($A293,CSV!$A:$A,CSV!F:F,""),
_xlpm.MacVal,_xlfn.XLOOKUP($A293,Output_Mac!$A:$A,Output_Mac!E:E,""),
_xlpm.MyAuditVal,_xlfn.XLOOKUP($A293,My_Audit!$A:$A,My_Audit!E:E,""),
_xlfn.IFS(_xlpm.MyAuditVal&lt;&gt;"",_xlpm.MyAuditVal,_xlpm.MacVal&lt;&gt;"",_xlpm.MacVal,_xlpm.CSVVal&lt;&gt;"",_xlpm.CSVVal
)),"")</f>
        <v/>
      </c>
      <c r="G293" s="2" t="str" cm="1">
        <f t="array" ref="G293">IFERROR(_xlfn.LET(
_xlpm.CSVVal,_xlfn.XLOOKUP($A293,CSV!$A:$A,CSV!G:G,""),
_xlpm.MacVal,_xlfn.XLOOKUP($A293,Output_Mac!$A:$A,Output_Mac!F:F,""),
_xlpm.MyAuditVal,_xlfn.XLOOKUP($A293,My_Audit!$A:$A,My_Audit!F:F,""),
_xlfn.IFS(_xlpm.MyAuditVal&lt;&gt;"",_xlpm.MyAuditVal,_xlpm.MacVal&lt;&gt;"",_xlpm.MacVal,_xlpm.CSVVal&lt;&gt;"",PROPER(_xlpm.CSVVal)
)),"")</f>
        <v/>
      </c>
      <c r="H293" s="2" t="str" cm="1">
        <f t="array" ref="H293">IFERROR(_xlfn.LET(
_xlpm.CSVVal,_xlfn.XLOOKUP($A293,CSV!$A:$A,CSV!H:H,""),
_xlpm.MacVal,_xlfn.XLOOKUP($A293,Output_Mac!$A:$A,Output_Mac!H:H,""),
_xlpm.MyAuditVal,_xlfn.XLOOKUP($A293,My_Audit!$A:$A,My_Audit!G:G,""),
_xlfn.IFS(_xlpm.MyAuditVal&lt;&gt;"",_xlpm.MyAuditVal,_xlpm.MacVal&lt;&gt;"",_xlpm.MacVal,_xlpm.CSVVal&lt;&gt;"",_xlpm.CSVVal
)),"")</f>
        <v/>
      </c>
      <c r="I293" s="2" t="str">
        <f>_xlfn.XLOOKUP(A293,Output_Mac!A:A,Output_Mac!I:I,"")</f>
        <v/>
      </c>
      <c r="J293" s="2" t="str" cm="1">
        <f t="array" ref="J293">IFERROR(_xlfn.LET(
_xlpm.CSVVal,_xlfn.XLOOKUP($A293,CSV!$A:$A,CSV!I:I,""),
_xlpm.MacVal,_xlfn.XLOOKUP($A293,Output_Mac!$A:$A,Output_Mac!J:J,""),
_xlpm.MyAuditVal,_xlfn.XLOOKUP($A293,My_Audit!$A:$A,My_Audit!I:I,""),
_xlfn.IFS(_xlpm.MyAuditVal&lt;&gt;"",UPPER(_xlpm.MyAuditVal),_xlpm.MacVal&lt;&gt;"",_xlpm.MacVal,_xlpm.CSVVal&lt;&gt;"",_xlpm.CSVVal
)),"")</f>
        <v/>
      </c>
      <c r="K293" s="2" t="str" cm="1">
        <f t="array" ref="K293">IFERROR(_xlfn.LET(
_xlpm.CSVVal,_xlfn.XLOOKUP($A293,CSV!$A:$A,CSV!K:K,""),
_xlpm.MacVal,_xlfn.XLOOKUP($A293,Output_Mac!$A:$A,Output_Mac!K:K,""),
_xlpm.MyAuditVal,_xlfn.XLOOKUP($A293,My_Audit!$A:$A,My_Audit!J:J,""),
_xlfn.IFS(_xlpm.MyAuditVal&lt;&gt;"",UPPER(_xlpm.MyAuditVal),_xlpm.MacVal&lt;&gt;"",_xlpm.MacVal,_xlpm.CSVVal&lt;&gt;"",_xlpm.CSVVal
)),"")</f>
        <v/>
      </c>
      <c r="L293" s="2" t="str" cm="1">
        <f t="array" ref="L293">IFERROR(_xlfn.LET(
_xlpm.CSVVal,_xlfn.XLOOKUP($A293,CSV!$A:$A,CSV!P:P,""),
_xlpm.MacVal,_xlfn.XLOOKUP($A293,Output_Mac!$A:$A,Output_Mac!L:L,""),
_xlpm.MyAuditVal,_xlfn.XLOOKUP($A293,My_Audit!$A:$A,My_Audit!K:K,""),
_xlfn.IFS(_xlpm.MyAuditVal&lt;&gt;"",UPPER(_xlpm.MyAuditVal),_xlpm.MacVal&lt;&gt;"",_xlpm.MacVal,_xlpm.CSVVal&lt;&gt;"",_xlpm.CSVVal
)),"")</f>
        <v/>
      </c>
      <c r="M293" s="2" t="str" cm="1">
        <f t="array" ref="M293">IFERROR(_xlfn.LET(
_xlpm.CSVVal,_xlfn.XLOOKUP($A293,CSV!$A:$A,CSV!Q:Q,""),
_xlpm.MacVal,_xlfn.XLOOKUP($A293,Output_Mac!$A:$A,Output_Mac!M:M,""),
_xlpm.MyAuditVal,_xlfn.XLOOKUP($A293,My_Audit!$A:$A,My_Audit!L:L,""),
_xlfn.IFS(_xlpm.MyAuditVal&lt;&gt;"",UPPER(_xlpm.MyAuditVal),_xlpm.MacVal&lt;&gt;"",_xlpm.MacVal,_xlpm.CSVVal&lt;&gt;"",_xlpm.CSVVal
)),"")</f>
        <v/>
      </c>
      <c r="O293" s="2" t="str">
        <f>_xlfn.LET(
    _xlpm.CSVVal, _xlfn.XLOOKUP($A293, CSV!$A:$A, CSV!AF:AF, ""),
    _xlpm.MacVal, _xlfn.XLOOKUP($A293, Output_Mac!$A:$A, Output_Mac!S:S, ""),
    _xlpm.MyAuditVal, _xlfn.XLOOKUP($A293, My_Audit!$A:$A, My_Audit!P:P, ""),
    _xlfn.TEXTJOIN(", ", TRUE, _xlpm.MyAuditVal, _xlpm.MacVal, _xlpm.CSVVal)
)</f>
        <v/>
      </c>
      <c r="P293" s="2" t="str" cm="1">
        <f t="array" ref="P293">IFERROR(_xlfn.LET(
_xlpm.CSVVal,_xlfn.XLOOKUP($A293,CSV!$A:$A,CSV!AG:AG,""),
_xlpm.MacVal,_xlfn.XLOOKUP($A293,Output_Mac!$A:$A,Output_Mac!T:T,""),
_xlpm.MyAuditVal,_xlfn.XLOOKUP($A293,My_Audit!$A:$A,My_Audit!Q:Q,""),
_xlfn.IFS(_xlpm.MyAuditVal&lt;&gt;"",UPPER(_xlpm.MyAuditVal),_xlpm.MacVal&lt;&gt;"",_xlpm.MacVal,_xlpm.CSVVal&lt;&gt;"",_xlpm.CSVVal
)),"No")</f>
        <v>No</v>
      </c>
      <c r="Q293" s="2" t="str" cm="1">
        <f t="array" ref="Q293">IFERROR(_xlfn.LET(
_xlpm.CSVVal,_xlfn.XLOOKUP($A293,CSV!$A:$A,CSV!AH:AH,""),
_xlpm.MacVal,_xlfn.XLOOKUP($A293,Output_Mac!$A:$A,Output_Mac!U:U,""),
_xlpm.MyAuditVal,_xlfn.XLOOKUP($A293,My_Audit!$A:$A,My_Audit!R:R,""),
_xlfn.IFS(_xlpm.MyAuditVal&lt;&gt;"",UPPER(_xlpm.MyAuditVal),_xlpm.MacVal&lt;&gt;"",_xlpm.MacVal,_xlpm.CSVVal&lt;&gt;"",_xlpm.CSVVal
)),"")</f>
        <v/>
      </c>
    </row>
    <row r="294" spans="1:17">
      <c r="A294" s="2" t="str">
        <f>_xlfn.TEXTJOIN("",TRUE,Input!$B$2,ROW(My_Audit!A293))</f>
        <v>XX293</v>
      </c>
      <c r="B294" s="2" t="str">
        <f>_xlfn.TEXTJOIN("-",TRUE,"ITD",Input!$A$2,A294)</f>
        <v>ITD-SHRXXX-XX293</v>
      </c>
      <c r="C294" s="2" t="str" cm="1">
        <f t="array" ref="C294">IFERROR(_xlfn.LET(
_xlpm.CSVVal,_xlfn.XLOOKUP($A294,CSV!$A:$A,CSV!B:B,""),
_xlpm.MacVal,_xlfn.XLOOKUP($A294,Output_Mac!$A:$A,Output_Mac!B:B,""),
_xlpm.MyAuditVal,_xlfn.XLOOKUP($A294,My_Audit!$A:$A,My_Audit!B:B,""),
_xlfn.IFS(_xlpm.MyAuditVal&lt;&gt;"",UPPER(_xlpm.MyAuditVal),_xlpm.MacVal&lt;&gt;"",_xlpm.MacVal,_xlpm.CSVVal&lt;&gt;"",_xlpm.CSVVal
)),"")</f>
        <v/>
      </c>
      <c r="D294" s="2" t="str" cm="1">
        <f t="array" ref="D294">IFERROR(_xlfn.LET(
_xlpm.CSVVal,_xlfn.XLOOKUP($A294,CSV!$A:$A,CSV!D:D,""),
_xlpm.MacVal,_xlfn.XLOOKUP($A294,Output_Mac!$A:$A,Output_Mac!C:C,""),
_xlpm.MyAuditVal,_xlfn.XLOOKUP($A294,My_Audit!$A:$A,My_Audit!C:C,""),
_xlfn.IFS(_xlpm.MyAuditVal&lt;&gt;"",_xlpm.MyAuditVal,_xlpm.MacVal&lt;&gt;"",_xlpm.MacVal,_xlpm.CSVVal&lt;&gt;"",_xlpm.CSVVal
)),"")</f>
        <v/>
      </c>
      <c r="E294" s="2" t="str">
        <f>_xlfn.XLOOKUP(A294,My_Audit!A:A,My_Audit!D:D,"")&amp;""</f>
        <v/>
      </c>
      <c r="F294" s="2" t="str" cm="1">
        <f t="array" ref="F294">IFERROR(_xlfn.LET(
_xlpm.CSVVal,_xlfn.XLOOKUP($A294,CSV!$A:$A,CSV!F:F,""),
_xlpm.MacVal,_xlfn.XLOOKUP($A294,Output_Mac!$A:$A,Output_Mac!E:E,""),
_xlpm.MyAuditVal,_xlfn.XLOOKUP($A294,My_Audit!$A:$A,My_Audit!E:E,""),
_xlfn.IFS(_xlpm.MyAuditVal&lt;&gt;"",_xlpm.MyAuditVal,_xlpm.MacVal&lt;&gt;"",_xlpm.MacVal,_xlpm.CSVVal&lt;&gt;"",_xlpm.CSVVal
)),"")</f>
        <v/>
      </c>
      <c r="G294" s="2" t="str" cm="1">
        <f t="array" ref="G294">IFERROR(_xlfn.LET(
_xlpm.CSVVal,_xlfn.XLOOKUP($A294,CSV!$A:$A,CSV!G:G,""),
_xlpm.MacVal,_xlfn.XLOOKUP($A294,Output_Mac!$A:$A,Output_Mac!F:F,""),
_xlpm.MyAuditVal,_xlfn.XLOOKUP($A294,My_Audit!$A:$A,My_Audit!F:F,""),
_xlfn.IFS(_xlpm.MyAuditVal&lt;&gt;"",_xlpm.MyAuditVal,_xlpm.MacVal&lt;&gt;"",_xlpm.MacVal,_xlpm.CSVVal&lt;&gt;"",PROPER(_xlpm.CSVVal)
)),"")</f>
        <v/>
      </c>
      <c r="H294" s="2" t="str" cm="1">
        <f t="array" ref="H294">IFERROR(_xlfn.LET(
_xlpm.CSVVal,_xlfn.XLOOKUP($A294,CSV!$A:$A,CSV!H:H,""),
_xlpm.MacVal,_xlfn.XLOOKUP($A294,Output_Mac!$A:$A,Output_Mac!H:H,""),
_xlpm.MyAuditVal,_xlfn.XLOOKUP($A294,My_Audit!$A:$A,My_Audit!G:G,""),
_xlfn.IFS(_xlpm.MyAuditVal&lt;&gt;"",_xlpm.MyAuditVal,_xlpm.MacVal&lt;&gt;"",_xlpm.MacVal,_xlpm.CSVVal&lt;&gt;"",_xlpm.CSVVal
)),"")</f>
        <v/>
      </c>
      <c r="I294" s="2" t="str">
        <f>_xlfn.XLOOKUP(A294,Output_Mac!A:A,Output_Mac!I:I,"")</f>
        <v/>
      </c>
      <c r="J294" s="2" t="str" cm="1">
        <f t="array" ref="J294">IFERROR(_xlfn.LET(
_xlpm.CSVVal,_xlfn.XLOOKUP($A294,CSV!$A:$A,CSV!I:I,""),
_xlpm.MacVal,_xlfn.XLOOKUP($A294,Output_Mac!$A:$A,Output_Mac!J:J,""),
_xlpm.MyAuditVal,_xlfn.XLOOKUP($A294,My_Audit!$A:$A,My_Audit!I:I,""),
_xlfn.IFS(_xlpm.MyAuditVal&lt;&gt;"",UPPER(_xlpm.MyAuditVal),_xlpm.MacVal&lt;&gt;"",_xlpm.MacVal,_xlpm.CSVVal&lt;&gt;"",_xlpm.CSVVal
)),"")</f>
        <v/>
      </c>
      <c r="K294" s="2" t="str" cm="1">
        <f t="array" ref="K294">IFERROR(_xlfn.LET(
_xlpm.CSVVal,_xlfn.XLOOKUP($A294,CSV!$A:$A,CSV!K:K,""),
_xlpm.MacVal,_xlfn.XLOOKUP($A294,Output_Mac!$A:$A,Output_Mac!K:K,""),
_xlpm.MyAuditVal,_xlfn.XLOOKUP($A294,My_Audit!$A:$A,My_Audit!J:J,""),
_xlfn.IFS(_xlpm.MyAuditVal&lt;&gt;"",UPPER(_xlpm.MyAuditVal),_xlpm.MacVal&lt;&gt;"",_xlpm.MacVal,_xlpm.CSVVal&lt;&gt;"",_xlpm.CSVVal
)),"")</f>
        <v/>
      </c>
      <c r="L294" s="2" t="str" cm="1">
        <f t="array" ref="L294">IFERROR(_xlfn.LET(
_xlpm.CSVVal,_xlfn.XLOOKUP($A294,CSV!$A:$A,CSV!P:P,""),
_xlpm.MacVal,_xlfn.XLOOKUP($A294,Output_Mac!$A:$A,Output_Mac!L:L,""),
_xlpm.MyAuditVal,_xlfn.XLOOKUP($A294,My_Audit!$A:$A,My_Audit!K:K,""),
_xlfn.IFS(_xlpm.MyAuditVal&lt;&gt;"",UPPER(_xlpm.MyAuditVal),_xlpm.MacVal&lt;&gt;"",_xlpm.MacVal,_xlpm.CSVVal&lt;&gt;"",_xlpm.CSVVal
)),"")</f>
        <v/>
      </c>
      <c r="M294" s="2" t="str" cm="1">
        <f t="array" ref="M294">IFERROR(_xlfn.LET(
_xlpm.CSVVal,_xlfn.XLOOKUP($A294,CSV!$A:$A,CSV!Q:Q,""),
_xlpm.MacVal,_xlfn.XLOOKUP($A294,Output_Mac!$A:$A,Output_Mac!M:M,""),
_xlpm.MyAuditVal,_xlfn.XLOOKUP($A294,My_Audit!$A:$A,My_Audit!L:L,""),
_xlfn.IFS(_xlpm.MyAuditVal&lt;&gt;"",UPPER(_xlpm.MyAuditVal),_xlpm.MacVal&lt;&gt;"",_xlpm.MacVal,_xlpm.CSVVal&lt;&gt;"",_xlpm.CSVVal
)),"")</f>
        <v/>
      </c>
      <c r="O294" s="2" t="str">
        <f>_xlfn.LET(
    _xlpm.CSVVal, _xlfn.XLOOKUP($A294, CSV!$A:$A, CSV!AF:AF, ""),
    _xlpm.MacVal, _xlfn.XLOOKUP($A294, Output_Mac!$A:$A, Output_Mac!S:S, ""),
    _xlpm.MyAuditVal, _xlfn.XLOOKUP($A294, My_Audit!$A:$A, My_Audit!P:P, ""),
    _xlfn.TEXTJOIN(", ", TRUE, _xlpm.MyAuditVal, _xlpm.MacVal, _xlpm.CSVVal)
)</f>
        <v/>
      </c>
      <c r="P294" s="2" t="str" cm="1">
        <f t="array" ref="P294">IFERROR(_xlfn.LET(
_xlpm.CSVVal,_xlfn.XLOOKUP($A294,CSV!$A:$A,CSV!AG:AG,""),
_xlpm.MacVal,_xlfn.XLOOKUP($A294,Output_Mac!$A:$A,Output_Mac!T:T,""),
_xlpm.MyAuditVal,_xlfn.XLOOKUP($A294,My_Audit!$A:$A,My_Audit!Q:Q,""),
_xlfn.IFS(_xlpm.MyAuditVal&lt;&gt;"",UPPER(_xlpm.MyAuditVal),_xlpm.MacVal&lt;&gt;"",_xlpm.MacVal,_xlpm.CSVVal&lt;&gt;"",_xlpm.CSVVal
)),"No")</f>
        <v>No</v>
      </c>
      <c r="Q294" s="2" t="str" cm="1">
        <f t="array" ref="Q294">IFERROR(_xlfn.LET(
_xlpm.CSVVal,_xlfn.XLOOKUP($A294,CSV!$A:$A,CSV!AH:AH,""),
_xlpm.MacVal,_xlfn.XLOOKUP($A294,Output_Mac!$A:$A,Output_Mac!U:U,""),
_xlpm.MyAuditVal,_xlfn.XLOOKUP($A294,My_Audit!$A:$A,My_Audit!R:R,""),
_xlfn.IFS(_xlpm.MyAuditVal&lt;&gt;"",UPPER(_xlpm.MyAuditVal),_xlpm.MacVal&lt;&gt;"",_xlpm.MacVal,_xlpm.CSVVal&lt;&gt;"",_xlpm.CSVVal
)),"")</f>
        <v/>
      </c>
    </row>
    <row r="295" spans="1:17">
      <c r="A295" s="2" t="str">
        <f>_xlfn.TEXTJOIN("",TRUE,Input!$B$2,ROW(My_Audit!A294))</f>
        <v>XX294</v>
      </c>
      <c r="B295" s="2" t="str">
        <f>_xlfn.TEXTJOIN("-",TRUE,"ITD",Input!$A$2,A295)</f>
        <v>ITD-SHRXXX-XX294</v>
      </c>
      <c r="C295" s="2" t="str" cm="1">
        <f t="array" ref="C295">IFERROR(_xlfn.LET(
_xlpm.CSVVal,_xlfn.XLOOKUP($A295,CSV!$A:$A,CSV!B:B,""),
_xlpm.MacVal,_xlfn.XLOOKUP($A295,Output_Mac!$A:$A,Output_Mac!B:B,""),
_xlpm.MyAuditVal,_xlfn.XLOOKUP($A295,My_Audit!$A:$A,My_Audit!B:B,""),
_xlfn.IFS(_xlpm.MyAuditVal&lt;&gt;"",UPPER(_xlpm.MyAuditVal),_xlpm.MacVal&lt;&gt;"",_xlpm.MacVal,_xlpm.CSVVal&lt;&gt;"",_xlpm.CSVVal
)),"")</f>
        <v/>
      </c>
      <c r="D295" s="2" t="str" cm="1">
        <f t="array" ref="D295">IFERROR(_xlfn.LET(
_xlpm.CSVVal,_xlfn.XLOOKUP($A295,CSV!$A:$A,CSV!D:D,""),
_xlpm.MacVal,_xlfn.XLOOKUP($A295,Output_Mac!$A:$A,Output_Mac!C:C,""),
_xlpm.MyAuditVal,_xlfn.XLOOKUP($A295,My_Audit!$A:$A,My_Audit!C:C,""),
_xlfn.IFS(_xlpm.MyAuditVal&lt;&gt;"",_xlpm.MyAuditVal,_xlpm.MacVal&lt;&gt;"",_xlpm.MacVal,_xlpm.CSVVal&lt;&gt;"",_xlpm.CSVVal
)),"")</f>
        <v/>
      </c>
      <c r="E295" s="2" t="str">
        <f>_xlfn.XLOOKUP(A295,My_Audit!A:A,My_Audit!D:D,"")&amp;""</f>
        <v/>
      </c>
      <c r="F295" s="2" t="str" cm="1">
        <f t="array" ref="F295">IFERROR(_xlfn.LET(
_xlpm.CSVVal,_xlfn.XLOOKUP($A295,CSV!$A:$A,CSV!F:F,""),
_xlpm.MacVal,_xlfn.XLOOKUP($A295,Output_Mac!$A:$A,Output_Mac!E:E,""),
_xlpm.MyAuditVal,_xlfn.XLOOKUP($A295,My_Audit!$A:$A,My_Audit!E:E,""),
_xlfn.IFS(_xlpm.MyAuditVal&lt;&gt;"",_xlpm.MyAuditVal,_xlpm.MacVal&lt;&gt;"",_xlpm.MacVal,_xlpm.CSVVal&lt;&gt;"",_xlpm.CSVVal
)),"")</f>
        <v/>
      </c>
      <c r="G295" s="2" t="str" cm="1">
        <f t="array" ref="G295">IFERROR(_xlfn.LET(
_xlpm.CSVVal,_xlfn.XLOOKUP($A295,CSV!$A:$A,CSV!G:G,""),
_xlpm.MacVal,_xlfn.XLOOKUP($A295,Output_Mac!$A:$A,Output_Mac!F:F,""),
_xlpm.MyAuditVal,_xlfn.XLOOKUP($A295,My_Audit!$A:$A,My_Audit!F:F,""),
_xlfn.IFS(_xlpm.MyAuditVal&lt;&gt;"",_xlpm.MyAuditVal,_xlpm.MacVal&lt;&gt;"",_xlpm.MacVal,_xlpm.CSVVal&lt;&gt;"",PROPER(_xlpm.CSVVal)
)),"")</f>
        <v/>
      </c>
      <c r="H295" s="2" t="str" cm="1">
        <f t="array" ref="H295">IFERROR(_xlfn.LET(
_xlpm.CSVVal,_xlfn.XLOOKUP($A295,CSV!$A:$A,CSV!H:H,""),
_xlpm.MacVal,_xlfn.XLOOKUP($A295,Output_Mac!$A:$A,Output_Mac!H:H,""),
_xlpm.MyAuditVal,_xlfn.XLOOKUP($A295,My_Audit!$A:$A,My_Audit!G:G,""),
_xlfn.IFS(_xlpm.MyAuditVal&lt;&gt;"",_xlpm.MyAuditVal,_xlpm.MacVal&lt;&gt;"",_xlpm.MacVal,_xlpm.CSVVal&lt;&gt;"",_xlpm.CSVVal
)),"")</f>
        <v/>
      </c>
      <c r="I295" s="2" t="str">
        <f>_xlfn.XLOOKUP(A295,Output_Mac!A:A,Output_Mac!I:I,"")</f>
        <v/>
      </c>
      <c r="J295" s="2" t="str" cm="1">
        <f t="array" ref="J295">IFERROR(_xlfn.LET(
_xlpm.CSVVal,_xlfn.XLOOKUP($A295,CSV!$A:$A,CSV!I:I,""),
_xlpm.MacVal,_xlfn.XLOOKUP($A295,Output_Mac!$A:$A,Output_Mac!J:J,""),
_xlpm.MyAuditVal,_xlfn.XLOOKUP($A295,My_Audit!$A:$A,My_Audit!I:I,""),
_xlfn.IFS(_xlpm.MyAuditVal&lt;&gt;"",UPPER(_xlpm.MyAuditVal),_xlpm.MacVal&lt;&gt;"",_xlpm.MacVal,_xlpm.CSVVal&lt;&gt;"",_xlpm.CSVVal
)),"")</f>
        <v/>
      </c>
      <c r="K295" s="2" t="str" cm="1">
        <f t="array" ref="K295">IFERROR(_xlfn.LET(
_xlpm.CSVVal,_xlfn.XLOOKUP($A295,CSV!$A:$A,CSV!K:K,""),
_xlpm.MacVal,_xlfn.XLOOKUP($A295,Output_Mac!$A:$A,Output_Mac!K:K,""),
_xlpm.MyAuditVal,_xlfn.XLOOKUP($A295,My_Audit!$A:$A,My_Audit!J:J,""),
_xlfn.IFS(_xlpm.MyAuditVal&lt;&gt;"",UPPER(_xlpm.MyAuditVal),_xlpm.MacVal&lt;&gt;"",_xlpm.MacVal,_xlpm.CSVVal&lt;&gt;"",_xlpm.CSVVal
)),"")</f>
        <v/>
      </c>
      <c r="L295" s="2" t="str" cm="1">
        <f t="array" ref="L295">IFERROR(_xlfn.LET(
_xlpm.CSVVal,_xlfn.XLOOKUP($A295,CSV!$A:$A,CSV!P:P,""),
_xlpm.MacVal,_xlfn.XLOOKUP($A295,Output_Mac!$A:$A,Output_Mac!L:L,""),
_xlpm.MyAuditVal,_xlfn.XLOOKUP($A295,My_Audit!$A:$A,My_Audit!K:K,""),
_xlfn.IFS(_xlpm.MyAuditVal&lt;&gt;"",UPPER(_xlpm.MyAuditVal),_xlpm.MacVal&lt;&gt;"",_xlpm.MacVal,_xlpm.CSVVal&lt;&gt;"",_xlpm.CSVVal
)),"")</f>
        <v/>
      </c>
      <c r="M295" s="2" t="str" cm="1">
        <f t="array" ref="M295">IFERROR(_xlfn.LET(
_xlpm.CSVVal,_xlfn.XLOOKUP($A295,CSV!$A:$A,CSV!Q:Q,""),
_xlpm.MacVal,_xlfn.XLOOKUP($A295,Output_Mac!$A:$A,Output_Mac!M:M,""),
_xlpm.MyAuditVal,_xlfn.XLOOKUP($A295,My_Audit!$A:$A,My_Audit!L:L,""),
_xlfn.IFS(_xlpm.MyAuditVal&lt;&gt;"",UPPER(_xlpm.MyAuditVal),_xlpm.MacVal&lt;&gt;"",_xlpm.MacVal,_xlpm.CSVVal&lt;&gt;"",_xlpm.CSVVal
)),"")</f>
        <v/>
      </c>
      <c r="O295" s="2" t="str">
        <f>_xlfn.LET(
    _xlpm.CSVVal, _xlfn.XLOOKUP($A295, CSV!$A:$A, CSV!AF:AF, ""),
    _xlpm.MacVal, _xlfn.XLOOKUP($A295, Output_Mac!$A:$A, Output_Mac!S:S, ""),
    _xlpm.MyAuditVal, _xlfn.XLOOKUP($A295, My_Audit!$A:$A, My_Audit!P:P, ""),
    _xlfn.TEXTJOIN(", ", TRUE, _xlpm.MyAuditVal, _xlpm.MacVal, _xlpm.CSVVal)
)</f>
        <v/>
      </c>
      <c r="P295" s="2" t="str" cm="1">
        <f t="array" ref="P295">IFERROR(_xlfn.LET(
_xlpm.CSVVal,_xlfn.XLOOKUP($A295,CSV!$A:$A,CSV!AG:AG,""),
_xlpm.MacVal,_xlfn.XLOOKUP($A295,Output_Mac!$A:$A,Output_Mac!T:T,""),
_xlpm.MyAuditVal,_xlfn.XLOOKUP($A295,My_Audit!$A:$A,My_Audit!Q:Q,""),
_xlfn.IFS(_xlpm.MyAuditVal&lt;&gt;"",UPPER(_xlpm.MyAuditVal),_xlpm.MacVal&lt;&gt;"",_xlpm.MacVal,_xlpm.CSVVal&lt;&gt;"",_xlpm.CSVVal
)),"No")</f>
        <v>No</v>
      </c>
      <c r="Q295" s="2" t="str" cm="1">
        <f t="array" ref="Q295">IFERROR(_xlfn.LET(
_xlpm.CSVVal,_xlfn.XLOOKUP($A295,CSV!$A:$A,CSV!AH:AH,""),
_xlpm.MacVal,_xlfn.XLOOKUP($A295,Output_Mac!$A:$A,Output_Mac!U:U,""),
_xlpm.MyAuditVal,_xlfn.XLOOKUP($A295,My_Audit!$A:$A,My_Audit!R:R,""),
_xlfn.IFS(_xlpm.MyAuditVal&lt;&gt;"",UPPER(_xlpm.MyAuditVal),_xlpm.MacVal&lt;&gt;"",_xlpm.MacVal,_xlpm.CSVVal&lt;&gt;"",_xlpm.CSVVal
)),"")</f>
        <v/>
      </c>
    </row>
    <row r="296" spans="1:17">
      <c r="A296" s="2" t="str">
        <f>_xlfn.TEXTJOIN("",TRUE,Input!$B$2,ROW(My_Audit!A295))</f>
        <v>XX295</v>
      </c>
      <c r="B296" s="2" t="str">
        <f>_xlfn.TEXTJOIN("-",TRUE,"ITD",Input!$A$2,A296)</f>
        <v>ITD-SHRXXX-XX295</v>
      </c>
      <c r="C296" s="2" t="str" cm="1">
        <f t="array" ref="C296">IFERROR(_xlfn.LET(
_xlpm.CSVVal,_xlfn.XLOOKUP($A296,CSV!$A:$A,CSV!B:B,""),
_xlpm.MacVal,_xlfn.XLOOKUP($A296,Output_Mac!$A:$A,Output_Mac!B:B,""),
_xlpm.MyAuditVal,_xlfn.XLOOKUP($A296,My_Audit!$A:$A,My_Audit!B:B,""),
_xlfn.IFS(_xlpm.MyAuditVal&lt;&gt;"",UPPER(_xlpm.MyAuditVal),_xlpm.MacVal&lt;&gt;"",_xlpm.MacVal,_xlpm.CSVVal&lt;&gt;"",_xlpm.CSVVal
)),"")</f>
        <v/>
      </c>
      <c r="D296" s="2" t="str" cm="1">
        <f t="array" ref="D296">IFERROR(_xlfn.LET(
_xlpm.CSVVal,_xlfn.XLOOKUP($A296,CSV!$A:$A,CSV!D:D,""),
_xlpm.MacVal,_xlfn.XLOOKUP($A296,Output_Mac!$A:$A,Output_Mac!C:C,""),
_xlpm.MyAuditVal,_xlfn.XLOOKUP($A296,My_Audit!$A:$A,My_Audit!C:C,""),
_xlfn.IFS(_xlpm.MyAuditVal&lt;&gt;"",_xlpm.MyAuditVal,_xlpm.MacVal&lt;&gt;"",_xlpm.MacVal,_xlpm.CSVVal&lt;&gt;"",_xlpm.CSVVal
)),"")</f>
        <v/>
      </c>
      <c r="E296" s="2" t="str">
        <f>_xlfn.XLOOKUP(A296,My_Audit!A:A,My_Audit!D:D,"")&amp;""</f>
        <v/>
      </c>
      <c r="F296" s="2" t="str" cm="1">
        <f t="array" ref="F296">IFERROR(_xlfn.LET(
_xlpm.CSVVal,_xlfn.XLOOKUP($A296,CSV!$A:$A,CSV!F:F,""),
_xlpm.MacVal,_xlfn.XLOOKUP($A296,Output_Mac!$A:$A,Output_Mac!E:E,""),
_xlpm.MyAuditVal,_xlfn.XLOOKUP($A296,My_Audit!$A:$A,My_Audit!E:E,""),
_xlfn.IFS(_xlpm.MyAuditVal&lt;&gt;"",_xlpm.MyAuditVal,_xlpm.MacVal&lt;&gt;"",_xlpm.MacVal,_xlpm.CSVVal&lt;&gt;"",_xlpm.CSVVal
)),"")</f>
        <v/>
      </c>
      <c r="G296" s="2" t="str" cm="1">
        <f t="array" ref="G296">IFERROR(_xlfn.LET(
_xlpm.CSVVal,_xlfn.XLOOKUP($A296,CSV!$A:$A,CSV!G:G,""),
_xlpm.MacVal,_xlfn.XLOOKUP($A296,Output_Mac!$A:$A,Output_Mac!F:F,""),
_xlpm.MyAuditVal,_xlfn.XLOOKUP($A296,My_Audit!$A:$A,My_Audit!F:F,""),
_xlfn.IFS(_xlpm.MyAuditVal&lt;&gt;"",_xlpm.MyAuditVal,_xlpm.MacVal&lt;&gt;"",_xlpm.MacVal,_xlpm.CSVVal&lt;&gt;"",PROPER(_xlpm.CSVVal)
)),"")</f>
        <v/>
      </c>
      <c r="H296" s="2" t="str" cm="1">
        <f t="array" ref="H296">IFERROR(_xlfn.LET(
_xlpm.CSVVal,_xlfn.XLOOKUP($A296,CSV!$A:$A,CSV!H:H,""),
_xlpm.MacVal,_xlfn.XLOOKUP($A296,Output_Mac!$A:$A,Output_Mac!H:H,""),
_xlpm.MyAuditVal,_xlfn.XLOOKUP($A296,My_Audit!$A:$A,My_Audit!G:G,""),
_xlfn.IFS(_xlpm.MyAuditVal&lt;&gt;"",_xlpm.MyAuditVal,_xlpm.MacVal&lt;&gt;"",_xlpm.MacVal,_xlpm.CSVVal&lt;&gt;"",_xlpm.CSVVal
)),"")</f>
        <v/>
      </c>
      <c r="I296" s="2" t="str">
        <f>_xlfn.XLOOKUP(A296,Output_Mac!A:A,Output_Mac!I:I,"")</f>
        <v/>
      </c>
      <c r="J296" s="2" t="str" cm="1">
        <f t="array" ref="J296">IFERROR(_xlfn.LET(
_xlpm.CSVVal,_xlfn.XLOOKUP($A296,CSV!$A:$A,CSV!I:I,""),
_xlpm.MacVal,_xlfn.XLOOKUP($A296,Output_Mac!$A:$A,Output_Mac!J:J,""),
_xlpm.MyAuditVal,_xlfn.XLOOKUP($A296,My_Audit!$A:$A,My_Audit!I:I,""),
_xlfn.IFS(_xlpm.MyAuditVal&lt;&gt;"",UPPER(_xlpm.MyAuditVal),_xlpm.MacVal&lt;&gt;"",_xlpm.MacVal,_xlpm.CSVVal&lt;&gt;"",_xlpm.CSVVal
)),"")</f>
        <v/>
      </c>
      <c r="K296" s="2" t="str" cm="1">
        <f t="array" ref="K296">IFERROR(_xlfn.LET(
_xlpm.CSVVal,_xlfn.XLOOKUP($A296,CSV!$A:$A,CSV!K:K,""),
_xlpm.MacVal,_xlfn.XLOOKUP($A296,Output_Mac!$A:$A,Output_Mac!K:K,""),
_xlpm.MyAuditVal,_xlfn.XLOOKUP($A296,My_Audit!$A:$A,My_Audit!J:J,""),
_xlfn.IFS(_xlpm.MyAuditVal&lt;&gt;"",UPPER(_xlpm.MyAuditVal),_xlpm.MacVal&lt;&gt;"",_xlpm.MacVal,_xlpm.CSVVal&lt;&gt;"",_xlpm.CSVVal
)),"")</f>
        <v/>
      </c>
      <c r="L296" s="2" t="str" cm="1">
        <f t="array" ref="L296">IFERROR(_xlfn.LET(
_xlpm.CSVVal,_xlfn.XLOOKUP($A296,CSV!$A:$A,CSV!P:P,""),
_xlpm.MacVal,_xlfn.XLOOKUP($A296,Output_Mac!$A:$A,Output_Mac!L:L,""),
_xlpm.MyAuditVal,_xlfn.XLOOKUP($A296,My_Audit!$A:$A,My_Audit!K:K,""),
_xlfn.IFS(_xlpm.MyAuditVal&lt;&gt;"",UPPER(_xlpm.MyAuditVal),_xlpm.MacVal&lt;&gt;"",_xlpm.MacVal,_xlpm.CSVVal&lt;&gt;"",_xlpm.CSVVal
)),"")</f>
        <v/>
      </c>
      <c r="M296" s="2" t="str" cm="1">
        <f t="array" ref="M296">IFERROR(_xlfn.LET(
_xlpm.CSVVal,_xlfn.XLOOKUP($A296,CSV!$A:$A,CSV!Q:Q,""),
_xlpm.MacVal,_xlfn.XLOOKUP($A296,Output_Mac!$A:$A,Output_Mac!M:M,""),
_xlpm.MyAuditVal,_xlfn.XLOOKUP($A296,My_Audit!$A:$A,My_Audit!L:L,""),
_xlfn.IFS(_xlpm.MyAuditVal&lt;&gt;"",UPPER(_xlpm.MyAuditVal),_xlpm.MacVal&lt;&gt;"",_xlpm.MacVal,_xlpm.CSVVal&lt;&gt;"",_xlpm.CSVVal
)),"")</f>
        <v/>
      </c>
      <c r="O296" s="2" t="str">
        <f>_xlfn.LET(
    _xlpm.CSVVal, _xlfn.XLOOKUP($A296, CSV!$A:$A, CSV!AF:AF, ""),
    _xlpm.MacVal, _xlfn.XLOOKUP($A296, Output_Mac!$A:$A, Output_Mac!S:S, ""),
    _xlpm.MyAuditVal, _xlfn.XLOOKUP($A296, My_Audit!$A:$A, My_Audit!P:P, ""),
    _xlfn.TEXTJOIN(", ", TRUE, _xlpm.MyAuditVal, _xlpm.MacVal, _xlpm.CSVVal)
)</f>
        <v/>
      </c>
      <c r="P296" s="2" t="str" cm="1">
        <f t="array" ref="P296">IFERROR(_xlfn.LET(
_xlpm.CSVVal,_xlfn.XLOOKUP($A296,CSV!$A:$A,CSV!AG:AG,""),
_xlpm.MacVal,_xlfn.XLOOKUP($A296,Output_Mac!$A:$A,Output_Mac!T:T,""),
_xlpm.MyAuditVal,_xlfn.XLOOKUP($A296,My_Audit!$A:$A,My_Audit!Q:Q,""),
_xlfn.IFS(_xlpm.MyAuditVal&lt;&gt;"",UPPER(_xlpm.MyAuditVal),_xlpm.MacVal&lt;&gt;"",_xlpm.MacVal,_xlpm.CSVVal&lt;&gt;"",_xlpm.CSVVal
)),"No")</f>
        <v>No</v>
      </c>
      <c r="Q296" s="2" t="str" cm="1">
        <f t="array" ref="Q296">IFERROR(_xlfn.LET(
_xlpm.CSVVal,_xlfn.XLOOKUP($A296,CSV!$A:$A,CSV!AH:AH,""),
_xlpm.MacVal,_xlfn.XLOOKUP($A296,Output_Mac!$A:$A,Output_Mac!U:U,""),
_xlpm.MyAuditVal,_xlfn.XLOOKUP($A296,My_Audit!$A:$A,My_Audit!R:R,""),
_xlfn.IFS(_xlpm.MyAuditVal&lt;&gt;"",UPPER(_xlpm.MyAuditVal),_xlpm.MacVal&lt;&gt;"",_xlpm.MacVal,_xlpm.CSVVal&lt;&gt;"",_xlpm.CSVVal
)),"")</f>
        <v/>
      </c>
    </row>
    <row r="297" spans="1:17">
      <c r="A297" s="2" t="str">
        <f>_xlfn.TEXTJOIN("",TRUE,Input!$B$2,ROW(My_Audit!A296))</f>
        <v>XX296</v>
      </c>
      <c r="B297" s="2" t="str">
        <f>_xlfn.TEXTJOIN("-",TRUE,"ITD",Input!$A$2,A297)</f>
        <v>ITD-SHRXXX-XX296</v>
      </c>
      <c r="C297" s="2" t="str" cm="1">
        <f t="array" ref="C297">IFERROR(_xlfn.LET(
_xlpm.CSVVal,_xlfn.XLOOKUP($A297,CSV!$A:$A,CSV!B:B,""),
_xlpm.MacVal,_xlfn.XLOOKUP($A297,Output_Mac!$A:$A,Output_Mac!B:B,""),
_xlpm.MyAuditVal,_xlfn.XLOOKUP($A297,My_Audit!$A:$A,My_Audit!B:B,""),
_xlfn.IFS(_xlpm.MyAuditVal&lt;&gt;"",UPPER(_xlpm.MyAuditVal),_xlpm.MacVal&lt;&gt;"",_xlpm.MacVal,_xlpm.CSVVal&lt;&gt;"",_xlpm.CSVVal
)),"")</f>
        <v/>
      </c>
      <c r="D297" s="2" t="str" cm="1">
        <f t="array" ref="D297">IFERROR(_xlfn.LET(
_xlpm.CSVVal,_xlfn.XLOOKUP($A297,CSV!$A:$A,CSV!D:D,""),
_xlpm.MacVal,_xlfn.XLOOKUP($A297,Output_Mac!$A:$A,Output_Mac!C:C,""),
_xlpm.MyAuditVal,_xlfn.XLOOKUP($A297,My_Audit!$A:$A,My_Audit!C:C,""),
_xlfn.IFS(_xlpm.MyAuditVal&lt;&gt;"",_xlpm.MyAuditVal,_xlpm.MacVal&lt;&gt;"",_xlpm.MacVal,_xlpm.CSVVal&lt;&gt;"",_xlpm.CSVVal
)),"")</f>
        <v/>
      </c>
      <c r="E297" s="2" t="str">
        <f>_xlfn.XLOOKUP(A297,My_Audit!A:A,My_Audit!D:D,"")&amp;""</f>
        <v/>
      </c>
      <c r="F297" s="2" t="str" cm="1">
        <f t="array" ref="F297">IFERROR(_xlfn.LET(
_xlpm.CSVVal,_xlfn.XLOOKUP($A297,CSV!$A:$A,CSV!F:F,""),
_xlpm.MacVal,_xlfn.XLOOKUP($A297,Output_Mac!$A:$A,Output_Mac!E:E,""),
_xlpm.MyAuditVal,_xlfn.XLOOKUP($A297,My_Audit!$A:$A,My_Audit!E:E,""),
_xlfn.IFS(_xlpm.MyAuditVal&lt;&gt;"",_xlpm.MyAuditVal,_xlpm.MacVal&lt;&gt;"",_xlpm.MacVal,_xlpm.CSVVal&lt;&gt;"",_xlpm.CSVVal
)),"")</f>
        <v/>
      </c>
      <c r="G297" s="2" t="str" cm="1">
        <f t="array" ref="G297">IFERROR(_xlfn.LET(
_xlpm.CSVVal,_xlfn.XLOOKUP($A297,CSV!$A:$A,CSV!G:G,""),
_xlpm.MacVal,_xlfn.XLOOKUP($A297,Output_Mac!$A:$A,Output_Mac!F:F,""),
_xlpm.MyAuditVal,_xlfn.XLOOKUP($A297,My_Audit!$A:$A,My_Audit!F:F,""),
_xlfn.IFS(_xlpm.MyAuditVal&lt;&gt;"",_xlpm.MyAuditVal,_xlpm.MacVal&lt;&gt;"",_xlpm.MacVal,_xlpm.CSVVal&lt;&gt;"",PROPER(_xlpm.CSVVal)
)),"")</f>
        <v/>
      </c>
      <c r="H297" s="2" t="str" cm="1">
        <f t="array" ref="H297">IFERROR(_xlfn.LET(
_xlpm.CSVVal,_xlfn.XLOOKUP($A297,CSV!$A:$A,CSV!H:H,""),
_xlpm.MacVal,_xlfn.XLOOKUP($A297,Output_Mac!$A:$A,Output_Mac!H:H,""),
_xlpm.MyAuditVal,_xlfn.XLOOKUP($A297,My_Audit!$A:$A,My_Audit!G:G,""),
_xlfn.IFS(_xlpm.MyAuditVal&lt;&gt;"",_xlpm.MyAuditVal,_xlpm.MacVal&lt;&gt;"",_xlpm.MacVal,_xlpm.CSVVal&lt;&gt;"",_xlpm.CSVVal
)),"")</f>
        <v/>
      </c>
      <c r="I297" s="2" t="str">
        <f>_xlfn.XLOOKUP(A297,Output_Mac!A:A,Output_Mac!I:I,"")</f>
        <v/>
      </c>
      <c r="J297" s="2" t="str" cm="1">
        <f t="array" ref="J297">IFERROR(_xlfn.LET(
_xlpm.CSVVal,_xlfn.XLOOKUP($A297,CSV!$A:$A,CSV!I:I,""),
_xlpm.MacVal,_xlfn.XLOOKUP($A297,Output_Mac!$A:$A,Output_Mac!J:J,""),
_xlpm.MyAuditVal,_xlfn.XLOOKUP($A297,My_Audit!$A:$A,My_Audit!I:I,""),
_xlfn.IFS(_xlpm.MyAuditVal&lt;&gt;"",UPPER(_xlpm.MyAuditVal),_xlpm.MacVal&lt;&gt;"",_xlpm.MacVal,_xlpm.CSVVal&lt;&gt;"",_xlpm.CSVVal
)),"")</f>
        <v/>
      </c>
      <c r="K297" s="2" t="str" cm="1">
        <f t="array" ref="K297">IFERROR(_xlfn.LET(
_xlpm.CSVVal,_xlfn.XLOOKUP($A297,CSV!$A:$A,CSV!K:K,""),
_xlpm.MacVal,_xlfn.XLOOKUP($A297,Output_Mac!$A:$A,Output_Mac!K:K,""),
_xlpm.MyAuditVal,_xlfn.XLOOKUP($A297,My_Audit!$A:$A,My_Audit!J:J,""),
_xlfn.IFS(_xlpm.MyAuditVal&lt;&gt;"",UPPER(_xlpm.MyAuditVal),_xlpm.MacVal&lt;&gt;"",_xlpm.MacVal,_xlpm.CSVVal&lt;&gt;"",_xlpm.CSVVal
)),"")</f>
        <v/>
      </c>
      <c r="L297" s="2" t="str" cm="1">
        <f t="array" ref="L297">IFERROR(_xlfn.LET(
_xlpm.CSVVal,_xlfn.XLOOKUP($A297,CSV!$A:$A,CSV!P:P,""),
_xlpm.MacVal,_xlfn.XLOOKUP($A297,Output_Mac!$A:$A,Output_Mac!L:L,""),
_xlpm.MyAuditVal,_xlfn.XLOOKUP($A297,My_Audit!$A:$A,My_Audit!K:K,""),
_xlfn.IFS(_xlpm.MyAuditVal&lt;&gt;"",UPPER(_xlpm.MyAuditVal),_xlpm.MacVal&lt;&gt;"",_xlpm.MacVal,_xlpm.CSVVal&lt;&gt;"",_xlpm.CSVVal
)),"")</f>
        <v/>
      </c>
      <c r="M297" s="2" t="str" cm="1">
        <f t="array" ref="M297">IFERROR(_xlfn.LET(
_xlpm.CSVVal,_xlfn.XLOOKUP($A297,CSV!$A:$A,CSV!Q:Q,""),
_xlpm.MacVal,_xlfn.XLOOKUP($A297,Output_Mac!$A:$A,Output_Mac!M:M,""),
_xlpm.MyAuditVal,_xlfn.XLOOKUP($A297,My_Audit!$A:$A,My_Audit!L:L,""),
_xlfn.IFS(_xlpm.MyAuditVal&lt;&gt;"",UPPER(_xlpm.MyAuditVal),_xlpm.MacVal&lt;&gt;"",_xlpm.MacVal,_xlpm.CSVVal&lt;&gt;"",_xlpm.CSVVal
)),"")</f>
        <v/>
      </c>
      <c r="O297" s="2" t="str">
        <f>_xlfn.LET(
    _xlpm.CSVVal, _xlfn.XLOOKUP($A297, CSV!$A:$A, CSV!AF:AF, ""),
    _xlpm.MacVal, _xlfn.XLOOKUP($A297, Output_Mac!$A:$A, Output_Mac!S:S, ""),
    _xlpm.MyAuditVal, _xlfn.XLOOKUP($A297, My_Audit!$A:$A, My_Audit!P:P, ""),
    _xlfn.TEXTJOIN(", ", TRUE, _xlpm.MyAuditVal, _xlpm.MacVal, _xlpm.CSVVal)
)</f>
        <v/>
      </c>
      <c r="P297" s="2" t="str" cm="1">
        <f t="array" ref="P297">IFERROR(_xlfn.LET(
_xlpm.CSVVal,_xlfn.XLOOKUP($A297,CSV!$A:$A,CSV!AG:AG,""),
_xlpm.MacVal,_xlfn.XLOOKUP($A297,Output_Mac!$A:$A,Output_Mac!T:T,""),
_xlpm.MyAuditVal,_xlfn.XLOOKUP($A297,My_Audit!$A:$A,My_Audit!Q:Q,""),
_xlfn.IFS(_xlpm.MyAuditVal&lt;&gt;"",UPPER(_xlpm.MyAuditVal),_xlpm.MacVal&lt;&gt;"",_xlpm.MacVal,_xlpm.CSVVal&lt;&gt;"",_xlpm.CSVVal
)),"No")</f>
        <v>No</v>
      </c>
      <c r="Q297" s="2" t="str" cm="1">
        <f t="array" ref="Q297">IFERROR(_xlfn.LET(
_xlpm.CSVVal,_xlfn.XLOOKUP($A297,CSV!$A:$A,CSV!AH:AH,""),
_xlpm.MacVal,_xlfn.XLOOKUP($A297,Output_Mac!$A:$A,Output_Mac!U:U,""),
_xlpm.MyAuditVal,_xlfn.XLOOKUP($A297,My_Audit!$A:$A,My_Audit!R:R,""),
_xlfn.IFS(_xlpm.MyAuditVal&lt;&gt;"",UPPER(_xlpm.MyAuditVal),_xlpm.MacVal&lt;&gt;"",_xlpm.MacVal,_xlpm.CSVVal&lt;&gt;"",_xlpm.CSVVal
)),"")</f>
        <v/>
      </c>
    </row>
    <row r="298" spans="1:17">
      <c r="A298" s="2" t="str">
        <f>_xlfn.TEXTJOIN("",TRUE,Input!$B$2,ROW(My_Audit!A297))</f>
        <v>XX297</v>
      </c>
      <c r="B298" s="2" t="str">
        <f>_xlfn.TEXTJOIN("-",TRUE,"ITD",Input!$A$2,A298)</f>
        <v>ITD-SHRXXX-XX297</v>
      </c>
      <c r="C298" s="2" t="str" cm="1">
        <f t="array" ref="C298">IFERROR(_xlfn.LET(
_xlpm.CSVVal,_xlfn.XLOOKUP($A298,CSV!$A:$A,CSV!B:B,""),
_xlpm.MacVal,_xlfn.XLOOKUP($A298,Output_Mac!$A:$A,Output_Mac!B:B,""),
_xlpm.MyAuditVal,_xlfn.XLOOKUP($A298,My_Audit!$A:$A,My_Audit!B:B,""),
_xlfn.IFS(_xlpm.MyAuditVal&lt;&gt;"",UPPER(_xlpm.MyAuditVal),_xlpm.MacVal&lt;&gt;"",_xlpm.MacVal,_xlpm.CSVVal&lt;&gt;"",_xlpm.CSVVal
)),"")</f>
        <v/>
      </c>
      <c r="D298" s="2" t="str" cm="1">
        <f t="array" ref="D298">IFERROR(_xlfn.LET(
_xlpm.CSVVal,_xlfn.XLOOKUP($A298,CSV!$A:$A,CSV!D:D,""),
_xlpm.MacVal,_xlfn.XLOOKUP($A298,Output_Mac!$A:$A,Output_Mac!C:C,""),
_xlpm.MyAuditVal,_xlfn.XLOOKUP($A298,My_Audit!$A:$A,My_Audit!C:C,""),
_xlfn.IFS(_xlpm.MyAuditVal&lt;&gt;"",_xlpm.MyAuditVal,_xlpm.MacVal&lt;&gt;"",_xlpm.MacVal,_xlpm.CSVVal&lt;&gt;"",_xlpm.CSVVal
)),"")</f>
        <v/>
      </c>
      <c r="E298" s="2" t="str">
        <f>_xlfn.XLOOKUP(A298,My_Audit!A:A,My_Audit!D:D,"")&amp;""</f>
        <v/>
      </c>
      <c r="F298" s="2" t="str" cm="1">
        <f t="array" ref="F298">IFERROR(_xlfn.LET(
_xlpm.CSVVal,_xlfn.XLOOKUP($A298,CSV!$A:$A,CSV!F:F,""),
_xlpm.MacVal,_xlfn.XLOOKUP($A298,Output_Mac!$A:$A,Output_Mac!E:E,""),
_xlpm.MyAuditVal,_xlfn.XLOOKUP($A298,My_Audit!$A:$A,My_Audit!E:E,""),
_xlfn.IFS(_xlpm.MyAuditVal&lt;&gt;"",_xlpm.MyAuditVal,_xlpm.MacVal&lt;&gt;"",_xlpm.MacVal,_xlpm.CSVVal&lt;&gt;"",_xlpm.CSVVal
)),"")</f>
        <v/>
      </c>
      <c r="G298" s="2" t="str" cm="1">
        <f t="array" ref="G298">IFERROR(_xlfn.LET(
_xlpm.CSVVal,_xlfn.XLOOKUP($A298,CSV!$A:$A,CSV!G:G,""),
_xlpm.MacVal,_xlfn.XLOOKUP($A298,Output_Mac!$A:$A,Output_Mac!F:F,""),
_xlpm.MyAuditVal,_xlfn.XLOOKUP($A298,My_Audit!$A:$A,My_Audit!F:F,""),
_xlfn.IFS(_xlpm.MyAuditVal&lt;&gt;"",_xlpm.MyAuditVal,_xlpm.MacVal&lt;&gt;"",_xlpm.MacVal,_xlpm.CSVVal&lt;&gt;"",PROPER(_xlpm.CSVVal)
)),"")</f>
        <v/>
      </c>
      <c r="H298" s="2" t="str" cm="1">
        <f t="array" ref="H298">IFERROR(_xlfn.LET(
_xlpm.CSVVal,_xlfn.XLOOKUP($A298,CSV!$A:$A,CSV!H:H,""),
_xlpm.MacVal,_xlfn.XLOOKUP($A298,Output_Mac!$A:$A,Output_Mac!H:H,""),
_xlpm.MyAuditVal,_xlfn.XLOOKUP($A298,My_Audit!$A:$A,My_Audit!G:G,""),
_xlfn.IFS(_xlpm.MyAuditVal&lt;&gt;"",_xlpm.MyAuditVal,_xlpm.MacVal&lt;&gt;"",_xlpm.MacVal,_xlpm.CSVVal&lt;&gt;"",_xlpm.CSVVal
)),"")</f>
        <v/>
      </c>
      <c r="I298" s="2" t="str">
        <f>_xlfn.XLOOKUP(A298,Output_Mac!A:A,Output_Mac!I:I,"")</f>
        <v/>
      </c>
      <c r="J298" s="2" t="str" cm="1">
        <f t="array" ref="J298">IFERROR(_xlfn.LET(
_xlpm.CSVVal,_xlfn.XLOOKUP($A298,CSV!$A:$A,CSV!I:I,""),
_xlpm.MacVal,_xlfn.XLOOKUP($A298,Output_Mac!$A:$A,Output_Mac!J:J,""),
_xlpm.MyAuditVal,_xlfn.XLOOKUP($A298,My_Audit!$A:$A,My_Audit!I:I,""),
_xlfn.IFS(_xlpm.MyAuditVal&lt;&gt;"",UPPER(_xlpm.MyAuditVal),_xlpm.MacVal&lt;&gt;"",_xlpm.MacVal,_xlpm.CSVVal&lt;&gt;"",_xlpm.CSVVal
)),"")</f>
        <v/>
      </c>
      <c r="K298" s="2" t="str" cm="1">
        <f t="array" ref="K298">IFERROR(_xlfn.LET(
_xlpm.CSVVal,_xlfn.XLOOKUP($A298,CSV!$A:$A,CSV!K:K,""),
_xlpm.MacVal,_xlfn.XLOOKUP($A298,Output_Mac!$A:$A,Output_Mac!K:K,""),
_xlpm.MyAuditVal,_xlfn.XLOOKUP($A298,My_Audit!$A:$A,My_Audit!J:J,""),
_xlfn.IFS(_xlpm.MyAuditVal&lt;&gt;"",UPPER(_xlpm.MyAuditVal),_xlpm.MacVal&lt;&gt;"",_xlpm.MacVal,_xlpm.CSVVal&lt;&gt;"",_xlpm.CSVVal
)),"")</f>
        <v/>
      </c>
      <c r="L298" s="2" t="str" cm="1">
        <f t="array" ref="L298">IFERROR(_xlfn.LET(
_xlpm.CSVVal,_xlfn.XLOOKUP($A298,CSV!$A:$A,CSV!P:P,""),
_xlpm.MacVal,_xlfn.XLOOKUP($A298,Output_Mac!$A:$A,Output_Mac!L:L,""),
_xlpm.MyAuditVal,_xlfn.XLOOKUP($A298,My_Audit!$A:$A,My_Audit!K:K,""),
_xlfn.IFS(_xlpm.MyAuditVal&lt;&gt;"",UPPER(_xlpm.MyAuditVal),_xlpm.MacVal&lt;&gt;"",_xlpm.MacVal,_xlpm.CSVVal&lt;&gt;"",_xlpm.CSVVal
)),"")</f>
        <v/>
      </c>
      <c r="M298" s="2" t="str" cm="1">
        <f t="array" ref="M298">IFERROR(_xlfn.LET(
_xlpm.CSVVal,_xlfn.XLOOKUP($A298,CSV!$A:$A,CSV!Q:Q,""),
_xlpm.MacVal,_xlfn.XLOOKUP($A298,Output_Mac!$A:$A,Output_Mac!M:M,""),
_xlpm.MyAuditVal,_xlfn.XLOOKUP($A298,My_Audit!$A:$A,My_Audit!L:L,""),
_xlfn.IFS(_xlpm.MyAuditVal&lt;&gt;"",UPPER(_xlpm.MyAuditVal),_xlpm.MacVal&lt;&gt;"",_xlpm.MacVal,_xlpm.CSVVal&lt;&gt;"",_xlpm.CSVVal
)),"")</f>
        <v/>
      </c>
      <c r="O298" s="2" t="str">
        <f>_xlfn.LET(
    _xlpm.CSVVal, _xlfn.XLOOKUP($A298, CSV!$A:$A, CSV!AF:AF, ""),
    _xlpm.MacVal, _xlfn.XLOOKUP($A298, Output_Mac!$A:$A, Output_Mac!S:S, ""),
    _xlpm.MyAuditVal, _xlfn.XLOOKUP($A298, My_Audit!$A:$A, My_Audit!P:P, ""),
    _xlfn.TEXTJOIN(", ", TRUE, _xlpm.MyAuditVal, _xlpm.MacVal, _xlpm.CSVVal)
)</f>
        <v/>
      </c>
      <c r="P298" s="2" t="str" cm="1">
        <f t="array" ref="P298">IFERROR(_xlfn.LET(
_xlpm.CSVVal,_xlfn.XLOOKUP($A298,CSV!$A:$A,CSV!AG:AG,""),
_xlpm.MacVal,_xlfn.XLOOKUP($A298,Output_Mac!$A:$A,Output_Mac!T:T,""),
_xlpm.MyAuditVal,_xlfn.XLOOKUP($A298,My_Audit!$A:$A,My_Audit!Q:Q,""),
_xlfn.IFS(_xlpm.MyAuditVal&lt;&gt;"",UPPER(_xlpm.MyAuditVal),_xlpm.MacVal&lt;&gt;"",_xlpm.MacVal,_xlpm.CSVVal&lt;&gt;"",_xlpm.CSVVal
)),"No")</f>
        <v>No</v>
      </c>
      <c r="Q298" s="2" t="str" cm="1">
        <f t="array" ref="Q298">IFERROR(_xlfn.LET(
_xlpm.CSVVal,_xlfn.XLOOKUP($A298,CSV!$A:$A,CSV!AH:AH,""),
_xlpm.MacVal,_xlfn.XLOOKUP($A298,Output_Mac!$A:$A,Output_Mac!U:U,""),
_xlpm.MyAuditVal,_xlfn.XLOOKUP($A298,My_Audit!$A:$A,My_Audit!R:R,""),
_xlfn.IFS(_xlpm.MyAuditVal&lt;&gt;"",UPPER(_xlpm.MyAuditVal),_xlpm.MacVal&lt;&gt;"",_xlpm.MacVal,_xlpm.CSVVal&lt;&gt;"",_xlpm.CSVVal
)),"")</f>
        <v/>
      </c>
    </row>
    <row r="299" spans="1:17">
      <c r="A299" s="2" t="str">
        <f>_xlfn.TEXTJOIN("",TRUE,Input!$B$2,ROW(My_Audit!A298))</f>
        <v>XX298</v>
      </c>
      <c r="B299" s="2" t="str">
        <f>_xlfn.TEXTJOIN("-",TRUE,"ITD",Input!$A$2,A299)</f>
        <v>ITD-SHRXXX-XX298</v>
      </c>
      <c r="C299" s="2" t="str" cm="1">
        <f t="array" ref="C299">IFERROR(_xlfn.LET(
_xlpm.CSVVal,_xlfn.XLOOKUP($A299,CSV!$A:$A,CSV!B:B,""),
_xlpm.MacVal,_xlfn.XLOOKUP($A299,Output_Mac!$A:$A,Output_Mac!B:B,""),
_xlpm.MyAuditVal,_xlfn.XLOOKUP($A299,My_Audit!$A:$A,My_Audit!B:B,""),
_xlfn.IFS(_xlpm.MyAuditVal&lt;&gt;"",UPPER(_xlpm.MyAuditVal),_xlpm.MacVal&lt;&gt;"",_xlpm.MacVal,_xlpm.CSVVal&lt;&gt;"",_xlpm.CSVVal
)),"")</f>
        <v/>
      </c>
      <c r="D299" s="2" t="str" cm="1">
        <f t="array" ref="D299">IFERROR(_xlfn.LET(
_xlpm.CSVVal,_xlfn.XLOOKUP($A299,CSV!$A:$A,CSV!D:D,""),
_xlpm.MacVal,_xlfn.XLOOKUP($A299,Output_Mac!$A:$A,Output_Mac!C:C,""),
_xlpm.MyAuditVal,_xlfn.XLOOKUP($A299,My_Audit!$A:$A,My_Audit!C:C,""),
_xlfn.IFS(_xlpm.MyAuditVal&lt;&gt;"",_xlpm.MyAuditVal,_xlpm.MacVal&lt;&gt;"",_xlpm.MacVal,_xlpm.CSVVal&lt;&gt;"",_xlpm.CSVVal
)),"")</f>
        <v/>
      </c>
      <c r="E299" s="2" t="str">
        <f>_xlfn.XLOOKUP(A299,My_Audit!A:A,My_Audit!D:D,"")&amp;""</f>
        <v/>
      </c>
      <c r="F299" s="2" t="str" cm="1">
        <f t="array" ref="F299">IFERROR(_xlfn.LET(
_xlpm.CSVVal,_xlfn.XLOOKUP($A299,CSV!$A:$A,CSV!F:F,""),
_xlpm.MacVal,_xlfn.XLOOKUP($A299,Output_Mac!$A:$A,Output_Mac!E:E,""),
_xlpm.MyAuditVal,_xlfn.XLOOKUP($A299,My_Audit!$A:$A,My_Audit!E:E,""),
_xlfn.IFS(_xlpm.MyAuditVal&lt;&gt;"",_xlpm.MyAuditVal,_xlpm.MacVal&lt;&gt;"",_xlpm.MacVal,_xlpm.CSVVal&lt;&gt;"",_xlpm.CSVVal
)),"")</f>
        <v/>
      </c>
      <c r="G299" s="2" t="str" cm="1">
        <f t="array" ref="G299">IFERROR(_xlfn.LET(
_xlpm.CSVVal,_xlfn.XLOOKUP($A299,CSV!$A:$A,CSV!G:G,""),
_xlpm.MacVal,_xlfn.XLOOKUP($A299,Output_Mac!$A:$A,Output_Mac!F:F,""),
_xlpm.MyAuditVal,_xlfn.XLOOKUP($A299,My_Audit!$A:$A,My_Audit!F:F,""),
_xlfn.IFS(_xlpm.MyAuditVal&lt;&gt;"",_xlpm.MyAuditVal,_xlpm.MacVal&lt;&gt;"",_xlpm.MacVal,_xlpm.CSVVal&lt;&gt;"",PROPER(_xlpm.CSVVal)
)),"")</f>
        <v/>
      </c>
      <c r="H299" s="2" t="str" cm="1">
        <f t="array" ref="H299">IFERROR(_xlfn.LET(
_xlpm.CSVVal,_xlfn.XLOOKUP($A299,CSV!$A:$A,CSV!H:H,""),
_xlpm.MacVal,_xlfn.XLOOKUP($A299,Output_Mac!$A:$A,Output_Mac!H:H,""),
_xlpm.MyAuditVal,_xlfn.XLOOKUP($A299,My_Audit!$A:$A,My_Audit!G:G,""),
_xlfn.IFS(_xlpm.MyAuditVal&lt;&gt;"",_xlpm.MyAuditVal,_xlpm.MacVal&lt;&gt;"",_xlpm.MacVal,_xlpm.CSVVal&lt;&gt;"",_xlpm.CSVVal
)),"")</f>
        <v/>
      </c>
      <c r="I299" s="2" t="str">
        <f>_xlfn.XLOOKUP(A299,Output_Mac!A:A,Output_Mac!I:I,"")</f>
        <v/>
      </c>
      <c r="J299" s="2" t="str" cm="1">
        <f t="array" ref="J299">IFERROR(_xlfn.LET(
_xlpm.CSVVal,_xlfn.XLOOKUP($A299,CSV!$A:$A,CSV!I:I,""),
_xlpm.MacVal,_xlfn.XLOOKUP($A299,Output_Mac!$A:$A,Output_Mac!J:J,""),
_xlpm.MyAuditVal,_xlfn.XLOOKUP($A299,My_Audit!$A:$A,My_Audit!I:I,""),
_xlfn.IFS(_xlpm.MyAuditVal&lt;&gt;"",UPPER(_xlpm.MyAuditVal),_xlpm.MacVal&lt;&gt;"",_xlpm.MacVal,_xlpm.CSVVal&lt;&gt;"",_xlpm.CSVVal
)),"")</f>
        <v/>
      </c>
      <c r="K299" s="2" t="str" cm="1">
        <f t="array" ref="K299">IFERROR(_xlfn.LET(
_xlpm.CSVVal,_xlfn.XLOOKUP($A299,CSV!$A:$A,CSV!K:K,""),
_xlpm.MacVal,_xlfn.XLOOKUP($A299,Output_Mac!$A:$A,Output_Mac!K:K,""),
_xlpm.MyAuditVal,_xlfn.XLOOKUP($A299,My_Audit!$A:$A,My_Audit!J:J,""),
_xlfn.IFS(_xlpm.MyAuditVal&lt;&gt;"",UPPER(_xlpm.MyAuditVal),_xlpm.MacVal&lt;&gt;"",_xlpm.MacVal,_xlpm.CSVVal&lt;&gt;"",_xlpm.CSVVal
)),"")</f>
        <v/>
      </c>
      <c r="L299" s="2" t="str" cm="1">
        <f t="array" ref="L299">IFERROR(_xlfn.LET(
_xlpm.CSVVal,_xlfn.XLOOKUP($A299,CSV!$A:$A,CSV!P:P,""),
_xlpm.MacVal,_xlfn.XLOOKUP($A299,Output_Mac!$A:$A,Output_Mac!L:L,""),
_xlpm.MyAuditVal,_xlfn.XLOOKUP($A299,My_Audit!$A:$A,My_Audit!K:K,""),
_xlfn.IFS(_xlpm.MyAuditVal&lt;&gt;"",UPPER(_xlpm.MyAuditVal),_xlpm.MacVal&lt;&gt;"",_xlpm.MacVal,_xlpm.CSVVal&lt;&gt;"",_xlpm.CSVVal
)),"")</f>
        <v/>
      </c>
      <c r="M299" s="2" t="str" cm="1">
        <f t="array" ref="M299">IFERROR(_xlfn.LET(
_xlpm.CSVVal,_xlfn.XLOOKUP($A299,CSV!$A:$A,CSV!Q:Q,""),
_xlpm.MacVal,_xlfn.XLOOKUP($A299,Output_Mac!$A:$A,Output_Mac!M:M,""),
_xlpm.MyAuditVal,_xlfn.XLOOKUP($A299,My_Audit!$A:$A,My_Audit!L:L,""),
_xlfn.IFS(_xlpm.MyAuditVal&lt;&gt;"",UPPER(_xlpm.MyAuditVal),_xlpm.MacVal&lt;&gt;"",_xlpm.MacVal,_xlpm.CSVVal&lt;&gt;"",_xlpm.CSVVal
)),"")</f>
        <v/>
      </c>
      <c r="O299" s="2" t="str">
        <f>_xlfn.LET(
    _xlpm.CSVVal, _xlfn.XLOOKUP($A299, CSV!$A:$A, CSV!AF:AF, ""),
    _xlpm.MacVal, _xlfn.XLOOKUP($A299, Output_Mac!$A:$A, Output_Mac!S:S, ""),
    _xlpm.MyAuditVal, _xlfn.XLOOKUP($A299, My_Audit!$A:$A, My_Audit!P:P, ""),
    _xlfn.TEXTJOIN(", ", TRUE, _xlpm.MyAuditVal, _xlpm.MacVal, _xlpm.CSVVal)
)</f>
        <v/>
      </c>
      <c r="P299" s="2" t="str" cm="1">
        <f t="array" ref="P299">IFERROR(_xlfn.LET(
_xlpm.CSVVal,_xlfn.XLOOKUP($A299,CSV!$A:$A,CSV!AG:AG,""),
_xlpm.MacVal,_xlfn.XLOOKUP($A299,Output_Mac!$A:$A,Output_Mac!T:T,""),
_xlpm.MyAuditVal,_xlfn.XLOOKUP($A299,My_Audit!$A:$A,My_Audit!Q:Q,""),
_xlfn.IFS(_xlpm.MyAuditVal&lt;&gt;"",UPPER(_xlpm.MyAuditVal),_xlpm.MacVal&lt;&gt;"",_xlpm.MacVal,_xlpm.CSVVal&lt;&gt;"",_xlpm.CSVVal
)),"No")</f>
        <v>No</v>
      </c>
      <c r="Q299" s="2" t="str" cm="1">
        <f t="array" ref="Q299">IFERROR(_xlfn.LET(
_xlpm.CSVVal,_xlfn.XLOOKUP($A299,CSV!$A:$A,CSV!AH:AH,""),
_xlpm.MacVal,_xlfn.XLOOKUP($A299,Output_Mac!$A:$A,Output_Mac!U:U,""),
_xlpm.MyAuditVal,_xlfn.XLOOKUP($A299,My_Audit!$A:$A,My_Audit!R:R,""),
_xlfn.IFS(_xlpm.MyAuditVal&lt;&gt;"",UPPER(_xlpm.MyAuditVal),_xlpm.MacVal&lt;&gt;"",_xlpm.MacVal,_xlpm.CSVVal&lt;&gt;"",_xlpm.CSVVal
)),"")</f>
        <v/>
      </c>
    </row>
    <row r="300" spans="1:17">
      <c r="A300" s="2" t="str">
        <f>_xlfn.TEXTJOIN("",TRUE,Input!$B$2,ROW(My_Audit!A299))</f>
        <v>XX299</v>
      </c>
      <c r="B300" s="2" t="str">
        <f>_xlfn.TEXTJOIN("-",TRUE,"ITD",Input!$A$2,A300)</f>
        <v>ITD-SHRXXX-XX299</v>
      </c>
      <c r="C300" s="2" t="str" cm="1">
        <f t="array" ref="C300">IFERROR(_xlfn.LET(
_xlpm.CSVVal,_xlfn.XLOOKUP($A300,CSV!$A:$A,CSV!B:B,""),
_xlpm.MacVal,_xlfn.XLOOKUP($A300,Output_Mac!$A:$A,Output_Mac!B:B,""),
_xlpm.MyAuditVal,_xlfn.XLOOKUP($A300,My_Audit!$A:$A,My_Audit!B:B,""),
_xlfn.IFS(_xlpm.MyAuditVal&lt;&gt;"",UPPER(_xlpm.MyAuditVal),_xlpm.MacVal&lt;&gt;"",_xlpm.MacVal,_xlpm.CSVVal&lt;&gt;"",_xlpm.CSVVal
)),"")</f>
        <v/>
      </c>
      <c r="D300" s="2" t="str" cm="1">
        <f t="array" ref="D300">IFERROR(_xlfn.LET(
_xlpm.CSVVal,_xlfn.XLOOKUP($A300,CSV!$A:$A,CSV!D:D,""),
_xlpm.MacVal,_xlfn.XLOOKUP($A300,Output_Mac!$A:$A,Output_Mac!C:C,""),
_xlpm.MyAuditVal,_xlfn.XLOOKUP($A300,My_Audit!$A:$A,My_Audit!C:C,""),
_xlfn.IFS(_xlpm.MyAuditVal&lt;&gt;"",_xlpm.MyAuditVal,_xlpm.MacVal&lt;&gt;"",_xlpm.MacVal,_xlpm.CSVVal&lt;&gt;"",_xlpm.CSVVal
)),"")</f>
        <v/>
      </c>
      <c r="E300" s="2" t="str">
        <f>_xlfn.XLOOKUP(A300,My_Audit!A:A,My_Audit!D:D,"")&amp;""</f>
        <v/>
      </c>
      <c r="F300" s="2" t="str" cm="1">
        <f t="array" ref="F300">IFERROR(_xlfn.LET(
_xlpm.CSVVal,_xlfn.XLOOKUP($A300,CSV!$A:$A,CSV!F:F,""),
_xlpm.MacVal,_xlfn.XLOOKUP($A300,Output_Mac!$A:$A,Output_Mac!E:E,""),
_xlpm.MyAuditVal,_xlfn.XLOOKUP($A300,My_Audit!$A:$A,My_Audit!E:E,""),
_xlfn.IFS(_xlpm.MyAuditVal&lt;&gt;"",_xlpm.MyAuditVal,_xlpm.MacVal&lt;&gt;"",_xlpm.MacVal,_xlpm.CSVVal&lt;&gt;"",_xlpm.CSVVal
)),"")</f>
        <v/>
      </c>
      <c r="G300" s="2" t="str" cm="1">
        <f t="array" ref="G300">IFERROR(_xlfn.LET(
_xlpm.CSVVal,_xlfn.XLOOKUP($A300,CSV!$A:$A,CSV!G:G,""),
_xlpm.MacVal,_xlfn.XLOOKUP($A300,Output_Mac!$A:$A,Output_Mac!F:F,""),
_xlpm.MyAuditVal,_xlfn.XLOOKUP($A300,My_Audit!$A:$A,My_Audit!F:F,""),
_xlfn.IFS(_xlpm.MyAuditVal&lt;&gt;"",_xlpm.MyAuditVal,_xlpm.MacVal&lt;&gt;"",_xlpm.MacVal,_xlpm.CSVVal&lt;&gt;"",PROPER(_xlpm.CSVVal)
)),"")</f>
        <v/>
      </c>
      <c r="H300" s="2" t="str" cm="1">
        <f t="array" ref="H300">IFERROR(_xlfn.LET(
_xlpm.CSVVal,_xlfn.XLOOKUP($A300,CSV!$A:$A,CSV!H:H,""),
_xlpm.MacVal,_xlfn.XLOOKUP($A300,Output_Mac!$A:$A,Output_Mac!H:H,""),
_xlpm.MyAuditVal,_xlfn.XLOOKUP($A300,My_Audit!$A:$A,My_Audit!G:G,""),
_xlfn.IFS(_xlpm.MyAuditVal&lt;&gt;"",_xlpm.MyAuditVal,_xlpm.MacVal&lt;&gt;"",_xlpm.MacVal,_xlpm.CSVVal&lt;&gt;"",_xlpm.CSVVal
)),"")</f>
        <v/>
      </c>
      <c r="I300" s="2" t="str">
        <f>_xlfn.XLOOKUP(A300,Output_Mac!A:A,Output_Mac!I:I,"")</f>
        <v/>
      </c>
      <c r="J300" s="2" t="str" cm="1">
        <f t="array" ref="J300">IFERROR(_xlfn.LET(
_xlpm.CSVVal,_xlfn.XLOOKUP($A300,CSV!$A:$A,CSV!I:I,""),
_xlpm.MacVal,_xlfn.XLOOKUP($A300,Output_Mac!$A:$A,Output_Mac!J:J,""),
_xlpm.MyAuditVal,_xlfn.XLOOKUP($A300,My_Audit!$A:$A,My_Audit!I:I,""),
_xlfn.IFS(_xlpm.MyAuditVal&lt;&gt;"",UPPER(_xlpm.MyAuditVal),_xlpm.MacVal&lt;&gt;"",_xlpm.MacVal,_xlpm.CSVVal&lt;&gt;"",_xlpm.CSVVal
)),"")</f>
        <v/>
      </c>
      <c r="K300" s="2" t="str" cm="1">
        <f t="array" ref="K300">IFERROR(_xlfn.LET(
_xlpm.CSVVal,_xlfn.XLOOKUP($A300,CSV!$A:$A,CSV!K:K,""),
_xlpm.MacVal,_xlfn.XLOOKUP($A300,Output_Mac!$A:$A,Output_Mac!K:K,""),
_xlpm.MyAuditVal,_xlfn.XLOOKUP($A300,My_Audit!$A:$A,My_Audit!J:J,""),
_xlfn.IFS(_xlpm.MyAuditVal&lt;&gt;"",UPPER(_xlpm.MyAuditVal),_xlpm.MacVal&lt;&gt;"",_xlpm.MacVal,_xlpm.CSVVal&lt;&gt;"",_xlpm.CSVVal
)),"")</f>
        <v/>
      </c>
      <c r="L300" s="2" t="str" cm="1">
        <f t="array" ref="L300">IFERROR(_xlfn.LET(
_xlpm.CSVVal,_xlfn.XLOOKUP($A300,CSV!$A:$A,CSV!P:P,""),
_xlpm.MacVal,_xlfn.XLOOKUP($A300,Output_Mac!$A:$A,Output_Mac!L:L,""),
_xlpm.MyAuditVal,_xlfn.XLOOKUP($A300,My_Audit!$A:$A,My_Audit!K:K,""),
_xlfn.IFS(_xlpm.MyAuditVal&lt;&gt;"",UPPER(_xlpm.MyAuditVal),_xlpm.MacVal&lt;&gt;"",_xlpm.MacVal,_xlpm.CSVVal&lt;&gt;"",_xlpm.CSVVal
)),"")</f>
        <v/>
      </c>
      <c r="M300" s="2" t="str" cm="1">
        <f t="array" ref="M300">IFERROR(_xlfn.LET(
_xlpm.CSVVal,_xlfn.XLOOKUP($A300,CSV!$A:$A,CSV!Q:Q,""),
_xlpm.MacVal,_xlfn.XLOOKUP($A300,Output_Mac!$A:$A,Output_Mac!M:M,""),
_xlpm.MyAuditVal,_xlfn.XLOOKUP($A300,My_Audit!$A:$A,My_Audit!L:L,""),
_xlfn.IFS(_xlpm.MyAuditVal&lt;&gt;"",UPPER(_xlpm.MyAuditVal),_xlpm.MacVal&lt;&gt;"",_xlpm.MacVal,_xlpm.CSVVal&lt;&gt;"",_xlpm.CSVVal
)),"")</f>
        <v/>
      </c>
      <c r="O300" s="2" t="str">
        <f>_xlfn.LET(
    _xlpm.CSVVal, _xlfn.XLOOKUP($A300, CSV!$A:$A, CSV!AF:AF, ""),
    _xlpm.MacVal, _xlfn.XLOOKUP($A300, Output_Mac!$A:$A, Output_Mac!S:S, ""),
    _xlpm.MyAuditVal, _xlfn.XLOOKUP($A300, My_Audit!$A:$A, My_Audit!P:P, ""),
    _xlfn.TEXTJOIN(", ", TRUE, _xlpm.MyAuditVal, _xlpm.MacVal, _xlpm.CSVVal)
)</f>
        <v/>
      </c>
      <c r="P300" s="2" t="str" cm="1">
        <f t="array" ref="P300">IFERROR(_xlfn.LET(
_xlpm.CSVVal,_xlfn.XLOOKUP($A300,CSV!$A:$A,CSV!AG:AG,""),
_xlpm.MacVal,_xlfn.XLOOKUP($A300,Output_Mac!$A:$A,Output_Mac!T:T,""),
_xlpm.MyAuditVal,_xlfn.XLOOKUP($A300,My_Audit!$A:$A,My_Audit!Q:Q,""),
_xlfn.IFS(_xlpm.MyAuditVal&lt;&gt;"",UPPER(_xlpm.MyAuditVal),_xlpm.MacVal&lt;&gt;"",_xlpm.MacVal,_xlpm.CSVVal&lt;&gt;"",_xlpm.CSVVal
)),"No")</f>
        <v>No</v>
      </c>
      <c r="Q300" s="2" t="str" cm="1">
        <f t="array" ref="Q300">IFERROR(_xlfn.LET(
_xlpm.CSVVal,_xlfn.XLOOKUP($A300,CSV!$A:$A,CSV!AH:AH,""),
_xlpm.MacVal,_xlfn.XLOOKUP($A300,Output_Mac!$A:$A,Output_Mac!U:U,""),
_xlpm.MyAuditVal,_xlfn.XLOOKUP($A300,My_Audit!$A:$A,My_Audit!R:R,""),
_xlfn.IFS(_xlpm.MyAuditVal&lt;&gt;"",UPPER(_xlpm.MyAuditVal),_xlpm.MacVal&lt;&gt;"",_xlpm.MacVal,_xlpm.CSVVal&lt;&gt;"",_xlpm.CSVVal
)),"")</f>
        <v/>
      </c>
    </row>
    <row r="301" spans="1:17">
      <c r="A301" s="2" t="str">
        <f>_xlfn.TEXTJOIN("",TRUE,Input!$B$2,ROW(My_Audit!A300))</f>
        <v>XX300</v>
      </c>
      <c r="B301" s="2" t="str">
        <f>_xlfn.TEXTJOIN("-",TRUE,"ITD",Input!$A$2,A301)</f>
        <v>ITD-SHRXXX-XX300</v>
      </c>
      <c r="C301" s="2" t="str" cm="1">
        <f t="array" ref="C301">IFERROR(_xlfn.LET(
_xlpm.CSVVal,_xlfn.XLOOKUP($A301,CSV!$A:$A,CSV!B:B,""),
_xlpm.MacVal,_xlfn.XLOOKUP($A301,Output_Mac!$A:$A,Output_Mac!B:B,""),
_xlpm.MyAuditVal,_xlfn.XLOOKUP($A301,My_Audit!$A:$A,My_Audit!B:B,""),
_xlfn.IFS(_xlpm.MyAuditVal&lt;&gt;"",UPPER(_xlpm.MyAuditVal),_xlpm.MacVal&lt;&gt;"",_xlpm.MacVal,_xlpm.CSVVal&lt;&gt;"",_xlpm.CSVVal
)),"")</f>
        <v/>
      </c>
      <c r="D301" s="2" t="str" cm="1">
        <f t="array" ref="D301">IFERROR(_xlfn.LET(
_xlpm.CSVVal,_xlfn.XLOOKUP($A301,CSV!$A:$A,CSV!D:D,""),
_xlpm.MacVal,_xlfn.XLOOKUP($A301,Output_Mac!$A:$A,Output_Mac!C:C,""),
_xlpm.MyAuditVal,_xlfn.XLOOKUP($A301,My_Audit!$A:$A,My_Audit!C:C,""),
_xlfn.IFS(_xlpm.MyAuditVal&lt;&gt;"",_xlpm.MyAuditVal,_xlpm.MacVal&lt;&gt;"",_xlpm.MacVal,_xlpm.CSVVal&lt;&gt;"",_xlpm.CSVVal
)),"")</f>
        <v/>
      </c>
      <c r="E301" s="2" t="str">
        <f>_xlfn.XLOOKUP(A301,My_Audit!A:A,My_Audit!D:D,"")&amp;""</f>
        <v/>
      </c>
      <c r="F301" s="2" t="str" cm="1">
        <f t="array" ref="F301">IFERROR(_xlfn.LET(
_xlpm.CSVVal,_xlfn.XLOOKUP($A301,CSV!$A:$A,CSV!F:F,""),
_xlpm.MacVal,_xlfn.XLOOKUP($A301,Output_Mac!$A:$A,Output_Mac!E:E,""),
_xlpm.MyAuditVal,_xlfn.XLOOKUP($A301,My_Audit!$A:$A,My_Audit!E:E,""),
_xlfn.IFS(_xlpm.MyAuditVal&lt;&gt;"",_xlpm.MyAuditVal,_xlpm.MacVal&lt;&gt;"",_xlpm.MacVal,_xlpm.CSVVal&lt;&gt;"",_xlpm.CSVVal
)),"")</f>
        <v/>
      </c>
      <c r="G301" s="2" t="str" cm="1">
        <f t="array" ref="G301">IFERROR(_xlfn.LET(
_xlpm.CSVVal,_xlfn.XLOOKUP($A301,CSV!$A:$A,CSV!G:G,""),
_xlpm.MacVal,_xlfn.XLOOKUP($A301,Output_Mac!$A:$A,Output_Mac!F:F,""),
_xlpm.MyAuditVal,_xlfn.XLOOKUP($A301,My_Audit!$A:$A,My_Audit!F:F,""),
_xlfn.IFS(_xlpm.MyAuditVal&lt;&gt;"",_xlpm.MyAuditVal,_xlpm.MacVal&lt;&gt;"",_xlpm.MacVal,_xlpm.CSVVal&lt;&gt;"",PROPER(_xlpm.CSVVal)
)),"")</f>
        <v/>
      </c>
      <c r="H301" s="2" t="str" cm="1">
        <f t="array" ref="H301">IFERROR(_xlfn.LET(
_xlpm.CSVVal,_xlfn.XLOOKUP($A301,CSV!$A:$A,CSV!H:H,""),
_xlpm.MacVal,_xlfn.XLOOKUP($A301,Output_Mac!$A:$A,Output_Mac!H:H,""),
_xlpm.MyAuditVal,_xlfn.XLOOKUP($A301,My_Audit!$A:$A,My_Audit!G:G,""),
_xlfn.IFS(_xlpm.MyAuditVal&lt;&gt;"",_xlpm.MyAuditVal,_xlpm.MacVal&lt;&gt;"",_xlpm.MacVal,_xlpm.CSVVal&lt;&gt;"",_xlpm.CSVVal
)),"")</f>
        <v/>
      </c>
      <c r="I301" s="2" t="str">
        <f>_xlfn.XLOOKUP(A301,Output_Mac!A:A,Output_Mac!I:I,"")</f>
        <v/>
      </c>
      <c r="J301" s="2" t="str" cm="1">
        <f t="array" ref="J301">IFERROR(_xlfn.LET(
_xlpm.CSVVal,_xlfn.XLOOKUP($A301,CSV!$A:$A,CSV!I:I,""),
_xlpm.MacVal,_xlfn.XLOOKUP($A301,Output_Mac!$A:$A,Output_Mac!J:J,""),
_xlpm.MyAuditVal,_xlfn.XLOOKUP($A301,My_Audit!$A:$A,My_Audit!I:I,""),
_xlfn.IFS(_xlpm.MyAuditVal&lt;&gt;"",UPPER(_xlpm.MyAuditVal),_xlpm.MacVal&lt;&gt;"",_xlpm.MacVal,_xlpm.CSVVal&lt;&gt;"",_xlpm.CSVVal
)),"")</f>
        <v/>
      </c>
      <c r="K301" s="2" t="str" cm="1">
        <f t="array" ref="K301">IFERROR(_xlfn.LET(
_xlpm.CSVVal,_xlfn.XLOOKUP($A301,CSV!$A:$A,CSV!K:K,""),
_xlpm.MacVal,_xlfn.XLOOKUP($A301,Output_Mac!$A:$A,Output_Mac!K:K,""),
_xlpm.MyAuditVal,_xlfn.XLOOKUP($A301,My_Audit!$A:$A,My_Audit!J:J,""),
_xlfn.IFS(_xlpm.MyAuditVal&lt;&gt;"",UPPER(_xlpm.MyAuditVal),_xlpm.MacVal&lt;&gt;"",_xlpm.MacVal,_xlpm.CSVVal&lt;&gt;"",_xlpm.CSVVal
)),"")</f>
        <v/>
      </c>
      <c r="L301" s="2" t="str" cm="1">
        <f t="array" ref="L301">IFERROR(_xlfn.LET(
_xlpm.CSVVal,_xlfn.XLOOKUP($A301,CSV!$A:$A,CSV!P:P,""),
_xlpm.MacVal,_xlfn.XLOOKUP($A301,Output_Mac!$A:$A,Output_Mac!L:L,""),
_xlpm.MyAuditVal,_xlfn.XLOOKUP($A301,My_Audit!$A:$A,My_Audit!K:K,""),
_xlfn.IFS(_xlpm.MyAuditVal&lt;&gt;"",UPPER(_xlpm.MyAuditVal),_xlpm.MacVal&lt;&gt;"",_xlpm.MacVal,_xlpm.CSVVal&lt;&gt;"",_xlpm.CSVVal
)),"")</f>
        <v/>
      </c>
      <c r="M301" s="2" t="str" cm="1">
        <f t="array" ref="M301">IFERROR(_xlfn.LET(
_xlpm.CSVVal,_xlfn.XLOOKUP($A301,CSV!$A:$A,CSV!Q:Q,""),
_xlpm.MacVal,_xlfn.XLOOKUP($A301,Output_Mac!$A:$A,Output_Mac!M:M,""),
_xlpm.MyAuditVal,_xlfn.XLOOKUP($A301,My_Audit!$A:$A,My_Audit!L:L,""),
_xlfn.IFS(_xlpm.MyAuditVal&lt;&gt;"",UPPER(_xlpm.MyAuditVal),_xlpm.MacVal&lt;&gt;"",_xlpm.MacVal,_xlpm.CSVVal&lt;&gt;"",_xlpm.CSVVal
)),"")</f>
        <v/>
      </c>
      <c r="O301" s="2" t="str">
        <f>_xlfn.LET(
    _xlpm.CSVVal, _xlfn.XLOOKUP($A301, CSV!$A:$A, CSV!AF:AF, ""),
    _xlpm.MacVal, _xlfn.XLOOKUP($A301, Output_Mac!$A:$A, Output_Mac!S:S, ""),
    _xlpm.MyAuditVal, _xlfn.XLOOKUP($A301, My_Audit!$A:$A, My_Audit!P:P, ""),
    _xlfn.TEXTJOIN(", ", TRUE, _xlpm.MyAuditVal, _xlpm.MacVal, _xlpm.CSVVal)
)</f>
        <v/>
      </c>
      <c r="P301" s="2" t="str" cm="1">
        <f t="array" ref="P301">IFERROR(_xlfn.LET(
_xlpm.CSVVal,_xlfn.XLOOKUP($A301,CSV!$A:$A,CSV!AG:AG,""),
_xlpm.MacVal,_xlfn.XLOOKUP($A301,Output_Mac!$A:$A,Output_Mac!T:T,""),
_xlpm.MyAuditVal,_xlfn.XLOOKUP($A301,My_Audit!$A:$A,My_Audit!Q:Q,""),
_xlfn.IFS(_xlpm.MyAuditVal&lt;&gt;"",UPPER(_xlpm.MyAuditVal),_xlpm.MacVal&lt;&gt;"",_xlpm.MacVal,_xlpm.CSVVal&lt;&gt;"",_xlpm.CSVVal
)),"No")</f>
        <v>No</v>
      </c>
      <c r="Q301" s="2" t="str" cm="1">
        <f t="array" ref="Q301">IFERROR(_xlfn.LET(
_xlpm.CSVVal,_xlfn.XLOOKUP($A301,CSV!$A:$A,CSV!AH:AH,""),
_xlpm.MacVal,_xlfn.XLOOKUP($A301,Output_Mac!$A:$A,Output_Mac!U:U,""),
_xlpm.MyAuditVal,_xlfn.XLOOKUP($A301,My_Audit!$A:$A,My_Audit!R:R,""),
_xlfn.IFS(_xlpm.MyAuditVal&lt;&gt;"",UPPER(_xlpm.MyAuditVal),_xlpm.MacVal&lt;&gt;"",_xlpm.MacVal,_xlpm.CSVVal&lt;&gt;"",_xlpm.CSVVal
)),"")</f>
        <v/>
      </c>
    </row>
    <row r="302" spans="1:17">
      <c r="A302" s="2" t="str">
        <f>_xlfn.TEXTJOIN("",TRUE,Input!$B$2,ROW(My_Audit!A301))</f>
        <v>XX301</v>
      </c>
      <c r="B302" s="2" t="str">
        <f>_xlfn.TEXTJOIN("-",TRUE,"ITD",Input!$A$2,A302)</f>
        <v>ITD-SHRXXX-XX301</v>
      </c>
      <c r="C302" s="2" t="str" cm="1">
        <f t="array" ref="C302">IFERROR(_xlfn.LET(
_xlpm.CSVVal,_xlfn.XLOOKUP($A302,CSV!$A:$A,CSV!B:B,""),
_xlpm.MacVal,_xlfn.XLOOKUP($A302,Output_Mac!$A:$A,Output_Mac!B:B,""),
_xlpm.MyAuditVal,_xlfn.XLOOKUP($A302,My_Audit!$A:$A,My_Audit!B:B,""),
_xlfn.IFS(_xlpm.MyAuditVal&lt;&gt;"",UPPER(_xlpm.MyAuditVal),_xlpm.MacVal&lt;&gt;"",_xlpm.MacVal,_xlpm.CSVVal&lt;&gt;"",_xlpm.CSVVal
)),"")</f>
        <v/>
      </c>
      <c r="D302" s="2" t="str" cm="1">
        <f t="array" ref="D302">IFERROR(_xlfn.LET(
_xlpm.CSVVal,_xlfn.XLOOKUP($A302,CSV!$A:$A,CSV!D:D,""),
_xlpm.MacVal,_xlfn.XLOOKUP($A302,Output_Mac!$A:$A,Output_Mac!C:C,""),
_xlpm.MyAuditVal,_xlfn.XLOOKUP($A302,My_Audit!$A:$A,My_Audit!C:C,""),
_xlfn.IFS(_xlpm.MyAuditVal&lt;&gt;"",_xlpm.MyAuditVal,_xlpm.MacVal&lt;&gt;"",_xlpm.MacVal,_xlpm.CSVVal&lt;&gt;"",_xlpm.CSVVal
)),"")</f>
        <v/>
      </c>
      <c r="E302" s="2" t="str">
        <f>_xlfn.XLOOKUP(A302,My_Audit!A:A,My_Audit!D:D,"")&amp;""</f>
        <v/>
      </c>
      <c r="F302" s="2" t="str" cm="1">
        <f t="array" ref="F302">IFERROR(_xlfn.LET(
_xlpm.CSVVal,_xlfn.XLOOKUP($A302,CSV!$A:$A,CSV!F:F,""),
_xlpm.MacVal,_xlfn.XLOOKUP($A302,Output_Mac!$A:$A,Output_Mac!E:E,""),
_xlpm.MyAuditVal,_xlfn.XLOOKUP($A302,My_Audit!$A:$A,My_Audit!E:E,""),
_xlfn.IFS(_xlpm.MyAuditVal&lt;&gt;"",_xlpm.MyAuditVal,_xlpm.MacVal&lt;&gt;"",_xlpm.MacVal,_xlpm.CSVVal&lt;&gt;"",_xlpm.CSVVal
)),"")</f>
        <v/>
      </c>
      <c r="G302" s="2" t="str" cm="1">
        <f t="array" ref="G302">IFERROR(_xlfn.LET(
_xlpm.CSVVal,_xlfn.XLOOKUP($A302,CSV!$A:$A,CSV!G:G,""),
_xlpm.MacVal,_xlfn.XLOOKUP($A302,Output_Mac!$A:$A,Output_Mac!F:F,""),
_xlpm.MyAuditVal,_xlfn.XLOOKUP($A302,My_Audit!$A:$A,My_Audit!F:F,""),
_xlfn.IFS(_xlpm.MyAuditVal&lt;&gt;"",_xlpm.MyAuditVal,_xlpm.MacVal&lt;&gt;"",_xlpm.MacVal,_xlpm.CSVVal&lt;&gt;"",PROPER(_xlpm.CSVVal)
)),"")</f>
        <v/>
      </c>
      <c r="H302" s="2" t="str" cm="1">
        <f t="array" ref="H302">IFERROR(_xlfn.LET(
_xlpm.CSVVal,_xlfn.XLOOKUP($A302,CSV!$A:$A,CSV!H:H,""),
_xlpm.MacVal,_xlfn.XLOOKUP($A302,Output_Mac!$A:$A,Output_Mac!H:H,""),
_xlpm.MyAuditVal,_xlfn.XLOOKUP($A302,My_Audit!$A:$A,My_Audit!G:G,""),
_xlfn.IFS(_xlpm.MyAuditVal&lt;&gt;"",_xlpm.MyAuditVal,_xlpm.MacVal&lt;&gt;"",_xlpm.MacVal,_xlpm.CSVVal&lt;&gt;"",_xlpm.CSVVal
)),"")</f>
        <v/>
      </c>
      <c r="I302" s="2" t="str">
        <f>_xlfn.XLOOKUP(A302,Output_Mac!A:A,Output_Mac!I:I,"")</f>
        <v/>
      </c>
      <c r="J302" s="2" t="str" cm="1">
        <f t="array" ref="J302">IFERROR(_xlfn.LET(
_xlpm.CSVVal,_xlfn.XLOOKUP($A302,CSV!$A:$A,CSV!I:I,""),
_xlpm.MacVal,_xlfn.XLOOKUP($A302,Output_Mac!$A:$A,Output_Mac!J:J,""),
_xlpm.MyAuditVal,_xlfn.XLOOKUP($A302,My_Audit!$A:$A,My_Audit!I:I,""),
_xlfn.IFS(_xlpm.MyAuditVal&lt;&gt;"",UPPER(_xlpm.MyAuditVal),_xlpm.MacVal&lt;&gt;"",_xlpm.MacVal,_xlpm.CSVVal&lt;&gt;"",_xlpm.CSVVal
)),"")</f>
        <v/>
      </c>
      <c r="K302" s="2" t="str" cm="1">
        <f t="array" ref="K302">IFERROR(_xlfn.LET(
_xlpm.CSVVal,_xlfn.XLOOKUP($A302,CSV!$A:$A,CSV!K:K,""),
_xlpm.MacVal,_xlfn.XLOOKUP($A302,Output_Mac!$A:$A,Output_Mac!K:K,""),
_xlpm.MyAuditVal,_xlfn.XLOOKUP($A302,My_Audit!$A:$A,My_Audit!J:J,""),
_xlfn.IFS(_xlpm.MyAuditVal&lt;&gt;"",UPPER(_xlpm.MyAuditVal),_xlpm.MacVal&lt;&gt;"",_xlpm.MacVal,_xlpm.CSVVal&lt;&gt;"",_xlpm.CSVVal
)),"")</f>
        <v/>
      </c>
      <c r="L302" s="2" t="str" cm="1">
        <f t="array" ref="L302">IFERROR(_xlfn.LET(
_xlpm.CSVVal,_xlfn.XLOOKUP($A302,CSV!$A:$A,CSV!P:P,""),
_xlpm.MacVal,_xlfn.XLOOKUP($A302,Output_Mac!$A:$A,Output_Mac!L:L,""),
_xlpm.MyAuditVal,_xlfn.XLOOKUP($A302,My_Audit!$A:$A,My_Audit!K:K,""),
_xlfn.IFS(_xlpm.MyAuditVal&lt;&gt;"",UPPER(_xlpm.MyAuditVal),_xlpm.MacVal&lt;&gt;"",_xlpm.MacVal,_xlpm.CSVVal&lt;&gt;"",_xlpm.CSVVal
)),"")</f>
        <v/>
      </c>
      <c r="M302" s="2" t="str" cm="1">
        <f t="array" ref="M302">IFERROR(_xlfn.LET(
_xlpm.CSVVal,_xlfn.XLOOKUP($A302,CSV!$A:$A,CSV!Q:Q,""),
_xlpm.MacVal,_xlfn.XLOOKUP($A302,Output_Mac!$A:$A,Output_Mac!M:M,""),
_xlpm.MyAuditVal,_xlfn.XLOOKUP($A302,My_Audit!$A:$A,My_Audit!L:L,""),
_xlfn.IFS(_xlpm.MyAuditVal&lt;&gt;"",UPPER(_xlpm.MyAuditVal),_xlpm.MacVal&lt;&gt;"",_xlpm.MacVal,_xlpm.CSVVal&lt;&gt;"",_xlpm.CSVVal
)),"")</f>
        <v/>
      </c>
      <c r="O302" s="2" t="str">
        <f>_xlfn.LET(
    _xlpm.CSVVal, _xlfn.XLOOKUP($A302, CSV!$A:$A, CSV!AF:AF, ""),
    _xlpm.MacVal, _xlfn.XLOOKUP($A302, Output_Mac!$A:$A, Output_Mac!S:S, ""),
    _xlpm.MyAuditVal, _xlfn.XLOOKUP($A302, My_Audit!$A:$A, My_Audit!P:P, ""),
    _xlfn.TEXTJOIN(", ", TRUE, _xlpm.MyAuditVal, _xlpm.MacVal, _xlpm.CSVVal)
)</f>
        <v/>
      </c>
      <c r="P302" s="2" t="str" cm="1">
        <f t="array" ref="P302">IFERROR(_xlfn.LET(
_xlpm.CSVVal,_xlfn.XLOOKUP($A302,CSV!$A:$A,CSV!AG:AG,""),
_xlpm.MacVal,_xlfn.XLOOKUP($A302,Output_Mac!$A:$A,Output_Mac!T:T,""),
_xlpm.MyAuditVal,_xlfn.XLOOKUP($A302,My_Audit!$A:$A,My_Audit!Q:Q,""),
_xlfn.IFS(_xlpm.MyAuditVal&lt;&gt;"",UPPER(_xlpm.MyAuditVal),_xlpm.MacVal&lt;&gt;"",_xlpm.MacVal,_xlpm.CSVVal&lt;&gt;"",_xlpm.CSVVal
)),"No")</f>
        <v>No</v>
      </c>
      <c r="Q302" s="2" t="str" cm="1">
        <f t="array" ref="Q302">IFERROR(_xlfn.LET(
_xlpm.CSVVal,_xlfn.XLOOKUP($A302,CSV!$A:$A,CSV!AH:AH,""),
_xlpm.MacVal,_xlfn.XLOOKUP($A302,Output_Mac!$A:$A,Output_Mac!U:U,""),
_xlpm.MyAuditVal,_xlfn.XLOOKUP($A302,My_Audit!$A:$A,My_Audit!R:R,""),
_xlfn.IFS(_xlpm.MyAuditVal&lt;&gt;"",UPPER(_xlpm.MyAuditVal),_xlpm.MacVal&lt;&gt;"",_xlpm.MacVal,_xlpm.CSVVal&lt;&gt;"",_xlpm.CSVVal
)),"")</f>
        <v/>
      </c>
    </row>
    <row r="303" spans="1:17">
      <c r="A303" s="2" t="str">
        <f>_xlfn.TEXTJOIN("",TRUE,Input!$B$2,ROW(My_Audit!A302))</f>
        <v>XX302</v>
      </c>
      <c r="B303" s="2" t="str">
        <f>_xlfn.TEXTJOIN("-",TRUE,"ITD",Input!$A$2,A303)</f>
        <v>ITD-SHRXXX-XX302</v>
      </c>
      <c r="C303" s="2" t="str" cm="1">
        <f t="array" ref="C303">IFERROR(_xlfn.LET(
_xlpm.CSVVal,_xlfn.XLOOKUP($A303,CSV!$A:$A,CSV!B:B,""),
_xlpm.MacVal,_xlfn.XLOOKUP($A303,Output_Mac!$A:$A,Output_Mac!B:B,""),
_xlpm.MyAuditVal,_xlfn.XLOOKUP($A303,My_Audit!$A:$A,My_Audit!B:B,""),
_xlfn.IFS(_xlpm.MyAuditVal&lt;&gt;"",UPPER(_xlpm.MyAuditVal),_xlpm.MacVal&lt;&gt;"",_xlpm.MacVal,_xlpm.CSVVal&lt;&gt;"",_xlpm.CSVVal
)),"")</f>
        <v/>
      </c>
      <c r="D303" s="2" t="str" cm="1">
        <f t="array" ref="D303">IFERROR(_xlfn.LET(
_xlpm.CSVVal,_xlfn.XLOOKUP($A303,CSV!$A:$A,CSV!D:D,""),
_xlpm.MacVal,_xlfn.XLOOKUP($A303,Output_Mac!$A:$A,Output_Mac!C:C,""),
_xlpm.MyAuditVal,_xlfn.XLOOKUP($A303,My_Audit!$A:$A,My_Audit!C:C,""),
_xlfn.IFS(_xlpm.MyAuditVal&lt;&gt;"",_xlpm.MyAuditVal,_xlpm.MacVal&lt;&gt;"",_xlpm.MacVal,_xlpm.CSVVal&lt;&gt;"",_xlpm.CSVVal
)),"")</f>
        <v/>
      </c>
      <c r="E303" s="2" t="str">
        <f>_xlfn.XLOOKUP(A303,My_Audit!A:A,My_Audit!D:D,"")&amp;""</f>
        <v/>
      </c>
      <c r="F303" s="2" t="str" cm="1">
        <f t="array" ref="F303">IFERROR(_xlfn.LET(
_xlpm.CSVVal,_xlfn.XLOOKUP($A303,CSV!$A:$A,CSV!F:F,""),
_xlpm.MacVal,_xlfn.XLOOKUP($A303,Output_Mac!$A:$A,Output_Mac!E:E,""),
_xlpm.MyAuditVal,_xlfn.XLOOKUP($A303,My_Audit!$A:$A,My_Audit!E:E,""),
_xlfn.IFS(_xlpm.MyAuditVal&lt;&gt;"",_xlpm.MyAuditVal,_xlpm.MacVal&lt;&gt;"",_xlpm.MacVal,_xlpm.CSVVal&lt;&gt;"",_xlpm.CSVVal
)),"")</f>
        <v/>
      </c>
      <c r="G303" s="2" t="str" cm="1">
        <f t="array" ref="G303">IFERROR(_xlfn.LET(
_xlpm.CSVVal,_xlfn.XLOOKUP($A303,CSV!$A:$A,CSV!G:G,""),
_xlpm.MacVal,_xlfn.XLOOKUP($A303,Output_Mac!$A:$A,Output_Mac!F:F,""),
_xlpm.MyAuditVal,_xlfn.XLOOKUP($A303,My_Audit!$A:$A,My_Audit!F:F,""),
_xlfn.IFS(_xlpm.MyAuditVal&lt;&gt;"",_xlpm.MyAuditVal,_xlpm.MacVal&lt;&gt;"",_xlpm.MacVal,_xlpm.CSVVal&lt;&gt;"",PROPER(_xlpm.CSVVal)
)),"")</f>
        <v/>
      </c>
      <c r="H303" s="2" t="str" cm="1">
        <f t="array" ref="H303">IFERROR(_xlfn.LET(
_xlpm.CSVVal,_xlfn.XLOOKUP($A303,CSV!$A:$A,CSV!H:H,""),
_xlpm.MacVal,_xlfn.XLOOKUP($A303,Output_Mac!$A:$A,Output_Mac!H:H,""),
_xlpm.MyAuditVal,_xlfn.XLOOKUP($A303,My_Audit!$A:$A,My_Audit!G:G,""),
_xlfn.IFS(_xlpm.MyAuditVal&lt;&gt;"",_xlpm.MyAuditVal,_xlpm.MacVal&lt;&gt;"",_xlpm.MacVal,_xlpm.CSVVal&lt;&gt;"",_xlpm.CSVVal
)),"")</f>
        <v/>
      </c>
      <c r="I303" s="2" t="str">
        <f>_xlfn.XLOOKUP(A303,Output_Mac!A:A,Output_Mac!I:I,"")</f>
        <v/>
      </c>
      <c r="J303" s="2" t="str" cm="1">
        <f t="array" ref="J303">IFERROR(_xlfn.LET(
_xlpm.CSVVal,_xlfn.XLOOKUP($A303,CSV!$A:$A,CSV!I:I,""),
_xlpm.MacVal,_xlfn.XLOOKUP($A303,Output_Mac!$A:$A,Output_Mac!J:J,""),
_xlpm.MyAuditVal,_xlfn.XLOOKUP($A303,My_Audit!$A:$A,My_Audit!I:I,""),
_xlfn.IFS(_xlpm.MyAuditVal&lt;&gt;"",UPPER(_xlpm.MyAuditVal),_xlpm.MacVal&lt;&gt;"",_xlpm.MacVal,_xlpm.CSVVal&lt;&gt;"",_xlpm.CSVVal
)),"")</f>
        <v/>
      </c>
      <c r="K303" s="2" t="str" cm="1">
        <f t="array" ref="K303">IFERROR(_xlfn.LET(
_xlpm.CSVVal,_xlfn.XLOOKUP($A303,CSV!$A:$A,CSV!K:K,""),
_xlpm.MacVal,_xlfn.XLOOKUP($A303,Output_Mac!$A:$A,Output_Mac!K:K,""),
_xlpm.MyAuditVal,_xlfn.XLOOKUP($A303,My_Audit!$A:$A,My_Audit!J:J,""),
_xlfn.IFS(_xlpm.MyAuditVal&lt;&gt;"",UPPER(_xlpm.MyAuditVal),_xlpm.MacVal&lt;&gt;"",_xlpm.MacVal,_xlpm.CSVVal&lt;&gt;"",_xlpm.CSVVal
)),"")</f>
        <v/>
      </c>
      <c r="L303" s="2" t="str" cm="1">
        <f t="array" ref="L303">IFERROR(_xlfn.LET(
_xlpm.CSVVal,_xlfn.XLOOKUP($A303,CSV!$A:$A,CSV!P:P,""),
_xlpm.MacVal,_xlfn.XLOOKUP($A303,Output_Mac!$A:$A,Output_Mac!L:L,""),
_xlpm.MyAuditVal,_xlfn.XLOOKUP($A303,My_Audit!$A:$A,My_Audit!K:K,""),
_xlfn.IFS(_xlpm.MyAuditVal&lt;&gt;"",UPPER(_xlpm.MyAuditVal),_xlpm.MacVal&lt;&gt;"",_xlpm.MacVal,_xlpm.CSVVal&lt;&gt;"",_xlpm.CSVVal
)),"")</f>
        <v/>
      </c>
      <c r="M303" s="2" t="str" cm="1">
        <f t="array" ref="M303">IFERROR(_xlfn.LET(
_xlpm.CSVVal,_xlfn.XLOOKUP($A303,CSV!$A:$A,CSV!Q:Q,""),
_xlpm.MacVal,_xlfn.XLOOKUP($A303,Output_Mac!$A:$A,Output_Mac!M:M,""),
_xlpm.MyAuditVal,_xlfn.XLOOKUP($A303,My_Audit!$A:$A,My_Audit!L:L,""),
_xlfn.IFS(_xlpm.MyAuditVal&lt;&gt;"",UPPER(_xlpm.MyAuditVal),_xlpm.MacVal&lt;&gt;"",_xlpm.MacVal,_xlpm.CSVVal&lt;&gt;"",_xlpm.CSVVal
)),"")</f>
        <v/>
      </c>
      <c r="O303" s="2" t="str">
        <f>_xlfn.LET(
    _xlpm.CSVVal, _xlfn.XLOOKUP($A303, CSV!$A:$A, CSV!AF:AF, ""),
    _xlpm.MacVal, _xlfn.XLOOKUP($A303, Output_Mac!$A:$A, Output_Mac!S:S, ""),
    _xlpm.MyAuditVal, _xlfn.XLOOKUP($A303, My_Audit!$A:$A, My_Audit!P:P, ""),
    _xlfn.TEXTJOIN(", ", TRUE, _xlpm.MyAuditVal, _xlpm.MacVal, _xlpm.CSVVal)
)</f>
        <v/>
      </c>
      <c r="P303" s="2" t="str" cm="1">
        <f t="array" ref="P303">IFERROR(_xlfn.LET(
_xlpm.CSVVal,_xlfn.XLOOKUP($A303,CSV!$A:$A,CSV!AG:AG,""),
_xlpm.MacVal,_xlfn.XLOOKUP($A303,Output_Mac!$A:$A,Output_Mac!T:T,""),
_xlpm.MyAuditVal,_xlfn.XLOOKUP($A303,My_Audit!$A:$A,My_Audit!Q:Q,""),
_xlfn.IFS(_xlpm.MyAuditVal&lt;&gt;"",UPPER(_xlpm.MyAuditVal),_xlpm.MacVal&lt;&gt;"",_xlpm.MacVal,_xlpm.CSVVal&lt;&gt;"",_xlpm.CSVVal
)),"No")</f>
        <v>No</v>
      </c>
      <c r="Q303" s="2" t="str" cm="1">
        <f t="array" ref="Q303">IFERROR(_xlfn.LET(
_xlpm.CSVVal,_xlfn.XLOOKUP($A303,CSV!$A:$A,CSV!AH:AH,""),
_xlpm.MacVal,_xlfn.XLOOKUP($A303,Output_Mac!$A:$A,Output_Mac!U:U,""),
_xlpm.MyAuditVal,_xlfn.XLOOKUP($A303,My_Audit!$A:$A,My_Audit!R:R,""),
_xlfn.IFS(_xlpm.MyAuditVal&lt;&gt;"",UPPER(_xlpm.MyAuditVal),_xlpm.MacVal&lt;&gt;"",_xlpm.MacVal,_xlpm.CSVVal&lt;&gt;"",_xlpm.CSVVal
)),"")</f>
        <v/>
      </c>
    </row>
    <row r="304" spans="1:17">
      <c r="A304" s="2" t="str">
        <f>_xlfn.TEXTJOIN("",TRUE,Input!$B$2,ROW(My_Audit!A303))</f>
        <v>XX303</v>
      </c>
      <c r="B304" s="2" t="str">
        <f>_xlfn.TEXTJOIN("-",TRUE,"ITD",Input!$A$2,A304)</f>
        <v>ITD-SHRXXX-XX303</v>
      </c>
      <c r="C304" s="2" t="str" cm="1">
        <f t="array" ref="C304">IFERROR(_xlfn.LET(
_xlpm.CSVVal,_xlfn.XLOOKUP($A304,CSV!$A:$A,CSV!B:B,""),
_xlpm.MacVal,_xlfn.XLOOKUP($A304,Output_Mac!$A:$A,Output_Mac!B:B,""),
_xlpm.MyAuditVal,_xlfn.XLOOKUP($A304,My_Audit!$A:$A,My_Audit!B:B,""),
_xlfn.IFS(_xlpm.MyAuditVal&lt;&gt;"",UPPER(_xlpm.MyAuditVal),_xlpm.MacVal&lt;&gt;"",_xlpm.MacVal,_xlpm.CSVVal&lt;&gt;"",_xlpm.CSVVal
)),"")</f>
        <v/>
      </c>
      <c r="D304" s="2" t="str" cm="1">
        <f t="array" ref="D304">IFERROR(_xlfn.LET(
_xlpm.CSVVal,_xlfn.XLOOKUP($A304,CSV!$A:$A,CSV!D:D,""),
_xlpm.MacVal,_xlfn.XLOOKUP($A304,Output_Mac!$A:$A,Output_Mac!C:C,""),
_xlpm.MyAuditVal,_xlfn.XLOOKUP($A304,My_Audit!$A:$A,My_Audit!C:C,""),
_xlfn.IFS(_xlpm.MyAuditVal&lt;&gt;"",_xlpm.MyAuditVal,_xlpm.MacVal&lt;&gt;"",_xlpm.MacVal,_xlpm.CSVVal&lt;&gt;"",_xlpm.CSVVal
)),"")</f>
        <v/>
      </c>
      <c r="E304" s="2" t="str">
        <f>_xlfn.XLOOKUP(A304,My_Audit!A:A,My_Audit!D:D,"")&amp;""</f>
        <v/>
      </c>
      <c r="F304" s="2" t="str" cm="1">
        <f t="array" ref="F304">IFERROR(_xlfn.LET(
_xlpm.CSVVal,_xlfn.XLOOKUP($A304,CSV!$A:$A,CSV!F:F,""),
_xlpm.MacVal,_xlfn.XLOOKUP($A304,Output_Mac!$A:$A,Output_Mac!E:E,""),
_xlpm.MyAuditVal,_xlfn.XLOOKUP($A304,My_Audit!$A:$A,My_Audit!E:E,""),
_xlfn.IFS(_xlpm.MyAuditVal&lt;&gt;"",_xlpm.MyAuditVal,_xlpm.MacVal&lt;&gt;"",_xlpm.MacVal,_xlpm.CSVVal&lt;&gt;"",_xlpm.CSVVal
)),"")</f>
        <v/>
      </c>
      <c r="G304" s="2" t="str" cm="1">
        <f t="array" ref="G304">IFERROR(_xlfn.LET(
_xlpm.CSVVal,_xlfn.XLOOKUP($A304,CSV!$A:$A,CSV!G:G,""),
_xlpm.MacVal,_xlfn.XLOOKUP($A304,Output_Mac!$A:$A,Output_Mac!F:F,""),
_xlpm.MyAuditVal,_xlfn.XLOOKUP($A304,My_Audit!$A:$A,My_Audit!F:F,""),
_xlfn.IFS(_xlpm.MyAuditVal&lt;&gt;"",_xlpm.MyAuditVal,_xlpm.MacVal&lt;&gt;"",_xlpm.MacVal,_xlpm.CSVVal&lt;&gt;"",PROPER(_xlpm.CSVVal)
)),"")</f>
        <v/>
      </c>
      <c r="H304" s="2" t="str" cm="1">
        <f t="array" ref="H304">IFERROR(_xlfn.LET(
_xlpm.CSVVal,_xlfn.XLOOKUP($A304,CSV!$A:$A,CSV!H:H,""),
_xlpm.MacVal,_xlfn.XLOOKUP($A304,Output_Mac!$A:$A,Output_Mac!H:H,""),
_xlpm.MyAuditVal,_xlfn.XLOOKUP($A304,My_Audit!$A:$A,My_Audit!G:G,""),
_xlfn.IFS(_xlpm.MyAuditVal&lt;&gt;"",_xlpm.MyAuditVal,_xlpm.MacVal&lt;&gt;"",_xlpm.MacVal,_xlpm.CSVVal&lt;&gt;"",_xlpm.CSVVal
)),"")</f>
        <v/>
      </c>
      <c r="I304" s="2" t="str">
        <f>_xlfn.XLOOKUP(A304,Output_Mac!A:A,Output_Mac!I:I,"")</f>
        <v/>
      </c>
      <c r="J304" s="2" t="str" cm="1">
        <f t="array" ref="J304">IFERROR(_xlfn.LET(
_xlpm.CSVVal,_xlfn.XLOOKUP($A304,CSV!$A:$A,CSV!I:I,""),
_xlpm.MacVal,_xlfn.XLOOKUP($A304,Output_Mac!$A:$A,Output_Mac!J:J,""),
_xlpm.MyAuditVal,_xlfn.XLOOKUP($A304,My_Audit!$A:$A,My_Audit!I:I,""),
_xlfn.IFS(_xlpm.MyAuditVal&lt;&gt;"",UPPER(_xlpm.MyAuditVal),_xlpm.MacVal&lt;&gt;"",_xlpm.MacVal,_xlpm.CSVVal&lt;&gt;"",_xlpm.CSVVal
)),"")</f>
        <v/>
      </c>
      <c r="K304" s="2" t="str" cm="1">
        <f t="array" ref="K304">IFERROR(_xlfn.LET(
_xlpm.CSVVal,_xlfn.XLOOKUP($A304,CSV!$A:$A,CSV!K:K,""),
_xlpm.MacVal,_xlfn.XLOOKUP($A304,Output_Mac!$A:$A,Output_Mac!K:K,""),
_xlpm.MyAuditVal,_xlfn.XLOOKUP($A304,My_Audit!$A:$A,My_Audit!J:J,""),
_xlfn.IFS(_xlpm.MyAuditVal&lt;&gt;"",UPPER(_xlpm.MyAuditVal),_xlpm.MacVal&lt;&gt;"",_xlpm.MacVal,_xlpm.CSVVal&lt;&gt;"",_xlpm.CSVVal
)),"")</f>
        <v/>
      </c>
      <c r="L304" s="2" t="str" cm="1">
        <f t="array" ref="L304">IFERROR(_xlfn.LET(
_xlpm.CSVVal,_xlfn.XLOOKUP($A304,CSV!$A:$A,CSV!P:P,""),
_xlpm.MacVal,_xlfn.XLOOKUP($A304,Output_Mac!$A:$A,Output_Mac!L:L,""),
_xlpm.MyAuditVal,_xlfn.XLOOKUP($A304,My_Audit!$A:$A,My_Audit!K:K,""),
_xlfn.IFS(_xlpm.MyAuditVal&lt;&gt;"",UPPER(_xlpm.MyAuditVal),_xlpm.MacVal&lt;&gt;"",_xlpm.MacVal,_xlpm.CSVVal&lt;&gt;"",_xlpm.CSVVal
)),"")</f>
        <v/>
      </c>
      <c r="M304" s="2" t="str" cm="1">
        <f t="array" ref="M304">IFERROR(_xlfn.LET(
_xlpm.CSVVal,_xlfn.XLOOKUP($A304,CSV!$A:$A,CSV!Q:Q,""),
_xlpm.MacVal,_xlfn.XLOOKUP($A304,Output_Mac!$A:$A,Output_Mac!M:M,""),
_xlpm.MyAuditVal,_xlfn.XLOOKUP($A304,My_Audit!$A:$A,My_Audit!L:L,""),
_xlfn.IFS(_xlpm.MyAuditVal&lt;&gt;"",UPPER(_xlpm.MyAuditVal),_xlpm.MacVal&lt;&gt;"",_xlpm.MacVal,_xlpm.CSVVal&lt;&gt;"",_xlpm.CSVVal
)),"")</f>
        <v/>
      </c>
      <c r="O304" s="2" t="str">
        <f>_xlfn.LET(
    _xlpm.CSVVal, _xlfn.XLOOKUP($A304, CSV!$A:$A, CSV!AF:AF, ""),
    _xlpm.MacVal, _xlfn.XLOOKUP($A304, Output_Mac!$A:$A, Output_Mac!S:S, ""),
    _xlpm.MyAuditVal, _xlfn.XLOOKUP($A304, My_Audit!$A:$A, My_Audit!P:P, ""),
    _xlfn.TEXTJOIN(", ", TRUE, _xlpm.MyAuditVal, _xlpm.MacVal, _xlpm.CSVVal)
)</f>
        <v/>
      </c>
      <c r="P304" s="2" t="str" cm="1">
        <f t="array" ref="P304">IFERROR(_xlfn.LET(
_xlpm.CSVVal,_xlfn.XLOOKUP($A304,CSV!$A:$A,CSV!AG:AG,""),
_xlpm.MacVal,_xlfn.XLOOKUP($A304,Output_Mac!$A:$A,Output_Mac!T:T,""),
_xlpm.MyAuditVal,_xlfn.XLOOKUP($A304,My_Audit!$A:$A,My_Audit!Q:Q,""),
_xlfn.IFS(_xlpm.MyAuditVal&lt;&gt;"",UPPER(_xlpm.MyAuditVal),_xlpm.MacVal&lt;&gt;"",_xlpm.MacVal,_xlpm.CSVVal&lt;&gt;"",_xlpm.CSVVal
)),"No")</f>
        <v>No</v>
      </c>
      <c r="Q304" s="2" t="str" cm="1">
        <f t="array" ref="Q304">IFERROR(_xlfn.LET(
_xlpm.CSVVal,_xlfn.XLOOKUP($A304,CSV!$A:$A,CSV!AH:AH,""),
_xlpm.MacVal,_xlfn.XLOOKUP($A304,Output_Mac!$A:$A,Output_Mac!U:U,""),
_xlpm.MyAuditVal,_xlfn.XLOOKUP($A304,My_Audit!$A:$A,My_Audit!R:R,""),
_xlfn.IFS(_xlpm.MyAuditVal&lt;&gt;"",UPPER(_xlpm.MyAuditVal),_xlpm.MacVal&lt;&gt;"",_xlpm.MacVal,_xlpm.CSVVal&lt;&gt;"",_xlpm.CSVVal
)),"")</f>
        <v/>
      </c>
    </row>
    <row r="305" spans="1:17">
      <c r="A305" s="2" t="str">
        <f>_xlfn.TEXTJOIN("",TRUE,Input!$B$2,ROW(My_Audit!A304))</f>
        <v>XX304</v>
      </c>
      <c r="B305" s="2" t="str">
        <f>_xlfn.TEXTJOIN("-",TRUE,"ITD",Input!$A$2,A305)</f>
        <v>ITD-SHRXXX-XX304</v>
      </c>
      <c r="C305" s="2" t="str" cm="1">
        <f t="array" ref="C305">IFERROR(_xlfn.LET(
_xlpm.CSVVal,_xlfn.XLOOKUP($A305,CSV!$A:$A,CSV!B:B,""),
_xlpm.MacVal,_xlfn.XLOOKUP($A305,Output_Mac!$A:$A,Output_Mac!B:B,""),
_xlpm.MyAuditVal,_xlfn.XLOOKUP($A305,My_Audit!$A:$A,My_Audit!B:B,""),
_xlfn.IFS(_xlpm.MyAuditVal&lt;&gt;"",UPPER(_xlpm.MyAuditVal),_xlpm.MacVal&lt;&gt;"",_xlpm.MacVal,_xlpm.CSVVal&lt;&gt;"",_xlpm.CSVVal
)),"")</f>
        <v/>
      </c>
      <c r="D305" s="2" t="str" cm="1">
        <f t="array" ref="D305">IFERROR(_xlfn.LET(
_xlpm.CSVVal,_xlfn.XLOOKUP($A305,CSV!$A:$A,CSV!D:D,""),
_xlpm.MacVal,_xlfn.XLOOKUP($A305,Output_Mac!$A:$A,Output_Mac!C:C,""),
_xlpm.MyAuditVal,_xlfn.XLOOKUP($A305,My_Audit!$A:$A,My_Audit!C:C,""),
_xlfn.IFS(_xlpm.MyAuditVal&lt;&gt;"",_xlpm.MyAuditVal,_xlpm.MacVal&lt;&gt;"",_xlpm.MacVal,_xlpm.CSVVal&lt;&gt;"",_xlpm.CSVVal
)),"")</f>
        <v/>
      </c>
      <c r="E305" s="2" t="str">
        <f>_xlfn.XLOOKUP(A305,My_Audit!A:A,My_Audit!D:D,"")&amp;""</f>
        <v/>
      </c>
      <c r="F305" s="2" t="str" cm="1">
        <f t="array" ref="F305">IFERROR(_xlfn.LET(
_xlpm.CSVVal,_xlfn.XLOOKUP($A305,CSV!$A:$A,CSV!F:F,""),
_xlpm.MacVal,_xlfn.XLOOKUP($A305,Output_Mac!$A:$A,Output_Mac!E:E,""),
_xlpm.MyAuditVal,_xlfn.XLOOKUP($A305,My_Audit!$A:$A,My_Audit!E:E,""),
_xlfn.IFS(_xlpm.MyAuditVal&lt;&gt;"",_xlpm.MyAuditVal,_xlpm.MacVal&lt;&gt;"",_xlpm.MacVal,_xlpm.CSVVal&lt;&gt;"",_xlpm.CSVVal
)),"")</f>
        <v/>
      </c>
      <c r="G305" s="2" t="str" cm="1">
        <f t="array" ref="G305">IFERROR(_xlfn.LET(
_xlpm.CSVVal,_xlfn.XLOOKUP($A305,CSV!$A:$A,CSV!G:G,""),
_xlpm.MacVal,_xlfn.XLOOKUP($A305,Output_Mac!$A:$A,Output_Mac!F:F,""),
_xlpm.MyAuditVal,_xlfn.XLOOKUP($A305,My_Audit!$A:$A,My_Audit!F:F,""),
_xlfn.IFS(_xlpm.MyAuditVal&lt;&gt;"",_xlpm.MyAuditVal,_xlpm.MacVal&lt;&gt;"",_xlpm.MacVal,_xlpm.CSVVal&lt;&gt;"",PROPER(_xlpm.CSVVal)
)),"")</f>
        <v/>
      </c>
      <c r="H305" s="2" t="str" cm="1">
        <f t="array" ref="H305">IFERROR(_xlfn.LET(
_xlpm.CSVVal,_xlfn.XLOOKUP($A305,CSV!$A:$A,CSV!H:H,""),
_xlpm.MacVal,_xlfn.XLOOKUP($A305,Output_Mac!$A:$A,Output_Mac!H:H,""),
_xlpm.MyAuditVal,_xlfn.XLOOKUP($A305,My_Audit!$A:$A,My_Audit!G:G,""),
_xlfn.IFS(_xlpm.MyAuditVal&lt;&gt;"",_xlpm.MyAuditVal,_xlpm.MacVal&lt;&gt;"",_xlpm.MacVal,_xlpm.CSVVal&lt;&gt;"",_xlpm.CSVVal
)),"")</f>
        <v/>
      </c>
      <c r="I305" s="2" t="str">
        <f>_xlfn.XLOOKUP(A305,Output_Mac!A:A,Output_Mac!I:I,"")</f>
        <v/>
      </c>
      <c r="J305" s="2" t="str" cm="1">
        <f t="array" ref="J305">IFERROR(_xlfn.LET(
_xlpm.CSVVal,_xlfn.XLOOKUP($A305,CSV!$A:$A,CSV!I:I,""),
_xlpm.MacVal,_xlfn.XLOOKUP($A305,Output_Mac!$A:$A,Output_Mac!J:J,""),
_xlpm.MyAuditVal,_xlfn.XLOOKUP($A305,My_Audit!$A:$A,My_Audit!I:I,""),
_xlfn.IFS(_xlpm.MyAuditVal&lt;&gt;"",UPPER(_xlpm.MyAuditVal),_xlpm.MacVal&lt;&gt;"",_xlpm.MacVal,_xlpm.CSVVal&lt;&gt;"",_xlpm.CSVVal
)),"")</f>
        <v/>
      </c>
      <c r="K305" s="2" t="str" cm="1">
        <f t="array" ref="K305">IFERROR(_xlfn.LET(
_xlpm.CSVVal,_xlfn.XLOOKUP($A305,CSV!$A:$A,CSV!K:K,""),
_xlpm.MacVal,_xlfn.XLOOKUP($A305,Output_Mac!$A:$A,Output_Mac!K:K,""),
_xlpm.MyAuditVal,_xlfn.XLOOKUP($A305,My_Audit!$A:$A,My_Audit!J:J,""),
_xlfn.IFS(_xlpm.MyAuditVal&lt;&gt;"",UPPER(_xlpm.MyAuditVal),_xlpm.MacVal&lt;&gt;"",_xlpm.MacVal,_xlpm.CSVVal&lt;&gt;"",_xlpm.CSVVal
)),"")</f>
        <v/>
      </c>
      <c r="L305" s="2" t="str" cm="1">
        <f t="array" ref="L305">IFERROR(_xlfn.LET(
_xlpm.CSVVal,_xlfn.XLOOKUP($A305,CSV!$A:$A,CSV!P:P,""),
_xlpm.MacVal,_xlfn.XLOOKUP($A305,Output_Mac!$A:$A,Output_Mac!L:L,""),
_xlpm.MyAuditVal,_xlfn.XLOOKUP($A305,My_Audit!$A:$A,My_Audit!K:K,""),
_xlfn.IFS(_xlpm.MyAuditVal&lt;&gt;"",UPPER(_xlpm.MyAuditVal),_xlpm.MacVal&lt;&gt;"",_xlpm.MacVal,_xlpm.CSVVal&lt;&gt;"",_xlpm.CSVVal
)),"")</f>
        <v/>
      </c>
      <c r="M305" s="2" t="str" cm="1">
        <f t="array" ref="M305">IFERROR(_xlfn.LET(
_xlpm.CSVVal,_xlfn.XLOOKUP($A305,CSV!$A:$A,CSV!Q:Q,""),
_xlpm.MacVal,_xlfn.XLOOKUP($A305,Output_Mac!$A:$A,Output_Mac!M:M,""),
_xlpm.MyAuditVal,_xlfn.XLOOKUP($A305,My_Audit!$A:$A,My_Audit!L:L,""),
_xlfn.IFS(_xlpm.MyAuditVal&lt;&gt;"",UPPER(_xlpm.MyAuditVal),_xlpm.MacVal&lt;&gt;"",_xlpm.MacVal,_xlpm.CSVVal&lt;&gt;"",_xlpm.CSVVal
)),"")</f>
        <v/>
      </c>
      <c r="O305" s="2" t="str">
        <f>_xlfn.LET(
    _xlpm.CSVVal, _xlfn.XLOOKUP($A305, CSV!$A:$A, CSV!AF:AF, ""),
    _xlpm.MacVal, _xlfn.XLOOKUP($A305, Output_Mac!$A:$A, Output_Mac!S:S, ""),
    _xlpm.MyAuditVal, _xlfn.XLOOKUP($A305, My_Audit!$A:$A, My_Audit!P:P, ""),
    _xlfn.TEXTJOIN(", ", TRUE, _xlpm.MyAuditVal, _xlpm.MacVal, _xlpm.CSVVal)
)</f>
        <v/>
      </c>
      <c r="P305" s="2" t="str" cm="1">
        <f t="array" ref="P305">IFERROR(_xlfn.LET(
_xlpm.CSVVal,_xlfn.XLOOKUP($A305,CSV!$A:$A,CSV!AG:AG,""),
_xlpm.MacVal,_xlfn.XLOOKUP($A305,Output_Mac!$A:$A,Output_Mac!T:T,""),
_xlpm.MyAuditVal,_xlfn.XLOOKUP($A305,My_Audit!$A:$A,My_Audit!Q:Q,""),
_xlfn.IFS(_xlpm.MyAuditVal&lt;&gt;"",UPPER(_xlpm.MyAuditVal),_xlpm.MacVal&lt;&gt;"",_xlpm.MacVal,_xlpm.CSVVal&lt;&gt;"",_xlpm.CSVVal
)),"No")</f>
        <v>No</v>
      </c>
      <c r="Q305" s="2" t="str" cm="1">
        <f t="array" ref="Q305">IFERROR(_xlfn.LET(
_xlpm.CSVVal,_xlfn.XLOOKUP($A305,CSV!$A:$A,CSV!AH:AH,""),
_xlpm.MacVal,_xlfn.XLOOKUP($A305,Output_Mac!$A:$A,Output_Mac!U:U,""),
_xlpm.MyAuditVal,_xlfn.XLOOKUP($A305,My_Audit!$A:$A,My_Audit!R:R,""),
_xlfn.IFS(_xlpm.MyAuditVal&lt;&gt;"",UPPER(_xlpm.MyAuditVal),_xlpm.MacVal&lt;&gt;"",_xlpm.MacVal,_xlpm.CSVVal&lt;&gt;"",_xlpm.CSVVal
)),"")</f>
        <v/>
      </c>
    </row>
    <row r="306" spans="1:17">
      <c r="A306" s="2" t="str">
        <f>_xlfn.TEXTJOIN("",TRUE,Input!$B$2,ROW(My_Audit!A305))</f>
        <v>XX305</v>
      </c>
      <c r="B306" s="2" t="str">
        <f>_xlfn.TEXTJOIN("-",TRUE,"ITD",Input!$A$2,A306)</f>
        <v>ITD-SHRXXX-XX305</v>
      </c>
      <c r="C306" s="2" t="str" cm="1">
        <f t="array" ref="C306">IFERROR(_xlfn.LET(
_xlpm.CSVVal,_xlfn.XLOOKUP($A306,CSV!$A:$A,CSV!B:B,""),
_xlpm.MacVal,_xlfn.XLOOKUP($A306,Output_Mac!$A:$A,Output_Mac!B:B,""),
_xlpm.MyAuditVal,_xlfn.XLOOKUP($A306,My_Audit!$A:$A,My_Audit!B:B,""),
_xlfn.IFS(_xlpm.MyAuditVal&lt;&gt;"",UPPER(_xlpm.MyAuditVal),_xlpm.MacVal&lt;&gt;"",_xlpm.MacVal,_xlpm.CSVVal&lt;&gt;"",_xlpm.CSVVal
)),"")</f>
        <v/>
      </c>
      <c r="D306" s="2" t="str" cm="1">
        <f t="array" ref="D306">IFERROR(_xlfn.LET(
_xlpm.CSVVal,_xlfn.XLOOKUP($A306,CSV!$A:$A,CSV!D:D,""),
_xlpm.MacVal,_xlfn.XLOOKUP($A306,Output_Mac!$A:$A,Output_Mac!C:C,""),
_xlpm.MyAuditVal,_xlfn.XLOOKUP($A306,My_Audit!$A:$A,My_Audit!C:C,""),
_xlfn.IFS(_xlpm.MyAuditVal&lt;&gt;"",_xlpm.MyAuditVal,_xlpm.MacVal&lt;&gt;"",_xlpm.MacVal,_xlpm.CSVVal&lt;&gt;"",_xlpm.CSVVal
)),"")</f>
        <v/>
      </c>
      <c r="E306" s="2" t="str">
        <f>_xlfn.XLOOKUP(A306,My_Audit!A:A,My_Audit!D:D,"")&amp;""</f>
        <v/>
      </c>
      <c r="F306" s="2" t="str" cm="1">
        <f t="array" ref="F306">IFERROR(_xlfn.LET(
_xlpm.CSVVal,_xlfn.XLOOKUP($A306,CSV!$A:$A,CSV!F:F,""),
_xlpm.MacVal,_xlfn.XLOOKUP($A306,Output_Mac!$A:$A,Output_Mac!E:E,""),
_xlpm.MyAuditVal,_xlfn.XLOOKUP($A306,My_Audit!$A:$A,My_Audit!E:E,""),
_xlfn.IFS(_xlpm.MyAuditVal&lt;&gt;"",_xlpm.MyAuditVal,_xlpm.MacVal&lt;&gt;"",_xlpm.MacVal,_xlpm.CSVVal&lt;&gt;"",_xlpm.CSVVal
)),"")</f>
        <v/>
      </c>
      <c r="G306" s="2" t="str" cm="1">
        <f t="array" ref="G306">IFERROR(_xlfn.LET(
_xlpm.CSVVal,_xlfn.XLOOKUP($A306,CSV!$A:$A,CSV!G:G,""),
_xlpm.MacVal,_xlfn.XLOOKUP($A306,Output_Mac!$A:$A,Output_Mac!F:F,""),
_xlpm.MyAuditVal,_xlfn.XLOOKUP($A306,My_Audit!$A:$A,My_Audit!F:F,""),
_xlfn.IFS(_xlpm.MyAuditVal&lt;&gt;"",_xlpm.MyAuditVal,_xlpm.MacVal&lt;&gt;"",_xlpm.MacVal,_xlpm.CSVVal&lt;&gt;"",PROPER(_xlpm.CSVVal)
)),"")</f>
        <v/>
      </c>
      <c r="H306" s="2" t="str" cm="1">
        <f t="array" ref="H306">IFERROR(_xlfn.LET(
_xlpm.CSVVal,_xlfn.XLOOKUP($A306,CSV!$A:$A,CSV!H:H,""),
_xlpm.MacVal,_xlfn.XLOOKUP($A306,Output_Mac!$A:$A,Output_Mac!H:H,""),
_xlpm.MyAuditVal,_xlfn.XLOOKUP($A306,My_Audit!$A:$A,My_Audit!G:G,""),
_xlfn.IFS(_xlpm.MyAuditVal&lt;&gt;"",_xlpm.MyAuditVal,_xlpm.MacVal&lt;&gt;"",_xlpm.MacVal,_xlpm.CSVVal&lt;&gt;"",_xlpm.CSVVal
)),"")</f>
        <v/>
      </c>
      <c r="I306" s="2" t="str">
        <f>_xlfn.XLOOKUP(A306,Output_Mac!A:A,Output_Mac!I:I,"")</f>
        <v/>
      </c>
      <c r="J306" s="2" t="str" cm="1">
        <f t="array" ref="J306">IFERROR(_xlfn.LET(
_xlpm.CSVVal,_xlfn.XLOOKUP($A306,CSV!$A:$A,CSV!I:I,""),
_xlpm.MacVal,_xlfn.XLOOKUP($A306,Output_Mac!$A:$A,Output_Mac!J:J,""),
_xlpm.MyAuditVal,_xlfn.XLOOKUP($A306,My_Audit!$A:$A,My_Audit!I:I,""),
_xlfn.IFS(_xlpm.MyAuditVal&lt;&gt;"",UPPER(_xlpm.MyAuditVal),_xlpm.MacVal&lt;&gt;"",_xlpm.MacVal,_xlpm.CSVVal&lt;&gt;"",_xlpm.CSVVal
)),"")</f>
        <v/>
      </c>
      <c r="K306" s="2" t="str" cm="1">
        <f t="array" ref="K306">IFERROR(_xlfn.LET(
_xlpm.CSVVal,_xlfn.XLOOKUP($A306,CSV!$A:$A,CSV!K:K,""),
_xlpm.MacVal,_xlfn.XLOOKUP($A306,Output_Mac!$A:$A,Output_Mac!K:K,""),
_xlpm.MyAuditVal,_xlfn.XLOOKUP($A306,My_Audit!$A:$A,My_Audit!J:J,""),
_xlfn.IFS(_xlpm.MyAuditVal&lt;&gt;"",UPPER(_xlpm.MyAuditVal),_xlpm.MacVal&lt;&gt;"",_xlpm.MacVal,_xlpm.CSVVal&lt;&gt;"",_xlpm.CSVVal
)),"")</f>
        <v/>
      </c>
      <c r="L306" s="2" t="str" cm="1">
        <f t="array" ref="L306">IFERROR(_xlfn.LET(
_xlpm.CSVVal,_xlfn.XLOOKUP($A306,CSV!$A:$A,CSV!P:P,""),
_xlpm.MacVal,_xlfn.XLOOKUP($A306,Output_Mac!$A:$A,Output_Mac!L:L,""),
_xlpm.MyAuditVal,_xlfn.XLOOKUP($A306,My_Audit!$A:$A,My_Audit!K:K,""),
_xlfn.IFS(_xlpm.MyAuditVal&lt;&gt;"",UPPER(_xlpm.MyAuditVal),_xlpm.MacVal&lt;&gt;"",_xlpm.MacVal,_xlpm.CSVVal&lt;&gt;"",_xlpm.CSVVal
)),"")</f>
        <v/>
      </c>
      <c r="M306" s="2" t="str" cm="1">
        <f t="array" ref="M306">IFERROR(_xlfn.LET(
_xlpm.CSVVal,_xlfn.XLOOKUP($A306,CSV!$A:$A,CSV!Q:Q,""),
_xlpm.MacVal,_xlfn.XLOOKUP($A306,Output_Mac!$A:$A,Output_Mac!M:M,""),
_xlpm.MyAuditVal,_xlfn.XLOOKUP($A306,My_Audit!$A:$A,My_Audit!L:L,""),
_xlfn.IFS(_xlpm.MyAuditVal&lt;&gt;"",UPPER(_xlpm.MyAuditVal),_xlpm.MacVal&lt;&gt;"",_xlpm.MacVal,_xlpm.CSVVal&lt;&gt;"",_xlpm.CSVVal
)),"")</f>
        <v/>
      </c>
      <c r="O306" s="2" t="str">
        <f>_xlfn.LET(
    _xlpm.CSVVal, _xlfn.XLOOKUP($A306, CSV!$A:$A, CSV!AF:AF, ""),
    _xlpm.MacVal, _xlfn.XLOOKUP($A306, Output_Mac!$A:$A, Output_Mac!S:S, ""),
    _xlpm.MyAuditVal, _xlfn.XLOOKUP($A306, My_Audit!$A:$A, My_Audit!P:P, ""),
    _xlfn.TEXTJOIN(", ", TRUE, _xlpm.MyAuditVal, _xlpm.MacVal, _xlpm.CSVVal)
)</f>
        <v/>
      </c>
      <c r="P306" s="2" t="str" cm="1">
        <f t="array" ref="P306">IFERROR(_xlfn.LET(
_xlpm.CSVVal,_xlfn.XLOOKUP($A306,CSV!$A:$A,CSV!AG:AG,""),
_xlpm.MacVal,_xlfn.XLOOKUP($A306,Output_Mac!$A:$A,Output_Mac!T:T,""),
_xlpm.MyAuditVal,_xlfn.XLOOKUP($A306,My_Audit!$A:$A,My_Audit!Q:Q,""),
_xlfn.IFS(_xlpm.MyAuditVal&lt;&gt;"",UPPER(_xlpm.MyAuditVal),_xlpm.MacVal&lt;&gt;"",_xlpm.MacVal,_xlpm.CSVVal&lt;&gt;"",_xlpm.CSVVal
)),"No")</f>
        <v>No</v>
      </c>
      <c r="Q306" s="2" t="str" cm="1">
        <f t="array" ref="Q306">IFERROR(_xlfn.LET(
_xlpm.CSVVal,_xlfn.XLOOKUP($A306,CSV!$A:$A,CSV!AH:AH,""),
_xlpm.MacVal,_xlfn.XLOOKUP($A306,Output_Mac!$A:$A,Output_Mac!U:U,""),
_xlpm.MyAuditVal,_xlfn.XLOOKUP($A306,My_Audit!$A:$A,My_Audit!R:R,""),
_xlfn.IFS(_xlpm.MyAuditVal&lt;&gt;"",UPPER(_xlpm.MyAuditVal),_xlpm.MacVal&lt;&gt;"",_xlpm.MacVal,_xlpm.CSVVal&lt;&gt;"",_xlpm.CSVVal
)),"")</f>
        <v/>
      </c>
    </row>
    <row r="307" spans="1:17">
      <c r="A307" s="2" t="str">
        <f>_xlfn.TEXTJOIN("",TRUE,Input!$B$2,ROW(My_Audit!A306))</f>
        <v>XX306</v>
      </c>
      <c r="B307" s="2" t="str">
        <f>_xlfn.TEXTJOIN("-",TRUE,"ITD",Input!$A$2,A307)</f>
        <v>ITD-SHRXXX-XX306</v>
      </c>
      <c r="C307" s="2" t="str" cm="1">
        <f t="array" ref="C307">IFERROR(_xlfn.LET(
_xlpm.CSVVal,_xlfn.XLOOKUP($A307,CSV!$A:$A,CSV!B:B,""),
_xlpm.MacVal,_xlfn.XLOOKUP($A307,Output_Mac!$A:$A,Output_Mac!B:B,""),
_xlpm.MyAuditVal,_xlfn.XLOOKUP($A307,My_Audit!$A:$A,My_Audit!B:B,""),
_xlfn.IFS(_xlpm.MyAuditVal&lt;&gt;"",UPPER(_xlpm.MyAuditVal),_xlpm.MacVal&lt;&gt;"",_xlpm.MacVal,_xlpm.CSVVal&lt;&gt;"",_xlpm.CSVVal
)),"")</f>
        <v/>
      </c>
      <c r="D307" s="2" t="str" cm="1">
        <f t="array" ref="D307">IFERROR(_xlfn.LET(
_xlpm.CSVVal,_xlfn.XLOOKUP($A307,CSV!$A:$A,CSV!D:D,""),
_xlpm.MacVal,_xlfn.XLOOKUP($A307,Output_Mac!$A:$A,Output_Mac!C:C,""),
_xlpm.MyAuditVal,_xlfn.XLOOKUP($A307,My_Audit!$A:$A,My_Audit!C:C,""),
_xlfn.IFS(_xlpm.MyAuditVal&lt;&gt;"",_xlpm.MyAuditVal,_xlpm.MacVal&lt;&gt;"",_xlpm.MacVal,_xlpm.CSVVal&lt;&gt;"",_xlpm.CSVVal
)),"")</f>
        <v/>
      </c>
      <c r="E307" s="2" t="str">
        <f>_xlfn.XLOOKUP(A307,My_Audit!A:A,My_Audit!D:D,"")&amp;""</f>
        <v/>
      </c>
      <c r="F307" s="2" t="str" cm="1">
        <f t="array" ref="F307">IFERROR(_xlfn.LET(
_xlpm.CSVVal,_xlfn.XLOOKUP($A307,CSV!$A:$A,CSV!F:F,""),
_xlpm.MacVal,_xlfn.XLOOKUP($A307,Output_Mac!$A:$A,Output_Mac!E:E,""),
_xlpm.MyAuditVal,_xlfn.XLOOKUP($A307,My_Audit!$A:$A,My_Audit!E:E,""),
_xlfn.IFS(_xlpm.MyAuditVal&lt;&gt;"",_xlpm.MyAuditVal,_xlpm.MacVal&lt;&gt;"",_xlpm.MacVal,_xlpm.CSVVal&lt;&gt;"",_xlpm.CSVVal
)),"")</f>
        <v/>
      </c>
      <c r="G307" s="2" t="str" cm="1">
        <f t="array" ref="G307">IFERROR(_xlfn.LET(
_xlpm.CSVVal,_xlfn.XLOOKUP($A307,CSV!$A:$A,CSV!G:G,""),
_xlpm.MacVal,_xlfn.XLOOKUP($A307,Output_Mac!$A:$A,Output_Mac!F:F,""),
_xlpm.MyAuditVal,_xlfn.XLOOKUP($A307,My_Audit!$A:$A,My_Audit!F:F,""),
_xlfn.IFS(_xlpm.MyAuditVal&lt;&gt;"",_xlpm.MyAuditVal,_xlpm.MacVal&lt;&gt;"",_xlpm.MacVal,_xlpm.CSVVal&lt;&gt;"",PROPER(_xlpm.CSVVal)
)),"")</f>
        <v/>
      </c>
      <c r="H307" s="2" t="str" cm="1">
        <f t="array" ref="H307">IFERROR(_xlfn.LET(
_xlpm.CSVVal,_xlfn.XLOOKUP($A307,CSV!$A:$A,CSV!H:H,""),
_xlpm.MacVal,_xlfn.XLOOKUP($A307,Output_Mac!$A:$A,Output_Mac!H:H,""),
_xlpm.MyAuditVal,_xlfn.XLOOKUP($A307,My_Audit!$A:$A,My_Audit!G:G,""),
_xlfn.IFS(_xlpm.MyAuditVal&lt;&gt;"",_xlpm.MyAuditVal,_xlpm.MacVal&lt;&gt;"",_xlpm.MacVal,_xlpm.CSVVal&lt;&gt;"",_xlpm.CSVVal
)),"")</f>
        <v/>
      </c>
      <c r="I307" s="2" t="str">
        <f>_xlfn.XLOOKUP(A307,Output_Mac!A:A,Output_Mac!I:I,"")</f>
        <v/>
      </c>
      <c r="J307" s="2" t="str" cm="1">
        <f t="array" ref="J307">IFERROR(_xlfn.LET(
_xlpm.CSVVal,_xlfn.XLOOKUP($A307,CSV!$A:$A,CSV!I:I,""),
_xlpm.MacVal,_xlfn.XLOOKUP($A307,Output_Mac!$A:$A,Output_Mac!J:J,""),
_xlpm.MyAuditVal,_xlfn.XLOOKUP($A307,My_Audit!$A:$A,My_Audit!I:I,""),
_xlfn.IFS(_xlpm.MyAuditVal&lt;&gt;"",UPPER(_xlpm.MyAuditVal),_xlpm.MacVal&lt;&gt;"",_xlpm.MacVal,_xlpm.CSVVal&lt;&gt;"",_xlpm.CSVVal
)),"")</f>
        <v/>
      </c>
      <c r="K307" s="2" t="str" cm="1">
        <f t="array" ref="K307">IFERROR(_xlfn.LET(
_xlpm.CSVVal,_xlfn.XLOOKUP($A307,CSV!$A:$A,CSV!K:K,""),
_xlpm.MacVal,_xlfn.XLOOKUP($A307,Output_Mac!$A:$A,Output_Mac!K:K,""),
_xlpm.MyAuditVal,_xlfn.XLOOKUP($A307,My_Audit!$A:$A,My_Audit!J:J,""),
_xlfn.IFS(_xlpm.MyAuditVal&lt;&gt;"",UPPER(_xlpm.MyAuditVal),_xlpm.MacVal&lt;&gt;"",_xlpm.MacVal,_xlpm.CSVVal&lt;&gt;"",_xlpm.CSVVal
)),"")</f>
        <v/>
      </c>
      <c r="L307" s="2" t="str" cm="1">
        <f t="array" ref="L307">IFERROR(_xlfn.LET(
_xlpm.CSVVal,_xlfn.XLOOKUP($A307,CSV!$A:$A,CSV!P:P,""),
_xlpm.MacVal,_xlfn.XLOOKUP($A307,Output_Mac!$A:$A,Output_Mac!L:L,""),
_xlpm.MyAuditVal,_xlfn.XLOOKUP($A307,My_Audit!$A:$A,My_Audit!K:K,""),
_xlfn.IFS(_xlpm.MyAuditVal&lt;&gt;"",UPPER(_xlpm.MyAuditVal),_xlpm.MacVal&lt;&gt;"",_xlpm.MacVal,_xlpm.CSVVal&lt;&gt;"",_xlpm.CSVVal
)),"")</f>
        <v/>
      </c>
      <c r="M307" s="2" t="str" cm="1">
        <f t="array" ref="M307">IFERROR(_xlfn.LET(
_xlpm.CSVVal,_xlfn.XLOOKUP($A307,CSV!$A:$A,CSV!Q:Q,""),
_xlpm.MacVal,_xlfn.XLOOKUP($A307,Output_Mac!$A:$A,Output_Mac!M:M,""),
_xlpm.MyAuditVal,_xlfn.XLOOKUP($A307,My_Audit!$A:$A,My_Audit!L:L,""),
_xlfn.IFS(_xlpm.MyAuditVal&lt;&gt;"",UPPER(_xlpm.MyAuditVal),_xlpm.MacVal&lt;&gt;"",_xlpm.MacVal,_xlpm.CSVVal&lt;&gt;"",_xlpm.CSVVal
)),"")</f>
        <v/>
      </c>
      <c r="O307" s="2" t="str">
        <f>_xlfn.LET(
    _xlpm.CSVVal, _xlfn.XLOOKUP($A307, CSV!$A:$A, CSV!AF:AF, ""),
    _xlpm.MacVal, _xlfn.XLOOKUP($A307, Output_Mac!$A:$A, Output_Mac!S:S, ""),
    _xlpm.MyAuditVal, _xlfn.XLOOKUP($A307, My_Audit!$A:$A, My_Audit!P:P, ""),
    _xlfn.TEXTJOIN(", ", TRUE, _xlpm.MyAuditVal, _xlpm.MacVal, _xlpm.CSVVal)
)</f>
        <v/>
      </c>
      <c r="P307" s="2" t="str" cm="1">
        <f t="array" ref="P307">IFERROR(_xlfn.LET(
_xlpm.CSVVal,_xlfn.XLOOKUP($A307,CSV!$A:$A,CSV!AG:AG,""),
_xlpm.MacVal,_xlfn.XLOOKUP($A307,Output_Mac!$A:$A,Output_Mac!T:T,""),
_xlpm.MyAuditVal,_xlfn.XLOOKUP($A307,My_Audit!$A:$A,My_Audit!Q:Q,""),
_xlfn.IFS(_xlpm.MyAuditVal&lt;&gt;"",UPPER(_xlpm.MyAuditVal),_xlpm.MacVal&lt;&gt;"",_xlpm.MacVal,_xlpm.CSVVal&lt;&gt;"",_xlpm.CSVVal
)),"No")</f>
        <v>No</v>
      </c>
      <c r="Q307" s="2" t="str" cm="1">
        <f t="array" ref="Q307">IFERROR(_xlfn.LET(
_xlpm.CSVVal,_xlfn.XLOOKUP($A307,CSV!$A:$A,CSV!AH:AH,""),
_xlpm.MacVal,_xlfn.XLOOKUP($A307,Output_Mac!$A:$A,Output_Mac!U:U,""),
_xlpm.MyAuditVal,_xlfn.XLOOKUP($A307,My_Audit!$A:$A,My_Audit!R:R,""),
_xlfn.IFS(_xlpm.MyAuditVal&lt;&gt;"",UPPER(_xlpm.MyAuditVal),_xlpm.MacVal&lt;&gt;"",_xlpm.MacVal,_xlpm.CSVVal&lt;&gt;"",_xlpm.CSVVal
)),"")</f>
        <v/>
      </c>
    </row>
    <row r="308" spans="1:17">
      <c r="A308" s="2" t="str">
        <f>_xlfn.TEXTJOIN("",TRUE,Input!$B$2,ROW(My_Audit!A307))</f>
        <v>XX307</v>
      </c>
      <c r="B308" s="2" t="str">
        <f>_xlfn.TEXTJOIN("-",TRUE,"ITD",Input!$A$2,A308)</f>
        <v>ITD-SHRXXX-XX307</v>
      </c>
      <c r="C308" s="2" t="str" cm="1">
        <f t="array" ref="C308">IFERROR(_xlfn.LET(
_xlpm.CSVVal,_xlfn.XLOOKUP($A308,CSV!$A:$A,CSV!B:B,""),
_xlpm.MacVal,_xlfn.XLOOKUP($A308,Output_Mac!$A:$A,Output_Mac!B:B,""),
_xlpm.MyAuditVal,_xlfn.XLOOKUP($A308,My_Audit!$A:$A,My_Audit!B:B,""),
_xlfn.IFS(_xlpm.MyAuditVal&lt;&gt;"",UPPER(_xlpm.MyAuditVal),_xlpm.MacVal&lt;&gt;"",_xlpm.MacVal,_xlpm.CSVVal&lt;&gt;"",_xlpm.CSVVal
)),"")</f>
        <v/>
      </c>
      <c r="D308" s="2" t="str" cm="1">
        <f t="array" ref="D308">IFERROR(_xlfn.LET(
_xlpm.CSVVal,_xlfn.XLOOKUP($A308,CSV!$A:$A,CSV!D:D,""),
_xlpm.MacVal,_xlfn.XLOOKUP($A308,Output_Mac!$A:$A,Output_Mac!C:C,""),
_xlpm.MyAuditVal,_xlfn.XLOOKUP($A308,My_Audit!$A:$A,My_Audit!C:C,""),
_xlfn.IFS(_xlpm.MyAuditVal&lt;&gt;"",_xlpm.MyAuditVal,_xlpm.MacVal&lt;&gt;"",_xlpm.MacVal,_xlpm.CSVVal&lt;&gt;"",_xlpm.CSVVal
)),"")</f>
        <v/>
      </c>
      <c r="E308" s="2" t="str">
        <f>_xlfn.XLOOKUP(A308,My_Audit!A:A,My_Audit!D:D,"")&amp;""</f>
        <v/>
      </c>
      <c r="F308" s="2" t="str" cm="1">
        <f t="array" ref="F308">IFERROR(_xlfn.LET(
_xlpm.CSVVal,_xlfn.XLOOKUP($A308,CSV!$A:$A,CSV!F:F,""),
_xlpm.MacVal,_xlfn.XLOOKUP($A308,Output_Mac!$A:$A,Output_Mac!E:E,""),
_xlpm.MyAuditVal,_xlfn.XLOOKUP($A308,My_Audit!$A:$A,My_Audit!E:E,""),
_xlfn.IFS(_xlpm.MyAuditVal&lt;&gt;"",_xlpm.MyAuditVal,_xlpm.MacVal&lt;&gt;"",_xlpm.MacVal,_xlpm.CSVVal&lt;&gt;"",_xlpm.CSVVal
)),"")</f>
        <v/>
      </c>
      <c r="G308" s="2" t="str" cm="1">
        <f t="array" ref="G308">IFERROR(_xlfn.LET(
_xlpm.CSVVal,_xlfn.XLOOKUP($A308,CSV!$A:$A,CSV!G:G,""),
_xlpm.MacVal,_xlfn.XLOOKUP($A308,Output_Mac!$A:$A,Output_Mac!F:F,""),
_xlpm.MyAuditVal,_xlfn.XLOOKUP($A308,My_Audit!$A:$A,My_Audit!F:F,""),
_xlfn.IFS(_xlpm.MyAuditVal&lt;&gt;"",_xlpm.MyAuditVal,_xlpm.MacVal&lt;&gt;"",_xlpm.MacVal,_xlpm.CSVVal&lt;&gt;"",PROPER(_xlpm.CSVVal)
)),"")</f>
        <v/>
      </c>
      <c r="H308" s="2" t="str" cm="1">
        <f t="array" ref="H308">IFERROR(_xlfn.LET(
_xlpm.CSVVal,_xlfn.XLOOKUP($A308,CSV!$A:$A,CSV!H:H,""),
_xlpm.MacVal,_xlfn.XLOOKUP($A308,Output_Mac!$A:$A,Output_Mac!H:H,""),
_xlpm.MyAuditVal,_xlfn.XLOOKUP($A308,My_Audit!$A:$A,My_Audit!G:G,""),
_xlfn.IFS(_xlpm.MyAuditVal&lt;&gt;"",_xlpm.MyAuditVal,_xlpm.MacVal&lt;&gt;"",_xlpm.MacVal,_xlpm.CSVVal&lt;&gt;"",_xlpm.CSVVal
)),"")</f>
        <v/>
      </c>
      <c r="I308" s="2" t="str">
        <f>_xlfn.XLOOKUP(A308,Output_Mac!A:A,Output_Mac!I:I,"")</f>
        <v/>
      </c>
      <c r="J308" s="2" t="str" cm="1">
        <f t="array" ref="J308">IFERROR(_xlfn.LET(
_xlpm.CSVVal,_xlfn.XLOOKUP($A308,CSV!$A:$A,CSV!I:I,""),
_xlpm.MacVal,_xlfn.XLOOKUP($A308,Output_Mac!$A:$A,Output_Mac!J:J,""),
_xlpm.MyAuditVal,_xlfn.XLOOKUP($A308,My_Audit!$A:$A,My_Audit!I:I,""),
_xlfn.IFS(_xlpm.MyAuditVal&lt;&gt;"",UPPER(_xlpm.MyAuditVal),_xlpm.MacVal&lt;&gt;"",_xlpm.MacVal,_xlpm.CSVVal&lt;&gt;"",_xlpm.CSVVal
)),"")</f>
        <v/>
      </c>
      <c r="K308" s="2" t="str" cm="1">
        <f t="array" ref="K308">IFERROR(_xlfn.LET(
_xlpm.CSVVal,_xlfn.XLOOKUP($A308,CSV!$A:$A,CSV!K:K,""),
_xlpm.MacVal,_xlfn.XLOOKUP($A308,Output_Mac!$A:$A,Output_Mac!K:K,""),
_xlpm.MyAuditVal,_xlfn.XLOOKUP($A308,My_Audit!$A:$A,My_Audit!J:J,""),
_xlfn.IFS(_xlpm.MyAuditVal&lt;&gt;"",UPPER(_xlpm.MyAuditVal),_xlpm.MacVal&lt;&gt;"",_xlpm.MacVal,_xlpm.CSVVal&lt;&gt;"",_xlpm.CSVVal
)),"")</f>
        <v/>
      </c>
      <c r="L308" s="2" t="str" cm="1">
        <f t="array" ref="L308">IFERROR(_xlfn.LET(
_xlpm.CSVVal,_xlfn.XLOOKUP($A308,CSV!$A:$A,CSV!P:P,""),
_xlpm.MacVal,_xlfn.XLOOKUP($A308,Output_Mac!$A:$A,Output_Mac!L:L,""),
_xlpm.MyAuditVal,_xlfn.XLOOKUP($A308,My_Audit!$A:$A,My_Audit!K:K,""),
_xlfn.IFS(_xlpm.MyAuditVal&lt;&gt;"",UPPER(_xlpm.MyAuditVal),_xlpm.MacVal&lt;&gt;"",_xlpm.MacVal,_xlpm.CSVVal&lt;&gt;"",_xlpm.CSVVal
)),"")</f>
        <v/>
      </c>
      <c r="M308" s="2" t="str" cm="1">
        <f t="array" ref="M308">IFERROR(_xlfn.LET(
_xlpm.CSVVal,_xlfn.XLOOKUP($A308,CSV!$A:$A,CSV!Q:Q,""),
_xlpm.MacVal,_xlfn.XLOOKUP($A308,Output_Mac!$A:$A,Output_Mac!M:M,""),
_xlpm.MyAuditVal,_xlfn.XLOOKUP($A308,My_Audit!$A:$A,My_Audit!L:L,""),
_xlfn.IFS(_xlpm.MyAuditVal&lt;&gt;"",UPPER(_xlpm.MyAuditVal),_xlpm.MacVal&lt;&gt;"",_xlpm.MacVal,_xlpm.CSVVal&lt;&gt;"",_xlpm.CSVVal
)),"")</f>
        <v/>
      </c>
      <c r="O308" s="2" t="str">
        <f>_xlfn.LET(
    _xlpm.CSVVal, _xlfn.XLOOKUP($A308, CSV!$A:$A, CSV!AF:AF, ""),
    _xlpm.MacVal, _xlfn.XLOOKUP($A308, Output_Mac!$A:$A, Output_Mac!S:S, ""),
    _xlpm.MyAuditVal, _xlfn.XLOOKUP($A308, My_Audit!$A:$A, My_Audit!P:P, ""),
    _xlfn.TEXTJOIN(", ", TRUE, _xlpm.MyAuditVal, _xlpm.MacVal, _xlpm.CSVVal)
)</f>
        <v/>
      </c>
      <c r="P308" s="2" t="str" cm="1">
        <f t="array" ref="P308">IFERROR(_xlfn.LET(
_xlpm.CSVVal,_xlfn.XLOOKUP($A308,CSV!$A:$A,CSV!AG:AG,""),
_xlpm.MacVal,_xlfn.XLOOKUP($A308,Output_Mac!$A:$A,Output_Mac!T:T,""),
_xlpm.MyAuditVal,_xlfn.XLOOKUP($A308,My_Audit!$A:$A,My_Audit!Q:Q,""),
_xlfn.IFS(_xlpm.MyAuditVal&lt;&gt;"",UPPER(_xlpm.MyAuditVal),_xlpm.MacVal&lt;&gt;"",_xlpm.MacVal,_xlpm.CSVVal&lt;&gt;"",_xlpm.CSVVal
)),"No")</f>
        <v>No</v>
      </c>
      <c r="Q308" s="2" t="str" cm="1">
        <f t="array" ref="Q308">IFERROR(_xlfn.LET(
_xlpm.CSVVal,_xlfn.XLOOKUP($A308,CSV!$A:$A,CSV!AH:AH,""),
_xlpm.MacVal,_xlfn.XLOOKUP($A308,Output_Mac!$A:$A,Output_Mac!U:U,""),
_xlpm.MyAuditVal,_xlfn.XLOOKUP($A308,My_Audit!$A:$A,My_Audit!R:R,""),
_xlfn.IFS(_xlpm.MyAuditVal&lt;&gt;"",UPPER(_xlpm.MyAuditVal),_xlpm.MacVal&lt;&gt;"",_xlpm.MacVal,_xlpm.CSVVal&lt;&gt;"",_xlpm.CSVVal
)),"")</f>
        <v/>
      </c>
    </row>
    <row r="309" spans="1:17">
      <c r="A309" s="2" t="str">
        <f>_xlfn.TEXTJOIN("",TRUE,Input!$B$2,ROW(My_Audit!A308))</f>
        <v>XX308</v>
      </c>
      <c r="B309" s="2" t="str">
        <f>_xlfn.TEXTJOIN("-",TRUE,"ITD",Input!$A$2,A309)</f>
        <v>ITD-SHRXXX-XX308</v>
      </c>
      <c r="C309" s="2" t="str" cm="1">
        <f t="array" ref="C309">IFERROR(_xlfn.LET(
_xlpm.CSVVal,_xlfn.XLOOKUP($A309,CSV!$A:$A,CSV!B:B,""),
_xlpm.MacVal,_xlfn.XLOOKUP($A309,Output_Mac!$A:$A,Output_Mac!B:B,""),
_xlpm.MyAuditVal,_xlfn.XLOOKUP($A309,My_Audit!$A:$A,My_Audit!B:B,""),
_xlfn.IFS(_xlpm.MyAuditVal&lt;&gt;"",UPPER(_xlpm.MyAuditVal),_xlpm.MacVal&lt;&gt;"",_xlpm.MacVal,_xlpm.CSVVal&lt;&gt;"",_xlpm.CSVVal
)),"")</f>
        <v/>
      </c>
      <c r="D309" s="2" t="str" cm="1">
        <f t="array" ref="D309">IFERROR(_xlfn.LET(
_xlpm.CSVVal,_xlfn.XLOOKUP($A309,CSV!$A:$A,CSV!D:D,""),
_xlpm.MacVal,_xlfn.XLOOKUP($A309,Output_Mac!$A:$A,Output_Mac!C:C,""),
_xlpm.MyAuditVal,_xlfn.XLOOKUP($A309,My_Audit!$A:$A,My_Audit!C:C,""),
_xlfn.IFS(_xlpm.MyAuditVal&lt;&gt;"",_xlpm.MyAuditVal,_xlpm.MacVal&lt;&gt;"",_xlpm.MacVal,_xlpm.CSVVal&lt;&gt;"",_xlpm.CSVVal
)),"")</f>
        <v/>
      </c>
      <c r="E309" s="2" t="str">
        <f>_xlfn.XLOOKUP(A309,My_Audit!A:A,My_Audit!D:D,"")&amp;""</f>
        <v/>
      </c>
      <c r="F309" s="2" t="str" cm="1">
        <f t="array" ref="F309">IFERROR(_xlfn.LET(
_xlpm.CSVVal,_xlfn.XLOOKUP($A309,CSV!$A:$A,CSV!F:F,""),
_xlpm.MacVal,_xlfn.XLOOKUP($A309,Output_Mac!$A:$A,Output_Mac!E:E,""),
_xlpm.MyAuditVal,_xlfn.XLOOKUP($A309,My_Audit!$A:$A,My_Audit!E:E,""),
_xlfn.IFS(_xlpm.MyAuditVal&lt;&gt;"",_xlpm.MyAuditVal,_xlpm.MacVal&lt;&gt;"",_xlpm.MacVal,_xlpm.CSVVal&lt;&gt;"",_xlpm.CSVVal
)),"")</f>
        <v/>
      </c>
      <c r="G309" s="2" t="str" cm="1">
        <f t="array" ref="G309">IFERROR(_xlfn.LET(
_xlpm.CSVVal,_xlfn.XLOOKUP($A309,CSV!$A:$A,CSV!G:G,""),
_xlpm.MacVal,_xlfn.XLOOKUP($A309,Output_Mac!$A:$A,Output_Mac!F:F,""),
_xlpm.MyAuditVal,_xlfn.XLOOKUP($A309,My_Audit!$A:$A,My_Audit!F:F,""),
_xlfn.IFS(_xlpm.MyAuditVal&lt;&gt;"",_xlpm.MyAuditVal,_xlpm.MacVal&lt;&gt;"",_xlpm.MacVal,_xlpm.CSVVal&lt;&gt;"",PROPER(_xlpm.CSVVal)
)),"")</f>
        <v/>
      </c>
      <c r="H309" s="2" t="str" cm="1">
        <f t="array" ref="H309">IFERROR(_xlfn.LET(
_xlpm.CSVVal,_xlfn.XLOOKUP($A309,CSV!$A:$A,CSV!H:H,""),
_xlpm.MacVal,_xlfn.XLOOKUP($A309,Output_Mac!$A:$A,Output_Mac!H:H,""),
_xlpm.MyAuditVal,_xlfn.XLOOKUP($A309,My_Audit!$A:$A,My_Audit!G:G,""),
_xlfn.IFS(_xlpm.MyAuditVal&lt;&gt;"",_xlpm.MyAuditVal,_xlpm.MacVal&lt;&gt;"",_xlpm.MacVal,_xlpm.CSVVal&lt;&gt;"",_xlpm.CSVVal
)),"")</f>
        <v/>
      </c>
      <c r="I309" s="2" t="str">
        <f>_xlfn.XLOOKUP(A309,Output_Mac!A:A,Output_Mac!I:I,"")</f>
        <v/>
      </c>
      <c r="J309" s="2" t="str" cm="1">
        <f t="array" ref="J309">IFERROR(_xlfn.LET(
_xlpm.CSVVal,_xlfn.XLOOKUP($A309,CSV!$A:$A,CSV!I:I,""),
_xlpm.MacVal,_xlfn.XLOOKUP($A309,Output_Mac!$A:$A,Output_Mac!J:J,""),
_xlpm.MyAuditVal,_xlfn.XLOOKUP($A309,My_Audit!$A:$A,My_Audit!I:I,""),
_xlfn.IFS(_xlpm.MyAuditVal&lt;&gt;"",UPPER(_xlpm.MyAuditVal),_xlpm.MacVal&lt;&gt;"",_xlpm.MacVal,_xlpm.CSVVal&lt;&gt;"",_xlpm.CSVVal
)),"")</f>
        <v/>
      </c>
      <c r="K309" s="2" t="str" cm="1">
        <f t="array" ref="K309">IFERROR(_xlfn.LET(
_xlpm.CSVVal,_xlfn.XLOOKUP($A309,CSV!$A:$A,CSV!K:K,""),
_xlpm.MacVal,_xlfn.XLOOKUP($A309,Output_Mac!$A:$A,Output_Mac!K:K,""),
_xlpm.MyAuditVal,_xlfn.XLOOKUP($A309,My_Audit!$A:$A,My_Audit!J:J,""),
_xlfn.IFS(_xlpm.MyAuditVal&lt;&gt;"",UPPER(_xlpm.MyAuditVal),_xlpm.MacVal&lt;&gt;"",_xlpm.MacVal,_xlpm.CSVVal&lt;&gt;"",_xlpm.CSVVal
)),"")</f>
        <v/>
      </c>
      <c r="L309" s="2" t="str" cm="1">
        <f t="array" ref="L309">IFERROR(_xlfn.LET(
_xlpm.CSVVal,_xlfn.XLOOKUP($A309,CSV!$A:$A,CSV!P:P,""),
_xlpm.MacVal,_xlfn.XLOOKUP($A309,Output_Mac!$A:$A,Output_Mac!L:L,""),
_xlpm.MyAuditVal,_xlfn.XLOOKUP($A309,My_Audit!$A:$A,My_Audit!K:K,""),
_xlfn.IFS(_xlpm.MyAuditVal&lt;&gt;"",UPPER(_xlpm.MyAuditVal),_xlpm.MacVal&lt;&gt;"",_xlpm.MacVal,_xlpm.CSVVal&lt;&gt;"",_xlpm.CSVVal
)),"")</f>
        <v/>
      </c>
      <c r="M309" s="2" t="str" cm="1">
        <f t="array" ref="M309">IFERROR(_xlfn.LET(
_xlpm.CSVVal,_xlfn.XLOOKUP($A309,CSV!$A:$A,CSV!Q:Q,""),
_xlpm.MacVal,_xlfn.XLOOKUP($A309,Output_Mac!$A:$A,Output_Mac!M:M,""),
_xlpm.MyAuditVal,_xlfn.XLOOKUP($A309,My_Audit!$A:$A,My_Audit!L:L,""),
_xlfn.IFS(_xlpm.MyAuditVal&lt;&gt;"",UPPER(_xlpm.MyAuditVal),_xlpm.MacVal&lt;&gt;"",_xlpm.MacVal,_xlpm.CSVVal&lt;&gt;"",_xlpm.CSVVal
)),"")</f>
        <v/>
      </c>
      <c r="O309" s="2" t="str">
        <f>_xlfn.LET(
    _xlpm.CSVVal, _xlfn.XLOOKUP($A309, CSV!$A:$A, CSV!AF:AF, ""),
    _xlpm.MacVal, _xlfn.XLOOKUP($A309, Output_Mac!$A:$A, Output_Mac!S:S, ""),
    _xlpm.MyAuditVal, _xlfn.XLOOKUP($A309, My_Audit!$A:$A, My_Audit!P:P, ""),
    _xlfn.TEXTJOIN(", ", TRUE, _xlpm.MyAuditVal, _xlpm.MacVal, _xlpm.CSVVal)
)</f>
        <v/>
      </c>
      <c r="P309" s="2" t="str" cm="1">
        <f t="array" ref="P309">IFERROR(_xlfn.LET(
_xlpm.CSVVal,_xlfn.XLOOKUP($A309,CSV!$A:$A,CSV!AG:AG,""),
_xlpm.MacVal,_xlfn.XLOOKUP($A309,Output_Mac!$A:$A,Output_Mac!T:T,""),
_xlpm.MyAuditVal,_xlfn.XLOOKUP($A309,My_Audit!$A:$A,My_Audit!Q:Q,""),
_xlfn.IFS(_xlpm.MyAuditVal&lt;&gt;"",UPPER(_xlpm.MyAuditVal),_xlpm.MacVal&lt;&gt;"",_xlpm.MacVal,_xlpm.CSVVal&lt;&gt;"",_xlpm.CSVVal
)),"No")</f>
        <v>No</v>
      </c>
      <c r="Q309" s="2" t="str" cm="1">
        <f t="array" ref="Q309">IFERROR(_xlfn.LET(
_xlpm.CSVVal,_xlfn.XLOOKUP($A309,CSV!$A:$A,CSV!AH:AH,""),
_xlpm.MacVal,_xlfn.XLOOKUP($A309,Output_Mac!$A:$A,Output_Mac!U:U,""),
_xlpm.MyAuditVal,_xlfn.XLOOKUP($A309,My_Audit!$A:$A,My_Audit!R:R,""),
_xlfn.IFS(_xlpm.MyAuditVal&lt;&gt;"",UPPER(_xlpm.MyAuditVal),_xlpm.MacVal&lt;&gt;"",_xlpm.MacVal,_xlpm.CSVVal&lt;&gt;"",_xlpm.CSVVal
)),"")</f>
        <v/>
      </c>
    </row>
    <row r="310" spans="1:17">
      <c r="A310" s="2" t="str">
        <f>_xlfn.TEXTJOIN("",TRUE,Input!$B$2,ROW(My_Audit!A309))</f>
        <v>XX309</v>
      </c>
      <c r="B310" s="2" t="str">
        <f>_xlfn.TEXTJOIN("-",TRUE,"ITD",Input!$A$2,A310)</f>
        <v>ITD-SHRXXX-XX309</v>
      </c>
      <c r="C310" s="2" t="str" cm="1">
        <f t="array" ref="C310">IFERROR(_xlfn.LET(
_xlpm.CSVVal,_xlfn.XLOOKUP($A310,CSV!$A:$A,CSV!B:B,""),
_xlpm.MacVal,_xlfn.XLOOKUP($A310,Output_Mac!$A:$A,Output_Mac!B:B,""),
_xlpm.MyAuditVal,_xlfn.XLOOKUP($A310,My_Audit!$A:$A,My_Audit!B:B,""),
_xlfn.IFS(_xlpm.MyAuditVal&lt;&gt;"",UPPER(_xlpm.MyAuditVal),_xlpm.MacVal&lt;&gt;"",_xlpm.MacVal,_xlpm.CSVVal&lt;&gt;"",_xlpm.CSVVal
)),"")</f>
        <v/>
      </c>
      <c r="D310" s="2" t="str" cm="1">
        <f t="array" ref="D310">IFERROR(_xlfn.LET(
_xlpm.CSVVal,_xlfn.XLOOKUP($A310,CSV!$A:$A,CSV!D:D,""),
_xlpm.MacVal,_xlfn.XLOOKUP($A310,Output_Mac!$A:$A,Output_Mac!C:C,""),
_xlpm.MyAuditVal,_xlfn.XLOOKUP($A310,My_Audit!$A:$A,My_Audit!C:C,""),
_xlfn.IFS(_xlpm.MyAuditVal&lt;&gt;"",_xlpm.MyAuditVal,_xlpm.MacVal&lt;&gt;"",_xlpm.MacVal,_xlpm.CSVVal&lt;&gt;"",_xlpm.CSVVal
)),"")</f>
        <v/>
      </c>
      <c r="E310" s="2" t="str">
        <f>_xlfn.XLOOKUP(A310,My_Audit!A:A,My_Audit!D:D,"")&amp;""</f>
        <v/>
      </c>
      <c r="F310" s="2" t="str" cm="1">
        <f t="array" ref="F310">IFERROR(_xlfn.LET(
_xlpm.CSVVal,_xlfn.XLOOKUP($A310,CSV!$A:$A,CSV!F:F,""),
_xlpm.MacVal,_xlfn.XLOOKUP($A310,Output_Mac!$A:$A,Output_Mac!E:E,""),
_xlpm.MyAuditVal,_xlfn.XLOOKUP($A310,My_Audit!$A:$A,My_Audit!E:E,""),
_xlfn.IFS(_xlpm.MyAuditVal&lt;&gt;"",_xlpm.MyAuditVal,_xlpm.MacVal&lt;&gt;"",_xlpm.MacVal,_xlpm.CSVVal&lt;&gt;"",_xlpm.CSVVal
)),"")</f>
        <v/>
      </c>
      <c r="G310" s="2" t="str" cm="1">
        <f t="array" ref="G310">IFERROR(_xlfn.LET(
_xlpm.CSVVal,_xlfn.XLOOKUP($A310,CSV!$A:$A,CSV!G:G,""),
_xlpm.MacVal,_xlfn.XLOOKUP($A310,Output_Mac!$A:$A,Output_Mac!F:F,""),
_xlpm.MyAuditVal,_xlfn.XLOOKUP($A310,My_Audit!$A:$A,My_Audit!F:F,""),
_xlfn.IFS(_xlpm.MyAuditVal&lt;&gt;"",_xlpm.MyAuditVal,_xlpm.MacVal&lt;&gt;"",_xlpm.MacVal,_xlpm.CSVVal&lt;&gt;"",PROPER(_xlpm.CSVVal)
)),"")</f>
        <v/>
      </c>
      <c r="H310" s="2" t="str" cm="1">
        <f t="array" ref="H310">IFERROR(_xlfn.LET(
_xlpm.CSVVal,_xlfn.XLOOKUP($A310,CSV!$A:$A,CSV!H:H,""),
_xlpm.MacVal,_xlfn.XLOOKUP($A310,Output_Mac!$A:$A,Output_Mac!H:H,""),
_xlpm.MyAuditVal,_xlfn.XLOOKUP($A310,My_Audit!$A:$A,My_Audit!G:G,""),
_xlfn.IFS(_xlpm.MyAuditVal&lt;&gt;"",_xlpm.MyAuditVal,_xlpm.MacVal&lt;&gt;"",_xlpm.MacVal,_xlpm.CSVVal&lt;&gt;"",_xlpm.CSVVal
)),"")</f>
        <v/>
      </c>
      <c r="I310" s="2" t="str">
        <f>_xlfn.XLOOKUP(A310,Output_Mac!A:A,Output_Mac!I:I,"")</f>
        <v/>
      </c>
      <c r="J310" s="2" t="str" cm="1">
        <f t="array" ref="J310">IFERROR(_xlfn.LET(
_xlpm.CSVVal,_xlfn.XLOOKUP($A310,CSV!$A:$A,CSV!I:I,""),
_xlpm.MacVal,_xlfn.XLOOKUP($A310,Output_Mac!$A:$A,Output_Mac!J:J,""),
_xlpm.MyAuditVal,_xlfn.XLOOKUP($A310,My_Audit!$A:$A,My_Audit!I:I,""),
_xlfn.IFS(_xlpm.MyAuditVal&lt;&gt;"",UPPER(_xlpm.MyAuditVal),_xlpm.MacVal&lt;&gt;"",_xlpm.MacVal,_xlpm.CSVVal&lt;&gt;"",_xlpm.CSVVal
)),"")</f>
        <v/>
      </c>
      <c r="K310" s="2" t="str" cm="1">
        <f t="array" ref="K310">IFERROR(_xlfn.LET(
_xlpm.CSVVal,_xlfn.XLOOKUP($A310,CSV!$A:$A,CSV!K:K,""),
_xlpm.MacVal,_xlfn.XLOOKUP($A310,Output_Mac!$A:$A,Output_Mac!K:K,""),
_xlpm.MyAuditVal,_xlfn.XLOOKUP($A310,My_Audit!$A:$A,My_Audit!J:J,""),
_xlfn.IFS(_xlpm.MyAuditVal&lt;&gt;"",UPPER(_xlpm.MyAuditVal),_xlpm.MacVal&lt;&gt;"",_xlpm.MacVal,_xlpm.CSVVal&lt;&gt;"",_xlpm.CSVVal
)),"")</f>
        <v/>
      </c>
      <c r="L310" s="2" t="str" cm="1">
        <f t="array" ref="L310">IFERROR(_xlfn.LET(
_xlpm.CSVVal,_xlfn.XLOOKUP($A310,CSV!$A:$A,CSV!P:P,""),
_xlpm.MacVal,_xlfn.XLOOKUP($A310,Output_Mac!$A:$A,Output_Mac!L:L,""),
_xlpm.MyAuditVal,_xlfn.XLOOKUP($A310,My_Audit!$A:$A,My_Audit!K:K,""),
_xlfn.IFS(_xlpm.MyAuditVal&lt;&gt;"",UPPER(_xlpm.MyAuditVal),_xlpm.MacVal&lt;&gt;"",_xlpm.MacVal,_xlpm.CSVVal&lt;&gt;"",_xlpm.CSVVal
)),"")</f>
        <v/>
      </c>
      <c r="M310" s="2" t="str" cm="1">
        <f t="array" ref="M310">IFERROR(_xlfn.LET(
_xlpm.CSVVal,_xlfn.XLOOKUP($A310,CSV!$A:$A,CSV!Q:Q,""),
_xlpm.MacVal,_xlfn.XLOOKUP($A310,Output_Mac!$A:$A,Output_Mac!M:M,""),
_xlpm.MyAuditVal,_xlfn.XLOOKUP($A310,My_Audit!$A:$A,My_Audit!L:L,""),
_xlfn.IFS(_xlpm.MyAuditVal&lt;&gt;"",UPPER(_xlpm.MyAuditVal),_xlpm.MacVal&lt;&gt;"",_xlpm.MacVal,_xlpm.CSVVal&lt;&gt;"",_xlpm.CSVVal
)),"")</f>
        <v/>
      </c>
      <c r="O310" s="2" t="str">
        <f>_xlfn.LET(
    _xlpm.CSVVal, _xlfn.XLOOKUP($A310, CSV!$A:$A, CSV!AF:AF, ""),
    _xlpm.MacVal, _xlfn.XLOOKUP($A310, Output_Mac!$A:$A, Output_Mac!S:S, ""),
    _xlpm.MyAuditVal, _xlfn.XLOOKUP($A310, My_Audit!$A:$A, My_Audit!P:P, ""),
    _xlfn.TEXTJOIN(", ", TRUE, _xlpm.MyAuditVal, _xlpm.MacVal, _xlpm.CSVVal)
)</f>
        <v/>
      </c>
      <c r="P310" s="2" t="str" cm="1">
        <f t="array" ref="P310">IFERROR(_xlfn.LET(
_xlpm.CSVVal,_xlfn.XLOOKUP($A310,CSV!$A:$A,CSV!AG:AG,""),
_xlpm.MacVal,_xlfn.XLOOKUP($A310,Output_Mac!$A:$A,Output_Mac!T:T,""),
_xlpm.MyAuditVal,_xlfn.XLOOKUP($A310,My_Audit!$A:$A,My_Audit!Q:Q,""),
_xlfn.IFS(_xlpm.MyAuditVal&lt;&gt;"",UPPER(_xlpm.MyAuditVal),_xlpm.MacVal&lt;&gt;"",_xlpm.MacVal,_xlpm.CSVVal&lt;&gt;"",_xlpm.CSVVal
)),"No")</f>
        <v>No</v>
      </c>
      <c r="Q310" s="2" t="str" cm="1">
        <f t="array" ref="Q310">IFERROR(_xlfn.LET(
_xlpm.CSVVal,_xlfn.XLOOKUP($A310,CSV!$A:$A,CSV!AH:AH,""),
_xlpm.MacVal,_xlfn.XLOOKUP($A310,Output_Mac!$A:$A,Output_Mac!U:U,""),
_xlpm.MyAuditVal,_xlfn.XLOOKUP($A310,My_Audit!$A:$A,My_Audit!R:R,""),
_xlfn.IFS(_xlpm.MyAuditVal&lt;&gt;"",UPPER(_xlpm.MyAuditVal),_xlpm.MacVal&lt;&gt;"",_xlpm.MacVal,_xlpm.CSVVal&lt;&gt;"",_xlpm.CSVVal
)),"")</f>
        <v/>
      </c>
    </row>
    <row r="311" spans="1:17">
      <c r="A311" s="2" t="str">
        <f>_xlfn.TEXTJOIN("",TRUE,Input!$B$2,ROW(My_Audit!A310))</f>
        <v>XX310</v>
      </c>
      <c r="B311" s="2" t="str">
        <f>_xlfn.TEXTJOIN("-",TRUE,"ITD",Input!$A$2,A311)</f>
        <v>ITD-SHRXXX-XX310</v>
      </c>
      <c r="C311" s="2" t="str" cm="1">
        <f t="array" ref="C311">IFERROR(_xlfn.LET(
_xlpm.CSVVal,_xlfn.XLOOKUP($A311,CSV!$A:$A,CSV!B:B,""),
_xlpm.MacVal,_xlfn.XLOOKUP($A311,Output_Mac!$A:$A,Output_Mac!B:B,""),
_xlpm.MyAuditVal,_xlfn.XLOOKUP($A311,My_Audit!$A:$A,My_Audit!B:B,""),
_xlfn.IFS(_xlpm.MyAuditVal&lt;&gt;"",UPPER(_xlpm.MyAuditVal),_xlpm.MacVal&lt;&gt;"",_xlpm.MacVal,_xlpm.CSVVal&lt;&gt;"",_xlpm.CSVVal
)),"")</f>
        <v/>
      </c>
      <c r="D311" s="2" t="str" cm="1">
        <f t="array" ref="D311">IFERROR(_xlfn.LET(
_xlpm.CSVVal,_xlfn.XLOOKUP($A311,CSV!$A:$A,CSV!D:D,""),
_xlpm.MacVal,_xlfn.XLOOKUP($A311,Output_Mac!$A:$A,Output_Mac!C:C,""),
_xlpm.MyAuditVal,_xlfn.XLOOKUP($A311,My_Audit!$A:$A,My_Audit!C:C,""),
_xlfn.IFS(_xlpm.MyAuditVal&lt;&gt;"",_xlpm.MyAuditVal,_xlpm.MacVal&lt;&gt;"",_xlpm.MacVal,_xlpm.CSVVal&lt;&gt;"",_xlpm.CSVVal
)),"")</f>
        <v/>
      </c>
      <c r="E311" s="2" t="str">
        <f>_xlfn.XLOOKUP(A311,My_Audit!A:A,My_Audit!D:D,"")&amp;""</f>
        <v/>
      </c>
      <c r="F311" s="2" t="str" cm="1">
        <f t="array" ref="F311">IFERROR(_xlfn.LET(
_xlpm.CSVVal,_xlfn.XLOOKUP($A311,CSV!$A:$A,CSV!F:F,""),
_xlpm.MacVal,_xlfn.XLOOKUP($A311,Output_Mac!$A:$A,Output_Mac!E:E,""),
_xlpm.MyAuditVal,_xlfn.XLOOKUP($A311,My_Audit!$A:$A,My_Audit!E:E,""),
_xlfn.IFS(_xlpm.MyAuditVal&lt;&gt;"",_xlpm.MyAuditVal,_xlpm.MacVal&lt;&gt;"",_xlpm.MacVal,_xlpm.CSVVal&lt;&gt;"",_xlpm.CSVVal
)),"")</f>
        <v/>
      </c>
      <c r="G311" s="2" t="str" cm="1">
        <f t="array" ref="G311">IFERROR(_xlfn.LET(
_xlpm.CSVVal,_xlfn.XLOOKUP($A311,CSV!$A:$A,CSV!G:G,""),
_xlpm.MacVal,_xlfn.XLOOKUP($A311,Output_Mac!$A:$A,Output_Mac!F:F,""),
_xlpm.MyAuditVal,_xlfn.XLOOKUP($A311,My_Audit!$A:$A,My_Audit!F:F,""),
_xlfn.IFS(_xlpm.MyAuditVal&lt;&gt;"",_xlpm.MyAuditVal,_xlpm.MacVal&lt;&gt;"",_xlpm.MacVal,_xlpm.CSVVal&lt;&gt;"",PROPER(_xlpm.CSVVal)
)),"")</f>
        <v/>
      </c>
      <c r="H311" s="2" t="str" cm="1">
        <f t="array" ref="H311">IFERROR(_xlfn.LET(
_xlpm.CSVVal,_xlfn.XLOOKUP($A311,CSV!$A:$A,CSV!H:H,""),
_xlpm.MacVal,_xlfn.XLOOKUP($A311,Output_Mac!$A:$A,Output_Mac!H:H,""),
_xlpm.MyAuditVal,_xlfn.XLOOKUP($A311,My_Audit!$A:$A,My_Audit!G:G,""),
_xlfn.IFS(_xlpm.MyAuditVal&lt;&gt;"",_xlpm.MyAuditVal,_xlpm.MacVal&lt;&gt;"",_xlpm.MacVal,_xlpm.CSVVal&lt;&gt;"",_xlpm.CSVVal
)),"")</f>
        <v/>
      </c>
      <c r="I311" s="2" t="str">
        <f>_xlfn.XLOOKUP(A311,Output_Mac!A:A,Output_Mac!I:I,"")</f>
        <v/>
      </c>
      <c r="J311" s="2" t="str" cm="1">
        <f t="array" ref="J311">IFERROR(_xlfn.LET(
_xlpm.CSVVal,_xlfn.XLOOKUP($A311,CSV!$A:$A,CSV!I:I,""),
_xlpm.MacVal,_xlfn.XLOOKUP($A311,Output_Mac!$A:$A,Output_Mac!J:J,""),
_xlpm.MyAuditVal,_xlfn.XLOOKUP($A311,My_Audit!$A:$A,My_Audit!I:I,""),
_xlfn.IFS(_xlpm.MyAuditVal&lt;&gt;"",UPPER(_xlpm.MyAuditVal),_xlpm.MacVal&lt;&gt;"",_xlpm.MacVal,_xlpm.CSVVal&lt;&gt;"",_xlpm.CSVVal
)),"")</f>
        <v/>
      </c>
      <c r="K311" s="2" t="str" cm="1">
        <f t="array" ref="K311">IFERROR(_xlfn.LET(
_xlpm.CSVVal,_xlfn.XLOOKUP($A311,CSV!$A:$A,CSV!K:K,""),
_xlpm.MacVal,_xlfn.XLOOKUP($A311,Output_Mac!$A:$A,Output_Mac!K:K,""),
_xlpm.MyAuditVal,_xlfn.XLOOKUP($A311,My_Audit!$A:$A,My_Audit!J:J,""),
_xlfn.IFS(_xlpm.MyAuditVal&lt;&gt;"",UPPER(_xlpm.MyAuditVal),_xlpm.MacVal&lt;&gt;"",_xlpm.MacVal,_xlpm.CSVVal&lt;&gt;"",_xlpm.CSVVal
)),"")</f>
        <v/>
      </c>
      <c r="L311" s="2" t="str" cm="1">
        <f t="array" ref="L311">IFERROR(_xlfn.LET(
_xlpm.CSVVal,_xlfn.XLOOKUP($A311,CSV!$A:$A,CSV!P:P,""),
_xlpm.MacVal,_xlfn.XLOOKUP($A311,Output_Mac!$A:$A,Output_Mac!L:L,""),
_xlpm.MyAuditVal,_xlfn.XLOOKUP($A311,My_Audit!$A:$A,My_Audit!K:K,""),
_xlfn.IFS(_xlpm.MyAuditVal&lt;&gt;"",UPPER(_xlpm.MyAuditVal),_xlpm.MacVal&lt;&gt;"",_xlpm.MacVal,_xlpm.CSVVal&lt;&gt;"",_xlpm.CSVVal
)),"")</f>
        <v/>
      </c>
      <c r="M311" s="2" t="str" cm="1">
        <f t="array" ref="M311">IFERROR(_xlfn.LET(
_xlpm.CSVVal,_xlfn.XLOOKUP($A311,CSV!$A:$A,CSV!Q:Q,""),
_xlpm.MacVal,_xlfn.XLOOKUP($A311,Output_Mac!$A:$A,Output_Mac!M:M,""),
_xlpm.MyAuditVal,_xlfn.XLOOKUP($A311,My_Audit!$A:$A,My_Audit!L:L,""),
_xlfn.IFS(_xlpm.MyAuditVal&lt;&gt;"",UPPER(_xlpm.MyAuditVal),_xlpm.MacVal&lt;&gt;"",_xlpm.MacVal,_xlpm.CSVVal&lt;&gt;"",_xlpm.CSVVal
)),"")</f>
        <v/>
      </c>
      <c r="O311" s="2" t="str">
        <f>_xlfn.LET(
    _xlpm.CSVVal, _xlfn.XLOOKUP($A311, CSV!$A:$A, CSV!AF:AF, ""),
    _xlpm.MacVal, _xlfn.XLOOKUP($A311, Output_Mac!$A:$A, Output_Mac!S:S, ""),
    _xlpm.MyAuditVal, _xlfn.XLOOKUP($A311, My_Audit!$A:$A, My_Audit!P:P, ""),
    _xlfn.TEXTJOIN(", ", TRUE, _xlpm.MyAuditVal, _xlpm.MacVal, _xlpm.CSVVal)
)</f>
        <v/>
      </c>
      <c r="P311" s="2" t="str" cm="1">
        <f t="array" ref="P311">IFERROR(_xlfn.LET(
_xlpm.CSVVal,_xlfn.XLOOKUP($A311,CSV!$A:$A,CSV!AG:AG,""),
_xlpm.MacVal,_xlfn.XLOOKUP($A311,Output_Mac!$A:$A,Output_Mac!T:T,""),
_xlpm.MyAuditVal,_xlfn.XLOOKUP($A311,My_Audit!$A:$A,My_Audit!Q:Q,""),
_xlfn.IFS(_xlpm.MyAuditVal&lt;&gt;"",UPPER(_xlpm.MyAuditVal),_xlpm.MacVal&lt;&gt;"",_xlpm.MacVal,_xlpm.CSVVal&lt;&gt;"",_xlpm.CSVVal
)),"No")</f>
        <v>No</v>
      </c>
      <c r="Q311" s="2" t="str" cm="1">
        <f t="array" ref="Q311">IFERROR(_xlfn.LET(
_xlpm.CSVVal,_xlfn.XLOOKUP($A311,CSV!$A:$A,CSV!AH:AH,""),
_xlpm.MacVal,_xlfn.XLOOKUP($A311,Output_Mac!$A:$A,Output_Mac!U:U,""),
_xlpm.MyAuditVal,_xlfn.XLOOKUP($A311,My_Audit!$A:$A,My_Audit!R:R,""),
_xlfn.IFS(_xlpm.MyAuditVal&lt;&gt;"",UPPER(_xlpm.MyAuditVal),_xlpm.MacVal&lt;&gt;"",_xlpm.MacVal,_xlpm.CSVVal&lt;&gt;"",_xlpm.CSVVal
)),"")</f>
        <v/>
      </c>
    </row>
    <row r="312" spans="1:17">
      <c r="A312" s="2" t="str">
        <f>_xlfn.TEXTJOIN("",TRUE,Input!$B$2,ROW(My_Audit!A311))</f>
        <v>XX311</v>
      </c>
      <c r="B312" s="2" t="str">
        <f>_xlfn.TEXTJOIN("-",TRUE,"ITD",Input!$A$2,A312)</f>
        <v>ITD-SHRXXX-XX311</v>
      </c>
      <c r="C312" s="2" t="str" cm="1">
        <f t="array" ref="C312">IFERROR(_xlfn.LET(
_xlpm.CSVVal,_xlfn.XLOOKUP($A312,CSV!$A:$A,CSV!B:B,""),
_xlpm.MacVal,_xlfn.XLOOKUP($A312,Output_Mac!$A:$A,Output_Mac!B:B,""),
_xlpm.MyAuditVal,_xlfn.XLOOKUP($A312,My_Audit!$A:$A,My_Audit!B:B,""),
_xlfn.IFS(_xlpm.MyAuditVal&lt;&gt;"",UPPER(_xlpm.MyAuditVal),_xlpm.MacVal&lt;&gt;"",_xlpm.MacVal,_xlpm.CSVVal&lt;&gt;"",_xlpm.CSVVal
)),"")</f>
        <v/>
      </c>
      <c r="D312" s="2" t="str" cm="1">
        <f t="array" ref="D312">IFERROR(_xlfn.LET(
_xlpm.CSVVal,_xlfn.XLOOKUP($A312,CSV!$A:$A,CSV!D:D,""),
_xlpm.MacVal,_xlfn.XLOOKUP($A312,Output_Mac!$A:$A,Output_Mac!C:C,""),
_xlpm.MyAuditVal,_xlfn.XLOOKUP($A312,My_Audit!$A:$A,My_Audit!C:C,""),
_xlfn.IFS(_xlpm.MyAuditVal&lt;&gt;"",_xlpm.MyAuditVal,_xlpm.MacVal&lt;&gt;"",_xlpm.MacVal,_xlpm.CSVVal&lt;&gt;"",_xlpm.CSVVal
)),"")</f>
        <v/>
      </c>
      <c r="E312" s="2" t="str">
        <f>_xlfn.XLOOKUP(A312,My_Audit!A:A,My_Audit!D:D,"")&amp;""</f>
        <v/>
      </c>
      <c r="F312" s="2" t="str" cm="1">
        <f t="array" ref="F312">IFERROR(_xlfn.LET(
_xlpm.CSVVal,_xlfn.XLOOKUP($A312,CSV!$A:$A,CSV!F:F,""),
_xlpm.MacVal,_xlfn.XLOOKUP($A312,Output_Mac!$A:$A,Output_Mac!E:E,""),
_xlpm.MyAuditVal,_xlfn.XLOOKUP($A312,My_Audit!$A:$A,My_Audit!E:E,""),
_xlfn.IFS(_xlpm.MyAuditVal&lt;&gt;"",_xlpm.MyAuditVal,_xlpm.MacVal&lt;&gt;"",_xlpm.MacVal,_xlpm.CSVVal&lt;&gt;"",_xlpm.CSVVal
)),"")</f>
        <v/>
      </c>
      <c r="G312" s="2" t="str" cm="1">
        <f t="array" ref="G312">IFERROR(_xlfn.LET(
_xlpm.CSVVal,_xlfn.XLOOKUP($A312,CSV!$A:$A,CSV!G:G,""),
_xlpm.MacVal,_xlfn.XLOOKUP($A312,Output_Mac!$A:$A,Output_Mac!F:F,""),
_xlpm.MyAuditVal,_xlfn.XLOOKUP($A312,My_Audit!$A:$A,My_Audit!F:F,""),
_xlfn.IFS(_xlpm.MyAuditVal&lt;&gt;"",_xlpm.MyAuditVal,_xlpm.MacVal&lt;&gt;"",_xlpm.MacVal,_xlpm.CSVVal&lt;&gt;"",PROPER(_xlpm.CSVVal)
)),"")</f>
        <v/>
      </c>
      <c r="H312" s="2" t="str" cm="1">
        <f t="array" ref="H312">IFERROR(_xlfn.LET(
_xlpm.CSVVal,_xlfn.XLOOKUP($A312,CSV!$A:$A,CSV!H:H,""),
_xlpm.MacVal,_xlfn.XLOOKUP($A312,Output_Mac!$A:$A,Output_Mac!H:H,""),
_xlpm.MyAuditVal,_xlfn.XLOOKUP($A312,My_Audit!$A:$A,My_Audit!G:G,""),
_xlfn.IFS(_xlpm.MyAuditVal&lt;&gt;"",_xlpm.MyAuditVal,_xlpm.MacVal&lt;&gt;"",_xlpm.MacVal,_xlpm.CSVVal&lt;&gt;"",_xlpm.CSVVal
)),"")</f>
        <v/>
      </c>
      <c r="I312" s="2" t="str">
        <f>_xlfn.XLOOKUP(A312,Output_Mac!A:A,Output_Mac!I:I,"")</f>
        <v/>
      </c>
      <c r="J312" s="2" t="str" cm="1">
        <f t="array" ref="J312">IFERROR(_xlfn.LET(
_xlpm.CSVVal,_xlfn.XLOOKUP($A312,CSV!$A:$A,CSV!I:I,""),
_xlpm.MacVal,_xlfn.XLOOKUP($A312,Output_Mac!$A:$A,Output_Mac!J:J,""),
_xlpm.MyAuditVal,_xlfn.XLOOKUP($A312,My_Audit!$A:$A,My_Audit!I:I,""),
_xlfn.IFS(_xlpm.MyAuditVal&lt;&gt;"",UPPER(_xlpm.MyAuditVal),_xlpm.MacVal&lt;&gt;"",_xlpm.MacVal,_xlpm.CSVVal&lt;&gt;"",_xlpm.CSVVal
)),"")</f>
        <v/>
      </c>
      <c r="K312" s="2" t="str" cm="1">
        <f t="array" ref="K312">IFERROR(_xlfn.LET(
_xlpm.CSVVal,_xlfn.XLOOKUP($A312,CSV!$A:$A,CSV!K:K,""),
_xlpm.MacVal,_xlfn.XLOOKUP($A312,Output_Mac!$A:$A,Output_Mac!K:K,""),
_xlpm.MyAuditVal,_xlfn.XLOOKUP($A312,My_Audit!$A:$A,My_Audit!J:J,""),
_xlfn.IFS(_xlpm.MyAuditVal&lt;&gt;"",UPPER(_xlpm.MyAuditVal),_xlpm.MacVal&lt;&gt;"",_xlpm.MacVal,_xlpm.CSVVal&lt;&gt;"",_xlpm.CSVVal
)),"")</f>
        <v/>
      </c>
      <c r="L312" s="2" t="str" cm="1">
        <f t="array" ref="L312">IFERROR(_xlfn.LET(
_xlpm.CSVVal,_xlfn.XLOOKUP($A312,CSV!$A:$A,CSV!P:P,""),
_xlpm.MacVal,_xlfn.XLOOKUP($A312,Output_Mac!$A:$A,Output_Mac!L:L,""),
_xlpm.MyAuditVal,_xlfn.XLOOKUP($A312,My_Audit!$A:$A,My_Audit!K:K,""),
_xlfn.IFS(_xlpm.MyAuditVal&lt;&gt;"",UPPER(_xlpm.MyAuditVal),_xlpm.MacVal&lt;&gt;"",_xlpm.MacVal,_xlpm.CSVVal&lt;&gt;"",_xlpm.CSVVal
)),"")</f>
        <v/>
      </c>
      <c r="M312" s="2" t="str" cm="1">
        <f t="array" ref="M312">IFERROR(_xlfn.LET(
_xlpm.CSVVal,_xlfn.XLOOKUP($A312,CSV!$A:$A,CSV!Q:Q,""),
_xlpm.MacVal,_xlfn.XLOOKUP($A312,Output_Mac!$A:$A,Output_Mac!M:M,""),
_xlpm.MyAuditVal,_xlfn.XLOOKUP($A312,My_Audit!$A:$A,My_Audit!L:L,""),
_xlfn.IFS(_xlpm.MyAuditVal&lt;&gt;"",UPPER(_xlpm.MyAuditVal),_xlpm.MacVal&lt;&gt;"",_xlpm.MacVal,_xlpm.CSVVal&lt;&gt;"",_xlpm.CSVVal
)),"")</f>
        <v/>
      </c>
      <c r="O312" s="2" t="str">
        <f>_xlfn.LET(
    _xlpm.CSVVal, _xlfn.XLOOKUP($A312, CSV!$A:$A, CSV!AF:AF, ""),
    _xlpm.MacVal, _xlfn.XLOOKUP($A312, Output_Mac!$A:$A, Output_Mac!S:S, ""),
    _xlpm.MyAuditVal, _xlfn.XLOOKUP($A312, My_Audit!$A:$A, My_Audit!P:P, ""),
    _xlfn.TEXTJOIN(", ", TRUE, _xlpm.MyAuditVal, _xlpm.MacVal, _xlpm.CSVVal)
)</f>
        <v/>
      </c>
      <c r="P312" s="2" t="str" cm="1">
        <f t="array" ref="P312">IFERROR(_xlfn.LET(
_xlpm.CSVVal,_xlfn.XLOOKUP($A312,CSV!$A:$A,CSV!AG:AG,""),
_xlpm.MacVal,_xlfn.XLOOKUP($A312,Output_Mac!$A:$A,Output_Mac!T:T,""),
_xlpm.MyAuditVal,_xlfn.XLOOKUP($A312,My_Audit!$A:$A,My_Audit!Q:Q,""),
_xlfn.IFS(_xlpm.MyAuditVal&lt;&gt;"",UPPER(_xlpm.MyAuditVal),_xlpm.MacVal&lt;&gt;"",_xlpm.MacVal,_xlpm.CSVVal&lt;&gt;"",_xlpm.CSVVal
)),"No")</f>
        <v>No</v>
      </c>
      <c r="Q312" s="2" t="str" cm="1">
        <f t="array" ref="Q312">IFERROR(_xlfn.LET(
_xlpm.CSVVal,_xlfn.XLOOKUP($A312,CSV!$A:$A,CSV!AH:AH,""),
_xlpm.MacVal,_xlfn.XLOOKUP($A312,Output_Mac!$A:$A,Output_Mac!U:U,""),
_xlpm.MyAuditVal,_xlfn.XLOOKUP($A312,My_Audit!$A:$A,My_Audit!R:R,""),
_xlfn.IFS(_xlpm.MyAuditVal&lt;&gt;"",UPPER(_xlpm.MyAuditVal),_xlpm.MacVal&lt;&gt;"",_xlpm.MacVal,_xlpm.CSVVal&lt;&gt;"",_xlpm.CSVVal
)),"")</f>
        <v/>
      </c>
    </row>
    <row r="313" spans="1:17">
      <c r="A313" s="2" t="str">
        <f>_xlfn.TEXTJOIN("",TRUE,Input!$B$2,ROW(My_Audit!A312))</f>
        <v>XX312</v>
      </c>
      <c r="B313" s="2" t="str">
        <f>_xlfn.TEXTJOIN("-",TRUE,"ITD",Input!$A$2,A313)</f>
        <v>ITD-SHRXXX-XX312</v>
      </c>
      <c r="C313" s="2" t="str" cm="1">
        <f t="array" ref="C313">IFERROR(_xlfn.LET(
_xlpm.CSVVal,_xlfn.XLOOKUP($A313,CSV!$A:$A,CSV!B:B,""),
_xlpm.MacVal,_xlfn.XLOOKUP($A313,Output_Mac!$A:$A,Output_Mac!B:B,""),
_xlpm.MyAuditVal,_xlfn.XLOOKUP($A313,My_Audit!$A:$A,My_Audit!B:B,""),
_xlfn.IFS(_xlpm.MyAuditVal&lt;&gt;"",UPPER(_xlpm.MyAuditVal),_xlpm.MacVal&lt;&gt;"",_xlpm.MacVal,_xlpm.CSVVal&lt;&gt;"",_xlpm.CSVVal
)),"")</f>
        <v/>
      </c>
      <c r="D313" s="2" t="str" cm="1">
        <f t="array" ref="D313">IFERROR(_xlfn.LET(
_xlpm.CSVVal,_xlfn.XLOOKUP($A313,CSV!$A:$A,CSV!D:D,""),
_xlpm.MacVal,_xlfn.XLOOKUP($A313,Output_Mac!$A:$A,Output_Mac!C:C,""),
_xlpm.MyAuditVal,_xlfn.XLOOKUP($A313,My_Audit!$A:$A,My_Audit!C:C,""),
_xlfn.IFS(_xlpm.MyAuditVal&lt;&gt;"",_xlpm.MyAuditVal,_xlpm.MacVal&lt;&gt;"",_xlpm.MacVal,_xlpm.CSVVal&lt;&gt;"",_xlpm.CSVVal
)),"")</f>
        <v/>
      </c>
      <c r="E313" s="2" t="str">
        <f>_xlfn.XLOOKUP(A313,My_Audit!A:A,My_Audit!D:D,"")&amp;""</f>
        <v/>
      </c>
      <c r="F313" s="2" t="str" cm="1">
        <f t="array" ref="F313">IFERROR(_xlfn.LET(
_xlpm.CSVVal,_xlfn.XLOOKUP($A313,CSV!$A:$A,CSV!F:F,""),
_xlpm.MacVal,_xlfn.XLOOKUP($A313,Output_Mac!$A:$A,Output_Mac!E:E,""),
_xlpm.MyAuditVal,_xlfn.XLOOKUP($A313,My_Audit!$A:$A,My_Audit!E:E,""),
_xlfn.IFS(_xlpm.MyAuditVal&lt;&gt;"",_xlpm.MyAuditVal,_xlpm.MacVal&lt;&gt;"",_xlpm.MacVal,_xlpm.CSVVal&lt;&gt;"",_xlpm.CSVVal
)),"")</f>
        <v/>
      </c>
      <c r="G313" s="2" t="str" cm="1">
        <f t="array" ref="G313">IFERROR(_xlfn.LET(
_xlpm.CSVVal,_xlfn.XLOOKUP($A313,CSV!$A:$A,CSV!G:G,""),
_xlpm.MacVal,_xlfn.XLOOKUP($A313,Output_Mac!$A:$A,Output_Mac!F:F,""),
_xlpm.MyAuditVal,_xlfn.XLOOKUP($A313,My_Audit!$A:$A,My_Audit!F:F,""),
_xlfn.IFS(_xlpm.MyAuditVal&lt;&gt;"",_xlpm.MyAuditVal,_xlpm.MacVal&lt;&gt;"",_xlpm.MacVal,_xlpm.CSVVal&lt;&gt;"",PROPER(_xlpm.CSVVal)
)),"")</f>
        <v/>
      </c>
      <c r="H313" s="2" t="str" cm="1">
        <f t="array" ref="H313">IFERROR(_xlfn.LET(
_xlpm.CSVVal,_xlfn.XLOOKUP($A313,CSV!$A:$A,CSV!H:H,""),
_xlpm.MacVal,_xlfn.XLOOKUP($A313,Output_Mac!$A:$A,Output_Mac!H:H,""),
_xlpm.MyAuditVal,_xlfn.XLOOKUP($A313,My_Audit!$A:$A,My_Audit!G:G,""),
_xlfn.IFS(_xlpm.MyAuditVal&lt;&gt;"",_xlpm.MyAuditVal,_xlpm.MacVal&lt;&gt;"",_xlpm.MacVal,_xlpm.CSVVal&lt;&gt;"",_xlpm.CSVVal
)),"")</f>
        <v/>
      </c>
      <c r="I313" s="2" t="str">
        <f>_xlfn.XLOOKUP(A313,Output_Mac!A:A,Output_Mac!I:I,"")</f>
        <v/>
      </c>
      <c r="J313" s="2" t="str" cm="1">
        <f t="array" ref="J313">IFERROR(_xlfn.LET(
_xlpm.CSVVal,_xlfn.XLOOKUP($A313,CSV!$A:$A,CSV!I:I,""),
_xlpm.MacVal,_xlfn.XLOOKUP($A313,Output_Mac!$A:$A,Output_Mac!J:J,""),
_xlpm.MyAuditVal,_xlfn.XLOOKUP($A313,My_Audit!$A:$A,My_Audit!I:I,""),
_xlfn.IFS(_xlpm.MyAuditVal&lt;&gt;"",UPPER(_xlpm.MyAuditVal),_xlpm.MacVal&lt;&gt;"",_xlpm.MacVal,_xlpm.CSVVal&lt;&gt;"",_xlpm.CSVVal
)),"")</f>
        <v/>
      </c>
      <c r="K313" s="2" t="str" cm="1">
        <f t="array" ref="K313">IFERROR(_xlfn.LET(
_xlpm.CSVVal,_xlfn.XLOOKUP($A313,CSV!$A:$A,CSV!K:K,""),
_xlpm.MacVal,_xlfn.XLOOKUP($A313,Output_Mac!$A:$A,Output_Mac!K:K,""),
_xlpm.MyAuditVal,_xlfn.XLOOKUP($A313,My_Audit!$A:$A,My_Audit!J:J,""),
_xlfn.IFS(_xlpm.MyAuditVal&lt;&gt;"",UPPER(_xlpm.MyAuditVal),_xlpm.MacVal&lt;&gt;"",_xlpm.MacVal,_xlpm.CSVVal&lt;&gt;"",_xlpm.CSVVal
)),"")</f>
        <v/>
      </c>
      <c r="L313" s="2" t="str" cm="1">
        <f t="array" ref="L313">IFERROR(_xlfn.LET(
_xlpm.CSVVal,_xlfn.XLOOKUP($A313,CSV!$A:$A,CSV!P:P,""),
_xlpm.MacVal,_xlfn.XLOOKUP($A313,Output_Mac!$A:$A,Output_Mac!L:L,""),
_xlpm.MyAuditVal,_xlfn.XLOOKUP($A313,My_Audit!$A:$A,My_Audit!K:K,""),
_xlfn.IFS(_xlpm.MyAuditVal&lt;&gt;"",UPPER(_xlpm.MyAuditVal),_xlpm.MacVal&lt;&gt;"",_xlpm.MacVal,_xlpm.CSVVal&lt;&gt;"",_xlpm.CSVVal
)),"")</f>
        <v/>
      </c>
      <c r="M313" s="2" t="str" cm="1">
        <f t="array" ref="M313">IFERROR(_xlfn.LET(
_xlpm.CSVVal,_xlfn.XLOOKUP($A313,CSV!$A:$A,CSV!Q:Q,""),
_xlpm.MacVal,_xlfn.XLOOKUP($A313,Output_Mac!$A:$A,Output_Mac!M:M,""),
_xlpm.MyAuditVal,_xlfn.XLOOKUP($A313,My_Audit!$A:$A,My_Audit!L:L,""),
_xlfn.IFS(_xlpm.MyAuditVal&lt;&gt;"",UPPER(_xlpm.MyAuditVal),_xlpm.MacVal&lt;&gt;"",_xlpm.MacVal,_xlpm.CSVVal&lt;&gt;"",_xlpm.CSVVal
)),"")</f>
        <v/>
      </c>
      <c r="O313" s="2" t="str">
        <f>_xlfn.LET(
    _xlpm.CSVVal, _xlfn.XLOOKUP($A313, CSV!$A:$A, CSV!AF:AF, ""),
    _xlpm.MacVal, _xlfn.XLOOKUP($A313, Output_Mac!$A:$A, Output_Mac!S:S, ""),
    _xlpm.MyAuditVal, _xlfn.XLOOKUP($A313, My_Audit!$A:$A, My_Audit!P:P, ""),
    _xlfn.TEXTJOIN(", ", TRUE, _xlpm.MyAuditVal, _xlpm.MacVal, _xlpm.CSVVal)
)</f>
        <v/>
      </c>
      <c r="P313" s="2" t="str" cm="1">
        <f t="array" ref="P313">IFERROR(_xlfn.LET(
_xlpm.CSVVal,_xlfn.XLOOKUP($A313,CSV!$A:$A,CSV!AG:AG,""),
_xlpm.MacVal,_xlfn.XLOOKUP($A313,Output_Mac!$A:$A,Output_Mac!T:T,""),
_xlpm.MyAuditVal,_xlfn.XLOOKUP($A313,My_Audit!$A:$A,My_Audit!Q:Q,""),
_xlfn.IFS(_xlpm.MyAuditVal&lt;&gt;"",UPPER(_xlpm.MyAuditVal),_xlpm.MacVal&lt;&gt;"",_xlpm.MacVal,_xlpm.CSVVal&lt;&gt;"",_xlpm.CSVVal
)),"No")</f>
        <v>No</v>
      </c>
      <c r="Q313" s="2" t="str" cm="1">
        <f t="array" ref="Q313">IFERROR(_xlfn.LET(
_xlpm.CSVVal,_xlfn.XLOOKUP($A313,CSV!$A:$A,CSV!AH:AH,""),
_xlpm.MacVal,_xlfn.XLOOKUP($A313,Output_Mac!$A:$A,Output_Mac!U:U,""),
_xlpm.MyAuditVal,_xlfn.XLOOKUP($A313,My_Audit!$A:$A,My_Audit!R:R,""),
_xlfn.IFS(_xlpm.MyAuditVal&lt;&gt;"",UPPER(_xlpm.MyAuditVal),_xlpm.MacVal&lt;&gt;"",_xlpm.MacVal,_xlpm.CSVVal&lt;&gt;"",_xlpm.CSVVal
)),"")</f>
        <v/>
      </c>
    </row>
    <row r="314" spans="1:17">
      <c r="A314" s="2" t="str">
        <f>_xlfn.TEXTJOIN("",TRUE,Input!$B$2,ROW(My_Audit!A313))</f>
        <v>XX313</v>
      </c>
      <c r="B314" s="2" t="str">
        <f>_xlfn.TEXTJOIN("-",TRUE,"ITD",Input!$A$2,A314)</f>
        <v>ITD-SHRXXX-XX313</v>
      </c>
      <c r="C314" s="2" t="str" cm="1">
        <f t="array" ref="C314">IFERROR(_xlfn.LET(
_xlpm.CSVVal,_xlfn.XLOOKUP($A314,CSV!$A:$A,CSV!B:B,""),
_xlpm.MacVal,_xlfn.XLOOKUP($A314,Output_Mac!$A:$A,Output_Mac!B:B,""),
_xlpm.MyAuditVal,_xlfn.XLOOKUP($A314,My_Audit!$A:$A,My_Audit!B:B,""),
_xlfn.IFS(_xlpm.MyAuditVal&lt;&gt;"",UPPER(_xlpm.MyAuditVal),_xlpm.MacVal&lt;&gt;"",_xlpm.MacVal,_xlpm.CSVVal&lt;&gt;"",_xlpm.CSVVal
)),"")</f>
        <v/>
      </c>
      <c r="D314" s="2" t="str" cm="1">
        <f t="array" ref="D314">IFERROR(_xlfn.LET(
_xlpm.CSVVal,_xlfn.XLOOKUP($A314,CSV!$A:$A,CSV!D:D,""),
_xlpm.MacVal,_xlfn.XLOOKUP($A314,Output_Mac!$A:$A,Output_Mac!C:C,""),
_xlpm.MyAuditVal,_xlfn.XLOOKUP($A314,My_Audit!$A:$A,My_Audit!C:C,""),
_xlfn.IFS(_xlpm.MyAuditVal&lt;&gt;"",_xlpm.MyAuditVal,_xlpm.MacVal&lt;&gt;"",_xlpm.MacVal,_xlpm.CSVVal&lt;&gt;"",_xlpm.CSVVal
)),"")</f>
        <v/>
      </c>
      <c r="E314" s="2" t="str">
        <f>_xlfn.XLOOKUP(A314,My_Audit!A:A,My_Audit!D:D,"")&amp;""</f>
        <v/>
      </c>
      <c r="F314" s="2" t="str" cm="1">
        <f t="array" ref="F314">IFERROR(_xlfn.LET(
_xlpm.CSVVal,_xlfn.XLOOKUP($A314,CSV!$A:$A,CSV!F:F,""),
_xlpm.MacVal,_xlfn.XLOOKUP($A314,Output_Mac!$A:$A,Output_Mac!E:E,""),
_xlpm.MyAuditVal,_xlfn.XLOOKUP($A314,My_Audit!$A:$A,My_Audit!E:E,""),
_xlfn.IFS(_xlpm.MyAuditVal&lt;&gt;"",_xlpm.MyAuditVal,_xlpm.MacVal&lt;&gt;"",_xlpm.MacVal,_xlpm.CSVVal&lt;&gt;"",_xlpm.CSVVal
)),"")</f>
        <v/>
      </c>
      <c r="G314" s="2" t="str" cm="1">
        <f t="array" ref="G314">IFERROR(_xlfn.LET(
_xlpm.CSVVal,_xlfn.XLOOKUP($A314,CSV!$A:$A,CSV!G:G,""),
_xlpm.MacVal,_xlfn.XLOOKUP($A314,Output_Mac!$A:$A,Output_Mac!F:F,""),
_xlpm.MyAuditVal,_xlfn.XLOOKUP($A314,My_Audit!$A:$A,My_Audit!F:F,""),
_xlfn.IFS(_xlpm.MyAuditVal&lt;&gt;"",_xlpm.MyAuditVal,_xlpm.MacVal&lt;&gt;"",_xlpm.MacVal,_xlpm.CSVVal&lt;&gt;"",PROPER(_xlpm.CSVVal)
)),"")</f>
        <v/>
      </c>
      <c r="H314" s="2" t="str" cm="1">
        <f t="array" ref="H314">IFERROR(_xlfn.LET(
_xlpm.CSVVal,_xlfn.XLOOKUP($A314,CSV!$A:$A,CSV!H:H,""),
_xlpm.MacVal,_xlfn.XLOOKUP($A314,Output_Mac!$A:$A,Output_Mac!H:H,""),
_xlpm.MyAuditVal,_xlfn.XLOOKUP($A314,My_Audit!$A:$A,My_Audit!G:G,""),
_xlfn.IFS(_xlpm.MyAuditVal&lt;&gt;"",_xlpm.MyAuditVal,_xlpm.MacVal&lt;&gt;"",_xlpm.MacVal,_xlpm.CSVVal&lt;&gt;"",_xlpm.CSVVal
)),"")</f>
        <v/>
      </c>
      <c r="I314" s="2" t="str">
        <f>_xlfn.XLOOKUP(A314,Output_Mac!A:A,Output_Mac!I:I,"")</f>
        <v/>
      </c>
      <c r="J314" s="2" t="str" cm="1">
        <f t="array" ref="J314">IFERROR(_xlfn.LET(
_xlpm.CSVVal,_xlfn.XLOOKUP($A314,CSV!$A:$A,CSV!I:I,""),
_xlpm.MacVal,_xlfn.XLOOKUP($A314,Output_Mac!$A:$A,Output_Mac!J:J,""),
_xlpm.MyAuditVal,_xlfn.XLOOKUP($A314,My_Audit!$A:$A,My_Audit!I:I,""),
_xlfn.IFS(_xlpm.MyAuditVal&lt;&gt;"",UPPER(_xlpm.MyAuditVal),_xlpm.MacVal&lt;&gt;"",_xlpm.MacVal,_xlpm.CSVVal&lt;&gt;"",_xlpm.CSVVal
)),"")</f>
        <v/>
      </c>
      <c r="K314" s="2" t="str" cm="1">
        <f t="array" ref="K314">IFERROR(_xlfn.LET(
_xlpm.CSVVal,_xlfn.XLOOKUP($A314,CSV!$A:$A,CSV!K:K,""),
_xlpm.MacVal,_xlfn.XLOOKUP($A314,Output_Mac!$A:$A,Output_Mac!K:K,""),
_xlpm.MyAuditVal,_xlfn.XLOOKUP($A314,My_Audit!$A:$A,My_Audit!J:J,""),
_xlfn.IFS(_xlpm.MyAuditVal&lt;&gt;"",UPPER(_xlpm.MyAuditVal),_xlpm.MacVal&lt;&gt;"",_xlpm.MacVal,_xlpm.CSVVal&lt;&gt;"",_xlpm.CSVVal
)),"")</f>
        <v/>
      </c>
      <c r="L314" s="2" t="str" cm="1">
        <f t="array" ref="L314">IFERROR(_xlfn.LET(
_xlpm.CSVVal,_xlfn.XLOOKUP($A314,CSV!$A:$A,CSV!P:P,""),
_xlpm.MacVal,_xlfn.XLOOKUP($A314,Output_Mac!$A:$A,Output_Mac!L:L,""),
_xlpm.MyAuditVal,_xlfn.XLOOKUP($A314,My_Audit!$A:$A,My_Audit!K:K,""),
_xlfn.IFS(_xlpm.MyAuditVal&lt;&gt;"",UPPER(_xlpm.MyAuditVal),_xlpm.MacVal&lt;&gt;"",_xlpm.MacVal,_xlpm.CSVVal&lt;&gt;"",_xlpm.CSVVal
)),"")</f>
        <v/>
      </c>
      <c r="M314" s="2" t="str" cm="1">
        <f t="array" ref="M314">IFERROR(_xlfn.LET(
_xlpm.CSVVal,_xlfn.XLOOKUP($A314,CSV!$A:$A,CSV!Q:Q,""),
_xlpm.MacVal,_xlfn.XLOOKUP($A314,Output_Mac!$A:$A,Output_Mac!M:M,""),
_xlpm.MyAuditVal,_xlfn.XLOOKUP($A314,My_Audit!$A:$A,My_Audit!L:L,""),
_xlfn.IFS(_xlpm.MyAuditVal&lt;&gt;"",UPPER(_xlpm.MyAuditVal),_xlpm.MacVal&lt;&gt;"",_xlpm.MacVal,_xlpm.CSVVal&lt;&gt;"",_xlpm.CSVVal
)),"")</f>
        <v/>
      </c>
      <c r="O314" s="2" t="str">
        <f>_xlfn.LET(
    _xlpm.CSVVal, _xlfn.XLOOKUP($A314, CSV!$A:$A, CSV!AF:AF, ""),
    _xlpm.MacVal, _xlfn.XLOOKUP($A314, Output_Mac!$A:$A, Output_Mac!S:S, ""),
    _xlpm.MyAuditVal, _xlfn.XLOOKUP($A314, My_Audit!$A:$A, My_Audit!P:P, ""),
    _xlfn.TEXTJOIN(", ", TRUE, _xlpm.MyAuditVal, _xlpm.MacVal, _xlpm.CSVVal)
)</f>
        <v/>
      </c>
      <c r="P314" s="2" t="str" cm="1">
        <f t="array" ref="P314">IFERROR(_xlfn.LET(
_xlpm.CSVVal,_xlfn.XLOOKUP($A314,CSV!$A:$A,CSV!AG:AG,""),
_xlpm.MacVal,_xlfn.XLOOKUP($A314,Output_Mac!$A:$A,Output_Mac!T:T,""),
_xlpm.MyAuditVal,_xlfn.XLOOKUP($A314,My_Audit!$A:$A,My_Audit!Q:Q,""),
_xlfn.IFS(_xlpm.MyAuditVal&lt;&gt;"",UPPER(_xlpm.MyAuditVal),_xlpm.MacVal&lt;&gt;"",_xlpm.MacVal,_xlpm.CSVVal&lt;&gt;"",_xlpm.CSVVal
)),"No")</f>
        <v>No</v>
      </c>
      <c r="Q314" s="2" t="str" cm="1">
        <f t="array" ref="Q314">IFERROR(_xlfn.LET(
_xlpm.CSVVal,_xlfn.XLOOKUP($A314,CSV!$A:$A,CSV!AH:AH,""),
_xlpm.MacVal,_xlfn.XLOOKUP($A314,Output_Mac!$A:$A,Output_Mac!U:U,""),
_xlpm.MyAuditVal,_xlfn.XLOOKUP($A314,My_Audit!$A:$A,My_Audit!R:R,""),
_xlfn.IFS(_xlpm.MyAuditVal&lt;&gt;"",UPPER(_xlpm.MyAuditVal),_xlpm.MacVal&lt;&gt;"",_xlpm.MacVal,_xlpm.CSVVal&lt;&gt;"",_xlpm.CSVVal
)),"")</f>
        <v/>
      </c>
    </row>
    <row r="315" spans="1:17">
      <c r="A315" s="2" t="str">
        <f>_xlfn.TEXTJOIN("",TRUE,Input!$B$2,ROW(My_Audit!A314))</f>
        <v>XX314</v>
      </c>
      <c r="B315" s="2" t="str">
        <f>_xlfn.TEXTJOIN("-",TRUE,"ITD",Input!$A$2,A315)</f>
        <v>ITD-SHRXXX-XX314</v>
      </c>
      <c r="C315" s="2" t="str" cm="1">
        <f t="array" ref="C315">IFERROR(_xlfn.LET(
_xlpm.CSVVal,_xlfn.XLOOKUP($A315,CSV!$A:$A,CSV!B:B,""),
_xlpm.MacVal,_xlfn.XLOOKUP($A315,Output_Mac!$A:$A,Output_Mac!B:B,""),
_xlpm.MyAuditVal,_xlfn.XLOOKUP($A315,My_Audit!$A:$A,My_Audit!B:B,""),
_xlfn.IFS(_xlpm.MyAuditVal&lt;&gt;"",UPPER(_xlpm.MyAuditVal),_xlpm.MacVal&lt;&gt;"",_xlpm.MacVal,_xlpm.CSVVal&lt;&gt;"",_xlpm.CSVVal
)),"")</f>
        <v/>
      </c>
      <c r="D315" s="2" t="str" cm="1">
        <f t="array" ref="D315">IFERROR(_xlfn.LET(
_xlpm.CSVVal,_xlfn.XLOOKUP($A315,CSV!$A:$A,CSV!D:D,""),
_xlpm.MacVal,_xlfn.XLOOKUP($A315,Output_Mac!$A:$A,Output_Mac!C:C,""),
_xlpm.MyAuditVal,_xlfn.XLOOKUP($A315,My_Audit!$A:$A,My_Audit!C:C,""),
_xlfn.IFS(_xlpm.MyAuditVal&lt;&gt;"",_xlpm.MyAuditVal,_xlpm.MacVal&lt;&gt;"",_xlpm.MacVal,_xlpm.CSVVal&lt;&gt;"",_xlpm.CSVVal
)),"")</f>
        <v/>
      </c>
      <c r="E315" s="2" t="str">
        <f>_xlfn.XLOOKUP(A315,My_Audit!A:A,My_Audit!D:D,"")&amp;""</f>
        <v/>
      </c>
      <c r="F315" s="2" t="str" cm="1">
        <f t="array" ref="F315">IFERROR(_xlfn.LET(
_xlpm.CSVVal,_xlfn.XLOOKUP($A315,CSV!$A:$A,CSV!F:F,""),
_xlpm.MacVal,_xlfn.XLOOKUP($A315,Output_Mac!$A:$A,Output_Mac!E:E,""),
_xlpm.MyAuditVal,_xlfn.XLOOKUP($A315,My_Audit!$A:$A,My_Audit!E:E,""),
_xlfn.IFS(_xlpm.MyAuditVal&lt;&gt;"",_xlpm.MyAuditVal,_xlpm.MacVal&lt;&gt;"",_xlpm.MacVal,_xlpm.CSVVal&lt;&gt;"",_xlpm.CSVVal
)),"")</f>
        <v/>
      </c>
      <c r="G315" s="2" t="str" cm="1">
        <f t="array" ref="G315">IFERROR(_xlfn.LET(
_xlpm.CSVVal,_xlfn.XLOOKUP($A315,CSV!$A:$A,CSV!G:G,""),
_xlpm.MacVal,_xlfn.XLOOKUP($A315,Output_Mac!$A:$A,Output_Mac!F:F,""),
_xlpm.MyAuditVal,_xlfn.XLOOKUP($A315,My_Audit!$A:$A,My_Audit!F:F,""),
_xlfn.IFS(_xlpm.MyAuditVal&lt;&gt;"",_xlpm.MyAuditVal,_xlpm.MacVal&lt;&gt;"",_xlpm.MacVal,_xlpm.CSVVal&lt;&gt;"",PROPER(_xlpm.CSVVal)
)),"")</f>
        <v/>
      </c>
      <c r="H315" s="2" t="str" cm="1">
        <f t="array" ref="H315">IFERROR(_xlfn.LET(
_xlpm.CSVVal,_xlfn.XLOOKUP($A315,CSV!$A:$A,CSV!H:H,""),
_xlpm.MacVal,_xlfn.XLOOKUP($A315,Output_Mac!$A:$A,Output_Mac!H:H,""),
_xlpm.MyAuditVal,_xlfn.XLOOKUP($A315,My_Audit!$A:$A,My_Audit!G:G,""),
_xlfn.IFS(_xlpm.MyAuditVal&lt;&gt;"",_xlpm.MyAuditVal,_xlpm.MacVal&lt;&gt;"",_xlpm.MacVal,_xlpm.CSVVal&lt;&gt;"",_xlpm.CSVVal
)),"")</f>
        <v/>
      </c>
      <c r="I315" s="2" t="str">
        <f>_xlfn.XLOOKUP(A315,Output_Mac!A:A,Output_Mac!I:I,"")</f>
        <v/>
      </c>
      <c r="J315" s="2" t="str" cm="1">
        <f t="array" ref="J315">IFERROR(_xlfn.LET(
_xlpm.CSVVal,_xlfn.XLOOKUP($A315,CSV!$A:$A,CSV!I:I,""),
_xlpm.MacVal,_xlfn.XLOOKUP($A315,Output_Mac!$A:$A,Output_Mac!J:J,""),
_xlpm.MyAuditVal,_xlfn.XLOOKUP($A315,My_Audit!$A:$A,My_Audit!I:I,""),
_xlfn.IFS(_xlpm.MyAuditVal&lt;&gt;"",UPPER(_xlpm.MyAuditVal),_xlpm.MacVal&lt;&gt;"",_xlpm.MacVal,_xlpm.CSVVal&lt;&gt;"",_xlpm.CSVVal
)),"")</f>
        <v/>
      </c>
      <c r="K315" s="2" t="str" cm="1">
        <f t="array" ref="K315">IFERROR(_xlfn.LET(
_xlpm.CSVVal,_xlfn.XLOOKUP($A315,CSV!$A:$A,CSV!K:K,""),
_xlpm.MacVal,_xlfn.XLOOKUP($A315,Output_Mac!$A:$A,Output_Mac!K:K,""),
_xlpm.MyAuditVal,_xlfn.XLOOKUP($A315,My_Audit!$A:$A,My_Audit!J:J,""),
_xlfn.IFS(_xlpm.MyAuditVal&lt;&gt;"",UPPER(_xlpm.MyAuditVal),_xlpm.MacVal&lt;&gt;"",_xlpm.MacVal,_xlpm.CSVVal&lt;&gt;"",_xlpm.CSVVal
)),"")</f>
        <v/>
      </c>
      <c r="L315" s="2" t="str" cm="1">
        <f t="array" ref="L315">IFERROR(_xlfn.LET(
_xlpm.CSVVal,_xlfn.XLOOKUP($A315,CSV!$A:$A,CSV!P:P,""),
_xlpm.MacVal,_xlfn.XLOOKUP($A315,Output_Mac!$A:$A,Output_Mac!L:L,""),
_xlpm.MyAuditVal,_xlfn.XLOOKUP($A315,My_Audit!$A:$A,My_Audit!K:K,""),
_xlfn.IFS(_xlpm.MyAuditVal&lt;&gt;"",UPPER(_xlpm.MyAuditVal),_xlpm.MacVal&lt;&gt;"",_xlpm.MacVal,_xlpm.CSVVal&lt;&gt;"",_xlpm.CSVVal
)),"")</f>
        <v/>
      </c>
      <c r="M315" s="2" t="str" cm="1">
        <f t="array" ref="M315">IFERROR(_xlfn.LET(
_xlpm.CSVVal,_xlfn.XLOOKUP($A315,CSV!$A:$A,CSV!Q:Q,""),
_xlpm.MacVal,_xlfn.XLOOKUP($A315,Output_Mac!$A:$A,Output_Mac!M:M,""),
_xlpm.MyAuditVal,_xlfn.XLOOKUP($A315,My_Audit!$A:$A,My_Audit!L:L,""),
_xlfn.IFS(_xlpm.MyAuditVal&lt;&gt;"",UPPER(_xlpm.MyAuditVal),_xlpm.MacVal&lt;&gt;"",_xlpm.MacVal,_xlpm.CSVVal&lt;&gt;"",_xlpm.CSVVal
)),"")</f>
        <v/>
      </c>
      <c r="O315" s="2" t="str">
        <f>_xlfn.LET(
    _xlpm.CSVVal, _xlfn.XLOOKUP($A315, CSV!$A:$A, CSV!AF:AF, ""),
    _xlpm.MacVal, _xlfn.XLOOKUP($A315, Output_Mac!$A:$A, Output_Mac!S:S, ""),
    _xlpm.MyAuditVal, _xlfn.XLOOKUP($A315, My_Audit!$A:$A, My_Audit!P:P, ""),
    _xlfn.TEXTJOIN(", ", TRUE, _xlpm.MyAuditVal, _xlpm.MacVal, _xlpm.CSVVal)
)</f>
        <v/>
      </c>
      <c r="P315" s="2" t="str" cm="1">
        <f t="array" ref="P315">IFERROR(_xlfn.LET(
_xlpm.CSVVal,_xlfn.XLOOKUP($A315,CSV!$A:$A,CSV!AG:AG,""),
_xlpm.MacVal,_xlfn.XLOOKUP($A315,Output_Mac!$A:$A,Output_Mac!T:T,""),
_xlpm.MyAuditVal,_xlfn.XLOOKUP($A315,My_Audit!$A:$A,My_Audit!Q:Q,""),
_xlfn.IFS(_xlpm.MyAuditVal&lt;&gt;"",UPPER(_xlpm.MyAuditVal),_xlpm.MacVal&lt;&gt;"",_xlpm.MacVal,_xlpm.CSVVal&lt;&gt;"",_xlpm.CSVVal
)),"No")</f>
        <v>No</v>
      </c>
      <c r="Q315" s="2" t="str" cm="1">
        <f t="array" ref="Q315">IFERROR(_xlfn.LET(
_xlpm.CSVVal,_xlfn.XLOOKUP($A315,CSV!$A:$A,CSV!AH:AH,""),
_xlpm.MacVal,_xlfn.XLOOKUP($A315,Output_Mac!$A:$A,Output_Mac!U:U,""),
_xlpm.MyAuditVal,_xlfn.XLOOKUP($A315,My_Audit!$A:$A,My_Audit!R:R,""),
_xlfn.IFS(_xlpm.MyAuditVal&lt;&gt;"",UPPER(_xlpm.MyAuditVal),_xlpm.MacVal&lt;&gt;"",_xlpm.MacVal,_xlpm.CSVVal&lt;&gt;"",_xlpm.CSVVal
)),"")</f>
        <v/>
      </c>
    </row>
    <row r="316" spans="1:17">
      <c r="A316" s="2" t="str">
        <f>_xlfn.TEXTJOIN("",TRUE,Input!$B$2,ROW(My_Audit!A315))</f>
        <v>XX315</v>
      </c>
      <c r="B316" s="2" t="str">
        <f>_xlfn.TEXTJOIN("-",TRUE,"ITD",Input!$A$2,A316)</f>
        <v>ITD-SHRXXX-XX315</v>
      </c>
      <c r="C316" s="2" t="str" cm="1">
        <f t="array" ref="C316">IFERROR(_xlfn.LET(
_xlpm.CSVVal,_xlfn.XLOOKUP($A316,CSV!$A:$A,CSV!B:B,""),
_xlpm.MacVal,_xlfn.XLOOKUP($A316,Output_Mac!$A:$A,Output_Mac!B:B,""),
_xlpm.MyAuditVal,_xlfn.XLOOKUP($A316,My_Audit!$A:$A,My_Audit!B:B,""),
_xlfn.IFS(_xlpm.MyAuditVal&lt;&gt;"",UPPER(_xlpm.MyAuditVal),_xlpm.MacVal&lt;&gt;"",_xlpm.MacVal,_xlpm.CSVVal&lt;&gt;"",_xlpm.CSVVal
)),"")</f>
        <v/>
      </c>
      <c r="D316" s="2" t="str" cm="1">
        <f t="array" ref="D316">IFERROR(_xlfn.LET(
_xlpm.CSVVal,_xlfn.XLOOKUP($A316,CSV!$A:$A,CSV!D:D,""),
_xlpm.MacVal,_xlfn.XLOOKUP($A316,Output_Mac!$A:$A,Output_Mac!C:C,""),
_xlpm.MyAuditVal,_xlfn.XLOOKUP($A316,My_Audit!$A:$A,My_Audit!C:C,""),
_xlfn.IFS(_xlpm.MyAuditVal&lt;&gt;"",_xlpm.MyAuditVal,_xlpm.MacVal&lt;&gt;"",_xlpm.MacVal,_xlpm.CSVVal&lt;&gt;"",_xlpm.CSVVal
)),"")</f>
        <v/>
      </c>
      <c r="E316" s="2" t="str">
        <f>_xlfn.XLOOKUP(A316,My_Audit!A:A,My_Audit!D:D,"")&amp;""</f>
        <v/>
      </c>
      <c r="F316" s="2" t="str" cm="1">
        <f t="array" ref="F316">IFERROR(_xlfn.LET(
_xlpm.CSVVal,_xlfn.XLOOKUP($A316,CSV!$A:$A,CSV!F:F,""),
_xlpm.MacVal,_xlfn.XLOOKUP($A316,Output_Mac!$A:$A,Output_Mac!E:E,""),
_xlpm.MyAuditVal,_xlfn.XLOOKUP($A316,My_Audit!$A:$A,My_Audit!E:E,""),
_xlfn.IFS(_xlpm.MyAuditVal&lt;&gt;"",_xlpm.MyAuditVal,_xlpm.MacVal&lt;&gt;"",_xlpm.MacVal,_xlpm.CSVVal&lt;&gt;"",_xlpm.CSVVal
)),"")</f>
        <v/>
      </c>
      <c r="G316" s="2" t="str" cm="1">
        <f t="array" ref="G316">IFERROR(_xlfn.LET(
_xlpm.CSVVal,_xlfn.XLOOKUP($A316,CSV!$A:$A,CSV!G:G,""),
_xlpm.MacVal,_xlfn.XLOOKUP($A316,Output_Mac!$A:$A,Output_Mac!F:F,""),
_xlpm.MyAuditVal,_xlfn.XLOOKUP($A316,My_Audit!$A:$A,My_Audit!F:F,""),
_xlfn.IFS(_xlpm.MyAuditVal&lt;&gt;"",_xlpm.MyAuditVal,_xlpm.MacVal&lt;&gt;"",_xlpm.MacVal,_xlpm.CSVVal&lt;&gt;"",PROPER(_xlpm.CSVVal)
)),"")</f>
        <v/>
      </c>
      <c r="H316" s="2" t="str" cm="1">
        <f t="array" ref="H316">IFERROR(_xlfn.LET(
_xlpm.CSVVal,_xlfn.XLOOKUP($A316,CSV!$A:$A,CSV!H:H,""),
_xlpm.MacVal,_xlfn.XLOOKUP($A316,Output_Mac!$A:$A,Output_Mac!H:H,""),
_xlpm.MyAuditVal,_xlfn.XLOOKUP($A316,My_Audit!$A:$A,My_Audit!G:G,""),
_xlfn.IFS(_xlpm.MyAuditVal&lt;&gt;"",_xlpm.MyAuditVal,_xlpm.MacVal&lt;&gt;"",_xlpm.MacVal,_xlpm.CSVVal&lt;&gt;"",_xlpm.CSVVal
)),"")</f>
        <v/>
      </c>
      <c r="I316" s="2" t="str">
        <f>_xlfn.XLOOKUP(A316,Output_Mac!A:A,Output_Mac!I:I,"")</f>
        <v/>
      </c>
      <c r="J316" s="2" t="str" cm="1">
        <f t="array" ref="J316">IFERROR(_xlfn.LET(
_xlpm.CSVVal,_xlfn.XLOOKUP($A316,CSV!$A:$A,CSV!I:I,""),
_xlpm.MacVal,_xlfn.XLOOKUP($A316,Output_Mac!$A:$A,Output_Mac!J:J,""),
_xlpm.MyAuditVal,_xlfn.XLOOKUP($A316,My_Audit!$A:$A,My_Audit!I:I,""),
_xlfn.IFS(_xlpm.MyAuditVal&lt;&gt;"",UPPER(_xlpm.MyAuditVal),_xlpm.MacVal&lt;&gt;"",_xlpm.MacVal,_xlpm.CSVVal&lt;&gt;"",_xlpm.CSVVal
)),"")</f>
        <v/>
      </c>
      <c r="K316" s="2" t="str" cm="1">
        <f t="array" ref="K316">IFERROR(_xlfn.LET(
_xlpm.CSVVal,_xlfn.XLOOKUP($A316,CSV!$A:$A,CSV!K:K,""),
_xlpm.MacVal,_xlfn.XLOOKUP($A316,Output_Mac!$A:$A,Output_Mac!K:K,""),
_xlpm.MyAuditVal,_xlfn.XLOOKUP($A316,My_Audit!$A:$A,My_Audit!J:J,""),
_xlfn.IFS(_xlpm.MyAuditVal&lt;&gt;"",UPPER(_xlpm.MyAuditVal),_xlpm.MacVal&lt;&gt;"",_xlpm.MacVal,_xlpm.CSVVal&lt;&gt;"",_xlpm.CSVVal
)),"")</f>
        <v/>
      </c>
      <c r="L316" s="2" t="str" cm="1">
        <f t="array" ref="L316">IFERROR(_xlfn.LET(
_xlpm.CSVVal,_xlfn.XLOOKUP($A316,CSV!$A:$A,CSV!P:P,""),
_xlpm.MacVal,_xlfn.XLOOKUP($A316,Output_Mac!$A:$A,Output_Mac!L:L,""),
_xlpm.MyAuditVal,_xlfn.XLOOKUP($A316,My_Audit!$A:$A,My_Audit!K:K,""),
_xlfn.IFS(_xlpm.MyAuditVal&lt;&gt;"",UPPER(_xlpm.MyAuditVal),_xlpm.MacVal&lt;&gt;"",_xlpm.MacVal,_xlpm.CSVVal&lt;&gt;"",_xlpm.CSVVal
)),"")</f>
        <v/>
      </c>
      <c r="M316" s="2" t="str" cm="1">
        <f t="array" ref="M316">IFERROR(_xlfn.LET(
_xlpm.CSVVal,_xlfn.XLOOKUP($A316,CSV!$A:$A,CSV!Q:Q,""),
_xlpm.MacVal,_xlfn.XLOOKUP($A316,Output_Mac!$A:$A,Output_Mac!M:M,""),
_xlpm.MyAuditVal,_xlfn.XLOOKUP($A316,My_Audit!$A:$A,My_Audit!L:L,""),
_xlfn.IFS(_xlpm.MyAuditVal&lt;&gt;"",UPPER(_xlpm.MyAuditVal),_xlpm.MacVal&lt;&gt;"",_xlpm.MacVal,_xlpm.CSVVal&lt;&gt;"",_xlpm.CSVVal
)),"")</f>
        <v/>
      </c>
      <c r="O316" s="2" t="str">
        <f>_xlfn.LET(
    _xlpm.CSVVal, _xlfn.XLOOKUP($A316, CSV!$A:$A, CSV!AF:AF, ""),
    _xlpm.MacVal, _xlfn.XLOOKUP($A316, Output_Mac!$A:$A, Output_Mac!S:S, ""),
    _xlpm.MyAuditVal, _xlfn.XLOOKUP($A316, My_Audit!$A:$A, My_Audit!P:P, ""),
    _xlfn.TEXTJOIN(", ", TRUE, _xlpm.MyAuditVal, _xlpm.MacVal, _xlpm.CSVVal)
)</f>
        <v/>
      </c>
      <c r="P316" s="2" t="str" cm="1">
        <f t="array" ref="P316">IFERROR(_xlfn.LET(
_xlpm.CSVVal,_xlfn.XLOOKUP($A316,CSV!$A:$A,CSV!AG:AG,""),
_xlpm.MacVal,_xlfn.XLOOKUP($A316,Output_Mac!$A:$A,Output_Mac!T:T,""),
_xlpm.MyAuditVal,_xlfn.XLOOKUP($A316,My_Audit!$A:$A,My_Audit!Q:Q,""),
_xlfn.IFS(_xlpm.MyAuditVal&lt;&gt;"",UPPER(_xlpm.MyAuditVal),_xlpm.MacVal&lt;&gt;"",_xlpm.MacVal,_xlpm.CSVVal&lt;&gt;"",_xlpm.CSVVal
)),"No")</f>
        <v>No</v>
      </c>
      <c r="Q316" s="2" t="str" cm="1">
        <f t="array" ref="Q316">IFERROR(_xlfn.LET(
_xlpm.CSVVal,_xlfn.XLOOKUP($A316,CSV!$A:$A,CSV!AH:AH,""),
_xlpm.MacVal,_xlfn.XLOOKUP($A316,Output_Mac!$A:$A,Output_Mac!U:U,""),
_xlpm.MyAuditVal,_xlfn.XLOOKUP($A316,My_Audit!$A:$A,My_Audit!R:R,""),
_xlfn.IFS(_xlpm.MyAuditVal&lt;&gt;"",UPPER(_xlpm.MyAuditVal),_xlpm.MacVal&lt;&gt;"",_xlpm.MacVal,_xlpm.CSVVal&lt;&gt;"",_xlpm.CSVVal
)),"")</f>
        <v/>
      </c>
    </row>
    <row r="317" spans="1:17">
      <c r="A317" s="2" t="str">
        <f>_xlfn.TEXTJOIN("",TRUE,Input!$B$2,ROW(My_Audit!A316))</f>
        <v>XX316</v>
      </c>
      <c r="B317" s="2" t="str">
        <f>_xlfn.TEXTJOIN("-",TRUE,"ITD",Input!$A$2,A317)</f>
        <v>ITD-SHRXXX-XX316</v>
      </c>
      <c r="C317" s="2" t="str" cm="1">
        <f t="array" ref="C317">IFERROR(_xlfn.LET(
_xlpm.CSVVal,_xlfn.XLOOKUP($A317,CSV!$A:$A,CSV!B:B,""),
_xlpm.MacVal,_xlfn.XLOOKUP($A317,Output_Mac!$A:$A,Output_Mac!B:B,""),
_xlpm.MyAuditVal,_xlfn.XLOOKUP($A317,My_Audit!$A:$A,My_Audit!B:B,""),
_xlfn.IFS(_xlpm.MyAuditVal&lt;&gt;"",UPPER(_xlpm.MyAuditVal),_xlpm.MacVal&lt;&gt;"",_xlpm.MacVal,_xlpm.CSVVal&lt;&gt;"",_xlpm.CSVVal
)),"")</f>
        <v/>
      </c>
      <c r="D317" s="2" t="str" cm="1">
        <f t="array" ref="D317">IFERROR(_xlfn.LET(
_xlpm.CSVVal,_xlfn.XLOOKUP($A317,CSV!$A:$A,CSV!D:D,""),
_xlpm.MacVal,_xlfn.XLOOKUP($A317,Output_Mac!$A:$A,Output_Mac!C:C,""),
_xlpm.MyAuditVal,_xlfn.XLOOKUP($A317,My_Audit!$A:$A,My_Audit!C:C,""),
_xlfn.IFS(_xlpm.MyAuditVal&lt;&gt;"",_xlpm.MyAuditVal,_xlpm.MacVal&lt;&gt;"",_xlpm.MacVal,_xlpm.CSVVal&lt;&gt;"",_xlpm.CSVVal
)),"")</f>
        <v/>
      </c>
      <c r="E317" s="2" t="str">
        <f>_xlfn.XLOOKUP(A317,My_Audit!A:A,My_Audit!D:D,"")&amp;""</f>
        <v/>
      </c>
      <c r="F317" s="2" t="str" cm="1">
        <f t="array" ref="F317">IFERROR(_xlfn.LET(
_xlpm.CSVVal,_xlfn.XLOOKUP($A317,CSV!$A:$A,CSV!F:F,""),
_xlpm.MacVal,_xlfn.XLOOKUP($A317,Output_Mac!$A:$A,Output_Mac!E:E,""),
_xlpm.MyAuditVal,_xlfn.XLOOKUP($A317,My_Audit!$A:$A,My_Audit!E:E,""),
_xlfn.IFS(_xlpm.MyAuditVal&lt;&gt;"",_xlpm.MyAuditVal,_xlpm.MacVal&lt;&gt;"",_xlpm.MacVal,_xlpm.CSVVal&lt;&gt;"",_xlpm.CSVVal
)),"")</f>
        <v/>
      </c>
      <c r="G317" s="2" t="str" cm="1">
        <f t="array" ref="G317">IFERROR(_xlfn.LET(
_xlpm.CSVVal,_xlfn.XLOOKUP($A317,CSV!$A:$A,CSV!G:G,""),
_xlpm.MacVal,_xlfn.XLOOKUP($A317,Output_Mac!$A:$A,Output_Mac!F:F,""),
_xlpm.MyAuditVal,_xlfn.XLOOKUP($A317,My_Audit!$A:$A,My_Audit!F:F,""),
_xlfn.IFS(_xlpm.MyAuditVal&lt;&gt;"",_xlpm.MyAuditVal,_xlpm.MacVal&lt;&gt;"",_xlpm.MacVal,_xlpm.CSVVal&lt;&gt;"",PROPER(_xlpm.CSVVal)
)),"")</f>
        <v/>
      </c>
      <c r="H317" s="2" t="str" cm="1">
        <f t="array" ref="H317">IFERROR(_xlfn.LET(
_xlpm.CSVVal,_xlfn.XLOOKUP($A317,CSV!$A:$A,CSV!H:H,""),
_xlpm.MacVal,_xlfn.XLOOKUP($A317,Output_Mac!$A:$A,Output_Mac!H:H,""),
_xlpm.MyAuditVal,_xlfn.XLOOKUP($A317,My_Audit!$A:$A,My_Audit!G:G,""),
_xlfn.IFS(_xlpm.MyAuditVal&lt;&gt;"",_xlpm.MyAuditVal,_xlpm.MacVal&lt;&gt;"",_xlpm.MacVal,_xlpm.CSVVal&lt;&gt;"",_xlpm.CSVVal
)),"")</f>
        <v/>
      </c>
      <c r="I317" s="2" t="str">
        <f>_xlfn.XLOOKUP(A317,Output_Mac!A:A,Output_Mac!I:I,"")</f>
        <v/>
      </c>
      <c r="J317" s="2" t="str" cm="1">
        <f t="array" ref="J317">IFERROR(_xlfn.LET(
_xlpm.CSVVal,_xlfn.XLOOKUP($A317,CSV!$A:$A,CSV!I:I,""),
_xlpm.MacVal,_xlfn.XLOOKUP($A317,Output_Mac!$A:$A,Output_Mac!J:J,""),
_xlpm.MyAuditVal,_xlfn.XLOOKUP($A317,My_Audit!$A:$A,My_Audit!I:I,""),
_xlfn.IFS(_xlpm.MyAuditVal&lt;&gt;"",UPPER(_xlpm.MyAuditVal),_xlpm.MacVal&lt;&gt;"",_xlpm.MacVal,_xlpm.CSVVal&lt;&gt;"",_xlpm.CSVVal
)),"")</f>
        <v/>
      </c>
      <c r="K317" s="2" t="str" cm="1">
        <f t="array" ref="K317">IFERROR(_xlfn.LET(
_xlpm.CSVVal,_xlfn.XLOOKUP($A317,CSV!$A:$A,CSV!K:K,""),
_xlpm.MacVal,_xlfn.XLOOKUP($A317,Output_Mac!$A:$A,Output_Mac!K:K,""),
_xlpm.MyAuditVal,_xlfn.XLOOKUP($A317,My_Audit!$A:$A,My_Audit!J:J,""),
_xlfn.IFS(_xlpm.MyAuditVal&lt;&gt;"",UPPER(_xlpm.MyAuditVal),_xlpm.MacVal&lt;&gt;"",_xlpm.MacVal,_xlpm.CSVVal&lt;&gt;"",_xlpm.CSVVal
)),"")</f>
        <v/>
      </c>
      <c r="L317" s="2" t="str" cm="1">
        <f t="array" ref="L317">IFERROR(_xlfn.LET(
_xlpm.CSVVal,_xlfn.XLOOKUP($A317,CSV!$A:$A,CSV!P:P,""),
_xlpm.MacVal,_xlfn.XLOOKUP($A317,Output_Mac!$A:$A,Output_Mac!L:L,""),
_xlpm.MyAuditVal,_xlfn.XLOOKUP($A317,My_Audit!$A:$A,My_Audit!K:K,""),
_xlfn.IFS(_xlpm.MyAuditVal&lt;&gt;"",UPPER(_xlpm.MyAuditVal),_xlpm.MacVal&lt;&gt;"",_xlpm.MacVal,_xlpm.CSVVal&lt;&gt;"",_xlpm.CSVVal
)),"")</f>
        <v/>
      </c>
      <c r="M317" s="2" t="str" cm="1">
        <f t="array" ref="M317">IFERROR(_xlfn.LET(
_xlpm.CSVVal,_xlfn.XLOOKUP($A317,CSV!$A:$A,CSV!Q:Q,""),
_xlpm.MacVal,_xlfn.XLOOKUP($A317,Output_Mac!$A:$A,Output_Mac!M:M,""),
_xlpm.MyAuditVal,_xlfn.XLOOKUP($A317,My_Audit!$A:$A,My_Audit!L:L,""),
_xlfn.IFS(_xlpm.MyAuditVal&lt;&gt;"",UPPER(_xlpm.MyAuditVal),_xlpm.MacVal&lt;&gt;"",_xlpm.MacVal,_xlpm.CSVVal&lt;&gt;"",_xlpm.CSVVal
)),"")</f>
        <v/>
      </c>
      <c r="O317" s="2" t="str">
        <f>_xlfn.LET(
    _xlpm.CSVVal, _xlfn.XLOOKUP($A317, CSV!$A:$A, CSV!AF:AF, ""),
    _xlpm.MacVal, _xlfn.XLOOKUP($A317, Output_Mac!$A:$A, Output_Mac!S:S, ""),
    _xlpm.MyAuditVal, _xlfn.XLOOKUP($A317, My_Audit!$A:$A, My_Audit!P:P, ""),
    _xlfn.TEXTJOIN(", ", TRUE, _xlpm.MyAuditVal, _xlpm.MacVal, _xlpm.CSVVal)
)</f>
        <v/>
      </c>
      <c r="P317" s="2" t="str" cm="1">
        <f t="array" ref="P317">IFERROR(_xlfn.LET(
_xlpm.CSVVal,_xlfn.XLOOKUP($A317,CSV!$A:$A,CSV!AG:AG,""),
_xlpm.MacVal,_xlfn.XLOOKUP($A317,Output_Mac!$A:$A,Output_Mac!T:T,""),
_xlpm.MyAuditVal,_xlfn.XLOOKUP($A317,My_Audit!$A:$A,My_Audit!Q:Q,""),
_xlfn.IFS(_xlpm.MyAuditVal&lt;&gt;"",UPPER(_xlpm.MyAuditVal),_xlpm.MacVal&lt;&gt;"",_xlpm.MacVal,_xlpm.CSVVal&lt;&gt;"",_xlpm.CSVVal
)),"No")</f>
        <v>No</v>
      </c>
      <c r="Q317" s="2" t="str" cm="1">
        <f t="array" ref="Q317">IFERROR(_xlfn.LET(
_xlpm.CSVVal,_xlfn.XLOOKUP($A317,CSV!$A:$A,CSV!AH:AH,""),
_xlpm.MacVal,_xlfn.XLOOKUP($A317,Output_Mac!$A:$A,Output_Mac!U:U,""),
_xlpm.MyAuditVal,_xlfn.XLOOKUP($A317,My_Audit!$A:$A,My_Audit!R:R,""),
_xlfn.IFS(_xlpm.MyAuditVal&lt;&gt;"",UPPER(_xlpm.MyAuditVal),_xlpm.MacVal&lt;&gt;"",_xlpm.MacVal,_xlpm.CSVVal&lt;&gt;"",_xlpm.CSVVal
)),"")</f>
        <v/>
      </c>
    </row>
    <row r="318" spans="1:17">
      <c r="A318" s="2" t="str">
        <f>_xlfn.TEXTJOIN("",TRUE,Input!$B$2,ROW(My_Audit!A317))</f>
        <v>XX317</v>
      </c>
      <c r="B318" s="2" t="str">
        <f>_xlfn.TEXTJOIN("-",TRUE,"ITD",Input!$A$2,A318)</f>
        <v>ITD-SHRXXX-XX317</v>
      </c>
      <c r="C318" s="2" t="str" cm="1">
        <f t="array" ref="C318">IFERROR(_xlfn.LET(
_xlpm.CSVVal,_xlfn.XLOOKUP($A318,CSV!$A:$A,CSV!B:B,""),
_xlpm.MacVal,_xlfn.XLOOKUP($A318,Output_Mac!$A:$A,Output_Mac!B:B,""),
_xlpm.MyAuditVal,_xlfn.XLOOKUP($A318,My_Audit!$A:$A,My_Audit!B:B,""),
_xlfn.IFS(_xlpm.MyAuditVal&lt;&gt;"",UPPER(_xlpm.MyAuditVal),_xlpm.MacVal&lt;&gt;"",_xlpm.MacVal,_xlpm.CSVVal&lt;&gt;"",_xlpm.CSVVal
)),"")</f>
        <v/>
      </c>
      <c r="D318" s="2" t="str" cm="1">
        <f t="array" ref="D318">IFERROR(_xlfn.LET(
_xlpm.CSVVal,_xlfn.XLOOKUP($A318,CSV!$A:$A,CSV!D:D,""),
_xlpm.MacVal,_xlfn.XLOOKUP($A318,Output_Mac!$A:$A,Output_Mac!C:C,""),
_xlpm.MyAuditVal,_xlfn.XLOOKUP($A318,My_Audit!$A:$A,My_Audit!C:C,""),
_xlfn.IFS(_xlpm.MyAuditVal&lt;&gt;"",_xlpm.MyAuditVal,_xlpm.MacVal&lt;&gt;"",_xlpm.MacVal,_xlpm.CSVVal&lt;&gt;"",_xlpm.CSVVal
)),"")</f>
        <v/>
      </c>
      <c r="E318" s="2" t="str">
        <f>_xlfn.XLOOKUP(A318,My_Audit!A:A,My_Audit!D:D,"")&amp;""</f>
        <v/>
      </c>
      <c r="F318" s="2" t="str" cm="1">
        <f t="array" ref="F318">IFERROR(_xlfn.LET(
_xlpm.CSVVal,_xlfn.XLOOKUP($A318,CSV!$A:$A,CSV!F:F,""),
_xlpm.MacVal,_xlfn.XLOOKUP($A318,Output_Mac!$A:$A,Output_Mac!E:E,""),
_xlpm.MyAuditVal,_xlfn.XLOOKUP($A318,My_Audit!$A:$A,My_Audit!E:E,""),
_xlfn.IFS(_xlpm.MyAuditVal&lt;&gt;"",_xlpm.MyAuditVal,_xlpm.MacVal&lt;&gt;"",_xlpm.MacVal,_xlpm.CSVVal&lt;&gt;"",_xlpm.CSVVal
)),"")</f>
        <v/>
      </c>
      <c r="G318" s="2" t="str" cm="1">
        <f t="array" ref="G318">IFERROR(_xlfn.LET(
_xlpm.CSVVal,_xlfn.XLOOKUP($A318,CSV!$A:$A,CSV!G:G,""),
_xlpm.MacVal,_xlfn.XLOOKUP($A318,Output_Mac!$A:$A,Output_Mac!F:F,""),
_xlpm.MyAuditVal,_xlfn.XLOOKUP($A318,My_Audit!$A:$A,My_Audit!F:F,""),
_xlfn.IFS(_xlpm.MyAuditVal&lt;&gt;"",_xlpm.MyAuditVal,_xlpm.MacVal&lt;&gt;"",_xlpm.MacVal,_xlpm.CSVVal&lt;&gt;"",PROPER(_xlpm.CSVVal)
)),"")</f>
        <v/>
      </c>
      <c r="H318" s="2" t="str" cm="1">
        <f t="array" ref="H318">IFERROR(_xlfn.LET(
_xlpm.CSVVal,_xlfn.XLOOKUP($A318,CSV!$A:$A,CSV!H:H,""),
_xlpm.MacVal,_xlfn.XLOOKUP($A318,Output_Mac!$A:$A,Output_Mac!H:H,""),
_xlpm.MyAuditVal,_xlfn.XLOOKUP($A318,My_Audit!$A:$A,My_Audit!G:G,""),
_xlfn.IFS(_xlpm.MyAuditVal&lt;&gt;"",_xlpm.MyAuditVal,_xlpm.MacVal&lt;&gt;"",_xlpm.MacVal,_xlpm.CSVVal&lt;&gt;"",_xlpm.CSVVal
)),"")</f>
        <v/>
      </c>
      <c r="I318" s="2" t="str">
        <f>_xlfn.XLOOKUP(A318,Output_Mac!A:A,Output_Mac!I:I,"")</f>
        <v/>
      </c>
      <c r="J318" s="2" t="str" cm="1">
        <f t="array" ref="J318">IFERROR(_xlfn.LET(
_xlpm.CSVVal,_xlfn.XLOOKUP($A318,CSV!$A:$A,CSV!I:I,""),
_xlpm.MacVal,_xlfn.XLOOKUP($A318,Output_Mac!$A:$A,Output_Mac!J:J,""),
_xlpm.MyAuditVal,_xlfn.XLOOKUP($A318,My_Audit!$A:$A,My_Audit!I:I,""),
_xlfn.IFS(_xlpm.MyAuditVal&lt;&gt;"",UPPER(_xlpm.MyAuditVal),_xlpm.MacVal&lt;&gt;"",_xlpm.MacVal,_xlpm.CSVVal&lt;&gt;"",_xlpm.CSVVal
)),"")</f>
        <v/>
      </c>
      <c r="K318" s="2" t="str" cm="1">
        <f t="array" ref="K318">IFERROR(_xlfn.LET(
_xlpm.CSVVal,_xlfn.XLOOKUP($A318,CSV!$A:$A,CSV!K:K,""),
_xlpm.MacVal,_xlfn.XLOOKUP($A318,Output_Mac!$A:$A,Output_Mac!K:K,""),
_xlpm.MyAuditVal,_xlfn.XLOOKUP($A318,My_Audit!$A:$A,My_Audit!J:J,""),
_xlfn.IFS(_xlpm.MyAuditVal&lt;&gt;"",UPPER(_xlpm.MyAuditVal),_xlpm.MacVal&lt;&gt;"",_xlpm.MacVal,_xlpm.CSVVal&lt;&gt;"",_xlpm.CSVVal
)),"")</f>
        <v/>
      </c>
      <c r="L318" s="2" t="str" cm="1">
        <f t="array" ref="L318">IFERROR(_xlfn.LET(
_xlpm.CSVVal,_xlfn.XLOOKUP($A318,CSV!$A:$A,CSV!P:P,""),
_xlpm.MacVal,_xlfn.XLOOKUP($A318,Output_Mac!$A:$A,Output_Mac!L:L,""),
_xlpm.MyAuditVal,_xlfn.XLOOKUP($A318,My_Audit!$A:$A,My_Audit!K:K,""),
_xlfn.IFS(_xlpm.MyAuditVal&lt;&gt;"",UPPER(_xlpm.MyAuditVal),_xlpm.MacVal&lt;&gt;"",_xlpm.MacVal,_xlpm.CSVVal&lt;&gt;"",_xlpm.CSVVal
)),"")</f>
        <v/>
      </c>
      <c r="M318" s="2" t="str" cm="1">
        <f t="array" ref="M318">IFERROR(_xlfn.LET(
_xlpm.CSVVal,_xlfn.XLOOKUP($A318,CSV!$A:$A,CSV!Q:Q,""),
_xlpm.MacVal,_xlfn.XLOOKUP($A318,Output_Mac!$A:$A,Output_Mac!M:M,""),
_xlpm.MyAuditVal,_xlfn.XLOOKUP($A318,My_Audit!$A:$A,My_Audit!L:L,""),
_xlfn.IFS(_xlpm.MyAuditVal&lt;&gt;"",UPPER(_xlpm.MyAuditVal),_xlpm.MacVal&lt;&gt;"",_xlpm.MacVal,_xlpm.CSVVal&lt;&gt;"",_xlpm.CSVVal
)),"")</f>
        <v/>
      </c>
      <c r="O318" s="2" t="str">
        <f>_xlfn.LET(
    _xlpm.CSVVal, _xlfn.XLOOKUP($A318, CSV!$A:$A, CSV!AF:AF, ""),
    _xlpm.MacVal, _xlfn.XLOOKUP($A318, Output_Mac!$A:$A, Output_Mac!S:S, ""),
    _xlpm.MyAuditVal, _xlfn.XLOOKUP($A318, My_Audit!$A:$A, My_Audit!P:P, ""),
    _xlfn.TEXTJOIN(", ", TRUE, _xlpm.MyAuditVal, _xlpm.MacVal, _xlpm.CSVVal)
)</f>
        <v/>
      </c>
      <c r="P318" s="2" t="str" cm="1">
        <f t="array" ref="P318">IFERROR(_xlfn.LET(
_xlpm.CSVVal,_xlfn.XLOOKUP($A318,CSV!$A:$A,CSV!AG:AG,""),
_xlpm.MacVal,_xlfn.XLOOKUP($A318,Output_Mac!$A:$A,Output_Mac!T:T,""),
_xlpm.MyAuditVal,_xlfn.XLOOKUP($A318,My_Audit!$A:$A,My_Audit!Q:Q,""),
_xlfn.IFS(_xlpm.MyAuditVal&lt;&gt;"",UPPER(_xlpm.MyAuditVal),_xlpm.MacVal&lt;&gt;"",_xlpm.MacVal,_xlpm.CSVVal&lt;&gt;"",_xlpm.CSVVal
)),"No")</f>
        <v>No</v>
      </c>
      <c r="Q318" s="2" t="str" cm="1">
        <f t="array" ref="Q318">IFERROR(_xlfn.LET(
_xlpm.CSVVal,_xlfn.XLOOKUP($A318,CSV!$A:$A,CSV!AH:AH,""),
_xlpm.MacVal,_xlfn.XLOOKUP($A318,Output_Mac!$A:$A,Output_Mac!U:U,""),
_xlpm.MyAuditVal,_xlfn.XLOOKUP($A318,My_Audit!$A:$A,My_Audit!R:R,""),
_xlfn.IFS(_xlpm.MyAuditVal&lt;&gt;"",UPPER(_xlpm.MyAuditVal),_xlpm.MacVal&lt;&gt;"",_xlpm.MacVal,_xlpm.CSVVal&lt;&gt;"",_xlpm.CSVVal
)),"")</f>
        <v/>
      </c>
    </row>
    <row r="319" spans="1:17">
      <c r="A319" s="2" t="str">
        <f>_xlfn.TEXTJOIN("",TRUE,Input!$B$2,ROW(My_Audit!A318))</f>
        <v>XX318</v>
      </c>
      <c r="B319" s="2" t="str">
        <f>_xlfn.TEXTJOIN("-",TRUE,"ITD",Input!$A$2,A319)</f>
        <v>ITD-SHRXXX-XX318</v>
      </c>
      <c r="C319" s="2" t="str" cm="1">
        <f t="array" ref="C319">IFERROR(_xlfn.LET(
_xlpm.CSVVal,_xlfn.XLOOKUP($A319,CSV!$A:$A,CSV!B:B,""),
_xlpm.MacVal,_xlfn.XLOOKUP($A319,Output_Mac!$A:$A,Output_Mac!B:B,""),
_xlpm.MyAuditVal,_xlfn.XLOOKUP($A319,My_Audit!$A:$A,My_Audit!B:B,""),
_xlfn.IFS(_xlpm.MyAuditVal&lt;&gt;"",UPPER(_xlpm.MyAuditVal),_xlpm.MacVal&lt;&gt;"",_xlpm.MacVal,_xlpm.CSVVal&lt;&gt;"",_xlpm.CSVVal
)),"")</f>
        <v/>
      </c>
      <c r="D319" s="2" t="str" cm="1">
        <f t="array" ref="D319">IFERROR(_xlfn.LET(
_xlpm.CSVVal,_xlfn.XLOOKUP($A319,CSV!$A:$A,CSV!D:D,""),
_xlpm.MacVal,_xlfn.XLOOKUP($A319,Output_Mac!$A:$A,Output_Mac!C:C,""),
_xlpm.MyAuditVal,_xlfn.XLOOKUP($A319,My_Audit!$A:$A,My_Audit!C:C,""),
_xlfn.IFS(_xlpm.MyAuditVal&lt;&gt;"",_xlpm.MyAuditVal,_xlpm.MacVal&lt;&gt;"",_xlpm.MacVal,_xlpm.CSVVal&lt;&gt;"",_xlpm.CSVVal
)),"")</f>
        <v/>
      </c>
      <c r="E319" s="2" t="str">
        <f>_xlfn.XLOOKUP(A319,My_Audit!A:A,My_Audit!D:D,"")&amp;""</f>
        <v/>
      </c>
      <c r="F319" s="2" t="str" cm="1">
        <f t="array" ref="F319">IFERROR(_xlfn.LET(
_xlpm.CSVVal,_xlfn.XLOOKUP($A319,CSV!$A:$A,CSV!F:F,""),
_xlpm.MacVal,_xlfn.XLOOKUP($A319,Output_Mac!$A:$A,Output_Mac!E:E,""),
_xlpm.MyAuditVal,_xlfn.XLOOKUP($A319,My_Audit!$A:$A,My_Audit!E:E,""),
_xlfn.IFS(_xlpm.MyAuditVal&lt;&gt;"",_xlpm.MyAuditVal,_xlpm.MacVal&lt;&gt;"",_xlpm.MacVal,_xlpm.CSVVal&lt;&gt;"",_xlpm.CSVVal
)),"")</f>
        <v/>
      </c>
      <c r="G319" s="2" t="str" cm="1">
        <f t="array" ref="G319">IFERROR(_xlfn.LET(
_xlpm.CSVVal,_xlfn.XLOOKUP($A319,CSV!$A:$A,CSV!G:G,""),
_xlpm.MacVal,_xlfn.XLOOKUP($A319,Output_Mac!$A:$A,Output_Mac!F:F,""),
_xlpm.MyAuditVal,_xlfn.XLOOKUP($A319,My_Audit!$A:$A,My_Audit!F:F,""),
_xlfn.IFS(_xlpm.MyAuditVal&lt;&gt;"",_xlpm.MyAuditVal,_xlpm.MacVal&lt;&gt;"",_xlpm.MacVal,_xlpm.CSVVal&lt;&gt;"",PROPER(_xlpm.CSVVal)
)),"")</f>
        <v/>
      </c>
      <c r="H319" s="2" t="str" cm="1">
        <f t="array" ref="H319">IFERROR(_xlfn.LET(
_xlpm.CSVVal,_xlfn.XLOOKUP($A319,CSV!$A:$A,CSV!H:H,""),
_xlpm.MacVal,_xlfn.XLOOKUP($A319,Output_Mac!$A:$A,Output_Mac!H:H,""),
_xlpm.MyAuditVal,_xlfn.XLOOKUP($A319,My_Audit!$A:$A,My_Audit!G:G,""),
_xlfn.IFS(_xlpm.MyAuditVal&lt;&gt;"",_xlpm.MyAuditVal,_xlpm.MacVal&lt;&gt;"",_xlpm.MacVal,_xlpm.CSVVal&lt;&gt;"",_xlpm.CSVVal
)),"")</f>
        <v/>
      </c>
      <c r="I319" s="2" t="str">
        <f>_xlfn.XLOOKUP(A319,Output_Mac!A:A,Output_Mac!I:I,"")</f>
        <v/>
      </c>
      <c r="J319" s="2" t="str" cm="1">
        <f t="array" ref="J319">IFERROR(_xlfn.LET(
_xlpm.CSVVal,_xlfn.XLOOKUP($A319,CSV!$A:$A,CSV!I:I,""),
_xlpm.MacVal,_xlfn.XLOOKUP($A319,Output_Mac!$A:$A,Output_Mac!J:J,""),
_xlpm.MyAuditVal,_xlfn.XLOOKUP($A319,My_Audit!$A:$A,My_Audit!I:I,""),
_xlfn.IFS(_xlpm.MyAuditVal&lt;&gt;"",UPPER(_xlpm.MyAuditVal),_xlpm.MacVal&lt;&gt;"",_xlpm.MacVal,_xlpm.CSVVal&lt;&gt;"",_xlpm.CSVVal
)),"")</f>
        <v/>
      </c>
      <c r="K319" s="2" t="str" cm="1">
        <f t="array" ref="K319">IFERROR(_xlfn.LET(
_xlpm.CSVVal,_xlfn.XLOOKUP($A319,CSV!$A:$A,CSV!K:K,""),
_xlpm.MacVal,_xlfn.XLOOKUP($A319,Output_Mac!$A:$A,Output_Mac!K:K,""),
_xlpm.MyAuditVal,_xlfn.XLOOKUP($A319,My_Audit!$A:$A,My_Audit!J:J,""),
_xlfn.IFS(_xlpm.MyAuditVal&lt;&gt;"",UPPER(_xlpm.MyAuditVal),_xlpm.MacVal&lt;&gt;"",_xlpm.MacVal,_xlpm.CSVVal&lt;&gt;"",_xlpm.CSVVal
)),"")</f>
        <v/>
      </c>
      <c r="L319" s="2" t="str" cm="1">
        <f t="array" ref="L319">IFERROR(_xlfn.LET(
_xlpm.CSVVal,_xlfn.XLOOKUP($A319,CSV!$A:$A,CSV!P:P,""),
_xlpm.MacVal,_xlfn.XLOOKUP($A319,Output_Mac!$A:$A,Output_Mac!L:L,""),
_xlpm.MyAuditVal,_xlfn.XLOOKUP($A319,My_Audit!$A:$A,My_Audit!K:K,""),
_xlfn.IFS(_xlpm.MyAuditVal&lt;&gt;"",UPPER(_xlpm.MyAuditVal),_xlpm.MacVal&lt;&gt;"",_xlpm.MacVal,_xlpm.CSVVal&lt;&gt;"",_xlpm.CSVVal
)),"")</f>
        <v/>
      </c>
      <c r="M319" s="2" t="str" cm="1">
        <f t="array" ref="M319">IFERROR(_xlfn.LET(
_xlpm.CSVVal,_xlfn.XLOOKUP($A319,CSV!$A:$A,CSV!Q:Q,""),
_xlpm.MacVal,_xlfn.XLOOKUP($A319,Output_Mac!$A:$A,Output_Mac!M:M,""),
_xlpm.MyAuditVal,_xlfn.XLOOKUP($A319,My_Audit!$A:$A,My_Audit!L:L,""),
_xlfn.IFS(_xlpm.MyAuditVal&lt;&gt;"",UPPER(_xlpm.MyAuditVal),_xlpm.MacVal&lt;&gt;"",_xlpm.MacVal,_xlpm.CSVVal&lt;&gt;"",_xlpm.CSVVal
)),"")</f>
        <v/>
      </c>
      <c r="O319" s="2" t="str">
        <f>_xlfn.LET(
    _xlpm.CSVVal, _xlfn.XLOOKUP($A319, CSV!$A:$A, CSV!AF:AF, ""),
    _xlpm.MacVal, _xlfn.XLOOKUP($A319, Output_Mac!$A:$A, Output_Mac!S:S, ""),
    _xlpm.MyAuditVal, _xlfn.XLOOKUP($A319, My_Audit!$A:$A, My_Audit!P:P, ""),
    _xlfn.TEXTJOIN(", ", TRUE, _xlpm.MyAuditVal, _xlpm.MacVal, _xlpm.CSVVal)
)</f>
        <v/>
      </c>
      <c r="P319" s="2" t="str" cm="1">
        <f t="array" ref="P319">IFERROR(_xlfn.LET(
_xlpm.CSVVal,_xlfn.XLOOKUP($A319,CSV!$A:$A,CSV!AG:AG,""),
_xlpm.MacVal,_xlfn.XLOOKUP($A319,Output_Mac!$A:$A,Output_Mac!T:T,""),
_xlpm.MyAuditVal,_xlfn.XLOOKUP($A319,My_Audit!$A:$A,My_Audit!Q:Q,""),
_xlfn.IFS(_xlpm.MyAuditVal&lt;&gt;"",UPPER(_xlpm.MyAuditVal),_xlpm.MacVal&lt;&gt;"",_xlpm.MacVal,_xlpm.CSVVal&lt;&gt;"",_xlpm.CSVVal
)),"No")</f>
        <v>No</v>
      </c>
      <c r="Q319" s="2" t="str" cm="1">
        <f t="array" ref="Q319">IFERROR(_xlfn.LET(
_xlpm.CSVVal,_xlfn.XLOOKUP($A319,CSV!$A:$A,CSV!AH:AH,""),
_xlpm.MacVal,_xlfn.XLOOKUP($A319,Output_Mac!$A:$A,Output_Mac!U:U,""),
_xlpm.MyAuditVal,_xlfn.XLOOKUP($A319,My_Audit!$A:$A,My_Audit!R:R,""),
_xlfn.IFS(_xlpm.MyAuditVal&lt;&gt;"",UPPER(_xlpm.MyAuditVal),_xlpm.MacVal&lt;&gt;"",_xlpm.MacVal,_xlpm.CSVVal&lt;&gt;"",_xlpm.CSVVal
)),"")</f>
        <v/>
      </c>
    </row>
    <row r="320" spans="1:17">
      <c r="A320" s="2" t="str">
        <f>_xlfn.TEXTJOIN("",TRUE,Input!$B$2,ROW(My_Audit!A319))</f>
        <v>XX319</v>
      </c>
      <c r="B320" s="2" t="str">
        <f>_xlfn.TEXTJOIN("-",TRUE,"ITD",Input!$A$2,A320)</f>
        <v>ITD-SHRXXX-XX319</v>
      </c>
      <c r="C320" s="2" t="str" cm="1">
        <f t="array" ref="C320">IFERROR(_xlfn.LET(
_xlpm.CSVVal,_xlfn.XLOOKUP($A320,CSV!$A:$A,CSV!B:B,""),
_xlpm.MacVal,_xlfn.XLOOKUP($A320,Output_Mac!$A:$A,Output_Mac!B:B,""),
_xlpm.MyAuditVal,_xlfn.XLOOKUP($A320,My_Audit!$A:$A,My_Audit!B:B,""),
_xlfn.IFS(_xlpm.MyAuditVal&lt;&gt;"",UPPER(_xlpm.MyAuditVal),_xlpm.MacVal&lt;&gt;"",_xlpm.MacVal,_xlpm.CSVVal&lt;&gt;"",_xlpm.CSVVal
)),"")</f>
        <v/>
      </c>
      <c r="D320" s="2" t="str" cm="1">
        <f t="array" ref="D320">IFERROR(_xlfn.LET(
_xlpm.CSVVal,_xlfn.XLOOKUP($A320,CSV!$A:$A,CSV!D:D,""),
_xlpm.MacVal,_xlfn.XLOOKUP($A320,Output_Mac!$A:$A,Output_Mac!C:C,""),
_xlpm.MyAuditVal,_xlfn.XLOOKUP($A320,My_Audit!$A:$A,My_Audit!C:C,""),
_xlfn.IFS(_xlpm.MyAuditVal&lt;&gt;"",_xlpm.MyAuditVal,_xlpm.MacVal&lt;&gt;"",_xlpm.MacVal,_xlpm.CSVVal&lt;&gt;"",_xlpm.CSVVal
)),"")</f>
        <v/>
      </c>
      <c r="E320" s="2" t="str">
        <f>_xlfn.XLOOKUP(A320,My_Audit!A:A,My_Audit!D:D,"")&amp;""</f>
        <v/>
      </c>
      <c r="F320" s="2" t="str" cm="1">
        <f t="array" ref="F320">IFERROR(_xlfn.LET(
_xlpm.CSVVal,_xlfn.XLOOKUP($A320,CSV!$A:$A,CSV!F:F,""),
_xlpm.MacVal,_xlfn.XLOOKUP($A320,Output_Mac!$A:$A,Output_Mac!E:E,""),
_xlpm.MyAuditVal,_xlfn.XLOOKUP($A320,My_Audit!$A:$A,My_Audit!E:E,""),
_xlfn.IFS(_xlpm.MyAuditVal&lt;&gt;"",_xlpm.MyAuditVal,_xlpm.MacVal&lt;&gt;"",_xlpm.MacVal,_xlpm.CSVVal&lt;&gt;"",_xlpm.CSVVal
)),"")</f>
        <v/>
      </c>
      <c r="G320" s="2" t="str" cm="1">
        <f t="array" ref="G320">IFERROR(_xlfn.LET(
_xlpm.CSVVal,_xlfn.XLOOKUP($A320,CSV!$A:$A,CSV!G:G,""),
_xlpm.MacVal,_xlfn.XLOOKUP($A320,Output_Mac!$A:$A,Output_Mac!F:F,""),
_xlpm.MyAuditVal,_xlfn.XLOOKUP($A320,My_Audit!$A:$A,My_Audit!F:F,""),
_xlfn.IFS(_xlpm.MyAuditVal&lt;&gt;"",_xlpm.MyAuditVal,_xlpm.MacVal&lt;&gt;"",_xlpm.MacVal,_xlpm.CSVVal&lt;&gt;"",PROPER(_xlpm.CSVVal)
)),"")</f>
        <v/>
      </c>
      <c r="H320" s="2" t="str" cm="1">
        <f t="array" ref="H320">IFERROR(_xlfn.LET(
_xlpm.CSVVal,_xlfn.XLOOKUP($A320,CSV!$A:$A,CSV!H:H,""),
_xlpm.MacVal,_xlfn.XLOOKUP($A320,Output_Mac!$A:$A,Output_Mac!H:H,""),
_xlpm.MyAuditVal,_xlfn.XLOOKUP($A320,My_Audit!$A:$A,My_Audit!G:G,""),
_xlfn.IFS(_xlpm.MyAuditVal&lt;&gt;"",_xlpm.MyAuditVal,_xlpm.MacVal&lt;&gt;"",_xlpm.MacVal,_xlpm.CSVVal&lt;&gt;"",_xlpm.CSVVal
)),"")</f>
        <v/>
      </c>
      <c r="I320" s="2" t="str">
        <f>_xlfn.XLOOKUP(A320,Output_Mac!A:A,Output_Mac!I:I,"")</f>
        <v/>
      </c>
      <c r="J320" s="2" t="str" cm="1">
        <f t="array" ref="J320">IFERROR(_xlfn.LET(
_xlpm.CSVVal,_xlfn.XLOOKUP($A320,CSV!$A:$A,CSV!I:I,""),
_xlpm.MacVal,_xlfn.XLOOKUP($A320,Output_Mac!$A:$A,Output_Mac!J:J,""),
_xlpm.MyAuditVal,_xlfn.XLOOKUP($A320,My_Audit!$A:$A,My_Audit!I:I,""),
_xlfn.IFS(_xlpm.MyAuditVal&lt;&gt;"",UPPER(_xlpm.MyAuditVal),_xlpm.MacVal&lt;&gt;"",_xlpm.MacVal,_xlpm.CSVVal&lt;&gt;"",_xlpm.CSVVal
)),"")</f>
        <v/>
      </c>
      <c r="K320" s="2" t="str" cm="1">
        <f t="array" ref="K320">IFERROR(_xlfn.LET(
_xlpm.CSVVal,_xlfn.XLOOKUP($A320,CSV!$A:$A,CSV!K:K,""),
_xlpm.MacVal,_xlfn.XLOOKUP($A320,Output_Mac!$A:$A,Output_Mac!K:K,""),
_xlpm.MyAuditVal,_xlfn.XLOOKUP($A320,My_Audit!$A:$A,My_Audit!J:J,""),
_xlfn.IFS(_xlpm.MyAuditVal&lt;&gt;"",UPPER(_xlpm.MyAuditVal),_xlpm.MacVal&lt;&gt;"",_xlpm.MacVal,_xlpm.CSVVal&lt;&gt;"",_xlpm.CSVVal
)),"")</f>
        <v/>
      </c>
      <c r="L320" s="2" t="str" cm="1">
        <f t="array" ref="L320">IFERROR(_xlfn.LET(
_xlpm.CSVVal,_xlfn.XLOOKUP($A320,CSV!$A:$A,CSV!P:P,""),
_xlpm.MacVal,_xlfn.XLOOKUP($A320,Output_Mac!$A:$A,Output_Mac!L:L,""),
_xlpm.MyAuditVal,_xlfn.XLOOKUP($A320,My_Audit!$A:$A,My_Audit!K:K,""),
_xlfn.IFS(_xlpm.MyAuditVal&lt;&gt;"",UPPER(_xlpm.MyAuditVal),_xlpm.MacVal&lt;&gt;"",_xlpm.MacVal,_xlpm.CSVVal&lt;&gt;"",_xlpm.CSVVal
)),"")</f>
        <v/>
      </c>
      <c r="M320" s="2" t="str" cm="1">
        <f t="array" ref="M320">IFERROR(_xlfn.LET(
_xlpm.CSVVal,_xlfn.XLOOKUP($A320,CSV!$A:$A,CSV!Q:Q,""),
_xlpm.MacVal,_xlfn.XLOOKUP($A320,Output_Mac!$A:$A,Output_Mac!M:M,""),
_xlpm.MyAuditVal,_xlfn.XLOOKUP($A320,My_Audit!$A:$A,My_Audit!L:L,""),
_xlfn.IFS(_xlpm.MyAuditVal&lt;&gt;"",UPPER(_xlpm.MyAuditVal),_xlpm.MacVal&lt;&gt;"",_xlpm.MacVal,_xlpm.CSVVal&lt;&gt;"",_xlpm.CSVVal
)),"")</f>
        <v/>
      </c>
      <c r="O320" s="2" t="str">
        <f>_xlfn.LET(
    _xlpm.CSVVal, _xlfn.XLOOKUP($A320, CSV!$A:$A, CSV!AF:AF, ""),
    _xlpm.MacVal, _xlfn.XLOOKUP($A320, Output_Mac!$A:$A, Output_Mac!S:S, ""),
    _xlpm.MyAuditVal, _xlfn.XLOOKUP($A320, My_Audit!$A:$A, My_Audit!P:P, ""),
    _xlfn.TEXTJOIN(", ", TRUE, _xlpm.MyAuditVal, _xlpm.MacVal, _xlpm.CSVVal)
)</f>
        <v/>
      </c>
      <c r="P320" s="2" t="str" cm="1">
        <f t="array" ref="P320">IFERROR(_xlfn.LET(
_xlpm.CSVVal,_xlfn.XLOOKUP($A320,CSV!$A:$A,CSV!AG:AG,""),
_xlpm.MacVal,_xlfn.XLOOKUP($A320,Output_Mac!$A:$A,Output_Mac!T:T,""),
_xlpm.MyAuditVal,_xlfn.XLOOKUP($A320,My_Audit!$A:$A,My_Audit!Q:Q,""),
_xlfn.IFS(_xlpm.MyAuditVal&lt;&gt;"",UPPER(_xlpm.MyAuditVal),_xlpm.MacVal&lt;&gt;"",_xlpm.MacVal,_xlpm.CSVVal&lt;&gt;"",_xlpm.CSVVal
)),"No")</f>
        <v>No</v>
      </c>
      <c r="Q320" s="2" t="str" cm="1">
        <f t="array" ref="Q320">IFERROR(_xlfn.LET(
_xlpm.CSVVal,_xlfn.XLOOKUP($A320,CSV!$A:$A,CSV!AH:AH,""),
_xlpm.MacVal,_xlfn.XLOOKUP($A320,Output_Mac!$A:$A,Output_Mac!U:U,""),
_xlpm.MyAuditVal,_xlfn.XLOOKUP($A320,My_Audit!$A:$A,My_Audit!R:R,""),
_xlfn.IFS(_xlpm.MyAuditVal&lt;&gt;"",UPPER(_xlpm.MyAuditVal),_xlpm.MacVal&lt;&gt;"",_xlpm.MacVal,_xlpm.CSVVal&lt;&gt;"",_xlpm.CSVVal
)),"")</f>
        <v/>
      </c>
    </row>
    <row r="321" spans="1:17">
      <c r="A321" s="2" t="str">
        <f>_xlfn.TEXTJOIN("",TRUE,Input!$B$2,ROW(My_Audit!A320))</f>
        <v>XX320</v>
      </c>
      <c r="B321" s="2" t="str">
        <f>_xlfn.TEXTJOIN("-",TRUE,"ITD",Input!$A$2,A321)</f>
        <v>ITD-SHRXXX-XX320</v>
      </c>
      <c r="C321" s="2" t="str" cm="1">
        <f t="array" ref="C321">IFERROR(_xlfn.LET(
_xlpm.CSVVal,_xlfn.XLOOKUP($A321,CSV!$A:$A,CSV!B:B,""),
_xlpm.MacVal,_xlfn.XLOOKUP($A321,Output_Mac!$A:$A,Output_Mac!B:B,""),
_xlpm.MyAuditVal,_xlfn.XLOOKUP($A321,My_Audit!$A:$A,My_Audit!B:B,""),
_xlfn.IFS(_xlpm.MyAuditVal&lt;&gt;"",UPPER(_xlpm.MyAuditVal),_xlpm.MacVal&lt;&gt;"",_xlpm.MacVal,_xlpm.CSVVal&lt;&gt;"",_xlpm.CSVVal
)),"")</f>
        <v/>
      </c>
      <c r="D321" s="2" t="str" cm="1">
        <f t="array" ref="D321">IFERROR(_xlfn.LET(
_xlpm.CSVVal,_xlfn.XLOOKUP($A321,CSV!$A:$A,CSV!D:D,""),
_xlpm.MacVal,_xlfn.XLOOKUP($A321,Output_Mac!$A:$A,Output_Mac!C:C,""),
_xlpm.MyAuditVal,_xlfn.XLOOKUP($A321,My_Audit!$A:$A,My_Audit!C:C,""),
_xlfn.IFS(_xlpm.MyAuditVal&lt;&gt;"",_xlpm.MyAuditVal,_xlpm.MacVal&lt;&gt;"",_xlpm.MacVal,_xlpm.CSVVal&lt;&gt;"",_xlpm.CSVVal
)),"")</f>
        <v/>
      </c>
      <c r="E321" s="2" t="str">
        <f>_xlfn.XLOOKUP(A321,My_Audit!A:A,My_Audit!D:D,"")&amp;""</f>
        <v/>
      </c>
      <c r="F321" s="2" t="str" cm="1">
        <f t="array" ref="F321">IFERROR(_xlfn.LET(
_xlpm.CSVVal,_xlfn.XLOOKUP($A321,CSV!$A:$A,CSV!F:F,""),
_xlpm.MacVal,_xlfn.XLOOKUP($A321,Output_Mac!$A:$A,Output_Mac!E:E,""),
_xlpm.MyAuditVal,_xlfn.XLOOKUP($A321,My_Audit!$A:$A,My_Audit!E:E,""),
_xlfn.IFS(_xlpm.MyAuditVal&lt;&gt;"",_xlpm.MyAuditVal,_xlpm.MacVal&lt;&gt;"",_xlpm.MacVal,_xlpm.CSVVal&lt;&gt;"",_xlpm.CSVVal
)),"")</f>
        <v/>
      </c>
      <c r="G321" s="2" t="str" cm="1">
        <f t="array" ref="G321">IFERROR(_xlfn.LET(
_xlpm.CSVVal,_xlfn.XLOOKUP($A321,CSV!$A:$A,CSV!G:G,""),
_xlpm.MacVal,_xlfn.XLOOKUP($A321,Output_Mac!$A:$A,Output_Mac!F:F,""),
_xlpm.MyAuditVal,_xlfn.XLOOKUP($A321,My_Audit!$A:$A,My_Audit!F:F,""),
_xlfn.IFS(_xlpm.MyAuditVal&lt;&gt;"",_xlpm.MyAuditVal,_xlpm.MacVal&lt;&gt;"",_xlpm.MacVal,_xlpm.CSVVal&lt;&gt;"",PROPER(_xlpm.CSVVal)
)),"")</f>
        <v/>
      </c>
      <c r="H321" s="2" t="str" cm="1">
        <f t="array" ref="H321">IFERROR(_xlfn.LET(
_xlpm.CSVVal,_xlfn.XLOOKUP($A321,CSV!$A:$A,CSV!H:H,""),
_xlpm.MacVal,_xlfn.XLOOKUP($A321,Output_Mac!$A:$A,Output_Mac!H:H,""),
_xlpm.MyAuditVal,_xlfn.XLOOKUP($A321,My_Audit!$A:$A,My_Audit!G:G,""),
_xlfn.IFS(_xlpm.MyAuditVal&lt;&gt;"",_xlpm.MyAuditVal,_xlpm.MacVal&lt;&gt;"",_xlpm.MacVal,_xlpm.CSVVal&lt;&gt;"",_xlpm.CSVVal
)),"")</f>
        <v/>
      </c>
      <c r="I321" s="2" t="str">
        <f>_xlfn.XLOOKUP(A321,Output_Mac!A:A,Output_Mac!I:I,"")</f>
        <v/>
      </c>
      <c r="J321" s="2" t="str" cm="1">
        <f t="array" ref="J321">IFERROR(_xlfn.LET(
_xlpm.CSVVal,_xlfn.XLOOKUP($A321,CSV!$A:$A,CSV!I:I,""),
_xlpm.MacVal,_xlfn.XLOOKUP($A321,Output_Mac!$A:$A,Output_Mac!J:J,""),
_xlpm.MyAuditVal,_xlfn.XLOOKUP($A321,My_Audit!$A:$A,My_Audit!I:I,""),
_xlfn.IFS(_xlpm.MyAuditVal&lt;&gt;"",UPPER(_xlpm.MyAuditVal),_xlpm.MacVal&lt;&gt;"",_xlpm.MacVal,_xlpm.CSVVal&lt;&gt;"",_xlpm.CSVVal
)),"")</f>
        <v/>
      </c>
      <c r="K321" s="2" t="str" cm="1">
        <f t="array" ref="K321">IFERROR(_xlfn.LET(
_xlpm.CSVVal,_xlfn.XLOOKUP($A321,CSV!$A:$A,CSV!K:K,""),
_xlpm.MacVal,_xlfn.XLOOKUP($A321,Output_Mac!$A:$A,Output_Mac!K:K,""),
_xlpm.MyAuditVal,_xlfn.XLOOKUP($A321,My_Audit!$A:$A,My_Audit!J:J,""),
_xlfn.IFS(_xlpm.MyAuditVal&lt;&gt;"",UPPER(_xlpm.MyAuditVal),_xlpm.MacVal&lt;&gt;"",_xlpm.MacVal,_xlpm.CSVVal&lt;&gt;"",_xlpm.CSVVal
)),"")</f>
        <v/>
      </c>
      <c r="L321" s="2" t="str" cm="1">
        <f t="array" ref="L321">IFERROR(_xlfn.LET(
_xlpm.CSVVal,_xlfn.XLOOKUP($A321,CSV!$A:$A,CSV!P:P,""),
_xlpm.MacVal,_xlfn.XLOOKUP($A321,Output_Mac!$A:$A,Output_Mac!L:L,""),
_xlpm.MyAuditVal,_xlfn.XLOOKUP($A321,My_Audit!$A:$A,My_Audit!K:K,""),
_xlfn.IFS(_xlpm.MyAuditVal&lt;&gt;"",UPPER(_xlpm.MyAuditVal),_xlpm.MacVal&lt;&gt;"",_xlpm.MacVal,_xlpm.CSVVal&lt;&gt;"",_xlpm.CSVVal
)),"")</f>
        <v/>
      </c>
      <c r="M321" s="2" t="str" cm="1">
        <f t="array" ref="M321">IFERROR(_xlfn.LET(
_xlpm.CSVVal,_xlfn.XLOOKUP($A321,CSV!$A:$A,CSV!Q:Q,""),
_xlpm.MacVal,_xlfn.XLOOKUP($A321,Output_Mac!$A:$A,Output_Mac!M:M,""),
_xlpm.MyAuditVal,_xlfn.XLOOKUP($A321,My_Audit!$A:$A,My_Audit!L:L,""),
_xlfn.IFS(_xlpm.MyAuditVal&lt;&gt;"",UPPER(_xlpm.MyAuditVal),_xlpm.MacVal&lt;&gt;"",_xlpm.MacVal,_xlpm.CSVVal&lt;&gt;"",_xlpm.CSVVal
)),"")</f>
        <v/>
      </c>
      <c r="O321" s="2" t="str">
        <f>_xlfn.LET(
    _xlpm.CSVVal, _xlfn.XLOOKUP($A321, CSV!$A:$A, CSV!AF:AF, ""),
    _xlpm.MacVal, _xlfn.XLOOKUP($A321, Output_Mac!$A:$A, Output_Mac!S:S, ""),
    _xlpm.MyAuditVal, _xlfn.XLOOKUP($A321, My_Audit!$A:$A, My_Audit!P:P, ""),
    _xlfn.TEXTJOIN(", ", TRUE, _xlpm.MyAuditVal, _xlpm.MacVal, _xlpm.CSVVal)
)</f>
        <v/>
      </c>
      <c r="P321" s="2" t="str" cm="1">
        <f t="array" ref="P321">IFERROR(_xlfn.LET(
_xlpm.CSVVal,_xlfn.XLOOKUP($A321,CSV!$A:$A,CSV!AG:AG,""),
_xlpm.MacVal,_xlfn.XLOOKUP($A321,Output_Mac!$A:$A,Output_Mac!T:T,""),
_xlpm.MyAuditVal,_xlfn.XLOOKUP($A321,My_Audit!$A:$A,My_Audit!Q:Q,""),
_xlfn.IFS(_xlpm.MyAuditVal&lt;&gt;"",UPPER(_xlpm.MyAuditVal),_xlpm.MacVal&lt;&gt;"",_xlpm.MacVal,_xlpm.CSVVal&lt;&gt;"",_xlpm.CSVVal
)),"No")</f>
        <v>No</v>
      </c>
      <c r="Q321" s="2" t="str" cm="1">
        <f t="array" ref="Q321">IFERROR(_xlfn.LET(
_xlpm.CSVVal,_xlfn.XLOOKUP($A321,CSV!$A:$A,CSV!AH:AH,""),
_xlpm.MacVal,_xlfn.XLOOKUP($A321,Output_Mac!$A:$A,Output_Mac!U:U,""),
_xlpm.MyAuditVal,_xlfn.XLOOKUP($A321,My_Audit!$A:$A,My_Audit!R:R,""),
_xlfn.IFS(_xlpm.MyAuditVal&lt;&gt;"",UPPER(_xlpm.MyAuditVal),_xlpm.MacVal&lt;&gt;"",_xlpm.MacVal,_xlpm.CSVVal&lt;&gt;"",_xlpm.CSVVal
)),"")</f>
        <v/>
      </c>
    </row>
    <row r="322" spans="1:17">
      <c r="A322" s="2" t="str">
        <f>_xlfn.TEXTJOIN("",TRUE,Input!$B$2,ROW(My_Audit!A321))</f>
        <v>XX321</v>
      </c>
      <c r="B322" s="2" t="str">
        <f>_xlfn.TEXTJOIN("-",TRUE,"ITD",Input!$A$2,A322)</f>
        <v>ITD-SHRXXX-XX321</v>
      </c>
      <c r="C322" s="2" t="str" cm="1">
        <f t="array" ref="C322">IFERROR(_xlfn.LET(
_xlpm.CSVVal,_xlfn.XLOOKUP($A322,CSV!$A:$A,CSV!B:B,""),
_xlpm.MacVal,_xlfn.XLOOKUP($A322,Output_Mac!$A:$A,Output_Mac!B:B,""),
_xlpm.MyAuditVal,_xlfn.XLOOKUP($A322,My_Audit!$A:$A,My_Audit!B:B,""),
_xlfn.IFS(_xlpm.MyAuditVal&lt;&gt;"",UPPER(_xlpm.MyAuditVal),_xlpm.MacVal&lt;&gt;"",_xlpm.MacVal,_xlpm.CSVVal&lt;&gt;"",_xlpm.CSVVal
)),"")</f>
        <v/>
      </c>
      <c r="D322" s="2" t="str" cm="1">
        <f t="array" ref="D322">IFERROR(_xlfn.LET(
_xlpm.CSVVal,_xlfn.XLOOKUP($A322,CSV!$A:$A,CSV!D:D,""),
_xlpm.MacVal,_xlfn.XLOOKUP($A322,Output_Mac!$A:$A,Output_Mac!C:C,""),
_xlpm.MyAuditVal,_xlfn.XLOOKUP($A322,My_Audit!$A:$A,My_Audit!C:C,""),
_xlfn.IFS(_xlpm.MyAuditVal&lt;&gt;"",_xlpm.MyAuditVal,_xlpm.MacVal&lt;&gt;"",_xlpm.MacVal,_xlpm.CSVVal&lt;&gt;"",_xlpm.CSVVal
)),"")</f>
        <v/>
      </c>
      <c r="E322" s="2" t="str">
        <f>_xlfn.XLOOKUP(A322,My_Audit!A:A,My_Audit!D:D,"")&amp;""</f>
        <v/>
      </c>
      <c r="F322" s="2" t="str" cm="1">
        <f t="array" ref="F322">IFERROR(_xlfn.LET(
_xlpm.CSVVal,_xlfn.XLOOKUP($A322,CSV!$A:$A,CSV!F:F,""),
_xlpm.MacVal,_xlfn.XLOOKUP($A322,Output_Mac!$A:$A,Output_Mac!E:E,""),
_xlpm.MyAuditVal,_xlfn.XLOOKUP($A322,My_Audit!$A:$A,My_Audit!E:E,""),
_xlfn.IFS(_xlpm.MyAuditVal&lt;&gt;"",_xlpm.MyAuditVal,_xlpm.MacVal&lt;&gt;"",_xlpm.MacVal,_xlpm.CSVVal&lt;&gt;"",_xlpm.CSVVal
)),"")</f>
        <v/>
      </c>
      <c r="G322" s="2" t="str" cm="1">
        <f t="array" ref="G322">IFERROR(_xlfn.LET(
_xlpm.CSVVal,_xlfn.XLOOKUP($A322,CSV!$A:$A,CSV!G:G,""),
_xlpm.MacVal,_xlfn.XLOOKUP($A322,Output_Mac!$A:$A,Output_Mac!F:F,""),
_xlpm.MyAuditVal,_xlfn.XLOOKUP($A322,My_Audit!$A:$A,My_Audit!F:F,""),
_xlfn.IFS(_xlpm.MyAuditVal&lt;&gt;"",_xlpm.MyAuditVal,_xlpm.MacVal&lt;&gt;"",_xlpm.MacVal,_xlpm.CSVVal&lt;&gt;"",PROPER(_xlpm.CSVVal)
)),"")</f>
        <v/>
      </c>
      <c r="H322" s="2" t="str" cm="1">
        <f t="array" ref="H322">IFERROR(_xlfn.LET(
_xlpm.CSVVal,_xlfn.XLOOKUP($A322,CSV!$A:$A,CSV!H:H,""),
_xlpm.MacVal,_xlfn.XLOOKUP($A322,Output_Mac!$A:$A,Output_Mac!H:H,""),
_xlpm.MyAuditVal,_xlfn.XLOOKUP($A322,My_Audit!$A:$A,My_Audit!G:G,""),
_xlfn.IFS(_xlpm.MyAuditVal&lt;&gt;"",_xlpm.MyAuditVal,_xlpm.MacVal&lt;&gt;"",_xlpm.MacVal,_xlpm.CSVVal&lt;&gt;"",_xlpm.CSVVal
)),"")</f>
        <v/>
      </c>
      <c r="I322" s="2" t="str">
        <f>_xlfn.XLOOKUP(A322,Output_Mac!A:A,Output_Mac!I:I,"")</f>
        <v/>
      </c>
      <c r="J322" s="2" t="str" cm="1">
        <f t="array" ref="J322">IFERROR(_xlfn.LET(
_xlpm.CSVVal,_xlfn.XLOOKUP($A322,CSV!$A:$A,CSV!I:I,""),
_xlpm.MacVal,_xlfn.XLOOKUP($A322,Output_Mac!$A:$A,Output_Mac!J:J,""),
_xlpm.MyAuditVal,_xlfn.XLOOKUP($A322,My_Audit!$A:$A,My_Audit!I:I,""),
_xlfn.IFS(_xlpm.MyAuditVal&lt;&gt;"",UPPER(_xlpm.MyAuditVal),_xlpm.MacVal&lt;&gt;"",_xlpm.MacVal,_xlpm.CSVVal&lt;&gt;"",_xlpm.CSVVal
)),"")</f>
        <v/>
      </c>
      <c r="K322" s="2" t="str" cm="1">
        <f t="array" ref="K322">IFERROR(_xlfn.LET(
_xlpm.CSVVal,_xlfn.XLOOKUP($A322,CSV!$A:$A,CSV!K:K,""),
_xlpm.MacVal,_xlfn.XLOOKUP($A322,Output_Mac!$A:$A,Output_Mac!K:K,""),
_xlpm.MyAuditVal,_xlfn.XLOOKUP($A322,My_Audit!$A:$A,My_Audit!J:J,""),
_xlfn.IFS(_xlpm.MyAuditVal&lt;&gt;"",UPPER(_xlpm.MyAuditVal),_xlpm.MacVal&lt;&gt;"",_xlpm.MacVal,_xlpm.CSVVal&lt;&gt;"",_xlpm.CSVVal
)),"")</f>
        <v/>
      </c>
      <c r="L322" s="2" t="str" cm="1">
        <f t="array" ref="L322">IFERROR(_xlfn.LET(
_xlpm.CSVVal,_xlfn.XLOOKUP($A322,CSV!$A:$A,CSV!P:P,""),
_xlpm.MacVal,_xlfn.XLOOKUP($A322,Output_Mac!$A:$A,Output_Mac!L:L,""),
_xlpm.MyAuditVal,_xlfn.XLOOKUP($A322,My_Audit!$A:$A,My_Audit!K:K,""),
_xlfn.IFS(_xlpm.MyAuditVal&lt;&gt;"",UPPER(_xlpm.MyAuditVal),_xlpm.MacVal&lt;&gt;"",_xlpm.MacVal,_xlpm.CSVVal&lt;&gt;"",_xlpm.CSVVal
)),"")</f>
        <v/>
      </c>
      <c r="M322" s="2" t="str" cm="1">
        <f t="array" ref="M322">IFERROR(_xlfn.LET(
_xlpm.CSVVal,_xlfn.XLOOKUP($A322,CSV!$A:$A,CSV!Q:Q,""),
_xlpm.MacVal,_xlfn.XLOOKUP($A322,Output_Mac!$A:$A,Output_Mac!M:M,""),
_xlpm.MyAuditVal,_xlfn.XLOOKUP($A322,My_Audit!$A:$A,My_Audit!L:L,""),
_xlfn.IFS(_xlpm.MyAuditVal&lt;&gt;"",UPPER(_xlpm.MyAuditVal),_xlpm.MacVal&lt;&gt;"",_xlpm.MacVal,_xlpm.CSVVal&lt;&gt;"",_xlpm.CSVVal
)),"")</f>
        <v/>
      </c>
      <c r="O322" s="2" t="str">
        <f>_xlfn.LET(
    _xlpm.CSVVal, _xlfn.XLOOKUP($A322, CSV!$A:$A, CSV!AF:AF, ""),
    _xlpm.MacVal, _xlfn.XLOOKUP($A322, Output_Mac!$A:$A, Output_Mac!S:S, ""),
    _xlpm.MyAuditVal, _xlfn.XLOOKUP($A322, My_Audit!$A:$A, My_Audit!P:P, ""),
    _xlfn.TEXTJOIN(", ", TRUE, _xlpm.MyAuditVal, _xlpm.MacVal, _xlpm.CSVVal)
)</f>
        <v/>
      </c>
      <c r="P322" s="2" t="str" cm="1">
        <f t="array" ref="P322">IFERROR(_xlfn.LET(
_xlpm.CSVVal,_xlfn.XLOOKUP($A322,CSV!$A:$A,CSV!AG:AG,""),
_xlpm.MacVal,_xlfn.XLOOKUP($A322,Output_Mac!$A:$A,Output_Mac!T:T,""),
_xlpm.MyAuditVal,_xlfn.XLOOKUP($A322,My_Audit!$A:$A,My_Audit!Q:Q,""),
_xlfn.IFS(_xlpm.MyAuditVal&lt;&gt;"",UPPER(_xlpm.MyAuditVal),_xlpm.MacVal&lt;&gt;"",_xlpm.MacVal,_xlpm.CSVVal&lt;&gt;"",_xlpm.CSVVal
)),"No")</f>
        <v>No</v>
      </c>
      <c r="Q322" s="2" t="str" cm="1">
        <f t="array" ref="Q322">IFERROR(_xlfn.LET(
_xlpm.CSVVal,_xlfn.XLOOKUP($A322,CSV!$A:$A,CSV!AH:AH,""),
_xlpm.MacVal,_xlfn.XLOOKUP($A322,Output_Mac!$A:$A,Output_Mac!U:U,""),
_xlpm.MyAuditVal,_xlfn.XLOOKUP($A322,My_Audit!$A:$A,My_Audit!R:R,""),
_xlfn.IFS(_xlpm.MyAuditVal&lt;&gt;"",UPPER(_xlpm.MyAuditVal),_xlpm.MacVal&lt;&gt;"",_xlpm.MacVal,_xlpm.CSVVal&lt;&gt;"",_xlpm.CSVVal
)),"")</f>
        <v/>
      </c>
    </row>
    <row r="323" spans="1:17">
      <c r="A323" s="2" t="str">
        <f>_xlfn.TEXTJOIN("",TRUE,Input!$B$2,ROW(My_Audit!A322))</f>
        <v>XX322</v>
      </c>
      <c r="B323" s="2" t="str">
        <f>_xlfn.TEXTJOIN("-",TRUE,"ITD",Input!$A$2,A323)</f>
        <v>ITD-SHRXXX-XX322</v>
      </c>
      <c r="C323" s="2" t="str" cm="1">
        <f t="array" ref="C323">IFERROR(_xlfn.LET(
_xlpm.CSVVal,_xlfn.XLOOKUP($A323,CSV!$A:$A,CSV!B:B,""),
_xlpm.MacVal,_xlfn.XLOOKUP($A323,Output_Mac!$A:$A,Output_Mac!B:B,""),
_xlpm.MyAuditVal,_xlfn.XLOOKUP($A323,My_Audit!$A:$A,My_Audit!B:B,""),
_xlfn.IFS(_xlpm.MyAuditVal&lt;&gt;"",UPPER(_xlpm.MyAuditVal),_xlpm.MacVal&lt;&gt;"",_xlpm.MacVal,_xlpm.CSVVal&lt;&gt;"",_xlpm.CSVVal
)),"")</f>
        <v/>
      </c>
      <c r="D323" s="2" t="str" cm="1">
        <f t="array" ref="D323">IFERROR(_xlfn.LET(
_xlpm.CSVVal,_xlfn.XLOOKUP($A323,CSV!$A:$A,CSV!D:D,""),
_xlpm.MacVal,_xlfn.XLOOKUP($A323,Output_Mac!$A:$A,Output_Mac!C:C,""),
_xlpm.MyAuditVal,_xlfn.XLOOKUP($A323,My_Audit!$A:$A,My_Audit!C:C,""),
_xlfn.IFS(_xlpm.MyAuditVal&lt;&gt;"",_xlpm.MyAuditVal,_xlpm.MacVal&lt;&gt;"",_xlpm.MacVal,_xlpm.CSVVal&lt;&gt;"",_xlpm.CSVVal
)),"")</f>
        <v/>
      </c>
      <c r="E323" s="2" t="str">
        <f>_xlfn.XLOOKUP(A323,My_Audit!A:A,My_Audit!D:D,"")&amp;""</f>
        <v/>
      </c>
      <c r="F323" s="2" t="str" cm="1">
        <f t="array" ref="F323">IFERROR(_xlfn.LET(
_xlpm.CSVVal,_xlfn.XLOOKUP($A323,CSV!$A:$A,CSV!F:F,""),
_xlpm.MacVal,_xlfn.XLOOKUP($A323,Output_Mac!$A:$A,Output_Mac!E:E,""),
_xlpm.MyAuditVal,_xlfn.XLOOKUP($A323,My_Audit!$A:$A,My_Audit!E:E,""),
_xlfn.IFS(_xlpm.MyAuditVal&lt;&gt;"",_xlpm.MyAuditVal,_xlpm.MacVal&lt;&gt;"",_xlpm.MacVal,_xlpm.CSVVal&lt;&gt;"",_xlpm.CSVVal
)),"")</f>
        <v/>
      </c>
      <c r="G323" s="2" t="str" cm="1">
        <f t="array" ref="G323">IFERROR(_xlfn.LET(
_xlpm.CSVVal,_xlfn.XLOOKUP($A323,CSV!$A:$A,CSV!G:G,""),
_xlpm.MacVal,_xlfn.XLOOKUP($A323,Output_Mac!$A:$A,Output_Mac!F:F,""),
_xlpm.MyAuditVal,_xlfn.XLOOKUP($A323,My_Audit!$A:$A,My_Audit!F:F,""),
_xlfn.IFS(_xlpm.MyAuditVal&lt;&gt;"",_xlpm.MyAuditVal,_xlpm.MacVal&lt;&gt;"",_xlpm.MacVal,_xlpm.CSVVal&lt;&gt;"",PROPER(_xlpm.CSVVal)
)),"")</f>
        <v/>
      </c>
      <c r="H323" s="2" t="str" cm="1">
        <f t="array" ref="H323">IFERROR(_xlfn.LET(
_xlpm.CSVVal,_xlfn.XLOOKUP($A323,CSV!$A:$A,CSV!H:H,""),
_xlpm.MacVal,_xlfn.XLOOKUP($A323,Output_Mac!$A:$A,Output_Mac!H:H,""),
_xlpm.MyAuditVal,_xlfn.XLOOKUP($A323,My_Audit!$A:$A,My_Audit!G:G,""),
_xlfn.IFS(_xlpm.MyAuditVal&lt;&gt;"",_xlpm.MyAuditVal,_xlpm.MacVal&lt;&gt;"",_xlpm.MacVal,_xlpm.CSVVal&lt;&gt;"",_xlpm.CSVVal
)),"")</f>
        <v/>
      </c>
      <c r="I323" s="2" t="str">
        <f>_xlfn.XLOOKUP(A323,Output_Mac!A:A,Output_Mac!I:I,"")</f>
        <v/>
      </c>
      <c r="J323" s="2" t="str" cm="1">
        <f t="array" ref="J323">IFERROR(_xlfn.LET(
_xlpm.CSVVal,_xlfn.XLOOKUP($A323,CSV!$A:$A,CSV!I:I,""),
_xlpm.MacVal,_xlfn.XLOOKUP($A323,Output_Mac!$A:$A,Output_Mac!J:J,""),
_xlpm.MyAuditVal,_xlfn.XLOOKUP($A323,My_Audit!$A:$A,My_Audit!I:I,""),
_xlfn.IFS(_xlpm.MyAuditVal&lt;&gt;"",UPPER(_xlpm.MyAuditVal),_xlpm.MacVal&lt;&gt;"",_xlpm.MacVal,_xlpm.CSVVal&lt;&gt;"",_xlpm.CSVVal
)),"")</f>
        <v/>
      </c>
      <c r="K323" s="2" t="str" cm="1">
        <f t="array" ref="K323">IFERROR(_xlfn.LET(
_xlpm.CSVVal,_xlfn.XLOOKUP($A323,CSV!$A:$A,CSV!K:K,""),
_xlpm.MacVal,_xlfn.XLOOKUP($A323,Output_Mac!$A:$A,Output_Mac!K:K,""),
_xlpm.MyAuditVal,_xlfn.XLOOKUP($A323,My_Audit!$A:$A,My_Audit!J:J,""),
_xlfn.IFS(_xlpm.MyAuditVal&lt;&gt;"",UPPER(_xlpm.MyAuditVal),_xlpm.MacVal&lt;&gt;"",_xlpm.MacVal,_xlpm.CSVVal&lt;&gt;"",_xlpm.CSVVal
)),"")</f>
        <v/>
      </c>
      <c r="L323" s="2" t="str" cm="1">
        <f t="array" ref="L323">IFERROR(_xlfn.LET(
_xlpm.CSVVal,_xlfn.XLOOKUP($A323,CSV!$A:$A,CSV!P:P,""),
_xlpm.MacVal,_xlfn.XLOOKUP($A323,Output_Mac!$A:$A,Output_Mac!L:L,""),
_xlpm.MyAuditVal,_xlfn.XLOOKUP($A323,My_Audit!$A:$A,My_Audit!K:K,""),
_xlfn.IFS(_xlpm.MyAuditVal&lt;&gt;"",UPPER(_xlpm.MyAuditVal),_xlpm.MacVal&lt;&gt;"",_xlpm.MacVal,_xlpm.CSVVal&lt;&gt;"",_xlpm.CSVVal
)),"")</f>
        <v/>
      </c>
      <c r="M323" s="2" t="str" cm="1">
        <f t="array" ref="M323">IFERROR(_xlfn.LET(
_xlpm.CSVVal,_xlfn.XLOOKUP($A323,CSV!$A:$A,CSV!Q:Q,""),
_xlpm.MacVal,_xlfn.XLOOKUP($A323,Output_Mac!$A:$A,Output_Mac!M:M,""),
_xlpm.MyAuditVal,_xlfn.XLOOKUP($A323,My_Audit!$A:$A,My_Audit!L:L,""),
_xlfn.IFS(_xlpm.MyAuditVal&lt;&gt;"",UPPER(_xlpm.MyAuditVal),_xlpm.MacVal&lt;&gt;"",_xlpm.MacVal,_xlpm.CSVVal&lt;&gt;"",_xlpm.CSVVal
)),"")</f>
        <v/>
      </c>
      <c r="O323" s="2" t="str">
        <f>_xlfn.LET(
    _xlpm.CSVVal, _xlfn.XLOOKUP($A323, CSV!$A:$A, CSV!AF:AF, ""),
    _xlpm.MacVal, _xlfn.XLOOKUP($A323, Output_Mac!$A:$A, Output_Mac!S:S, ""),
    _xlpm.MyAuditVal, _xlfn.XLOOKUP($A323, My_Audit!$A:$A, My_Audit!P:P, ""),
    _xlfn.TEXTJOIN(", ", TRUE, _xlpm.MyAuditVal, _xlpm.MacVal, _xlpm.CSVVal)
)</f>
        <v/>
      </c>
      <c r="P323" s="2" t="str" cm="1">
        <f t="array" ref="P323">IFERROR(_xlfn.LET(
_xlpm.CSVVal,_xlfn.XLOOKUP($A323,CSV!$A:$A,CSV!AG:AG,""),
_xlpm.MacVal,_xlfn.XLOOKUP($A323,Output_Mac!$A:$A,Output_Mac!T:T,""),
_xlpm.MyAuditVal,_xlfn.XLOOKUP($A323,My_Audit!$A:$A,My_Audit!Q:Q,""),
_xlfn.IFS(_xlpm.MyAuditVal&lt;&gt;"",UPPER(_xlpm.MyAuditVal),_xlpm.MacVal&lt;&gt;"",_xlpm.MacVal,_xlpm.CSVVal&lt;&gt;"",_xlpm.CSVVal
)),"No")</f>
        <v>No</v>
      </c>
      <c r="Q323" s="2" t="str" cm="1">
        <f t="array" ref="Q323">IFERROR(_xlfn.LET(
_xlpm.CSVVal,_xlfn.XLOOKUP($A323,CSV!$A:$A,CSV!AH:AH,""),
_xlpm.MacVal,_xlfn.XLOOKUP($A323,Output_Mac!$A:$A,Output_Mac!U:U,""),
_xlpm.MyAuditVal,_xlfn.XLOOKUP($A323,My_Audit!$A:$A,My_Audit!R:R,""),
_xlfn.IFS(_xlpm.MyAuditVal&lt;&gt;"",UPPER(_xlpm.MyAuditVal),_xlpm.MacVal&lt;&gt;"",_xlpm.MacVal,_xlpm.CSVVal&lt;&gt;"",_xlpm.CSVVal
)),"")</f>
        <v/>
      </c>
    </row>
    <row r="324" spans="1:17">
      <c r="A324" s="2" t="str">
        <f>_xlfn.TEXTJOIN("",TRUE,Input!$B$2,ROW(My_Audit!A323))</f>
        <v>XX323</v>
      </c>
      <c r="B324" s="2" t="str">
        <f>_xlfn.TEXTJOIN("-",TRUE,"ITD",Input!$A$2,A324)</f>
        <v>ITD-SHRXXX-XX323</v>
      </c>
      <c r="C324" s="2" t="str" cm="1">
        <f t="array" ref="C324">IFERROR(_xlfn.LET(
_xlpm.CSVVal,_xlfn.XLOOKUP($A324,CSV!$A:$A,CSV!B:B,""),
_xlpm.MacVal,_xlfn.XLOOKUP($A324,Output_Mac!$A:$A,Output_Mac!B:B,""),
_xlpm.MyAuditVal,_xlfn.XLOOKUP($A324,My_Audit!$A:$A,My_Audit!B:B,""),
_xlfn.IFS(_xlpm.MyAuditVal&lt;&gt;"",UPPER(_xlpm.MyAuditVal),_xlpm.MacVal&lt;&gt;"",_xlpm.MacVal,_xlpm.CSVVal&lt;&gt;"",_xlpm.CSVVal
)),"")</f>
        <v/>
      </c>
      <c r="D324" s="2" t="str" cm="1">
        <f t="array" ref="D324">IFERROR(_xlfn.LET(
_xlpm.CSVVal,_xlfn.XLOOKUP($A324,CSV!$A:$A,CSV!D:D,""),
_xlpm.MacVal,_xlfn.XLOOKUP($A324,Output_Mac!$A:$A,Output_Mac!C:C,""),
_xlpm.MyAuditVal,_xlfn.XLOOKUP($A324,My_Audit!$A:$A,My_Audit!C:C,""),
_xlfn.IFS(_xlpm.MyAuditVal&lt;&gt;"",_xlpm.MyAuditVal,_xlpm.MacVal&lt;&gt;"",_xlpm.MacVal,_xlpm.CSVVal&lt;&gt;"",_xlpm.CSVVal
)),"")</f>
        <v/>
      </c>
      <c r="E324" s="2" t="str">
        <f>_xlfn.XLOOKUP(A324,My_Audit!A:A,My_Audit!D:D,"")&amp;""</f>
        <v/>
      </c>
      <c r="F324" s="2" t="str" cm="1">
        <f t="array" ref="F324">IFERROR(_xlfn.LET(
_xlpm.CSVVal,_xlfn.XLOOKUP($A324,CSV!$A:$A,CSV!F:F,""),
_xlpm.MacVal,_xlfn.XLOOKUP($A324,Output_Mac!$A:$A,Output_Mac!E:E,""),
_xlpm.MyAuditVal,_xlfn.XLOOKUP($A324,My_Audit!$A:$A,My_Audit!E:E,""),
_xlfn.IFS(_xlpm.MyAuditVal&lt;&gt;"",_xlpm.MyAuditVal,_xlpm.MacVal&lt;&gt;"",_xlpm.MacVal,_xlpm.CSVVal&lt;&gt;"",_xlpm.CSVVal
)),"")</f>
        <v/>
      </c>
      <c r="G324" s="2" t="str" cm="1">
        <f t="array" ref="G324">IFERROR(_xlfn.LET(
_xlpm.CSVVal,_xlfn.XLOOKUP($A324,CSV!$A:$A,CSV!G:G,""),
_xlpm.MacVal,_xlfn.XLOOKUP($A324,Output_Mac!$A:$A,Output_Mac!F:F,""),
_xlpm.MyAuditVal,_xlfn.XLOOKUP($A324,My_Audit!$A:$A,My_Audit!F:F,""),
_xlfn.IFS(_xlpm.MyAuditVal&lt;&gt;"",_xlpm.MyAuditVal,_xlpm.MacVal&lt;&gt;"",_xlpm.MacVal,_xlpm.CSVVal&lt;&gt;"",PROPER(_xlpm.CSVVal)
)),"")</f>
        <v/>
      </c>
      <c r="H324" s="2" t="str" cm="1">
        <f t="array" ref="H324">IFERROR(_xlfn.LET(
_xlpm.CSVVal,_xlfn.XLOOKUP($A324,CSV!$A:$A,CSV!H:H,""),
_xlpm.MacVal,_xlfn.XLOOKUP($A324,Output_Mac!$A:$A,Output_Mac!H:H,""),
_xlpm.MyAuditVal,_xlfn.XLOOKUP($A324,My_Audit!$A:$A,My_Audit!G:G,""),
_xlfn.IFS(_xlpm.MyAuditVal&lt;&gt;"",_xlpm.MyAuditVal,_xlpm.MacVal&lt;&gt;"",_xlpm.MacVal,_xlpm.CSVVal&lt;&gt;"",_xlpm.CSVVal
)),"")</f>
        <v/>
      </c>
      <c r="I324" s="2" t="str">
        <f>_xlfn.XLOOKUP(A324,Output_Mac!A:A,Output_Mac!I:I,"")</f>
        <v/>
      </c>
      <c r="J324" s="2" t="str" cm="1">
        <f t="array" ref="J324">IFERROR(_xlfn.LET(
_xlpm.CSVVal,_xlfn.XLOOKUP($A324,CSV!$A:$A,CSV!I:I,""),
_xlpm.MacVal,_xlfn.XLOOKUP($A324,Output_Mac!$A:$A,Output_Mac!J:J,""),
_xlpm.MyAuditVal,_xlfn.XLOOKUP($A324,My_Audit!$A:$A,My_Audit!I:I,""),
_xlfn.IFS(_xlpm.MyAuditVal&lt;&gt;"",UPPER(_xlpm.MyAuditVal),_xlpm.MacVal&lt;&gt;"",_xlpm.MacVal,_xlpm.CSVVal&lt;&gt;"",_xlpm.CSVVal
)),"")</f>
        <v/>
      </c>
      <c r="K324" s="2" t="str" cm="1">
        <f t="array" ref="K324">IFERROR(_xlfn.LET(
_xlpm.CSVVal,_xlfn.XLOOKUP($A324,CSV!$A:$A,CSV!K:K,""),
_xlpm.MacVal,_xlfn.XLOOKUP($A324,Output_Mac!$A:$A,Output_Mac!K:K,""),
_xlpm.MyAuditVal,_xlfn.XLOOKUP($A324,My_Audit!$A:$A,My_Audit!J:J,""),
_xlfn.IFS(_xlpm.MyAuditVal&lt;&gt;"",UPPER(_xlpm.MyAuditVal),_xlpm.MacVal&lt;&gt;"",_xlpm.MacVal,_xlpm.CSVVal&lt;&gt;"",_xlpm.CSVVal
)),"")</f>
        <v/>
      </c>
      <c r="L324" s="2" t="str" cm="1">
        <f t="array" ref="L324">IFERROR(_xlfn.LET(
_xlpm.CSVVal,_xlfn.XLOOKUP($A324,CSV!$A:$A,CSV!P:P,""),
_xlpm.MacVal,_xlfn.XLOOKUP($A324,Output_Mac!$A:$A,Output_Mac!L:L,""),
_xlpm.MyAuditVal,_xlfn.XLOOKUP($A324,My_Audit!$A:$A,My_Audit!K:K,""),
_xlfn.IFS(_xlpm.MyAuditVal&lt;&gt;"",UPPER(_xlpm.MyAuditVal),_xlpm.MacVal&lt;&gt;"",_xlpm.MacVal,_xlpm.CSVVal&lt;&gt;"",_xlpm.CSVVal
)),"")</f>
        <v/>
      </c>
      <c r="M324" s="2" t="str" cm="1">
        <f t="array" ref="M324">IFERROR(_xlfn.LET(
_xlpm.CSVVal,_xlfn.XLOOKUP($A324,CSV!$A:$A,CSV!Q:Q,""),
_xlpm.MacVal,_xlfn.XLOOKUP($A324,Output_Mac!$A:$A,Output_Mac!M:M,""),
_xlpm.MyAuditVal,_xlfn.XLOOKUP($A324,My_Audit!$A:$A,My_Audit!L:L,""),
_xlfn.IFS(_xlpm.MyAuditVal&lt;&gt;"",UPPER(_xlpm.MyAuditVal),_xlpm.MacVal&lt;&gt;"",_xlpm.MacVal,_xlpm.CSVVal&lt;&gt;"",_xlpm.CSVVal
)),"")</f>
        <v/>
      </c>
      <c r="O324" s="2" t="str">
        <f>_xlfn.LET(
    _xlpm.CSVVal, _xlfn.XLOOKUP($A324, CSV!$A:$A, CSV!AF:AF, ""),
    _xlpm.MacVal, _xlfn.XLOOKUP($A324, Output_Mac!$A:$A, Output_Mac!S:S, ""),
    _xlpm.MyAuditVal, _xlfn.XLOOKUP($A324, My_Audit!$A:$A, My_Audit!P:P, ""),
    _xlfn.TEXTJOIN(", ", TRUE, _xlpm.MyAuditVal, _xlpm.MacVal, _xlpm.CSVVal)
)</f>
        <v/>
      </c>
      <c r="P324" s="2" t="str" cm="1">
        <f t="array" ref="P324">IFERROR(_xlfn.LET(
_xlpm.CSVVal,_xlfn.XLOOKUP($A324,CSV!$A:$A,CSV!AG:AG,""),
_xlpm.MacVal,_xlfn.XLOOKUP($A324,Output_Mac!$A:$A,Output_Mac!T:T,""),
_xlpm.MyAuditVal,_xlfn.XLOOKUP($A324,My_Audit!$A:$A,My_Audit!Q:Q,""),
_xlfn.IFS(_xlpm.MyAuditVal&lt;&gt;"",UPPER(_xlpm.MyAuditVal),_xlpm.MacVal&lt;&gt;"",_xlpm.MacVal,_xlpm.CSVVal&lt;&gt;"",_xlpm.CSVVal
)),"No")</f>
        <v>No</v>
      </c>
      <c r="Q324" s="2" t="str" cm="1">
        <f t="array" ref="Q324">IFERROR(_xlfn.LET(
_xlpm.CSVVal,_xlfn.XLOOKUP($A324,CSV!$A:$A,CSV!AH:AH,""),
_xlpm.MacVal,_xlfn.XLOOKUP($A324,Output_Mac!$A:$A,Output_Mac!U:U,""),
_xlpm.MyAuditVal,_xlfn.XLOOKUP($A324,My_Audit!$A:$A,My_Audit!R:R,""),
_xlfn.IFS(_xlpm.MyAuditVal&lt;&gt;"",UPPER(_xlpm.MyAuditVal),_xlpm.MacVal&lt;&gt;"",_xlpm.MacVal,_xlpm.CSVVal&lt;&gt;"",_xlpm.CSVVal
)),"")</f>
        <v/>
      </c>
    </row>
    <row r="325" spans="1:17">
      <c r="A325" s="2" t="str">
        <f>_xlfn.TEXTJOIN("",TRUE,Input!$B$2,ROW(My_Audit!A324))</f>
        <v>XX324</v>
      </c>
      <c r="B325" s="2" t="str">
        <f>_xlfn.TEXTJOIN("-",TRUE,"ITD",Input!$A$2,A325)</f>
        <v>ITD-SHRXXX-XX324</v>
      </c>
      <c r="C325" s="2" t="str" cm="1">
        <f t="array" ref="C325">IFERROR(_xlfn.LET(
_xlpm.CSVVal,_xlfn.XLOOKUP($A325,CSV!$A:$A,CSV!B:B,""),
_xlpm.MacVal,_xlfn.XLOOKUP($A325,Output_Mac!$A:$A,Output_Mac!B:B,""),
_xlpm.MyAuditVal,_xlfn.XLOOKUP($A325,My_Audit!$A:$A,My_Audit!B:B,""),
_xlfn.IFS(_xlpm.MyAuditVal&lt;&gt;"",UPPER(_xlpm.MyAuditVal),_xlpm.MacVal&lt;&gt;"",_xlpm.MacVal,_xlpm.CSVVal&lt;&gt;"",_xlpm.CSVVal
)),"")</f>
        <v/>
      </c>
      <c r="D325" s="2" t="str" cm="1">
        <f t="array" ref="D325">IFERROR(_xlfn.LET(
_xlpm.CSVVal,_xlfn.XLOOKUP($A325,CSV!$A:$A,CSV!D:D,""),
_xlpm.MacVal,_xlfn.XLOOKUP($A325,Output_Mac!$A:$A,Output_Mac!C:C,""),
_xlpm.MyAuditVal,_xlfn.XLOOKUP($A325,My_Audit!$A:$A,My_Audit!C:C,""),
_xlfn.IFS(_xlpm.MyAuditVal&lt;&gt;"",_xlpm.MyAuditVal,_xlpm.MacVal&lt;&gt;"",_xlpm.MacVal,_xlpm.CSVVal&lt;&gt;"",_xlpm.CSVVal
)),"")</f>
        <v/>
      </c>
      <c r="E325" s="2" t="str">
        <f>_xlfn.XLOOKUP(A325,My_Audit!A:A,My_Audit!D:D,"")&amp;""</f>
        <v/>
      </c>
      <c r="F325" s="2" t="str" cm="1">
        <f t="array" ref="F325">IFERROR(_xlfn.LET(
_xlpm.CSVVal,_xlfn.XLOOKUP($A325,CSV!$A:$A,CSV!F:F,""),
_xlpm.MacVal,_xlfn.XLOOKUP($A325,Output_Mac!$A:$A,Output_Mac!E:E,""),
_xlpm.MyAuditVal,_xlfn.XLOOKUP($A325,My_Audit!$A:$A,My_Audit!E:E,""),
_xlfn.IFS(_xlpm.MyAuditVal&lt;&gt;"",_xlpm.MyAuditVal,_xlpm.MacVal&lt;&gt;"",_xlpm.MacVal,_xlpm.CSVVal&lt;&gt;"",_xlpm.CSVVal
)),"")</f>
        <v/>
      </c>
      <c r="G325" s="2" t="str" cm="1">
        <f t="array" ref="G325">IFERROR(_xlfn.LET(
_xlpm.CSVVal,_xlfn.XLOOKUP($A325,CSV!$A:$A,CSV!G:G,""),
_xlpm.MacVal,_xlfn.XLOOKUP($A325,Output_Mac!$A:$A,Output_Mac!F:F,""),
_xlpm.MyAuditVal,_xlfn.XLOOKUP($A325,My_Audit!$A:$A,My_Audit!F:F,""),
_xlfn.IFS(_xlpm.MyAuditVal&lt;&gt;"",_xlpm.MyAuditVal,_xlpm.MacVal&lt;&gt;"",_xlpm.MacVal,_xlpm.CSVVal&lt;&gt;"",PROPER(_xlpm.CSVVal)
)),"")</f>
        <v/>
      </c>
      <c r="H325" s="2" t="str" cm="1">
        <f t="array" ref="H325">IFERROR(_xlfn.LET(
_xlpm.CSVVal,_xlfn.XLOOKUP($A325,CSV!$A:$A,CSV!H:H,""),
_xlpm.MacVal,_xlfn.XLOOKUP($A325,Output_Mac!$A:$A,Output_Mac!H:H,""),
_xlpm.MyAuditVal,_xlfn.XLOOKUP($A325,My_Audit!$A:$A,My_Audit!G:G,""),
_xlfn.IFS(_xlpm.MyAuditVal&lt;&gt;"",_xlpm.MyAuditVal,_xlpm.MacVal&lt;&gt;"",_xlpm.MacVal,_xlpm.CSVVal&lt;&gt;"",_xlpm.CSVVal
)),"")</f>
        <v/>
      </c>
      <c r="I325" s="2" t="str">
        <f>_xlfn.XLOOKUP(A325,Output_Mac!A:A,Output_Mac!I:I,"")</f>
        <v/>
      </c>
      <c r="J325" s="2" t="str" cm="1">
        <f t="array" ref="J325">IFERROR(_xlfn.LET(
_xlpm.CSVVal,_xlfn.XLOOKUP($A325,CSV!$A:$A,CSV!I:I,""),
_xlpm.MacVal,_xlfn.XLOOKUP($A325,Output_Mac!$A:$A,Output_Mac!J:J,""),
_xlpm.MyAuditVal,_xlfn.XLOOKUP($A325,My_Audit!$A:$A,My_Audit!I:I,""),
_xlfn.IFS(_xlpm.MyAuditVal&lt;&gt;"",UPPER(_xlpm.MyAuditVal),_xlpm.MacVal&lt;&gt;"",_xlpm.MacVal,_xlpm.CSVVal&lt;&gt;"",_xlpm.CSVVal
)),"")</f>
        <v/>
      </c>
      <c r="K325" s="2" t="str" cm="1">
        <f t="array" ref="K325">IFERROR(_xlfn.LET(
_xlpm.CSVVal,_xlfn.XLOOKUP($A325,CSV!$A:$A,CSV!K:K,""),
_xlpm.MacVal,_xlfn.XLOOKUP($A325,Output_Mac!$A:$A,Output_Mac!K:K,""),
_xlpm.MyAuditVal,_xlfn.XLOOKUP($A325,My_Audit!$A:$A,My_Audit!J:J,""),
_xlfn.IFS(_xlpm.MyAuditVal&lt;&gt;"",UPPER(_xlpm.MyAuditVal),_xlpm.MacVal&lt;&gt;"",_xlpm.MacVal,_xlpm.CSVVal&lt;&gt;"",_xlpm.CSVVal
)),"")</f>
        <v/>
      </c>
      <c r="L325" s="2" t="str" cm="1">
        <f t="array" ref="L325">IFERROR(_xlfn.LET(
_xlpm.CSVVal,_xlfn.XLOOKUP($A325,CSV!$A:$A,CSV!P:P,""),
_xlpm.MacVal,_xlfn.XLOOKUP($A325,Output_Mac!$A:$A,Output_Mac!L:L,""),
_xlpm.MyAuditVal,_xlfn.XLOOKUP($A325,My_Audit!$A:$A,My_Audit!K:K,""),
_xlfn.IFS(_xlpm.MyAuditVal&lt;&gt;"",UPPER(_xlpm.MyAuditVal),_xlpm.MacVal&lt;&gt;"",_xlpm.MacVal,_xlpm.CSVVal&lt;&gt;"",_xlpm.CSVVal
)),"")</f>
        <v/>
      </c>
      <c r="M325" s="2" t="str" cm="1">
        <f t="array" ref="M325">IFERROR(_xlfn.LET(
_xlpm.CSVVal,_xlfn.XLOOKUP($A325,CSV!$A:$A,CSV!Q:Q,""),
_xlpm.MacVal,_xlfn.XLOOKUP($A325,Output_Mac!$A:$A,Output_Mac!M:M,""),
_xlpm.MyAuditVal,_xlfn.XLOOKUP($A325,My_Audit!$A:$A,My_Audit!L:L,""),
_xlfn.IFS(_xlpm.MyAuditVal&lt;&gt;"",UPPER(_xlpm.MyAuditVal),_xlpm.MacVal&lt;&gt;"",_xlpm.MacVal,_xlpm.CSVVal&lt;&gt;"",_xlpm.CSVVal
)),"")</f>
        <v/>
      </c>
      <c r="O325" s="2" t="str">
        <f>_xlfn.LET(
    _xlpm.CSVVal, _xlfn.XLOOKUP($A325, CSV!$A:$A, CSV!AF:AF, ""),
    _xlpm.MacVal, _xlfn.XLOOKUP($A325, Output_Mac!$A:$A, Output_Mac!S:S, ""),
    _xlpm.MyAuditVal, _xlfn.XLOOKUP($A325, My_Audit!$A:$A, My_Audit!P:P, ""),
    _xlfn.TEXTJOIN(", ", TRUE, _xlpm.MyAuditVal, _xlpm.MacVal, _xlpm.CSVVal)
)</f>
        <v/>
      </c>
      <c r="P325" s="2" t="str" cm="1">
        <f t="array" ref="P325">IFERROR(_xlfn.LET(
_xlpm.CSVVal,_xlfn.XLOOKUP($A325,CSV!$A:$A,CSV!AG:AG,""),
_xlpm.MacVal,_xlfn.XLOOKUP($A325,Output_Mac!$A:$A,Output_Mac!T:T,""),
_xlpm.MyAuditVal,_xlfn.XLOOKUP($A325,My_Audit!$A:$A,My_Audit!Q:Q,""),
_xlfn.IFS(_xlpm.MyAuditVal&lt;&gt;"",UPPER(_xlpm.MyAuditVal),_xlpm.MacVal&lt;&gt;"",_xlpm.MacVal,_xlpm.CSVVal&lt;&gt;"",_xlpm.CSVVal
)),"No")</f>
        <v>No</v>
      </c>
      <c r="Q325" s="2" t="str" cm="1">
        <f t="array" ref="Q325">IFERROR(_xlfn.LET(
_xlpm.CSVVal,_xlfn.XLOOKUP($A325,CSV!$A:$A,CSV!AH:AH,""),
_xlpm.MacVal,_xlfn.XLOOKUP($A325,Output_Mac!$A:$A,Output_Mac!U:U,""),
_xlpm.MyAuditVal,_xlfn.XLOOKUP($A325,My_Audit!$A:$A,My_Audit!R:R,""),
_xlfn.IFS(_xlpm.MyAuditVal&lt;&gt;"",UPPER(_xlpm.MyAuditVal),_xlpm.MacVal&lt;&gt;"",_xlpm.MacVal,_xlpm.CSVVal&lt;&gt;"",_xlpm.CSVVal
)),"")</f>
        <v/>
      </c>
    </row>
    <row r="326" spans="1:17">
      <c r="A326" s="2" t="str">
        <f>_xlfn.TEXTJOIN("",TRUE,Input!$B$2,ROW(My_Audit!A325))</f>
        <v>XX325</v>
      </c>
      <c r="B326" s="2" t="str">
        <f>_xlfn.TEXTJOIN("-",TRUE,"ITD",Input!$A$2,A326)</f>
        <v>ITD-SHRXXX-XX325</v>
      </c>
      <c r="C326" s="2" t="str" cm="1">
        <f t="array" ref="C326">IFERROR(_xlfn.LET(
_xlpm.CSVVal,_xlfn.XLOOKUP($A326,CSV!$A:$A,CSV!B:B,""),
_xlpm.MacVal,_xlfn.XLOOKUP($A326,Output_Mac!$A:$A,Output_Mac!B:B,""),
_xlpm.MyAuditVal,_xlfn.XLOOKUP($A326,My_Audit!$A:$A,My_Audit!B:B,""),
_xlfn.IFS(_xlpm.MyAuditVal&lt;&gt;"",UPPER(_xlpm.MyAuditVal),_xlpm.MacVal&lt;&gt;"",_xlpm.MacVal,_xlpm.CSVVal&lt;&gt;"",_xlpm.CSVVal
)),"")</f>
        <v/>
      </c>
      <c r="D326" s="2" t="str" cm="1">
        <f t="array" ref="D326">IFERROR(_xlfn.LET(
_xlpm.CSVVal,_xlfn.XLOOKUP($A326,CSV!$A:$A,CSV!D:D,""),
_xlpm.MacVal,_xlfn.XLOOKUP($A326,Output_Mac!$A:$A,Output_Mac!C:C,""),
_xlpm.MyAuditVal,_xlfn.XLOOKUP($A326,My_Audit!$A:$A,My_Audit!C:C,""),
_xlfn.IFS(_xlpm.MyAuditVal&lt;&gt;"",_xlpm.MyAuditVal,_xlpm.MacVal&lt;&gt;"",_xlpm.MacVal,_xlpm.CSVVal&lt;&gt;"",_xlpm.CSVVal
)),"")</f>
        <v/>
      </c>
      <c r="E326" s="2" t="str">
        <f>_xlfn.XLOOKUP(A326,My_Audit!A:A,My_Audit!D:D,"")&amp;""</f>
        <v/>
      </c>
      <c r="F326" s="2" t="str" cm="1">
        <f t="array" ref="F326">IFERROR(_xlfn.LET(
_xlpm.CSVVal,_xlfn.XLOOKUP($A326,CSV!$A:$A,CSV!F:F,""),
_xlpm.MacVal,_xlfn.XLOOKUP($A326,Output_Mac!$A:$A,Output_Mac!E:E,""),
_xlpm.MyAuditVal,_xlfn.XLOOKUP($A326,My_Audit!$A:$A,My_Audit!E:E,""),
_xlfn.IFS(_xlpm.MyAuditVal&lt;&gt;"",_xlpm.MyAuditVal,_xlpm.MacVal&lt;&gt;"",_xlpm.MacVal,_xlpm.CSVVal&lt;&gt;"",_xlpm.CSVVal
)),"")</f>
        <v/>
      </c>
      <c r="G326" s="2" t="str" cm="1">
        <f t="array" ref="G326">IFERROR(_xlfn.LET(
_xlpm.CSVVal,_xlfn.XLOOKUP($A326,CSV!$A:$A,CSV!G:G,""),
_xlpm.MacVal,_xlfn.XLOOKUP($A326,Output_Mac!$A:$A,Output_Mac!F:F,""),
_xlpm.MyAuditVal,_xlfn.XLOOKUP($A326,My_Audit!$A:$A,My_Audit!F:F,""),
_xlfn.IFS(_xlpm.MyAuditVal&lt;&gt;"",_xlpm.MyAuditVal,_xlpm.MacVal&lt;&gt;"",_xlpm.MacVal,_xlpm.CSVVal&lt;&gt;"",PROPER(_xlpm.CSVVal)
)),"")</f>
        <v/>
      </c>
      <c r="H326" s="2" t="str" cm="1">
        <f t="array" ref="H326">IFERROR(_xlfn.LET(
_xlpm.CSVVal,_xlfn.XLOOKUP($A326,CSV!$A:$A,CSV!H:H,""),
_xlpm.MacVal,_xlfn.XLOOKUP($A326,Output_Mac!$A:$A,Output_Mac!H:H,""),
_xlpm.MyAuditVal,_xlfn.XLOOKUP($A326,My_Audit!$A:$A,My_Audit!G:G,""),
_xlfn.IFS(_xlpm.MyAuditVal&lt;&gt;"",_xlpm.MyAuditVal,_xlpm.MacVal&lt;&gt;"",_xlpm.MacVal,_xlpm.CSVVal&lt;&gt;"",_xlpm.CSVVal
)),"")</f>
        <v/>
      </c>
      <c r="I326" s="2" t="str">
        <f>_xlfn.XLOOKUP(A326,Output_Mac!A:A,Output_Mac!I:I,"")</f>
        <v/>
      </c>
      <c r="J326" s="2" t="str" cm="1">
        <f t="array" ref="J326">IFERROR(_xlfn.LET(
_xlpm.CSVVal,_xlfn.XLOOKUP($A326,CSV!$A:$A,CSV!I:I,""),
_xlpm.MacVal,_xlfn.XLOOKUP($A326,Output_Mac!$A:$A,Output_Mac!J:J,""),
_xlpm.MyAuditVal,_xlfn.XLOOKUP($A326,My_Audit!$A:$A,My_Audit!I:I,""),
_xlfn.IFS(_xlpm.MyAuditVal&lt;&gt;"",UPPER(_xlpm.MyAuditVal),_xlpm.MacVal&lt;&gt;"",_xlpm.MacVal,_xlpm.CSVVal&lt;&gt;"",_xlpm.CSVVal
)),"")</f>
        <v/>
      </c>
      <c r="K326" s="2" t="str" cm="1">
        <f t="array" ref="K326">IFERROR(_xlfn.LET(
_xlpm.CSVVal,_xlfn.XLOOKUP($A326,CSV!$A:$A,CSV!K:K,""),
_xlpm.MacVal,_xlfn.XLOOKUP($A326,Output_Mac!$A:$A,Output_Mac!K:K,""),
_xlpm.MyAuditVal,_xlfn.XLOOKUP($A326,My_Audit!$A:$A,My_Audit!J:J,""),
_xlfn.IFS(_xlpm.MyAuditVal&lt;&gt;"",UPPER(_xlpm.MyAuditVal),_xlpm.MacVal&lt;&gt;"",_xlpm.MacVal,_xlpm.CSVVal&lt;&gt;"",_xlpm.CSVVal
)),"")</f>
        <v/>
      </c>
      <c r="L326" s="2" t="str" cm="1">
        <f t="array" ref="L326">IFERROR(_xlfn.LET(
_xlpm.CSVVal,_xlfn.XLOOKUP($A326,CSV!$A:$A,CSV!P:P,""),
_xlpm.MacVal,_xlfn.XLOOKUP($A326,Output_Mac!$A:$A,Output_Mac!L:L,""),
_xlpm.MyAuditVal,_xlfn.XLOOKUP($A326,My_Audit!$A:$A,My_Audit!K:K,""),
_xlfn.IFS(_xlpm.MyAuditVal&lt;&gt;"",UPPER(_xlpm.MyAuditVal),_xlpm.MacVal&lt;&gt;"",_xlpm.MacVal,_xlpm.CSVVal&lt;&gt;"",_xlpm.CSVVal
)),"")</f>
        <v/>
      </c>
      <c r="M326" s="2" t="str" cm="1">
        <f t="array" ref="M326">IFERROR(_xlfn.LET(
_xlpm.CSVVal,_xlfn.XLOOKUP($A326,CSV!$A:$A,CSV!Q:Q,""),
_xlpm.MacVal,_xlfn.XLOOKUP($A326,Output_Mac!$A:$A,Output_Mac!M:M,""),
_xlpm.MyAuditVal,_xlfn.XLOOKUP($A326,My_Audit!$A:$A,My_Audit!L:L,""),
_xlfn.IFS(_xlpm.MyAuditVal&lt;&gt;"",UPPER(_xlpm.MyAuditVal),_xlpm.MacVal&lt;&gt;"",_xlpm.MacVal,_xlpm.CSVVal&lt;&gt;"",_xlpm.CSVVal
)),"")</f>
        <v/>
      </c>
      <c r="O326" s="2" t="str">
        <f>_xlfn.LET(
    _xlpm.CSVVal, _xlfn.XLOOKUP($A326, CSV!$A:$A, CSV!AF:AF, ""),
    _xlpm.MacVal, _xlfn.XLOOKUP($A326, Output_Mac!$A:$A, Output_Mac!S:S, ""),
    _xlpm.MyAuditVal, _xlfn.XLOOKUP($A326, My_Audit!$A:$A, My_Audit!P:P, ""),
    _xlfn.TEXTJOIN(", ", TRUE, _xlpm.MyAuditVal, _xlpm.MacVal, _xlpm.CSVVal)
)</f>
        <v/>
      </c>
      <c r="P326" s="2" t="str" cm="1">
        <f t="array" ref="P326">IFERROR(_xlfn.LET(
_xlpm.CSVVal,_xlfn.XLOOKUP($A326,CSV!$A:$A,CSV!AG:AG,""),
_xlpm.MacVal,_xlfn.XLOOKUP($A326,Output_Mac!$A:$A,Output_Mac!T:T,""),
_xlpm.MyAuditVal,_xlfn.XLOOKUP($A326,My_Audit!$A:$A,My_Audit!Q:Q,""),
_xlfn.IFS(_xlpm.MyAuditVal&lt;&gt;"",UPPER(_xlpm.MyAuditVal),_xlpm.MacVal&lt;&gt;"",_xlpm.MacVal,_xlpm.CSVVal&lt;&gt;"",_xlpm.CSVVal
)),"No")</f>
        <v>No</v>
      </c>
      <c r="Q326" s="2" t="str" cm="1">
        <f t="array" ref="Q326">IFERROR(_xlfn.LET(
_xlpm.CSVVal,_xlfn.XLOOKUP($A326,CSV!$A:$A,CSV!AH:AH,""),
_xlpm.MacVal,_xlfn.XLOOKUP($A326,Output_Mac!$A:$A,Output_Mac!U:U,""),
_xlpm.MyAuditVal,_xlfn.XLOOKUP($A326,My_Audit!$A:$A,My_Audit!R:R,""),
_xlfn.IFS(_xlpm.MyAuditVal&lt;&gt;"",UPPER(_xlpm.MyAuditVal),_xlpm.MacVal&lt;&gt;"",_xlpm.MacVal,_xlpm.CSVVal&lt;&gt;"",_xlpm.CSVVal
)),"")</f>
        <v/>
      </c>
    </row>
    <row r="327" spans="1:17">
      <c r="A327" s="2" t="str">
        <f>_xlfn.TEXTJOIN("",TRUE,Input!$B$2,ROW(My_Audit!A326))</f>
        <v>XX326</v>
      </c>
      <c r="B327" s="2" t="str">
        <f>_xlfn.TEXTJOIN("-",TRUE,"ITD",Input!$A$2,A327)</f>
        <v>ITD-SHRXXX-XX326</v>
      </c>
      <c r="C327" s="2" t="str" cm="1">
        <f t="array" ref="C327">IFERROR(_xlfn.LET(
_xlpm.CSVVal,_xlfn.XLOOKUP($A327,CSV!$A:$A,CSV!B:B,""),
_xlpm.MacVal,_xlfn.XLOOKUP($A327,Output_Mac!$A:$A,Output_Mac!B:B,""),
_xlpm.MyAuditVal,_xlfn.XLOOKUP($A327,My_Audit!$A:$A,My_Audit!B:B,""),
_xlfn.IFS(_xlpm.MyAuditVal&lt;&gt;"",UPPER(_xlpm.MyAuditVal),_xlpm.MacVal&lt;&gt;"",_xlpm.MacVal,_xlpm.CSVVal&lt;&gt;"",_xlpm.CSVVal
)),"")</f>
        <v/>
      </c>
      <c r="D327" s="2" t="str" cm="1">
        <f t="array" ref="D327">IFERROR(_xlfn.LET(
_xlpm.CSVVal,_xlfn.XLOOKUP($A327,CSV!$A:$A,CSV!D:D,""),
_xlpm.MacVal,_xlfn.XLOOKUP($A327,Output_Mac!$A:$A,Output_Mac!C:C,""),
_xlpm.MyAuditVal,_xlfn.XLOOKUP($A327,My_Audit!$A:$A,My_Audit!C:C,""),
_xlfn.IFS(_xlpm.MyAuditVal&lt;&gt;"",_xlpm.MyAuditVal,_xlpm.MacVal&lt;&gt;"",_xlpm.MacVal,_xlpm.CSVVal&lt;&gt;"",_xlpm.CSVVal
)),"")</f>
        <v/>
      </c>
      <c r="E327" s="2" t="str">
        <f>_xlfn.XLOOKUP(A327,My_Audit!A:A,My_Audit!D:D,"")&amp;""</f>
        <v/>
      </c>
      <c r="F327" s="2" t="str" cm="1">
        <f t="array" ref="F327">IFERROR(_xlfn.LET(
_xlpm.CSVVal,_xlfn.XLOOKUP($A327,CSV!$A:$A,CSV!F:F,""),
_xlpm.MacVal,_xlfn.XLOOKUP($A327,Output_Mac!$A:$A,Output_Mac!E:E,""),
_xlpm.MyAuditVal,_xlfn.XLOOKUP($A327,My_Audit!$A:$A,My_Audit!E:E,""),
_xlfn.IFS(_xlpm.MyAuditVal&lt;&gt;"",_xlpm.MyAuditVal,_xlpm.MacVal&lt;&gt;"",_xlpm.MacVal,_xlpm.CSVVal&lt;&gt;"",_xlpm.CSVVal
)),"")</f>
        <v/>
      </c>
      <c r="G327" s="2" t="str" cm="1">
        <f t="array" ref="G327">IFERROR(_xlfn.LET(
_xlpm.CSVVal,_xlfn.XLOOKUP($A327,CSV!$A:$A,CSV!G:G,""),
_xlpm.MacVal,_xlfn.XLOOKUP($A327,Output_Mac!$A:$A,Output_Mac!F:F,""),
_xlpm.MyAuditVal,_xlfn.XLOOKUP($A327,My_Audit!$A:$A,My_Audit!F:F,""),
_xlfn.IFS(_xlpm.MyAuditVal&lt;&gt;"",_xlpm.MyAuditVal,_xlpm.MacVal&lt;&gt;"",_xlpm.MacVal,_xlpm.CSVVal&lt;&gt;"",PROPER(_xlpm.CSVVal)
)),"")</f>
        <v/>
      </c>
      <c r="H327" s="2" t="str" cm="1">
        <f t="array" ref="H327">IFERROR(_xlfn.LET(
_xlpm.CSVVal,_xlfn.XLOOKUP($A327,CSV!$A:$A,CSV!H:H,""),
_xlpm.MacVal,_xlfn.XLOOKUP($A327,Output_Mac!$A:$A,Output_Mac!H:H,""),
_xlpm.MyAuditVal,_xlfn.XLOOKUP($A327,My_Audit!$A:$A,My_Audit!G:G,""),
_xlfn.IFS(_xlpm.MyAuditVal&lt;&gt;"",_xlpm.MyAuditVal,_xlpm.MacVal&lt;&gt;"",_xlpm.MacVal,_xlpm.CSVVal&lt;&gt;"",_xlpm.CSVVal
)),"")</f>
        <v/>
      </c>
      <c r="I327" s="2" t="str">
        <f>_xlfn.XLOOKUP(A327,Output_Mac!A:A,Output_Mac!I:I,"")</f>
        <v/>
      </c>
      <c r="J327" s="2" t="str" cm="1">
        <f t="array" ref="J327">IFERROR(_xlfn.LET(
_xlpm.CSVVal,_xlfn.XLOOKUP($A327,CSV!$A:$A,CSV!I:I,""),
_xlpm.MacVal,_xlfn.XLOOKUP($A327,Output_Mac!$A:$A,Output_Mac!J:J,""),
_xlpm.MyAuditVal,_xlfn.XLOOKUP($A327,My_Audit!$A:$A,My_Audit!I:I,""),
_xlfn.IFS(_xlpm.MyAuditVal&lt;&gt;"",UPPER(_xlpm.MyAuditVal),_xlpm.MacVal&lt;&gt;"",_xlpm.MacVal,_xlpm.CSVVal&lt;&gt;"",_xlpm.CSVVal
)),"")</f>
        <v/>
      </c>
      <c r="K327" s="2" t="str" cm="1">
        <f t="array" ref="K327">IFERROR(_xlfn.LET(
_xlpm.CSVVal,_xlfn.XLOOKUP($A327,CSV!$A:$A,CSV!K:K,""),
_xlpm.MacVal,_xlfn.XLOOKUP($A327,Output_Mac!$A:$A,Output_Mac!K:K,""),
_xlpm.MyAuditVal,_xlfn.XLOOKUP($A327,My_Audit!$A:$A,My_Audit!J:J,""),
_xlfn.IFS(_xlpm.MyAuditVal&lt;&gt;"",UPPER(_xlpm.MyAuditVal),_xlpm.MacVal&lt;&gt;"",_xlpm.MacVal,_xlpm.CSVVal&lt;&gt;"",_xlpm.CSVVal
)),"")</f>
        <v/>
      </c>
      <c r="L327" s="2" t="str" cm="1">
        <f t="array" ref="L327">IFERROR(_xlfn.LET(
_xlpm.CSVVal,_xlfn.XLOOKUP($A327,CSV!$A:$A,CSV!P:P,""),
_xlpm.MacVal,_xlfn.XLOOKUP($A327,Output_Mac!$A:$A,Output_Mac!L:L,""),
_xlpm.MyAuditVal,_xlfn.XLOOKUP($A327,My_Audit!$A:$A,My_Audit!K:K,""),
_xlfn.IFS(_xlpm.MyAuditVal&lt;&gt;"",UPPER(_xlpm.MyAuditVal),_xlpm.MacVal&lt;&gt;"",_xlpm.MacVal,_xlpm.CSVVal&lt;&gt;"",_xlpm.CSVVal
)),"")</f>
        <v/>
      </c>
      <c r="M327" s="2" t="str" cm="1">
        <f t="array" ref="M327">IFERROR(_xlfn.LET(
_xlpm.CSVVal,_xlfn.XLOOKUP($A327,CSV!$A:$A,CSV!Q:Q,""),
_xlpm.MacVal,_xlfn.XLOOKUP($A327,Output_Mac!$A:$A,Output_Mac!M:M,""),
_xlpm.MyAuditVal,_xlfn.XLOOKUP($A327,My_Audit!$A:$A,My_Audit!L:L,""),
_xlfn.IFS(_xlpm.MyAuditVal&lt;&gt;"",UPPER(_xlpm.MyAuditVal),_xlpm.MacVal&lt;&gt;"",_xlpm.MacVal,_xlpm.CSVVal&lt;&gt;"",_xlpm.CSVVal
)),"")</f>
        <v/>
      </c>
      <c r="O327" s="2" t="str">
        <f>_xlfn.LET(
    _xlpm.CSVVal, _xlfn.XLOOKUP($A327, CSV!$A:$A, CSV!AF:AF, ""),
    _xlpm.MacVal, _xlfn.XLOOKUP($A327, Output_Mac!$A:$A, Output_Mac!S:S, ""),
    _xlpm.MyAuditVal, _xlfn.XLOOKUP($A327, My_Audit!$A:$A, My_Audit!P:P, ""),
    _xlfn.TEXTJOIN(", ", TRUE, _xlpm.MyAuditVal, _xlpm.MacVal, _xlpm.CSVVal)
)</f>
        <v/>
      </c>
      <c r="P327" s="2" t="str" cm="1">
        <f t="array" ref="P327">IFERROR(_xlfn.LET(
_xlpm.CSVVal,_xlfn.XLOOKUP($A327,CSV!$A:$A,CSV!AG:AG,""),
_xlpm.MacVal,_xlfn.XLOOKUP($A327,Output_Mac!$A:$A,Output_Mac!T:T,""),
_xlpm.MyAuditVal,_xlfn.XLOOKUP($A327,My_Audit!$A:$A,My_Audit!Q:Q,""),
_xlfn.IFS(_xlpm.MyAuditVal&lt;&gt;"",UPPER(_xlpm.MyAuditVal),_xlpm.MacVal&lt;&gt;"",_xlpm.MacVal,_xlpm.CSVVal&lt;&gt;"",_xlpm.CSVVal
)),"No")</f>
        <v>No</v>
      </c>
      <c r="Q327" s="2" t="str" cm="1">
        <f t="array" ref="Q327">IFERROR(_xlfn.LET(
_xlpm.CSVVal,_xlfn.XLOOKUP($A327,CSV!$A:$A,CSV!AH:AH,""),
_xlpm.MacVal,_xlfn.XLOOKUP($A327,Output_Mac!$A:$A,Output_Mac!U:U,""),
_xlpm.MyAuditVal,_xlfn.XLOOKUP($A327,My_Audit!$A:$A,My_Audit!R:R,""),
_xlfn.IFS(_xlpm.MyAuditVal&lt;&gt;"",UPPER(_xlpm.MyAuditVal),_xlpm.MacVal&lt;&gt;"",_xlpm.MacVal,_xlpm.CSVVal&lt;&gt;"",_xlpm.CSVVal
)),"")</f>
        <v/>
      </c>
    </row>
    <row r="328" spans="1:17">
      <c r="A328" s="2" t="str">
        <f>_xlfn.TEXTJOIN("",TRUE,Input!$B$2,ROW(My_Audit!A327))</f>
        <v>XX327</v>
      </c>
      <c r="B328" s="2" t="str">
        <f>_xlfn.TEXTJOIN("-",TRUE,"ITD",Input!$A$2,A328)</f>
        <v>ITD-SHRXXX-XX327</v>
      </c>
      <c r="C328" s="2" t="str" cm="1">
        <f t="array" ref="C328">IFERROR(_xlfn.LET(
_xlpm.CSVVal,_xlfn.XLOOKUP($A328,CSV!$A:$A,CSV!B:B,""),
_xlpm.MacVal,_xlfn.XLOOKUP($A328,Output_Mac!$A:$A,Output_Mac!B:B,""),
_xlpm.MyAuditVal,_xlfn.XLOOKUP($A328,My_Audit!$A:$A,My_Audit!B:B,""),
_xlfn.IFS(_xlpm.MyAuditVal&lt;&gt;"",UPPER(_xlpm.MyAuditVal),_xlpm.MacVal&lt;&gt;"",_xlpm.MacVal,_xlpm.CSVVal&lt;&gt;"",_xlpm.CSVVal
)),"")</f>
        <v/>
      </c>
      <c r="D328" s="2" t="str" cm="1">
        <f t="array" ref="D328">IFERROR(_xlfn.LET(
_xlpm.CSVVal,_xlfn.XLOOKUP($A328,CSV!$A:$A,CSV!D:D,""),
_xlpm.MacVal,_xlfn.XLOOKUP($A328,Output_Mac!$A:$A,Output_Mac!C:C,""),
_xlpm.MyAuditVal,_xlfn.XLOOKUP($A328,My_Audit!$A:$A,My_Audit!C:C,""),
_xlfn.IFS(_xlpm.MyAuditVal&lt;&gt;"",_xlpm.MyAuditVal,_xlpm.MacVal&lt;&gt;"",_xlpm.MacVal,_xlpm.CSVVal&lt;&gt;"",_xlpm.CSVVal
)),"")</f>
        <v/>
      </c>
      <c r="E328" s="2" t="str">
        <f>_xlfn.XLOOKUP(A328,My_Audit!A:A,My_Audit!D:D,"")&amp;""</f>
        <v/>
      </c>
      <c r="F328" s="2" t="str" cm="1">
        <f t="array" ref="F328">IFERROR(_xlfn.LET(
_xlpm.CSVVal,_xlfn.XLOOKUP($A328,CSV!$A:$A,CSV!F:F,""),
_xlpm.MacVal,_xlfn.XLOOKUP($A328,Output_Mac!$A:$A,Output_Mac!E:E,""),
_xlpm.MyAuditVal,_xlfn.XLOOKUP($A328,My_Audit!$A:$A,My_Audit!E:E,""),
_xlfn.IFS(_xlpm.MyAuditVal&lt;&gt;"",_xlpm.MyAuditVal,_xlpm.MacVal&lt;&gt;"",_xlpm.MacVal,_xlpm.CSVVal&lt;&gt;"",_xlpm.CSVVal
)),"")</f>
        <v/>
      </c>
      <c r="G328" s="2" t="str" cm="1">
        <f t="array" ref="G328">IFERROR(_xlfn.LET(
_xlpm.CSVVal,_xlfn.XLOOKUP($A328,CSV!$A:$A,CSV!G:G,""),
_xlpm.MacVal,_xlfn.XLOOKUP($A328,Output_Mac!$A:$A,Output_Mac!F:F,""),
_xlpm.MyAuditVal,_xlfn.XLOOKUP($A328,My_Audit!$A:$A,My_Audit!F:F,""),
_xlfn.IFS(_xlpm.MyAuditVal&lt;&gt;"",_xlpm.MyAuditVal,_xlpm.MacVal&lt;&gt;"",_xlpm.MacVal,_xlpm.CSVVal&lt;&gt;"",PROPER(_xlpm.CSVVal)
)),"")</f>
        <v/>
      </c>
      <c r="H328" s="2" t="str" cm="1">
        <f t="array" ref="H328">IFERROR(_xlfn.LET(
_xlpm.CSVVal,_xlfn.XLOOKUP($A328,CSV!$A:$A,CSV!H:H,""),
_xlpm.MacVal,_xlfn.XLOOKUP($A328,Output_Mac!$A:$A,Output_Mac!H:H,""),
_xlpm.MyAuditVal,_xlfn.XLOOKUP($A328,My_Audit!$A:$A,My_Audit!G:G,""),
_xlfn.IFS(_xlpm.MyAuditVal&lt;&gt;"",_xlpm.MyAuditVal,_xlpm.MacVal&lt;&gt;"",_xlpm.MacVal,_xlpm.CSVVal&lt;&gt;"",_xlpm.CSVVal
)),"")</f>
        <v/>
      </c>
      <c r="I328" s="2" t="str">
        <f>_xlfn.XLOOKUP(A328,Output_Mac!A:A,Output_Mac!I:I,"")</f>
        <v/>
      </c>
      <c r="J328" s="2" t="str" cm="1">
        <f t="array" ref="J328">IFERROR(_xlfn.LET(
_xlpm.CSVVal,_xlfn.XLOOKUP($A328,CSV!$A:$A,CSV!I:I,""),
_xlpm.MacVal,_xlfn.XLOOKUP($A328,Output_Mac!$A:$A,Output_Mac!J:J,""),
_xlpm.MyAuditVal,_xlfn.XLOOKUP($A328,My_Audit!$A:$A,My_Audit!I:I,""),
_xlfn.IFS(_xlpm.MyAuditVal&lt;&gt;"",UPPER(_xlpm.MyAuditVal),_xlpm.MacVal&lt;&gt;"",_xlpm.MacVal,_xlpm.CSVVal&lt;&gt;"",_xlpm.CSVVal
)),"")</f>
        <v/>
      </c>
      <c r="K328" s="2" t="str" cm="1">
        <f t="array" ref="K328">IFERROR(_xlfn.LET(
_xlpm.CSVVal,_xlfn.XLOOKUP($A328,CSV!$A:$A,CSV!K:K,""),
_xlpm.MacVal,_xlfn.XLOOKUP($A328,Output_Mac!$A:$A,Output_Mac!K:K,""),
_xlpm.MyAuditVal,_xlfn.XLOOKUP($A328,My_Audit!$A:$A,My_Audit!J:J,""),
_xlfn.IFS(_xlpm.MyAuditVal&lt;&gt;"",UPPER(_xlpm.MyAuditVal),_xlpm.MacVal&lt;&gt;"",_xlpm.MacVal,_xlpm.CSVVal&lt;&gt;"",_xlpm.CSVVal
)),"")</f>
        <v/>
      </c>
      <c r="L328" s="2" t="str" cm="1">
        <f t="array" ref="L328">IFERROR(_xlfn.LET(
_xlpm.CSVVal,_xlfn.XLOOKUP($A328,CSV!$A:$A,CSV!P:P,""),
_xlpm.MacVal,_xlfn.XLOOKUP($A328,Output_Mac!$A:$A,Output_Mac!L:L,""),
_xlpm.MyAuditVal,_xlfn.XLOOKUP($A328,My_Audit!$A:$A,My_Audit!K:K,""),
_xlfn.IFS(_xlpm.MyAuditVal&lt;&gt;"",UPPER(_xlpm.MyAuditVal),_xlpm.MacVal&lt;&gt;"",_xlpm.MacVal,_xlpm.CSVVal&lt;&gt;"",_xlpm.CSVVal
)),"")</f>
        <v/>
      </c>
      <c r="M328" s="2" t="str" cm="1">
        <f t="array" ref="M328">IFERROR(_xlfn.LET(
_xlpm.CSVVal,_xlfn.XLOOKUP($A328,CSV!$A:$A,CSV!Q:Q,""),
_xlpm.MacVal,_xlfn.XLOOKUP($A328,Output_Mac!$A:$A,Output_Mac!M:M,""),
_xlpm.MyAuditVal,_xlfn.XLOOKUP($A328,My_Audit!$A:$A,My_Audit!L:L,""),
_xlfn.IFS(_xlpm.MyAuditVal&lt;&gt;"",UPPER(_xlpm.MyAuditVal),_xlpm.MacVal&lt;&gt;"",_xlpm.MacVal,_xlpm.CSVVal&lt;&gt;"",_xlpm.CSVVal
)),"")</f>
        <v/>
      </c>
      <c r="O328" s="2" t="str">
        <f>_xlfn.LET(
    _xlpm.CSVVal, _xlfn.XLOOKUP($A328, CSV!$A:$A, CSV!AF:AF, ""),
    _xlpm.MacVal, _xlfn.XLOOKUP($A328, Output_Mac!$A:$A, Output_Mac!S:S, ""),
    _xlpm.MyAuditVal, _xlfn.XLOOKUP($A328, My_Audit!$A:$A, My_Audit!P:P, ""),
    _xlfn.TEXTJOIN(", ", TRUE, _xlpm.MyAuditVal, _xlpm.MacVal, _xlpm.CSVVal)
)</f>
        <v/>
      </c>
      <c r="P328" s="2" t="str" cm="1">
        <f t="array" ref="P328">IFERROR(_xlfn.LET(
_xlpm.CSVVal,_xlfn.XLOOKUP($A328,CSV!$A:$A,CSV!AG:AG,""),
_xlpm.MacVal,_xlfn.XLOOKUP($A328,Output_Mac!$A:$A,Output_Mac!T:T,""),
_xlpm.MyAuditVal,_xlfn.XLOOKUP($A328,My_Audit!$A:$A,My_Audit!Q:Q,""),
_xlfn.IFS(_xlpm.MyAuditVal&lt;&gt;"",UPPER(_xlpm.MyAuditVal),_xlpm.MacVal&lt;&gt;"",_xlpm.MacVal,_xlpm.CSVVal&lt;&gt;"",_xlpm.CSVVal
)),"No")</f>
        <v>No</v>
      </c>
      <c r="Q328" s="2" t="str" cm="1">
        <f t="array" ref="Q328">IFERROR(_xlfn.LET(
_xlpm.CSVVal,_xlfn.XLOOKUP($A328,CSV!$A:$A,CSV!AH:AH,""),
_xlpm.MacVal,_xlfn.XLOOKUP($A328,Output_Mac!$A:$A,Output_Mac!U:U,""),
_xlpm.MyAuditVal,_xlfn.XLOOKUP($A328,My_Audit!$A:$A,My_Audit!R:R,""),
_xlfn.IFS(_xlpm.MyAuditVal&lt;&gt;"",UPPER(_xlpm.MyAuditVal),_xlpm.MacVal&lt;&gt;"",_xlpm.MacVal,_xlpm.CSVVal&lt;&gt;"",_xlpm.CSVVal
)),"")</f>
        <v/>
      </c>
    </row>
    <row r="329" spans="1:17">
      <c r="A329" s="2" t="str">
        <f>_xlfn.TEXTJOIN("",TRUE,Input!$B$2,ROW(My_Audit!A328))</f>
        <v>XX328</v>
      </c>
      <c r="B329" s="2" t="str">
        <f>_xlfn.TEXTJOIN("-",TRUE,"ITD",Input!$A$2,A329)</f>
        <v>ITD-SHRXXX-XX328</v>
      </c>
      <c r="C329" s="2" t="str" cm="1">
        <f t="array" ref="C329">IFERROR(_xlfn.LET(
_xlpm.CSVVal,_xlfn.XLOOKUP($A329,CSV!$A:$A,CSV!B:B,""),
_xlpm.MacVal,_xlfn.XLOOKUP($A329,Output_Mac!$A:$A,Output_Mac!B:B,""),
_xlpm.MyAuditVal,_xlfn.XLOOKUP($A329,My_Audit!$A:$A,My_Audit!B:B,""),
_xlfn.IFS(_xlpm.MyAuditVal&lt;&gt;"",UPPER(_xlpm.MyAuditVal),_xlpm.MacVal&lt;&gt;"",_xlpm.MacVal,_xlpm.CSVVal&lt;&gt;"",_xlpm.CSVVal
)),"")</f>
        <v/>
      </c>
      <c r="D329" s="2" t="str" cm="1">
        <f t="array" ref="D329">IFERROR(_xlfn.LET(
_xlpm.CSVVal,_xlfn.XLOOKUP($A329,CSV!$A:$A,CSV!D:D,""),
_xlpm.MacVal,_xlfn.XLOOKUP($A329,Output_Mac!$A:$A,Output_Mac!C:C,""),
_xlpm.MyAuditVal,_xlfn.XLOOKUP($A329,My_Audit!$A:$A,My_Audit!C:C,""),
_xlfn.IFS(_xlpm.MyAuditVal&lt;&gt;"",_xlpm.MyAuditVal,_xlpm.MacVal&lt;&gt;"",_xlpm.MacVal,_xlpm.CSVVal&lt;&gt;"",_xlpm.CSVVal
)),"")</f>
        <v/>
      </c>
      <c r="E329" s="2" t="str">
        <f>_xlfn.XLOOKUP(A329,My_Audit!A:A,My_Audit!D:D,"")&amp;""</f>
        <v/>
      </c>
      <c r="F329" s="2" t="str" cm="1">
        <f t="array" ref="F329">IFERROR(_xlfn.LET(
_xlpm.CSVVal,_xlfn.XLOOKUP($A329,CSV!$A:$A,CSV!F:F,""),
_xlpm.MacVal,_xlfn.XLOOKUP($A329,Output_Mac!$A:$A,Output_Mac!E:E,""),
_xlpm.MyAuditVal,_xlfn.XLOOKUP($A329,My_Audit!$A:$A,My_Audit!E:E,""),
_xlfn.IFS(_xlpm.MyAuditVal&lt;&gt;"",_xlpm.MyAuditVal,_xlpm.MacVal&lt;&gt;"",_xlpm.MacVal,_xlpm.CSVVal&lt;&gt;"",_xlpm.CSVVal
)),"")</f>
        <v/>
      </c>
      <c r="G329" s="2" t="str" cm="1">
        <f t="array" ref="G329">IFERROR(_xlfn.LET(
_xlpm.CSVVal,_xlfn.XLOOKUP($A329,CSV!$A:$A,CSV!G:G,""),
_xlpm.MacVal,_xlfn.XLOOKUP($A329,Output_Mac!$A:$A,Output_Mac!F:F,""),
_xlpm.MyAuditVal,_xlfn.XLOOKUP($A329,My_Audit!$A:$A,My_Audit!F:F,""),
_xlfn.IFS(_xlpm.MyAuditVal&lt;&gt;"",_xlpm.MyAuditVal,_xlpm.MacVal&lt;&gt;"",_xlpm.MacVal,_xlpm.CSVVal&lt;&gt;"",PROPER(_xlpm.CSVVal)
)),"")</f>
        <v/>
      </c>
      <c r="H329" s="2" t="str" cm="1">
        <f t="array" ref="H329">IFERROR(_xlfn.LET(
_xlpm.CSVVal,_xlfn.XLOOKUP($A329,CSV!$A:$A,CSV!H:H,""),
_xlpm.MacVal,_xlfn.XLOOKUP($A329,Output_Mac!$A:$A,Output_Mac!H:H,""),
_xlpm.MyAuditVal,_xlfn.XLOOKUP($A329,My_Audit!$A:$A,My_Audit!G:G,""),
_xlfn.IFS(_xlpm.MyAuditVal&lt;&gt;"",_xlpm.MyAuditVal,_xlpm.MacVal&lt;&gt;"",_xlpm.MacVal,_xlpm.CSVVal&lt;&gt;"",_xlpm.CSVVal
)),"")</f>
        <v/>
      </c>
      <c r="I329" s="2" t="str">
        <f>_xlfn.XLOOKUP(A329,Output_Mac!A:A,Output_Mac!I:I,"")</f>
        <v/>
      </c>
      <c r="J329" s="2" t="str" cm="1">
        <f t="array" ref="J329">IFERROR(_xlfn.LET(
_xlpm.CSVVal,_xlfn.XLOOKUP($A329,CSV!$A:$A,CSV!I:I,""),
_xlpm.MacVal,_xlfn.XLOOKUP($A329,Output_Mac!$A:$A,Output_Mac!J:J,""),
_xlpm.MyAuditVal,_xlfn.XLOOKUP($A329,My_Audit!$A:$A,My_Audit!I:I,""),
_xlfn.IFS(_xlpm.MyAuditVal&lt;&gt;"",UPPER(_xlpm.MyAuditVal),_xlpm.MacVal&lt;&gt;"",_xlpm.MacVal,_xlpm.CSVVal&lt;&gt;"",_xlpm.CSVVal
)),"")</f>
        <v/>
      </c>
      <c r="K329" s="2" t="str" cm="1">
        <f t="array" ref="K329">IFERROR(_xlfn.LET(
_xlpm.CSVVal,_xlfn.XLOOKUP($A329,CSV!$A:$A,CSV!K:K,""),
_xlpm.MacVal,_xlfn.XLOOKUP($A329,Output_Mac!$A:$A,Output_Mac!K:K,""),
_xlpm.MyAuditVal,_xlfn.XLOOKUP($A329,My_Audit!$A:$A,My_Audit!J:J,""),
_xlfn.IFS(_xlpm.MyAuditVal&lt;&gt;"",UPPER(_xlpm.MyAuditVal),_xlpm.MacVal&lt;&gt;"",_xlpm.MacVal,_xlpm.CSVVal&lt;&gt;"",_xlpm.CSVVal
)),"")</f>
        <v/>
      </c>
      <c r="L329" s="2" t="str" cm="1">
        <f t="array" ref="L329">IFERROR(_xlfn.LET(
_xlpm.CSVVal,_xlfn.XLOOKUP($A329,CSV!$A:$A,CSV!P:P,""),
_xlpm.MacVal,_xlfn.XLOOKUP($A329,Output_Mac!$A:$A,Output_Mac!L:L,""),
_xlpm.MyAuditVal,_xlfn.XLOOKUP($A329,My_Audit!$A:$A,My_Audit!K:K,""),
_xlfn.IFS(_xlpm.MyAuditVal&lt;&gt;"",UPPER(_xlpm.MyAuditVal),_xlpm.MacVal&lt;&gt;"",_xlpm.MacVal,_xlpm.CSVVal&lt;&gt;"",_xlpm.CSVVal
)),"")</f>
        <v/>
      </c>
      <c r="M329" s="2" t="str" cm="1">
        <f t="array" ref="M329">IFERROR(_xlfn.LET(
_xlpm.CSVVal,_xlfn.XLOOKUP($A329,CSV!$A:$A,CSV!Q:Q,""),
_xlpm.MacVal,_xlfn.XLOOKUP($A329,Output_Mac!$A:$A,Output_Mac!M:M,""),
_xlpm.MyAuditVal,_xlfn.XLOOKUP($A329,My_Audit!$A:$A,My_Audit!L:L,""),
_xlfn.IFS(_xlpm.MyAuditVal&lt;&gt;"",UPPER(_xlpm.MyAuditVal),_xlpm.MacVal&lt;&gt;"",_xlpm.MacVal,_xlpm.CSVVal&lt;&gt;"",_xlpm.CSVVal
)),"")</f>
        <v/>
      </c>
      <c r="O329" s="2" t="str">
        <f>_xlfn.LET(
    _xlpm.CSVVal, _xlfn.XLOOKUP($A329, CSV!$A:$A, CSV!AF:AF, ""),
    _xlpm.MacVal, _xlfn.XLOOKUP($A329, Output_Mac!$A:$A, Output_Mac!S:S, ""),
    _xlpm.MyAuditVal, _xlfn.XLOOKUP($A329, My_Audit!$A:$A, My_Audit!P:P, ""),
    _xlfn.TEXTJOIN(", ", TRUE, _xlpm.MyAuditVal, _xlpm.MacVal, _xlpm.CSVVal)
)</f>
        <v/>
      </c>
      <c r="P329" s="2" t="str" cm="1">
        <f t="array" ref="P329">IFERROR(_xlfn.LET(
_xlpm.CSVVal,_xlfn.XLOOKUP($A329,CSV!$A:$A,CSV!AG:AG,""),
_xlpm.MacVal,_xlfn.XLOOKUP($A329,Output_Mac!$A:$A,Output_Mac!T:T,""),
_xlpm.MyAuditVal,_xlfn.XLOOKUP($A329,My_Audit!$A:$A,My_Audit!Q:Q,""),
_xlfn.IFS(_xlpm.MyAuditVal&lt;&gt;"",UPPER(_xlpm.MyAuditVal),_xlpm.MacVal&lt;&gt;"",_xlpm.MacVal,_xlpm.CSVVal&lt;&gt;"",_xlpm.CSVVal
)),"No")</f>
        <v>No</v>
      </c>
      <c r="Q329" s="2" t="str" cm="1">
        <f t="array" ref="Q329">IFERROR(_xlfn.LET(
_xlpm.CSVVal,_xlfn.XLOOKUP($A329,CSV!$A:$A,CSV!AH:AH,""),
_xlpm.MacVal,_xlfn.XLOOKUP($A329,Output_Mac!$A:$A,Output_Mac!U:U,""),
_xlpm.MyAuditVal,_xlfn.XLOOKUP($A329,My_Audit!$A:$A,My_Audit!R:R,""),
_xlfn.IFS(_xlpm.MyAuditVal&lt;&gt;"",UPPER(_xlpm.MyAuditVal),_xlpm.MacVal&lt;&gt;"",_xlpm.MacVal,_xlpm.CSVVal&lt;&gt;"",_xlpm.CSVVal
)),"")</f>
        <v/>
      </c>
    </row>
    <row r="330" spans="1:17">
      <c r="A330" s="2" t="str">
        <f>_xlfn.TEXTJOIN("",TRUE,Input!$B$2,ROW(My_Audit!A329))</f>
        <v>XX329</v>
      </c>
      <c r="B330" s="2" t="str">
        <f>_xlfn.TEXTJOIN("-",TRUE,"ITD",Input!$A$2,A330)</f>
        <v>ITD-SHRXXX-XX329</v>
      </c>
      <c r="C330" s="2" t="str" cm="1">
        <f t="array" ref="C330">IFERROR(_xlfn.LET(
_xlpm.CSVVal,_xlfn.XLOOKUP($A330,CSV!$A:$A,CSV!B:B,""),
_xlpm.MacVal,_xlfn.XLOOKUP($A330,Output_Mac!$A:$A,Output_Mac!B:B,""),
_xlpm.MyAuditVal,_xlfn.XLOOKUP($A330,My_Audit!$A:$A,My_Audit!B:B,""),
_xlfn.IFS(_xlpm.MyAuditVal&lt;&gt;"",UPPER(_xlpm.MyAuditVal),_xlpm.MacVal&lt;&gt;"",_xlpm.MacVal,_xlpm.CSVVal&lt;&gt;"",_xlpm.CSVVal
)),"")</f>
        <v/>
      </c>
      <c r="D330" s="2" t="str" cm="1">
        <f t="array" ref="D330">IFERROR(_xlfn.LET(
_xlpm.CSVVal,_xlfn.XLOOKUP($A330,CSV!$A:$A,CSV!D:D,""),
_xlpm.MacVal,_xlfn.XLOOKUP($A330,Output_Mac!$A:$A,Output_Mac!C:C,""),
_xlpm.MyAuditVal,_xlfn.XLOOKUP($A330,My_Audit!$A:$A,My_Audit!C:C,""),
_xlfn.IFS(_xlpm.MyAuditVal&lt;&gt;"",_xlpm.MyAuditVal,_xlpm.MacVal&lt;&gt;"",_xlpm.MacVal,_xlpm.CSVVal&lt;&gt;"",_xlpm.CSVVal
)),"")</f>
        <v/>
      </c>
      <c r="E330" s="2" t="str">
        <f>_xlfn.XLOOKUP(A330,My_Audit!A:A,My_Audit!D:D,"")&amp;""</f>
        <v/>
      </c>
      <c r="F330" s="2" t="str" cm="1">
        <f t="array" ref="F330">IFERROR(_xlfn.LET(
_xlpm.CSVVal,_xlfn.XLOOKUP($A330,CSV!$A:$A,CSV!F:F,""),
_xlpm.MacVal,_xlfn.XLOOKUP($A330,Output_Mac!$A:$A,Output_Mac!E:E,""),
_xlpm.MyAuditVal,_xlfn.XLOOKUP($A330,My_Audit!$A:$A,My_Audit!E:E,""),
_xlfn.IFS(_xlpm.MyAuditVal&lt;&gt;"",_xlpm.MyAuditVal,_xlpm.MacVal&lt;&gt;"",_xlpm.MacVal,_xlpm.CSVVal&lt;&gt;"",_xlpm.CSVVal
)),"")</f>
        <v/>
      </c>
      <c r="G330" s="2" t="str" cm="1">
        <f t="array" ref="G330">IFERROR(_xlfn.LET(
_xlpm.CSVVal,_xlfn.XLOOKUP($A330,CSV!$A:$A,CSV!G:G,""),
_xlpm.MacVal,_xlfn.XLOOKUP($A330,Output_Mac!$A:$A,Output_Mac!F:F,""),
_xlpm.MyAuditVal,_xlfn.XLOOKUP($A330,My_Audit!$A:$A,My_Audit!F:F,""),
_xlfn.IFS(_xlpm.MyAuditVal&lt;&gt;"",_xlpm.MyAuditVal,_xlpm.MacVal&lt;&gt;"",_xlpm.MacVal,_xlpm.CSVVal&lt;&gt;"",PROPER(_xlpm.CSVVal)
)),"")</f>
        <v/>
      </c>
      <c r="H330" s="2" t="str" cm="1">
        <f t="array" ref="H330">IFERROR(_xlfn.LET(
_xlpm.CSVVal,_xlfn.XLOOKUP($A330,CSV!$A:$A,CSV!H:H,""),
_xlpm.MacVal,_xlfn.XLOOKUP($A330,Output_Mac!$A:$A,Output_Mac!H:H,""),
_xlpm.MyAuditVal,_xlfn.XLOOKUP($A330,My_Audit!$A:$A,My_Audit!G:G,""),
_xlfn.IFS(_xlpm.MyAuditVal&lt;&gt;"",_xlpm.MyAuditVal,_xlpm.MacVal&lt;&gt;"",_xlpm.MacVal,_xlpm.CSVVal&lt;&gt;"",_xlpm.CSVVal
)),"")</f>
        <v/>
      </c>
      <c r="I330" s="2" t="str">
        <f>_xlfn.XLOOKUP(A330,Output_Mac!A:A,Output_Mac!I:I,"")</f>
        <v/>
      </c>
      <c r="J330" s="2" t="str" cm="1">
        <f t="array" ref="J330">IFERROR(_xlfn.LET(
_xlpm.CSVVal,_xlfn.XLOOKUP($A330,CSV!$A:$A,CSV!I:I,""),
_xlpm.MacVal,_xlfn.XLOOKUP($A330,Output_Mac!$A:$A,Output_Mac!J:J,""),
_xlpm.MyAuditVal,_xlfn.XLOOKUP($A330,My_Audit!$A:$A,My_Audit!I:I,""),
_xlfn.IFS(_xlpm.MyAuditVal&lt;&gt;"",UPPER(_xlpm.MyAuditVal),_xlpm.MacVal&lt;&gt;"",_xlpm.MacVal,_xlpm.CSVVal&lt;&gt;"",_xlpm.CSVVal
)),"")</f>
        <v/>
      </c>
      <c r="K330" s="2" t="str" cm="1">
        <f t="array" ref="K330">IFERROR(_xlfn.LET(
_xlpm.CSVVal,_xlfn.XLOOKUP($A330,CSV!$A:$A,CSV!K:K,""),
_xlpm.MacVal,_xlfn.XLOOKUP($A330,Output_Mac!$A:$A,Output_Mac!K:K,""),
_xlpm.MyAuditVal,_xlfn.XLOOKUP($A330,My_Audit!$A:$A,My_Audit!J:J,""),
_xlfn.IFS(_xlpm.MyAuditVal&lt;&gt;"",UPPER(_xlpm.MyAuditVal),_xlpm.MacVal&lt;&gt;"",_xlpm.MacVal,_xlpm.CSVVal&lt;&gt;"",_xlpm.CSVVal
)),"")</f>
        <v/>
      </c>
      <c r="L330" s="2" t="str" cm="1">
        <f t="array" ref="L330">IFERROR(_xlfn.LET(
_xlpm.CSVVal,_xlfn.XLOOKUP($A330,CSV!$A:$A,CSV!P:P,""),
_xlpm.MacVal,_xlfn.XLOOKUP($A330,Output_Mac!$A:$A,Output_Mac!L:L,""),
_xlpm.MyAuditVal,_xlfn.XLOOKUP($A330,My_Audit!$A:$A,My_Audit!K:K,""),
_xlfn.IFS(_xlpm.MyAuditVal&lt;&gt;"",UPPER(_xlpm.MyAuditVal),_xlpm.MacVal&lt;&gt;"",_xlpm.MacVal,_xlpm.CSVVal&lt;&gt;"",_xlpm.CSVVal
)),"")</f>
        <v/>
      </c>
      <c r="M330" s="2" t="str" cm="1">
        <f t="array" ref="M330">IFERROR(_xlfn.LET(
_xlpm.CSVVal,_xlfn.XLOOKUP($A330,CSV!$A:$A,CSV!Q:Q,""),
_xlpm.MacVal,_xlfn.XLOOKUP($A330,Output_Mac!$A:$A,Output_Mac!M:M,""),
_xlpm.MyAuditVal,_xlfn.XLOOKUP($A330,My_Audit!$A:$A,My_Audit!L:L,""),
_xlfn.IFS(_xlpm.MyAuditVal&lt;&gt;"",UPPER(_xlpm.MyAuditVal),_xlpm.MacVal&lt;&gt;"",_xlpm.MacVal,_xlpm.CSVVal&lt;&gt;"",_xlpm.CSVVal
)),"")</f>
        <v/>
      </c>
      <c r="O330" s="2" t="str">
        <f>_xlfn.LET(
    _xlpm.CSVVal, _xlfn.XLOOKUP($A330, CSV!$A:$A, CSV!AF:AF, ""),
    _xlpm.MacVal, _xlfn.XLOOKUP($A330, Output_Mac!$A:$A, Output_Mac!S:S, ""),
    _xlpm.MyAuditVal, _xlfn.XLOOKUP($A330, My_Audit!$A:$A, My_Audit!P:P, ""),
    _xlfn.TEXTJOIN(", ", TRUE, _xlpm.MyAuditVal, _xlpm.MacVal, _xlpm.CSVVal)
)</f>
        <v/>
      </c>
      <c r="P330" s="2" t="str" cm="1">
        <f t="array" ref="P330">IFERROR(_xlfn.LET(
_xlpm.CSVVal,_xlfn.XLOOKUP($A330,CSV!$A:$A,CSV!AG:AG,""),
_xlpm.MacVal,_xlfn.XLOOKUP($A330,Output_Mac!$A:$A,Output_Mac!T:T,""),
_xlpm.MyAuditVal,_xlfn.XLOOKUP($A330,My_Audit!$A:$A,My_Audit!Q:Q,""),
_xlfn.IFS(_xlpm.MyAuditVal&lt;&gt;"",UPPER(_xlpm.MyAuditVal),_xlpm.MacVal&lt;&gt;"",_xlpm.MacVal,_xlpm.CSVVal&lt;&gt;"",_xlpm.CSVVal
)),"No")</f>
        <v>No</v>
      </c>
      <c r="Q330" s="2" t="str" cm="1">
        <f t="array" ref="Q330">IFERROR(_xlfn.LET(
_xlpm.CSVVal,_xlfn.XLOOKUP($A330,CSV!$A:$A,CSV!AH:AH,""),
_xlpm.MacVal,_xlfn.XLOOKUP($A330,Output_Mac!$A:$A,Output_Mac!U:U,""),
_xlpm.MyAuditVal,_xlfn.XLOOKUP($A330,My_Audit!$A:$A,My_Audit!R:R,""),
_xlfn.IFS(_xlpm.MyAuditVal&lt;&gt;"",UPPER(_xlpm.MyAuditVal),_xlpm.MacVal&lt;&gt;"",_xlpm.MacVal,_xlpm.CSVVal&lt;&gt;"",_xlpm.CSVVal
)),"")</f>
        <v/>
      </c>
    </row>
    <row r="331" spans="1:17">
      <c r="A331" s="2" t="str">
        <f>_xlfn.TEXTJOIN("",TRUE,Input!$B$2,ROW(My_Audit!A330))</f>
        <v>XX330</v>
      </c>
      <c r="B331" s="2" t="str">
        <f>_xlfn.TEXTJOIN("-",TRUE,"ITD",Input!$A$2,A331)</f>
        <v>ITD-SHRXXX-XX330</v>
      </c>
      <c r="C331" s="2" t="str" cm="1">
        <f t="array" ref="C331">IFERROR(_xlfn.LET(
_xlpm.CSVVal,_xlfn.XLOOKUP($A331,CSV!$A:$A,CSV!B:B,""),
_xlpm.MacVal,_xlfn.XLOOKUP($A331,Output_Mac!$A:$A,Output_Mac!B:B,""),
_xlpm.MyAuditVal,_xlfn.XLOOKUP($A331,My_Audit!$A:$A,My_Audit!B:B,""),
_xlfn.IFS(_xlpm.MyAuditVal&lt;&gt;"",UPPER(_xlpm.MyAuditVal),_xlpm.MacVal&lt;&gt;"",_xlpm.MacVal,_xlpm.CSVVal&lt;&gt;"",_xlpm.CSVVal
)),"")</f>
        <v/>
      </c>
      <c r="D331" s="2" t="str" cm="1">
        <f t="array" ref="D331">IFERROR(_xlfn.LET(
_xlpm.CSVVal,_xlfn.XLOOKUP($A331,CSV!$A:$A,CSV!D:D,""),
_xlpm.MacVal,_xlfn.XLOOKUP($A331,Output_Mac!$A:$A,Output_Mac!C:C,""),
_xlpm.MyAuditVal,_xlfn.XLOOKUP($A331,My_Audit!$A:$A,My_Audit!C:C,""),
_xlfn.IFS(_xlpm.MyAuditVal&lt;&gt;"",_xlpm.MyAuditVal,_xlpm.MacVal&lt;&gt;"",_xlpm.MacVal,_xlpm.CSVVal&lt;&gt;"",_xlpm.CSVVal
)),"")</f>
        <v/>
      </c>
      <c r="E331" s="2" t="str">
        <f>_xlfn.XLOOKUP(A331,My_Audit!A:A,My_Audit!D:D,"")&amp;""</f>
        <v/>
      </c>
      <c r="F331" s="2" t="str" cm="1">
        <f t="array" ref="F331">IFERROR(_xlfn.LET(
_xlpm.CSVVal,_xlfn.XLOOKUP($A331,CSV!$A:$A,CSV!F:F,""),
_xlpm.MacVal,_xlfn.XLOOKUP($A331,Output_Mac!$A:$A,Output_Mac!E:E,""),
_xlpm.MyAuditVal,_xlfn.XLOOKUP($A331,My_Audit!$A:$A,My_Audit!E:E,""),
_xlfn.IFS(_xlpm.MyAuditVal&lt;&gt;"",_xlpm.MyAuditVal,_xlpm.MacVal&lt;&gt;"",_xlpm.MacVal,_xlpm.CSVVal&lt;&gt;"",_xlpm.CSVVal
)),"")</f>
        <v/>
      </c>
      <c r="G331" s="2" t="str" cm="1">
        <f t="array" ref="G331">IFERROR(_xlfn.LET(
_xlpm.CSVVal,_xlfn.XLOOKUP($A331,CSV!$A:$A,CSV!G:G,""),
_xlpm.MacVal,_xlfn.XLOOKUP($A331,Output_Mac!$A:$A,Output_Mac!F:F,""),
_xlpm.MyAuditVal,_xlfn.XLOOKUP($A331,My_Audit!$A:$A,My_Audit!F:F,""),
_xlfn.IFS(_xlpm.MyAuditVal&lt;&gt;"",_xlpm.MyAuditVal,_xlpm.MacVal&lt;&gt;"",_xlpm.MacVal,_xlpm.CSVVal&lt;&gt;"",PROPER(_xlpm.CSVVal)
)),"")</f>
        <v/>
      </c>
      <c r="H331" s="2" t="str" cm="1">
        <f t="array" ref="H331">IFERROR(_xlfn.LET(
_xlpm.CSVVal,_xlfn.XLOOKUP($A331,CSV!$A:$A,CSV!H:H,""),
_xlpm.MacVal,_xlfn.XLOOKUP($A331,Output_Mac!$A:$A,Output_Mac!H:H,""),
_xlpm.MyAuditVal,_xlfn.XLOOKUP($A331,My_Audit!$A:$A,My_Audit!G:G,""),
_xlfn.IFS(_xlpm.MyAuditVal&lt;&gt;"",_xlpm.MyAuditVal,_xlpm.MacVal&lt;&gt;"",_xlpm.MacVal,_xlpm.CSVVal&lt;&gt;"",_xlpm.CSVVal
)),"")</f>
        <v/>
      </c>
      <c r="I331" s="2" t="str">
        <f>_xlfn.XLOOKUP(A331,Output_Mac!A:A,Output_Mac!I:I,"")</f>
        <v/>
      </c>
      <c r="J331" s="2" t="str" cm="1">
        <f t="array" ref="J331">IFERROR(_xlfn.LET(
_xlpm.CSVVal,_xlfn.XLOOKUP($A331,CSV!$A:$A,CSV!I:I,""),
_xlpm.MacVal,_xlfn.XLOOKUP($A331,Output_Mac!$A:$A,Output_Mac!J:J,""),
_xlpm.MyAuditVal,_xlfn.XLOOKUP($A331,My_Audit!$A:$A,My_Audit!I:I,""),
_xlfn.IFS(_xlpm.MyAuditVal&lt;&gt;"",UPPER(_xlpm.MyAuditVal),_xlpm.MacVal&lt;&gt;"",_xlpm.MacVal,_xlpm.CSVVal&lt;&gt;"",_xlpm.CSVVal
)),"")</f>
        <v/>
      </c>
      <c r="K331" s="2" t="str" cm="1">
        <f t="array" ref="K331">IFERROR(_xlfn.LET(
_xlpm.CSVVal,_xlfn.XLOOKUP($A331,CSV!$A:$A,CSV!K:K,""),
_xlpm.MacVal,_xlfn.XLOOKUP($A331,Output_Mac!$A:$A,Output_Mac!K:K,""),
_xlpm.MyAuditVal,_xlfn.XLOOKUP($A331,My_Audit!$A:$A,My_Audit!J:J,""),
_xlfn.IFS(_xlpm.MyAuditVal&lt;&gt;"",UPPER(_xlpm.MyAuditVal),_xlpm.MacVal&lt;&gt;"",_xlpm.MacVal,_xlpm.CSVVal&lt;&gt;"",_xlpm.CSVVal
)),"")</f>
        <v/>
      </c>
      <c r="L331" s="2" t="str" cm="1">
        <f t="array" ref="L331">IFERROR(_xlfn.LET(
_xlpm.CSVVal,_xlfn.XLOOKUP($A331,CSV!$A:$A,CSV!P:P,""),
_xlpm.MacVal,_xlfn.XLOOKUP($A331,Output_Mac!$A:$A,Output_Mac!L:L,""),
_xlpm.MyAuditVal,_xlfn.XLOOKUP($A331,My_Audit!$A:$A,My_Audit!K:K,""),
_xlfn.IFS(_xlpm.MyAuditVal&lt;&gt;"",UPPER(_xlpm.MyAuditVal),_xlpm.MacVal&lt;&gt;"",_xlpm.MacVal,_xlpm.CSVVal&lt;&gt;"",_xlpm.CSVVal
)),"")</f>
        <v/>
      </c>
      <c r="M331" s="2" t="str" cm="1">
        <f t="array" ref="M331">IFERROR(_xlfn.LET(
_xlpm.CSVVal,_xlfn.XLOOKUP($A331,CSV!$A:$A,CSV!Q:Q,""),
_xlpm.MacVal,_xlfn.XLOOKUP($A331,Output_Mac!$A:$A,Output_Mac!M:M,""),
_xlpm.MyAuditVal,_xlfn.XLOOKUP($A331,My_Audit!$A:$A,My_Audit!L:L,""),
_xlfn.IFS(_xlpm.MyAuditVal&lt;&gt;"",UPPER(_xlpm.MyAuditVal),_xlpm.MacVal&lt;&gt;"",_xlpm.MacVal,_xlpm.CSVVal&lt;&gt;"",_xlpm.CSVVal
)),"")</f>
        <v/>
      </c>
      <c r="O331" s="2" t="str">
        <f>_xlfn.LET(
    _xlpm.CSVVal, _xlfn.XLOOKUP($A331, CSV!$A:$A, CSV!AF:AF, ""),
    _xlpm.MacVal, _xlfn.XLOOKUP($A331, Output_Mac!$A:$A, Output_Mac!S:S, ""),
    _xlpm.MyAuditVal, _xlfn.XLOOKUP($A331, My_Audit!$A:$A, My_Audit!P:P, ""),
    _xlfn.TEXTJOIN(", ", TRUE, _xlpm.MyAuditVal, _xlpm.MacVal, _xlpm.CSVVal)
)</f>
        <v/>
      </c>
      <c r="P331" s="2" t="str" cm="1">
        <f t="array" ref="P331">IFERROR(_xlfn.LET(
_xlpm.CSVVal,_xlfn.XLOOKUP($A331,CSV!$A:$A,CSV!AG:AG,""),
_xlpm.MacVal,_xlfn.XLOOKUP($A331,Output_Mac!$A:$A,Output_Mac!T:T,""),
_xlpm.MyAuditVal,_xlfn.XLOOKUP($A331,My_Audit!$A:$A,My_Audit!Q:Q,""),
_xlfn.IFS(_xlpm.MyAuditVal&lt;&gt;"",UPPER(_xlpm.MyAuditVal),_xlpm.MacVal&lt;&gt;"",_xlpm.MacVal,_xlpm.CSVVal&lt;&gt;"",_xlpm.CSVVal
)),"No")</f>
        <v>No</v>
      </c>
      <c r="Q331" s="2" t="str" cm="1">
        <f t="array" ref="Q331">IFERROR(_xlfn.LET(
_xlpm.CSVVal,_xlfn.XLOOKUP($A331,CSV!$A:$A,CSV!AH:AH,""),
_xlpm.MacVal,_xlfn.XLOOKUP($A331,Output_Mac!$A:$A,Output_Mac!U:U,""),
_xlpm.MyAuditVal,_xlfn.XLOOKUP($A331,My_Audit!$A:$A,My_Audit!R:R,""),
_xlfn.IFS(_xlpm.MyAuditVal&lt;&gt;"",UPPER(_xlpm.MyAuditVal),_xlpm.MacVal&lt;&gt;"",_xlpm.MacVal,_xlpm.CSVVal&lt;&gt;"",_xlpm.CSVVal
)),"")</f>
        <v/>
      </c>
    </row>
    <row r="332" spans="1:17">
      <c r="A332" s="2" t="str">
        <f>_xlfn.TEXTJOIN("",TRUE,Input!$B$2,ROW(My_Audit!A331))</f>
        <v>XX331</v>
      </c>
      <c r="B332" s="2" t="str">
        <f>_xlfn.TEXTJOIN("-",TRUE,"ITD",Input!$A$2,A332)</f>
        <v>ITD-SHRXXX-XX331</v>
      </c>
      <c r="C332" s="2" t="str" cm="1">
        <f t="array" ref="C332">IFERROR(_xlfn.LET(
_xlpm.CSVVal,_xlfn.XLOOKUP($A332,CSV!$A:$A,CSV!B:B,""),
_xlpm.MacVal,_xlfn.XLOOKUP($A332,Output_Mac!$A:$A,Output_Mac!B:B,""),
_xlpm.MyAuditVal,_xlfn.XLOOKUP($A332,My_Audit!$A:$A,My_Audit!B:B,""),
_xlfn.IFS(_xlpm.MyAuditVal&lt;&gt;"",UPPER(_xlpm.MyAuditVal),_xlpm.MacVal&lt;&gt;"",_xlpm.MacVal,_xlpm.CSVVal&lt;&gt;"",_xlpm.CSVVal
)),"")</f>
        <v/>
      </c>
      <c r="D332" s="2" t="str" cm="1">
        <f t="array" ref="D332">IFERROR(_xlfn.LET(
_xlpm.CSVVal,_xlfn.XLOOKUP($A332,CSV!$A:$A,CSV!D:D,""),
_xlpm.MacVal,_xlfn.XLOOKUP($A332,Output_Mac!$A:$A,Output_Mac!C:C,""),
_xlpm.MyAuditVal,_xlfn.XLOOKUP($A332,My_Audit!$A:$A,My_Audit!C:C,""),
_xlfn.IFS(_xlpm.MyAuditVal&lt;&gt;"",_xlpm.MyAuditVal,_xlpm.MacVal&lt;&gt;"",_xlpm.MacVal,_xlpm.CSVVal&lt;&gt;"",_xlpm.CSVVal
)),"")</f>
        <v/>
      </c>
      <c r="E332" s="2" t="str">
        <f>_xlfn.XLOOKUP(A332,My_Audit!A:A,My_Audit!D:D,"")&amp;""</f>
        <v/>
      </c>
      <c r="F332" s="2" t="str" cm="1">
        <f t="array" ref="F332">IFERROR(_xlfn.LET(
_xlpm.CSVVal,_xlfn.XLOOKUP($A332,CSV!$A:$A,CSV!F:F,""),
_xlpm.MacVal,_xlfn.XLOOKUP($A332,Output_Mac!$A:$A,Output_Mac!E:E,""),
_xlpm.MyAuditVal,_xlfn.XLOOKUP($A332,My_Audit!$A:$A,My_Audit!E:E,""),
_xlfn.IFS(_xlpm.MyAuditVal&lt;&gt;"",_xlpm.MyAuditVal,_xlpm.MacVal&lt;&gt;"",_xlpm.MacVal,_xlpm.CSVVal&lt;&gt;"",_xlpm.CSVVal
)),"")</f>
        <v/>
      </c>
      <c r="G332" s="2" t="str" cm="1">
        <f t="array" ref="G332">IFERROR(_xlfn.LET(
_xlpm.CSVVal,_xlfn.XLOOKUP($A332,CSV!$A:$A,CSV!G:G,""),
_xlpm.MacVal,_xlfn.XLOOKUP($A332,Output_Mac!$A:$A,Output_Mac!F:F,""),
_xlpm.MyAuditVal,_xlfn.XLOOKUP($A332,My_Audit!$A:$A,My_Audit!F:F,""),
_xlfn.IFS(_xlpm.MyAuditVal&lt;&gt;"",_xlpm.MyAuditVal,_xlpm.MacVal&lt;&gt;"",_xlpm.MacVal,_xlpm.CSVVal&lt;&gt;"",PROPER(_xlpm.CSVVal)
)),"")</f>
        <v/>
      </c>
      <c r="H332" s="2" t="str" cm="1">
        <f t="array" ref="H332">IFERROR(_xlfn.LET(
_xlpm.CSVVal,_xlfn.XLOOKUP($A332,CSV!$A:$A,CSV!H:H,""),
_xlpm.MacVal,_xlfn.XLOOKUP($A332,Output_Mac!$A:$A,Output_Mac!H:H,""),
_xlpm.MyAuditVal,_xlfn.XLOOKUP($A332,My_Audit!$A:$A,My_Audit!G:G,""),
_xlfn.IFS(_xlpm.MyAuditVal&lt;&gt;"",_xlpm.MyAuditVal,_xlpm.MacVal&lt;&gt;"",_xlpm.MacVal,_xlpm.CSVVal&lt;&gt;"",_xlpm.CSVVal
)),"")</f>
        <v/>
      </c>
      <c r="I332" s="2" t="str">
        <f>_xlfn.XLOOKUP(A332,Output_Mac!A:A,Output_Mac!I:I,"")</f>
        <v/>
      </c>
      <c r="J332" s="2" t="str" cm="1">
        <f t="array" ref="J332">IFERROR(_xlfn.LET(
_xlpm.CSVVal,_xlfn.XLOOKUP($A332,CSV!$A:$A,CSV!I:I,""),
_xlpm.MacVal,_xlfn.XLOOKUP($A332,Output_Mac!$A:$A,Output_Mac!J:J,""),
_xlpm.MyAuditVal,_xlfn.XLOOKUP($A332,My_Audit!$A:$A,My_Audit!I:I,""),
_xlfn.IFS(_xlpm.MyAuditVal&lt;&gt;"",UPPER(_xlpm.MyAuditVal),_xlpm.MacVal&lt;&gt;"",_xlpm.MacVal,_xlpm.CSVVal&lt;&gt;"",_xlpm.CSVVal
)),"")</f>
        <v/>
      </c>
      <c r="K332" s="2" t="str" cm="1">
        <f t="array" ref="K332">IFERROR(_xlfn.LET(
_xlpm.CSVVal,_xlfn.XLOOKUP($A332,CSV!$A:$A,CSV!K:K,""),
_xlpm.MacVal,_xlfn.XLOOKUP($A332,Output_Mac!$A:$A,Output_Mac!K:K,""),
_xlpm.MyAuditVal,_xlfn.XLOOKUP($A332,My_Audit!$A:$A,My_Audit!J:J,""),
_xlfn.IFS(_xlpm.MyAuditVal&lt;&gt;"",UPPER(_xlpm.MyAuditVal),_xlpm.MacVal&lt;&gt;"",_xlpm.MacVal,_xlpm.CSVVal&lt;&gt;"",_xlpm.CSVVal
)),"")</f>
        <v/>
      </c>
      <c r="L332" s="2" t="str" cm="1">
        <f t="array" ref="L332">IFERROR(_xlfn.LET(
_xlpm.CSVVal,_xlfn.XLOOKUP($A332,CSV!$A:$A,CSV!P:P,""),
_xlpm.MacVal,_xlfn.XLOOKUP($A332,Output_Mac!$A:$A,Output_Mac!L:L,""),
_xlpm.MyAuditVal,_xlfn.XLOOKUP($A332,My_Audit!$A:$A,My_Audit!K:K,""),
_xlfn.IFS(_xlpm.MyAuditVal&lt;&gt;"",UPPER(_xlpm.MyAuditVal),_xlpm.MacVal&lt;&gt;"",_xlpm.MacVal,_xlpm.CSVVal&lt;&gt;"",_xlpm.CSVVal
)),"")</f>
        <v/>
      </c>
      <c r="M332" s="2" t="str" cm="1">
        <f t="array" ref="M332">IFERROR(_xlfn.LET(
_xlpm.CSVVal,_xlfn.XLOOKUP($A332,CSV!$A:$A,CSV!Q:Q,""),
_xlpm.MacVal,_xlfn.XLOOKUP($A332,Output_Mac!$A:$A,Output_Mac!M:M,""),
_xlpm.MyAuditVal,_xlfn.XLOOKUP($A332,My_Audit!$A:$A,My_Audit!L:L,""),
_xlfn.IFS(_xlpm.MyAuditVal&lt;&gt;"",UPPER(_xlpm.MyAuditVal),_xlpm.MacVal&lt;&gt;"",_xlpm.MacVal,_xlpm.CSVVal&lt;&gt;"",_xlpm.CSVVal
)),"")</f>
        <v/>
      </c>
      <c r="O332" s="2" t="str">
        <f>_xlfn.LET(
    _xlpm.CSVVal, _xlfn.XLOOKUP($A332, CSV!$A:$A, CSV!AF:AF, ""),
    _xlpm.MacVal, _xlfn.XLOOKUP($A332, Output_Mac!$A:$A, Output_Mac!S:S, ""),
    _xlpm.MyAuditVal, _xlfn.XLOOKUP($A332, My_Audit!$A:$A, My_Audit!P:P, ""),
    _xlfn.TEXTJOIN(", ", TRUE, _xlpm.MyAuditVal, _xlpm.MacVal, _xlpm.CSVVal)
)</f>
        <v/>
      </c>
      <c r="P332" s="2" t="str" cm="1">
        <f t="array" ref="P332">IFERROR(_xlfn.LET(
_xlpm.CSVVal,_xlfn.XLOOKUP($A332,CSV!$A:$A,CSV!AG:AG,""),
_xlpm.MacVal,_xlfn.XLOOKUP($A332,Output_Mac!$A:$A,Output_Mac!T:T,""),
_xlpm.MyAuditVal,_xlfn.XLOOKUP($A332,My_Audit!$A:$A,My_Audit!Q:Q,""),
_xlfn.IFS(_xlpm.MyAuditVal&lt;&gt;"",UPPER(_xlpm.MyAuditVal),_xlpm.MacVal&lt;&gt;"",_xlpm.MacVal,_xlpm.CSVVal&lt;&gt;"",_xlpm.CSVVal
)),"No")</f>
        <v>No</v>
      </c>
      <c r="Q332" s="2" t="str" cm="1">
        <f t="array" ref="Q332">IFERROR(_xlfn.LET(
_xlpm.CSVVal,_xlfn.XLOOKUP($A332,CSV!$A:$A,CSV!AH:AH,""),
_xlpm.MacVal,_xlfn.XLOOKUP($A332,Output_Mac!$A:$A,Output_Mac!U:U,""),
_xlpm.MyAuditVal,_xlfn.XLOOKUP($A332,My_Audit!$A:$A,My_Audit!R:R,""),
_xlfn.IFS(_xlpm.MyAuditVal&lt;&gt;"",UPPER(_xlpm.MyAuditVal),_xlpm.MacVal&lt;&gt;"",_xlpm.MacVal,_xlpm.CSVVal&lt;&gt;"",_xlpm.CSVVal
)),"")</f>
        <v/>
      </c>
    </row>
    <row r="333" spans="1:17">
      <c r="A333" s="2" t="str">
        <f>_xlfn.TEXTJOIN("",TRUE,Input!$B$2,ROW(My_Audit!A332))</f>
        <v>XX332</v>
      </c>
      <c r="B333" s="2" t="str">
        <f>_xlfn.TEXTJOIN("-",TRUE,"ITD",Input!$A$2,A333)</f>
        <v>ITD-SHRXXX-XX332</v>
      </c>
      <c r="C333" s="2" t="str" cm="1">
        <f t="array" ref="C333">IFERROR(_xlfn.LET(
_xlpm.CSVVal,_xlfn.XLOOKUP($A333,CSV!$A:$A,CSV!B:B,""),
_xlpm.MacVal,_xlfn.XLOOKUP($A333,Output_Mac!$A:$A,Output_Mac!B:B,""),
_xlpm.MyAuditVal,_xlfn.XLOOKUP($A333,My_Audit!$A:$A,My_Audit!B:B,""),
_xlfn.IFS(_xlpm.MyAuditVal&lt;&gt;"",UPPER(_xlpm.MyAuditVal),_xlpm.MacVal&lt;&gt;"",_xlpm.MacVal,_xlpm.CSVVal&lt;&gt;"",_xlpm.CSVVal
)),"")</f>
        <v/>
      </c>
      <c r="D333" s="2" t="str" cm="1">
        <f t="array" ref="D333">IFERROR(_xlfn.LET(
_xlpm.CSVVal,_xlfn.XLOOKUP($A333,CSV!$A:$A,CSV!D:D,""),
_xlpm.MacVal,_xlfn.XLOOKUP($A333,Output_Mac!$A:$A,Output_Mac!C:C,""),
_xlpm.MyAuditVal,_xlfn.XLOOKUP($A333,My_Audit!$A:$A,My_Audit!C:C,""),
_xlfn.IFS(_xlpm.MyAuditVal&lt;&gt;"",_xlpm.MyAuditVal,_xlpm.MacVal&lt;&gt;"",_xlpm.MacVal,_xlpm.CSVVal&lt;&gt;"",_xlpm.CSVVal
)),"")</f>
        <v/>
      </c>
      <c r="E333" s="2" t="str">
        <f>_xlfn.XLOOKUP(A333,My_Audit!A:A,My_Audit!D:D,"")&amp;""</f>
        <v/>
      </c>
      <c r="F333" s="2" t="str" cm="1">
        <f t="array" ref="F333">IFERROR(_xlfn.LET(
_xlpm.CSVVal,_xlfn.XLOOKUP($A333,CSV!$A:$A,CSV!F:F,""),
_xlpm.MacVal,_xlfn.XLOOKUP($A333,Output_Mac!$A:$A,Output_Mac!E:E,""),
_xlpm.MyAuditVal,_xlfn.XLOOKUP($A333,My_Audit!$A:$A,My_Audit!E:E,""),
_xlfn.IFS(_xlpm.MyAuditVal&lt;&gt;"",_xlpm.MyAuditVal,_xlpm.MacVal&lt;&gt;"",_xlpm.MacVal,_xlpm.CSVVal&lt;&gt;"",_xlpm.CSVVal
)),"")</f>
        <v/>
      </c>
      <c r="G333" s="2" t="str" cm="1">
        <f t="array" ref="G333">IFERROR(_xlfn.LET(
_xlpm.CSVVal,_xlfn.XLOOKUP($A333,CSV!$A:$A,CSV!G:G,""),
_xlpm.MacVal,_xlfn.XLOOKUP($A333,Output_Mac!$A:$A,Output_Mac!F:F,""),
_xlpm.MyAuditVal,_xlfn.XLOOKUP($A333,My_Audit!$A:$A,My_Audit!F:F,""),
_xlfn.IFS(_xlpm.MyAuditVal&lt;&gt;"",_xlpm.MyAuditVal,_xlpm.MacVal&lt;&gt;"",_xlpm.MacVal,_xlpm.CSVVal&lt;&gt;"",PROPER(_xlpm.CSVVal)
)),"")</f>
        <v/>
      </c>
      <c r="H333" s="2" t="str" cm="1">
        <f t="array" ref="H333">IFERROR(_xlfn.LET(
_xlpm.CSVVal,_xlfn.XLOOKUP($A333,CSV!$A:$A,CSV!H:H,""),
_xlpm.MacVal,_xlfn.XLOOKUP($A333,Output_Mac!$A:$A,Output_Mac!H:H,""),
_xlpm.MyAuditVal,_xlfn.XLOOKUP($A333,My_Audit!$A:$A,My_Audit!G:G,""),
_xlfn.IFS(_xlpm.MyAuditVal&lt;&gt;"",_xlpm.MyAuditVal,_xlpm.MacVal&lt;&gt;"",_xlpm.MacVal,_xlpm.CSVVal&lt;&gt;"",_xlpm.CSVVal
)),"")</f>
        <v/>
      </c>
      <c r="I333" s="2" t="str">
        <f>_xlfn.XLOOKUP(A333,Output_Mac!A:A,Output_Mac!I:I,"")</f>
        <v/>
      </c>
      <c r="J333" s="2" t="str" cm="1">
        <f t="array" ref="J333">IFERROR(_xlfn.LET(
_xlpm.CSVVal,_xlfn.XLOOKUP($A333,CSV!$A:$A,CSV!I:I,""),
_xlpm.MacVal,_xlfn.XLOOKUP($A333,Output_Mac!$A:$A,Output_Mac!J:J,""),
_xlpm.MyAuditVal,_xlfn.XLOOKUP($A333,My_Audit!$A:$A,My_Audit!I:I,""),
_xlfn.IFS(_xlpm.MyAuditVal&lt;&gt;"",UPPER(_xlpm.MyAuditVal),_xlpm.MacVal&lt;&gt;"",_xlpm.MacVal,_xlpm.CSVVal&lt;&gt;"",_xlpm.CSVVal
)),"")</f>
        <v/>
      </c>
      <c r="K333" s="2" t="str" cm="1">
        <f t="array" ref="K333">IFERROR(_xlfn.LET(
_xlpm.CSVVal,_xlfn.XLOOKUP($A333,CSV!$A:$A,CSV!K:K,""),
_xlpm.MacVal,_xlfn.XLOOKUP($A333,Output_Mac!$A:$A,Output_Mac!K:K,""),
_xlpm.MyAuditVal,_xlfn.XLOOKUP($A333,My_Audit!$A:$A,My_Audit!J:J,""),
_xlfn.IFS(_xlpm.MyAuditVal&lt;&gt;"",UPPER(_xlpm.MyAuditVal),_xlpm.MacVal&lt;&gt;"",_xlpm.MacVal,_xlpm.CSVVal&lt;&gt;"",_xlpm.CSVVal
)),"")</f>
        <v/>
      </c>
      <c r="L333" s="2" t="str" cm="1">
        <f t="array" ref="L333">IFERROR(_xlfn.LET(
_xlpm.CSVVal,_xlfn.XLOOKUP($A333,CSV!$A:$A,CSV!P:P,""),
_xlpm.MacVal,_xlfn.XLOOKUP($A333,Output_Mac!$A:$A,Output_Mac!L:L,""),
_xlpm.MyAuditVal,_xlfn.XLOOKUP($A333,My_Audit!$A:$A,My_Audit!K:K,""),
_xlfn.IFS(_xlpm.MyAuditVal&lt;&gt;"",UPPER(_xlpm.MyAuditVal),_xlpm.MacVal&lt;&gt;"",_xlpm.MacVal,_xlpm.CSVVal&lt;&gt;"",_xlpm.CSVVal
)),"")</f>
        <v/>
      </c>
      <c r="M333" s="2" t="str" cm="1">
        <f t="array" ref="M333">IFERROR(_xlfn.LET(
_xlpm.CSVVal,_xlfn.XLOOKUP($A333,CSV!$A:$A,CSV!Q:Q,""),
_xlpm.MacVal,_xlfn.XLOOKUP($A333,Output_Mac!$A:$A,Output_Mac!M:M,""),
_xlpm.MyAuditVal,_xlfn.XLOOKUP($A333,My_Audit!$A:$A,My_Audit!L:L,""),
_xlfn.IFS(_xlpm.MyAuditVal&lt;&gt;"",UPPER(_xlpm.MyAuditVal),_xlpm.MacVal&lt;&gt;"",_xlpm.MacVal,_xlpm.CSVVal&lt;&gt;"",_xlpm.CSVVal
)),"")</f>
        <v/>
      </c>
      <c r="O333" s="2" t="str">
        <f>_xlfn.LET(
    _xlpm.CSVVal, _xlfn.XLOOKUP($A333, CSV!$A:$A, CSV!AF:AF, ""),
    _xlpm.MacVal, _xlfn.XLOOKUP($A333, Output_Mac!$A:$A, Output_Mac!S:S, ""),
    _xlpm.MyAuditVal, _xlfn.XLOOKUP($A333, My_Audit!$A:$A, My_Audit!P:P, ""),
    _xlfn.TEXTJOIN(", ", TRUE, _xlpm.MyAuditVal, _xlpm.MacVal, _xlpm.CSVVal)
)</f>
        <v/>
      </c>
      <c r="P333" s="2" t="str" cm="1">
        <f t="array" ref="P333">IFERROR(_xlfn.LET(
_xlpm.CSVVal,_xlfn.XLOOKUP($A333,CSV!$A:$A,CSV!AG:AG,""),
_xlpm.MacVal,_xlfn.XLOOKUP($A333,Output_Mac!$A:$A,Output_Mac!T:T,""),
_xlpm.MyAuditVal,_xlfn.XLOOKUP($A333,My_Audit!$A:$A,My_Audit!Q:Q,""),
_xlfn.IFS(_xlpm.MyAuditVal&lt;&gt;"",UPPER(_xlpm.MyAuditVal),_xlpm.MacVal&lt;&gt;"",_xlpm.MacVal,_xlpm.CSVVal&lt;&gt;"",_xlpm.CSVVal
)),"No")</f>
        <v>No</v>
      </c>
      <c r="Q333" s="2" t="str" cm="1">
        <f t="array" ref="Q333">IFERROR(_xlfn.LET(
_xlpm.CSVVal,_xlfn.XLOOKUP($A333,CSV!$A:$A,CSV!AH:AH,""),
_xlpm.MacVal,_xlfn.XLOOKUP($A333,Output_Mac!$A:$A,Output_Mac!U:U,""),
_xlpm.MyAuditVal,_xlfn.XLOOKUP($A333,My_Audit!$A:$A,My_Audit!R:R,""),
_xlfn.IFS(_xlpm.MyAuditVal&lt;&gt;"",UPPER(_xlpm.MyAuditVal),_xlpm.MacVal&lt;&gt;"",_xlpm.MacVal,_xlpm.CSVVal&lt;&gt;"",_xlpm.CSVVal
)),"")</f>
        <v/>
      </c>
    </row>
    <row r="334" spans="1:17">
      <c r="A334" s="2" t="str">
        <f>_xlfn.TEXTJOIN("",TRUE,Input!$B$2,ROW(My_Audit!A333))</f>
        <v>XX333</v>
      </c>
      <c r="B334" s="2" t="str">
        <f>_xlfn.TEXTJOIN("-",TRUE,"ITD",Input!$A$2,A334)</f>
        <v>ITD-SHRXXX-XX333</v>
      </c>
      <c r="C334" s="2" t="str" cm="1">
        <f t="array" ref="C334">IFERROR(_xlfn.LET(
_xlpm.CSVVal,_xlfn.XLOOKUP($A334,CSV!$A:$A,CSV!B:B,""),
_xlpm.MacVal,_xlfn.XLOOKUP($A334,Output_Mac!$A:$A,Output_Mac!B:B,""),
_xlpm.MyAuditVal,_xlfn.XLOOKUP($A334,My_Audit!$A:$A,My_Audit!B:B,""),
_xlfn.IFS(_xlpm.MyAuditVal&lt;&gt;"",UPPER(_xlpm.MyAuditVal),_xlpm.MacVal&lt;&gt;"",_xlpm.MacVal,_xlpm.CSVVal&lt;&gt;"",_xlpm.CSVVal
)),"")</f>
        <v/>
      </c>
      <c r="D334" s="2" t="str" cm="1">
        <f t="array" ref="D334">IFERROR(_xlfn.LET(
_xlpm.CSVVal,_xlfn.XLOOKUP($A334,CSV!$A:$A,CSV!D:D,""),
_xlpm.MacVal,_xlfn.XLOOKUP($A334,Output_Mac!$A:$A,Output_Mac!C:C,""),
_xlpm.MyAuditVal,_xlfn.XLOOKUP($A334,My_Audit!$A:$A,My_Audit!C:C,""),
_xlfn.IFS(_xlpm.MyAuditVal&lt;&gt;"",_xlpm.MyAuditVal,_xlpm.MacVal&lt;&gt;"",_xlpm.MacVal,_xlpm.CSVVal&lt;&gt;"",_xlpm.CSVVal
)),"")</f>
        <v/>
      </c>
      <c r="E334" s="2" t="str">
        <f>_xlfn.XLOOKUP(A334,My_Audit!A:A,My_Audit!D:D,"")&amp;""</f>
        <v/>
      </c>
      <c r="F334" s="2" t="str" cm="1">
        <f t="array" ref="F334">IFERROR(_xlfn.LET(
_xlpm.CSVVal,_xlfn.XLOOKUP($A334,CSV!$A:$A,CSV!F:F,""),
_xlpm.MacVal,_xlfn.XLOOKUP($A334,Output_Mac!$A:$A,Output_Mac!E:E,""),
_xlpm.MyAuditVal,_xlfn.XLOOKUP($A334,My_Audit!$A:$A,My_Audit!E:E,""),
_xlfn.IFS(_xlpm.MyAuditVal&lt;&gt;"",_xlpm.MyAuditVal,_xlpm.MacVal&lt;&gt;"",_xlpm.MacVal,_xlpm.CSVVal&lt;&gt;"",_xlpm.CSVVal
)),"")</f>
        <v/>
      </c>
      <c r="G334" s="2" t="str" cm="1">
        <f t="array" ref="G334">IFERROR(_xlfn.LET(
_xlpm.CSVVal,_xlfn.XLOOKUP($A334,CSV!$A:$A,CSV!G:G,""),
_xlpm.MacVal,_xlfn.XLOOKUP($A334,Output_Mac!$A:$A,Output_Mac!F:F,""),
_xlpm.MyAuditVal,_xlfn.XLOOKUP($A334,My_Audit!$A:$A,My_Audit!F:F,""),
_xlfn.IFS(_xlpm.MyAuditVal&lt;&gt;"",_xlpm.MyAuditVal,_xlpm.MacVal&lt;&gt;"",_xlpm.MacVal,_xlpm.CSVVal&lt;&gt;"",PROPER(_xlpm.CSVVal)
)),"")</f>
        <v/>
      </c>
      <c r="H334" s="2" t="str" cm="1">
        <f t="array" ref="H334">IFERROR(_xlfn.LET(
_xlpm.CSVVal,_xlfn.XLOOKUP($A334,CSV!$A:$A,CSV!H:H,""),
_xlpm.MacVal,_xlfn.XLOOKUP($A334,Output_Mac!$A:$A,Output_Mac!H:H,""),
_xlpm.MyAuditVal,_xlfn.XLOOKUP($A334,My_Audit!$A:$A,My_Audit!G:G,""),
_xlfn.IFS(_xlpm.MyAuditVal&lt;&gt;"",_xlpm.MyAuditVal,_xlpm.MacVal&lt;&gt;"",_xlpm.MacVal,_xlpm.CSVVal&lt;&gt;"",_xlpm.CSVVal
)),"")</f>
        <v/>
      </c>
      <c r="I334" s="2" t="str">
        <f>_xlfn.XLOOKUP(A334,Output_Mac!A:A,Output_Mac!I:I,"")</f>
        <v/>
      </c>
      <c r="J334" s="2" t="str" cm="1">
        <f t="array" ref="J334">IFERROR(_xlfn.LET(
_xlpm.CSVVal,_xlfn.XLOOKUP($A334,CSV!$A:$A,CSV!I:I,""),
_xlpm.MacVal,_xlfn.XLOOKUP($A334,Output_Mac!$A:$A,Output_Mac!J:J,""),
_xlpm.MyAuditVal,_xlfn.XLOOKUP($A334,My_Audit!$A:$A,My_Audit!I:I,""),
_xlfn.IFS(_xlpm.MyAuditVal&lt;&gt;"",UPPER(_xlpm.MyAuditVal),_xlpm.MacVal&lt;&gt;"",_xlpm.MacVal,_xlpm.CSVVal&lt;&gt;"",_xlpm.CSVVal
)),"")</f>
        <v/>
      </c>
      <c r="K334" s="2" t="str" cm="1">
        <f t="array" ref="K334">IFERROR(_xlfn.LET(
_xlpm.CSVVal,_xlfn.XLOOKUP($A334,CSV!$A:$A,CSV!K:K,""),
_xlpm.MacVal,_xlfn.XLOOKUP($A334,Output_Mac!$A:$A,Output_Mac!K:K,""),
_xlpm.MyAuditVal,_xlfn.XLOOKUP($A334,My_Audit!$A:$A,My_Audit!J:J,""),
_xlfn.IFS(_xlpm.MyAuditVal&lt;&gt;"",UPPER(_xlpm.MyAuditVal),_xlpm.MacVal&lt;&gt;"",_xlpm.MacVal,_xlpm.CSVVal&lt;&gt;"",_xlpm.CSVVal
)),"")</f>
        <v/>
      </c>
      <c r="L334" s="2" t="str" cm="1">
        <f t="array" ref="L334">IFERROR(_xlfn.LET(
_xlpm.CSVVal,_xlfn.XLOOKUP($A334,CSV!$A:$A,CSV!P:P,""),
_xlpm.MacVal,_xlfn.XLOOKUP($A334,Output_Mac!$A:$A,Output_Mac!L:L,""),
_xlpm.MyAuditVal,_xlfn.XLOOKUP($A334,My_Audit!$A:$A,My_Audit!K:K,""),
_xlfn.IFS(_xlpm.MyAuditVal&lt;&gt;"",UPPER(_xlpm.MyAuditVal),_xlpm.MacVal&lt;&gt;"",_xlpm.MacVal,_xlpm.CSVVal&lt;&gt;"",_xlpm.CSVVal
)),"")</f>
        <v/>
      </c>
      <c r="M334" s="2" t="str" cm="1">
        <f t="array" ref="M334">IFERROR(_xlfn.LET(
_xlpm.CSVVal,_xlfn.XLOOKUP($A334,CSV!$A:$A,CSV!Q:Q,""),
_xlpm.MacVal,_xlfn.XLOOKUP($A334,Output_Mac!$A:$A,Output_Mac!M:M,""),
_xlpm.MyAuditVal,_xlfn.XLOOKUP($A334,My_Audit!$A:$A,My_Audit!L:L,""),
_xlfn.IFS(_xlpm.MyAuditVal&lt;&gt;"",UPPER(_xlpm.MyAuditVal),_xlpm.MacVal&lt;&gt;"",_xlpm.MacVal,_xlpm.CSVVal&lt;&gt;"",_xlpm.CSVVal
)),"")</f>
        <v/>
      </c>
      <c r="O334" s="2" t="str">
        <f>_xlfn.LET(
    _xlpm.CSVVal, _xlfn.XLOOKUP($A334, CSV!$A:$A, CSV!AF:AF, ""),
    _xlpm.MacVal, _xlfn.XLOOKUP($A334, Output_Mac!$A:$A, Output_Mac!S:S, ""),
    _xlpm.MyAuditVal, _xlfn.XLOOKUP($A334, My_Audit!$A:$A, My_Audit!P:P, ""),
    _xlfn.TEXTJOIN(", ", TRUE, _xlpm.MyAuditVal, _xlpm.MacVal, _xlpm.CSVVal)
)</f>
        <v/>
      </c>
      <c r="P334" s="2" t="str" cm="1">
        <f t="array" ref="P334">IFERROR(_xlfn.LET(
_xlpm.CSVVal,_xlfn.XLOOKUP($A334,CSV!$A:$A,CSV!AG:AG,""),
_xlpm.MacVal,_xlfn.XLOOKUP($A334,Output_Mac!$A:$A,Output_Mac!T:T,""),
_xlpm.MyAuditVal,_xlfn.XLOOKUP($A334,My_Audit!$A:$A,My_Audit!Q:Q,""),
_xlfn.IFS(_xlpm.MyAuditVal&lt;&gt;"",UPPER(_xlpm.MyAuditVal),_xlpm.MacVal&lt;&gt;"",_xlpm.MacVal,_xlpm.CSVVal&lt;&gt;"",_xlpm.CSVVal
)),"No")</f>
        <v>No</v>
      </c>
      <c r="Q334" s="2" t="str" cm="1">
        <f t="array" ref="Q334">IFERROR(_xlfn.LET(
_xlpm.CSVVal,_xlfn.XLOOKUP($A334,CSV!$A:$A,CSV!AH:AH,""),
_xlpm.MacVal,_xlfn.XLOOKUP($A334,Output_Mac!$A:$A,Output_Mac!U:U,""),
_xlpm.MyAuditVal,_xlfn.XLOOKUP($A334,My_Audit!$A:$A,My_Audit!R:R,""),
_xlfn.IFS(_xlpm.MyAuditVal&lt;&gt;"",UPPER(_xlpm.MyAuditVal),_xlpm.MacVal&lt;&gt;"",_xlpm.MacVal,_xlpm.CSVVal&lt;&gt;"",_xlpm.CSVVal
)),"")</f>
        <v/>
      </c>
    </row>
    <row r="335" spans="1:17">
      <c r="A335" s="2" t="str">
        <f>_xlfn.TEXTJOIN("",TRUE,Input!$B$2,ROW(My_Audit!A334))</f>
        <v>XX334</v>
      </c>
      <c r="B335" s="2" t="str">
        <f>_xlfn.TEXTJOIN("-",TRUE,"ITD",Input!$A$2,A335)</f>
        <v>ITD-SHRXXX-XX334</v>
      </c>
      <c r="C335" s="2" t="str" cm="1">
        <f t="array" ref="C335">IFERROR(_xlfn.LET(
_xlpm.CSVVal,_xlfn.XLOOKUP($A335,CSV!$A:$A,CSV!B:B,""),
_xlpm.MacVal,_xlfn.XLOOKUP($A335,Output_Mac!$A:$A,Output_Mac!B:B,""),
_xlpm.MyAuditVal,_xlfn.XLOOKUP($A335,My_Audit!$A:$A,My_Audit!B:B,""),
_xlfn.IFS(_xlpm.MyAuditVal&lt;&gt;"",UPPER(_xlpm.MyAuditVal),_xlpm.MacVal&lt;&gt;"",_xlpm.MacVal,_xlpm.CSVVal&lt;&gt;"",_xlpm.CSVVal
)),"")</f>
        <v/>
      </c>
      <c r="D335" s="2" t="str" cm="1">
        <f t="array" ref="D335">IFERROR(_xlfn.LET(
_xlpm.CSVVal,_xlfn.XLOOKUP($A335,CSV!$A:$A,CSV!D:D,""),
_xlpm.MacVal,_xlfn.XLOOKUP($A335,Output_Mac!$A:$A,Output_Mac!C:C,""),
_xlpm.MyAuditVal,_xlfn.XLOOKUP($A335,My_Audit!$A:$A,My_Audit!C:C,""),
_xlfn.IFS(_xlpm.MyAuditVal&lt;&gt;"",_xlpm.MyAuditVal,_xlpm.MacVal&lt;&gt;"",_xlpm.MacVal,_xlpm.CSVVal&lt;&gt;"",_xlpm.CSVVal
)),"")</f>
        <v/>
      </c>
      <c r="E335" s="2" t="str">
        <f>_xlfn.XLOOKUP(A335,My_Audit!A:A,My_Audit!D:D,"")&amp;""</f>
        <v/>
      </c>
      <c r="F335" s="2" t="str" cm="1">
        <f t="array" ref="F335">IFERROR(_xlfn.LET(
_xlpm.CSVVal,_xlfn.XLOOKUP($A335,CSV!$A:$A,CSV!F:F,""),
_xlpm.MacVal,_xlfn.XLOOKUP($A335,Output_Mac!$A:$A,Output_Mac!E:E,""),
_xlpm.MyAuditVal,_xlfn.XLOOKUP($A335,My_Audit!$A:$A,My_Audit!E:E,""),
_xlfn.IFS(_xlpm.MyAuditVal&lt;&gt;"",_xlpm.MyAuditVal,_xlpm.MacVal&lt;&gt;"",_xlpm.MacVal,_xlpm.CSVVal&lt;&gt;"",_xlpm.CSVVal
)),"")</f>
        <v/>
      </c>
      <c r="G335" s="2" t="str" cm="1">
        <f t="array" ref="G335">IFERROR(_xlfn.LET(
_xlpm.CSVVal,_xlfn.XLOOKUP($A335,CSV!$A:$A,CSV!G:G,""),
_xlpm.MacVal,_xlfn.XLOOKUP($A335,Output_Mac!$A:$A,Output_Mac!F:F,""),
_xlpm.MyAuditVal,_xlfn.XLOOKUP($A335,My_Audit!$A:$A,My_Audit!F:F,""),
_xlfn.IFS(_xlpm.MyAuditVal&lt;&gt;"",_xlpm.MyAuditVal,_xlpm.MacVal&lt;&gt;"",_xlpm.MacVal,_xlpm.CSVVal&lt;&gt;"",PROPER(_xlpm.CSVVal)
)),"")</f>
        <v/>
      </c>
      <c r="H335" s="2" t="str" cm="1">
        <f t="array" ref="H335">IFERROR(_xlfn.LET(
_xlpm.CSVVal,_xlfn.XLOOKUP($A335,CSV!$A:$A,CSV!H:H,""),
_xlpm.MacVal,_xlfn.XLOOKUP($A335,Output_Mac!$A:$A,Output_Mac!H:H,""),
_xlpm.MyAuditVal,_xlfn.XLOOKUP($A335,My_Audit!$A:$A,My_Audit!G:G,""),
_xlfn.IFS(_xlpm.MyAuditVal&lt;&gt;"",_xlpm.MyAuditVal,_xlpm.MacVal&lt;&gt;"",_xlpm.MacVal,_xlpm.CSVVal&lt;&gt;"",_xlpm.CSVVal
)),"")</f>
        <v/>
      </c>
      <c r="I335" s="2" t="str">
        <f>_xlfn.XLOOKUP(A335,Output_Mac!A:A,Output_Mac!I:I,"")</f>
        <v/>
      </c>
      <c r="J335" s="2" t="str" cm="1">
        <f t="array" ref="J335">IFERROR(_xlfn.LET(
_xlpm.CSVVal,_xlfn.XLOOKUP($A335,CSV!$A:$A,CSV!I:I,""),
_xlpm.MacVal,_xlfn.XLOOKUP($A335,Output_Mac!$A:$A,Output_Mac!J:J,""),
_xlpm.MyAuditVal,_xlfn.XLOOKUP($A335,My_Audit!$A:$A,My_Audit!I:I,""),
_xlfn.IFS(_xlpm.MyAuditVal&lt;&gt;"",UPPER(_xlpm.MyAuditVal),_xlpm.MacVal&lt;&gt;"",_xlpm.MacVal,_xlpm.CSVVal&lt;&gt;"",_xlpm.CSVVal
)),"")</f>
        <v/>
      </c>
      <c r="K335" s="2" t="str" cm="1">
        <f t="array" ref="K335">IFERROR(_xlfn.LET(
_xlpm.CSVVal,_xlfn.XLOOKUP($A335,CSV!$A:$A,CSV!K:K,""),
_xlpm.MacVal,_xlfn.XLOOKUP($A335,Output_Mac!$A:$A,Output_Mac!K:K,""),
_xlpm.MyAuditVal,_xlfn.XLOOKUP($A335,My_Audit!$A:$A,My_Audit!J:J,""),
_xlfn.IFS(_xlpm.MyAuditVal&lt;&gt;"",UPPER(_xlpm.MyAuditVal),_xlpm.MacVal&lt;&gt;"",_xlpm.MacVal,_xlpm.CSVVal&lt;&gt;"",_xlpm.CSVVal
)),"")</f>
        <v/>
      </c>
      <c r="L335" s="2" t="str" cm="1">
        <f t="array" ref="L335">IFERROR(_xlfn.LET(
_xlpm.CSVVal,_xlfn.XLOOKUP($A335,CSV!$A:$A,CSV!P:P,""),
_xlpm.MacVal,_xlfn.XLOOKUP($A335,Output_Mac!$A:$A,Output_Mac!L:L,""),
_xlpm.MyAuditVal,_xlfn.XLOOKUP($A335,My_Audit!$A:$A,My_Audit!K:K,""),
_xlfn.IFS(_xlpm.MyAuditVal&lt;&gt;"",UPPER(_xlpm.MyAuditVal),_xlpm.MacVal&lt;&gt;"",_xlpm.MacVal,_xlpm.CSVVal&lt;&gt;"",_xlpm.CSVVal
)),"")</f>
        <v/>
      </c>
      <c r="M335" s="2" t="str" cm="1">
        <f t="array" ref="M335">IFERROR(_xlfn.LET(
_xlpm.CSVVal,_xlfn.XLOOKUP($A335,CSV!$A:$A,CSV!Q:Q,""),
_xlpm.MacVal,_xlfn.XLOOKUP($A335,Output_Mac!$A:$A,Output_Mac!M:M,""),
_xlpm.MyAuditVal,_xlfn.XLOOKUP($A335,My_Audit!$A:$A,My_Audit!L:L,""),
_xlfn.IFS(_xlpm.MyAuditVal&lt;&gt;"",UPPER(_xlpm.MyAuditVal),_xlpm.MacVal&lt;&gt;"",_xlpm.MacVal,_xlpm.CSVVal&lt;&gt;"",_xlpm.CSVVal
)),"")</f>
        <v/>
      </c>
      <c r="O335" s="2" t="str">
        <f>_xlfn.LET(
    _xlpm.CSVVal, _xlfn.XLOOKUP($A335, CSV!$A:$A, CSV!AF:AF, ""),
    _xlpm.MacVal, _xlfn.XLOOKUP($A335, Output_Mac!$A:$A, Output_Mac!S:S, ""),
    _xlpm.MyAuditVal, _xlfn.XLOOKUP($A335, My_Audit!$A:$A, My_Audit!P:P, ""),
    _xlfn.TEXTJOIN(", ", TRUE, _xlpm.MyAuditVal, _xlpm.MacVal, _xlpm.CSVVal)
)</f>
        <v/>
      </c>
      <c r="P335" s="2" t="str" cm="1">
        <f t="array" ref="P335">IFERROR(_xlfn.LET(
_xlpm.CSVVal,_xlfn.XLOOKUP($A335,CSV!$A:$A,CSV!AG:AG,""),
_xlpm.MacVal,_xlfn.XLOOKUP($A335,Output_Mac!$A:$A,Output_Mac!T:T,""),
_xlpm.MyAuditVal,_xlfn.XLOOKUP($A335,My_Audit!$A:$A,My_Audit!Q:Q,""),
_xlfn.IFS(_xlpm.MyAuditVal&lt;&gt;"",UPPER(_xlpm.MyAuditVal),_xlpm.MacVal&lt;&gt;"",_xlpm.MacVal,_xlpm.CSVVal&lt;&gt;"",_xlpm.CSVVal
)),"No")</f>
        <v>No</v>
      </c>
      <c r="Q335" s="2" t="str" cm="1">
        <f t="array" ref="Q335">IFERROR(_xlfn.LET(
_xlpm.CSVVal,_xlfn.XLOOKUP($A335,CSV!$A:$A,CSV!AH:AH,""),
_xlpm.MacVal,_xlfn.XLOOKUP($A335,Output_Mac!$A:$A,Output_Mac!U:U,""),
_xlpm.MyAuditVal,_xlfn.XLOOKUP($A335,My_Audit!$A:$A,My_Audit!R:R,""),
_xlfn.IFS(_xlpm.MyAuditVal&lt;&gt;"",UPPER(_xlpm.MyAuditVal),_xlpm.MacVal&lt;&gt;"",_xlpm.MacVal,_xlpm.CSVVal&lt;&gt;"",_xlpm.CSVVal
)),"")</f>
        <v/>
      </c>
    </row>
    <row r="336" spans="1:17">
      <c r="A336" s="2" t="str">
        <f>_xlfn.TEXTJOIN("",TRUE,Input!$B$2,ROW(My_Audit!A335))</f>
        <v>XX335</v>
      </c>
      <c r="B336" s="2" t="str">
        <f>_xlfn.TEXTJOIN("-",TRUE,"ITD",Input!$A$2,A336)</f>
        <v>ITD-SHRXXX-XX335</v>
      </c>
      <c r="C336" s="2" t="str" cm="1">
        <f t="array" ref="C336">IFERROR(_xlfn.LET(
_xlpm.CSVVal,_xlfn.XLOOKUP($A336,CSV!$A:$A,CSV!B:B,""),
_xlpm.MacVal,_xlfn.XLOOKUP($A336,Output_Mac!$A:$A,Output_Mac!B:B,""),
_xlpm.MyAuditVal,_xlfn.XLOOKUP($A336,My_Audit!$A:$A,My_Audit!B:B,""),
_xlfn.IFS(_xlpm.MyAuditVal&lt;&gt;"",UPPER(_xlpm.MyAuditVal),_xlpm.MacVal&lt;&gt;"",_xlpm.MacVal,_xlpm.CSVVal&lt;&gt;"",_xlpm.CSVVal
)),"")</f>
        <v/>
      </c>
      <c r="D336" s="2" t="str" cm="1">
        <f t="array" ref="D336">IFERROR(_xlfn.LET(
_xlpm.CSVVal,_xlfn.XLOOKUP($A336,CSV!$A:$A,CSV!D:D,""),
_xlpm.MacVal,_xlfn.XLOOKUP($A336,Output_Mac!$A:$A,Output_Mac!C:C,""),
_xlpm.MyAuditVal,_xlfn.XLOOKUP($A336,My_Audit!$A:$A,My_Audit!C:C,""),
_xlfn.IFS(_xlpm.MyAuditVal&lt;&gt;"",_xlpm.MyAuditVal,_xlpm.MacVal&lt;&gt;"",_xlpm.MacVal,_xlpm.CSVVal&lt;&gt;"",_xlpm.CSVVal
)),"")</f>
        <v/>
      </c>
      <c r="E336" s="2" t="str">
        <f>_xlfn.XLOOKUP(A336,My_Audit!A:A,My_Audit!D:D,"")&amp;""</f>
        <v/>
      </c>
      <c r="F336" s="2" t="str" cm="1">
        <f t="array" ref="F336">IFERROR(_xlfn.LET(
_xlpm.CSVVal,_xlfn.XLOOKUP($A336,CSV!$A:$A,CSV!F:F,""),
_xlpm.MacVal,_xlfn.XLOOKUP($A336,Output_Mac!$A:$A,Output_Mac!E:E,""),
_xlpm.MyAuditVal,_xlfn.XLOOKUP($A336,My_Audit!$A:$A,My_Audit!E:E,""),
_xlfn.IFS(_xlpm.MyAuditVal&lt;&gt;"",_xlpm.MyAuditVal,_xlpm.MacVal&lt;&gt;"",_xlpm.MacVal,_xlpm.CSVVal&lt;&gt;"",_xlpm.CSVVal
)),"")</f>
        <v/>
      </c>
      <c r="G336" s="2" t="str" cm="1">
        <f t="array" ref="G336">IFERROR(_xlfn.LET(
_xlpm.CSVVal,_xlfn.XLOOKUP($A336,CSV!$A:$A,CSV!G:G,""),
_xlpm.MacVal,_xlfn.XLOOKUP($A336,Output_Mac!$A:$A,Output_Mac!F:F,""),
_xlpm.MyAuditVal,_xlfn.XLOOKUP($A336,My_Audit!$A:$A,My_Audit!F:F,""),
_xlfn.IFS(_xlpm.MyAuditVal&lt;&gt;"",_xlpm.MyAuditVal,_xlpm.MacVal&lt;&gt;"",_xlpm.MacVal,_xlpm.CSVVal&lt;&gt;"",PROPER(_xlpm.CSVVal)
)),"")</f>
        <v/>
      </c>
      <c r="H336" s="2" t="str" cm="1">
        <f t="array" ref="H336">IFERROR(_xlfn.LET(
_xlpm.CSVVal,_xlfn.XLOOKUP($A336,CSV!$A:$A,CSV!H:H,""),
_xlpm.MacVal,_xlfn.XLOOKUP($A336,Output_Mac!$A:$A,Output_Mac!H:H,""),
_xlpm.MyAuditVal,_xlfn.XLOOKUP($A336,My_Audit!$A:$A,My_Audit!G:G,""),
_xlfn.IFS(_xlpm.MyAuditVal&lt;&gt;"",_xlpm.MyAuditVal,_xlpm.MacVal&lt;&gt;"",_xlpm.MacVal,_xlpm.CSVVal&lt;&gt;"",_xlpm.CSVVal
)),"")</f>
        <v/>
      </c>
      <c r="I336" s="2" t="str">
        <f>_xlfn.XLOOKUP(A336,Output_Mac!A:A,Output_Mac!I:I,"")</f>
        <v/>
      </c>
      <c r="J336" s="2" t="str" cm="1">
        <f t="array" ref="J336">IFERROR(_xlfn.LET(
_xlpm.CSVVal,_xlfn.XLOOKUP($A336,CSV!$A:$A,CSV!I:I,""),
_xlpm.MacVal,_xlfn.XLOOKUP($A336,Output_Mac!$A:$A,Output_Mac!J:J,""),
_xlpm.MyAuditVal,_xlfn.XLOOKUP($A336,My_Audit!$A:$A,My_Audit!I:I,""),
_xlfn.IFS(_xlpm.MyAuditVal&lt;&gt;"",UPPER(_xlpm.MyAuditVal),_xlpm.MacVal&lt;&gt;"",_xlpm.MacVal,_xlpm.CSVVal&lt;&gt;"",_xlpm.CSVVal
)),"")</f>
        <v/>
      </c>
      <c r="K336" s="2" t="str" cm="1">
        <f t="array" ref="K336">IFERROR(_xlfn.LET(
_xlpm.CSVVal,_xlfn.XLOOKUP($A336,CSV!$A:$A,CSV!K:K,""),
_xlpm.MacVal,_xlfn.XLOOKUP($A336,Output_Mac!$A:$A,Output_Mac!K:K,""),
_xlpm.MyAuditVal,_xlfn.XLOOKUP($A336,My_Audit!$A:$A,My_Audit!J:J,""),
_xlfn.IFS(_xlpm.MyAuditVal&lt;&gt;"",UPPER(_xlpm.MyAuditVal),_xlpm.MacVal&lt;&gt;"",_xlpm.MacVal,_xlpm.CSVVal&lt;&gt;"",_xlpm.CSVVal
)),"")</f>
        <v/>
      </c>
      <c r="L336" s="2" t="str" cm="1">
        <f t="array" ref="L336">IFERROR(_xlfn.LET(
_xlpm.CSVVal,_xlfn.XLOOKUP($A336,CSV!$A:$A,CSV!P:P,""),
_xlpm.MacVal,_xlfn.XLOOKUP($A336,Output_Mac!$A:$A,Output_Mac!L:L,""),
_xlpm.MyAuditVal,_xlfn.XLOOKUP($A336,My_Audit!$A:$A,My_Audit!K:K,""),
_xlfn.IFS(_xlpm.MyAuditVal&lt;&gt;"",UPPER(_xlpm.MyAuditVal),_xlpm.MacVal&lt;&gt;"",_xlpm.MacVal,_xlpm.CSVVal&lt;&gt;"",_xlpm.CSVVal
)),"")</f>
        <v/>
      </c>
      <c r="M336" s="2" t="str" cm="1">
        <f t="array" ref="M336">IFERROR(_xlfn.LET(
_xlpm.CSVVal,_xlfn.XLOOKUP($A336,CSV!$A:$A,CSV!Q:Q,""),
_xlpm.MacVal,_xlfn.XLOOKUP($A336,Output_Mac!$A:$A,Output_Mac!M:M,""),
_xlpm.MyAuditVal,_xlfn.XLOOKUP($A336,My_Audit!$A:$A,My_Audit!L:L,""),
_xlfn.IFS(_xlpm.MyAuditVal&lt;&gt;"",UPPER(_xlpm.MyAuditVal),_xlpm.MacVal&lt;&gt;"",_xlpm.MacVal,_xlpm.CSVVal&lt;&gt;"",_xlpm.CSVVal
)),"")</f>
        <v/>
      </c>
      <c r="O336" s="2" t="str">
        <f>_xlfn.LET(
    _xlpm.CSVVal, _xlfn.XLOOKUP($A336, CSV!$A:$A, CSV!AF:AF, ""),
    _xlpm.MacVal, _xlfn.XLOOKUP($A336, Output_Mac!$A:$A, Output_Mac!S:S, ""),
    _xlpm.MyAuditVal, _xlfn.XLOOKUP($A336, My_Audit!$A:$A, My_Audit!P:P, ""),
    _xlfn.TEXTJOIN(", ", TRUE, _xlpm.MyAuditVal, _xlpm.MacVal, _xlpm.CSVVal)
)</f>
        <v/>
      </c>
      <c r="P336" s="2" t="str" cm="1">
        <f t="array" ref="P336">IFERROR(_xlfn.LET(
_xlpm.CSVVal,_xlfn.XLOOKUP($A336,CSV!$A:$A,CSV!AG:AG,""),
_xlpm.MacVal,_xlfn.XLOOKUP($A336,Output_Mac!$A:$A,Output_Mac!T:T,""),
_xlpm.MyAuditVal,_xlfn.XLOOKUP($A336,My_Audit!$A:$A,My_Audit!Q:Q,""),
_xlfn.IFS(_xlpm.MyAuditVal&lt;&gt;"",UPPER(_xlpm.MyAuditVal),_xlpm.MacVal&lt;&gt;"",_xlpm.MacVal,_xlpm.CSVVal&lt;&gt;"",_xlpm.CSVVal
)),"No")</f>
        <v>No</v>
      </c>
      <c r="Q336" s="2" t="str" cm="1">
        <f t="array" ref="Q336">IFERROR(_xlfn.LET(
_xlpm.CSVVal,_xlfn.XLOOKUP($A336,CSV!$A:$A,CSV!AH:AH,""),
_xlpm.MacVal,_xlfn.XLOOKUP($A336,Output_Mac!$A:$A,Output_Mac!U:U,""),
_xlpm.MyAuditVal,_xlfn.XLOOKUP($A336,My_Audit!$A:$A,My_Audit!R:R,""),
_xlfn.IFS(_xlpm.MyAuditVal&lt;&gt;"",UPPER(_xlpm.MyAuditVal),_xlpm.MacVal&lt;&gt;"",_xlpm.MacVal,_xlpm.CSVVal&lt;&gt;"",_xlpm.CSVVal
)),"")</f>
        <v/>
      </c>
    </row>
    <row r="337" spans="1:17">
      <c r="A337" s="2" t="str">
        <f>_xlfn.TEXTJOIN("",TRUE,Input!$B$2,ROW(My_Audit!A336))</f>
        <v>XX336</v>
      </c>
      <c r="B337" s="2" t="str">
        <f>_xlfn.TEXTJOIN("-",TRUE,"ITD",Input!$A$2,A337)</f>
        <v>ITD-SHRXXX-XX336</v>
      </c>
      <c r="C337" s="2" t="str" cm="1">
        <f t="array" ref="C337">IFERROR(_xlfn.LET(
_xlpm.CSVVal,_xlfn.XLOOKUP($A337,CSV!$A:$A,CSV!B:B,""),
_xlpm.MacVal,_xlfn.XLOOKUP($A337,Output_Mac!$A:$A,Output_Mac!B:B,""),
_xlpm.MyAuditVal,_xlfn.XLOOKUP($A337,My_Audit!$A:$A,My_Audit!B:B,""),
_xlfn.IFS(_xlpm.MyAuditVal&lt;&gt;"",UPPER(_xlpm.MyAuditVal),_xlpm.MacVal&lt;&gt;"",_xlpm.MacVal,_xlpm.CSVVal&lt;&gt;"",_xlpm.CSVVal
)),"")</f>
        <v/>
      </c>
      <c r="D337" s="2" t="str" cm="1">
        <f t="array" ref="D337">IFERROR(_xlfn.LET(
_xlpm.CSVVal,_xlfn.XLOOKUP($A337,CSV!$A:$A,CSV!D:D,""),
_xlpm.MacVal,_xlfn.XLOOKUP($A337,Output_Mac!$A:$A,Output_Mac!C:C,""),
_xlpm.MyAuditVal,_xlfn.XLOOKUP($A337,My_Audit!$A:$A,My_Audit!C:C,""),
_xlfn.IFS(_xlpm.MyAuditVal&lt;&gt;"",_xlpm.MyAuditVal,_xlpm.MacVal&lt;&gt;"",_xlpm.MacVal,_xlpm.CSVVal&lt;&gt;"",_xlpm.CSVVal
)),"")</f>
        <v/>
      </c>
      <c r="E337" s="2" t="str">
        <f>_xlfn.XLOOKUP(A337,My_Audit!A:A,My_Audit!D:D,"")&amp;""</f>
        <v/>
      </c>
      <c r="F337" s="2" t="str" cm="1">
        <f t="array" ref="F337">IFERROR(_xlfn.LET(
_xlpm.CSVVal,_xlfn.XLOOKUP($A337,CSV!$A:$A,CSV!F:F,""),
_xlpm.MacVal,_xlfn.XLOOKUP($A337,Output_Mac!$A:$A,Output_Mac!E:E,""),
_xlpm.MyAuditVal,_xlfn.XLOOKUP($A337,My_Audit!$A:$A,My_Audit!E:E,""),
_xlfn.IFS(_xlpm.MyAuditVal&lt;&gt;"",_xlpm.MyAuditVal,_xlpm.MacVal&lt;&gt;"",_xlpm.MacVal,_xlpm.CSVVal&lt;&gt;"",_xlpm.CSVVal
)),"")</f>
        <v/>
      </c>
      <c r="G337" s="2" t="str" cm="1">
        <f t="array" ref="G337">IFERROR(_xlfn.LET(
_xlpm.CSVVal,_xlfn.XLOOKUP($A337,CSV!$A:$A,CSV!G:G,""),
_xlpm.MacVal,_xlfn.XLOOKUP($A337,Output_Mac!$A:$A,Output_Mac!F:F,""),
_xlpm.MyAuditVal,_xlfn.XLOOKUP($A337,My_Audit!$A:$A,My_Audit!F:F,""),
_xlfn.IFS(_xlpm.MyAuditVal&lt;&gt;"",_xlpm.MyAuditVal,_xlpm.MacVal&lt;&gt;"",_xlpm.MacVal,_xlpm.CSVVal&lt;&gt;"",PROPER(_xlpm.CSVVal)
)),"")</f>
        <v/>
      </c>
      <c r="H337" s="2" t="str" cm="1">
        <f t="array" ref="H337">IFERROR(_xlfn.LET(
_xlpm.CSVVal,_xlfn.XLOOKUP($A337,CSV!$A:$A,CSV!H:H,""),
_xlpm.MacVal,_xlfn.XLOOKUP($A337,Output_Mac!$A:$A,Output_Mac!H:H,""),
_xlpm.MyAuditVal,_xlfn.XLOOKUP($A337,My_Audit!$A:$A,My_Audit!G:G,""),
_xlfn.IFS(_xlpm.MyAuditVal&lt;&gt;"",_xlpm.MyAuditVal,_xlpm.MacVal&lt;&gt;"",_xlpm.MacVal,_xlpm.CSVVal&lt;&gt;"",_xlpm.CSVVal
)),"")</f>
        <v/>
      </c>
      <c r="I337" s="2" t="str">
        <f>_xlfn.XLOOKUP(A337,Output_Mac!A:A,Output_Mac!I:I,"")</f>
        <v/>
      </c>
      <c r="J337" s="2" t="str" cm="1">
        <f t="array" ref="J337">IFERROR(_xlfn.LET(
_xlpm.CSVVal,_xlfn.XLOOKUP($A337,CSV!$A:$A,CSV!I:I,""),
_xlpm.MacVal,_xlfn.XLOOKUP($A337,Output_Mac!$A:$A,Output_Mac!J:J,""),
_xlpm.MyAuditVal,_xlfn.XLOOKUP($A337,My_Audit!$A:$A,My_Audit!I:I,""),
_xlfn.IFS(_xlpm.MyAuditVal&lt;&gt;"",UPPER(_xlpm.MyAuditVal),_xlpm.MacVal&lt;&gt;"",_xlpm.MacVal,_xlpm.CSVVal&lt;&gt;"",_xlpm.CSVVal
)),"")</f>
        <v/>
      </c>
      <c r="K337" s="2" t="str" cm="1">
        <f t="array" ref="K337">IFERROR(_xlfn.LET(
_xlpm.CSVVal,_xlfn.XLOOKUP($A337,CSV!$A:$A,CSV!K:K,""),
_xlpm.MacVal,_xlfn.XLOOKUP($A337,Output_Mac!$A:$A,Output_Mac!K:K,""),
_xlpm.MyAuditVal,_xlfn.XLOOKUP($A337,My_Audit!$A:$A,My_Audit!J:J,""),
_xlfn.IFS(_xlpm.MyAuditVal&lt;&gt;"",UPPER(_xlpm.MyAuditVal),_xlpm.MacVal&lt;&gt;"",_xlpm.MacVal,_xlpm.CSVVal&lt;&gt;"",_xlpm.CSVVal
)),"")</f>
        <v/>
      </c>
      <c r="L337" s="2" t="str" cm="1">
        <f t="array" ref="L337">IFERROR(_xlfn.LET(
_xlpm.CSVVal,_xlfn.XLOOKUP($A337,CSV!$A:$A,CSV!P:P,""),
_xlpm.MacVal,_xlfn.XLOOKUP($A337,Output_Mac!$A:$A,Output_Mac!L:L,""),
_xlpm.MyAuditVal,_xlfn.XLOOKUP($A337,My_Audit!$A:$A,My_Audit!K:K,""),
_xlfn.IFS(_xlpm.MyAuditVal&lt;&gt;"",UPPER(_xlpm.MyAuditVal),_xlpm.MacVal&lt;&gt;"",_xlpm.MacVal,_xlpm.CSVVal&lt;&gt;"",_xlpm.CSVVal
)),"")</f>
        <v/>
      </c>
      <c r="M337" s="2" t="str" cm="1">
        <f t="array" ref="M337">IFERROR(_xlfn.LET(
_xlpm.CSVVal,_xlfn.XLOOKUP($A337,CSV!$A:$A,CSV!Q:Q,""),
_xlpm.MacVal,_xlfn.XLOOKUP($A337,Output_Mac!$A:$A,Output_Mac!M:M,""),
_xlpm.MyAuditVal,_xlfn.XLOOKUP($A337,My_Audit!$A:$A,My_Audit!L:L,""),
_xlfn.IFS(_xlpm.MyAuditVal&lt;&gt;"",UPPER(_xlpm.MyAuditVal),_xlpm.MacVal&lt;&gt;"",_xlpm.MacVal,_xlpm.CSVVal&lt;&gt;"",_xlpm.CSVVal
)),"")</f>
        <v/>
      </c>
      <c r="O337" s="2" t="str">
        <f>_xlfn.LET(
    _xlpm.CSVVal, _xlfn.XLOOKUP($A337, CSV!$A:$A, CSV!AF:AF, ""),
    _xlpm.MacVal, _xlfn.XLOOKUP($A337, Output_Mac!$A:$A, Output_Mac!S:S, ""),
    _xlpm.MyAuditVal, _xlfn.XLOOKUP($A337, My_Audit!$A:$A, My_Audit!P:P, ""),
    _xlfn.TEXTJOIN(", ", TRUE, _xlpm.MyAuditVal, _xlpm.MacVal, _xlpm.CSVVal)
)</f>
        <v/>
      </c>
      <c r="P337" s="2" t="str" cm="1">
        <f t="array" ref="P337">IFERROR(_xlfn.LET(
_xlpm.CSVVal,_xlfn.XLOOKUP($A337,CSV!$A:$A,CSV!AG:AG,""),
_xlpm.MacVal,_xlfn.XLOOKUP($A337,Output_Mac!$A:$A,Output_Mac!T:T,""),
_xlpm.MyAuditVal,_xlfn.XLOOKUP($A337,My_Audit!$A:$A,My_Audit!Q:Q,""),
_xlfn.IFS(_xlpm.MyAuditVal&lt;&gt;"",UPPER(_xlpm.MyAuditVal),_xlpm.MacVal&lt;&gt;"",_xlpm.MacVal,_xlpm.CSVVal&lt;&gt;"",_xlpm.CSVVal
)),"No")</f>
        <v>No</v>
      </c>
      <c r="Q337" s="2" t="str" cm="1">
        <f t="array" ref="Q337">IFERROR(_xlfn.LET(
_xlpm.CSVVal,_xlfn.XLOOKUP($A337,CSV!$A:$A,CSV!AH:AH,""),
_xlpm.MacVal,_xlfn.XLOOKUP($A337,Output_Mac!$A:$A,Output_Mac!U:U,""),
_xlpm.MyAuditVal,_xlfn.XLOOKUP($A337,My_Audit!$A:$A,My_Audit!R:R,""),
_xlfn.IFS(_xlpm.MyAuditVal&lt;&gt;"",UPPER(_xlpm.MyAuditVal),_xlpm.MacVal&lt;&gt;"",_xlpm.MacVal,_xlpm.CSVVal&lt;&gt;"",_xlpm.CSVVal
)),"")</f>
        <v/>
      </c>
    </row>
    <row r="338" spans="1:17">
      <c r="A338" s="2" t="str">
        <f>_xlfn.TEXTJOIN("",TRUE,Input!$B$2,ROW(My_Audit!A337))</f>
        <v>XX337</v>
      </c>
      <c r="B338" s="2" t="str">
        <f>_xlfn.TEXTJOIN("-",TRUE,"ITD",Input!$A$2,A338)</f>
        <v>ITD-SHRXXX-XX337</v>
      </c>
      <c r="C338" s="2" t="str" cm="1">
        <f t="array" ref="C338">IFERROR(_xlfn.LET(
_xlpm.CSVVal,_xlfn.XLOOKUP($A338,CSV!$A:$A,CSV!B:B,""),
_xlpm.MacVal,_xlfn.XLOOKUP($A338,Output_Mac!$A:$A,Output_Mac!B:B,""),
_xlpm.MyAuditVal,_xlfn.XLOOKUP($A338,My_Audit!$A:$A,My_Audit!B:B,""),
_xlfn.IFS(_xlpm.MyAuditVal&lt;&gt;"",UPPER(_xlpm.MyAuditVal),_xlpm.MacVal&lt;&gt;"",_xlpm.MacVal,_xlpm.CSVVal&lt;&gt;"",_xlpm.CSVVal
)),"")</f>
        <v/>
      </c>
      <c r="D338" s="2" t="str" cm="1">
        <f t="array" ref="D338">IFERROR(_xlfn.LET(
_xlpm.CSVVal,_xlfn.XLOOKUP($A338,CSV!$A:$A,CSV!D:D,""),
_xlpm.MacVal,_xlfn.XLOOKUP($A338,Output_Mac!$A:$A,Output_Mac!C:C,""),
_xlpm.MyAuditVal,_xlfn.XLOOKUP($A338,My_Audit!$A:$A,My_Audit!C:C,""),
_xlfn.IFS(_xlpm.MyAuditVal&lt;&gt;"",_xlpm.MyAuditVal,_xlpm.MacVal&lt;&gt;"",_xlpm.MacVal,_xlpm.CSVVal&lt;&gt;"",_xlpm.CSVVal
)),"")</f>
        <v/>
      </c>
      <c r="E338" s="2" t="str">
        <f>_xlfn.XLOOKUP(A338,My_Audit!A:A,My_Audit!D:D,"")&amp;""</f>
        <v/>
      </c>
      <c r="F338" s="2" t="str" cm="1">
        <f t="array" ref="F338">IFERROR(_xlfn.LET(
_xlpm.CSVVal,_xlfn.XLOOKUP($A338,CSV!$A:$A,CSV!F:F,""),
_xlpm.MacVal,_xlfn.XLOOKUP($A338,Output_Mac!$A:$A,Output_Mac!E:E,""),
_xlpm.MyAuditVal,_xlfn.XLOOKUP($A338,My_Audit!$A:$A,My_Audit!E:E,""),
_xlfn.IFS(_xlpm.MyAuditVal&lt;&gt;"",_xlpm.MyAuditVal,_xlpm.MacVal&lt;&gt;"",_xlpm.MacVal,_xlpm.CSVVal&lt;&gt;"",_xlpm.CSVVal
)),"")</f>
        <v/>
      </c>
      <c r="G338" s="2" t="str" cm="1">
        <f t="array" ref="G338">IFERROR(_xlfn.LET(
_xlpm.CSVVal,_xlfn.XLOOKUP($A338,CSV!$A:$A,CSV!G:G,""),
_xlpm.MacVal,_xlfn.XLOOKUP($A338,Output_Mac!$A:$A,Output_Mac!F:F,""),
_xlpm.MyAuditVal,_xlfn.XLOOKUP($A338,My_Audit!$A:$A,My_Audit!F:F,""),
_xlfn.IFS(_xlpm.MyAuditVal&lt;&gt;"",_xlpm.MyAuditVal,_xlpm.MacVal&lt;&gt;"",_xlpm.MacVal,_xlpm.CSVVal&lt;&gt;"",PROPER(_xlpm.CSVVal)
)),"")</f>
        <v/>
      </c>
      <c r="H338" s="2" t="str" cm="1">
        <f t="array" ref="H338">IFERROR(_xlfn.LET(
_xlpm.CSVVal,_xlfn.XLOOKUP($A338,CSV!$A:$A,CSV!H:H,""),
_xlpm.MacVal,_xlfn.XLOOKUP($A338,Output_Mac!$A:$A,Output_Mac!H:H,""),
_xlpm.MyAuditVal,_xlfn.XLOOKUP($A338,My_Audit!$A:$A,My_Audit!G:G,""),
_xlfn.IFS(_xlpm.MyAuditVal&lt;&gt;"",_xlpm.MyAuditVal,_xlpm.MacVal&lt;&gt;"",_xlpm.MacVal,_xlpm.CSVVal&lt;&gt;"",_xlpm.CSVVal
)),"")</f>
        <v/>
      </c>
      <c r="I338" s="2" t="str">
        <f>_xlfn.XLOOKUP(A338,Output_Mac!A:A,Output_Mac!I:I,"")</f>
        <v/>
      </c>
      <c r="J338" s="2" t="str" cm="1">
        <f t="array" ref="J338">IFERROR(_xlfn.LET(
_xlpm.CSVVal,_xlfn.XLOOKUP($A338,CSV!$A:$A,CSV!I:I,""),
_xlpm.MacVal,_xlfn.XLOOKUP($A338,Output_Mac!$A:$A,Output_Mac!J:J,""),
_xlpm.MyAuditVal,_xlfn.XLOOKUP($A338,My_Audit!$A:$A,My_Audit!I:I,""),
_xlfn.IFS(_xlpm.MyAuditVal&lt;&gt;"",UPPER(_xlpm.MyAuditVal),_xlpm.MacVal&lt;&gt;"",_xlpm.MacVal,_xlpm.CSVVal&lt;&gt;"",_xlpm.CSVVal
)),"")</f>
        <v/>
      </c>
      <c r="K338" s="2" t="str" cm="1">
        <f t="array" ref="K338">IFERROR(_xlfn.LET(
_xlpm.CSVVal,_xlfn.XLOOKUP($A338,CSV!$A:$A,CSV!K:K,""),
_xlpm.MacVal,_xlfn.XLOOKUP($A338,Output_Mac!$A:$A,Output_Mac!K:K,""),
_xlpm.MyAuditVal,_xlfn.XLOOKUP($A338,My_Audit!$A:$A,My_Audit!J:J,""),
_xlfn.IFS(_xlpm.MyAuditVal&lt;&gt;"",UPPER(_xlpm.MyAuditVal),_xlpm.MacVal&lt;&gt;"",_xlpm.MacVal,_xlpm.CSVVal&lt;&gt;"",_xlpm.CSVVal
)),"")</f>
        <v/>
      </c>
      <c r="L338" s="2" t="str" cm="1">
        <f t="array" ref="L338">IFERROR(_xlfn.LET(
_xlpm.CSVVal,_xlfn.XLOOKUP($A338,CSV!$A:$A,CSV!P:P,""),
_xlpm.MacVal,_xlfn.XLOOKUP($A338,Output_Mac!$A:$A,Output_Mac!L:L,""),
_xlpm.MyAuditVal,_xlfn.XLOOKUP($A338,My_Audit!$A:$A,My_Audit!K:K,""),
_xlfn.IFS(_xlpm.MyAuditVal&lt;&gt;"",UPPER(_xlpm.MyAuditVal),_xlpm.MacVal&lt;&gt;"",_xlpm.MacVal,_xlpm.CSVVal&lt;&gt;"",_xlpm.CSVVal
)),"")</f>
        <v/>
      </c>
      <c r="M338" s="2" t="str" cm="1">
        <f t="array" ref="M338">IFERROR(_xlfn.LET(
_xlpm.CSVVal,_xlfn.XLOOKUP($A338,CSV!$A:$A,CSV!Q:Q,""),
_xlpm.MacVal,_xlfn.XLOOKUP($A338,Output_Mac!$A:$A,Output_Mac!M:M,""),
_xlpm.MyAuditVal,_xlfn.XLOOKUP($A338,My_Audit!$A:$A,My_Audit!L:L,""),
_xlfn.IFS(_xlpm.MyAuditVal&lt;&gt;"",UPPER(_xlpm.MyAuditVal),_xlpm.MacVal&lt;&gt;"",_xlpm.MacVal,_xlpm.CSVVal&lt;&gt;"",_xlpm.CSVVal
)),"")</f>
        <v/>
      </c>
      <c r="O338" s="2" t="str">
        <f>_xlfn.LET(
    _xlpm.CSVVal, _xlfn.XLOOKUP($A338, CSV!$A:$A, CSV!AF:AF, ""),
    _xlpm.MacVal, _xlfn.XLOOKUP($A338, Output_Mac!$A:$A, Output_Mac!S:S, ""),
    _xlpm.MyAuditVal, _xlfn.XLOOKUP($A338, My_Audit!$A:$A, My_Audit!P:P, ""),
    _xlfn.TEXTJOIN(", ", TRUE, _xlpm.MyAuditVal, _xlpm.MacVal, _xlpm.CSVVal)
)</f>
        <v/>
      </c>
      <c r="P338" s="2" t="str" cm="1">
        <f t="array" ref="P338">IFERROR(_xlfn.LET(
_xlpm.CSVVal,_xlfn.XLOOKUP($A338,CSV!$A:$A,CSV!AG:AG,""),
_xlpm.MacVal,_xlfn.XLOOKUP($A338,Output_Mac!$A:$A,Output_Mac!T:T,""),
_xlpm.MyAuditVal,_xlfn.XLOOKUP($A338,My_Audit!$A:$A,My_Audit!Q:Q,""),
_xlfn.IFS(_xlpm.MyAuditVal&lt;&gt;"",UPPER(_xlpm.MyAuditVal),_xlpm.MacVal&lt;&gt;"",_xlpm.MacVal,_xlpm.CSVVal&lt;&gt;"",_xlpm.CSVVal
)),"No")</f>
        <v>No</v>
      </c>
      <c r="Q338" s="2" t="str" cm="1">
        <f t="array" ref="Q338">IFERROR(_xlfn.LET(
_xlpm.CSVVal,_xlfn.XLOOKUP($A338,CSV!$A:$A,CSV!AH:AH,""),
_xlpm.MacVal,_xlfn.XLOOKUP($A338,Output_Mac!$A:$A,Output_Mac!U:U,""),
_xlpm.MyAuditVal,_xlfn.XLOOKUP($A338,My_Audit!$A:$A,My_Audit!R:R,""),
_xlfn.IFS(_xlpm.MyAuditVal&lt;&gt;"",UPPER(_xlpm.MyAuditVal),_xlpm.MacVal&lt;&gt;"",_xlpm.MacVal,_xlpm.CSVVal&lt;&gt;"",_xlpm.CSVVal
)),"")</f>
        <v/>
      </c>
    </row>
    <row r="339" spans="1:17">
      <c r="A339" s="2" t="str">
        <f>_xlfn.TEXTJOIN("",TRUE,Input!$B$2,ROW(My_Audit!A338))</f>
        <v>XX338</v>
      </c>
      <c r="B339" s="2" t="str">
        <f>_xlfn.TEXTJOIN("-",TRUE,"ITD",Input!$A$2,A339)</f>
        <v>ITD-SHRXXX-XX338</v>
      </c>
      <c r="C339" s="2" t="str" cm="1">
        <f t="array" ref="C339">IFERROR(_xlfn.LET(
_xlpm.CSVVal,_xlfn.XLOOKUP($A339,CSV!$A:$A,CSV!B:B,""),
_xlpm.MacVal,_xlfn.XLOOKUP($A339,Output_Mac!$A:$A,Output_Mac!B:B,""),
_xlpm.MyAuditVal,_xlfn.XLOOKUP($A339,My_Audit!$A:$A,My_Audit!B:B,""),
_xlfn.IFS(_xlpm.MyAuditVal&lt;&gt;"",UPPER(_xlpm.MyAuditVal),_xlpm.MacVal&lt;&gt;"",_xlpm.MacVal,_xlpm.CSVVal&lt;&gt;"",_xlpm.CSVVal
)),"")</f>
        <v/>
      </c>
      <c r="D339" s="2" t="str" cm="1">
        <f t="array" ref="D339">IFERROR(_xlfn.LET(
_xlpm.CSVVal,_xlfn.XLOOKUP($A339,CSV!$A:$A,CSV!D:D,""),
_xlpm.MacVal,_xlfn.XLOOKUP($A339,Output_Mac!$A:$A,Output_Mac!C:C,""),
_xlpm.MyAuditVal,_xlfn.XLOOKUP($A339,My_Audit!$A:$A,My_Audit!C:C,""),
_xlfn.IFS(_xlpm.MyAuditVal&lt;&gt;"",_xlpm.MyAuditVal,_xlpm.MacVal&lt;&gt;"",_xlpm.MacVal,_xlpm.CSVVal&lt;&gt;"",_xlpm.CSVVal
)),"")</f>
        <v/>
      </c>
      <c r="E339" s="2" t="str">
        <f>_xlfn.XLOOKUP(A339,My_Audit!A:A,My_Audit!D:D,"")&amp;""</f>
        <v/>
      </c>
      <c r="F339" s="2" t="str" cm="1">
        <f t="array" ref="F339">IFERROR(_xlfn.LET(
_xlpm.CSVVal,_xlfn.XLOOKUP($A339,CSV!$A:$A,CSV!F:F,""),
_xlpm.MacVal,_xlfn.XLOOKUP($A339,Output_Mac!$A:$A,Output_Mac!E:E,""),
_xlpm.MyAuditVal,_xlfn.XLOOKUP($A339,My_Audit!$A:$A,My_Audit!E:E,""),
_xlfn.IFS(_xlpm.MyAuditVal&lt;&gt;"",_xlpm.MyAuditVal,_xlpm.MacVal&lt;&gt;"",_xlpm.MacVal,_xlpm.CSVVal&lt;&gt;"",_xlpm.CSVVal
)),"")</f>
        <v/>
      </c>
      <c r="G339" s="2" t="str" cm="1">
        <f t="array" ref="G339">IFERROR(_xlfn.LET(
_xlpm.CSVVal,_xlfn.XLOOKUP($A339,CSV!$A:$A,CSV!G:G,""),
_xlpm.MacVal,_xlfn.XLOOKUP($A339,Output_Mac!$A:$A,Output_Mac!F:F,""),
_xlpm.MyAuditVal,_xlfn.XLOOKUP($A339,My_Audit!$A:$A,My_Audit!F:F,""),
_xlfn.IFS(_xlpm.MyAuditVal&lt;&gt;"",_xlpm.MyAuditVal,_xlpm.MacVal&lt;&gt;"",_xlpm.MacVal,_xlpm.CSVVal&lt;&gt;"",PROPER(_xlpm.CSVVal)
)),"")</f>
        <v/>
      </c>
      <c r="H339" s="2" t="str" cm="1">
        <f t="array" ref="H339">IFERROR(_xlfn.LET(
_xlpm.CSVVal,_xlfn.XLOOKUP($A339,CSV!$A:$A,CSV!H:H,""),
_xlpm.MacVal,_xlfn.XLOOKUP($A339,Output_Mac!$A:$A,Output_Mac!H:H,""),
_xlpm.MyAuditVal,_xlfn.XLOOKUP($A339,My_Audit!$A:$A,My_Audit!G:G,""),
_xlfn.IFS(_xlpm.MyAuditVal&lt;&gt;"",_xlpm.MyAuditVal,_xlpm.MacVal&lt;&gt;"",_xlpm.MacVal,_xlpm.CSVVal&lt;&gt;"",_xlpm.CSVVal
)),"")</f>
        <v/>
      </c>
      <c r="I339" s="2" t="str">
        <f>_xlfn.XLOOKUP(A339,Output_Mac!A:A,Output_Mac!I:I,"")</f>
        <v/>
      </c>
      <c r="J339" s="2" t="str" cm="1">
        <f t="array" ref="J339">IFERROR(_xlfn.LET(
_xlpm.CSVVal,_xlfn.XLOOKUP($A339,CSV!$A:$A,CSV!I:I,""),
_xlpm.MacVal,_xlfn.XLOOKUP($A339,Output_Mac!$A:$A,Output_Mac!J:J,""),
_xlpm.MyAuditVal,_xlfn.XLOOKUP($A339,My_Audit!$A:$A,My_Audit!I:I,""),
_xlfn.IFS(_xlpm.MyAuditVal&lt;&gt;"",UPPER(_xlpm.MyAuditVal),_xlpm.MacVal&lt;&gt;"",_xlpm.MacVal,_xlpm.CSVVal&lt;&gt;"",_xlpm.CSVVal
)),"")</f>
        <v/>
      </c>
      <c r="K339" s="2" t="str" cm="1">
        <f t="array" ref="K339">IFERROR(_xlfn.LET(
_xlpm.CSVVal,_xlfn.XLOOKUP($A339,CSV!$A:$A,CSV!K:K,""),
_xlpm.MacVal,_xlfn.XLOOKUP($A339,Output_Mac!$A:$A,Output_Mac!K:K,""),
_xlpm.MyAuditVal,_xlfn.XLOOKUP($A339,My_Audit!$A:$A,My_Audit!J:J,""),
_xlfn.IFS(_xlpm.MyAuditVal&lt;&gt;"",UPPER(_xlpm.MyAuditVal),_xlpm.MacVal&lt;&gt;"",_xlpm.MacVal,_xlpm.CSVVal&lt;&gt;"",_xlpm.CSVVal
)),"")</f>
        <v/>
      </c>
      <c r="L339" s="2" t="str" cm="1">
        <f t="array" ref="L339">IFERROR(_xlfn.LET(
_xlpm.CSVVal,_xlfn.XLOOKUP($A339,CSV!$A:$A,CSV!P:P,""),
_xlpm.MacVal,_xlfn.XLOOKUP($A339,Output_Mac!$A:$A,Output_Mac!L:L,""),
_xlpm.MyAuditVal,_xlfn.XLOOKUP($A339,My_Audit!$A:$A,My_Audit!K:K,""),
_xlfn.IFS(_xlpm.MyAuditVal&lt;&gt;"",UPPER(_xlpm.MyAuditVal),_xlpm.MacVal&lt;&gt;"",_xlpm.MacVal,_xlpm.CSVVal&lt;&gt;"",_xlpm.CSVVal
)),"")</f>
        <v/>
      </c>
      <c r="M339" s="2" t="str" cm="1">
        <f t="array" ref="M339">IFERROR(_xlfn.LET(
_xlpm.CSVVal,_xlfn.XLOOKUP($A339,CSV!$A:$A,CSV!Q:Q,""),
_xlpm.MacVal,_xlfn.XLOOKUP($A339,Output_Mac!$A:$A,Output_Mac!M:M,""),
_xlpm.MyAuditVal,_xlfn.XLOOKUP($A339,My_Audit!$A:$A,My_Audit!L:L,""),
_xlfn.IFS(_xlpm.MyAuditVal&lt;&gt;"",UPPER(_xlpm.MyAuditVal),_xlpm.MacVal&lt;&gt;"",_xlpm.MacVal,_xlpm.CSVVal&lt;&gt;"",_xlpm.CSVVal
)),"")</f>
        <v/>
      </c>
      <c r="O339" s="2" t="str">
        <f>_xlfn.LET(
    _xlpm.CSVVal, _xlfn.XLOOKUP($A339, CSV!$A:$A, CSV!AF:AF, ""),
    _xlpm.MacVal, _xlfn.XLOOKUP($A339, Output_Mac!$A:$A, Output_Mac!S:S, ""),
    _xlpm.MyAuditVal, _xlfn.XLOOKUP($A339, My_Audit!$A:$A, My_Audit!P:P, ""),
    _xlfn.TEXTJOIN(", ", TRUE, _xlpm.MyAuditVal, _xlpm.MacVal, _xlpm.CSVVal)
)</f>
        <v/>
      </c>
      <c r="P339" s="2" t="str" cm="1">
        <f t="array" ref="P339">IFERROR(_xlfn.LET(
_xlpm.CSVVal,_xlfn.XLOOKUP($A339,CSV!$A:$A,CSV!AG:AG,""),
_xlpm.MacVal,_xlfn.XLOOKUP($A339,Output_Mac!$A:$A,Output_Mac!T:T,""),
_xlpm.MyAuditVal,_xlfn.XLOOKUP($A339,My_Audit!$A:$A,My_Audit!Q:Q,""),
_xlfn.IFS(_xlpm.MyAuditVal&lt;&gt;"",UPPER(_xlpm.MyAuditVal),_xlpm.MacVal&lt;&gt;"",_xlpm.MacVal,_xlpm.CSVVal&lt;&gt;"",_xlpm.CSVVal
)),"No")</f>
        <v>No</v>
      </c>
      <c r="Q339" s="2" t="str" cm="1">
        <f t="array" ref="Q339">IFERROR(_xlfn.LET(
_xlpm.CSVVal,_xlfn.XLOOKUP($A339,CSV!$A:$A,CSV!AH:AH,""),
_xlpm.MacVal,_xlfn.XLOOKUP($A339,Output_Mac!$A:$A,Output_Mac!U:U,""),
_xlpm.MyAuditVal,_xlfn.XLOOKUP($A339,My_Audit!$A:$A,My_Audit!R:R,""),
_xlfn.IFS(_xlpm.MyAuditVal&lt;&gt;"",UPPER(_xlpm.MyAuditVal),_xlpm.MacVal&lt;&gt;"",_xlpm.MacVal,_xlpm.CSVVal&lt;&gt;"",_xlpm.CSVVal
)),"")</f>
        <v/>
      </c>
    </row>
    <row r="340" spans="1:17">
      <c r="A340" s="2" t="str">
        <f>_xlfn.TEXTJOIN("",TRUE,Input!$B$2,ROW(My_Audit!A339))</f>
        <v>XX339</v>
      </c>
      <c r="B340" s="2" t="str">
        <f>_xlfn.TEXTJOIN("-",TRUE,"ITD",Input!$A$2,A340)</f>
        <v>ITD-SHRXXX-XX339</v>
      </c>
      <c r="C340" s="2" t="str" cm="1">
        <f t="array" ref="C340">IFERROR(_xlfn.LET(
_xlpm.CSVVal,_xlfn.XLOOKUP($A340,CSV!$A:$A,CSV!B:B,""),
_xlpm.MacVal,_xlfn.XLOOKUP($A340,Output_Mac!$A:$A,Output_Mac!B:B,""),
_xlpm.MyAuditVal,_xlfn.XLOOKUP($A340,My_Audit!$A:$A,My_Audit!B:B,""),
_xlfn.IFS(_xlpm.MyAuditVal&lt;&gt;"",UPPER(_xlpm.MyAuditVal),_xlpm.MacVal&lt;&gt;"",_xlpm.MacVal,_xlpm.CSVVal&lt;&gt;"",_xlpm.CSVVal
)),"")</f>
        <v/>
      </c>
      <c r="D340" s="2" t="str" cm="1">
        <f t="array" ref="D340">IFERROR(_xlfn.LET(
_xlpm.CSVVal,_xlfn.XLOOKUP($A340,CSV!$A:$A,CSV!D:D,""),
_xlpm.MacVal,_xlfn.XLOOKUP($A340,Output_Mac!$A:$A,Output_Mac!C:C,""),
_xlpm.MyAuditVal,_xlfn.XLOOKUP($A340,My_Audit!$A:$A,My_Audit!C:C,""),
_xlfn.IFS(_xlpm.MyAuditVal&lt;&gt;"",_xlpm.MyAuditVal,_xlpm.MacVal&lt;&gt;"",_xlpm.MacVal,_xlpm.CSVVal&lt;&gt;"",_xlpm.CSVVal
)),"")</f>
        <v/>
      </c>
      <c r="E340" s="2" t="str">
        <f>_xlfn.XLOOKUP(A340,My_Audit!A:A,My_Audit!D:D,"")&amp;""</f>
        <v/>
      </c>
      <c r="F340" s="2" t="str" cm="1">
        <f t="array" ref="F340">IFERROR(_xlfn.LET(
_xlpm.CSVVal,_xlfn.XLOOKUP($A340,CSV!$A:$A,CSV!F:F,""),
_xlpm.MacVal,_xlfn.XLOOKUP($A340,Output_Mac!$A:$A,Output_Mac!E:E,""),
_xlpm.MyAuditVal,_xlfn.XLOOKUP($A340,My_Audit!$A:$A,My_Audit!E:E,""),
_xlfn.IFS(_xlpm.MyAuditVal&lt;&gt;"",_xlpm.MyAuditVal,_xlpm.MacVal&lt;&gt;"",_xlpm.MacVal,_xlpm.CSVVal&lt;&gt;"",_xlpm.CSVVal
)),"")</f>
        <v/>
      </c>
      <c r="G340" s="2" t="str" cm="1">
        <f t="array" ref="G340">IFERROR(_xlfn.LET(
_xlpm.CSVVal,_xlfn.XLOOKUP($A340,CSV!$A:$A,CSV!G:G,""),
_xlpm.MacVal,_xlfn.XLOOKUP($A340,Output_Mac!$A:$A,Output_Mac!F:F,""),
_xlpm.MyAuditVal,_xlfn.XLOOKUP($A340,My_Audit!$A:$A,My_Audit!F:F,""),
_xlfn.IFS(_xlpm.MyAuditVal&lt;&gt;"",_xlpm.MyAuditVal,_xlpm.MacVal&lt;&gt;"",_xlpm.MacVal,_xlpm.CSVVal&lt;&gt;"",PROPER(_xlpm.CSVVal)
)),"")</f>
        <v/>
      </c>
      <c r="H340" s="2" t="str" cm="1">
        <f t="array" ref="H340">IFERROR(_xlfn.LET(
_xlpm.CSVVal,_xlfn.XLOOKUP($A340,CSV!$A:$A,CSV!H:H,""),
_xlpm.MacVal,_xlfn.XLOOKUP($A340,Output_Mac!$A:$A,Output_Mac!H:H,""),
_xlpm.MyAuditVal,_xlfn.XLOOKUP($A340,My_Audit!$A:$A,My_Audit!G:G,""),
_xlfn.IFS(_xlpm.MyAuditVal&lt;&gt;"",_xlpm.MyAuditVal,_xlpm.MacVal&lt;&gt;"",_xlpm.MacVal,_xlpm.CSVVal&lt;&gt;"",_xlpm.CSVVal
)),"")</f>
        <v/>
      </c>
      <c r="I340" s="2" t="str">
        <f>_xlfn.XLOOKUP(A340,Output_Mac!A:A,Output_Mac!I:I,"")</f>
        <v/>
      </c>
      <c r="J340" s="2" t="str" cm="1">
        <f t="array" ref="J340">IFERROR(_xlfn.LET(
_xlpm.CSVVal,_xlfn.XLOOKUP($A340,CSV!$A:$A,CSV!I:I,""),
_xlpm.MacVal,_xlfn.XLOOKUP($A340,Output_Mac!$A:$A,Output_Mac!J:J,""),
_xlpm.MyAuditVal,_xlfn.XLOOKUP($A340,My_Audit!$A:$A,My_Audit!I:I,""),
_xlfn.IFS(_xlpm.MyAuditVal&lt;&gt;"",UPPER(_xlpm.MyAuditVal),_xlpm.MacVal&lt;&gt;"",_xlpm.MacVal,_xlpm.CSVVal&lt;&gt;"",_xlpm.CSVVal
)),"")</f>
        <v/>
      </c>
      <c r="K340" s="2" t="str" cm="1">
        <f t="array" ref="K340">IFERROR(_xlfn.LET(
_xlpm.CSVVal,_xlfn.XLOOKUP($A340,CSV!$A:$A,CSV!K:K,""),
_xlpm.MacVal,_xlfn.XLOOKUP($A340,Output_Mac!$A:$A,Output_Mac!K:K,""),
_xlpm.MyAuditVal,_xlfn.XLOOKUP($A340,My_Audit!$A:$A,My_Audit!J:J,""),
_xlfn.IFS(_xlpm.MyAuditVal&lt;&gt;"",UPPER(_xlpm.MyAuditVal),_xlpm.MacVal&lt;&gt;"",_xlpm.MacVal,_xlpm.CSVVal&lt;&gt;"",_xlpm.CSVVal
)),"")</f>
        <v/>
      </c>
      <c r="L340" s="2" t="str" cm="1">
        <f t="array" ref="L340">IFERROR(_xlfn.LET(
_xlpm.CSVVal,_xlfn.XLOOKUP($A340,CSV!$A:$A,CSV!P:P,""),
_xlpm.MacVal,_xlfn.XLOOKUP($A340,Output_Mac!$A:$A,Output_Mac!L:L,""),
_xlpm.MyAuditVal,_xlfn.XLOOKUP($A340,My_Audit!$A:$A,My_Audit!K:K,""),
_xlfn.IFS(_xlpm.MyAuditVal&lt;&gt;"",UPPER(_xlpm.MyAuditVal),_xlpm.MacVal&lt;&gt;"",_xlpm.MacVal,_xlpm.CSVVal&lt;&gt;"",_xlpm.CSVVal
)),"")</f>
        <v/>
      </c>
      <c r="M340" s="2" t="str" cm="1">
        <f t="array" ref="M340">IFERROR(_xlfn.LET(
_xlpm.CSVVal,_xlfn.XLOOKUP($A340,CSV!$A:$A,CSV!Q:Q,""),
_xlpm.MacVal,_xlfn.XLOOKUP($A340,Output_Mac!$A:$A,Output_Mac!M:M,""),
_xlpm.MyAuditVal,_xlfn.XLOOKUP($A340,My_Audit!$A:$A,My_Audit!L:L,""),
_xlfn.IFS(_xlpm.MyAuditVal&lt;&gt;"",UPPER(_xlpm.MyAuditVal),_xlpm.MacVal&lt;&gt;"",_xlpm.MacVal,_xlpm.CSVVal&lt;&gt;"",_xlpm.CSVVal
)),"")</f>
        <v/>
      </c>
      <c r="O340" s="2" t="str">
        <f>_xlfn.LET(
    _xlpm.CSVVal, _xlfn.XLOOKUP($A340, CSV!$A:$A, CSV!AF:AF, ""),
    _xlpm.MacVal, _xlfn.XLOOKUP($A340, Output_Mac!$A:$A, Output_Mac!S:S, ""),
    _xlpm.MyAuditVal, _xlfn.XLOOKUP($A340, My_Audit!$A:$A, My_Audit!P:P, ""),
    _xlfn.TEXTJOIN(", ", TRUE, _xlpm.MyAuditVal, _xlpm.MacVal, _xlpm.CSVVal)
)</f>
        <v/>
      </c>
      <c r="P340" s="2" t="str" cm="1">
        <f t="array" ref="P340">IFERROR(_xlfn.LET(
_xlpm.CSVVal,_xlfn.XLOOKUP($A340,CSV!$A:$A,CSV!AG:AG,""),
_xlpm.MacVal,_xlfn.XLOOKUP($A340,Output_Mac!$A:$A,Output_Mac!T:T,""),
_xlpm.MyAuditVal,_xlfn.XLOOKUP($A340,My_Audit!$A:$A,My_Audit!Q:Q,""),
_xlfn.IFS(_xlpm.MyAuditVal&lt;&gt;"",UPPER(_xlpm.MyAuditVal),_xlpm.MacVal&lt;&gt;"",_xlpm.MacVal,_xlpm.CSVVal&lt;&gt;"",_xlpm.CSVVal
)),"No")</f>
        <v>No</v>
      </c>
      <c r="Q340" s="2" t="str" cm="1">
        <f t="array" ref="Q340">IFERROR(_xlfn.LET(
_xlpm.CSVVal,_xlfn.XLOOKUP($A340,CSV!$A:$A,CSV!AH:AH,""),
_xlpm.MacVal,_xlfn.XLOOKUP($A340,Output_Mac!$A:$A,Output_Mac!U:U,""),
_xlpm.MyAuditVal,_xlfn.XLOOKUP($A340,My_Audit!$A:$A,My_Audit!R:R,""),
_xlfn.IFS(_xlpm.MyAuditVal&lt;&gt;"",UPPER(_xlpm.MyAuditVal),_xlpm.MacVal&lt;&gt;"",_xlpm.MacVal,_xlpm.CSVVal&lt;&gt;"",_xlpm.CSVVal
)),"")</f>
        <v/>
      </c>
    </row>
    <row r="341" spans="1:17">
      <c r="A341" s="2" t="str">
        <f>_xlfn.TEXTJOIN("",TRUE,Input!$B$2,ROW(My_Audit!A340))</f>
        <v>XX340</v>
      </c>
      <c r="B341" s="2" t="str">
        <f>_xlfn.TEXTJOIN("-",TRUE,"ITD",Input!$A$2,A341)</f>
        <v>ITD-SHRXXX-XX340</v>
      </c>
      <c r="C341" s="2" t="str" cm="1">
        <f t="array" ref="C341">IFERROR(_xlfn.LET(
_xlpm.CSVVal,_xlfn.XLOOKUP($A341,CSV!$A:$A,CSV!B:B,""),
_xlpm.MacVal,_xlfn.XLOOKUP($A341,Output_Mac!$A:$A,Output_Mac!B:B,""),
_xlpm.MyAuditVal,_xlfn.XLOOKUP($A341,My_Audit!$A:$A,My_Audit!B:B,""),
_xlfn.IFS(_xlpm.MyAuditVal&lt;&gt;"",UPPER(_xlpm.MyAuditVal),_xlpm.MacVal&lt;&gt;"",_xlpm.MacVal,_xlpm.CSVVal&lt;&gt;"",_xlpm.CSVVal
)),"")</f>
        <v/>
      </c>
      <c r="D341" s="2" t="str" cm="1">
        <f t="array" ref="D341">IFERROR(_xlfn.LET(
_xlpm.CSVVal,_xlfn.XLOOKUP($A341,CSV!$A:$A,CSV!D:D,""),
_xlpm.MacVal,_xlfn.XLOOKUP($A341,Output_Mac!$A:$A,Output_Mac!C:C,""),
_xlpm.MyAuditVal,_xlfn.XLOOKUP($A341,My_Audit!$A:$A,My_Audit!C:C,""),
_xlfn.IFS(_xlpm.MyAuditVal&lt;&gt;"",_xlpm.MyAuditVal,_xlpm.MacVal&lt;&gt;"",_xlpm.MacVal,_xlpm.CSVVal&lt;&gt;"",_xlpm.CSVVal
)),"")</f>
        <v/>
      </c>
      <c r="E341" s="2" t="str">
        <f>_xlfn.XLOOKUP(A341,My_Audit!A:A,My_Audit!D:D,"")&amp;""</f>
        <v/>
      </c>
      <c r="F341" s="2" t="str" cm="1">
        <f t="array" ref="F341">IFERROR(_xlfn.LET(
_xlpm.CSVVal,_xlfn.XLOOKUP($A341,CSV!$A:$A,CSV!F:F,""),
_xlpm.MacVal,_xlfn.XLOOKUP($A341,Output_Mac!$A:$A,Output_Mac!E:E,""),
_xlpm.MyAuditVal,_xlfn.XLOOKUP($A341,My_Audit!$A:$A,My_Audit!E:E,""),
_xlfn.IFS(_xlpm.MyAuditVal&lt;&gt;"",_xlpm.MyAuditVal,_xlpm.MacVal&lt;&gt;"",_xlpm.MacVal,_xlpm.CSVVal&lt;&gt;"",_xlpm.CSVVal
)),"")</f>
        <v/>
      </c>
      <c r="G341" s="2" t="str" cm="1">
        <f t="array" ref="G341">IFERROR(_xlfn.LET(
_xlpm.CSVVal,_xlfn.XLOOKUP($A341,CSV!$A:$A,CSV!G:G,""),
_xlpm.MacVal,_xlfn.XLOOKUP($A341,Output_Mac!$A:$A,Output_Mac!F:F,""),
_xlpm.MyAuditVal,_xlfn.XLOOKUP($A341,My_Audit!$A:$A,My_Audit!F:F,""),
_xlfn.IFS(_xlpm.MyAuditVal&lt;&gt;"",_xlpm.MyAuditVal,_xlpm.MacVal&lt;&gt;"",_xlpm.MacVal,_xlpm.CSVVal&lt;&gt;"",PROPER(_xlpm.CSVVal)
)),"")</f>
        <v/>
      </c>
      <c r="H341" s="2" t="str" cm="1">
        <f t="array" ref="H341">IFERROR(_xlfn.LET(
_xlpm.CSVVal,_xlfn.XLOOKUP($A341,CSV!$A:$A,CSV!H:H,""),
_xlpm.MacVal,_xlfn.XLOOKUP($A341,Output_Mac!$A:$A,Output_Mac!H:H,""),
_xlpm.MyAuditVal,_xlfn.XLOOKUP($A341,My_Audit!$A:$A,My_Audit!G:G,""),
_xlfn.IFS(_xlpm.MyAuditVal&lt;&gt;"",_xlpm.MyAuditVal,_xlpm.MacVal&lt;&gt;"",_xlpm.MacVal,_xlpm.CSVVal&lt;&gt;"",_xlpm.CSVVal
)),"")</f>
        <v/>
      </c>
      <c r="I341" s="2" t="str">
        <f>_xlfn.XLOOKUP(A341,Output_Mac!A:A,Output_Mac!I:I,"")</f>
        <v/>
      </c>
      <c r="J341" s="2" t="str" cm="1">
        <f t="array" ref="J341">IFERROR(_xlfn.LET(
_xlpm.CSVVal,_xlfn.XLOOKUP($A341,CSV!$A:$A,CSV!I:I,""),
_xlpm.MacVal,_xlfn.XLOOKUP($A341,Output_Mac!$A:$A,Output_Mac!J:J,""),
_xlpm.MyAuditVal,_xlfn.XLOOKUP($A341,My_Audit!$A:$A,My_Audit!I:I,""),
_xlfn.IFS(_xlpm.MyAuditVal&lt;&gt;"",UPPER(_xlpm.MyAuditVal),_xlpm.MacVal&lt;&gt;"",_xlpm.MacVal,_xlpm.CSVVal&lt;&gt;"",_xlpm.CSVVal
)),"")</f>
        <v/>
      </c>
      <c r="K341" s="2" t="str" cm="1">
        <f t="array" ref="K341">IFERROR(_xlfn.LET(
_xlpm.CSVVal,_xlfn.XLOOKUP($A341,CSV!$A:$A,CSV!K:K,""),
_xlpm.MacVal,_xlfn.XLOOKUP($A341,Output_Mac!$A:$A,Output_Mac!K:K,""),
_xlpm.MyAuditVal,_xlfn.XLOOKUP($A341,My_Audit!$A:$A,My_Audit!J:J,""),
_xlfn.IFS(_xlpm.MyAuditVal&lt;&gt;"",UPPER(_xlpm.MyAuditVal),_xlpm.MacVal&lt;&gt;"",_xlpm.MacVal,_xlpm.CSVVal&lt;&gt;"",_xlpm.CSVVal
)),"")</f>
        <v/>
      </c>
      <c r="L341" s="2" t="str" cm="1">
        <f t="array" ref="L341">IFERROR(_xlfn.LET(
_xlpm.CSVVal,_xlfn.XLOOKUP($A341,CSV!$A:$A,CSV!P:P,""),
_xlpm.MacVal,_xlfn.XLOOKUP($A341,Output_Mac!$A:$A,Output_Mac!L:L,""),
_xlpm.MyAuditVal,_xlfn.XLOOKUP($A341,My_Audit!$A:$A,My_Audit!K:K,""),
_xlfn.IFS(_xlpm.MyAuditVal&lt;&gt;"",UPPER(_xlpm.MyAuditVal),_xlpm.MacVal&lt;&gt;"",_xlpm.MacVal,_xlpm.CSVVal&lt;&gt;"",_xlpm.CSVVal
)),"")</f>
        <v/>
      </c>
      <c r="M341" s="2" t="str" cm="1">
        <f t="array" ref="M341">IFERROR(_xlfn.LET(
_xlpm.CSVVal,_xlfn.XLOOKUP($A341,CSV!$A:$A,CSV!Q:Q,""),
_xlpm.MacVal,_xlfn.XLOOKUP($A341,Output_Mac!$A:$A,Output_Mac!M:M,""),
_xlpm.MyAuditVal,_xlfn.XLOOKUP($A341,My_Audit!$A:$A,My_Audit!L:L,""),
_xlfn.IFS(_xlpm.MyAuditVal&lt;&gt;"",UPPER(_xlpm.MyAuditVal),_xlpm.MacVal&lt;&gt;"",_xlpm.MacVal,_xlpm.CSVVal&lt;&gt;"",_xlpm.CSVVal
)),"")</f>
        <v/>
      </c>
      <c r="O341" s="2" t="str">
        <f>_xlfn.LET(
    _xlpm.CSVVal, _xlfn.XLOOKUP($A341, CSV!$A:$A, CSV!AF:AF, ""),
    _xlpm.MacVal, _xlfn.XLOOKUP($A341, Output_Mac!$A:$A, Output_Mac!S:S, ""),
    _xlpm.MyAuditVal, _xlfn.XLOOKUP($A341, My_Audit!$A:$A, My_Audit!P:P, ""),
    _xlfn.TEXTJOIN(", ", TRUE, _xlpm.MyAuditVal, _xlpm.MacVal, _xlpm.CSVVal)
)</f>
        <v/>
      </c>
      <c r="P341" s="2" t="str" cm="1">
        <f t="array" ref="P341">IFERROR(_xlfn.LET(
_xlpm.CSVVal,_xlfn.XLOOKUP($A341,CSV!$A:$A,CSV!AG:AG,""),
_xlpm.MacVal,_xlfn.XLOOKUP($A341,Output_Mac!$A:$A,Output_Mac!T:T,""),
_xlpm.MyAuditVal,_xlfn.XLOOKUP($A341,My_Audit!$A:$A,My_Audit!Q:Q,""),
_xlfn.IFS(_xlpm.MyAuditVal&lt;&gt;"",UPPER(_xlpm.MyAuditVal),_xlpm.MacVal&lt;&gt;"",_xlpm.MacVal,_xlpm.CSVVal&lt;&gt;"",_xlpm.CSVVal
)),"No")</f>
        <v>No</v>
      </c>
      <c r="Q341" s="2" t="str" cm="1">
        <f t="array" ref="Q341">IFERROR(_xlfn.LET(
_xlpm.CSVVal,_xlfn.XLOOKUP($A341,CSV!$A:$A,CSV!AH:AH,""),
_xlpm.MacVal,_xlfn.XLOOKUP($A341,Output_Mac!$A:$A,Output_Mac!U:U,""),
_xlpm.MyAuditVal,_xlfn.XLOOKUP($A341,My_Audit!$A:$A,My_Audit!R:R,""),
_xlfn.IFS(_xlpm.MyAuditVal&lt;&gt;"",UPPER(_xlpm.MyAuditVal),_xlpm.MacVal&lt;&gt;"",_xlpm.MacVal,_xlpm.CSVVal&lt;&gt;"",_xlpm.CSVVal
)),"")</f>
        <v/>
      </c>
    </row>
    <row r="342" spans="1:17">
      <c r="A342" s="2" t="str">
        <f>_xlfn.TEXTJOIN("",TRUE,Input!$B$2,ROW(My_Audit!A341))</f>
        <v>XX341</v>
      </c>
      <c r="B342" s="2" t="str">
        <f>_xlfn.TEXTJOIN("-",TRUE,"ITD",Input!$A$2,A342)</f>
        <v>ITD-SHRXXX-XX341</v>
      </c>
      <c r="C342" s="2" t="str" cm="1">
        <f t="array" ref="C342">IFERROR(_xlfn.LET(
_xlpm.CSVVal,_xlfn.XLOOKUP($A342,CSV!$A:$A,CSV!B:B,""),
_xlpm.MacVal,_xlfn.XLOOKUP($A342,Output_Mac!$A:$A,Output_Mac!B:B,""),
_xlpm.MyAuditVal,_xlfn.XLOOKUP($A342,My_Audit!$A:$A,My_Audit!B:B,""),
_xlfn.IFS(_xlpm.MyAuditVal&lt;&gt;"",UPPER(_xlpm.MyAuditVal),_xlpm.MacVal&lt;&gt;"",_xlpm.MacVal,_xlpm.CSVVal&lt;&gt;"",_xlpm.CSVVal
)),"")</f>
        <v/>
      </c>
      <c r="D342" s="2" t="str" cm="1">
        <f t="array" ref="D342">IFERROR(_xlfn.LET(
_xlpm.CSVVal,_xlfn.XLOOKUP($A342,CSV!$A:$A,CSV!D:D,""),
_xlpm.MacVal,_xlfn.XLOOKUP($A342,Output_Mac!$A:$A,Output_Mac!C:C,""),
_xlpm.MyAuditVal,_xlfn.XLOOKUP($A342,My_Audit!$A:$A,My_Audit!C:C,""),
_xlfn.IFS(_xlpm.MyAuditVal&lt;&gt;"",_xlpm.MyAuditVal,_xlpm.MacVal&lt;&gt;"",_xlpm.MacVal,_xlpm.CSVVal&lt;&gt;"",_xlpm.CSVVal
)),"")</f>
        <v/>
      </c>
      <c r="E342" s="2" t="str">
        <f>_xlfn.XLOOKUP(A342,My_Audit!A:A,My_Audit!D:D,"")&amp;""</f>
        <v/>
      </c>
      <c r="F342" s="2" t="str" cm="1">
        <f t="array" ref="F342">IFERROR(_xlfn.LET(
_xlpm.CSVVal,_xlfn.XLOOKUP($A342,CSV!$A:$A,CSV!F:F,""),
_xlpm.MacVal,_xlfn.XLOOKUP($A342,Output_Mac!$A:$A,Output_Mac!E:E,""),
_xlpm.MyAuditVal,_xlfn.XLOOKUP($A342,My_Audit!$A:$A,My_Audit!E:E,""),
_xlfn.IFS(_xlpm.MyAuditVal&lt;&gt;"",_xlpm.MyAuditVal,_xlpm.MacVal&lt;&gt;"",_xlpm.MacVal,_xlpm.CSVVal&lt;&gt;"",_xlpm.CSVVal
)),"")</f>
        <v/>
      </c>
      <c r="G342" s="2" t="str" cm="1">
        <f t="array" ref="G342">IFERROR(_xlfn.LET(
_xlpm.CSVVal,_xlfn.XLOOKUP($A342,CSV!$A:$A,CSV!G:G,""),
_xlpm.MacVal,_xlfn.XLOOKUP($A342,Output_Mac!$A:$A,Output_Mac!F:F,""),
_xlpm.MyAuditVal,_xlfn.XLOOKUP($A342,My_Audit!$A:$A,My_Audit!F:F,""),
_xlfn.IFS(_xlpm.MyAuditVal&lt;&gt;"",_xlpm.MyAuditVal,_xlpm.MacVal&lt;&gt;"",_xlpm.MacVal,_xlpm.CSVVal&lt;&gt;"",PROPER(_xlpm.CSVVal)
)),"")</f>
        <v/>
      </c>
      <c r="H342" s="2" t="str" cm="1">
        <f t="array" ref="H342">IFERROR(_xlfn.LET(
_xlpm.CSVVal,_xlfn.XLOOKUP($A342,CSV!$A:$A,CSV!H:H,""),
_xlpm.MacVal,_xlfn.XLOOKUP($A342,Output_Mac!$A:$A,Output_Mac!H:H,""),
_xlpm.MyAuditVal,_xlfn.XLOOKUP($A342,My_Audit!$A:$A,My_Audit!G:G,""),
_xlfn.IFS(_xlpm.MyAuditVal&lt;&gt;"",_xlpm.MyAuditVal,_xlpm.MacVal&lt;&gt;"",_xlpm.MacVal,_xlpm.CSVVal&lt;&gt;"",_xlpm.CSVVal
)),"")</f>
        <v/>
      </c>
      <c r="I342" s="2" t="str">
        <f>_xlfn.XLOOKUP(A342,Output_Mac!A:A,Output_Mac!I:I,"")</f>
        <v/>
      </c>
      <c r="J342" s="2" t="str" cm="1">
        <f t="array" ref="J342">IFERROR(_xlfn.LET(
_xlpm.CSVVal,_xlfn.XLOOKUP($A342,CSV!$A:$A,CSV!I:I,""),
_xlpm.MacVal,_xlfn.XLOOKUP($A342,Output_Mac!$A:$A,Output_Mac!J:J,""),
_xlpm.MyAuditVal,_xlfn.XLOOKUP($A342,My_Audit!$A:$A,My_Audit!I:I,""),
_xlfn.IFS(_xlpm.MyAuditVal&lt;&gt;"",UPPER(_xlpm.MyAuditVal),_xlpm.MacVal&lt;&gt;"",_xlpm.MacVal,_xlpm.CSVVal&lt;&gt;"",_xlpm.CSVVal
)),"")</f>
        <v/>
      </c>
      <c r="K342" s="2" t="str" cm="1">
        <f t="array" ref="K342">IFERROR(_xlfn.LET(
_xlpm.CSVVal,_xlfn.XLOOKUP($A342,CSV!$A:$A,CSV!K:K,""),
_xlpm.MacVal,_xlfn.XLOOKUP($A342,Output_Mac!$A:$A,Output_Mac!K:K,""),
_xlpm.MyAuditVal,_xlfn.XLOOKUP($A342,My_Audit!$A:$A,My_Audit!J:J,""),
_xlfn.IFS(_xlpm.MyAuditVal&lt;&gt;"",UPPER(_xlpm.MyAuditVal),_xlpm.MacVal&lt;&gt;"",_xlpm.MacVal,_xlpm.CSVVal&lt;&gt;"",_xlpm.CSVVal
)),"")</f>
        <v/>
      </c>
      <c r="L342" s="2" t="str" cm="1">
        <f t="array" ref="L342">IFERROR(_xlfn.LET(
_xlpm.CSVVal,_xlfn.XLOOKUP($A342,CSV!$A:$A,CSV!P:P,""),
_xlpm.MacVal,_xlfn.XLOOKUP($A342,Output_Mac!$A:$A,Output_Mac!L:L,""),
_xlpm.MyAuditVal,_xlfn.XLOOKUP($A342,My_Audit!$A:$A,My_Audit!K:K,""),
_xlfn.IFS(_xlpm.MyAuditVal&lt;&gt;"",UPPER(_xlpm.MyAuditVal),_xlpm.MacVal&lt;&gt;"",_xlpm.MacVal,_xlpm.CSVVal&lt;&gt;"",_xlpm.CSVVal
)),"")</f>
        <v/>
      </c>
      <c r="M342" s="2" t="str" cm="1">
        <f t="array" ref="M342">IFERROR(_xlfn.LET(
_xlpm.CSVVal,_xlfn.XLOOKUP($A342,CSV!$A:$A,CSV!Q:Q,""),
_xlpm.MacVal,_xlfn.XLOOKUP($A342,Output_Mac!$A:$A,Output_Mac!M:M,""),
_xlpm.MyAuditVal,_xlfn.XLOOKUP($A342,My_Audit!$A:$A,My_Audit!L:L,""),
_xlfn.IFS(_xlpm.MyAuditVal&lt;&gt;"",UPPER(_xlpm.MyAuditVal),_xlpm.MacVal&lt;&gt;"",_xlpm.MacVal,_xlpm.CSVVal&lt;&gt;"",_xlpm.CSVVal
)),"")</f>
        <v/>
      </c>
      <c r="O342" s="2" t="str">
        <f>_xlfn.LET(
    _xlpm.CSVVal, _xlfn.XLOOKUP($A342, CSV!$A:$A, CSV!AF:AF, ""),
    _xlpm.MacVal, _xlfn.XLOOKUP($A342, Output_Mac!$A:$A, Output_Mac!S:S, ""),
    _xlpm.MyAuditVal, _xlfn.XLOOKUP($A342, My_Audit!$A:$A, My_Audit!P:P, ""),
    _xlfn.TEXTJOIN(", ", TRUE, _xlpm.MyAuditVal, _xlpm.MacVal, _xlpm.CSVVal)
)</f>
        <v/>
      </c>
      <c r="P342" s="2" t="str" cm="1">
        <f t="array" ref="P342">IFERROR(_xlfn.LET(
_xlpm.CSVVal,_xlfn.XLOOKUP($A342,CSV!$A:$A,CSV!AG:AG,""),
_xlpm.MacVal,_xlfn.XLOOKUP($A342,Output_Mac!$A:$A,Output_Mac!T:T,""),
_xlpm.MyAuditVal,_xlfn.XLOOKUP($A342,My_Audit!$A:$A,My_Audit!Q:Q,""),
_xlfn.IFS(_xlpm.MyAuditVal&lt;&gt;"",UPPER(_xlpm.MyAuditVal),_xlpm.MacVal&lt;&gt;"",_xlpm.MacVal,_xlpm.CSVVal&lt;&gt;"",_xlpm.CSVVal
)),"No")</f>
        <v>No</v>
      </c>
      <c r="Q342" s="2" t="str" cm="1">
        <f t="array" ref="Q342">IFERROR(_xlfn.LET(
_xlpm.CSVVal,_xlfn.XLOOKUP($A342,CSV!$A:$A,CSV!AH:AH,""),
_xlpm.MacVal,_xlfn.XLOOKUP($A342,Output_Mac!$A:$A,Output_Mac!U:U,""),
_xlpm.MyAuditVal,_xlfn.XLOOKUP($A342,My_Audit!$A:$A,My_Audit!R:R,""),
_xlfn.IFS(_xlpm.MyAuditVal&lt;&gt;"",UPPER(_xlpm.MyAuditVal),_xlpm.MacVal&lt;&gt;"",_xlpm.MacVal,_xlpm.CSVVal&lt;&gt;"",_xlpm.CSVVal
)),"")</f>
        <v/>
      </c>
    </row>
    <row r="343" spans="1:17">
      <c r="A343" s="2" t="str">
        <f>_xlfn.TEXTJOIN("",TRUE,Input!$B$2,ROW(My_Audit!A342))</f>
        <v>XX342</v>
      </c>
      <c r="B343" s="2" t="str">
        <f>_xlfn.TEXTJOIN("-",TRUE,"ITD",Input!$A$2,A343)</f>
        <v>ITD-SHRXXX-XX342</v>
      </c>
      <c r="C343" s="2" t="str" cm="1">
        <f t="array" ref="C343">IFERROR(_xlfn.LET(
_xlpm.CSVVal,_xlfn.XLOOKUP($A343,CSV!$A:$A,CSV!B:B,""),
_xlpm.MacVal,_xlfn.XLOOKUP($A343,Output_Mac!$A:$A,Output_Mac!B:B,""),
_xlpm.MyAuditVal,_xlfn.XLOOKUP($A343,My_Audit!$A:$A,My_Audit!B:B,""),
_xlfn.IFS(_xlpm.MyAuditVal&lt;&gt;"",UPPER(_xlpm.MyAuditVal),_xlpm.MacVal&lt;&gt;"",_xlpm.MacVal,_xlpm.CSVVal&lt;&gt;"",_xlpm.CSVVal
)),"")</f>
        <v/>
      </c>
      <c r="D343" s="2" t="str" cm="1">
        <f t="array" ref="D343">IFERROR(_xlfn.LET(
_xlpm.CSVVal,_xlfn.XLOOKUP($A343,CSV!$A:$A,CSV!D:D,""),
_xlpm.MacVal,_xlfn.XLOOKUP($A343,Output_Mac!$A:$A,Output_Mac!C:C,""),
_xlpm.MyAuditVal,_xlfn.XLOOKUP($A343,My_Audit!$A:$A,My_Audit!C:C,""),
_xlfn.IFS(_xlpm.MyAuditVal&lt;&gt;"",_xlpm.MyAuditVal,_xlpm.MacVal&lt;&gt;"",_xlpm.MacVal,_xlpm.CSVVal&lt;&gt;"",_xlpm.CSVVal
)),"")</f>
        <v/>
      </c>
      <c r="E343" s="2" t="str">
        <f>_xlfn.XLOOKUP(A343,My_Audit!A:A,My_Audit!D:D,"")&amp;""</f>
        <v/>
      </c>
      <c r="F343" s="2" t="str" cm="1">
        <f t="array" ref="F343">IFERROR(_xlfn.LET(
_xlpm.CSVVal,_xlfn.XLOOKUP($A343,CSV!$A:$A,CSV!F:F,""),
_xlpm.MacVal,_xlfn.XLOOKUP($A343,Output_Mac!$A:$A,Output_Mac!E:E,""),
_xlpm.MyAuditVal,_xlfn.XLOOKUP($A343,My_Audit!$A:$A,My_Audit!E:E,""),
_xlfn.IFS(_xlpm.MyAuditVal&lt;&gt;"",_xlpm.MyAuditVal,_xlpm.MacVal&lt;&gt;"",_xlpm.MacVal,_xlpm.CSVVal&lt;&gt;"",_xlpm.CSVVal
)),"")</f>
        <v/>
      </c>
      <c r="G343" s="2" t="str" cm="1">
        <f t="array" ref="G343">IFERROR(_xlfn.LET(
_xlpm.CSVVal,_xlfn.XLOOKUP($A343,CSV!$A:$A,CSV!G:G,""),
_xlpm.MacVal,_xlfn.XLOOKUP($A343,Output_Mac!$A:$A,Output_Mac!F:F,""),
_xlpm.MyAuditVal,_xlfn.XLOOKUP($A343,My_Audit!$A:$A,My_Audit!F:F,""),
_xlfn.IFS(_xlpm.MyAuditVal&lt;&gt;"",_xlpm.MyAuditVal,_xlpm.MacVal&lt;&gt;"",_xlpm.MacVal,_xlpm.CSVVal&lt;&gt;"",PROPER(_xlpm.CSVVal)
)),"")</f>
        <v/>
      </c>
      <c r="H343" s="2" t="str" cm="1">
        <f t="array" ref="H343">IFERROR(_xlfn.LET(
_xlpm.CSVVal,_xlfn.XLOOKUP($A343,CSV!$A:$A,CSV!H:H,""),
_xlpm.MacVal,_xlfn.XLOOKUP($A343,Output_Mac!$A:$A,Output_Mac!H:H,""),
_xlpm.MyAuditVal,_xlfn.XLOOKUP($A343,My_Audit!$A:$A,My_Audit!G:G,""),
_xlfn.IFS(_xlpm.MyAuditVal&lt;&gt;"",_xlpm.MyAuditVal,_xlpm.MacVal&lt;&gt;"",_xlpm.MacVal,_xlpm.CSVVal&lt;&gt;"",_xlpm.CSVVal
)),"")</f>
        <v/>
      </c>
      <c r="I343" s="2" t="str">
        <f>_xlfn.XLOOKUP(A343,Output_Mac!A:A,Output_Mac!I:I,"")</f>
        <v/>
      </c>
      <c r="J343" s="2" t="str" cm="1">
        <f t="array" ref="J343">IFERROR(_xlfn.LET(
_xlpm.CSVVal,_xlfn.XLOOKUP($A343,CSV!$A:$A,CSV!I:I,""),
_xlpm.MacVal,_xlfn.XLOOKUP($A343,Output_Mac!$A:$A,Output_Mac!J:J,""),
_xlpm.MyAuditVal,_xlfn.XLOOKUP($A343,My_Audit!$A:$A,My_Audit!I:I,""),
_xlfn.IFS(_xlpm.MyAuditVal&lt;&gt;"",UPPER(_xlpm.MyAuditVal),_xlpm.MacVal&lt;&gt;"",_xlpm.MacVal,_xlpm.CSVVal&lt;&gt;"",_xlpm.CSVVal
)),"")</f>
        <v/>
      </c>
      <c r="K343" s="2" t="str" cm="1">
        <f t="array" ref="K343">IFERROR(_xlfn.LET(
_xlpm.CSVVal,_xlfn.XLOOKUP($A343,CSV!$A:$A,CSV!K:K,""),
_xlpm.MacVal,_xlfn.XLOOKUP($A343,Output_Mac!$A:$A,Output_Mac!K:K,""),
_xlpm.MyAuditVal,_xlfn.XLOOKUP($A343,My_Audit!$A:$A,My_Audit!J:J,""),
_xlfn.IFS(_xlpm.MyAuditVal&lt;&gt;"",UPPER(_xlpm.MyAuditVal),_xlpm.MacVal&lt;&gt;"",_xlpm.MacVal,_xlpm.CSVVal&lt;&gt;"",_xlpm.CSVVal
)),"")</f>
        <v/>
      </c>
      <c r="L343" s="2" t="str" cm="1">
        <f t="array" ref="L343">IFERROR(_xlfn.LET(
_xlpm.CSVVal,_xlfn.XLOOKUP($A343,CSV!$A:$A,CSV!P:P,""),
_xlpm.MacVal,_xlfn.XLOOKUP($A343,Output_Mac!$A:$A,Output_Mac!L:L,""),
_xlpm.MyAuditVal,_xlfn.XLOOKUP($A343,My_Audit!$A:$A,My_Audit!K:K,""),
_xlfn.IFS(_xlpm.MyAuditVal&lt;&gt;"",UPPER(_xlpm.MyAuditVal),_xlpm.MacVal&lt;&gt;"",_xlpm.MacVal,_xlpm.CSVVal&lt;&gt;"",_xlpm.CSVVal
)),"")</f>
        <v/>
      </c>
      <c r="M343" s="2" t="str" cm="1">
        <f t="array" ref="M343">IFERROR(_xlfn.LET(
_xlpm.CSVVal,_xlfn.XLOOKUP($A343,CSV!$A:$A,CSV!Q:Q,""),
_xlpm.MacVal,_xlfn.XLOOKUP($A343,Output_Mac!$A:$A,Output_Mac!M:M,""),
_xlpm.MyAuditVal,_xlfn.XLOOKUP($A343,My_Audit!$A:$A,My_Audit!L:L,""),
_xlfn.IFS(_xlpm.MyAuditVal&lt;&gt;"",UPPER(_xlpm.MyAuditVal),_xlpm.MacVal&lt;&gt;"",_xlpm.MacVal,_xlpm.CSVVal&lt;&gt;"",_xlpm.CSVVal
)),"")</f>
        <v/>
      </c>
      <c r="O343" s="2" t="str">
        <f>_xlfn.LET(
    _xlpm.CSVVal, _xlfn.XLOOKUP($A343, CSV!$A:$A, CSV!AF:AF, ""),
    _xlpm.MacVal, _xlfn.XLOOKUP($A343, Output_Mac!$A:$A, Output_Mac!S:S, ""),
    _xlpm.MyAuditVal, _xlfn.XLOOKUP($A343, My_Audit!$A:$A, My_Audit!P:P, ""),
    _xlfn.TEXTJOIN(", ", TRUE, _xlpm.MyAuditVal, _xlpm.MacVal, _xlpm.CSVVal)
)</f>
        <v/>
      </c>
      <c r="P343" s="2" t="str" cm="1">
        <f t="array" ref="P343">IFERROR(_xlfn.LET(
_xlpm.CSVVal,_xlfn.XLOOKUP($A343,CSV!$A:$A,CSV!AG:AG,""),
_xlpm.MacVal,_xlfn.XLOOKUP($A343,Output_Mac!$A:$A,Output_Mac!T:T,""),
_xlpm.MyAuditVal,_xlfn.XLOOKUP($A343,My_Audit!$A:$A,My_Audit!Q:Q,""),
_xlfn.IFS(_xlpm.MyAuditVal&lt;&gt;"",UPPER(_xlpm.MyAuditVal),_xlpm.MacVal&lt;&gt;"",_xlpm.MacVal,_xlpm.CSVVal&lt;&gt;"",_xlpm.CSVVal
)),"No")</f>
        <v>No</v>
      </c>
      <c r="Q343" s="2" t="str" cm="1">
        <f t="array" ref="Q343">IFERROR(_xlfn.LET(
_xlpm.CSVVal,_xlfn.XLOOKUP($A343,CSV!$A:$A,CSV!AH:AH,""),
_xlpm.MacVal,_xlfn.XLOOKUP($A343,Output_Mac!$A:$A,Output_Mac!U:U,""),
_xlpm.MyAuditVal,_xlfn.XLOOKUP($A343,My_Audit!$A:$A,My_Audit!R:R,""),
_xlfn.IFS(_xlpm.MyAuditVal&lt;&gt;"",UPPER(_xlpm.MyAuditVal),_xlpm.MacVal&lt;&gt;"",_xlpm.MacVal,_xlpm.CSVVal&lt;&gt;"",_xlpm.CSVVal
)),"")</f>
        <v/>
      </c>
    </row>
    <row r="344" spans="1:17">
      <c r="A344" s="2" t="str">
        <f>_xlfn.TEXTJOIN("",TRUE,Input!$B$2,ROW(My_Audit!A343))</f>
        <v>XX343</v>
      </c>
      <c r="B344" s="2" t="str">
        <f>_xlfn.TEXTJOIN("-",TRUE,"ITD",Input!$A$2,A344)</f>
        <v>ITD-SHRXXX-XX343</v>
      </c>
      <c r="C344" s="2" t="str" cm="1">
        <f t="array" ref="C344">IFERROR(_xlfn.LET(
_xlpm.CSVVal,_xlfn.XLOOKUP($A344,CSV!$A:$A,CSV!B:B,""),
_xlpm.MacVal,_xlfn.XLOOKUP($A344,Output_Mac!$A:$A,Output_Mac!B:B,""),
_xlpm.MyAuditVal,_xlfn.XLOOKUP($A344,My_Audit!$A:$A,My_Audit!B:B,""),
_xlfn.IFS(_xlpm.MyAuditVal&lt;&gt;"",UPPER(_xlpm.MyAuditVal),_xlpm.MacVal&lt;&gt;"",_xlpm.MacVal,_xlpm.CSVVal&lt;&gt;"",_xlpm.CSVVal
)),"")</f>
        <v/>
      </c>
      <c r="D344" s="2" t="str" cm="1">
        <f t="array" ref="D344">IFERROR(_xlfn.LET(
_xlpm.CSVVal,_xlfn.XLOOKUP($A344,CSV!$A:$A,CSV!D:D,""),
_xlpm.MacVal,_xlfn.XLOOKUP($A344,Output_Mac!$A:$A,Output_Mac!C:C,""),
_xlpm.MyAuditVal,_xlfn.XLOOKUP($A344,My_Audit!$A:$A,My_Audit!C:C,""),
_xlfn.IFS(_xlpm.MyAuditVal&lt;&gt;"",_xlpm.MyAuditVal,_xlpm.MacVal&lt;&gt;"",_xlpm.MacVal,_xlpm.CSVVal&lt;&gt;"",_xlpm.CSVVal
)),"")</f>
        <v/>
      </c>
      <c r="E344" s="2" t="str">
        <f>_xlfn.XLOOKUP(A344,My_Audit!A:A,My_Audit!D:D,"")&amp;""</f>
        <v/>
      </c>
      <c r="F344" s="2" t="str" cm="1">
        <f t="array" ref="F344">IFERROR(_xlfn.LET(
_xlpm.CSVVal,_xlfn.XLOOKUP($A344,CSV!$A:$A,CSV!F:F,""),
_xlpm.MacVal,_xlfn.XLOOKUP($A344,Output_Mac!$A:$A,Output_Mac!E:E,""),
_xlpm.MyAuditVal,_xlfn.XLOOKUP($A344,My_Audit!$A:$A,My_Audit!E:E,""),
_xlfn.IFS(_xlpm.MyAuditVal&lt;&gt;"",_xlpm.MyAuditVal,_xlpm.MacVal&lt;&gt;"",_xlpm.MacVal,_xlpm.CSVVal&lt;&gt;"",_xlpm.CSVVal
)),"")</f>
        <v/>
      </c>
      <c r="G344" s="2" t="str" cm="1">
        <f t="array" ref="G344">IFERROR(_xlfn.LET(
_xlpm.CSVVal,_xlfn.XLOOKUP($A344,CSV!$A:$A,CSV!G:G,""),
_xlpm.MacVal,_xlfn.XLOOKUP($A344,Output_Mac!$A:$A,Output_Mac!F:F,""),
_xlpm.MyAuditVal,_xlfn.XLOOKUP($A344,My_Audit!$A:$A,My_Audit!F:F,""),
_xlfn.IFS(_xlpm.MyAuditVal&lt;&gt;"",_xlpm.MyAuditVal,_xlpm.MacVal&lt;&gt;"",_xlpm.MacVal,_xlpm.CSVVal&lt;&gt;"",PROPER(_xlpm.CSVVal)
)),"")</f>
        <v/>
      </c>
      <c r="H344" s="2" t="str" cm="1">
        <f t="array" ref="H344">IFERROR(_xlfn.LET(
_xlpm.CSVVal,_xlfn.XLOOKUP($A344,CSV!$A:$A,CSV!H:H,""),
_xlpm.MacVal,_xlfn.XLOOKUP($A344,Output_Mac!$A:$A,Output_Mac!H:H,""),
_xlpm.MyAuditVal,_xlfn.XLOOKUP($A344,My_Audit!$A:$A,My_Audit!G:G,""),
_xlfn.IFS(_xlpm.MyAuditVal&lt;&gt;"",_xlpm.MyAuditVal,_xlpm.MacVal&lt;&gt;"",_xlpm.MacVal,_xlpm.CSVVal&lt;&gt;"",_xlpm.CSVVal
)),"")</f>
        <v/>
      </c>
      <c r="I344" s="2" t="str">
        <f>_xlfn.XLOOKUP(A344,Output_Mac!A:A,Output_Mac!I:I,"")</f>
        <v/>
      </c>
      <c r="J344" s="2" t="str" cm="1">
        <f t="array" ref="J344">IFERROR(_xlfn.LET(
_xlpm.CSVVal,_xlfn.XLOOKUP($A344,CSV!$A:$A,CSV!I:I,""),
_xlpm.MacVal,_xlfn.XLOOKUP($A344,Output_Mac!$A:$A,Output_Mac!J:J,""),
_xlpm.MyAuditVal,_xlfn.XLOOKUP($A344,My_Audit!$A:$A,My_Audit!I:I,""),
_xlfn.IFS(_xlpm.MyAuditVal&lt;&gt;"",UPPER(_xlpm.MyAuditVal),_xlpm.MacVal&lt;&gt;"",_xlpm.MacVal,_xlpm.CSVVal&lt;&gt;"",_xlpm.CSVVal
)),"")</f>
        <v/>
      </c>
      <c r="K344" s="2" t="str" cm="1">
        <f t="array" ref="K344">IFERROR(_xlfn.LET(
_xlpm.CSVVal,_xlfn.XLOOKUP($A344,CSV!$A:$A,CSV!K:K,""),
_xlpm.MacVal,_xlfn.XLOOKUP($A344,Output_Mac!$A:$A,Output_Mac!K:K,""),
_xlpm.MyAuditVal,_xlfn.XLOOKUP($A344,My_Audit!$A:$A,My_Audit!J:J,""),
_xlfn.IFS(_xlpm.MyAuditVal&lt;&gt;"",UPPER(_xlpm.MyAuditVal),_xlpm.MacVal&lt;&gt;"",_xlpm.MacVal,_xlpm.CSVVal&lt;&gt;"",_xlpm.CSVVal
)),"")</f>
        <v/>
      </c>
      <c r="L344" s="2" t="str" cm="1">
        <f t="array" ref="L344">IFERROR(_xlfn.LET(
_xlpm.CSVVal,_xlfn.XLOOKUP($A344,CSV!$A:$A,CSV!P:P,""),
_xlpm.MacVal,_xlfn.XLOOKUP($A344,Output_Mac!$A:$A,Output_Mac!L:L,""),
_xlpm.MyAuditVal,_xlfn.XLOOKUP($A344,My_Audit!$A:$A,My_Audit!K:K,""),
_xlfn.IFS(_xlpm.MyAuditVal&lt;&gt;"",UPPER(_xlpm.MyAuditVal),_xlpm.MacVal&lt;&gt;"",_xlpm.MacVal,_xlpm.CSVVal&lt;&gt;"",_xlpm.CSVVal
)),"")</f>
        <v/>
      </c>
      <c r="M344" s="2" t="str" cm="1">
        <f t="array" ref="M344">IFERROR(_xlfn.LET(
_xlpm.CSVVal,_xlfn.XLOOKUP($A344,CSV!$A:$A,CSV!Q:Q,""),
_xlpm.MacVal,_xlfn.XLOOKUP($A344,Output_Mac!$A:$A,Output_Mac!M:M,""),
_xlpm.MyAuditVal,_xlfn.XLOOKUP($A344,My_Audit!$A:$A,My_Audit!L:L,""),
_xlfn.IFS(_xlpm.MyAuditVal&lt;&gt;"",UPPER(_xlpm.MyAuditVal),_xlpm.MacVal&lt;&gt;"",_xlpm.MacVal,_xlpm.CSVVal&lt;&gt;"",_xlpm.CSVVal
)),"")</f>
        <v/>
      </c>
      <c r="O344" s="2" t="str">
        <f>_xlfn.LET(
    _xlpm.CSVVal, _xlfn.XLOOKUP($A344, CSV!$A:$A, CSV!AF:AF, ""),
    _xlpm.MacVal, _xlfn.XLOOKUP($A344, Output_Mac!$A:$A, Output_Mac!S:S, ""),
    _xlpm.MyAuditVal, _xlfn.XLOOKUP($A344, My_Audit!$A:$A, My_Audit!P:P, ""),
    _xlfn.TEXTJOIN(", ", TRUE, _xlpm.MyAuditVal, _xlpm.MacVal, _xlpm.CSVVal)
)</f>
        <v/>
      </c>
      <c r="P344" s="2" t="str" cm="1">
        <f t="array" ref="P344">IFERROR(_xlfn.LET(
_xlpm.CSVVal,_xlfn.XLOOKUP($A344,CSV!$A:$A,CSV!AG:AG,""),
_xlpm.MacVal,_xlfn.XLOOKUP($A344,Output_Mac!$A:$A,Output_Mac!T:T,""),
_xlpm.MyAuditVal,_xlfn.XLOOKUP($A344,My_Audit!$A:$A,My_Audit!Q:Q,""),
_xlfn.IFS(_xlpm.MyAuditVal&lt;&gt;"",UPPER(_xlpm.MyAuditVal),_xlpm.MacVal&lt;&gt;"",_xlpm.MacVal,_xlpm.CSVVal&lt;&gt;"",_xlpm.CSVVal
)),"No")</f>
        <v>No</v>
      </c>
      <c r="Q344" s="2" t="str" cm="1">
        <f t="array" ref="Q344">IFERROR(_xlfn.LET(
_xlpm.CSVVal,_xlfn.XLOOKUP($A344,CSV!$A:$A,CSV!AH:AH,""),
_xlpm.MacVal,_xlfn.XLOOKUP($A344,Output_Mac!$A:$A,Output_Mac!U:U,""),
_xlpm.MyAuditVal,_xlfn.XLOOKUP($A344,My_Audit!$A:$A,My_Audit!R:R,""),
_xlfn.IFS(_xlpm.MyAuditVal&lt;&gt;"",UPPER(_xlpm.MyAuditVal),_xlpm.MacVal&lt;&gt;"",_xlpm.MacVal,_xlpm.CSVVal&lt;&gt;"",_xlpm.CSVVal
)),"")</f>
        <v/>
      </c>
    </row>
    <row r="345" spans="1:17">
      <c r="A345" s="2" t="str">
        <f>_xlfn.TEXTJOIN("",TRUE,Input!$B$2,ROW(My_Audit!A344))</f>
        <v>XX344</v>
      </c>
      <c r="B345" s="2" t="str">
        <f>_xlfn.TEXTJOIN("-",TRUE,"ITD",Input!$A$2,A345)</f>
        <v>ITD-SHRXXX-XX344</v>
      </c>
      <c r="C345" s="2" t="str" cm="1">
        <f t="array" ref="C345">IFERROR(_xlfn.LET(
_xlpm.CSVVal,_xlfn.XLOOKUP($A345,CSV!$A:$A,CSV!B:B,""),
_xlpm.MacVal,_xlfn.XLOOKUP($A345,Output_Mac!$A:$A,Output_Mac!B:B,""),
_xlpm.MyAuditVal,_xlfn.XLOOKUP($A345,My_Audit!$A:$A,My_Audit!B:B,""),
_xlfn.IFS(_xlpm.MyAuditVal&lt;&gt;"",UPPER(_xlpm.MyAuditVal),_xlpm.MacVal&lt;&gt;"",_xlpm.MacVal,_xlpm.CSVVal&lt;&gt;"",_xlpm.CSVVal
)),"")</f>
        <v/>
      </c>
      <c r="D345" s="2" t="str" cm="1">
        <f t="array" ref="D345">IFERROR(_xlfn.LET(
_xlpm.CSVVal,_xlfn.XLOOKUP($A345,CSV!$A:$A,CSV!D:D,""),
_xlpm.MacVal,_xlfn.XLOOKUP($A345,Output_Mac!$A:$A,Output_Mac!C:C,""),
_xlpm.MyAuditVal,_xlfn.XLOOKUP($A345,My_Audit!$A:$A,My_Audit!C:C,""),
_xlfn.IFS(_xlpm.MyAuditVal&lt;&gt;"",_xlpm.MyAuditVal,_xlpm.MacVal&lt;&gt;"",_xlpm.MacVal,_xlpm.CSVVal&lt;&gt;"",_xlpm.CSVVal
)),"")</f>
        <v/>
      </c>
      <c r="E345" s="2" t="str">
        <f>_xlfn.XLOOKUP(A345,My_Audit!A:A,My_Audit!D:D,"")&amp;""</f>
        <v/>
      </c>
      <c r="F345" s="2" t="str" cm="1">
        <f t="array" ref="F345">IFERROR(_xlfn.LET(
_xlpm.CSVVal,_xlfn.XLOOKUP($A345,CSV!$A:$A,CSV!F:F,""),
_xlpm.MacVal,_xlfn.XLOOKUP($A345,Output_Mac!$A:$A,Output_Mac!E:E,""),
_xlpm.MyAuditVal,_xlfn.XLOOKUP($A345,My_Audit!$A:$A,My_Audit!E:E,""),
_xlfn.IFS(_xlpm.MyAuditVal&lt;&gt;"",_xlpm.MyAuditVal,_xlpm.MacVal&lt;&gt;"",_xlpm.MacVal,_xlpm.CSVVal&lt;&gt;"",_xlpm.CSVVal
)),"")</f>
        <v/>
      </c>
      <c r="G345" s="2" t="str" cm="1">
        <f t="array" ref="G345">IFERROR(_xlfn.LET(
_xlpm.CSVVal,_xlfn.XLOOKUP($A345,CSV!$A:$A,CSV!G:G,""),
_xlpm.MacVal,_xlfn.XLOOKUP($A345,Output_Mac!$A:$A,Output_Mac!F:F,""),
_xlpm.MyAuditVal,_xlfn.XLOOKUP($A345,My_Audit!$A:$A,My_Audit!F:F,""),
_xlfn.IFS(_xlpm.MyAuditVal&lt;&gt;"",_xlpm.MyAuditVal,_xlpm.MacVal&lt;&gt;"",_xlpm.MacVal,_xlpm.CSVVal&lt;&gt;"",PROPER(_xlpm.CSVVal)
)),"")</f>
        <v/>
      </c>
      <c r="H345" s="2" t="str" cm="1">
        <f t="array" ref="H345">IFERROR(_xlfn.LET(
_xlpm.CSVVal,_xlfn.XLOOKUP($A345,CSV!$A:$A,CSV!H:H,""),
_xlpm.MacVal,_xlfn.XLOOKUP($A345,Output_Mac!$A:$A,Output_Mac!H:H,""),
_xlpm.MyAuditVal,_xlfn.XLOOKUP($A345,My_Audit!$A:$A,My_Audit!G:G,""),
_xlfn.IFS(_xlpm.MyAuditVal&lt;&gt;"",_xlpm.MyAuditVal,_xlpm.MacVal&lt;&gt;"",_xlpm.MacVal,_xlpm.CSVVal&lt;&gt;"",_xlpm.CSVVal
)),"")</f>
        <v/>
      </c>
      <c r="I345" s="2" t="str">
        <f>_xlfn.XLOOKUP(A345,Output_Mac!A:A,Output_Mac!I:I,"")</f>
        <v/>
      </c>
      <c r="J345" s="2" t="str" cm="1">
        <f t="array" ref="J345">IFERROR(_xlfn.LET(
_xlpm.CSVVal,_xlfn.XLOOKUP($A345,CSV!$A:$A,CSV!I:I,""),
_xlpm.MacVal,_xlfn.XLOOKUP($A345,Output_Mac!$A:$A,Output_Mac!J:J,""),
_xlpm.MyAuditVal,_xlfn.XLOOKUP($A345,My_Audit!$A:$A,My_Audit!I:I,""),
_xlfn.IFS(_xlpm.MyAuditVal&lt;&gt;"",UPPER(_xlpm.MyAuditVal),_xlpm.MacVal&lt;&gt;"",_xlpm.MacVal,_xlpm.CSVVal&lt;&gt;"",_xlpm.CSVVal
)),"")</f>
        <v/>
      </c>
      <c r="K345" s="2" t="str" cm="1">
        <f t="array" ref="K345">IFERROR(_xlfn.LET(
_xlpm.CSVVal,_xlfn.XLOOKUP($A345,CSV!$A:$A,CSV!K:K,""),
_xlpm.MacVal,_xlfn.XLOOKUP($A345,Output_Mac!$A:$A,Output_Mac!K:K,""),
_xlpm.MyAuditVal,_xlfn.XLOOKUP($A345,My_Audit!$A:$A,My_Audit!J:J,""),
_xlfn.IFS(_xlpm.MyAuditVal&lt;&gt;"",UPPER(_xlpm.MyAuditVal),_xlpm.MacVal&lt;&gt;"",_xlpm.MacVal,_xlpm.CSVVal&lt;&gt;"",_xlpm.CSVVal
)),"")</f>
        <v/>
      </c>
      <c r="L345" s="2" t="str" cm="1">
        <f t="array" ref="L345">IFERROR(_xlfn.LET(
_xlpm.CSVVal,_xlfn.XLOOKUP($A345,CSV!$A:$A,CSV!P:P,""),
_xlpm.MacVal,_xlfn.XLOOKUP($A345,Output_Mac!$A:$A,Output_Mac!L:L,""),
_xlpm.MyAuditVal,_xlfn.XLOOKUP($A345,My_Audit!$A:$A,My_Audit!K:K,""),
_xlfn.IFS(_xlpm.MyAuditVal&lt;&gt;"",UPPER(_xlpm.MyAuditVal),_xlpm.MacVal&lt;&gt;"",_xlpm.MacVal,_xlpm.CSVVal&lt;&gt;"",_xlpm.CSVVal
)),"")</f>
        <v/>
      </c>
      <c r="M345" s="2" t="str" cm="1">
        <f t="array" ref="M345">IFERROR(_xlfn.LET(
_xlpm.CSVVal,_xlfn.XLOOKUP($A345,CSV!$A:$A,CSV!Q:Q,""),
_xlpm.MacVal,_xlfn.XLOOKUP($A345,Output_Mac!$A:$A,Output_Mac!M:M,""),
_xlpm.MyAuditVal,_xlfn.XLOOKUP($A345,My_Audit!$A:$A,My_Audit!L:L,""),
_xlfn.IFS(_xlpm.MyAuditVal&lt;&gt;"",UPPER(_xlpm.MyAuditVal),_xlpm.MacVal&lt;&gt;"",_xlpm.MacVal,_xlpm.CSVVal&lt;&gt;"",_xlpm.CSVVal
)),"")</f>
        <v/>
      </c>
      <c r="O345" s="2" t="str">
        <f>_xlfn.LET(
    _xlpm.CSVVal, _xlfn.XLOOKUP($A345, CSV!$A:$A, CSV!AF:AF, ""),
    _xlpm.MacVal, _xlfn.XLOOKUP($A345, Output_Mac!$A:$A, Output_Mac!S:S, ""),
    _xlpm.MyAuditVal, _xlfn.XLOOKUP($A345, My_Audit!$A:$A, My_Audit!P:P, ""),
    _xlfn.TEXTJOIN(", ", TRUE, _xlpm.MyAuditVal, _xlpm.MacVal, _xlpm.CSVVal)
)</f>
        <v/>
      </c>
      <c r="P345" s="2" t="str" cm="1">
        <f t="array" ref="P345">IFERROR(_xlfn.LET(
_xlpm.CSVVal,_xlfn.XLOOKUP($A345,CSV!$A:$A,CSV!AG:AG,""),
_xlpm.MacVal,_xlfn.XLOOKUP($A345,Output_Mac!$A:$A,Output_Mac!T:T,""),
_xlpm.MyAuditVal,_xlfn.XLOOKUP($A345,My_Audit!$A:$A,My_Audit!Q:Q,""),
_xlfn.IFS(_xlpm.MyAuditVal&lt;&gt;"",UPPER(_xlpm.MyAuditVal),_xlpm.MacVal&lt;&gt;"",_xlpm.MacVal,_xlpm.CSVVal&lt;&gt;"",_xlpm.CSVVal
)),"No")</f>
        <v>No</v>
      </c>
      <c r="Q345" s="2" t="str" cm="1">
        <f t="array" ref="Q345">IFERROR(_xlfn.LET(
_xlpm.CSVVal,_xlfn.XLOOKUP($A345,CSV!$A:$A,CSV!AH:AH,""),
_xlpm.MacVal,_xlfn.XLOOKUP($A345,Output_Mac!$A:$A,Output_Mac!U:U,""),
_xlpm.MyAuditVal,_xlfn.XLOOKUP($A345,My_Audit!$A:$A,My_Audit!R:R,""),
_xlfn.IFS(_xlpm.MyAuditVal&lt;&gt;"",UPPER(_xlpm.MyAuditVal),_xlpm.MacVal&lt;&gt;"",_xlpm.MacVal,_xlpm.CSVVal&lt;&gt;"",_xlpm.CSVVal
)),"")</f>
        <v/>
      </c>
    </row>
    <row r="346" spans="1:17">
      <c r="A346" s="2" t="str">
        <f>_xlfn.TEXTJOIN("",TRUE,Input!$B$2,ROW(My_Audit!A345))</f>
        <v>XX345</v>
      </c>
      <c r="B346" s="2" t="str">
        <f>_xlfn.TEXTJOIN("-",TRUE,"ITD",Input!$A$2,A346)</f>
        <v>ITD-SHRXXX-XX345</v>
      </c>
      <c r="C346" s="2" t="str" cm="1">
        <f t="array" ref="C346">IFERROR(_xlfn.LET(
_xlpm.CSVVal,_xlfn.XLOOKUP($A346,CSV!$A:$A,CSV!B:B,""),
_xlpm.MacVal,_xlfn.XLOOKUP($A346,Output_Mac!$A:$A,Output_Mac!B:B,""),
_xlpm.MyAuditVal,_xlfn.XLOOKUP($A346,My_Audit!$A:$A,My_Audit!B:B,""),
_xlfn.IFS(_xlpm.MyAuditVal&lt;&gt;"",UPPER(_xlpm.MyAuditVal),_xlpm.MacVal&lt;&gt;"",_xlpm.MacVal,_xlpm.CSVVal&lt;&gt;"",_xlpm.CSVVal
)),"")</f>
        <v/>
      </c>
      <c r="D346" s="2" t="str" cm="1">
        <f t="array" ref="D346">IFERROR(_xlfn.LET(
_xlpm.CSVVal,_xlfn.XLOOKUP($A346,CSV!$A:$A,CSV!D:D,""),
_xlpm.MacVal,_xlfn.XLOOKUP($A346,Output_Mac!$A:$A,Output_Mac!C:C,""),
_xlpm.MyAuditVal,_xlfn.XLOOKUP($A346,My_Audit!$A:$A,My_Audit!C:C,""),
_xlfn.IFS(_xlpm.MyAuditVal&lt;&gt;"",_xlpm.MyAuditVal,_xlpm.MacVal&lt;&gt;"",_xlpm.MacVal,_xlpm.CSVVal&lt;&gt;"",_xlpm.CSVVal
)),"")</f>
        <v/>
      </c>
      <c r="E346" s="2" t="str">
        <f>_xlfn.XLOOKUP(A346,My_Audit!A:A,My_Audit!D:D,"")&amp;""</f>
        <v/>
      </c>
      <c r="F346" s="2" t="str" cm="1">
        <f t="array" ref="F346">IFERROR(_xlfn.LET(
_xlpm.CSVVal,_xlfn.XLOOKUP($A346,CSV!$A:$A,CSV!F:F,""),
_xlpm.MacVal,_xlfn.XLOOKUP($A346,Output_Mac!$A:$A,Output_Mac!E:E,""),
_xlpm.MyAuditVal,_xlfn.XLOOKUP($A346,My_Audit!$A:$A,My_Audit!E:E,""),
_xlfn.IFS(_xlpm.MyAuditVal&lt;&gt;"",_xlpm.MyAuditVal,_xlpm.MacVal&lt;&gt;"",_xlpm.MacVal,_xlpm.CSVVal&lt;&gt;"",_xlpm.CSVVal
)),"")</f>
        <v/>
      </c>
      <c r="G346" s="2" t="str" cm="1">
        <f t="array" ref="G346">IFERROR(_xlfn.LET(
_xlpm.CSVVal,_xlfn.XLOOKUP($A346,CSV!$A:$A,CSV!G:G,""),
_xlpm.MacVal,_xlfn.XLOOKUP($A346,Output_Mac!$A:$A,Output_Mac!F:F,""),
_xlpm.MyAuditVal,_xlfn.XLOOKUP($A346,My_Audit!$A:$A,My_Audit!F:F,""),
_xlfn.IFS(_xlpm.MyAuditVal&lt;&gt;"",_xlpm.MyAuditVal,_xlpm.MacVal&lt;&gt;"",_xlpm.MacVal,_xlpm.CSVVal&lt;&gt;"",PROPER(_xlpm.CSVVal)
)),"")</f>
        <v/>
      </c>
      <c r="H346" s="2" t="str" cm="1">
        <f t="array" ref="H346">IFERROR(_xlfn.LET(
_xlpm.CSVVal,_xlfn.XLOOKUP($A346,CSV!$A:$A,CSV!H:H,""),
_xlpm.MacVal,_xlfn.XLOOKUP($A346,Output_Mac!$A:$A,Output_Mac!H:H,""),
_xlpm.MyAuditVal,_xlfn.XLOOKUP($A346,My_Audit!$A:$A,My_Audit!G:G,""),
_xlfn.IFS(_xlpm.MyAuditVal&lt;&gt;"",_xlpm.MyAuditVal,_xlpm.MacVal&lt;&gt;"",_xlpm.MacVal,_xlpm.CSVVal&lt;&gt;"",_xlpm.CSVVal
)),"")</f>
        <v/>
      </c>
      <c r="I346" s="2" t="str">
        <f>_xlfn.XLOOKUP(A346,Output_Mac!A:A,Output_Mac!I:I,"")</f>
        <v/>
      </c>
      <c r="J346" s="2" t="str" cm="1">
        <f t="array" ref="J346">IFERROR(_xlfn.LET(
_xlpm.CSVVal,_xlfn.XLOOKUP($A346,CSV!$A:$A,CSV!I:I,""),
_xlpm.MacVal,_xlfn.XLOOKUP($A346,Output_Mac!$A:$A,Output_Mac!J:J,""),
_xlpm.MyAuditVal,_xlfn.XLOOKUP($A346,My_Audit!$A:$A,My_Audit!I:I,""),
_xlfn.IFS(_xlpm.MyAuditVal&lt;&gt;"",UPPER(_xlpm.MyAuditVal),_xlpm.MacVal&lt;&gt;"",_xlpm.MacVal,_xlpm.CSVVal&lt;&gt;"",_xlpm.CSVVal
)),"")</f>
        <v/>
      </c>
      <c r="K346" s="2" t="str" cm="1">
        <f t="array" ref="K346">IFERROR(_xlfn.LET(
_xlpm.CSVVal,_xlfn.XLOOKUP($A346,CSV!$A:$A,CSV!K:K,""),
_xlpm.MacVal,_xlfn.XLOOKUP($A346,Output_Mac!$A:$A,Output_Mac!K:K,""),
_xlpm.MyAuditVal,_xlfn.XLOOKUP($A346,My_Audit!$A:$A,My_Audit!J:J,""),
_xlfn.IFS(_xlpm.MyAuditVal&lt;&gt;"",UPPER(_xlpm.MyAuditVal),_xlpm.MacVal&lt;&gt;"",_xlpm.MacVal,_xlpm.CSVVal&lt;&gt;"",_xlpm.CSVVal
)),"")</f>
        <v/>
      </c>
      <c r="L346" s="2" t="str" cm="1">
        <f t="array" ref="L346">IFERROR(_xlfn.LET(
_xlpm.CSVVal,_xlfn.XLOOKUP($A346,CSV!$A:$A,CSV!P:P,""),
_xlpm.MacVal,_xlfn.XLOOKUP($A346,Output_Mac!$A:$A,Output_Mac!L:L,""),
_xlpm.MyAuditVal,_xlfn.XLOOKUP($A346,My_Audit!$A:$A,My_Audit!K:K,""),
_xlfn.IFS(_xlpm.MyAuditVal&lt;&gt;"",UPPER(_xlpm.MyAuditVal),_xlpm.MacVal&lt;&gt;"",_xlpm.MacVal,_xlpm.CSVVal&lt;&gt;"",_xlpm.CSVVal
)),"")</f>
        <v/>
      </c>
      <c r="M346" s="2" t="str" cm="1">
        <f t="array" ref="M346">IFERROR(_xlfn.LET(
_xlpm.CSVVal,_xlfn.XLOOKUP($A346,CSV!$A:$A,CSV!Q:Q,""),
_xlpm.MacVal,_xlfn.XLOOKUP($A346,Output_Mac!$A:$A,Output_Mac!M:M,""),
_xlpm.MyAuditVal,_xlfn.XLOOKUP($A346,My_Audit!$A:$A,My_Audit!L:L,""),
_xlfn.IFS(_xlpm.MyAuditVal&lt;&gt;"",UPPER(_xlpm.MyAuditVal),_xlpm.MacVal&lt;&gt;"",_xlpm.MacVal,_xlpm.CSVVal&lt;&gt;"",_xlpm.CSVVal
)),"")</f>
        <v/>
      </c>
      <c r="O346" s="2" t="str">
        <f>_xlfn.LET(
    _xlpm.CSVVal, _xlfn.XLOOKUP($A346, CSV!$A:$A, CSV!AF:AF, ""),
    _xlpm.MacVal, _xlfn.XLOOKUP($A346, Output_Mac!$A:$A, Output_Mac!S:S, ""),
    _xlpm.MyAuditVal, _xlfn.XLOOKUP($A346, My_Audit!$A:$A, My_Audit!P:P, ""),
    _xlfn.TEXTJOIN(", ", TRUE, _xlpm.MyAuditVal, _xlpm.MacVal, _xlpm.CSVVal)
)</f>
        <v/>
      </c>
      <c r="P346" s="2" t="str" cm="1">
        <f t="array" ref="P346">IFERROR(_xlfn.LET(
_xlpm.CSVVal,_xlfn.XLOOKUP($A346,CSV!$A:$A,CSV!AG:AG,""),
_xlpm.MacVal,_xlfn.XLOOKUP($A346,Output_Mac!$A:$A,Output_Mac!T:T,""),
_xlpm.MyAuditVal,_xlfn.XLOOKUP($A346,My_Audit!$A:$A,My_Audit!Q:Q,""),
_xlfn.IFS(_xlpm.MyAuditVal&lt;&gt;"",UPPER(_xlpm.MyAuditVal),_xlpm.MacVal&lt;&gt;"",_xlpm.MacVal,_xlpm.CSVVal&lt;&gt;"",_xlpm.CSVVal
)),"No")</f>
        <v>No</v>
      </c>
      <c r="Q346" s="2" t="str" cm="1">
        <f t="array" ref="Q346">IFERROR(_xlfn.LET(
_xlpm.CSVVal,_xlfn.XLOOKUP($A346,CSV!$A:$A,CSV!AH:AH,""),
_xlpm.MacVal,_xlfn.XLOOKUP($A346,Output_Mac!$A:$A,Output_Mac!U:U,""),
_xlpm.MyAuditVal,_xlfn.XLOOKUP($A346,My_Audit!$A:$A,My_Audit!R:R,""),
_xlfn.IFS(_xlpm.MyAuditVal&lt;&gt;"",UPPER(_xlpm.MyAuditVal),_xlpm.MacVal&lt;&gt;"",_xlpm.MacVal,_xlpm.CSVVal&lt;&gt;"",_xlpm.CSVVal
)),"")</f>
        <v/>
      </c>
    </row>
    <row r="347" spans="1:17">
      <c r="A347" s="2" t="str">
        <f>_xlfn.TEXTJOIN("",TRUE,Input!$B$2,ROW(My_Audit!A346))</f>
        <v>XX346</v>
      </c>
      <c r="B347" s="2" t="str">
        <f>_xlfn.TEXTJOIN("-",TRUE,"ITD",Input!$A$2,A347)</f>
        <v>ITD-SHRXXX-XX346</v>
      </c>
      <c r="C347" s="2" t="str" cm="1">
        <f t="array" ref="C347">IFERROR(_xlfn.LET(
_xlpm.CSVVal,_xlfn.XLOOKUP($A347,CSV!$A:$A,CSV!B:B,""),
_xlpm.MacVal,_xlfn.XLOOKUP($A347,Output_Mac!$A:$A,Output_Mac!B:B,""),
_xlpm.MyAuditVal,_xlfn.XLOOKUP($A347,My_Audit!$A:$A,My_Audit!B:B,""),
_xlfn.IFS(_xlpm.MyAuditVal&lt;&gt;"",UPPER(_xlpm.MyAuditVal),_xlpm.MacVal&lt;&gt;"",_xlpm.MacVal,_xlpm.CSVVal&lt;&gt;"",_xlpm.CSVVal
)),"")</f>
        <v/>
      </c>
      <c r="D347" s="2" t="str" cm="1">
        <f t="array" ref="D347">IFERROR(_xlfn.LET(
_xlpm.CSVVal,_xlfn.XLOOKUP($A347,CSV!$A:$A,CSV!D:D,""),
_xlpm.MacVal,_xlfn.XLOOKUP($A347,Output_Mac!$A:$A,Output_Mac!C:C,""),
_xlpm.MyAuditVal,_xlfn.XLOOKUP($A347,My_Audit!$A:$A,My_Audit!C:C,""),
_xlfn.IFS(_xlpm.MyAuditVal&lt;&gt;"",_xlpm.MyAuditVal,_xlpm.MacVal&lt;&gt;"",_xlpm.MacVal,_xlpm.CSVVal&lt;&gt;"",_xlpm.CSVVal
)),"")</f>
        <v/>
      </c>
      <c r="E347" s="2" t="str">
        <f>_xlfn.XLOOKUP(A347,My_Audit!A:A,My_Audit!D:D,"")&amp;""</f>
        <v/>
      </c>
      <c r="F347" s="2" t="str" cm="1">
        <f t="array" ref="F347">IFERROR(_xlfn.LET(
_xlpm.CSVVal,_xlfn.XLOOKUP($A347,CSV!$A:$A,CSV!F:F,""),
_xlpm.MacVal,_xlfn.XLOOKUP($A347,Output_Mac!$A:$A,Output_Mac!E:E,""),
_xlpm.MyAuditVal,_xlfn.XLOOKUP($A347,My_Audit!$A:$A,My_Audit!E:E,""),
_xlfn.IFS(_xlpm.MyAuditVal&lt;&gt;"",_xlpm.MyAuditVal,_xlpm.MacVal&lt;&gt;"",_xlpm.MacVal,_xlpm.CSVVal&lt;&gt;"",_xlpm.CSVVal
)),"")</f>
        <v/>
      </c>
      <c r="G347" s="2" t="str" cm="1">
        <f t="array" ref="G347">IFERROR(_xlfn.LET(
_xlpm.CSVVal,_xlfn.XLOOKUP($A347,CSV!$A:$A,CSV!G:G,""),
_xlpm.MacVal,_xlfn.XLOOKUP($A347,Output_Mac!$A:$A,Output_Mac!F:F,""),
_xlpm.MyAuditVal,_xlfn.XLOOKUP($A347,My_Audit!$A:$A,My_Audit!F:F,""),
_xlfn.IFS(_xlpm.MyAuditVal&lt;&gt;"",_xlpm.MyAuditVal,_xlpm.MacVal&lt;&gt;"",_xlpm.MacVal,_xlpm.CSVVal&lt;&gt;"",PROPER(_xlpm.CSVVal)
)),"")</f>
        <v/>
      </c>
      <c r="H347" s="2" t="str" cm="1">
        <f t="array" ref="H347">IFERROR(_xlfn.LET(
_xlpm.CSVVal,_xlfn.XLOOKUP($A347,CSV!$A:$A,CSV!H:H,""),
_xlpm.MacVal,_xlfn.XLOOKUP($A347,Output_Mac!$A:$A,Output_Mac!H:H,""),
_xlpm.MyAuditVal,_xlfn.XLOOKUP($A347,My_Audit!$A:$A,My_Audit!G:G,""),
_xlfn.IFS(_xlpm.MyAuditVal&lt;&gt;"",_xlpm.MyAuditVal,_xlpm.MacVal&lt;&gt;"",_xlpm.MacVal,_xlpm.CSVVal&lt;&gt;"",_xlpm.CSVVal
)),"")</f>
        <v/>
      </c>
      <c r="I347" s="2" t="str">
        <f>_xlfn.XLOOKUP(A347,Output_Mac!A:A,Output_Mac!I:I,"")</f>
        <v/>
      </c>
      <c r="J347" s="2" t="str" cm="1">
        <f t="array" ref="J347">IFERROR(_xlfn.LET(
_xlpm.CSVVal,_xlfn.XLOOKUP($A347,CSV!$A:$A,CSV!I:I,""),
_xlpm.MacVal,_xlfn.XLOOKUP($A347,Output_Mac!$A:$A,Output_Mac!J:J,""),
_xlpm.MyAuditVal,_xlfn.XLOOKUP($A347,My_Audit!$A:$A,My_Audit!I:I,""),
_xlfn.IFS(_xlpm.MyAuditVal&lt;&gt;"",UPPER(_xlpm.MyAuditVal),_xlpm.MacVal&lt;&gt;"",_xlpm.MacVal,_xlpm.CSVVal&lt;&gt;"",_xlpm.CSVVal
)),"")</f>
        <v/>
      </c>
      <c r="K347" s="2" t="str" cm="1">
        <f t="array" ref="K347">IFERROR(_xlfn.LET(
_xlpm.CSVVal,_xlfn.XLOOKUP($A347,CSV!$A:$A,CSV!K:K,""),
_xlpm.MacVal,_xlfn.XLOOKUP($A347,Output_Mac!$A:$A,Output_Mac!K:K,""),
_xlpm.MyAuditVal,_xlfn.XLOOKUP($A347,My_Audit!$A:$A,My_Audit!J:J,""),
_xlfn.IFS(_xlpm.MyAuditVal&lt;&gt;"",UPPER(_xlpm.MyAuditVal),_xlpm.MacVal&lt;&gt;"",_xlpm.MacVal,_xlpm.CSVVal&lt;&gt;"",_xlpm.CSVVal
)),"")</f>
        <v/>
      </c>
      <c r="L347" s="2" t="str" cm="1">
        <f t="array" ref="L347">IFERROR(_xlfn.LET(
_xlpm.CSVVal,_xlfn.XLOOKUP($A347,CSV!$A:$A,CSV!P:P,""),
_xlpm.MacVal,_xlfn.XLOOKUP($A347,Output_Mac!$A:$A,Output_Mac!L:L,""),
_xlpm.MyAuditVal,_xlfn.XLOOKUP($A347,My_Audit!$A:$A,My_Audit!K:K,""),
_xlfn.IFS(_xlpm.MyAuditVal&lt;&gt;"",UPPER(_xlpm.MyAuditVal),_xlpm.MacVal&lt;&gt;"",_xlpm.MacVal,_xlpm.CSVVal&lt;&gt;"",_xlpm.CSVVal
)),"")</f>
        <v/>
      </c>
      <c r="M347" s="2" t="str" cm="1">
        <f t="array" ref="M347">IFERROR(_xlfn.LET(
_xlpm.CSVVal,_xlfn.XLOOKUP($A347,CSV!$A:$A,CSV!Q:Q,""),
_xlpm.MacVal,_xlfn.XLOOKUP($A347,Output_Mac!$A:$A,Output_Mac!M:M,""),
_xlpm.MyAuditVal,_xlfn.XLOOKUP($A347,My_Audit!$A:$A,My_Audit!L:L,""),
_xlfn.IFS(_xlpm.MyAuditVal&lt;&gt;"",UPPER(_xlpm.MyAuditVal),_xlpm.MacVal&lt;&gt;"",_xlpm.MacVal,_xlpm.CSVVal&lt;&gt;"",_xlpm.CSVVal
)),"")</f>
        <v/>
      </c>
      <c r="O347" s="2" t="str">
        <f>_xlfn.LET(
    _xlpm.CSVVal, _xlfn.XLOOKUP($A347, CSV!$A:$A, CSV!AF:AF, ""),
    _xlpm.MacVal, _xlfn.XLOOKUP($A347, Output_Mac!$A:$A, Output_Mac!S:S, ""),
    _xlpm.MyAuditVal, _xlfn.XLOOKUP($A347, My_Audit!$A:$A, My_Audit!P:P, ""),
    _xlfn.TEXTJOIN(", ", TRUE, _xlpm.MyAuditVal, _xlpm.MacVal, _xlpm.CSVVal)
)</f>
        <v/>
      </c>
      <c r="P347" s="2" t="str" cm="1">
        <f t="array" ref="P347">IFERROR(_xlfn.LET(
_xlpm.CSVVal,_xlfn.XLOOKUP($A347,CSV!$A:$A,CSV!AG:AG,""),
_xlpm.MacVal,_xlfn.XLOOKUP($A347,Output_Mac!$A:$A,Output_Mac!T:T,""),
_xlpm.MyAuditVal,_xlfn.XLOOKUP($A347,My_Audit!$A:$A,My_Audit!Q:Q,""),
_xlfn.IFS(_xlpm.MyAuditVal&lt;&gt;"",UPPER(_xlpm.MyAuditVal),_xlpm.MacVal&lt;&gt;"",_xlpm.MacVal,_xlpm.CSVVal&lt;&gt;"",_xlpm.CSVVal
)),"No")</f>
        <v>No</v>
      </c>
      <c r="Q347" s="2" t="str" cm="1">
        <f t="array" ref="Q347">IFERROR(_xlfn.LET(
_xlpm.CSVVal,_xlfn.XLOOKUP($A347,CSV!$A:$A,CSV!AH:AH,""),
_xlpm.MacVal,_xlfn.XLOOKUP($A347,Output_Mac!$A:$A,Output_Mac!U:U,""),
_xlpm.MyAuditVal,_xlfn.XLOOKUP($A347,My_Audit!$A:$A,My_Audit!R:R,""),
_xlfn.IFS(_xlpm.MyAuditVal&lt;&gt;"",UPPER(_xlpm.MyAuditVal),_xlpm.MacVal&lt;&gt;"",_xlpm.MacVal,_xlpm.CSVVal&lt;&gt;"",_xlpm.CSVVal
)),"")</f>
        <v/>
      </c>
    </row>
    <row r="348" spans="1:17">
      <c r="A348" s="2" t="str">
        <f>_xlfn.TEXTJOIN("",TRUE,Input!$B$2,ROW(My_Audit!A347))</f>
        <v>XX347</v>
      </c>
      <c r="B348" s="2" t="str">
        <f>_xlfn.TEXTJOIN("-",TRUE,"ITD",Input!$A$2,A348)</f>
        <v>ITD-SHRXXX-XX347</v>
      </c>
      <c r="C348" s="2" t="str" cm="1">
        <f t="array" ref="C348">IFERROR(_xlfn.LET(
_xlpm.CSVVal,_xlfn.XLOOKUP($A348,CSV!$A:$A,CSV!B:B,""),
_xlpm.MacVal,_xlfn.XLOOKUP($A348,Output_Mac!$A:$A,Output_Mac!B:B,""),
_xlpm.MyAuditVal,_xlfn.XLOOKUP($A348,My_Audit!$A:$A,My_Audit!B:B,""),
_xlfn.IFS(_xlpm.MyAuditVal&lt;&gt;"",UPPER(_xlpm.MyAuditVal),_xlpm.MacVal&lt;&gt;"",_xlpm.MacVal,_xlpm.CSVVal&lt;&gt;"",_xlpm.CSVVal
)),"")</f>
        <v/>
      </c>
      <c r="D348" s="2" t="str" cm="1">
        <f t="array" ref="D348">IFERROR(_xlfn.LET(
_xlpm.CSVVal,_xlfn.XLOOKUP($A348,CSV!$A:$A,CSV!D:D,""),
_xlpm.MacVal,_xlfn.XLOOKUP($A348,Output_Mac!$A:$A,Output_Mac!C:C,""),
_xlpm.MyAuditVal,_xlfn.XLOOKUP($A348,My_Audit!$A:$A,My_Audit!C:C,""),
_xlfn.IFS(_xlpm.MyAuditVal&lt;&gt;"",_xlpm.MyAuditVal,_xlpm.MacVal&lt;&gt;"",_xlpm.MacVal,_xlpm.CSVVal&lt;&gt;"",_xlpm.CSVVal
)),"")</f>
        <v/>
      </c>
      <c r="E348" s="2" t="str">
        <f>_xlfn.XLOOKUP(A348,My_Audit!A:A,My_Audit!D:D,"")&amp;""</f>
        <v/>
      </c>
      <c r="F348" s="2" t="str" cm="1">
        <f t="array" ref="F348">IFERROR(_xlfn.LET(
_xlpm.CSVVal,_xlfn.XLOOKUP($A348,CSV!$A:$A,CSV!F:F,""),
_xlpm.MacVal,_xlfn.XLOOKUP($A348,Output_Mac!$A:$A,Output_Mac!E:E,""),
_xlpm.MyAuditVal,_xlfn.XLOOKUP($A348,My_Audit!$A:$A,My_Audit!E:E,""),
_xlfn.IFS(_xlpm.MyAuditVal&lt;&gt;"",_xlpm.MyAuditVal,_xlpm.MacVal&lt;&gt;"",_xlpm.MacVal,_xlpm.CSVVal&lt;&gt;"",_xlpm.CSVVal
)),"")</f>
        <v/>
      </c>
      <c r="G348" s="2" t="str" cm="1">
        <f t="array" ref="G348">IFERROR(_xlfn.LET(
_xlpm.CSVVal,_xlfn.XLOOKUP($A348,CSV!$A:$A,CSV!G:G,""),
_xlpm.MacVal,_xlfn.XLOOKUP($A348,Output_Mac!$A:$A,Output_Mac!F:F,""),
_xlpm.MyAuditVal,_xlfn.XLOOKUP($A348,My_Audit!$A:$A,My_Audit!F:F,""),
_xlfn.IFS(_xlpm.MyAuditVal&lt;&gt;"",_xlpm.MyAuditVal,_xlpm.MacVal&lt;&gt;"",_xlpm.MacVal,_xlpm.CSVVal&lt;&gt;"",PROPER(_xlpm.CSVVal)
)),"")</f>
        <v/>
      </c>
      <c r="H348" s="2" t="str" cm="1">
        <f t="array" ref="H348">IFERROR(_xlfn.LET(
_xlpm.CSVVal,_xlfn.XLOOKUP($A348,CSV!$A:$A,CSV!H:H,""),
_xlpm.MacVal,_xlfn.XLOOKUP($A348,Output_Mac!$A:$A,Output_Mac!H:H,""),
_xlpm.MyAuditVal,_xlfn.XLOOKUP($A348,My_Audit!$A:$A,My_Audit!G:G,""),
_xlfn.IFS(_xlpm.MyAuditVal&lt;&gt;"",_xlpm.MyAuditVal,_xlpm.MacVal&lt;&gt;"",_xlpm.MacVal,_xlpm.CSVVal&lt;&gt;"",_xlpm.CSVVal
)),"")</f>
        <v/>
      </c>
      <c r="I348" s="2" t="str">
        <f>_xlfn.XLOOKUP(A348,Output_Mac!A:A,Output_Mac!I:I,"")</f>
        <v/>
      </c>
      <c r="J348" s="2" t="str" cm="1">
        <f t="array" ref="J348">IFERROR(_xlfn.LET(
_xlpm.CSVVal,_xlfn.XLOOKUP($A348,CSV!$A:$A,CSV!I:I,""),
_xlpm.MacVal,_xlfn.XLOOKUP($A348,Output_Mac!$A:$A,Output_Mac!J:J,""),
_xlpm.MyAuditVal,_xlfn.XLOOKUP($A348,My_Audit!$A:$A,My_Audit!I:I,""),
_xlfn.IFS(_xlpm.MyAuditVal&lt;&gt;"",UPPER(_xlpm.MyAuditVal),_xlpm.MacVal&lt;&gt;"",_xlpm.MacVal,_xlpm.CSVVal&lt;&gt;"",_xlpm.CSVVal
)),"")</f>
        <v/>
      </c>
      <c r="K348" s="2" t="str" cm="1">
        <f t="array" ref="K348">IFERROR(_xlfn.LET(
_xlpm.CSVVal,_xlfn.XLOOKUP($A348,CSV!$A:$A,CSV!K:K,""),
_xlpm.MacVal,_xlfn.XLOOKUP($A348,Output_Mac!$A:$A,Output_Mac!K:K,""),
_xlpm.MyAuditVal,_xlfn.XLOOKUP($A348,My_Audit!$A:$A,My_Audit!J:J,""),
_xlfn.IFS(_xlpm.MyAuditVal&lt;&gt;"",UPPER(_xlpm.MyAuditVal),_xlpm.MacVal&lt;&gt;"",_xlpm.MacVal,_xlpm.CSVVal&lt;&gt;"",_xlpm.CSVVal
)),"")</f>
        <v/>
      </c>
      <c r="L348" s="2" t="str" cm="1">
        <f t="array" ref="L348">IFERROR(_xlfn.LET(
_xlpm.CSVVal,_xlfn.XLOOKUP($A348,CSV!$A:$A,CSV!P:P,""),
_xlpm.MacVal,_xlfn.XLOOKUP($A348,Output_Mac!$A:$A,Output_Mac!L:L,""),
_xlpm.MyAuditVal,_xlfn.XLOOKUP($A348,My_Audit!$A:$A,My_Audit!K:K,""),
_xlfn.IFS(_xlpm.MyAuditVal&lt;&gt;"",UPPER(_xlpm.MyAuditVal),_xlpm.MacVal&lt;&gt;"",_xlpm.MacVal,_xlpm.CSVVal&lt;&gt;"",_xlpm.CSVVal
)),"")</f>
        <v/>
      </c>
      <c r="M348" s="2" t="str" cm="1">
        <f t="array" ref="M348">IFERROR(_xlfn.LET(
_xlpm.CSVVal,_xlfn.XLOOKUP($A348,CSV!$A:$A,CSV!Q:Q,""),
_xlpm.MacVal,_xlfn.XLOOKUP($A348,Output_Mac!$A:$A,Output_Mac!M:M,""),
_xlpm.MyAuditVal,_xlfn.XLOOKUP($A348,My_Audit!$A:$A,My_Audit!L:L,""),
_xlfn.IFS(_xlpm.MyAuditVal&lt;&gt;"",UPPER(_xlpm.MyAuditVal),_xlpm.MacVal&lt;&gt;"",_xlpm.MacVal,_xlpm.CSVVal&lt;&gt;"",_xlpm.CSVVal
)),"")</f>
        <v/>
      </c>
      <c r="O348" s="2" t="str">
        <f>_xlfn.LET(
    _xlpm.CSVVal, _xlfn.XLOOKUP($A348, CSV!$A:$A, CSV!AF:AF, ""),
    _xlpm.MacVal, _xlfn.XLOOKUP($A348, Output_Mac!$A:$A, Output_Mac!S:S, ""),
    _xlpm.MyAuditVal, _xlfn.XLOOKUP($A348, My_Audit!$A:$A, My_Audit!P:P, ""),
    _xlfn.TEXTJOIN(", ", TRUE, _xlpm.MyAuditVal, _xlpm.MacVal, _xlpm.CSVVal)
)</f>
        <v/>
      </c>
      <c r="P348" s="2" t="str" cm="1">
        <f t="array" ref="P348">IFERROR(_xlfn.LET(
_xlpm.CSVVal,_xlfn.XLOOKUP($A348,CSV!$A:$A,CSV!AG:AG,""),
_xlpm.MacVal,_xlfn.XLOOKUP($A348,Output_Mac!$A:$A,Output_Mac!T:T,""),
_xlpm.MyAuditVal,_xlfn.XLOOKUP($A348,My_Audit!$A:$A,My_Audit!Q:Q,""),
_xlfn.IFS(_xlpm.MyAuditVal&lt;&gt;"",UPPER(_xlpm.MyAuditVal),_xlpm.MacVal&lt;&gt;"",_xlpm.MacVal,_xlpm.CSVVal&lt;&gt;"",_xlpm.CSVVal
)),"No")</f>
        <v>No</v>
      </c>
      <c r="Q348" s="2" t="str" cm="1">
        <f t="array" ref="Q348">IFERROR(_xlfn.LET(
_xlpm.CSVVal,_xlfn.XLOOKUP($A348,CSV!$A:$A,CSV!AH:AH,""),
_xlpm.MacVal,_xlfn.XLOOKUP($A348,Output_Mac!$A:$A,Output_Mac!U:U,""),
_xlpm.MyAuditVal,_xlfn.XLOOKUP($A348,My_Audit!$A:$A,My_Audit!R:R,""),
_xlfn.IFS(_xlpm.MyAuditVal&lt;&gt;"",UPPER(_xlpm.MyAuditVal),_xlpm.MacVal&lt;&gt;"",_xlpm.MacVal,_xlpm.CSVVal&lt;&gt;"",_xlpm.CSVVal
)),"")</f>
        <v/>
      </c>
    </row>
    <row r="349" spans="1:17">
      <c r="A349" s="2" t="str">
        <f>_xlfn.TEXTJOIN("",TRUE,Input!$B$2,ROW(My_Audit!A348))</f>
        <v>XX348</v>
      </c>
      <c r="B349" s="2" t="str">
        <f>_xlfn.TEXTJOIN("-",TRUE,"ITD",Input!$A$2,A349)</f>
        <v>ITD-SHRXXX-XX348</v>
      </c>
      <c r="C349" s="2" t="str" cm="1">
        <f t="array" ref="C349">IFERROR(_xlfn.LET(
_xlpm.CSVVal,_xlfn.XLOOKUP($A349,CSV!$A:$A,CSV!B:B,""),
_xlpm.MacVal,_xlfn.XLOOKUP($A349,Output_Mac!$A:$A,Output_Mac!B:B,""),
_xlpm.MyAuditVal,_xlfn.XLOOKUP($A349,My_Audit!$A:$A,My_Audit!B:B,""),
_xlfn.IFS(_xlpm.MyAuditVal&lt;&gt;"",UPPER(_xlpm.MyAuditVal),_xlpm.MacVal&lt;&gt;"",_xlpm.MacVal,_xlpm.CSVVal&lt;&gt;"",_xlpm.CSVVal
)),"")</f>
        <v/>
      </c>
      <c r="D349" s="2" t="str" cm="1">
        <f t="array" ref="D349">IFERROR(_xlfn.LET(
_xlpm.CSVVal,_xlfn.XLOOKUP($A349,CSV!$A:$A,CSV!D:D,""),
_xlpm.MacVal,_xlfn.XLOOKUP($A349,Output_Mac!$A:$A,Output_Mac!C:C,""),
_xlpm.MyAuditVal,_xlfn.XLOOKUP($A349,My_Audit!$A:$A,My_Audit!C:C,""),
_xlfn.IFS(_xlpm.MyAuditVal&lt;&gt;"",_xlpm.MyAuditVal,_xlpm.MacVal&lt;&gt;"",_xlpm.MacVal,_xlpm.CSVVal&lt;&gt;"",_xlpm.CSVVal
)),"")</f>
        <v/>
      </c>
      <c r="E349" s="2" t="str">
        <f>_xlfn.XLOOKUP(A349,My_Audit!A:A,My_Audit!D:D,"")&amp;""</f>
        <v/>
      </c>
      <c r="F349" s="2" t="str" cm="1">
        <f t="array" ref="F349">IFERROR(_xlfn.LET(
_xlpm.CSVVal,_xlfn.XLOOKUP($A349,CSV!$A:$A,CSV!F:F,""),
_xlpm.MacVal,_xlfn.XLOOKUP($A349,Output_Mac!$A:$A,Output_Mac!E:E,""),
_xlpm.MyAuditVal,_xlfn.XLOOKUP($A349,My_Audit!$A:$A,My_Audit!E:E,""),
_xlfn.IFS(_xlpm.MyAuditVal&lt;&gt;"",_xlpm.MyAuditVal,_xlpm.MacVal&lt;&gt;"",_xlpm.MacVal,_xlpm.CSVVal&lt;&gt;"",_xlpm.CSVVal
)),"")</f>
        <v/>
      </c>
      <c r="G349" s="2" t="str" cm="1">
        <f t="array" ref="G349">IFERROR(_xlfn.LET(
_xlpm.CSVVal,_xlfn.XLOOKUP($A349,CSV!$A:$A,CSV!G:G,""),
_xlpm.MacVal,_xlfn.XLOOKUP($A349,Output_Mac!$A:$A,Output_Mac!F:F,""),
_xlpm.MyAuditVal,_xlfn.XLOOKUP($A349,My_Audit!$A:$A,My_Audit!F:F,""),
_xlfn.IFS(_xlpm.MyAuditVal&lt;&gt;"",_xlpm.MyAuditVal,_xlpm.MacVal&lt;&gt;"",_xlpm.MacVal,_xlpm.CSVVal&lt;&gt;"",PROPER(_xlpm.CSVVal)
)),"")</f>
        <v/>
      </c>
      <c r="H349" s="2" t="str" cm="1">
        <f t="array" ref="H349">IFERROR(_xlfn.LET(
_xlpm.CSVVal,_xlfn.XLOOKUP($A349,CSV!$A:$A,CSV!H:H,""),
_xlpm.MacVal,_xlfn.XLOOKUP($A349,Output_Mac!$A:$A,Output_Mac!H:H,""),
_xlpm.MyAuditVal,_xlfn.XLOOKUP($A349,My_Audit!$A:$A,My_Audit!G:G,""),
_xlfn.IFS(_xlpm.MyAuditVal&lt;&gt;"",_xlpm.MyAuditVal,_xlpm.MacVal&lt;&gt;"",_xlpm.MacVal,_xlpm.CSVVal&lt;&gt;"",_xlpm.CSVVal
)),"")</f>
        <v/>
      </c>
      <c r="I349" s="2" t="str">
        <f>_xlfn.XLOOKUP(A349,Output_Mac!A:A,Output_Mac!I:I,"")</f>
        <v/>
      </c>
      <c r="J349" s="2" t="str" cm="1">
        <f t="array" ref="J349">IFERROR(_xlfn.LET(
_xlpm.CSVVal,_xlfn.XLOOKUP($A349,CSV!$A:$A,CSV!I:I,""),
_xlpm.MacVal,_xlfn.XLOOKUP($A349,Output_Mac!$A:$A,Output_Mac!J:J,""),
_xlpm.MyAuditVal,_xlfn.XLOOKUP($A349,My_Audit!$A:$A,My_Audit!I:I,""),
_xlfn.IFS(_xlpm.MyAuditVal&lt;&gt;"",UPPER(_xlpm.MyAuditVal),_xlpm.MacVal&lt;&gt;"",_xlpm.MacVal,_xlpm.CSVVal&lt;&gt;"",_xlpm.CSVVal
)),"")</f>
        <v/>
      </c>
      <c r="K349" s="2" t="str" cm="1">
        <f t="array" ref="K349">IFERROR(_xlfn.LET(
_xlpm.CSVVal,_xlfn.XLOOKUP($A349,CSV!$A:$A,CSV!K:K,""),
_xlpm.MacVal,_xlfn.XLOOKUP($A349,Output_Mac!$A:$A,Output_Mac!K:K,""),
_xlpm.MyAuditVal,_xlfn.XLOOKUP($A349,My_Audit!$A:$A,My_Audit!J:J,""),
_xlfn.IFS(_xlpm.MyAuditVal&lt;&gt;"",UPPER(_xlpm.MyAuditVal),_xlpm.MacVal&lt;&gt;"",_xlpm.MacVal,_xlpm.CSVVal&lt;&gt;"",_xlpm.CSVVal
)),"")</f>
        <v/>
      </c>
      <c r="L349" s="2" t="str" cm="1">
        <f t="array" ref="L349">IFERROR(_xlfn.LET(
_xlpm.CSVVal,_xlfn.XLOOKUP($A349,CSV!$A:$A,CSV!P:P,""),
_xlpm.MacVal,_xlfn.XLOOKUP($A349,Output_Mac!$A:$A,Output_Mac!L:L,""),
_xlpm.MyAuditVal,_xlfn.XLOOKUP($A349,My_Audit!$A:$A,My_Audit!K:K,""),
_xlfn.IFS(_xlpm.MyAuditVal&lt;&gt;"",UPPER(_xlpm.MyAuditVal),_xlpm.MacVal&lt;&gt;"",_xlpm.MacVal,_xlpm.CSVVal&lt;&gt;"",_xlpm.CSVVal
)),"")</f>
        <v/>
      </c>
      <c r="M349" s="2" t="str" cm="1">
        <f t="array" ref="M349">IFERROR(_xlfn.LET(
_xlpm.CSVVal,_xlfn.XLOOKUP($A349,CSV!$A:$A,CSV!Q:Q,""),
_xlpm.MacVal,_xlfn.XLOOKUP($A349,Output_Mac!$A:$A,Output_Mac!M:M,""),
_xlpm.MyAuditVal,_xlfn.XLOOKUP($A349,My_Audit!$A:$A,My_Audit!L:L,""),
_xlfn.IFS(_xlpm.MyAuditVal&lt;&gt;"",UPPER(_xlpm.MyAuditVal),_xlpm.MacVal&lt;&gt;"",_xlpm.MacVal,_xlpm.CSVVal&lt;&gt;"",_xlpm.CSVVal
)),"")</f>
        <v/>
      </c>
      <c r="O349" s="2" t="str">
        <f>_xlfn.LET(
    _xlpm.CSVVal, _xlfn.XLOOKUP($A349, CSV!$A:$A, CSV!AF:AF, ""),
    _xlpm.MacVal, _xlfn.XLOOKUP($A349, Output_Mac!$A:$A, Output_Mac!S:S, ""),
    _xlpm.MyAuditVal, _xlfn.XLOOKUP($A349, My_Audit!$A:$A, My_Audit!P:P, ""),
    _xlfn.TEXTJOIN(", ", TRUE, _xlpm.MyAuditVal, _xlpm.MacVal, _xlpm.CSVVal)
)</f>
        <v/>
      </c>
      <c r="P349" s="2" t="str" cm="1">
        <f t="array" ref="P349">IFERROR(_xlfn.LET(
_xlpm.CSVVal,_xlfn.XLOOKUP($A349,CSV!$A:$A,CSV!AG:AG,""),
_xlpm.MacVal,_xlfn.XLOOKUP($A349,Output_Mac!$A:$A,Output_Mac!T:T,""),
_xlpm.MyAuditVal,_xlfn.XLOOKUP($A349,My_Audit!$A:$A,My_Audit!Q:Q,""),
_xlfn.IFS(_xlpm.MyAuditVal&lt;&gt;"",UPPER(_xlpm.MyAuditVal),_xlpm.MacVal&lt;&gt;"",_xlpm.MacVal,_xlpm.CSVVal&lt;&gt;"",_xlpm.CSVVal
)),"No")</f>
        <v>No</v>
      </c>
      <c r="Q349" s="2" t="str" cm="1">
        <f t="array" ref="Q349">IFERROR(_xlfn.LET(
_xlpm.CSVVal,_xlfn.XLOOKUP($A349,CSV!$A:$A,CSV!AH:AH,""),
_xlpm.MacVal,_xlfn.XLOOKUP($A349,Output_Mac!$A:$A,Output_Mac!U:U,""),
_xlpm.MyAuditVal,_xlfn.XLOOKUP($A349,My_Audit!$A:$A,My_Audit!R:R,""),
_xlfn.IFS(_xlpm.MyAuditVal&lt;&gt;"",UPPER(_xlpm.MyAuditVal),_xlpm.MacVal&lt;&gt;"",_xlpm.MacVal,_xlpm.CSVVal&lt;&gt;"",_xlpm.CSVVal
)),"")</f>
        <v/>
      </c>
    </row>
    <row r="350" spans="1:17">
      <c r="A350" s="2" t="str">
        <f>_xlfn.TEXTJOIN("",TRUE,Input!$B$2,ROW(My_Audit!A349))</f>
        <v>XX349</v>
      </c>
      <c r="B350" s="2" t="str">
        <f>_xlfn.TEXTJOIN("-",TRUE,"ITD",Input!$A$2,A350)</f>
        <v>ITD-SHRXXX-XX349</v>
      </c>
      <c r="C350" s="2" t="str" cm="1">
        <f t="array" ref="C350">IFERROR(_xlfn.LET(
_xlpm.CSVVal,_xlfn.XLOOKUP($A350,CSV!$A:$A,CSV!B:B,""),
_xlpm.MacVal,_xlfn.XLOOKUP($A350,Output_Mac!$A:$A,Output_Mac!B:B,""),
_xlpm.MyAuditVal,_xlfn.XLOOKUP($A350,My_Audit!$A:$A,My_Audit!B:B,""),
_xlfn.IFS(_xlpm.MyAuditVal&lt;&gt;"",UPPER(_xlpm.MyAuditVal),_xlpm.MacVal&lt;&gt;"",_xlpm.MacVal,_xlpm.CSVVal&lt;&gt;"",_xlpm.CSVVal
)),"")</f>
        <v/>
      </c>
      <c r="D350" s="2" t="str" cm="1">
        <f t="array" ref="D350">IFERROR(_xlfn.LET(
_xlpm.CSVVal,_xlfn.XLOOKUP($A350,CSV!$A:$A,CSV!D:D,""),
_xlpm.MacVal,_xlfn.XLOOKUP($A350,Output_Mac!$A:$A,Output_Mac!C:C,""),
_xlpm.MyAuditVal,_xlfn.XLOOKUP($A350,My_Audit!$A:$A,My_Audit!C:C,""),
_xlfn.IFS(_xlpm.MyAuditVal&lt;&gt;"",_xlpm.MyAuditVal,_xlpm.MacVal&lt;&gt;"",_xlpm.MacVal,_xlpm.CSVVal&lt;&gt;"",_xlpm.CSVVal
)),"")</f>
        <v/>
      </c>
      <c r="E350" s="2" t="str">
        <f>_xlfn.XLOOKUP(A350,My_Audit!A:A,My_Audit!D:D,"")&amp;""</f>
        <v/>
      </c>
      <c r="F350" s="2" t="str" cm="1">
        <f t="array" ref="F350">IFERROR(_xlfn.LET(
_xlpm.CSVVal,_xlfn.XLOOKUP($A350,CSV!$A:$A,CSV!F:F,""),
_xlpm.MacVal,_xlfn.XLOOKUP($A350,Output_Mac!$A:$A,Output_Mac!E:E,""),
_xlpm.MyAuditVal,_xlfn.XLOOKUP($A350,My_Audit!$A:$A,My_Audit!E:E,""),
_xlfn.IFS(_xlpm.MyAuditVal&lt;&gt;"",_xlpm.MyAuditVal,_xlpm.MacVal&lt;&gt;"",_xlpm.MacVal,_xlpm.CSVVal&lt;&gt;"",_xlpm.CSVVal
)),"")</f>
        <v/>
      </c>
      <c r="G350" s="2" t="str" cm="1">
        <f t="array" ref="G350">IFERROR(_xlfn.LET(
_xlpm.CSVVal,_xlfn.XLOOKUP($A350,CSV!$A:$A,CSV!G:G,""),
_xlpm.MacVal,_xlfn.XLOOKUP($A350,Output_Mac!$A:$A,Output_Mac!F:F,""),
_xlpm.MyAuditVal,_xlfn.XLOOKUP($A350,My_Audit!$A:$A,My_Audit!F:F,""),
_xlfn.IFS(_xlpm.MyAuditVal&lt;&gt;"",_xlpm.MyAuditVal,_xlpm.MacVal&lt;&gt;"",_xlpm.MacVal,_xlpm.CSVVal&lt;&gt;"",PROPER(_xlpm.CSVVal)
)),"")</f>
        <v/>
      </c>
      <c r="H350" s="2" t="str" cm="1">
        <f t="array" ref="H350">IFERROR(_xlfn.LET(
_xlpm.CSVVal,_xlfn.XLOOKUP($A350,CSV!$A:$A,CSV!H:H,""),
_xlpm.MacVal,_xlfn.XLOOKUP($A350,Output_Mac!$A:$A,Output_Mac!H:H,""),
_xlpm.MyAuditVal,_xlfn.XLOOKUP($A350,My_Audit!$A:$A,My_Audit!G:G,""),
_xlfn.IFS(_xlpm.MyAuditVal&lt;&gt;"",_xlpm.MyAuditVal,_xlpm.MacVal&lt;&gt;"",_xlpm.MacVal,_xlpm.CSVVal&lt;&gt;"",_xlpm.CSVVal
)),"")</f>
        <v/>
      </c>
      <c r="I350" s="2" t="str">
        <f>_xlfn.XLOOKUP(A350,Output_Mac!A:A,Output_Mac!I:I,"")</f>
        <v/>
      </c>
      <c r="J350" s="2" t="str" cm="1">
        <f t="array" ref="J350">IFERROR(_xlfn.LET(
_xlpm.CSVVal,_xlfn.XLOOKUP($A350,CSV!$A:$A,CSV!I:I,""),
_xlpm.MacVal,_xlfn.XLOOKUP($A350,Output_Mac!$A:$A,Output_Mac!J:J,""),
_xlpm.MyAuditVal,_xlfn.XLOOKUP($A350,My_Audit!$A:$A,My_Audit!I:I,""),
_xlfn.IFS(_xlpm.MyAuditVal&lt;&gt;"",UPPER(_xlpm.MyAuditVal),_xlpm.MacVal&lt;&gt;"",_xlpm.MacVal,_xlpm.CSVVal&lt;&gt;"",_xlpm.CSVVal
)),"")</f>
        <v/>
      </c>
      <c r="K350" s="2" t="str" cm="1">
        <f t="array" ref="K350">IFERROR(_xlfn.LET(
_xlpm.CSVVal,_xlfn.XLOOKUP($A350,CSV!$A:$A,CSV!K:K,""),
_xlpm.MacVal,_xlfn.XLOOKUP($A350,Output_Mac!$A:$A,Output_Mac!K:K,""),
_xlpm.MyAuditVal,_xlfn.XLOOKUP($A350,My_Audit!$A:$A,My_Audit!J:J,""),
_xlfn.IFS(_xlpm.MyAuditVal&lt;&gt;"",UPPER(_xlpm.MyAuditVal),_xlpm.MacVal&lt;&gt;"",_xlpm.MacVal,_xlpm.CSVVal&lt;&gt;"",_xlpm.CSVVal
)),"")</f>
        <v/>
      </c>
      <c r="L350" s="2" t="str" cm="1">
        <f t="array" ref="L350">IFERROR(_xlfn.LET(
_xlpm.CSVVal,_xlfn.XLOOKUP($A350,CSV!$A:$A,CSV!P:P,""),
_xlpm.MacVal,_xlfn.XLOOKUP($A350,Output_Mac!$A:$A,Output_Mac!L:L,""),
_xlpm.MyAuditVal,_xlfn.XLOOKUP($A350,My_Audit!$A:$A,My_Audit!K:K,""),
_xlfn.IFS(_xlpm.MyAuditVal&lt;&gt;"",UPPER(_xlpm.MyAuditVal),_xlpm.MacVal&lt;&gt;"",_xlpm.MacVal,_xlpm.CSVVal&lt;&gt;"",_xlpm.CSVVal
)),"")</f>
        <v/>
      </c>
      <c r="M350" s="2" t="str" cm="1">
        <f t="array" ref="M350">IFERROR(_xlfn.LET(
_xlpm.CSVVal,_xlfn.XLOOKUP($A350,CSV!$A:$A,CSV!Q:Q,""),
_xlpm.MacVal,_xlfn.XLOOKUP($A350,Output_Mac!$A:$A,Output_Mac!M:M,""),
_xlpm.MyAuditVal,_xlfn.XLOOKUP($A350,My_Audit!$A:$A,My_Audit!L:L,""),
_xlfn.IFS(_xlpm.MyAuditVal&lt;&gt;"",UPPER(_xlpm.MyAuditVal),_xlpm.MacVal&lt;&gt;"",_xlpm.MacVal,_xlpm.CSVVal&lt;&gt;"",_xlpm.CSVVal
)),"")</f>
        <v/>
      </c>
      <c r="O350" s="2" t="str">
        <f>_xlfn.LET(
    _xlpm.CSVVal, _xlfn.XLOOKUP($A350, CSV!$A:$A, CSV!AF:AF, ""),
    _xlpm.MacVal, _xlfn.XLOOKUP($A350, Output_Mac!$A:$A, Output_Mac!S:S, ""),
    _xlpm.MyAuditVal, _xlfn.XLOOKUP($A350, My_Audit!$A:$A, My_Audit!P:P, ""),
    _xlfn.TEXTJOIN(", ", TRUE, _xlpm.MyAuditVal, _xlpm.MacVal, _xlpm.CSVVal)
)</f>
        <v/>
      </c>
      <c r="P350" s="2" t="str" cm="1">
        <f t="array" ref="P350">IFERROR(_xlfn.LET(
_xlpm.CSVVal,_xlfn.XLOOKUP($A350,CSV!$A:$A,CSV!AG:AG,""),
_xlpm.MacVal,_xlfn.XLOOKUP($A350,Output_Mac!$A:$A,Output_Mac!T:T,""),
_xlpm.MyAuditVal,_xlfn.XLOOKUP($A350,My_Audit!$A:$A,My_Audit!Q:Q,""),
_xlfn.IFS(_xlpm.MyAuditVal&lt;&gt;"",UPPER(_xlpm.MyAuditVal),_xlpm.MacVal&lt;&gt;"",_xlpm.MacVal,_xlpm.CSVVal&lt;&gt;"",_xlpm.CSVVal
)),"No")</f>
        <v>No</v>
      </c>
      <c r="Q350" s="2" t="str" cm="1">
        <f t="array" ref="Q350">IFERROR(_xlfn.LET(
_xlpm.CSVVal,_xlfn.XLOOKUP($A350,CSV!$A:$A,CSV!AH:AH,""),
_xlpm.MacVal,_xlfn.XLOOKUP($A350,Output_Mac!$A:$A,Output_Mac!U:U,""),
_xlpm.MyAuditVal,_xlfn.XLOOKUP($A350,My_Audit!$A:$A,My_Audit!R:R,""),
_xlfn.IFS(_xlpm.MyAuditVal&lt;&gt;"",UPPER(_xlpm.MyAuditVal),_xlpm.MacVal&lt;&gt;"",_xlpm.MacVal,_xlpm.CSVVal&lt;&gt;"",_xlpm.CSVVal
)),"")</f>
        <v/>
      </c>
    </row>
    <row r="351" spans="1:17">
      <c r="A351" s="2" t="str">
        <f>_xlfn.TEXTJOIN("",TRUE,Input!$B$2,ROW(My_Audit!A350))</f>
        <v>XX350</v>
      </c>
      <c r="B351" s="2" t="str">
        <f>_xlfn.TEXTJOIN("-",TRUE,"ITD",Input!$A$2,A351)</f>
        <v>ITD-SHRXXX-XX350</v>
      </c>
      <c r="C351" s="2" t="str" cm="1">
        <f t="array" ref="C351">IFERROR(_xlfn.LET(
_xlpm.CSVVal,_xlfn.XLOOKUP($A351,CSV!$A:$A,CSV!B:B,""),
_xlpm.MacVal,_xlfn.XLOOKUP($A351,Output_Mac!$A:$A,Output_Mac!B:B,""),
_xlpm.MyAuditVal,_xlfn.XLOOKUP($A351,My_Audit!$A:$A,My_Audit!B:B,""),
_xlfn.IFS(_xlpm.MyAuditVal&lt;&gt;"",UPPER(_xlpm.MyAuditVal),_xlpm.MacVal&lt;&gt;"",_xlpm.MacVal,_xlpm.CSVVal&lt;&gt;"",_xlpm.CSVVal
)),"")</f>
        <v/>
      </c>
      <c r="D351" s="2" t="str" cm="1">
        <f t="array" ref="D351">IFERROR(_xlfn.LET(
_xlpm.CSVVal,_xlfn.XLOOKUP($A351,CSV!$A:$A,CSV!D:D,""),
_xlpm.MacVal,_xlfn.XLOOKUP($A351,Output_Mac!$A:$A,Output_Mac!C:C,""),
_xlpm.MyAuditVal,_xlfn.XLOOKUP($A351,My_Audit!$A:$A,My_Audit!C:C,""),
_xlfn.IFS(_xlpm.MyAuditVal&lt;&gt;"",_xlpm.MyAuditVal,_xlpm.MacVal&lt;&gt;"",_xlpm.MacVal,_xlpm.CSVVal&lt;&gt;"",_xlpm.CSVVal
)),"")</f>
        <v/>
      </c>
      <c r="E351" s="2" t="str">
        <f>_xlfn.XLOOKUP(A351,My_Audit!A:A,My_Audit!D:D,"")&amp;""</f>
        <v/>
      </c>
      <c r="F351" s="2" t="str" cm="1">
        <f t="array" ref="F351">IFERROR(_xlfn.LET(
_xlpm.CSVVal,_xlfn.XLOOKUP($A351,CSV!$A:$A,CSV!F:F,""),
_xlpm.MacVal,_xlfn.XLOOKUP($A351,Output_Mac!$A:$A,Output_Mac!E:E,""),
_xlpm.MyAuditVal,_xlfn.XLOOKUP($A351,My_Audit!$A:$A,My_Audit!E:E,""),
_xlfn.IFS(_xlpm.MyAuditVal&lt;&gt;"",_xlpm.MyAuditVal,_xlpm.MacVal&lt;&gt;"",_xlpm.MacVal,_xlpm.CSVVal&lt;&gt;"",_xlpm.CSVVal
)),"")</f>
        <v/>
      </c>
      <c r="G351" s="2" t="str" cm="1">
        <f t="array" ref="G351">IFERROR(_xlfn.LET(
_xlpm.CSVVal,_xlfn.XLOOKUP($A351,CSV!$A:$A,CSV!G:G,""),
_xlpm.MacVal,_xlfn.XLOOKUP($A351,Output_Mac!$A:$A,Output_Mac!F:F,""),
_xlpm.MyAuditVal,_xlfn.XLOOKUP($A351,My_Audit!$A:$A,My_Audit!F:F,""),
_xlfn.IFS(_xlpm.MyAuditVal&lt;&gt;"",_xlpm.MyAuditVal,_xlpm.MacVal&lt;&gt;"",_xlpm.MacVal,_xlpm.CSVVal&lt;&gt;"",PROPER(_xlpm.CSVVal)
)),"")</f>
        <v/>
      </c>
      <c r="H351" s="2" t="str" cm="1">
        <f t="array" ref="H351">IFERROR(_xlfn.LET(
_xlpm.CSVVal,_xlfn.XLOOKUP($A351,CSV!$A:$A,CSV!H:H,""),
_xlpm.MacVal,_xlfn.XLOOKUP($A351,Output_Mac!$A:$A,Output_Mac!H:H,""),
_xlpm.MyAuditVal,_xlfn.XLOOKUP($A351,My_Audit!$A:$A,My_Audit!G:G,""),
_xlfn.IFS(_xlpm.MyAuditVal&lt;&gt;"",_xlpm.MyAuditVal,_xlpm.MacVal&lt;&gt;"",_xlpm.MacVal,_xlpm.CSVVal&lt;&gt;"",_xlpm.CSVVal
)),"")</f>
        <v/>
      </c>
      <c r="I351" s="2" t="str">
        <f>_xlfn.XLOOKUP(A351,Output_Mac!A:A,Output_Mac!I:I,"")</f>
        <v/>
      </c>
      <c r="J351" s="2" t="str" cm="1">
        <f t="array" ref="J351">IFERROR(_xlfn.LET(
_xlpm.CSVVal,_xlfn.XLOOKUP($A351,CSV!$A:$A,CSV!I:I,""),
_xlpm.MacVal,_xlfn.XLOOKUP($A351,Output_Mac!$A:$A,Output_Mac!J:J,""),
_xlpm.MyAuditVal,_xlfn.XLOOKUP($A351,My_Audit!$A:$A,My_Audit!I:I,""),
_xlfn.IFS(_xlpm.MyAuditVal&lt;&gt;"",UPPER(_xlpm.MyAuditVal),_xlpm.MacVal&lt;&gt;"",_xlpm.MacVal,_xlpm.CSVVal&lt;&gt;"",_xlpm.CSVVal
)),"")</f>
        <v/>
      </c>
      <c r="K351" s="2" t="str" cm="1">
        <f t="array" ref="K351">IFERROR(_xlfn.LET(
_xlpm.CSVVal,_xlfn.XLOOKUP($A351,CSV!$A:$A,CSV!K:K,""),
_xlpm.MacVal,_xlfn.XLOOKUP($A351,Output_Mac!$A:$A,Output_Mac!K:K,""),
_xlpm.MyAuditVal,_xlfn.XLOOKUP($A351,My_Audit!$A:$A,My_Audit!J:J,""),
_xlfn.IFS(_xlpm.MyAuditVal&lt;&gt;"",UPPER(_xlpm.MyAuditVal),_xlpm.MacVal&lt;&gt;"",_xlpm.MacVal,_xlpm.CSVVal&lt;&gt;"",_xlpm.CSVVal
)),"")</f>
        <v/>
      </c>
      <c r="L351" s="2" t="str" cm="1">
        <f t="array" ref="L351">IFERROR(_xlfn.LET(
_xlpm.CSVVal,_xlfn.XLOOKUP($A351,CSV!$A:$A,CSV!P:P,""),
_xlpm.MacVal,_xlfn.XLOOKUP($A351,Output_Mac!$A:$A,Output_Mac!L:L,""),
_xlpm.MyAuditVal,_xlfn.XLOOKUP($A351,My_Audit!$A:$A,My_Audit!K:K,""),
_xlfn.IFS(_xlpm.MyAuditVal&lt;&gt;"",UPPER(_xlpm.MyAuditVal),_xlpm.MacVal&lt;&gt;"",_xlpm.MacVal,_xlpm.CSVVal&lt;&gt;"",_xlpm.CSVVal
)),"")</f>
        <v/>
      </c>
      <c r="M351" s="2" t="str" cm="1">
        <f t="array" ref="M351">IFERROR(_xlfn.LET(
_xlpm.CSVVal,_xlfn.XLOOKUP($A351,CSV!$A:$A,CSV!Q:Q,""),
_xlpm.MacVal,_xlfn.XLOOKUP($A351,Output_Mac!$A:$A,Output_Mac!M:M,""),
_xlpm.MyAuditVal,_xlfn.XLOOKUP($A351,My_Audit!$A:$A,My_Audit!L:L,""),
_xlfn.IFS(_xlpm.MyAuditVal&lt;&gt;"",UPPER(_xlpm.MyAuditVal),_xlpm.MacVal&lt;&gt;"",_xlpm.MacVal,_xlpm.CSVVal&lt;&gt;"",_xlpm.CSVVal
)),"")</f>
        <v/>
      </c>
      <c r="O351" s="2" t="str">
        <f>_xlfn.LET(
    _xlpm.CSVVal, _xlfn.XLOOKUP($A351, CSV!$A:$A, CSV!AF:AF, ""),
    _xlpm.MacVal, _xlfn.XLOOKUP($A351, Output_Mac!$A:$A, Output_Mac!S:S, ""),
    _xlpm.MyAuditVal, _xlfn.XLOOKUP($A351, My_Audit!$A:$A, My_Audit!P:P, ""),
    _xlfn.TEXTJOIN(", ", TRUE, _xlpm.MyAuditVal, _xlpm.MacVal, _xlpm.CSVVal)
)</f>
        <v/>
      </c>
      <c r="P351" s="2" t="str" cm="1">
        <f t="array" ref="P351">IFERROR(_xlfn.LET(
_xlpm.CSVVal,_xlfn.XLOOKUP($A351,CSV!$A:$A,CSV!AG:AG,""),
_xlpm.MacVal,_xlfn.XLOOKUP($A351,Output_Mac!$A:$A,Output_Mac!T:T,""),
_xlpm.MyAuditVal,_xlfn.XLOOKUP($A351,My_Audit!$A:$A,My_Audit!Q:Q,""),
_xlfn.IFS(_xlpm.MyAuditVal&lt;&gt;"",UPPER(_xlpm.MyAuditVal),_xlpm.MacVal&lt;&gt;"",_xlpm.MacVal,_xlpm.CSVVal&lt;&gt;"",_xlpm.CSVVal
)),"No")</f>
        <v>No</v>
      </c>
      <c r="Q351" s="2" t="str" cm="1">
        <f t="array" ref="Q351">IFERROR(_xlfn.LET(
_xlpm.CSVVal,_xlfn.XLOOKUP($A351,CSV!$A:$A,CSV!AH:AH,""),
_xlpm.MacVal,_xlfn.XLOOKUP($A351,Output_Mac!$A:$A,Output_Mac!U:U,""),
_xlpm.MyAuditVal,_xlfn.XLOOKUP($A351,My_Audit!$A:$A,My_Audit!R:R,""),
_xlfn.IFS(_xlpm.MyAuditVal&lt;&gt;"",UPPER(_xlpm.MyAuditVal),_xlpm.MacVal&lt;&gt;"",_xlpm.MacVal,_xlpm.CSVVal&lt;&gt;"",_xlpm.CSVVal
)),"")</f>
        <v/>
      </c>
    </row>
    <row r="352" spans="1:17">
      <c r="A352" s="2" t="str">
        <f>_xlfn.TEXTJOIN("",TRUE,Input!$B$2,ROW(My_Audit!A351))</f>
        <v>XX351</v>
      </c>
      <c r="B352" s="2" t="str">
        <f>_xlfn.TEXTJOIN("-",TRUE,"ITD",Input!$A$2,A352)</f>
        <v>ITD-SHRXXX-XX351</v>
      </c>
      <c r="C352" s="2" t="str" cm="1">
        <f t="array" ref="C352">IFERROR(_xlfn.LET(
_xlpm.CSVVal,_xlfn.XLOOKUP($A352,CSV!$A:$A,CSV!B:B,""),
_xlpm.MacVal,_xlfn.XLOOKUP($A352,Output_Mac!$A:$A,Output_Mac!B:B,""),
_xlpm.MyAuditVal,_xlfn.XLOOKUP($A352,My_Audit!$A:$A,My_Audit!B:B,""),
_xlfn.IFS(_xlpm.MyAuditVal&lt;&gt;"",UPPER(_xlpm.MyAuditVal),_xlpm.MacVal&lt;&gt;"",_xlpm.MacVal,_xlpm.CSVVal&lt;&gt;"",_xlpm.CSVVal
)),"")</f>
        <v/>
      </c>
      <c r="D352" s="2" t="str" cm="1">
        <f t="array" ref="D352">IFERROR(_xlfn.LET(
_xlpm.CSVVal,_xlfn.XLOOKUP($A352,CSV!$A:$A,CSV!D:D,""),
_xlpm.MacVal,_xlfn.XLOOKUP($A352,Output_Mac!$A:$A,Output_Mac!C:C,""),
_xlpm.MyAuditVal,_xlfn.XLOOKUP($A352,My_Audit!$A:$A,My_Audit!C:C,""),
_xlfn.IFS(_xlpm.MyAuditVal&lt;&gt;"",_xlpm.MyAuditVal,_xlpm.MacVal&lt;&gt;"",_xlpm.MacVal,_xlpm.CSVVal&lt;&gt;"",_xlpm.CSVVal
)),"")</f>
        <v/>
      </c>
      <c r="E352" s="2" t="str">
        <f>_xlfn.XLOOKUP(A352,My_Audit!A:A,My_Audit!D:D,"")&amp;""</f>
        <v/>
      </c>
      <c r="F352" s="2" t="str" cm="1">
        <f t="array" ref="F352">IFERROR(_xlfn.LET(
_xlpm.CSVVal,_xlfn.XLOOKUP($A352,CSV!$A:$A,CSV!F:F,""),
_xlpm.MacVal,_xlfn.XLOOKUP($A352,Output_Mac!$A:$A,Output_Mac!E:E,""),
_xlpm.MyAuditVal,_xlfn.XLOOKUP($A352,My_Audit!$A:$A,My_Audit!E:E,""),
_xlfn.IFS(_xlpm.MyAuditVal&lt;&gt;"",_xlpm.MyAuditVal,_xlpm.MacVal&lt;&gt;"",_xlpm.MacVal,_xlpm.CSVVal&lt;&gt;"",_xlpm.CSVVal
)),"")</f>
        <v/>
      </c>
      <c r="G352" s="2" t="str" cm="1">
        <f t="array" ref="G352">IFERROR(_xlfn.LET(
_xlpm.CSVVal,_xlfn.XLOOKUP($A352,CSV!$A:$A,CSV!G:G,""),
_xlpm.MacVal,_xlfn.XLOOKUP($A352,Output_Mac!$A:$A,Output_Mac!F:F,""),
_xlpm.MyAuditVal,_xlfn.XLOOKUP($A352,My_Audit!$A:$A,My_Audit!F:F,""),
_xlfn.IFS(_xlpm.MyAuditVal&lt;&gt;"",_xlpm.MyAuditVal,_xlpm.MacVal&lt;&gt;"",_xlpm.MacVal,_xlpm.CSVVal&lt;&gt;"",PROPER(_xlpm.CSVVal)
)),"")</f>
        <v/>
      </c>
      <c r="H352" s="2" t="str" cm="1">
        <f t="array" ref="H352">IFERROR(_xlfn.LET(
_xlpm.CSVVal,_xlfn.XLOOKUP($A352,CSV!$A:$A,CSV!H:H,""),
_xlpm.MacVal,_xlfn.XLOOKUP($A352,Output_Mac!$A:$A,Output_Mac!H:H,""),
_xlpm.MyAuditVal,_xlfn.XLOOKUP($A352,My_Audit!$A:$A,My_Audit!G:G,""),
_xlfn.IFS(_xlpm.MyAuditVal&lt;&gt;"",_xlpm.MyAuditVal,_xlpm.MacVal&lt;&gt;"",_xlpm.MacVal,_xlpm.CSVVal&lt;&gt;"",_xlpm.CSVVal
)),"")</f>
        <v/>
      </c>
      <c r="I352" s="2" t="str">
        <f>_xlfn.XLOOKUP(A352,Output_Mac!A:A,Output_Mac!I:I,"")</f>
        <v/>
      </c>
      <c r="J352" s="2" t="str" cm="1">
        <f t="array" ref="J352">IFERROR(_xlfn.LET(
_xlpm.CSVVal,_xlfn.XLOOKUP($A352,CSV!$A:$A,CSV!I:I,""),
_xlpm.MacVal,_xlfn.XLOOKUP($A352,Output_Mac!$A:$A,Output_Mac!J:J,""),
_xlpm.MyAuditVal,_xlfn.XLOOKUP($A352,My_Audit!$A:$A,My_Audit!I:I,""),
_xlfn.IFS(_xlpm.MyAuditVal&lt;&gt;"",UPPER(_xlpm.MyAuditVal),_xlpm.MacVal&lt;&gt;"",_xlpm.MacVal,_xlpm.CSVVal&lt;&gt;"",_xlpm.CSVVal
)),"")</f>
        <v/>
      </c>
      <c r="K352" s="2" t="str" cm="1">
        <f t="array" ref="K352">IFERROR(_xlfn.LET(
_xlpm.CSVVal,_xlfn.XLOOKUP($A352,CSV!$A:$A,CSV!K:K,""),
_xlpm.MacVal,_xlfn.XLOOKUP($A352,Output_Mac!$A:$A,Output_Mac!K:K,""),
_xlpm.MyAuditVal,_xlfn.XLOOKUP($A352,My_Audit!$A:$A,My_Audit!J:J,""),
_xlfn.IFS(_xlpm.MyAuditVal&lt;&gt;"",UPPER(_xlpm.MyAuditVal),_xlpm.MacVal&lt;&gt;"",_xlpm.MacVal,_xlpm.CSVVal&lt;&gt;"",_xlpm.CSVVal
)),"")</f>
        <v/>
      </c>
      <c r="L352" s="2" t="str" cm="1">
        <f t="array" ref="L352">IFERROR(_xlfn.LET(
_xlpm.CSVVal,_xlfn.XLOOKUP($A352,CSV!$A:$A,CSV!P:P,""),
_xlpm.MacVal,_xlfn.XLOOKUP($A352,Output_Mac!$A:$A,Output_Mac!L:L,""),
_xlpm.MyAuditVal,_xlfn.XLOOKUP($A352,My_Audit!$A:$A,My_Audit!K:K,""),
_xlfn.IFS(_xlpm.MyAuditVal&lt;&gt;"",UPPER(_xlpm.MyAuditVal),_xlpm.MacVal&lt;&gt;"",_xlpm.MacVal,_xlpm.CSVVal&lt;&gt;"",_xlpm.CSVVal
)),"")</f>
        <v/>
      </c>
      <c r="M352" s="2" t="str" cm="1">
        <f t="array" ref="M352">IFERROR(_xlfn.LET(
_xlpm.CSVVal,_xlfn.XLOOKUP($A352,CSV!$A:$A,CSV!Q:Q,""),
_xlpm.MacVal,_xlfn.XLOOKUP($A352,Output_Mac!$A:$A,Output_Mac!M:M,""),
_xlpm.MyAuditVal,_xlfn.XLOOKUP($A352,My_Audit!$A:$A,My_Audit!L:L,""),
_xlfn.IFS(_xlpm.MyAuditVal&lt;&gt;"",UPPER(_xlpm.MyAuditVal),_xlpm.MacVal&lt;&gt;"",_xlpm.MacVal,_xlpm.CSVVal&lt;&gt;"",_xlpm.CSVVal
)),"")</f>
        <v/>
      </c>
      <c r="O352" s="2" t="str">
        <f>_xlfn.LET(
    _xlpm.CSVVal, _xlfn.XLOOKUP($A352, CSV!$A:$A, CSV!AF:AF, ""),
    _xlpm.MacVal, _xlfn.XLOOKUP($A352, Output_Mac!$A:$A, Output_Mac!S:S, ""),
    _xlpm.MyAuditVal, _xlfn.XLOOKUP($A352, My_Audit!$A:$A, My_Audit!P:P, ""),
    _xlfn.TEXTJOIN(", ", TRUE, _xlpm.MyAuditVal, _xlpm.MacVal, _xlpm.CSVVal)
)</f>
        <v/>
      </c>
      <c r="P352" s="2" t="str" cm="1">
        <f t="array" ref="P352">IFERROR(_xlfn.LET(
_xlpm.CSVVal,_xlfn.XLOOKUP($A352,CSV!$A:$A,CSV!AG:AG,""),
_xlpm.MacVal,_xlfn.XLOOKUP($A352,Output_Mac!$A:$A,Output_Mac!T:T,""),
_xlpm.MyAuditVal,_xlfn.XLOOKUP($A352,My_Audit!$A:$A,My_Audit!Q:Q,""),
_xlfn.IFS(_xlpm.MyAuditVal&lt;&gt;"",UPPER(_xlpm.MyAuditVal),_xlpm.MacVal&lt;&gt;"",_xlpm.MacVal,_xlpm.CSVVal&lt;&gt;"",_xlpm.CSVVal
)),"No")</f>
        <v>No</v>
      </c>
      <c r="Q352" s="2" t="str" cm="1">
        <f t="array" ref="Q352">IFERROR(_xlfn.LET(
_xlpm.CSVVal,_xlfn.XLOOKUP($A352,CSV!$A:$A,CSV!AH:AH,""),
_xlpm.MacVal,_xlfn.XLOOKUP($A352,Output_Mac!$A:$A,Output_Mac!U:U,""),
_xlpm.MyAuditVal,_xlfn.XLOOKUP($A352,My_Audit!$A:$A,My_Audit!R:R,""),
_xlfn.IFS(_xlpm.MyAuditVal&lt;&gt;"",UPPER(_xlpm.MyAuditVal),_xlpm.MacVal&lt;&gt;"",_xlpm.MacVal,_xlpm.CSVVal&lt;&gt;"",_xlpm.CSVVal
)),"")</f>
        <v/>
      </c>
    </row>
    <row r="353" spans="1:17">
      <c r="A353" s="2" t="str">
        <f>_xlfn.TEXTJOIN("",TRUE,Input!$B$2,ROW(My_Audit!A352))</f>
        <v>XX352</v>
      </c>
      <c r="B353" s="2" t="str">
        <f>_xlfn.TEXTJOIN("-",TRUE,"ITD",Input!$A$2,A353)</f>
        <v>ITD-SHRXXX-XX352</v>
      </c>
      <c r="C353" s="2" t="str" cm="1">
        <f t="array" ref="C353">IFERROR(_xlfn.LET(
_xlpm.CSVVal,_xlfn.XLOOKUP($A353,CSV!$A:$A,CSV!B:B,""),
_xlpm.MacVal,_xlfn.XLOOKUP($A353,Output_Mac!$A:$A,Output_Mac!B:B,""),
_xlpm.MyAuditVal,_xlfn.XLOOKUP($A353,My_Audit!$A:$A,My_Audit!B:B,""),
_xlfn.IFS(_xlpm.MyAuditVal&lt;&gt;"",UPPER(_xlpm.MyAuditVal),_xlpm.MacVal&lt;&gt;"",_xlpm.MacVal,_xlpm.CSVVal&lt;&gt;"",_xlpm.CSVVal
)),"")</f>
        <v/>
      </c>
      <c r="D353" s="2" t="str" cm="1">
        <f t="array" ref="D353">IFERROR(_xlfn.LET(
_xlpm.CSVVal,_xlfn.XLOOKUP($A353,CSV!$A:$A,CSV!D:D,""),
_xlpm.MacVal,_xlfn.XLOOKUP($A353,Output_Mac!$A:$A,Output_Mac!C:C,""),
_xlpm.MyAuditVal,_xlfn.XLOOKUP($A353,My_Audit!$A:$A,My_Audit!C:C,""),
_xlfn.IFS(_xlpm.MyAuditVal&lt;&gt;"",_xlpm.MyAuditVal,_xlpm.MacVal&lt;&gt;"",_xlpm.MacVal,_xlpm.CSVVal&lt;&gt;"",_xlpm.CSVVal
)),"")</f>
        <v/>
      </c>
      <c r="E353" s="2" t="str">
        <f>_xlfn.XLOOKUP(A353,My_Audit!A:A,My_Audit!D:D,"")&amp;""</f>
        <v/>
      </c>
      <c r="F353" s="2" t="str" cm="1">
        <f t="array" ref="F353">IFERROR(_xlfn.LET(
_xlpm.CSVVal,_xlfn.XLOOKUP($A353,CSV!$A:$A,CSV!F:F,""),
_xlpm.MacVal,_xlfn.XLOOKUP($A353,Output_Mac!$A:$A,Output_Mac!E:E,""),
_xlpm.MyAuditVal,_xlfn.XLOOKUP($A353,My_Audit!$A:$A,My_Audit!E:E,""),
_xlfn.IFS(_xlpm.MyAuditVal&lt;&gt;"",_xlpm.MyAuditVal,_xlpm.MacVal&lt;&gt;"",_xlpm.MacVal,_xlpm.CSVVal&lt;&gt;"",_xlpm.CSVVal
)),"")</f>
        <v/>
      </c>
      <c r="G353" s="2" t="str" cm="1">
        <f t="array" ref="G353">IFERROR(_xlfn.LET(
_xlpm.CSVVal,_xlfn.XLOOKUP($A353,CSV!$A:$A,CSV!G:G,""),
_xlpm.MacVal,_xlfn.XLOOKUP($A353,Output_Mac!$A:$A,Output_Mac!F:F,""),
_xlpm.MyAuditVal,_xlfn.XLOOKUP($A353,My_Audit!$A:$A,My_Audit!F:F,""),
_xlfn.IFS(_xlpm.MyAuditVal&lt;&gt;"",_xlpm.MyAuditVal,_xlpm.MacVal&lt;&gt;"",_xlpm.MacVal,_xlpm.CSVVal&lt;&gt;"",PROPER(_xlpm.CSVVal)
)),"")</f>
        <v/>
      </c>
      <c r="H353" s="2" t="str" cm="1">
        <f t="array" ref="H353">IFERROR(_xlfn.LET(
_xlpm.CSVVal,_xlfn.XLOOKUP($A353,CSV!$A:$A,CSV!H:H,""),
_xlpm.MacVal,_xlfn.XLOOKUP($A353,Output_Mac!$A:$A,Output_Mac!H:H,""),
_xlpm.MyAuditVal,_xlfn.XLOOKUP($A353,My_Audit!$A:$A,My_Audit!G:G,""),
_xlfn.IFS(_xlpm.MyAuditVal&lt;&gt;"",_xlpm.MyAuditVal,_xlpm.MacVal&lt;&gt;"",_xlpm.MacVal,_xlpm.CSVVal&lt;&gt;"",_xlpm.CSVVal
)),"")</f>
        <v/>
      </c>
      <c r="I353" s="2" t="str">
        <f>_xlfn.XLOOKUP(A353,Output_Mac!A:A,Output_Mac!I:I,"")</f>
        <v/>
      </c>
      <c r="J353" s="2" t="str" cm="1">
        <f t="array" ref="J353">IFERROR(_xlfn.LET(
_xlpm.CSVVal,_xlfn.XLOOKUP($A353,CSV!$A:$A,CSV!I:I,""),
_xlpm.MacVal,_xlfn.XLOOKUP($A353,Output_Mac!$A:$A,Output_Mac!J:J,""),
_xlpm.MyAuditVal,_xlfn.XLOOKUP($A353,My_Audit!$A:$A,My_Audit!I:I,""),
_xlfn.IFS(_xlpm.MyAuditVal&lt;&gt;"",UPPER(_xlpm.MyAuditVal),_xlpm.MacVal&lt;&gt;"",_xlpm.MacVal,_xlpm.CSVVal&lt;&gt;"",_xlpm.CSVVal
)),"")</f>
        <v/>
      </c>
      <c r="K353" s="2" t="str" cm="1">
        <f t="array" ref="K353">IFERROR(_xlfn.LET(
_xlpm.CSVVal,_xlfn.XLOOKUP($A353,CSV!$A:$A,CSV!K:K,""),
_xlpm.MacVal,_xlfn.XLOOKUP($A353,Output_Mac!$A:$A,Output_Mac!K:K,""),
_xlpm.MyAuditVal,_xlfn.XLOOKUP($A353,My_Audit!$A:$A,My_Audit!J:J,""),
_xlfn.IFS(_xlpm.MyAuditVal&lt;&gt;"",UPPER(_xlpm.MyAuditVal),_xlpm.MacVal&lt;&gt;"",_xlpm.MacVal,_xlpm.CSVVal&lt;&gt;"",_xlpm.CSVVal
)),"")</f>
        <v/>
      </c>
      <c r="L353" s="2" t="str" cm="1">
        <f t="array" ref="L353">IFERROR(_xlfn.LET(
_xlpm.CSVVal,_xlfn.XLOOKUP($A353,CSV!$A:$A,CSV!P:P,""),
_xlpm.MacVal,_xlfn.XLOOKUP($A353,Output_Mac!$A:$A,Output_Mac!L:L,""),
_xlpm.MyAuditVal,_xlfn.XLOOKUP($A353,My_Audit!$A:$A,My_Audit!K:K,""),
_xlfn.IFS(_xlpm.MyAuditVal&lt;&gt;"",UPPER(_xlpm.MyAuditVal),_xlpm.MacVal&lt;&gt;"",_xlpm.MacVal,_xlpm.CSVVal&lt;&gt;"",_xlpm.CSVVal
)),"")</f>
        <v/>
      </c>
      <c r="M353" s="2" t="str" cm="1">
        <f t="array" ref="M353">IFERROR(_xlfn.LET(
_xlpm.CSVVal,_xlfn.XLOOKUP($A353,CSV!$A:$A,CSV!Q:Q,""),
_xlpm.MacVal,_xlfn.XLOOKUP($A353,Output_Mac!$A:$A,Output_Mac!M:M,""),
_xlpm.MyAuditVal,_xlfn.XLOOKUP($A353,My_Audit!$A:$A,My_Audit!L:L,""),
_xlfn.IFS(_xlpm.MyAuditVal&lt;&gt;"",UPPER(_xlpm.MyAuditVal),_xlpm.MacVal&lt;&gt;"",_xlpm.MacVal,_xlpm.CSVVal&lt;&gt;"",_xlpm.CSVVal
)),"")</f>
        <v/>
      </c>
      <c r="O353" s="2" t="str">
        <f>_xlfn.LET(
    _xlpm.CSVVal, _xlfn.XLOOKUP($A353, CSV!$A:$A, CSV!AF:AF, ""),
    _xlpm.MacVal, _xlfn.XLOOKUP($A353, Output_Mac!$A:$A, Output_Mac!S:S, ""),
    _xlpm.MyAuditVal, _xlfn.XLOOKUP($A353, My_Audit!$A:$A, My_Audit!P:P, ""),
    _xlfn.TEXTJOIN(", ", TRUE, _xlpm.MyAuditVal, _xlpm.MacVal, _xlpm.CSVVal)
)</f>
        <v/>
      </c>
      <c r="P353" s="2" t="str" cm="1">
        <f t="array" ref="P353">IFERROR(_xlfn.LET(
_xlpm.CSVVal,_xlfn.XLOOKUP($A353,CSV!$A:$A,CSV!AG:AG,""),
_xlpm.MacVal,_xlfn.XLOOKUP($A353,Output_Mac!$A:$A,Output_Mac!T:T,""),
_xlpm.MyAuditVal,_xlfn.XLOOKUP($A353,My_Audit!$A:$A,My_Audit!Q:Q,""),
_xlfn.IFS(_xlpm.MyAuditVal&lt;&gt;"",UPPER(_xlpm.MyAuditVal),_xlpm.MacVal&lt;&gt;"",_xlpm.MacVal,_xlpm.CSVVal&lt;&gt;"",_xlpm.CSVVal
)),"No")</f>
        <v>No</v>
      </c>
      <c r="Q353" s="2" t="str" cm="1">
        <f t="array" ref="Q353">IFERROR(_xlfn.LET(
_xlpm.CSVVal,_xlfn.XLOOKUP($A353,CSV!$A:$A,CSV!AH:AH,""),
_xlpm.MacVal,_xlfn.XLOOKUP($A353,Output_Mac!$A:$A,Output_Mac!U:U,""),
_xlpm.MyAuditVal,_xlfn.XLOOKUP($A353,My_Audit!$A:$A,My_Audit!R:R,""),
_xlfn.IFS(_xlpm.MyAuditVal&lt;&gt;"",UPPER(_xlpm.MyAuditVal),_xlpm.MacVal&lt;&gt;"",_xlpm.MacVal,_xlpm.CSVVal&lt;&gt;"",_xlpm.CSVVal
)),"")</f>
        <v/>
      </c>
    </row>
    <row r="354" spans="1:17">
      <c r="A354" s="2" t="str">
        <f>_xlfn.TEXTJOIN("",TRUE,Input!$B$2,ROW(My_Audit!A353))</f>
        <v>XX353</v>
      </c>
      <c r="B354" s="2" t="str">
        <f>_xlfn.TEXTJOIN("-",TRUE,"ITD",Input!$A$2,A354)</f>
        <v>ITD-SHRXXX-XX353</v>
      </c>
      <c r="C354" s="2" t="str" cm="1">
        <f t="array" ref="C354">IFERROR(_xlfn.LET(
_xlpm.CSVVal,_xlfn.XLOOKUP($A354,CSV!$A:$A,CSV!B:B,""),
_xlpm.MacVal,_xlfn.XLOOKUP($A354,Output_Mac!$A:$A,Output_Mac!B:B,""),
_xlpm.MyAuditVal,_xlfn.XLOOKUP($A354,My_Audit!$A:$A,My_Audit!B:B,""),
_xlfn.IFS(_xlpm.MyAuditVal&lt;&gt;"",UPPER(_xlpm.MyAuditVal),_xlpm.MacVal&lt;&gt;"",_xlpm.MacVal,_xlpm.CSVVal&lt;&gt;"",_xlpm.CSVVal
)),"")</f>
        <v/>
      </c>
      <c r="D354" s="2" t="str" cm="1">
        <f t="array" ref="D354">IFERROR(_xlfn.LET(
_xlpm.CSVVal,_xlfn.XLOOKUP($A354,CSV!$A:$A,CSV!D:D,""),
_xlpm.MacVal,_xlfn.XLOOKUP($A354,Output_Mac!$A:$A,Output_Mac!C:C,""),
_xlpm.MyAuditVal,_xlfn.XLOOKUP($A354,My_Audit!$A:$A,My_Audit!C:C,""),
_xlfn.IFS(_xlpm.MyAuditVal&lt;&gt;"",_xlpm.MyAuditVal,_xlpm.MacVal&lt;&gt;"",_xlpm.MacVal,_xlpm.CSVVal&lt;&gt;"",_xlpm.CSVVal
)),"")</f>
        <v/>
      </c>
      <c r="E354" s="2" t="str">
        <f>_xlfn.XLOOKUP(A354,My_Audit!A:A,My_Audit!D:D,"")&amp;""</f>
        <v/>
      </c>
      <c r="F354" s="2" t="str" cm="1">
        <f t="array" ref="F354">IFERROR(_xlfn.LET(
_xlpm.CSVVal,_xlfn.XLOOKUP($A354,CSV!$A:$A,CSV!F:F,""),
_xlpm.MacVal,_xlfn.XLOOKUP($A354,Output_Mac!$A:$A,Output_Mac!E:E,""),
_xlpm.MyAuditVal,_xlfn.XLOOKUP($A354,My_Audit!$A:$A,My_Audit!E:E,""),
_xlfn.IFS(_xlpm.MyAuditVal&lt;&gt;"",_xlpm.MyAuditVal,_xlpm.MacVal&lt;&gt;"",_xlpm.MacVal,_xlpm.CSVVal&lt;&gt;"",_xlpm.CSVVal
)),"")</f>
        <v/>
      </c>
      <c r="G354" s="2" t="str" cm="1">
        <f t="array" ref="G354">IFERROR(_xlfn.LET(
_xlpm.CSVVal,_xlfn.XLOOKUP($A354,CSV!$A:$A,CSV!G:G,""),
_xlpm.MacVal,_xlfn.XLOOKUP($A354,Output_Mac!$A:$A,Output_Mac!F:F,""),
_xlpm.MyAuditVal,_xlfn.XLOOKUP($A354,My_Audit!$A:$A,My_Audit!F:F,""),
_xlfn.IFS(_xlpm.MyAuditVal&lt;&gt;"",_xlpm.MyAuditVal,_xlpm.MacVal&lt;&gt;"",_xlpm.MacVal,_xlpm.CSVVal&lt;&gt;"",PROPER(_xlpm.CSVVal)
)),"")</f>
        <v/>
      </c>
      <c r="H354" s="2" t="str" cm="1">
        <f t="array" ref="H354">IFERROR(_xlfn.LET(
_xlpm.CSVVal,_xlfn.XLOOKUP($A354,CSV!$A:$A,CSV!H:H,""),
_xlpm.MacVal,_xlfn.XLOOKUP($A354,Output_Mac!$A:$A,Output_Mac!H:H,""),
_xlpm.MyAuditVal,_xlfn.XLOOKUP($A354,My_Audit!$A:$A,My_Audit!G:G,""),
_xlfn.IFS(_xlpm.MyAuditVal&lt;&gt;"",_xlpm.MyAuditVal,_xlpm.MacVal&lt;&gt;"",_xlpm.MacVal,_xlpm.CSVVal&lt;&gt;"",_xlpm.CSVVal
)),"")</f>
        <v/>
      </c>
      <c r="I354" s="2" t="str">
        <f>_xlfn.XLOOKUP(A354,Output_Mac!A:A,Output_Mac!I:I,"")</f>
        <v/>
      </c>
      <c r="J354" s="2" t="str" cm="1">
        <f t="array" ref="J354">IFERROR(_xlfn.LET(
_xlpm.CSVVal,_xlfn.XLOOKUP($A354,CSV!$A:$A,CSV!I:I,""),
_xlpm.MacVal,_xlfn.XLOOKUP($A354,Output_Mac!$A:$A,Output_Mac!J:J,""),
_xlpm.MyAuditVal,_xlfn.XLOOKUP($A354,My_Audit!$A:$A,My_Audit!I:I,""),
_xlfn.IFS(_xlpm.MyAuditVal&lt;&gt;"",UPPER(_xlpm.MyAuditVal),_xlpm.MacVal&lt;&gt;"",_xlpm.MacVal,_xlpm.CSVVal&lt;&gt;"",_xlpm.CSVVal
)),"")</f>
        <v/>
      </c>
      <c r="K354" s="2" t="str" cm="1">
        <f t="array" ref="K354">IFERROR(_xlfn.LET(
_xlpm.CSVVal,_xlfn.XLOOKUP($A354,CSV!$A:$A,CSV!K:K,""),
_xlpm.MacVal,_xlfn.XLOOKUP($A354,Output_Mac!$A:$A,Output_Mac!K:K,""),
_xlpm.MyAuditVal,_xlfn.XLOOKUP($A354,My_Audit!$A:$A,My_Audit!J:J,""),
_xlfn.IFS(_xlpm.MyAuditVal&lt;&gt;"",UPPER(_xlpm.MyAuditVal),_xlpm.MacVal&lt;&gt;"",_xlpm.MacVal,_xlpm.CSVVal&lt;&gt;"",_xlpm.CSVVal
)),"")</f>
        <v/>
      </c>
      <c r="L354" s="2" t="str" cm="1">
        <f t="array" ref="L354">IFERROR(_xlfn.LET(
_xlpm.CSVVal,_xlfn.XLOOKUP($A354,CSV!$A:$A,CSV!P:P,""),
_xlpm.MacVal,_xlfn.XLOOKUP($A354,Output_Mac!$A:$A,Output_Mac!L:L,""),
_xlpm.MyAuditVal,_xlfn.XLOOKUP($A354,My_Audit!$A:$A,My_Audit!K:K,""),
_xlfn.IFS(_xlpm.MyAuditVal&lt;&gt;"",UPPER(_xlpm.MyAuditVal),_xlpm.MacVal&lt;&gt;"",_xlpm.MacVal,_xlpm.CSVVal&lt;&gt;"",_xlpm.CSVVal
)),"")</f>
        <v/>
      </c>
      <c r="M354" s="2" t="str" cm="1">
        <f t="array" ref="M354">IFERROR(_xlfn.LET(
_xlpm.CSVVal,_xlfn.XLOOKUP($A354,CSV!$A:$A,CSV!Q:Q,""),
_xlpm.MacVal,_xlfn.XLOOKUP($A354,Output_Mac!$A:$A,Output_Mac!M:M,""),
_xlpm.MyAuditVal,_xlfn.XLOOKUP($A354,My_Audit!$A:$A,My_Audit!L:L,""),
_xlfn.IFS(_xlpm.MyAuditVal&lt;&gt;"",UPPER(_xlpm.MyAuditVal),_xlpm.MacVal&lt;&gt;"",_xlpm.MacVal,_xlpm.CSVVal&lt;&gt;"",_xlpm.CSVVal
)),"")</f>
        <v/>
      </c>
      <c r="O354" s="2" t="str">
        <f>_xlfn.LET(
    _xlpm.CSVVal, _xlfn.XLOOKUP($A354, CSV!$A:$A, CSV!AF:AF, ""),
    _xlpm.MacVal, _xlfn.XLOOKUP($A354, Output_Mac!$A:$A, Output_Mac!S:S, ""),
    _xlpm.MyAuditVal, _xlfn.XLOOKUP($A354, My_Audit!$A:$A, My_Audit!P:P, ""),
    _xlfn.TEXTJOIN(", ", TRUE, _xlpm.MyAuditVal, _xlpm.MacVal, _xlpm.CSVVal)
)</f>
        <v/>
      </c>
      <c r="P354" s="2" t="str" cm="1">
        <f t="array" ref="P354">IFERROR(_xlfn.LET(
_xlpm.CSVVal,_xlfn.XLOOKUP($A354,CSV!$A:$A,CSV!AG:AG,""),
_xlpm.MacVal,_xlfn.XLOOKUP($A354,Output_Mac!$A:$A,Output_Mac!T:T,""),
_xlpm.MyAuditVal,_xlfn.XLOOKUP($A354,My_Audit!$A:$A,My_Audit!Q:Q,""),
_xlfn.IFS(_xlpm.MyAuditVal&lt;&gt;"",UPPER(_xlpm.MyAuditVal),_xlpm.MacVal&lt;&gt;"",_xlpm.MacVal,_xlpm.CSVVal&lt;&gt;"",_xlpm.CSVVal
)),"No")</f>
        <v>No</v>
      </c>
      <c r="Q354" s="2" t="str" cm="1">
        <f t="array" ref="Q354">IFERROR(_xlfn.LET(
_xlpm.CSVVal,_xlfn.XLOOKUP($A354,CSV!$A:$A,CSV!AH:AH,""),
_xlpm.MacVal,_xlfn.XLOOKUP($A354,Output_Mac!$A:$A,Output_Mac!U:U,""),
_xlpm.MyAuditVal,_xlfn.XLOOKUP($A354,My_Audit!$A:$A,My_Audit!R:R,""),
_xlfn.IFS(_xlpm.MyAuditVal&lt;&gt;"",UPPER(_xlpm.MyAuditVal),_xlpm.MacVal&lt;&gt;"",_xlpm.MacVal,_xlpm.CSVVal&lt;&gt;"",_xlpm.CSVVal
)),"")</f>
        <v/>
      </c>
    </row>
    <row r="355" spans="1:17">
      <c r="A355" s="2" t="str">
        <f>_xlfn.TEXTJOIN("",TRUE,Input!$B$2,ROW(My_Audit!A354))</f>
        <v>XX354</v>
      </c>
      <c r="B355" s="2" t="str">
        <f>_xlfn.TEXTJOIN("-",TRUE,"ITD",Input!$A$2,A355)</f>
        <v>ITD-SHRXXX-XX354</v>
      </c>
      <c r="C355" s="2" t="str" cm="1">
        <f t="array" ref="C355">IFERROR(_xlfn.LET(
_xlpm.CSVVal,_xlfn.XLOOKUP($A355,CSV!$A:$A,CSV!B:B,""),
_xlpm.MacVal,_xlfn.XLOOKUP($A355,Output_Mac!$A:$A,Output_Mac!B:B,""),
_xlpm.MyAuditVal,_xlfn.XLOOKUP($A355,My_Audit!$A:$A,My_Audit!B:B,""),
_xlfn.IFS(_xlpm.MyAuditVal&lt;&gt;"",UPPER(_xlpm.MyAuditVal),_xlpm.MacVal&lt;&gt;"",_xlpm.MacVal,_xlpm.CSVVal&lt;&gt;"",_xlpm.CSVVal
)),"")</f>
        <v/>
      </c>
      <c r="D355" s="2" t="str" cm="1">
        <f t="array" ref="D355">IFERROR(_xlfn.LET(
_xlpm.CSVVal,_xlfn.XLOOKUP($A355,CSV!$A:$A,CSV!D:D,""),
_xlpm.MacVal,_xlfn.XLOOKUP($A355,Output_Mac!$A:$A,Output_Mac!C:C,""),
_xlpm.MyAuditVal,_xlfn.XLOOKUP($A355,My_Audit!$A:$A,My_Audit!C:C,""),
_xlfn.IFS(_xlpm.MyAuditVal&lt;&gt;"",_xlpm.MyAuditVal,_xlpm.MacVal&lt;&gt;"",_xlpm.MacVal,_xlpm.CSVVal&lt;&gt;"",_xlpm.CSVVal
)),"")</f>
        <v/>
      </c>
      <c r="E355" s="2" t="str">
        <f>_xlfn.XLOOKUP(A355,My_Audit!A:A,My_Audit!D:D,"")&amp;""</f>
        <v/>
      </c>
      <c r="F355" s="2" t="str" cm="1">
        <f t="array" ref="F355">IFERROR(_xlfn.LET(
_xlpm.CSVVal,_xlfn.XLOOKUP($A355,CSV!$A:$A,CSV!F:F,""),
_xlpm.MacVal,_xlfn.XLOOKUP($A355,Output_Mac!$A:$A,Output_Mac!E:E,""),
_xlpm.MyAuditVal,_xlfn.XLOOKUP($A355,My_Audit!$A:$A,My_Audit!E:E,""),
_xlfn.IFS(_xlpm.MyAuditVal&lt;&gt;"",_xlpm.MyAuditVal,_xlpm.MacVal&lt;&gt;"",_xlpm.MacVal,_xlpm.CSVVal&lt;&gt;"",_xlpm.CSVVal
)),"")</f>
        <v/>
      </c>
      <c r="G355" s="2" t="str" cm="1">
        <f t="array" ref="G355">IFERROR(_xlfn.LET(
_xlpm.CSVVal,_xlfn.XLOOKUP($A355,CSV!$A:$A,CSV!G:G,""),
_xlpm.MacVal,_xlfn.XLOOKUP($A355,Output_Mac!$A:$A,Output_Mac!F:F,""),
_xlpm.MyAuditVal,_xlfn.XLOOKUP($A355,My_Audit!$A:$A,My_Audit!F:F,""),
_xlfn.IFS(_xlpm.MyAuditVal&lt;&gt;"",_xlpm.MyAuditVal,_xlpm.MacVal&lt;&gt;"",_xlpm.MacVal,_xlpm.CSVVal&lt;&gt;"",PROPER(_xlpm.CSVVal)
)),"")</f>
        <v/>
      </c>
      <c r="H355" s="2" t="str" cm="1">
        <f t="array" ref="H355">IFERROR(_xlfn.LET(
_xlpm.CSVVal,_xlfn.XLOOKUP($A355,CSV!$A:$A,CSV!H:H,""),
_xlpm.MacVal,_xlfn.XLOOKUP($A355,Output_Mac!$A:$A,Output_Mac!H:H,""),
_xlpm.MyAuditVal,_xlfn.XLOOKUP($A355,My_Audit!$A:$A,My_Audit!G:G,""),
_xlfn.IFS(_xlpm.MyAuditVal&lt;&gt;"",_xlpm.MyAuditVal,_xlpm.MacVal&lt;&gt;"",_xlpm.MacVal,_xlpm.CSVVal&lt;&gt;"",_xlpm.CSVVal
)),"")</f>
        <v/>
      </c>
      <c r="I355" s="2" t="str">
        <f>_xlfn.XLOOKUP(A355,Output_Mac!A:A,Output_Mac!I:I,"")</f>
        <v/>
      </c>
      <c r="J355" s="2" t="str" cm="1">
        <f t="array" ref="J355">IFERROR(_xlfn.LET(
_xlpm.CSVVal,_xlfn.XLOOKUP($A355,CSV!$A:$A,CSV!I:I,""),
_xlpm.MacVal,_xlfn.XLOOKUP($A355,Output_Mac!$A:$A,Output_Mac!J:J,""),
_xlpm.MyAuditVal,_xlfn.XLOOKUP($A355,My_Audit!$A:$A,My_Audit!I:I,""),
_xlfn.IFS(_xlpm.MyAuditVal&lt;&gt;"",UPPER(_xlpm.MyAuditVal),_xlpm.MacVal&lt;&gt;"",_xlpm.MacVal,_xlpm.CSVVal&lt;&gt;"",_xlpm.CSVVal
)),"")</f>
        <v/>
      </c>
      <c r="K355" s="2" t="str" cm="1">
        <f t="array" ref="K355">IFERROR(_xlfn.LET(
_xlpm.CSVVal,_xlfn.XLOOKUP($A355,CSV!$A:$A,CSV!K:K,""),
_xlpm.MacVal,_xlfn.XLOOKUP($A355,Output_Mac!$A:$A,Output_Mac!K:K,""),
_xlpm.MyAuditVal,_xlfn.XLOOKUP($A355,My_Audit!$A:$A,My_Audit!J:J,""),
_xlfn.IFS(_xlpm.MyAuditVal&lt;&gt;"",UPPER(_xlpm.MyAuditVal),_xlpm.MacVal&lt;&gt;"",_xlpm.MacVal,_xlpm.CSVVal&lt;&gt;"",_xlpm.CSVVal
)),"")</f>
        <v/>
      </c>
      <c r="L355" s="2" t="str" cm="1">
        <f t="array" ref="L355">IFERROR(_xlfn.LET(
_xlpm.CSVVal,_xlfn.XLOOKUP($A355,CSV!$A:$A,CSV!P:P,""),
_xlpm.MacVal,_xlfn.XLOOKUP($A355,Output_Mac!$A:$A,Output_Mac!L:L,""),
_xlpm.MyAuditVal,_xlfn.XLOOKUP($A355,My_Audit!$A:$A,My_Audit!K:K,""),
_xlfn.IFS(_xlpm.MyAuditVal&lt;&gt;"",UPPER(_xlpm.MyAuditVal),_xlpm.MacVal&lt;&gt;"",_xlpm.MacVal,_xlpm.CSVVal&lt;&gt;"",_xlpm.CSVVal
)),"")</f>
        <v/>
      </c>
      <c r="M355" s="2" t="str" cm="1">
        <f t="array" ref="M355">IFERROR(_xlfn.LET(
_xlpm.CSVVal,_xlfn.XLOOKUP($A355,CSV!$A:$A,CSV!Q:Q,""),
_xlpm.MacVal,_xlfn.XLOOKUP($A355,Output_Mac!$A:$A,Output_Mac!M:M,""),
_xlpm.MyAuditVal,_xlfn.XLOOKUP($A355,My_Audit!$A:$A,My_Audit!L:L,""),
_xlfn.IFS(_xlpm.MyAuditVal&lt;&gt;"",UPPER(_xlpm.MyAuditVal),_xlpm.MacVal&lt;&gt;"",_xlpm.MacVal,_xlpm.CSVVal&lt;&gt;"",_xlpm.CSVVal
)),"")</f>
        <v/>
      </c>
      <c r="O355" s="2" t="str">
        <f>_xlfn.LET(
    _xlpm.CSVVal, _xlfn.XLOOKUP($A355, CSV!$A:$A, CSV!AF:AF, ""),
    _xlpm.MacVal, _xlfn.XLOOKUP($A355, Output_Mac!$A:$A, Output_Mac!S:S, ""),
    _xlpm.MyAuditVal, _xlfn.XLOOKUP($A355, My_Audit!$A:$A, My_Audit!P:P, ""),
    _xlfn.TEXTJOIN(", ", TRUE, _xlpm.MyAuditVal, _xlpm.MacVal, _xlpm.CSVVal)
)</f>
        <v/>
      </c>
      <c r="P355" s="2" t="str" cm="1">
        <f t="array" ref="P355">IFERROR(_xlfn.LET(
_xlpm.CSVVal,_xlfn.XLOOKUP($A355,CSV!$A:$A,CSV!AG:AG,""),
_xlpm.MacVal,_xlfn.XLOOKUP($A355,Output_Mac!$A:$A,Output_Mac!T:T,""),
_xlpm.MyAuditVal,_xlfn.XLOOKUP($A355,My_Audit!$A:$A,My_Audit!Q:Q,""),
_xlfn.IFS(_xlpm.MyAuditVal&lt;&gt;"",UPPER(_xlpm.MyAuditVal),_xlpm.MacVal&lt;&gt;"",_xlpm.MacVal,_xlpm.CSVVal&lt;&gt;"",_xlpm.CSVVal
)),"No")</f>
        <v>No</v>
      </c>
      <c r="Q355" s="2" t="str" cm="1">
        <f t="array" ref="Q355">IFERROR(_xlfn.LET(
_xlpm.CSVVal,_xlfn.XLOOKUP($A355,CSV!$A:$A,CSV!AH:AH,""),
_xlpm.MacVal,_xlfn.XLOOKUP($A355,Output_Mac!$A:$A,Output_Mac!U:U,""),
_xlpm.MyAuditVal,_xlfn.XLOOKUP($A355,My_Audit!$A:$A,My_Audit!R:R,""),
_xlfn.IFS(_xlpm.MyAuditVal&lt;&gt;"",UPPER(_xlpm.MyAuditVal),_xlpm.MacVal&lt;&gt;"",_xlpm.MacVal,_xlpm.CSVVal&lt;&gt;"",_xlpm.CSVVal
)),"")</f>
        <v/>
      </c>
    </row>
    <row r="356" spans="1:17">
      <c r="A356" s="2" t="str">
        <f>_xlfn.TEXTJOIN("",TRUE,Input!$B$2,ROW(My_Audit!A355))</f>
        <v>XX355</v>
      </c>
      <c r="B356" s="2" t="str">
        <f>_xlfn.TEXTJOIN("-",TRUE,"ITD",Input!$A$2,A356)</f>
        <v>ITD-SHRXXX-XX355</v>
      </c>
      <c r="C356" s="2" t="str" cm="1">
        <f t="array" ref="C356">IFERROR(_xlfn.LET(
_xlpm.CSVVal,_xlfn.XLOOKUP($A356,CSV!$A:$A,CSV!B:B,""),
_xlpm.MacVal,_xlfn.XLOOKUP($A356,Output_Mac!$A:$A,Output_Mac!B:B,""),
_xlpm.MyAuditVal,_xlfn.XLOOKUP($A356,My_Audit!$A:$A,My_Audit!B:B,""),
_xlfn.IFS(_xlpm.MyAuditVal&lt;&gt;"",UPPER(_xlpm.MyAuditVal),_xlpm.MacVal&lt;&gt;"",_xlpm.MacVal,_xlpm.CSVVal&lt;&gt;"",_xlpm.CSVVal
)),"")</f>
        <v/>
      </c>
      <c r="D356" s="2" t="str" cm="1">
        <f t="array" ref="D356">IFERROR(_xlfn.LET(
_xlpm.CSVVal,_xlfn.XLOOKUP($A356,CSV!$A:$A,CSV!D:D,""),
_xlpm.MacVal,_xlfn.XLOOKUP($A356,Output_Mac!$A:$A,Output_Mac!C:C,""),
_xlpm.MyAuditVal,_xlfn.XLOOKUP($A356,My_Audit!$A:$A,My_Audit!C:C,""),
_xlfn.IFS(_xlpm.MyAuditVal&lt;&gt;"",_xlpm.MyAuditVal,_xlpm.MacVal&lt;&gt;"",_xlpm.MacVal,_xlpm.CSVVal&lt;&gt;"",_xlpm.CSVVal
)),"")</f>
        <v/>
      </c>
      <c r="E356" s="2" t="str">
        <f>_xlfn.XLOOKUP(A356,My_Audit!A:A,My_Audit!D:D,"")&amp;""</f>
        <v/>
      </c>
      <c r="F356" s="2" t="str" cm="1">
        <f t="array" ref="F356">IFERROR(_xlfn.LET(
_xlpm.CSVVal,_xlfn.XLOOKUP($A356,CSV!$A:$A,CSV!F:F,""),
_xlpm.MacVal,_xlfn.XLOOKUP($A356,Output_Mac!$A:$A,Output_Mac!E:E,""),
_xlpm.MyAuditVal,_xlfn.XLOOKUP($A356,My_Audit!$A:$A,My_Audit!E:E,""),
_xlfn.IFS(_xlpm.MyAuditVal&lt;&gt;"",_xlpm.MyAuditVal,_xlpm.MacVal&lt;&gt;"",_xlpm.MacVal,_xlpm.CSVVal&lt;&gt;"",_xlpm.CSVVal
)),"")</f>
        <v/>
      </c>
      <c r="G356" s="2" t="str" cm="1">
        <f t="array" ref="G356">IFERROR(_xlfn.LET(
_xlpm.CSVVal,_xlfn.XLOOKUP($A356,CSV!$A:$A,CSV!G:G,""),
_xlpm.MacVal,_xlfn.XLOOKUP($A356,Output_Mac!$A:$A,Output_Mac!F:F,""),
_xlpm.MyAuditVal,_xlfn.XLOOKUP($A356,My_Audit!$A:$A,My_Audit!F:F,""),
_xlfn.IFS(_xlpm.MyAuditVal&lt;&gt;"",_xlpm.MyAuditVal,_xlpm.MacVal&lt;&gt;"",_xlpm.MacVal,_xlpm.CSVVal&lt;&gt;"",PROPER(_xlpm.CSVVal)
)),"")</f>
        <v/>
      </c>
      <c r="H356" s="2" t="str" cm="1">
        <f t="array" ref="H356">IFERROR(_xlfn.LET(
_xlpm.CSVVal,_xlfn.XLOOKUP($A356,CSV!$A:$A,CSV!H:H,""),
_xlpm.MacVal,_xlfn.XLOOKUP($A356,Output_Mac!$A:$A,Output_Mac!H:H,""),
_xlpm.MyAuditVal,_xlfn.XLOOKUP($A356,My_Audit!$A:$A,My_Audit!G:G,""),
_xlfn.IFS(_xlpm.MyAuditVal&lt;&gt;"",_xlpm.MyAuditVal,_xlpm.MacVal&lt;&gt;"",_xlpm.MacVal,_xlpm.CSVVal&lt;&gt;"",_xlpm.CSVVal
)),"")</f>
        <v/>
      </c>
      <c r="I356" s="2" t="str">
        <f>_xlfn.XLOOKUP(A356,Output_Mac!A:A,Output_Mac!I:I,"")</f>
        <v/>
      </c>
      <c r="J356" s="2" t="str" cm="1">
        <f t="array" ref="J356">IFERROR(_xlfn.LET(
_xlpm.CSVVal,_xlfn.XLOOKUP($A356,CSV!$A:$A,CSV!I:I,""),
_xlpm.MacVal,_xlfn.XLOOKUP($A356,Output_Mac!$A:$A,Output_Mac!J:J,""),
_xlpm.MyAuditVal,_xlfn.XLOOKUP($A356,My_Audit!$A:$A,My_Audit!I:I,""),
_xlfn.IFS(_xlpm.MyAuditVal&lt;&gt;"",UPPER(_xlpm.MyAuditVal),_xlpm.MacVal&lt;&gt;"",_xlpm.MacVal,_xlpm.CSVVal&lt;&gt;"",_xlpm.CSVVal
)),"")</f>
        <v/>
      </c>
      <c r="K356" s="2" t="str" cm="1">
        <f t="array" ref="K356">IFERROR(_xlfn.LET(
_xlpm.CSVVal,_xlfn.XLOOKUP($A356,CSV!$A:$A,CSV!K:K,""),
_xlpm.MacVal,_xlfn.XLOOKUP($A356,Output_Mac!$A:$A,Output_Mac!K:K,""),
_xlpm.MyAuditVal,_xlfn.XLOOKUP($A356,My_Audit!$A:$A,My_Audit!J:J,""),
_xlfn.IFS(_xlpm.MyAuditVal&lt;&gt;"",UPPER(_xlpm.MyAuditVal),_xlpm.MacVal&lt;&gt;"",_xlpm.MacVal,_xlpm.CSVVal&lt;&gt;"",_xlpm.CSVVal
)),"")</f>
        <v/>
      </c>
      <c r="L356" s="2" t="str" cm="1">
        <f t="array" ref="L356">IFERROR(_xlfn.LET(
_xlpm.CSVVal,_xlfn.XLOOKUP($A356,CSV!$A:$A,CSV!P:P,""),
_xlpm.MacVal,_xlfn.XLOOKUP($A356,Output_Mac!$A:$A,Output_Mac!L:L,""),
_xlpm.MyAuditVal,_xlfn.XLOOKUP($A356,My_Audit!$A:$A,My_Audit!K:K,""),
_xlfn.IFS(_xlpm.MyAuditVal&lt;&gt;"",UPPER(_xlpm.MyAuditVal),_xlpm.MacVal&lt;&gt;"",_xlpm.MacVal,_xlpm.CSVVal&lt;&gt;"",_xlpm.CSVVal
)),"")</f>
        <v/>
      </c>
      <c r="M356" s="2" t="str" cm="1">
        <f t="array" ref="M356">IFERROR(_xlfn.LET(
_xlpm.CSVVal,_xlfn.XLOOKUP($A356,CSV!$A:$A,CSV!Q:Q,""),
_xlpm.MacVal,_xlfn.XLOOKUP($A356,Output_Mac!$A:$A,Output_Mac!M:M,""),
_xlpm.MyAuditVal,_xlfn.XLOOKUP($A356,My_Audit!$A:$A,My_Audit!L:L,""),
_xlfn.IFS(_xlpm.MyAuditVal&lt;&gt;"",UPPER(_xlpm.MyAuditVal),_xlpm.MacVal&lt;&gt;"",_xlpm.MacVal,_xlpm.CSVVal&lt;&gt;"",_xlpm.CSVVal
)),"")</f>
        <v/>
      </c>
      <c r="O356" s="2" t="str">
        <f>_xlfn.LET(
    _xlpm.CSVVal, _xlfn.XLOOKUP($A356, CSV!$A:$A, CSV!AF:AF, ""),
    _xlpm.MacVal, _xlfn.XLOOKUP($A356, Output_Mac!$A:$A, Output_Mac!S:S, ""),
    _xlpm.MyAuditVal, _xlfn.XLOOKUP($A356, My_Audit!$A:$A, My_Audit!P:P, ""),
    _xlfn.TEXTJOIN(", ", TRUE, _xlpm.MyAuditVal, _xlpm.MacVal, _xlpm.CSVVal)
)</f>
        <v/>
      </c>
      <c r="P356" s="2" t="str" cm="1">
        <f t="array" ref="P356">IFERROR(_xlfn.LET(
_xlpm.CSVVal,_xlfn.XLOOKUP($A356,CSV!$A:$A,CSV!AG:AG,""),
_xlpm.MacVal,_xlfn.XLOOKUP($A356,Output_Mac!$A:$A,Output_Mac!T:T,""),
_xlpm.MyAuditVal,_xlfn.XLOOKUP($A356,My_Audit!$A:$A,My_Audit!Q:Q,""),
_xlfn.IFS(_xlpm.MyAuditVal&lt;&gt;"",UPPER(_xlpm.MyAuditVal),_xlpm.MacVal&lt;&gt;"",_xlpm.MacVal,_xlpm.CSVVal&lt;&gt;"",_xlpm.CSVVal
)),"No")</f>
        <v>No</v>
      </c>
      <c r="Q356" s="2" t="str" cm="1">
        <f t="array" ref="Q356">IFERROR(_xlfn.LET(
_xlpm.CSVVal,_xlfn.XLOOKUP($A356,CSV!$A:$A,CSV!AH:AH,""),
_xlpm.MacVal,_xlfn.XLOOKUP($A356,Output_Mac!$A:$A,Output_Mac!U:U,""),
_xlpm.MyAuditVal,_xlfn.XLOOKUP($A356,My_Audit!$A:$A,My_Audit!R:R,""),
_xlfn.IFS(_xlpm.MyAuditVal&lt;&gt;"",UPPER(_xlpm.MyAuditVal),_xlpm.MacVal&lt;&gt;"",_xlpm.MacVal,_xlpm.CSVVal&lt;&gt;"",_xlpm.CSVVal
)),"")</f>
        <v/>
      </c>
    </row>
    <row r="357" spans="1:17">
      <c r="A357" s="2" t="str">
        <f>_xlfn.TEXTJOIN("",TRUE,Input!$B$2,ROW(My_Audit!A356))</f>
        <v>XX356</v>
      </c>
      <c r="B357" s="2" t="str">
        <f>_xlfn.TEXTJOIN("-",TRUE,"ITD",Input!$A$2,A357)</f>
        <v>ITD-SHRXXX-XX356</v>
      </c>
      <c r="C357" s="2" t="str" cm="1">
        <f t="array" ref="C357">IFERROR(_xlfn.LET(
_xlpm.CSVVal,_xlfn.XLOOKUP($A357,CSV!$A:$A,CSV!B:B,""),
_xlpm.MacVal,_xlfn.XLOOKUP($A357,Output_Mac!$A:$A,Output_Mac!B:B,""),
_xlpm.MyAuditVal,_xlfn.XLOOKUP($A357,My_Audit!$A:$A,My_Audit!B:B,""),
_xlfn.IFS(_xlpm.MyAuditVal&lt;&gt;"",UPPER(_xlpm.MyAuditVal),_xlpm.MacVal&lt;&gt;"",_xlpm.MacVal,_xlpm.CSVVal&lt;&gt;"",_xlpm.CSVVal
)),"")</f>
        <v/>
      </c>
      <c r="D357" s="2" t="str" cm="1">
        <f t="array" ref="D357">IFERROR(_xlfn.LET(
_xlpm.CSVVal,_xlfn.XLOOKUP($A357,CSV!$A:$A,CSV!D:D,""),
_xlpm.MacVal,_xlfn.XLOOKUP($A357,Output_Mac!$A:$A,Output_Mac!C:C,""),
_xlpm.MyAuditVal,_xlfn.XLOOKUP($A357,My_Audit!$A:$A,My_Audit!C:C,""),
_xlfn.IFS(_xlpm.MyAuditVal&lt;&gt;"",_xlpm.MyAuditVal,_xlpm.MacVal&lt;&gt;"",_xlpm.MacVal,_xlpm.CSVVal&lt;&gt;"",_xlpm.CSVVal
)),"")</f>
        <v/>
      </c>
      <c r="E357" s="2" t="str">
        <f>_xlfn.XLOOKUP(A357,My_Audit!A:A,My_Audit!D:D,"")&amp;""</f>
        <v/>
      </c>
      <c r="F357" s="2" t="str" cm="1">
        <f t="array" ref="F357">IFERROR(_xlfn.LET(
_xlpm.CSVVal,_xlfn.XLOOKUP($A357,CSV!$A:$A,CSV!F:F,""),
_xlpm.MacVal,_xlfn.XLOOKUP($A357,Output_Mac!$A:$A,Output_Mac!E:E,""),
_xlpm.MyAuditVal,_xlfn.XLOOKUP($A357,My_Audit!$A:$A,My_Audit!E:E,""),
_xlfn.IFS(_xlpm.MyAuditVal&lt;&gt;"",_xlpm.MyAuditVal,_xlpm.MacVal&lt;&gt;"",_xlpm.MacVal,_xlpm.CSVVal&lt;&gt;"",_xlpm.CSVVal
)),"")</f>
        <v/>
      </c>
      <c r="G357" s="2" t="str" cm="1">
        <f t="array" ref="G357">IFERROR(_xlfn.LET(
_xlpm.CSVVal,_xlfn.XLOOKUP($A357,CSV!$A:$A,CSV!G:G,""),
_xlpm.MacVal,_xlfn.XLOOKUP($A357,Output_Mac!$A:$A,Output_Mac!F:F,""),
_xlpm.MyAuditVal,_xlfn.XLOOKUP($A357,My_Audit!$A:$A,My_Audit!F:F,""),
_xlfn.IFS(_xlpm.MyAuditVal&lt;&gt;"",_xlpm.MyAuditVal,_xlpm.MacVal&lt;&gt;"",_xlpm.MacVal,_xlpm.CSVVal&lt;&gt;"",PROPER(_xlpm.CSVVal)
)),"")</f>
        <v/>
      </c>
      <c r="H357" s="2" t="str" cm="1">
        <f t="array" ref="H357">IFERROR(_xlfn.LET(
_xlpm.CSVVal,_xlfn.XLOOKUP($A357,CSV!$A:$A,CSV!H:H,""),
_xlpm.MacVal,_xlfn.XLOOKUP($A357,Output_Mac!$A:$A,Output_Mac!H:H,""),
_xlpm.MyAuditVal,_xlfn.XLOOKUP($A357,My_Audit!$A:$A,My_Audit!G:G,""),
_xlfn.IFS(_xlpm.MyAuditVal&lt;&gt;"",_xlpm.MyAuditVal,_xlpm.MacVal&lt;&gt;"",_xlpm.MacVal,_xlpm.CSVVal&lt;&gt;"",_xlpm.CSVVal
)),"")</f>
        <v/>
      </c>
      <c r="I357" s="2" t="str">
        <f>_xlfn.XLOOKUP(A357,Output_Mac!A:A,Output_Mac!I:I,"")</f>
        <v/>
      </c>
      <c r="J357" s="2" t="str" cm="1">
        <f t="array" ref="J357">IFERROR(_xlfn.LET(
_xlpm.CSVVal,_xlfn.XLOOKUP($A357,CSV!$A:$A,CSV!I:I,""),
_xlpm.MacVal,_xlfn.XLOOKUP($A357,Output_Mac!$A:$A,Output_Mac!J:J,""),
_xlpm.MyAuditVal,_xlfn.XLOOKUP($A357,My_Audit!$A:$A,My_Audit!I:I,""),
_xlfn.IFS(_xlpm.MyAuditVal&lt;&gt;"",UPPER(_xlpm.MyAuditVal),_xlpm.MacVal&lt;&gt;"",_xlpm.MacVal,_xlpm.CSVVal&lt;&gt;"",_xlpm.CSVVal
)),"")</f>
        <v/>
      </c>
      <c r="K357" s="2" t="str" cm="1">
        <f t="array" ref="K357">IFERROR(_xlfn.LET(
_xlpm.CSVVal,_xlfn.XLOOKUP($A357,CSV!$A:$A,CSV!K:K,""),
_xlpm.MacVal,_xlfn.XLOOKUP($A357,Output_Mac!$A:$A,Output_Mac!K:K,""),
_xlpm.MyAuditVal,_xlfn.XLOOKUP($A357,My_Audit!$A:$A,My_Audit!J:J,""),
_xlfn.IFS(_xlpm.MyAuditVal&lt;&gt;"",UPPER(_xlpm.MyAuditVal),_xlpm.MacVal&lt;&gt;"",_xlpm.MacVal,_xlpm.CSVVal&lt;&gt;"",_xlpm.CSVVal
)),"")</f>
        <v/>
      </c>
      <c r="L357" s="2" t="str" cm="1">
        <f t="array" ref="L357">IFERROR(_xlfn.LET(
_xlpm.CSVVal,_xlfn.XLOOKUP($A357,CSV!$A:$A,CSV!P:P,""),
_xlpm.MacVal,_xlfn.XLOOKUP($A357,Output_Mac!$A:$A,Output_Mac!L:L,""),
_xlpm.MyAuditVal,_xlfn.XLOOKUP($A357,My_Audit!$A:$A,My_Audit!K:K,""),
_xlfn.IFS(_xlpm.MyAuditVal&lt;&gt;"",UPPER(_xlpm.MyAuditVal),_xlpm.MacVal&lt;&gt;"",_xlpm.MacVal,_xlpm.CSVVal&lt;&gt;"",_xlpm.CSVVal
)),"")</f>
        <v/>
      </c>
      <c r="M357" s="2" t="str" cm="1">
        <f t="array" ref="M357">IFERROR(_xlfn.LET(
_xlpm.CSVVal,_xlfn.XLOOKUP($A357,CSV!$A:$A,CSV!Q:Q,""),
_xlpm.MacVal,_xlfn.XLOOKUP($A357,Output_Mac!$A:$A,Output_Mac!M:M,""),
_xlpm.MyAuditVal,_xlfn.XLOOKUP($A357,My_Audit!$A:$A,My_Audit!L:L,""),
_xlfn.IFS(_xlpm.MyAuditVal&lt;&gt;"",UPPER(_xlpm.MyAuditVal),_xlpm.MacVal&lt;&gt;"",_xlpm.MacVal,_xlpm.CSVVal&lt;&gt;"",_xlpm.CSVVal
)),"")</f>
        <v/>
      </c>
      <c r="O357" s="2" t="str">
        <f>_xlfn.LET(
    _xlpm.CSVVal, _xlfn.XLOOKUP($A357, CSV!$A:$A, CSV!AF:AF, ""),
    _xlpm.MacVal, _xlfn.XLOOKUP($A357, Output_Mac!$A:$A, Output_Mac!S:S, ""),
    _xlpm.MyAuditVal, _xlfn.XLOOKUP($A357, My_Audit!$A:$A, My_Audit!P:P, ""),
    _xlfn.TEXTJOIN(", ", TRUE, _xlpm.MyAuditVal, _xlpm.MacVal, _xlpm.CSVVal)
)</f>
        <v/>
      </c>
      <c r="P357" s="2" t="str" cm="1">
        <f t="array" ref="P357">IFERROR(_xlfn.LET(
_xlpm.CSVVal,_xlfn.XLOOKUP($A357,CSV!$A:$A,CSV!AG:AG,""),
_xlpm.MacVal,_xlfn.XLOOKUP($A357,Output_Mac!$A:$A,Output_Mac!T:T,""),
_xlpm.MyAuditVal,_xlfn.XLOOKUP($A357,My_Audit!$A:$A,My_Audit!Q:Q,""),
_xlfn.IFS(_xlpm.MyAuditVal&lt;&gt;"",UPPER(_xlpm.MyAuditVal),_xlpm.MacVal&lt;&gt;"",_xlpm.MacVal,_xlpm.CSVVal&lt;&gt;"",_xlpm.CSVVal
)),"No")</f>
        <v>No</v>
      </c>
      <c r="Q357" s="2" t="str" cm="1">
        <f t="array" ref="Q357">IFERROR(_xlfn.LET(
_xlpm.CSVVal,_xlfn.XLOOKUP($A357,CSV!$A:$A,CSV!AH:AH,""),
_xlpm.MacVal,_xlfn.XLOOKUP($A357,Output_Mac!$A:$A,Output_Mac!U:U,""),
_xlpm.MyAuditVal,_xlfn.XLOOKUP($A357,My_Audit!$A:$A,My_Audit!R:R,""),
_xlfn.IFS(_xlpm.MyAuditVal&lt;&gt;"",UPPER(_xlpm.MyAuditVal),_xlpm.MacVal&lt;&gt;"",_xlpm.MacVal,_xlpm.CSVVal&lt;&gt;"",_xlpm.CSVVal
)),"")</f>
        <v/>
      </c>
    </row>
    <row r="358" spans="1:17">
      <c r="A358" s="2" t="str">
        <f>_xlfn.TEXTJOIN("",TRUE,Input!$B$2,ROW(My_Audit!A357))</f>
        <v>XX357</v>
      </c>
      <c r="B358" s="2" t="str">
        <f>_xlfn.TEXTJOIN("-",TRUE,"ITD",Input!$A$2,A358)</f>
        <v>ITD-SHRXXX-XX357</v>
      </c>
      <c r="C358" s="2" t="str" cm="1">
        <f t="array" ref="C358">IFERROR(_xlfn.LET(
_xlpm.CSVVal,_xlfn.XLOOKUP($A358,CSV!$A:$A,CSV!B:B,""),
_xlpm.MacVal,_xlfn.XLOOKUP($A358,Output_Mac!$A:$A,Output_Mac!B:B,""),
_xlpm.MyAuditVal,_xlfn.XLOOKUP($A358,My_Audit!$A:$A,My_Audit!B:B,""),
_xlfn.IFS(_xlpm.MyAuditVal&lt;&gt;"",UPPER(_xlpm.MyAuditVal),_xlpm.MacVal&lt;&gt;"",_xlpm.MacVal,_xlpm.CSVVal&lt;&gt;"",_xlpm.CSVVal
)),"")</f>
        <v/>
      </c>
      <c r="D358" s="2" t="str" cm="1">
        <f t="array" ref="D358">IFERROR(_xlfn.LET(
_xlpm.CSVVal,_xlfn.XLOOKUP($A358,CSV!$A:$A,CSV!D:D,""),
_xlpm.MacVal,_xlfn.XLOOKUP($A358,Output_Mac!$A:$A,Output_Mac!C:C,""),
_xlpm.MyAuditVal,_xlfn.XLOOKUP($A358,My_Audit!$A:$A,My_Audit!C:C,""),
_xlfn.IFS(_xlpm.MyAuditVal&lt;&gt;"",_xlpm.MyAuditVal,_xlpm.MacVal&lt;&gt;"",_xlpm.MacVal,_xlpm.CSVVal&lt;&gt;"",_xlpm.CSVVal
)),"")</f>
        <v/>
      </c>
      <c r="E358" s="2" t="str">
        <f>_xlfn.XLOOKUP(A358,My_Audit!A:A,My_Audit!D:D,"")&amp;""</f>
        <v/>
      </c>
      <c r="F358" s="2" t="str" cm="1">
        <f t="array" ref="F358">IFERROR(_xlfn.LET(
_xlpm.CSVVal,_xlfn.XLOOKUP($A358,CSV!$A:$A,CSV!F:F,""),
_xlpm.MacVal,_xlfn.XLOOKUP($A358,Output_Mac!$A:$A,Output_Mac!E:E,""),
_xlpm.MyAuditVal,_xlfn.XLOOKUP($A358,My_Audit!$A:$A,My_Audit!E:E,""),
_xlfn.IFS(_xlpm.MyAuditVal&lt;&gt;"",_xlpm.MyAuditVal,_xlpm.MacVal&lt;&gt;"",_xlpm.MacVal,_xlpm.CSVVal&lt;&gt;"",_xlpm.CSVVal
)),"")</f>
        <v/>
      </c>
      <c r="G358" s="2" t="str" cm="1">
        <f t="array" ref="G358">IFERROR(_xlfn.LET(
_xlpm.CSVVal,_xlfn.XLOOKUP($A358,CSV!$A:$A,CSV!G:G,""),
_xlpm.MacVal,_xlfn.XLOOKUP($A358,Output_Mac!$A:$A,Output_Mac!F:F,""),
_xlpm.MyAuditVal,_xlfn.XLOOKUP($A358,My_Audit!$A:$A,My_Audit!F:F,""),
_xlfn.IFS(_xlpm.MyAuditVal&lt;&gt;"",_xlpm.MyAuditVal,_xlpm.MacVal&lt;&gt;"",_xlpm.MacVal,_xlpm.CSVVal&lt;&gt;"",PROPER(_xlpm.CSVVal)
)),"")</f>
        <v/>
      </c>
      <c r="H358" s="2" t="str" cm="1">
        <f t="array" ref="H358">IFERROR(_xlfn.LET(
_xlpm.CSVVal,_xlfn.XLOOKUP($A358,CSV!$A:$A,CSV!H:H,""),
_xlpm.MacVal,_xlfn.XLOOKUP($A358,Output_Mac!$A:$A,Output_Mac!H:H,""),
_xlpm.MyAuditVal,_xlfn.XLOOKUP($A358,My_Audit!$A:$A,My_Audit!G:G,""),
_xlfn.IFS(_xlpm.MyAuditVal&lt;&gt;"",_xlpm.MyAuditVal,_xlpm.MacVal&lt;&gt;"",_xlpm.MacVal,_xlpm.CSVVal&lt;&gt;"",_xlpm.CSVVal
)),"")</f>
        <v/>
      </c>
      <c r="I358" s="2" t="str">
        <f>_xlfn.XLOOKUP(A358,Output_Mac!A:A,Output_Mac!I:I,"")</f>
        <v/>
      </c>
      <c r="J358" s="2" t="str" cm="1">
        <f t="array" ref="J358">IFERROR(_xlfn.LET(
_xlpm.CSVVal,_xlfn.XLOOKUP($A358,CSV!$A:$A,CSV!I:I,""),
_xlpm.MacVal,_xlfn.XLOOKUP($A358,Output_Mac!$A:$A,Output_Mac!J:J,""),
_xlpm.MyAuditVal,_xlfn.XLOOKUP($A358,My_Audit!$A:$A,My_Audit!I:I,""),
_xlfn.IFS(_xlpm.MyAuditVal&lt;&gt;"",UPPER(_xlpm.MyAuditVal),_xlpm.MacVal&lt;&gt;"",_xlpm.MacVal,_xlpm.CSVVal&lt;&gt;"",_xlpm.CSVVal
)),"")</f>
        <v/>
      </c>
      <c r="K358" s="2" t="str" cm="1">
        <f t="array" ref="K358">IFERROR(_xlfn.LET(
_xlpm.CSVVal,_xlfn.XLOOKUP($A358,CSV!$A:$A,CSV!K:K,""),
_xlpm.MacVal,_xlfn.XLOOKUP($A358,Output_Mac!$A:$A,Output_Mac!K:K,""),
_xlpm.MyAuditVal,_xlfn.XLOOKUP($A358,My_Audit!$A:$A,My_Audit!J:J,""),
_xlfn.IFS(_xlpm.MyAuditVal&lt;&gt;"",UPPER(_xlpm.MyAuditVal),_xlpm.MacVal&lt;&gt;"",_xlpm.MacVal,_xlpm.CSVVal&lt;&gt;"",_xlpm.CSVVal
)),"")</f>
        <v/>
      </c>
      <c r="L358" s="2" t="str" cm="1">
        <f t="array" ref="L358">IFERROR(_xlfn.LET(
_xlpm.CSVVal,_xlfn.XLOOKUP($A358,CSV!$A:$A,CSV!P:P,""),
_xlpm.MacVal,_xlfn.XLOOKUP($A358,Output_Mac!$A:$A,Output_Mac!L:L,""),
_xlpm.MyAuditVal,_xlfn.XLOOKUP($A358,My_Audit!$A:$A,My_Audit!K:K,""),
_xlfn.IFS(_xlpm.MyAuditVal&lt;&gt;"",UPPER(_xlpm.MyAuditVal),_xlpm.MacVal&lt;&gt;"",_xlpm.MacVal,_xlpm.CSVVal&lt;&gt;"",_xlpm.CSVVal
)),"")</f>
        <v/>
      </c>
      <c r="M358" s="2" t="str" cm="1">
        <f t="array" ref="M358">IFERROR(_xlfn.LET(
_xlpm.CSVVal,_xlfn.XLOOKUP($A358,CSV!$A:$A,CSV!Q:Q,""),
_xlpm.MacVal,_xlfn.XLOOKUP($A358,Output_Mac!$A:$A,Output_Mac!M:M,""),
_xlpm.MyAuditVal,_xlfn.XLOOKUP($A358,My_Audit!$A:$A,My_Audit!L:L,""),
_xlfn.IFS(_xlpm.MyAuditVal&lt;&gt;"",UPPER(_xlpm.MyAuditVal),_xlpm.MacVal&lt;&gt;"",_xlpm.MacVal,_xlpm.CSVVal&lt;&gt;"",_xlpm.CSVVal
)),"")</f>
        <v/>
      </c>
      <c r="O358" s="2" t="str">
        <f>_xlfn.LET(
    _xlpm.CSVVal, _xlfn.XLOOKUP($A358, CSV!$A:$A, CSV!AF:AF, ""),
    _xlpm.MacVal, _xlfn.XLOOKUP($A358, Output_Mac!$A:$A, Output_Mac!S:S, ""),
    _xlpm.MyAuditVal, _xlfn.XLOOKUP($A358, My_Audit!$A:$A, My_Audit!P:P, ""),
    _xlfn.TEXTJOIN(", ", TRUE, _xlpm.MyAuditVal, _xlpm.MacVal, _xlpm.CSVVal)
)</f>
        <v/>
      </c>
      <c r="P358" s="2" t="str" cm="1">
        <f t="array" ref="P358">IFERROR(_xlfn.LET(
_xlpm.CSVVal,_xlfn.XLOOKUP($A358,CSV!$A:$A,CSV!AG:AG,""),
_xlpm.MacVal,_xlfn.XLOOKUP($A358,Output_Mac!$A:$A,Output_Mac!T:T,""),
_xlpm.MyAuditVal,_xlfn.XLOOKUP($A358,My_Audit!$A:$A,My_Audit!Q:Q,""),
_xlfn.IFS(_xlpm.MyAuditVal&lt;&gt;"",UPPER(_xlpm.MyAuditVal),_xlpm.MacVal&lt;&gt;"",_xlpm.MacVal,_xlpm.CSVVal&lt;&gt;"",_xlpm.CSVVal
)),"No")</f>
        <v>No</v>
      </c>
      <c r="Q358" s="2" t="str" cm="1">
        <f t="array" ref="Q358">IFERROR(_xlfn.LET(
_xlpm.CSVVal,_xlfn.XLOOKUP($A358,CSV!$A:$A,CSV!AH:AH,""),
_xlpm.MacVal,_xlfn.XLOOKUP($A358,Output_Mac!$A:$A,Output_Mac!U:U,""),
_xlpm.MyAuditVal,_xlfn.XLOOKUP($A358,My_Audit!$A:$A,My_Audit!R:R,""),
_xlfn.IFS(_xlpm.MyAuditVal&lt;&gt;"",UPPER(_xlpm.MyAuditVal),_xlpm.MacVal&lt;&gt;"",_xlpm.MacVal,_xlpm.CSVVal&lt;&gt;"",_xlpm.CSVVal
)),"")</f>
        <v/>
      </c>
    </row>
    <row r="359" spans="1:17">
      <c r="A359" s="2" t="str">
        <f>_xlfn.TEXTJOIN("",TRUE,Input!$B$2,ROW(My_Audit!A358))</f>
        <v>XX358</v>
      </c>
      <c r="B359" s="2" t="str">
        <f>_xlfn.TEXTJOIN("-",TRUE,"ITD",Input!$A$2,A359)</f>
        <v>ITD-SHRXXX-XX358</v>
      </c>
      <c r="C359" s="2" t="str" cm="1">
        <f t="array" ref="C359">IFERROR(_xlfn.LET(
_xlpm.CSVVal,_xlfn.XLOOKUP($A359,CSV!$A:$A,CSV!B:B,""),
_xlpm.MacVal,_xlfn.XLOOKUP($A359,Output_Mac!$A:$A,Output_Mac!B:B,""),
_xlpm.MyAuditVal,_xlfn.XLOOKUP($A359,My_Audit!$A:$A,My_Audit!B:B,""),
_xlfn.IFS(_xlpm.MyAuditVal&lt;&gt;"",UPPER(_xlpm.MyAuditVal),_xlpm.MacVal&lt;&gt;"",_xlpm.MacVal,_xlpm.CSVVal&lt;&gt;"",_xlpm.CSVVal
)),"")</f>
        <v/>
      </c>
      <c r="D359" s="2" t="str" cm="1">
        <f t="array" ref="D359">IFERROR(_xlfn.LET(
_xlpm.CSVVal,_xlfn.XLOOKUP($A359,CSV!$A:$A,CSV!D:D,""),
_xlpm.MacVal,_xlfn.XLOOKUP($A359,Output_Mac!$A:$A,Output_Mac!C:C,""),
_xlpm.MyAuditVal,_xlfn.XLOOKUP($A359,My_Audit!$A:$A,My_Audit!C:C,""),
_xlfn.IFS(_xlpm.MyAuditVal&lt;&gt;"",_xlpm.MyAuditVal,_xlpm.MacVal&lt;&gt;"",_xlpm.MacVal,_xlpm.CSVVal&lt;&gt;"",_xlpm.CSVVal
)),"")</f>
        <v/>
      </c>
      <c r="E359" s="2" t="str">
        <f>_xlfn.XLOOKUP(A359,My_Audit!A:A,My_Audit!D:D,"")&amp;""</f>
        <v/>
      </c>
      <c r="F359" s="2" t="str" cm="1">
        <f t="array" ref="F359">IFERROR(_xlfn.LET(
_xlpm.CSVVal,_xlfn.XLOOKUP($A359,CSV!$A:$A,CSV!F:F,""),
_xlpm.MacVal,_xlfn.XLOOKUP($A359,Output_Mac!$A:$A,Output_Mac!E:E,""),
_xlpm.MyAuditVal,_xlfn.XLOOKUP($A359,My_Audit!$A:$A,My_Audit!E:E,""),
_xlfn.IFS(_xlpm.MyAuditVal&lt;&gt;"",_xlpm.MyAuditVal,_xlpm.MacVal&lt;&gt;"",_xlpm.MacVal,_xlpm.CSVVal&lt;&gt;"",_xlpm.CSVVal
)),"")</f>
        <v/>
      </c>
      <c r="G359" s="2" t="str" cm="1">
        <f t="array" ref="G359">IFERROR(_xlfn.LET(
_xlpm.CSVVal,_xlfn.XLOOKUP($A359,CSV!$A:$A,CSV!G:G,""),
_xlpm.MacVal,_xlfn.XLOOKUP($A359,Output_Mac!$A:$A,Output_Mac!F:F,""),
_xlpm.MyAuditVal,_xlfn.XLOOKUP($A359,My_Audit!$A:$A,My_Audit!F:F,""),
_xlfn.IFS(_xlpm.MyAuditVal&lt;&gt;"",_xlpm.MyAuditVal,_xlpm.MacVal&lt;&gt;"",_xlpm.MacVal,_xlpm.CSVVal&lt;&gt;"",PROPER(_xlpm.CSVVal)
)),"")</f>
        <v/>
      </c>
      <c r="H359" s="2" t="str" cm="1">
        <f t="array" ref="H359">IFERROR(_xlfn.LET(
_xlpm.CSVVal,_xlfn.XLOOKUP($A359,CSV!$A:$A,CSV!H:H,""),
_xlpm.MacVal,_xlfn.XLOOKUP($A359,Output_Mac!$A:$A,Output_Mac!H:H,""),
_xlpm.MyAuditVal,_xlfn.XLOOKUP($A359,My_Audit!$A:$A,My_Audit!G:G,""),
_xlfn.IFS(_xlpm.MyAuditVal&lt;&gt;"",_xlpm.MyAuditVal,_xlpm.MacVal&lt;&gt;"",_xlpm.MacVal,_xlpm.CSVVal&lt;&gt;"",_xlpm.CSVVal
)),"")</f>
        <v/>
      </c>
      <c r="I359" s="2" t="str">
        <f>_xlfn.XLOOKUP(A359,Output_Mac!A:A,Output_Mac!I:I,"")</f>
        <v/>
      </c>
      <c r="J359" s="2" t="str" cm="1">
        <f t="array" ref="J359">IFERROR(_xlfn.LET(
_xlpm.CSVVal,_xlfn.XLOOKUP($A359,CSV!$A:$A,CSV!I:I,""),
_xlpm.MacVal,_xlfn.XLOOKUP($A359,Output_Mac!$A:$A,Output_Mac!J:J,""),
_xlpm.MyAuditVal,_xlfn.XLOOKUP($A359,My_Audit!$A:$A,My_Audit!I:I,""),
_xlfn.IFS(_xlpm.MyAuditVal&lt;&gt;"",UPPER(_xlpm.MyAuditVal),_xlpm.MacVal&lt;&gt;"",_xlpm.MacVal,_xlpm.CSVVal&lt;&gt;"",_xlpm.CSVVal
)),"")</f>
        <v/>
      </c>
      <c r="K359" s="2" t="str" cm="1">
        <f t="array" ref="K359">IFERROR(_xlfn.LET(
_xlpm.CSVVal,_xlfn.XLOOKUP($A359,CSV!$A:$A,CSV!K:K,""),
_xlpm.MacVal,_xlfn.XLOOKUP($A359,Output_Mac!$A:$A,Output_Mac!K:K,""),
_xlpm.MyAuditVal,_xlfn.XLOOKUP($A359,My_Audit!$A:$A,My_Audit!J:J,""),
_xlfn.IFS(_xlpm.MyAuditVal&lt;&gt;"",UPPER(_xlpm.MyAuditVal),_xlpm.MacVal&lt;&gt;"",_xlpm.MacVal,_xlpm.CSVVal&lt;&gt;"",_xlpm.CSVVal
)),"")</f>
        <v/>
      </c>
      <c r="L359" s="2" t="str" cm="1">
        <f t="array" ref="L359">IFERROR(_xlfn.LET(
_xlpm.CSVVal,_xlfn.XLOOKUP($A359,CSV!$A:$A,CSV!P:P,""),
_xlpm.MacVal,_xlfn.XLOOKUP($A359,Output_Mac!$A:$A,Output_Mac!L:L,""),
_xlpm.MyAuditVal,_xlfn.XLOOKUP($A359,My_Audit!$A:$A,My_Audit!K:K,""),
_xlfn.IFS(_xlpm.MyAuditVal&lt;&gt;"",UPPER(_xlpm.MyAuditVal),_xlpm.MacVal&lt;&gt;"",_xlpm.MacVal,_xlpm.CSVVal&lt;&gt;"",_xlpm.CSVVal
)),"")</f>
        <v/>
      </c>
      <c r="M359" s="2" t="str" cm="1">
        <f t="array" ref="M359">IFERROR(_xlfn.LET(
_xlpm.CSVVal,_xlfn.XLOOKUP($A359,CSV!$A:$A,CSV!Q:Q,""),
_xlpm.MacVal,_xlfn.XLOOKUP($A359,Output_Mac!$A:$A,Output_Mac!M:M,""),
_xlpm.MyAuditVal,_xlfn.XLOOKUP($A359,My_Audit!$A:$A,My_Audit!L:L,""),
_xlfn.IFS(_xlpm.MyAuditVal&lt;&gt;"",UPPER(_xlpm.MyAuditVal),_xlpm.MacVal&lt;&gt;"",_xlpm.MacVal,_xlpm.CSVVal&lt;&gt;"",_xlpm.CSVVal
)),"")</f>
        <v/>
      </c>
      <c r="O359" s="2" t="str">
        <f>_xlfn.LET(
    _xlpm.CSVVal, _xlfn.XLOOKUP($A359, CSV!$A:$A, CSV!AF:AF, ""),
    _xlpm.MacVal, _xlfn.XLOOKUP($A359, Output_Mac!$A:$A, Output_Mac!S:S, ""),
    _xlpm.MyAuditVal, _xlfn.XLOOKUP($A359, My_Audit!$A:$A, My_Audit!P:P, ""),
    _xlfn.TEXTJOIN(", ", TRUE, _xlpm.MyAuditVal, _xlpm.MacVal, _xlpm.CSVVal)
)</f>
        <v/>
      </c>
      <c r="P359" s="2" t="str" cm="1">
        <f t="array" ref="P359">IFERROR(_xlfn.LET(
_xlpm.CSVVal,_xlfn.XLOOKUP($A359,CSV!$A:$A,CSV!AG:AG,""),
_xlpm.MacVal,_xlfn.XLOOKUP($A359,Output_Mac!$A:$A,Output_Mac!T:T,""),
_xlpm.MyAuditVal,_xlfn.XLOOKUP($A359,My_Audit!$A:$A,My_Audit!Q:Q,""),
_xlfn.IFS(_xlpm.MyAuditVal&lt;&gt;"",UPPER(_xlpm.MyAuditVal),_xlpm.MacVal&lt;&gt;"",_xlpm.MacVal,_xlpm.CSVVal&lt;&gt;"",_xlpm.CSVVal
)),"No")</f>
        <v>No</v>
      </c>
      <c r="Q359" s="2" t="str" cm="1">
        <f t="array" ref="Q359">IFERROR(_xlfn.LET(
_xlpm.CSVVal,_xlfn.XLOOKUP($A359,CSV!$A:$A,CSV!AH:AH,""),
_xlpm.MacVal,_xlfn.XLOOKUP($A359,Output_Mac!$A:$A,Output_Mac!U:U,""),
_xlpm.MyAuditVal,_xlfn.XLOOKUP($A359,My_Audit!$A:$A,My_Audit!R:R,""),
_xlfn.IFS(_xlpm.MyAuditVal&lt;&gt;"",UPPER(_xlpm.MyAuditVal),_xlpm.MacVal&lt;&gt;"",_xlpm.MacVal,_xlpm.CSVVal&lt;&gt;"",_xlpm.CSVVal
)),"")</f>
        <v/>
      </c>
    </row>
    <row r="360" spans="1:17">
      <c r="A360" s="2" t="str">
        <f>_xlfn.TEXTJOIN("",TRUE,Input!$B$2,ROW(My_Audit!A359))</f>
        <v>XX359</v>
      </c>
      <c r="B360" s="2" t="str">
        <f>_xlfn.TEXTJOIN("-",TRUE,"ITD",Input!$A$2,A360)</f>
        <v>ITD-SHRXXX-XX359</v>
      </c>
      <c r="C360" s="2" t="str" cm="1">
        <f t="array" ref="C360">IFERROR(_xlfn.LET(
_xlpm.CSVVal,_xlfn.XLOOKUP($A360,CSV!$A:$A,CSV!B:B,""),
_xlpm.MacVal,_xlfn.XLOOKUP($A360,Output_Mac!$A:$A,Output_Mac!B:B,""),
_xlpm.MyAuditVal,_xlfn.XLOOKUP($A360,My_Audit!$A:$A,My_Audit!B:B,""),
_xlfn.IFS(_xlpm.MyAuditVal&lt;&gt;"",UPPER(_xlpm.MyAuditVal),_xlpm.MacVal&lt;&gt;"",_xlpm.MacVal,_xlpm.CSVVal&lt;&gt;"",_xlpm.CSVVal
)),"")</f>
        <v/>
      </c>
      <c r="D360" s="2" t="str" cm="1">
        <f t="array" ref="D360">IFERROR(_xlfn.LET(
_xlpm.CSVVal,_xlfn.XLOOKUP($A360,CSV!$A:$A,CSV!D:D,""),
_xlpm.MacVal,_xlfn.XLOOKUP($A360,Output_Mac!$A:$A,Output_Mac!C:C,""),
_xlpm.MyAuditVal,_xlfn.XLOOKUP($A360,My_Audit!$A:$A,My_Audit!C:C,""),
_xlfn.IFS(_xlpm.MyAuditVal&lt;&gt;"",_xlpm.MyAuditVal,_xlpm.MacVal&lt;&gt;"",_xlpm.MacVal,_xlpm.CSVVal&lt;&gt;"",_xlpm.CSVVal
)),"")</f>
        <v/>
      </c>
      <c r="E360" s="2" t="str">
        <f>_xlfn.XLOOKUP(A360,My_Audit!A:A,My_Audit!D:D,"")&amp;""</f>
        <v/>
      </c>
      <c r="F360" s="2" t="str" cm="1">
        <f t="array" ref="F360">IFERROR(_xlfn.LET(
_xlpm.CSVVal,_xlfn.XLOOKUP($A360,CSV!$A:$A,CSV!F:F,""),
_xlpm.MacVal,_xlfn.XLOOKUP($A360,Output_Mac!$A:$A,Output_Mac!E:E,""),
_xlpm.MyAuditVal,_xlfn.XLOOKUP($A360,My_Audit!$A:$A,My_Audit!E:E,""),
_xlfn.IFS(_xlpm.MyAuditVal&lt;&gt;"",_xlpm.MyAuditVal,_xlpm.MacVal&lt;&gt;"",_xlpm.MacVal,_xlpm.CSVVal&lt;&gt;"",_xlpm.CSVVal
)),"")</f>
        <v/>
      </c>
      <c r="G360" s="2" t="str" cm="1">
        <f t="array" ref="G360">IFERROR(_xlfn.LET(
_xlpm.CSVVal,_xlfn.XLOOKUP($A360,CSV!$A:$A,CSV!G:G,""),
_xlpm.MacVal,_xlfn.XLOOKUP($A360,Output_Mac!$A:$A,Output_Mac!F:F,""),
_xlpm.MyAuditVal,_xlfn.XLOOKUP($A360,My_Audit!$A:$A,My_Audit!F:F,""),
_xlfn.IFS(_xlpm.MyAuditVal&lt;&gt;"",_xlpm.MyAuditVal,_xlpm.MacVal&lt;&gt;"",_xlpm.MacVal,_xlpm.CSVVal&lt;&gt;"",PROPER(_xlpm.CSVVal)
)),"")</f>
        <v/>
      </c>
      <c r="H360" s="2" t="str" cm="1">
        <f t="array" ref="H360">IFERROR(_xlfn.LET(
_xlpm.CSVVal,_xlfn.XLOOKUP($A360,CSV!$A:$A,CSV!H:H,""),
_xlpm.MacVal,_xlfn.XLOOKUP($A360,Output_Mac!$A:$A,Output_Mac!H:H,""),
_xlpm.MyAuditVal,_xlfn.XLOOKUP($A360,My_Audit!$A:$A,My_Audit!G:G,""),
_xlfn.IFS(_xlpm.MyAuditVal&lt;&gt;"",_xlpm.MyAuditVal,_xlpm.MacVal&lt;&gt;"",_xlpm.MacVal,_xlpm.CSVVal&lt;&gt;"",_xlpm.CSVVal
)),"")</f>
        <v/>
      </c>
      <c r="I360" s="2" t="str">
        <f>_xlfn.XLOOKUP(A360,Output_Mac!A:A,Output_Mac!I:I,"")</f>
        <v/>
      </c>
      <c r="J360" s="2" t="str" cm="1">
        <f t="array" ref="J360">IFERROR(_xlfn.LET(
_xlpm.CSVVal,_xlfn.XLOOKUP($A360,CSV!$A:$A,CSV!I:I,""),
_xlpm.MacVal,_xlfn.XLOOKUP($A360,Output_Mac!$A:$A,Output_Mac!J:J,""),
_xlpm.MyAuditVal,_xlfn.XLOOKUP($A360,My_Audit!$A:$A,My_Audit!I:I,""),
_xlfn.IFS(_xlpm.MyAuditVal&lt;&gt;"",UPPER(_xlpm.MyAuditVal),_xlpm.MacVal&lt;&gt;"",_xlpm.MacVal,_xlpm.CSVVal&lt;&gt;"",_xlpm.CSVVal
)),"")</f>
        <v/>
      </c>
      <c r="K360" s="2" t="str" cm="1">
        <f t="array" ref="K360">IFERROR(_xlfn.LET(
_xlpm.CSVVal,_xlfn.XLOOKUP($A360,CSV!$A:$A,CSV!K:K,""),
_xlpm.MacVal,_xlfn.XLOOKUP($A360,Output_Mac!$A:$A,Output_Mac!K:K,""),
_xlpm.MyAuditVal,_xlfn.XLOOKUP($A360,My_Audit!$A:$A,My_Audit!J:J,""),
_xlfn.IFS(_xlpm.MyAuditVal&lt;&gt;"",UPPER(_xlpm.MyAuditVal),_xlpm.MacVal&lt;&gt;"",_xlpm.MacVal,_xlpm.CSVVal&lt;&gt;"",_xlpm.CSVVal
)),"")</f>
        <v/>
      </c>
      <c r="L360" s="2" t="str" cm="1">
        <f t="array" ref="L360">IFERROR(_xlfn.LET(
_xlpm.CSVVal,_xlfn.XLOOKUP($A360,CSV!$A:$A,CSV!P:P,""),
_xlpm.MacVal,_xlfn.XLOOKUP($A360,Output_Mac!$A:$A,Output_Mac!L:L,""),
_xlpm.MyAuditVal,_xlfn.XLOOKUP($A360,My_Audit!$A:$A,My_Audit!K:K,""),
_xlfn.IFS(_xlpm.MyAuditVal&lt;&gt;"",UPPER(_xlpm.MyAuditVal),_xlpm.MacVal&lt;&gt;"",_xlpm.MacVal,_xlpm.CSVVal&lt;&gt;"",_xlpm.CSVVal
)),"")</f>
        <v/>
      </c>
      <c r="M360" s="2" t="str" cm="1">
        <f t="array" ref="M360">IFERROR(_xlfn.LET(
_xlpm.CSVVal,_xlfn.XLOOKUP($A360,CSV!$A:$A,CSV!Q:Q,""),
_xlpm.MacVal,_xlfn.XLOOKUP($A360,Output_Mac!$A:$A,Output_Mac!M:M,""),
_xlpm.MyAuditVal,_xlfn.XLOOKUP($A360,My_Audit!$A:$A,My_Audit!L:L,""),
_xlfn.IFS(_xlpm.MyAuditVal&lt;&gt;"",UPPER(_xlpm.MyAuditVal),_xlpm.MacVal&lt;&gt;"",_xlpm.MacVal,_xlpm.CSVVal&lt;&gt;"",_xlpm.CSVVal
)),"")</f>
        <v/>
      </c>
      <c r="O360" s="2" t="str">
        <f>_xlfn.LET(
    _xlpm.CSVVal, _xlfn.XLOOKUP($A360, CSV!$A:$A, CSV!AF:AF, ""),
    _xlpm.MacVal, _xlfn.XLOOKUP($A360, Output_Mac!$A:$A, Output_Mac!S:S, ""),
    _xlpm.MyAuditVal, _xlfn.XLOOKUP($A360, My_Audit!$A:$A, My_Audit!P:P, ""),
    _xlfn.TEXTJOIN(", ", TRUE, _xlpm.MyAuditVal, _xlpm.MacVal, _xlpm.CSVVal)
)</f>
        <v/>
      </c>
      <c r="P360" s="2" t="str" cm="1">
        <f t="array" ref="P360">IFERROR(_xlfn.LET(
_xlpm.CSVVal,_xlfn.XLOOKUP($A360,CSV!$A:$A,CSV!AG:AG,""),
_xlpm.MacVal,_xlfn.XLOOKUP($A360,Output_Mac!$A:$A,Output_Mac!T:T,""),
_xlpm.MyAuditVal,_xlfn.XLOOKUP($A360,My_Audit!$A:$A,My_Audit!Q:Q,""),
_xlfn.IFS(_xlpm.MyAuditVal&lt;&gt;"",UPPER(_xlpm.MyAuditVal),_xlpm.MacVal&lt;&gt;"",_xlpm.MacVal,_xlpm.CSVVal&lt;&gt;"",_xlpm.CSVVal
)),"No")</f>
        <v>No</v>
      </c>
      <c r="Q360" s="2" t="str" cm="1">
        <f t="array" ref="Q360">IFERROR(_xlfn.LET(
_xlpm.CSVVal,_xlfn.XLOOKUP($A360,CSV!$A:$A,CSV!AH:AH,""),
_xlpm.MacVal,_xlfn.XLOOKUP($A360,Output_Mac!$A:$A,Output_Mac!U:U,""),
_xlpm.MyAuditVal,_xlfn.XLOOKUP($A360,My_Audit!$A:$A,My_Audit!R:R,""),
_xlfn.IFS(_xlpm.MyAuditVal&lt;&gt;"",UPPER(_xlpm.MyAuditVal),_xlpm.MacVal&lt;&gt;"",_xlpm.MacVal,_xlpm.CSVVal&lt;&gt;"",_xlpm.CSVVal
)),"")</f>
        <v/>
      </c>
    </row>
    <row r="361" spans="1:17">
      <c r="A361" s="2" t="str">
        <f>_xlfn.TEXTJOIN("",TRUE,Input!$B$2,ROW(My_Audit!A360))</f>
        <v>XX360</v>
      </c>
      <c r="B361" s="2" t="str">
        <f>_xlfn.TEXTJOIN("-",TRUE,"ITD",Input!$A$2,A361)</f>
        <v>ITD-SHRXXX-XX360</v>
      </c>
      <c r="C361" s="2" t="str" cm="1">
        <f t="array" ref="C361">IFERROR(_xlfn.LET(
_xlpm.CSVVal,_xlfn.XLOOKUP($A361,CSV!$A:$A,CSV!B:B,""),
_xlpm.MacVal,_xlfn.XLOOKUP($A361,Output_Mac!$A:$A,Output_Mac!B:B,""),
_xlpm.MyAuditVal,_xlfn.XLOOKUP($A361,My_Audit!$A:$A,My_Audit!B:B,""),
_xlfn.IFS(_xlpm.MyAuditVal&lt;&gt;"",UPPER(_xlpm.MyAuditVal),_xlpm.MacVal&lt;&gt;"",_xlpm.MacVal,_xlpm.CSVVal&lt;&gt;"",_xlpm.CSVVal
)),"")</f>
        <v/>
      </c>
      <c r="D361" s="2" t="str" cm="1">
        <f t="array" ref="D361">IFERROR(_xlfn.LET(
_xlpm.CSVVal,_xlfn.XLOOKUP($A361,CSV!$A:$A,CSV!D:D,""),
_xlpm.MacVal,_xlfn.XLOOKUP($A361,Output_Mac!$A:$A,Output_Mac!C:C,""),
_xlpm.MyAuditVal,_xlfn.XLOOKUP($A361,My_Audit!$A:$A,My_Audit!C:C,""),
_xlfn.IFS(_xlpm.MyAuditVal&lt;&gt;"",_xlpm.MyAuditVal,_xlpm.MacVal&lt;&gt;"",_xlpm.MacVal,_xlpm.CSVVal&lt;&gt;"",_xlpm.CSVVal
)),"")</f>
        <v/>
      </c>
      <c r="E361" s="2" t="str">
        <f>_xlfn.XLOOKUP(A361,My_Audit!A:A,My_Audit!D:D,"")&amp;""</f>
        <v/>
      </c>
      <c r="F361" s="2" t="str" cm="1">
        <f t="array" ref="F361">IFERROR(_xlfn.LET(
_xlpm.CSVVal,_xlfn.XLOOKUP($A361,CSV!$A:$A,CSV!F:F,""),
_xlpm.MacVal,_xlfn.XLOOKUP($A361,Output_Mac!$A:$A,Output_Mac!E:E,""),
_xlpm.MyAuditVal,_xlfn.XLOOKUP($A361,My_Audit!$A:$A,My_Audit!E:E,""),
_xlfn.IFS(_xlpm.MyAuditVal&lt;&gt;"",_xlpm.MyAuditVal,_xlpm.MacVal&lt;&gt;"",_xlpm.MacVal,_xlpm.CSVVal&lt;&gt;"",_xlpm.CSVVal
)),"")</f>
        <v/>
      </c>
      <c r="G361" s="2" t="str" cm="1">
        <f t="array" ref="G361">IFERROR(_xlfn.LET(
_xlpm.CSVVal,_xlfn.XLOOKUP($A361,CSV!$A:$A,CSV!G:G,""),
_xlpm.MacVal,_xlfn.XLOOKUP($A361,Output_Mac!$A:$A,Output_Mac!F:F,""),
_xlpm.MyAuditVal,_xlfn.XLOOKUP($A361,My_Audit!$A:$A,My_Audit!F:F,""),
_xlfn.IFS(_xlpm.MyAuditVal&lt;&gt;"",_xlpm.MyAuditVal,_xlpm.MacVal&lt;&gt;"",_xlpm.MacVal,_xlpm.CSVVal&lt;&gt;"",PROPER(_xlpm.CSVVal)
)),"")</f>
        <v/>
      </c>
      <c r="H361" s="2" t="str" cm="1">
        <f t="array" ref="H361">IFERROR(_xlfn.LET(
_xlpm.CSVVal,_xlfn.XLOOKUP($A361,CSV!$A:$A,CSV!H:H,""),
_xlpm.MacVal,_xlfn.XLOOKUP($A361,Output_Mac!$A:$A,Output_Mac!H:H,""),
_xlpm.MyAuditVal,_xlfn.XLOOKUP($A361,My_Audit!$A:$A,My_Audit!G:G,""),
_xlfn.IFS(_xlpm.MyAuditVal&lt;&gt;"",_xlpm.MyAuditVal,_xlpm.MacVal&lt;&gt;"",_xlpm.MacVal,_xlpm.CSVVal&lt;&gt;"",_xlpm.CSVVal
)),"")</f>
        <v/>
      </c>
      <c r="I361" s="2" t="str">
        <f>_xlfn.XLOOKUP(A361,Output_Mac!A:A,Output_Mac!I:I,"")</f>
        <v/>
      </c>
      <c r="J361" s="2" t="str" cm="1">
        <f t="array" ref="J361">IFERROR(_xlfn.LET(
_xlpm.CSVVal,_xlfn.XLOOKUP($A361,CSV!$A:$A,CSV!I:I,""),
_xlpm.MacVal,_xlfn.XLOOKUP($A361,Output_Mac!$A:$A,Output_Mac!J:J,""),
_xlpm.MyAuditVal,_xlfn.XLOOKUP($A361,My_Audit!$A:$A,My_Audit!I:I,""),
_xlfn.IFS(_xlpm.MyAuditVal&lt;&gt;"",UPPER(_xlpm.MyAuditVal),_xlpm.MacVal&lt;&gt;"",_xlpm.MacVal,_xlpm.CSVVal&lt;&gt;"",_xlpm.CSVVal
)),"")</f>
        <v/>
      </c>
      <c r="K361" s="2" t="str" cm="1">
        <f t="array" ref="K361">IFERROR(_xlfn.LET(
_xlpm.CSVVal,_xlfn.XLOOKUP($A361,CSV!$A:$A,CSV!K:K,""),
_xlpm.MacVal,_xlfn.XLOOKUP($A361,Output_Mac!$A:$A,Output_Mac!K:K,""),
_xlpm.MyAuditVal,_xlfn.XLOOKUP($A361,My_Audit!$A:$A,My_Audit!J:J,""),
_xlfn.IFS(_xlpm.MyAuditVal&lt;&gt;"",UPPER(_xlpm.MyAuditVal),_xlpm.MacVal&lt;&gt;"",_xlpm.MacVal,_xlpm.CSVVal&lt;&gt;"",_xlpm.CSVVal
)),"")</f>
        <v/>
      </c>
      <c r="L361" s="2" t="str" cm="1">
        <f t="array" ref="L361">IFERROR(_xlfn.LET(
_xlpm.CSVVal,_xlfn.XLOOKUP($A361,CSV!$A:$A,CSV!P:P,""),
_xlpm.MacVal,_xlfn.XLOOKUP($A361,Output_Mac!$A:$A,Output_Mac!L:L,""),
_xlpm.MyAuditVal,_xlfn.XLOOKUP($A361,My_Audit!$A:$A,My_Audit!K:K,""),
_xlfn.IFS(_xlpm.MyAuditVal&lt;&gt;"",UPPER(_xlpm.MyAuditVal),_xlpm.MacVal&lt;&gt;"",_xlpm.MacVal,_xlpm.CSVVal&lt;&gt;"",_xlpm.CSVVal
)),"")</f>
        <v/>
      </c>
      <c r="M361" s="2" t="str" cm="1">
        <f t="array" ref="M361">IFERROR(_xlfn.LET(
_xlpm.CSVVal,_xlfn.XLOOKUP($A361,CSV!$A:$A,CSV!Q:Q,""),
_xlpm.MacVal,_xlfn.XLOOKUP($A361,Output_Mac!$A:$A,Output_Mac!M:M,""),
_xlpm.MyAuditVal,_xlfn.XLOOKUP($A361,My_Audit!$A:$A,My_Audit!L:L,""),
_xlfn.IFS(_xlpm.MyAuditVal&lt;&gt;"",UPPER(_xlpm.MyAuditVal),_xlpm.MacVal&lt;&gt;"",_xlpm.MacVal,_xlpm.CSVVal&lt;&gt;"",_xlpm.CSVVal
)),"")</f>
        <v/>
      </c>
      <c r="O361" s="2" t="str">
        <f>_xlfn.LET(
    _xlpm.CSVVal, _xlfn.XLOOKUP($A361, CSV!$A:$A, CSV!AF:AF, ""),
    _xlpm.MacVal, _xlfn.XLOOKUP($A361, Output_Mac!$A:$A, Output_Mac!S:S, ""),
    _xlpm.MyAuditVal, _xlfn.XLOOKUP($A361, My_Audit!$A:$A, My_Audit!P:P, ""),
    _xlfn.TEXTJOIN(", ", TRUE, _xlpm.MyAuditVal, _xlpm.MacVal, _xlpm.CSVVal)
)</f>
        <v/>
      </c>
      <c r="P361" s="2" t="str" cm="1">
        <f t="array" ref="P361">IFERROR(_xlfn.LET(
_xlpm.CSVVal,_xlfn.XLOOKUP($A361,CSV!$A:$A,CSV!AG:AG,""),
_xlpm.MacVal,_xlfn.XLOOKUP($A361,Output_Mac!$A:$A,Output_Mac!T:T,""),
_xlpm.MyAuditVal,_xlfn.XLOOKUP($A361,My_Audit!$A:$A,My_Audit!Q:Q,""),
_xlfn.IFS(_xlpm.MyAuditVal&lt;&gt;"",UPPER(_xlpm.MyAuditVal),_xlpm.MacVal&lt;&gt;"",_xlpm.MacVal,_xlpm.CSVVal&lt;&gt;"",_xlpm.CSVVal
)),"No")</f>
        <v>No</v>
      </c>
      <c r="Q361" s="2" t="str" cm="1">
        <f t="array" ref="Q361">IFERROR(_xlfn.LET(
_xlpm.CSVVal,_xlfn.XLOOKUP($A361,CSV!$A:$A,CSV!AH:AH,""),
_xlpm.MacVal,_xlfn.XLOOKUP($A361,Output_Mac!$A:$A,Output_Mac!U:U,""),
_xlpm.MyAuditVal,_xlfn.XLOOKUP($A361,My_Audit!$A:$A,My_Audit!R:R,""),
_xlfn.IFS(_xlpm.MyAuditVal&lt;&gt;"",UPPER(_xlpm.MyAuditVal),_xlpm.MacVal&lt;&gt;"",_xlpm.MacVal,_xlpm.CSVVal&lt;&gt;"",_xlpm.CSVVal
)),"")</f>
        <v/>
      </c>
    </row>
    <row r="362" spans="1:17">
      <c r="A362" s="2" t="str">
        <f>_xlfn.TEXTJOIN("",TRUE,Input!$B$2,ROW(My_Audit!A361))</f>
        <v>XX361</v>
      </c>
      <c r="B362" s="2" t="str">
        <f>_xlfn.TEXTJOIN("-",TRUE,"ITD",Input!$A$2,A362)</f>
        <v>ITD-SHRXXX-XX361</v>
      </c>
      <c r="C362" s="2" t="str" cm="1">
        <f t="array" ref="C362">IFERROR(_xlfn.LET(
_xlpm.CSVVal,_xlfn.XLOOKUP($A362,CSV!$A:$A,CSV!B:B,""),
_xlpm.MacVal,_xlfn.XLOOKUP($A362,Output_Mac!$A:$A,Output_Mac!B:B,""),
_xlpm.MyAuditVal,_xlfn.XLOOKUP($A362,My_Audit!$A:$A,My_Audit!B:B,""),
_xlfn.IFS(_xlpm.MyAuditVal&lt;&gt;"",UPPER(_xlpm.MyAuditVal),_xlpm.MacVal&lt;&gt;"",_xlpm.MacVal,_xlpm.CSVVal&lt;&gt;"",_xlpm.CSVVal
)),"")</f>
        <v/>
      </c>
      <c r="D362" s="2" t="str" cm="1">
        <f t="array" ref="D362">IFERROR(_xlfn.LET(
_xlpm.CSVVal,_xlfn.XLOOKUP($A362,CSV!$A:$A,CSV!D:D,""),
_xlpm.MacVal,_xlfn.XLOOKUP($A362,Output_Mac!$A:$A,Output_Mac!C:C,""),
_xlpm.MyAuditVal,_xlfn.XLOOKUP($A362,My_Audit!$A:$A,My_Audit!C:C,""),
_xlfn.IFS(_xlpm.MyAuditVal&lt;&gt;"",_xlpm.MyAuditVal,_xlpm.MacVal&lt;&gt;"",_xlpm.MacVal,_xlpm.CSVVal&lt;&gt;"",_xlpm.CSVVal
)),"")</f>
        <v/>
      </c>
      <c r="E362" s="2" t="str">
        <f>_xlfn.XLOOKUP(A362,My_Audit!A:A,My_Audit!D:D,"")&amp;""</f>
        <v/>
      </c>
      <c r="F362" s="2" t="str" cm="1">
        <f t="array" ref="F362">IFERROR(_xlfn.LET(
_xlpm.CSVVal,_xlfn.XLOOKUP($A362,CSV!$A:$A,CSV!F:F,""),
_xlpm.MacVal,_xlfn.XLOOKUP($A362,Output_Mac!$A:$A,Output_Mac!E:E,""),
_xlpm.MyAuditVal,_xlfn.XLOOKUP($A362,My_Audit!$A:$A,My_Audit!E:E,""),
_xlfn.IFS(_xlpm.MyAuditVal&lt;&gt;"",_xlpm.MyAuditVal,_xlpm.MacVal&lt;&gt;"",_xlpm.MacVal,_xlpm.CSVVal&lt;&gt;"",_xlpm.CSVVal
)),"")</f>
        <v/>
      </c>
      <c r="G362" s="2" t="str" cm="1">
        <f t="array" ref="G362">IFERROR(_xlfn.LET(
_xlpm.CSVVal,_xlfn.XLOOKUP($A362,CSV!$A:$A,CSV!G:G,""),
_xlpm.MacVal,_xlfn.XLOOKUP($A362,Output_Mac!$A:$A,Output_Mac!F:F,""),
_xlpm.MyAuditVal,_xlfn.XLOOKUP($A362,My_Audit!$A:$A,My_Audit!F:F,""),
_xlfn.IFS(_xlpm.MyAuditVal&lt;&gt;"",_xlpm.MyAuditVal,_xlpm.MacVal&lt;&gt;"",_xlpm.MacVal,_xlpm.CSVVal&lt;&gt;"",PROPER(_xlpm.CSVVal)
)),"")</f>
        <v/>
      </c>
      <c r="H362" s="2" t="str" cm="1">
        <f t="array" ref="H362">IFERROR(_xlfn.LET(
_xlpm.CSVVal,_xlfn.XLOOKUP($A362,CSV!$A:$A,CSV!H:H,""),
_xlpm.MacVal,_xlfn.XLOOKUP($A362,Output_Mac!$A:$A,Output_Mac!H:H,""),
_xlpm.MyAuditVal,_xlfn.XLOOKUP($A362,My_Audit!$A:$A,My_Audit!G:G,""),
_xlfn.IFS(_xlpm.MyAuditVal&lt;&gt;"",_xlpm.MyAuditVal,_xlpm.MacVal&lt;&gt;"",_xlpm.MacVal,_xlpm.CSVVal&lt;&gt;"",_xlpm.CSVVal
)),"")</f>
        <v/>
      </c>
      <c r="I362" s="2" t="str">
        <f>_xlfn.XLOOKUP(A362,Output_Mac!A:A,Output_Mac!I:I,"")</f>
        <v/>
      </c>
      <c r="J362" s="2" t="str" cm="1">
        <f t="array" ref="J362">IFERROR(_xlfn.LET(
_xlpm.CSVVal,_xlfn.XLOOKUP($A362,CSV!$A:$A,CSV!I:I,""),
_xlpm.MacVal,_xlfn.XLOOKUP($A362,Output_Mac!$A:$A,Output_Mac!J:J,""),
_xlpm.MyAuditVal,_xlfn.XLOOKUP($A362,My_Audit!$A:$A,My_Audit!I:I,""),
_xlfn.IFS(_xlpm.MyAuditVal&lt;&gt;"",UPPER(_xlpm.MyAuditVal),_xlpm.MacVal&lt;&gt;"",_xlpm.MacVal,_xlpm.CSVVal&lt;&gt;"",_xlpm.CSVVal
)),"")</f>
        <v/>
      </c>
      <c r="K362" s="2" t="str" cm="1">
        <f t="array" ref="K362">IFERROR(_xlfn.LET(
_xlpm.CSVVal,_xlfn.XLOOKUP($A362,CSV!$A:$A,CSV!K:K,""),
_xlpm.MacVal,_xlfn.XLOOKUP($A362,Output_Mac!$A:$A,Output_Mac!K:K,""),
_xlpm.MyAuditVal,_xlfn.XLOOKUP($A362,My_Audit!$A:$A,My_Audit!J:J,""),
_xlfn.IFS(_xlpm.MyAuditVal&lt;&gt;"",UPPER(_xlpm.MyAuditVal),_xlpm.MacVal&lt;&gt;"",_xlpm.MacVal,_xlpm.CSVVal&lt;&gt;"",_xlpm.CSVVal
)),"")</f>
        <v/>
      </c>
      <c r="L362" s="2" t="str" cm="1">
        <f t="array" ref="L362">IFERROR(_xlfn.LET(
_xlpm.CSVVal,_xlfn.XLOOKUP($A362,CSV!$A:$A,CSV!P:P,""),
_xlpm.MacVal,_xlfn.XLOOKUP($A362,Output_Mac!$A:$A,Output_Mac!L:L,""),
_xlpm.MyAuditVal,_xlfn.XLOOKUP($A362,My_Audit!$A:$A,My_Audit!K:K,""),
_xlfn.IFS(_xlpm.MyAuditVal&lt;&gt;"",UPPER(_xlpm.MyAuditVal),_xlpm.MacVal&lt;&gt;"",_xlpm.MacVal,_xlpm.CSVVal&lt;&gt;"",_xlpm.CSVVal
)),"")</f>
        <v/>
      </c>
      <c r="M362" s="2" t="str" cm="1">
        <f t="array" ref="M362">IFERROR(_xlfn.LET(
_xlpm.CSVVal,_xlfn.XLOOKUP($A362,CSV!$A:$A,CSV!Q:Q,""),
_xlpm.MacVal,_xlfn.XLOOKUP($A362,Output_Mac!$A:$A,Output_Mac!M:M,""),
_xlpm.MyAuditVal,_xlfn.XLOOKUP($A362,My_Audit!$A:$A,My_Audit!L:L,""),
_xlfn.IFS(_xlpm.MyAuditVal&lt;&gt;"",UPPER(_xlpm.MyAuditVal),_xlpm.MacVal&lt;&gt;"",_xlpm.MacVal,_xlpm.CSVVal&lt;&gt;"",_xlpm.CSVVal
)),"")</f>
        <v/>
      </c>
      <c r="O362" s="2" t="str">
        <f>_xlfn.LET(
    _xlpm.CSVVal, _xlfn.XLOOKUP($A362, CSV!$A:$A, CSV!AF:AF, ""),
    _xlpm.MacVal, _xlfn.XLOOKUP($A362, Output_Mac!$A:$A, Output_Mac!S:S, ""),
    _xlpm.MyAuditVal, _xlfn.XLOOKUP($A362, My_Audit!$A:$A, My_Audit!P:P, ""),
    _xlfn.TEXTJOIN(", ", TRUE, _xlpm.MyAuditVal, _xlpm.MacVal, _xlpm.CSVVal)
)</f>
        <v/>
      </c>
      <c r="P362" s="2" t="str" cm="1">
        <f t="array" ref="P362">IFERROR(_xlfn.LET(
_xlpm.CSVVal,_xlfn.XLOOKUP($A362,CSV!$A:$A,CSV!AG:AG,""),
_xlpm.MacVal,_xlfn.XLOOKUP($A362,Output_Mac!$A:$A,Output_Mac!T:T,""),
_xlpm.MyAuditVal,_xlfn.XLOOKUP($A362,My_Audit!$A:$A,My_Audit!Q:Q,""),
_xlfn.IFS(_xlpm.MyAuditVal&lt;&gt;"",UPPER(_xlpm.MyAuditVal),_xlpm.MacVal&lt;&gt;"",_xlpm.MacVal,_xlpm.CSVVal&lt;&gt;"",_xlpm.CSVVal
)),"No")</f>
        <v>No</v>
      </c>
      <c r="Q362" s="2" t="str" cm="1">
        <f t="array" ref="Q362">IFERROR(_xlfn.LET(
_xlpm.CSVVal,_xlfn.XLOOKUP($A362,CSV!$A:$A,CSV!AH:AH,""),
_xlpm.MacVal,_xlfn.XLOOKUP($A362,Output_Mac!$A:$A,Output_Mac!U:U,""),
_xlpm.MyAuditVal,_xlfn.XLOOKUP($A362,My_Audit!$A:$A,My_Audit!R:R,""),
_xlfn.IFS(_xlpm.MyAuditVal&lt;&gt;"",UPPER(_xlpm.MyAuditVal),_xlpm.MacVal&lt;&gt;"",_xlpm.MacVal,_xlpm.CSVVal&lt;&gt;"",_xlpm.CSVVal
)),"")</f>
        <v/>
      </c>
    </row>
    <row r="363" spans="1:17">
      <c r="A363" s="2" t="str">
        <f>_xlfn.TEXTJOIN("",TRUE,Input!$B$2,ROW(My_Audit!A362))</f>
        <v>XX362</v>
      </c>
      <c r="B363" s="2" t="str">
        <f>_xlfn.TEXTJOIN("-",TRUE,"ITD",Input!$A$2,A363)</f>
        <v>ITD-SHRXXX-XX362</v>
      </c>
      <c r="C363" s="2" t="str" cm="1">
        <f t="array" ref="C363">IFERROR(_xlfn.LET(
_xlpm.CSVVal,_xlfn.XLOOKUP($A363,CSV!$A:$A,CSV!B:B,""),
_xlpm.MacVal,_xlfn.XLOOKUP($A363,Output_Mac!$A:$A,Output_Mac!B:B,""),
_xlpm.MyAuditVal,_xlfn.XLOOKUP($A363,My_Audit!$A:$A,My_Audit!B:B,""),
_xlfn.IFS(_xlpm.MyAuditVal&lt;&gt;"",UPPER(_xlpm.MyAuditVal),_xlpm.MacVal&lt;&gt;"",_xlpm.MacVal,_xlpm.CSVVal&lt;&gt;"",_xlpm.CSVVal
)),"")</f>
        <v/>
      </c>
      <c r="D363" s="2" t="str" cm="1">
        <f t="array" ref="D363">IFERROR(_xlfn.LET(
_xlpm.CSVVal,_xlfn.XLOOKUP($A363,CSV!$A:$A,CSV!D:D,""),
_xlpm.MacVal,_xlfn.XLOOKUP($A363,Output_Mac!$A:$A,Output_Mac!C:C,""),
_xlpm.MyAuditVal,_xlfn.XLOOKUP($A363,My_Audit!$A:$A,My_Audit!C:C,""),
_xlfn.IFS(_xlpm.MyAuditVal&lt;&gt;"",_xlpm.MyAuditVal,_xlpm.MacVal&lt;&gt;"",_xlpm.MacVal,_xlpm.CSVVal&lt;&gt;"",_xlpm.CSVVal
)),"")</f>
        <v/>
      </c>
      <c r="E363" s="2" t="str">
        <f>_xlfn.XLOOKUP(A363,My_Audit!A:A,My_Audit!D:D,"")&amp;""</f>
        <v/>
      </c>
      <c r="F363" s="2" t="str" cm="1">
        <f t="array" ref="F363">IFERROR(_xlfn.LET(
_xlpm.CSVVal,_xlfn.XLOOKUP($A363,CSV!$A:$A,CSV!F:F,""),
_xlpm.MacVal,_xlfn.XLOOKUP($A363,Output_Mac!$A:$A,Output_Mac!E:E,""),
_xlpm.MyAuditVal,_xlfn.XLOOKUP($A363,My_Audit!$A:$A,My_Audit!E:E,""),
_xlfn.IFS(_xlpm.MyAuditVal&lt;&gt;"",_xlpm.MyAuditVal,_xlpm.MacVal&lt;&gt;"",_xlpm.MacVal,_xlpm.CSVVal&lt;&gt;"",_xlpm.CSVVal
)),"")</f>
        <v/>
      </c>
      <c r="G363" s="2" t="str" cm="1">
        <f t="array" ref="G363">IFERROR(_xlfn.LET(
_xlpm.CSVVal,_xlfn.XLOOKUP($A363,CSV!$A:$A,CSV!G:G,""),
_xlpm.MacVal,_xlfn.XLOOKUP($A363,Output_Mac!$A:$A,Output_Mac!F:F,""),
_xlpm.MyAuditVal,_xlfn.XLOOKUP($A363,My_Audit!$A:$A,My_Audit!F:F,""),
_xlfn.IFS(_xlpm.MyAuditVal&lt;&gt;"",_xlpm.MyAuditVal,_xlpm.MacVal&lt;&gt;"",_xlpm.MacVal,_xlpm.CSVVal&lt;&gt;"",PROPER(_xlpm.CSVVal)
)),"")</f>
        <v/>
      </c>
      <c r="H363" s="2" t="str" cm="1">
        <f t="array" ref="H363">IFERROR(_xlfn.LET(
_xlpm.CSVVal,_xlfn.XLOOKUP($A363,CSV!$A:$A,CSV!H:H,""),
_xlpm.MacVal,_xlfn.XLOOKUP($A363,Output_Mac!$A:$A,Output_Mac!H:H,""),
_xlpm.MyAuditVal,_xlfn.XLOOKUP($A363,My_Audit!$A:$A,My_Audit!G:G,""),
_xlfn.IFS(_xlpm.MyAuditVal&lt;&gt;"",_xlpm.MyAuditVal,_xlpm.MacVal&lt;&gt;"",_xlpm.MacVal,_xlpm.CSVVal&lt;&gt;"",_xlpm.CSVVal
)),"")</f>
        <v/>
      </c>
      <c r="I363" s="2" t="str">
        <f>_xlfn.XLOOKUP(A363,Output_Mac!A:A,Output_Mac!I:I,"")</f>
        <v/>
      </c>
      <c r="J363" s="2" t="str" cm="1">
        <f t="array" ref="J363">IFERROR(_xlfn.LET(
_xlpm.CSVVal,_xlfn.XLOOKUP($A363,CSV!$A:$A,CSV!I:I,""),
_xlpm.MacVal,_xlfn.XLOOKUP($A363,Output_Mac!$A:$A,Output_Mac!J:J,""),
_xlpm.MyAuditVal,_xlfn.XLOOKUP($A363,My_Audit!$A:$A,My_Audit!I:I,""),
_xlfn.IFS(_xlpm.MyAuditVal&lt;&gt;"",UPPER(_xlpm.MyAuditVal),_xlpm.MacVal&lt;&gt;"",_xlpm.MacVal,_xlpm.CSVVal&lt;&gt;"",_xlpm.CSVVal
)),"")</f>
        <v/>
      </c>
      <c r="K363" s="2" t="str" cm="1">
        <f t="array" ref="K363">IFERROR(_xlfn.LET(
_xlpm.CSVVal,_xlfn.XLOOKUP($A363,CSV!$A:$A,CSV!K:K,""),
_xlpm.MacVal,_xlfn.XLOOKUP($A363,Output_Mac!$A:$A,Output_Mac!K:K,""),
_xlpm.MyAuditVal,_xlfn.XLOOKUP($A363,My_Audit!$A:$A,My_Audit!J:J,""),
_xlfn.IFS(_xlpm.MyAuditVal&lt;&gt;"",UPPER(_xlpm.MyAuditVal),_xlpm.MacVal&lt;&gt;"",_xlpm.MacVal,_xlpm.CSVVal&lt;&gt;"",_xlpm.CSVVal
)),"")</f>
        <v/>
      </c>
      <c r="L363" s="2" t="str" cm="1">
        <f t="array" ref="L363">IFERROR(_xlfn.LET(
_xlpm.CSVVal,_xlfn.XLOOKUP($A363,CSV!$A:$A,CSV!P:P,""),
_xlpm.MacVal,_xlfn.XLOOKUP($A363,Output_Mac!$A:$A,Output_Mac!L:L,""),
_xlpm.MyAuditVal,_xlfn.XLOOKUP($A363,My_Audit!$A:$A,My_Audit!K:K,""),
_xlfn.IFS(_xlpm.MyAuditVal&lt;&gt;"",UPPER(_xlpm.MyAuditVal),_xlpm.MacVal&lt;&gt;"",_xlpm.MacVal,_xlpm.CSVVal&lt;&gt;"",_xlpm.CSVVal
)),"")</f>
        <v/>
      </c>
      <c r="M363" s="2" t="str" cm="1">
        <f t="array" ref="M363">IFERROR(_xlfn.LET(
_xlpm.CSVVal,_xlfn.XLOOKUP($A363,CSV!$A:$A,CSV!Q:Q,""),
_xlpm.MacVal,_xlfn.XLOOKUP($A363,Output_Mac!$A:$A,Output_Mac!M:M,""),
_xlpm.MyAuditVal,_xlfn.XLOOKUP($A363,My_Audit!$A:$A,My_Audit!L:L,""),
_xlfn.IFS(_xlpm.MyAuditVal&lt;&gt;"",UPPER(_xlpm.MyAuditVal),_xlpm.MacVal&lt;&gt;"",_xlpm.MacVal,_xlpm.CSVVal&lt;&gt;"",_xlpm.CSVVal
)),"")</f>
        <v/>
      </c>
      <c r="O363" s="2" t="str">
        <f>_xlfn.LET(
    _xlpm.CSVVal, _xlfn.XLOOKUP($A363, CSV!$A:$A, CSV!AF:AF, ""),
    _xlpm.MacVal, _xlfn.XLOOKUP($A363, Output_Mac!$A:$A, Output_Mac!S:S, ""),
    _xlpm.MyAuditVal, _xlfn.XLOOKUP($A363, My_Audit!$A:$A, My_Audit!P:P, ""),
    _xlfn.TEXTJOIN(", ", TRUE, _xlpm.MyAuditVal, _xlpm.MacVal, _xlpm.CSVVal)
)</f>
        <v/>
      </c>
      <c r="P363" s="2" t="str" cm="1">
        <f t="array" ref="P363">IFERROR(_xlfn.LET(
_xlpm.CSVVal,_xlfn.XLOOKUP($A363,CSV!$A:$A,CSV!AG:AG,""),
_xlpm.MacVal,_xlfn.XLOOKUP($A363,Output_Mac!$A:$A,Output_Mac!T:T,""),
_xlpm.MyAuditVal,_xlfn.XLOOKUP($A363,My_Audit!$A:$A,My_Audit!Q:Q,""),
_xlfn.IFS(_xlpm.MyAuditVal&lt;&gt;"",UPPER(_xlpm.MyAuditVal),_xlpm.MacVal&lt;&gt;"",_xlpm.MacVal,_xlpm.CSVVal&lt;&gt;"",_xlpm.CSVVal
)),"No")</f>
        <v>No</v>
      </c>
      <c r="Q363" s="2" t="str" cm="1">
        <f t="array" ref="Q363">IFERROR(_xlfn.LET(
_xlpm.CSVVal,_xlfn.XLOOKUP($A363,CSV!$A:$A,CSV!AH:AH,""),
_xlpm.MacVal,_xlfn.XLOOKUP($A363,Output_Mac!$A:$A,Output_Mac!U:U,""),
_xlpm.MyAuditVal,_xlfn.XLOOKUP($A363,My_Audit!$A:$A,My_Audit!R:R,""),
_xlfn.IFS(_xlpm.MyAuditVal&lt;&gt;"",UPPER(_xlpm.MyAuditVal),_xlpm.MacVal&lt;&gt;"",_xlpm.MacVal,_xlpm.CSVVal&lt;&gt;"",_xlpm.CSVVal
)),"")</f>
        <v/>
      </c>
    </row>
    <row r="364" spans="1:17">
      <c r="A364" s="2" t="str">
        <f>_xlfn.TEXTJOIN("",TRUE,Input!$B$2,ROW(My_Audit!A363))</f>
        <v>XX363</v>
      </c>
      <c r="B364" s="2" t="str">
        <f>_xlfn.TEXTJOIN("-",TRUE,"ITD",Input!$A$2,A364)</f>
        <v>ITD-SHRXXX-XX363</v>
      </c>
      <c r="C364" s="2" t="str" cm="1">
        <f t="array" ref="C364">IFERROR(_xlfn.LET(
_xlpm.CSVVal,_xlfn.XLOOKUP($A364,CSV!$A:$A,CSV!B:B,""),
_xlpm.MacVal,_xlfn.XLOOKUP($A364,Output_Mac!$A:$A,Output_Mac!B:B,""),
_xlpm.MyAuditVal,_xlfn.XLOOKUP($A364,My_Audit!$A:$A,My_Audit!B:B,""),
_xlfn.IFS(_xlpm.MyAuditVal&lt;&gt;"",UPPER(_xlpm.MyAuditVal),_xlpm.MacVal&lt;&gt;"",_xlpm.MacVal,_xlpm.CSVVal&lt;&gt;"",_xlpm.CSVVal
)),"")</f>
        <v/>
      </c>
      <c r="D364" s="2" t="str" cm="1">
        <f t="array" ref="D364">IFERROR(_xlfn.LET(
_xlpm.CSVVal,_xlfn.XLOOKUP($A364,CSV!$A:$A,CSV!D:D,""),
_xlpm.MacVal,_xlfn.XLOOKUP($A364,Output_Mac!$A:$A,Output_Mac!C:C,""),
_xlpm.MyAuditVal,_xlfn.XLOOKUP($A364,My_Audit!$A:$A,My_Audit!C:C,""),
_xlfn.IFS(_xlpm.MyAuditVal&lt;&gt;"",_xlpm.MyAuditVal,_xlpm.MacVal&lt;&gt;"",_xlpm.MacVal,_xlpm.CSVVal&lt;&gt;"",_xlpm.CSVVal
)),"")</f>
        <v/>
      </c>
      <c r="E364" s="2" t="str">
        <f>_xlfn.XLOOKUP(A364,My_Audit!A:A,My_Audit!D:D,"")&amp;""</f>
        <v/>
      </c>
      <c r="F364" s="2" t="str" cm="1">
        <f t="array" ref="F364">IFERROR(_xlfn.LET(
_xlpm.CSVVal,_xlfn.XLOOKUP($A364,CSV!$A:$A,CSV!F:F,""),
_xlpm.MacVal,_xlfn.XLOOKUP($A364,Output_Mac!$A:$A,Output_Mac!E:E,""),
_xlpm.MyAuditVal,_xlfn.XLOOKUP($A364,My_Audit!$A:$A,My_Audit!E:E,""),
_xlfn.IFS(_xlpm.MyAuditVal&lt;&gt;"",_xlpm.MyAuditVal,_xlpm.MacVal&lt;&gt;"",_xlpm.MacVal,_xlpm.CSVVal&lt;&gt;"",_xlpm.CSVVal
)),"")</f>
        <v/>
      </c>
      <c r="G364" s="2" t="str" cm="1">
        <f t="array" ref="G364">IFERROR(_xlfn.LET(
_xlpm.CSVVal,_xlfn.XLOOKUP($A364,CSV!$A:$A,CSV!G:G,""),
_xlpm.MacVal,_xlfn.XLOOKUP($A364,Output_Mac!$A:$A,Output_Mac!F:F,""),
_xlpm.MyAuditVal,_xlfn.XLOOKUP($A364,My_Audit!$A:$A,My_Audit!F:F,""),
_xlfn.IFS(_xlpm.MyAuditVal&lt;&gt;"",_xlpm.MyAuditVal,_xlpm.MacVal&lt;&gt;"",_xlpm.MacVal,_xlpm.CSVVal&lt;&gt;"",PROPER(_xlpm.CSVVal)
)),"")</f>
        <v/>
      </c>
      <c r="H364" s="2" t="str" cm="1">
        <f t="array" ref="H364">IFERROR(_xlfn.LET(
_xlpm.CSVVal,_xlfn.XLOOKUP($A364,CSV!$A:$A,CSV!H:H,""),
_xlpm.MacVal,_xlfn.XLOOKUP($A364,Output_Mac!$A:$A,Output_Mac!H:H,""),
_xlpm.MyAuditVal,_xlfn.XLOOKUP($A364,My_Audit!$A:$A,My_Audit!G:G,""),
_xlfn.IFS(_xlpm.MyAuditVal&lt;&gt;"",_xlpm.MyAuditVal,_xlpm.MacVal&lt;&gt;"",_xlpm.MacVal,_xlpm.CSVVal&lt;&gt;"",_xlpm.CSVVal
)),"")</f>
        <v/>
      </c>
      <c r="I364" s="2" t="str">
        <f>_xlfn.XLOOKUP(A364,Output_Mac!A:A,Output_Mac!I:I,"")</f>
        <v/>
      </c>
      <c r="J364" s="2" t="str" cm="1">
        <f t="array" ref="J364">IFERROR(_xlfn.LET(
_xlpm.CSVVal,_xlfn.XLOOKUP($A364,CSV!$A:$A,CSV!I:I,""),
_xlpm.MacVal,_xlfn.XLOOKUP($A364,Output_Mac!$A:$A,Output_Mac!J:J,""),
_xlpm.MyAuditVal,_xlfn.XLOOKUP($A364,My_Audit!$A:$A,My_Audit!I:I,""),
_xlfn.IFS(_xlpm.MyAuditVal&lt;&gt;"",UPPER(_xlpm.MyAuditVal),_xlpm.MacVal&lt;&gt;"",_xlpm.MacVal,_xlpm.CSVVal&lt;&gt;"",_xlpm.CSVVal
)),"")</f>
        <v/>
      </c>
      <c r="K364" s="2" t="str" cm="1">
        <f t="array" ref="K364">IFERROR(_xlfn.LET(
_xlpm.CSVVal,_xlfn.XLOOKUP($A364,CSV!$A:$A,CSV!K:K,""),
_xlpm.MacVal,_xlfn.XLOOKUP($A364,Output_Mac!$A:$A,Output_Mac!K:K,""),
_xlpm.MyAuditVal,_xlfn.XLOOKUP($A364,My_Audit!$A:$A,My_Audit!J:J,""),
_xlfn.IFS(_xlpm.MyAuditVal&lt;&gt;"",UPPER(_xlpm.MyAuditVal),_xlpm.MacVal&lt;&gt;"",_xlpm.MacVal,_xlpm.CSVVal&lt;&gt;"",_xlpm.CSVVal
)),"")</f>
        <v/>
      </c>
      <c r="L364" s="2" t="str" cm="1">
        <f t="array" ref="L364">IFERROR(_xlfn.LET(
_xlpm.CSVVal,_xlfn.XLOOKUP($A364,CSV!$A:$A,CSV!P:P,""),
_xlpm.MacVal,_xlfn.XLOOKUP($A364,Output_Mac!$A:$A,Output_Mac!L:L,""),
_xlpm.MyAuditVal,_xlfn.XLOOKUP($A364,My_Audit!$A:$A,My_Audit!K:K,""),
_xlfn.IFS(_xlpm.MyAuditVal&lt;&gt;"",UPPER(_xlpm.MyAuditVal),_xlpm.MacVal&lt;&gt;"",_xlpm.MacVal,_xlpm.CSVVal&lt;&gt;"",_xlpm.CSVVal
)),"")</f>
        <v/>
      </c>
      <c r="M364" s="2" t="str" cm="1">
        <f t="array" ref="M364">IFERROR(_xlfn.LET(
_xlpm.CSVVal,_xlfn.XLOOKUP($A364,CSV!$A:$A,CSV!Q:Q,""),
_xlpm.MacVal,_xlfn.XLOOKUP($A364,Output_Mac!$A:$A,Output_Mac!M:M,""),
_xlpm.MyAuditVal,_xlfn.XLOOKUP($A364,My_Audit!$A:$A,My_Audit!L:L,""),
_xlfn.IFS(_xlpm.MyAuditVal&lt;&gt;"",UPPER(_xlpm.MyAuditVal),_xlpm.MacVal&lt;&gt;"",_xlpm.MacVal,_xlpm.CSVVal&lt;&gt;"",_xlpm.CSVVal
)),"")</f>
        <v/>
      </c>
      <c r="O364" s="2" t="str">
        <f>_xlfn.LET(
    _xlpm.CSVVal, _xlfn.XLOOKUP($A364, CSV!$A:$A, CSV!AF:AF, ""),
    _xlpm.MacVal, _xlfn.XLOOKUP($A364, Output_Mac!$A:$A, Output_Mac!S:S, ""),
    _xlpm.MyAuditVal, _xlfn.XLOOKUP($A364, My_Audit!$A:$A, My_Audit!P:P, ""),
    _xlfn.TEXTJOIN(", ", TRUE, _xlpm.MyAuditVal, _xlpm.MacVal, _xlpm.CSVVal)
)</f>
        <v/>
      </c>
      <c r="P364" s="2" t="str" cm="1">
        <f t="array" ref="P364">IFERROR(_xlfn.LET(
_xlpm.CSVVal,_xlfn.XLOOKUP($A364,CSV!$A:$A,CSV!AG:AG,""),
_xlpm.MacVal,_xlfn.XLOOKUP($A364,Output_Mac!$A:$A,Output_Mac!T:T,""),
_xlpm.MyAuditVal,_xlfn.XLOOKUP($A364,My_Audit!$A:$A,My_Audit!Q:Q,""),
_xlfn.IFS(_xlpm.MyAuditVal&lt;&gt;"",UPPER(_xlpm.MyAuditVal),_xlpm.MacVal&lt;&gt;"",_xlpm.MacVal,_xlpm.CSVVal&lt;&gt;"",_xlpm.CSVVal
)),"No")</f>
        <v>No</v>
      </c>
      <c r="Q364" s="2" t="str" cm="1">
        <f t="array" ref="Q364">IFERROR(_xlfn.LET(
_xlpm.CSVVal,_xlfn.XLOOKUP($A364,CSV!$A:$A,CSV!AH:AH,""),
_xlpm.MacVal,_xlfn.XLOOKUP($A364,Output_Mac!$A:$A,Output_Mac!U:U,""),
_xlpm.MyAuditVal,_xlfn.XLOOKUP($A364,My_Audit!$A:$A,My_Audit!R:R,""),
_xlfn.IFS(_xlpm.MyAuditVal&lt;&gt;"",UPPER(_xlpm.MyAuditVal),_xlpm.MacVal&lt;&gt;"",_xlpm.MacVal,_xlpm.CSVVal&lt;&gt;"",_xlpm.CSVVal
)),"")</f>
        <v/>
      </c>
    </row>
    <row r="365" spans="1:17">
      <c r="A365" s="2" t="str">
        <f>_xlfn.TEXTJOIN("",TRUE,Input!$B$2,ROW(My_Audit!A364))</f>
        <v>XX364</v>
      </c>
      <c r="B365" s="2" t="str">
        <f>_xlfn.TEXTJOIN("-",TRUE,"ITD",Input!$A$2,A365)</f>
        <v>ITD-SHRXXX-XX364</v>
      </c>
      <c r="C365" s="2" t="str" cm="1">
        <f t="array" ref="C365">IFERROR(_xlfn.LET(
_xlpm.CSVVal,_xlfn.XLOOKUP($A365,CSV!$A:$A,CSV!B:B,""),
_xlpm.MacVal,_xlfn.XLOOKUP($A365,Output_Mac!$A:$A,Output_Mac!B:B,""),
_xlpm.MyAuditVal,_xlfn.XLOOKUP($A365,My_Audit!$A:$A,My_Audit!B:B,""),
_xlfn.IFS(_xlpm.MyAuditVal&lt;&gt;"",UPPER(_xlpm.MyAuditVal),_xlpm.MacVal&lt;&gt;"",_xlpm.MacVal,_xlpm.CSVVal&lt;&gt;"",_xlpm.CSVVal
)),"")</f>
        <v/>
      </c>
      <c r="D365" s="2" t="str" cm="1">
        <f t="array" ref="D365">IFERROR(_xlfn.LET(
_xlpm.CSVVal,_xlfn.XLOOKUP($A365,CSV!$A:$A,CSV!D:D,""),
_xlpm.MacVal,_xlfn.XLOOKUP($A365,Output_Mac!$A:$A,Output_Mac!C:C,""),
_xlpm.MyAuditVal,_xlfn.XLOOKUP($A365,My_Audit!$A:$A,My_Audit!C:C,""),
_xlfn.IFS(_xlpm.MyAuditVal&lt;&gt;"",_xlpm.MyAuditVal,_xlpm.MacVal&lt;&gt;"",_xlpm.MacVal,_xlpm.CSVVal&lt;&gt;"",_xlpm.CSVVal
)),"")</f>
        <v/>
      </c>
      <c r="E365" s="2" t="str">
        <f>_xlfn.XLOOKUP(A365,My_Audit!A:A,My_Audit!D:D,"")&amp;""</f>
        <v/>
      </c>
      <c r="F365" s="2" t="str" cm="1">
        <f t="array" ref="F365">IFERROR(_xlfn.LET(
_xlpm.CSVVal,_xlfn.XLOOKUP($A365,CSV!$A:$A,CSV!F:F,""),
_xlpm.MacVal,_xlfn.XLOOKUP($A365,Output_Mac!$A:$A,Output_Mac!E:E,""),
_xlpm.MyAuditVal,_xlfn.XLOOKUP($A365,My_Audit!$A:$A,My_Audit!E:E,""),
_xlfn.IFS(_xlpm.MyAuditVal&lt;&gt;"",_xlpm.MyAuditVal,_xlpm.MacVal&lt;&gt;"",_xlpm.MacVal,_xlpm.CSVVal&lt;&gt;"",_xlpm.CSVVal
)),"")</f>
        <v/>
      </c>
      <c r="G365" s="2" t="str" cm="1">
        <f t="array" ref="G365">IFERROR(_xlfn.LET(
_xlpm.CSVVal,_xlfn.XLOOKUP($A365,CSV!$A:$A,CSV!G:G,""),
_xlpm.MacVal,_xlfn.XLOOKUP($A365,Output_Mac!$A:$A,Output_Mac!F:F,""),
_xlpm.MyAuditVal,_xlfn.XLOOKUP($A365,My_Audit!$A:$A,My_Audit!F:F,""),
_xlfn.IFS(_xlpm.MyAuditVal&lt;&gt;"",_xlpm.MyAuditVal,_xlpm.MacVal&lt;&gt;"",_xlpm.MacVal,_xlpm.CSVVal&lt;&gt;"",PROPER(_xlpm.CSVVal)
)),"")</f>
        <v/>
      </c>
      <c r="H365" s="2" t="str" cm="1">
        <f t="array" ref="H365">IFERROR(_xlfn.LET(
_xlpm.CSVVal,_xlfn.XLOOKUP($A365,CSV!$A:$A,CSV!H:H,""),
_xlpm.MacVal,_xlfn.XLOOKUP($A365,Output_Mac!$A:$A,Output_Mac!H:H,""),
_xlpm.MyAuditVal,_xlfn.XLOOKUP($A365,My_Audit!$A:$A,My_Audit!G:G,""),
_xlfn.IFS(_xlpm.MyAuditVal&lt;&gt;"",_xlpm.MyAuditVal,_xlpm.MacVal&lt;&gt;"",_xlpm.MacVal,_xlpm.CSVVal&lt;&gt;"",_xlpm.CSVVal
)),"")</f>
        <v/>
      </c>
      <c r="I365" s="2" t="str">
        <f>_xlfn.XLOOKUP(A365,Output_Mac!A:A,Output_Mac!I:I,"")</f>
        <v/>
      </c>
      <c r="J365" s="2" t="str" cm="1">
        <f t="array" ref="J365">IFERROR(_xlfn.LET(
_xlpm.CSVVal,_xlfn.XLOOKUP($A365,CSV!$A:$A,CSV!I:I,""),
_xlpm.MacVal,_xlfn.XLOOKUP($A365,Output_Mac!$A:$A,Output_Mac!J:J,""),
_xlpm.MyAuditVal,_xlfn.XLOOKUP($A365,My_Audit!$A:$A,My_Audit!I:I,""),
_xlfn.IFS(_xlpm.MyAuditVal&lt;&gt;"",UPPER(_xlpm.MyAuditVal),_xlpm.MacVal&lt;&gt;"",_xlpm.MacVal,_xlpm.CSVVal&lt;&gt;"",_xlpm.CSVVal
)),"")</f>
        <v/>
      </c>
      <c r="K365" s="2" t="str" cm="1">
        <f t="array" ref="K365">IFERROR(_xlfn.LET(
_xlpm.CSVVal,_xlfn.XLOOKUP($A365,CSV!$A:$A,CSV!K:K,""),
_xlpm.MacVal,_xlfn.XLOOKUP($A365,Output_Mac!$A:$A,Output_Mac!K:K,""),
_xlpm.MyAuditVal,_xlfn.XLOOKUP($A365,My_Audit!$A:$A,My_Audit!J:J,""),
_xlfn.IFS(_xlpm.MyAuditVal&lt;&gt;"",UPPER(_xlpm.MyAuditVal),_xlpm.MacVal&lt;&gt;"",_xlpm.MacVal,_xlpm.CSVVal&lt;&gt;"",_xlpm.CSVVal
)),"")</f>
        <v/>
      </c>
      <c r="L365" s="2" t="str" cm="1">
        <f t="array" ref="L365">IFERROR(_xlfn.LET(
_xlpm.CSVVal,_xlfn.XLOOKUP($A365,CSV!$A:$A,CSV!P:P,""),
_xlpm.MacVal,_xlfn.XLOOKUP($A365,Output_Mac!$A:$A,Output_Mac!L:L,""),
_xlpm.MyAuditVal,_xlfn.XLOOKUP($A365,My_Audit!$A:$A,My_Audit!K:K,""),
_xlfn.IFS(_xlpm.MyAuditVal&lt;&gt;"",UPPER(_xlpm.MyAuditVal),_xlpm.MacVal&lt;&gt;"",_xlpm.MacVal,_xlpm.CSVVal&lt;&gt;"",_xlpm.CSVVal
)),"")</f>
        <v/>
      </c>
      <c r="M365" s="2" t="str" cm="1">
        <f t="array" ref="M365">IFERROR(_xlfn.LET(
_xlpm.CSVVal,_xlfn.XLOOKUP($A365,CSV!$A:$A,CSV!Q:Q,""),
_xlpm.MacVal,_xlfn.XLOOKUP($A365,Output_Mac!$A:$A,Output_Mac!M:M,""),
_xlpm.MyAuditVal,_xlfn.XLOOKUP($A365,My_Audit!$A:$A,My_Audit!L:L,""),
_xlfn.IFS(_xlpm.MyAuditVal&lt;&gt;"",UPPER(_xlpm.MyAuditVal),_xlpm.MacVal&lt;&gt;"",_xlpm.MacVal,_xlpm.CSVVal&lt;&gt;"",_xlpm.CSVVal
)),"")</f>
        <v/>
      </c>
      <c r="O365" s="2" t="str">
        <f>_xlfn.LET(
    _xlpm.CSVVal, _xlfn.XLOOKUP($A365, CSV!$A:$A, CSV!AF:AF, ""),
    _xlpm.MacVal, _xlfn.XLOOKUP($A365, Output_Mac!$A:$A, Output_Mac!S:S, ""),
    _xlpm.MyAuditVal, _xlfn.XLOOKUP($A365, My_Audit!$A:$A, My_Audit!P:P, ""),
    _xlfn.TEXTJOIN(", ", TRUE, _xlpm.MyAuditVal, _xlpm.MacVal, _xlpm.CSVVal)
)</f>
        <v/>
      </c>
      <c r="P365" s="2" t="str" cm="1">
        <f t="array" ref="P365">IFERROR(_xlfn.LET(
_xlpm.CSVVal,_xlfn.XLOOKUP($A365,CSV!$A:$A,CSV!AG:AG,""),
_xlpm.MacVal,_xlfn.XLOOKUP($A365,Output_Mac!$A:$A,Output_Mac!T:T,""),
_xlpm.MyAuditVal,_xlfn.XLOOKUP($A365,My_Audit!$A:$A,My_Audit!Q:Q,""),
_xlfn.IFS(_xlpm.MyAuditVal&lt;&gt;"",UPPER(_xlpm.MyAuditVal),_xlpm.MacVal&lt;&gt;"",_xlpm.MacVal,_xlpm.CSVVal&lt;&gt;"",_xlpm.CSVVal
)),"No")</f>
        <v>No</v>
      </c>
      <c r="Q365" s="2" t="str" cm="1">
        <f t="array" ref="Q365">IFERROR(_xlfn.LET(
_xlpm.CSVVal,_xlfn.XLOOKUP($A365,CSV!$A:$A,CSV!AH:AH,""),
_xlpm.MacVal,_xlfn.XLOOKUP($A365,Output_Mac!$A:$A,Output_Mac!U:U,""),
_xlpm.MyAuditVal,_xlfn.XLOOKUP($A365,My_Audit!$A:$A,My_Audit!R:R,""),
_xlfn.IFS(_xlpm.MyAuditVal&lt;&gt;"",UPPER(_xlpm.MyAuditVal),_xlpm.MacVal&lt;&gt;"",_xlpm.MacVal,_xlpm.CSVVal&lt;&gt;"",_xlpm.CSVVal
)),"")</f>
        <v/>
      </c>
    </row>
    <row r="366" spans="1:17">
      <c r="A366" s="2" t="str">
        <f>_xlfn.TEXTJOIN("",TRUE,Input!$B$2,ROW(My_Audit!A365))</f>
        <v>XX365</v>
      </c>
      <c r="B366" s="2" t="str">
        <f>_xlfn.TEXTJOIN("-",TRUE,"ITD",Input!$A$2,A366)</f>
        <v>ITD-SHRXXX-XX365</v>
      </c>
      <c r="C366" s="2" t="str" cm="1">
        <f t="array" ref="C366">IFERROR(_xlfn.LET(
_xlpm.CSVVal,_xlfn.XLOOKUP($A366,CSV!$A:$A,CSV!B:B,""),
_xlpm.MacVal,_xlfn.XLOOKUP($A366,Output_Mac!$A:$A,Output_Mac!B:B,""),
_xlpm.MyAuditVal,_xlfn.XLOOKUP($A366,My_Audit!$A:$A,My_Audit!B:B,""),
_xlfn.IFS(_xlpm.MyAuditVal&lt;&gt;"",UPPER(_xlpm.MyAuditVal),_xlpm.MacVal&lt;&gt;"",_xlpm.MacVal,_xlpm.CSVVal&lt;&gt;"",_xlpm.CSVVal
)),"")</f>
        <v/>
      </c>
      <c r="D366" s="2" t="str" cm="1">
        <f t="array" ref="D366">IFERROR(_xlfn.LET(
_xlpm.CSVVal,_xlfn.XLOOKUP($A366,CSV!$A:$A,CSV!D:D,""),
_xlpm.MacVal,_xlfn.XLOOKUP($A366,Output_Mac!$A:$A,Output_Mac!C:C,""),
_xlpm.MyAuditVal,_xlfn.XLOOKUP($A366,My_Audit!$A:$A,My_Audit!C:C,""),
_xlfn.IFS(_xlpm.MyAuditVal&lt;&gt;"",_xlpm.MyAuditVal,_xlpm.MacVal&lt;&gt;"",_xlpm.MacVal,_xlpm.CSVVal&lt;&gt;"",_xlpm.CSVVal
)),"")</f>
        <v/>
      </c>
      <c r="E366" s="2" t="str">
        <f>_xlfn.XLOOKUP(A366,My_Audit!A:A,My_Audit!D:D,"")&amp;""</f>
        <v/>
      </c>
      <c r="F366" s="2" t="str" cm="1">
        <f t="array" ref="F366">IFERROR(_xlfn.LET(
_xlpm.CSVVal,_xlfn.XLOOKUP($A366,CSV!$A:$A,CSV!F:F,""),
_xlpm.MacVal,_xlfn.XLOOKUP($A366,Output_Mac!$A:$A,Output_Mac!E:E,""),
_xlpm.MyAuditVal,_xlfn.XLOOKUP($A366,My_Audit!$A:$A,My_Audit!E:E,""),
_xlfn.IFS(_xlpm.MyAuditVal&lt;&gt;"",_xlpm.MyAuditVal,_xlpm.MacVal&lt;&gt;"",_xlpm.MacVal,_xlpm.CSVVal&lt;&gt;"",_xlpm.CSVVal
)),"")</f>
        <v/>
      </c>
      <c r="G366" s="2" t="str" cm="1">
        <f t="array" ref="G366">IFERROR(_xlfn.LET(
_xlpm.CSVVal,_xlfn.XLOOKUP($A366,CSV!$A:$A,CSV!G:G,""),
_xlpm.MacVal,_xlfn.XLOOKUP($A366,Output_Mac!$A:$A,Output_Mac!F:F,""),
_xlpm.MyAuditVal,_xlfn.XLOOKUP($A366,My_Audit!$A:$A,My_Audit!F:F,""),
_xlfn.IFS(_xlpm.MyAuditVal&lt;&gt;"",_xlpm.MyAuditVal,_xlpm.MacVal&lt;&gt;"",_xlpm.MacVal,_xlpm.CSVVal&lt;&gt;"",PROPER(_xlpm.CSVVal)
)),"")</f>
        <v/>
      </c>
      <c r="H366" s="2" t="str" cm="1">
        <f t="array" ref="H366">IFERROR(_xlfn.LET(
_xlpm.CSVVal,_xlfn.XLOOKUP($A366,CSV!$A:$A,CSV!H:H,""),
_xlpm.MacVal,_xlfn.XLOOKUP($A366,Output_Mac!$A:$A,Output_Mac!H:H,""),
_xlpm.MyAuditVal,_xlfn.XLOOKUP($A366,My_Audit!$A:$A,My_Audit!G:G,""),
_xlfn.IFS(_xlpm.MyAuditVal&lt;&gt;"",_xlpm.MyAuditVal,_xlpm.MacVal&lt;&gt;"",_xlpm.MacVal,_xlpm.CSVVal&lt;&gt;"",_xlpm.CSVVal
)),"")</f>
        <v/>
      </c>
      <c r="I366" s="2" t="str">
        <f>_xlfn.XLOOKUP(A366,Output_Mac!A:A,Output_Mac!I:I,"")</f>
        <v/>
      </c>
      <c r="J366" s="2" t="str" cm="1">
        <f t="array" ref="J366">IFERROR(_xlfn.LET(
_xlpm.CSVVal,_xlfn.XLOOKUP($A366,CSV!$A:$A,CSV!I:I,""),
_xlpm.MacVal,_xlfn.XLOOKUP($A366,Output_Mac!$A:$A,Output_Mac!J:J,""),
_xlpm.MyAuditVal,_xlfn.XLOOKUP($A366,My_Audit!$A:$A,My_Audit!I:I,""),
_xlfn.IFS(_xlpm.MyAuditVal&lt;&gt;"",UPPER(_xlpm.MyAuditVal),_xlpm.MacVal&lt;&gt;"",_xlpm.MacVal,_xlpm.CSVVal&lt;&gt;"",_xlpm.CSVVal
)),"")</f>
        <v/>
      </c>
      <c r="K366" s="2" t="str" cm="1">
        <f t="array" ref="K366">IFERROR(_xlfn.LET(
_xlpm.CSVVal,_xlfn.XLOOKUP($A366,CSV!$A:$A,CSV!K:K,""),
_xlpm.MacVal,_xlfn.XLOOKUP($A366,Output_Mac!$A:$A,Output_Mac!K:K,""),
_xlpm.MyAuditVal,_xlfn.XLOOKUP($A366,My_Audit!$A:$A,My_Audit!J:J,""),
_xlfn.IFS(_xlpm.MyAuditVal&lt;&gt;"",UPPER(_xlpm.MyAuditVal),_xlpm.MacVal&lt;&gt;"",_xlpm.MacVal,_xlpm.CSVVal&lt;&gt;"",_xlpm.CSVVal
)),"")</f>
        <v/>
      </c>
      <c r="L366" s="2" t="str" cm="1">
        <f t="array" ref="L366">IFERROR(_xlfn.LET(
_xlpm.CSVVal,_xlfn.XLOOKUP($A366,CSV!$A:$A,CSV!P:P,""),
_xlpm.MacVal,_xlfn.XLOOKUP($A366,Output_Mac!$A:$A,Output_Mac!L:L,""),
_xlpm.MyAuditVal,_xlfn.XLOOKUP($A366,My_Audit!$A:$A,My_Audit!K:K,""),
_xlfn.IFS(_xlpm.MyAuditVal&lt;&gt;"",UPPER(_xlpm.MyAuditVal),_xlpm.MacVal&lt;&gt;"",_xlpm.MacVal,_xlpm.CSVVal&lt;&gt;"",_xlpm.CSVVal
)),"")</f>
        <v/>
      </c>
      <c r="M366" s="2" t="str" cm="1">
        <f t="array" ref="M366">IFERROR(_xlfn.LET(
_xlpm.CSVVal,_xlfn.XLOOKUP($A366,CSV!$A:$A,CSV!Q:Q,""),
_xlpm.MacVal,_xlfn.XLOOKUP($A366,Output_Mac!$A:$A,Output_Mac!M:M,""),
_xlpm.MyAuditVal,_xlfn.XLOOKUP($A366,My_Audit!$A:$A,My_Audit!L:L,""),
_xlfn.IFS(_xlpm.MyAuditVal&lt;&gt;"",UPPER(_xlpm.MyAuditVal),_xlpm.MacVal&lt;&gt;"",_xlpm.MacVal,_xlpm.CSVVal&lt;&gt;"",_xlpm.CSVVal
)),"")</f>
        <v/>
      </c>
      <c r="O366" s="2" t="str">
        <f>_xlfn.LET(
    _xlpm.CSVVal, _xlfn.XLOOKUP($A366, CSV!$A:$A, CSV!AF:AF, ""),
    _xlpm.MacVal, _xlfn.XLOOKUP($A366, Output_Mac!$A:$A, Output_Mac!S:S, ""),
    _xlpm.MyAuditVal, _xlfn.XLOOKUP($A366, My_Audit!$A:$A, My_Audit!P:P, ""),
    _xlfn.TEXTJOIN(", ", TRUE, _xlpm.MyAuditVal, _xlpm.MacVal, _xlpm.CSVVal)
)</f>
        <v/>
      </c>
      <c r="P366" s="2" t="str" cm="1">
        <f t="array" ref="P366">IFERROR(_xlfn.LET(
_xlpm.CSVVal,_xlfn.XLOOKUP($A366,CSV!$A:$A,CSV!AG:AG,""),
_xlpm.MacVal,_xlfn.XLOOKUP($A366,Output_Mac!$A:$A,Output_Mac!T:T,""),
_xlpm.MyAuditVal,_xlfn.XLOOKUP($A366,My_Audit!$A:$A,My_Audit!Q:Q,""),
_xlfn.IFS(_xlpm.MyAuditVal&lt;&gt;"",UPPER(_xlpm.MyAuditVal),_xlpm.MacVal&lt;&gt;"",_xlpm.MacVal,_xlpm.CSVVal&lt;&gt;"",_xlpm.CSVVal
)),"No")</f>
        <v>No</v>
      </c>
      <c r="Q366" s="2" t="str" cm="1">
        <f t="array" ref="Q366">IFERROR(_xlfn.LET(
_xlpm.CSVVal,_xlfn.XLOOKUP($A366,CSV!$A:$A,CSV!AH:AH,""),
_xlpm.MacVal,_xlfn.XLOOKUP($A366,Output_Mac!$A:$A,Output_Mac!U:U,""),
_xlpm.MyAuditVal,_xlfn.XLOOKUP($A366,My_Audit!$A:$A,My_Audit!R:R,""),
_xlfn.IFS(_xlpm.MyAuditVal&lt;&gt;"",UPPER(_xlpm.MyAuditVal),_xlpm.MacVal&lt;&gt;"",_xlpm.MacVal,_xlpm.CSVVal&lt;&gt;"",_xlpm.CSVVal
)),"")</f>
        <v/>
      </c>
    </row>
    <row r="367" spans="1:17">
      <c r="A367" s="2" t="str">
        <f>_xlfn.TEXTJOIN("",TRUE,Input!$B$2,ROW(My_Audit!A366))</f>
        <v>XX366</v>
      </c>
      <c r="B367" s="2" t="str">
        <f>_xlfn.TEXTJOIN("-",TRUE,"ITD",Input!$A$2,A367)</f>
        <v>ITD-SHRXXX-XX366</v>
      </c>
      <c r="C367" s="2" t="str" cm="1">
        <f t="array" ref="C367">IFERROR(_xlfn.LET(
_xlpm.CSVVal,_xlfn.XLOOKUP($A367,CSV!$A:$A,CSV!B:B,""),
_xlpm.MacVal,_xlfn.XLOOKUP($A367,Output_Mac!$A:$A,Output_Mac!B:B,""),
_xlpm.MyAuditVal,_xlfn.XLOOKUP($A367,My_Audit!$A:$A,My_Audit!B:B,""),
_xlfn.IFS(_xlpm.MyAuditVal&lt;&gt;"",UPPER(_xlpm.MyAuditVal),_xlpm.MacVal&lt;&gt;"",_xlpm.MacVal,_xlpm.CSVVal&lt;&gt;"",_xlpm.CSVVal
)),"")</f>
        <v/>
      </c>
      <c r="D367" s="2" t="str" cm="1">
        <f t="array" ref="D367">IFERROR(_xlfn.LET(
_xlpm.CSVVal,_xlfn.XLOOKUP($A367,CSV!$A:$A,CSV!D:D,""),
_xlpm.MacVal,_xlfn.XLOOKUP($A367,Output_Mac!$A:$A,Output_Mac!C:C,""),
_xlpm.MyAuditVal,_xlfn.XLOOKUP($A367,My_Audit!$A:$A,My_Audit!C:C,""),
_xlfn.IFS(_xlpm.MyAuditVal&lt;&gt;"",_xlpm.MyAuditVal,_xlpm.MacVal&lt;&gt;"",_xlpm.MacVal,_xlpm.CSVVal&lt;&gt;"",_xlpm.CSVVal
)),"")</f>
        <v/>
      </c>
      <c r="E367" s="2" t="str">
        <f>_xlfn.XLOOKUP(A367,My_Audit!A:A,My_Audit!D:D,"")&amp;""</f>
        <v/>
      </c>
      <c r="F367" s="2" t="str" cm="1">
        <f t="array" ref="F367">IFERROR(_xlfn.LET(
_xlpm.CSVVal,_xlfn.XLOOKUP($A367,CSV!$A:$A,CSV!F:F,""),
_xlpm.MacVal,_xlfn.XLOOKUP($A367,Output_Mac!$A:$A,Output_Mac!E:E,""),
_xlpm.MyAuditVal,_xlfn.XLOOKUP($A367,My_Audit!$A:$A,My_Audit!E:E,""),
_xlfn.IFS(_xlpm.MyAuditVal&lt;&gt;"",_xlpm.MyAuditVal,_xlpm.MacVal&lt;&gt;"",_xlpm.MacVal,_xlpm.CSVVal&lt;&gt;"",_xlpm.CSVVal
)),"")</f>
        <v/>
      </c>
      <c r="G367" s="2" t="str" cm="1">
        <f t="array" ref="G367">IFERROR(_xlfn.LET(
_xlpm.CSVVal,_xlfn.XLOOKUP($A367,CSV!$A:$A,CSV!G:G,""),
_xlpm.MacVal,_xlfn.XLOOKUP($A367,Output_Mac!$A:$A,Output_Mac!F:F,""),
_xlpm.MyAuditVal,_xlfn.XLOOKUP($A367,My_Audit!$A:$A,My_Audit!F:F,""),
_xlfn.IFS(_xlpm.MyAuditVal&lt;&gt;"",_xlpm.MyAuditVal,_xlpm.MacVal&lt;&gt;"",_xlpm.MacVal,_xlpm.CSVVal&lt;&gt;"",PROPER(_xlpm.CSVVal)
)),"")</f>
        <v/>
      </c>
      <c r="H367" s="2" t="str" cm="1">
        <f t="array" ref="H367">IFERROR(_xlfn.LET(
_xlpm.CSVVal,_xlfn.XLOOKUP($A367,CSV!$A:$A,CSV!H:H,""),
_xlpm.MacVal,_xlfn.XLOOKUP($A367,Output_Mac!$A:$A,Output_Mac!H:H,""),
_xlpm.MyAuditVal,_xlfn.XLOOKUP($A367,My_Audit!$A:$A,My_Audit!G:G,""),
_xlfn.IFS(_xlpm.MyAuditVal&lt;&gt;"",_xlpm.MyAuditVal,_xlpm.MacVal&lt;&gt;"",_xlpm.MacVal,_xlpm.CSVVal&lt;&gt;"",_xlpm.CSVVal
)),"")</f>
        <v/>
      </c>
      <c r="I367" s="2" t="str">
        <f>_xlfn.XLOOKUP(A367,Output_Mac!A:A,Output_Mac!I:I,"")</f>
        <v/>
      </c>
      <c r="J367" s="2" t="str" cm="1">
        <f t="array" ref="J367">IFERROR(_xlfn.LET(
_xlpm.CSVVal,_xlfn.XLOOKUP($A367,CSV!$A:$A,CSV!I:I,""),
_xlpm.MacVal,_xlfn.XLOOKUP($A367,Output_Mac!$A:$A,Output_Mac!J:J,""),
_xlpm.MyAuditVal,_xlfn.XLOOKUP($A367,My_Audit!$A:$A,My_Audit!I:I,""),
_xlfn.IFS(_xlpm.MyAuditVal&lt;&gt;"",UPPER(_xlpm.MyAuditVal),_xlpm.MacVal&lt;&gt;"",_xlpm.MacVal,_xlpm.CSVVal&lt;&gt;"",_xlpm.CSVVal
)),"")</f>
        <v/>
      </c>
      <c r="K367" s="2" t="str" cm="1">
        <f t="array" ref="K367">IFERROR(_xlfn.LET(
_xlpm.CSVVal,_xlfn.XLOOKUP($A367,CSV!$A:$A,CSV!K:K,""),
_xlpm.MacVal,_xlfn.XLOOKUP($A367,Output_Mac!$A:$A,Output_Mac!K:K,""),
_xlpm.MyAuditVal,_xlfn.XLOOKUP($A367,My_Audit!$A:$A,My_Audit!J:J,""),
_xlfn.IFS(_xlpm.MyAuditVal&lt;&gt;"",UPPER(_xlpm.MyAuditVal),_xlpm.MacVal&lt;&gt;"",_xlpm.MacVal,_xlpm.CSVVal&lt;&gt;"",_xlpm.CSVVal
)),"")</f>
        <v/>
      </c>
      <c r="L367" s="2" t="str" cm="1">
        <f t="array" ref="L367">IFERROR(_xlfn.LET(
_xlpm.CSVVal,_xlfn.XLOOKUP($A367,CSV!$A:$A,CSV!P:P,""),
_xlpm.MacVal,_xlfn.XLOOKUP($A367,Output_Mac!$A:$A,Output_Mac!L:L,""),
_xlpm.MyAuditVal,_xlfn.XLOOKUP($A367,My_Audit!$A:$A,My_Audit!K:K,""),
_xlfn.IFS(_xlpm.MyAuditVal&lt;&gt;"",UPPER(_xlpm.MyAuditVal),_xlpm.MacVal&lt;&gt;"",_xlpm.MacVal,_xlpm.CSVVal&lt;&gt;"",_xlpm.CSVVal
)),"")</f>
        <v/>
      </c>
      <c r="M367" s="2" t="str" cm="1">
        <f t="array" ref="M367">IFERROR(_xlfn.LET(
_xlpm.CSVVal,_xlfn.XLOOKUP($A367,CSV!$A:$A,CSV!Q:Q,""),
_xlpm.MacVal,_xlfn.XLOOKUP($A367,Output_Mac!$A:$A,Output_Mac!M:M,""),
_xlpm.MyAuditVal,_xlfn.XLOOKUP($A367,My_Audit!$A:$A,My_Audit!L:L,""),
_xlfn.IFS(_xlpm.MyAuditVal&lt;&gt;"",UPPER(_xlpm.MyAuditVal),_xlpm.MacVal&lt;&gt;"",_xlpm.MacVal,_xlpm.CSVVal&lt;&gt;"",_xlpm.CSVVal
)),"")</f>
        <v/>
      </c>
      <c r="O367" s="2" t="str">
        <f>_xlfn.LET(
    _xlpm.CSVVal, _xlfn.XLOOKUP($A367, CSV!$A:$A, CSV!AF:AF, ""),
    _xlpm.MacVal, _xlfn.XLOOKUP($A367, Output_Mac!$A:$A, Output_Mac!S:S, ""),
    _xlpm.MyAuditVal, _xlfn.XLOOKUP($A367, My_Audit!$A:$A, My_Audit!P:P, ""),
    _xlfn.TEXTJOIN(", ", TRUE, _xlpm.MyAuditVal, _xlpm.MacVal, _xlpm.CSVVal)
)</f>
        <v/>
      </c>
      <c r="P367" s="2" t="str" cm="1">
        <f t="array" ref="P367">IFERROR(_xlfn.LET(
_xlpm.CSVVal,_xlfn.XLOOKUP($A367,CSV!$A:$A,CSV!AG:AG,""),
_xlpm.MacVal,_xlfn.XLOOKUP($A367,Output_Mac!$A:$A,Output_Mac!T:T,""),
_xlpm.MyAuditVal,_xlfn.XLOOKUP($A367,My_Audit!$A:$A,My_Audit!Q:Q,""),
_xlfn.IFS(_xlpm.MyAuditVal&lt;&gt;"",UPPER(_xlpm.MyAuditVal),_xlpm.MacVal&lt;&gt;"",_xlpm.MacVal,_xlpm.CSVVal&lt;&gt;"",_xlpm.CSVVal
)),"No")</f>
        <v>No</v>
      </c>
      <c r="Q367" s="2" t="str" cm="1">
        <f t="array" ref="Q367">IFERROR(_xlfn.LET(
_xlpm.CSVVal,_xlfn.XLOOKUP($A367,CSV!$A:$A,CSV!AH:AH,""),
_xlpm.MacVal,_xlfn.XLOOKUP($A367,Output_Mac!$A:$A,Output_Mac!U:U,""),
_xlpm.MyAuditVal,_xlfn.XLOOKUP($A367,My_Audit!$A:$A,My_Audit!R:R,""),
_xlfn.IFS(_xlpm.MyAuditVal&lt;&gt;"",UPPER(_xlpm.MyAuditVal),_xlpm.MacVal&lt;&gt;"",_xlpm.MacVal,_xlpm.CSVVal&lt;&gt;"",_xlpm.CSVVal
)),"")</f>
        <v/>
      </c>
    </row>
    <row r="368" spans="1:17">
      <c r="A368" s="2" t="str">
        <f>_xlfn.TEXTJOIN("",TRUE,Input!$B$2,ROW(My_Audit!A367))</f>
        <v>XX367</v>
      </c>
      <c r="B368" s="2" t="str">
        <f>_xlfn.TEXTJOIN("-",TRUE,"ITD",Input!$A$2,A368)</f>
        <v>ITD-SHRXXX-XX367</v>
      </c>
      <c r="C368" s="2" t="str" cm="1">
        <f t="array" ref="C368">IFERROR(_xlfn.LET(
_xlpm.CSVVal,_xlfn.XLOOKUP($A368,CSV!$A:$A,CSV!B:B,""),
_xlpm.MacVal,_xlfn.XLOOKUP($A368,Output_Mac!$A:$A,Output_Mac!B:B,""),
_xlpm.MyAuditVal,_xlfn.XLOOKUP($A368,My_Audit!$A:$A,My_Audit!B:B,""),
_xlfn.IFS(_xlpm.MyAuditVal&lt;&gt;"",UPPER(_xlpm.MyAuditVal),_xlpm.MacVal&lt;&gt;"",_xlpm.MacVal,_xlpm.CSVVal&lt;&gt;"",_xlpm.CSVVal
)),"")</f>
        <v/>
      </c>
      <c r="D368" s="2" t="str" cm="1">
        <f t="array" ref="D368">IFERROR(_xlfn.LET(
_xlpm.CSVVal,_xlfn.XLOOKUP($A368,CSV!$A:$A,CSV!D:D,""),
_xlpm.MacVal,_xlfn.XLOOKUP($A368,Output_Mac!$A:$A,Output_Mac!C:C,""),
_xlpm.MyAuditVal,_xlfn.XLOOKUP($A368,My_Audit!$A:$A,My_Audit!C:C,""),
_xlfn.IFS(_xlpm.MyAuditVal&lt;&gt;"",_xlpm.MyAuditVal,_xlpm.MacVal&lt;&gt;"",_xlpm.MacVal,_xlpm.CSVVal&lt;&gt;"",_xlpm.CSVVal
)),"")</f>
        <v/>
      </c>
      <c r="E368" s="2" t="str">
        <f>_xlfn.XLOOKUP(A368,My_Audit!A:A,My_Audit!D:D,"")&amp;""</f>
        <v/>
      </c>
      <c r="F368" s="2" t="str" cm="1">
        <f t="array" ref="F368">IFERROR(_xlfn.LET(
_xlpm.CSVVal,_xlfn.XLOOKUP($A368,CSV!$A:$A,CSV!F:F,""),
_xlpm.MacVal,_xlfn.XLOOKUP($A368,Output_Mac!$A:$A,Output_Mac!E:E,""),
_xlpm.MyAuditVal,_xlfn.XLOOKUP($A368,My_Audit!$A:$A,My_Audit!E:E,""),
_xlfn.IFS(_xlpm.MyAuditVal&lt;&gt;"",_xlpm.MyAuditVal,_xlpm.MacVal&lt;&gt;"",_xlpm.MacVal,_xlpm.CSVVal&lt;&gt;"",_xlpm.CSVVal
)),"")</f>
        <v/>
      </c>
      <c r="G368" s="2" t="str" cm="1">
        <f t="array" ref="G368">IFERROR(_xlfn.LET(
_xlpm.CSVVal,_xlfn.XLOOKUP($A368,CSV!$A:$A,CSV!G:G,""),
_xlpm.MacVal,_xlfn.XLOOKUP($A368,Output_Mac!$A:$A,Output_Mac!F:F,""),
_xlpm.MyAuditVal,_xlfn.XLOOKUP($A368,My_Audit!$A:$A,My_Audit!F:F,""),
_xlfn.IFS(_xlpm.MyAuditVal&lt;&gt;"",_xlpm.MyAuditVal,_xlpm.MacVal&lt;&gt;"",_xlpm.MacVal,_xlpm.CSVVal&lt;&gt;"",PROPER(_xlpm.CSVVal)
)),"")</f>
        <v/>
      </c>
      <c r="H368" s="2" t="str" cm="1">
        <f t="array" ref="H368">IFERROR(_xlfn.LET(
_xlpm.CSVVal,_xlfn.XLOOKUP($A368,CSV!$A:$A,CSV!H:H,""),
_xlpm.MacVal,_xlfn.XLOOKUP($A368,Output_Mac!$A:$A,Output_Mac!H:H,""),
_xlpm.MyAuditVal,_xlfn.XLOOKUP($A368,My_Audit!$A:$A,My_Audit!G:G,""),
_xlfn.IFS(_xlpm.MyAuditVal&lt;&gt;"",_xlpm.MyAuditVal,_xlpm.MacVal&lt;&gt;"",_xlpm.MacVal,_xlpm.CSVVal&lt;&gt;"",_xlpm.CSVVal
)),"")</f>
        <v/>
      </c>
      <c r="I368" s="2" t="str">
        <f>_xlfn.XLOOKUP(A368,Output_Mac!A:A,Output_Mac!I:I,"")</f>
        <v/>
      </c>
      <c r="J368" s="2" t="str" cm="1">
        <f t="array" ref="J368">IFERROR(_xlfn.LET(
_xlpm.CSVVal,_xlfn.XLOOKUP($A368,CSV!$A:$A,CSV!I:I,""),
_xlpm.MacVal,_xlfn.XLOOKUP($A368,Output_Mac!$A:$A,Output_Mac!J:J,""),
_xlpm.MyAuditVal,_xlfn.XLOOKUP($A368,My_Audit!$A:$A,My_Audit!I:I,""),
_xlfn.IFS(_xlpm.MyAuditVal&lt;&gt;"",UPPER(_xlpm.MyAuditVal),_xlpm.MacVal&lt;&gt;"",_xlpm.MacVal,_xlpm.CSVVal&lt;&gt;"",_xlpm.CSVVal
)),"")</f>
        <v/>
      </c>
      <c r="K368" s="2" t="str" cm="1">
        <f t="array" ref="K368">IFERROR(_xlfn.LET(
_xlpm.CSVVal,_xlfn.XLOOKUP($A368,CSV!$A:$A,CSV!K:K,""),
_xlpm.MacVal,_xlfn.XLOOKUP($A368,Output_Mac!$A:$A,Output_Mac!K:K,""),
_xlpm.MyAuditVal,_xlfn.XLOOKUP($A368,My_Audit!$A:$A,My_Audit!J:J,""),
_xlfn.IFS(_xlpm.MyAuditVal&lt;&gt;"",UPPER(_xlpm.MyAuditVal),_xlpm.MacVal&lt;&gt;"",_xlpm.MacVal,_xlpm.CSVVal&lt;&gt;"",_xlpm.CSVVal
)),"")</f>
        <v/>
      </c>
      <c r="L368" s="2" t="str" cm="1">
        <f t="array" ref="L368">IFERROR(_xlfn.LET(
_xlpm.CSVVal,_xlfn.XLOOKUP($A368,CSV!$A:$A,CSV!P:P,""),
_xlpm.MacVal,_xlfn.XLOOKUP($A368,Output_Mac!$A:$A,Output_Mac!L:L,""),
_xlpm.MyAuditVal,_xlfn.XLOOKUP($A368,My_Audit!$A:$A,My_Audit!K:K,""),
_xlfn.IFS(_xlpm.MyAuditVal&lt;&gt;"",UPPER(_xlpm.MyAuditVal),_xlpm.MacVal&lt;&gt;"",_xlpm.MacVal,_xlpm.CSVVal&lt;&gt;"",_xlpm.CSVVal
)),"")</f>
        <v/>
      </c>
      <c r="M368" s="2" t="str" cm="1">
        <f t="array" ref="M368">IFERROR(_xlfn.LET(
_xlpm.CSVVal,_xlfn.XLOOKUP($A368,CSV!$A:$A,CSV!Q:Q,""),
_xlpm.MacVal,_xlfn.XLOOKUP($A368,Output_Mac!$A:$A,Output_Mac!M:M,""),
_xlpm.MyAuditVal,_xlfn.XLOOKUP($A368,My_Audit!$A:$A,My_Audit!L:L,""),
_xlfn.IFS(_xlpm.MyAuditVal&lt;&gt;"",UPPER(_xlpm.MyAuditVal),_xlpm.MacVal&lt;&gt;"",_xlpm.MacVal,_xlpm.CSVVal&lt;&gt;"",_xlpm.CSVVal
)),"")</f>
        <v/>
      </c>
      <c r="O368" s="2" t="str">
        <f>_xlfn.LET(
    _xlpm.CSVVal, _xlfn.XLOOKUP($A368, CSV!$A:$A, CSV!AF:AF, ""),
    _xlpm.MacVal, _xlfn.XLOOKUP($A368, Output_Mac!$A:$A, Output_Mac!S:S, ""),
    _xlpm.MyAuditVal, _xlfn.XLOOKUP($A368, My_Audit!$A:$A, My_Audit!P:P, ""),
    _xlfn.TEXTJOIN(", ", TRUE, _xlpm.MyAuditVal, _xlpm.MacVal, _xlpm.CSVVal)
)</f>
        <v/>
      </c>
      <c r="P368" s="2" t="str" cm="1">
        <f t="array" ref="P368">IFERROR(_xlfn.LET(
_xlpm.CSVVal,_xlfn.XLOOKUP($A368,CSV!$A:$A,CSV!AG:AG,""),
_xlpm.MacVal,_xlfn.XLOOKUP($A368,Output_Mac!$A:$A,Output_Mac!T:T,""),
_xlpm.MyAuditVal,_xlfn.XLOOKUP($A368,My_Audit!$A:$A,My_Audit!Q:Q,""),
_xlfn.IFS(_xlpm.MyAuditVal&lt;&gt;"",UPPER(_xlpm.MyAuditVal),_xlpm.MacVal&lt;&gt;"",_xlpm.MacVal,_xlpm.CSVVal&lt;&gt;"",_xlpm.CSVVal
)),"No")</f>
        <v>No</v>
      </c>
      <c r="Q368" s="2" t="str" cm="1">
        <f t="array" ref="Q368">IFERROR(_xlfn.LET(
_xlpm.CSVVal,_xlfn.XLOOKUP($A368,CSV!$A:$A,CSV!AH:AH,""),
_xlpm.MacVal,_xlfn.XLOOKUP($A368,Output_Mac!$A:$A,Output_Mac!U:U,""),
_xlpm.MyAuditVal,_xlfn.XLOOKUP($A368,My_Audit!$A:$A,My_Audit!R:R,""),
_xlfn.IFS(_xlpm.MyAuditVal&lt;&gt;"",UPPER(_xlpm.MyAuditVal),_xlpm.MacVal&lt;&gt;"",_xlpm.MacVal,_xlpm.CSVVal&lt;&gt;"",_xlpm.CSVVal
)),"")</f>
        <v/>
      </c>
    </row>
    <row r="369" spans="1:17">
      <c r="A369" s="2" t="str">
        <f>_xlfn.TEXTJOIN("",TRUE,Input!$B$2,ROW(My_Audit!A368))</f>
        <v>XX368</v>
      </c>
      <c r="B369" s="2" t="str">
        <f>_xlfn.TEXTJOIN("-",TRUE,"ITD",Input!$A$2,A369)</f>
        <v>ITD-SHRXXX-XX368</v>
      </c>
      <c r="C369" s="2" t="str" cm="1">
        <f t="array" ref="C369">IFERROR(_xlfn.LET(
_xlpm.CSVVal,_xlfn.XLOOKUP($A369,CSV!$A:$A,CSV!B:B,""),
_xlpm.MacVal,_xlfn.XLOOKUP($A369,Output_Mac!$A:$A,Output_Mac!B:B,""),
_xlpm.MyAuditVal,_xlfn.XLOOKUP($A369,My_Audit!$A:$A,My_Audit!B:B,""),
_xlfn.IFS(_xlpm.MyAuditVal&lt;&gt;"",UPPER(_xlpm.MyAuditVal),_xlpm.MacVal&lt;&gt;"",_xlpm.MacVal,_xlpm.CSVVal&lt;&gt;"",_xlpm.CSVVal
)),"")</f>
        <v/>
      </c>
      <c r="D369" s="2" t="str" cm="1">
        <f t="array" ref="D369">IFERROR(_xlfn.LET(
_xlpm.CSVVal,_xlfn.XLOOKUP($A369,CSV!$A:$A,CSV!D:D,""),
_xlpm.MacVal,_xlfn.XLOOKUP($A369,Output_Mac!$A:$A,Output_Mac!C:C,""),
_xlpm.MyAuditVal,_xlfn.XLOOKUP($A369,My_Audit!$A:$A,My_Audit!C:C,""),
_xlfn.IFS(_xlpm.MyAuditVal&lt;&gt;"",_xlpm.MyAuditVal,_xlpm.MacVal&lt;&gt;"",_xlpm.MacVal,_xlpm.CSVVal&lt;&gt;"",_xlpm.CSVVal
)),"")</f>
        <v/>
      </c>
      <c r="E369" s="2" t="str">
        <f>_xlfn.XLOOKUP(A369,My_Audit!A:A,My_Audit!D:D,"")&amp;""</f>
        <v/>
      </c>
      <c r="F369" s="2" t="str" cm="1">
        <f t="array" ref="F369">IFERROR(_xlfn.LET(
_xlpm.CSVVal,_xlfn.XLOOKUP($A369,CSV!$A:$A,CSV!F:F,""),
_xlpm.MacVal,_xlfn.XLOOKUP($A369,Output_Mac!$A:$A,Output_Mac!E:E,""),
_xlpm.MyAuditVal,_xlfn.XLOOKUP($A369,My_Audit!$A:$A,My_Audit!E:E,""),
_xlfn.IFS(_xlpm.MyAuditVal&lt;&gt;"",_xlpm.MyAuditVal,_xlpm.MacVal&lt;&gt;"",_xlpm.MacVal,_xlpm.CSVVal&lt;&gt;"",_xlpm.CSVVal
)),"")</f>
        <v/>
      </c>
      <c r="G369" s="2" t="str" cm="1">
        <f t="array" ref="G369">IFERROR(_xlfn.LET(
_xlpm.CSVVal,_xlfn.XLOOKUP($A369,CSV!$A:$A,CSV!G:G,""),
_xlpm.MacVal,_xlfn.XLOOKUP($A369,Output_Mac!$A:$A,Output_Mac!F:F,""),
_xlpm.MyAuditVal,_xlfn.XLOOKUP($A369,My_Audit!$A:$A,My_Audit!F:F,""),
_xlfn.IFS(_xlpm.MyAuditVal&lt;&gt;"",_xlpm.MyAuditVal,_xlpm.MacVal&lt;&gt;"",_xlpm.MacVal,_xlpm.CSVVal&lt;&gt;"",PROPER(_xlpm.CSVVal)
)),"")</f>
        <v/>
      </c>
      <c r="H369" s="2" t="str" cm="1">
        <f t="array" ref="H369">IFERROR(_xlfn.LET(
_xlpm.CSVVal,_xlfn.XLOOKUP($A369,CSV!$A:$A,CSV!H:H,""),
_xlpm.MacVal,_xlfn.XLOOKUP($A369,Output_Mac!$A:$A,Output_Mac!H:H,""),
_xlpm.MyAuditVal,_xlfn.XLOOKUP($A369,My_Audit!$A:$A,My_Audit!G:G,""),
_xlfn.IFS(_xlpm.MyAuditVal&lt;&gt;"",_xlpm.MyAuditVal,_xlpm.MacVal&lt;&gt;"",_xlpm.MacVal,_xlpm.CSVVal&lt;&gt;"",_xlpm.CSVVal
)),"")</f>
        <v/>
      </c>
      <c r="I369" s="2" t="str">
        <f>_xlfn.XLOOKUP(A369,Output_Mac!A:A,Output_Mac!I:I,"")</f>
        <v/>
      </c>
      <c r="J369" s="2" t="str" cm="1">
        <f t="array" ref="J369">IFERROR(_xlfn.LET(
_xlpm.CSVVal,_xlfn.XLOOKUP($A369,CSV!$A:$A,CSV!I:I,""),
_xlpm.MacVal,_xlfn.XLOOKUP($A369,Output_Mac!$A:$A,Output_Mac!J:J,""),
_xlpm.MyAuditVal,_xlfn.XLOOKUP($A369,My_Audit!$A:$A,My_Audit!I:I,""),
_xlfn.IFS(_xlpm.MyAuditVal&lt;&gt;"",UPPER(_xlpm.MyAuditVal),_xlpm.MacVal&lt;&gt;"",_xlpm.MacVal,_xlpm.CSVVal&lt;&gt;"",_xlpm.CSVVal
)),"")</f>
        <v/>
      </c>
      <c r="K369" s="2" t="str" cm="1">
        <f t="array" ref="K369">IFERROR(_xlfn.LET(
_xlpm.CSVVal,_xlfn.XLOOKUP($A369,CSV!$A:$A,CSV!K:K,""),
_xlpm.MacVal,_xlfn.XLOOKUP($A369,Output_Mac!$A:$A,Output_Mac!K:K,""),
_xlpm.MyAuditVal,_xlfn.XLOOKUP($A369,My_Audit!$A:$A,My_Audit!J:J,""),
_xlfn.IFS(_xlpm.MyAuditVal&lt;&gt;"",UPPER(_xlpm.MyAuditVal),_xlpm.MacVal&lt;&gt;"",_xlpm.MacVal,_xlpm.CSVVal&lt;&gt;"",_xlpm.CSVVal
)),"")</f>
        <v/>
      </c>
      <c r="L369" s="2" t="str" cm="1">
        <f t="array" ref="L369">IFERROR(_xlfn.LET(
_xlpm.CSVVal,_xlfn.XLOOKUP($A369,CSV!$A:$A,CSV!P:P,""),
_xlpm.MacVal,_xlfn.XLOOKUP($A369,Output_Mac!$A:$A,Output_Mac!L:L,""),
_xlpm.MyAuditVal,_xlfn.XLOOKUP($A369,My_Audit!$A:$A,My_Audit!K:K,""),
_xlfn.IFS(_xlpm.MyAuditVal&lt;&gt;"",UPPER(_xlpm.MyAuditVal),_xlpm.MacVal&lt;&gt;"",_xlpm.MacVal,_xlpm.CSVVal&lt;&gt;"",_xlpm.CSVVal
)),"")</f>
        <v/>
      </c>
      <c r="M369" s="2" t="str" cm="1">
        <f t="array" ref="M369">IFERROR(_xlfn.LET(
_xlpm.CSVVal,_xlfn.XLOOKUP($A369,CSV!$A:$A,CSV!Q:Q,""),
_xlpm.MacVal,_xlfn.XLOOKUP($A369,Output_Mac!$A:$A,Output_Mac!M:M,""),
_xlpm.MyAuditVal,_xlfn.XLOOKUP($A369,My_Audit!$A:$A,My_Audit!L:L,""),
_xlfn.IFS(_xlpm.MyAuditVal&lt;&gt;"",UPPER(_xlpm.MyAuditVal),_xlpm.MacVal&lt;&gt;"",_xlpm.MacVal,_xlpm.CSVVal&lt;&gt;"",_xlpm.CSVVal
)),"")</f>
        <v/>
      </c>
      <c r="O369" s="2" t="str">
        <f>_xlfn.LET(
    _xlpm.CSVVal, _xlfn.XLOOKUP($A369, CSV!$A:$A, CSV!AF:AF, ""),
    _xlpm.MacVal, _xlfn.XLOOKUP($A369, Output_Mac!$A:$A, Output_Mac!S:S, ""),
    _xlpm.MyAuditVal, _xlfn.XLOOKUP($A369, My_Audit!$A:$A, My_Audit!P:P, ""),
    _xlfn.TEXTJOIN(", ", TRUE, _xlpm.MyAuditVal, _xlpm.MacVal, _xlpm.CSVVal)
)</f>
        <v/>
      </c>
      <c r="P369" s="2" t="str" cm="1">
        <f t="array" ref="P369">IFERROR(_xlfn.LET(
_xlpm.CSVVal,_xlfn.XLOOKUP($A369,CSV!$A:$A,CSV!AG:AG,""),
_xlpm.MacVal,_xlfn.XLOOKUP($A369,Output_Mac!$A:$A,Output_Mac!T:T,""),
_xlpm.MyAuditVal,_xlfn.XLOOKUP($A369,My_Audit!$A:$A,My_Audit!Q:Q,""),
_xlfn.IFS(_xlpm.MyAuditVal&lt;&gt;"",UPPER(_xlpm.MyAuditVal),_xlpm.MacVal&lt;&gt;"",_xlpm.MacVal,_xlpm.CSVVal&lt;&gt;"",_xlpm.CSVVal
)),"No")</f>
        <v>No</v>
      </c>
      <c r="Q369" s="2" t="str" cm="1">
        <f t="array" ref="Q369">IFERROR(_xlfn.LET(
_xlpm.CSVVal,_xlfn.XLOOKUP($A369,CSV!$A:$A,CSV!AH:AH,""),
_xlpm.MacVal,_xlfn.XLOOKUP($A369,Output_Mac!$A:$A,Output_Mac!U:U,""),
_xlpm.MyAuditVal,_xlfn.XLOOKUP($A369,My_Audit!$A:$A,My_Audit!R:R,""),
_xlfn.IFS(_xlpm.MyAuditVal&lt;&gt;"",UPPER(_xlpm.MyAuditVal),_xlpm.MacVal&lt;&gt;"",_xlpm.MacVal,_xlpm.CSVVal&lt;&gt;"",_xlpm.CSVVal
)),"")</f>
        <v/>
      </c>
    </row>
    <row r="370" spans="1:17">
      <c r="A370" s="2" t="str">
        <f>_xlfn.TEXTJOIN("",TRUE,Input!$B$2,ROW(My_Audit!A369))</f>
        <v>XX369</v>
      </c>
      <c r="B370" s="2" t="str">
        <f>_xlfn.TEXTJOIN("-",TRUE,"ITD",Input!$A$2,A370)</f>
        <v>ITD-SHRXXX-XX369</v>
      </c>
      <c r="C370" s="2" t="str" cm="1">
        <f t="array" ref="C370">IFERROR(_xlfn.LET(
_xlpm.CSVVal,_xlfn.XLOOKUP($A370,CSV!$A:$A,CSV!B:B,""),
_xlpm.MacVal,_xlfn.XLOOKUP($A370,Output_Mac!$A:$A,Output_Mac!B:B,""),
_xlpm.MyAuditVal,_xlfn.XLOOKUP($A370,My_Audit!$A:$A,My_Audit!B:B,""),
_xlfn.IFS(_xlpm.MyAuditVal&lt;&gt;"",UPPER(_xlpm.MyAuditVal),_xlpm.MacVal&lt;&gt;"",_xlpm.MacVal,_xlpm.CSVVal&lt;&gt;"",_xlpm.CSVVal
)),"")</f>
        <v/>
      </c>
      <c r="D370" s="2" t="str" cm="1">
        <f t="array" ref="D370">IFERROR(_xlfn.LET(
_xlpm.CSVVal,_xlfn.XLOOKUP($A370,CSV!$A:$A,CSV!D:D,""),
_xlpm.MacVal,_xlfn.XLOOKUP($A370,Output_Mac!$A:$A,Output_Mac!C:C,""),
_xlpm.MyAuditVal,_xlfn.XLOOKUP($A370,My_Audit!$A:$A,My_Audit!C:C,""),
_xlfn.IFS(_xlpm.MyAuditVal&lt;&gt;"",_xlpm.MyAuditVal,_xlpm.MacVal&lt;&gt;"",_xlpm.MacVal,_xlpm.CSVVal&lt;&gt;"",_xlpm.CSVVal
)),"")</f>
        <v/>
      </c>
      <c r="E370" s="2" t="str">
        <f>_xlfn.XLOOKUP(A370,My_Audit!A:A,My_Audit!D:D,"")&amp;""</f>
        <v/>
      </c>
      <c r="F370" s="2" t="str" cm="1">
        <f t="array" ref="F370">IFERROR(_xlfn.LET(
_xlpm.CSVVal,_xlfn.XLOOKUP($A370,CSV!$A:$A,CSV!F:F,""),
_xlpm.MacVal,_xlfn.XLOOKUP($A370,Output_Mac!$A:$A,Output_Mac!E:E,""),
_xlpm.MyAuditVal,_xlfn.XLOOKUP($A370,My_Audit!$A:$A,My_Audit!E:E,""),
_xlfn.IFS(_xlpm.MyAuditVal&lt;&gt;"",_xlpm.MyAuditVal,_xlpm.MacVal&lt;&gt;"",_xlpm.MacVal,_xlpm.CSVVal&lt;&gt;"",_xlpm.CSVVal
)),"")</f>
        <v/>
      </c>
      <c r="G370" s="2" t="str" cm="1">
        <f t="array" ref="G370">IFERROR(_xlfn.LET(
_xlpm.CSVVal,_xlfn.XLOOKUP($A370,CSV!$A:$A,CSV!G:G,""),
_xlpm.MacVal,_xlfn.XLOOKUP($A370,Output_Mac!$A:$A,Output_Mac!F:F,""),
_xlpm.MyAuditVal,_xlfn.XLOOKUP($A370,My_Audit!$A:$A,My_Audit!F:F,""),
_xlfn.IFS(_xlpm.MyAuditVal&lt;&gt;"",_xlpm.MyAuditVal,_xlpm.MacVal&lt;&gt;"",_xlpm.MacVal,_xlpm.CSVVal&lt;&gt;"",PROPER(_xlpm.CSVVal)
)),"")</f>
        <v/>
      </c>
      <c r="H370" s="2" t="str" cm="1">
        <f t="array" ref="H370">IFERROR(_xlfn.LET(
_xlpm.CSVVal,_xlfn.XLOOKUP($A370,CSV!$A:$A,CSV!H:H,""),
_xlpm.MacVal,_xlfn.XLOOKUP($A370,Output_Mac!$A:$A,Output_Mac!H:H,""),
_xlpm.MyAuditVal,_xlfn.XLOOKUP($A370,My_Audit!$A:$A,My_Audit!G:G,""),
_xlfn.IFS(_xlpm.MyAuditVal&lt;&gt;"",_xlpm.MyAuditVal,_xlpm.MacVal&lt;&gt;"",_xlpm.MacVal,_xlpm.CSVVal&lt;&gt;"",_xlpm.CSVVal
)),"")</f>
        <v/>
      </c>
      <c r="I370" s="2" t="str">
        <f>_xlfn.XLOOKUP(A370,Output_Mac!A:A,Output_Mac!I:I,"")</f>
        <v/>
      </c>
      <c r="J370" s="2" t="str" cm="1">
        <f t="array" ref="J370">IFERROR(_xlfn.LET(
_xlpm.CSVVal,_xlfn.XLOOKUP($A370,CSV!$A:$A,CSV!I:I,""),
_xlpm.MacVal,_xlfn.XLOOKUP($A370,Output_Mac!$A:$A,Output_Mac!J:J,""),
_xlpm.MyAuditVal,_xlfn.XLOOKUP($A370,My_Audit!$A:$A,My_Audit!I:I,""),
_xlfn.IFS(_xlpm.MyAuditVal&lt;&gt;"",UPPER(_xlpm.MyAuditVal),_xlpm.MacVal&lt;&gt;"",_xlpm.MacVal,_xlpm.CSVVal&lt;&gt;"",_xlpm.CSVVal
)),"")</f>
        <v/>
      </c>
      <c r="K370" s="2" t="str" cm="1">
        <f t="array" ref="K370">IFERROR(_xlfn.LET(
_xlpm.CSVVal,_xlfn.XLOOKUP($A370,CSV!$A:$A,CSV!K:K,""),
_xlpm.MacVal,_xlfn.XLOOKUP($A370,Output_Mac!$A:$A,Output_Mac!K:K,""),
_xlpm.MyAuditVal,_xlfn.XLOOKUP($A370,My_Audit!$A:$A,My_Audit!J:J,""),
_xlfn.IFS(_xlpm.MyAuditVal&lt;&gt;"",UPPER(_xlpm.MyAuditVal),_xlpm.MacVal&lt;&gt;"",_xlpm.MacVal,_xlpm.CSVVal&lt;&gt;"",_xlpm.CSVVal
)),"")</f>
        <v/>
      </c>
      <c r="L370" s="2" t="str" cm="1">
        <f t="array" ref="L370">IFERROR(_xlfn.LET(
_xlpm.CSVVal,_xlfn.XLOOKUP($A370,CSV!$A:$A,CSV!P:P,""),
_xlpm.MacVal,_xlfn.XLOOKUP($A370,Output_Mac!$A:$A,Output_Mac!L:L,""),
_xlpm.MyAuditVal,_xlfn.XLOOKUP($A370,My_Audit!$A:$A,My_Audit!K:K,""),
_xlfn.IFS(_xlpm.MyAuditVal&lt;&gt;"",UPPER(_xlpm.MyAuditVal),_xlpm.MacVal&lt;&gt;"",_xlpm.MacVal,_xlpm.CSVVal&lt;&gt;"",_xlpm.CSVVal
)),"")</f>
        <v/>
      </c>
      <c r="M370" s="2" t="str" cm="1">
        <f t="array" ref="M370">IFERROR(_xlfn.LET(
_xlpm.CSVVal,_xlfn.XLOOKUP($A370,CSV!$A:$A,CSV!Q:Q,""),
_xlpm.MacVal,_xlfn.XLOOKUP($A370,Output_Mac!$A:$A,Output_Mac!M:M,""),
_xlpm.MyAuditVal,_xlfn.XLOOKUP($A370,My_Audit!$A:$A,My_Audit!L:L,""),
_xlfn.IFS(_xlpm.MyAuditVal&lt;&gt;"",UPPER(_xlpm.MyAuditVal),_xlpm.MacVal&lt;&gt;"",_xlpm.MacVal,_xlpm.CSVVal&lt;&gt;"",_xlpm.CSVVal
)),"")</f>
        <v/>
      </c>
      <c r="O370" s="2" t="str">
        <f>_xlfn.LET(
    _xlpm.CSVVal, _xlfn.XLOOKUP($A370, CSV!$A:$A, CSV!AF:AF, ""),
    _xlpm.MacVal, _xlfn.XLOOKUP($A370, Output_Mac!$A:$A, Output_Mac!S:S, ""),
    _xlpm.MyAuditVal, _xlfn.XLOOKUP($A370, My_Audit!$A:$A, My_Audit!P:P, ""),
    _xlfn.TEXTJOIN(", ", TRUE, _xlpm.MyAuditVal, _xlpm.MacVal, _xlpm.CSVVal)
)</f>
        <v/>
      </c>
      <c r="P370" s="2" t="str" cm="1">
        <f t="array" ref="P370">IFERROR(_xlfn.LET(
_xlpm.CSVVal,_xlfn.XLOOKUP($A370,CSV!$A:$A,CSV!AG:AG,""),
_xlpm.MacVal,_xlfn.XLOOKUP($A370,Output_Mac!$A:$A,Output_Mac!T:T,""),
_xlpm.MyAuditVal,_xlfn.XLOOKUP($A370,My_Audit!$A:$A,My_Audit!Q:Q,""),
_xlfn.IFS(_xlpm.MyAuditVal&lt;&gt;"",UPPER(_xlpm.MyAuditVal),_xlpm.MacVal&lt;&gt;"",_xlpm.MacVal,_xlpm.CSVVal&lt;&gt;"",_xlpm.CSVVal
)),"No")</f>
        <v>No</v>
      </c>
      <c r="Q370" s="2" t="str" cm="1">
        <f t="array" ref="Q370">IFERROR(_xlfn.LET(
_xlpm.CSVVal,_xlfn.XLOOKUP($A370,CSV!$A:$A,CSV!AH:AH,""),
_xlpm.MacVal,_xlfn.XLOOKUP($A370,Output_Mac!$A:$A,Output_Mac!U:U,""),
_xlpm.MyAuditVal,_xlfn.XLOOKUP($A370,My_Audit!$A:$A,My_Audit!R:R,""),
_xlfn.IFS(_xlpm.MyAuditVal&lt;&gt;"",UPPER(_xlpm.MyAuditVal),_xlpm.MacVal&lt;&gt;"",_xlpm.MacVal,_xlpm.CSVVal&lt;&gt;"",_xlpm.CSVVal
)),"")</f>
        <v/>
      </c>
    </row>
    <row r="371" spans="1:17">
      <c r="A371" s="2" t="str">
        <f>_xlfn.TEXTJOIN("",TRUE,Input!$B$2,ROW(My_Audit!A370))</f>
        <v>XX370</v>
      </c>
      <c r="B371" s="2" t="str">
        <f>_xlfn.TEXTJOIN("-",TRUE,"ITD",Input!$A$2,A371)</f>
        <v>ITD-SHRXXX-XX370</v>
      </c>
      <c r="C371" s="2" t="str" cm="1">
        <f t="array" ref="C371">IFERROR(_xlfn.LET(
_xlpm.CSVVal,_xlfn.XLOOKUP($A371,CSV!$A:$A,CSV!B:B,""),
_xlpm.MacVal,_xlfn.XLOOKUP($A371,Output_Mac!$A:$A,Output_Mac!B:B,""),
_xlpm.MyAuditVal,_xlfn.XLOOKUP($A371,My_Audit!$A:$A,My_Audit!B:B,""),
_xlfn.IFS(_xlpm.MyAuditVal&lt;&gt;"",UPPER(_xlpm.MyAuditVal),_xlpm.MacVal&lt;&gt;"",_xlpm.MacVal,_xlpm.CSVVal&lt;&gt;"",_xlpm.CSVVal
)),"")</f>
        <v/>
      </c>
      <c r="D371" s="2" t="str" cm="1">
        <f t="array" ref="D371">IFERROR(_xlfn.LET(
_xlpm.CSVVal,_xlfn.XLOOKUP($A371,CSV!$A:$A,CSV!D:D,""),
_xlpm.MacVal,_xlfn.XLOOKUP($A371,Output_Mac!$A:$A,Output_Mac!C:C,""),
_xlpm.MyAuditVal,_xlfn.XLOOKUP($A371,My_Audit!$A:$A,My_Audit!C:C,""),
_xlfn.IFS(_xlpm.MyAuditVal&lt;&gt;"",_xlpm.MyAuditVal,_xlpm.MacVal&lt;&gt;"",_xlpm.MacVal,_xlpm.CSVVal&lt;&gt;"",_xlpm.CSVVal
)),"")</f>
        <v/>
      </c>
      <c r="E371" s="2" t="str">
        <f>_xlfn.XLOOKUP(A371,My_Audit!A:A,My_Audit!D:D,"")&amp;""</f>
        <v/>
      </c>
      <c r="F371" s="2" t="str" cm="1">
        <f t="array" ref="F371">IFERROR(_xlfn.LET(
_xlpm.CSVVal,_xlfn.XLOOKUP($A371,CSV!$A:$A,CSV!F:F,""),
_xlpm.MacVal,_xlfn.XLOOKUP($A371,Output_Mac!$A:$A,Output_Mac!E:E,""),
_xlpm.MyAuditVal,_xlfn.XLOOKUP($A371,My_Audit!$A:$A,My_Audit!E:E,""),
_xlfn.IFS(_xlpm.MyAuditVal&lt;&gt;"",_xlpm.MyAuditVal,_xlpm.MacVal&lt;&gt;"",_xlpm.MacVal,_xlpm.CSVVal&lt;&gt;"",_xlpm.CSVVal
)),"")</f>
        <v/>
      </c>
      <c r="G371" s="2" t="str" cm="1">
        <f t="array" ref="G371">IFERROR(_xlfn.LET(
_xlpm.CSVVal,_xlfn.XLOOKUP($A371,CSV!$A:$A,CSV!G:G,""),
_xlpm.MacVal,_xlfn.XLOOKUP($A371,Output_Mac!$A:$A,Output_Mac!F:F,""),
_xlpm.MyAuditVal,_xlfn.XLOOKUP($A371,My_Audit!$A:$A,My_Audit!F:F,""),
_xlfn.IFS(_xlpm.MyAuditVal&lt;&gt;"",_xlpm.MyAuditVal,_xlpm.MacVal&lt;&gt;"",_xlpm.MacVal,_xlpm.CSVVal&lt;&gt;"",PROPER(_xlpm.CSVVal)
)),"")</f>
        <v/>
      </c>
      <c r="H371" s="2" t="str" cm="1">
        <f t="array" ref="H371">IFERROR(_xlfn.LET(
_xlpm.CSVVal,_xlfn.XLOOKUP($A371,CSV!$A:$A,CSV!H:H,""),
_xlpm.MacVal,_xlfn.XLOOKUP($A371,Output_Mac!$A:$A,Output_Mac!H:H,""),
_xlpm.MyAuditVal,_xlfn.XLOOKUP($A371,My_Audit!$A:$A,My_Audit!G:G,""),
_xlfn.IFS(_xlpm.MyAuditVal&lt;&gt;"",_xlpm.MyAuditVal,_xlpm.MacVal&lt;&gt;"",_xlpm.MacVal,_xlpm.CSVVal&lt;&gt;"",_xlpm.CSVVal
)),"")</f>
        <v/>
      </c>
      <c r="I371" s="2" t="str">
        <f>_xlfn.XLOOKUP(A371,Output_Mac!A:A,Output_Mac!I:I,"")</f>
        <v/>
      </c>
      <c r="J371" s="2" t="str" cm="1">
        <f t="array" ref="J371">IFERROR(_xlfn.LET(
_xlpm.CSVVal,_xlfn.XLOOKUP($A371,CSV!$A:$A,CSV!I:I,""),
_xlpm.MacVal,_xlfn.XLOOKUP($A371,Output_Mac!$A:$A,Output_Mac!J:J,""),
_xlpm.MyAuditVal,_xlfn.XLOOKUP($A371,My_Audit!$A:$A,My_Audit!I:I,""),
_xlfn.IFS(_xlpm.MyAuditVal&lt;&gt;"",UPPER(_xlpm.MyAuditVal),_xlpm.MacVal&lt;&gt;"",_xlpm.MacVal,_xlpm.CSVVal&lt;&gt;"",_xlpm.CSVVal
)),"")</f>
        <v/>
      </c>
      <c r="K371" s="2" t="str" cm="1">
        <f t="array" ref="K371">IFERROR(_xlfn.LET(
_xlpm.CSVVal,_xlfn.XLOOKUP($A371,CSV!$A:$A,CSV!K:K,""),
_xlpm.MacVal,_xlfn.XLOOKUP($A371,Output_Mac!$A:$A,Output_Mac!K:K,""),
_xlpm.MyAuditVal,_xlfn.XLOOKUP($A371,My_Audit!$A:$A,My_Audit!J:J,""),
_xlfn.IFS(_xlpm.MyAuditVal&lt;&gt;"",UPPER(_xlpm.MyAuditVal),_xlpm.MacVal&lt;&gt;"",_xlpm.MacVal,_xlpm.CSVVal&lt;&gt;"",_xlpm.CSVVal
)),"")</f>
        <v/>
      </c>
      <c r="L371" s="2" t="str" cm="1">
        <f t="array" ref="L371">IFERROR(_xlfn.LET(
_xlpm.CSVVal,_xlfn.XLOOKUP($A371,CSV!$A:$A,CSV!P:P,""),
_xlpm.MacVal,_xlfn.XLOOKUP($A371,Output_Mac!$A:$A,Output_Mac!L:L,""),
_xlpm.MyAuditVal,_xlfn.XLOOKUP($A371,My_Audit!$A:$A,My_Audit!K:K,""),
_xlfn.IFS(_xlpm.MyAuditVal&lt;&gt;"",UPPER(_xlpm.MyAuditVal),_xlpm.MacVal&lt;&gt;"",_xlpm.MacVal,_xlpm.CSVVal&lt;&gt;"",_xlpm.CSVVal
)),"")</f>
        <v/>
      </c>
      <c r="M371" s="2" t="str" cm="1">
        <f t="array" ref="M371">IFERROR(_xlfn.LET(
_xlpm.CSVVal,_xlfn.XLOOKUP($A371,CSV!$A:$A,CSV!Q:Q,""),
_xlpm.MacVal,_xlfn.XLOOKUP($A371,Output_Mac!$A:$A,Output_Mac!M:M,""),
_xlpm.MyAuditVal,_xlfn.XLOOKUP($A371,My_Audit!$A:$A,My_Audit!L:L,""),
_xlfn.IFS(_xlpm.MyAuditVal&lt;&gt;"",UPPER(_xlpm.MyAuditVal),_xlpm.MacVal&lt;&gt;"",_xlpm.MacVal,_xlpm.CSVVal&lt;&gt;"",_xlpm.CSVVal
)),"")</f>
        <v/>
      </c>
      <c r="O371" s="2" t="str">
        <f>_xlfn.LET(
    _xlpm.CSVVal, _xlfn.XLOOKUP($A371, CSV!$A:$A, CSV!AF:AF, ""),
    _xlpm.MacVal, _xlfn.XLOOKUP($A371, Output_Mac!$A:$A, Output_Mac!S:S, ""),
    _xlpm.MyAuditVal, _xlfn.XLOOKUP($A371, My_Audit!$A:$A, My_Audit!P:P, ""),
    _xlfn.TEXTJOIN(", ", TRUE, _xlpm.MyAuditVal, _xlpm.MacVal, _xlpm.CSVVal)
)</f>
        <v/>
      </c>
      <c r="P371" s="2" t="str" cm="1">
        <f t="array" ref="P371">IFERROR(_xlfn.LET(
_xlpm.CSVVal,_xlfn.XLOOKUP($A371,CSV!$A:$A,CSV!AG:AG,""),
_xlpm.MacVal,_xlfn.XLOOKUP($A371,Output_Mac!$A:$A,Output_Mac!T:T,""),
_xlpm.MyAuditVal,_xlfn.XLOOKUP($A371,My_Audit!$A:$A,My_Audit!Q:Q,""),
_xlfn.IFS(_xlpm.MyAuditVal&lt;&gt;"",UPPER(_xlpm.MyAuditVal),_xlpm.MacVal&lt;&gt;"",_xlpm.MacVal,_xlpm.CSVVal&lt;&gt;"",_xlpm.CSVVal
)),"No")</f>
        <v>No</v>
      </c>
      <c r="Q371" s="2" t="str" cm="1">
        <f t="array" ref="Q371">IFERROR(_xlfn.LET(
_xlpm.CSVVal,_xlfn.XLOOKUP($A371,CSV!$A:$A,CSV!AH:AH,""),
_xlpm.MacVal,_xlfn.XLOOKUP($A371,Output_Mac!$A:$A,Output_Mac!U:U,""),
_xlpm.MyAuditVal,_xlfn.XLOOKUP($A371,My_Audit!$A:$A,My_Audit!R:R,""),
_xlfn.IFS(_xlpm.MyAuditVal&lt;&gt;"",UPPER(_xlpm.MyAuditVal),_xlpm.MacVal&lt;&gt;"",_xlpm.MacVal,_xlpm.CSVVal&lt;&gt;"",_xlpm.CSVVal
)),"")</f>
        <v/>
      </c>
    </row>
    <row r="372" spans="1:17">
      <c r="A372" s="2" t="str">
        <f>_xlfn.TEXTJOIN("",TRUE,Input!$B$2,ROW(My_Audit!A371))</f>
        <v>XX371</v>
      </c>
      <c r="B372" s="2" t="str">
        <f>_xlfn.TEXTJOIN("-",TRUE,"ITD",Input!$A$2,A372)</f>
        <v>ITD-SHRXXX-XX371</v>
      </c>
      <c r="C372" s="2" t="str" cm="1">
        <f t="array" ref="C372">IFERROR(_xlfn.LET(
_xlpm.CSVVal,_xlfn.XLOOKUP($A372,CSV!$A:$A,CSV!B:B,""),
_xlpm.MacVal,_xlfn.XLOOKUP($A372,Output_Mac!$A:$A,Output_Mac!B:B,""),
_xlpm.MyAuditVal,_xlfn.XLOOKUP($A372,My_Audit!$A:$A,My_Audit!B:B,""),
_xlfn.IFS(_xlpm.MyAuditVal&lt;&gt;"",UPPER(_xlpm.MyAuditVal),_xlpm.MacVal&lt;&gt;"",_xlpm.MacVal,_xlpm.CSVVal&lt;&gt;"",_xlpm.CSVVal
)),"")</f>
        <v/>
      </c>
      <c r="D372" s="2" t="str" cm="1">
        <f t="array" ref="D372">IFERROR(_xlfn.LET(
_xlpm.CSVVal,_xlfn.XLOOKUP($A372,CSV!$A:$A,CSV!D:D,""),
_xlpm.MacVal,_xlfn.XLOOKUP($A372,Output_Mac!$A:$A,Output_Mac!C:C,""),
_xlpm.MyAuditVal,_xlfn.XLOOKUP($A372,My_Audit!$A:$A,My_Audit!C:C,""),
_xlfn.IFS(_xlpm.MyAuditVal&lt;&gt;"",_xlpm.MyAuditVal,_xlpm.MacVal&lt;&gt;"",_xlpm.MacVal,_xlpm.CSVVal&lt;&gt;"",_xlpm.CSVVal
)),"")</f>
        <v/>
      </c>
      <c r="E372" s="2" t="str">
        <f>_xlfn.XLOOKUP(A372,My_Audit!A:A,My_Audit!D:D,"")&amp;""</f>
        <v/>
      </c>
      <c r="F372" s="2" t="str" cm="1">
        <f t="array" ref="F372">IFERROR(_xlfn.LET(
_xlpm.CSVVal,_xlfn.XLOOKUP($A372,CSV!$A:$A,CSV!F:F,""),
_xlpm.MacVal,_xlfn.XLOOKUP($A372,Output_Mac!$A:$A,Output_Mac!E:E,""),
_xlpm.MyAuditVal,_xlfn.XLOOKUP($A372,My_Audit!$A:$A,My_Audit!E:E,""),
_xlfn.IFS(_xlpm.MyAuditVal&lt;&gt;"",_xlpm.MyAuditVal,_xlpm.MacVal&lt;&gt;"",_xlpm.MacVal,_xlpm.CSVVal&lt;&gt;"",_xlpm.CSVVal
)),"")</f>
        <v/>
      </c>
      <c r="G372" s="2" t="str" cm="1">
        <f t="array" ref="G372">IFERROR(_xlfn.LET(
_xlpm.CSVVal,_xlfn.XLOOKUP($A372,CSV!$A:$A,CSV!G:G,""),
_xlpm.MacVal,_xlfn.XLOOKUP($A372,Output_Mac!$A:$A,Output_Mac!F:F,""),
_xlpm.MyAuditVal,_xlfn.XLOOKUP($A372,My_Audit!$A:$A,My_Audit!F:F,""),
_xlfn.IFS(_xlpm.MyAuditVal&lt;&gt;"",_xlpm.MyAuditVal,_xlpm.MacVal&lt;&gt;"",_xlpm.MacVal,_xlpm.CSVVal&lt;&gt;"",PROPER(_xlpm.CSVVal)
)),"")</f>
        <v/>
      </c>
      <c r="H372" s="2" t="str" cm="1">
        <f t="array" ref="H372">IFERROR(_xlfn.LET(
_xlpm.CSVVal,_xlfn.XLOOKUP($A372,CSV!$A:$A,CSV!H:H,""),
_xlpm.MacVal,_xlfn.XLOOKUP($A372,Output_Mac!$A:$A,Output_Mac!H:H,""),
_xlpm.MyAuditVal,_xlfn.XLOOKUP($A372,My_Audit!$A:$A,My_Audit!G:G,""),
_xlfn.IFS(_xlpm.MyAuditVal&lt;&gt;"",_xlpm.MyAuditVal,_xlpm.MacVal&lt;&gt;"",_xlpm.MacVal,_xlpm.CSVVal&lt;&gt;"",_xlpm.CSVVal
)),"")</f>
        <v/>
      </c>
      <c r="I372" s="2" t="str">
        <f>_xlfn.XLOOKUP(A372,Output_Mac!A:A,Output_Mac!I:I,"")</f>
        <v/>
      </c>
      <c r="J372" s="2" t="str" cm="1">
        <f t="array" ref="J372">IFERROR(_xlfn.LET(
_xlpm.CSVVal,_xlfn.XLOOKUP($A372,CSV!$A:$A,CSV!I:I,""),
_xlpm.MacVal,_xlfn.XLOOKUP($A372,Output_Mac!$A:$A,Output_Mac!J:J,""),
_xlpm.MyAuditVal,_xlfn.XLOOKUP($A372,My_Audit!$A:$A,My_Audit!I:I,""),
_xlfn.IFS(_xlpm.MyAuditVal&lt;&gt;"",UPPER(_xlpm.MyAuditVal),_xlpm.MacVal&lt;&gt;"",_xlpm.MacVal,_xlpm.CSVVal&lt;&gt;"",_xlpm.CSVVal
)),"")</f>
        <v/>
      </c>
      <c r="K372" s="2" t="str" cm="1">
        <f t="array" ref="K372">IFERROR(_xlfn.LET(
_xlpm.CSVVal,_xlfn.XLOOKUP($A372,CSV!$A:$A,CSV!K:K,""),
_xlpm.MacVal,_xlfn.XLOOKUP($A372,Output_Mac!$A:$A,Output_Mac!K:K,""),
_xlpm.MyAuditVal,_xlfn.XLOOKUP($A372,My_Audit!$A:$A,My_Audit!J:J,""),
_xlfn.IFS(_xlpm.MyAuditVal&lt;&gt;"",UPPER(_xlpm.MyAuditVal),_xlpm.MacVal&lt;&gt;"",_xlpm.MacVal,_xlpm.CSVVal&lt;&gt;"",_xlpm.CSVVal
)),"")</f>
        <v/>
      </c>
      <c r="L372" s="2" t="str" cm="1">
        <f t="array" ref="L372">IFERROR(_xlfn.LET(
_xlpm.CSVVal,_xlfn.XLOOKUP($A372,CSV!$A:$A,CSV!P:P,""),
_xlpm.MacVal,_xlfn.XLOOKUP($A372,Output_Mac!$A:$A,Output_Mac!L:L,""),
_xlpm.MyAuditVal,_xlfn.XLOOKUP($A372,My_Audit!$A:$A,My_Audit!K:K,""),
_xlfn.IFS(_xlpm.MyAuditVal&lt;&gt;"",UPPER(_xlpm.MyAuditVal),_xlpm.MacVal&lt;&gt;"",_xlpm.MacVal,_xlpm.CSVVal&lt;&gt;"",_xlpm.CSVVal
)),"")</f>
        <v/>
      </c>
      <c r="M372" s="2" t="str" cm="1">
        <f t="array" ref="M372">IFERROR(_xlfn.LET(
_xlpm.CSVVal,_xlfn.XLOOKUP($A372,CSV!$A:$A,CSV!Q:Q,""),
_xlpm.MacVal,_xlfn.XLOOKUP($A372,Output_Mac!$A:$A,Output_Mac!M:M,""),
_xlpm.MyAuditVal,_xlfn.XLOOKUP($A372,My_Audit!$A:$A,My_Audit!L:L,""),
_xlfn.IFS(_xlpm.MyAuditVal&lt;&gt;"",UPPER(_xlpm.MyAuditVal),_xlpm.MacVal&lt;&gt;"",_xlpm.MacVal,_xlpm.CSVVal&lt;&gt;"",_xlpm.CSVVal
)),"")</f>
        <v/>
      </c>
      <c r="O372" s="2" t="str">
        <f>_xlfn.LET(
    _xlpm.CSVVal, _xlfn.XLOOKUP($A372, CSV!$A:$A, CSV!AF:AF, ""),
    _xlpm.MacVal, _xlfn.XLOOKUP($A372, Output_Mac!$A:$A, Output_Mac!S:S, ""),
    _xlpm.MyAuditVal, _xlfn.XLOOKUP($A372, My_Audit!$A:$A, My_Audit!P:P, ""),
    _xlfn.TEXTJOIN(", ", TRUE, _xlpm.MyAuditVal, _xlpm.MacVal, _xlpm.CSVVal)
)</f>
        <v/>
      </c>
      <c r="P372" s="2" t="str" cm="1">
        <f t="array" ref="P372">IFERROR(_xlfn.LET(
_xlpm.CSVVal,_xlfn.XLOOKUP($A372,CSV!$A:$A,CSV!AG:AG,""),
_xlpm.MacVal,_xlfn.XLOOKUP($A372,Output_Mac!$A:$A,Output_Mac!T:T,""),
_xlpm.MyAuditVal,_xlfn.XLOOKUP($A372,My_Audit!$A:$A,My_Audit!Q:Q,""),
_xlfn.IFS(_xlpm.MyAuditVal&lt;&gt;"",UPPER(_xlpm.MyAuditVal),_xlpm.MacVal&lt;&gt;"",_xlpm.MacVal,_xlpm.CSVVal&lt;&gt;"",_xlpm.CSVVal
)),"No")</f>
        <v>No</v>
      </c>
      <c r="Q372" s="2" t="str" cm="1">
        <f t="array" ref="Q372">IFERROR(_xlfn.LET(
_xlpm.CSVVal,_xlfn.XLOOKUP($A372,CSV!$A:$A,CSV!AH:AH,""),
_xlpm.MacVal,_xlfn.XLOOKUP($A372,Output_Mac!$A:$A,Output_Mac!U:U,""),
_xlpm.MyAuditVal,_xlfn.XLOOKUP($A372,My_Audit!$A:$A,My_Audit!R:R,""),
_xlfn.IFS(_xlpm.MyAuditVal&lt;&gt;"",UPPER(_xlpm.MyAuditVal),_xlpm.MacVal&lt;&gt;"",_xlpm.MacVal,_xlpm.CSVVal&lt;&gt;"",_xlpm.CSVVal
)),"")</f>
        <v/>
      </c>
    </row>
    <row r="373" spans="1:17">
      <c r="A373" s="2" t="str">
        <f>_xlfn.TEXTJOIN("",TRUE,Input!$B$2,ROW(My_Audit!A372))</f>
        <v>XX372</v>
      </c>
      <c r="B373" s="2" t="str">
        <f>_xlfn.TEXTJOIN("-",TRUE,"ITD",Input!$A$2,A373)</f>
        <v>ITD-SHRXXX-XX372</v>
      </c>
      <c r="C373" s="2" t="str" cm="1">
        <f t="array" ref="C373">IFERROR(_xlfn.LET(
_xlpm.CSVVal,_xlfn.XLOOKUP($A373,CSV!$A:$A,CSV!B:B,""),
_xlpm.MacVal,_xlfn.XLOOKUP($A373,Output_Mac!$A:$A,Output_Mac!B:B,""),
_xlpm.MyAuditVal,_xlfn.XLOOKUP($A373,My_Audit!$A:$A,My_Audit!B:B,""),
_xlfn.IFS(_xlpm.MyAuditVal&lt;&gt;"",UPPER(_xlpm.MyAuditVal),_xlpm.MacVal&lt;&gt;"",_xlpm.MacVal,_xlpm.CSVVal&lt;&gt;"",_xlpm.CSVVal
)),"")</f>
        <v/>
      </c>
      <c r="D373" s="2" t="str" cm="1">
        <f t="array" ref="D373">IFERROR(_xlfn.LET(
_xlpm.CSVVal,_xlfn.XLOOKUP($A373,CSV!$A:$A,CSV!D:D,""),
_xlpm.MacVal,_xlfn.XLOOKUP($A373,Output_Mac!$A:$A,Output_Mac!C:C,""),
_xlpm.MyAuditVal,_xlfn.XLOOKUP($A373,My_Audit!$A:$A,My_Audit!C:C,""),
_xlfn.IFS(_xlpm.MyAuditVal&lt;&gt;"",_xlpm.MyAuditVal,_xlpm.MacVal&lt;&gt;"",_xlpm.MacVal,_xlpm.CSVVal&lt;&gt;"",_xlpm.CSVVal
)),"")</f>
        <v/>
      </c>
      <c r="E373" s="2" t="str">
        <f>_xlfn.XLOOKUP(A373,My_Audit!A:A,My_Audit!D:D,"")&amp;""</f>
        <v/>
      </c>
      <c r="F373" s="2" t="str" cm="1">
        <f t="array" ref="F373">IFERROR(_xlfn.LET(
_xlpm.CSVVal,_xlfn.XLOOKUP($A373,CSV!$A:$A,CSV!F:F,""),
_xlpm.MacVal,_xlfn.XLOOKUP($A373,Output_Mac!$A:$A,Output_Mac!E:E,""),
_xlpm.MyAuditVal,_xlfn.XLOOKUP($A373,My_Audit!$A:$A,My_Audit!E:E,""),
_xlfn.IFS(_xlpm.MyAuditVal&lt;&gt;"",_xlpm.MyAuditVal,_xlpm.MacVal&lt;&gt;"",_xlpm.MacVal,_xlpm.CSVVal&lt;&gt;"",_xlpm.CSVVal
)),"")</f>
        <v/>
      </c>
      <c r="G373" s="2" t="str" cm="1">
        <f t="array" ref="G373">IFERROR(_xlfn.LET(
_xlpm.CSVVal,_xlfn.XLOOKUP($A373,CSV!$A:$A,CSV!G:G,""),
_xlpm.MacVal,_xlfn.XLOOKUP($A373,Output_Mac!$A:$A,Output_Mac!F:F,""),
_xlpm.MyAuditVal,_xlfn.XLOOKUP($A373,My_Audit!$A:$A,My_Audit!F:F,""),
_xlfn.IFS(_xlpm.MyAuditVal&lt;&gt;"",_xlpm.MyAuditVal,_xlpm.MacVal&lt;&gt;"",_xlpm.MacVal,_xlpm.CSVVal&lt;&gt;"",PROPER(_xlpm.CSVVal)
)),"")</f>
        <v/>
      </c>
      <c r="H373" s="2" t="str" cm="1">
        <f t="array" ref="H373">IFERROR(_xlfn.LET(
_xlpm.CSVVal,_xlfn.XLOOKUP($A373,CSV!$A:$A,CSV!H:H,""),
_xlpm.MacVal,_xlfn.XLOOKUP($A373,Output_Mac!$A:$A,Output_Mac!H:H,""),
_xlpm.MyAuditVal,_xlfn.XLOOKUP($A373,My_Audit!$A:$A,My_Audit!G:G,""),
_xlfn.IFS(_xlpm.MyAuditVal&lt;&gt;"",_xlpm.MyAuditVal,_xlpm.MacVal&lt;&gt;"",_xlpm.MacVal,_xlpm.CSVVal&lt;&gt;"",_xlpm.CSVVal
)),"")</f>
        <v/>
      </c>
      <c r="I373" s="2" t="str">
        <f>_xlfn.XLOOKUP(A373,Output_Mac!A:A,Output_Mac!I:I,"")</f>
        <v/>
      </c>
      <c r="J373" s="2" t="str" cm="1">
        <f t="array" ref="J373">IFERROR(_xlfn.LET(
_xlpm.CSVVal,_xlfn.XLOOKUP($A373,CSV!$A:$A,CSV!I:I,""),
_xlpm.MacVal,_xlfn.XLOOKUP($A373,Output_Mac!$A:$A,Output_Mac!J:J,""),
_xlpm.MyAuditVal,_xlfn.XLOOKUP($A373,My_Audit!$A:$A,My_Audit!I:I,""),
_xlfn.IFS(_xlpm.MyAuditVal&lt;&gt;"",UPPER(_xlpm.MyAuditVal),_xlpm.MacVal&lt;&gt;"",_xlpm.MacVal,_xlpm.CSVVal&lt;&gt;"",_xlpm.CSVVal
)),"")</f>
        <v/>
      </c>
      <c r="K373" s="2" t="str" cm="1">
        <f t="array" ref="K373">IFERROR(_xlfn.LET(
_xlpm.CSVVal,_xlfn.XLOOKUP($A373,CSV!$A:$A,CSV!K:K,""),
_xlpm.MacVal,_xlfn.XLOOKUP($A373,Output_Mac!$A:$A,Output_Mac!K:K,""),
_xlpm.MyAuditVal,_xlfn.XLOOKUP($A373,My_Audit!$A:$A,My_Audit!J:J,""),
_xlfn.IFS(_xlpm.MyAuditVal&lt;&gt;"",UPPER(_xlpm.MyAuditVal),_xlpm.MacVal&lt;&gt;"",_xlpm.MacVal,_xlpm.CSVVal&lt;&gt;"",_xlpm.CSVVal
)),"")</f>
        <v/>
      </c>
      <c r="L373" s="2" t="str" cm="1">
        <f t="array" ref="L373">IFERROR(_xlfn.LET(
_xlpm.CSVVal,_xlfn.XLOOKUP($A373,CSV!$A:$A,CSV!P:P,""),
_xlpm.MacVal,_xlfn.XLOOKUP($A373,Output_Mac!$A:$A,Output_Mac!L:L,""),
_xlpm.MyAuditVal,_xlfn.XLOOKUP($A373,My_Audit!$A:$A,My_Audit!K:K,""),
_xlfn.IFS(_xlpm.MyAuditVal&lt;&gt;"",UPPER(_xlpm.MyAuditVal),_xlpm.MacVal&lt;&gt;"",_xlpm.MacVal,_xlpm.CSVVal&lt;&gt;"",_xlpm.CSVVal
)),"")</f>
        <v/>
      </c>
      <c r="M373" s="2" t="str" cm="1">
        <f t="array" ref="M373">IFERROR(_xlfn.LET(
_xlpm.CSVVal,_xlfn.XLOOKUP($A373,CSV!$A:$A,CSV!Q:Q,""),
_xlpm.MacVal,_xlfn.XLOOKUP($A373,Output_Mac!$A:$A,Output_Mac!M:M,""),
_xlpm.MyAuditVal,_xlfn.XLOOKUP($A373,My_Audit!$A:$A,My_Audit!L:L,""),
_xlfn.IFS(_xlpm.MyAuditVal&lt;&gt;"",UPPER(_xlpm.MyAuditVal),_xlpm.MacVal&lt;&gt;"",_xlpm.MacVal,_xlpm.CSVVal&lt;&gt;"",_xlpm.CSVVal
)),"")</f>
        <v/>
      </c>
      <c r="O373" s="2" t="str">
        <f>_xlfn.LET(
    _xlpm.CSVVal, _xlfn.XLOOKUP($A373, CSV!$A:$A, CSV!AF:AF, ""),
    _xlpm.MacVal, _xlfn.XLOOKUP($A373, Output_Mac!$A:$A, Output_Mac!S:S, ""),
    _xlpm.MyAuditVal, _xlfn.XLOOKUP($A373, My_Audit!$A:$A, My_Audit!P:P, ""),
    _xlfn.TEXTJOIN(", ", TRUE, _xlpm.MyAuditVal, _xlpm.MacVal, _xlpm.CSVVal)
)</f>
        <v/>
      </c>
      <c r="P373" s="2" t="str" cm="1">
        <f t="array" ref="P373">IFERROR(_xlfn.LET(
_xlpm.CSVVal,_xlfn.XLOOKUP($A373,CSV!$A:$A,CSV!AG:AG,""),
_xlpm.MacVal,_xlfn.XLOOKUP($A373,Output_Mac!$A:$A,Output_Mac!T:T,""),
_xlpm.MyAuditVal,_xlfn.XLOOKUP($A373,My_Audit!$A:$A,My_Audit!Q:Q,""),
_xlfn.IFS(_xlpm.MyAuditVal&lt;&gt;"",UPPER(_xlpm.MyAuditVal),_xlpm.MacVal&lt;&gt;"",_xlpm.MacVal,_xlpm.CSVVal&lt;&gt;"",_xlpm.CSVVal
)),"No")</f>
        <v>No</v>
      </c>
      <c r="Q373" s="2" t="str" cm="1">
        <f t="array" ref="Q373">IFERROR(_xlfn.LET(
_xlpm.CSVVal,_xlfn.XLOOKUP($A373,CSV!$A:$A,CSV!AH:AH,""),
_xlpm.MacVal,_xlfn.XLOOKUP($A373,Output_Mac!$A:$A,Output_Mac!U:U,""),
_xlpm.MyAuditVal,_xlfn.XLOOKUP($A373,My_Audit!$A:$A,My_Audit!R:R,""),
_xlfn.IFS(_xlpm.MyAuditVal&lt;&gt;"",UPPER(_xlpm.MyAuditVal),_xlpm.MacVal&lt;&gt;"",_xlpm.MacVal,_xlpm.CSVVal&lt;&gt;"",_xlpm.CSVVal
)),"")</f>
        <v/>
      </c>
    </row>
    <row r="374" spans="1:17">
      <c r="A374" s="2" t="str">
        <f>_xlfn.TEXTJOIN("",TRUE,Input!$B$2,ROW(My_Audit!A373))</f>
        <v>XX373</v>
      </c>
      <c r="B374" s="2" t="str">
        <f>_xlfn.TEXTJOIN("-",TRUE,"ITD",Input!$A$2,A374)</f>
        <v>ITD-SHRXXX-XX373</v>
      </c>
      <c r="C374" s="2" t="str" cm="1">
        <f t="array" ref="C374">IFERROR(_xlfn.LET(
_xlpm.CSVVal,_xlfn.XLOOKUP($A374,CSV!$A:$A,CSV!B:B,""),
_xlpm.MacVal,_xlfn.XLOOKUP($A374,Output_Mac!$A:$A,Output_Mac!B:B,""),
_xlpm.MyAuditVal,_xlfn.XLOOKUP($A374,My_Audit!$A:$A,My_Audit!B:B,""),
_xlfn.IFS(_xlpm.MyAuditVal&lt;&gt;"",UPPER(_xlpm.MyAuditVal),_xlpm.MacVal&lt;&gt;"",_xlpm.MacVal,_xlpm.CSVVal&lt;&gt;"",_xlpm.CSVVal
)),"")</f>
        <v/>
      </c>
      <c r="D374" s="2" t="str" cm="1">
        <f t="array" ref="D374">IFERROR(_xlfn.LET(
_xlpm.CSVVal,_xlfn.XLOOKUP($A374,CSV!$A:$A,CSV!D:D,""),
_xlpm.MacVal,_xlfn.XLOOKUP($A374,Output_Mac!$A:$A,Output_Mac!C:C,""),
_xlpm.MyAuditVal,_xlfn.XLOOKUP($A374,My_Audit!$A:$A,My_Audit!C:C,""),
_xlfn.IFS(_xlpm.MyAuditVal&lt;&gt;"",_xlpm.MyAuditVal,_xlpm.MacVal&lt;&gt;"",_xlpm.MacVal,_xlpm.CSVVal&lt;&gt;"",_xlpm.CSVVal
)),"")</f>
        <v/>
      </c>
      <c r="E374" s="2" t="str">
        <f>_xlfn.XLOOKUP(A374,My_Audit!A:A,My_Audit!D:D,"")&amp;""</f>
        <v/>
      </c>
      <c r="F374" s="2" t="str" cm="1">
        <f t="array" ref="F374">IFERROR(_xlfn.LET(
_xlpm.CSVVal,_xlfn.XLOOKUP($A374,CSV!$A:$A,CSV!F:F,""),
_xlpm.MacVal,_xlfn.XLOOKUP($A374,Output_Mac!$A:$A,Output_Mac!E:E,""),
_xlpm.MyAuditVal,_xlfn.XLOOKUP($A374,My_Audit!$A:$A,My_Audit!E:E,""),
_xlfn.IFS(_xlpm.MyAuditVal&lt;&gt;"",_xlpm.MyAuditVal,_xlpm.MacVal&lt;&gt;"",_xlpm.MacVal,_xlpm.CSVVal&lt;&gt;"",_xlpm.CSVVal
)),"")</f>
        <v/>
      </c>
      <c r="G374" s="2" t="str" cm="1">
        <f t="array" ref="G374">IFERROR(_xlfn.LET(
_xlpm.CSVVal,_xlfn.XLOOKUP($A374,CSV!$A:$A,CSV!G:G,""),
_xlpm.MacVal,_xlfn.XLOOKUP($A374,Output_Mac!$A:$A,Output_Mac!F:F,""),
_xlpm.MyAuditVal,_xlfn.XLOOKUP($A374,My_Audit!$A:$A,My_Audit!F:F,""),
_xlfn.IFS(_xlpm.MyAuditVal&lt;&gt;"",_xlpm.MyAuditVal,_xlpm.MacVal&lt;&gt;"",_xlpm.MacVal,_xlpm.CSVVal&lt;&gt;"",PROPER(_xlpm.CSVVal)
)),"")</f>
        <v/>
      </c>
      <c r="H374" s="2" t="str" cm="1">
        <f t="array" ref="H374">IFERROR(_xlfn.LET(
_xlpm.CSVVal,_xlfn.XLOOKUP($A374,CSV!$A:$A,CSV!H:H,""),
_xlpm.MacVal,_xlfn.XLOOKUP($A374,Output_Mac!$A:$A,Output_Mac!H:H,""),
_xlpm.MyAuditVal,_xlfn.XLOOKUP($A374,My_Audit!$A:$A,My_Audit!G:G,""),
_xlfn.IFS(_xlpm.MyAuditVal&lt;&gt;"",_xlpm.MyAuditVal,_xlpm.MacVal&lt;&gt;"",_xlpm.MacVal,_xlpm.CSVVal&lt;&gt;"",_xlpm.CSVVal
)),"")</f>
        <v/>
      </c>
      <c r="I374" s="2" t="str">
        <f>_xlfn.XLOOKUP(A374,Output_Mac!A:A,Output_Mac!I:I,"")</f>
        <v/>
      </c>
      <c r="J374" s="2" t="str" cm="1">
        <f t="array" ref="J374">IFERROR(_xlfn.LET(
_xlpm.CSVVal,_xlfn.XLOOKUP($A374,CSV!$A:$A,CSV!I:I,""),
_xlpm.MacVal,_xlfn.XLOOKUP($A374,Output_Mac!$A:$A,Output_Mac!J:J,""),
_xlpm.MyAuditVal,_xlfn.XLOOKUP($A374,My_Audit!$A:$A,My_Audit!I:I,""),
_xlfn.IFS(_xlpm.MyAuditVal&lt;&gt;"",UPPER(_xlpm.MyAuditVal),_xlpm.MacVal&lt;&gt;"",_xlpm.MacVal,_xlpm.CSVVal&lt;&gt;"",_xlpm.CSVVal
)),"")</f>
        <v/>
      </c>
      <c r="K374" s="2" t="str" cm="1">
        <f t="array" ref="K374">IFERROR(_xlfn.LET(
_xlpm.CSVVal,_xlfn.XLOOKUP($A374,CSV!$A:$A,CSV!K:K,""),
_xlpm.MacVal,_xlfn.XLOOKUP($A374,Output_Mac!$A:$A,Output_Mac!K:K,""),
_xlpm.MyAuditVal,_xlfn.XLOOKUP($A374,My_Audit!$A:$A,My_Audit!J:J,""),
_xlfn.IFS(_xlpm.MyAuditVal&lt;&gt;"",UPPER(_xlpm.MyAuditVal),_xlpm.MacVal&lt;&gt;"",_xlpm.MacVal,_xlpm.CSVVal&lt;&gt;"",_xlpm.CSVVal
)),"")</f>
        <v/>
      </c>
      <c r="L374" s="2" t="str" cm="1">
        <f t="array" ref="L374">IFERROR(_xlfn.LET(
_xlpm.CSVVal,_xlfn.XLOOKUP($A374,CSV!$A:$A,CSV!P:P,""),
_xlpm.MacVal,_xlfn.XLOOKUP($A374,Output_Mac!$A:$A,Output_Mac!L:L,""),
_xlpm.MyAuditVal,_xlfn.XLOOKUP($A374,My_Audit!$A:$A,My_Audit!K:K,""),
_xlfn.IFS(_xlpm.MyAuditVal&lt;&gt;"",UPPER(_xlpm.MyAuditVal),_xlpm.MacVal&lt;&gt;"",_xlpm.MacVal,_xlpm.CSVVal&lt;&gt;"",_xlpm.CSVVal
)),"")</f>
        <v/>
      </c>
      <c r="M374" s="2" t="str" cm="1">
        <f t="array" ref="M374">IFERROR(_xlfn.LET(
_xlpm.CSVVal,_xlfn.XLOOKUP($A374,CSV!$A:$A,CSV!Q:Q,""),
_xlpm.MacVal,_xlfn.XLOOKUP($A374,Output_Mac!$A:$A,Output_Mac!M:M,""),
_xlpm.MyAuditVal,_xlfn.XLOOKUP($A374,My_Audit!$A:$A,My_Audit!L:L,""),
_xlfn.IFS(_xlpm.MyAuditVal&lt;&gt;"",UPPER(_xlpm.MyAuditVal),_xlpm.MacVal&lt;&gt;"",_xlpm.MacVal,_xlpm.CSVVal&lt;&gt;"",_xlpm.CSVVal
)),"")</f>
        <v/>
      </c>
      <c r="O374" s="2" t="str">
        <f>_xlfn.LET(
    _xlpm.CSVVal, _xlfn.XLOOKUP($A374, CSV!$A:$A, CSV!AF:AF, ""),
    _xlpm.MacVal, _xlfn.XLOOKUP($A374, Output_Mac!$A:$A, Output_Mac!S:S, ""),
    _xlpm.MyAuditVal, _xlfn.XLOOKUP($A374, My_Audit!$A:$A, My_Audit!P:P, ""),
    _xlfn.TEXTJOIN(", ", TRUE, _xlpm.MyAuditVal, _xlpm.MacVal, _xlpm.CSVVal)
)</f>
        <v/>
      </c>
      <c r="P374" s="2" t="str" cm="1">
        <f t="array" ref="P374">IFERROR(_xlfn.LET(
_xlpm.CSVVal,_xlfn.XLOOKUP($A374,CSV!$A:$A,CSV!AG:AG,""),
_xlpm.MacVal,_xlfn.XLOOKUP($A374,Output_Mac!$A:$A,Output_Mac!T:T,""),
_xlpm.MyAuditVal,_xlfn.XLOOKUP($A374,My_Audit!$A:$A,My_Audit!Q:Q,""),
_xlfn.IFS(_xlpm.MyAuditVal&lt;&gt;"",UPPER(_xlpm.MyAuditVal),_xlpm.MacVal&lt;&gt;"",_xlpm.MacVal,_xlpm.CSVVal&lt;&gt;"",_xlpm.CSVVal
)),"No")</f>
        <v>No</v>
      </c>
      <c r="Q374" s="2" t="str" cm="1">
        <f t="array" ref="Q374">IFERROR(_xlfn.LET(
_xlpm.CSVVal,_xlfn.XLOOKUP($A374,CSV!$A:$A,CSV!AH:AH,""),
_xlpm.MacVal,_xlfn.XLOOKUP($A374,Output_Mac!$A:$A,Output_Mac!U:U,""),
_xlpm.MyAuditVal,_xlfn.XLOOKUP($A374,My_Audit!$A:$A,My_Audit!R:R,""),
_xlfn.IFS(_xlpm.MyAuditVal&lt;&gt;"",UPPER(_xlpm.MyAuditVal),_xlpm.MacVal&lt;&gt;"",_xlpm.MacVal,_xlpm.CSVVal&lt;&gt;"",_xlpm.CSVVal
)),"")</f>
        <v/>
      </c>
    </row>
    <row r="375" spans="1:17">
      <c r="A375" s="2" t="str">
        <f>_xlfn.TEXTJOIN("",TRUE,Input!$B$2,ROW(My_Audit!A374))</f>
        <v>XX374</v>
      </c>
      <c r="B375" s="2" t="str">
        <f>_xlfn.TEXTJOIN("-",TRUE,"ITD",Input!$A$2,A375)</f>
        <v>ITD-SHRXXX-XX374</v>
      </c>
      <c r="C375" s="2" t="str" cm="1">
        <f t="array" ref="C375">IFERROR(_xlfn.LET(
_xlpm.CSVVal,_xlfn.XLOOKUP($A375,CSV!$A:$A,CSV!B:B,""),
_xlpm.MacVal,_xlfn.XLOOKUP($A375,Output_Mac!$A:$A,Output_Mac!B:B,""),
_xlpm.MyAuditVal,_xlfn.XLOOKUP($A375,My_Audit!$A:$A,My_Audit!B:B,""),
_xlfn.IFS(_xlpm.MyAuditVal&lt;&gt;"",UPPER(_xlpm.MyAuditVal),_xlpm.MacVal&lt;&gt;"",_xlpm.MacVal,_xlpm.CSVVal&lt;&gt;"",_xlpm.CSVVal
)),"")</f>
        <v/>
      </c>
      <c r="D375" s="2" t="str" cm="1">
        <f t="array" ref="D375">IFERROR(_xlfn.LET(
_xlpm.CSVVal,_xlfn.XLOOKUP($A375,CSV!$A:$A,CSV!D:D,""),
_xlpm.MacVal,_xlfn.XLOOKUP($A375,Output_Mac!$A:$A,Output_Mac!C:C,""),
_xlpm.MyAuditVal,_xlfn.XLOOKUP($A375,My_Audit!$A:$A,My_Audit!C:C,""),
_xlfn.IFS(_xlpm.MyAuditVal&lt;&gt;"",_xlpm.MyAuditVal,_xlpm.MacVal&lt;&gt;"",_xlpm.MacVal,_xlpm.CSVVal&lt;&gt;"",_xlpm.CSVVal
)),"")</f>
        <v/>
      </c>
      <c r="E375" s="2" t="str">
        <f>_xlfn.XLOOKUP(A375,My_Audit!A:A,My_Audit!D:D,"")&amp;""</f>
        <v/>
      </c>
      <c r="F375" s="2" t="str" cm="1">
        <f t="array" ref="F375">IFERROR(_xlfn.LET(
_xlpm.CSVVal,_xlfn.XLOOKUP($A375,CSV!$A:$A,CSV!F:F,""),
_xlpm.MacVal,_xlfn.XLOOKUP($A375,Output_Mac!$A:$A,Output_Mac!E:E,""),
_xlpm.MyAuditVal,_xlfn.XLOOKUP($A375,My_Audit!$A:$A,My_Audit!E:E,""),
_xlfn.IFS(_xlpm.MyAuditVal&lt;&gt;"",_xlpm.MyAuditVal,_xlpm.MacVal&lt;&gt;"",_xlpm.MacVal,_xlpm.CSVVal&lt;&gt;"",_xlpm.CSVVal
)),"")</f>
        <v/>
      </c>
      <c r="G375" s="2" t="str" cm="1">
        <f t="array" ref="G375">IFERROR(_xlfn.LET(
_xlpm.CSVVal,_xlfn.XLOOKUP($A375,CSV!$A:$A,CSV!G:G,""),
_xlpm.MacVal,_xlfn.XLOOKUP($A375,Output_Mac!$A:$A,Output_Mac!F:F,""),
_xlpm.MyAuditVal,_xlfn.XLOOKUP($A375,My_Audit!$A:$A,My_Audit!F:F,""),
_xlfn.IFS(_xlpm.MyAuditVal&lt;&gt;"",_xlpm.MyAuditVal,_xlpm.MacVal&lt;&gt;"",_xlpm.MacVal,_xlpm.CSVVal&lt;&gt;"",PROPER(_xlpm.CSVVal)
)),"")</f>
        <v/>
      </c>
      <c r="H375" s="2" t="str" cm="1">
        <f t="array" ref="H375">IFERROR(_xlfn.LET(
_xlpm.CSVVal,_xlfn.XLOOKUP($A375,CSV!$A:$A,CSV!H:H,""),
_xlpm.MacVal,_xlfn.XLOOKUP($A375,Output_Mac!$A:$A,Output_Mac!H:H,""),
_xlpm.MyAuditVal,_xlfn.XLOOKUP($A375,My_Audit!$A:$A,My_Audit!G:G,""),
_xlfn.IFS(_xlpm.MyAuditVal&lt;&gt;"",_xlpm.MyAuditVal,_xlpm.MacVal&lt;&gt;"",_xlpm.MacVal,_xlpm.CSVVal&lt;&gt;"",_xlpm.CSVVal
)),"")</f>
        <v/>
      </c>
      <c r="I375" s="2" t="str">
        <f>_xlfn.XLOOKUP(A375,Output_Mac!A:A,Output_Mac!I:I,"")</f>
        <v/>
      </c>
      <c r="J375" s="2" t="str" cm="1">
        <f t="array" ref="J375">IFERROR(_xlfn.LET(
_xlpm.CSVVal,_xlfn.XLOOKUP($A375,CSV!$A:$A,CSV!I:I,""),
_xlpm.MacVal,_xlfn.XLOOKUP($A375,Output_Mac!$A:$A,Output_Mac!J:J,""),
_xlpm.MyAuditVal,_xlfn.XLOOKUP($A375,My_Audit!$A:$A,My_Audit!I:I,""),
_xlfn.IFS(_xlpm.MyAuditVal&lt;&gt;"",UPPER(_xlpm.MyAuditVal),_xlpm.MacVal&lt;&gt;"",_xlpm.MacVal,_xlpm.CSVVal&lt;&gt;"",_xlpm.CSVVal
)),"")</f>
        <v/>
      </c>
      <c r="K375" s="2" t="str" cm="1">
        <f t="array" ref="K375">IFERROR(_xlfn.LET(
_xlpm.CSVVal,_xlfn.XLOOKUP($A375,CSV!$A:$A,CSV!K:K,""),
_xlpm.MacVal,_xlfn.XLOOKUP($A375,Output_Mac!$A:$A,Output_Mac!K:K,""),
_xlpm.MyAuditVal,_xlfn.XLOOKUP($A375,My_Audit!$A:$A,My_Audit!J:J,""),
_xlfn.IFS(_xlpm.MyAuditVal&lt;&gt;"",UPPER(_xlpm.MyAuditVal),_xlpm.MacVal&lt;&gt;"",_xlpm.MacVal,_xlpm.CSVVal&lt;&gt;"",_xlpm.CSVVal
)),"")</f>
        <v/>
      </c>
      <c r="L375" s="2" t="str" cm="1">
        <f t="array" ref="L375">IFERROR(_xlfn.LET(
_xlpm.CSVVal,_xlfn.XLOOKUP($A375,CSV!$A:$A,CSV!P:P,""),
_xlpm.MacVal,_xlfn.XLOOKUP($A375,Output_Mac!$A:$A,Output_Mac!L:L,""),
_xlpm.MyAuditVal,_xlfn.XLOOKUP($A375,My_Audit!$A:$A,My_Audit!K:K,""),
_xlfn.IFS(_xlpm.MyAuditVal&lt;&gt;"",UPPER(_xlpm.MyAuditVal),_xlpm.MacVal&lt;&gt;"",_xlpm.MacVal,_xlpm.CSVVal&lt;&gt;"",_xlpm.CSVVal
)),"")</f>
        <v/>
      </c>
      <c r="M375" s="2" t="str" cm="1">
        <f t="array" ref="M375">IFERROR(_xlfn.LET(
_xlpm.CSVVal,_xlfn.XLOOKUP($A375,CSV!$A:$A,CSV!Q:Q,""),
_xlpm.MacVal,_xlfn.XLOOKUP($A375,Output_Mac!$A:$A,Output_Mac!M:M,""),
_xlpm.MyAuditVal,_xlfn.XLOOKUP($A375,My_Audit!$A:$A,My_Audit!L:L,""),
_xlfn.IFS(_xlpm.MyAuditVal&lt;&gt;"",UPPER(_xlpm.MyAuditVal),_xlpm.MacVal&lt;&gt;"",_xlpm.MacVal,_xlpm.CSVVal&lt;&gt;"",_xlpm.CSVVal
)),"")</f>
        <v/>
      </c>
      <c r="O375" s="2" t="str">
        <f>_xlfn.LET(
    _xlpm.CSVVal, _xlfn.XLOOKUP($A375, CSV!$A:$A, CSV!AF:AF, ""),
    _xlpm.MacVal, _xlfn.XLOOKUP($A375, Output_Mac!$A:$A, Output_Mac!S:S, ""),
    _xlpm.MyAuditVal, _xlfn.XLOOKUP($A375, My_Audit!$A:$A, My_Audit!P:P, ""),
    _xlfn.TEXTJOIN(", ", TRUE, _xlpm.MyAuditVal, _xlpm.MacVal, _xlpm.CSVVal)
)</f>
        <v/>
      </c>
      <c r="P375" s="2" t="str" cm="1">
        <f t="array" ref="P375">IFERROR(_xlfn.LET(
_xlpm.CSVVal,_xlfn.XLOOKUP($A375,CSV!$A:$A,CSV!AG:AG,""),
_xlpm.MacVal,_xlfn.XLOOKUP($A375,Output_Mac!$A:$A,Output_Mac!T:T,""),
_xlpm.MyAuditVal,_xlfn.XLOOKUP($A375,My_Audit!$A:$A,My_Audit!Q:Q,""),
_xlfn.IFS(_xlpm.MyAuditVal&lt;&gt;"",UPPER(_xlpm.MyAuditVal),_xlpm.MacVal&lt;&gt;"",_xlpm.MacVal,_xlpm.CSVVal&lt;&gt;"",_xlpm.CSVVal
)),"No")</f>
        <v>No</v>
      </c>
      <c r="Q375" s="2" t="str" cm="1">
        <f t="array" ref="Q375">IFERROR(_xlfn.LET(
_xlpm.CSVVal,_xlfn.XLOOKUP($A375,CSV!$A:$A,CSV!AH:AH,""),
_xlpm.MacVal,_xlfn.XLOOKUP($A375,Output_Mac!$A:$A,Output_Mac!U:U,""),
_xlpm.MyAuditVal,_xlfn.XLOOKUP($A375,My_Audit!$A:$A,My_Audit!R:R,""),
_xlfn.IFS(_xlpm.MyAuditVal&lt;&gt;"",UPPER(_xlpm.MyAuditVal),_xlpm.MacVal&lt;&gt;"",_xlpm.MacVal,_xlpm.CSVVal&lt;&gt;"",_xlpm.CSVVal
)),"")</f>
        <v/>
      </c>
    </row>
    <row r="376" spans="1:17">
      <c r="A376" s="2" t="str">
        <f>_xlfn.TEXTJOIN("",TRUE,Input!$B$2,ROW(My_Audit!A375))</f>
        <v>XX375</v>
      </c>
      <c r="B376" s="2" t="str">
        <f>_xlfn.TEXTJOIN("-",TRUE,"ITD",Input!$A$2,A376)</f>
        <v>ITD-SHRXXX-XX375</v>
      </c>
      <c r="C376" s="2" t="str" cm="1">
        <f t="array" ref="C376">IFERROR(_xlfn.LET(
_xlpm.CSVVal,_xlfn.XLOOKUP($A376,CSV!$A:$A,CSV!B:B,""),
_xlpm.MacVal,_xlfn.XLOOKUP($A376,Output_Mac!$A:$A,Output_Mac!B:B,""),
_xlpm.MyAuditVal,_xlfn.XLOOKUP($A376,My_Audit!$A:$A,My_Audit!B:B,""),
_xlfn.IFS(_xlpm.MyAuditVal&lt;&gt;"",UPPER(_xlpm.MyAuditVal),_xlpm.MacVal&lt;&gt;"",_xlpm.MacVal,_xlpm.CSVVal&lt;&gt;"",_xlpm.CSVVal
)),"")</f>
        <v/>
      </c>
      <c r="D376" s="2" t="str" cm="1">
        <f t="array" ref="D376">IFERROR(_xlfn.LET(
_xlpm.CSVVal,_xlfn.XLOOKUP($A376,CSV!$A:$A,CSV!D:D,""),
_xlpm.MacVal,_xlfn.XLOOKUP($A376,Output_Mac!$A:$A,Output_Mac!C:C,""),
_xlpm.MyAuditVal,_xlfn.XLOOKUP($A376,My_Audit!$A:$A,My_Audit!C:C,""),
_xlfn.IFS(_xlpm.MyAuditVal&lt;&gt;"",_xlpm.MyAuditVal,_xlpm.MacVal&lt;&gt;"",_xlpm.MacVal,_xlpm.CSVVal&lt;&gt;"",_xlpm.CSVVal
)),"")</f>
        <v/>
      </c>
      <c r="E376" s="2" t="str">
        <f>_xlfn.XLOOKUP(A376,My_Audit!A:A,My_Audit!D:D,"")&amp;""</f>
        <v/>
      </c>
      <c r="F376" s="2" t="str" cm="1">
        <f t="array" ref="F376">IFERROR(_xlfn.LET(
_xlpm.CSVVal,_xlfn.XLOOKUP($A376,CSV!$A:$A,CSV!F:F,""),
_xlpm.MacVal,_xlfn.XLOOKUP($A376,Output_Mac!$A:$A,Output_Mac!E:E,""),
_xlpm.MyAuditVal,_xlfn.XLOOKUP($A376,My_Audit!$A:$A,My_Audit!E:E,""),
_xlfn.IFS(_xlpm.MyAuditVal&lt;&gt;"",_xlpm.MyAuditVal,_xlpm.MacVal&lt;&gt;"",_xlpm.MacVal,_xlpm.CSVVal&lt;&gt;"",_xlpm.CSVVal
)),"")</f>
        <v/>
      </c>
      <c r="G376" s="2" t="str" cm="1">
        <f t="array" ref="G376">IFERROR(_xlfn.LET(
_xlpm.CSVVal,_xlfn.XLOOKUP($A376,CSV!$A:$A,CSV!G:G,""),
_xlpm.MacVal,_xlfn.XLOOKUP($A376,Output_Mac!$A:$A,Output_Mac!F:F,""),
_xlpm.MyAuditVal,_xlfn.XLOOKUP($A376,My_Audit!$A:$A,My_Audit!F:F,""),
_xlfn.IFS(_xlpm.MyAuditVal&lt;&gt;"",_xlpm.MyAuditVal,_xlpm.MacVal&lt;&gt;"",_xlpm.MacVal,_xlpm.CSVVal&lt;&gt;"",PROPER(_xlpm.CSVVal)
)),"")</f>
        <v/>
      </c>
      <c r="H376" s="2" t="str" cm="1">
        <f t="array" ref="H376">IFERROR(_xlfn.LET(
_xlpm.CSVVal,_xlfn.XLOOKUP($A376,CSV!$A:$A,CSV!H:H,""),
_xlpm.MacVal,_xlfn.XLOOKUP($A376,Output_Mac!$A:$A,Output_Mac!H:H,""),
_xlpm.MyAuditVal,_xlfn.XLOOKUP($A376,My_Audit!$A:$A,My_Audit!G:G,""),
_xlfn.IFS(_xlpm.MyAuditVal&lt;&gt;"",_xlpm.MyAuditVal,_xlpm.MacVal&lt;&gt;"",_xlpm.MacVal,_xlpm.CSVVal&lt;&gt;"",_xlpm.CSVVal
)),"")</f>
        <v/>
      </c>
      <c r="I376" s="2" t="str">
        <f>_xlfn.XLOOKUP(A376,Output_Mac!A:A,Output_Mac!I:I,"")</f>
        <v/>
      </c>
      <c r="J376" s="2" t="str" cm="1">
        <f t="array" ref="J376">IFERROR(_xlfn.LET(
_xlpm.CSVVal,_xlfn.XLOOKUP($A376,CSV!$A:$A,CSV!I:I,""),
_xlpm.MacVal,_xlfn.XLOOKUP($A376,Output_Mac!$A:$A,Output_Mac!J:J,""),
_xlpm.MyAuditVal,_xlfn.XLOOKUP($A376,My_Audit!$A:$A,My_Audit!I:I,""),
_xlfn.IFS(_xlpm.MyAuditVal&lt;&gt;"",UPPER(_xlpm.MyAuditVal),_xlpm.MacVal&lt;&gt;"",_xlpm.MacVal,_xlpm.CSVVal&lt;&gt;"",_xlpm.CSVVal
)),"")</f>
        <v/>
      </c>
      <c r="K376" s="2" t="str" cm="1">
        <f t="array" ref="K376">IFERROR(_xlfn.LET(
_xlpm.CSVVal,_xlfn.XLOOKUP($A376,CSV!$A:$A,CSV!K:K,""),
_xlpm.MacVal,_xlfn.XLOOKUP($A376,Output_Mac!$A:$A,Output_Mac!K:K,""),
_xlpm.MyAuditVal,_xlfn.XLOOKUP($A376,My_Audit!$A:$A,My_Audit!J:J,""),
_xlfn.IFS(_xlpm.MyAuditVal&lt;&gt;"",UPPER(_xlpm.MyAuditVal),_xlpm.MacVal&lt;&gt;"",_xlpm.MacVal,_xlpm.CSVVal&lt;&gt;"",_xlpm.CSVVal
)),"")</f>
        <v/>
      </c>
      <c r="L376" s="2" t="str" cm="1">
        <f t="array" ref="L376">IFERROR(_xlfn.LET(
_xlpm.CSVVal,_xlfn.XLOOKUP($A376,CSV!$A:$A,CSV!P:P,""),
_xlpm.MacVal,_xlfn.XLOOKUP($A376,Output_Mac!$A:$A,Output_Mac!L:L,""),
_xlpm.MyAuditVal,_xlfn.XLOOKUP($A376,My_Audit!$A:$A,My_Audit!K:K,""),
_xlfn.IFS(_xlpm.MyAuditVal&lt;&gt;"",UPPER(_xlpm.MyAuditVal),_xlpm.MacVal&lt;&gt;"",_xlpm.MacVal,_xlpm.CSVVal&lt;&gt;"",_xlpm.CSVVal
)),"")</f>
        <v/>
      </c>
      <c r="M376" s="2" t="str" cm="1">
        <f t="array" ref="M376">IFERROR(_xlfn.LET(
_xlpm.CSVVal,_xlfn.XLOOKUP($A376,CSV!$A:$A,CSV!Q:Q,""),
_xlpm.MacVal,_xlfn.XLOOKUP($A376,Output_Mac!$A:$A,Output_Mac!M:M,""),
_xlpm.MyAuditVal,_xlfn.XLOOKUP($A376,My_Audit!$A:$A,My_Audit!L:L,""),
_xlfn.IFS(_xlpm.MyAuditVal&lt;&gt;"",UPPER(_xlpm.MyAuditVal),_xlpm.MacVal&lt;&gt;"",_xlpm.MacVal,_xlpm.CSVVal&lt;&gt;"",_xlpm.CSVVal
)),"")</f>
        <v/>
      </c>
      <c r="O376" s="2" t="str">
        <f>_xlfn.LET(
    _xlpm.CSVVal, _xlfn.XLOOKUP($A376, CSV!$A:$A, CSV!AF:AF, ""),
    _xlpm.MacVal, _xlfn.XLOOKUP($A376, Output_Mac!$A:$A, Output_Mac!S:S, ""),
    _xlpm.MyAuditVal, _xlfn.XLOOKUP($A376, My_Audit!$A:$A, My_Audit!P:P, ""),
    _xlfn.TEXTJOIN(", ", TRUE, _xlpm.MyAuditVal, _xlpm.MacVal, _xlpm.CSVVal)
)</f>
        <v/>
      </c>
      <c r="P376" s="2" t="str" cm="1">
        <f t="array" ref="P376">IFERROR(_xlfn.LET(
_xlpm.CSVVal,_xlfn.XLOOKUP($A376,CSV!$A:$A,CSV!AG:AG,""),
_xlpm.MacVal,_xlfn.XLOOKUP($A376,Output_Mac!$A:$A,Output_Mac!T:T,""),
_xlpm.MyAuditVal,_xlfn.XLOOKUP($A376,My_Audit!$A:$A,My_Audit!Q:Q,""),
_xlfn.IFS(_xlpm.MyAuditVal&lt;&gt;"",UPPER(_xlpm.MyAuditVal),_xlpm.MacVal&lt;&gt;"",_xlpm.MacVal,_xlpm.CSVVal&lt;&gt;"",_xlpm.CSVVal
)),"No")</f>
        <v>No</v>
      </c>
      <c r="Q376" s="2" t="str" cm="1">
        <f t="array" ref="Q376">IFERROR(_xlfn.LET(
_xlpm.CSVVal,_xlfn.XLOOKUP($A376,CSV!$A:$A,CSV!AH:AH,""),
_xlpm.MacVal,_xlfn.XLOOKUP($A376,Output_Mac!$A:$A,Output_Mac!U:U,""),
_xlpm.MyAuditVal,_xlfn.XLOOKUP($A376,My_Audit!$A:$A,My_Audit!R:R,""),
_xlfn.IFS(_xlpm.MyAuditVal&lt;&gt;"",UPPER(_xlpm.MyAuditVal),_xlpm.MacVal&lt;&gt;"",_xlpm.MacVal,_xlpm.CSVVal&lt;&gt;"",_xlpm.CSVVal
)),"")</f>
        <v/>
      </c>
    </row>
    <row r="377" spans="1:17">
      <c r="A377" s="2" t="str">
        <f>_xlfn.TEXTJOIN("",TRUE,Input!$B$2,ROW(My_Audit!A376))</f>
        <v>XX376</v>
      </c>
      <c r="B377" s="2" t="str">
        <f>_xlfn.TEXTJOIN("-",TRUE,"ITD",Input!$A$2,A377)</f>
        <v>ITD-SHRXXX-XX376</v>
      </c>
      <c r="C377" s="2" t="str" cm="1">
        <f t="array" ref="C377">IFERROR(_xlfn.LET(
_xlpm.CSVVal,_xlfn.XLOOKUP($A377,CSV!$A:$A,CSV!B:B,""),
_xlpm.MacVal,_xlfn.XLOOKUP($A377,Output_Mac!$A:$A,Output_Mac!B:B,""),
_xlpm.MyAuditVal,_xlfn.XLOOKUP($A377,My_Audit!$A:$A,My_Audit!B:B,""),
_xlfn.IFS(_xlpm.MyAuditVal&lt;&gt;"",UPPER(_xlpm.MyAuditVal),_xlpm.MacVal&lt;&gt;"",_xlpm.MacVal,_xlpm.CSVVal&lt;&gt;"",_xlpm.CSVVal
)),"")</f>
        <v/>
      </c>
      <c r="D377" s="2" t="str" cm="1">
        <f t="array" ref="D377">IFERROR(_xlfn.LET(
_xlpm.CSVVal,_xlfn.XLOOKUP($A377,CSV!$A:$A,CSV!D:D,""),
_xlpm.MacVal,_xlfn.XLOOKUP($A377,Output_Mac!$A:$A,Output_Mac!C:C,""),
_xlpm.MyAuditVal,_xlfn.XLOOKUP($A377,My_Audit!$A:$A,My_Audit!C:C,""),
_xlfn.IFS(_xlpm.MyAuditVal&lt;&gt;"",_xlpm.MyAuditVal,_xlpm.MacVal&lt;&gt;"",_xlpm.MacVal,_xlpm.CSVVal&lt;&gt;"",_xlpm.CSVVal
)),"")</f>
        <v/>
      </c>
      <c r="E377" s="2" t="str">
        <f>_xlfn.XLOOKUP(A377,My_Audit!A:A,My_Audit!D:D,"")&amp;""</f>
        <v/>
      </c>
      <c r="F377" s="2" t="str" cm="1">
        <f t="array" ref="F377">IFERROR(_xlfn.LET(
_xlpm.CSVVal,_xlfn.XLOOKUP($A377,CSV!$A:$A,CSV!F:F,""),
_xlpm.MacVal,_xlfn.XLOOKUP($A377,Output_Mac!$A:$A,Output_Mac!E:E,""),
_xlpm.MyAuditVal,_xlfn.XLOOKUP($A377,My_Audit!$A:$A,My_Audit!E:E,""),
_xlfn.IFS(_xlpm.MyAuditVal&lt;&gt;"",_xlpm.MyAuditVal,_xlpm.MacVal&lt;&gt;"",_xlpm.MacVal,_xlpm.CSVVal&lt;&gt;"",_xlpm.CSVVal
)),"")</f>
        <v/>
      </c>
      <c r="G377" s="2" t="str" cm="1">
        <f t="array" ref="G377">IFERROR(_xlfn.LET(
_xlpm.CSVVal,_xlfn.XLOOKUP($A377,CSV!$A:$A,CSV!G:G,""),
_xlpm.MacVal,_xlfn.XLOOKUP($A377,Output_Mac!$A:$A,Output_Mac!F:F,""),
_xlpm.MyAuditVal,_xlfn.XLOOKUP($A377,My_Audit!$A:$A,My_Audit!F:F,""),
_xlfn.IFS(_xlpm.MyAuditVal&lt;&gt;"",_xlpm.MyAuditVal,_xlpm.MacVal&lt;&gt;"",_xlpm.MacVal,_xlpm.CSVVal&lt;&gt;"",PROPER(_xlpm.CSVVal)
)),"")</f>
        <v/>
      </c>
      <c r="H377" s="2" t="str" cm="1">
        <f t="array" ref="H377">IFERROR(_xlfn.LET(
_xlpm.CSVVal,_xlfn.XLOOKUP($A377,CSV!$A:$A,CSV!H:H,""),
_xlpm.MacVal,_xlfn.XLOOKUP($A377,Output_Mac!$A:$A,Output_Mac!H:H,""),
_xlpm.MyAuditVal,_xlfn.XLOOKUP($A377,My_Audit!$A:$A,My_Audit!G:G,""),
_xlfn.IFS(_xlpm.MyAuditVal&lt;&gt;"",_xlpm.MyAuditVal,_xlpm.MacVal&lt;&gt;"",_xlpm.MacVal,_xlpm.CSVVal&lt;&gt;"",_xlpm.CSVVal
)),"")</f>
        <v/>
      </c>
      <c r="I377" s="2" t="str">
        <f>_xlfn.XLOOKUP(A377,Output_Mac!A:A,Output_Mac!I:I,"")</f>
        <v/>
      </c>
      <c r="J377" s="2" t="str" cm="1">
        <f t="array" ref="J377">IFERROR(_xlfn.LET(
_xlpm.CSVVal,_xlfn.XLOOKUP($A377,CSV!$A:$A,CSV!I:I,""),
_xlpm.MacVal,_xlfn.XLOOKUP($A377,Output_Mac!$A:$A,Output_Mac!J:J,""),
_xlpm.MyAuditVal,_xlfn.XLOOKUP($A377,My_Audit!$A:$A,My_Audit!I:I,""),
_xlfn.IFS(_xlpm.MyAuditVal&lt;&gt;"",UPPER(_xlpm.MyAuditVal),_xlpm.MacVal&lt;&gt;"",_xlpm.MacVal,_xlpm.CSVVal&lt;&gt;"",_xlpm.CSVVal
)),"")</f>
        <v/>
      </c>
      <c r="K377" s="2" t="str" cm="1">
        <f t="array" ref="K377">IFERROR(_xlfn.LET(
_xlpm.CSVVal,_xlfn.XLOOKUP($A377,CSV!$A:$A,CSV!K:K,""),
_xlpm.MacVal,_xlfn.XLOOKUP($A377,Output_Mac!$A:$A,Output_Mac!K:K,""),
_xlpm.MyAuditVal,_xlfn.XLOOKUP($A377,My_Audit!$A:$A,My_Audit!J:J,""),
_xlfn.IFS(_xlpm.MyAuditVal&lt;&gt;"",UPPER(_xlpm.MyAuditVal),_xlpm.MacVal&lt;&gt;"",_xlpm.MacVal,_xlpm.CSVVal&lt;&gt;"",_xlpm.CSVVal
)),"")</f>
        <v/>
      </c>
      <c r="L377" s="2" t="str" cm="1">
        <f t="array" ref="L377">IFERROR(_xlfn.LET(
_xlpm.CSVVal,_xlfn.XLOOKUP($A377,CSV!$A:$A,CSV!P:P,""),
_xlpm.MacVal,_xlfn.XLOOKUP($A377,Output_Mac!$A:$A,Output_Mac!L:L,""),
_xlpm.MyAuditVal,_xlfn.XLOOKUP($A377,My_Audit!$A:$A,My_Audit!K:K,""),
_xlfn.IFS(_xlpm.MyAuditVal&lt;&gt;"",UPPER(_xlpm.MyAuditVal),_xlpm.MacVal&lt;&gt;"",_xlpm.MacVal,_xlpm.CSVVal&lt;&gt;"",_xlpm.CSVVal
)),"")</f>
        <v/>
      </c>
      <c r="M377" s="2" t="str" cm="1">
        <f t="array" ref="M377">IFERROR(_xlfn.LET(
_xlpm.CSVVal,_xlfn.XLOOKUP($A377,CSV!$A:$A,CSV!Q:Q,""),
_xlpm.MacVal,_xlfn.XLOOKUP($A377,Output_Mac!$A:$A,Output_Mac!M:M,""),
_xlpm.MyAuditVal,_xlfn.XLOOKUP($A377,My_Audit!$A:$A,My_Audit!L:L,""),
_xlfn.IFS(_xlpm.MyAuditVal&lt;&gt;"",UPPER(_xlpm.MyAuditVal),_xlpm.MacVal&lt;&gt;"",_xlpm.MacVal,_xlpm.CSVVal&lt;&gt;"",_xlpm.CSVVal
)),"")</f>
        <v/>
      </c>
      <c r="O377" s="2" t="str">
        <f>_xlfn.LET(
    _xlpm.CSVVal, _xlfn.XLOOKUP($A377, CSV!$A:$A, CSV!AF:AF, ""),
    _xlpm.MacVal, _xlfn.XLOOKUP($A377, Output_Mac!$A:$A, Output_Mac!S:S, ""),
    _xlpm.MyAuditVal, _xlfn.XLOOKUP($A377, My_Audit!$A:$A, My_Audit!P:P, ""),
    _xlfn.TEXTJOIN(", ", TRUE, _xlpm.MyAuditVal, _xlpm.MacVal, _xlpm.CSVVal)
)</f>
        <v/>
      </c>
      <c r="P377" s="2" t="str" cm="1">
        <f t="array" ref="P377">IFERROR(_xlfn.LET(
_xlpm.CSVVal,_xlfn.XLOOKUP($A377,CSV!$A:$A,CSV!AG:AG,""),
_xlpm.MacVal,_xlfn.XLOOKUP($A377,Output_Mac!$A:$A,Output_Mac!T:T,""),
_xlpm.MyAuditVal,_xlfn.XLOOKUP($A377,My_Audit!$A:$A,My_Audit!Q:Q,""),
_xlfn.IFS(_xlpm.MyAuditVal&lt;&gt;"",UPPER(_xlpm.MyAuditVal),_xlpm.MacVal&lt;&gt;"",_xlpm.MacVal,_xlpm.CSVVal&lt;&gt;"",_xlpm.CSVVal
)),"No")</f>
        <v>No</v>
      </c>
      <c r="Q377" s="2" t="str" cm="1">
        <f t="array" ref="Q377">IFERROR(_xlfn.LET(
_xlpm.CSVVal,_xlfn.XLOOKUP($A377,CSV!$A:$A,CSV!AH:AH,""),
_xlpm.MacVal,_xlfn.XLOOKUP($A377,Output_Mac!$A:$A,Output_Mac!U:U,""),
_xlpm.MyAuditVal,_xlfn.XLOOKUP($A377,My_Audit!$A:$A,My_Audit!R:R,""),
_xlfn.IFS(_xlpm.MyAuditVal&lt;&gt;"",UPPER(_xlpm.MyAuditVal),_xlpm.MacVal&lt;&gt;"",_xlpm.MacVal,_xlpm.CSVVal&lt;&gt;"",_xlpm.CSVVal
)),"")</f>
        <v/>
      </c>
    </row>
    <row r="378" spans="1:17">
      <c r="A378" s="2" t="str">
        <f>_xlfn.TEXTJOIN("",TRUE,Input!$B$2,ROW(My_Audit!A377))</f>
        <v>XX377</v>
      </c>
      <c r="B378" s="2" t="str">
        <f>_xlfn.TEXTJOIN("-",TRUE,"ITD",Input!$A$2,A378)</f>
        <v>ITD-SHRXXX-XX377</v>
      </c>
      <c r="C378" s="2" t="str" cm="1">
        <f t="array" ref="C378">IFERROR(_xlfn.LET(
_xlpm.CSVVal,_xlfn.XLOOKUP($A378,CSV!$A:$A,CSV!B:B,""),
_xlpm.MacVal,_xlfn.XLOOKUP($A378,Output_Mac!$A:$A,Output_Mac!B:B,""),
_xlpm.MyAuditVal,_xlfn.XLOOKUP($A378,My_Audit!$A:$A,My_Audit!B:B,""),
_xlfn.IFS(_xlpm.MyAuditVal&lt;&gt;"",UPPER(_xlpm.MyAuditVal),_xlpm.MacVal&lt;&gt;"",_xlpm.MacVal,_xlpm.CSVVal&lt;&gt;"",_xlpm.CSVVal
)),"")</f>
        <v/>
      </c>
      <c r="D378" s="2" t="str" cm="1">
        <f t="array" ref="D378">IFERROR(_xlfn.LET(
_xlpm.CSVVal,_xlfn.XLOOKUP($A378,CSV!$A:$A,CSV!D:D,""),
_xlpm.MacVal,_xlfn.XLOOKUP($A378,Output_Mac!$A:$A,Output_Mac!C:C,""),
_xlpm.MyAuditVal,_xlfn.XLOOKUP($A378,My_Audit!$A:$A,My_Audit!C:C,""),
_xlfn.IFS(_xlpm.MyAuditVal&lt;&gt;"",_xlpm.MyAuditVal,_xlpm.MacVal&lt;&gt;"",_xlpm.MacVal,_xlpm.CSVVal&lt;&gt;"",_xlpm.CSVVal
)),"")</f>
        <v/>
      </c>
      <c r="E378" s="2" t="str">
        <f>_xlfn.XLOOKUP(A378,My_Audit!A:A,My_Audit!D:D,"")&amp;""</f>
        <v/>
      </c>
      <c r="F378" s="2" t="str" cm="1">
        <f t="array" ref="F378">IFERROR(_xlfn.LET(
_xlpm.CSVVal,_xlfn.XLOOKUP($A378,CSV!$A:$A,CSV!F:F,""),
_xlpm.MacVal,_xlfn.XLOOKUP($A378,Output_Mac!$A:$A,Output_Mac!E:E,""),
_xlpm.MyAuditVal,_xlfn.XLOOKUP($A378,My_Audit!$A:$A,My_Audit!E:E,""),
_xlfn.IFS(_xlpm.MyAuditVal&lt;&gt;"",_xlpm.MyAuditVal,_xlpm.MacVal&lt;&gt;"",_xlpm.MacVal,_xlpm.CSVVal&lt;&gt;"",_xlpm.CSVVal
)),"")</f>
        <v/>
      </c>
      <c r="G378" s="2" t="str" cm="1">
        <f t="array" ref="G378">IFERROR(_xlfn.LET(
_xlpm.CSVVal,_xlfn.XLOOKUP($A378,CSV!$A:$A,CSV!G:G,""),
_xlpm.MacVal,_xlfn.XLOOKUP($A378,Output_Mac!$A:$A,Output_Mac!F:F,""),
_xlpm.MyAuditVal,_xlfn.XLOOKUP($A378,My_Audit!$A:$A,My_Audit!F:F,""),
_xlfn.IFS(_xlpm.MyAuditVal&lt;&gt;"",_xlpm.MyAuditVal,_xlpm.MacVal&lt;&gt;"",_xlpm.MacVal,_xlpm.CSVVal&lt;&gt;"",PROPER(_xlpm.CSVVal)
)),"")</f>
        <v/>
      </c>
      <c r="H378" s="2" t="str" cm="1">
        <f t="array" ref="H378">IFERROR(_xlfn.LET(
_xlpm.CSVVal,_xlfn.XLOOKUP($A378,CSV!$A:$A,CSV!H:H,""),
_xlpm.MacVal,_xlfn.XLOOKUP($A378,Output_Mac!$A:$A,Output_Mac!H:H,""),
_xlpm.MyAuditVal,_xlfn.XLOOKUP($A378,My_Audit!$A:$A,My_Audit!G:G,""),
_xlfn.IFS(_xlpm.MyAuditVal&lt;&gt;"",_xlpm.MyAuditVal,_xlpm.MacVal&lt;&gt;"",_xlpm.MacVal,_xlpm.CSVVal&lt;&gt;"",_xlpm.CSVVal
)),"")</f>
        <v/>
      </c>
      <c r="I378" s="2" t="str">
        <f>_xlfn.XLOOKUP(A378,Output_Mac!A:A,Output_Mac!I:I,"")</f>
        <v/>
      </c>
      <c r="J378" s="2" t="str" cm="1">
        <f t="array" ref="J378">IFERROR(_xlfn.LET(
_xlpm.CSVVal,_xlfn.XLOOKUP($A378,CSV!$A:$A,CSV!I:I,""),
_xlpm.MacVal,_xlfn.XLOOKUP($A378,Output_Mac!$A:$A,Output_Mac!J:J,""),
_xlpm.MyAuditVal,_xlfn.XLOOKUP($A378,My_Audit!$A:$A,My_Audit!I:I,""),
_xlfn.IFS(_xlpm.MyAuditVal&lt;&gt;"",UPPER(_xlpm.MyAuditVal),_xlpm.MacVal&lt;&gt;"",_xlpm.MacVal,_xlpm.CSVVal&lt;&gt;"",_xlpm.CSVVal
)),"")</f>
        <v/>
      </c>
      <c r="K378" s="2" t="str" cm="1">
        <f t="array" ref="K378">IFERROR(_xlfn.LET(
_xlpm.CSVVal,_xlfn.XLOOKUP($A378,CSV!$A:$A,CSV!K:K,""),
_xlpm.MacVal,_xlfn.XLOOKUP($A378,Output_Mac!$A:$A,Output_Mac!K:K,""),
_xlpm.MyAuditVal,_xlfn.XLOOKUP($A378,My_Audit!$A:$A,My_Audit!J:J,""),
_xlfn.IFS(_xlpm.MyAuditVal&lt;&gt;"",UPPER(_xlpm.MyAuditVal),_xlpm.MacVal&lt;&gt;"",_xlpm.MacVal,_xlpm.CSVVal&lt;&gt;"",_xlpm.CSVVal
)),"")</f>
        <v/>
      </c>
      <c r="L378" s="2" t="str" cm="1">
        <f t="array" ref="L378">IFERROR(_xlfn.LET(
_xlpm.CSVVal,_xlfn.XLOOKUP($A378,CSV!$A:$A,CSV!P:P,""),
_xlpm.MacVal,_xlfn.XLOOKUP($A378,Output_Mac!$A:$A,Output_Mac!L:L,""),
_xlpm.MyAuditVal,_xlfn.XLOOKUP($A378,My_Audit!$A:$A,My_Audit!K:K,""),
_xlfn.IFS(_xlpm.MyAuditVal&lt;&gt;"",UPPER(_xlpm.MyAuditVal),_xlpm.MacVal&lt;&gt;"",_xlpm.MacVal,_xlpm.CSVVal&lt;&gt;"",_xlpm.CSVVal
)),"")</f>
        <v/>
      </c>
      <c r="M378" s="2" t="str" cm="1">
        <f t="array" ref="M378">IFERROR(_xlfn.LET(
_xlpm.CSVVal,_xlfn.XLOOKUP($A378,CSV!$A:$A,CSV!Q:Q,""),
_xlpm.MacVal,_xlfn.XLOOKUP($A378,Output_Mac!$A:$A,Output_Mac!M:M,""),
_xlpm.MyAuditVal,_xlfn.XLOOKUP($A378,My_Audit!$A:$A,My_Audit!L:L,""),
_xlfn.IFS(_xlpm.MyAuditVal&lt;&gt;"",UPPER(_xlpm.MyAuditVal),_xlpm.MacVal&lt;&gt;"",_xlpm.MacVal,_xlpm.CSVVal&lt;&gt;"",_xlpm.CSVVal
)),"")</f>
        <v/>
      </c>
      <c r="O378" s="2" t="str">
        <f>_xlfn.LET(
    _xlpm.CSVVal, _xlfn.XLOOKUP($A378, CSV!$A:$A, CSV!AF:AF, ""),
    _xlpm.MacVal, _xlfn.XLOOKUP($A378, Output_Mac!$A:$A, Output_Mac!S:S, ""),
    _xlpm.MyAuditVal, _xlfn.XLOOKUP($A378, My_Audit!$A:$A, My_Audit!P:P, ""),
    _xlfn.TEXTJOIN(", ", TRUE, _xlpm.MyAuditVal, _xlpm.MacVal, _xlpm.CSVVal)
)</f>
        <v/>
      </c>
      <c r="P378" s="2" t="str" cm="1">
        <f t="array" ref="P378">IFERROR(_xlfn.LET(
_xlpm.CSVVal,_xlfn.XLOOKUP($A378,CSV!$A:$A,CSV!AG:AG,""),
_xlpm.MacVal,_xlfn.XLOOKUP($A378,Output_Mac!$A:$A,Output_Mac!T:T,""),
_xlpm.MyAuditVal,_xlfn.XLOOKUP($A378,My_Audit!$A:$A,My_Audit!Q:Q,""),
_xlfn.IFS(_xlpm.MyAuditVal&lt;&gt;"",UPPER(_xlpm.MyAuditVal),_xlpm.MacVal&lt;&gt;"",_xlpm.MacVal,_xlpm.CSVVal&lt;&gt;"",_xlpm.CSVVal
)),"No")</f>
        <v>No</v>
      </c>
      <c r="Q378" s="2" t="str" cm="1">
        <f t="array" ref="Q378">IFERROR(_xlfn.LET(
_xlpm.CSVVal,_xlfn.XLOOKUP($A378,CSV!$A:$A,CSV!AH:AH,""),
_xlpm.MacVal,_xlfn.XLOOKUP($A378,Output_Mac!$A:$A,Output_Mac!U:U,""),
_xlpm.MyAuditVal,_xlfn.XLOOKUP($A378,My_Audit!$A:$A,My_Audit!R:R,""),
_xlfn.IFS(_xlpm.MyAuditVal&lt;&gt;"",UPPER(_xlpm.MyAuditVal),_xlpm.MacVal&lt;&gt;"",_xlpm.MacVal,_xlpm.CSVVal&lt;&gt;"",_xlpm.CSVVal
)),"")</f>
        <v/>
      </c>
    </row>
    <row r="379" spans="1:17">
      <c r="A379" s="2" t="str">
        <f>_xlfn.TEXTJOIN("",TRUE,Input!$B$2,ROW(My_Audit!A378))</f>
        <v>XX378</v>
      </c>
      <c r="B379" s="2" t="str">
        <f>_xlfn.TEXTJOIN("-",TRUE,"ITD",Input!$A$2,A379)</f>
        <v>ITD-SHRXXX-XX378</v>
      </c>
      <c r="C379" s="2" t="str" cm="1">
        <f t="array" ref="C379">IFERROR(_xlfn.LET(
_xlpm.CSVVal,_xlfn.XLOOKUP($A379,CSV!$A:$A,CSV!B:B,""),
_xlpm.MacVal,_xlfn.XLOOKUP($A379,Output_Mac!$A:$A,Output_Mac!B:B,""),
_xlpm.MyAuditVal,_xlfn.XLOOKUP($A379,My_Audit!$A:$A,My_Audit!B:B,""),
_xlfn.IFS(_xlpm.MyAuditVal&lt;&gt;"",UPPER(_xlpm.MyAuditVal),_xlpm.MacVal&lt;&gt;"",_xlpm.MacVal,_xlpm.CSVVal&lt;&gt;"",_xlpm.CSVVal
)),"")</f>
        <v/>
      </c>
      <c r="D379" s="2" t="str" cm="1">
        <f t="array" ref="D379">IFERROR(_xlfn.LET(
_xlpm.CSVVal,_xlfn.XLOOKUP($A379,CSV!$A:$A,CSV!D:D,""),
_xlpm.MacVal,_xlfn.XLOOKUP($A379,Output_Mac!$A:$A,Output_Mac!C:C,""),
_xlpm.MyAuditVal,_xlfn.XLOOKUP($A379,My_Audit!$A:$A,My_Audit!C:C,""),
_xlfn.IFS(_xlpm.MyAuditVal&lt;&gt;"",_xlpm.MyAuditVal,_xlpm.MacVal&lt;&gt;"",_xlpm.MacVal,_xlpm.CSVVal&lt;&gt;"",_xlpm.CSVVal
)),"")</f>
        <v/>
      </c>
      <c r="E379" s="2" t="str">
        <f>_xlfn.XLOOKUP(A379,My_Audit!A:A,My_Audit!D:D,"")&amp;""</f>
        <v/>
      </c>
      <c r="F379" s="2" t="str" cm="1">
        <f t="array" ref="F379">IFERROR(_xlfn.LET(
_xlpm.CSVVal,_xlfn.XLOOKUP($A379,CSV!$A:$A,CSV!F:F,""),
_xlpm.MacVal,_xlfn.XLOOKUP($A379,Output_Mac!$A:$A,Output_Mac!E:E,""),
_xlpm.MyAuditVal,_xlfn.XLOOKUP($A379,My_Audit!$A:$A,My_Audit!E:E,""),
_xlfn.IFS(_xlpm.MyAuditVal&lt;&gt;"",_xlpm.MyAuditVal,_xlpm.MacVal&lt;&gt;"",_xlpm.MacVal,_xlpm.CSVVal&lt;&gt;"",_xlpm.CSVVal
)),"")</f>
        <v/>
      </c>
      <c r="G379" s="2" t="str" cm="1">
        <f t="array" ref="G379">IFERROR(_xlfn.LET(
_xlpm.CSVVal,_xlfn.XLOOKUP($A379,CSV!$A:$A,CSV!G:G,""),
_xlpm.MacVal,_xlfn.XLOOKUP($A379,Output_Mac!$A:$A,Output_Mac!F:F,""),
_xlpm.MyAuditVal,_xlfn.XLOOKUP($A379,My_Audit!$A:$A,My_Audit!F:F,""),
_xlfn.IFS(_xlpm.MyAuditVal&lt;&gt;"",_xlpm.MyAuditVal,_xlpm.MacVal&lt;&gt;"",_xlpm.MacVal,_xlpm.CSVVal&lt;&gt;"",PROPER(_xlpm.CSVVal)
)),"")</f>
        <v/>
      </c>
      <c r="H379" s="2" t="str" cm="1">
        <f t="array" ref="H379">IFERROR(_xlfn.LET(
_xlpm.CSVVal,_xlfn.XLOOKUP($A379,CSV!$A:$A,CSV!H:H,""),
_xlpm.MacVal,_xlfn.XLOOKUP($A379,Output_Mac!$A:$A,Output_Mac!H:H,""),
_xlpm.MyAuditVal,_xlfn.XLOOKUP($A379,My_Audit!$A:$A,My_Audit!G:G,""),
_xlfn.IFS(_xlpm.MyAuditVal&lt;&gt;"",_xlpm.MyAuditVal,_xlpm.MacVal&lt;&gt;"",_xlpm.MacVal,_xlpm.CSVVal&lt;&gt;"",_xlpm.CSVVal
)),"")</f>
        <v/>
      </c>
      <c r="I379" s="2" t="str">
        <f>_xlfn.XLOOKUP(A379,Output_Mac!A:A,Output_Mac!I:I,"")</f>
        <v/>
      </c>
      <c r="J379" s="2" t="str" cm="1">
        <f t="array" ref="J379">IFERROR(_xlfn.LET(
_xlpm.CSVVal,_xlfn.XLOOKUP($A379,CSV!$A:$A,CSV!I:I,""),
_xlpm.MacVal,_xlfn.XLOOKUP($A379,Output_Mac!$A:$A,Output_Mac!J:J,""),
_xlpm.MyAuditVal,_xlfn.XLOOKUP($A379,My_Audit!$A:$A,My_Audit!I:I,""),
_xlfn.IFS(_xlpm.MyAuditVal&lt;&gt;"",UPPER(_xlpm.MyAuditVal),_xlpm.MacVal&lt;&gt;"",_xlpm.MacVal,_xlpm.CSVVal&lt;&gt;"",_xlpm.CSVVal
)),"")</f>
        <v/>
      </c>
      <c r="K379" s="2" t="str" cm="1">
        <f t="array" ref="K379">IFERROR(_xlfn.LET(
_xlpm.CSVVal,_xlfn.XLOOKUP($A379,CSV!$A:$A,CSV!K:K,""),
_xlpm.MacVal,_xlfn.XLOOKUP($A379,Output_Mac!$A:$A,Output_Mac!K:K,""),
_xlpm.MyAuditVal,_xlfn.XLOOKUP($A379,My_Audit!$A:$A,My_Audit!J:J,""),
_xlfn.IFS(_xlpm.MyAuditVal&lt;&gt;"",UPPER(_xlpm.MyAuditVal),_xlpm.MacVal&lt;&gt;"",_xlpm.MacVal,_xlpm.CSVVal&lt;&gt;"",_xlpm.CSVVal
)),"")</f>
        <v/>
      </c>
      <c r="L379" s="2" t="str" cm="1">
        <f t="array" ref="L379">IFERROR(_xlfn.LET(
_xlpm.CSVVal,_xlfn.XLOOKUP($A379,CSV!$A:$A,CSV!P:P,""),
_xlpm.MacVal,_xlfn.XLOOKUP($A379,Output_Mac!$A:$A,Output_Mac!L:L,""),
_xlpm.MyAuditVal,_xlfn.XLOOKUP($A379,My_Audit!$A:$A,My_Audit!K:K,""),
_xlfn.IFS(_xlpm.MyAuditVal&lt;&gt;"",UPPER(_xlpm.MyAuditVal),_xlpm.MacVal&lt;&gt;"",_xlpm.MacVal,_xlpm.CSVVal&lt;&gt;"",_xlpm.CSVVal
)),"")</f>
        <v/>
      </c>
      <c r="M379" s="2" t="str" cm="1">
        <f t="array" ref="M379">IFERROR(_xlfn.LET(
_xlpm.CSVVal,_xlfn.XLOOKUP($A379,CSV!$A:$A,CSV!Q:Q,""),
_xlpm.MacVal,_xlfn.XLOOKUP($A379,Output_Mac!$A:$A,Output_Mac!M:M,""),
_xlpm.MyAuditVal,_xlfn.XLOOKUP($A379,My_Audit!$A:$A,My_Audit!L:L,""),
_xlfn.IFS(_xlpm.MyAuditVal&lt;&gt;"",UPPER(_xlpm.MyAuditVal),_xlpm.MacVal&lt;&gt;"",_xlpm.MacVal,_xlpm.CSVVal&lt;&gt;"",_xlpm.CSVVal
)),"")</f>
        <v/>
      </c>
      <c r="O379" s="2" t="str">
        <f>_xlfn.LET(
    _xlpm.CSVVal, _xlfn.XLOOKUP($A379, CSV!$A:$A, CSV!AF:AF, ""),
    _xlpm.MacVal, _xlfn.XLOOKUP($A379, Output_Mac!$A:$A, Output_Mac!S:S, ""),
    _xlpm.MyAuditVal, _xlfn.XLOOKUP($A379, My_Audit!$A:$A, My_Audit!P:P, ""),
    _xlfn.TEXTJOIN(", ", TRUE, _xlpm.MyAuditVal, _xlpm.MacVal, _xlpm.CSVVal)
)</f>
        <v/>
      </c>
      <c r="P379" s="2" t="str" cm="1">
        <f t="array" ref="P379">IFERROR(_xlfn.LET(
_xlpm.CSVVal,_xlfn.XLOOKUP($A379,CSV!$A:$A,CSV!AG:AG,""),
_xlpm.MacVal,_xlfn.XLOOKUP($A379,Output_Mac!$A:$A,Output_Mac!T:T,""),
_xlpm.MyAuditVal,_xlfn.XLOOKUP($A379,My_Audit!$A:$A,My_Audit!Q:Q,""),
_xlfn.IFS(_xlpm.MyAuditVal&lt;&gt;"",UPPER(_xlpm.MyAuditVal),_xlpm.MacVal&lt;&gt;"",_xlpm.MacVal,_xlpm.CSVVal&lt;&gt;"",_xlpm.CSVVal
)),"No")</f>
        <v>No</v>
      </c>
      <c r="Q379" s="2" t="str" cm="1">
        <f t="array" ref="Q379">IFERROR(_xlfn.LET(
_xlpm.CSVVal,_xlfn.XLOOKUP($A379,CSV!$A:$A,CSV!AH:AH,""),
_xlpm.MacVal,_xlfn.XLOOKUP($A379,Output_Mac!$A:$A,Output_Mac!U:U,""),
_xlpm.MyAuditVal,_xlfn.XLOOKUP($A379,My_Audit!$A:$A,My_Audit!R:R,""),
_xlfn.IFS(_xlpm.MyAuditVal&lt;&gt;"",UPPER(_xlpm.MyAuditVal),_xlpm.MacVal&lt;&gt;"",_xlpm.MacVal,_xlpm.CSVVal&lt;&gt;"",_xlpm.CSVVal
)),"")</f>
        <v/>
      </c>
    </row>
    <row r="380" spans="1:17">
      <c r="A380" s="2" t="str">
        <f>_xlfn.TEXTJOIN("",TRUE,Input!$B$2,ROW(My_Audit!A379))</f>
        <v>XX379</v>
      </c>
      <c r="B380" s="2" t="str">
        <f>_xlfn.TEXTJOIN("-",TRUE,"ITD",Input!$A$2,A380)</f>
        <v>ITD-SHRXXX-XX379</v>
      </c>
      <c r="C380" s="2" t="str" cm="1">
        <f t="array" ref="C380">IFERROR(_xlfn.LET(
_xlpm.CSVVal,_xlfn.XLOOKUP($A380,CSV!$A:$A,CSV!B:B,""),
_xlpm.MacVal,_xlfn.XLOOKUP($A380,Output_Mac!$A:$A,Output_Mac!B:B,""),
_xlpm.MyAuditVal,_xlfn.XLOOKUP($A380,My_Audit!$A:$A,My_Audit!B:B,""),
_xlfn.IFS(_xlpm.MyAuditVal&lt;&gt;"",UPPER(_xlpm.MyAuditVal),_xlpm.MacVal&lt;&gt;"",_xlpm.MacVal,_xlpm.CSVVal&lt;&gt;"",_xlpm.CSVVal
)),"")</f>
        <v/>
      </c>
      <c r="D380" s="2" t="str" cm="1">
        <f t="array" ref="D380">IFERROR(_xlfn.LET(
_xlpm.CSVVal,_xlfn.XLOOKUP($A380,CSV!$A:$A,CSV!D:D,""),
_xlpm.MacVal,_xlfn.XLOOKUP($A380,Output_Mac!$A:$A,Output_Mac!C:C,""),
_xlpm.MyAuditVal,_xlfn.XLOOKUP($A380,My_Audit!$A:$A,My_Audit!C:C,""),
_xlfn.IFS(_xlpm.MyAuditVal&lt;&gt;"",_xlpm.MyAuditVal,_xlpm.MacVal&lt;&gt;"",_xlpm.MacVal,_xlpm.CSVVal&lt;&gt;"",_xlpm.CSVVal
)),"")</f>
        <v/>
      </c>
      <c r="E380" s="2" t="str">
        <f>_xlfn.XLOOKUP(A380,My_Audit!A:A,My_Audit!D:D,"")&amp;""</f>
        <v/>
      </c>
      <c r="F380" s="2" t="str" cm="1">
        <f t="array" ref="F380">IFERROR(_xlfn.LET(
_xlpm.CSVVal,_xlfn.XLOOKUP($A380,CSV!$A:$A,CSV!F:F,""),
_xlpm.MacVal,_xlfn.XLOOKUP($A380,Output_Mac!$A:$A,Output_Mac!E:E,""),
_xlpm.MyAuditVal,_xlfn.XLOOKUP($A380,My_Audit!$A:$A,My_Audit!E:E,""),
_xlfn.IFS(_xlpm.MyAuditVal&lt;&gt;"",_xlpm.MyAuditVal,_xlpm.MacVal&lt;&gt;"",_xlpm.MacVal,_xlpm.CSVVal&lt;&gt;"",_xlpm.CSVVal
)),"")</f>
        <v/>
      </c>
      <c r="G380" s="2" t="str" cm="1">
        <f t="array" ref="G380">IFERROR(_xlfn.LET(
_xlpm.CSVVal,_xlfn.XLOOKUP($A380,CSV!$A:$A,CSV!G:G,""),
_xlpm.MacVal,_xlfn.XLOOKUP($A380,Output_Mac!$A:$A,Output_Mac!F:F,""),
_xlpm.MyAuditVal,_xlfn.XLOOKUP($A380,My_Audit!$A:$A,My_Audit!F:F,""),
_xlfn.IFS(_xlpm.MyAuditVal&lt;&gt;"",_xlpm.MyAuditVal,_xlpm.MacVal&lt;&gt;"",_xlpm.MacVal,_xlpm.CSVVal&lt;&gt;"",PROPER(_xlpm.CSVVal)
)),"")</f>
        <v/>
      </c>
      <c r="H380" s="2" t="str" cm="1">
        <f t="array" ref="H380">IFERROR(_xlfn.LET(
_xlpm.CSVVal,_xlfn.XLOOKUP($A380,CSV!$A:$A,CSV!H:H,""),
_xlpm.MacVal,_xlfn.XLOOKUP($A380,Output_Mac!$A:$A,Output_Mac!H:H,""),
_xlpm.MyAuditVal,_xlfn.XLOOKUP($A380,My_Audit!$A:$A,My_Audit!G:G,""),
_xlfn.IFS(_xlpm.MyAuditVal&lt;&gt;"",_xlpm.MyAuditVal,_xlpm.MacVal&lt;&gt;"",_xlpm.MacVal,_xlpm.CSVVal&lt;&gt;"",_xlpm.CSVVal
)),"")</f>
        <v/>
      </c>
      <c r="I380" s="2" t="str">
        <f>_xlfn.XLOOKUP(A380,Output_Mac!A:A,Output_Mac!I:I,"")</f>
        <v/>
      </c>
      <c r="J380" s="2" t="str" cm="1">
        <f t="array" ref="J380">IFERROR(_xlfn.LET(
_xlpm.CSVVal,_xlfn.XLOOKUP($A380,CSV!$A:$A,CSV!I:I,""),
_xlpm.MacVal,_xlfn.XLOOKUP($A380,Output_Mac!$A:$A,Output_Mac!J:J,""),
_xlpm.MyAuditVal,_xlfn.XLOOKUP($A380,My_Audit!$A:$A,My_Audit!I:I,""),
_xlfn.IFS(_xlpm.MyAuditVal&lt;&gt;"",UPPER(_xlpm.MyAuditVal),_xlpm.MacVal&lt;&gt;"",_xlpm.MacVal,_xlpm.CSVVal&lt;&gt;"",_xlpm.CSVVal
)),"")</f>
        <v/>
      </c>
      <c r="K380" s="2" t="str" cm="1">
        <f t="array" ref="K380">IFERROR(_xlfn.LET(
_xlpm.CSVVal,_xlfn.XLOOKUP($A380,CSV!$A:$A,CSV!K:K,""),
_xlpm.MacVal,_xlfn.XLOOKUP($A380,Output_Mac!$A:$A,Output_Mac!K:K,""),
_xlpm.MyAuditVal,_xlfn.XLOOKUP($A380,My_Audit!$A:$A,My_Audit!J:J,""),
_xlfn.IFS(_xlpm.MyAuditVal&lt;&gt;"",UPPER(_xlpm.MyAuditVal),_xlpm.MacVal&lt;&gt;"",_xlpm.MacVal,_xlpm.CSVVal&lt;&gt;"",_xlpm.CSVVal
)),"")</f>
        <v/>
      </c>
      <c r="L380" s="2" t="str" cm="1">
        <f t="array" ref="L380">IFERROR(_xlfn.LET(
_xlpm.CSVVal,_xlfn.XLOOKUP($A380,CSV!$A:$A,CSV!P:P,""),
_xlpm.MacVal,_xlfn.XLOOKUP($A380,Output_Mac!$A:$A,Output_Mac!L:L,""),
_xlpm.MyAuditVal,_xlfn.XLOOKUP($A380,My_Audit!$A:$A,My_Audit!K:K,""),
_xlfn.IFS(_xlpm.MyAuditVal&lt;&gt;"",UPPER(_xlpm.MyAuditVal),_xlpm.MacVal&lt;&gt;"",_xlpm.MacVal,_xlpm.CSVVal&lt;&gt;"",_xlpm.CSVVal
)),"")</f>
        <v/>
      </c>
      <c r="M380" s="2" t="str" cm="1">
        <f t="array" ref="M380">IFERROR(_xlfn.LET(
_xlpm.CSVVal,_xlfn.XLOOKUP($A380,CSV!$A:$A,CSV!Q:Q,""),
_xlpm.MacVal,_xlfn.XLOOKUP($A380,Output_Mac!$A:$A,Output_Mac!M:M,""),
_xlpm.MyAuditVal,_xlfn.XLOOKUP($A380,My_Audit!$A:$A,My_Audit!L:L,""),
_xlfn.IFS(_xlpm.MyAuditVal&lt;&gt;"",UPPER(_xlpm.MyAuditVal),_xlpm.MacVal&lt;&gt;"",_xlpm.MacVal,_xlpm.CSVVal&lt;&gt;"",_xlpm.CSVVal
)),"")</f>
        <v/>
      </c>
      <c r="O380" s="2" t="str">
        <f>_xlfn.LET(
    _xlpm.CSVVal, _xlfn.XLOOKUP($A380, CSV!$A:$A, CSV!AF:AF, ""),
    _xlpm.MacVal, _xlfn.XLOOKUP($A380, Output_Mac!$A:$A, Output_Mac!S:S, ""),
    _xlpm.MyAuditVal, _xlfn.XLOOKUP($A380, My_Audit!$A:$A, My_Audit!P:P, ""),
    _xlfn.TEXTJOIN(", ", TRUE, _xlpm.MyAuditVal, _xlpm.MacVal, _xlpm.CSVVal)
)</f>
        <v/>
      </c>
      <c r="P380" s="2" t="str" cm="1">
        <f t="array" ref="P380">IFERROR(_xlfn.LET(
_xlpm.CSVVal,_xlfn.XLOOKUP($A380,CSV!$A:$A,CSV!AG:AG,""),
_xlpm.MacVal,_xlfn.XLOOKUP($A380,Output_Mac!$A:$A,Output_Mac!T:T,""),
_xlpm.MyAuditVal,_xlfn.XLOOKUP($A380,My_Audit!$A:$A,My_Audit!Q:Q,""),
_xlfn.IFS(_xlpm.MyAuditVal&lt;&gt;"",UPPER(_xlpm.MyAuditVal),_xlpm.MacVal&lt;&gt;"",_xlpm.MacVal,_xlpm.CSVVal&lt;&gt;"",_xlpm.CSVVal
)),"No")</f>
        <v>No</v>
      </c>
      <c r="Q380" s="2" t="str" cm="1">
        <f t="array" ref="Q380">IFERROR(_xlfn.LET(
_xlpm.CSVVal,_xlfn.XLOOKUP($A380,CSV!$A:$A,CSV!AH:AH,""),
_xlpm.MacVal,_xlfn.XLOOKUP($A380,Output_Mac!$A:$A,Output_Mac!U:U,""),
_xlpm.MyAuditVal,_xlfn.XLOOKUP($A380,My_Audit!$A:$A,My_Audit!R:R,""),
_xlfn.IFS(_xlpm.MyAuditVal&lt;&gt;"",UPPER(_xlpm.MyAuditVal),_xlpm.MacVal&lt;&gt;"",_xlpm.MacVal,_xlpm.CSVVal&lt;&gt;"",_xlpm.CSVVal
)),"")</f>
        <v/>
      </c>
    </row>
    <row r="381" spans="1:17">
      <c r="A381" s="2" t="str">
        <f>_xlfn.TEXTJOIN("",TRUE,Input!$B$2,ROW(My_Audit!A380))</f>
        <v>XX380</v>
      </c>
      <c r="B381" s="2" t="str">
        <f>_xlfn.TEXTJOIN("-",TRUE,"ITD",Input!$A$2,A381)</f>
        <v>ITD-SHRXXX-XX380</v>
      </c>
      <c r="C381" s="2" t="str" cm="1">
        <f t="array" ref="C381">IFERROR(_xlfn.LET(
_xlpm.CSVVal,_xlfn.XLOOKUP($A381,CSV!$A:$A,CSV!B:B,""),
_xlpm.MacVal,_xlfn.XLOOKUP($A381,Output_Mac!$A:$A,Output_Mac!B:B,""),
_xlpm.MyAuditVal,_xlfn.XLOOKUP($A381,My_Audit!$A:$A,My_Audit!B:B,""),
_xlfn.IFS(_xlpm.MyAuditVal&lt;&gt;"",UPPER(_xlpm.MyAuditVal),_xlpm.MacVal&lt;&gt;"",_xlpm.MacVal,_xlpm.CSVVal&lt;&gt;"",_xlpm.CSVVal
)),"")</f>
        <v/>
      </c>
      <c r="D381" s="2" t="str" cm="1">
        <f t="array" ref="D381">IFERROR(_xlfn.LET(
_xlpm.CSVVal,_xlfn.XLOOKUP($A381,CSV!$A:$A,CSV!D:D,""),
_xlpm.MacVal,_xlfn.XLOOKUP($A381,Output_Mac!$A:$A,Output_Mac!C:C,""),
_xlpm.MyAuditVal,_xlfn.XLOOKUP($A381,My_Audit!$A:$A,My_Audit!C:C,""),
_xlfn.IFS(_xlpm.MyAuditVal&lt;&gt;"",_xlpm.MyAuditVal,_xlpm.MacVal&lt;&gt;"",_xlpm.MacVal,_xlpm.CSVVal&lt;&gt;"",_xlpm.CSVVal
)),"")</f>
        <v/>
      </c>
      <c r="E381" s="2" t="str">
        <f>_xlfn.XLOOKUP(A381,My_Audit!A:A,My_Audit!D:D,"")&amp;""</f>
        <v/>
      </c>
      <c r="F381" s="2" t="str" cm="1">
        <f t="array" ref="F381">IFERROR(_xlfn.LET(
_xlpm.CSVVal,_xlfn.XLOOKUP($A381,CSV!$A:$A,CSV!F:F,""),
_xlpm.MacVal,_xlfn.XLOOKUP($A381,Output_Mac!$A:$A,Output_Mac!E:E,""),
_xlpm.MyAuditVal,_xlfn.XLOOKUP($A381,My_Audit!$A:$A,My_Audit!E:E,""),
_xlfn.IFS(_xlpm.MyAuditVal&lt;&gt;"",_xlpm.MyAuditVal,_xlpm.MacVal&lt;&gt;"",_xlpm.MacVal,_xlpm.CSVVal&lt;&gt;"",_xlpm.CSVVal
)),"")</f>
        <v/>
      </c>
      <c r="G381" s="2" t="str" cm="1">
        <f t="array" ref="G381">IFERROR(_xlfn.LET(
_xlpm.CSVVal,_xlfn.XLOOKUP($A381,CSV!$A:$A,CSV!G:G,""),
_xlpm.MacVal,_xlfn.XLOOKUP($A381,Output_Mac!$A:$A,Output_Mac!F:F,""),
_xlpm.MyAuditVal,_xlfn.XLOOKUP($A381,My_Audit!$A:$A,My_Audit!F:F,""),
_xlfn.IFS(_xlpm.MyAuditVal&lt;&gt;"",_xlpm.MyAuditVal,_xlpm.MacVal&lt;&gt;"",_xlpm.MacVal,_xlpm.CSVVal&lt;&gt;"",PROPER(_xlpm.CSVVal)
)),"")</f>
        <v/>
      </c>
      <c r="H381" s="2" t="str" cm="1">
        <f t="array" ref="H381">IFERROR(_xlfn.LET(
_xlpm.CSVVal,_xlfn.XLOOKUP($A381,CSV!$A:$A,CSV!H:H,""),
_xlpm.MacVal,_xlfn.XLOOKUP($A381,Output_Mac!$A:$A,Output_Mac!H:H,""),
_xlpm.MyAuditVal,_xlfn.XLOOKUP($A381,My_Audit!$A:$A,My_Audit!G:G,""),
_xlfn.IFS(_xlpm.MyAuditVal&lt;&gt;"",_xlpm.MyAuditVal,_xlpm.MacVal&lt;&gt;"",_xlpm.MacVal,_xlpm.CSVVal&lt;&gt;"",_xlpm.CSVVal
)),"")</f>
        <v/>
      </c>
      <c r="I381" s="2" t="str">
        <f>_xlfn.XLOOKUP(A381,Output_Mac!A:A,Output_Mac!I:I,"")</f>
        <v/>
      </c>
      <c r="J381" s="2" t="str" cm="1">
        <f t="array" ref="J381">IFERROR(_xlfn.LET(
_xlpm.CSVVal,_xlfn.XLOOKUP($A381,CSV!$A:$A,CSV!I:I,""),
_xlpm.MacVal,_xlfn.XLOOKUP($A381,Output_Mac!$A:$A,Output_Mac!J:J,""),
_xlpm.MyAuditVal,_xlfn.XLOOKUP($A381,My_Audit!$A:$A,My_Audit!I:I,""),
_xlfn.IFS(_xlpm.MyAuditVal&lt;&gt;"",UPPER(_xlpm.MyAuditVal),_xlpm.MacVal&lt;&gt;"",_xlpm.MacVal,_xlpm.CSVVal&lt;&gt;"",_xlpm.CSVVal
)),"")</f>
        <v/>
      </c>
      <c r="K381" s="2" t="str" cm="1">
        <f t="array" ref="K381">IFERROR(_xlfn.LET(
_xlpm.CSVVal,_xlfn.XLOOKUP($A381,CSV!$A:$A,CSV!K:K,""),
_xlpm.MacVal,_xlfn.XLOOKUP($A381,Output_Mac!$A:$A,Output_Mac!K:K,""),
_xlpm.MyAuditVal,_xlfn.XLOOKUP($A381,My_Audit!$A:$A,My_Audit!J:J,""),
_xlfn.IFS(_xlpm.MyAuditVal&lt;&gt;"",UPPER(_xlpm.MyAuditVal),_xlpm.MacVal&lt;&gt;"",_xlpm.MacVal,_xlpm.CSVVal&lt;&gt;"",_xlpm.CSVVal
)),"")</f>
        <v/>
      </c>
      <c r="L381" s="2" t="str" cm="1">
        <f t="array" ref="L381">IFERROR(_xlfn.LET(
_xlpm.CSVVal,_xlfn.XLOOKUP($A381,CSV!$A:$A,CSV!P:P,""),
_xlpm.MacVal,_xlfn.XLOOKUP($A381,Output_Mac!$A:$A,Output_Mac!L:L,""),
_xlpm.MyAuditVal,_xlfn.XLOOKUP($A381,My_Audit!$A:$A,My_Audit!K:K,""),
_xlfn.IFS(_xlpm.MyAuditVal&lt;&gt;"",UPPER(_xlpm.MyAuditVal),_xlpm.MacVal&lt;&gt;"",_xlpm.MacVal,_xlpm.CSVVal&lt;&gt;"",_xlpm.CSVVal
)),"")</f>
        <v/>
      </c>
      <c r="M381" s="2" t="str" cm="1">
        <f t="array" ref="M381">IFERROR(_xlfn.LET(
_xlpm.CSVVal,_xlfn.XLOOKUP($A381,CSV!$A:$A,CSV!Q:Q,""),
_xlpm.MacVal,_xlfn.XLOOKUP($A381,Output_Mac!$A:$A,Output_Mac!M:M,""),
_xlpm.MyAuditVal,_xlfn.XLOOKUP($A381,My_Audit!$A:$A,My_Audit!L:L,""),
_xlfn.IFS(_xlpm.MyAuditVal&lt;&gt;"",UPPER(_xlpm.MyAuditVal),_xlpm.MacVal&lt;&gt;"",_xlpm.MacVal,_xlpm.CSVVal&lt;&gt;"",_xlpm.CSVVal
)),"")</f>
        <v/>
      </c>
      <c r="O381" s="2" t="str">
        <f>_xlfn.LET(
    _xlpm.CSVVal, _xlfn.XLOOKUP($A381, CSV!$A:$A, CSV!AF:AF, ""),
    _xlpm.MacVal, _xlfn.XLOOKUP($A381, Output_Mac!$A:$A, Output_Mac!S:S, ""),
    _xlpm.MyAuditVal, _xlfn.XLOOKUP($A381, My_Audit!$A:$A, My_Audit!P:P, ""),
    _xlfn.TEXTJOIN(", ", TRUE, _xlpm.MyAuditVal, _xlpm.MacVal, _xlpm.CSVVal)
)</f>
        <v/>
      </c>
      <c r="P381" s="2" t="str" cm="1">
        <f t="array" ref="P381">IFERROR(_xlfn.LET(
_xlpm.CSVVal,_xlfn.XLOOKUP($A381,CSV!$A:$A,CSV!AG:AG,""),
_xlpm.MacVal,_xlfn.XLOOKUP($A381,Output_Mac!$A:$A,Output_Mac!T:T,""),
_xlpm.MyAuditVal,_xlfn.XLOOKUP($A381,My_Audit!$A:$A,My_Audit!Q:Q,""),
_xlfn.IFS(_xlpm.MyAuditVal&lt;&gt;"",UPPER(_xlpm.MyAuditVal),_xlpm.MacVal&lt;&gt;"",_xlpm.MacVal,_xlpm.CSVVal&lt;&gt;"",_xlpm.CSVVal
)),"No")</f>
        <v>No</v>
      </c>
      <c r="Q381" s="2" t="str" cm="1">
        <f t="array" ref="Q381">IFERROR(_xlfn.LET(
_xlpm.CSVVal,_xlfn.XLOOKUP($A381,CSV!$A:$A,CSV!AH:AH,""),
_xlpm.MacVal,_xlfn.XLOOKUP($A381,Output_Mac!$A:$A,Output_Mac!U:U,""),
_xlpm.MyAuditVal,_xlfn.XLOOKUP($A381,My_Audit!$A:$A,My_Audit!R:R,""),
_xlfn.IFS(_xlpm.MyAuditVal&lt;&gt;"",UPPER(_xlpm.MyAuditVal),_xlpm.MacVal&lt;&gt;"",_xlpm.MacVal,_xlpm.CSVVal&lt;&gt;"",_xlpm.CSVVal
)),"")</f>
        <v/>
      </c>
    </row>
    <row r="382" spans="1:17">
      <c r="A382" s="2" t="str">
        <f>_xlfn.TEXTJOIN("",TRUE,Input!$B$2,ROW(My_Audit!A381))</f>
        <v>XX381</v>
      </c>
      <c r="B382" s="2" t="str">
        <f>_xlfn.TEXTJOIN("-",TRUE,"ITD",Input!$A$2,A382)</f>
        <v>ITD-SHRXXX-XX381</v>
      </c>
      <c r="C382" s="2" t="str" cm="1">
        <f t="array" ref="C382">IFERROR(_xlfn.LET(
_xlpm.CSVVal,_xlfn.XLOOKUP($A382,CSV!$A:$A,CSV!B:B,""),
_xlpm.MacVal,_xlfn.XLOOKUP($A382,Output_Mac!$A:$A,Output_Mac!B:B,""),
_xlpm.MyAuditVal,_xlfn.XLOOKUP($A382,My_Audit!$A:$A,My_Audit!B:B,""),
_xlfn.IFS(_xlpm.MyAuditVal&lt;&gt;"",UPPER(_xlpm.MyAuditVal),_xlpm.MacVal&lt;&gt;"",_xlpm.MacVal,_xlpm.CSVVal&lt;&gt;"",_xlpm.CSVVal
)),"")</f>
        <v/>
      </c>
      <c r="D382" s="2" t="str" cm="1">
        <f t="array" ref="D382">IFERROR(_xlfn.LET(
_xlpm.CSVVal,_xlfn.XLOOKUP($A382,CSV!$A:$A,CSV!D:D,""),
_xlpm.MacVal,_xlfn.XLOOKUP($A382,Output_Mac!$A:$A,Output_Mac!C:C,""),
_xlpm.MyAuditVal,_xlfn.XLOOKUP($A382,My_Audit!$A:$A,My_Audit!C:C,""),
_xlfn.IFS(_xlpm.MyAuditVal&lt;&gt;"",_xlpm.MyAuditVal,_xlpm.MacVal&lt;&gt;"",_xlpm.MacVal,_xlpm.CSVVal&lt;&gt;"",_xlpm.CSVVal
)),"")</f>
        <v/>
      </c>
      <c r="E382" s="2" t="str">
        <f>_xlfn.XLOOKUP(A382,My_Audit!A:A,My_Audit!D:D,"")&amp;""</f>
        <v/>
      </c>
      <c r="F382" s="2" t="str" cm="1">
        <f t="array" ref="F382">IFERROR(_xlfn.LET(
_xlpm.CSVVal,_xlfn.XLOOKUP($A382,CSV!$A:$A,CSV!F:F,""),
_xlpm.MacVal,_xlfn.XLOOKUP($A382,Output_Mac!$A:$A,Output_Mac!E:E,""),
_xlpm.MyAuditVal,_xlfn.XLOOKUP($A382,My_Audit!$A:$A,My_Audit!E:E,""),
_xlfn.IFS(_xlpm.MyAuditVal&lt;&gt;"",_xlpm.MyAuditVal,_xlpm.MacVal&lt;&gt;"",_xlpm.MacVal,_xlpm.CSVVal&lt;&gt;"",_xlpm.CSVVal
)),"")</f>
        <v/>
      </c>
      <c r="G382" s="2" t="str" cm="1">
        <f t="array" ref="G382">IFERROR(_xlfn.LET(
_xlpm.CSVVal,_xlfn.XLOOKUP($A382,CSV!$A:$A,CSV!G:G,""),
_xlpm.MacVal,_xlfn.XLOOKUP($A382,Output_Mac!$A:$A,Output_Mac!F:F,""),
_xlpm.MyAuditVal,_xlfn.XLOOKUP($A382,My_Audit!$A:$A,My_Audit!F:F,""),
_xlfn.IFS(_xlpm.MyAuditVal&lt;&gt;"",_xlpm.MyAuditVal,_xlpm.MacVal&lt;&gt;"",_xlpm.MacVal,_xlpm.CSVVal&lt;&gt;"",PROPER(_xlpm.CSVVal)
)),"")</f>
        <v/>
      </c>
      <c r="H382" s="2" t="str" cm="1">
        <f t="array" ref="H382">IFERROR(_xlfn.LET(
_xlpm.CSVVal,_xlfn.XLOOKUP($A382,CSV!$A:$A,CSV!H:H,""),
_xlpm.MacVal,_xlfn.XLOOKUP($A382,Output_Mac!$A:$A,Output_Mac!H:H,""),
_xlpm.MyAuditVal,_xlfn.XLOOKUP($A382,My_Audit!$A:$A,My_Audit!G:G,""),
_xlfn.IFS(_xlpm.MyAuditVal&lt;&gt;"",_xlpm.MyAuditVal,_xlpm.MacVal&lt;&gt;"",_xlpm.MacVal,_xlpm.CSVVal&lt;&gt;"",_xlpm.CSVVal
)),"")</f>
        <v/>
      </c>
      <c r="I382" s="2" t="str">
        <f>_xlfn.XLOOKUP(A382,Output_Mac!A:A,Output_Mac!I:I,"")</f>
        <v/>
      </c>
      <c r="J382" s="2" t="str" cm="1">
        <f t="array" ref="J382">IFERROR(_xlfn.LET(
_xlpm.CSVVal,_xlfn.XLOOKUP($A382,CSV!$A:$A,CSV!I:I,""),
_xlpm.MacVal,_xlfn.XLOOKUP($A382,Output_Mac!$A:$A,Output_Mac!J:J,""),
_xlpm.MyAuditVal,_xlfn.XLOOKUP($A382,My_Audit!$A:$A,My_Audit!I:I,""),
_xlfn.IFS(_xlpm.MyAuditVal&lt;&gt;"",UPPER(_xlpm.MyAuditVal),_xlpm.MacVal&lt;&gt;"",_xlpm.MacVal,_xlpm.CSVVal&lt;&gt;"",_xlpm.CSVVal
)),"")</f>
        <v/>
      </c>
      <c r="K382" s="2" t="str" cm="1">
        <f t="array" ref="K382">IFERROR(_xlfn.LET(
_xlpm.CSVVal,_xlfn.XLOOKUP($A382,CSV!$A:$A,CSV!K:K,""),
_xlpm.MacVal,_xlfn.XLOOKUP($A382,Output_Mac!$A:$A,Output_Mac!K:K,""),
_xlpm.MyAuditVal,_xlfn.XLOOKUP($A382,My_Audit!$A:$A,My_Audit!J:J,""),
_xlfn.IFS(_xlpm.MyAuditVal&lt;&gt;"",UPPER(_xlpm.MyAuditVal),_xlpm.MacVal&lt;&gt;"",_xlpm.MacVal,_xlpm.CSVVal&lt;&gt;"",_xlpm.CSVVal
)),"")</f>
        <v/>
      </c>
      <c r="L382" s="2" t="str" cm="1">
        <f t="array" ref="L382">IFERROR(_xlfn.LET(
_xlpm.CSVVal,_xlfn.XLOOKUP($A382,CSV!$A:$A,CSV!P:P,""),
_xlpm.MacVal,_xlfn.XLOOKUP($A382,Output_Mac!$A:$A,Output_Mac!L:L,""),
_xlpm.MyAuditVal,_xlfn.XLOOKUP($A382,My_Audit!$A:$A,My_Audit!K:K,""),
_xlfn.IFS(_xlpm.MyAuditVal&lt;&gt;"",UPPER(_xlpm.MyAuditVal),_xlpm.MacVal&lt;&gt;"",_xlpm.MacVal,_xlpm.CSVVal&lt;&gt;"",_xlpm.CSVVal
)),"")</f>
        <v/>
      </c>
      <c r="M382" s="2" t="str" cm="1">
        <f t="array" ref="M382">IFERROR(_xlfn.LET(
_xlpm.CSVVal,_xlfn.XLOOKUP($A382,CSV!$A:$A,CSV!Q:Q,""),
_xlpm.MacVal,_xlfn.XLOOKUP($A382,Output_Mac!$A:$A,Output_Mac!M:M,""),
_xlpm.MyAuditVal,_xlfn.XLOOKUP($A382,My_Audit!$A:$A,My_Audit!L:L,""),
_xlfn.IFS(_xlpm.MyAuditVal&lt;&gt;"",UPPER(_xlpm.MyAuditVal),_xlpm.MacVal&lt;&gt;"",_xlpm.MacVal,_xlpm.CSVVal&lt;&gt;"",_xlpm.CSVVal
)),"")</f>
        <v/>
      </c>
      <c r="O382" s="2" t="str">
        <f>_xlfn.LET(
    _xlpm.CSVVal, _xlfn.XLOOKUP($A382, CSV!$A:$A, CSV!AF:AF, ""),
    _xlpm.MacVal, _xlfn.XLOOKUP($A382, Output_Mac!$A:$A, Output_Mac!S:S, ""),
    _xlpm.MyAuditVal, _xlfn.XLOOKUP($A382, My_Audit!$A:$A, My_Audit!P:P, ""),
    _xlfn.TEXTJOIN(", ", TRUE, _xlpm.MyAuditVal, _xlpm.MacVal, _xlpm.CSVVal)
)</f>
        <v/>
      </c>
      <c r="P382" s="2" t="str" cm="1">
        <f t="array" ref="P382">IFERROR(_xlfn.LET(
_xlpm.CSVVal,_xlfn.XLOOKUP($A382,CSV!$A:$A,CSV!AG:AG,""),
_xlpm.MacVal,_xlfn.XLOOKUP($A382,Output_Mac!$A:$A,Output_Mac!T:T,""),
_xlpm.MyAuditVal,_xlfn.XLOOKUP($A382,My_Audit!$A:$A,My_Audit!Q:Q,""),
_xlfn.IFS(_xlpm.MyAuditVal&lt;&gt;"",UPPER(_xlpm.MyAuditVal),_xlpm.MacVal&lt;&gt;"",_xlpm.MacVal,_xlpm.CSVVal&lt;&gt;"",_xlpm.CSVVal
)),"No")</f>
        <v>No</v>
      </c>
      <c r="Q382" s="2" t="str" cm="1">
        <f t="array" ref="Q382">IFERROR(_xlfn.LET(
_xlpm.CSVVal,_xlfn.XLOOKUP($A382,CSV!$A:$A,CSV!AH:AH,""),
_xlpm.MacVal,_xlfn.XLOOKUP($A382,Output_Mac!$A:$A,Output_Mac!U:U,""),
_xlpm.MyAuditVal,_xlfn.XLOOKUP($A382,My_Audit!$A:$A,My_Audit!R:R,""),
_xlfn.IFS(_xlpm.MyAuditVal&lt;&gt;"",UPPER(_xlpm.MyAuditVal),_xlpm.MacVal&lt;&gt;"",_xlpm.MacVal,_xlpm.CSVVal&lt;&gt;"",_xlpm.CSVVal
)),"")</f>
        <v/>
      </c>
    </row>
    <row r="383" spans="1:17">
      <c r="A383" s="2" t="str">
        <f>_xlfn.TEXTJOIN("",TRUE,Input!$B$2,ROW(My_Audit!A382))</f>
        <v>XX382</v>
      </c>
      <c r="B383" s="2" t="str">
        <f>_xlfn.TEXTJOIN("-",TRUE,"ITD",Input!$A$2,A383)</f>
        <v>ITD-SHRXXX-XX382</v>
      </c>
      <c r="C383" s="2" t="str" cm="1">
        <f t="array" ref="C383">IFERROR(_xlfn.LET(
_xlpm.CSVVal,_xlfn.XLOOKUP($A383,CSV!$A:$A,CSV!B:B,""),
_xlpm.MacVal,_xlfn.XLOOKUP($A383,Output_Mac!$A:$A,Output_Mac!B:B,""),
_xlpm.MyAuditVal,_xlfn.XLOOKUP($A383,My_Audit!$A:$A,My_Audit!B:B,""),
_xlfn.IFS(_xlpm.MyAuditVal&lt;&gt;"",UPPER(_xlpm.MyAuditVal),_xlpm.MacVal&lt;&gt;"",_xlpm.MacVal,_xlpm.CSVVal&lt;&gt;"",_xlpm.CSVVal
)),"")</f>
        <v/>
      </c>
      <c r="D383" s="2" t="str" cm="1">
        <f t="array" ref="D383">IFERROR(_xlfn.LET(
_xlpm.CSVVal,_xlfn.XLOOKUP($A383,CSV!$A:$A,CSV!D:D,""),
_xlpm.MacVal,_xlfn.XLOOKUP($A383,Output_Mac!$A:$A,Output_Mac!C:C,""),
_xlpm.MyAuditVal,_xlfn.XLOOKUP($A383,My_Audit!$A:$A,My_Audit!C:C,""),
_xlfn.IFS(_xlpm.MyAuditVal&lt;&gt;"",_xlpm.MyAuditVal,_xlpm.MacVal&lt;&gt;"",_xlpm.MacVal,_xlpm.CSVVal&lt;&gt;"",_xlpm.CSVVal
)),"")</f>
        <v/>
      </c>
      <c r="E383" s="2" t="str">
        <f>_xlfn.XLOOKUP(A383,My_Audit!A:A,My_Audit!D:D,"")&amp;""</f>
        <v/>
      </c>
      <c r="F383" s="2" t="str" cm="1">
        <f t="array" ref="F383">IFERROR(_xlfn.LET(
_xlpm.CSVVal,_xlfn.XLOOKUP($A383,CSV!$A:$A,CSV!F:F,""),
_xlpm.MacVal,_xlfn.XLOOKUP($A383,Output_Mac!$A:$A,Output_Mac!E:E,""),
_xlpm.MyAuditVal,_xlfn.XLOOKUP($A383,My_Audit!$A:$A,My_Audit!E:E,""),
_xlfn.IFS(_xlpm.MyAuditVal&lt;&gt;"",_xlpm.MyAuditVal,_xlpm.MacVal&lt;&gt;"",_xlpm.MacVal,_xlpm.CSVVal&lt;&gt;"",_xlpm.CSVVal
)),"")</f>
        <v/>
      </c>
      <c r="G383" s="2" t="str" cm="1">
        <f t="array" ref="G383">IFERROR(_xlfn.LET(
_xlpm.CSVVal,_xlfn.XLOOKUP($A383,CSV!$A:$A,CSV!G:G,""),
_xlpm.MacVal,_xlfn.XLOOKUP($A383,Output_Mac!$A:$A,Output_Mac!F:F,""),
_xlpm.MyAuditVal,_xlfn.XLOOKUP($A383,My_Audit!$A:$A,My_Audit!F:F,""),
_xlfn.IFS(_xlpm.MyAuditVal&lt;&gt;"",_xlpm.MyAuditVal,_xlpm.MacVal&lt;&gt;"",_xlpm.MacVal,_xlpm.CSVVal&lt;&gt;"",PROPER(_xlpm.CSVVal)
)),"")</f>
        <v/>
      </c>
      <c r="H383" s="2" t="str" cm="1">
        <f t="array" ref="H383">IFERROR(_xlfn.LET(
_xlpm.CSVVal,_xlfn.XLOOKUP($A383,CSV!$A:$A,CSV!H:H,""),
_xlpm.MacVal,_xlfn.XLOOKUP($A383,Output_Mac!$A:$A,Output_Mac!H:H,""),
_xlpm.MyAuditVal,_xlfn.XLOOKUP($A383,My_Audit!$A:$A,My_Audit!G:G,""),
_xlfn.IFS(_xlpm.MyAuditVal&lt;&gt;"",_xlpm.MyAuditVal,_xlpm.MacVal&lt;&gt;"",_xlpm.MacVal,_xlpm.CSVVal&lt;&gt;"",_xlpm.CSVVal
)),"")</f>
        <v/>
      </c>
      <c r="I383" s="2" t="str">
        <f>_xlfn.XLOOKUP(A383,Output_Mac!A:A,Output_Mac!I:I,"")</f>
        <v/>
      </c>
      <c r="J383" s="2" t="str" cm="1">
        <f t="array" ref="J383">IFERROR(_xlfn.LET(
_xlpm.CSVVal,_xlfn.XLOOKUP($A383,CSV!$A:$A,CSV!I:I,""),
_xlpm.MacVal,_xlfn.XLOOKUP($A383,Output_Mac!$A:$A,Output_Mac!J:J,""),
_xlpm.MyAuditVal,_xlfn.XLOOKUP($A383,My_Audit!$A:$A,My_Audit!I:I,""),
_xlfn.IFS(_xlpm.MyAuditVal&lt;&gt;"",UPPER(_xlpm.MyAuditVal),_xlpm.MacVal&lt;&gt;"",_xlpm.MacVal,_xlpm.CSVVal&lt;&gt;"",_xlpm.CSVVal
)),"")</f>
        <v/>
      </c>
      <c r="K383" s="2" t="str" cm="1">
        <f t="array" ref="K383">IFERROR(_xlfn.LET(
_xlpm.CSVVal,_xlfn.XLOOKUP($A383,CSV!$A:$A,CSV!K:K,""),
_xlpm.MacVal,_xlfn.XLOOKUP($A383,Output_Mac!$A:$A,Output_Mac!K:K,""),
_xlpm.MyAuditVal,_xlfn.XLOOKUP($A383,My_Audit!$A:$A,My_Audit!J:J,""),
_xlfn.IFS(_xlpm.MyAuditVal&lt;&gt;"",UPPER(_xlpm.MyAuditVal),_xlpm.MacVal&lt;&gt;"",_xlpm.MacVal,_xlpm.CSVVal&lt;&gt;"",_xlpm.CSVVal
)),"")</f>
        <v/>
      </c>
      <c r="L383" s="2" t="str" cm="1">
        <f t="array" ref="L383">IFERROR(_xlfn.LET(
_xlpm.CSVVal,_xlfn.XLOOKUP($A383,CSV!$A:$A,CSV!P:P,""),
_xlpm.MacVal,_xlfn.XLOOKUP($A383,Output_Mac!$A:$A,Output_Mac!L:L,""),
_xlpm.MyAuditVal,_xlfn.XLOOKUP($A383,My_Audit!$A:$A,My_Audit!K:K,""),
_xlfn.IFS(_xlpm.MyAuditVal&lt;&gt;"",UPPER(_xlpm.MyAuditVal),_xlpm.MacVal&lt;&gt;"",_xlpm.MacVal,_xlpm.CSVVal&lt;&gt;"",_xlpm.CSVVal
)),"")</f>
        <v/>
      </c>
      <c r="M383" s="2" t="str" cm="1">
        <f t="array" ref="M383">IFERROR(_xlfn.LET(
_xlpm.CSVVal,_xlfn.XLOOKUP($A383,CSV!$A:$A,CSV!Q:Q,""),
_xlpm.MacVal,_xlfn.XLOOKUP($A383,Output_Mac!$A:$A,Output_Mac!M:M,""),
_xlpm.MyAuditVal,_xlfn.XLOOKUP($A383,My_Audit!$A:$A,My_Audit!L:L,""),
_xlfn.IFS(_xlpm.MyAuditVal&lt;&gt;"",UPPER(_xlpm.MyAuditVal),_xlpm.MacVal&lt;&gt;"",_xlpm.MacVal,_xlpm.CSVVal&lt;&gt;"",_xlpm.CSVVal
)),"")</f>
        <v/>
      </c>
      <c r="O383" s="2" t="str">
        <f>_xlfn.LET(
    _xlpm.CSVVal, _xlfn.XLOOKUP($A383, CSV!$A:$A, CSV!AF:AF, ""),
    _xlpm.MacVal, _xlfn.XLOOKUP($A383, Output_Mac!$A:$A, Output_Mac!S:S, ""),
    _xlpm.MyAuditVal, _xlfn.XLOOKUP($A383, My_Audit!$A:$A, My_Audit!P:P, ""),
    _xlfn.TEXTJOIN(", ", TRUE, _xlpm.MyAuditVal, _xlpm.MacVal, _xlpm.CSVVal)
)</f>
        <v/>
      </c>
      <c r="P383" s="2" t="str" cm="1">
        <f t="array" ref="P383">IFERROR(_xlfn.LET(
_xlpm.CSVVal,_xlfn.XLOOKUP($A383,CSV!$A:$A,CSV!AG:AG,""),
_xlpm.MacVal,_xlfn.XLOOKUP($A383,Output_Mac!$A:$A,Output_Mac!T:T,""),
_xlpm.MyAuditVal,_xlfn.XLOOKUP($A383,My_Audit!$A:$A,My_Audit!Q:Q,""),
_xlfn.IFS(_xlpm.MyAuditVal&lt;&gt;"",UPPER(_xlpm.MyAuditVal),_xlpm.MacVal&lt;&gt;"",_xlpm.MacVal,_xlpm.CSVVal&lt;&gt;"",_xlpm.CSVVal
)),"No")</f>
        <v>No</v>
      </c>
      <c r="Q383" s="2" t="str" cm="1">
        <f t="array" ref="Q383">IFERROR(_xlfn.LET(
_xlpm.CSVVal,_xlfn.XLOOKUP($A383,CSV!$A:$A,CSV!AH:AH,""),
_xlpm.MacVal,_xlfn.XLOOKUP($A383,Output_Mac!$A:$A,Output_Mac!U:U,""),
_xlpm.MyAuditVal,_xlfn.XLOOKUP($A383,My_Audit!$A:$A,My_Audit!R:R,""),
_xlfn.IFS(_xlpm.MyAuditVal&lt;&gt;"",UPPER(_xlpm.MyAuditVal),_xlpm.MacVal&lt;&gt;"",_xlpm.MacVal,_xlpm.CSVVal&lt;&gt;"",_xlpm.CSVVal
)),"")</f>
        <v/>
      </c>
    </row>
    <row r="384" spans="1:17">
      <c r="A384" s="2" t="str">
        <f>_xlfn.TEXTJOIN("",TRUE,Input!$B$2,ROW(My_Audit!A383))</f>
        <v>XX383</v>
      </c>
      <c r="B384" s="2" t="str">
        <f>_xlfn.TEXTJOIN("-",TRUE,"ITD",Input!$A$2,A384)</f>
        <v>ITD-SHRXXX-XX383</v>
      </c>
      <c r="C384" s="2" t="str" cm="1">
        <f t="array" ref="C384">IFERROR(_xlfn.LET(
_xlpm.CSVVal,_xlfn.XLOOKUP($A384,CSV!$A:$A,CSV!B:B,""),
_xlpm.MacVal,_xlfn.XLOOKUP($A384,Output_Mac!$A:$A,Output_Mac!B:B,""),
_xlpm.MyAuditVal,_xlfn.XLOOKUP($A384,My_Audit!$A:$A,My_Audit!B:B,""),
_xlfn.IFS(_xlpm.MyAuditVal&lt;&gt;"",UPPER(_xlpm.MyAuditVal),_xlpm.MacVal&lt;&gt;"",_xlpm.MacVal,_xlpm.CSVVal&lt;&gt;"",_xlpm.CSVVal
)),"")</f>
        <v/>
      </c>
      <c r="D384" s="2" t="str" cm="1">
        <f t="array" ref="D384">IFERROR(_xlfn.LET(
_xlpm.CSVVal,_xlfn.XLOOKUP($A384,CSV!$A:$A,CSV!D:D,""),
_xlpm.MacVal,_xlfn.XLOOKUP($A384,Output_Mac!$A:$A,Output_Mac!C:C,""),
_xlpm.MyAuditVal,_xlfn.XLOOKUP($A384,My_Audit!$A:$A,My_Audit!C:C,""),
_xlfn.IFS(_xlpm.MyAuditVal&lt;&gt;"",_xlpm.MyAuditVal,_xlpm.MacVal&lt;&gt;"",_xlpm.MacVal,_xlpm.CSVVal&lt;&gt;"",_xlpm.CSVVal
)),"")</f>
        <v/>
      </c>
      <c r="E384" s="2" t="str">
        <f>_xlfn.XLOOKUP(A384,My_Audit!A:A,My_Audit!D:D,"")&amp;""</f>
        <v/>
      </c>
      <c r="F384" s="2" t="str" cm="1">
        <f t="array" ref="F384">IFERROR(_xlfn.LET(
_xlpm.CSVVal,_xlfn.XLOOKUP($A384,CSV!$A:$A,CSV!F:F,""),
_xlpm.MacVal,_xlfn.XLOOKUP($A384,Output_Mac!$A:$A,Output_Mac!E:E,""),
_xlpm.MyAuditVal,_xlfn.XLOOKUP($A384,My_Audit!$A:$A,My_Audit!E:E,""),
_xlfn.IFS(_xlpm.MyAuditVal&lt;&gt;"",_xlpm.MyAuditVal,_xlpm.MacVal&lt;&gt;"",_xlpm.MacVal,_xlpm.CSVVal&lt;&gt;"",_xlpm.CSVVal
)),"")</f>
        <v/>
      </c>
      <c r="G384" s="2" t="str" cm="1">
        <f t="array" ref="G384">IFERROR(_xlfn.LET(
_xlpm.CSVVal,_xlfn.XLOOKUP($A384,CSV!$A:$A,CSV!G:G,""),
_xlpm.MacVal,_xlfn.XLOOKUP($A384,Output_Mac!$A:$A,Output_Mac!F:F,""),
_xlpm.MyAuditVal,_xlfn.XLOOKUP($A384,My_Audit!$A:$A,My_Audit!F:F,""),
_xlfn.IFS(_xlpm.MyAuditVal&lt;&gt;"",_xlpm.MyAuditVal,_xlpm.MacVal&lt;&gt;"",_xlpm.MacVal,_xlpm.CSVVal&lt;&gt;"",PROPER(_xlpm.CSVVal)
)),"")</f>
        <v/>
      </c>
      <c r="H384" s="2" t="str" cm="1">
        <f t="array" ref="H384">IFERROR(_xlfn.LET(
_xlpm.CSVVal,_xlfn.XLOOKUP($A384,CSV!$A:$A,CSV!H:H,""),
_xlpm.MacVal,_xlfn.XLOOKUP($A384,Output_Mac!$A:$A,Output_Mac!H:H,""),
_xlpm.MyAuditVal,_xlfn.XLOOKUP($A384,My_Audit!$A:$A,My_Audit!G:G,""),
_xlfn.IFS(_xlpm.MyAuditVal&lt;&gt;"",_xlpm.MyAuditVal,_xlpm.MacVal&lt;&gt;"",_xlpm.MacVal,_xlpm.CSVVal&lt;&gt;"",_xlpm.CSVVal
)),"")</f>
        <v/>
      </c>
      <c r="I384" s="2" t="str">
        <f>_xlfn.XLOOKUP(A384,Output_Mac!A:A,Output_Mac!I:I,"")</f>
        <v/>
      </c>
      <c r="J384" s="2" t="str" cm="1">
        <f t="array" ref="J384">IFERROR(_xlfn.LET(
_xlpm.CSVVal,_xlfn.XLOOKUP($A384,CSV!$A:$A,CSV!I:I,""),
_xlpm.MacVal,_xlfn.XLOOKUP($A384,Output_Mac!$A:$A,Output_Mac!J:J,""),
_xlpm.MyAuditVal,_xlfn.XLOOKUP($A384,My_Audit!$A:$A,My_Audit!I:I,""),
_xlfn.IFS(_xlpm.MyAuditVal&lt;&gt;"",UPPER(_xlpm.MyAuditVal),_xlpm.MacVal&lt;&gt;"",_xlpm.MacVal,_xlpm.CSVVal&lt;&gt;"",_xlpm.CSVVal
)),"")</f>
        <v/>
      </c>
      <c r="K384" s="2" t="str" cm="1">
        <f t="array" ref="K384">IFERROR(_xlfn.LET(
_xlpm.CSVVal,_xlfn.XLOOKUP($A384,CSV!$A:$A,CSV!K:K,""),
_xlpm.MacVal,_xlfn.XLOOKUP($A384,Output_Mac!$A:$A,Output_Mac!K:K,""),
_xlpm.MyAuditVal,_xlfn.XLOOKUP($A384,My_Audit!$A:$A,My_Audit!J:J,""),
_xlfn.IFS(_xlpm.MyAuditVal&lt;&gt;"",UPPER(_xlpm.MyAuditVal),_xlpm.MacVal&lt;&gt;"",_xlpm.MacVal,_xlpm.CSVVal&lt;&gt;"",_xlpm.CSVVal
)),"")</f>
        <v/>
      </c>
      <c r="L384" s="2" t="str" cm="1">
        <f t="array" ref="L384">IFERROR(_xlfn.LET(
_xlpm.CSVVal,_xlfn.XLOOKUP($A384,CSV!$A:$A,CSV!P:P,""),
_xlpm.MacVal,_xlfn.XLOOKUP($A384,Output_Mac!$A:$A,Output_Mac!L:L,""),
_xlpm.MyAuditVal,_xlfn.XLOOKUP($A384,My_Audit!$A:$A,My_Audit!K:K,""),
_xlfn.IFS(_xlpm.MyAuditVal&lt;&gt;"",UPPER(_xlpm.MyAuditVal),_xlpm.MacVal&lt;&gt;"",_xlpm.MacVal,_xlpm.CSVVal&lt;&gt;"",_xlpm.CSVVal
)),"")</f>
        <v/>
      </c>
      <c r="M384" s="2" t="str" cm="1">
        <f t="array" ref="M384">IFERROR(_xlfn.LET(
_xlpm.CSVVal,_xlfn.XLOOKUP($A384,CSV!$A:$A,CSV!Q:Q,""),
_xlpm.MacVal,_xlfn.XLOOKUP($A384,Output_Mac!$A:$A,Output_Mac!M:M,""),
_xlpm.MyAuditVal,_xlfn.XLOOKUP($A384,My_Audit!$A:$A,My_Audit!L:L,""),
_xlfn.IFS(_xlpm.MyAuditVal&lt;&gt;"",UPPER(_xlpm.MyAuditVal),_xlpm.MacVal&lt;&gt;"",_xlpm.MacVal,_xlpm.CSVVal&lt;&gt;"",_xlpm.CSVVal
)),"")</f>
        <v/>
      </c>
      <c r="O384" s="2" t="str">
        <f>_xlfn.LET(
    _xlpm.CSVVal, _xlfn.XLOOKUP($A384, CSV!$A:$A, CSV!AF:AF, ""),
    _xlpm.MacVal, _xlfn.XLOOKUP($A384, Output_Mac!$A:$A, Output_Mac!S:S, ""),
    _xlpm.MyAuditVal, _xlfn.XLOOKUP($A384, My_Audit!$A:$A, My_Audit!P:P, ""),
    _xlfn.TEXTJOIN(", ", TRUE, _xlpm.MyAuditVal, _xlpm.MacVal, _xlpm.CSVVal)
)</f>
        <v/>
      </c>
      <c r="P384" s="2" t="str" cm="1">
        <f t="array" ref="P384">IFERROR(_xlfn.LET(
_xlpm.CSVVal,_xlfn.XLOOKUP($A384,CSV!$A:$A,CSV!AG:AG,""),
_xlpm.MacVal,_xlfn.XLOOKUP($A384,Output_Mac!$A:$A,Output_Mac!T:T,""),
_xlpm.MyAuditVal,_xlfn.XLOOKUP($A384,My_Audit!$A:$A,My_Audit!Q:Q,""),
_xlfn.IFS(_xlpm.MyAuditVal&lt;&gt;"",UPPER(_xlpm.MyAuditVal),_xlpm.MacVal&lt;&gt;"",_xlpm.MacVal,_xlpm.CSVVal&lt;&gt;"",_xlpm.CSVVal
)),"No")</f>
        <v>No</v>
      </c>
      <c r="Q384" s="2" t="str" cm="1">
        <f t="array" ref="Q384">IFERROR(_xlfn.LET(
_xlpm.CSVVal,_xlfn.XLOOKUP($A384,CSV!$A:$A,CSV!AH:AH,""),
_xlpm.MacVal,_xlfn.XLOOKUP($A384,Output_Mac!$A:$A,Output_Mac!U:U,""),
_xlpm.MyAuditVal,_xlfn.XLOOKUP($A384,My_Audit!$A:$A,My_Audit!R:R,""),
_xlfn.IFS(_xlpm.MyAuditVal&lt;&gt;"",UPPER(_xlpm.MyAuditVal),_xlpm.MacVal&lt;&gt;"",_xlpm.MacVal,_xlpm.CSVVal&lt;&gt;"",_xlpm.CSVVal
)),"")</f>
        <v/>
      </c>
    </row>
    <row r="385" spans="1:17">
      <c r="A385" s="2" t="str">
        <f>_xlfn.TEXTJOIN("",TRUE,Input!$B$2,ROW(My_Audit!A384))</f>
        <v>XX384</v>
      </c>
      <c r="B385" s="2" t="str">
        <f>_xlfn.TEXTJOIN("-",TRUE,"ITD",Input!$A$2,A385)</f>
        <v>ITD-SHRXXX-XX384</v>
      </c>
      <c r="C385" s="2" t="str" cm="1">
        <f t="array" ref="C385">IFERROR(_xlfn.LET(
_xlpm.CSVVal,_xlfn.XLOOKUP($A385,CSV!$A:$A,CSV!B:B,""),
_xlpm.MacVal,_xlfn.XLOOKUP($A385,Output_Mac!$A:$A,Output_Mac!B:B,""),
_xlpm.MyAuditVal,_xlfn.XLOOKUP($A385,My_Audit!$A:$A,My_Audit!B:B,""),
_xlfn.IFS(_xlpm.MyAuditVal&lt;&gt;"",UPPER(_xlpm.MyAuditVal),_xlpm.MacVal&lt;&gt;"",_xlpm.MacVal,_xlpm.CSVVal&lt;&gt;"",_xlpm.CSVVal
)),"")</f>
        <v/>
      </c>
      <c r="D385" s="2" t="str" cm="1">
        <f t="array" ref="D385">IFERROR(_xlfn.LET(
_xlpm.CSVVal,_xlfn.XLOOKUP($A385,CSV!$A:$A,CSV!D:D,""),
_xlpm.MacVal,_xlfn.XLOOKUP($A385,Output_Mac!$A:$A,Output_Mac!C:C,""),
_xlpm.MyAuditVal,_xlfn.XLOOKUP($A385,My_Audit!$A:$A,My_Audit!C:C,""),
_xlfn.IFS(_xlpm.MyAuditVal&lt;&gt;"",_xlpm.MyAuditVal,_xlpm.MacVal&lt;&gt;"",_xlpm.MacVal,_xlpm.CSVVal&lt;&gt;"",_xlpm.CSVVal
)),"")</f>
        <v/>
      </c>
      <c r="E385" s="2" t="str">
        <f>_xlfn.XLOOKUP(A385,My_Audit!A:A,My_Audit!D:D,"")&amp;""</f>
        <v/>
      </c>
      <c r="F385" s="2" t="str" cm="1">
        <f t="array" ref="F385">IFERROR(_xlfn.LET(
_xlpm.CSVVal,_xlfn.XLOOKUP($A385,CSV!$A:$A,CSV!F:F,""),
_xlpm.MacVal,_xlfn.XLOOKUP($A385,Output_Mac!$A:$A,Output_Mac!E:E,""),
_xlpm.MyAuditVal,_xlfn.XLOOKUP($A385,My_Audit!$A:$A,My_Audit!E:E,""),
_xlfn.IFS(_xlpm.MyAuditVal&lt;&gt;"",_xlpm.MyAuditVal,_xlpm.MacVal&lt;&gt;"",_xlpm.MacVal,_xlpm.CSVVal&lt;&gt;"",_xlpm.CSVVal
)),"")</f>
        <v/>
      </c>
      <c r="G385" s="2" t="str" cm="1">
        <f t="array" ref="G385">IFERROR(_xlfn.LET(
_xlpm.CSVVal,_xlfn.XLOOKUP($A385,CSV!$A:$A,CSV!G:G,""),
_xlpm.MacVal,_xlfn.XLOOKUP($A385,Output_Mac!$A:$A,Output_Mac!F:F,""),
_xlpm.MyAuditVal,_xlfn.XLOOKUP($A385,My_Audit!$A:$A,My_Audit!F:F,""),
_xlfn.IFS(_xlpm.MyAuditVal&lt;&gt;"",_xlpm.MyAuditVal,_xlpm.MacVal&lt;&gt;"",_xlpm.MacVal,_xlpm.CSVVal&lt;&gt;"",PROPER(_xlpm.CSVVal)
)),"")</f>
        <v/>
      </c>
      <c r="H385" s="2" t="str" cm="1">
        <f t="array" ref="H385">IFERROR(_xlfn.LET(
_xlpm.CSVVal,_xlfn.XLOOKUP($A385,CSV!$A:$A,CSV!H:H,""),
_xlpm.MacVal,_xlfn.XLOOKUP($A385,Output_Mac!$A:$A,Output_Mac!H:H,""),
_xlpm.MyAuditVal,_xlfn.XLOOKUP($A385,My_Audit!$A:$A,My_Audit!G:G,""),
_xlfn.IFS(_xlpm.MyAuditVal&lt;&gt;"",_xlpm.MyAuditVal,_xlpm.MacVal&lt;&gt;"",_xlpm.MacVal,_xlpm.CSVVal&lt;&gt;"",_xlpm.CSVVal
)),"")</f>
        <v/>
      </c>
      <c r="I385" s="2" t="str">
        <f>_xlfn.XLOOKUP(A385,Output_Mac!A:A,Output_Mac!I:I,"")</f>
        <v/>
      </c>
      <c r="J385" s="2" t="str" cm="1">
        <f t="array" ref="J385">IFERROR(_xlfn.LET(
_xlpm.CSVVal,_xlfn.XLOOKUP($A385,CSV!$A:$A,CSV!I:I,""),
_xlpm.MacVal,_xlfn.XLOOKUP($A385,Output_Mac!$A:$A,Output_Mac!J:J,""),
_xlpm.MyAuditVal,_xlfn.XLOOKUP($A385,My_Audit!$A:$A,My_Audit!I:I,""),
_xlfn.IFS(_xlpm.MyAuditVal&lt;&gt;"",UPPER(_xlpm.MyAuditVal),_xlpm.MacVal&lt;&gt;"",_xlpm.MacVal,_xlpm.CSVVal&lt;&gt;"",_xlpm.CSVVal
)),"")</f>
        <v/>
      </c>
      <c r="K385" s="2" t="str" cm="1">
        <f t="array" ref="K385">IFERROR(_xlfn.LET(
_xlpm.CSVVal,_xlfn.XLOOKUP($A385,CSV!$A:$A,CSV!K:K,""),
_xlpm.MacVal,_xlfn.XLOOKUP($A385,Output_Mac!$A:$A,Output_Mac!K:K,""),
_xlpm.MyAuditVal,_xlfn.XLOOKUP($A385,My_Audit!$A:$A,My_Audit!J:J,""),
_xlfn.IFS(_xlpm.MyAuditVal&lt;&gt;"",UPPER(_xlpm.MyAuditVal),_xlpm.MacVal&lt;&gt;"",_xlpm.MacVal,_xlpm.CSVVal&lt;&gt;"",_xlpm.CSVVal
)),"")</f>
        <v/>
      </c>
      <c r="L385" s="2" t="str" cm="1">
        <f t="array" ref="L385">IFERROR(_xlfn.LET(
_xlpm.CSVVal,_xlfn.XLOOKUP($A385,CSV!$A:$A,CSV!P:P,""),
_xlpm.MacVal,_xlfn.XLOOKUP($A385,Output_Mac!$A:$A,Output_Mac!L:L,""),
_xlpm.MyAuditVal,_xlfn.XLOOKUP($A385,My_Audit!$A:$A,My_Audit!K:K,""),
_xlfn.IFS(_xlpm.MyAuditVal&lt;&gt;"",UPPER(_xlpm.MyAuditVal),_xlpm.MacVal&lt;&gt;"",_xlpm.MacVal,_xlpm.CSVVal&lt;&gt;"",_xlpm.CSVVal
)),"")</f>
        <v/>
      </c>
      <c r="M385" s="2" t="str" cm="1">
        <f t="array" ref="M385">IFERROR(_xlfn.LET(
_xlpm.CSVVal,_xlfn.XLOOKUP($A385,CSV!$A:$A,CSV!Q:Q,""),
_xlpm.MacVal,_xlfn.XLOOKUP($A385,Output_Mac!$A:$A,Output_Mac!M:M,""),
_xlpm.MyAuditVal,_xlfn.XLOOKUP($A385,My_Audit!$A:$A,My_Audit!L:L,""),
_xlfn.IFS(_xlpm.MyAuditVal&lt;&gt;"",UPPER(_xlpm.MyAuditVal),_xlpm.MacVal&lt;&gt;"",_xlpm.MacVal,_xlpm.CSVVal&lt;&gt;"",_xlpm.CSVVal
)),"")</f>
        <v/>
      </c>
      <c r="O385" s="2" t="str">
        <f>_xlfn.LET(
    _xlpm.CSVVal, _xlfn.XLOOKUP($A385, CSV!$A:$A, CSV!AF:AF, ""),
    _xlpm.MacVal, _xlfn.XLOOKUP($A385, Output_Mac!$A:$A, Output_Mac!S:S, ""),
    _xlpm.MyAuditVal, _xlfn.XLOOKUP($A385, My_Audit!$A:$A, My_Audit!P:P, ""),
    _xlfn.TEXTJOIN(", ", TRUE, _xlpm.MyAuditVal, _xlpm.MacVal, _xlpm.CSVVal)
)</f>
        <v/>
      </c>
      <c r="P385" s="2" t="str" cm="1">
        <f t="array" ref="P385">IFERROR(_xlfn.LET(
_xlpm.CSVVal,_xlfn.XLOOKUP($A385,CSV!$A:$A,CSV!AG:AG,""),
_xlpm.MacVal,_xlfn.XLOOKUP($A385,Output_Mac!$A:$A,Output_Mac!T:T,""),
_xlpm.MyAuditVal,_xlfn.XLOOKUP($A385,My_Audit!$A:$A,My_Audit!Q:Q,""),
_xlfn.IFS(_xlpm.MyAuditVal&lt;&gt;"",UPPER(_xlpm.MyAuditVal),_xlpm.MacVal&lt;&gt;"",_xlpm.MacVal,_xlpm.CSVVal&lt;&gt;"",_xlpm.CSVVal
)),"No")</f>
        <v>No</v>
      </c>
      <c r="Q385" s="2" t="str" cm="1">
        <f t="array" ref="Q385">IFERROR(_xlfn.LET(
_xlpm.CSVVal,_xlfn.XLOOKUP($A385,CSV!$A:$A,CSV!AH:AH,""),
_xlpm.MacVal,_xlfn.XLOOKUP($A385,Output_Mac!$A:$A,Output_Mac!U:U,""),
_xlpm.MyAuditVal,_xlfn.XLOOKUP($A385,My_Audit!$A:$A,My_Audit!R:R,""),
_xlfn.IFS(_xlpm.MyAuditVal&lt;&gt;"",UPPER(_xlpm.MyAuditVal),_xlpm.MacVal&lt;&gt;"",_xlpm.MacVal,_xlpm.CSVVal&lt;&gt;"",_xlpm.CSVVal
)),"")</f>
        <v/>
      </c>
    </row>
    <row r="386" spans="1:17">
      <c r="A386" s="2" t="str">
        <f>_xlfn.TEXTJOIN("",TRUE,Input!$B$2,ROW(My_Audit!A385))</f>
        <v>XX385</v>
      </c>
      <c r="B386" s="2" t="str">
        <f>_xlfn.TEXTJOIN("-",TRUE,"ITD",Input!$A$2,A386)</f>
        <v>ITD-SHRXXX-XX385</v>
      </c>
      <c r="C386" s="2" t="str" cm="1">
        <f t="array" ref="C386">IFERROR(_xlfn.LET(
_xlpm.CSVVal,_xlfn.XLOOKUP($A386,CSV!$A:$A,CSV!B:B,""),
_xlpm.MacVal,_xlfn.XLOOKUP($A386,Output_Mac!$A:$A,Output_Mac!B:B,""),
_xlpm.MyAuditVal,_xlfn.XLOOKUP($A386,My_Audit!$A:$A,My_Audit!B:B,""),
_xlfn.IFS(_xlpm.MyAuditVal&lt;&gt;"",UPPER(_xlpm.MyAuditVal),_xlpm.MacVal&lt;&gt;"",_xlpm.MacVal,_xlpm.CSVVal&lt;&gt;"",_xlpm.CSVVal
)),"")</f>
        <v/>
      </c>
      <c r="D386" s="2" t="str" cm="1">
        <f t="array" ref="D386">IFERROR(_xlfn.LET(
_xlpm.CSVVal,_xlfn.XLOOKUP($A386,CSV!$A:$A,CSV!D:D,""),
_xlpm.MacVal,_xlfn.XLOOKUP($A386,Output_Mac!$A:$A,Output_Mac!C:C,""),
_xlpm.MyAuditVal,_xlfn.XLOOKUP($A386,My_Audit!$A:$A,My_Audit!C:C,""),
_xlfn.IFS(_xlpm.MyAuditVal&lt;&gt;"",_xlpm.MyAuditVal,_xlpm.MacVal&lt;&gt;"",_xlpm.MacVal,_xlpm.CSVVal&lt;&gt;"",_xlpm.CSVVal
)),"")</f>
        <v/>
      </c>
      <c r="E386" s="2" t="str">
        <f>_xlfn.XLOOKUP(A386,My_Audit!A:A,My_Audit!D:D,"")&amp;""</f>
        <v/>
      </c>
      <c r="F386" s="2" t="str" cm="1">
        <f t="array" ref="F386">IFERROR(_xlfn.LET(
_xlpm.CSVVal,_xlfn.XLOOKUP($A386,CSV!$A:$A,CSV!F:F,""),
_xlpm.MacVal,_xlfn.XLOOKUP($A386,Output_Mac!$A:$A,Output_Mac!E:E,""),
_xlpm.MyAuditVal,_xlfn.XLOOKUP($A386,My_Audit!$A:$A,My_Audit!E:E,""),
_xlfn.IFS(_xlpm.MyAuditVal&lt;&gt;"",_xlpm.MyAuditVal,_xlpm.MacVal&lt;&gt;"",_xlpm.MacVal,_xlpm.CSVVal&lt;&gt;"",_xlpm.CSVVal
)),"")</f>
        <v/>
      </c>
      <c r="G386" s="2" t="str" cm="1">
        <f t="array" ref="G386">IFERROR(_xlfn.LET(
_xlpm.CSVVal,_xlfn.XLOOKUP($A386,CSV!$A:$A,CSV!G:G,""),
_xlpm.MacVal,_xlfn.XLOOKUP($A386,Output_Mac!$A:$A,Output_Mac!F:F,""),
_xlpm.MyAuditVal,_xlfn.XLOOKUP($A386,My_Audit!$A:$A,My_Audit!F:F,""),
_xlfn.IFS(_xlpm.MyAuditVal&lt;&gt;"",_xlpm.MyAuditVal,_xlpm.MacVal&lt;&gt;"",_xlpm.MacVal,_xlpm.CSVVal&lt;&gt;"",PROPER(_xlpm.CSVVal)
)),"")</f>
        <v/>
      </c>
      <c r="H386" s="2" t="str" cm="1">
        <f t="array" ref="H386">IFERROR(_xlfn.LET(
_xlpm.CSVVal,_xlfn.XLOOKUP($A386,CSV!$A:$A,CSV!H:H,""),
_xlpm.MacVal,_xlfn.XLOOKUP($A386,Output_Mac!$A:$A,Output_Mac!H:H,""),
_xlpm.MyAuditVal,_xlfn.XLOOKUP($A386,My_Audit!$A:$A,My_Audit!G:G,""),
_xlfn.IFS(_xlpm.MyAuditVal&lt;&gt;"",_xlpm.MyAuditVal,_xlpm.MacVal&lt;&gt;"",_xlpm.MacVal,_xlpm.CSVVal&lt;&gt;"",_xlpm.CSVVal
)),"")</f>
        <v/>
      </c>
      <c r="I386" s="2" t="str">
        <f>_xlfn.XLOOKUP(A386,Output_Mac!A:A,Output_Mac!I:I,"")</f>
        <v/>
      </c>
      <c r="J386" s="2" t="str" cm="1">
        <f t="array" ref="J386">IFERROR(_xlfn.LET(
_xlpm.CSVVal,_xlfn.XLOOKUP($A386,CSV!$A:$A,CSV!I:I,""),
_xlpm.MacVal,_xlfn.XLOOKUP($A386,Output_Mac!$A:$A,Output_Mac!J:J,""),
_xlpm.MyAuditVal,_xlfn.XLOOKUP($A386,My_Audit!$A:$A,My_Audit!I:I,""),
_xlfn.IFS(_xlpm.MyAuditVal&lt;&gt;"",UPPER(_xlpm.MyAuditVal),_xlpm.MacVal&lt;&gt;"",_xlpm.MacVal,_xlpm.CSVVal&lt;&gt;"",_xlpm.CSVVal
)),"")</f>
        <v/>
      </c>
      <c r="K386" s="2" t="str" cm="1">
        <f t="array" ref="K386">IFERROR(_xlfn.LET(
_xlpm.CSVVal,_xlfn.XLOOKUP($A386,CSV!$A:$A,CSV!K:K,""),
_xlpm.MacVal,_xlfn.XLOOKUP($A386,Output_Mac!$A:$A,Output_Mac!K:K,""),
_xlpm.MyAuditVal,_xlfn.XLOOKUP($A386,My_Audit!$A:$A,My_Audit!J:J,""),
_xlfn.IFS(_xlpm.MyAuditVal&lt;&gt;"",UPPER(_xlpm.MyAuditVal),_xlpm.MacVal&lt;&gt;"",_xlpm.MacVal,_xlpm.CSVVal&lt;&gt;"",_xlpm.CSVVal
)),"")</f>
        <v/>
      </c>
      <c r="L386" s="2" t="str" cm="1">
        <f t="array" ref="L386">IFERROR(_xlfn.LET(
_xlpm.CSVVal,_xlfn.XLOOKUP($A386,CSV!$A:$A,CSV!P:P,""),
_xlpm.MacVal,_xlfn.XLOOKUP($A386,Output_Mac!$A:$A,Output_Mac!L:L,""),
_xlpm.MyAuditVal,_xlfn.XLOOKUP($A386,My_Audit!$A:$A,My_Audit!K:K,""),
_xlfn.IFS(_xlpm.MyAuditVal&lt;&gt;"",UPPER(_xlpm.MyAuditVal),_xlpm.MacVal&lt;&gt;"",_xlpm.MacVal,_xlpm.CSVVal&lt;&gt;"",_xlpm.CSVVal
)),"")</f>
        <v/>
      </c>
      <c r="M386" s="2" t="str" cm="1">
        <f t="array" ref="M386">IFERROR(_xlfn.LET(
_xlpm.CSVVal,_xlfn.XLOOKUP($A386,CSV!$A:$A,CSV!Q:Q,""),
_xlpm.MacVal,_xlfn.XLOOKUP($A386,Output_Mac!$A:$A,Output_Mac!M:M,""),
_xlpm.MyAuditVal,_xlfn.XLOOKUP($A386,My_Audit!$A:$A,My_Audit!L:L,""),
_xlfn.IFS(_xlpm.MyAuditVal&lt;&gt;"",UPPER(_xlpm.MyAuditVal),_xlpm.MacVal&lt;&gt;"",_xlpm.MacVal,_xlpm.CSVVal&lt;&gt;"",_xlpm.CSVVal
)),"")</f>
        <v/>
      </c>
      <c r="O386" s="2" t="str">
        <f>_xlfn.LET(
    _xlpm.CSVVal, _xlfn.XLOOKUP($A386, CSV!$A:$A, CSV!AF:AF, ""),
    _xlpm.MacVal, _xlfn.XLOOKUP($A386, Output_Mac!$A:$A, Output_Mac!S:S, ""),
    _xlpm.MyAuditVal, _xlfn.XLOOKUP($A386, My_Audit!$A:$A, My_Audit!P:P, ""),
    _xlfn.TEXTJOIN(", ", TRUE, _xlpm.MyAuditVal, _xlpm.MacVal, _xlpm.CSVVal)
)</f>
        <v/>
      </c>
      <c r="P386" s="2" t="str" cm="1">
        <f t="array" ref="P386">IFERROR(_xlfn.LET(
_xlpm.CSVVal,_xlfn.XLOOKUP($A386,CSV!$A:$A,CSV!AG:AG,""),
_xlpm.MacVal,_xlfn.XLOOKUP($A386,Output_Mac!$A:$A,Output_Mac!T:T,""),
_xlpm.MyAuditVal,_xlfn.XLOOKUP($A386,My_Audit!$A:$A,My_Audit!Q:Q,""),
_xlfn.IFS(_xlpm.MyAuditVal&lt;&gt;"",UPPER(_xlpm.MyAuditVal),_xlpm.MacVal&lt;&gt;"",_xlpm.MacVal,_xlpm.CSVVal&lt;&gt;"",_xlpm.CSVVal
)),"No")</f>
        <v>No</v>
      </c>
      <c r="Q386" s="2" t="str" cm="1">
        <f t="array" ref="Q386">IFERROR(_xlfn.LET(
_xlpm.CSVVal,_xlfn.XLOOKUP($A386,CSV!$A:$A,CSV!AH:AH,""),
_xlpm.MacVal,_xlfn.XLOOKUP($A386,Output_Mac!$A:$A,Output_Mac!U:U,""),
_xlpm.MyAuditVal,_xlfn.XLOOKUP($A386,My_Audit!$A:$A,My_Audit!R:R,""),
_xlfn.IFS(_xlpm.MyAuditVal&lt;&gt;"",UPPER(_xlpm.MyAuditVal),_xlpm.MacVal&lt;&gt;"",_xlpm.MacVal,_xlpm.CSVVal&lt;&gt;"",_xlpm.CSVVal
)),"")</f>
        <v/>
      </c>
    </row>
    <row r="387" spans="1:17">
      <c r="A387" s="2" t="str">
        <f>_xlfn.TEXTJOIN("",TRUE,Input!$B$2,ROW(My_Audit!A386))</f>
        <v>XX386</v>
      </c>
      <c r="B387" s="2" t="str">
        <f>_xlfn.TEXTJOIN("-",TRUE,"ITD",Input!$A$2,A387)</f>
        <v>ITD-SHRXXX-XX386</v>
      </c>
      <c r="C387" s="2" t="str" cm="1">
        <f t="array" ref="C387">IFERROR(_xlfn.LET(
_xlpm.CSVVal,_xlfn.XLOOKUP($A387,CSV!$A:$A,CSV!B:B,""),
_xlpm.MacVal,_xlfn.XLOOKUP($A387,Output_Mac!$A:$A,Output_Mac!B:B,""),
_xlpm.MyAuditVal,_xlfn.XLOOKUP($A387,My_Audit!$A:$A,My_Audit!B:B,""),
_xlfn.IFS(_xlpm.MyAuditVal&lt;&gt;"",UPPER(_xlpm.MyAuditVal),_xlpm.MacVal&lt;&gt;"",_xlpm.MacVal,_xlpm.CSVVal&lt;&gt;"",_xlpm.CSVVal
)),"")</f>
        <v/>
      </c>
      <c r="D387" s="2" t="str" cm="1">
        <f t="array" ref="D387">IFERROR(_xlfn.LET(
_xlpm.CSVVal,_xlfn.XLOOKUP($A387,CSV!$A:$A,CSV!D:D,""),
_xlpm.MacVal,_xlfn.XLOOKUP($A387,Output_Mac!$A:$A,Output_Mac!C:C,""),
_xlpm.MyAuditVal,_xlfn.XLOOKUP($A387,My_Audit!$A:$A,My_Audit!C:C,""),
_xlfn.IFS(_xlpm.MyAuditVal&lt;&gt;"",_xlpm.MyAuditVal,_xlpm.MacVal&lt;&gt;"",_xlpm.MacVal,_xlpm.CSVVal&lt;&gt;"",_xlpm.CSVVal
)),"")</f>
        <v/>
      </c>
      <c r="E387" s="2" t="str">
        <f>_xlfn.XLOOKUP(A387,My_Audit!A:A,My_Audit!D:D,"")&amp;""</f>
        <v/>
      </c>
      <c r="F387" s="2" t="str" cm="1">
        <f t="array" ref="F387">IFERROR(_xlfn.LET(
_xlpm.CSVVal,_xlfn.XLOOKUP($A387,CSV!$A:$A,CSV!F:F,""),
_xlpm.MacVal,_xlfn.XLOOKUP($A387,Output_Mac!$A:$A,Output_Mac!E:E,""),
_xlpm.MyAuditVal,_xlfn.XLOOKUP($A387,My_Audit!$A:$A,My_Audit!E:E,""),
_xlfn.IFS(_xlpm.MyAuditVal&lt;&gt;"",_xlpm.MyAuditVal,_xlpm.MacVal&lt;&gt;"",_xlpm.MacVal,_xlpm.CSVVal&lt;&gt;"",_xlpm.CSVVal
)),"")</f>
        <v/>
      </c>
      <c r="G387" s="2" t="str" cm="1">
        <f t="array" ref="G387">IFERROR(_xlfn.LET(
_xlpm.CSVVal,_xlfn.XLOOKUP($A387,CSV!$A:$A,CSV!G:G,""),
_xlpm.MacVal,_xlfn.XLOOKUP($A387,Output_Mac!$A:$A,Output_Mac!F:F,""),
_xlpm.MyAuditVal,_xlfn.XLOOKUP($A387,My_Audit!$A:$A,My_Audit!F:F,""),
_xlfn.IFS(_xlpm.MyAuditVal&lt;&gt;"",_xlpm.MyAuditVal,_xlpm.MacVal&lt;&gt;"",_xlpm.MacVal,_xlpm.CSVVal&lt;&gt;"",PROPER(_xlpm.CSVVal)
)),"")</f>
        <v/>
      </c>
      <c r="H387" s="2" t="str" cm="1">
        <f t="array" ref="H387">IFERROR(_xlfn.LET(
_xlpm.CSVVal,_xlfn.XLOOKUP($A387,CSV!$A:$A,CSV!H:H,""),
_xlpm.MacVal,_xlfn.XLOOKUP($A387,Output_Mac!$A:$A,Output_Mac!H:H,""),
_xlpm.MyAuditVal,_xlfn.XLOOKUP($A387,My_Audit!$A:$A,My_Audit!G:G,""),
_xlfn.IFS(_xlpm.MyAuditVal&lt;&gt;"",_xlpm.MyAuditVal,_xlpm.MacVal&lt;&gt;"",_xlpm.MacVal,_xlpm.CSVVal&lt;&gt;"",_xlpm.CSVVal
)),"")</f>
        <v/>
      </c>
      <c r="I387" s="2" t="str">
        <f>_xlfn.XLOOKUP(A387,Output_Mac!A:A,Output_Mac!I:I,"")</f>
        <v/>
      </c>
      <c r="J387" s="2" t="str" cm="1">
        <f t="array" ref="J387">IFERROR(_xlfn.LET(
_xlpm.CSVVal,_xlfn.XLOOKUP($A387,CSV!$A:$A,CSV!I:I,""),
_xlpm.MacVal,_xlfn.XLOOKUP($A387,Output_Mac!$A:$A,Output_Mac!J:J,""),
_xlpm.MyAuditVal,_xlfn.XLOOKUP($A387,My_Audit!$A:$A,My_Audit!I:I,""),
_xlfn.IFS(_xlpm.MyAuditVal&lt;&gt;"",UPPER(_xlpm.MyAuditVal),_xlpm.MacVal&lt;&gt;"",_xlpm.MacVal,_xlpm.CSVVal&lt;&gt;"",_xlpm.CSVVal
)),"")</f>
        <v/>
      </c>
      <c r="K387" s="2" t="str" cm="1">
        <f t="array" ref="K387">IFERROR(_xlfn.LET(
_xlpm.CSVVal,_xlfn.XLOOKUP($A387,CSV!$A:$A,CSV!K:K,""),
_xlpm.MacVal,_xlfn.XLOOKUP($A387,Output_Mac!$A:$A,Output_Mac!K:K,""),
_xlpm.MyAuditVal,_xlfn.XLOOKUP($A387,My_Audit!$A:$A,My_Audit!J:J,""),
_xlfn.IFS(_xlpm.MyAuditVal&lt;&gt;"",UPPER(_xlpm.MyAuditVal),_xlpm.MacVal&lt;&gt;"",_xlpm.MacVal,_xlpm.CSVVal&lt;&gt;"",_xlpm.CSVVal
)),"")</f>
        <v/>
      </c>
      <c r="L387" s="2" t="str" cm="1">
        <f t="array" ref="L387">IFERROR(_xlfn.LET(
_xlpm.CSVVal,_xlfn.XLOOKUP($A387,CSV!$A:$A,CSV!P:P,""),
_xlpm.MacVal,_xlfn.XLOOKUP($A387,Output_Mac!$A:$A,Output_Mac!L:L,""),
_xlpm.MyAuditVal,_xlfn.XLOOKUP($A387,My_Audit!$A:$A,My_Audit!K:K,""),
_xlfn.IFS(_xlpm.MyAuditVal&lt;&gt;"",UPPER(_xlpm.MyAuditVal),_xlpm.MacVal&lt;&gt;"",_xlpm.MacVal,_xlpm.CSVVal&lt;&gt;"",_xlpm.CSVVal
)),"")</f>
        <v/>
      </c>
      <c r="M387" s="2" t="str" cm="1">
        <f t="array" ref="M387">IFERROR(_xlfn.LET(
_xlpm.CSVVal,_xlfn.XLOOKUP($A387,CSV!$A:$A,CSV!Q:Q,""),
_xlpm.MacVal,_xlfn.XLOOKUP($A387,Output_Mac!$A:$A,Output_Mac!M:M,""),
_xlpm.MyAuditVal,_xlfn.XLOOKUP($A387,My_Audit!$A:$A,My_Audit!L:L,""),
_xlfn.IFS(_xlpm.MyAuditVal&lt;&gt;"",UPPER(_xlpm.MyAuditVal),_xlpm.MacVal&lt;&gt;"",_xlpm.MacVal,_xlpm.CSVVal&lt;&gt;"",_xlpm.CSVVal
)),"")</f>
        <v/>
      </c>
      <c r="O387" s="2" t="str">
        <f>_xlfn.LET(
    _xlpm.CSVVal, _xlfn.XLOOKUP($A387, CSV!$A:$A, CSV!AF:AF, ""),
    _xlpm.MacVal, _xlfn.XLOOKUP($A387, Output_Mac!$A:$A, Output_Mac!S:S, ""),
    _xlpm.MyAuditVal, _xlfn.XLOOKUP($A387, My_Audit!$A:$A, My_Audit!P:P, ""),
    _xlfn.TEXTJOIN(", ", TRUE, _xlpm.MyAuditVal, _xlpm.MacVal, _xlpm.CSVVal)
)</f>
        <v/>
      </c>
      <c r="P387" s="2" t="str" cm="1">
        <f t="array" ref="P387">IFERROR(_xlfn.LET(
_xlpm.CSVVal,_xlfn.XLOOKUP($A387,CSV!$A:$A,CSV!AG:AG,""),
_xlpm.MacVal,_xlfn.XLOOKUP($A387,Output_Mac!$A:$A,Output_Mac!T:T,""),
_xlpm.MyAuditVal,_xlfn.XLOOKUP($A387,My_Audit!$A:$A,My_Audit!Q:Q,""),
_xlfn.IFS(_xlpm.MyAuditVal&lt;&gt;"",UPPER(_xlpm.MyAuditVal),_xlpm.MacVal&lt;&gt;"",_xlpm.MacVal,_xlpm.CSVVal&lt;&gt;"",_xlpm.CSVVal
)),"No")</f>
        <v>No</v>
      </c>
      <c r="Q387" s="2" t="str" cm="1">
        <f t="array" ref="Q387">IFERROR(_xlfn.LET(
_xlpm.CSVVal,_xlfn.XLOOKUP($A387,CSV!$A:$A,CSV!AH:AH,""),
_xlpm.MacVal,_xlfn.XLOOKUP($A387,Output_Mac!$A:$A,Output_Mac!U:U,""),
_xlpm.MyAuditVal,_xlfn.XLOOKUP($A387,My_Audit!$A:$A,My_Audit!R:R,""),
_xlfn.IFS(_xlpm.MyAuditVal&lt;&gt;"",UPPER(_xlpm.MyAuditVal),_xlpm.MacVal&lt;&gt;"",_xlpm.MacVal,_xlpm.CSVVal&lt;&gt;"",_xlpm.CSVVal
)),"")</f>
        <v/>
      </c>
    </row>
    <row r="388" spans="1:17">
      <c r="A388" s="2" t="str">
        <f>_xlfn.TEXTJOIN("",TRUE,Input!$B$2,ROW(My_Audit!A387))</f>
        <v>XX387</v>
      </c>
      <c r="B388" s="2" t="str">
        <f>_xlfn.TEXTJOIN("-",TRUE,"ITD",Input!$A$2,A388)</f>
        <v>ITD-SHRXXX-XX387</v>
      </c>
      <c r="C388" s="2" t="str" cm="1">
        <f t="array" ref="C388">IFERROR(_xlfn.LET(
_xlpm.CSVVal,_xlfn.XLOOKUP($A388,CSV!$A:$A,CSV!B:B,""),
_xlpm.MacVal,_xlfn.XLOOKUP($A388,Output_Mac!$A:$A,Output_Mac!B:B,""),
_xlpm.MyAuditVal,_xlfn.XLOOKUP($A388,My_Audit!$A:$A,My_Audit!B:B,""),
_xlfn.IFS(_xlpm.MyAuditVal&lt;&gt;"",UPPER(_xlpm.MyAuditVal),_xlpm.MacVal&lt;&gt;"",_xlpm.MacVal,_xlpm.CSVVal&lt;&gt;"",_xlpm.CSVVal
)),"")</f>
        <v/>
      </c>
      <c r="D388" s="2" t="str" cm="1">
        <f t="array" ref="D388">IFERROR(_xlfn.LET(
_xlpm.CSVVal,_xlfn.XLOOKUP($A388,CSV!$A:$A,CSV!D:D,""),
_xlpm.MacVal,_xlfn.XLOOKUP($A388,Output_Mac!$A:$A,Output_Mac!C:C,""),
_xlpm.MyAuditVal,_xlfn.XLOOKUP($A388,My_Audit!$A:$A,My_Audit!C:C,""),
_xlfn.IFS(_xlpm.MyAuditVal&lt;&gt;"",_xlpm.MyAuditVal,_xlpm.MacVal&lt;&gt;"",_xlpm.MacVal,_xlpm.CSVVal&lt;&gt;"",_xlpm.CSVVal
)),"")</f>
        <v/>
      </c>
      <c r="E388" s="2" t="str">
        <f>_xlfn.XLOOKUP(A388,My_Audit!A:A,My_Audit!D:D,"")&amp;""</f>
        <v/>
      </c>
      <c r="F388" s="2" t="str" cm="1">
        <f t="array" ref="F388">IFERROR(_xlfn.LET(
_xlpm.CSVVal,_xlfn.XLOOKUP($A388,CSV!$A:$A,CSV!F:F,""),
_xlpm.MacVal,_xlfn.XLOOKUP($A388,Output_Mac!$A:$A,Output_Mac!E:E,""),
_xlpm.MyAuditVal,_xlfn.XLOOKUP($A388,My_Audit!$A:$A,My_Audit!E:E,""),
_xlfn.IFS(_xlpm.MyAuditVal&lt;&gt;"",_xlpm.MyAuditVal,_xlpm.MacVal&lt;&gt;"",_xlpm.MacVal,_xlpm.CSVVal&lt;&gt;"",_xlpm.CSVVal
)),"")</f>
        <v/>
      </c>
      <c r="G388" s="2" t="str" cm="1">
        <f t="array" ref="G388">IFERROR(_xlfn.LET(
_xlpm.CSVVal,_xlfn.XLOOKUP($A388,CSV!$A:$A,CSV!G:G,""),
_xlpm.MacVal,_xlfn.XLOOKUP($A388,Output_Mac!$A:$A,Output_Mac!F:F,""),
_xlpm.MyAuditVal,_xlfn.XLOOKUP($A388,My_Audit!$A:$A,My_Audit!F:F,""),
_xlfn.IFS(_xlpm.MyAuditVal&lt;&gt;"",_xlpm.MyAuditVal,_xlpm.MacVal&lt;&gt;"",_xlpm.MacVal,_xlpm.CSVVal&lt;&gt;"",PROPER(_xlpm.CSVVal)
)),"")</f>
        <v/>
      </c>
      <c r="H388" s="2" t="str" cm="1">
        <f t="array" ref="H388">IFERROR(_xlfn.LET(
_xlpm.CSVVal,_xlfn.XLOOKUP($A388,CSV!$A:$A,CSV!H:H,""),
_xlpm.MacVal,_xlfn.XLOOKUP($A388,Output_Mac!$A:$A,Output_Mac!H:H,""),
_xlpm.MyAuditVal,_xlfn.XLOOKUP($A388,My_Audit!$A:$A,My_Audit!G:G,""),
_xlfn.IFS(_xlpm.MyAuditVal&lt;&gt;"",_xlpm.MyAuditVal,_xlpm.MacVal&lt;&gt;"",_xlpm.MacVal,_xlpm.CSVVal&lt;&gt;"",_xlpm.CSVVal
)),"")</f>
        <v/>
      </c>
      <c r="I388" s="2" t="str">
        <f>_xlfn.XLOOKUP(A388,Output_Mac!A:A,Output_Mac!I:I,"")</f>
        <v/>
      </c>
      <c r="J388" s="2" t="str" cm="1">
        <f t="array" ref="J388">IFERROR(_xlfn.LET(
_xlpm.CSVVal,_xlfn.XLOOKUP($A388,CSV!$A:$A,CSV!I:I,""),
_xlpm.MacVal,_xlfn.XLOOKUP($A388,Output_Mac!$A:$A,Output_Mac!J:J,""),
_xlpm.MyAuditVal,_xlfn.XLOOKUP($A388,My_Audit!$A:$A,My_Audit!I:I,""),
_xlfn.IFS(_xlpm.MyAuditVal&lt;&gt;"",UPPER(_xlpm.MyAuditVal),_xlpm.MacVal&lt;&gt;"",_xlpm.MacVal,_xlpm.CSVVal&lt;&gt;"",_xlpm.CSVVal
)),"")</f>
        <v/>
      </c>
      <c r="K388" s="2" t="str" cm="1">
        <f t="array" ref="K388">IFERROR(_xlfn.LET(
_xlpm.CSVVal,_xlfn.XLOOKUP($A388,CSV!$A:$A,CSV!K:K,""),
_xlpm.MacVal,_xlfn.XLOOKUP($A388,Output_Mac!$A:$A,Output_Mac!K:K,""),
_xlpm.MyAuditVal,_xlfn.XLOOKUP($A388,My_Audit!$A:$A,My_Audit!J:J,""),
_xlfn.IFS(_xlpm.MyAuditVal&lt;&gt;"",UPPER(_xlpm.MyAuditVal),_xlpm.MacVal&lt;&gt;"",_xlpm.MacVal,_xlpm.CSVVal&lt;&gt;"",_xlpm.CSVVal
)),"")</f>
        <v/>
      </c>
      <c r="L388" s="2" t="str" cm="1">
        <f t="array" ref="L388">IFERROR(_xlfn.LET(
_xlpm.CSVVal,_xlfn.XLOOKUP($A388,CSV!$A:$A,CSV!P:P,""),
_xlpm.MacVal,_xlfn.XLOOKUP($A388,Output_Mac!$A:$A,Output_Mac!L:L,""),
_xlpm.MyAuditVal,_xlfn.XLOOKUP($A388,My_Audit!$A:$A,My_Audit!K:K,""),
_xlfn.IFS(_xlpm.MyAuditVal&lt;&gt;"",UPPER(_xlpm.MyAuditVal),_xlpm.MacVal&lt;&gt;"",_xlpm.MacVal,_xlpm.CSVVal&lt;&gt;"",_xlpm.CSVVal
)),"")</f>
        <v/>
      </c>
      <c r="M388" s="2" t="str" cm="1">
        <f t="array" ref="M388">IFERROR(_xlfn.LET(
_xlpm.CSVVal,_xlfn.XLOOKUP($A388,CSV!$A:$A,CSV!Q:Q,""),
_xlpm.MacVal,_xlfn.XLOOKUP($A388,Output_Mac!$A:$A,Output_Mac!M:M,""),
_xlpm.MyAuditVal,_xlfn.XLOOKUP($A388,My_Audit!$A:$A,My_Audit!L:L,""),
_xlfn.IFS(_xlpm.MyAuditVal&lt;&gt;"",UPPER(_xlpm.MyAuditVal),_xlpm.MacVal&lt;&gt;"",_xlpm.MacVal,_xlpm.CSVVal&lt;&gt;"",_xlpm.CSVVal
)),"")</f>
        <v/>
      </c>
      <c r="O388" s="2" t="str">
        <f>_xlfn.LET(
    _xlpm.CSVVal, _xlfn.XLOOKUP($A388, CSV!$A:$A, CSV!AF:AF, ""),
    _xlpm.MacVal, _xlfn.XLOOKUP($A388, Output_Mac!$A:$A, Output_Mac!S:S, ""),
    _xlpm.MyAuditVal, _xlfn.XLOOKUP($A388, My_Audit!$A:$A, My_Audit!P:P, ""),
    _xlfn.TEXTJOIN(", ", TRUE, _xlpm.MyAuditVal, _xlpm.MacVal, _xlpm.CSVVal)
)</f>
        <v/>
      </c>
      <c r="P388" s="2" t="str" cm="1">
        <f t="array" ref="P388">IFERROR(_xlfn.LET(
_xlpm.CSVVal,_xlfn.XLOOKUP($A388,CSV!$A:$A,CSV!AG:AG,""),
_xlpm.MacVal,_xlfn.XLOOKUP($A388,Output_Mac!$A:$A,Output_Mac!T:T,""),
_xlpm.MyAuditVal,_xlfn.XLOOKUP($A388,My_Audit!$A:$A,My_Audit!Q:Q,""),
_xlfn.IFS(_xlpm.MyAuditVal&lt;&gt;"",UPPER(_xlpm.MyAuditVal),_xlpm.MacVal&lt;&gt;"",_xlpm.MacVal,_xlpm.CSVVal&lt;&gt;"",_xlpm.CSVVal
)),"No")</f>
        <v>No</v>
      </c>
      <c r="Q388" s="2" t="str" cm="1">
        <f t="array" ref="Q388">IFERROR(_xlfn.LET(
_xlpm.CSVVal,_xlfn.XLOOKUP($A388,CSV!$A:$A,CSV!AH:AH,""),
_xlpm.MacVal,_xlfn.XLOOKUP($A388,Output_Mac!$A:$A,Output_Mac!U:U,""),
_xlpm.MyAuditVal,_xlfn.XLOOKUP($A388,My_Audit!$A:$A,My_Audit!R:R,""),
_xlfn.IFS(_xlpm.MyAuditVal&lt;&gt;"",UPPER(_xlpm.MyAuditVal),_xlpm.MacVal&lt;&gt;"",_xlpm.MacVal,_xlpm.CSVVal&lt;&gt;"",_xlpm.CSVVal
)),"")</f>
        <v/>
      </c>
    </row>
    <row r="389" spans="1:17">
      <c r="A389" s="2" t="str">
        <f>_xlfn.TEXTJOIN("",TRUE,Input!$B$2,ROW(My_Audit!A388))</f>
        <v>XX388</v>
      </c>
      <c r="B389" s="2" t="str">
        <f>_xlfn.TEXTJOIN("-",TRUE,"ITD",Input!$A$2,A389)</f>
        <v>ITD-SHRXXX-XX388</v>
      </c>
      <c r="C389" s="2" t="str" cm="1">
        <f t="array" ref="C389">IFERROR(_xlfn.LET(
_xlpm.CSVVal,_xlfn.XLOOKUP($A389,CSV!$A:$A,CSV!B:B,""),
_xlpm.MacVal,_xlfn.XLOOKUP($A389,Output_Mac!$A:$A,Output_Mac!B:B,""),
_xlpm.MyAuditVal,_xlfn.XLOOKUP($A389,My_Audit!$A:$A,My_Audit!B:B,""),
_xlfn.IFS(_xlpm.MyAuditVal&lt;&gt;"",UPPER(_xlpm.MyAuditVal),_xlpm.MacVal&lt;&gt;"",_xlpm.MacVal,_xlpm.CSVVal&lt;&gt;"",_xlpm.CSVVal
)),"")</f>
        <v/>
      </c>
      <c r="D389" s="2" t="str" cm="1">
        <f t="array" ref="D389">IFERROR(_xlfn.LET(
_xlpm.CSVVal,_xlfn.XLOOKUP($A389,CSV!$A:$A,CSV!D:D,""),
_xlpm.MacVal,_xlfn.XLOOKUP($A389,Output_Mac!$A:$A,Output_Mac!C:C,""),
_xlpm.MyAuditVal,_xlfn.XLOOKUP($A389,My_Audit!$A:$A,My_Audit!C:C,""),
_xlfn.IFS(_xlpm.MyAuditVal&lt;&gt;"",_xlpm.MyAuditVal,_xlpm.MacVal&lt;&gt;"",_xlpm.MacVal,_xlpm.CSVVal&lt;&gt;"",_xlpm.CSVVal
)),"")</f>
        <v/>
      </c>
      <c r="E389" s="2" t="str">
        <f>_xlfn.XLOOKUP(A389,My_Audit!A:A,My_Audit!D:D,"")&amp;""</f>
        <v/>
      </c>
      <c r="F389" s="2" t="str" cm="1">
        <f t="array" ref="F389">IFERROR(_xlfn.LET(
_xlpm.CSVVal,_xlfn.XLOOKUP($A389,CSV!$A:$A,CSV!F:F,""),
_xlpm.MacVal,_xlfn.XLOOKUP($A389,Output_Mac!$A:$A,Output_Mac!E:E,""),
_xlpm.MyAuditVal,_xlfn.XLOOKUP($A389,My_Audit!$A:$A,My_Audit!E:E,""),
_xlfn.IFS(_xlpm.MyAuditVal&lt;&gt;"",_xlpm.MyAuditVal,_xlpm.MacVal&lt;&gt;"",_xlpm.MacVal,_xlpm.CSVVal&lt;&gt;"",_xlpm.CSVVal
)),"")</f>
        <v/>
      </c>
      <c r="G389" s="2" t="str" cm="1">
        <f t="array" ref="G389">IFERROR(_xlfn.LET(
_xlpm.CSVVal,_xlfn.XLOOKUP($A389,CSV!$A:$A,CSV!G:G,""),
_xlpm.MacVal,_xlfn.XLOOKUP($A389,Output_Mac!$A:$A,Output_Mac!F:F,""),
_xlpm.MyAuditVal,_xlfn.XLOOKUP($A389,My_Audit!$A:$A,My_Audit!F:F,""),
_xlfn.IFS(_xlpm.MyAuditVal&lt;&gt;"",_xlpm.MyAuditVal,_xlpm.MacVal&lt;&gt;"",_xlpm.MacVal,_xlpm.CSVVal&lt;&gt;"",PROPER(_xlpm.CSVVal)
)),"")</f>
        <v/>
      </c>
      <c r="H389" s="2" t="str" cm="1">
        <f t="array" ref="H389">IFERROR(_xlfn.LET(
_xlpm.CSVVal,_xlfn.XLOOKUP($A389,CSV!$A:$A,CSV!H:H,""),
_xlpm.MacVal,_xlfn.XLOOKUP($A389,Output_Mac!$A:$A,Output_Mac!H:H,""),
_xlpm.MyAuditVal,_xlfn.XLOOKUP($A389,My_Audit!$A:$A,My_Audit!G:G,""),
_xlfn.IFS(_xlpm.MyAuditVal&lt;&gt;"",_xlpm.MyAuditVal,_xlpm.MacVal&lt;&gt;"",_xlpm.MacVal,_xlpm.CSVVal&lt;&gt;"",_xlpm.CSVVal
)),"")</f>
        <v/>
      </c>
      <c r="I389" s="2" t="str">
        <f>_xlfn.XLOOKUP(A389,Output_Mac!A:A,Output_Mac!I:I,"")</f>
        <v/>
      </c>
      <c r="J389" s="2" t="str" cm="1">
        <f t="array" ref="J389">IFERROR(_xlfn.LET(
_xlpm.CSVVal,_xlfn.XLOOKUP($A389,CSV!$A:$A,CSV!I:I,""),
_xlpm.MacVal,_xlfn.XLOOKUP($A389,Output_Mac!$A:$A,Output_Mac!J:J,""),
_xlpm.MyAuditVal,_xlfn.XLOOKUP($A389,My_Audit!$A:$A,My_Audit!I:I,""),
_xlfn.IFS(_xlpm.MyAuditVal&lt;&gt;"",UPPER(_xlpm.MyAuditVal),_xlpm.MacVal&lt;&gt;"",_xlpm.MacVal,_xlpm.CSVVal&lt;&gt;"",_xlpm.CSVVal
)),"")</f>
        <v/>
      </c>
      <c r="K389" s="2" t="str" cm="1">
        <f t="array" ref="K389">IFERROR(_xlfn.LET(
_xlpm.CSVVal,_xlfn.XLOOKUP($A389,CSV!$A:$A,CSV!K:K,""),
_xlpm.MacVal,_xlfn.XLOOKUP($A389,Output_Mac!$A:$A,Output_Mac!K:K,""),
_xlpm.MyAuditVal,_xlfn.XLOOKUP($A389,My_Audit!$A:$A,My_Audit!J:J,""),
_xlfn.IFS(_xlpm.MyAuditVal&lt;&gt;"",UPPER(_xlpm.MyAuditVal),_xlpm.MacVal&lt;&gt;"",_xlpm.MacVal,_xlpm.CSVVal&lt;&gt;"",_xlpm.CSVVal
)),"")</f>
        <v/>
      </c>
      <c r="L389" s="2" t="str" cm="1">
        <f t="array" ref="L389">IFERROR(_xlfn.LET(
_xlpm.CSVVal,_xlfn.XLOOKUP($A389,CSV!$A:$A,CSV!P:P,""),
_xlpm.MacVal,_xlfn.XLOOKUP($A389,Output_Mac!$A:$A,Output_Mac!L:L,""),
_xlpm.MyAuditVal,_xlfn.XLOOKUP($A389,My_Audit!$A:$A,My_Audit!K:K,""),
_xlfn.IFS(_xlpm.MyAuditVal&lt;&gt;"",UPPER(_xlpm.MyAuditVal),_xlpm.MacVal&lt;&gt;"",_xlpm.MacVal,_xlpm.CSVVal&lt;&gt;"",_xlpm.CSVVal
)),"")</f>
        <v/>
      </c>
      <c r="M389" s="2" t="str" cm="1">
        <f t="array" ref="M389">IFERROR(_xlfn.LET(
_xlpm.CSVVal,_xlfn.XLOOKUP($A389,CSV!$A:$A,CSV!Q:Q,""),
_xlpm.MacVal,_xlfn.XLOOKUP($A389,Output_Mac!$A:$A,Output_Mac!M:M,""),
_xlpm.MyAuditVal,_xlfn.XLOOKUP($A389,My_Audit!$A:$A,My_Audit!L:L,""),
_xlfn.IFS(_xlpm.MyAuditVal&lt;&gt;"",UPPER(_xlpm.MyAuditVal),_xlpm.MacVal&lt;&gt;"",_xlpm.MacVal,_xlpm.CSVVal&lt;&gt;"",_xlpm.CSVVal
)),"")</f>
        <v/>
      </c>
      <c r="O389" s="2" t="str">
        <f>_xlfn.LET(
    _xlpm.CSVVal, _xlfn.XLOOKUP($A389, CSV!$A:$A, CSV!AF:AF, ""),
    _xlpm.MacVal, _xlfn.XLOOKUP($A389, Output_Mac!$A:$A, Output_Mac!S:S, ""),
    _xlpm.MyAuditVal, _xlfn.XLOOKUP($A389, My_Audit!$A:$A, My_Audit!P:P, ""),
    _xlfn.TEXTJOIN(", ", TRUE, _xlpm.MyAuditVal, _xlpm.MacVal, _xlpm.CSVVal)
)</f>
        <v/>
      </c>
      <c r="P389" s="2" t="str" cm="1">
        <f t="array" ref="P389">IFERROR(_xlfn.LET(
_xlpm.CSVVal,_xlfn.XLOOKUP($A389,CSV!$A:$A,CSV!AG:AG,""),
_xlpm.MacVal,_xlfn.XLOOKUP($A389,Output_Mac!$A:$A,Output_Mac!T:T,""),
_xlpm.MyAuditVal,_xlfn.XLOOKUP($A389,My_Audit!$A:$A,My_Audit!Q:Q,""),
_xlfn.IFS(_xlpm.MyAuditVal&lt;&gt;"",UPPER(_xlpm.MyAuditVal),_xlpm.MacVal&lt;&gt;"",_xlpm.MacVal,_xlpm.CSVVal&lt;&gt;"",_xlpm.CSVVal
)),"No")</f>
        <v>No</v>
      </c>
      <c r="Q389" s="2" t="str" cm="1">
        <f t="array" ref="Q389">IFERROR(_xlfn.LET(
_xlpm.CSVVal,_xlfn.XLOOKUP($A389,CSV!$A:$A,CSV!AH:AH,""),
_xlpm.MacVal,_xlfn.XLOOKUP($A389,Output_Mac!$A:$A,Output_Mac!U:U,""),
_xlpm.MyAuditVal,_xlfn.XLOOKUP($A389,My_Audit!$A:$A,My_Audit!R:R,""),
_xlfn.IFS(_xlpm.MyAuditVal&lt;&gt;"",UPPER(_xlpm.MyAuditVal),_xlpm.MacVal&lt;&gt;"",_xlpm.MacVal,_xlpm.CSVVal&lt;&gt;"",_xlpm.CSVVal
)),"")</f>
        <v/>
      </c>
    </row>
    <row r="390" spans="1:17">
      <c r="A390" s="2" t="str">
        <f>_xlfn.TEXTJOIN("",TRUE,Input!$B$2,ROW(My_Audit!A389))</f>
        <v>XX389</v>
      </c>
      <c r="B390" s="2" t="str">
        <f>_xlfn.TEXTJOIN("-",TRUE,"ITD",Input!$A$2,A390)</f>
        <v>ITD-SHRXXX-XX389</v>
      </c>
      <c r="C390" s="2" t="str" cm="1">
        <f t="array" ref="C390">IFERROR(_xlfn.LET(
_xlpm.CSVVal,_xlfn.XLOOKUP($A390,CSV!$A:$A,CSV!B:B,""),
_xlpm.MacVal,_xlfn.XLOOKUP($A390,Output_Mac!$A:$A,Output_Mac!B:B,""),
_xlpm.MyAuditVal,_xlfn.XLOOKUP($A390,My_Audit!$A:$A,My_Audit!B:B,""),
_xlfn.IFS(_xlpm.MyAuditVal&lt;&gt;"",UPPER(_xlpm.MyAuditVal),_xlpm.MacVal&lt;&gt;"",_xlpm.MacVal,_xlpm.CSVVal&lt;&gt;"",_xlpm.CSVVal
)),"")</f>
        <v/>
      </c>
      <c r="D390" s="2" t="str" cm="1">
        <f t="array" ref="D390">IFERROR(_xlfn.LET(
_xlpm.CSVVal,_xlfn.XLOOKUP($A390,CSV!$A:$A,CSV!D:D,""),
_xlpm.MacVal,_xlfn.XLOOKUP($A390,Output_Mac!$A:$A,Output_Mac!C:C,""),
_xlpm.MyAuditVal,_xlfn.XLOOKUP($A390,My_Audit!$A:$A,My_Audit!C:C,""),
_xlfn.IFS(_xlpm.MyAuditVal&lt;&gt;"",_xlpm.MyAuditVal,_xlpm.MacVal&lt;&gt;"",_xlpm.MacVal,_xlpm.CSVVal&lt;&gt;"",_xlpm.CSVVal
)),"")</f>
        <v/>
      </c>
      <c r="E390" s="2" t="str">
        <f>_xlfn.XLOOKUP(A390,My_Audit!A:A,My_Audit!D:D,"")&amp;""</f>
        <v/>
      </c>
      <c r="F390" s="2" t="str" cm="1">
        <f t="array" ref="F390">IFERROR(_xlfn.LET(
_xlpm.CSVVal,_xlfn.XLOOKUP($A390,CSV!$A:$A,CSV!F:F,""),
_xlpm.MacVal,_xlfn.XLOOKUP($A390,Output_Mac!$A:$A,Output_Mac!E:E,""),
_xlpm.MyAuditVal,_xlfn.XLOOKUP($A390,My_Audit!$A:$A,My_Audit!E:E,""),
_xlfn.IFS(_xlpm.MyAuditVal&lt;&gt;"",_xlpm.MyAuditVal,_xlpm.MacVal&lt;&gt;"",_xlpm.MacVal,_xlpm.CSVVal&lt;&gt;"",_xlpm.CSVVal
)),"")</f>
        <v/>
      </c>
      <c r="G390" s="2" t="str" cm="1">
        <f t="array" ref="G390">IFERROR(_xlfn.LET(
_xlpm.CSVVal,_xlfn.XLOOKUP($A390,CSV!$A:$A,CSV!G:G,""),
_xlpm.MacVal,_xlfn.XLOOKUP($A390,Output_Mac!$A:$A,Output_Mac!F:F,""),
_xlpm.MyAuditVal,_xlfn.XLOOKUP($A390,My_Audit!$A:$A,My_Audit!F:F,""),
_xlfn.IFS(_xlpm.MyAuditVal&lt;&gt;"",_xlpm.MyAuditVal,_xlpm.MacVal&lt;&gt;"",_xlpm.MacVal,_xlpm.CSVVal&lt;&gt;"",PROPER(_xlpm.CSVVal)
)),"")</f>
        <v/>
      </c>
      <c r="H390" s="2" t="str" cm="1">
        <f t="array" ref="H390">IFERROR(_xlfn.LET(
_xlpm.CSVVal,_xlfn.XLOOKUP($A390,CSV!$A:$A,CSV!H:H,""),
_xlpm.MacVal,_xlfn.XLOOKUP($A390,Output_Mac!$A:$A,Output_Mac!H:H,""),
_xlpm.MyAuditVal,_xlfn.XLOOKUP($A390,My_Audit!$A:$A,My_Audit!G:G,""),
_xlfn.IFS(_xlpm.MyAuditVal&lt;&gt;"",_xlpm.MyAuditVal,_xlpm.MacVal&lt;&gt;"",_xlpm.MacVal,_xlpm.CSVVal&lt;&gt;"",_xlpm.CSVVal
)),"")</f>
        <v/>
      </c>
      <c r="I390" s="2" t="str">
        <f>_xlfn.XLOOKUP(A390,Output_Mac!A:A,Output_Mac!I:I,"")</f>
        <v/>
      </c>
      <c r="J390" s="2" t="str" cm="1">
        <f t="array" ref="J390">IFERROR(_xlfn.LET(
_xlpm.CSVVal,_xlfn.XLOOKUP($A390,CSV!$A:$A,CSV!I:I,""),
_xlpm.MacVal,_xlfn.XLOOKUP($A390,Output_Mac!$A:$A,Output_Mac!J:J,""),
_xlpm.MyAuditVal,_xlfn.XLOOKUP($A390,My_Audit!$A:$A,My_Audit!I:I,""),
_xlfn.IFS(_xlpm.MyAuditVal&lt;&gt;"",UPPER(_xlpm.MyAuditVal),_xlpm.MacVal&lt;&gt;"",_xlpm.MacVal,_xlpm.CSVVal&lt;&gt;"",_xlpm.CSVVal
)),"")</f>
        <v/>
      </c>
      <c r="K390" s="2" t="str" cm="1">
        <f t="array" ref="K390">IFERROR(_xlfn.LET(
_xlpm.CSVVal,_xlfn.XLOOKUP($A390,CSV!$A:$A,CSV!K:K,""),
_xlpm.MacVal,_xlfn.XLOOKUP($A390,Output_Mac!$A:$A,Output_Mac!K:K,""),
_xlpm.MyAuditVal,_xlfn.XLOOKUP($A390,My_Audit!$A:$A,My_Audit!J:J,""),
_xlfn.IFS(_xlpm.MyAuditVal&lt;&gt;"",UPPER(_xlpm.MyAuditVal),_xlpm.MacVal&lt;&gt;"",_xlpm.MacVal,_xlpm.CSVVal&lt;&gt;"",_xlpm.CSVVal
)),"")</f>
        <v/>
      </c>
      <c r="L390" s="2" t="str" cm="1">
        <f t="array" ref="L390">IFERROR(_xlfn.LET(
_xlpm.CSVVal,_xlfn.XLOOKUP($A390,CSV!$A:$A,CSV!P:P,""),
_xlpm.MacVal,_xlfn.XLOOKUP($A390,Output_Mac!$A:$A,Output_Mac!L:L,""),
_xlpm.MyAuditVal,_xlfn.XLOOKUP($A390,My_Audit!$A:$A,My_Audit!K:K,""),
_xlfn.IFS(_xlpm.MyAuditVal&lt;&gt;"",UPPER(_xlpm.MyAuditVal),_xlpm.MacVal&lt;&gt;"",_xlpm.MacVal,_xlpm.CSVVal&lt;&gt;"",_xlpm.CSVVal
)),"")</f>
        <v/>
      </c>
      <c r="M390" s="2" t="str" cm="1">
        <f t="array" ref="M390">IFERROR(_xlfn.LET(
_xlpm.CSVVal,_xlfn.XLOOKUP($A390,CSV!$A:$A,CSV!Q:Q,""),
_xlpm.MacVal,_xlfn.XLOOKUP($A390,Output_Mac!$A:$A,Output_Mac!M:M,""),
_xlpm.MyAuditVal,_xlfn.XLOOKUP($A390,My_Audit!$A:$A,My_Audit!L:L,""),
_xlfn.IFS(_xlpm.MyAuditVal&lt;&gt;"",UPPER(_xlpm.MyAuditVal),_xlpm.MacVal&lt;&gt;"",_xlpm.MacVal,_xlpm.CSVVal&lt;&gt;"",_xlpm.CSVVal
)),"")</f>
        <v/>
      </c>
      <c r="O390" s="2" t="str">
        <f>_xlfn.LET(
    _xlpm.CSVVal, _xlfn.XLOOKUP($A390, CSV!$A:$A, CSV!AF:AF, ""),
    _xlpm.MacVal, _xlfn.XLOOKUP($A390, Output_Mac!$A:$A, Output_Mac!S:S, ""),
    _xlpm.MyAuditVal, _xlfn.XLOOKUP($A390, My_Audit!$A:$A, My_Audit!P:P, ""),
    _xlfn.TEXTJOIN(", ", TRUE, _xlpm.MyAuditVal, _xlpm.MacVal, _xlpm.CSVVal)
)</f>
        <v/>
      </c>
      <c r="P390" s="2" t="str" cm="1">
        <f t="array" ref="P390">IFERROR(_xlfn.LET(
_xlpm.CSVVal,_xlfn.XLOOKUP($A390,CSV!$A:$A,CSV!AG:AG,""),
_xlpm.MacVal,_xlfn.XLOOKUP($A390,Output_Mac!$A:$A,Output_Mac!T:T,""),
_xlpm.MyAuditVal,_xlfn.XLOOKUP($A390,My_Audit!$A:$A,My_Audit!Q:Q,""),
_xlfn.IFS(_xlpm.MyAuditVal&lt;&gt;"",UPPER(_xlpm.MyAuditVal),_xlpm.MacVal&lt;&gt;"",_xlpm.MacVal,_xlpm.CSVVal&lt;&gt;"",_xlpm.CSVVal
)),"No")</f>
        <v>No</v>
      </c>
      <c r="Q390" s="2" t="str" cm="1">
        <f t="array" ref="Q390">IFERROR(_xlfn.LET(
_xlpm.CSVVal,_xlfn.XLOOKUP($A390,CSV!$A:$A,CSV!AH:AH,""),
_xlpm.MacVal,_xlfn.XLOOKUP($A390,Output_Mac!$A:$A,Output_Mac!U:U,""),
_xlpm.MyAuditVal,_xlfn.XLOOKUP($A390,My_Audit!$A:$A,My_Audit!R:R,""),
_xlfn.IFS(_xlpm.MyAuditVal&lt;&gt;"",UPPER(_xlpm.MyAuditVal),_xlpm.MacVal&lt;&gt;"",_xlpm.MacVal,_xlpm.CSVVal&lt;&gt;"",_xlpm.CSVVal
)),"")</f>
        <v/>
      </c>
    </row>
    <row r="391" spans="1:17">
      <c r="A391" s="2" t="str">
        <f>_xlfn.TEXTJOIN("",TRUE,Input!$B$2,ROW(My_Audit!A390))</f>
        <v>XX390</v>
      </c>
      <c r="B391" s="2" t="str">
        <f>_xlfn.TEXTJOIN("-",TRUE,"ITD",Input!$A$2,A391)</f>
        <v>ITD-SHRXXX-XX390</v>
      </c>
      <c r="C391" s="2" t="str" cm="1">
        <f t="array" ref="C391">IFERROR(_xlfn.LET(
_xlpm.CSVVal,_xlfn.XLOOKUP($A391,CSV!$A:$A,CSV!B:B,""),
_xlpm.MacVal,_xlfn.XLOOKUP($A391,Output_Mac!$A:$A,Output_Mac!B:B,""),
_xlpm.MyAuditVal,_xlfn.XLOOKUP($A391,My_Audit!$A:$A,My_Audit!B:B,""),
_xlfn.IFS(_xlpm.MyAuditVal&lt;&gt;"",UPPER(_xlpm.MyAuditVal),_xlpm.MacVal&lt;&gt;"",_xlpm.MacVal,_xlpm.CSVVal&lt;&gt;"",_xlpm.CSVVal
)),"")</f>
        <v/>
      </c>
      <c r="D391" s="2" t="str" cm="1">
        <f t="array" ref="D391">IFERROR(_xlfn.LET(
_xlpm.CSVVal,_xlfn.XLOOKUP($A391,CSV!$A:$A,CSV!D:D,""),
_xlpm.MacVal,_xlfn.XLOOKUP($A391,Output_Mac!$A:$A,Output_Mac!C:C,""),
_xlpm.MyAuditVal,_xlfn.XLOOKUP($A391,My_Audit!$A:$A,My_Audit!C:C,""),
_xlfn.IFS(_xlpm.MyAuditVal&lt;&gt;"",_xlpm.MyAuditVal,_xlpm.MacVal&lt;&gt;"",_xlpm.MacVal,_xlpm.CSVVal&lt;&gt;"",_xlpm.CSVVal
)),"")</f>
        <v/>
      </c>
      <c r="E391" s="2" t="str">
        <f>_xlfn.XLOOKUP(A391,My_Audit!A:A,My_Audit!D:D,"")&amp;""</f>
        <v/>
      </c>
      <c r="F391" s="2" t="str" cm="1">
        <f t="array" ref="F391">IFERROR(_xlfn.LET(
_xlpm.CSVVal,_xlfn.XLOOKUP($A391,CSV!$A:$A,CSV!F:F,""),
_xlpm.MacVal,_xlfn.XLOOKUP($A391,Output_Mac!$A:$A,Output_Mac!E:E,""),
_xlpm.MyAuditVal,_xlfn.XLOOKUP($A391,My_Audit!$A:$A,My_Audit!E:E,""),
_xlfn.IFS(_xlpm.MyAuditVal&lt;&gt;"",_xlpm.MyAuditVal,_xlpm.MacVal&lt;&gt;"",_xlpm.MacVal,_xlpm.CSVVal&lt;&gt;"",_xlpm.CSVVal
)),"")</f>
        <v/>
      </c>
      <c r="G391" s="2" t="str" cm="1">
        <f t="array" ref="G391">IFERROR(_xlfn.LET(
_xlpm.CSVVal,_xlfn.XLOOKUP($A391,CSV!$A:$A,CSV!G:G,""),
_xlpm.MacVal,_xlfn.XLOOKUP($A391,Output_Mac!$A:$A,Output_Mac!F:F,""),
_xlpm.MyAuditVal,_xlfn.XLOOKUP($A391,My_Audit!$A:$A,My_Audit!F:F,""),
_xlfn.IFS(_xlpm.MyAuditVal&lt;&gt;"",_xlpm.MyAuditVal,_xlpm.MacVal&lt;&gt;"",_xlpm.MacVal,_xlpm.CSVVal&lt;&gt;"",PROPER(_xlpm.CSVVal)
)),"")</f>
        <v/>
      </c>
      <c r="H391" s="2" t="str" cm="1">
        <f t="array" ref="H391">IFERROR(_xlfn.LET(
_xlpm.CSVVal,_xlfn.XLOOKUP($A391,CSV!$A:$A,CSV!H:H,""),
_xlpm.MacVal,_xlfn.XLOOKUP($A391,Output_Mac!$A:$A,Output_Mac!H:H,""),
_xlpm.MyAuditVal,_xlfn.XLOOKUP($A391,My_Audit!$A:$A,My_Audit!G:G,""),
_xlfn.IFS(_xlpm.MyAuditVal&lt;&gt;"",_xlpm.MyAuditVal,_xlpm.MacVal&lt;&gt;"",_xlpm.MacVal,_xlpm.CSVVal&lt;&gt;"",_xlpm.CSVVal
)),"")</f>
        <v/>
      </c>
      <c r="I391" s="2" t="str">
        <f>_xlfn.XLOOKUP(A391,Output_Mac!A:A,Output_Mac!I:I,"")</f>
        <v/>
      </c>
      <c r="J391" s="2" t="str" cm="1">
        <f t="array" ref="J391">IFERROR(_xlfn.LET(
_xlpm.CSVVal,_xlfn.XLOOKUP($A391,CSV!$A:$A,CSV!I:I,""),
_xlpm.MacVal,_xlfn.XLOOKUP($A391,Output_Mac!$A:$A,Output_Mac!J:J,""),
_xlpm.MyAuditVal,_xlfn.XLOOKUP($A391,My_Audit!$A:$A,My_Audit!I:I,""),
_xlfn.IFS(_xlpm.MyAuditVal&lt;&gt;"",UPPER(_xlpm.MyAuditVal),_xlpm.MacVal&lt;&gt;"",_xlpm.MacVal,_xlpm.CSVVal&lt;&gt;"",_xlpm.CSVVal
)),"")</f>
        <v/>
      </c>
      <c r="K391" s="2" t="str" cm="1">
        <f t="array" ref="K391">IFERROR(_xlfn.LET(
_xlpm.CSVVal,_xlfn.XLOOKUP($A391,CSV!$A:$A,CSV!K:K,""),
_xlpm.MacVal,_xlfn.XLOOKUP($A391,Output_Mac!$A:$A,Output_Mac!K:K,""),
_xlpm.MyAuditVal,_xlfn.XLOOKUP($A391,My_Audit!$A:$A,My_Audit!J:J,""),
_xlfn.IFS(_xlpm.MyAuditVal&lt;&gt;"",UPPER(_xlpm.MyAuditVal),_xlpm.MacVal&lt;&gt;"",_xlpm.MacVal,_xlpm.CSVVal&lt;&gt;"",_xlpm.CSVVal
)),"")</f>
        <v/>
      </c>
      <c r="L391" s="2" t="str" cm="1">
        <f t="array" ref="L391">IFERROR(_xlfn.LET(
_xlpm.CSVVal,_xlfn.XLOOKUP($A391,CSV!$A:$A,CSV!P:P,""),
_xlpm.MacVal,_xlfn.XLOOKUP($A391,Output_Mac!$A:$A,Output_Mac!L:L,""),
_xlpm.MyAuditVal,_xlfn.XLOOKUP($A391,My_Audit!$A:$A,My_Audit!K:K,""),
_xlfn.IFS(_xlpm.MyAuditVal&lt;&gt;"",UPPER(_xlpm.MyAuditVal),_xlpm.MacVal&lt;&gt;"",_xlpm.MacVal,_xlpm.CSVVal&lt;&gt;"",_xlpm.CSVVal
)),"")</f>
        <v/>
      </c>
      <c r="M391" s="2" t="str" cm="1">
        <f t="array" ref="M391">IFERROR(_xlfn.LET(
_xlpm.CSVVal,_xlfn.XLOOKUP($A391,CSV!$A:$A,CSV!Q:Q,""),
_xlpm.MacVal,_xlfn.XLOOKUP($A391,Output_Mac!$A:$A,Output_Mac!M:M,""),
_xlpm.MyAuditVal,_xlfn.XLOOKUP($A391,My_Audit!$A:$A,My_Audit!L:L,""),
_xlfn.IFS(_xlpm.MyAuditVal&lt;&gt;"",UPPER(_xlpm.MyAuditVal),_xlpm.MacVal&lt;&gt;"",_xlpm.MacVal,_xlpm.CSVVal&lt;&gt;"",_xlpm.CSVVal
)),"")</f>
        <v/>
      </c>
      <c r="O391" s="2" t="str">
        <f>_xlfn.LET(
    _xlpm.CSVVal, _xlfn.XLOOKUP($A391, CSV!$A:$A, CSV!AF:AF, ""),
    _xlpm.MacVal, _xlfn.XLOOKUP($A391, Output_Mac!$A:$A, Output_Mac!S:S, ""),
    _xlpm.MyAuditVal, _xlfn.XLOOKUP($A391, My_Audit!$A:$A, My_Audit!P:P, ""),
    _xlfn.TEXTJOIN(", ", TRUE, _xlpm.MyAuditVal, _xlpm.MacVal, _xlpm.CSVVal)
)</f>
        <v/>
      </c>
      <c r="P391" s="2" t="str" cm="1">
        <f t="array" ref="P391">IFERROR(_xlfn.LET(
_xlpm.CSVVal,_xlfn.XLOOKUP($A391,CSV!$A:$A,CSV!AG:AG,""),
_xlpm.MacVal,_xlfn.XLOOKUP($A391,Output_Mac!$A:$A,Output_Mac!T:T,""),
_xlpm.MyAuditVal,_xlfn.XLOOKUP($A391,My_Audit!$A:$A,My_Audit!Q:Q,""),
_xlfn.IFS(_xlpm.MyAuditVal&lt;&gt;"",UPPER(_xlpm.MyAuditVal),_xlpm.MacVal&lt;&gt;"",_xlpm.MacVal,_xlpm.CSVVal&lt;&gt;"",_xlpm.CSVVal
)),"No")</f>
        <v>No</v>
      </c>
      <c r="Q391" s="2" t="str" cm="1">
        <f t="array" ref="Q391">IFERROR(_xlfn.LET(
_xlpm.CSVVal,_xlfn.XLOOKUP($A391,CSV!$A:$A,CSV!AH:AH,""),
_xlpm.MacVal,_xlfn.XLOOKUP($A391,Output_Mac!$A:$A,Output_Mac!U:U,""),
_xlpm.MyAuditVal,_xlfn.XLOOKUP($A391,My_Audit!$A:$A,My_Audit!R:R,""),
_xlfn.IFS(_xlpm.MyAuditVal&lt;&gt;"",UPPER(_xlpm.MyAuditVal),_xlpm.MacVal&lt;&gt;"",_xlpm.MacVal,_xlpm.CSVVal&lt;&gt;"",_xlpm.CSVVal
)),"")</f>
        <v/>
      </c>
    </row>
    <row r="392" spans="1:17">
      <c r="A392" s="2" t="str">
        <f>_xlfn.TEXTJOIN("",TRUE,Input!$B$2,ROW(My_Audit!A391))</f>
        <v>XX391</v>
      </c>
      <c r="B392" s="2" t="str">
        <f>_xlfn.TEXTJOIN("-",TRUE,"ITD",Input!$A$2,A392)</f>
        <v>ITD-SHRXXX-XX391</v>
      </c>
      <c r="C392" s="2" t="str" cm="1">
        <f t="array" ref="C392">IFERROR(_xlfn.LET(
_xlpm.CSVVal,_xlfn.XLOOKUP($A392,CSV!$A:$A,CSV!B:B,""),
_xlpm.MacVal,_xlfn.XLOOKUP($A392,Output_Mac!$A:$A,Output_Mac!B:B,""),
_xlpm.MyAuditVal,_xlfn.XLOOKUP($A392,My_Audit!$A:$A,My_Audit!B:B,""),
_xlfn.IFS(_xlpm.MyAuditVal&lt;&gt;"",UPPER(_xlpm.MyAuditVal),_xlpm.MacVal&lt;&gt;"",_xlpm.MacVal,_xlpm.CSVVal&lt;&gt;"",_xlpm.CSVVal
)),"")</f>
        <v/>
      </c>
      <c r="D392" s="2" t="str" cm="1">
        <f t="array" ref="D392">IFERROR(_xlfn.LET(
_xlpm.CSVVal,_xlfn.XLOOKUP($A392,CSV!$A:$A,CSV!D:D,""),
_xlpm.MacVal,_xlfn.XLOOKUP($A392,Output_Mac!$A:$A,Output_Mac!C:C,""),
_xlpm.MyAuditVal,_xlfn.XLOOKUP($A392,My_Audit!$A:$A,My_Audit!C:C,""),
_xlfn.IFS(_xlpm.MyAuditVal&lt;&gt;"",_xlpm.MyAuditVal,_xlpm.MacVal&lt;&gt;"",_xlpm.MacVal,_xlpm.CSVVal&lt;&gt;"",_xlpm.CSVVal
)),"")</f>
        <v/>
      </c>
      <c r="E392" s="2" t="str">
        <f>_xlfn.XLOOKUP(A392,My_Audit!A:A,My_Audit!D:D,"")&amp;""</f>
        <v/>
      </c>
      <c r="F392" s="2" t="str" cm="1">
        <f t="array" ref="F392">IFERROR(_xlfn.LET(
_xlpm.CSVVal,_xlfn.XLOOKUP($A392,CSV!$A:$A,CSV!F:F,""),
_xlpm.MacVal,_xlfn.XLOOKUP($A392,Output_Mac!$A:$A,Output_Mac!E:E,""),
_xlpm.MyAuditVal,_xlfn.XLOOKUP($A392,My_Audit!$A:$A,My_Audit!E:E,""),
_xlfn.IFS(_xlpm.MyAuditVal&lt;&gt;"",_xlpm.MyAuditVal,_xlpm.MacVal&lt;&gt;"",_xlpm.MacVal,_xlpm.CSVVal&lt;&gt;"",_xlpm.CSVVal
)),"")</f>
        <v/>
      </c>
      <c r="G392" s="2" t="str" cm="1">
        <f t="array" ref="G392">IFERROR(_xlfn.LET(
_xlpm.CSVVal,_xlfn.XLOOKUP($A392,CSV!$A:$A,CSV!G:G,""),
_xlpm.MacVal,_xlfn.XLOOKUP($A392,Output_Mac!$A:$A,Output_Mac!F:F,""),
_xlpm.MyAuditVal,_xlfn.XLOOKUP($A392,My_Audit!$A:$A,My_Audit!F:F,""),
_xlfn.IFS(_xlpm.MyAuditVal&lt;&gt;"",_xlpm.MyAuditVal,_xlpm.MacVal&lt;&gt;"",_xlpm.MacVal,_xlpm.CSVVal&lt;&gt;"",PROPER(_xlpm.CSVVal)
)),"")</f>
        <v/>
      </c>
      <c r="H392" s="2" t="str" cm="1">
        <f t="array" ref="H392">IFERROR(_xlfn.LET(
_xlpm.CSVVal,_xlfn.XLOOKUP($A392,CSV!$A:$A,CSV!H:H,""),
_xlpm.MacVal,_xlfn.XLOOKUP($A392,Output_Mac!$A:$A,Output_Mac!H:H,""),
_xlpm.MyAuditVal,_xlfn.XLOOKUP($A392,My_Audit!$A:$A,My_Audit!G:G,""),
_xlfn.IFS(_xlpm.MyAuditVal&lt;&gt;"",_xlpm.MyAuditVal,_xlpm.MacVal&lt;&gt;"",_xlpm.MacVal,_xlpm.CSVVal&lt;&gt;"",_xlpm.CSVVal
)),"")</f>
        <v/>
      </c>
      <c r="I392" s="2" t="str">
        <f>_xlfn.XLOOKUP(A392,Output_Mac!A:A,Output_Mac!I:I,"")</f>
        <v/>
      </c>
      <c r="J392" s="2" t="str" cm="1">
        <f t="array" ref="J392">IFERROR(_xlfn.LET(
_xlpm.CSVVal,_xlfn.XLOOKUP($A392,CSV!$A:$A,CSV!I:I,""),
_xlpm.MacVal,_xlfn.XLOOKUP($A392,Output_Mac!$A:$A,Output_Mac!J:J,""),
_xlpm.MyAuditVal,_xlfn.XLOOKUP($A392,My_Audit!$A:$A,My_Audit!I:I,""),
_xlfn.IFS(_xlpm.MyAuditVal&lt;&gt;"",UPPER(_xlpm.MyAuditVal),_xlpm.MacVal&lt;&gt;"",_xlpm.MacVal,_xlpm.CSVVal&lt;&gt;"",_xlpm.CSVVal
)),"")</f>
        <v/>
      </c>
      <c r="K392" s="2" t="str" cm="1">
        <f t="array" ref="K392">IFERROR(_xlfn.LET(
_xlpm.CSVVal,_xlfn.XLOOKUP($A392,CSV!$A:$A,CSV!K:K,""),
_xlpm.MacVal,_xlfn.XLOOKUP($A392,Output_Mac!$A:$A,Output_Mac!K:K,""),
_xlpm.MyAuditVal,_xlfn.XLOOKUP($A392,My_Audit!$A:$A,My_Audit!J:J,""),
_xlfn.IFS(_xlpm.MyAuditVal&lt;&gt;"",UPPER(_xlpm.MyAuditVal),_xlpm.MacVal&lt;&gt;"",_xlpm.MacVal,_xlpm.CSVVal&lt;&gt;"",_xlpm.CSVVal
)),"")</f>
        <v/>
      </c>
      <c r="L392" s="2" t="str" cm="1">
        <f t="array" ref="L392">IFERROR(_xlfn.LET(
_xlpm.CSVVal,_xlfn.XLOOKUP($A392,CSV!$A:$A,CSV!P:P,""),
_xlpm.MacVal,_xlfn.XLOOKUP($A392,Output_Mac!$A:$A,Output_Mac!L:L,""),
_xlpm.MyAuditVal,_xlfn.XLOOKUP($A392,My_Audit!$A:$A,My_Audit!K:K,""),
_xlfn.IFS(_xlpm.MyAuditVal&lt;&gt;"",UPPER(_xlpm.MyAuditVal),_xlpm.MacVal&lt;&gt;"",_xlpm.MacVal,_xlpm.CSVVal&lt;&gt;"",_xlpm.CSVVal
)),"")</f>
        <v/>
      </c>
      <c r="M392" s="2" t="str" cm="1">
        <f t="array" ref="M392">IFERROR(_xlfn.LET(
_xlpm.CSVVal,_xlfn.XLOOKUP($A392,CSV!$A:$A,CSV!Q:Q,""),
_xlpm.MacVal,_xlfn.XLOOKUP($A392,Output_Mac!$A:$A,Output_Mac!M:M,""),
_xlpm.MyAuditVal,_xlfn.XLOOKUP($A392,My_Audit!$A:$A,My_Audit!L:L,""),
_xlfn.IFS(_xlpm.MyAuditVal&lt;&gt;"",UPPER(_xlpm.MyAuditVal),_xlpm.MacVal&lt;&gt;"",_xlpm.MacVal,_xlpm.CSVVal&lt;&gt;"",_xlpm.CSVVal
)),"")</f>
        <v/>
      </c>
      <c r="O392" s="2" t="str">
        <f>_xlfn.LET(
    _xlpm.CSVVal, _xlfn.XLOOKUP($A392, CSV!$A:$A, CSV!AF:AF, ""),
    _xlpm.MacVal, _xlfn.XLOOKUP($A392, Output_Mac!$A:$A, Output_Mac!S:S, ""),
    _xlpm.MyAuditVal, _xlfn.XLOOKUP($A392, My_Audit!$A:$A, My_Audit!P:P, ""),
    _xlfn.TEXTJOIN(", ", TRUE, _xlpm.MyAuditVal, _xlpm.MacVal, _xlpm.CSVVal)
)</f>
        <v/>
      </c>
      <c r="P392" s="2" t="str" cm="1">
        <f t="array" ref="P392">IFERROR(_xlfn.LET(
_xlpm.CSVVal,_xlfn.XLOOKUP($A392,CSV!$A:$A,CSV!AG:AG,""),
_xlpm.MacVal,_xlfn.XLOOKUP($A392,Output_Mac!$A:$A,Output_Mac!T:T,""),
_xlpm.MyAuditVal,_xlfn.XLOOKUP($A392,My_Audit!$A:$A,My_Audit!Q:Q,""),
_xlfn.IFS(_xlpm.MyAuditVal&lt;&gt;"",UPPER(_xlpm.MyAuditVal),_xlpm.MacVal&lt;&gt;"",_xlpm.MacVal,_xlpm.CSVVal&lt;&gt;"",_xlpm.CSVVal
)),"No")</f>
        <v>No</v>
      </c>
      <c r="Q392" s="2" t="str" cm="1">
        <f t="array" ref="Q392">IFERROR(_xlfn.LET(
_xlpm.CSVVal,_xlfn.XLOOKUP($A392,CSV!$A:$A,CSV!AH:AH,""),
_xlpm.MacVal,_xlfn.XLOOKUP($A392,Output_Mac!$A:$A,Output_Mac!U:U,""),
_xlpm.MyAuditVal,_xlfn.XLOOKUP($A392,My_Audit!$A:$A,My_Audit!R:R,""),
_xlfn.IFS(_xlpm.MyAuditVal&lt;&gt;"",UPPER(_xlpm.MyAuditVal),_xlpm.MacVal&lt;&gt;"",_xlpm.MacVal,_xlpm.CSVVal&lt;&gt;"",_xlpm.CSVVal
)),"")</f>
        <v/>
      </c>
    </row>
    <row r="393" spans="1:17">
      <c r="A393" s="2" t="str">
        <f>_xlfn.TEXTJOIN("",TRUE,Input!$B$2,ROW(My_Audit!A392))</f>
        <v>XX392</v>
      </c>
      <c r="B393" s="2" t="str">
        <f>_xlfn.TEXTJOIN("-",TRUE,"ITD",Input!$A$2,A393)</f>
        <v>ITD-SHRXXX-XX392</v>
      </c>
      <c r="C393" s="2" t="str" cm="1">
        <f t="array" ref="C393">IFERROR(_xlfn.LET(
_xlpm.CSVVal,_xlfn.XLOOKUP($A393,CSV!$A:$A,CSV!B:B,""),
_xlpm.MacVal,_xlfn.XLOOKUP($A393,Output_Mac!$A:$A,Output_Mac!B:B,""),
_xlpm.MyAuditVal,_xlfn.XLOOKUP($A393,My_Audit!$A:$A,My_Audit!B:B,""),
_xlfn.IFS(_xlpm.MyAuditVal&lt;&gt;"",UPPER(_xlpm.MyAuditVal),_xlpm.MacVal&lt;&gt;"",_xlpm.MacVal,_xlpm.CSVVal&lt;&gt;"",_xlpm.CSVVal
)),"")</f>
        <v/>
      </c>
      <c r="D393" s="2" t="str" cm="1">
        <f t="array" ref="D393">IFERROR(_xlfn.LET(
_xlpm.CSVVal,_xlfn.XLOOKUP($A393,CSV!$A:$A,CSV!D:D,""),
_xlpm.MacVal,_xlfn.XLOOKUP($A393,Output_Mac!$A:$A,Output_Mac!C:C,""),
_xlpm.MyAuditVal,_xlfn.XLOOKUP($A393,My_Audit!$A:$A,My_Audit!C:C,""),
_xlfn.IFS(_xlpm.MyAuditVal&lt;&gt;"",_xlpm.MyAuditVal,_xlpm.MacVal&lt;&gt;"",_xlpm.MacVal,_xlpm.CSVVal&lt;&gt;"",_xlpm.CSVVal
)),"")</f>
        <v/>
      </c>
      <c r="E393" s="2" t="str">
        <f>_xlfn.XLOOKUP(A393,My_Audit!A:A,My_Audit!D:D,"")&amp;""</f>
        <v/>
      </c>
      <c r="F393" s="2" t="str" cm="1">
        <f t="array" ref="F393">IFERROR(_xlfn.LET(
_xlpm.CSVVal,_xlfn.XLOOKUP($A393,CSV!$A:$A,CSV!F:F,""),
_xlpm.MacVal,_xlfn.XLOOKUP($A393,Output_Mac!$A:$A,Output_Mac!E:E,""),
_xlpm.MyAuditVal,_xlfn.XLOOKUP($A393,My_Audit!$A:$A,My_Audit!E:E,""),
_xlfn.IFS(_xlpm.MyAuditVal&lt;&gt;"",_xlpm.MyAuditVal,_xlpm.MacVal&lt;&gt;"",_xlpm.MacVal,_xlpm.CSVVal&lt;&gt;"",_xlpm.CSVVal
)),"")</f>
        <v/>
      </c>
      <c r="G393" s="2" t="str" cm="1">
        <f t="array" ref="G393">IFERROR(_xlfn.LET(
_xlpm.CSVVal,_xlfn.XLOOKUP($A393,CSV!$A:$A,CSV!G:G,""),
_xlpm.MacVal,_xlfn.XLOOKUP($A393,Output_Mac!$A:$A,Output_Mac!F:F,""),
_xlpm.MyAuditVal,_xlfn.XLOOKUP($A393,My_Audit!$A:$A,My_Audit!F:F,""),
_xlfn.IFS(_xlpm.MyAuditVal&lt;&gt;"",_xlpm.MyAuditVal,_xlpm.MacVal&lt;&gt;"",_xlpm.MacVal,_xlpm.CSVVal&lt;&gt;"",PROPER(_xlpm.CSVVal)
)),"")</f>
        <v/>
      </c>
      <c r="H393" s="2" t="str" cm="1">
        <f t="array" ref="H393">IFERROR(_xlfn.LET(
_xlpm.CSVVal,_xlfn.XLOOKUP($A393,CSV!$A:$A,CSV!H:H,""),
_xlpm.MacVal,_xlfn.XLOOKUP($A393,Output_Mac!$A:$A,Output_Mac!H:H,""),
_xlpm.MyAuditVal,_xlfn.XLOOKUP($A393,My_Audit!$A:$A,My_Audit!G:G,""),
_xlfn.IFS(_xlpm.MyAuditVal&lt;&gt;"",_xlpm.MyAuditVal,_xlpm.MacVal&lt;&gt;"",_xlpm.MacVal,_xlpm.CSVVal&lt;&gt;"",_xlpm.CSVVal
)),"")</f>
        <v/>
      </c>
      <c r="I393" s="2" t="str">
        <f>_xlfn.XLOOKUP(A393,Output_Mac!A:A,Output_Mac!I:I,"")</f>
        <v/>
      </c>
      <c r="J393" s="2" t="str" cm="1">
        <f t="array" ref="J393">IFERROR(_xlfn.LET(
_xlpm.CSVVal,_xlfn.XLOOKUP($A393,CSV!$A:$A,CSV!I:I,""),
_xlpm.MacVal,_xlfn.XLOOKUP($A393,Output_Mac!$A:$A,Output_Mac!J:J,""),
_xlpm.MyAuditVal,_xlfn.XLOOKUP($A393,My_Audit!$A:$A,My_Audit!I:I,""),
_xlfn.IFS(_xlpm.MyAuditVal&lt;&gt;"",UPPER(_xlpm.MyAuditVal),_xlpm.MacVal&lt;&gt;"",_xlpm.MacVal,_xlpm.CSVVal&lt;&gt;"",_xlpm.CSVVal
)),"")</f>
        <v/>
      </c>
      <c r="K393" s="2" t="str" cm="1">
        <f t="array" ref="K393">IFERROR(_xlfn.LET(
_xlpm.CSVVal,_xlfn.XLOOKUP($A393,CSV!$A:$A,CSV!K:K,""),
_xlpm.MacVal,_xlfn.XLOOKUP($A393,Output_Mac!$A:$A,Output_Mac!K:K,""),
_xlpm.MyAuditVal,_xlfn.XLOOKUP($A393,My_Audit!$A:$A,My_Audit!J:J,""),
_xlfn.IFS(_xlpm.MyAuditVal&lt;&gt;"",UPPER(_xlpm.MyAuditVal),_xlpm.MacVal&lt;&gt;"",_xlpm.MacVal,_xlpm.CSVVal&lt;&gt;"",_xlpm.CSVVal
)),"")</f>
        <v/>
      </c>
      <c r="L393" s="2" t="str" cm="1">
        <f t="array" ref="L393">IFERROR(_xlfn.LET(
_xlpm.CSVVal,_xlfn.XLOOKUP($A393,CSV!$A:$A,CSV!P:P,""),
_xlpm.MacVal,_xlfn.XLOOKUP($A393,Output_Mac!$A:$A,Output_Mac!L:L,""),
_xlpm.MyAuditVal,_xlfn.XLOOKUP($A393,My_Audit!$A:$A,My_Audit!K:K,""),
_xlfn.IFS(_xlpm.MyAuditVal&lt;&gt;"",UPPER(_xlpm.MyAuditVal),_xlpm.MacVal&lt;&gt;"",_xlpm.MacVal,_xlpm.CSVVal&lt;&gt;"",_xlpm.CSVVal
)),"")</f>
        <v/>
      </c>
      <c r="M393" s="2" t="str" cm="1">
        <f t="array" ref="M393">IFERROR(_xlfn.LET(
_xlpm.CSVVal,_xlfn.XLOOKUP($A393,CSV!$A:$A,CSV!Q:Q,""),
_xlpm.MacVal,_xlfn.XLOOKUP($A393,Output_Mac!$A:$A,Output_Mac!M:M,""),
_xlpm.MyAuditVal,_xlfn.XLOOKUP($A393,My_Audit!$A:$A,My_Audit!L:L,""),
_xlfn.IFS(_xlpm.MyAuditVal&lt;&gt;"",UPPER(_xlpm.MyAuditVal),_xlpm.MacVal&lt;&gt;"",_xlpm.MacVal,_xlpm.CSVVal&lt;&gt;"",_xlpm.CSVVal
)),"")</f>
        <v/>
      </c>
      <c r="O393" s="2" t="str">
        <f>_xlfn.LET(
    _xlpm.CSVVal, _xlfn.XLOOKUP($A393, CSV!$A:$A, CSV!AF:AF, ""),
    _xlpm.MacVal, _xlfn.XLOOKUP($A393, Output_Mac!$A:$A, Output_Mac!S:S, ""),
    _xlpm.MyAuditVal, _xlfn.XLOOKUP($A393, My_Audit!$A:$A, My_Audit!P:P, ""),
    _xlfn.TEXTJOIN(", ", TRUE, _xlpm.MyAuditVal, _xlpm.MacVal, _xlpm.CSVVal)
)</f>
        <v/>
      </c>
      <c r="P393" s="2" t="str" cm="1">
        <f t="array" ref="P393">IFERROR(_xlfn.LET(
_xlpm.CSVVal,_xlfn.XLOOKUP($A393,CSV!$A:$A,CSV!AG:AG,""),
_xlpm.MacVal,_xlfn.XLOOKUP($A393,Output_Mac!$A:$A,Output_Mac!T:T,""),
_xlpm.MyAuditVal,_xlfn.XLOOKUP($A393,My_Audit!$A:$A,My_Audit!Q:Q,""),
_xlfn.IFS(_xlpm.MyAuditVal&lt;&gt;"",UPPER(_xlpm.MyAuditVal),_xlpm.MacVal&lt;&gt;"",_xlpm.MacVal,_xlpm.CSVVal&lt;&gt;"",_xlpm.CSVVal
)),"No")</f>
        <v>No</v>
      </c>
      <c r="Q393" s="2" t="str" cm="1">
        <f t="array" ref="Q393">IFERROR(_xlfn.LET(
_xlpm.CSVVal,_xlfn.XLOOKUP($A393,CSV!$A:$A,CSV!AH:AH,""),
_xlpm.MacVal,_xlfn.XLOOKUP($A393,Output_Mac!$A:$A,Output_Mac!U:U,""),
_xlpm.MyAuditVal,_xlfn.XLOOKUP($A393,My_Audit!$A:$A,My_Audit!R:R,""),
_xlfn.IFS(_xlpm.MyAuditVal&lt;&gt;"",UPPER(_xlpm.MyAuditVal),_xlpm.MacVal&lt;&gt;"",_xlpm.MacVal,_xlpm.CSVVal&lt;&gt;"",_xlpm.CSVVal
)),"")</f>
        <v/>
      </c>
    </row>
    <row r="394" spans="1:17">
      <c r="A394" s="2" t="str">
        <f>_xlfn.TEXTJOIN("",TRUE,Input!$B$2,ROW(My_Audit!A393))</f>
        <v>XX393</v>
      </c>
      <c r="B394" s="2" t="str">
        <f>_xlfn.TEXTJOIN("-",TRUE,"ITD",Input!$A$2,A394)</f>
        <v>ITD-SHRXXX-XX393</v>
      </c>
      <c r="C394" s="2" t="str" cm="1">
        <f t="array" ref="C394">IFERROR(_xlfn.LET(
_xlpm.CSVVal,_xlfn.XLOOKUP($A394,CSV!$A:$A,CSV!B:B,""),
_xlpm.MacVal,_xlfn.XLOOKUP($A394,Output_Mac!$A:$A,Output_Mac!B:B,""),
_xlpm.MyAuditVal,_xlfn.XLOOKUP($A394,My_Audit!$A:$A,My_Audit!B:B,""),
_xlfn.IFS(_xlpm.MyAuditVal&lt;&gt;"",UPPER(_xlpm.MyAuditVal),_xlpm.MacVal&lt;&gt;"",_xlpm.MacVal,_xlpm.CSVVal&lt;&gt;"",_xlpm.CSVVal
)),"")</f>
        <v/>
      </c>
      <c r="D394" s="2" t="str" cm="1">
        <f t="array" ref="D394">IFERROR(_xlfn.LET(
_xlpm.CSVVal,_xlfn.XLOOKUP($A394,CSV!$A:$A,CSV!D:D,""),
_xlpm.MacVal,_xlfn.XLOOKUP($A394,Output_Mac!$A:$A,Output_Mac!C:C,""),
_xlpm.MyAuditVal,_xlfn.XLOOKUP($A394,My_Audit!$A:$A,My_Audit!C:C,""),
_xlfn.IFS(_xlpm.MyAuditVal&lt;&gt;"",_xlpm.MyAuditVal,_xlpm.MacVal&lt;&gt;"",_xlpm.MacVal,_xlpm.CSVVal&lt;&gt;"",_xlpm.CSVVal
)),"")</f>
        <v/>
      </c>
      <c r="E394" s="2" t="str">
        <f>_xlfn.XLOOKUP(A394,My_Audit!A:A,My_Audit!D:D,"")&amp;""</f>
        <v/>
      </c>
      <c r="F394" s="2" t="str" cm="1">
        <f t="array" ref="F394">IFERROR(_xlfn.LET(
_xlpm.CSVVal,_xlfn.XLOOKUP($A394,CSV!$A:$A,CSV!F:F,""),
_xlpm.MacVal,_xlfn.XLOOKUP($A394,Output_Mac!$A:$A,Output_Mac!E:E,""),
_xlpm.MyAuditVal,_xlfn.XLOOKUP($A394,My_Audit!$A:$A,My_Audit!E:E,""),
_xlfn.IFS(_xlpm.MyAuditVal&lt;&gt;"",_xlpm.MyAuditVal,_xlpm.MacVal&lt;&gt;"",_xlpm.MacVal,_xlpm.CSVVal&lt;&gt;"",_xlpm.CSVVal
)),"")</f>
        <v/>
      </c>
      <c r="G394" s="2" t="str" cm="1">
        <f t="array" ref="G394">IFERROR(_xlfn.LET(
_xlpm.CSVVal,_xlfn.XLOOKUP($A394,CSV!$A:$A,CSV!G:G,""),
_xlpm.MacVal,_xlfn.XLOOKUP($A394,Output_Mac!$A:$A,Output_Mac!F:F,""),
_xlpm.MyAuditVal,_xlfn.XLOOKUP($A394,My_Audit!$A:$A,My_Audit!F:F,""),
_xlfn.IFS(_xlpm.MyAuditVal&lt;&gt;"",_xlpm.MyAuditVal,_xlpm.MacVal&lt;&gt;"",_xlpm.MacVal,_xlpm.CSVVal&lt;&gt;"",PROPER(_xlpm.CSVVal)
)),"")</f>
        <v/>
      </c>
      <c r="H394" s="2" t="str" cm="1">
        <f t="array" ref="H394">IFERROR(_xlfn.LET(
_xlpm.CSVVal,_xlfn.XLOOKUP($A394,CSV!$A:$A,CSV!H:H,""),
_xlpm.MacVal,_xlfn.XLOOKUP($A394,Output_Mac!$A:$A,Output_Mac!H:H,""),
_xlpm.MyAuditVal,_xlfn.XLOOKUP($A394,My_Audit!$A:$A,My_Audit!G:G,""),
_xlfn.IFS(_xlpm.MyAuditVal&lt;&gt;"",_xlpm.MyAuditVal,_xlpm.MacVal&lt;&gt;"",_xlpm.MacVal,_xlpm.CSVVal&lt;&gt;"",_xlpm.CSVVal
)),"")</f>
        <v/>
      </c>
      <c r="I394" s="2" t="str">
        <f>_xlfn.XLOOKUP(A394,Output_Mac!A:A,Output_Mac!I:I,"")</f>
        <v/>
      </c>
      <c r="J394" s="2" t="str" cm="1">
        <f t="array" ref="J394">IFERROR(_xlfn.LET(
_xlpm.CSVVal,_xlfn.XLOOKUP($A394,CSV!$A:$A,CSV!I:I,""),
_xlpm.MacVal,_xlfn.XLOOKUP($A394,Output_Mac!$A:$A,Output_Mac!J:J,""),
_xlpm.MyAuditVal,_xlfn.XLOOKUP($A394,My_Audit!$A:$A,My_Audit!I:I,""),
_xlfn.IFS(_xlpm.MyAuditVal&lt;&gt;"",UPPER(_xlpm.MyAuditVal),_xlpm.MacVal&lt;&gt;"",_xlpm.MacVal,_xlpm.CSVVal&lt;&gt;"",_xlpm.CSVVal
)),"")</f>
        <v/>
      </c>
      <c r="K394" s="2" t="str" cm="1">
        <f t="array" ref="K394">IFERROR(_xlfn.LET(
_xlpm.CSVVal,_xlfn.XLOOKUP($A394,CSV!$A:$A,CSV!K:K,""),
_xlpm.MacVal,_xlfn.XLOOKUP($A394,Output_Mac!$A:$A,Output_Mac!K:K,""),
_xlpm.MyAuditVal,_xlfn.XLOOKUP($A394,My_Audit!$A:$A,My_Audit!J:J,""),
_xlfn.IFS(_xlpm.MyAuditVal&lt;&gt;"",UPPER(_xlpm.MyAuditVal),_xlpm.MacVal&lt;&gt;"",_xlpm.MacVal,_xlpm.CSVVal&lt;&gt;"",_xlpm.CSVVal
)),"")</f>
        <v/>
      </c>
      <c r="L394" s="2" t="str" cm="1">
        <f t="array" ref="L394">IFERROR(_xlfn.LET(
_xlpm.CSVVal,_xlfn.XLOOKUP($A394,CSV!$A:$A,CSV!P:P,""),
_xlpm.MacVal,_xlfn.XLOOKUP($A394,Output_Mac!$A:$A,Output_Mac!L:L,""),
_xlpm.MyAuditVal,_xlfn.XLOOKUP($A394,My_Audit!$A:$A,My_Audit!K:K,""),
_xlfn.IFS(_xlpm.MyAuditVal&lt;&gt;"",UPPER(_xlpm.MyAuditVal),_xlpm.MacVal&lt;&gt;"",_xlpm.MacVal,_xlpm.CSVVal&lt;&gt;"",_xlpm.CSVVal
)),"")</f>
        <v/>
      </c>
      <c r="M394" s="2" t="str" cm="1">
        <f t="array" ref="M394">IFERROR(_xlfn.LET(
_xlpm.CSVVal,_xlfn.XLOOKUP($A394,CSV!$A:$A,CSV!Q:Q,""),
_xlpm.MacVal,_xlfn.XLOOKUP($A394,Output_Mac!$A:$A,Output_Mac!M:M,""),
_xlpm.MyAuditVal,_xlfn.XLOOKUP($A394,My_Audit!$A:$A,My_Audit!L:L,""),
_xlfn.IFS(_xlpm.MyAuditVal&lt;&gt;"",UPPER(_xlpm.MyAuditVal),_xlpm.MacVal&lt;&gt;"",_xlpm.MacVal,_xlpm.CSVVal&lt;&gt;"",_xlpm.CSVVal
)),"")</f>
        <v/>
      </c>
      <c r="O394" s="2" t="str">
        <f>_xlfn.LET(
    _xlpm.CSVVal, _xlfn.XLOOKUP($A394, CSV!$A:$A, CSV!AF:AF, ""),
    _xlpm.MacVal, _xlfn.XLOOKUP($A394, Output_Mac!$A:$A, Output_Mac!S:S, ""),
    _xlpm.MyAuditVal, _xlfn.XLOOKUP($A394, My_Audit!$A:$A, My_Audit!P:P, ""),
    _xlfn.TEXTJOIN(", ", TRUE, _xlpm.MyAuditVal, _xlpm.MacVal, _xlpm.CSVVal)
)</f>
        <v/>
      </c>
      <c r="P394" s="2" t="str" cm="1">
        <f t="array" ref="P394">IFERROR(_xlfn.LET(
_xlpm.CSVVal,_xlfn.XLOOKUP($A394,CSV!$A:$A,CSV!AG:AG,""),
_xlpm.MacVal,_xlfn.XLOOKUP($A394,Output_Mac!$A:$A,Output_Mac!T:T,""),
_xlpm.MyAuditVal,_xlfn.XLOOKUP($A394,My_Audit!$A:$A,My_Audit!Q:Q,""),
_xlfn.IFS(_xlpm.MyAuditVal&lt;&gt;"",UPPER(_xlpm.MyAuditVal),_xlpm.MacVal&lt;&gt;"",_xlpm.MacVal,_xlpm.CSVVal&lt;&gt;"",_xlpm.CSVVal
)),"No")</f>
        <v>No</v>
      </c>
      <c r="Q394" s="2" t="str" cm="1">
        <f t="array" ref="Q394">IFERROR(_xlfn.LET(
_xlpm.CSVVal,_xlfn.XLOOKUP($A394,CSV!$A:$A,CSV!AH:AH,""),
_xlpm.MacVal,_xlfn.XLOOKUP($A394,Output_Mac!$A:$A,Output_Mac!U:U,""),
_xlpm.MyAuditVal,_xlfn.XLOOKUP($A394,My_Audit!$A:$A,My_Audit!R:R,""),
_xlfn.IFS(_xlpm.MyAuditVal&lt;&gt;"",UPPER(_xlpm.MyAuditVal),_xlpm.MacVal&lt;&gt;"",_xlpm.MacVal,_xlpm.CSVVal&lt;&gt;"",_xlpm.CSVVal
)),"")</f>
        <v/>
      </c>
    </row>
    <row r="395" spans="1:17">
      <c r="A395" s="2" t="str">
        <f>_xlfn.TEXTJOIN("",TRUE,Input!$B$2,ROW(My_Audit!A394))</f>
        <v>XX394</v>
      </c>
      <c r="B395" s="2" t="str">
        <f>_xlfn.TEXTJOIN("-",TRUE,"ITD",Input!$A$2,A395)</f>
        <v>ITD-SHRXXX-XX394</v>
      </c>
      <c r="C395" s="2" t="str" cm="1">
        <f t="array" ref="C395">IFERROR(_xlfn.LET(
_xlpm.CSVVal,_xlfn.XLOOKUP($A395,CSV!$A:$A,CSV!B:B,""),
_xlpm.MacVal,_xlfn.XLOOKUP($A395,Output_Mac!$A:$A,Output_Mac!B:B,""),
_xlpm.MyAuditVal,_xlfn.XLOOKUP($A395,My_Audit!$A:$A,My_Audit!B:B,""),
_xlfn.IFS(_xlpm.MyAuditVal&lt;&gt;"",UPPER(_xlpm.MyAuditVal),_xlpm.MacVal&lt;&gt;"",_xlpm.MacVal,_xlpm.CSVVal&lt;&gt;"",_xlpm.CSVVal
)),"")</f>
        <v/>
      </c>
      <c r="D395" s="2" t="str" cm="1">
        <f t="array" ref="D395">IFERROR(_xlfn.LET(
_xlpm.CSVVal,_xlfn.XLOOKUP($A395,CSV!$A:$A,CSV!D:D,""),
_xlpm.MacVal,_xlfn.XLOOKUP($A395,Output_Mac!$A:$A,Output_Mac!C:C,""),
_xlpm.MyAuditVal,_xlfn.XLOOKUP($A395,My_Audit!$A:$A,My_Audit!C:C,""),
_xlfn.IFS(_xlpm.MyAuditVal&lt;&gt;"",_xlpm.MyAuditVal,_xlpm.MacVal&lt;&gt;"",_xlpm.MacVal,_xlpm.CSVVal&lt;&gt;"",_xlpm.CSVVal
)),"")</f>
        <v/>
      </c>
      <c r="E395" s="2" t="str">
        <f>_xlfn.XLOOKUP(A395,My_Audit!A:A,My_Audit!D:D,"")&amp;""</f>
        <v/>
      </c>
      <c r="F395" s="2" t="str" cm="1">
        <f t="array" ref="F395">IFERROR(_xlfn.LET(
_xlpm.CSVVal,_xlfn.XLOOKUP($A395,CSV!$A:$A,CSV!F:F,""),
_xlpm.MacVal,_xlfn.XLOOKUP($A395,Output_Mac!$A:$A,Output_Mac!E:E,""),
_xlpm.MyAuditVal,_xlfn.XLOOKUP($A395,My_Audit!$A:$A,My_Audit!E:E,""),
_xlfn.IFS(_xlpm.MyAuditVal&lt;&gt;"",_xlpm.MyAuditVal,_xlpm.MacVal&lt;&gt;"",_xlpm.MacVal,_xlpm.CSVVal&lt;&gt;"",_xlpm.CSVVal
)),"")</f>
        <v/>
      </c>
      <c r="G395" s="2" t="str" cm="1">
        <f t="array" ref="G395">IFERROR(_xlfn.LET(
_xlpm.CSVVal,_xlfn.XLOOKUP($A395,CSV!$A:$A,CSV!G:G,""),
_xlpm.MacVal,_xlfn.XLOOKUP($A395,Output_Mac!$A:$A,Output_Mac!F:F,""),
_xlpm.MyAuditVal,_xlfn.XLOOKUP($A395,My_Audit!$A:$A,My_Audit!F:F,""),
_xlfn.IFS(_xlpm.MyAuditVal&lt;&gt;"",_xlpm.MyAuditVal,_xlpm.MacVal&lt;&gt;"",_xlpm.MacVal,_xlpm.CSVVal&lt;&gt;"",PROPER(_xlpm.CSVVal)
)),"")</f>
        <v/>
      </c>
      <c r="H395" s="2" t="str" cm="1">
        <f t="array" ref="H395">IFERROR(_xlfn.LET(
_xlpm.CSVVal,_xlfn.XLOOKUP($A395,CSV!$A:$A,CSV!H:H,""),
_xlpm.MacVal,_xlfn.XLOOKUP($A395,Output_Mac!$A:$A,Output_Mac!H:H,""),
_xlpm.MyAuditVal,_xlfn.XLOOKUP($A395,My_Audit!$A:$A,My_Audit!G:G,""),
_xlfn.IFS(_xlpm.MyAuditVal&lt;&gt;"",_xlpm.MyAuditVal,_xlpm.MacVal&lt;&gt;"",_xlpm.MacVal,_xlpm.CSVVal&lt;&gt;"",_xlpm.CSVVal
)),"")</f>
        <v/>
      </c>
      <c r="I395" s="2" t="str">
        <f>_xlfn.XLOOKUP(A395,Output_Mac!A:A,Output_Mac!I:I,"")</f>
        <v/>
      </c>
      <c r="J395" s="2" t="str" cm="1">
        <f t="array" ref="J395">IFERROR(_xlfn.LET(
_xlpm.CSVVal,_xlfn.XLOOKUP($A395,CSV!$A:$A,CSV!I:I,""),
_xlpm.MacVal,_xlfn.XLOOKUP($A395,Output_Mac!$A:$A,Output_Mac!J:J,""),
_xlpm.MyAuditVal,_xlfn.XLOOKUP($A395,My_Audit!$A:$A,My_Audit!I:I,""),
_xlfn.IFS(_xlpm.MyAuditVal&lt;&gt;"",UPPER(_xlpm.MyAuditVal),_xlpm.MacVal&lt;&gt;"",_xlpm.MacVal,_xlpm.CSVVal&lt;&gt;"",_xlpm.CSVVal
)),"")</f>
        <v/>
      </c>
      <c r="K395" s="2" t="str" cm="1">
        <f t="array" ref="K395">IFERROR(_xlfn.LET(
_xlpm.CSVVal,_xlfn.XLOOKUP($A395,CSV!$A:$A,CSV!K:K,""),
_xlpm.MacVal,_xlfn.XLOOKUP($A395,Output_Mac!$A:$A,Output_Mac!K:K,""),
_xlpm.MyAuditVal,_xlfn.XLOOKUP($A395,My_Audit!$A:$A,My_Audit!J:J,""),
_xlfn.IFS(_xlpm.MyAuditVal&lt;&gt;"",UPPER(_xlpm.MyAuditVal),_xlpm.MacVal&lt;&gt;"",_xlpm.MacVal,_xlpm.CSVVal&lt;&gt;"",_xlpm.CSVVal
)),"")</f>
        <v/>
      </c>
      <c r="L395" s="2" t="str" cm="1">
        <f t="array" ref="L395">IFERROR(_xlfn.LET(
_xlpm.CSVVal,_xlfn.XLOOKUP($A395,CSV!$A:$A,CSV!P:P,""),
_xlpm.MacVal,_xlfn.XLOOKUP($A395,Output_Mac!$A:$A,Output_Mac!L:L,""),
_xlpm.MyAuditVal,_xlfn.XLOOKUP($A395,My_Audit!$A:$A,My_Audit!K:K,""),
_xlfn.IFS(_xlpm.MyAuditVal&lt;&gt;"",UPPER(_xlpm.MyAuditVal),_xlpm.MacVal&lt;&gt;"",_xlpm.MacVal,_xlpm.CSVVal&lt;&gt;"",_xlpm.CSVVal
)),"")</f>
        <v/>
      </c>
      <c r="M395" s="2" t="str" cm="1">
        <f t="array" ref="M395">IFERROR(_xlfn.LET(
_xlpm.CSVVal,_xlfn.XLOOKUP($A395,CSV!$A:$A,CSV!Q:Q,""),
_xlpm.MacVal,_xlfn.XLOOKUP($A395,Output_Mac!$A:$A,Output_Mac!M:M,""),
_xlpm.MyAuditVal,_xlfn.XLOOKUP($A395,My_Audit!$A:$A,My_Audit!L:L,""),
_xlfn.IFS(_xlpm.MyAuditVal&lt;&gt;"",UPPER(_xlpm.MyAuditVal),_xlpm.MacVal&lt;&gt;"",_xlpm.MacVal,_xlpm.CSVVal&lt;&gt;"",_xlpm.CSVVal
)),"")</f>
        <v/>
      </c>
      <c r="O395" s="2" t="str">
        <f>_xlfn.LET(
    _xlpm.CSVVal, _xlfn.XLOOKUP($A395, CSV!$A:$A, CSV!AF:AF, ""),
    _xlpm.MacVal, _xlfn.XLOOKUP($A395, Output_Mac!$A:$A, Output_Mac!S:S, ""),
    _xlpm.MyAuditVal, _xlfn.XLOOKUP($A395, My_Audit!$A:$A, My_Audit!P:P, ""),
    _xlfn.TEXTJOIN(", ", TRUE, _xlpm.MyAuditVal, _xlpm.MacVal, _xlpm.CSVVal)
)</f>
        <v/>
      </c>
      <c r="P395" s="2" t="str" cm="1">
        <f t="array" ref="P395">IFERROR(_xlfn.LET(
_xlpm.CSVVal,_xlfn.XLOOKUP($A395,CSV!$A:$A,CSV!AG:AG,""),
_xlpm.MacVal,_xlfn.XLOOKUP($A395,Output_Mac!$A:$A,Output_Mac!T:T,""),
_xlpm.MyAuditVal,_xlfn.XLOOKUP($A395,My_Audit!$A:$A,My_Audit!Q:Q,""),
_xlfn.IFS(_xlpm.MyAuditVal&lt;&gt;"",UPPER(_xlpm.MyAuditVal),_xlpm.MacVal&lt;&gt;"",_xlpm.MacVal,_xlpm.CSVVal&lt;&gt;"",_xlpm.CSVVal
)),"No")</f>
        <v>No</v>
      </c>
      <c r="Q395" s="2" t="str" cm="1">
        <f t="array" ref="Q395">IFERROR(_xlfn.LET(
_xlpm.CSVVal,_xlfn.XLOOKUP($A395,CSV!$A:$A,CSV!AH:AH,""),
_xlpm.MacVal,_xlfn.XLOOKUP($A395,Output_Mac!$A:$A,Output_Mac!U:U,""),
_xlpm.MyAuditVal,_xlfn.XLOOKUP($A395,My_Audit!$A:$A,My_Audit!R:R,""),
_xlfn.IFS(_xlpm.MyAuditVal&lt;&gt;"",UPPER(_xlpm.MyAuditVal),_xlpm.MacVal&lt;&gt;"",_xlpm.MacVal,_xlpm.CSVVal&lt;&gt;"",_xlpm.CSVVal
)),"")</f>
        <v/>
      </c>
    </row>
    <row r="396" spans="1:17">
      <c r="A396" s="2" t="str">
        <f>_xlfn.TEXTJOIN("",TRUE,Input!$B$2,ROW(My_Audit!A395))</f>
        <v>XX395</v>
      </c>
      <c r="B396" s="2" t="str">
        <f>_xlfn.TEXTJOIN("-",TRUE,"ITD",Input!$A$2,A396)</f>
        <v>ITD-SHRXXX-XX395</v>
      </c>
      <c r="C396" s="2" t="str" cm="1">
        <f t="array" ref="C396">IFERROR(_xlfn.LET(
_xlpm.CSVVal,_xlfn.XLOOKUP($A396,CSV!$A:$A,CSV!B:B,""),
_xlpm.MacVal,_xlfn.XLOOKUP($A396,Output_Mac!$A:$A,Output_Mac!B:B,""),
_xlpm.MyAuditVal,_xlfn.XLOOKUP($A396,My_Audit!$A:$A,My_Audit!B:B,""),
_xlfn.IFS(_xlpm.MyAuditVal&lt;&gt;"",UPPER(_xlpm.MyAuditVal),_xlpm.MacVal&lt;&gt;"",_xlpm.MacVal,_xlpm.CSVVal&lt;&gt;"",_xlpm.CSVVal
)),"")</f>
        <v/>
      </c>
      <c r="D396" s="2" t="str" cm="1">
        <f t="array" ref="D396">IFERROR(_xlfn.LET(
_xlpm.CSVVal,_xlfn.XLOOKUP($A396,CSV!$A:$A,CSV!D:D,""),
_xlpm.MacVal,_xlfn.XLOOKUP($A396,Output_Mac!$A:$A,Output_Mac!C:C,""),
_xlpm.MyAuditVal,_xlfn.XLOOKUP($A396,My_Audit!$A:$A,My_Audit!C:C,""),
_xlfn.IFS(_xlpm.MyAuditVal&lt;&gt;"",_xlpm.MyAuditVal,_xlpm.MacVal&lt;&gt;"",_xlpm.MacVal,_xlpm.CSVVal&lt;&gt;"",_xlpm.CSVVal
)),"")</f>
        <v/>
      </c>
      <c r="E396" s="2" t="str">
        <f>_xlfn.XLOOKUP(A396,My_Audit!A:A,My_Audit!D:D,"")&amp;""</f>
        <v/>
      </c>
      <c r="F396" s="2" t="str" cm="1">
        <f t="array" ref="F396">IFERROR(_xlfn.LET(
_xlpm.CSVVal,_xlfn.XLOOKUP($A396,CSV!$A:$A,CSV!F:F,""),
_xlpm.MacVal,_xlfn.XLOOKUP($A396,Output_Mac!$A:$A,Output_Mac!E:E,""),
_xlpm.MyAuditVal,_xlfn.XLOOKUP($A396,My_Audit!$A:$A,My_Audit!E:E,""),
_xlfn.IFS(_xlpm.MyAuditVal&lt;&gt;"",_xlpm.MyAuditVal,_xlpm.MacVal&lt;&gt;"",_xlpm.MacVal,_xlpm.CSVVal&lt;&gt;"",_xlpm.CSVVal
)),"")</f>
        <v/>
      </c>
      <c r="G396" s="2" t="str" cm="1">
        <f t="array" ref="G396">IFERROR(_xlfn.LET(
_xlpm.CSVVal,_xlfn.XLOOKUP($A396,CSV!$A:$A,CSV!G:G,""),
_xlpm.MacVal,_xlfn.XLOOKUP($A396,Output_Mac!$A:$A,Output_Mac!F:F,""),
_xlpm.MyAuditVal,_xlfn.XLOOKUP($A396,My_Audit!$A:$A,My_Audit!F:F,""),
_xlfn.IFS(_xlpm.MyAuditVal&lt;&gt;"",_xlpm.MyAuditVal,_xlpm.MacVal&lt;&gt;"",_xlpm.MacVal,_xlpm.CSVVal&lt;&gt;"",PROPER(_xlpm.CSVVal)
)),"")</f>
        <v/>
      </c>
      <c r="H396" s="2" t="str" cm="1">
        <f t="array" ref="H396">IFERROR(_xlfn.LET(
_xlpm.CSVVal,_xlfn.XLOOKUP($A396,CSV!$A:$A,CSV!H:H,""),
_xlpm.MacVal,_xlfn.XLOOKUP($A396,Output_Mac!$A:$A,Output_Mac!H:H,""),
_xlpm.MyAuditVal,_xlfn.XLOOKUP($A396,My_Audit!$A:$A,My_Audit!G:G,""),
_xlfn.IFS(_xlpm.MyAuditVal&lt;&gt;"",_xlpm.MyAuditVal,_xlpm.MacVal&lt;&gt;"",_xlpm.MacVal,_xlpm.CSVVal&lt;&gt;"",_xlpm.CSVVal
)),"")</f>
        <v/>
      </c>
      <c r="I396" s="2" t="str">
        <f>_xlfn.XLOOKUP(A396,Output_Mac!A:A,Output_Mac!I:I,"")</f>
        <v/>
      </c>
      <c r="J396" s="2" t="str" cm="1">
        <f t="array" ref="J396">IFERROR(_xlfn.LET(
_xlpm.CSVVal,_xlfn.XLOOKUP($A396,CSV!$A:$A,CSV!I:I,""),
_xlpm.MacVal,_xlfn.XLOOKUP($A396,Output_Mac!$A:$A,Output_Mac!J:J,""),
_xlpm.MyAuditVal,_xlfn.XLOOKUP($A396,My_Audit!$A:$A,My_Audit!I:I,""),
_xlfn.IFS(_xlpm.MyAuditVal&lt;&gt;"",UPPER(_xlpm.MyAuditVal),_xlpm.MacVal&lt;&gt;"",_xlpm.MacVal,_xlpm.CSVVal&lt;&gt;"",_xlpm.CSVVal
)),"")</f>
        <v/>
      </c>
      <c r="K396" s="2" t="str" cm="1">
        <f t="array" ref="K396">IFERROR(_xlfn.LET(
_xlpm.CSVVal,_xlfn.XLOOKUP($A396,CSV!$A:$A,CSV!K:K,""),
_xlpm.MacVal,_xlfn.XLOOKUP($A396,Output_Mac!$A:$A,Output_Mac!K:K,""),
_xlpm.MyAuditVal,_xlfn.XLOOKUP($A396,My_Audit!$A:$A,My_Audit!J:J,""),
_xlfn.IFS(_xlpm.MyAuditVal&lt;&gt;"",UPPER(_xlpm.MyAuditVal),_xlpm.MacVal&lt;&gt;"",_xlpm.MacVal,_xlpm.CSVVal&lt;&gt;"",_xlpm.CSVVal
)),"")</f>
        <v/>
      </c>
      <c r="L396" s="2" t="str" cm="1">
        <f t="array" ref="L396">IFERROR(_xlfn.LET(
_xlpm.CSVVal,_xlfn.XLOOKUP($A396,CSV!$A:$A,CSV!P:P,""),
_xlpm.MacVal,_xlfn.XLOOKUP($A396,Output_Mac!$A:$A,Output_Mac!L:L,""),
_xlpm.MyAuditVal,_xlfn.XLOOKUP($A396,My_Audit!$A:$A,My_Audit!K:K,""),
_xlfn.IFS(_xlpm.MyAuditVal&lt;&gt;"",UPPER(_xlpm.MyAuditVal),_xlpm.MacVal&lt;&gt;"",_xlpm.MacVal,_xlpm.CSVVal&lt;&gt;"",_xlpm.CSVVal
)),"")</f>
        <v/>
      </c>
      <c r="M396" s="2" t="str" cm="1">
        <f t="array" ref="M396">IFERROR(_xlfn.LET(
_xlpm.CSVVal,_xlfn.XLOOKUP($A396,CSV!$A:$A,CSV!Q:Q,""),
_xlpm.MacVal,_xlfn.XLOOKUP($A396,Output_Mac!$A:$A,Output_Mac!M:M,""),
_xlpm.MyAuditVal,_xlfn.XLOOKUP($A396,My_Audit!$A:$A,My_Audit!L:L,""),
_xlfn.IFS(_xlpm.MyAuditVal&lt;&gt;"",UPPER(_xlpm.MyAuditVal),_xlpm.MacVal&lt;&gt;"",_xlpm.MacVal,_xlpm.CSVVal&lt;&gt;"",_xlpm.CSVVal
)),"")</f>
        <v/>
      </c>
      <c r="O396" s="2" t="str">
        <f>_xlfn.LET(
    _xlpm.CSVVal, _xlfn.XLOOKUP($A396, CSV!$A:$A, CSV!AF:AF, ""),
    _xlpm.MacVal, _xlfn.XLOOKUP($A396, Output_Mac!$A:$A, Output_Mac!S:S, ""),
    _xlpm.MyAuditVal, _xlfn.XLOOKUP($A396, My_Audit!$A:$A, My_Audit!P:P, ""),
    _xlfn.TEXTJOIN(", ", TRUE, _xlpm.MyAuditVal, _xlpm.MacVal, _xlpm.CSVVal)
)</f>
        <v/>
      </c>
      <c r="P396" s="2" t="str" cm="1">
        <f t="array" ref="P396">IFERROR(_xlfn.LET(
_xlpm.CSVVal,_xlfn.XLOOKUP($A396,CSV!$A:$A,CSV!AG:AG,""),
_xlpm.MacVal,_xlfn.XLOOKUP($A396,Output_Mac!$A:$A,Output_Mac!T:T,""),
_xlpm.MyAuditVal,_xlfn.XLOOKUP($A396,My_Audit!$A:$A,My_Audit!Q:Q,""),
_xlfn.IFS(_xlpm.MyAuditVal&lt;&gt;"",UPPER(_xlpm.MyAuditVal),_xlpm.MacVal&lt;&gt;"",_xlpm.MacVal,_xlpm.CSVVal&lt;&gt;"",_xlpm.CSVVal
)),"No")</f>
        <v>No</v>
      </c>
      <c r="Q396" s="2" t="str" cm="1">
        <f t="array" ref="Q396">IFERROR(_xlfn.LET(
_xlpm.CSVVal,_xlfn.XLOOKUP($A396,CSV!$A:$A,CSV!AH:AH,""),
_xlpm.MacVal,_xlfn.XLOOKUP($A396,Output_Mac!$A:$A,Output_Mac!U:U,""),
_xlpm.MyAuditVal,_xlfn.XLOOKUP($A396,My_Audit!$A:$A,My_Audit!R:R,""),
_xlfn.IFS(_xlpm.MyAuditVal&lt;&gt;"",UPPER(_xlpm.MyAuditVal),_xlpm.MacVal&lt;&gt;"",_xlpm.MacVal,_xlpm.CSVVal&lt;&gt;"",_xlpm.CSVVal
)),"")</f>
        <v/>
      </c>
    </row>
    <row r="397" spans="1:17">
      <c r="A397" s="2" t="str">
        <f>_xlfn.TEXTJOIN("",TRUE,Input!$B$2,ROW(My_Audit!A396))</f>
        <v>XX396</v>
      </c>
      <c r="B397" s="2" t="str">
        <f>_xlfn.TEXTJOIN("-",TRUE,"ITD",Input!$A$2,A397)</f>
        <v>ITD-SHRXXX-XX396</v>
      </c>
      <c r="C397" s="2" t="str" cm="1">
        <f t="array" ref="C397">IFERROR(_xlfn.LET(
_xlpm.CSVVal,_xlfn.XLOOKUP($A397,CSV!$A:$A,CSV!B:B,""),
_xlpm.MacVal,_xlfn.XLOOKUP($A397,Output_Mac!$A:$A,Output_Mac!B:B,""),
_xlpm.MyAuditVal,_xlfn.XLOOKUP($A397,My_Audit!$A:$A,My_Audit!B:B,""),
_xlfn.IFS(_xlpm.MyAuditVal&lt;&gt;"",UPPER(_xlpm.MyAuditVal),_xlpm.MacVal&lt;&gt;"",_xlpm.MacVal,_xlpm.CSVVal&lt;&gt;"",_xlpm.CSVVal
)),"")</f>
        <v/>
      </c>
      <c r="D397" s="2" t="str" cm="1">
        <f t="array" ref="D397">IFERROR(_xlfn.LET(
_xlpm.CSVVal,_xlfn.XLOOKUP($A397,CSV!$A:$A,CSV!D:D,""),
_xlpm.MacVal,_xlfn.XLOOKUP($A397,Output_Mac!$A:$A,Output_Mac!C:C,""),
_xlpm.MyAuditVal,_xlfn.XLOOKUP($A397,My_Audit!$A:$A,My_Audit!C:C,""),
_xlfn.IFS(_xlpm.MyAuditVal&lt;&gt;"",_xlpm.MyAuditVal,_xlpm.MacVal&lt;&gt;"",_xlpm.MacVal,_xlpm.CSVVal&lt;&gt;"",_xlpm.CSVVal
)),"")</f>
        <v/>
      </c>
      <c r="E397" s="2" t="str">
        <f>_xlfn.XLOOKUP(A397,My_Audit!A:A,My_Audit!D:D,"")&amp;""</f>
        <v/>
      </c>
      <c r="F397" s="2" t="str" cm="1">
        <f t="array" ref="F397">IFERROR(_xlfn.LET(
_xlpm.CSVVal,_xlfn.XLOOKUP($A397,CSV!$A:$A,CSV!F:F,""),
_xlpm.MacVal,_xlfn.XLOOKUP($A397,Output_Mac!$A:$A,Output_Mac!E:E,""),
_xlpm.MyAuditVal,_xlfn.XLOOKUP($A397,My_Audit!$A:$A,My_Audit!E:E,""),
_xlfn.IFS(_xlpm.MyAuditVal&lt;&gt;"",_xlpm.MyAuditVal,_xlpm.MacVal&lt;&gt;"",_xlpm.MacVal,_xlpm.CSVVal&lt;&gt;"",_xlpm.CSVVal
)),"")</f>
        <v/>
      </c>
      <c r="G397" s="2" t="str" cm="1">
        <f t="array" ref="G397">IFERROR(_xlfn.LET(
_xlpm.CSVVal,_xlfn.XLOOKUP($A397,CSV!$A:$A,CSV!G:G,""),
_xlpm.MacVal,_xlfn.XLOOKUP($A397,Output_Mac!$A:$A,Output_Mac!F:F,""),
_xlpm.MyAuditVal,_xlfn.XLOOKUP($A397,My_Audit!$A:$A,My_Audit!F:F,""),
_xlfn.IFS(_xlpm.MyAuditVal&lt;&gt;"",_xlpm.MyAuditVal,_xlpm.MacVal&lt;&gt;"",_xlpm.MacVal,_xlpm.CSVVal&lt;&gt;"",PROPER(_xlpm.CSVVal)
)),"")</f>
        <v/>
      </c>
      <c r="H397" s="2" t="str" cm="1">
        <f t="array" ref="H397">IFERROR(_xlfn.LET(
_xlpm.CSVVal,_xlfn.XLOOKUP($A397,CSV!$A:$A,CSV!H:H,""),
_xlpm.MacVal,_xlfn.XLOOKUP($A397,Output_Mac!$A:$A,Output_Mac!H:H,""),
_xlpm.MyAuditVal,_xlfn.XLOOKUP($A397,My_Audit!$A:$A,My_Audit!G:G,""),
_xlfn.IFS(_xlpm.MyAuditVal&lt;&gt;"",_xlpm.MyAuditVal,_xlpm.MacVal&lt;&gt;"",_xlpm.MacVal,_xlpm.CSVVal&lt;&gt;"",_xlpm.CSVVal
)),"")</f>
        <v/>
      </c>
      <c r="I397" s="2" t="str">
        <f>_xlfn.XLOOKUP(A397,Output_Mac!A:A,Output_Mac!I:I,"")</f>
        <v/>
      </c>
      <c r="J397" s="2" t="str" cm="1">
        <f t="array" ref="J397">IFERROR(_xlfn.LET(
_xlpm.CSVVal,_xlfn.XLOOKUP($A397,CSV!$A:$A,CSV!I:I,""),
_xlpm.MacVal,_xlfn.XLOOKUP($A397,Output_Mac!$A:$A,Output_Mac!J:J,""),
_xlpm.MyAuditVal,_xlfn.XLOOKUP($A397,My_Audit!$A:$A,My_Audit!I:I,""),
_xlfn.IFS(_xlpm.MyAuditVal&lt;&gt;"",UPPER(_xlpm.MyAuditVal),_xlpm.MacVal&lt;&gt;"",_xlpm.MacVal,_xlpm.CSVVal&lt;&gt;"",_xlpm.CSVVal
)),"")</f>
        <v/>
      </c>
      <c r="K397" s="2" t="str" cm="1">
        <f t="array" ref="K397">IFERROR(_xlfn.LET(
_xlpm.CSVVal,_xlfn.XLOOKUP($A397,CSV!$A:$A,CSV!K:K,""),
_xlpm.MacVal,_xlfn.XLOOKUP($A397,Output_Mac!$A:$A,Output_Mac!K:K,""),
_xlpm.MyAuditVal,_xlfn.XLOOKUP($A397,My_Audit!$A:$A,My_Audit!J:J,""),
_xlfn.IFS(_xlpm.MyAuditVal&lt;&gt;"",UPPER(_xlpm.MyAuditVal),_xlpm.MacVal&lt;&gt;"",_xlpm.MacVal,_xlpm.CSVVal&lt;&gt;"",_xlpm.CSVVal
)),"")</f>
        <v/>
      </c>
      <c r="L397" s="2" t="str" cm="1">
        <f t="array" ref="L397">IFERROR(_xlfn.LET(
_xlpm.CSVVal,_xlfn.XLOOKUP($A397,CSV!$A:$A,CSV!P:P,""),
_xlpm.MacVal,_xlfn.XLOOKUP($A397,Output_Mac!$A:$A,Output_Mac!L:L,""),
_xlpm.MyAuditVal,_xlfn.XLOOKUP($A397,My_Audit!$A:$A,My_Audit!K:K,""),
_xlfn.IFS(_xlpm.MyAuditVal&lt;&gt;"",UPPER(_xlpm.MyAuditVal),_xlpm.MacVal&lt;&gt;"",_xlpm.MacVal,_xlpm.CSVVal&lt;&gt;"",_xlpm.CSVVal
)),"")</f>
        <v/>
      </c>
      <c r="M397" s="2" t="str" cm="1">
        <f t="array" ref="M397">IFERROR(_xlfn.LET(
_xlpm.CSVVal,_xlfn.XLOOKUP($A397,CSV!$A:$A,CSV!Q:Q,""),
_xlpm.MacVal,_xlfn.XLOOKUP($A397,Output_Mac!$A:$A,Output_Mac!M:M,""),
_xlpm.MyAuditVal,_xlfn.XLOOKUP($A397,My_Audit!$A:$A,My_Audit!L:L,""),
_xlfn.IFS(_xlpm.MyAuditVal&lt;&gt;"",UPPER(_xlpm.MyAuditVal),_xlpm.MacVal&lt;&gt;"",_xlpm.MacVal,_xlpm.CSVVal&lt;&gt;"",_xlpm.CSVVal
)),"")</f>
        <v/>
      </c>
      <c r="O397" s="2" t="str">
        <f>_xlfn.LET(
    _xlpm.CSVVal, _xlfn.XLOOKUP($A397, CSV!$A:$A, CSV!AF:AF, ""),
    _xlpm.MacVal, _xlfn.XLOOKUP($A397, Output_Mac!$A:$A, Output_Mac!S:S, ""),
    _xlpm.MyAuditVal, _xlfn.XLOOKUP($A397, My_Audit!$A:$A, My_Audit!P:P, ""),
    _xlfn.TEXTJOIN(", ", TRUE, _xlpm.MyAuditVal, _xlpm.MacVal, _xlpm.CSVVal)
)</f>
        <v/>
      </c>
      <c r="P397" s="2" t="str" cm="1">
        <f t="array" ref="P397">IFERROR(_xlfn.LET(
_xlpm.CSVVal,_xlfn.XLOOKUP($A397,CSV!$A:$A,CSV!AG:AG,""),
_xlpm.MacVal,_xlfn.XLOOKUP($A397,Output_Mac!$A:$A,Output_Mac!T:T,""),
_xlpm.MyAuditVal,_xlfn.XLOOKUP($A397,My_Audit!$A:$A,My_Audit!Q:Q,""),
_xlfn.IFS(_xlpm.MyAuditVal&lt;&gt;"",UPPER(_xlpm.MyAuditVal),_xlpm.MacVal&lt;&gt;"",_xlpm.MacVal,_xlpm.CSVVal&lt;&gt;"",_xlpm.CSVVal
)),"No")</f>
        <v>No</v>
      </c>
      <c r="Q397" s="2" t="str" cm="1">
        <f t="array" ref="Q397">IFERROR(_xlfn.LET(
_xlpm.CSVVal,_xlfn.XLOOKUP($A397,CSV!$A:$A,CSV!AH:AH,""),
_xlpm.MacVal,_xlfn.XLOOKUP($A397,Output_Mac!$A:$A,Output_Mac!U:U,""),
_xlpm.MyAuditVal,_xlfn.XLOOKUP($A397,My_Audit!$A:$A,My_Audit!R:R,""),
_xlfn.IFS(_xlpm.MyAuditVal&lt;&gt;"",UPPER(_xlpm.MyAuditVal),_xlpm.MacVal&lt;&gt;"",_xlpm.MacVal,_xlpm.CSVVal&lt;&gt;"",_xlpm.CSVVal
)),"")</f>
        <v/>
      </c>
    </row>
    <row r="398" spans="1:17">
      <c r="A398" s="2" t="str">
        <f>_xlfn.TEXTJOIN("",TRUE,Input!$B$2,ROW(My_Audit!A397))</f>
        <v>XX397</v>
      </c>
      <c r="B398" s="2" t="str">
        <f>_xlfn.TEXTJOIN("-",TRUE,"ITD",Input!$A$2,A398)</f>
        <v>ITD-SHRXXX-XX397</v>
      </c>
      <c r="C398" s="2" t="str" cm="1">
        <f t="array" ref="C398">IFERROR(_xlfn.LET(
_xlpm.CSVVal,_xlfn.XLOOKUP($A398,CSV!$A:$A,CSV!B:B,""),
_xlpm.MacVal,_xlfn.XLOOKUP($A398,Output_Mac!$A:$A,Output_Mac!B:B,""),
_xlpm.MyAuditVal,_xlfn.XLOOKUP($A398,My_Audit!$A:$A,My_Audit!B:B,""),
_xlfn.IFS(_xlpm.MyAuditVal&lt;&gt;"",UPPER(_xlpm.MyAuditVal),_xlpm.MacVal&lt;&gt;"",_xlpm.MacVal,_xlpm.CSVVal&lt;&gt;"",_xlpm.CSVVal
)),"")</f>
        <v/>
      </c>
      <c r="D398" s="2" t="str" cm="1">
        <f t="array" ref="D398">IFERROR(_xlfn.LET(
_xlpm.CSVVal,_xlfn.XLOOKUP($A398,CSV!$A:$A,CSV!D:D,""),
_xlpm.MacVal,_xlfn.XLOOKUP($A398,Output_Mac!$A:$A,Output_Mac!C:C,""),
_xlpm.MyAuditVal,_xlfn.XLOOKUP($A398,My_Audit!$A:$A,My_Audit!C:C,""),
_xlfn.IFS(_xlpm.MyAuditVal&lt;&gt;"",_xlpm.MyAuditVal,_xlpm.MacVal&lt;&gt;"",_xlpm.MacVal,_xlpm.CSVVal&lt;&gt;"",_xlpm.CSVVal
)),"")</f>
        <v/>
      </c>
      <c r="E398" s="2" t="str">
        <f>_xlfn.XLOOKUP(A398,My_Audit!A:A,My_Audit!D:D,"")&amp;""</f>
        <v/>
      </c>
      <c r="F398" s="2" t="str" cm="1">
        <f t="array" ref="F398">IFERROR(_xlfn.LET(
_xlpm.CSVVal,_xlfn.XLOOKUP($A398,CSV!$A:$A,CSV!F:F,""),
_xlpm.MacVal,_xlfn.XLOOKUP($A398,Output_Mac!$A:$A,Output_Mac!E:E,""),
_xlpm.MyAuditVal,_xlfn.XLOOKUP($A398,My_Audit!$A:$A,My_Audit!E:E,""),
_xlfn.IFS(_xlpm.MyAuditVal&lt;&gt;"",_xlpm.MyAuditVal,_xlpm.MacVal&lt;&gt;"",_xlpm.MacVal,_xlpm.CSVVal&lt;&gt;"",_xlpm.CSVVal
)),"")</f>
        <v/>
      </c>
      <c r="G398" s="2" t="str" cm="1">
        <f t="array" ref="G398">IFERROR(_xlfn.LET(
_xlpm.CSVVal,_xlfn.XLOOKUP($A398,CSV!$A:$A,CSV!G:G,""),
_xlpm.MacVal,_xlfn.XLOOKUP($A398,Output_Mac!$A:$A,Output_Mac!F:F,""),
_xlpm.MyAuditVal,_xlfn.XLOOKUP($A398,My_Audit!$A:$A,My_Audit!F:F,""),
_xlfn.IFS(_xlpm.MyAuditVal&lt;&gt;"",_xlpm.MyAuditVal,_xlpm.MacVal&lt;&gt;"",_xlpm.MacVal,_xlpm.CSVVal&lt;&gt;"",PROPER(_xlpm.CSVVal)
)),"")</f>
        <v/>
      </c>
      <c r="H398" s="2" t="str" cm="1">
        <f t="array" ref="H398">IFERROR(_xlfn.LET(
_xlpm.CSVVal,_xlfn.XLOOKUP($A398,CSV!$A:$A,CSV!H:H,""),
_xlpm.MacVal,_xlfn.XLOOKUP($A398,Output_Mac!$A:$A,Output_Mac!H:H,""),
_xlpm.MyAuditVal,_xlfn.XLOOKUP($A398,My_Audit!$A:$A,My_Audit!G:G,""),
_xlfn.IFS(_xlpm.MyAuditVal&lt;&gt;"",_xlpm.MyAuditVal,_xlpm.MacVal&lt;&gt;"",_xlpm.MacVal,_xlpm.CSVVal&lt;&gt;"",_xlpm.CSVVal
)),"")</f>
        <v/>
      </c>
      <c r="I398" s="2" t="str">
        <f>_xlfn.XLOOKUP(A398,Output_Mac!A:A,Output_Mac!I:I,"")</f>
        <v/>
      </c>
      <c r="J398" s="2" t="str" cm="1">
        <f t="array" ref="J398">IFERROR(_xlfn.LET(
_xlpm.CSVVal,_xlfn.XLOOKUP($A398,CSV!$A:$A,CSV!I:I,""),
_xlpm.MacVal,_xlfn.XLOOKUP($A398,Output_Mac!$A:$A,Output_Mac!J:J,""),
_xlpm.MyAuditVal,_xlfn.XLOOKUP($A398,My_Audit!$A:$A,My_Audit!I:I,""),
_xlfn.IFS(_xlpm.MyAuditVal&lt;&gt;"",UPPER(_xlpm.MyAuditVal),_xlpm.MacVal&lt;&gt;"",_xlpm.MacVal,_xlpm.CSVVal&lt;&gt;"",_xlpm.CSVVal
)),"")</f>
        <v/>
      </c>
      <c r="K398" s="2" t="str" cm="1">
        <f t="array" ref="K398">IFERROR(_xlfn.LET(
_xlpm.CSVVal,_xlfn.XLOOKUP($A398,CSV!$A:$A,CSV!K:K,""),
_xlpm.MacVal,_xlfn.XLOOKUP($A398,Output_Mac!$A:$A,Output_Mac!K:K,""),
_xlpm.MyAuditVal,_xlfn.XLOOKUP($A398,My_Audit!$A:$A,My_Audit!J:J,""),
_xlfn.IFS(_xlpm.MyAuditVal&lt;&gt;"",UPPER(_xlpm.MyAuditVal),_xlpm.MacVal&lt;&gt;"",_xlpm.MacVal,_xlpm.CSVVal&lt;&gt;"",_xlpm.CSVVal
)),"")</f>
        <v/>
      </c>
      <c r="L398" s="2" t="str" cm="1">
        <f t="array" ref="L398">IFERROR(_xlfn.LET(
_xlpm.CSVVal,_xlfn.XLOOKUP($A398,CSV!$A:$A,CSV!P:P,""),
_xlpm.MacVal,_xlfn.XLOOKUP($A398,Output_Mac!$A:$A,Output_Mac!L:L,""),
_xlpm.MyAuditVal,_xlfn.XLOOKUP($A398,My_Audit!$A:$A,My_Audit!K:K,""),
_xlfn.IFS(_xlpm.MyAuditVal&lt;&gt;"",UPPER(_xlpm.MyAuditVal),_xlpm.MacVal&lt;&gt;"",_xlpm.MacVal,_xlpm.CSVVal&lt;&gt;"",_xlpm.CSVVal
)),"")</f>
        <v/>
      </c>
      <c r="M398" s="2" t="str" cm="1">
        <f t="array" ref="M398">IFERROR(_xlfn.LET(
_xlpm.CSVVal,_xlfn.XLOOKUP($A398,CSV!$A:$A,CSV!Q:Q,""),
_xlpm.MacVal,_xlfn.XLOOKUP($A398,Output_Mac!$A:$A,Output_Mac!M:M,""),
_xlpm.MyAuditVal,_xlfn.XLOOKUP($A398,My_Audit!$A:$A,My_Audit!L:L,""),
_xlfn.IFS(_xlpm.MyAuditVal&lt;&gt;"",UPPER(_xlpm.MyAuditVal),_xlpm.MacVal&lt;&gt;"",_xlpm.MacVal,_xlpm.CSVVal&lt;&gt;"",_xlpm.CSVVal
)),"")</f>
        <v/>
      </c>
      <c r="O398" s="2" t="str">
        <f>_xlfn.LET(
    _xlpm.CSVVal, _xlfn.XLOOKUP($A398, CSV!$A:$A, CSV!AF:AF, ""),
    _xlpm.MacVal, _xlfn.XLOOKUP($A398, Output_Mac!$A:$A, Output_Mac!S:S, ""),
    _xlpm.MyAuditVal, _xlfn.XLOOKUP($A398, My_Audit!$A:$A, My_Audit!P:P, ""),
    _xlfn.TEXTJOIN(", ", TRUE, _xlpm.MyAuditVal, _xlpm.MacVal, _xlpm.CSVVal)
)</f>
        <v/>
      </c>
      <c r="P398" s="2" t="str" cm="1">
        <f t="array" ref="P398">IFERROR(_xlfn.LET(
_xlpm.CSVVal,_xlfn.XLOOKUP($A398,CSV!$A:$A,CSV!AG:AG,""),
_xlpm.MacVal,_xlfn.XLOOKUP($A398,Output_Mac!$A:$A,Output_Mac!T:T,""),
_xlpm.MyAuditVal,_xlfn.XLOOKUP($A398,My_Audit!$A:$A,My_Audit!Q:Q,""),
_xlfn.IFS(_xlpm.MyAuditVal&lt;&gt;"",UPPER(_xlpm.MyAuditVal),_xlpm.MacVal&lt;&gt;"",_xlpm.MacVal,_xlpm.CSVVal&lt;&gt;"",_xlpm.CSVVal
)),"No")</f>
        <v>No</v>
      </c>
      <c r="Q398" s="2" t="str" cm="1">
        <f t="array" ref="Q398">IFERROR(_xlfn.LET(
_xlpm.CSVVal,_xlfn.XLOOKUP($A398,CSV!$A:$A,CSV!AH:AH,""),
_xlpm.MacVal,_xlfn.XLOOKUP($A398,Output_Mac!$A:$A,Output_Mac!U:U,""),
_xlpm.MyAuditVal,_xlfn.XLOOKUP($A398,My_Audit!$A:$A,My_Audit!R:R,""),
_xlfn.IFS(_xlpm.MyAuditVal&lt;&gt;"",UPPER(_xlpm.MyAuditVal),_xlpm.MacVal&lt;&gt;"",_xlpm.MacVal,_xlpm.CSVVal&lt;&gt;"",_xlpm.CSVVal
)),"")</f>
        <v/>
      </c>
    </row>
    <row r="399" spans="1:17">
      <c r="A399" s="2" t="str">
        <f>_xlfn.TEXTJOIN("",TRUE,Input!$B$2,ROW(My_Audit!A398))</f>
        <v>XX398</v>
      </c>
      <c r="B399" s="2" t="str">
        <f>_xlfn.TEXTJOIN("-",TRUE,"ITD",Input!$A$2,A399)</f>
        <v>ITD-SHRXXX-XX398</v>
      </c>
      <c r="C399" s="2" t="str" cm="1">
        <f t="array" ref="C399">IFERROR(_xlfn.LET(
_xlpm.CSVVal,_xlfn.XLOOKUP($A399,CSV!$A:$A,CSV!B:B,""),
_xlpm.MacVal,_xlfn.XLOOKUP($A399,Output_Mac!$A:$A,Output_Mac!B:B,""),
_xlpm.MyAuditVal,_xlfn.XLOOKUP($A399,My_Audit!$A:$A,My_Audit!B:B,""),
_xlfn.IFS(_xlpm.MyAuditVal&lt;&gt;"",UPPER(_xlpm.MyAuditVal),_xlpm.MacVal&lt;&gt;"",_xlpm.MacVal,_xlpm.CSVVal&lt;&gt;"",_xlpm.CSVVal
)),"")</f>
        <v/>
      </c>
      <c r="D399" s="2" t="str" cm="1">
        <f t="array" ref="D399">IFERROR(_xlfn.LET(
_xlpm.CSVVal,_xlfn.XLOOKUP($A399,CSV!$A:$A,CSV!D:D,""),
_xlpm.MacVal,_xlfn.XLOOKUP($A399,Output_Mac!$A:$A,Output_Mac!C:C,""),
_xlpm.MyAuditVal,_xlfn.XLOOKUP($A399,My_Audit!$A:$A,My_Audit!C:C,""),
_xlfn.IFS(_xlpm.MyAuditVal&lt;&gt;"",_xlpm.MyAuditVal,_xlpm.MacVal&lt;&gt;"",_xlpm.MacVal,_xlpm.CSVVal&lt;&gt;"",_xlpm.CSVVal
)),"")</f>
        <v/>
      </c>
      <c r="E399" s="2" t="str">
        <f>_xlfn.XLOOKUP(A399,My_Audit!A:A,My_Audit!D:D,"")&amp;""</f>
        <v/>
      </c>
      <c r="F399" s="2" t="str" cm="1">
        <f t="array" ref="F399">IFERROR(_xlfn.LET(
_xlpm.CSVVal,_xlfn.XLOOKUP($A399,CSV!$A:$A,CSV!F:F,""),
_xlpm.MacVal,_xlfn.XLOOKUP($A399,Output_Mac!$A:$A,Output_Mac!E:E,""),
_xlpm.MyAuditVal,_xlfn.XLOOKUP($A399,My_Audit!$A:$A,My_Audit!E:E,""),
_xlfn.IFS(_xlpm.MyAuditVal&lt;&gt;"",_xlpm.MyAuditVal,_xlpm.MacVal&lt;&gt;"",_xlpm.MacVal,_xlpm.CSVVal&lt;&gt;"",_xlpm.CSVVal
)),"")</f>
        <v/>
      </c>
      <c r="G399" s="2" t="str" cm="1">
        <f t="array" ref="G399">IFERROR(_xlfn.LET(
_xlpm.CSVVal,_xlfn.XLOOKUP($A399,CSV!$A:$A,CSV!G:G,""),
_xlpm.MacVal,_xlfn.XLOOKUP($A399,Output_Mac!$A:$A,Output_Mac!F:F,""),
_xlpm.MyAuditVal,_xlfn.XLOOKUP($A399,My_Audit!$A:$A,My_Audit!F:F,""),
_xlfn.IFS(_xlpm.MyAuditVal&lt;&gt;"",_xlpm.MyAuditVal,_xlpm.MacVal&lt;&gt;"",_xlpm.MacVal,_xlpm.CSVVal&lt;&gt;"",PROPER(_xlpm.CSVVal)
)),"")</f>
        <v/>
      </c>
      <c r="H399" s="2" t="str" cm="1">
        <f t="array" ref="H399">IFERROR(_xlfn.LET(
_xlpm.CSVVal,_xlfn.XLOOKUP($A399,CSV!$A:$A,CSV!H:H,""),
_xlpm.MacVal,_xlfn.XLOOKUP($A399,Output_Mac!$A:$A,Output_Mac!H:H,""),
_xlpm.MyAuditVal,_xlfn.XLOOKUP($A399,My_Audit!$A:$A,My_Audit!G:G,""),
_xlfn.IFS(_xlpm.MyAuditVal&lt;&gt;"",_xlpm.MyAuditVal,_xlpm.MacVal&lt;&gt;"",_xlpm.MacVal,_xlpm.CSVVal&lt;&gt;"",_xlpm.CSVVal
)),"")</f>
        <v/>
      </c>
      <c r="I399" s="2" t="str">
        <f>_xlfn.XLOOKUP(A399,Output_Mac!A:A,Output_Mac!I:I,"")</f>
        <v/>
      </c>
      <c r="J399" s="2" t="str" cm="1">
        <f t="array" ref="J399">IFERROR(_xlfn.LET(
_xlpm.CSVVal,_xlfn.XLOOKUP($A399,CSV!$A:$A,CSV!I:I,""),
_xlpm.MacVal,_xlfn.XLOOKUP($A399,Output_Mac!$A:$A,Output_Mac!J:J,""),
_xlpm.MyAuditVal,_xlfn.XLOOKUP($A399,My_Audit!$A:$A,My_Audit!I:I,""),
_xlfn.IFS(_xlpm.MyAuditVal&lt;&gt;"",UPPER(_xlpm.MyAuditVal),_xlpm.MacVal&lt;&gt;"",_xlpm.MacVal,_xlpm.CSVVal&lt;&gt;"",_xlpm.CSVVal
)),"")</f>
        <v/>
      </c>
      <c r="K399" s="2" t="str" cm="1">
        <f t="array" ref="K399">IFERROR(_xlfn.LET(
_xlpm.CSVVal,_xlfn.XLOOKUP($A399,CSV!$A:$A,CSV!K:K,""),
_xlpm.MacVal,_xlfn.XLOOKUP($A399,Output_Mac!$A:$A,Output_Mac!K:K,""),
_xlpm.MyAuditVal,_xlfn.XLOOKUP($A399,My_Audit!$A:$A,My_Audit!J:J,""),
_xlfn.IFS(_xlpm.MyAuditVal&lt;&gt;"",UPPER(_xlpm.MyAuditVal),_xlpm.MacVal&lt;&gt;"",_xlpm.MacVal,_xlpm.CSVVal&lt;&gt;"",_xlpm.CSVVal
)),"")</f>
        <v/>
      </c>
      <c r="L399" s="2" t="str" cm="1">
        <f t="array" ref="L399">IFERROR(_xlfn.LET(
_xlpm.CSVVal,_xlfn.XLOOKUP($A399,CSV!$A:$A,CSV!P:P,""),
_xlpm.MacVal,_xlfn.XLOOKUP($A399,Output_Mac!$A:$A,Output_Mac!L:L,""),
_xlpm.MyAuditVal,_xlfn.XLOOKUP($A399,My_Audit!$A:$A,My_Audit!K:K,""),
_xlfn.IFS(_xlpm.MyAuditVal&lt;&gt;"",UPPER(_xlpm.MyAuditVal),_xlpm.MacVal&lt;&gt;"",_xlpm.MacVal,_xlpm.CSVVal&lt;&gt;"",_xlpm.CSVVal
)),"")</f>
        <v/>
      </c>
      <c r="M399" s="2" t="str" cm="1">
        <f t="array" ref="M399">IFERROR(_xlfn.LET(
_xlpm.CSVVal,_xlfn.XLOOKUP($A399,CSV!$A:$A,CSV!Q:Q,""),
_xlpm.MacVal,_xlfn.XLOOKUP($A399,Output_Mac!$A:$A,Output_Mac!M:M,""),
_xlpm.MyAuditVal,_xlfn.XLOOKUP($A399,My_Audit!$A:$A,My_Audit!L:L,""),
_xlfn.IFS(_xlpm.MyAuditVal&lt;&gt;"",UPPER(_xlpm.MyAuditVal),_xlpm.MacVal&lt;&gt;"",_xlpm.MacVal,_xlpm.CSVVal&lt;&gt;"",_xlpm.CSVVal
)),"")</f>
        <v/>
      </c>
      <c r="O399" s="2" t="str">
        <f>_xlfn.LET(
    _xlpm.CSVVal, _xlfn.XLOOKUP($A399, CSV!$A:$A, CSV!AF:AF, ""),
    _xlpm.MacVal, _xlfn.XLOOKUP($A399, Output_Mac!$A:$A, Output_Mac!S:S, ""),
    _xlpm.MyAuditVal, _xlfn.XLOOKUP($A399, My_Audit!$A:$A, My_Audit!P:P, ""),
    _xlfn.TEXTJOIN(", ", TRUE, _xlpm.MyAuditVal, _xlpm.MacVal, _xlpm.CSVVal)
)</f>
        <v/>
      </c>
      <c r="P399" s="2" t="str" cm="1">
        <f t="array" ref="P399">IFERROR(_xlfn.LET(
_xlpm.CSVVal,_xlfn.XLOOKUP($A399,CSV!$A:$A,CSV!AG:AG,""),
_xlpm.MacVal,_xlfn.XLOOKUP($A399,Output_Mac!$A:$A,Output_Mac!T:T,""),
_xlpm.MyAuditVal,_xlfn.XLOOKUP($A399,My_Audit!$A:$A,My_Audit!Q:Q,""),
_xlfn.IFS(_xlpm.MyAuditVal&lt;&gt;"",UPPER(_xlpm.MyAuditVal),_xlpm.MacVal&lt;&gt;"",_xlpm.MacVal,_xlpm.CSVVal&lt;&gt;"",_xlpm.CSVVal
)),"No")</f>
        <v>No</v>
      </c>
      <c r="Q399" s="2" t="str" cm="1">
        <f t="array" ref="Q399">IFERROR(_xlfn.LET(
_xlpm.CSVVal,_xlfn.XLOOKUP($A399,CSV!$A:$A,CSV!AH:AH,""),
_xlpm.MacVal,_xlfn.XLOOKUP($A399,Output_Mac!$A:$A,Output_Mac!U:U,""),
_xlpm.MyAuditVal,_xlfn.XLOOKUP($A399,My_Audit!$A:$A,My_Audit!R:R,""),
_xlfn.IFS(_xlpm.MyAuditVal&lt;&gt;"",UPPER(_xlpm.MyAuditVal),_xlpm.MacVal&lt;&gt;"",_xlpm.MacVal,_xlpm.CSVVal&lt;&gt;"",_xlpm.CSVVal
)),"")</f>
        <v/>
      </c>
    </row>
    <row r="400" spans="1:17">
      <c r="A400" s="2" t="str">
        <f>_xlfn.TEXTJOIN("",TRUE,Input!$B$2,ROW(My_Audit!A399))</f>
        <v>XX399</v>
      </c>
      <c r="B400" s="2" t="str">
        <f>_xlfn.TEXTJOIN("-",TRUE,"ITD",Input!$A$2,A400)</f>
        <v>ITD-SHRXXX-XX399</v>
      </c>
      <c r="C400" s="2" t="str" cm="1">
        <f t="array" ref="C400">IFERROR(_xlfn.LET(
_xlpm.CSVVal,_xlfn.XLOOKUP($A400,CSV!$A:$A,CSV!B:B,""),
_xlpm.MacVal,_xlfn.XLOOKUP($A400,Output_Mac!$A:$A,Output_Mac!B:B,""),
_xlpm.MyAuditVal,_xlfn.XLOOKUP($A400,My_Audit!$A:$A,My_Audit!B:B,""),
_xlfn.IFS(_xlpm.MyAuditVal&lt;&gt;"",UPPER(_xlpm.MyAuditVal),_xlpm.MacVal&lt;&gt;"",_xlpm.MacVal,_xlpm.CSVVal&lt;&gt;"",_xlpm.CSVVal
)),"")</f>
        <v/>
      </c>
      <c r="D400" s="2" t="str" cm="1">
        <f t="array" ref="D400">IFERROR(_xlfn.LET(
_xlpm.CSVVal,_xlfn.XLOOKUP($A400,CSV!$A:$A,CSV!D:D,""),
_xlpm.MacVal,_xlfn.XLOOKUP($A400,Output_Mac!$A:$A,Output_Mac!C:C,""),
_xlpm.MyAuditVal,_xlfn.XLOOKUP($A400,My_Audit!$A:$A,My_Audit!C:C,""),
_xlfn.IFS(_xlpm.MyAuditVal&lt;&gt;"",_xlpm.MyAuditVal,_xlpm.MacVal&lt;&gt;"",_xlpm.MacVal,_xlpm.CSVVal&lt;&gt;"",_xlpm.CSVVal
)),"")</f>
        <v/>
      </c>
      <c r="E400" s="2" t="str">
        <f>_xlfn.XLOOKUP(A400,My_Audit!A:A,My_Audit!D:D,"")&amp;""</f>
        <v/>
      </c>
      <c r="F400" s="2" t="str" cm="1">
        <f t="array" ref="F400">IFERROR(_xlfn.LET(
_xlpm.CSVVal,_xlfn.XLOOKUP($A400,CSV!$A:$A,CSV!F:F,""),
_xlpm.MacVal,_xlfn.XLOOKUP($A400,Output_Mac!$A:$A,Output_Mac!E:E,""),
_xlpm.MyAuditVal,_xlfn.XLOOKUP($A400,My_Audit!$A:$A,My_Audit!E:E,""),
_xlfn.IFS(_xlpm.MyAuditVal&lt;&gt;"",_xlpm.MyAuditVal,_xlpm.MacVal&lt;&gt;"",_xlpm.MacVal,_xlpm.CSVVal&lt;&gt;"",_xlpm.CSVVal
)),"")</f>
        <v/>
      </c>
      <c r="G400" s="2" t="str" cm="1">
        <f t="array" ref="G400">IFERROR(_xlfn.LET(
_xlpm.CSVVal,_xlfn.XLOOKUP($A400,CSV!$A:$A,CSV!G:G,""),
_xlpm.MacVal,_xlfn.XLOOKUP($A400,Output_Mac!$A:$A,Output_Mac!F:F,""),
_xlpm.MyAuditVal,_xlfn.XLOOKUP($A400,My_Audit!$A:$A,My_Audit!F:F,""),
_xlfn.IFS(_xlpm.MyAuditVal&lt;&gt;"",_xlpm.MyAuditVal,_xlpm.MacVal&lt;&gt;"",_xlpm.MacVal,_xlpm.CSVVal&lt;&gt;"",PROPER(_xlpm.CSVVal)
)),"")</f>
        <v/>
      </c>
      <c r="H400" s="2" t="str" cm="1">
        <f t="array" ref="H400">IFERROR(_xlfn.LET(
_xlpm.CSVVal,_xlfn.XLOOKUP($A400,CSV!$A:$A,CSV!H:H,""),
_xlpm.MacVal,_xlfn.XLOOKUP($A400,Output_Mac!$A:$A,Output_Mac!H:H,""),
_xlpm.MyAuditVal,_xlfn.XLOOKUP($A400,My_Audit!$A:$A,My_Audit!G:G,""),
_xlfn.IFS(_xlpm.MyAuditVal&lt;&gt;"",_xlpm.MyAuditVal,_xlpm.MacVal&lt;&gt;"",_xlpm.MacVal,_xlpm.CSVVal&lt;&gt;"",_xlpm.CSVVal
)),"")</f>
        <v/>
      </c>
      <c r="I400" s="2" t="str">
        <f>_xlfn.XLOOKUP(A400,Output_Mac!A:A,Output_Mac!I:I,"")</f>
        <v/>
      </c>
      <c r="J400" s="2" t="str" cm="1">
        <f t="array" ref="J400">IFERROR(_xlfn.LET(
_xlpm.CSVVal,_xlfn.XLOOKUP($A400,CSV!$A:$A,CSV!I:I,""),
_xlpm.MacVal,_xlfn.XLOOKUP($A400,Output_Mac!$A:$A,Output_Mac!J:J,""),
_xlpm.MyAuditVal,_xlfn.XLOOKUP($A400,My_Audit!$A:$A,My_Audit!I:I,""),
_xlfn.IFS(_xlpm.MyAuditVal&lt;&gt;"",UPPER(_xlpm.MyAuditVal),_xlpm.MacVal&lt;&gt;"",_xlpm.MacVal,_xlpm.CSVVal&lt;&gt;"",_xlpm.CSVVal
)),"")</f>
        <v/>
      </c>
      <c r="K400" s="2" t="str" cm="1">
        <f t="array" ref="K400">IFERROR(_xlfn.LET(
_xlpm.CSVVal,_xlfn.XLOOKUP($A400,CSV!$A:$A,CSV!K:K,""),
_xlpm.MacVal,_xlfn.XLOOKUP($A400,Output_Mac!$A:$A,Output_Mac!K:K,""),
_xlpm.MyAuditVal,_xlfn.XLOOKUP($A400,My_Audit!$A:$A,My_Audit!J:J,""),
_xlfn.IFS(_xlpm.MyAuditVal&lt;&gt;"",UPPER(_xlpm.MyAuditVal),_xlpm.MacVal&lt;&gt;"",_xlpm.MacVal,_xlpm.CSVVal&lt;&gt;"",_xlpm.CSVVal
)),"")</f>
        <v/>
      </c>
      <c r="L400" s="2" t="str" cm="1">
        <f t="array" ref="L400">IFERROR(_xlfn.LET(
_xlpm.CSVVal,_xlfn.XLOOKUP($A400,CSV!$A:$A,CSV!P:P,""),
_xlpm.MacVal,_xlfn.XLOOKUP($A400,Output_Mac!$A:$A,Output_Mac!L:L,""),
_xlpm.MyAuditVal,_xlfn.XLOOKUP($A400,My_Audit!$A:$A,My_Audit!K:K,""),
_xlfn.IFS(_xlpm.MyAuditVal&lt;&gt;"",UPPER(_xlpm.MyAuditVal),_xlpm.MacVal&lt;&gt;"",_xlpm.MacVal,_xlpm.CSVVal&lt;&gt;"",_xlpm.CSVVal
)),"")</f>
        <v/>
      </c>
      <c r="M400" s="2" t="str" cm="1">
        <f t="array" ref="M400">IFERROR(_xlfn.LET(
_xlpm.CSVVal,_xlfn.XLOOKUP($A400,CSV!$A:$A,CSV!Q:Q,""),
_xlpm.MacVal,_xlfn.XLOOKUP($A400,Output_Mac!$A:$A,Output_Mac!M:M,""),
_xlpm.MyAuditVal,_xlfn.XLOOKUP($A400,My_Audit!$A:$A,My_Audit!L:L,""),
_xlfn.IFS(_xlpm.MyAuditVal&lt;&gt;"",UPPER(_xlpm.MyAuditVal),_xlpm.MacVal&lt;&gt;"",_xlpm.MacVal,_xlpm.CSVVal&lt;&gt;"",_xlpm.CSVVal
)),"")</f>
        <v/>
      </c>
      <c r="O400" s="2" t="str">
        <f>_xlfn.LET(
    _xlpm.CSVVal, _xlfn.XLOOKUP($A400, CSV!$A:$A, CSV!AF:AF, ""),
    _xlpm.MacVal, _xlfn.XLOOKUP($A400, Output_Mac!$A:$A, Output_Mac!S:S, ""),
    _xlpm.MyAuditVal, _xlfn.XLOOKUP($A400, My_Audit!$A:$A, My_Audit!P:P, ""),
    _xlfn.TEXTJOIN(", ", TRUE, _xlpm.MyAuditVal, _xlpm.MacVal, _xlpm.CSVVal)
)</f>
        <v/>
      </c>
      <c r="P400" s="2" t="str" cm="1">
        <f t="array" ref="P400">IFERROR(_xlfn.LET(
_xlpm.CSVVal,_xlfn.XLOOKUP($A400,CSV!$A:$A,CSV!AG:AG,""),
_xlpm.MacVal,_xlfn.XLOOKUP($A400,Output_Mac!$A:$A,Output_Mac!T:T,""),
_xlpm.MyAuditVal,_xlfn.XLOOKUP($A400,My_Audit!$A:$A,My_Audit!Q:Q,""),
_xlfn.IFS(_xlpm.MyAuditVal&lt;&gt;"",UPPER(_xlpm.MyAuditVal),_xlpm.MacVal&lt;&gt;"",_xlpm.MacVal,_xlpm.CSVVal&lt;&gt;"",_xlpm.CSVVal
)),"No")</f>
        <v>No</v>
      </c>
      <c r="Q400" s="2" t="str" cm="1">
        <f t="array" ref="Q400">IFERROR(_xlfn.LET(
_xlpm.CSVVal,_xlfn.XLOOKUP($A400,CSV!$A:$A,CSV!AH:AH,""),
_xlpm.MacVal,_xlfn.XLOOKUP($A400,Output_Mac!$A:$A,Output_Mac!U:U,""),
_xlpm.MyAuditVal,_xlfn.XLOOKUP($A400,My_Audit!$A:$A,My_Audit!R:R,""),
_xlfn.IFS(_xlpm.MyAuditVal&lt;&gt;"",UPPER(_xlpm.MyAuditVal),_xlpm.MacVal&lt;&gt;"",_xlpm.MacVal,_xlpm.CSVVal&lt;&gt;"",_xlpm.CSVVal
)),"")</f>
        <v/>
      </c>
    </row>
    <row r="401" spans="1:17">
      <c r="A401" s="2" t="str">
        <f>_xlfn.TEXTJOIN("",TRUE,Input!$B$2,ROW(My_Audit!A400))</f>
        <v>XX400</v>
      </c>
      <c r="B401" s="2" t="str">
        <f>_xlfn.TEXTJOIN("-",TRUE,"ITD",Input!$A$2,A401)</f>
        <v>ITD-SHRXXX-XX400</v>
      </c>
      <c r="C401" s="2" t="str" cm="1">
        <f t="array" ref="C401">IFERROR(_xlfn.LET(
_xlpm.CSVVal,_xlfn.XLOOKUP($A401,CSV!$A:$A,CSV!B:B,""),
_xlpm.MacVal,_xlfn.XLOOKUP($A401,Output_Mac!$A:$A,Output_Mac!B:B,""),
_xlpm.MyAuditVal,_xlfn.XLOOKUP($A401,My_Audit!$A:$A,My_Audit!B:B,""),
_xlfn.IFS(_xlpm.MyAuditVal&lt;&gt;"",UPPER(_xlpm.MyAuditVal),_xlpm.MacVal&lt;&gt;"",_xlpm.MacVal,_xlpm.CSVVal&lt;&gt;"",_xlpm.CSVVal
)),"")</f>
        <v/>
      </c>
      <c r="D401" s="2" t="str" cm="1">
        <f t="array" ref="D401">IFERROR(_xlfn.LET(
_xlpm.CSVVal,_xlfn.XLOOKUP($A401,CSV!$A:$A,CSV!D:D,""),
_xlpm.MacVal,_xlfn.XLOOKUP($A401,Output_Mac!$A:$A,Output_Mac!C:C,""),
_xlpm.MyAuditVal,_xlfn.XLOOKUP($A401,My_Audit!$A:$A,My_Audit!C:C,""),
_xlfn.IFS(_xlpm.MyAuditVal&lt;&gt;"",_xlpm.MyAuditVal,_xlpm.MacVal&lt;&gt;"",_xlpm.MacVal,_xlpm.CSVVal&lt;&gt;"",_xlpm.CSVVal
)),"")</f>
        <v/>
      </c>
      <c r="E401" s="2" t="str">
        <f>_xlfn.XLOOKUP(A401,My_Audit!A:A,My_Audit!D:D,"")&amp;""</f>
        <v/>
      </c>
      <c r="F401" s="2" t="str" cm="1">
        <f t="array" ref="F401">IFERROR(_xlfn.LET(
_xlpm.CSVVal,_xlfn.XLOOKUP($A401,CSV!$A:$A,CSV!F:F,""),
_xlpm.MacVal,_xlfn.XLOOKUP($A401,Output_Mac!$A:$A,Output_Mac!E:E,""),
_xlpm.MyAuditVal,_xlfn.XLOOKUP($A401,My_Audit!$A:$A,My_Audit!E:E,""),
_xlfn.IFS(_xlpm.MyAuditVal&lt;&gt;"",_xlpm.MyAuditVal,_xlpm.MacVal&lt;&gt;"",_xlpm.MacVal,_xlpm.CSVVal&lt;&gt;"",_xlpm.CSVVal
)),"")</f>
        <v/>
      </c>
      <c r="G401" s="2" t="str" cm="1">
        <f t="array" ref="G401">IFERROR(_xlfn.LET(
_xlpm.CSVVal,_xlfn.XLOOKUP($A401,CSV!$A:$A,CSV!G:G,""),
_xlpm.MacVal,_xlfn.XLOOKUP($A401,Output_Mac!$A:$A,Output_Mac!F:F,""),
_xlpm.MyAuditVal,_xlfn.XLOOKUP($A401,My_Audit!$A:$A,My_Audit!F:F,""),
_xlfn.IFS(_xlpm.MyAuditVal&lt;&gt;"",_xlpm.MyAuditVal,_xlpm.MacVal&lt;&gt;"",_xlpm.MacVal,_xlpm.CSVVal&lt;&gt;"",PROPER(_xlpm.CSVVal)
)),"")</f>
        <v/>
      </c>
      <c r="H401" s="2" t="str" cm="1">
        <f t="array" ref="H401">IFERROR(_xlfn.LET(
_xlpm.CSVVal,_xlfn.XLOOKUP($A401,CSV!$A:$A,CSV!H:H,""),
_xlpm.MacVal,_xlfn.XLOOKUP($A401,Output_Mac!$A:$A,Output_Mac!H:H,""),
_xlpm.MyAuditVal,_xlfn.XLOOKUP($A401,My_Audit!$A:$A,My_Audit!G:G,""),
_xlfn.IFS(_xlpm.MyAuditVal&lt;&gt;"",_xlpm.MyAuditVal,_xlpm.MacVal&lt;&gt;"",_xlpm.MacVal,_xlpm.CSVVal&lt;&gt;"",_xlpm.CSVVal
)),"")</f>
        <v/>
      </c>
      <c r="I401" s="2" t="str">
        <f>_xlfn.XLOOKUP(A401,Output_Mac!A:A,Output_Mac!I:I,"")</f>
        <v/>
      </c>
      <c r="J401" s="2" t="str" cm="1">
        <f t="array" ref="J401">IFERROR(_xlfn.LET(
_xlpm.CSVVal,_xlfn.XLOOKUP($A401,CSV!$A:$A,CSV!I:I,""),
_xlpm.MacVal,_xlfn.XLOOKUP($A401,Output_Mac!$A:$A,Output_Mac!J:J,""),
_xlpm.MyAuditVal,_xlfn.XLOOKUP($A401,My_Audit!$A:$A,My_Audit!I:I,""),
_xlfn.IFS(_xlpm.MyAuditVal&lt;&gt;"",UPPER(_xlpm.MyAuditVal),_xlpm.MacVal&lt;&gt;"",_xlpm.MacVal,_xlpm.CSVVal&lt;&gt;"",_xlpm.CSVVal
)),"")</f>
        <v/>
      </c>
      <c r="K401" s="2" t="str" cm="1">
        <f t="array" ref="K401">IFERROR(_xlfn.LET(
_xlpm.CSVVal,_xlfn.XLOOKUP($A401,CSV!$A:$A,CSV!K:K,""),
_xlpm.MacVal,_xlfn.XLOOKUP($A401,Output_Mac!$A:$A,Output_Mac!K:K,""),
_xlpm.MyAuditVal,_xlfn.XLOOKUP($A401,My_Audit!$A:$A,My_Audit!J:J,""),
_xlfn.IFS(_xlpm.MyAuditVal&lt;&gt;"",UPPER(_xlpm.MyAuditVal),_xlpm.MacVal&lt;&gt;"",_xlpm.MacVal,_xlpm.CSVVal&lt;&gt;"",_xlpm.CSVVal
)),"")</f>
        <v/>
      </c>
      <c r="L401" s="2" t="str" cm="1">
        <f t="array" ref="L401">IFERROR(_xlfn.LET(
_xlpm.CSVVal,_xlfn.XLOOKUP($A401,CSV!$A:$A,CSV!P:P,""),
_xlpm.MacVal,_xlfn.XLOOKUP($A401,Output_Mac!$A:$A,Output_Mac!L:L,""),
_xlpm.MyAuditVal,_xlfn.XLOOKUP($A401,My_Audit!$A:$A,My_Audit!K:K,""),
_xlfn.IFS(_xlpm.MyAuditVal&lt;&gt;"",UPPER(_xlpm.MyAuditVal),_xlpm.MacVal&lt;&gt;"",_xlpm.MacVal,_xlpm.CSVVal&lt;&gt;"",_xlpm.CSVVal
)),"")</f>
        <v/>
      </c>
      <c r="M401" s="2" t="str" cm="1">
        <f t="array" ref="M401">IFERROR(_xlfn.LET(
_xlpm.CSVVal,_xlfn.XLOOKUP($A401,CSV!$A:$A,CSV!Q:Q,""),
_xlpm.MacVal,_xlfn.XLOOKUP($A401,Output_Mac!$A:$A,Output_Mac!M:M,""),
_xlpm.MyAuditVal,_xlfn.XLOOKUP($A401,My_Audit!$A:$A,My_Audit!L:L,""),
_xlfn.IFS(_xlpm.MyAuditVal&lt;&gt;"",UPPER(_xlpm.MyAuditVal),_xlpm.MacVal&lt;&gt;"",_xlpm.MacVal,_xlpm.CSVVal&lt;&gt;"",_xlpm.CSVVal
)),"")</f>
        <v/>
      </c>
      <c r="O401" s="2" t="str">
        <f>_xlfn.LET(
    _xlpm.CSVVal, _xlfn.XLOOKUP($A401, CSV!$A:$A, CSV!AF:AF, ""),
    _xlpm.MacVal, _xlfn.XLOOKUP($A401, Output_Mac!$A:$A, Output_Mac!S:S, ""),
    _xlpm.MyAuditVal, _xlfn.XLOOKUP($A401, My_Audit!$A:$A, My_Audit!P:P, ""),
    _xlfn.TEXTJOIN(", ", TRUE, _xlpm.MyAuditVal, _xlpm.MacVal, _xlpm.CSVVal)
)</f>
        <v/>
      </c>
      <c r="P401" s="2" t="str" cm="1">
        <f t="array" ref="P401">IFERROR(_xlfn.LET(
_xlpm.CSVVal,_xlfn.XLOOKUP($A401,CSV!$A:$A,CSV!AG:AG,""),
_xlpm.MacVal,_xlfn.XLOOKUP($A401,Output_Mac!$A:$A,Output_Mac!T:T,""),
_xlpm.MyAuditVal,_xlfn.XLOOKUP($A401,My_Audit!$A:$A,My_Audit!Q:Q,""),
_xlfn.IFS(_xlpm.MyAuditVal&lt;&gt;"",UPPER(_xlpm.MyAuditVal),_xlpm.MacVal&lt;&gt;"",_xlpm.MacVal,_xlpm.CSVVal&lt;&gt;"",_xlpm.CSVVal
)),"No")</f>
        <v>No</v>
      </c>
      <c r="Q401" s="2" t="str" cm="1">
        <f t="array" ref="Q401">IFERROR(_xlfn.LET(
_xlpm.CSVVal,_xlfn.XLOOKUP($A401,CSV!$A:$A,CSV!AH:AH,""),
_xlpm.MacVal,_xlfn.XLOOKUP($A401,Output_Mac!$A:$A,Output_Mac!U:U,""),
_xlpm.MyAuditVal,_xlfn.XLOOKUP($A401,My_Audit!$A:$A,My_Audit!R:R,""),
_xlfn.IFS(_xlpm.MyAuditVal&lt;&gt;"",UPPER(_xlpm.MyAuditVal),_xlpm.MacVal&lt;&gt;"",_xlpm.MacVal,_xlpm.CSVVal&lt;&gt;"",_xlpm.CSVVal
)),"")</f>
        <v/>
      </c>
    </row>
    <row r="402" spans="1:17">
      <c r="A402" s="2" t="str">
        <f>_xlfn.TEXTJOIN("",TRUE,Input!$B$2,ROW(My_Audit!A401))</f>
        <v>XX401</v>
      </c>
      <c r="B402" s="2" t="str">
        <f>_xlfn.TEXTJOIN("-",TRUE,"ITD",Input!$A$2,A402)</f>
        <v>ITD-SHRXXX-XX401</v>
      </c>
      <c r="C402" s="2" t="str" cm="1">
        <f t="array" ref="C402">IFERROR(_xlfn.LET(
_xlpm.CSVVal,_xlfn.XLOOKUP($A402,CSV!$A:$A,CSV!B:B,""),
_xlpm.MacVal,_xlfn.XLOOKUP($A402,Output_Mac!$A:$A,Output_Mac!B:B,""),
_xlpm.MyAuditVal,_xlfn.XLOOKUP($A402,My_Audit!$A:$A,My_Audit!B:B,""),
_xlfn.IFS(_xlpm.MyAuditVal&lt;&gt;"",UPPER(_xlpm.MyAuditVal),_xlpm.MacVal&lt;&gt;"",_xlpm.MacVal,_xlpm.CSVVal&lt;&gt;"",_xlpm.CSVVal
)),"")</f>
        <v/>
      </c>
      <c r="D402" s="2" t="str" cm="1">
        <f t="array" ref="D402">IFERROR(_xlfn.LET(
_xlpm.CSVVal,_xlfn.XLOOKUP($A402,CSV!$A:$A,CSV!D:D,""),
_xlpm.MacVal,_xlfn.XLOOKUP($A402,Output_Mac!$A:$A,Output_Mac!C:C,""),
_xlpm.MyAuditVal,_xlfn.XLOOKUP($A402,My_Audit!$A:$A,My_Audit!C:C,""),
_xlfn.IFS(_xlpm.MyAuditVal&lt;&gt;"",_xlpm.MyAuditVal,_xlpm.MacVal&lt;&gt;"",_xlpm.MacVal,_xlpm.CSVVal&lt;&gt;"",_xlpm.CSVVal
)),"")</f>
        <v/>
      </c>
      <c r="E402" s="2" t="str">
        <f>_xlfn.XLOOKUP(A402,My_Audit!A:A,My_Audit!D:D,"")&amp;""</f>
        <v/>
      </c>
      <c r="F402" s="2" t="str" cm="1">
        <f t="array" ref="F402">IFERROR(_xlfn.LET(
_xlpm.CSVVal,_xlfn.XLOOKUP($A402,CSV!$A:$A,CSV!F:F,""),
_xlpm.MacVal,_xlfn.XLOOKUP($A402,Output_Mac!$A:$A,Output_Mac!E:E,""),
_xlpm.MyAuditVal,_xlfn.XLOOKUP($A402,My_Audit!$A:$A,My_Audit!E:E,""),
_xlfn.IFS(_xlpm.MyAuditVal&lt;&gt;"",_xlpm.MyAuditVal,_xlpm.MacVal&lt;&gt;"",_xlpm.MacVal,_xlpm.CSVVal&lt;&gt;"",_xlpm.CSVVal
)),"")</f>
        <v/>
      </c>
      <c r="G402" s="2" t="str" cm="1">
        <f t="array" ref="G402">IFERROR(_xlfn.LET(
_xlpm.CSVVal,_xlfn.XLOOKUP($A402,CSV!$A:$A,CSV!G:G,""),
_xlpm.MacVal,_xlfn.XLOOKUP($A402,Output_Mac!$A:$A,Output_Mac!F:F,""),
_xlpm.MyAuditVal,_xlfn.XLOOKUP($A402,My_Audit!$A:$A,My_Audit!F:F,""),
_xlfn.IFS(_xlpm.MyAuditVal&lt;&gt;"",_xlpm.MyAuditVal,_xlpm.MacVal&lt;&gt;"",_xlpm.MacVal,_xlpm.CSVVal&lt;&gt;"",PROPER(_xlpm.CSVVal)
)),"")</f>
        <v/>
      </c>
      <c r="H402" s="2" t="str" cm="1">
        <f t="array" ref="H402">IFERROR(_xlfn.LET(
_xlpm.CSVVal,_xlfn.XLOOKUP($A402,CSV!$A:$A,CSV!H:H,""),
_xlpm.MacVal,_xlfn.XLOOKUP($A402,Output_Mac!$A:$A,Output_Mac!H:H,""),
_xlpm.MyAuditVal,_xlfn.XLOOKUP($A402,My_Audit!$A:$A,My_Audit!G:G,""),
_xlfn.IFS(_xlpm.MyAuditVal&lt;&gt;"",_xlpm.MyAuditVal,_xlpm.MacVal&lt;&gt;"",_xlpm.MacVal,_xlpm.CSVVal&lt;&gt;"",_xlpm.CSVVal
)),"")</f>
        <v/>
      </c>
      <c r="I402" s="2" t="str">
        <f>_xlfn.XLOOKUP(A402,Output_Mac!A:A,Output_Mac!I:I,"")</f>
        <v/>
      </c>
      <c r="J402" s="2" t="str" cm="1">
        <f t="array" ref="J402">IFERROR(_xlfn.LET(
_xlpm.CSVVal,_xlfn.XLOOKUP($A402,CSV!$A:$A,CSV!I:I,""),
_xlpm.MacVal,_xlfn.XLOOKUP($A402,Output_Mac!$A:$A,Output_Mac!J:J,""),
_xlpm.MyAuditVal,_xlfn.XLOOKUP($A402,My_Audit!$A:$A,My_Audit!I:I,""),
_xlfn.IFS(_xlpm.MyAuditVal&lt;&gt;"",UPPER(_xlpm.MyAuditVal),_xlpm.MacVal&lt;&gt;"",_xlpm.MacVal,_xlpm.CSVVal&lt;&gt;"",_xlpm.CSVVal
)),"")</f>
        <v/>
      </c>
      <c r="K402" s="2" t="str" cm="1">
        <f t="array" ref="K402">IFERROR(_xlfn.LET(
_xlpm.CSVVal,_xlfn.XLOOKUP($A402,CSV!$A:$A,CSV!K:K,""),
_xlpm.MacVal,_xlfn.XLOOKUP($A402,Output_Mac!$A:$A,Output_Mac!K:K,""),
_xlpm.MyAuditVal,_xlfn.XLOOKUP($A402,My_Audit!$A:$A,My_Audit!J:J,""),
_xlfn.IFS(_xlpm.MyAuditVal&lt;&gt;"",UPPER(_xlpm.MyAuditVal),_xlpm.MacVal&lt;&gt;"",_xlpm.MacVal,_xlpm.CSVVal&lt;&gt;"",_xlpm.CSVVal
)),"")</f>
        <v/>
      </c>
      <c r="L402" s="2" t="str" cm="1">
        <f t="array" ref="L402">IFERROR(_xlfn.LET(
_xlpm.CSVVal,_xlfn.XLOOKUP($A402,CSV!$A:$A,CSV!P:P,""),
_xlpm.MacVal,_xlfn.XLOOKUP($A402,Output_Mac!$A:$A,Output_Mac!L:L,""),
_xlpm.MyAuditVal,_xlfn.XLOOKUP($A402,My_Audit!$A:$A,My_Audit!K:K,""),
_xlfn.IFS(_xlpm.MyAuditVal&lt;&gt;"",UPPER(_xlpm.MyAuditVal),_xlpm.MacVal&lt;&gt;"",_xlpm.MacVal,_xlpm.CSVVal&lt;&gt;"",_xlpm.CSVVal
)),"")</f>
        <v/>
      </c>
      <c r="M402" s="2" t="str" cm="1">
        <f t="array" ref="M402">IFERROR(_xlfn.LET(
_xlpm.CSVVal,_xlfn.XLOOKUP($A402,CSV!$A:$A,CSV!Q:Q,""),
_xlpm.MacVal,_xlfn.XLOOKUP($A402,Output_Mac!$A:$A,Output_Mac!M:M,""),
_xlpm.MyAuditVal,_xlfn.XLOOKUP($A402,My_Audit!$A:$A,My_Audit!L:L,""),
_xlfn.IFS(_xlpm.MyAuditVal&lt;&gt;"",UPPER(_xlpm.MyAuditVal),_xlpm.MacVal&lt;&gt;"",_xlpm.MacVal,_xlpm.CSVVal&lt;&gt;"",_xlpm.CSVVal
)),"")</f>
        <v/>
      </c>
      <c r="O402" s="2" t="str">
        <f>_xlfn.LET(
    _xlpm.CSVVal, _xlfn.XLOOKUP($A402, CSV!$A:$A, CSV!AF:AF, ""),
    _xlpm.MacVal, _xlfn.XLOOKUP($A402, Output_Mac!$A:$A, Output_Mac!S:S, ""),
    _xlpm.MyAuditVal, _xlfn.XLOOKUP($A402, My_Audit!$A:$A, My_Audit!P:P, ""),
    _xlfn.TEXTJOIN(", ", TRUE, _xlpm.MyAuditVal, _xlpm.MacVal, _xlpm.CSVVal)
)</f>
        <v/>
      </c>
      <c r="P402" s="2" t="str" cm="1">
        <f t="array" ref="P402">IFERROR(_xlfn.LET(
_xlpm.CSVVal,_xlfn.XLOOKUP($A402,CSV!$A:$A,CSV!AG:AG,""),
_xlpm.MacVal,_xlfn.XLOOKUP($A402,Output_Mac!$A:$A,Output_Mac!T:T,""),
_xlpm.MyAuditVal,_xlfn.XLOOKUP($A402,My_Audit!$A:$A,My_Audit!Q:Q,""),
_xlfn.IFS(_xlpm.MyAuditVal&lt;&gt;"",UPPER(_xlpm.MyAuditVal),_xlpm.MacVal&lt;&gt;"",_xlpm.MacVal,_xlpm.CSVVal&lt;&gt;"",_xlpm.CSVVal
)),"No")</f>
        <v>No</v>
      </c>
      <c r="Q402" s="2" t="str" cm="1">
        <f t="array" ref="Q402">IFERROR(_xlfn.LET(
_xlpm.CSVVal,_xlfn.XLOOKUP($A402,CSV!$A:$A,CSV!AH:AH,""),
_xlpm.MacVal,_xlfn.XLOOKUP($A402,Output_Mac!$A:$A,Output_Mac!U:U,""),
_xlpm.MyAuditVal,_xlfn.XLOOKUP($A402,My_Audit!$A:$A,My_Audit!R:R,""),
_xlfn.IFS(_xlpm.MyAuditVal&lt;&gt;"",UPPER(_xlpm.MyAuditVal),_xlpm.MacVal&lt;&gt;"",_xlpm.MacVal,_xlpm.CSVVal&lt;&gt;"",_xlpm.CSVVal
)),"")</f>
        <v/>
      </c>
    </row>
    <row r="403" spans="1:17">
      <c r="A403" s="2" t="str">
        <f>_xlfn.TEXTJOIN("",TRUE,Input!$B$2,ROW(My_Audit!A402))</f>
        <v>XX402</v>
      </c>
      <c r="B403" s="2" t="str">
        <f>_xlfn.TEXTJOIN("-",TRUE,"ITD",Input!$A$2,A403)</f>
        <v>ITD-SHRXXX-XX402</v>
      </c>
      <c r="C403" s="2" t="str" cm="1">
        <f t="array" ref="C403">IFERROR(_xlfn.LET(
_xlpm.CSVVal,_xlfn.XLOOKUP($A403,CSV!$A:$A,CSV!B:B,""),
_xlpm.MacVal,_xlfn.XLOOKUP($A403,Output_Mac!$A:$A,Output_Mac!B:B,""),
_xlpm.MyAuditVal,_xlfn.XLOOKUP($A403,My_Audit!$A:$A,My_Audit!B:B,""),
_xlfn.IFS(_xlpm.MyAuditVal&lt;&gt;"",UPPER(_xlpm.MyAuditVal),_xlpm.MacVal&lt;&gt;"",_xlpm.MacVal,_xlpm.CSVVal&lt;&gt;"",_xlpm.CSVVal
)),"")</f>
        <v/>
      </c>
      <c r="D403" s="2" t="str" cm="1">
        <f t="array" ref="D403">IFERROR(_xlfn.LET(
_xlpm.CSVVal,_xlfn.XLOOKUP($A403,CSV!$A:$A,CSV!D:D,""),
_xlpm.MacVal,_xlfn.XLOOKUP($A403,Output_Mac!$A:$A,Output_Mac!C:C,""),
_xlpm.MyAuditVal,_xlfn.XLOOKUP($A403,My_Audit!$A:$A,My_Audit!C:C,""),
_xlfn.IFS(_xlpm.MyAuditVal&lt;&gt;"",_xlpm.MyAuditVal,_xlpm.MacVal&lt;&gt;"",_xlpm.MacVal,_xlpm.CSVVal&lt;&gt;"",_xlpm.CSVVal
)),"")</f>
        <v/>
      </c>
      <c r="E403" s="2" t="str">
        <f>_xlfn.XLOOKUP(A403,My_Audit!A:A,My_Audit!D:D,"")&amp;""</f>
        <v/>
      </c>
      <c r="F403" s="2" t="str" cm="1">
        <f t="array" ref="F403">IFERROR(_xlfn.LET(
_xlpm.CSVVal,_xlfn.XLOOKUP($A403,CSV!$A:$A,CSV!F:F,""),
_xlpm.MacVal,_xlfn.XLOOKUP($A403,Output_Mac!$A:$A,Output_Mac!E:E,""),
_xlpm.MyAuditVal,_xlfn.XLOOKUP($A403,My_Audit!$A:$A,My_Audit!E:E,""),
_xlfn.IFS(_xlpm.MyAuditVal&lt;&gt;"",_xlpm.MyAuditVal,_xlpm.MacVal&lt;&gt;"",_xlpm.MacVal,_xlpm.CSVVal&lt;&gt;"",_xlpm.CSVVal
)),"")</f>
        <v/>
      </c>
      <c r="G403" s="2" t="str" cm="1">
        <f t="array" ref="G403">IFERROR(_xlfn.LET(
_xlpm.CSVVal,_xlfn.XLOOKUP($A403,CSV!$A:$A,CSV!G:G,""),
_xlpm.MacVal,_xlfn.XLOOKUP($A403,Output_Mac!$A:$A,Output_Mac!F:F,""),
_xlpm.MyAuditVal,_xlfn.XLOOKUP($A403,My_Audit!$A:$A,My_Audit!F:F,""),
_xlfn.IFS(_xlpm.MyAuditVal&lt;&gt;"",_xlpm.MyAuditVal,_xlpm.MacVal&lt;&gt;"",_xlpm.MacVal,_xlpm.CSVVal&lt;&gt;"",PROPER(_xlpm.CSVVal)
)),"")</f>
        <v/>
      </c>
      <c r="H403" s="2" t="str" cm="1">
        <f t="array" ref="H403">IFERROR(_xlfn.LET(
_xlpm.CSVVal,_xlfn.XLOOKUP($A403,CSV!$A:$A,CSV!H:H,""),
_xlpm.MacVal,_xlfn.XLOOKUP($A403,Output_Mac!$A:$A,Output_Mac!H:H,""),
_xlpm.MyAuditVal,_xlfn.XLOOKUP($A403,My_Audit!$A:$A,My_Audit!G:G,""),
_xlfn.IFS(_xlpm.MyAuditVal&lt;&gt;"",_xlpm.MyAuditVal,_xlpm.MacVal&lt;&gt;"",_xlpm.MacVal,_xlpm.CSVVal&lt;&gt;"",_xlpm.CSVVal
)),"")</f>
        <v/>
      </c>
      <c r="I403" s="2" t="str">
        <f>_xlfn.XLOOKUP(A403,Output_Mac!A:A,Output_Mac!I:I,"")</f>
        <v/>
      </c>
      <c r="J403" s="2" t="str" cm="1">
        <f t="array" ref="J403">IFERROR(_xlfn.LET(
_xlpm.CSVVal,_xlfn.XLOOKUP($A403,CSV!$A:$A,CSV!I:I,""),
_xlpm.MacVal,_xlfn.XLOOKUP($A403,Output_Mac!$A:$A,Output_Mac!J:J,""),
_xlpm.MyAuditVal,_xlfn.XLOOKUP($A403,My_Audit!$A:$A,My_Audit!I:I,""),
_xlfn.IFS(_xlpm.MyAuditVal&lt;&gt;"",UPPER(_xlpm.MyAuditVal),_xlpm.MacVal&lt;&gt;"",_xlpm.MacVal,_xlpm.CSVVal&lt;&gt;"",_xlpm.CSVVal
)),"")</f>
        <v/>
      </c>
      <c r="K403" s="2" t="str" cm="1">
        <f t="array" ref="K403">IFERROR(_xlfn.LET(
_xlpm.CSVVal,_xlfn.XLOOKUP($A403,CSV!$A:$A,CSV!K:K,""),
_xlpm.MacVal,_xlfn.XLOOKUP($A403,Output_Mac!$A:$A,Output_Mac!K:K,""),
_xlpm.MyAuditVal,_xlfn.XLOOKUP($A403,My_Audit!$A:$A,My_Audit!J:J,""),
_xlfn.IFS(_xlpm.MyAuditVal&lt;&gt;"",UPPER(_xlpm.MyAuditVal),_xlpm.MacVal&lt;&gt;"",_xlpm.MacVal,_xlpm.CSVVal&lt;&gt;"",_xlpm.CSVVal
)),"")</f>
        <v/>
      </c>
      <c r="L403" s="2" t="str" cm="1">
        <f t="array" ref="L403">IFERROR(_xlfn.LET(
_xlpm.CSVVal,_xlfn.XLOOKUP($A403,CSV!$A:$A,CSV!P:P,""),
_xlpm.MacVal,_xlfn.XLOOKUP($A403,Output_Mac!$A:$A,Output_Mac!L:L,""),
_xlpm.MyAuditVal,_xlfn.XLOOKUP($A403,My_Audit!$A:$A,My_Audit!K:K,""),
_xlfn.IFS(_xlpm.MyAuditVal&lt;&gt;"",UPPER(_xlpm.MyAuditVal),_xlpm.MacVal&lt;&gt;"",_xlpm.MacVal,_xlpm.CSVVal&lt;&gt;"",_xlpm.CSVVal
)),"")</f>
        <v/>
      </c>
      <c r="M403" s="2" t="str" cm="1">
        <f t="array" ref="M403">IFERROR(_xlfn.LET(
_xlpm.CSVVal,_xlfn.XLOOKUP($A403,CSV!$A:$A,CSV!Q:Q,""),
_xlpm.MacVal,_xlfn.XLOOKUP($A403,Output_Mac!$A:$A,Output_Mac!M:M,""),
_xlpm.MyAuditVal,_xlfn.XLOOKUP($A403,My_Audit!$A:$A,My_Audit!L:L,""),
_xlfn.IFS(_xlpm.MyAuditVal&lt;&gt;"",UPPER(_xlpm.MyAuditVal),_xlpm.MacVal&lt;&gt;"",_xlpm.MacVal,_xlpm.CSVVal&lt;&gt;"",_xlpm.CSVVal
)),"")</f>
        <v/>
      </c>
      <c r="O403" s="2" t="str">
        <f>_xlfn.LET(
    _xlpm.CSVVal, _xlfn.XLOOKUP($A403, CSV!$A:$A, CSV!AF:AF, ""),
    _xlpm.MacVal, _xlfn.XLOOKUP($A403, Output_Mac!$A:$A, Output_Mac!S:S, ""),
    _xlpm.MyAuditVal, _xlfn.XLOOKUP($A403, My_Audit!$A:$A, My_Audit!P:P, ""),
    _xlfn.TEXTJOIN(", ", TRUE, _xlpm.MyAuditVal, _xlpm.MacVal, _xlpm.CSVVal)
)</f>
        <v/>
      </c>
      <c r="P403" s="2" t="str" cm="1">
        <f t="array" ref="P403">IFERROR(_xlfn.LET(
_xlpm.CSVVal,_xlfn.XLOOKUP($A403,CSV!$A:$A,CSV!AG:AG,""),
_xlpm.MacVal,_xlfn.XLOOKUP($A403,Output_Mac!$A:$A,Output_Mac!T:T,""),
_xlpm.MyAuditVal,_xlfn.XLOOKUP($A403,My_Audit!$A:$A,My_Audit!Q:Q,""),
_xlfn.IFS(_xlpm.MyAuditVal&lt;&gt;"",UPPER(_xlpm.MyAuditVal),_xlpm.MacVal&lt;&gt;"",_xlpm.MacVal,_xlpm.CSVVal&lt;&gt;"",_xlpm.CSVVal
)),"No")</f>
        <v>No</v>
      </c>
      <c r="Q403" s="2" t="str" cm="1">
        <f t="array" ref="Q403">IFERROR(_xlfn.LET(
_xlpm.CSVVal,_xlfn.XLOOKUP($A403,CSV!$A:$A,CSV!AH:AH,""),
_xlpm.MacVal,_xlfn.XLOOKUP($A403,Output_Mac!$A:$A,Output_Mac!U:U,""),
_xlpm.MyAuditVal,_xlfn.XLOOKUP($A403,My_Audit!$A:$A,My_Audit!R:R,""),
_xlfn.IFS(_xlpm.MyAuditVal&lt;&gt;"",UPPER(_xlpm.MyAuditVal),_xlpm.MacVal&lt;&gt;"",_xlpm.MacVal,_xlpm.CSVVal&lt;&gt;"",_xlpm.CSVVal
)),"")</f>
        <v/>
      </c>
    </row>
    <row r="404" spans="1:17">
      <c r="A404" s="2" t="str">
        <f>_xlfn.TEXTJOIN("",TRUE,Input!$B$2,ROW(My_Audit!A403))</f>
        <v>XX403</v>
      </c>
      <c r="B404" s="2" t="str">
        <f>_xlfn.TEXTJOIN("-",TRUE,"ITD",Input!$A$2,A404)</f>
        <v>ITD-SHRXXX-XX403</v>
      </c>
      <c r="C404" s="2" t="str" cm="1">
        <f t="array" ref="C404">IFERROR(_xlfn.LET(
_xlpm.CSVVal,_xlfn.XLOOKUP($A404,CSV!$A:$A,CSV!B:B,""),
_xlpm.MacVal,_xlfn.XLOOKUP($A404,Output_Mac!$A:$A,Output_Mac!B:B,""),
_xlpm.MyAuditVal,_xlfn.XLOOKUP($A404,My_Audit!$A:$A,My_Audit!B:B,""),
_xlfn.IFS(_xlpm.MyAuditVal&lt;&gt;"",UPPER(_xlpm.MyAuditVal),_xlpm.MacVal&lt;&gt;"",_xlpm.MacVal,_xlpm.CSVVal&lt;&gt;"",_xlpm.CSVVal
)),"")</f>
        <v/>
      </c>
      <c r="D404" s="2" t="str" cm="1">
        <f t="array" ref="D404">IFERROR(_xlfn.LET(
_xlpm.CSVVal,_xlfn.XLOOKUP($A404,CSV!$A:$A,CSV!D:D,""),
_xlpm.MacVal,_xlfn.XLOOKUP($A404,Output_Mac!$A:$A,Output_Mac!C:C,""),
_xlpm.MyAuditVal,_xlfn.XLOOKUP($A404,My_Audit!$A:$A,My_Audit!C:C,""),
_xlfn.IFS(_xlpm.MyAuditVal&lt;&gt;"",_xlpm.MyAuditVal,_xlpm.MacVal&lt;&gt;"",_xlpm.MacVal,_xlpm.CSVVal&lt;&gt;"",_xlpm.CSVVal
)),"")</f>
        <v/>
      </c>
      <c r="E404" s="2" t="str">
        <f>_xlfn.XLOOKUP(A404,My_Audit!A:A,My_Audit!D:D,"")&amp;""</f>
        <v/>
      </c>
      <c r="F404" s="2" t="str" cm="1">
        <f t="array" ref="F404">IFERROR(_xlfn.LET(
_xlpm.CSVVal,_xlfn.XLOOKUP($A404,CSV!$A:$A,CSV!F:F,""),
_xlpm.MacVal,_xlfn.XLOOKUP($A404,Output_Mac!$A:$A,Output_Mac!E:E,""),
_xlpm.MyAuditVal,_xlfn.XLOOKUP($A404,My_Audit!$A:$A,My_Audit!E:E,""),
_xlfn.IFS(_xlpm.MyAuditVal&lt;&gt;"",_xlpm.MyAuditVal,_xlpm.MacVal&lt;&gt;"",_xlpm.MacVal,_xlpm.CSVVal&lt;&gt;"",_xlpm.CSVVal
)),"")</f>
        <v/>
      </c>
      <c r="G404" s="2" t="str" cm="1">
        <f t="array" ref="G404">IFERROR(_xlfn.LET(
_xlpm.CSVVal,_xlfn.XLOOKUP($A404,CSV!$A:$A,CSV!G:G,""),
_xlpm.MacVal,_xlfn.XLOOKUP($A404,Output_Mac!$A:$A,Output_Mac!F:F,""),
_xlpm.MyAuditVal,_xlfn.XLOOKUP($A404,My_Audit!$A:$A,My_Audit!F:F,""),
_xlfn.IFS(_xlpm.MyAuditVal&lt;&gt;"",_xlpm.MyAuditVal,_xlpm.MacVal&lt;&gt;"",_xlpm.MacVal,_xlpm.CSVVal&lt;&gt;"",PROPER(_xlpm.CSVVal)
)),"")</f>
        <v/>
      </c>
      <c r="H404" s="2" t="str" cm="1">
        <f t="array" ref="H404">IFERROR(_xlfn.LET(
_xlpm.CSVVal,_xlfn.XLOOKUP($A404,CSV!$A:$A,CSV!H:H,""),
_xlpm.MacVal,_xlfn.XLOOKUP($A404,Output_Mac!$A:$A,Output_Mac!H:H,""),
_xlpm.MyAuditVal,_xlfn.XLOOKUP($A404,My_Audit!$A:$A,My_Audit!G:G,""),
_xlfn.IFS(_xlpm.MyAuditVal&lt;&gt;"",_xlpm.MyAuditVal,_xlpm.MacVal&lt;&gt;"",_xlpm.MacVal,_xlpm.CSVVal&lt;&gt;"",_xlpm.CSVVal
)),"")</f>
        <v/>
      </c>
      <c r="I404" s="2" t="str">
        <f>_xlfn.XLOOKUP(A404,Output_Mac!A:A,Output_Mac!I:I,"")</f>
        <v/>
      </c>
      <c r="J404" s="2" t="str" cm="1">
        <f t="array" ref="J404">IFERROR(_xlfn.LET(
_xlpm.CSVVal,_xlfn.XLOOKUP($A404,CSV!$A:$A,CSV!I:I,""),
_xlpm.MacVal,_xlfn.XLOOKUP($A404,Output_Mac!$A:$A,Output_Mac!J:J,""),
_xlpm.MyAuditVal,_xlfn.XLOOKUP($A404,My_Audit!$A:$A,My_Audit!I:I,""),
_xlfn.IFS(_xlpm.MyAuditVal&lt;&gt;"",UPPER(_xlpm.MyAuditVal),_xlpm.MacVal&lt;&gt;"",_xlpm.MacVal,_xlpm.CSVVal&lt;&gt;"",_xlpm.CSVVal
)),"")</f>
        <v/>
      </c>
      <c r="K404" s="2" t="str" cm="1">
        <f t="array" ref="K404">IFERROR(_xlfn.LET(
_xlpm.CSVVal,_xlfn.XLOOKUP($A404,CSV!$A:$A,CSV!K:K,""),
_xlpm.MacVal,_xlfn.XLOOKUP($A404,Output_Mac!$A:$A,Output_Mac!K:K,""),
_xlpm.MyAuditVal,_xlfn.XLOOKUP($A404,My_Audit!$A:$A,My_Audit!J:J,""),
_xlfn.IFS(_xlpm.MyAuditVal&lt;&gt;"",UPPER(_xlpm.MyAuditVal),_xlpm.MacVal&lt;&gt;"",_xlpm.MacVal,_xlpm.CSVVal&lt;&gt;"",_xlpm.CSVVal
)),"")</f>
        <v/>
      </c>
      <c r="L404" s="2" t="str" cm="1">
        <f t="array" ref="L404">IFERROR(_xlfn.LET(
_xlpm.CSVVal,_xlfn.XLOOKUP($A404,CSV!$A:$A,CSV!P:P,""),
_xlpm.MacVal,_xlfn.XLOOKUP($A404,Output_Mac!$A:$A,Output_Mac!L:L,""),
_xlpm.MyAuditVal,_xlfn.XLOOKUP($A404,My_Audit!$A:$A,My_Audit!K:K,""),
_xlfn.IFS(_xlpm.MyAuditVal&lt;&gt;"",UPPER(_xlpm.MyAuditVal),_xlpm.MacVal&lt;&gt;"",_xlpm.MacVal,_xlpm.CSVVal&lt;&gt;"",_xlpm.CSVVal
)),"")</f>
        <v/>
      </c>
      <c r="M404" s="2" t="str" cm="1">
        <f t="array" ref="M404">IFERROR(_xlfn.LET(
_xlpm.CSVVal,_xlfn.XLOOKUP($A404,CSV!$A:$A,CSV!Q:Q,""),
_xlpm.MacVal,_xlfn.XLOOKUP($A404,Output_Mac!$A:$A,Output_Mac!M:M,""),
_xlpm.MyAuditVal,_xlfn.XLOOKUP($A404,My_Audit!$A:$A,My_Audit!L:L,""),
_xlfn.IFS(_xlpm.MyAuditVal&lt;&gt;"",UPPER(_xlpm.MyAuditVal),_xlpm.MacVal&lt;&gt;"",_xlpm.MacVal,_xlpm.CSVVal&lt;&gt;"",_xlpm.CSVVal
)),"")</f>
        <v/>
      </c>
      <c r="O404" s="2" t="str">
        <f>_xlfn.LET(
    _xlpm.CSVVal, _xlfn.XLOOKUP($A404, CSV!$A:$A, CSV!AF:AF, ""),
    _xlpm.MacVal, _xlfn.XLOOKUP($A404, Output_Mac!$A:$A, Output_Mac!S:S, ""),
    _xlpm.MyAuditVal, _xlfn.XLOOKUP($A404, My_Audit!$A:$A, My_Audit!P:P, ""),
    _xlfn.TEXTJOIN(", ", TRUE, _xlpm.MyAuditVal, _xlpm.MacVal, _xlpm.CSVVal)
)</f>
        <v/>
      </c>
      <c r="P404" s="2" t="str" cm="1">
        <f t="array" ref="P404">IFERROR(_xlfn.LET(
_xlpm.CSVVal,_xlfn.XLOOKUP($A404,CSV!$A:$A,CSV!AG:AG,""),
_xlpm.MacVal,_xlfn.XLOOKUP($A404,Output_Mac!$A:$A,Output_Mac!T:T,""),
_xlpm.MyAuditVal,_xlfn.XLOOKUP($A404,My_Audit!$A:$A,My_Audit!Q:Q,""),
_xlfn.IFS(_xlpm.MyAuditVal&lt;&gt;"",UPPER(_xlpm.MyAuditVal),_xlpm.MacVal&lt;&gt;"",_xlpm.MacVal,_xlpm.CSVVal&lt;&gt;"",_xlpm.CSVVal
)),"No")</f>
        <v>No</v>
      </c>
      <c r="Q404" s="2" t="str" cm="1">
        <f t="array" ref="Q404">IFERROR(_xlfn.LET(
_xlpm.CSVVal,_xlfn.XLOOKUP($A404,CSV!$A:$A,CSV!AH:AH,""),
_xlpm.MacVal,_xlfn.XLOOKUP($A404,Output_Mac!$A:$A,Output_Mac!U:U,""),
_xlpm.MyAuditVal,_xlfn.XLOOKUP($A404,My_Audit!$A:$A,My_Audit!R:R,""),
_xlfn.IFS(_xlpm.MyAuditVal&lt;&gt;"",UPPER(_xlpm.MyAuditVal),_xlpm.MacVal&lt;&gt;"",_xlpm.MacVal,_xlpm.CSVVal&lt;&gt;"",_xlpm.CSVVal
)),"")</f>
        <v/>
      </c>
    </row>
    <row r="405" spans="1:17">
      <c r="A405" s="2" t="str">
        <f>_xlfn.TEXTJOIN("",TRUE,Input!$B$2,ROW(My_Audit!A404))</f>
        <v>XX404</v>
      </c>
      <c r="B405" s="2" t="str">
        <f>_xlfn.TEXTJOIN("-",TRUE,"ITD",Input!$A$2,A405)</f>
        <v>ITD-SHRXXX-XX404</v>
      </c>
      <c r="C405" s="2" t="str" cm="1">
        <f t="array" ref="C405">IFERROR(_xlfn.LET(
_xlpm.CSVVal,_xlfn.XLOOKUP($A405,CSV!$A:$A,CSV!B:B,""),
_xlpm.MacVal,_xlfn.XLOOKUP($A405,Output_Mac!$A:$A,Output_Mac!B:B,""),
_xlpm.MyAuditVal,_xlfn.XLOOKUP($A405,My_Audit!$A:$A,My_Audit!B:B,""),
_xlfn.IFS(_xlpm.MyAuditVal&lt;&gt;"",UPPER(_xlpm.MyAuditVal),_xlpm.MacVal&lt;&gt;"",_xlpm.MacVal,_xlpm.CSVVal&lt;&gt;"",_xlpm.CSVVal
)),"")</f>
        <v/>
      </c>
      <c r="D405" s="2" t="str" cm="1">
        <f t="array" ref="D405">IFERROR(_xlfn.LET(
_xlpm.CSVVal,_xlfn.XLOOKUP($A405,CSV!$A:$A,CSV!D:D,""),
_xlpm.MacVal,_xlfn.XLOOKUP($A405,Output_Mac!$A:$A,Output_Mac!C:C,""),
_xlpm.MyAuditVal,_xlfn.XLOOKUP($A405,My_Audit!$A:$A,My_Audit!C:C,""),
_xlfn.IFS(_xlpm.MyAuditVal&lt;&gt;"",_xlpm.MyAuditVal,_xlpm.MacVal&lt;&gt;"",_xlpm.MacVal,_xlpm.CSVVal&lt;&gt;"",_xlpm.CSVVal
)),"")</f>
        <v/>
      </c>
      <c r="E405" s="2" t="str">
        <f>_xlfn.XLOOKUP(A405,My_Audit!A:A,My_Audit!D:D,"")&amp;""</f>
        <v/>
      </c>
      <c r="F405" s="2" t="str" cm="1">
        <f t="array" ref="F405">IFERROR(_xlfn.LET(
_xlpm.CSVVal,_xlfn.XLOOKUP($A405,CSV!$A:$A,CSV!F:F,""),
_xlpm.MacVal,_xlfn.XLOOKUP($A405,Output_Mac!$A:$A,Output_Mac!E:E,""),
_xlpm.MyAuditVal,_xlfn.XLOOKUP($A405,My_Audit!$A:$A,My_Audit!E:E,""),
_xlfn.IFS(_xlpm.MyAuditVal&lt;&gt;"",_xlpm.MyAuditVal,_xlpm.MacVal&lt;&gt;"",_xlpm.MacVal,_xlpm.CSVVal&lt;&gt;"",_xlpm.CSVVal
)),"")</f>
        <v/>
      </c>
      <c r="G405" s="2" t="str" cm="1">
        <f t="array" ref="G405">IFERROR(_xlfn.LET(
_xlpm.CSVVal,_xlfn.XLOOKUP($A405,CSV!$A:$A,CSV!G:G,""),
_xlpm.MacVal,_xlfn.XLOOKUP($A405,Output_Mac!$A:$A,Output_Mac!F:F,""),
_xlpm.MyAuditVal,_xlfn.XLOOKUP($A405,My_Audit!$A:$A,My_Audit!F:F,""),
_xlfn.IFS(_xlpm.MyAuditVal&lt;&gt;"",_xlpm.MyAuditVal,_xlpm.MacVal&lt;&gt;"",_xlpm.MacVal,_xlpm.CSVVal&lt;&gt;"",PROPER(_xlpm.CSVVal)
)),"")</f>
        <v/>
      </c>
      <c r="H405" s="2" t="str" cm="1">
        <f t="array" ref="H405">IFERROR(_xlfn.LET(
_xlpm.CSVVal,_xlfn.XLOOKUP($A405,CSV!$A:$A,CSV!H:H,""),
_xlpm.MacVal,_xlfn.XLOOKUP($A405,Output_Mac!$A:$A,Output_Mac!H:H,""),
_xlpm.MyAuditVal,_xlfn.XLOOKUP($A405,My_Audit!$A:$A,My_Audit!G:G,""),
_xlfn.IFS(_xlpm.MyAuditVal&lt;&gt;"",_xlpm.MyAuditVal,_xlpm.MacVal&lt;&gt;"",_xlpm.MacVal,_xlpm.CSVVal&lt;&gt;"",_xlpm.CSVVal
)),"")</f>
        <v/>
      </c>
      <c r="I405" s="2" t="str">
        <f>_xlfn.XLOOKUP(A405,Output_Mac!A:A,Output_Mac!I:I,"")</f>
        <v/>
      </c>
      <c r="J405" s="2" t="str" cm="1">
        <f t="array" ref="J405">IFERROR(_xlfn.LET(
_xlpm.CSVVal,_xlfn.XLOOKUP($A405,CSV!$A:$A,CSV!I:I,""),
_xlpm.MacVal,_xlfn.XLOOKUP($A405,Output_Mac!$A:$A,Output_Mac!J:J,""),
_xlpm.MyAuditVal,_xlfn.XLOOKUP($A405,My_Audit!$A:$A,My_Audit!I:I,""),
_xlfn.IFS(_xlpm.MyAuditVal&lt;&gt;"",UPPER(_xlpm.MyAuditVal),_xlpm.MacVal&lt;&gt;"",_xlpm.MacVal,_xlpm.CSVVal&lt;&gt;"",_xlpm.CSVVal
)),"")</f>
        <v/>
      </c>
      <c r="K405" s="2" t="str" cm="1">
        <f t="array" ref="K405">IFERROR(_xlfn.LET(
_xlpm.CSVVal,_xlfn.XLOOKUP($A405,CSV!$A:$A,CSV!K:K,""),
_xlpm.MacVal,_xlfn.XLOOKUP($A405,Output_Mac!$A:$A,Output_Mac!K:K,""),
_xlpm.MyAuditVal,_xlfn.XLOOKUP($A405,My_Audit!$A:$A,My_Audit!J:J,""),
_xlfn.IFS(_xlpm.MyAuditVal&lt;&gt;"",UPPER(_xlpm.MyAuditVal),_xlpm.MacVal&lt;&gt;"",_xlpm.MacVal,_xlpm.CSVVal&lt;&gt;"",_xlpm.CSVVal
)),"")</f>
        <v/>
      </c>
      <c r="L405" s="2" t="str" cm="1">
        <f t="array" ref="L405">IFERROR(_xlfn.LET(
_xlpm.CSVVal,_xlfn.XLOOKUP($A405,CSV!$A:$A,CSV!P:P,""),
_xlpm.MacVal,_xlfn.XLOOKUP($A405,Output_Mac!$A:$A,Output_Mac!L:L,""),
_xlpm.MyAuditVal,_xlfn.XLOOKUP($A405,My_Audit!$A:$A,My_Audit!K:K,""),
_xlfn.IFS(_xlpm.MyAuditVal&lt;&gt;"",UPPER(_xlpm.MyAuditVal),_xlpm.MacVal&lt;&gt;"",_xlpm.MacVal,_xlpm.CSVVal&lt;&gt;"",_xlpm.CSVVal
)),"")</f>
        <v/>
      </c>
      <c r="M405" s="2" t="str" cm="1">
        <f t="array" ref="M405">IFERROR(_xlfn.LET(
_xlpm.CSVVal,_xlfn.XLOOKUP($A405,CSV!$A:$A,CSV!Q:Q,""),
_xlpm.MacVal,_xlfn.XLOOKUP($A405,Output_Mac!$A:$A,Output_Mac!M:M,""),
_xlpm.MyAuditVal,_xlfn.XLOOKUP($A405,My_Audit!$A:$A,My_Audit!L:L,""),
_xlfn.IFS(_xlpm.MyAuditVal&lt;&gt;"",UPPER(_xlpm.MyAuditVal),_xlpm.MacVal&lt;&gt;"",_xlpm.MacVal,_xlpm.CSVVal&lt;&gt;"",_xlpm.CSVVal
)),"")</f>
        <v/>
      </c>
      <c r="O405" s="2" t="str">
        <f>_xlfn.LET(
    _xlpm.CSVVal, _xlfn.XLOOKUP($A405, CSV!$A:$A, CSV!AF:AF, ""),
    _xlpm.MacVal, _xlfn.XLOOKUP($A405, Output_Mac!$A:$A, Output_Mac!S:S, ""),
    _xlpm.MyAuditVal, _xlfn.XLOOKUP($A405, My_Audit!$A:$A, My_Audit!P:P, ""),
    _xlfn.TEXTJOIN(", ", TRUE, _xlpm.MyAuditVal, _xlpm.MacVal, _xlpm.CSVVal)
)</f>
        <v/>
      </c>
      <c r="P405" s="2" t="str" cm="1">
        <f t="array" ref="P405">IFERROR(_xlfn.LET(
_xlpm.CSVVal,_xlfn.XLOOKUP($A405,CSV!$A:$A,CSV!AG:AG,""),
_xlpm.MacVal,_xlfn.XLOOKUP($A405,Output_Mac!$A:$A,Output_Mac!T:T,""),
_xlpm.MyAuditVal,_xlfn.XLOOKUP($A405,My_Audit!$A:$A,My_Audit!Q:Q,""),
_xlfn.IFS(_xlpm.MyAuditVal&lt;&gt;"",UPPER(_xlpm.MyAuditVal),_xlpm.MacVal&lt;&gt;"",_xlpm.MacVal,_xlpm.CSVVal&lt;&gt;"",_xlpm.CSVVal
)),"No")</f>
        <v>No</v>
      </c>
      <c r="Q405" s="2" t="str" cm="1">
        <f t="array" ref="Q405">IFERROR(_xlfn.LET(
_xlpm.CSVVal,_xlfn.XLOOKUP($A405,CSV!$A:$A,CSV!AH:AH,""),
_xlpm.MacVal,_xlfn.XLOOKUP($A405,Output_Mac!$A:$A,Output_Mac!U:U,""),
_xlpm.MyAuditVal,_xlfn.XLOOKUP($A405,My_Audit!$A:$A,My_Audit!R:R,""),
_xlfn.IFS(_xlpm.MyAuditVal&lt;&gt;"",UPPER(_xlpm.MyAuditVal),_xlpm.MacVal&lt;&gt;"",_xlpm.MacVal,_xlpm.CSVVal&lt;&gt;"",_xlpm.CSVVal
)),"")</f>
        <v/>
      </c>
    </row>
    <row r="406" spans="1:17">
      <c r="A406" s="2" t="str">
        <f>_xlfn.TEXTJOIN("",TRUE,Input!$B$2,ROW(My_Audit!A405))</f>
        <v>XX405</v>
      </c>
      <c r="B406" s="2" t="str">
        <f>_xlfn.TEXTJOIN("-",TRUE,"ITD",Input!$A$2,A406)</f>
        <v>ITD-SHRXXX-XX405</v>
      </c>
      <c r="C406" s="2" t="str" cm="1">
        <f t="array" ref="C406">IFERROR(_xlfn.LET(
_xlpm.CSVVal,_xlfn.XLOOKUP($A406,CSV!$A:$A,CSV!B:B,""),
_xlpm.MacVal,_xlfn.XLOOKUP($A406,Output_Mac!$A:$A,Output_Mac!B:B,""),
_xlpm.MyAuditVal,_xlfn.XLOOKUP($A406,My_Audit!$A:$A,My_Audit!B:B,""),
_xlfn.IFS(_xlpm.MyAuditVal&lt;&gt;"",UPPER(_xlpm.MyAuditVal),_xlpm.MacVal&lt;&gt;"",_xlpm.MacVal,_xlpm.CSVVal&lt;&gt;"",_xlpm.CSVVal
)),"")</f>
        <v/>
      </c>
      <c r="D406" s="2" t="str" cm="1">
        <f t="array" ref="D406">IFERROR(_xlfn.LET(
_xlpm.CSVVal,_xlfn.XLOOKUP($A406,CSV!$A:$A,CSV!D:D,""),
_xlpm.MacVal,_xlfn.XLOOKUP($A406,Output_Mac!$A:$A,Output_Mac!C:C,""),
_xlpm.MyAuditVal,_xlfn.XLOOKUP($A406,My_Audit!$A:$A,My_Audit!C:C,""),
_xlfn.IFS(_xlpm.MyAuditVal&lt;&gt;"",_xlpm.MyAuditVal,_xlpm.MacVal&lt;&gt;"",_xlpm.MacVal,_xlpm.CSVVal&lt;&gt;"",_xlpm.CSVVal
)),"")</f>
        <v/>
      </c>
      <c r="E406" s="2" t="str">
        <f>_xlfn.XLOOKUP(A406,My_Audit!A:A,My_Audit!D:D,"")&amp;""</f>
        <v/>
      </c>
      <c r="F406" s="2" t="str" cm="1">
        <f t="array" ref="F406">IFERROR(_xlfn.LET(
_xlpm.CSVVal,_xlfn.XLOOKUP($A406,CSV!$A:$A,CSV!F:F,""),
_xlpm.MacVal,_xlfn.XLOOKUP($A406,Output_Mac!$A:$A,Output_Mac!E:E,""),
_xlpm.MyAuditVal,_xlfn.XLOOKUP($A406,My_Audit!$A:$A,My_Audit!E:E,""),
_xlfn.IFS(_xlpm.MyAuditVal&lt;&gt;"",_xlpm.MyAuditVal,_xlpm.MacVal&lt;&gt;"",_xlpm.MacVal,_xlpm.CSVVal&lt;&gt;"",_xlpm.CSVVal
)),"")</f>
        <v/>
      </c>
      <c r="G406" s="2" t="str" cm="1">
        <f t="array" ref="G406">IFERROR(_xlfn.LET(
_xlpm.CSVVal,_xlfn.XLOOKUP($A406,CSV!$A:$A,CSV!G:G,""),
_xlpm.MacVal,_xlfn.XLOOKUP($A406,Output_Mac!$A:$A,Output_Mac!F:F,""),
_xlpm.MyAuditVal,_xlfn.XLOOKUP($A406,My_Audit!$A:$A,My_Audit!F:F,""),
_xlfn.IFS(_xlpm.MyAuditVal&lt;&gt;"",_xlpm.MyAuditVal,_xlpm.MacVal&lt;&gt;"",_xlpm.MacVal,_xlpm.CSVVal&lt;&gt;"",PROPER(_xlpm.CSVVal)
)),"")</f>
        <v/>
      </c>
      <c r="H406" s="2" t="str" cm="1">
        <f t="array" ref="H406">IFERROR(_xlfn.LET(
_xlpm.CSVVal,_xlfn.XLOOKUP($A406,CSV!$A:$A,CSV!H:H,""),
_xlpm.MacVal,_xlfn.XLOOKUP($A406,Output_Mac!$A:$A,Output_Mac!H:H,""),
_xlpm.MyAuditVal,_xlfn.XLOOKUP($A406,My_Audit!$A:$A,My_Audit!G:G,""),
_xlfn.IFS(_xlpm.MyAuditVal&lt;&gt;"",_xlpm.MyAuditVal,_xlpm.MacVal&lt;&gt;"",_xlpm.MacVal,_xlpm.CSVVal&lt;&gt;"",_xlpm.CSVVal
)),"")</f>
        <v/>
      </c>
      <c r="I406" s="2" t="str">
        <f>_xlfn.XLOOKUP(A406,Output_Mac!A:A,Output_Mac!I:I,"")</f>
        <v/>
      </c>
      <c r="J406" s="2" t="str" cm="1">
        <f t="array" ref="J406">IFERROR(_xlfn.LET(
_xlpm.CSVVal,_xlfn.XLOOKUP($A406,CSV!$A:$A,CSV!I:I,""),
_xlpm.MacVal,_xlfn.XLOOKUP($A406,Output_Mac!$A:$A,Output_Mac!J:J,""),
_xlpm.MyAuditVal,_xlfn.XLOOKUP($A406,My_Audit!$A:$A,My_Audit!I:I,""),
_xlfn.IFS(_xlpm.MyAuditVal&lt;&gt;"",UPPER(_xlpm.MyAuditVal),_xlpm.MacVal&lt;&gt;"",_xlpm.MacVal,_xlpm.CSVVal&lt;&gt;"",_xlpm.CSVVal
)),"")</f>
        <v/>
      </c>
      <c r="K406" s="2" t="str" cm="1">
        <f t="array" ref="K406">IFERROR(_xlfn.LET(
_xlpm.CSVVal,_xlfn.XLOOKUP($A406,CSV!$A:$A,CSV!K:K,""),
_xlpm.MacVal,_xlfn.XLOOKUP($A406,Output_Mac!$A:$A,Output_Mac!K:K,""),
_xlpm.MyAuditVal,_xlfn.XLOOKUP($A406,My_Audit!$A:$A,My_Audit!J:J,""),
_xlfn.IFS(_xlpm.MyAuditVal&lt;&gt;"",UPPER(_xlpm.MyAuditVal),_xlpm.MacVal&lt;&gt;"",_xlpm.MacVal,_xlpm.CSVVal&lt;&gt;"",_xlpm.CSVVal
)),"")</f>
        <v/>
      </c>
      <c r="L406" s="2" t="str" cm="1">
        <f t="array" ref="L406">IFERROR(_xlfn.LET(
_xlpm.CSVVal,_xlfn.XLOOKUP($A406,CSV!$A:$A,CSV!P:P,""),
_xlpm.MacVal,_xlfn.XLOOKUP($A406,Output_Mac!$A:$A,Output_Mac!L:L,""),
_xlpm.MyAuditVal,_xlfn.XLOOKUP($A406,My_Audit!$A:$A,My_Audit!K:K,""),
_xlfn.IFS(_xlpm.MyAuditVal&lt;&gt;"",UPPER(_xlpm.MyAuditVal),_xlpm.MacVal&lt;&gt;"",_xlpm.MacVal,_xlpm.CSVVal&lt;&gt;"",_xlpm.CSVVal
)),"")</f>
        <v/>
      </c>
      <c r="M406" s="2" t="str" cm="1">
        <f t="array" ref="M406">IFERROR(_xlfn.LET(
_xlpm.CSVVal,_xlfn.XLOOKUP($A406,CSV!$A:$A,CSV!Q:Q,""),
_xlpm.MacVal,_xlfn.XLOOKUP($A406,Output_Mac!$A:$A,Output_Mac!M:M,""),
_xlpm.MyAuditVal,_xlfn.XLOOKUP($A406,My_Audit!$A:$A,My_Audit!L:L,""),
_xlfn.IFS(_xlpm.MyAuditVal&lt;&gt;"",UPPER(_xlpm.MyAuditVal),_xlpm.MacVal&lt;&gt;"",_xlpm.MacVal,_xlpm.CSVVal&lt;&gt;"",_xlpm.CSVVal
)),"")</f>
        <v/>
      </c>
      <c r="O406" s="2" t="str">
        <f>_xlfn.LET(
    _xlpm.CSVVal, _xlfn.XLOOKUP($A406, CSV!$A:$A, CSV!AF:AF, ""),
    _xlpm.MacVal, _xlfn.XLOOKUP($A406, Output_Mac!$A:$A, Output_Mac!S:S, ""),
    _xlpm.MyAuditVal, _xlfn.XLOOKUP($A406, My_Audit!$A:$A, My_Audit!P:P, ""),
    _xlfn.TEXTJOIN(", ", TRUE, _xlpm.MyAuditVal, _xlpm.MacVal, _xlpm.CSVVal)
)</f>
        <v/>
      </c>
      <c r="P406" s="2" t="str" cm="1">
        <f t="array" ref="P406">IFERROR(_xlfn.LET(
_xlpm.CSVVal,_xlfn.XLOOKUP($A406,CSV!$A:$A,CSV!AG:AG,""),
_xlpm.MacVal,_xlfn.XLOOKUP($A406,Output_Mac!$A:$A,Output_Mac!T:T,""),
_xlpm.MyAuditVal,_xlfn.XLOOKUP($A406,My_Audit!$A:$A,My_Audit!Q:Q,""),
_xlfn.IFS(_xlpm.MyAuditVal&lt;&gt;"",UPPER(_xlpm.MyAuditVal),_xlpm.MacVal&lt;&gt;"",_xlpm.MacVal,_xlpm.CSVVal&lt;&gt;"",_xlpm.CSVVal
)),"No")</f>
        <v>No</v>
      </c>
      <c r="Q406" s="2" t="str" cm="1">
        <f t="array" ref="Q406">IFERROR(_xlfn.LET(
_xlpm.CSVVal,_xlfn.XLOOKUP($A406,CSV!$A:$A,CSV!AH:AH,""),
_xlpm.MacVal,_xlfn.XLOOKUP($A406,Output_Mac!$A:$A,Output_Mac!U:U,""),
_xlpm.MyAuditVal,_xlfn.XLOOKUP($A406,My_Audit!$A:$A,My_Audit!R:R,""),
_xlfn.IFS(_xlpm.MyAuditVal&lt;&gt;"",UPPER(_xlpm.MyAuditVal),_xlpm.MacVal&lt;&gt;"",_xlpm.MacVal,_xlpm.CSVVal&lt;&gt;"",_xlpm.CSVVal
)),"")</f>
        <v/>
      </c>
    </row>
    <row r="407" spans="1:17">
      <c r="A407" s="2" t="str">
        <f>_xlfn.TEXTJOIN("",TRUE,Input!$B$2,ROW(My_Audit!A406))</f>
        <v>XX406</v>
      </c>
      <c r="B407" s="2" t="str">
        <f>_xlfn.TEXTJOIN("-",TRUE,"ITD",Input!$A$2,A407)</f>
        <v>ITD-SHRXXX-XX406</v>
      </c>
      <c r="C407" s="2" t="str" cm="1">
        <f t="array" ref="C407">IFERROR(_xlfn.LET(
_xlpm.CSVVal,_xlfn.XLOOKUP($A407,CSV!$A:$A,CSV!B:B,""),
_xlpm.MacVal,_xlfn.XLOOKUP($A407,Output_Mac!$A:$A,Output_Mac!B:B,""),
_xlpm.MyAuditVal,_xlfn.XLOOKUP($A407,My_Audit!$A:$A,My_Audit!B:B,""),
_xlfn.IFS(_xlpm.MyAuditVal&lt;&gt;"",UPPER(_xlpm.MyAuditVal),_xlpm.MacVal&lt;&gt;"",_xlpm.MacVal,_xlpm.CSVVal&lt;&gt;"",_xlpm.CSVVal
)),"")</f>
        <v/>
      </c>
      <c r="D407" s="2" t="str" cm="1">
        <f t="array" ref="D407">IFERROR(_xlfn.LET(
_xlpm.CSVVal,_xlfn.XLOOKUP($A407,CSV!$A:$A,CSV!D:D,""),
_xlpm.MacVal,_xlfn.XLOOKUP($A407,Output_Mac!$A:$A,Output_Mac!C:C,""),
_xlpm.MyAuditVal,_xlfn.XLOOKUP($A407,My_Audit!$A:$A,My_Audit!C:C,""),
_xlfn.IFS(_xlpm.MyAuditVal&lt;&gt;"",_xlpm.MyAuditVal,_xlpm.MacVal&lt;&gt;"",_xlpm.MacVal,_xlpm.CSVVal&lt;&gt;"",_xlpm.CSVVal
)),"")</f>
        <v/>
      </c>
      <c r="E407" s="2" t="str">
        <f>_xlfn.XLOOKUP(A407,My_Audit!A:A,My_Audit!D:D,"")&amp;""</f>
        <v/>
      </c>
      <c r="F407" s="2" t="str" cm="1">
        <f t="array" ref="F407">IFERROR(_xlfn.LET(
_xlpm.CSVVal,_xlfn.XLOOKUP($A407,CSV!$A:$A,CSV!F:F,""),
_xlpm.MacVal,_xlfn.XLOOKUP($A407,Output_Mac!$A:$A,Output_Mac!E:E,""),
_xlpm.MyAuditVal,_xlfn.XLOOKUP($A407,My_Audit!$A:$A,My_Audit!E:E,""),
_xlfn.IFS(_xlpm.MyAuditVal&lt;&gt;"",_xlpm.MyAuditVal,_xlpm.MacVal&lt;&gt;"",_xlpm.MacVal,_xlpm.CSVVal&lt;&gt;"",_xlpm.CSVVal
)),"")</f>
        <v/>
      </c>
      <c r="G407" s="2" t="str" cm="1">
        <f t="array" ref="G407">IFERROR(_xlfn.LET(
_xlpm.CSVVal,_xlfn.XLOOKUP($A407,CSV!$A:$A,CSV!G:G,""),
_xlpm.MacVal,_xlfn.XLOOKUP($A407,Output_Mac!$A:$A,Output_Mac!F:F,""),
_xlpm.MyAuditVal,_xlfn.XLOOKUP($A407,My_Audit!$A:$A,My_Audit!F:F,""),
_xlfn.IFS(_xlpm.MyAuditVal&lt;&gt;"",_xlpm.MyAuditVal,_xlpm.MacVal&lt;&gt;"",_xlpm.MacVal,_xlpm.CSVVal&lt;&gt;"",PROPER(_xlpm.CSVVal)
)),"")</f>
        <v/>
      </c>
      <c r="H407" s="2" t="str" cm="1">
        <f t="array" ref="H407">IFERROR(_xlfn.LET(
_xlpm.CSVVal,_xlfn.XLOOKUP($A407,CSV!$A:$A,CSV!H:H,""),
_xlpm.MacVal,_xlfn.XLOOKUP($A407,Output_Mac!$A:$A,Output_Mac!H:H,""),
_xlpm.MyAuditVal,_xlfn.XLOOKUP($A407,My_Audit!$A:$A,My_Audit!G:G,""),
_xlfn.IFS(_xlpm.MyAuditVal&lt;&gt;"",_xlpm.MyAuditVal,_xlpm.MacVal&lt;&gt;"",_xlpm.MacVal,_xlpm.CSVVal&lt;&gt;"",_xlpm.CSVVal
)),"")</f>
        <v/>
      </c>
      <c r="I407" s="2" t="str">
        <f>_xlfn.XLOOKUP(A407,Output_Mac!A:A,Output_Mac!I:I,"")</f>
        <v/>
      </c>
      <c r="J407" s="2" t="str" cm="1">
        <f t="array" ref="J407">IFERROR(_xlfn.LET(
_xlpm.CSVVal,_xlfn.XLOOKUP($A407,CSV!$A:$A,CSV!I:I,""),
_xlpm.MacVal,_xlfn.XLOOKUP($A407,Output_Mac!$A:$A,Output_Mac!J:J,""),
_xlpm.MyAuditVal,_xlfn.XLOOKUP($A407,My_Audit!$A:$A,My_Audit!I:I,""),
_xlfn.IFS(_xlpm.MyAuditVal&lt;&gt;"",UPPER(_xlpm.MyAuditVal),_xlpm.MacVal&lt;&gt;"",_xlpm.MacVal,_xlpm.CSVVal&lt;&gt;"",_xlpm.CSVVal
)),"")</f>
        <v/>
      </c>
      <c r="K407" s="2" t="str" cm="1">
        <f t="array" ref="K407">IFERROR(_xlfn.LET(
_xlpm.CSVVal,_xlfn.XLOOKUP($A407,CSV!$A:$A,CSV!K:K,""),
_xlpm.MacVal,_xlfn.XLOOKUP($A407,Output_Mac!$A:$A,Output_Mac!K:K,""),
_xlpm.MyAuditVal,_xlfn.XLOOKUP($A407,My_Audit!$A:$A,My_Audit!J:J,""),
_xlfn.IFS(_xlpm.MyAuditVal&lt;&gt;"",UPPER(_xlpm.MyAuditVal),_xlpm.MacVal&lt;&gt;"",_xlpm.MacVal,_xlpm.CSVVal&lt;&gt;"",_xlpm.CSVVal
)),"")</f>
        <v/>
      </c>
      <c r="L407" s="2" t="str" cm="1">
        <f t="array" ref="L407">IFERROR(_xlfn.LET(
_xlpm.CSVVal,_xlfn.XLOOKUP($A407,CSV!$A:$A,CSV!P:P,""),
_xlpm.MacVal,_xlfn.XLOOKUP($A407,Output_Mac!$A:$A,Output_Mac!L:L,""),
_xlpm.MyAuditVal,_xlfn.XLOOKUP($A407,My_Audit!$A:$A,My_Audit!K:K,""),
_xlfn.IFS(_xlpm.MyAuditVal&lt;&gt;"",UPPER(_xlpm.MyAuditVal),_xlpm.MacVal&lt;&gt;"",_xlpm.MacVal,_xlpm.CSVVal&lt;&gt;"",_xlpm.CSVVal
)),"")</f>
        <v/>
      </c>
      <c r="M407" s="2" t="str" cm="1">
        <f t="array" ref="M407">IFERROR(_xlfn.LET(
_xlpm.CSVVal,_xlfn.XLOOKUP($A407,CSV!$A:$A,CSV!Q:Q,""),
_xlpm.MacVal,_xlfn.XLOOKUP($A407,Output_Mac!$A:$A,Output_Mac!M:M,""),
_xlpm.MyAuditVal,_xlfn.XLOOKUP($A407,My_Audit!$A:$A,My_Audit!L:L,""),
_xlfn.IFS(_xlpm.MyAuditVal&lt;&gt;"",UPPER(_xlpm.MyAuditVal),_xlpm.MacVal&lt;&gt;"",_xlpm.MacVal,_xlpm.CSVVal&lt;&gt;"",_xlpm.CSVVal
)),"")</f>
        <v/>
      </c>
      <c r="O407" s="2" t="str">
        <f>_xlfn.LET(
    _xlpm.CSVVal, _xlfn.XLOOKUP($A407, CSV!$A:$A, CSV!AF:AF, ""),
    _xlpm.MacVal, _xlfn.XLOOKUP($A407, Output_Mac!$A:$A, Output_Mac!S:S, ""),
    _xlpm.MyAuditVal, _xlfn.XLOOKUP($A407, My_Audit!$A:$A, My_Audit!P:P, ""),
    _xlfn.TEXTJOIN(", ", TRUE, _xlpm.MyAuditVal, _xlpm.MacVal, _xlpm.CSVVal)
)</f>
        <v/>
      </c>
      <c r="P407" s="2" t="str" cm="1">
        <f t="array" ref="P407">IFERROR(_xlfn.LET(
_xlpm.CSVVal,_xlfn.XLOOKUP($A407,CSV!$A:$A,CSV!AG:AG,""),
_xlpm.MacVal,_xlfn.XLOOKUP($A407,Output_Mac!$A:$A,Output_Mac!T:T,""),
_xlpm.MyAuditVal,_xlfn.XLOOKUP($A407,My_Audit!$A:$A,My_Audit!Q:Q,""),
_xlfn.IFS(_xlpm.MyAuditVal&lt;&gt;"",UPPER(_xlpm.MyAuditVal),_xlpm.MacVal&lt;&gt;"",_xlpm.MacVal,_xlpm.CSVVal&lt;&gt;"",_xlpm.CSVVal
)),"No")</f>
        <v>No</v>
      </c>
      <c r="Q407" s="2" t="str" cm="1">
        <f t="array" ref="Q407">IFERROR(_xlfn.LET(
_xlpm.CSVVal,_xlfn.XLOOKUP($A407,CSV!$A:$A,CSV!AH:AH,""),
_xlpm.MacVal,_xlfn.XLOOKUP($A407,Output_Mac!$A:$A,Output_Mac!U:U,""),
_xlpm.MyAuditVal,_xlfn.XLOOKUP($A407,My_Audit!$A:$A,My_Audit!R:R,""),
_xlfn.IFS(_xlpm.MyAuditVal&lt;&gt;"",UPPER(_xlpm.MyAuditVal),_xlpm.MacVal&lt;&gt;"",_xlpm.MacVal,_xlpm.CSVVal&lt;&gt;"",_xlpm.CSVVal
)),"")</f>
        <v/>
      </c>
    </row>
    <row r="408" spans="1:17">
      <c r="A408" s="2" t="str">
        <f>_xlfn.TEXTJOIN("",TRUE,Input!$B$2,ROW(My_Audit!A407))</f>
        <v>XX407</v>
      </c>
      <c r="B408" s="2" t="str">
        <f>_xlfn.TEXTJOIN("-",TRUE,"ITD",Input!$A$2,A408)</f>
        <v>ITD-SHRXXX-XX407</v>
      </c>
      <c r="C408" s="2" t="str" cm="1">
        <f t="array" ref="C408">IFERROR(_xlfn.LET(
_xlpm.CSVVal,_xlfn.XLOOKUP($A408,CSV!$A:$A,CSV!B:B,""),
_xlpm.MacVal,_xlfn.XLOOKUP($A408,Output_Mac!$A:$A,Output_Mac!B:B,""),
_xlpm.MyAuditVal,_xlfn.XLOOKUP($A408,My_Audit!$A:$A,My_Audit!B:B,""),
_xlfn.IFS(_xlpm.MyAuditVal&lt;&gt;"",UPPER(_xlpm.MyAuditVal),_xlpm.MacVal&lt;&gt;"",_xlpm.MacVal,_xlpm.CSVVal&lt;&gt;"",_xlpm.CSVVal
)),"")</f>
        <v/>
      </c>
      <c r="D408" s="2" t="str" cm="1">
        <f t="array" ref="D408">IFERROR(_xlfn.LET(
_xlpm.CSVVal,_xlfn.XLOOKUP($A408,CSV!$A:$A,CSV!D:D,""),
_xlpm.MacVal,_xlfn.XLOOKUP($A408,Output_Mac!$A:$A,Output_Mac!C:C,""),
_xlpm.MyAuditVal,_xlfn.XLOOKUP($A408,My_Audit!$A:$A,My_Audit!C:C,""),
_xlfn.IFS(_xlpm.MyAuditVal&lt;&gt;"",_xlpm.MyAuditVal,_xlpm.MacVal&lt;&gt;"",_xlpm.MacVal,_xlpm.CSVVal&lt;&gt;"",_xlpm.CSVVal
)),"")</f>
        <v/>
      </c>
      <c r="E408" s="2" t="str">
        <f>_xlfn.XLOOKUP(A408,My_Audit!A:A,My_Audit!D:D,"")&amp;""</f>
        <v/>
      </c>
      <c r="F408" s="2" t="str" cm="1">
        <f t="array" ref="F408">IFERROR(_xlfn.LET(
_xlpm.CSVVal,_xlfn.XLOOKUP($A408,CSV!$A:$A,CSV!F:F,""),
_xlpm.MacVal,_xlfn.XLOOKUP($A408,Output_Mac!$A:$A,Output_Mac!E:E,""),
_xlpm.MyAuditVal,_xlfn.XLOOKUP($A408,My_Audit!$A:$A,My_Audit!E:E,""),
_xlfn.IFS(_xlpm.MyAuditVal&lt;&gt;"",_xlpm.MyAuditVal,_xlpm.MacVal&lt;&gt;"",_xlpm.MacVal,_xlpm.CSVVal&lt;&gt;"",_xlpm.CSVVal
)),"")</f>
        <v/>
      </c>
      <c r="G408" s="2" t="str" cm="1">
        <f t="array" ref="G408">IFERROR(_xlfn.LET(
_xlpm.CSVVal,_xlfn.XLOOKUP($A408,CSV!$A:$A,CSV!G:G,""),
_xlpm.MacVal,_xlfn.XLOOKUP($A408,Output_Mac!$A:$A,Output_Mac!F:F,""),
_xlpm.MyAuditVal,_xlfn.XLOOKUP($A408,My_Audit!$A:$A,My_Audit!F:F,""),
_xlfn.IFS(_xlpm.MyAuditVal&lt;&gt;"",_xlpm.MyAuditVal,_xlpm.MacVal&lt;&gt;"",_xlpm.MacVal,_xlpm.CSVVal&lt;&gt;"",PROPER(_xlpm.CSVVal)
)),"")</f>
        <v/>
      </c>
      <c r="H408" s="2" t="str" cm="1">
        <f t="array" ref="H408">IFERROR(_xlfn.LET(
_xlpm.CSVVal,_xlfn.XLOOKUP($A408,CSV!$A:$A,CSV!H:H,""),
_xlpm.MacVal,_xlfn.XLOOKUP($A408,Output_Mac!$A:$A,Output_Mac!H:H,""),
_xlpm.MyAuditVal,_xlfn.XLOOKUP($A408,My_Audit!$A:$A,My_Audit!G:G,""),
_xlfn.IFS(_xlpm.MyAuditVal&lt;&gt;"",_xlpm.MyAuditVal,_xlpm.MacVal&lt;&gt;"",_xlpm.MacVal,_xlpm.CSVVal&lt;&gt;"",_xlpm.CSVVal
)),"")</f>
        <v/>
      </c>
      <c r="I408" s="2" t="str">
        <f>_xlfn.XLOOKUP(A408,Output_Mac!A:A,Output_Mac!I:I,"")</f>
        <v/>
      </c>
      <c r="J408" s="2" t="str" cm="1">
        <f t="array" ref="J408">IFERROR(_xlfn.LET(
_xlpm.CSVVal,_xlfn.XLOOKUP($A408,CSV!$A:$A,CSV!I:I,""),
_xlpm.MacVal,_xlfn.XLOOKUP($A408,Output_Mac!$A:$A,Output_Mac!J:J,""),
_xlpm.MyAuditVal,_xlfn.XLOOKUP($A408,My_Audit!$A:$A,My_Audit!I:I,""),
_xlfn.IFS(_xlpm.MyAuditVal&lt;&gt;"",UPPER(_xlpm.MyAuditVal),_xlpm.MacVal&lt;&gt;"",_xlpm.MacVal,_xlpm.CSVVal&lt;&gt;"",_xlpm.CSVVal
)),"")</f>
        <v/>
      </c>
      <c r="K408" s="2" t="str" cm="1">
        <f t="array" ref="K408">IFERROR(_xlfn.LET(
_xlpm.CSVVal,_xlfn.XLOOKUP($A408,CSV!$A:$A,CSV!K:K,""),
_xlpm.MacVal,_xlfn.XLOOKUP($A408,Output_Mac!$A:$A,Output_Mac!K:K,""),
_xlpm.MyAuditVal,_xlfn.XLOOKUP($A408,My_Audit!$A:$A,My_Audit!J:J,""),
_xlfn.IFS(_xlpm.MyAuditVal&lt;&gt;"",UPPER(_xlpm.MyAuditVal),_xlpm.MacVal&lt;&gt;"",_xlpm.MacVal,_xlpm.CSVVal&lt;&gt;"",_xlpm.CSVVal
)),"")</f>
        <v/>
      </c>
      <c r="L408" s="2" t="str" cm="1">
        <f t="array" ref="L408">IFERROR(_xlfn.LET(
_xlpm.CSVVal,_xlfn.XLOOKUP($A408,CSV!$A:$A,CSV!P:P,""),
_xlpm.MacVal,_xlfn.XLOOKUP($A408,Output_Mac!$A:$A,Output_Mac!L:L,""),
_xlpm.MyAuditVal,_xlfn.XLOOKUP($A408,My_Audit!$A:$A,My_Audit!K:K,""),
_xlfn.IFS(_xlpm.MyAuditVal&lt;&gt;"",UPPER(_xlpm.MyAuditVal),_xlpm.MacVal&lt;&gt;"",_xlpm.MacVal,_xlpm.CSVVal&lt;&gt;"",_xlpm.CSVVal
)),"")</f>
        <v/>
      </c>
      <c r="M408" s="2" t="str" cm="1">
        <f t="array" ref="M408">IFERROR(_xlfn.LET(
_xlpm.CSVVal,_xlfn.XLOOKUP($A408,CSV!$A:$A,CSV!Q:Q,""),
_xlpm.MacVal,_xlfn.XLOOKUP($A408,Output_Mac!$A:$A,Output_Mac!M:M,""),
_xlpm.MyAuditVal,_xlfn.XLOOKUP($A408,My_Audit!$A:$A,My_Audit!L:L,""),
_xlfn.IFS(_xlpm.MyAuditVal&lt;&gt;"",UPPER(_xlpm.MyAuditVal),_xlpm.MacVal&lt;&gt;"",_xlpm.MacVal,_xlpm.CSVVal&lt;&gt;"",_xlpm.CSVVal
)),"")</f>
        <v/>
      </c>
      <c r="O408" s="2" t="str">
        <f>_xlfn.LET(
    _xlpm.CSVVal, _xlfn.XLOOKUP($A408, CSV!$A:$A, CSV!AF:AF, ""),
    _xlpm.MacVal, _xlfn.XLOOKUP($A408, Output_Mac!$A:$A, Output_Mac!S:S, ""),
    _xlpm.MyAuditVal, _xlfn.XLOOKUP($A408, My_Audit!$A:$A, My_Audit!P:P, ""),
    _xlfn.TEXTJOIN(", ", TRUE, _xlpm.MyAuditVal, _xlpm.MacVal, _xlpm.CSVVal)
)</f>
        <v/>
      </c>
      <c r="P408" s="2" t="str" cm="1">
        <f t="array" ref="P408">IFERROR(_xlfn.LET(
_xlpm.CSVVal,_xlfn.XLOOKUP($A408,CSV!$A:$A,CSV!AG:AG,""),
_xlpm.MacVal,_xlfn.XLOOKUP($A408,Output_Mac!$A:$A,Output_Mac!T:T,""),
_xlpm.MyAuditVal,_xlfn.XLOOKUP($A408,My_Audit!$A:$A,My_Audit!Q:Q,""),
_xlfn.IFS(_xlpm.MyAuditVal&lt;&gt;"",UPPER(_xlpm.MyAuditVal),_xlpm.MacVal&lt;&gt;"",_xlpm.MacVal,_xlpm.CSVVal&lt;&gt;"",_xlpm.CSVVal
)),"No")</f>
        <v>No</v>
      </c>
      <c r="Q408" s="2" t="str" cm="1">
        <f t="array" ref="Q408">IFERROR(_xlfn.LET(
_xlpm.CSVVal,_xlfn.XLOOKUP($A408,CSV!$A:$A,CSV!AH:AH,""),
_xlpm.MacVal,_xlfn.XLOOKUP($A408,Output_Mac!$A:$A,Output_Mac!U:U,""),
_xlpm.MyAuditVal,_xlfn.XLOOKUP($A408,My_Audit!$A:$A,My_Audit!R:R,""),
_xlfn.IFS(_xlpm.MyAuditVal&lt;&gt;"",UPPER(_xlpm.MyAuditVal),_xlpm.MacVal&lt;&gt;"",_xlpm.MacVal,_xlpm.CSVVal&lt;&gt;"",_xlpm.CSVVal
)),"")</f>
        <v/>
      </c>
    </row>
    <row r="409" spans="1:17">
      <c r="A409" s="2" t="str">
        <f>_xlfn.TEXTJOIN("",TRUE,Input!$B$2,ROW(My_Audit!A408))</f>
        <v>XX408</v>
      </c>
      <c r="B409" s="2" t="str">
        <f>_xlfn.TEXTJOIN("-",TRUE,"ITD",Input!$A$2,A409)</f>
        <v>ITD-SHRXXX-XX408</v>
      </c>
      <c r="C409" s="2" t="str" cm="1">
        <f t="array" ref="C409">IFERROR(_xlfn.LET(
_xlpm.CSVVal,_xlfn.XLOOKUP($A409,CSV!$A:$A,CSV!B:B,""),
_xlpm.MacVal,_xlfn.XLOOKUP($A409,Output_Mac!$A:$A,Output_Mac!B:B,""),
_xlpm.MyAuditVal,_xlfn.XLOOKUP($A409,My_Audit!$A:$A,My_Audit!B:B,""),
_xlfn.IFS(_xlpm.MyAuditVal&lt;&gt;"",UPPER(_xlpm.MyAuditVal),_xlpm.MacVal&lt;&gt;"",_xlpm.MacVal,_xlpm.CSVVal&lt;&gt;"",_xlpm.CSVVal
)),"")</f>
        <v/>
      </c>
      <c r="D409" s="2" t="str" cm="1">
        <f t="array" ref="D409">IFERROR(_xlfn.LET(
_xlpm.CSVVal,_xlfn.XLOOKUP($A409,CSV!$A:$A,CSV!D:D,""),
_xlpm.MacVal,_xlfn.XLOOKUP($A409,Output_Mac!$A:$A,Output_Mac!C:C,""),
_xlpm.MyAuditVal,_xlfn.XLOOKUP($A409,My_Audit!$A:$A,My_Audit!C:C,""),
_xlfn.IFS(_xlpm.MyAuditVal&lt;&gt;"",_xlpm.MyAuditVal,_xlpm.MacVal&lt;&gt;"",_xlpm.MacVal,_xlpm.CSVVal&lt;&gt;"",_xlpm.CSVVal
)),"")</f>
        <v/>
      </c>
      <c r="E409" s="2" t="str">
        <f>_xlfn.XLOOKUP(A409,My_Audit!A:A,My_Audit!D:D,"")&amp;""</f>
        <v/>
      </c>
      <c r="F409" s="2" t="str" cm="1">
        <f t="array" ref="F409">IFERROR(_xlfn.LET(
_xlpm.CSVVal,_xlfn.XLOOKUP($A409,CSV!$A:$A,CSV!F:F,""),
_xlpm.MacVal,_xlfn.XLOOKUP($A409,Output_Mac!$A:$A,Output_Mac!E:E,""),
_xlpm.MyAuditVal,_xlfn.XLOOKUP($A409,My_Audit!$A:$A,My_Audit!E:E,""),
_xlfn.IFS(_xlpm.MyAuditVal&lt;&gt;"",_xlpm.MyAuditVal,_xlpm.MacVal&lt;&gt;"",_xlpm.MacVal,_xlpm.CSVVal&lt;&gt;"",_xlpm.CSVVal
)),"")</f>
        <v/>
      </c>
      <c r="G409" s="2" t="str" cm="1">
        <f t="array" ref="G409">IFERROR(_xlfn.LET(
_xlpm.CSVVal,_xlfn.XLOOKUP($A409,CSV!$A:$A,CSV!G:G,""),
_xlpm.MacVal,_xlfn.XLOOKUP($A409,Output_Mac!$A:$A,Output_Mac!F:F,""),
_xlpm.MyAuditVal,_xlfn.XLOOKUP($A409,My_Audit!$A:$A,My_Audit!F:F,""),
_xlfn.IFS(_xlpm.MyAuditVal&lt;&gt;"",_xlpm.MyAuditVal,_xlpm.MacVal&lt;&gt;"",_xlpm.MacVal,_xlpm.CSVVal&lt;&gt;"",PROPER(_xlpm.CSVVal)
)),"")</f>
        <v/>
      </c>
      <c r="H409" s="2" t="str" cm="1">
        <f t="array" ref="H409">IFERROR(_xlfn.LET(
_xlpm.CSVVal,_xlfn.XLOOKUP($A409,CSV!$A:$A,CSV!H:H,""),
_xlpm.MacVal,_xlfn.XLOOKUP($A409,Output_Mac!$A:$A,Output_Mac!H:H,""),
_xlpm.MyAuditVal,_xlfn.XLOOKUP($A409,My_Audit!$A:$A,My_Audit!G:G,""),
_xlfn.IFS(_xlpm.MyAuditVal&lt;&gt;"",_xlpm.MyAuditVal,_xlpm.MacVal&lt;&gt;"",_xlpm.MacVal,_xlpm.CSVVal&lt;&gt;"",_xlpm.CSVVal
)),"")</f>
        <v/>
      </c>
      <c r="I409" s="2" t="str">
        <f>_xlfn.XLOOKUP(A409,Output_Mac!A:A,Output_Mac!I:I,"")</f>
        <v/>
      </c>
      <c r="J409" s="2" t="str" cm="1">
        <f t="array" ref="J409">IFERROR(_xlfn.LET(
_xlpm.CSVVal,_xlfn.XLOOKUP($A409,CSV!$A:$A,CSV!I:I,""),
_xlpm.MacVal,_xlfn.XLOOKUP($A409,Output_Mac!$A:$A,Output_Mac!J:J,""),
_xlpm.MyAuditVal,_xlfn.XLOOKUP($A409,My_Audit!$A:$A,My_Audit!I:I,""),
_xlfn.IFS(_xlpm.MyAuditVal&lt;&gt;"",UPPER(_xlpm.MyAuditVal),_xlpm.MacVal&lt;&gt;"",_xlpm.MacVal,_xlpm.CSVVal&lt;&gt;"",_xlpm.CSVVal
)),"")</f>
        <v/>
      </c>
      <c r="K409" s="2" t="str" cm="1">
        <f t="array" ref="K409">IFERROR(_xlfn.LET(
_xlpm.CSVVal,_xlfn.XLOOKUP($A409,CSV!$A:$A,CSV!K:K,""),
_xlpm.MacVal,_xlfn.XLOOKUP($A409,Output_Mac!$A:$A,Output_Mac!K:K,""),
_xlpm.MyAuditVal,_xlfn.XLOOKUP($A409,My_Audit!$A:$A,My_Audit!J:J,""),
_xlfn.IFS(_xlpm.MyAuditVal&lt;&gt;"",UPPER(_xlpm.MyAuditVal),_xlpm.MacVal&lt;&gt;"",_xlpm.MacVal,_xlpm.CSVVal&lt;&gt;"",_xlpm.CSVVal
)),"")</f>
        <v/>
      </c>
      <c r="L409" s="2" t="str" cm="1">
        <f t="array" ref="L409">IFERROR(_xlfn.LET(
_xlpm.CSVVal,_xlfn.XLOOKUP($A409,CSV!$A:$A,CSV!P:P,""),
_xlpm.MacVal,_xlfn.XLOOKUP($A409,Output_Mac!$A:$A,Output_Mac!L:L,""),
_xlpm.MyAuditVal,_xlfn.XLOOKUP($A409,My_Audit!$A:$A,My_Audit!K:K,""),
_xlfn.IFS(_xlpm.MyAuditVal&lt;&gt;"",UPPER(_xlpm.MyAuditVal),_xlpm.MacVal&lt;&gt;"",_xlpm.MacVal,_xlpm.CSVVal&lt;&gt;"",_xlpm.CSVVal
)),"")</f>
        <v/>
      </c>
      <c r="M409" s="2" t="str" cm="1">
        <f t="array" ref="M409">IFERROR(_xlfn.LET(
_xlpm.CSVVal,_xlfn.XLOOKUP($A409,CSV!$A:$A,CSV!Q:Q,""),
_xlpm.MacVal,_xlfn.XLOOKUP($A409,Output_Mac!$A:$A,Output_Mac!M:M,""),
_xlpm.MyAuditVal,_xlfn.XLOOKUP($A409,My_Audit!$A:$A,My_Audit!L:L,""),
_xlfn.IFS(_xlpm.MyAuditVal&lt;&gt;"",UPPER(_xlpm.MyAuditVal),_xlpm.MacVal&lt;&gt;"",_xlpm.MacVal,_xlpm.CSVVal&lt;&gt;"",_xlpm.CSVVal
)),"")</f>
        <v/>
      </c>
      <c r="O409" s="2" t="str">
        <f>_xlfn.LET(
    _xlpm.CSVVal, _xlfn.XLOOKUP($A409, CSV!$A:$A, CSV!AF:AF, ""),
    _xlpm.MacVal, _xlfn.XLOOKUP($A409, Output_Mac!$A:$A, Output_Mac!S:S, ""),
    _xlpm.MyAuditVal, _xlfn.XLOOKUP($A409, My_Audit!$A:$A, My_Audit!P:P, ""),
    _xlfn.TEXTJOIN(", ", TRUE, _xlpm.MyAuditVal, _xlpm.MacVal, _xlpm.CSVVal)
)</f>
        <v/>
      </c>
      <c r="P409" s="2" t="str" cm="1">
        <f t="array" ref="P409">IFERROR(_xlfn.LET(
_xlpm.CSVVal,_xlfn.XLOOKUP($A409,CSV!$A:$A,CSV!AG:AG,""),
_xlpm.MacVal,_xlfn.XLOOKUP($A409,Output_Mac!$A:$A,Output_Mac!T:T,""),
_xlpm.MyAuditVal,_xlfn.XLOOKUP($A409,My_Audit!$A:$A,My_Audit!Q:Q,""),
_xlfn.IFS(_xlpm.MyAuditVal&lt;&gt;"",UPPER(_xlpm.MyAuditVal),_xlpm.MacVal&lt;&gt;"",_xlpm.MacVal,_xlpm.CSVVal&lt;&gt;"",_xlpm.CSVVal
)),"No")</f>
        <v>No</v>
      </c>
      <c r="Q409" s="2" t="str" cm="1">
        <f t="array" ref="Q409">IFERROR(_xlfn.LET(
_xlpm.CSVVal,_xlfn.XLOOKUP($A409,CSV!$A:$A,CSV!AH:AH,""),
_xlpm.MacVal,_xlfn.XLOOKUP($A409,Output_Mac!$A:$A,Output_Mac!U:U,""),
_xlpm.MyAuditVal,_xlfn.XLOOKUP($A409,My_Audit!$A:$A,My_Audit!R:R,""),
_xlfn.IFS(_xlpm.MyAuditVal&lt;&gt;"",UPPER(_xlpm.MyAuditVal),_xlpm.MacVal&lt;&gt;"",_xlpm.MacVal,_xlpm.CSVVal&lt;&gt;"",_xlpm.CSVVal
)),"")</f>
        <v/>
      </c>
    </row>
    <row r="410" spans="1:17">
      <c r="A410" s="2" t="str">
        <f>_xlfn.TEXTJOIN("",TRUE,Input!$B$2,ROW(My_Audit!A409))</f>
        <v>XX409</v>
      </c>
      <c r="B410" s="2" t="str">
        <f>_xlfn.TEXTJOIN("-",TRUE,"ITD",Input!$A$2,A410)</f>
        <v>ITD-SHRXXX-XX409</v>
      </c>
      <c r="C410" s="2" t="str" cm="1">
        <f t="array" ref="C410">IFERROR(_xlfn.LET(
_xlpm.CSVVal,_xlfn.XLOOKUP($A410,CSV!$A:$A,CSV!B:B,""),
_xlpm.MacVal,_xlfn.XLOOKUP($A410,Output_Mac!$A:$A,Output_Mac!B:B,""),
_xlpm.MyAuditVal,_xlfn.XLOOKUP($A410,My_Audit!$A:$A,My_Audit!B:B,""),
_xlfn.IFS(_xlpm.MyAuditVal&lt;&gt;"",UPPER(_xlpm.MyAuditVal),_xlpm.MacVal&lt;&gt;"",_xlpm.MacVal,_xlpm.CSVVal&lt;&gt;"",_xlpm.CSVVal
)),"")</f>
        <v/>
      </c>
      <c r="D410" s="2" t="str" cm="1">
        <f t="array" ref="D410">IFERROR(_xlfn.LET(
_xlpm.CSVVal,_xlfn.XLOOKUP($A410,CSV!$A:$A,CSV!D:D,""),
_xlpm.MacVal,_xlfn.XLOOKUP($A410,Output_Mac!$A:$A,Output_Mac!C:C,""),
_xlpm.MyAuditVal,_xlfn.XLOOKUP($A410,My_Audit!$A:$A,My_Audit!C:C,""),
_xlfn.IFS(_xlpm.MyAuditVal&lt;&gt;"",_xlpm.MyAuditVal,_xlpm.MacVal&lt;&gt;"",_xlpm.MacVal,_xlpm.CSVVal&lt;&gt;"",_xlpm.CSVVal
)),"")</f>
        <v/>
      </c>
      <c r="E410" s="2" t="str">
        <f>_xlfn.XLOOKUP(A410,My_Audit!A:A,My_Audit!D:D,"")&amp;""</f>
        <v/>
      </c>
      <c r="F410" s="2" t="str" cm="1">
        <f t="array" ref="F410">IFERROR(_xlfn.LET(
_xlpm.CSVVal,_xlfn.XLOOKUP($A410,CSV!$A:$A,CSV!F:F,""),
_xlpm.MacVal,_xlfn.XLOOKUP($A410,Output_Mac!$A:$A,Output_Mac!E:E,""),
_xlpm.MyAuditVal,_xlfn.XLOOKUP($A410,My_Audit!$A:$A,My_Audit!E:E,""),
_xlfn.IFS(_xlpm.MyAuditVal&lt;&gt;"",_xlpm.MyAuditVal,_xlpm.MacVal&lt;&gt;"",_xlpm.MacVal,_xlpm.CSVVal&lt;&gt;"",_xlpm.CSVVal
)),"")</f>
        <v/>
      </c>
      <c r="G410" s="2" t="str" cm="1">
        <f t="array" ref="G410">IFERROR(_xlfn.LET(
_xlpm.CSVVal,_xlfn.XLOOKUP($A410,CSV!$A:$A,CSV!G:G,""),
_xlpm.MacVal,_xlfn.XLOOKUP($A410,Output_Mac!$A:$A,Output_Mac!F:F,""),
_xlpm.MyAuditVal,_xlfn.XLOOKUP($A410,My_Audit!$A:$A,My_Audit!F:F,""),
_xlfn.IFS(_xlpm.MyAuditVal&lt;&gt;"",_xlpm.MyAuditVal,_xlpm.MacVal&lt;&gt;"",_xlpm.MacVal,_xlpm.CSVVal&lt;&gt;"",PROPER(_xlpm.CSVVal)
)),"")</f>
        <v/>
      </c>
      <c r="H410" s="2" t="str" cm="1">
        <f t="array" ref="H410">IFERROR(_xlfn.LET(
_xlpm.CSVVal,_xlfn.XLOOKUP($A410,CSV!$A:$A,CSV!H:H,""),
_xlpm.MacVal,_xlfn.XLOOKUP($A410,Output_Mac!$A:$A,Output_Mac!H:H,""),
_xlpm.MyAuditVal,_xlfn.XLOOKUP($A410,My_Audit!$A:$A,My_Audit!G:G,""),
_xlfn.IFS(_xlpm.MyAuditVal&lt;&gt;"",_xlpm.MyAuditVal,_xlpm.MacVal&lt;&gt;"",_xlpm.MacVal,_xlpm.CSVVal&lt;&gt;"",_xlpm.CSVVal
)),"")</f>
        <v/>
      </c>
      <c r="I410" s="2" t="str">
        <f>_xlfn.XLOOKUP(A410,Output_Mac!A:A,Output_Mac!I:I,"")</f>
        <v/>
      </c>
      <c r="J410" s="2" t="str" cm="1">
        <f t="array" ref="J410">IFERROR(_xlfn.LET(
_xlpm.CSVVal,_xlfn.XLOOKUP($A410,CSV!$A:$A,CSV!I:I,""),
_xlpm.MacVal,_xlfn.XLOOKUP($A410,Output_Mac!$A:$A,Output_Mac!J:J,""),
_xlpm.MyAuditVal,_xlfn.XLOOKUP($A410,My_Audit!$A:$A,My_Audit!I:I,""),
_xlfn.IFS(_xlpm.MyAuditVal&lt;&gt;"",UPPER(_xlpm.MyAuditVal),_xlpm.MacVal&lt;&gt;"",_xlpm.MacVal,_xlpm.CSVVal&lt;&gt;"",_xlpm.CSVVal
)),"")</f>
        <v/>
      </c>
      <c r="K410" s="2" t="str" cm="1">
        <f t="array" ref="K410">IFERROR(_xlfn.LET(
_xlpm.CSVVal,_xlfn.XLOOKUP($A410,CSV!$A:$A,CSV!K:K,""),
_xlpm.MacVal,_xlfn.XLOOKUP($A410,Output_Mac!$A:$A,Output_Mac!K:K,""),
_xlpm.MyAuditVal,_xlfn.XLOOKUP($A410,My_Audit!$A:$A,My_Audit!J:J,""),
_xlfn.IFS(_xlpm.MyAuditVal&lt;&gt;"",UPPER(_xlpm.MyAuditVal),_xlpm.MacVal&lt;&gt;"",_xlpm.MacVal,_xlpm.CSVVal&lt;&gt;"",_xlpm.CSVVal
)),"")</f>
        <v/>
      </c>
      <c r="L410" s="2" t="str" cm="1">
        <f t="array" ref="L410">IFERROR(_xlfn.LET(
_xlpm.CSVVal,_xlfn.XLOOKUP($A410,CSV!$A:$A,CSV!P:P,""),
_xlpm.MacVal,_xlfn.XLOOKUP($A410,Output_Mac!$A:$A,Output_Mac!L:L,""),
_xlpm.MyAuditVal,_xlfn.XLOOKUP($A410,My_Audit!$A:$A,My_Audit!K:K,""),
_xlfn.IFS(_xlpm.MyAuditVal&lt;&gt;"",UPPER(_xlpm.MyAuditVal),_xlpm.MacVal&lt;&gt;"",_xlpm.MacVal,_xlpm.CSVVal&lt;&gt;"",_xlpm.CSVVal
)),"")</f>
        <v/>
      </c>
      <c r="M410" s="2" t="str" cm="1">
        <f t="array" ref="M410">IFERROR(_xlfn.LET(
_xlpm.CSVVal,_xlfn.XLOOKUP($A410,CSV!$A:$A,CSV!Q:Q,""),
_xlpm.MacVal,_xlfn.XLOOKUP($A410,Output_Mac!$A:$A,Output_Mac!M:M,""),
_xlpm.MyAuditVal,_xlfn.XLOOKUP($A410,My_Audit!$A:$A,My_Audit!L:L,""),
_xlfn.IFS(_xlpm.MyAuditVal&lt;&gt;"",UPPER(_xlpm.MyAuditVal),_xlpm.MacVal&lt;&gt;"",_xlpm.MacVal,_xlpm.CSVVal&lt;&gt;"",_xlpm.CSVVal
)),"")</f>
        <v/>
      </c>
      <c r="O410" s="2" t="str">
        <f>_xlfn.LET(
    _xlpm.CSVVal, _xlfn.XLOOKUP($A410, CSV!$A:$A, CSV!AF:AF, ""),
    _xlpm.MacVal, _xlfn.XLOOKUP($A410, Output_Mac!$A:$A, Output_Mac!S:S, ""),
    _xlpm.MyAuditVal, _xlfn.XLOOKUP($A410, My_Audit!$A:$A, My_Audit!P:P, ""),
    _xlfn.TEXTJOIN(", ", TRUE, _xlpm.MyAuditVal, _xlpm.MacVal, _xlpm.CSVVal)
)</f>
        <v/>
      </c>
      <c r="P410" s="2" t="str" cm="1">
        <f t="array" ref="P410">IFERROR(_xlfn.LET(
_xlpm.CSVVal,_xlfn.XLOOKUP($A410,CSV!$A:$A,CSV!AG:AG,""),
_xlpm.MacVal,_xlfn.XLOOKUP($A410,Output_Mac!$A:$A,Output_Mac!T:T,""),
_xlpm.MyAuditVal,_xlfn.XLOOKUP($A410,My_Audit!$A:$A,My_Audit!Q:Q,""),
_xlfn.IFS(_xlpm.MyAuditVal&lt;&gt;"",UPPER(_xlpm.MyAuditVal),_xlpm.MacVal&lt;&gt;"",_xlpm.MacVal,_xlpm.CSVVal&lt;&gt;"",_xlpm.CSVVal
)),"No")</f>
        <v>No</v>
      </c>
      <c r="Q410" s="2" t="str" cm="1">
        <f t="array" ref="Q410">IFERROR(_xlfn.LET(
_xlpm.CSVVal,_xlfn.XLOOKUP($A410,CSV!$A:$A,CSV!AH:AH,""),
_xlpm.MacVal,_xlfn.XLOOKUP($A410,Output_Mac!$A:$A,Output_Mac!U:U,""),
_xlpm.MyAuditVal,_xlfn.XLOOKUP($A410,My_Audit!$A:$A,My_Audit!R:R,""),
_xlfn.IFS(_xlpm.MyAuditVal&lt;&gt;"",UPPER(_xlpm.MyAuditVal),_xlpm.MacVal&lt;&gt;"",_xlpm.MacVal,_xlpm.CSVVal&lt;&gt;"",_xlpm.CSVVal
)),"")</f>
        <v/>
      </c>
    </row>
    <row r="411" spans="1:17">
      <c r="A411" s="2" t="str">
        <f>_xlfn.TEXTJOIN("",TRUE,Input!$B$2,ROW(My_Audit!A410))</f>
        <v>XX410</v>
      </c>
      <c r="B411" s="2" t="str">
        <f>_xlfn.TEXTJOIN("-",TRUE,"ITD",Input!$A$2,A411)</f>
        <v>ITD-SHRXXX-XX410</v>
      </c>
      <c r="C411" s="2" t="str" cm="1">
        <f t="array" ref="C411">IFERROR(_xlfn.LET(
_xlpm.CSVVal,_xlfn.XLOOKUP($A411,CSV!$A:$A,CSV!B:B,""),
_xlpm.MacVal,_xlfn.XLOOKUP($A411,Output_Mac!$A:$A,Output_Mac!B:B,""),
_xlpm.MyAuditVal,_xlfn.XLOOKUP($A411,My_Audit!$A:$A,My_Audit!B:B,""),
_xlfn.IFS(_xlpm.MyAuditVal&lt;&gt;"",UPPER(_xlpm.MyAuditVal),_xlpm.MacVal&lt;&gt;"",_xlpm.MacVal,_xlpm.CSVVal&lt;&gt;"",_xlpm.CSVVal
)),"")</f>
        <v/>
      </c>
      <c r="D411" s="2" t="str" cm="1">
        <f t="array" ref="D411">IFERROR(_xlfn.LET(
_xlpm.CSVVal,_xlfn.XLOOKUP($A411,CSV!$A:$A,CSV!D:D,""),
_xlpm.MacVal,_xlfn.XLOOKUP($A411,Output_Mac!$A:$A,Output_Mac!C:C,""),
_xlpm.MyAuditVal,_xlfn.XLOOKUP($A411,My_Audit!$A:$A,My_Audit!C:C,""),
_xlfn.IFS(_xlpm.MyAuditVal&lt;&gt;"",_xlpm.MyAuditVal,_xlpm.MacVal&lt;&gt;"",_xlpm.MacVal,_xlpm.CSVVal&lt;&gt;"",_xlpm.CSVVal
)),"")</f>
        <v/>
      </c>
      <c r="E411" s="2" t="str">
        <f>_xlfn.XLOOKUP(A411,My_Audit!A:A,My_Audit!D:D,"")&amp;""</f>
        <v/>
      </c>
      <c r="F411" s="2" t="str" cm="1">
        <f t="array" ref="F411">IFERROR(_xlfn.LET(
_xlpm.CSVVal,_xlfn.XLOOKUP($A411,CSV!$A:$A,CSV!F:F,""),
_xlpm.MacVal,_xlfn.XLOOKUP($A411,Output_Mac!$A:$A,Output_Mac!E:E,""),
_xlpm.MyAuditVal,_xlfn.XLOOKUP($A411,My_Audit!$A:$A,My_Audit!E:E,""),
_xlfn.IFS(_xlpm.MyAuditVal&lt;&gt;"",_xlpm.MyAuditVal,_xlpm.MacVal&lt;&gt;"",_xlpm.MacVal,_xlpm.CSVVal&lt;&gt;"",_xlpm.CSVVal
)),"")</f>
        <v/>
      </c>
      <c r="G411" s="2" t="str" cm="1">
        <f t="array" ref="G411">IFERROR(_xlfn.LET(
_xlpm.CSVVal,_xlfn.XLOOKUP($A411,CSV!$A:$A,CSV!G:G,""),
_xlpm.MacVal,_xlfn.XLOOKUP($A411,Output_Mac!$A:$A,Output_Mac!F:F,""),
_xlpm.MyAuditVal,_xlfn.XLOOKUP($A411,My_Audit!$A:$A,My_Audit!F:F,""),
_xlfn.IFS(_xlpm.MyAuditVal&lt;&gt;"",_xlpm.MyAuditVal,_xlpm.MacVal&lt;&gt;"",_xlpm.MacVal,_xlpm.CSVVal&lt;&gt;"",PROPER(_xlpm.CSVVal)
)),"")</f>
        <v/>
      </c>
      <c r="H411" s="2" t="str" cm="1">
        <f t="array" ref="H411">IFERROR(_xlfn.LET(
_xlpm.CSVVal,_xlfn.XLOOKUP($A411,CSV!$A:$A,CSV!H:H,""),
_xlpm.MacVal,_xlfn.XLOOKUP($A411,Output_Mac!$A:$A,Output_Mac!H:H,""),
_xlpm.MyAuditVal,_xlfn.XLOOKUP($A411,My_Audit!$A:$A,My_Audit!G:G,""),
_xlfn.IFS(_xlpm.MyAuditVal&lt;&gt;"",_xlpm.MyAuditVal,_xlpm.MacVal&lt;&gt;"",_xlpm.MacVal,_xlpm.CSVVal&lt;&gt;"",_xlpm.CSVVal
)),"")</f>
        <v/>
      </c>
      <c r="I411" s="2" t="str">
        <f>_xlfn.XLOOKUP(A411,Output_Mac!A:A,Output_Mac!I:I,"")</f>
        <v/>
      </c>
      <c r="J411" s="2" t="str" cm="1">
        <f t="array" ref="J411">IFERROR(_xlfn.LET(
_xlpm.CSVVal,_xlfn.XLOOKUP($A411,CSV!$A:$A,CSV!I:I,""),
_xlpm.MacVal,_xlfn.XLOOKUP($A411,Output_Mac!$A:$A,Output_Mac!J:J,""),
_xlpm.MyAuditVal,_xlfn.XLOOKUP($A411,My_Audit!$A:$A,My_Audit!I:I,""),
_xlfn.IFS(_xlpm.MyAuditVal&lt;&gt;"",UPPER(_xlpm.MyAuditVal),_xlpm.MacVal&lt;&gt;"",_xlpm.MacVal,_xlpm.CSVVal&lt;&gt;"",_xlpm.CSVVal
)),"")</f>
        <v/>
      </c>
      <c r="K411" s="2" t="str" cm="1">
        <f t="array" ref="K411">IFERROR(_xlfn.LET(
_xlpm.CSVVal,_xlfn.XLOOKUP($A411,CSV!$A:$A,CSV!K:K,""),
_xlpm.MacVal,_xlfn.XLOOKUP($A411,Output_Mac!$A:$A,Output_Mac!K:K,""),
_xlpm.MyAuditVal,_xlfn.XLOOKUP($A411,My_Audit!$A:$A,My_Audit!J:J,""),
_xlfn.IFS(_xlpm.MyAuditVal&lt;&gt;"",UPPER(_xlpm.MyAuditVal),_xlpm.MacVal&lt;&gt;"",_xlpm.MacVal,_xlpm.CSVVal&lt;&gt;"",_xlpm.CSVVal
)),"")</f>
        <v/>
      </c>
      <c r="L411" s="2" t="str" cm="1">
        <f t="array" ref="L411">IFERROR(_xlfn.LET(
_xlpm.CSVVal,_xlfn.XLOOKUP($A411,CSV!$A:$A,CSV!P:P,""),
_xlpm.MacVal,_xlfn.XLOOKUP($A411,Output_Mac!$A:$A,Output_Mac!L:L,""),
_xlpm.MyAuditVal,_xlfn.XLOOKUP($A411,My_Audit!$A:$A,My_Audit!K:K,""),
_xlfn.IFS(_xlpm.MyAuditVal&lt;&gt;"",UPPER(_xlpm.MyAuditVal),_xlpm.MacVal&lt;&gt;"",_xlpm.MacVal,_xlpm.CSVVal&lt;&gt;"",_xlpm.CSVVal
)),"")</f>
        <v/>
      </c>
      <c r="M411" s="2" t="str" cm="1">
        <f t="array" ref="M411">IFERROR(_xlfn.LET(
_xlpm.CSVVal,_xlfn.XLOOKUP($A411,CSV!$A:$A,CSV!Q:Q,""),
_xlpm.MacVal,_xlfn.XLOOKUP($A411,Output_Mac!$A:$A,Output_Mac!M:M,""),
_xlpm.MyAuditVal,_xlfn.XLOOKUP($A411,My_Audit!$A:$A,My_Audit!L:L,""),
_xlfn.IFS(_xlpm.MyAuditVal&lt;&gt;"",UPPER(_xlpm.MyAuditVal),_xlpm.MacVal&lt;&gt;"",_xlpm.MacVal,_xlpm.CSVVal&lt;&gt;"",_xlpm.CSVVal
)),"")</f>
        <v/>
      </c>
      <c r="O411" s="2" t="str">
        <f>_xlfn.LET(
    _xlpm.CSVVal, _xlfn.XLOOKUP($A411, CSV!$A:$A, CSV!AF:AF, ""),
    _xlpm.MacVal, _xlfn.XLOOKUP($A411, Output_Mac!$A:$A, Output_Mac!S:S, ""),
    _xlpm.MyAuditVal, _xlfn.XLOOKUP($A411, My_Audit!$A:$A, My_Audit!P:P, ""),
    _xlfn.TEXTJOIN(", ", TRUE, _xlpm.MyAuditVal, _xlpm.MacVal, _xlpm.CSVVal)
)</f>
        <v/>
      </c>
      <c r="P411" s="2" t="str" cm="1">
        <f t="array" ref="P411">IFERROR(_xlfn.LET(
_xlpm.CSVVal,_xlfn.XLOOKUP($A411,CSV!$A:$A,CSV!AG:AG,""),
_xlpm.MacVal,_xlfn.XLOOKUP($A411,Output_Mac!$A:$A,Output_Mac!T:T,""),
_xlpm.MyAuditVal,_xlfn.XLOOKUP($A411,My_Audit!$A:$A,My_Audit!Q:Q,""),
_xlfn.IFS(_xlpm.MyAuditVal&lt;&gt;"",UPPER(_xlpm.MyAuditVal),_xlpm.MacVal&lt;&gt;"",_xlpm.MacVal,_xlpm.CSVVal&lt;&gt;"",_xlpm.CSVVal
)),"No")</f>
        <v>No</v>
      </c>
      <c r="Q411" s="2" t="str" cm="1">
        <f t="array" ref="Q411">IFERROR(_xlfn.LET(
_xlpm.CSVVal,_xlfn.XLOOKUP($A411,CSV!$A:$A,CSV!AH:AH,""),
_xlpm.MacVal,_xlfn.XLOOKUP($A411,Output_Mac!$A:$A,Output_Mac!U:U,""),
_xlpm.MyAuditVal,_xlfn.XLOOKUP($A411,My_Audit!$A:$A,My_Audit!R:R,""),
_xlfn.IFS(_xlpm.MyAuditVal&lt;&gt;"",UPPER(_xlpm.MyAuditVal),_xlpm.MacVal&lt;&gt;"",_xlpm.MacVal,_xlpm.CSVVal&lt;&gt;"",_xlpm.CSVVal
)),"")</f>
        <v/>
      </c>
    </row>
    <row r="412" spans="1:17">
      <c r="A412" s="2" t="str">
        <f>_xlfn.TEXTJOIN("",TRUE,Input!$B$2,ROW(My_Audit!A411))</f>
        <v>XX411</v>
      </c>
      <c r="B412" s="2" t="str">
        <f>_xlfn.TEXTJOIN("-",TRUE,"ITD",Input!$A$2,A412)</f>
        <v>ITD-SHRXXX-XX411</v>
      </c>
      <c r="C412" s="2" t="str" cm="1">
        <f t="array" ref="C412">IFERROR(_xlfn.LET(
_xlpm.CSVVal,_xlfn.XLOOKUP($A412,CSV!$A:$A,CSV!B:B,""),
_xlpm.MacVal,_xlfn.XLOOKUP($A412,Output_Mac!$A:$A,Output_Mac!B:B,""),
_xlpm.MyAuditVal,_xlfn.XLOOKUP($A412,My_Audit!$A:$A,My_Audit!B:B,""),
_xlfn.IFS(_xlpm.MyAuditVal&lt;&gt;"",UPPER(_xlpm.MyAuditVal),_xlpm.MacVal&lt;&gt;"",_xlpm.MacVal,_xlpm.CSVVal&lt;&gt;"",_xlpm.CSVVal
)),"")</f>
        <v/>
      </c>
      <c r="D412" s="2" t="str" cm="1">
        <f t="array" ref="D412">IFERROR(_xlfn.LET(
_xlpm.CSVVal,_xlfn.XLOOKUP($A412,CSV!$A:$A,CSV!D:D,""),
_xlpm.MacVal,_xlfn.XLOOKUP($A412,Output_Mac!$A:$A,Output_Mac!C:C,""),
_xlpm.MyAuditVal,_xlfn.XLOOKUP($A412,My_Audit!$A:$A,My_Audit!C:C,""),
_xlfn.IFS(_xlpm.MyAuditVal&lt;&gt;"",_xlpm.MyAuditVal,_xlpm.MacVal&lt;&gt;"",_xlpm.MacVal,_xlpm.CSVVal&lt;&gt;"",_xlpm.CSVVal
)),"")</f>
        <v/>
      </c>
      <c r="E412" s="2" t="str">
        <f>_xlfn.XLOOKUP(A412,My_Audit!A:A,My_Audit!D:D,"")&amp;""</f>
        <v/>
      </c>
      <c r="F412" s="2" t="str" cm="1">
        <f t="array" ref="F412">IFERROR(_xlfn.LET(
_xlpm.CSVVal,_xlfn.XLOOKUP($A412,CSV!$A:$A,CSV!F:F,""),
_xlpm.MacVal,_xlfn.XLOOKUP($A412,Output_Mac!$A:$A,Output_Mac!E:E,""),
_xlpm.MyAuditVal,_xlfn.XLOOKUP($A412,My_Audit!$A:$A,My_Audit!E:E,""),
_xlfn.IFS(_xlpm.MyAuditVal&lt;&gt;"",_xlpm.MyAuditVal,_xlpm.MacVal&lt;&gt;"",_xlpm.MacVal,_xlpm.CSVVal&lt;&gt;"",_xlpm.CSVVal
)),"")</f>
        <v/>
      </c>
      <c r="G412" s="2" t="str" cm="1">
        <f t="array" ref="G412">IFERROR(_xlfn.LET(
_xlpm.CSVVal,_xlfn.XLOOKUP($A412,CSV!$A:$A,CSV!G:G,""),
_xlpm.MacVal,_xlfn.XLOOKUP($A412,Output_Mac!$A:$A,Output_Mac!F:F,""),
_xlpm.MyAuditVal,_xlfn.XLOOKUP($A412,My_Audit!$A:$A,My_Audit!F:F,""),
_xlfn.IFS(_xlpm.MyAuditVal&lt;&gt;"",_xlpm.MyAuditVal,_xlpm.MacVal&lt;&gt;"",_xlpm.MacVal,_xlpm.CSVVal&lt;&gt;"",PROPER(_xlpm.CSVVal)
)),"")</f>
        <v/>
      </c>
      <c r="H412" s="2" t="str" cm="1">
        <f t="array" ref="H412">IFERROR(_xlfn.LET(
_xlpm.CSVVal,_xlfn.XLOOKUP($A412,CSV!$A:$A,CSV!H:H,""),
_xlpm.MacVal,_xlfn.XLOOKUP($A412,Output_Mac!$A:$A,Output_Mac!H:H,""),
_xlpm.MyAuditVal,_xlfn.XLOOKUP($A412,My_Audit!$A:$A,My_Audit!G:G,""),
_xlfn.IFS(_xlpm.MyAuditVal&lt;&gt;"",_xlpm.MyAuditVal,_xlpm.MacVal&lt;&gt;"",_xlpm.MacVal,_xlpm.CSVVal&lt;&gt;"",_xlpm.CSVVal
)),"")</f>
        <v/>
      </c>
      <c r="I412" s="2" t="str">
        <f>_xlfn.XLOOKUP(A412,Output_Mac!A:A,Output_Mac!I:I,"")</f>
        <v/>
      </c>
      <c r="J412" s="2" t="str" cm="1">
        <f t="array" ref="J412">IFERROR(_xlfn.LET(
_xlpm.CSVVal,_xlfn.XLOOKUP($A412,CSV!$A:$A,CSV!I:I,""),
_xlpm.MacVal,_xlfn.XLOOKUP($A412,Output_Mac!$A:$A,Output_Mac!J:J,""),
_xlpm.MyAuditVal,_xlfn.XLOOKUP($A412,My_Audit!$A:$A,My_Audit!I:I,""),
_xlfn.IFS(_xlpm.MyAuditVal&lt;&gt;"",UPPER(_xlpm.MyAuditVal),_xlpm.MacVal&lt;&gt;"",_xlpm.MacVal,_xlpm.CSVVal&lt;&gt;"",_xlpm.CSVVal
)),"")</f>
        <v/>
      </c>
      <c r="K412" s="2" t="str" cm="1">
        <f t="array" ref="K412">IFERROR(_xlfn.LET(
_xlpm.CSVVal,_xlfn.XLOOKUP($A412,CSV!$A:$A,CSV!K:K,""),
_xlpm.MacVal,_xlfn.XLOOKUP($A412,Output_Mac!$A:$A,Output_Mac!K:K,""),
_xlpm.MyAuditVal,_xlfn.XLOOKUP($A412,My_Audit!$A:$A,My_Audit!J:J,""),
_xlfn.IFS(_xlpm.MyAuditVal&lt;&gt;"",UPPER(_xlpm.MyAuditVal),_xlpm.MacVal&lt;&gt;"",_xlpm.MacVal,_xlpm.CSVVal&lt;&gt;"",_xlpm.CSVVal
)),"")</f>
        <v/>
      </c>
      <c r="L412" s="2" t="str" cm="1">
        <f t="array" ref="L412">IFERROR(_xlfn.LET(
_xlpm.CSVVal,_xlfn.XLOOKUP($A412,CSV!$A:$A,CSV!P:P,""),
_xlpm.MacVal,_xlfn.XLOOKUP($A412,Output_Mac!$A:$A,Output_Mac!L:L,""),
_xlpm.MyAuditVal,_xlfn.XLOOKUP($A412,My_Audit!$A:$A,My_Audit!K:K,""),
_xlfn.IFS(_xlpm.MyAuditVal&lt;&gt;"",UPPER(_xlpm.MyAuditVal),_xlpm.MacVal&lt;&gt;"",_xlpm.MacVal,_xlpm.CSVVal&lt;&gt;"",_xlpm.CSVVal
)),"")</f>
        <v/>
      </c>
      <c r="M412" s="2" t="str" cm="1">
        <f t="array" ref="M412">IFERROR(_xlfn.LET(
_xlpm.CSVVal,_xlfn.XLOOKUP($A412,CSV!$A:$A,CSV!Q:Q,""),
_xlpm.MacVal,_xlfn.XLOOKUP($A412,Output_Mac!$A:$A,Output_Mac!M:M,""),
_xlpm.MyAuditVal,_xlfn.XLOOKUP($A412,My_Audit!$A:$A,My_Audit!L:L,""),
_xlfn.IFS(_xlpm.MyAuditVal&lt;&gt;"",UPPER(_xlpm.MyAuditVal),_xlpm.MacVal&lt;&gt;"",_xlpm.MacVal,_xlpm.CSVVal&lt;&gt;"",_xlpm.CSVVal
)),"")</f>
        <v/>
      </c>
      <c r="O412" s="2" t="str">
        <f>_xlfn.LET(
    _xlpm.CSVVal, _xlfn.XLOOKUP($A412, CSV!$A:$A, CSV!AF:AF, ""),
    _xlpm.MacVal, _xlfn.XLOOKUP($A412, Output_Mac!$A:$A, Output_Mac!S:S, ""),
    _xlpm.MyAuditVal, _xlfn.XLOOKUP($A412, My_Audit!$A:$A, My_Audit!P:P, ""),
    _xlfn.TEXTJOIN(", ", TRUE, _xlpm.MyAuditVal, _xlpm.MacVal, _xlpm.CSVVal)
)</f>
        <v/>
      </c>
      <c r="P412" s="2" t="str" cm="1">
        <f t="array" ref="P412">IFERROR(_xlfn.LET(
_xlpm.CSVVal,_xlfn.XLOOKUP($A412,CSV!$A:$A,CSV!AG:AG,""),
_xlpm.MacVal,_xlfn.XLOOKUP($A412,Output_Mac!$A:$A,Output_Mac!T:T,""),
_xlpm.MyAuditVal,_xlfn.XLOOKUP($A412,My_Audit!$A:$A,My_Audit!Q:Q,""),
_xlfn.IFS(_xlpm.MyAuditVal&lt;&gt;"",UPPER(_xlpm.MyAuditVal),_xlpm.MacVal&lt;&gt;"",_xlpm.MacVal,_xlpm.CSVVal&lt;&gt;"",_xlpm.CSVVal
)),"No")</f>
        <v>No</v>
      </c>
      <c r="Q412" s="2" t="str" cm="1">
        <f t="array" ref="Q412">IFERROR(_xlfn.LET(
_xlpm.CSVVal,_xlfn.XLOOKUP($A412,CSV!$A:$A,CSV!AH:AH,""),
_xlpm.MacVal,_xlfn.XLOOKUP($A412,Output_Mac!$A:$A,Output_Mac!U:U,""),
_xlpm.MyAuditVal,_xlfn.XLOOKUP($A412,My_Audit!$A:$A,My_Audit!R:R,""),
_xlfn.IFS(_xlpm.MyAuditVal&lt;&gt;"",UPPER(_xlpm.MyAuditVal),_xlpm.MacVal&lt;&gt;"",_xlpm.MacVal,_xlpm.CSVVal&lt;&gt;"",_xlpm.CSVVal
)),"")</f>
        <v/>
      </c>
    </row>
    <row r="413" spans="1:17">
      <c r="A413" s="2" t="str">
        <f>_xlfn.TEXTJOIN("",TRUE,Input!$B$2,ROW(My_Audit!A412))</f>
        <v>XX412</v>
      </c>
      <c r="B413" s="2" t="str">
        <f>_xlfn.TEXTJOIN("-",TRUE,"ITD",Input!$A$2,A413)</f>
        <v>ITD-SHRXXX-XX412</v>
      </c>
      <c r="C413" s="2" t="str" cm="1">
        <f t="array" ref="C413">IFERROR(_xlfn.LET(
_xlpm.CSVVal,_xlfn.XLOOKUP($A413,CSV!$A:$A,CSV!B:B,""),
_xlpm.MacVal,_xlfn.XLOOKUP($A413,Output_Mac!$A:$A,Output_Mac!B:B,""),
_xlpm.MyAuditVal,_xlfn.XLOOKUP($A413,My_Audit!$A:$A,My_Audit!B:B,""),
_xlfn.IFS(_xlpm.MyAuditVal&lt;&gt;"",UPPER(_xlpm.MyAuditVal),_xlpm.MacVal&lt;&gt;"",_xlpm.MacVal,_xlpm.CSVVal&lt;&gt;"",_xlpm.CSVVal
)),"")</f>
        <v/>
      </c>
      <c r="D413" s="2" t="str" cm="1">
        <f t="array" ref="D413">IFERROR(_xlfn.LET(
_xlpm.CSVVal,_xlfn.XLOOKUP($A413,CSV!$A:$A,CSV!D:D,""),
_xlpm.MacVal,_xlfn.XLOOKUP($A413,Output_Mac!$A:$A,Output_Mac!C:C,""),
_xlpm.MyAuditVal,_xlfn.XLOOKUP($A413,My_Audit!$A:$A,My_Audit!C:C,""),
_xlfn.IFS(_xlpm.MyAuditVal&lt;&gt;"",_xlpm.MyAuditVal,_xlpm.MacVal&lt;&gt;"",_xlpm.MacVal,_xlpm.CSVVal&lt;&gt;"",_xlpm.CSVVal
)),"")</f>
        <v/>
      </c>
      <c r="E413" s="2" t="str">
        <f>_xlfn.XLOOKUP(A413,My_Audit!A:A,My_Audit!D:D,"")&amp;""</f>
        <v/>
      </c>
      <c r="F413" s="2" t="str" cm="1">
        <f t="array" ref="F413">IFERROR(_xlfn.LET(
_xlpm.CSVVal,_xlfn.XLOOKUP($A413,CSV!$A:$A,CSV!F:F,""),
_xlpm.MacVal,_xlfn.XLOOKUP($A413,Output_Mac!$A:$A,Output_Mac!E:E,""),
_xlpm.MyAuditVal,_xlfn.XLOOKUP($A413,My_Audit!$A:$A,My_Audit!E:E,""),
_xlfn.IFS(_xlpm.MyAuditVal&lt;&gt;"",_xlpm.MyAuditVal,_xlpm.MacVal&lt;&gt;"",_xlpm.MacVal,_xlpm.CSVVal&lt;&gt;"",_xlpm.CSVVal
)),"")</f>
        <v/>
      </c>
      <c r="G413" s="2" t="str" cm="1">
        <f t="array" ref="G413">IFERROR(_xlfn.LET(
_xlpm.CSVVal,_xlfn.XLOOKUP($A413,CSV!$A:$A,CSV!G:G,""),
_xlpm.MacVal,_xlfn.XLOOKUP($A413,Output_Mac!$A:$A,Output_Mac!F:F,""),
_xlpm.MyAuditVal,_xlfn.XLOOKUP($A413,My_Audit!$A:$A,My_Audit!F:F,""),
_xlfn.IFS(_xlpm.MyAuditVal&lt;&gt;"",_xlpm.MyAuditVal,_xlpm.MacVal&lt;&gt;"",_xlpm.MacVal,_xlpm.CSVVal&lt;&gt;"",PROPER(_xlpm.CSVVal)
)),"")</f>
        <v/>
      </c>
      <c r="H413" s="2" t="str" cm="1">
        <f t="array" ref="H413">IFERROR(_xlfn.LET(
_xlpm.CSVVal,_xlfn.XLOOKUP($A413,CSV!$A:$A,CSV!H:H,""),
_xlpm.MacVal,_xlfn.XLOOKUP($A413,Output_Mac!$A:$A,Output_Mac!H:H,""),
_xlpm.MyAuditVal,_xlfn.XLOOKUP($A413,My_Audit!$A:$A,My_Audit!G:G,""),
_xlfn.IFS(_xlpm.MyAuditVal&lt;&gt;"",_xlpm.MyAuditVal,_xlpm.MacVal&lt;&gt;"",_xlpm.MacVal,_xlpm.CSVVal&lt;&gt;"",_xlpm.CSVVal
)),"")</f>
        <v/>
      </c>
      <c r="I413" s="2" t="str">
        <f>_xlfn.XLOOKUP(A413,Output_Mac!A:A,Output_Mac!I:I,"")</f>
        <v/>
      </c>
      <c r="J413" s="2" t="str" cm="1">
        <f t="array" ref="J413">IFERROR(_xlfn.LET(
_xlpm.CSVVal,_xlfn.XLOOKUP($A413,CSV!$A:$A,CSV!I:I,""),
_xlpm.MacVal,_xlfn.XLOOKUP($A413,Output_Mac!$A:$A,Output_Mac!J:J,""),
_xlpm.MyAuditVal,_xlfn.XLOOKUP($A413,My_Audit!$A:$A,My_Audit!I:I,""),
_xlfn.IFS(_xlpm.MyAuditVal&lt;&gt;"",UPPER(_xlpm.MyAuditVal),_xlpm.MacVal&lt;&gt;"",_xlpm.MacVal,_xlpm.CSVVal&lt;&gt;"",_xlpm.CSVVal
)),"")</f>
        <v/>
      </c>
      <c r="K413" s="2" t="str" cm="1">
        <f t="array" ref="K413">IFERROR(_xlfn.LET(
_xlpm.CSVVal,_xlfn.XLOOKUP($A413,CSV!$A:$A,CSV!K:K,""),
_xlpm.MacVal,_xlfn.XLOOKUP($A413,Output_Mac!$A:$A,Output_Mac!K:K,""),
_xlpm.MyAuditVal,_xlfn.XLOOKUP($A413,My_Audit!$A:$A,My_Audit!J:J,""),
_xlfn.IFS(_xlpm.MyAuditVal&lt;&gt;"",UPPER(_xlpm.MyAuditVal),_xlpm.MacVal&lt;&gt;"",_xlpm.MacVal,_xlpm.CSVVal&lt;&gt;"",_xlpm.CSVVal
)),"")</f>
        <v/>
      </c>
      <c r="L413" s="2" t="str" cm="1">
        <f t="array" ref="L413">IFERROR(_xlfn.LET(
_xlpm.CSVVal,_xlfn.XLOOKUP($A413,CSV!$A:$A,CSV!P:P,""),
_xlpm.MacVal,_xlfn.XLOOKUP($A413,Output_Mac!$A:$A,Output_Mac!L:L,""),
_xlpm.MyAuditVal,_xlfn.XLOOKUP($A413,My_Audit!$A:$A,My_Audit!K:K,""),
_xlfn.IFS(_xlpm.MyAuditVal&lt;&gt;"",UPPER(_xlpm.MyAuditVal),_xlpm.MacVal&lt;&gt;"",_xlpm.MacVal,_xlpm.CSVVal&lt;&gt;"",_xlpm.CSVVal
)),"")</f>
        <v/>
      </c>
      <c r="M413" s="2" t="str" cm="1">
        <f t="array" ref="M413">IFERROR(_xlfn.LET(
_xlpm.CSVVal,_xlfn.XLOOKUP($A413,CSV!$A:$A,CSV!Q:Q,""),
_xlpm.MacVal,_xlfn.XLOOKUP($A413,Output_Mac!$A:$A,Output_Mac!M:M,""),
_xlpm.MyAuditVal,_xlfn.XLOOKUP($A413,My_Audit!$A:$A,My_Audit!L:L,""),
_xlfn.IFS(_xlpm.MyAuditVal&lt;&gt;"",UPPER(_xlpm.MyAuditVal),_xlpm.MacVal&lt;&gt;"",_xlpm.MacVal,_xlpm.CSVVal&lt;&gt;"",_xlpm.CSVVal
)),"")</f>
        <v/>
      </c>
      <c r="O413" s="2" t="str">
        <f>_xlfn.LET(
    _xlpm.CSVVal, _xlfn.XLOOKUP($A413, CSV!$A:$A, CSV!AF:AF, ""),
    _xlpm.MacVal, _xlfn.XLOOKUP($A413, Output_Mac!$A:$A, Output_Mac!S:S, ""),
    _xlpm.MyAuditVal, _xlfn.XLOOKUP($A413, My_Audit!$A:$A, My_Audit!P:P, ""),
    _xlfn.TEXTJOIN(", ", TRUE, _xlpm.MyAuditVal, _xlpm.MacVal, _xlpm.CSVVal)
)</f>
        <v/>
      </c>
      <c r="P413" s="2" t="str" cm="1">
        <f t="array" ref="P413">IFERROR(_xlfn.LET(
_xlpm.CSVVal,_xlfn.XLOOKUP($A413,CSV!$A:$A,CSV!AG:AG,""),
_xlpm.MacVal,_xlfn.XLOOKUP($A413,Output_Mac!$A:$A,Output_Mac!T:T,""),
_xlpm.MyAuditVal,_xlfn.XLOOKUP($A413,My_Audit!$A:$A,My_Audit!Q:Q,""),
_xlfn.IFS(_xlpm.MyAuditVal&lt;&gt;"",UPPER(_xlpm.MyAuditVal),_xlpm.MacVal&lt;&gt;"",_xlpm.MacVal,_xlpm.CSVVal&lt;&gt;"",_xlpm.CSVVal
)),"No")</f>
        <v>No</v>
      </c>
      <c r="Q413" s="2" t="str" cm="1">
        <f t="array" ref="Q413">IFERROR(_xlfn.LET(
_xlpm.CSVVal,_xlfn.XLOOKUP($A413,CSV!$A:$A,CSV!AH:AH,""),
_xlpm.MacVal,_xlfn.XLOOKUP($A413,Output_Mac!$A:$A,Output_Mac!U:U,""),
_xlpm.MyAuditVal,_xlfn.XLOOKUP($A413,My_Audit!$A:$A,My_Audit!R:R,""),
_xlfn.IFS(_xlpm.MyAuditVal&lt;&gt;"",UPPER(_xlpm.MyAuditVal),_xlpm.MacVal&lt;&gt;"",_xlpm.MacVal,_xlpm.CSVVal&lt;&gt;"",_xlpm.CSVVal
)),"")</f>
        <v/>
      </c>
    </row>
    <row r="414" spans="1:17">
      <c r="A414" s="2" t="str">
        <f>_xlfn.TEXTJOIN("",TRUE,Input!$B$2,ROW(My_Audit!A413))</f>
        <v>XX413</v>
      </c>
      <c r="B414" s="2" t="str">
        <f>_xlfn.TEXTJOIN("-",TRUE,"ITD",Input!$A$2,A414)</f>
        <v>ITD-SHRXXX-XX413</v>
      </c>
      <c r="C414" s="2" t="str" cm="1">
        <f t="array" ref="C414">IFERROR(_xlfn.LET(
_xlpm.CSVVal,_xlfn.XLOOKUP($A414,CSV!$A:$A,CSV!B:B,""),
_xlpm.MacVal,_xlfn.XLOOKUP($A414,Output_Mac!$A:$A,Output_Mac!B:B,""),
_xlpm.MyAuditVal,_xlfn.XLOOKUP($A414,My_Audit!$A:$A,My_Audit!B:B,""),
_xlfn.IFS(_xlpm.MyAuditVal&lt;&gt;"",UPPER(_xlpm.MyAuditVal),_xlpm.MacVal&lt;&gt;"",_xlpm.MacVal,_xlpm.CSVVal&lt;&gt;"",_xlpm.CSVVal
)),"")</f>
        <v/>
      </c>
      <c r="D414" s="2" t="str" cm="1">
        <f t="array" ref="D414">IFERROR(_xlfn.LET(
_xlpm.CSVVal,_xlfn.XLOOKUP($A414,CSV!$A:$A,CSV!D:D,""),
_xlpm.MacVal,_xlfn.XLOOKUP($A414,Output_Mac!$A:$A,Output_Mac!C:C,""),
_xlpm.MyAuditVal,_xlfn.XLOOKUP($A414,My_Audit!$A:$A,My_Audit!C:C,""),
_xlfn.IFS(_xlpm.MyAuditVal&lt;&gt;"",_xlpm.MyAuditVal,_xlpm.MacVal&lt;&gt;"",_xlpm.MacVal,_xlpm.CSVVal&lt;&gt;"",_xlpm.CSVVal
)),"")</f>
        <v/>
      </c>
      <c r="E414" s="2" t="str">
        <f>_xlfn.XLOOKUP(A414,My_Audit!A:A,My_Audit!D:D,"")&amp;""</f>
        <v/>
      </c>
      <c r="F414" s="2" t="str" cm="1">
        <f t="array" ref="F414">IFERROR(_xlfn.LET(
_xlpm.CSVVal,_xlfn.XLOOKUP($A414,CSV!$A:$A,CSV!F:F,""),
_xlpm.MacVal,_xlfn.XLOOKUP($A414,Output_Mac!$A:$A,Output_Mac!E:E,""),
_xlpm.MyAuditVal,_xlfn.XLOOKUP($A414,My_Audit!$A:$A,My_Audit!E:E,""),
_xlfn.IFS(_xlpm.MyAuditVal&lt;&gt;"",_xlpm.MyAuditVal,_xlpm.MacVal&lt;&gt;"",_xlpm.MacVal,_xlpm.CSVVal&lt;&gt;"",_xlpm.CSVVal
)),"")</f>
        <v/>
      </c>
      <c r="G414" s="2" t="str" cm="1">
        <f t="array" ref="G414">IFERROR(_xlfn.LET(
_xlpm.CSVVal,_xlfn.XLOOKUP($A414,CSV!$A:$A,CSV!G:G,""),
_xlpm.MacVal,_xlfn.XLOOKUP($A414,Output_Mac!$A:$A,Output_Mac!F:F,""),
_xlpm.MyAuditVal,_xlfn.XLOOKUP($A414,My_Audit!$A:$A,My_Audit!F:F,""),
_xlfn.IFS(_xlpm.MyAuditVal&lt;&gt;"",_xlpm.MyAuditVal,_xlpm.MacVal&lt;&gt;"",_xlpm.MacVal,_xlpm.CSVVal&lt;&gt;"",PROPER(_xlpm.CSVVal)
)),"")</f>
        <v/>
      </c>
      <c r="H414" s="2" t="str" cm="1">
        <f t="array" ref="H414">IFERROR(_xlfn.LET(
_xlpm.CSVVal,_xlfn.XLOOKUP($A414,CSV!$A:$A,CSV!H:H,""),
_xlpm.MacVal,_xlfn.XLOOKUP($A414,Output_Mac!$A:$A,Output_Mac!H:H,""),
_xlpm.MyAuditVal,_xlfn.XLOOKUP($A414,My_Audit!$A:$A,My_Audit!G:G,""),
_xlfn.IFS(_xlpm.MyAuditVal&lt;&gt;"",_xlpm.MyAuditVal,_xlpm.MacVal&lt;&gt;"",_xlpm.MacVal,_xlpm.CSVVal&lt;&gt;"",_xlpm.CSVVal
)),"")</f>
        <v/>
      </c>
      <c r="I414" s="2" t="str">
        <f>_xlfn.XLOOKUP(A414,Output_Mac!A:A,Output_Mac!I:I,"")</f>
        <v/>
      </c>
      <c r="J414" s="2" t="str" cm="1">
        <f t="array" ref="J414">IFERROR(_xlfn.LET(
_xlpm.CSVVal,_xlfn.XLOOKUP($A414,CSV!$A:$A,CSV!I:I,""),
_xlpm.MacVal,_xlfn.XLOOKUP($A414,Output_Mac!$A:$A,Output_Mac!J:J,""),
_xlpm.MyAuditVal,_xlfn.XLOOKUP($A414,My_Audit!$A:$A,My_Audit!I:I,""),
_xlfn.IFS(_xlpm.MyAuditVal&lt;&gt;"",UPPER(_xlpm.MyAuditVal),_xlpm.MacVal&lt;&gt;"",_xlpm.MacVal,_xlpm.CSVVal&lt;&gt;"",_xlpm.CSVVal
)),"")</f>
        <v/>
      </c>
      <c r="K414" s="2" t="str" cm="1">
        <f t="array" ref="K414">IFERROR(_xlfn.LET(
_xlpm.CSVVal,_xlfn.XLOOKUP($A414,CSV!$A:$A,CSV!K:K,""),
_xlpm.MacVal,_xlfn.XLOOKUP($A414,Output_Mac!$A:$A,Output_Mac!K:K,""),
_xlpm.MyAuditVal,_xlfn.XLOOKUP($A414,My_Audit!$A:$A,My_Audit!J:J,""),
_xlfn.IFS(_xlpm.MyAuditVal&lt;&gt;"",UPPER(_xlpm.MyAuditVal),_xlpm.MacVal&lt;&gt;"",_xlpm.MacVal,_xlpm.CSVVal&lt;&gt;"",_xlpm.CSVVal
)),"")</f>
        <v/>
      </c>
      <c r="L414" s="2" t="str" cm="1">
        <f t="array" ref="L414">IFERROR(_xlfn.LET(
_xlpm.CSVVal,_xlfn.XLOOKUP($A414,CSV!$A:$A,CSV!P:P,""),
_xlpm.MacVal,_xlfn.XLOOKUP($A414,Output_Mac!$A:$A,Output_Mac!L:L,""),
_xlpm.MyAuditVal,_xlfn.XLOOKUP($A414,My_Audit!$A:$A,My_Audit!K:K,""),
_xlfn.IFS(_xlpm.MyAuditVal&lt;&gt;"",UPPER(_xlpm.MyAuditVal),_xlpm.MacVal&lt;&gt;"",_xlpm.MacVal,_xlpm.CSVVal&lt;&gt;"",_xlpm.CSVVal
)),"")</f>
        <v/>
      </c>
      <c r="M414" s="2" t="str" cm="1">
        <f t="array" ref="M414">IFERROR(_xlfn.LET(
_xlpm.CSVVal,_xlfn.XLOOKUP($A414,CSV!$A:$A,CSV!Q:Q,""),
_xlpm.MacVal,_xlfn.XLOOKUP($A414,Output_Mac!$A:$A,Output_Mac!M:M,""),
_xlpm.MyAuditVal,_xlfn.XLOOKUP($A414,My_Audit!$A:$A,My_Audit!L:L,""),
_xlfn.IFS(_xlpm.MyAuditVal&lt;&gt;"",UPPER(_xlpm.MyAuditVal),_xlpm.MacVal&lt;&gt;"",_xlpm.MacVal,_xlpm.CSVVal&lt;&gt;"",_xlpm.CSVVal
)),"")</f>
        <v/>
      </c>
      <c r="O414" s="2" t="str">
        <f>_xlfn.LET(
    _xlpm.CSVVal, _xlfn.XLOOKUP($A414, CSV!$A:$A, CSV!AF:AF, ""),
    _xlpm.MacVal, _xlfn.XLOOKUP($A414, Output_Mac!$A:$A, Output_Mac!S:S, ""),
    _xlpm.MyAuditVal, _xlfn.XLOOKUP($A414, My_Audit!$A:$A, My_Audit!P:P, ""),
    _xlfn.TEXTJOIN(", ", TRUE, _xlpm.MyAuditVal, _xlpm.MacVal, _xlpm.CSVVal)
)</f>
        <v/>
      </c>
      <c r="P414" s="2" t="str" cm="1">
        <f t="array" ref="P414">IFERROR(_xlfn.LET(
_xlpm.CSVVal,_xlfn.XLOOKUP($A414,CSV!$A:$A,CSV!AG:AG,""),
_xlpm.MacVal,_xlfn.XLOOKUP($A414,Output_Mac!$A:$A,Output_Mac!T:T,""),
_xlpm.MyAuditVal,_xlfn.XLOOKUP($A414,My_Audit!$A:$A,My_Audit!Q:Q,""),
_xlfn.IFS(_xlpm.MyAuditVal&lt;&gt;"",UPPER(_xlpm.MyAuditVal),_xlpm.MacVal&lt;&gt;"",_xlpm.MacVal,_xlpm.CSVVal&lt;&gt;"",_xlpm.CSVVal
)),"No")</f>
        <v>No</v>
      </c>
      <c r="Q414" s="2" t="str" cm="1">
        <f t="array" ref="Q414">IFERROR(_xlfn.LET(
_xlpm.CSVVal,_xlfn.XLOOKUP($A414,CSV!$A:$A,CSV!AH:AH,""),
_xlpm.MacVal,_xlfn.XLOOKUP($A414,Output_Mac!$A:$A,Output_Mac!U:U,""),
_xlpm.MyAuditVal,_xlfn.XLOOKUP($A414,My_Audit!$A:$A,My_Audit!R:R,""),
_xlfn.IFS(_xlpm.MyAuditVal&lt;&gt;"",UPPER(_xlpm.MyAuditVal),_xlpm.MacVal&lt;&gt;"",_xlpm.MacVal,_xlpm.CSVVal&lt;&gt;"",_xlpm.CSVVal
)),"")</f>
        <v/>
      </c>
    </row>
    <row r="415" spans="1:17">
      <c r="A415" s="2" t="str">
        <f>_xlfn.TEXTJOIN("",TRUE,Input!$B$2,ROW(My_Audit!A414))</f>
        <v>XX414</v>
      </c>
      <c r="B415" s="2" t="str">
        <f>_xlfn.TEXTJOIN("-",TRUE,"ITD",Input!$A$2,A415)</f>
        <v>ITD-SHRXXX-XX414</v>
      </c>
      <c r="C415" s="2" t="str" cm="1">
        <f t="array" ref="C415">IFERROR(_xlfn.LET(
_xlpm.CSVVal,_xlfn.XLOOKUP($A415,CSV!$A:$A,CSV!B:B,""),
_xlpm.MacVal,_xlfn.XLOOKUP($A415,Output_Mac!$A:$A,Output_Mac!B:B,""),
_xlpm.MyAuditVal,_xlfn.XLOOKUP($A415,My_Audit!$A:$A,My_Audit!B:B,""),
_xlfn.IFS(_xlpm.MyAuditVal&lt;&gt;"",UPPER(_xlpm.MyAuditVal),_xlpm.MacVal&lt;&gt;"",_xlpm.MacVal,_xlpm.CSVVal&lt;&gt;"",_xlpm.CSVVal
)),"")</f>
        <v/>
      </c>
      <c r="D415" s="2" t="str" cm="1">
        <f t="array" ref="D415">IFERROR(_xlfn.LET(
_xlpm.CSVVal,_xlfn.XLOOKUP($A415,CSV!$A:$A,CSV!D:D,""),
_xlpm.MacVal,_xlfn.XLOOKUP($A415,Output_Mac!$A:$A,Output_Mac!C:C,""),
_xlpm.MyAuditVal,_xlfn.XLOOKUP($A415,My_Audit!$A:$A,My_Audit!C:C,""),
_xlfn.IFS(_xlpm.MyAuditVal&lt;&gt;"",_xlpm.MyAuditVal,_xlpm.MacVal&lt;&gt;"",_xlpm.MacVal,_xlpm.CSVVal&lt;&gt;"",_xlpm.CSVVal
)),"")</f>
        <v/>
      </c>
      <c r="E415" s="2" t="str">
        <f>_xlfn.XLOOKUP(A415,My_Audit!A:A,My_Audit!D:D,"")&amp;""</f>
        <v/>
      </c>
      <c r="F415" s="2" t="str" cm="1">
        <f t="array" ref="F415">IFERROR(_xlfn.LET(
_xlpm.CSVVal,_xlfn.XLOOKUP($A415,CSV!$A:$A,CSV!F:F,""),
_xlpm.MacVal,_xlfn.XLOOKUP($A415,Output_Mac!$A:$A,Output_Mac!E:E,""),
_xlpm.MyAuditVal,_xlfn.XLOOKUP($A415,My_Audit!$A:$A,My_Audit!E:E,""),
_xlfn.IFS(_xlpm.MyAuditVal&lt;&gt;"",_xlpm.MyAuditVal,_xlpm.MacVal&lt;&gt;"",_xlpm.MacVal,_xlpm.CSVVal&lt;&gt;"",_xlpm.CSVVal
)),"")</f>
        <v/>
      </c>
      <c r="G415" s="2" t="str" cm="1">
        <f t="array" ref="G415">IFERROR(_xlfn.LET(
_xlpm.CSVVal,_xlfn.XLOOKUP($A415,CSV!$A:$A,CSV!G:G,""),
_xlpm.MacVal,_xlfn.XLOOKUP($A415,Output_Mac!$A:$A,Output_Mac!F:F,""),
_xlpm.MyAuditVal,_xlfn.XLOOKUP($A415,My_Audit!$A:$A,My_Audit!F:F,""),
_xlfn.IFS(_xlpm.MyAuditVal&lt;&gt;"",_xlpm.MyAuditVal,_xlpm.MacVal&lt;&gt;"",_xlpm.MacVal,_xlpm.CSVVal&lt;&gt;"",PROPER(_xlpm.CSVVal)
)),"")</f>
        <v/>
      </c>
      <c r="H415" s="2" t="str" cm="1">
        <f t="array" ref="H415">IFERROR(_xlfn.LET(
_xlpm.CSVVal,_xlfn.XLOOKUP($A415,CSV!$A:$A,CSV!H:H,""),
_xlpm.MacVal,_xlfn.XLOOKUP($A415,Output_Mac!$A:$A,Output_Mac!H:H,""),
_xlpm.MyAuditVal,_xlfn.XLOOKUP($A415,My_Audit!$A:$A,My_Audit!G:G,""),
_xlfn.IFS(_xlpm.MyAuditVal&lt;&gt;"",_xlpm.MyAuditVal,_xlpm.MacVal&lt;&gt;"",_xlpm.MacVal,_xlpm.CSVVal&lt;&gt;"",_xlpm.CSVVal
)),"")</f>
        <v/>
      </c>
      <c r="I415" s="2" t="str">
        <f>_xlfn.XLOOKUP(A415,Output_Mac!A:A,Output_Mac!I:I,"")</f>
        <v/>
      </c>
      <c r="J415" s="2" t="str" cm="1">
        <f t="array" ref="J415">IFERROR(_xlfn.LET(
_xlpm.CSVVal,_xlfn.XLOOKUP($A415,CSV!$A:$A,CSV!I:I,""),
_xlpm.MacVal,_xlfn.XLOOKUP($A415,Output_Mac!$A:$A,Output_Mac!J:J,""),
_xlpm.MyAuditVal,_xlfn.XLOOKUP($A415,My_Audit!$A:$A,My_Audit!I:I,""),
_xlfn.IFS(_xlpm.MyAuditVal&lt;&gt;"",UPPER(_xlpm.MyAuditVal),_xlpm.MacVal&lt;&gt;"",_xlpm.MacVal,_xlpm.CSVVal&lt;&gt;"",_xlpm.CSVVal
)),"")</f>
        <v/>
      </c>
      <c r="K415" s="2" t="str" cm="1">
        <f t="array" ref="K415">IFERROR(_xlfn.LET(
_xlpm.CSVVal,_xlfn.XLOOKUP($A415,CSV!$A:$A,CSV!K:K,""),
_xlpm.MacVal,_xlfn.XLOOKUP($A415,Output_Mac!$A:$A,Output_Mac!K:K,""),
_xlpm.MyAuditVal,_xlfn.XLOOKUP($A415,My_Audit!$A:$A,My_Audit!J:J,""),
_xlfn.IFS(_xlpm.MyAuditVal&lt;&gt;"",UPPER(_xlpm.MyAuditVal),_xlpm.MacVal&lt;&gt;"",_xlpm.MacVal,_xlpm.CSVVal&lt;&gt;"",_xlpm.CSVVal
)),"")</f>
        <v/>
      </c>
      <c r="L415" s="2" t="str" cm="1">
        <f t="array" ref="L415">IFERROR(_xlfn.LET(
_xlpm.CSVVal,_xlfn.XLOOKUP($A415,CSV!$A:$A,CSV!P:P,""),
_xlpm.MacVal,_xlfn.XLOOKUP($A415,Output_Mac!$A:$A,Output_Mac!L:L,""),
_xlpm.MyAuditVal,_xlfn.XLOOKUP($A415,My_Audit!$A:$A,My_Audit!K:K,""),
_xlfn.IFS(_xlpm.MyAuditVal&lt;&gt;"",UPPER(_xlpm.MyAuditVal),_xlpm.MacVal&lt;&gt;"",_xlpm.MacVal,_xlpm.CSVVal&lt;&gt;"",_xlpm.CSVVal
)),"")</f>
        <v/>
      </c>
      <c r="M415" s="2" t="str" cm="1">
        <f t="array" ref="M415">IFERROR(_xlfn.LET(
_xlpm.CSVVal,_xlfn.XLOOKUP($A415,CSV!$A:$A,CSV!Q:Q,""),
_xlpm.MacVal,_xlfn.XLOOKUP($A415,Output_Mac!$A:$A,Output_Mac!M:M,""),
_xlpm.MyAuditVal,_xlfn.XLOOKUP($A415,My_Audit!$A:$A,My_Audit!L:L,""),
_xlfn.IFS(_xlpm.MyAuditVal&lt;&gt;"",UPPER(_xlpm.MyAuditVal),_xlpm.MacVal&lt;&gt;"",_xlpm.MacVal,_xlpm.CSVVal&lt;&gt;"",_xlpm.CSVVal
)),"")</f>
        <v/>
      </c>
      <c r="O415" s="2" t="str">
        <f>_xlfn.LET(
    _xlpm.CSVVal, _xlfn.XLOOKUP($A415, CSV!$A:$A, CSV!AF:AF, ""),
    _xlpm.MacVal, _xlfn.XLOOKUP($A415, Output_Mac!$A:$A, Output_Mac!S:S, ""),
    _xlpm.MyAuditVal, _xlfn.XLOOKUP($A415, My_Audit!$A:$A, My_Audit!P:P, ""),
    _xlfn.TEXTJOIN(", ", TRUE, _xlpm.MyAuditVal, _xlpm.MacVal, _xlpm.CSVVal)
)</f>
        <v/>
      </c>
      <c r="P415" s="2" t="str" cm="1">
        <f t="array" ref="P415">IFERROR(_xlfn.LET(
_xlpm.CSVVal,_xlfn.XLOOKUP($A415,CSV!$A:$A,CSV!AG:AG,""),
_xlpm.MacVal,_xlfn.XLOOKUP($A415,Output_Mac!$A:$A,Output_Mac!T:T,""),
_xlpm.MyAuditVal,_xlfn.XLOOKUP($A415,My_Audit!$A:$A,My_Audit!Q:Q,""),
_xlfn.IFS(_xlpm.MyAuditVal&lt;&gt;"",UPPER(_xlpm.MyAuditVal),_xlpm.MacVal&lt;&gt;"",_xlpm.MacVal,_xlpm.CSVVal&lt;&gt;"",_xlpm.CSVVal
)),"No")</f>
        <v>No</v>
      </c>
      <c r="Q415" s="2" t="str" cm="1">
        <f t="array" ref="Q415">IFERROR(_xlfn.LET(
_xlpm.CSVVal,_xlfn.XLOOKUP($A415,CSV!$A:$A,CSV!AH:AH,""),
_xlpm.MacVal,_xlfn.XLOOKUP($A415,Output_Mac!$A:$A,Output_Mac!U:U,""),
_xlpm.MyAuditVal,_xlfn.XLOOKUP($A415,My_Audit!$A:$A,My_Audit!R:R,""),
_xlfn.IFS(_xlpm.MyAuditVal&lt;&gt;"",UPPER(_xlpm.MyAuditVal),_xlpm.MacVal&lt;&gt;"",_xlpm.MacVal,_xlpm.CSVVal&lt;&gt;"",_xlpm.CSVVal
)),"")</f>
        <v/>
      </c>
    </row>
    <row r="416" spans="1:17">
      <c r="A416" s="2" t="str">
        <f>_xlfn.TEXTJOIN("",TRUE,Input!$B$2,ROW(My_Audit!A415))</f>
        <v>XX415</v>
      </c>
      <c r="B416" s="2" t="str">
        <f>_xlfn.TEXTJOIN("-",TRUE,"ITD",Input!$A$2,A416)</f>
        <v>ITD-SHRXXX-XX415</v>
      </c>
      <c r="C416" s="2" t="str" cm="1">
        <f t="array" ref="C416">IFERROR(_xlfn.LET(
_xlpm.CSVVal,_xlfn.XLOOKUP($A416,CSV!$A:$A,CSV!B:B,""),
_xlpm.MacVal,_xlfn.XLOOKUP($A416,Output_Mac!$A:$A,Output_Mac!B:B,""),
_xlpm.MyAuditVal,_xlfn.XLOOKUP($A416,My_Audit!$A:$A,My_Audit!B:B,""),
_xlfn.IFS(_xlpm.MyAuditVal&lt;&gt;"",UPPER(_xlpm.MyAuditVal),_xlpm.MacVal&lt;&gt;"",_xlpm.MacVal,_xlpm.CSVVal&lt;&gt;"",_xlpm.CSVVal
)),"")</f>
        <v/>
      </c>
      <c r="D416" s="2" t="str" cm="1">
        <f t="array" ref="D416">IFERROR(_xlfn.LET(
_xlpm.CSVVal,_xlfn.XLOOKUP($A416,CSV!$A:$A,CSV!D:D,""),
_xlpm.MacVal,_xlfn.XLOOKUP($A416,Output_Mac!$A:$A,Output_Mac!C:C,""),
_xlpm.MyAuditVal,_xlfn.XLOOKUP($A416,My_Audit!$A:$A,My_Audit!C:C,""),
_xlfn.IFS(_xlpm.MyAuditVal&lt;&gt;"",_xlpm.MyAuditVal,_xlpm.MacVal&lt;&gt;"",_xlpm.MacVal,_xlpm.CSVVal&lt;&gt;"",_xlpm.CSVVal
)),"")</f>
        <v/>
      </c>
      <c r="E416" s="2" t="str">
        <f>_xlfn.XLOOKUP(A416,My_Audit!A:A,My_Audit!D:D,"")&amp;""</f>
        <v/>
      </c>
      <c r="F416" s="2" t="str" cm="1">
        <f t="array" ref="F416">IFERROR(_xlfn.LET(
_xlpm.CSVVal,_xlfn.XLOOKUP($A416,CSV!$A:$A,CSV!F:F,""),
_xlpm.MacVal,_xlfn.XLOOKUP($A416,Output_Mac!$A:$A,Output_Mac!E:E,""),
_xlpm.MyAuditVal,_xlfn.XLOOKUP($A416,My_Audit!$A:$A,My_Audit!E:E,""),
_xlfn.IFS(_xlpm.MyAuditVal&lt;&gt;"",_xlpm.MyAuditVal,_xlpm.MacVal&lt;&gt;"",_xlpm.MacVal,_xlpm.CSVVal&lt;&gt;"",_xlpm.CSVVal
)),"")</f>
        <v/>
      </c>
      <c r="G416" s="2" t="str" cm="1">
        <f t="array" ref="G416">IFERROR(_xlfn.LET(
_xlpm.CSVVal,_xlfn.XLOOKUP($A416,CSV!$A:$A,CSV!G:G,""),
_xlpm.MacVal,_xlfn.XLOOKUP($A416,Output_Mac!$A:$A,Output_Mac!F:F,""),
_xlpm.MyAuditVal,_xlfn.XLOOKUP($A416,My_Audit!$A:$A,My_Audit!F:F,""),
_xlfn.IFS(_xlpm.MyAuditVal&lt;&gt;"",_xlpm.MyAuditVal,_xlpm.MacVal&lt;&gt;"",_xlpm.MacVal,_xlpm.CSVVal&lt;&gt;"",PROPER(_xlpm.CSVVal)
)),"")</f>
        <v/>
      </c>
      <c r="H416" s="2" t="str" cm="1">
        <f t="array" ref="H416">IFERROR(_xlfn.LET(
_xlpm.CSVVal,_xlfn.XLOOKUP($A416,CSV!$A:$A,CSV!H:H,""),
_xlpm.MacVal,_xlfn.XLOOKUP($A416,Output_Mac!$A:$A,Output_Mac!H:H,""),
_xlpm.MyAuditVal,_xlfn.XLOOKUP($A416,My_Audit!$A:$A,My_Audit!G:G,""),
_xlfn.IFS(_xlpm.MyAuditVal&lt;&gt;"",_xlpm.MyAuditVal,_xlpm.MacVal&lt;&gt;"",_xlpm.MacVal,_xlpm.CSVVal&lt;&gt;"",_xlpm.CSVVal
)),"")</f>
        <v/>
      </c>
      <c r="I416" s="2" t="str">
        <f>_xlfn.XLOOKUP(A416,Output_Mac!A:A,Output_Mac!I:I,"")</f>
        <v/>
      </c>
      <c r="J416" s="2" t="str" cm="1">
        <f t="array" ref="J416">IFERROR(_xlfn.LET(
_xlpm.CSVVal,_xlfn.XLOOKUP($A416,CSV!$A:$A,CSV!I:I,""),
_xlpm.MacVal,_xlfn.XLOOKUP($A416,Output_Mac!$A:$A,Output_Mac!J:J,""),
_xlpm.MyAuditVal,_xlfn.XLOOKUP($A416,My_Audit!$A:$A,My_Audit!I:I,""),
_xlfn.IFS(_xlpm.MyAuditVal&lt;&gt;"",UPPER(_xlpm.MyAuditVal),_xlpm.MacVal&lt;&gt;"",_xlpm.MacVal,_xlpm.CSVVal&lt;&gt;"",_xlpm.CSVVal
)),"")</f>
        <v/>
      </c>
      <c r="K416" s="2" t="str" cm="1">
        <f t="array" ref="K416">IFERROR(_xlfn.LET(
_xlpm.CSVVal,_xlfn.XLOOKUP($A416,CSV!$A:$A,CSV!K:K,""),
_xlpm.MacVal,_xlfn.XLOOKUP($A416,Output_Mac!$A:$A,Output_Mac!K:K,""),
_xlpm.MyAuditVal,_xlfn.XLOOKUP($A416,My_Audit!$A:$A,My_Audit!J:J,""),
_xlfn.IFS(_xlpm.MyAuditVal&lt;&gt;"",UPPER(_xlpm.MyAuditVal),_xlpm.MacVal&lt;&gt;"",_xlpm.MacVal,_xlpm.CSVVal&lt;&gt;"",_xlpm.CSVVal
)),"")</f>
        <v/>
      </c>
      <c r="L416" s="2" t="str" cm="1">
        <f t="array" ref="L416">IFERROR(_xlfn.LET(
_xlpm.CSVVal,_xlfn.XLOOKUP($A416,CSV!$A:$A,CSV!P:P,""),
_xlpm.MacVal,_xlfn.XLOOKUP($A416,Output_Mac!$A:$A,Output_Mac!L:L,""),
_xlpm.MyAuditVal,_xlfn.XLOOKUP($A416,My_Audit!$A:$A,My_Audit!K:K,""),
_xlfn.IFS(_xlpm.MyAuditVal&lt;&gt;"",UPPER(_xlpm.MyAuditVal),_xlpm.MacVal&lt;&gt;"",_xlpm.MacVal,_xlpm.CSVVal&lt;&gt;"",_xlpm.CSVVal
)),"")</f>
        <v/>
      </c>
      <c r="M416" s="2" t="str" cm="1">
        <f t="array" ref="M416">IFERROR(_xlfn.LET(
_xlpm.CSVVal,_xlfn.XLOOKUP($A416,CSV!$A:$A,CSV!Q:Q,""),
_xlpm.MacVal,_xlfn.XLOOKUP($A416,Output_Mac!$A:$A,Output_Mac!M:M,""),
_xlpm.MyAuditVal,_xlfn.XLOOKUP($A416,My_Audit!$A:$A,My_Audit!L:L,""),
_xlfn.IFS(_xlpm.MyAuditVal&lt;&gt;"",UPPER(_xlpm.MyAuditVal),_xlpm.MacVal&lt;&gt;"",_xlpm.MacVal,_xlpm.CSVVal&lt;&gt;"",_xlpm.CSVVal
)),"")</f>
        <v/>
      </c>
      <c r="O416" s="2" t="str">
        <f>_xlfn.LET(
    _xlpm.CSVVal, _xlfn.XLOOKUP($A416, CSV!$A:$A, CSV!AF:AF, ""),
    _xlpm.MacVal, _xlfn.XLOOKUP($A416, Output_Mac!$A:$A, Output_Mac!S:S, ""),
    _xlpm.MyAuditVal, _xlfn.XLOOKUP($A416, My_Audit!$A:$A, My_Audit!P:P, ""),
    _xlfn.TEXTJOIN(", ", TRUE, _xlpm.MyAuditVal, _xlpm.MacVal, _xlpm.CSVVal)
)</f>
        <v/>
      </c>
      <c r="P416" s="2" t="str" cm="1">
        <f t="array" ref="P416">IFERROR(_xlfn.LET(
_xlpm.CSVVal,_xlfn.XLOOKUP($A416,CSV!$A:$A,CSV!AG:AG,""),
_xlpm.MacVal,_xlfn.XLOOKUP($A416,Output_Mac!$A:$A,Output_Mac!T:T,""),
_xlpm.MyAuditVal,_xlfn.XLOOKUP($A416,My_Audit!$A:$A,My_Audit!Q:Q,""),
_xlfn.IFS(_xlpm.MyAuditVal&lt;&gt;"",UPPER(_xlpm.MyAuditVal),_xlpm.MacVal&lt;&gt;"",_xlpm.MacVal,_xlpm.CSVVal&lt;&gt;"",_xlpm.CSVVal
)),"No")</f>
        <v>No</v>
      </c>
      <c r="Q416" s="2" t="str" cm="1">
        <f t="array" ref="Q416">IFERROR(_xlfn.LET(
_xlpm.CSVVal,_xlfn.XLOOKUP($A416,CSV!$A:$A,CSV!AH:AH,""),
_xlpm.MacVal,_xlfn.XLOOKUP($A416,Output_Mac!$A:$A,Output_Mac!U:U,""),
_xlpm.MyAuditVal,_xlfn.XLOOKUP($A416,My_Audit!$A:$A,My_Audit!R:R,""),
_xlfn.IFS(_xlpm.MyAuditVal&lt;&gt;"",UPPER(_xlpm.MyAuditVal),_xlpm.MacVal&lt;&gt;"",_xlpm.MacVal,_xlpm.CSVVal&lt;&gt;"",_xlpm.CSVVal
)),"")</f>
        <v/>
      </c>
    </row>
    <row r="417" spans="1:17">
      <c r="A417" s="2" t="str">
        <f>_xlfn.TEXTJOIN("",TRUE,Input!$B$2,ROW(My_Audit!A416))</f>
        <v>XX416</v>
      </c>
      <c r="B417" s="2" t="str">
        <f>_xlfn.TEXTJOIN("-",TRUE,"ITD",Input!$A$2,A417)</f>
        <v>ITD-SHRXXX-XX416</v>
      </c>
      <c r="C417" s="2" t="str" cm="1">
        <f t="array" ref="C417">IFERROR(_xlfn.LET(
_xlpm.CSVVal,_xlfn.XLOOKUP($A417,CSV!$A:$A,CSV!B:B,""),
_xlpm.MacVal,_xlfn.XLOOKUP($A417,Output_Mac!$A:$A,Output_Mac!B:B,""),
_xlpm.MyAuditVal,_xlfn.XLOOKUP($A417,My_Audit!$A:$A,My_Audit!B:B,""),
_xlfn.IFS(_xlpm.MyAuditVal&lt;&gt;"",UPPER(_xlpm.MyAuditVal),_xlpm.MacVal&lt;&gt;"",_xlpm.MacVal,_xlpm.CSVVal&lt;&gt;"",_xlpm.CSVVal
)),"")</f>
        <v/>
      </c>
      <c r="D417" s="2" t="str" cm="1">
        <f t="array" ref="D417">IFERROR(_xlfn.LET(
_xlpm.CSVVal,_xlfn.XLOOKUP($A417,CSV!$A:$A,CSV!D:D,""),
_xlpm.MacVal,_xlfn.XLOOKUP($A417,Output_Mac!$A:$A,Output_Mac!C:C,""),
_xlpm.MyAuditVal,_xlfn.XLOOKUP($A417,My_Audit!$A:$A,My_Audit!C:C,""),
_xlfn.IFS(_xlpm.MyAuditVal&lt;&gt;"",_xlpm.MyAuditVal,_xlpm.MacVal&lt;&gt;"",_xlpm.MacVal,_xlpm.CSVVal&lt;&gt;"",_xlpm.CSVVal
)),"")</f>
        <v/>
      </c>
      <c r="E417" s="2" t="str">
        <f>_xlfn.XLOOKUP(A417,My_Audit!A:A,My_Audit!D:D,"")&amp;""</f>
        <v/>
      </c>
      <c r="F417" s="2" t="str" cm="1">
        <f t="array" ref="F417">IFERROR(_xlfn.LET(
_xlpm.CSVVal,_xlfn.XLOOKUP($A417,CSV!$A:$A,CSV!F:F,""),
_xlpm.MacVal,_xlfn.XLOOKUP($A417,Output_Mac!$A:$A,Output_Mac!E:E,""),
_xlpm.MyAuditVal,_xlfn.XLOOKUP($A417,My_Audit!$A:$A,My_Audit!E:E,""),
_xlfn.IFS(_xlpm.MyAuditVal&lt;&gt;"",_xlpm.MyAuditVal,_xlpm.MacVal&lt;&gt;"",_xlpm.MacVal,_xlpm.CSVVal&lt;&gt;"",_xlpm.CSVVal
)),"")</f>
        <v/>
      </c>
      <c r="G417" s="2" t="str" cm="1">
        <f t="array" ref="G417">IFERROR(_xlfn.LET(
_xlpm.CSVVal,_xlfn.XLOOKUP($A417,CSV!$A:$A,CSV!G:G,""),
_xlpm.MacVal,_xlfn.XLOOKUP($A417,Output_Mac!$A:$A,Output_Mac!F:F,""),
_xlpm.MyAuditVal,_xlfn.XLOOKUP($A417,My_Audit!$A:$A,My_Audit!F:F,""),
_xlfn.IFS(_xlpm.MyAuditVal&lt;&gt;"",_xlpm.MyAuditVal,_xlpm.MacVal&lt;&gt;"",_xlpm.MacVal,_xlpm.CSVVal&lt;&gt;"",PROPER(_xlpm.CSVVal)
)),"")</f>
        <v/>
      </c>
      <c r="H417" s="2" t="str" cm="1">
        <f t="array" ref="H417">IFERROR(_xlfn.LET(
_xlpm.CSVVal,_xlfn.XLOOKUP($A417,CSV!$A:$A,CSV!H:H,""),
_xlpm.MacVal,_xlfn.XLOOKUP($A417,Output_Mac!$A:$A,Output_Mac!H:H,""),
_xlpm.MyAuditVal,_xlfn.XLOOKUP($A417,My_Audit!$A:$A,My_Audit!G:G,""),
_xlfn.IFS(_xlpm.MyAuditVal&lt;&gt;"",_xlpm.MyAuditVal,_xlpm.MacVal&lt;&gt;"",_xlpm.MacVal,_xlpm.CSVVal&lt;&gt;"",_xlpm.CSVVal
)),"")</f>
        <v/>
      </c>
      <c r="I417" s="2" t="str">
        <f>_xlfn.XLOOKUP(A417,Output_Mac!A:A,Output_Mac!I:I,"")</f>
        <v/>
      </c>
      <c r="J417" s="2" t="str" cm="1">
        <f t="array" ref="J417">IFERROR(_xlfn.LET(
_xlpm.CSVVal,_xlfn.XLOOKUP($A417,CSV!$A:$A,CSV!I:I,""),
_xlpm.MacVal,_xlfn.XLOOKUP($A417,Output_Mac!$A:$A,Output_Mac!J:J,""),
_xlpm.MyAuditVal,_xlfn.XLOOKUP($A417,My_Audit!$A:$A,My_Audit!I:I,""),
_xlfn.IFS(_xlpm.MyAuditVal&lt;&gt;"",UPPER(_xlpm.MyAuditVal),_xlpm.MacVal&lt;&gt;"",_xlpm.MacVal,_xlpm.CSVVal&lt;&gt;"",_xlpm.CSVVal
)),"")</f>
        <v/>
      </c>
      <c r="K417" s="2" t="str" cm="1">
        <f t="array" ref="K417">IFERROR(_xlfn.LET(
_xlpm.CSVVal,_xlfn.XLOOKUP($A417,CSV!$A:$A,CSV!K:K,""),
_xlpm.MacVal,_xlfn.XLOOKUP($A417,Output_Mac!$A:$A,Output_Mac!K:K,""),
_xlpm.MyAuditVal,_xlfn.XLOOKUP($A417,My_Audit!$A:$A,My_Audit!J:J,""),
_xlfn.IFS(_xlpm.MyAuditVal&lt;&gt;"",UPPER(_xlpm.MyAuditVal),_xlpm.MacVal&lt;&gt;"",_xlpm.MacVal,_xlpm.CSVVal&lt;&gt;"",_xlpm.CSVVal
)),"")</f>
        <v/>
      </c>
      <c r="L417" s="2" t="str" cm="1">
        <f t="array" ref="L417">IFERROR(_xlfn.LET(
_xlpm.CSVVal,_xlfn.XLOOKUP($A417,CSV!$A:$A,CSV!P:P,""),
_xlpm.MacVal,_xlfn.XLOOKUP($A417,Output_Mac!$A:$A,Output_Mac!L:L,""),
_xlpm.MyAuditVal,_xlfn.XLOOKUP($A417,My_Audit!$A:$A,My_Audit!K:K,""),
_xlfn.IFS(_xlpm.MyAuditVal&lt;&gt;"",UPPER(_xlpm.MyAuditVal),_xlpm.MacVal&lt;&gt;"",_xlpm.MacVal,_xlpm.CSVVal&lt;&gt;"",_xlpm.CSVVal
)),"")</f>
        <v/>
      </c>
      <c r="M417" s="2" t="str" cm="1">
        <f t="array" ref="M417">IFERROR(_xlfn.LET(
_xlpm.CSVVal,_xlfn.XLOOKUP($A417,CSV!$A:$A,CSV!Q:Q,""),
_xlpm.MacVal,_xlfn.XLOOKUP($A417,Output_Mac!$A:$A,Output_Mac!M:M,""),
_xlpm.MyAuditVal,_xlfn.XLOOKUP($A417,My_Audit!$A:$A,My_Audit!L:L,""),
_xlfn.IFS(_xlpm.MyAuditVal&lt;&gt;"",UPPER(_xlpm.MyAuditVal),_xlpm.MacVal&lt;&gt;"",_xlpm.MacVal,_xlpm.CSVVal&lt;&gt;"",_xlpm.CSVVal
)),"")</f>
        <v/>
      </c>
      <c r="O417" s="2" t="str">
        <f>_xlfn.LET(
    _xlpm.CSVVal, _xlfn.XLOOKUP($A417, CSV!$A:$A, CSV!AF:AF, ""),
    _xlpm.MacVal, _xlfn.XLOOKUP($A417, Output_Mac!$A:$A, Output_Mac!S:S, ""),
    _xlpm.MyAuditVal, _xlfn.XLOOKUP($A417, My_Audit!$A:$A, My_Audit!P:P, ""),
    _xlfn.TEXTJOIN(", ", TRUE, _xlpm.MyAuditVal, _xlpm.MacVal, _xlpm.CSVVal)
)</f>
        <v/>
      </c>
      <c r="P417" s="2" t="str" cm="1">
        <f t="array" ref="P417">IFERROR(_xlfn.LET(
_xlpm.CSVVal,_xlfn.XLOOKUP($A417,CSV!$A:$A,CSV!AG:AG,""),
_xlpm.MacVal,_xlfn.XLOOKUP($A417,Output_Mac!$A:$A,Output_Mac!T:T,""),
_xlpm.MyAuditVal,_xlfn.XLOOKUP($A417,My_Audit!$A:$A,My_Audit!Q:Q,""),
_xlfn.IFS(_xlpm.MyAuditVal&lt;&gt;"",UPPER(_xlpm.MyAuditVal),_xlpm.MacVal&lt;&gt;"",_xlpm.MacVal,_xlpm.CSVVal&lt;&gt;"",_xlpm.CSVVal
)),"No")</f>
        <v>No</v>
      </c>
      <c r="Q417" s="2" t="str" cm="1">
        <f t="array" ref="Q417">IFERROR(_xlfn.LET(
_xlpm.CSVVal,_xlfn.XLOOKUP($A417,CSV!$A:$A,CSV!AH:AH,""),
_xlpm.MacVal,_xlfn.XLOOKUP($A417,Output_Mac!$A:$A,Output_Mac!U:U,""),
_xlpm.MyAuditVal,_xlfn.XLOOKUP($A417,My_Audit!$A:$A,My_Audit!R:R,""),
_xlfn.IFS(_xlpm.MyAuditVal&lt;&gt;"",UPPER(_xlpm.MyAuditVal),_xlpm.MacVal&lt;&gt;"",_xlpm.MacVal,_xlpm.CSVVal&lt;&gt;"",_xlpm.CSVVal
)),"")</f>
        <v/>
      </c>
    </row>
    <row r="418" spans="1:17">
      <c r="A418" s="2" t="str">
        <f>_xlfn.TEXTJOIN("",TRUE,Input!$B$2,ROW(My_Audit!A417))</f>
        <v>XX417</v>
      </c>
      <c r="B418" s="2" t="str">
        <f>_xlfn.TEXTJOIN("-",TRUE,"ITD",Input!$A$2,A418)</f>
        <v>ITD-SHRXXX-XX417</v>
      </c>
      <c r="C418" s="2" t="str" cm="1">
        <f t="array" ref="C418">IFERROR(_xlfn.LET(
_xlpm.CSVVal,_xlfn.XLOOKUP($A418,CSV!$A:$A,CSV!B:B,""),
_xlpm.MacVal,_xlfn.XLOOKUP($A418,Output_Mac!$A:$A,Output_Mac!B:B,""),
_xlpm.MyAuditVal,_xlfn.XLOOKUP($A418,My_Audit!$A:$A,My_Audit!B:B,""),
_xlfn.IFS(_xlpm.MyAuditVal&lt;&gt;"",UPPER(_xlpm.MyAuditVal),_xlpm.MacVal&lt;&gt;"",_xlpm.MacVal,_xlpm.CSVVal&lt;&gt;"",_xlpm.CSVVal
)),"")</f>
        <v/>
      </c>
      <c r="D418" s="2" t="str" cm="1">
        <f t="array" ref="D418">IFERROR(_xlfn.LET(
_xlpm.CSVVal,_xlfn.XLOOKUP($A418,CSV!$A:$A,CSV!D:D,""),
_xlpm.MacVal,_xlfn.XLOOKUP($A418,Output_Mac!$A:$A,Output_Mac!C:C,""),
_xlpm.MyAuditVal,_xlfn.XLOOKUP($A418,My_Audit!$A:$A,My_Audit!C:C,""),
_xlfn.IFS(_xlpm.MyAuditVal&lt;&gt;"",_xlpm.MyAuditVal,_xlpm.MacVal&lt;&gt;"",_xlpm.MacVal,_xlpm.CSVVal&lt;&gt;"",_xlpm.CSVVal
)),"")</f>
        <v/>
      </c>
      <c r="E418" s="2" t="str">
        <f>_xlfn.XLOOKUP(A418,My_Audit!A:A,My_Audit!D:D,"")&amp;""</f>
        <v/>
      </c>
      <c r="F418" s="2" t="str" cm="1">
        <f t="array" ref="F418">IFERROR(_xlfn.LET(
_xlpm.CSVVal,_xlfn.XLOOKUP($A418,CSV!$A:$A,CSV!F:F,""),
_xlpm.MacVal,_xlfn.XLOOKUP($A418,Output_Mac!$A:$A,Output_Mac!E:E,""),
_xlpm.MyAuditVal,_xlfn.XLOOKUP($A418,My_Audit!$A:$A,My_Audit!E:E,""),
_xlfn.IFS(_xlpm.MyAuditVal&lt;&gt;"",_xlpm.MyAuditVal,_xlpm.MacVal&lt;&gt;"",_xlpm.MacVal,_xlpm.CSVVal&lt;&gt;"",_xlpm.CSVVal
)),"")</f>
        <v/>
      </c>
      <c r="G418" s="2" t="str" cm="1">
        <f t="array" ref="G418">IFERROR(_xlfn.LET(
_xlpm.CSVVal,_xlfn.XLOOKUP($A418,CSV!$A:$A,CSV!G:G,""),
_xlpm.MacVal,_xlfn.XLOOKUP($A418,Output_Mac!$A:$A,Output_Mac!F:F,""),
_xlpm.MyAuditVal,_xlfn.XLOOKUP($A418,My_Audit!$A:$A,My_Audit!F:F,""),
_xlfn.IFS(_xlpm.MyAuditVal&lt;&gt;"",_xlpm.MyAuditVal,_xlpm.MacVal&lt;&gt;"",_xlpm.MacVal,_xlpm.CSVVal&lt;&gt;"",PROPER(_xlpm.CSVVal)
)),"")</f>
        <v/>
      </c>
      <c r="H418" s="2" t="str" cm="1">
        <f t="array" ref="H418">IFERROR(_xlfn.LET(
_xlpm.CSVVal,_xlfn.XLOOKUP($A418,CSV!$A:$A,CSV!H:H,""),
_xlpm.MacVal,_xlfn.XLOOKUP($A418,Output_Mac!$A:$A,Output_Mac!H:H,""),
_xlpm.MyAuditVal,_xlfn.XLOOKUP($A418,My_Audit!$A:$A,My_Audit!G:G,""),
_xlfn.IFS(_xlpm.MyAuditVal&lt;&gt;"",_xlpm.MyAuditVal,_xlpm.MacVal&lt;&gt;"",_xlpm.MacVal,_xlpm.CSVVal&lt;&gt;"",_xlpm.CSVVal
)),"")</f>
        <v/>
      </c>
      <c r="I418" s="2" t="str">
        <f>_xlfn.XLOOKUP(A418,Output_Mac!A:A,Output_Mac!I:I,"")</f>
        <v/>
      </c>
      <c r="J418" s="2" t="str" cm="1">
        <f t="array" ref="J418">IFERROR(_xlfn.LET(
_xlpm.CSVVal,_xlfn.XLOOKUP($A418,CSV!$A:$A,CSV!I:I,""),
_xlpm.MacVal,_xlfn.XLOOKUP($A418,Output_Mac!$A:$A,Output_Mac!J:J,""),
_xlpm.MyAuditVal,_xlfn.XLOOKUP($A418,My_Audit!$A:$A,My_Audit!I:I,""),
_xlfn.IFS(_xlpm.MyAuditVal&lt;&gt;"",UPPER(_xlpm.MyAuditVal),_xlpm.MacVal&lt;&gt;"",_xlpm.MacVal,_xlpm.CSVVal&lt;&gt;"",_xlpm.CSVVal
)),"")</f>
        <v/>
      </c>
      <c r="K418" s="2" t="str" cm="1">
        <f t="array" ref="K418">IFERROR(_xlfn.LET(
_xlpm.CSVVal,_xlfn.XLOOKUP($A418,CSV!$A:$A,CSV!K:K,""),
_xlpm.MacVal,_xlfn.XLOOKUP($A418,Output_Mac!$A:$A,Output_Mac!K:K,""),
_xlpm.MyAuditVal,_xlfn.XLOOKUP($A418,My_Audit!$A:$A,My_Audit!J:J,""),
_xlfn.IFS(_xlpm.MyAuditVal&lt;&gt;"",UPPER(_xlpm.MyAuditVal),_xlpm.MacVal&lt;&gt;"",_xlpm.MacVal,_xlpm.CSVVal&lt;&gt;"",_xlpm.CSVVal
)),"")</f>
        <v/>
      </c>
      <c r="L418" s="2" t="str" cm="1">
        <f t="array" ref="L418">IFERROR(_xlfn.LET(
_xlpm.CSVVal,_xlfn.XLOOKUP($A418,CSV!$A:$A,CSV!P:P,""),
_xlpm.MacVal,_xlfn.XLOOKUP($A418,Output_Mac!$A:$A,Output_Mac!L:L,""),
_xlpm.MyAuditVal,_xlfn.XLOOKUP($A418,My_Audit!$A:$A,My_Audit!K:K,""),
_xlfn.IFS(_xlpm.MyAuditVal&lt;&gt;"",UPPER(_xlpm.MyAuditVal),_xlpm.MacVal&lt;&gt;"",_xlpm.MacVal,_xlpm.CSVVal&lt;&gt;"",_xlpm.CSVVal
)),"")</f>
        <v/>
      </c>
      <c r="M418" s="2" t="str" cm="1">
        <f t="array" ref="M418">IFERROR(_xlfn.LET(
_xlpm.CSVVal,_xlfn.XLOOKUP($A418,CSV!$A:$A,CSV!Q:Q,""),
_xlpm.MacVal,_xlfn.XLOOKUP($A418,Output_Mac!$A:$A,Output_Mac!M:M,""),
_xlpm.MyAuditVal,_xlfn.XLOOKUP($A418,My_Audit!$A:$A,My_Audit!L:L,""),
_xlfn.IFS(_xlpm.MyAuditVal&lt;&gt;"",UPPER(_xlpm.MyAuditVal),_xlpm.MacVal&lt;&gt;"",_xlpm.MacVal,_xlpm.CSVVal&lt;&gt;"",_xlpm.CSVVal
)),"")</f>
        <v/>
      </c>
      <c r="O418" s="2" t="str">
        <f>_xlfn.LET(
    _xlpm.CSVVal, _xlfn.XLOOKUP($A418, CSV!$A:$A, CSV!AF:AF, ""),
    _xlpm.MacVal, _xlfn.XLOOKUP($A418, Output_Mac!$A:$A, Output_Mac!S:S, ""),
    _xlpm.MyAuditVal, _xlfn.XLOOKUP($A418, My_Audit!$A:$A, My_Audit!P:P, ""),
    _xlfn.TEXTJOIN(", ", TRUE, _xlpm.MyAuditVal, _xlpm.MacVal, _xlpm.CSVVal)
)</f>
        <v/>
      </c>
      <c r="P418" s="2" t="str" cm="1">
        <f t="array" ref="P418">IFERROR(_xlfn.LET(
_xlpm.CSVVal,_xlfn.XLOOKUP($A418,CSV!$A:$A,CSV!AG:AG,""),
_xlpm.MacVal,_xlfn.XLOOKUP($A418,Output_Mac!$A:$A,Output_Mac!T:T,""),
_xlpm.MyAuditVal,_xlfn.XLOOKUP($A418,My_Audit!$A:$A,My_Audit!Q:Q,""),
_xlfn.IFS(_xlpm.MyAuditVal&lt;&gt;"",UPPER(_xlpm.MyAuditVal),_xlpm.MacVal&lt;&gt;"",_xlpm.MacVal,_xlpm.CSVVal&lt;&gt;"",_xlpm.CSVVal
)),"No")</f>
        <v>No</v>
      </c>
      <c r="Q418" s="2" t="str" cm="1">
        <f t="array" ref="Q418">IFERROR(_xlfn.LET(
_xlpm.CSVVal,_xlfn.XLOOKUP($A418,CSV!$A:$A,CSV!AH:AH,""),
_xlpm.MacVal,_xlfn.XLOOKUP($A418,Output_Mac!$A:$A,Output_Mac!U:U,""),
_xlpm.MyAuditVal,_xlfn.XLOOKUP($A418,My_Audit!$A:$A,My_Audit!R:R,""),
_xlfn.IFS(_xlpm.MyAuditVal&lt;&gt;"",UPPER(_xlpm.MyAuditVal),_xlpm.MacVal&lt;&gt;"",_xlpm.MacVal,_xlpm.CSVVal&lt;&gt;"",_xlpm.CSVVal
)),"")</f>
        <v/>
      </c>
    </row>
    <row r="419" spans="1:17">
      <c r="A419" s="2" t="str">
        <f>_xlfn.TEXTJOIN("",TRUE,Input!$B$2,ROW(My_Audit!A418))</f>
        <v>XX418</v>
      </c>
      <c r="B419" s="2" t="str">
        <f>_xlfn.TEXTJOIN("-",TRUE,"ITD",Input!$A$2,A419)</f>
        <v>ITD-SHRXXX-XX418</v>
      </c>
      <c r="C419" s="2" t="str" cm="1">
        <f t="array" ref="C419">IFERROR(_xlfn.LET(
_xlpm.CSVVal,_xlfn.XLOOKUP($A419,CSV!$A:$A,CSV!B:B,""),
_xlpm.MacVal,_xlfn.XLOOKUP($A419,Output_Mac!$A:$A,Output_Mac!B:B,""),
_xlpm.MyAuditVal,_xlfn.XLOOKUP($A419,My_Audit!$A:$A,My_Audit!B:B,""),
_xlfn.IFS(_xlpm.MyAuditVal&lt;&gt;"",UPPER(_xlpm.MyAuditVal),_xlpm.MacVal&lt;&gt;"",_xlpm.MacVal,_xlpm.CSVVal&lt;&gt;"",_xlpm.CSVVal
)),"")</f>
        <v/>
      </c>
      <c r="D419" s="2" t="str" cm="1">
        <f t="array" ref="D419">IFERROR(_xlfn.LET(
_xlpm.CSVVal,_xlfn.XLOOKUP($A419,CSV!$A:$A,CSV!D:D,""),
_xlpm.MacVal,_xlfn.XLOOKUP($A419,Output_Mac!$A:$A,Output_Mac!C:C,""),
_xlpm.MyAuditVal,_xlfn.XLOOKUP($A419,My_Audit!$A:$A,My_Audit!C:C,""),
_xlfn.IFS(_xlpm.MyAuditVal&lt;&gt;"",_xlpm.MyAuditVal,_xlpm.MacVal&lt;&gt;"",_xlpm.MacVal,_xlpm.CSVVal&lt;&gt;"",_xlpm.CSVVal
)),"")</f>
        <v/>
      </c>
      <c r="E419" s="2" t="str">
        <f>_xlfn.XLOOKUP(A419,My_Audit!A:A,My_Audit!D:D,"")&amp;""</f>
        <v/>
      </c>
      <c r="F419" s="2" t="str" cm="1">
        <f t="array" ref="F419">IFERROR(_xlfn.LET(
_xlpm.CSVVal,_xlfn.XLOOKUP($A419,CSV!$A:$A,CSV!F:F,""),
_xlpm.MacVal,_xlfn.XLOOKUP($A419,Output_Mac!$A:$A,Output_Mac!E:E,""),
_xlpm.MyAuditVal,_xlfn.XLOOKUP($A419,My_Audit!$A:$A,My_Audit!E:E,""),
_xlfn.IFS(_xlpm.MyAuditVal&lt;&gt;"",_xlpm.MyAuditVal,_xlpm.MacVal&lt;&gt;"",_xlpm.MacVal,_xlpm.CSVVal&lt;&gt;"",_xlpm.CSVVal
)),"")</f>
        <v/>
      </c>
      <c r="G419" s="2" t="str" cm="1">
        <f t="array" ref="G419">IFERROR(_xlfn.LET(
_xlpm.CSVVal,_xlfn.XLOOKUP($A419,CSV!$A:$A,CSV!G:G,""),
_xlpm.MacVal,_xlfn.XLOOKUP($A419,Output_Mac!$A:$A,Output_Mac!F:F,""),
_xlpm.MyAuditVal,_xlfn.XLOOKUP($A419,My_Audit!$A:$A,My_Audit!F:F,""),
_xlfn.IFS(_xlpm.MyAuditVal&lt;&gt;"",_xlpm.MyAuditVal,_xlpm.MacVal&lt;&gt;"",_xlpm.MacVal,_xlpm.CSVVal&lt;&gt;"",PROPER(_xlpm.CSVVal)
)),"")</f>
        <v/>
      </c>
      <c r="H419" s="2" t="str" cm="1">
        <f t="array" ref="H419">IFERROR(_xlfn.LET(
_xlpm.CSVVal,_xlfn.XLOOKUP($A419,CSV!$A:$A,CSV!H:H,""),
_xlpm.MacVal,_xlfn.XLOOKUP($A419,Output_Mac!$A:$A,Output_Mac!H:H,""),
_xlpm.MyAuditVal,_xlfn.XLOOKUP($A419,My_Audit!$A:$A,My_Audit!G:G,""),
_xlfn.IFS(_xlpm.MyAuditVal&lt;&gt;"",_xlpm.MyAuditVal,_xlpm.MacVal&lt;&gt;"",_xlpm.MacVal,_xlpm.CSVVal&lt;&gt;"",_xlpm.CSVVal
)),"")</f>
        <v/>
      </c>
      <c r="I419" s="2" t="str">
        <f>_xlfn.XLOOKUP(A419,Output_Mac!A:A,Output_Mac!I:I,"")</f>
        <v/>
      </c>
      <c r="J419" s="2" t="str" cm="1">
        <f t="array" ref="J419">IFERROR(_xlfn.LET(
_xlpm.CSVVal,_xlfn.XLOOKUP($A419,CSV!$A:$A,CSV!I:I,""),
_xlpm.MacVal,_xlfn.XLOOKUP($A419,Output_Mac!$A:$A,Output_Mac!J:J,""),
_xlpm.MyAuditVal,_xlfn.XLOOKUP($A419,My_Audit!$A:$A,My_Audit!I:I,""),
_xlfn.IFS(_xlpm.MyAuditVal&lt;&gt;"",UPPER(_xlpm.MyAuditVal),_xlpm.MacVal&lt;&gt;"",_xlpm.MacVal,_xlpm.CSVVal&lt;&gt;"",_xlpm.CSVVal
)),"")</f>
        <v/>
      </c>
      <c r="K419" s="2" t="str" cm="1">
        <f t="array" ref="K419">IFERROR(_xlfn.LET(
_xlpm.CSVVal,_xlfn.XLOOKUP($A419,CSV!$A:$A,CSV!K:K,""),
_xlpm.MacVal,_xlfn.XLOOKUP($A419,Output_Mac!$A:$A,Output_Mac!K:K,""),
_xlpm.MyAuditVal,_xlfn.XLOOKUP($A419,My_Audit!$A:$A,My_Audit!J:J,""),
_xlfn.IFS(_xlpm.MyAuditVal&lt;&gt;"",UPPER(_xlpm.MyAuditVal),_xlpm.MacVal&lt;&gt;"",_xlpm.MacVal,_xlpm.CSVVal&lt;&gt;"",_xlpm.CSVVal
)),"")</f>
        <v/>
      </c>
      <c r="L419" s="2" t="str" cm="1">
        <f t="array" ref="L419">IFERROR(_xlfn.LET(
_xlpm.CSVVal,_xlfn.XLOOKUP($A419,CSV!$A:$A,CSV!P:P,""),
_xlpm.MacVal,_xlfn.XLOOKUP($A419,Output_Mac!$A:$A,Output_Mac!L:L,""),
_xlpm.MyAuditVal,_xlfn.XLOOKUP($A419,My_Audit!$A:$A,My_Audit!K:K,""),
_xlfn.IFS(_xlpm.MyAuditVal&lt;&gt;"",UPPER(_xlpm.MyAuditVal),_xlpm.MacVal&lt;&gt;"",_xlpm.MacVal,_xlpm.CSVVal&lt;&gt;"",_xlpm.CSVVal
)),"")</f>
        <v/>
      </c>
      <c r="M419" s="2" t="str" cm="1">
        <f t="array" ref="M419">IFERROR(_xlfn.LET(
_xlpm.CSVVal,_xlfn.XLOOKUP($A419,CSV!$A:$A,CSV!Q:Q,""),
_xlpm.MacVal,_xlfn.XLOOKUP($A419,Output_Mac!$A:$A,Output_Mac!M:M,""),
_xlpm.MyAuditVal,_xlfn.XLOOKUP($A419,My_Audit!$A:$A,My_Audit!L:L,""),
_xlfn.IFS(_xlpm.MyAuditVal&lt;&gt;"",UPPER(_xlpm.MyAuditVal),_xlpm.MacVal&lt;&gt;"",_xlpm.MacVal,_xlpm.CSVVal&lt;&gt;"",_xlpm.CSVVal
)),"")</f>
        <v/>
      </c>
      <c r="O419" s="2" t="str">
        <f>_xlfn.LET(
    _xlpm.CSVVal, _xlfn.XLOOKUP($A419, CSV!$A:$A, CSV!AF:AF, ""),
    _xlpm.MacVal, _xlfn.XLOOKUP($A419, Output_Mac!$A:$A, Output_Mac!S:S, ""),
    _xlpm.MyAuditVal, _xlfn.XLOOKUP($A419, My_Audit!$A:$A, My_Audit!P:P, ""),
    _xlfn.TEXTJOIN(", ", TRUE, _xlpm.MyAuditVal, _xlpm.MacVal, _xlpm.CSVVal)
)</f>
        <v/>
      </c>
      <c r="P419" s="2" t="str" cm="1">
        <f t="array" ref="P419">IFERROR(_xlfn.LET(
_xlpm.CSVVal,_xlfn.XLOOKUP($A419,CSV!$A:$A,CSV!AG:AG,""),
_xlpm.MacVal,_xlfn.XLOOKUP($A419,Output_Mac!$A:$A,Output_Mac!T:T,""),
_xlpm.MyAuditVal,_xlfn.XLOOKUP($A419,My_Audit!$A:$A,My_Audit!Q:Q,""),
_xlfn.IFS(_xlpm.MyAuditVal&lt;&gt;"",UPPER(_xlpm.MyAuditVal),_xlpm.MacVal&lt;&gt;"",_xlpm.MacVal,_xlpm.CSVVal&lt;&gt;"",_xlpm.CSVVal
)),"No")</f>
        <v>No</v>
      </c>
      <c r="Q419" s="2" t="str" cm="1">
        <f t="array" ref="Q419">IFERROR(_xlfn.LET(
_xlpm.CSVVal,_xlfn.XLOOKUP($A419,CSV!$A:$A,CSV!AH:AH,""),
_xlpm.MacVal,_xlfn.XLOOKUP($A419,Output_Mac!$A:$A,Output_Mac!U:U,""),
_xlpm.MyAuditVal,_xlfn.XLOOKUP($A419,My_Audit!$A:$A,My_Audit!R:R,""),
_xlfn.IFS(_xlpm.MyAuditVal&lt;&gt;"",UPPER(_xlpm.MyAuditVal),_xlpm.MacVal&lt;&gt;"",_xlpm.MacVal,_xlpm.CSVVal&lt;&gt;"",_xlpm.CSVVal
)),"")</f>
        <v/>
      </c>
    </row>
    <row r="420" spans="1:17">
      <c r="A420" s="2" t="str">
        <f>_xlfn.TEXTJOIN("",TRUE,Input!$B$2,ROW(My_Audit!A419))</f>
        <v>XX419</v>
      </c>
      <c r="B420" s="2" t="str">
        <f>_xlfn.TEXTJOIN("-",TRUE,"ITD",Input!$A$2,A420)</f>
        <v>ITD-SHRXXX-XX419</v>
      </c>
      <c r="C420" s="2" t="str" cm="1">
        <f t="array" ref="C420">IFERROR(_xlfn.LET(
_xlpm.CSVVal,_xlfn.XLOOKUP($A420,CSV!$A:$A,CSV!B:B,""),
_xlpm.MacVal,_xlfn.XLOOKUP($A420,Output_Mac!$A:$A,Output_Mac!B:B,""),
_xlpm.MyAuditVal,_xlfn.XLOOKUP($A420,My_Audit!$A:$A,My_Audit!B:B,""),
_xlfn.IFS(_xlpm.MyAuditVal&lt;&gt;"",UPPER(_xlpm.MyAuditVal),_xlpm.MacVal&lt;&gt;"",_xlpm.MacVal,_xlpm.CSVVal&lt;&gt;"",_xlpm.CSVVal
)),"")</f>
        <v/>
      </c>
      <c r="D420" s="2" t="str" cm="1">
        <f t="array" ref="D420">IFERROR(_xlfn.LET(
_xlpm.CSVVal,_xlfn.XLOOKUP($A420,CSV!$A:$A,CSV!D:D,""),
_xlpm.MacVal,_xlfn.XLOOKUP($A420,Output_Mac!$A:$A,Output_Mac!C:C,""),
_xlpm.MyAuditVal,_xlfn.XLOOKUP($A420,My_Audit!$A:$A,My_Audit!C:C,""),
_xlfn.IFS(_xlpm.MyAuditVal&lt;&gt;"",_xlpm.MyAuditVal,_xlpm.MacVal&lt;&gt;"",_xlpm.MacVal,_xlpm.CSVVal&lt;&gt;"",_xlpm.CSVVal
)),"")</f>
        <v/>
      </c>
      <c r="E420" s="2" t="str">
        <f>_xlfn.XLOOKUP(A420,My_Audit!A:A,My_Audit!D:D,"")&amp;""</f>
        <v/>
      </c>
      <c r="F420" s="2" t="str" cm="1">
        <f t="array" ref="F420">IFERROR(_xlfn.LET(
_xlpm.CSVVal,_xlfn.XLOOKUP($A420,CSV!$A:$A,CSV!F:F,""),
_xlpm.MacVal,_xlfn.XLOOKUP($A420,Output_Mac!$A:$A,Output_Mac!E:E,""),
_xlpm.MyAuditVal,_xlfn.XLOOKUP($A420,My_Audit!$A:$A,My_Audit!E:E,""),
_xlfn.IFS(_xlpm.MyAuditVal&lt;&gt;"",_xlpm.MyAuditVal,_xlpm.MacVal&lt;&gt;"",_xlpm.MacVal,_xlpm.CSVVal&lt;&gt;"",_xlpm.CSVVal
)),"")</f>
        <v/>
      </c>
      <c r="G420" s="2" t="str" cm="1">
        <f t="array" ref="G420">IFERROR(_xlfn.LET(
_xlpm.CSVVal,_xlfn.XLOOKUP($A420,CSV!$A:$A,CSV!G:G,""),
_xlpm.MacVal,_xlfn.XLOOKUP($A420,Output_Mac!$A:$A,Output_Mac!F:F,""),
_xlpm.MyAuditVal,_xlfn.XLOOKUP($A420,My_Audit!$A:$A,My_Audit!F:F,""),
_xlfn.IFS(_xlpm.MyAuditVal&lt;&gt;"",_xlpm.MyAuditVal,_xlpm.MacVal&lt;&gt;"",_xlpm.MacVal,_xlpm.CSVVal&lt;&gt;"",PROPER(_xlpm.CSVVal)
)),"")</f>
        <v/>
      </c>
      <c r="H420" s="2" t="str" cm="1">
        <f t="array" ref="H420">IFERROR(_xlfn.LET(
_xlpm.CSVVal,_xlfn.XLOOKUP($A420,CSV!$A:$A,CSV!H:H,""),
_xlpm.MacVal,_xlfn.XLOOKUP($A420,Output_Mac!$A:$A,Output_Mac!H:H,""),
_xlpm.MyAuditVal,_xlfn.XLOOKUP($A420,My_Audit!$A:$A,My_Audit!G:G,""),
_xlfn.IFS(_xlpm.MyAuditVal&lt;&gt;"",_xlpm.MyAuditVal,_xlpm.MacVal&lt;&gt;"",_xlpm.MacVal,_xlpm.CSVVal&lt;&gt;"",_xlpm.CSVVal
)),"")</f>
        <v/>
      </c>
      <c r="I420" s="2" t="str">
        <f>_xlfn.XLOOKUP(A420,Output_Mac!A:A,Output_Mac!I:I,"")</f>
        <v/>
      </c>
      <c r="J420" s="2" t="str" cm="1">
        <f t="array" ref="J420">IFERROR(_xlfn.LET(
_xlpm.CSVVal,_xlfn.XLOOKUP($A420,CSV!$A:$A,CSV!I:I,""),
_xlpm.MacVal,_xlfn.XLOOKUP($A420,Output_Mac!$A:$A,Output_Mac!J:J,""),
_xlpm.MyAuditVal,_xlfn.XLOOKUP($A420,My_Audit!$A:$A,My_Audit!I:I,""),
_xlfn.IFS(_xlpm.MyAuditVal&lt;&gt;"",UPPER(_xlpm.MyAuditVal),_xlpm.MacVal&lt;&gt;"",_xlpm.MacVal,_xlpm.CSVVal&lt;&gt;"",_xlpm.CSVVal
)),"")</f>
        <v/>
      </c>
      <c r="K420" s="2" t="str" cm="1">
        <f t="array" ref="K420">IFERROR(_xlfn.LET(
_xlpm.CSVVal,_xlfn.XLOOKUP($A420,CSV!$A:$A,CSV!K:K,""),
_xlpm.MacVal,_xlfn.XLOOKUP($A420,Output_Mac!$A:$A,Output_Mac!K:K,""),
_xlpm.MyAuditVal,_xlfn.XLOOKUP($A420,My_Audit!$A:$A,My_Audit!J:J,""),
_xlfn.IFS(_xlpm.MyAuditVal&lt;&gt;"",UPPER(_xlpm.MyAuditVal),_xlpm.MacVal&lt;&gt;"",_xlpm.MacVal,_xlpm.CSVVal&lt;&gt;"",_xlpm.CSVVal
)),"")</f>
        <v/>
      </c>
      <c r="L420" s="2" t="str" cm="1">
        <f t="array" ref="L420">IFERROR(_xlfn.LET(
_xlpm.CSVVal,_xlfn.XLOOKUP($A420,CSV!$A:$A,CSV!P:P,""),
_xlpm.MacVal,_xlfn.XLOOKUP($A420,Output_Mac!$A:$A,Output_Mac!L:L,""),
_xlpm.MyAuditVal,_xlfn.XLOOKUP($A420,My_Audit!$A:$A,My_Audit!K:K,""),
_xlfn.IFS(_xlpm.MyAuditVal&lt;&gt;"",UPPER(_xlpm.MyAuditVal),_xlpm.MacVal&lt;&gt;"",_xlpm.MacVal,_xlpm.CSVVal&lt;&gt;"",_xlpm.CSVVal
)),"")</f>
        <v/>
      </c>
      <c r="M420" s="2" t="str" cm="1">
        <f t="array" ref="M420">IFERROR(_xlfn.LET(
_xlpm.CSVVal,_xlfn.XLOOKUP($A420,CSV!$A:$A,CSV!Q:Q,""),
_xlpm.MacVal,_xlfn.XLOOKUP($A420,Output_Mac!$A:$A,Output_Mac!M:M,""),
_xlpm.MyAuditVal,_xlfn.XLOOKUP($A420,My_Audit!$A:$A,My_Audit!L:L,""),
_xlfn.IFS(_xlpm.MyAuditVal&lt;&gt;"",UPPER(_xlpm.MyAuditVal),_xlpm.MacVal&lt;&gt;"",_xlpm.MacVal,_xlpm.CSVVal&lt;&gt;"",_xlpm.CSVVal
)),"")</f>
        <v/>
      </c>
      <c r="O420" s="2" t="str">
        <f>_xlfn.LET(
    _xlpm.CSVVal, _xlfn.XLOOKUP($A420, CSV!$A:$A, CSV!AF:AF, ""),
    _xlpm.MacVal, _xlfn.XLOOKUP($A420, Output_Mac!$A:$A, Output_Mac!S:S, ""),
    _xlpm.MyAuditVal, _xlfn.XLOOKUP($A420, My_Audit!$A:$A, My_Audit!P:P, ""),
    _xlfn.TEXTJOIN(", ", TRUE, _xlpm.MyAuditVal, _xlpm.MacVal, _xlpm.CSVVal)
)</f>
        <v/>
      </c>
      <c r="P420" s="2" t="str" cm="1">
        <f t="array" ref="P420">IFERROR(_xlfn.LET(
_xlpm.CSVVal,_xlfn.XLOOKUP($A420,CSV!$A:$A,CSV!AG:AG,""),
_xlpm.MacVal,_xlfn.XLOOKUP($A420,Output_Mac!$A:$A,Output_Mac!T:T,""),
_xlpm.MyAuditVal,_xlfn.XLOOKUP($A420,My_Audit!$A:$A,My_Audit!Q:Q,""),
_xlfn.IFS(_xlpm.MyAuditVal&lt;&gt;"",UPPER(_xlpm.MyAuditVal),_xlpm.MacVal&lt;&gt;"",_xlpm.MacVal,_xlpm.CSVVal&lt;&gt;"",_xlpm.CSVVal
)),"No")</f>
        <v>No</v>
      </c>
      <c r="Q420" s="2" t="str" cm="1">
        <f t="array" ref="Q420">IFERROR(_xlfn.LET(
_xlpm.CSVVal,_xlfn.XLOOKUP($A420,CSV!$A:$A,CSV!AH:AH,""),
_xlpm.MacVal,_xlfn.XLOOKUP($A420,Output_Mac!$A:$A,Output_Mac!U:U,""),
_xlpm.MyAuditVal,_xlfn.XLOOKUP($A420,My_Audit!$A:$A,My_Audit!R:R,""),
_xlfn.IFS(_xlpm.MyAuditVal&lt;&gt;"",UPPER(_xlpm.MyAuditVal),_xlpm.MacVal&lt;&gt;"",_xlpm.MacVal,_xlpm.CSVVal&lt;&gt;"",_xlpm.CSVVal
)),"")</f>
        <v/>
      </c>
    </row>
    <row r="421" spans="1:17">
      <c r="A421" s="2" t="str">
        <f>_xlfn.TEXTJOIN("",TRUE,Input!$B$2,ROW(My_Audit!A420))</f>
        <v>XX420</v>
      </c>
      <c r="B421" s="2" t="str">
        <f>_xlfn.TEXTJOIN("-",TRUE,"ITD",Input!$A$2,A421)</f>
        <v>ITD-SHRXXX-XX420</v>
      </c>
      <c r="C421" s="2" t="str" cm="1">
        <f t="array" ref="C421">IFERROR(_xlfn.LET(
_xlpm.CSVVal,_xlfn.XLOOKUP($A421,CSV!$A:$A,CSV!B:B,""),
_xlpm.MacVal,_xlfn.XLOOKUP($A421,Output_Mac!$A:$A,Output_Mac!B:B,""),
_xlpm.MyAuditVal,_xlfn.XLOOKUP($A421,My_Audit!$A:$A,My_Audit!B:B,""),
_xlfn.IFS(_xlpm.MyAuditVal&lt;&gt;"",UPPER(_xlpm.MyAuditVal),_xlpm.MacVal&lt;&gt;"",_xlpm.MacVal,_xlpm.CSVVal&lt;&gt;"",_xlpm.CSVVal
)),"")</f>
        <v/>
      </c>
      <c r="D421" s="2" t="str" cm="1">
        <f t="array" ref="D421">IFERROR(_xlfn.LET(
_xlpm.CSVVal,_xlfn.XLOOKUP($A421,CSV!$A:$A,CSV!D:D,""),
_xlpm.MacVal,_xlfn.XLOOKUP($A421,Output_Mac!$A:$A,Output_Mac!C:C,""),
_xlpm.MyAuditVal,_xlfn.XLOOKUP($A421,My_Audit!$A:$A,My_Audit!C:C,""),
_xlfn.IFS(_xlpm.MyAuditVal&lt;&gt;"",_xlpm.MyAuditVal,_xlpm.MacVal&lt;&gt;"",_xlpm.MacVal,_xlpm.CSVVal&lt;&gt;"",_xlpm.CSVVal
)),"")</f>
        <v/>
      </c>
      <c r="E421" s="2" t="str">
        <f>_xlfn.XLOOKUP(A421,My_Audit!A:A,My_Audit!D:D,"")&amp;""</f>
        <v/>
      </c>
      <c r="F421" s="2" t="str" cm="1">
        <f t="array" ref="F421">IFERROR(_xlfn.LET(
_xlpm.CSVVal,_xlfn.XLOOKUP($A421,CSV!$A:$A,CSV!F:F,""),
_xlpm.MacVal,_xlfn.XLOOKUP($A421,Output_Mac!$A:$A,Output_Mac!E:E,""),
_xlpm.MyAuditVal,_xlfn.XLOOKUP($A421,My_Audit!$A:$A,My_Audit!E:E,""),
_xlfn.IFS(_xlpm.MyAuditVal&lt;&gt;"",_xlpm.MyAuditVal,_xlpm.MacVal&lt;&gt;"",_xlpm.MacVal,_xlpm.CSVVal&lt;&gt;"",_xlpm.CSVVal
)),"")</f>
        <v/>
      </c>
      <c r="G421" s="2" t="str" cm="1">
        <f t="array" ref="G421">IFERROR(_xlfn.LET(
_xlpm.CSVVal,_xlfn.XLOOKUP($A421,CSV!$A:$A,CSV!G:G,""),
_xlpm.MacVal,_xlfn.XLOOKUP($A421,Output_Mac!$A:$A,Output_Mac!F:F,""),
_xlpm.MyAuditVal,_xlfn.XLOOKUP($A421,My_Audit!$A:$A,My_Audit!F:F,""),
_xlfn.IFS(_xlpm.MyAuditVal&lt;&gt;"",_xlpm.MyAuditVal,_xlpm.MacVal&lt;&gt;"",_xlpm.MacVal,_xlpm.CSVVal&lt;&gt;"",PROPER(_xlpm.CSVVal)
)),"")</f>
        <v/>
      </c>
      <c r="H421" s="2" t="str" cm="1">
        <f t="array" ref="H421">IFERROR(_xlfn.LET(
_xlpm.CSVVal,_xlfn.XLOOKUP($A421,CSV!$A:$A,CSV!H:H,""),
_xlpm.MacVal,_xlfn.XLOOKUP($A421,Output_Mac!$A:$A,Output_Mac!H:H,""),
_xlpm.MyAuditVal,_xlfn.XLOOKUP($A421,My_Audit!$A:$A,My_Audit!G:G,""),
_xlfn.IFS(_xlpm.MyAuditVal&lt;&gt;"",_xlpm.MyAuditVal,_xlpm.MacVal&lt;&gt;"",_xlpm.MacVal,_xlpm.CSVVal&lt;&gt;"",_xlpm.CSVVal
)),"")</f>
        <v/>
      </c>
      <c r="I421" s="2" t="str">
        <f>_xlfn.XLOOKUP(A421,Output_Mac!A:A,Output_Mac!I:I,"")</f>
        <v/>
      </c>
      <c r="J421" s="2" t="str" cm="1">
        <f t="array" ref="J421">IFERROR(_xlfn.LET(
_xlpm.CSVVal,_xlfn.XLOOKUP($A421,CSV!$A:$A,CSV!I:I,""),
_xlpm.MacVal,_xlfn.XLOOKUP($A421,Output_Mac!$A:$A,Output_Mac!J:J,""),
_xlpm.MyAuditVal,_xlfn.XLOOKUP($A421,My_Audit!$A:$A,My_Audit!I:I,""),
_xlfn.IFS(_xlpm.MyAuditVal&lt;&gt;"",UPPER(_xlpm.MyAuditVal),_xlpm.MacVal&lt;&gt;"",_xlpm.MacVal,_xlpm.CSVVal&lt;&gt;"",_xlpm.CSVVal
)),"")</f>
        <v/>
      </c>
      <c r="K421" s="2" t="str" cm="1">
        <f t="array" ref="K421">IFERROR(_xlfn.LET(
_xlpm.CSVVal,_xlfn.XLOOKUP($A421,CSV!$A:$A,CSV!K:K,""),
_xlpm.MacVal,_xlfn.XLOOKUP($A421,Output_Mac!$A:$A,Output_Mac!K:K,""),
_xlpm.MyAuditVal,_xlfn.XLOOKUP($A421,My_Audit!$A:$A,My_Audit!J:J,""),
_xlfn.IFS(_xlpm.MyAuditVal&lt;&gt;"",UPPER(_xlpm.MyAuditVal),_xlpm.MacVal&lt;&gt;"",_xlpm.MacVal,_xlpm.CSVVal&lt;&gt;"",_xlpm.CSVVal
)),"")</f>
        <v/>
      </c>
      <c r="L421" s="2" t="str" cm="1">
        <f t="array" ref="L421">IFERROR(_xlfn.LET(
_xlpm.CSVVal,_xlfn.XLOOKUP($A421,CSV!$A:$A,CSV!P:P,""),
_xlpm.MacVal,_xlfn.XLOOKUP($A421,Output_Mac!$A:$A,Output_Mac!L:L,""),
_xlpm.MyAuditVal,_xlfn.XLOOKUP($A421,My_Audit!$A:$A,My_Audit!K:K,""),
_xlfn.IFS(_xlpm.MyAuditVal&lt;&gt;"",UPPER(_xlpm.MyAuditVal),_xlpm.MacVal&lt;&gt;"",_xlpm.MacVal,_xlpm.CSVVal&lt;&gt;"",_xlpm.CSVVal
)),"")</f>
        <v/>
      </c>
      <c r="M421" s="2" t="str" cm="1">
        <f t="array" ref="M421">IFERROR(_xlfn.LET(
_xlpm.CSVVal,_xlfn.XLOOKUP($A421,CSV!$A:$A,CSV!Q:Q,""),
_xlpm.MacVal,_xlfn.XLOOKUP($A421,Output_Mac!$A:$A,Output_Mac!M:M,""),
_xlpm.MyAuditVal,_xlfn.XLOOKUP($A421,My_Audit!$A:$A,My_Audit!L:L,""),
_xlfn.IFS(_xlpm.MyAuditVal&lt;&gt;"",UPPER(_xlpm.MyAuditVal),_xlpm.MacVal&lt;&gt;"",_xlpm.MacVal,_xlpm.CSVVal&lt;&gt;"",_xlpm.CSVVal
)),"")</f>
        <v/>
      </c>
      <c r="O421" s="2" t="str">
        <f>_xlfn.LET(
    _xlpm.CSVVal, _xlfn.XLOOKUP($A421, CSV!$A:$A, CSV!AF:AF, ""),
    _xlpm.MacVal, _xlfn.XLOOKUP($A421, Output_Mac!$A:$A, Output_Mac!S:S, ""),
    _xlpm.MyAuditVal, _xlfn.XLOOKUP($A421, My_Audit!$A:$A, My_Audit!P:P, ""),
    _xlfn.TEXTJOIN(", ", TRUE, _xlpm.MyAuditVal, _xlpm.MacVal, _xlpm.CSVVal)
)</f>
        <v/>
      </c>
      <c r="P421" s="2" t="str" cm="1">
        <f t="array" ref="P421">IFERROR(_xlfn.LET(
_xlpm.CSVVal,_xlfn.XLOOKUP($A421,CSV!$A:$A,CSV!AG:AG,""),
_xlpm.MacVal,_xlfn.XLOOKUP($A421,Output_Mac!$A:$A,Output_Mac!T:T,""),
_xlpm.MyAuditVal,_xlfn.XLOOKUP($A421,My_Audit!$A:$A,My_Audit!Q:Q,""),
_xlfn.IFS(_xlpm.MyAuditVal&lt;&gt;"",UPPER(_xlpm.MyAuditVal),_xlpm.MacVal&lt;&gt;"",_xlpm.MacVal,_xlpm.CSVVal&lt;&gt;"",_xlpm.CSVVal
)),"No")</f>
        <v>No</v>
      </c>
      <c r="Q421" s="2" t="str" cm="1">
        <f t="array" ref="Q421">IFERROR(_xlfn.LET(
_xlpm.CSVVal,_xlfn.XLOOKUP($A421,CSV!$A:$A,CSV!AH:AH,""),
_xlpm.MacVal,_xlfn.XLOOKUP($A421,Output_Mac!$A:$A,Output_Mac!U:U,""),
_xlpm.MyAuditVal,_xlfn.XLOOKUP($A421,My_Audit!$A:$A,My_Audit!R:R,""),
_xlfn.IFS(_xlpm.MyAuditVal&lt;&gt;"",UPPER(_xlpm.MyAuditVal),_xlpm.MacVal&lt;&gt;"",_xlpm.MacVal,_xlpm.CSVVal&lt;&gt;"",_xlpm.CSVVal
)),"")</f>
        <v/>
      </c>
    </row>
    <row r="422" spans="1:17">
      <c r="A422" s="2" t="str">
        <f>_xlfn.TEXTJOIN("",TRUE,Input!$B$2,ROW(My_Audit!A421))</f>
        <v>XX421</v>
      </c>
      <c r="B422" s="2" t="str">
        <f>_xlfn.TEXTJOIN("-",TRUE,"ITD",Input!$A$2,A422)</f>
        <v>ITD-SHRXXX-XX421</v>
      </c>
      <c r="C422" s="2" t="str" cm="1">
        <f t="array" ref="C422">IFERROR(_xlfn.LET(
_xlpm.CSVVal,_xlfn.XLOOKUP($A422,CSV!$A:$A,CSV!B:B,""),
_xlpm.MacVal,_xlfn.XLOOKUP($A422,Output_Mac!$A:$A,Output_Mac!B:B,""),
_xlpm.MyAuditVal,_xlfn.XLOOKUP($A422,My_Audit!$A:$A,My_Audit!B:B,""),
_xlfn.IFS(_xlpm.MyAuditVal&lt;&gt;"",UPPER(_xlpm.MyAuditVal),_xlpm.MacVal&lt;&gt;"",_xlpm.MacVal,_xlpm.CSVVal&lt;&gt;"",_xlpm.CSVVal
)),"")</f>
        <v/>
      </c>
      <c r="D422" s="2" t="str" cm="1">
        <f t="array" ref="D422">IFERROR(_xlfn.LET(
_xlpm.CSVVal,_xlfn.XLOOKUP($A422,CSV!$A:$A,CSV!D:D,""),
_xlpm.MacVal,_xlfn.XLOOKUP($A422,Output_Mac!$A:$A,Output_Mac!C:C,""),
_xlpm.MyAuditVal,_xlfn.XLOOKUP($A422,My_Audit!$A:$A,My_Audit!C:C,""),
_xlfn.IFS(_xlpm.MyAuditVal&lt;&gt;"",_xlpm.MyAuditVal,_xlpm.MacVal&lt;&gt;"",_xlpm.MacVal,_xlpm.CSVVal&lt;&gt;"",_xlpm.CSVVal
)),"")</f>
        <v/>
      </c>
      <c r="E422" s="2" t="str">
        <f>_xlfn.XLOOKUP(A422,My_Audit!A:A,My_Audit!D:D,"")&amp;""</f>
        <v/>
      </c>
      <c r="F422" s="2" t="str" cm="1">
        <f t="array" ref="F422">IFERROR(_xlfn.LET(
_xlpm.CSVVal,_xlfn.XLOOKUP($A422,CSV!$A:$A,CSV!F:F,""),
_xlpm.MacVal,_xlfn.XLOOKUP($A422,Output_Mac!$A:$A,Output_Mac!E:E,""),
_xlpm.MyAuditVal,_xlfn.XLOOKUP($A422,My_Audit!$A:$A,My_Audit!E:E,""),
_xlfn.IFS(_xlpm.MyAuditVal&lt;&gt;"",_xlpm.MyAuditVal,_xlpm.MacVal&lt;&gt;"",_xlpm.MacVal,_xlpm.CSVVal&lt;&gt;"",_xlpm.CSVVal
)),"")</f>
        <v/>
      </c>
      <c r="G422" s="2" t="str" cm="1">
        <f t="array" ref="G422">IFERROR(_xlfn.LET(
_xlpm.CSVVal,_xlfn.XLOOKUP($A422,CSV!$A:$A,CSV!G:G,""),
_xlpm.MacVal,_xlfn.XLOOKUP($A422,Output_Mac!$A:$A,Output_Mac!F:F,""),
_xlpm.MyAuditVal,_xlfn.XLOOKUP($A422,My_Audit!$A:$A,My_Audit!F:F,""),
_xlfn.IFS(_xlpm.MyAuditVal&lt;&gt;"",_xlpm.MyAuditVal,_xlpm.MacVal&lt;&gt;"",_xlpm.MacVal,_xlpm.CSVVal&lt;&gt;"",PROPER(_xlpm.CSVVal)
)),"")</f>
        <v/>
      </c>
      <c r="H422" s="2" t="str" cm="1">
        <f t="array" ref="H422">IFERROR(_xlfn.LET(
_xlpm.CSVVal,_xlfn.XLOOKUP($A422,CSV!$A:$A,CSV!H:H,""),
_xlpm.MacVal,_xlfn.XLOOKUP($A422,Output_Mac!$A:$A,Output_Mac!H:H,""),
_xlpm.MyAuditVal,_xlfn.XLOOKUP($A422,My_Audit!$A:$A,My_Audit!G:G,""),
_xlfn.IFS(_xlpm.MyAuditVal&lt;&gt;"",_xlpm.MyAuditVal,_xlpm.MacVal&lt;&gt;"",_xlpm.MacVal,_xlpm.CSVVal&lt;&gt;"",_xlpm.CSVVal
)),"")</f>
        <v/>
      </c>
      <c r="I422" s="2" t="str">
        <f>_xlfn.XLOOKUP(A422,Output_Mac!A:A,Output_Mac!I:I,"")</f>
        <v/>
      </c>
      <c r="J422" s="2" t="str" cm="1">
        <f t="array" ref="J422">IFERROR(_xlfn.LET(
_xlpm.CSVVal,_xlfn.XLOOKUP($A422,CSV!$A:$A,CSV!I:I,""),
_xlpm.MacVal,_xlfn.XLOOKUP($A422,Output_Mac!$A:$A,Output_Mac!J:J,""),
_xlpm.MyAuditVal,_xlfn.XLOOKUP($A422,My_Audit!$A:$A,My_Audit!I:I,""),
_xlfn.IFS(_xlpm.MyAuditVal&lt;&gt;"",UPPER(_xlpm.MyAuditVal),_xlpm.MacVal&lt;&gt;"",_xlpm.MacVal,_xlpm.CSVVal&lt;&gt;"",_xlpm.CSVVal
)),"")</f>
        <v/>
      </c>
      <c r="K422" s="2" t="str" cm="1">
        <f t="array" ref="K422">IFERROR(_xlfn.LET(
_xlpm.CSVVal,_xlfn.XLOOKUP($A422,CSV!$A:$A,CSV!K:K,""),
_xlpm.MacVal,_xlfn.XLOOKUP($A422,Output_Mac!$A:$A,Output_Mac!K:K,""),
_xlpm.MyAuditVal,_xlfn.XLOOKUP($A422,My_Audit!$A:$A,My_Audit!J:J,""),
_xlfn.IFS(_xlpm.MyAuditVal&lt;&gt;"",UPPER(_xlpm.MyAuditVal),_xlpm.MacVal&lt;&gt;"",_xlpm.MacVal,_xlpm.CSVVal&lt;&gt;"",_xlpm.CSVVal
)),"")</f>
        <v/>
      </c>
      <c r="L422" s="2" t="str" cm="1">
        <f t="array" ref="L422">IFERROR(_xlfn.LET(
_xlpm.CSVVal,_xlfn.XLOOKUP($A422,CSV!$A:$A,CSV!P:P,""),
_xlpm.MacVal,_xlfn.XLOOKUP($A422,Output_Mac!$A:$A,Output_Mac!L:L,""),
_xlpm.MyAuditVal,_xlfn.XLOOKUP($A422,My_Audit!$A:$A,My_Audit!K:K,""),
_xlfn.IFS(_xlpm.MyAuditVal&lt;&gt;"",UPPER(_xlpm.MyAuditVal),_xlpm.MacVal&lt;&gt;"",_xlpm.MacVal,_xlpm.CSVVal&lt;&gt;"",_xlpm.CSVVal
)),"")</f>
        <v/>
      </c>
      <c r="M422" s="2" t="str" cm="1">
        <f t="array" ref="M422">IFERROR(_xlfn.LET(
_xlpm.CSVVal,_xlfn.XLOOKUP($A422,CSV!$A:$A,CSV!Q:Q,""),
_xlpm.MacVal,_xlfn.XLOOKUP($A422,Output_Mac!$A:$A,Output_Mac!M:M,""),
_xlpm.MyAuditVal,_xlfn.XLOOKUP($A422,My_Audit!$A:$A,My_Audit!L:L,""),
_xlfn.IFS(_xlpm.MyAuditVal&lt;&gt;"",UPPER(_xlpm.MyAuditVal),_xlpm.MacVal&lt;&gt;"",_xlpm.MacVal,_xlpm.CSVVal&lt;&gt;"",_xlpm.CSVVal
)),"")</f>
        <v/>
      </c>
      <c r="O422" s="2" t="str">
        <f>_xlfn.LET(
    _xlpm.CSVVal, _xlfn.XLOOKUP($A422, CSV!$A:$A, CSV!AF:AF, ""),
    _xlpm.MacVal, _xlfn.XLOOKUP($A422, Output_Mac!$A:$A, Output_Mac!S:S, ""),
    _xlpm.MyAuditVal, _xlfn.XLOOKUP($A422, My_Audit!$A:$A, My_Audit!P:P, ""),
    _xlfn.TEXTJOIN(", ", TRUE, _xlpm.MyAuditVal, _xlpm.MacVal, _xlpm.CSVVal)
)</f>
        <v/>
      </c>
      <c r="P422" s="2" t="str" cm="1">
        <f t="array" ref="P422">IFERROR(_xlfn.LET(
_xlpm.CSVVal,_xlfn.XLOOKUP($A422,CSV!$A:$A,CSV!AG:AG,""),
_xlpm.MacVal,_xlfn.XLOOKUP($A422,Output_Mac!$A:$A,Output_Mac!T:T,""),
_xlpm.MyAuditVal,_xlfn.XLOOKUP($A422,My_Audit!$A:$A,My_Audit!Q:Q,""),
_xlfn.IFS(_xlpm.MyAuditVal&lt;&gt;"",UPPER(_xlpm.MyAuditVal),_xlpm.MacVal&lt;&gt;"",_xlpm.MacVal,_xlpm.CSVVal&lt;&gt;"",_xlpm.CSVVal
)),"No")</f>
        <v>No</v>
      </c>
      <c r="Q422" s="2" t="str" cm="1">
        <f t="array" ref="Q422">IFERROR(_xlfn.LET(
_xlpm.CSVVal,_xlfn.XLOOKUP($A422,CSV!$A:$A,CSV!AH:AH,""),
_xlpm.MacVal,_xlfn.XLOOKUP($A422,Output_Mac!$A:$A,Output_Mac!U:U,""),
_xlpm.MyAuditVal,_xlfn.XLOOKUP($A422,My_Audit!$A:$A,My_Audit!R:R,""),
_xlfn.IFS(_xlpm.MyAuditVal&lt;&gt;"",UPPER(_xlpm.MyAuditVal),_xlpm.MacVal&lt;&gt;"",_xlpm.MacVal,_xlpm.CSVVal&lt;&gt;"",_xlpm.CSVVal
)),"")</f>
        <v/>
      </c>
    </row>
    <row r="423" spans="1:17">
      <c r="A423" s="2" t="str">
        <f>_xlfn.TEXTJOIN("",TRUE,Input!$B$2,ROW(My_Audit!A422))</f>
        <v>XX422</v>
      </c>
      <c r="B423" s="2" t="str">
        <f>_xlfn.TEXTJOIN("-",TRUE,"ITD",Input!$A$2,A423)</f>
        <v>ITD-SHRXXX-XX422</v>
      </c>
      <c r="C423" s="2" t="str" cm="1">
        <f t="array" ref="C423">IFERROR(_xlfn.LET(
_xlpm.CSVVal,_xlfn.XLOOKUP($A423,CSV!$A:$A,CSV!B:B,""),
_xlpm.MacVal,_xlfn.XLOOKUP($A423,Output_Mac!$A:$A,Output_Mac!B:B,""),
_xlpm.MyAuditVal,_xlfn.XLOOKUP($A423,My_Audit!$A:$A,My_Audit!B:B,""),
_xlfn.IFS(_xlpm.MyAuditVal&lt;&gt;"",UPPER(_xlpm.MyAuditVal),_xlpm.MacVal&lt;&gt;"",_xlpm.MacVal,_xlpm.CSVVal&lt;&gt;"",_xlpm.CSVVal
)),"")</f>
        <v/>
      </c>
      <c r="D423" s="2" t="str" cm="1">
        <f t="array" ref="D423">IFERROR(_xlfn.LET(
_xlpm.CSVVal,_xlfn.XLOOKUP($A423,CSV!$A:$A,CSV!D:D,""),
_xlpm.MacVal,_xlfn.XLOOKUP($A423,Output_Mac!$A:$A,Output_Mac!C:C,""),
_xlpm.MyAuditVal,_xlfn.XLOOKUP($A423,My_Audit!$A:$A,My_Audit!C:C,""),
_xlfn.IFS(_xlpm.MyAuditVal&lt;&gt;"",_xlpm.MyAuditVal,_xlpm.MacVal&lt;&gt;"",_xlpm.MacVal,_xlpm.CSVVal&lt;&gt;"",_xlpm.CSVVal
)),"")</f>
        <v/>
      </c>
      <c r="E423" s="2" t="str">
        <f>_xlfn.XLOOKUP(A423,My_Audit!A:A,My_Audit!D:D,"")&amp;""</f>
        <v/>
      </c>
      <c r="F423" s="2" t="str" cm="1">
        <f t="array" ref="F423">IFERROR(_xlfn.LET(
_xlpm.CSVVal,_xlfn.XLOOKUP($A423,CSV!$A:$A,CSV!F:F,""),
_xlpm.MacVal,_xlfn.XLOOKUP($A423,Output_Mac!$A:$A,Output_Mac!E:E,""),
_xlpm.MyAuditVal,_xlfn.XLOOKUP($A423,My_Audit!$A:$A,My_Audit!E:E,""),
_xlfn.IFS(_xlpm.MyAuditVal&lt;&gt;"",_xlpm.MyAuditVal,_xlpm.MacVal&lt;&gt;"",_xlpm.MacVal,_xlpm.CSVVal&lt;&gt;"",_xlpm.CSVVal
)),"")</f>
        <v/>
      </c>
      <c r="G423" s="2" t="str" cm="1">
        <f t="array" ref="G423">IFERROR(_xlfn.LET(
_xlpm.CSVVal,_xlfn.XLOOKUP($A423,CSV!$A:$A,CSV!G:G,""),
_xlpm.MacVal,_xlfn.XLOOKUP($A423,Output_Mac!$A:$A,Output_Mac!F:F,""),
_xlpm.MyAuditVal,_xlfn.XLOOKUP($A423,My_Audit!$A:$A,My_Audit!F:F,""),
_xlfn.IFS(_xlpm.MyAuditVal&lt;&gt;"",_xlpm.MyAuditVal,_xlpm.MacVal&lt;&gt;"",_xlpm.MacVal,_xlpm.CSVVal&lt;&gt;"",PROPER(_xlpm.CSVVal)
)),"")</f>
        <v/>
      </c>
      <c r="H423" s="2" t="str" cm="1">
        <f t="array" ref="H423">IFERROR(_xlfn.LET(
_xlpm.CSVVal,_xlfn.XLOOKUP($A423,CSV!$A:$A,CSV!H:H,""),
_xlpm.MacVal,_xlfn.XLOOKUP($A423,Output_Mac!$A:$A,Output_Mac!H:H,""),
_xlpm.MyAuditVal,_xlfn.XLOOKUP($A423,My_Audit!$A:$A,My_Audit!G:G,""),
_xlfn.IFS(_xlpm.MyAuditVal&lt;&gt;"",_xlpm.MyAuditVal,_xlpm.MacVal&lt;&gt;"",_xlpm.MacVal,_xlpm.CSVVal&lt;&gt;"",_xlpm.CSVVal
)),"")</f>
        <v/>
      </c>
      <c r="I423" s="2" t="str">
        <f>_xlfn.XLOOKUP(A423,Output_Mac!A:A,Output_Mac!I:I,"")</f>
        <v/>
      </c>
      <c r="J423" s="2" t="str" cm="1">
        <f t="array" ref="J423">IFERROR(_xlfn.LET(
_xlpm.CSVVal,_xlfn.XLOOKUP($A423,CSV!$A:$A,CSV!I:I,""),
_xlpm.MacVal,_xlfn.XLOOKUP($A423,Output_Mac!$A:$A,Output_Mac!J:J,""),
_xlpm.MyAuditVal,_xlfn.XLOOKUP($A423,My_Audit!$A:$A,My_Audit!I:I,""),
_xlfn.IFS(_xlpm.MyAuditVal&lt;&gt;"",UPPER(_xlpm.MyAuditVal),_xlpm.MacVal&lt;&gt;"",_xlpm.MacVal,_xlpm.CSVVal&lt;&gt;"",_xlpm.CSVVal
)),"")</f>
        <v/>
      </c>
      <c r="K423" s="2" t="str" cm="1">
        <f t="array" ref="K423">IFERROR(_xlfn.LET(
_xlpm.CSVVal,_xlfn.XLOOKUP($A423,CSV!$A:$A,CSV!K:K,""),
_xlpm.MacVal,_xlfn.XLOOKUP($A423,Output_Mac!$A:$A,Output_Mac!K:K,""),
_xlpm.MyAuditVal,_xlfn.XLOOKUP($A423,My_Audit!$A:$A,My_Audit!J:J,""),
_xlfn.IFS(_xlpm.MyAuditVal&lt;&gt;"",UPPER(_xlpm.MyAuditVal),_xlpm.MacVal&lt;&gt;"",_xlpm.MacVal,_xlpm.CSVVal&lt;&gt;"",_xlpm.CSVVal
)),"")</f>
        <v/>
      </c>
      <c r="L423" s="2" t="str" cm="1">
        <f t="array" ref="L423">IFERROR(_xlfn.LET(
_xlpm.CSVVal,_xlfn.XLOOKUP($A423,CSV!$A:$A,CSV!P:P,""),
_xlpm.MacVal,_xlfn.XLOOKUP($A423,Output_Mac!$A:$A,Output_Mac!L:L,""),
_xlpm.MyAuditVal,_xlfn.XLOOKUP($A423,My_Audit!$A:$A,My_Audit!K:K,""),
_xlfn.IFS(_xlpm.MyAuditVal&lt;&gt;"",UPPER(_xlpm.MyAuditVal),_xlpm.MacVal&lt;&gt;"",_xlpm.MacVal,_xlpm.CSVVal&lt;&gt;"",_xlpm.CSVVal
)),"")</f>
        <v/>
      </c>
      <c r="M423" s="2" t="str" cm="1">
        <f t="array" ref="M423">IFERROR(_xlfn.LET(
_xlpm.CSVVal,_xlfn.XLOOKUP($A423,CSV!$A:$A,CSV!Q:Q,""),
_xlpm.MacVal,_xlfn.XLOOKUP($A423,Output_Mac!$A:$A,Output_Mac!M:M,""),
_xlpm.MyAuditVal,_xlfn.XLOOKUP($A423,My_Audit!$A:$A,My_Audit!L:L,""),
_xlfn.IFS(_xlpm.MyAuditVal&lt;&gt;"",UPPER(_xlpm.MyAuditVal),_xlpm.MacVal&lt;&gt;"",_xlpm.MacVal,_xlpm.CSVVal&lt;&gt;"",_xlpm.CSVVal
)),"")</f>
        <v/>
      </c>
      <c r="O423" s="2" t="str">
        <f>_xlfn.LET(
    _xlpm.CSVVal, _xlfn.XLOOKUP($A423, CSV!$A:$A, CSV!AF:AF, ""),
    _xlpm.MacVal, _xlfn.XLOOKUP($A423, Output_Mac!$A:$A, Output_Mac!S:S, ""),
    _xlpm.MyAuditVal, _xlfn.XLOOKUP($A423, My_Audit!$A:$A, My_Audit!P:P, ""),
    _xlfn.TEXTJOIN(", ", TRUE, _xlpm.MyAuditVal, _xlpm.MacVal, _xlpm.CSVVal)
)</f>
        <v/>
      </c>
      <c r="P423" s="2" t="str" cm="1">
        <f t="array" ref="P423">IFERROR(_xlfn.LET(
_xlpm.CSVVal,_xlfn.XLOOKUP($A423,CSV!$A:$A,CSV!AG:AG,""),
_xlpm.MacVal,_xlfn.XLOOKUP($A423,Output_Mac!$A:$A,Output_Mac!T:T,""),
_xlpm.MyAuditVal,_xlfn.XLOOKUP($A423,My_Audit!$A:$A,My_Audit!Q:Q,""),
_xlfn.IFS(_xlpm.MyAuditVal&lt;&gt;"",UPPER(_xlpm.MyAuditVal),_xlpm.MacVal&lt;&gt;"",_xlpm.MacVal,_xlpm.CSVVal&lt;&gt;"",_xlpm.CSVVal
)),"No")</f>
        <v>No</v>
      </c>
      <c r="Q423" s="2" t="str" cm="1">
        <f t="array" ref="Q423">IFERROR(_xlfn.LET(
_xlpm.CSVVal,_xlfn.XLOOKUP($A423,CSV!$A:$A,CSV!AH:AH,""),
_xlpm.MacVal,_xlfn.XLOOKUP($A423,Output_Mac!$A:$A,Output_Mac!U:U,""),
_xlpm.MyAuditVal,_xlfn.XLOOKUP($A423,My_Audit!$A:$A,My_Audit!R:R,""),
_xlfn.IFS(_xlpm.MyAuditVal&lt;&gt;"",UPPER(_xlpm.MyAuditVal),_xlpm.MacVal&lt;&gt;"",_xlpm.MacVal,_xlpm.CSVVal&lt;&gt;"",_xlpm.CSVVal
)),"")</f>
        <v/>
      </c>
    </row>
    <row r="424" spans="1:17">
      <c r="A424" s="2" t="str">
        <f>_xlfn.TEXTJOIN("",TRUE,Input!$B$2,ROW(My_Audit!A423))</f>
        <v>XX423</v>
      </c>
      <c r="B424" s="2" t="str">
        <f>_xlfn.TEXTJOIN("-",TRUE,"ITD",Input!$A$2,A424)</f>
        <v>ITD-SHRXXX-XX423</v>
      </c>
      <c r="C424" s="2" t="str" cm="1">
        <f t="array" ref="C424">IFERROR(_xlfn.LET(
_xlpm.CSVVal,_xlfn.XLOOKUP($A424,CSV!$A:$A,CSV!B:B,""),
_xlpm.MacVal,_xlfn.XLOOKUP($A424,Output_Mac!$A:$A,Output_Mac!B:B,""),
_xlpm.MyAuditVal,_xlfn.XLOOKUP($A424,My_Audit!$A:$A,My_Audit!B:B,""),
_xlfn.IFS(_xlpm.MyAuditVal&lt;&gt;"",UPPER(_xlpm.MyAuditVal),_xlpm.MacVal&lt;&gt;"",_xlpm.MacVal,_xlpm.CSVVal&lt;&gt;"",_xlpm.CSVVal
)),"")</f>
        <v/>
      </c>
      <c r="D424" s="2" t="str" cm="1">
        <f t="array" ref="D424">IFERROR(_xlfn.LET(
_xlpm.CSVVal,_xlfn.XLOOKUP($A424,CSV!$A:$A,CSV!D:D,""),
_xlpm.MacVal,_xlfn.XLOOKUP($A424,Output_Mac!$A:$A,Output_Mac!C:C,""),
_xlpm.MyAuditVal,_xlfn.XLOOKUP($A424,My_Audit!$A:$A,My_Audit!C:C,""),
_xlfn.IFS(_xlpm.MyAuditVal&lt;&gt;"",_xlpm.MyAuditVal,_xlpm.MacVal&lt;&gt;"",_xlpm.MacVal,_xlpm.CSVVal&lt;&gt;"",_xlpm.CSVVal
)),"")</f>
        <v/>
      </c>
      <c r="E424" s="2" t="str">
        <f>_xlfn.XLOOKUP(A424,My_Audit!A:A,My_Audit!D:D,"")&amp;""</f>
        <v/>
      </c>
      <c r="F424" s="2" t="str" cm="1">
        <f t="array" ref="F424">IFERROR(_xlfn.LET(
_xlpm.CSVVal,_xlfn.XLOOKUP($A424,CSV!$A:$A,CSV!F:F,""),
_xlpm.MacVal,_xlfn.XLOOKUP($A424,Output_Mac!$A:$A,Output_Mac!E:E,""),
_xlpm.MyAuditVal,_xlfn.XLOOKUP($A424,My_Audit!$A:$A,My_Audit!E:E,""),
_xlfn.IFS(_xlpm.MyAuditVal&lt;&gt;"",_xlpm.MyAuditVal,_xlpm.MacVal&lt;&gt;"",_xlpm.MacVal,_xlpm.CSVVal&lt;&gt;"",_xlpm.CSVVal
)),"")</f>
        <v/>
      </c>
      <c r="G424" s="2" t="str" cm="1">
        <f t="array" ref="G424">IFERROR(_xlfn.LET(
_xlpm.CSVVal,_xlfn.XLOOKUP($A424,CSV!$A:$A,CSV!G:G,""),
_xlpm.MacVal,_xlfn.XLOOKUP($A424,Output_Mac!$A:$A,Output_Mac!F:F,""),
_xlpm.MyAuditVal,_xlfn.XLOOKUP($A424,My_Audit!$A:$A,My_Audit!F:F,""),
_xlfn.IFS(_xlpm.MyAuditVal&lt;&gt;"",_xlpm.MyAuditVal,_xlpm.MacVal&lt;&gt;"",_xlpm.MacVal,_xlpm.CSVVal&lt;&gt;"",PROPER(_xlpm.CSVVal)
)),"")</f>
        <v/>
      </c>
      <c r="H424" s="2" t="str" cm="1">
        <f t="array" ref="H424">IFERROR(_xlfn.LET(
_xlpm.CSVVal,_xlfn.XLOOKUP($A424,CSV!$A:$A,CSV!H:H,""),
_xlpm.MacVal,_xlfn.XLOOKUP($A424,Output_Mac!$A:$A,Output_Mac!H:H,""),
_xlpm.MyAuditVal,_xlfn.XLOOKUP($A424,My_Audit!$A:$A,My_Audit!G:G,""),
_xlfn.IFS(_xlpm.MyAuditVal&lt;&gt;"",_xlpm.MyAuditVal,_xlpm.MacVal&lt;&gt;"",_xlpm.MacVal,_xlpm.CSVVal&lt;&gt;"",_xlpm.CSVVal
)),"")</f>
        <v/>
      </c>
      <c r="I424" s="2" t="str">
        <f>_xlfn.XLOOKUP(A424,Output_Mac!A:A,Output_Mac!I:I,"")</f>
        <v/>
      </c>
      <c r="J424" s="2" t="str" cm="1">
        <f t="array" ref="J424">IFERROR(_xlfn.LET(
_xlpm.CSVVal,_xlfn.XLOOKUP($A424,CSV!$A:$A,CSV!I:I,""),
_xlpm.MacVal,_xlfn.XLOOKUP($A424,Output_Mac!$A:$A,Output_Mac!J:J,""),
_xlpm.MyAuditVal,_xlfn.XLOOKUP($A424,My_Audit!$A:$A,My_Audit!I:I,""),
_xlfn.IFS(_xlpm.MyAuditVal&lt;&gt;"",UPPER(_xlpm.MyAuditVal),_xlpm.MacVal&lt;&gt;"",_xlpm.MacVal,_xlpm.CSVVal&lt;&gt;"",_xlpm.CSVVal
)),"")</f>
        <v/>
      </c>
      <c r="K424" s="2" t="str" cm="1">
        <f t="array" ref="K424">IFERROR(_xlfn.LET(
_xlpm.CSVVal,_xlfn.XLOOKUP($A424,CSV!$A:$A,CSV!K:K,""),
_xlpm.MacVal,_xlfn.XLOOKUP($A424,Output_Mac!$A:$A,Output_Mac!K:K,""),
_xlpm.MyAuditVal,_xlfn.XLOOKUP($A424,My_Audit!$A:$A,My_Audit!J:J,""),
_xlfn.IFS(_xlpm.MyAuditVal&lt;&gt;"",UPPER(_xlpm.MyAuditVal),_xlpm.MacVal&lt;&gt;"",_xlpm.MacVal,_xlpm.CSVVal&lt;&gt;"",_xlpm.CSVVal
)),"")</f>
        <v/>
      </c>
      <c r="L424" s="2" t="str" cm="1">
        <f t="array" ref="L424">IFERROR(_xlfn.LET(
_xlpm.CSVVal,_xlfn.XLOOKUP($A424,CSV!$A:$A,CSV!P:P,""),
_xlpm.MacVal,_xlfn.XLOOKUP($A424,Output_Mac!$A:$A,Output_Mac!L:L,""),
_xlpm.MyAuditVal,_xlfn.XLOOKUP($A424,My_Audit!$A:$A,My_Audit!K:K,""),
_xlfn.IFS(_xlpm.MyAuditVal&lt;&gt;"",UPPER(_xlpm.MyAuditVal),_xlpm.MacVal&lt;&gt;"",_xlpm.MacVal,_xlpm.CSVVal&lt;&gt;"",_xlpm.CSVVal
)),"")</f>
        <v/>
      </c>
      <c r="M424" s="2" t="str" cm="1">
        <f t="array" ref="M424">IFERROR(_xlfn.LET(
_xlpm.CSVVal,_xlfn.XLOOKUP($A424,CSV!$A:$A,CSV!Q:Q,""),
_xlpm.MacVal,_xlfn.XLOOKUP($A424,Output_Mac!$A:$A,Output_Mac!M:M,""),
_xlpm.MyAuditVal,_xlfn.XLOOKUP($A424,My_Audit!$A:$A,My_Audit!L:L,""),
_xlfn.IFS(_xlpm.MyAuditVal&lt;&gt;"",UPPER(_xlpm.MyAuditVal),_xlpm.MacVal&lt;&gt;"",_xlpm.MacVal,_xlpm.CSVVal&lt;&gt;"",_xlpm.CSVVal
)),"")</f>
        <v/>
      </c>
      <c r="O424" s="2" t="str">
        <f>_xlfn.LET(
    _xlpm.CSVVal, _xlfn.XLOOKUP($A424, CSV!$A:$A, CSV!AF:AF, ""),
    _xlpm.MacVal, _xlfn.XLOOKUP($A424, Output_Mac!$A:$A, Output_Mac!S:S, ""),
    _xlpm.MyAuditVal, _xlfn.XLOOKUP($A424, My_Audit!$A:$A, My_Audit!P:P, ""),
    _xlfn.TEXTJOIN(", ", TRUE, _xlpm.MyAuditVal, _xlpm.MacVal, _xlpm.CSVVal)
)</f>
        <v/>
      </c>
      <c r="P424" s="2" t="str" cm="1">
        <f t="array" ref="P424">IFERROR(_xlfn.LET(
_xlpm.CSVVal,_xlfn.XLOOKUP($A424,CSV!$A:$A,CSV!AG:AG,""),
_xlpm.MacVal,_xlfn.XLOOKUP($A424,Output_Mac!$A:$A,Output_Mac!T:T,""),
_xlpm.MyAuditVal,_xlfn.XLOOKUP($A424,My_Audit!$A:$A,My_Audit!Q:Q,""),
_xlfn.IFS(_xlpm.MyAuditVal&lt;&gt;"",UPPER(_xlpm.MyAuditVal),_xlpm.MacVal&lt;&gt;"",_xlpm.MacVal,_xlpm.CSVVal&lt;&gt;"",_xlpm.CSVVal
)),"No")</f>
        <v>No</v>
      </c>
      <c r="Q424" s="2" t="str" cm="1">
        <f t="array" ref="Q424">IFERROR(_xlfn.LET(
_xlpm.CSVVal,_xlfn.XLOOKUP($A424,CSV!$A:$A,CSV!AH:AH,""),
_xlpm.MacVal,_xlfn.XLOOKUP($A424,Output_Mac!$A:$A,Output_Mac!U:U,""),
_xlpm.MyAuditVal,_xlfn.XLOOKUP($A424,My_Audit!$A:$A,My_Audit!R:R,""),
_xlfn.IFS(_xlpm.MyAuditVal&lt;&gt;"",UPPER(_xlpm.MyAuditVal),_xlpm.MacVal&lt;&gt;"",_xlpm.MacVal,_xlpm.CSVVal&lt;&gt;"",_xlpm.CSVVal
)),"")</f>
        <v/>
      </c>
    </row>
    <row r="425" spans="1:17">
      <c r="A425" s="2" t="str">
        <f>_xlfn.TEXTJOIN("",TRUE,Input!$B$2,ROW(My_Audit!A424))</f>
        <v>XX424</v>
      </c>
      <c r="B425" s="2" t="str">
        <f>_xlfn.TEXTJOIN("-",TRUE,"ITD",Input!$A$2,A425)</f>
        <v>ITD-SHRXXX-XX424</v>
      </c>
      <c r="C425" s="2" t="str" cm="1">
        <f t="array" ref="C425">IFERROR(_xlfn.LET(
_xlpm.CSVVal,_xlfn.XLOOKUP($A425,CSV!$A:$A,CSV!B:B,""),
_xlpm.MacVal,_xlfn.XLOOKUP($A425,Output_Mac!$A:$A,Output_Mac!B:B,""),
_xlpm.MyAuditVal,_xlfn.XLOOKUP($A425,My_Audit!$A:$A,My_Audit!B:B,""),
_xlfn.IFS(_xlpm.MyAuditVal&lt;&gt;"",UPPER(_xlpm.MyAuditVal),_xlpm.MacVal&lt;&gt;"",_xlpm.MacVal,_xlpm.CSVVal&lt;&gt;"",_xlpm.CSVVal
)),"")</f>
        <v/>
      </c>
      <c r="D425" s="2" t="str" cm="1">
        <f t="array" ref="D425">IFERROR(_xlfn.LET(
_xlpm.CSVVal,_xlfn.XLOOKUP($A425,CSV!$A:$A,CSV!D:D,""),
_xlpm.MacVal,_xlfn.XLOOKUP($A425,Output_Mac!$A:$A,Output_Mac!C:C,""),
_xlpm.MyAuditVal,_xlfn.XLOOKUP($A425,My_Audit!$A:$A,My_Audit!C:C,""),
_xlfn.IFS(_xlpm.MyAuditVal&lt;&gt;"",_xlpm.MyAuditVal,_xlpm.MacVal&lt;&gt;"",_xlpm.MacVal,_xlpm.CSVVal&lt;&gt;"",_xlpm.CSVVal
)),"")</f>
        <v/>
      </c>
      <c r="E425" s="2" t="str">
        <f>_xlfn.XLOOKUP(A425,My_Audit!A:A,My_Audit!D:D,"")&amp;""</f>
        <v/>
      </c>
      <c r="F425" s="2" t="str" cm="1">
        <f t="array" ref="F425">IFERROR(_xlfn.LET(
_xlpm.CSVVal,_xlfn.XLOOKUP($A425,CSV!$A:$A,CSV!F:F,""),
_xlpm.MacVal,_xlfn.XLOOKUP($A425,Output_Mac!$A:$A,Output_Mac!E:E,""),
_xlpm.MyAuditVal,_xlfn.XLOOKUP($A425,My_Audit!$A:$A,My_Audit!E:E,""),
_xlfn.IFS(_xlpm.MyAuditVal&lt;&gt;"",_xlpm.MyAuditVal,_xlpm.MacVal&lt;&gt;"",_xlpm.MacVal,_xlpm.CSVVal&lt;&gt;"",_xlpm.CSVVal
)),"")</f>
        <v/>
      </c>
      <c r="G425" s="2" t="str" cm="1">
        <f t="array" ref="G425">IFERROR(_xlfn.LET(
_xlpm.CSVVal,_xlfn.XLOOKUP($A425,CSV!$A:$A,CSV!G:G,""),
_xlpm.MacVal,_xlfn.XLOOKUP($A425,Output_Mac!$A:$A,Output_Mac!F:F,""),
_xlpm.MyAuditVal,_xlfn.XLOOKUP($A425,My_Audit!$A:$A,My_Audit!F:F,""),
_xlfn.IFS(_xlpm.MyAuditVal&lt;&gt;"",_xlpm.MyAuditVal,_xlpm.MacVal&lt;&gt;"",_xlpm.MacVal,_xlpm.CSVVal&lt;&gt;"",PROPER(_xlpm.CSVVal)
)),"")</f>
        <v/>
      </c>
      <c r="H425" s="2" t="str" cm="1">
        <f t="array" ref="H425">IFERROR(_xlfn.LET(
_xlpm.CSVVal,_xlfn.XLOOKUP($A425,CSV!$A:$A,CSV!H:H,""),
_xlpm.MacVal,_xlfn.XLOOKUP($A425,Output_Mac!$A:$A,Output_Mac!H:H,""),
_xlpm.MyAuditVal,_xlfn.XLOOKUP($A425,My_Audit!$A:$A,My_Audit!G:G,""),
_xlfn.IFS(_xlpm.MyAuditVal&lt;&gt;"",_xlpm.MyAuditVal,_xlpm.MacVal&lt;&gt;"",_xlpm.MacVal,_xlpm.CSVVal&lt;&gt;"",_xlpm.CSVVal
)),"")</f>
        <v/>
      </c>
      <c r="I425" s="2" t="str">
        <f>_xlfn.XLOOKUP(A425,Output_Mac!A:A,Output_Mac!I:I,"")</f>
        <v/>
      </c>
      <c r="J425" s="2" t="str" cm="1">
        <f t="array" ref="J425">IFERROR(_xlfn.LET(
_xlpm.CSVVal,_xlfn.XLOOKUP($A425,CSV!$A:$A,CSV!I:I,""),
_xlpm.MacVal,_xlfn.XLOOKUP($A425,Output_Mac!$A:$A,Output_Mac!J:J,""),
_xlpm.MyAuditVal,_xlfn.XLOOKUP($A425,My_Audit!$A:$A,My_Audit!I:I,""),
_xlfn.IFS(_xlpm.MyAuditVal&lt;&gt;"",UPPER(_xlpm.MyAuditVal),_xlpm.MacVal&lt;&gt;"",_xlpm.MacVal,_xlpm.CSVVal&lt;&gt;"",_xlpm.CSVVal
)),"")</f>
        <v/>
      </c>
      <c r="K425" s="2" t="str" cm="1">
        <f t="array" ref="K425">IFERROR(_xlfn.LET(
_xlpm.CSVVal,_xlfn.XLOOKUP($A425,CSV!$A:$A,CSV!K:K,""),
_xlpm.MacVal,_xlfn.XLOOKUP($A425,Output_Mac!$A:$A,Output_Mac!K:K,""),
_xlpm.MyAuditVal,_xlfn.XLOOKUP($A425,My_Audit!$A:$A,My_Audit!J:J,""),
_xlfn.IFS(_xlpm.MyAuditVal&lt;&gt;"",UPPER(_xlpm.MyAuditVal),_xlpm.MacVal&lt;&gt;"",_xlpm.MacVal,_xlpm.CSVVal&lt;&gt;"",_xlpm.CSVVal
)),"")</f>
        <v/>
      </c>
      <c r="L425" s="2" t="str" cm="1">
        <f t="array" ref="L425">IFERROR(_xlfn.LET(
_xlpm.CSVVal,_xlfn.XLOOKUP($A425,CSV!$A:$A,CSV!P:P,""),
_xlpm.MacVal,_xlfn.XLOOKUP($A425,Output_Mac!$A:$A,Output_Mac!L:L,""),
_xlpm.MyAuditVal,_xlfn.XLOOKUP($A425,My_Audit!$A:$A,My_Audit!K:K,""),
_xlfn.IFS(_xlpm.MyAuditVal&lt;&gt;"",UPPER(_xlpm.MyAuditVal),_xlpm.MacVal&lt;&gt;"",_xlpm.MacVal,_xlpm.CSVVal&lt;&gt;"",_xlpm.CSVVal
)),"")</f>
        <v/>
      </c>
      <c r="M425" s="2" t="str" cm="1">
        <f t="array" ref="M425">IFERROR(_xlfn.LET(
_xlpm.CSVVal,_xlfn.XLOOKUP($A425,CSV!$A:$A,CSV!Q:Q,""),
_xlpm.MacVal,_xlfn.XLOOKUP($A425,Output_Mac!$A:$A,Output_Mac!M:M,""),
_xlpm.MyAuditVal,_xlfn.XLOOKUP($A425,My_Audit!$A:$A,My_Audit!L:L,""),
_xlfn.IFS(_xlpm.MyAuditVal&lt;&gt;"",UPPER(_xlpm.MyAuditVal),_xlpm.MacVal&lt;&gt;"",_xlpm.MacVal,_xlpm.CSVVal&lt;&gt;"",_xlpm.CSVVal
)),"")</f>
        <v/>
      </c>
      <c r="O425" s="2" t="str">
        <f>_xlfn.LET(
    _xlpm.CSVVal, _xlfn.XLOOKUP($A425, CSV!$A:$A, CSV!AF:AF, ""),
    _xlpm.MacVal, _xlfn.XLOOKUP($A425, Output_Mac!$A:$A, Output_Mac!S:S, ""),
    _xlpm.MyAuditVal, _xlfn.XLOOKUP($A425, My_Audit!$A:$A, My_Audit!P:P, ""),
    _xlfn.TEXTJOIN(", ", TRUE, _xlpm.MyAuditVal, _xlpm.MacVal, _xlpm.CSVVal)
)</f>
        <v/>
      </c>
      <c r="P425" s="2" t="str" cm="1">
        <f t="array" ref="P425">IFERROR(_xlfn.LET(
_xlpm.CSVVal,_xlfn.XLOOKUP($A425,CSV!$A:$A,CSV!AG:AG,""),
_xlpm.MacVal,_xlfn.XLOOKUP($A425,Output_Mac!$A:$A,Output_Mac!T:T,""),
_xlpm.MyAuditVal,_xlfn.XLOOKUP($A425,My_Audit!$A:$A,My_Audit!Q:Q,""),
_xlfn.IFS(_xlpm.MyAuditVal&lt;&gt;"",UPPER(_xlpm.MyAuditVal),_xlpm.MacVal&lt;&gt;"",_xlpm.MacVal,_xlpm.CSVVal&lt;&gt;"",_xlpm.CSVVal
)),"No")</f>
        <v>No</v>
      </c>
      <c r="Q425" s="2" t="str" cm="1">
        <f t="array" ref="Q425">IFERROR(_xlfn.LET(
_xlpm.CSVVal,_xlfn.XLOOKUP($A425,CSV!$A:$A,CSV!AH:AH,""),
_xlpm.MacVal,_xlfn.XLOOKUP($A425,Output_Mac!$A:$A,Output_Mac!U:U,""),
_xlpm.MyAuditVal,_xlfn.XLOOKUP($A425,My_Audit!$A:$A,My_Audit!R:R,""),
_xlfn.IFS(_xlpm.MyAuditVal&lt;&gt;"",UPPER(_xlpm.MyAuditVal),_xlpm.MacVal&lt;&gt;"",_xlpm.MacVal,_xlpm.CSVVal&lt;&gt;"",_xlpm.CSVVal
)),"")</f>
        <v/>
      </c>
    </row>
    <row r="426" spans="1:17">
      <c r="A426" s="2" t="str">
        <f>_xlfn.TEXTJOIN("",TRUE,Input!$B$2,ROW(My_Audit!A425))</f>
        <v>XX425</v>
      </c>
      <c r="B426" s="2" t="str">
        <f>_xlfn.TEXTJOIN("-",TRUE,"ITD",Input!$A$2,A426)</f>
        <v>ITD-SHRXXX-XX425</v>
      </c>
      <c r="C426" s="2" t="str" cm="1">
        <f t="array" ref="C426">IFERROR(_xlfn.LET(
_xlpm.CSVVal,_xlfn.XLOOKUP($A426,CSV!$A:$A,CSV!B:B,""),
_xlpm.MacVal,_xlfn.XLOOKUP($A426,Output_Mac!$A:$A,Output_Mac!B:B,""),
_xlpm.MyAuditVal,_xlfn.XLOOKUP($A426,My_Audit!$A:$A,My_Audit!B:B,""),
_xlfn.IFS(_xlpm.MyAuditVal&lt;&gt;"",UPPER(_xlpm.MyAuditVal),_xlpm.MacVal&lt;&gt;"",_xlpm.MacVal,_xlpm.CSVVal&lt;&gt;"",_xlpm.CSVVal
)),"")</f>
        <v/>
      </c>
      <c r="D426" s="2" t="str" cm="1">
        <f t="array" ref="D426">IFERROR(_xlfn.LET(
_xlpm.CSVVal,_xlfn.XLOOKUP($A426,CSV!$A:$A,CSV!D:D,""),
_xlpm.MacVal,_xlfn.XLOOKUP($A426,Output_Mac!$A:$A,Output_Mac!C:C,""),
_xlpm.MyAuditVal,_xlfn.XLOOKUP($A426,My_Audit!$A:$A,My_Audit!C:C,""),
_xlfn.IFS(_xlpm.MyAuditVal&lt;&gt;"",_xlpm.MyAuditVal,_xlpm.MacVal&lt;&gt;"",_xlpm.MacVal,_xlpm.CSVVal&lt;&gt;"",_xlpm.CSVVal
)),"")</f>
        <v/>
      </c>
      <c r="E426" s="2" t="str">
        <f>_xlfn.XLOOKUP(A426,My_Audit!A:A,My_Audit!D:D,"")&amp;""</f>
        <v/>
      </c>
      <c r="F426" s="2" t="str" cm="1">
        <f t="array" ref="F426">IFERROR(_xlfn.LET(
_xlpm.CSVVal,_xlfn.XLOOKUP($A426,CSV!$A:$A,CSV!F:F,""),
_xlpm.MacVal,_xlfn.XLOOKUP($A426,Output_Mac!$A:$A,Output_Mac!E:E,""),
_xlpm.MyAuditVal,_xlfn.XLOOKUP($A426,My_Audit!$A:$A,My_Audit!E:E,""),
_xlfn.IFS(_xlpm.MyAuditVal&lt;&gt;"",_xlpm.MyAuditVal,_xlpm.MacVal&lt;&gt;"",_xlpm.MacVal,_xlpm.CSVVal&lt;&gt;"",_xlpm.CSVVal
)),"")</f>
        <v/>
      </c>
      <c r="G426" s="2" t="str" cm="1">
        <f t="array" ref="G426">IFERROR(_xlfn.LET(
_xlpm.CSVVal,_xlfn.XLOOKUP($A426,CSV!$A:$A,CSV!G:G,""),
_xlpm.MacVal,_xlfn.XLOOKUP($A426,Output_Mac!$A:$A,Output_Mac!F:F,""),
_xlpm.MyAuditVal,_xlfn.XLOOKUP($A426,My_Audit!$A:$A,My_Audit!F:F,""),
_xlfn.IFS(_xlpm.MyAuditVal&lt;&gt;"",_xlpm.MyAuditVal,_xlpm.MacVal&lt;&gt;"",_xlpm.MacVal,_xlpm.CSVVal&lt;&gt;"",PROPER(_xlpm.CSVVal)
)),"")</f>
        <v/>
      </c>
      <c r="H426" s="2" t="str" cm="1">
        <f t="array" ref="H426">IFERROR(_xlfn.LET(
_xlpm.CSVVal,_xlfn.XLOOKUP($A426,CSV!$A:$A,CSV!H:H,""),
_xlpm.MacVal,_xlfn.XLOOKUP($A426,Output_Mac!$A:$A,Output_Mac!H:H,""),
_xlpm.MyAuditVal,_xlfn.XLOOKUP($A426,My_Audit!$A:$A,My_Audit!G:G,""),
_xlfn.IFS(_xlpm.MyAuditVal&lt;&gt;"",_xlpm.MyAuditVal,_xlpm.MacVal&lt;&gt;"",_xlpm.MacVal,_xlpm.CSVVal&lt;&gt;"",_xlpm.CSVVal
)),"")</f>
        <v/>
      </c>
      <c r="I426" s="2" t="str">
        <f>_xlfn.XLOOKUP(A426,Output_Mac!A:A,Output_Mac!I:I,"")</f>
        <v/>
      </c>
      <c r="J426" s="2" t="str" cm="1">
        <f t="array" ref="J426">IFERROR(_xlfn.LET(
_xlpm.CSVVal,_xlfn.XLOOKUP($A426,CSV!$A:$A,CSV!I:I,""),
_xlpm.MacVal,_xlfn.XLOOKUP($A426,Output_Mac!$A:$A,Output_Mac!J:J,""),
_xlpm.MyAuditVal,_xlfn.XLOOKUP($A426,My_Audit!$A:$A,My_Audit!I:I,""),
_xlfn.IFS(_xlpm.MyAuditVal&lt;&gt;"",UPPER(_xlpm.MyAuditVal),_xlpm.MacVal&lt;&gt;"",_xlpm.MacVal,_xlpm.CSVVal&lt;&gt;"",_xlpm.CSVVal
)),"")</f>
        <v/>
      </c>
      <c r="K426" s="2" t="str" cm="1">
        <f t="array" ref="K426">IFERROR(_xlfn.LET(
_xlpm.CSVVal,_xlfn.XLOOKUP($A426,CSV!$A:$A,CSV!K:K,""),
_xlpm.MacVal,_xlfn.XLOOKUP($A426,Output_Mac!$A:$A,Output_Mac!K:K,""),
_xlpm.MyAuditVal,_xlfn.XLOOKUP($A426,My_Audit!$A:$A,My_Audit!J:J,""),
_xlfn.IFS(_xlpm.MyAuditVal&lt;&gt;"",UPPER(_xlpm.MyAuditVal),_xlpm.MacVal&lt;&gt;"",_xlpm.MacVal,_xlpm.CSVVal&lt;&gt;"",_xlpm.CSVVal
)),"")</f>
        <v/>
      </c>
      <c r="L426" s="2" t="str" cm="1">
        <f t="array" ref="L426">IFERROR(_xlfn.LET(
_xlpm.CSVVal,_xlfn.XLOOKUP($A426,CSV!$A:$A,CSV!P:P,""),
_xlpm.MacVal,_xlfn.XLOOKUP($A426,Output_Mac!$A:$A,Output_Mac!L:L,""),
_xlpm.MyAuditVal,_xlfn.XLOOKUP($A426,My_Audit!$A:$A,My_Audit!K:K,""),
_xlfn.IFS(_xlpm.MyAuditVal&lt;&gt;"",UPPER(_xlpm.MyAuditVal),_xlpm.MacVal&lt;&gt;"",_xlpm.MacVal,_xlpm.CSVVal&lt;&gt;"",_xlpm.CSVVal
)),"")</f>
        <v/>
      </c>
      <c r="M426" s="2" t="str" cm="1">
        <f t="array" ref="M426">IFERROR(_xlfn.LET(
_xlpm.CSVVal,_xlfn.XLOOKUP($A426,CSV!$A:$A,CSV!Q:Q,""),
_xlpm.MacVal,_xlfn.XLOOKUP($A426,Output_Mac!$A:$A,Output_Mac!M:M,""),
_xlpm.MyAuditVal,_xlfn.XLOOKUP($A426,My_Audit!$A:$A,My_Audit!L:L,""),
_xlfn.IFS(_xlpm.MyAuditVal&lt;&gt;"",UPPER(_xlpm.MyAuditVal),_xlpm.MacVal&lt;&gt;"",_xlpm.MacVal,_xlpm.CSVVal&lt;&gt;"",_xlpm.CSVVal
)),"")</f>
        <v/>
      </c>
      <c r="O426" s="2" t="str">
        <f>_xlfn.LET(
    _xlpm.CSVVal, _xlfn.XLOOKUP($A426, CSV!$A:$A, CSV!AF:AF, ""),
    _xlpm.MacVal, _xlfn.XLOOKUP($A426, Output_Mac!$A:$A, Output_Mac!S:S, ""),
    _xlpm.MyAuditVal, _xlfn.XLOOKUP($A426, My_Audit!$A:$A, My_Audit!P:P, ""),
    _xlfn.TEXTJOIN(", ", TRUE, _xlpm.MyAuditVal, _xlpm.MacVal, _xlpm.CSVVal)
)</f>
        <v/>
      </c>
      <c r="P426" s="2" t="str" cm="1">
        <f t="array" ref="P426">IFERROR(_xlfn.LET(
_xlpm.CSVVal,_xlfn.XLOOKUP($A426,CSV!$A:$A,CSV!AG:AG,""),
_xlpm.MacVal,_xlfn.XLOOKUP($A426,Output_Mac!$A:$A,Output_Mac!T:T,""),
_xlpm.MyAuditVal,_xlfn.XLOOKUP($A426,My_Audit!$A:$A,My_Audit!Q:Q,""),
_xlfn.IFS(_xlpm.MyAuditVal&lt;&gt;"",UPPER(_xlpm.MyAuditVal),_xlpm.MacVal&lt;&gt;"",_xlpm.MacVal,_xlpm.CSVVal&lt;&gt;"",_xlpm.CSVVal
)),"No")</f>
        <v>No</v>
      </c>
      <c r="Q426" s="2" t="str" cm="1">
        <f t="array" ref="Q426">IFERROR(_xlfn.LET(
_xlpm.CSVVal,_xlfn.XLOOKUP($A426,CSV!$A:$A,CSV!AH:AH,""),
_xlpm.MacVal,_xlfn.XLOOKUP($A426,Output_Mac!$A:$A,Output_Mac!U:U,""),
_xlpm.MyAuditVal,_xlfn.XLOOKUP($A426,My_Audit!$A:$A,My_Audit!R:R,""),
_xlfn.IFS(_xlpm.MyAuditVal&lt;&gt;"",UPPER(_xlpm.MyAuditVal),_xlpm.MacVal&lt;&gt;"",_xlpm.MacVal,_xlpm.CSVVal&lt;&gt;"",_xlpm.CSVVal
)),"")</f>
        <v/>
      </c>
    </row>
    <row r="427" spans="1:17">
      <c r="A427" s="2" t="str">
        <f>_xlfn.TEXTJOIN("",TRUE,Input!$B$2,ROW(My_Audit!A426))</f>
        <v>XX426</v>
      </c>
      <c r="B427" s="2" t="str">
        <f>_xlfn.TEXTJOIN("-",TRUE,"ITD",Input!$A$2,A427)</f>
        <v>ITD-SHRXXX-XX426</v>
      </c>
      <c r="C427" s="2" t="str" cm="1">
        <f t="array" ref="C427">IFERROR(_xlfn.LET(
_xlpm.CSVVal,_xlfn.XLOOKUP($A427,CSV!$A:$A,CSV!B:B,""),
_xlpm.MacVal,_xlfn.XLOOKUP($A427,Output_Mac!$A:$A,Output_Mac!B:B,""),
_xlpm.MyAuditVal,_xlfn.XLOOKUP($A427,My_Audit!$A:$A,My_Audit!B:B,""),
_xlfn.IFS(_xlpm.MyAuditVal&lt;&gt;"",UPPER(_xlpm.MyAuditVal),_xlpm.MacVal&lt;&gt;"",_xlpm.MacVal,_xlpm.CSVVal&lt;&gt;"",_xlpm.CSVVal
)),"")</f>
        <v/>
      </c>
      <c r="D427" s="2" t="str" cm="1">
        <f t="array" ref="D427">IFERROR(_xlfn.LET(
_xlpm.CSVVal,_xlfn.XLOOKUP($A427,CSV!$A:$A,CSV!D:D,""),
_xlpm.MacVal,_xlfn.XLOOKUP($A427,Output_Mac!$A:$A,Output_Mac!C:C,""),
_xlpm.MyAuditVal,_xlfn.XLOOKUP($A427,My_Audit!$A:$A,My_Audit!C:C,""),
_xlfn.IFS(_xlpm.MyAuditVal&lt;&gt;"",_xlpm.MyAuditVal,_xlpm.MacVal&lt;&gt;"",_xlpm.MacVal,_xlpm.CSVVal&lt;&gt;"",_xlpm.CSVVal
)),"")</f>
        <v/>
      </c>
      <c r="E427" s="2" t="str">
        <f>_xlfn.XLOOKUP(A427,My_Audit!A:A,My_Audit!D:D,"")&amp;""</f>
        <v/>
      </c>
      <c r="F427" s="2" t="str" cm="1">
        <f t="array" ref="F427">IFERROR(_xlfn.LET(
_xlpm.CSVVal,_xlfn.XLOOKUP($A427,CSV!$A:$A,CSV!F:F,""),
_xlpm.MacVal,_xlfn.XLOOKUP($A427,Output_Mac!$A:$A,Output_Mac!E:E,""),
_xlpm.MyAuditVal,_xlfn.XLOOKUP($A427,My_Audit!$A:$A,My_Audit!E:E,""),
_xlfn.IFS(_xlpm.MyAuditVal&lt;&gt;"",_xlpm.MyAuditVal,_xlpm.MacVal&lt;&gt;"",_xlpm.MacVal,_xlpm.CSVVal&lt;&gt;"",_xlpm.CSVVal
)),"")</f>
        <v/>
      </c>
      <c r="G427" s="2" t="str" cm="1">
        <f t="array" ref="G427">IFERROR(_xlfn.LET(
_xlpm.CSVVal,_xlfn.XLOOKUP($A427,CSV!$A:$A,CSV!G:G,""),
_xlpm.MacVal,_xlfn.XLOOKUP($A427,Output_Mac!$A:$A,Output_Mac!F:F,""),
_xlpm.MyAuditVal,_xlfn.XLOOKUP($A427,My_Audit!$A:$A,My_Audit!F:F,""),
_xlfn.IFS(_xlpm.MyAuditVal&lt;&gt;"",_xlpm.MyAuditVal,_xlpm.MacVal&lt;&gt;"",_xlpm.MacVal,_xlpm.CSVVal&lt;&gt;"",PROPER(_xlpm.CSVVal)
)),"")</f>
        <v/>
      </c>
      <c r="H427" s="2" t="str" cm="1">
        <f t="array" ref="H427">IFERROR(_xlfn.LET(
_xlpm.CSVVal,_xlfn.XLOOKUP($A427,CSV!$A:$A,CSV!H:H,""),
_xlpm.MacVal,_xlfn.XLOOKUP($A427,Output_Mac!$A:$A,Output_Mac!H:H,""),
_xlpm.MyAuditVal,_xlfn.XLOOKUP($A427,My_Audit!$A:$A,My_Audit!G:G,""),
_xlfn.IFS(_xlpm.MyAuditVal&lt;&gt;"",_xlpm.MyAuditVal,_xlpm.MacVal&lt;&gt;"",_xlpm.MacVal,_xlpm.CSVVal&lt;&gt;"",_xlpm.CSVVal
)),"")</f>
        <v/>
      </c>
      <c r="I427" s="2" t="str">
        <f>_xlfn.XLOOKUP(A427,Output_Mac!A:A,Output_Mac!I:I,"")</f>
        <v/>
      </c>
      <c r="J427" s="2" t="str" cm="1">
        <f t="array" ref="J427">IFERROR(_xlfn.LET(
_xlpm.CSVVal,_xlfn.XLOOKUP($A427,CSV!$A:$A,CSV!I:I,""),
_xlpm.MacVal,_xlfn.XLOOKUP($A427,Output_Mac!$A:$A,Output_Mac!J:J,""),
_xlpm.MyAuditVal,_xlfn.XLOOKUP($A427,My_Audit!$A:$A,My_Audit!I:I,""),
_xlfn.IFS(_xlpm.MyAuditVal&lt;&gt;"",UPPER(_xlpm.MyAuditVal),_xlpm.MacVal&lt;&gt;"",_xlpm.MacVal,_xlpm.CSVVal&lt;&gt;"",_xlpm.CSVVal
)),"")</f>
        <v/>
      </c>
      <c r="K427" s="2" t="str" cm="1">
        <f t="array" ref="K427">IFERROR(_xlfn.LET(
_xlpm.CSVVal,_xlfn.XLOOKUP($A427,CSV!$A:$A,CSV!K:K,""),
_xlpm.MacVal,_xlfn.XLOOKUP($A427,Output_Mac!$A:$A,Output_Mac!K:K,""),
_xlpm.MyAuditVal,_xlfn.XLOOKUP($A427,My_Audit!$A:$A,My_Audit!J:J,""),
_xlfn.IFS(_xlpm.MyAuditVal&lt;&gt;"",UPPER(_xlpm.MyAuditVal),_xlpm.MacVal&lt;&gt;"",_xlpm.MacVal,_xlpm.CSVVal&lt;&gt;"",_xlpm.CSVVal
)),"")</f>
        <v/>
      </c>
      <c r="L427" s="2" t="str" cm="1">
        <f t="array" ref="L427">IFERROR(_xlfn.LET(
_xlpm.CSVVal,_xlfn.XLOOKUP($A427,CSV!$A:$A,CSV!P:P,""),
_xlpm.MacVal,_xlfn.XLOOKUP($A427,Output_Mac!$A:$A,Output_Mac!L:L,""),
_xlpm.MyAuditVal,_xlfn.XLOOKUP($A427,My_Audit!$A:$A,My_Audit!K:K,""),
_xlfn.IFS(_xlpm.MyAuditVal&lt;&gt;"",UPPER(_xlpm.MyAuditVal),_xlpm.MacVal&lt;&gt;"",_xlpm.MacVal,_xlpm.CSVVal&lt;&gt;"",_xlpm.CSVVal
)),"")</f>
        <v/>
      </c>
      <c r="M427" s="2" t="str" cm="1">
        <f t="array" ref="M427">IFERROR(_xlfn.LET(
_xlpm.CSVVal,_xlfn.XLOOKUP($A427,CSV!$A:$A,CSV!Q:Q,""),
_xlpm.MacVal,_xlfn.XLOOKUP($A427,Output_Mac!$A:$A,Output_Mac!M:M,""),
_xlpm.MyAuditVal,_xlfn.XLOOKUP($A427,My_Audit!$A:$A,My_Audit!L:L,""),
_xlfn.IFS(_xlpm.MyAuditVal&lt;&gt;"",UPPER(_xlpm.MyAuditVal),_xlpm.MacVal&lt;&gt;"",_xlpm.MacVal,_xlpm.CSVVal&lt;&gt;"",_xlpm.CSVVal
)),"")</f>
        <v/>
      </c>
      <c r="O427" s="2" t="str">
        <f>_xlfn.LET(
    _xlpm.CSVVal, _xlfn.XLOOKUP($A427, CSV!$A:$A, CSV!AF:AF, ""),
    _xlpm.MacVal, _xlfn.XLOOKUP($A427, Output_Mac!$A:$A, Output_Mac!S:S, ""),
    _xlpm.MyAuditVal, _xlfn.XLOOKUP($A427, My_Audit!$A:$A, My_Audit!P:P, ""),
    _xlfn.TEXTJOIN(", ", TRUE, _xlpm.MyAuditVal, _xlpm.MacVal, _xlpm.CSVVal)
)</f>
        <v/>
      </c>
      <c r="P427" s="2" t="str" cm="1">
        <f t="array" ref="P427">IFERROR(_xlfn.LET(
_xlpm.CSVVal,_xlfn.XLOOKUP($A427,CSV!$A:$A,CSV!AG:AG,""),
_xlpm.MacVal,_xlfn.XLOOKUP($A427,Output_Mac!$A:$A,Output_Mac!T:T,""),
_xlpm.MyAuditVal,_xlfn.XLOOKUP($A427,My_Audit!$A:$A,My_Audit!Q:Q,""),
_xlfn.IFS(_xlpm.MyAuditVal&lt;&gt;"",UPPER(_xlpm.MyAuditVal),_xlpm.MacVal&lt;&gt;"",_xlpm.MacVal,_xlpm.CSVVal&lt;&gt;"",_xlpm.CSVVal
)),"No")</f>
        <v>No</v>
      </c>
      <c r="Q427" s="2" t="str" cm="1">
        <f t="array" ref="Q427">IFERROR(_xlfn.LET(
_xlpm.CSVVal,_xlfn.XLOOKUP($A427,CSV!$A:$A,CSV!AH:AH,""),
_xlpm.MacVal,_xlfn.XLOOKUP($A427,Output_Mac!$A:$A,Output_Mac!U:U,""),
_xlpm.MyAuditVal,_xlfn.XLOOKUP($A427,My_Audit!$A:$A,My_Audit!R:R,""),
_xlfn.IFS(_xlpm.MyAuditVal&lt;&gt;"",UPPER(_xlpm.MyAuditVal),_xlpm.MacVal&lt;&gt;"",_xlpm.MacVal,_xlpm.CSVVal&lt;&gt;"",_xlpm.CSVVal
)),"")</f>
        <v/>
      </c>
    </row>
    <row r="428" spans="1:17">
      <c r="A428" s="2" t="str">
        <f>_xlfn.TEXTJOIN("",TRUE,Input!$B$2,ROW(My_Audit!A427))</f>
        <v>XX427</v>
      </c>
      <c r="B428" s="2" t="str">
        <f>_xlfn.TEXTJOIN("-",TRUE,"ITD",Input!$A$2,A428)</f>
        <v>ITD-SHRXXX-XX427</v>
      </c>
      <c r="C428" s="2" t="str" cm="1">
        <f t="array" ref="C428">IFERROR(_xlfn.LET(
_xlpm.CSVVal,_xlfn.XLOOKUP($A428,CSV!$A:$A,CSV!B:B,""),
_xlpm.MacVal,_xlfn.XLOOKUP($A428,Output_Mac!$A:$A,Output_Mac!B:B,""),
_xlpm.MyAuditVal,_xlfn.XLOOKUP($A428,My_Audit!$A:$A,My_Audit!B:B,""),
_xlfn.IFS(_xlpm.MyAuditVal&lt;&gt;"",UPPER(_xlpm.MyAuditVal),_xlpm.MacVal&lt;&gt;"",_xlpm.MacVal,_xlpm.CSVVal&lt;&gt;"",_xlpm.CSVVal
)),"")</f>
        <v/>
      </c>
      <c r="D428" s="2" t="str" cm="1">
        <f t="array" ref="D428">IFERROR(_xlfn.LET(
_xlpm.CSVVal,_xlfn.XLOOKUP($A428,CSV!$A:$A,CSV!D:D,""),
_xlpm.MacVal,_xlfn.XLOOKUP($A428,Output_Mac!$A:$A,Output_Mac!C:C,""),
_xlpm.MyAuditVal,_xlfn.XLOOKUP($A428,My_Audit!$A:$A,My_Audit!C:C,""),
_xlfn.IFS(_xlpm.MyAuditVal&lt;&gt;"",_xlpm.MyAuditVal,_xlpm.MacVal&lt;&gt;"",_xlpm.MacVal,_xlpm.CSVVal&lt;&gt;"",_xlpm.CSVVal
)),"")</f>
        <v/>
      </c>
      <c r="E428" s="2" t="str">
        <f>_xlfn.XLOOKUP(A428,My_Audit!A:A,My_Audit!D:D,"")&amp;""</f>
        <v/>
      </c>
      <c r="F428" s="2" t="str" cm="1">
        <f t="array" ref="F428">IFERROR(_xlfn.LET(
_xlpm.CSVVal,_xlfn.XLOOKUP($A428,CSV!$A:$A,CSV!F:F,""),
_xlpm.MacVal,_xlfn.XLOOKUP($A428,Output_Mac!$A:$A,Output_Mac!E:E,""),
_xlpm.MyAuditVal,_xlfn.XLOOKUP($A428,My_Audit!$A:$A,My_Audit!E:E,""),
_xlfn.IFS(_xlpm.MyAuditVal&lt;&gt;"",_xlpm.MyAuditVal,_xlpm.MacVal&lt;&gt;"",_xlpm.MacVal,_xlpm.CSVVal&lt;&gt;"",_xlpm.CSVVal
)),"")</f>
        <v/>
      </c>
      <c r="G428" s="2" t="str" cm="1">
        <f t="array" ref="G428">IFERROR(_xlfn.LET(
_xlpm.CSVVal,_xlfn.XLOOKUP($A428,CSV!$A:$A,CSV!G:G,""),
_xlpm.MacVal,_xlfn.XLOOKUP($A428,Output_Mac!$A:$A,Output_Mac!F:F,""),
_xlpm.MyAuditVal,_xlfn.XLOOKUP($A428,My_Audit!$A:$A,My_Audit!F:F,""),
_xlfn.IFS(_xlpm.MyAuditVal&lt;&gt;"",_xlpm.MyAuditVal,_xlpm.MacVal&lt;&gt;"",_xlpm.MacVal,_xlpm.CSVVal&lt;&gt;"",PROPER(_xlpm.CSVVal)
)),"")</f>
        <v/>
      </c>
      <c r="H428" s="2" t="str" cm="1">
        <f t="array" ref="H428">IFERROR(_xlfn.LET(
_xlpm.CSVVal,_xlfn.XLOOKUP($A428,CSV!$A:$A,CSV!H:H,""),
_xlpm.MacVal,_xlfn.XLOOKUP($A428,Output_Mac!$A:$A,Output_Mac!H:H,""),
_xlpm.MyAuditVal,_xlfn.XLOOKUP($A428,My_Audit!$A:$A,My_Audit!G:G,""),
_xlfn.IFS(_xlpm.MyAuditVal&lt;&gt;"",_xlpm.MyAuditVal,_xlpm.MacVal&lt;&gt;"",_xlpm.MacVal,_xlpm.CSVVal&lt;&gt;"",_xlpm.CSVVal
)),"")</f>
        <v/>
      </c>
      <c r="I428" s="2" t="str">
        <f>_xlfn.XLOOKUP(A428,Output_Mac!A:A,Output_Mac!I:I,"")</f>
        <v/>
      </c>
      <c r="J428" s="2" t="str" cm="1">
        <f t="array" ref="J428">IFERROR(_xlfn.LET(
_xlpm.CSVVal,_xlfn.XLOOKUP($A428,CSV!$A:$A,CSV!I:I,""),
_xlpm.MacVal,_xlfn.XLOOKUP($A428,Output_Mac!$A:$A,Output_Mac!J:J,""),
_xlpm.MyAuditVal,_xlfn.XLOOKUP($A428,My_Audit!$A:$A,My_Audit!I:I,""),
_xlfn.IFS(_xlpm.MyAuditVal&lt;&gt;"",UPPER(_xlpm.MyAuditVal),_xlpm.MacVal&lt;&gt;"",_xlpm.MacVal,_xlpm.CSVVal&lt;&gt;"",_xlpm.CSVVal
)),"")</f>
        <v/>
      </c>
      <c r="K428" s="2" t="str" cm="1">
        <f t="array" ref="K428">IFERROR(_xlfn.LET(
_xlpm.CSVVal,_xlfn.XLOOKUP($A428,CSV!$A:$A,CSV!K:K,""),
_xlpm.MacVal,_xlfn.XLOOKUP($A428,Output_Mac!$A:$A,Output_Mac!K:K,""),
_xlpm.MyAuditVal,_xlfn.XLOOKUP($A428,My_Audit!$A:$A,My_Audit!J:J,""),
_xlfn.IFS(_xlpm.MyAuditVal&lt;&gt;"",UPPER(_xlpm.MyAuditVal),_xlpm.MacVal&lt;&gt;"",_xlpm.MacVal,_xlpm.CSVVal&lt;&gt;"",_xlpm.CSVVal
)),"")</f>
        <v/>
      </c>
      <c r="L428" s="2" t="str" cm="1">
        <f t="array" ref="L428">IFERROR(_xlfn.LET(
_xlpm.CSVVal,_xlfn.XLOOKUP($A428,CSV!$A:$A,CSV!P:P,""),
_xlpm.MacVal,_xlfn.XLOOKUP($A428,Output_Mac!$A:$A,Output_Mac!L:L,""),
_xlpm.MyAuditVal,_xlfn.XLOOKUP($A428,My_Audit!$A:$A,My_Audit!K:K,""),
_xlfn.IFS(_xlpm.MyAuditVal&lt;&gt;"",UPPER(_xlpm.MyAuditVal),_xlpm.MacVal&lt;&gt;"",_xlpm.MacVal,_xlpm.CSVVal&lt;&gt;"",_xlpm.CSVVal
)),"")</f>
        <v/>
      </c>
      <c r="M428" s="2" t="str" cm="1">
        <f t="array" ref="M428">IFERROR(_xlfn.LET(
_xlpm.CSVVal,_xlfn.XLOOKUP($A428,CSV!$A:$A,CSV!Q:Q,""),
_xlpm.MacVal,_xlfn.XLOOKUP($A428,Output_Mac!$A:$A,Output_Mac!M:M,""),
_xlpm.MyAuditVal,_xlfn.XLOOKUP($A428,My_Audit!$A:$A,My_Audit!L:L,""),
_xlfn.IFS(_xlpm.MyAuditVal&lt;&gt;"",UPPER(_xlpm.MyAuditVal),_xlpm.MacVal&lt;&gt;"",_xlpm.MacVal,_xlpm.CSVVal&lt;&gt;"",_xlpm.CSVVal
)),"")</f>
        <v/>
      </c>
      <c r="O428" s="2" t="str">
        <f>_xlfn.LET(
    _xlpm.CSVVal, _xlfn.XLOOKUP($A428, CSV!$A:$A, CSV!AF:AF, ""),
    _xlpm.MacVal, _xlfn.XLOOKUP($A428, Output_Mac!$A:$A, Output_Mac!S:S, ""),
    _xlpm.MyAuditVal, _xlfn.XLOOKUP($A428, My_Audit!$A:$A, My_Audit!P:P, ""),
    _xlfn.TEXTJOIN(", ", TRUE, _xlpm.MyAuditVal, _xlpm.MacVal, _xlpm.CSVVal)
)</f>
        <v/>
      </c>
      <c r="P428" s="2" t="str" cm="1">
        <f t="array" ref="P428">IFERROR(_xlfn.LET(
_xlpm.CSVVal,_xlfn.XLOOKUP($A428,CSV!$A:$A,CSV!AG:AG,""),
_xlpm.MacVal,_xlfn.XLOOKUP($A428,Output_Mac!$A:$A,Output_Mac!T:T,""),
_xlpm.MyAuditVal,_xlfn.XLOOKUP($A428,My_Audit!$A:$A,My_Audit!Q:Q,""),
_xlfn.IFS(_xlpm.MyAuditVal&lt;&gt;"",UPPER(_xlpm.MyAuditVal),_xlpm.MacVal&lt;&gt;"",_xlpm.MacVal,_xlpm.CSVVal&lt;&gt;"",_xlpm.CSVVal
)),"No")</f>
        <v>No</v>
      </c>
      <c r="Q428" s="2" t="str" cm="1">
        <f t="array" ref="Q428">IFERROR(_xlfn.LET(
_xlpm.CSVVal,_xlfn.XLOOKUP($A428,CSV!$A:$A,CSV!AH:AH,""),
_xlpm.MacVal,_xlfn.XLOOKUP($A428,Output_Mac!$A:$A,Output_Mac!U:U,""),
_xlpm.MyAuditVal,_xlfn.XLOOKUP($A428,My_Audit!$A:$A,My_Audit!R:R,""),
_xlfn.IFS(_xlpm.MyAuditVal&lt;&gt;"",UPPER(_xlpm.MyAuditVal),_xlpm.MacVal&lt;&gt;"",_xlpm.MacVal,_xlpm.CSVVal&lt;&gt;"",_xlpm.CSVVal
)),"")</f>
        <v/>
      </c>
    </row>
    <row r="429" spans="1:17">
      <c r="A429" s="2" t="str">
        <f>_xlfn.TEXTJOIN("",TRUE,Input!$B$2,ROW(My_Audit!A428))</f>
        <v>XX428</v>
      </c>
      <c r="B429" s="2" t="str">
        <f>_xlfn.TEXTJOIN("-",TRUE,"ITD",Input!$A$2,A429)</f>
        <v>ITD-SHRXXX-XX428</v>
      </c>
      <c r="C429" s="2" t="str" cm="1">
        <f t="array" ref="C429">IFERROR(_xlfn.LET(
_xlpm.CSVVal,_xlfn.XLOOKUP($A429,CSV!$A:$A,CSV!B:B,""),
_xlpm.MacVal,_xlfn.XLOOKUP($A429,Output_Mac!$A:$A,Output_Mac!B:B,""),
_xlpm.MyAuditVal,_xlfn.XLOOKUP($A429,My_Audit!$A:$A,My_Audit!B:B,""),
_xlfn.IFS(_xlpm.MyAuditVal&lt;&gt;"",UPPER(_xlpm.MyAuditVal),_xlpm.MacVal&lt;&gt;"",_xlpm.MacVal,_xlpm.CSVVal&lt;&gt;"",_xlpm.CSVVal
)),"")</f>
        <v/>
      </c>
      <c r="D429" s="2" t="str" cm="1">
        <f t="array" ref="D429">IFERROR(_xlfn.LET(
_xlpm.CSVVal,_xlfn.XLOOKUP($A429,CSV!$A:$A,CSV!D:D,""),
_xlpm.MacVal,_xlfn.XLOOKUP($A429,Output_Mac!$A:$A,Output_Mac!C:C,""),
_xlpm.MyAuditVal,_xlfn.XLOOKUP($A429,My_Audit!$A:$A,My_Audit!C:C,""),
_xlfn.IFS(_xlpm.MyAuditVal&lt;&gt;"",_xlpm.MyAuditVal,_xlpm.MacVal&lt;&gt;"",_xlpm.MacVal,_xlpm.CSVVal&lt;&gt;"",_xlpm.CSVVal
)),"")</f>
        <v/>
      </c>
      <c r="E429" s="2" t="str">
        <f>_xlfn.XLOOKUP(A429,My_Audit!A:A,My_Audit!D:D,"")&amp;""</f>
        <v/>
      </c>
      <c r="F429" s="2" t="str" cm="1">
        <f t="array" ref="F429">IFERROR(_xlfn.LET(
_xlpm.CSVVal,_xlfn.XLOOKUP($A429,CSV!$A:$A,CSV!F:F,""),
_xlpm.MacVal,_xlfn.XLOOKUP($A429,Output_Mac!$A:$A,Output_Mac!E:E,""),
_xlpm.MyAuditVal,_xlfn.XLOOKUP($A429,My_Audit!$A:$A,My_Audit!E:E,""),
_xlfn.IFS(_xlpm.MyAuditVal&lt;&gt;"",_xlpm.MyAuditVal,_xlpm.MacVal&lt;&gt;"",_xlpm.MacVal,_xlpm.CSVVal&lt;&gt;"",_xlpm.CSVVal
)),"")</f>
        <v/>
      </c>
      <c r="G429" s="2" t="str" cm="1">
        <f t="array" ref="G429">IFERROR(_xlfn.LET(
_xlpm.CSVVal,_xlfn.XLOOKUP($A429,CSV!$A:$A,CSV!G:G,""),
_xlpm.MacVal,_xlfn.XLOOKUP($A429,Output_Mac!$A:$A,Output_Mac!F:F,""),
_xlpm.MyAuditVal,_xlfn.XLOOKUP($A429,My_Audit!$A:$A,My_Audit!F:F,""),
_xlfn.IFS(_xlpm.MyAuditVal&lt;&gt;"",_xlpm.MyAuditVal,_xlpm.MacVal&lt;&gt;"",_xlpm.MacVal,_xlpm.CSVVal&lt;&gt;"",PROPER(_xlpm.CSVVal)
)),"")</f>
        <v/>
      </c>
      <c r="H429" s="2" t="str" cm="1">
        <f t="array" ref="H429">IFERROR(_xlfn.LET(
_xlpm.CSVVal,_xlfn.XLOOKUP($A429,CSV!$A:$A,CSV!H:H,""),
_xlpm.MacVal,_xlfn.XLOOKUP($A429,Output_Mac!$A:$A,Output_Mac!H:H,""),
_xlpm.MyAuditVal,_xlfn.XLOOKUP($A429,My_Audit!$A:$A,My_Audit!G:G,""),
_xlfn.IFS(_xlpm.MyAuditVal&lt;&gt;"",_xlpm.MyAuditVal,_xlpm.MacVal&lt;&gt;"",_xlpm.MacVal,_xlpm.CSVVal&lt;&gt;"",_xlpm.CSVVal
)),"")</f>
        <v/>
      </c>
      <c r="I429" s="2" t="str">
        <f>_xlfn.XLOOKUP(A429,Output_Mac!A:A,Output_Mac!I:I,"")</f>
        <v/>
      </c>
      <c r="J429" s="2" t="str" cm="1">
        <f t="array" ref="J429">IFERROR(_xlfn.LET(
_xlpm.CSVVal,_xlfn.XLOOKUP($A429,CSV!$A:$A,CSV!I:I,""),
_xlpm.MacVal,_xlfn.XLOOKUP($A429,Output_Mac!$A:$A,Output_Mac!J:J,""),
_xlpm.MyAuditVal,_xlfn.XLOOKUP($A429,My_Audit!$A:$A,My_Audit!I:I,""),
_xlfn.IFS(_xlpm.MyAuditVal&lt;&gt;"",UPPER(_xlpm.MyAuditVal),_xlpm.MacVal&lt;&gt;"",_xlpm.MacVal,_xlpm.CSVVal&lt;&gt;"",_xlpm.CSVVal
)),"")</f>
        <v/>
      </c>
      <c r="K429" s="2" t="str" cm="1">
        <f t="array" ref="K429">IFERROR(_xlfn.LET(
_xlpm.CSVVal,_xlfn.XLOOKUP($A429,CSV!$A:$A,CSV!K:K,""),
_xlpm.MacVal,_xlfn.XLOOKUP($A429,Output_Mac!$A:$A,Output_Mac!K:K,""),
_xlpm.MyAuditVal,_xlfn.XLOOKUP($A429,My_Audit!$A:$A,My_Audit!J:J,""),
_xlfn.IFS(_xlpm.MyAuditVal&lt;&gt;"",UPPER(_xlpm.MyAuditVal),_xlpm.MacVal&lt;&gt;"",_xlpm.MacVal,_xlpm.CSVVal&lt;&gt;"",_xlpm.CSVVal
)),"")</f>
        <v/>
      </c>
      <c r="L429" s="2" t="str" cm="1">
        <f t="array" ref="L429">IFERROR(_xlfn.LET(
_xlpm.CSVVal,_xlfn.XLOOKUP($A429,CSV!$A:$A,CSV!P:P,""),
_xlpm.MacVal,_xlfn.XLOOKUP($A429,Output_Mac!$A:$A,Output_Mac!L:L,""),
_xlpm.MyAuditVal,_xlfn.XLOOKUP($A429,My_Audit!$A:$A,My_Audit!K:K,""),
_xlfn.IFS(_xlpm.MyAuditVal&lt;&gt;"",UPPER(_xlpm.MyAuditVal),_xlpm.MacVal&lt;&gt;"",_xlpm.MacVal,_xlpm.CSVVal&lt;&gt;"",_xlpm.CSVVal
)),"")</f>
        <v/>
      </c>
      <c r="M429" s="2" t="str" cm="1">
        <f t="array" ref="M429">IFERROR(_xlfn.LET(
_xlpm.CSVVal,_xlfn.XLOOKUP($A429,CSV!$A:$A,CSV!Q:Q,""),
_xlpm.MacVal,_xlfn.XLOOKUP($A429,Output_Mac!$A:$A,Output_Mac!M:M,""),
_xlpm.MyAuditVal,_xlfn.XLOOKUP($A429,My_Audit!$A:$A,My_Audit!L:L,""),
_xlfn.IFS(_xlpm.MyAuditVal&lt;&gt;"",UPPER(_xlpm.MyAuditVal),_xlpm.MacVal&lt;&gt;"",_xlpm.MacVal,_xlpm.CSVVal&lt;&gt;"",_xlpm.CSVVal
)),"")</f>
        <v/>
      </c>
      <c r="O429" s="2" t="str">
        <f>_xlfn.LET(
    _xlpm.CSVVal, _xlfn.XLOOKUP($A429, CSV!$A:$A, CSV!AF:AF, ""),
    _xlpm.MacVal, _xlfn.XLOOKUP($A429, Output_Mac!$A:$A, Output_Mac!S:S, ""),
    _xlpm.MyAuditVal, _xlfn.XLOOKUP($A429, My_Audit!$A:$A, My_Audit!P:P, ""),
    _xlfn.TEXTJOIN(", ", TRUE, _xlpm.MyAuditVal, _xlpm.MacVal, _xlpm.CSVVal)
)</f>
        <v/>
      </c>
      <c r="P429" s="2" t="str" cm="1">
        <f t="array" ref="P429">IFERROR(_xlfn.LET(
_xlpm.CSVVal,_xlfn.XLOOKUP($A429,CSV!$A:$A,CSV!AG:AG,""),
_xlpm.MacVal,_xlfn.XLOOKUP($A429,Output_Mac!$A:$A,Output_Mac!T:T,""),
_xlpm.MyAuditVal,_xlfn.XLOOKUP($A429,My_Audit!$A:$A,My_Audit!Q:Q,""),
_xlfn.IFS(_xlpm.MyAuditVal&lt;&gt;"",UPPER(_xlpm.MyAuditVal),_xlpm.MacVal&lt;&gt;"",_xlpm.MacVal,_xlpm.CSVVal&lt;&gt;"",_xlpm.CSVVal
)),"No")</f>
        <v>No</v>
      </c>
      <c r="Q429" s="2" t="str" cm="1">
        <f t="array" ref="Q429">IFERROR(_xlfn.LET(
_xlpm.CSVVal,_xlfn.XLOOKUP($A429,CSV!$A:$A,CSV!AH:AH,""),
_xlpm.MacVal,_xlfn.XLOOKUP($A429,Output_Mac!$A:$A,Output_Mac!U:U,""),
_xlpm.MyAuditVal,_xlfn.XLOOKUP($A429,My_Audit!$A:$A,My_Audit!R:R,""),
_xlfn.IFS(_xlpm.MyAuditVal&lt;&gt;"",UPPER(_xlpm.MyAuditVal),_xlpm.MacVal&lt;&gt;"",_xlpm.MacVal,_xlpm.CSVVal&lt;&gt;"",_xlpm.CSVVal
)),"")</f>
        <v/>
      </c>
    </row>
    <row r="430" spans="1:17">
      <c r="A430" s="2" t="str">
        <f>_xlfn.TEXTJOIN("",TRUE,Input!$B$2,ROW(My_Audit!A429))</f>
        <v>XX429</v>
      </c>
      <c r="B430" s="2" t="str">
        <f>_xlfn.TEXTJOIN("-",TRUE,"ITD",Input!$A$2,A430)</f>
        <v>ITD-SHRXXX-XX429</v>
      </c>
      <c r="C430" s="2" t="str" cm="1">
        <f t="array" ref="C430">IFERROR(_xlfn.LET(
_xlpm.CSVVal,_xlfn.XLOOKUP($A430,CSV!$A:$A,CSV!B:B,""),
_xlpm.MacVal,_xlfn.XLOOKUP($A430,Output_Mac!$A:$A,Output_Mac!B:B,""),
_xlpm.MyAuditVal,_xlfn.XLOOKUP($A430,My_Audit!$A:$A,My_Audit!B:B,""),
_xlfn.IFS(_xlpm.MyAuditVal&lt;&gt;"",UPPER(_xlpm.MyAuditVal),_xlpm.MacVal&lt;&gt;"",_xlpm.MacVal,_xlpm.CSVVal&lt;&gt;"",_xlpm.CSVVal
)),"")</f>
        <v/>
      </c>
      <c r="D430" s="2" t="str" cm="1">
        <f t="array" ref="D430">IFERROR(_xlfn.LET(
_xlpm.CSVVal,_xlfn.XLOOKUP($A430,CSV!$A:$A,CSV!D:D,""),
_xlpm.MacVal,_xlfn.XLOOKUP($A430,Output_Mac!$A:$A,Output_Mac!C:C,""),
_xlpm.MyAuditVal,_xlfn.XLOOKUP($A430,My_Audit!$A:$A,My_Audit!C:C,""),
_xlfn.IFS(_xlpm.MyAuditVal&lt;&gt;"",_xlpm.MyAuditVal,_xlpm.MacVal&lt;&gt;"",_xlpm.MacVal,_xlpm.CSVVal&lt;&gt;"",_xlpm.CSVVal
)),"")</f>
        <v/>
      </c>
      <c r="E430" s="2" t="str">
        <f>_xlfn.XLOOKUP(A430,My_Audit!A:A,My_Audit!D:D,"")&amp;""</f>
        <v/>
      </c>
      <c r="F430" s="2" t="str" cm="1">
        <f t="array" ref="F430">IFERROR(_xlfn.LET(
_xlpm.CSVVal,_xlfn.XLOOKUP($A430,CSV!$A:$A,CSV!F:F,""),
_xlpm.MacVal,_xlfn.XLOOKUP($A430,Output_Mac!$A:$A,Output_Mac!E:E,""),
_xlpm.MyAuditVal,_xlfn.XLOOKUP($A430,My_Audit!$A:$A,My_Audit!E:E,""),
_xlfn.IFS(_xlpm.MyAuditVal&lt;&gt;"",_xlpm.MyAuditVal,_xlpm.MacVal&lt;&gt;"",_xlpm.MacVal,_xlpm.CSVVal&lt;&gt;"",_xlpm.CSVVal
)),"")</f>
        <v/>
      </c>
      <c r="G430" s="2" t="str" cm="1">
        <f t="array" ref="G430">IFERROR(_xlfn.LET(
_xlpm.CSVVal,_xlfn.XLOOKUP($A430,CSV!$A:$A,CSV!G:G,""),
_xlpm.MacVal,_xlfn.XLOOKUP($A430,Output_Mac!$A:$A,Output_Mac!F:F,""),
_xlpm.MyAuditVal,_xlfn.XLOOKUP($A430,My_Audit!$A:$A,My_Audit!F:F,""),
_xlfn.IFS(_xlpm.MyAuditVal&lt;&gt;"",_xlpm.MyAuditVal,_xlpm.MacVal&lt;&gt;"",_xlpm.MacVal,_xlpm.CSVVal&lt;&gt;"",PROPER(_xlpm.CSVVal)
)),"")</f>
        <v/>
      </c>
      <c r="H430" s="2" t="str" cm="1">
        <f t="array" ref="H430">IFERROR(_xlfn.LET(
_xlpm.CSVVal,_xlfn.XLOOKUP($A430,CSV!$A:$A,CSV!H:H,""),
_xlpm.MacVal,_xlfn.XLOOKUP($A430,Output_Mac!$A:$A,Output_Mac!H:H,""),
_xlpm.MyAuditVal,_xlfn.XLOOKUP($A430,My_Audit!$A:$A,My_Audit!G:G,""),
_xlfn.IFS(_xlpm.MyAuditVal&lt;&gt;"",_xlpm.MyAuditVal,_xlpm.MacVal&lt;&gt;"",_xlpm.MacVal,_xlpm.CSVVal&lt;&gt;"",_xlpm.CSVVal
)),"")</f>
        <v/>
      </c>
      <c r="I430" s="2" t="str">
        <f>_xlfn.XLOOKUP(A430,Output_Mac!A:A,Output_Mac!I:I,"")</f>
        <v/>
      </c>
      <c r="J430" s="2" t="str" cm="1">
        <f t="array" ref="J430">IFERROR(_xlfn.LET(
_xlpm.CSVVal,_xlfn.XLOOKUP($A430,CSV!$A:$A,CSV!I:I,""),
_xlpm.MacVal,_xlfn.XLOOKUP($A430,Output_Mac!$A:$A,Output_Mac!J:J,""),
_xlpm.MyAuditVal,_xlfn.XLOOKUP($A430,My_Audit!$A:$A,My_Audit!I:I,""),
_xlfn.IFS(_xlpm.MyAuditVal&lt;&gt;"",UPPER(_xlpm.MyAuditVal),_xlpm.MacVal&lt;&gt;"",_xlpm.MacVal,_xlpm.CSVVal&lt;&gt;"",_xlpm.CSVVal
)),"")</f>
        <v/>
      </c>
      <c r="K430" s="2" t="str" cm="1">
        <f t="array" ref="K430">IFERROR(_xlfn.LET(
_xlpm.CSVVal,_xlfn.XLOOKUP($A430,CSV!$A:$A,CSV!K:K,""),
_xlpm.MacVal,_xlfn.XLOOKUP($A430,Output_Mac!$A:$A,Output_Mac!K:K,""),
_xlpm.MyAuditVal,_xlfn.XLOOKUP($A430,My_Audit!$A:$A,My_Audit!J:J,""),
_xlfn.IFS(_xlpm.MyAuditVal&lt;&gt;"",UPPER(_xlpm.MyAuditVal),_xlpm.MacVal&lt;&gt;"",_xlpm.MacVal,_xlpm.CSVVal&lt;&gt;"",_xlpm.CSVVal
)),"")</f>
        <v/>
      </c>
      <c r="L430" s="2" t="str" cm="1">
        <f t="array" ref="L430">IFERROR(_xlfn.LET(
_xlpm.CSVVal,_xlfn.XLOOKUP($A430,CSV!$A:$A,CSV!P:P,""),
_xlpm.MacVal,_xlfn.XLOOKUP($A430,Output_Mac!$A:$A,Output_Mac!L:L,""),
_xlpm.MyAuditVal,_xlfn.XLOOKUP($A430,My_Audit!$A:$A,My_Audit!K:K,""),
_xlfn.IFS(_xlpm.MyAuditVal&lt;&gt;"",UPPER(_xlpm.MyAuditVal),_xlpm.MacVal&lt;&gt;"",_xlpm.MacVal,_xlpm.CSVVal&lt;&gt;"",_xlpm.CSVVal
)),"")</f>
        <v/>
      </c>
      <c r="M430" s="2" t="str" cm="1">
        <f t="array" ref="M430">IFERROR(_xlfn.LET(
_xlpm.CSVVal,_xlfn.XLOOKUP($A430,CSV!$A:$A,CSV!Q:Q,""),
_xlpm.MacVal,_xlfn.XLOOKUP($A430,Output_Mac!$A:$A,Output_Mac!M:M,""),
_xlpm.MyAuditVal,_xlfn.XLOOKUP($A430,My_Audit!$A:$A,My_Audit!L:L,""),
_xlfn.IFS(_xlpm.MyAuditVal&lt;&gt;"",UPPER(_xlpm.MyAuditVal),_xlpm.MacVal&lt;&gt;"",_xlpm.MacVal,_xlpm.CSVVal&lt;&gt;"",_xlpm.CSVVal
)),"")</f>
        <v/>
      </c>
      <c r="O430" s="2" t="str">
        <f>_xlfn.LET(
    _xlpm.CSVVal, _xlfn.XLOOKUP($A430, CSV!$A:$A, CSV!AF:AF, ""),
    _xlpm.MacVal, _xlfn.XLOOKUP($A430, Output_Mac!$A:$A, Output_Mac!S:S, ""),
    _xlpm.MyAuditVal, _xlfn.XLOOKUP($A430, My_Audit!$A:$A, My_Audit!P:P, ""),
    _xlfn.TEXTJOIN(", ", TRUE, _xlpm.MyAuditVal, _xlpm.MacVal, _xlpm.CSVVal)
)</f>
        <v/>
      </c>
      <c r="P430" s="2" t="str" cm="1">
        <f t="array" ref="P430">IFERROR(_xlfn.LET(
_xlpm.CSVVal,_xlfn.XLOOKUP($A430,CSV!$A:$A,CSV!AG:AG,""),
_xlpm.MacVal,_xlfn.XLOOKUP($A430,Output_Mac!$A:$A,Output_Mac!T:T,""),
_xlpm.MyAuditVal,_xlfn.XLOOKUP($A430,My_Audit!$A:$A,My_Audit!Q:Q,""),
_xlfn.IFS(_xlpm.MyAuditVal&lt;&gt;"",UPPER(_xlpm.MyAuditVal),_xlpm.MacVal&lt;&gt;"",_xlpm.MacVal,_xlpm.CSVVal&lt;&gt;"",_xlpm.CSVVal
)),"No")</f>
        <v>No</v>
      </c>
      <c r="Q430" s="2" t="str" cm="1">
        <f t="array" ref="Q430">IFERROR(_xlfn.LET(
_xlpm.CSVVal,_xlfn.XLOOKUP($A430,CSV!$A:$A,CSV!AH:AH,""),
_xlpm.MacVal,_xlfn.XLOOKUP($A430,Output_Mac!$A:$A,Output_Mac!U:U,""),
_xlpm.MyAuditVal,_xlfn.XLOOKUP($A430,My_Audit!$A:$A,My_Audit!R:R,""),
_xlfn.IFS(_xlpm.MyAuditVal&lt;&gt;"",UPPER(_xlpm.MyAuditVal),_xlpm.MacVal&lt;&gt;"",_xlpm.MacVal,_xlpm.CSVVal&lt;&gt;"",_xlpm.CSVVal
)),"")</f>
        <v/>
      </c>
    </row>
    <row r="431" spans="1:17">
      <c r="A431" s="2" t="str">
        <f>_xlfn.TEXTJOIN("",TRUE,Input!$B$2,ROW(My_Audit!A430))</f>
        <v>XX430</v>
      </c>
      <c r="B431" s="2" t="str">
        <f>_xlfn.TEXTJOIN("-",TRUE,"ITD",Input!$A$2,A431)</f>
        <v>ITD-SHRXXX-XX430</v>
      </c>
      <c r="C431" s="2" t="str" cm="1">
        <f t="array" ref="C431">IFERROR(_xlfn.LET(
_xlpm.CSVVal,_xlfn.XLOOKUP($A431,CSV!$A:$A,CSV!B:B,""),
_xlpm.MacVal,_xlfn.XLOOKUP($A431,Output_Mac!$A:$A,Output_Mac!B:B,""),
_xlpm.MyAuditVal,_xlfn.XLOOKUP($A431,My_Audit!$A:$A,My_Audit!B:B,""),
_xlfn.IFS(_xlpm.MyAuditVal&lt;&gt;"",UPPER(_xlpm.MyAuditVal),_xlpm.MacVal&lt;&gt;"",_xlpm.MacVal,_xlpm.CSVVal&lt;&gt;"",_xlpm.CSVVal
)),"")</f>
        <v/>
      </c>
      <c r="D431" s="2" t="str" cm="1">
        <f t="array" ref="D431">IFERROR(_xlfn.LET(
_xlpm.CSVVal,_xlfn.XLOOKUP($A431,CSV!$A:$A,CSV!D:D,""),
_xlpm.MacVal,_xlfn.XLOOKUP($A431,Output_Mac!$A:$A,Output_Mac!C:C,""),
_xlpm.MyAuditVal,_xlfn.XLOOKUP($A431,My_Audit!$A:$A,My_Audit!C:C,""),
_xlfn.IFS(_xlpm.MyAuditVal&lt;&gt;"",_xlpm.MyAuditVal,_xlpm.MacVal&lt;&gt;"",_xlpm.MacVal,_xlpm.CSVVal&lt;&gt;"",_xlpm.CSVVal
)),"")</f>
        <v/>
      </c>
      <c r="E431" s="2" t="str">
        <f>_xlfn.XLOOKUP(A431,My_Audit!A:A,My_Audit!D:D,"")&amp;""</f>
        <v/>
      </c>
      <c r="F431" s="2" t="str" cm="1">
        <f t="array" ref="F431">IFERROR(_xlfn.LET(
_xlpm.CSVVal,_xlfn.XLOOKUP($A431,CSV!$A:$A,CSV!F:F,""),
_xlpm.MacVal,_xlfn.XLOOKUP($A431,Output_Mac!$A:$A,Output_Mac!E:E,""),
_xlpm.MyAuditVal,_xlfn.XLOOKUP($A431,My_Audit!$A:$A,My_Audit!E:E,""),
_xlfn.IFS(_xlpm.MyAuditVal&lt;&gt;"",_xlpm.MyAuditVal,_xlpm.MacVal&lt;&gt;"",_xlpm.MacVal,_xlpm.CSVVal&lt;&gt;"",_xlpm.CSVVal
)),"")</f>
        <v/>
      </c>
      <c r="G431" s="2" t="str" cm="1">
        <f t="array" ref="G431">IFERROR(_xlfn.LET(
_xlpm.CSVVal,_xlfn.XLOOKUP($A431,CSV!$A:$A,CSV!G:G,""),
_xlpm.MacVal,_xlfn.XLOOKUP($A431,Output_Mac!$A:$A,Output_Mac!F:F,""),
_xlpm.MyAuditVal,_xlfn.XLOOKUP($A431,My_Audit!$A:$A,My_Audit!F:F,""),
_xlfn.IFS(_xlpm.MyAuditVal&lt;&gt;"",_xlpm.MyAuditVal,_xlpm.MacVal&lt;&gt;"",_xlpm.MacVal,_xlpm.CSVVal&lt;&gt;"",PROPER(_xlpm.CSVVal)
)),"")</f>
        <v/>
      </c>
      <c r="H431" s="2" t="str" cm="1">
        <f t="array" ref="H431">IFERROR(_xlfn.LET(
_xlpm.CSVVal,_xlfn.XLOOKUP($A431,CSV!$A:$A,CSV!H:H,""),
_xlpm.MacVal,_xlfn.XLOOKUP($A431,Output_Mac!$A:$A,Output_Mac!H:H,""),
_xlpm.MyAuditVal,_xlfn.XLOOKUP($A431,My_Audit!$A:$A,My_Audit!G:G,""),
_xlfn.IFS(_xlpm.MyAuditVal&lt;&gt;"",_xlpm.MyAuditVal,_xlpm.MacVal&lt;&gt;"",_xlpm.MacVal,_xlpm.CSVVal&lt;&gt;"",_xlpm.CSVVal
)),"")</f>
        <v/>
      </c>
      <c r="I431" s="2" t="str">
        <f>_xlfn.XLOOKUP(A431,Output_Mac!A:A,Output_Mac!I:I,"")</f>
        <v/>
      </c>
      <c r="J431" s="2" t="str" cm="1">
        <f t="array" ref="J431">IFERROR(_xlfn.LET(
_xlpm.CSVVal,_xlfn.XLOOKUP($A431,CSV!$A:$A,CSV!I:I,""),
_xlpm.MacVal,_xlfn.XLOOKUP($A431,Output_Mac!$A:$A,Output_Mac!J:J,""),
_xlpm.MyAuditVal,_xlfn.XLOOKUP($A431,My_Audit!$A:$A,My_Audit!I:I,""),
_xlfn.IFS(_xlpm.MyAuditVal&lt;&gt;"",UPPER(_xlpm.MyAuditVal),_xlpm.MacVal&lt;&gt;"",_xlpm.MacVal,_xlpm.CSVVal&lt;&gt;"",_xlpm.CSVVal
)),"")</f>
        <v/>
      </c>
      <c r="K431" s="2" t="str" cm="1">
        <f t="array" ref="K431">IFERROR(_xlfn.LET(
_xlpm.CSVVal,_xlfn.XLOOKUP($A431,CSV!$A:$A,CSV!K:K,""),
_xlpm.MacVal,_xlfn.XLOOKUP($A431,Output_Mac!$A:$A,Output_Mac!K:K,""),
_xlpm.MyAuditVal,_xlfn.XLOOKUP($A431,My_Audit!$A:$A,My_Audit!J:J,""),
_xlfn.IFS(_xlpm.MyAuditVal&lt;&gt;"",UPPER(_xlpm.MyAuditVal),_xlpm.MacVal&lt;&gt;"",_xlpm.MacVal,_xlpm.CSVVal&lt;&gt;"",_xlpm.CSVVal
)),"")</f>
        <v/>
      </c>
      <c r="L431" s="2" t="str" cm="1">
        <f t="array" ref="L431">IFERROR(_xlfn.LET(
_xlpm.CSVVal,_xlfn.XLOOKUP($A431,CSV!$A:$A,CSV!P:P,""),
_xlpm.MacVal,_xlfn.XLOOKUP($A431,Output_Mac!$A:$A,Output_Mac!L:L,""),
_xlpm.MyAuditVal,_xlfn.XLOOKUP($A431,My_Audit!$A:$A,My_Audit!K:K,""),
_xlfn.IFS(_xlpm.MyAuditVal&lt;&gt;"",UPPER(_xlpm.MyAuditVal),_xlpm.MacVal&lt;&gt;"",_xlpm.MacVal,_xlpm.CSVVal&lt;&gt;"",_xlpm.CSVVal
)),"")</f>
        <v/>
      </c>
      <c r="M431" s="2" t="str" cm="1">
        <f t="array" ref="M431">IFERROR(_xlfn.LET(
_xlpm.CSVVal,_xlfn.XLOOKUP($A431,CSV!$A:$A,CSV!Q:Q,""),
_xlpm.MacVal,_xlfn.XLOOKUP($A431,Output_Mac!$A:$A,Output_Mac!M:M,""),
_xlpm.MyAuditVal,_xlfn.XLOOKUP($A431,My_Audit!$A:$A,My_Audit!L:L,""),
_xlfn.IFS(_xlpm.MyAuditVal&lt;&gt;"",UPPER(_xlpm.MyAuditVal),_xlpm.MacVal&lt;&gt;"",_xlpm.MacVal,_xlpm.CSVVal&lt;&gt;"",_xlpm.CSVVal
)),"")</f>
        <v/>
      </c>
      <c r="O431" s="2" t="str">
        <f>_xlfn.LET(
    _xlpm.CSVVal, _xlfn.XLOOKUP($A431, CSV!$A:$A, CSV!AF:AF, ""),
    _xlpm.MacVal, _xlfn.XLOOKUP($A431, Output_Mac!$A:$A, Output_Mac!S:S, ""),
    _xlpm.MyAuditVal, _xlfn.XLOOKUP($A431, My_Audit!$A:$A, My_Audit!P:P, ""),
    _xlfn.TEXTJOIN(", ", TRUE, _xlpm.MyAuditVal, _xlpm.MacVal, _xlpm.CSVVal)
)</f>
        <v/>
      </c>
      <c r="P431" s="2" t="str" cm="1">
        <f t="array" ref="P431">IFERROR(_xlfn.LET(
_xlpm.CSVVal,_xlfn.XLOOKUP($A431,CSV!$A:$A,CSV!AG:AG,""),
_xlpm.MacVal,_xlfn.XLOOKUP($A431,Output_Mac!$A:$A,Output_Mac!T:T,""),
_xlpm.MyAuditVal,_xlfn.XLOOKUP($A431,My_Audit!$A:$A,My_Audit!Q:Q,""),
_xlfn.IFS(_xlpm.MyAuditVal&lt;&gt;"",UPPER(_xlpm.MyAuditVal),_xlpm.MacVal&lt;&gt;"",_xlpm.MacVal,_xlpm.CSVVal&lt;&gt;"",_xlpm.CSVVal
)),"No")</f>
        <v>No</v>
      </c>
      <c r="Q431" s="2" t="str" cm="1">
        <f t="array" ref="Q431">IFERROR(_xlfn.LET(
_xlpm.CSVVal,_xlfn.XLOOKUP($A431,CSV!$A:$A,CSV!AH:AH,""),
_xlpm.MacVal,_xlfn.XLOOKUP($A431,Output_Mac!$A:$A,Output_Mac!U:U,""),
_xlpm.MyAuditVal,_xlfn.XLOOKUP($A431,My_Audit!$A:$A,My_Audit!R:R,""),
_xlfn.IFS(_xlpm.MyAuditVal&lt;&gt;"",UPPER(_xlpm.MyAuditVal),_xlpm.MacVal&lt;&gt;"",_xlpm.MacVal,_xlpm.CSVVal&lt;&gt;"",_xlpm.CSVVal
)),"")</f>
        <v/>
      </c>
    </row>
    <row r="432" spans="1:17">
      <c r="A432" s="2" t="str">
        <f>_xlfn.TEXTJOIN("",TRUE,Input!$B$2,ROW(My_Audit!A431))</f>
        <v>XX431</v>
      </c>
      <c r="B432" s="2" t="str">
        <f>_xlfn.TEXTJOIN("-",TRUE,"ITD",Input!$A$2,A432)</f>
        <v>ITD-SHRXXX-XX431</v>
      </c>
      <c r="C432" s="2" t="str" cm="1">
        <f t="array" ref="C432">IFERROR(_xlfn.LET(
_xlpm.CSVVal,_xlfn.XLOOKUP($A432,CSV!$A:$A,CSV!B:B,""),
_xlpm.MacVal,_xlfn.XLOOKUP($A432,Output_Mac!$A:$A,Output_Mac!B:B,""),
_xlpm.MyAuditVal,_xlfn.XLOOKUP($A432,My_Audit!$A:$A,My_Audit!B:B,""),
_xlfn.IFS(_xlpm.MyAuditVal&lt;&gt;"",UPPER(_xlpm.MyAuditVal),_xlpm.MacVal&lt;&gt;"",_xlpm.MacVal,_xlpm.CSVVal&lt;&gt;"",_xlpm.CSVVal
)),"")</f>
        <v/>
      </c>
      <c r="D432" s="2" t="str" cm="1">
        <f t="array" ref="D432">IFERROR(_xlfn.LET(
_xlpm.CSVVal,_xlfn.XLOOKUP($A432,CSV!$A:$A,CSV!D:D,""),
_xlpm.MacVal,_xlfn.XLOOKUP($A432,Output_Mac!$A:$A,Output_Mac!C:C,""),
_xlpm.MyAuditVal,_xlfn.XLOOKUP($A432,My_Audit!$A:$A,My_Audit!C:C,""),
_xlfn.IFS(_xlpm.MyAuditVal&lt;&gt;"",_xlpm.MyAuditVal,_xlpm.MacVal&lt;&gt;"",_xlpm.MacVal,_xlpm.CSVVal&lt;&gt;"",_xlpm.CSVVal
)),"")</f>
        <v/>
      </c>
      <c r="E432" s="2" t="str">
        <f>_xlfn.XLOOKUP(A432,My_Audit!A:A,My_Audit!D:D,"")&amp;""</f>
        <v/>
      </c>
      <c r="F432" s="2" t="str" cm="1">
        <f t="array" ref="F432">IFERROR(_xlfn.LET(
_xlpm.CSVVal,_xlfn.XLOOKUP($A432,CSV!$A:$A,CSV!F:F,""),
_xlpm.MacVal,_xlfn.XLOOKUP($A432,Output_Mac!$A:$A,Output_Mac!E:E,""),
_xlpm.MyAuditVal,_xlfn.XLOOKUP($A432,My_Audit!$A:$A,My_Audit!E:E,""),
_xlfn.IFS(_xlpm.MyAuditVal&lt;&gt;"",_xlpm.MyAuditVal,_xlpm.MacVal&lt;&gt;"",_xlpm.MacVal,_xlpm.CSVVal&lt;&gt;"",_xlpm.CSVVal
)),"")</f>
        <v/>
      </c>
      <c r="G432" s="2" t="str" cm="1">
        <f t="array" ref="G432">IFERROR(_xlfn.LET(
_xlpm.CSVVal,_xlfn.XLOOKUP($A432,CSV!$A:$A,CSV!G:G,""),
_xlpm.MacVal,_xlfn.XLOOKUP($A432,Output_Mac!$A:$A,Output_Mac!F:F,""),
_xlpm.MyAuditVal,_xlfn.XLOOKUP($A432,My_Audit!$A:$A,My_Audit!F:F,""),
_xlfn.IFS(_xlpm.MyAuditVal&lt;&gt;"",_xlpm.MyAuditVal,_xlpm.MacVal&lt;&gt;"",_xlpm.MacVal,_xlpm.CSVVal&lt;&gt;"",PROPER(_xlpm.CSVVal)
)),"")</f>
        <v/>
      </c>
      <c r="H432" s="2" t="str" cm="1">
        <f t="array" ref="H432">IFERROR(_xlfn.LET(
_xlpm.CSVVal,_xlfn.XLOOKUP($A432,CSV!$A:$A,CSV!H:H,""),
_xlpm.MacVal,_xlfn.XLOOKUP($A432,Output_Mac!$A:$A,Output_Mac!H:H,""),
_xlpm.MyAuditVal,_xlfn.XLOOKUP($A432,My_Audit!$A:$A,My_Audit!G:G,""),
_xlfn.IFS(_xlpm.MyAuditVal&lt;&gt;"",_xlpm.MyAuditVal,_xlpm.MacVal&lt;&gt;"",_xlpm.MacVal,_xlpm.CSVVal&lt;&gt;"",_xlpm.CSVVal
)),"")</f>
        <v/>
      </c>
      <c r="I432" s="2" t="str">
        <f>_xlfn.XLOOKUP(A432,Output_Mac!A:A,Output_Mac!I:I,"")</f>
        <v/>
      </c>
      <c r="J432" s="2" t="str" cm="1">
        <f t="array" ref="J432">IFERROR(_xlfn.LET(
_xlpm.CSVVal,_xlfn.XLOOKUP($A432,CSV!$A:$A,CSV!I:I,""),
_xlpm.MacVal,_xlfn.XLOOKUP($A432,Output_Mac!$A:$A,Output_Mac!J:J,""),
_xlpm.MyAuditVal,_xlfn.XLOOKUP($A432,My_Audit!$A:$A,My_Audit!I:I,""),
_xlfn.IFS(_xlpm.MyAuditVal&lt;&gt;"",UPPER(_xlpm.MyAuditVal),_xlpm.MacVal&lt;&gt;"",_xlpm.MacVal,_xlpm.CSVVal&lt;&gt;"",_xlpm.CSVVal
)),"")</f>
        <v/>
      </c>
      <c r="K432" s="2" t="str" cm="1">
        <f t="array" ref="K432">IFERROR(_xlfn.LET(
_xlpm.CSVVal,_xlfn.XLOOKUP($A432,CSV!$A:$A,CSV!K:K,""),
_xlpm.MacVal,_xlfn.XLOOKUP($A432,Output_Mac!$A:$A,Output_Mac!K:K,""),
_xlpm.MyAuditVal,_xlfn.XLOOKUP($A432,My_Audit!$A:$A,My_Audit!J:J,""),
_xlfn.IFS(_xlpm.MyAuditVal&lt;&gt;"",UPPER(_xlpm.MyAuditVal),_xlpm.MacVal&lt;&gt;"",_xlpm.MacVal,_xlpm.CSVVal&lt;&gt;"",_xlpm.CSVVal
)),"")</f>
        <v/>
      </c>
      <c r="L432" s="2" t="str" cm="1">
        <f t="array" ref="L432">IFERROR(_xlfn.LET(
_xlpm.CSVVal,_xlfn.XLOOKUP($A432,CSV!$A:$A,CSV!P:P,""),
_xlpm.MacVal,_xlfn.XLOOKUP($A432,Output_Mac!$A:$A,Output_Mac!L:L,""),
_xlpm.MyAuditVal,_xlfn.XLOOKUP($A432,My_Audit!$A:$A,My_Audit!K:K,""),
_xlfn.IFS(_xlpm.MyAuditVal&lt;&gt;"",UPPER(_xlpm.MyAuditVal),_xlpm.MacVal&lt;&gt;"",_xlpm.MacVal,_xlpm.CSVVal&lt;&gt;"",_xlpm.CSVVal
)),"")</f>
        <v/>
      </c>
      <c r="M432" s="2" t="str" cm="1">
        <f t="array" ref="M432">IFERROR(_xlfn.LET(
_xlpm.CSVVal,_xlfn.XLOOKUP($A432,CSV!$A:$A,CSV!Q:Q,""),
_xlpm.MacVal,_xlfn.XLOOKUP($A432,Output_Mac!$A:$A,Output_Mac!M:M,""),
_xlpm.MyAuditVal,_xlfn.XLOOKUP($A432,My_Audit!$A:$A,My_Audit!L:L,""),
_xlfn.IFS(_xlpm.MyAuditVal&lt;&gt;"",UPPER(_xlpm.MyAuditVal),_xlpm.MacVal&lt;&gt;"",_xlpm.MacVal,_xlpm.CSVVal&lt;&gt;"",_xlpm.CSVVal
)),"")</f>
        <v/>
      </c>
      <c r="O432" s="2" t="str">
        <f>_xlfn.LET(
    _xlpm.CSVVal, _xlfn.XLOOKUP($A432, CSV!$A:$A, CSV!AF:AF, ""),
    _xlpm.MacVal, _xlfn.XLOOKUP($A432, Output_Mac!$A:$A, Output_Mac!S:S, ""),
    _xlpm.MyAuditVal, _xlfn.XLOOKUP($A432, My_Audit!$A:$A, My_Audit!P:P, ""),
    _xlfn.TEXTJOIN(", ", TRUE, _xlpm.MyAuditVal, _xlpm.MacVal, _xlpm.CSVVal)
)</f>
        <v/>
      </c>
      <c r="P432" s="2" t="str" cm="1">
        <f t="array" ref="P432">IFERROR(_xlfn.LET(
_xlpm.CSVVal,_xlfn.XLOOKUP($A432,CSV!$A:$A,CSV!AG:AG,""),
_xlpm.MacVal,_xlfn.XLOOKUP($A432,Output_Mac!$A:$A,Output_Mac!T:T,""),
_xlpm.MyAuditVal,_xlfn.XLOOKUP($A432,My_Audit!$A:$A,My_Audit!Q:Q,""),
_xlfn.IFS(_xlpm.MyAuditVal&lt;&gt;"",UPPER(_xlpm.MyAuditVal),_xlpm.MacVal&lt;&gt;"",_xlpm.MacVal,_xlpm.CSVVal&lt;&gt;"",_xlpm.CSVVal
)),"No")</f>
        <v>No</v>
      </c>
      <c r="Q432" s="2" t="str" cm="1">
        <f t="array" ref="Q432">IFERROR(_xlfn.LET(
_xlpm.CSVVal,_xlfn.XLOOKUP($A432,CSV!$A:$A,CSV!AH:AH,""),
_xlpm.MacVal,_xlfn.XLOOKUP($A432,Output_Mac!$A:$A,Output_Mac!U:U,""),
_xlpm.MyAuditVal,_xlfn.XLOOKUP($A432,My_Audit!$A:$A,My_Audit!R:R,""),
_xlfn.IFS(_xlpm.MyAuditVal&lt;&gt;"",UPPER(_xlpm.MyAuditVal),_xlpm.MacVal&lt;&gt;"",_xlpm.MacVal,_xlpm.CSVVal&lt;&gt;"",_xlpm.CSVVal
)),"")</f>
        <v/>
      </c>
    </row>
    <row r="433" spans="1:17">
      <c r="A433" s="2" t="str">
        <f>_xlfn.TEXTJOIN("",TRUE,Input!$B$2,ROW(My_Audit!A432))</f>
        <v>XX432</v>
      </c>
      <c r="B433" s="2" t="str">
        <f>_xlfn.TEXTJOIN("-",TRUE,"ITD",Input!$A$2,A433)</f>
        <v>ITD-SHRXXX-XX432</v>
      </c>
      <c r="C433" s="2" t="str" cm="1">
        <f t="array" ref="C433">IFERROR(_xlfn.LET(
_xlpm.CSVVal,_xlfn.XLOOKUP($A433,CSV!$A:$A,CSV!B:B,""),
_xlpm.MacVal,_xlfn.XLOOKUP($A433,Output_Mac!$A:$A,Output_Mac!B:B,""),
_xlpm.MyAuditVal,_xlfn.XLOOKUP($A433,My_Audit!$A:$A,My_Audit!B:B,""),
_xlfn.IFS(_xlpm.MyAuditVal&lt;&gt;"",UPPER(_xlpm.MyAuditVal),_xlpm.MacVal&lt;&gt;"",_xlpm.MacVal,_xlpm.CSVVal&lt;&gt;"",_xlpm.CSVVal
)),"")</f>
        <v/>
      </c>
      <c r="D433" s="2" t="str" cm="1">
        <f t="array" ref="D433">IFERROR(_xlfn.LET(
_xlpm.CSVVal,_xlfn.XLOOKUP($A433,CSV!$A:$A,CSV!D:D,""),
_xlpm.MacVal,_xlfn.XLOOKUP($A433,Output_Mac!$A:$A,Output_Mac!C:C,""),
_xlpm.MyAuditVal,_xlfn.XLOOKUP($A433,My_Audit!$A:$A,My_Audit!C:C,""),
_xlfn.IFS(_xlpm.MyAuditVal&lt;&gt;"",_xlpm.MyAuditVal,_xlpm.MacVal&lt;&gt;"",_xlpm.MacVal,_xlpm.CSVVal&lt;&gt;"",_xlpm.CSVVal
)),"")</f>
        <v/>
      </c>
      <c r="E433" s="2" t="str">
        <f>_xlfn.XLOOKUP(A433,My_Audit!A:A,My_Audit!D:D,"")&amp;""</f>
        <v/>
      </c>
      <c r="F433" s="2" t="str" cm="1">
        <f t="array" ref="F433">IFERROR(_xlfn.LET(
_xlpm.CSVVal,_xlfn.XLOOKUP($A433,CSV!$A:$A,CSV!F:F,""),
_xlpm.MacVal,_xlfn.XLOOKUP($A433,Output_Mac!$A:$A,Output_Mac!E:E,""),
_xlpm.MyAuditVal,_xlfn.XLOOKUP($A433,My_Audit!$A:$A,My_Audit!E:E,""),
_xlfn.IFS(_xlpm.MyAuditVal&lt;&gt;"",_xlpm.MyAuditVal,_xlpm.MacVal&lt;&gt;"",_xlpm.MacVal,_xlpm.CSVVal&lt;&gt;"",_xlpm.CSVVal
)),"")</f>
        <v/>
      </c>
      <c r="G433" s="2" t="str" cm="1">
        <f t="array" ref="G433">IFERROR(_xlfn.LET(
_xlpm.CSVVal,_xlfn.XLOOKUP($A433,CSV!$A:$A,CSV!G:G,""),
_xlpm.MacVal,_xlfn.XLOOKUP($A433,Output_Mac!$A:$A,Output_Mac!F:F,""),
_xlpm.MyAuditVal,_xlfn.XLOOKUP($A433,My_Audit!$A:$A,My_Audit!F:F,""),
_xlfn.IFS(_xlpm.MyAuditVal&lt;&gt;"",_xlpm.MyAuditVal,_xlpm.MacVal&lt;&gt;"",_xlpm.MacVal,_xlpm.CSVVal&lt;&gt;"",PROPER(_xlpm.CSVVal)
)),"")</f>
        <v/>
      </c>
      <c r="H433" s="2" t="str" cm="1">
        <f t="array" ref="H433">IFERROR(_xlfn.LET(
_xlpm.CSVVal,_xlfn.XLOOKUP($A433,CSV!$A:$A,CSV!H:H,""),
_xlpm.MacVal,_xlfn.XLOOKUP($A433,Output_Mac!$A:$A,Output_Mac!H:H,""),
_xlpm.MyAuditVal,_xlfn.XLOOKUP($A433,My_Audit!$A:$A,My_Audit!G:G,""),
_xlfn.IFS(_xlpm.MyAuditVal&lt;&gt;"",_xlpm.MyAuditVal,_xlpm.MacVal&lt;&gt;"",_xlpm.MacVal,_xlpm.CSVVal&lt;&gt;"",_xlpm.CSVVal
)),"")</f>
        <v/>
      </c>
      <c r="I433" s="2" t="str">
        <f>_xlfn.XLOOKUP(A433,Output_Mac!A:A,Output_Mac!I:I,"")</f>
        <v/>
      </c>
      <c r="J433" s="2" t="str" cm="1">
        <f t="array" ref="J433">IFERROR(_xlfn.LET(
_xlpm.CSVVal,_xlfn.XLOOKUP($A433,CSV!$A:$A,CSV!I:I,""),
_xlpm.MacVal,_xlfn.XLOOKUP($A433,Output_Mac!$A:$A,Output_Mac!J:J,""),
_xlpm.MyAuditVal,_xlfn.XLOOKUP($A433,My_Audit!$A:$A,My_Audit!I:I,""),
_xlfn.IFS(_xlpm.MyAuditVal&lt;&gt;"",UPPER(_xlpm.MyAuditVal),_xlpm.MacVal&lt;&gt;"",_xlpm.MacVal,_xlpm.CSVVal&lt;&gt;"",_xlpm.CSVVal
)),"")</f>
        <v/>
      </c>
      <c r="K433" s="2" t="str" cm="1">
        <f t="array" ref="K433">IFERROR(_xlfn.LET(
_xlpm.CSVVal,_xlfn.XLOOKUP($A433,CSV!$A:$A,CSV!K:K,""),
_xlpm.MacVal,_xlfn.XLOOKUP($A433,Output_Mac!$A:$A,Output_Mac!K:K,""),
_xlpm.MyAuditVal,_xlfn.XLOOKUP($A433,My_Audit!$A:$A,My_Audit!J:J,""),
_xlfn.IFS(_xlpm.MyAuditVal&lt;&gt;"",UPPER(_xlpm.MyAuditVal),_xlpm.MacVal&lt;&gt;"",_xlpm.MacVal,_xlpm.CSVVal&lt;&gt;"",_xlpm.CSVVal
)),"")</f>
        <v/>
      </c>
      <c r="L433" s="2" t="str" cm="1">
        <f t="array" ref="L433">IFERROR(_xlfn.LET(
_xlpm.CSVVal,_xlfn.XLOOKUP($A433,CSV!$A:$A,CSV!P:P,""),
_xlpm.MacVal,_xlfn.XLOOKUP($A433,Output_Mac!$A:$A,Output_Mac!L:L,""),
_xlpm.MyAuditVal,_xlfn.XLOOKUP($A433,My_Audit!$A:$A,My_Audit!K:K,""),
_xlfn.IFS(_xlpm.MyAuditVal&lt;&gt;"",UPPER(_xlpm.MyAuditVal),_xlpm.MacVal&lt;&gt;"",_xlpm.MacVal,_xlpm.CSVVal&lt;&gt;"",_xlpm.CSVVal
)),"")</f>
        <v/>
      </c>
      <c r="M433" s="2" t="str" cm="1">
        <f t="array" ref="M433">IFERROR(_xlfn.LET(
_xlpm.CSVVal,_xlfn.XLOOKUP($A433,CSV!$A:$A,CSV!Q:Q,""),
_xlpm.MacVal,_xlfn.XLOOKUP($A433,Output_Mac!$A:$A,Output_Mac!M:M,""),
_xlpm.MyAuditVal,_xlfn.XLOOKUP($A433,My_Audit!$A:$A,My_Audit!L:L,""),
_xlfn.IFS(_xlpm.MyAuditVal&lt;&gt;"",UPPER(_xlpm.MyAuditVal),_xlpm.MacVal&lt;&gt;"",_xlpm.MacVal,_xlpm.CSVVal&lt;&gt;"",_xlpm.CSVVal
)),"")</f>
        <v/>
      </c>
      <c r="O433" s="2" t="str">
        <f>_xlfn.LET(
    _xlpm.CSVVal, _xlfn.XLOOKUP($A433, CSV!$A:$A, CSV!AF:AF, ""),
    _xlpm.MacVal, _xlfn.XLOOKUP($A433, Output_Mac!$A:$A, Output_Mac!S:S, ""),
    _xlpm.MyAuditVal, _xlfn.XLOOKUP($A433, My_Audit!$A:$A, My_Audit!P:P, ""),
    _xlfn.TEXTJOIN(", ", TRUE, _xlpm.MyAuditVal, _xlpm.MacVal, _xlpm.CSVVal)
)</f>
        <v/>
      </c>
      <c r="P433" s="2" t="str" cm="1">
        <f t="array" ref="P433">IFERROR(_xlfn.LET(
_xlpm.CSVVal,_xlfn.XLOOKUP($A433,CSV!$A:$A,CSV!AG:AG,""),
_xlpm.MacVal,_xlfn.XLOOKUP($A433,Output_Mac!$A:$A,Output_Mac!T:T,""),
_xlpm.MyAuditVal,_xlfn.XLOOKUP($A433,My_Audit!$A:$A,My_Audit!Q:Q,""),
_xlfn.IFS(_xlpm.MyAuditVal&lt;&gt;"",UPPER(_xlpm.MyAuditVal),_xlpm.MacVal&lt;&gt;"",_xlpm.MacVal,_xlpm.CSVVal&lt;&gt;"",_xlpm.CSVVal
)),"No")</f>
        <v>No</v>
      </c>
      <c r="Q433" s="2" t="str" cm="1">
        <f t="array" ref="Q433">IFERROR(_xlfn.LET(
_xlpm.CSVVal,_xlfn.XLOOKUP($A433,CSV!$A:$A,CSV!AH:AH,""),
_xlpm.MacVal,_xlfn.XLOOKUP($A433,Output_Mac!$A:$A,Output_Mac!U:U,""),
_xlpm.MyAuditVal,_xlfn.XLOOKUP($A433,My_Audit!$A:$A,My_Audit!R:R,""),
_xlfn.IFS(_xlpm.MyAuditVal&lt;&gt;"",UPPER(_xlpm.MyAuditVal),_xlpm.MacVal&lt;&gt;"",_xlpm.MacVal,_xlpm.CSVVal&lt;&gt;"",_xlpm.CSVVal
)),"")</f>
        <v/>
      </c>
    </row>
    <row r="434" spans="1:17">
      <c r="A434" s="2" t="str">
        <f>_xlfn.TEXTJOIN("",TRUE,Input!$B$2,ROW(My_Audit!A433))</f>
        <v>XX433</v>
      </c>
      <c r="B434" s="2" t="str">
        <f>_xlfn.TEXTJOIN("-",TRUE,"ITD",Input!$A$2,A434)</f>
        <v>ITD-SHRXXX-XX433</v>
      </c>
      <c r="C434" s="2" t="str" cm="1">
        <f t="array" ref="C434">IFERROR(_xlfn.LET(
_xlpm.CSVVal,_xlfn.XLOOKUP($A434,CSV!$A:$A,CSV!B:B,""),
_xlpm.MacVal,_xlfn.XLOOKUP($A434,Output_Mac!$A:$A,Output_Mac!B:B,""),
_xlpm.MyAuditVal,_xlfn.XLOOKUP($A434,My_Audit!$A:$A,My_Audit!B:B,""),
_xlfn.IFS(_xlpm.MyAuditVal&lt;&gt;"",UPPER(_xlpm.MyAuditVal),_xlpm.MacVal&lt;&gt;"",_xlpm.MacVal,_xlpm.CSVVal&lt;&gt;"",_xlpm.CSVVal
)),"")</f>
        <v/>
      </c>
      <c r="D434" s="2" t="str" cm="1">
        <f t="array" ref="D434">IFERROR(_xlfn.LET(
_xlpm.CSVVal,_xlfn.XLOOKUP($A434,CSV!$A:$A,CSV!D:D,""),
_xlpm.MacVal,_xlfn.XLOOKUP($A434,Output_Mac!$A:$A,Output_Mac!C:C,""),
_xlpm.MyAuditVal,_xlfn.XLOOKUP($A434,My_Audit!$A:$A,My_Audit!C:C,""),
_xlfn.IFS(_xlpm.MyAuditVal&lt;&gt;"",_xlpm.MyAuditVal,_xlpm.MacVal&lt;&gt;"",_xlpm.MacVal,_xlpm.CSVVal&lt;&gt;"",_xlpm.CSVVal
)),"")</f>
        <v/>
      </c>
      <c r="E434" s="2" t="str">
        <f>_xlfn.XLOOKUP(A434,My_Audit!A:A,My_Audit!D:D,"")&amp;""</f>
        <v/>
      </c>
      <c r="F434" s="2" t="str" cm="1">
        <f t="array" ref="F434">IFERROR(_xlfn.LET(
_xlpm.CSVVal,_xlfn.XLOOKUP($A434,CSV!$A:$A,CSV!F:F,""),
_xlpm.MacVal,_xlfn.XLOOKUP($A434,Output_Mac!$A:$A,Output_Mac!E:E,""),
_xlpm.MyAuditVal,_xlfn.XLOOKUP($A434,My_Audit!$A:$A,My_Audit!E:E,""),
_xlfn.IFS(_xlpm.MyAuditVal&lt;&gt;"",_xlpm.MyAuditVal,_xlpm.MacVal&lt;&gt;"",_xlpm.MacVal,_xlpm.CSVVal&lt;&gt;"",_xlpm.CSVVal
)),"")</f>
        <v/>
      </c>
      <c r="G434" s="2" t="str" cm="1">
        <f t="array" ref="G434">IFERROR(_xlfn.LET(
_xlpm.CSVVal,_xlfn.XLOOKUP($A434,CSV!$A:$A,CSV!G:G,""),
_xlpm.MacVal,_xlfn.XLOOKUP($A434,Output_Mac!$A:$A,Output_Mac!F:F,""),
_xlpm.MyAuditVal,_xlfn.XLOOKUP($A434,My_Audit!$A:$A,My_Audit!F:F,""),
_xlfn.IFS(_xlpm.MyAuditVal&lt;&gt;"",_xlpm.MyAuditVal,_xlpm.MacVal&lt;&gt;"",_xlpm.MacVal,_xlpm.CSVVal&lt;&gt;"",PROPER(_xlpm.CSVVal)
)),"")</f>
        <v/>
      </c>
      <c r="H434" s="2" t="str" cm="1">
        <f t="array" ref="H434">IFERROR(_xlfn.LET(
_xlpm.CSVVal,_xlfn.XLOOKUP($A434,CSV!$A:$A,CSV!H:H,""),
_xlpm.MacVal,_xlfn.XLOOKUP($A434,Output_Mac!$A:$A,Output_Mac!H:H,""),
_xlpm.MyAuditVal,_xlfn.XLOOKUP($A434,My_Audit!$A:$A,My_Audit!G:G,""),
_xlfn.IFS(_xlpm.MyAuditVal&lt;&gt;"",_xlpm.MyAuditVal,_xlpm.MacVal&lt;&gt;"",_xlpm.MacVal,_xlpm.CSVVal&lt;&gt;"",_xlpm.CSVVal
)),"")</f>
        <v/>
      </c>
      <c r="I434" s="2" t="str">
        <f>_xlfn.XLOOKUP(A434,Output_Mac!A:A,Output_Mac!I:I,"")</f>
        <v/>
      </c>
      <c r="J434" s="2" t="str" cm="1">
        <f t="array" ref="J434">IFERROR(_xlfn.LET(
_xlpm.CSVVal,_xlfn.XLOOKUP($A434,CSV!$A:$A,CSV!I:I,""),
_xlpm.MacVal,_xlfn.XLOOKUP($A434,Output_Mac!$A:$A,Output_Mac!J:J,""),
_xlpm.MyAuditVal,_xlfn.XLOOKUP($A434,My_Audit!$A:$A,My_Audit!I:I,""),
_xlfn.IFS(_xlpm.MyAuditVal&lt;&gt;"",UPPER(_xlpm.MyAuditVal),_xlpm.MacVal&lt;&gt;"",_xlpm.MacVal,_xlpm.CSVVal&lt;&gt;"",_xlpm.CSVVal
)),"")</f>
        <v/>
      </c>
      <c r="K434" s="2" t="str" cm="1">
        <f t="array" ref="K434">IFERROR(_xlfn.LET(
_xlpm.CSVVal,_xlfn.XLOOKUP($A434,CSV!$A:$A,CSV!K:K,""),
_xlpm.MacVal,_xlfn.XLOOKUP($A434,Output_Mac!$A:$A,Output_Mac!K:K,""),
_xlpm.MyAuditVal,_xlfn.XLOOKUP($A434,My_Audit!$A:$A,My_Audit!J:J,""),
_xlfn.IFS(_xlpm.MyAuditVal&lt;&gt;"",UPPER(_xlpm.MyAuditVal),_xlpm.MacVal&lt;&gt;"",_xlpm.MacVal,_xlpm.CSVVal&lt;&gt;"",_xlpm.CSVVal
)),"")</f>
        <v/>
      </c>
      <c r="L434" s="2" t="str" cm="1">
        <f t="array" ref="L434">IFERROR(_xlfn.LET(
_xlpm.CSVVal,_xlfn.XLOOKUP($A434,CSV!$A:$A,CSV!P:P,""),
_xlpm.MacVal,_xlfn.XLOOKUP($A434,Output_Mac!$A:$A,Output_Mac!L:L,""),
_xlpm.MyAuditVal,_xlfn.XLOOKUP($A434,My_Audit!$A:$A,My_Audit!K:K,""),
_xlfn.IFS(_xlpm.MyAuditVal&lt;&gt;"",UPPER(_xlpm.MyAuditVal),_xlpm.MacVal&lt;&gt;"",_xlpm.MacVal,_xlpm.CSVVal&lt;&gt;"",_xlpm.CSVVal
)),"")</f>
        <v/>
      </c>
      <c r="M434" s="2" t="str" cm="1">
        <f t="array" ref="M434">IFERROR(_xlfn.LET(
_xlpm.CSVVal,_xlfn.XLOOKUP($A434,CSV!$A:$A,CSV!Q:Q,""),
_xlpm.MacVal,_xlfn.XLOOKUP($A434,Output_Mac!$A:$A,Output_Mac!M:M,""),
_xlpm.MyAuditVal,_xlfn.XLOOKUP($A434,My_Audit!$A:$A,My_Audit!L:L,""),
_xlfn.IFS(_xlpm.MyAuditVal&lt;&gt;"",UPPER(_xlpm.MyAuditVal),_xlpm.MacVal&lt;&gt;"",_xlpm.MacVal,_xlpm.CSVVal&lt;&gt;"",_xlpm.CSVVal
)),"")</f>
        <v/>
      </c>
      <c r="O434" s="2" t="str">
        <f>_xlfn.LET(
    _xlpm.CSVVal, _xlfn.XLOOKUP($A434, CSV!$A:$A, CSV!AF:AF, ""),
    _xlpm.MacVal, _xlfn.XLOOKUP($A434, Output_Mac!$A:$A, Output_Mac!S:S, ""),
    _xlpm.MyAuditVal, _xlfn.XLOOKUP($A434, My_Audit!$A:$A, My_Audit!P:P, ""),
    _xlfn.TEXTJOIN(", ", TRUE, _xlpm.MyAuditVal, _xlpm.MacVal, _xlpm.CSVVal)
)</f>
        <v/>
      </c>
      <c r="P434" s="2" t="str" cm="1">
        <f t="array" ref="P434">IFERROR(_xlfn.LET(
_xlpm.CSVVal,_xlfn.XLOOKUP($A434,CSV!$A:$A,CSV!AG:AG,""),
_xlpm.MacVal,_xlfn.XLOOKUP($A434,Output_Mac!$A:$A,Output_Mac!T:T,""),
_xlpm.MyAuditVal,_xlfn.XLOOKUP($A434,My_Audit!$A:$A,My_Audit!Q:Q,""),
_xlfn.IFS(_xlpm.MyAuditVal&lt;&gt;"",UPPER(_xlpm.MyAuditVal),_xlpm.MacVal&lt;&gt;"",_xlpm.MacVal,_xlpm.CSVVal&lt;&gt;"",_xlpm.CSVVal
)),"No")</f>
        <v>No</v>
      </c>
      <c r="Q434" s="2" t="str" cm="1">
        <f t="array" ref="Q434">IFERROR(_xlfn.LET(
_xlpm.CSVVal,_xlfn.XLOOKUP($A434,CSV!$A:$A,CSV!AH:AH,""),
_xlpm.MacVal,_xlfn.XLOOKUP($A434,Output_Mac!$A:$A,Output_Mac!U:U,""),
_xlpm.MyAuditVal,_xlfn.XLOOKUP($A434,My_Audit!$A:$A,My_Audit!R:R,""),
_xlfn.IFS(_xlpm.MyAuditVal&lt;&gt;"",UPPER(_xlpm.MyAuditVal),_xlpm.MacVal&lt;&gt;"",_xlpm.MacVal,_xlpm.CSVVal&lt;&gt;"",_xlpm.CSVVal
)),"")</f>
        <v/>
      </c>
    </row>
    <row r="435" spans="1:17">
      <c r="A435" s="2" t="str">
        <f>_xlfn.TEXTJOIN("",TRUE,Input!$B$2,ROW(My_Audit!A434))</f>
        <v>XX434</v>
      </c>
      <c r="B435" s="2" t="str">
        <f>_xlfn.TEXTJOIN("-",TRUE,"ITD",Input!$A$2,A435)</f>
        <v>ITD-SHRXXX-XX434</v>
      </c>
      <c r="C435" s="2" t="str" cm="1">
        <f t="array" ref="C435">IFERROR(_xlfn.LET(
_xlpm.CSVVal,_xlfn.XLOOKUP($A435,CSV!$A:$A,CSV!B:B,""),
_xlpm.MacVal,_xlfn.XLOOKUP($A435,Output_Mac!$A:$A,Output_Mac!B:B,""),
_xlpm.MyAuditVal,_xlfn.XLOOKUP($A435,My_Audit!$A:$A,My_Audit!B:B,""),
_xlfn.IFS(_xlpm.MyAuditVal&lt;&gt;"",UPPER(_xlpm.MyAuditVal),_xlpm.MacVal&lt;&gt;"",_xlpm.MacVal,_xlpm.CSVVal&lt;&gt;"",_xlpm.CSVVal
)),"")</f>
        <v/>
      </c>
      <c r="D435" s="2" t="str" cm="1">
        <f t="array" ref="D435">IFERROR(_xlfn.LET(
_xlpm.CSVVal,_xlfn.XLOOKUP($A435,CSV!$A:$A,CSV!D:D,""),
_xlpm.MacVal,_xlfn.XLOOKUP($A435,Output_Mac!$A:$A,Output_Mac!C:C,""),
_xlpm.MyAuditVal,_xlfn.XLOOKUP($A435,My_Audit!$A:$A,My_Audit!C:C,""),
_xlfn.IFS(_xlpm.MyAuditVal&lt;&gt;"",_xlpm.MyAuditVal,_xlpm.MacVal&lt;&gt;"",_xlpm.MacVal,_xlpm.CSVVal&lt;&gt;"",_xlpm.CSVVal
)),"")</f>
        <v/>
      </c>
      <c r="E435" s="2" t="str">
        <f>_xlfn.XLOOKUP(A435,My_Audit!A:A,My_Audit!D:D,"")&amp;""</f>
        <v/>
      </c>
      <c r="F435" s="2" t="str" cm="1">
        <f t="array" ref="F435">IFERROR(_xlfn.LET(
_xlpm.CSVVal,_xlfn.XLOOKUP($A435,CSV!$A:$A,CSV!F:F,""),
_xlpm.MacVal,_xlfn.XLOOKUP($A435,Output_Mac!$A:$A,Output_Mac!E:E,""),
_xlpm.MyAuditVal,_xlfn.XLOOKUP($A435,My_Audit!$A:$A,My_Audit!E:E,""),
_xlfn.IFS(_xlpm.MyAuditVal&lt;&gt;"",_xlpm.MyAuditVal,_xlpm.MacVal&lt;&gt;"",_xlpm.MacVal,_xlpm.CSVVal&lt;&gt;"",_xlpm.CSVVal
)),"")</f>
        <v/>
      </c>
      <c r="G435" s="2" t="str" cm="1">
        <f t="array" ref="G435">IFERROR(_xlfn.LET(
_xlpm.CSVVal,_xlfn.XLOOKUP($A435,CSV!$A:$A,CSV!G:G,""),
_xlpm.MacVal,_xlfn.XLOOKUP($A435,Output_Mac!$A:$A,Output_Mac!F:F,""),
_xlpm.MyAuditVal,_xlfn.XLOOKUP($A435,My_Audit!$A:$A,My_Audit!F:F,""),
_xlfn.IFS(_xlpm.MyAuditVal&lt;&gt;"",_xlpm.MyAuditVal,_xlpm.MacVal&lt;&gt;"",_xlpm.MacVal,_xlpm.CSVVal&lt;&gt;"",PROPER(_xlpm.CSVVal)
)),"")</f>
        <v/>
      </c>
      <c r="H435" s="2" t="str" cm="1">
        <f t="array" ref="H435">IFERROR(_xlfn.LET(
_xlpm.CSVVal,_xlfn.XLOOKUP($A435,CSV!$A:$A,CSV!H:H,""),
_xlpm.MacVal,_xlfn.XLOOKUP($A435,Output_Mac!$A:$A,Output_Mac!H:H,""),
_xlpm.MyAuditVal,_xlfn.XLOOKUP($A435,My_Audit!$A:$A,My_Audit!G:G,""),
_xlfn.IFS(_xlpm.MyAuditVal&lt;&gt;"",_xlpm.MyAuditVal,_xlpm.MacVal&lt;&gt;"",_xlpm.MacVal,_xlpm.CSVVal&lt;&gt;"",_xlpm.CSVVal
)),"")</f>
        <v/>
      </c>
      <c r="I435" s="2" t="str">
        <f>_xlfn.XLOOKUP(A435,Output_Mac!A:A,Output_Mac!I:I,"")</f>
        <v/>
      </c>
      <c r="J435" s="2" t="str" cm="1">
        <f t="array" ref="J435">IFERROR(_xlfn.LET(
_xlpm.CSVVal,_xlfn.XLOOKUP($A435,CSV!$A:$A,CSV!I:I,""),
_xlpm.MacVal,_xlfn.XLOOKUP($A435,Output_Mac!$A:$A,Output_Mac!J:J,""),
_xlpm.MyAuditVal,_xlfn.XLOOKUP($A435,My_Audit!$A:$A,My_Audit!I:I,""),
_xlfn.IFS(_xlpm.MyAuditVal&lt;&gt;"",UPPER(_xlpm.MyAuditVal),_xlpm.MacVal&lt;&gt;"",_xlpm.MacVal,_xlpm.CSVVal&lt;&gt;"",_xlpm.CSVVal
)),"")</f>
        <v/>
      </c>
      <c r="K435" s="2" t="str" cm="1">
        <f t="array" ref="K435">IFERROR(_xlfn.LET(
_xlpm.CSVVal,_xlfn.XLOOKUP($A435,CSV!$A:$A,CSV!K:K,""),
_xlpm.MacVal,_xlfn.XLOOKUP($A435,Output_Mac!$A:$A,Output_Mac!K:K,""),
_xlpm.MyAuditVal,_xlfn.XLOOKUP($A435,My_Audit!$A:$A,My_Audit!J:J,""),
_xlfn.IFS(_xlpm.MyAuditVal&lt;&gt;"",UPPER(_xlpm.MyAuditVal),_xlpm.MacVal&lt;&gt;"",_xlpm.MacVal,_xlpm.CSVVal&lt;&gt;"",_xlpm.CSVVal
)),"")</f>
        <v/>
      </c>
      <c r="L435" s="2" t="str" cm="1">
        <f t="array" ref="L435">IFERROR(_xlfn.LET(
_xlpm.CSVVal,_xlfn.XLOOKUP($A435,CSV!$A:$A,CSV!P:P,""),
_xlpm.MacVal,_xlfn.XLOOKUP($A435,Output_Mac!$A:$A,Output_Mac!L:L,""),
_xlpm.MyAuditVal,_xlfn.XLOOKUP($A435,My_Audit!$A:$A,My_Audit!K:K,""),
_xlfn.IFS(_xlpm.MyAuditVal&lt;&gt;"",UPPER(_xlpm.MyAuditVal),_xlpm.MacVal&lt;&gt;"",_xlpm.MacVal,_xlpm.CSVVal&lt;&gt;"",_xlpm.CSVVal
)),"")</f>
        <v/>
      </c>
      <c r="M435" s="2" t="str" cm="1">
        <f t="array" ref="M435">IFERROR(_xlfn.LET(
_xlpm.CSVVal,_xlfn.XLOOKUP($A435,CSV!$A:$A,CSV!Q:Q,""),
_xlpm.MacVal,_xlfn.XLOOKUP($A435,Output_Mac!$A:$A,Output_Mac!M:M,""),
_xlpm.MyAuditVal,_xlfn.XLOOKUP($A435,My_Audit!$A:$A,My_Audit!L:L,""),
_xlfn.IFS(_xlpm.MyAuditVal&lt;&gt;"",UPPER(_xlpm.MyAuditVal),_xlpm.MacVal&lt;&gt;"",_xlpm.MacVal,_xlpm.CSVVal&lt;&gt;"",_xlpm.CSVVal
)),"")</f>
        <v/>
      </c>
      <c r="O435" s="2" t="str">
        <f>_xlfn.LET(
    _xlpm.CSVVal, _xlfn.XLOOKUP($A435, CSV!$A:$A, CSV!AF:AF, ""),
    _xlpm.MacVal, _xlfn.XLOOKUP($A435, Output_Mac!$A:$A, Output_Mac!S:S, ""),
    _xlpm.MyAuditVal, _xlfn.XLOOKUP($A435, My_Audit!$A:$A, My_Audit!P:P, ""),
    _xlfn.TEXTJOIN(", ", TRUE, _xlpm.MyAuditVal, _xlpm.MacVal, _xlpm.CSVVal)
)</f>
        <v/>
      </c>
      <c r="P435" s="2" t="str" cm="1">
        <f t="array" ref="P435">IFERROR(_xlfn.LET(
_xlpm.CSVVal,_xlfn.XLOOKUP($A435,CSV!$A:$A,CSV!AG:AG,""),
_xlpm.MacVal,_xlfn.XLOOKUP($A435,Output_Mac!$A:$A,Output_Mac!T:T,""),
_xlpm.MyAuditVal,_xlfn.XLOOKUP($A435,My_Audit!$A:$A,My_Audit!Q:Q,""),
_xlfn.IFS(_xlpm.MyAuditVal&lt;&gt;"",UPPER(_xlpm.MyAuditVal),_xlpm.MacVal&lt;&gt;"",_xlpm.MacVal,_xlpm.CSVVal&lt;&gt;"",_xlpm.CSVVal
)),"No")</f>
        <v>No</v>
      </c>
      <c r="Q435" s="2" t="str" cm="1">
        <f t="array" ref="Q435">IFERROR(_xlfn.LET(
_xlpm.CSVVal,_xlfn.XLOOKUP($A435,CSV!$A:$A,CSV!AH:AH,""),
_xlpm.MacVal,_xlfn.XLOOKUP($A435,Output_Mac!$A:$A,Output_Mac!U:U,""),
_xlpm.MyAuditVal,_xlfn.XLOOKUP($A435,My_Audit!$A:$A,My_Audit!R:R,""),
_xlfn.IFS(_xlpm.MyAuditVal&lt;&gt;"",UPPER(_xlpm.MyAuditVal),_xlpm.MacVal&lt;&gt;"",_xlpm.MacVal,_xlpm.CSVVal&lt;&gt;"",_xlpm.CSVVal
)),"")</f>
        <v/>
      </c>
    </row>
    <row r="436" spans="1:17">
      <c r="A436" s="2" t="str">
        <f>_xlfn.TEXTJOIN("",TRUE,Input!$B$2,ROW(My_Audit!A435))</f>
        <v>XX435</v>
      </c>
      <c r="B436" s="2" t="str">
        <f>_xlfn.TEXTJOIN("-",TRUE,"ITD",Input!$A$2,A436)</f>
        <v>ITD-SHRXXX-XX435</v>
      </c>
      <c r="C436" s="2" t="str" cm="1">
        <f t="array" ref="C436">IFERROR(_xlfn.LET(
_xlpm.CSVVal,_xlfn.XLOOKUP($A436,CSV!$A:$A,CSV!B:B,""),
_xlpm.MacVal,_xlfn.XLOOKUP($A436,Output_Mac!$A:$A,Output_Mac!B:B,""),
_xlpm.MyAuditVal,_xlfn.XLOOKUP($A436,My_Audit!$A:$A,My_Audit!B:B,""),
_xlfn.IFS(_xlpm.MyAuditVal&lt;&gt;"",UPPER(_xlpm.MyAuditVal),_xlpm.MacVal&lt;&gt;"",_xlpm.MacVal,_xlpm.CSVVal&lt;&gt;"",_xlpm.CSVVal
)),"")</f>
        <v/>
      </c>
      <c r="D436" s="2" t="str" cm="1">
        <f t="array" ref="D436">IFERROR(_xlfn.LET(
_xlpm.CSVVal,_xlfn.XLOOKUP($A436,CSV!$A:$A,CSV!D:D,""),
_xlpm.MacVal,_xlfn.XLOOKUP($A436,Output_Mac!$A:$A,Output_Mac!C:C,""),
_xlpm.MyAuditVal,_xlfn.XLOOKUP($A436,My_Audit!$A:$A,My_Audit!C:C,""),
_xlfn.IFS(_xlpm.MyAuditVal&lt;&gt;"",_xlpm.MyAuditVal,_xlpm.MacVal&lt;&gt;"",_xlpm.MacVal,_xlpm.CSVVal&lt;&gt;"",_xlpm.CSVVal
)),"")</f>
        <v/>
      </c>
      <c r="E436" s="2" t="str">
        <f>_xlfn.XLOOKUP(A436,My_Audit!A:A,My_Audit!D:D,"")&amp;""</f>
        <v/>
      </c>
      <c r="F436" s="2" t="str" cm="1">
        <f t="array" ref="F436">IFERROR(_xlfn.LET(
_xlpm.CSVVal,_xlfn.XLOOKUP($A436,CSV!$A:$A,CSV!F:F,""),
_xlpm.MacVal,_xlfn.XLOOKUP($A436,Output_Mac!$A:$A,Output_Mac!E:E,""),
_xlpm.MyAuditVal,_xlfn.XLOOKUP($A436,My_Audit!$A:$A,My_Audit!E:E,""),
_xlfn.IFS(_xlpm.MyAuditVal&lt;&gt;"",_xlpm.MyAuditVal,_xlpm.MacVal&lt;&gt;"",_xlpm.MacVal,_xlpm.CSVVal&lt;&gt;"",_xlpm.CSVVal
)),"")</f>
        <v/>
      </c>
      <c r="G436" s="2" t="str" cm="1">
        <f t="array" ref="G436">IFERROR(_xlfn.LET(
_xlpm.CSVVal,_xlfn.XLOOKUP($A436,CSV!$A:$A,CSV!G:G,""),
_xlpm.MacVal,_xlfn.XLOOKUP($A436,Output_Mac!$A:$A,Output_Mac!F:F,""),
_xlpm.MyAuditVal,_xlfn.XLOOKUP($A436,My_Audit!$A:$A,My_Audit!F:F,""),
_xlfn.IFS(_xlpm.MyAuditVal&lt;&gt;"",_xlpm.MyAuditVal,_xlpm.MacVal&lt;&gt;"",_xlpm.MacVal,_xlpm.CSVVal&lt;&gt;"",PROPER(_xlpm.CSVVal)
)),"")</f>
        <v/>
      </c>
      <c r="H436" s="2" t="str" cm="1">
        <f t="array" ref="H436">IFERROR(_xlfn.LET(
_xlpm.CSVVal,_xlfn.XLOOKUP($A436,CSV!$A:$A,CSV!H:H,""),
_xlpm.MacVal,_xlfn.XLOOKUP($A436,Output_Mac!$A:$A,Output_Mac!H:H,""),
_xlpm.MyAuditVal,_xlfn.XLOOKUP($A436,My_Audit!$A:$A,My_Audit!G:G,""),
_xlfn.IFS(_xlpm.MyAuditVal&lt;&gt;"",_xlpm.MyAuditVal,_xlpm.MacVal&lt;&gt;"",_xlpm.MacVal,_xlpm.CSVVal&lt;&gt;"",_xlpm.CSVVal
)),"")</f>
        <v/>
      </c>
      <c r="I436" s="2" t="str">
        <f>_xlfn.XLOOKUP(A436,Output_Mac!A:A,Output_Mac!I:I,"")</f>
        <v/>
      </c>
      <c r="J436" s="2" t="str" cm="1">
        <f t="array" ref="J436">IFERROR(_xlfn.LET(
_xlpm.CSVVal,_xlfn.XLOOKUP($A436,CSV!$A:$A,CSV!I:I,""),
_xlpm.MacVal,_xlfn.XLOOKUP($A436,Output_Mac!$A:$A,Output_Mac!J:J,""),
_xlpm.MyAuditVal,_xlfn.XLOOKUP($A436,My_Audit!$A:$A,My_Audit!I:I,""),
_xlfn.IFS(_xlpm.MyAuditVal&lt;&gt;"",UPPER(_xlpm.MyAuditVal),_xlpm.MacVal&lt;&gt;"",_xlpm.MacVal,_xlpm.CSVVal&lt;&gt;"",_xlpm.CSVVal
)),"")</f>
        <v/>
      </c>
      <c r="K436" s="2" t="str" cm="1">
        <f t="array" ref="K436">IFERROR(_xlfn.LET(
_xlpm.CSVVal,_xlfn.XLOOKUP($A436,CSV!$A:$A,CSV!K:K,""),
_xlpm.MacVal,_xlfn.XLOOKUP($A436,Output_Mac!$A:$A,Output_Mac!K:K,""),
_xlpm.MyAuditVal,_xlfn.XLOOKUP($A436,My_Audit!$A:$A,My_Audit!J:J,""),
_xlfn.IFS(_xlpm.MyAuditVal&lt;&gt;"",UPPER(_xlpm.MyAuditVal),_xlpm.MacVal&lt;&gt;"",_xlpm.MacVal,_xlpm.CSVVal&lt;&gt;"",_xlpm.CSVVal
)),"")</f>
        <v/>
      </c>
      <c r="L436" s="2" t="str" cm="1">
        <f t="array" ref="L436">IFERROR(_xlfn.LET(
_xlpm.CSVVal,_xlfn.XLOOKUP($A436,CSV!$A:$A,CSV!P:P,""),
_xlpm.MacVal,_xlfn.XLOOKUP($A436,Output_Mac!$A:$A,Output_Mac!L:L,""),
_xlpm.MyAuditVal,_xlfn.XLOOKUP($A436,My_Audit!$A:$A,My_Audit!K:K,""),
_xlfn.IFS(_xlpm.MyAuditVal&lt;&gt;"",UPPER(_xlpm.MyAuditVal),_xlpm.MacVal&lt;&gt;"",_xlpm.MacVal,_xlpm.CSVVal&lt;&gt;"",_xlpm.CSVVal
)),"")</f>
        <v/>
      </c>
      <c r="M436" s="2" t="str" cm="1">
        <f t="array" ref="M436">IFERROR(_xlfn.LET(
_xlpm.CSVVal,_xlfn.XLOOKUP($A436,CSV!$A:$A,CSV!Q:Q,""),
_xlpm.MacVal,_xlfn.XLOOKUP($A436,Output_Mac!$A:$A,Output_Mac!M:M,""),
_xlpm.MyAuditVal,_xlfn.XLOOKUP($A436,My_Audit!$A:$A,My_Audit!L:L,""),
_xlfn.IFS(_xlpm.MyAuditVal&lt;&gt;"",UPPER(_xlpm.MyAuditVal),_xlpm.MacVal&lt;&gt;"",_xlpm.MacVal,_xlpm.CSVVal&lt;&gt;"",_xlpm.CSVVal
)),"")</f>
        <v/>
      </c>
      <c r="O436" s="2" t="str">
        <f>_xlfn.LET(
    _xlpm.CSVVal, _xlfn.XLOOKUP($A436, CSV!$A:$A, CSV!AF:AF, ""),
    _xlpm.MacVal, _xlfn.XLOOKUP($A436, Output_Mac!$A:$A, Output_Mac!S:S, ""),
    _xlpm.MyAuditVal, _xlfn.XLOOKUP($A436, My_Audit!$A:$A, My_Audit!P:P, ""),
    _xlfn.TEXTJOIN(", ", TRUE, _xlpm.MyAuditVal, _xlpm.MacVal, _xlpm.CSVVal)
)</f>
        <v/>
      </c>
      <c r="P436" s="2" t="str" cm="1">
        <f t="array" ref="P436">IFERROR(_xlfn.LET(
_xlpm.CSVVal,_xlfn.XLOOKUP($A436,CSV!$A:$A,CSV!AG:AG,""),
_xlpm.MacVal,_xlfn.XLOOKUP($A436,Output_Mac!$A:$A,Output_Mac!T:T,""),
_xlpm.MyAuditVal,_xlfn.XLOOKUP($A436,My_Audit!$A:$A,My_Audit!Q:Q,""),
_xlfn.IFS(_xlpm.MyAuditVal&lt;&gt;"",UPPER(_xlpm.MyAuditVal),_xlpm.MacVal&lt;&gt;"",_xlpm.MacVal,_xlpm.CSVVal&lt;&gt;"",_xlpm.CSVVal
)),"No")</f>
        <v>No</v>
      </c>
      <c r="Q436" s="2" t="str" cm="1">
        <f t="array" ref="Q436">IFERROR(_xlfn.LET(
_xlpm.CSVVal,_xlfn.XLOOKUP($A436,CSV!$A:$A,CSV!AH:AH,""),
_xlpm.MacVal,_xlfn.XLOOKUP($A436,Output_Mac!$A:$A,Output_Mac!U:U,""),
_xlpm.MyAuditVal,_xlfn.XLOOKUP($A436,My_Audit!$A:$A,My_Audit!R:R,""),
_xlfn.IFS(_xlpm.MyAuditVal&lt;&gt;"",UPPER(_xlpm.MyAuditVal),_xlpm.MacVal&lt;&gt;"",_xlpm.MacVal,_xlpm.CSVVal&lt;&gt;"",_xlpm.CSVVal
)),"")</f>
        <v/>
      </c>
    </row>
    <row r="437" spans="1:17">
      <c r="A437" s="2" t="str">
        <f>_xlfn.TEXTJOIN("",TRUE,Input!$B$2,ROW(My_Audit!A436))</f>
        <v>XX436</v>
      </c>
      <c r="B437" s="2" t="str">
        <f>_xlfn.TEXTJOIN("-",TRUE,"ITD",Input!$A$2,A437)</f>
        <v>ITD-SHRXXX-XX436</v>
      </c>
      <c r="C437" s="2" t="str" cm="1">
        <f t="array" ref="C437">IFERROR(_xlfn.LET(
_xlpm.CSVVal,_xlfn.XLOOKUP($A437,CSV!$A:$A,CSV!B:B,""),
_xlpm.MacVal,_xlfn.XLOOKUP($A437,Output_Mac!$A:$A,Output_Mac!B:B,""),
_xlpm.MyAuditVal,_xlfn.XLOOKUP($A437,My_Audit!$A:$A,My_Audit!B:B,""),
_xlfn.IFS(_xlpm.MyAuditVal&lt;&gt;"",UPPER(_xlpm.MyAuditVal),_xlpm.MacVal&lt;&gt;"",_xlpm.MacVal,_xlpm.CSVVal&lt;&gt;"",_xlpm.CSVVal
)),"")</f>
        <v/>
      </c>
      <c r="D437" s="2" t="str" cm="1">
        <f t="array" ref="D437">IFERROR(_xlfn.LET(
_xlpm.CSVVal,_xlfn.XLOOKUP($A437,CSV!$A:$A,CSV!D:D,""),
_xlpm.MacVal,_xlfn.XLOOKUP($A437,Output_Mac!$A:$A,Output_Mac!C:C,""),
_xlpm.MyAuditVal,_xlfn.XLOOKUP($A437,My_Audit!$A:$A,My_Audit!C:C,""),
_xlfn.IFS(_xlpm.MyAuditVal&lt;&gt;"",_xlpm.MyAuditVal,_xlpm.MacVal&lt;&gt;"",_xlpm.MacVal,_xlpm.CSVVal&lt;&gt;"",_xlpm.CSVVal
)),"")</f>
        <v/>
      </c>
      <c r="E437" s="2" t="str">
        <f>_xlfn.XLOOKUP(A437,My_Audit!A:A,My_Audit!D:D,"")&amp;""</f>
        <v/>
      </c>
      <c r="F437" s="2" t="str" cm="1">
        <f t="array" ref="F437">IFERROR(_xlfn.LET(
_xlpm.CSVVal,_xlfn.XLOOKUP($A437,CSV!$A:$A,CSV!F:F,""),
_xlpm.MacVal,_xlfn.XLOOKUP($A437,Output_Mac!$A:$A,Output_Mac!E:E,""),
_xlpm.MyAuditVal,_xlfn.XLOOKUP($A437,My_Audit!$A:$A,My_Audit!E:E,""),
_xlfn.IFS(_xlpm.MyAuditVal&lt;&gt;"",_xlpm.MyAuditVal,_xlpm.MacVal&lt;&gt;"",_xlpm.MacVal,_xlpm.CSVVal&lt;&gt;"",_xlpm.CSVVal
)),"")</f>
        <v/>
      </c>
      <c r="G437" s="2" t="str" cm="1">
        <f t="array" ref="G437">IFERROR(_xlfn.LET(
_xlpm.CSVVal,_xlfn.XLOOKUP($A437,CSV!$A:$A,CSV!G:G,""),
_xlpm.MacVal,_xlfn.XLOOKUP($A437,Output_Mac!$A:$A,Output_Mac!F:F,""),
_xlpm.MyAuditVal,_xlfn.XLOOKUP($A437,My_Audit!$A:$A,My_Audit!F:F,""),
_xlfn.IFS(_xlpm.MyAuditVal&lt;&gt;"",_xlpm.MyAuditVal,_xlpm.MacVal&lt;&gt;"",_xlpm.MacVal,_xlpm.CSVVal&lt;&gt;"",PROPER(_xlpm.CSVVal)
)),"")</f>
        <v/>
      </c>
      <c r="H437" s="2" t="str" cm="1">
        <f t="array" ref="H437">IFERROR(_xlfn.LET(
_xlpm.CSVVal,_xlfn.XLOOKUP($A437,CSV!$A:$A,CSV!H:H,""),
_xlpm.MacVal,_xlfn.XLOOKUP($A437,Output_Mac!$A:$A,Output_Mac!H:H,""),
_xlpm.MyAuditVal,_xlfn.XLOOKUP($A437,My_Audit!$A:$A,My_Audit!G:G,""),
_xlfn.IFS(_xlpm.MyAuditVal&lt;&gt;"",_xlpm.MyAuditVal,_xlpm.MacVal&lt;&gt;"",_xlpm.MacVal,_xlpm.CSVVal&lt;&gt;"",_xlpm.CSVVal
)),"")</f>
        <v/>
      </c>
      <c r="I437" s="2" t="str">
        <f>_xlfn.XLOOKUP(A437,Output_Mac!A:A,Output_Mac!I:I,"")</f>
        <v/>
      </c>
      <c r="J437" s="2" t="str" cm="1">
        <f t="array" ref="J437">IFERROR(_xlfn.LET(
_xlpm.CSVVal,_xlfn.XLOOKUP($A437,CSV!$A:$A,CSV!I:I,""),
_xlpm.MacVal,_xlfn.XLOOKUP($A437,Output_Mac!$A:$A,Output_Mac!J:J,""),
_xlpm.MyAuditVal,_xlfn.XLOOKUP($A437,My_Audit!$A:$A,My_Audit!I:I,""),
_xlfn.IFS(_xlpm.MyAuditVal&lt;&gt;"",UPPER(_xlpm.MyAuditVal),_xlpm.MacVal&lt;&gt;"",_xlpm.MacVal,_xlpm.CSVVal&lt;&gt;"",_xlpm.CSVVal
)),"")</f>
        <v/>
      </c>
      <c r="K437" s="2" t="str" cm="1">
        <f t="array" ref="K437">IFERROR(_xlfn.LET(
_xlpm.CSVVal,_xlfn.XLOOKUP($A437,CSV!$A:$A,CSV!K:K,""),
_xlpm.MacVal,_xlfn.XLOOKUP($A437,Output_Mac!$A:$A,Output_Mac!K:K,""),
_xlpm.MyAuditVal,_xlfn.XLOOKUP($A437,My_Audit!$A:$A,My_Audit!J:J,""),
_xlfn.IFS(_xlpm.MyAuditVal&lt;&gt;"",UPPER(_xlpm.MyAuditVal),_xlpm.MacVal&lt;&gt;"",_xlpm.MacVal,_xlpm.CSVVal&lt;&gt;"",_xlpm.CSVVal
)),"")</f>
        <v/>
      </c>
      <c r="L437" s="2" t="str" cm="1">
        <f t="array" ref="L437">IFERROR(_xlfn.LET(
_xlpm.CSVVal,_xlfn.XLOOKUP($A437,CSV!$A:$A,CSV!P:P,""),
_xlpm.MacVal,_xlfn.XLOOKUP($A437,Output_Mac!$A:$A,Output_Mac!L:L,""),
_xlpm.MyAuditVal,_xlfn.XLOOKUP($A437,My_Audit!$A:$A,My_Audit!K:K,""),
_xlfn.IFS(_xlpm.MyAuditVal&lt;&gt;"",UPPER(_xlpm.MyAuditVal),_xlpm.MacVal&lt;&gt;"",_xlpm.MacVal,_xlpm.CSVVal&lt;&gt;"",_xlpm.CSVVal
)),"")</f>
        <v/>
      </c>
      <c r="M437" s="2" t="str" cm="1">
        <f t="array" ref="M437">IFERROR(_xlfn.LET(
_xlpm.CSVVal,_xlfn.XLOOKUP($A437,CSV!$A:$A,CSV!Q:Q,""),
_xlpm.MacVal,_xlfn.XLOOKUP($A437,Output_Mac!$A:$A,Output_Mac!M:M,""),
_xlpm.MyAuditVal,_xlfn.XLOOKUP($A437,My_Audit!$A:$A,My_Audit!L:L,""),
_xlfn.IFS(_xlpm.MyAuditVal&lt;&gt;"",UPPER(_xlpm.MyAuditVal),_xlpm.MacVal&lt;&gt;"",_xlpm.MacVal,_xlpm.CSVVal&lt;&gt;"",_xlpm.CSVVal
)),"")</f>
        <v/>
      </c>
      <c r="O437" s="2" t="str">
        <f>_xlfn.LET(
    _xlpm.CSVVal, _xlfn.XLOOKUP($A437, CSV!$A:$A, CSV!AF:AF, ""),
    _xlpm.MacVal, _xlfn.XLOOKUP($A437, Output_Mac!$A:$A, Output_Mac!S:S, ""),
    _xlpm.MyAuditVal, _xlfn.XLOOKUP($A437, My_Audit!$A:$A, My_Audit!P:P, ""),
    _xlfn.TEXTJOIN(", ", TRUE, _xlpm.MyAuditVal, _xlpm.MacVal, _xlpm.CSVVal)
)</f>
        <v/>
      </c>
      <c r="P437" s="2" t="str" cm="1">
        <f t="array" ref="P437">IFERROR(_xlfn.LET(
_xlpm.CSVVal,_xlfn.XLOOKUP($A437,CSV!$A:$A,CSV!AG:AG,""),
_xlpm.MacVal,_xlfn.XLOOKUP($A437,Output_Mac!$A:$A,Output_Mac!T:T,""),
_xlpm.MyAuditVal,_xlfn.XLOOKUP($A437,My_Audit!$A:$A,My_Audit!Q:Q,""),
_xlfn.IFS(_xlpm.MyAuditVal&lt;&gt;"",UPPER(_xlpm.MyAuditVal),_xlpm.MacVal&lt;&gt;"",_xlpm.MacVal,_xlpm.CSVVal&lt;&gt;"",_xlpm.CSVVal
)),"No")</f>
        <v>No</v>
      </c>
      <c r="Q437" s="2" t="str" cm="1">
        <f t="array" ref="Q437">IFERROR(_xlfn.LET(
_xlpm.CSVVal,_xlfn.XLOOKUP($A437,CSV!$A:$A,CSV!AH:AH,""),
_xlpm.MacVal,_xlfn.XLOOKUP($A437,Output_Mac!$A:$A,Output_Mac!U:U,""),
_xlpm.MyAuditVal,_xlfn.XLOOKUP($A437,My_Audit!$A:$A,My_Audit!R:R,""),
_xlfn.IFS(_xlpm.MyAuditVal&lt;&gt;"",UPPER(_xlpm.MyAuditVal),_xlpm.MacVal&lt;&gt;"",_xlpm.MacVal,_xlpm.CSVVal&lt;&gt;"",_xlpm.CSVVal
)),"")</f>
        <v/>
      </c>
    </row>
    <row r="438" spans="1:17">
      <c r="A438" s="2" t="str">
        <f>_xlfn.TEXTJOIN("",TRUE,Input!$B$2,ROW(My_Audit!A437))</f>
        <v>XX437</v>
      </c>
      <c r="B438" s="2" t="str">
        <f>_xlfn.TEXTJOIN("-",TRUE,"ITD",Input!$A$2,A438)</f>
        <v>ITD-SHRXXX-XX437</v>
      </c>
      <c r="C438" s="2" t="str" cm="1">
        <f t="array" ref="C438">IFERROR(_xlfn.LET(
_xlpm.CSVVal,_xlfn.XLOOKUP($A438,CSV!$A:$A,CSV!B:B,""),
_xlpm.MacVal,_xlfn.XLOOKUP($A438,Output_Mac!$A:$A,Output_Mac!B:B,""),
_xlpm.MyAuditVal,_xlfn.XLOOKUP($A438,My_Audit!$A:$A,My_Audit!B:B,""),
_xlfn.IFS(_xlpm.MyAuditVal&lt;&gt;"",UPPER(_xlpm.MyAuditVal),_xlpm.MacVal&lt;&gt;"",_xlpm.MacVal,_xlpm.CSVVal&lt;&gt;"",_xlpm.CSVVal
)),"")</f>
        <v/>
      </c>
      <c r="D438" s="2" t="str" cm="1">
        <f t="array" ref="D438">IFERROR(_xlfn.LET(
_xlpm.CSVVal,_xlfn.XLOOKUP($A438,CSV!$A:$A,CSV!D:D,""),
_xlpm.MacVal,_xlfn.XLOOKUP($A438,Output_Mac!$A:$A,Output_Mac!C:C,""),
_xlpm.MyAuditVal,_xlfn.XLOOKUP($A438,My_Audit!$A:$A,My_Audit!C:C,""),
_xlfn.IFS(_xlpm.MyAuditVal&lt;&gt;"",_xlpm.MyAuditVal,_xlpm.MacVal&lt;&gt;"",_xlpm.MacVal,_xlpm.CSVVal&lt;&gt;"",_xlpm.CSVVal
)),"")</f>
        <v/>
      </c>
      <c r="E438" s="2" t="str">
        <f>_xlfn.XLOOKUP(A438,My_Audit!A:A,My_Audit!D:D,"")&amp;""</f>
        <v/>
      </c>
      <c r="F438" s="2" t="str" cm="1">
        <f t="array" ref="F438">IFERROR(_xlfn.LET(
_xlpm.CSVVal,_xlfn.XLOOKUP($A438,CSV!$A:$A,CSV!F:F,""),
_xlpm.MacVal,_xlfn.XLOOKUP($A438,Output_Mac!$A:$A,Output_Mac!E:E,""),
_xlpm.MyAuditVal,_xlfn.XLOOKUP($A438,My_Audit!$A:$A,My_Audit!E:E,""),
_xlfn.IFS(_xlpm.MyAuditVal&lt;&gt;"",_xlpm.MyAuditVal,_xlpm.MacVal&lt;&gt;"",_xlpm.MacVal,_xlpm.CSVVal&lt;&gt;"",_xlpm.CSVVal
)),"")</f>
        <v/>
      </c>
      <c r="G438" s="2" t="str" cm="1">
        <f t="array" ref="G438">IFERROR(_xlfn.LET(
_xlpm.CSVVal,_xlfn.XLOOKUP($A438,CSV!$A:$A,CSV!G:G,""),
_xlpm.MacVal,_xlfn.XLOOKUP($A438,Output_Mac!$A:$A,Output_Mac!F:F,""),
_xlpm.MyAuditVal,_xlfn.XLOOKUP($A438,My_Audit!$A:$A,My_Audit!F:F,""),
_xlfn.IFS(_xlpm.MyAuditVal&lt;&gt;"",_xlpm.MyAuditVal,_xlpm.MacVal&lt;&gt;"",_xlpm.MacVal,_xlpm.CSVVal&lt;&gt;"",PROPER(_xlpm.CSVVal)
)),"")</f>
        <v/>
      </c>
      <c r="H438" s="2" t="str" cm="1">
        <f t="array" ref="H438">IFERROR(_xlfn.LET(
_xlpm.CSVVal,_xlfn.XLOOKUP($A438,CSV!$A:$A,CSV!H:H,""),
_xlpm.MacVal,_xlfn.XLOOKUP($A438,Output_Mac!$A:$A,Output_Mac!H:H,""),
_xlpm.MyAuditVal,_xlfn.XLOOKUP($A438,My_Audit!$A:$A,My_Audit!G:G,""),
_xlfn.IFS(_xlpm.MyAuditVal&lt;&gt;"",_xlpm.MyAuditVal,_xlpm.MacVal&lt;&gt;"",_xlpm.MacVal,_xlpm.CSVVal&lt;&gt;"",_xlpm.CSVVal
)),"")</f>
        <v/>
      </c>
      <c r="I438" s="2" t="str">
        <f>_xlfn.XLOOKUP(A438,Output_Mac!A:A,Output_Mac!I:I,"")</f>
        <v/>
      </c>
      <c r="J438" s="2" t="str" cm="1">
        <f t="array" ref="J438">IFERROR(_xlfn.LET(
_xlpm.CSVVal,_xlfn.XLOOKUP($A438,CSV!$A:$A,CSV!I:I,""),
_xlpm.MacVal,_xlfn.XLOOKUP($A438,Output_Mac!$A:$A,Output_Mac!J:J,""),
_xlpm.MyAuditVal,_xlfn.XLOOKUP($A438,My_Audit!$A:$A,My_Audit!I:I,""),
_xlfn.IFS(_xlpm.MyAuditVal&lt;&gt;"",UPPER(_xlpm.MyAuditVal),_xlpm.MacVal&lt;&gt;"",_xlpm.MacVal,_xlpm.CSVVal&lt;&gt;"",_xlpm.CSVVal
)),"")</f>
        <v/>
      </c>
      <c r="K438" s="2" t="str" cm="1">
        <f t="array" ref="K438">IFERROR(_xlfn.LET(
_xlpm.CSVVal,_xlfn.XLOOKUP($A438,CSV!$A:$A,CSV!K:K,""),
_xlpm.MacVal,_xlfn.XLOOKUP($A438,Output_Mac!$A:$A,Output_Mac!K:K,""),
_xlpm.MyAuditVal,_xlfn.XLOOKUP($A438,My_Audit!$A:$A,My_Audit!J:J,""),
_xlfn.IFS(_xlpm.MyAuditVal&lt;&gt;"",UPPER(_xlpm.MyAuditVal),_xlpm.MacVal&lt;&gt;"",_xlpm.MacVal,_xlpm.CSVVal&lt;&gt;"",_xlpm.CSVVal
)),"")</f>
        <v/>
      </c>
      <c r="L438" s="2" t="str" cm="1">
        <f t="array" ref="L438">IFERROR(_xlfn.LET(
_xlpm.CSVVal,_xlfn.XLOOKUP($A438,CSV!$A:$A,CSV!P:P,""),
_xlpm.MacVal,_xlfn.XLOOKUP($A438,Output_Mac!$A:$A,Output_Mac!L:L,""),
_xlpm.MyAuditVal,_xlfn.XLOOKUP($A438,My_Audit!$A:$A,My_Audit!K:K,""),
_xlfn.IFS(_xlpm.MyAuditVal&lt;&gt;"",UPPER(_xlpm.MyAuditVal),_xlpm.MacVal&lt;&gt;"",_xlpm.MacVal,_xlpm.CSVVal&lt;&gt;"",_xlpm.CSVVal
)),"")</f>
        <v/>
      </c>
      <c r="M438" s="2" t="str" cm="1">
        <f t="array" ref="M438">IFERROR(_xlfn.LET(
_xlpm.CSVVal,_xlfn.XLOOKUP($A438,CSV!$A:$A,CSV!Q:Q,""),
_xlpm.MacVal,_xlfn.XLOOKUP($A438,Output_Mac!$A:$A,Output_Mac!M:M,""),
_xlpm.MyAuditVal,_xlfn.XLOOKUP($A438,My_Audit!$A:$A,My_Audit!L:L,""),
_xlfn.IFS(_xlpm.MyAuditVal&lt;&gt;"",UPPER(_xlpm.MyAuditVal),_xlpm.MacVal&lt;&gt;"",_xlpm.MacVal,_xlpm.CSVVal&lt;&gt;"",_xlpm.CSVVal
)),"")</f>
        <v/>
      </c>
      <c r="O438" s="2" t="str">
        <f>_xlfn.LET(
    _xlpm.CSVVal, _xlfn.XLOOKUP($A438, CSV!$A:$A, CSV!AF:AF, ""),
    _xlpm.MacVal, _xlfn.XLOOKUP($A438, Output_Mac!$A:$A, Output_Mac!S:S, ""),
    _xlpm.MyAuditVal, _xlfn.XLOOKUP($A438, My_Audit!$A:$A, My_Audit!P:P, ""),
    _xlfn.TEXTJOIN(", ", TRUE, _xlpm.MyAuditVal, _xlpm.MacVal, _xlpm.CSVVal)
)</f>
        <v/>
      </c>
      <c r="P438" s="2" t="str" cm="1">
        <f t="array" ref="P438">IFERROR(_xlfn.LET(
_xlpm.CSVVal,_xlfn.XLOOKUP($A438,CSV!$A:$A,CSV!AG:AG,""),
_xlpm.MacVal,_xlfn.XLOOKUP($A438,Output_Mac!$A:$A,Output_Mac!T:T,""),
_xlpm.MyAuditVal,_xlfn.XLOOKUP($A438,My_Audit!$A:$A,My_Audit!Q:Q,""),
_xlfn.IFS(_xlpm.MyAuditVal&lt;&gt;"",UPPER(_xlpm.MyAuditVal),_xlpm.MacVal&lt;&gt;"",_xlpm.MacVal,_xlpm.CSVVal&lt;&gt;"",_xlpm.CSVVal
)),"No")</f>
        <v>No</v>
      </c>
      <c r="Q438" s="2" t="str" cm="1">
        <f t="array" ref="Q438">IFERROR(_xlfn.LET(
_xlpm.CSVVal,_xlfn.XLOOKUP($A438,CSV!$A:$A,CSV!AH:AH,""),
_xlpm.MacVal,_xlfn.XLOOKUP($A438,Output_Mac!$A:$A,Output_Mac!U:U,""),
_xlpm.MyAuditVal,_xlfn.XLOOKUP($A438,My_Audit!$A:$A,My_Audit!R:R,""),
_xlfn.IFS(_xlpm.MyAuditVal&lt;&gt;"",UPPER(_xlpm.MyAuditVal),_xlpm.MacVal&lt;&gt;"",_xlpm.MacVal,_xlpm.CSVVal&lt;&gt;"",_xlpm.CSVVal
)),"")</f>
        <v/>
      </c>
    </row>
    <row r="439" spans="1:17">
      <c r="A439" s="2" t="str">
        <f>_xlfn.TEXTJOIN("",TRUE,Input!$B$2,ROW(My_Audit!A438))</f>
        <v>XX438</v>
      </c>
      <c r="B439" s="2" t="str">
        <f>_xlfn.TEXTJOIN("-",TRUE,"ITD",Input!$A$2,A439)</f>
        <v>ITD-SHRXXX-XX438</v>
      </c>
      <c r="C439" s="2" t="str" cm="1">
        <f t="array" ref="C439">IFERROR(_xlfn.LET(
_xlpm.CSVVal,_xlfn.XLOOKUP($A439,CSV!$A:$A,CSV!B:B,""),
_xlpm.MacVal,_xlfn.XLOOKUP($A439,Output_Mac!$A:$A,Output_Mac!B:B,""),
_xlpm.MyAuditVal,_xlfn.XLOOKUP($A439,My_Audit!$A:$A,My_Audit!B:B,""),
_xlfn.IFS(_xlpm.MyAuditVal&lt;&gt;"",UPPER(_xlpm.MyAuditVal),_xlpm.MacVal&lt;&gt;"",_xlpm.MacVal,_xlpm.CSVVal&lt;&gt;"",_xlpm.CSVVal
)),"")</f>
        <v/>
      </c>
      <c r="D439" s="2" t="str" cm="1">
        <f t="array" ref="D439">IFERROR(_xlfn.LET(
_xlpm.CSVVal,_xlfn.XLOOKUP($A439,CSV!$A:$A,CSV!D:D,""),
_xlpm.MacVal,_xlfn.XLOOKUP($A439,Output_Mac!$A:$A,Output_Mac!C:C,""),
_xlpm.MyAuditVal,_xlfn.XLOOKUP($A439,My_Audit!$A:$A,My_Audit!C:C,""),
_xlfn.IFS(_xlpm.MyAuditVal&lt;&gt;"",_xlpm.MyAuditVal,_xlpm.MacVal&lt;&gt;"",_xlpm.MacVal,_xlpm.CSVVal&lt;&gt;"",_xlpm.CSVVal
)),"")</f>
        <v/>
      </c>
      <c r="E439" s="2" t="str">
        <f>_xlfn.XLOOKUP(A439,My_Audit!A:A,My_Audit!D:D,"")&amp;""</f>
        <v/>
      </c>
      <c r="F439" s="2" t="str" cm="1">
        <f t="array" ref="F439">IFERROR(_xlfn.LET(
_xlpm.CSVVal,_xlfn.XLOOKUP($A439,CSV!$A:$A,CSV!F:F,""),
_xlpm.MacVal,_xlfn.XLOOKUP($A439,Output_Mac!$A:$A,Output_Mac!E:E,""),
_xlpm.MyAuditVal,_xlfn.XLOOKUP($A439,My_Audit!$A:$A,My_Audit!E:E,""),
_xlfn.IFS(_xlpm.MyAuditVal&lt;&gt;"",_xlpm.MyAuditVal,_xlpm.MacVal&lt;&gt;"",_xlpm.MacVal,_xlpm.CSVVal&lt;&gt;"",_xlpm.CSVVal
)),"")</f>
        <v/>
      </c>
      <c r="G439" s="2" t="str" cm="1">
        <f t="array" ref="G439">IFERROR(_xlfn.LET(
_xlpm.CSVVal,_xlfn.XLOOKUP($A439,CSV!$A:$A,CSV!G:G,""),
_xlpm.MacVal,_xlfn.XLOOKUP($A439,Output_Mac!$A:$A,Output_Mac!F:F,""),
_xlpm.MyAuditVal,_xlfn.XLOOKUP($A439,My_Audit!$A:$A,My_Audit!F:F,""),
_xlfn.IFS(_xlpm.MyAuditVal&lt;&gt;"",_xlpm.MyAuditVal,_xlpm.MacVal&lt;&gt;"",_xlpm.MacVal,_xlpm.CSVVal&lt;&gt;"",PROPER(_xlpm.CSVVal)
)),"")</f>
        <v/>
      </c>
      <c r="H439" s="2" t="str" cm="1">
        <f t="array" ref="H439">IFERROR(_xlfn.LET(
_xlpm.CSVVal,_xlfn.XLOOKUP($A439,CSV!$A:$A,CSV!H:H,""),
_xlpm.MacVal,_xlfn.XLOOKUP($A439,Output_Mac!$A:$A,Output_Mac!H:H,""),
_xlpm.MyAuditVal,_xlfn.XLOOKUP($A439,My_Audit!$A:$A,My_Audit!G:G,""),
_xlfn.IFS(_xlpm.MyAuditVal&lt;&gt;"",_xlpm.MyAuditVal,_xlpm.MacVal&lt;&gt;"",_xlpm.MacVal,_xlpm.CSVVal&lt;&gt;"",_xlpm.CSVVal
)),"")</f>
        <v/>
      </c>
      <c r="I439" s="2" t="str">
        <f>_xlfn.XLOOKUP(A439,Output_Mac!A:A,Output_Mac!I:I,"")</f>
        <v/>
      </c>
      <c r="J439" s="2" t="str" cm="1">
        <f t="array" ref="J439">IFERROR(_xlfn.LET(
_xlpm.CSVVal,_xlfn.XLOOKUP($A439,CSV!$A:$A,CSV!I:I,""),
_xlpm.MacVal,_xlfn.XLOOKUP($A439,Output_Mac!$A:$A,Output_Mac!J:J,""),
_xlpm.MyAuditVal,_xlfn.XLOOKUP($A439,My_Audit!$A:$A,My_Audit!I:I,""),
_xlfn.IFS(_xlpm.MyAuditVal&lt;&gt;"",UPPER(_xlpm.MyAuditVal),_xlpm.MacVal&lt;&gt;"",_xlpm.MacVal,_xlpm.CSVVal&lt;&gt;"",_xlpm.CSVVal
)),"")</f>
        <v/>
      </c>
      <c r="K439" s="2" t="str" cm="1">
        <f t="array" ref="K439">IFERROR(_xlfn.LET(
_xlpm.CSVVal,_xlfn.XLOOKUP($A439,CSV!$A:$A,CSV!K:K,""),
_xlpm.MacVal,_xlfn.XLOOKUP($A439,Output_Mac!$A:$A,Output_Mac!K:K,""),
_xlpm.MyAuditVal,_xlfn.XLOOKUP($A439,My_Audit!$A:$A,My_Audit!J:J,""),
_xlfn.IFS(_xlpm.MyAuditVal&lt;&gt;"",UPPER(_xlpm.MyAuditVal),_xlpm.MacVal&lt;&gt;"",_xlpm.MacVal,_xlpm.CSVVal&lt;&gt;"",_xlpm.CSVVal
)),"")</f>
        <v/>
      </c>
      <c r="L439" s="2" t="str" cm="1">
        <f t="array" ref="L439">IFERROR(_xlfn.LET(
_xlpm.CSVVal,_xlfn.XLOOKUP($A439,CSV!$A:$A,CSV!P:P,""),
_xlpm.MacVal,_xlfn.XLOOKUP($A439,Output_Mac!$A:$A,Output_Mac!L:L,""),
_xlpm.MyAuditVal,_xlfn.XLOOKUP($A439,My_Audit!$A:$A,My_Audit!K:K,""),
_xlfn.IFS(_xlpm.MyAuditVal&lt;&gt;"",UPPER(_xlpm.MyAuditVal),_xlpm.MacVal&lt;&gt;"",_xlpm.MacVal,_xlpm.CSVVal&lt;&gt;"",_xlpm.CSVVal
)),"")</f>
        <v/>
      </c>
      <c r="M439" s="2" t="str" cm="1">
        <f t="array" ref="M439">IFERROR(_xlfn.LET(
_xlpm.CSVVal,_xlfn.XLOOKUP($A439,CSV!$A:$A,CSV!Q:Q,""),
_xlpm.MacVal,_xlfn.XLOOKUP($A439,Output_Mac!$A:$A,Output_Mac!M:M,""),
_xlpm.MyAuditVal,_xlfn.XLOOKUP($A439,My_Audit!$A:$A,My_Audit!L:L,""),
_xlfn.IFS(_xlpm.MyAuditVal&lt;&gt;"",UPPER(_xlpm.MyAuditVal),_xlpm.MacVal&lt;&gt;"",_xlpm.MacVal,_xlpm.CSVVal&lt;&gt;"",_xlpm.CSVVal
)),"")</f>
        <v/>
      </c>
      <c r="O439" s="2" t="str">
        <f>_xlfn.LET(
    _xlpm.CSVVal, _xlfn.XLOOKUP($A439, CSV!$A:$A, CSV!AF:AF, ""),
    _xlpm.MacVal, _xlfn.XLOOKUP($A439, Output_Mac!$A:$A, Output_Mac!S:S, ""),
    _xlpm.MyAuditVal, _xlfn.XLOOKUP($A439, My_Audit!$A:$A, My_Audit!P:P, ""),
    _xlfn.TEXTJOIN(", ", TRUE, _xlpm.MyAuditVal, _xlpm.MacVal, _xlpm.CSVVal)
)</f>
        <v/>
      </c>
      <c r="P439" s="2" t="str" cm="1">
        <f t="array" ref="P439">IFERROR(_xlfn.LET(
_xlpm.CSVVal,_xlfn.XLOOKUP($A439,CSV!$A:$A,CSV!AG:AG,""),
_xlpm.MacVal,_xlfn.XLOOKUP($A439,Output_Mac!$A:$A,Output_Mac!T:T,""),
_xlpm.MyAuditVal,_xlfn.XLOOKUP($A439,My_Audit!$A:$A,My_Audit!Q:Q,""),
_xlfn.IFS(_xlpm.MyAuditVal&lt;&gt;"",UPPER(_xlpm.MyAuditVal),_xlpm.MacVal&lt;&gt;"",_xlpm.MacVal,_xlpm.CSVVal&lt;&gt;"",_xlpm.CSVVal
)),"No")</f>
        <v>No</v>
      </c>
      <c r="Q439" s="2" t="str" cm="1">
        <f t="array" ref="Q439">IFERROR(_xlfn.LET(
_xlpm.CSVVal,_xlfn.XLOOKUP($A439,CSV!$A:$A,CSV!AH:AH,""),
_xlpm.MacVal,_xlfn.XLOOKUP($A439,Output_Mac!$A:$A,Output_Mac!U:U,""),
_xlpm.MyAuditVal,_xlfn.XLOOKUP($A439,My_Audit!$A:$A,My_Audit!R:R,""),
_xlfn.IFS(_xlpm.MyAuditVal&lt;&gt;"",UPPER(_xlpm.MyAuditVal),_xlpm.MacVal&lt;&gt;"",_xlpm.MacVal,_xlpm.CSVVal&lt;&gt;"",_xlpm.CSVVal
)),"")</f>
        <v/>
      </c>
    </row>
    <row r="440" spans="1:17">
      <c r="A440" s="2" t="str">
        <f>_xlfn.TEXTJOIN("",TRUE,Input!$B$2,ROW(My_Audit!A439))</f>
        <v>XX439</v>
      </c>
      <c r="B440" s="2" t="str">
        <f>_xlfn.TEXTJOIN("-",TRUE,"ITD",Input!$A$2,A440)</f>
        <v>ITD-SHRXXX-XX439</v>
      </c>
      <c r="C440" s="2" t="str" cm="1">
        <f t="array" ref="C440">IFERROR(_xlfn.LET(
_xlpm.CSVVal,_xlfn.XLOOKUP($A440,CSV!$A:$A,CSV!B:B,""),
_xlpm.MacVal,_xlfn.XLOOKUP($A440,Output_Mac!$A:$A,Output_Mac!B:B,""),
_xlpm.MyAuditVal,_xlfn.XLOOKUP($A440,My_Audit!$A:$A,My_Audit!B:B,""),
_xlfn.IFS(_xlpm.MyAuditVal&lt;&gt;"",UPPER(_xlpm.MyAuditVal),_xlpm.MacVal&lt;&gt;"",_xlpm.MacVal,_xlpm.CSVVal&lt;&gt;"",_xlpm.CSVVal
)),"")</f>
        <v/>
      </c>
      <c r="D440" s="2" t="str" cm="1">
        <f t="array" ref="D440">IFERROR(_xlfn.LET(
_xlpm.CSVVal,_xlfn.XLOOKUP($A440,CSV!$A:$A,CSV!D:D,""),
_xlpm.MacVal,_xlfn.XLOOKUP($A440,Output_Mac!$A:$A,Output_Mac!C:C,""),
_xlpm.MyAuditVal,_xlfn.XLOOKUP($A440,My_Audit!$A:$A,My_Audit!C:C,""),
_xlfn.IFS(_xlpm.MyAuditVal&lt;&gt;"",_xlpm.MyAuditVal,_xlpm.MacVal&lt;&gt;"",_xlpm.MacVal,_xlpm.CSVVal&lt;&gt;"",_xlpm.CSVVal
)),"")</f>
        <v/>
      </c>
      <c r="E440" s="2" t="str">
        <f>_xlfn.XLOOKUP(A440,My_Audit!A:A,My_Audit!D:D,"")&amp;""</f>
        <v/>
      </c>
      <c r="F440" s="2" t="str" cm="1">
        <f t="array" ref="F440">IFERROR(_xlfn.LET(
_xlpm.CSVVal,_xlfn.XLOOKUP($A440,CSV!$A:$A,CSV!F:F,""),
_xlpm.MacVal,_xlfn.XLOOKUP($A440,Output_Mac!$A:$A,Output_Mac!E:E,""),
_xlpm.MyAuditVal,_xlfn.XLOOKUP($A440,My_Audit!$A:$A,My_Audit!E:E,""),
_xlfn.IFS(_xlpm.MyAuditVal&lt;&gt;"",_xlpm.MyAuditVal,_xlpm.MacVal&lt;&gt;"",_xlpm.MacVal,_xlpm.CSVVal&lt;&gt;"",_xlpm.CSVVal
)),"")</f>
        <v/>
      </c>
      <c r="G440" s="2" t="str" cm="1">
        <f t="array" ref="G440">IFERROR(_xlfn.LET(
_xlpm.CSVVal,_xlfn.XLOOKUP($A440,CSV!$A:$A,CSV!G:G,""),
_xlpm.MacVal,_xlfn.XLOOKUP($A440,Output_Mac!$A:$A,Output_Mac!F:F,""),
_xlpm.MyAuditVal,_xlfn.XLOOKUP($A440,My_Audit!$A:$A,My_Audit!F:F,""),
_xlfn.IFS(_xlpm.MyAuditVal&lt;&gt;"",_xlpm.MyAuditVal,_xlpm.MacVal&lt;&gt;"",_xlpm.MacVal,_xlpm.CSVVal&lt;&gt;"",PROPER(_xlpm.CSVVal)
)),"")</f>
        <v/>
      </c>
      <c r="H440" s="2" t="str" cm="1">
        <f t="array" ref="H440">IFERROR(_xlfn.LET(
_xlpm.CSVVal,_xlfn.XLOOKUP($A440,CSV!$A:$A,CSV!H:H,""),
_xlpm.MacVal,_xlfn.XLOOKUP($A440,Output_Mac!$A:$A,Output_Mac!H:H,""),
_xlpm.MyAuditVal,_xlfn.XLOOKUP($A440,My_Audit!$A:$A,My_Audit!G:G,""),
_xlfn.IFS(_xlpm.MyAuditVal&lt;&gt;"",_xlpm.MyAuditVal,_xlpm.MacVal&lt;&gt;"",_xlpm.MacVal,_xlpm.CSVVal&lt;&gt;"",_xlpm.CSVVal
)),"")</f>
        <v/>
      </c>
      <c r="I440" s="2" t="str">
        <f>_xlfn.XLOOKUP(A440,Output_Mac!A:A,Output_Mac!I:I,"")</f>
        <v/>
      </c>
      <c r="J440" s="2" t="str" cm="1">
        <f t="array" ref="J440">IFERROR(_xlfn.LET(
_xlpm.CSVVal,_xlfn.XLOOKUP($A440,CSV!$A:$A,CSV!I:I,""),
_xlpm.MacVal,_xlfn.XLOOKUP($A440,Output_Mac!$A:$A,Output_Mac!J:J,""),
_xlpm.MyAuditVal,_xlfn.XLOOKUP($A440,My_Audit!$A:$A,My_Audit!I:I,""),
_xlfn.IFS(_xlpm.MyAuditVal&lt;&gt;"",UPPER(_xlpm.MyAuditVal),_xlpm.MacVal&lt;&gt;"",_xlpm.MacVal,_xlpm.CSVVal&lt;&gt;"",_xlpm.CSVVal
)),"")</f>
        <v/>
      </c>
      <c r="K440" s="2" t="str" cm="1">
        <f t="array" ref="K440">IFERROR(_xlfn.LET(
_xlpm.CSVVal,_xlfn.XLOOKUP($A440,CSV!$A:$A,CSV!K:K,""),
_xlpm.MacVal,_xlfn.XLOOKUP($A440,Output_Mac!$A:$A,Output_Mac!K:K,""),
_xlpm.MyAuditVal,_xlfn.XLOOKUP($A440,My_Audit!$A:$A,My_Audit!J:J,""),
_xlfn.IFS(_xlpm.MyAuditVal&lt;&gt;"",UPPER(_xlpm.MyAuditVal),_xlpm.MacVal&lt;&gt;"",_xlpm.MacVal,_xlpm.CSVVal&lt;&gt;"",_xlpm.CSVVal
)),"")</f>
        <v/>
      </c>
      <c r="L440" s="2" t="str" cm="1">
        <f t="array" ref="L440">IFERROR(_xlfn.LET(
_xlpm.CSVVal,_xlfn.XLOOKUP($A440,CSV!$A:$A,CSV!P:P,""),
_xlpm.MacVal,_xlfn.XLOOKUP($A440,Output_Mac!$A:$A,Output_Mac!L:L,""),
_xlpm.MyAuditVal,_xlfn.XLOOKUP($A440,My_Audit!$A:$A,My_Audit!K:K,""),
_xlfn.IFS(_xlpm.MyAuditVal&lt;&gt;"",UPPER(_xlpm.MyAuditVal),_xlpm.MacVal&lt;&gt;"",_xlpm.MacVal,_xlpm.CSVVal&lt;&gt;"",_xlpm.CSVVal
)),"")</f>
        <v/>
      </c>
      <c r="M440" s="2" t="str" cm="1">
        <f t="array" ref="M440">IFERROR(_xlfn.LET(
_xlpm.CSVVal,_xlfn.XLOOKUP($A440,CSV!$A:$A,CSV!Q:Q,""),
_xlpm.MacVal,_xlfn.XLOOKUP($A440,Output_Mac!$A:$A,Output_Mac!M:M,""),
_xlpm.MyAuditVal,_xlfn.XLOOKUP($A440,My_Audit!$A:$A,My_Audit!L:L,""),
_xlfn.IFS(_xlpm.MyAuditVal&lt;&gt;"",UPPER(_xlpm.MyAuditVal),_xlpm.MacVal&lt;&gt;"",_xlpm.MacVal,_xlpm.CSVVal&lt;&gt;"",_xlpm.CSVVal
)),"")</f>
        <v/>
      </c>
      <c r="O440" s="2" t="str">
        <f>_xlfn.LET(
    _xlpm.CSVVal, _xlfn.XLOOKUP($A440, CSV!$A:$A, CSV!AF:AF, ""),
    _xlpm.MacVal, _xlfn.XLOOKUP($A440, Output_Mac!$A:$A, Output_Mac!S:S, ""),
    _xlpm.MyAuditVal, _xlfn.XLOOKUP($A440, My_Audit!$A:$A, My_Audit!P:P, ""),
    _xlfn.TEXTJOIN(", ", TRUE, _xlpm.MyAuditVal, _xlpm.MacVal, _xlpm.CSVVal)
)</f>
        <v/>
      </c>
      <c r="P440" s="2" t="str" cm="1">
        <f t="array" ref="P440">IFERROR(_xlfn.LET(
_xlpm.CSVVal,_xlfn.XLOOKUP($A440,CSV!$A:$A,CSV!AG:AG,""),
_xlpm.MacVal,_xlfn.XLOOKUP($A440,Output_Mac!$A:$A,Output_Mac!T:T,""),
_xlpm.MyAuditVal,_xlfn.XLOOKUP($A440,My_Audit!$A:$A,My_Audit!Q:Q,""),
_xlfn.IFS(_xlpm.MyAuditVal&lt;&gt;"",UPPER(_xlpm.MyAuditVal),_xlpm.MacVal&lt;&gt;"",_xlpm.MacVal,_xlpm.CSVVal&lt;&gt;"",_xlpm.CSVVal
)),"No")</f>
        <v>No</v>
      </c>
      <c r="Q440" s="2" t="str" cm="1">
        <f t="array" ref="Q440">IFERROR(_xlfn.LET(
_xlpm.CSVVal,_xlfn.XLOOKUP($A440,CSV!$A:$A,CSV!AH:AH,""),
_xlpm.MacVal,_xlfn.XLOOKUP($A440,Output_Mac!$A:$A,Output_Mac!U:U,""),
_xlpm.MyAuditVal,_xlfn.XLOOKUP($A440,My_Audit!$A:$A,My_Audit!R:R,""),
_xlfn.IFS(_xlpm.MyAuditVal&lt;&gt;"",UPPER(_xlpm.MyAuditVal),_xlpm.MacVal&lt;&gt;"",_xlpm.MacVal,_xlpm.CSVVal&lt;&gt;"",_xlpm.CSVVal
)),"")</f>
        <v/>
      </c>
    </row>
    <row r="441" spans="1:17">
      <c r="A441" s="2" t="str">
        <f>_xlfn.TEXTJOIN("",TRUE,Input!$B$2,ROW(My_Audit!A440))</f>
        <v>XX440</v>
      </c>
      <c r="B441" s="2" t="str">
        <f>_xlfn.TEXTJOIN("-",TRUE,"ITD",Input!$A$2,A441)</f>
        <v>ITD-SHRXXX-XX440</v>
      </c>
      <c r="C441" s="2" t="str" cm="1">
        <f t="array" ref="C441">IFERROR(_xlfn.LET(
_xlpm.CSVVal,_xlfn.XLOOKUP($A441,CSV!$A:$A,CSV!B:B,""),
_xlpm.MacVal,_xlfn.XLOOKUP($A441,Output_Mac!$A:$A,Output_Mac!B:B,""),
_xlpm.MyAuditVal,_xlfn.XLOOKUP($A441,My_Audit!$A:$A,My_Audit!B:B,""),
_xlfn.IFS(_xlpm.MyAuditVal&lt;&gt;"",UPPER(_xlpm.MyAuditVal),_xlpm.MacVal&lt;&gt;"",_xlpm.MacVal,_xlpm.CSVVal&lt;&gt;"",_xlpm.CSVVal
)),"")</f>
        <v/>
      </c>
      <c r="D441" s="2" t="str" cm="1">
        <f t="array" ref="D441">IFERROR(_xlfn.LET(
_xlpm.CSVVal,_xlfn.XLOOKUP($A441,CSV!$A:$A,CSV!D:D,""),
_xlpm.MacVal,_xlfn.XLOOKUP($A441,Output_Mac!$A:$A,Output_Mac!C:C,""),
_xlpm.MyAuditVal,_xlfn.XLOOKUP($A441,My_Audit!$A:$A,My_Audit!C:C,""),
_xlfn.IFS(_xlpm.MyAuditVal&lt;&gt;"",_xlpm.MyAuditVal,_xlpm.MacVal&lt;&gt;"",_xlpm.MacVal,_xlpm.CSVVal&lt;&gt;"",_xlpm.CSVVal
)),"")</f>
        <v/>
      </c>
      <c r="E441" s="2" t="str">
        <f>_xlfn.XLOOKUP(A441,My_Audit!A:A,My_Audit!D:D,"")&amp;""</f>
        <v/>
      </c>
      <c r="F441" s="2" t="str" cm="1">
        <f t="array" ref="F441">IFERROR(_xlfn.LET(
_xlpm.CSVVal,_xlfn.XLOOKUP($A441,CSV!$A:$A,CSV!F:F,""),
_xlpm.MacVal,_xlfn.XLOOKUP($A441,Output_Mac!$A:$A,Output_Mac!E:E,""),
_xlpm.MyAuditVal,_xlfn.XLOOKUP($A441,My_Audit!$A:$A,My_Audit!E:E,""),
_xlfn.IFS(_xlpm.MyAuditVal&lt;&gt;"",_xlpm.MyAuditVal,_xlpm.MacVal&lt;&gt;"",_xlpm.MacVal,_xlpm.CSVVal&lt;&gt;"",_xlpm.CSVVal
)),"")</f>
        <v/>
      </c>
      <c r="G441" s="2" t="str" cm="1">
        <f t="array" ref="G441">IFERROR(_xlfn.LET(
_xlpm.CSVVal,_xlfn.XLOOKUP($A441,CSV!$A:$A,CSV!G:G,""),
_xlpm.MacVal,_xlfn.XLOOKUP($A441,Output_Mac!$A:$A,Output_Mac!F:F,""),
_xlpm.MyAuditVal,_xlfn.XLOOKUP($A441,My_Audit!$A:$A,My_Audit!F:F,""),
_xlfn.IFS(_xlpm.MyAuditVal&lt;&gt;"",_xlpm.MyAuditVal,_xlpm.MacVal&lt;&gt;"",_xlpm.MacVal,_xlpm.CSVVal&lt;&gt;"",PROPER(_xlpm.CSVVal)
)),"")</f>
        <v/>
      </c>
      <c r="H441" s="2" t="str" cm="1">
        <f t="array" ref="H441">IFERROR(_xlfn.LET(
_xlpm.CSVVal,_xlfn.XLOOKUP($A441,CSV!$A:$A,CSV!H:H,""),
_xlpm.MacVal,_xlfn.XLOOKUP($A441,Output_Mac!$A:$A,Output_Mac!H:H,""),
_xlpm.MyAuditVal,_xlfn.XLOOKUP($A441,My_Audit!$A:$A,My_Audit!G:G,""),
_xlfn.IFS(_xlpm.MyAuditVal&lt;&gt;"",_xlpm.MyAuditVal,_xlpm.MacVal&lt;&gt;"",_xlpm.MacVal,_xlpm.CSVVal&lt;&gt;"",_xlpm.CSVVal
)),"")</f>
        <v/>
      </c>
      <c r="I441" s="2" t="str">
        <f>_xlfn.XLOOKUP(A441,Output_Mac!A:A,Output_Mac!I:I,"")</f>
        <v/>
      </c>
      <c r="J441" s="2" t="str" cm="1">
        <f t="array" ref="J441">IFERROR(_xlfn.LET(
_xlpm.CSVVal,_xlfn.XLOOKUP($A441,CSV!$A:$A,CSV!I:I,""),
_xlpm.MacVal,_xlfn.XLOOKUP($A441,Output_Mac!$A:$A,Output_Mac!J:J,""),
_xlpm.MyAuditVal,_xlfn.XLOOKUP($A441,My_Audit!$A:$A,My_Audit!I:I,""),
_xlfn.IFS(_xlpm.MyAuditVal&lt;&gt;"",UPPER(_xlpm.MyAuditVal),_xlpm.MacVal&lt;&gt;"",_xlpm.MacVal,_xlpm.CSVVal&lt;&gt;"",_xlpm.CSVVal
)),"")</f>
        <v/>
      </c>
      <c r="K441" s="2" t="str" cm="1">
        <f t="array" ref="K441">IFERROR(_xlfn.LET(
_xlpm.CSVVal,_xlfn.XLOOKUP($A441,CSV!$A:$A,CSV!K:K,""),
_xlpm.MacVal,_xlfn.XLOOKUP($A441,Output_Mac!$A:$A,Output_Mac!K:K,""),
_xlpm.MyAuditVal,_xlfn.XLOOKUP($A441,My_Audit!$A:$A,My_Audit!J:J,""),
_xlfn.IFS(_xlpm.MyAuditVal&lt;&gt;"",UPPER(_xlpm.MyAuditVal),_xlpm.MacVal&lt;&gt;"",_xlpm.MacVal,_xlpm.CSVVal&lt;&gt;"",_xlpm.CSVVal
)),"")</f>
        <v/>
      </c>
      <c r="L441" s="2" t="str" cm="1">
        <f t="array" ref="L441">IFERROR(_xlfn.LET(
_xlpm.CSVVal,_xlfn.XLOOKUP($A441,CSV!$A:$A,CSV!P:P,""),
_xlpm.MacVal,_xlfn.XLOOKUP($A441,Output_Mac!$A:$A,Output_Mac!L:L,""),
_xlpm.MyAuditVal,_xlfn.XLOOKUP($A441,My_Audit!$A:$A,My_Audit!K:K,""),
_xlfn.IFS(_xlpm.MyAuditVal&lt;&gt;"",UPPER(_xlpm.MyAuditVal),_xlpm.MacVal&lt;&gt;"",_xlpm.MacVal,_xlpm.CSVVal&lt;&gt;"",_xlpm.CSVVal
)),"")</f>
        <v/>
      </c>
      <c r="M441" s="2" t="str" cm="1">
        <f t="array" ref="M441">IFERROR(_xlfn.LET(
_xlpm.CSVVal,_xlfn.XLOOKUP($A441,CSV!$A:$A,CSV!Q:Q,""),
_xlpm.MacVal,_xlfn.XLOOKUP($A441,Output_Mac!$A:$A,Output_Mac!M:M,""),
_xlpm.MyAuditVal,_xlfn.XLOOKUP($A441,My_Audit!$A:$A,My_Audit!L:L,""),
_xlfn.IFS(_xlpm.MyAuditVal&lt;&gt;"",UPPER(_xlpm.MyAuditVal),_xlpm.MacVal&lt;&gt;"",_xlpm.MacVal,_xlpm.CSVVal&lt;&gt;"",_xlpm.CSVVal
)),"")</f>
        <v/>
      </c>
      <c r="O441" s="2" t="str">
        <f>_xlfn.LET(
    _xlpm.CSVVal, _xlfn.XLOOKUP($A441, CSV!$A:$A, CSV!AF:AF, ""),
    _xlpm.MacVal, _xlfn.XLOOKUP($A441, Output_Mac!$A:$A, Output_Mac!S:S, ""),
    _xlpm.MyAuditVal, _xlfn.XLOOKUP($A441, My_Audit!$A:$A, My_Audit!P:P, ""),
    _xlfn.TEXTJOIN(", ", TRUE, _xlpm.MyAuditVal, _xlpm.MacVal, _xlpm.CSVVal)
)</f>
        <v/>
      </c>
      <c r="P441" s="2" t="str" cm="1">
        <f t="array" ref="P441">IFERROR(_xlfn.LET(
_xlpm.CSVVal,_xlfn.XLOOKUP($A441,CSV!$A:$A,CSV!AG:AG,""),
_xlpm.MacVal,_xlfn.XLOOKUP($A441,Output_Mac!$A:$A,Output_Mac!T:T,""),
_xlpm.MyAuditVal,_xlfn.XLOOKUP($A441,My_Audit!$A:$A,My_Audit!Q:Q,""),
_xlfn.IFS(_xlpm.MyAuditVal&lt;&gt;"",UPPER(_xlpm.MyAuditVal),_xlpm.MacVal&lt;&gt;"",_xlpm.MacVal,_xlpm.CSVVal&lt;&gt;"",_xlpm.CSVVal
)),"No")</f>
        <v>No</v>
      </c>
      <c r="Q441" s="2" t="str" cm="1">
        <f t="array" ref="Q441">IFERROR(_xlfn.LET(
_xlpm.CSVVal,_xlfn.XLOOKUP($A441,CSV!$A:$A,CSV!AH:AH,""),
_xlpm.MacVal,_xlfn.XLOOKUP($A441,Output_Mac!$A:$A,Output_Mac!U:U,""),
_xlpm.MyAuditVal,_xlfn.XLOOKUP($A441,My_Audit!$A:$A,My_Audit!R:R,""),
_xlfn.IFS(_xlpm.MyAuditVal&lt;&gt;"",UPPER(_xlpm.MyAuditVal),_xlpm.MacVal&lt;&gt;"",_xlpm.MacVal,_xlpm.CSVVal&lt;&gt;"",_xlpm.CSVVal
)),"")</f>
        <v/>
      </c>
    </row>
    <row r="442" spans="1:17">
      <c r="A442" s="2" t="str">
        <f>_xlfn.TEXTJOIN("",TRUE,Input!$B$2,ROW(My_Audit!A441))</f>
        <v>XX441</v>
      </c>
      <c r="B442" s="2" t="str">
        <f>_xlfn.TEXTJOIN("-",TRUE,"ITD",Input!$A$2,A442)</f>
        <v>ITD-SHRXXX-XX441</v>
      </c>
      <c r="C442" s="2" t="str" cm="1">
        <f t="array" ref="C442">IFERROR(_xlfn.LET(
_xlpm.CSVVal,_xlfn.XLOOKUP($A442,CSV!$A:$A,CSV!B:B,""),
_xlpm.MacVal,_xlfn.XLOOKUP($A442,Output_Mac!$A:$A,Output_Mac!B:B,""),
_xlpm.MyAuditVal,_xlfn.XLOOKUP($A442,My_Audit!$A:$A,My_Audit!B:B,""),
_xlfn.IFS(_xlpm.MyAuditVal&lt;&gt;"",UPPER(_xlpm.MyAuditVal),_xlpm.MacVal&lt;&gt;"",_xlpm.MacVal,_xlpm.CSVVal&lt;&gt;"",_xlpm.CSVVal
)),"")</f>
        <v/>
      </c>
      <c r="D442" s="2" t="str" cm="1">
        <f t="array" ref="D442">IFERROR(_xlfn.LET(
_xlpm.CSVVal,_xlfn.XLOOKUP($A442,CSV!$A:$A,CSV!D:D,""),
_xlpm.MacVal,_xlfn.XLOOKUP($A442,Output_Mac!$A:$A,Output_Mac!C:C,""),
_xlpm.MyAuditVal,_xlfn.XLOOKUP($A442,My_Audit!$A:$A,My_Audit!C:C,""),
_xlfn.IFS(_xlpm.MyAuditVal&lt;&gt;"",_xlpm.MyAuditVal,_xlpm.MacVal&lt;&gt;"",_xlpm.MacVal,_xlpm.CSVVal&lt;&gt;"",_xlpm.CSVVal
)),"")</f>
        <v/>
      </c>
      <c r="E442" s="2" t="str">
        <f>_xlfn.XLOOKUP(A442,My_Audit!A:A,My_Audit!D:D,"")&amp;""</f>
        <v/>
      </c>
      <c r="F442" s="2" t="str" cm="1">
        <f t="array" ref="F442">IFERROR(_xlfn.LET(
_xlpm.CSVVal,_xlfn.XLOOKUP($A442,CSV!$A:$A,CSV!F:F,""),
_xlpm.MacVal,_xlfn.XLOOKUP($A442,Output_Mac!$A:$A,Output_Mac!E:E,""),
_xlpm.MyAuditVal,_xlfn.XLOOKUP($A442,My_Audit!$A:$A,My_Audit!E:E,""),
_xlfn.IFS(_xlpm.MyAuditVal&lt;&gt;"",_xlpm.MyAuditVal,_xlpm.MacVal&lt;&gt;"",_xlpm.MacVal,_xlpm.CSVVal&lt;&gt;"",_xlpm.CSVVal
)),"")</f>
        <v/>
      </c>
      <c r="G442" s="2" t="str" cm="1">
        <f t="array" ref="G442">IFERROR(_xlfn.LET(
_xlpm.CSVVal,_xlfn.XLOOKUP($A442,CSV!$A:$A,CSV!G:G,""),
_xlpm.MacVal,_xlfn.XLOOKUP($A442,Output_Mac!$A:$A,Output_Mac!F:F,""),
_xlpm.MyAuditVal,_xlfn.XLOOKUP($A442,My_Audit!$A:$A,My_Audit!F:F,""),
_xlfn.IFS(_xlpm.MyAuditVal&lt;&gt;"",_xlpm.MyAuditVal,_xlpm.MacVal&lt;&gt;"",_xlpm.MacVal,_xlpm.CSVVal&lt;&gt;"",PROPER(_xlpm.CSVVal)
)),"")</f>
        <v/>
      </c>
      <c r="H442" s="2" t="str" cm="1">
        <f t="array" ref="H442">IFERROR(_xlfn.LET(
_xlpm.CSVVal,_xlfn.XLOOKUP($A442,CSV!$A:$A,CSV!H:H,""),
_xlpm.MacVal,_xlfn.XLOOKUP($A442,Output_Mac!$A:$A,Output_Mac!H:H,""),
_xlpm.MyAuditVal,_xlfn.XLOOKUP($A442,My_Audit!$A:$A,My_Audit!G:G,""),
_xlfn.IFS(_xlpm.MyAuditVal&lt;&gt;"",_xlpm.MyAuditVal,_xlpm.MacVal&lt;&gt;"",_xlpm.MacVal,_xlpm.CSVVal&lt;&gt;"",_xlpm.CSVVal
)),"")</f>
        <v/>
      </c>
      <c r="I442" s="2" t="str">
        <f>_xlfn.XLOOKUP(A442,Output_Mac!A:A,Output_Mac!I:I,"")</f>
        <v/>
      </c>
      <c r="J442" s="2" t="str" cm="1">
        <f t="array" ref="J442">IFERROR(_xlfn.LET(
_xlpm.CSVVal,_xlfn.XLOOKUP($A442,CSV!$A:$A,CSV!I:I,""),
_xlpm.MacVal,_xlfn.XLOOKUP($A442,Output_Mac!$A:$A,Output_Mac!J:J,""),
_xlpm.MyAuditVal,_xlfn.XLOOKUP($A442,My_Audit!$A:$A,My_Audit!I:I,""),
_xlfn.IFS(_xlpm.MyAuditVal&lt;&gt;"",UPPER(_xlpm.MyAuditVal),_xlpm.MacVal&lt;&gt;"",_xlpm.MacVal,_xlpm.CSVVal&lt;&gt;"",_xlpm.CSVVal
)),"")</f>
        <v/>
      </c>
      <c r="K442" s="2" t="str" cm="1">
        <f t="array" ref="K442">IFERROR(_xlfn.LET(
_xlpm.CSVVal,_xlfn.XLOOKUP($A442,CSV!$A:$A,CSV!K:K,""),
_xlpm.MacVal,_xlfn.XLOOKUP($A442,Output_Mac!$A:$A,Output_Mac!K:K,""),
_xlpm.MyAuditVal,_xlfn.XLOOKUP($A442,My_Audit!$A:$A,My_Audit!J:J,""),
_xlfn.IFS(_xlpm.MyAuditVal&lt;&gt;"",UPPER(_xlpm.MyAuditVal),_xlpm.MacVal&lt;&gt;"",_xlpm.MacVal,_xlpm.CSVVal&lt;&gt;"",_xlpm.CSVVal
)),"")</f>
        <v/>
      </c>
      <c r="L442" s="2" t="str" cm="1">
        <f t="array" ref="L442">IFERROR(_xlfn.LET(
_xlpm.CSVVal,_xlfn.XLOOKUP($A442,CSV!$A:$A,CSV!P:P,""),
_xlpm.MacVal,_xlfn.XLOOKUP($A442,Output_Mac!$A:$A,Output_Mac!L:L,""),
_xlpm.MyAuditVal,_xlfn.XLOOKUP($A442,My_Audit!$A:$A,My_Audit!K:K,""),
_xlfn.IFS(_xlpm.MyAuditVal&lt;&gt;"",UPPER(_xlpm.MyAuditVal),_xlpm.MacVal&lt;&gt;"",_xlpm.MacVal,_xlpm.CSVVal&lt;&gt;"",_xlpm.CSVVal
)),"")</f>
        <v/>
      </c>
      <c r="M442" s="2" t="str" cm="1">
        <f t="array" ref="M442">IFERROR(_xlfn.LET(
_xlpm.CSVVal,_xlfn.XLOOKUP($A442,CSV!$A:$A,CSV!Q:Q,""),
_xlpm.MacVal,_xlfn.XLOOKUP($A442,Output_Mac!$A:$A,Output_Mac!M:M,""),
_xlpm.MyAuditVal,_xlfn.XLOOKUP($A442,My_Audit!$A:$A,My_Audit!L:L,""),
_xlfn.IFS(_xlpm.MyAuditVal&lt;&gt;"",UPPER(_xlpm.MyAuditVal),_xlpm.MacVal&lt;&gt;"",_xlpm.MacVal,_xlpm.CSVVal&lt;&gt;"",_xlpm.CSVVal
)),"")</f>
        <v/>
      </c>
      <c r="O442" s="2" t="str">
        <f>_xlfn.LET(
    _xlpm.CSVVal, _xlfn.XLOOKUP($A442, CSV!$A:$A, CSV!AF:AF, ""),
    _xlpm.MacVal, _xlfn.XLOOKUP($A442, Output_Mac!$A:$A, Output_Mac!S:S, ""),
    _xlpm.MyAuditVal, _xlfn.XLOOKUP($A442, My_Audit!$A:$A, My_Audit!P:P, ""),
    _xlfn.TEXTJOIN(", ", TRUE, _xlpm.MyAuditVal, _xlpm.MacVal, _xlpm.CSVVal)
)</f>
        <v/>
      </c>
      <c r="P442" s="2" t="str" cm="1">
        <f t="array" ref="P442">IFERROR(_xlfn.LET(
_xlpm.CSVVal,_xlfn.XLOOKUP($A442,CSV!$A:$A,CSV!AG:AG,""),
_xlpm.MacVal,_xlfn.XLOOKUP($A442,Output_Mac!$A:$A,Output_Mac!T:T,""),
_xlpm.MyAuditVal,_xlfn.XLOOKUP($A442,My_Audit!$A:$A,My_Audit!Q:Q,""),
_xlfn.IFS(_xlpm.MyAuditVal&lt;&gt;"",UPPER(_xlpm.MyAuditVal),_xlpm.MacVal&lt;&gt;"",_xlpm.MacVal,_xlpm.CSVVal&lt;&gt;"",_xlpm.CSVVal
)),"No")</f>
        <v>No</v>
      </c>
      <c r="Q442" s="2" t="str" cm="1">
        <f t="array" ref="Q442">IFERROR(_xlfn.LET(
_xlpm.CSVVal,_xlfn.XLOOKUP($A442,CSV!$A:$A,CSV!AH:AH,""),
_xlpm.MacVal,_xlfn.XLOOKUP($A442,Output_Mac!$A:$A,Output_Mac!U:U,""),
_xlpm.MyAuditVal,_xlfn.XLOOKUP($A442,My_Audit!$A:$A,My_Audit!R:R,""),
_xlfn.IFS(_xlpm.MyAuditVal&lt;&gt;"",UPPER(_xlpm.MyAuditVal),_xlpm.MacVal&lt;&gt;"",_xlpm.MacVal,_xlpm.CSVVal&lt;&gt;"",_xlpm.CSVVal
)),"")</f>
        <v/>
      </c>
    </row>
    <row r="443" spans="1:17">
      <c r="A443" s="2" t="str">
        <f>_xlfn.TEXTJOIN("",TRUE,Input!$B$2,ROW(My_Audit!A442))</f>
        <v>XX442</v>
      </c>
      <c r="B443" s="2" t="str">
        <f>_xlfn.TEXTJOIN("-",TRUE,"ITD",Input!$A$2,A443)</f>
        <v>ITD-SHRXXX-XX442</v>
      </c>
      <c r="C443" s="2" t="str" cm="1">
        <f t="array" ref="C443">IFERROR(_xlfn.LET(
_xlpm.CSVVal,_xlfn.XLOOKUP($A443,CSV!$A:$A,CSV!B:B,""),
_xlpm.MacVal,_xlfn.XLOOKUP($A443,Output_Mac!$A:$A,Output_Mac!B:B,""),
_xlpm.MyAuditVal,_xlfn.XLOOKUP($A443,My_Audit!$A:$A,My_Audit!B:B,""),
_xlfn.IFS(_xlpm.MyAuditVal&lt;&gt;"",UPPER(_xlpm.MyAuditVal),_xlpm.MacVal&lt;&gt;"",_xlpm.MacVal,_xlpm.CSVVal&lt;&gt;"",_xlpm.CSVVal
)),"")</f>
        <v/>
      </c>
      <c r="D443" s="2" t="str" cm="1">
        <f t="array" ref="D443">IFERROR(_xlfn.LET(
_xlpm.CSVVal,_xlfn.XLOOKUP($A443,CSV!$A:$A,CSV!D:D,""),
_xlpm.MacVal,_xlfn.XLOOKUP($A443,Output_Mac!$A:$A,Output_Mac!C:C,""),
_xlpm.MyAuditVal,_xlfn.XLOOKUP($A443,My_Audit!$A:$A,My_Audit!C:C,""),
_xlfn.IFS(_xlpm.MyAuditVal&lt;&gt;"",_xlpm.MyAuditVal,_xlpm.MacVal&lt;&gt;"",_xlpm.MacVal,_xlpm.CSVVal&lt;&gt;"",_xlpm.CSVVal
)),"")</f>
        <v/>
      </c>
      <c r="E443" s="2" t="str">
        <f>_xlfn.XLOOKUP(A443,My_Audit!A:A,My_Audit!D:D,"")&amp;""</f>
        <v/>
      </c>
      <c r="F443" s="2" t="str" cm="1">
        <f t="array" ref="F443">IFERROR(_xlfn.LET(
_xlpm.CSVVal,_xlfn.XLOOKUP($A443,CSV!$A:$A,CSV!F:F,""),
_xlpm.MacVal,_xlfn.XLOOKUP($A443,Output_Mac!$A:$A,Output_Mac!E:E,""),
_xlpm.MyAuditVal,_xlfn.XLOOKUP($A443,My_Audit!$A:$A,My_Audit!E:E,""),
_xlfn.IFS(_xlpm.MyAuditVal&lt;&gt;"",_xlpm.MyAuditVal,_xlpm.MacVal&lt;&gt;"",_xlpm.MacVal,_xlpm.CSVVal&lt;&gt;"",_xlpm.CSVVal
)),"")</f>
        <v/>
      </c>
      <c r="G443" s="2" t="str" cm="1">
        <f t="array" ref="G443">IFERROR(_xlfn.LET(
_xlpm.CSVVal,_xlfn.XLOOKUP($A443,CSV!$A:$A,CSV!G:G,""),
_xlpm.MacVal,_xlfn.XLOOKUP($A443,Output_Mac!$A:$A,Output_Mac!F:F,""),
_xlpm.MyAuditVal,_xlfn.XLOOKUP($A443,My_Audit!$A:$A,My_Audit!F:F,""),
_xlfn.IFS(_xlpm.MyAuditVal&lt;&gt;"",_xlpm.MyAuditVal,_xlpm.MacVal&lt;&gt;"",_xlpm.MacVal,_xlpm.CSVVal&lt;&gt;"",PROPER(_xlpm.CSVVal)
)),"")</f>
        <v/>
      </c>
      <c r="H443" s="2" t="str" cm="1">
        <f t="array" ref="H443">IFERROR(_xlfn.LET(
_xlpm.CSVVal,_xlfn.XLOOKUP($A443,CSV!$A:$A,CSV!H:H,""),
_xlpm.MacVal,_xlfn.XLOOKUP($A443,Output_Mac!$A:$A,Output_Mac!H:H,""),
_xlpm.MyAuditVal,_xlfn.XLOOKUP($A443,My_Audit!$A:$A,My_Audit!G:G,""),
_xlfn.IFS(_xlpm.MyAuditVal&lt;&gt;"",_xlpm.MyAuditVal,_xlpm.MacVal&lt;&gt;"",_xlpm.MacVal,_xlpm.CSVVal&lt;&gt;"",_xlpm.CSVVal
)),"")</f>
        <v/>
      </c>
      <c r="I443" s="2" t="str">
        <f>_xlfn.XLOOKUP(A443,Output_Mac!A:A,Output_Mac!I:I,"")</f>
        <v/>
      </c>
      <c r="J443" s="2" t="str" cm="1">
        <f t="array" ref="J443">IFERROR(_xlfn.LET(
_xlpm.CSVVal,_xlfn.XLOOKUP($A443,CSV!$A:$A,CSV!I:I,""),
_xlpm.MacVal,_xlfn.XLOOKUP($A443,Output_Mac!$A:$A,Output_Mac!J:J,""),
_xlpm.MyAuditVal,_xlfn.XLOOKUP($A443,My_Audit!$A:$A,My_Audit!I:I,""),
_xlfn.IFS(_xlpm.MyAuditVal&lt;&gt;"",UPPER(_xlpm.MyAuditVal),_xlpm.MacVal&lt;&gt;"",_xlpm.MacVal,_xlpm.CSVVal&lt;&gt;"",_xlpm.CSVVal
)),"")</f>
        <v/>
      </c>
      <c r="K443" s="2" t="str" cm="1">
        <f t="array" ref="K443">IFERROR(_xlfn.LET(
_xlpm.CSVVal,_xlfn.XLOOKUP($A443,CSV!$A:$A,CSV!K:K,""),
_xlpm.MacVal,_xlfn.XLOOKUP($A443,Output_Mac!$A:$A,Output_Mac!K:K,""),
_xlpm.MyAuditVal,_xlfn.XLOOKUP($A443,My_Audit!$A:$A,My_Audit!J:J,""),
_xlfn.IFS(_xlpm.MyAuditVal&lt;&gt;"",UPPER(_xlpm.MyAuditVal),_xlpm.MacVal&lt;&gt;"",_xlpm.MacVal,_xlpm.CSVVal&lt;&gt;"",_xlpm.CSVVal
)),"")</f>
        <v/>
      </c>
      <c r="L443" s="2" t="str" cm="1">
        <f t="array" ref="L443">IFERROR(_xlfn.LET(
_xlpm.CSVVal,_xlfn.XLOOKUP($A443,CSV!$A:$A,CSV!P:P,""),
_xlpm.MacVal,_xlfn.XLOOKUP($A443,Output_Mac!$A:$A,Output_Mac!L:L,""),
_xlpm.MyAuditVal,_xlfn.XLOOKUP($A443,My_Audit!$A:$A,My_Audit!K:K,""),
_xlfn.IFS(_xlpm.MyAuditVal&lt;&gt;"",UPPER(_xlpm.MyAuditVal),_xlpm.MacVal&lt;&gt;"",_xlpm.MacVal,_xlpm.CSVVal&lt;&gt;"",_xlpm.CSVVal
)),"")</f>
        <v/>
      </c>
      <c r="M443" s="2" t="str" cm="1">
        <f t="array" ref="M443">IFERROR(_xlfn.LET(
_xlpm.CSVVal,_xlfn.XLOOKUP($A443,CSV!$A:$A,CSV!Q:Q,""),
_xlpm.MacVal,_xlfn.XLOOKUP($A443,Output_Mac!$A:$A,Output_Mac!M:M,""),
_xlpm.MyAuditVal,_xlfn.XLOOKUP($A443,My_Audit!$A:$A,My_Audit!L:L,""),
_xlfn.IFS(_xlpm.MyAuditVal&lt;&gt;"",UPPER(_xlpm.MyAuditVal),_xlpm.MacVal&lt;&gt;"",_xlpm.MacVal,_xlpm.CSVVal&lt;&gt;"",_xlpm.CSVVal
)),"")</f>
        <v/>
      </c>
      <c r="O443" s="2" t="str">
        <f>_xlfn.LET(
    _xlpm.CSVVal, _xlfn.XLOOKUP($A443, CSV!$A:$A, CSV!AF:AF, ""),
    _xlpm.MacVal, _xlfn.XLOOKUP($A443, Output_Mac!$A:$A, Output_Mac!S:S, ""),
    _xlpm.MyAuditVal, _xlfn.XLOOKUP($A443, My_Audit!$A:$A, My_Audit!P:P, ""),
    _xlfn.TEXTJOIN(", ", TRUE, _xlpm.MyAuditVal, _xlpm.MacVal, _xlpm.CSVVal)
)</f>
        <v/>
      </c>
      <c r="P443" s="2" t="str" cm="1">
        <f t="array" ref="P443">IFERROR(_xlfn.LET(
_xlpm.CSVVal,_xlfn.XLOOKUP($A443,CSV!$A:$A,CSV!AG:AG,""),
_xlpm.MacVal,_xlfn.XLOOKUP($A443,Output_Mac!$A:$A,Output_Mac!T:T,""),
_xlpm.MyAuditVal,_xlfn.XLOOKUP($A443,My_Audit!$A:$A,My_Audit!Q:Q,""),
_xlfn.IFS(_xlpm.MyAuditVal&lt;&gt;"",UPPER(_xlpm.MyAuditVal),_xlpm.MacVal&lt;&gt;"",_xlpm.MacVal,_xlpm.CSVVal&lt;&gt;"",_xlpm.CSVVal
)),"No")</f>
        <v>No</v>
      </c>
      <c r="Q443" s="2" t="str" cm="1">
        <f t="array" ref="Q443">IFERROR(_xlfn.LET(
_xlpm.CSVVal,_xlfn.XLOOKUP($A443,CSV!$A:$A,CSV!AH:AH,""),
_xlpm.MacVal,_xlfn.XLOOKUP($A443,Output_Mac!$A:$A,Output_Mac!U:U,""),
_xlpm.MyAuditVal,_xlfn.XLOOKUP($A443,My_Audit!$A:$A,My_Audit!R:R,""),
_xlfn.IFS(_xlpm.MyAuditVal&lt;&gt;"",UPPER(_xlpm.MyAuditVal),_xlpm.MacVal&lt;&gt;"",_xlpm.MacVal,_xlpm.CSVVal&lt;&gt;"",_xlpm.CSVVal
)),"")</f>
        <v/>
      </c>
    </row>
    <row r="444" spans="1:17">
      <c r="A444" s="2" t="str">
        <f>_xlfn.TEXTJOIN("",TRUE,Input!$B$2,ROW(My_Audit!A443))</f>
        <v>XX443</v>
      </c>
      <c r="B444" s="2" t="str">
        <f>_xlfn.TEXTJOIN("-",TRUE,"ITD",Input!$A$2,A444)</f>
        <v>ITD-SHRXXX-XX443</v>
      </c>
      <c r="C444" s="2" t="str" cm="1">
        <f t="array" ref="C444">IFERROR(_xlfn.LET(
_xlpm.CSVVal,_xlfn.XLOOKUP($A444,CSV!$A:$A,CSV!B:B,""),
_xlpm.MacVal,_xlfn.XLOOKUP($A444,Output_Mac!$A:$A,Output_Mac!B:B,""),
_xlpm.MyAuditVal,_xlfn.XLOOKUP($A444,My_Audit!$A:$A,My_Audit!B:B,""),
_xlfn.IFS(_xlpm.MyAuditVal&lt;&gt;"",UPPER(_xlpm.MyAuditVal),_xlpm.MacVal&lt;&gt;"",_xlpm.MacVal,_xlpm.CSVVal&lt;&gt;"",_xlpm.CSVVal
)),"")</f>
        <v/>
      </c>
      <c r="D444" s="2" t="str" cm="1">
        <f t="array" ref="D444">IFERROR(_xlfn.LET(
_xlpm.CSVVal,_xlfn.XLOOKUP($A444,CSV!$A:$A,CSV!D:D,""),
_xlpm.MacVal,_xlfn.XLOOKUP($A444,Output_Mac!$A:$A,Output_Mac!C:C,""),
_xlpm.MyAuditVal,_xlfn.XLOOKUP($A444,My_Audit!$A:$A,My_Audit!C:C,""),
_xlfn.IFS(_xlpm.MyAuditVal&lt;&gt;"",_xlpm.MyAuditVal,_xlpm.MacVal&lt;&gt;"",_xlpm.MacVal,_xlpm.CSVVal&lt;&gt;"",_xlpm.CSVVal
)),"")</f>
        <v/>
      </c>
      <c r="E444" s="2" t="str">
        <f>_xlfn.XLOOKUP(A444,My_Audit!A:A,My_Audit!D:D,"")&amp;""</f>
        <v/>
      </c>
      <c r="F444" s="2" t="str" cm="1">
        <f t="array" ref="F444">IFERROR(_xlfn.LET(
_xlpm.CSVVal,_xlfn.XLOOKUP($A444,CSV!$A:$A,CSV!F:F,""),
_xlpm.MacVal,_xlfn.XLOOKUP($A444,Output_Mac!$A:$A,Output_Mac!E:E,""),
_xlpm.MyAuditVal,_xlfn.XLOOKUP($A444,My_Audit!$A:$A,My_Audit!E:E,""),
_xlfn.IFS(_xlpm.MyAuditVal&lt;&gt;"",_xlpm.MyAuditVal,_xlpm.MacVal&lt;&gt;"",_xlpm.MacVal,_xlpm.CSVVal&lt;&gt;"",_xlpm.CSVVal
)),"")</f>
        <v/>
      </c>
      <c r="G444" s="2" t="str" cm="1">
        <f t="array" ref="G444">IFERROR(_xlfn.LET(
_xlpm.CSVVal,_xlfn.XLOOKUP($A444,CSV!$A:$A,CSV!G:G,""),
_xlpm.MacVal,_xlfn.XLOOKUP($A444,Output_Mac!$A:$A,Output_Mac!F:F,""),
_xlpm.MyAuditVal,_xlfn.XLOOKUP($A444,My_Audit!$A:$A,My_Audit!F:F,""),
_xlfn.IFS(_xlpm.MyAuditVal&lt;&gt;"",_xlpm.MyAuditVal,_xlpm.MacVal&lt;&gt;"",_xlpm.MacVal,_xlpm.CSVVal&lt;&gt;"",PROPER(_xlpm.CSVVal)
)),"")</f>
        <v/>
      </c>
      <c r="H444" s="2" t="str" cm="1">
        <f t="array" ref="H444">IFERROR(_xlfn.LET(
_xlpm.CSVVal,_xlfn.XLOOKUP($A444,CSV!$A:$A,CSV!H:H,""),
_xlpm.MacVal,_xlfn.XLOOKUP($A444,Output_Mac!$A:$A,Output_Mac!H:H,""),
_xlpm.MyAuditVal,_xlfn.XLOOKUP($A444,My_Audit!$A:$A,My_Audit!G:G,""),
_xlfn.IFS(_xlpm.MyAuditVal&lt;&gt;"",_xlpm.MyAuditVal,_xlpm.MacVal&lt;&gt;"",_xlpm.MacVal,_xlpm.CSVVal&lt;&gt;"",_xlpm.CSVVal
)),"")</f>
        <v/>
      </c>
      <c r="I444" s="2" t="str">
        <f>_xlfn.XLOOKUP(A444,Output_Mac!A:A,Output_Mac!I:I,"")</f>
        <v/>
      </c>
      <c r="J444" s="2" t="str" cm="1">
        <f t="array" ref="J444">IFERROR(_xlfn.LET(
_xlpm.CSVVal,_xlfn.XLOOKUP($A444,CSV!$A:$A,CSV!I:I,""),
_xlpm.MacVal,_xlfn.XLOOKUP($A444,Output_Mac!$A:$A,Output_Mac!J:J,""),
_xlpm.MyAuditVal,_xlfn.XLOOKUP($A444,My_Audit!$A:$A,My_Audit!I:I,""),
_xlfn.IFS(_xlpm.MyAuditVal&lt;&gt;"",UPPER(_xlpm.MyAuditVal),_xlpm.MacVal&lt;&gt;"",_xlpm.MacVal,_xlpm.CSVVal&lt;&gt;"",_xlpm.CSVVal
)),"")</f>
        <v/>
      </c>
      <c r="K444" s="2" t="str" cm="1">
        <f t="array" ref="K444">IFERROR(_xlfn.LET(
_xlpm.CSVVal,_xlfn.XLOOKUP($A444,CSV!$A:$A,CSV!K:K,""),
_xlpm.MacVal,_xlfn.XLOOKUP($A444,Output_Mac!$A:$A,Output_Mac!K:K,""),
_xlpm.MyAuditVal,_xlfn.XLOOKUP($A444,My_Audit!$A:$A,My_Audit!J:J,""),
_xlfn.IFS(_xlpm.MyAuditVal&lt;&gt;"",UPPER(_xlpm.MyAuditVal),_xlpm.MacVal&lt;&gt;"",_xlpm.MacVal,_xlpm.CSVVal&lt;&gt;"",_xlpm.CSVVal
)),"")</f>
        <v/>
      </c>
      <c r="L444" s="2" t="str" cm="1">
        <f t="array" ref="L444">IFERROR(_xlfn.LET(
_xlpm.CSVVal,_xlfn.XLOOKUP($A444,CSV!$A:$A,CSV!P:P,""),
_xlpm.MacVal,_xlfn.XLOOKUP($A444,Output_Mac!$A:$A,Output_Mac!L:L,""),
_xlpm.MyAuditVal,_xlfn.XLOOKUP($A444,My_Audit!$A:$A,My_Audit!K:K,""),
_xlfn.IFS(_xlpm.MyAuditVal&lt;&gt;"",UPPER(_xlpm.MyAuditVal),_xlpm.MacVal&lt;&gt;"",_xlpm.MacVal,_xlpm.CSVVal&lt;&gt;"",_xlpm.CSVVal
)),"")</f>
        <v/>
      </c>
      <c r="M444" s="2" t="str" cm="1">
        <f t="array" ref="M444">IFERROR(_xlfn.LET(
_xlpm.CSVVal,_xlfn.XLOOKUP($A444,CSV!$A:$A,CSV!Q:Q,""),
_xlpm.MacVal,_xlfn.XLOOKUP($A444,Output_Mac!$A:$A,Output_Mac!M:M,""),
_xlpm.MyAuditVal,_xlfn.XLOOKUP($A444,My_Audit!$A:$A,My_Audit!L:L,""),
_xlfn.IFS(_xlpm.MyAuditVal&lt;&gt;"",UPPER(_xlpm.MyAuditVal),_xlpm.MacVal&lt;&gt;"",_xlpm.MacVal,_xlpm.CSVVal&lt;&gt;"",_xlpm.CSVVal
)),"")</f>
        <v/>
      </c>
      <c r="O444" s="2" t="str">
        <f>_xlfn.LET(
    _xlpm.CSVVal, _xlfn.XLOOKUP($A444, CSV!$A:$A, CSV!AF:AF, ""),
    _xlpm.MacVal, _xlfn.XLOOKUP($A444, Output_Mac!$A:$A, Output_Mac!S:S, ""),
    _xlpm.MyAuditVal, _xlfn.XLOOKUP($A444, My_Audit!$A:$A, My_Audit!P:P, ""),
    _xlfn.TEXTJOIN(", ", TRUE, _xlpm.MyAuditVal, _xlpm.MacVal, _xlpm.CSVVal)
)</f>
        <v/>
      </c>
      <c r="P444" s="2" t="str" cm="1">
        <f t="array" ref="P444">IFERROR(_xlfn.LET(
_xlpm.CSVVal,_xlfn.XLOOKUP($A444,CSV!$A:$A,CSV!AG:AG,""),
_xlpm.MacVal,_xlfn.XLOOKUP($A444,Output_Mac!$A:$A,Output_Mac!T:T,""),
_xlpm.MyAuditVal,_xlfn.XLOOKUP($A444,My_Audit!$A:$A,My_Audit!Q:Q,""),
_xlfn.IFS(_xlpm.MyAuditVal&lt;&gt;"",UPPER(_xlpm.MyAuditVal),_xlpm.MacVal&lt;&gt;"",_xlpm.MacVal,_xlpm.CSVVal&lt;&gt;"",_xlpm.CSVVal
)),"No")</f>
        <v>No</v>
      </c>
      <c r="Q444" s="2" t="str" cm="1">
        <f t="array" ref="Q444">IFERROR(_xlfn.LET(
_xlpm.CSVVal,_xlfn.XLOOKUP($A444,CSV!$A:$A,CSV!AH:AH,""),
_xlpm.MacVal,_xlfn.XLOOKUP($A444,Output_Mac!$A:$A,Output_Mac!U:U,""),
_xlpm.MyAuditVal,_xlfn.XLOOKUP($A444,My_Audit!$A:$A,My_Audit!R:R,""),
_xlfn.IFS(_xlpm.MyAuditVal&lt;&gt;"",UPPER(_xlpm.MyAuditVal),_xlpm.MacVal&lt;&gt;"",_xlpm.MacVal,_xlpm.CSVVal&lt;&gt;"",_xlpm.CSVVal
)),"")</f>
        <v/>
      </c>
    </row>
    <row r="445" spans="1:17">
      <c r="A445" s="2" t="str">
        <f>_xlfn.TEXTJOIN("",TRUE,Input!$B$2,ROW(My_Audit!A444))</f>
        <v>XX444</v>
      </c>
      <c r="B445" s="2" t="str">
        <f>_xlfn.TEXTJOIN("-",TRUE,"ITD",Input!$A$2,A445)</f>
        <v>ITD-SHRXXX-XX444</v>
      </c>
      <c r="C445" s="2" t="str" cm="1">
        <f t="array" ref="C445">IFERROR(_xlfn.LET(
_xlpm.CSVVal,_xlfn.XLOOKUP($A445,CSV!$A:$A,CSV!B:B,""),
_xlpm.MacVal,_xlfn.XLOOKUP($A445,Output_Mac!$A:$A,Output_Mac!B:B,""),
_xlpm.MyAuditVal,_xlfn.XLOOKUP($A445,My_Audit!$A:$A,My_Audit!B:B,""),
_xlfn.IFS(_xlpm.MyAuditVal&lt;&gt;"",UPPER(_xlpm.MyAuditVal),_xlpm.MacVal&lt;&gt;"",_xlpm.MacVal,_xlpm.CSVVal&lt;&gt;"",_xlpm.CSVVal
)),"")</f>
        <v/>
      </c>
      <c r="D445" s="2" t="str" cm="1">
        <f t="array" ref="D445">IFERROR(_xlfn.LET(
_xlpm.CSVVal,_xlfn.XLOOKUP($A445,CSV!$A:$A,CSV!D:D,""),
_xlpm.MacVal,_xlfn.XLOOKUP($A445,Output_Mac!$A:$A,Output_Mac!C:C,""),
_xlpm.MyAuditVal,_xlfn.XLOOKUP($A445,My_Audit!$A:$A,My_Audit!C:C,""),
_xlfn.IFS(_xlpm.MyAuditVal&lt;&gt;"",_xlpm.MyAuditVal,_xlpm.MacVal&lt;&gt;"",_xlpm.MacVal,_xlpm.CSVVal&lt;&gt;"",_xlpm.CSVVal
)),"")</f>
        <v/>
      </c>
      <c r="E445" s="2" t="str">
        <f>_xlfn.XLOOKUP(A445,My_Audit!A:A,My_Audit!D:D,"")&amp;""</f>
        <v/>
      </c>
      <c r="F445" s="2" t="str" cm="1">
        <f t="array" ref="F445">IFERROR(_xlfn.LET(
_xlpm.CSVVal,_xlfn.XLOOKUP($A445,CSV!$A:$A,CSV!F:F,""),
_xlpm.MacVal,_xlfn.XLOOKUP($A445,Output_Mac!$A:$A,Output_Mac!E:E,""),
_xlpm.MyAuditVal,_xlfn.XLOOKUP($A445,My_Audit!$A:$A,My_Audit!E:E,""),
_xlfn.IFS(_xlpm.MyAuditVal&lt;&gt;"",_xlpm.MyAuditVal,_xlpm.MacVal&lt;&gt;"",_xlpm.MacVal,_xlpm.CSVVal&lt;&gt;"",_xlpm.CSVVal
)),"")</f>
        <v/>
      </c>
      <c r="G445" s="2" t="str" cm="1">
        <f t="array" ref="G445">IFERROR(_xlfn.LET(
_xlpm.CSVVal,_xlfn.XLOOKUP($A445,CSV!$A:$A,CSV!G:G,""),
_xlpm.MacVal,_xlfn.XLOOKUP($A445,Output_Mac!$A:$A,Output_Mac!F:F,""),
_xlpm.MyAuditVal,_xlfn.XLOOKUP($A445,My_Audit!$A:$A,My_Audit!F:F,""),
_xlfn.IFS(_xlpm.MyAuditVal&lt;&gt;"",_xlpm.MyAuditVal,_xlpm.MacVal&lt;&gt;"",_xlpm.MacVal,_xlpm.CSVVal&lt;&gt;"",PROPER(_xlpm.CSVVal)
)),"")</f>
        <v/>
      </c>
      <c r="H445" s="2" t="str" cm="1">
        <f t="array" ref="H445">IFERROR(_xlfn.LET(
_xlpm.CSVVal,_xlfn.XLOOKUP($A445,CSV!$A:$A,CSV!H:H,""),
_xlpm.MacVal,_xlfn.XLOOKUP($A445,Output_Mac!$A:$A,Output_Mac!H:H,""),
_xlpm.MyAuditVal,_xlfn.XLOOKUP($A445,My_Audit!$A:$A,My_Audit!G:G,""),
_xlfn.IFS(_xlpm.MyAuditVal&lt;&gt;"",_xlpm.MyAuditVal,_xlpm.MacVal&lt;&gt;"",_xlpm.MacVal,_xlpm.CSVVal&lt;&gt;"",_xlpm.CSVVal
)),"")</f>
        <v/>
      </c>
      <c r="I445" s="2" t="str">
        <f>_xlfn.XLOOKUP(A445,Output_Mac!A:A,Output_Mac!I:I,"")</f>
        <v/>
      </c>
      <c r="J445" s="2" t="str" cm="1">
        <f t="array" ref="J445">IFERROR(_xlfn.LET(
_xlpm.CSVVal,_xlfn.XLOOKUP($A445,CSV!$A:$A,CSV!I:I,""),
_xlpm.MacVal,_xlfn.XLOOKUP($A445,Output_Mac!$A:$A,Output_Mac!J:J,""),
_xlpm.MyAuditVal,_xlfn.XLOOKUP($A445,My_Audit!$A:$A,My_Audit!I:I,""),
_xlfn.IFS(_xlpm.MyAuditVal&lt;&gt;"",UPPER(_xlpm.MyAuditVal),_xlpm.MacVal&lt;&gt;"",_xlpm.MacVal,_xlpm.CSVVal&lt;&gt;"",_xlpm.CSVVal
)),"")</f>
        <v/>
      </c>
      <c r="K445" s="2" t="str" cm="1">
        <f t="array" ref="K445">IFERROR(_xlfn.LET(
_xlpm.CSVVal,_xlfn.XLOOKUP($A445,CSV!$A:$A,CSV!K:K,""),
_xlpm.MacVal,_xlfn.XLOOKUP($A445,Output_Mac!$A:$A,Output_Mac!K:K,""),
_xlpm.MyAuditVal,_xlfn.XLOOKUP($A445,My_Audit!$A:$A,My_Audit!J:J,""),
_xlfn.IFS(_xlpm.MyAuditVal&lt;&gt;"",UPPER(_xlpm.MyAuditVal),_xlpm.MacVal&lt;&gt;"",_xlpm.MacVal,_xlpm.CSVVal&lt;&gt;"",_xlpm.CSVVal
)),"")</f>
        <v/>
      </c>
      <c r="L445" s="2" t="str" cm="1">
        <f t="array" ref="L445">IFERROR(_xlfn.LET(
_xlpm.CSVVal,_xlfn.XLOOKUP($A445,CSV!$A:$A,CSV!P:P,""),
_xlpm.MacVal,_xlfn.XLOOKUP($A445,Output_Mac!$A:$A,Output_Mac!L:L,""),
_xlpm.MyAuditVal,_xlfn.XLOOKUP($A445,My_Audit!$A:$A,My_Audit!K:K,""),
_xlfn.IFS(_xlpm.MyAuditVal&lt;&gt;"",UPPER(_xlpm.MyAuditVal),_xlpm.MacVal&lt;&gt;"",_xlpm.MacVal,_xlpm.CSVVal&lt;&gt;"",_xlpm.CSVVal
)),"")</f>
        <v/>
      </c>
      <c r="M445" s="2" t="str" cm="1">
        <f t="array" ref="M445">IFERROR(_xlfn.LET(
_xlpm.CSVVal,_xlfn.XLOOKUP($A445,CSV!$A:$A,CSV!Q:Q,""),
_xlpm.MacVal,_xlfn.XLOOKUP($A445,Output_Mac!$A:$A,Output_Mac!M:M,""),
_xlpm.MyAuditVal,_xlfn.XLOOKUP($A445,My_Audit!$A:$A,My_Audit!L:L,""),
_xlfn.IFS(_xlpm.MyAuditVal&lt;&gt;"",UPPER(_xlpm.MyAuditVal),_xlpm.MacVal&lt;&gt;"",_xlpm.MacVal,_xlpm.CSVVal&lt;&gt;"",_xlpm.CSVVal
)),"")</f>
        <v/>
      </c>
      <c r="O445" s="2" t="str">
        <f>_xlfn.LET(
    _xlpm.CSVVal, _xlfn.XLOOKUP($A445, CSV!$A:$A, CSV!AF:AF, ""),
    _xlpm.MacVal, _xlfn.XLOOKUP($A445, Output_Mac!$A:$A, Output_Mac!S:S, ""),
    _xlpm.MyAuditVal, _xlfn.XLOOKUP($A445, My_Audit!$A:$A, My_Audit!P:P, ""),
    _xlfn.TEXTJOIN(", ", TRUE, _xlpm.MyAuditVal, _xlpm.MacVal, _xlpm.CSVVal)
)</f>
        <v/>
      </c>
      <c r="P445" s="2" t="str" cm="1">
        <f t="array" ref="P445">IFERROR(_xlfn.LET(
_xlpm.CSVVal,_xlfn.XLOOKUP($A445,CSV!$A:$A,CSV!AG:AG,""),
_xlpm.MacVal,_xlfn.XLOOKUP($A445,Output_Mac!$A:$A,Output_Mac!T:T,""),
_xlpm.MyAuditVal,_xlfn.XLOOKUP($A445,My_Audit!$A:$A,My_Audit!Q:Q,""),
_xlfn.IFS(_xlpm.MyAuditVal&lt;&gt;"",UPPER(_xlpm.MyAuditVal),_xlpm.MacVal&lt;&gt;"",_xlpm.MacVal,_xlpm.CSVVal&lt;&gt;"",_xlpm.CSVVal
)),"No")</f>
        <v>No</v>
      </c>
      <c r="Q445" s="2" t="str" cm="1">
        <f t="array" ref="Q445">IFERROR(_xlfn.LET(
_xlpm.CSVVal,_xlfn.XLOOKUP($A445,CSV!$A:$A,CSV!AH:AH,""),
_xlpm.MacVal,_xlfn.XLOOKUP($A445,Output_Mac!$A:$A,Output_Mac!U:U,""),
_xlpm.MyAuditVal,_xlfn.XLOOKUP($A445,My_Audit!$A:$A,My_Audit!R:R,""),
_xlfn.IFS(_xlpm.MyAuditVal&lt;&gt;"",UPPER(_xlpm.MyAuditVal),_xlpm.MacVal&lt;&gt;"",_xlpm.MacVal,_xlpm.CSVVal&lt;&gt;"",_xlpm.CSVVal
)),"")</f>
        <v/>
      </c>
    </row>
    <row r="446" spans="1:17">
      <c r="A446" s="2" t="str">
        <f>_xlfn.TEXTJOIN("",TRUE,Input!$B$2,ROW(My_Audit!A445))</f>
        <v>XX445</v>
      </c>
      <c r="B446" s="2" t="str">
        <f>_xlfn.TEXTJOIN("-",TRUE,"ITD",Input!$A$2,A446)</f>
        <v>ITD-SHRXXX-XX445</v>
      </c>
      <c r="C446" s="2" t="str" cm="1">
        <f t="array" ref="C446">IFERROR(_xlfn.LET(
_xlpm.CSVVal,_xlfn.XLOOKUP($A446,CSV!$A:$A,CSV!B:B,""),
_xlpm.MacVal,_xlfn.XLOOKUP($A446,Output_Mac!$A:$A,Output_Mac!B:B,""),
_xlpm.MyAuditVal,_xlfn.XLOOKUP($A446,My_Audit!$A:$A,My_Audit!B:B,""),
_xlfn.IFS(_xlpm.MyAuditVal&lt;&gt;"",UPPER(_xlpm.MyAuditVal),_xlpm.MacVal&lt;&gt;"",_xlpm.MacVal,_xlpm.CSVVal&lt;&gt;"",_xlpm.CSVVal
)),"")</f>
        <v/>
      </c>
      <c r="D446" s="2" t="str" cm="1">
        <f t="array" ref="D446">IFERROR(_xlfn.LET(
_xlpm.CSVVal,_xlfn.XLOOKUP($A446,CSV!$A:$A,CSV!D:D,""),
_xlpm.MacVal,_xlfn.XLOOKUP($A446,Output_Mac!$A:$A,Output_Mac!C:C,""),
_xlpm.MyAuditVal,_xlfn.XLOOKUP($A446,My_Audit!$A:$A,My_Audit!C:C,""),
_xlfn.IFS(_xlpm.MyAuditVal&lt;&gt;"",_xlpm.MyAuditVal,_xlpm.MacVal&lt;&gt;"",_xlpm.MacVal,_xlpm.CSVVal&lt;&gt;"",_xlpm.CSVVal
)),"")</f>
        <v/>
      </c>
      <c r="E446" s="2" t="str">
        <f>_xlfn.XLOOKUP(A446,My_Audit!A:A,My_Audit!D:D,"")&amp;""</f>
        <v/>
      </c>
      <c r="F446" s="2" t="str" cm="1">
        <f t="array" ref="F446">IFERROR(_xlfn.LET(
_xlpm.CSVVal,_xlfn.XLOOKUP($A446,CSV!$A:$A,CSV!F:F,""),
_xlpm.MacVal,_xlfn.XLOOKUP($A446,Output_Mac!$A:$A,Output_Mac!E:E,""),
_xlpm.MyAuditVal,_xlfn.XLOOKUP($A446,My_Audit!$A:$A,My_Audit!E:E,""),
_xlfn.IFS(_xlpm.MyAuditVal&lt;&gt;"",_xlpm.MyAuditVal,_xlpm.MacVal&lt;&gt;"",_xlpm.MacVal,_xlpm.CSVVal&lt;&gt;"",_xlpm.CSVVal
)),"")</f>
        <v/>
      </c>
      <c r="G446" s="2" t="str" cm="1">
        <f t="array" ref="G446">IFERROR(_xlfn.LET(
_xlpm.CSVVal,_xlfn.XLOOKUP($A446,CSV!$A:$A,CSV!G:G,""),
_xlpm.MacVal,_xlfn.XLOOKUP($A446,Output_Mac!$A:$A,Output_Mac!F:F,""),
_xlpm.MyAuditVal,_xlfn.XLOOKUP($A446,My_Audit!$A:$A,My_Audit!F:F,""),
_xlfn.IFS(_xlpm.MyAuditVal&lt;&gt;"",_xlpm.MyAuditVal,_xlpm.MacVal&lt;&gt;"",_xlpm.MacVal,_xlpm.CSVVal&lt;&gt;"",PROPER(_xlpm.CSVVal)
)),"")</f>
        <v/>
      </c>
      <c r="H446" s="2" t="str" cm="1">
        <f t="array" ref="H446">IFERROR(_xlfn.LET(
_xlpm.CSVVal,_xlfn.XLOOKUP($A446,CSV!$A:$A,CSV!H:H,""),
_xlpm.MacVal,_xlfn.XLOOKUP($A446,Output_Mac!$A:$A,Output_Mac!H:H,""),
_xlpm.MyAuditVal,_xlfn.XLOOKUP($A446,My_Audit!$A:$A,My_Audit!G:G,""),
_xlfn.IFS(_xlpm.MyAuditVal&lt;&gt;"",_xlpm.MyAuditVal,_xlpm.MacVal&lt;&gt;"",_xlpm.MacVal,_xlpm.CSVVal&lt;&gt;"",_xlpm.CSVVal
)),"")</f>
        <v/>
      </c>
      <c r="I446" s="2" t="str">
        <f>_xlfn.XLOOKUP(A446,Output_Mac!A:A,Output_Mac!I:I,"")</f>
        <v/>
      </c>
      <c r="J446" s="2" t="str" cm="1">
        <f t="array" ref="J446">IFERROR(_xlfn.LET(
_xlpm.CSVVal,_xlfn.XLOOKUP($A446,CSV!$A:$A,CSV!I:I,""),
_xlpm.MacVal,_xlfn.XLOOKUP($A446,Output_Mac!$A:$A,Output_Mac!J:J,""),
_xlpm.MyAuditVal,_xlfn.XLOOKUP($A446,My_Audit!$A:$A,My_Audit!I:I,""),
_xlfn.IFS(_xlpm.MyAuditVal&lt;&gt;"",UPPER(_xlpm.MyAuditVal),_xlpm.MacVal&lt;&gt;"",_xlpm.MacVal,_xlpm.CSVVal&lt;&gt;"",_xlpm.CSVVal
)),"")</f>
        <v/>
      </c>
      <c r="K446" s="2" t="str" cm="1">
        <f t="array" ref="K446">IFERROR(_xlfn.LET(
_xlpm.CSVVal,_xlfn.XLOOKUP($A446,CSV!$A:$A,CSV!K:K,""),
_xlpm.MacVal,_xlfn.XLOOKUP($A446,Output_Mac!$A:$A,Output_Mac!K:K,""),
_xlpm.MyAuditVal,_xlfn.XLOOKUP($A446,My_Audit!$A:$A,My_Audit!J:J,""),
_xlfn.IFS(_xlpm.MyAuditVal&lt;&gt;"",UPPER(_xlpm.MyAuditVal),_xlpm.MacVal&lt;&gt;"",_xlpm.MacVal,_xlpm.CSVVal&lt;&gt;"",_xlpm.CSVVal
)),"")</f>
        <v/>
      </c>
      <c r="L446" s="2" t="str" cm="1">
        <f t="array" ref="L446">IFERROR(_xlfn.LET(
_xlpm.CSVVal,_xlfn.XLOOKUP($A446,CSV!$A:$A,CSV!P:P,""),
_xlpm.MacVal,_xlfn.XLOOKUP($A446,Output_Mac!$A:$A,Output_Mac!L:L,""),
_xlpm.MyAuditVal,_xlfn.XLOOKUP($A446,My_Audit!$A:$A,My_Audit!K:K,""),
_xlfn.IFS(_xlpm.MyAuditVal&lt;&gt;"",UPPER(_xlpm.MyAuditVal),_xlpm.MacVal&lt;&gt;"",_xlpm.MacVal,_xlpm.CSVVal&lt;&gt;"",_xlpm.CSVVal
)),"")</f>
        <v/>
      </c>
      <c r="M446" s="2" t="str" cm="1">
        <f t="array" ref="M446">IFERROR(_xlfn.LET(
_xlpm.CSVVal,_xlfn.XLOOKUP($A446,CSV!$A:$A,CSV!Q:Q,""),
_xlpm.MacVal,_xlfn.XLOOKUP($A446,Output_Mac!$A:$A,Output_Mac!M:M,""),
_xlpm.MyAuditVal,_xlfn.XLOOKUP($A446,My_Audit!$A:$A,My_Audit!L:L,""),
_xlfn.IFS(_xlpm.MyAuditVal&lt;&gt;"",UPPER(_xlpm.MyAuditVal),_xlpm.MacVal&lt;&gt;"",_xlpm.MacVal,_xlpm.CSVVal&lt;&gt;"",_xlpm.CSVVal
)),"")</f>
        <v/>
      </c>
      <c r="O446" s="2" t="str">
        <f>_xlfn.LET(
    _xlpm.CSVVal, _xlfn.XLOOKUP($A446, CSV!$A:$A, CSV!AF:AF, ""),
    _xlpm.MacVal, _xlfn.XLOOKUP($A446, Output_Mac!$A:$A, Output_Mac!S:S, ""),
    _xlpm.MyAuditVal, _xlfn.XLOOKUP($A446, My_Audit!$A:$A, My_Audit!P:P, ""),
    _xlfn.TEXTJOIN(", ", TRUE, _xlpm.MyAuditVal, _xlpm.MacVal, _xlpm.CSVVal)
)</f>
        <v/>
      </c>
      <c r="P446" s="2" t="str" cm="1">
        <f t="array" ref="P446">IFERROR(_xlfn.LET(
_xlpm.CSVVal,_xlfn.XLOOKUP($A446,CSV!$A:$A,CSV!AG:AG,""),
_xlpm.MacVal,_xlfn.XLOOKUP($A446,Output_Mac!$A:$A,Output_Mac!T:T,""),
_xlpm.MyAuditVal,_xlfn.XLOOKUP($A446,My_Audit!$A:$A,My_Audit!Q:Q,""),
_xlfn.IFS(_xlpm.MyAuditVal&lt;&gt;"",UPPER(_xlpm.MyAuditVal),_xlpm.MacVal&lt;&gt;"",_xlpm.MacVal,_xlpm.CSVVal&lt;&gt;"",_xlpm.CSVVal
)),"No")</f>
        <v>No</v>
      </c>
      <c r="Q446" s="2" t="str" cm="1">
        <f t="array" ref="Q446">IFERROR(_xlfn.LET(
_xlpm.CSVVal,_xlfn.XLOOKUP($A446,CSV!$A:$A,CSV!AH:AH,""),
_xlpm.MacVal,_xlfn.XLOOKUP($A446,Output_Mac!$A:$A,Output_Mac!U:U,""),
_xlpm.MyAuditVal,_xlfn.XLOOKUP($A446,My_Audit!$A:$A,My_Audit!R:R,""),
_xlfn.IFS(_xlpm.MyAuditVal&lt;&gt;"",UPPER(_xlpm.MyAuditVal),_xlpm.MacVal&lt;&gt;"",_xlpm.MacVal,_xlpm.CSVVal&lt;&gt;"",_xlpm.CSVVal
)),"")</f>
        <v/>
      </c>
    </row>
    <row r="447" spans="1:17">
      <c r="A447" s="2" t="str">
        <f>_xlfn.TEXTJOIN("",TRUE,Input!$B$2,ROW(My_Audit!A446))</f>
        <v>XX446</v>
      </c>
      <c r="B447" s="2" t="str">
        <f>_xlfn.TEXTJOIN("-",TRUE,"ITD",Input!$A$2,A447)</f>
        <v>ITD-SHRXXX-XX446</v>
      </c>
      <c r="C447" s="2" t="str" cm="1">
        <f t="array" ref="C447">IFERROR(_xlfn.LET(
_xlpm.CSVVal,_xlfn.XLOOKUP($A447,CSV!$A:$A,CSV!B:B,""),
_xlpm.MacVal,_xlfn.XLOOKUP($A447,Output_Mac!$A:$A,Output_Mac!B:B,""),
_xlpm.MyAuditVal,_xlfn.XLOOKUP($A447,My_Audit!$A:$A,My_Audit!B:B,""),
_xlfn.IFS(_xlpm.MyAuditVal&lt;&gt;"",UPPER(_xlpm.MyAuditVal),_xlpm.MacVal&lt;&gt;"",_xlpm.MacVal,_xlpm.CSVVal&lt;&gt;"",_xlpm.CSVVal
)),"")</f>
        <v/>
      </c>
      <c r="D447" s="2" t="str" cm="1">
        <f t="array" ref="D447">IFERROR(_xlfn.LET(
_xlpm.CSVVal,_xlfn.XLOOKUP($A447,CSV!$A:$A,CSV!D:D,""),
_xlpm.MacVal,_xlfn.XLOOKUP($A447,Output_Mac!$A:$A,Output_Mac!C:C,""),
_xlpm.MyAuditVal,_xlfn.XLOOKUP($A447,My_Audit!$A:$A,My_Audit!C:C,""),
_xlfn.IFS(_xlpm.MyAuditVal&lt;&gt;"",_xlpm.MyAuditVal,_xlpm.MacVal&lt;&gt;"",_xlpm.MacVal,_xlpm.CSVVal&lt;&gt;"",_xlpm.CSVVal
)),"")</f>
        <v/>
      </c>
      <c r="E447" s="2" t="str">
        <f>_xlfn.XLOOKUP(A447,My_Audit!A:A,My_Audit!D:D,"")&amp;""</f>
        <v/>
      </c>
      <c r="F447" s="2" t="str" cm="1">
        <f t="array" ref="F447">IFERROR(_xlfn.LET(
_xlpm.CSVVal,_xlfn.XLOOKUP($A447,CSV!$A:$A,CSV!F:F,""),
_xlpm.MacVal,_xlfn.XLOOKUP($A447,Output_Mac!$A:$A,Output_Mac!E:E,""),
_xlpm.MyAuditVal,_xlfn.XLOOKUP($A447,My_Audit!$A:$A,My_Audit!E:E,""),
_xlfn.IFS(_xlpm.MyAuditVal&lt;&gt;"",_xlpm.MyAuditVal,_xlpm.MacVal&lt;&gt;"",_xlpm.MacVal,_xlpm.CSVVal&lt;&gt;"",_xlpm.CSVVal
)),"")</f>
        <v/>
      </c>
      <c r="G447" s="2" t="str" cm="1">
        <f t="array" ref="G447">IFERROR(_xlfn.LET(
_xlpm.CSVVal,_xlfn.XLOOKUP($A447,CSV!$A:$A,CSV!G:G,""),
_xlpm.MacVal,_xlfn.XLOOKUP($A447,Output_Mac!$A:$A,Output_Mac!F:F,""),
_xlpm.MyAuditVal,_xlfn.XLOOKUP($A447,My_Audit!$A:$A,My_Audit!F:F,""),
_xlfn.IFS(_xlpm.MyAuditVal&lt;&gt;"",_xlpm.MyAuditVal,_xlpm.MacVal&lt;&gt;"",_xlpm.MacVal,_xlpm.CSVVal&lt;&gt;"",PROPER(_xlpm.CSVVal)
)),"")</f>
        <v/>
      </c>
      <c r="H447" s="2" t="str" cm="1">
        <f t="array" ref="H447">IFERROR(_xlfn.LET(
_xlpm.CSVVal,_xlfn.XLOOKUP($A447,CSV!$A:$A,CSV!H:H,""),
_xlpm.MacVal,_xlfn.XLOOKUP($A447,Output_Mac!$A:$A,Output_Mac!H:H,""),
_xlpm.MyAuditVal,_xlfn.XLOOKUP($A447,My_Audit!$A:$A,My_Audit!G:G,""),
_xlfn.IFS(_xlpm.MyAuditVal&lt;&gt;"",_xlpm.MyAuditVal,_xlpm.MacVal&lt;&gt;"",_xlpm.MacVal,_xlpm.CSVVal&lt;&gt;"",_xlpm.CSVVal
)),"")</f>
        <v/>
      </c>
      <c r="I447" s="2" t="str">
        <f>_xlfn.XLOOKUP(A447,Output_Mac!A:A,Output_Mac!I:I,"")</f>
        <v/>
      </c>
      <c r="J447" s="2" t="str" cm="1">
        <f t="array" ref="J447">IFERROR(_xlfn.LET(
_xlpm.CSVVal,_xlfn.XLOOKUP($A447,CSV!$A:$A,CSV!I:I,""),
_xlpm.MacVal,_xlfn.XLOOKUP($A447,Output_Mac!$A:$A,Output_Mac!J:J,""),
_xlpm.MyAuditVal,_xlfn.XLOOKUP($A447,My_Audit!$A:$A,My_Audit!I:I,""),
_xlfn.IFS(_xlpm.MyAuditVal&lt;&gt;"",UPPER(_xlpm.MyAuditVal),_xlpm.MacVal&lt;&gt;"",_xlpm.MacVal,_xlpm.CSVVal&lt;&gt;"",_xlpm.CSVVal
)),"")</f>
        <v/>
      </c>
      <c r="K447" s="2" t="str" cm="1">
        <f t="array" ref="K447">IFERROR(_xlfn.LET(
_xlpm.CSVVal,_xlfn.XLOOKUP($A447,CSV!$A:$A,CSV!K:K,""),
_xlpm.MacVal,_xlfn.XLOOKUP($A447,Output_Mac!$A:$A,Output_Mac!K:K,""),
_xlpm.MyAuditVal,_xlfn.XLOOKUP($A447,My_Audit!$A:$A,My_Audit!J:J,""),
_xlfn.IFS(_xlpm.MyAuditVal&lt;&gt;"",UPPER(_xlpm.MyAuditVal),_xlpm.MacVal&lt;&gt;"",_xlpm.MacVal,_xlpm.CSVVal&lt;&gt;"",_xlpm.CSVVal
)),"")</f>
        <v/>
      </c>
      <c r="L447" s="2" t="str" cm="1">
        <f t="array" ref="L447">IFERROR(_xlfn.LET(
_xlpm.CSVVal,_xlfn.XLOOKUP($A447,CSV!$A:$A,CSV!P:P,""),
_xlpm.MacVal,_xlfn.XLOOKUP($A447,Output_Mac!$A:$A,Output_Mac!L:L,""),
_xlpm.MyAuditVal,_xlfn.XLOOKUP($A447,My_Audit!$A:$A,My_Audit!K:K,""),
_xlfn.IFS(_xlpm.MyAuditVal&lt;&gt;"",UPPER(_xlpm.MyAuditVal),_xlpm.MacVal&lt;&gt;"",_xlpm.MacVal,_xlpm.CSVVal&lt;&gt;"",_xlpm.CSVVal
)),"")</f>
        <v/>
      </c>
      <c r="M447" s="2" t="str" cm="1">
        <f t="array" ref="M447">IFERROR(_xlfn.LET(
_xlpm.CSVVal,_xlfn.XLOOKUP($A447,CSV!$A:$A,CSV!Q:Q,""),
_xlpm.MacVal,_xlfn.XLOOKUP($A447,Output_Mac!$A:$A,Output_Mac!M:M,""),
_xlpm.MyAuditVal,_xlfn.XLOOKUP($A447,My_Audit!$A:$A,My_Audit!L:L,""),
_xlfn.IFS(_xlpm.MyAuditVal&lt;&gt;"",UPPER(_xlpm.MyAuditVal),_xlpm.MacVal&lt;&gt;"",_xlpm.MacVal,_xlpm.CSVVal&lt;&gt;"",_xlpm.CSVVal
)),"")</f>
        <v/>
      </c>
      <c r="O447" s="2" t="str">
        <f>_xlfn.LET(
    _xlpm.CSVVal, _xlfn.XLOOKUP($A447, CSV!$A:$A, CSV!AF:AF, ""),
    _xlpm.MacVal, _xlfn.XLOOKUP($A447, Output_Mac!$A:$A, Output_Mac!S:S, ""),
    _xlpm.MyAuditVal, _xlfn.XLOOKUP($A447, My_Audit!$A:$A, My_Audit!P:P, ""),
    _xlfn.TEXTJOIN(", ", TRUE, _xlpm.MyAuditVal, _xlpm.MacVal, _xlpm.CSVVal)
)</f>
        <v/>
      </c>
      <c r="P447" s="2" t="str" cm="1">
        <f t="array" ref="P447">IFERROR(_xlfn.LET(
_xlpm.CSVVal,_xlfn.XLOOKUP($A447,CSV!$A:$A,CSV!AG:AG,""),
_xlpm.MacVal,_xlfn.XLOOKUP($A447,Output_Mac!$A:$A,Output_Mac!T:T,""),
_xlpm.MyAuditVal,_xlfn.XLOOKUP($A447,My_Audit!$A:$A,My_Audit!Q:Q,""),
_xlfn.IFS(_xlpm.MyAuditVal&lt;&gt;"",UPPER(_xlpm.MyAuditVal),_xlpm.MacVal&lt;&gt;"",_xlpm.MacVal,_xlpm.CSVVal&lt;&gt;"",_xlpm.CSVVal
)),"No")</f>
        <v>No</v>
      </c>
      <c r="Q447" s="2" t="str" cm="1">
        <f t="array" ref="Q447">IFERROR(_xlfn.LET(
_xlpm.CSVVal,_xlfn.XLOOKUP($A447,CSV!$A:$A,CSV!AH:AH,""),
_xlpm.MacVal,_xlfn.XLOOKUP($A447,Output_Mac!$A:$A,Output_Mac!U:U,""),
_xlpm.MyAuditVal,_xlfn.XLOOKUP($A447,My_Audit!$A:$A,My_Audit!R:R,""),
_xlfn.IFS(_xlpm.MyAuditVal&lt;&gt;"",UPPER(_xlpm.MyAuditVal),_xlpm.MacVal&lt;&gt;"",_xlpm.MacVal,_xlpm.CSVVal&lt;&gt;"",_xlpm.CSVVal
)),"")</f>
        <v/>
      </c>
    </row>
    <row r="448" spans="1:17">
      <c r="A448" s="2" t="str">
        <f>_xlfn.TEXTJOIN("",TRUE,Input!$B$2,ROW(My_Audit!A447))</f>
        <v>XX447</v>
      </c>
      <c r="B448" s="2" t="str">
        <f>_xlfn.TEXTJOIN("-",TRUE,"ITD",Input!$A$2,A448)</f>
        <v>ITD-SHRXXX-XX447</v>
      </c>
      <c r="C448" s="2" t="str" cm="1">
        <f t="array" ref="C448">IFERROR(_xlfn.LET(
_xlpm.CSVVal,_xlfn.XLOOKUP($A448,CSV!$A:$A,CSV!B:B,""),
_xlpm.MacVal,_xlfn.XLOOKUP($A448,Output_Mac!$A:$A,Output_Mac!B:B,""),
_xlpm.MyAuditVal,_xlfn.XLOOKUP($A448,My_Audit!$A:$A,My_Audit!B:B,""),
_xlfn.IFS(_xlpm.MyAuditVal&lt;&gt;"",UPPER(_xlpm.MyAuditVal),_xlpm.MacVal&lt;&gt;"",_xlpm.MacVal,_xlpm.CSVVal&lt;&gt;"",_xlpm.CSVVal
)),"")</f>
        <v/>
      </c>
      <c r="D448" s="2" t="str" cm="1">
        <f t="array" ref="D448">IFERROR(_xlfn.LET(
_xlpm.CSVVal,_xlfn.XLOOKUP($A448,CSV!$A:$A,CSV!D:D,""),
_xlpm.MacVal,_xlfn.XLOOKUP($A448,Output_Mac!$A:$A,Output_Mac!C:C,""),
_xlpm.MyAuditVal,_xlfn.XLOOKUP($A448,My_Audit!$A:$A,My_Audit!C:C,""),
_xlfn.IFS(_xlpm.MyAuditVal&lt;&gt;"",_xlpm.MyAuditVal,_xlpm.MacVal&lt;&gt;"",_xlpm.MacVal,_xlpm.CSVVal&lt;&gt;"",_xlpm.CSVVal
)),"")</f>
        <v/>
      </c>
      <c r="E448" s="2" t="str">
        <f>_xlfn.XLOOKUP(A448,My_Audit!A:A,My_Audit!D:D,"")&amp;""</f>
        <v/>
      </c>
      <c r="F448" s="2" t="str" cm="1">
        <f t="array" ref="F448">IFERROR(_xlfn.LET(
_xlpm.CSVVal,_xlfn.XLOOKUP($A448,CSV!$A:$A,CSV!F:F,""),
_xlpm.MacVal,_xlfn.XLOOKUP($A448,Output_Mac!$A:$A,Output_Mac!E:E,""),
_xlpm.MyAuditVal,_xlfn.XLOOKUP($A448,My_Audit!$A:$A,My_Audit!E:E,""),
_xlfn.IFS(_xlpm.MyAuditVal&lt;&gt;"",_xlpm.MyAuditVal,_xlpm.MacVal&lt;&gt;"",_xlpm.MacVal,_xlpm.CSVVal&lt;&gt;"",_xlpm.CSVVal
)),"")</f>
        <v/>
      </c>
      <c r="G448" s="2" t="str" cm="1">
        <f t="array" ref="G448">IFERROR(_xlfn.LET(
_xlpm.CSVVal,_xlfn.XLOOKUP($A448,CSV!$A:$A,CSV!G:G,""),
_xlpm.MacVal,_xlfn.XLOOKUP($A448,Output_Mac!$A:$A,Output_Mac!F:F,""),
_xlpm.MyAuditVal,_xlfn.XLOOKUP($A448,My_Audit!$A:$A,My_Audit!F:F,""),
_xlfn.IFS(_xlpm.MyAuditVal&lt;&gt;"",_xlpm.MyAuditVal,_xlpm.MacVal&lt;&gt;"",_xlpm.MacVal,_xlpm.CSVVal&lt;&gt;"",PROPER(_xlpm.CSVVal)
)),"")</f>
        <v/>
      </c>
      <c r="H448" s="2" t="str" cm="1">
        <f t="array" ref="H448">IFERROR(_xlfn.LET(
_xlpm.CSVVal,_xlfn.XLOOKUP($A448,CSV!$A:$A,CSV!H:H,""),
_xlpm.MacVal,_xlfn.XLOOKUP($A448,Output_Mac!$A:$A,Output_Mac!H:H,""),
_xlpm.MyAuditVal,_xlfn.XLOOKUP($A448,My_Audit!$A:$A,My_Audit!G:G,""),
_xlfn.IFS(_xlpm.MyAuditVal&lt;&gt;"",_xlpm.MyAuditVal,_xlpm.MacVal&lt;&gt;"",_xlpm.MacVal,_xlpm.CSVVal&lt;&gt;"",_xlpm.CSVVal
)),"")</f>
        <v/>
      </c>
      <c r="I448" s="2" t="str">
        <f>_xlfn.XLOOKUP(A448,Output_Mac!A:A,Output_Mac!I:I,"")</f>
        <v/>
      </c>
      <c r="J448" s="2" t="str" cm="1">
        <f t="array" ref="J448">IFERROR(_xlfn.LET(
_xlpm.CSVVal,_xlfn.XLOOKUP($A448,CSV!$A:$A,CSV!I:I,""),
_xlpm.MacVal,_xlfn.XLOOKUP($A448,Output_Mac!$A:$A,Output_Mac!J:J,""),
_xlpm.MyAuditVal,_xlfn.XLOOKUP($A448,My_Audit!$A:$A,My_Audit!I:I,""),
_xlfn.IFS(_xlpm.MyAuditVal&lt;&gt;"",UPPER(_xlpm.MyAuditVal),_xlpm.MacVal&lt;&gt;"",_xlpm.MacVal,_xlpm.CSVVal&lt;&gt;"",_xlpm.CSVVal
)),"")</f>
        <v/>
      </c>
      <c r="K448" s="2" t="str" cm="1">
        <f t="array" ref="K448">IFERROR(_xlfn.LET(
_xlpm.CSVVal,_xlfn.XLOOKUP($A448,CSV!$A:$A,CSV!K:K,""),
_xlpm.MacVal,_xlfn.XLOOKUP($A448,Output_Mac!$A:$A,Output_Mac!K:K,""),
_xlpm.MyAuditVal,_xlfn.XLOOKUP($A448,My_Audit!$A:$A,My_Audit!J:J,""),
_xlfn.IFS(_xlpm.MyAuditVal&lt;&gt;"",UPPER(_xlpm.MyAuditVal),_xlpm.MacVal&lt;&gt;"",_xlpm.MacVal,_xlpm.CSVVal&lt;&gt;"",_xlpm.CSVVal
)),"")</f>
        <v/>
      </c>
      <c r="L448" s="2" t="str" cm="1">
        <f t="array" ref="L448">IFERROR(_xlfn.LET(
_xlpm.CSVVal,_xlfn.XLOOKUP($A448,CSV!$A:$A,CSV!P:P,""),
_xlpm.MacVal,_xlfn.XLOOKUP($A448,Output_Mac!$A:$A,Output_Mac!L:L,""),
_xlpm.MyAuditVal,_xlfn.XLOOKUP($A448,My_Audit!$A:$A,My_Audit!K:K,""),
_xlfn.IFS(_xlpm.MyAuditVal&lt;&gt;"",UPPER(_xlpm.MyAuditVal),_xlpm.MacVal&lt;&gt;"",_xlpm.MacVal,_xlpm.CSVVal&lt;&gt;"",_xlpm.CSVVal
)),"")</f>
        <v/>
      </c>
      <c r="M448" s="2" t="str" cm="1">
        <f t="array" ref="M448">IFERROR(_xlfn.LET(
_xlpm.CSVVal,_xlfn.XLOOKUP($A448,CSV!$A:$A,CSV!Q:Q,""),
_xlpm.MacVal,_xlfn.XLOOKUP($A448,Output_Mac!$A:$A,Output_Mac!M:M,""),
_xlpm.MyAuditVal,_xlfn.XLOOKUP($A448,My_Audit!$A:$A,My_Audit!L:L,""),
_xlfn.IFS(_xlpm.MyAuditVal&lt;&gt;"",UPPER(_xlpm.MyAuditVal),_xlpm.MacVal&lt;&gt;"",_xlpm.MacVal,_xlpm.CSVVal&lt;&gt;"",_xlpm.CSVVal
)),"")</f>
        <v/>
      </c>
      <c r="O448" s="2" t="str">
        <f>_xlfn.LET(
    _xlpm.CSVVal, _xlfn.XLOOKUP($A448, CSV!$A:$A, CSV!AF:AF, ""),
    _xlpm.MacVal, _xlfn.XLOOKUP($A448, Output_Mac!$A:$A, Output_Mac!S:S, ""),
    _xlpm.MyAuditVal, _xlfn.XLOOKUP($A448, My_Audit!$A:$A, My_Audit!P:P, ""),
    _xlfn.TEXTJOIN(", ", TRUE, _xlpm.MyAuditVal, _xlpm.MacVal, _xlpm.CSVVal)
)</f>
        <v/>
      </c>
      <c r="P448" s="2" t="str" cm="1">
        <f t="array" ref="P448">IFERROR(_xlfn.LET(
_xlpm.CSVVal,_xlfn.XLOOKUP($A448,CSV!$A:$A,CSV!AG:AG,""),
_xlpm.MacVal,_xlfn.XLOOKUP($A448,Output_Mac!$A:$A,Output_Mac!T:T,""),
_xlpm.MyAuditVal,_xlfn.XLOOKUP($A448,My_Audit!$A:$A,My_Audit!Q:Q,""),
_xlfn.IFS(_xlpm.MyAuditVal&lt;&gt;"",UPPER(_xlpm.MyAuditVal),_xlpm.MacVal&lt;&gt;"",_xlpm.MacVal,_xlpm.CSVVal&lt;&gt;"",_xlpm.CSVVal
)),"No")</f>
        <v>No</v>
      </c>
      <c r="Q448" s="2" t="str" cm="1">
        <f t="array" ref="Q448">IFERROR(_xlfn.LET(
_xlpm.CSVVal,_xlfn.XLOOKUP($A448,CSV!$A:$A,CSV!AH:AH,""),
_xlpm.MacVal,_xlfn.XLOOKUP($A448,Output_Mac!$A:$A,Output_Mac!U:U,""),
_xlpm.MyAuditVal,_xlfn.XLOOKUP($A448,My_Audit!$A:$A,My_Audit!R:R,""),
_xlfn.IFS(_xlpm.MyAuditVal&lt;&gt;"",UPPER(_xlpm.MyAuditVal),_xlpm.MacVal&lt;&gt;"",_xlpm.MacVal,_xlpm.CSVVal&lt;&gt;"",_xlpm.CSVVal
)),"")</f>
        <v/>
      </c>
    </row>
    <row r="449" spans="1:17">
      <c r="A449" s="2" t="str">
        <f>_xlfn.TEXTJOIN("",TRUE,Input!$B$2,ROW(My_Audit!A448))</f>
        <v>XX448</v>
      </c>
      <c r="B449" s="2" t="str">
        <f>_xlfn.TEXTJOIN("-",TRUE,"ITD",Input!$A$2,A449)</f>
        <v>ITD-SHRXXX-XX448</v>
      </c>
      <c r="C449" s="2" t="str" cm="1">
        <f t="array" ref="C449">IFERROR(_xlfn.LET(
_xlpm.CSVVal,_xlfn.XLOOKUP($A449,CSV!$A:$A,CSV!B:B,""),
_xlpm.MacVal,_xlfn.XLOOKUP($A449,Output_Mac!$A:$A,Output_Mac!B:B,""),
_xlpm.MyAuditVal,_xlfn.XLOOKUP($A449,My_Audit!$A:$A,My_Audit!B:B,""),
_xlfn.IFS(_xlpm.MyAuditVal&lt;&gt;"",UPPER(_xlpm.MyAuditVal),_xlpm.MacVal&lt;&gt;"",_xlpm.MacVal,_xlpm.CSVVal&lt;&gt;"",_xlpm.CSVVal
)),"")</f>
        <v/>
      </c>
      <c r="D449" s="2" t="str" cm="1">
        <f t="array" ref="D449">IFERROR(_xlfn.LET(
_xlpm.CSVVal,_xlfn.XLOOKUP($A449,CSV!$A:$A,CSV!D:D,""),
_xlpm.MacVal,_xlfn.XLOOKUP($A449,Output_Mac!$A:$A,Output_Mac!C:C,""),
_xlpm.MyAuditVal,_xlfn.XLOOKUP($A449,My_Audit!$A:$A,My_Audit!C:C,""),
_xlfn.IFS(_xlpm.MyAuditVal&lt;&gt;"",_xlpm.MyAuditVal,_xlpm.MacVal&lt;&gt;"",_xlpm.MacVal,_xlpm.CSVVal&lt;&gt;"",_xlpm.CSVVal
)),"")</f>
        <v/>
      </c>
      <c r="E449" s="2" t="str">
        <f>_xlfn.XLOOKUP(A449,My_Audit!A:A,My_Audit!D:D,"")&amp;""</f>
        <v/>
      </c>
      <c r="F449" s="2" t="str" cm="1">
        <f t="array" ref="F449">IFERROR(_xlfn.LET(
_xlpm.CSVVal,_xlfn.XLOOKUP($A449,CSV!$A:$A,CSV!F:F,""),
_xlpm.MacVal,_xlfn.XLOOKUP($A449,Output_Mac!$A:$A,Output_Mac!E:E,""),
_xlpm.MyAuditVal,_xlfn.XLOOKUP($A449,My_Audit!$A:$A,My_Audit!E:E,""),
_xlfn.IFS(_xlpm.MyAuditVal&lt;&gt;"",_xlpm.MyAuditVal,_xlpm.MacVal&lt;&gt;"",_xlpm.MacVal,_xlpm.CSVVal&lt;&gt;"",_xlpm.CSVVal
)),"")</f>
        <v/>
      </c>
      <c r="G449" s="2" t="str" cm="1">
        <f t="array" ref="G449">IFERROR(_xlfn.LET(
_xlpm.CSVVal,_xlfn.XLOOKUP($A449,CSV!$A:$A,CSV!G:G,""),
_xlpm.MacVal,_xlfn.XLOOKUP($A449,Output_Mac!$A:$A,Output_Mac!F:F,""),
_xlpm.MyAuditVal,_xlfn.XLOOKUP($A449,My_Audit!$A:$A,My_Audit!F:F,""),
_xlfn.IFS(_xlpm.MyAuditVal&lt;&gt;"",_xlpm.MyAuditVal,_xlpm.MacVal&lt;&gt;"",_xlpm.MacVal,_xlpm.CSVVal&lt;&gt;"",PROPER(_xlpm.CSVVal)
)),"")</f>
        <v/>
      </c>
      <c r="H449" s="2" t="str" cm="1">
        <f t="array" ref="H449">IFERROR(_xlfn.LET(
_xlpm.CSVVal,_xlfn.XLOOKUP($A449,CSV!$A:$A,CSV!H:H,""),
_xlpm.MacVal,_xlfn.XLOOKUP($A449,Output_Mac!$A:$A,Output_Mac!H:H,""),
_xlpm.MyAuditVal,_xlfn.XLOOKUP($A449,My_Audit!$A:$A,My_Audit!G:G,""),
_xlfn.IFS(_xlpm.MyAuditVal&lt;&gt;"",_xlpm.MyAuditVal,_xlpm.MacVal&lt;&gt;"",_xlpm.MacVal,_xlpm.CSVVal&lt;&gt;"",_xlpm.CSVVal
)),"")</f>
        <v/>
      </c>
      <c r="I449" s="2" t="str">
        <f>_xlfn.XLOOKUP(A449,Output_Mac!A:A,Output_Mac!I:I,"")</f>
        <v/>
      </c>
      <c r="J449" s="2" t="str" cm="1">
        <f t="array" ref="J449">IFERROR(_xlfn.LET(
_xlpm.CSVVal,_xlfn.XLOOKUP($A449,CSV!$A:$A,CSV!I:I,""),
_xlpm.MacVal,_xlfn.XLOOKUP($A449,Output_Mac!$A:$A,Output_Mac!J:J,""),
_xlpm.MyAuditVal,_xlfn.XLOOKUP($A449,My_Audit!$A:$A,My_Audit!I:I,""),
_xlfn.IFS(_xlpm.MyAuditVal&lt;&gt;"",UPPER(_xlpm.MyAuditVal),_xlpm.MacVal&lt;&gt;"",_xlpm.MacVal,_xlpm.CSVVal&lt;&gt;"",_xlpm.CSVVal
)),"")</f>
        <v/>
      </c>
      <c r="K449" s="2" t="str" cm="1">
        <f t="array" ref="K449">IFERROR(_xlfn.LET(
_xlpm.CSVVal,_xlfn.XLOOKUP($A449,CSV!$A:$A,CSV!K:K,""),
_xlpm.MacVal,_xlfn.XLOOKUP($A449,Output_Mac!$A:$A,Output_Mac!K:K,""),
_xlpm.MyAuditVal,_xlfn.XLOOKUP($A449,My_Audit!$A:$A,My_Audit!J:J,""),
_xlfn.IFS(_xlpm.MyAuditVal&lt;&gt;"",UPPER(_xlpm.MyAuditVal),_xlpm.MacVal&lt;&gt;"",_xlpm.MacVal,_xlpm.CSVVal&lt;&gt;"",_xlpm.CSVVal
)),"")</f>
        <v/>
      </c>
      <c r="L449" s="2" t="str" cm="1">
        <f t="array" ref="L449">IFERROR(_xlfn.LET(
_xlpm.CSVVal,_xlfn.XLOOKUP($A449,CSV!$A:$A,CSV!P:P,""),
_xlpm.MacVal,_xlfn.XLOOKUP($A449,Output_Mac!$A:$A,Output_Mac!L:L,""),
_xlpm.MyAuditVal,_xlfn.XLOOKUP($A449,My_Audit!$A:$A,My_Audit!K:K,""),
_xlfn.IFS(_xlpm.MyAuditVal&lt;&gt;"",UPPER(_xlpm.MyAuditVal),_xlpm.MacVal&lt;&gt;"",_xlpm.MacVal,_xlpm.CSVVal&lt;&gt;"",_xlpm.CSVVal
)),"")</f>
        <v/>
      </c>
      <c r="M449" s="2" t="str" cm="1">
        <f t="array" ref="M449">IFERROR(_xlfn.LET(
_xlpm.CSVVal,_xlfn.XLOOKUP($A449,CSV!$A:$A,CSV!Q:Q,""),
_xlpm.MacVal,_xlfn.XLOOKUP($A449,Output_Mac!$A:$A,Output_Mac!M:M,""),
_xlpm.MyAuditVal,_xlfn.XLOOKUP($A449,My_Audit!$A:$A,My_Audit!L:L,""),
_xlfn.IFS(_xlpm.MyAuditVal&lt;&gt;"",UPPER(_xlpm.MyAuditVal),_xlpm.MacVal&lt;&gt;"",_xlpm.MacVal,_xlpm.CSVVal&lt;&gt;"",_xlpm.CSVVal
)),"")</f>
        <v/>
      </c>
      <c r="O449" s="2" t="str">
        <f>_xlfn.LET(
    _xlpm.CSVVal, _xlfn.XLOOKUP($A449, CSV!$A:$A, CSV!AF:AF, ""),
    _xlpm.MacVal, _xlfn.XLOOKUP($A449, Output_Mac!$A:$A, Output_Mac!S:S, ""),
    _xlpm.MyAuditVal, _xlfn.XLOOKUP($A449, My_Audit!$A:$A, My_Audit!P:P, ""),
    _xlfn.TEXTJOIN(", ", TRUE, _xlpm.MyAuditVal, _xlpm.MacVal, _xlpm.CSVVal)
)</f>
        <v/>
      </c>
      <c r="P449" s="2" t="str" cm="1">
        <f t="array" ref="P449">IFERROR(_xlfn.LET(
_xlpm.CSVVal,_xlfn.XLOOKUP($A449,CSV!$A:$A,CSV!AG:AG,""),
_xlpm.MacVal,_xlfn.XLOOKUP($A449,Output_Mac!$A:$A,Output_Mac!T:T,""),
_xlpm.MyAuditVal,_xlfn.XLOOKUP($A449,My_Audit!$A:$A,My_Audit!Q:Q,""),
_xlfn.IFS(_xlpm.MyAuditVal&lt;&gt;"",UPPER(_xlpm.MyAuditVal),_xlpm.MacVal&lt;&gt;"",_xlpm.MacVal,_xlpm.CSVVal&lt;&gt;"",_xlpm.CSVVal
)),"No")</f>
        <v>No</v>
      </c>
      <c r="Q449" s="2" t="str" cm="1">
        <f t="array" ref="Q449">IFERROR(_xlfn.LET(
_xlpm.CSVVal,_xlfn.XLOOKUP($A449,CSV!$A:$A,CSV!AH:AH,""),
_xlpm.MacVal,_xlfn.XLOOKUP($A449,Output_Mac!$A:$A,Output_Mac!U:U,""),
_xlpm.MyAuditVal,_xlfn.XLOOKUP($A449,My_Audit!$A:$A,My_Audit!R:R,""),
_xlfn.IFS(_xlpm.MyAuditVal&lt;&gt;"",UPPER(_xlpm.MyAuditVal),_xlpm.MacVal&lt;&gt;"",_xlpm.MacVal,_xlpm.CSVVal&lt;&gt;"",_xlpm.CSVVal
)),"")</f>
        <v/>
      </c>
    </row>
    <row r="450" spans="1:17">
      <c r="A450" s="2" t="str">
        <f>_xlfn.TEXTJOIN("",TRUE,Input!$B$2,ROW(My_Audit!A449))</f>
        <v>XX449</v>
      </c>
      <c r="B450" s="2" t="str">
        <f>_xlfn.TEXTJOIN("-",TRUE,"ITD",Input!$A$2,A450)</f>
        <v>ITD-SHRXXX-XX449</v>
      </c>
      <c r="C450" s="2" t="str" cm="1">
        <f t="array" ref="C450">IFERROR(_xlfn.LET(
_xlpm.CSVVal,_xlfn.XLOOKUP($A450,CSV!$A:$A,CSV!B:B,""),
_xlpm.MacVal,_xlfn.XLOOKUP($A450,Output_Mac!$A:$A,Output_Mac!B:B,""),
_xlpm.MyAuditVal,_xlfn.XLOOKUP($A450,My_Audit!$A:$A,My_Audit!B:B,""),
_xlfn.IFS(_xlpm.MyAuditVal&lt;&gt;"",UPPER(_xlpm.MyAuditVal),_xlpm.MacVal&lt;&gt;"",_xlpm.MacVal,_xlpm.CSVVal&lt;&gt;"",_xlpm.CSVVal
)),"")</f>
        <v/>
      </c>
      <c r="D450" s="2" t="str" cm="1">
        <f t="array" ref="D450">IFERROR(_xlfn.LET(
_xlpm.CSVVal,_xlfn.XLOOKUP($A450,CSV!$A:$A,CSV!D:D,""),
_xlpm.MacVal,_xlfn.XLOOKUP($A450,Output_Mac!$A:$A,Output_Mac!C:C,""),
_xlpm.MyAuditVal,_xlfn.XLOOKUP($A450,My_Audit!$A:$A,My_Audit!C:C,""),
_xlfn.IFS(_xlpm.MyAuditVal&lt;&gt;"",_xlpm.MyAuditVal,_xlpm.MacVal&lt;&gt;"",_xlpm.MacVal,_xlpm.CSVVal&lt;&gt;"",_xlpm.CSVVal
)),"")</f>
        <v/>
      </c>
      <c r="E450" s="2" t="str">
        <f>_xlfn.XLOOKUP(A450,My_Audit!A:A,My_Audit!D:D,"")&amp;""</f>
        <v/>
      </c>
      <c r="F450" s="2" t="str" cm="1">
        <f t="array" ref="F450">IFERROR(_xlfn.LET(
_xlpm.CSVVal,_xlfn.XLOOKUP($A450,CSV!$A:$A,CSV!F:F,""),
_xlpm.MacVal,_xlfn.XLOOKUP($A450,Output_Mac!$A:$A,Output_Mac!E:E,""),
_xlpm.MyAuditVal,_xlfn.XLOOKUP($A450,My_Audit!$A:$A,My_Audit!E:E,""),
_xlfn.IFS(_xlpm.MyAuditVal&lt;&gt;"",_xlpm.MyAuditVal,_xlpm.MacVal&lt;&gt;"",_xlpm.MacVal,_xlpm.CSVVal&lt;&gt;"",_xlpm.CSVVal
)),"")</f>
        <v/>
      </c>
      <c r="G450" s="2" t="str" cm="1">
        <f t="array" ref="G450">IFERROR(_xlfn.LET(
_xlpm.CSVVal,_xlfn.XLOOKUP($A450,CSV!$A:$A,CSV!G:G,""),
_xlpm.MacVal,_xlfn.XLOOKUP($A450,Output_Mac!$A:$A,Output_Mac!F:F,""),
_xlpm.MyAuditVal,_xlfn.XLOOKUP($A450,My_Audit!$A:$A,My_Audit!F:F,""),
_xlfn.IFS(_xlpm.MyAuditVal&lt;&gt;"",_xlpm.MyAuditVal,_xlpm.MacVal&lt;&gt;"",_xlpm.MacVal,_xlpm.CSVVal&lt;&gt;"",PROPER(_xlpm.CSVVal)
)),"")</f>
        <v/>
      </c>
      <c r="H450" s="2" t="str" cm="1">
        <f t="array" ref="H450">IFERROR(_xlfn.LET(
_xlpm.CSVVal,_xlfn.XLOOKUP($A450,CSV!$A:$A,CSV!H:H,""),
_xlpm.MacVal,_xlfn.XLOOKUP($A450,Output_Mac!$A:$A,Output_Mac!H:H,""),
_xlpm.MyAuditVal,_xlfn.XLOOKUP($A450,My_Audit!$A:$A,My_Audit!G:G,""),
_xlfn.IFS(_xlpm.MyAuditVal&lt;&gt;"",_xlpm.MyAuditVal,_xlpm.MacVal&lt;&gt;"",_xlpm.MacVal,_xlpm.CSVVal&lt;&gt;"",_xlpm.CSVVal
)),"")</f>
        <v/>
      </c>
      <c r="I450" s="2" t="str">
        <f>_xlfn.XLOOKUP(A450,Output_Mac!A:A,Output_Mac!I:I,"")</f>
        <v/>
      </c>
      <c r="J450" s="2" t="str" cm="1">
        <f t="array" ref="J450">IFERROR(_xlfn.LET(
_xlpm.CSVVal,_xlfn.XLOOKUP($A450,CSV!$A:$A,CSV!I:I,""),
_xlpm.MacVal,_xlfn.XLOOKUP($A450,Output_Mac!$A:$A,Output_Mac!J:J,""),
_xlpm.MyAuditVal,_xlfn.XLOOKUP($A450,My_Audit!$A:$A,My_Audit!I:I,""),
_xlfn.IFS(_xlpm.MyAuditVal&lt;&gt;"",UPPER(_xlpm.MyAuditVal),_xlpm.MacVal&lt;&gt;"",_xlpm.MacVal,_xlpm.CSVVal&lt;&gt;"",_xlpm.CSVVal
)),"")</f>
        <v/>
      </c>
      <c r="K450" s="2" t="str" cm="1">
        <f t="array" ref="K450">IFERROR(_xlfn.LET(
_xlpm.CSVVal,_xlfn.XLOOKUP($A450,CSV!$A:$A,CSV!K:K,""),
_xlpm.MacVal,_xlfn.XLOOKUP($A450,Output_Mac!$A:$A,Output_Mac!K:K,""),
_xlpm.MyAuditVal,_xlfn.XLOOKUP($A450,My_Audit!$A:$A,My_Audit!J:J,""),
_xlfn.IFS(_xlpm.MyAuditVal&lt;&gt;"",UPPER(_xlpm.MyAuditVal),_xlpm.MacVal&lt;&gt;"",_xlpm.MacVal,_xlpm.CSVVal&lt;&gt;"",_xlpm.CSVVal
)),"")</f>
        <v/>
      </c>
      <c r="L450" s="2" t="str" cm="1">
        <f t="array" ref="L450">IFERROR(_xlfn.LET(
_xlpm.CSVVal,_xlfn.XLOOKUP($A450,CSV!$A:$A,CSV!P:P,""),
_xlpm.MacVal,_xlfn.XLOOKUP($A450,Output_Mac!$A:$A,Output_Mac!L:L,""),
_xlpm.MyAuditVal,_xlfn.XLOOKUP($A450,My_Audit!$A:$A,My_Audit!K:K,""),
_xlfn.IFS(_xlpm.MyAuditVal&lt;&gt;"",UPPER(_xlpm.MyAuditVal),_xlpm.MacVal&lt;&gt;"",_xlpm.MacVal,_xlpm.CSVVal&lt;&gt;"",_xlpm.CSVVal
)),"")</f>
        <v/>
      </c>
      <c r="M450" s="2" t="str" cm="1">
        <f t="array" ref="M450">IFERROR(_xlfn.LET(
_xlpm.CSVVal,_xlfn.XLOOKUP($A450,CSV!$A:$A,CSV!Q:Q,""),
_xlpm.MacVal,_xlfn.XLOOKUP($A450,Output_Mac!$A:$A,Output_Mac!M:M,""),
_xlpm.MyAuditVal,_xlfn.XLOOKUP($A450,My_Audit!$A:$A,My_Audit!L:L,""),
_xlfn.IFS(_xlpm.MyAuditVal&lt;&gt;"",UPPER(_xlpm.MyAuditVal),_xlpm.MacVal&lt;&gt;"",_xlpm.MacVal,_xlpm.CSVVal&lt;&gt;"",_xlpm.CSVVal
)),"")</f>
        <v/>
      </c>
      <c r="O450" s="2" t="str">
        <f>_xlfn.LET(
    _xlpm.CSVVal, _xlfn.XLOOKUP($A450, CSV!$A:$A, CSV!AF:AF, ""),
    _xlpm.MacVal, _xlfn.XLOOKUP($A450, Output_Mac!$A:$A, Output_Mac!S:S, ""),
    _xlpm.MyAuditVal, _xlfn.XLOOKUP($A450, My_Audit!$A:$A, My_Audit!P:P, ""),
    _xlfn.TEXTJOIN(", ", TRUE, _xlpm.MyAuditVal, _xlpm.MacVal, _xlpm.CSVVal)
)</f>
        <v/>
      </c>
      <c r="P450" s="2" t="str" cm="1">
        <f t="array" ref="P450">IFERROR(_xlfn.LET(
_xlpm.CSVVal,_xlfn.XLOOKUP($A450,CSV!$A:$A,CSV!AG:AG,""),
_xlpm.MacVal,_xlfn.XLOOKUP($A450,Output_Mac!$A:$A,Output_Mac!T:T,""),
_xlpm.MyAuditVal,_xlfn.XLOOKUP($A450,My_Audit!$A:$A,My_Audit!Q:Q,""),
_xlfn.IFS(_xlpm.MyAuditVal&lt;&gt;"",UPPER(_xlpm.MyAuditVal),_xlpm.MacVal&lt;&gt;"",_xlpm.MacVal,_xlpm.CSVVal&lt;&gt;"",_xlpm.CSVVal
)),"No")</f>
        <v>No</v>
      </c>
      <c r="Q450" s="2" t="str" cm="1">
        <f t="array" ref="Q450">IFERROR(_xlfn.LET(
_xlpm.CSVVal,_xlfn.XLOOKUP($A450,CSV!$A:$A,CSV!AH:AH,""),
_xlpm.MacVal,_xlfn.XLOOKUP($A450,Output_Mac!$A:$A,Output_Mac!U:U,""),
_xlpm.MyAuditVal,_xlfn.XLOOKUP($A450,My_Audit!$A:$A,My_Audit!R:R,""),
_xlfn.IFS(_xlpm.MyAuditVal&lt;&gt;"",UPPER(_xlpm.MyAuditVal),_xlpm.MacVal&lt;&gt;"",_xlpm.MacVal,_xlpm.CSVVal&lt;&gt;"",_xlpm.CSVVal
)),"")</f>
        <v/>
      </c>
    </row>
    <row r="451" spans="1:17">
      <c r="A451" s="2" t="str">
        <f>_xlfn.TEXTJOIN("",TRUE,Input!$B$2,ROW(My_Audit!A450))</f>
        <v>XX450</v>
      </c>
      <c r="B451" s="2" t="str">
        <f>_xlfn.TEXTJOIN("-",TRUE,"ITD",Input!$A$2,A451)</f>
        <v>ITD-SHRXXX-XX450</v>
      </c>
      <c r="C451" s="2" t="str" cm="1">
        <f t="array" ref="C451">IFERROR(_xlfn.LET(
_xlpm.CSVVal,_xlfn.XLOOKUP($A451,CSV!$A:$A,CSV!B:B,""),
_xlpm.MacVal,_xlfn.XLOOKUP($A451,Output_Mac!$A:$A,Output_Mac!B:B,""),
_xlpm.MyAuditVal,_xlfn.XLOOKUP($A451,My_Audit!$A:$A,My_Audit!B:B,""),
_xlfn.IFS(_xlpm.MyAuditVal&lt;&gt;"",UPPER(_xlpm.MyAuditVal),_xlpm.MacVal&lt;&gt;"",_xlpm.MacVal,_xlpm.CSVVal&lt;&gt;"",_xlpm.CSVVal
)),"")</f>
        <v/>
      </c>
      <c r="D451" s="2" t="str" cm="1">
        <f t="array" ref="D451">IFERROR(_xlfn.LET(
_xlpm.CSVVal,_xlfn.XLOOKUP($A451,CSV!$A:$A,CSV!D:D,""),
_xlpm.MacVal,_xlfn.XLOOKUP($A451,Output_Mac!$A:$A,Output_Mac!C:C,""),
_xlpm.MyAuditVal,_xlfn.XLOOKUP($A451,My_Audit!$A:$A,My_Audit!C:C,""),
_xlfn.IFS(_xlpm.MyAuditVal&lt;&gt;"",_xlpm.MyAuditVal,_xlpm.MacVal&lt;&gt;"",_xlpm.MacVal,_xlpm.CSVVal&lt;&gt;"",_xlpm.CSVVal
)),"")</f>
        <v/>
      </c>
      <c r="E451" s="2" t="str">
        <f>_xlfn.XLOOKUP(A451,My_Audit!A:A,My_Audit!D:D,"")&amp;""</f>
        <v/>
      </c>
      <c r="F451" s="2" t="str" cm="1">
        <f t="array" ref="F451">IFERROR(_xlfn.LET(
_xlpm.CSVVal,_xlfn.XLOOKUP($A451,CSV!$A:$A,CSV!F:F,""),
_xlpm.MacVal,_xlfn.XLOOKUP($A451,Output_Mac!$A:$A,Output_Mac!E:E,""),
_xlpm.MyAuditVal,_xlfn.XLOOKUP($A451,My_Audit!$A:$A,My_Audit!E:E,""),
_xlfn.IFS(_xlpm.MyAuditVal&lt;&gt;"",_xlpm.MyAuditVal,_xlpm.MacVal&lt;&gt;"",_xlpm.MacVal,_xlpm.CSVVal&lt;&gt;"",_xlpm.CSVVal
)),"")</f>
        <v/>
      </c>
      <c r="G451" s="2" t="str" cm="1">
        <f t="array" ref="G451">IFERROR(_xlfn.LET(
_xlpm.CSVVal,_xlfn.XLOOKUP($A451,CSV!$A:$A,CSV!G:G,""),
_xlpm.MacVal,_xlfn.XLOOKUP($A451,Output_Mac!$A:$A,Output_Mac!F:F,""),
_xlpm.MyAuditVal,_xlfn.XLOOKUP($A451,My_Audit!$A:$A,My_Audit!F:F,""),
_xlfn.IFS(_xlpm.MyAuditVal&lt;&gt;"",_xlpm.MyAuditVal,_xlpm.MacVal&lt;&gt;"",_xlpm.MacVal,_xlpm.CSVVal&lt;&gt;"",PROPER(_xlpm.CSVVal)
)),"")</f>
        <v/>
      </c>
      <c r="H451" s="2" t="str" cm="1">
        <f t="array" ref="H451">IFERROR(_xlfn.LET(
_xlpm.CSVVal,_xlfn.XLOOKUP($A451,CSV!$A:$A,CSV!H:H,""),
_xlpm.MacVal,_xlfn.XLOOKUP($A451,Output_Mac!$A:$A,Output_Mac!H:H,""),
_xlpm.MyAuditVal,_xlfn.XLOOKUP($A451,My_Audit!$A:$A,My_Audit!G:G,""),
_xlfn.IFS(_xlpm.MyAuditVal&lt;&gt;"",_xlpm.MyAuditVal,_xlpm.MacVal&lt;&gt;"",_xlpm.MacVal,_xlpm.CSVVal&lt;&gt;"",_xlpm.CSVVal
)),"")</f>
        <v/>
      </c>
      <c r="I451" s="2" t="str">
        <f>_xlfn.XLOOKUP(A451,Output_Mac!A:A,Output_Mac!I:I,"")</f>
        <v/>
      </c>
      <c r="J451" s="2" t="str" cm="1">
        <f t="array" ref="J451">IFERROR(_xlfn.LET(
_xlpm.CSVVal,_xlfn.XLOOKUP($A451,CSV!$A:$A,CSV!I:I,""),
_xlpm.MacVal,_xlfn.XLOOKUP($A451,Output_Mac!$A:$A,Output_Mac!J:J,""),
_xlpm.MyAuditVal,_xlfn.XLOOKUP($A451,My_Audit!$A:$A,My_Audit!I:I,""),
_xlfn.IFS(_xlpm.MyAuditVal&lt;&gt;"",UPPER(_xlpm.MyAuditVal),_xlpm.MacVal&lt;&gt;"",_xlpm.MacVal,_xlpm.CSVVal&lt;&gt;"",_xlpm.CSVVal
)),"")</f>
        <v/>
      </c>
      <c r="K451" s="2" t="str" cm="1">
        <f t="array" ref="K451">IFERROR(_xlfn.LET(
_xlpm.CSVVal,_xlfn.XLOOKUP($A451,CSV!$A:$A,CSV!K:K,""),
_xlpm.MacVal,_xlfn.XLOOKUP($A451,Output_Mac!$A:$A,Output_Mac!K:K,""),
_xlpm.MyAuditVal,_xlfn.XLOOKUP($A451,My_Audit!$A:$A,My_Audit!J:J,""),
_xlfn.IFS(_xlpm.MyAuditVal&lt;&gt;"",UPPER(_xlpm.MyAuditVal),_xlpm.MacVal&lt;&gt;"",_xlpm.MacVal,_xlpm.CSVVal&lt;&gt;"",_xlpm.CSVVal
)),"")</f>
        <v/>
      </c>
      <c r="L451" s="2" t="str" cm="1">
        <f t="array" ref="L451">IFERROR(_xlfn.LET(
_xlpm.CSVVal,_xlfn.XLOOKUP($A451,CSV!$A:$A,CSV!P:P,""),
_xlpm.MacVal,_xlfn.XLOOKUP($A451,Output_Mac!$A:$A,Output_Mac!L:L,""),
_xlpm.MyAuditVal,_xlfn.XLOOKUP($A451,My_Audit!$A:$A,My_Audit!K:K,""),
_xlfn.IFS(_xlpm.MyAuditVal&lt;&gt;"",UPPER(_xlpm.MyAuditVal),_xlpm.MacVal&lt;&gt;"",_xlpm.MacVal,_xlpm.CSVVal&lt;&gt;"",_xlpm.CSVVal
)),"")</f>
        <v/>
      </c>
      <c r="M451" s="2" t="str" cm="1">
        <f t="array" ref="M451">IFERROR(_xlfn.LET(
_xlpm.CSVVal,_xlfn.XLOOKUP($A451,CSV!$A:$A,CSV!Q:Q,""),
_xlpm.MacVal,_xlfn.XLOOKUP($A451,Output_Mac!$A:$A,Output_Mac!M:M,""),
_xlpm.MyAuditVal,_xlfn.XLOOKUP($A451,My_Audit!$A:$A,My_Audit!L:L,""),
_xlfn.IFS(_xlpm.MyAuditVal&lt;&gt;"",UPPER(_xlpm.MyAuditVal),_xlpm.MacVal&lt;&gt;"",_xlpm.MacVal,_xlpm.CSVVal&lt;&gt;"",_xlpm.CSVVal
)),"")</f>
        <v/>
      </c>
      <c r="O451" s="2" t="str">
        <f>_xlfn.LET(
    _xlpm.CSVVal, _xlfn.XLOOKUP($A451, CSV!$A:$A, CSV!AF:AF, ""),
    _xlpm.MacVal, _xlfn.XLOOKUP($A451, Output_Mac!$A:$A, Output_Mac!S:S, ""),
    _xlpm.MyAuditVal, _xlfn.XLOOKUP($A451, My_Audit!$A:$A, My_Audit!P:P, ""),
    _xlfn.TEXTJOIN(", ", TRUE, _xlpm.MyAuditVal, _xlpm.MacVal, _xlpm.CSVVal)
)</f>
        <v/>
      </c>
      <c r="P451" s="2" t="str" cm="1">
        <f t="array" ref="P451">IFERROR(_xlfn.LET(
_xlpm.CSVVal,_xlfn.XLOOKUP($A451,CSV!$A:$A,CSV!AG:AG,""),
_xlpm.MacVal,_xlfn.XLOOKUP($A451,Output_Mac!$A:$A,Output_Mac!T:T,""),
_xlpm.MyAuditVal,_xlfn.XLOOKUP($A451,My_Audit!$A:$A,My_Audit!Q:Q,""),
_xlfn.IFS(_xlpm.MyAuditVal&lt;&gt;"",UPPER(_xlpm.MyAuditVal),_xlpm.MacVal&lt;&gt;"",_xlpm.MacVal,_xlpm.CSVVal&lt;&gt;"",_xlpm.CSVVal
)),"No")</f>
        <v>No</v>
      </c>
      <c r="Q451" s="2" t="str" cm="1">
        <f t="array" ref="Q451">IFERROR(_xlfn.LET(
_xlpm.CSVVal,_xlfn.XLOOKUP($A451,CSV!$A:$A,CSV!AH:AH,""),
_xlpm.MacVal,_xlfn.XLOOKUP($A451,Output_Mac!$A:$A,Output_Mac!U:U,""),
_xlpm.MyAuditVal,_xlfn.XLOOKUP($A451,My_Audit!$A:$A,My_Audit!R:R,""),
_xlfn.IFS(_xlpm.MyAuditVal&lt;&gt;"",UPPER(_xlpm.MyAuditVal),_xlpm.MacVal&lt;&gt;"",_xlpm.MacVal,_xlpm.CSVVal&lt;&gt;"",_xlpm.CSVVal
)),"")</f>
        <v/>
      </c>
    </row>
    <row r="452" spans="1:17">
      <c r="A452" s="2" t="str">
        <f>_xlfn.TEXTJOIN("",TRUE,Input!$B$2,ROW(My_Audit!A451))</f>
        <v>XX451</v>
      </c>
      <c r="B452" s="2" t="str">
        <f>_xlfn.TEXTJOIN("-",TRUE,"ITD",Input!$A$2,A452)</f>
        <v>ITD-SHRXXX-XX451</v>
      </c>
      <c r="C452" s="2" t="str" cm="1">
        <f t="array" ref="C452">IFERROR(_xlfn.LET(
_xlpm.CSVVal,_xlfn.XLOOKUP($A452,CSV!$A:$A,CSV!B:B,""),
_xlpm.MacVal,_xlfn.XLOOKUP($A452,Output_Mac!$A:$A,Output_Mac!B:B,""),
_xlpm.MyAuditVal,_xlfn.XLOOKUP($A452,My_Audit!$A:$A,My_Audit!B:B,""),
_xlfn.IFS(_xlpm.MyAuditVal&lt;&gt;"",UPPER(_xlpm.MyAuditVal),_xlpm.MacVal&lt;&gt;"",_xlpm.MacVal,_xlpm.CSVVal&lt;&gt;"",_xlpm.CSVVal
)),"")</f>
        <v/>
      </c>
      <c r="D452" s="2" t="str" cm="1">
        <f t="array" ref="D452">IFERROR(_xlfn.LET(
_xlpm.CSVVal,_xlfn.XLOOKUP($A452,CSV!$A:$A,CSV!D:D,""),
_xlpm.MacVal,_xlfn.XLOOKUP($A452,Output_Mac!$A:$A,Output_Mac!C:C,""),
_xlpm.MyAuditVal,_xlfn.XLOOKUP($A452,My_Audit!$A:$A,My_Audit!C:C,""),
_xlfn.IFS(_xlpm.MyAuditVal&lt;&gt;"",_xlpm.MyAuditVal,_xlpm.MacVal&lt;&gt;"",_xlpm.MacVal,_xlpm.CSVVal&lt;&gt;"",_xlpm.CSVVal
)),"")</f>
        <v/>
      </c>
      <c r="E452" s="2" t="str">
        <f>_xlfn.XLOOKUP(A452,My_Audit!A:A,My_Audit!D:D,"")&amp;""</f>
        <v/>
      </c>
      <c r="F452" s="2" t="str" cm="1">
        <f t="array" ref="F452">IFERROR(_xlfn.LET(
_xlpm.CSVVal,_xlfn.XLOOKUP($A452,CSV!$A:$A,CSV!F:F,""),
_xlpm.MacVal,_xlfn.XLOOKUP($A452,Output_Mac!$A:$A,Output_Mac!E:E,""),
_xlpm.MyAuditVal,_xlfn.XLOOKUP($A452,My_Audit!$A:$A,My_Audit!E:E,""),
_xlfn.IFS(_xlpm.MyAuditVal&lt;&gt;"",_xlpm.MyAuditVal,_xlpm.MacVal&lt;&gt;"",_xlpm.MacVal,_xlpm.CSVVal&lt;&gt;"",_xlpm.CSVVal
)),"")</f>
        <v/>
      </c>
      <c r="G452" s="2" t="str" cm="1">
        <f t="array" ref="G452">IFERROR(_xlfn.LET(
_xlpm.CSVVal,_xlfn.XLOOKUP($A452,CSV!$A:$A,CSV!G:G,""),
_xlpm.MacVal,_xlfn.XLOOKUP($A452,Output_Mac!$A:$A,Output_Mac!F:F,""),
_xlpm.MyAuditVal,_xlfn.XLOOKUP($A452,My_Audit!$A:$A,My_Audit!F:F,""),
_xlfn.IFS(_xlpm.MyAuditVal&lt;&gt;"",_xlpm.MyAuditVal,_xlpm.MacVal&lt;&gt;"",_xlpm.MacVal,_xlpm.CSVVal&lt;&gt;"",PROPER(_xlpm.CSVVal)
)),"")</f>
        <v/>
      </c>
      <c r="H452" s="2" t="str" cm="1">
        <f t="array" ref="H452">IFERROR(_xlfn.LET(
_xlpm.CSVVal,_xlfn.XLOOKUP($A452,CSV!$A:$A,CSV!H:H,""),
_xlpm.MacVal,_xlfn.XLOOKUP($A452,Output_Mac!$A:$A,Output_Mac!H:H,""),
_xlpm.MyAuditVal,_xlfn.XLOOKUP($A452,My_Audit!$A:$A,My_Audit!G:G,""),
_xlfn.IFS(_xlpm.MyAuditVal&lt;&gt;"",_xlpm.MyAuditVal,_xlpm.MacVal&lt;&gt;"",_xlpm.MacVal,_xlpm.CSVVal&lt;&gt;"",_xlpm.CSVVal
)),"")</f>
        <v/>
      </c>
      <c r="I452" s="2" t="str">
        <f>_xlfn.XLOOKUP(A452,Output_Mac!A:A,Output_Mac!I:I,"")</f>
        <v/>
      </c>
      <c r="J452" s="2" t="str" cm="1">
        <f t="array" ref="J452">IFERROR(_xlfn.LET(
_xlpm.CSVVal,_xlfn.XLOOKUP($A452,CSV!$A:$A,CSV!I:I,""),
_xlpm.MacVal,_xlfn.XLOOKUP($A452,Output_Mac!$A:$A,Output_Mac!J:J,""),
_xlpm.MyAuditVal,_xlfn.XLOOKUP($A452,My_Audit!$A:$A,My_Audit!I:I,""),
_xlfn.IFS(_xlpm.MyAuditVal&lt;&gt;"",UPPER(_xlpm.MyAuditVal),_xlpm.MacVal&lt;&gt;"",_xlpm.MacVal,_xlpm.CSVVal&lt;&gt;"",_xlpm.CSVVal
)),"")</f>
        <v/>
      </c>
      <c r="K452" s="2" t="str" cm="1">
        <f t="array" ref="K452">IFERROR(_xlfn.LET(
_xlpm.CSVVal,_xlfn.XLOOKUP($A452,CSV!$A:$A,CSV!K:K,""),
_xlpm.MacVal,_xlfn.XLOOKUP($A452,Output_Mac!$A:$A,Output_Mac!K:K,""),
_xlpm.MyAuditVal,_xlfn.XLOOKUP($A452,My_Audit!$A:$A,My_Audit!J:J,""),
_xlfn.IFS(_xlpm.MyAuditVal&lt;&gt;"",UPPER(_xlpm.MyAuditVal),_xlpm.MacVal&lt;&gt;"",_xlpm.MacVal,_xlpm.CSVVal&lt;&gt;"",_xlpm.CSVVal
)),"")</f>
        <v/>
      </c>
      <c r="L452" s="2" t="str" cm="1">
        <f t="array" ref="L452">IFERROR(_xlfn.LET(
_xlpm.CSVVal,_xlfn.XLOOKUP($A452,CSV!$A:$A,CSV!P:P,""),
_xlpm.MacVal,_xlfn.XLOOKUP($A452,Output_Mac!$A:$A,Output_Mac!L:L,""),
_xlpm.MyAuditVal,_xlfn.XLOOKUP($A452,My_Audit!$A:$A,My_Audit!K:K,""),
_xlfn.IFS(_xlpm.MyAuditVal&lt;&gt;"",UPPER(_xlpm.MyAuditVal),_xlpm.MacVal&lt;&gt;"",_xlpm.MacVal,_xlpm.CSVVal&lt;&gt;"",_xlpm.CSVVal
)),"")</f>
        <v/>
      </c>
      <c r="M452" s="2" t="str" cm="1">
        <f t="array" ref="M452">IFERROR(_xlfn.LET(
_xlpm.CSVVal,_xlfn.XLOOKUP($A452,CSV!$A:$A,CSV!Q:Q,""),
_xlpm.MacVal,_xlfn.XLOOKUP($A452,Output_Mac!$A:$A,Output_Mac!M:M,""),
_xlpm.MyAuditVal,_xlfn.XLOOKUP($A452,My_Audit!$A:$A,My_Audit!L:L,""),
_xlfn.IFS(_xlpm.MyAuditVal&lt;&gt;"",UPPER(_xlpm.MyAuditVal),_xlpm.MacVal&lt;&gt;"",_xlpm.MacVal,_xlpm.CSVVal&lt;&gt;"",_xlpm.CSVVal
)),"")</f>
        <v/>
      </c>
      <c r="O452" s="2" t="str">
        <f>_xlfn.LET(
    _xlpm.CSVVal, _xlfn.XLOOKUP($A452, CSV!$A:$A, CSV!AF:AF, ""),
    _xlpm.MacVal, _xlfn.XLOOKUP($A452, Output_Mac!$A:$A, Output_Mac!S:S, ""),
    _xlpm.MyAuditVal, _xlfn.XLOOKUP($A452, My_Audit!$A:$A, My_Audit!P:P, ""),
    _xlfn.TEXTJOIN(", ", TRUE, _xlpm.MyAuditVal, _xlpm.MacVal, _xlpm.CSVVal)
)</f>
        <v/>
      </c>
      <c r="P452" s="2" t="str" cm="1">
        <f t="array" ref="P452">IFERROR(_xlfn.LET(
_xlpm.CSVVal,_xlfn.XLOOKUP($A452,CSV!$A:$A,CSV!AG:AG,""),
_xlpm.MacVal,_xlfn.XLOOKUP($A452,Output_Mac!$A:$A,Output_Mac!T:T,""),
_xlpm.MyAuditVal,_xlfn.XLOOKUP($A452,My_Audit!$A:$A,My_Audit!Q:Q,""),
_xlfn.IFS(_xlpm.MyAuditVal&lt;&gt;"",UPPER(_xlpm.MyAuditVal),_xlpm.MacVal&lt;&gt;"",_xlpm.MacVal,_xlpm.CSVVal&lt;&gt;"",_xlpm.CSVVal
)),"No")</f>
        <v>No</v>
      </c>
      <c r="Q452" s="2" t="str" cm="1">
        <f t="array" ref="Q452">IFERROR(_xlfn.LET(
_xlpm.CSVVal,_xlfn.XLOOKUP($A452,CSV!$A:$A,CSV!AH:AH,""),
_xlpm.MacVal,_xlfn.XLOOKUP($A452,Output_Mac!$A:$A,Output_Mac!U:U,""),
_xlpm.MyAuditVal,_xlfn.XLOOKUP($A452,My_Audit!$A:$A,My_Audit!R:R,""),
_xlfn.IFS(_xlpm.MyAuditVal&lt;&gt;"",UPPER(_xlpm.MyAuditVal),_xlpm.MacVal&lt;&gt;"",_xlpm.MacVal,_xlpm.CSVVal&lt;&gt;"",_xlpm.CSVVal
)),"")</f>
        <v/>
      </c>
    </row>
    <row r="453" spans="1:17">
      <c r="A453" s="2" t="str">
        <f>_xlfn.TEXTJOIN("",TRUE,Input!$B$2,ROW(My_Audit!A452))</f>
        <v>XX452</v>
      </c>
      <c r="B453" s="2" t="str">
        <f>_xlfn.TEXTJOIN("-",TRUE,"ITD",Input!$A$2,A453)</f>
        <v>ITD-SHRXXX-XX452</v>
      </c>
      <c r="C453" s="2" t="str" cm="1">
        <f t="array" ref="C453">IFERROR(_xlfn.LET(
_xlpm.CSVVal,_xlfn.XLOOKUP($A453,CSV!$A:$A,CSV!B:B,""),
_xlpm.MacVal,_xlfn.XLOOKUP($A453,Output_Mac!$A:$A,Output_Mac!B:B,""),
_xlpm.MyAuditVal,_xlfn.XLOOKUP($A453,My_Audit!$A:$A,My_Audit!B:B,""),
_xlfn.IFS(_xlpm.MyAuditVal&lt;&gt;"",UPPER(_xlpm.MyAuditVal),_xlpm.MacVal&lt;&gt;"",_xlpm.MacVal,_xlpm.CSVVal&lt;&gt;"",_xlpm.CSVVal
)),"")</f>
        <v/>
      </c>
      <c r="D453" s="2" t="str" cm="1">
        <f t="array" ref="D453">IFERROR(_xlfn.LET(
_xlpm.CSVVal,_xlfn.XLOOKUP($A453,CSV!$A:$A,CSV!D:D,""),
_xlpm.MacVal,_xlfn.XLOOKUP($A453,Output_Mac!$A:$A,Output_Mac!C:C,""),
_xlpm.MyAuditVal,_xlfn.XLOOKUP($A453,My_Audit!$A:$A,My_Audit!C:C,""),
_xlfn.IFS(_xlpm.MyAuditVal&lt;&gt;"",_xlpm.MyAuditVal,_xlpm.MacVal&lt;&gt;"",_xlpm.MacVal,_xlpm.CSVVal&lt;&gt;"",_xlpm.CSVVal
)),"")</f>
        <v/>
      </c>
      <c r="E453" s="2" t="str">
        <f>_xlfn.XLOOKUP(A453,My_Audit!A:A,My_Audit!D:D,"")&amp;""</f>
        <v/>
      </c>
      <c r="F453" s="2" t="str" cm="1">
        <f t="array" ref="F453">IFERROR(_xlfn.LET(
_xlpm.CSVVal,_xlfn.XLOOKUP($A453,CSV!$A:$A,CSV!F:F,""),
_xlpm.MacVal,_xlfn.XLOOKUP($A453,Output_Mac!$A:$A,Output_Mac!E:E,""),
_xlpm.MyAuditVal,_xlfn.XLOOKUP($A453,My_Audit!$A:$A,My_Audit!E:E,""),
_xlfn.IFS(_xlpm.MyAuditVal&lt;&gt;"",_xlpm.MyAuditVal,_xlpm.MacVal&lt;&gt;"",_xlpm.MacVal,_xlpm.CSVVal&lt;&gt;"",_xlpm.CSVVal
)),"")</f>
        <v/>
      </c>
      <c r="G453" s="2" t="str" cm="1">
        <f t="array" ref="G453">IFERROR(_xlfn.LET(
_xlpm.CSVVal,_xlfn.XLOOKUP($A453,CSV!$A:$A,CSV!G:G,""),
_xlpm.MacVal,_xlfn.XLOOKUP($A453,Output_Mac!$A:$A,Output_Mac!F:F,""),
_xlpm.MyAuditVal,_xlfn.XLOOKUP($A453,My_Audit!$A:$A,My_Audit!F:F,""),
_xlfn.IFS(_xlpm.MyAuditVal&lt;&gt;"",_xlpm.MyAuditVal,_xlpm.MacVal&lt;&gt;"",_xlpm.MacVal,_xlpm.CSVVal&lt;&gt;"",PROPER(_xlpm.CSVVal)
)),"")</f>
        <v/>
      </c>
      <c r="H453" s="2" t="str" cm="1">
        <f t="array" ref="H453">IFERROR(_xlfn.LET(
_xlpm.CSVVal,_xlfn.XLOOKUP($A453,CSV!$A:$A,CSV!H:H,""),
_xlpm.MacVal,_xlfn.XLOOKUP($A453,Output_Mac!$A:$A,Output_Mac!H:H,""),
_xlpm.MyAuditVal,_xlfn.XLOOKUP($A453,My_Audit!$A:$A,My_Audit!G:G,""),
_xlfn.IFS(_xlpm.MyAuditVal&lt;&gt;"",_xlpm.MyAuditVal,_xlpm.MacVal&lt;&gt;"",_xlpm.MacVal,_xlpm.CSVVal&lt;&gt;"",_xlpm.CSVVal
)),"")</f>
        <v/>
      </c>
      <c r="I453" s="2" t="str">
        <f>_xlfn.XLOOKUP(A453,Output_Mac!A:A,Output_Mac!I:I,"")</f>
        <v/>
      </c>
      <c r="J453" s="2" t="str" cm="1">
        <f t="array" ref="J453">IFERROR(_xlfn.LET(
_xlpm.CSVVal,_xlfn.XLOOKUP($A453,CSV!$A:$A,CSV!I:I,""),
_xlpm.MacVal,_xlfn.XLOOKUP($A453,Output_Mac!$A:$A,Output_Mac!J:J,""),
_xlpm.MyAuditVal,_xlfn.XLOOKUP($A453,My_Audit!$A:$A,My_Audit!I:I,""),
_xlfn.IFS(_xlpm.MyAuditVal&lt;&gt;"",UPPER(_xlpm.MyAuditVal),_xlpm.MacVal&lt;&gt;"",_xlpm.MacVal,_xlpm.CSVVal&lt;&gt;"",_xlpm.CSVVal
)),"")</f>
        <v/>
      </c>
      <c r="K453" s="2" t="str" cm="1">
        <f t="array" ref="K453">IFERROR(_xlfn.LET(
_xlpm.CSVVal,_xlfn.XLOOKUP($A453,CSV!$A:$A,CSV!K:K,""),
_xlpm.MacVal,_xlfn.XLOOKUP($A453,Output_Mac!$A:$A,Output_Mac!K:K,""),
_xlpm.MyAuditVal,_xlfn.XLOOKUP($A453,My_Audit!$A:$A,My_Audit!J:J,""),
_xlfn.IFS(_xlpm.MyAuditVal&lt;&gt;"",UPPER(_xlpm.MyAuditVal),_xlpm.MacVal&lt;&gt;"",_xlpm.MacVal,_xlpm.CSVVal&lt;&gt;"",_xlpm.CSVVal
)),"")</f>
        <v/>
      </c>
      <c r="L453" s="2" t="str" cm="1">
        <f t="array" ref="L453">IFERROR(_xlfn.LET(
_xlpm.CSVVal,_xlfn.XLOOKUP($A453,CSV!$A:$A,CSV!P:P,""),
_xlpm.MacVal,_xlfn.XLOOKUP($A453,Output_Mac!$A:$A,Output_Mac!L:L,""),
_xlpm.MyAuditVal,_xlfn.XLOOKUP($A453,My_Audit!$A:$A,My_Audit!K:K,""),
_xlfn.IFS(_xlpm.MyAuditVal&lt;&gt;"",UPPER(_xlpm.MyAuditVal),_xlpm.MacVal&lt;&gt;"",_xlpm.MacVal,_xlpm.CSVVal&lt;&gt;"",_xlpm.CSVVal
)),"")</f>
        <v/>
      </c>
      <c r="M453" s="2" t="str" cm="1">
        <f t="array" ref="M453">IFERROR(_xlfn.LET(
_xlpm.CSVVal,_xlfn.XLOOKUP($A453,CSV!$A:$A,CSV!Q:Q,""),
_xlpm.MacVal,_xlfn.XLOOKUP($A453,Output_Mac!$A:$A,Output_Mac!M:M,""),
_xlpm.MyAuditVal,_xlfn.XLOOKUP($A453,My_Audit!$A:$A,My_Audit!L:L,""),
_xlfn.IFS(_xlpm.MyAuditVal&lt;&gt;"",UPPER(_xlpm.MyAuditVal),_xlpm.MacVal&lt;&gt;"",_xlpm.MacVal,_xlpm.CSVVal&lt;&gt;"",_xlpm.CSVVal
)),"")</f>
        <v/>
      </c>
      <c r="O453" s="2" t="str">
        <f>_xlfn.LET(
    _xlpm.CSVVal, _xlfn.XLOOKUP($A453, CSV!$A:$A, CSV!AF:AF, ""),
    _xlpm.MacVal, _xlfn.XLOOKUP($A453, Output_Mac!$A:$A, Output_Mac!S:S, ""),
    _xlpm.MyAuditVal, _xlfn.XLOOKUP($A453, My_Audit!$A:$A, My_Audit!P:P, ""),
    _xlfn.TEXTJOIN(", ", TRUE, _xlpm.MyAuditVal, _xlpm.MacVal, _xlpm.CSVVal)
)</f>
        <v/>
      </c>
      <c r="P453" s="2" t="str" cm="1">
        <f t="array" ref="P453">IFERROR(_xlfn.LET(
_xlpm.CSVVal,_xlfn.XLOOKUP($A453,CSV!$A:$A,CSV!AG:AG,""),
_xlpm.MacVal,_xlfn.XLOOKUP($A453,Output_Mac!$A:$A,Output_Mac!T:T,""),
_xlpm.MyAuditVal,_xlfn.XLOOKUP($A453,My_Audit!$A:$A,My_Audit!Q:Q,""),
_xlfn.IFS(_xlpm.MyAuditVal&lt;&gt;"",UPPER(_xlpm.MyAuditVal),_xlpm.MacVal&lt;&gt;"",_xlpm.MacVal,_xlpm.CSVVal&lt;&gt;"",_xlpm.CSVVal
)),"No")</f>
        <v>No</v>
      </c>
      <c r="Q453" s="2" t="str" cm="1">
        <f t="array" ref="Q453">IFERROR(_xlfn.LET(
_xlpm.CSVVal,_xlfn.XLOOKUP($A453,CSV!$A:$A,CSV!AH:AH,""),
_xlpm.MacVal,_xlfn.XLOOKUP($A453,Output_Mac!$A:$A,Output_Mac!U:U,""),
_xlpm.MyAuditVal,_xlfn.XLOOKUP($A453,My_Audit!$A:$A,My_Audit!R:R,""),
_xlfn.IFS(_xlpm.MyAuditVal&lt;&gt;"",UPPER(_xlpm.MyAuditVal),_xlpm.MacVal&lt;&gt;"",_xlpm.MacVal,_xlpm.CSVVal&lt;&gt;"",_xlpm.CSVVal
)),"")</f>
        <v/>
      </c>
    </row>
    <row r="454" spans="1:17">
      <c r="A454" s="2" t="str">
        <f>_xlfn.TEXTJOIN("",TRUE,Input!$B$2,ROW(My_Audit!A453))</f>
        <v>XX453</v>
      </c>
      <c r="B454" s="2" t="str">
        <f>_xlfn.TEXTJOIN("-",TRUE,"ITD",Input!$A$2,A454)</f>
        <v>ITD-SHRXXX-XX453</v>
      </c>
      <c r="C454" s="2" t="str" cm="1">
        <f t="array" ref="C454">IFERROR(_xlfn.LET(
_xlpm.CSVVal,_xlfn.XLOOKUP($A454,CSV!$A:$A,CSV!B:B,""),
_xlpm.MacVal,_xlfn.XLOOKUP($A454,Output_Mac!$A:$A,Output_Mac!B:B,""),
_xlpm.MyAuditVal,_xlfn.XLOOKUP($A454,My_Audit!$A:$A,My_Audit!B:B,""),
_xlfn.IFS(_xlpm.MyAuditVal&lt;&gt;"",UPPER(_xlpm.MyAuditVal),_xlpm.MacVal&lt;&gt;"",_xlpm.MacVal,_xlpm.CSVVal&lt;&gt;"",_xlpm.CSVVal
)),"")</f>
        <v/>
      </c>
      <c r="D454" s="2" t="str" cm="1">
        <f t="array" ref="D454">IFERROR(_xlfn.LET(
_xlpm.CSVVal,_xlfn.XLOOKUP($A454,CSV!$A:$A,CSV!D:D,""),
_xlpm.MacVal,_xlfn.XLOOKUP($A454,Output_Mac!$A:$A,Output_Mac!C:C,""),
_xlpm.MyAuditVal,_xlfn.XLOOKUP($A454,My_Audit!$A:$A,My_Audit!C:C,""),
_xlfn.IFS(_xlpm.MyAuditVal&lt;&gt;"",_xlpm.MyAuditVal,_xlpm.MacVal&lt;&gt;"",_xlpm.MacVal,_xlpm.CSVVal&lt;&gt;"",_xlpm.CSVVal
)),"")</f>
        <v/>
      </c>
      <c r="E454" s="2" t="str">
        <f>_xlfn.XLOOKUP(A454,My_Audit!A:A,My_Audit!D:D,"")&amp;""</f>
        <v/>
      </c>
      <c r="F454" s="2" t="str" cm="1">
        <f t="array" ref="F454">IFERROR(_xlfn.LET(
_xlpm.CSVVal,_xlfn.XLOOKUP($A454,CSV!$A:$A,CSV!F:F,""),
_xlpm.MacVal,_xlfn.XLOOKUP($A454,Output_Mac!$A:$A,Output_Mac!E:E,""),
_xlpm.MyAuditVal,_xlfn.XLOOKUP($A454,My_Audit!$A:$A,My_Audit!E:E,""),
_xlfn.IFS(_xlpm.MyAuditVal&lt;&gt;"",_xlpm.MyAuditVal,_xlpm.MacVal&lt;&gt;"",_xlpm.MacVal,_xlpm.CSVVal&lt;&gt;"",_xlpm.CSVVal
)),"")</f>
        <v/>
      </c>
      <c r="G454" s="2" t="str" cm="1">
        <f t="array" ref="G454">IFERROR(_xlfn.LET(
_xlpm.CSVVal,_xlfn.XLOOKUP($A454,CSV!$A:$A,CSV!G:G,""),
_xlpm.MacVal,_xlfn.XLOOKUP($A454,Output_Mac!$A:$A,Output_Mac!F:F,""),
_xlpm.MyAuditVal,_xlfn.XLOOKUP($A454,My_Audit!$A:$A,My_Audit!F:F,""),
_xlfn.IFS(_xlpm.MyAuditVal&lt;&gt;"",_xlpm.MyAuditVal,_xlpm.MacVal&lt;&gt;"",_xlpm.MacVal,_xlpm.CSVVal&lt;&gt;"",PROPER(_xlpm.CSVVal)
)),"")</f>
        <v/>
      </c>
      <c r="H454" s="2" t="str" cm="1">
        <f t="array" ref="H454">IFERROR(_xlfn.LET(
_xlpm.CSVVal,_xlfn.XLOOKUP($A454,CSV!$A:$A,CSV!H:H,""),
_xlpm.MacVal,_xlfn.XLOOKUP($A454,Output_Mac!$A:$A,Output_Mac!H:H,""),
_xlpm.MyAuditVal,_xlfn.XLOOKUP($A454,My_Audit!$A:$A,My_Audit!G:G,""),
_xlfn.IFS(_xlpm.MyAuditVal&lt;&gt;"",_xlpm.MyAuditVal,_xlpm.MacVal&lt;&gt;"",_xlpm.MacVal,_xlpm.CSVVal&lt;&gt;"",_xlpm.CSVVal
)),"")</f>
        <v/>
      </c>
      <c r="I454" s="2" t="str">
        <f>_xlfn.XLOOKUP(A454,Output_Mac!A:A,Output_Mac!I:I,"")</f>
        <v/>
      </c>
      <c r="J454" s="2" t="str" cm="1">
        <f t="array" ref="J454">IFERROR(_xlfn.LET(
_xlpm.CSVVal,_xlfn.XLOOKUP($A454,CSV!$A:$A,CSV!I:I,""),
_xlpm.MacVal,_xlfn.XLOOKUP($A454,Output_Mac!$A:$A,Output_Mac!J:J,""),
_xlpm.MyAuditVal,_xlfn.XLOOKUP($A454,My_Audit!$A:$A,My_Audit!I:I,""),
_xlfn.IFS(_xlpm.MyAuditVal&lt;&gt;"",UPPER(_xlpm.MyAuditVal),_xlpm.MacVal&lt;&gt;"",_xlpm.MacVal,_xlpm.CSVVal&lt;&gt;"",_xlpm.CSVVal
)),"")</f>
        <v/>
      </c>
      <c r="K454" s="2" t="str" cm="1">
        <f t="array" ref="K454">IFERROR(_xlfn.LET(
_xlpm.CSVVal,_xlfn.XLOOKUP($A454,CSV!$A:$A,CSV!K:K,""),
_xlpm.MacVal,_xlfn.XLOOKUP($A454,Output_Mac!$A:$A,Output_Mac!K:K,""),
_xlpm.MyAuditVal,_xlfn.XLOOKUP($A454,My_Audit!$A:$A,My_Audit!J:J,""),
_xlfn.IFS(_xlpm.MyAuditVal&lt;&gt;"",UPPER(_xlpm.MyAuditVal),_xlpm.MacVal&lt;&gt;"",_xlpm.MacVal,_xlpm.CSVVal&lt;&gt;"",_xlpm.CSVVal
)),"")</f>
        <v/>
      </c>
      <c r="L454" s="2" t="str" cm="1">
        <f t="array" ref="L454">IFERROR(_xlfn.LET(
_xlpm.CSVVal,_xlfn.XLOOKUP($A454,CSV!$A:$A,CSV!P:P,""),
_xlpm.MacVal,_xlfn.XLOOKUP($A454,Output_Mac!$A:$A,Output_Mac!L:L,""),
_xlpm.MyAuditVal,_xlfn.XLOOKUP($A454,My_Audit!$A:$A,My_Audit!K:K,""),
_xlfn.IFS(_xlpm.MyAuditVal&lt;&gt;"",UPPER(_xlpm.MyAuditVal),_xlpm.MacVal&lt;&gt;"",_xlpm.MacVal,_xlpm.CSVVal&lt;&gt;"",_xlpm.CSVVal
)),"")</f>
        <v/>
      </c>
      <c r="M454" s="2" t="str" cm="1">
        <f t="array" ref="M454">IFERROR(_xlfn.LET(
_xlpm.CSVVal,_xlfn.XLOOKUP($A454,CSV!$A:$A,CSV!Q:Q,""),
_xlpm.MacVal,_xlfn.XLOOKUP($A454,Output_Mac!$A:$A,Output_Mac!M:M,""),
_xlpm.MyAuditVal,_xlfn.XLOOKUP($A454,My_Audit!$A:$A,My_Audit!L:L,""),
_xlfn.IFS(_xlpm.MyAuditVal&lt;&gt;"",UPPER(_xlpm.MyAuditVal),_xlpm.MacVal&lt;&gt;"",_xlpm.MacVal,_xlpm.CSVVal&lt;&gt;"",_xlpm.CSVVal
)),"")</f>
        <v/>
      </c>
      <c r="O454" s="2" t="str">
        <f>_xlfn.LET(
    _xlpm.CSVVal, _xlfn.XLOOKUP($A454, CSV!$A:$A, CSV!AF:AF, ""),
    _xlpm.MacVal, _xlfn.XLOOKUP($A454, Output_Mac!$A:$A, Output_Mac!S:S, ""),
    _xlpm.MyAuditVal, _xlfn.XLOOKUP($A454, My_Audit!$A:$A, My_Audit!P:P, ""),
    _xlfn.TEXTJOIN(", ", TRUE, _xlpm.MyAuditVal, _xlpm.MacVal, _xlpm.CSVVal)
)</f>
        <v/>
      </c>
      <c r="P454" s="2" t="str" cm="1">
        <f t="array" ref="P454">IFERROR(_xlfn.LET(
_xlpm.CSVVal,_xlfn.XLOOKUP($A454,CSV!$A:$A,CSV!AG:AG,""),
_xlpm.MacVal,_xlfn.XLOOKUP($A454,Output_Mac!$A:$A,Output_Mac!T:T,""),
_xlpm.MyAuditVal,_xlfn.XLOOKUP($A454,My_Audit!$A:$A,My_Audit!Q:Q,""),
_xlfn.IFS(_xlpm.MyAuditVal&lt;&gt;"",UPPER(_xlpm.MyAuditVal),_xlpm.MacVal&lt;&gt;"",_xlpm.MacVal,_xlpm.CSVVal&lt;&gt;"",_xlpm.CSVVal
)),"No")</f>
        <v>No</v>
      </c>
      <c r="Q454" s="2" t="str" cm="1">
        <f t="array" ref="Q454">IFERROR(_xlfn.LET(
_xlpm.CSVVal,_xlfn.XLOOKUP($A454,CSV!$A:$A,CSV!AH:AH,""),
_xlpm.MacVal,_xlfn.XLOOKUP($A454,Output_Mac!$A:$A,Output_Mac!U:U,""),
_xlpm.MyAuditVal,_xlfn.XLOOKUP($A454,My_Audit!$A:$A,My_Audit!R:R,""),
_xlfn.IFS(_xlpm.MyAuditVal&lt;&gt;"",UPPER(_xlpm.MyAuditVal),_xlpm.MacVal&lt;&gt;"",_xlpm.MacVal,_xlpm.CSVVal&lt;&gt;"",_xlpm.CSVVal
)),"")</f>
        <v/>
      </c>
    </row>
    <row r="455" spans="1:17">
      <c r="A455" s="2" t="str">
        <f>_xlfn.TEXTJOIN("",TRUE,Input!$B$2,ROW(My_Audit!A454))</f>
        <v>XX454</v>
      </c>
      <c r="B455" s="2" t="str">
        <f>_xlfn.TEXTJOIN("-",TRUE,"ITD",Input!$A$2,A455)</f>
        <v>ITD-SHRXXX-XX454</v>
      </c>
      <c r="C455" s="2" t="str" cm="1">
        <f t="array" ref="C455">IFERROR(_xlfn.LET(
_xlpm.CSVVal,_xlfn.XLOOKUP($A455,CSV!$A:$A,CSV!B:B,""),
_xlpm.MacVal,_xlfn.XLOOKUP($A455,Output_Mac!$A:$A,Output_Mac!B:B,""),
_xlpm.MyAuditVal,_xlfn.XLOOKUP($A455,My_Audit!$A:$A,My_Audit!B:B,""),
_xlfn.IFS(_xlpm.MyAuditVal&lt;&gt;"",UPPER(_xlpm.MyAuditVal),_xlpm.MacVal&lt;&gt;"",_xlpm.MacVal,_xlpm.CSVVal&lt;&gt;"",_xlpm.CSVVal
)),"")</f>
        <v/>
      </c>
      <c r="D455" s="2" t="str" cm="1">
        <f t="array" ref="D455">IFERROR(_xlfn.LET(
_xlpm.CSVVal,_xlfn.XLOOKUP($A455,CSV!$A:$A,CSV!D:D,""),
_xlpm.MacVal,_xlfn.XLOOKUP($A455,Output_Mac!$A:$A,Output_Mac!C:C,""),
_xlpm.MyAuditVal,_xlfn.XLOOKUP($A455,My_Audit!$A:$A,My_Audit!C:C,""),
_xlfn.IFS(_xlpm.MyAuditVal&lt;&gt;"",_xlpm.MyAuditVal,_xlpm.MacVal&lt;&gt;"",_xlpm.MacVal,_xlpm.CSVVal&lt;&gt;"",_xlpm.CSVVal
)),"")</f>
        <v/>
      </c>
      <c r="E455" s="2" t="str">
        <f>_xlfn.XLOOKUP(A455,My_Audit!A:A,My_Audit!D:D,"")&amp;""</f>
        <v/>
      </c>
      <c r="F455" s="2" t="str" cm="1">
        <f t="array" ref="F455">IFERROR(_xlfn.LET(
_xlpm.CSVVal,_xlfn.XLOOKUP($A455,CSV!$A:$A,CSV!F:F,""),
_xlpm.MacVal,_xlfn.XLOOKUP($A455,Output_Mac!$A:$A,Output_Mac!E:E,""),
_xlpm.MyAuditVal,_xlfn.XLOOKUP($A455,My_Audit!$A:$A,My_Audit!E:E,""),
_xlfn.IFS(_xlpm.MyAuditVal&lt;&gt;"",_xlpm.MyAuditVal,_xlpm.MacVal&lt;&gt;"",_xlpm.MacVal,_xlpm.CSVVal&lt;&gt;"",_xlpm.CSVVal
)),"")</f>
        <v/>
      </c>
      <c r="G455" s="2" t="str" cm="1">
        <f t="array" ref="G455">IFERROR(_xlfn.LET(
_xlpm.CSVVal,_xlfn.XLOOKUP($A455,CSV!$A:$A,CSV!G:G,""),
_xlpm.MacVal,_xlfn.XLOOKUP($A455,Output_Mac!$A:$A,Output_Mac!F:F,""),
_xlpm.MyAuditVal,_xlfn.XLOOKUP($A455,My_Audit!$A:$A,My_Audit!F:F,""),
_xlfn.IFS(_xlpm.MyAuditVal&lt;&gt;"",_xlpm.MyAuditVal,_xlpm.MacVal&lt;&gt;"",_xlpm.MacVal,_xlpm.CSVVal&lt;&gt;"",PROPER(_xlpm.CSVVal)
)),"")</f>
        <v/>
      </c>
      <c r="H455" s="2" t="str" cm="1">
        <f t="array" ref="H455">IFERROR(_xlfn.LET(
_xlpm.CSVVal,_xlfn.XLOOKUP($A455,CSV!$A:$A,CSV!H:H,""),
_xlpm.MacVal,_xlfn.XLOOKUP($A455,Output_Mac!$A:$A,Output_Mac!H:H,""),
_xlpm.MyAuditVal,_xlfn.XLOOKUP($A455,My_Audit!$A:$A,My_Audit!G:G,""),
_xlfn.IFS(_xlpm.MyAuditVal&lt;&gt;"",_xlpm.MyAuditVal,_xlpm.MacVal&lt;&gt;"",_xlpm.MacVal,_xlpm.CSVVal&lt;&gt;"",_xlpm.CSVVal
)),"")</f>
        <v/>
      </c>
      <c r="I455" s="2" t="str">
        <f>_xlfn.XLOOKUP(A455,Output_Mac!A:A,Output_Mac!I:I,"")</f>
        <v/>
      </c>
      <c r="J455" s="2" t="str" cm="1">
        <f t="array" ref="J455">IFERROR(_xlfn.LET(
_xlpm.CSVVal,_xlfn.XLOOKUP($A455,CSV!$A:$A,CSV!I:I,""),
_xlpm.MacVal,_xlfn.XLOOKUP($A455,Output_Mac!$A:$A,Output_Mac!J:J,""),
_xlpm.MyAuditVal,_xlfn.XLOOKUP($A455,My_Audit!$A:$A,My_Audit!I:I,""),
_xlfn.IFS(_xlpm.MyAuditVal&lt;&gt;"",UPPER(_xlpm.MyAuditVal),_xlpm.MacVal&lt;&gt;"",_xlpm.MacVal,_xlpm.CSVVal&lt;&gt;"",_xlpm.CSVVal
)),"")</f>
        <v/>
      </c>
      <c r="K455" s="2" t="str" cm="1">
        <f t="array" ref="K455">IFERROR(_xlfn.LET(
_xlpm.CSVVal,_xlfn.XLOOKUP($A455,CSV!$A:$A,CSV!K:K,""),
_xlpm.MacVal,_xlfn.XLOOKUP($A455,Output_Mac!$A:$A,Output_Mac!K:K,""),
_xlpm.MyAuditVal,_xlfn.XLOOKUP($A455,My_Audit!$A:$A,My_Audit!J:J,""),
_xlfn.IFS(_xlpm.MyAuditVal&lt;&gt;"",UPPER(_xlpm.MyAuditVal),_xlpm.MacVal&lt;&gt;"",_xlpm.MacVal,_xlpm.CSVVal&lt;&gt;"",_xlpm.CSVVal
)),"")</f>
        <v/>
      </c>
      <c r="L455" s="2" t="str" cm="1">
        <f t="array" ref="L455">IFERROR(_xlfn.LET(
_xlpm.CSVVal,_xlfn.XLOOKUP($A455,CSV!$A:$A,CSV!P:P,""),
_xlpm.MacVal,_xlfn.XLOOKUP($A455,Output_Mac!$A:$A,Output_Mac!L:L,""),
_xlpm.MyAuditVal,_xlfn.XLOOKUP($A455,My_Audit!$A:$A,My_Audit!K:K,""),
_xlfn.IFS(_xlpm.MyAuditVal&lt;&gt;"",UPPER(_xlpm.MyAuditVal),_xlpm.MacVal&lt;&gt;"",_xlpm.MacVal,_xlpm.CSVVal&lt;&gt;"",_xlpm.CSVVal
)),"")</f>
        <v/>
      </c>
      <c r="M455" s="2" t="str" cm="1">
        <f t="array" ref="M455">IFERROR(_xlfn.LET(
_xlpm.CSVVal,_xlfn.XLOOKUP($A455,CSV!$A:$A,CSV!Q:Q,""),
_xlpm.MacVal,_xlfn.XLOOKUP($A455,Output_Mac!$A:$A,Output_Mac!M:M,""),
_xlpm.MyAuditVal,_xlfn.XLOOKUP($A455,My_Audit!$A:$A,My_Audit!L:L,""),
_xlfn.IFS(_xlpm.MyAuditVal&lt;&gt;"",UPPER(_xlpm.MyAuditVal),_xlpm.MacVal&lt;&gt;"",_xlpm.MacVal,_xlpm.CSVVal&lt;&gt;"",_xlpm.CSVVal
)),"")</f>
        <v/>
      </c>
      <c r="O455" s="2" t="str">
        <f>_xlfn.LET(
    _xlpm.CSVVal, _xlfn.XLOOKUP($A455, CSV!$A:$A, CSV!AF:AF, ""),
    _xlpm.MacVal, _xlfn.XLOOKUP($A455, Output_Mac!$A:$A, Output_Mac!S:S, ""),
    _xlpm.MyAuditVal, _xlfn.XLOOKUP($A455, My_Audit!$A:$A, My_Audit!P:P, ""),
    _xlfn.TEXTJOIN(", ", TRUE, _xlpm.MyAuditVal, _xlpm.MacVal, _xlpm.CSVVal)
)</f>
        <v/>
      </c>
      <c r="P455" s="2" t="str" cm="1">
        <f t="array" ref="P455">IFERROR(_xlfn.LET(
_xlpm.CSVVal,_xlfn.XLOOKUP($A455,CSV!$A:$A,CSV!AG:AG,""),
_xlpm.MacVal,_xlfn.XLOOKUP($A455,Output_Mac!$A:$A,Output_Mac!T:T,""),
_xlpm.MyAuditVal,_xlfn.XLOOKUP($A455,My_Audit!$A:$A,My_Audit!Q:Q,""),
_xlfn.IFS(_xlpm.MyAuditVal&lt;&gt;"",UPPER(_xlpm.MyAuditVal),_xlpm.MacVal&lt;&gt;"",_xlpm.MacVal,_xlpm.CSVVal&lt;&gt;"",_xlpm.CSVVal
)),"No")</f>
        <v>No</v>
      </c>
      <c r="Q455" s="2" t="str" cm="1">
        <f t="array" ref="Q455">IFERROR(_xlfn.LET(
_xlpm.CSVVal,_xlfn.XLOOKUP($A455,CSV!$A:$A,CSV!AH:AH,""),
_xlpm.MacVal,_xlfn.XLOOKUP($A455,Output_Mac!$A:$A,Output_Mac!U:U,""),
_xlpm.MyAuditVal,_xlfn.XLOOKUP($A455,My_Audit!$A:$A,My_Audit!R:R,""),
_xlfn.IFS(_xlpm.MyAuditVal&lt;&gt;"",UPPER(_xlpm.MyAuditVal),_xlpm.MacVal&lt;&gt;"",_xlpm.MacVal,_xlpm.CSVVal&lt;&gt;"",_xlpm.CSVVal
)),"")</f>
        <v/>
      </c>
    </row>
    <row r="456" spans="1:17">
      <c r="A456" s="2" t="str">
        <f>_xlfn.TEXTJOIN("",TRUE,Input!$B$2,ROW(My_Audit!A455))</f>
        <v>XX455</v>
      </c>
      <c r="B456" s="2" t="str">
        <f>_xlfn.TEXTJOIN("-",TRUE,"ITD",Input!$A$2,A456)</f>
        <v>ITD-SHRXXX-XX455</v>
      </c>
      <c r="C456" s="2" t="str" cm="1">
        <f t="array" ref="C456">IFERROR(_xlfn.LET(
_xlpm.CSVVal,_xlfn.XLOOKUP($A456,CSV!$A:$A,CSV!B:B,""),
_xlpm.MacVal,_xlfn.XLOOKUP($A456,Output_Mac!$A:$A,Output_Mac!B:B,""),
_xlpm.MyAuditVal,_xlfn.XLOOKUP($A456,My_Audit!$A:$A,My_Audit!B:B,""),
_xlfn.IFS(_xlpm.MyAuditVal&lt;&gt;"",UPPER(_xlpm.MyAuditVal),_xlpm.MacVal&lt;&gt;"",_xlpm.MacVal,_xlpm.CSVVal&lt;&gt;"",_xlpm.CSVVal
)),"")</f>
        <v/>
      </c>
      <c r="D456" s="2" t="str" cm="1">
        <f t="array" ref="D456">IFERROR(_xlfn.LET(
_xlpm.CSVVal,_xlfn.XLOOKUP($A456,CSV!$A:$A,CSV!D:D,""),
_xlpm.MacVal,_xlfn.XLOOKUP($A456,Output_Mac!$A:$A,Output_Mac!C:C,""),
_xlpm.MyAuditVal,_xlfn.XLOOKUP($A456,My_Audit!$A:$A,My_Audit!C:C,""),
_xlfn.IFS(_xlpm.MyAuditVal&lt;&gt;"",_xlpm.MyAuditVal,_xlpm.MacVal&lt;&gt;"",_xlpm.MacVal,_xlpm.CSVVal&lt;&gt;"",_xlpm.CSVVal
)),"")</f>
        <v/>
      </c>
      <c r="E456" s="2" t="str">
        <f>_xlfn.XLOOKUP(A456,My_Audit!A:A,My_Audit!D:D,"")&amp;""</f>
        <v/>
      </c>
      <c r="F456" s="2" t="str" cm="1">
        <f t="array" ref="F456">IFERROR(_xlfn.LET(
_xlpm.CSVVal,_xlfn.XLOOKUP($A456,CSV!$A:$A,CSV!F:F,""),
_xlpm.MacVal,_xlfn.XLOOKUP($A456,Output_Mac!$A:$A,Output_Mac!E:E,""),
_xlpm.MyAuditVal,_xlfn.XLOOKUP($A456,My_Audit!$A:$A,My_Audit!E:E,""),
_xlfn.IFS(_xlpm.MyAuditVal&lt;&gt;"",_xlpm.MyAuditVal,_xlpm.MacVal&lt;&gt;"",_xlpm.MacVal,_xlpm.CSVVal&lt;&gt;"",_xlpm.CSVVal
)),"")</f>
        <v/>
      </c>
      <c r="G456" s="2" t="str" cm="1">
        <f t="array" ref="G456">IFERROR(_xlfn.LET(
_xlpm.CSVVal,_xlfn.XLOOKUP($A456,CSV!$A:$A,CSV!G:G,""),
_xlpm.MacVal,_xlfn.XLOOKUP($A456,Output_Mac!$A:$A,Output_Mac!F:F,""),
_xlpm.MyAuditVal,_xlfn.XLOOKUP($A456,My_Audit!$A:$A,My_Audit!F:F,""),
_xlfn.IFS(_xlpm.MyAuditVal&lt;&gt;"",_xlpm.MyAuditVal,_xlpm.MacVal&lt;&gt;"",_xlpm.MacVal,_xlpm.CSVVal&lt;&gt;"",PROPER(_xlpm.CSVVal)
)),"")</f>
        <v/>
      </c>
      <c r="H456" s="2" t="str" cm="1">
        <f t="array" ref="H456">IFERROR(_xlfn.LET(
_xlpm.CSVVal,_xlfn.XLOOKUP($A456,CSV!$A:$A,CSV!H:H,""),
_xlpm.MacVal,_xlfn.XLOOKUP($A456,Output_Mac!$A:$A,Output_Mac!H:H,""),
_xlpm.MyAuditVal,_xlfn.XLOOKUP($A456,My_Audit!$A:$A,My_Audit!G:G,""),
_xlfn.IFS(_xlpm.MyAuditVal&lt;&gt;"",_xlpm.MyAuditVal,_xlpm.MacVal&lt;&gt;"",_xlpm.MacVal,_xlpm.CSVVal&lt;&gt;"",_xlpm.CSVVal
)),"")</f>
        <v/>
      </c>
      <c r="I456" s="2" t="str">
        <f>_xlfn.XLOOKUP(A456,Output_Mac!A:A,Output_Mac!I:I,"")</f>
        <v/>
      </c>
      <c r="J456" s="2" t="str" cm="1">
        <f t="array" ref="J456">IFERROR(_xlfn.LET(
_xlpm.CSVVal,_xlfn.XLOOKUP($A456,CSV!$A:$A,CSV!I:I,""),
_xlpm.MacVal,_xlfn.XLOOKUP($A456,Output_Mac!$A:$A,Output_Mac!J:J,""),
_xlpm.MyAuditVal,_xlfn.XLOOKUP($A456,My_Audit!$A:$A,My_Audit!I:I,""),
_xlfn.IFS(_xlpm.MyAuditVal&lt;&gt;"",UPPER(_xlpm.MyAuditVal),_xlpm.MacVal&lt;&gt;"",_xlpm.MacVal,_xlpm.CSVVal&lt;&gt;"",_xlpm.CSVVal
)),"")</f>
        <v/>
      </c>
      <c r="K456" s="2" t="str" cm="1">
        <f t="array" ref="K456">IFERROR(_xlfn.LET(
_xlpm.CSVVal,_xlfn.XLOOKUP($A456,CSV!$A:$A,CSV!K:K,""),
_xlpm.MacVal,_xlfn.XLOOKUP($A456,Output_Mac!$A:$A,Output_Mac!K:K,""),
_xlpm.MyAuditVal,_xlfn.XLOOKUP($A456,My_Audit!$A:$A,My_Audit!J:J,""),
_xlfn.IFS(_xlpm.MyAuditVal&lt;&gt;"",UPPER(_xlpm.MyAuditVal),_xlpm.MacVal&lt;&gt;"",_xlpm.MacVal,_xlpm.CSVVal&lt;&gt;"",_xlpm.CSVVal
)),"")</f>
        <v/>
      </c>
      <c r="L456" s="2" t="str" cm="1">
        <f t="array" ref="L456">IFERROR(_xlfn.LET(
_xlpm.CSVVal,_xlfn.XLOOKUP($A456,CSV!$A:$A,CSV!P:P,""),
_xlpm.MacVal,_xlfn.XLOOKUP($A456,Output_Mac!$A:$A,Output_Mac!L:L,""),
_xlpm.MyAuditVal,_xlfn.XLOOKUP($A456,My_Audit!$A:$A,My_Audit!K:K,""),
_xlfn.IFS(_xlpm.MyAuditVal&lt;&gt;"",UPPER(_xlpm.MyAuditVal),_xlpm.MacVal&lt;&gt;"",_xlpm.MacVal,_xlpm.CSVVal&lt;&gt;"",_xlpm.CSVVal
)),"")</f>
        <v/>
      </c>
      <c r="M456" s="2" t="str" cm="1">
        <f t="array" ref="M456">IFERROR(_xlfn.LET(
_xlpm.CSVVal,_xlfn.XLOOKUP($A456,CSV!$A:$A,CSV!Q:Q,""),
_xlpm.MacVal,_xlfn.XLOOKUP($A456,Output_Mac!$A:$A,Output_Mac!M:M,""),
_xlpm.MyAuditVal,_xlfn.XLOOKUP($A456,My_Audit!$A:$A,My_Audit!L:L,""),
_xlfn.IFS(_xlpm.MyAuditVal&lt;&gt;"",UPPER(_xlpm.MyAuditVal),_xlpm.MacVal&lt;&gt;"",_xlpm.MacVal,_xlpm.CSVVal&lt;&gt;"",_xlpm.CSVVal
)),"")</f>
        <v/>
      </c>
      <c r="O456" s="2" t="str">
        <f>_xlfn.LET(
    _xlpm.CSVVal, _xlfn.XLOOKUP($A456, CSV!$A:$A, CSV!AF:AF, ""),
    _xlpm.MacVal, _xlfn.XLOOKUP($A456, Output_Mac!$A:$A, Output_Mac!S:S, ""),
    _xlpm.MyAuditVal, _xlfn.XLOOKUP($A456, My_Audit!$A:$A, My_Audit!P:P, ""),
    _xlfn.TEXTJOIN(", ", TRUE, _xlpm.MyAuditVal, _xlpm.MacVal, _xlpm.CSVVal)
)</f>
        <v/>
      </c>
      <c r="P456" s="2" t="str" cm="1">
        <f t="array" ref="P456">IFERROR(_xlfn.LET(
_xlpm.CSVVal,_xlfn.XLOOKUP($A456,CSV!$A:$A,CSV!AG:AG,""),
_xlpm.MacVal,_xlfn.XLOOKUP($A456,Output_Mac!$A:$A,Output_Mac!T:T,""),
_xlpm.MyAuditVal,_xlfn.XLOOKUP($A456,My_Audit!$A:$A,My_Audit!Q:Q,""),
_xlfn.IFS(_xlpm.MyAuditVal&lt;&gt;"",UPPER(_xlpm.MyAuditVal),_xlpm.MacVal&lt;&gt;"",_xlpm.MacVal,_xlpm.CSVVal&lt;&gt;"",_xlpm.CSVVal
)),"No")</f>
        <v>No</v>
      </c>
      <c r="Q456" s="2" t="str" cm="1">
        <f t="array" ref="Q456">IFERROR(_xlfn.LET(
_xlpm.CSVVal,_xlfn.XLOOKUP($A456,CSV!$A:$A,CSV!AH:AH,""),
_xlpm.MacVal,_xlfn.XLOOKUP($A456,Output_Mac!$A:$A,Output_Mac!U:U,""),
_xlpm.MyAuditVal,_xlfn.XLOOKUP($A456,My_Audit!$A:$A,My_Audit!R:R,""),
_xlfn.IFS(_xlpm.MyAuditVal&lt;&gt;"",UPPER(_xlpm.MyAuditVal),_xlpm.MacVal&lt;&gt;"",_xlpm.MacVal,_xlpm.CSVVal&lt;&gt;"",_xlpm.CSVVal
)),"")</f>
        <v/>
      </c>
    </row>
    <row r="457" spans="1:17">
      <c r="A457" s="2" t="str">
        <f>_xlfn.TEXTJOIN("",TRUE,Input!$B$2,ROW(My_Audit!A456))</f>
        <v>XX456</v>
      </c>
      <c r="B457" s="2" t="str">
        <f>_xlfn.TEXTJOIN("-",TRUE,"ITD",Input!$A$2,A457)</f>
        <v>ITD-SHRXXX-XX456</v>
      </c>
      <c r="C457" s="2" t="str" cm="1">
        <f t="array" ref="C457">IFERROR(_xlfn.LET(
_xlpm.CSVVal,_xlfn.XLOOKUP($A457,CSV!$A:$A,CSV!B:B,""),
_xlpm.MacVal,_xlfn.XLOOKUP($A457,Output_Mac!$A:$A,Output_Mac!B:B,""),
_xlpm.MyAuditVal,_xlfn.XLOOKUP($A457,My_Audit!$A:$A,My_Audit!B:B,""),
_xlfn.IFS(_xlpm.MyAuditVal&lt;&gt;"",UPPER(_xlpm.MyAuditVal),_xlpm.MacVal&lt;&gt;"",_xlpm.MacVal,_xlpm.CSVVal&lt;&gt;"",_xlpm.CSVVal
)),"")</f>
        <v/>
      </c>
      <c r="D457" s="2" t="str" cm="1">
        <f t="array" ref="D457">IFERROR(_xlfn.LET(
_xlpm.CSVVal,_xlfn.XLOOKUP($A457,CSV!$A:$A,CSV!D:D,""),
_xlpm.MacVal,_xlfn.XLOOKUP($A457,Output_Mac!$A:$A,Output_Mac!C:C,""),
_xlpm.MyAuditVal,_xlfn.XLOOKUP($A457,My_Audit!$A:$A,My_Audit!C:C,""),
_xlfn.IFS(_xlpm.MyAuditVal&lt;&gt;"",_xlpm.MyAuditVal,_xlpm.MacVal&lt;&gt;"",_xlpm.MacVal,_xlpm.CSVVal&lt;&gt;"",_xlpm.CSVVal
)),"")</f>
        <v/>
      </c>
      <c r="E457" s="2" t="str">
        <f>_xlfn.XLOOKUP(A457,My_Audit!A:A,My_Audit!D:D,"")&amp;""</f>
        <v/>
      </c>
      <c r="F457" s="2" t="str" cm="1">
        <f t="array" ref="F457">IFERROR(_xlfn.LET(
_xlpm.CSVVal,_xlfn.XLOOKUP($A457,CSV!$A:$A,CSV!F:F,""),
_xlpm.MacVal,_xlfn.XLOOKUP($A457,Output_Mac!$A:$A,Output_Mac!E:E,""),
_xlpm.MyAuditVal,_xlfn.XLOOKUP($A457,My_Audit!$A:$A,My_Audit!E:E,""),
_xlfn.IFS(_xlpm.MyAuditVal&lt;&gt;"",_xlpm.MyAuditVal,_xlpm.MacVal&lt;&gt;"",_xlpm.MacVal,_xlpm.CSVVal&lt;&gt;"",_xlpm.CSVVal
)),"")</f>
        <v/>
      </c>
      <c r="G457" s="2" t="str" cm="1">
        <f t="array" ref="G457">IFERROR(_xlfn.LET(
_xlpm.CSVVal,_xlfn.XLOOKUP($A457,CSV!$A:$A,CSV!G:G,""),
_xlpm.MacVal,_xlfn.XLOOKUP($A457,Output_Mac!$A:$A,Output_Mac!F:F,""),
_xlpm.MyAuditVal,_xlfn.XLOOKUP($A457,My_Audit!$A:$A,My_Audit!F:F,""),
_xlfn.IFS(_xlpm.MyAuditVal&lt;&gt;"",_xlpm.MyAuditVal,_xlpm.MacVal&lt;&gt;"",_xlpm.MacVal,_xlpm.CSVVal&lt;&gt;"",PROPER(_xlpm.CSVVal)
)),"")</f>
        <v/>
      </c>
      <c r="H457" s="2" t="str" cm="1">
        <f t="array" ref="H457">IFERROR(_xlfn.LET(
_xlpm.CSVVal,_xlfn.XLOOKUP($A457,CSV!$A:$A,CSV!H:H,""),
_xlpm.MacVal,_xlfn.XLOOKUP($A457,Output_Mac!$A:$A,Output_Mac!H:H,""),
_xlpm.MyAuditVal,_xlfn.XLOOKUP($A457,My_Audit!$A:$A,My_Audit!G:G,""),
_xlfn.IFS(_xlpm.MyAuditVal&lt;&gt;"",_xlpm.MyAuditVal,_xlpm.MacVal&lt;&gt;"",_xlpm.MacVal,_xlpm.CSVVal&lt;&gt;"",_xlpm.CSVVal
)),"")</f>
        <v/>
      </c>
      <c r="I457" s="2" t="str">
        <f>_xlfn.XLOOKUP(A457,Output_Mac!A:A,Output_Mac!I:I,"")</f>
        <v/>
      </c>
      <c r="J457" s="2" t="str" cm="1">
        <f t="array" ref="J457">IFERROR(_xlfn.LET(
_xlpm.CSVVal,_xlfn.XLOOKUP($A457,CSV!$A:$A,CSV!I:I,""),
_xlpm.MacVal,_xlfn.XLOOKUP($A457,Output_Mac!$A:$A,Output_Mac!J:J,""),
_xlpm.MyAuditVal,_xlfn.XLOOKUP($A457,My_Audit!$A:$A,My_Audit!I:I,""),
_xlfn.IFS(_xlpm.MyAuditVal&lt;&gt;"",UPPER(_xlpm.MyAuditVal),_xlpm.MacVal&lt;&gt;"",_xlpm.MacVal,_xlpm.CSVVal&lt;&gt;"",_xlpm.CSVVal
)),"")</f>
        <v/>
      </c>
      <c r="K457" s="2" t="str" cm="1">
        <f t="array" ref="K457">IFERROR(_xlfn.LET(
_xlpm.CSVVal,_xlfn.XLOOKUP($A457,CSV!$A:$A,CSV!K:K,""),
_xlpm.MacVal,_xlfn.XLOOKUP($A457,Output_Mac!$A:$A,Output_Mac!K:K,""),
_xlpm.MyAuditVal,_xlfn.XLOOKUP($A457,My_Audit!$A:$A,My_Audit!J:J,""),
_xlfn.IFS(_xlpm.MyAuditVal&lt;&gt;"",UPPER(_xlpm.MyAuditVal),_xlpm.MacVal&lt;&gt;"",_xlpm.MacVal,_xlpm.CSVVal&lt;&gt;"",_xlpm.CSVVal
)),"")</f>
        <v/>
      </c>
      <c r="L457" s="2" t="str" cm="1">
        <f t="array" ref="L457">IFERROR(_xlfn.LET(
_xlpm.CSVVal,_xlfn.XLOOKUP($A457,CSV!$A:$A,CSV!P:P,""),
_xlpm.MacVal,_xlfn.XLOOKUP($A457,Output_Mac!$A:$A,Output_Mac!L:L,""),
_xlpm.MyAuditVal,_xlfn.XLOOKUP($A457,My_Audit!$A:$A,My_Audit!K:K,""),
_xlfn.IFS(_xlpm.MyAuditVal&lt;&gt;"",UPPER(_xlpm.MyAuditVal),_xlpm.MacVal&lt;&gt;"",_xlpm.MacVal,_xlpm.CSVVal&lt;&gt;"",_xlpm.CSVVal
)),"")</f>
        <v/>
      </c>
      <c r="M457" s="2" t="str" cm="1">
        <f t="array" ref="M457">IFERROR(_xlfn.LET(
_xlpm.CSVVal,_xlfn.XLOOKUP($A457,CSV!$A:$A,CSV!Q:Q,""),
_xlpm.MacVal,_xlfn.XLOOKUP($A457,Output_Mac!$A:$A,Output_Mac!M:M,""),
_xlpm.MyAuditVal,_xlfn.XLOOKUP($A457,My_Audit!$A:$A,My_Audit!L:L,""),
_xlfn.IFS(_xlpm.MyAuditVal&lt;&gt;"",UPPER(_xlpm.MyAuditVal),_xlpm.MacVal&lt;&gt;"",_xlpm.MacVal,_xlpm.CSVVal&lt;&gt;"",_xlpm.CSVVal
)),"")</f>
        <v/>
      </c>
      <c r="O457" s="2" t="str">
        <f>_xlfn.LET(
    _xlpm.CSVVal, _xlfn.XLOOKUP($A457, CSV!$A:$A, CSV!AF:AF, ""),
    _xlpm.MacVal, _xlfn.XLOOKUP($A457, Output_Mac!$A:$A, Output_Mac!S:S, ""),
    _xlpm.MyAuditVal, _xlfn.XLOOKUP($A457, My_Audit!$A:$A, My_Audit!P:P, ""),
    _xlfn.TEXTJOIN(", ", TRUE, _xlpm.MyAuditVal, _xlpm.MacVal, _xlpm.CSVVal)
)</f>
        <v/>
      </c>
      <c r="P457" s="2" t="str" cm="1">
        <f t="array" ref="P457">IFERROR(_xlfn.LET(
_xlpm.CSVVal,_xlfn.XLOOKUP($A457,CSV!$A:$A,CSV!AG:AG,""),
_xlpm.MacVal,_xlfn.XLOOKUP($A457,Output_Mac!$A:$A,Output_Mac!T:T,""),
_xlpm.MyAuditVal,_xlfn.XLOOKUP($A457,My_Audit!$A:$A,My_Audit!Q:Q,""),
_xlfn.IFS(_xlpm.MyAuditVal&lt;&gt;"",UPPER(_xlpm.MyAuditVal),_xlpm.MacVal&lt;&gt;"",_xlpm.MacVal,_xlpm.CSVVal&lt;&gt;"",_xlpm.CSVVal
)),"No")</f>
        <v>No</v>
      </c>
      <c r="Q457" s="2" t="str" cm="1">
        <f t="array" ref="Q457">IFERROR(_xlfn.LET(
_xlpm.CSVVal,_xlfn.XLOOKUP($A457,CSV!$A:$A,CSV!AH:AH,""),
_xlpm.MacVal,_xlfn.XLOOKUP($A457,Output_Mac!$A:$A,Output_Mac!U:U,""),
_xlpm.MyAuditVal,_xlfn.XLOOKUP($A457,My_Audit!$A:$A,My_Audit!R:R,""),
_xlfn.IFS(_xlpm.MyAuditVal&lt;&gt;"",UPPER(_xlpm.MyAuditVal),_xlpm.MacVal&lt;&gt;"",_xlpm.MacVal,_xlpm.CSVVal&lt;&gt;"",_xlpm.CSVVal
)),"")</f>
        <v/>
      </c>
    </row>
    <row r="458" spans="1:17">
      <c r="A458" s="2" t="str">
        <f>_xlfn.TEXTJOIN("",TRUE,Input!$B$2,ROW(My_Audit!A457))</f>
        <v>XX457</v>
      </c>
      <c r="B458" s="2" t="str">
        <f>_xlfn.TEXTJOIN("-",TRUE,"ITD",Input!$A$2,A458)</f>
        <v>ITD-SHRXXX-XX457</v>
      </c>
      <c r="C458" s="2" t="str" cm="1">
        <f t="array" ref="C458">IFERROR(_xlfn.LET(
_xlpm.CSVVal,_xlfn.XLOOKUP($A458,CSV!$A:$A,CSV!B:B,""),
_xlpm.MacVal,_xlfn.XLOOKUP($A458,Output_Mac!$A:$A,Output_Mac!B:B,""),
_xlpm.MyAuditVal,_xlfn.XLOOKUP($A458,My_Audit!$A:$A,My_Audit!B:B,""),
_xlfn.IFS(_xlpm.MyAuditVal&lt;&gt;"",UPPER(_xlpm.MyAuditVal),_xlpm.MacVal&lt;&gt;"",_xlpm.MacVal,_xlpm.CSVVal&lt;&gt;"",_xlpm.CSVVal
)),"")</f>
        <v/>
      </c>
      <c r="D458" s="2" t="str" cm="1">
        <f t="array" ref="D458">IFERROR(_xlfn.LET(
_xlpm.CSVVal,_xlfn.XLOOKUP($A458,CSV!$A:$A,CSV!D:D,""),
_xlpm.MacVal,_xlfn.XLOOKUP($A458,Output_Mac!$A:$A,Output_Mac!C:C,""),
_xlpm.MyAuditVal,_xlfn.XLOOKUP($A458,My_Audit!$A:$A,My_Audit!C:C,""),
_xlfn.IFS(_xlpm.MyAuditVal&lt;&gt;"",_xlpm.MyAuditVal,_xlpm.MacVal&lt;&gt;"",_xlpm.MacVal,_xlpm.CSVVal&lt;&gt;"",_xlpm.CSVVal
)),"")</f>
        <v/>
      </c>
      <c r="E458" s="2" t="str">
        <f>_xlfn.XLOOKUP(A458,My_Audit!A:A,My_Audit!D:D,"")&amp;""</f>
        <v/>
      </c>
      <c r="F458" s="2" t="str" cm="1">
        <f t="array" ref="F458">IFERROR(_xlfn.LET(
_xlpm.CSVVal,_xlfn.XLOOKUP($A458,CSV!$A:$A,CSV!F:F,""),
_xlpm.MacVal,_xlfn.XLOOKUP($A458,Output_Mac!$A:$A,Output_Mac!E:E,""),
_xlpm.MyAuditVal,_xlfn.XLOOKUP($A458,My_Audit!$A:$A,My_Audit!E:E,""),
_xlfn.IFS(_xlpm.MyAuditVal&lt;&gt;"",_xlpm.MyAuditVal,_xlpm.MacVal&lt;&gt;"",_xlpm.MacVal,_xlpm.CSVVal&lt;&gt;"",_xlpm.CSVVal
)),"")</f>
        <v/>
      </c>
      <c r="G458" s="2" t="str" cm="1">
        <f t="array" ref="G458">IFERROR(_xlfn.LET(
_xlpm.CSVVal,_xlfn.XLOOKUP($A458,CSV!$A:$A,CSV!G:G,""),
_xlpm.MacVal,_xlfn.XLOOKUP($A458,Output_Mac!$A:$A,Output_Mac!F:F,""),
_xlpm.MyAuditVal,_xlfn.XLOOKUP($A458,My_Audit!$A:$A,My_Audit!F:F,""),
_xlfn.IFS(_xlpm.MyAuditVal&lt;&gt;"",_xlpm.MyAuditVal,_xlpm.MacVal&lt;&gt;"",_xlpm.MacVal,_xlpm.CSVVal&lt;&gt;"",PROPER(_xlpm.CSVVal)
)),"")</f>
        <v/>
      </c>
      <c r="H458" s="2" t="str" cm="1">
        <f t="array" ref="H458">IFERROR(_xlfn.LET(
_xlpm.CSVVal,_xlfn.XLOOKUP($A458,CSV!$A:$A,CSV!H:H,""),
_xlpm.MacVal,_xlfn.XLOOKUP($A458,Output_Mac!$A:$A,Output_Mac!H:H,""),
_xlpm.MyAuditVal,_xlfn.XLOOKUP($A458,My_Audit!$A:$A,My_Audit!G:G,""),
_xlfn.IFS(_xlpm.MyAuditVal&lt;&gt;"",_xlpm.MyAuditVal,_xlpm.MacVal&lt;&gt;"",_xlpm.MacVal,_xlpm.CSVVal&lt;&gt;"",_xlpm.CSVVal
)),"")</f>
        <v/>
      </c>
      <c r="I458" s="2" t="str">
        <f>_xlfn.XLOOKUP(A458,Output_Mac!A:A,Output_Mac!I:I,"")</f>
        <v/>
      </c>
      <c r="J458" s="2" t="str" cm="1">
        <f t="array" ref="J458">IFERROR(_xlfn.LET(
_xlpm.CSVVal,_xlfn.XLOOKUP($A458,CSV!$A:$A,CSV!I:I,""),
_xlpm.MacVal,_xlfn.XLOOKUP($A458,Output_Mac!$A:$A,Output_Mac!J:J,""),
_xlpm.MyAuditVal,_xlfn.XLOOKUP($A458,My_Audit!$A:$A,My_Audit!I:I,""),
_xlfn.IFS(_xlpm.MyAuditVal&lt;&gt;"",UPPER(_xlpm.MyAuditVal),_xlpm.MacVal&lt;&gt;"",_xlpm.MacVal,_xlpm.CSVVal&lt;&gt;"",_xlpm.CSVVal
)),"")</f>
        <v/>
      </c>
      <c r="K458" s="2" t="str" cm="1">
        <f t="array" ref="K458">IFERROR(_xlfn.LET(
_xlpm.CSVVal,_xlfn.XLOOKUP($A458,CSV!$A:$A,CSV!K:K,""),
_xlpm.MacVal,_xlfn.XLOOKUP($A458,Output_Mac!$A:$A,Output_Mac!K:K,""),
_xlpm.MyAuditVal,_xlfn.XLOOKUP($A458,My_Audit!$A:$A,My_Audit!J:J,""),
_xlfn.IFS(_xlpm.MyAuditVal&lt;&gt;"",UPPER(_xlpm.MyAuditVal),_xlpm.MacVal&lt;&gt;"",_xlpm.MacVal,_xlpm.CSVVal&lt;&gt;"",_xlpm.CSVVal
)),"")</f>
        <v/>
      </c>
      <c r="L458" s="2" t="str" cm="1">
        <f t="array" ref="L458">IFERROR(_xlfn.LET(
_xlpm.CSVVal,_xlfn.XLOOKUP($A458,CSV!$A:$A,CSV!P:P,""),
_xlpm.MacVal,_xlfn.XLOOKUP($A458,Output_Mac!$A:$A,Output_Mac!L:L,""),
_xlpm.MyAuditVal,_xlfn.XLOOKUP($A458,My_Audit!$A:$A,My_Audit!K:K,""),
_xlfn.IFS(_xlpm.MyAuditVal&lt;&gt;"",UPPER(_xlpm.MyAuditVal),_xlpm.MacVal&lt;&gt;"",_xlpm.MacVal,_xlpm.CSVVal&lt;&gt;"",_xlpm.CSVVal
)),"")</f>
        <v/>
      </c>
      <c r="M458" s="2" t="str" cm="1">
        <f t="array" ref="M458">IFERROR(_xlfn.LET(
_xlpm.CSVVal,_xlfn.XLOOKUP($A458,CSV!$A:$A,CSV!Q:Q,""),
_xlpm.MacVal,_xlfn.XLOOKUP($A458,Output_Mac!$A:$A,Output_Mac!M:M,""),
_xlpm.MyAuditVal,_xlfn.XLOOKUP($A458,My_Audit!$A:$A,My_Audit!L:L,""),
_xlfn.IFS(_xlpm.MyAuditVal&lt;&gt;"",UPPER(_xlpm.MyAuditVal),_xlpm.MacVal&lt;&gt;"",_xlpm.MacVal,_xlpm.CSVVal&lt;&gt;"",_xlpm.CSVVal
)),"")</f>
        <v/>
      </c>
      <c r="O458" s="2" t="str">
        <f>_xlfn.LET(
    _xlpm.CSVVal, _xlfn.XLOOKUP($A458, CSV!$A:$A, CSV!AF:AF, ""),
    _xlpm.MacVal, _xlfn.XLOOKUP($A458, Output_Mac!$A:$A, Output_Mac!S:S, ""),
    _xlpm.MyAuditVal, _xlfn.XLOOKUP($A458, My_Audit!$A:$A, My_Audit!P:P, ""),
    _xlfn.TEXTJOIN(", ", TRUE, _xlpm.MyAuditVal, _xlpm.MacVal, _xlpm.CSVVal)
)</f>
        <v/>
      </c>
      <c r="P458" s="2" t="str" cm="1">
        <f t="array" ref="P458">IFERROR(_xlfn.LET(
_xlpm.CSVVal,_xlfn.XLOOKUP($A458,CSV!$A:$A,CSV!AG:AG,""),
_xlpm.MacVal,_xlfn.XLOOKUP($A458,Output_Mac!$A:$A,Output_Mac!T:T,""),
_xlpm.MyAuditVal,_xlfn.XLOOKUP($A458,My_Audit!$A:$A,My_Audit!Q:Q,""),
_xlfn.IFS(_xlpm.MyAuditVal&lt;&gt;"",UPPER(_xlpm.MyAuditVal),_xlpm.MacVal&lt;&gt;"",_xlpm.MacVal,_xlpm.CSVVal&lt;&gt;"",_xlpm.CSVVal
)),"No")</f>
        <v>No</v>
      </c>
      <c r="Q458" s="2" t="str" cm="1">
        <f t="array" ref="Q458">IFERROR(_xlfn.LET(
_xlpm.CSVVal,_xlfn.XLOOKUP($A458,CSV!$A:$A,CSV!AH:AH,""),
_xlpm.MacVal,_xlfn.XLOOKUP($A458,Output_Mac!$A:$A,Output_Mac!U:U,""),
_xlpm.MyAuditVal,_xlfn.XLOOKUP($A458,My_Audit!$A:$A,My_Audit!R:R,""),
_xlfn.IFS(_xlpm.MyAuditVal&lt;&gt;"",UPPER(_xlpm.MyAuditVal),_xlpm.MacVal&lt;&gt;"",_xlpm.MacVal,_xlpm.CSVVal&lt;&gt;"",_xlpm.CSVVal
)),"")</f>
        <v/>
      </c>
    </row>
    <row r="459" spans="1:17">
      <c r="A459" s="2" t="str">
        <f>_xlfn.TEXTJOIN("",TRUE,Input!$B$2,ROW(My_Audit!A458))</f>
        <v>XX458</v>
      </c>
      <c r="B459" s="2" t="str">
        <f>_xlfn.TEXTJOIN("-",TRUE,"ITD",Input!$A$2,A459)</f>
        <v>ITD-SHRXXX-XX458</v>
      </c>
      <c r="C459" s="2" t="str" cm="1">
        <f t="array" ref="C459">IFERROR(_xlfn.LET(
_xlpm.CSVVal,_xlfn.XLOOKUP($A459,CSV!$A:$A,CSV!B:B,""),
_xlpm.MacVal,_xlfn.XLOOKUP($A459,Output_Mac!$A:$A,Output_Mac!B:B,""),
_xlpm.MyAuditVal,_xlfn.XLOOKUP($A459,My_Audit!$A:$A,My_Audit!B:B,""),
_xlfn.IFS(_xlpm.MyAuditVal&lt;&gt;"",UPPER(_xlpm.MyAuditVal),_xlpm.MacVal&lt;&gt;"",_xlpm.MacVal,_xlpm.CSVVal&lt;&gt;"",_xlpm.CSVVal
)),"")</f>
        <v/>
      </c>
      <c r="D459" s="2" t="str" cm="1">
        <f t="array" ref="D459">IFERROR(_xlfn.LET(
_xlpm.CSVVal,_xlfn.XLOOKUP($A459,CSV!$A:$A,CSV!D:D,""),
_xlpm.MacVal,_xlfn.XLOOKUP($A459,Output_Mac!$A:$A,Output_Mac!C:C,""),
_xlpm.MyAuditVal,_xlfn.XLOOKUP($A459,My_Audit!$A:$A,My_Audit!C:C,""),
_xlfn.IFS(_xlpm.MyAuditVal&lt;&gt;"",_xlpm.MyAuditVal,_xlpm.MacVal&lt;&gt;"",_xlpm.MacVal,_xlpm.CSVVal&lt;&gt;"",_xlpm.CSVVal
)),"")</f>
        <v/>
      </c>
      <c r="E459" s="2" t="str">
        <f>_xlfn.XLOOKUP(A459,My_Audit!A:A,My_Audit!D:D,"")&amp;""</f>
        <v/>
      </c>
      <c r="F459" s="2" t="str" cm="1">
        <f t="array" ref="F459">IFERROR(_xlfn.LET(
_xlpm.CSVVal,_xlfn.XLOOKUP($A459,CSV!$A:$A,CSV!F:F,""),
_xlpm.MacVal,_xlfn.XLOOKUP($A459,Output_Mac!$A:$A,Output_Mac!E:E,""),
_xlpm.MyAuditVal,_xlfn.XLOOKUP($A459,My_Audit!$A:$A,My_Audit!E:E,""),
_xlfn.IFS(_xlpm.MyAuditVal&lt;&gt;"",_xlpm.MyAuditVal,_xlpm.MacVal&lt;&gt;"",_xlpm.MacVal,_xlpm.CSVVal&lt;&gt;"",_xlpm.CSVVal
)),"")</f>
        <v/>
      </c>
      <c r="G459" s="2" t="str" cm="1">
        <f t="array" ref="G459">IFERROR(_xlfn.LET(
_xlpm.CSVVal,_xlfn.XLOOKUP($A459,CSV!$A:$A,CSV!G:G,""),
_xlpm.MacVal,_xlfn.XLOOKUP($A459,Output_Mac!$A:$A,Output_Mac!F:F,""),
_xlpm.MyAuditVal,_xlfn.XLOOKUP($A459,My_Audit!$A:$A,My_Audit!F:F,""),
_xlfn.IFS(_xlpm.MyAuditVal&lt;&gt;"",_xlpm.MyAuditVal,_xlpm.MacVal&lt;&gt;"",_xlpm.MacVal,_xlpm.CSVVal&lt;&gt;"",PROPER(_xlpm.CSVVal)
)),"")</f>
        <v/>
      </c>
      <c r="H459" s="2" t="str" cm="1">
        <f t="array" ref="H459">IFERROR(_xlfn.LET(
_xlpm.CSVVal,_xlfn.XLOOKUP($A459,CSV!$A:$A,CSV!H:H,""),
_xlpm.MacVal,_xlfn.XLOOKUP($A459,Output_Mac!$A:$A,Output_Mac!H:H,""),
_xlpm.MyAuditVal,_xlfn.XLOOKUP($A459,My_Audit!$A:$A,My_Audit!G:G,""),
_xlfn.IFS(_xlpm.MyAuditVal&lt;&gt;"",_xlpm.MyAuditVal,_xlpm.MacVal&lt;&gt;"",_xlpm.MacVal,_xlpm.CSVVal&lt;&gt;"",_xlpm.CSVVal
)),"")</f>
        <v/>
      </c>
      <c r="I459" s="2" t="str">
        <f>_xlfn.XLOOKUP(A459,Output_Mac!A:A,Output_Mac!I:I,"")</f>
        <v/>
      </c>
      <c r="J459" s="2" t="str" cm="1">
        <f t="array" ref="J459">IFERROR(_xlfn.LET(
_xlpm.CSVVal,_xlfn.XLOOKUP($A459,CSV!$A:$A,CSV!I:I,""),
_xlpm.MacVal,_xlfn.XLOOKUP($A459,Output_Mac!$A:$A,Output_Mac!J:J,""),
_xlpm.MyAuditVal,_xlfn.XLOOKUP($A459,My_Audit!$A:$A,My_Audit!I:I,""),
_xlfn.IFS(_xlpm.MyAuditVal&lt;&gt;"",UPPER(_xlpm.MyAuditVal),_xlpm.MacVal&lt;&gt;"",_xlpm.MacVal,_xlpm.CSVVal&lt;&gt;"",_xlpm.CSVVal
)),"")</f>
        <v/>
      </c>
      <c r="K459" s="2" t="str" cm="1">
        <f t="array" ref="K459">IFERROR(_xlfn.LET(
_xlpm.CSVVal,_xlfn.XLOOKUP($A459,CSV!$A:$A,CSV!K:K,""),
_xlpm.MacVal,_xlfn.XLOOKUP($A459,Output_Mac!$A:$A,Output_Mac!K:K,""),
_xlpm.MyAuditVal,_xlfn.XLOOKUP($A459,My_Audit!$A:$A,My_Audit!J:J,""),
_xlfn.IFS(_xlpm.MyAuditVal&lt;&gt;"",UPPER(_xlpm.MyAuditVal),_xlpm.MacVal&lt;&gt;"",_xlpm.MacVal,_xlpm.CSVVal&lt;&gt;"",_xlpm.CSVVal
)),"")</f>
        <v/>
      </c>
      <c r="L459" s="2" t="str" cm="1">
        <f t="array" ref="L459">IFERROR(_xlfn.LET(
_xlpm.CSVVal,_xlfn.XLOOKUP($A459,CSV!$A:$A,CSV!P:P,""),
_xlpm.MacVal,_xlfn.XLOOKUP($A459,Output_Mac!$A:$A,Output_Mac!L:L,""),
_xlpm.MyAuditVal,_xlfn.XLOOKUP($A459,My_Audit!$A:$A,My_Audit!K:K,""),
_xlfn.IFS(_xlpm.MyAuditVal&lt;&gt;"",UPPER(_xlpm.MyAuditVal),_xlpm.MacVal&lt;&gt;"",_xlpm.MacVal,_xlpm.CSVVal&lt;&gt;"",_xlpm.CSVVal
)),"")</f>
        <v/>
      </c>
      <c r="M459" s="2" t="str" cm="1">
        <f t="array" ref="M459">IFERROR(_xlfn.LET(
_xlpm.CSVVal,_xlfn.XLOOKUP($A459,CSV!$A:$A,CSV!Q:Q,""),
_xlpm.MacVal,_xlfn.XLOOKUP($A459,Output_Mac!$A:$A,Output_Mac!M:M,""),
_xlpm.MyAuditVal,_xlfn.XLOOKUP($A459,My_Audit!$A:$A,My_Audit!L:L,""),
_xlfn.IFS(_xlpm.MyAuditVal&lt;&gt;"",UPPER(_xlpm.MyAuditVal),_xlpm.MacVal&lt;&gt;"",_xlpm.MacVal,_xlpm.CSVVal&lt;&gt;"",_xlpm.CSVVal
)),"")</f>
        <v/>
      </c>
      <c r="O459" s="2" t="str">
        <f>_xlfn.LET(
    _xlpm.CSVVal, _xlfn.XLOOKUP($A459, CSV!$A:$A, CSV!AF:AF, ""),
    _xlpm.MacVal, _xlfn.XLOOKUP($A459, Output_Mac!$A:$A, Output_Mac!S:S, ""),
    _xlpm.MyAuditVal, _xlfn.XLOOKUP($A459, My_Audit!$A:$A, My_Audit!P:P, ""),
    _xlfn.TEXTJOIN(", ", TRUE, _xlpm.MyAuditVal, _xlpm.MacVal, _xlpm.CSVVal)
)</f>
        <v/>
      </c>
      <c r="P459" s="2" t="str" cm="1">
        <f t="array" ref="P459">IFERROR(_xlfn.LET(
_xlpm.CSVVal,_xlfn.XLOOKUP($A459,CSV!$A:$A,CSV!AG:AG,""),
_xlpm.MacVal,_xlfn.XLOOKUP($A459,Output_Mac!$A:$A,Output_Mac!T:T,""),
_xlpm.MyAuditVal,_xlfn.XLOOKUP($A459,My_Audit!$A:$A,My_Audit!Q:Q,""),
_xlfn.IFS(_xlpm.MyAuditVal&lt;&gt;"",UPPER(_xlpm.MyAuditVal),_xlpm.MacVal&lt;&gt;"",_xlpm.MacVal,_xlpm.CSVVal&lt;&gt;"",_xlpm.CSVVal
)),"No")</f>
        <v>No</v>
      </c>
      <c r="Q459" s="2" t="str" cm="1">
        <f t="array" ref="Q459">IFERROR(_xlfn.LET(
_xlpm.CSVVal,_xlfn.XLOOKUP($A459,CSV!$A:$A,CSV!AH:AH,""),
_xlpm.MacVal,_xlfn.XLOOKUP($A459,Output_Mac!$A:$A,Output_Mac!U:U,""),
_xlpm.MyAuditVal,_xlfn.XLOOKUP($A459,My_Audit!$A:$A,My_Audit!R:R,""),
_xlfn.IFS(_xlpm.MyAuditVal&lt;&gt;"",UPPER(_xlpm.MyAuditVal),_xlpm.MacVal&lt;&gt;"",_xlpm.MacVal,_xlpm.CSVVal&lt;&gt;"",_xlpm.CSVVal
)),"")</f>
        <v/>
      </c>
    </row>
    <row r="460" spans="1:17">
      <c r="A460" s="2" t="str">
        <f>_xlfn.TEXTJOIN("",TRUE,Input!$B$2,ROW(My_Audit!A459))</f>
        <v>XX459</v>
      </c>
      <c r="B460" s="2" t="str">
        <f>_xlfn.TEXTJOIN("-",TRUE,"ITD",Input!$A$2,A460)</f>
        <v>ITD-SHRXXX-XX459</v>
      </c>
      <c r="C460" s="2" t="str" cm="1">
        <f t="array" ref="C460">IFERROR(_xlfn.LET(
_xlpm.CSVVal,_xlfn.XLOOKUP($A460,CSV!$A:$A,CSV!B:B,""),
_xlpm.MacVal,_xlfn.XLOOKUP($A460,Output_Mac!$A:$A,Output_Mac!B:B,""),
_xlpm.MyAuditVal,_xlfn.XLOOKUP($A460,My_Audit!$A:$A,My_Audit!B:B,""),
_xlfn.IFS(_xlpm.MyAuditVal&lt;&gt;"",UPPER(_xlpm.MyAuditVal),_xlpm.MacVal&lt;&gt;"",_xlpm.MacVal,_xlpm.CSVVal&lt;&gt;"",_xlpm.CSVVal
)),"")</f>
        <v/>
      </c>
      <c r="D460" s="2" t="str" cm="1">
        <f t="array" ref="D460">IFERROR(_xlfn.LET(
_xlpm.CSVVal,_xlfn.XLOOKUP($A460,CSV!$A:$A,CSV!D:D,""),
_xlpm.MacVal,_xlfn.XLOOKUP($A460,Output_Mac!$A:$A,Output_Mac!C:C,""),
_xlpm.MyAuditVal,_xlfn.XLOOKUP($A460,My_Audit!$A:$A,My_Audit!C:C,""),
_xlfn.IFS(_xlpm.MyAuditVal&lt;&gt;"",_xlpm.MyAuditVal,_xlpm.MacVal&lt;&gt;"",_xlpm.MacVal,_xlpm.CSVVal&lt;&gt;"",_xlpm.CSVVal
)),"")</f>
        <v/>
      </c>
      <c r="E460" s="2" t="str">
        <f>_xlfn.XLOOKUP(A460,My_Audit!A:A,My_Audit!D:D,"")&amp;""</f>
        <v/>
      </c>
      <c r="F460" s="2" t="str" cm="1">
        <f t="array" ref="F460">IFERROR(_xlfn.LET(
_xlpm.CSVVal,_xlfn.XLOOKUP($A460,CSV!$A:$A,CSV!F:F,""),
_xlpm.MacVal,_xlfn.XLOOKUP($A460,Output_Mac!$A:$A,Output_Mac!E:E,""),
_xlpm.MyAuditVal,_xlfn.XLOOKUP($A460,My_Audit!$A:$A,My_Audit!E:E,""),
_xlfn.IFS(_xlpm.MyAuditVal&lt;&gt;"",_xlpm.MyAuditVal,_xlpm.MacVal&lt;&gt;"",_xlpm.MacVal,_xlpm.CSVVal&lt;&gt;"",_xlpm.CSVVal
)),"")</f>
        <v/>
      </c>
      <c r="G460" s="2" t="str" cm="1">
        <f t="array" ref="G460">IFERROR(_xlfn.LET(
_xlpm.CSVVal,_xlfn.XLOOKUP($A460,CSV!$A:$A,CSV!G:G,""),
_xlpm.MacVal,_xlfn.XLOOKUP($A460,Output_Mac!$A:$A,Output_Mac!F:F,""),
_xlpm.MyAuditVal,_xlfn.XLOOKUP($A460,My_Audit!$A:$A,My_Audit!F:F,""),
_xlfn.IFS(_xlpm.MyAuditVal&lt;&gt;"",_xlpm.MyAuditVal,_xlpm.MacVal&lt;&gt;"",_xlpm.MacVal,_xlpm.CSVVal&lt;&gt;"",PROPER(_xlpm.CSVVal)
)),"")</f>
        <v/>
      </c>
      <c r="H460" s="2" t="str" cm="1">
        <f t="array" ref="H460">IFERROR(_xlfn.LET(
_xlpm.CSVVal,_xlfn.XLOOKUP($A460,CSV!$A:$A,CSV!H:H,""),
_xlpm.MacVal,_xlfn.XLOOKUP($A460,Output_Mac!$A:$A,Output_Mac!H:H,""),
_xlpm.MyAuditVal,_xlfn.XLOOKUP($A460,My_Audit!$A:$A,My_Audit!G:G,""),
_xlfn.IFS(_xlpm.MyAuditVal&lt;&gt;"",_xlpm.MyAuditVal,_xlpm.MacVal&lt;&gt;"",_xlpm.MacVal,_xlpm.CSVVal&lt;&gt;"",_xlpm.CSVVal
)),"")</f>
        <v/>
      </c>
      <c r="I460" s="2" t="str">
        <f>_xlfn.XLOOKUP(A460,Output_Mac!A:A,Output_Mac!I:I,"")</f>
        <v/>
      </c>
      <c r="J460" s="2" t="str" cm="1">
        <f t="array" ref="J460">IFERROR(_xlfn.LET(
_xlpm.CSVVal,_xlfn.XLOOKUP($A460,CSV!$A:$A,CSV!I:I,""),
_xlpm.MacVal,_xlfn.XLOOKUP($A460,Output_Mac!$A:$A,Output_Mac!J:J,""),
_xlpm.MyAuditVal,_xlfn.XLOOKUP($A460,My_Audit!$A:$A,My_Audit!I:I,""),
_xlfn.IFS(_xlpm.MyAuditVal&lt;&gt;"",UPPER(_xlpm.MyAuditVal),_xlpm.MacVal&lt;&gt;"",_xlpm.MacVal,_xlpm.CSVVal&lt;&gt;"",_xlpm.CSVVal
)),"")</f>
        <v/>
      </c>
      <c r="K460" s="2" t="str" cm="1">
        <f t="array" ref="K460">IFERROR(_xlfn.LET(
_xlpm.CSVVal,_xlfn.XLOOKUP($A460,CSV!$A:$A,CSV!K:K,""),
_xlpm.MacVal,_xlfn.XLOOKUP($A460,Output_Mac!$A:$A,Output_Mac!K:K,""),
_xlpm.MyAuditVal,_xlfn.XLOOKUP($A460,My_Audit!$A:$A,My_Audit!J:J,""),
_xlfn.IFS(_xlpm.MyAuditVal&lt;&gt;"",UPPER(_xlpm.MyAuditVal),_xlpm.MacVal&lt;&gt;"",_xlpm.MacVal,_xlpm.CSVVal&lt;&gt;"",_xlpm.CSVVal
)),"")</f>
        <v/>
      </c>
      <c r="L460" s="2" t="str" cm="1">
        <f t="array" ref="L460">IFERROR(_xlfn.LET(
_xlpm.CSVVal,_xlfn.XLOOKUP($A460,CSV!$A:$A,CSV!P:P,""),
_xlpm.MacVal,_xlfn.XLOOKUP($A460,Output_Mac!$A:$A,Output_Mac!L:L,""),
_xlpm.MyAuditVal,_xlfn.XLOOKUP($A460,My_Audit!$A:$A,My_Audit!K:K,""),
_xlfn.IFS(_xlpm.MyAuditVal&lt;&gt;"",UPPER(_xlpm.MyAuditVal),_xlpm.MacVal&lt;&gt;"",_xlpm.MacVal,_xlpm.CSVVal&lt;&gt;"",_xlpm.CSVVal
)),"")</f>
        <v/>
      </c>
      <c r="M460" s="2" t="str" cm="1">
        <f t="array" ref="M460">IFERROR(_xlfn.LET(
_xlpm.CSVVal,_xlfn.XLOOKUP($A460,CSV!$A:$A,CSV!Q:Q,""),
_xlpm.MacVal,_xlfn.XLOOKUP($A460,Output_Mac!$A:$A,Output_Mac!M:M,""),
_xlpm.MyAuditVal,_xlfn.XLOOKUP($A460,My_Audit!$A:$A,My_Audit!L:L,""),
_xlfn.IFS(_xlpm.MyAuditVal&lt;&gt;"",UPPER(_xlpm.MyAuditVal),_xlpm.MacVal&lt;&gt;"",_xlpm.MacVal,_xlpm.CSVVal&lt;&gt;"",_xlpm.CSVVal
)),"")</f>
        <v/>
      </c>
      <c r="O460" s="2" t="str">
        <f>_xlfn.LET(
    _xlpm.CSVVal, _xlfn.XLOOKUP($A460, CSV!$A:$A, CSV!AF:AF, ""),
    _xlpm.MacVal, _xlfn.XLOOKUP($A460, Output_Mac!$A:$A, Output_Mac!S:S, ""),
    _xlpm.MyAuditVal, _xlfn.XLOOKUP($A460, My_Audit!$A:$A, My_Audit!P:P, ""),
    _xlfn.TEXTJOIN(", ", TRUE, _xlpm.MyAuditVal, _xlpm.MacVal, _xlpm.CSVVal)
)</f>
        <v/>
      </c>
      <c r="P460" s="2" t="str" cm="1">
        <f t="array" ref="P460">IFERROR(_xlfn.LET(
_xlpm.CSVVal,_xlfn.XLOOKUP($A460,CSV!$A:$A,CSV!AG:AG,""),
_xlpm.MacVal,_xlfn.XLOOKUP($A460,Output_Mac!$A:$A,Output_Mac!T:T,""),
_xlpm.MyAuditVal,_xlfn.XLOOKUP($A460,My_Audit!$A:$A,My_Audit!Q:Q,""),
_xlfn.IFS(_xlpm.MyAuditVal&lt;&gt;"",UPPER(_xlpm.MyAuditVal),_xlpm.MacVal&lt;&gt;"",_xlpm.MacVal,_xlpm.CSVVal&lt;&gt;"",_xlpm.CSVVal
)),"No")</f>
        <v>No</v>
      </c>
      <c r="Q460" s="2" t="str" cm="1">
        <f t="array" ref="Q460">IFERROR(_xlfn.LET(
_xlpm.CSVVal,_xlfn.XLOOKUP($A460,CSV!$A:$A,CSV!AH:AH,""),
_xlpm.MacVal,_xlfn.XLOOKUP($A460,Output_Mac!$A:$A,Output_Mac!U:U,""),
_xlpm.MyAuditVal,_xlfn.XLOOKUP($A460,My_Audit!$A:$A,My_Audit!R:R,""),
_xlfn.IFS(_xlpm.MyAuditVal&lt;&gt;"",UPPER(_xlpm.MyAuditVal),_xlpm.MacVal&lt;&gt;"",_xlpm.MacVal,_xlpm.CSVVal&lt;&gt;"",_xlpm.CSVVal
)),"")</f>
        <v/>
      </c>
    </row>
    <row r="461" spans="1:17">
      <c r="A461" s="2" t="str">
        <f>_xlfn.TEXTJOIN("",TRUE,Input!$B$2,ROW(My_Audit!A460))</f>
        <v>XX460</v>
      </c>
      <c r="B461" s="2" t="str">
        <f>_xlfn.TEXTJOIN("-",TRUE,"ITD",Input!$A$2,A461)</f>
        <v>ITD-SHRXXX-XX460</v>
      </c>
      <c r="C461" s="2" t="str" cm="1">
        <f t="array" ref="C461">IFERROR(_xlfn.LET(
_xlpm.CSVVal,_xlfn.XLOOKUP($A461,CSV!$A:$A,CSV!B:B,""),
_xlpm.MacVal,_xlfn.XLOOKUP($A461,Output_Mac!$A:$A,Output_Mac!B:B,""),
_xlpm.MyAuditVal,_xlfn.XLOOKUP($A461,My_Audit!$A:$A,My_Audit!B:B,""),
_xlfn.IFS(_xlpm.MyAuditVal&lt;&gt;"",UPPER(_xlpm.MyAuditVal),_xlpm.MacVal&lt;&gt;"",_xlpm.MacVal,_xlpm.CSVVal&lt;&gt;"",_xlpm.CSVVal
)),"")</f>
        <v/>
      </c>
      <c r="D461" s="2" t="str" cm="1">
        <f t="array" ref="D461">IFERROR(_xlfn.LET(
_xlpm.CSVVal,_xlfn.XLOOKUP($A461,CSV!$A:$A,CSV!D:D,""),
_xlpm.MacVal,_xlfn.XLOOKUP($A461,Output_Mac!$A:$A,Output_Mac!C:C,""),
_xlpm.MyAuditVal,_xlfn.XLOOKUP($A461,My_Audit!$A:$A,My_Audit!C:C,""),
_xlfn.IFS(_xlpm.MyAuditVal&lt;&gt;"",_xlpm.MyAuditVal,_xlpm.MacVal&lt;&gt;"",_xlpm.MacVal,_xlpm.CSVVal&lt;&gt;"",_xlpm.CSVVal
)),"")</f>
        <v/>
      </c>
      <c r="E461" s="2" t="str">
        <f>_xlfn.XLOOKUP(A461,My_Audit!A:A,My_Audit!D:D,"")&amp;""</f>
        <v/>
      </c>
      <c r="F461" s="2" t="str" cm="1">
        <f t="array" ref="F461">IFERROR(_xlfn.LET(
_xlpm.CSVVal,_xlfn.XLOOKUP($A461,CSV!$A:$A,CSV!F:F,""),
_xlpm.MacVal,_xlfn.XLOOKUP($A461,Output_Mac!$A:$A,Output_Mac!E:E,""),
_xlpm.MyAuditVal,_xlfn.XLOOKUP($A461,My_Audit!$A:$A,My_Audit!E:E,""),
_xlfn.IFS(_xlpm.MyAuditVal&lt;&gt;"",_xlpm.MyAuditVal,_xlpm.MacVal&lt;&gt;"",_xlpm.MacVal,_xlpm.CSVVal&lt;&gt;"",_xlpm.CSVVal
)),"")</f>
        <v/>
      </c>
      <c r="G461" s="2" t="str" cm="1">
        <f t="array" ref="G461">IFERROR(_xlfn.LET(
_xlpm.CSVVal,_xlfn.XLOOKUP($A461,CSV!$A:$A,CSV!G:G,""),
_xlpm.MacVal,_xlfn.XLOOKUP($A461,Output_Mac!$A:$A,Output_Mac!F:F,""),
_xlpm.MyAuditVal,_xlfn.XLOOKUP($A461,My_Audit!$A:$A,My_Audit!F:F,""),
_xlfn.IFS(_xlpm.MyAuditVal&lt;&gt;"",_xlpm.MyAuditVal,_xlpm.MacVal&lt;&gt;"",_xlpm.MacVal,_xlpm.CSVVal&lt;&gt;"",PROPER(_xlpm.CSVVal)
)),"")</f>
        <v/>
      </c>
      <c r="H461" s="2" t="str" cm="1">
        <f t="array" ref="H461">IFERROR(_xlfn.LET(
_xlpm.CSVVal,_xlfn.XLOOKUP($A461,CSV!$A:$A,CSV!H:H,""),
_xlpm.MacVal,_xlfn.XLOOKUP($A461,Output_Mac!$A:$A,Output_Mac!H:H,""),
_xlpm.MyAuditVal,_xlfn.XLOOKUP($A461,My_Audit!$A:$A,My_Audit!G:G,""),
_xlfn.IFS(_xlpm.MyAuditVal&lt;&gt;"",_xlpm.MyAuditVal,_xlpm.MacVal&lt;&gt;"",_xlpm.MacVal,_xlpm.CSVVal&lt;&gt;"",_xlpm.CSVVal
)),"")</f>
        <v/>
      </c>
      <c r="I461" s="2" t="str">
        <f>_xlfn.XLOOKUP(A461,Output_Mac!A:A,Output_Mac!I:I,"")</f>
        <v/>
      </c>
      <c r="J461" s="2" t="str" cm="1">
        <f t="array" ref="J461">IFERROR(_xlfn.LET(
_xlpm.CSVVal,_xlfn.XLOOKUP($A461,CSV!$A:$A,CSV!I:I,""),
_xlpm.MacVal,_xlfn.XLOOKUP($A461,Output_Mac!$A:$A,Output_Mac!J:J,""),
_xlpm.MyAuditVal,_xlfn.XLOOKUP($A461,My_Audit!$A:$A,My_Audit!I:I,""),
_xlfn.IFS(_xlpm.MyAuditVal&lt;&gt;"",UPPER(_xlpm.MyAuditVal),_xlpm.MacVal&lt;&gt;"",_xlpm.MacVal,_xlpm.CSVVal&lt;&gt;"",_xlpm.CSVVal
)),"")</f>
        <v/>
      </c>
      <c r="K461" s="2" t="str" cm="1">
        <f t="array" ref="K461">IFERROR(_xlfn.LET(
_xlpm.CSVVal,_xlfn.XLOOKUP($A461,CSV!$A:$A,CSV!K:K,""),
_xlpm.MacVal,_xlfn.XLOOKUP($A461,Output_Mac!$A:$A,Output_Mac!K:K,""),
_xlpm.MyAuditVal,_xlfn.XLOOKUP($A461,My_Audit!$A:$A,My_Audit!J:J,""),
_xlfn.IFS(_xlpm.MyAuditVal&lt;&gt;"",UPPER(_xlpm.MyAuditVal),_xlpm.MacVal&lt;&gt;"",_xlpm.MacVal,_xlpm.CSVVal&lt;&gt;"",_xlpm.CSVVal
)),"")</f>
        <v/>
      </c>
      <c r="L461" s="2" t="str" cm="1">
        <f t="array" ref="L461">IFERROR(_xlfn.LET(
_xlpm.CSVVal,_xlfn.XLOOKUP($A461,CSV!$A:$A,CSV!P:P,""),
_xlpm.MacVal,_xlfn.XLOOKUP($A461,Output_Mac!$A:$A,Output_Mac!L:L,""),
_xlpm.MyAuditVal,_xlfn.XLOOKUP($A461,My_Audit!$A:$A,My_Audit!K:K,""),
_xlfn.IFS(_xlpm.MyAuditVal&lt;&gt;"",UPPER(_xlpm.MyAuditVal),_xlpm.MacVal&lt;&gt;"",_xlpm.MacVal,_xlpm.CSVVal&lt;&gt;"",_xlpm.CSVVal
)),"")</f>
        <v/>
      </c>
      <c r="M461" s="2" t="str" cm="1">
        <f t="array" ref="M461">IFERROR(_xlfn.LET(
_xlpm.CSVVal,_xlfn.XLOOKUP($A461,CSV!$A:$A,CSV!Q:Q,""),
_xlpm.MacVal,_xlfn.XLOOKUP($A461,Output_Mac!$A:$A,Output_Mac!M:M,""),
_xlpm.MyAuditVal,_xlfn.XLOOKUP($A461,My_Audit!$A:$A,My_Audit!L:L,""),
_xlfn.IFS(_xlpm.MyAuditVal&lt;&gt;"",UPPER(_xlpm.MyAuditVal),_xlpm.MacVal&lt;&gt;"",_xlpm.MacVal,_xlpm.CSVVal&lt;&gt;"",_xlpm.CSVVal
)),"")</f>
        <v/>
      </c>
      <c r="O461" s="2" t="str">
        <f>_xlfn.LET(
    _xlpm.CSVVal, _xlfn.XLOOKUP($A461, CSV!$A:$A, CSV!AF:AF, ""),
    _xlpm.MacVal, _xlfn.XLOOKUP($A461, Output_Mac!$A:$A, Output_Mac!S:S, ""),
    _xlpm.MyAuditVal, _xlfn.XLOOKUP($A461, My_Audit!$A:$A, My_Audit!P:P, ""),
    _xlfn.TEXTJOIN(", ", TRUE, _xlpm.MyAuditVal, _xlpm.MacVal, _xlpm.CSVVal)
)</f>
        <v/>
      </c>
      <c r="P461" s="2" t="str" cm="1">
        <f t="array" ref="P461">IFERROR(_xlfn.LET(
_xlpm.CSVVal,_xlfn.XLOOKUP($A461,CSV!$A:$A,CSV!AG:AG,""),
_xlpm.MacVal,_xlfn.XLOOKUP($A461,Output_Mac!$A:$A,Output_Mac!T:T,""),
_xlpm.MyAuditVal,_xlfn.XLOOKUP($A461,My_Audit!$A:$A,My_Audit!Q:Q,""),
_xlfn.IFS(_xlpm.MyAuditVal&lt;&gt;"",UPPER(_xlpm.MyAuditVal),_xlpm.MacVal&lt;&gt;"",_xlpm.MacVal,_xlpm.CSVVal&lt;&gt;"",_xlpm.CSVVal
)),"No")</f>
        <v>No</v>
      </c>
      <c r="Q461" s="2" t="str" cm="1">
        <f t="array" ref="Q461">IFERROR(_xlfn.LET(
_xlpm.CSVVal,_xlfn.XLOOKUP($A461,CSV!$A:$A,CSV!AH:AH,""),
_xlpm.MacVal,_xlfn.XLOOKUP($A461,Output_Mac!$A:$A,Output_Mac!U:U,""),
_xlpm.MyAuditVal,_xlfn.XLOOKUP($A461,My_Audit!$A:$A,My_Audit!R:R,""),
_xlfn.IFS(_xlpm.MyAuditVal&lt;&gt;"",UPPER(_xlpm.MyAuditVal),_xlpm.MacVal&lt;&gt;"",_xlpm.MacVal,_xlpm.CSVVal&lt;&gt;"",_xlpm.CSVVal
)),"")</f>
        <v/>
      </c>
    </row>
    <row r="462" spans="1:17">
      <c r="A462" s="2" t="str">
        <f>_xlfn.TEXTJOIN("",TRUE,Input!$B$2,ROW(My_Audit!A461))</f>
        <v>XX461</v>
      </c>
      <c r="B462" s="2" t="str">
        <f>_xlfn.TEXTJOIN("-",TRUE,"ITD",Input!$A$2,A462)</f>
        <v>ITD-SHRXXX-XX461</v>
      </c>
      <c r="C462" s="2" t="str" cm="1">
        <f t="array" ref="C462">IFERROR(_xlfn.LET(
_xlpm.CSVVal,_xlfn.XLOOKUP($A462,CSV!$A:$A,CSV!B:B,""),
_xlpm.MacVal,_xlfn.XLOOKUP($A462,Output_Mac!$A:$A,Output_Mac!B:B,""),
_xlpm.MyAuditVal,_xlfn.XLOOKUP($A462,My_Audit!$A:$A,My_Audit!B:B,""),
_xlfn.IFS(_xlpm.MyAuditVal&lt;&gt;"",UPPER(_xlpm.MyAuditVal),_xlpm.MacVal&lt;&gt;"",_xlpm.MacVal,_xlpm.CSVVal&lt;&gt;"",_xlpm.CSVVal
)),"")</f>
        <v/>
      </c>
      <c r="D462" s="2" t="str" cm="1">
        <f t="array" ref="D462">IFERROR(_xlfn.LET(
_xlpm.CSVVal,_xlfn.XLOOKUP($A462,CSV!$A:$A,CSV!D:D,""),
_xlpm.MacVal,_xlfn.XLOOKUP($A462,Output_Mac!$A:$A,Output_Mac!C:C,""),
_xlpm.MyAuditVal,_xlfn.XLOOKUP($A462,My_Audit!$A:$A,My_Audit!C:C,""),
_xlfn.IFS(_xlpm.MyAuditVal&lt;&gt;"",_xlpm.MyAuditVal,_xlpm.MacVal&lt;&gt;"",_xlpm.MacVal,_xlpm.CSVVal&lt;&gt;"",_xlpm.CSVVal
)),"")</f>
        <v/>
      </c>
      <c r="E462" s="2" t="str">
        <f>_xlfn.XLOOKUP(A462,My_Audit!A:A,My_Audit!D:D,"")&amp;""</f>
        <v/>
      </c>
      <c r="F462" s="2" t="str" cm="1">
        <f t="array" ref="F462">IFERROR(_xlfn.LET(
_xlpm.CSVVal,_xlfn.XLOOKUP($A462,CSV!$A:$A,CSV!F:F,""),
_xlpm.MacVal,_xlfn.XLOOKUP($A462,Output_Mac!$A:$A,Output_Mac!E:E,""),
_xlpm.MyAuditVal,_xlfn.XLOOKUP($A462,My_Audit!$A:$A,My_Audit!E:E,""),
_xlfn.IFS(_xlpm.MyAuditVal&lt;&gt;"",_xlpm.MyAuditVal,_xlpm.MacVal&lt;&gt;"",_xlpm.MacVal,_xlpm.CSVVal&lt;&gt;"",_xlpm.CSVVal
)),"")</f>
        <v/>
      </c>
      <c r="G462" s="2" t="str" cm="1">
        <f t="array" ref="G462">IFERROR(_xlfn.LET(
_xlpm.CSVVal,_xlfn.XLOOKUP($A462,CSV!$A:$A,CSV!G:G,""),
_xlpm.MacVal,_xlfn.XLOOKUP($A462,Output_Mac!$A:$A,Output_Mac!F:F,""),
_xlpm.MyAuditVal,_xlfn.XLOOKUP($A462,My_Audit!$A:$A,My_Audit!F:F,""),
_xlfn.IFS(_xlpm.MyAuditVal&lt;&gt;"",_xlpm.MyAuditVal,_xlpm.MacVal&lt;&gt;"",_xlpm.MacVal,_xlpm.CSVVal&lt;&gt;"",PROPER(_xlpm.CSVVal)
)),"")</f>
        <v/>
      </c>
      <c r="H462" s="2" t="str" cm="1">
        <f t="array" ref="H462">IFERROR(_xlfn.LET(
_xlpm.CSVVal,_xlfn.XLOOKUP($A462,CSV!$A:$A,CSV!H:H,""),
_xlpm.MacVal,_xlfn.XLOOKUP($A462,Output_Mac!$A:$A,Output_Mac!H:H,""),
_xlpm.MyAuditVal,_xlfn.XLOOKUP($A462,My_Audit!$A:$A,My_Audit!G:G,""),
_xlfn.IFS(_xlpm.MyAuditVal&lt;&gt;"",_xlpm.MyAuditVal,_xlpm.MacVal&lt;&gt;"",_xlpm.MacVal,_xlpm.CSVVal&lt;&gt;"",_xlpm.CSVVal
)),"")</f>
        <v/>
      </c>
      <c r="I462" s="2" t="str">
        <f>_xlfn.XLOOKUP(A462,Output_Mac!A:A,Output_Mac!I:I,"")</f>
        <v/>
      </c>
      <c r="J462" s="2" t="str" cm="1">
        <f t="array" ref="J462">IFERROR(_xlfn.LET(
_xlpm.CSVVal,_xlfn.XLOOKUP($A462,CSV!$A:$A,CSV!I:I,""),
_xlpm.MacVal,_xlfn.XLOOKUP($A462,Output_Mac!$A:$A,Output_Mac!J:J,""),
_xlpm.MyAuditVal,_xlfn.XLOOKUP($A462,My_Audit!$A:$A,My_Audit!I:I,""),
_xlfn.IFS(_xlpm.MyAuditVal&lt;&gt;"",UPPER(_xlpm.MyAuditVal),_xlpm.MacVal&lt;&gt;"",_xlpm.MacVal,_xlpm.CSVVal&lt;&gt;"",_xlpm.CSVVal
)),"")</f>
        <v/>
      </c>
      <c r="K462" s="2" t="str" cm="1">
        <f t="array" ref="K462">IFERROR(_xlfn.LET(
_xlpm.CSVVal,_xlfn.XLOOKUP($A462,CSV!$A:$A,CSV!K:K,""),
_xlpm.MacVal,_xlfn.XLOOKUP($A462,Output_Mac!$A:$A,Output_Mac!K:K,""),
_xlpm.MyAuditVal,_xlfn.XLOOKUP($A462,My_Audit!$A:$A,My_Audit!J:J,""),
_xlfn.IFS(_xlpm.MyAuditVal&lt;&gt;"",UPPER(_xlpm.MyAuditVal),_xlpm.MacVal&lt;&gt;"",_xlpm.MacVal,_xlpm.CSVVal&lt;&gt;"",_xlpm.CSVVal
)),"")</f>
        <v/>
      </c>
      <c r="L462" s="2" t="str" cm="1">
        <f t="array" ref="L462">IFERROR(_xlfn.LET(
_xlpm.CSVVal,_xlfn.XLOOKUP($A462,CSV!$A:$A,CSV!P:P,""),
_xlpm.MacVal,_xlfn.XLOOKUP($A462,Output_Mac!$A:$A,Output_Mac!L:L,""),
_xlpm.MyAuditVal,_xlfn.XLOOKUP($A462,My_Audit!$A:$A,My_Audit!K:K,""),
_xlfn.IFS(_xlpm.MyAuditVal&lt;&gt;"",UPPER(_xlpm.MyAuditVal),_xlpm.MacVal&lt;&gt;"",_xlpm.MacVal,_xlpm.CSVVal&lt;&gt;"",_xlpm.CSVVal
)),"")</f>
        <v/>
      </c>
      <c r="M462" s="2" t="str" cm="1">
        <f t="array" ref="M462">IFERROR(_xlfn.LET(
_xlpm.CSVVal,_xlfn.XLOOKUP($A462,CSV!$A:$A,CSV!Q:Q,""),
_xlpm.MacVal,_xlfn.XLOOKUP($A462,Output_Mac!$A:$A,Output_Mac!M:M,""),
_xlpm.MyAuditVal,_xlfn.XLOOKUP($A462,My_Audit!$A:$A,My_Audit!L:L,""),
_xlfn.IFS(_xlpm.MyAuditVal&lt;&gt;"",UPPER(_xlpm.MyAuditVal),_xlpm.MacVal&lt;&gt;"",_xlpm.MacVal,_xlpm.CSVVal&lt;&gt;"",_xlpm.CSVVal
)),"")</f>
        <v/>
      </c>
      <c r="O462" s="2" t="str">
        <f>_xlfn.LET(
    _xlpm.CSVVal, _xlfn.XLOOKUP($A462, CSV!$A:$A, CSV!AF:AF, ""),
    _xlpm.MacVal, _xlfn.XLOOKUP($A462, Output_Mac!$A:$A, Output_Mac!S:S, ""),
    _xlpm.MyAuditVal, _xlfn.XLOOKUP($A462, My_Audit!$A:$A, My_Audit!P:P, ""),
    _xlfn.TEXTJOIN(", ", TRUE, _xlpm.MyAuditVal, _xlpm.MacVal, _xlpm.CSVVal)
)</f>
        <v/>
      </c>
      <c r="P462" s="2" t="str" cm="1">
        <f t="array" ref="P462">IFERROR(_xlfn.LET(
_xlpm.CSVVal,_xlfn.XLOOKUP($A462,CSV!$A:$A,CSV!AG:AG,""),
_xlpm.MacVal,_xlfn.XLOOKUP($A462,Output_Mac!$A:$A,Output_Mac!T:T,""),
_xlpm.MyAuditVal,_xlfn.XLOOKUP($A462,My_Audit!$A:$A,My_Audit!Q:Q,""),
_xlfn.IFS(_xlpm.MyAuditVal&lt;&gt;"",UPPER(_xlpm.MyAuditVal),_xlpm.MacVal&lt;&gt;"",_xlpm.MacVal,_xlpm.CSVVal&lt;&gt;"",_xlpm.CSVVal
)),"No")</f>
        <v>No</v>
      </c>
      <c r="Q462" s="2" t="str" cm="1">
        <f t="array" ref="Q462">IFERROR(_xlfn.LET(
_xlpm.CSVVal,_xlfn.XLOOKUP($A462,CSV!$A:$A,CSV!AH:AH,""),
_xlpm.MacVal,_xlfn.XLOOKUP($A462,Output_Mac!$A:$A,Output_Mac!U:U,""),
_xlpm.MyAuditVal,_xlfn.XLOOKUP($A462,My_Audit!$A:$A,My_Audit!R:R,""),
_xlfn.IFS(_xlpm.MyAuditVal&lt;&gt;"",UPPER(_xlpm.MyAuditVal),_xlpm.MacVal&lt;&gt;"",_xlpm.MacVal,_xlpm.CSVVal&lt;&gt;"",_xlpm.CSVVal
)),"")</f>
        <v/>
      </c>
    </row>
    <row r="463" spans="1:17">
      <c r="A463" s="2" t="str">
        <f>_xlfn.TEXTJOIN("",TRUE,Input!$B$2,ROW(My_Audit!A462))</f>
        <v>XX462</v>
      </c>
      <c r="B463" s="2" t="str">
        <f>_xlfn.TEXTJOIN("-",TRUE,"ITD",Input!$A$2,A463)</f>
        <v>ITD-SHRXXX-XX462</v>
      </c>
      <c r="C463" s="2" t="str" cm="1">
        <f t="array" ref="C463">IFERROR(_xlfn.LET(
_xlpm.CSVVal,_xlfn.XLOOKUP($A463,CSV!$A:$A,CSV!B:B,""),
_xlpm.MacVal,_xlfn.XLOOKUP($A463,Output_Mac!$A:$A,Output_Mac!B:B,""),
_xlpm.MyAuditVal,_xlfn.XLOOKUP($A463,My_Audit!$A:$A,My_Audit!B:B,""),
_xlfn.IFS(_xlpm.MyAuditVal&lt;&gt;"",UPPER(_xlpm.MyAuditVal),_xlpm.MacVal&lt;&gt;"",_xlpm.MacVal,_xlpm.CSVVal&lt;&gt;"",_xlpm.CSVVal
)),"")</f>
        <v/>
      </c>
      <c r="D463" s="2" t="str" cm="1">
        <f t="array" ref="D463">IFERROR(_xlfn.LET(
_xlpm.CSVVal,_xlfn.XLOOKUP($A463,CSV!$A:$A,CSV!D:D,""),
_xlpm.MacVal,_xlfn.XLOOKUP($A463,Output_Mac!$A:$A,Output_Mac!C:C,""),
_xlpm.MyAuditVal,_xlfn.XLOOKUP($A463,My_Audit!$A:$A,My_Audit!C:C,""),
_xlfn.IFS(_xlpm.MyAuditVal&lt;&gt;"",_xlpm.MyAuditVal,_xlpm.MacVal&lt;&gt;"",_xlpm.MacVal,_xlpm.CSVVal&lt;&gt;"",_xlpm.CSVVal
)),"")</f>
        <v/>
      </c>
      <c r="E463" s="2" t="str">
        <f>_xlfn.XLOOKUP(A463,My_Audit!A:A,My_Audit!D:D,"")&amp;""</f>
        <v/>
      </c>
      <c r="F463" s="2" t="str" cm="1">
        <f t="array" ref="F463">IFERROR(_xlfn.LET(
_xlpm.CSVVal,_xlfn.XLOOKUP($A463,CSV!$A:$A,CSV!F:F,""),
_xlpm.MacVal,_xlfn.XLOOKUP($A463,Output_Mac!$A:$A,Output_Mac!E:E,""),
_xlpm.MyAuditVal,_xlfn.XLOOKUP($A463,My_Audit!$A:$A,My_Audit!E:E,""),
_xlfn.IFS(_xlpm.MyAuditVal&lt;&gt;"",_xlpm.MyAuditVal,_xlpm.MacVal&lt;&gt;"",_xlpm.MacVal,_xlpm.CSVVal&lt;&gt;"",_xlpm.CSVVal
)),"")</f>
        <v/>
      </c>
      <c r="G463" s="2" t="str" cm="1">
        <f t="array" ref="G463">IFERROR(_xlfn.LET(
_xlpm.CSVVal,_xlfn.XLOOKUP($A463,CSV!$A:$A,CSV!G:G,""),
_xlpm.MacVal,_xlfn.XLOOKUP($A463,Output_Mac!$A:$A,Output_Mac!F:F,""),
_xlpm.MyAuditVal,_xlfn.XLOOKUP($A463,My_Audit!$A:$A,My_Audit!F:F,""),
_xlfn.IFS(_xlpm.MyAuditVal&lt;&gt;"",_xlpm.MyAuditVal,_xlpm.MacVal&lt;&gt;"",_xlpm.MacVal,_xlpm.CSVVal&lt;&gt;"",PROPER(_xlpm.CSVVal)
)),"")</f>
        <v/>
      </c>
      <c r="H463" s="2" t="str" cm="1">
        <f t="array" ref="H463">IFERROR(_xlfn.LET(
_xlpm.CSVVal,_xlfn.XLOOKUP($A463,CSV!$A:$A,CSV!H:H,""),
_xlpm.MacVal,_xlfn.XLOOKUP($A463,Output_Mac!$A:$A,Output_Mac!H:H,""),
_xlpm.MyAuditVal,_xlfn.XLOOKUP($A463,My_Audit!$A:$A,My_Audit!G:G,""),
_xlfn.IFS(_xlpm.MyAuditVal&lt;&gt;"",_xlpm.MyAuditVal,_xlpm.MacVal&lt;&gt;"",_xlpm.MacVal,_xlpm.CSVVal&lt;&gt;"",_xlpm.CSVVal
)),"")</f>
        <v/>
      </c>
      <c r="I463" s="2" t="str">
        <f>_xlfn.XLOOKUP(A463,Output_Mac!A:A,Output_Mac!I:I,"")</f>
        <v/>
      </c>
      <c r="J463" s="2" t="str" cm="1">
        <f t="array" ref="J463">IFERROR(_xlfn.LET(
_xlpm.CSVVal,_xlfn.XLOOKUP($A463,CSV!$A:$A,CSV!I:I,""),
_xlpm.MacVal,_xlfn.XLOOKUP($A463,Output_Mac!$A:$A,Output_Mac!J:J,""),
_xlpm.MyAuditVal,_xlfn.XLOOKUP($A463,My_Audit!$A:$A,My_Audit!I:I,""),
_xlfn.IFS(_xlpm.MyAuditVal&lt;&gt;"",UPPER(_xlpm.MyAuditVal),_xlpm.MacVal&lt;&gt;"",_xlpm.MacVal,_xlpm.CSVVal&lt;&gt;"",_xlpm.CSVVal
)),"")</f>
        <v/>
      </c>
      <c r="K463" s="2" t="str" cm="1">
        <f t="array" ref="K463">IFERROR(_xlfn.LET(
_xlpm.CSVVal,_xlfn.XLOOKUP($A463,CSV!$A:$A,CSV!K:K,""),
_xlpm.MacVal,_xlfn.XLOOKUP($A463,Output_Mac!$A:$A,Output_Mac!K:K,""),
_xlpm.MyAuditVal,_xlfn.XLOOKUP($A463,My_Audit!$A:$A,My_Audit!J:J,""),
_xlfn.IFS(_xlpm.MyAuditVal&lt;&gt;"",UPPER(_xlpm.MyAuditVal),_xlpm.MacVal&lt;&gt;"",_xlpm.MacVal,_xlpm.CSVVal&lt;&gt;"",_xlpm.CSVVal
)),"")</f>
        <v/>
      </c>
      <c r="L463" s="2" t="str" cm="1">
        <f t="array" ref="L463">IFERROR(_xlfn.LET(
_xlpm.CSVVal,_xlfn.XLOOKUP($A463,CSV!$A:$A,CSV!P:P,""),
_xlpm.MacVal,_xlfn.XLOOKUP($A463,Output_Mac!$A:$A,Output_Mac!L:L,""),
_xlpm.MyAuditVal,_xlfn.XLOOKUP($A463,My_Audit!$A:$A,My_Audit!K:K,""),
_xlfn.IFS(_xlpm.MyAuditVal&lt;&gt;"",UPPER(_xlpm.MyAuditVal),_xlpm.MacVal&lt;&gt;"",_xlpm.MacVal,_xlpm.CSVVal&lt;&gt;"",_xlpm.CSVVal
)),"")</f>
        <v/>
      </c>
      <c r="M463" s="2" t="str" cm="1">
        <f t="array" ref="M463">IFERROR(_xlfn.LET(
_xlpm.CSVVal,_xlfn.XLOOKUP($A463,CSV!$A:$A,CSV!Q:Q,""),
_xlpm.MacVal,_xlfn.XLOOKUP($A463,Output_Mac!$A:$A,Output_Mac!M:M,""),
_xlpm.MyAuditVal,_xlfn.XLOOKUP($A463,My_Audit!$A:$A,My_Audit!L:L,""),
_xlfn.IFS(_xlpm.MyAuditVal&lt;&gt;"",UPPER(_xlpm.MyAuditVal),_xlpm.MacVal&lt;&gt;"",_xlpm.MacVal,_xlpm.CSVVal&lt;&gt;"",_xlpm.CSVVal
)),"")</f>
        <v/>
      </c>
      <c r="O463" s="2" t="str">
        <f>_xlfn.LET(
    _xlpm.CSVVal, _xlfn.XLOOKUP($A463, CSV!$A:$A, CSV!AF:AF, ""),
    _xlpm.MacVal, _xlfn.XLOOKUP($A463, Output_Mac!$A:$A, Output_Mac!S:S, ""),
    _xlpm.MyAuditVal, _xlfn.XLOOKUP($A463, My_Audit!$A:$A, My_Audit!P:P, ""),
    _xlfn.TEXTJOIN(", ", TRUE, _xlpm.MyAuditVal, _xlpm.MacVal, _xlpm.CSVVal)
)</f>
        <v/>
      </c>
      <c r="P463" s="2" t="str" cm="1">
        <f t="array" ref="P463">IFERROR(_xlfn.LET(
_xlpm.CSVVal,_xlfn.XLOOKUP($A463,CSV!$A:$A,CSV!AG:AG,""),
_xlpm.MacVal,_xlfn.XLOOKUP($A463,Output_Mac!$A:$A,Output_Mac!T:T,""),
_xlpm.MyAuditVal,_xlfn.XLOOKUP($A463,My_Audit!$A:$A,My_Audit!Q:Q,""),
_xlfn.IFS(_xlpm.MyAuditVal&lt;&gt;"",UPPER(_xlpm.MyAuditVal),_xlpm.MacVal&lt;&gt;"",_xlpm.MacVal,_xlpm.CSVVal&lt;&gt;"",_xlpm.CSVVal
)),"No")</f>
        <v>No</v>
      </c>
      <c r="Q463" s="2" t="str" cm="1">
        <f t="array" ref="Q463">IFERROR(_xlfn.LET(
_xlpm.CSVVal,_xlfn.XLOOKUP($A463,CSV!$A:$A,CSV!AH:AH,""),
_xlpm.MacVal,_xlfn.XLOOKUP($A463,Output_Mac!$A:$A,Output_Mac!U:U,""),
_xlpm.MyAuditVal,_xlfn.XLOOKUP($A463,My_Audit!$A:$A,My_Audit!R:R,""),
_xlfn.IFS(_xlpm.MyAuditVal&lt;&gt;"",UPPER(_xlpm.MyAuditVal),_xlpm.MacVal&lt;&gt;"",_xlpm.MacVal,_xlpm.CSVVal&lt;&gt;"",_xlpm.CSVVal
)),"")</f>
        <v/>
      </c>
    </row>
    <row r="464" spans="1:17">
      <c r="A464" s="2" t="str">
        <f>_xlfn.TEXTJOIN("",TRUE,Input!$B$2,ROW(My_Audit!A463))</f>
        <v>XX463</v>
      </c>
      <c r="B464" s="2" t="str">
        <f>_xlfn.TEXTJOIN("-",TRUE,"ITD",Input!$A$2,A464)</f>
        <v>ITD-SHRXXX-XX463</v>
      </c>
      <c r="C464" s="2" t="str" cm="1">
        <f t="array" ref="C464">IFERROR(_xlfn.LET(
_xlpm.CSVVal,_xlfn.XLOOKUP($A464,CSV!$A:$A,CSV!B:B,""),
_xlpm.MacVal,_xlfn.XLOOKUP($A464,Output_Mac!$A:$A,Output_Mac!B:B,""),
_xlpm.MyAuditVal,_xlfn.XLOOKUP($A464,My_Audit!$A:$A,My_Audit!B:B,""),
_xlfn.IFS(_xlpm.MyAuditVal&lt;&gt;"",UPPER(_xlpm.MyAuditVal),_xlpm.MacVal&lt;&gt;"",_xlpm.MacVal,_xlpm.CSVVal&lt;&gt;"",_xlpm.CSVVal
)),"")</f>
        <v/>
      </c>
      <c r="D464" s="2" t="str" cm="1">
        <f t="array" ref="D464">IFERROR(_xlfn.LET(
_xlpm.CSVVal,_xlfn.XLOOKUP($A464,CSV!$A:$A,CSV!D:D,""),
_xlpm.MacVal,_xlfn.XLOOKUP($A464,Output_Mac!$A:$A,Output_Mac!C:C,""),
_xlpm.MyAuditVal,_xlfn.XLOOKUP($A464,My_Audit!$A:$A,My_Audit!C:C,""),
_xlfn.IFS(_xlpm.MyAuditVal&lt;&gt;"",_xlpm.MyAuditVal,_xlpm.MacVal&lt;&gt;"",_xlpm.MacVal,_xlpm.CSVVal&lt;&gt;"",_xlpm.CSVVal
)),"")</f>
        <v/>
      </c>
      <c r="E464" s="2" t="str">
        <f>_xlfn.XLOOKUP(A464,My_Audit!A:A,My_Audit!D:D,"")&amp;""</f>
        <v/>
      </c>
      <c r="F464" s="2" t="str" cm="1">
        <f t="array" ref="F464">IFERROR(_xlfn.LET(
_xlpm.CSVVal,_xlfn.XLOOKUP($A464,CSV!$A:$A,CSV!F:F,""),
_xlpm.MacVal,_xlfn.XLOOKUP($A464,Output_Mac!$A:$A,Output_Mac!E:E,""),
_xlpm.MyAuditVal,_xlfn.XLOOKUP($A464,My_Audit!$A:$A,My_Audit!E:E,""),
_xlfn.IFS(_xlpm.MyAuditVal&lt;&gt;"",_xlpm.MyAuditVal,_xlpm.MacVal&lt;&gt;"",_xlpm.MacVal,_xlpm.CSVVal&lt;&gt;"",_xlpm.CSVVal
)),"")</f>
        <v/>
      </c>
      <c r="G464" s="2" t="str" cm="1">
        <f t="array" ref="G464">IFERROR(_xlfn.LET(
_xlpm.CSVVal,_xlfn.XLOOKUP($A464,CSV!$A:$A,CSV!G:G,""),
_xlpm.MacVal,_xlfn.XLOOKUP($A464,Output_Mac!$A:$A,Output_Mac!F:F,""),
_xlpm.MyAuditVal,_xlfn.XLOOKUP($A464,My_Audit!$A:$A,My_Audit!F:F,""),
_xlfn.IFS(_xlpm.MyAuditVal&lt;&gt;"",_xlpm.MyAuditVal,_xlpm.MacVal&lt;&gt;"",_xlpm.MacVal,_xlpm.CSVVal&lt;&gt;"",PROPER(_xlpm.CSVVal)
)),"")</f>
        <v/>
      </c>
      <c r="H464" s="2" t="str" cm="1">
        <f t="array" ref="H464">IFERROR(_xlfn.LET(
_xlpm.CSVVal,_xlfn.XLOOKUP($A464,CSV!$A:$A,CSV!H:H,""),
_xlpm.MacVal,_xlfn.XLOOKUP($A464,Output_Mac!$A:$A,Output_Mac!H:H,""),
_xlpm.MyAuditVal,_xlfn.XLOOKUP($A464,My_Audit!$A:$A,My_Audit!G:G,""),
_xlfn.IFS(_xlpm.MyAuditVal&lt;&gt;"",_xlpm.MyAuditVal,_xlpm.MacVal&lt;&gt;"",_xlpm.MacVal,_xlpm.CSVVal&lt;&gt;"",_xlpm.CSVVal
)),"")</f>
        <v/>
      </c>
      <c r="I464" s="2" t="str">
        <f>_xlfn.XLOOKUP(A464,Output_Mac!A:A,Output_Mac!I:I,"")</f>
        <v/>
      </c>
      <c r="J464" s="2" t="str" cm="1">
        <f t="array" ref="J464">IFERROR(_xlfn.LET(
_xlpm.CSVVal,_xlfn.XLOOKUP($A464,CSV!$A:$A,CSV!I:I,""),
_xlpm.MacVal,_xlfn.XLOOKUP($A464,Output_Mac!$A:$A,Output_Mac!J:J,""),
_xlpm.MyAuditVal,_xlfn.XLOOKUP($A464,My_Audit!$A:$A,My_Audit!I:I,""),
_xlfn.IFS(_xlpm.MyAuditVal&lt;&gt;"",UPPER(_xlpm.MyAuditVal),_xlpm.MacVal&lt;&gt;"",_xlpm.MacVal,_xlpm.CSVVal&lt;&gt;"",_xlpm.CSVVal
)),"")</f>
        <v/>
      </c>
      <c r="K464" s="2" t="str" cm="1">
        <f t="array" ref="K464">IFERROR(_xlfn.LET(
_xlpm.CSVVal,_xlfn.XLOOKUP($A464,CSV!$A:$A,CSV!K:K,""),
_xlpm.MacVal,_xlfn.XLOOKUP($A464,Output_Mac!$A:$A,Output_Mac!K:K,""),
_xlpm.MyAuditVal,_xlfn.XLOOKUP($A464,My_Audit!$A:$A,My_Audit!J:J,""),
_xlfn.IFS(_xlpm.MyAuditVal&lt;&gt;"",UPPER(_xlpm.MyAuditVal),_xlpm.MacVal&lt;&gt;"",_xlpm.MacVal,_xlpm.CSVVal&lt;&gt;"",_xlpm.CSVVal
)),"")</f>
        <v/>
      </c>
      <c r="L464" s="2" t="str" cm="1">
        <f t="array" ref="L464">IFERROR(_xlfn.LET(
_xlpm.CSVVal,_xlfn.XLOOKUP($A464,CSV!$A:$A,CSV!P:P,""),
_xlpm.MacVal,_xlfn.XLOOKUP($A464,Output_Mac!$A:$A,Output_Mac!L:L,""),
_xlpm.MyAuditVal,_xlfn.XLOOKUP($A464,My_Audit!$A:$A,My_Audit!K:K,""),
_xlfn.IFS(_xlpm.MyAuditVal&lt;&gt;"",UPPER(_xlpm.MyAuditVal),_xlpm.MacVal&lt;&gt;"",_xlpm.MacVal,_xlpm.CSVVal&lt;&gt;"",_xlpm.CSVVal
)),"")</f>
        <v/>
      </c>
      <c r="M464" s="2" t="str" cm="1">
        <f t="array" ref="M464">IFERROR(_xlfn.LET(
_xlpm.CSVVal,_xlfn.XLOOKUP($A464,CSV!$A:$A,CSV!Q:Q,""),
_xlpm.MacVal,_xlfn.XLOOKUP($A464,Output_Mac!$A:$A,Output_Mac!M:M,""),
_xlpm.MyAuditVal,_xlfn.XLOOKUP($A464,My_Audit!$A:$A,My_Audit!L:L,""),
_xlfn.IFS(_xlpm.MyAuditVal&lt;&gt;"",UPPER(_xlpm.MyAuditVal),_xlpm.MacVal&lt;&gt;"",_xlpm.MacVal,_xlpm.CSVVal&lt;&gt;"",_xlpm.CSVVal
)),"")</f>
        <v/>
      </c>
      <c r="O464" s="2" t="str">
        <f>_xlfn.LET(
    _xlpm.CSVVal, _xlfn.XLOOKUP($A464, CSV!$A:$A, CSV!AF:AF, ""),
    _xlpm.MacVal, _xlfn.XLOOKUP($A464, Output_Mac!$A:$A, Output_Mac!S:S, ""),
    _xlpm.MyAuditVal, _xlfn.XLOOKUP($A464, My_Audit!$A:$A, My_Audit!P:P, ""),
    _xlfn.TEXTJOIN(", ", TRUE, _xlpm.MyAuditVal, _xlpm.MacVal, _xlpm.CSVVal)
)</f>
        <v/>
      </c>
      <c r="P464" s="2" t="str" cm="1">
        <f t="array" ref="P464">IFERROR(_xlfn.LET(
_xlpm.CSVVal,_xlfn.XLOOKUP($A464,CSV!$A:$A,CSV!AG:AG,""),
_xlpm.MacVal,_xlfn.XLOOKUP($A464,Output_Mac!$A:$A,Output_Mac!T:T,""),
_xlpm.MyAuditVal,_xlfn.XLOOKUP($A464,My_Audit!$A:$A,My_Audit!Q:Q,""),
_xlfn.IFS(_xlpm.MyAuditVal&lt;&gt;"",UPPER(_xlpm.MyAuditVal),_xlpm.MacVal&lt;&gt;"",_xlpm.MacVal,_xlpm.CSVVal&lt;&gt;"",_xlpm.CSVVal
)),"No")</f>
        <v>No</v>
      </c>
      <c r="Q464" s="2" t="str" cm="1">
        <f t="array" ref="Q464">IFERROR(_xlfn.LET(
_xlpm.CSVVal,_xlfn.XLOOKUP($A464,CSV!$A:$A,CSV!AH:AH,""),
_xlpm.MacVal,_xlfn.XLOOKUP($A464,Output_Mac!$A:$A,Output_Mac!U:U,""),
_xlpm.MyAuditVal,_xlfn.XLOOKUP($A464,My_Audit!$A:$A,My_Audit!R:R,""),
_xlfn.IFS(_xlpm.MyAuditVal&lt;&gt;"",UPPER(_xlpm.MyAuditVal),_xlpm.MacVal&lt;&gt;"",_xlpm.MacVal,_xlpm.CSVVal&lt;&gt;"",_xlpm.CSVVal
)),"")</f>
        <v/>
      </c>
    </row>
    <row r="465" spans="1:17">
      <c r="A465" s="2" t="str">
        <f>_xlfn.TEXTJOIN("",TRUE,Input!$B$2,ROW(My_Audit!A464))</f>
        <v>XX464</v>
      </c>
      <c r="B465" s="2" t="str">
        <f>_xlfn.TEXTJOIN("-",TRUE,"ITD",Input!$A$2,A465)</f>
        <v>ITD-SHRXXX-XX464</v>
      </c>
      <c r="C465" s="2" t="str" cm="1">
        <f t="array" ref="C465">IFERROR(_xlfn.LET(
_xlpm.CSVVal,_xlfn.XLOOKUP($A465,CSV!$A:$A,CSV!B:B,""),
_xlpm.MacVal,_xlfn.XLOOKUP($A465,Output_Mac!$A:$A,Output_Mac!B:B,""),
_xlpm.MyAuditVal,_xlfn.XLOOKUP($A465,My_Audit!$A:$A,My_Audit!B:B,""),
_xlfn.IFS(_xlpm.MyAuditVal&lt;&gt;"",UPPER(_xlpm.MyAuditVal),_xlpm.MacVal&lt;&gt;"",_xlpm.MacVal,_xlpm.CSVVal&lt;&gt;"",_xlpm.CSVVal
)),"")</f>
        <v/>
      </c>
      <c r="D465" s="2" t="str" cm="1">
        <f t="array" ref="D465">IFERROR(_xlfn.LET(
_xlpm.CSVVal,_xlfn.XLOOKUP($A465,CSV!$A:$A,CSV!D:D,""),
_xlpm.MacVal,_xlfn.XLOOKUP($A465,Output_Mac!$A:$A,Output_Mac!C:C,""),
_xlpm.MyAuditVal,_xlfn.XLOOKUP($A465,My_Audit!$A:$A,My_Audit!C:C,""),
_xlfn.IFS(_xlpm.MyAuditVal&lt;&gt;"",_xlpm.MyAuditVal,_xlpm.MacVal&lt;&gt;"",_xlpm.MacVal,_xlpm.CSVVal&lt;&gt;"",_xlpm.CSVVal
)),"")</f>
        <v/>
      </c>
      <c r="E465" s="2" t="str">
        <f>_xlfn.XLOOKUP(A465,My_Audit!A:A,My_Audit!D:D,"")&amp;""</f>
        <v/>
      </c>
      <c r="F465" s="2" t="str" cm="1">
        <f t="array" ref="F465">IFERROR(_xlfn.LET(
_xlpm.CSVVal,_xlfn.XLOOKUP($A465,CSV!$A:$A,CSV!F:F,""),
_xlpm.MacVal,_xlfn.XLOOKUP($A465,Output_Mac!$A:$A,Output_Mac!E:E,""),
_xlpm.MyAuditVal,_xlfn.XLOOKUP($A465,My_Audit!$A:$A,My_Audit!E:E,""),
_xlfn.IFS(_xlpm.MyAuditVal&lt;&gt;"",_xlpm.MyAuditVal,_xlpm.MacVal&lt;&gt;"",_xlpm.MacVal,_xlpm.CSVVal&lt;&gt;"",_xlpm.CSVVal
)),"")</f>
        <v/>
      </c>
      <c r="G465" s="2" t="str" cm="1">
        <f t="array" ref="G465">IFERROR(_xlfn.LET(
_xlpm.CSVVal,_xlfn.XLOOKUP($A465,CSV!$A:$A,CSV!G:G,""),
_xlpm.MacVal,_xlfn.XLOOKUP($A465,Output_Mac!$A:$A,Output_Mac!F:F,""),
_xlpm.MyAuditVal,_xlfn.XLOOKUP($A465,My_Audit!$A:$A,My_Audit!F:F,""),
_xlfn.IFS(_xlpm.MyAuditVal&lt;&gt;"",_xlpm.MyAuditVal,_xlpm.MacVal&lt;&gt;"",_xlpm.MacVal,_xlpm.CSVVal&lt;&gt;"",PROPER(_xlpm.CSVVal)
)),"")</f>
        <v/>
      </c>
      <c r="H465" s="2" t="str" cm="1">
        <f t="array" ref="H465">IFERROR(_xlfn.LET(
_xlpm.CSVVal,_xlfn.XLOOKUP($A465,CSV!$A:$A,CSV!H:H,""),
_xlpm.MacVal,_xlfn.XLOOKUP($A465,Output_Mac!$A:$A,Output_Mac!H:H,""),
_xlpm.MyAuditVal,_xlfn.XLOOKUP($A465,My_Audit!$A:$A,My_Audit!G:G,""),
_xlfn.IFS(_xlpm.MyAuditVal&lt;&gt;"",_xlpm.MyAuditVal,_xlpm.MacVal&lt;&gt;"",_xlpm.MacVal,_xlpm.CSVVal&lt;&gt;"",_xlpm.CSVVal
)),"")</f>
        <v/>
      </c>
      <c r="I465" s="2" t="str">
        <f>_xlfn.XLOOKUP(A465,Output_Mac!A:A,Output_Mac!I:I,"")</f>
        <v/>
      </c>
      <c r="J465" s="2" t="str" cm="1">
        <f t="array" ref="J465">IFERROR(_xlfn.LET(
_xlpm.CSVVal,_xlfn.XLOOKUP($A465,CSV!$A:$A,CSV!I:I,""),
_xlpm.MacVal,_xlfn.XLOOKUP($A465,Output_Mac!$A:$A,Output_Mac!J:J,""),
_xlpm.MyAuditVal,_xlfn.XLOOKUP($A465,My_Audit!$A:$A,My_Audit!I:I,""),
_xlfn.IFS(_xlpm.MyAuditVal&lt;&gt;"",UPPER(_xlpm.MyAuditVal),_xlpm.MacVal&lt;&gt;"",_xlpm.MacVal,_xlpm.CSVVal&lt;&gt;"",_xlpm.CSVVal
)),"")</f>
        <v/>
      </c>
      <c r="K465" s="2" t="str" cm="1">
        <f t="array" ref="K465">IFERROR(_xlfn.LET(
_xlpm.CSVVal,_xlfn.XLOOKUP($A465,CSV!$A:$A,CSV!K:K,""),
_xlpm.MacVal,_xlfn.XLOOKUP($A465,Output_Mac!$A:$A,Output_Mac!K:K,""),
_xlpm.MyAuditVal,_xlfn.XLOOKUP($A465,My_Audit!$A:$A,My_Audit!J:J,""),
_xlfn.IFS(_xlpm.MyAuditVal&lt;&gt;"",UPPER(_xlpm.MyAuditVal),_xlpm.MacVal&lt;&gt;"",_xlpm.MacVal,_xlpm.CSVVal&lt;&gt;"",_xlpm.CSVVal
)),"")</f>
        <v/>
      </c>
      <c r="L465" s="2" t="str" cm="1">
        <f t="array" ref="L465">IFERROR(_xlfn.LET(
_xlpm.CSVVal,_xlfn.XLOOKUP($A465,CSV!$A:$A,CSV!P:P,""),
_xlpm.MacVal,_xlfn.XLOOKUP($A465,Output_Mac!$A:$A,Output_Mac!L:L,""),
_xlpm.MyAuditVal,_xlfn.XLOOKUP($A465,My_Audit!$A:$A,My_Audit!K:K,""),
_xlfn.IFS(_xlpm.MyAuditVal&lt;&gt;"",UPPER(_xlpm.MyAuditVal),_xlpm.MacVal&lt;&gt;"",_xlpm.MacVal,_xlpm.CSVVal&lt;&gt;"",_xlpm.CSVVal
)),"")</f>
        <v/>
      </c>
      <c r="M465" s="2" t="str" cm="1">
        <f t="array" ref="M465">IFERROR(_xlfn.LET(
_xlpm.CSVVal,_xlfn.XLOOKUP($A465,CSV!$A:$A,CSV!Q:Q,""),
_xlpm.MacVal,_xlfn.XLOOKUP($A465,Output_Mac!$A:$A,Output_Mac!M:M,""),
_xlpm.MyAuditVal,_xlfn.XLOOKUP($A465,My_Audit!$A:$A,My_Audit!L:L,""),
_xlfn.IFS(_xlpm.MyAuditVal&lt;&gt;"",UPPER(_xlpm.MyAuditVal),_xlpm.MacVal&lt;&gt;"",_xlpm.MacVal,_xlpm.CSVVal&lt;&gt;"",_xlpm.CSVVal
)),"")</f>
        <v/>
      </c>
      <c r="O465" s="2" t="str">
        <f>_xlfn.LET(
    _xlpm.CSVVal, _xlfn.XLOOKUP($A465, CSV!$A:$A, CSV!AF:AF, ""),
    _xlpm.MacVal, _xlfn.XLOOKUP($A465, Output_Mac!$A:$A, Output_Mac!S:S, ""),
    _xlpm.MyAuditVal, _xlfn.XLOOKUP($A465, My_Audit!$A:$A, My_Audit!P:P, ""),
    _xlfn.TEXTJOIN(", ", TRUE, _xlpm.MyAuditVal, _xlpm.MacVal, _xlpm.CSVVal)
)</f>
        <v/>
      </c>
      <c r="P465" s="2" t="str" cm="1">
        <f t="array" ref="P465">IFERROR(_xlfn.LET(
_xlpm.CSVVal,_xlfn.XLOOKUP($A465,CSV!$A:$A,CSV!AG:AG,""),
_xlpm.MacVal,_xlfn.XLOOKUP($A465,Output_Mac!$A:$A,Output_Mac!T:T,""),
_xlpm.MyAuditVal,_xlfn.XLOOKUP($A465,My_Audit!$A:$A,My_Audit!Q:Q,""),
_xlfn.IFS(_xlpm.MyAuditVal&lt;&gt;"",UPPER(_xlpm.MyAuditVal),_xlpm.MacVal&lt;&gt;"",_xlpm.MacVal,_xlpm.CSVVal&lt;&gt;"",_xlpm.CSVVal
)),"No")</f>
        <v>No</v>
      </c>
      <c r="Q465" s="2" t="str" cm="1">
        <f t="array" ref="Q465">IFERROR(_xlfn.LET(
_xlpm.CSVVal,_xlfn.XLOOKUP($A465,CSV!$A:$A,CSV!AH:AH,""),
_xlpm.MacVal,_xlfn.XLOOKUP($A465,Output_Mac!$A:$A,Output_Mac!U:U,""),
_xlpm.MyAuditVal,_xlfn.XLOOKUP($A465,My_Audit!$A:$A,My_Audit!R:R,""),
_xlfn.IFS(_xlpm.MyAuditVal&lt;&gt;"",UPPER(_xlpm.MyAuditVal),_xlpm.MacVal&lt;&gt;"",_xlpm.MacVal,_xlpm.CSVVal&lt;&gt;"",_xlpm.CSVVal
)),"")</f>
        <v/>
      </c>
    </row>
    <row r="466" spans="1:17">
      <c r="A466" s="2" t="str">
        <f>_xlfn.TEXTJOIN("",TRUE,Input!$B$2,ROW(My_Audit!A465))</f>
        <v>XX465</v>
      </c>
      <c r="B466" s="2" t="str">
        <f>_xlfn.TEXTJOIN("-",TRUE,"ITD",Input!$A$2,A466)</f>
        <v>ITD-SHRXXX-XX465</v>
      </c>
      <c r="C466" s="2" t="str" cm="1">
        <f t="array" ref="C466">IFERROR(_xlfn.LET(
_xlpm.CSVVal,_xlfn.XLOOKUP($A466,CSV!$A:$A,CSV!B:B,""),
_xlpm.MacVal,_xlfn.XLOOKUP($A466,Output_Mac!$A:$A,Output_Mac!B:B,""),
_xlpm.MyAuditVal,_xlfn.XLOOKUP($A466,My_Audit!$A:$A,My_Audit!B:B,""),
_xlfn.IFS(_xlpm.MyAuditVal&lt;&gt;"",UPPER(_xlpm.MyAuditVal),_xlpm.MacVal&lt;&gt;"",_xlpm.MacVal,_xlpm.CSVVal&lt;&gt;"",_xlpm.CSVVal
)),"")</f>
        <v/>
      </c>
      <c r="D466" s="2" t="str" cm="1">
        <f t="array" ref="D466">IFERROR(_xlfn.LET(
_xlpm.CSVVal,_xlfn.XLOOKUP($A466,CSV!$A:$A,CSV!D:D,""),
_xlpm.MacVal,_xlfn.XLOOKUP($A466,Output_Mac!$A:$A,Output_Mac!C:C,""),
_xlpm.MyAuditVal,_xlfn.XLOOKUP($A466,My_Audit!$A:$A,My_Audit!C:C,""),
_xlfn.IFS(_xlpm.MyAuditVal&lt;&gt;"",_xlpm.MyAuditVal,_xlpm.MacVal&lt;&gt;"",_xlpm.MacVal,_xlpm.CSVVal&lt;&gt;"",_xlpm.CSVVal
)),"")</f>
        <v/>
      </c>
      <c r="E466" s="2" t="str">
        <f>_xlfn.XLOOKUP(A466,My_Audit!A:A,My_Audit!D:D,"")&amp;""</f>
        <v/>
      </c>
      <c r="F466" s="2" t="str" cm="1">
        <f t="array" ref="F466">IFERROR(_xlfn.LET(
_xlpm.CSVVal,_xlfn.XLOOKUP($A466,CSV!$A:$A,CSV!F:F,""),
_xlpm.MacVal,_xlfn.XLOOKUP($A466,Output_Mac!$A:$A,Output_Mac!E:E,""),
_xlpm.MyAuditVal,_xlfn.XLOOKUP($A466,My_Audit!$A:$A,My_Audit!E:E,""),
_xlfn.IFS(_xlpm.MyAuditVal&lt;&gt;"",_xlpm.MyAuditVal,_xlpm.MacVal&lt;&gt;"",_xlpm.MacVal,_xlpm.CSVVal&lt;&gt;"",_xlpm.CSVVal
)),"")</f>
        <v/>
      </c>
      <c r="G466" s="2" t="str" cm="1">
        <f t="array" ref="G466">IFERROR(_xlfn.LET(
_xlpm.CSVVal,_xlfn.XLOOKUP($A466,CSV!$A:$A,CSV!G:G,""),
_xlpm.MacVal,_xlfn.XLOOKUP($A466,Output_Mac!$A:$A,Output_Mac!F:F,""),
_xlpm.MyAuditVal,_xlfn.XLOOKUP($A466,My_Audit!$A:$A,My_Audit!F:F,""),
_xlfn.IFS(_xlpm.MyAuditVal&lt;&gt;"",_xlpm.MyAuditVal,_xlpm.MacVal&lt;&gt;"",_xlpm.MacVal,_xlpm.CSVVal&lt;&gt;"",PROPER(_xlpm.CSVVal)
)),"")</f>
        <v/>
      </c>
      <c r="H466" s="2" t="str" cm="1">
        <f t="array" ref="H466">IFERROR(_xlfn.LET(
_xlpm.CSVVal,_xlfn.XLOOKUP($A466,CSV!$A:$A,CSV!H:H,""),
_xlpm.MacVal,_xlfn.XLOOKUP($A466,Output_Mac!$A:$A,Output_Mac!H:H,""),
_xlpm.MyAuditVal,_xlfn.XLOOKUP($A466,My_Audit!$A:$A,My_Audit!G:G,""),
_xlfn.IFS(_xlpm.MyAuditVal&lt;&gt;"",_xlpm.MyAuditVal,_xlpm.MacVal&lt;&gt;"",_xlpm.MacVal,_xlpm.CSVVal&lt;&gt;"",_xlpm.CSVVal
)),"")</f>
        <v/>
      </c>
      <c r="I466" s="2" t="str">
        <f>_xlfn.XLOOKUP(A466,Output_Mac!A:A,Output_Mac!I:I,"")</f>
        <v/>
      </c>
      <c r="J466" s="2" t="str" cm="1">
        <f t="array" ref="J466">IFERROR(_xlfn.LET(
_xlpm.CSVVal,_xlfn.XLOOKUP($A466,CSV!$A:$A,CSV!I:I,""),
_xlpm.MacVal,_xlfn.XLOOKUP($A466,Output_Mac!$A:$A,Output_Mac!J:J,""),
_xlpm.MyAuditVal,_xlfn.XLOOKUP($A466,My_Audit!$A:$A,My_Audit!I:I,""),
_xlfn.IFS(_xlpm.MyAuditVal&lt;&gt;"",UPPER(_xlpm.MyAuditVal),_xlpm.MacVal&lt;&gt;"",_xlpm.MacVal,_xlpm.CSVVal&lt;&gt;"",_xlpm.CSVVal
)),"")</f>
        <v/>
      </c>
      <c r="K466" s="2" t="str" cm="1">
        <f t="array" ref="K466">IFERROR(_xlfn.LET(
_xlpm.CSVVal,_xlfn.XLOOKUP($A466,CSV!$A:$A,CSV!K:K,""),
_xlpm.MacVal,_xlfn.XLOOKUP($A466,Output_Mac!$A:$A,Output_Mac!K:K,""),
_xlpm.MyAuditVal,_xlfn.XLOOKUP($A466,My_Audit!$A:$A,My_Audit!J:J,""),
_xlfn.IFS(_xlpm.MyAuditVal&lt;&gt;"",UPPER(_xlpm.MyAuditVal),_xlpm.MacVal&lt;&gt;"",_xlpm.MacVal,_xlpm.CSVVal&lt;&gt;"",_xlpm.CSVVal
)),"")</f>
        <v/>
      </c>
      <c r="L466" s="2" t="str" cm="1">
        <f t="array" ref="L466">IFERROR(_xlfn.LET(
_xlpm.CSVVal,_xlfn.XLOOKUP($A466,CSV!$A:$A,CSV!P:P,""),
_xlpm.MacVal,_xlfn.XLOOKUP($A466,Output_Mac!$A:$A,Output_Mac!L:L,""),
_xlpm.MyAuditVal,_xlfn.XLOOKUP($A466,My_Audit!$A:$A,My_Audit!K:K,""),
_xlfn.IFS(_xlpm.MyAuditVal&lt;&gt;"",UPPER(_xlpm.MyAuditVal),_xlpm.MacVal&lt;&gt;"",_xlpm.MacVal,_xlpm.CSVVal&lt;&gt;"",_xlpm.CSVVal
)),"")</f>
        <v/>
      </c>
      <c r="M466" s="2" t="str" cm="1">
        <f t="array" ref="M466">IFERROR(_xlfn.LET(
_xlpm.CSVVal,_xlfn.XLOOKUP($A466,CSV!$A:$A,CSV!Q:Q,""),
_xlpm.MacVal,_xlfn.XLOOKUP($A466,Output_Mac!$A:$A,Output_Mac!M:M,""),
_xlpm.MyAuditVal,_xlfn.XLOOKUP($A466,My_Audit!$A:$A,My_Audit!L:L,""),
_xlfn.IFS(_xlpm.MyAuditVal&lt;&gt;"",UPPER(_xlpm.MyAuditVal),_xlpm.MacVal&lt;&gt;"",_xlpm.MacVal,_xlpm.CSVVal&lt;&gt;"",_xlpm.CSVVal
)),"")</f>
        <v/>
      </c>
      <c r="O466" s="2" t="str">
        <f>_xlfn.LET(
    _xlpm.CSVVal, _xlfn.XLOOKUP($A466, CSV!$A:$A, CSV!AF:AF, ""),
    _xlpm.MacVal, _xlfn.XLOOKUP($A466, Output_Mac!$A:$A, Output_Mac!S:S, ""),
    _xlpm.MyAuditVal, _xlfn.XLOOKUP($A466, My_Audit!$A:$A, My_Audit!P:P, ""),
    _xlfn.TEXTJOIN(", ", TRUE, _xlpm.MyAuditVal, _xlpm.MacVal, _xlpm.CSVVal)
)</f>
        <v/>
      </c>
      <c r="P466" s="2" t="str" cm="1">
        <f t="array" ref="P466">IFERROR(_xlfn.LET(
_xlpm.CSVVal,_xlfn.XLOOKUP($A466,CSV!$A:$A,CSV!AG:AG,""),
_xlpm.MacVal,_xlfn.XLOOKUP($A466,Output_Mac!$A:$A,Output_Mac!T:T,""),
_xlpm.MyAuditVal,_xlfn.XLOOKUP($A466,My_Audit!$A:$A,My_Audit!Q:Q,""),
_xlfn.IFS(_xlpm.MyAuditVal&lt;&gt;"",UPPER(_xlpm.MyAuditVal),_xlpm.MacVal&lt;&gt;"",_xlpm.MacVal,_xlpm.CSVVal&lt;&gt;"",_xlpm.CSVVal
)),"No")</f>
        <v>No</v>
      </c>
      <c r="Q466" s="2" t="str" cm="1">
        <f t="array" ref="Q466">IFERROR(_xlfn.LET(
_xlpm.CSVVal,_xlfn.XLOOKUP($A466,CSV!$A:$A,CSV!AH:AH,""),
_xlpm.MacVal,_xlfn.XLOOKUP($A466,Output_Mac!$A:$A,Output_Mac!U:U,""),
_xlpm.MyAuditVal,_xlfn.XLOOKUP($A466,My_Audit!$A:$A,My_Audit!R:R,""),
_xlfn.IFS(_xlpm.MyAuditVal&lt;&gt;"",UPPER(_xlpm.MyAuditVal),_xlpm.MacVal&lt;&gt;"",_xlpm.MacVal,_xlpm.CSVVal&lt;&gt;"",_xlpm.CSVVal
)),"")</f>
        <v/>
      </c>
    </row>
    <row r="467" spans="1:17">
      <c r="A467" s="2" t="str">
        <f>_xlfn.TEXTJOIN("",TRUE,Input!$B$2,ROW(My_Audit!A466))</f>
        <v>XX466</v>
      </c>
      <c r="B467" s="2" t="str">
        <f>_xlfn.TEXTJOIN("-",TRUE,"ITD",Input!$A$2,A467)</f>
        <v>ITD-SHRXXX-XX466</v>
      </c>
      <c r="C467" s="2" t="str" cm="1">
        <f t="array" ref="C467">IFERROR(_xlfn.LET(
_xlpm.CSVVal,_xlfn.XLOOKUP($A467,CSV!$A:$A,CSV!B:B,""),
_xlpm.MacVal,_xlfn.XLOOKUP($A467,Output_Mac!$A:$A,Output_Mac!B:B,""),
_xlpm.MyAuditVal,_xlfn.XLOOKUP($A467,My_Audit!$A:$A,My_Audit!B:B,""),
_xlfn.IFS(_xlpm.MyAuditVal&lt;&gt;"",UPPER(_xlpm.MyAuditVal),_xlpm.MacVal&lt;&gt;"",_xlpm.MacVal,_xlpm.CSVVal&lt;&gt;"",_xlpm.CSVVal
)),"")</f>
        <v/>
      </c>
      <c r="D467" s="2" t="str" cm="1">
        <f t="array" ref="D467">IFERROR(_xlfn.LET(
_xlpm.CSVVal,_xlfn.XLOOKUP($A467,CSV!$A:$A,CSV!D:D,""),
_xlpm.MacVal,_xlfn.XLOOKUP($A467,Output_Mac!$A:$A,Output_Mac!C:C,""),
_xlpm.MyAuditVal,_xlfn.XLOOKUP($A467,My_Audit!$A:$A,My_Audit!C:C,""),
_xlfn.IFS(_xlpm.MyAuditVal&lt;&gt;"",_xlpm.MyAuditVal,_xlpm.MacVal&lt;&gt;"",_xlpm.MacVal,_xlpm.CSVVal&lt;&gt;"",_xlpm.CSVVal
)),"")</f>
        <v/>
      </c>
      <c r="E467" s="2" t="str">
        <f>_xlfn.XLOOKUP(A467,My_Audit!A:A,My_Audit!D:D,"")&amp;""</f>
        <v/>
      </c>
      <c r="F467" s="2" t="str" cm="1">
        <f t="array" ref="F467">IFERROR(_xlfn.LET(
_xlpm.CSVVal,_xlfn.XLOOKUP($A467,CSV!$A:$A,CSV!F:F,""),
_xlpm.MacVal,_xlfn.XLOOKUP($A467,Output_Mac!$A:$A,Output_Mac!E:E,""),
_xlpm.MyAuditVal,_xlfn.XLOOKUP($A467,My_Audit!$A:$A,My_Audit!E:E,""),
_xlfn.IFS(_xlpm.MyAuditVal&lt;&gt;"",_xlpm.MyAuditVal,_xlpm.MacVal&lt;&gt;"",_xlpm.MacVal,_xlpm.CSVVal&lt;&gt;"",_xlpm.CSVVal
)),"")</f>
        <v/>
      </c>
      <c r="G467" s="2" t="str" cm="1">
        <f t="array" ref="G467">IFERROR(_xlfn.LET(
_xlpm.CSVVal,_xlfn.XLOOKUP($A467,CSV!$A:$A,CSV!G:G,""),
_xlpm.MacVal,_xlfn.XLOOKUP($A467,Output_Mac!$A:$A,Output_Mac!F:F,""),
_xlpm.MyAuditVal,_xlfn.XLOOKUP($A467,My_Audit!$A:$A,My_Audit!F:F,""),
_xlfn.IFS(_xlpm.MyAuditVal&lt;&gt;"",_xlpm.MyAuditVal,_xlpm.MacVal&lt;&gt;"",_xlpm.MacVal,_xlpm.CSVVal&lt;&gt;"",PROPER(_xlpm.CSVVal)
)),"")</f>
        <v/>
      </c>
      <c r="H467" s="2" t="str" cm="1">
        <f t="array" ref="H467">IFERROR(_xlfn.LET(
_xlpm.CSVVal,_xlfn.XLOOKUP($A467,CSV!$A:$A,CSV!H:H,""),
_xlpm.MacVal,_xlfn.XLOOKUP($A467,Output_Mac!$A:$A,Output_Mac!H:H,""),
_xlpm.MyAuditVal,_xlfn.XLOOKUP($A467,My_Audit!$A:$A,My_Audit!G:G,""),
_xlfn.IFS(_xlpm.MyAuditVal&lt;&gt;"",_xlpm.MyAuditVal,_xlpm.MacVal&lt;&gt;"",_xlpm.MacVal,_xlpm.CSVVal&lt;&gt;"",_xlpm.CSVVal
)),"")</f>
        <v/>
      </c>
      <c r="I467" s="2" t="str">
        <f>_xlfn.XLOOKUP(A467,Output_Mac!A:A,Output_Mac!I:I,"")</f>
        <v/>
      </c>
      <c r="J467" s="2" t="str" cm="1">
        <f t="array" ref="J467">IFERROR(_xlfn.LET(
_xlpm.CSVVal,_xlfn.XLOOKUP($A467,CSV!$A:$A,CSV!I:I,""),
_xlpm.MacVal,_xlfn.XLOOKUP($A467,Output_Mac!$A:$A,Output_Mac!J:J,""),
_xlpm.MyAuditVal,_xlfn.XLOOKUP($A467,My_Audit!$A:$A,My_Audit!I:I,""),
_xlfn.IFS(_xlpm.MyAuditVal&lt;&gt;"",UPPER(_xlpm.MyAuditVal),_xlpm.MacVal&lt;&gt;"",_xlpm.MacVal,_xlpm.CSVVal&lt;&gt;"",_xlpm.CSVVal
)),"")</f>
        <v/>
      </c>
      <c r="K467" s="2" t="str" cm="1">
        <f t="array" ref="K467">IFERROR(_xlfn.LET(
_xlpm.CSVVal,_xlfn.XLOOKUP($A467,CSV!$A:$A,CSV!K:K,""),
_xlpm.MacVal,_xlfn.XLOOKUP($A467,Output_Mac!$A:$A,Output_Mac!K:K,""),
_xlpm.MyAuditVal,_xlfn.XLOOKUP($A467,My_Audit!$A:$A,My_Audit!J:J,""),
_xlfn.IFS(_xlpm.MyAuditVal&lt;&gt;"",UPPER(_xlpm.MyAuditVal),_xlpm.MacVal&lt;&gt;"",_xlpm.MacVal,_xlpm.CSVVal&lt;&gt;"",_xlpm.CSVVal
)),"")</f>
        <v/>
      </c>
      <c r="L467" s="2" t="str" cm="1">
        <f t="array" ref="L467">IFERROR(_xlfn.LET(
_xlpm.CSVVal,_xlfn.XLOOKUP($A467,CSV!$A:$A,CSV!P:P,""),
_xlpm.MacVal,_xlfn.XLOOKUP($A467,Output_Mac!$A:$A,Output_Mac!L:L,""),
_xlpm.MyAuditVal,_xlfn.XLOOKUP($A467,My_Audit!$A:$A,My_Audit!K:K,""),
_xlfn.IFS(_xlpm.MyAuditVal&lt;&gt;"",UPPER(_xlpm.MyAuditVal),_xlpm.MacVal&lt;&gt;"",_xlpm.MacVal,_xlpm.CSVVal&lt;&gt;"",_xlpm.CSVVal
)),"")</f>
        <v/>
      </c>
      <c r="M467" s="2" t="str" cm="1">
        <f t="array" ref="M467">IFERROR(_xlfn.LET(
_xlpm.CSVVal,_xlfn.XLOOKUP($A467,CSV!$A:$A,CSV!Q:Q,""),
_xlpm.MacVal,_xlfn.XLOOKUP($A467,Output_Mac!$A:$A,Output_Mac!M:M,""),
_xlpm.MyAuditVal,_xlfn.XLOOKUP($A467,My_Audit!$A:$A,My_Audit!L:L,""),
_xlfn.IFS(_xlpm.MyAuditVal&lt;&gt;"",UPPER(_xlpm.MyAuditVal),_xlpm.MacVal&lt;&gt;"",_xlpm.MacVal,_xlpm.CSVVal&lt;&gt;"",_xlpm.CSVVal
)),"")</f>
        <v/>
      </c>
      <c r="O467" s="2" t="str">
        <f>_xlfn.LET(
    _xlpm.CSVVal, _xlfn.XLOOKUP($A467, CSV!$A:$A, CSV!AF:AF, ""),
    _xlpm.MacVal, _xlfn.XLOOKUP($A467, Output_Mac!$A:$A, Output_Mac!S:S, ""),
    _xlpm.MyAuditVal, _xlfn.XLOOKUP($A467, My_Audit!$A:$A, My_Audit!P:P, ""),
    _xlfn.TEXTJOIN(", ", TRUE, _xlpm.MyAuditVal, _xlpm.MacVal, _xlpm.CSVVal)
)</f>
        <v/>
      </c>
      <c r="P467" s="2" t="str" cm="1">
        <f t="array" ref="P467">IFERROR(_xlfn.LET(
_xlpm.CSVVal,_xlfn.XLOOKUP($A467,CSV!$A:$A,CSV!AG:AG,""),
_xlpm.MacVal,_xlfn.XLOOKUP($A467,Output_Mac!$A:$A,Output_Mac!T:T,""),
_xlpm.MyAuditVal,_xlfn.XLOOKUP($A467,My_Audit!$A:$A,My_Audit!Q:Q,""),
_xlfn.IFS(_xlpm.MyAuditVal&lt;&gt;"",UPPER(_xlpm.MyAuditVal),_xlpm.MacVal&lt;&gt;"",_xlpm.MacVal,_xlpm.CSVVal&lt;&gt;"",_xlpm.CSVVal
)),"No")</f>
        <v>No</v>
      </c>
      <c r="Q467" s="2" t="str" cm="1">
        <f t="array" ref="Q467">IFERROR(_xlfn.LET(
_xlpm.CSVVal,_xlfn.XLOOKUP($A467,CSV!$A:$A,CSV!AH:AH,""),
_xlpm.MacVal,_xlfn.XLOOKUP($A467,Output_Mac!$A:$A,Output_Mac!U:U,""),
_xlpm.MyAuditVal,_xlfn.XLOOKUP($A467,My_Audit!$A:$A,My_Audit!R:R,""),
_xlfn.IFS(_xlpm.MyAuditVal&lt;&gt;"",UPPER(_xlpm.MyAuditVal),_xlpm.MacVal&lt;&gt;"",_xlpm.MacVal,_xlpm.CSVVal&lt;&gt;"",_xlpm.CSVVal
)),"")</f>
        <v/>
      </c>
    </row>
    <row r="468" spans="1:17">
      <c r="A468" s="2" t="str">
        <f>_xlfn.TEXTJOIN("",TRUE,Input!$B$2,ROW(My_Audit!A467))</f>
        <v>XX467</v>
      </c>
      <c r="B468" s="2" t="str">
        <f>_xlfn.TEXTJOIN("-",TRUE,"ITD",Input!$A$2,A468)</f>
        <v>ITD-SHRXXX-XX467</v>
      </c>
      <c r="C468" s="2" t="str" cm="1">
        <f t="array" ref="C468">IFERROR(_xlfn.LET(
_xlpm.CSVVal,_xlfn.XLOOKUP($A468,CSV!$A:$A,CSV!B:B,""),
_xlpm.MacVal,_xlfn.XLOOKUP($A468,Output_Mac!$A:$A,Output_Mac!B:B,""),
_xlpm.MyAuditVal,_xlfn.XLOOKUP($A468,My_Audit!$A:$A,My_Audit!B:B,""),
_xlfn.IFS(_xlpm.MyAuditVal&lt;&gt;"",UPPER(_xlpm.MyAuditVal),_xlpm.MacVal&lt;&gt;"",_xlpm.MacVal,_xlpm.CSVVal&lt;&gt;"",_xlpm.CSVVal
)),"")</f>
        <v/>
      </c>
      <c r="D468" s="2" t="str" cm="1">
        <f t="array" ref="D468">IFERROR(_xlfn.LET(
_xlpm.CSVVal,_xlfn.XLOOKUP($A468,CSV!$A:$A,CSV!D:D,""),
_xlpm.MacVal,_xlfn.XLOOKUP($A468,Output_Mac!$A:$A,Output_Mac!C:C,""),
_xlpm.MyAuditVal,_xlfn.XLOOKUP($A468,My_Audit!$A:$A,My_Audit!C:C,""),
_xlfn.IFS(_xlpm.MyAuditVal&lt;&gt;"",_xlpm.MyAuditVal,_xlpm.MacVal&lt;&gt;"",_xlpm.MacVal,_xlpm.CSVVal&lt;&gt;"",_xlpm.CSVVal
)),"")</f>
        <v/>
      </c>
      <c r="E468" s="2" t="str">
        <f>_xlfn.XLOOKUP(A468,My_Audit!A:A,My_Audit!D:D,"")&amp;""</f>
        <v/>
      </c>
      <c r="F468" s="2" t="str" cm="1">
        <f t="array" ref="F468">IFERROR(_xlfn.LET(
_xlpm.CSVVal,_xlfn.XLOOKUP($A468,CSV!$A:$A,CSV!F:F,""),
_xlpm.MacVal,_xlfn.XLOOKUP($A468,Output_Mac!$A:$A,Output_Mac!E:E,""),
_xlpm.MyAuditVal,_xlfn.XLOOKUP($A468,My_Audit!$A:$A,My_Audit!E:E,""),
_xlfn.IFS(_xlpm.MyAuditVal&lt;&gt;"",_xlpm.MyAuditVal,_xlpm.MacVal&lt;&gt;"",_xlpm.MacVal,_xlpm.CSVVal&lt;&gt;"",_xlpm.CSVVal
)),"")</f>
        <v/>
      </c>
      <c r="G468" s="2" t="str" cm="1">
        <f t="array" ref="G468">IFERROR(_xlfn.LET(
_xlpm.CSVVal,_xlfn.XLOOKUP($A468,CSV!$A:$A,CSV!G:G,""),
_xlpm.MacVal,_xlfn.XLOOKUP($A468,Output_Mac!$A:$A,Output_Mac!F:F,""),
_xlpm.MyAuditVal,_xlfn.XLOOKUP($A468,My_Audit!$A:$A,My_Audit!F:F,""),
_xlfn.IFS(_xlpm.MyAuditVal&lt;&gt;"",_xlpm.MyAuditVal,_xlpm.MacVal&lt;&gt;"",_xlpm.MacVal,_xlpm.CSVVal&lt;&gt;"",PROPER(_xlpm.CSVVal)
)),"")</f>
        <v/>
      </c>
      <c r="H468" s="2" t="str" cm="1">
        <f t="array" ref="H468">IFERROR(_xlfn.LET(
_xlpm.CSVVal,_xlfn.XLOOKUP($A468,CSV!$A:$A,CSV!H:H,""),
_xlpm.MacVal,_xlfn.XLOOKUP($A468,Output_Mac!$A:$A,Output_Mac!H:H,""),
_xlpm.MyAuditVal,_xlfn.XLOOKUP($A468,My_Audit!$A:$A,My_Audit!G:G,""),
_xlfn.IFS(_xlpm.MyAuditVal&lt;&gt;"",_xlpm.MyAuditVal,_xlpm.MacVal&lt;&gt;"",_xlpm.MacVal,_xlpm.CSVVal&lt;&gt;"",_xlpm.CSVVal
)),"")</f>
        <v/>
      </c>
      <c r="I468" s="2" t="str">
        <f>_xlfn.XLOOKUP(A468,Output_Mac!A:A,Output_Mac!I:I,"")</f>
        <v/>
      </c>
      <c r="J468" s="2" t="str" cm="1">
        <f t="array" ref="J468">IFERROR(_xlfn.LET(
_xlpm.CSVVal,_xlfn.XLOOKUP($A468,CSV!$A:$A,CSV!I:I,""),
_xlpm.MacVal,_xlfn.XLOOKUP($A468,Output_Mac!$A:$A,Output_Mac!J:J,""),
_xlpm.MyAuditVal,_xlfn.XLOOKUP($A468,My_Audit!$A:$A,My_Audit!I:I,""),
_xlfn.IFS(_xlpm.MyAuditVal&lt;&gt;"",UPPER(_xlpm.MyAuditVal),_xlpm.MacVal&lt;&gt;"",_xlpm.MacVal,_xlpm.CSVVal&lt;&gt;"",_xlpm.CSVVal
)),"")</f>
        <v/>
      </c>
      <c r="K468" s="2" t="str" cm="1">
        <f t="array" ref="K468">IFERROR(_xlfn.LET(
_xlpm.CSVVal,_xlfn.XLOOKUP($A468,CSV!$A:$A,CSV!K:K,""),
_xlpm.MacVal,_xlfn.XLOOKUP($A468,Output_Mac!$A:$A,Output_Mac!K:K,""),
_xlpm.MyAuditVal,_xlfn.XLOOKUP($A468,My_Audit!$A:$A,My_Audit!J:J,""),
_xlfn.IFS(_xlpm.MyAuditVal&lt;&gt;"",UPPER(_xlpm.MyAuditVal),_xlpm.MacVal&lt;&gt;"",_xlpm.MacVal,_xlpm.CSVVal&lt;&gt;"",_xlpm.CSVVal
)),"")</f>
        <v/>
      </c>
      <c r="L468" s="2" t="str" cm="1">
        <f t="array" ref="L468">IFERROR(_xlfn.LET(
_xlpm.CSVVal,_xlfn.XLOOKUP($A468,CSV!$A:$A,CSV!P:P,""),
_xlpm.MacVal,_xlfn.XLOOKUP($A468,Output_Mac!$A:$A,Output_Mac!L:L,""),
_xlpm.MyAuditVal,_xlfn.XLOOKUP($A468,My_Audit!$A:$A,My_Audit!K:K,""),
_xlfn.IFS(_xlpm.MyAuditVal&lt;&gt;"",UPPER(_xlpm.MyAuditVal),_xlpm.MacVal&lt;&gt;"",_xlpm.MacVal,_xlpm.CSVVal&lt;&gt;"",_xlpm.CSVVal
)),"")</f>
        <v/>
      </c>
      <c r="M468" s="2" t="str" cm="1">
        <f t="array" ref="M468">IFERROR(_xlfn.LET(
_xlpm.CSVVal,_xlfn.XLOOKUP($A468,CSV!$A:$A,CSV!Q:Q,""),
_xlpm.MacVal,_xlfn.XLOOKUP($A468,Output_Mac!$A:$A,Output_Mac!M:M,""),
_xlpm.MyAuditVal,_xlfn.XLOOKUP($A468,My_Audit!$A:$A,My_Audit!L:L,""),
_xlfn.IFS(_xlpm.MyAuditVal&lt;&gt;"",UPPER(_xlpm.MyAuditVal),_xlpm.MacVal&lt;&gt;"",_xlpm.MacVal,_xlpm.CSVVal&lt;&gt;"",_xlpm.CSVVal
)),"")</f>
        <v/>
      </c>
      <c r="O468" s="2" t="str">
        <f>_xlfn.LET(
    _xlpm.CSVVal, _xlfn.XLOOKUP($A468, CSV!$A:$A, CSV!AF:AF, ""),
    _xlpm.MacVal, _xlfn.XLOOKUP($A468, Output_Mac!$A:$A, Output_Mac!S:S, ""),
    _xlpm.MyAuditVal, _xlfn.XLOOKUP($A468, My_Audit!$A:$A, My_Audit!P:P, ""),
    _xlfn.TEXTJOIN(", ", TRUE, _xlpm.MyAuditVal, _xlpm.MacVal, _xlpm.CSVVal)
)</f>
        <v/>
      </c>
      <c r="P468" s="2" t="str" cm="1">
        <f t="array" ref="P468">IFERROR(_xlfn.LET(
_xlpm.CSVVal,_xlfn.XLOOKUP($A468,CSV!$A:$A,CSV!AG:AG,""),
_xlpm.MacVal,_xlfn.XLOOKUP($A468,Output_Mac!$A:$A,Output_Mac!T:T,""),
_xlpm.MyAuditVal,_xlfn.XLOOKUP($A468,My_Audit!$A:$A,My_Audit!Q:Q,""),
_xlfn.IFS(_xlpm.MyAuditVal&lt;&gt;"",UPPER(_xlpm.MyAuditVal),_xlpm.MacVal&lt;&gt;"",_xlpm.MacVal,_xlpm.CSVVal&lt;&gt;"",_xlpm.CSVVal
)),"No")</f>
        <v>No</v>
      </c>
      <c r="Q468" s="2" t="str" cm="1">
        <f t="array" ref="Q468">IFERROR(_xlfn.LET(
_xlpm.CSVVal,_xlfn.XLOOKUP($A468,CSV!$A:$A,CSV!AH:AH,""),
_xlpm.MacVal,_xlfn.XLOOKUP($A468,Output_Mac!$A:$A,Output_Mac!U:U,""),
_xlpm.MyAuditVal,_xlfn.XLOOKUP($A468,My_Audit!$A:$A,My_Audit!R:R,""),
_xlfn.IFS(_xlpm.MyAuditVal&lt;&gt;"",UPPER(_xlpm.MyAuditVal),_xlpm.MacVal&lt;&gt;"",_xlpm.MacVal,_xlpm.CSVVal&lt;&gt;"",_xlpm.CSVVal
)),"")</f>
        <v/>
      </c>
    </row>
    <row r="469" spans="1:17">
      <c r="A469" s="2" t="str">
        <f>_xlfn.TEXTJOIN("",TRUE,Input!$B$2,ROW(My_Audit!A468))</f>
        <v>XX468</v>
      </c>
      <c r="B469" s="2" t="str">
        <f>_xlfn.TEXTJOIN("-",TRUE,"ITD",Input!$A$2,A469)</f>
        <v>ITD-SHRXXX-XX468</v>
      </c>
      <c r="C469" s="2" t="str" cm="1">
        <f t="array" ref="C469">IFERROR(_xlfn.LET(
_xlpm.CSVVal,_xlfn.XLOOKUP($A469,CSV!$A:$A,CSV!B:B,""),
_xlpm.MacVal,_xlfn.XLOOKUP($A469,Output_Mac!$A:$A,Output_Mac!B:B,""),
_xlpm.MyAuditVal,_xlfn.XLOOKUP($A469,My_Audit!$A:$A,My_Audit!B:B,""),
_xlfn.IFS(_xlpm.MyAuditVal&lt;&gt;"",UPPER(_xlpm.MyAuditVal),_xlpm.MacVal&lt;&gt;"",_xlpm.MacVal,_xlpm.CSVVal&lt;&gt;"",_xlpm.CSVVal
)),"")</f>
        <v/>
      </c>
      <c r="D469" s="2" t="str" cm="1">
        <f t="array" ref="D469">IFERROR(_xlfn.LET(
_xlpm.CSVVal,_xlfn.XLOOKUP($A469,CSV!$A:$A,CSV!D:D,""),
_xlpm.MacVal,_xlfn.XLOOKUP($A469,Output_Mac!$A:$A,Output_Mac!C:C,""),
_xlpm.MyAuditVal,_xlfn.XLOOKUP($A469,My_Audit!$A:$A,My_Audit!C:C,""),
_xlfn.IFS(_xlpm.MyAuditVal&lt;&gt;"",_xlpm.MyAuditVal,_xlpm.MacVal&lt;&gt;"",_xlpm.MacVal,_xlpm.CSVVal&lt;&gt;"",_xlpm.CSVVal
)),"")</f>
        <v/>
      </c>
      <c r="E469" s="2" t="str">
        <f>_xlfn.XLOOKUP(A469,My_Audit!A:A,My_Audit!D:D,"")&amp;""</f>
        <v/>
      </c>
      <c r="F469" s="2" t="str" cm="1">
        <f t="array" ref="F469">IFERROR(_xlfn.LET(
_xlpm.CSVVal,_xlfn.XLOOKUP($A469,CSV!$A:$A,CSV!F:F,""),
_xlpm.MacVal,_xlfn.XLOOKUP($A469,Output_Mac!$A:$A,Output_Mac!E:E,""),
_xlpm.MyAuditVal,_xlfn.XLOOKUP($A469,My_Audit!$A:$A,My_Audit!E:E,""),
_xlfn.IFS(_xlpm.MyAuditVal&lt;&gt;"",_xlpm.MyAuditVal,_xlpm.MacVal&lt;&gt;"",_xlpm.MacVal,_xlpm.CSVVal&lt;&gt;"",_xlpm.CSVVal
)),"")</f>
        <v/>
      </c>
      <c r="G469" s="2" t="str" cm="1">
        <f t="array" ref="G469">IFERROR(_xlfn.LET(
_xlpm.CSVVal,_xlfn.XLOOKUP($A469,CSV!$A:$A,CSV!G:G,""),
_xlpm.MacVal,_xlfn.XLOOKUP($A469,Output_Mac!$A:$A,Output_Mac!F:F,""),
_xlpm.MyAuditVal,_xlfn.XLOOKUP($A469,My_Audit!$A:$A,My_Audit!F:F,""),
_xlfn.IFS(_xlpm.MyAuditVal&lt;&gt;"",_xlpm.MyAuditVal,_xlpm.MacVal&lt;&gt;"",_xlpm.MacVal,_xlpm.CSVVal&lt;&gt;"",PROPER(_xlpm.CSVVal)
)),"")</f>
        <v/>
      </c>
      <c r="H469" s="2" t="str" cm="1">
        <f t="array" ref="H469">IFERROR(_xlfn.LET(
_xlpm.CSVVal,_xlfn.XLOOKUP($A469,CSV!$A:$A,CSV!H:H,""),
_xlpm.MacVal,_xlfn.XLOOKUP($A469,Output_Mac!$A:$A,Output_Mac!H:H,""),
_xlpm.MyAuditVal,_xlfn.XLOOKUP($A469,My_Audit!$A:$A,My_Audit!G:G,""),
_xlfn.IFS(_xlpm.MyAuditVal&lt;&gt;"",_xlpm.MyAuditVal,_xlpm.MacVal&lt;&gt;"",_xlpm.MacVal,_xlpm.CSVVal&lt;&gt;"",_xlpm.CSVVal
)),"")</f>
        <v/>
      </c>
      <c r="I469" s="2" t="str">
        <f>_xlfn.XLOOKUP(A469,Output_Mac!A:A,Output_Mac!I:I,"")</f>
        <v/>
      </c>
      <c r="J469" s="2" t="str" cm="1">
        <f t="array" ref="J469">IFERROR(_xlfn.LET(
_xlpm.CSVVal,_xlfn.XLOOKUP($A469,CSV!$A:$A,CSV!I:I,""),
_xlpm.MacVal,_xlfn.XLOOKUP($A469,Output_Mac!$A:$A,Output_Mac!J:J,""),
_xlpm.MyAuditVal,_xlfn.XLOOKUP($A469,My_Audit!$A:$A,My_Audit!I:I,""),
_xlfn.IFS(_xlpm.MyAuditVal&lt;&gt;"",UPPER(_xlpm.MyAuditVal),_xlpm.MacVal&lt;&gt;"",_xlpm.MacVal,_xlpm.CSVVal&lt;&gt;"",_xlpm.CSVVal
)),"")</f>
        <v/>
      </c>
      <c r="K469" s="2" t="str" cm="1">
        <f t="array" ref="K469">IFERROR(_xlfn.LET(
_xlpm.CSVVal,_xlfn.XLOOKUP($A469,CSV!$A:$A,CSV!K:K,""),
_xlpm.MacVal,_xlfn.XLOOKUP($A469,Output_Mac!$A:$A,Output_Mac!K:K,""),
_xlpm.MyAuditVal,_xlfn.XLOOKUP($A469,My_Audit!$A:$A,My_Audit!J:J,""),
_xlfn.IFS(_xlpm.MyAuditVal&lt;&gt;"",UPPER(_xlpm.MyAuditVal),_xlpm.MacVal&lt;&gt;"",_xlpm.MacVal,_xlpm.CSVVal&lt;&gt;"",_xlpm.CSVVal
)),"")</f>
        <v/>
      </c>
      <c r="L469" s="2" t="str" cm="1">
        <f t="array" ref="L469">IFERROR(_xlfn.LET(
_xlpm.CSVVal,_xlfn.XLOOKUP($A469,CSV!$A:$A,CSV!P:P,""),
_xlpm.MacVal,_xlfn.XLOOKUP($A469,Output_Mac!$A:$A,Output_Mac!L:L,""),
_xlpm.MyAuditVal,_xlfn.XLOOKUP($A469,My_Audit!$A:$A,My_Audit!K:K,""),
_xlfn.IFS(_xlpm.MyAuditVal&lt;&gt;"",UPPER(_xlpm.MyAuditVal),_xlpm.MacVal&lt;&gt;"",_xlpm.MacVal,_xlpm.CSVVal&lt;&gt;"",_xlpm.CSVVal
)),"")</f>
        <v/>
      </c>
      <c r="M469" s="2" t="str" cm="1">
        <f t="array" ref="M469">IFERROR(_xlfn.LET(
_xlpm.CSVVal,_xlfn.XLOOKUP($A469,CSV!$A:$A,CSV!Q:Q,""),
_xlpm.MacVal,_xlfn.XLOOKUP($A469,Output_Mac!$A:$A,Output_Mac!M:M,""),
_xlpm.MyAuditVal,_xlfn.XLOOKUP($A469,My_Audit!$A:$A,My_Audit!L:L,""),
_xlfn.IFS(_xlpm.MyAuditVal&lt;&gt;"",UPPER(_xlpm.MyAuditVal),_xlpm.MacVal&lt;&gt;"",_xlpm.MacVal,_xlpm.CSVVal&lt;&gt;"",_xlpm.CSVVal
)),"")</f>
        <v/>
      </c>
      <c r="O469" s="2" t="str">
        <f>_xlfn.LET(
    _xlpm.CSVVal, _xlfn.XLOOKUP($A469, CSV!$A:$A, CSV!AF:AF, ""),
    _xlpm.MacVal, _xlfn.XLOOKUP($A469, Output_Mac!$A:$A, Output_Mac!S:S, ""),
    _xlpm.MyAuditVal, _xlfn.XLOOKUP($A469, My_Audit!$A:$A, My_Audit!P:P, ""),
    _xlfn.TEXTJOIN(", ", TRUE, _xlpm.MyAuditVal, _xlpm.MacVal, _xlpm.CSVVal)
)</f>
        <v/>
      </c>
      <c r="P469" s="2" t="str" cm="1">
        <f t="array" ref="P469">IFERROR(_xlfn.LET(
_xlpm.CSVVal,_xlfn.XLOOKUP($A469,CSV!$A:$A,CSV!AG:AG,""),
_xlpm.MacVal,_xlfn.XLOOKUP($A469,Output_Mac!$A:$A,Output_Mac!T:T,""),
_xlpm.MyAuditVal,_xlfn.XLOOKUP($A469,My_Audit!$A:$A,My_Audit!Q:Q,""),
_xlfn.IFS(_xlpm.MyAuditVal&lt;&gt;"",UPPER(_xlpm.MyAuditVal),_xlpm.MacVal&lt;&gt;"",_xlpm.MacVal,_xlpm.CSVVal&lt;&gt;"",_xlpm.CSVVal
)),"No")</f>
        <v>No</v>
      </c>
      <c r="Q469" s="2" t="str" cm="1">
        <f t="array" ref="Q469">IFERROR(_xlfn.LET(
_xlpm.CSVVal,_xlfn.XLOOKUP($A469,CSV!$A:$A,CSV!AH:AH,""),
_xlpm.MacVal,_xlfn.XLOOKUP($A469,Output_Mac!$A:$A,Output_Mac!U:U,""),
_xlpm.MyAuditVal,_xlfn.XLOOKUP($A469,My_Audit!$A:$A,My_Audit!R:R,""),
_xlfn.IFS(_xlpm.MyAuditVal&lt;&gt;"",UPPER(_xlpm.MyAuditVal),_xlpm.MacVal&lt;&gt;"",_xlpm.MacVal,_xlpm.CSVVal&lt;&gt;"",_xlpm.CSVVal
)),"")</f>
        <v/>
      </c>
    </row>
    <row r="470" spans="1:17">
      <c r="A470" s="2" t="str">
        <f>_xlfn.TEXTJOIN("",TRUE,Input!$B$2,ROW(My_Audit!A469))</f>
        <v>XX469</v>
      </c>
      <c r="B470" s="2" t="str">
        <f>_xlfn.TEXTJOIN("-",TRUE,"ITD",Input!$A$2,A470)</f>
        <v>ITD-SHRXXX-XX469</v>
      </c>
      <c r="C470" s="2" t="str" cm="1">
        <f t="array" ref="C470">IFERROR(_xlfn.LET(
_xlpm.CSVVal,_xlfn.XLOOKUP($A470,CSV!$A:$A,CSV!B:B,""),
_xlpm.MacVal,_xlfn.XLOOKUP($A470,Output_Mac!$A:$A,Output_Mac!B:B,""),
_xlpm.MyAuditVal,_xlfn.XLOOKUP($A470,My_Audit!$A:$A,My_Audit!B:B,""),
_xlfn.IFS(_xlpm.MyAuditVal&lt;&gt;"",UPPER(_xlpm.MyAuditVal),_xlpm.MacVal&lt;&gt;"",_xlpm.MacVal,_xlpm.CSVVal&lt;&gt;"",_xlpm.CSVVal
)),"")</f>
        <v/>
      </c>
      <c r="D470" s="2" t="str" cm="1">
        <f t="array" ref="D470">IFERROR(_xlfn.LET(
_xlpm.CSVVal,_xlfn.XLOOKUP($A470,CSV!$A:$A,CSV!D:D,""),
_xlpm.MacVal,_xlfn.XLOOKUP($A470,Output_Mac!$A:$A,Output_Mac!C:C,""),
_xlpm.MyAuditVal,_xlfn.XLOOKUP($A470,My_Audit!$A:$A,My_Audit!C:C,""),
_xlfn.IFS(_xlpm.MyAuditVal&lt;&gt;"",_xlpm.MyAuditVal,_xlpm.MacVal&lt;&gt;"",_xlpm.MacVal,_xlpm.CSVVal&lt;&gt;"",_xlpm.CSVVal
)),"")</f>
        <v/>
      </c>
      <c r="E470" s="2" t="str">
        <f>_xlfn.XLOOKUP(A470,My_Audit!A:A,My_Audit!D:D,"")&amp;""</f>
        <v/>
      </c>
      <c r="F470" s="2" t="str" cm="1">
        <f t="array" ref="F470">IFERROR(_xlfn.LET(
_xlpm.CSVVal,_xlfn.XLOOKUP($A470,CSV!$A:$A,CSV!F:F,""),
_xlpm.MacVal,_xlfn.XLOOKUP($A470,Output_Mac!$A:$A,Output_Mac!E:E,""),
_xlpm.MyAuditVal,_xlfn.XLOOKUP($A470,My_Audit!$A:$A,My_Audit!E:E,""),
_xlfn.IFS(_xlpm.MyAuditVal&lt;&gt;"",_xlpm.MyAuditVal,_xlpm.MacVal&lt;&gt;"",_xlpm.MacVal,_xlpm.CSVVal&lt;&gt;"",_xlpm.CSVVal
)),"")</f>
        <v/>
      </c>
      <c r="G470" s="2" t="str" cm="1">
        <f t="array" ref="G470">IFERROR(_xlfn.LET(
_xlpm.CSVVal,_xlfn.XLOOKUP($A470,CSV!$A:$A,CSV!G:G,""),
_xlpm.MacVal,_xlfn.XLOOKUP($A470,Output_Mac!$A:$A,Output_Mac!F:F,""),
_xlpm.MyAuditVal,_xlfn.XLOOKUP($A470,My_Audit!$A:$A,My_Audit!F:F,""),
_xlfn.IFS(_xlpm.MyAuditVal&lt;&gt;"",_xlpm.MyAuditVal,_xlpm.MacVal&lt;&gt;"",_xlpm.MacVal,_xlpm.CSVVal&lt;&gt;"",PROPER(_xlpm.CSVVal)
)),"")</f>
        <v/>
      </c>
      <c r="H470" s="2" t="str" cm="1">
        <f t="array" ref="H470">IFERROR(_xlfn.LET(
_xlpm.CSVVal,_xlfn.XLOOKUP($A470,CSV!$A:$A,CSV!H:H,""),
_xlpm.MacVal,_xlfn.XLOOKUP($A470,Output_Mac!$A:$A,Output_Mac!H:H,""),
_xlpm.MyAuditVal,_xlfn.XLOOKUP($A470,My_Audit!$A:$A,My_Audit!G:G,""),
_xlfn.IFS(_xlpm.MyAuditVal&lt;&gt;"",_xlpm.MyAuditVal,_xlpm.MacVal&lt;&gt;"",_xlpm.MacVal,_xlpm.CSVVal&lt;&gt;"",_xlpm.CSVVal
)),"")</f>
        <v/>
      </c>
      <c r="I470" s="2" t="str">
        <f>_xlfn.XLOOKUP(A470,Output_Mac!A:A,Output_Mac!I:I,"")</f>
        <v/>
      </c>
      <c r="J470" s="2" t="str" cm="1">
        <f t="array" ref="J470">IFERROR(_xlfn.LET(
_xlpm.CSVVal,_xlfn.XLOOKUP($A470,CSV!$A:$A,CSV!I:I,""),
_xlpm.MacVal,_xlfn.XLOOKUP($A470,Output_Mac!$A:$A,Output_Mac!J:J,""),
_xlpm.MyAuditVal,_xlfn.XLOOKUP($A470,My_Audit!$A:$A,My_Audit!I:I,""),
_xlfn.IFS(_xlpm.MyAuditVal&lt;&gt;"",UPPER(_xlpm.MyAuditVal),_xlpm.MacVal&lt;&gt;"",_xlpm.MacVal,_xlpm.CSVVal&lt;&gt;"",_xlpm.CSVVal
)),"")</f>
        <v/>
      </c>
      <c r="K470" s="2" t="str" cm="1">
        <f t="array" ref="K470">IFERROR(_xlfn.LET(
_xlpm.CSVVal,_xlfn.XLOOKUP($A470,CSV!$A:$A,CSV!K:K,""),
_xlpm.MacVal,_xlfn.XLOOKUP($A470,Output_Mac!$A:$A,Output_Mac!K:K,""),
_xlpm.MyAuditVal,_xlfn.XLOOKUP($A470,My_Audit!$A:$A,My_Audit!J:J,""),
_xlfn.IFS(_xlpm.MyAuditVal&lt;&gt;"",UPPER(_xlpm.MyAuditVal),_xlpm.MacVal&lt;&gt;"",_xlpm.MacVal,_xlpm.CSVVal&lt;&gt;"",_xlpm.CSVVal
)),"")</f>
        <v/>
      </c>
      <c r="L470" s="2" t="str" cm="1">
        <f t="array" ref="L470">IFERROR(_xlfn.LET(
_xlpm.CSVVal,_xlfn.XLOOKUP($A470,CSV!$A:$A,CSV!P:P,""),
_xlpm.MacVal,_xlfn.XLOOKUP($A470,Output_Mac!$A:$A,Output_Mac!L:L,""),
_xlpm.MyAuditVal,_xlfn.XLOOKUP($A470,My_Audit!$A:$A,My_Audit!K:K,""),
_xlfn.IFS(_xlpm.MyAuditVal&lt;&gt;"",UPPER(_xlpm.MyAuditVal),_xlpm.MacVal&lt;&gt;"",_xlpm.MacVal,_xlpm.CSVVal&lt;&gt;"",_xlpm.CSVVal
)),"")</f>
        <v/>
      </c>
      <c r="M470" s="2" t="str" cm="1">
        <f t="array" ref="M470">IFERROR(_xlfn.LET(
_xlpm.CSVVal,_xlfn.XLOOKUP($A470,CSV!$A:$A,CSV!Q:Q,""),
_xlpm.MacVal,_xlfn.XLOOKUP($A470,Output_Mac!$A:$A,Output_Mac!M:M,""),
_xlpm.MyAuditVal,_xlfn.XLOOKUP($A470,My_Audit!$A:$A,My_Audit!L:L,""),
_xlfn.IFS(_xlpm.MyAuditVal&lt;&gt;"",UPPER(_xlpm.MyAuditVal),_xlpm.MacVal&lt;&gt;"",_xlpm.MacVal,_xlpm.CSVVal&lt;&gt;"",_xlpm.CSVVal
)),"")</f>
        <v/>
      </c>
      <c r="O470" s="2" t="str">
        <f>_xlfn.LET(
    _xlpm.CSVVal, _xlfn.XLOOKUP($A470, CSV!$A:$A, CSV!AF:AF, ""),
    _xlpm.MacVal, _xlfn.XLOOKUP($A470, Output_Mac!$A:$A, Output_Mac!S:S, ""),
    _xlpm.MyAuditVal, _xlfn.XLOOKUP($A470, My_Audit!$A:$A, My_Audit!P:P, ""),
    _xlfn.TEXTJOIN(", ", TRUE, _xlpm.MyAuditVal, _xlpm.MacVal, _xlpm.CSVVal)
)</f>
        <v/>
      </c>
      <c r="P470" s="2" t="str" cm="1">
        <f t="array" ref="P470">IFERROR(_xlfn.LET(
_xlpm.CSVVal,_xlfn.XLOOKUP($A470,CSV!$A:$A,CSV!AG:AG,""),
_xlpm.MacVal,_xlfn.XLOOKUP($A470,Output_Mac!$A:$A,Output_Mac!T:T,""),
_xlpm.MyAuditVal,_xlfn.XLOOKUP($A470,My_Audit!$A:$A,My_Audit!Q:Q,""),
_xlfn.IFS(_xlpm.MyAuditVal&lt;&gt;"",UPPER(_xlpm.MyAuditVal),_xlpm.MacVal&lt;&gt;"",_xlpm.MacVal,_xlpm.CSVVal&lt;&gt;"",_xlpm.CSVVal
)),"No")</f>
        <v>No</v>
      </c>
      <c r="Q470" s="2" t="str" cm="1">
        <f t="array" ref="Q470">IFERROR(_xlfn.LET(
_xlpm.CSVVal,_xlfn.XLOOKUP($A470,CSV!$A:$A,CSV!AH:AH,""),
_xlpm.MacVal,_xlfn.XLOOKUP($A470,Output_Mac!$A:$A,Output_Mac!U:U,""),
_xlpm.MyAuditVal,_xlfn.XLOOKUP($A470,My_Audit!$A:$A,My_Audit!R:R,""),
_xlfn.IFS(_xlpm.MyAuditVal&lt;&gt;"",UPPER(_xlpm.MyAuditVal),_xlpm.MacVal&lt;&gt;"",_xlpm.MacVal,_xlpm.CSVVal&lt;&gt;"",_xlpm.CSVVal
)),"")</f>
        <v/>
      </c>
    </row>
    <row r="471" spans="1:17">
      <c r="A471" s="2" t="str">
        <f>_xlfn.TEXTJOIN("",TRUE,Input!$B$2,ROW(My_Audit!A470))</f>
        <v>XX470</v>
      </c>
      <c r="B471" s="2" t="str">
        <f>_xlfn.TEXTJOIN("-",TRUE,"ITD",Input!$A$2,A471)</f>
        <v>ITD-SHRXXX-XX470</v>
      </c>
      <c r="C471" s="2" t="str" cm="1">
        <f t="array" ref="C471">IFERROR(_xlfn.LET(
_xlpm.CSVVal,_xlfn.XLOOKUP($A471,CSV!$A:$A,CSV!B:B,""),
_xlpm.MacVal,_xlfn.XLOOKUP($A471,Output_Mac!$A:$A,Output_Mac!B:B,""),
_xlpm.MyAuditVal,_xlfn.XLOOKUP($A471,My_Audit!$A:$A,My_Audit!B:B,""),
_xlfn.IFS(_xlpm.MyAuditVal&lt;&gt;"",UPPER(_xlpm.MyAuditVal),_xlpm.MacVal&lt;&gt;"",_xlpm.MacVal,_xlpm.CSVVal&lt;&gt;"",_xlpm.CSVVal
)),"")</f>
        <v/>
      </c>
      <c r="D471" s="2" t="str" cm="1">
        <f t="array" ref="D471">IFERROR(_xlfn.LET(
_xlpm.CSVVal,_xlfn.XLOOKUP($A471,CSV!$A:$A,CSV!D:D,""),
_xlpm.MacVal,_xlfn.XLOOKUP($A471,Output_Mac!$A:$A,Output_Mac!C:C,""),
_xlpm.MyAuditVal,_xlfn.XLOOKUP($A471,My_Audit!$A:$A,My_Audit!C:C,""),
_xlfn.IFS(_xlpm.MyAuditVal&lt;&gt;"",_xlpm.MyAuditVal,_xlpm.MacVal&lt;&gt;"",_xlpm.MacVal,_xlpm.CSVVal&lt;&gt;"",_xlpm.CSVVal
)),"")</f>
        <v/>
      </c>
      <c r="E471" s="2" t="str">
        <f>_xlfn.XLOOKUP(A471,My_Audit!A:A,My_Audit!D:D,"")&amp;""</f>
        <v/>
      </c>
      <c r="F471" s="2" t="str" cm="1">
        <f t="array" ref="F471">IFERROR(_xlfn.LET(
_xlpm.CSVVal,_xlfn.XLOOKUP($A471,CSV!$A:$A,CSV!F:F,""),
_xlpm.MacVal,_xlfn.XLOOKUP($A471,Output_Mac!$A:$A,Output_Mac!E:E,""),
_xlpm.MyAuditVal,_xlfn.XLOOKUP($A471,My_Audit!$A:$A,My_Audit!E:E,""),
_xlfn.IFS(_xlpm.MyAuditVal&lt;&gt;"",_xlpm.MyAuditVal,_xlpm.MacVal&lt;&gt;"",_xlpm.MacVal,_xlpm.CSVVal&lt;&gt;"",_xlpm.CSVVal
)),"")</f>
        <v/>
      </c>
      <c r="G471" s="2" t="str" cm="1">
        <f t="array" ref="G471">IFERROR(_xlfn.LET(
_xlpm.CSVVal,_xlfn.XLOOKUP($A471,CSV!$A:$A,CSV!G:G,""),
_xlpm.MacVal,_xlfn.XLOOKUP($A471,Output_Mac!$A:$A,Output_Mac!F:F,""),
_xlpm.MyAuditVal,_xlfn.XLOOKUP($A471,My_Audit!$A:$A,My_Audit!F:F,""),
_xlfn.IFS(_xlpm.MyAuditVal&lt;&gt;"",_xlpm.MyAuditVal,_xlpm.MacVal&lt;&gt;"",_xlpm.MacVal,_xlpm.CSVVal&lt;&gt;"",PROPER(_xlpm.CSVVal)
)),"")</f>
        <v/>
      </c>
      <c r="H471" s="2" t="str" cm="1">
        <f t="array" ref="H471">IFERROR(_xlfn.LET(
_xlpm.CSVVal,_xlfn.XLOOKUP($A471,CSV!$A:$A,CSV!H:H,""),
_xlpm.MacVal,_xlfn.XLOOKUP($A471,Output_Mac!$A:$A,Output_Mac!H:H,""),
_xlpm.MyAuditVal,_xlfn.XLOOKUP($A471,My_Audit!$A:$A,My_Audit!G:G,""),
_xlfn.IFS(_xlpm.MyAuditVal&lt;&gt;"",_xlpm.MyAuditVal,_xlpm.MacVal&lt;&gt;"",_xlpm.MacVal,_xlpm.CSVVal&lt;&gt;"",_xlpm.CSVVal
)),"")</f>
        <v/>
      </c>
      <c r="I471" s="2" t="str">
        <f>_xlfn.XLOOKUP(A471,Output_Mac!A:A,Output_Mac!I:I,"")</f>
        <v/>
      </c>
      <c r="J471" s="2" t="str" cm="1">
        <f t="array" ref="J471">IFERROR(_xlfn.LET(
_xlpm.CSVVal,_xlfn.XLOOKUP($A471,CSV!$A:$A,CSV!I:I,""),
_xlpm.MacVal,_xlfn.XLOOKUP($A471,Output_Mac!$A:$A,Output_Mac!J:J,""),
_xlpm.MyAuditVal,_xlfn.XLOOKUP($A471,My_Audit!$A:$A,My_Audit!I:I,""),
_xlfn.IFS(_xlpm.MyAuditVal&lt;&gt;"",UPPER(_xlpm.MyAuditVal),_xlpm.MacVal&lt;&gt;"",_xlpm.MacVal,_xlpm.CSVVal&lt;&gt;"",_xlpm.CSVVal
)),"")</f>
        <v/>
      </c>
      <c r="K471" s="2" t="str" cm="1">
        <f t="array" ref="K471">IFERROR(_xlfn.LET(
_xlpm.CSVVal,_xlfn.XLOOKUP($A471,CSV!$A:$A,CSV!K:K,""),
_xlpm.MacVal,_xlfn.XLOOKUP($A471,Output_Mac!$A:$A,Output_Mac!K:K,""),
_xlpm.MyAuditVal,_xlfn.XLOOKUP($A471,My_Audit!$A:$A,My_Audit!J:J,""),
_xlfn.IFS(_xlpm.MyAuditVal&lt;&gt;"",UPPER(_xlpm.MyAuditVal),_xlpm.MacVal&lt;&gt;"",_xlpm.MacVal,_xlpm.CSVVal&lt;&gt;"",_xlpm.CSVVal
)),"")</f>
        <v/>
      </c>
      <c r="L471" s="2" t="str" cm="1">
        <f t="array" ref="L471">IFERROR(_xlfn.LET(
_xlpm.CSVVal,_xlfn.XLOOKUP($A471,CSV!$A:$A,CSV!P:P,""),
_xlpm.MacVal,_xlfn.XLOOKUP($A471,Output_Mac!$A:$A,Output_Mac!L:L,""),
_xlpm.MyAuditVal,_xlfn.XLOOKUP($A471,My_Audit!$A:$A,My_Audit!K:K,""),
_xlfn.IFS(_xlpm.MyAuditVal&lt;&gt;"",UPPER(_xlpm.MyAuditVal),_xlpm.MacVal&lt;&gt;"",_xlpm.MacVal,_xlpm.CSVVal&lt;&gt;"",_xlpm.CSVVal
)),"")</f>
        <v/>
      </c>
      <c r="M471" s="2" t="str" cm="1">
        <f t="array" ref="M471">IFERROR(_xlfn.LET(
_xlpm.CSVVal,_xlfn.XLOOKUP($A471,CSV!$A:$A,CSV!Q:Q,""),
_xlpm.MacVal,_xlfn.XLOOKUP($A471,Output_Mac!$A:$A,Output_Mac!M:M,""),
_xlpm.MyAuditVal,_xlfn.XLOOKUP($A471,My_Audit!$A:$A,My_Audit!L:L,""),
_xlfn.IFS(_xlpm.MyAuditVal&lt;&gt;"",UPPER(_xlpm.MyAuditVal),_xlpm.MacVal&lt;&gt;"",_xlpm.MacVal,_xlpm.CSVVal&lt;&gt;"",_xlpm.CSVVal
)),"")</f>
        <v/>
      </c>
      <c r="O471" s="2" t="str">
        <f>_xlfn.LET(
    _xlpm.CSVVal, _xlfn.XLOOKUP($A471, CSV!$A:$A, CSV!AF:AF, ""),
    _xlpm.MacVal, _xlfn.XLOOKUP($A471, Output_Mac!$A:$A, Output_Mac!S:S, ""),
    _xlpm.MyAuditVal, _xlfn.XLOOKUP($A471, My_Audit!$A:$A, My_Audit!P:P, ""),
    _xlfn.TEXTJOIN(", ", TRUE, _xlpm.MyAuditVal, _xlpm.MacVal, _xlpm.CSVVal)
)</f>
        <v/>
      </c>
      <c r="P471" s="2" t="str" cm="1">
        <f t="array" ref="P471">IFERROR(_xlfn.LET(
_xlpm.CSVVal,_xlfn.XLOOKUP($A471,CSV!$A:$A,CSV!AG:AG,""),
_xlpm.MacVal,_xlfn.XLOOKUP($A471,Output_Mac!$A:$A,Output_Mac!T:T,""),
_xlpm.MyAuditVal,_xlfn.XLOOKUP($A471,My_Audit!$A:$A,My_Audit!Q:Q,""),
_xlfn.IFS(_xlpm.MyAuditVal&lt;&gt;"",UPPER(_xlpm.MyAuditVal),_xlpm.MacVal&lt;&gt;"",_xlpm.MacVal,_xlpm.CSVVal&lt;&gt;"",_xlpm.CSVVal
)),"No")</f>
        <v>No</v>
      </c>
      <c r="Q471" s="2" t="str" cm="1">
        <f t="array" ref="Q471">IFERROR(_xlfn.LET(
_xlpm.CSVVal,_xlfn.XLOOKUP($A471,CSV!$A:$A,CSV!AH:AH,""),
_xlpm.MacVal,_xlfn.XLOOKUP($A471,Output_Mac!$A:$A,Output_Mac!U:U,""),
_xlpm.MyAuditVal,_xlfn.XLOOKUP($A471,My_Audit!$A:$A,My_Audit!R:R,""),
_xlfn.IFS(_xlpm.MyAuditVal&lt;&gt;"",UPPER(_xlpm.MyAuditVal),_xlpm.MacVal&lt;&gt;"",_xlpm.MacVal,_xlpm.CSVVal&lt;&gt;"",_xlpm.CSVVal
)),"")</f>
        <v/>
      </c>
    </row>
    <row r="472" spans="1:17">
      <c r="A472" s="2" t="str">
        <f>_xlfn.TEXTJOIN("",TRUE,Input!$B$2,ROW(My_Audit!A471))</f>
        <v>XX471</v>
      </c>
      <c r="B472" s="2" t="str">
        <f>_xlfn.TEXTJOIN("-",TRUE,"ITD",Input!$A$2,A472)</f>
        <v>ITD-SHRXXX-XX471</v>
      </c>
      <c r="C472" s="2" t="str" cm="1">
        <f t="array" ref="C472">IFERROR(_xlfn.LET(
_xlpm.CSVVal,_xlfn.XLOOKUP($A472,CSV!$A:$A,CSV!B:B,""),
_xlpm.MacVal,_xlfn.XLOOKUP($A472,Output_Mac!$A:$A,Output_Mac!B:B,""),
_xlpm.MyAuditVal,_xlfn.XLOOKUP($A472,My_Audit!$A:$A,My_Audit!B:B,""),
_xlfn.IFS(_xlpm.MyAuditVal&lt;&gt;"",UPPER(_xlpm.MyAuditVal),_xlpm.MacVal&lt;&gt;"",_xlpm.MacVal,_xlpm.CSVVal&lt;&gt;"",_xlpm.CSVVal
)),"")</f>
        <v/>
      </c>
      <c r="D472" s="2" t="str" cm="1">
        <f t="array" ref="D472">IFERROR(_xlfn.LET(
_xlpm.CSVVal,_xlfn.XLOOKUP($A472,CSV!$A:$A,CSV!D:D,""),
_xlpm.MacVal,_xlfn.XLOOKUP($A472,Output_Mac!$A:$A,Output_Mac!C:C,""),
_xlpm.MyAuditVal,_xlfn.XLOOKUP($A472,My_Audit!$A:$A,My_Audit!C:C,""),
_xlfn.IFS(_xlpm.MyAuditVal&lt;&gt;"",_xlpm.MyAuditVal,_xlpm.MacVal&lt;&gt;"",_xlpm.MacVal,_xlpm.CSVVal&lt;&gt;"",_xlpm.CSVVal
)),"")</f>
        <v/>
      </c>
      <c r="E472" s="2" t="str">
        <f>_xlfn.XLOOKUP(A472,My_Audit!A:A,My_Audit!D:D,"")&amp;""</f>
        <v/>
      </c>
      <c r="F472" s="2" t="str" cm="1">
        <f t="array" ref="F472">IFERROR(_xlfn.LET(
_xlpm.CSVVal,_xlfn.XLOOKUP($A472,CSV!$A:$A,CSV!F:F,""),
_xlpm.MacVal,_xlfn.XLOOKUP($A472,Output_Mac!$A:$A,Output_Mac!E:E,""),
_xlpm.MyAuditVal,_xlfn.XLOOKUP($A472,My_Audit!$A:$A,My_Audit!E:E,""),
_xlfn.IFS(_xlpm.MyAuditVal&lt;&gt;"",_xlpm.MyAuditVal,_xlpm.MacVal&lt;&gt;"",_xlpm.MacVal,_xlpm.CSVVal&lt;&gt;"",_xlpm.CSVVal
)),"")</f>
        <v/>
      </c>
      <c r="G472" s="2" t="str" cm="1">
        <f t="array" ref="G472">IFERROR(_xlfn.LET(
_xlpm.CSVVal,_xlfn.XLOOKUP($A472,CSV!$A:$A,CSV!G:G,""),
_xlpm.MacVal,_xlfn.XLOOKUP($A472,Output_Mac!$A:$A,Output_Mac!F:F,""),
_xlpm.MyAuditVal,_xlfn.XLOOKUP($A472,My_Audit!$A:$A,My_Audit!F:F,""),
_xlfn.IFS(_xlpm.MyAuditVal&lt;&gt;"",_xlpm.MyAuditVal,_xlpm.MacVal&lt;&gt;"",_xlpm.MacVal,_xlpm.CSVVal&lt;&gt;"",PROPER(_xlpm.CSVVal)
)),"")</f>
        <v/>
      </c>
      <c r="H472" s="2" t="str" cm="1">
        <f t="array" ref="H472">IFERROR(_xlfn.LET(
_xlpm.CSVVal,_xlfn.XLOOKUP($A472,CSV!$A:$A,CSV!H:H,""),
_xlpm.MacVal,_xlfn.XLOOKUP($A472,Output_Mac!$A:$A,Output_Mac!H:H,""),
_xlpm.MyAuditVal,_xlfn.XLOOKUP($A472,My_Audit!$A:$A,My_Audit!G:G,""),
_xlfn.IFS(_xlpm.MyAuditVal&lt;&gt;"",_xlpm.MyAuditVal,_xlpm.MacVal&lt;&gt;"",_xlpm.MacVal,_xlpm.CSVVal&lt;&gt;"",_xlpm.CSVVal
)),"")</f>
        <v/>
      </c>
      <c r="I472" s="2" t="str">
        <f>_xlfn.XLOOKUP(A472,Output_Mac!A:A,Output_Mac!I:I,"")</f>
        <v/>
      </c>
      <c r="J472" s="2" t="str" cm="1">
        <f t="array" ref="J472">IFERROR(_xlfn.LET(
_xlpm.CSVVal,_xlfn.XLOOKUP($A472,CSV!$A:$A,CSV!I:I,""),
_xlpm.MacVal,_xlfn.XLOOKUP($A472,Output_Mac!$A:$A,Output_Mac!J:J,""),
_xlpm.MyAuditVal,_xlfn.XLOOKUP($A472,My_Audit!$A:$A,My_Audit!I:I,""),
_xlfn.IFS(_xlpm.MyAuditVal&lt;&gt;"",UPPER(_xlpm.MyAuditVal),_xlpm.MacVal&lt;&gt;"",_xlpm.MacVal,_xlpm.CSVVal&lt;&gt;"",_xlpm.CSVVal
)),"")</f>
        <v/>
      </c>
      <c r="K472" s="2" t="str" cm="1">
        <f t="array" ref="K472">IFERROR(_xlfn.LET(
_xlpm.CSVVal,_xlfn.XLOOKUP($A472,CSV!$A:$A,CSV!K:K,""),
_xlpm.MacVal,_xlfn.XLOOKUP($A472,Output_Mac!$A:$A,Output_Mac!K:K,""),
_xlpm.MyAuditVal,_xlfn.XLOOKUP($A472,My_Audit!$A:$A,My_Audit!J:J,""),
_xlfn.IFS(_xlpm.MyAuditVal&lt;&gt;"",UPPER(_xlpm.MyAuditVal),_xlpm.MacVal&lt;&gt;"",_xlpm.MacVal,_xlpm.CSVVal&lt;&gt;"",_xlpm.CSVVal
)),"")</f>
        <v/>
      </c>
      <c r="L472" s="2" t="str" cm="1">
        <f t="array" ref="L472">IFERROR(_xlfn.LET(
_xlpm.CSVVal,_xlfn.XLOOKUP($A472,CSV!$A:$A,CSV!P:P,""),
_xlpm.MacVal,_xlfn.XLOOKUP($A472,Output_Mac!$A:$A,Output_Mac!L:L,""),
_xlpm.MyAuditVal,_xlfn.XLOOKUP($A472,My_Audit!$A:$A,My_Audit!K:K,""),
_xlfn.IFS(_xlpm.MyAuditVal&lt;&gt;"",UPPER(_xlpm.MyAuditVal),_xlpm.MacVal&lt;&gt;"",_xlpm.MacVal,_xlpm.CSVVal&lt;&gt;"",_xlpm.CSVVal
)),"")</f>
        <v/>
      </c>
      <c r="M472" s="2" t="str" cm="1">
        <f t="array" ref="M472">IFERROR(_xlfn.LET(
_xlpm.CSVVal,_xlfn.XLOOKUP($A472,CSV!$A:$A,CSV!Q:Q,""),
_xlpm.MacVal,_xlfn.XLOOKUP($A472,Output_Mac!$A:$A,Output_Mac!M:M,""),
_xlpm.MyAuditVal,_xlfn.XLOOKUP($A472,My_Audit!$A:$A,My_Audit!L:L,""),
_xlfn.IFS(_xlpm.MyAuditVal&lt;&gt;"",UPPER(_xlpm.MyAuditVal),_xlpm.MacVal&lt;&gt;"",_xlpm.MacVal,_xlpm.CSVVal&lt;&gt;"",_xlpm.CSVVal
)),"")</f>
        <v/>
      </c>
      <c r="O472" s="2" t="str">
        <f>_xlfn.LET(
    _xlpm.CSVVal, _xlfn.XLOOKUP($A472, CSV!$A:$A, CSV!AF:AF, ""),
    _xlpm.MacVal, _xlfn.XLOOKUP($A472, Output_Mac!$A:$A, Output_Mac!S:S, ""),
    _xlpm.MyAuditVal, _xlfn.XLOOKUP($A472, My_Audit!$A:$A, My_Audit!P:P, ""),
    _xlfn.TEXTJOIN(", ", TRUE, _xlpm.MyAuditVal, _xlpm.MacVal, _xlpm.CSVVal)
)</f>
        <v/>
      </c>
      <c r="P472" s="2" t="str" cm="1">
        <f t="array" ref="P472">IFERROR(_xlfn.LET(
_xlpm.CSVVal,_xlfn.XLOOKUP($A472,CSV!$A:$A,CSV!AG:AG,""),
_xlpm.MacVal,_xlfn.XLOOKUP($A472,Output_Mac!$A:$A,Output_Mac!T:T,""),
_xlpm.MyAuditVal,_xlfn.XLOOKUP($A472,My_Audit!$A:$A,My_Audit!Q:Q,""),
_xlfn.IFS(_xlpm.MyAuditVal&lt;&gt;"",UPPER(_xlpm.MyAuditVal),_xlpm.MacVal&lt;&gt;"",_xlpm.MacVal,_xlpm.CSVVal&lt;&gt;"",_xlpm.CSVVal
)),"No")</f>
        <v>No</v>
      </c>
      <c r="Q472" s="2" t="str" cm="1">
        <f t="array" ref="Q472">IFERROR(_xlfn.LET(
_xlpm.CSVVal,_xlfn.XLOOKUP($A472,CSV!$A:$A,CSV!AH:AH,""),
_xlpm.MacVal,_xlfn.XLOOKUP($A472,Output_Mac!$A:$A,Output_Mac!U:U,""),
_xlpm.MyAuditVal,_xlfn.XLOOKUP($A472,My_Audit!$A:$A,My_Audit!R:R,""),
_xlfn.IFS(_xlpm.MyAuditVal&lt;&gt;"",UPPER(_xlpm.MyAuditVal),_xlpm.MacVal&lt;&gt;"",_xlpm.MacVal,_xlpm.CSVVal&lt;&gt;"",_xlpm.CSVVal
)),"")</f>
        <v/>
      </c>
    </row>
    <row r="473" spans="1:17">
      <c r="A473" s="2" t="str">
        <f>_xlfn.TEXTJOIN("",TRUE,Input!$B$2,ROW(My_Audit!A472))</f>
        <v>XX472</v>
      </c>
      <c r="B473" s="2" t="str">
        <f>_xlfn.TEXTJOIN("-",TRUE,"ITD",Input!$A$2,A473)</f>
        <v>ITD-SHRXXX-XX472</v>
      </c>
      <c r="C473" s="2" t="str" cm="1">
        <f t="array" ref="C473">IFERROR(_xlfn.LET(
_xlpm.CSVVal,_xlfn.XLOOKUP($A473,CSV!$A:$A,CSV!B:B,""),
_xlpm.MacVal,_xlfn.XLOOKUP($A473,Output_Mac!$A:$A,Output_Mac!B:B,""),
_xlpm.MyAuditVal,_xlfn.XLOOKUP($A473,My_Audit!$A:$A,My_Audit!B:B,""),
_xlfn.IFS(_xlpm.MyAuditVal&lt;&gt;"",UPPER(_xlpm.MyAuditVal),_xlpm.MacVal&lt;&gt;"",_xlpm.MacVal,_xlpm.CSVVal&lt;&gt;"",_xlpm.CSVVal
)),"")</f>
        <v/>
      </c>
      <c r="D473" s="2" t="str" cm="1">
        <f t="array" ref="D473">IFERROR(_xlfn.LET(
_xlpm.CSVVal,_xlfn.XLOOKUP($A473,CSV!$A:$A,CSV!D:D,""),
_xlpm.MacVal,_xlfn.XLOOKUP($A473,Output_Mac!$A:$A,Output_Mac!C:C,""),
_xlpm.MyAuditVal,_xlfn.XLOOKUP($A473,My_Audit!$A:$A,My_Audit!C:C,""),
_xlfn.IFS(_xlpm.MyAuditVal&lt;&gt;"",_xlpm.MyAuditVal,_xlpm.MacVal&lt;&gt;"",_xlpm.MacVal,_xlpm.CSVVal&lt;&gt;"",_xlpm.CSVVal
)),"")</f>
        <v/>
      </c>
      <c r="E473" s="2" t="str">
        <f>_xlfn.XLOOKUP(A473,My_Audit!A:A,My_Audit!D:D,"")&amp;""</f>
        <v/>
      </c>
      <c r="F473" s="2" t="str" cm="1">
        <f t="array" ref="F473">IFERROR(_xlfn.LET(
_xlpm.CSVVal,_xlfn.XLOOKUP($A473,CSV!$A:$A,CSV!F:F,""),
_xlpm.MacVal,_xlfn.XLOOKUP($A473,Output_Mac!$A:$A,Output_Mac!E:E,""),
_xlpm.MyAuditVal,_xlfn.XLOOKUP($A473,My_Audit!$A:$A,My_Audit!E:E,""),
_xlfn.IFS(_xlpm.MyAuditVal&lt;&gt;"",_xlpm.MyAuditVal,_xlpm.MacVal&lt;&gt;"",_xlpm.MacVal,_xlpm.CSVVal&lt;&gt;"",_xlpm.CSVVal
)),"")</f>
        <v/>
      </c>
      <c r="G473" s="2" t="str" cm="1">
        <f t="array" ref="G473">IFERROR(_xlfn.LET(
_xlpm.CSVVal,_xlfn.XLOOKUP($A473,CSV!$A:$A,CSV!G:G,""),
_xlpm.MacVal,_xlfn.XLOOKUP($A473,Output_Mac!$A:$A,Output_Mac!F:F,""),
_xlpm.MyAuditVal,_xlfn.XLOOKUP($A473,My_Audit!$A:$A,My_Audit!F:F,""),
_xlfn.IFS(_xlpm.MyAuditVal&lt;&gt;"",_xlpm.MyAuditVal,_xlpm.MacVal&lt;&gt;"",_xlpm.MacVal,_xlpm.CSVVal&lt;&gt;"",PROPER(_xlpm.CSVVal)
)),"")</f>
        <v/>
      </c>
      <c r="H473" s="2" t="str" cm="1">
        <f t="array" ref="H473">IFERROR(_xlfn.LET(
_xlpm.CSVVal,_xlfn.XLOOKUP($A473,CSV!$A:$A,CSV!H:H,""),
_xlpm.MacVal,_xlfn.XLOOKUP($A473,Output_Mac!$A:$A,Output_Mac!H:H,""),
_xlpm.MyAuditVal,_xlfn.XLOOKUP($A473,My_Audit!$A:$A,My_Audit!G:G,""),
_xlfn.IFS(_xlpm.MyAuditVal&lt;&gt;"",_xlpm.MyAuditVal,_xlpm.MacVal&lt;&gt;"",_xlpm.MacVal,_xlpm.CSVVal&lt;&gt;"",_xlpm.CSVVal
)),"")</f>
        <v/>
      </c>
      <c r="I473" s="2" t="str">
        <f>_xlfn.XLOOKUP(A473,Output_Mac!A:A,Output_Mac!I:I,"")</f>
        <v/>
      </c>
      <c r="J473" s="2" t="str" cm="1">
        <f t="array" ref="J473">IFERROR(_xlfn.LET(
_xlpm.CSVVal,_xlfn.XLOOKUP($A473,CSV!$A:$A,CSV!I:I,""),
_xlpm.MacVal,_xlfn.XLOOKUP($A473,Output_Mac!$A:$A,Output_Mac!J:J,""),
_xlpm.MyAuditVal,_xlfn.XLOOKUP($A473,My_Audit!$A:$A,My_Audit!I:I,""),
_xlfn.IFS(_xlpm.MyAuditVal&lt;&gt;"",UPPER(_xlpm.MyAuditVal),_xlpm.MacVal&lt;&gt;"",_xlpm.MacVal,_xlpm.CSVVal&lt;&gt;"",_xlpm.CSVVal
)),"")</f>
        <v/>
      </c>
      <c r="K473" s="2" t="str" cm="1">
        <f t="array" ref="K473">IFERROR(_xlfn.LET(
_xlpm.CSVVal,_xlfn.XLOOKUP($A473,CSV!$A:$A,CSV!K:K,""),
_xlpm.MacVal,_xlfn.XLOOKUP($A473,Output_Mac!$A:$A,Output_Mac!K:K,""),
_xlpm.MyAuditVal,_xlfn.XLOOKUP($A473,My_Audit!$A:$A,My_Audit!J:J,""),
_xlfn.IFS(_xlpm.MyAuditVal&lt;&gt;"",UPPER(_xlpm.MyAuditVal),_xlpm.MacVal&lt;&gt;"",_xlpm.MacVal,_xlpm.CSVVal&lt;&gt;"",_xlpm.CSVVal
)),"")</f>
        <v/>
      </c>
      <c r="L473" s="2" t="str" cm="1">
        <f t="array" ref="L473">IFERROR(_xlfn.LET(
_xlpm.CSVVal,_xlfn.XLOOKUP($A473,CSV!$A:$A,CSV!P:P,""),
_xlpm.MacVal,_xlfn.XLOOKUP($A473,Output_Mac!$A:$A,Output_Mac!L:L,""),
_xlpm.MyAuditVal,_xlfn.XLOOKUP($A473,My_Audit!$A:$A,My_Audit!K:K,""),
_xlfn.IFS(_xlpm.MyAuditVal&lt;&gt;"",UPPER(_xlpm.MyAuditVal),_xlpm.MacVal&lt;&gt;"",_xlpm.MacVal,_xlpm.CSVVal&lt;&gt;"",_xlpm.CSVVal
)),"")</f>
        <v/>
      </c>
      <c r="M473" s="2" t="str" cm="1">
        <f t="array" ref="M473">IFERROR(_xlfn.LET(
_xlpm.CSVVal,_xlfn.XLOOKUP($A473,CSV!$A:$A,CSV!Q:Q,""),
_xlpm.MacVal,_xlfn.XLOOKUP($A473,Output_Mac!$A:$A,Output_Mac!M:M,""),
_xlpm.MyAuditVal,_xlfn.XLOOKUP($A473,My_Audit!$A:$A,My_Audit!L:L,""),
_xlfn.IFS(_xlpm.MyAuditVal&lt;&gt;"",UPPER(_xlpm.MyAuditVal),_xlpm.MacVal&lt;&gt;"",_xlpm.MacVal,_xlpm.CSVVal&lt;&gt;"",_xlpm.CSVVal
)),"")</f>
        <v/>
      </c>
      <c r="O473" s="2" t="str">
        <f>_xlfn.LET(
    _xlpm.CSVVal, _xlfn.XLOOKUP($A473, CSV!$A:$A, CSV!AF:AF, ""),
    _xlpm.MacVal, _xlfn.XLOOKUP($A473, Output_Mac!$A:$A, Output_Mac!S:S, ""),
    _xlpm.MyAuditVal, _xlfn.XLOOKUP($A473, My_Audit!$A:$A, My_Audit!P:P, ""),
    _xlfn.TEXTJOIN(", ", TRUE, _xlpm.MyAuditVal, _xlpm.MacVal, _xlpm.CSVVal)
)</f>
        <v/>
      </c>
      <c r="P473" s="2" t="str" cm="1">
        <f t="array" ref="P473">IFERROR(_xlfn.LET(
_xlpm.CSVVal,_xlfn.XLOOKUP($A473,CSV!$A:$A,CSV!AG:AG,""),
_xlpm.MacVal,_xlfn.XLOOKUP($A473,Output_Mac!$A:$A,Output_Mac!T:T,""),
_xlpm.MyAuditVal,_xlfn.XLOOKUP($A473,My_Audit!$A:$A,My_Audit!Q:Q,""),
_xlfn.IFS(_xlpm.MyAuditVal&lt;&gt;"",UPPER(_xlpm.MyAuditVal),_xlpm.MacVal&lt;&gt;"",_xlpm.MacVal,_xlpm.CSVVal&lt;&gt;"",_xlpm.CSVVal
)),"No")</f>
        <v>No</v>
      </c>
      <c r="Q473" s="2" t="str" cm="1">
        <f t="array" ref="Q473">IFERROR(_xlfn.LET(
_xlpm.CSVVal,_xlfn.XLOOKUP($A473,CSV!$A:$A,CSV!AH:AH,""),
_xlpm.MacVal,_xlfn.XLOOKUP($A473,Output_Mac!$A:$A,Output_Mac!U:U,""),
_xlpm.MyAuditVal,_xlfn.XLOOKUP($A473,My_Audit!$A:$A,My_Audit!R:R,""),
_xlfn.IFS(_xlpm.MyAuditVal&lt;&gt;"",UPPER(_xlpm.MyAuditVal),_xlpm.MacVal&lt;&gt;"",_xlpm.MacVal,_xlpm.CSVVal&lt;&gt;"",_xlpm.CSVVal
)),"")</f>
        <v/>
      </c>
    </row>
    <row r="474" spans="1:17">
      <c r="A474" s="2" t="str">
        <f>_xlfn.TEXTJOIN("",TRUE,Input!$B$2,ROW(My_Audit!A473))</f>
        <v>XX473</v>
      </c>
      <c r="B474" s="2" t="str">
        <f>_xlfn.TEXTJOIN("-",TRUE,"ITD",Input!$A$2,A474)</f>
        <v>ITD-SHRXXX-XX473</v>
      </c>
      <c r="C474" s="2" t="str" cm="1">
        <f t="array" ref="C474">IFERROR(_xlfn.LET(
_xlpm.CSVVal,_xlfn.XLOOKUP($A474,CSV!$A:$A,CSV!B:B,""),
_xlpm.MacVal,_xlfn.XLOOKUP($A474,Output_Mac!$A:$A,Output_Mac!B:B,""),
_xlpm.MyAuditVal,_xlfn.XLOOKUP($A474,My_Audit!$A:$A,My_Audit!B:B,""),
_xlfn.IFS(_xlpm.MyAuditVal&lt;&gt;"",UPPER(_xlpm.MyAuditVal),_xlpm.MacVal&lt;&gt;"",_xlpm.MacVal,_xlpm.CSVVal&lt;&gt;"",_xlpm.CSVVal
)),"")</f>
        <v/>
      </c>
      <c r="D474" s="2" t="str" cm="1">
        <f t="array" ref="D474">IFERROR(_xlfn.LET(
_xlpm.CSVVal,_xlfn.XLOOKUP($A474,CSV!$A:$A,CSV!D:D,""),
_xlpm.MacVal,_xlfn.XLOOKUP($A474,Output_Mac!$A:$A,Output_Mac!C:C,""),
_xlpm.MyAuditVal,_xlfn.XLOOKUP($A474,My_Audit!$A:$A,My_Audit!C:C,""),
_xlfn.IFS(_xlpm.MyAuditVal&lt;&gt;"",_xlpm.MyAuditVal,_xlpm.MacVal&lt;&gt;"",_xlpm.MacVal,_xlpm.CSVVal&lt;&gt;"",_xlpm.CSVVal
)),"")</f>
        <v/>
      </c>
      <c r="E474" s="2" t="str">
        <f>_xlfn.XLOOKUP(A474,My_Audit!A:A,My_Audit!D:D,"")&amp;""</f>
        <v/>
      </c>
      <c r="F474" s="2" t="str" cm="1">
        <f t="array" ref="F474">IFERROR(_xlfn.LET(
_xlpm.CSVVal,_xlfn.XLOOKUP($A474,CSV!$A:$A,CSV!F:F,""),
_xlpm.MacVal,_xlfn.XLOOKUP($A474,Output_Mac!$A:$A,Output_Mac!E:E,""),
_xlpm.MyAuditVal,_xlfn.XLOOKUP($A474,My_Audit!$A:$A,My_Audit!E:E,""),
_xlfn.IFS(_xlpm.MyAuditVal&lt;&gt;"",_xlpm.MyAuditVal,_xlpm.MacVal&lt;&gt;"",_xlpm.MacVal,_xlpm.CSVVal&lt;&gt;"",_xlpm.CSVVal
)),"")</f>
        <v/>
      </c>
      <c r="G474" s="2" t="str" cm="1">
        <f t="array" ref="G474">IFERROR(_xlfn.LET(
_xlpm.CSVVal,_xlfn.XLOOKUP($A474,CSV!$A:$A,CSV!G:G,""),
_xlpm.MacVal,_xlfn.XLOOKUP($A474,Output_Mac!$A:$A,Output_Mac!F:F,""),
_xlpm.MyAuditVal,_xlfn.XLOOKUP($A474,My_Audit!$A:$A,My_Audit!F:F,""),
_xlfn.IFS(_xlpm.MyAuditVal&lt;&gt;"",_xlpm.MyAuditVal,_xlpm.MacVal&lt;&gt;"",_xlpm.MacVal,_xlpm.CSVVal&lt;&gt;"",PROPER(_xlpm.CSVVal)
)),"")</f>
        <v/>
      </c>
      <c r="H474" s="2" t="str" cm="1">
        <f t="array" ref="H474">IFERROR(_xlfn.LET(
_xlpm.CSVVal,_xlfn.XLOOKUP($A474,CSV!$A:$A,CSV!H:H,""),
_xlpm.MacVal,_xlfn.XLOOKUP($A474,Output_Mac!$A:$A,Output_Mac!H:H,""),
_xlpm.MyAuditVal,_xlfn.XLOOKUP($A474,My_Audit!$A:$A,My_Audit!G:G,""),
_xlfn.IFS(_xlpm.MyAuditVal&lt;&gt;"",_xlpm.MyAuditVal,_xlpm.MacVal&lt;&gt;"",_xlpm.MacVal,_xlpm.CSVVal&lt;&gt;"",_xlpm.CSVVal
)),"")</f>
        <v/>
      </c>
      <c r="I474" s="2" t="str">
        <f>_xlfn.XLOOKUP(A474,Output_Mac!A:A,Output_Mac!I:I,"")</f>
        <v/>
      </c>
      <c r="J474" s="2" t="str" cm="1">
        <f t="array" ref="J474">IFERROR(_xlfn.LET(
_xlpm.CSVVal,_xlfn.XLOOKUP($A474,CSV!$A:$A,CSV!I:I,""),
_xlpm.MacVal,_xlfn.XLOOKUP($A474,Output_Mac!$A:$A,Output_Mac!J:J,""),
_xlpm.MyAuditVal,_xlfn.XLOOKUP($A474,My_Audit!$A:$A,My_Audit!I:I,""),
_xlfn.IFS(_xlpm.MyAuditVal&lt;&gt;"",UPPER(_xlpm.MyAuditVal),_xlpm.MacVal&lt;&gt;"",_xlpm.MacVal,_xlpm.CSVVal&lt;&gt;"",_xlpm.CSVVal
)),"")</f>
        <v/>
      </c>
      <c r="K474" s="2" t="str" cm="1">
        <f t="array" ref="K474">IFERROR(_xlfn.LET(
_xlpm.CSVVal,_xlfn.XLOOKUP($A474,CSV!$A:$A,CSV!K:K,""),
_xlpm.MacVal,_xlfn.XLOOKUP($A474,Output_Mac!$A:$A,Output_Mac!K:K,""),
_xlpm.MyAuditVal,_xlfn.XLOOKUP($A474,My_Audit!$A:$A,My_Audit!J:J,""),
_xlfn.IFS(_xlpm.MyAuditVal&lt;&gt;"",UPPER(_xlpm.MyAuditVal),_xlpm.MacVal&lt;&gt;"",_xlpm.MacVal,_xlpm.CSVVal&lt;&gt;"",_xlpm.CSVVal
)),"")</f>
        <v/>
      </c>
      <c r="L474" s="2" t="str" cm="1">
        <f t="array" ref="L474">IFERROR(_xlfn.LET(
_xlpm.CSVVal,_xlfn.XLOOKUP($A474,CSV!$A:$A,CSV!P:P,""),
_xlpm.MacVal,_xlfn.XLOOKUP($A474,Output_Mac!$A:$A,Output_Mac!L:L,""),
_xlpm.MyAuditVal,_xlfn.XLOOKUP($A474,My_Audit!$A:$A,My_Audit!K:K,""),
_xlfn.IFS(_xlpm.MyAuditVal&lt;&gt;"",UPPER(_xlpm.MyAuditVal),_xlpm.MacVal&lt;&gt;"",_xlpm.MacVal,_xlpm.CSVVal&lt;&gt;"",_xlpm.CSVVal
)),"")</f>
        <v/>
      </c>
      <c r="M474" s="2" t="str" cm="1">
        <f t="array" ref="M474">IFERROR(_xlfn.LET(
_xlpm.CSVVal,_xlfn.XLOOKUP($A474,CSV!$A:$A,CSV!Q:Q,""),
_xlpm.MacVal,_xlfn.XLOOKUP($A474,Output_Mac!$A:$A,Output_Mac!M:M,""),
_xlpm.MyAuditVal,_xlfn.XLOOKUP($A474,My_Audit!$A:$A,My_Audit!L:L,""),
_xlfn.IFS(_xlpm.MyAuditVal&lt;&gt;"",UPPER(_xlpm.MyAuditVal),_xlpm.MacVal&lt;&gt;"",_xlpm.MacVal,_xlpm.CSVVal&lt;&gt;"",_xlpm.CSVVal
)),"")</f>
        <v/>
      </c>
      <c r="O474" s="2" t="str">
        <f>_xlfn.LET(
    _xlpm.CSVVal, _xlfn.XLOOKUP($A474, CSV!$A:$A, CSV!AF:AF, ""),
    _xlpm.MacVal, _xlfn.XLOOKUP($A474, Output_Mac!$A:$A, Output_Mac!S:S, ""),
    _xlpm.MyAuditVal, _xlfn.XLOOKUP($A474, My_Audit!$A:$A, My_Audit!P:P, ""),
    _xlfn.TEXTJOIN(", ", TRUE, _xlpm.MyAuditVal, _xlpm.MacVal, _xlpm.CSVVal)
)</f>
        <v/>
      </c>
      <c r="P474" s="2" t="str" cm="1">
        <f t="array" ref="P474">IFERROR(_xlfn.LET(
_xlpm.CSVVal,_xlfn.XLOOKUP($A474,CSV!$A:$A,CSV!AG:AG,""),
_xlpm.MacVal,_xlfn.XLOOKUP($A474,Output_Mac!$A:$A,Output_Mac!T:T,""),
_xlpm.MyAuditVal,_xlfn.XLOOKUP($A474,My_Audit!$A:$A,My_Audit!Q:Q,""),
_xlfn.IFS(_xlpm.MyAuditVal&lt;&gt;"",UPPER(_xlpm.MyAuditVal),_xlpm.MacVal&lt;&gt;"",_xlpm.MacVal,_xlpm.CSVVal&lt;&gt;"",_xlpm.CSVVal
)),"No")</f>
        <v>No</v>
      </c>
      <c r="Q474" s="2" t="str" cm="1">
        <f t="array" ref="Q474">IFERROR(_xlfn.LET(
_xlpm.CSVVal,_xlfn.XLOOKUP($A474,CSV!$A:$A,CSV!AH:AH,""),
_xlpm.MacVal,_xlfn.XLOOKUP($A474,Output_Mac!$A:$A,Output_Mac!U:U,""),
_xlpm.MyAuditVal,_xlfn.XLOOKUP($A474,My_Audit!$A:$A,My_Audit!R:R,""),
_xlfn.IFS(_xlpm.MyAuditVal&lt;&gt;"",UPPER(_xlpm.MyAuditVal),_xlpm.MacVal&lt;&gt;"",_xlpm.MacVal,_xlpm.CSVVal&lt;&gt;"",_xlpm.CSVVal
)),"")</f>
        <v/>
      </c>
    </row>
    <row r="475" spans="1:17">
      <c r="A475" s="2" t="str">
        <f>_xlfn.TEXTJOIN("",TRUE,Input!$B$2,ROW(My_Audit!A474))</f>
        <v>XX474</v>
      </c>
      <c r="B475" s="2" t="str">
        <f>_xlfn.TEXTJOIN("-",TRUE,"ITD",Input!$A$2,A475)</f>
        <v>ITD-SHRXXX-XX474</v>
      </c>
      <c r="C475" s="2" t="str" cm="1">
        <f t="array" ref="C475">IFERROR(_xlfn.LET(
_xlpm.CSVVal,_xlfn.XLOOKUP($A475,CSV!$A:$A,CSV!B:B,""),
_xlpm.MacVal,_xlfn.XLOOKUP($A475,Output_Mac!$A:$A,Output_Mac!B:B,""),
_xlpm.MyAuditVal,_xlfn.XLOOKUP($A475,My_Audit!$A:$A,My_Audit!B:B,""),
_xlfn.IFS(_xlpm.MyAuditVal&lt;&gt;"",UPPER(_xlpm.MyAuditVal),_xlpm.MacVal&lt;&gt;"",_xlpm.MacVal,_xlpm.CSVVal&lt;&gt;"",_xlpm.CSVVal
)),"")</f>
        <v/>
      </c>
      <c r="D475" s="2" t="str" cm="1">
        <f t="array" ref="D475">IFERROR(_xlfn.LET(
_xlpm.CSVVal,_xlfn.XLOOKUP($A475,CSV!$A:$A,CSV!D:D,""),
_xlpm.MacVal,_xlfn.XLOOKUP($A475,Output_Mac!$A:$A,Output_Mac!C:C,""),
_xlpm.MyAuditVal,_xlfn.XLOOKUP($A475,My_Audit!$A:$A,My_Audit!C:C,""),
_xlfn.IFS(_xlpm.MyAuditVal&lt;&gt;"",_xlpm.MyAuditVal,_xlpm.MacVal&lt;&gt;"",_xlpm.MacVal,_xlpm.CSVVal&lt;&gt;"",_xlpm.CSVVal
)),"")</f>
        <v/>
      </c>
      <c r="E475" s="2" t="str">
        <f>_xlfn.XLOOKUP(A475,My_Audit!A:A,My_Audit!D:D,"")&amp;""</f>
        <v/>
      </c>
      <c r="F475" s="2" t="str" cm="1">
        <f t="array" ref="F475">IFERROR(_xlfn.LET(
_xlpm.CSVVal,_xlfn.XLOOKUP($A475,CSV!$A:$A,CSV!F:F,""),
_xlpm.MacVal,_xlfn.XLOOKUP($A475,Output_Mac!$A:$A,Output_Mac!E:E,""),
_xlpm.MyAuditVal,_xlfn.XLOOKUP($A475,My_Audit!$A:$A,My_Audit!E:E,""),
_xlfn.IFS(_xlpm.MyAuditVal&lt;&gt;"",_xlpm.MyAuditVal,_xlpm.MacVal&lt;&gt;"",_xlpm.MacVal,_xlpm.CSVVal&lt;&gt;"",_xlpm.CSVVal
)),"")</f>
        <v/>
      </c>
      <c r="G475" s="2" t="str" cm="1">
        <f t="array" ref="G475">IFERROR(_xlfn.LET(
_xlpm.CSVVal,_xlfn.XLOOKUP($A475,CSV!$A:$A,CSV!G:G,""),
_xlpm.MacVal,_xlfn.XLOOKUP($A475,Output_Mac!$A:$A,Output_Mac!F:F,""),
_xlpm.MyAuditVal,_xlfn.XLOOKUP($A475,My_Audit!$A:$A,My_Audit!F:F,""),
_xlfn.IFS(_xlpm.MyAuditVal&lt;&gt;"",_xlpm.MyAuditVal,_xlpm.MacVal&lt;&gt;"",_xlpm.MacVal,_xlpm.CSVVal&lt;&gt;"",PROPER(_xlpm.CSVVal)
)),"")</f>
        <v/>
      </c>
      <c r="H475" s="2" t="str" cm="1">
        <f t="array" ref="H475">IFERROR(_xlfn.LET(
_xlpm.CSVVal,_xlfn.XLOOKUP($A475,CSV!$A:$A,CSV!H:H,""),
_xlpm.MacVal,_xlfn.XLOOKUP($A475,Output_Mac!$A:$A,Output_Mac!H:H,""),
_xlpm.MyAuditVal,_xlfn.XLOOKUP($A475,My_Audit!$A:$A,My_Audit!G:G,""),
_xlfn.IFS(_xlpm.MyAuditVal&lt;&gt;"",_xlpm.MyAuditVal,_xlpm.MacVal&lt;&gt;"",_xlpm.MacVal,_xlpm.CSVVal&lt;&gt;"",_xlpm.CSVVal
)),"")</f>
        <v/>
      </c>
      <c r="I475" s="2" t="str">
        <f>_xlfn.XLOOKUP(A475,Output_Mac!A:A,Output_Mac!I:I,"")</f>
        <v/>
      </c>
      <c r="J475" s="2" t="str" cm="1">
        <f t="array" ref="J475">IFERROR(_xlfn.LET(
_xlpm.CSVVal,_xlfn.XLOOKUP($A475,CSV!$A:$A,CSV!I:I,""),
_xlpm.MacVal,_xlfn.XLOOKUP($A475,Output_Mac!$A:$A,Output_Mac!J:J,""),
_xlpm.MyAuditVal,_xlfn.XLOOKUP($A475,My_Audit!$A:$A,My_Audit!I:I,""),
_xlfn.IFS(_xlpm.MyAuditVal&lt;&gt;"",UPPER(_xlpm.MyAuditVal),_xlpm.MacVal&lt;&gt;"",_xlpm.MacVal,_xlpm.CSVVal&lt;&gt;"",_xlpm.CSVVal
)),"")</f>
        <v/>
      </c>
      <c r="K475" s="2" t="str" cm="1">
        <f t="array" ref="K475">IFERROR(_xlfn.LET(
_xlpm.CSVVal,_xlfn.XLOOKUP($A475,CSV!$A:$A,CSV!K:K,""),
_xlpm.MacVal,_xlfn.XLOOKUP($A475,Output_Mac!$A:$A,Output_Mac!K:K,""),
_xlpm.MyAuditVal,_xlfn.XLOOKUP($A475,My_Audit!$A:$A,My_Audit!J:J,""),
_xlfn.IFS(_xlpm.MyAuditVal&lt;&gt;"",UPPER(_xlpm.MyAuditVal),_xlpm.MacVal&lt;&gt;"",_xlpm.MacVal,_xlpm.CSVVal&lt;&gt;"",_xlpm.CSVVal
)),"")</f>
        <v/>
      </c>
      <c r="L475" s="2" t="str" cm="1">
        <f t="array" ref="L475">IFERROR(_xlfn.LET(
_xlpm.CSVVal,_xlfn.XLOOKUP($A475,CSV!$A:$A,CSV!P:P,""),
_xlpm.MacVal,_xlfn.XLOOKUP($A475,Output_Mac!$A:$A,Output_Mac!L:L,""),
_xlpm.MyAuditVal,_xlfn.XLOOKUP($A475,My_Audit!$A:$A,My_Audit!K:K,""),
_xlfn.IFS(_xlpm.MyAuditVal&lt;&gt;"",UPPER(_xlpm.MyAuditVal),_xlpm.MacVal&lt;&gt;"",_xlpm.MacVal,_xlpm.CSVVal&lt;&gt;"",_xlpm.CSVVal
)),"")</f>
        <v/>
      </c>
      <c r="M475" s="2" t="str" cm="1">
        <f t="array" ref="M475">IFERROR(_xlfn.LET(
_xlpm.CSVVal,_xlfn.XLOOKUP($A475,CSV!$A:$A,CSV!Q:Q,""),
_xlpm.MacVal,_xlfn.XLOOKUP($A475,Output_Mac!$A:$A,Output_Mac!M:M,""),
_xlpm.MyAuditVal,_xlfn.XLOOKUP($A475,My_Audit!$A:$A,My_Audit!L:L,""),
_xlfn.IFS(_xlpm.MyAuditVal&lt;&gt;"",UPPER(_xlpm.MyAuditVal),_xlpm.MacVal&lt;&gt;"",_xlpm.MacVal,_xlpm.CSVVal&lt;&gt;"",_xlpm.CSVVal
)),"")</f>
        <v/>
      </c>
      <c r="O475" s="2" t="str">
        <f>_xlfn.LET(
    _xlpm.CSVVal, _xlfn.XLOOKUP($A475, CSV!$A:$A, CSV!AF:AF, ""),
    _xlpm.MacVal, _xlfn.XLOOKUP($A475, Output_Mac!$A:$A, Output_Mac!S:S, ""),
    _xlpm.MyAuditVal, _xlfn.XLOOKUP($A475, My_Audit!$A:$A, My_Audit!P:P, ""),
    _xlfn.TEXTJOIN(", ", TRUE, _xlpm.MyAuditVal, _xlpm.MacVal, _xlpm.CSVVal)
)</f>
        <v/>
      </c>
      <c r="P475" s="2" t="str" cm="1">
        <f t="array" ref="P475">IFERROR(_xlfn.LET(
_xlpm.CSVVal,_xlfn.XLOOKUP($A475,CSV!$A:$A,CSV!AG:AG,""),
_xlpm.MacVal,_xlfn.XLOOKUP($A475,Output_Mac!$A:$A,Output_Mac!T:T,""),
_xlpm.MyAuditVal,_xlfn.XLOOKUP($A475,My_Audit!$A:$A,My_Audit!Q:Q,""),
_xlfn.IFS(_xlpm.MyAuditVal&lt;&gt;"",UPPER(_xlpm.MyAuditVal),_xlpm.MacVal&lt;&gt;"",_xlpm.MacVal,_xlpm.CSVVal&lt;&gt;"",_xlpm.CSVVal
)),"No")</f>
        <v>No</v>
      </c>
      <c r="Q475" s="2" t="str" cm="1">
        <f t="array" ref="Q475">IFERROR(_xlfn.LET(
_xlpm.CSVVal,_xlfn.XLOOKUP($A475,CSV!$A:$A,CSV!AH:AH,""),
_xlpm.MacVal,_xlfn.XLOOKUP($A475,Output_Mac!$A:$A,Output_Mac!U:U,""),
_xlpm.MyAuditVal,_xlfn.XLOOKUP($A475,My_Audit!$A:$A,My_Audit!R:R,""),
_xlfn.IFS(_xlpm.MyAuditVal&lt;&gt;"",UPPER(_xlpm.MyAuditVal),_xlpm.MacVal&lt;&gt;"",_xlpm.MacVal,_xlpm.CSVVal&lt;&gt;"",_xlpm.CSVVal
)),"")</f>
        <v/>
      </c>
    </row>
    <row r="476" spans="1:17">
      <c r="A476" s="2" t="str">
        <f>_xlfn.TEXTJOIN("",TRUE,Input!$B$2,ROW(My_Audit!A475))</f>
        <v>XX475</v>
      </c>
      <c r="B476" s="2" t="str">
        <f>_xlfn.TEXTJOIN("-",TRUE,"ITD",Input!$A$2,A476)</f>
        <v>ITD-SHRXXX-XX475</v>
      </c>
      <c r="C476" s="2" t="str" cm="1">
        <f t="array" ref="C476">IFERROR(_xlfn.LET(
_xlpm.CSVVal,_xlfn.XLOOKUP($A476,CSV!$A:$A,CSV!B:B,""),
_xlpm.MacVal,_xlfn.XLOOKUP($A476,Output_Mac!$A:$A,Output_Mac!B:B,""),
_xlpm.MyAuditVal,_xlfn.XLOOKUP($A476,My_Audit!$A:$A,My_Audit!B:B,""),
_xlfn.IFS(_xlpm.MyAuditVal&lt;&gt;"",UPPER(_xlpm.MyAuditVal),_xlpm.MacVal&lt;&gt;"",_xlpm.MacVal,_xlpm.CSVVal&lt;&gt;"",_xlpm.CSVVal
)),"")</f>
        <v/>
      </c>
      <c r="D476" s="2" t="str" cm="1">
        <f t="array" ref="D476">IFERROR(_xlfn.LET(
_xlpm.CSVVal,_xlfn.XLOOKUP($A476,CSV!$A:$A,CSV!D:D,""),
_xlpm.MacVal,_xlfn.XLOOKUP($A476,Output_Mac!$A:$A,Output_Mac!C:C,""),
_xlpm.MyAuditVal,_xlfn.XLOOKUP($A476,My_Audit!$A:$A,My_Audit!C:C,""),
_xlfn.IFS(_xlpm.MyAuditVal&lt;&gt;"",_xlpm.MyAuditVal,_xlpm.MacVal&lt;&gt;"",_xlpm.MacVal,_xlpm.CSVVal&lt;&gt;"",_xlpm.CSVVal
)),"")</f>
        <v/>
      </c>
      <c r="E476" s="2" t="str">
        <f>_xlfn.XLOOKUP(A476,My_Audit!A:A,My_Audit!D:D,"")&amp;""</f>
        <v/>
      </c>
      <c r="F476" s="2" t="str" cm="1">
        <f t="array" ref="F476">IFERROR(_xlfn.LET(
_xlpm.CSVVal,_xlfn.XLOOKUP($A476,CSV!$A:$A,CSV!F:F,""),
_xlpm.MacVal,_xlfn.XLOOKUP($A476,Output_Mac!$A:$A,Output_Mac!E:E,""),
_xlpm.MyAuditVal,_xlfn.XLOOKUP($A476,My_Audit!$A:$A,My_Audit!E:E,""),
_xlfn.IFS(_xlpm.MyAuditVal&lt;&gt;"",_xlpm.MyAuditVal,_xlpm.MacVal&lt;&gt;"",_xlpm.MacVal,_xlpm.CSVVal&lt;&gt;"",_xlpm.CSVVal
)),"")</f>
        <v/>
      </c>
      <c r="G476" s="2" t="str" cm="1">
        <f t="array" ref="G476">IFERROR(_xlfn.LET(
_xlpm.CSVVal,_xlfn.XLOOKUP($A476,CSV!$A:$A,CSV!G:G,""),
_xlpm.MacVal,_xlfn.XLOOKUP($A476,Output_Mac!$A:$A,Output_Mac!F:F,""),
_xlpm.MyAuditVal,_xlfn.XLOOKUP($A476,My_Audit!$A:$A,My_Audit!F:F,""),
_xlfn.IFS(_xlpm.MyAuditVal&lt;&gt;"",_xlpm.MyAuditVal,_xlpm.MacVal&lt;&gt;"",_xlpm.MacVal,_xlpm.CSVVal&lt;&gt;"",PROPER(_xlpm.CSVVal)
)),"")</f>
        <v/>
      </c>
      <c r="H476" s="2" t="str" cm="1">
        <f t="array" ref="H476">IFERROR(_xlfn.LET(
_xlpm.CSVVal,_xlfn.XLOOKUP($A476,CSV!$A:$A,CSV!H:H,""),
_xlpm.MacVal,_xlfn.XLOOKUP($A476,Output_Mac!$A:$A,Output_Mac!H:H,""),
_xlpm.MyAuditVal,_xlfn.XLOOKUP($A476,My_Audit!$A:$A,My_Audit!G:G,""),
_xlfn.IFS(_xlpm.MyAuditVal&lt;&gt;"",_xlpm.MyAuditVal,_xlpm.MacVal&lt;&gt;"",_xlpm.MacVal,_xlpm.CSVVal&lt;&gt;"",_xlpm.CSVVal
)),"")</f>
        <v/>
      </c>
      <c r="I476" s="2" t="str">
        <f>_xlfn.XLOOKUP(A476,Output_Mac!A:A,Output_Mac!I:I,"")</f>
        <v/>
      </c>
      <c r="J476" s="2" t="str" cm="1">
        <f t="array" ref="J476">IFERROR(_xlfn.LET(
_xlpm.CSVVal,_xlfn.XLOOKUP($A476,CSV!$A:$A,CSV!I:I,""),
_xlpm.MacVal,_xlfn.XLOOKUP($A476,Output_Mac!$A:$A,Output_Mac!J:J,""),
_xlpm.MyAuditVal,_xlfn.XLOOKUP($A476,My_Audit!$A:$A,My_Audit!I:I,""),
_xlfn.IFS(_xlpm.MyAuditVal&lt;&gt;"",UPPER(_xlpm.MyAuditVal),_xlpm.MacVal&lt;&gt;"",_xlpm.MacVal,_xlpm.CSVVal&lt;&gt;"",_xlpm.CSVVal
)),"")</f>
        <v/>
      </c>
      <c r="K476" s="2" t="str" cm="1">
        <f t="array" ref="K476">IFERROR(_xlfn.LET(
_xlpm.CSVVal,_xlfn.XLOOKUP($A476,CSV!$A:$A,CSV!K:K,""),
_xlpm.MacVal,_xlfn.XLOOKUP($A476,Output_Mac!$A:$A,Output_Mac!K:K,""),
_xlpm.MyAuditVal,_xlfn.XLOOKUP($A476,My_Audit!$A:$A,My_Audit!J:J,""),
_xlfn.IFS(_xlpm.MyAuditVal&lt;&gt;"",UPPER(_xlpm.MyAuditVal),_xlpm.MacVal&lt;&gt;"",_xlpm.MacVal,_xlpm.CSVVal&lt;&gt;"",_xlpm.CSVVal
)),"")</f>
        <v/>
      </c>
      <c r="L476" s="2" t="str" cm="1">
        <f t="array" ref="L476">IFERROR(_xlfn.LET(
_xlpm.CSVVal,_xlfn.XLOOKUP($A476,CSV!$A:$A,CSV!P:P,""),
_xlpm.MacVal,_xlfn.XLOOKUP($A476,Output_Mac!$A:$A,Output_Mac!L:L,""),
_xlpm.MyAuditVal,_xlfn.XLOOKUP($A476,My_Audit!$A:$A,My_Audit!K:K,""),
_xlfn.IFS(_xlpm.MyAuditVal&lt;&gt;"",UPPER(_xlpm.MyAuditVal),_xlpm.MacVal&lt;&gt;"",_xlpm.MacVal,_xlpm.CSVVal&lt;&gt;"",_xlpm.CSVVal
)),"")</f>
        <v/>
      </c>
      <c r="M476" s="2" t="str" cm="1">
        <f t="array" ref="M476">IFERROR(_xlfn.LET(
_xlpm.CSVVal,_xlfn.XLOOKUP($A476,CSV!$A:$A,CSV!Q:Q,""),
_xlpm.MacVal,_xlfn.XLOOKUP($A476,Output_Mac!$A:$A,Output_Mac!M:M,""),
_xlpm.MyAuditVal,_xlfn.XLOOKUP($A476,My_Audit!$A:$A,My_Audit!L:L,""),
_xlfn.IFS(_xlpm.MyAuditVal&lt;&gt;"",UPPER(_xlpm.MyAuditVal),_xlpm.MacVal&lt;&gt;"",_xlpm.MacVal,_xlpm.CSVVal&lt;&gt;"",_xlpm.CSVVal
)),"")</f>
        <v/>
      </c>
      <c r="O476" s="2" t="str">
        <f>_xlfn.LET(
    _xlpm.CSVVal, _xlfn.XLOOKUP($A476, CSV!$A:$A, CSV!AF:AF, ""),
    _xlpm.MacVal, _xlfn.XLOOKUP($A476, Output_Mac!$A:$A, Output_Mac!S:S, ""),
    _xlpm.MyAuditVal, _xlfn.XLOOKUP($A476, My_Audit!$A:$A, My_Audit!P:P, ""),
    _xlfn.TEXTJOIN(", ", TRUE, _xlpm.MyAuditVal, _xlpm.MacVal, _xlpm.CSVVal)
)</f>
        <v/>
      </c>
      <c r="P476" s="2" t="str" cm="1">
        <f t="array" ref="P476">IFERROR(_xlfn.LET(
_xlpm.CSVVal,_xlfn.XLOOKUP($A476,CSV!$A:$A,CSV!AG:AG,""),
_xlpm.MacVal,_xlfn.XLOOKUP($A476,Output_Mac!$A:$A,Output_Mac!T:T,""),
_xlpm.MyAuditVal,_xlfn.XLOOKUP($A476,My_Audit!$A:$A,My_Audit!Q:Q,""),
_xlfn.IFS(_xlpm.MyAuditVal&lt;&gt;"",UPPER(_xlpm.MyAuditVal),_xlpm.MacVal&lt;&gt;"",_xlpm.MacVal,_xlpm.CSVVal&lt;&gt;"",_xlpm.CSVVal
)),"No")</f>
        <v>No</v>
      </c>
      <c r="Q476" s="2" t="str" cm="1">
        <f t="array" ref="Q476">IFERROR(_xlfn.LET(
_xlpm.CSVVal,_xlfn.XLOOKUP($A476,CSV!$A:$A,CSV!AH:AH,""),
_xlpm.MacVal,_xlfn.XLOOKUP($A476,Output_Mac!$A:$A,Output_Mac!U:U,""),
_xlpm.MyAuditVal,_xlfn.XLOOKUP($A476,My_Audit!$A:$A,My_Audit!R:R,""),
_xlfn.IFS(_xlpm.MyAuditVal&lt;&gt;"",UPPER(_xlpm.MyAuditVal),_xlpm.MacVal&lt;&gt;"",_xlpm.MacVal,_xlpm.CSVVal&lt;&gt;"",_xlpm.CSVVal
)),"")</f>
        <v/>
      </c>
    </row>
    <row r="477" spans="1:17">
      <c r="A477" s="2" t="str">
        <f>_xlfn.TEXTJOIN("",TRUE,Input!$B$2,ROW(My_Audit!A476))</f>
        <v>XX476</v>
      </c>
      <c r="B477" s="2" t="str">
        <f>_xlfn.TEXTJOIN("-",TRUE,"ITD",Input!$A$2,A477)</f>
        <v>ITD-SHRXXX-XX476</v>
      </c>
      <c r="C477" s="2" t="str" cm="1">
        <f t="array" ref="C477">IFERROR(_xlfn.LET(
_xlpm.CSVVal,_xlfn.XLOOKUP($A477,CSV!$A:$A,CSV!B:B,""),
_xlpm.MacVal,_xlfn.XLOOKUP($A477,Output_Mac!$A:$A,Output_Mac!B:B,""),
_xlpm.MyAuditVal,_xlfn.XLOOKUP($A477,My_Audit!$A:$A,My_Audit!B:B,""),
_xlfn.IFS(_xlpm.MyAuditVal&lt;&gt;"",UPPER(_xlpm.MyAuditVal),_xlpm.MacVal&lt;&gt;"",_xlpm.MacVal,_xlpm.CSVVal&lt;&gt;"",_xlpm.CSVVal
)),"")</f>
        <v/>
      </c>
      <c r="D477" s="2" t="str" cm="1">
        <f t="array" ref="D477">IFERROR(_xlfn.LET(
_xlpm.CSVVal,_xlfn.XLOOKUP($A477,CSV!$A:$A,CSV!D:D,""),
_xlpm.MacVal,_xlfn.XLOOKUP($A477,Output_Mac!$A:$A,Output_Mac!C:C,""),
_xlpm.MyAuditVal,_xlfn.XLOOKUP($A477,My_Audit!$A:$A,My_Audit!C:C,""),
_xlfn.IFS(_xlpm.MyAuditVal&lt;&gt;"",_xlpm.MyAuditVal,_xlpm.MacVal&lt;&gt;"",_xlpm.MacVal,_xlpm.CSVVal&lt;&gt;"",_xlpm.CSVVal
)),"")</f>
        <v/>
      </c>
      <c r="E477" s="2" t="str">
        <f>_xlfn.XLOOKUP(A477,My_Audit!A:A,My_Audit!D:D,"")&amp;""</f>
        <v/>
      </c>
      <c r="F477" s="2" t="str" cm="1">
        <f t="array" ref="F477">IFERROR(_xlfn.LET(
_xlpm.CSVVal,_xlfn.XLOOKUP($A477,CSV!$A:$A,CSV!F:F,""),
_xlpm.MacVal,_xlfn.XLOOKUP($A477,Output_Mac!$A:$A,Output_Mac!E:E,""),
_xlpm.MyAuditVal,_xlfn.XLOOKUP($A477,My_Audit!$A:$A,My_Audit!E:E,""),
_xlfn.IFS(_xlpm.MyAuditVal&lt;&gt;"",_xlpm.MyAuditVal,_xlpm.MacVal&lt;&gt;"",_xlpm.MacVal,_xlpm.CSVVal&lt;&gt;"",_xlpm.CSVVal
)),"")</f>
        <v/>
      </c>
      <c r="G477" s="2" t="str" cm="1">
        <f t="array" ref="G477">IFERROR(_xlfn.LET(
_xlpm.CSVVal,_xlfn.XLOOKUP($A477,CSV!$A:$A,CSV!G:G,""),
_xlpm.MacVal,_xlfn.XLOOKUP($A477,Output_Mac!$A:$A,Output_Mac!F:F,""),
_xlpm.MyAuditVal,_xlfn.XLOOKUP($A477,My_Audit!$A:$A,My_Audit!F:F,""),
_xlfn.IFS(_xlpm.MyAuditVal&lt;&gt;"",_xlpm.MyAuditVal,_xlpm.MacVal&lt;&gt;"",_xlpm.MacVal,_xlpm.CSVVal&lt;&gt;"",PROPER(_xlpm.CSVVal)
)),"")</f>
        <v/>
      </c>
      <c r="H477" s="2" t="str" cm="1">
        <f t="array" ref="H477">IFERROR(_xlfn.LET(
_xlpm.CSVVal,_xlfn.XLOOKUP($A477,CSV!$A:$A,CSV!H:H,""),
_xlpm.MacVal,_xlfn.XLOOKUP($A477,Output_Mac!$A:$A,Output_Mac!H:H,""),
_xlpm.MyAuditVal,_xlfn.XLOOKUP($A477,My_Audit!$A:$A,My_Audit!G:G,""),
_xlfn.IFS(_xlpm.MyAuditVal&lt;&gt;"",_xlpm.MyAuditVal,_xlpm.MacVal&lt;&gt;"",_xlpm.MacVal,_xlpm.CSVVal&lt;&gt;"",_xlpm.CSVVal
)),"")</f>
        <v/>
      </c>
      <c r="I477" s="2" t="str">
        <f>_xlfn.XLOOKUP(A477,Output_Mac!A:A,Output_Mac!I:I,"")</f>
        <v/>
      </c>
      <c r="J477" s="2" t="str" cm="1">
        <f t="array" ref="J477">IFERROR(_xlfn.LET(
_xlpm.CSVVal,_xlfn.XLOOKUP($A477,CSV!$A:$A,CSV!I:I,""),
_xlpm.MacVal,_xlfn.XLOOKUP($A477,Output_Mac!$A:$A,Output_Mac!J:J,""),
_xlpm.MyAuditVal,_xlfn.XLOOKUP($A477,My_Audit!$A:$A,My_Audit!I:I,""),
_xlfn.IFS(_xlpm.MyAuditVal&lt;&gt;"",UPPER(_xlpm.MyAuditVal),_xlpm.MacVal&lt;&gt;"",_xlpm.MacVal,_xlpm.CSVVal&lt;&gt;"",_xlpm.CSVVal
)),"")</f>
        <v/>
      </c>
      <c r="K477" s="2" t="str" cm="1">
        <f t="array" ref="K477">IFERROR(_xlfn.LET(
_xlpm.CSVVal,_xlfn.XLOOKUP($A477,CSV!$A:$A,CSV!K:K,""),
_xlpm.MacVal,_xlfn.XLOOKUP($A477,Output_Mac!$A:$A,Output_Mac!K:K,""),
_xlpm.MyAuditVal,_xlfn.XLOOKUP($A477,My_Audit!$A:$A,My_Audit!J:J,""),
_xlfn.IFS(_xlpm.MyAuditVal&lt;&gt;"",UPPER(_xlpm.MyAuditVal),_xlpm.MacVal&lt;&gt;"",_xlpm.MacVal,_xlpm.CSVVal&lt;&gt;"",_xlpm.CSVVal
)),"")</f>
        <v/>
      </c>
      <c r="L477" s="2" t="str" cm="1">
        <f t="array" ref="L477">IFERROR(_xlfn.LET(
_xlpm.CSVVal,_xlfn.XLOOKUP($A477,CSV!$A:$A,CSV!P:P,""),
_xlpm.MacVal,_xlfn.XLOOKUP($A477,Output_Mac!$A:$A,Output_Mac!L:L,""),
_xlpm.MyAuditVal,_xlfn.XLOOKUP($A477,My_Audit!$A:$A,My_Audit!K:K,""),
_xlfn.IFS(_xlpm.MyAuditVal&lt;&gt;"",UPPER(_xlpm.MyAuditVal),_xlpm.MacVal&lt;&gt;"",_xlpm.MacVal,_xlpm.CSVVal&lt;&gt;"",_xlpm.CSVVal
)),"")</f>
        <v/>
      </c>
      <c r="M477" s="2" t="str" cm="1">
        <f t="array" ref="M477">IFERROR(_xlfn.LET(
_xlpm.CSVVal,_xlfn.XLOOKUP($A477,CSV!$A:$A,CSV!Q:Q,""),
_xlpm.MacVal,_xlfn.XLOOKUP($A477,Output_Mac!$A:$A,Output_Mac!M:M,""),
_xlpm.MyAuditVal,_xlfn.XLOOKUP($A477,My_Audit!$A:$A,My_Audit!L:L,""),
_xlfn.IFS(_xlpm.MyAuditVal&lt;&gt;"",UPPER(_xlpm.MyAuditVal),_xlpm.MacVal&lt;&gt;"",_xlpm.MacVal,_xlpm.CSVVal&lt;&gt;"",_xlpm.CSVVal
)),"")</f>
        <v/>
      </c>
      <c r="O477" s="2" t="str">
        <f>_xlfn.LET(
    _xlpm.CSVVal, _xlfn.XLOOKUP($A477, CSV!$A:$A, CSV!AF:AF, ""),
    _xlpm.MacVal, _xlfn.XLOOKUP($A477, Output_Mac!$A:$A, Output_Mac!S:S, ""),
    _xlpm.MyAuditVal, _xlfn.XLOOKUP($A477, My_Audit!$A:$A, My_Audit!P:P, ""),
    _xlfn.TEXTJOIN(", ", TRUE, _xlpm.MyAuditVal, _xlpm.MacVal, _xlpm.CSVVal)
)</f>
        <v/>
      </c>
      <c r="P477" s="2" t="str" cm="1">
        <f t="array" ref="P477">IFERROR(_xlfn.LET(
_xlpm.CSVVal,_xlfn.XLOOKUP($A477,CSV!$A:$A,CSV!AG:AG,""),
_xlpm.MacVal,_xlfn.XLOOKUP($A477,Output_Mac!$A:$A,Output_Mac!T:T,""),
_xlpm.MyAuditVal,_xlfn.XLOOKUP($A477,My_Audit!$A:$A,My_Audit!Q:Q,""),
_xlfn.IFS(_xlpm.MyAuditVal&lt;&gt;"",UPPER(_xlpm.MyAuditVal),_xlpm.MacVal&lt;&gt;"",_xlpm.MacVal,_xlpm.CSVVal&lt;&gt;"",_xlpm.CSVVal
)),"No")</f>
        <v>No</v>
      </c>
      <c r="Q477" s="2" t="str" cm="1">
        <f t="array" ref="Q477">IFERROR(_xlfn.LET(
_xlpm.CSVVal,_xlfn.XLOOKUP($A477,CSV!$A:$A,CSV!AH:AH,""),
_xlpm.MacVal,_xlfn.XLOOKUP($A477,Output_Mac!$A:$A,Output_Mac!U:U,""),
_xlpm.MyAuditVal,_xlfn.XLOOKUP($A477,My_Audit!$A:$A,My_Audit!R:R,""),
_xlfn.IFS(_xlpm.MyAuditVal&lt;&gt;"",UPPER(_xlpm.MyAuditVal),_xlpm.MacVal&lt;&gt;"",_xlpm.MacVal,_xlpm.CSVVal&lt;&gt;"",_xlpm.CSVVal
)),"")</f>
        <v/>
      </c>
    </row>
    <row r="478" spans="1:17">
      <c r="A478" s="2" t="str">
        <f>_xlfn.TEXTJOIN("",TRUE,Input!$B$2,ROW(My_Audit!A477))</f>
        <v>XX477</v>
      </c>
      <c r="B478" s="2" t="str">
        <f>_xlfn.TEXTJOIN("-",TRUE,"ITD",Input!$A$2,A478)</f>
        <v>ITD-SHRXXX-XX477</v>
      </c>
      <c r="C478" s="2" t="str" cm="1">
        <f t="array" ref="C478">IFERROR(_xlfn.LET(
_xlpm.CSVVal,_xlfn.XLOOKUP($A478,CSV!$A:$A,CSV!B:B,""),
_xlpm.MacVal,_xlfn.XLOOKUP($A478,Output_Mac!$A:$A,Output_Mac!B:B,""),
_xlpm.MyAuditVal,_xlfn.XLOOKUP($A478,My_Audit!$A:$A,My_Audit!B:B,""),
_xlfn.IFS(_xlpm.MyAuditVal&lt;&gt;"",UPPER(_xlpm.MyAuditVal),_xlpm.MacVal&lt;&gt;"",_xlpm.MacVal,_xlpm.CSVVal&lt;&gt;"",_xlpm.CSVVal
)),"")</f>
        <v/>
      </c>
      <c r="D478" s="2" t="str" cm="1">
        <f t="array" ref="D478">IFERROR(_xlfn.LET(
_xlpm.CSVVal,_xlfn.XLOOKUP($A478,CSV!$A:$A,CSV!D:D,""),
_xlpm.MacVal,_xlfn.XLOOKUP($A478,Output_Mac!$A:$A,Output_Mac!C:C,""),
_xlpm.MyAuditVal,_xlfn.XLOOKUP($A478,My_Audit!$A:$A,My_Audit!C:C,""),
_xlfn.IFS(_xlpm.MyAuditVal&lt;&gt;"",_xlpm.MyAuditVal,_xlpm.MacVal&lt;&gt;"",_xlpm.MacVal,_xlpm.CSVVal&lt;&gt;"",_xlpm.CSVVal
)),"")</f>
        <v/>
      </c>
      <c r="E478" s="2" t="str">
        <f>_xlfn.XLOOKUP(A478,My_Audit!A:A,My_Audit!D:D,"")&amp;""</f>
        <v/>
      </c>
      <c r="F478" s="2" t="str" cm="1">
        <f t="array" ref="F478">IFERROR(_xlfn.LET(
_xlpm.CSVVal,_xlfn.XLOOKUP($A478,CSV!$A:$A,CSV!F:F,""),
_xlpm.MacVal,_xlfn.XLOOKUP($A478,Output_Mac!$A:$A,Output_Mac!E:E,""),
_xlpm.MyAuditVal,_xlfn.XLOOKUP($A478,My_Audit!$A:$A,My_Audit!E:E,""),
_xlfn.IFS(_xlpm.MyAuditVal&lt;&gt;"",_xlpm.MyAuditVal,_xlpm.MacVal&lt;&gt;"",_xlpm.MacVal,_xlpm.CSVVal&lt;&gt;"",_xlpm.CSVVal
)),"")</f>
        <v/>
      </c>
      <c r="G478" s="2" t="str" cm="1">
        <f t="array" ref="G478">IFERROR(_xlfn.LET(
_xlpm.CSVVal,_xlfn.XLOOKUP($A478,CSV!$A:$A,CSV!G:G,""),
_xlpm.MacVal,_xlfn.XLOOKUP($A478,Output_Mac!$A:$A,Output_Mac!F:F,""),
_xlpm.MyAuditVal,_xlfn.XLOOKUP($A478,My_Audit!$A:$A,My_Audit!F:F,""),
_xlfn.IFS(_xlpm.MyAuditVal&lt;&gt;"",_xlpm.MyAuditVal,_xlpm.MacVal&lt;&gt;"",_xlpm.MacVal,_xlpm.CSVVal&lt;&gt;"",PROPER(_xlpm.CSVVal)
)),"")</f>
        <v/>
      </c>
      <c r="H478" s="2" t="str" cm="1">
        <f t="array" ref="H478">IFERROR(_xlfn.LET(
_xlpm.CSVVal,_xlfn.XLOOKUP($A478,CSV!$A:$A,CSV!H:H,""),
_xlpm.MacVal,_xlfn.XLOOKUP($A478,Output_Mac!$A:$A,Output_Mac!H:H,""),
_xlpm.MyAuditVal,_xlfn.XLOOKUP($A478,My_Audit!$A:$A,My_Audit!G:G,""),
_xlfn.IFS(_xlpm.MyAuditVal&lt;&gt;"",_xlpm.MyAuditVal,_xlpm.MacVal&lt;&gt;"",_xlpm.MacVal,_xlpm.CSVVal&lt;&gt;"",_xlpm.CSVVal
)),"")</f>
        <v/>
      </c>
      <c r="I478" s="2" t="str">
        <f>_xlfn.XLOOKUP(A478,Output_Mac!A:A,Output_Mac!I:I,"")</f>
        <v/>
      </c>
      <c r="J478" s="2" t="str" cm="1">
        <f t="array" ref="J478">IFERROR(_xlfn.LET(
_xlpm.CSVVal,_xlfn.XLOOKUP($A478,CSV!$A:$A,CSV!I:I,""),
_xlpm.MacVal,_xlfn.XLOOKUP($A478,Output_Mac!$A:$A,Output_Mac!J:J,""),
_xlpm.MyAuditVal,_xlfn.XLOOKUP($A478,My_Audit!$A:$A,My_Audit!I:I,""),
_xlfn.IFS(_xlpm.MyAuditVal&lt;&gt;"",UPPER(_xlpm.MyAuditVal),_xlpm.MacVal&lt;&gt;"",_xlpm.MacVal,_xlpm.CSVVal&lt;&gt;"",_xlpm.CSVVal
)),"")</f>
        <v/>
      </c>
      <c r="K478" s="2" t="str" cm="1">
        <f t="array" ref="K478">IFERROR(_xlfn.LET(
_xlpm.CSVVal,_xlfn.XLOOKUP($A478,CSV!$A:$A,CSV!K:K,""),
_xlpm.MacVal,_xlfn.XLOOKUP($A478,Output_Mac!$A:$A,Output_Mac!K:K,""),
_xlpm.MyAuditVal,_xlfn.XLOOKUP($A478,My_Audit!$A:$A,My_Audit!J:J,""),
_xlfn.IFS(_xlpm.MyAuditVal&lt;&gt;"",UPPER(_xlpm.MyAuditVal),_xlpm.MacVal&lt;&gt;"",_xlpm.MacVal,_xlpm.CSVVal&lt;&gt;"",_xlpm.CSVVal
)),"")</f>
        <v/>
      </c>
      <c r="L478" s="2" t="str" cm="1">
        <f t="array" ref="L478">IFERROR(_xlfn.LET(
_xlpm.CSVVal,_xlfn.XLOOKUP($A478,CSV!$A:$A,CSV!P:P,""),
_xlpm.MacVal,_xlfn.XLOOKUP($A478,Output_Mac!$A:$A,Output_Mac!L:L,""),
_xlpm.MyAuditVal,_xlfn.XLOOKUP($A478,My_Audit!$A:$A,My_Audit!K:K,""),
_xlfn.IFS(_xlpm.MyAuditVal&lt;&gt;"",UPPER(_xlpm.MyAuditVal),_xlpm.MacVal&lt;&gt;"",_xlpm.MacVal,_xlpm.CSVVal&lt;&gt;"",_xlpm.CSVVal
)),"")</f>
        <v/>
      </c>
      <c r="M478" s="2" t="str" cm="1">
        <f t="array" ref="M478">IFERROR(_xlfn.LET(
_xlpm.CSVVal,_xlfn.XLOOKUP($A478,CSV!$A:$A,CSV!Q:Q,""),
_xlpm.MacVal,_xlfn.XLOOKUP($A478,Output_Mac!$A:$A,Output_Mac!M:M,""),
_xlpm.MyAuditVal,_xlfn.XLOOKUP($A478,My_Audit!$A:$A,My_Audit!L:L,""),
_xlfn.IFS(_xlpm.MyAuditVal&lt;&gt;"",UPPER(_xlpm.MyAuditVal),_xlpm.MacVal&lt;&gt;"",_xlpm.MacVal,_xlpm.CSVVal&lt;&gt;"",_xlpm.CSVVal
)),"")</f>
        <v/>
      </c>
      <c r="O478" s="2" t="str">
        <f>_xlfn.LET(
    _xlpm.CSVVal, _xlfn.XLOOKUP($A478, CSV!$A:$A, CSV!AF:AF, ""),
    _xlpm.MacVal, _xlfn.XLOOKUP($A478, Output_Mac!$A:$A, Output_Mac!S:S, ""),
    _xlpm.MyAuditVal, _xlfn.XLOOKUP($A478, My_Audit!$A:$A, My_Audit!P:P, ""),
    _xlfn.TEXTJOIN(", ", TRUE, _xlpm.MyAuditVal, _xlpm.MacVal, _xlpm.CSVVal)
)</f>
        <v/>
      </c>
      <c r="P478" s="2" t="str" cm="1">
        <f t="array" ref="P478">IFERROR(_xlfn.LET(
_xlpm.CSVVal,_xlfn.XLOOKUP($A478,CSV!$A:$A,CSV!AG:AG,""),
_xlpm.MacVal,_xlfn.XLOOKUP($A478,Output_Mac!$A:$A,Output_Mac!T:T,""),
_xlpm.MyAuditVal,_xlfn.XLOOKUP($A478,My_Audit!$A:$A,My_Audit!Q:Q,""),
_xlfn.IFS(_xlpm.MyAuditVal&lt;&gt;"",UPPER(_xlpm.MyAuditVal),_xlpm.MacVal&lt;&gt;"",_xlpm.MacVal,_xlpm.CSVVal&lt;&gt;"",_xlpm.CSVVal
)),"No")</f>
        <v>No</v>
      </c>
      <c r="Q478" s="2" t="str" cm="1">
        <f t="array" ref="Q478">IFERROR(_xlfn.LET(
_xlpm.CSVVal,_xlfn.XLOOKUP($A478,CSV!$A:$A,CSV!AH:AH,""),
_xlpm.MacVal,_xlfn.XLOOKUP($A478,Output_Mac!$A:$A,Output_Mac!U:U,""),
_xlpm.MyAuditVal,_xlfn.XLOOKUP($A478,My_Audit!$A:$A,My_Audit!R:R,""),
_xlfn.IFS(_xlpm.MyAuditVal&lt;&gt;"",UPPER(_xlpm.MyAuditVal),_xlpm.MacVal&lt;&gt;"",_xlpm.MacVal,_xlpm.CSVVal&lt;&gt;"",_xlpm.CSVVal
)),"")</f>
        <v/>
      </c>
    </row>
    <row r="479" spans="1:17">
      <c r="A479" s="2" t="str">
        <f>_xlfn.TEXTJOIN("",TRUE,Input!$B$2,ROW(My_Audit!A478))</f>
        <v>XX478</v>
      </c>
      <c r="B479" s="2" t="str">
        <f>_xlfn.TEXTJOIN("-",TRUE,"ITD",Input!$A$2,A479)</f>
        <v>ITD-SHRXXX-XX478</v>
      </c>
      <c r="C479" s="2" t="str" cm="1">
        <f t="array" ref="C479">IFERROR(_xlfn.LET(
_xlpm.CSVVal,_xlfn.XLOOKUP($A479,CSV!$A:$A,CSV!B:B,""),
_xlpm.MacVal,_xlfn.XLOOKUP($A479,Output_Mac!$A:$A,Output_Mac!B:B,""),
_xlpm.MyAuditVal,_xlfn.XLOOKUP($A479,My_Audit!$A:$A,My_Audit!B:B,""),
_xlfn.IFS(_xlpm.MyAuditVal&lt;&gt;"",UPPER(_xlpm.MyAuditVal),_xlpm.MacVal&lt;&gt;"",_xlpm.MacVal,_xlpm.CSVVal&lt;&gt;"",_xlpm.CSVVal
)),"")</f>
        <v/>
      </c>
      <c r="D479" s="2" t="str" cm="1">
        <f t="array" ref="D479">IFERROR(_xlfn.LET(
_xlpm.CSVVal,_xlfn.XLOOKUP($A479,CSV!$A:$A,CSV!D:D,""),
_xlpm.MacVal,_xlfn.XLOOKUP($A479,Output_Mac!$A:$A,Output_Mac!C:C,""),
_xlpm.MyAuditVal,_xlfn.XLOOKUP($A479,My_Audit!$A:$A,My_Audit!C:C,""),
_xlfn.IFS(_xlpm.MyAuditVal&lt;&gt;"",_xlpm.MyAuditVal,_xlpm.MacVal&lt;&gt;"",_xlpm.MacVal,_xlpm.CSVVal&lt;&gt;"",_xlpm.CSVVal
)),"")</f>
        <v/>
      </c>
      <c r="E479" s="2" t="str">
        <f>_xlfn.XLOOKUP(A479,My_Audit!A:A,My_Audit!D:D,"")&amp;""</f>
        <v/>
      </c>
      <c r="F479" s="2" t="str" cm="1">
        <f t="array" ref="F479">IFERROR(_xlfn.LET(
_xlpm.CSVVal,_xlfn.XLOOKUP($A479,CSV!$A:$A,CSV!F:F,""),
_xlpm.MacVal,_xlfn.XLOOKUP($A479,Output_Mac!$A:$A,Output_Mac!E:E,""),
_xlpm.MyAuditVal,_xlfn.XLOOKUP($A479,My_Audit!$A:$A,My_Audit!E:E,""),
_xlfn.IFS(_xlpm.MyAuditVal&lt;&gt;"",_xlpm.MyAuditVal,_xlpm.MacVal&lt;&gt;"",_xlpm.MacVal,_xlpm.CSVVal&lt;&gt;"",_xlpm.CSVVal
)),"")</f>
        <v/>
      </c>
      <c r="G479" s="2" t="str" cm="1">
        <f t="array" ref="G479">IFERROR(_xlfn.LET(
_xlpm.CSVVal,_xlfn.XLOOKUP($A479,CSV!$A:$A,CSV!G:G,""),
_xlpm.MacVal,_xlfn.XLOOKUP($A479,Output_Mac!$A:$A,Output_Mac!F:F,""),
_xlpm.MyAuditVal,_xlfn.XLOOKUP($A479,My_Audit!$A:$A,My_Audit!F:F,""),
_xlfn.IFS(_xlpm.MyAuditVal&lt;&gt;"",_xlpm.MyAuditVal,_xlpm.MacVal&lt;&gt;"",_xlpm.MacVal,_xlpm.CSVVal&lt;&gt;"",PROPER(_xlpm.CSVVal)
)),"")</f>
        <v/>
      </c>
      <c r="H479" s="2" t="str" cm="1">
        <f t="array" ref="H479">IFERROR(_xlfn.LET(
_xlpm.CSVVal,_xlfn.XLOOKUP($A479,CSV!$A:$A,CSV!H:H,""),
_xlpm.MacVal,_xlfn.XLOOKUP($A479,Output_Mac!$A:$A,Output_Mac!H:H,""),
_xlpm.MyAuditVal,_xlfn.XLOOKUP($A479,My_Audit!$A:$A,My_Audit!G:G,""),
_xlfn.IFS(_xlpm.MyAuditVal&lt;&gt;"",_xlpm.MyAuditVal,_xlpm.MacVal&lt;&gt;"",_xlpm.MacVal,_xlpm.CSVVal&lt;&gt;"",_xlpm.CSVVal
)),"")</f>
        <v/>
      </c>
      <c r="I479" s="2" t="str">
        <f>_xlfn.XLOOKUP(A479,Output_Mac!A:A,Output_Mac!I:I,"")</f>
        <v/>
      </c>
      <c r="J479" s="2" t="str" cm="1">
        <f t="array" ref="J479">IFERROR(_xlfn.LET(
_xlpm.CSVVal,_xlfn.XLOOKUP($A479,CSV!$A:$A,CSV!I:I,""),
_xlpm.MacVal,_xlfn.XLOOKUP($A479,Output_Mac!$A:$A,Output_Mac!J:J,""),
_xlpm.MyAuditVal,_xlfn.XLOOKUP($A479,My_Audit!$A:$A,My_Audit!I:I,""),
_xlfn.IFS(_xlpm.MyAuditVal&lt;&gt;"",UPPER(_xlpm.MyAuditVal),_xlpm.MacVal&lt;&gt;"",_xlpm.MacVal,_xlpm.CSVVal&lt;&gt;"",_xlpm.CSVVal
)),"")</f>
        <v/>
      </c>
      <c r="K479" s="2" t="str" cm="1">
        <f t="array" ref="K479">IFERROR(_xlfn.LET(
_xlpm.CSVVal,_xlfn.XLOOKUP($A479,CSV!$A:$A,CSV!K:K,""),
_xlpm.MacVal,_xlfn.XLOOKUP($A479,Output_Mac!$A:$A,Output_Mac!K:K,""),
_xlpm.MyAuditVal,_xlfn.XLOOKUP($A479,My_Audit!$A:$A,My_Audit!J:J,""),
_xlfn.IFS(_xlpm.MyAuditVal&lt;&gt;"",UPPER(_xlpm.MyAuditVal),_xlpm.MacVal&lt;&gt;"",_xlpm.MacVal,_xlpm.CSVVal&lt;&gt;"",_xlpm.CSVVal
)),"")</f>
        <v/>
      </c>
      <c r="L479" s="2" t="str" cm="1">
        <f t="array" ref="L479">IFERROR(_xlfn.LET(
_xlpm.CSVVal,_xlfn.XLOOKUP($A479,CSV!$A:$A,CSV!P:P,""),
_xlpm.MacVal,_xlfn.XLOOKUP($A479,Output_Mac!$A:$A,Output_Mac!L:L,""),
_xlpm.MyAuditVal,_xlfn.XLOOKUP($A479,My_Audit!$A:$A,My_Audit!K:K,""),
_xlfn.IFS(_xlpm.MyAuditVal&lt;&gt;"",UPPER(_xlpm.MyAuditVal),_xlpm.MacVal&lt;&gt;"",_xlpm.MacVal,_xlpm.CSVVal&lt;&gt;"",_xlpm.CSVVal
)),"")</f>
        <v/>
      </c>
      <c r="M479" s="2" t="str" cm="1">
        <f t="array" ref="M479">IFERROR(_xlfn.LET(
_xlpm.CSVVal,_xlfn.XLOOKUP($A479,CSV!$A:$A,CSV!Q:Q,""),
_xlpm.MacVal,_xlfn.XLOOKUP($A479,Output_Mac!$A:$A,Output_Mac!M:M,""),
_xlpm.MyAuditVal,_xlfn.XLOOKUP($A479,My_Audit!$A:$A,My_Audit!L:L,""),
_xlfn.IFS(_xlpm.MyAuditVal&lt;&gt;"",UPPER(_xlpm.MyAuditVal),_xlpm.MacVal&lt;&gt;"",_xlpm.MacVal,_xlpm.CSVVal&lt;&gt;"",_xlpm.CSVVal
)),"")</f>
        <v/>
      </c>
      <c r="O479" s="2" t="str">
        <f>_xlfn.LET(
    _xlpm.CSVVal, _xlfn.XLOOKUP($A479, CSV!$A:$A, CSV!AF:AF, ""),
    _xlpm.MacVal, _xlfn.XLOOKUP($A479, Output_Mac!$A:$A, Output_Mac!S:S, ""),
    _xlpm.MyAuditVal, _xlfn.XLOOKUP($A479, My_Audit!$A:$A, My_Audit!P:P, ""),
    _xlfn.TEXTJOIN(", ", TRUE, _xlpm.MyAuditVal, _xlpm.MacVal, _xlpm.CSVVal)
)</f>
        <v/>
      </c>
      <c r="P479" s="2" t="str" cm="1">
        <f t="array" ref="P479">IFERROR(_xlfn.LET(
_xlpm.CSVVal,_xlfn.XLOOKUP($A479,CSV!$A:$A,CSV!AG:AG,""),
_xlpm.MacVal,_xlfn.XLOOKUP($A479,Output_Mac!$A:$A,Output_Mac!T:T,""),
_xlpm.MyAuditVal,_xlfn.XLOOKUP($A479,My_Audit!$A:$A,My_Audit!Q:Q,""),
_xlfn.IFS(_xlpm.MyAuditVal&lt;&gt;"",UPPER(_xlpm.MyAuditVal),_xlpm.MacVal&lt;&gt;"",_xlpm.MacVal,_xlpm.CSVVal&lt;&gt;"",_xlpm.CSVVal
)),"No")</f>
        <v>No</v>
      </c>
      <c r="Q479" s="2" t="str" cm="1">
        <f t="array" ref="Q479">IFERROR(_xlfn.LET(
_xlpm.CSVVal,_xlfn.XLOOKUP($A479,CSV!$A:$A,CSV!AH:AH,""),
_xlpm.MacVal,_xlfn.XLOOKUP($A479,Output_Mac!$A:$A,Output_Mac!U:U,""),
_xlpm.MyAuditVal,_xlfn.XLOOKUP($A479,My_Audit!$A:$A,My_Audit!R:R,""),
_xlfn.IFS(_xlpm.MyAuditVal&lt;&gt;"",UPPER(_xlpm.MyAuditVal),_xlpm.MacVal&lt;&gt;"",_xlpm.MacVal,_xlpm.CSVVal&lt;&gt;"",_xlpm.CSVVal
)),"")</f>
        <v/>
      </c>
    </row>
    <row r="480" spans="1:17">
      <c r="A480" s="2" t="str">
        <f>_xlfn.TEXTJOIN("",TRUE,Input!$B$2,ROW(My_Audit!A479))</f>
        <v>XX479</v>
      </c>
      <c r="B480" s="2" t="str">
        <f>_xlfn.TEXTJOIN("-",TRUE,"ITD",Input!$A$2,A480)</f>
        <v>ITD-SHRXXX-XX479</v>
      </c>
      <c r="C480" s="2" t="str" cm="1">
        <f t="array" ref="C480">IFERROR(_xlfn.LET(
_xlpm.CSVVal,_xlfn.XLOOKUP($A480,CSV!$A:$A,CSV!B:B,""),
_xlpm.MacVal,_xlfn.XLOOKUP($A480,Output_Mac!$A:$A,Output_Mac!B:B,""),
_xlpm.MyAuditVal,_xlfn.XLOOKUP($A480,My_Audit!$A:$A,My_Audit!B:B,""),
_xlfn.IFS(_xlpm.MyAuditVal&lt;&gt;"",UPPER(_xlpm.MyAuditVal),_xlpm.MacVal&lt;&gt;"",_xlpm.MacVal,_xlpm.CSVVal&lt;&gt;"",_xlpm.CSVVal
)),"")</f>
        <v/>
      </c>
      <c r="D480" s="2" t="str" cm="1">
        <f t="array" ref="D480">IFERROR(_xlfn.LET(
_xlpm.CSVVal,_xlfn.XLOOKUP($A480,CSV!$A:$A,CSV!D:D,""),
_xlpm.MacVal,_xlfn.XLOOKUP($A480,Output_Mac!$A:$A,Output_Mac!C:C,""),
_xlpm.MyAuditVal,_xlfn.XLOOKUP($A480,My_Audit!$A:$A,My_Audit!C:C,""),
_xlfn.IFS(_xlpm.MyAuditVal&lt;&gt;"",_xlpm.MyAuditVal,_xlpm.MacVal&lt;&gt;"",_xlpm.MacVal,_xlpm.CSVVal&lt;&gt;"",_xlpm.CSVVal
)),"")</f>
        <v/>
      </c>
      <c r="E480" s="2" t="str">
        <f>_xlfn.XLOOKUP(A480,My_Audit!A:A,My_Audit!D:D,"")&amp;""</f>
        <v/>
      </c>
      <c r="F480" s="2" t="str" cm="1">
        <f t="array" ref="F480">IFERROR(_xlfn.LET(
_xlpm.CSVVal,_xlfn.XLOOKUP($A480,CSV!$A:$A,CSV!F:F,""),
_xlpm.MacVal,_xlfn.XLOOKUP($A480,Output_Mac!$A:$A,Output_Mac!E:E,""),
_xlpm.MyAuditVal,_xlfn.XLOOKUP($A480,My_Audit!$A:$A,My_Audit!E:E,""),
_xlfn.IFS(_xlpm.MyAuditVal&lt;&gt;"",_xlpm.MyAuditVal,_xlpm.MacVal&lt;&gt;"",_xlpm.MacVal,_xlpm.CSVVal&lt;&gt;"",_xlpm.CSVVal
)),"")</f>
        <v/>
      </c>
      <c r="G480" s="2" t="str" cm="1">
        <f t="array" ref="G480">IFERROR(_xlfn.LET(
_xlpm.CSVVal,_xlfn.XLOOKUP($A480,CSV!$A:$A,CSV!G:G,""),
_xlpm.MacVal,_xlfn.XLOOKUP($A480,Output_Mac!$A:$A,Output_Mac!F:F,""),
_xlpm.MyAuditVal,_xlfn.XLOOKUP($A480,My_Audit!$A:$A,My_Audit!F:F,""),
_xlfn.IFS(_xlpm.MyAuditVal&lt;&gt;"",_xlpm.MyAuditVal,_xlpm.MacVal&lt;&gt;"",_xlpm.MacVal,_xlpm.CSVVal&lt;&gt;"",PROPER(_xlpm.CSVVal)
)),"")</f>
        <v/>
      </c>
      <c r="H480" s="2" t="str" cm="1">
        <f t="array" ref="H480">IFERROR(_xlfn.LET(
_xlpm.CSVVal,_xlfn.XLOOKUP($A480,CSV!$A:$A,CSV!H:H,""),
_xlpm.MacVal,_xlfn.XLOOKUP($A480,Output_Mac!$A:$A,Output_Mac!H:H,""),
_xlpm.MyAuditVal,_xlfn.XLOOKUP($A480,My_Audit!$A:$A,My_Audit!G:G,""),
_xlfn.IFS(_xlpm.MyAuditVal&lt;&gt;"",_xlpm.MyAuditVal,_xlpm.MacVal&lt;&gt;"",_xlpm.MacVal,_xlpm.CSVVal&lt;&gt;"",_xlpm.CSVVal
)),"")</f>
        <v/>
      </c>
      <c r="I480" s="2" t="str">
        <f>_xlfn.XLOOKUP(A480,Output_Mac!A:A,Output_Mac!I:I,"")</f>
        <v/>
      </c>
      <c r="J480" s="2" t="str" cm="1">
        <f t="array" ref="J480">IFERROR(_xlfn.LET(
_xlpm.CSVVal,_xlfn.XLOOKUP($A480,CSV!$A:$A,CSV!I:I,""),
_xlpm.MacVal,_xlfn.XLOOKUP($A480,Output_Mac!$A:$A,Output_Mac!J:J,""),
_xlpm.MyAuditVal,_xlfn.XLOOKUP($A480,My_Audit!$A:$A,My_Audit!I:I,""),
_xlfn.IFS(_xlpm.MyAuditVal&lt;&gt;"",UPPER(_xlpm.MyAuditVal),_xlpm.MacVal&lt;&gt;"",_xlpm.MacVal,_xlpm.CSVVal&lt;&gt;"",_xlpm.CSVVal
)),"")</f>
        <v/>
      </c>
      <c r="K480" s="2" t="str" cm="1">
        <f t="array" ref="K480">IFERROR(_xlfn.LET(
_xlpm.CSVVal,_xlfn.XLOOKUP($A480,CSV!$A:$A,CSV!K:K,""),
_xlpm.MacVal,_xlfn.XLOOKUP($A480,Output_Mac!$A:$A,Output_Mac!K:K,""),
_xlpm.MyAuditVal,_xlfn.XLOOKUP($A480,My_Audit!$A:$A,My_Audit!J:J,""),
_xlfn.IFS(_xlpm.MyAuditVal&lt;&gt;"",UPPER(_xlpm.MyAuditVal),_xlpm.MacVal&lt;&gt;"",_xlpm.MacVal,_xlpm.CSVVal&lt;&gt;"",_xlpm.CSVVal
)),"")</f>
        <v/>
      </c>
      <c r="L480" s="2" t="str" cm="1">
        <f t="array" ref="L480">IFERROR(_xlfn.LET(
_xlpm.CSVVal,_xlfn.XLOOKUP($A480,CSV!$A:$A,CSV!P:P,""),
_xlpm.MacVal,_xlfn.XLOOKUP($A480,Output_Mac!$A:$A,Output_Mac!L:L,""),
_xlpm.MyAuditVal,_xlfn.XLOOKUP($A480,My_Audit!$A:$A,My_Audit!K:K,""),
_xlfn.IFS(_xlpm.MyAuditVal&lt;&gt;"",UPPER(_xlpm.MyAuditVal),_xlpm.MacVal&lt;&gt;"",_xlpm.MacVal,_xlpm.CSVVal&lt;&gt;"",_xlpm.CSVVal
)),"")</f>
        <v/>
      </c>
      <c r="M480" s="2" t="str" cm="1">
        <f t="array" ref="M480">IFERROR(_xlfn.LET(
_xlpm.CSVVal,_xlfn.XLOOKUP($A480,CSV!$A:$A,CSV!Q:Q,""),
_xlpm.MacVal,_xlfn.XLOOKUP($A480,Output_Mac!$A:$A,Output_Mac!M:M,""),
_xlpm.MyAuditVal,_xlfn.XLOOKUP($A480,My_Audit!$A:$A,My_Audit!L:L,""),
_xlfn.IFS(_xlpm.MyAuditVal&lt;&gt;"",UPPER(_xlpm.MyAuditVal),_xlpm.MacVal&lt;&gt;"",_xlpm.MacVal,_xlpm.CSVVal&lt;&gt;"",_xlpm.CSVVal
)),"")</f>
        <v/>
      </c>
      <c r="O480" s="2" t="str">
        <f>_xlfn.LET(
    _xlpm.CSVVal, _xlfn.XLOOKUP($A480, CSV!$A:$A, CSV!AF:AF, ""),
    _xlpm.MacVal, _xlfn.XLOOKUP($A480, Output_Mac!$A:$A, Output_Mac!S:S, ""),
    _xlpm.MyAuditVal, _xlfn.XLOOKUP($A480, My_Audit!$A:$A, My_Audit!P:P, ""),
    _xlfn.TEXTJOIN(", ", TRUE, _xlpm.MyAuditVal, _xlpm.MacVal, _xlpm.CSVVal)
)</f>
        <v/>
      </c>
      <c r="P480" s="2" t="str" cm="1">
        <f t="array" ref="P480">IFERROR(_xlfn.LET(
_xlpm.CSVVal,_xlfn.XLOOKUP($A480,CSV!$A:$A,CSV!AG:AG,""),
_xlpm.MacVal,_xlfn.XLOOKUP($A480,Output_Mac!$A:$A,Output_Mac!T:T,""),
_xlpm.MyAuditVal,_xlfn.XLOOKUP($A480,My_Audit!$A:$A,My_Audit!Q:Q,""),
_xlfn.IFS(_xlpm.MyAuditVal&lt;&gt;"",UPPER(_xlpm.MyAuditVal),_xlpm.MacVal&lt;&gt;"",_xlpm.MacVal,_xlpm.CSVVal&lt;&gt;"",_xlpm.CSVVal
)),"No")</f>
        <v>No</v>
      </c>
      <c r="Q480" s="2" t="str" cm="1">
        <f t="array" ref="Q480">IFERROR(_xlfn.LET(
_xlpm.CSVVal,_xlfn.XLOOKUP($A480,CSV!$A:$A,CSV!AH:AH,""),
_xlpm.MacVal,_xlfn.XLOOKUP($A480,Output_Mac!$A:$A,Output_Mac!U:U,""),
_xlpm.MyAuditVal,_xlfn.XLOOKUP($A480,My_Audit!$A:$A,My_Audit!R:R,""),
_xlfn.IFS(_xlpm.MyAuditVal&lt;&gt;"",UPPER(_xlpm.MyAuditVal),_xlpm.MacVal&lt;&gt;"",_xlpm.MacVal,_xlpm.CSVVal&lt;&gt;"",_xlpm.CSVVal
)),"")</f>
        <v/>
      </c>
    </row>
    <row r="481" spans="1:17">
      <c r="A481" s="2" t="str">
        <f>_xlfn.TEXTJOIN("",TRUE,Input!$B$2,ROW(My_Audit!A480))</f>
        <v>XX480</v>
      </c>
      <c r="B481" s="2" t="str">
        <f>_xlfn.TEXTJOIN("-",TRUE,"ITD",Input!$A$2,A481)</f>
        <v>ITD-SHRXXX-XX480</v>
      </c>
      <c r="C481" s="2" t="str" cm="1">
        <f t="array" ref="C481">IFERROR(_xlfn.LET(
_xlpm.CSVVal,_xlfn.XLOOKUP($A481,CSV!$A:$A,CSV!B:B,""),
_xlpm.MacVal,_xlfn.XLOOKUP($A481,Output_Mac!$A:$A,Output_Mac!B:B,""),
_xlpm.MyAuditVal,_xlfn.XLOOKUP($A481,My_Audit!$A:$A,My_Audit!B:B,""),
_xlfn.IFS(_xlpm.MyAuditVal&lt;&gt;"",UPPER(_xlpm.MyAuditVal),_xlpm.MacVal&lt;&gt;"",_xlpm.MacVal,_xlpm.CSVVal&lt;&gt;"",_xlpm.CSVVal
)),"")</f>
        <v/>
      </c>
      <c r="D481" s="2" t="str" cm="1">
        <f t="array" ref="D481">IFERROR(_xlfn.LET(
_xlpm.CSVVal,_xlfn.XLOOKUP($A481,CSV!$A:$A,CSV!D:D,""),
_xlpm.MacVal,_xlfn.XLOOKUP($A481,Output_Mac!$A:$A,Output_Mac!C:C,""),
_xlpm.MyAuditVal,_xlfn.XLOOKUP($A481,My_Audit!$A:$A,My_Audit!C:C,""),
_xlfn.IFS(_xlpm.MyAuditVal&lt;&gt;"",_xlpm.MyAuditVal,_xlpm.MacVal&lt;&gt;"",_xlpm.MacVal,_xlpm.CSVVal&lt;&gt;"",_xlpm.CSVVal
)),"")</f>
        <v/>
      </c>
      <c r="E481" s="2" t="str">
        <f>_xlfn.XLOOKUP(A481,My_Audit!A:A,My_Audit!D:D,"")&amp;""</f>
        <v/>
      </c>
      <c r="F481" s="2" t="str" cm="1">
        <f t="array" ref="F481">IFERROR(_xlfn.LET(
_xlpm.CSVVal,_xlfn.XLOOKUP($A481,CSV!$A:$A,CSV!F:F,""),
_xlpm.MacVal,_xlfn.XLOOKUP($A481,Output_Mac!$A:$A,Output_Mac!E:E,""),
_xlpm.MyAuditVal,_xlfn.XLOOKUP($A481,My_Audit!$A:$A,My_Audit!E:E,""),
_xlfn.IFS(_xlpm.MyAuditVal&lt;&gt;"",_xlpm.MyAuditVal,_xlpm.MacVal&lt;&gt;"",_xlpm.MacVal,_xlpm.CSVVal&lt;&gt;"",_xlpm.CSVVal
)),"")</f>
        <v/>
      </c>
      <c r="G481" s="2" t="str" cm="1">
        <f t="array" ref="G481">IFERROR(_xlfn.LET(
_xlpm.CSVVal,_xlfn.XLOOKUP($A481,CSV!$A:$A,CSV!G:G,""),
_xlpm.MacVal,_xlfn.XLOOKUP($A481,Output_Mac!$A:$A,Output_Mac!F:F,""),
_xlpm.MyAuditVal,_xlfn.XLOOKUP($A481,My_Audit!$A:$A,My_Audit!F:F,""),
_xlfn.IFS(_xlpm.MyAuditVal&lt;&gt;"",_xlpm.MyAuditVal,_xlpm.MacVal&lt;&gt;"",_xlpm.MacVal,_xlpm.CSVVal&lt;&gt;"",PROPER(_xlpm.CSVVal)
)),"")</f>
        <v/>
      </c>
      <c r="H481" s="2" t="str" cm="1">
        <f t="array" ref="H481">IFERROR(_xlfn.LET(
_xlpm.CSVVal,_xlfn.XLOOKUP($A481,CSV!$A:$A,CSV!H:H,""),
_xlpm.MacVal,_xlfn.XLOOKUP($A481,Output_Mac!$A:$A,Output_Mac!H:H,""),
_xlpm.MyAuditVal,_xlfn.XLOOKUP($A481,My_Audit!$A:$A,My_Audit!G:G,""),
_xlfn.IFS(_xlpm.MyAuditVal&lt;&gt;"",_xlpm.MyAuditVal,_xlpm.MacVal&lt;&gt;"",_xlpm.MacVal,_xlpm.CSVVal&lt;&gt;"",_xlpm.CSVVal
)),"")</f>
        <v/>
      </c>
      <c r="I481" s="2" t="str">
        <f>_xlfn.XLOOKUP(A481,Output_Mac!A:A,Output_Mac!I:I,"")</f>
        <v/>
      </c>
      <c r="J481" s="2" t="str" cm="1">
        <f t="array" ref="J481">IFERROR(_xlfn.LET(
_xlpm.CSVVal,_xlfn.XLOOKUP($A481,CSV!$A:$A,CSV!I:I,""),
_xlpm.MacVal,_xlfn.XLOOKUP($A481,Output_Mac!$A:$A,Output_Mac!J:J,""),
_xlpm.MyAuditVal,_xlfn.XLOOKUP($A481,My_Audit!$A:$A,My_Audit!I:I,""),
_xlfn.IFS(_xlpm.MyAuditVal&lt;&gt;"",UPPER(_xlpm.MyAuditVal),_xlpm.MacVal&lt;&gt;"",_xlpm.MacVal,_xlpm.CSVVal&lt;&gt;"",_xlpm.CSVVal
)),"")</f>
        <v/>
      </c>
      <c r="K481" s="2" t="str" cm="1">
        <f t="array" ref="K481">IFERROR(_xlfn.LET(
_xlpm.CSVVal,_xlfn.XLOOKUP($A481,CSV!$A:$A,CSV!K:K,""),
_xlpm.MacVal,_xlfn.XLOOKUP($A481,Output_Mac!$A:$A,Output_Mac!K:K,""),
_xlpm.MyAuditVal,_xlfn.XLOOKUP($A481,My_Audit!$A:$A,My_Audit!J:J,""),
_xlfn.IFS(_xlpm.MyAuditVal&lt;&gt;"",UPPER(_xlpm.MyAuditVal),_xlpm.MacVal&lt;&gt;"",_xlpm.MacVal,_xlpm.CSVVal&lt;&gt;"",_xlpm.CSVVal
)),"")</f>
        <v/>
      </c>
      <c r="L481" s="2" t="str" cm="1">
        <f t="array" ref="L481">IFERROR(_xlfn.LET(
_xlpm.CSVVal,_xlfn.XLOOKUP($A481,CSV!$A:$A,CSV!P:P,""),
_xlpm.MacVal,_xlfn.XLOOKUP($A481,Output_Mac!$A:$A,Output_Mac!L:L,""),
_xlpm.MyAuditVal,_xlfn.XLOOKUP($A481,My_Audit!$A:$A,My_Audit!K:K,""),
_xlfn.IFS(_xlpm.MyAuditVal&lt;&gt;"",UPPER(_xlpm.MyAuditVal),_xlpm.MacVal&lt;&gt;"",_xlpm.MacVal,_xlpm.CSVVal&lt;&gt;"",_xlpm.CSVVal
)),"")</f>
        <v/>
      </c>
      <c r="M481" s="2" t="str" cm="1">
        <f t="array" ref="M481">IFERROR(_xlfn.LET(
_xlpm.CSVVal,_xlfn.XLOOKUP($A481,CSV!$A:$A,CSV!Q:Q,""),
_xlpm.MacVal,_xlfn.XLOOKUP($A481,Output_Mac!$A:$A,Output_Mac!M:M,""),
_xlpm.MyAuditVal,_xlfn.XLOOKUP($A481,My_Audit!$A:$A,My_Audit!L:L,""),
_xlfn.IFS(_xlpm.MyAuditVal&lt;&gt;"",UPPER(_xlpm.MyAuditVal),_xlpm.MacVal&lt;&gt;"",_xlpm.MacVal,_xlpm.CSVVal&lt;&gt;"",_xlpm.CSVVal
)),"")</f>
        <v/>
      </c>
      <c r="O481" s="2" t="str">
        <f>_xlfn.LET(
    _xlpm.CSVVal, _xlfn.XLOOKUP($A481, CSV!$A:$A, CSV!AF:AF, ""),
    _xlpm.MacVal, _xlfn.XLOOKUP($A481, Output_Mac!$A:$A, Output_Mac!S:S, ""),
    _xlpm.MyAuditVal, _xlfn.XLOOKUP($A481, My_Audit!$A:$A, My_Audit!P:P, ""),
    _xlfn.TEXTJOIN(", ", TRUE, _xlpm.MyAuditVal, _xlpm.MacVal, _xlpm.CSVVal)
)</f>
        <v/>
      </c>
      <c r="P481" s="2" t="str" cm="1">
        <f t="array" ref="P481">IFERROR(_xlfn.LET(
_xlpm.CSVVal,_xlfn.XLOOKUP($A481,CSV!$A:$A,CSV!AG:AG,""),
_xlpm.MacVal,_xlfn.XLOOKUP($A481,Output_Mac!$A:$A,Output_Mac!T:T,""),
_xlpm.MyAuditVal,_xlfn.XLOOKUP($A481,My_Audit!$A:$A,My_Audit!Q:Q,""),
_xlfn.IFS(_xlpm.MyAuditVal&lt;&gt;"",UPPER(_xlpm.MyAuditVal),_xlpm.MacVal&lt;&gt;"",_xlpm.MacVal,_xlpm.CSVVal&lt;&gt;"",_xlpm.CSVVal
)),"No")</f>
        <v>No</v>
      </c>
      <c r="Q481" s="2" t="str" cm="1">
        <f t="array" ref="Q481">IFERROR(_xlfn.LET(
_xlpm.CSVVal,_xlfn.XLOOKUP($A481,CSV!$A:$A,CSV!AH:AH,""),
_xlpm.MacVal,_xlfn.XLOOKUP($A481,Output_Mac!$A:$A,Output_Mac!U:U,""),
_xlpm.MyAuditVal,_xlfn.XLOOKUP($A481,My_Audit!$A:$A,My_Audit!R:R,""),
_xlfn.IFS(_xlpm.MyAuditVal&lt;&gt;"",UPPER(_xlpm.MyAuditVal),_xlpm.MacVal&lt;&gt;"",_xlpm.MacVal,_xlpm.CSVVal&lt;&gt;"",_xlpm.CSVVal
)),"")</f>
        <v/>
      </c>
    </row>
    <row r="482" spans="1:17">
      <c r="A482" s="2" t="str">
        <f>_xlfn.TEXTJOIN("",TRUE,Input!$B$2,ROW(My_Audit!A481))</f>
        <v>XX481</v>
      </c>
      <c r="B482" s="2" t="str">
        <f>_xlfn.TEXTJOIN("-",TRUE,"ITD",Input!$A$2,A482)</f>
        <v>ITD-SHRXXX-XX481</v>
      </c>
      <c r="C482" s="2" t="str" cm="1">
        <f t="array" ref="C482">IFERROR(_xlfn.LET(
_xlpm.CSVVal,_xlfn.XLOOKUP($A482,CSV!$A:$A,CSV!B:B,""),
_xlpm.MacVal,_xlfn.XLOOKUP($A482,Output_Mac!$A:$A,Output_Mac!B:B,""),
_xlpm.MyAuditVal,_xlfn.XLOOKUP($A482,My_Audit!$A:$A,My_Audit!B:B,""),
_xlfn.IFS(_xlpm.MyAuditVal&lt;&gt;"",UPPER(_xlpm.MyAuditVal),_xlpm.MacVal&lt;&gt;"",_xlpm.MacVal,_xlpm.CSVVal&lt;&gt;"",_xlpm.CSVVal
)),"")</f>
        <v/>
      </c>
      <c r="D482" s="2" t="str" cm="1">
        <f t="array" ref="D482">IFERROR(_xlfn.LET(
_xlpm.CSVVal,_xlfn.XLOOKUP($A482,CSV!$A:$A,CSV!D:D,""),
_xlpm.MacVal,_xlfn.XLOOKUP($A482,Output_Mac!$A:$A,Output_Mac!C:C,""),
_xlpm.MyAuditVal,_xlfn.XLOOKUP($A482,My_Audit!$A:$A,My_Audit!C:C,""),
_xlfn.IFS(_xlpm.MyAuditVal&lt;&gt;"",_xlpm.MyAuditVal,_xlpm.MacVal&lt;&gt;"",_xlpm.MacVal,_xlpm.CSVVal&lt;&gt;"",_xlpm.CSVVal
)),"")</f>
        <v/>
      </c>
      <c r="E482" s="2" t="str">
        <f>_xlfn.XLOOKUP(A482,My_Audit!A:A,My_Audit!D:D,"")&amp;""</f>
        <v/>
      </c>
      <c r="F482" s="2" t="str" cm="1">
        <f t="array" ref="F482">IFERROR(_xlfn.LET(
_xlpm.CSVVal,_xlfn.XLOOKUP($A482,CSV!$A:$A,CSV!F:F,""),
_xlpm.MacVal,_xlfn.XLOOKUP($A482,Output_Mac!$A:$A,Output_Mac!E:E,""),
_xlpm.MyAuditVal,_xlfn.XLOOKUP($A482,My_Audit!$A:$A,My_Audit!E:E,""),
_xlfn.IFS(_xlpm.MyAuditVal&lt;&gt;"",_xlpm.MyAuditVal,_xlpm.MacVal&lt;&gt;"",_xlpm.MacVal,_xlpm.CSVVal&lt;&gt;"",_xlpm.CSVVal
)),"")</f>
        <v/>
      </c>
      <c r="G482" s="2" t="str" cm="1">
        <f t="array" ref="G482">IFERROR(_xlfn.LET(
_xlpm.CSVVal,_xlfn.XLOOKUP($A482,CSV!$A:$A,CSV!G:G,""),
_xlpm.MacVal,_xlfn.XLOOKUP($A482,Output_Mac!$A:$A,Output_Mac!F:F,""),
_xlpm.MyAuditVal,_xlfn.XLOOKUP($A482,My_Audit!$A:$A,My_Audit!F:F,""),
_xlfn.IFS(_xlpm.MyAuditVal&lt;&gt;"",_xlpm.MyAuditVal,_xlpm.MacVal&lt;&gt;"",_xlpm.MacVal,_xlpm.CSVVal&lt;&gt;"",PROPER(_xlpm.CSVVal)
)),"")</f>
        <v/>
      </c>
      <c r="H482" s="2" t="str" cm="1">
        <f t="array" ref="H482">IFERROR(_xlfn.LET(
_xlpm.CSVVal,_xlfn.XLOOKUP($A482,CSV!$A:$A,CSV!H:H,""),
_xlpm.MacVal,_xlfn.XLOOKUP($A482,Output_Mac!$A:$A,Output_Mac!H:H,""),
_xlpm.MyAuditVal,_xlfn.XLOOKUP($A482,My_Audit!$A:$A,My_Audit!G:G,""),
_xlfn.IFS(_xlpm.MyAuditVal&lt;&gt;"",_xlpm.MyAuditVal,_xlpm.MacVal&lt;&gt;"",_xlpm.MacVal,_xlpm.CSVVal&lt;&gt;"",_xlpm.CSVVal
)),"")</f>
        <v/>
      </c>
      <c r="I482" s="2" t="str">
        <f>_xlfn.XLOOKUP(A482,Output_Mac!A:A,Output_Mac!I:I,"")</f>
        <v/>
      </c>
      <c r="J482" s="2" t="str" cm="1">
        <f t="array" ref="J482">IFERROR(_xlfn.LET(
_xlpm.CSVVal,_xlfn.XLOOKUP($A482,CSV!$A:$A,CSV!I:I,""),
_xlpm.MacVal,_xlfn.XLOOKUP($A482,Output_Mac!$A:$A,Output_Mac!J:J,""),
_xlpm.MyAuditVal,_xlfn.XLOOKUP($A482,My_Audit!$A:$A,My_Audit!I:I,""),
_xlfn.IFS(_xlpm.MyAuditVal&lt;&gt;"",UPPER(_xlpm.MyAuditVal),_xlpm.MacVal&lt;&gt;"",_xlpm.MacVal,_xlpm.CSVVal&lt;&gt;"",_xlpm.CSVVal
)),"")</f>
        <v/>
      </c>
      <c r="K482" s="2" t="str" cm="1">
        <f t="array" ref="K482">IFERROR(_xlfn.LET(
_xlpm.CSVVal,_xlfn.XLOOKUP($A482,CSV!$A:$A,CSV!K:K,""),
_xlpm.MacVal,_xlfn.XLOOKUP($A482,Output_Mac!$A:$A,Output_Mac!K:K,""),
_xlpm.MyAuditVal,_xlfn.XLOOKUP($A482,My_Audit!$A:$A,My_Audit!J:J,""),
_xlfn.IFS(_xlpm.MyAuditVal&lt;&gt;"",UPPER(_xlpm.MyAuditVal),_xlpm.MacVal&lt;&gt;"",_xlpm.MacVal,_xlpm.CSVVal&lt;&gt;"",_xlpm.CSVVal
)),"")</f>
        <v/>
      </c>
      <c r="L482" s="2" t="str" cm="1">
        <f t="array" ref="L482">IFERROR(_xlfn.LET(
_xlpm.CSVVal,_xlfn.XLOOKUP($A482,CSV!$A:$A,CSV!P:P,""),
_xlpm.MacVal,_xlfn.XLOOKUP($A482,Output_Mac!$A:$A,Output_Mac!L:L,""),
_xlpm.MyAuditVal,_xlfn.XLOOKUP($A482,My_Audit!$A:$A,My_Audit!K:K,""),
_xlfn.IFS(_xlpm.MyAuditVal&lt;&gt;"",UPPER(_xlpm.MyAuditVal),_xlpm.MacVal&lt;&gt;"",_xlpm.MacVal,_xlpm.CSVVal&lt;&gt;"",_xlpm.CSVVal
)),"")</f>
        <v/>
      </c>
      <c r="M482" s="2" t="str" cm="1">
        <f t="array" ref="M482">IFERROR(_xlfn.LET(
_xlpm.CSVVal,_xlfn.XLOOKUP($A482,CSV!$A:$A,CSV!Q:Q,""),
_xlpm.MacVal,_xlfn.XLOOKUP($A482,Output_Mac!$A:$A,Output_Mac!M:M,""),
_xlpm.MyAuditVal,_xlfn.XLOOKUP($A482,My_Audit!$A:$A,My_Audit!L:L,""),
_xlfn.IFS(_xlpm.MyAuditVal&lt;&gt;"",UPPER(_xlpm.MyAuditVal),_xlpm.MacVal&lt;&gt;"",_xlpm.MacVal,_xlpm.CSVVal&lt;&gt;"",_xlpm.CSVVal
)),"")</f>
        <v/>
      </c>
      <c r="O482" s="2" t="str">
        <f>_xlfn.LET(
    _xlpm.CSVVal, _xlfn.XLOOKUP($A482, CSV!$A:$A, CSV!AF:AF, ""),
    _xlpm.MacVal, _xlfn.XLOOKUP($A482, Output_Mac!$A:$A, Output_Mac!S:S, ""),
    _xlpm.MyAuditVal, _xlfn.XLOOKUP($A482, My_Audit!$A:$A, My_Audit!P:P, ""),
    _xlfn.TEXTJOIN(", ", TRUE, _xlpm.MyAuditVal, _xlpm.MacVal, _xlpm.CSVVal)
)</f>
        <v/>
      </c>
      <c r="P482" s="2" t="str" cm="1">
        <f t="array" ref="P482">IFERROR(_xlfn.LET(
_xlpm.CSVVal,_xlfn.XLOOKUP($A482,CSV!$A:$A,CSV!AG:AG,""),
_xlpm.MacVal,_xlfn.XLOOKUP($A482,Output_Mac!$A:$A,Output_Mac!T:T,""),
_xlpm.MyAuditVal,_xlfn.XLOOKUP($A482,My_Audit!$A:$A,My_Audit!Q:Q,""),
_xlfn.IFS(_xlpm.MyAuditVal&lt;&gt;"",UPPER(_xlpm.MyAuditVal),_xlpm.MacVal&lt;&gt;"",_xlpm.MacVal,_xlpm.CSVVal&lt;&gt;"",_xlpm.CSVVal
)),"No")</f>
        <v>No</v>
      </c>
      <c r="Q482" s="2" t="str" cm="1">
        <f t="array" ref="Q482">IFERROR(_xlfn.LET(
_xlpm.CSVVal,_xlfn.XLOOKUP($A482,CSV!$A:$A,CSV!AH:AH,""),
_xlpm.MacVal,_xlfn.XLOOKUP($A482,Output_Mac!$A:$A,Output_Mac!U:U,""),
_xlpm.MyAuditVal,_xlfn.XLOOKUP($A482,My_Audit!$A:$A,My_Audit!R:R,""),
_xlfn.IFS(_xlpm.MyAuditVal&lt;&gt;"",UPPER(_xlpm.MyAuditVal),_xlpm.MacVal&lt;&gt;"",_xlpm.MacVal,_xlpm.CSVVal&lt;&gt;"",_xlpm.CSVVal
)),"")</f>
        <v/>
      </c>
    </row>
    <row r="483" spans="1:17">
      <c r="A483" s="2" t="str">
        <f>_xlfn.TEXTJOIN("",TRUE,Input!$B$2,ROW(My_Audit!A482))</f>
        <v>XX482</v>
      </c>
      <c r="B483" s="2" t="str">
        <f>_xlfn.TEXTJOIN("-",TRUE,"ITD",Input!$A$2,A483)</f>
        <v>ITD-SHRXXX-XX482</v>
      </c>
      <c r="C483" s="2" t="str" cm="1">
        <f t="array" ref="C483">IFERROR(_xlfn.LET(
_xlpm.CSVVal,_xlfn.XLOOKUP($A483,CSV!$A:$A,CSV!B:B,""),
_xlpm.MacVal,_xlfn.XLOOKUP($A483,Output_Mac!$A:$A,Output_Mac!B:B,""),
_xlpm.MyAuditVal,_xlfn.XLOOKUP($A483,My_Audit!$A:$A,My_Audit!B:B,""),
_xlfn.IFS(_xlpm.MyAuditVal&lt;&gt;"",UPPER(_xlpm.MyAuditVal),_xlpm.MacVal&lt;&gt;"",_xlpm.MacVal,_xlpm.CSVVal&lt;&gt;"",_xlpm.CSVVal
)),"")</f>
        <v/>
      </c>
      <c r="D483" s="2" t="str" cm="1">
        <f t="array" ref="D483">IFERROR(_xlfn.LET(
_xlpm.CSVVal,_xlfn.XLOOKUP($A483,CSV!$A:$A,CSV!D:D,""),
_xlpm.MacVal,_xlfn.XLOOKUP($A483,Output_Mac!$A:$A,Output_Mac!C:C,""),
_xlpm.MyAuditVal,_xlfn.XLOOKUP($A483,My_Audit!$A:$A,My_Audit!C:C,""),
_xlfn.IFS(_xlpm.MyAuditVal&lt;&gt;"",_xlpm.MyAuditVal,_xlpm.MacVal&lt;&gt;"",_xlpm.MacVal,_xlpm.CSVVal&lt;&gt;"",_xlpm.CSVVal
)),"")</f>
        <v/>
      </c>
      <c r="E483" s="2" t="str">
        <f>_xlfn.XLOOKUP(A483,My_Audit!A:A,My_Audit!D:D,"")&amp;""</f>
        <v/>
      </c>
      <c r="F483" s="2" t="str" cm="1">
        <f t="array" ref="F483">IFERROR(_xlfn.LET(
_xlpm.CSVVal,_xlfn.XLOOKUP($A483,CSV!$A:$A,CSV!F:F,""),
_xlpm.MacVal,_xlfn.XLOOKUP($A483,Output_Mac!$A:$A,Output_Mac!E:E,""),
_xlpm.MyAuditVal,_xlfn.XLOOKUP($A483,My_Audit!$A:$A,My_Audit!E:E,""),
_xlfn.IFS(_xlpm.MyAuditVal&lt;&gt;"",_xlpm.MyAuditVal,_xlpm.MacVal&lt;&gt;"",_xlpm.MacVal,_xlpm.CSVVal&lt;&gt;"",_xlpm.CSVVal
)),"")</f>
        <v/>
      </c>
      <c r="G483" s="2" t="str" cm="1">
        <f t="array" ref="G483">IFERROR(_xlfn.LET(
_xlpm.CSVVal,_xlfn.XLOOKUP($A483,CSV!$A:$A,CSV!G:G,""),
_xlpm.MacVal,_xlfn.XLOOKUP($A483,Output_Mac!$A:$A,Output_Mac!F:F,""),
_xlpm.MyAuditVal,_xlfn.XLOOKUP($A483,My_Audit!$A:$A,My_Audit!F:F,""),
_xlfn.IFS(_xlpm.MyAuditVal&lt;&gt;"",_xlpm.MyAuditVal,_xlpm.MacVal&lt;&gt;"",_xlpm.MacVal,_xlpm.CSVVal&lt;&gt;"",PROPER(_xlpm.CSVVal)
)),"")</f>
        <v/>
      </c>
      <c r="H483" s="2" t="str" cm="1">
        <f t="array" ref="H483">IFERROR(_xlfn.LET(
_xlpm.CSVVal,_xlfn.XLOOKUP($A483,CSV!$A:$A,CSV!H:H,""),
_xlpm.MacVal,_xlfn.XLOOKUP($A483,Output_Mac!$A:$A,Output_Mac!H:H,""),
_xlpm.MyAuditVal,_xlfn.XLOOKUP($A483,My_Audit!$A:$A,My_Audit!G:G,""),
_xlfn.IFS(_xlpm.MyAuditVal&lt;&gt;"",_xlpm.MyAuditVal,_xlpm.MacVal&lt;&gt;"",_xlpm.MacVal,_xlpm.CSVVal&lt;&gt;"",_xlpm.CSVVal
)),"")</f>
        <v/>
      </c>
      <c r="I483" s="2" t="str">
        <f>_xlfn.XLOOKUP(A483,Output_Mac!A:A,Output_Mac!I:I,"")</f>
        <v/>
      </c>
      <c r="J483" s="2" t="str" cm="1">
        <f t="array" ref="J483">IFERROR(_xlfn.LET(
_xlpm.CSVVal,_xlfn.XLOOKUP($A483,CSV!$A:$A,CSV!I:I,""),
_xlpm.MacVal,_xlfn.XLOOKUP($A483,Output_Mac!$A:$A,Output_Mac!J:J,""),
_xlpm.MyAuditVal,_xlfn.XLOOKUP($A483,My_Audit!$A:$A,My_Audit!I:I,""),
_xlfn.IFS(_xlpm.MyAuditVal&lt;&gt;"",UPPER(_xlpm.MyAuditVal),_xlpm.MacVal&lt;&gt;"",_xlpm.MacVal,_xlpm.CSVVal&lt;&gt;"",_xlpm.CSVVal
)),"")</f>
        <v/>
      </c>
      <c r="K483" s="2" t="str" cm="1">
        <f t="array" ref="K483">IFERROR(_xlfn.LET(
_xlpm.CSVVal,_xlfn.XLOOKUP($A483,CSV!$A:$A,CSV!K:K,""),
_xlpm.MacVal,_xlfn.XLOOKUP($A483,Output_Mac!$A:$A,Output_Mac!K:K,""),
_xlpm.MyAuditVal,_xlfn.XLOOKUP($A483,My_Audit!$A:$A,My_Audit!J:J,""),
_xlfn.IFS(_xlpm.MyAuditVal&lt;&gt;"",UPPER(_xlpm.MyAuditVal),_xlpm.MacVal&lt;&gt;"",_xlpm.MacVal,_xlpm.CSVVal&lt;&gt;"",_xlpm.CSVVal
)),"")</f>
        <v/>
      </c>
      <c r="L483" s="2" t="str" cm="1">
        <f t="array" ref="L483">IFERROR(_xlfn.LET(
_xlpm.CSVVal,_xlfn.XLOOKUP($A483,CSV!$A:$A,CSV!P:P,""),
_xlpm.MacVal,_xlfn.XLOOKUP($A483,Output_Mac!$A:$A,Output_Mac!L:L,""),
_xlpm.MyAuditVal,_xlfn.XLOOKUP($A483,My_Audit!$A:$A,My_Audit!K:K,""),
_xlfn.IFS(_xlpm.MyAuditVal&lt;&gt;"",UPPER(_xlpm.MyAuditVal),_xlpm.MacVal&lt;&gt;"",_xlpm.MacVal,_xlpm.CSVVal&lt;&gt;"",_xlpm.CSVVal
)),"")</f>
        <v/>
      </c>
      <c r="M483" s="2" t="str" cm="1">
        <f t="array" ref="M483">IFERROR(_xlfn.LET(
_xlpm.CSVVal,_xlfn.XLOOKUP($A483,CSV!$A:$A,CSV!Q:Q,""),
_xlpm.MacVal,_xlfn.XLOOKUP($A483,Output_Mac!$A:$A,Output_Mac!M:M,""),
_xlpm.MyAuditVal,_xlfn.XLOOKUP($A483,My_Audit!$A:$A,My_Audit!L:L,""),
_xlfn.IFS(_xlpm.MyAuditVal&lt;&gt;"",UPPER(_xlpm.MyAuditVal),_xlpm.MacVal&lt;&gt;"",_xlpm.MacVal,_xlpm.CSVVal&lt;&gt;"",_xlpm.CSVVal
)),"")</f>
        <v/>
      </c>
      <c r="O483" s="2" t="str">
        <f>_xlfn.LET(
    _xlpm.CSVVal, _xlfn.XLOOKUP($A483, CSV!$A:$A, CSV!AF:AF, ""),
    _xlpm.MacVal, _xlfn.XLOOKUP($A483, Output_Mac!$A:$A, Output_Mac!S:S, ""),
    _xlpm.MyAuditVal, _xlfn.XLOOKUP($A483, My_Audit!$A:$A, My_Audit!P:P, ""),
    _xlfn.TEXTJOIN(", ", TRUE, _xlpm.MyAuditVal, _xlpm.MacVal, _xlpm.CSVVal)
)</f>
        <v/>
      </c>
      <c r="P483" s="2" t="str" cm="1">
        <f t="array" ref="P483">IFERROR(_xlfn.LET(
_xlpm.CSVVal,_xlfn.XLOOKUP($A483,CSV!$A:$A,CSV!AG:AG,""),
_xlpm.MacVal,_xlfn.XLOOKUP($A483,Output_Mac!$A:$A,Output_Mac!T:T,""),
_xlpm.MyAuditVal,_xlfn.XLOOKUP($A483,My_Audit!$A:$A,My_Audit!Q:Q,""),
_xlfn.IFS(_xlpm.MyAuditVal&lt;&gt;"",UPPER(_xlpm.MyAuditVal),_xlpm.MacVal&lt;&gt;"",_xlpm.MacVal,_xlpm.CSVVal&lt;&gt;"",_xlpm.CSVVal
)),"No")</f>
        <v>No</v>
      </c>
      <c r="Q483" s="2" t="str" cm="1">
        <f t="array" ref="Q483">IFERROR(_xlfn.LET(
_xlpm.CSVVal,_xlfn.XLOOKUP($A483,CSV!$A:$A,CSV!AH:AH,""),
_xlpm.MacVal,_xlfn.XLOOKUP($A483,Output_Mac!$A:$A,Output_Mac!U:U,""),
_xlpm.MyAuditVal,_xlfn.XLOOKUP($A483,My_Audit!$A:$A,My_Audit!R:R,""),
_xlfn.IFS(_xlpm.MyAuditVal&lt;&gt;"",UPPER(_xlpm.MyAuditVal),_xlpm.MacVal&lt;&gt;"",_xlpm.MacVal,_xlpm.CSVVal&lt;&gt;"",_xlpm.CSVVal
)),"")</f>
        <v/>
      </c>
    </row>
    <row r="484" spans="1:17">
      <c r="A484" s="2" t="str">
        <f>_xlfn.TEXTJOIN("",TRUE,Input!$B$2,ROW(My_Audit!A483))</f>
        <v>XX483</v>
      </c>
      <c r="B484" s="2" t="str">
        <f>_xlfn.TEXTJOIN("-",TRUE,"ITD",Input!$A$2,A484)</f>
        <v>ITD-SHRXXX-XX483</v>
      </c>
      <c r="C484" s="2" t="str" cm="1">
        <f t="array" ref="C484">IFERROR(_xlfn.LET(
_xlpm.CSVVal,_xlfn.XLOOKUP($A484,CSV!$A:$A,CSV!B:B,""),
_xlpm.MacVal,_xlfn.XLOOKUP($A484,Output_Mac!$A:$A,Output_Mac!B:B,""),
_xlpm.MyAuditVal,_xlfn.XLOOKUP($A484,My_Audit!$A:$A,My_Audit!B:B,""),
_xlfn.IFS(_xlpm.MyAuditVal&lt;&gt;"",UPPER(_xlpm.MyAuditVal),_xlpm.MacVal&lt;&gt;"",_xlpm.MacVal,_xlpm.CSVVal&lt;&gt;"",_xlpm.CSVVal
)),"")</f>
        <v/>
      </c>
      <c r="D484" s="2" t="str" cm="1">
        <f t="array" ref="D484">IFERROR(_xlfn.LET(
_xlpm.CSVVal,_xlfn.XLOOKUP($A484,CSV!$A:$A,CSV!D:D,""),
_xlpm.MacVal,_xlfn.XLOOKUP($A484,Output_Mac!$A:$A,Output_Mac!C:C,""),
_xlpm.MyAuditVal,_xlfn.XLOOKUP($A484,My_Audit!$A:$A,My_Audit!C:C,""),
_xlfn.IFS(_xlpm.MyAuditVal&lt;&gt;"",_xlpm.MyAuditVal,_xlpm.MacVal&lt;&gt;"",_xlpm.MacVal,_xlpm.CSVVal&lt;&gt;"",_xlpm.CSVVal
)),"")</f>
        <v/>
      </c>
      <c r="E484" s="2" t="str">
        <f>_xlfn.XLOOKUP(A484,My_Audit!A:A,My_Audit!D:D,"")&amp;""</f>
        <v/>
      </c>
      <c r="F484" s="2" t="str" cm="1">
        <f t="array" ref="F484">IFERROR(_xlfn.LET(
_xlpm.CSVVal,_xlfn.XLOOKUP($A484,CSV!$A:$A,CSV!F:F,""),
_xlpm.MacVal,_xlfn.XLOOKUP($A484,Output_Mac!$A:$A,Output_Mac!E:E,""),
_xlpm.MyAuditVal,_xlfn.XLOOKUP($A484,My_Audit!$A:$A,My_Audit!E:E,""),
_xlfn.IFS(_xlpm.MyAuditVal&lt;&gt;"",_xlpm.MyAuditVal,_xlpm.MacVal&lt;&gt;"",_xlpm.MacVal,_xlpm.CSVVal&lt;&gt;"",_xlpm.CSVVal
)),"")</f>
        <v/>
      </c>
      <c r="G484" s="2" t="str" cm="1">
        <f t="array" ref="G484">IFERROR(_xlfn.LET(
_xlpm.CSVVal,_xlfn.XLOOKUP($A484,CSV!$A:$A,CSV!G:G,""),
_xlpm.MacVal,_xlfn.XLOOKUP($A484,Output_Mac!$A:$A,Output_Mac!F:F,""),
_xlpm.MyAuditVal,_xlfn.XLOOKUP($A484,My_Audit!$A:$A,My_Audit!F:F,""),
_xlfn.IFS(_xlpm.MyAuditVal&lt;&gt;"",_xlpm.MyAuditVal,_xlpm.MacVal&lt;&gt;"",_xlpm.MacVal,_xlpm.CSVVal&lt;&gt;"",PROPER(_xlpm.CSVVal)
)),"")</f>
        <v/>
      </c>
      <c r="H484" s="2" t="str" cm="1">
        <f t="array" ref="H484">IFERROR(_xlfn.LET(
_xlpm.CSVVal,_xlfn.XLOOKUP($A484,CSV!$A:$A,CSV!H:H,""),
_xlpm.MacVal,_xlfn.XLOOKUP($A484,Output_Mac!$A:$A,Output_Mac!H:H,""),
_xlpm.MyAuditVal,_xlfn.XLOOKUP($A484,My_Audit!$A:$A,My_Audit!G:G,""),
_xlfn.IFS(_xlpm.MyAuditVal&lt;&gt;"",_xlpm.MyAuditVal,_xlpm.MacVal&lt;&gt;"",_xlpm.MacVal,_xlpm.CSVVal&lt;&gt;"",_xlpm.CSVVal
)),"")</f>
        <v/>
      </c>
      <c r="I484" s="2" t="str">
        <f>_xlfn.XLOOKUP(A484,Output_Mac!A:A,Output_Mac!I:I,"")</f>
        <v/>
      </c>
      <c r="J484" s="2" t="str" cm="1">
        <f t="array" ref="J484">IFERROR(_xlfn.LET(
_xlpm.CSVVal,_xlfn.XLOOKUP($A484,CSV!$A:$A,CSV!I:I,""),
_xlpm.MacVal,_xlfn.XLOOKUP($A484,Output_Mac!$A:$A,Output_Mac!J:J,""),
_xlpm.MyAuditVal,_xlfn.XLOOKUP($A484,My_Audit!$A:$A,My_Audit!I:I,""),
_xlfn.IFS(_xlpm.MyAuditVal&lt;&gt;"",UPPER(_xlpm.MyAuditVal),_xlpm.MacVal&lt;&gt;"",_xlpm.MacVal,_xlpm.CSVVal&lt;&gt;"",_xlpm.CSVVal
)),"")</f>
        <v/>
      </c>
      <c r="K484" s="2" t="str" cm="1">
        <f t="array" ref="K484">IFERROR(_xlfn.LET(
_xlpm.CSVVal,_xlfn.XLOOKUP($A484,CSV!$A:$A,CSV!K:K,""),
_xlpm.MacVal,_xlfn.XLOOKUP($A484,Output_Mac!$A:$A,Output_Mac!K:K,""),
_xlpm.MyAuditVal,_xlfn.XLOOKUP($A484,My_Audit!$A:$A,My_Audit!J:J,""),
_xlfn.IFS(_xlpm.MyAuditVal&lt;&gt;"",UPPER(_xlpm.MyAuditVal),_xlpm.MacVal&lt;&gt;"",_xlpm.MacVal,_xlpm.CSVVal&lt;&gt;"",_xlpm.CSVVal
)),"")</f>
        <v/>
      </c>
      <c r="L484" s="2" t="str" cm="1">
        <f t="array" ref="L484">IFERROR(_xlfn.LET(
_xlpm.CSVVal,_xlfn.XLOOKUP($A484,CSV!$A:$A,CSV!P:P,""),
_xlpm.MacVal,_xlfn.XLOOKUP($A484,Output_Mac!$A:$A,Output_Mac!L:L,""),
_xlpm.MyAuditVal,_xlfn.XLOOKUP($A484,My_Audit!$A:$A,My_Audit!K:K,""),
_xlfn.IFS(_xlpm.MyAuditVal&lt;&gt;"",UPPER(_xlpm.MyAuditVal),_xlpm.MacVal&lt;&gt;"",_xlpm.MacVal,_xlpm.CSVVal&lt;&gt;"",_xlpm.CSVVal
)),"")</f>
        <v/>
      </c>
      <c r="M484" s="2" t="str" cm="1">
        <f t="array" ref="M484">IFERROR(_xlfn.LET(
_xlpm.CSVVal,_xlfn.XLOOKUP($A484,CSV!$A:$A,CSV!Q:Q,""),
_xlpm.MacVal,_xlfn.XLOOKUP($A484,Output_Mac!$A:$A,Output_Mac!M:M,""),
_xlpm.MyAuditVal,_xlfn.XLOOKUP($A484,My_Audit!$A:$A,My_Audit!L:L,""),
_xlfn.IFS(_xlpm.MyAuditVal&lt;&gt;"",UPPER(_xlpm.MyAuditVal),_xlpm.MacVal&lt;&gt;"",_xlpm.MacVal,_xlpm.CSVVal&lt;&gt;"",_xlpm.CSVVal
)),"")</f>
        <v/>
      </c>
      <c r="O484" s="2" t="str">
        <f>_xlfn.LET(
    _xlpm.CSVVal, _xlfn.XLOOKUP($A484, CSV!$A:$A, CSV!AF:AF, ""),
    _xlpm.MacVal, _xlfn.XLOOKUP($A484, Output_Mac!$A:$A, Output_Mac!S:S, ""),
    _xlpm.MyAuditVal, _xlfn.XLOOKUP($A484, My_Audit!$A:$A, My_Audit!P:P, ""),
    _xlfn.TEXTJOIN(", ", TRUE, _xlpm.MyAuditVal, _xlpm.MacVal, _xlpm.CSVVal)
)</f>
        <v/>
      </c>
      <c r="P484" s="2" t="str" cm="1">
        <f t="array" ref="P484">IFERROR(_xlfn.LET(
_xlpm.CSVVal,_xlfn.XLOOKUP($A484,CSV!$A:$A,CSV!AG:AG,""),
_xlpm.MacVal,_xlfn.XLOOKUP($A484,Output_Mac!$A:$A,Output_Mac!T:T,""),
_xlpm.MyAuditVal,_xlfn.XLOOKUP($A484,My_Audit!$A:$A,My_Audit!Q:Q,""),
_xlfn.IFS(_xlpm.MyAuditVal&lt;&gt;"",UPPER(_xlpm.MyAuditVal),_xlpm.MacVal&lt;&gt;"",_xlpm.MacVal,_xlpm.CSVVal&lt;&gt;"",_xlpm.CSVVal
)),"No")</f>
        <v>No</v>
      </c>
      <c r="Q484" s="2" t="str" cm="1">
        <f t="array" ref="Q484">IFERROR(_xlfn.LET(
_xlpm.CSVVal,_xlfn.XLOOKUP($A484,CSV!$A:$A,CSV!AH:AH,""),
_xlpm.MacVal,_xlfn.XLOOKUP($A484,Output_Mac!$A:$A,Output_Mac!U:U,""),
_xlpm.MyAuditVal,_xlfn.XLOOKUP($A484,My_Audit!$A:$A,My_Audit!R:R,""),
_xlfn.IFS(_xlpm.MyAuditVal&lt;&gt;"",UPPER(_xlpm.MyAuditVal),_xlpm.MacVal&lt;&gt;"",_xlpm.MacVal,_xlpm.CSVVal&lt;&gt;"",_xlpm.CSVVal
)),"")</f>
        <v/>
      </c>
    </row>
    <row r="485" spans="1:17">
      <c r="A485" s="2" t="str">
        <f>_xlfn.TEXTJOIN("",TRUE,Input!$B$2,ROW(My_Audit!A484))</f>
        <v>XX484</v>
      </c>
      <c r="B485" s="2" t="str">
        <f>_xlfn.TEXTJOIN("-",TRUE,"ITD",Input!$A$2,A485)</f>
        <v>ITD-SHRXXX-XX484</v>
      </c>
      <c r="C485" s="2" t="str" cm="1">
        <f t="array" ref="C485">IFERROR(_xlfn.LET(
_xlpm.CSVVal,_xlfn.XLOOKUP($A485,CSV!$A:$A,CSV!B:B,""),
_xlpm.MacVal,_xlfn.XLOOKUP($A485,Output_Mac!$A:$A,Output_Mac!B:B,""),
_xlpm.MyAuditVal,_xlfn.XLOOKUP($A485,My_Audit!$A:$A,My_Audit!B:B,""),
_xlfn.IFS(_xlpm.MyAuditVal&lt;&gt;"",UPPER(_xlpm.MyAuditVal),_xlpm.MacVal&lt;&gt;"",_xlpm.MacVal,_xlpm.CSVVal&lt;&gt;"",_xlpm.CSVVal
)),"")</f>
        <v/>
      </c>
      <c r="D485" s="2" t="str" cm="1">
        <f t="array" ref="D485">IFERROR(_xlfn.LET(
_xlpm.CSVVal,_xlfn.XLOOKUP($A485,CSV!$A:$A,CSV!D:D,""),
_xlpm.MacVal,_xlfn.XLOOKUP($A485,Output_Mac!$A:$A,Output_Mac!C:C,""),
_xlpm.MyAuditVal,_xlfn.XLOOKUP($A485,My_Audit!$A:$A,My_Audit!C:C,""),
_xlfn.IFS(_xlpm.MyAuditVal&lt;&gt;"",_xlpm.MyAuditVal,_xlpm.MacVal&lt;&gt;"",_xlpm.MacVal,_xlpm.CSVVal&lt;&gt;"",_xlpm.CSVVal
)),"")</f>
        <v/>
      </c>
      <c r="E485" s="2" t="str">
        <f>_xlfn.XLOOKUP(A485,My_Audit!A:A,My_Audit!D:D,"")&amp;""</f>
        <v/>
      </c>
      <c r="F485" s="2" t="str" cm="1">
        <f t="array" ref="F485">IFERROR(_xlfn.LET(
_xlpm.CSVVal,_xlfn.XLOOKUP($A485,CSV!$A:$A,CSV!F:F,""),
_xlpm.MacVal,_xlfn.XLOOKUP($A485,Output_Mac!$A:$A,Output_Mac!E:E,""),
_xlpm.MyAuditVal,_xlfn.XLOOKUP($A485,My_Audit!$A:$A,My_Audit!E:E,""),
_xlfn.IFS(_xlpm.MyAuditVal&lt;&gt;"",_xlpm.MyAuditVal,_xlpm.MacVal&lt;&gt;"",_xlpm.MacVal,_xlpm.CSVVal&lt;&gt;"",_xlpm.CSVVal
)),"")</f>
        <v/>
      </c>
      <c r="G485" s="2" t="str" cm="1">
        <f t="array" ref="G485">IFERROR(_xlfn.LET(
_xlpm.CSVVal,_xlfn.XLOOKUP($A485,CSV!$A:$A,CSV!G:G,""),
_xlpm.MacVal,_xlfn.XLOOKUP($A485,Output_Mac!$A:$A,Output_Mac!F:F,""),
_xlpm.MyAuditVal,_xlfn.XLOOKUP($A485,My_Audit!$A:$A,My_Audit!F:F,""),
_xlfn.IFS(_xlpm.MyAuditVal&lt;&gt;"",_xlpm.MyAuditVal,_xlpm.MacVal&lt;&gt;"",_xlpm.MacVal,_xlpm.CSVVal&lt;&gt;"",PROPER(_xlpm.CSVVal)
)),"")</f>
        <v/>
      </c>
      <c r="H485" s="2" t="str" cm="1">
        <f t="array" ref="H485">IFERROR(_xlfn.LET(
_xlpm.CSVVal,_xlfn.XLOOKUP($A485,CSV!$A:$A,CSV!H:H,""),
_xlpm.MacVal,_xlfn.XLOOKUP($A485,Output_Mac!$A:$A,Output_Mac!H:H,""),
_xlpm.MyAuditVal,_xlfn.XLOOKUP($A485,My_Audit!$A:$A,My_Audit!G:G,""),
_xlfn.IFS(_xlpm.MyAuditVal&lt;&gt;"",_xlpm.MyAuditVal,_xlpm.MacVal&lt;&gt;"",_xlpm.MacVal,_xlpm.CSVVal&lt;&gt;"",_xlpm.CSVVal
)),"")</f>
        <v/>
      </c>
      <c r="I485" s="2" t="str">
        <f>_xlfn.XLOOKUP(A485,Output_Mac!A:A,Output_Mac!I:I,"")</f>
        <v/>
      </c>
      <c r="J485" s="2" t="str" cm="1">
        <f t="array" ref="J485">IFERROR(_xlfn.LET(
_xlpm.CSVVal,_xlfn.XLOOKUP($A485,CSV!$A:$A,CSV!I:I,""),
_xlpm.MacVal,_xlfn.XLOOKUP($A485,Output_Mac!$A:$A,Output_Mac!J:J,""),
_xlpm.MyAuditVal,_xlfn.XLOOKUP($A485,My_Audit!$A:$A,My_Audit!I:I,""),
_xlfn.IFS(_xlpm.MyAuditVal&lt;&gt;"",UPPER(_xlpm.MyAuditVal),_xlpm.MacVal&lt;&gt;"",_xlpm.MacVal,_xlpm.CSVVal&lt;&gt;"",_xlpm.CSVVal
)),"")</f>
        <v/>
      </c>
      <c r="K485" s="2" t="str" cm="1">
        <f t="array" ref="K485">IFERROR(_xlfn.LET(
_xlpm.CSVVal,_xlfn.XLOOKUP($A485,CSV!$A:$A,CSV!K:K,""),
_xlpm.MacVal,_xlfn.XLOOKUP($A485,Output_Mac!$A:$A,Output_Mac!K:K,""),
_xlpm.MyAuditVal,_xlfn.XLOOKUP($A485,My_Audit!$A:$A,My_Audit!J:J,""),
_xlfn.IFS(_xlpm.MyAuditVal&lt;&gt;"",UPPER(_xlpm.MyAuditVal),_xlpm.MacVal&lt;&gt;"",_xlpm.MacVal,_xlpm.CSVVal&lt;&gt;"",_xlpm.CSVVal
)),"")</f>
        <v/>
      </c>
      <c r="L485" s="2" t="str" cm="1">
        <f t="array" ref="L485">IFERROR(_xlfn.LET(
_xlpm.CSVVal,_xlfn.XLOOKUP($A485,CSV!$A:$A,CSV!P:P,""),
_xlpm.MacVal,_xlfn.XLOOKUP($A485,Output_Mac!$A:$A,Output_Mac!L:L,""),
_xlpm.MyAuditVal,_xlfn.XLOOKUP($A485,My_Audit!$A:$A,My_Audit!K:K,""),
_xlfn.IFS(_xlpm.MyAuditVal&lt;&gt;"",UPPER(_xlpm.MyAuditVal),_xlpm.MacVal&lt;&gt;"",_xlpm.MacVal,_xlpm.CSVVal&lt;&gt;"",_xlpm.CSVVal
)),"")</f>
        <v/>
      </c>
      <c r="M485" s="2" t="str" cm="1">
        <f t="array" ref="M485">IFERROR(_xlfn.LET(
_xlpm.CSVVal,_xlfn.XLOOKUP($A485,CSV!$A:$A,CSV!Q:Q,""),
_xlpm.MacVal,_xlfn.XLOOKUP($A485,Output_Mac!$A:$A,Output_Mac!M:M,""),
_xlpm.MyAuditVal,_xlfn.XLOOKUP($A485,My_Audit!$A:$A,My_Audit!L:L,""),
_xlfn.IFS(_xlpm.MyAuditVal&lt;&gt;"",UPPER(_xlpm.MyAuditVal),_xlpm.MacVal&lt;&gt;"",_xlpm.MacVal,_xlpm.CSVVal&lt;&gt;"",_xlpm.CSVVal
)),"")</f>
        <v/>
      </c>
      <c r="O485" s="2" t="str">
        <f>_xlfn.LET(
    _xlpm.CSVVal, _xlfn.XLOOKUP($A485, CSV!$A:$A, CSV!AF:AF, ""),
    _xlpm.MacVal, _xlfn.XLOOKUP($A485, Output_Mac!$A:$A, Output_Mac!S:S, ""),
    _xlpm.MyAuditVal, _xlfn.XLOOKUP($A485, My_Audit!$A:$A, My_Audit!P:P, ""),
    _xlfn.TEXTJOIN(", ", TRUE, _xlpm.MyAuditVal, _xlpm.MacVal, _xlpm.CSVVal)
)</f>
        <v/>
      </c>
      <c r="P485" s="2" t="str" cm="1">
        <f t="array" ref="P485">IFERROR(_xlfn.LET(
_xlpm.CSVVal,_xlfn.XLOOKUP($A485,CSV!$A:$A,CSV!AG:AG,""),
_xlpm.MacVal,_xlfn.XLOOKUP($A485,Output_Mac!$A:$A,Output_Mac!T:T,""),
_xlpm.MyAuditVal,_xlfn.XLOOKUP($A485,My_Audit!$A:$A,My_Audit!Q:Q,""),
_xlfn.IFS(_xlpm.MyAuditVal&lt;&gt;"",UPPER(_xlpm.MyAuditVal),_xlpm.MacVal&lt;&gt;"",_xlpm.MacVal,_xlpm.CSVVal&lt;&gt;"",_xlpm.CSVVal
)),"No")</f>
        <v>No</v>
      </c>
      <c r="Q485" s="2" t="str" cm="1">
        <f t="array" ref="Q485">IFERROR(_xlfn.LET(
_xlpm.CSVVal,_xlfn.XLOOKUP($A485,CSV!$A:$A,CSV!AH:AH,""),
_xlpm.MacVal,_xlfn.XLOOKUP($A485,Output_Mac!$A:$A,Output_Mac!U:U,""),
_xlpm.MyAuditVal,_xlfn.XLOOKUP($A485,My_Audit!$A:$A,My_Audit!R:R,""),
_xlfn.IFS(_xlpm.MyAuditVal&lt;&gt;"",UPPER(_xlpm.MyAuditVal),_xlpm.MacVal&lt;&gt;"",_xlpm.MacVal,_xlpm.CSVVal&lt;&gt;"",_xlpm.CSVVal
)),"")</f>
        <v/>
      </c>
    </row>
    <row r="486" spans="1:17">
      <c r="A486" s="2" t="str">
        <f>_xlfn.TEXTJOIN("",TRUE,Input!$B$2,ROW(My_Audit!A485))</f>
        <v>XX485</v>
      </c>
      <c r="B486" s="2" t="str">
        <f>_xlfn.TEXTJOIN("-",TRUE,"ITD",Input!$A$2,A486)</f>
        <v>ITD-SHRXXX-XX485</v>
      </c>
      <c r="C486" s="2" t="str" cm="1">
        <f t="array" ref="C486">IFERROR(_xlfn.LET(
_xlpm.CSVVal,_xlfn.XLOOKUP($A486,CSV!$A:$A,CSV!B:B,""),
_xlpm.MacVal,_xlfn.XLOOKUP($A486,Output_Mac!$A:$A,Output_Mac!B:B,""),
_xlpm.MyAuditVal,_xlfn.XLOOKUP($A486,My_Audit!$A:$A,My_Audit!B:B,""),
_xlfn.IFS(_xlpm.MyAuditVal&lt;&gt;"",UPPER(_xlpm.MyAuditVal),_xlpm.MacVal&lt;&gt;"",_xlpm.MacVal,_xlpm.CSVVal&lt;&gt;"",_xlpm.CSVVal
)),"")</f>
        <v/>
      </c>
      <c r="D486" s="2" t="str" cm="1">
        <f t="array" ref="D486">IFERROR(_xlfn.LET(
_xlpm.CSVVal,_xlfn.XLOOKUP($A486,CSV!$A:$A,CSV!D:D,""),
_xlpm.MacVal,_xlfn.XLOOKUP($A486,Output_Mac!$A:$A,Output_Mac!C:C,""),
_xlpm.MyAuditVal,_xlfn.XLOOKUP($A486,My_Audit!$A:$A,My_Audit!C:C,""),
_xlfn.IFS(_xlpm.MyAuditVal&lt;&gt;"",_xlpm.MyAuditVal,_xlpm.MacVal&lt;&gt;"",_xlpm.MacVal,_xlpm.CSVVal&lt;&gt;"",_xlpm.CSVVal
)),"")</f>
        <v/>
      </c>
      <c r="E486" s="2" t="str">
        <f>_xlfn.XLOOKUP(A486,My_Audit!A:A,My_Audit!D:D,"")&amp;""</f>
        <v/>
      </c>
      <c r="F486" s="2" t="str" cm="1">
        <f t="array" ref="F486">IFERROR(_xlfn.LET(
_xlpm.CSVVal,_xlfn.XLOOKUP($A486,CSV!$A:$A,CSV!F:F,""),
_xlpm.MacVal,_xlfn.XLOOKUP($A486,Output_Mac!$A:$A,Output_Mac!E:E,""),
_xlpm.MyAuditVal,_xlfn.XLOOKUP($A486,My_Audit!$A:$A,My_Audit!E:E,""),
_xlfn.IFS(_xlpm.MyAuditVal&lt;&gt;"",_xlpm.MyAuditVal,_xlpm.MacVal&lt;&gt;"",_xlpm.MacVal,_xlpm.CSVVal&lt;&gt;"",_xlpm.CSVVal
)),"")</f>
        <v/>
      </c>
      <c r="G486" s="2" t="str" cm="1">
        <f t="array" ref="G486">IFERROR(_xlfn.LET(
_xlpm.CSVVal,_xlfn.XLOOKUP($A486,CSV!$A:$A,CSV!G:G,""),
_xlpm.MacVal,_xlfn.XLOOKUP($A486,Output_Mac!$A:$A,Output_Mac!F:F,""),
_xlpm.MyAuditVal,_xlfn.XLOOKUP($A486,My_Audit!$A:$A,My_Audit!F:F,""),
_xlfn.IFS(_xlpm.MyAuditVal&lt;&gt;"",_xlpm.MyAuditVal,_xlpm.MacVal&lt;&gt;"",_xlpm.MacVal,_xlpm.CSVVal&lt;&gt;"",PROPER(_xlpm.CSVVal)
)),"")</f>
        <v/>
      </c>
      <c r="H486" s="2" t="str" cm="1">
        <f t="array" ref="H486">IFERROR(_xlfn.LET(
_xlpm.CSVVal,_xlfn.XLOOKUP($A486,CSV!$A:$A,CSV!H:H,""),
_xlpm.MacVal,_xlfn.XLOOKUP($A486,Output_Mac!$A:$A,Output_Mac!H:H,""),
_xlpm.MyAuditVal,_xlfn.XLOOKUP($A486,My_Audit!$A:$A,My_Audit!G:G,""),
_xlfn.IFS(_xlpm.MyAuditVal&lt;&gt;"",_xlpm.MyAuditVal,_xlpm.MacVal&lt;&gt;"",_xlpm.MacVal,_xlpm.CSVVal&lt;&gt;"",_xlpm.CSVVal
)),"")</f>
        <v/>
      </c>
      <c r="I486" s="2" t="str">
        <f>_xlfn.XLOOKUP(A486,Output_Mac!A:A,Output_Mac!I:I,"")</f>
        <v/>
      </c>
      <c r="J486" s="2" t="str" cm="1">
        <f t="array" ref="J486">IFERROR(_xlfn.LET(
_xlpm.CSVVal,_xlfn.XLOOKUP($A486,CSV!$A:$A,CSV!I:I,""),
_xlpm.MacVal,_xlfn.XLOOKUP($A486,Output_Mac!$A:$A,Output_Mac!J:J,""),
_xlpm.MyAuditVal,_xlfn.XLOOKUP($A486,My_Audit!$A:$A,My_Audit!I:I,""),
_xlfn.IFS(_xlpm.MyAuditVal&lt;&gt;"",UPPER(_xlpm.MyAuditVal),_xlpm.MacVal&lt;&gt;"",_xlpm.MacVal,_xlpm.CSVVal&lt;&gt;"",_xlpm.CSVVal
)),"")</f>
        <v/>
      </c>
      <c r="K486" s="2" t="str" cm="1">
        <f t="array" ref="K486">IFERROR(_xlfn.LET(
_xlpm.CSVVal,_xlfn.XLOOKUP($A486,CSV!$A:$A,CSV!K:K,""),
_xlpm.MacVal,_xlfn.XLOOKUP($A486,Output_Mac!$A:$A,Output_Mac!K:K,""),
_xlpm.MyAuditVal,_xlfn.XLOOKUP($A486,My_Audit!$A:$A,My_Audit!J:J,""),
_xlfn.IFS(_xlpm.MyAuditVal&lt;&gt;"",UPPER(_xlpm.MyAuditVal),_xlpm.MacVal&lt;&gt;"",_xlpm.MacVal,_xlpm.CSVVal&lt;&gt;"",_xlpm.CSVVal
)),"")</f>
        <v/>
      </c>
      <c r="L486" s="2" t="str" cm="1">
        <f t="array" ref="L486">IFERROR(_xlfn.LET(
_xlpm.CSVVal,_xlfn.XLOOKUP($A486,CSV!$A:$A,CSV!P:P,""),
_xlpm.MacVal,_xlfn.XLOOKUP($A486,Output_Mac!$A:$A,Output_Mac!L:L,""),
_xlpm.MyAuditVal,_xlfn.XLOOKUP($A486,My_Audit!$A:$A,My_Audit!K:K,""),
_xlfn.IFS(_xlpm.MyAuditVal&lt;&gt;"",UPPER(_xlpm.MyAuditVal),_xlpm.MacVal&lt;&gt;"",_xlpm.MacVal,_xlpm.CSVVal&lt;&gt;"",_xlpm.CSVVal
)),"")</f>
        <v/>
      </c>
      <c r="M486" s="2" t="str" cm="1">
        <f t="array" ref="M486">IFERROR(_xlfn.LET(
_xlpm.CSVVal,_xlfn.XLOOKUP($A486,CSV!$A:$A,CSV!Q:Q,""),
_xlpm.MacVal,_xlfn.XLOOKUP($A486,Output_Mac!$A:$A,Output_Mac!M:M,""),
_xlpm.MyAuditVal,_xlfn.XLOOKUP($A486,My_Audit!$A:$A,My_Audit!L:L,""),
_xlfn.IFS(_xlpm.MyAuditVal&lt;&gt;"",UPPER(_xlpm.MyAuditVal),_xlpm.MacVal&lt;&gt;"",_xlpm.MacVal,_xlpm.CSVVal&lt;&gt;"",_xlpm.CSVVal
)),"")</f>
        <v/>
      </c>
      <c r="O486" s="2" t="str">
        <f>_xlfn.LET(
    _xlpm.CSVVal, _xlfn.XLOOKUP($A486, CSV!$A:$A, CSV!AF:AF, ""),
    _xlpm.MacVal, _xlfn.XLOOKUP($A486, Output_Mac!$A:$A, Output_Mac!S:S, ""),
    _xlpm.MyAuditVal, _xlfn.XLOOKUP($A486, My_Audit!$A:$A, My_Audit!P:P, ""),
    _xlfn.TEXTJOIN(", ", TRUE, _xlpm.MyAuditVal, _xlpm.MacVal, _xlpm.CSVVal)
)</f>
        <v/>
      </c>
      <c r="P486" s="2" t="str" cm="1">
        <f t="array" ref="P486">IFERROR(_xlfn.LET(
_xlpm.CSVVal,_xlfn.XLOOKUP($A486,CSV!$A:$A,CSV!AG:AG,""),
_xlpm.MacVal,_xlfn.XLOOKUP($A486,Output_Mac!$A:$A,Output_Mac!T:T,""),
_xlpm.MyAuditVal,_xlfn.XLOOKUP($A486,My_Audit!$A:$A,My_Audit!Q:Q,""),
_xlfn.IFS(_xlpm.MyAuditVal&lt;&gt;"",UPPER(_xlpm.MyAuditVal),_xlpm.MacVal&lt;&gt;"",_xlpm.MacVal,_xlpm.CSVVal&lt;&gt;"",_xlpm.CSVVal
)),"No")</f>
        <v>No</v>
      </c>
      <c r="Q486" s="2" t="str" cm="1">
        <f t="array" ref="Q486">IFERROR(_xlfn.LET(
_xlpm.CSVVal,_xlfn.XLOOKUP($A486,CSV!$A:$A,CSV!AH:AH,""),
_xlpm.MacVal,_xlfn.XLOOKUP($A486,Output_Mac!$A:$A,Output_Mac!U:U,""),
_xlpm.MyAuditVal,_xlfn.XLOOKUP($A486,My_Audit!$A:$A,My_Audit!R:R,""),
_xlfn.IFS(_xlpm.MyAuditVal&lt;&gt;"",UPPER(_xlpm.MyAuditVal),_xlpm.MacVal&lt;&gt;"",_xlpm.MacVal,_xlpm.CSVVal&lt;&gt;"",_xlpm.CSVVal
)),"")</f>
        <v/>
      </c>
    </row>
    <row r="487" spans="1:17">
      <c r="A487" s="2" t="str">
        <f>_xlfn.TEXTJOIN("",TRUE,Input!$B$2,ROW(My_Audit!A486))</f>
        <v>XX486</v>
      </c>
      <c r="B487" s="2" t="str">
        <f>_xlfn.TEXTJOIN("-",TRUE,"ITD",Input!$A$2,A487)</f>
        <v>ITD-SHRXXX-XX486</v>
      </c>
      <c r="C487" s="2" t="str" cm="1">
        <f t="array" ref="C487">IFERROR(_xlfn.LET(
_xlpm.CSVVal,_xlfn.XLOOKUP($A487,CSV!$A:$A,CSV!B:B,""),
_xlpm.MacVal,_xlfn.XLOOKUP($A487,Output_Mac!$A:$A,Output_Mac!B:B,""),
_xlpm.MyAuditVal,_xlfn.XLOOKUP($A487,My_Audit!$A:$A,My_Audit!B:B,""),
_xlfn.IFS(_xlpm.MyAuditVal&lt;&gt;"",UPPER(_xlpm.MyAuditVal),_xlpm.MacVal&lt;&gt;"",_xlpm.MacVal,_xlpm.CSVVal&lt;&gt;"",_xlpm.CSVVal
)),"")</f>
        <v/>
      </c>
      <c r="D487" s="2" t="str" cm="1">
        <f t="array" ref="D487">IFERROR(_xlfn.LET(
_xlpm.CSVVal,_xlfn.XLOOKUP($A487,CSV!$A:$A,CSV!D:D,""),
_xlpm.MacVal,_xlfn.XLOOKUP($A487,Output_Mac!$A:$A,Output_Mac!C:C,""),
_xlpm.MyAuditVal,_xlfn.XLOOKUP($A487,My_Audit!$A:$A,My_Audit!C:C,""),
_xlfn.IFS(_xlpm.MyAuditVal&lt;&gt;"",_xlpm.MyAuditVal,_xlpm.MacVal&lt;&gt;"",_xlpm.MacVal,_xlpm.CSVVal&lt;&gt;"",_xlpm.CSVVal
)),"")</f>
        <v/>
      </c>
      <c r="E487" s="2" t="str">
        <f>_xlfn.XLOOKUP(A487,My_Audit!A:A,My_Audit!D:D,"")&amp;""</f>
        <v/>
      </c>
      <c r="F487" s="2" t="str" cm="1">
        <f t="array" ref="F487">IFERROR(_xlfn.LET(
_xlpm.CSVVal,_xlfn.XLOOKUP($A487,CSV!$A:$A,CSV!F:F,""),
_xlpm.MacVal,_xlfn.XLOOKUP($A487,Output_Mac!$A:$A,Output_Mac!E:E,""),
_xlpm.MyAuditVal,_xlfn.XLOOKUP($A487,My_Audit!$A:$A,My_Audit!E:E,""),
_xlfn.IFS(_xlpm.MyAuditVal&lt;&gt;"",_xlpm.MyAuditVal,_xlpm.MacVal&lt;&gt;"",_xlpm.MacVal,_xlpm.CSVVal&lt;&gt;"",_xlpm.CSVVal
)),"")</f>
        <v/>
      </c>
      <c r="G487" s="2" t="str" cm="1">
        <f t="array" ref="G487">IFERROR(_xlfn.LET(
_xlpm.CSVVal,_xlfn.XLOOKUP($A487,CSV!$A:$A,CSV!G:G,""),
_xlpm.MacVal,_xlfn.XLOOKUP($A487,Output_Mac!$A:$A,Output_Mac!F:F,""),
_xlpm.MyAuditVal,_xlfn.XLOOKUP($A487,My_Audit!$A:$A,My_Audit!F:F,""),
_xlfn.IFS(_xlpm.MyAuditVal&lt;&gt;"",_xlpm.MyAuditVal,_xlpm.MacVal&lt;&gt;"",_xlpm.MacVal,_xlpm.CSVVal&lt;&gt;"",PROPER(_xlpm.CSVVal)
)),"")</f>
        <v/>
      </c>
      <c r="H487" s="2" t="str" cm="1">
        <f t="array" ref="H487">IFERROR(_xlfn.LET(
_xlpm.CSVVal,_xlfn.XLOOKUP($A487,CSV!$A:$A,CSV!H:H,""),
_xlpm.MacVal,_xlfn.XLOOKUP($A487,Output_Mac!$A:$A,Output_Mac!H:H,""),
_xlpm.MyAuditVal,_xlfn.XLOOKUP($A487,My_Audit!$A:$A,My_Audit!G:G,""),
_xlfn.IFS(_xlpm.MyAuditVal&lt;&gt;"",_xlpm.MyAuditVal,_xlpm.MacVal&lt;&gt;"",_xlpm.MacVal,_xlpm.CSVVal&lt;&gt;"",_xlpm.CSVVal
)),"")</f>
        <v/>
      </c>
      <c r="I487" s="2" t="str">
        <f>_xlfn.XLOOKUP(A487,Output_Mac!A:A,Output_Mac!I:I,"")</f>
        <v/>
      </c>
      <c r="J487" s="2" t="str" cm="1">
        <f t="array" ref="J487">IFERROR(_xlfn.LET(
_xlpm.CSVVal,_xlfn.XLOOKUP($A487,CSV!$A:$A,CSV!I:I,""),
_xlpm.MacVal,_xlfn.XLOOKUP($A487,Output_Mac!$A:$A,Output_Mac!J:J,""),
_xlpm.MyAuditVal,_xlfn.XLOOKUP($A487,My_Audit!$A:$A,My_Audit!I:I,""),
_xlfn.IFS(_xlpm.MyAuditVal&lt;&gt;"",UPPER(_xlpm.MyAuditVal),_xlpm.MacVal&lt;&gt;"",_xlpm.MacVal,_xlpm.CSVVal&lt;&gt;"",_xlpm.CSVVal
)),"")</f>
        <v/>
      </c>
      <c r="K487" s="2" t="str" cm="1">
        <f t="array" ref="K487">IFERROR(_xlfn.LET(
_xlpm.CSVVal,_xlfn.XLOOKUP($A487,CSV!$A:$A,CSV!K:K,""),
_xlpm.MacVal,_xlfn.XLOOKUP($A487,Output_Mac!$A:$A,Output_Mac!K:K,""),
_xlpm.MyAuditVal,_xlfn.XLOOKUP($A487,My_Audit!$A:$A,My_Audit!J:J,""),
_xlfn.IFS(_xlpm.MyAuditVal&lt;&gt;"",UPPER(_xlpm.MyAuditVal),_xlpm.MacVal&lt;&gt;"",_xlpm.MacVal,_xlpm.CSVVal&lt;&gt;"",_xlpm.CSVVal
)),"")</f>
        <v/>
      </c>
      <c r="L487" s="2" t="str" cm="1">
        <f t="array" ref="L487">IFERROR(_xlfn.LET(
_xlpm.CSVVal,_xlfn.XLOOKUP($A487,CSV!$A:$A,CSV!P:P,""),
_xlpm.MacVal,_xlfn.XLOOKUP($A487,Output_Mac!$A:$A,Output_Mac!L:L,""),
_xlpm.MyAuditVal,_xlfn.XLOOKUP($A487,My_Audit!$A:$A,My_Audit!K:K,""),
_xlfn.IFS(_xlpm.MyAuditVal&lt;&gt;"",UPPER(_xlpm.MyAuditVal),_xlpm.MacVal&lt;&gt;"",_xlpm.MacVal,_xlpm.CSVVal&lt;&gt;"",_xlpm.CSVVal
)),"")</f>
        <v/>
      </c>
      <c r="M487" s="2" t="str" cm="1">
        <f t="array" ref="M487">IFERROR(_xlfn.LET(
_xlpm.CSVVal,_xlfn.XLOOKUP($A487,CSV!$A:$A,CSV!Q:Q,""),
_xlpm.MacVal,_xlfn.XLOOKUP($A487,Output_Mac!$A:$A,Output_Mac!M:M,""),
_xlpm.MyAuditVal,_xlfn.XLOOKUP($A487,My_Audit!$A:$A,My_Audit!L:L,""),
_xlfn.IFS(_xlpm.MyAuditVal&lt;&gt;"",UPPER(_xlpm.MyAuditVal),_xlpm.MacVal&lt;&gt;"",_xlpm.MacVal,_xlpm.CSVVal&lt;&gt;"",_xlpm.CSVVal
)),"")</f>
        <v/>
      </c>
      <c r="O487" s="2" t="str">
        <f>_xlfn.LET(
    _xlpm.CSVVal, _xlfn.XLOOKUP($A487, CSV!$A:$A, CSV!AF:AF, ""),
    _xlpm.MacVal, _xlfn.XLOOKUP($A487, Output_Mac!$A:$A, Output_Mac!S:S, ""),
    _xlpm.MyAuditVal, _xlfn.XLOOKUP($A487, My_Audit!$A:$A, My_Audit!P:P, ""),
    _xlfn.TEXTJOIN(", ", TRUE, _xlpm.MyAuditVal, _xlpm.MacVal, _xlpm.CSVVal)
)</f>
        <v/>
      </c>
      <c r="P487" s="2" t="str" cm="1">
        <f t="array" ref="P487">IFERROR(_xlfn.LET(
_xlpm.CSVVal,_xlfn.XLOOKUP($A487,CSV!$A:$A,CSV!AG:AG,""),
_xlpm.MacVal,_xlfn.XLOOKUP($A487,Output_Mac!$A:$A,Output_Mac!T:T,""),
_xlpm.MyAuditVal,_xlfn.XLOOKUP($A487,My_Audit!$A:$A,My_Audit!Q:Q,""),
_xlfn.IFS(_xlpm.MyAuditVal&lt;&gt;"",UPPER(_xlpm.MyAuditVal),_xlpm.MacVal&lt;&gt;"",_xlpm.MacVal,_xlpm.CSVVal&lt;&gt;"",_xlpm.CSVVal
)),"No")</f>
        <v>No</v>
      </c>
      <c r="Q487" s="2" t="str" cm="1">
        <f t="array" ref="Q487">IFERROR(_xlfn.LET(
_xlpm.CSVVal,_xlfn.XLOOKUP($A487,CSV!$A:$A,CSV!AH:AH,""),
_xlpm.MacVal,_xlfn.XLOOKUP($A487,Output_Mac!$A:$A,Output_Mac!U:U,""),
_xlpm.MyAuditVal,_xlfn.XLOOKUP($A487,My_Audit!$A:$A,My_Audit!R:R,""),
_xlfn.IFS(_xlpm.MyAuditVal&lt;&gt;"",UPPER(_xlpm.MyAuditVal),_xlpm.MacVal&lt;&gt;"",_xlpm.MacVal,_xlpm.CSVVal&lt;&gt;"",_xlpm.CSVVal
)),"")</f>
        <v/>
      </c>
    </row>
    <row r="488" spans="1:17">
      <c r="A488" s="2" t="str">
        <f>_xlfn.TEXTJOIN("",TRUE,Input!$B$2,ROW(My_Audit!A487))</f>
        <v>XX487</v>
      </c>
      <c r="B488" s="2" t="str">
        <f>_xlfn.TEXTJOIN("-",TRUE,"ITD",Input!$A$2,A488)</f>
        <v>ITD-SHRXXX-XX487</v>
      </c>
      <c r="C488" s="2" t="str" cm="1">
        <f t="array" ref="C488">IFERROR(_xlfn.LET(
_xlpm.CSVVal,_xlfn.XLOOKUP($A488,CSV!$A:$A,CSV!B:B,""),
_xlpm.MacVal,_xlfn.XLOOKUP($A488,Output_Mac!$A:$A,Output_Mac!B:B,""),
_xlpm.MyAuditVal,_xlfn.XLOOKUP($A488,My_Audit!$A:$A,My_Audit!B:B,""),
_xlfn.IFS(_xlpm.MyAuditVal&lt;&gt;"",UPPER(_xlpm.MyAuditVal),_xlpm.MacVal&lt;&gt;"",_xlpm.MacVal,_xlpm.CSVVal&lt;&gt;"",_xlpm.CSVVal
)),"")</f>
        <v/>
      </c>
      <c r="D488" s="2" t="str" cm="1">
        <f t="array" ref="D488">IFERROR(_xlfn.LET(
_xlpm.CSVVal,_xlfn.XLOOKUP($A488,CSV!$A:$A,CSV!D:D,""),
_xlpm.MacVal,_xlfn.XLOOKUP($A488,Output_Mac!$A:$A,Output_Mac!C:C,""),
_xlpm.MyAuditVal,_xlfn.XLOOKUP($A488,My_Audit!$A:$A,My_Audit!C:C,""),
_xlfn.IFS(_xlpm.MyAuditVal&lt;&gt;"",_xlpm.MyAuditVal,_xlpm.MacVal&lt;&gt;"",_xlpm.MacVal,_xlpm.CSVVal&lt;&gt;"",_xlpm.CSVVal
)),"")</f>
        <v/>
      </c>
      <c r="E488" s="2" t="str">
        <f>_xlfn.XLOOKUP(A488,My_Audit!A:A,My_Audit!D:D,"")&amp;""</f>
        <v/>
      </c>
      <c r="F488" s="2" t="str" cm="1">
        <f t="array" ref="F488">IFERROR(_xlfn.LET(
_xlpm.CSVVal,_xlfn.XLOOKUP($A488,CSV!$A:$A,CSV!F:F,""),
_xlpm.MacVal,_xlfn.XLOOKUP($A488,Output_Mac!$A:$A,Output_Mac!E:E,""),
_xlpm.MyAuditVal,_xlfn.XLOOKUP($A488,My_Audit!$A:$A,My_Audit!E:E,""),
_xlfn.IFS(_xlpm.MyAuditVal&lt;&gt;"",_xlpm.MyAuditVal,_xlpm.MacVal&lt;&gt;"",_xlpm.MacVal,_xlpm.CSVVal&lt;&gt;"",_xlpm.CSVVal
)),"")</f>
        <v/>
      </c>
      <c r="G488" s="2" t="str" cm="1">
        <f t="array" ref="G488">IFERROR(_xlfn.LET(
_xlpm.CSVVal,_xlfn.XLOOKUP($A488,CSV!$A:$A,CSV!G:G,""),
_xlpm.MacVal,_xlfn.XLOOKUP($A488,Output_Mac!$A:$A,Output_Mac!F:F,""),
_xlpm.MyAuditVal,_xlfn.XLOOKUP($A488,My_Audit!$A:$A,My_Audit!F:F,""),
_xlfn.IFS(_xlpm.MyAuditVal&lt;&gt;"",_xlpm.MyAuditVal,_xlpm.MacVal&lt;&gt;"",_xlpm.MacVal,_xlpm.CSVVal&lt;&gt;"",PROPER(_xlpm.CSVVal)
)),"")</f>
        <v/>
      </c>
      <c r="H488" s="2" t="str" cm="1">
        <f t="array" ref="H488">IFERROR(_xlfn.LET(
_xlpm.CSVVal,_xlfn.XLOOKUP($A488,CSV!$A:$A,CSV!H:H,""),
_xlpm.MacVal,_xlfn.XLOOKUP($A488,Output_Mac!$A:$A,Output_Mac!H:H,""),
_xlpm.MyAuditVal,_xlfn.XLOOKUP($A488,My_Audit!$A:$A,My_Audit!G:G,""),
_xlfn.IFS(_xlpm.MyAuditVal&lt;&gt;"",_xlpm.MyAuditVal,_xlpm.MacVal&lt;&gt;"",_xlpm.MacVal,_xlpm.CSVVal&lt;&gt;"",_xlpm.CSVVal
)),"")</f>
        <v/>
      </c>
      <c r="I488" s="2" t="str">
        <f>_xlfn.XLOOKUP(A488,Output_Mac!A:A,Output_Mac!I:I,"")</f>
        <v/>
      </c>
      <c r="J488" s="2" t="str" cm="1">
        <f t="array" ref="J488">IFERROR(_xlfn.LET(
_xlpm.CSVVal,_xlfn.XLOOKUP($A488,CSV!$A:$A,CSV!I:I,""),
_xlpm.MacVal,_xlfn.XLOOKUP($A488,Output_Mac!$A:$A,Output_Mac!J:J,""),
_xlpm.MyAuditVal,_xlfn.XLOOKUP($A488,My_Audit!$A:$A,My_Audit!I:I,""),
_xlfn.IFS(_xlpm.MyAuditVal&lt;&gt;"",UPPER(_xlpm.MyAuditVal),_xlpm.MacVal&lt;&gt;"",_xlpm.MacVal,_xlpm.CSVVal&lt;&gt;"",_xlpm.CSVVal
)),"")</f>
        <v/>
      </c>
      <c r="K488" s="2" t="str" cm="1">
        <f t="array" ref="K488">IFERROR(_xlfn.LET(
_xlpm.CSVVal,_xlfn.XLOOKUP($A488,CSV!$A:$A,CSV!K:K,""),
_xlpm.MacVal,_xlfn.XLOOKUP($A488,Output_Mac!$A:$A,Output_Mac!K:K,""),
_xlpm.MyAuditVal,_xlfn.XLOOKUP($A488,My_Audit!$A:$A,My_Audit!J:J,""),
_xlfn.IFS(_xlpm.MyAuditVal&lt;&gt;"",UPPER(_xlpm.MyAuditVal),_xlpm.MacVal&lt;&gt;"",_xlpm.MacVal,_xlpm.CSVVal&lt;&gt;"",_xlpm.CSVVal
)),"")</f>
        <v/>
      </c>
      <c r="L488" s="2" t="str" cm="1">
        <f t="array" ref="L488">IFERROR(_xlfn.LET(
_xlpm.CSVVal,_xlfn.XLOOKUP($A488,CSV!$A:$A,CSV!P:P,""),
_xlpm.MacVal,_xlfn.XLOOKUP($A488,Output_Mac!$A:$A,Output_Mac!L:L,""),
_xlpm.MyAuditVal,_xlfn.XLOOKUP($A488,My_Audit!$A:$A,My_Audit!K:K,""),
_xlfn.IFS(_xlpm.MyAuditVal&lt;&gt;"",UPPER(_xlpm.MyAuditVal),_xlpm.MacVal&lt;&gt;"",_xlpm.MacVal,_xlpm.CSVVal&lt;&gt;"",_xlpm.CSVVal
)),"")</f>
        <v/>
      </c>
      <c r="M488" s="2" t="str" cm="1">
        <f t="array" ref="M488">IFERROR(_xlfn.LET(
_xlpm.CSVVal,_xlfn.XLOOKUP($A488,CSV!$A:$A,CSV!Q:Q,""),
_xlpm.MacVal,_xlfn.XLOOKUP($A488,Output_Mac!$A:$A,Output_Mac!M:M,""),
_xlpm.MyAuditVal,_xlfn.XLOOKUP($A488,My_Audit!$A:$A,My_Audit!L:L,""),
_xlfn.IFS(_xlpm.MyAuditVal&lt;&gt;"",UPPER(_xlpm.MyAuditVal),_xlpm.MacVal&lt;&gt;"",_xlpm.MacVal,_xlpm.CSVVal&lt;&gt;"",_xlpm.CSVVal
)),"")</f>
        <v/>
      </c>
      <c r="O488" s="2" t="str">
        <f>_xlfn.LET(
    _xlpm.CSVVal, _xlfn.XLOOKUP($A488, CSV!$A:$A, CSV!AF:AF, ""),
    _xlpm.MacVal, _xlfn.XLOOKUP($A488, Output_Mac!$A:$A, Output_Mac!S:S, ""),
    _xlpm.MyAuditVal, _xlfn.XLOOKUP($A488, My_Audit!$A:$A, My_Audit!P:P, ""),
    _xlfn.TEXTJOIN(", ", TRUE, _xlpm.MyAuditVal, _xlpm.MacVal, _xlpm.CSVVal)
)</f>
        <v/>
      </c>
      <c r="P488" s="2" t="str" cm="1">
        <f t="array" ref="P488">IFERROR(_xlfn.LET(
_xlpm.CSVVal,_xlfn.XLOOKUP($A488,CSV!$A:$A,CSV!AG:AG,""),
_xlpm.MacVal,_xlfn.XLOOKUP($A488,Output_Mac!$A:$A,Output_Mac!T:T,""),
_xlpm.MyAuditVal,_xlfn.XLOOKUP($A488,My_Audit!$A:$A,My_Audit!Q:Q,""),
_xlfn.IFS(_xlpm.MyAuditVal&lt;&gt;"",UPPER(_xlpm.MyAuditVal),_xlpm.MacVal&lt;&gt;"",_xlpm.MacVal,_xlpm.CSVVal&lt;&gt;"",_xlpm.CSVVal
)),"No")</f>
        <v>No</v>
      </c>
      <c r="Q488" s="2" t="str" cm="1">
        <f t="array" ref="Q488">IFERROR(_xlfn.LET(
_xlpm.CSVVal,_xlfn.XLOOKUP($A488,CSV!$A:$A,CSV!AH:AH,""),
_xlpm.MacVal,_xlfn.XLOOKUP($A488,Output_Mac!$A:$A,Output_Mac!U:U,""),
_xlpm.MyAuditVal,_xlfn.XLOOKUP($A488,My_Audit!$A:$A,My_Audit!R:R,""),
_xlfn.IFS(_xlpm.MyAuditVal&lt;&gt;"",UPPER(_xlpm.MyAuditVal),_xlpm.MacVal&lt;&gt;"",_xlpm.MacVal,_xlpm.CSVVal&lt;&gt;"",_xlpm.CSVVal
)),"")</f>
        <v/>
      </c>
    </row>
    <row r="489" spans="1:17">
      <c r="A489" s="2" t="str">
        <f>_xlfn.TEXTJOIN("",TRUE,Input!$B$2,ROW(My_Audit!A488))</f>
        <v>XX488</v>
      </c>
      <c r="B489" s="2" t="str">
        <f>_xlfn.TEXTJOIN("-",TRUE,"ITD",Input!$A$2,A489)</f>
        <v>ITD-SHRXXX-XX488</v>
      </c>
      <c r="C489" s="2" t="str" cm="1">
        <f t="array" ref="C489">IFERROR(_xlfn.LET(
_xlpm.CSVVal,_xlfn.XLOOKUP($A489,CSV!$A:$A,CSV!B:B,""),
_xlpm.MacVal,_xlfn.XLOOKUP($A489,Output_Mac!$A:$A,Output_Mac!B:B,""),
_xlpm.MyAuditVal,_xlfn.XLOOKUP($A489,My_Audit!$A:$A,My_Audit!B:B,""),
_xlfn.IFS(_xlpm.MyAuditVal&lt;&gt;"",UPPER(_xlpm.MyAuditVal),_xlpm.MacVal&lt;&gt;"",_xlpm.MacVal,_xlpm.CSVVal&lt;&gt;"",_xlpm.CSVVal
)),"")</f>
        <v/>
      </c>
      <c r="D489" s="2" t="str" cm="1">
        <f t="array" ref="D489">IFERROR(_xlfn.LET(
_xlpm.CSVVal,_xlfn.XLOOKUP($A489,CSV!$A:$A,CSV!D:D,""),
_xlpm.MacVal,_xlfn.XLOOKUP($A489,Output_Mac!$A:$A,Output_Mac!C:C,""),
_xlpm.MyAuditVal,_xlfn.XLOOKUP($A489,My_Audit!$A:$A,My_Audit!C:C,""),
_xlfn.IFS(_xlpm.MyAuditVal&lt;&gt;"",_xlpm.MyAuditVal,_xlpm.MacVal&lt;&gt;"",_xlpm.MacVal,_xlpm.CSVVal&lt;&gt;"",_xlpm.CSVVal
)),"")</f>
        <v/>
      </c>
      <c r="E489" s="2" t="str">
        <f>_xlfn.XLOOKUP(A489,My_Audit!A:A,My_Audit!D:D,"")&amp;""</f>
        <v/>
      </c>
      <c r="F489" s="2" t="str" cm="1">
        <f t="array" ref="F489">IFERROR(_xlfn.LET(
_xlpm.CSVVal,_xlfn.XLOOKUP($A489,CSV!$A:$A,CSV!F:F,""),
_xlpm.MacVal,_xlfn.XLOOKUP($A489,Output_Mac!$A:$A,Output_Mac!E:E,""),
_xlpm.MyAuditVal,_xlfn.XLOOKUP($A489,My_Audit!$A:$A,My_Audit!E:E,""),
_xlfn.IFS(_xlpm.MyAuditVal&lt;&gt;"",_xlpm.MyAuditVal,_xlpm.MacVal&lt;&gt;"",_xlpm.MacVal,_xlpm.CSVVal&lt;&gt;"",_xlpm.CSVVal
)),"")</f>
        <v/>
      </c>
      <c r="G489" s="2" t="str" cm="1">
        <f t="array" ref="G489">IFERROR(_xlfn.LET(
_xlpm.CSVVal,_xlfn.XLOOKUP($A489,CSV!$A:$A,CSV!G:G,""),
_xlpm.MacVal,_xlfn.XLOOKUP($A489,Output_Mac!$A:$A,Output_Mac!F:F,""),
_xlpm.MyAuditVal,_xlfn.XLOOKUP($A489,My_Audit!$A:$A,My_Audit!F:F,""),
_xlfn.IFS(_xlpm.MyAuditVal&lt;&gt;"",_xlpm.MyAuditVal,_xlpm.MacVal&lt;&gt;"",_xlpm.MacVal,_xlpm.CSVVal&lt;&gt;"",PROPER(_xlpm.CSVVal)
)),"")</f>
        <v/>
      </c>
      <c r="H489" s="2" t="str" cm="1">
        <f t="array" ref="H489">IFERROR(_xlfn.LET(
_xlpm.CSVVal,_xlfn.XLOOKUP($A489,CSV!$A:$A,CSV!H:H,""),
_xlpm.MacVal,_xlfn.XLOOKUP($A489,Output_Mac!$A:$A,Output_Mac!H:H,""),
_xlpm.MyAuditVal,_xlfn.XLOOKUP($A489,My_Audit!$A:$A,My_Audit!G:G,""),
_xlfn.IFS(_xlpm.MyAuditVal&lt;&gt;"",_xlpm.MyAuditVal,_xlpm.MacVal&lt;&gt;"",_xlpm.MacVal,_xlpm.CSVVal&lt;&gt;"",_xlpm.CSVVal
)),"")</f>
        <v/>
      </c>
      <c r="I489" s="2" t="str">
        <f>_xlfn.XLOOKUP(A489,Output_Mac!A:A,Output_Mac!I:I,"")</f>
        <v/>
      </c>
      <c r="J489" s="2" t="str" cm="1">
        <f t="array" ref="J489">IFERROR(_xlfn.LET(
_xlpm.CSVVal,_xlfn.XLOOKUP($A489,CSV!$A:$A,CSV!I:I,""),
_xlpm.MacVal,_xlfn.XLOOKUP($A489,Output_Mac!$A:$A,Output_Mac!J:J,""),
_xlpm.MyAuditVal,_xlfn.XLOOKUP($A489,My_Audit!$A:$A,My_Audit!I:I,""),
_xlfn.IFS(_xlpm.MyAuditVal&lt;&gt;"",UPPER(_xlpm.MyAuditVal),_xlpm.MacVal&lt;&gt;"",_xlpm.MacVal,_xlpm.CSVVal&lt;&gt;"",_xlpm.CSVVal
)),"")</f>
        <v/>
      </c>
      <c r="K489" s="2" t="str" cm="1">
        <f t="array" ref="K489">IFERROR(_xlfn.LET(
_xlpm.CSVVal,_xlfn.XLOOKUP($A489,CSV!$A:$A,CSV!K:K,""),
_xlpm.MacVal,_xlfn.XLOOKUP($A489,Output_Mac!$A:$A,Output_Mac!K:K,""),
_xlpm.MyAuditVal,_xlfn.XLOOKUP($A489,My_Audit!$A:$A,My_Audit!J:J,""),
_xlfn.IFS(_xlpm.MyAuditVal&lt;&gt;"",UPPER(_xlpm.MyAuditVal),_xlpm.MacVal&lt;&gt;"",_xlpm.MacVal,_xlpm.CSVVal&lt;&gt;"",_xlpm.CSVVal
)),"")</f>
        <v/>
      </c>
      <c r="L489" s="2" t="str" cm="1">
        <f t="array" ref="L489">IFERROR(_xlfn.LET(
_xlpm.CSVVal,_xlfn.XLOOKUP($A489,CSV!$A:$A,CSV!P:P,""),
_xlpm.MacVal,_xlfn.XLOOKUP($A489,Output_Mac!$A:$A,Output_Mac!L:L,""),
_xlpm.MyAuditVal,_xlfn.XLOOKUP($A489,My_Audit!$A:$A,My_Audit!K:K,""),
_xlfn.IFS(_xlpm.MyAuditVal&lt;&gt;"",UPPER(_xlpm.MyAuditVal),_xlpm.MacVal&lt;&gt;"",_xlpm.MacVal,_xlpm.CSVVal&lt;&gt;"",_xlpm.CSVVal
)),"")</f>
        <v/>
      </c>
      <c r="M489" s="2" t="str" cm="1">
        <f t="array" ref="M489">IFERROR(_xlfn.LET(
_xlpm.CSVVal,_xlfn.XLOOKUP($A489,CSV!$A:$A,CSV!Q:Q,""),
_xlpm.MacVal,_xlfn.XLOOKUP($A489,Output_Mac!$A:$A,Output_Mac!M:M,""),
_xlpm.MyAuditVal,_xlfn.XLOOKUP($A489,My_Audit!$A:$A,My_Audit!L:L,""),
_xlfn.IFS(_xlpm.MyAuditVal&lt;&gt;"",UPPER(_xlpm.MyAuditVal),_xlpm.MacVal&lt;&gt;"",_xlpm.MacVal,_xlpm.CSVVal&lt;&gt;"",_xlpm.CSVVal
)),"")</f>
        <v/>
      </c>
      <c r="O489" s="2" t="str">
        <f>_xlfn.LET(
    _xlpm.CSVVal, _xlfn.XLOOKUP($A489, CSV!$A:$A, CSV!AF:AF, ""),
    _xlpm.MacVal, _xlfn.XLOOKUP($A489, Output_Mac!$A:$A, Output_Mac!S:S, ""),
    _xlpm.MyAuditVal, _xlfn.XLOOKUP($A489, My_Audit!$A:$A, My_Audit!P:P, ""),
    _xlfn.TEXTJOIN(", ", TRUE, _xlpm.MyAuditVal, _xlpm.MacVal, _xlpm.CSVVal)
)</f>
        <v/>
      </c>
      <c r="P489" s="2" t="str" cm="1">
        <f t="array" ref="P489">IFERROR(_xlfn.LET(
_xlpm.CSVVal,_xlfn.XLOOKUP($A489,CSV!$A:$A,CSV!AG:AG,""),
_xlpm.MacVal,_xlfn.XLOOKUP($A489,Output_Mac!$A:$A,Output_Mac!T:T,""),
_xlpm.MyAuditVal,_xlfn.XLOOKUP($A489,My_Audit!$A:$A,My_Audit!Q:Q,""),
_xlfn.IFS(_xlpm.MyAuditVal&lt;&gt;"",UPPER(_xlpm.MyAuditVal),_xlpm.MacVal&lt;&gt;"",_xlpm.MacVal,_xlpm.CSVVal&lt;&gt;"",_xlpm.CSVVal
)),"No")</f>
        <v>No</v>
      </c>
      <c r="Q489" s="2" t="str" cm="1">
        <f t="array" ref="Q489">IFERROR(_xlfn.LET(
_xlpm.CSVVal,_xlfn.XLOOKUP($A489,CSV!$A:$A,CSV!AH:AH,""),
_xlpm.MacVal,_xlfn.XLOOKUP($A489,Output_Mac!$A:$A,Output_Mac!U:U,""),
_xlpm.MyAuditVal,_xlfn.XLOOKUP($A489,My_Audit!$A:$A,My_Audit!R:R,""),
_xlfn.IFS(_xlpm.MyAuditVal&lt;&gt;"",UPPER(_xlpm.MyAuditVal),_xlpm.MacVal&lt;&gt;"",_xlpm.MacVal,_xlpm.CSVVal&lt;&gt;"",_xlpm.CSVVal
)),"")</f>
        <v/>
      </c>
    </row>
    <row r="490" spans="1:17">
      <c r="A490" s="2" t="str">
        <f>_xlfn.TEXTJOIN("",TRUE,Input!$B$2,ROW(My_Audit!A489))</f>
        <v>XX489</v>
      </c>
      <c r="B490" s="2" t="str">
        <f>_xlfn.TEXTJOIN("-",TRUE,"ITD",Input!$A$2,A490)</f>
        <v>ITD-SHRXXX-XX489</v>
      </c>
      <c r="C490" s="2" t="str" cm="1">
        <f t="array" ref="C490">IFERROR(_xlfn.LET(
_xlpm.CSVVal,_xlfn.XLOOKUP($A490,CSV!$A:$A,CSV!B:B,""),
_xlpm.MacVal,_xlfn.XLOOKUP($A490,Output_Mac!$A:$A,Output_Mac!B:B,""),
_xlpm.MyAuditVal,_xlfn.XLOOKUP($A490,My_Audit!$A:$A,My_Audit!B:B,""),
_xlfn.IFS(_xlpm.MyAuditVal&lt;&gt;"",UPPER(_xlpm.MyAuditVal),_xlpm.MacVal&lt;&gt;"",_xlpm.MacVal,_xlpm.CSVVal&lt;&gt;"",_xlpm.CSVVal
)),"")</f>
        <v/>
      </c>
      <c r="D490" s="2" t="str" cm="1">
        <f t="array" ref="D490">IFERROR(_xlfn.LET(
_xlpm.CSVVal,_xlfn.XLOOKUP($A490,CSV!$A:$A,CSV!D:D,""),
_xlpm.MacVal,_xlfn.XLOOKUP($A490,Output_Mac!$A:$A,Output_Mac!C:C,""),
_xlpm.MyAuditVal,_xlfn.XLOOKUP($A490,My_Audit!$A:$A,My_Audit!C:C,""),
_xlfn.IFS(_xlpm.MyAuditVal&lt;&gt;"",_xlpm.MyAuditVal,_xlpm.MacVal&lt;&gt;"",_xlpm.MacVal,_xlpm.CSVVal&lt;&gt;"",_xlpm.CSVVal
)),"")</f>
        <v/>
      </c>
      <c r="E490" s="2" t="str">
        <f>_xlfn.XLOOKUP(A490,My_Audit!A:A,My_Audit!D:D,"")&amp;""</f>
        <v/>
      </c>
      <c r="F490" s="2" t="str" cm="1">
        <f t="array" ref="F490">IFERROR(_xlfn.LET(
_xlpm.CSVVal,_xlfn.XLOOKUP($A490,CSV!$A:$A,CSV!F:F,""),
_xlpm.MacVal,_xlfn.XLOOKUP($A490,Output_Mac!$A:$A,Output_Mac!E:E,""),
_xlpm.MyAuditVal,_xlfn.XLOOKUP($A490,My_Audit!$A:$A,My_Audit!E:E,""),
_xlfn.IFS(_xlpm.MyAuditVal&lt;&gt;"",_xlpm.MyAuditVal,_xlpm.MacVal&lt;&gt;"",_xlpm.MacVal,_xlpm.CSVVal&lt;&gt;"",_xlpm.CSVVal
)),"")</f>
        <v/>
      </c>
      <c r="G490" s="2" t="str" cm="1">
        <f t="array" ref="G490">IFERROR(_xlfn.LET(
_xlpm.CSVVal,_xlfn.XLOOKUP($A490,CSV!$A:$A,CSV!G:G,""),
_xlpm.MacVal,_xlfn.XLOOKUP($A490,Output_Mac!$A:$A,Output_Mac!F:F,""),
_xlpm.MyAuditVal,_xlfn.XLOOKUP($A490,My_Audit!$A:$A,My_Audit!F:F,""),
_xlfn.IFS(_xlpm.MyAuditVal&lt;&gt;"",_xlpm.MyAuditVal,_xlpm.MacVal&lt;&gt;"",_xlpm.MacVal,_xlpm.CSVVal&lt;&gt;"",PROPER(_xlpm.CSVVal)
)),"")</f>
        <v/>
      </c>
      <c r="H490" s="2" t="str" cm="1">
        <f t="array" ref="H490">IFERROR(_xlfn.LET(
_xlpm.CSVVal,_xlfn.XLOOKUP($A490,CSV!$A:$A,CSV!H:H,""),
_xlpm.MacVal,_xlfn.XLOOKUP($A490,Output_Mac!$A:$A,Output_Mac!H:H,""),
_xlpm.MyAuditVal,_xlfn.XLOOKUP($A490,My_Audit!$A:$A,My_Audit!G:G,""),
_xlfn.IFS(_xlpm.MyAuditVal&lt;&gt;"",_xlpm.MyAuditVal,_xlpm.MacVal&lt;&gt;"",_xlpm.MacVal,_xlpm.CSVVal&lt;&gt;"",_xlpm.CSVVal
)),"")</f>
        <v/>
      </c>
      <c r="I490" s="2" t="str">
        <f>_xlfn.XLOOKUP(A490,Output_Mac!A:A,Output_Mac!I:I,"")</f>
        <v/>
      </c>
      <c r="J490" s="2" t="str" cm="1">
        <f t="array" ref="J490">IFERROR(_xlfn.LET(
_xlpm.CSVVal,_xlfn.XLOOKUP($A490,CSV!$A:$A,CSV!I:I,""),
_xlpm.MacVal,_xlfn.XLOOKUP($A490,Output_Mac!$A:$A,Output_Mac!J:J,""),
_xlpm.MyAuditVal,_xlfn.XLOOKUP($A490,My_Audit!$A:$A,My_Audit!I:I,""),
_xlfn.IFS(_xlpm.MyAuditVal&lt;&gt;"",UPPER(_xlpm.MyAuditVal),_xlpm.MacVal&lt;&gt;"",_xlpm.MacVal,_xlpm.CSVVal&lt;&gt;"",_xlpm.CSVVal
)),"")</f>
        <v/>
      </c>
      <c r="K490" s="2" t="str" cm="1">
        <f t="array" ref="K490">IFERROR(_xlfn.LET(
_xlpm.CSVVal,_xlfn.XLOOKUP($A490,CSV!$A:$A,CSV!K:K,""),
_xlpm.MacVal,_xlfn.XLOOKUP($A490,Output_Mac!$A:$A,Output_Mac!K:K,""),
_xlpm.MyAuditVal,_xlfn.XLOOKUP($A490,My_Audit!$A:$A,My_Audit!J:J,""),
_xlfn.IFS(_xlpm.MyAuditVal&lt;&gt;"",UPPER(_xlpm.MyAuditVal),_xlpm.MacVal&lt;&gt;"",_xlpm.MacVal,_xlpm.CSVVal&lt;&gt;"",_xlpm.CSVVal
)),"")</f>
        <v/>
      </c>
      <c r="L490" s="2" t="str" cm="1">
        <f t="array" ref="L490">IFERROR(_xlfn.LET(
_xlpm.CSVVal,_xlfn.XLOOKUP($A490,CSV!$A:$A,CSV!P:P,""),
_xlpm.MacVal,_xlfn.XLOOKUP($A490,Output_Mac!$A:$A,Output_Mac!L:L,""),
_xlpm.MyAuditVal,_xlfn.XLOOKUP($A490,My_Audit!$A:$A,My_Audit!K:K,""),
_xlfn.IFS(_xlpm.MyAuditVal&lt;&gt;"",UPPER(_xlpm.MyAuditVal),_xlpm.MacVal&lt;&gt;"",_xlpm.MacVal,_xlpm.CSVVal&lt;&gt;"",_xlpm.CSVVal
)),"")</f>
        <v/>
      </c>
      <c r="M490" s="2" t="str" cm="1">
        <f t="array" ref="M490">IFERROR(_xlfn.LET(
_xlpm.CSVVal,_xlfn.XLOOKUP($A490,CSV!$A:$A,CSV!Q:Q,""),
_xlpm.MacVal,_xlfn.XLOOKUP($A490,Output_Mac!$A:$A,Output_Mac!M:M,""),
_xlpm.MyAuditVal,_xlfn.XLOOKUP($A490,My_Audit!$A:$A,My_Audit!L:L,""),
_xlfn.IFS(_xlpm.MyAuditVal&lt;&gt;"",UPPER(_xlpm.MyAuditVal),_xlpm.MacVal&lt;&gt;"",_xlpm.MacVal,_xlpm.CSVVal&lt;&gt;"",_xlpm.CSVVal
)),"")</f>
        <v/>
      </c>
      <c r="O490" s="2" t="str">
        <f>_xlfn.LET(
    _xlpm.CSVVal, _xlfn.XLOOKUP($A490, CSV!$A:$A, CSV!AF:AF, ""),
    _xlpm.MacVal, _xlfn.XLOOKUP($A490, Output_Mac!$A:$A, Output_Mac!S:S, ""),
    _xlpm.MyAuditVal, _xlfn.XLOOKUP($A490, My_Audit!$A:$A, My_Audit!P:P, ""),
    _xlfn.TEXTJOIN(", ", TRUE, _xlpm.MyAuditVal, _xlpm.MacVal, _xlpm.CSVVal)
)</f>
        <v/>
      </c>
      <c r="P490" s="2" t="str" cm="1">
        <f t="array" ref="P490">IFERROR(_xlfn.LET(
_xlpm.CSVVal,_xlfn.XLOOKUP($A490,CSV!$A:$A,CSV!AG:AG,""),
_xlpm.MacVal,_xlfn.XLOOKUP($A490,Output_Mac!$A:$A,Output_Mac!T:T,""),
_xlpm.MyAuditVal,_xlfn.XLOOKUP($A490,My_Audit!$A:$A,My_Audit!Q:Q,""),
_xlfn.IFS(_xlpm.MyAuditVal&lt;&gt;"",UPPER(_xlpm.MyAuditVal),_xlpm.MacVal&lt;&gt;"",_xlpm.MacVal,_xlpm.CSVVal&lt;&gt;"",_xlpm.CSVVal
)),"No")</f>
        <v>No</v>
      </c>
      <c r="Q490" s="2" t="str" cm="1">
        <f t="array" ref="Q490">IFERROR(_xlfn.LET(
_xlpm.CSVVal,_xlfn.XLOOKUP($A490,CSV!$A:$A,CSV!AH:AH,""),
_xlpm.MacVal,_xlfn.XLOOKUP($A490,Output_Mac!$A:$A,Output_Mac!U:U,""),
_xlpm.MyAuditVal,_xlfn.XLOOKUP($A490,My_Audit!$A:$A,My_Audit!R:R,""),
_xlfn.IFS(_xlpm.MyAuditVal&lt;&gt;"",UPPER(_xlpm.MyAuditVal),_xlpm.MacVal&lt;&gt;"",_xlpm.MacVal,_xlpm.CSVVal&lt;&gt;"",_xlpm.CSVVal
)),"")</f>
        <v/>
      </c>
    </row>
    <row r="491" spans="1:17">
      <c r="A491" s="2" t="str">
        <f>_xlfn.TEXTJOIN("",TRUE,Input!$B$2,ROW(My_Audit!A490))</f>
        <v>XX490</v>
      </c>
      <c r="B491" s="2" t="str">
        <f>_xlfn.TEXTJOIN("-",TRUE,"ITD",Input!$A$2,A491)</f>
        <v>ITD-SHRXXX-XX490</v>
      </c>
      <c r="C491" s="2" t="str" cm="1">
        <f t="array" ref="C491">IFERROR(_xlfn.LET(
_xlpm.CSVVal,_xlfn.XLOOKUP($A491,CSV!$A:$A,CSV!B:B,""),
_xlpm.MacVal,_xlfn.XLOOKUP($A491,Output_Mac!$A:$A,Output_Mac!B:B,""),
_xlpm.MyAuditVal,_xlfn.XLOOKUP($A491,My_Audit!$A:$A,My_Audit!B:B,""),
_xlfn.IFS(_xlpm.MyAuditVal&lt;&gt;"",UPPER(_xlpm.MyAuditVal),_xlpm.MacVal&lt;&gt;"",_xlpm.MacVal,_xlpm.CSVVal&lt;&gt;"",_xlpm.CSVVal
)),"")</f>
        <v/>
      </c>
      <c r="D491" s="2" t="str" cm="1">
        <f t="array" ref="D491">IFERROR(_xlfn.LET(
_xlpm.CSVVal,_xlfn.XLOOKUP($A491,CSV!$A:$A,CSV!D:D,""),
_xlpm.MacVal,_xlfn.XLOOKUP($A491,Output_Mac!$A:$A,Output_Mac!C:C,""),
_xlpm.MyAuditVal,_xlfn.XLOOKUP($A491,My_Audit!$A:$A,My_Audit!C:C,""),
_xlfn.IFS(_xlpm.MyAuditVal&lt;&gt;"",_xlpm.MyAuditVal,_xlpm.MacVal&lt;&gt;"",_xlpm.MacVal,_xlpm.CSVVal&lt;&gt;"",_xlpm.CSVVal
)),"")</f>
        <v/>
      </c>
      <c r="E491" s="2" t="str">
        <f>_xlfn.XLOOKUP(A491,My_Audit!A:A,My_Audit!D:D,"")&amp;""</f>
        <v/>
      </c>
      <c r="F491" s="2" t="str" cm="1">
        <f t="array" ref="F491">IFERROR(_xlfn.LET(
_xlpm.CSVVal,_xlfn.XLOOKUP($A491,CSV!$A:$A,CSV!F:F,""),
_xlpm.MacVal,_xlfn.XLOOKUP($A491,Output_Mac!$A:$A,Output_Mac!E:E,""),
_xlpm.MyAuditVal,_xlfn.XLOOKUP($A491,My_Audit!$A:$A,My_Audit!E:E,""),
_xlfn.IFS(_xlpm.MyAuditVal&lt;&gt;"",_xlpm.MyAuditVal,_xlpm.MacVal&lt;&gt;"",_xlpm.MacVal,_xlpm.CSVVal&lt;&gt;"",_xlpm.CSVVal
)),"")</f>
        <v/>
      </c>
      <c r="G491" s="2" t="str" cm="1">
        <f t="array" ref="G491">IFERROR(_xlfn.LET(
_xlpm.CSVVal,_xlfn.XLOOKUP($A491,CSV!$A:$A,CSV!G:G,""),
_xlpm.MacVal,_xlfn.XLOOKUP($A491,Output_Mac!$A:$A,Output_Mac!F:F,""),
_xlpm.MyAuditVal,_xlfn.XLOOKUP($A491,My_Audit!$A:$A,My_Audit!F:F,""),
_xlfn.IFS(_xlpm.MyAuditVal&lt;&gt;"",_xlpm.MyAuditVal,_xlpm.MacVal&lt;&gt;"",_xlpm.MacVal,_xlpm.CSVVal&lt;&gt;"",PROPER(_xlpm.CSVVal)
)),"")</f>
        <v/>
      </c>
      <c r="H491" s="2" t="str" cm="1">
        <f t="array" ref="H491">IFERROR(_xlfn.LET(
_xlpm.CSVVal,_xlfn.XLOOKUP($A491,CSV!$A:$A,CSV!H:H,""),
_xlpm.MacVal,_xlfn.XLOOKUP($A491,Output_Mac!$A:$A,Output_Mac!H:H,""),
_xlpm.MyAuditVal,_xlfn.XLOOKUP($A491,My_Audit!$A:$A,My_Audit!G:G,""),
_xlfn.IFS(_xlpm.MyAuditVal&lt;&gt;"",_xlpm.MyAuditVal,_xlpm.MacVal&lt;&gt;"",_xlpm.MacVal,_xlpm.CSVVal&lt;&gt;"",_xlpm.CSVVal
)),"")</f>
        <v/>
      </c>
      <c r="I491" s="2" t="str">
        <f>_xlfn.XLOOKUP(A491,Output_Mac!A:A,Output_Mac!I:I,"")</f>
        <v/>
      </c>
      <c r="J491" s="2" t="str" cm="1">
        <f t="array" ref="J491">IFERROR(_xlfn.LET(
_xlpm.CSVVal,_xlfn.XLOOKUP($A491,CSV!$A:$A,CSV!I:I,""),
_xlpm.MacVal,_xlfn.XLOOKUP($A491,Output_Mac!$A:$A,Output_Mac!J:J,""),
_xlpm.MyAuditVal,_xlfn.XLOOKUP($A491,My_Audit!$A:$A,My_Audit!I:I,""),
_xlfn.IFS(_xlpm.MyAuditVal&lt;&gt;"",UPPER(_xlpm.MyAuditVal),_xlpm.MacVal&lt;&gt;"",_xlpm.MacVal,_xlpm.CSVVal&lt;&gt;"",_xlpm.CSVVal
)),"")</f>
        <v/>
      </c>
      <c r="K491" s="2" t="str" cm="1">
        <f t="array" ref="K491">IFERROR(_xlfn.LET(
_xlpm.CSVVal,_xlfn.XLOOKUP($A491,CSV!$A:$A,CSV!K:K,""),
_xlpm.MacVal,_xlfn.XLOOKUP($A491,Output_Mac!$A:$A,Output_Mac!K:K,""),
_xlpm.MyAuditVal,_xlfn.XLOOKUP($A491,My_Audit!$A:$A,My_Audit!J:J,""),
_xlfn.IFS(_xlpm.MyAuditVal&lt;&gt;"",UPPER(_xlpm.MyAuditVal),_xlpm.MacVal&lt;&gt;"",_xlpm.MacVal,_xlpm.CSVVal&lt;&gt;"",_xlpm.CSVVal
)),"")</f>
        <v/>
      </c>
      <c r="L491" s="2" t="str" cm="1">
        <f t="array" ref="L491">IFERROR(_xlfn.LET(
_xlpm.CSVVal,_xlfn.XLOOKUP($A491,CSV!$A:$A,CSV!P:P,""),
_xlpm.MacVal,_xlfn.XLOOKUP($A491,Output_Mac!$A:$A,Output_Mac!L:L,""),
_xlpm.MyAuditVal,_xlfn.XLOOKUP($A491,My_Audit!$A:$A,My_Audit!K:K,""),
_xlfn.IFS(_xlpm.MyAuditVal&lt;&gt;"",UPPER(_xlpm.MyAuditVal),_xlpm.MacVal&lt;&gt;"",_xlpm.MacVal,_xlpm.CSVVal&lt;&gt;"",_xlpm.CSVVal
)),"")</f>
        <v/>
      </c>
      <c r="M491" s="2" t="str" cm="1">
        <f t="array" ref="M491">IFERROR(_xlfn.LET(
_xlpm.CSVVal,_xlfn.XLOOKUP($A491,CSV!$A:$A,CSV!Q:Q,""),
_xlpm.MacVal,_xlfn.XLOOKUP($A491,Output_Mac!$A:$A,Output_Mac!M:M,""),
_xlpm.MyAuditVal,_xlfn.XLOOKUP($A491,My_Audit!$A:$A,My_Audit!L:L,""),
_xlfn.IFS(_xlpm.MyAuditVal&lt;&gt;"",UPPER(_xlpm.MyAuditVal),_xlpm.MacVal&lt;&gt;"",_xlpm.MacVal,_xlpm.CSVVal&lt;&gt;"",_xlpm.CSVVal
)),"")</f>
        <v/>
      </c>
      <c r="O491" s="2" t="str">
        <f>_xlfn.LET(
    _xlpm.CSVVal, _xlfn.XLOOKUP($A491, CSV!$A:$A, CSV!AF:AF, ""),
    _xlpm.MacVal, _xlfn.XLOOKUP($A491, Output_Mac!$A:$A, Output_Mac!S:S, ""),
    _xlpm.MyAuditVal, _xlfn.XLOOKUP($A491, My_Audit!$A:$A, My_Audit!P:P, ""),
    _xlfn.TEXTJOIN(", ", TRUE, _xlpm.MyAuditVal, _xlpm.MacVal, _xlpm.CSVVal)
)</f>
        <v/>
      </c>
      <c r="P491" s="2" t="str" cm="1">
        <f t="array" ref="P491">IFERROR(_xlfn.LET(
_xlpm.CSVVal,_xlfn.XLOOKUP($A491,CSV!$A:$A,CSV!AG:AG,""),
_xlpm.MacVal,_xlfn.XLOOKUP($A491,Output_Mac!$A:$A,Output_Mac!T:T,""),
_xlpm.MyAuditVal,_xlfn.XLOOKUP($A491,My_Audit!$A:$A,My_Audit!Q:Q,""),
_xlfn.IFS(_xlpm.MyAuditVal&lt;&gt;"",UPPER(_xlpm.MyAuditVal),_xlpm.MacVal&lt;&gt;"",_xlpm.MacVal,_xlpm.CSVVal&lt;&gt;"",_xlpm.CSVVal
)),"No")</f>
        <v>No</v>
      </c>
      <c r="Q491" s="2" t="str" cm="1">
        <f t="array" ref="Q491">IFERROR(_xlfn.LET(
_xlpm.CSVVal,_xlfn.XLOOKUP($A491,CSV!$A:$A,CSV!AH:AH,""),
_xlpm.MacVal,_xlfn.XLOOKUP($A491,Output_Mac!$A:$A,Output_Mac!U:U,""),
_xlpm.MyAuditVal,_xlfn.XLOOKUP($A491,My_Audit!$A:$A,My_Audit!R:R,""),
_xlfn.IFS(_xlpm.MyAuditVal&lt;&gt;"",UPPER(_xlpm.MyAuditVal),_xlpm.MacVal&lt;&gt;"",_xlpm.MacVal,_xlpm.CSVVal&lt;&gt;"",_xlpm.CSVVal
)),"")</f>
        <v/>
      </c>
    </row>
    <row r="492" spans="1:17">
      <c r="A492" s="2" t="str">
        <f>_xlfn.TEXTJOIN("",TRUE,Input!$B$2,ROW(My_Audit!A491))</f>
        <v>XX491</v>
      </c>
      <c r="B492" s="2" t="str">
        <f>_xlfn.TEXTJOIN("-",TRUE,"ITD",Input!$A$2,A492)</f>
        <v>ITD-SHRXXX-XX491</v>
      </c>
      <c r="C492" s="2" t="str" cm="1">
        <f t="array" ref="C492">IFERROR(_xlfn.LET(
_xlpm.CSVVal,_xlfn.XLOOKUP($A492,CSV!$A:$A,CSV!B:B,""),
_xlpm.MacVal,_xlfn.XLOOKUP($A492,Output_Mac!$A:$A,Output_Mac!B:B,""),
_xlpm.MyAuditVal,_xlfn.XLOOKUP($A492,My_Audit!$A:$A,My_Audit!B:B,""),
_xlfn.IFS(_xlpm.MyAuditVal&lt;&gt;"",UPPER(_xlpm.MyAuditVal),_xlpm.MacVal&lt;&gt;"",_xlpm.MacVal,_xlpm.CSVVal&lt;&gt;"",_xlpm.CSVVal
)),"")</f>
        <v/>
      </c>
      <c r="D492" s="2" t="str" cm="1">
        <f t="array" ref="D492">IFERROR(_xlfn.LET(
_xlpm.CSVVal,_xlfn.XLOOKUP($A492,CSV!$A:$A,CSV!D:D,""),
_xlpm.MacVal,_xlfn.XLOOKUP($A492,Output_Mac!$A:$A,Output_Mac!C:C,""),
_xlpm.MyAuditVal,_xlfn.XLOOKUP($A492,My_Audit!$A:$A,My_Audit!C:C,""),
_xlfn.IFS(_xlpm.MyAuditVal&lt;&gt;"",_xlpm.MyAuditVal,_xlpm.MacVal&lt;&gt;"",_xlpm.MacVal,_xlpm.CSVVal&lt;&gt;"",_xlpm.CSVVal
)),"")</f>
        <v/>
      </c>
      <c r="E492" s="2" t="str">
        <f>_xlfn.XLOOKUP(A492,My_Audit!A:A,My_Audit!D:D,"")&amp;""</f>
        <v/>
      </c>
      <c r="F492" s="2" t="str" cm="1">
        <f t="array" ref="F492">IFERROR(_xlfn.LET(
_xlpm.CSVVal,_xlfn.XLOOKUP($A492,CSV!$A:$A,CSV!F:F,""),
_xlpm.MacVal,_xlfn.XLOOKUP($A492,Output_Mac!$A:$A,Output_Mac!E:E,""),
_xlpm.MyAuditVal,_xlfn.XLOOKUP($A492,My_Audit!$A:$A,My_Audit!E:E,""),
_xlfn.IFS(_xlpm.MyAuditVal&lt;&gt;"",_xlpm.MyAuditVal,_xlpm.MacVal&lt;&gt;"",_xlpm.MacVal,_xlpm.CSVVal&lt;&gt;"",_xlpm.CSVVal
)),"")</f>
        <v/>
      </c>
      <c r="G492" s="2" t="str" cm="1">
        <f t="array" ref="G492">IFERROR(_xlfn.LET(
_xlpm.CSVVal,_xlfn.XLOOKUP($A492,CSV!$A:$A,CSV!G:G,""),
_xlpm.MacVal,_xlfn.XLOOKUP($A492,Output_Mac!$A:$A,Output_Mac!F:F,""),
_xlpm.MyAuditVal,_xlfn.XLOOKUP($A492,My_Audit!$A:$A,My_Audit!F:F,""),
_xlfn.IFS(_xlpm.MyAuditVal&lt;&gt;"",_xlpm.MyAuditVal,_xlpm.MacVal&lt;&gt;"",_xlpm.MacVal,_xlpm.CSVVal&lt;&gt;"",PROPER(_xlpm.CSVVal)
)),"")</f>
        <v/>
      </c>
      <c r="H492" s="2" t="str" cm="1">
        <f t="array" ref="H492">IFERROR(_xlfn.LET(
_xlpm.CSVVal,_xlfn.XLOOKUP($A492,CSV!$A:$A,CSV!H:H,""),
_xlpm.MacVal,_xlfn.XLOOKUP($A492,Output_Mac!$A:$A,Output_Mac!H:H,""),
_xlpm.MyAuditVal,_xlfn.XLOOKUP($A492,My_Audit!$A:$A,My_Audit!G:G,""),
_xlfn.IFS(_xlpm.MyAuditVal&lt;&gt;"",_xlpm.MyAuditVal,_xlpm.MacVal&lt;&gt;"",_xlpm.MacVal,_xlpm.CSVVal&lt;&gt;"",_xlpm.CSVVal
)),"")</f>
        <v/>
      </c>
      <c r="I492" s="2" t="str">
        <f>_xlfn.XLOOKUP(A492,Output_Mac!A:A,Output_Mac!I:I,"")</f>
        <v/>
      </c>
      <c r="J492" s="2" t="str" cm="1">
        <f t="array" ref="J492">IFERROR(_xlfn.LET(
_xlpm.CSVVal,_xlfn.XLOOKUP($A492,CSV!$A:$A,CSV!I:I,""),
_xlpm.MacVal,_xlfn.XLOOKUP($A492,Output_Mac!$A:$A,Output_Mac!J:J,""),
_xlpm.MyAuditVal,_xlfn.XLOOKUP($A492,My_Audit!$A:$A,My_Audit!I:I,""),
_xlfn.IFS(_xlpm.MyAuditVal&lt;&gt;"",UPPER(_xlpm.MyAuditVal),_xlpm.MacVal&lt;&gt;"",_xlpm.MacVal,_xlpm.CSVVal&lt;&gt;"",_xlpm.CSVVal
)),"")</f>
        <v/>
      </c>
      <c r="K492" s="2" t="str" cm="1">
        <f t="array" ref="K492">IFERROR(_xlfn.LET(
_xlpm.CSVVal,_xlfn.XLOOKUP($A492,CSV!$A:$A,CSV!K:K,""),
_xlpm.MacVal,_xlfn.XLOOKUP($A492,Output_Mac!$A:$A,Output_Mac!K:K,""),
_xlpm.MyAuditVal,_xlfn.XLOOKUP($A492,My_Audit!$A:$A,My_Audit!J:J,""),
_xlfn.IFS(_xlpm.MyAuditVal&lt;&gt;"",UPPER(_xlpm.MyAuditVal),_xlpm.MacVal&lt;&gt;"",_xlpm.MacVal,_xlpm.CSVVal&lt;&gt;"",_xlpm.CSVVal
)),"")</f>
        <v/>
      </c>
      <c r="L492" s="2" t="str" cm="1">
        <f t="array" ref="L492">IFERROR(_xlfn.LET(
_xlpm.CSVVal,_xlfn.XLOOKUP($A492,CSV!$A:$A,CSV!P:P,""),
_xlpm.MacVal,_xlfn.XLOOKUP($A492,Output_Mac!$A:$A,Output_Mac!L:L,""),
_xlpm.MyAuditVal,_xlfn.XLOOKUP($A492,My_Audit!$A:$A,My_Audit!K:K,""),
_xlfn.IFS(_xlpm.MyAuditVal&lt;&gt;"",UPPER(_xlpm.MyAuditVal),_xlpm.MacVal&lt;&gt;"",_xlpm.MacVal,_xlpm.CSVVal&lt;&gt;"",_xlpm.CSVVal
)),"")</f>
        <v/>
      </c>
      <c r="M492" s="2" t="str" cm="1">
        <f t="array" ref="M492">IFERROR(_xlfn.LET(
_xlpm.CSVVal,_xlfn.XLOOKUP($A492,CSV!$A:$A,CSV!Q:Q,""),
_xlpm.MacVal,_xlfn.XLOOKUP($A492,Output_Mac!$A:$A,Output_Mac!M:M,""),
_xlpm.MyAuditVal,_xlfn.XLOOKUP($A492,My_Audit!$A:$A,My_Audit!L:L,""),
_xlfn.IFS(_xlpm.MyAuditVal&lt;&gt;"",UPPER(_xlpm.MyAuditVal),_xlpm.MacVal&lt;&gt;"",_xlpm.MacVal,_xlpm.CSVVal&lt;&gt;"",_xlpm.CSVVal
)),"")</f>
        <v/>
      </c>
      <c r="O492" s="2" t="str">
        <f>_xlfn.LET(
    _xlpm.CSVVal, _xlfn.XLOOKUP($A492, CSV!$A:$A, CSV!AF:AF, ""),
    _xlpm.MacVal, _xlfn.XLOOKUP($A492, Output_Mac!$A:$A, Output_Mac!S:S, ""),
    _xlpm.MyAuditVal, _xlfn.XLOOKUP($A492, My_Audit!$A:$A, My_Audit!P:P, ""),
    _xlfn.TEXTJOIN(", ", TRUE, _xlpm.MyAuditVal, _xlpm.MacVal, _xlpm.CSVVal)
)</f>
        <v/>
      </c>
      <c r="P492" s="2" t="str" cm="1">
        <f t="array" ref="P492">IFERROR(_xlfn.LET(
_xlpm.CSVVal,_xlfn.XLOOKUP($A492,CSV!$A:$A,CSV!AG:AG,""),
_xlpm.MacVal,_xlfn.XLOOKUP($A492,Output_Mac!$A:$A,Output_Mac!T:T,""),
_xlpm.MyAuditVal,_xlfn.XLOOKUP($A492,My_Audit!$A:$A,My_Audit!Q:Q,""),
_xlfn.IFS(_xlpm.MyAuditVal&lt;&gt;"",UPPER(_xlpm.MyAuditVal),_xlpm.MacVal&lt;&gt;"",_xlpm.MacVal,_xlpm.CSVVal&lt;&gt;"",_xlpm.CSVVal
)),"No")</f>
        <v>No</v>
      </c>
      <c r="Q492" s="2" t="str" cm="1">
        <f t="array" ref="Q492">IFERROR(_xlfn.LET(
_xlpm.CSVVal,_xlfn.XLOOKUP($A492,CSV!$A:$A,CSV!AH:AH,""),
_xlpm.MacVal,_xlfn.XLOOKUP($A492,Output_Mac!$A:$A,Output_Mac!U:U,""),
_xlpm.MyAuditVal,_xlfn.XLOOKUP($A492,My_Audit!$A:$A,My_Audit!R:R,""),
_xlfn.IFS(_xlpm.MyAuditVal&lt;&gt;"",UPPER(_xlpm.MyAuditVal),_xlpm.MacVal&lt;&gt;"",_xlpm.MacVal,_xlpm.CSVVal&lt;&gt;"",_xlpm.CSVVal
)),"")</f>
        <v/>
      </c>
    </row>
    <row r="493" spans="1:17">
      <c r="A493" s="2" t="str">
        <f>_xlfn.TEXTJOIN("",TRUE,Input!$B$2,ROW(My_Audit!A492))</f>
        <v>XX492</v>
      </c>
      <c r="B493" s="2" t="str">
        <f>_xlfn.TEXTJOIN("-",TRUE,"ITD",Input!$A$2,A493)</f>
        <v>ITD-SHRXXX-XX492</v>
      </c>
      <c r="C493" s="2" t="str" cm="1">
        <f t="array" ref="C493">IFERROR(_xlfn.LET(
_xlpm.CSVVal,_xlfn.XLOOKUP($A493,CSV!$A:$A,CSV!B:B,""),
_xlpm.MacVal,_xlfn.XLOOKUP($A493,Output_Mac!$A:$A,Output_Mac!B:B,""),
_xlpm.MyAuditVal,_xlfn.XLOOKUP($A493,My_Audit!$A:$A,My_Audit!B:B,""),
_xlfn.IFS(_xlpm.MyAuditVal&lt;&gt;"",UPPER(_xlpm.MyAuditVal),_xlpm.MacVal&lt;&gt;"",_xlpm.MacVal,_xlpm.CSVVal&lt;&gt;"",_xlpm.CSVVal
)),"")</f>
        <v/>
      </c>
      <c r="D493" s="2" t="str" cm="1">
        <f t="array" ref="D493">IFERROR(_xlfn.LET(
_xlpm.CSVVal,_xlfn.XLOOKUP($A493,CSV!$A:$A,CSV!D:D,""),
_xlpm.MacVal,_xlfn.XLOOKUP($A493,Output_Mac!$A:$A,Output_Mac!C:C,""),
_xlpm.MyAuditVal,_xlfn.XLOOKUP($A493,My_Audit!$A:$A,My_Audit!C:C,""),
_xlfn.IFS(_xlpm.MyAuditVal&lt;&gt;"",_xlpm.MyAuditVal,_xlpm.MacVal&lt;&gt;"",_xlpm.MacVal,_xlpm.CSVVal&lt;&gt;"",_xlpm.CSVVal
)),"")</f>
        <v/>
      </c>
      <c r="E493" s="2" t="str">
        <f>_xlfn.XLOOKUP(A493,My_Audit!A:A,My_Audit!D:D,"")&amp;""</f>
        <v/>
      </c>
      <c r="F493" s="2" t="str" cm="1">
        <f t="array" ref="F493">IFERROR(_xlfn.LET(
_xlpm.CSVVal,_xlfn.XLOOKUP($A493,CSV!$A:$A,CSV!F:F,""),
_xlpm.MacVal,_xlfn.XLOOKUP($A493,Output_Mac!$A:$A,Output_Mac!E:E,""),
_xlpm.MyAuditVal,_xlfn.XLOOKUP($A493,My_Audit!$A:$A,My_Audit!E:E,""),
_xlfn.IFS(_xlpm.MyAuditVal&lt;&gt;"",_xlpm.MyAuditVal,_xlpm.MacVal&lt;&gt;"",_xlpm.MacVal,_xlpm.CSVVal&lt;&gt;"",_xlpm.CSVVal
)),"")</f>
        <v/>
      </c>
      <c r="G493" s="2" t="str" cm="1">
        <f t="array" ref="G493">IFERROR(_xlfn.LET(
_xlpm.CSVVal,_xlfn.XLOOKUP($A493,CSV!$A:$A,CSV!G:G,""),
_xlpm.MacVal,_xlfn.XLOOKUP($A493,Output_Mac!$A:$A,Output_Mac!F:F,""),
_xlpm.MyAuditVal,_xlfn.XLOOKUP($A493,My_Audit!$A:$A,My_Audit!F:F,""),
_xlfn.IFS(_xlpm.MyAuditVal&lt;&gt;"",_xlpm.MyAuditVal,_xlpm.MacVal&lt;&gt;"",_xlpm.MacVal,_xlpm.CSVVal&lt;&gt;"",PROPER(_xlpm.CSVVal)
)),"")</f>
        <v/>
      </c>
      <c r="H493" s="2" t="str" cm="1">
        <f t="array" ref="H493">IFERROR(_xlfn.LET(
_xlpm.CSVVal,_xlfn.XLOOKUP($A493,CSV!$A:$A,CSV!H:H,""),
_xlpm.MacVal,_xlfn.XLOOKUP($A493,Output_Mac!$A:$A,Output_Mac!H:H,""),
_xlpm.MyAuditVal,_xlfn.XLOOKUP($A493,My_Audit!$A:$A,My_Audit!G:G,""),
_xlfn.IFS(_xlpm.MyAuditVal&lt;&gt;"",_xlpm.MyAuditVal,_xlpm.MacVal&lt;&gt;"",_xlpm.MacVal,_xlpm.CSVVal&lt;&gt;"",_xlpm.CSVVal
)),"")</f>
        <v/>
      </c>
      <c r="I493" s="2" t="str">
        <f>_xlfn.XLOOKUP(A493,Output_Mac!A:A,Output_Mac!I:I,"")</f>
        <v/>
      </c>
      <c r="J493" s="2" t="str" cm="1">
        <f t="array" ref="J493">IFERROR(_xlfn.LET(
_xlpm.CSVVal,_xlfn.XLOOKUP($A493,CSV!$A:$A,CSV!I:I,""),
_xlpm.MacVal,_xlfn.XLOOKUP($A493,Output_Mac!$A:$A,Output_Mac!J:J,""),
_xlpm.MyAuditVal,_xlfn.XLOOKUP($A493,My_Audit!$A:$A,My_Audit!I:I,""),
_xlfn.IFS(_xlpm.MyAuditVal&lt;&gt;"",UPPER(_xlpm.MyAuditVal),_xlpm.MacVal&lt;&gt;"",_xlpm.MacVal,_xlpm.CSVVal&lt;&gt;"",_xlpm.CSVVal
)),"")</f>
        <v/>
      </c>
      <c r="K493" s="2" t="str" cm="1">
        <f t="array" ref="K493">IFERROR(_xlfn.LET(
_xlpm.CSVVal,_xlfn.XLOOKUP($A493,CSV!$A:$A,CSV!K:K,""),
_xlpm.MacVal,_xlfn.XLOOKUP($A493,Output_Mac!$A:$A,Output_Mac!K:K,""),
_xlpm.MyAuditVal,_xlfn.XLOOKUP($A493,My_Audit!$A:$A,My_Audit!J:J,""),
_xlfn.IFS(_xlpm.MyAuditVal&lt;&gt;"",UPPER(_xlpm.MyAuditVal),_xlpm.MacVal&lt;&gt;"",_xlpm.MacVal,_xlpm.CSVVal&lt;&gt;"",_xlpm.CSVVal
)),"")</f>
        <v/>
      </c>
      <c r="L493" s="2" t="str" cm="1">
        <f t="array" ref="L493">IFERROR(_xlfn.LET(
_xlpm.CSVVal,_xlfn.XLOOKUP($A493,CSV!$A:$A,CSV!P:P,""),
_xlpm.MacVal,_xlfn.XLOOKUP($A493,Output_Mac!$A:$A,Output_Mac!L:L,""),
_xlpm.MyAuditVal,_xlfn.XLOOKUP($A493,My_Audit!$A:$A,My_Audit!K:K,""),
_xlfn.IFS(_xlpm.MyAuditVal&lt;&gt;"",UPPER(_xlpm.MyAuditVal),_xlpm.MacVal&lt;&gt;"",_xlpm.MacVal,_xlpm.CSVVal&lt;&gt;"",_xlpm.CSVVal
)),"")</f>
        <v/>
      </c>
      <c r="M493" s="2" t="str" cm="1">
        <f t="array" ref="M493">IFERROR(_xlfn.LET(
_xlpm.CSVVal,_xlfn.XLOOKUP($A493,CSV!$A:$A,CSV!Q:Q,""),
_xlpm.MacVal,_xlfn.XLOOKUP($A493,Output_Mac!$A:$A,Output_Mac!M:M,""),
_xlpm.MyAuditVal,_xlfn.XLOOKUP($A493,My_Audit!$A:$A,My_Audit!L:L,""),
_xlfn.IFS(_xlpm.MyAuditVal&lt;&gt;"",UPPER(_xlpm.MyAuditVal),_xlpm.MacVal&lt;&gt;"",_xlpm.MacVal,_xlpm.CSVVal&lt;&gt;"",_xlpm.CSVVal
)),"")</f>
        <v/>
      </c>
      <c r="O493" s="2" t="str">
        <f>_xlfn.LET(
    _xlpm.CSVVal, _xlfn.XLOOKUP($A493, CSV!$A:$A, CSV!AF:AF, ""),
    _xlpm.MacVal, _xlfn.XLOOKUP($A493, Output_Mac!$A:$A, Output_Mac!S:S, ""),
    _xlpm.MyAuditVal, _xlfn.XLOOKUP($A493, My_Audit!$A:$A, My_Audit!P:P, ""),
    _xlfn.TEXTJOIN(", ", TRUE, _xlpm.MyAuditVal, _xlpm.MacVal, _xlpm.CSVVal)
)</f>
        <v/>
      </c>
      <c r="P493" s="2" t="str" cm="1">
        <f t="array" ref="P493">IFERROR(_xlfn.LET(
_xlpm.CSVVal,_xlfn.XLOOKUP($A493,CSV!$A:$A,CSV!AG:AG,""),
_xlpm.MacVal,_xlfn.XLOOKUP($A493,Output_Mac!$A:$A,Output_Mac!T:T,""),
_xlpm.MyAuditVal,_xlfn.XLOOKUP($A493,My_Audit!$A:$A,My_Audit!Q:Q,""),
_xlfn.IFS(_xlpm.MyAuditVal&lt;&gt;"",UPPER(_xlpm.MyAuditVal),_xlpm.MacVal&lt;&gt;"",_xlpm.MacVal,_xlpm.CSVVal&lt;&gt;"",_xlpm.CSVVal
)),"No")</f>
        <v>No</v>
      </c>
      <c r="Q493" s="2" t="str" cm="1">
        <f t="array" ref="Q493">IFERROR(_xlfn.LET(
_xlpm.CSVVal,_xlfn.XLOOKUP($A493,CSV!$A:$A,CSV!AH:AH,""),
_xlpm.MacVal,_xlfn.XLOOKUP($A493,Output_Mac!$A:$A,Output_Mac!U:U,""),
_xlpm.MyAuditVal,_xlfn.XLOOKUP($A493,My_Audit!$A:$A,My_Audit!R:R,""),
_xlfn.IFS(_xlpm.MyAuditVal&lt;&gt;"",UPPER(_xlpm.MyAuditVal),_xlpm.MacVal&lt;&gt;"",_xlpm.MacVal,_xlpm.CSVVal&lt;&gt;"",_xlpm.CSVVal
)),"")</f>
        <v/>
      </c>
    </row>
    <row r="494" spans="1:17">
      <c r="A494" s="2" t="str">
        <f>_xlfn.TEXTJOIN("",TRUE,Input!$B$2,ROW(My_Audit!A493))</f>
        <v>XX493</v>
      </c>
      <c r="B494" s="2" t="str">
        <f>_xlfn.TEXTJOIN("-",TRUE,"ITD",Input!$A$2,A494)</f>
        <v>ITD-SHRXXX-XX493</v>
      </c>
      <c r="C494" s="2" t="str" cm="1">
        <f t="array" ref="C494">IFERROR(_xlfn.LET(
_xlpm.CSVVal,_xlfn.XLOOKUP($A494,CSV!$A:$A,CSV!B:B,""),
_xlpm.MacVal,_xlfn.XLOOKUP($A494,Output_Mac!$A:$A,Output_Mac!B:B,""),
_xlpm.MyAuditVal,_xlfn.XLOOKUP($A494,My_Audit!$A:$A,My_Audit!B:B,""),
_xlfn.IFS(_xlpm.MyAuditVal&lt;&gt;"",UPPER(_xlpm.MyAuditVal),_xlpm.MacVal&lt;&gt;"",_xlpm.MacVal,_xlpm.CSVVal&lt;&gt;"",_xlpm.CSVVal
)),"")</f>
        <v/>
      </c>
      <c r="D494" s="2" t="str" cm="1">
        <f t="array" ref="D494">IFERROR(_xlfn.LET(
_xlpm.CSVVal,_xlfn.XLOOKUP($A494,CSV!$A:$A,CSV!D:D,""),
_xlpm.MacVal,_xlfn.XLOOKUP($A494,Output_Mac!$A:$A,Output_Mac!C:C,""),
_xlpm.MyAuditVal,_xlfn.XLOOKUP($A494,My_Audit!$A:$A,My_Audit!C:C,""),
_xlfn.IFS(_xlpm.MyAuditVal&lt;&gt;"",_xlpm.MyAuditVal,_xlpm.MacVal&lt;&gt;"",_xlpm.MacVal,_xlpm.CSVVal&lt;&gt;"",_xlpm.CSVVal
)),"")</f>
        <v/>
      </c>
      <c r="E494" s="2" t="str">
        <f>_xlfn.XLOOKUP(A494,My_Audit!A:A,My_Audit!D:D,"")&amp;""</f>
        <v/>
      </c>
      <c r="F494" s="2" t="str" cm="1">
        <f t="array" ref="F494">IFERROR(_xlfn.LET(
_xlpm.CSVVal,_xlfn.XLOOKUP($A494,CSV!$A:$A,CSV!F:F,""),
_xlpm.MacVal,_xlfn.XLOOKUP($A494,Output_Mac!$A:$A,Output_Mac!E:E,""),
_xlpm.MyAuditVal,_xlfn.XLOOKUP($A494,My_Audit!$A:$A,My_Audit!E:E,""),
_xlfn.IFS(_xlpm.MyAuditVal&lt;&gt;"",_xlpm.MyAuditVal,_xlpm.MacVal&lt;&gt;"",_xlpm.MacVal,_xlpm.CSVVal&lt;&gt;"",_xlpm.CSVVal
)),"")</f>
        <v/>
      </c>
      <c r="G494" s="2" t="str" cm="1">
        <f t="array" ref="G494">IFERROR(_xlfn.LET(
_xlpm.CSVVal,_xlfn.XLOOKUP($A494,CSV!$A:$A,CSV!G:G,""),
_xlpm.MacVal,_xlfn.XLOOKUP($A494,Output_Mac!$A:$A,Output_Mac!F:F,""),
_xlpm.MyAuditVal,_xlfn.XLOOKUP($A494,My_Audit!$A:$A,My_Audit!F:F,""),
_xlfn.IFS(_xlpm.MyAuditVal&lt;&gt;"",_xlpm.MyAuditVal,_xlpm.MacVal&lt;&gt;"",_xlpm.MacVal,_xlpm.CSVVal&lt;&gt;"",PROPER(_xlpm.CSVVal)
)),"")</f>
        <v/>
      </c>
      <c r="H494" s="2" t="str" cm="1">
        <f t="array" ref="H494">IFERROR(_xlfn.LET(
_xlpm.CSVVal,_xlfn.XLOOKUP($A494,CSV!$A:$A,CSV!H:H,""),
_xlpm.MacVal,_xlfn.XLOOKUP($A494,Output_Mac!$A:$A,Output_Mac!H:H,""),
_xlpm.MyAuditVal,_xlfn.XLOOKUP($A494,My_Audit!$A:$A,My_Audit!G:G,""),
_xlfn.IFS(_xlpm.MyAuditVal&lt;&gt;"",_xlpm.MyAuditVal,_xlpm.MacVal&lt;&gt;"",_xlpm.MacVal,_xlpm.CSVVal&lt;&gt;"",_xlpm.CSVVal
)),"")</f>
        <v/>
      </c>
      <c r="I494" s="2" t="str">
        <f>_xlfn.XLOOKUP(A494,Output_Mac!A:A,Output_Mac!I:I,"")</f>
        <v/>
      </c>
      <c r="J494" s="2" t="str" cm="1">
        <f t="array" ref="J494">IFERROR(_xlfn.LET(
_xlpm.CSVVal,_xlfn.XLOOKUP($A494,CSV!$A:$A,CSV!I:I,""),
_xlpm.MacVal,_xlfn.XLOOKUP($A494,Output_Mac!$A:$A,Output_Mac!J:J,""),
_xlpm.MyAuditVal,_xlfn.XLOOKUP($A494,My_Audit!$A:$A,My_Audit!I:I,""),
_xlfn.IFS(_xlpm.MyAuditVal&lt;&gt;"",UPPER(_xlpm.MyAuditVal),_xlpm.MacVal&lt;&gt;"",_xlpm.MacVal,_xlpm.CSVVal&lt;&gt;"",_xlpm.CSVVal
)),"")</f>
        <v/>
      </c>
      <c r="K494" s="2" t="str" cm="1">
        <f t="array" ref="K494">IFERROR(_xlfn.LET(
_xlpm.CSVVal,_xlfn.XLOOKUP($A494,CSV!$A:$A,CSV!K:K,""),
_xlpm.MacVal,_xlfn.XLOOKUP($A494,Output_Mac!$A:$A,Output_Mac!K:K,""),
_xlpm.MyAuditVal,_xlfn.XLOOKUP($A494,My_Audit!$A:$A,My_Audit!J:J,""),
_xlfn.IFS(_xlpm.MyAuditVal&lt;&gt;"",UPPER(_xlpm.MyAuditVal),_xlpm.MacVal&lt;&gt;"",_xlpm.MacVal,_xlpm.CSVVal&lt;&gt;"",_xlpm.CSVVal
)),"")</f>
        <v/>
      </c>
      <c r="L494" s="2" t="str" cm="1">
        <f t="array" ref="L494">IFERROR(_xlfn.LET(
_xlpm.CSVVal,_xlfn.XLOOKUP($A494,CSV!$A:$A,CSV!P:P,""),
_xlpm.MacVal,_xlfn.XLOOKUP($A494,Output_Mac!$A:$A,Output_Mac!L:L,""),
_xlpm.MyAuditVal,_xlfn.XLOOKUP($A494,My_Audit!$A:$A,My_Audit!K:K,""),
_xlfn.IFS(_xlpm.MyAuditVal&lt;&gt;"",UPPER(_xlpm.MyAuditVal),_xlpm.MacVal&lt;&gt;"",_xlpm.MacVal,_xlpm.CSVVal&lt;&gt;"",_xlpm.CSVVal
)),"")</f>
        <v/>
      </c>
      <c r="M494" s="2" t="str" cm="1">
        <f t="array" ref="M494">IFERROR(_xlfn.LET(
_xlpm.CSVVal,_xlfn.XLOOKUP($A494,CSV!$A:$A,CSV!Q:Q,""),
_xlpm.MacVal,_xlfn.XLOOKUP($A494,Output_Mac!$A:$A,Output_Mac!M:M,""),
_xlpm.MyAuditVal,_xlfn.XLOOKUP($A494,My_Audit!$A:$A,My_Audit!L:L,""),
_xlfn.IFS(_xlpm.MyAuditVal&lt;&gt;"",UPPER(_xlpm.MyAuditVal),_xlpm.MacVal&lt;&gt;"",_xlpm.MacVal,_xlpm.CSVVal&lt;&gt;"",_xlpm.CSVVal
)),"")</f>
        <v/>
      </c>
      <c r="O494" s="2" t="str">
        <f>_xlfn.LET(
    _xlpm.CSVVal, _xlfn.XLOOKUP($A494, CSV!$A:$A, CSV!AF:AF, ""),
    _xlpm.MacVal, _xlfn.XLOOKUP($A494, Output_Mac!$A:$A, Output_Mac!S:S, ""),
    _xlpm.MyAuditVal, _xlfn.XLOOKUP($A494, My_Audit!$A:$A, My_Audit!P:P, ""),
    _xlfn.TEXTJOIN(", ", TRUE, _xlpm.MyAuditVal, _xlpm.MacVal, _xlpm.CSVVal)
)</f>
        <v/>
      </c>
      <c r="P494" s="2" t="str" cm="1">
        <f t="array" ref="P494">IFERROR(_xlfn.LET(
_xlpm.CSVVal,_xlfn.XLOOKUP($A494,CSV!$A:$A,CSV!AG:AG,""),
_xlpm.MacVal,_xlfn.XLOOKUP($A494,Output_Mac!$A:$A,Output_Mac!T:T,""),
_xlpm.MyAuditVal,_xlfn.XLOOKUP($A494,My_Audit!$A:$A,My_Audit!Q:Q,""),
_xlfn.IFS(_xlpm.MyAuditVal&lt;&gt;"",UPPER(_xlpm.MyAuditVal),_xlpm.MacVal&lt;&gt;"",_xlpm.MacVal,_xlpm.CSVVal&lt;&gt;"",_xlpm.CSVVal
)),"No")</f>
        <v>No</v>
      </c>
      <c r="Q494" s="2" t="str" cm="1">
        <f t="array" ref="Q494">IFERROR(_xlfn.LET(
_xlpm.CSVVal,_xlfn.XLOOKUP($A494,CSV!$A:$A,CSV!AH:AH,""),
_xlpm.MacVal,_xlfn.XLOOKUP($A494,Output_Mac!$A:$A,Output_Mac!U:U,""),
_xlpm.MyAuditVal,_xlfn.XLOOKUP($A494,My_Audit!$A:$A,My_Audit!R:R,""),
_xlfn.IFS(_xlpm.MyAuditVal&lt;&gt;"",UPPER(_xlpm.MyAuditVal),_xlpm.MacVal&lt;&gt;"",_xlpm.MacVal,_xlpm.CSVVal&lt;&gt;"",_xlpm.CSVVal
)),"")</f>
        <v/>
      </c>
    </row>
    <row r="495" spans="1:17">
      <c r="A495" s="2" t="str">
        <f>_xlfn.TEXTJOIN("",TRUE,Input!$B$2,ROW(My_Audit!A494))</f>
        <v>XX494</v>
      </c>
      <c r="B495" s="2" t="str">
        <f>_xlfn.TEXTJOIN("-",TRUE,"ITD",Input!$A$2,A495)</f>
        <v>ITD-SHRXXX-XX494</v>
      </c>
      <c r="C495" s="2" t="str" cm="1">
        <f t="array" ref="C495">IFERROR(_xlfn.LET(
_xlpm.CSVVal,_xlfn.XLOOKUP($A495,CSV!$A:$A,CSV!B:B,""),
_xlpm.MacVal,_xlfn.XLOOKUP($A495,Output_Mac!$A:$A,Output_Mac!B:B,""),
_xlpm.MyAuditVal,_xlfn.XLOOKUP($A495,My_Audit!$A:$A,My_Audit!B:B,""),
_xlfn.IFS(_xlpm.MyAuditVal&lt;&gt;"",UPPER(_xlpm.MyAuditVal),_xlpm.MacVal&lt;&gt;"",_xlpm.MacVal,_xlpm.CSVVal&lt;&gt;"",_xlpm.CSVVal
)),"")</f>
        <v/>
      </c>
      <c r="D495" s="2" t="str" cm="1">
        <f t="array" ref="D495">IFERROR(_xlfn.LET(
_xlpm.CSVVal,_xlfn.XLOOKUP($A495,CSV!$A:$A,CSV!D:D,""),
_xlpm.MacVal,_xlfn.XLOOKUP($A495,Output_Mac!$A:$A,Output_Mac!C:C,""),
_xlpm.MyAuditVal,_xlfn.XLOOKUP($A495,My_Audit!$A:$A,My_Audit!C:C,""),
_xlfn.IFS(_xlpm.MyAuditVal&lt;&gt;"",_xlpm.MyAuditVal,_xlpm.MacVal&lt;&gt;"",_xlpm.MacVal,_xlpm.CSVVal&lt;&gt;"",_xlpm.CSVVal
)),"")</f>
        <v/>
      </c>
      <c r="E495" s="2" t="str">
        <f>_xlfn.XLOOKUP(A495,My_Audit!A:A,My_Audit!D:D,"")&amp;""</f>
        <v/>
      </c>
      <c r="F495" s="2" t="str" cm="1">
        <f t="array" ref="F495">IFERROR(_xlfn.LET(
_xlpm.CSVVal,_xlfn.XLOOKUP($A495,CSV!$A:$A,CSV!F:F,""),
_xlpm.MacVal,_xlfn.XLOOKUP($A495,Output_Mac!$A:$A,Output_Mac!E:E,""),
_xlpm.MyAuditVal,_xlfn.XLOOKUP($A495,My_Audit!$A:$A,My_Audit!E:E,""),
_xlfn.IFS(_xlpm.MyAuditVal&lt;&gt;"",_xlpm.MyAuditVal,_xlpm.MacVal&lt;&gt;"",_xlpm.MacVal,_xlpm.CSVVal&lt;&gt;"",_xlpm.CSVVal
)),"")</f>
        <v/>
      </c>
      <c r="G495" s="2" t="str" cm="1">
        <f t="array" ref="G495">IFERROR(_xlfn.LET(
_xlpm.CSVVal,_xlfn.XLOOKUP($A495,CSV!$A:$A,CSV!G:G,""),
_xlpm.MacVal,_xlfn.XLOOKUP($A495,Output_Mac!$A:$A,Output_Mac!F:F,""),
_xlpm.MyAuditVal,_xlfn.XLOOKUP($A495,My_Audit!$A:$A,My_Audit!F:F,""),
_xlfn.IFS(_xlpm.MyAuditVal&lt;&gt;"",_xlpm.MyAuditVal,_xlpm.MacVal&lt;&gt;"",_xlpm.MacVal,_xlpm.CSVVal&lt;&gt;"",PROPER(_xlpm.CSVVal)
)),"")</f>
        <v/>
      </c>
      <c r="H495" s="2" t="str" cm="1">
        <f t="array" ref="H495">IFERROR(_xlfn.LET(
_xlpm.CSVVal,_xlfn.XLOOKUP($A495,CSV!$A:$A,CSV!H:H,""),
_xlpm.MacVal,_xlfn.XLOOKUP($A495,Output_Mac!$A:$A,Output_Mac!H:H,""),
_xlpm.MyAuditVal,_xlfn.XLOOKUP($A495,My_Audit!$A:$A,My_Audit!G:G,""),
_xlfn.IFS(_xlpm.MyAuditVal&lt;&gt;"",_xlpm.MyAuditVal,_xlpm.MacVal&lt;&gt;"",_xlpm.MacVal,_xlpm.CSVVal&lt;&gt;"",_xlpm.CSVVal
)),"")</f>
        <v/>
      </c>
      <c r="I495" s="2" t="str">
        <f>_xlfn.XLOOKUP(A495,Output_Mac!A:A,Output_Mac!I:I,"")</f>
        <v/>
      </c>
      <c r="J495" s="2" t="str" cm="1">
        <f t="array" ref="J495">IFERROR(_xlfn.LET(
_xlpm.CSVVal,_xlfn.XLOOKUP($A495,CSV!$A:$A,CSV!I:I,""),
_xlpm.MacVal,_xlfn.XLOOKUP($A495,Output_Mac!$A:$A,Output_Mac!J:J,""),
_xlpm.MyAuditVal,_xlfn.XLOOKUP($A495,My_Audit!$A:$A,My_Audit!I:I,""),
_xlfn.IFS(_xlpm.MyAuditVal&lt;&gt;"",UPPER(_xlpm.MyAuditVal),_xlpm.MacVal&lt;&gt;"",_xlpm.MacVal,_xlpm.CSVVal&lt;&gt;"",_xlpm.CSVVal
)),"")</f>
        <v/>
      </c>
      <c r="K495" s="2" t="str" cm="1">
        <f t="array" ref="K495">IFERROR(_xlfn.LET(
_xlpm.CSVVal,_xlfn.XLOOKUP($A495,CSV!$A:$A,CSV!K:K,""),
_xlpm.MacVal,_xlfn.XLOOKUP($A495,Output_Mac!$A:$A,Output_Mac!K:K,""),
_xlpm.MyAuditVal,_xlfn.XLOOKUP($A495,My_Audit!$A:$A,My_Audit!J:J,""),
_xlfn.IFS(_xlpm.MyAuditVal&lt;&gt;"",UPPER(_xlpm.MyAuditVal),_xlpm.MacVal&lt;&gt;"",_xlpm.MacVal,_xlpm.CSVVal&lt;&gt;"",_xlpm.CSVVal
)),"")</f>
        <v/>
      </c>
      <c r="L495" s="2" t="str" cm="1">
        <f t="array" ref="L495">IFERROR(_xlfn.LET(
_xlpm.CSVVal,_xlfn.XLOOKUP($A495,CSV!$A:$A,CSV!P:P,""),
_xlpm.MacVal,_xlfn.XLOOKUP($A495,Output_Mac!$A:$A,Output_Mac!L:L,""),
_xlpm.MyAuditVal,_xlfn.XLOOKUP($A495,My_Audit!$A:$A,My_Audit!K:K,""),
_xlfn.IFS(_xlpm.MyAuditVal&lt;&gt;"",UPPER(_xlpm.MyAuditVal),_xlpm.MacVal&lt;&gt;"",_xlpm.MacVal,_xlpm.CSVVal&lt;&gt;"",_xlpm.CSVVal
)),"")</f>
        <v/>
      </c>
      <c r="M495" s="2" t="str" cm="1">
        <f t="array" ref="M495">IFERROR(_xlfn.LET(
_xlpm.CSVVal,_xlfn.XLOOKUP($A495,CSV!$A:$A,CSV!Q:Q,""),
_xlpm.MacVal,_xlfn.XLOOKUP($A495,Output_Mac!$A:$A,Output_Mac!M:M,""),
_xlpm.MyAuditVal,_xlfn.XLOOKUP($A495,My_Audit!$A:$A,My_Audit!L:L,""),
_xlfn.IFS(_xlpm.MyAuditVal&lt;&gt;"",UPPER(_xlpm.MyAuditVal),_xlpm.MacVal&lt;&gt;"",_xlpm.MacVal,_xlpm.CSVVal&lt;&gt;"",_xlpm.CSVVal
)),"")</f>
        <v/>
      </c>
      <c r="O495" s="2" t="str">
        <f>_xlfn.LET(
    _xlpm.CSVVal, _xlfn.XLOOKUP($A495, CSV!$A:$A, CSV!AF:AF, ""),
    _xlpm.MacVal, _xlfn.XLOOKUP($A495, Output_Mac!$A:$A, Output_Mac!S:S, ""),
    _xlpm.MyAuditVal, _xlfn.XLOOKUP($A495, My_Audit!$A:$A, My_Audit!P:P, ""),
    _xlfn.TEXTJOIN(", ", TRUE, _xlpm.MyAuditVal, _xlpm.MacVal, _xlpm.CSVVal)
)</f>
        <v/>
      </c>
      <c r="P495" s="2" t="str" cm="1">
        <f t="array" ref="P495">IFERROR(_xlfn.LET(
_xlpm.CSVVal,_xlfn.XLOOKUP($A495,CSV!$A:$A,CSV!AG:AG,""),
_xlpm.MacVal,_xlfn.XLOOKUP($A495,Output_Mac!$A:$A,Output_Mac!T:T,""),
_xlpm.MyAuditVal,_xlfn.XLOOKUP($A495,My_Audit!$A:$A,My_Audit!Q:Q,""),
_xlfn.IFS(_xlpm.MyAuditVal&lt;&gt;"",UPPER(_xlpm.MyAuditVal),_xlpm.MacVal&lt;&gt;"",_xlpm.MacVal,_xlpm.CSVVal&lt;&gt;"",_xlpm.CSVVal
)),"No")</f>
        <v>No</v>
      </c>
      <c r="Q495" s="2" t="str" cm="1">
        <f t="array" ref="Q495">IFERROR(_xlfn.LET(
_xlpm.CSVVal,_xlfn.XLOOKUP($A495,CSV!$A:$A,CSV!AH:AH,""),
_xlpm.MacVal,_xlfn.XLOOKUP($A495,Output_Mac!$A:$A,Output_Mac!U:U,""),
_xlpm.MyAuditVal,_xlfn.XLOOKUP($A495,My_Audit!$A:$A,My_Audit!R:R,""),
_xlfn.IFS(_xlpm.MyAuditVal&lt;&gt;"",UPPER(_xlpm.MyAuditVal),_xlpm.MacVal&lt;&gt;"",_xlpm.MacVal,_xlpm.CSVVal&lt;&gt;"",_xlpm.CSVVal
)),"")</f>
        <v/>
      </c>
    </row>
    <row r="496" spans="1:17">
      <c r="A496" s="2" t="str">
        <f>_xlfn.TEXTJOIN("",TRUE,Input!$B$2,ROW(My_Audit!A495))</f>
        <v>XX495</v>
      </c>
      <c r="B496" s="2" t="str">
        <f>_xlfn.TEXTJOIN("-",TRUE,"ITD",Input!$A$2,A496)</f>
        <v>ITD-SHRXXX-XX495</v>
      </c>
      <c r="C496" s="2" t="str" cm="1">
        <f t="array" ref="C496">IFERROR(_xlfn.LET(
_xlpm.CSVVal,_xlfn.XLOOKUP($A496,CSV!$A:$A,CSV!B:B,""),
_xlpm.MacVal,_xlfn.XLOOKUP($A496,Output_Mac!$A:$A,Output_Mac!B:B,""),
_xlpm.MyAuditVal,_xlfn.XLOOKUP($A496,My_Audit!$A:$A,My_Audit!B:B,""),
_xlfn.IFS(_xlpm.MyAuditVal&lt;&gt;"",UPPER(_xlpm.MyAuditVal),_xlpm.MacVal&lt;&gt;"",_xlpm.MacVal,_xlpm.CSVVal&lt;&gt;"",_xlpm.CSVVal
)),"")</f>
        <v/>
      </c>
      <c r="D496" s="2" t="str" cm="1">
        <f t="array" ref="D496">IFERROR(_xlfn.LET(
_xlpm.CSVVal,_xlfn.XLOOKUP($A496,CSV!$A:$A,CSV!D:D,""),
_xlpm.MacVal,_xlfn.XLOOKUP($A496,Output_Mac!$A:$A,Output_Mac!C:C,""),
_xlpm.MyAuditVal,_xlfn.XLOOKUP($A496,My_Audit!$A:$A,My_Audit!C:C,""),
_xlfn.IFS(_xlpm.MyAuditVal&lt;&gt;"",_xlpm.MyAuditVal,_xlpm.MacVal&lt;&gt;"",_xlpm.MacVal,_xlpm.CSVVal&lt;&gt;"",_xlpm.CSVVal
)),"")</f>
        <v/>
      </c>
      <c r="E496" s="2" t="str">
        <f>_xlfn.XLOOKUP(A496,My_Audit!A:A,My_Audit!D:D,"")&amp;""</f>
        <v/>
      </c>
      <c r="F496" s="2" t="str" cm="1">
        <f t="array" ref="F496">IFERROR(_xlfn.LET(
_xlpm.CSVVal,_xlfn.XLOOKUP($A496,CSV!$A:$A,CSV!F:F,""),
_xlpm.MacVal,_xlfn.XLOOKUP($A496,Output_Mac!$A:$A,Output_Mac!E:E,""),
_xlpm.MyAuditVal,_xlfn.XLOOKUP($A496,My_Audit!$A:$A,My_Audit!E:E,""),
_xlfn.IFS(_xlpm.MyAuditVal&lt;&gt;"",_xlpm.MyAuditVal,_xlpm.MacVal&lt;&gt;"",_xlpm.MacVal,_xlpm.CSVVal&lt;&gt;"",_xlpm.CSVVal
)),"")</f>
        <v/>
      </c>
      <c r="G496" s="2" t="str" cm="1">
        <f t="array" ref="G496">IFERROR(_xlfn.LET(
_xlpm.CSVVal,_xlfn.XLOOKUP($A496,CSV!$A:$A,CSV!G:G,""),
_xlpm.MacVal,_xlfn.XLOOKUP($A496,Output_Mac!$A:$A,Output_Mac!F:F,""),
_xlpm.MyAuditVal,_xlfn.XLOOKUP($A496,My_Audit!$A:$A,My_Audit!F:F,""),
_xlfn.IFS(_xlpm.MyAuditVal&lt;&gt;"",_xlpm.MyAuditVal,_xlpm.MacVal&lt;&gt;"",_xlpm.MacVal,_xlpm.CSVVal&lt;&gt;"",PROPER(_xlpm.CSVVal)
)),"")</f>
        <v/>
      </c>
      <c r="H496" s="2" t="str" cm="1">
        <f t="array" ref="H496">IFERROR(_xlfn.LET(
_xlpm.CSVVal,_xlfn.XLOOKUP($A496,CSV!$A:$A,CSV!H:H,""),
_xlpm.MacVal,_xlfn.XLOOKUP($A496,Output_Mac!$A:$A,Output_Mac!H:H,""),
_xlpm.MyAuditVal,_xlfn.XLOOKUP($A496,My_Audit!$A:$A,My_Audit!G:G,""),
_xlfn.IFS(_xlpm.MyAuditVal&lt;&gt;"",_xlpm.MyAuditVal,_xlpm.MacVal&lt;&gt;"",_xlpm.MacVal,_xlpm.CSVVal&lt;&gt;"",_xlpm.CSVVal
)),"")</f>
        <v/>
      </c>
      <c r="I496" s="2" t="str">
        <f>_xlfn.XLOOKUP(A496,Output_Mac!A:A,Output_Mac!I:I,"")</f>
        <v/>
      </c>
      <c r="J496" s="2" t="str" cm="1">
        <f t="array" ref="J496">IFERROR(_xlfn.LET(
_xlpm.CSVVal,_xlfn.XLOOKUP($A496,CSV!$A:$A,CSV!I:I,""),
_xlpm.MacVal,_xlfn.XLOOKUP($A496,Output_Mac!$A:$A,Output_Mac!J:J,""),
_xlpm.MyAuditVal,_xlfn.XLOOKUP($A496,My_Audit!$A:$A,My_Audit!I:I,""),
_xlfn.IFS(_xlpm.MyAuditVal&lt;&gt;"",UPPER(_xlpm.MyAuditVal),_xlpm.MacVal&lt;&gt;"",_xlpm.MacVal,_xlpm.CSVVal&lt;&gt;"",_xlpm.CSVVal
)),"")</f>
        <v/>
      </c>
      <c r="K496" s="2" t="str" cm="1">
        <f t="array" ref="K496">IFERROR(_xlfn.LET(
_xlpm.CSVVal,_xlfn.XLOOKUP($A496,CSV!$A:$A,CSV!K:K,""),
_xlpm.MacVal,_xlfn.XLOOKUP($A496,Output_Mac!$A:$A,Output_Mac!K:K,""),
_xlpm.MyAuditVal,_xlfn.XLOOKUP($A496,My_Audit!$A:$A,My_Audit!J:J,""),
_xlfn.IFS(_xlpm.MyAuditVal&lt;&gt;"",UPPER(_xlpm.MyAuditVal),_xlpm.MacVal&lt;&gt;"",_xlpm.MacVal,_xlpm.CSVVal&lt;&gt;"",_xlpm.CSVVal
)),"")</f>
        <v/>
      </c>
      <c r="L496" s="2" t="str" cm="1">
        <f t="array" ref="L496">IFERROR(_xlfn.LET(
_xlpm.CSVVal,_xlfn.XLOOKUP($A496,CSV!$A:$A,CSV!P:P,""),
_xlpm.MacVal,_xlfn.XLOOKUP($A496,Output_Mac!$A:$A,Output_Mac!L:L,""),
_xlpm.MyAuditVal,_xlfn.XLOOKUP($A496,My_Audit!$A:$A,My_Audit!K:K,""),
_xlfn.IFS(_xlpm.MyAuditVal&lt;&gt;"",UPPER(_xlpm.MyAuditVal),_xlpm.MacVal&lt;&gt;"",_xlpm.MacVal,_xlpm.CSVVal&lt;&gt;"",_xlpm.CSVVal
)),"")</f>
        <v/>
      </c>
      <c r="M496" s="2" t="str" cm="1">
        <f t="array" ref="M496">IFERROR(_xlfn.LET(
_xlpm.CSVVal,_xlfn.XLOOKUP($A496,CSV!$A:$A,CSV!Q:Q,""),
_xlpm.MacVal,_xlfn.XLOOKUP($A496,Output_Mac!$A:$A,Output_Mac!M:M,""),
_xlpm.MyAuditVal,_xlfn.XLOOKUP($A496,My_Audit!$A:$A,My_Audit!L:L,""),
_xlfn.IFS(_xlpm.MyAuditVal&lt;&gt;"",UPPER(_xlpm.MyAuditVal),_xlpm.MacVal&lt;&gt;"",_xlpm.MacVal,_xlpm.CSVVal&lt;&gt;"",_xlpm.CSVVal
)),"")</f>
        <v/>
      </c>
      <c r="O496" s="2" t="str">
        <f>_xlfn.LET(
    _xlpm.CSVVal, _xlfn.XLOOKUP($A496, CSV!$A:$A, CSV!AF:AF, ""),
    _xlpm.MacVal, _xlfn.XLOOKUP($A496, Output_Mac!$A:$A, Output_Mac!S:S, ""),
    _xlpm.MyAuditVal, _xlfn.XLOOKUP($A496, My_Audit!$A:$A, My_Audit!P:P, ""),
    _xlfn.TEXTJOIN(", ", TRUE, _xlpm.MyAuditVal, _xlpm.MacVal, _xlpm.CSVVal)
)</f>
        <v/>
      </c>
      <c r="P496" s="2" t="str" cm="1">
        <f t="array" ref="P496">IFERROR(_xlfn.LET(
_xlpm.CSVVal,_xlfn.XLOOKUP($A496,CSV!$A:$A,CSV!AG:AG,""),
_xlpm.MacVal,_xlfn.XLOOKUP($A496,Output_Mac!$A:$A,Output_Mac!T:T,""),
_xlpm.MyAuditVal,_xlfn.XLOOKUP($A496,My_Audit!$A:$A,My_Audit!Q:Q,""),
_xlfn.IFS(_xlpm.MyAuditVal&lt;&gt;"",UPPER(_xlpm.MyAuditVal),_xlpm.MacVal&lt;&gt;"",_xlpm.MacVal,_xlpm.CSVVal&lt;&gt;"",_xlpm.CSVVal
)),"No")</f>
        <v>No</v>
      </c>
      <c r="Q496" s="2" t="str" cm="1">
        <f t="array" ref="Q496">IFERROR(_xlfn.LET(
_xlpm.CSVVal,_xlfn.XLOOKUP($A496,CSV!$A:$A,CSV!AH:AH,""),
_xlpm.MacVal,_xlfn.XLOOKUP($A496,Output_Mac!$A:$A,Output_Mac!U:U,""),
_xlpm.MyAuditVal,_xlfn.XLOOKUP($A496,My_Audit!$A:$A,My_Audit!R:R,""),
_xlfn.IFS(_xlpm.MyAuditVal&lt;&gt;"",UPPER(_xlpm.MyAuditVal),_xlpm.MacVal&lt;&gt;"",_xlpm.MacVal,_xlpm.CSVVal&lt;&gt;"",_xlpm.CSVVal
)),"")</f>
        <v/>
      </c>
    </row>
    <row r="497" spans="1:17">
      <c r="A497" s="2" t="str">
        <f>_xlfn.TEXTJOIN("",TRUE,Input!$B$2,ROW(My_Audit!A496))</f>
        <v>XX496</v>
      </c>
      <c r="B497" s="2" t="str">
        <f>_xlfn.TEXTJOIN("-",TRUE,"ITD",Input!$A$2,A497)</f>
        <v>ITD-SHRXXX-XX496</v>
      </c>
      <c r="C497" s="2" t="str" cm="1">
        <f t="array" ref="C497">IFERROR(_xlfn.LET(
_xlpm.CSVVal,_xlfn.XLOOKUP($A497,CSV!$A:$A,CSV!B:B,""),
_xlpm.MacVal,_xlfn.XLOOKUP($A497,Output_Mac!$A:$A,Output_Mac!B:B,""),
_xlpm.MyAuditVal,_xlfn.XLOOKUP($A497,My_Audit!$A:$A,My_Audit!B:B,""),
_xlfn.IFS(_xlpm.MyAuditVal&lt;&gt;"",UPPER(_xlpm.MyAuditVal),_xlpm.MacVal&lt;&gt;"",_xlpm.MacVal,_xlpm.CSVVal&lt;&gt;"",_xlpm.CSVVal
)),"")</f>
        <v/>
      </c>
      <c r="D497" s="2" t="str" cm="1">
        <f t="array" ref="D497">IFERROR(_xlfn.LET(
_xlpm.CSVVal,_xlfn.XLOOKUP($A497,CSV!$A:$A,CSV!D:D,""),
_xlpm.MacVal,_xlfn.XLOOKUP($A497,Output_Mac!$A:$A,Output_Mac!C:C,""),
_xlpm.MyAuditVal,_xlfn.XLOOKUP($A497,My_Audit!$A:$A,My_Audit!C:C,""),
_xlfn.IFS(_xlpm.MyAuditVal&lt;&gt;"",_xlpm.MyAuditVal,_xlpm.MacVal&lt;&gt;"",_xlpm.MacVal,_xlpm.CSVVal&lt;&gt;"",_xlpm.CSVVal
)),"")</f>
        <v/>
      </c>
      <c r="E497" s="2" t="str">
        <f>_xlfn.XLOOKUP(A497,My_Audit!A:A,My_Audit!D:D,"")&amp;""</f>
        <v/>
      </c>
      <c r="F497" s="2" t="str" cm="1">
        <f t="array" ref="F497">IFERROR(_xlfn.LET(
_xlpm.CSVVal,_xlfn.XLOOKUP($A497,CSV!$A:$A,CSV!F:F,""),
_xlpm.MacVal,_xlfn.XLOOKUP($A497,Output_Mac!$A:$A,Output_Mac!E:E,""),
_xlpm.MyAuditVal,_xlfn.XLOOKUP($A497,My_Audit!$A:$A,My_Audit!E:E,""),
_xlfn.IFS(_xlpm.MyAuditVal&lt;&gt;"",_xlpm.MyAuditVal,_xlpm.MacVal&lt;&gt;"",_xlpm.MacVal,_xlpm.CSVVal&lt;&gt;"",_xlpm.CSVVal
)),"")</f>
        <v/>
      </c>
      <c r="G497" s="2" t="str" cm="1">
        <f t="array" ref="G497">IFERROR(_xlfn.LET(
_xlpm.CSVVal,_xlfn.XLOOKUP($A497,CSV!$A:$A,CSV!G:G,""),
_xlpm.MacVal,_xlfn.XLOOKUP($A497,Output_Mac!$A:$A,Output_Mac!F:F,""),
_xlpm.MyAuditVal,_xlfn.XLOOKUP($A497,My_Audit!$A:$A,My_Audit!F:F,""),
_xlfn.IFS(_xlpm.MyAuditVal&lt;&gt;"",_xlpm.MyAuditVal,_xlpm.MacVal&lt;&gt;"",_xlpm.MacVal,_xlpm.CSVVal&lt;&gt;"",PROPER(_xlpm.CSVVal)
)),"")</f>
        <v/>
      </c>
      <c r="H497" s="2" t="str" cm="1">
        <f t="array" ref="H497">IFERROR(_xlfn.LET(
_xlpm.CSVVal,_xlfn.XLOOKUP($A497,CSV!$A:$A,CSV!H:H,""),
_xlpm.MacVal,_xlfn.XLOOKUP($A497,Output_Mac!$A:$A,Output_Mac!H:H,""),
_xlpm.MyAuditVal,_xlfn.XLOOKUP($A497,My_Audit!$A:$A,My_Audit!G:G,""),
_xlfn.IFS(_xlpm.MyAuditVal&lt;&gt;"",_xlpm.MyAuditVal,_xlpm.MacVal&lt;&gt;"",_xlpm.MacVal,_xlpm.CSVVal&lt;&gt;"",_xlpm.CSVVal
)),"")</f>
        <v/>
      </c>
      <c r="I497" s="2" t="str">
        <f>_xlfn.XLOOKUP(A497,Output_Mac!A:A,Output_Mac!I:I,"")</f>
        <v/>
      </c>
      <c r="J497" s="2" t="str" cm="1">
        <f t="array" ref="J497">IFERROR(_xlfn.LET(
_xlpm.CSVVal,_xlfn.XLOOKUP($A497,CSV!$A:$A,CSV!I:I,""),
_xlpm.MacVal,_xlfn.XLOOKUP($A497,Output_Mac!$A:$A,Output_Mac!J:J,""),
_xlpm.MyAuditVal,_xlfn.XLOOKUP($A497,My_Audit!$A:$A,My_Audit!I:I,""),
_xlfn.IFS(_xlpm.MyAuditVal&lt;&gt;"",UPPER(_xlpm.MyAuditVal),_xlpm.MacVal&lt;&gt;"",_xlpm.MacVal,_xlpm.CSVVal&lt;&gt;"",_xlpm.CSVVal
)),"")</f>
        <v/>
      </c>
      <c r="K497" s="2" t="str" cm="1">
        <f t="array" ref="K497">IFERROR(_xlfn.LET(
_xlpm.CSVVal,_xlfn.XLOOKUP($A497,CSV!$A:$A,CSV!K:K,""),
_xlpm.MacVal,_xlfn.XLOOKUP($A497,Output_Mac!$A:$A,Output_Mac!K:K,""),
_xlpm.MyAuditVal,_xlfn.XLOOKUP($A497,My_Audit!$A:$A,My_Audit!J:J,""),
_xlfn.IFS(_xlpm.MyAuditVal&lt;&gt;"",UPPER(_xlpm.MyAuditVal),_xlpm.MacVal&lt;&gt;"",_xlpm.MacVal,_xlpm.CSVVal&lt;&gt;"",_xlpm.CSVVal
)),"")</f>
        <v/>
      </c>
      <c r="L497" s="2" t="str" cm="1">
        <f t="array" ref="L497">IFERROR(_xlfn.LET(
_xlpm.CSVVal,_xlfn.XLOOKUP($A497,CSV!$A:$A,CSV!P:P,""),
_xlpm.MacVal,_xlfn.XLOOKUP($A497,Output_Mac!$A:$A,Output_Mac!L:L,""),
_xlpm.MyAuditVal,_xlfn.XLOOKUP($A497,My_Audit!$A:$A,My_Audit!K:K,""),
_xlfn.IFS(_xlpm.MyAuditVal&lt;&gt;"",UPPER(_xlpm.MyAuditVal),_xlpm.MacVal&lt;&gt;"",_xlpm.MacVal,_xlpm.CSVVal&lt;&gt;"",_xlpm.CSVVal
)),"")</f>
        <v/>
      </c>
      <c r="M497" s="2" t="str" cm="1">
        <f t="array" ref="M497">IFERROR(_xlfn.LET(
_xlpm.CSVVal,_xlfn.XLOOKUP($A497,CSV!$A:$A,CSV!Q:Q,""),
_xlpm.MacVal,_xlfn.XLOOKUP($A497,Output_Mac!$A:$A,Output_Mac!M:M,""),
_xlpm.MyAuditVal,_xlfn.XLOOKUP($A497,My_Audit!$A:$A,My_Audit!L:L,""),
_xlfn.IFS(_xlpm.MyAuditVal&lt;&gt;"",UPPER(_xlpm.MyAuditVal),_xlpm.MacVal&lt;&gt;"",_xlpm.MacVal,_xlpm.CSVVal&lt;&gt;"",_xlpm.CSVVal
)),"")</f>
        <v/>
      </c>
      <c r="O497" s="2" t="str">
        <f>_xlfn.LET(
    _xlpm.CSVVal, _xlfn.XLOOKUP($A497, CSV!$A:$A, CSV!AF:AF, ""),
    _xlpm.MacVal, _xlfn.XLOOKUP($A497, Output_Mac!$A:$A, Output_Mac!S:S, ""),
    _xlpm.MyAuditVal, _xlfn.XLOOKUP($A497, My_Audit!$A:$A, My_Audit!P:P, ""),
    _xlfn.TEXTJOIN(", ", TRUE, _xlpm.MyAuditVal, _xlpm.MacVal, _xlpm.CSVVal)
)</f>
        <v/>
      </c>
      <c r="P497" s="2" t="str" cm="1">
        <f t="array" ref="P497">IFERROR(_xlfn.LET(
_xlpm.CSVVal,_xlfn.XLOOKUP($A497,CSV!$A:$A,CSV!AG:AG,""),
_xlpm.MacVal,_xlfn.XLOOKUP($A497,Output_Mac!$A:$A,Output_Mac!T:T,""),
_xlpm.MyAuditVal,_xlfn.XLOOKUP($A497,My_Audit!$A:$A,My_Audit!Q:Q,""),
_xlfn.IFS(_xlpm.MyAuditVal&lt;&gt;"",UPPER(_xlpm.MyAuditVal),_xlpm.MacVal&lt;&gt;"",_xlpm.MacVal,_xlpm.CSVVal&lt;&gt;"",_xlpm.CSVVal
)),"No")</f>
        <v>No</v>
      </c>
      <c r="Q497" s="2" t="str" cm="1">
        <f t="array" ref="Q497">IFERROR(_xlfn.LET(
_xlpm.CSVVal,_xlfn.XLOOKUP($A497,CSV!$A:$A,CSV!AH:AH,""),
_xlpm.MacVal,_xlfn.XLOOKUP($A497,Output_Mac!$A:$A,Output_Mac!U:U,""),
_xlpm.MyAuditVal,_xlfn.XLOOKUP($A497,My_Audit!$A:$A,My_Audit!R:R,""),
_xlfn.IFS(_xlpm.MyAuditVal&lt;&gt;"",UPPER(_xlpm.MyAuditVal),_xlpm.MacVal&lt;&gt;"",_xlpm.MacVal,_xlpm.CSVVal&lt;&gt;"",_xlpm.CSVVal
)),"")</f>
        <v/>
      </c>
    </row>
    <row r="498" spans="1:17">
      <c r="A498" s="2" t="str">
        <f>_xlfn.TEXTJOIN("",TRUE,Input!$B$2,ROW(My_Audit!A497))</f>
        <v>XX497</v>
      </c>
      <c r="B498" s="2" t="str">
        <f>_xlfn.TEXTJOIN("-",TRUE,"ITD",Input!$A$2,A498)</f>
        <v>ITD-SHRXXX-XX497</v>
      </c>
      <c r="C498" s="2" t="str" cm="1">
        <f t="array" ref="C498">IFERROR(_xlfn.LET(
_xlpm.CSVVal,_xlfn.XLOOKUP($A498,CSV!$A:$A,CSV!B:B,""),
_xlpm.MacVal,_xlfn.XLOOKUP($A498,Output_Mac!$A:$A,Output_Mac!B:B,""),
_xlpm.MyAuditVal,_xlfn.XLOOKUP($A498,My_Audit!$A:$A,My_Audit!B:B,""),
_xlfn.IFS(_xlpm.MyAuditVal&lt;&gt;"",UPPER(_xlpm.MyAuditVal),_xlpm.MacVal&lt;&gt;"",_xlpm.MacVal,_xlpm.CSVVal&lt;&gt;"",_xlpm.CSVVal
)),"")</f>
        <v/>
      </c>
      <c r="D498" s="2" t="str" cm="1">
        <f t="array" ref="D498">IFERROR(_xlfn.LET(
_xlpm.CSVVal,_xlfn.XLOOKUP($A498,CSV!$A:$A,CSV!D:D,""),
_xlpm.MacVal,_xlfn.XLOOKUP($A498,Output_Mac!$A:$A,Output_Mac!C:C,""),
_xlpm.MyAuditVal,_xlfn.XLOOKUP($A498,My_Audit!$A:$A,My_Audit!C:C,""),
_xlfn.IFS(_xlpm.MyAuditVal&lt;&gt;"",_xlpm.MyAuditVal,_xlpm.MacVal&lt;&gt;"",_xlpm.MacVal,_xlpm.CSVVal&lt;&gt;"",_xlpm.CSVVal
)),"")</f>
        <v/>
      </c>
      <c r="E498" s="2" t="str">
        <f>_xlfn.XLOOKUP(A498,My_Audit!A:A,My_Audit!D:D,"")&amp;""</f>
        <v/>
      </c>
      <c r="F498" s="2" t="str" cm="1">
        <f t="array" ref="F498">IFERROR(_xlfn.LET(
_xlpm.CSVVal,_xlfn.XLOOKUP($A498,CSV!$A:$A,CSV!F:F,""),
_xlpm.MacVal,_xlfn.XLOOKUP($A498,Output_Mac!$A:$A,Output_Mac!E:E,""),
_xlpm.MyAuditVal,_xlfn.XLOOKUP($A498,My_Audit!$A:$A,My_Audit!E:E,""),
_xlfn.IFS(_xlpm.MyAuditVal&lt;&gt;"",_xlpm.MyAuditVal,_xlpm.MacVal&lt;&gt;"",_xlpm.MacVal,_xlpm.CSVVal&lt;&gt;"",_xlpm.CSVVal
)),"")</f>
        <v/>
      </c>
      <c r="G498" s="2" t="str" cm="1">
        <f t="array" ref="G498">IFERROR(_xlfn.LET(
_xlpm.CSVVal,_xlfn.XLOOKUP($A498,CSV!$A:$A,CSV!G:G,""),
_xlpm.MacVal,_xlfn.XLOOKUP($A498,Output_Mac!$A:$A,Output_Mac!F:F,""),
_xlpm.MyAuditVal,_xlfn.XLOOKUP($A498,My_Audit!$A:$A,My_Audit!F:F,""),
_xlfn.IFS(_xlpm.MyAuditVal&lt;&gt;"",_xlpm.MyAuditVal,_xlpm.MacVal&lt;&gt;"",_xlpm.MacVal,_xlpm.CSVVal&lt;&gt;"",PROPER(_xlpm.CSVVal)
)),"")</f>
        <v/>
      </c>
      <c r="H498" s="2" t="str" cm="1">
        <f t="array" ref="H498">IFERROR(_xlfn.LET(
_xlpm.CSVVal,_xlfn.XLOOKUP($A498,CSV!$A:$A,CSV!H:H,""),
_xlpm.MacVal,_xlfn.XLOOKUP($A498,Output_Mac!$A:$A,Output_Mac!H:H,""),
_xlpm.MyAuditVal,_xlfn.XLOOKUP($A498,My_Audit!$A:$A,My_Audit!G:G,""),
_xlfn.IFS(_xlpm.MyAuditVal&lt;&gt;"",_xlpm.MyAuditVal,_xlpm.MacVal&lt;&gt;"",_xlpm.MacVal,_xlpm.CSVVal&lt;&gt;"",_xlpm.CSVVal
)),"")</f>
        <v/>
      </c>
      <c r="I498" s="2" t="str">
        <f>_xlfn.XLOOKUP(A498,Output_Mac!A:A,Output_Mac!I:I,"")</f>
        <v/>
      </c>
      <c r="J498" s="2" t="str" cm="1">
        <f t="array" ref="J498">IFERROR(_xlfn.LET(
_xlpm.CSVVal,_xlfn.XLOOKUP($A498,CSV!$A:$A,CSV!I:I,""),
_xlpm.MacVal,_xlfn.XLOOKUP($A498,Output_Mac!$A:$A,Output_Mac!J:J,""),
_xlpm.MyAuditVal,_xlfn.XLOOKUP($A498,My_Audit!$A:$A,My_Audit!I:I,""),
_xlfn.IFS(_xlpm.MyAuditVal&lt;&gt;"",UPPER(_xlpm.MyAuditVal),_xlpm.MacVal&lt;&gt;"",_xlpm.MacVal,_xlpm.CSVVal&lt;&gt;"",_xlpm.CSVVal
)),"")</f>
        <v/>
      </c>
      <c r="K498" s="2" t="str" cm="1">
        <f t="array" ref="K498">IFERROR(_xlfn.LET(
_xlpm.CSVVal,_xlfn.XLOOKUP($A498,CSV!$A:$A,CSV!K:K,""),
_xlpm.MacVal,_xlfn.XLOOKUP($A498,Output_Mac!$A:$A,Output_Mac!K:K,""),
_xlpm.MyAuditVal,_xlfn.XLOOKUP($A498,My_Audit!$A:$A,My_Audit!J:J,""),
_xlfn.IFS(_xlpm.MyAuditVal&lt;&gt;"",UPPER(_xlpm.MyAuditVal),_xlpm.MacVal&lt;&gt;"",_xlpm.MacVal,_xlpm.CSVVal&lt;&gt;"",_xlpm.CSVVal
)),"")</f>
        <v/>
      </c>
      <c r="L498" s="2" t="str" cm="1">
        <f t="array" ref="L498">IFERROR(_xlfn.LET(
_xlpm.CSVVal,_xlfn.XLOOKUP($A498,CSV!$A:$A,CSV!P:P,""),
_xlpm.MacVal,_xlfn.XLOOKUP($A498,Output_Mac!$A:$A,Output_Mac!L:L,""),
_xlpm.MyAuditVal,_xlfn.XLOOKUP($A498,My_Audit!$A:$A,My_Audit!K:K,""),
_xlfn.IFS(_xlpm.MyAuditVal&lt;&gt;"",UPPER(_xlpm.MyAuditVal),_xlpm.MacVal&lt;&gt;"",_xlpm.MacVal,_xlpm.CSVVal&lt;&gt;"",_xlpm.CSVVal
)),"")</f>
        <v/>
      </c>
      <c r="M498" s="2" t="str" cm="1">
        <f t="array" ref="M498">IFERROR(_xlfn.LET(
_xlpm.CSVVal,_xlfn.XLOOKUP($A498,CSV!$A:$A,CSV!Q:Q,""),
_xlpm.MacVal,_xlfn.XLOOKUP($A498,Output_Mac!$A:$A,Output_Mac!M:M,""),
_xlpm.MyAuditVal,_xlfn.XLOOKUP($A498,My_Audit!$A:$A,My_Audit!L:L,""),
_xlfn.IFS(_xlpm.MyAuditVal&lt;&gt;"",UPPER(_xlpm.MyAuditVal),_xlpm.MacVal&lt;&gt;"",_xlpm.MacVal,_xlpm.CSVVal&lt;&gt;"",_xlpm.CSVVal
)),"")</f>
        <v/>
      </c>
      <c r="O498" s="2" t="str">
        <f>_xlfn.LET(
    _xlpm.CSVVal, _xlfn.XLOOKUP($A498, CSV!$A:$A, CSV!AF:AF, ""),
    _xlpm.MacVal, _xlfn.XLOOKUP($A498, Output_Mac!$A:$A, Output_Mac!S:S, ""),
    _xlpm.MyAuditVal, _xlfn.XLOOKUP($A498, My_Audit!$A:$A, My_Audit!P:P, ""),
    _xlfn.TEXTJOIN(", ", TRUE, _xlpm.MyAuditVal, _xlpm.MacVal, _xlpm.CSVVal)
)</f>
        <v/>
      </c>
      <c r="P498" s="2" t="str" cm="1">
        <f t="array" ref="P498">IFERROR(_xlfn.LET(
_xlpm.CSVVal,_xlfn.XLOOKUP($A498,CSV!$A:$A,CSV!AG:AG,""),
_xlpm.MacVal,_xlfn.XLOOKUP($A498,Output_Mac!$A:$A,Output_Mac!T:T,""),
_xlpm.MyAuditVal,_xlfn.XLOOKUP($A498,My_Audit!$A:$A,My_Audit!Q:Q,""),
_xlfn.IFS(_xlpm.MyAuditVal&lt;&gt;"",UPPER(_xlpm.MyAuditVal),_xlpm.MacVal&lt;&gt;"",_xlpm.MacVal,_xlpm.CSVVal&lt;&gt;"",_xlpm.CSVVal
)),"No")</f>
        <v>No</v>
      </c>
      <c r="Q498" s="2" t="str" cm="1">
        <f t="array" ref="Q498">IFERROR(_xlfn.LET(
_xlpm.CSVVal,_xlfn.XLOOKUP($A498,CSV!$A:$A,CSV!AH:AH,""),
_xlpm.MacVal,_xlfn.XLOOKUP($A498,Output_Mac!$A:$A,Output_Mac!U:U,""),
_xlpm.MyAuditVal,_xlfn.XLOOKUP($A498,My_Audit!$A:$A,My_Audit!R:R,""),
_xlfn.IFS(_xlpm.MyAuditVal&lt;&gt;"",UPPER(_xlpm.MyAuditVal),_xlpm.MacVal&lt;&gt;"",_xlpm.MacVal,_xlpm.CSVVal&lt;&gt;"",_xlpm.CSVVal
)),"")</f>
        <v/>
      </c>
    </row>
    <row r="499" spans="1:17">
      <c r="A499" s="2" t="str">
        <f>_xlfn.TEXTJOIN("",TRUE,Input!$B$2,ROW(My_Audit!A498))</f>
        <v>XX498</v>
      </c>
      <c r="B499" s="2" t="str">
        <f>_xlfn.TEXTJOIN("-",TRUE,"ITD",Input!$A$2,A499)</f>
        <v>ITD-SHRXXX-XX498</v>
      </c>
      <c r="C499" s="2" t="str" cm="1">
        <f t="array" ref="C499">IFERROR(_xlfn.LET(
_xlpm.CSVVal,_xlfn.XLOOKUP($A499,CSV!$A:$A,CSV!B:B,""),
_xlpm.MacVal,_xlfn.XLOOKUP($A499,Output_Mac!$A:$A,Output_Mac!B:B,""),
_xlpm.MyAuditVal,_xlfn.XLOOKUP($A499,My_Audit!$A:$A,My_Audit!B:B,""),
_xlfn.IFS(_xlpm.MyAuditVal&lt;&gt;"",UPPER(_xlpm.MyAuditVal),_xlpm.MacVal&lt;&gt;"",_xlpm.MacVal,_xlpm.CSVVal&lt;&gt;"",_xlpm.CSVVal
)),"")</f>
        <v/>
      </c>
      <c r="D499" s="2" t="str" cm="1">
        <f t="array" ref="D499">IFERROR(_xlfn.LET(
_xlpm.CSVVal,_xlfn.XLOOKUP($A499,CSV!$A:$A,CSV!D:D,""),
_xlpm.MacVal,_xlfn.XLOOKUP($A499,Output_Mac!$A:$A,Output_Mac!C:C,""),
_xlpm.MyAuditVal,_xlfn.XLOOKUP($A499,My_Audit!$A:$A,My_Audit!C:C,""),
_xlfn.IFS(_xlpm.MyAuditVal&lt;&gt;"",_xlpm.MyAuditVal,_xlpm.MacVal&lt;&gt;"",_xlpm.MacVal,_xlpm.CSVVal&lt;&gt;"",_xlpm.CSVVal
)),"")</f>
        <v/>
      </c>
      <c r="E499" s="2" t="str">
        <f>_xlfn.XLOOKUP(A499,My_Audit!A:A,My_Audit!D:D,"")&amp;""</f>
        <v/>
      </c>
      <c r="F499" s="2" t="str" cm="1">
        <f t="array" ref="F499">IFERROR(_xlfn.LET(
_xlpm.CSVVal,_xlfn.XLOOKUP($A499,CSV!$A:$A,CSV!F:F,""),
_xlpm.MacVal,_xlfn.XLOOKUP($A499,Output_Mac!$A:$A,Output_Mac!E:E,""),
_xlpm.MyAuditVal,_xlfn.XLOOKUP($A499,My_Audit!$A:$A,My_Audit!E:E,""),
_xlfn.IFS(_xlpm.MyAuditVal&lt;&gt;"",_xlpm.MyAuditVal,_xlpm.MacVal&lt;&gt;"",_xlpm.MacVal,_xlpm.CSVVal&lt;&gt;"",_xlpm.CSVVal
)),"")</f>
        <v/>
      </c>
      <c r="G499" s="2" t="str" cm="1">
        <f t="array" ref="G499">IFERROR(_xlfn.LET(
_xlpm.CSVVal,_xlfn.XLOOKUP($A499,CSV!$A:$A,CSV!G:G,""),
_xlpm.MacVal,_xlfn.XLOOKUP($A499,Output_Mac!$A:$A,Output_Mac!F:F,""),
_xlpm.MyAuditVal,_xlfn.XLOOKUP($A499,My_Audit!$A:$A,My_Audit!F:F,""),
_xlfn.IFS(_xlpm.MyAuditVal&lt;&gt;"",_xlpm.MyAuditVal,_xlpm.MacVal&lt;&gt;"",_xlpm.MacVal,_xlpm.CSVVal&lt;&gt;"",PROPER(_xlpm.CSVVal)
)),"")</f>
        <v/>
      </c>
      <c r="H499" s="2" t="str" cm="1">
        <f t="array" ref="H499">IFERROR(_xlfn.LET(
_xlpm.CSVVal,_xlfn.XLOOKUP($A499,CSV!$A:$A,CSV!H:H,""),
_xlpm.MacVal,_xlfn.XLOOKUP($A499,Output_Mac!$A:$A,Output_Mac!H:H,""),
_xlpm.MyAuditVal,_xlfn.XLOOKUP($A499,My_Audit!$A:$A,My_Audit!G:G,""),
_xlfn.IFS(_xlpm.MyAuditVal&lt;&gt;"",_xlpm.MyAuditVal,_xlpm.MacVal&lt;&gt;"",_xlpm.MacVal,_xlpm.CSVVal&lt;&gt;"",_xlpm.CSVVal
)),"")</f>
        <v/>
      </c>
      <c r="I499" s="2" t="str">
        <f>_xlfn.XLOOKUP(A499,Output_Mac!A:A,Output_Mac!I:I,"")</f>
        <v/>
      </c>
      <c r="J499" s="2" t="str" cm="1">
        <f t="array" ref="J499">IFERROR(_xlfn.LET(
_xlpm.CSVVal,_xlfn.XLOOKUP($A499,CSV!$A:$A,CSV!I:I,""),
_xlpm.MacVal,_xlfn.XLOOKUP($A499,Output_Mac!$A:$A,Output_Mac!J:J,""),
_xlpm.MyAuditVal,_xlfn.XLOOKUP($A499,My_Audit!$A:$A,My_Audit!I:I,""),
_xlfn.IFS(_xlpm.MyAuditVal&lt;&gt;"",UPPER(_xlpm.MyAuditVal),_xlpm.MacVal&lt;&gt;"",_xlpm.MacVal,_xlpm.CSVVal&lt;&gt;"",_xlpm.CSVVal
)),"")</f>
        <v/>
      </c>
      <c r="K499" s="2" t="str" cm="1">
        <f t="array" ref="K499">IFERROR(_xlfn.LET(
_xlpm.CSVVal,_xlfn.XLOOKUP($A499,CSV!$A:$A,CSV!K:K,""),
_xlpm.MacVal,_xlfn.XLOOKUP($A499,Output_Mac!$A:$A,Output_Mac!K:K,""),
_xlpm.MyAuditVal,_xlfn.XLOOKUP($A499,My_Audit!$A:$A,My_Audit!J:J,""),
_xlfn.IFS(_xlpm.MyAuditVal&lt;&gt;"",UPPER(_xlpm.MyAuditVal),_xlpm.MacVal&lt;&gt;"",_xlpm.MacVal,_xlpm.CSVVal&lt;&gt;"",_xlpm.CSVVal
)),"")</f>
        <v/>
      </c>
      <c r="L499" s="2" t="str" cm="1">
        <f t="array" ref="L499">IFERROR(_xlfn.LET(
_xlpm.CSVVal,_xlfn.XLOOKUP($A499,CSV!$A:$A,CSV!P:P,""),
_xlpm.MacVal,_xlfn.XLOOKUP($A499,Output_Mac!$A:$A,Output_Mac!L:L,""),
_xlpm.MyAuditVal,_xlfn.XLOOKUP($A499,My_Audit!$A:$A,My_Audit!K:K,""),
_xlfn.IFS(_xlpm.MyAuditVal&lt;&gt;"",UPPER(_xlpm.MyAuditVal),_xlpm.MacVal&lt;&gt;"",_xlpm.MacVal,_xlpm.CSVVal&lt;&gt;"",_xlpm.CSVVal
)),"")</f>
        <v/>
      </c>
      <c r="M499" s="2" t="str" cm="1">
        <f t="array" ref="M499">IFERROR(_xlfn.LET(
_xlpm.CSVVal,_xlfn.XLOOKUP($A499,CSV!$A:$A,CSV!Q:Q,""),
_xlpm.MacVal,_xlfn.XLOOKUP($A499,Output_Mac!$A:$A,Output_Mac!M:M,""),
_xlpm.MyAuditVal,_xlfn.XLOOKUP($A499,My_Audit!$A:$A,My_Audit!L:L,""),
_xlfn.IFS(_xlpm.MyAuditVal&lt;&gt;"",UPPER(_xlpm.MyAuditVal),_xlpm.MacVal&lt;&gt;"",_xlpm.MacVal,_xlpm.CSVVal&lt;&gt;"",_xlpm.CSVVal
)),"")</f>
        <v/>
      </c>
      <c r="O499" s="2" t="str">
        <f>_xlfn.LET(
    _xlpm.CSVVal, _xlfn.XLOOKUP($A499, CSV!$A:$A, CSV!AF:AF, ""),
    _xlpm.MacVal, _xlfn.XLOOKUP($A499, Output_Mac!$A:$A, Output_Mac!S:S, ""),
    _xlpm.MyAuditVal, _xlfn.XLOOKUP($A499, My_Audit!$A:$A, My_Audit!P:P, ""),
    _xlfn.TEXTJOIN(", ", TRUE, _xlpm.MyAuditVal, _xlpm.MacVal, _xlpm.CSVVal)
)</f>
        <v/>
      </c>
      <c r="P499" s="2" t="str" cm="1">
        <f t="array" ref="P499">IFERROR(_xlfn.LET(
_xlpm.CSVVal,_xlfn.XLOOKUP($A499,CSV!$A:$A,CSV!AG:AG,""),
_xlpm.MacVal,_xlfn.XLOOKUP($A499,Output_Mac!$A:$A,Output_Mac!T:T,""),
_xlpm.MyAuditVal,_xlfn.XLOOKUP($A499,My_Audit!$A:$A,My_Audit!Q:Q,""),
_xlfn.IFS(_xlpm.MyAuditVal&lt;&gt;"",UPPER(_xlpm.MyAuditVal),_xlpm.MacVal&lt;&gt;"",_xlpm.MacVal,_xlpm.CSVVal&lt;&gt;"",_xlpm.CSVVal
)),"No")</f>
        <v>No</v>
      </c>
      <c r="Q499" s="2" t="str" cm="1">
        <f t="array" ref="Q499">IFERROR(_xlfn.LET(
_xlpm.CSVVal,_xlfn.XLOOKUP($A499,CSV!$A:$A,CSV!AH:AH,""),
_xlpm.MacVal,_xlfn.XLOOKUP($A499,Output_Mac!$A:$A,Output_Mac!U:U,""),
_xlpm.MyAuditVal,_xlfn.XLOOKUP($A499,My_Audit!$A:$A,My_Audit!R:R,""),
_xlfn.IFS(_xlpm.MyAuditVal&lt;&gt;"",UPPER(_xlpm.MyAuditVal),_xlpm.MacVal&lt;&gt;"",_xlpm.MacVal,_xlpm.CSVVal&lt;&gt;"",_xlpm.CSVVal
)),"")</f>
        <v/>
      </c>
    </row>
    <row r="500" spans="1:17">
      <c r="A500" s="2" t="str">
        <f>_xlfn.TEXTJOIN("",TRUE,Input!$B$2,ROW(My_Audit!A499))</f>
        <v>XX499</v>
      </c>
      <c r="B500" s="2" t="str">
        <f>_xlfn.TEXTJOIN("-",TRUE,"ITD",Input!$A$2,A500)</f>
        <v>ITD-SHRXXX-XX499</v>
      </c>
      <c r="C500" s="2" t="str" cm="1">
        <f t="array" ref="C500">IFERROR(_xlfn.LET(
_xlpm.CSVVal,_xlfn.XLOOKUP($A500,CSV!$A:$A,CSV!B:B,""),
_xlpm.MacVal,_xlfn.XLOOKUP($A500,Output_Mac!$A:$A,Output_Mac!B:B,""),
_xlpm.MyAuditVal,_xlfn.XLOOKUP($A500,My_Audit!$A:$A,My_Audit!B:B,""),
_xlfn.IFS(_xlpm.MyAuditVal&lt;&gt;"",UPPER(_xlpm.MyAuditVal),_xlpm.MacVal&lt;&gt;"",_xlpm.MacVal,_xlpm.CSVVal&lt;&gt;"",_xlpm.CSVVal
)),"")</f>
        <v/>
      </c>
      <c r="D500" s="2" t="str" cm="1">
        <f t="array" ref="D500">IFERROR(_xlfn.LET(
_xlpm.CSVVal,_xlfn.XLOOKUP($A500,CSV!$A:$A,CSV!D:D,""),
_xlpm.MacVal,_xlfn.XLOOKUP($A500,Output_Mac!$A:$A,Output_Mac!C:C,""),
_xlpm.MyAuditVal,_xlfn.XLOOKUP($A500,My_Audit!$A:$A,My_Audit!C:C,""),
_xlfn.IFS(_xlpm.MyAuditVal&lt;&gt;"",_xlpm.MyAuditVal,_xlpm.MacVal&lt;&gt;"",_xlpm.MacVal,_xlpm.CSVVal&lt;&gt;"",_xlpm.CSVVal
)),"")</f>
        <v/>
      </c>
      <c r="E500" s="2" t="str">
        <f>_xlfn.XLOOKUP(A500,My_Audit!A:A,My_Audit!D:D,"")&amp;""</f>
        <v/>
      </c>
      <c r="F500" s="2" t="str" cm="1">
        <f t="array" ref="F500">IFERROR(_xlfn.LET(
_xlpm.CSVVal,_xlfn.XLOOKUP($A500,CSV!$A:$A,CSV!F:F,""),
_xlpm.MacVal,_xlfn.XLOOKUP($A500,Output_Mac!$A:$A,Output_Mac!E:E,""),
_xlpm.MyAuditVal,_xlfn.XLOOKUP($A500,My_Audit!$A:$A,My_Audit!E:E,""),
_xlfn.IFS(_xlpm.MyAuditVal&lt;&gt;"",_xlpm.MyAuditVal,_xlpm.MacVal&lt;&gt;"",_xlpm.MacVal,_xlpm.CSVVal&lt;&gt;"",_xlpm.CSVVal
)),"")</f>
        <v/>
      </c>
      <c r="G500" s="2" t="str" cm="1">
        <f t="array" ref="G500">IFERROR(_xlfn.LET(
_xlpm.CSVVal,_xlfn.XLOOKUP($A500,CSV!$A:$A,CSV!G:G,""),
_xlpm.MacVal,_xlfn.XLOOKUP($A500,Output_Mac!$A:$A,Output_Mac!F:F,""),
_xlpm.MyAuditVal,_xlfn.XLOOKUP($A500,My_Audit!$A:$A,My_Audit!F:F,""),
_xlfn.IFS(_xlpm.MyAuditVal&lt;&gt;"",_xlpm.MyAuditVal,_xlpm.MacVal&lt;&gt;"",_xlpm.MacVal,_xlpm.CSVVal&lt;&gt;"",PROPER(_xlpm.CSVVal)
)),"")</f>
        <v/>
      </c>
      <c r="H500" s="2" t="str" cm="1">
        <f t="array" ref="H500">IFERROR(_xlfn.LET(
_xlpm.CSVVal,_xlfn.XLOOKUP($A500,CSV!$A:$A,CSV!H:H,""),
_xlpm.MacVal,_xlfn.XLOOKUP($A500,Output_Mac!$A:$A,Output_Mac!H:H,""),
_xlpm.MyAuditVal,_xlfn.XLOOKUP($A500,My_Audit!$A:$A,My_Audit!G:G,""),
_xlfn.IFS(_xlpm.MyAuditVal&lt;&gt;"",_xlpm.MyAuditVal,_xlpm.MacVal&lt;&gt;"",_xlpm.MacVal,_xlpm.CSVVal&lt;&gt;"",_xlpm.CSVVal
)),"")</f>
        <v/>
      </c>
      <c r="I500" s="2" t="str">
        <f>_xlfn.XLOOKUP(A500,Output_Mac!A:A,Output_Mac!I:I,"")</f>
        <v/>
      </c>
      <c r="J500" s="2" t="str" cm="1">
        <f t="array" ref="J500">IFERROR(_xlfn.LET(
_xlpm.CSVVal,_xlfn.XLOOKUP($A500,CSV!$A:$A,CSV!I:I,""),
_xlpm.MacVal,_xlfn.XLOOKUP($A500,Output_Mac!$A:$A,Output_Mac!J:J,""),
_xlpm.MyAuditVal,_xlfn.XLOOKUP($A500,My_Audit!$A:$A,My_Audit!I:I,""),
_xlfn.IFS(_xlpm.MyAuditVal&lt;&gt;"",UPPER(_xlpm.MyAuditVal),_xlpm.MacVal&lt;&gt;"",_xlpm.MacVal,_xlpm.CSVVal&lt;&gt;"",_xlpm.CSVVal
)),"")</f>
        <v/>
      </c>
      <c r="K500" s="2" t="str" cm="1">
        <f t="array" ref="K500">IFERROR(_xlfn.LET(
_xlpm.CSVVal,_xlfn.XLOOKUP($A500,CSV!$A:$A,CSV!K:K,""),
_xlpm.MacVal,_xlfn.XLOOKUP($A500,Output_Mac!$A:$A,Output_Mac!K:K,""),
_xlpm.MyAuditVal,_xlfn.XLOOKUP($A500,My_Audit!$A:$A,My_Audit!J:J,""),
_xlfn.IFS(_xlpm.MyAuditVal&lt;&gt;"",UPPER(_xlpm.MyAuditVal),_xlpm.MacVal&lt;&gt;"",_xlpm.MacVal,_xlpm.CSVVal&lt;&gt;"",_xlpm.CSVVal
)),"")</f>
        <v/>
      </c>
      <c r="L500" s="2" t="str" cm="1">
        <f t="array" ref="L500">IFERROR(_xlfn.LET(
_xlpm.CSVVal,_xlfn.XLOOKUP($A500,CSV!$A:$A,CSV!P:P,""),
_xlpm.MacVal,_xlfn.XLOOKUP($A500,Output_Mac!$A:$A,Output_Mac!L:L,""),
_xlpm.MyAuditVal,_xlfn.XLOOKUP($A500,My_Audit!$A:$A,My_Audit!K:K,""),
_xlfn.IFS(_xlpm.MyAuditVal&lt;&gt;"",UPPER(_xlpm.MyAuditVal),_xlpm.MacVal&lt;&gt;"",_xlpm.MacVal,_xlpm.CSVVal&lt;&gt;"",_xlpm.CSVVal
)),"")</f>
        <v/>
      </c>
      <c r="M500" s="2" t="str" cm="1">
        <f t="array" ref="M500">IFERROR(_xlfn.LET(
_xlpm.CSVVal,_xlfn.XLOOKUP($A500,CSV!$A:$A,CSV!Q:Q,""),
_xlpm.MacVal,_xlfn.XLOOKUP($A500,Output_Mac!$A:$A,Output_Mac!M:M,""),
_xlpm.MyAuditVal,_xlfn.XLOOKUP($A500,My_Audit!$A:$A,My_Audit!L:L,""),
_xlfn.IFS(_xlpm.MyAuditVal&lt;&gt;"",UPPER(_xlpm.MyAuditVal),_xlpm.MacVal&lt;&gt;"",_xlpm.MacVal,_xlpm.CSVVal&lt;&gt;"",_xlpm.CSVVal
)),"")</f>
        <v/>
      </c>
      <c r="O500" s="2" t="str">
        <f>_xlfn.LET(
    _xlpm.CSVVal, _xlfn.XLOOKUP($A500, CSV!$A:$A, CSV!AF:AF, ""),
    _xlpm.MacVal, _xlfn.XLOOKUP($A500, Output_Mac!$A:$A, Output_Mac!S:S, ""),
    _xlpm.MyAuditVal, _xlfn.XLOOKUP($A500, My_Audit!$A:$A, My_Audit!P:P, ""),
    _xlfn.TEXTJOIN(", ", TRUE, _xlpm.MyAuditVal, _xlpm.MacVal, _xlpm.CSVVal)
)</f>
        <v/>
      </c>
      <c r="P500" s="2" t="str" cm="1">
        <f t="array" ref="P500">IFERROR(_xlfn.LET(
_xlpm.CSVVal,_xlfn.XLOOKUP($A500,CSV!$A:$A,CSV!AG:AG,""),
_xlpm.MacVal,_xlfn.XLOOKUP($A500,Output_Mac!$A:$A,Output_Mac!T:T,""),
_xlpm.MyAuditVal,_xlfn.XLOOKUP($A500,My_Audit!$A:$A,My_Audit!Q:Q,""),
_xlfn.IFS(_xlpm.MyAuditVal&lt;&gt;"",UPPER(_xlpm.MyAuditVal),_xlpm.MacVal&lt;&gt;"",_xlpm.MacVal,_xlpm.CSVVal&lt;&gt;"",_xlpm.CSVVal
)),"No")</f>
        <v>No</v>
      </c>
      <c r="Q500" s="2" t="str" cm="1">
        <f t="array" ref="Q500">IFERROR(_xlfn.LET(
_xlpm.CSVVal,_xlfn.XLOOKUP($A500,CSV!$A:$A,CSV!AH:AH,""),
_xlpm.MacVal,_xlfn.XLOOKUP($A500,Output_Mac!$A:$A,Output_Mac!U:U,""),
_xlpm.MyAuditVal,_xlfn.XLOOKUP($A500,My_Audit!$A:$A,My_Audit!R:R,""),
_xlfn.IFS(_xlpm.MyAuditVal&lt;&gt;"",UPPER(_xlpm.MyAuditVal),_xlpm.MacVal&lt;&gt;"",_xlpm.MacVal,_xlpm.CSVVal&lt;&gt;"",_xlpm.CSVVal
)),"")</f>
        <v/>
      </c>
    </row>
    <row r="501" spans="1:17">
      <c r="A501" s="2" t="str">
        <f>_xlfn.TEXTJOIN("",TRUE,Input!$B$2,ROW(My_Audit!A500))</f>
        <v>XX500</v>
      </c>
      <c r="B501" s="2" t="str">
        <f>_xlfn.TEXTJOIN("-",TRUE,"ITD",Input!$A$2,A501)</f>
        <v>ITD-SHRXXX-XX500</v>
      </c>
      <c r="C501" s="2" t="str" cm="1">
        <f t="array" ref="C501">IFERROR(_xlfn.LET(
_xlpm.CSVVal,_xlfn.XLOOKUP($A501,CSV!$A:$A,CSV!B:B,""),
_xlpm.MacVal,_xlfn.XLOOKUP($A501,Output_Mac!$A:$A,Output_Mac!B:B,""),
_xlpm.MyAuditVal,_xlfn.XLOOKUP($A501,My_Audit!$A:$A,My_Audit!B:B,""),
_xlfn.IFS(_xlpm.MyAuditVal&lt;&gt;"",UPPER(_xlpm.MyAuditVal),_xlpm.MacVal&lt;&gt;"",_xlpm.MacVal,_xlpm.CSVVal&lt;&gt;"",_xlpm.CSVVal
)),"")</f>
        <v/>
      </c>
      <c r="D501" s="2" t="str" cm="1">
        <f t="array" ref="D501">IFERROR(_xlfn.LET(
_xlpm.CSVVal,_xlfn.XLOOKUP($A501,CSV!$A:$A,CSV!D:D,""),
_xlpm.MacVal,_xlfn.XLOOKUP($A501,Output_Mac!$A:$A,Output_Mac!C:C,""),
_xlpm.MyAuditVal,_xlfn.XLOOKUP($A501,My_Audit!$A:$A,My_Audit!C:C,""),
_xlfn.IFS(_xlpm.MyAuditVal&lt;&gt;"",_xlpm.MyAuditVal,_xlpm.MacVal&lt;&gt;"",_xlpm.MacVal,_xlpm.CSVVal&lt;&gt;"",_xlpm.CSVVal
)),"")</f>
        <v/>
      </c>
      <c r="E501" s="2" t="str">
        <f>_xlfn.XLOOKUP(A501,My_Audit!A:A,My_Audit!D:D,"")&amp;""</f>
        <v/>
      </c>
      <c r="F501" s="2" t="str" cm="1">
        <f t="array" ref="F501">IFERROR(_xlfn.LET(
_xlpm.CSVVal,_xlfn.XLOOKUP($A501,CSV!$A:$A,CSV!F:F,""),
_xlpm.MacVal,_xlfn.XLOOKUP($A501,Output_Mac!$A:$A,Output_Mac!E:E,""),
_xlpm.MyAuditVal,_xlfn.XLOOKUP($A501,My_Audit!$A:$A,My_Audit!E:E,""),
_xlfn.IFS(_xlpm.MyAuditVal&lt;&gt;"",_xlpm.MyAuditVal,_xlpm.MacVal&lt;&gt;"",_xlpm.MacVal,_xlpm.CSVVal&lt;&gt;"",_xlpm.CSVVal
)),"")</f>
        <v/>
      </c>
      <c r="G501" s="2" t="str" cm="1">
        <f t="array" ref="G501">IFERROR(_xlfn.LET(
_xlpm.CSVVal,_xlfn.XLOOKUP($A501,CSV!$A:$A,CSV!G:G,""),
_xlpm.MacVal,_xlfn.XLOOKUP($A501,Output_Mac!$A:$A,Output_Mac!F:F,""),
_xlpm.MyAuditVal,_xlfn.XLOOKUP($A501,My_Audit!$A:$A,My_Audit!F:F,""),
_xlfn.IFS(_xlpm.MyAuditVal&lt;&gt;"",_xlpm.MyAuditVal,_xlpm.MacVal&lt;&gt;"",_xlpm.MacVal,_xlpm.CSVVal&lt;&gt;"",PROPER(_xlpm.CSVVal)
)),"")</f>
        <v/>
      </c>
      <c r="H501" s="2" t="str" cm="1">
        <f t="array" ref="H501">IFERROR(_xlfn.LET(
_xlpm.CSVVal,_xlfn.XLOOKUP($A501,CSV!$A:$A,CSV!H:H,""),
_xlpm.MacVal,_xlfn.XLOOKUP($A501,Output_Mac!$A:$A,Output_Mac!H:H,""),
_xlpm.MyAuditVal,_xlfn.XLOOKUP($A501,My_Audit!$A:$A,My_Audit!G:G,""),
_xlfn.IFS(_xlpm.MyAuditVal&lt;&gt;"",_xlpm.MyAuditVal,_xlpm.MacVal&lt;&gt;"",_xlpm.MacVal,_xlpm.CSVVal&lt;&gt;"",_xlpm.CSVVal
)),"")</f>
        <v/>
      </c>
      <c r="I501" s="2" t="str">
        <f>_xlfn.XLOOKUP(A501,Output_Mac!A:A,Output_Mac!I:I,"")</f>
        <v/>
      </c>
      <c r="J501" s="2" t="str" cm="1">
        <f t="array" ref="J501">IFERROR(_xlfn.LET(
_xlpm.CSVVal,_xlfn.XLOOKUP($A501,CSV!$A:$A,CSV!I:I,""),
_xlpm.MacVal,_xlfn.XLOOKUP($A501,Output_Mac!$A:$A,Output_Mac!J:J,""),
_xlpm.MyAuditVal,_xlfn.XLOOKUP($A501,My_Audit!$A:$A,My_Audit!I:I,""),
_xlfn.IFS(_xlpm.MyAuditVal&lt;&gt;"",UPPER(_xlpm.MyAuditVal),_xlpm.MacVal&lt;&gt;"",_xlpm.MacVal,_xlpm.CSVVal&lt;&gt;"",_xlpm.CSVVal
)),"")</f>
        <v/>
      </c>
      <c r="K501" s="2" t="str" cm="1">
        <f t="array" ref="K501">IFERROR(_xlfn.LET(
_xlpm.CSVVal,_xlfn.XLOOKUP($A501,CSV!$A:$A,CSV!K:K,""),
_xlpm.MacVal,_xlfn.XLOOKUP($A501,Output_Mac!$A:$A,Output_Mac!K:K,""),
_xlpm.MyAuditVal,_xlfn.XLOOKUP($A501,My_Audit!$A:$A,My_Audit!J:J,""),
_xlfn.IFS(_xlpm.MyAuditVal&lt;&gt;"",UPPER(_xlpm.MyAuditVal),_xlpm.MacVal&lt;&gt;"",_xlpm.MacVal,_xlpm.CSVVal&lt;&gt;"",_xlpm.CSVVal
)),"")</f>
        <v/>
      </c>
      <c r="L501" s="2" t="str" cm="1">
        <f t="array" ref="L501">IFERROR(_xlfn.LET(
_xlpm.CSVVal,_xlfn.XLOOKUP($A501,CSV!$A:$A,CSV!P:P,""),
_xlpm.MacVal,_xlfn.XLOOKUP($A501,Output_Mac!$A:$A,Output_Mac!L:L,""),
_xlpm.MyAuditVal,_xlfn.XLOOKUP($A501,My_Audit!$A:$A,My_Audit!K:K,""),
_xlfn.IFS(_xlpm.MyAuditVal&lt;&gt;"",UPPER(_xlpm.MyAuditVal),_xlpm.MacVal&lt;&gt;"",_xlpm.MacVal,_xlpm.CSVVal&lt;&gt;"",_xlpm.CSVVal
)),"")</f>
        <v/>
      </c>
      <c r="M501" s="2" t="str" cm="1">
        <f t="array" ref="M501">IFERROR(_xlfn.LET(
_xlpm.CSVVal,_xlfn.XLOOKUP($A501,CSV!$A:$A,CSV!Q:Q,""),
_xlpm.MacVal,_xlfn.XLOOKUP($A501,Output_Mac!$A:$A,Output_Mac!M:M,""),
_xlpm.MyAuditVal,_xlfn.XLOOKUP($A501,My_Audit!$A:$A,My_Audit!L:L,""),
_xlfn.IFS(_xlpm.MyAuditVal&lt;&gt;"",UPPER(_xlpm.MyAuditVal),_xlpm.MacVal&lt;&gt;"",_xlpm.MacVal,_xlpm.CSVVal&lt;&gt;"",_xlpm.CSVVal
)),"")</f>
        <v/>
      </c>
      <c r="O501" s="2" t="str">
        <f>_xlfn.LET(
    _xlpm.CSVVal, _xlfn.XLOOKUP($A501, CSV!$A:$A, CSV!AF:AF, ""),
    _xlpm.MacVal, _xlfn.XLOOKUP($A501, Output_Mac!$A:$A, Output_Mac!S:S, ""),
    _xlpm.MyAuditVal, _xlfn.XLOOKUP($A501, My_Audit!$A:$A, My_Audit!P:P, ""),
    _xlfn.TEXTJOIN(", ", TRUE, _xlpm.MyAuditVal, _xlpm.MacVal, _xlpm.CSVVal)
)</f>
        <v/>
      </c>
      <c r="P501" s="2" t="str" cm="1">
        <f t="array" ref="P501">IFERROR(_xlfn.LET(
_xlpm.CSVVal,_xlfn.XLOOKUP($A501,CSV!$A:$A,CSV!AG:AG,""),
_xlpm.MacVal,_xlfn.XLOOKUP($A501,Output_Mac!$A:$A,Output_Mac!T:T,""),
_xlpm.MyAuditVal,_xlfn.XLOOKUP($A501,My_Audit!$A:$A,My_Audit!Q:Q,""),
_xlfn.IFS(_xlpm.MyAuditVal&lt;&gt;"",UPPER(_xlpm.MyAuditVal),_xlpm.MacVal&lt;&gt;"",_xlpm.MacVal,_xlpm.CSVVal&lt;&gt;"",_xlpm.CSVVal
)),"No")</f>
        <v>No</v>
      </c>
      <c r="Q501" s="2" t="str" cm="1">
        <f t="array" ref="Q501">IFERROR(_xlfn.LET(
_xlpm.CSVVal,_xlfn.XLOOKUP($A501,CSV!$A:$A,CSV!AH:AH,""),
_xlpm.MacVal,_xlfn.XLOOKUP($A501,Output_Mac!$A:$A,Output_Mac!U:U,""),
_xlpm.MyAuditVal,_xlfn.XLOOKUP($A501,My_Audit!$A:$A,My_Audit!R:R,""),
_xlfn.IFS(_xlpm.MyAuditVal&lt;&gt;"",UPPER(_xlpm.MyAuditVal),_xlpm.MacVal&lt;&gt;"",_xlpm.MacVal,_xlpm.CSVVal&lt;&gt;"",_xlpm.CSVVal
)),"")</f>
        <v/>
      </c>
    </row>
    <row r="502" spans="1:17">
      <c r="A502" s="2" t="str">
        <f>_xlfn.TEXTJOIN("",TRUE,Input!$B$2,ROW(My_Audit!A501))</f>
        <v>XX501</v>
      </c>
      <c r="B502" s="2" t="str">
        <f>_xlfn.TEXTJOIN("-",TRUE,"ITD",Input!$A$2,A502)</f>
        <v>ITD-SHRXXX-XX501</v>
      </c>
      <c r="C502" s="2" t="str" cm="1">
        <f t="array" ref="C502">IFERROR(_xlfn.LET(
_xlpm.CSVVal,_xlfn.XLOOKUP($A502,CSV!$A:$A,CSV!B:B,""),
_xlpm.MacVal,_xlfn.XLOOKUP($A502,Output_Mac!$A:$A,Output_Mac!B:B,""),
_xlpm.MyAuditVal,_xlfn.XLOOKUP($A502,My_Audit!$A:$A,My_Audit!B:B,""),
_xlfn.IFS(_xlpm.MyAuditVal&lt;&gt;"",UPPER(_xlpm.MyAuditVal),_xlpm.MacVal&lt;&gt;"",_xlpm.MacVal,_xlpm.CSVVal&lt;&gt;"",_xlpm.CSVVal
)),"")</f>
        <v/>
      </c>
      <c r="D502" s="2" t="str" cm="1">
        <f t="array" ref="D502">IFERROR(_xlfn.LET(
_xlpm.CSVVal,_xlfn.XLOOKUP($A502,CSV!$A:$A,CSV!D:D,""),
_xlpm.MacVal,_xlfn.XLOOKUP($A502,Output_Mac!$A:$A,Output_Mac!C:C,""),
_xlpm.MyAuditVal,_xlfn.XLOOKUP($A502,My_Audit!$A:$A,My_Audit!C:C,""),
_xlfn.IFS(_xlpm.MyAuditVal&lt;&gt;"",_xlpm.MyAuditVal,_xlpm.MacVal&lt;&gt;"",_xlpm.MacVal,_xlpm.CSVVal&lt;&gt;"",_xlpm.CSVVal
)),"")</f>
        <v/>
      </c>
      <c r="E502" s="2" t="str">
        <f>_xlfn.XLOOKUP(A502,My_Audit!A:A,My_Audit!D:D,"")&amp;""</f>
        <v/>
      </c>
      <c r="F502" s="2" t="str" cm="1">
        <f t="array" ref="F502">IFERROR(_xlfn.LET(
_xlpm.CSVVal,_xlfn.XLOOKUP($A502,CSV!$A:$A,CSV!F:F,""),
_xlpm.MacVal,_xlfn.XLOOKUP($A502,Output_Mac!$A:$A,Output_Mac!E:E,""),
_xlpm.MyAuditVal,_xlfn.XLOOKUP($A502,My_Audit!$A:$A,My_Audit!E:E,""),
_xlfn.IFS(_xlpm.MyAuditVal&lt;&gt;"",_xlpm.MyAuditVal,_xlpm.MacVal&lt;&gt;"",_xlpm.MacVal,_xlpm.CSVVal&lt;&gt;"",_xlpm.CSVVal
)),"")</f>
        <v/>
      </c>
      <c r="G502" s="2" t="str" cm="1">
        <f t="array" ref="G502">IFERROR(_xlfn.LET(
_xlpm.CSVVal,_xlfn.XLOOKUP($A502,CSV!$A:$A,CSV!G:G,""),
_xlpm.MacVal,_xlfn.XLOOKUP($A502,Output_Mac!$A:$A,Output_Mac!F:F,""),
_xlpm.MyAuditVal,_xlfn.XLOOKUP($A502,My_Audit!$A:$A,My_Audit!F:F,""),
_xlfn.IFS(_xlpm.MyAuditVal&lt;&gt;"",_xlpm.MyAuditVal,_xlpm.MacVal&lt;&gt;"",_xlpm.MacVal,_xlpm.CSVVal&lt;&gt;"",PROPER(_xlpm.CSVVal)
)),"")</f>
        <v/>
      </c>
      <c r="H502" s="2" t="str" cm="1">
        <f t="array" ref="H502">IFERROR(_xlfn.LET(
_xlpm.CSVVal,_xlfn.XLOOKUP($A502,CSV!$A:$A,CSV!H:H,""),
_xlpm.MacVal,_xlfn.XLOOKUP($A502,Output_Mac!$A:$A,Output_Mac!H:H,""),
_xlpm.MyAuditVal,_xlfn.XLOOKUP($A502,My_Audit!$A:$A,My_Audit!G:G,""),
_xlfn.IFS(_xlpm.MyAuditVal&lt;&gt;"",_xlpm.MyAuditVal,_xlpm.MacVal&lt;&gt;"",_xlpm.MacVal,_xlpm.CSVVal&lt;&gt;"",_xlpm.CSVVal
)),"")</f>
        <v/>
      </c>
      <c r="I502" s="2" t="str">
        <f>_xlfn.XLOOKUP(A502,Output_Mac!A:A,Output_Mac!I:I,"")</f>
        <v/>
      </c>
      <c r="J502" s="2" t="str" cm="1">
        <f t="array" ref="J502">IFERROR(_xlfn.LET(
_xlpm.CSVVal,_xlfn.XLOOKUP($A502,CSV!$A:$A,CSV!I:I,""),
_xlpm.MacVal,_xlfn.XLOOKUP($A502,Output_Mac!$A:$A,Output_Mac!J:J,""),
_xlpm.MyAuditVal,_xlfn.XLOOKUP($A502,My_Audit!$A:$A,My_Audit!I:I,""),
_xlfn.IFS(_xlpm.MyAuditVal&lt;&gt;"",UPPER(_xlpm.MyAuditVal),_xlpm.MacVal&lt;&gt;"",_xlpm.MacVal,_xlpm.CSVVal&lt;&gt;"",_xlpm.CSVVal
)),"")</f>
        <v/>
      </c>
      <c r="K502" s="2" t="str" cm="1">
        <f t="array" ref="K502">IFERROR(_xlfn.LET(
_xlpm.CSVVal,_xlfn.XLOOKUP($A502,CSV!$A:$A,CSV!K:K,""),
_xlpm.MacVal,_xlfn.XLOOKUP($A502,Output_Mac!$A:$A,Output_Mac!K:K,""),
_xlpm.MyAuditVal,_xlfn.XLOOKUP($A502,My_Audit!$A:$A,My_Audit!J:J,""),
_xlfn.IFS(_xlpm.MyAuditVal&lt;&gt;"",UPPER(_xlpm.MyAuditVal),_xlpm.MacVal&lt;&gt;"",_xlpm.MacVal,_xlpm.CSVVal&lt;&gt;"",_xlpm.CSVVal
)),"")</f>
        <v/>
      </c>
      <c r="L502" s="2" t="str" cm="1">
        <f t="array" ref="L502">IFERROR(_xlfn.LET(
_xlpm.CSVVal,_xlfn.XLOOKUP($A502,CSV!$A:$A,CSV!P:P,""),
_xlpm.MacVal,_xlfn.XLOOKUP($A502,Output_Mac!$A:$A,Output_Mac!L:L,""),
_xlpm.MyAuditVal,_xlfn.XLOOKUP($A502,My_Audit!$A:$A,My_Audit!K:K,""),
_xlfn.IFS(_xlpm.MyAuditVal&lt;&gt;"",UPPER(_xlpm.MyAuditVal),_xlpm.MacVal&lt;&gt;"",_xlpm.MacVal,_xlpm.CSVVal&lt;&gt;"",_xlpm.CSVVal
)),"")</f>
        <v/>
      </c>
      <c r="M502" s="2" t="str" cm="1">
        <f t="array" ref="M502">IFERROR(_xlfn.LET(
_xlpm.CSVVal,_xlfn.XLOOKUP($A502,CSV!$A:$A,CSV!Q:Q,""),
_xlpm.MacVal,_xlfn.XLOOKUP($A502,Output_Mac!$A:$A,Output_Mac!M:M,""),
_xlpm.MyAuditVal,_xlfn.XLOOKUP($A502,My_Audit!$A:$A,My_Audit!L:L,""),
_xlfn.IFS(_xlpm.MyAuditVal&lt;&gt;"",UPPER(_xlpm.MyAuditVal),_xlpm.MacVal&lt;&gt;"",_xlpm.MacVal,_xlpm.CSVVal&lt;&gt;"",_xlpm.CSVVal
)),"")</f>
        <v/>
      </c>
      <c r="O502" s="2" t="str">
        <f>_xlfn.LET(
    _xlpm.CSVVal, _xlfn.XLOOKUP($A502, CSV!$A:$A, CSV!AF:AF, ""),
    _xlpm.MacVal, _xlfn.XLOOKUP($A502, Output_Mac!$A:$A, Output_Mac!S:S, ""),
    _xlpm.MyAuditVal, _xlfn.XLOOKUP($A502, My_Audit!$A:$A, My_Audit!P:P, ""),
    _xlfn.TEXTJOIN(", ", TRUE, _xlpm.MyAuditVal, _xlpm.MacVal, _xlpm.CSVVal)
)</f>
        <v/>
      </c>
      <c r="P502" s="2" t="str" cm="1">
        <f t="array" ref="P502">IFERROR(_xlfn.LET(
_xlpm.CSVVal,_xlfn.XLOOKUP($A502,CSV!$A:$A,CSV!AG:AG,""),
_xlpm.MacVal,_xlfn.XLOOKUP($A502,Output_Mac!$A:$A,Output_Mac!T:T,""),
_xlpm.MyAuditVal,_xlfn.XLOOKUP($A502,My_Audit!$A:$A,My_Audit!Q:Q,""),
_xlfn.IFS(_xlpm.MyAuditVal&lt;&gt;"",UPPER(_xlpm.MyAuditVal),_xlpm.MacVal&lt;&gt;"",_xlpm.MacVal,_xlpm.CSVVal&lt;&gt;"",_xlpm.CSVVal
)),"No")</f>
        <v>No</v>
      </c>
      <c r="Q502" s="2" t="str" cm="1">
        <f t="array" ref="Q502">IFERROR(_xlfn.LET(
_xlpm.CSVVal,_xlfn.XLOOKUP($A502,CSV!$A:$A,CSV!AH:AH,""),
_xlpm.MacVal,_xlfn.XLOOKUP($A502,Output_Mac!$A:$A,Output_Mac!U:U,""),
_xlpm.MyAuditVal,_xlfn.XLOOKUP($A502,My_Audit!$A:$A,My_Audit!R:R,""),
_xlfn.IFS(_xlpm.MyAuditVal&lt;&gt;"",UPPER(_xlpm.MyAuditVal),_xlpm.MacVal&lt;&gt;"",_xlpm.MacVal,_xlpm.CSVVal&lt;&gt;"",_xlpm.CSVVal
)),"")</f>
        <v/>
      </c>
    </row>
    <row r="503" spans="1:17">
      <c r="A503" s="2" t="str">
        <f>_xlfn.TEXTJOIN("",TRUE,Input!$B$2,ROW(My_Audit!A502))</f>
        <v>XX502</v>
      </c>
      <c r="B503" s="2" t="str">
        <f>_xlfn.TEXTJOIN("-",TRUE,"ITD",Input!$A$2,A503)</f>
        <v>ITD-SHRXXX-XX502</v>
      </c>
      <c r="C503" s="2" t="str" cm="1">
        <f t="array" ref="C503">IFERROR(_xlfn.LET(
_xlpm.CSVVal,_xlfn.XLOOKUP($A503,CSV!$A:$A,CSV!B:B,""),
_xlpm.MacVal,_xlfn.XLOOKUP($A503,Output_Mac!$A:$A,Output_Mac!B:B,""),
_xlpm.MyAuditVal,_xlfn.XLOOKUP($A503,My_Audit!$A:$A,My_Audit!B:B,""),
_xlfn.IFS(_xlpm.MyAuditVal&lt;&gt;"",UPPER(_xlpm.MyAuditVal),_xlpm.MacVal&lt;&gt;"",_xlpm.MacVal,_xlpm.CSVVal&lt;&gt;"",_xlpm.CSVVal
)),"")</f>
        <v/>
      </c>
      <c r="D503" s="2" t="str" cm="1">
        <f t="array" ref="D503">IFERROR(_xlfn.LET(
_xlpm.CSVVal,_xlfn.XLOOKUP($A503,CSV!$A:$A,CSV!D:D,""),
_xlpm.MacVal,_xlfn.XLOOKUP($A503,Output_Mac!$A:$A,Output_Mac!C:C,""),
_xlpm.MyAuditVal,_xlfn.XLOOKUP($A503,My_Audit!$A:$A,My_Audit!C:C,""),
_xlfn.IFS(_xlpm.MyAuditVal&lt;&gt;"",_xlpm.MyAuditVal,_xlpm.MacVal&lt;&gt;"",_xlpm.MacVal,_xlpm.CSVVal&lt;&gt;"",_xlpm.CSVVal
)),"")</f>
        <v/>
      </c>
      <c r="E503" s="2" t="str">
        <f>_xlfn.XLOOKUP(A503,My_Audit!A:A,My_Audit!D:D,"")&amp;""</f>
        <v/>
      </c>
      <c r="F503" s="2" t="str" cm="1">
        <f t="array" ref="F503">IFERROR(_xlfn.LET(
_xlpm.CSVVal,_xlfn.XLOOKUP($A503,CSV!$A:$A,CSV!F:F,""),
_xlpm.MacVal,_xlfn.XLOOKUP($A503,Output_Mac!$A:$A,Output_Mac!E:E,""),
_xlpm.MyAuditVal,_xlfn.XLOOKUP($A503,My_Audit!$A:$A,My_Audit!E:E,""),
_xlfn.IFS(_xlpm.MyAuditVal&lt;&gt;"",_xlpm.MyAuditVal,_xlpm.MacVal&lt;&gt;"",_xlpm.MacVal,_xlpm.CSVVal&lt;&gt;"",_xlpm.CSVVal
)),"")</f>
        <v/>
      </c>
      <c r="G503" s="2" t="str" cm="1">
        <f t="array" ref="G503">IFERROR(_xlfn.LET(
_xlpm.CSVVal,_xlfn.XLOOKUP($A503,CSV!$A:$A,CSV!G:G,""),
_xlpm.MacVal,_xlfn.XLOOKUP($A503,Output_Mac!$A:$A,Output_Mac!F:F,""),
_xlpm.MyAuditVal,_xlfn.XLOOKUP($A503,My_Audit!$A:$A,My_Audit!F:F,""),
_xlfn.IFS(_xlpm.MyAuditVal&lt;&gt;"",_xlpm.MyAuditVal,_xlpm.MacVal&lt;&gt;"",_xlpm.MacVal,_xlpm.CSVVal&lt;&gt;"",PROPER(_xlpm.CSVVal)
)),"")</f>
        <v/>
      </c>
      <c r="H503" s="2" t="str" cm="1">
        <f t="array" ref="H503">IFERROR(_xlfn.LET(
_xlpm.CSVVal,_xlfn.XLOOKUP($A503,CSV!$A:$A,CSV!H:H,""),
_xlpm.MacVal,_xlfn.XLOOKUP($A503,Output_Mac!$A:$A,Output_Mac!H:H,""),
_xlpm.MyAuditVal,_xlfn.XLOOKUP($A503,My_Audit!$A:$A,My_Audit!G:G,""),
_xlfn.IFS(_xlpm.MyAuditVal&lt;&gt;"",_xlpm.MyAuditVal,_xlpm.MacVal&lt;&gt;"",_xlpm.MacVal,_xlpm.CSVVal&lt;&gt;"",_xlpm.CSVVal
)),"")</f>
        <v/>
      </c>
      <c r="I503" s="2" t="str">
        <f>_xlfn.XLOOKUP(A503,Output_Mac!A:A,Output_Mac!I:I,"")</f>
        <v/>
      </c>
      <c r="J503" s="2" t="str" cm="1">
        <f t="array" ref="J503">IFERROR(_xlfn.LET(
_xlpm.CSVVal,_xlfn.XLOOKUP($A503,CSV!$A:$A,CSV!I:I,""),
_xlpm.MacVal,_xlfn.XLOOKUP($A503,Output_Mac!$A:$A,Output_Mac!J:J,""),
_xlpm.MyAuditVal,_xlfn.XLOOKUP($A503,My_Audit!$A:$A,My_Audit!I:I,""),
_xlfn.IFS(_xlpm.MyAuditVal&lt;&gt;"",UPPER(_xlpm.MyAuditVal),_xlpm.MacVal&lt;&gt;"",_xlpm.MacVal,_xlpm.CSVVal&lt;&gt;"",_xlpm.CSVVal
)),"")</f>
        <v/>
      </c>
      <c r="K503" s="2" t="str" cm="1">
        <f t="array" ref="K503">IFERROR(_xlfn.LET(
_xlpm.CSVVal,_xlfn.XLOOKUP($A503,CSV!$A:$A,CSV!K:K,""),
_xlpm.MacVal,_xlfn.XLOOKUP($A503,Output_Mac!$A:$A,Output_Mac!K:K,""),
_xlpm.MyAuditVal,_xlfn.XLOOKUP($A503,My_Audit!$A:$A,My_Audit!J:J,""),
_xlfn.IFS(_xlpm.MyAuditVal&lt;&gt;"",UPPER(_xlpm.MyAuditVal),_xlpm.MacVal&lt;&gt;"",_xlpm.MacVal,_xlpm.CSVVal&lt;&gt;"",_xlpm.CSVVal
)),"")</f>
        <v/>
      </c>
      <c r="L503" s="2" t="str" cm="1">
        <f t="array" ref="L503">IFERROR(_xlfn.LET(
_xlpm.CSVVal,_xlfn.XLOOKUP($A503,CSV!$A:$A,CSV!P:P,""),
_xlpm.MacVal,_xlfn.XLOOKUP($A503,Output_Mac!$A:$A,Output_Mac!L:L,""),
_xlpm.MyAuditVal,_xlfn.XLOOKUP($A503,My_Audit!$A:$A,My_Audit!K:K,""),
_xlfn.IFS(_xlpm.MyAuditVal&lt;&gt;"",UPPER(_xlpm.MyAuditVal),_xlpm.MacVal&lt;&gt;"",_xlpm.MacVal,_xlpm.CSVVal&lt;&gt;"",_xlpm.CSVVal
)),"")</f>
        <v/>
      </c>
      <c r="M503" s="2" t="str" cm="1">
        <f t="array" ref="M503">IFERROR(_xlfn.LET(
_xlpm.CSVVal,_xlfn.XLOOKUP($A503,CSV!$A:$A,CSV!Q:Q,""),
_xlpm.MacVal,_xlfn.XLOOKUP($A503,Output_Mac!$A:$A,Output_Mac!M:M,""),
_xlpm.MyAuditVal,_xlfn.XLOOKUP($A503,My_Audit!$A:$A,My_Audit!L:L,""),
_xlfn.IFS(_xlpm.MyAuditVal&lt;&gt;"",UPPER(_xlpm.MyAuditVal),_xlpm.MacVal&lt;&gt;"",_xlpm.MacVal,_xlpm.CSVVal&lt;&gt;"",_xlpm.CSVVal
)),"")</f>
        <v/>
      </c>
      <c r="O503" s="2" t="str">
        <f>_xlfn.LET(
    _xlpm.CSVVal, _xlfn.XLOOKUP($A503, CSV!$A:$A, CSV!AF:AF, ""),
    _xlpm.MacVal, _xlfn.XLOOKUP($A503, Output_Mac!$A:$A, Output_Mac!S:S, ""),
    _xlpm.MyAuditVal, _xlfn.XLOOKUP($A503, My_Audit!$A:$A, My_Audit!P:P, ""),
    _xlfn.TEXTJOIN(", ", TRUE, _xlpm.MyAuditVal, _xlpm.MacVal, _xlpm.CSVVal)
)</f>
        <v/>
      </c>
      <c r="P503" s="2" t="str" cm="1">
        <f t="array" ref="P503">IFERROR(_xlfn.LET(
_xlpm.CSVVal,_xlfn.XLOOKUP($A503,CSV!$A:$A,CSV!AG:AG,""),
_xlpm.MacVal,_xlfn.XLOOKUP($A503,Output_Mac!$A:$A,Output_Mac!T:T,""),
_xlpm.MyAuditVal,_xlfn.XLOOKUP($A503,My_Audit!$A:$A,My_Audit!Q:Q,""),
_xlfn.IFS(_xlpm.MyAuditVal&lt;&gt;"",UPPER(_xlpm.MyAuditVal),_xlpm.MacVal&lt;&gt;"",_xlpm.MacVal,_xlpm.CSVVal&lt;&gt;"",_xlpm.CSVVal
)),"No")</f>
        <v>No</v>
      </c>
      <c r="Q503" s="2" t="str" cm="1">
        <f t="array" ref="Q503">IFERROR(_xlfn.LET(
_xlpm.CSVVal,_xlfn.XLOOKUP($A503,CSV!$A:$A,CSV!AH:AH,""),
_xlpm.MacVal,_xlfn.XLOOKUP($A503,Output_Mac!$A:$A,Output_Mac!U:U,""),
_xlpm.MyAuditVal,_xlfn.XLOOKUP($A503,My_Audit!$A:$A,My_Audit!R:R,""),
_xlfn.IFS(_xlpm.MyAuditVal&lt;&gt;"",UPPER(_xlpm.MyAuditVal),_xlpm.MacVal&lt;&gt;"",_xlpm.MacVal,_xlpm.CSVVal&lt;&gt;"",_xlpm.CSVVal
)),"")</f>
        <v/>
      </c>
    </row>
    <row r="504" spans="1:17">
      <c r="A504" s="2" t="str">
        <f>_xlfn.TEXTJOIN("",TRUE,Input!$B$2,ROW(My_Audit!A503))</f>
        <v>XX503</v>
      </c>
      <c r="B504" s="2" t="str">
        <f>_xlfn.TEXTJOIN("-",TRUE,"ITD",Input!$A$2,A504)</f>
        <v>ITD-SHRXXX-XX503</v>
      </c>
      <c r="C504" s="2" t="str" cm="1">
        <f t="array" ref="C504">IFERROR(_xlfn.LET(
_xlpm.CSVVal,_xlfn.XLOOKUP($A504,CSV!$A:$A,CSV!B:B,""),
_xlpm.MacVal,_xlfn.XLOOKUP($A504,Output_Mac!$A:$A,Output_Mac!B:B,""),
_xlpm.MyAuditVal,_xlfn.XLOOKUP($A504,My_Audit!$A:$A,My_Audit!B:B,""),
_xlfn.IFS(_xlpm.MyAuditVal&lt;&gt;"",UPPER(_xlpm.MyAuditVal),_xlpm.MacVal&lt;&gt;"",_xlpm.MacVal,_xlpm.CSVVal&lt;&gt;"",_xlpm.CSVVal
)),"")</f>
        <v/>
      </c>
      <c r="D504" s="2" t="str" cm="1">
        <f t="array" ref="D504">IFERROR(_xlfn.LET(
_xlpm.CSVVal,_xlfn.XLOOKUP($A504,CSV!$A:$A,CSV!D:D,""),
_xlpm.MacVal,_xlfn.XLOOKUP($A504,Output_Mac!$A:$A,Output_Mac!C:C,""),
_xlpm.MyAuditVal,_xlfn.XLOOKUP($A504,My_Audit!$A:$A,My_Audit!C:C,""),
_xlfn.IFS(_xlpm.MyAuditVal&lt;&gt;"",_xlpm.MyAuditVal,_xlpm.MacVal&lt;&gt;"",_xlpm.MacVal,_xlpm.CSVVal&lt;&gt;"",_xlpm.CSVVal
)),"")</f>
        <v/>
      </c>
      <c r="E504" s="2" t="str">
        <f>_xlfn.XLOOKUP(A504,My_Audit!A:A,My_Audit!D:D,"")&amp;""</f>
        <v/>
      </c>
      <c r="F504" s="2" t="str" cm="1">
        <f t="array" ref="F504">IFERROR(_xlfn.LET(
_xlpm.CSVVal,_xlfn.XLOOKUP($A504,CSV!$A:$A,CSV!F:F,""),
_xlpm.MacVal,_xlfn.XLOOKUP($A504,Output_Mac!$A:$A,Output_Mac!E:E,""),
_xlpm.MyAuditVal,_xlfn.XLOOKUP($A504,My_Audit!$A:$A,My_Audit!E:E,""),
_xlfn.IFS(_xlpm.MyAuditVal&lt;&gt;"",_xlpm.MyAuditVal,_xlpm.MacVal&lt;&gt;"",_xlpm.MacVal,_xlpm.CSVVal&lt;&gt;"",_xlpm.CSVVal
)),"")</f>
        <v/>
      </c>
      <c r="G504" s="2" t="str" cm="1">
        <f t="array" ref="G504">IFERROR(_xlfn.LET(
_xlpm.CSVVal,_xlfn.XLOOKUP($A504,CSV!$A:$A,CSV!G:G,""),
_xlpm.MacVal,_xlfn.XLOOKUP($A504,Output_Mac!$A:$A,Output_Mac!F:F,""),
_xlpm.MyAuditVal,_xlfn.XLOOKUP($A504,My_Audit!$A:$A,My_Audit!F:F,""),
_xlfn.IFS(_xlpm.MyAuditVal&lt;&gt;"",_xlpm.MyAuditVal,_xlpm.MacVal&lt;&gt;"",_xlpm.MacVal,_xlpm.CSVVal&lt;&gt;"",PROPER(_xlpm.CSVVal)
)),"")</f>
        <v/>
      </c>
      <c r="H504" s="2" t="str" cm="1">
        <f t="array" ref="H504">IFERROR(_xlfn.LET(
_xlpm.CSVVal,_xlfn.XLOOKUP($A504,CSV!$A:$A,CSV!H:H,""),
_xlpm.MacVal,_xlfn.XLOOKUP($A504,Output_Mac!$A:$A,Output_Mac!H:H,""),
_xlpm.MyAuditVal,_xlfn.XLOOKUP($A504,My_Audit!$A:$A,My_Audit!G:G,""),
_xlfn.IFS(_xlpm.MyAuditVal&lt;&gt;"",_xlpm.MyAuditVal,_xlpm.MacVal&lt;&gt;"",_xlpm.MacVal,_xlpm.CSVVal&lt;&gt;"",_xlpm.CSVVal
)),"")</f>
        <v/>
      </c>
      <c r="I504" s="2" t="str">
        <f>_xlfn.XLOOKUP(A504,Output_Mac!A:A,Output_Mac!I:I,"")</f>
        <v/>
      </c>
      <c r="J504" s="2" t="str" cm="1">
        <f t="array" ref="J504">IFERROR(_xlfn.LET(
_xlpm.CSVVal,_xlfn.XLOOKUP($A504,CSV!$A:$A,CSV!I:I,""),
_xlpm.MacVal,_xlfn.XLOOKUP($A504,Output_Mac!$A:$A,Output_Mac!J:J,""),
_xlpm.MyAuditVal,_xlfn.XLOOKUP($A504,My_Audit!$A:$A,My_Audit!I:I,""),
_xlfn.IFS(_xlpm.MyAuditVal&lt;&gt;"",UPPER(_xlpm.MyAuditVal),_xlpm.MacVal&lt;&gt;"",_xlpm.MacVal,_xlpm.CSVVal&lt;&gt;"",_xlpm.CSVVal
)),"")</f>
        <v/>
      </c>
      <c r="K504" s="2" t="str" cm="1">
        <f t="array" ref="K504">IFERROR(_xlfn.LET(
_xlpm.CSVVal,_xlfn.XLOOKUP($A504,CSV!$A:$A,CSV!K:K,""),
_xlpm.MacVal,_xlfn.XLOOKUP($A504,Output_Mac!$A:$A,Output_Mac!K:K,""),
_xlpm.MyAuditVal,_xlfn.XLOOKUP($A504,My_Audit!$A:$A,My_Audit!J:J,""),
_xlfn.IFS(_xlpm.MyAuditVal&lt;&gt;"",UPPER(_xlpm.MyAuditVal),_xlpm.MacVal&lt;&gt;"",_xlpm.MacVal,_xlpm.CSVVal&lt;&gt;"",_xlpm.CSVVal
)),"")</f>
        <v/>
      </c>
      <c r="L504" s="2" t="str" cm="1">
        <f t="array" ref="L504">IFERROR(_xlfn.LET(
_xlpm.CSVVal,_xlfn.XLOOKUP($A504,CSV!$A:$A,CSV!P:P,""),
_xlpm.MacVal,_xlfn.XLOOKUP($A504,Output_Mac!$A:$A,Output_Mac!L:L,""),
_xlpm.MyAuditVal,_xlfn.XLOOKUP($A504,My_Audit!$A:$A,My_Audit!K:K,""),
_xlfn.IFS(_xlpm.MyAuditVal&lt;&gt;"",UPPER(_xlpm.MyAuditVal),_xlpm.MacVal&lt;&gt;"",_xlpm.MacVal,_xlpm.CSVVal&lt;&gt;"",_xlpm.CSVVal
)),"")</f>
        <v/>
      </c>
      <c r="M504" s="2" t="str" cm="1">
        <f t="array" ref="M504">IFERROR(_xlfn.LET(
_xlpm.CSVVal,_xlfn.XLOOKUP($A504,CSV!$A:$A,CSV!Q:Q,""),
_xlpm.MacVal,_xlfn.XLOOKUP($A504,Output_Mac!$A:$A,Output_Mac!M:M,""),
_xlpm.MyAuditVal,_xlfn.XLOOKUP($A504,My_Audit!$A:$A,My_Audit!L:L,""),
_xlfn.IFS(_xlpm.MyAuditVal&lt;&gt;"",UPPER(_xlpm.MyAuditVal),_xlpm.MacVal&lt;&gt;"",_xlpm.MacVal,_xlpm.CSVVal&lt;&gt;"",_xlpm.CSVVal
)),"")</f>
        <v/>
      </c>
      <c r="O504" s="2" t="str">
        <f>_xlfn.LET(
    _xlpm.CSVVal, _xlfn.XLOOKUP($A504, CSV!$A:$A, CSV!AF:AF, ""),
    _xlpm.MacVal, _xlfn.XLOOKUP($A504, Output_Mac!$A:$A, Output_Mac!S:S, ""),
    _xlpm.MyAuditVal, _xlfn.XLOOKUP($A504, My_Audit!$A:$A, My_Audit!P:P, ""),
    _xlfn.TEXTJOIN(", ", TRUE, _xlpm.MyAuditVal, _xlpm.MacVal, _xlpm.CSVVal)
)</f>
        <v/>
      </c>
      <c r="P504" s="2" t="str" cm="1">
        <f t="array" ref="P504">IFERROR(_xlfn.LET(
_xlpm.CSVVal,_xlfn.XLOOKUP($A504,CSV!$A:$A,CSV!AG:AG,""),
_xlpm.MacVal,_xlfn.XLOOKUP($A504,Output_Mac!$A:$A,Output_Mac!T:T,""),
_xlpm.MyAuditVal,_xlfn.XLOOKUP($A504,My_Audit!$A:$A,My_Audit!Q:Q,""),
_xlfn.IFS(_xlpm.MyAuditVal&lt;&gt;"",UPPER(_xlpm.MyAuditVal),_xlpm.MacVal&lt;&gt;"",_xlpm.MacVal,_xlpm.CSVVal&lt;&gt;"",_xlpm.CSVVal
)),"No")</f>
        <v>No</v>
      </c>
      <c r="Q504" s="2" t="str" cm="1">
        <f t="array" ref="Q504">IFERROR(_xlfn.LET(
_xlpm.CSVVal,_xlfn.XLOOKUP($A504,CSV!$A:$A,CSV!AH:AH,""),
_xlpm.MacVal,_xlfn.XLOOKUP($A504,Output_Mac!$A:$A,Output_Mac!U:U,""),
_xlpm.MyAuditVal,_xlfn.XLOOKUP($A504,My_Audit!$A:$A,My_Audit!R:R,""),
_xlfn.IFS(_xlpm.MyAuditVal&lt;&gt;"",UPPER(_xlpm.MyAuditVal),_xlpm.MacVal&lt;&gt;"",_xlpm.MacVal,_xlpm.CSVVal&lt;&gt;"",_xlpm.CSVVal
)),"")</f>
        <v/>
      </c>
    </row>
    <row r="505" spans="1:17">
      <c r="A505" s="2" t="str">
        <f>_xlfn.TEXTJOIN("",TRUE,Input!$B$2,ROW(My_Audit!A504))</f>
        <v>XX504</v>
      </c>
      <c r="B505" s="2" t="str">
        <f>_xlfn.TEXTJOIN("-",TRUE,"ITD",Input!$A$2,A505)</f>
        <v>ITD-SHRXXX-XX504</v>
      </c>
      <c r="C505" s="2" t="str" cm="1">
        <f t="array" ref="C505">IFERROR(_xlfn.LET(
_xlpm.CSVVal,_xlfn.XLOOKUP($A505,CSV!$A:$A,CSV!B:B,""),
_xlpm.MacVal,_xlfn.XLOOKUP($A505,Output_Mac!$A:$A,Output_Mac!B:B,""),
_xlpm.MyAuditVal,_xlfn.XLOOKUP($A505,My_Audit!$A:$A,My_Audit!B:B,""),
_xlfn.IFS(_xlpm.MyAuditVal&lt;&gt;"",UPPER(_xlpm.MyAuditVal),_xlpm.MacVal&lt;&gt;"",_xlpm.MacVal,_xlpm.CSVVal&lt;&gt;"",_xlpm.CSVVal
)),"")</f>
        <v/>
      </c>
      <c r="D505" s="2" t="str" cm="1">
        <f t="array" ref="D505">IFERROR(_xlfn.LET(
_xlpm.CSVVal,_xlfn.XLOOKUP($A505,CSV!$A:$A,CSV!D:D,""),
_xlpm.MacVal,_xlfn.XLOOKUP($A505,Output_Mac!$A:$A,Output_Mac!C:C,""),
_xlpm.MyAuditVal,_xlfn.XLOOKUP($A505,My_Audit!$A:$A,My_Audit!C:C,""),
_xlfn.IFS(_xlpm.MyAuditVal&lt;&gt;"",_xlpm.MyAuditVal,_xlpm.MacVal&lt;&gt;"",_xlpm.MacVal,_xlpm.CSVVal&lt;&gt;"",_xlpm.CSVVal
)),"")</f>
        <v/>
      </c>
      <c r="E505" s="2" t="str">
        <f>_xlfn.XLOOKUP(A505,My_Audit!A:A,My_Audit!D:D,"")&amp;""</f>
        <v/>
      </c>
      <c r="F505" s="2" t="str" cm="1">
        <f t="array" ref="F505">IFERROR(_xlfn.LET(
_xlpm.CSVVal,_xlfn.XLOOKUP($A505,CSV!$A:$A,CSV!F:F,""),
_xlpm.MacVal,_xlfn.XLOOKUP($A505,Output_Mac!$A:$A,Output_Mac!E:E,""),
_xlpm.MyAuditVal,_xlfn.XLOOKUP($A505,My_Audit!$A:$A,My_Audit!E:E,""),
_xlfn.IFS(_xlpm.MyAuditVal&lt;&gt;"",_xlpm.MyAuditVal,_xlpm.MacVal&lt;&gt;"",_xlpm.MacVal,_xlpm.CSVVal&lt;&gt;"",_xlpm.CSVVal
)),"")</f>
        <v/>
      </c>
      <c r="G505" s="2" t="str" cm="1">
        <f t="array" ref="G505">IFERROR(_xlfn.LET(
_xlpm.CSVVal,_xlfn.XLOOKUP($A505,CSV!$A:$A,CSV!G:G,""),
_xlpm.MacVal,_xlfn.XLOOKUP($A505,Output_Mac!$A:$A,Output_Mac!F:F,""),
_xlpm.MyAuditVal,_xlfn.XLOOKUP($A505,My_Audit!$A:$A,My_Audit!F:F,""),
_xlfn.IFS(_xlpm.MyAuditVal&lt;&gt;"",_xlpm.MyAuditVal,_xlpm.MacVal&lt;&gt;"",_xlpm.MacVal,_xlpm.CSVVal&lt;&gt;"",PROPER(_xlpm.CSVVal)
)),"")</f>
        <v/>
      </c>
      <c r="H505" s="2" t="str" cm="1">
        <f t="array" ref="H505">IFERROR(_xlfn.LET(
_xlpm.CSVVal,_xlfn.XLOOKUP($A505,CSV!$A:$A,CSV!H:H,""),
_xlpm.MacVal,_xlfn.XLOOKUP($A505,Output_Mac!$A:$A,Output_Mac!H:H,""),
_xlpm.MyAuditVal,_xlfn.XLOOKUP($A505,My_Audit!$A:$A,My_Audit!G:G,""),
_xlfn.IFS(_xlpm.MyAuditVal&lt;&gt;"",_xlpm.MyAuditVal,_xlpm.MacVal&lt;&gt;"",_xlpm.MacVal,_xlpm.CSVVal&lt;&gt;"",_xlpm.CSVVal
)),"")</f>
        <v/>
      </c>
      <c r="I505" s="2" t="str">
        <f>_xlfn.XLOOKUP(A505,Output_Mac!A:A,Output_Mac!I:I,"")</f>
        <v/>
      </c>
      <c r="J505" s="2" t="str" cm="1">
        <f t="array" ref="J505">IFERROR(_xlfn.LET(
_xlpm.CSVVal,_xlfn.XLOOKUP($A505,CSV!$A:$A,CSV!I:I,""),
_xlpm.MacVal,_xlfn.XLOOKUP($A505,Output_Mac!$A:$A,Output_Mac!J:J,""),
_xlpm.MyAuditVal,_xlfn.XLOOKUP($A505,My_Audit!$A:$A,My_Audit!I:I,""),
_xlfn.IFS(_xlpm.MyAuditVal&lt;&gt;"",UPPER(_xlpm.MyAuditVal),_xlpm.MacVal&lt;&gt;"",_xlpm.MacVal,_xlpm.CSVVal&lt;&gt;"",_xlpm.CSVVal
)),"")</f>
        <v/>
      </c>
      <c r="K505" s="2" t="str" cm="1">
        <f t="array" ref="K505">IFERROR(_xlfn.LET(
_xlpm.CSVVal,_xlfn.XLOOKUP($A505,CSV!$A:$A,CSV!K:K,""),
_xlpm.MacVal,_xlfn.XLOOKUP($A505,Output_Mac!$A:$A,Output_Mac!K:K,""),
_xlpm.MyAuditVal,_xlfn.XLOOKUP($A505,My_Audit!$A:$A,My_Audit!J:J,""),
_xlfn.IFS(_xlpm.MyAuditVal&lt;&gt;"",UPPER(_xlpm.MyAuditVal),_xlpm.MacVal&lt;&gt;"",_xlpm.MacVal,_xlpm.CSVVal&lt;&gt;"",_xlpm.CSVVal
)),"")</f>
        <v/>
      </c>
      <c r="L505" s="2" t="str" cm="1">
        <f t="array" ref="L505">IFERROR(_xlfn.LET(
_xlpm.CSVVal,_xlfn.XLOOKUP($A505,CSV!$A:$A,CSV!P:P,""),
_xlpm.MacVal,_xlfn.XLOOKUP($A505,Output_Mac!$A:$A,Output_Mac!L:L,""),
_xlpm.MyAuditVal,_xlfn.XLOOKUP($A505,My_Audit!$A:$A,My_Audit!K:K,""),
_xlfn.IFS(_xlpm.MyAuditVal&lt;&gt;"",UPPER(_xlpm.MyAuditVal),_xlpm.MacVal&lt;&gt;"",_xlpm.MacVal,_xlpm.CSVVal&lt;&gt;"",_xlpm.CSVVal
)),"")</f>
        <v/>
      </c>
      <c r="M505" s="2" t="str" cm="1">
        <f t="array" ref="M505">IFERROR(_xlfn.LET(
_xlpm.CSVVal,_xlfn.XLOOKUP($A505,CSV!$A:$A,CSV!Q:Q,""),
_xlpm.MacVal,_xlfn.XLOOKUP($A505,Output_Mac!$A:$A,Output_Mac!M:M,""),
_xlpm.MyAuditVal,_xlfn.XLOOKUP($A505,My_Audit!$A:$A,My_Audit!L:L,""),
_xlfn.IFS(_xlpm.MyAuditVal&lt;&gt;"",UPPER(_xlpm.MyAuditVal),_xlpm.MacVal&lt;&gt;"",_xlpm.MacVal,_xlpm.CSVVal&lt;&gt;"",_xlpm.CSVVal
)),"")</f>
        <v/>
      </c>
      <c r="O505" s="2" t="str">
        <f>_xlfn.LET(
    _xlpm.CSVVal, _xlfn.XLOOKUP($A505, CSV!$A:$A, CSV!AF:AF, ""),
    _xlpm.MacVal, _xlfn.XLOOKUP($A505, Output_Mac!$A:$A, Output_Mac!S:S, ""),
    _xlpm.MyAuditVal, _xlfn.XLOOKUP($A505, My_Audit!$A:$A, My_Audit!P:P, ""),
    _xlfn.TEXTJOIN(", ", TRUE, _xlpm.MyAuditVal, _xlpm.MacVal, _xlpm.CSVVal)
)</f>
        <v/>
      </c>
      <c r="P505" s="2" t="str" cm="1">
        <f t="array" ref="P505">IFERROR(_xlfn.LET(
_xlpm.CSVVal,_xlfn.XLOOKUP($A505,CSV!$A:$A,CSV!AG:AG,""),
_xlpm.MacVal,_xlfn.XLOOKUP($A505,Output_Mac!$A:$A,Output_Mac!T:T,""),
_xlpm.MyAuditVal,_xlfn.XLOOKUP($A505,My_Audit!$A:$A,My_Audit!Q:Q,""),
_xlfn.IFS(_xlpm.MyAuditVal&lt;&gt;"",UPPER(_xlpm.MyAuditVal),_xlpm.MacVal&lt;&gt;"",_xlpm.MacVal,_xlpm.CSVVal&lt;&gt;"",_xlpm.CSVVal
)),"No")</f>
        <v>No</v>
      </c>
      <c r="Q505" s="2" t="str" cm="1">
        <f t="array" ref="Q505">IFERROR(_xlfn.LET(
_xlpm.CSVVal,_xlfn.XLOOKUP($A505,CSV!$A:$A,CSV!AH:AH,""),
_xlpm.MacVal,_xlfn.XLOOKUP($A505,Output_Mac!$A:$A,Output_Mac!U:U,""),
_xlpm.MyAuditVal,_xlfn.XLOOKUP($A505,My_Audit!$A:$A,My_Audit!R:R,""),
_xlfn.IFS(_xlpm.MyAuditVal&lt;&gt;"",UPPER(_xlpm.MyAuditVal),_xlpm.MacVal&lt;&gt;"",_xlpm.MacVal,_xlpm.CSVVal&lt;&gt;"",_xlpm.CSVVal
)),"")</f>
        <v/>
      </c>
    </row>
    <row r="506" spans="1:17">
      <c r="A506" s="2" t="str">
        <f>_xlfn.TEXTJOIN("",TRUE,Input!$B$2,ROW(My_Audit!A505))</f>
        <v>XX505</v>
      </c>
      <c r="B506" s="2" t="str">
        <f>_xlfn.TEXTJOIN("-",TRUE,"ITD",Input!$A$2,A506)</f>
        <v>ITD-SHRXXX-XX505</v>
      </c>
      <c r="C506" s="2" t="str" cm="1">
        <f t="array" ref="C506">IFERROR(_xlfn.LET(
_xlpm.CSVVal,_xlfn.XLOOKUP($A506,CSV!$A:$A,CSV!B:B,""),
_xlpm.MacVal,_xlfn.XLOOKUP($A506,Output_Mac!$A:$A,Output_Mac!B:B,""),
_xlpm.MyAuditVal,_xlfn.XLOOKUP($A506,My_Audit!$A:$A,My_Audit!B:B,""),
_xlfn.IFS(_xlpm.MyAuditVal&lt;&gt;"",UPPER(_xlpm.MyAuditVal),_xlpm.MacVal&lt;&gt;"",_xlpm.MacVal,_xlpm.CSVVal&lt;&gt;"",_xlpm.CSVVal
)),"")</f>
        <v/>
      </c>
      <c r="D506" s="2" t="str" cm="1">
        <f t="array" ref="D506">IFERROR(_xlfn.LET(
_xlpm.CSVVal,_xlfn.XLOOKUP($A506,CSV!$A:$A,CSV!D:D,""),
_xlpm.MacVal,_xlfn.XLOOKUP($A506,Output_Mac!$A:$A,Output_Mac!C:C,""),
_xlpm.MyAuditVal,_xlfn.XLOOKUP($A506,My_Audit!$A:$A,My_Audit!C:C,""),
_xlfn.IFS(_xlpm.MyAuditVal&lt;&gt;"",_xlpm.MyAuditVal,_xlpm.MacVal&lt;&gt;"",_xlpm.MacVal,_xlpm.CSVVal&lt;&gt;"",_xlpm.CSVVal
)),"")</f>
        <v/>
      </c>
      <c r="E506" s="2" t="str">
        <f>_xlfn.XLOOKUP(A506,My_Audit!A:A,My_Audit!D:D,"")&amp;""</f>
        <v/>
      </c>
      <c r="F506" s="2" t="str" cm="1">
        <f t="array" ref="F506">IFERROR(_xlfn.LET(
_xlpm.CSVVal,_xlfn.XLOOKUP($A506,CSV!$A:$A,CSV!F:F,""),
_xlpm.MacVal,_xlfn.XLOOKUP($A506,Output_Mac!$A:$A,Output_Mac!E:E,""),
_xlpm.MyAuditVal,_xlfn.XLOOKUP($A506,My_Audit!$A:$A,My_Audit!E:E,""),
_xlfn.IFS(_xlpm.MyAuditVal&lt;&gt;"",_xlpm.MyAuditVal,_xlpm.MacVal&lt;&gt;"",_xlpm.MacVal,_xlpm.CSVVal&lt;&gt;"",_xlpm.CSVVal
)),"")</f>
        <v/>
      </c>
      <c r="G506" s="2" t="str" cm="1">
        <f t="array" ref="G506">IFERROR(_xlfn.LET(
_xlpm.CSVVal,_xlfn.XLOOKUP($A506,CSV!$A:$A,CSV!G:G,""),
_xlpm.MacVal,_xlfn.XLOOKUP($A506,Output_Mac!$A:$A,Output_Mac!F:F,""),
_xlpm.MyAuditVal,_xlfn.XLOOKUP($A506,My_Audit!$A:$A,My_Audit!F:F,""),
_xlfn.IFS(_xlpm.MyAuditVal&lt;&gt;"",_xlpm.MyAuditVal,_xlpm.MacVal&lt;&gt;"",_xlpm.MacVal,_xlpm.CSVVal&lt;&gt;"",PROPER(_xlpm.CSVVal)
)),"")</f>
        <v/>
      </c>
      <c r="H506" s="2" t="str" cm="1">
        <f t="array" ref="H506">IFERROR(_xlfn.LET(
_xlpm.CSVVal,_xlfn.XLOOKUP($A506,CSV!$A:$A,CSV!H:H,""),
_xlpm.MacVal,_xlfn.XLOOKUP($A506,Output_Mac!$A:$A,Output_Mac!H:H,""),
_xlpm.MyAuditVal,_xlfn.XLOOKUP($A506,My_Audit!$A:$A,My_Audit!G:G,""),
_xlfn.IFS(_xlpm.MyAuditVal&lt;&gt;"",_xlpm.MyAuditVal,_xlpm.MacVal&lt;&gt;"",_xlpm.MacVal,_xlpm.CSVVal&lt;&gt;"",_xlpm.CSVVal
)),"")</f>
        <v/>
      </c>
      <c r="I506" s="2" t="str">
        <f>_xlfn.XLOOKUP(A506,Output_Mac!A:A,Output_Mac!I:I,"")</f>
        <v/>
      </c>
      <c r="J506" s="2" t="str" cm="1">
        <f t="array" ref="J506">IFERROR(_xlfn.LET(
_xlpm.CSVVal,_xlfn.XLOOKUP($A506,CSV!$A:$A,CSV!I:I,""),
_xlpm.MacVal,_xlfn.XLOOKUP($A506,Output_Mac!$A:$A,Output_Mac!J:J,""),
_xlpm.MyAuditVal,_xlfn.XLOOKUP($A506,My_Audit!$A:$A,My_Audit!I:I,""),
_xlfn.IFS(_xlpm.MyAuditVal&lt;&gt;"",UPPER(_xlpm.MyAuditVal),_xlpm.MacVal&lt;&gt;"",_xlpm.MacVal,_xlpm.CSVVal&lt;&gt;"",_xlpm.CSVVal
)),"")</f>
        <v/>
      </c>
      <c r="K506" s="2" t="str" cm="1">
        <f t="array" ref="K506">IFERROR(_xlfn.LET(
_xlpm.CSVVal,_xlfn.XLOOKUP($A506,CSV!$A:$A,CSV!K:K,""),
_xlpm.MacVal,_xlfn.XLOOKUP($A506,Output_Mac!$A:$A,Output_Mac!K:K,""),
_xlpm.MyAuditVal,_xlfn.XLOOKUP($A506,My_Audit!$A:$A,My_Audit!J:J,""),
_xlfn.IFS(_xlpm.MyAuditVal&lt;&gt;"",UPPER(_xlpm.MyAuditVal),_xlpm.MacVal&lt;&gt;"",_xlpm.MacVal,_xlpm.CSVVal&lt;&gt;"",_xlpm.CSVVal
)),"")</f>
        <v/>
      </c>
      <c r="L506" s="2" t="str" cm="1">
        <f t="array" ref="L506">IFERROR(_xlfn.LET(
_xlpm.CSVVal,_xlfn.XLOOKUP($A506,CSV!$A:$A,CSV!P:P,""),
_xlpm.MacVal,_xlfn.XLOOKUP($A506,Output_Mac!$A:$A,Output_Mac!L:L,""),
_xlpm.MyAuditVal,_xlfn.XLOOKUP($A506,My_Audit!$A:$A,My_Audit!K:K,""),
_xlfn.IFS(_xlpm.MyAuditVal&lt;&gt;"",UPPER(_xlpm.MyAuditVal),_xlpm.MacVal&lt;&gt;"",_xlpm.MacVal,_xlpm.CSVVal&lt;&gt;"",_xlpm.CSVVal
)),"")</f>
        <v/>
      </c>
      <c r="M506" s="2" t="str" cm="1">
        <f t="array" ref="M506">IFERROR(_xlfn.LET(
_xlpm.CSVVal,_xlfn.XLOOKUP($A506,CSV!$A:$A,CSV!Q:Q,""),
_xlpm.MacVal,_xlfn.XLOOKUP($A506,Output_Mac!$A:$A,Output_Mac!M:M,""),
_xlpm.MyAuditVal,_xlfn.XLOOKUP($A506,My_Audit!$A:$A,My_Audit!L:L,""),
_xlfn.IFS(_xlpm.MyAuditVal&lt;&gt;"",UPPER(_xlpm.MyAuditVal),_xlpm.MacVal&lt;&gt;"",_xlpm.MacVal,_xlpm.CSVVal&lt;&gt;"",_xlpm.CSVVal
)),"")</f>
        <v/>
      </c>
      <c r="O506" s="2" t="str">
        <f>_xlfn.LET(
    _xlpm.CSVVal, _xlfn.XLOOKUP($A506, CSV!$A:$A, CSV!AF:AF, ""),
    _xlpm.MacVal, _xlfn.XLOOKUP($A506, Output_Mac!$A:$A, Output_Mac!S:S, ""),
    _xlpm.MyAuditVal, _xlfn.XLOOKUP($A506, My_Audit!$A:$A, My_Audit!P:P, ""),
    _xlfn.TEXTJOIN(", ", TRUE, _xlpm.MyAuditVal, _xlpm.MacVal, _xlpm.CSVVal)
)</f>
        <v/>
      </c>
      <c r="P506" s="2" t="str" cm="1">
        <f t="array" ref="P506">IFERROR(_xlfn.LET(
_xlpm.CSVVal,_xlfn.XLOOKUP($A506,CSV!$A:$A,CSV!AG:AG,""),
_xlpm.MacVal,_xlfn.XLOOKUP($A506,Output_Mac!$A:$A,Output_Mac!T:T,""),
_xlpm.MyAuditVal,_xlfn.XLOOKUP($A506,My_Audit!$A:$A,My_Audit!Q:Q,""),
_xlfn.IFS(_xlpm.MyAuditVal&lt;&gt;"",UPPER(_xlpm.MyAuditVal),_xlpm.MacVal&lt;&gt;"",_xlpm.MacVal,_xlpm.CSVVal&lt;&gt;"",_xlpm.CSVVal
)),"No")</f>
        <v>No</v>
      </c>
      <c r="Q506" s="2" t="str" cm="1">
        <f t="array" ref="Q506">IFERROR(_xlfn.LET(
_xlpm.CSVVal,_xlfn.XLOOKUP($A506,CSV!$A:$A,CSV!AH:AH,""),
_xlpm.MacVal,_xlfn.XLOOKUP($A506,Output_Mac!$A:$A,Output_Mac!U:U,""),
_xlpm.MyAuditVal,_xlfn.XLOOKUP($A506,My_Audit!$A:$A,My_Audit!R:R,""),
_xlfn.IFS(_xlpm.MyAuditVal&lt;&gt;"",UPPER(_xlpm.MyAuditVal),_xlpm.MacVal&lt;&gt;"",_xlpm.MacVal,_xlpm.CSVVal&lt;&gt;"",_xlpm.CSVVal
)),"")</f>
        <v/>
      </c>
    </row>
    <row r="507" spans="1:17">
      <c r="A507" s="2" t="str">
        <f>_xlfn.TEXTJOIN("",TRUE,Input!$B$2,ROW(My_Audit!A506))</f>
        <v>XX506</v>
      </c>
      <c r="B507" s="2" t="str">
        <f>_xlfn.TEXTJOIN("-",TRUE,"ITD",Input!$A$2,A507)</f>
        <v>ITD-SHRXXX-XX506</v>
      </c>
      <c r="C507" s="2" t="str" cm="1">
        <f t="array" ref="C507">IFERROR(_xlfn.LET(
_xlpm.CSVVal,_xlfn.XLOOKUP($A507,CSV!$A:$A,CSV!B:B,""),
_xlpm.MacVal,_xlfn.XLOOKUP($A507,Output_Mac!$A:$A,Output_Mac!B:B,""),
_xlpm.MyAuditVal,_xlfn.XLOOKUP($A507,My_Audit!$A:$A,My_Audit!B:B,""),
_xlfn.IFS(_xlpm.MyAuditVal&lt;&gt;"",UPPER(_xlpm.MyAuditVal),_xlpm.MacVal&lt;&gt;"",_xlpm.MacVal,_xlpm.CSVVal&lt;&gt;"",_xlpm.CSVVal
)),"")</f>
        <v/>
      </c>
      <c r="D507" s="2" t="str" cm="1">
        <f t="array" ref="D507">IFERROR(_xlfn.LET(
_xlpm.CSVVal,_xlfn.XLOOKUP($A507,CSV!$A:$A,CSV!D:D,""),
_xlpm.MacVal,_xlfn.XLOOKUP($A507,Output_Mac!$A:$A,Output_Mac!C:C,""),
_xlpm.MyAuditVal,_xlfn.XLOOKUP($A507,My_Audit!$A:$A,My_Audit!C:C,""),
_xlfn.IFS(_xlpm.MyAuditVal&lt;&gt;"",_xlpm.MyAuditVal,_xlpm.MacVal&lt;&gt;"",_xlpm.MacVal,_xlpm.CSVVal&lt;&gt;"",_xlpm.CSVVal
)),"")</f>
        <v/>
      </c>
      <c r="E507" s="2" t="str">
        <f>_xlfn.XLOOKUP(A507,My_Audit!A:A,My_Audit!D:D,"")&amp;""</f>
        <v/>
      </c>
      <c r="F507" s="2" t="str" cm="1">
        <f t="array" ref="F507">IFERROR(_xlfn.LET(
_xlpm.CSVVal,_xlfn.XLOOKUP($A507,CSV!$A:$A,CSV!F:F,""),
_xlpm.MacVal,_xlfn.XLOOKUP($A507,Output_Mac!$A:$A,Output_Mac!E:E,""),
_xlpm.MyAuditVal,_xlfn.XLOOKUP($A507,My_Audit!$A:$A,My_Audit!E:E,""),
_xlfn.IFS(_xlpm.MyAuditVal&lt;&gt;"",_xlpm.MyAuditVal,_xlpm.MacVal&lt;&gt;"",_xlpm.MacVal,_xlpm.CSVVal&lt;&gt;"",_xlpm.CSVVal
)),"")</f>
        <v/>
      </c>
      <c r="G507" s="2" t="str" cm="1">
        <f t="array" ref="G507">IFERROR(_xlfn.LET(
_xlpm.CSVVal,_xlfn.XLOOKUP($A507,CSV!$A:$A,CSV!G:G,""),
_xlpm.MacVal,_xlfn.XLOOKUP($A507,Output_Mac!$A:$A,Output_Mac!F:F,""),
_xlpm.MyAuditVal,_xlfn.XLOOKUP($A507,My_Audit!$A:$A,My_Audit!F:F,""),
_xlfn.IFS(_xlpm.MyAuditVal&lt;&gt;"",_xlpm.MyAuditVal,_xlpm.MacVal&lt;&gt;"",_xlpm.MacVal,_xlpm.CSVVal&lt;&gt;"",PROPER(_xlpm.CSVVal)
)),"")</f>
        <v/>
      </c>
      <c r="H507" s="2" t="str" cm="1">
        <f t="array" ref="H507">IFERROR(_xlfn.LET(
_xlpm.CSVVal,_xlfn.XLOOKUP($A507,CSV!$A:$A,CSV!H:H,""),
_xlpm.MacVal,_xlfn.XLOOKUP($A507,Output_Mac!$A:$A,Output_Mac!H:H,""),
_xlpm.MyAuditVal,_xlfn.XLOOKUP($A507,My_Audit!$A:$A,My_Audit!G:G,""),
_xlfn.IFS(_xlpm.MyAuditVal&lt;&gt;"",_xlpm.MyAuditVal,_xlpm.MacVal&lt;&gt;"",_xlpm.MacVal,_xlpm.CSVVal&lt;&gt;"",_xlpm.CSVVal
)),"")</f>
        <v/>
      </c>
      <c r="I507" s="2" t="str">
        <f>_xlfn.XLOOKUP(A507,Output_Mac!A:A,Output_Mac!I:I,"")</f>
        <v/>
      </c>
      <c r="J507" s="2" t="str" cm="1">
        <f t="array" ref="J507">IFERROR(_xlfn.LET(
_xlpm.CSVVal,_xlfn.XLOOKUP($A507,CSV!$A:$A,CSV!I:I,""),
_xlpm.MacVal,_xlfn.XLOOKUP($A507,Output_Mac!$A:$A,Output_Mac!J:J,""),
_xlpm.MyAuditVal,_xlfn.XLOOKUP($A507,My_Audit!$A:$A,My_Audit!I:I,""),
_xlfn.IFS(_xlpm.MyAuditVal&lt;&gt;"",UPPER(_xlpm.MyAuditVal),_xlpm.MacVal&lt;&gt;"",_xlpm.MacVal,_xlpm.CSVVal&lt;&gt;"",_xlpm.CSVVal
)),"")</f>
        <v/>
      </c>
      <c r="K507" s="2" t="str" cm="1">
        <f t="array" ref="K507">IFERROR(_xlfn.LET(
_xlpm.CSVVal,_xlfn.XLOOKUP($A507,CSV!$A:$A,CSV!K:K,""),
_xlpm.MacVal,_xlfn.XLOOKUP($A507,Output_Mac!$A:$A,Output_Mac!K:K,""),
_xlpm.MyAuditVal,_xlfn.XLOOKUP($A507,My_Audit!$A:$A,My_Audit!J:J,""),
_xlfn.IFS(_xlpm.MyAuditVal&lt;&gt;"",UPPER(_xlpm.MyAuditVal),_xlpm.MacVal&lt;&gt;"",_xlpm.MacVal,_xlpm.CSVVal&lt;&gt;"",_xlpm.CSVVal
)),"")</f>
        <v/>
      </c>
      <c r="L507" s="2" t="str" cm="1">
        <f t="array" ref="L507">IFERROR(_xlfn.LET(
_xlpm.CSVVal,_xlfn.XLOOKUP($A507,CSV!$A:$A,CSV!P:P,""),
_xlpm.MacVal,_xlfn.XLOOKUP($A507,Output_Mac!$A:$A,Output_Mac!L:L,""),
_xlpm.MyAuditVal,_xlfn.XLOOKUP($A507,My_Audit!$A:$A,My_Audit!K:K,""),
_xlfn.IFS(_xlpm.MyAuditVal&lt;&gt;"",UPPER(_xlpm.MyAuditVal),_xlpm.MacVal&lt;&gt;"",_xlpm.MacVal,_xlpm.CSVVal&lt;&gt;"",_xlpm.CSVVal
)),"")</f>
        <v/>
      </c>
      <c r="M507" s="2" t="str" cm="1">
        <f t="array" ref="M507">IFERROR(_xlfn.LET(
_xlpm.CSVVal,_xlfn.XLOOKUP($A507,CSV!$A:$A,CSV!Q:Q,""),
_xlpm.MacVal,_xlfn.XLOOKUP($A507,Output_Mac!$A:$A,Output_Mac!M:M,""),
_xlpm.MyAuditVal,_xlfn.XLOOKUP($A507,My_Audit!$A:$A,My_Audit!L:L,""),
_xlfn.IFS(_xlpm.MyAuditVal&lt;&gt;"",UPPER(_xlpm.MyAuditVal),_xlpm.MacVal&lt;&gt;"",_xlpm.MacVal,_xlpm.CSVVal&lt;&gt;"",_xlpm.CSVVal
)),"")</f>
        <v/>
      </c>
      <c r="O507" s="2" t="str">
        <f>_xlfn.LET(
    _xlpm.CSVVal, _xlfn.XLOOKUP($A507, CSV!$A:$A, CSV!AF:AF, ""),
    _xlpm.MacVal, _xlfn.XLOOKUP($A507, Output_Mac!$A:$A, Output_Mac!S:S, ""),
    _xlpm.MyAuditVal, _xlfn.XLOOKUP($A507, My_Audit!$A:$A, My_Audit!P:P, ""),
    _xlfn.TEXTJOIN(", ", TRUE, _xlpm.MyAuditVal, _xlpm.MacVal, _xlpm.CSVVal)
)</f>
        <v/>
      </c>
      <c r="P507" s="2" t="str" cm="1">
        <f t="array" ref="P507">IFERROR(_xlfn.LET(
_xlpm.CSVVal,_xlfn.XLOOKUP($A507,CSV!$A:$A,CSV!AG:AG,""),
_xlpm.MacVal,_xlfn.XLOOKUP($A507,Output_Mac!$A:$A,Output_Mac!T:T,""),
_xlpm.MyAuditVal,_xlfn.XLOOKUP($A507,My_Audit!$A:$A,My_Audit!Q:Q,""),
_xlfn.IFS(_xlpm.MyAuditVal&lt;&gt;"",UPPER(_xlpm.MyAuditVal),_xlpm.MacVal&lt;&gt;"",_xlpm.MacVal,_xlpm.CSVVal&lt;&gt;"",_xlpm.CSVVal
)),"No")</f>
        <v>No</v>
      </c>
      <c r="Q507" s="2" t="str" cm="1">
        <f t="array" ref="Q507">IFERROR(_xlfn.LET(
_xlpm.CSVVal,_xlfn.XLOOKUP($A507,CSV!$A:$A,CSV!AH:AH,""),
_xlpm.MacVal,_xlfn.XLOOKUP($A507,Output_Mac!$A:$A,Output_Mac!U:U,""),
_xlpm.MyAuditVal,_xlfn.XLOOKUP($A507,My_Audit!$A:$A,My_Audit!R:R,""),
_xlfn.IFS(_xlpm.MyAuditVal&lt;&gt;"",UPPER(_xlpm.MyAuditVal),_xlpm.MacVal&lt;&gt;"",_xlpm.MacVal,_xlpm.CSVVal&lt;&gt;"",_xlpm.CSVVal
)),"")</f>
        <v/>
      </c>
    </row>
    <row r="508" spans="1:17">
      <c r="A508" s="2" t="str">
        <f>_xlfn.TEXTJOIN("",TRUE,Input!$B$2,ROW(My_Audit!A507))</f>
        <v>XX507</v>
      </c>
      <c r="B508" s="2" t="str">
        <f>_xlfn.TEXTJOIN("-",TRUE,"ITD",Input!$A$2,A508)</f>
        <v>ITD-SHRXXX-XX507</v>
      </c>
      <c r="C508" s="2" t="str" cm="1">
        <f t="array" ref="C508">IFERROR(_xlfn.LET(
_xlpm.CSVVal,_xlfn.XLOOKUP($A508,CSV!$A:$A,CSV!B:B,""),
_xlpm.MacVal,_xlfn.XLOOKUP($A508,Output_Mac!$A:$A,Output_Mac!B:B,""),
_xlpm.MyAuditVal,_xlfn.XLOOKUP($A508,My_Audit!$A:$A,My_Audit!B:B,""),
_xlfn.IFS(_xlpm.MyAuditVal&lt;&gt;"",UPPER(_xlpm.MyAuditVal),_xlpm.MacVal&lt;&gt;"",_xlpm.MacVal,_xlpm.CSVVal&lt;&gt;"",_xlpm.CSVVal
)),"")</f>
        <v/>
      </c>
      <c r="D508" s="2" t="str" cm="1">
        <f t="array" ref="D508">IFERROR(_xlfn.LET(
_xlpm.CSVVal,_xlfn.XLOOKUP($A508,CSV!$A:$A,CSV!D:D,""),
_xlpm.MacVal,_xlfn.XLOOKUP($A508,Output_Mac!$A:$A,Output_Mac!C:C,""),
_xlpm.MyAuditVal,_xlfn.XLOOKUP($A508,My_Audit!$A:$A,My_Audit!C:C,""),
_xlfn.IFS(_xlpm.MyAuditVal&lt;&gt;"",_xlpm.MyAuditVal,_xlpm.MacVal&lt;&gt;"",_xlpm.MacVal,_xlpm.CSVVal&lt;&gt;"",_xlpm.CSVVal
)),"")</f>
        <v/>
      </c>
      <c r="E508" s="2" t="str">
        <f>_xlfn.XLOOKUP(A508,My_Audit!A:A,My_Audit!D:D,"")&amp;""</f>
        <v/>
      </c>
      <c r="F508" s="2" t="str" cm="1">
        <f t="array" ref="F508">IFERROR(_xlfn.LET(
_xlpm.CSVVal,_xlfn.XLOOKUP($A508,CSV!$A:$A,CSV!F:F,""),
_xlpm.MacVal,_xlfn.XLOOKUP($A508,Output_Mac!$A:$A,Output_Mac!E:E,""),
_xlpm.MyAuditVal,_xlfn.XLOOKUP($A508,My_Audit!$A:$A,My_Audit!E:E,""),
_xlfn.IFS(_xlpm.MyAuditVal&lt;&gt;"",_xlpm.MyAuditVal,_xlpm.MacVal&lt;&gt;"",_xlpm.MacVal,_xlpm.CSVVal&lt;&gt;"",_xlpm.CSVVal
)),"")</f>
        <v/>
      </c>
      <c r="G508" s="2" t="str" cm="1">
        <f t="array" ref="G508">IFERROR(_xlfn.LET(
_xlpm.CSVVal,_xlfn.XLOOKUP($A508,CSV!$A:$A,CSV!G:G,""),
_xlpm.MacVal,_xlfn.XLOOKUP($A508,Output_Mac!$A:$A,Output_Mac!F:F,""),
_xlpm.MyAuditVal,_xlfn.XLOOKUP($A508,My_Audit!$A:$A,My_Audit!F:F,""),
_xlfn.IFS(_xlpm.MyAuditVal&lt;&gt;"",_xlpm.MyAuditVal,_xlpm.MacVal&lt;&gt;"",_xlpm.MacVal,_xlpm.CSVVal&lt;&gt;"",PROPER(_xlpm.CSVVal)
)),"")</f>
        <v/>
      </c>
      <c r="H508" s="2" t="str" cm="1">
        <f t="array" ref="H508">IFERROR(_xlfn.LET(
_xlpm.CSVVal,_xlfn.XLOOKUP($A508,CSV!$A:$A,CSV!H:H,""),
_xlpm.MacVal,_xlfn.XLOOKUP($A508,Output_Mac!$A:$A,Output_Mac!H:H,""),
_xlpm.MyAuditVal,_xlfn.XLOOKUP($A508,My_Audit!$A:$A,My_Audit!G:G,""),
_xlfn.IFS(_xlpm.MyAuditVal&lt;&gt;"",_xlpm.MyAuditVal,_xlpm.MacVal&lt;&gt;"",_xlpm.MacVal,_xlpm.CSVVal&lt;&gt;"",_xlpm.CSVVal
)),"")</f>
        <v/>
      </c>
      <c r="I508" s="2" t="str">
        <f>_xlfn.XLOOKUP(A508,Output_Mac!A:A,Output_Mac!I:I,"")</f>
        <v/>
      </c>
      <c r="J508" s="2" t="str" cm="1">
        <f t="array" ref="J508">IFERROR(_xlfn.LET(
_xlpm.CSVVal,_xlfn.XLOOKUP($A508,CSV!$A:$A,CSV!I:I,""),
_xlpm.MacVal,_xlfn.XLOOKUP($A508,Output_Mac!$A:$A,Output_Mac!J:J,""),
_xlpm.MyAuditVal,_xlfn.XLOOKUP($A508,My_Audit!$A:$A,My_Audit!I:I,""),
_xlfn.IFS(_xlpm.MyAuditVal&lt;&gt;"",UPPER(_xlpm.MyAuditVal),_xlpm.MacVal&lt;&gt;"",_xlpm.MacVal,_xlpm.CSVVal&lt;&gt;"",_xlpm.CSVVal
)),"")</f>
        <v/>
      </c>
      <c r="K508" s="2" t="str" cm="1">
        <f t="array" ref="K508">IFERROR(_xlfn.LET(
_xlpm.CSVVal,_xlfn.XLOOKUP($A508,CSV!$A:$A,CSV!K:K,""),
_xlpm.MacVal,_xlfn.XLOOKUP($A508,Output_Mac!$A:$A,Output_Mac!K:K,""),
_xlpm.MyAuditVal,_xlfn.XLOOKUP($A508,My_Audit!$A:$A,My_Audit!J:J,""),
_xlfn.IFS(_xlpm.MyAuditVal&lt;&gt;"",UPPER(_xlpm.MyAuditVal),_xlpm.MacVal&lt;&gt;"",_xlpm.MacVal,_xlpm.CSVVal&lt;&gt;"",_xlpm.CSVVal
)),"")</f>
        <v/>
      </c>
      <c r="L508" s="2" t="str" cm="1">
        <f t="array" ref="L508">IFERROR(_xlfn.LET(
_xlpm.CSVVal,_xlfn.XLOOKUP($A508,CSV!$A:$A,CSV!P:P,""),
_xlpm.MacVal,_xlfn.XLOOKUP($A508,Output_Mac!$A:$A,Output_Mac!L:L,""),
_xlpm.MyAuditVal,_xlfn.XLOOKUP($A508,My_Audit!$A:$A,My_Audit!K:K,""),
_xlfn.IFS(_xlpm.MyAuditVal&lt;&gt;"",UPPER(_xlpm.MyAuditVal),_xlpm.MacVal&lt;&gt;"",_xlpm.MacVal,_xlpm.CSVVal&lt;&gt;"",_xlpm.CSVVal
)),"")</f>
        <v/>
      </c>
      <c r="M508" s="2" t="str" cm="1">
        <f t="array" ref="M508">IFERROR(_xlfn.LET(
_xlpm.CSVVal,_xlfn.XLOOKUP($A508,CSV!$A:$A,CSV!Q:Q,""),
_xlpm.MacVal,_xlfn.XLOOKUP($A508,Output_Mac!$A:$A,Output_Mac!M:M,""),
_xlpm.MyAuditVal,_xlfn.XLOOKUP($A508,My_Audit!$A:$A,My_Audit!L:L,""),
_xlfn.IFS(_xlpm.MyAuditVal&lt;&gt;"",UPPER(_xlpm.MyAuditVal),_xlpm.MacVal&lt;&gt;"",_xlpm.MacVal,_xlpm.CSVVal&lt;&gt;"",_xlpm.CSVVal
)),"")</f>
        <v/>
      </c>
      <c r="O508" s="2" t="str">
        <f>_xlfn.LET(
    _xlpm.CSVVal, _xlfn.XLOOKUP($A508, CSV!$A:$A, CSV!AF:AF, ""),
    _xlpm.MacVal, _xlfn.XLOOKUP($A508, Output_Mac!$A:$A, Output_Mac!S:S, ""),
    _xlpm.MyAuditVal, _xlfn.XLOOKUP($A508, My_Audit!$A:$A, My_Audit!P:P, ""),
    _xlfn.TEXTJOIN(", ", TRUE, _xlpm.MyAuditVal, _xlpm.MacVal, _xlpm.CSVVal)
)</f>
        <v/>
      </c>
      <c r="P508" s="2" t="str" cm="1">
        <f t="array" ref="P508">IFERROR(_xlfn.LET(
_xlpm.CSVVal,_xlfn.XLOOKUP($A508,CSV!$A:$A,CSV!AG:AG,""),
_xlpm.MacVal,_xlfn.XLOOKUP($A508,Output_Mac!$A:$A,Output_Mac!T:T,""),
_xlpm.MyAuditVal,_xlfn.XLOOKUP($A508,My_Audit!$A:$A,My_Audit!Q:Q,""),
_xlfn.IFS(_xlpm.MyAuditVal&lt;&gt;"",UPPER(_xlpm.MyAuditVal),_xlpm.MacVal&lt;&gt;"",_xlpm.MacVal,_xlpm.CSVVal&lt;&gt;"",_xlpm.CSVVal
)),"No")</f>
        <v>No</v>
      </c>
      <c r="Q508" s="2" t="str" cm="1">
        <f t="array" ref="Q508">IFERROR(_xlfn.LET(
_xlpm.CSVVal,_xlfn.XLOOKUP($A508,CSV!$A:$A,CSV!AH:AH,""),
_xlpm.MacVal,_xlfn.XLOOKUP($A508,Output_Mac!$A:$A,Output_Mac!U:U,""),
_xlpm.MyAuditVal,_xlfn.XLOOKUP($A508,My_Audit!$A:$A,My_Audit!R:R,""),
_xlfn.IFS(_xlpm.MyAuditVal&lt;&gt;"",UPPER(_xlpm.MyAuditVal),_xlpm.MacVal&lt;&gt;"",_xlpm.MacVal,_xlpm.CSVVal&lt;&gt;"",_xlpm.CSVVal
)),"")</f>
        <v/>
      </c>
    </row>
    <row r="509" spans="1:17">
      <c r="A509" s="2" t="str">
        <f>_xlfn.TEXTJOIN("",TRUE,Input!$B$2,ROW(My_Audit!A508))</f>
        <v>XX508</v>
      </c>
      <c r="B509" s="2" t="str">
        <f>_xlfn.TEXTJOIN("-",TRUE,"ITD",Input!$A$2,A509)</f>
        <v>ITD-SHRXXX-XX508</v>
      </c>
      <c r="C509" s="2" t="str" cm="1">
        <f t="array" ref="C509">IFERROR(_xlfn.LET(
_xlpm.CSVVal,_xlfn.XLOOKUP($A509,CSV!$A:$A,CSV!B:B,""),
_xlpm.MacVal,_xlfn.XLOOKUP($A509,Output_Mac!$A:$A,Output_Mac!B:B,""),
_xlpm.MyAuditVal,_xlfn.XLOOKUP($A509,My_Audit!$A:$A,My_Audit!B:B,""),
_xlfn.IFS(_xlpm.MyAuditVal&lt;&gt;"",UPPER(_xlpm.MyAuditVal),_xlpm.MacVal&lt;&gt;"",_xlpm.MacVal,_xlpm.CSVVal&lt;&gt;"",_xlpm.CSVVal
)),"")</f>
        <v/>
      </c>
      <c r="D509" s="2" t="str" cm="1">
        <f t="array" ref="D509">IFERROR(_xlfn.LET(
_xlpm.CSVVal,_xlfn.XLOOKUP($A509,CSV!$A:$A,CSV!D:D,""),
_xlpm.MacVal,_xlfn.XLOOKUP($A509,Output_Mac!$A:$A,Output_Mac!C:C,""),
_xlpm.MyAuditVal,_xlfn.XLOOKUP($A509,My_Audit!$A:$A,My_Audit!C:C,""),
_xlfn.IFS(_xlpm.MyAuditVal&lt;&gt;"",_xlpm.MyAuditVal,_xlpm.MacVal&lt;&gt;"",_xlpm.MacVal,_xlpm.CSVVal&lt;&gt;"",_xlpm.CSVVal
)),"")</f>
        <v/>
      </c>
      <c r="E509" s="2" t="str">
        <f>_xlfn.XLOOKUP(A509,My_Audit!A:A,My_Audit!D:D,"")&amp;""</f>
        <v/>
      </c>
      <c r="F509" s="2" t="str" cm="1">
        <f t="array" ref="F509">IFERROR(_xlfn.LET(
_xlpm.CSVVal,_xlfn.XLOOKUP($A509,CSV!$A:$A,CSV!F:F,""),
_xlpm.MacVal,_xlfn.XLOOKUP($A509,Output_Mac!$A:$A,Output_Mac!E:E,""),
_xlpm.MyAuditVal,_xlfn.XLOOKUP($A509,My_Audit!$A:$A,My_Audit!E:E,""),
_xlfn.IFS(_xlpm.MyAuditVal&lt;&gt;"",_xlpm.MyAuditVal,_xlpm.MacVal&lt;&gt;"",_xlpm.MacVal,_xlpm.CSVVal&lt;&gt;"",_xlpm.CSVVal
)),"")</f>
        <v/>
      </c>
      <c r="G509" s="2" t="str" cm="1">
        <f t="array" ref="G509">IFERROR(_xlfn.LET(
_xlpm.CSVVal,_xlfn.XLOOKUP($A509,CSV!$A:$A,CSV!G:G,""),
_xlpm.MacVal,_xlfn.XLOOKUP($A509,Output_Mac!$A:$A,Output_Mac!F:F,""),
_xlpm.MyAuditVal,_xlfn.XLOOKUP($A509,My_Audit!$A:$A,My_Audit!F:F,""),
_xlfn.IFS(_xlpm.MyAuditVal&lt;&gt;"",_xlpm.MyAuditVal,_xlpm.MacVal&lt;&gt;"",_xlpm.MacVal,_xlpm.CSVVal&lt;&gt;"",PROPER(_xlpm.CSVVal)
)),"")</f>
        <v/>
      </c>
      <c r="H509" s="2" t="str" cm="1">
        <f t="array" ref="H509">IFERROR(_xlfn.LET(
_xlpm.CSVVal,_xlfn.XLOOKUP($A509,CSV!$A:$A,CSV!H:H,""),
_xlpm.MacVal,_xlfn.XLOOKUP($A509,Output_Mac!$A:$A,Output_Mac!H:H,""),
_xlpm.MyAuditVal,_xlfn.XLOOKUP($A509,My_Audit!$A:$A,My_Audit!G:G,""),
_xlfn.IFS(_xlpm.MyAuditVal&lt;&gt;"",_xlpm.MyAuditVal,_xlpm.MacVal&lt;&gt;"",_xlpm.MacVal,_xlpm.CSVVal&lt;&gt;"",_xlpm.CSVVal
)),"")</f>
        <v/>
      </c>
      <c r="I509" s="2" t="str">
        <f>_xlfn.XLOOKUP(A509,Output_Mac!A:A,Output_Mac!I:I,"")</f>
        <v/>
      </c>
      <c r="J509" s="2" t="str" cm="1">
        <f t="array" ref="J509">IFERROR(_xlfn.LET(
_xlpm.CSVVal,_xlfn.XLOOKUP($A509,CSV!$A:$A,CSV!I:I,""),
_xlpm.MacVal,_xlfn.XLOOKUP($A509,Output_Mac!$A:$A,Output_Mac!J:J,""),
_xlpm.MyAuditVal,_xlfn.XLOOKUP($A509,My_Audit!$A:$A,My_Audit!I:I,""),
_xlfn.IFS(_xlpm.MyAuditVal&lt;&gt;"",UPPER(_xlpm.MyAuditVal),_xlpm.MacVal&lt;&gt;"",_xlpm.MacVal,_xlpm.CSVVal&lt;&gt;"",_xlpm.CSVVal
)),"")</f>
        <v/>
      </c>
      <c r="K509" s="2" t="str" cm="1">
        <f t="array" ref="K509">IFERROR(_xlfn.LET(
_xlpm.CSVVal,_xlfn.XLOOKUP($A509,CSV!$A:$A,CSV!K:K,""),
_xlpm.MacVal,_xlfn.XLOOKUP($A509,Output_Mac!$A:$A,Output_Mac!K:K,""),
_xlpm.MyAuditVal,_xlfn.XLOOKUP($A509,My_Audit!$A:$A,My_Audit!J:J,""),
_xlfn.IFS(_xlpm.MyAuditVal&lt;&gt;"",UPPER(_xlpm.MyAuditVal),_xlpm.MacVal&lt;&gt;"",_xlpm.MacVal,_xlpm.CSVVal&lt;&gt;"",_xlpm.CSVVal
)),"")</f>
        <v/>
      </c>
      <c r="L509" s="2" t="str" cm="1">
        <f t="array" ref="L509">IFERROR(_xlfn.LET(
_xlpm.CSVVal,_xlfn.XLOOKUP($A509,CSV!$A:$A,CSV!P:P,""),
_xlpm.MacVal,_xlfn.XLOOKUP($A509,Output_Mac!$A:$A,Output_Mac!L:L,""),
_xlpm.MyAuditVal,_xlfn.XLOOKUP($A509,My_Audit!$A:$A,My_Audit!K:K,""),
_xlfn.IFS(_xlpm.MyAuditVal&lt;&gt;"",UPPER(_xlpm.MyAuditVal),_xlpm.MacVal&lt;&gt;"",_xlpm.MacVal,_xlpm.CSVVal&lt;&gt;"",_xlpm.CSVVal
)),"")</f>
        <v/>
      </c>
      <c r="M509" s="2" t="str" cm="1">
        <f t="array" ref="M509">IFERROR(_xlfn.LET(
_xlpm.CSVVal,_xlfn.XLOOKUP($A509,CSV!$A:$A,CSV!Q:Q,""),
_xlpm.MacVal,_xlfn.XLOOKUP($A509,Output_Mac!$A:$A,Output_Mac!M:M,""),
_xlpm.MyAuditVal,_xlfn.XLOOKUP($A509,My_Audit!$A:$A,My_Audit!L:L,""),
_xlfn.IFS(_xlpm.MyAuditVal&lt;&gt;"",UPPER(_xlpm.MyAuditVal),_xlpm.MacVal&lt;&gt;"",_xlpm.MacVal,_xlpm.CSVVal&lt;&gt;"",_xlpm.CSVVal
)),"")</f>
        <v/>
      </c>
      <c r="O509" s="2" t="str">
        <f>_xlfn.LET(
    _xlpm.CSVVal, _xlfn.XLOOKUP($A509, CSV!$A:$A, CSV!AF:AF, ""),
    _xlpm.MacVal, _xlfn.XLOOKUP($A509, Output_Mac!$A:$A, Output_Mac!S:S, ""),
    _xlpm.MyAuditVal, _xlfn.XLOOKUP($A509, My_Audit!$A:$A, My_Audit!P:P, ""),
    _xlfn.TEXTJOIN(", ", TRUE, _xlpm.MyAuditVal, _xlpm.MacVal, _xlpm.CSVVal)
)</f>
        <v/>
      </c>
      <c r="P509" s="2" t="str" cm="1">
        <f t="array" ref="P509">IFERROR(_xlfn.LET(
_xlpm.CSVVal,_xlfn.XLOOKUP($A509,CSV!$A:$A,CSV!AG:AG,""),
_xlpm.MacVal,_xlfn.XLOOKUP($A509,Output_Mac!$A:$A,Output_Mac!T:T,""),
_xlpm.MyAuditVal,_xlfn.XLOOKUP($A509,My_Audit!$A:$A,My_Audit!Q:Q,""),
_xlfn.IFS(_xlpm.MyAuditVal&lt;&gt;"",UPPER(_xlpm.MyAuditVal),_xlpm.MacVal&lt;&gt;"",_xlpm.MacVal,_xlpm.CSVVal&lt;&gt;"",_xlpm.CSVVal
)),"No")</f>
        <v>No</v>
      </c>
      <c r="Q509" s="2" t="str" cm="1">
        <f t="array" ref="Q509">IFERROR(_xlfn.LET(
_xlpm.CSVVal,_xlfn.XLOOKUP($A509,CSV!$A:$A,CSV!AH:AH,""),
_xlpm.MacVal,_xlfn.XLOOKUP($A509,Output_Mac!$A:$A,Output_Mac!U:U,""),
_xlpm.MyAuditVal,_xlfn.XLOOKUP($A509,My_Audit!$A:$A,My_Audit!R:R,""),
_xlfn.IFS(_xlpm.MyAuditVal&lt;&gt;"",UPPER(_xlpm.MyAuditVal),_xlpm.MacVal&lt;&gt;"",_xlpm.MacVal,_xlpm.CSVVal&lt;&gt;"",_xlpm.CSVVal
)),"")</f>
        <v/>
      </c>
    </row>
    <row r="510" spans="1:17">
      <c r="A510" s="2" t="str">
        <f>_xlfn.TEXTJOIN("",TRUE,Input!$B$2,ROW(My_Audit!A509))</f>
        <v>XX509</v>
      </c>
      <c r="B510" s="2" t="str">
        <f>_xlfn.TEXTJOIN("-",TRUE,"ITD",Input!$A$2,A510)</f>
        <v>ITD-SHRXXX-XX509</v>
      </c>
      <c r="C510" s="2" t="str" cm="1">
        <f t="array" ref="C510">IFERROR(_xlfn.LET(
_xlpm.CSVVal,_xlfn.XLOOKUP($A510,CSV!$A:$A,CSV!B:B,""),
_xlpm.MacVal,_xlfn.XLOOKUP($A510,Output_Mac!$A:$A,Output_Mac!B:B,""),
_xlpm.MyAuditVal,_xlfn.XLOOKUP($A510,My_Audit!$A:$A,My_Audit!B:B,""),
_xlfn.IFS(_xlpm.MyAuditVal&lt;&gt;"",UPPER(_xlpm.MyAuditVal),_xlpm.MacVal&lt;&gt;"",_xlpm.MacVal,_xlpm.CSVVal&lt;&gt;"",_xlpm.CSVVal
)),"")</f>
        <v/>
      </c>
      <c r="D510" s="2" t="str" cm="1">
        <f t="array" ref="D510">IFERROR(_xlfn.LET(
_xlpm.CSVVal,_xlfn.XLOOKUP($A510,CSV!$A:$A,CSV!D:D,""),
_xlpm.MacVal,_xlfn.XLOOKUP($A510,Output_Mac!$A:$A,Output_Mac!C:C,""),
_xlpm.MyAuditVal,_xlfn.XLOOKUP($A510,My_Audit!$A:$A,My_Audit!C:C,""),
_xlfn.IFS(_xlpm.MyAuditVal&lt;&gt;"",_xlpm.MyAuditVal,_xlpm.MacVal&lt;&gt;"",_xlpm.MacVal,_xlpm.CSVVal&lt;&gt;"",_xlpm.CSVVal
)),"")</f>
        <v/>
      </c>
      <c r="E510" s="2" t="str">
        <f>_xlfn.XLOOKUP(A510,My_Audit!A:A,My_Audit!D:D,"")&amp;""</f>
        <v/>
      </c>
      <c r="F510" s="2" t="str" cm="1">
        <f t="array" ref="F510">IFERROR(_xlfn.LET(
_xlpm.CSVVal,_xlfn.XLOOKUP($A510,CSV!$A:$A,CSV!F:F,""),
_xlpm.MacVal,_xlfn.XLOOKUP($A510,Output_Mac!$A:$A,Output_Mac!E:E,""),
_xlpm.MyAuditVal,_xlfn.XLOOKUP($A510,My_Audit!$A:$A,My_Audit!E:E,""),
_xlfn.IFS(_xlpm.MyAuditVal&lt;&gt;"",_xlpm.MyAuditVal,_xlpm.MacVal&lt;&gt;"",_xlpm.MacVal,_xlpm.CSVVal&lt;&gt;"",_xlpm.CSVVal
)),"")</f>
        <v/>
      </c>
      <c r="G510" s="2" t="str" cm="1">
        <f t="array" ref="G510">IFERROR(_xlfn.LET(
_xlpm.CSVVal,_xlfn.XLOOKUP($A510,CSV!$A:$A,CSV!G:G,""),
_xlpm.MacVal,_xlfn.XLOOKUP($A510,Output_Mac!$A:$A,Output_Mac!F:F,""),
_xlpm.MyAuditVal,_xlfn.XLOOKUP($A510,My_Audit!$A:$A,My_Audit!F:F,""),
_xlfn.IFS(_xlpm.MyAuditVal&lt;&gt;"",_xlpm.MyAuditVal,_xlpm.MacVal&lt;&gt;"",_xlpm.MacVal,_xlpm.CSVVal&lt;&gt;"",PROPER(_xlpm.CSVVal)
)),"")</f>
        <v/>
      </c>
      <c r="H510" s="2" t="str" cm="1">
        <f t="array" ref="H510">IFERROR(_xlfn.LET(
_xlpm.CSVVal,_xlfn.XLOOKUP($A510,CSV!$A:$A,CSV!H:H,""),
_xlpm.MacVal,_xlfn.XLOOKUP($A510,Output_Mac!$A:$A,Output_Mac!H:H,""),
_xlpm.MyAuditVal,_xlfn.XLOOKUP($A510,My_Audit!$A:$A,My_Audit!G:G,""),
_xlfn.IFS(_xlpm.MyAuditVal&lt;&gt;"",_xlpm.MyAuditVal,_xlpm.MacVal&lt;&gt;"",_xlpm.MacVal,_xlpm.CSVVal&lt;&gt;"",_xlpm.CSVVal
)),"")</f>
        <v/>
      </c>
      <c r="I510" s="2" t="str">
        <f>_xlfn.XLOOKUP(A510,Output_Mac!A:A,Output_Mac!I:I,"")</f>
        <v/>
      </c>
      <c r="J510" s="2" t="str" cm="1">
        <f t="array" ref="J510">IFERROR(_xlfn.LET(
_xlpm.CSVVal,_xlfn.XLOOKUP($A510,CSV!$A:$A,CSV!I:I,""),
_xlpm.MacVal,_xlfn.XLOOKUP($A510,Output_Mac!$A:$A,Output_Mac!J:J,""),
_xlpm.MyAuditVal,_xlfn.XLOOKUP($A510,My_Audit!$A:$A,My_Audit!I:I,""),
_xlfn.IFS(_xlpm.MyAuditVal&lt;&gt;"",UPPER(_xlpm.MyAuditVal),_xlpm.MacVal&lt;&gt;"",_xlpm.MacVal,_xlpm.CSVVal&lt;&gt;"",_xlpm.CSVVal
)),"")</f>
        <v/>
      </c>
      <c r="K510" s="2" t="str" cm="1">
        <f t="array" ref="K510">IFERROR(_xlfn.LET(
_xlpm.CSVVal,_xlfn.XLOOKUP($A510,CSV!$A:$A,CSV!K:K,""),
_xlpm.MacVal,_xlfn.XLOOKUP($A510,Output_Mac!$A:$A,Output_Mac!K:K,""),
_xlpm.MyAuditVal,_xlfn.XLOOKUP($A510,My_Audit!$A:$A,My_Audit!J:J,""),
_xlfn.IFS(_xlpm.MyAuditVal&lt;&gt;"",UPPER(_xlpm.MyAuditVal),_xlpm.MacVal&lt;&gt;"",_xlpm.MacVal,_xlpm.CSVVal&lt;&gt;"",_xlpm.CSVVal
)),"")</f>
        <v/>
      </c>
      <c r="L510" s="2" t="str" cm="1">
        <f t="array" ref="L510">IFERROR(_xlfn.LET(
_xlpm.CSVVal,_xlfn.XLOOKUP($A510,CSV!$A:$A,CSV!P:P,""),
_xlpm.MacVal,_xlfn.XLOOKUP($A510,Output_Mac!$A:$A,Output_Mac!L:L,""),
_xlpm.MyAuditVal,_xlfn.XLOOKUP($A510,My_Audit!$A:$A,My_Audit!K:K,""),
_xlfn.IFS(_xlpm.MyAuditVal&lt;&gt;"",UPPER(_xlpm.MyAuditVal),_xlpm.MacVal&lt;&gt;"",_xlpm.MacVal,_xlpm.CSVVal&lt;&gt;"",_xlpm.CSVVal
)),"")</f>
        <v/>
      </c>
      <c r="M510" s="2" t="str" cm="1">
        <f t="array" ref="M510">IFERROR(_xlfn.LET(
_xlpm.CSVVal,_xlfn.XLOOKUP($A510,CSV!$A:$A,CSV!Q:Q,""),
_xlpm.MacVal,_xlfn.XLOOKUP($A510,Output_Mac!$A:$A,Output_Mac!M:M,""),
_xlpm.MyAuditVal,_xlfn.XLOOKUP($A510,My_Audit!$A:$A,My_Audit!L:L,""),
_xlfn.IFS(_xlpm.MyAuditVal&lt;&gt;"",UPPER(_xlpm.MyAuditVal),_xlpm.MacVal&lt;&gt;"",_xlpm.MacVal,_xlpm.CSVVal&lt;&gt;"",_xlpm.CSVVal
)),"")</f>
        <v/>
      </c>
      <c r="O510" s="2" t="str">
        <f>_xlfn.LET(
    _xlpm.CSVVal, _xlfn.XLOOKUP($A510, CSV!$A:$A, CSV!AF:AF, ""),
    _xlpm.MacVal, _xlfn.XLOOKUP($A510, Output_Mac!$A:$A, Output_Mac!S:S, ""),
    _xlpm.MyAuditVal, _xlfn.XLOOKUP($A510, My_Audit!$A:$A, My_Audit!P:P, ""),
    _xlfn.TEXTJOIN(", ", TRUE, _xlpm.MyAuditVal, _xlpm.MacVal, _xlpm.CSVVal)
)</f>
        <v/>
      </c>
      <c r="P510" s="2" t="str" cm="1">
        <f t="array" ref="P510">IFERROR(_xlfn.LET(
_xlpm.CSVVal,_xlfn.XLOOKUP($A510,CSV!$A:$A,CSV!AG:AG,""),
_xlpm.MacVal,_xlfn.XLOOKUP($A510,Output_Mac!$A:$A,Output_Mac!T:T,""),
_xlpm.MyAuditVal,_xlfn.XLOOKUP($A510,My_Audit!$A:$A,My_Audit!Q:Q,""),
_xlfn.IFS(_xlpm.MyAuditVal&lt;&gt;"",UPPER(_xlpm.MyAuditVal),_xlpm.MacVal&lt;&gt;"",_xlpm.MacVal,_xlpm.CSVVal&lt;&gt;"",_xlpm.CSVVal
)),"No")</f>
        <v>No</v>
      </c>
      <c r="Q510" s="2" t="str" cm="1">
        <f t="array" ref="Q510">IFERROR(_xlfn.LET(
_xlpm.CSVVal,_xlfn.XLOOKUP($A510,CSV!$A:$A,CSV!AH:AH,""),
_xlpm.MacVal,_xlfn.XLOOKUP($A510,Output_Mac!$A:$A,Output_Mac!U:U,""),
_xlpm.MyAuditVal,_xlfn.XLOOKUP($A510,My_Audit!$A:$A,My_Audit!R:R,""),
_xlfn.IFS(_xlpm.MyAuditVal&lt;&gt;"",UPPER(_xlpm.MyAuditVal),_xlpm.MacVal&lt;&gt;"",_xlpm.MacVal,_xlpm.CSVVal&lt;&gt;"",_xlpm.CSVVal
)),"")</f>
        <v/>
      </c>
    </row>
    <row r="511" spans="1:17">
      <c r="A511" s="2" t="str">
        <f>_xlfn.TEXTJOIN("",TRUE,Input!$B$2,ROW(My_Audit!A510))</f>
        <v>XX510</v>
      </c>
      <c r="B511" s="2" t="str">
        <f>_xlfn.TEXTJOIN("-",TRUE,"ITD",Input!$A$2,A511)</f>
        <v>ITD-SHRXXX-XX510</v>
      </c>
      <c r="C511" s="2" t="str" cm="1">
        <f t="array" ref="C511">IFERROR(_xlfn.LET(
_xlpm.CSVVal,_xlfn.XLOOKUP($A511,CSV!$A:$A,CSV!B:B,""),
_xlpm.MacVal,_xlfn.XLOOKUP($A511,Output_Mac!$A:$A,Output_Mac!B:B,""),
_xlpm.MyAuditVal,_xlfn.XLOOKUP($A511,My_Audit!$A:$A,My_Audit!B:B,""),
_xlfn.IFS(_xlpm.MyAuditVal&lt;&gt;"",UPPER(_xlpm.MyAuditVal),_xlpm.MacVal&lt;&gt;"",_xlpm.MacVal,_xlpm.CSVVal&lt;&gt;"",_xlpm.CSVVal
)),"")</f>
        <v/>
      </c>
      <c r="D511" s="2" t="str" cm="1">
        <f t="array" ref="D511">IFERROR(_xlfn.LET(
_xlpm.CSVVal,_xlfn.XLOOKUP($A511,CSV!$A:$A,CSV!D:D,""),
_xlpm.MacVal,_xlfn.XLOOKUP($A511,Output_Mac!$A:$A,Output_Mac!C:C,""),
_xlpm.MyAuditVal,_xlfn.XLOOKUP($A511,My_Audit!$A:$A,My_Audit!C:C,""),
_xlfn.IFS(_xlpm.MyAuditVal&lt;&gt;"",_xlpm.MyAuditVal,_xlpm.MacVal&lt;&gt;"",_xlpm.MacVal,_xlpm.CSVVal&lt;&gt;"",_xlpm.CSVVal
)),"")</f>
        <v/>
      </c>
      <c r="E511" s="2" t="str">
        <f>_xlfn.XLOOKUP(A511,My_Audit!A:A,My_Audit!D:D,"")&amp;""</f>
        <v/>
      </c>
      <c r="F511" s="2" t="str" cm="1">
        <f t="array" ref="F511">IFERROR(_xlfn.LET(
_xlpm.CSVVal,_xlfn.XLOOKUP($A511,CSV!$A:$A,CSV!F:F,""),
_xlpm.MacVal,_xlfn.XLOOKUP($A511,Output_Mac!$A:$A,Output_Mac!E:E,""),
_xlpm.MyAuditVal,_xlfn.XLOOKUP($A511,My_Audit!$A:$A,My_Audit!E:E,""),
_xlfn.IFS(_xlpm.MyAuditVal&lt;&gt;"",_xlpm.MyAuditVal,_xlpm.MacVal&lt;&gt;"",_xlpm.MacVal,_xlpm.CSVVal&lt;&gt;"",_xlpm.CSVVal
)),"")</f>
        <v/>
      </c>
      <c r="G511" s="2" t="str" cm="1">
        <f t="array" ref="G511">IFERROR(_xlfn.LET(
_xlpm.CSVVal,_xlfn.XLOOKUP($A511,CSV!$A:$A,CSV!G:G,""),
_xlpm.MacVal,_xlfn.XLOOKUP($A511,Output_Mac!$A:$A,Output_Mac!F:F,""),
_xlpm.MyAuditVal,_xlfn.XLOOKUP($A511,My_Audit!$A:$A,My_Audit!F:F,""),
_xlfn.IFS(_xlpm.MyAuditVal&lt;&gt;"",_xlpm.MyAuditVal,_xlpm.MacVal&lt;&gt;"",_xlpm.MacVal,_xlpm.CSVVal&lt;&gt;"",PROPER(_xlpm.CSVVal)
)),"")</f>
        <v/>
      </c>
      <c r="H511" s="2" t="str" cm="1">
        <f t="array" ref="H511">IFERROR(_xlfn.LET(
_xlpm.CSVVal,_xlfn.XLOOKUP($A511,CSV!$A:$A,CSV!H:H,""),
_xlpm.MacVal,_xlfn.XLOOKUP($A511,Output_Mac!$A:$A,Output_Mac!H:H,""),
_xlpm.MyAuditVal,_xlfn.XLOOKUP($A511,My_Audit!$A:$A,My_Audit!G:G,""),
_xlfn.IFS(_xlpm.MyAuditVal&lt;&gt;"",_xlpm.MyAuditVal,_xlpm.MacVal&lt;&gt;"",_xlpm.MacVal,_xlpm.CSVVal&lt;&gt;"",_xlpm.CSVVal
)),"")</f>
        <v/>
      </c>
      <c r="I511" s="2" t="str">
        <f>_xlfn.XLOOKUP(A511,Output_Mac!A:A,Output_Mac!I:I,"")</f>
        <v/>
      </c>
      <c r="J511" s="2" t="str" cm="1">
        <f t="array" ref="J511">IFERROR(_xlfn.LET(
_xlpm.CSVVal,_xlfn.XLOOKUP($A511,CSV!$A:$A,CSV!I:I,""),
_xlpm.MacVal,_xlfn.XLOOKUP($A511,Output_Mac!$A:$A,Output_Mac!J:J,""),
_xlpm.MyAuditVal,_xlfn.XLOOKUP($A511,My_Audit!$A:$A,My_Audit!I:I,""),
_xlfn.IFS(_xlpm.MyAuditVal&lt;&gt;"",UPPER(_xlpm.MyAuditVal),_xlpm.MacVal&lt;&gt;"",_xlpm.MacVal,_xlpm.CSVVal&lt;&gt;"",_xlpm.CSVVal
)),"")</f>
        <v/>
      </c>
      <c r="K511" s="2" t="str" cm="1">
        <f t="array" ref="K511">IFERROR(_xlfn.LET(
_xlpm.CSVVal,_xlfn.XLOOKUP($A511,CSV!$A:$A,CSV!K:K,""),
_xlpm.MacVal,_xlfn.XLOOKUP($A511,Output_Mac!$A:$A,Output_Mac!K:K,""),
_xlpm.MyAuditVal,_xlfn.XLOOKUP($A511,My_Audit!$A:$A,My_Audit!J:J,""),
_xlfn.IFS(_xlpm.MyAuditVal&lt;&gt;"",UPPER(_xlpm.MyAuditVal),_xlpm.MacVal&lt;&gt;"",_xlpm.MacVal,_xlpm.CSVVal&lt;&gt;"",_xlpm.CSVVal
)),"")</f>
        <v/>
      </c>
      <c r="L511" s="2" t="str" cm="1">
        <f t="array" ref="L511">IFERROR(_xlfn.LET(
_xlpm.CSVVal,_xlfn.XLOOKUP($A511,CSV!$A:$A,CSV!P:P,""),
_xlpm.MacVal,_xlfn.XLOOKUP($A511,Output_Mac!$A:$A,Output_Mac!L:L,""),
_xlpm.MyAuditVal,_xlfn.XLOOKUP($A511,My_Audit!$A:$A,My_Audit!K:K,""),
_xlfn.IFS(_xlpm.MyAuditVal&lt;&gt;"",UPPER(_xlpm.MyAuditVal),_xlpm.MacVal&lt;&gt;"",_xlpm.MacVal,_xlpm.CSVVal&lt;&gt;"",_xlpm.CSVVal
)),"")</f>
        <v/>
      </c>
      <c r="M511" s="2" t="str" cm="1">
        <f t="array" ref="M511">IFERROR(_xlfn.LET(
_xlpm.CSVVal,_xlfn.XLOOKUP($A511,CSV!$A:$A,CSV!Q:Q,""),
_xlpm.MacVal,_xlfn.XLOOKUP($A511,Output_Mac!$A:$A,Output_Mac!M:M,""),
_xlpm.MyAuditVal,_xlfn.XLOOKUP($A511,My_Audit!$A:$A,My_Audit!L:L,""),
_xlfn.IFS(_xlpm.MyAuditVal&lt;&gt;"",UPPER(_xlpm.MyAuditVal),_xlpm.MacVal&lt;&gt;"",_xlpm.MacVal,_xlpm.CSVVal&lt;&gt;"",_xlpm.CSVVal
)),"")</f>
        <v/>
      </c>
      <c r="O511" s="2" t="str">
        <f>_xlfn.LET(
    _xlpm.CSVVal, _xlfn.XLOOKUP($A511, CSV!$A:$A, CSV!AF:AF, ""),
    _xlpm.MacVal, _xlfn.XLOOKUP($A511, Output_Mac!$A:$A, Output_Mac!S:S, ""),
    _xlpm.MyAuditVal, _xlfn.XLOOKUP($A511, My_Audit!$A:$A, My_Audit!P:P, ""),
    _xlfn.TEXTJOIN(", ", TRUE, _xlpm.MyAuditVal, _xlpm.MacVal, _xlpm.CSVVal)
)</f>
        <v/>
      </c>
      <c r="P511" s="2" t="str" cm="1">
        <f t="array" ref="P511">IFERROR(_xlfn.LET(
_xlpm.CSVVal,_xlfn.XLOOKUP($A511,CSV!$A:$A,CSV!AG:AG,""),
_xlpm.MacVal,_xlfn.XLOOKUP($A511,Output_Mac!$A:$A,Output_Mac!T:T,""),
_xlpm.MyAuditVal,_xlfn.XLOOKUP($A511,My_Audit!$A:$A,My_Audit!Q:Q,""),
_xlfn.IFS(_xlpm.MyAuditVal&lt;&gt;"",UPPER(_xlpm.MyAuditVal),_xlpm.MacVal&lt;&gt;"",_xlpm.MacVal,_xlpm.CSVVal&lt;&gt;"",_xlpm.CSVVal
)),"No")</f>
        <v>No</v>
      </c>
      <c r="Q511" s="2" t="str" cm="1">
        <f t="array" ref="Q511">IFERROR(_xlfn.LET(
_xlpm.CSVVal,_xlfn.XLOOKUP($A511,CSV!$A:$A,CSV!AH:AH,""),
_xlpm.MacVal,_xlfn.XLOOKUP($A511,Output_Mac!$A:$A,Output_Mac!U:U,""),
_xlpm.MyAuditVal,_xlfn.XLOOKUP($A511,My_Audit!$A:$A,My_Audit!R:R,""),
_xlfn.IFS(_xlpm.MyAuditVal&lt;&gt;"",UPPER(_xlpm.MyAuditVal),_xlpm.MacVal&lt;&gt;"",_xlpm.MacVal,_xlpm.CSVVal&lt;&gt;"",_xlpm.CSVVal
)),"")</f>
        <v/>
      </c>
    </row>
    <row r="512" spans="1:17">
      <c r="A512" s="2" t="str">
        <f>_xlfn.TEXTJOIN("",TRUE,Input!$B$2,ROW(My_Audit!A511))</f>
        <v>XX511</v>
      </c>
      <c r="B512" s="2" t="str">
        <f>_xlfn.TEXTJOIN("-",TRUE,"ITD",Input!$A$2,A512)</f>
        <v>ITD-SHRXXX-XX511</v>
      </c>
      <c r="C512" s="2" t="str" cm="1">
        <f t="array" ref="C512">IFERROR(_xlfn.LET(
_xlpm.CSVVal,_xlfn.XLOOKUP($A512,CSV!$A:$A,CSV!B:B,""),
_xlpm.MacVal,_xlfn.XLOOKUP($A512,Output_Mac!$A:$A,Output_Mac!B:B,""),
_xlpm.MyAuditVal,_xlfn.XLOOKUP($A512,My_Audit!$A:$A,My_Audit!B:B,""),
_xlfn.IFS(_xlpm.MyAuditVal&lt;&gt;"",UPPER(_xlpm.MyAuditVal),_xlpm.MacVal&lt;&gt;"",_xlpm.MacVal,_xlpm.CSVVal&lt;&gt;"",_xlpm.CSVVal
)),"")</f>
        <v/>
      </c>
      <c r="D512" s="2" t="str" cm="1">
        <f t="array" ref="D512">IFERROR(_xlfn.LET(
_xlpm.CSVVal,_xlfn.XLOOKUP($A512,CSV!$A:$A,CSV!D:D,""),
_xlpm.MacVal,_xlfn.XLOOKUP($A512,Output_Mac!$A:$A,Output_Mac!C:C,""),
_xlpm.MyAuditVal,_xlfn.XLOOKUP($A512,My_Audit!$A:$A,My_Audit!C:C,""),
_xlfn.IFS(_xlpm.MyAuditVal&lt;&gt;"",_xlpm.MyAuditVal,_xlpm.MacVal&lt;&gt;"",_xlpm.MacVal,_xlpm.CSVVal&lt;&gt;"",_xlpm.CSVVal
)),"")</f>
        <v/>
      </c>
      <c r="E512" s="2" t="str">
        <f>_xlfn.XLOOKUP(A512,My_Audit!A:A,My_Audit!D:D,"")&amp;""</f>
        <v/>
      </c>
      <c r="F512" s="2" t="str" cm="1">
        <f t="array" ref="F512">IFERROR(_xlfn.LET(
_xlpm.CSVVal,_xlfn.XLOOKUP($A512,CSV!$A:$A,CSV!F:F,""),
_xlpm.MacVal,_xlfn.XLOOKUP($A512,Output_Mac!$A:$A,Output_Mac!E:E,""),
_xlpm.MyAuditVal,_xlfn.XLOOKUP($A512,My_Audit!$A:$A,My_Audit!E:E,""),
_xlfn.IFS(_xlpm.MyAuditVal&lt;&gt;"",_xlpm.MyAuditVal,_xlpm.MacVal&lt;&gt;"",_xlpm.MacVal,_xlpm.CSVVal&lt;&gt;"",_xlpm.CSVVal
)),"")</f>
        <v/>
      </c>
      <c r="G512" s="2" t="str" cm="1">
        <f t="array" ref="G512">IFERROR(_xlfn.LET(
_xlpm.CSVVal,_xlfn.XLOOKUP($A512,CSV!$A:$A,CSV!G:G,""),
_xlpm.MacVal,_xlfn.XLOOKUP($A512,Output_Mac!$A:$A,Output_Mac!F:F,""),
_xlpm.MyAuditVal,_xlfn.XLOOKUP($A512,My_Audit!$A:$A,My_Audit!F:F,""),
_xlfn.IFS(_xlpm.MyAuditVal&lt;&gt;"",_xlpm.MyAuditVal,_xlpm.MacVal&lt;&gt;"",_xlpm.MacVal,_xlpm.CSVVal&lt;&gt;"",PROPER(_xlpm.CSVVal)
)),"")</f>
        <v/>
      </c>
      <c r="H512" s="2" t="str" cm="1">
        <f t="array" ref="H512">IFERROR(_xlfn.LET(
_xlpm.CSVVal,_xlfn.XLOOKUP($A512,CSV!$A:$A,CSV!H:H,""),
_xlpm.MacVal,_xlfn.XLOOKUP($A512,Output_Mac!$A:$A,Output_Mac!H:H,""),
_xlpm.MyAuditVal,_xlfn.XLOOKUP($A512,My_Audit!$A:$A,My_Audit!G:G,""),
_xlfn.IFS(_xlpm.MyAuditVal&lt;&gt;"",_xlpm.MyAuditVal,_xlpm.MacVal&lt;&gt;"",_xlpm.MacVal,_xlpm.CSVVal&lt;&gt;"",_xlpm.CSVVal
)),"")</f>
        <v/>
      </c>
      <c r="I512" s="2" t="str">
        <f>_xlfn.XLOOKUP(A512,Output_Mac!A:A,Output_Mac!I:I,"")</f>
        <v/>
      </c>
      <c r="J512" s="2" t="str" cm="1">
        <f t="array" ref="J512">IFERROR(_xlfn.LET(
_xlpm.CSVVal,_xlfn.XLOOKUP($A512,CSV!$A:$A,CSV!I:I,""),
_xlpm.MacVal,_xlfn.XLOOKUP($A512,Output_Mac!$A:$A,Output_Mac!J:J,""),
_xlpm.MyAuditVal,_xlfn.XLOOKUP($A512,My_Audit!$A:$A,My_Audit!I:I,""),
_xlfn.IFS(_xlpm.MyAuditVal&lt;&gt;"",UPPER(_xlpm.MyAuditVal),_xlpm.MacVal&lt;&gt;"",_xlpm.MacVal,_xlpm.CSVVal&lt;&gt;"",_xlpm.CSVVal
)),"")</f>
        <v/>
      </c>
      <c r="K512" s="2" t="str" cm="1">
        <f t="array" ref="K512">IFERROR(_xlfn.LET(
_xlpm.CSVVal,_xlfn.XLOOKUP($A512,CSV!$A:$A,CSV!K:K,""),
_xlpm.MacVal,_xlfn.XLOOKUP($A512,Output_Mac!$A:$A,Output_Mac!K:K,""),
_xlpm.MyAuditVal,_xlfn.XLOOKUP($A512,My_Audit!$A:$A,My_Audit!J:J,""),
_xlfn.IFS(_xlpm.MyAuditVal&lt;&gt;"",UPPER(_xlpm.MyAuditVal),_xlpm.MacVal&lt;&gt;"",_xlpm.MacVal,_xlpm.CSVVal&lt;&gt;"",_xlpm.CSVVal
)),"")</f>
        <v/>
      </c>
      <c r="L512" s="2" t="str" cm="1">
        <f t="array" ref="L512">IFERROR(_xlfn.LET(
_xlpm.CSVVal,_xlfn.XLOOKUP($A512,CSV!$A:$A,CSV!P:P,""),
_xlpm.MacVal,_xlfn.XLOOKUP($A512,Output_Mac!$A:$A,Output_Mac!L:L,""),
_xlpm.MyAuditVal,_xlfn.XLOOKUP($A512,My_Audit!$A:$A,My_Audit!K:K,""),
_xlfn.IFS(_xlpm.MyAuditVal&lt;&gt;"",UPPER(_xlpm.MyAuditVal),_xlpm.MacVal&lt;&gt;"",_xlpm.MacVal,_xlpm.CSVVal&lt;&gt;"",_xlpm.CSVVal
)),"")</f>
        <v/>
      </c>
      <c r="M512" s="2" t="str" cm="1">
        <f t="array" ref="M512">IFERROR(_xlfn.LET(
_xlpm.CSVVal,_xlfn.XLOOKUP($A512,CSV!$A:$A,CSV!Q:Q,""),
_xlpm.MacVal,_xlfn.XLOOKUP($A512,Output_Mac!$A:$A,Output_Mac!M:M,""),
_xlpm.MyAuditVal,_xlfn.XLOOKUP($A512,My_Audit!$A:$A,My_Audit!L:L,""),
_xlfn.IFS(_xlpm.MyAuditVal&lt;&gt;"",UPPER(_xlpm.MyAuditVal),_xlpm.MacVal&lt;&gt;"",_xlpm.MacVal,_xlpm.CSVVal&lt;&gt;"",_xlpm.CSVVal
)),"")</f>
        <v/>
      </c>
      <c r="O512" s="2" t="str">
        <f>_xlfn.LET(
    _xlpm.CSVVal, _xlfn.XLOOKUP($A512, CSV!$A:$A, CSV!AF:AF, ""),
    _xlpm.MacVal, _xlfn.XLOOKUP($A512, Output_Mac!$A:$A, Output_Mac!S:S, ""),
    _xlpm.MyAuditVal, _xlfn.XLOOKUP($A512, My_Audit!$A:$A, My_Audit!P:P, ""),
    _xlfn.TEXTJOIN(", ", TRUE, _xlpm.MyAuditVal, _xlpm.MacVal, _xlpm.CSVVal)
)</f>
        <v/>
      </c>
      <c r="P512" s="2" t="str" cm="1">
        <f t="array" ref="P512">IFERROR(_xlfn.LET(
_xlpm.CSVVal,_xlfn.XLOOKUP($A512,CSV!$A:$A,CSV!AG:AG,""),
_xlpm.MacVal,_xlfn.XLOOKUP($A512,Output_Mac!$A:$A,Output_Mac!T:T,""),
_xlpm.MyAuditVal,_xlfn.XLOOKUP($A512,My_Audit!$A:$A,My_Audit!Q:Q,""),
_xlfn.IFS(_xlpm.MyAuditVal&lt;&gt;"",UPPER(_xlpm.MyAuditVal),_xlpm.MacVal&lt;&gt;"",_xlpm.MacVal,_xlpm.CSVVal&lt;&gt;"",_xlpm.CSVVal
)),"No")</f>
        <v>No</v>
      </c>
      <c r="Q512" s="2" t="str" cm="1">
        <f t="array" ref="Q512">IFERROR(_xlfn.LET(
_xlpm.CSVVal,_xlfn.XLOOKUP($A512,CSV!$A:$A,CSV!AH:AH,""),
_xlpm.MacVal,_xlfn.XLOOKUP($A512,Output_Mac!$A:$A,Output_Mac!U:U,""),
_xlpm.MyAuditVal,_xlfn.XLOOKUP($A512,My_Audit!$A:$A,My_Audit!R:R,""),
_xlfn.IFS(_xlpm.MyAuditVal&lt;&gt;"",UPPER(_xlpm.MyAuditVal),_xlpm.MacVal&lt;&gt;"",_xlpm.MacVal,_xlpm.CSVVal&lt;&gt;"",_xlpm.CSVVal
)),"")</f>
        <v/>
      </c>
    </row>
    <row r="513" spans="1:17">
      <c r="A513" s="2" t="str">
        <f>_xlfn.TEXTJOIN("",TRUE,Input!$B$2,ROW(My_Audit!A512))</f>
        <v>XX512</v>
      </c>
      <c r="B513" s="2" t="str">
        <f>_xlfn.TEXTJOIN("-",TRUE,"ITD",Input!$A$2,A513)</f>
        <v>ITD-SHRXXX-XX512</v>
      </c>
      <c r="C513" s="2" t="str" cm="1">
        <f t="array" ref="C513">IFERROR(_xlfn.LET(
_xlpm.CSVVal,_xlfn.XLOOKUP($A513,CSV!$A:$A,CSV!B:B,""),
_xlpm.MacVal,_xlfn.XLOOKUP($A513,Output_Mac!$A:$A,Output_Mac!B:B,""),
_xlpm.MyAuditVal,_xlfn.XLOOKUP($A513,My_Audit!$A:$A,My_Audit!B:B,""),
_xlfn.IFS(_xlpm.MyAuditVal&lt;&gt;"",UPPER(_xlpm.MyAuditVal),_xlpm.MacVal&lt;&gt;"",_xlpm.MacVal,_xlpm.CSVVal&lt;&gt;"",_xlpm.CSVVal
)),"")</f>
        <v/>
      </c>
      <c r="D513" s="2" t="str" cm="1">
        <f t="array" ref="D513">IFERROR(_xlfn.LET(
_xlpm.CSVVal,_xlfn.XLOOKUP($A513,CSV!$A:$A,CSV!D:D,""),
_xlpm.MacVal,_xlfn.XLOOKUP($A513,Output_Mac!$A:$A,Output_Mac!C:C,""),
_xlpm.MyAuditVal,_xlfn.XLOOKUP($A513,My_Audit!$A:$A,My_Audit!C:C,""),
_xlfn.IFS(_xlpm.MyAuditVal&lt;&gt;"",_xlpm.MyAuditVal,_xlpm.MacVal&lt;&gt;"",_xlpm.MacVal,_xlpm.CSVVal&lt;&gt;"",_xlpm.CSVVal
)),"")</f>
        <v/>
      </c>
      <c r="E513" s="2" t="str">
        <f>_xlfn.XLOOKUP(A513,My_Audit!A:A,My_Audit!D:D,"")&amp;""</f>
        <v/>
      </c>
      <c r="F513" s="2" t="str" cm="1">
        <f t="array" ref="F513">IFERROR(_xlfn.LET(
_xlpm.CSVVal,_xlfn.XLOOKUP($A513,CSV!$A:$A,CSV!F:F,""),
_xlpm.MacVal,_xlfn.XLOOKUP($A513,Output_Mac!$A:$A,Output_Mac!E:E,""),
_xlpm.MyAuditVal,_xlfn.XLOOKUP($A513,My_Audit!$A:$A,My_Audit!E:E,""),
_xlfn.IFS(_xlpm.MyAuditVal&lt;&gt;"",_xlpm.MyAuditVal,_xlpm.MacVal&lt;&gt;"",_xlpm.MacVal,_xlpm.CSVVal&lt;&gt;"",_xlpm.CSVVal
)),"")</f>
        <v/>
      </c>
      <c r="G513" s="2" t="str" cm="1">
        <f t="array" ref="G513">IFERROR(_xlfn.LET(
_xlpm.CSVVal,_xlfn.XLOOKUP($A513,CSV!$A:$A,CSV!G:G,""),
_xlpm.MacVal,_xlfn.XLOOKUP($A513,Output_Mac!$A:$A,Output_Mac!F:F,""),
_xlpm.MyAuditVal,_xlfn.XLOOKUP($A513,My_Audit!$A:$A,My_Audit!F:F,""),
_xlfn.IFS(_xlpm.MyAuditVal&lt;&gt;"",_xlpm.MyAuditVal,_xlpm.MacVal&lt;&gt;"",_xlpm.MacVal,_xlpm.CSVVal&lt;&gt;"",PROPER(_xlpm.CSVVal)
)),"")</f>
        <v/>
      </c>
      <c r="H513" s="2" t="str" cm="1">
        <f t="array" ref="H513">IFERROR(_xlfn.LET(
_xlpm.CSVVal,_xlfn.XLOOKUP($A513,CSV!$A:$A,CSV!H:H,""),
_xlpm.MacVal,_xlfn.XLOOKUP($A513,Output_Mac!$A:$A,Output_Mac!H:H,""),
_xlpm.MyAuditVal,_xlfn.XLOOKUP($A513,My_Audit!$A:$A,My_Audit!G:G,""),
_xlfn.IFS(_xlpm.MyAuditVal&lt;&gt;"",_xlpm.MyAuditVal,_xlpm.MacVal&lt;&gt;"",_xlpm.MacVal,_xlpm.CSVVal&lt;&gt;"",_xlpm.CSVVal
)),"")</f>
        <v/>
      </c>
      <c r="I513" s="2" t="str">
        <f>_xlfn.XLOOKUP(A513,Output_Mac!A:A,Output_Mac!I:I,"")</f>
        <v/>
      </c>
      <c r="J513" s="2" t="str" cm="1">
        <f t="array" ref="J513">IFERROR(_xlfn.LET(
_xlpm.CSVVal,_xlfn.XLOOKUP($A513,CSV!$A:$A,CSV!I:I,""),
_xlpm.MacVal,_xlfn.XLOOKUP($A513,Output_Mac!$A:$A,Output_Mac!J:J,""),
_xlpm.MyAuditVal,_xlfn.XLOOKUP($A513,My_Audit!$A:$A,My_Audit!I:I,""),
_xlfn.IFS(_xlpm.MyAuditVal&lt;&gt;"",UPPER(_xlpm.MyAuditVal),_xlpm.MacVal&lt;&gt;"",_xlpm.MacVal,_xlpm.CSVVal&lt;&gt;"",_xlpm.CSVVal
)),"")</f>
        <v/>
      </c>
      <c r="K513" s="2" t="str" cm="1">
        <f t="array" ref="K513">IFERROR(_xlfn.LET(
_xlpm.CSVVal,_xlfn.XLOOKUP($A513,CSV!$A:$A,CSV!K:K,""),
_xlpm.MacVal,_xlfn.XLOOKUP($A513,Output_Mac!$A:$A,Output_Mac!K:K,""),
_xlpm.MyAuditVal,_xlfn.XLOOKUP($A513,My_Audit!$A:$A,My_Audit!J:J,""),
_xlfn.IFS(_xlpm.MyAuditVal&lt;&gt;"",UPPER(_xlpm.MyAuditVal),_xlpm.MacVal&lt;&gt;"",_xlpm.MacVal,_xlpm.CSVVal&lt;&gt;"",_xlpm.CSVVal
)),"")</f>
        <v/>
      </c>
      <c r="L513" s="2" t="str" cm="1">
        <f t="array" ref="L513">IFERROR(_xlfn.LET(
_xlpm.CSVVal,_xlfn.XLOOKUP($A513,CSV!$A:$A,CSV!P:P,""),
_xlpm.MacVal,_xlfn.XLOOKUP($A513,Output_Mac!$A:$A,Output_Mac!L:L,""),
_xlpm.MyAuditVal,_xlfn.XLOOKUP($A513,My_Audit!$A:$A,My_Audit!K:K,""),
_xlfn.IFS(_xlpm.MyAuditVal&lt;&gt;"",UPPER(_xlpm.MyAuditVal),_xlpm.MacVal&lt;&gt;"",_xlpm.MacVal,_xlpm.CSVVal&lt;&gt;"",_xlpm.CSVVal
)),"")</f>
        <v/>
      </c>
      <c r="M513" s="2" t="str" cm="1">
        <f t="array" ref="M513">IFERROR(_xlfn.LET(
_xlpm.CSVVal,_xlfn.XLOOKUP($A513,CSV!$A:$A,CSV!Q:Q,""),
_xlpm.MacVal,_xlfn.XLOOKUP($A513,Output_Mac!$A:$A,Output_Mac!M:M,""),
_xlpm.MyAuditVal,_xlfn.XLOOKUP($A513,My_Audit!$A:$A,My_Audit!L:L,""),
_xlfn.IFS(_xlpm.MyAuditVal&lt;&gt;"",UPPER(_xlpm.MyAuditVal),_xlpm.MacVal&lt;&gt;"",_xlpm.MacVal,_xlpm.CSVVal&lt;&gt;"",_xlpm.CSVVal
)),"")</f>
        <v/>
      </c>
      <c r="O513" s="2" t="str">
        <f>_xlfn.LET(
    _xlpm.CSVVal, _xlfn.XLOOKUP($A513, CSV!$A:$A, CSV!AF:AF, ""),
    _xlpm.MacVal, _xlfn.XLOOKUP($A513, Output_Mac!$A:$A, Output_Mac!S:S, ""),
    _xlpm.MyAuditVal, _xlfn.XLOOKUP($A513, My_Audit!$A:$A, My_Audit!P:P, ""),
    _xlfn.TEXTJOIN(", ", TRUE, _xlpm.MyAuditVal, _xlpm.MacVal, _xlpm.CSVVal)
)</f>
        <v/>
      </c>
      <c r="P513" s="2" t="str" cm="1">
        <f t="array" ref="P513">IFERROR(_xlfn.LET(
_xlpm.CSVVal,_xlfn.XLOOKUP($A513,CSV!$A:$A,CSV!AG:AG,""),
_xlpm.MacVal,_xlfn.XLOOKUP($A513,Output_Mac!$A:$A,Output_Mac!T:T,""),
_xlpm.MyAuditVal,_xlfn.XLOOKUP($A513,My_Audit!$A:$A,My_Audit!Q:Q,""),
_xlfn.IFS(_xlpm.MyAuditVal&lt;&gt;"",UPPER(_xlpm.MyAuditVal),_xlpm.MacVal&lt;&gt;"",_xlpm.MacVal,_xlpm.CSVVal&lt;&gt;"",_xlpm.CSVVal
)),"No")</f>
        <v>No</v>
      </c>
      <c r="Q513" s="2" t="str" cm="1">
        <f t="array" ref="Q513">IFERROR(_xlfn.LET(
_xlpm.CSVVal,_xlfn.XLOOKUP($A513,CSV!$A:$A,CSV!AH:AH,""),
_xlpm.MacVal,_xlfn.XLOOKUP($A513,Output_Mac!$A:$A,Output_Mac!U:U,""),
_xlpm.MyAuditVal,_xlfn.XLOOKUP($A513,My_Audit!$A:$A,My_Audit!R:R,""),
_xlfn.IFS(_xlpm.MyAuditVal&lt;&gt;"",UPPER(_xlpm.MyAuditVal),_xlpm.MacVal&lt;&gt;"",_xlpm.MacVal,_xlpm.CSVVal&lt;&gt;"",_xlpm.CSVVal
)),"")</f>
        <v/>
      </c>
    </row>
    <row r="514" spans="1:17">
      <c r="A514" s="2" t="str">
        <f>_xlfn.TEXTJOIN("",TRUE,Input!$B$2,ROW(My_Audit!A513))</f>
        <v>XX513</v>
      </c>
      <c r="B514" s="2" t="str">
        <f>_xlfn.TEXTJOIN("-",TRUE,"ITD",Input!$A$2,A514)</f>
        <v>ITD-SHRXXX-XX513</v>
      </c>
      <c r="C514" s="2" t="str" cm="1">
        <f t="array" ref="C514">IFERROR(_xlfn.LET(
_xlpm.CSVVal,_xlfn.XLOOKUP($A514,CSV!$A:$A,CSV!B:B,""),
_xlpm.MacVal,_xlfn.XLOOKUP($A514,Output_Mac!$A:$A,Output_Mac!B:B,""),
_xlpm.MyAuditVal,_xlfn.XLOOKUP($A514,My_Audit!$A:$A,My_Audit!B:B,""),
_xlfn.IFS(_xlpm.MyAuditVal&lt;&gt;"",UPPER(_xlpm.MyAuditVal),_xlpm.MacVal&lt;&gt;"",_xlpm.MacVal,_xlpm.CSVVal&lt;&gt;"",_xlpm.CSVVal
)),"")</f>
        <v/>
      </c>
      <c r="D514" s="2" t="str" cm="1">
        <f t="array" ref="D514">IFERROR(_xlfn.LET(
_xlpm.CSVVal,_xlfn.XLOOKUP($A514,CSV!$A:$A,CSV!D:D,""),
_xlpm.MacVal,_xlfn.XLOOKUP($A514,Output_Mac!$A:$A,Output_Mac!C:C,""),
_xlpm.MyAuditVal,_xlfn.XLOOKUP($A514,My_Audit!$A:$A,My_Audit!C:C,""),
_xlfn.IFS(_xlpm.MyAuditVal&lt;&gt;"",_xlpm.MyAuditVal,_xlpm.MacVal&lt;&gt;"",_xlpm.MacVal,_xlpm.CSVVal&lt;&gt;"",_xlpm.CSVVal
)),"")</f>
        <v/>
      </c>
      <c r="E514" s="2" t="str">
        <f>_xlfn.XLOOKUP(A514,My_Audit!A:A,My_Audit!D:D,"")&amp;""</f>
        <v/>
      </c>
      <c r="F514" s="2" t="str" cm="1">
        <f t="array" ref="F514">IFERROR(_xlfn.LET(
_xlpm.CSVVal,_xlfn.XLOOKUP($A514,CSV!$A:$A,CSV!F:F,""),
_xlpm.MacVal,_xlfn.XLOOKUP($A514,Output_Mac!$A:$A,Output_Mac!E:E,""),
_xlpm.MyAuditVal,_xlfn.XLOOKUP($A514,My_Audit!$A:$A,My_Audit!E:E,""),
_xlfn.IFS(_xlpm.MyAuditVal&lt;&gt;"",_xlpm.MyAuditVal,_xlpm.MacVal&lt;&gt;"",_xlpm.MacVal,_xlpm.CSVVal&lt;&gt;"",_xlpm.CSVVal
)),"")</f>
        <v/>
      </c>
      <c r="G514" s="2" t="str" cm="1">
        <f t="array" ref="G514">IFERROR(_xlfn.LET(
_xlpm.CSVVal,_xlfn.XLOOKUP($A514,CSV!$A:$A,CSV!G:G,""),
_xlpm.MacVal,_xlfn.XLOOKUP($A514,Output_Mac!$A:$A,Output_Mac!F:F,""),
_xlpm.MyAuditVal,_xlfn.XLOOKUP($A514,My_Audit!$A:$A,My_Audit!F:F,""),
_xlfn.IFS(_xlpm.MyAuditVal&lt;&gt;"",_xlpm.MyAuditVal,_xlpm.MacVal&lt;&gt;"",_xlpm.MacVal,_xlpm.CSVVal&lt;&gt;"",PROPER(_xlpm.CSVVal)
)),"")</f>
        <v/>
      </c>
      <c r="H514" s="2" t="str" cm="1">
        <f t="array" ref="H514">IFERROR(_xlfn.LET(
_xlpm.CSVVal,_xlfn.XLOOKUP($A514,CSV!$A:$A,CSV!H:H,""),
_xlpm.MacVal,_xlfn.XLOOKUP($A514,Output_Mac!$A:$A,Output_Mac!H:H,""),
_xlpm.MyAuditVal,_xlfn.XLOOKUP($A514,My_Audit!$A:$A,My_Audit!G:G,""),
_xlfn.IFS(_xlpm.MyAuditVal&lt;&gt;"",_xlpm.MyAuditVal,_xlpm.MacVal&lt;&gt;"",_xlpm.MacVal,_xlpm.CSVVal&lt;&gt;"",_xlpm.CSVVal
)),"")</f>
        <v/>
      </c>
      <c r="I514" s="2" t="str">
        <f>_xlfn.XLOOKUP(A514,Output_Mac!A:A,Output_Mac!I:I,"")</f>
        <v/>
      </c>
      <c r="J514" s="2" t="str" cm="1">
        <f t="array" ref="J514">IFERROR(_xlfn.LET(
_xlpm.CSVVal,_xlfn.XLOOKUP($A514,CSV!$A:$A,CSV!I:I,""),
_xlpm.MacVal,_xlfn.XLOOKUP($A514,Output_Mac!$A:$A,Output_Mac!J:J,""),
_xlpm.MyAuditVal,_xlfn.XLOOKUP($A514,My_Audit!$A:$A,My_Audit!I:I,""),
_xlfn.IFS(_xlpm.MyAuditVal&lt;&gt;"",UPPER(_xlpm.MyAuditVal),_xlpm.MacVal&lt;&gt;"",_xlpm.MacVal,_xlpm.CSVVal&lt;&gt;"",_xlpm.CSVVal
)),"")</f>
        <v/>
      </c>
      <c r="K514" s="2" t="str" cm="1">
        <f t="array" ref="K514">IFERROR(_xlfn.LET(
_xlpm.CSVVal,_xlfn.XLOOKUP($A514,CSV!$A:$A,CSV!K:K,""),
_xlpm.MacVal,_xlfn.XLOOKUP($A514,Output_Mac!$A:$A,Output_Mac!K:K,""),
_xlpm.MyAuditVal,_xlfn.XLOOKUP($A514,My_Audit!$A:$A,My_Audit!J:J,""),
_xlfn.IFS(_xlpm.MyAuditVal&lt;&gt;"",UPPER(_xlpm.MyAuditVal),_xlpm.MacVal&lt;&gt;"",_xlpm.MacVal,_xlpm.CSVVal&lt;&gt;"",_xlpm.CSVVal
)),"")</f>
        <v/>
      </c>
      <c r="L514" s="2" t="str" cm="1">
        <f t="array" ref="L514">IFERROR(_xlfn.LET(
_xlpm.CSVVal,_xlfn.XLOOKUP($A514,CSV!$A:$A,CSV!P:P,""),
_xlpm.MacVal,_xlfn.XLOOKUP($A514,Output_Mac!$A:$A,Output_Mac!L:L,""),
_xlpm.MyAuditVal,_xlfn.XLOOKUP($A514,My_Audit!$A:$A,My_Audit!K:K,""),
_xlfn.IFS(_xlpm.MyAuditVal&lt;&gt;"",UPPER(_xlpm.MyAuditVal),_xlpm.MacVal&lt;&gt;"",_xlpm.MacVal,_xlpm.CSVVal&lt;&gt;"",_xlpm.CSVVal
)),"")</f>
        <v/>
      </c>
      <c r="M514" s="2" t="str" cm="1">
        <f t="array" ref="M514">IFERROR(_xlfn.LET(
_xlpm.CSVVal,_xlfn.XLOOKUP($A514,CSV!$A:$A,CSV!Q:Q,""),
_xlpm.MacVal,_xlfn.XLOOKUP($A514,Output_Mac!$A:$A,Output_Mac!M:M,""),
_xlpm.MyAuditVal,_xlfn.XLOOKUP($A514,My_Audit!$A:$A,My_Audit!L:L,""),
_xlfn.IFS(_xlpm.MyAuditVal&lt;&gt;"",UPPER(_xlpm.MyAuditVal),_xlpm.MacVal&lt;&gt;"",_xlpm.MacVal,_xlpm.CSVVal&lt;&gt;"",_xlpm.CSVVal
)),"")</f>
        <v/>
      </c>
      <c r="O514" s="2" t="str">
        <f>_xlfn.LET(
    _xlpm.CSVVal, _xlfn.XLOOKUP($A514, CSV!$A:$A, CSV!AF:AF, ""),
    _xlpm.MacVal, _xlfn.XLOOKUP($A514, Output_Mac!$A:$A, Output_Mac!S:S, ""),
    _xlpm.MyAuditVal, _xlfn.XLOOKUP($A514, My_Audit!$A:$A, My_Audit!P:P, ""),
    _xlfn.TEXTJOIN(", ", TRUE, _xlpm.MyAuditVal, _xlpm.MacVal, _xlpm.CSVVal)
)</f>
        <v/>
      </c>
      <c r="P514" s="2" t="str" cm="1">
        <f t="array" ref="P514">IFERROR(_xlfn.LET(
_xlpm.CSVVal,_xlfn.XLOOKUP($A514,CSV!$A:$A,CSV!AG:AG,""),
_xlpm.MacVal,_xlfn.XLOOKUP($A514,Output_Mac!$A:$A,Output_Mac!T:T,""),
_xlpm.MyAuditVal,_xlfn.XLOOKUP($A514,My_Audit!$A:$A,My_Audit!Q:Q,""),
_xlfn.IFS(_xlpm.MyAuditVal&lt;&gt;"",UPPER(_xlpm.MyAuditVal),_xlpm.MacVal&lt;&gt;"",_xlpm.MacVal,_xlpm.CSVVal&lt;&gt;"",_xlpm.CSVVal
)),"No")</f>
        <v>No</v>
      </c>
      <c r="Q514" s="2" t="str" cm="1">
        <f t="array" ref="Q514">IFERROR(_xlfn.LET(
_xlpm.CSVVal,_xlfn.XLOOKUP($A514,CSV!$A:$A,CSV!AH:AH,""),
_xlpm.MacVal,_xlfn.XLOOKUP($A514,Output_Mac!$A:$A,Output_Mac!U:U,""),
_xlpm.MyAuditVal,_xlfn.XLOOKUP($A514,My_Audit!$A:$A,My_Audit!R:R,""),
_xlfn.IFS(_xlpm.MyAuditVal&lt;&gt;"",UPPER(_xlpm.MyAuditVal),_xlpm.MacVal&lt;&gt;"",_xlpm.MacVal,_xlpm.CSVVal&lt;&gt;"",_xlpm.CSVVal
)),"")</f>
        <v/>
      </c>
    </row>
    <row r="515" spans="1:17">
      <c r="A515" s="2" t="str">
        <f>_xlfn.TEXTJOIN("",TRUE,Input!$B$2,ROW(My_Audit!A514))</f>
        <v>XX514</v>
      </c>
      <c r="B515" s="2" t="str">
        <f>_xlfn.TEXTJOIN("-",TRUE,"ITD",Input!$A$2,A515)</f>
        <v>ITD-SHRXXX-XX514</v>
      </c>
      <c r="C515" s="2" t="str" cm="1">
        <f t="array" ref="C515">IFERROR(_xlfn.LET(
_xlpm.CSVVal,_xlfn.XLOOKUP($A515,CSV!$A:$A,CSV!B:B,""),
_xlpm.MacVal,_xlfn.XLOOKUP($A515,Output_Mac!$A:$A,Output_Mac!B:B,""),
_xlpm.MyAuditVal,_xlfn.XLOOKUP($A515,My_Audit!$A:$A,My_Audit!B:B,""),
_xlfn.IFS(_xlpm.MyAuditVal&lt;&gt;"",UPPER(_xlpm.MyAuditVal),_xlpm.MacVal&lt;&gt;"",_xlpm.MacVal,_xlpm.CSVVal&lt;&gt;"",_xlpm.CSVVal
)),"")</f>
        <v/>
      </c>
      <c r="D515" s="2" t="str" cm="1">
        <f t="array" ref="D515">IFERROR(_xlfn.LET(
_xlpm.CSVVal,_xlfn.XLOOKUP($A515,CSV!$A:$A,CSV!D:D,""),
_xlpm.MacVal,_xlfn.XLOOKUP($A515,Output_Mac!$A:$A,Output_Mac!C:C,""),
_xlpm.MyAuditVal,_xlfn.XLOOKUP($A515,My_Audit!$A:$A,My_Audit!C:C,""),
_xlfn.IFS(_xlpm.MyAuditVal&lt;&gt;"",_xlpm.MyAuditVal,_xlpm.MacVal&lt;&gt;"",_xlpm.MacVal,_xlpm.CSVVal&lt;&gt;"",_xlpm.CSVVal
)),"")</f>
        <v/>
      </c>
      <c r="E515" s="2" t="str">
        <f>_xlfn.XLOOKUP(A515,My_Audit!A:A,My_Audit!D:D,"")&amp;""</f>
        <v/>
      </c>
      <c r="F515" s="2" t="str" cm="1">
        <f t="array" ref="F515">IFERROR(_xlfn.LET(
_xlpm.CSVVal,_xlfn.XLOOKUP($A515,CSV!$A:$A,CSV!F:F,""),
_xlpm.MacVal,_xlfn.XLOOKUP($A515,Output_Mac!$A:$A,Output_Mac!E:E,""),
_xlpm.MyAuditVal,_xlfn.XLOOKUP($A515,My_Audit!$A:$A,My_Audit!E:E,""),
_xlfn.IFS(_xlpm.MyAuditVal&lt;&gt;"",_xlpm.MyAuditVal,_xlpm.MacVal&lt;&gt;"",_xlpm.MacVal,_xlpm.CSVVal&lt;&gt;"",_xlpm.CSVVal
)),"")</f>
        <v/>
      </c>
      <c r="G515" s="2" t="str" cm="1">
        <f t="array" ref="G515">IFERROR(_xlfn.LET(
_xlpm.CSVVal,_xlfn.XLOOKUP($A515,CSV!$A:$A,CSV!G:G,""),
_xlpm.MacVal,_xlfn.XLOOKUP($A515,Output_Mac!$A:$A,Output_Mac!F:F,""),
_xlpm.MyAuditVal,_xlfn.XLOOKUP($A515,My_Audit!$A:$A,My_Audit!F:F,""),
_xlfn.IFS(_xlpm.MyAuditVal&lt;&gt;"",_xlpm.MyAuditVal,_xlpm.MacVal&lt;&gt;"",_xlpm.MacVal,_xlpm.CSVVal&lt;&gt;"",PROPER(_xlpm.CSVVal)
)),"")</f>
        <v/>
      </c>
      <c r="H515" s="2" t="str" cm="1">
        <f t="array" ref="H515">IFERROR(_xlfn.LET(
_xlpm.CSVVal,_xlfn.XLOOKUP($A515,CSV!$A:$A,CSV!H:H,""),
_xlpm.MacVal,_xlfn.XLOOKUP($A515,Output_Mac!$A:$A,Output_Mac!H:H,""),
_xlpm.MyAuditVal,_xlfn.XLOOKUP($A515,My_Audit!$A:$A,My_Audit!G:G,""),
_xlfn.IFS(_xlpm.MyAuditVal&lt;&gt;"",_xlpm.MyAuditVal,_xlpm.MacVal&lt;&gt;"",_xlpm.MacVal,_xlpm.CSVVal&lt;&gt;"",_xlpm.CSVVal
)),"")</f>
        <v/>
      </c>
      <c r="I515" s="2" t="str">
        <f>_xlfn.XLOOKUP(A515,Output_Mac!A:A,Output_Mac!I:I,"")</f>
        <v/>
      </c>
      <c r="J515" s="2" t="str" cm="1">
        <f t="array" ref="J515">IFERROR(_xlfn.LET(
_xlpm.CSVVal,_xlfn.XLOOKUP($A515,CSV!$A:$A,CSV!I:I,""),
_xlpm.MacVal,_xlfn.XLOOKUP($A515,Output_Mac!$A:$A,Output_Mac!J:J,""),
_xlpm.MyAuditVal,_xlfn.XLOOKUP($A515,My_Audit!$A:$A,My_Audit!I:I,""),
_xlfn.IFS(_xlpm.MyAuditVal&lt;&gt;"",UPPER(_xlpm.MyAuditVal),_xlpm.MacVal&lt;&gt;"",_xlpm.MacVal,_xlpm.CSVVal&lt;&gt;"",_xlpm.CSVVal
)),"")</f>
        <v/>
      </c>
      <c r="K515" s="2" t="str" cm="1">
        <f t="array" ref="K515">IFERROR(_xlfn.LET(
_xlpm.CSVVal,_xlfn.XLOOKUP($A515,CSV!$A:$A,CSV!K:K,""),
_xlpm.MacVal,_xlfn.XLOOKUP($A515,Output_Mac!$A:$A,Output_Mac!K:K,""),
_xlpm.MyAuditVal,_xlfn.XLOOKUP($A515,My_Audit!$A:$A,My_Audit!J:J,""),
_xlfn.IFS(_xlpm.MyAuditVal&lt;&gt;"",UPPER(_xlpm.MyAuditVal),_xlpm.MacVal&lt;&gt;"",_xlpm.MacVal,_xlpm.CSVVal&lt;&gt;"",_xlpm.CSVVal
)),"")</f>
        <v/>
      </c>
      <c r="L515" s="2" t="str" cm="1">
        <f t="array" ref="L515">IFERROR(_xlfn.LET(
_xlpm.CSVVal,_xlfn.XLOOKUP($A515,CSV!$A:$A,CSV!P:P,""),
_xlpm.MacVal,_xlfn.XLOOKUP($A515,Output_Mac!$A:$A,Output_Mac!L:L,""),
_xlpm.MyAuditVal,_xlfn.XLOOKUP($A515,My_Audit!$A:$A,My_Audit!K:K,""),
_xlfn.IFS(_xlpm.MyAuditVal&lt;&gt;"",UPPER(_xlpm.MyAuditVal),_xlpm.MacVal&lt;&gt;"",_xlpm.MacVal,_xlpm.CSVVal&lt;&gt;"",_xlpm.CSVVal
)),"")</f>
        <v/>
      </c>
      <c r="M515" s="2" t="str" cm="1">
        <f t="array" ref="M515">IFERROR(_xlfn.LET(
_xlpm.CSVVal,_xlfn.XLOOKUP($A515,CSV!$A:$A,CSV!Q:Q,""),
_xlpm.MacVal,_xlfn.XLOOKUP($A515,Output_Mac!$A:$A,Output_Mac!M:M,""),
_xlpm.MyAuditVal,_xlfn.XLOOKUP($A515,My_Audit!$A:$A,My_Audit!L:L,""),
_xlfn.IFS(_xlpm.MyAuditVal&lt;&gt;"",UPPER(_xlpm.MyAuditVal),_xlpm.MacVal&lt;&gt;"",_xlpm.MacVal,_xlpm.CSVVal&lt;&gt;"",_xlpm.CSVVal
)),"")</f>
        <v/>
      </c>
      <c r="O515" s="2" t="str">
        <f>_xlfn.LET(
    _xlpm.CSVVal, _xlfn.XLOOKUP($A515, CSV!$A:$A, CSV!AF:AF, ""),
    _xlpm.MacVal, _xlfn.XLOOKUP($A515, Output_Mac!$A:$A, Output_Mac!S:S, ""),
    _xlpm.MyAuditVal, _xlfn.XLOOKUP($A515, My_Audit!$A:$A, My_Audit!P:P, ""),
    _xlfn.TEXTJOIN(", ", TRUE, _xlpm.MyAuditVal, _xlpm.MacVal, _xlpm.CSVVal)
)</f>
        <v/>
      </c>
      <c r="P515" s="2" t="str" cm="1">
        <f t="array" ref="P515">IFERROR(_xlfn.LET(
_xlpm.CSVVal,_xlfn.XLOOKUP($A515,CSV!$A:$A,CSV!AG:AG,""),
_xlpm.MacVal,_xlfn.XLOOKUP($A515,Output_Mac!$A:$A,Output_Mac!T:T,""),
_xlpm.MyAuditVal,_xlfn.XLOOKUP($A515,My_Audit!$A:$A,My_Audit!Q:Q,""),
_xlfn.IFS(_xlpm.MyAuditVal&lt;&gt;"",UPPER(_xlpm.MyAuditVal),_xlpm.MacVal&lt;&gt;"",_xlpm.MacVal,_xlpm.CSVVal&lt;&gt;"",_xlpm.CSVVal
)),"No")</f>
        <v>No</v>
      </c>
      <c r="Q515" s="2" t="str" cm="1">
        <f t="array" ref="Q515">IFERROR(_xlfn.LET(
_xlpm.CSVVal,_xlfn.XLOOKUP($A515,CSV!$A:$A,CSV!AH:AH,""),
_xlpm.MacVal,_xlfn.XLOOKUP($A515,Output_Mac!$A:$A,Output_Mac!U:U,""),
_xlpm.MyAuditVal,_xlfn.XLOOKUP($A515,My_Audit!$A:$A,My_Audit!R:R,""),
_xlfn.IFS(_xlpm.MyAuditVal&lt;&gt;"",UPPER(_xlpm.MyAuditVal),_xlpm.MacVal&lt;&gt;"",_xlpm.MacVal,_xlpm.CSVVal&lt;&gt;"",_xlpm.CSVVal
)),"")</f>
        <v/>
      </c>
    </row>
    <row r="516" spans="1:17">
      <c r="A516" s="2" t="str">
        <f>_xlfn.TEXTJOIN("",TRUE,Input!$B$2,ROW(My_Audit!A515))</f>
        <v>XX515</v>
      </c>
      <c r="B516" s="2" t="str">
        <f>_xlfn.TEXTJOIN("-",TRUE,"ITD",Input!$A$2,A516)</f>
        <v>ITD-SHRXXX-XX515</v>
      </c>
      <c r="C516" s="2" t="str" cm="1">
        <f t="array" ref="C516">IFERROR(_xlfn.LET(
_xlpm.CSVVal,_xlfn.XLOOKUP($A516,CSV!$A:$A,CSV!B:B,""),
_xlpm.MacVal,_xlfn.XLOOKUP($A516,Output_Mac!$A:$A,Output_Mac!B:B,""),
_xlpm.MyAuditVal,_xlfn.XLOOKUP($A516,My_Audit!$A:$A,My_Audit!B:B,""),
_xlfn.IFS(_xlpm.MyAuditVal&lt;&gt;"",UPPER(_xlpm.MyAuditVal),_xlpm.MacVal&lt;&gt;"",_xlpm.MacVal,_xlpm.CSVVal&lt;&gt;"",_xlpm.CSVVal
)),"")</f>
        <v/>
      </c>
      <c r="D516" s="2" t="str" cm="1">
        <f t="array" ref="D516">IFERROR(_xlfn.LET(
_xlpm.CSVVal,_xlfn.XLOOKUP($A516,CSV!$A:$A,CSV!D:D,""),
_xlpm.MacVal,_xlfn.XLOOKUP($A516,Output_Mac!$A:$A,Output_Mac!C:C,""),
_xlpm.MyAuditVal,_xlfn.XLOOKUP($A516,My_Audit!$A:$A,My_Audit!C:C,""),
_xlfn.IFS(_xlpm.MyAuditVal&lt;&gt;"",_xlpm.MyAuditVal,_xlpm.MacVal&lt;&gt;"",_xlpm.MacVal,_xlpm.CSVVal&lt;&gt;"",_xlpm.CSVVal
)),"")</f>
        <v/>
      </c>
      <c r="E516" s="2" t="str">
        <f>_xlfn.XLOOKUP(A516,My_Audit!A:A,My_Audit!D:D,"")&amp;""</f>
        <v/>
      </c>
      <c r="F516" s="2" t="str" cm="1">
        <f t="array" ref="F516">IFERROR(_xlfn.LET(
_xlpm.CSVVal,_xlfn.XLOOKUP($A516,CSV!$A:$A,CSV!F:F,""),
_xlpm.MacVal,_xlfn.XLOOKUP($A516,Output_Mac!$A:$A,Output_Mac!E:E,""),
_xlpm.MyAuditVal,_xlfn.XLOOKUP($A516,My_Audit!$A:$A,My_Audit!E:E,""),
_xlfn.IFS(_xlpm.MyAuditVal&lt;&gt;"",_xlpm.MyAuditVal,_xlpm.MacVal&lt;&gt;"",_xlpm.MacVal,_xlpm.CSVVal&lt;&gt;"",_xlpm.CSVVal
)),"")</f>
        <v/>
      </c>
      <c r="G516" s="2" t="str" cm="1">
        <f t="array" ref="G516">IFERROR(_xlfn.LET(
_xlpm.CSVVal,_xlfn.XLOOKUP($A516,CSV!$A:$A,CSV!G:G,""),
_xlpm.MacVal,_xlfn.XLOOKUP($A516,Output_Mac!$A:$A,Output_Mac!F:F,""),
_xlpm.MyAuditVal,_xlfn.XLOOKUP($A516,My_Audit!$A:$A,My_Audit!F:F,""),
_xlfn.IFS(_xlpm.MyAuditVal&lt;&gt;"",_xlpm.MyAuditVal,_xlpm.MacVal&lt;&gt;"",_xlpm.MacVal,_xlpm.CSVVal&lt;&gt;"",PROPER(_xlpm.CSVVal)
)),"")</f>
        <v/>
      </c>
      <c r="H516" s="2" t="str" cm="1">
        <f t="array" ref="H516">IFERROR(_xlfn.LET(
_xlpm.CSVVal,_xlfn.XLOOKUP($A516,CSV!$A:$A,CSV!H:H,""),
_xlpm.MacVal,_xlfn.XLOOKUP($A516,Output_Mac!$A:$A,Output_Mac!H:H,""),
_xlpm.MyAuditVal,_xlfn.XLOOKUP($A516,My_Audit!$A:$A,My_Audit!G:G,""),
_xlfn.IFS(_xlpm.MyAuditVal&lt;&gt;"",_xlpm.MyAuditVal,_xlpm.MacVal&lt;&gt;"",_xlpm.MacVal,_xlpm.CSVVal&lt;&gt;"",_xlpm.CSVVal
)),"")</f>
        <v/>
      </c>
      <c r="I516" s="2" t="str">
        <f>_xlfn.XLOOKUP(A516,Output_Mac!A:A,Output_Mac!I:I,"")</f>
        <v/>
      </c>
      <c r="J516" s="2" t="str" cm="1">
        <f t="array" ref="J516">IFERROR(_xlfn.LET(
_xlpm.CSVVal,_xlfn.XLOOKUP($A516,CSV!$A:$A,CSV!I:I,""),
_xlpm.MacVal,_xlfn.XLOOKUP($A516,Output_Mac!$A:$A,Output_Mac!J:J,""),
_xlpm.MyAuditVal,_xlfn.XLOOKUP($A516,My_Audit!$A:$A,My_Audit!I:I,""),
_xlfn.IFS(_xlpm.MyAuditVal&lt;&gt;"",UPPER(_xlpm.MyAuditVal),_xlpm.MacVal&lt;&gt;"",_xlpm.MacVal,_xlpm.CSVVal&lt;&gt;"",_xlpm.CSVVal
)),"")</f>
        <v/>
      </c>
      <c r="K516" s="2" t="str" cm="1">
        <f t="array" ref="K516">IFERROR(_xlfn.LET(
_xlpm.CSVVal,_xlfn.XLOOKUP($A516,CSV!$A:$A,CSV!K:K,""),
_xlpm.MacVal,_xlfn.XLOOKUP($A516,Output_Mac!$A:$A,Output_Mac!K:K,""),
_xlpm.MyAuditVal,_xlfn.XLOOKUP($A516,My_Audit!$A:$A,My_Audit!J:J,""),
_xlfn.IFS(_xlpm.MyAuditVal&lt;&gt;"",UPPER(_xlpm.MyAuditVal),_xlpm.MacVal&lt;&gt;"",_xlpm.MacVal,_xlpm.CSVVal&lt;&gt;"",_xlpm.CSVVal
)),"")</f>
        <v/>
      </c>
      <c r="L516" s="2" t="str" cm="1">
        <f t="array" ref="L516">IFERROR(_xlfn.LET(
_xlpm.CSVVal,_xlfn.XLOOKUP($A516,CSV!$A:$A,CSV!P:P,""),
_xlpm.MacVal,_xlfn.XLOOKUP($A516,Output_Mac!$A:$A,Output_Mac!L:L,""),
_xlpm.MyAuditVal,_xlfn.XLOOKUP($A516,My_Audit!$A:$A,My_Audit!K:K,""),
_xlfn.IFS(_xlpm.MyAuditVal&lt;&gt;"",UPPER(_xlpm.MyAuditVal),_xlpm.MacVal&lt;&gt;"",_xlpm.MacVal,_xlpm.CSVVal&lt;&gt;"",_xlpm.CSVVal
)),"")</f>
        <v/>
      </c>
      <c r="M516" s="2" t="str" cm="1">
        <f t="array" ref="M516">IFERROR(_xlfn.LET(
_xlpm.CSVVal,_xlfn.XLOOKUP($A516,CSV!$A:$A,CSV!Q:Q,""),
_xlpm.MacVal,_xlfn.XLOOKUP($A516,Output_Mac!$A:$A,Output_Mac!M:M,""),
_xlpm.MyAuditVal,_xlfn.XLOOKUP($A516,My_Audit!$A:$A,My_Audit!L:L,""),
_xlfn.IFS(_xlpm.MyAuditVal&lt;&gt;"",UPPER(_xlpm.MyAuditVal),_xlpm.MacVal&lt;&gt;"",_xlpm.MacVal,_xlpm.CSVVal&lt;&gt;"",_xlpm.CSVVal
)),"")</f>
        <v/>
      </c>
      <c r="O516" s="2" t="str">
        <f>_xlfn.LET(
    _xlpm.CSVVal, _xlfn.XLOOKUP($A516, CSV!$A:$A, CSV!AF:AF, ""),
    _xlpm.MacVal, _xlfn.XLOOKUP($A516, Output_Mac!$A:$A, Output_Mac!S:S, ""),
    _xlpm.MyAuditVal, _xlfn.XLOOKUP($A516, My_Audit!$A:$A, My_Audit!P:P, ""),
    _xlfn.TEXTJOIN(", ", TRUE, _xlpm.MyAuditVal, _xlpm.MacVal, _xlpm.CSVVal)
)</f>
        <v/>
      </c>
      <c r="P516" s="2" t="str" cm="1">
        <f t="array" ref="P516">IFERROR(_xlfn.LET(
_xlpm.CSVVal,_xlfn.XLOOKUP($A516,CSV!$A:$A,CSV!AG:AG,""),
_xlpm.MacVal,_xlfn.XLOOKUP($A516,Output_Mac!$A:$A,Output_Mac!T:T,""),
_xlpm.MyAuditVal,_xlfn.XLOOKUP($A516,My_Audit!$A:$A,My_Audit!Q:Q,""),
_xlfn.IFS(_xlpm.MyAuditVal&lt;&gt;"",UPPER(_xlpm.MyAuditVal),_xlpm.MacVal&lt;&gt;"",_xlpm.MacVal,_xlpm.CSVVal&lt;&gt;"",_xlpm.CSVVal
)),"No")</f>
        <v>No</v>
      </c>
      <c r="Q516" s="2" t="str" cm="1">
        <f t="array" ref="Q516">IFERROR(_xlfn.LET(
_xlpm.CSVVal,_xlfn.XLOOKUP($A516,CSV!$A:$A,CSV!AH:AH,""),
_xlpm.MacVal,_xlfn.XLOOKUP($A516,Output_Mac!$A:$A,Output_Mac!U:U,""),
_xlpm.MyAuditVal,_xlfn.XLOOKUP($A516,My_Audit!$A:$A,My_Audit!R:R,""),
_xlfn.IFS(_xlpm.MyAuditVal&lt;&gt;"",UPPER(_xlpm.MyAuditVal),_xlpm.MacVal&lt;&gt;"",_xlpm.MacVal,_xlpm.CSVVal&lt;&gt;"",_xlpm.CSVVal
)),"")</f>
        <v/>
      </c>
    </row>
    <row r="517" spans="1:17">
      <c r="A517" s="2" t="str">
        <f>_xlfn.TEXTJOIN("",TRUE,Input!$B$2,ROW(My_Audit!A516))</f>
        <v>XX516</v>
      </c>
      <c r="B517" s="2" t="str">
        <f>_xlfn.TEXTJOIN("-",TRUE,"ITD",Input!$A$2,A517)</f>
        <v>ITD-SHRXXX-XX516</v>
      </c>
      <c r="C517" s="2" t="str" cm="1">
        <f t="array" ref="C517">IFERROR(_xlfn.LET(
_xlpm.CSVVal,_xlfn.XLOOKUP($A517,CSV!$A:$A,CSV!B:B,""),
_xlpm.MacVal,_xlfn.XLOOKUP($A517,Output_Mac!$A:$A,Output_Mac!B:B,""),
_xlpm.MyAuditVal,_xlfn.XLOOKUP($A517,My_Audit!$A:$A,My_Audit!B:B,""),
_xlfn.IFS(_xlpm.MyAuditVal&lt;&gt;"",UPPER(_xlpm.MyAuditVal),_xlpm.MacVal&lt;&gt;"",_xlpm.MacVal,_xlpm.CSVVal&lt;&gt;"",_xlpm.CSVVal
)),"")</f>
        <v/>
      </c>
      <c r="D517" s="2" t="str" cm="1">
        <f t="array" ref="D517">IFERROR(_xlfn.LET(
_xlpm.CSVVal,_xlfn.XLOOKUP($A517,CSV!$A:$A,CSV!D:D,""),
_xlpm.MacVal,_xlfn.XLOOKUP($A517,Output_Mac!$A:$A,Output_Mac!C:C,""),
_xlpm.MyAuditVal,_xlfn.XLOOKUP($A517,My_Audit!$A:$A,My_Audit!C:C,""),
_xlfn.IFS(_xlpm.MyAuditVal&lt;&gt;"",_xlpm.MyAuditVal,_xlpm.MacVal&lt;&gt;"",_xlpm.MacVal,_xlpm.CSVVal&lt;&gt;"",_xlpm.CSVVal
)),"")</f>
        <v/>
      </c>
      <c r="E517" s="2" t="str">
        <f>_xlfn.XLOOKUP(A517,My_Audit!A:A,My_Audit!D:D,"")&amp;""</f>
        <v/>
      </c>
      <c r="F517" s="2" t="str" cm="1">
        <f t="array" ref="F517">IFERROR(_xlfn.LET(
_xlpm.CSVVal,_xlfn.XLOOKUP($A517,CSV!$A:$A,CSV!F:F,""),
_xlpm.MacVal,_xlfn.XLOOKUP($A517,Output_Mac!$A:$A,Output_Mac!E:E,""),
_xlpm.MyAuditVal,_xlfn.XLOOKUP($A517,My_Audit!$A:$A,My_Audit!E:E,""),
_xlfn.IFS(_xlpm.MyAuditVal&lt;&gt;"",_xlpm.MyAuditVal,_xlpm.MacVal&lt;&gt;"",_xlpm.MacVal,_xlpm.CSVVal&lt;&gt;"",_xlpm.CSVVal
)),"")</f>
        <v/>
      </c>
      <c r="G517" s="2" t="str" cm="1">
        <f t="array" ref="G517">IFERROR(_xlfn.LET(
_xlpm.CSVVal,_xlfn.XLOOKUP($A517,CSV!$A:$A,CSV!G:G,""),
_xlpm.MacVal,_xlfn.XLOOKUP($A517,Output_Mac!$A:$A,Output_Mac!F:F,""),
_xlpm.MyAuditVal,_xlfn.XLOOKUP($A517,My_Audit!$A:$A,My_Audit!F:F,""),
_xlfn.IFS(_xlpm.MyAuditVal&lt;&gt;"",_xlpm.MyAuditVal,_xlpm.MacVal&lt;&gt;"",_xlpm.MacVal,_xlpm.CSVVal&lt;&gt;"",PROPER(_xlpm.CSVVal)
)),"")</f>
        <v/>
      </c>
      <c r="H517" s="2" t="str" cm="1">
        <f t="array" ref="H517">IFERROR(_xlfn.LET(
_xlpm.CSVVal,_xlfn.XLOOKUP($A517,CSV!$A:$A,CSV!H:H,""),
_xlpm.MacVal,_xlfn.XLOOKUP($A517,Output_Mac!$A:$A,Output_Mac!H:H,""),
_xlpm.MyAuditVal,_xlfn.XLOOKUP($A517,My_Audit!$A:$A,My_Audit!G:G,""),
_xlfn.IFS(_xlpm.MyAuditVal&lt;&gt;"",_xlpm.MyAuditVal,_xlpm.MacVal&lt;&gt;"",_xlpm.MacVal,_xlpm.CSVVal&lt;&gt;"",_xlpm.CSVVal
)),"")</f>
        <v/>
      </c>
      <c r="I517" s="2" t="str">
        <f>_xlfn.XLOOKUP(A517,Output_Mac!A:A,Output_Mac!I:I,"")</f>
        <v/>
      </c>
      <c r="J517" s="2" t="str" cm="1">
        <f t="array" ref="J517">IFERROR(_xlfn.LET(
_xlpm.CSVVal,_xlfn.XLOOKUP($A517,CSV!$A:$A,CSV!I:I,""),
_xlpm.MacVal,_xlfn.XLOOKUP($A517,Output_Mac!$A:$A,Output_Mac!J:J,""),
_xlpm.MyAuditVal,_xlfn.XLOOKUP($A517,My_Audit!$A:$A,My_Audit!I:I,""),
_xlfn.IFS(_xlpm.MyAuditVal&lt;&gt;"",UPPER(_xlpm.MyAuditVal),_xlpm.MacVal&lt;&gt;"",_xlpm.MacVal,_xlpm.CSVVal&lt;&gt;"",_xlpm.CSVVal
)),"")</f>
        <v/>
      </c>
      <c r="K517" s="2" t="str" cm="1">
        <f t="array" ref="K517">IFERROR(_xlfn.LET(
_xlpm.CSVVal,_xlfn.XLOOKUP($A517,CSV!$A:$A,CSV!K:K,""),
_xlpm.MacVal,_xlfn.XLOOKUP($A517,Output_Mac!$A:$A,Output_Mac!K:K,""),
_xlpm.MyAuditVal,_xlfn.XLOOKUP($A517,My_Audit!$A:$A,My_Audit!J:J,""),
_xlfn.IFS(_xlpm.MyAuditVal&lt;&gt;"",UPPER(_xlpm.MyAuditVal),_xlpm.MacVal&lt;&gt;"",_xlpm.MacVal,_xlpm.CSVVal&lt;&gt;"",_xlpm.CSVVal
)),"")</f>
        <v/>
      </c>
      <c r="L517" s="2" t="str" cm="1">
        <f t="array" ref="L517">IFERROR(_xlfn.LET(
_xlpm.CSVVal,_xlfn.XLOOKUP($A517,CSV!$A:$A,CSV!P:P,""),
_xlpm.MacVal,_xlfn.XLOOKUP($A517,Output_Mac!$A:$A,Output_Mac!L:L,""),
_xlpm.MyAuditVal,_xlfn.XLOOKUP($A517,My_Audit!$A:$A,My_Audit!K:K,""),
_xlfn.IFS(_xlpm.MyAuditVal&lt;&gt;"",UPPER(_xlpm.MyAuditVal),_xlpm.MacVal&lt;&gt;"",_xlpm.MacVal,_xlpm.CSVVal&lt;&gt;"",_xlpm.CSVVal
)),"")</f>
        <v/>
      </c>
      <c r="M517" s="2" t="str" cm="1">
        <f t="array" ref="M517">IFERROR(_xlfn.LET(
_xlpm.CSVVal,_xlfn.XLOOKUP($A517,CSV!$A:$A,CSV!Q:Q,""),
_xlpm.MacVal,_xlfn.XLOOKUP($A517,Output_Mac!$A:$A,Output_Mac!M:M,""),
_xlpm.MyAuditVal,_xlfn.XLOOKUP($A517,My_Audit!$A:$A,My_Audit!L:L,""),
_xlfn.IFS(_xlpm.MyAuditVal&lt;&gt;"",UPPER(_xlpm.MyAuditVal),_xlpm.MacVal&lt;&gt;"",_xlpm.MacVal,_xlpm.CSVVal&lt;&gt;"",_xlpm.CSVVal
)),"")</f>
        <v/>
      </c>
      <c r="O517" s="2" t="str">
        <f>_xlfn.LET(
    _xlpm.CSVVal, _xlfn.XLOOKUP($A517, CSV!$A:$A, CSV!AF:AF, ""),
    _xlpm.MacVal, _xlfn.XLOOKUP($A517, Output_Mac!$A:$A, Output_Mac!S:S, ""),
    _xlpm.MyAuditVal, _xlfn.XLOOKUP($A517, My_Audit!$A:$A, My_Audit!P:P, ""),
    _xlfn.TEXTJOIN(", ", TRUE, _xlpm.MyAuditVal, _xlpm.MacVal, _xlpm.CSVVal)
)</f>
        <v/>
      </c>
      <c r="P517" s="2" t="str" cm="1">
        <f t="array" ref="P517">IFERROR(_xlfn.LET(
_xlpm.CSVVal,_xlfn.XLOOKUP($A517,CSV!$A:$A,CSV!AG:AG,""),
_xlpm.MacVal,_xlfn.XLOOKUP($A517,Output_Mac!$A:$A,Output_Mac!T:T,""),
_xlpm.MyAuditVal,_xlfn.XLOOKUP($A517,My_Audit!$A:$A,My_Audit!Q:Q,""),
_xlfn.IFS(_xlpm.MyAuditVal&lt;&gt;"",UPPER(_xlpm.MyAuditVal),_xlpm.MacVal&lt;&gt;"",_xlpm.MacVal,_xlpm.CSVVal&lt;&gt;"",_xlpm.CSVVal
)),"No")</f>
        <v>No</v>
      </c>
      <c r="Q517" s="2" t="str" cm="1">
        <f t="array" ref="Q517">IFERROR(_xlfn.LET(
_xlpm.CSVVal,_xlfn.XLOOKUP($A517,CSV!$A:$A,CSV!AH:AH,""),
_xlpm.MacVal,_xlfn.XLOOKUP($A517,Output_Mac!$A:$A,Output_Mac!U:U,""),
_xlpm.MyAuditVal,_xlfn.XLOOKUP($A517,My_Audit!$A:$A,My_Audit!R:R,""),
_xlfn.IFS(_xlpm.MyAuditVal&lt;&gt;"",UPPER(_xlpm.MyAuditVal),_xlpm.MacVal&lt;&gt;"",_xlpm.MacVal,_xlpm.CSVVal&lt;&gt;"",_xlpm.CSVVal
)),"")</f>
        <v/>
      </c>
    </row>
    <row r="518" spans="1:17">
      <c r="A518" s="2" t="str">
        <f>_xlfn.TEXTJOIN("",TRUE,Input!$B$2,ROW(My_Audit!A517))</f>
        <v>XX517</v>
      </c>
      <c r="B518" s="2" t="str">
        <f>_xlfn.TEXTJOIN("-",TRUE,"ITD",Input!$A$2,A518)</f>
        <v>ITD-SHRXXX-XX517</v>
      </c>
      <c r="C518" s="2" t="str" cm="1">
        <f t="array" ref="C518">IFERROR(_xlfn.LET(
_xlpm.CSVVal,_xlfn.XLOOKUP($A518,CSV!$A:$A,CSV!B:B,""),
_xlpm.MacVal,_xlfn.XLOOKUP($A518,Output_Mac!$A:$A,Output_Mac!B:B,""),
_xlpm.MyAuditVal,_xlfn.XLOOKUP($A518,My_Audit!$A:$A,My_Audit!B:B,""),
_xlfn.IFS(_xlpm.MyAuditVal&lt;&gt;"",UPPER(_xlpm.MyAuditVal),_xlpm.MacVal&lt;&gt;"",_xlpm.MacVal,_xlpm.CSVVal&lt;&gt;"",_xlpm.CSVVal
)),"")</f>
        <v/>
      </c>
      <c r="D518" s="2" t="str" cm="1">
        <f t="array" ref="D518">IFERROR(_xlfn.LET(
_xlpm.CSVVal,_xlfn.XLOOKUP($A518,CSV!$A:$A,CSV!D:D,""),
_xlpm.MacVal,_xlfn.XLOOKUP($A518,Output_Mac!$A:$A,Output_Mac!C:C,""),
_xlpm.MyAuditVal,_xlfn.XLOOKUP($A518,My_Audit!$A:$A,My_Audit!C:C,""),
_xlfn.IFS(_xlpm.MyAuditVal&lt;&gt;"",_xlpm.MyAuditVal,_xlpm.MacVal&lt;&gt;"",_xlpm.MacVal,_xlpm.CSVVal&lt;&gt;"",_xlpm.CSVVal
)),"")</f>
        <v/>
      </c>
      <c r="E518" s="2" t="str">
        <f>_xlfn.XLOOKUP(A518,My_Audit!A:A,My_Audit!D:D,"")&amp;""</f>
        <v/>
      </c>
      <c r="F518" s="2" t="str" cm="1">
        <f t="array" ref="F518">IFERROR(_xlfn.LET(
_xlpm.CSVVal,_xlfn.XLOOKUP($A518,CSV!$A:$A,CSV!F:F,""),
_xlpm.MacVal,_xlfn.XLOOKUP($A518,Output_Mac!$A:$A,Output_Mac!E:E,""),
_xlpm.MyAuditVal,_xlfn.XLOOKUP($A518,My_Audit!$A:$A,My_Audit!E:E,""),
_xlfn.IFS(_xlpm.MyAuditVal&lt;&gt;"",_xlpm.MyAuditVal,_xlpm.MacVal&lt;&gt;"",_xlpm.MacVal,_xlpm.CSVVal&lt;&gt;"",_xlpm.CSVVal
)),"")</f>
        <v/>
      </c>
      <c r="G518" s="2" t="str" cm="1">
        <f t="array" ref="G518">IFERROR(_xlfn.LET(
_xlpm.CSVVal,_xlfn.XLOOKUP($A518,CSV!$A:$A,CSV!G:G,""),
_xlpm.MacVal,_xlfn.XLOOKUP($A518,Output_Mac!$A:$A,Output_Mac!F:F,""),
_xlpm.MyAuditVal,_xlfn.XLOOKUP($A518,My_Audit!$A:$A,My_Audit!F:F,""),
_xlfn.IFS(_xlpm.MyAuditVal&lt;&gt;"",_xlpm.MyAuditVal,_xlpm.MacVal&lt;&gt;"",_xlpm.MacVal,_xlpm.CSVVal&lt;&gt;"",PROPER(_xlpm.CSVVal)
)),"")</f>
        <v/>
      </c>
      <c r="H518" s="2" t="str" cm="1">
        <f t="array" ref="H518">IFERROR(_xlfn.LET(
_xlpm.CSVVal,_xlfn.XLOOKUP($A518,CSV!$A:$A,CSV!H:H,""),
_xlpm.MacVal,_xlfn.XLOOKUP($A518,Output_Mac!$A:$A,Output_Mac!H:H,""),
_xlpm.MyAuditVal,_xlfn.XLOOKUP($A518,My_Audit!$A:$A,My_Audit!G:G,""),
_xlfn.IFS(_xlpm.MyAuditVal&lt;&gt;"",_xlpm.MyAuditVal,_xlpm.MacVal&lt;&gt;"",_xlpm.MacVal,_xlpm.CSVVal&lt;&gt;"",_xlpm.CSVVal
)),"")</f>
        <v/>
      </c>
      <c r="I518" s="2" t="str">
        <f>_xlfn.XLOOKUP(A518,Output_Mac!A:A,Output_Mac!I:I,"")</f>
        <v/>
      </c>
      <c r="J518" s="2" t="str" cm="1">
        <f t="array" ref="J518">IFERROR(_xlfn.LET(
_xlpm.CSVVal,_xlfn.XLOOKUP($A518,CSV!$A:$A,CSV!I:I,""),
_xlpm.MacVal,_xlfn.XLOOKUP($A518,Output_Mac!$A:$A,Output_Mac!J:J,""),
_xlpm.MyAuditVal,_xlfn.XLOOKUP($A518,My_Audit!$A:$A,My_Audit!I:I,""),
_xlfn.IFS(_xlpm.MyAuditVal&lt;&gt;"",UPPER(_xlpm.MyAuditVal),_xlpm.MacVal&lt;&gt;"",_xlpm.MacVal,_xlpm.CSVVal&lt;&gt;"",_xlpm.CSVVal
)),"")</f>
        <v/>
      </c>
      <c r="K518" s="2" t="str" cm="1">
        <f t="array" ref="K518">IFERROR(_xlfn.LET(
_xlpm.CSVVal,_xlfn.XLOOKUP($A518,CSV!$A:$A,CSV!K:K,""),
_xlpm.MacVal,_xlfn.XLOOKUP($A518,Output_Mac!$A:$A,Output_Mac!K:K,""),
_xlpm.MyAuditVal,_xlfn.XLOOKUP($A518,My_Audit!$A:$A,My_Audit!J:J,""),
_xlfn.IFS(_xlpm.MyAuditVal&lt;&gt;"",UPPER(_xlpm.MyAuditVal),_xlpm.MacVal&lt;&gt;"",_xlpm.MacVal,_xlpm.CSVVal&lt;&gt;"",_xlpm.CSVVal
)),"")</f>
        <v/>
      </c>
      <c r="L518" s="2" t="str" cm="1">
        <f t="array" ref="L518">IFERROR(_xlfn.LET(
_xlpm.CSVVal,_xlfn.XLOOKUP($A518,CSV!$A:$A,CSV!P:P,""),
_xlpm.MacVal,_xlfn.XLOOKUP($A518,Output_Mac!$A:$A,Output_Mac!L:L,""),
_xlpm.MyAuditVal,_xlfn.XLOOKUP($A518,My_Audit!$A:$A,My_Audit!K:K,""),
_xlfn.IFS(_xlpm.MyAuditVal&lt;&gt;"",UPPER(_xlpm.MyAuditVal),_xlpm.MacVal&lt;&gt;"",_xlpm.MacVal,_xlpm.CSVVal&lt;&gt;"",_xlpm.CSVVal
)),"")</f>
        <v/>
      </c>
      <c r="M518" s="2" t="str" cm="1">
        <f t="array" ref="M518">IFERROR(_xlfn.LET(
_xlpm.CSVVal,_xlfn.XLOOKUP($A518,CSV!$A:$A,CSV!Q:Q,""),
_xlpm.MacVal,_xlfn.XLOOKUP($A518,Output_Mac!$A:$A,Output_Mac!M:M,""),
_xlpm.MyAuditVal,_xlfn.XLOOKUP($A518,My_Audit!$A:$A,My_Audit!L:L,""),
_xlfn.IFS(_xlpm.MyAuditVal&lt;&gt;"",UPPER(_xlpm.MyAuditVal),_xlpm.MacVal&lt;&gt;"",_xlpm.MacVal,_xlpm.CSVVal&lt;&gt;"",_xlpm.CSVVal
)),"")</f>
        <v/>
      </c>
      <c r="O518" s="2" t="str">
        <f>_xlfn.LET(
    _xlpm.CSVVal, _xlfn.XLOOKUP($A518, CSV!$A:$A, CSV!AF:AF, ""),
    _xlpm.MacVal, _xlfn.XLOOKUP($A518, Output_Mac!$A:$A, Output_Mac!S:S, ""),
    _xlpm.MyAuditVal, _xlfn.XLOOKUP($A518, My_Audit!$A:$A, My_Audit!P:P, ""),
    _xlfn.TEXTJOIN(", ", TRUE, _xlpm.MyAuditVal, _xlpm.MacVal, _xlpm.CSVVal)
)</f>
        <v/>
      </c>
      <c r="P518" s="2" t="str" cm="1">
        <f t="array" ref="P518">IFERROR(_xlfn.LET(
_xlpm.CSVVal,_xlfn.XLOOKUP($A518,CSV!$A:$A,CSV!AG:AG,""),
_xlpm.MacVal,_xlfn.XLOOKUP($A518,Output_Mac!$A:$A,Output_Mac!T:T,""),
_xlpm.MyAuditVal,_xlfn.XLOOKUP($A518,My_Audit!$A:$A,My_Audit!Q:Q,""),
_xlfn.IFS(_xlpm.MyAuditVal&lt;&gt;"",UPPER(_xlpm.MyAuditVal),_xlpm.MacVal&lt;&gt;"",_xlpm.MacVal,_xlpm.CSVVal&lt;&gt;"",_xlpm.CSVVal
)),"No")</f>
        <v>No</v>
      </c>
      <c r="Q518" s="2" t="str" cm="1">
        <f t="array" ref="Q518">IFERROR(_xlfn.LET(
_xlpm.CSVVal,_xlfn.XLOOKUP($A518,CSV!$A:$A,CSV!AH:AH,""),
_xlpm.MacVal,_xlfn.XLOOKUP($A518,Output_Mac!$A:$A,Output_Mac!U:U,""),
_xlpm.MyAuditVal,_xlfn.XLOOKUP($A518,My_Audit!$A:$A,My_Audit!R:R,""),
_xlfn.IFS(_xlpm.MyAuditVal&lt;&gt;"",UPPER(_xlpm.MyAuditVal),_xlpm.MacVal&lt;&gt;"",_xlpm.MacVal,_xlpm.CSVVal&lt;&gt;"",_xlpm.CSVVal
)),"")</f>
        <v/>
      </c>
    </row>
    <row r="519" spans="1:17">
      <c r="A519" s="2" t="str">
        <f>_xlfn.TEXTJOIN("",TRUE,Input!$B$2,ROW(My_Audit!A518))</f>
        <v>XX518</v>
      </c>
      <c r="B519" s="2" t="str">
        <f>_xlfn.TEXTJOIN("-",TRUE,"ITD",Input!$A$2,A519)</f>
        <v>ITD-SHRXXX-XX518</v>
      </c>
      <c r="C519" s="2" t="str" cm="1">
        <f t="array" ref="C519">IFERROR(_xlfn.LET(
_xlpm.CSVVal,_xlfn.XLOOKUP($A519,CSV!$A:$A,CSV!B:B,""),
_xlpm.MacVal,_xlfn.XLOOKUP($A519,Output_Mac!$A:$A,Output_Mac!B:B,""),
_xlpm.MyAuditVal,_xlfn.XLOOKUP($A519,My_Audit!$A:$A,My_Audit!B:B,""),
_xlfn.IFS(_xlpm.MyAuditVal&lt;&gt;"",UPPER(_xlpm.MyAuditVal),_xlpm.MacVal&lt;&gt;"",_xlpm.MacVal,_xlpm.CSVVal&lt;&gt;"",_xlpm.CSVVal
)),"")</f>
        <v/>
      </c>
      <c r="D519" s="2" t="str" cm="1">
        <f t="array" ref="D519">IFERROR(_xlfn.LET(
_xlpm.CSVVal,_xlfn.XLOOKUP($A519,CSV!$A:$A,CSV!D:D,""),
_xlpm.MacVal,_xlfn.XLOOKUP($A519,Output_Mac!$A:$A,Output_Mac!C:C,""),
_xlpm.MyAuditVal,_xlfn.XLOOKUP($A519,My_Audit!$A:$A,My_Audit!C:C,""),
_xlfn.IFS(_xlpm.MyAuditVal&lt;&gt;"",_xlpm.MyAuditVal,_xlpm.MacVal&lt;&gt;"",_xlpm.MacVal,_xlpm.CSVVal&lt;&gt;"",_xlpm.CSVVal
)),"")</f>
        <v/>
      </c>
      <c r="E519" s="2" t="str">
        <f>_xlfn.XLOOKUP(A519,My_Audit!A:A,My_Audit!D:D,"")&amp;""</f>
        <v/>
      </c>
      <c r="F519" s="2" t="str" cm="1">
        <f t="array" ref="F519">IFERROR(_xlfn.LET(
_xlpm.CSVVal,_xlfn.XLOOKUP($A519,CSV!$A:$A,CSV!F:F,""),
_xlpm.MacVal,_xlfn.XLOOKUP($A519,Output_Mac!$A:$A,Output_Mac!E:E,""),
_xlpm.MyAuditVal,_xlfn.XLOOKUP($A519,My_Audit!$A:$A,My_Audit!E:E,""),
_xlfn.IFS(_xlpm.MyAuditVal&lt;&gt;"",_xlpm.MyAuditVal,_xlpm.MacVal&lt;&gt;"",_xlpm.MacVal,_xlpm.CSVVal&lt;&gt;"",_xlpm.CSVVal
)),"")</f>
        <v/>
      </c>
      <c r="G519" s="2" t="str" cm="1">
        <f t="array" ref="G519">IFERROR(_xlfn.LET(
_xlpm.CSVVal,_xlfn.XLOOKUP($A519,CSV!$A:$A,CSV!G:G,""),
_xlpm.MacVal,_xlfn.XLOOKUP($A519,Output_Mac!$A:$A,Output_Mac!F:F,""),
_xlpm.MyAuditVal,_xlfn.XLOOKUP($A519,My_Audit!$A:$A,My_Audit!F:F,""),
_xlfn.IFS(_xlpm.MyAuditVal&lt;&gt;"",_xlpm.MyAuditVal,_xlpm.MacVal&lt;&gt;"",_xlpm.MacVal,_xlpm.CSVVal&lt;&gt;"",PROPER(_xlpm.CSVVal)
)),"")</f>
        <v/>
      </c>
      <c r="H519" s="2" t="str" cm="1">
        <f t="array" ref="H519">IFERROR(_xlfn.LET(
_xlpm.CSVVal,_xlfn.XLOOKUP($A519,CSV!$A:$A,CSV!H:H,""),
_xlpm.MacVal,_xlfn.XLOOKUP($A519,Output_Mac!$A:$A,Output_Mac!H:H,""),
_xlpm.MyAuditVal,_xlfn.XLOOKUP($A519,My_Audit!$A:$A,My_Audit!G:G,""),
_xlfn.IFS(_xlpm.MyAuditVal&lt;&gt;"",_xlpm.MyAuditVal,_xlpm.MacVal&lt;&gt;"",_xlpm.MacVal,_xlpm.CSVVal&lt;&gt;"",_xlpm.CSVVal
)),"")</f>
        <v/>
      </c>
      <c r="I519" s="2" t="str">
        <f>_xlfn.XLOOKUP(A519,Output_Mac!A:A,Output_Mac!I:I,"")</f>
        <v/>
      </c>
      <c r="J519" s="2" t="str" cm="1">
        <f t="array" ref="J519">IFERROR(_xlfn.LET(
_xlpm.CSVVal,_xlfn.XLOOKUP($A519,CSV!$A:$A,CSV!I:I,""),
_xlpm.MacVal,_xlfn.XLOOKUP($A519,Output_Mac!$A:$A,Output_Mac!J:J,""),
_xlpm.MyAuditVal,_xlfn.XLOOKUP($A519,My_Audit!$A:$A,My_Audit!I:I,""),
_xlfn.IFS(_xlpm.MyAuditVal&lt;&gt;"",UPPER(_xlpm.MyAuditVal),_xlpm.MacVal&lt;&gt;"",_xlpm.MacVal,_xlpm.CSVVal&lt;&gt;"",_xlpm.CSVVal
)),"")</f>
        <v/>
      </c>
      <c r="K519" s="2" t="str" cm="1">
        <f t="array" ref="K519">IFERROR(_xlfn.LET(
_xlpm.CSVVal,_xlfn.XLOOKUP($A519,CSV!$A:$A,CSV!K:K,""),
_xlpm.MacVal,_xlfn.XLOOKUP($A519,Output_Mac!$A:$A,Output_Mac!K:K,""),
_xlpm.MyAuditVal,_xlfn.XLOOKUP($A519,My_Audit!$A:$A,My_Audit!J:J,""),
_xlfn.IFS(_xlpm.MyAuditVal&lt;&gt;"",UPPER(_xlpm.MyAuditVal),_xlpm.MacVal&lt;&gt;"",_xlpm.MacVal,_xlpm.CSVVal&lt;&gt;"",_xlpm.CSVVal
)),"")</f>
        <v/>
      </c>
      <c r="L519" s="2" t="str" cm="1">
        <f t="array" ref="L519">IFERROR(_xlfn.LET(
_xlpm.CSVVal,_xlfn.XLOOKUP($A519,CSV!$A:$A,CSV!P:P,""),
_xlpm.MacVal,_xlfn.XLOOKUP($A519,Output_Mac!$A:$A,Output_Mac!L:L,""),
_xlpm.MyAuditVal,_xlfn.XLOOKUP($A519,My_Audit!$A:$A,My_Audit!K:K,""),
_xlfn.IFS(_xlpm.MyAuditVal&lt;&gt;"",UPPER(_xlpm.MyAuditVal),_xlpm.MacVal&lt;&gt;"",_xlpm.MacVal,_xlpm.CSVVal&lt;&gt;"",_xlpm.CSVVal
)),"")</f>
        <v/>
      </c>
      <c r="M519" s="2" t="str" cm="1">
        <f t="array" ref="M519">IFERROR(_xlfn.LET(
_xlpm.CSVVal,_xlfn.XLOOKUP($A519,CSV!$A:$A,CSV!Q:Q,""),
_xlpm.MacVal,_xlfn.XLOOKUP($A519,Output_Mac!$A:$A,Output_Mac!M:M,""),
_xlpm.MyAuditVal,_xlfn.XLOOKUP($A519,My_Audit!$A:$A,My_Audit!L:L,""),
_xlfn.IFS(_xlpm.MyAuditVal&lt;&gt;"",UPPER(_xlpm.MyAuditVal),_xlpm.MacVal&lt;&gt;"",_xlpm.MacVal,_xlpm.CSVVal&lt;&gt;"",_xlpm.CSVVal
)),"")</f>
        <v/>
      </c>
      <c r="O519" s="2" t="str">
        <f>_xlfn.LET(
    _xlpm.CSVVal, _xlfn.XLOOKUP($A519, CSV!$A:$A, CSV!AF:AF, ""),
    _xlpm.MacVal, _xlfn.XLOOKUP($A519, Output_Mac!$A:$A, Output_Mac!S:S, ""),
    _xlpm.MyAuditVal, _xlfn.XLOOKUP($A519, My_Audit!$A:$A, My_Audit!P:P, ""),
    _xlfn.TEXTJOIN(", ", TRUE, _xlpm.MyAuditVal, _xlpm.MacVal, _xlpm.CSVVal)
)</f>
        <v/>
      </c>
      <c r="P519" s="2" t="str" cm="1">
        <f t="array" ref="P519">IFERROR(_xlfn.LET(
_xlpm.CSVVal,_xlfn.XLOOKUP($A519,CSV!$A:$A,CSV!AG:AG,""),
_xlpm.MacVal,_xlfn.XLOOKUP($A519,Output_Mac!$A:$A,Output_Mac!T:T,""),
_xlpm.MyAuditVal,_xlfn.XLOOKUP($A519,My_Audit!$A:$A,My_Audit!Q:Q,""),
_xlfn.IFS(_xlpm.MyAuditVal&lt;&gt;"",UPPER(_xlpm.MyAuditVal),_xlpm.MacVal&lt;&gt;"",_xlpm.MacVal,_xlpm.CSVVal&lt;&gt;"",_xlpm.CSVVal
)),"No")</f>
        <v>No</v>
      </c>
      <c r="Q519" s="2" t="str" cm="1">
        <f t="array" ref="Q519">IFERROR(_xlfn.LET(
_xlpm.CSVVal,_xlfn.XLOOKUP($A519,CSV!$A:$A,CSV!AH:AH,""),
_xlpm.MacVal,_xlfn.XLOOKUP($A519,Output_Mac!$A:$A,Output_Mac!U:U,""),
_xlpm.MyAuditVal,_xlfn.XLOOKUP($A519,My_Audit!$A:$A,My_Audit!R:R,""),
_xlfn.IFS(_xlpm.MyAuditVal&lt;&gt;"",UPPER(_xlpm.MyAuditVal),_xlpm.MacVal&lt;&gt;"",_xlpm.MacVal,_xlpm.CSVVal&lt;&gt;"",_xlpm.CSVVal
)),"")</f>
        <v/>
      </c>
    </row>
    <row r="520" spans="1:17">
      <c r="A520" s="2" t="str">
        <f>_xlfn.TEXTJOIN("",TRUE,Input!$B$2,ROW(My_Audit!A519))</f>
        <v>XX519</v>
      </c>
      <c r="B520" s="2" t="str">
        <f>_xlfn.TEXTJOIN("-",TRUE,"ITD",Input!$A$2,A520)</f>
        <v>ITD-SHRXXX-XX519</v>
      </c>
      <c r="C520" s="2" t="str" cm="1">
        <f t="array" ref="C520">IFERROR(_xlfn.LET(
_xlpm.CSVVal,_xlfn.XLOOKUP($A520,CSV!$A:$A,CSV!B:B,""),
_xlpm.MacVal,_xlfn.XLOOKUP($A520,Output_Mac!$A:$A,Output_Mac!B:B,""),
_xlpm.MyAuditVal,_xlfn.XLOOKUP($A520,My_Audit!$A:$A,My_Audit!B:B,""),
_xlfn.IFS(_xlpm.MyAuditVal&lt;&gt;"",UPPER(_xlpm.MyAuditVal),_xlpm.MacVal&lt;&gt;"",_xlpm.MacVal,_xlpm.CSVVal&lt;&gt;"",_xlpm.CSVVal
)),"")</f>
        <v/>
      </c>
      <c r="D520" s="2" t="str" cm="1">
        <f t="array" ref="D520">IFERROR(_xlfn.LET(
_xlpm.CSVVal,_xlfn.XLOOKUP($A520,CSV!$A:$A,CSV!D:D,""),
_xlpm.MacVal,_xlfn.XLOOKUP($A520,Output_Mac!$A:$A,Output_Mac!C:C,""),
_xlpm.MyAuditVal,_xlfn.XLOOKUP($A520,My_Audit!$A:$A,My_Audit!C:C,""),
_xlfn.IFS(_xlpm.MyAuditVal&lt;&gt;"",_xlpm.MyAuditVal,_xlpm.MacVal&lt;&gt;"",_xlpm.MacVal,_xlpm.CSVVal&lt;&gt;"",_xlpm.CSVVal
)),"")</f>
        <v/>
      </c>
      <c r="E520" s="2" t="str">
        <f>_xlfn.XLOOKUP(A520,My_Audit!A:A,My_Audit!D:D,"")&amp;""</f>
        <v/>
      </c>
      <c r="F520" s="2" t="str" cm="1">
        <f t="array" ref="F520">IFERROR(_xlfn.LET(
_xlpm.CSVVal,_xlfn.XLOOKUP($A520,CSV!$A:$A,CSV!F:F,""),
_xlpm.MacVal,_xlfn.XLOOKUP($A520,Output_Mac!$A:$A,Output_Mac!E:E,""),
_xlpm.MyAuditVal,_xlfn.XLOOKUP($A520,My_Audit!$A:$A,My_Audit!E:E,""),
_xlfn.IFS(_xlpm.MyAuditVal&lt;&gt;"",_xlpm.MyAuditVal,_xlpm.MacVal&lt;&gt;"",_xlpm.MacVal,_xlpm.CSVVal&lt;&gt;"",_xlpm.CSVVal
)),"")</f>
        <v/>
      </c>
      <c r="G520" s="2" t="str" cm="1">
        <f t="array" ref="G520">IFERROR(_xlfn.LET(
_xlpm.CSVVal,_xlfn.XLOOKUP($A520,CSV!$A:$A,CSV!G:G,""),
_xlpm.MacVal,_xlfn.XLOOKUP($A520,Output_Mac!$A:$A,Output_Mac!F:F,""),
_xlpm.MyAuditVal,_xlfn.XLOOKUP($A520,My_Audit!$A:$A,My_Audit!F:F,""),
_xlfn.IFS(_xlpm.MyAuditVal&lt;&gt;"",_xlpm.MyAuditVal,_xlpm.MacVal&lt;&gt;"",_xlpm.MacVal,_xlpm.CSVVal&lt;&gt;"",PROPER(_xlpm.CSVVal)
)),"")</f>
        <v/>
      </c>
      <c r="H520" s="2" t="str" cm="1">
        <f t="array" ref="H520">IFERROR(_xlfn.LET(
_xlpm.CSVVal,_xlfn.XLOOKUP($A520,CSV!$A:$A,CSV!H:H,""),
_xlpm.MacVal,_xlfn.XLOOKUP($A520,Output_Mac!$A:$A,Output_Mac!H:H,""),
_xlpm.MyAuditVal,_xlfn.XLOOKUP($A520,My_Audit!$A:$A,My_Audit!G:G,""),
_xlfn.IFS(_xlpm.MyAuditVal&lt;&gt;"",_xlpm.MyAuditVal,_xlpm.MacVal&lt;&gt;"",_xlpm.MacVal,_xlpm.CSVVal&lt;&gt;"",_xlpm.CSVVal
)),"")</f>
        <v/>
      </c>
      <c r="I520" s="2" t="str">
        <f>_xlfn.XLOOKUP(A520,Output_Mac!A:A,Output_Mac!I:I,"")</f>
        <v/>
      </c>
      <c r="J520" s="2" t="str" cm="1">
        <f t="array" ref="J520">IFERROR(_xlfn.LET(
_xlpm.CSVVal,_xlfn.XLOOKUP($A520,CSV!$A:$A,CSV!I:I,""),
_xlpm.MacVal,_xlfn.XLOOKUP($A520,Output_Mac!$A:$A,Output_Mac!J:J,""),
_xlpm.MyAuditVal,_xlfn.XLOOKUP($A520,My_Audit!$A:$A,My_Audit!I:I,""),
_xlfn.IFS(_xlpm.MyAuditVal&lt;&gt;"",UPPER(_xlpm.MyAuditVal),_xlpm.MacVal&lt;&gt;"",_xlpm.MacVal,_xlpm.CSVVal&lt;&gt;"",_xlpm.CSVVal
)),"")</f>
        <v/>
      </c>
      <c r="K520" s="2" t="str" cm="1">
        <f t="array" ref="K520">IFERROR(_xlfn.LET(
_xlpm.CSVVal,_xlfn.XLOOKUP($A520,CSV!$A:$A,CSV!K:K,""),
_xlpm.MacVal,_xlfn.XLOOKUP($A520,Output_Mac!$A:$A,Output_Mac!K:K,""),
_xlpm.MyAuditVal,_xlfn.XLOOKUP($A520,My_Audit!$A:$A,My_Audit!J:J,""),
_xlfn.IFS(_xlpm.MyAuditVal&lt;&gt;"",UPPER(_xlpm.MyAuditVal),_xlpm.MacVal&lt;&gt;"",_xlpm.MacVal,_xlpm.CSVVal&lt;&gt;"",_xlpm.CSVVal
)),"")</f>
        <v/>
      </c>
      <c r="L520" s="2" t="str" cm="1">
        <f t="array" ref="L520">IFERROR(_xlfn.LET(
_xlpm.CSVVal,_xlfn.XLOOKUP($A520,CSV!$A:$A,CSV!P:P,""),
_xlpm.MacVal,_xlfn.XLOOKUP($A520,Output_Mac!$A:$A,Output_Mac!L:L,""),
_xlpm.MyAuditVal,_xlfn.XLOOKUP($A520,My_Audit!$A:$A,My_Audit!K:K,""),
_xlfn.IFS(_xlpm.MyAuditVal&lt;&gt;"",UPPER(_xlpm.MyAuditVal),_xlpm.MacVal&lt;&gt;"",_xlpm.MacVal,_xlpm.CSVVal&lt;&gt;"",_xlpm.CSVVal
)),"")</f>
        <v/>
      </c>
      <c r="M520" s="2" t="str" cm="1">
        <f t="array" ref="M520">IFERROR(_xlfn.LET(
_xlpm.CSVVal,_xlfn.XLOOKUP($A520,CSV!$A:$A,CSV!Q:Q,""),
_xlpm.MacVal,_xlfn.XLOOKUP($A520,Output_Mac!$A:$A,Output_Mac!M:M,""),
_xlpm.MyAuditVal,_xlfn.XLOOKUP($A520,My_Audit!$A:$A,My_Audit!L:L,""),
_xlfn.IFS(_xlpm.MyAuditVal&lt;&gt;"",UPPER(_xlpm.MyAuditVal),_xlpm.MacVal&lt;&gt;"",_xlpm.MacVal,_xlpm.CSVVal&lt;&gt;"",_xlpm.CSVVal
)),"")</f>
        <v/>
      </c>
      <c r="O520" s="2" t="str">
        <f>_xlfn.LET(
    _xlpm.CSVVal, _xlfn.XLOOKUP($A520, CSV!$A:$A, CSV!AF:AF, ""),
    _xlpm.MacVal, _xlfn.XLOOKUP($A520, Output_Mac!$A:$A, Output_Mac!S:S, ""),
    _xlpm.MyAuditVal, _xlfn.XLOOKUP($A520, My_Audit!$A:$A, My_Audit!P:P, ""),
    _xlfn.TEXTJOIN(", ", TRUE, _xlpm.MyAuditVal, _xlpm.MacVal, _xlpm.CSVVal)
)</f>
        <v/>
      </c>
      <c r="P520" s="2" t="str" cm="1">
        <f t="array" ref="P520">IFERROR(_xlfn.LET(
_xlpm.CSVVal,_xlfn.XLOOKUP($A520,CSV!$A:$A,CSV!AG:AG,""),
_xlpm.MacVal,_xlfn.XLOOKUP($A520,Output_Mac!$A:$A,Output_Mac!T:T,""),
_xlpm.MyAuditVal,_xlfn.XLOOKUP($A520,My_Audit!$A:$A,My_Audit!Q:Q,""),
_xlfn.IFS(_xlpm.MyAuditVal&lt;&gt;"",UPPER(_xlpm.MyAuditVal),_xlpm.MacVal&lt;&gt;"",_xlpm.MacVal,_xlpm.CSVVal&lt;&gt;"",_xlpm.CSVVal
)),"No")</f>
        <v>No</v>
      </c>
      <c r="Q520" s="2" t="str" cm="1">
        <f t="array" ref="Q520">IFERROR(_xlfn.LET(
_xlpm.CSVVal,_xlfn.XLOOKUP($A520,CSV!$A:$A,CSV!AH:AH,""),
_xlpm.MacVal,_xlfn.XLOOKUP($A520,Output_Mac!$A:$A,Output_Mac!U:U,""),
_xlpm.MyAuditVal,_xlfn.XLOOKUP($A520,My_Audit!$A:$A,My_Audit!R:R,""),
_xlfn.IFS(_xlpm.MyAuditVal&lt;&gt;"",UPPER(_xlpm.MyAuditVal),_xlpm.MacVal&lt;&gt;"",_xlpm.MacVal,_xlpm.CSVVal&lt;&gt;"",_xlpm.CSVVal
)),"")</f>
        <v/>
      </c>
    </row>
    <row r="521" spans="1:17">
      <c r="A521" s="2" t="str">
        <f>_xlfn.TEXTJOIN("",TRUE,Input!$B$2,ROW(My_Audit!A520))</f>
        <v>XX520</v>
      </c>
      <c r="B521" s="2" t="str">
        <f>_xlfn.TEXTJOIN("-",TRUE,"ITD",Input!$A$2,A521)</f>
        <v>ITD-SHRXXX-XX520</v>
      </c>
      <c r="C521" s="2" t="str" cm="1">
        <f t="array" ref="C521">IFERROR(_xlfn.LET(
_xlpm.CSVVal,_xlfn.XLOOKUP($A521,CSV!$A:$A,CSV!B:B,""),
_xlpm.MacVal,_xlfn.XLOOKUP($A521,Output_Mac!$A:$A,Output_Mac!B:B,""),
_xlpm.MyAuditVal,_xlfn.XLOOKUP($A521,My_Audit!$A:$A,My_Audit!B:B,""),
_xlfn.IFS(_xlpm.MyAuditVal&lt;&gt;"",UPPER(_xlpm.MyAuditVal),_xlpm.MacVal&lt;&gt;"",_xlpm.MacVal,_xlpm.CSVVal&lt;&gt;"",_xlpm.CSVVal
)),"")</f>
        <v/>
      </c>
      <c r="D521" s="2" t="str" cm="1">
        <f t="array" ref="D521">IFERROR(_xlfn.LET(
_xlpm.CSVVal,_xlfn.XLOOKUP($A521,CSV!$A:$A,CSV!D:D,""),
_xlpm.MacVal,_xlfn.XLOOKUP($A521,Output_Mac!$A:$A,Output_Mac!C:C,""),
_xlpm.MyAuditVal,_xlfn.XLOOKUP($A521,My_Audit!$A:$A,My_Audit!C:C,""),
_xlfn.IFS(_xlpm.MyAuditVal&lt;&gt;"",_xlpm.MyAuditVal,_xlpm.MacVal&lt;&gt;"",_xlpm.MacVal,_xlpm.CSVVal&lt;&gt;"",_xlpm.CSVVal
)),"")</f>
        <v/>
      </c>
      <c r="E521" s="2" t="str">
        <f>_xlfn.XLOOKUP(A521,My_Audit!A:A,My_Audit!D:D,"")&amp;""</f>
        <v/>
      </c>
      <c r="F521" s="2" t="str" cm="1">
        <f t="array" ref="F521">IFERROR(_xlfn.LET(
_xlpm.CSVVal,_xlfn.XLOOKUP($A521,CSV!$A:$A,CSV!F:F,""),
_xlpm.MacVal,_xlfn.XLOOKUP($A521,Output_Mac!$A:$A,Output_Mac!E:E,""),
_xlpm.MyAuditVal,_xlfn.XLOOKUP($A521,My_Audit!$A:$A,My_Audit!E:E,""),
_xlfn.IFS(_xlpm.MyAuditVal&lt;&gt;"",_xlpm.MyAuditVal,_xlpm.MacVal&lt;&gt;"",_xlpm.MacVal,_xlpm.CSVVal&lt;&gt;"",_xlpm.CSVVal
)),"")</f>
        <v/>
      </c>
      <c r="G521" s="2" t="str" cm="1">
        <f t="array" ref="G521">IFERROR(_xlfn.LET(
_xlpm.CSVVal,_xlfn.XLOOKUP($A521,CSV!$A:$A,CSV!G:G,""),
_xlpm.MacVal,_xlfn.XLOOKUP($A521,Output_Mac!$A:$A,Output_Mac!F:F,""),
_xlpm.MyAuditVal,_xlfn.XLOOKUP($A521,My_Audit!$A:$A,My_Audit!F:F,""),
_xlfn.IFS(_xlpm.MyAuditVal&lt;&gt;"",_xlpm.MyAuditVal,_xlpm.MacVal&lt;&gt;"",_xlpm.MacVal,_xlpm.CSVVal&lt;&gt;"",PROPER(_xlpm.CSVVal)
)),"")</f>
        <v/>
      </c>
      <c r="H521" s="2" t="str" cm="1">
        <f t="array" ref="H521">IFERROR(_xlfn.LET(
_xlpm.CSVVal,_xlfn.XLOOKUP($A521,CSV!$A:$A,CSV!H:H,""),
_xlpm.MacVal,_xlfn.XLOOKUP($A521,Output_Mac!$A:$A,Output_Mac!H:H,""),
_xlpm.MyAuditVal,_xlfn.XLOOKUP($A521,My_Audit!$A:$A,My_Audit!G:G,""),
_xlfn.IFS(_xlpm.MyAuditVal&lt;&gt;"",_xlpm.MyAuditVal,_xlpm.MacVal&lt;&gt;"",_xlpm.MacVal,_xlpm.CSVVal&lt;&gt;"",_xlpm.CSVVal
)),"")</f>
        <v/>
      </c>
      <c r="I521" s="2" t="str">
        <f>_xlfn.XLOOKUP(A521,Output_Mac!A:A,Output_Mac!I:I,"")</f>
        <v/>
      </c>
      <c r="J521" s="2" t="str" cm="1">
        <f t="array" ref="J521">IFERROR(_xlfn.LET(
_xlpm.CSVVal,_xlfn.XLOOKUP($A521,CSV!$A:$A,CSV!I:I,""),
_xlpm.MacVal,_xlfn.XLOOKUP($A521,Output_Mac!$A:$A,Output_Mac!J:J,""),
_xlpm.MyAuditVal,_xlfn.XLOOKUP($A521,My_Audit!$A:$A,My_Audit!I:I,""),
_xlfn.IFS(_xlpm.MyAuditVal&lt;&gt;"",UPPER(_xlpm.MyAuditVal),_xlpm.MacVal&lt;&gt;"",_xlpm.MacVal,_xlpm.CSVVal&lt;&gt;"",_xlpm.CSVVal
)),"")</f>
        <v/>
      </c>
      <c r="K521" s="2" t="str" cm="1">
        <f t="array" ref="K521">IFERROR(_xlfn.LET(
_xlpm.CSVVal,_xlfn.XLOOKUP($A521,CSV!$A:$A,CSV!K:K,""),
_xlpm.MacVal,_xlfn.XLOOKUP($A521,Output_Mac!$A:$A,Output_Mac!K:K,""),
_xlpm.MyAuditVal,_xlfn.XLOOKUP($A521,My_Audit!$A:$A,My_Audit!J:J,""),
_xlfn.IFS(_xlpm.MyAuditVal&lt;&gt;"",UPPER(_xlpm.MyAuditVal),_xlpm.MacVal&lt;&gt;"",_xlpm.MacVal,_xlpm.CSVVal&lt;&gt;"",_xlpm.CSVVal
)),"")</f>
        <v/>
      </c>
      <c r="L521" s="2" t="str" cm="1">
        <f t="array" ref="L521">IFERROR(_xlfn.LET(
_xlpm.CSVVal,_xlfn.XLOOKUP($A521,CSV!$A:$A,CSV!P:P,""),
_xlpm.MacVal,_xlfn.XLOOKUP($A521,Output_Mac!$A:$A,Output_Mac!L:L,""),
_xlpm.MyAuditVal,_xlfn.XLOOKUP($A521,My_Audit!$A:$A,My_Audit!K:K,""),
_xlfn.IFS(_xlpm.MyAuditVal&lt;&gt;"",UPPER(_xlpm.MyAuditVal),_xlpm.MacVal&lt;&gt;"",_xlpm.MacVal,_xlpm.CSVVal&lt;&gt;"",_xlpm.CSVVal
)),"")</f>
        <v/>
      </c>
      <c r="M521" s="2" t="str" cm="1">
        <f t="array" ref="M521">IFERROR(_xlfn.LET(
_xlpm.CSVVal,_xlfn.XLOOKUP($A521,CSV!$A:$A,CSV!Q:Q,""),
_xlpm.MacVal,_xlfn.XLOOKUP($A521,Output_Mac!$A:$A,Output_Mac!M:M,""),
_xlpm.MyAuditVal,_xlfn.XLOOKUP($A521,My_Audit!$A:$A,My_Audit!L:L,""),
_xlfn.IFS(_xlpm.MyAuditVal&lt;&gt;"",UPPER(_xlpm.MyAuditVal),_xlpm.MacVal&lt;&gt;"",_xlpm.MacVal,_xlpm.CSVVal&lt;&gt;"",_xlpm.CSVVal
)),"")</f>
        <v/>
      </c>
      <c r="O521" s="2" t="str">
        <f>_xlfn.LET(
    _xlpm.CSVVal, _xlfn.XLOOKUP($A521, CSV!$A:$A, CSV!AF:AF, ""),
    _xlpm.MacVal, _xlfn.XLOOKUP($A521, Output_Mac!$A:$A, Output_Mac!S:S, ""),
    _xlpm.MyAuditVal, _xlfn.XLOOKUP($A521, My_Audit!$A:$A, My_Audit!P:P, ""),
    _xlfn.TEXTJOIN(", ", TRUE, _xlpm.MyAuditVal, _xlpm.MacVal, _xlpm.CSVVal)
)</f>
        <v/>
      </c>
      <c r="P521" s="2" t="str" cm="1">
        <f t="array" ref="P521">IFERROR(_xlfn.LET(
_xlpm.CSVVal,_xlfn.XLOOKUP($A521,CSV!$A:$A,CSV!AG:AG,""),
_xlpm.MacVal,_xlfn.XLOOKUP($A521,Output_Mac!$A:$A,Output_Mac!T:T,""),
_xlpm.MyAuditVal,_xlfn.XLOOKUP($A521,My_Audit!$A:$A,My_Audit!Q:Q,""),
_xlfn.IFS(_xlpm.MyAuditVal&lt;&gt;"",UPPER(_xlpm.MyAuditVal),_xlpm.MacVal&lt;&gt;"",_xlpm.MacVal,_xlpm.CSVVal&lt;&gt;"",_xlpm.CSVVal
)),"No")</f>
        <v>No</v>
      </c>
      <c r="Q521" s="2" t="str" cm="1">
        <f t="array" ref="Q521">IFERROR(_xlfn.LET(
_xlpm.CSVVal,_xlfn.XLOOKUP($A521,CSV!$A:$A,CSV!AH:AH,""),
_xlpm.MacVal,_xlfn.XLOOKUP($A521,Output_Mac!$A:$A,Output_Mac!U:U,""),
_xlpm.MyAuditVal,_xlfn.XLOOKUP($A521,My_Audit!$A:$A,My_Audit!R:R,""),
_xlfn.IFS(_xlpm.MyAuditVal&lt;&gt;"",UPPER(_xlpm.MyAuditVal),_xlpm.MacVal&lt;&gt;"",_xlpm.MacVal,_xlpm.CSVVal&lt;&gt;"",_xlpm.CSVVal
)),"")</f>
        <v/>
      </c>
    </row>
    <row r="522" spans="1:17">
      <c r="A522" s="2" t="str">
        <f>_xlfn.TEXTJOIN("",TRUE,Input!$B$2,ROW(My_Audit!A521))</f>
        <v>XX521</v>
      </c>
      <c r="B522" s="2" t="str">
        <f>_xlfn.TEXTJOIN("-",TRUE,"ITD",Input!$A$2,A522)</f>
        <v>ITD-SHRXXX-XX521</v>
      </c>
      <c r="C522" s="2" t="str" cm="1">
        <f t="array" ref="C522">IFERROR(_xlfn.LET(
_xlpm.CSVVal,_xlfn.XLOOKUP($A522,CSV!$A:$A,CSV!B:B,""),
_xlpm.MacVal,_xlfn.XLOOKUP($A522,Output_Mac!$A:$A,Output_Mac!B:B,""),
_xlpm.MyAuditVal,_xlfn.XLOOKUP($A522,My_Audit!$A:$A,My_Audit!B:B,""),
_xlfn.IFS(_xlpm.MyAuditVal&lt;&gt;"",UPPER(_xlpm.MyAuditVal),_xlpm.MacVal&lt;&gt;"",_xlpm.MacVal,_xlpm.CSVVal&lt;&gt;"",_xlpm.CSVVal
)),"")</f>
        <v/>
      </c>
      <c r="D522" s="2" t="str" cm="1">
        <f t="array" ref="D522">IFERROR(_xlfn.LET(
_xlpm.CSVVal,_xlfn.XLOOKUP($A522,CSV!$A:$A,CSV!D:D,""),
_xlpm.MacVal,_xlfn.XLOOKUP($A522,Output_Mac!$A:$A,Output_Mac!C:C,""),
_xlpm.MyAuditVal,_xlfn.XLOOKUP($A522,My_Audit!$A:$A,My_Audit!C:C,""),
_xlfn.IFS(_xlpm.MyAuditVal&lt;&gt;"",_xlpm.MyAuditVal,_xlpm.MacVal&lt;&gt;"",_xlpm.MacVal,_xlpm.CSVVal&lt;&gt;"",_xlpm.CSVVal
)),"")</f>
        <v/>
      </c>
      <c r="E522" s="2" t="str">
        <f>_xlfn.XLOOKUP(A522,My_Audit!A:A,My_Audit!D:D,"")&amp;""</f>
        <v/>
      </c>
      <c r="F522" s="2" t="str" cm="1">
        <f t="array" ref="F522">IFERROR(_xlfn.LET(
_xlpm.CSVVal,_xlfn.XLOOKUP($A522,CSV!$A:$A,CSV!F:F,""),
_xlpm.MacVal,_xlfn.XLOOKUP($A522,Output_Mac!$A:$A,Output_Mac!E:E,""),
_xlpm.MyAuditVal,_xlfn.XLOOKUP($A522,My_Audit!$A:$A,My_Audit!E:E,""),
_xlfn.IFS(_xlpm.MyAuditVal&lt;&gt;"",_xlpm.MyAuditVal,_xlpm.MacVal&lt;&gt;"",_xlpm.MacVal,_xlpm.CSVVal&lt;&gt;"",_xlpm.CSVVal
)),"")</f>
        <v/>
      </c>
      <c r="G522" s="2" t="str" cm="1">
        <f t="array" ref="G522">IFERROR(_xlfn.LET(
_xlpm.CSVVal,_xlfn.XLOOKUP($A522,CSV!$A:$A,CSV!G:G,""),
_xlpm.MacVal,_xlfn.XLOOKUP($A522,Output_Mac!$A:$A,Output_Mac!F:F,""),
_xlpm.MyAuditVal,_xlfn.XLOOKUP($A522,My_Audit!$A:$A,My_Audit!F:F,""),
_xlfn.IFS(_xlpm.MyAuditVal&lt;&gt;"",_xlpm.MyAuditVal,_xlpm.MacVal&lt;&gt;"",_xlpm.MacVal,_xlpm.CSVVal&lt;&gt;"",PROPER(_xlpm.CSVVal)
)),"")</f>
        <v/>
      </c>
      <c r="H522" s="2" t="str" cm="1">
        <f t="array" ref="H522">IFERROR(_xlfn.LET(
_xlpm.CSVVal,_xlfn.XLOOKUP($A522,CSV!$A:$A,CSV!H:H,""),
_xlpm.MacVal,_xlfn.XLOOKUP($A522,Output_Mac!$A:$A,Output_Mac!H:H,""),
_xlpm.MyAuditVal,_xlfn.XLOOKUP($A522,My_Audit!$A:$A,My_Audit!G:G,""),
_xlfn.IFS(_xlpm.MyAuditVal&lt;&gt;"",_xlpm.MyAuditVal,_xlpm.MacVal&lt;&gt;"",_xlpm.MacVal,_xlpm.CSVVal&lt;&gt;"",_xlpm.CSVVal
)),"")</f>
        <v/>
      </c>
      <c r="I522" s="2" t="str">
        <f>_xlfn.XLOOKUP(A522,Output_Mac!A:A,Output_Mac!I:I,"")</f>
        <v/>
      </c>
      <c r="J522" s="2" t="str" cm="1">
        <f t="array" ref="J522">IFERROR(_xlfn.LET(
_xlpm.CSVVal,_xlfn.XLOOKUP($A522,CSV!$A:$A,CSV!I:I,""),
_xlpm.MacVal,_xlfn.XLOOKUP($A522,Output_Mac!$A:$A,Output_Mac!J:J,""),
_xlpm.MyAuditVal,_xlfn.XLOOKUP($A522,My_Audit!$A:$A,My_Audit!I:I,""),
_xlfn.IFS(_xlpm.MyAuditVal&lt;&gt;"",UPPER(_xlpm.MyAuditVal),_xlpm.MacVal&lt;&gt;"",_xlpm.MacVal,_xlpm.CSVVal&lt;&gt;"",_xlpm.CSVVal
)),"")</f>
        <v/>
      </c>
      <c r="K522" s="2" t="str" cm="1">
        <f t="array" ref="K522">IFERROR(_xlfn.LET(
_xlpm.CSVVal,_xlfn.XLOOKUP($A522,CSV!$A:$A,CSV!K:K,""),
_xlpm.MacVal,_xlfn.XLOOKUP($A522,Output_Mac!$A:$A,Output_Mac!K:K,""),
_xlpm.MyAuditVal,_xlfn.XLOOKUP($A522,My_Audit!$A:$A,My_Audit!J:J,""),
_xlfn.IFS(_xlpm.MyAuditVal&lt;&gt;"",UPPER(_xlpm.MyAuditVal),_xlpm.MacVal&lt;&gt;"",_xlpm.MacVal,_xlpm.CSVVal&lt;&gt;"",_xlpm.CSVVal
)),"")</f>
        <v/>
      </c>
      <c r="L522" s="2" t="str" cm="1">
        <f t="array" ref="L522">IFERROR(_xlfn.LET(
_xlpm.CSVVal,_xlfn.XLOOKUP($A522,CSV!$A:$A,CSV!P:P,""),
_xlpm.MacVal,_xlfn.XLOOKUP($A522,Output_Mac!$A:$A,Output_Mac!L:L,""),
_xlpm.MyAuditVal,_xlfn.XLOOKUP($A522,My_Audit!$A:$A,My_Audit!K:K,""),
_xlfn.IFS(_xlpm.MyAuditVal&lt;&gt;"",UPPER(_xlpm.MyAuditVal),_xlpm.MacVal&lt;&gt;"",_xlpm.MacVal,_xlpm.CSVVal&lt;&gt;"",_xlpm.CSVVal
)),"")</f>
        <v/>
      </c>
      <c r="M522" s="2" t="str" cm="1">
        <f t="array" ref="M522">IFERROR(_xlfn.LET(
_xlpm.CSVVal,_xlfn.XLOOKUP($A522,CSV!$A:$A,CSV!Q:Q,""),
_xlpm.MacVal,_xlfn.XLOOKUP($A522,Output_Mac!$A:$A,Output_Mac!M:M,""),
_xlpm.MyAuditVal,_xlfn.XLOOKUP($A522,My_Audit!$A:$A,My_Audit!L:L,""),
_xlfn.IFS(_xlpm.MyAuditVal&lt;&gt;"",UPPER(_xlpm.MyAuditVal),_xlpm.MacVal&lt;&gt;"",_xlpm.MacVal,_xlpm.CSVVal&lt;&gt;"",_xlpm.CSVVal
)),"")</f>
        <v/>
      </c>
      <c r="O522" s="2" t="str">
        <f>_xlfn.LET(
    _xlpm.CSVVal, _xlfn.XLOOKUP($A522, CSV!$A:$A, CSV!AF:AF, ""),
    _xlpm.MacVal, _xlfn.XLOOKUP($A522, Output_Mac!$A:$A, Output_Mac!S:S, ""),
    _xlpm.MyAuditVal, _xlfn.XLOOKUP($A522, My_Audit!$A:$A, My_Audit!P:P, ""),
    _xlfn.TEXTJOIN(", ", TRUE, _xlpm.MyAuditVal, _xlpm.MacVal, _xlpm.CSVVal)
)</f>
        <v/>
      </c>
      <c r="P522" s="2" t="str" cm="1">
        <f t="array" ref="P522">IFERROR(_xlfn.LET(
_xlpm.CSVVal,_xlfn.XLOOKUP($A522,CSV!$A:$A,CSV!AG:AG,""),
_xlpm.MacVal,_xlfn.XLOOKUP($A522,Output_Mac!$A:$A,Output_Mac!T:T,""),
_xlpm.MyAuditVal,_xlfn.XLOOKUP($A522,My_Audit!$A:$A,My_Audit!Q:Q,""),
_xlfn.IFS(_xlpm.MyAuditVal&lt;&gt;"",UPPER(_xlpm.MyAuditVal),_xlpm.MacVal&lt;&gt;"",_xlpm.MacVal,_xlpm.CSVVal&lt;&gt;"",_xlpm.CSVVal
)),"No")</f>
        <v>No</v>
      </c>
      <c r="Q522" s="2" t="str" cm="1">
        <f t="array" ref="Q522">IFERROR(_xlfn.LET(
_xlpm.CSVVal,_xlfn.XLOOKUP($A522,CSV!$A:$A,CSV!AH:AH,""),
_xlpm.MacVal,_xlfn.XLOOKUP($A522,Output_Mac!$A:$A,Output_Mac!U:U,""),
_xlpm.MyAuditVal,_xlfn.XLOOKUP($A522,My_Audit!$A:$A,My_Audit!R:R,""),
_xlfn.IFS(_xlpm.MyAuditVal&lt;&gt;"",UPPER(_xlpm.MyAuditVal),_xlpm.MacVal&lt;&gt;"",_xlpm.MacVal,_xlpm.CSVVal&lt;&gt;"",_xlpm.CSVVal
)),"")</f>
        <v/>
      </c>
    </row>
    <row r="523" spans="1:17">
      <c r="A523" s="2" t="str">
        <f>_xlfn.TEXTJOIN("",TRUE,Input!$B$2,ROW(My_Audit!A522))</f>
        <v>XX522</v>
      </c>
      <c r="B523" s="2" t="str">
        <f>_xlfn.TEXTJOIN("-",TRUE,"ITD",Input!$A$2,A523)</f>
        <v>ITD-SHRXXX-XX522</v>
      </c>
      <c r="C523" s="2" t="str" cm="1">
        <f t="array" ref="C523">IFERROR(_xlfn.LET(
_xlpm.CSVVal,_xlfn.XLOOKUP($A523,CSV!$A:$A,CSV!B:B,""),
_xlpm.MacVal,_xlfn.XLOOKUP($A523,Output_Mac!$A:$A,Output_Mac!B:B,""),
_xlpm.MyAuditVal,_xlfn.XLOOKUP($A523,My_Audit!$A:$A,My_Audit!B:B,""),
_xlfn.IFS(_xlpm.MyAuditVal&lt;&gt;"",UPPER(_xlpm.MyAuditVal),_xlpm.MacVal&lt;&gt;"",_xlpm.MacVal,_xlpm.CSVVal&lt;&gt;"",_xlpm.CSVVal
)),"")</f>
        <v/>
      </c>
      <c r="D523" s="2" t="str" cm="1">
        <f t="array" ref="D523">IFERROR(_xlfn.LET(
_xlpm.CSVVal,_xlfn.XLOOKUP($A523,CSV!$A:$A,CSV!D:D,""),
_xlpm.MacVal,_xlfn.XLOOKUP($A523,Output_Mac!$A:$A,Output_Mac!C:C,""),
_xlpm.MyAuditVal,_xlfn.XLOOKUP($A523,My_Audit!$A:$A,My_Audit!C:C,""),
_xlfn.IFS(_xlpm.MyAuditVal&lt;&gt;"",_xlpm.MyAuditVal,_xlpm.MacVal&lt;&gt;"",_xlpm.MacVal,_xlpm.CSVVal&lt;&gt;"",_xlpm.CSVVal
)),"")</f>
        <v/>
      </c>
      <c r="E523" s="2" t="str">
        <f>_xlfn.XLOOKUP(A523,My_Audit!A:A,My_Audit!D:D,"")&amp;""</f>
        <v/>
      </c>
      <c r="F523" s="2" t="str" cm="1">
        <f t="array" ref="F523">IFERROR(_xlfn.LET(
_xlpm.CSVVal,_xlfn.XLOOKUP($A523,CSV!$A:$A,CSV!F:F,""),
_xlpm.MacVal,_xlfn.XLOOKUP($A523,Output_Mac!$A:$A,Output_Mac!E:E,""),
_xlpm.MyAuditVal,_xlfn.XLOOKUP($A523,My_Audit!$A:$A,My_Audit!E:E,""),
_xlfn.IFS(_xlpm.MyAuditVal&lt;&gt;"",_xlpm.MyAuditVal,_xlpm.MacVal&lt;&gt;"",_xlpm.MacVal,_xlpm.CSVVal&lt;&gt;"",_xlpm.CSVVal
)),"")</f>
        <v/>
      </c>
      <c r="G523" s="2" t="str" cm="1">
        <f t="array" ref="G523">IFERROR(_xlfn.LET(
_xlpm.CSVVal,_xlfn.XLOOKUP($A523,CSV!$A:$A,CSV!G:G,""),
_xlpm.MacVal,_xlfn.XLOOKUP($A523,Output_Mac!$A:$A,Output_Mac!F:F,""),
_xlpm.MyAuditVal,_xlfn.XLOOKUP($A523,My_Audit!$A:$A,My_Audit!F:F,""),
_xlfn.IFS(_xlpm.MyAuditVal&lt;&gt;"",_xlpm.MyAuditVal,_xlpm.MacVal&lt;&gt;"",_xlpm.MacVal,_xlpm.CSVVal&lt;&gt;"",PROPER(_xlpm.CSVVal)
)),"")</f>
        <v/>
      </c>
      <c r="H523" s="2" t="str" cm="1">
        <f t="array" ref="H523">IFERROR(_xlfn.LET(
_xlpm.CSVVal,_xlfn.XLOOKUP($A523,CSV!$A:$A,CSV!H:H,""),
_xlpm.MacVal,_xlfn.XLOOKUP($A523,Output_Mac!$A:$A,Output_Mac!H:H,""),
_xlpm.MyAuditVal,_xlfn.XLOOKUP($A523,My_Audit!$A:$A,My_Audit!G:G,""),
_xlfn.IFS(_xlpm.MyAuditVal&lt;&gt;"",_xlpm.MyAuditVal,_xlpm.MacVal&lt;&gt;"",_xlpm.MacVal,_xlpm.CSVVal&lt;&gt;"",_xlpm.CSVVal
)),"")</f>
        <v/>
      </c>
      <c r="I523" s="2" t="str">
        <f>_xlfn.XLOOKUP(A523,Output_Mac!A:A,Output_Mac!I:I,"")</f>
        <v/>
      </c>
      <c r="J523" s="2" t="str" cm="1">
        <f t="array" ref="J523">IFERROR(_xlfn.LET(
_xlpm.CSVVal,_xlfn.XLOOKUP($A523,CSV!$A:$A,CSV!I:I,""),
_xlpm.MacVal,_xlfn.XLOOKUP($A523,Output_Mac!$A:$A,Output_Mac!J:J,""),
_xlpm.MyAuditVal,_xlfn.XLOOKUP($A523,My_Audit!$A:$A,My_Audit!I:I,""),
_xlfn.IFS(_xlpm.MyAuditVal&lt;&gt;"",UPPER(_xlpm.MyAuditVal),_xlpm.MacVal&lt;&gt;"",_xlpm.MacVal,_xlpm.CSVVal&lt;&gt;"",_xlpm.CSVVal
)),"")</f>
        <v/>
      </c>
      <c r="K523" s="2" t="str" cm="1">
        <f t="array" ref="K523">IFERROR(_xlfn.LET(
_xlpm.CSVVal,_xlfn.XLOOKUP($A523,CSV!$A:$A,CSV!K:K,""),
_xlpm.MacVal,_xlfn.XLOOKUP($A523,Output_Mac!$A:$A,Output_Mac!K:K,""),
_xlpm.MyAuditVal,_xlfn.XLOOKUP($A523,My_Audit!$A:$A,My_Audit!J:J,""),
_xlfn.IFS(_xlpm.MyAuditVal&lt;&gt;"",UPPER(_xlpm.MyAuditVal),_xlpm.MacVal&lt;&gt;"",_xlpm.MacVal,_xlpm.CSVVal&lt;&gt;"",_xlpm.CSVVal
)),"")</f>
        <v/>
      </c>
      <c r="L523" s="2" t="str" cm="1">
        <f t="array" ref="L523">IFERROR(_xlfn.LET(
_xlpm.CSVVal,_xlfn.XLOOKUP($A523,CSV!$A:$A,CSV!P:P,""),
_xlpm.MacVal,_xlfn.XLOOKUP($A523,Output_Mac!$A:$A,Output_Mac!L:L,""),
_xlpm.MyAuditVal,_xlfn.XLOOKUP($A523,My_Audit!$A:$A,My_Audit!K:K,""),
_xlfn.IFS(_xlpm.MyAuditVal&lt;&gt;"",UPPER(_xlpm.MyAuditVal),_xlpm.MacVal&lt;&gt;"",_xlpm.MacVal,_xlpm.CSVVal&lt;&gt;"",_xlpm.CSVVal
)),"")</f>
        <v/>
      </c>
      <c r="M523" s="2" t="str" cm="1">
        <f t="array" ref="M523">IFERROR(_xlfn.LET(
_xlpm.CSVVal,_xlfn.XLOOKUP($A523,CSV!$A:$A,CSV!Q:Q,""),
_xlpm.MacVal,_xlfn.XLOOKUP($A523,Output_Mac!$A:$A,Output_Mac!M:M,""),
_xlpm.MyAuditVal,_xlfn.XLOOKUP($A523,My_Audit!$A:$A,My_Audit!L:L,""),
_xlfn.IFS(_xlpm.MyAuditVal&lt;&gt;"",UPPER(_xlpm.MyAuditVal),_xlpm.MacVal&lt;&gt;"",_xlpm.MacVal,_xlpm.CSVVal&lt;&gt;"",_xlpm.CSVVal
)),"")</f>
        <v/>
      </c>
      <c r="O523" s="2" t="str">
        <f>_xlfn.LET(
    _xlpm.CSVVal, _xlfn.XLOOKUP($A523, CSV!$A:$A, CSV!AF:AF, ""),
    _xlpm.MacVal, _xlfn.XLOOKUP($A523, Output_Mac!$A:$A, Output_Mac!S:S, ""),
    _xlpm.MyAuditVal, _xlfn.XLOOKUP($A523, My_Audit!$A:$A, My_Audit!P:P, ""),
    _xlfn.TEXTJOIN(", ", TRUE, _xlpm.MyAuditVal, _xlpm.MacVal, _xlpm.CSVVal)
)</f>
        <v/>
      </c>
      <c r="P523" s="2" t="str" cm="1">
        <f t="array" ref="P523">IFERROR(_xlfn.LET(
_xlpm.CSVVal,_xlfn.XLOOKUP($A523,CSV!$A:$A,CSV!AG:AG,""),
_xlpm.MacVal,_xlfn.XLOOKUP($A523,Output_Mac!$A:$A,Output_Mac!T:T,""),
_xlpm.MyAuditVal,_xlfn.XLOOKUP($A523,My_Audit!$A:$A,My_Audit!Q:Q,""),
_xlfn.IFS(_xlpm.MyAuditVal&lt;&gt;"",UPPER(_xlpm.MyAuditVal),_xlpm.MacVal&lt;&gt;"",_xlpm.MacVal,_xlpm.CSVVal&lt;&gt;"",_xlpm.CSVVal
)),"No")</f>
        <v>No</v>
      </c>
      <c r="Q523" s="2" t="str" cm="1">
        <f t="array" ref="Q523">IFERROR(_xlfn.LET(
_xlpm.CSVVal,_xlfn.XLOOKUP($A523,CSV!$A:$A,CSV!AH:AH,""),
_xlpm.MacVal,_xlfn.XLOOKUP($A523,Output_Mac!$A:$A,Output_Mac!U:U,""),
_xlpm.MyAuditVal,_xlfn.XLOOKUP($A523,My_Audit!$A:$A,My_Audit!R:R,""),
_xlfn.IFS(_xlpm.MyAuditVal&lt;&gt;"",UPPER(_xlpm.MyAuditVal),_xlpm.MacVal&lt;&gt;"",_xlpm.MacVal,_xlpm.CSVVal&lt;&gt;"",_xlpm.CSVVal
)),"")</f>
        <v/>
      </c>
    </row>
    <row r="524" spans="1:17">
      <c r="A524" s="2" t="str">
        <f>_xlfn.TEXTJOIN("",TRUE,Input!$B$2,ROW(My_Audit!A523))</f>
        <v>XX523</v>
      </c>
      <c r="B524" s="2" t="str">
        <f>_xlfn.TEXTJOIN("-",TRUE,"ITD",Input!$A$2,A524)</f>
        <v>ITD-SHRXXX-XX523</v>
      </c>
      <c r="C524" s="2" t="str" cm="1">
        <f t="array" ref="C524">IFERROR(_xlfn.LET(
_xlpm.CSVVal,_xlfn.XLOOKUP($A524,CSV!$A:$A,CSV!B:B,""),
_xlpm.MacVal,_xlfn.XLOOKUP($A524,Output_Mac!$A:$A,Output_Mac!B:B,""),
_xlpm.MyAuditVal,_xlfn.XLOOKUP($A524,My_Audit!$A:$A,My_Audit!B:B,""),
_xlfn.IFS(_xlpm.MyAuditVal&lt;&gt;"",UPPER(_xlpm.MyAuditVal),_xlpm.MacVal&lt;&gt;"",_xlpm.MacVal,_xlpm.CSVVal&lt;&gt;"",_xlpm.CSVVal
)),"")</f>
        <v/>
      </c>
      <c r="D524" s="2" t="str" cm="1">
        <f t="array" ref="D524">IFERROR(_xlfn.LET(
_xlpm.CSVVal,_xlfn.XLOOKUP($A524,CSV!$A:$A,CSV!D:D,""),
_xlpm.MacVal,_xlfn.XLOOKUP($A524,Output_Mac!$A:$A,Output_Mac!C:C,""),
_xlpm.MyAuditVal,_xlfn.XLOOKUP($A524,My_Audit!$A:$A,My_Audit!C:C,""),
_xlfn.IFS(_xlpm.MyAuditVal&lt;&gt;"",_xlpm.MyAuditVal,_xlpm.MacVal&lt;&gt;"",_xlpm.MacVal,_xlpm.CSVVal&lt;&gt;"",_xlpm.CSVVal
)),"")</f>
        <v/>
      </c>
      <c r="E524" s="2" t="str">
        <f>_xlfn.XLOOKUP(A524,My_Audit!A:A,My_Audit!D:D,"")&amp;""</f>
        <v/>
      </c>
      <c r="F524" s="2" t="str" cm="1">
        <f t="array" ref="F524">IFERROR(_xlfn.LET(
_xlpm.CSVVal,_xlfn.XLOOKUP($A524,CSV!$A:$A,CSV!F:F,""),
_xlpm.MacVal,_xlfn.XLOOKUP($A524,Output_Mac!$A:$A,Output_Mac!E:E,""),
_xlpm.MyAuditVal,_xlfn.XLOOKUP($A524,My_Audit!$A:$A,My_Audit!E:E,""),
_xlfn.IFS(_xlpm.MyAuditVal&lt;&gt;"",_xlpm.MyAuditVal,_xlpm.MacVal&lt;&gt;"",_xlpm.MacVal,_xlpm.CSVVal&lt;&gt;"",_xlpm.CSVVal
)),"")</f>
        <v/>
      </c>
      <c r="G524" s="2" t="str" cm="1">
        <f t="array" ref="G524">IFERROR(_xlfn.LET(
_xlpm.CSVVal,_xlfn.XLOOKUP($A524,CSV!$A:$A,CSV!G:G,""),
_xlpm.MacVal,_xlfn.XLOOKUP($A524,Output_Mac!$A:$A,Output_Mac!F:F,""),
_xlpm.MyAuditVal,_xlfn.XLOOKUP($A524,My_Audit!$A:$A,My_Audit!F:F,""),
_xlfn.IFS(_xlpm.MyAuditVal&lt;&gt;"",_xlpm.MyAuditVal,_xlpm.MacVal&lt;&gt;"",_xlpm.MacVal,_xlpm.CSVVal&lt;&gt;"",PROPER(_xlpm.CSVVal)
)),"")</f>
        <v/>
      </c>
      <c r="H524" s="2" t="str" cm="1">
        <f t="array" ref="H524">IFERROR(_xlfn.LET(
_xlpm.CSVVal,_xlfn.XLOOKUP($A524,CSV!$A:$A,CSV!H:H,""),
_xlpm.MacVal,_xlfn.XLOOKUP($A524,Output_Mac!$A:$A,Output_Mac!H:H,""),
_xlpm.MyAuditVal,_xlfn.XLOOKUP($A524,My_Audit!$A:$A,My_Audit!G:G,""),
_xlfn.IFS(_xlpm.MyAuditVal&lt;&gt;"",_xlpm.MyAuditVal,_xlpm.MacVal&lt;&gt;"",_xlpm.MacVal,_xlpm.CSVVal&lt;&gt;"",_xlpm.CSVVal
)),"")</f>
        <v/>
      </c>
      <c r="I524" s="2" t="str">
        <f>_xlfn.XLOOKUP(A524,Output_Mac!A:A,Output_Mac!I:I,"")</f>
        <v/>
      </c>
      <c r="J524" s="2" t="str" cm="1">
        <f t="array" ref="J524">IFERROR(_xlfn.LET(
_xlpm.CSVVal,_xlfn.XLOOKUP($A524,CSV!$A:$A,CSV!I:I,""),
_xlpm.MacVal,_xlfn.XLOOKUP($A524,Output_Mac!$A:$A,Output_Mac!J:J,""),
_xlpm.MyAuditVal,_xlfn.XLOOKUP($A524,My_Audit!$A:$A,My_Audit!I:I,""),
_xlfn.IFS(_xlpm.MyAuditVal&lt;&gt;"",UPPER(_xlpm.MyAuditVal),_xlpm.MacVal&lt;&gt;"",_xlpm.MacVal,_xlpm.CSVVal&lt;&gt;"",_xlpm.CSVVal
)),"")</f>
        <v/>
      </c>
      <c r="K524" s="2" t="str" cm="1">
        <f t="array" ref="K524">IFERROR(_xlfn.LET(
_xlpm.CSVVal,_xlfn.XLOOKUP($A524,CSV!$A:$A,CSV!K:K,""),
_xlpm.MacVal,_xlfn.XLOOKUP($A524,Output_Mac!$A:$A,Output_Mac!K:K,""),
_xlpm.MyAuditVal,_xlfn.XLOOKUP($A524,My_Audit!$A:$A,My_Audit!J:J,""),
_xlfn.IFS(_xlpm.MyAuditVal&lt;&gt;"",UPPER(_xlpm.MyAuditVal),_xlpm.MacVal&lt;&gt;"",_xlpm.MacVal,_xlpm.CSVVal&lt;&gt;"",_xlpm.CSVVal
)),"")</f>
        <v/>
      </c>
      <c r="L524" s="2" t="str" cm="1">
        <f t="array" ref="L524">IFERROR(_xlfn.LET(
_xlpm.CSVVal,_xlfn.XLOOKUP($A524,CSV!$A:$A,CSV!P:P,""),
_xlpm.MacVal,_xlfn.XLOOKUP($A524,Output_Mac!$A:$A,Output_Mac!L:L,""),
_xlpm.MyAuditVal,_xlfn.XLOOKUP($A524,My_Audit!$A:$A,My_Audit!K:K,""),
_xlfn.IFS(_xlpm.MyAuditVal&lt;&gt;"",UPPER(_xlpm.MyAuditVal),_xlpm.MacVal&lt;&gt;"",_xlpm.MacVal,_xlpm.CSVVal&lt;&gt;"",_xlpm.CSVVal
)),"")</f>
        <v/>
      </c>
      <c r="M524" s="2" t="str" cm="1">
        <f t="array" ref="M524">IFERROR(_xlfn.LET(
_xlpm.CSVVal,_xlfn.XLOOKUP($A524,CSV!$A:$A,CSV!Q:Q,""),
_xlpm.MacVal,_xlfn.XLOOKUP($A524,Output_Mac!$A:$A,Output_Mac!M:M,""),
_xlpm.MyAuditVal,_xlfn.XLOOKUP($A524,My_Audit!$A:$A,My_Audit!L:L,""),
_xlfn.IFS(_xlpm.MyAuditVal&lt;&gt;"",UPPER(_xlpm.MyAuditVal),_xlpm.MacVal&lt;&gt;"",_xlpm.MacVal,_xlpm.CSVVal&lt;&gt;"",_xlpm.CSVVal
)),"")</f>
        <v/>
      </c>
      <c r="O524" s="2" t="str">
        <f>_xlfn.LET(
    _xlpm.CSVVal, _xlfn.XLOOKUP($A524, CSV!$A:$A, CSV!AF:AF, ""),
    _xlpm.MacVal, _xlfn.XLOOKUP($A524, Output_Mac!$A:$A, Output_Mac!S:S, ""),
    _xlpm.MyAuditVal, _xlfn.XLOOKUP($A524, My_Audit!$A:$A, My_Audit!P:P, ""),
    _xlfn.TEXTJOIN(", ", TRUE, _xlpm.MyAuditVal, _xlpm.MacVal, _xlpm.CSVVal)
)</f>
        <v/>
      </c>
      <c r="P524" s="2" t="str" cm="1">
        <f t="array" ref="P524">IFERROR(_xlfn.LET(
_xlpm.CSVVal,_xlfn.XLOOKUP($A524,CSV!$A:$A,CSV!AG:AG,""),
_xlpm.MacVal,_xlfn.XLOOKUP($A524,Output_Mac!$A:$A,Output_Mac!T:T,""),
_xlpm.MyAuditVal,_xlfn.XLOOKUP($A524,My_Audit!$A:$A,My_Audit!Q:Q,""),
_xlfn.IFS(_xlpm.MyAuditVal&lt;&gt;"",UPPER(_xlpm.MyAuditVal),_xlpm.MacVal&lt;&gt;"",_xlpm.MacVal,_xlpm.CSVVal&lt;&gt;"",_xlpm.CSVVal
)),"No")</f>
        <v>No</v>
      </c>
      <c r="Q524" s="2" t="str" cm="1">
        <f t="array" ref="Q524">IFERROR(_xlfn.LET(
_xlpm.CSVVal,_xlfn.XLOOKUP($A524,CSV!$A:$A,CSV!AH:AH,""),
_xlpm.MacVal,_xlfn.XLOOKUP($A524,Output_Mac!$A:$A,Output_Mac!U:U,""),
_xlpm.MyAuditVal,_xlfn.XLOOKUP($A524,My_Audit!$A:$A,My_Audit!R:R,""),
_xlfn.IFS(_xlpm.MyAuditVal&lt;&gt;"",UPPER(_xlpm.MyAuditVal),_xlpm.MacVal&lt;&gt;"",_xlpm.MacVal,_xlpm.CSVVal&lt;&gt;"",_xlpm.CSVVal
)),"")</f>
        <v/>
      </c>
    </row>
    <row r="525" spans="1:17">
      <c r="A525" s="2" t="str">
        <f>_xlfn.TEXTJOIN("",TRUE,Input!$B$2,ROW(My_Audit!A524))</f>
        <v>XX524</v>
      </c>
      <c r="B525" s="2" t="str">
        <f>_xlfn.TEXTJOIN("-",TRUE,"ITD",Input!$A$2,A525)</f>
        <v>ITD-SHRXXX-XX524</v>
      </c>
      <c r="C525" s="2" t="str" cm="1">
        <f t="array" ref="C525">IFERROR(_xlfn.LET(
_xlpm.CSVVal,_xlfn.XLOOKUP($A525,CSV!$A:$A,CSV!B:B,""),
_xlpm.MacVal,_xlfn.XLOOKUP($A525,Output_Mac!$A:$A,Output_Mac!B:B,""),
_xlpm.MyAuditVal,_xlfn.XLOOKUP($A525,My_Audit!$A:$A,My_Audit!B:B,""),
_xlfn.IFS(_xlpm.MyAuditVal&lt;&gt;"",UPPER(_xlpm.MyAuditVal),_xlpm.MacVal&lt;&gt;"",_xlpm.MacVal,_xlpm.CSVVal&lt;&gt;"",_xlpm.CSVVal
)),"")</f>
        <v/>
      </c>
      <c r="D525" s="2" t="str" cm="1">
        <f t="array" ref="D525">IFERROR(_xlfn.LET(
_xlpm.CSVVal,_xlfn.XLOOKUP($A525,CSV!$A:$A,CSV!D:D,""),
_xlpm.MacVal,_xlfn.XLOOKUP($A525,Output_Mac!$A:$A,Output_Mac!C:C,""),
_xlpm.MyAuditVal,_xlfn.XLOOKUP($A525,My_Audit!$A:$A,My_Audit!C:C,""),
_xlfn.IFS(_xlpm.MyAuditVal&lt;&gt;"",_xlpm.MyAuditVal,_xlpm.MacVal&lt;&gt;"",_xlpm.MacVal,_xlpm.CSVVal&lt;&gt;"",_xlpm.CSVVal
)),"")</f>
        <v/>
      </c>
      <c r="E525" s="2" t="str">
        <f>_xlfn.XLOOKUP(A525,My_Audit!A:A,My_Audit!D:D,"")&amp;""</f>
        <v/>
      </c>
      <c r="F525" s="2" t="str" cm="1">
        <f t="array" ref="F525">IFERROR(_xlfn.LET(
_xlpm.CSVVal,_xlfn.XLOOKUP($A525,CSV!$A:$A,CSV!F:F,""),
_xlpm.MacVal,_xlfn.XLOOKUP($A525,Output_Mac!$A:$A,Output_Mac!E:E,""),
_xlpm.MyAuditVal,_xlfn.XLOOKUP($A525,My_Audit!$A:$A,My_Audit!E:E,""),
_xlfn.IFS(_xlpm.MyAuditVal&lt;&gt;"",_xlpm.MyAuditVal,_xlpm.MacVal&lt;&gt;"",_xlpm.MacVal,_xlpm.CSVVal&lt;&gt;"",_xlpm.CSVVal
)),"")</f>
        <v/>
      </c>
      <c r="G525" s="2" t="str" cm="1">
        <f t="array" ref="G525">IFERROR(_xlfn.LET(
_xlpm.CSVVal,_xlfn.XLOOKUP($A525,CSV!$A:$A,CSV!G:G,""),
_xlpm.MacVal,_xlfn.XLOOKUP($A525,Output_Mac!$A:$A,Output_Mac!F:F,""),
_xlpm.MyAuditVal,_xlfn.XLOOKUP($A525,My_Audit!$A:$A,My_Audit!F:F,""),
_xlfn.IFS(_xlpm.MyAuditVal&lt;&gt;"",_xlpm.MyAuditVal,_xlpm.MacVal&lt;&gt;"",_xlpm.MacVal,_xlpm.CSVVal&lt;&gt;"",PROPER(_xlpm.CSVVal)
)),"")</f>
        <v/>
      </c>
      <c r="H525" s="2" t="str" cm="1">
        <f t="array" ref="H525">IFERROR(_xlfn.LET(
_xlpm.CSVVal,_xlfn.XLOOKUP($A525,CSV!$A:$A,CSV!H:H,""),
_xlpm.MacVal,_xlfn.XLOOKUP($A525,Output_Mac!$A:$A,Output_Mac!H:H,""),
_xlpm.MyAuditVal,_xlfn.XLOOKUP($A525,My_Audit!$A:$A,My_Audit!G:G,""),
_xlfn.IFS(_xlpm.MyAuditVal&lt;&gt;"",_xlpm.MyAuditVal,_xlpm.MacVal&lt;&gt;"",_xlpm.MacVal,_xlpm.CSVVal&lt;&gt;"",_xlpm.CSVVal
)),"")</f>
        <v/>
      </c>
      <c r="I525" s="2" t="str">
        <f>_xlfn.XLOOKUP(A525,Output_Mac!A:A,Output_Mac!I:I,"")</f>
        <v/>
      </c>
      <c r="J525" s="2" t="str" cm="1">
        <f t="array" ref="J525">IFERROR(_xlfn.LET(
_xlpm.CSVVal,_xlfn.XLOOKUP($A525,CSV!$A:$A,CSV!I:I,""),
_xlpm.MacVal,_xlfn.XLOOKUP($A525,Output_Mac!$A:$A,Output_Mac!J:J,""),
_xlpm.MyAuditVal,_xlfn.XLOOKUP($A525,My_Audit!$A:$A,My_Audit!I:I,""),
_xlfn.IFS(_xlpm.MyAuditVal&lt;&gt;"",UPPER(_xlpm.MyAuditVal),_xlpm.MacVal&lt;&gt;"",_xlpm.MacVal,_xlpm.CSVVal&lt;&gt;"",_xlpm.CSVVal
)),"")</f>
        <v/>
      </c>
      <c r="K525" s="2" t="str" cm="1">
        <f t="array" ref="K525">IFERROR(_xlfn.LET(
_xlpm.CSVVal,_xlfn.XLOOKUP($A525,CSV!$A:$A,CSV!K:K,""),
_xlpm.MacVal,_xlfn.XLOOKUP($A525,Output_Mac!$A:$A,Output_Mac!K:K,""),
_xlpm.MyAuditVal,_xlfn.XLOOKUP($A525,My_Audit!$A:$A,My_Audit!J:J,""),
_xlfn.IFS(_xlpm.MyAuditVal&lt;&gt;"",UPPER(_xlpm.MyAuditVal),_xlpm.MacVal&lt;&gt;"",_xlpm.MacVal,_xlpm.CSVVal&lt;&gt;"",_xlpm.CSVVal
)),"")</f>
        <v/>
      </c>
      <c r="L525" s="2" t="str" cm="1">
        <f t="array" ref="L525">IFERROR(_xlfn.LET(
_xlpm.CSVVal,_xlfn.XLOOKUP($A525,CSV!$A:$A,CSV!P:P,""),
_xlpm.MacVal,_xlfn.XLOOKUP($A525,Output_Mac!$A:$A,Output_Mac!L:L,""),
_xlpm.MyAuditVal,_xlfn.XLOOKUP($A525,My_Audit!$A:$A,My_Audit!K:K,""),
_xlfn.IFS(_xlpm.MyAuditVal&lt;&gt;"",UPPER(_xlpm.MyAuditVal),_xlpm.MacVal&lt;&gt;"",_xlpm.MacVal,_xlpm.CSVVal&lt;&gt;"",_xlpm.CSVVal
)),"")</f>
        <v/>
      </c>
      <c r="M525" s="2" t="str" cm="1">
        <f t="array" ref="M525">IFERROR(_xlfn.LET(
_xlpm.CSVVal,_xlfn.XLOOKUP($A525,CSV!$A:$A,CSV!Q:Q,""),
_xlpm.MacVal,_xlfn.XLOOKUP($A525,Output_Mac!$A:$A,Output_Mac!M:M,""),
_xlpm.MyAuditVal,_xlfn.XLOOKUP($A525,My_Audit!$A:$A,My_Audit!L:L,""),
_xlfn.IFS(_xlpm.MyAuditVal&lt;&gt;"",UPPER(_xlpm.MyAuditVal),_xlpm.MacVal&lt;&gt;"",_xlpm.MacVal,_xlpm.CSVVal&lt;&gt;"",_xlpm.CSVVal
)),"")</f>
        <v/>
      </c>
      <c r="O525" s="2" t="str">
        <f>_xlfn.LET(
    _xlpm.CSVVal, _xlfn.XLOOKUP($A525, CSV!$A:$A, CSV!AF:AF, ""),
    _xlpm.MacVal, _xlfn.XLOOKUP($A525, Output_Mac!$A:$A, Output_Mac!S:S, ""),
    _xlpm.MyAuditVal, _xlfn.XLOOKUP($A525, My_Audit!$A:$A, My_Audit!P:P, ""),
    _xlfn.TEXTJOIN(", ", TRUE, _xlpm.MyAuditVal, _xlpm.MacVal, _xlpm.CSVVal)
)</f>
        <v/>
      </c>
      <c r="P525" s="2" t="str" cm="1">
        <f t="array" ref="P525">IFERROR(_xlfn.LET(
_xlpm.CSVVal,_xlfn.XLOOKUP($A525,CSV!$A:$A,CSV!AG:AG,""),
_xlpm.MacVal,_xlfn.XLOOKUP($A525,Output_Mac!$A:$A,Output_Mac!T:T,""),
_xlpm.MyAuditVal,_xlfn.XLOOKUP($A525,My_Audit!$A:$A,My_Audit!Q:Q,""),
_xlfn.IFS(_xlpm.MyAuditVal&lt;&gt;"",UPPER(_xlpm.MyAuditVal),_xlpm.MacVal&lt;&gt;"",_xlpm.MacVal,_xlpm.CSVVal&lt;&gt;"",_xlpm.CSVVal
)),"No")</f>
        <v>No</v>
      </c>
      <c r="Q525" s="2" t="str" cm="1">
        <f t="array" ref="Q525">IFERROR(_xlfn.LET(
_xlpm.CSVVal,_xlfn.XLOOKUP($A525,CSV!$A:$A,CSV!AH:AH,""),
_xlpm.MacVal,_xlfn.XLOOKUP($A525,Output_Mac!$A:$A,Output_Mac!U:U,""),
_xlpm.MyAuditVal,_xlfn.XLOOKUP($A525,My_Audit!$A:$A,My_Audit!R:R,""),
_xlfn.IFS(_xlpm.MyAuditVal&lt;&gt;"",UPPER(_xlpm.MyAuditVal),_xlpm.MacVal&lt;&gt;"",_xlpm.MacVal,_xlpm.CSVVal&lt;&gt;"",_xlpm.CSVVal
)),"")</f>
        <v/>
      </c>
    </row>
    <row r="526" spans="1:17">
      <c r="A526" s="2" t="str">
        <f>_xlfn.TEXTJOIN("",TRUE,Input!$B$2,ROW(My_Audit!A525))</f>
        <v>XX525</v>
      </c>
      <c r="B526" s="2" t="str">
        <f>_xlfn.TEXTJOIN("-",TRUE,"ITD",Input!$A$2,A526)</f>
        <v>ITD-SHRXXX-XX525</v>
      </c>
      <c r="C526" s="2" t="str" cm="1">
        <f t="array" ref="C526">IFERROR(_xlfn.LET(
_xlpm.CSVVal,_xlfn.XLOOKUP($A526,CSV!$A:$A,CSV!B:B,""),
_xlpm.MacVal,_xlfn.XLOOKUP($A526,Output_Mac!$A:$A,Output_Mac!B:B,""),
_xlpm.MyAuditVal,_xlfn.XLOOKUP($A526,My_Audit!$A:$A,My_Audit!B:B,""),
_xlfn.IFS(_xlpm.MyAuditVal&lt;&gt;"",UPPER(_xlpm.MyAuditVal),_xlpm.MacVal&lt;&gt;"",_xlpm.MacVal,_xlpm.CSVVal&lt;&gt;"",_xlpm.CSVVal
)),"")</f>
        <v/>
      </c>
      <c r="D526" s="2" t="str" cm="1">
        <f t="array" ref="D526">IFERROR(_xlfn.LET(
_xlpm.CSVVal,_xlfn.XLOOKUP($A526,CSV!$A:$A,CSV!D:D,""),
_xlpm.MacVal,_xlfn.XLOOKUP($A526,Output_Mac!$A:$A,Output_Mac!C:C,""),
_xlpm.MyAuditVal,_xlfn.XLOOKUP($A526,My_Audit!$A:$A,My_Audit!C:C,""),
_xlfn.IFS(_xlpm.MyAuditVal&lt;&gt;"",_xlpm.MyAuditVal,_xlpm.MacVal&lt;&gt;"",_xlpm.MacVal,_xlpm.CSVVal&lt;&gt;"",_xlpm.CSVVal
)),"")</f>
        <v/>
      </c>
      <c r="E526" s="2" t="str">
        <f>_xlfn.XLOOKUP(A526,My_Audit!A:A,My_Audit!D:D,"")&amp;""</f>
        <v/>
      </c>
      <c r="F526" s="2" t="str" cm="1">
        <f t="array" ref="F526">IFERROR(_xlfn.LET(
_xlpm.CSVVal,_xlfn.XLOOKUP($A526,CSV!$A:$A,CSV!F:F,""),
_xlpm.MacVal,_xlfn.XLOOKUP($A526,Output_Mac!$A:$A,Output_Mac!E:E,""),
_xlpm.MyAuditVal,_xlfn.XLOOKUP($A526,My_Audit!$A:$A,My_Audit!E:E,""),
_xlfn.IFS(_xlpm.MyAuditVal&lt;&gt;"",_xlpm.MyAuditVal,_xlpm.MacVal&lt;&gt;"",_xlpm.MacVal,_xlpm.CSVVal&lt;&gt;"",_xlpm.CSVVal
)),"")</f>
        <v/>
      </c>
      <c r="G526" s="2" t="str" cm="1">
        <f t="array" ref="G526">IFERROR(_xlfn.LET(
_xlpm.CSVVal,_xlfn.XLOOKUP($A526,CSV!$A:$A,CSV!G:G,""),
_xlpm.MacVal,_xlfn.XLOOKUP($A526,Output_Mac!$A:$A,Output_Mac!F:F,""),
_xlpm.MyAuditVal,_xlfn.XLOOKUP($A526,My_Audit!$A:$A,My_Audit!F:F,""),
_xlfn.IFS(_xlpm.MyAuditVal&lt;&gt;"",_xlpm.MyAuditVal,_xlpm.MacVal&lt;&gt;"",_xlpm.MacVal,_xlpm.CSVVal&lt;&gt;"",PROPER(_xlpm.CSVVal)
)),"")</f>
        <v/>
      </c>
      <c r="H526" s="2" t="str" cm="1">
        <f t="array" ref="H526">IFERROR(_xlfn.LET(
_xlpm.CSVVal,_xlfn.XLOOKUP($A526,CSV!$A:$A,CSV!H:H,""),
_xlpm.MacVal,_xlfn.XLOOKUP($A526,Output_Mac!$A:$A,Output_Mac!H:H,""),
_xlpm.MyAuditVal,_xlfn.XLOOKUP($A526,My_Audit!$A:$A,My_Audit!G:G,""),
_xlfn.IFS(_xlpm.MyAuditVal&lt;&gt;"",_xlpm.MyAuditVal,_xlpm.MacVal&lt;&gt;"",_xlpm.MacVal,_xlpm.CSVVal&lt;&gt;"",_xlpm.CSVVal
)),"")</f>
        <v/>
      </c>
      <c r="I526" s="2" t="str">
        <f>_xlfn.XLOOKUP(A526,Output_Mac!A:A,Output_Mac!I:I,"")</f>
        <v/>
      </c>
      <c r="J526" s="2" t="str" cm="1">
        <f t="array" ref="J526">IFERROR(_xlfn.LET(
_xlpm.CSVVal,_xlfn.XLOOKUP($A526,CSV!$A:$A,CSV!I:I,""),
_xlpm.MacVal,_xlfn.XLOOKUP($A526,Output_Mac!$A:$A,Output_Mac!J:J,""),
_xlpm.MyAuditVal,_xlfn.XLOOKUP($A526,My_Audit!$A:$A,My_Audit!I:I,""),
_xlfn.IFS(_xlpm.MyAuditVal&lt;&gt;"",UPPER(_xlpm.MyAuditVal),_xlpm.MacVal&lt;&gt;"",_xlpm.MacVal,_xlpm.CSVVal&lt;&gt;"",_xlpm.CSVVal
)),"")</f>
        <v/>
      </c>
      <c r="K526" s="2" t="str" cm="1">
        <f t="array" ref="K526">IFERROR(_xlfn.LET(
_xlpm.CSVVal,_xlfn.XLOOKUP($A526,CSV!$A:$A,CSV!K:K,""),
_xlpm.MacVal,_xlfn.XLOOKUP($A526,Output_Mac!$A:$A,Output_Mac!K:K,""),
_xlpm.MyAuditVal,_xlfn.XLOOKUP($A526,My_Audit!$A:$A,My_Audit!J:J,""),
_xlfn.IFS(_xlpm.MyAuditVal&lt;&gt;"",UPPER(_xlpm.MyAuditVal),_xlpm.MacVal&lt;&gt;"",_xlpm.MacVal,_xlpm.CSVVal&lt;&gt;"",_xlpm.CSVVal
)),"")</f>
        <v/>
      </c>
      <c r="L526" s="2" t="str" cm="1">
        <f t="array" ref="L526">IFERROR(_xlfn.LET(
_xlpm.CSVVal,_xlfn.XLOOKUP($A526,CSV!$A:$A,CSV!P:P,""),
_xlpm.MacVal,_xlfn.XLOOKUP($A526,Output_Mac!$A:$A,Output_Mac!L:L,""),
_xlpm.MyAuditVal,_xlfn.XLOOKUP($A526,My_Audit!$A:$A,My_Audit!K:K,""),
_xlfn.IFS(_xlpm.MyAuditVal&lt;&gt;"",UPPER(_xlpm.MyAuditVal),_xlpm.MacVal&lt;&gt;"",_xlpm.MacVal,_xlpm.CSVVal&lt;&gt;"",_xlpm.CSVVal
)),"")</f>
        <v/>
      </c>
      <c r="M526" s="2" t="str" cm="1">
        <f t="array" ref="M526">IFERROR(_xlfn.LET(
_xlpm.CSVVal,_xlfn.XLOOKUP($A526,CSV!$A:$A,CSV!Q:Q,""),
_xlpm.MacVal,_xlfn.XLOOKUP($A526,Output_Mac!$A:$A,Output_Mac!M:M,""),
_xlpm.MyAuditVal,_xlfn.XLOOKUP($A526,My_Audit!$A:$A,My_Audit!L:L,""),
_xlfn.IFS(_xlpm.MyAuditVal&lt;&gt;"",UPPER(_xlpm.MyAuditVal),_xlpm.MacVal&lt;&gt;"",_xlpm.MacVal,_xlpm.CSVVal&lt;&gt;"",_xlpm.CSVVal
)),"")</f>
        <v/>
      </c>
      <c r="O526" s="2" t="str">
        <f>_xlfn.LET(
    _xlpm.CSVVal, _xlfn.XLOOKUP($A526, CSV!$A:$A, CSV!AF:AF, ""),
    _xlpm.MacVal, _xlfn.XLOOKUP($A526, Output_Mac!$A:$A, Output_Mac!S:S, ""),
    _xlpm.MyAuditVal, _xlfn.XLOOKUP($A526, My_Audit!$A:$A, My_Audit!P:P, ""),
    _xlfn.TEXTJOIN(", ", TRUE, _xlpm.MyAuditVal, _xlpm.MacVal, _xlpm.CSVVal)
)</f>
        <v/>
      </c>
      <c r="P526" s="2" t="str" cm="1">
        <f t="array" ref="P526">IFERROR(_xlfn.LET(
_xlpm.CSVVal,_xlfn.XLOOKUP($A526,CSV!$A:$A,CSV!AG:AG,""),
_xlpm.MacVal,_xlfn.XLOOKUP($A526,Output_Mac!$A:$A,Output_Mac!T:T,""),
_xlpm.MyAuditVal,_xlfn.XLOOKUP($A526,My_Audit!$A:$A,My_Audit!Q:Q,""),
_xlfn.IFS(_xlpm.MyAuditVal&lt;&gt;"",UPPER(_xlpm.MyAuditVal),_xlpm.MacVal&lt;&gt;"",_xlpm.MacVal,_xlpm.CSVVal&lt;&gt;"",_xlpm.CSVVal
)),"No")</f>
        <v>No</v>
      </c>
      <c r="Q526" s="2" t="str" cm="1">
        <f t="array" ref="Q526">IFERROR(_xlfn.LET(
_xlpm.CSVVal,_xlfn.XLOOKUP($A526,CSV!$A:$A,CSV!AH:AH,""),
_xlpm.MacVal,_xlfn.XLOOKUP($A526,Output_Mac!$A:$A,Output_Mac!U:U,""),
_xlpm.MyAuditVal,_xlfn.XLOOKUP($A526,My_Audit!$A:$A,My_Audit!R:R,""),
_xlfn.IFS(_xlpm.MyAuditVal&lt;&gt;"",UPPER(_xlpm.MyAuditVal),_xlpm.MacVal&lt;&gt;"",_xlpm.MacVal,_xlpm.CSVVal&lt;&gt;"",_xlpm.CSVVal
)),"")</f>
        <v/>
      </c>
    </row>
    <row r="527" spans="1:17">
      <c r="A527" s="2" t="str">
        <f>_xlfn.TEXTJOIN("",TRUE,Input!$B$2,ROW(My_Audit!A526))</f>
        <v>XX526</v>
      </c>
      <c r="B527" s="2" t="str">
        <f>_xlfn.TEXTJOIN("-",TRUE,"ITD",Input!$A$2,A527)</f>
        <v>ITD-SHRXXX-XX526</v>
      </c>
      <c r="C527" s="2" t="str" cm="1">
        <f t="array" ref="C527">IFERROR(_xlfn.LET(
_xlpm.CSVVal,_xlfn.XLOOKUP($A527,CSV!$A:$A,CSV!B:B,""),
_xlpm.MacVal,_xlfn.XLOOKUP($A527,Output_Mac!$A:$A,Output_Mac!B:B,""),
_xlpm.MyAuditVal,_xlfn.XLOOKUP($A527,My_Audit!$A:$A,My_Audit!B:B,""),
_xlfn.IFS(_xlpm.MyAuditVal&lt;&gt;"",UPPER(_xlpm.MyAuditVal),_xlpm.MacVal&lt;&gt;"",_xlpm.MacVal,_xlpm.CSVVal&lt;&gt;"",_xlpm.CSVVal
)),"")</f>
        <v/>
      </c>
      <c r="D527" s="2" t="str" cm="1">
        <f t="array" ref="D527">IFERROR(_xlfn.LET(
_xlpm.CSVVal,_xlfn.XLOOKUP($A527,CSV!$A:$A,CSV!D:D,""),
_xlpm.MacVal,_xlfn.XLOOKUP($A527,Output_Mac!$A:$A,Output_Mac!C:C,""),
_xlpm.MyAuditVal,_xlfn.XLOOKUP($A527,My_Audit!$A:$A,My_Audit!C:C,""),
_xlfn.IFS(_xlpm.MyAuditVal&lt;&gt;"",_xlpm.MyAuditVal,_xlpm.MacVal&lt;&gt;"",_xlpm.MacVal,_xlpm.CSVVal&lt;&gt;"",_xlpm.CSVVal
)),"")</f>
        <v/>
      </c>
      <c r="E527" s="2" t="str">
        <f>_xlfn.XLOOKUP(A527,My_Audit!A:A,My_Audit!D:D,"")&amp;""</f>
        <v/>
      </c>
      <c r="F527" s="2" t="str" cm="1">
        <f t="array" ref="F527">IFERROR(_xlfn.LET(
_xlpm.CSVVal,_xlfn.XLOOKUP($A527,CSV!$A:$A,CSV!F:F,""),
_xlpm.MacVal,_xlfn.XLOOKUP($A527,Output_Mac!$A:$A,Output_Mac!E:E,""),
_xlpm.MyAuditVal,_xlfn.XLOOKUP($A527,My_Audit!$A:$A,My_Audit!E:E,""),
_xlfn.IFS(_xlpm.MyAuditVal&lt;&gt;"",_xlpm.MyAuditVal,_xlpm.MacVal&lt;&gt;"",_xlpm.MacVal,_xlpm.CSVVal&lt;&gt;"",_xlpm.CSVVal
)),"")</f>
        <v/>
      </c>
      <c r="G527" s="2" t="str" cm="1">
        <f t="array" ref="G527">IFERROR(_xlfn.LET(
_xlpm.CSVVal,_xlfn.XLOOKUP($A527,CSV!$A:$A,CSV!G:G,""),
_xlpm.MacVal,_xlfn.XLOOKUP($A527,Output_Mac!$A:$A,Output_Mac!F:F,""),
_xlpm.MyAuditVal,_xlfn.XLOOKUP($A527,My_Audit!$A:$A,My_Audit!F:F,""),
_xlfn.IFS(_xlpm.MyAuditVal&lt;&gt;"",_xlpm.MyAuditVal,_xlpm.MacVal&lt;&gt;"",_xlpm.MacVal,_xlpm.CSVVal&lt;&gt;"",PROPER(_xlpm.CSVVal)
)),"")</f>
        <v/>
      </c>
      <c r="H527" s="2" t="str" cm="1">
        <f t="array" ref="H527">IFERROR(_xlfn.LET(
_xlpm.CSVVal,_xlfn.XLOOKUP($A527,CSV!$A:$A,CSV!H:H,""),
_xlpm.MacVal,_xlfn.XLOOKUP($A527,Output_Mac!$A:$A,Output_Mac!H:H,""),
_xlpm.MyAuditVal,_xlfn.XLOOKUP($A527,My_Audit!$A:$A,My_Audit!G:G,""),
_xlfn.IFS(_xlpm.MyAuditVal&lt;&gt;"",_xlpm.MyAuditVal,_xlpm.MacVal&lt;&gt;"",_xlpm.MacVal,_xlpm.CSVVal&lt;&gt;"",_xlpm.CSVVal
)),"")</f>
        <v/>
      </c>
      <c r="I527" s="2" t="str">
        <f>_xlfn.XLOOKUP(A527,Output_Mac!A:A,Output_Mac!I:I,"")</f>
        <v/>
      </c>
      <c r="J527" s="2" t="str" cm="1">
        <f t="array" ref="J527">IFERROR(_xlfn.LET(
_xlpm.CSVVal,_xlfn.XLOOKUP($A527,CSV!$A:$A,CSV!I:I,""),
_xlpm.MacVal,_xlfn.XLOOKUP($A527,Output_Mac!$A:$A,Output_Mac!J:J,""),
_xlpm.MyAuditVal,_xlfn.XLOOKUP($A527,My_Audit!$A:$A,My_Audit!I:I,""),
_xlfn.IFS(_xlpm.MyAuditVal&lt;&gt;"",UPPER(_xlpm.MyAuditVal),_xlpm.MacVal&lt;&gt;"",_xlpm.MacVal,_xlpm.CSVVal&lt;&gt;"",_xlpm.CSVVal
)),"")</f>
        <v/>
      </c>
      <c r="K527" s="2" t="str" cm="1">
        <f t="array" ref="K527">IFERROR(_xlfn.LET(
_xlpm.CSVVal,_xlfn.XLOOKUP($A527,CSV!$A:$A,CSV!K:K,""),
_xlpm.MacVal,_xlfn.XLOOKUP($A527,Output_Mac!$A:$A,Output_Mac!K:K,""),
_xlpm.MyAuditVal,_xlfn.XLOOKUP($A527,My_Audit!$A:$A,My_Audit!J:J,""),
_xlfn.IFS(_xlpm.MyAuditVal&lt;&gt;"",UPPER(_xlpm.MyAuditVal),_xlpm.MacVal&lt;&gt;"",_xlpm.MacVal,_xlpm.CSVVal&lt;&gt;"",_xlpm.CSVVal
)),"")</f>
        <v/>
      </c>
      <c r="L527" s="2" t="str" cm="1">
        <f t="array" ref="L527">IFERROR(_xlfn.LET(
_xlpm.CSVVal,_xlfn.XLOOKUP($A527,CSV!$A:$A,CSV!P:P,""),
_xlpm.MacVal,_xlfn.XLOOKUP($A527,Output_Mac!$A:$A,Output_Mac!L:L,""),
_xlpm.MyAuditVal,_xlfn.XLOOKUP($A527,My_Audit!$A:$A,My_Audit!K:K,""),
_xlfn.IFS(_xlpm.MyAuditVal&lt;&gt;"",UPPER(_xlpm.MyAuditVal),_xlpm.MacVal&lt;&gt;"",_xlpm.MacVal,_xlpm.CSVVal&lt;&gt;"",_xlpm.CSVVal
)),"")</f>
        <v/>
      </c>
      <c r="M527" s="2" t="str" cm="1">
        <f t="array" ref="M527">IFERROR(_xlfn.LET(
_xlpm.CSVVal,_xlfn.XLOOKUP($A527,CSV!$A:$A,CSV!Q:Q,""),
_xlpm.MacVal,_xlfn.XLOOKUP($A527,Output_Mac!$A:$A,Output_Mac!M:M,""),
_xlpm.MyAuditVal,_xlfn.XLOOKUP($A527,My_Audit!$A:$A,My_Audit!L:L,""),
_xlfn.IFS(_xlpm.MyAuditVal&lt;&gt;"",UPPER(_xlpm.MyAuditVal),_xlpm.MacVal&lt;&gt;"",_xlpm.MacVal,_xlpm.CSVVal&lt;&gt;"",_xlpm.CSVVal
)),"")</f>
        <v/>
      </c>
      <c r="O527" s="2" t="str">
        <f>_xlfn.LET(
    _xlpm.CSVVal, _xlfn.XLOOKUP($A527, CSV!$A:$A, CSV!AF:AF, ""),
    _xlpm.MacVal, _xlfn.XLOOKUP($A527, Output_Mac!$A:$A, Output_Mac!S:S, ""),
    _xlpm.MyAuditVal, _xlfn.XLOOKUP($A527, My_Audit!$A:$A, My_Audit!P:P, ""),
    _xlfn.TEXTJOIN(", ", TRUE, _xlpm.MyAuditVal, _xlpm.MacVal, _xlpm.CSVVal)
)</f>
        <v/>
      </c>
      <c r="P527" s="2" t="str" cm="1">
        <f t="array" ref="P527">IFERROR(_xlfn.LET(
_xlpm.CSVVal,_xlfn.XLOOKUP($A527,CSV!$A:$A,CSV!AG:AG,""),
_xlpm.MacVal,_xlfn.XLOOKUP($A527,Output_Mac!$A:$A,Output_Mac!T:T,""),
_xlpm.MyAuditVal,_xlfn.XLOOKUP($A527,My_Audit!$A:$A,My_Audit!Q:Q,""),
_xlfn.IFS(_xlpm.MyAuditVal&lt;&gt;"",UPPER(_xlpm.MyAuditVal),_xlpm.MacVal&lt;&gt;"",_xlpm.MacVal,_xlpm.CSVVal&lt;&gt;"",_xlpm.CSVVal
)),"No")</f>
        <v>No</v>
      </c>
      <c r="Q527" s="2" t="str" cm="1">
        <f t="array" ref="Q527">IFERROR(_xlfn.LET(
_xlpm.CSVVal,_xlfn.XLOOKUP($A527,CSV!$A:$A,CSV!AH:AH,""),
_xlpm.MacVal,_xlfn.XLOOKUP($A527,Output_Mac!$A:$A,Output_Mac!U:U,""),
_xlpm.MyAuditVal,_xlfn.XLOOKUP($A527,My_Audit!$A:$A,My_Audit!R:R,""),
_xlfn.IFS(_xlpm.MyAuditVal&lt;&gt;"",UPPER(_xlpm.MyAuditVal),_xlpm.MacVal&lt;&gt;"",_xlpm.MacVal,_xlpm.CSVVal&lt;&gt;"",_xlpm.CSVVal
)),"")</f>
        <v/>
      </c>
    </row>
    <row r="528" spans="1:17">
      <c r="A528" s="2" t="str">
        <f>_xlfn.TEXTJOIN("",TRUE,Input!$B$2,ROW(My_Audit!A527))</f>
        <v>XX527</v>
      </c>
      <c r="B528" s="2" t="str">
        <f>_xlfn.TEXTJOIN("-",TRUE,"ITD",Input!$A$2,A528)</f>
        <v>ITD-SHRXXX-XX527</v>
      </c>
      <c r="C528" s="2" t="str" cm="1">
        <f t="array" ref="C528">IFERROR(_xlfn.LET(
_xlpm.CSVVal,_xlfn.XLOOKUP($A528,CSV!$A:$A,CSV!B:B,""),
_xlpm.MacVal,_xlfn.XLOOKUP($A528,Output_Mac!$A:$A,Output_Mac!B:B,""),
_xlpm.MyAuditVal,_xlfn.XLOOKUP($A528,My_Audit!$A:$A,My_Audit!B:B,""),
_xlfn.IFS(_xlpm.MyAuditVal&lt;&gt;"",UPPER(_xlpm.MyAuditVal),_xlpm.MacVal&lt;&gt;"",_xlpm.MacVal,_xlpm.CSVVal&lt;&gt;"",_xlpm.CSVVal
)),"")</f>
        <v/>
      </c>
      <c r="D528" s="2" t="str" cm="1">
        <f t="array" ref="D528">IFERROR(_xlfn.LET(
_xlpm.CSVVal,_xlfn.XLOOKUP($A528,CSV!$A:$A,CSV!D:D,""),
_xlpm.MacVal,_xlfn.XLOOKUP($A528,Output_Mac!$A:$A,Output_Mac!C:C,""),
_xlpm.MyAuditVal,_xlfn.XLOOKUP($A528,My_Audit!$A:$A,My_Audit!C:C,""),
_xlfn.IFS(_xlpm.MyAuditVal&lt;&gt;"",_xlpm.MyAuditVal,_xlpm.MacVal&lt;&gt;"",_xlpm.MacVal,_xlpm.CSVVal&lt;&gt;"",_xlpm.CSVVal
)),"")</f>
        <v/>
      </c>
      <c r="E528" s="2" t="str">
        <f>_xlfn.XLOOKUP(A528,My_Audit!A:A,My_Audit!D:D,"")&amp;""</f>
        <v/>
      </c>
      <c r="F528" s="2" t="str" cm="1">
        <f t="array" ref="F528">IFERROR(_xlfn.LET(
_xlpm.CSVVal,_xlfn.XLOOKUP($A528,CSV!$A:$A,CSV!F:F,""),
_xlpm.MacVal,_xlfn.XLOOKUP($A528,Output_Mac!$A:$A,Output_Mac!E:E,""),
_xlpm.MyAuditVal,_xlfn.XLOOKUP($A528,My_Audit!$A:$A,My_Audit!E:E,""),
_xlfn.IFS(_xlpm.MyAuditVal&lt;&gt;"",_xlpm.MyAuditVal,_xlpm.MacVal&lt;&gt;"",_xlpm.MacVal,_xlpm.CSVVal&lt;&gt;"",_xlpm.CSVVal
)),"")</f>
        <v/>
      </c>
      <c r="G528" s="2" t="str" cm="1">
        <f t="array" ref="G528">IFERROR(_xlfn.LET(
_xlpm.CSVVal,_xlfn.XLOOKUP($A528,CSV!$A:$A,CSV!G:G,""),
_xlpm.MacVal,_xlfn.XLOOKUP($A528,Output_Mac!$A:$A,Output_Mac!F:F,""),
_xlpm.MyAuditVal,_xlfn.XLOOKUP($A528,My_Audit!$A:$A,My_Audit!F:F,""),
_xlfn.IFS(_xlpm.MyAuditVal&lt;&gt;"",_xlpm.MyAuditVal,_xlpm.MacVal&lt;&gt;"",_xlpm.MacVal,_xlpm.CSVVal&lt;&gt;"",PROPER(_xlpm.CSVVal)
)),"")</f>
        <v/>
      </c>
      <c r="H528" s="2" t="str" cm="1">
        <f t="array" ref="H528">IFERROR(_xlfn.LET(
_xlpm.CSVVal,_xlfn.XLOOKUP($A528,CSV!$A:$A,CSV!H:H,""),
_xlpm.MacVal,_xlfn.XLOOKUP($A528,Output_Mac!$A:$A,Output_Mac!H:H,""),
_xlpm.MyAuditVal,_xlfn.XLOOKUP($A528,My_Audit!$A:$A,My_Audit!G:G,""),
_xlfn.IFS(_xlpm.MyAuditVal&lt;&gt;"",_xlpm.MyAuditVal,_xlpm.MacVal&lt;&gt;"",_xlpm.MacVal,_xlpm.CSVVal&lt;&gt;"",_xlpm.CSVVal
)),"")</f>
        <v/>
      </c>
      <c r="I528" s="2" t="str">
        <f>_xlfn.XLOOKUP(A528,Output_Mac!A:A,Output_Mac!I:I,"")</f>
        <v/>
      </c>
      <c r="J528" s="2" t="str" cm="1">
        <f t="array" ref="J528">IFERROR(_xlfn.LET(
_xlpm.CSVVal,_xlfn.XLOOKUP($A528,CSV!$A:$A,CSV!I:I,""),
_xlpm.MacVal,_xlfn.XLOOKUP($A528,Output_Mac!$A:$A,Output_Mac!J:J,""),
_xlpm.MyAuditVal,_xlfn.XLOOKUP($A528,My_Audit!$A:$A,My_Audit!I:I,""),
_xlfn.IFS(_xlpm.MyAuditVal&lt;&gt;"",UPPER(_xlpm.MyAuditVal),_xlpm.MacVal&lt;&gt;"",_xlpm.MacVal,_xlpm.CSVVal&lt;&gt;"",_xlpm.CSVVal
)),"")</f>
        <v/>
      </c>
      <c r="K528" s="2" t="str" cm="1">
        <f t="array" ref="K528">IFERROR(_xlfn.LET(
_xlpm.CSVVal,_xlfn.XLOOKUP($A528,CSV!$A:$A,CSV!K:K,""),
_xlpm.MacVal,_xlfn.XLOOKUP($A528,Output_Mac!$A:$A,Output_Mac!K:K,""),
_xlpm.MyAuditVal,_xlfn.XLOOKUP($A528,My_Audit!$A:$A,My_Audit!J:J,""),
_xlfn.IFS(_xlpm.MyAuditVal&lt;&gt;"",UPPER(_xlpm.MyAuditVal),_xlpm.MacVal&lt;&gt;"",_xlpm.MacVal,_xlpm.CSVVal&lt;&gt;"",_xlpm.CSVVal
)),"")</f>
        <v/>
      </c>
      <c r="L528" s="2" t="str" cm="1">
        <f t="array" ref="L528">IFERROR(_xlfn.LET(
_xlpm.CSVVal,_xlfn.XLOOKUP($A528,CSV!$A:$A,CSV!P:P,""),
_xlpm.MacVal,_xlfn.XLOOKUP($A528,Output_Mac!$A:$A,Output_Mac!L:L,""),
_xlpm.MyAuditVal,_xlfn.XLOOKUP($A528,My_Audit!$A:$A,My_Audit!K:K,""),
_xlfn.IFS(_xlpm.MyAuditVal&lt;&gt;"",UPPER(_xlpm.MyAuditVal),_xlpm.MacVal&lt;&gt;"",_xlpm.MacVal,_xlpm.CSVVal&lt;&gt;"",_xlpm.CSVVal
)),"")</f>
        <v/>
      </c>
      <c r="M528" s="2" t="str" cm="1">
        <f t="array" ref="M528">IFERROR(_xlfn.LET(
_xlpm.CSVVal,_xlfn.XLOOKUP($A528,CSV!$A:$A,CSV!Q:Q,""),
_xlpm.MacVal,_xlfn.XLOOKUP($A528,Output_Mac!$A:$A,Output_Mac!M:M,""),
_xlpm.MyAuditVal,_xlfn.XLOOKUP($A528,My_Audit!$A:$A,My_Audit!L:L,""),
_xlfn.IFS(_xlpm.MyAuditVal&lt;&gt;"",UPPER(_xlpm.MyAuditVal),_xlpm.MacVal&lt;&gt;"",_xlpm.MacVal,_xlpm.CSVVal&lt;&gt;"",_xlpm.CSVVal
)),"")</f>
        <v/>
      </c>
      <c r="O528" s="2" t="str">
        <f>_xlfn.LET(
    _xlpm.CSVVal, _xlfn.XLOOKUP($A528, CSV!$A:$A, CSV!AF:AF, ""),
    _xlpm.MacVal, _xlfn.XLOOKUP($A528, Output_Mac!$A:$A, Output_Mac!S:S, ""),
    _xlpm.MyAuditVal, _xlfn.XLOOKUP($A528, My_Audit!$A:$A, My_Audit!P:P, ""),
    _xlfn.TEXTJOIN(", ", TRUE, _xlpm.MyAuditVal, _xlpm.MacVal, _xlpm.CSVVal)
)</f>
        <v/>
      </c>
      <c r="P528" s="2" t="str" cm="1">
        <f t="array" ref="P528">IFERROR(_xlfn.LET(
_xlpm.CSVVal,_xlfn.XLOOKUP($A528,CSV!$A:$A,CSV!AG:AG,""),
_xlpm.MacVal,_xlfn.XLOOKUP($A528,Output_Mac!$A:$A,Output_Mac!T:T,""),
_xlpm.MyAuditVal,_xlfn.XLOOKUP($A528,My_Audit!$A:$A,My_Audit!Q:Q,""),
_xlfn.IFS(_xlpm.MyAuditVal&lt;&gt;"",UPPER(_xlpm.MyAuditVal),_xlpm.MacVal&lt;&gt;"",_xlpm.MacVal,_xlpm.CSVVal&lt;&gt;"",_xlpm.CSVVal
)),"No")</f>
        <v>No</v>
      </c>
      <c r="Q528" s="2" t="str" cm="1">
        <f t="array" ref="Q528">IFERROR(_xlfn.LET(
_xlpm.CSVVal,_xlfn.XLOOKUP($A528,CSV!$A:$A,CSV!AH:AH,""),
_xlpm.MacVal,_xlfn.XLOOKUP($A528,Output_Mac!$A:$A,Output_Mac!U:U,""),
_xlpm.MyAuditVal,_xlfn.XLOOKUP($A528,My_Audit!$A:$A,My_Audit!R:R,""),
_xlfn.IFS(_xlpm.MyAuditVal&lt;&gt;"",UPPER(_xlpm.MyAuditVal),_xlpm.MacVal&lt;&gt;"",_xlpm.MacVal,_xlpm.CSVVal&lt;&gt;"",_xlpm.CSVVal
)),"")</f>
        <v/>
      </c>
    </row>
    <row r="529" spans="1:17">
      <c r="A529" s="2" t="str">
        <f>_xlfn.TEXTJOIN("",TRUE,Input!$B$2,ROW(My_Audit!A528))</f>
        <v>XX528</v>
      </c>
      <c r="B529" s="2" t="str">
        <f>_xlfn.TEXTJOIN("-",TRUE,"ITD",Input!$A$2,A529)</f>
        <v>ITD-SHRXXX-XX528</v>
      </c>
      <c r="C529" s="2" t="str" cm="1">
        <f t="array" ref="C529">IFERROR(_xlfn.LET(
_xlpm.CSVVal,_xlfn.XLOOKUP($A529,CSV!$A:$A,CSV!B:B,""),
_xlpm.MacVal,_xlfn.XLOOKUP($A529,Output_Mac!$A:$A,Output_Mac!B:B,""),
_xlpm.MyAuditVal,_xlfn.XLOOKUP($A529,My_Audit!$A:$A,My_Audit!B:B,""),
_xlfn.IFS(_xlpm.MyAuditVal&lt;&gt;"",UPPER(_xlpm.MyAuditVal),_xlpm.MacVal&lt;&gt;"",_xlpm.MacVal,_xlpm.CSVVal&lt;&gt;"",_xlpm.CSVVal
)),"")</f>
        <v/>
      </c>
      <c r="D529" s="2" t="str" cm="1">
        <f t="array" ref="D529">IFERROR(_xlfn.LET(
_xlpm.CSVVal,_xlfn.XLOOKUP($A529,CSV!$A:$A,CSV!D:D,""),
_xlpm.MacVal,_xlfn.XLOOKUP($A529,Output_Mac!$A:$A,Output_Mac!C:C,""),
_xlpm.MyAuditVal,_xlfn.XLOOKUP($A529,My_Audit!$A:$A,My_Audit!C:C,""),
_xlfn.IFS(_xlpm.MyAuditVal&lt;&gt;"",_xlpm.MyAuditVal,_xlpm.MacVal&lt;&gt;"",_xlpm.MacVal,_xlpm.CSVVal&lt;&gt;"",_xlpm.CSVVal
)),"")</f>
        <v/>
      </c>
      <c r="E529" s="2" t="str">
        <f>_xlfn.XLOOKUP(A529,My_Audit!A:A,My_Audit!D:D,"")&amp;""</f>
        <v/>
      </c>
      <c r="F529" s="2" t="str" cm="1">
        <f t="array" ref="F529">IFERROR(_xlfn.LET(
_xlpm.CSVVal,_xlfn.XLOOKUP($A529,CSV!$A:$A,CSV!F:F,""),
_xlpm.MacVal,_xlfn.XLOOKUP($A529,Output_Mac!$A:$A,Output_Mac!E:E,""),
_xlpm.MyAuditVal,_xlfn.XLOOKUP($A529,My_Audit!$A:$A,My_Audit!E:E,""),
_xlfn.IFS(_xlpm.MyAuditVal&lt;&gt;"",_xlpm.MyAuditVal,_xlpm.MacVal&lt;&gt;"",_xlpm.MacVal,_xlpm.CSVVal&lt;&gt;"",_xlpm.CSVVal
)),"")</f>
        <v/>
      </c>
      <c r="G529" s="2" t="str" cm="1">
        <f t="array" ref="G529">IFERROR(_xlfn.LET(
_xlpm.CSVVal,_xlfn.XLOOKUP($A529,CSV!$A:$A,CSV!G:G,""),
_xlpm.MacVal,_xlfn.XLOOKUP($A529,Output_Mac!$A:$A,Output_Mac!F:F,""),
_xlpm.MyAuditVal,_xlfn.XLOOKUP($A529,My_Audit!$A:$A,My_Audit!F:F,""),
_xlfn.IFS(_xlpm.MyAuditVal&lt;&gt;"",_xlpm.MyAuditVal,_xlpm.MacVal&lt;&gt;"",_xlpm.MacVal,_xlpm.CSVVal&lt;&gt;"",PROPER(_xlpm.CSVVal)
)),"")</f>
        <v/>
      </c>
      <c r="H529" s="2" t="str" cm="1">
        <f t="array" ref="H529">IFERROR(_xlfn.LET(
_xlpm.CSVVal,_xlfn.XLOOKUP($A529,CSV!$A:$A,CSV!H:H,""),
_xlpm.MacVal,_xlfn.XLOOKUP($A529,Output_Mac!$A:$A,Output_Mac!H:H,""),
_xlpm.MyAuditVal,_xlfn.XLOOKUP($A529,My_Audit!$A:$A,My_Audit!G:G,""),
_xlfn.IFS(_xlpm.MyAuditVal&lt;&gt;"",_xlpm.MyAuditVal,_xlpm.MacVal&lt;&gt;"",_xlpm.MacVal,_xlpm.CSVVal&lt;&gt;"",_xlpm.CSVVal
)),"")</f>
        <v/>
      </c>
      <c r="I529" s="2" t="str">
        <f>_xlfn.XLOOKUP(A529,Output_Mac!A:A,Output_Mac!I:I,"")</f>
        <v/>
      </c>
      <c r="J529" s="2" t="str" cm="1">
        <f t="array" ref="J529">IFERROR(_xlfn.LET(
_xlpm.CSVVal,_xlfn.XLOOKUP($A529,CSV!$A:$A,CSV!I:I,""),
_xlpm.MacVal,_xlfn.XLOOKUP($A529,Output_Mac!$A:$A,Output_Mac!J:J,""),
_xlpm.MyAuditVal,_xlfn.XLOOKUP($A529,My_Audit!$A:$A,My_Audit!I:I,""),
_xlfn.IFS(_xlpm.MyAuditVal&lt;&gt;"",UPPER(_xlpm.MyAuditVal),_xlpm.MacVal&lt;&gt;"",_xlpm.MacVal,_xlpm.CSVVal&lt;&gt;"",_xlpm.CSVVal
)),"")</f>
        <v/>
      </c>
      <c r="K529" s="2" t="str" cm="1">
        <f t="array" ref="K529">IFERROR(_xlfn.LET(
_xlpm.CSVVal,_xlfn.XLOOKUP($A529,CSV!$A:$A,CSV!K:K,""),
_xlpm.MacVal,_xlfn.XLOOKUP($A529,Output_Mac!$A:$A,Output_Mac!K:K,""),
_xlpm.MyAuditVal,_xlfn.XLOOKUP($A529,My_Audit!$A:$A,My_Audit!J:J,""),
_xlfn.IFS(_xlpm.MyAuditVal&lt;&gt;"",UPPER(_xlpm.MyAuditVal),_xlpm.MacVal&lt;&gt;"",_xlpm.MacVal,_xlpm.CSVVal&lt;&gt;"",_xlpm.CSVVal
)),"")</f>
        <v/>
      </c>
      <c r="L529" s="2" t="str" cm="1">
        <f t="array" ref="L529">IFERROR(_xlfn.LET(
_xlpm.CSVVal,_xlfn.XLOOKUP($A529,CSV!$A:$A,CSV!P:P,""),
_xlpm.MacVal,_xlfn.XLOOKUP($A529,Output_Mac!$A:$A,Output_Mac!L:L,""),
_xlpm.MyAuditVal,_xlfn.XLOOKUP($A529,My_Audit!$A:$A,My_Audit!K:K,""),
_xlfn.IFS(_xlpm.MyAuditVal&lt;&gt;"",UPPER(_xlpm.MyAuditVal),_xlpm.MacVal&lt;&gt;"",_xlpm.MacVal,_xlpm.CSVVal&lt;&gt;"",_xlpm.CSVVal
)),"")</f>
        <v/>
      </c>
      <c r="M529" s="2" t="str" cm="1">
        <f t="array" ref="M529">IFERROR(_xlfn.LET(
_xlpm.CSVVal,_xlfn.XLOOKUP($A529,CSV!$A:$A,CSV!Q:Q,""),
_xlpm.MacVal,_xlfn.XLOOKUP($A529,Output_Mac!$A:$A,Output_Mac!M:M,""),
_xlpm.MyAuditVal,_xlfn.XLOOKUP($A529,My_Audit!$A:$A,My_Audit!L:L,""),
_xlfn.IFS(_xlpm.MyAuditVal&lt;&gt;"",UPPER(_xlpm.MyAuditVal),_xlpm.MacVal&lt;&gt;"",_xlpm.MacVal,_xlpm.CSVVal&lt;&gt;"",_xlpm.CSVVal
)),"")</f>
        <v/>
      </c>
      <c r="O529" s="2" t="str">
        <f>_xlfn.LET(
    _xlpm.CSVVal, _xlfn.XLOOKUP($A529, CSV!$A:$A, CSV!AF:AF, ""),
    _xlpm.MacVal, _xlfn.XLOOKUP($A529, Output_Mac!$A:$A, Output_Mac!S:S, ""),
    _xlpm.MyAuditVal, _xlfn.XLOOKUP($A529, My_Audit!$A:$A, My_Audit!P:P, ""),
    _xlfn.TEXTJOIN(", ", TRUE, _xlpm.MyAuditVal, _xlpm.MacVal, _xlpm.CSVVal)
)</f>
        <v/>
      </c>
      <c r="P529" s="2" t="str" cm="1">
        <f t="array" ref="P529">IFERROR(_xlfn.LET(
_xlpm.CSVVal,_xlfn.XLOOKUP($A529,CSV!$A:$A,CSV!AG:AG,""),
_xlpm.MacVal,_xlfn.XLOOKUP($A529,Output_Mac!$A:$A,Output_Mac!T:T,""),
_xlpm.MyAuditVal,_xlfn.XLOOKUP($A529,My_Audit!$A:$A,My_Audit!Q:Q,""),
_xlfn.IFS(_xlpm.MyAuditVal&lt;&gt;"",UPPER(_xlpm.MyAuditVal),_xlpm.MacVal&lt;&gt;"",_xlpm.MacVal,_xlpm.CSVVal&lt;&gt;"",_xlpm.CSVVal
)),"No")</f>
        <v>No</v>
      </c>
      <c r="Q529" s="2" t="str" cm="1">
        <f t="array" ref="Q529">IFERROR(_xlfn.LET(
_xlpm.CSVVal,_xlfn.XLOOKUP($A529,CSV!$A:$A,CSV!AH:AH,""),
_xlpm.MacVal,_xlfn.XLOOKUP($A529,Output_Mac!$A:$A,Output_Mac!U:U,""),
_xlpm.MyAuditVal,_xlfn.XLOOKUP($A529,My_Audit!$A:$A,My_Audit!R:R,""),
_xlfn.IFS(_xlpm.MyAuditVal&lt;&gt;"",UPPER(_xlpm.MyAuditVal),_xlpm.MacVal&lt;&gt;"",_xlpm.MacVal,_xlpm.CSVVal&lt;&gt;"",_xlpm.CSVVal
)),"")</f>
        <v/>
      </c>
    </row>
    <row r="530" spans="1:17">
      <c r="A530" s="2" t="str">
        <f>_xlfn.TEXTJOIN("",TRUE,Input!$B$2,ROW(My_Audit!A529))</f>
        <v>XX529</v>
      </c>
      <c r="B530" s="2" t="str">
        <f>_xlfn.TEXTJOIN("-",TRUE,"ITD",Input!$A$2,A530)</f>
        <v>ITD-SHRXXX-XX529</v>
      </c>
      <c r="C530" s="2" t="str" cm="1">
        <f t="array" ref="C530">IFERROR(_xlfn.LET(
_xlpm.CSVVal,_xlfn.XLOOKUP($A530,CSV!$A:$A,CSV!B:B,""),
_xlpm.MacVal,_xlfn.XLOOKUP($A530,Output_Mac!$A:$A,Output_Mac!B:B,""),
_xlpm.MyAuditVal,_xlfn.XLOOKUP($A530,My_Audit!$A:$A,My_Audit!B:B,""),
_xlfn.IFS(_xlpm.MyAuditVal&lt;&gt;"",UPPER(_xlpm.MyAuditVal),_xlpm.MacVal&lt;&gt;"",_xlpm.MacVal,_xlpm.CSVVal&lt;&gt;"",_xlpm.CSVVal
)),"")</f>
        <v/>
      </c>
      <c r="D530" s="2" t="str" cm="1">
        <f t="array" ref="D530">IFERROR(_xlfn.LET(
_xlpm.CSVVal,_xlfn.XLOOKUP($A530,CSV!$A:$A,CSV!D:D,""),
_xlpm.MacVal,_xlfn.XLOOKUP($A530,Output_Mac!$A:$A,Output_Mac!C:C,""),
_xlpm.MyAuditVal,_xlfn.XLOOKUP($A530,My_Audit!$A:$A,My_Audit!C:C,""),
_xlfn.IFS(_xlpm.MyAuditVal&lt;&gt;"",_xlpm.MyAuditVal,_xlpm.MacVal&lt;&gt;"",_xlpm.MacVal,_xlpm.CSVVal&lt;&gt;"",_xlpm.CSVVal
)),"")</f>
        <v/>
      </c>
      <c r="E530" s="2" t="str">
        <f>_xlfn.XLOOKUP(A530,My_Audit!A:A,My_Audit!D:D,"")&amp;""</f>
        <v/>
      </c>
      <c r="F530" s="2" t="str" cm="1">
        <f t="array" ref="F530">IFERROR(_xlfn.LET(
_xlpm.CSVVal,_xlfn.XLOOKUP($A530,CSV!$A:$A,CSV!F:F,""),
_xlpm.MacVal,_xlfn.XLOOKUP($A530,Output_Mac!$A:$A,Output_Mac!E:E,""),
_xlpm.MyAuditVal,_xlfn.XLOOKUP($A530,My_Audit!$A:$A,My_Audit!E:E,""),
_xlfn.IFS(_xlpm.MyAuditVal&lt;&gt;"",_xlpm.MyAuditVal,_xlpm.MacVal&lt;&gt;"",_xlpm.MacVal,_xlpm.CSVVal&lt;&gt;"",_xlpm.CSVVal
)),"")</f>
        <v/>
      </c>
      <c r="G530" s="2" t="str" cm="1">
        <f t="array" ref="G530">IFERROR(_xlfn.LET(
_xlpm.CSVVal,_xlfn.XLOOKUP($A530,CSV!$A:$A,CSV!G:G,""),
_xlpm.MacVal,_xlfn.XLOOKUP($A530,Output_Mac!$A:$A,Output_Mac!F:F,""),
_xlpm.MyAuditVal,_xlfn.XLOOKUP($A530,My_Audit!$A:$A,My_Audit!F:F,""),
_xlfn.IFS(_xlpm.MyAuditVal&lt;&gt;"",_xlpm.MyAuditVal,_xlpm.MacVal&lt;&gt;"",_xlpm.MacVal,_xlpm.CSVVal&lt;&gt;"",PROPER(_xlpm.CSVVal)
)),"")</f>
        <v/>
      </c>
      <c r="H530" s="2" t="str" cm="1">
        <f t="array" ref="H530">IFERROR(_xlfn.LET(
_xlpm.CSVVal,_xlfn.XLOOKUP($A530,CSV!$A:$A,CSV!H:H,""),
_xlpm.MacVal,_xlfn.XLOOKUP($A530,Output_Mac!$A:$A,Output_Mac!H:H,""),
_xlpm.MyAuditVal,_xlfn.XLOOKUP($A530,My_Audit!$A:$A,My_Audit!G:G,""),
_xlfn.IFS(_xlpm.MyAuditVal&lt;&gt;"",_xlpm.MyAuditVal,_xlpm.MacVal&lt;&gt;"",_xlpm.MacVal,_xlpm.CSVVal&lt;&gt;"",_xlpm.CSVVal
)),"")</f>
        <v/>
      </c>
      <c r="I530" s="2" t="str">
        <f>_xlfn.XLOOKUP(A530,Output_Mac!A:A,Output_Mac!I:I,"")</f>
        <v/>
      </c>
      <c r="J530" s="2" t="str" cm="1">
        <f t="array" ref="J530">IFERROR(_xlfn.LET(
_xlpm.CSVVal,_xlfn.XLOOKUP($A530,CSV!$A:$A,CSV!I:I,""),
_xlpm.MacVal,_xlfn.XLOOKUP($A530,Output_Mac!$A:$A,Output_Mac!J:J,""),
_xlpm.MyAuditVal,_xlfn.XLOOKUP($A530,My_Audit!$A:$A,My_Audit!I:I,""),
_xlfn.IFS(_xlpm.MyAuditVal&lt;&gt;"",UPPER(_xlpm.MyAuditVal),_xlpm.MacVal&lt;&gt;"",_xlpm.MacVal,_xlpm.CSVVal&lt;&gt;"",_xlpm.CSVVal
)),"")</f>
        <v/>
      </c>
      <c r="K530" s="2" t="str" cm="1">
        <f t="array" ref="K530">IFERROR(_xlfn.LET(
_xlpm.CSVVal,_xlfn.XLOOKUP($A530,CSV!$A:$A,CSV!K:K,""),
_xlpm.MacVal,_xlfn.XLOOKUP($A530,Output_Mac!$A:$A,Output_Mac!K:K,""),
_xlpm.MyAuditVal,_xlfn.XLOOKUP($A530,My_Audit!$A:$A,My_Audit!J:J,""),
_xlfn.IFS(_xlpm.MyAuditVal&lt;&gt;"",UPPER(_xlpm.MyAuditVal),_xlpm.MacVal&lt;&gt;"",_xlpm.MacVal,_xlpm.CSVVal&lt;&gt;"",_xlpm.CSVVal
)),"")</f>
        <v/>
      </c>
      <c r="L530" s="2" t="str" cm="1">
        <f t="array" ref="L530">IFERROR(_xlfn.LET(
_xlpm.CSVVal,_xlfn.XLOOKUP($A530,CSV!$A:$A,CSV!P:P,""),
_xlpm.MacVal,_xlfn.XLOOKUP($A530,Output_Mac!$A:$A,Output_Mac!L:L,""),
_xlpm.MyAuditVal,_xlfn.XLOOKUP($A530,My_Audit!$A:$A,My_Audit!K:K,""),
_xlfn.IFS(_xlpm.MyAuditVal&lt;&gt;"",UPPER(_xlpm.MyAuditVal),_xlpm.MacVal&lt;&gt;"",_xlpm.MacVal,_xlpm.CSVVal&lt;&gt;"",_xlpm.CSVVal
)),"")</f>
        <v/>
      </c>
      <c r="M530" s="2" t="str" cm="1">
        <f t="array" ref="M530">IFERROR(_xlfn.LET(
_xlpm.CSVVal,_xlfn.XLOOKUP($A530,CSV!$A:$A,CSV!Q:Q,""),
_xlpm.MacVal,_xlfn.XLOOKUP($A530,Output_Mac!$A:$A,Output_Mac!M:M,""),
_xlpm.MyAuditVal,_xlfn.XLOOKUP($A530,My_Audit!$A:$A,My_Audit!L:L,""),
_xlfn.IFS(_xlpm.MyAuditVal&lt;&gt;"",UPPER(_xlpm.MyAuditVal),_xlpm.MacVal&lt;&gt;"",_xlpm.MacVal,_xlpm.CSVVal&lt;&gt;"",_xlpm.CSVVal
)),"")</f>
        <v/>
      </c>
      <c r="O530" s="2" t="str">
        <f>_xlfn.LET(
    _xlpm.CSVVal, _xlfn.XLOOKUP($A530, CSV!$A:$A, CSV!AF:AF, ""),
    _xlpm.MacVal, _xlfn.XLOOKUP($A530, Output_Mac!$A:$A, Output_Mac!S:S, ""),
    _xlpm.MyAuditVal, _xlfn.XLOOKUP($A530, My_Audit!$A:$A, My_Audit!P:P, ""),
    _xlfn.TEXTJOIN(", ", TRUE, _xlpm.MyAuditVal, _xlpm.MacVal, _xlpm.CSVVal)
)</f>
        <v/>
      </c>
      <c r="P530" s="2" t="str" cm="1">
        <f t="array" ref="P530">IFERROR(_xlfn.LET(
_xlpm.CSVVal,_xlfn.XLOOKUP($A530,CSV!$A:$A,CSV!AG:AG,""),
_xlpm.MacVal,_xlfn.XLOOKUP($A530,Output_Mac!$A:$A,Output_Mac!T:T,""),
_xlpm.MyAuditVal,_xlfn.XLOOKUP($A530,My_Audit!$A:$A,My_Audit!Q:Q,""),
_xlfn.IFS(_xlpm.MyAuditVal&lt;&gt;"",UPPER(_xlpm.MyAuditVal),_xlpm.MacVal&lt;&gt;"",_xlpm.MacVal,_xlpm.CSVVal&lt;&gt;"",_xlpm.CSVVal
)),"No")</f>
        <v>No</v>
      </c>
      <c r="Q530" s="2" t="str" cm="1">
        <f t="array" ref="Q530">IFERROR(_xlfn.LET(
_xlpm.CSVVal,_xlfn.XLOOKUP($A530,CSV!$A:$A,CSV!AH:AH,""),
_xlpm.MacVal,_xlfn.XLOOKUP($A530,Output_Mac!$A:$A,Output_Mac!U:U,""),
_xlpm.MyAuditVal,_xlfn.XLOOKUP($A530,My_Audit!$A:$A,My_Audit!R:R,""),
_xlfn.IFS(_xlpm.MyAuditVal&lt;&gt;"",UPPER(_xlpm.MyAuditVal),_xlpm.MacVal&lt;&gt;"",_xlpm.MacVal,_xlpm.CSVVal&lt;&gt;"",_xlpm.CSVVal
)),"")</f>
        <v/>
      </c>
    </row>
    <row r="531" spans="1:17">
      <c r="A531" s="2" t="str">
        <f>_xlfn.TEXTJOIN("",TRUE,Input!$B$2,ROW(My_Audit!A530))</f>
        <v>XX530</v>
      </c>
      <c r="B531" s="2" t="str">
        <f>_xlfn.TEXTJOIN("-",TRUE,"ITD",Input!$A$2,A531)</f>
        <v>ITD-SHRXXX-XX530</v>
      </c>
      <c r="C531" s="2" t="str" cm="1">
        <f t="array" ref="C531">IFERROR(_xlfn.LET(
_xlpm.CSVVal,_xlfn.XLOOKUP($A531,CSV!$A:$A,CSV!B:B,""),
_xlpm.MacVal,_xlfn.XLOOKUP($A531,Output_Mac!$A:$A,Output_Mac!B:B,""),
_xlpm.MyAuditVal,_xlfn.XLOOKUP($A531,My_Audit!$A:$A,My_Audit!B:B,""),
_xlfn.IFS(_xlpm.MyAuditVal&lt;&gt;"",UPPER(_xlpm.MyAuditVal),_xlpm.MacVal&lt;&gt;"",_xlpm.MacVal,_xlpm.CSVVal&lt;&gt;"",_xlpm.CSVVal
)),"")</f>
        <v/>
      </c>
      <c r="D531" s="2" t="str" cm="1">
        <f t="array" ref="D531">IFERROR(_xlfn.LET(
_xlpm.CSVVal,_xlfn.XLOOKUP($A531,CSV!$A:$A,CSV!D:D,""),
_xlpm.MacVal,_xlfn.XLOOKUP($A531,Output_Mac!$A:$A,Output_Mac!C:C,""),
_xlpm.MyAuditVal,_xlfn.XLOOKUP($A531,My_Audit!$A:$A,My_Audit!C:C,""),
_xlfn.IFS(_xlpm.MyAuditVal&lt;&gt;"",_xlpm.MyAuditVal,_xlpm.MacVal&lt;&gt;"",_xlpm.MacVal,_xlpm.CSVVal&lt;&gt;"",_xlpm.CSVVal
)),"")</f>
        <v/>
      </c>
      <c r="E531" s="2" t="str">
        <f>_xlfn.XLOOKUP(A531,My_Audit!A:A,My_Audit!D:D,"")&amp;""</f>
        <v/>
      </c>
      <c r="F531" s="2" t="str" cm="1">
        <f t="array" ref="F531">IFERROR(_xlfn.LET(
_xlpm.CSVVal,_xlfn.XLOOKUP($A531,CSV!$A:$A,CSV!F:F,""),
_xlpm.MacVal,_xlfn.XLOOKUP($A531,Output_Mac!$A:$A,Output_Mac!E:E,""),
_xlpm.MyAuditVal,_xlfn.XLOOKUP($A531,My_Audit!$A:$A,My_Audit!E:E,""),
_xlfn.IFS(_xlpm.MyAuditVal&lt;&gt;"",_xlpm.MyAuditVal,_xlpm.MacVal&lt;&gt;"",_xlpm.MacVal,_xlpm.CSVVal&lt;&gt;"",_xlpm.CSVVal
)),"")</f>
        <v/>
      </c>
      <c r="G531" s="2" t="str" cm="1">
        <f t="array" ref="G531">IFERROR(_xlfn.LET(
_xlpm.CSVVal,_xlfn.XLOOKUP($A531,CSV!$A:$A,CSV!G:G,""),
_xlpm.MacVal,_xlfn.XLOOKUP($A531,Output_Mac!$A:$A,Output_Mac!F:F,""),
_xlpm.MyAuditVal,_xlfn.XLOOKUP($A531,My_Audit!$A:$A,My_Audit!F:F,""),
_xlfn.IFS(_xlpm.MyAuditVal&lt;&gt;"",_xlpm.MyAuditVal,_xlpm.MacVal&lt;&gt;"",_xlpm.MacVal,_xlpm.CSVVal&lt;&gt;"",PROPER(_xlpm.CSVVal)
)),"")</f>
        <v/>
      </c>
      <c r="H531" s="2" t="str" cm="1">
        <f t="array" ref="H531">IFERROR(_xlfn.LET(
_xlpm.CSVVal,_xlfn.XLOOKUP($A531,CSV!$A:$A,CSV!H:H,""),
_xlpm.MacVal,_xlfn.XLOOKUP($A531,Output_Mac!$A:$A,Output_Mac!H:H,""),
_xlpm.MyAuditVal,_xlfn.XLOOKUP($A531,My_Audit!$A:$A,My_Audit!G:G,""),
_xlfn.IFS(_xlpm.MyAuditVal&lt;&gt;"",_xlpm.MyAuditVal,_xlpm.MacVal&lt;&gt;"",_xlpm.MacVal,_xlpm.CSVVal&lt;&gt;"",_xlpm.CSVVal
)),"")</f>
        <v/>
      </c>
      <c r="I531" s="2" t="str">
        <f>_xlfn.XLOOKUP(A531,Output_Mac!A:A,Output_Mac!I:I,"")</f>
        <v/>
      </c>
      <c r="J531" s="2" t="str" cm="1">
        <f t="array" ref="J531">IFERROR(_xlfn.LET(
_xlpm.CSVVal,_xlfn.XLOOKUP($A531,CSV!$A:$A,CSV!I:I,""),
_xlpm.MacVal,_xlfn.XLOOKUP($A531,Output_Mac!$A:$A,Output_Mac!J:J,""),
_xlpm.MyAuditVal,_xlfn.XLOOKUP($A531,My_Audit!$A:$A,My_Audit!I:I,""),
_xlfn.IFS(_xlpm.MyAuditVal&lt;&gt;"",UPPER(_xlpm.MyAuditVal),_xlpm.MacVal&lt;&gt;"",_xlpm.MacVal,_xlpm.CSVVal&lt;&gt;"",_xlpm.CSVVal
)),"")</f>
        <v/>
      </c>
      <c r="K531" s="2" t="str" cm="1">
        <f t="array" ref="K531">IFERROR(_xlfn.LET(
_xlpm.CSVVal,_xlfn.XLOOKUP($A531,CSV!$A:$A,CSV!K:K,""),
_xlpm.MacVal,_xlfn.XLOOKUP($A531,Output_Mac!$A:$A,Output_Mac!K:K,""),
_xlpm.MyAuditVal,_xlfn.XLOOKUP($A531,My_Audit!$A:$A,My_Audit!J:J,""),
_xlfn.IFS(_xlpm.MyAuditVal&lt;&gt;"",UPPER(_xlpm.MyAuditVal),_xlpm.MacVal&lt;&gt;"",_xlpm.MacVal,_xlpm.CSVVal&lt;&gt;"",_xlpm.CSVVal
)),"")</f>
        <v/>
      </c>
      <c r="L531" s="2" t="str" cm="1">
        <f t="array" ref="L531">IFERROR(_xlfn.LET(
_xlpm.CSVVal,_xlfn.XLOOKUP($A531,CSV!$A:$A,CSV!P:P,""),
_xlpm.MacVal,_xlfn.XLOOKUP($A531,Output_Mac!$A:$A,Output_Mac!L:L,""),
_xlpm.MyAuditVal,_xlfn.XLOOKUP($A531,My_Audit!$A:$A,My_Audit!K:K,""),
_xlfn.IFS(_xlpm.MyAuditVal&lt;&gt;"",UPPER(_xlpm.MyAuditVal),_xlpm.MacVal&lt;&gt;"",_xlpm.MacVal,_xlpm.CSVVal&lt;&gt;"",_xlpm.CSVVal
)),"")</f>
        <v/>
      </c>
      <c r="M531" s="2" t="str" cm="1">
        <f t="array" ref="M531">IFERROR(_xlfn.LET(
_xlpm.CSVVal,_xlfn.XLOOKUP($A531,CSV!$A:$A,CSV!Q:Q,""),
_xlpm.MacVal,_xlfn.XLOOKUP($A531,Output_Mac!$A:$A,Output_Mac!M:M,""),
_xlpm.MyAuditVal,_xlfn.XLOOKUP($A531,My_Audit!$A:$A,My_Audit!L:L,""),
_xlfn.IFS(_xlpm.MyAuditVal&lt;&gt;"",UPPER(_xlpm.MyAuditVal),_xlpm.MacVal&lt;&gt;"",_xlpm.MacVal,_xlpm.CSVVal&lt;&gt;"",_xlpm.CSVVal
)),"")</f>
        <v/>
      </c>
      <c r="O531" s="2" t="str">
        <f>_xlfn.LET(
    _xlpm.CSVVal, _xlfn.XLOOKUP($A531, CSV!$A:$A, CSV!AF:AF, ""),
    _xlpm.MacVal, _xlfn.XLOOKUP($A531, Output_Mac!$A:$A, Output_Mac!S:S, ""),
    _xlpm.MyAuditVal, _xlfn.XLOOKUP($A531, My_Audit!$A:$A, My_Audit!P:P, ""),
    _xlfn.TEXTJOIN(", ", TRUE, _xlpm.MyAuditVal, _xlpm.MacVal, _xlpm.CSVVal)
)</f>
        <v/>
      </c>
      <c r="P531" s="2" t="str" cm="1">
        <f t="array" ref="P531">IFERROR(_xlfn.LET(
_xlpm.CSVVal,_xlfn.XLOOKUP($A531,CSV!$A:$A,CSV!AG:AG,""),
_xlpm.MacVal,_xlfn.XLOOKUP($A531,Output_Mac!$A:$A,Output_Mac!T:T,""),
_xlpm.MyAuditVal,_xlfn.XLOOKUP($A531,My_Audit!$A:$A,My_Audit!Q:Q,""),
_xlfn.IFS(_xlpm.MyAuditVal&lt;&gt;"",UPPER(_xlpm.MyAuditVal),_xlpm.MacVal&lt;&gt;"",_xlpm.MacVal,_xlpm.CSVVal&lt;&gt;"",_xlpm.CSVVal
)),"No")</f>
        <v>No</v>
      </c>
      <c r="Q531" s="2" t="str" cm="1">
        <f t="array" ref="Q531">IFERROR(_xlfn.LET(
_xlpm.CSVVal,_xlfn.XLOOKUP($A531,CSV!$A:$A,CSV!AH:AH,""),
_xlpm.MacVal,_xlfn.XLOOKUP($A531,Output_Mac!$A:$A,Output_Mac!U:U,""),
_xlpm.MyAuditVal,_xlfn.XLOOKUP($A531,My_Audit!$A:$A,My_Audit!R:R,""),
_xlfn.IFS(_xlpm.MyAuditVal&lt;&gt;"",UPPER(_xlpm.MyAuditVal),_xlpm.MacVal&lt;&gt;"",_xlpm.MacVal,_xlpm.CSVVal&lt;&gt;"",_xlpm.CSVVal
)),"")</f>
        <v/>
      </c>
    </row>
    <row r="532" spans="1:17">
      <c r="A532" s="2" t="str">
        <f>_xlfn.TEXTJOIN("",TRUE,Input!$B$2,ROW(My_Audit!A531))</f>
        <v>XX531</v>
      </c>
      <c r="B532" s="2" t="str">
        <f>_xlfn.TEXTJOIN("-",TRUE,"ITD",Input!$A$2,A532)</f>
        <v>ITD-SHRXXX-XX531</v>
      </c>
      <c r="C532" s="2" t="str" cm="1">
        <f t="array" ref="C532">IFERROR(_xlfn.LET(
_xlpm.CSVVal,_xlfn.XLOOKUP($A532,CSV!$A:$A,CSV!B:B,""),
_xlpm.MacVal,_xlfn.XLOOKUP($A532,Output_Mac!$A:$A,Output_Mac!B:B,""),
_xlpm.MyAuditVal,_xlfn.XLOOKUP($A532,My_Audit!$A:$A,My_Audit!B:B,""),
_xlfn.IFS(_xlpm.MyAuditVal&lt;&gt;"",UPPER(_xlpm.MyAuditVal),_xlpm.MacVal&lt;&gt;"",_xlpm.MacVal,_xlpm.CSVVal&lt;&gt;"",_xlpm.CSVVal
)),"")</f>
        <v/>
      </c>
      <c r="D532" s="2" t="str" cm="1">
        <f t="array" ref="D532">IFERROR(_xlfn.LET(
_xlpm.CSVVal,_xlfn.XLOOKUP($A532,CSV!$A:$A,CSV!D:D,""),
_xlpm.MacVal,_xlfn.XLOOKUP($A532,Output_Mac!$A:$A,Output_Mac!C:C,""),
_xlpm.MyAuditVal,_xlfn.XLOOKUP($A532,My_Audit!$A:$A,My_Audit!C:C,""),
_xlfn.IFS(_xlpm.MyAuditVal&lt;&gt;"",_xlpm.MyAuditVal,_xlpm.MacVal&lt;&gt;"",_xlpm.MacVal,_xlpm.CSVVal&lt;&gt;"",_xlpm.CSVVal
)),"")</f>
        <v/>
      </c>
      <c r="E532" s="2" t="str">
        <f>_xlfn.XLOOKUP(A532,My_Audit!A:A,My_Audit!D:D,"")&amp;""</f>
        <v/>
      </c>
      <c r="F532" s="2" t="str" cm="1">
        <f t="array" ref="F532">IFERROR(_xlfn.LET(
_xlpm.CSVVal,_xlfn.XLOOKUP($A532,CSV!$A:$A,CSV!F:F,""),
_xlpm.MacVal,_xlfn.XLOOKUP($A532,Output_Mac!$A:$A,Output_Mac!E:E,""),
_xlpm.MyAuditVal,_xlfn.XLOOKUP($A532,My_Audit!$A:$A,My_Audit!E:E,""),
_xlfn.IFS(_xlpm.MyAuditVal&lt;&gt;"",_xlpm.MyAuditVal,_xlpm.MacVal&lt;&gt;"",_xlpm.MacVal,_xlpm.CSVVal&lt;&gt;"",_xlpm.CSVVal
)),"")</f>
        <v/>
      </c>
      <c r="G532" s="2" t="str" cm="1">
        <f t="array" ref="G532">IFERROR(_xlfn.LET(
_xlpm.CSVVal,_xlfn.XLOOKUP($A532,CSV!$A:$A,CSV!G:G,""),
_xlpm.MacVal,_xlfn.XLOOKUP($A532,Output_Mac!$A:$A,Output_Mac!F:F,""),
_xlpm.MyAuditVal,_xlfn.XLOOKUP($A532,My_Audit!$A:$A,My_Audit!F:F,""),
_xlfn.IFS(_xlpm.MyAuditVal&lt;&gt;"",_xlpm.MyAuditVal,_xlpm.MacVal&lt;&gt;"",_xlpm.MacVal,_xlpm.CSVVal&lt;&gt;"",PROPER(_xlpm.CSVVal)
)),"")</f>
        <v/>
      </c>
      <c r="H532" s="2" t="str" cm="1">
        <f t="array" ref="H532">IFERROR(_xlfn.LET(
_xlpm.CSVVal,_xlfn.XLOOKUP($A532,CSV!$A:$A,CSV!H:H,""),
_xlpm.MacVal,_xlfn.XLOOKUP($A532,Output_Mac!$A:$A,Output_Mac!H:H,""),
_xlpm.MyAuditVal,_xlfn.XLOOKUP($A532,My_Audit!$A:$A,My_Audit!G:G,""),
_xlfn.IFS(_xlpm.MyAuditVal&lt;&gt;"",_xlpm.MyAuditVal,_xlpm.MacVal&lt;&gt;"",_xlpm.MacVal,_xlpm.CSVVal&lt;&gt;"",_xlpm.CSVVal
)),"")</f>
        <v/>
      </c>
      <c r="I532" s="2" t="str">
        <f>_xlfn.XLOOKUP(A532,Output_Mac!A:A,Output_Mac!I:I,"")</f>
        <v/>
      </c>
      <c r="J532" s="2" t="str" cm="1">
        <f t="array" ref="J532">IFERROR(_xlfn.LET(
_xlpm.CSVVal,_xlfn.XLOOKUP($A532,CSV!$A:$A,CSV!I:I,""),
_xlpm.MacVal,_xlfn.XLOOKUP($A532,Output_Mac!$A:$A,Output_Mac!J:J,""),
_xlpm.MyAuditVal,_xlfn.XLOOKUP($A532,My_Audit!$A:$A,My_Audit!I:I,""),
_xlfn.IFS(_xlpm.MyAuditVal&lt;&gt;"",UPPER(_xlpm.MyAuditVal),_xlpm.MacVal&lt;&gt;"",_xlpm.MacVal,_xlpm.CSVVal&lt;&gt;"",_xlpm.CSVVal
)),"")</f>
        <v/>
      </c>
      <c r="K532" s="2" t="str" cm="1">
        <f t="array" ref="K532">IFERROR(_xlfn.LET(
_xlpm.CSVVal,_xlfn.XLOOKUP($A532,CSV!$A:$A,CSV!K:K,""),
_xlpm.MacVal,_xlfn.XLOOKUP($A532,Output_Mac!$A:$A,Output_Mac!K:K,""),
_xlpm.MyAuditVal,_xlfn.XLOOKUP($A532,My_Audit!$A:$A,My_Audit!J:J,""),
_xlfn.IFS(_xlpm.MyAuditVal&lt;&gt;"",UPPER(_xlpm.MyAuditVal),_xlpm.MacVal&lt;&gt;"",_xlpm.MacVal,_xlpm.CSVVal&lt;&gt;"",_xlpm.CSVVal
)),"")</f>
        <v/>
      </c>
      <c r="L532" s="2" t="str" cm="1">
        <f t="array" ref="L532">IFERROR(_xlfn.LET(
_xlpm.CSVVal,_xlfn.XLOOKUP($A532,CSV!$A:$A,CSV!P:P,""),
_xlpm.MacVal,_xlfn.XLOOKUP($A532,Output_Mac!$A:$A,Output_Mac!L:L,""),
_xlpm.MyAuditVal,_xlfn.XLOOKUP($A532,My_Audit!$A:$A,My_Audit!K:K,""),
_xlfn.IFS(_xlpm.MyAuditVal&lt;&gt;"",UPPER(_xlpm.MyAuditVal),_xlpm.MacVal&lt;&gt;"",_xlpm.MacVal,_xlpm.CSVVal&lt;&gt;"",_xlpm.CSVVal
)),"")</f>
        <v/>
      </c>
      <c r="M532" s="2" t="str" cm="1">
        <f t="array" ref="M532">IFERROR(_xlfn.LET(
_xlpm.CSVVal,_xlfn.XLOOKUP($A532,CSV!$A:$A,CSV!Q:Q,""),
_xlpm.MacVal,_xlfn.XLOOKUP($A532,Output_Mac!$A:$A,Output_Mac!M:M,""),
_xlpm.MyAuditVal,_xlfn.XLOOKUP($A532,My_Audit!$A:$A,My_Audit!L:L,""),
_xlfn.IFS(_xlpm.MyAuditVal&lt;&gt;"",UPPER(_xlpm.MyAuditVal),_xlpm.MacVal&lt;&gt;"",_xlpm.MacVal,_xlpm.CSVVal&lt;&gt;"",_xlpm.CSVVal
)),"")</f>
        <v/>
      </c>
      <c r="O532" s="2" t="str">
        <f>_xlfn.LET(
    _xlpm.CSVVal, _xlfn.XLOOKUP($A532, CSV!$A:$A, CSV!AF:AF, ""),
    _xlpm.MacVal, _xlfn.XLOOKUP($A532, Output_Mac!$A:$A, Output_Mac!S:S, ""),
    _xlpm.MyAuditVal, _xlfn.XLOOKUP($A532, My_Audit!$A:$A, My_Audit!P:P, ""),
    _xlfn.TEXTJOIN(", ", TRUE, _xlpm.MyAuditVal, _xlpm.MacVal, _xlpm.CSVVal)
)</f>
        <v/>
      </c>
      <c r="P532" s="2" t="str" cm="1">
        <f t="array" ref="P532">IFERROR(_xlfn.LET(
_xlpm.CSVVal,_xlfn.XLOOKUP($A532,CSV!$A:$A,CSV!AG:AG,""),
_xlpm.MacVal,_xlfn.XLOOKUP($A532,Output_Mac!$A:$A,Output_Mac!T:T,""),
_xlpm.MyAuditVal,_xlfn.XLOOKUP($A532,My_Audit!$A:$A,My_Audit!Q:Q,""),
_xlfn.IFS(_xlpm.MyAuditVal&lt;&gt;"",UPPER(_xlpm.MyAuditVal),_xlpm.MacVal&lt;&gt;"",_xlpm.MacVal,_xlpm.CSVVal&lt;&gt;"",_xlpm.CSVVal
)),"No")</f>
        <v>No</v>
      </c>
      <c r="Q532" s="2" t="str" cm="1">
        <f t="array" ref="Q532">IFERROR(_xlfn.LET(
_xlpm.CSVVal,_xlfn.XLOOKUP($A532,CSV!$A:$A,CSV!AH:AH,""),
_xlpm.MacVal,_xlfn.XLOOKUP($A532,Output_Mac!$A:$A,Output_Mac!U:U,""),
_xlpm.MyAuditVal,_xlfn.XLOOKUP($A532,My_Audit!$A:$A,My_Audit!R:R,""),
_xlfn.IFS(_xlpm.MyAuditVal&lt;&gt;"",UPPER(_xlpm.MyAuditVal),_xlpm.MacVal&lt;&gt;"",_xlpm.MacVal,_xlpm.CSVVal&lt;&gt;"",_xlpm.CSVVal
)),"")</f>
        <v/>
      </c>
    </row>
    <row r="533" spans="1:17">
      <c r="A533" s="2" t="str">
        <f>_xlfn.TEXTJOIN("",TRUE,Input!$B$2,ROW(My_Audit!A532))</f>
        <v>XX532</v>
      </c>
      <c r="B533" s="2" t="str">
        <f>_xlfn.TEXTJOIN("-",TRUE,"ITD",Input!$A$2,A533)</f>
        <v>ITD-SHRXXX-XX532</v>
      </c>
      <c r="C533" s="2" t="str" cm="1">
        <f t="array" ref="C533">IFERROR(_xlfn.LET(
_xlpm.CSVVal,_xlfn.XLOOKUP($A533,CSV!$A:$A,CSV!B:B,""),
_xlpm.MacVal,_xlfn.XLOOKUP($A533,Output_Mac!$A:$A,Output_Mac!B:B,""),
_xlpm.MyAuditVal,_xlfn.XLOOKUP($A533,My_Audit!$A:$A,My_Audit!B:B,""),
_xlfn.IFS(_xlpm.MyAuditVal&lt;&gt;"",UPPER(_xlpm.MyAuditVal),_xlpm.MacVal&lt;&gt;"",_xlpm.MacVal,_xlpm.CSVVal&lt;&gt;"",_xlpm.CSVVal
)),"")</f>
        <v/>
      </c>
      <c r="D533" s="2" t="str" cm="1">
        <f t="array" ref="D533">IFERROR(_xlfn.LET(
_xlpm.CSVVal,_xlfn.XLOOKUP($A533,CSV!$A:$A,CSV!D:D,""),
_xlpm.MacVal,_xlfn.XLOOKUP($A533,Output_Mac!$A:$A,Output_Mac!C:C,""),
_xlpm.MyAuditVal,_xlfn.XLOOKUP($A533,My_Audit!$A:$A,My_Audit!C:C,""),
_xlfn.IFS(_xlpm.MyAuditVal&lt;&gt;"",_xlpm.MyAuditVal,_xlpm.MacVal&lt;&gt;"",_xlpm.MacVal,_xlpm.CSVVal&lt;&gt;"",_xlpm.CSVVal
)),"")</f>
        <v/>
      </c>
      <c r="E533" s="2" t="str">
        <f>_xlfn.XLOOKUP(A533,My_Audit!A:A,My_Audit!D:D,"")&amp;""</f>
        <v/>
      </c>
      <c r="F533" s="2" t="str" cm="1">
        <f t="array" ref="F533">IFERROR(_xlfn.LET(
_xlpm.CSVVal,_xlfn.XLOOKUP($A533,CSV!$A:$A,CSV!F:F,""),
_xlpm.MacVal,_xlfn.XLOOKUP($A533,Output_Mac!$A:$A,Output_Mac!E:E,""),
_xlpm.MyAuditVal,_xlfn.XLOOKUP($A533,My_Audit!$A:$A,My_Audit!E:E,""),
_xlfn.IFS(_xlpm.MyAuditVal&lt;&gt;"",_xlpm.MyAuditVal,_xlpm.MacVal&lt;&gt;"",_xlpm.MacVal,_xlpm.CSVVal&lt;&gt;"",_xlpm.CSVVal
)),"")</f>
        <v/>
      </c>
      <c r="G533" s="2" t="str" cm="1">
        <f t="array" ref="G533">IFERROR(_xlfn.LET(
_xlpm.CSVVal,_xlfn.XLOOKUP($A533,CSV!$A:$A,CSV!G:G,""),
_xlpm.MacVal,_xlfn.XLOOKUP($A533,Output_Mac!$A:$A,Output_Mac!F:F,""),
_xlpm.MyAuditVal,_xlfn.XLOOKUP($A533,My_Audit!$A:$A,My_Audit!F:F,""),
_xlfn.IFS(_xlpm.MyAuditVal&lt;&gt;"",_xlpm.MyAuditVal,_xlpm.MacVal&lt;&gt;"",_xlpm.MacVal,_xlpm.CSVVal&lt;&gt;"",PROPER(_xlpm.CSVVal)
)),"")</f>
        <v/>
      </c>
      <c r="H533" s="2" t="str" cm="1">
        <f t="array" ref="H533">IFERROR(_xlfn.LET(
_xlpm.CSVVal,_xlfn.XLOOKUP($A533,CSV!$A:$A,CSV!H:H,""),
_xlpm.MacVal,_xlfn.XLOOKUP($A533,Output_Mac!$A:$A,Output_Mac!H:H,""),
_xlpm.MyAuditVal,_xlfn.XLOOKUP($A533,My_Audit!$A:$A,My_Audit!G:G,""),
_xlfn.IFS(_xlpm.MyAuditVal&lt;&gt;"",_xlpm.MyAuditVal,_xlpm.MacVal&lt;&gt;"",_xlpm.MacVal,_xlpm.CSVVal&lt;&gt;"",_xlpm.CSVVal
)),"")</f>
        <v/>
      </c>
      <c r="I533" s="2" t="str">
        <f>_xlfn.XLOOKUP(A533,Output_Mac!A:A,Output_Mac!I:I,"")</f>
        <v/>
      </c>
      <c r="J533" s="2" t="str" cm="1">
        <f t="array" ref="J533">IFERROR(_xlfn.LET(
_xlpm.CSVVal,_xlfn.XLOOKUP($A533,CSV!$A:$A,CSV!I:I,""),
_xlpm.MacVal,_xlfn.XLOOKUP($A533,Output_Mac!$A:$A,Output_Mac!J:J,""),
_xlpm.MyAuditVal,_xlfn.XLOOKUP($A533,My_Audit!$A:$A,My_Audit!I:I,""),
_xlfn.IFS(_xlpm.MyAuditVal&lt;&gt;"",UPPER(_xlpm.MyAuditVal),_xlpm.MacVal&lt;&gt;"",_xlpm.MacVal,_xlpm.CSVVal&lt;&gt;"",_xlpm.CSVVal
)),"")</f>
        <v/>
      </c>
      <c r="K533" s="2" t="str" cm="1">
        <f t="array" ref="K533">IFERROR(_xlfn.LET(
_xlpm.CSVVal,_xlfn.XLOOKUP($A533,CSV!$A:$A,CSV!K:K,""),
_xlpm.MacVal,_xlfn.XLOOKUP($A533,Output_Mac!$A:$A,Output_Mac!K:K,""),
_xlpm.MyAuditVal,_xlfn.XLOOKUP($A533,My_Audit!$A:$A,My_Audit!J:J,""),
_xlfn.IFS(_xlpm.MyAuditVal&lt;&gt;"",UPPER(_xlpm.MyAuditVal),_xlpm.MacVal&lt;&gt;"",_xlpm.MacVal,_xlpm.CSVVal&lt;&gt;"",_xlpm.CSVVal
)),"")</f>
        <v/>
      </c>
      <c r="L533" s="2" t="str" cm="1">
        <f t="array" ref="L533">IFERROR(_xlfn.LET(
_xlpm.CSVVal,_xlfn.XLOOKUP($A533,CSV!$A:$A,CSV!P:P,""),
_xlpm.MacVal,_xlfn.XLOOKUP($A533,Output_Mac!$A:$A,Output_Mac!L:L,""),
_xlpm.MyAuditVal,_xlfn.XLOOKUP($A533,My_Audit!$A:$A,My_Audit!K:K,""),
_xlfn.IFS(_xlpm.MyAuditVal&lt;&gt;"",UPPER(_xlpm.MyAuditVal),_xlpm.MacVal&lt;&gt;"",_xlpm.MacVal,_xlpm.CSVVal&lt;&gt;"",_xlpm.CSVVal
)),"")</f>
        <v/>
      </c>
      <c r="M533" s="2" t="str" cm="1">
        <f t="array" ref="M533">IFERROR(_xlfn.LET(
_xlpm.CSVVal,_xlfn.XLOOKUP($A533,CSV!$A:$A,CSV!Q:Q,""),
_xlpm.MacVal,_xlfn.XLOOKUP($A533,Output_Mac!$A:$A,Output_Mac!M:M,""),
_xlpm.MyAuditVal,_xlfn.XLOOKUP($A533,My_Audit!$A:$A,My_Audit!L:L,""),
_xlfn.IFS(_xlpm.MyAuditVal&lt;&gt;"",UPPER(_xlpm.MyAuditVal),_xlpm.MacVal&lt;&gt;"",_xlpm.MacVal,_xlpm.CSVVal&lt;&gt;"",_xlpm.CSVVal
)),"")</f>
        <v/>
      </c>
      <c r="O533" s="2" t="str">
        <f>_xlfn.LET(
    _xlpm.CSVVal, _xlfn.XLOOKUP($A533, CSV!$A:$A, CSV!AF:AF, ""),
    _xlpm.MacVal, _xlfn.XLOOKUP($A533, Output_Mac!$A:$A, Output_Mac!S:S, ""),
    _xlpm.MyAuditVal, _xlfn.XLOOKUP($A533, My_Audit!$A:$A, My_Audit!P:P, ""),
    _xlfn.TEXTJOIN(", ", TRUE, _xlpm.MyAuditVal, _xlpm.MacVal, _xlpm.CSVVal)
)</f>
        <v/>
      </c>
      <c r="P533" s="2" t="str" cm="1">
        <f t="array" ref="P533">IFERROR(_xlfn.LET(
_xlpm.CSVVal,_xlfn.XLOOKUP($A533,CSV!$A:$A,CSV!AG:AG,""),
_xlpm.MacVal,_xlfn.XLOOKUP($A533,Output_Mac!$A:$A,Output_Mac!T:T,""),
_xlpm.MyAuditVal,_xlfn.XLOOKUP($A533,My_Audit!$A:$A,My_Audit!Q:Q,""),
_xlfn.IFS(_xlpm.MyAuditVal&lt;&gt;"",UPPER(_xlpm.MyAuditVal),_xlpm.MacVal&lt;&gt;"",_xlpm.MacVal,_xlpm.CSVVal&lt;&gt;"",_xlpm.CSVVal
)),"No")</f>
        <v>No</v>
      </c>
      <c r="Q533" s="2" t="str" cm="1">
        <f t="array" ref="Q533">IFERROR(_xlfn.LET(
_xlpm.CSVVal,_xlfn.XLOOKUP($A533,CSV!$A:$A,CSV!AH:AH,""),
_xlpm.MacVal,_xlfn.XLOOKUP($A533,Output_Mac!$A:$A,Output_Mac!U:U,""),
_xlpm.MyAuditVal,_xlfn.XLOOKUP($A533,My_Audit!$A:$A,My_Audit!R:R,""),
_xlfn.IFS(_xlpm.MyAuditVal&lt;&gt;"",UPPER(_xlpm.MyAuditVal),_xlpm.MacVal&lt;&gt;"",_xlpm.MacVal,_xlpm.CSVVal&lt;&gt;"",_xlpm.CSVVal
)),"")</f>
        <v/>
      </c>
    </row>
    <row r="534" spans="1:17">
      <c r="A534" s="2" t="str">
        <f>_xlfn.TEXTJOIN("",TRUE,Input!$B$2,ROW(My_Audit!A533))</f>
        <v>XX533</v>
      </c>
      <c r="B534" s="2" t="str">
        <f>_xlfn.TEXTJOIN("-",TRUE,"ITD",Input!$A$2,A534)</f>
        <v>ITD-SHRXXX-XX533</v>
      </c>
      <c r="C534" s="2" t="str" cm="1">
        <f t="array" ref="C534">IFERROR(_xlfn.LET(
_xlpm.CSVVal,_xlfn.XLOOKUP($A534,CSV!$A:$A,CSV!B:B,""),
_xlpm.MacVal,_xlfn.XLOOKUP($A534,Output_Mac!$A:$A,Output_Mac!B:B,""),
_xlpm.MyAuditVal,_xlfn.XLOOKUP($A534,My_Audit!$A:$A,My_Audit!B:B,""),
_xlfn.IFS(_xlpm.MyAuditVal&lt;&gt;"",UPPER(_xlpm.MyAuditVal),_xlpm.MacVal&lt;&gt;"",_xlpm.MacVal,_xlpm.CSVVal&lt;&gt;"",_xlpm.CSVVal
)),"")</f>
        <v/>
      </c>
      <c r="D534" s="2" t="str" cm="1">
        <f t="array" ref="D534">IFERROR(_xlfn.LET(
_xlpm.CSVVal,_xlfn.XLOOKUP($A534,CSV!$A:$A,CSV!D:D,""),
_xlpm.MacVal,_xlfn.XLOOKUP($A534,Output_Mac!$A:$A,Output_Mac!C:C,""),
_xlpm.MyAuditVal,_xlfn.XLOOKUP($A534,My_Audit!$A:$A,My_Audit!C:C,""),
_xlfn.IFS(_xlpm.MyAuditVal&lt;&gt;"",_xlpm.MyAuditVal,_xlpm.MacVal&lt;&gt;"",_xlpm.MacVal,_xlpm.CSVVal&lt;&gt;"",_xlpm.CSVVal
)),"")</f>
        <v/>
      </c>
      <c r="E534" s="2" t="str">
        <f>_xlfn.XLOOKUP(A534,My_Audit!A:A,My_Audit!D:D,"")&amp;""</f>
        <v/>
      </c>
      <c r="F534" s="2" t="str" cm="1">
        <f t="array" ref="F534">IFERROR(_xlfn.LET(
_xlpm.CSVVal,_xlfn.XLOOKUP($A534,CSV!$A:$A,CSV!F:F,""),
_xlpm.MacVal,_xlfn.XLOOKUP($A534,Output_Mac!$A:$A,Output_Mac!E:E,""),
_xlpm.MyAuditVal,_xlfn.XLOOKUP($A534,My_Audit!$A:$A,My_Audit!E:E,""),
_xlfn.IFS(_xlpm.MyAuditVal&lt;&gt;"",_xlpm.MyAuditVal,_xlpm.MacVal&lt;&gt;"",_xlpm.MacVal,_xlpm.CSVVal&lt;&gt;"",_xlpm.CSVVal
)),"")</f>
        <v/>
      </c>
      <c r="G534" s="2" t="str" cm="1">
        <f t="array" ref="G534">IFERROR(_xlfn.LET(
_xlpm.CSVVal,_xlfn.XLOOKUP($A534,CSV!$A:$A,CSV!G:G,""),
_xlpm.MacVal,_xlfn.XLOOKUP($A534,Output_Mac!$A:$A,Output_Mac!F:F,""),
_xlpm.MyAuditVal,_xlfn.XLOOKUP($A534,My_Audit!$A:$A,My_Audit!F:F,""),
_xlfn.IFS(_xlpm.MyAuditVal&lt;&gt;"",_xlpm.MyAuditVal,_xlpm.MacVal&lt;&gt;"",_xlpm.MacVal,_xlpm.CSVVal&lt;&gt;"",PROPER(_xlpm.CSVVal)
)),"")</f>
        <v/>
      </c>
      <c r="H534" s="2" t="str" cm="1">
        <f t="array" ref="H534">IFERROR(_xlfn.LET(
_xlpm.CSVVal,_xlfn.XLOOKUP($A534,CSV!$A:$A,CSV!H:H,""),
_xlpm.MacVal,_xlfn.XLOOKUP($A534,Output_Mac!$A:$A,Output_Mac!H:H,""),
_xlpm.MyAuditVal,_xlfn.XLOOKUP($A534,My_Audit!$A:$A,My_Audit!G:G,""),
_xlfn.IFS(_xlpm.MyAuditVal&lt;&gt;"",_xlpm.MyAuditVal,_xlpm.MacVal&lt;&gt;"",_xlpm.MacVal,_xlpm.CSVVal&lt;&gt;"",_xlpm.CSVVal
)),"")</f>
        <v/>
      </c>
      <c r="I534" s="2" t="str">
        <f>_xlfn.XLOOKUP(A534,Output_Mac!A:A,Output_Mac!I:I,"")</f>
        <v/>
      </c>
      <c r="J534" s="2" t="str" cm="1">
        <f t="array" ref="J534">IFERROR(_xlfn.LET(
_xlpm.CSVVal,_xlfn.XLOOKUP($A534,CSV!$A:$A,CSV!I:I,""),
_xlpm.MacVal,_xlfn.XLOOKUP($A534,Output_Mac!$A:$A,Output_Mac!J:J,""),
_xlpm.MyAuditVal,_xlfn.XLOOKUP($A534,My_Audit!$A:$A,My_Audit!I:I,""),
_xlfn.IFS(_xlpm.MyAuditVal&lt;&gt;"",UPPER(_xlpm.MyAuditVal),_xlpm.MacVal&lt;&gt;"",_xlpm.MacVal,_xlpm.CSVVal&lt;&gt;"",_xlpm.CSVVal
)),"")</f>
        <v/>
      </c>
      <c r="K534" s="2" t="str" cm="1">
        <f t="array" ref="K534">IFERROR(_xlfn.LET(
_xlpm.CSVVal,_xlfn.XLOOKUP($A534,CSV!$A:$A,CSV!K:K,""),
_xlpm.MacVal,_xlfn.XLOOKUP($A534,Output_Mac!$A:$A,Output_Mac!K:K,""),
_xlpm.MyAuditVal,_xlfn.XLOOKUP($A534,My_Audit!$A:$A,My_Audit!J:J,""),
_xlfn.IFS(_xlpm.MyAuditVal&lt;&gt;"",UPPER(_xlpm.MyAuditVal),_xlpm.MacVal&lt;&gt;"",_xlpm.MacVal,_xlpm.CSVVal&lt;&gt;"",_xlpm.CSVVal
)),"")</f>
        <v/>
      </c>
      <c r="L534" s="2" t="str" cm="1">
        <f t="array" ref="L534">IFERROR(_xlfn.LET(
_xlpm.CSVVal,_xlfn.XLOOKUP($A534,CSV!$A:$A,CSV!P:P,""),
_xlpm.MacVal,_xlfn.XLOOKUP($A534,Output_Mac!$A:$A,Output_Mac!L:L,""),
_xlpm.MyAuditVal,_xlfn.XLOOKUP($A534,My_Audit!$A:$A,My_Audit!K:K,""),
_xlfn.IFS(_xlpm.MyAuditVal&lt;&gt;"",UPPER(_xlpm.MyAuditVal),_xlpm.MacVal&lt;&gt;"",_xlpm.MacVal,_xlpm.CSVVal&lt;&gt;"",_xlpm.CSVVal
)),"")</f>
        <v/>
      </c>
      <c r="M534" s="2" t="str" cm="1">
        <f t="array" ref="M534">IFERROR(_xlfn.LET(
_xlpm.CSVVal,_xlfn.XLOOKUP($A534,CSV!$A:$A,CSV!Q:Q,""),
_xlpm.MacVal,_xlfn.XLOOKUP($A534,Output_Mac!$A:$A,Output_Mac!M:M,""),
_xlpm.MyAuditVal,_xlfn.XLOOKUP($A534,My_Audit!$A:$A,My_Audit!L:L,""),
_xlfn.IFS(_xlpm.MyAuditVal&lt;&gt;"",UPPER(_xlpm.MyAuditVal),_xlpm.MacVal&lt;&gt;"",_xlpm.MacVal,_xlpm.CSVVal&lt;&gt;"",_xlpm.CSVVal
)),"")</f>
        <v/>
      </c>
      <c r="O534" s="2" t="str">
        <f>_xlfn.LET(
    _xlpm.CSVVal, _xlfn.XLOOKUP($A534, CSV!$A:$A, CSV!AF:AF, ""),
    _xlpm.MacVal, _xlfn.XLOOKUP($A534, Output_Mac!$A:$A, Output_Mac!S:S, ""),
    _xlpm.MyAuditVal, _xlfn.XLOOKUP($A534, My_Audit!$A:$A, My_Audit!P:P, ""),
    _xlfn.TEXTJOIN(", ", TRUE, _xlpm.MyAuditVal, _xlpm.MacVal, _xlpm.CSVVal)
)</f>
        <v/>
      </c>
      <c r="P534" s="2" t="str" cm="1">
        <f t="array" ref="P534">IFERROR(_xlfn.LET(
_xlpm.CSVVal,_xlfn.XLOOKUP($A534,CSV!$A:$A,CSV!AG:AG,""),
_xlpm.MacVal,_xlfn.XLOOKUP($A534,Output_Mac!$A:$A,Output_Mac!T:T,""),
_xlpm.MyAuditVal,_xlfn.XLOOKUP($A534,My_Audit!$A:$A,My_Audit!Q:Q,""),
_xlfn.IFS(_xlpm.MyAuditVal&lt;&gt;"",UPPER(_xlpm.MyAuditVal),_xlpm.MacVal&lt;&gt;"",_xlpm.MacVal,_xlpm.CSVVal&lt;&gt;"",_xlpm.CSVVal
)),"No")</f>
        <v>No</v>
      </c>
      <c r="Q534" s="2" t="str" cm="1">
        <f t="array" ref="Q534">IFERROR(_xlfn.LET(
_xlpm.CSVVal,_xlfn.XLOOKUP($A534,CSV!$A:$A,CSV!AH:AH,""),
_xlpm.MacVal,_xlfn.XLOOKUP($A534,Output_Mac!$A:$A,Output_Mac!U:U,""),
_xlpm.MyAuditVal,_xlfn.XLOOKUP($A534,My_Audit!$A:$A,My_Audit!R:R,""),
_xlfn.IFS(_xlpm.MyAuditVal&lt;&gt;"",UPPER(_xlpm.MyAuditVal),_xlpm.MacVal&lt;&gt;"",_xlpm.MacVal,_xlpm.CSVVal&lt;&gt;"",_xlpm.CSVVal
)),"")</f>
        <v/>
      </c>
    </row>
    <row r="535" spans="1:17">
      <c r="A535" s="2" t="str">
        <f>_xlfn.TEXTJOIN("",TRUE,Input!$B$2,ROW(My_Audit!A534))</f>
        <v>XX534</v>
      </c>
      <c r="B535" s="2" t="str">
        <f>_xlfn.TEXTJOIN("-",TRUE,"ITD",Input!$A$2,A535)</f>
        <v>ITD-SHRXXX-XX534</v>
      </c>
      <c r="C535" s="2" t="str" cm="1">
        <f t="array" ref="C535">IFERROR(_xlfn.LET(
_xlpm.CSVVal,_xlfn.XLOOKUP($A535,CSV!$A:$A,CSV!B:B,""),
_xlpm.MacVal,_xlfn.XLOOKUP($A535,Output_Mac!$A:$A,Output_Mac!B:B,""),
_xlpm.MyAuditVal,_xlfn.XLOOKUP($A535,My_Audit!$A:$A,My_Audit!B:B,""),
_xlfn.IFS(_xlpm.MyAuditVal&lt;&gt;"",UPPER(_xlpm.MyAuditVal),_xlpm.MacVal&lt;&gt;"",_xlpm.MacVal,_xlpm.CSVVal&lt;&gt;"",_xlpm.CSVVal
)),"")</f>
        <v/>
      </c>
      <c r="D535" s="2" t="str" cm="1">
        <f t="array" ref="D535">IFERROR(_xlfn.LET(
_xlpm.CSVVal,_xlfn.XLOOKUP($A535,CSV!$A:$A,CSV!D:D,""),
_xlpm.MacVal,_xlfn.XLOOKUP($A535,Output_Mac!$A:$A,Output_Mac!C:C,""),
_xlpm.MyAuditVal,_xlfn.XLOOKUP($A535,My_Audit!$A:$A,My_Audit!C:C,""),
_xlfn.IFS(_xlpm.MyAuditVal&lt;&gt;"",_xlpm.MyAuditVal,_xlpm.MacVal&lt;&gt;"",_xlpm.MacVal,_xlpm.CSVVal&lt;&gt;"",_xlpm.CSVVal
)),"")</f>
        <v/>
      </c>
      <c r="E535" s="2" t="str">
        <f>_xlfn.XLOOKUP(A535,My_Audit!A:A,My_Audit!D:D,"")&amp;""</f>
        <v/>
      </c>
      <c r="F535" s="2" t="str" cm="1">
        <f t="array" ref="F535">IFERROR(_xlfn.LET(
_xlpm.CSVVal,_xlfn.XLOOKUP($A535,CSV!$A:$A,CSV!F:F,""),
_xlpm.MacVal,_xlfn.XLOOKUP($A535,Output_Mac!$A:$A,Output_Mac!E:E,""),
_xlpm.MyAuditVal,_xlfn.XLOOKUP($A535,My_Audit!$A:$A,My_Audit!E:E,""),
_xlfn.IFS(_xlpm.MyAuditVal&lt;&gt;"",_xlpm.MyAuditVal,_xlpm.MacVal&lt;&gt;"",_xlpm.MacVal,_xlpm.CSVVal&lt;&gt;"",_xlpm.CSVVal
)),"")</f>
        <v/>
      </c>
      <c r="G535" s="2" t="str" cm="1">
        <f t="array" ref="G535">IFERROR(_xlfn.LET(
_xlpm.CSVVal,_xlfn.XLOOKUP($A535,CSV!$A:$A,CSV!G:G,""),
_xlpm.MacVal,_xlfn.XLOOKUP($A535,Output_Mac!$A:$A,Output_Mac!F:F,""),
_xlpm.MyAuditVal,_xlfn.XLOOKUP($A535,My_Audit!$A:$A,My_Audit!F:F,""),
_xlfn.IFS(_xlpm.MyAuditVal&lt;&gt;"",_xlpm.MyAuditVal,_xlpm.MacVal&lt;&gt;"",_xlpm.MacVal,_xlpm.CSVVal&lt;&gt;"",PROPER(_xlpm.CSVVal)
)),"")</f>
        <v/>
      </c>
      <c r="H535" s="2" t="str" cm="1">
        <f t="array" ref="H535">IFERROR(_xlfn.LET(
_xlpm.CSVVal,_xlfn.XLOOKUP($A535,CSV!$A:$A,CSV!H:H,""),
_xlpm.MacVal,_xlfn.XLOOKUP($A535,Output_Mac!$A:$A,Output_Mac!H:H,""),
_xlpm.MyAuditVal,_xlfn.XLOOKUP($A535,My_Audit!$A:$A,My_Audit!G:G,""),
_xlfn.IFS(_xlpm.MyAuditVal&lt;&gt;"",_xlpm.MyAuditVal,_xlpm.MacVal&lt;&gt;"",_xlpm.MacVal,_xlpm.CSVVal&lt;&gt;"",_xlpm.CSVVal
)),"")</f>
        <v/>
      </c>
      <c r="I535" s="2" t="str">
        <f>_xlfn.XLOOKUP(A535,Output_Mac!A:A,Output_Mac!I:I,"")</f>
        <v/>
      </c>
      <c r="J535" s="2" t="str" cm="1">
        <f t="array" ref="J535">IFERROR(_xlfn.LET(
_xlpm.CSVVal,_xlfn.XLOOKUP($A535,CSV!$A:$A,CSV!I:I,""),
_xlpm.MacVal,_xlfn.XLOOKUP($A535,Output_Mac!$A:$A,Output_Mac!J:J,""),
_xlpm.MyAuditVal,_xlfn.XLOOKUP($A535,My_Audit!$A:$A,My_Audit!I:I,""),
_xlfn.IFS(_xlpm.MyAuditVal&lt;&gt;"",UPPER(_xlpm.MyAuditVal),_xlpm.MacVal&lt;&gt;"",_xlpm.MacVal,_xlpm.CSVVal&lt;&gt;"",_xlpm.CSVVal
)),"")</f>
        <v/>
      </c>
      <c r="K535" s="2" t="str" cm="1">
        <f t="array" ref="K535">IFERROR(_xlfn.LET(
_xlpm.CSVVal,_xlfn.XLOOKUP($A535,CSV!$A:$A,CSV!K:K,""),
_xlpm.MacVal,_xlfn.XLOOKUP($A535,Output_Mac!$A:$A,Output_Mac!K:K,""),
_xlpm.MyAuditVal,_xlfn.XLOOKUP($A535,My_Audit!$A:$A,My_Audit!J:J,""),
_xlfn.IFS(_xlpm.MyAuditVal&lt;&gt;"",UPPER(_xlpm.MyAuditVal),_xlpm.MacVal&lt;&gt;"",_xlpm.MacVal,_xlpm.CSVVal&lt;&gt;"",_xlpm.CSVVal
)),"")</f>
        <v/>
      </c>
      <c r="L535" s="2" t="str" cm="1">
        <f t="array" ref="L535">IFERROR(_xlfn.LET(
_xlpm.CSVVal,_xlfn.XLOOKUP($A535,CSV!$A:$A,CSV!P:P,""),
_xlpm.MacVal,_xlfn.XLOOKUP($A535,Output_Mac!$A:$A,Output_Mac!L:L,""),
_xlpm.MyAuditVal,_xlfn.XLOOKUP($A535,My_Audit!$A:$A,My_Audit!K:K,""),
_xlfn.IFS(_xlpm.MyAuditVal&lt;&gt;"",UPPER(_xlpm.MyAuditVal),_xlpm.MacVal&lt;&gt;"",_xlpm.MacVal,_xlpm.CSVVal&lt;&gt;"",_xlpm.CSVVal
)),"")</f>
        <v/>
      </c>
      <c r="M535" s="2" t="str" cm="1">
        <f t="array" ref="M535">IFERROR(_xlfn.LET(
_xlpm.CSVVal,_xlfn.XLOOKUP($A535,CSV!$A:$A,CSV!Q:Q,""),
_xlpm.MacVal,_xlfn.XLOOKUP($A535,Output_Mac!$A:$A,Output_Mac!M:M,""),
_xlpm.MyAuditVal,_xlfn.XLOOKUP($A535,My_Audit!$A:$A,My_Audit!L:L,""),
_xlfn.IFS(_xlpm.MyAuditVal&lt;&gt;"",UPPER(_xlpm.MyAuditVal),_xlpm.MacVal&lt;&gt;"",_xlpm.MacVal,_xlpm.CSVVal&lt;&gt;"",_xlpm.CSVVal
)),"")</f>
        <v/>
      </c>
      <c r="O535" s="2" t="str">
        <f>_xlfn.LET(
    _xlpm.CSVVal, _xlfn.XLOOKUP($A535, CSV!$A:$A, CSV!AF:AF, ""),
    _xlpm.MacVal, _xlfn.XLOOKUP($A535, Output_Mac!$A:$A, Output_Mac!S:S, ""),
    _xlpm.MyAuditVal, _xlfn.XLOOKUP($A535, My_Audit!$A:$A, My_Audit!P:P, ""),
    _xlfn.TEXTJOIN(", ", TRUE, _xlpm.MyAuditVal, _xlpm.MacVal, _xlpm.CSVVal)
)</f>
        <v/>
      </c>
      <c r="P535" s="2" t="str" cm="1">
        <f t="array" ref="P535">IFERROR(_xlfn.LET(
_xlpm.CSVVal,_xlfn.XLOOKUP($A535,CSV!$A:$A,CSV!AG:AG,""),
_xlpm.MacVal,_xlfn.XLOOKUP($A535,Output_Mac!$A:$A,Output_Mac!T:T,""),
_xlpm.MyAuditVal,_xlfn.XLOOKUP($A535,My_Audit!$A:$A,My_Audit!Q:Q,""),
_xlfn.IFS(_xlpm.MyAuditVal&lt;&gt;"",UPPER(_xlpm.MyAuditVal),_xlpm.MacVal&lt;&gt;"",_xlpm.MacVal,_xlpm.CSVVal&lt;&gt;"",_xlpm.CSVVal
)),"No")</f>
        <v>No</v>
      </c>
      <c r="Q535" s="2" t="str" cm="1">
        <f t="array" ref="Q535">IFERROR(_xlfn.LET(
_xlpm.CSVVal,_xlfn.XLOOKUP($A535,CSV!$A:$A,CSV!AH:AH,""),
_xlpm.MacVal,_xlfn.XLOOKUP($A535,Output_Mac!$A:$A,Output_Mac!U:U,""),
_xlpm.MyAuditVal,_xlfn.XLOOKUP($A535,My_Audit!$A:$A,My_Audit!R:R,""),
_xlfn.IFS(_xlpm.MyAuditVal&lt;&gt;"",UPPER(_xlpm.MyAuditVal),_xlpm.MacVal&lt;&gt;"",_xlpm.MacVal,_xlpm.CSVVal&lt;&gt;"",_xlpm.CSVVal
)),"")</f>
        <v/>
      </c>
    </row>
    <row r="536" spans="1:17">
      <c r="A536" s="2" t="str">
        <f>_xlfn.TEXTJOIN("",TRUE,Input!$B$2,ROW(My_Audit!A535))</f>
        <v>XX535</v>
      </c>
      <c r="B536" s="2" t="str">
        <f>_xlfn.TEXTJOIN("-",TRUE,"ITD",Input!$A$2,A536)</f>
        <v>ITD-SHRXXX-XX535</v>
      </c>
      <c r="C536" s="2" t="str" cm="1">
        <f t="array" ref="C536">IFERROR(_xlfn.LET(
_xlpm.CSVVal,_xlfn.XLOOKUP($A536,CSV!$A:$A,CSV!B:B,""),
_xlpm.MacVal,_xlfn.XLOOKUP($A536,Output_Mac!$A:$A,Output_Mac!B:B,""),
_xlpm.MyAuditVal,_xlfn.XLOOKUP($A536,My_Audit!$A:$A,My_Audit!B:B,""),
_xlfn.IFS(_xlpm.MyAuditVal&lt;&gt;"",UPPER(_xlpm.MyAuditVal),_xlpm.MacVal&lt;&gt;"",_xlpm.MacVal,_xlpm.CSVVal&lt;&gt;"",_xlpm.CSVVal
)),"")</f>
        <v/>
      </c>
      <c r="D536" s="2" t="str" cm="1">
        <f t="array" ref="D536">IFERROR(_xlfn.LET(
_xlpm.CSVVal,_xlfn.XLOOKUP($A536,CSV!$A:$A,CSV!D:D,""),
_xlpm.MacVal,_xlfn.XLOOKUP($A536,Output_Mac!$A:$A,Output_Mac!C:C,""),
_xlpm.MyAuditVal,_xlfn.XLOOKUP($A536,My_Audit!$A:$A,My_Audit!C:C,""),
_xlfn.IFS(_xlpm.MyAuditVal&lt;&gt;"",_xlpm.MyAuditVal,_xlpm.MacVal&lt;&gt;"",_xlpm.MacVal,_xlpm.CSVVal&lt;&gt;"",_xlpm.CSVVal
)),"")</f>
        <v/>
      </c>
      <c r="E536" s="2" t="str">
        <f>_xlfn.XLOOKUP(A536,My_Audit!A:A,My_Audit!D:D,"")&amp;""</f>
        <v/>
      </c>
      <c r="F536" s="2" t="str" cm="1">
        <f t="array" ref="F536">IFERROR(_xlfn.LET(
_xlpm.CSVVal,_xlfn.XLOOKUP($A536,CSV!$A:$A,CSV!F:F,""),
_xlpm.MacVal,_xlfn.XLOOKUP($A536,Output_Mac!$A:$A,Output_Mac!E:E,""),
_xlpm.MyAuditVal,_xlfn.XLOOKUP($A536,My_Audit!$A:$A,My_Audit!E:E,""),
_xlfn.IFS(_xlpm.MyAuditVal&lt;&gt;"",_xlpm.MyAuditVal,_xlpm.MacVal&lt;&gt;"",_xlpm.MacVal,_xlpm.CSVVal&lt;&gt;"",_xlpm.CSVVal
)),"")</f>
        <v/>
      </c>
      <c r="G536" s="2" t="str" cm="1">
        <f t="array" ref="G536">IFERROR(_xlfn.LET(
_xlpm.CSVVal,_xlfn.XLOOKUP($A536,CSV!$A:$A,CSV!G:G,""),
_xlpm.MacVal,_xlfn.XLOOKUP($A536,Output_Mac!$A:$A,Output_Mac!F:F,""),
_xlpm.MyAuditVal,_xlfn.XLOOKUP($A536,My_Audit!$A:$A,My_Audit!F:F,""),
_xlfn.IFS(_xlpm.MyAuditVal&lt;&gt;"",_xlpm.MyAuditVal,_xlpm.MacVal&lt;&gt;"",_xlpm.MacVal,_xlpm.CSVVal&lt;&gt;"",PROPER(_xlpm.CSVVal)
)),"")</f>
        <v/>
      </c>
      <c r="H536" s="2" t="str" cm="1">
        <f t="array" ref="H536">IFERROR(_xlfn.LET(
_xlpm.CSVVal,_xlfn.XLOOKUP($A536,CSV!$A:$A,CSV!H:H,""),
_xlpm.MacVal,_xlfn.XLOOKUP($A536,Output_Mac!$A:$A,Output_Mac!H:H,""),
_xlpm.MyAuditVal,_xlfn.XLOOKUP($A536,My_Audit!$A:$A,My_Audit!G:G,""),
_xlfn.IFS(_xlpm.MyAuditVal&lt;&gt;"",_xlpm.MyAuditVal,_xlpm.MacVal&lt;&gt;"",_xlpm.MacVal,_xlpm.CSVVal&lt;&gt;"",_xlpm.CSVVal
)),"")</f>
        <v/>
      </c>
      <c r="I536" s="2" t="str">
        <f>_xlfn.XLOOKUP(A536,Output_Mac!A:A,Output_Mac!I:I,"")</f>
        <v/>
      </c>
      <c r="J536" s="2" t="str" cm="1">
        <f t="array" ref="J536">IFERROR(_xlfn.LET(
_xlpm.CSVVal,_xlfn.XLOOKUP($A536,CSV!$A:$A,CSV!I:I,""),
_xlpm.MacVal,_xlfn.XLOOKUP($A536,Output_Mac!$A:$A,Output_Mac!J:J,""),
_xlpm.MyAuditVal,_xlfn.XLOOKUP($A536,My_Audit!$A:$A,My_Audit!I:I,""),
_xlfn.IFS(_xlpm.MyAuditVal&lt;&gt;"",UPPER(_xlpm.MyAuditVal),_xlpm.MacVal&lt;&gt;"",_xlpm.MacVal,_xlpm.CSVVal&lt;&gt;"",_xlpm.CSVVal
)),"")</f>
        <v/>
      </c>
      <c r="K536" s="2" t="str" cm="1">
        <f t="array" ref="K536">IFERROR(_xlfn.LET(
_xlpm.CSVVal,_xlfn.XLOOKUP($A536,CSV!$A:$A,CSV!K:K,""),
_xlpm.MacVal,_xlfn.XLOOKUP($A536,Output_Mac!$A:$A,Output_Mac!K:K,""),
_xlpm.MyAuditVal,_xlfn.XLOOKUP($A536,My_Audit!$A:$A,My_Audit!J:J,""),
_xlfn.IFS(_xlpm.MyAuditVal&lt;&gt;"",UPPER(_xlpm.MyAuditVal),_xlpm.MacVal&lt;&gt;"",_xlpm.MacVal,_xlpm.CSVVal&lt;&gt;"",_xlpm.CSVVal
)),"")</f>
        <v/>
      </c>
      <c r="L536" s="2" t="str" cm="1">
        <f t="array" ref="L536">IFERROR(_xlfn.LET(
_xlpm.CSVVal,_xlfn.XLOOKUP($A536,CSV!$A:$A,CSV!P:P,""),
_xlpm.MacVal,_xlfn.XLOOKUP($A536,Output_Mac!$A:$A,Output_Mac!L:L,""),
_xlpm.MyAuditVal,_xlfn.XLOOKUP($A536,My_Audit!$A:$A,My_Audit!K:K,""),
_xlfn.IFS(_xlpm.MyAuditVal&lt;&gt;"",UPPER(_xlpm.MyAuditVal),_xlpm.MacVal&lt;&gt;"",_xlpm.MacVal,_xlpm.CSVVal&lt;&gt;"",_xlpm.CSVVal
)),"")</f>
        <v/>
      </c>
      <c r="M536" s="2" t="str" cm="1">
        <f t="array" ref="M536">IFERROR(_xlfn.LET(
_xlpm.CSVVal,_xlfn.XLOOKUP($A536,CSV!$A:$A,CSV!Q:Q,""),
_xlpm.MacVal,_xlfn.XLOOKUP($A536,Output_Mac!$A:$A,Output_Mac!M:M,""),
_xlpm.MyAuditVal,_xlfn.XLOOKUP($A536,My_Audit!$A:$A,My_Audit!L:L,""),
_xlfn.IFS(_xlpm.MyAuditVal&lt;&gt;"",UPPER(_xlpm.MyAuditVal),_xlpm.MacVal&lt;&gt;"",_xlpm.MacVal,_xlpm.CSVVal&lt;&gt;"",_xlpm.CSVVal
)),"")</f>
        <v/>
      </c>
      <c r="O536" s="2" t="str">
        <f>_xlfn.LET(
    _xlpm.CSVVal, _xlfn.XLOOKUP($A536, CSV!$A:$A, CSV!AF:AF, ""),
    _xlpm.MacVal, _xlfn.XLOOKUP($A536, Output_Mac!$A:$A, Output_Mac!S:S, ""),
    _xlpm.MyAuditVal, _xlfn.XLOOKUP($A536, My_Audit!$A:$A, My_Audit!P:P, ""),
    _xlfn.TEXTJOIN(", ", TRUE, _xlpm.MyAuditVal, _xlpm.MacVal, _xlpm.CSVVal)
)</f>
        <v/>
      </c>
      <c r="P536" s="2" t="str" cm="1">
        <f t="array" ref="P536">IFERROR(_xlfn.LET(
_xlpm.CSVVal,_xlfn.XLOOKUP($A536,CSV!$A:$A,CSV!AG:AG,""),
_xlpm.MacVal,_xlfn.XLOOKUP($A536,Output_Mac!$A:$A,Output_Mac!T:T,""),
_xlpm.MyAuditVal,_xlfn.XLOOKUP($A536,My_Audit!$A:$A,My_Audit!Q:Q,""),
_xlfn.IFS(_xlpm.MyAuditVal&lt;&gt;"",UPPER(_xlpm.MyAuditVal),_xlpm.MacVal&lt;&gt;"",_xlpm.MacVal,_xlpm.CSVVal&lt;&gt;"",_xlpm.CSVVal
)),"No")</f>
        <v>No</v>
      </c>
      <c r="Q536" s="2" t="str" cm="1">
        <f t="array" ref="Q536">IFERROR(_xlfn.LET(
_xlpm.CSVVal,_xlfn.XLOOKUP($A536,CSV!$A:$A,CSV!AH:AH,""),
_xlpm.MacVal,_xlfn.XLOOKUP($A536,Output_Mac!$A:$A,Output_Mac!U:U,""),
_xlpm.MyAuditVal,_xlfn.XLOOKUP($A536,My_Audit!$A:$A,My_Audit!R:R,""),
_xlfn.IFS(_xlpm.MyAuditVal&lt;&gt;"",UPPER(_xlpm.MyAuditVal),_xlpm.MacVal&lt;&gt;"",_xlpm.MacVal,_xlpm.CSVVal&lt;&gt;"",_xlpm.CSVVal
)),"")</f>
        <v/>
      </c>
    </row>
    <row r="537" spans="1:17">
      <c r="A537" s="2" t="str">
        <f>_xlfn.TEXTJOIN("",TRUE,Input!$B$2,ROW(My_Audit!A536))</f>
        <v>XX536</v>
      </c>
      <c r="B537" s="2" t="str">
        <f>_xlfn.TEXTJOIN("-",TRUE,"ITD",Input!$A$2,A537)</f>
        <v>ITD-SHRXXX-XX536</v>
      </c>
      <c r="C537" s="2" t="str" cm="1">
        <f t="array" ref="C537">IFERROR(_xlfn.LET(
_xlpm.CSVVal,_xlfn.XLOOKUP($A537,CSV!$A:$A,CSV!B:B,""),
_xlpm.MacVal,_xlfn.XLOOKUP($A537,Output_Mac!$A:$A,Output_Mac!B:B,""),
_xlpm.MyAuditVal,_xlfn.XLOOKUP($A537,My_Audit!$A:$A,My_Audit!B:B,""),
_xlfn.IFS(_xlpm.MyAuditVal&lt;&gt;"",UPPER(_xlpm.MyAuditVal),_xlpm.MacVal&lt;&gt;"",_xlpm.MacVal,_xlpm.CSVVal&lt;&gt;"",_xlpm.CSVVal
)),"")</f>
        <v/>
      </c>
      <c r="D537" s="2" t="str" cm="1">
        <f t="array" ref="D537">IFERROR(_xlfn.LET(
_xlpm.CSVVal,_xlfn.XLOOKUP($A537,CSV!$A:$A,CSV!D:D,""),
_xlpm.MacVal,_xlfn.XLOOKUP($A537,Output_Mac!$A:$A,Output_Mac!C:C,""),
_xlpm.MyAuditVal,_xlfn.XLOOKUP($A537,My_Audit!$A:$A,My_Audit!C:C,""),
_xlfn.IFS(_xlpm.MyAuditVal&lt;&gt;"",_xlpm.MyAuditVal,_xlpm.MacVal&lt;&gt;"",_xlpm.MacVal,_xlpm.CSVVal&lt;&gt;"",_xlpm.CSVVal
)),"")</f>
        <v/>
      </c>
      <c r="E537" s="2" t="str">
        <f>_xlfn.XLOOKUP(A537,My_Audit!A:A,My_Audit!D:D,"")&amp;""</f>
        <v/>
      </c>
      <c r="F537" s="2" t="str" cm="1">
        <f t="array" ref="F537">IFERROR(_xlfn.LET(
_xlpm.CSVVal,_xlfn.XLOOKUP($A537,CSV!$A:$A,CSV!F:F,""),
_xlpm.MacVal,_xlfn.XLOOKUP($A537,Output_Mac!$A:$A,Output_Mac!E:E,""),
_xlpm.MyAuditVal,_xlfn.XLOOKUP($A537,My_Audit!$A:$A,My_Audit!E:E,""),
_xlfn.IFS(_xlpm.MyAuditVal&lt;&gt;"",_xlpm.MyAuditVal,_xlpm.MacVal&lt;&gt;"",_xlpm.MacVal,_xlpm.CSVVal&lt;&gt;"",_xlpm.CSVVal
)),"")</f>
        <v/>
      </c>
      <c r="G537" s="2" t="str" cm="1">
        <f t="array" ref="G537">IFERROR(_xlfn.LET(
_xlpm.CSVVal,_xlfn.XLOOKUP($A537,CSV!$A:$A,CSV!G:G,""),
_xlpm.MacVal,_xlfn.XLOOKUP($A537,Output_Mac!$A:$A,Output_Mac!F:F,""),
_xlpm.MyAuditVal,_xlfn.XLOOKUP($A537,My_Audit!$A:$A,My_Audit!F:F,""),
_xlfn.IFS(_xlpm.MyAuditVal&lt;&gt;"",_xlpm.MyAuditVal,_xlpm.MacVal&lt;&gt;"",_xlpm.MacVal,_xlpm.CSVVal&lt;&gt;"",PROPER(_xlpm.CSVVal)
)),"")</f>
        <v/>
      </c>
      <c r="H537" s="2" t="str" cm="1">
        <f t="array" ref="H537">IFERROR(_xlfn.LET(
_xlpm.CSVVal,_xlfn.XLOOKUP($A537,CSV!$A:$A,CSV!H:H,""),
_xlpm.MacVal,_xlfn.XLOOKUP($A537,Output_Mac!$A:$A,Output_Mac!H:H,""),
_xlpm.MyAuditVal,_xlfn.XLOOKUP($A537,My_Audit!$A:$A,My_Audit!G:G,""),
_xlfn.IFS(_xlpm.MyAuditVal&lt;&gt;"",_xlpm.MyAuditVal,_xlpm.MacVal&lt;&gt;"",_xlpm.MacVal,_xlpm.CSVVal&lt;&gt;"",_xlpm.CSVVal
)),"")</f>
        <v/>
      </c>
      <c r="I537" s="2" t="str">
        <f>_xlfn.XLOOKUP(A537,Output_Mac!A:A,Output_Mac!I:I,"")</f>
        <v/>
      </c>
      <c r="J537" s="2" t="str" cm="1">
        <f t="array" ref="J537">IFERROR(_xlfn.LET(
_xlpm.CSVVal,_xlfn.XLOOKUP($A537,CSV!$A:$A,CSV!I:I,""),
_xlpm.MacVal,_xlfn.XLOOKUP($A537,Output_Mac!$A:$A,Output_Mac!J:J,""),
_xlpm.MyAuditVal,_xlfn.XLOOKUP($A537,My_Audit!$A:$A,My_Audit!I:I,""),
_xlfn.IFS(_xlpm.MyAuditVal&lt;&gt;"",UPPER(_xlpm.MyAuditVal),_xlpm.MacVal&lt;&gt;"",_xlpm.MacVal,_xlpm.CSVVal&lt;&gt;"",_xlpm.CSVVal
)),"")</f>
        <v/>
      </c>
      <c r="K537" s="2" t="str" cm="1">
        <f t="array" ref="K537">IFERROR(_xlfn.LET(
_xlpm.CSVVal,_xlfn.XLOOKUP($A537,CSV!$A:$A,CSV!K:K,""),
_xlpm.MacVal,_xlfn.XLOOKUP($A537,Output_Mac!$A:$A,Output_Mac!K:K,""),
_xlpm.MyAuditVal,_xlfn.XLOOKUP($A537,My_Audit!$A:$A,My_Audit!J:J,""),
_xlfn.IFS(_xlpm.MyAuditVal&lt;&gt;"",UPPER(_xlpm.MyAuditVal),_xlpm.MacVal&lt;&gt;"",_xlpm.MacVal,_xlpm.CSVVal&lt;&gt;"",_xlpm.CSVVal
)),"")</f>
        <v/>
      </c>
      <c r="L537" s="2" t="str" cm="1">
        <f t="array" ref="L537">IFERROR(_xlfn.LET(
_xlpm.CSVVal,_xlfn.XLOOKUP($A537,CSV!$A:$A,CSV!P:P,""),
_xlpm.MacVal,_xlfn.XLOOKUP($A537,Output_Mac!$A:$A,Output_Mac!L:L,""),
_xlpm.MyAuditVal,_xlfn.XLOOKUP($A537,My_Audit!$A:$A,My_Audit!K:K,""),
_xlfn.IFS(_xlpm.MyAuditVal&lt;&gt;"",UPPER(_xlpm.MyAuditVal),_xlpm.MacVal&lt;&gt;"",_xlpm.MacVal,_xlpm.CSVVal&lt;&gt;"",_xlpm.CSVVal
)),"")</f>
        <v/>
      </c>
      <c r="M537" s="2" t="str" cm="1">
        <f t="array" ref="M537">IFERROR(_xlfn.LET(
_xlpm.CSVVal,_xlfn.XLOOKUP($A537,CSV!$A:$A,CSV!Q:Q,""),
_xlpm.MacVal,_xlfn.XLOOKUP($A537,Output_Mac!$A:$A,Output_Mac!M:M,""),
_xlpm.MyAuditVal,_xlfn.XLOOKUP($A537,My_Audit!$A:$A,My_Audit!L:L,""),
_xlfn.IFS(_xlpm.MyAuditVal&lt;&gt;"",UPPER(_xlpm.MyAuditVal),_xlpm.MacVal&lt;&gt;"",_xlpm.MacVal,_xlpm.CSVVal&lt;&gt;"",_xlpm.CSVVal
)),"")</f>
        <v/>
      </c>
      <c r="O537" s="2" t="str">
        <f>_xlfn.LET(
    _xlpm.CSVVal, _xlfn.XLOOKUP($A537, CSV!$A:$A, CSV!AF:AF, ""),
    _xlpm.MacVal, _xlfn.XLOOKUP($A537, Output_Mac!$A:$A, Output_Mac!S:S, ""),
    _xlpm.MyAuditVal, _xlfn.XLOOKUP($A537, My_Audit!$A:$A, My_Audit!P:P, ""),
    _xlfn.TEXTJOIN(", ", TRUE, _xlpm.MyAuditVal, _xlpm.MacVal, _xlpm.CSVVal)
)</f>
        <v/>
      </c>
      <c r="P537" s="2" t="str" cm="1">
        <f t="array" ref="P537">IFERROR(_xlfn.LET(
_xlpm.CSVVal,_xlfn.XLOOKUP($A537,CSV!$A:$A,CSV!AG:AG,""),
_xlpm.MacVal,_xlfn.XLOOKUP($A537,Output_Mac!$A:$A,Output_Mac!T:T,""),
_xlpm.MyAuditVal,_xlfn.XLOOKUP($A537,My_Audit!$A:$A,My_Audit!Q:Q,""),
_xlfn.IFS(_xlpm.MyAuditVal&lt;&gt;"",UPPER(_xlpm.MyAuditVal),_xlpm.MacVal&lt;&gt;"",_xlpm.MacVal,_xlpm.CSVVal&lt;&gt;"",_xlpm.CSVVal
)),"No")</f>
        <v>No</v>
      </c>
      <c r="Q537" s="2" t="str" cm="1">
        <f t="array" ref="Q537">IFERROR(_xlfn.LET(
_xlpm.CSVVal,_xlfn.XLOOKUP($A537,CSV!$A:$A,CSV!AH:AH,""),
_xlpm.MacVal,_xlfn.XLOOKUP($A537,Output_Mac!$A:$A,Output_Mac!U:U,""),
_xlpm.MyAuditVal,_xlfn.XLOOKUP($A537,My_Audit!$A:$A,My_Audit!R:R,""),
_xlfn.IFS(_xlpm.MyAuditVal&lt;&gt;"",UPPER(_xlpm.MyAuditVal),_xlpm.MacVal&lt;&gt;"",_xlpm.MacVal,_xlpm.CSVVal&lt;&gt;"",_xlpm.CSVVal
)),"")</f>
        <v/>
      </c>
    </row>
    <row r="538" spans="1:17">
      <c r="A538" s="2" t="str">
        <f>_xlfn.TEXTJOIN("",TRUE,Input!$B$2,ROW(My_Audit!A537))</f>
        <v>XX537</v>
      </c>
      <c r="B538" s="2" t="str">
        <f>_xlfn.TEXTJOIN("-",TRUE,"ITD",Input!$A$2,A538)</f>
        <v>ITD-SHRXXX-XX537</v>
      </c>
      <c r="C538" s="2" t="str" cm="1">
        <f t="array" ref="C538">IFERROR(_xlfn.LET(
_xlpm.CSVVal,_xlfn.XLOOKUP($A538,CSV!$A:$A,CSV!B:B,""),
_xlpm.MacVal,_xlfn.XLOOKUP($A538,Output_Mac!$A:$A,Output_Mac!B:B,""),
_xlpm.MyAuditVal,_xlfn.XLOOKUP($A538,My_Audit!$A:$A,My_Audit!B:B,""),
_xlfn.IFS(_xlpm.MyAuditVal&lt;&gt;"",UPPER(_xlpm.MyAuditVal),_xlpm.MacVal&lt;&gt;"",_xlpm.MacVal,_xlpm.CSVVal&lt;&gt;"",_xlpm.CSVVal
)),"")</f>
        <v/>
      </c>
      <c r="D538" s="2" t="str" cm="1">
        <f t="array" ref="D538">IFERROR(_xlfn.LET(
_xlpm.CSVVal,_xlfn.XLOOKUP($A538,CSV!$A:$A,CSV!D:D,""),
_xlpm.MacVal,_xlfn.XLOOKUP($A538,Output_Mac!$A:$A,Output_Mac!C:C,""),
_xlpm.MyAuditVal,_xlfn.XLOOKUP($A538,My_Audit!$A:$A,My_Audit!C:C,""),
_xlfn.IFS(_xlpm.MyAuditVal&lt;&gt;"",_xlpm.MyAuditVal,_xlpm.MacVal&lt;&gt;"",_xlpm.MacVal,_xlpm.CSVVal&lt;&gt;"",_xlpm.CSVVal
)),"")</f>
        <v/>
      </c>
      <c r="E538" s="2" t="str">
        <f>_xlfn.XLOOKUP(A538,My_Audit!A:A,My_Audit!D:D,"")&amp;""</f>
        <v/>
      </c>
      <c r="F538" s="2" t="str" cm="1">
        <f t="array" ref="F538">IFERROR(_xlfn.LET(
_xlpm.CSVVal,_xlfn.XLOOKUP($A538,CSV!$A:$A,CSV!F:F,""),
_xlpm.MacVal,_xlfn.XLOOKUP($A538,Output_Mac!$A:$A,Output_Mac!E:E,""),
_xlpm.MyAuditVal,_xlfn.XLOOKUP($A538,My_Audit!$A:$A,My_Audit!E:E,""),
_xlfn.IFS(_xlpm.MyAuditVal&lt;&gt;"",_xlpm.MyAuditVal,_xlpm.MacVal&lt;&gt;"",_xlpm.MacVal,_xlpm.CSVVal&lt;&gt;"",_xlpm.CSVVal
)),"")</f>
        <v/>
      </c>
      <c r="G538" s="2" t="str" cm="1">
        <f t="array" ref="G538">IFERROR(_xlfn.LET(
_xlpm.CSVVal,_xlfn.XLOOKUP($A538,CSV!$A:$A,CSV!G:G,""),
_xlpm.MacVal,_xlfn.XLOOKUP($A538,Output_Mac!$A:$A,Output_Mac!F:F,""),
_xlpm.MyAuditVal,_xlfn.XLOOKUP($A538,My_Audit!$A:$A,My_Audit!F:F,""),
_xlfn.IFS(_xlpm.MyAuditVal&lt;&gt;"",_xlpm.MyAuditVal,_xlpm.MacVal&lt;&gt;"",_xlpm.MacVal,_xlpm.CSVVal&lt;&gt;"",PROPER(_xlpm.CSVVal)
)),"")</f>
        <v/>
      </c>
      <c r="H538" s="2" t="str" cm="1">
        <f t="array" ref="H538">IFERROR(_xlfn.LET(
_xlpm.CSVVal,_xlfn.XLOOKUP($A538,CSV!$A:$A,CSV!H:H,""),
_xlpm.MacVal,_xlfn.XLOOKUP($A538,Output_Mac!$A:$A,Output_Mac!H:H,""),
_xlpm.MyAuditVal,_xlfn.XLOOKUP($A538,My_Audit!$A:$A,My_Audit!G:G,""),
_xlfn.IFS(_xlpm.MyAuditVal&lt;&gt;"",_xlpm.MyAuditVal,_xlpm.MacVal&lt;&gt;"",_xlpm.MacVal,_xlpm.CSVVal&lt;&gt;"",_xlpm.CSVVal
)),"")</f>
        <v/>
      </c>
      <c r="I538" s="2" t="str">
        <f>_xlfn.XLOOKUP(A538,Output_Mac!A:A,Output_Mac!I:I,"")</f>
        <v/>
      </c>
      <c r="J538" s="2" t="str" cm="1">
        <f t="array" ref="J538">IFERROR(_xlfn.LET(
_xlpm.CSVVal,_xlfn.XLOOKUP($A538,CSV!$A:$A,CSV!I:I,""),
_xlpm.MacVal,_xlfn.XLOOKUP($A538,Output_Mac!$A:$A,Output_Mac!J:J,""),
_xlpm.MyAuditVal,_xlfn.XLOOKUP($A538,My_Audit!$A:$A,My_Audit!I:I,""),
_xlfn.IFS(_xlpm.MyAuditVal&lt;&gt;"",UPPER(_xlpm.MyAuditVal),_xlpm.MacVal&lt;&gt;"",_xlpm.MacVal,_xlpm.CSVVal&lt;&gt;"",_xlpm.CSVVal
)),"")</f>
        <v/>
      </c>
      <c r="K538" s="2" t="str" cm="1">
        <f t="array" ref="K538">IFERROR(_xlfn.LET(
_xlpm.CSVVal,_xlfn.XLOOKUP($A538,CSV!$A:$A,CSV!K:K,""),
_xlpm.MacVal,_xlfn.XLOOKUP($A538,Output_Mac!$A:$A,Output_Mac!K:K,""),
_xlpm.MyAuditVal,_xlfn.XLOOKUP($A538,My_Audit!$A:$A,My_Audit!J:J,""),
_xlfn.IFS(_xlpm.MyAuditVal&lt;&gt;"",UPPER(_xlpm.MyAuditVal),_xlpm.MacVal&lt;&gt;"",_xlpm.MacVal,_xlpm.CSVVal&lt;&gt;"",_xlpm.CSVVal
)),"")</f>
        <v/>
      </c>
      <c r="L538" s="2" t="str" cm="1">
        <f t="array" ref="L538">IFERROR(_xlfn.LET(
_xlpm.CSVVal,_xlfn.XLOOKUP($A538,CSV!$A:$A,CSV!P:P,""),
_xlpm.MacVal,_xlfn.XLOOKUP($A538,Output_Mac!$A:$A,Output_Mac!L:L,""),
_xlpm.MyAuditVal,_xlfn.XLOOKUP($A538,My_Audit!$A:$A,My_Audit!K:K,""),
_xlfn.IFS(_xlpm.MyAuditVal&lt;&gt;"",UPPER(_xlpm.MyAuditVal),_xlpm.MacVal&lt;&gt;"",_xlpm.MacVal,_xlpm.CSVVal&lt;&gt;"",_xlpm.CSVVal
)),"")</f>
        <v/>
      </c>
      <c r="M538" s="2" t="str" cm="1">
        <f t="array" ref="M538">IFERROR(_xlfn.LET(
_xlpm.CSVVal,_xlfn.XLOOKUP($A538,CSV!$A:$A,CSV!Q:Q,""),
_xlpm.MacVal,_xlfn.XLOOKUP($A538,Output_Mac!$A:$A,Output_Mac!M:M,""),
_xlpm.MyAuditVal,_xlfn.XLOOKUP($A538,My_Audit!$A:$A,My_Audit!L:L,""),
_xlfn.IFS(_xlpm.MyAuditVal&lt;&gt;"",UPPER(_xlpm.MyAuditVal),_xlpm.MacVal&lt;&gt;"",_xlpm.MacVal,_xlpm.CSVVal&lt;&gt;"",_xlpm.CSVVal
)),"")</f>
        <v/>
      </c>
      <c r="O538" s="2" t="str">
        <f>_xlfn.LET(
    _xlpm.CSVVal, _xlfn.XLOOKUP($A538, CSV!$A:$A, CSV!AF:AF, ""),
    _xlpm.MacVal, _xlfn.XLOOKUP($A538, Output_Mac!$A:$A, Output_Mac!S:S, ""),
    _xlpm.MyAuditVal, _xlfn.XLOOKUP($A538, My_Audit!$A:$A, My_Audit!P:P, ""),
    _xlfn.TEXTJOIN(", ", TRUE, _xlpm.MyAuditVal, _xlpm.MacVal, _xlpm.CSVVal)
)</f>
        <v/>
      </c>
      <c r="P538" s="2" t="str" cm="1">
        <f t="array" ref="P538">IFERROR(_xlfn.LET(
_xlpm.CSVVal,_xlfn.XLOOKUP($A538,CSV!$A:$A,CSV!AG:AG,""),
_xlpm.MacVal,_xlfn.XLOOKUP($A538,Output_Mac!$A:$A,Output_Mac!T:T,""),
_xlpm.MyAuditVal,_xlfn.XLOOKUP($A538,My_Audit!$A:$A,My_Audit!Q:Q,""),
_xlfn.IFS(_xlpm.MyAuditVal&lt;&gt;"",UPPER(_xlpm.MyAuditVal),_xlpm.MacVal&lt;&gt;"",_xlpm.MacVal,_xlpm.CSVVal&lt;&gt;"",_xlpm.CSVVal
)),"No")</f>
        <v>No</v>
      </c>
      <c r="Q538" s="2" t="str" cm="1">
        <f t="array" ref="Q538">IFERROR(_xlfn.LET(
_xlpm.CSVVal,_xlfn.XLOOKUP($A538,CSV!$A:$A,CSV!AH:AH,""),
_xlpm.MacVal,_xlfn.XLOOKUP($A538,Output_Mac!$A:$A,Output_Mac!U:U,""),
_xlpm.MyAuditVal,_xlfn.XLOOKUP($A538,My_Audit!$A:$A,My_Audit!R:R,""),
_xlfn.IFS(_xlpm.MyAuditVal&lt;&gt;"",UPPER(_xlpm.MyAuditVal),_xlpm.MacVal&lt;&gt;"",_xlpm.MacVal,_xlpm.CSVVal&lt;&gt;"",_xlpm.CSVVal
)),"")</f>
        <v/>
      </c>
    </row>
    <row r="539" spans="1:17">
      <c r="A539" s="2" t="str">
        <f>_xlfn.TEXTJOIN("",TRUE,Input!$B$2,ROW(My_Audit!A538))</f>
        <v>XX538</v>
      </c>
      <c r="B539" s="2" t="str">
        <f>_xlfn.TEXTJOIN("-",TRUE,"ITD",Input!$A$2,A539)</f>
        <v>ITD-SHRXXX-XX538</v>
      </c>
      <c r="C539" s="2" t="str" cm="1">
        <f t="array" ref="C539">IFERROR(_xlfn.LET(
_xlpm.CSVVal,_xlfn.XLOOKUP($A539,CSV!$A:$A,CSV!B:B,""),
_xlpm.MacVal,_xlfn.XLOOKUP($A539,Output_Mac!$A:$A,Output_Mac!B:B,""),
_xlpm.MyAuditVal,_xlfn.XLOOKUP($A539,My_Audit!$A:$A,My_Audit!B:B,""),
_xlfn.IFS(_xlpm.MyAuditVal&lt;&gt;"",UPPER(_xlpm.MyAuditVal),_xlpm.MacVal&lt;&gt;"",_xlpm.MacVal,_xlpm.CSVVal&lt;&gt;"",_xlpm.CSVVal
)),"")</f>
        <v/>
      </c>
      <c r="D539" s="2" t="str" cm="1">
        <f t="array" ref="D539">IFERROR(_xlfn.LET(
_xlpm.CSVVal,_xlfn.XLOOKUP($A539,CSV!$A:$A,CSV!D:D,""),
_xlpm.MacVal,_xlfn.XLOOKUP($A539,Output_Mac!$A:$A,Output_Mac!C:C,""),
_xlpm.MyAuditVal,_xlfn.XLOOKUP($A539,My_Audit!$A:$A,My_Audit!C:C,""),
_xlfn.IFS(_xlpm.MyAuditVal&lt;&gt;"",_xlpm.MyAuditVal,_xlpm.MacVal&lt;&gt;"",_xlpm.MacVal,_xlpm.CSVVal&lt;&gt;"",_xlpm.CSVVal
)),"")</f>
        <v/>
      </c>
      <c r="E539" s="2" t="str">
        <f>_xlfn.XLOOKUP(A539,My_Audit!A:A,My_Audit!D:D,"")&amp;""</f>
        <v/>
      </c>
      <c r="F539" s="2" t="str" cm="1">
        <f t="array" ref="F539">IFERROR(_xlfn.LET(
_xlpm.CSVVal,_xlfn.XLOOKUP($A539,CSV!$A:$A,CSV!F:F,""),
_xlpm.MacVal,_xlfn.XLOOKUP($A539,Output_Mac!$A:$A,Output_Mac!E:E,""),
_xlpm.MyAuditVal,_xlfn.XLOOKUP($A539,My_Audit!$A:$A,My_Audit!E:E,""),
_xlfn.IFS(_xlpm.MyAuditVal&lt;&gt;"",_xlpm.MyAuditVal,_xlpm.MacVal&lt;&gt;"",_xlpm.MacVal,_xlpm.CSVVal&lt;&gt;"",_xlpm.CSVVal
)),"")</f>
        <v/>
      </c>
      <c r="G539" s="2" t="str" cm="1">
        <f t="array" ref="G539">IFERROR(_xlfn.LET(
_xlpm.CSVVal,_xlfn.XLOOKUP($A539,CSV!$A:$A,CSV!G:G,""),
_xlpm.MacVal,_xlfn.XLOOKUP($A539,Output_Mac!$A:$A,Output_Mac!F:F,""),
_xlpm.MyAuditVal,_xlfn.XLOOKUP($A539,My_Audit!$A:$A,My_Audit!F:F,""),
_xlfn.IFS(_xlpm.MyAuditVal&lt;&gt;"",_xlpm.MyAuditVal,_xlpm.MacVal&lt;&gt;"",_xlpm.MacVal,_xlpm.CSVVal&lt;&gt;"",PROPER(_xlpm.CSVVal)
)),"")</f>
        <v/>
      </c>
      <c r="H539" s="2" t="str" cm="1">
        <f t="array" ref="H539">IFERROR(_xlfn.LET(
_xlpm.CSVVal,_xlfn.XLOOKUP($A539,CSV!$A:$A,CSV!H:H,""),
_xlpm.MacVal,_xlfn.XLOOKUP($A539,Output_Mac!$A:$A,Output_Mac!H:H,""),
_xlpm.MyAuditVal,_xlfn.XLOOKUP($A539,My_Audit!$A:$A,My_Audit!G:G,""),
_xlfn.IFS(_xlpm.MyAuditVal&lt;&gt;"",_xlpm.MyAuditVal,_xlpm.MacVal&lt;&gt;"",_xlpm.MacVal,_xlpm.CSVVal&lt;&gt;"",_xlpm.CSVVal
)),"")</f>
        <v/>
      </c>
      <c r="I539" s="2" t="str">
        <f>_xlfn.XLOOKUP(A539,Output_Mac!A:A,Output_Mac!I:I,"")</f>
        <v/>
      </c>
      <c r="J539" s="2" t="str" cm="1">
        <f t="array" ref="J539">IFERROR(_xlfn.LET(
_xlpm.CSVVal,_xlfn.XLOOKUP($A539,CSV!$A:$A,CSV!I:I,""),
_xlpm.MacVal,_xlfn.XLOOKUP($A539,Output_Mac!$A:$A,Output_Mac!J:J,""),
_xlpm.MyAuditVal,_xlfn.XLOOKUP($A539,My_Audit!$A:$A,My_Audit!I:I,""),
_xlfn.IFS(_xlpm.MyAuditVal&lt;&gt;"",UPPER(_xlpm.MyAuditVal),_xlpm.MacVal&lt;&gt;"",_xlpm.MacVal,_xlpm.CSVVal&lt;&gt;"",_xlpm.CSVVal
)),"")</f>
        <v/>
      </c>
      <c r="K539" s="2" t="str" cm="1">
        <f t="array" ref="K539">IFERROR(_xlfn.LET(
_xlpm.CSVVal,_xlfn.XLOOKUP($A539,CSV!$A:$A,CSV!K:K,""),
_xlpm.MacVal,_xlfn.XLOOKUP($A539,Output_Mac!$A:$A,Output_Mac!K:K,""),
_xlpm.MyAuditVal,_xlfn.XLOOKUP($A539,My_Audit!$A:$A,My_Audit!J:J,""),
_xlfn.IFS(_xlpm.MyAuditVal&lt;&gt;"",UPPER(_xlpm.MyAuditVal),_xlpm.MacVal&lt;&gt;"",_xlpm.MacVal,_xlpm.CSVVal&lt;&gt;"",_xlpm.CSVVal
)),"")</f>
        <v/>
      </c>
      <c r="L539" s="2" t="str" cm="1">
        <f t="array" ref="L539">IFERROR(_xlfn.LET(
_xlpm.CSVVal,_xlfn.XLOOKUP($A539,CSV!$A:$A,CSV!P:P,""),
_xlpm.MacVal,_xlfn.XLOOKUP($A539,Output_Mac!$A:$A,Output_Mac!L:L,""),
_xlpm.MyAuditVal,_xlfn.XLOOKUP($A539,My_Audit!$A:$A,My_Audit!K:K,""),
_xlfn.IFS(_xlpm.MyAuditVal&lt;&gt;"",UPPER(_xlpm.MyAuditVal),_xlpm.MacVal&lt;&gt;"",_xlpm.MacVal,_xlpm.CSVVal&lt;&gt;"",_xlpm.CSVVal
)),"")</f>
        <v/>
      </c>
      <c r="M539" s="2" t="str" cm="1">
        <f t="array" ref="M539">IFERROR(_xlfn.LET(
_xlpm.CSVVal,_xlfn.XLOOKUP($A539,CSV!$A:$A,CSV!Q:Q,""),
_xlpm.MacVal,_xlfn.XLOOKUP($A539,Output_Mac!$A:$A,Output_Mac!M:M,""),
_xlpm.MyAuditVal,_xlfn.XLOOKUP($A539,My_Audit!$A:$A,My_Audit!L:L,""),
_xlfn.IFS(_xlpm.MyAuditVal&lt;&gt;"",UPPER(_xlpm.MyAuditVal),_xlpm.MacVal&lt;&gt;"",_xlpm.MacVal,_xlpm.CSVVal&lt;&gt;"",_xlpm.CSVVal
)),"")</f>
        <v/>
      </c>
      <c r="O539" s="2" t="str">
        <f>_xlfn.LET(
    _xlpm.CSVVal, _xlfn.XLOOKUP($A539, CSV!$A:$A, CSV!AF:AF, ""),
    _xlpm.MacVal, _xlfn.XLOOKUP($A539, Output_Mac!$A:$A, Output_Mac!S:S, ""),
    _xlpm.MyAuditVal, _xlfn.XLOOKUP($A539, My_Audit!$A:$A, My_Audit!P:P, ""),
    _xlfn.TEXTJOIN(", ", TRUE, _xlpm.MyAuditVal, _xlpm.MacVal, _xlpm.CSVVal)
)</f>
        <v/>
      </c>
      <c r="P539" s="2" t="str" cm="1">
        <f t="array" ref="P539">IFERROR(_xlfn.LET(
_xlpm.CSVVal,_xlfn.XLOOKUP($A539,CSV!$A:$A,CSV!AG:AG,""),
_xlpm.MacVal,_xlfn.XLOOKUP($A539,Output_Mac!$A:$A,Output_Mac!T:T,""),
_xlpm.MyAuditVal,_xlfn.XLOOKUP($A539,My_Audit!$A:$A,My_Audit!Q:Q,""),
_xlfn.IFS(_xlpm.MyAuditVal&lt;&gt;"",UPPER(_xlpm.MyAuditVal),_xlpm.MacVal&lt;&gt;"",_xlpm.MacVal,_xlpm.CSVVal&lt;&gt;"",_xlpm.CSVVal
)),"No")</f>
        <v>No</v>
      </c>
      <c r="Q539" s="2" t="str" cm="1">
        <f t="array" ref="Q539">IFERROR(_xlfn.LET(
_xlpm.CSVVal,_xlfn.XLOOKUP($A539,CSV!$A:$A,CSV!AH:AH,""),
_xlpm.MacVal,_xlfn.XLOOKUP($A539,Output_Mac!$A:$A,Output_Mac!U:U,""),
_xlpm.MyAuditVal,_xlfn.XLOOKUP($A539,My_Audit!$A:$A,My_Audit!R:R,""),
_xlfn.IFS(_xlpm.MyAuditVal&lt;&gt;"",UPPER(_xlpm.MyAuditVal),_xlpm.MacVal&lt;&gt;"",_xlpm.MacVal,_xlpm.CSVVal&lt;&gt;"",_xlpm.CSVVal
)),"")</f>
        <v/>
      </c>
    </row>
    <row r="540" spans="1:17">
      <c r="A540" s="2" t="str">
        <f>_xlfn.TEXTJOIN("",TRUE,Input!$B$2,ROW(My_Audit!A539))</f>
        <v>XX539</v>
      </c>
      <c r="B540" s="2" t="str">
        <f>_xlfn.TEXTJOIN("-",TRUE,"ITD",Input!$A$2,A540)</f>
        <v>ITD-SHRXXX-XX539</v>
      </c>
      <c r="C540" s="2" t="str" cm="1">
        <f t="array" ref="C540">IFERROR(_xlfn.LET(
_xlpm.CSVVal,_xlfn.XLOOKUP($A540,CSV!$A:$A,CSV!B:B,""),
_xlpm.MacVal,_xlfn.XLOOKUP($A540,Output_Mac!$A:$A,Output_Mac!B:B,""),
_xlpm.MyAuditVal,_xlfn.XLOOKUP($A540,My_Audit!$A:$A,My_Audit!B:B,""),
_xlfn.IFS(_xlpm.MyAuditVal&lt;&gt;"",UPPER(_xlpm.MyAuditVal),_xlpm.MacVal&lt;&gt;"",_xlpm.MacVal,_xlpm.CSVVal&lt;&gt;"",_xlpm.CSVVal
)),"")</f>
        <v/>
      </c>
      <c r="D540" s="2" t="str" cm="1">
        <f t="array" ref="D540">IFERROR(_xlfn.LET(
_xlpm.CSVVal,_xlfn.XLOOKUP($A540,CSV!$A:$A,CSV!D:D,""),
_xlpm.MacVal,_xlfn.XLOOKUP($A540,Output_Mac!$A:$A,Output_Mac!C:C,""),
_xlpm.MyAuditVal,_xlfn.XLOOKUP($A540,My_Audit!$A:$A,My_Audit!C:C,""),
_xlfn.IFS(_xlpm.MyAuditVal&lt;&gt;"",_xlpm.MyAuditVal,_xlpm.MacVal&lt;&gt;"",_xlpm.MacVal,_xlpm.CSVVal&lt;&gt;"",_xlpm.CSVVal
)),"")</f>
        <v/>
      </c>
      <c r="E540" s="2" t="str">
        <f>_xlfn.XLOOKUP(A540,My_Audit!A:A,My_Audit!D:D,"")&amp;""</f>
        <v/>
      </c>
      <c r="F540" s="2" t="str" cm="1">
        <f t="array" ref="F540">IFERROR(_xlfn.LET(
_xlpm.CSVVal,_xlfn.XLOOKUP($A540,CSV!$A:$A,CSV!F:F,""),
_xlpm.MacVal,_xlfn.XLOOKUP($A540,Output_Mac!$A:$A,Output_Mac!E:E,""),
_xlpm.MyAuditVal,_xlfn.XLOOKUP($A540,My_Audit!$A:$A,My_Audit!E:E,""),
_xlfn.IFS(_xlpm.MyAuditVal&lt;&gt;"",_xlpm.MyAuditVal,_xlpm.MacVal&lt;&gt;"",_xlpm.MacVal,_xlpm.CSVVal&lt;&gt;"",_xlpm.CSVVal
)),"")</f>
        <v/>
      </c>
      <c r="G540" s="2" t="str" cm="1">
        <f t="array" ref="G540">IFERROR(_xlfn.LET(
_xlpm.CSVVal,_xlfn.XLOOKUP($A540,CSV!$A:$A,CSV!G:G,""),
_xlpm.MacVal,_xlfn.XLOOKUP($A540,Output_Mac!$A:$A,Output_Mac!F:F,""),
_xlpm.MyAuditVal,_xlfn.XLOOKUP($A540,My_Audit!$A:$A,My_Audit!F:F,""),
_xlfn.IFS(_xlpm.MyAuditVal&lt;&gt;"",_xlpm.MyAuditVal,_xlpm.MacVal&lt;&gt;"",_xlpm.MacVal,_xlpm.CSVVal&lt;&gt;"",PROPER(_xlpm.CSVVal)
)),"")</f>
        <v/>
      </c>
      <c r="H540" s="2" t="str" cm="1">
        <f t="array" ref="H540">IFERROR(_xlfn.LET(
_xlpm.CSVVal,_xlfn.XLOOKUP($A540,CSV!$A:$A,CSV!H:H,""),
_xlpm.MacVal,_xlfn.XLOOKUP($A540,Output_Mac!$A:$A,Output_Mac!H:H,""),
_xlpm.MyAuditVal,_xlfn.XLOOKUP($A540,My_Audit!$A:$A,My_Audit!G:G,""),
_xlfn.IFS(_xlpm.MyAuditVal&lt;&gt;"",_xlpm.MyAuditVal,_xlpm.MacVal&lt;&gt;"",_xlpm.MacVal,_xlpm.CSVVal&lt;&gt;"",_xlpm.CSVVal
)),"")</f>
        <v/>
      </c>
      <c r="I540" s="2" t="str">
        <f>_xlfn.XLOOKUP(A540,Output_Mac!A:A,Output_Mac!I:I,"")</f>
        <v/>
      </c>
      <c r="J540" s="2" t="str" cm="1">
        <f t="array" ref="J540">IFERROR(_xlfn.LET(
_xlpm.CSVVal,_xlfn.XLOOKUP($A540,CSV!$A:$A,CSV!I:I,""),
_xlpm.MacVal,_xlfn.XLOOKUP($A540,Output_Mac!$A:$A,Output_Mac!J:J,""),
_xlpm.MyAuditVal,_xlfn.XLOOKUP($A540,My_Audit!$A:$A,My_Audit!I:I,""),
_xlfn.IFS(_xlpm.MyAuditVal&lt;&gt;"",UPPER(_xlpm.MyAuditVal),_xlpm.MacVal&lt;&gt;"",_xlpm.MacVal,_xlpm.CSVVal&lt;&gt;"",_xlpm.CSVVal
)),"")</f>
        <v/>
      </c>
      <c r="K540" s="2" t="str" cm="1">
        <f t="array" ref="K540">IFERROR(_xlfn.LET(
_xlpm.CSVVal,_xlfn.XLOOKUP($A540,CSV!$A:$A,CSV!K:K,""),
_xlpm.MacVal,_xlfn.XLOOKUP($A540,Output_Mac!$A:$A,Output_Mac!K:K,""),
_xlpm.MyAuditVal,_xlfn.XLOOKUP($A540,My_Audit!$A:$A,My_Audit!J:J,""),
_xlfn.IFS(_xlpm.MyAuditVal&lt;&gt;"",UPPER(_xlpm.MyAuditVal),_xlpm.MacVal&lt;&gt;"",_xlpm.MacVal,_xlpm.CSVVal&lt;&gt;"",_xlpm.CSVVal
)),"")</f>
        <v/>
      </c>
      <c r="L540" s="2" t="str" cm="1">
        <f t="array" ref="L540">IFERROR(_xlfn.LET(
_xlpm.CSVVal,_xlfn.XLOOKUP($A540,CSV!$A:$A,CSV!P:P,""),
_xlpm.MacVal,_xlfn.XLOOKUP($A540,Output_Mac!$A:$A,Output_Mac!L:L,""),
_xlpm.MyAuditVal,_xlfn.XLOOKUP($A540,My_Audit!$A:$A,My_Audit!K:K,""),
_xlfn.IFS(_xlpm.MyAuditVal&lt;&gt;"",UPPER(_xlpm.MyAuditVal),_xlpm.MacVal&lt;&gt;"",_xlpm.MacVal,_xlpm.CSVVal&lt;&gt;"",_xlpm.CSVVal
)),"")</f>
        <v/>
      </c>
      <c r="M540" s="2" t="str" cm="1">
        <f t="array" ref="M540">IFERROR(_xlfn.LET(
_xlpm.CSVVal,_xlfn.XLOOKUP($A540,CSV!$A:$A,CSV!Q:Q,""),
_xlpm.MacVal,_xlfn.XLOOKUP($A540,Output_Mac!$A:$A,Output_Mac!M:M,""),
_xlpm.MyAuditVal,_xlfn.XLOOKUP($A540,My_Audit!$A:$A,My_Audit!L:L,""),
_xlfn.IFS(_xlpm.MyAuditVal&lt;&gt;"",UPPER(_xlpm.MyAuditVal),_xlpm.MacVal&lt;&gt;"",_xlpm.MacVal,_xlpm.CSVVal&lt;&gt;"",_xlpm.CSVVal
)),"")</f>
        <v/>
      </c>
      <c r="O540" s="2" t="str">
        <f>_xlfn.LET(
    _xlpm.CSVVal, _xlfn.XLOOKUP($A540, CSV!$A:$A, CSV!AF:AF, ""),
    _xlpm.MacVal, _xlfn.XLOOKUP($A540, Output_Mac!$A:$A, Output_Mac!S:S, ""),
    _xlpm.MyAuditVal, _xlfn.XLOOKUP($A540, My_Audit!$A:$A, My_Audit!P:P, ""),
    _xlfn.TEXTJOIN(", ", TRUE, _xlpm.MyAuditVal, _xlpm.MacVal, _xlpm.CSVVal)
)</f>
        <v/>
      </c>
      <c r="P540" s="2" t="str" cm="1">
        <f t="array" ref="P540">IFERROR(_xlfn.LET(
_xlpm.CSVVal,_xlfn.XLOOKUP($A540,CSV!$A:$A,CSV!AG:AG,""),
_xlpm.MacVal,_xlfn.XLOOKUP($A540,Output_Mac!$A:$A,Output_Mac!T:T,""),
_xlpm.MyAuditVal,_xlfn.XLOOKUP($A540,My_Audit!$A:$A,My_Audit!Q:Q,""),
_xlfn.IFS(_xlpm.MyAuditVal&lt;&gt;"",UPPER(_xlpm.MyAuditVal),_xlpm.MacVal&lt;&gt;"",_xlpm.MacVal,_xlpm.CSVVal&lt;&gt;"",_xlpm.CSVVal
)),"No")</f>
        <v>No</v>
      </c>
      <c r="Q540" s="2" t="str" cm="1">
        <f t="array" ref="Q540">IFERROR(_xlfn.LET(
_xlpm.CSVVal,_xlfn.XLOOKUP($A540,CSV!$A:$A,CSV!AH:AH,""),
_xlpm.MacVal,_xlfn.XLOOKUP($A540,Output_Mac!$A:$A,Output_Mac!U:U,""),
_xlpm.MyAuditVal,_xlfn.XLOOKUP($A540,My_Audit!$A:$A,My_Audit!R:R,""),
_xlfn.IFS(_xlpm.MyAuditVal&lt;&gt;"",UPPER(_xlpm.MyAuditVal),_xlpm.MacVal&lt;&gt;"",_xlpm.MacVal,_xlpm.CSVVal&lt;&gt;"",_xlpm.CSVVal
)),"")</f>
        <v/>
      </c>
    </row>
    <row r="541" spans="1:17">
      <c r="A541" s="2" t="str">
        <f>_xlfn.TEXTJOIN("",TRUE,Input!$B$2,ROW(My_Audit!A540))</f>
        <v>XX540</v>
      </c>
      <c r="B541" s="2" t="str">
        <f>_xlfn.TEXTJOIN("-",TRUE,"ITD",Input!$A$2,A541)</f>
        <v>ITD-SHRXXX-XX540</v>
      </c>
      <c r="C541" s="2" t="str" cm="1">
        <f t="array" ref="C541">IFERROR(_xlfn.LET(
_xlpm.CSVVal,_xlfn.XLOOKUP($A541,CSV!$A:$A,CSV!B:B,""),
_xlpm.MacVal,_xlfn.XLOOKUP($A541,Output_Mac!$A:$A,Output_Mac!B:B,""),
_xlpm.MyAuditVal,_xlfn.XLOOKUP($A541,My_Audit!$A:$A,My_Audit!B:B,""),
_xlfn.IFS(_xlpm.MyAuditVal&lt;&gt;"",UPPER(_xlpm.MyAuditVal),_xlpm.MacVal&lt;&gt;"",_xlpm.MacVal,_xlpm.CSVVal&lt;&gt;"",_xlpm.CSVVal
)),"")</f>
        <v/>
      </c>
      <c r="D541" s="2" t="str" cm="1">
        <f t="array" ref="D541">IFERROR(_xlfn.LET(
_xlpm.CSVVal,_xlfn.XLOOKUP($A541,CSV!$A:$A,CSV!D:D,""),
_xlpm.MacVal,_xlfn.XLOOKUP($A541,Output_Mac!$A:$A,Output_Mac!C:C,""),
_xlpm.MyAuditVal,_xlfn.XLOOKUP($A541,My_Audit!$A:$A,My_Audit!C:C,""),
_xlfn.IFS(_xlpm.MyAuditVal&lt;&gt;"",_xlpm.MyAuditVal,_xlpm.MacVal&lt;&gt;"",_xlpm.MacVal,_xlpm.CSVVal&lt;&gt;"",_xlpm.CSVVal
)),"")</f>
        <v/>
      </c>
      <c r="E541" s="2" t="str">
        <f>_xlfn.XLOOKUP(A541,My_Audit!A:A,My_Audit!D:D,"")&amp;""</f>
        <v/>
      </c>
      <c r="F541" s="2" t="str" cm="1">
        <f t="array" ref="F541">IFERROR(_xlfn.LET(
_xlpm.CSVVal,_xlfn.XLOOKUP($A541,CSV!$A:$A,CSV!F:F,""),
_xlpm.MacVal,_xlfn.XLOOKUP($A541,Output_Mac!$A:$A,Output_Mac!E:E,""),
_xlpm.MyAuditVal,_xlfn.XLOOKUP($A541,My_Audit!$A:$A,My_Audit!E:E,""),
_xlfn.IFS(_xlpm.MyAuditVal&lt;&gt;"",_xlpm.MyAuditVal,_xlpm.MacVal&lt;&gt;"",_xlpm.MacVal,_xlpm.CSVVal&lt;&gt;"",_xlpm.CSVVal
)),"")</f>
        <v/>
      </c>
      <c r="G541" s="2" t="str" cm="1">
        <f t="array" ref="G541">IFERROR(_xlfn.LET(
_xlpm.CSVVal,_xlfn.XLOOKUP($A541,CSV!$A:$A,CSV!G:G,""),
_xlpm.MacVal,_xlfn.XLOOKUP($A541,Output_Mac!$A:$A,Output_Mac!F:F,""),
_xlpm.MyAuditVal,_xlfn.XLOOKUP($A541,My_Audit!$A:$A,My_Audit!F:F,""),
_xlfn.IFS(_xlpm.MyAuditVal&lt;&gt;"",_xlpm.MyAuditVal,_xlpm.MacVal&lt;&gt;"",_xlpm.MacVal,_xlpm.CSVVal&lt;&gt;"",PROPER(_xlpm.CSVVal)
)),"")</f>
        <v/>
      </c>
      <c r="H541" s="2" t="str" cm="1">
        <f t="array" ref="H541">IFERROR(_xlfn.LET(
_xlpm.CSVVal,_xlfn.XLOOKUP($A541,CSV!$A:$A,CSV!H:H,""),
_xlpm.MacVal,_xlfn.XLOOKUP($A541,Output_Mac!$A:$A,Output_Mac!H:H,""),
_xlpm.MyAuditVal,_xlfn.XLOOKUP($A541,My_Audit!$A:$A,My_Audit!G:G,""),
_xlfn.IFS(_xlpm.MyAuditVal&lt;&gt;"",_xlpm.MyAuditVal,_xlpm.MacVal&lt;&gt;"",_xlpm.MacVal,_xlpm.CSVVal&lt;&gt;"",_xlpm.CSVVal
)),"")</f>
        <v/>
      </c>
      <c r="I541" s="2" t="str">
        <f>_xlfn.XLOOKUP(A541,Output_Mac!A:A,Output_Mac!I:I,"")</f>
        <v/>
      </c>
      <c r="J541" s="2" t="str" cm="1">
        <f t="array" ref="J541">IFERROR(_xlfn.LET(
_xlpm.CSVVal,_xlfn.XLOOKUP($A541,CSV!$A:$A,CSV!I:I,""),
_xlpm.MacVal,_xlfn.XLOOKUP($A541,Output_Mac!$A:$A,Output_Mac!J:J,""),
_xlpm.MyAuditVal,_xlfn.XLOOKUP($A541,My_Audit!$A:$A,My_Audit!I:I,""),
_xlfn.IFS(_xlpm.MyAuditVal&lt;&gt;"",UPPER(_xlpm.MyAuditVal),_xlpm.MacVal&lt;&gt;"",_xlpm.MacVal,_xlpm.CSVVal&lt;&gt;"",_xlpm.CSVVal
)),"")</f>
        <v/>
      </c>
      <c r="K541" s="2" t="str" cm="1">
        <f t="array" ref="K541">IFERROR(_xlfn.LET(
_xlpm.CSVVal,_xlfn.XLOOKUP($A541,CSV!$A:$A,CSV!K:K,""),
_xlpm.MacVal,_xlfn.XLOOKUP($A541,Output_Mac!$A:$A,Output_Mac!K:K,""),
_xlpm.MyAuditVal,_xlfn.XLOOKUP($A541,My_Audit!$A:$A,My_Audit!J:J,""),
_xlfn.IFS(_xlpm.MyAuditVal&lt;&gt;"",UPPER(_xlpm.MyAuditVal),_xlpm.MacVal&lt;&gt;"",_xlpm.MacVal,_xlpm.CSVVal&lt;&gt;"",_xlpm.CSVVal
)),"")</f>
        <v/>
      </c>
      <c r="L541" s="2" t="str" cm="1">
        <f t="array" ref="L541">IFERROR(_xlfn.LET(
_xlpm.CSVVal,_xlfn.XLOOKUP($A541,CSV!$A:$A,CSV!P:P,""),
_xlpm.MacVal,_xlfn.XLOOKUP($A541,Output_Mac!$A:$A,Output_Mac!L:L,""),
_xlpm.MyAuditVal,_xlfn.XLOOKUP($A541,My_Audit!$A:$A,My_Audit!K:K,""),
_xlfn.IFS(_xlpm.MyAuditVal&lt;&gt;"",UPPER(_xlpm.MyAuditVal),_xlpm.MacVal&lt;&gt;"",_xlpm.MacVal,_xlpm.CSVVal&lt;&gt;"",_xlpm.CSVVal
)),"")</f>
        <v/>
      </c>
      <c r="M541" s="2" t="str" cm="1">
        <f t="array" ref="M541">IFERROR(_xlfn.LET(
_xlpm.CSVVal,_xlfn.XLOOKUP($A541,CSV!$A:$A,CSV!Q:Q,""),
_xlpm.MacVal,_xlfn.XLOOKUP($A541,Output_Mac!$A:$A,Output_Mac!M:M,""),
_xlpm.MyAuditVal,_xlfn.XLOOKUP($A541,My_Audit!$A:$A,My_Audit!L:L,""),
_xlfn.IFS(_xlpm.MyAuditVal&lt;&gt;"",UPPER(_xlpm.MyAuditVal),_xlpm.MacVal&lt;&gt;"",_xlpm.MacVal,_xlpm.CSVVal&lt;&gt;"",_xlpm.CSVVal
)),"")</f>
        <v/>
      </c>
      <c r="O541" s="2" t="str">
        <f>_xlfn.LET(
    _xlpm.CSVVal, _xlfn.XLOOKUP($A541, CSV!$A:$A, CSV!AF:AF, ""),
    _xlpm.MacVal, _xlfn.XLOOKUP($A541, Output_Mac!$A:$A, Output_Mac!S:S, ""),
    _xlpm.MyAuditVal, _xlfn.XLOOKUP($A541, My_Audit!$A:$A, My_Audit!P:P, ""),
    _xlfn.TEXTJOIN(", ", TRUE, _xlpm.MyAuditVal, _xlpm.MacVal, _xlpm.CSVVal)
)</f>
        <v/>
      </c>
      <c r="P541" s="2" t="str" cm="1">
        <f t="array" ref="P541">IFERROR(_xlfn.LET(
_xlpm.CSVVal,_xlfn.XLOOKUP($A541,CSV!$A:$A,CSV!AG:AG,""),
_xlpm.MacVal,_xlfn.XLOOKUP($A541,Output_Mac!$A:$A,Output_Mac!T:T,""),
_xlpm.MyAuditVal,_xlfn.XLOOKUP($A541,My_Audit!$A:$A,My_Audit!Q:Q,""),
_xlfn.IFS(_xlpm.MyAuditVal&lt;&gt;"",UPPER(_xlpm.MyAuditVal),_xlpm.MacVal&lt;&gt;"",_xlpm.MacVal,_xlpm.CSVVal&lt;&gt;"",_xlpm.CSVVal
)),"No")</f>
        <v>No</v>
      </c>
      <c r="Q541" s="2" t="str" cm="1">
        <f t="array" ref="Q541">IFERROR(_xlfn.LET(
_xlpm.CSVVal,_xlfn.XLOOKUP($A541,CSV!$A:$A,CSV!AH:AH,""),
_xlpm.MacVal,_xlfn.XLOOKUP($A541,Output_Mac!$A:$A,Output_Mac!U:U,""),
_xlpm.MyAuditVal,_xlfn.XLOOKUP($A541,My_Audit!$A:$A,My_Audit!R:R,""),
_xlfn.IFS(_xlpm.MyAuditVal&lt;&gt;"",UPPER(_xlpm.MyAuditVal),_xlpm.MacVal&lt;&gt;"",_xlpm.MacVal,_xlpm.CSVVal&lt;&gt;"",_xlpm.CSVVal
)),"")</f>
        <v/>
      </c>
    </row>
    <row r="542" spans="1:17">
      <c r="A542" s="2" t="str">
        <f>_xlfn.TEXTJOIN("",TRUE,Input!$B$2,ROW(My_Audit!A541))</f>
        <v>XX541</v>
      </c>
      <c r="B542" s="2" t="str">
        <f>_xlfn.TEXTJOIN("-",TRUE,"ITD",Input!$A$2,A542)</f>
        <v>ITD-SHRXXX-XX541</v>
      </c>
      <c r="C542" s="2" t="str" cm="1">
        <f t="array" ref="C542">IFERROR(_xlfn.LET(
_xlpm.CSVVal,_xlfn.XLOOKUP($A542,CSV!$A:$A,CSV!B:B,""),
_xlpm.MacVal,_xlfn.XLOOKUP($A542,Output_Mac!$A:$A,Output_Mac!B:B,""),
_xlpm.MyAuditVal,_xlfn.XLOOKUP($A542,My_Audit!$A:$A,My_Audit!B:B,""),
_xlfn.IFS(_xlpm.MyAuditVal&lt;&gt;"",UPPER(_xlpm.MyAuditVal),_xlpm.MacVal&lt;&gt;"",_xlpm.MacVal,_xlpm.CSVVal&lt;&gt;"",_xlpm.CSVVal
)),"")</f>
        <v/>
      </c>
      <c r="D542" s="2" t="str" cm="1">
        <f t="array" ref="D542">IFERROR(_xlfn.LET(
_xlpm.CSVVal,_xlfn.XLOOKUP($A542,CSV!$A:$A,CSV!D:D,""),
_xlpm.MacVal,_xlfn.XLOOKUP($A542,Output_Mac!$A:$A,Output_Mac!C:C,""),
_xlpm.MyAuditVal,_xlfn.XLOOKUP($A542,My_Audit!$A:$A,My_Audit!C:C,""),
_xlfn.IFS(_xlpm.MyAuditVal&lt;&gt;"",_xlpm.MyAuditVal,_xlpm.MacVal&lt;&gt;"",_xlpm.MacVal,_xlpm.CSVVal&lt;&gt;"",_xlpm.CSVVal
)),"")</f>
        <v/>
      </c>
      <c r="E542" s="2" t="str">
        <f>_xlfn.XLOOKUP(A542,My_Audit!A:A,My_Audit!D:D,"")&amp;""</f>
        <v/>
      </c>
      <c r="F542" s="2" t="str" cm="1">
        <f t="array" ref="F542">IFERROR(_xlfn.LET(
_xlpm.CSVVal,_xlfn.XLOOKUP($A542,CSV!$A:$A,CSV!F:F,""),
_xlpm.MacVal,_xlfn.XLOOKUP($A542,Output_Mac!$A:$A,Output_Mac!E:E,""),
_xlpm.MyAuditVal,_xlfn.XLOOKUP($A542,My_Audit!$A:$A,My_Audit!E:E,""),
_xlfn.IFS(_xlpm.MyAuditVal&lt;&gt;"",_xlpm.MyAuditVal,_xlpm.MacVal&lt;&gt;"",_xlpm.MacVal,_xlpm.CSVVal&lt;&gt;"",_xlpm.CSVVal
)),"")</f>
        <v/>
      </c>
      <c r="G542" s="2" t="str" cm="1">
        <f t="array" ref="G542">IFERROR(_xlfn.LET(
_xlpm.CSVVal,_xlfn.XLOOKUP($A542,CSV!$A:$A,CSV!G:G,""),
_xlpm.MacVal,_xlfn.XLOOKUP($A542,Output_Mac!$A:$A,Output_Mac!F:F,""),
_xlpm.MyAuditVal,_xlfn.XLOOKUP($A542,My_Audit!$A:$A,My_Audit!F:F,""),
_xlfn.IFS(_xlpm.MyAuditVal&lt;&gt;"",_xlpm.MyAuditVal,_xlpm.MacVal&lt;&gt;"",_xlpm.MacVal,_xlpm.CSVVal&lt;&gt;"",PROPER(_xlpm.CSVVal)
)),"")</f>
        <v/>
      </c>
      <c r="H542" s="2" t="str" cm="1">
        <f t="array" ref="H542">IFERROR(_xlfn.LET(
_xlpm.CSVVal,_xlfn.XLOOKUP($A542,CSV!$A:$A,CSV!H:H,""),
_xlpm.MacVal,_xlfn.XLOOKUP($A542,Output_Mac!$A:$A,Output_Mac!H:H,""),
_xlpm.MyAuditVal,_xlfn.XLOOKUP($A542,My_Audit!$A:$A,My_Audit!G:G,""),
_xlfn.IFS(_xlpm.MyAuditVal&lt;&gt;"",_xlpm.MyAuditVal,_xlpm.MacVal&lt;&gt;"",_xlpm.MacVal,_xlpm.CSVVal&lt;&gt;"",_xlpm.CSVVal
)),"")</f>
        <v/>
      </c>
      <c r="I542" s="2" t="str">
        <f>_xlfn.XLOOKUP(A542,Output_Mac!A:A,Output_Mac!I:I,"")</f>
        <v/>
      </c>
      <c r="J542" s="2" t="str" cm="1">
        <f t="array" ref="J542">IFERROR(_xlfn.LET(
_xlpm.CSVVal,_xlfn.XLOOKUP($A542,CSV!$A:$A,CSV!I:I,""),
_xlpm.MacVal,_xlfn.XLOOKUP($A542,Output_Mac!$A:$A,Output_Mac!J:J,""),
_xlpm.MyAuditVal,_xlfn.XLOOKUP($A542,My_Audit!$A:$A,My_Audit!I:I,""),
_xlfn.IFS(_xlpm.MyAuditVal&lt;&gt;"",UPPER(_xlpm.MyAuditVal),_xlpm.MacVal&lt;&gt;"",_xlpm.MacVal,_xlpm.CSVVal&lt;&gt;"",_xlpm.CSVVal
)),"")</f>
        <v/>
      </c>
      <c r="K542" s="2" t="str" cm="1">
        <f t="array" ref="K542">IFERROR(_xlfn.LET(
_xlpm.CSVVal,_xlfn.XLOOKUP($A542,CSV!$A:$A,CSV!K:K,""),
_xlpm.MacVal,_xlfn.XLOOKUP($A542,Output_Mac!$A:$A,Output_Mac!K:K,""),
_xlpm.MyAuditVal,_xlfn.XLOOKUP($A542,My_Audit!$A:$A,My_Audit!J:J,""),
_xlfn.IFS(_xlpm.MyAuditVal&lt;&gt;"",UPPER(_xlpm.MyAuditVal),_xlpm.MacVal&lt;&gt;"",_xlpm.MacVal,_xlpm.CSVVal&lt;&gt;"",_xlpm.CSVVal
)),"")</f>
        <v/>
      </c>
      <c r="L542" s="2" t="str" cm="1">
        <f t="array" ref="L542">IFERROR(_xlfn.LET(
_xlpm.CSVVal,_xlfn.XLOOKUP($A542,CSV!$A:$A,CSV!P:P,""),
_xlpm.MacVal,_xlfn.XLOOKUP($A542,Output_Mac!$A:$A,Output_Mac!L:L,""),
_xlpm.MyAuditVal,_xlfn.XLOOKUP($A542,My_Audit!$A:$A,My_Audit!K:K,""),
_xlfn.IFS(_xlpm.MyAuditVal&lt;&gt;"",UPPER(_xlpm.MyAuditVal),_xlpm.MacVal&lt;&gt;"",_xlpm.MacVal,_xlpm.CSVVal&lt;&gt;"",_xlpm.CSVVal
)),"")</f>
        <v/>
      </c>
      <c r="M542" s="2" t="str" cm="1">
        <f t="array" ref="M542">IFERROR(_xlfn.LET(
_xlpm.CSVVal,_xlfn.XLOOKUP($A542,CSV!$A:$A,CSV!Q:Q,""),
_xlpm.MacVal,_xlfn.XLOOKUP($A542,Output_Mac!$A:$A,Output_Mac!M:M,""),
_xlpm.MyAuditVal,_xlfn.XLOOKUP($A542,My_Audit!$A:$A,My_Audit!L:L,""),
_xlfn.IFS(_xlpm.MyAuditVal&lt;&gt;"",UPPER(_xlpm.MyAuditVal),_xlpm.MacVal&lt;&gt;"",_xlpm.MacVal,_xlpm.CSVVal&lt;&gt;"",_xlpm.CSVVal
)),"")</f>
        <v/>
      </c>
      <c r="O542" s="2" t="str">
        <f>_xlfn.LET(
    _xlpm.CSVVal, _xlfn.XLOOKUP($A542, CSV!$A:$A, CSV!AF:AF, ""),
    _xlpm.MacVal, _xlfn.XLOOKUP($A542, Output_Mac!$A:$A, Output_Mac!S:S, ""),
    _xlpm.MyAuditVal, _xlfn.XLOOKUP($A542, My_Audit!$A:$A, My_Audit!P:P, ""),
    _xlfn.TEXTJOIN(", ", TRUE, _xlpm.MyAuditVal, _xlpm.MacVal, _xlpm.CSVVal)
)</f>
        <v/>
      </c>
      <c r="P542" s="2" t="str" cm="1">
        <f t="array" ref="P542">IFERROR(_xlfn.LET(
_xlpm.CSVVal,_xlfn.XLOOKUP($A542,CSV!$A:$A,CSV!AG:AG,""),
_xlpm.MacVal,_xlfn.XLOOKUP($A542,Output_Mac!$A:$A,Output_Mac!T:T,""),
_xlpm.MyAuditVal,_xlfn.XLOOKUP($A542,My_Audit!$A:$A,My_Audit!Q:Q,""),
_xlfn.IFS(_xlpm.MyAuditVal&lt;&gt;"",UPPER(_xlpm.MyAuditVal),_xlpm.MacVal&lt;&gt;"",_xlpm.MacVal,_xlpm.CSVVal&lt;&gt;"",_xlpm.CSVVal
)),"No")</f>
        <v>No</v>
      </c>
      <c r="Q542" s="2" t="str" cm="1">
        <f t="array" ref="Q542">IFERROR(_xlfn.LET(
_xlpm.CSVVal,_xlfn.XLOOKUP($A542,CSV!$A:$A,CSV!AH:AH,""),
_xlpm.MacVal,_xlfn.XLOOKUP($A542,Output_Mac!$A:$A,Output_Mac!U:U,""),
_xlpm.MyAuditVal,_xlfn.XLOOKUP($A542,My_Audit!$A:$A,My_Audit!R:R,""),
_xlfn.IFS(_xlpm.MyAuditVal&lt;&gt;"",UPPER(_xlpm.MyAuditVal),_xlpm.MacVal&lt;&gt;"",_xlpm.MacVal,_xlpm.CSVVal&lt;&gt;"",_xlpm.CSVVal
)),"")</f>
        <v/>
      </c>
    </row>
    <row r="543" spans="1:17">
      <c r="A543" s="2" t="str">
        <f>_xlfn.TEXTJOIN("",TRUE,Input!$B$2,ROW(My_Audit!A542))</f>
        <v>XX542</v>
      </c>
      <c r="B543" s="2" t="str">
        <f>_xlfn.TEXTJOIN("-",TRUE,"ITD",Input!$A$2,A543)</f>
        <v>ITD-SHRXXX-XX542</v>
      </c>
      <c r="C543" s="2" t="str" cm="1">
        <f t="array" ref="C543">IFERROR(_xlfn.LET(
_xlpm.CSVVal,_xlfn.XLOOKUP($A543,CSV!$A:$A,CSV!B:B,""),
_xlpm.MacVal,_xlfn.XLOOKUP($A543,Output_Mac!$A:$A,Output_Mac!B:B,""),
_xlpm.MyAuditVal,_xlfn.XLOOKUP($A543,My_Audit!$A:$A,My_Audit!B:B,""),
_xlfn.IFS(_xlpm.MyAuditVal&lt;&gt;"",UPPER(_xlpm.MyAuditVal),_xlpm.MacVal&lt;&gt;"",_xlpm.MacVal,_xlpm.CSVVal&lt;&gt;"",_xlpm.CSVVal
)),"")</f>
        <v/>
      </c>
      <c r="D543" s="2" t="str" cm="1">
        <f t="array" ref="D543">IFERROR(_xlfn.LET(
_xlpm.CSVVal,_xlfn.XLOOKUP($A543,CSV!$A:$A,CSV!D:D,""),
_xlpm.MacVal,_xlfn.XLOOKUP($A543,Output_Mac!$A:$A,Output_Mac!C:C,""),
_xlpm.MyAuditVal,_xlfn.XLOOKUP($A543,My_Audit!$A:$A,My_Audit!C:C,""),
_xlfn.IFS(_xlpm.MyAuditVal&lt;&gt;"",_xlpm.MyAuditVal,_xlpm.MacVal&lt;&gt;"",_xlpm.MacVal,_xlpm.CSVVal&lt;&gt;"",_xlpm.CSVVal
)),"")</f>
        <v/>
      </c>
      <c r="E543" s="2" t="str">
        <f>_xlfn.XLOOKUP(A543,My_Audit!A:A,My_Audit!D:D,"")&amp;""</f>
        <v/>
      </c>
      <c r="F543" s="2" t="str" cm="1">
        <f t="array" ref="F543">IFERROR(_xlfn.LET(
_xlpm.CSVVal,_xlfn.XLOOKUP($A543,CSV!$A:$A,CSV!F:F,""),
_xlpm.MacVal,_xlfn.XLOOKUP($A543,Output_Mac!$A:$A,Output_Mac!E:E,""),
_xlpm.MyAuditVal,_xlfn.XLOOKUP($A543,My_Audit!$A:$A,My_Audit!E:E,""),
_xlfn.IFS(_xlpm.MyAuditVal&lt;&gt;"",_xlpm.MyAuditVal,_xlpm.MacVal&lt;&gt;"",_xlpm.MacVal,_xlpm.CSVVal&lt;&gt;"",_xlpm.CSVVal
)),"")</f>
        <v/>
      </c>
      <c r="G543" s="2" t="str" cm="1">
        <f t="array" ref="G543">IFERROR(_xlfn.LET(
_xlpm.CSVVal,_xlfn.XLOOKUP($A543,CSV!$A:$A,CSV!G:G,""),
_xlpm.MacVal,_xlfn.XLOOKUP($A543,Output_Mac!$A:$A,Output_Mac!F:F,""),
_xlpm.MyAuditVal,_xlfn.XLOOKUP($A543,My_Audit!$A:$A,My_Audit!F:F,""),
_xlfn.IFS(_xlpm.MyAuditVal&lt;&gt;"",_xlpm.MyAuditVal,_xlpm.MacVal&lt;&gt;"",_xlpm.MacVal,_xlpm.CSVVal&lt;&gt;"",PROPER(_xlpm.CSVVal)
)),"")</f>
        <v/>
      </c>
      <c r="H543" s="2" t="str" cm="1">
        <f t="array" ref="H543">IFERROR(_xlfn.LET(
_xlpm.CSVVal,_xlfn.XLOOKUP($A543,CSV!$A:$A,CSV!H:H,""),
_xlpm.MacVal,_xlfn.XLOOKUP($A543,Output_Mac!$A:$A,Output_Mac!H:H,""),
_xlpm.MyAuditVal,_xlfn.XLOOKUP($A543,My_Audit!$A:$A,My_Audit!G:G,""),
_xlfn.IFS(_xlpm.MyAuditVal&lt;&gt;"",_xlpm.MyAuditVal,_xlpm.MacVal&lt;&gt;"",_xlpm.MacVal,_xlpm.CSVVal&lt;&gt;"",_xlpm.CSVVal
)),"")</f>
        <v/>
      </c>
      <c r="I543" s="2" t="str">
        <f>_xlfn.XLOOKUP(A543,Output_Mac!A:A,Output_Mac!I:I,"")</f>
        <v/>
      </c>
      <c r="J543" s="2" t="str" cm="1">
        <f t="array" ref="J543">IFERROR(_xlfn.LET(
_xlpm.CSVVal,_xlfn.XLOOKUP($A543,CSV!$A:$A,CSV!I:I,""),
_xlpm.MacVal,_xlfn.XLOOKUP($A543,Output_Mac!$A:$A,Output_Mac!J:J,""),
_xlpm.MyAuditVal,_xlfn.XLOOKUP($A543,My_Audit!$A:$A,My_Audit!I:I,""),
_xlfn.IFS(_xlpm.MyAuditVal&lt;&gt;"",UPPER(_xlpm.MyAuditVal),_xlpm.MacVal&lt;&gt;"",_xlpm.MacVal,_xlpm.CSVVal&lt;&gt;"",_xlpm.CSVVal
)),"")</f>
        <v/>
      </c>
      <c r="K543" s="2" t="str" cm="1">
        <f t="array" ref="K543">IFERROR(_xlfn.LET(
_xlpm.CSVVal,_xlfn.XLOOKUP($A543,CSV!$A:$A,CSV!K:K,""),
_xlpm.MacVal,_xlfn.XLOOKUP($A543,Output_Mac!$A:$A,Output_Mac!K:K,""),
_xlpm.MyAuditVal,_xlfn.XLOOKUP($A543,My_Audit!$A:$A,My_Audit!J:J,""),
_xlfn.IFS(_xlpm.MyAuditVal&lt;&gt;"",UPPER(_xlpm.MyAuditVal),_xlpm.MacVal&lt;&gt;"",_xlpm.MacVal,_xlpm.CSVVal&lt;&gt;"",_xlpm.CSVVal
)),"")</f>
        <v/>
      </c>
      <c r="L543" s="2" t="str" cm="1">
        <f t="array" ref="L543">IFERROR(_xlfn.LET(
_xlpm.CSVVal,_xlfn.XLOOKUP($A543,CSV!$A:$A,CSV!P:P,""),
_xlpm.MacVal,_xlfn.XLOOKUP($A543,Output_Mac!$A:$A,Output_Mac!L:L,""),
_xlpm.MyAuditVal,_xlfn.XLOOKUP($A543,My_Audit!$A:$A,My_Audit!K:K,""),
_xlfn.IFS(_xlpm.MyAuditVal&lt;&gt;"",UPPER(_xlpm.MyAuditVal),_xlpm.MacVal&lt;&gt;"",_xlpm.MacVal,_xlpm.CSVVal&lt;&gt;"",_xlpm.CSVVal
)),"")</f>
        <v/>
      </c>
      <c r="M543" s="2" t="str" cm="1">
        <f t="array" ref="M543">IFERROR(_xlfn.LET(
_xlpm.CSVVal,_xlfn.XLOOKUP($A543,CSV!$A:$A,CSV!Q:Q,""),
_xlpm.MacVal,_xlfn.XLOOKUP($A543,Output_Mac!$A:$A,Output_Mac!M:M,""),
_xlpm.MyAuditVal,_xlfn.XLOOKUP($A543,My_Audit!$A:$A,My_Audit!L:L,""),
_xlfn.IFS(_xlpm.MyAuditVal&lt;&gt;"",UPPER(_xlpm.MyAuditVal),_xlpm.MacVal&lt;&gt;"",_xlpm.MacVal,_xlpm.CSVVal&lt;&gt;"",_xlpm.CSVVal
)),"")</f>
        <v/>
      </c>
      <c r="O543" s="2" t="str">
        <f>_xlfn.LET(
    _xlpm.CSVVal, _xlfn.XLOOKUP($A543, CSV!$A:$A, CSV!AF:AF, ""),
    _xlpm.MacVal, _xlfn.XLOOKUP($A543, Output_Mac!$A:$A, Output_Mac!S:S, ""),
    _xlpm.MyAuditVal, _xlfn.XLOOKUP($A543, My_Audit!$A:$A, My_Audit!P:P, ""),
    _xlfn.TEXTJOIN(", ", TRUE, _xlpm.MyAuditVal, _xlpm.MacVal, _xlpm.CSVVal)
)</f>
        <v/>
      </c>
      <c r="P543" s="2" t="str" cm="1">
        <f t="array" ref="P543">IFERROR(_xlfn.LET(
_xlpm.CSVVal,_xlfn.XLOOKUP($A543,CSV!$A:$A,CSV!AG:AG,""),
_xlpm.MacVal,_xlfn.XLOOKUP($A543,Output_Mac!$A:$A,Output_Mac!T:T,""),
_xlpm.MyAuditVal,_xlfn.XLOOKUP($A543,My_Audit!$A:$A,My_Audit!Q:Q,""),
_xlfn.IFS(_xlpm.MyAuditVal&lt;&gt;"",UPPER(_xlpm.MyAuditVal),_xlpm.MacVal&lt;&gt;"",_xlpm.MacVal,_xlpm.CSVVal&lt;&gt;"",_xlpm.CSVVal
)),"No")</f>
        <v>No</v>
      </c>
      <c r="Q543" s="2" t="str" cm="1">
        <f t="array" ref="Q543">IFERROR(_xlfn.LET(
_xlpm.CSVVal,_xlfn.XLOOKUP($A543,CSV!$A:$A,CSV!AH:AH,""),
_xlpm.MacVal,_xlfn.XLOOKUP($A543,Output_Mac!$A:$A,Output_Mac!U:U,""),
_xlpm.MyAuditVal,_xlfn.XLOOKUP($A543,My_Audit!$A:$A,My_Audit!R:R,""),
_xlfn.IFS(_xlpm.MyAuditVal&lt;&gt;"",UPPER(_xlpm.MyAuditVal),_xlpm.MacVal&lt;&gt;"",_xlpm.MacVal,_xlpm.CSVVal&lt;&gt;"",_xlpm.CSVVal
)),"")</f>
        <v/>
      </c>
    </row>
    <row r="544" spans="1:17">
      <c r="A544" s="2" t="str">
        <f>_xlfn.TEXTJOIN("",TRUE,Input!$B$2,ROW(My_Audit!A543))</f>
        <v>XX543</v>
      </c>
      <c r="B544" s="2" t="str">
        <f>_xlfn.TEXTJOIN("-",TRUE,"ITD",Input!$A$2,A544)</f>
        <v>ITD-SHRXXX-XX543</v>
      </c>
      <c r="C544" s="2" t="str" cm="1">
        <f t="array" ref="C544">IFERROR(_xlfn.LET(
_xlpm.CSVVal,_xlfn.XLOOKUP($A544,CSV!$A:$A,CSV!B:B,""),
_xlpm.MacVal,_xlfn.XLOOKUP($A544,Output_Mac!$A:$A,Output_Mac!B:B,""),
_xlpm.MyAuditVal,_xlfn.XLOOKUP($A544,My_Audit!$A:$A,My_Audit!B:B,""),
_xlfn.IFS(_xlpm.MyAuditVal&lt;&gt;"",UPPER(_xlpm.MyAuditVal),_xlpm.MacVal&lt;&gt;"",_xlpm.MacVal,_xlpm.CSVVal&lt;&gt;"",_xlpm.CSVVal
)),"")</f>
        <v/>
      </c>
      <c r="D544" s="2" t="str" cm="1">
        <f t="array" ref="D544">IFERROR(_xlfn.LET(
_xlpm.CSVVal,_xlfn.XLOOKUP($A544,CSV!$A:$A,CSV!D:D,""),
_xlpm.MacVal,_xlfn.XLOOKUP($A544,Output_Mac!$A:$A,Output_Mac!C:C,""),
_xlpm.MyAuditVal,_xlfn.XLOOKUP($A544,My_Audit!$A:$A,My_Audit!C:C,""),
_xlfn.IFS(_xlpm.MyAuditVal&lt;&gt;"",_xlpm.MyAuditVal,_xlpm.MacVal&lt;&gt;"",_xlpm.MacVal,_xlpm.CSVVal&lt;&gt;"",_xlpm.CSVVal
)),"")</f>
        <v/>
      </c>
      <c r="E544" s="2" t="str">
        <f>_xlfn.XLOOKUP(A544,My_Audit!A:A,My_Audit!D:D,"")&amp;""</f>
        <v/>
      </c>
      <c r="F544" s="2" t="str" cm="1">
        <f t="array" ref="F544">IFERROR(_xlfn.LET(
_xlpm.CSVVal,_xlfn.XLOOKUP($A544,CSV!$A:$A,CSV!F:F,""),
_xlpm.MacVal,_xlfn.XLOOKUP($A544,Output_Mac!$A:$A,Output_Mac!E:E,""),
_xlpm.MyAuditVal,_xlfn.XLOOKUP($A544,My_Audit!$A:$A,My_Audit!E:E,""),
_xlfn.IFS(_xlpm.MyAuditVal&lt;&gt;"",_xlpm.MyAuditVal,_xlpm.MacVal&lt;&gt;"",_xlpm.MacVal,_xlpm.CSVVal&lt;&gt;"",_xlpm.CSVVal
)),"")</f>
        <v/>
      </c>
      <c r="G544" s="2" t="str" cm="1">
        <f t="array" ref="G544">IFERROR(_xlfn.LET(
_xlpm.CSVVal,_xlfn.XLOOKUP($A544,CSV!$A:$A,CSV!G:G,""),
_xlpm.MacVal,_xlfn.XLOOKUP($A544,Output_Mac!$A:$A,Output_Mac!F:F,""),
_xlpm.MyAuditVal,_xlfn.XLOOKUP($A544,My_Audit!$A:$A,My_Audit!F:F,""),
_xlfn.IFS(_xlpm.MyAuditVal&lt;&gt;"",_xlpm.MyAuditVal,_xlpm.MacVal&lt;&gt;"",_xlpm.MacVal,_xlpm.CSVVal&lt;&gt;"",PROPER(_xlpm.CSVVal)
)),"")</f>
        <v/>
      </c>
      <c r="H544" s="2" t="str" cm="1">
        <f t="array" ref="H544">IFERROR(_xlfn.LET(
_xlpm.CSVVal,_xlfn.XLOOKUP($A544,CSV!$A:$A,CSV!H:H,""),
_xlpm.MacVal,_xlfn.XLOOKUP($A544,Output_Mac!$A:$A,Output_Mac!H:H,""),
_xlpm.MyAuditVal,_xlfn.XLOOKUP($A544,My_Audit!$A:$A,My_Audit!G:G,""),
_xlfn.IFS(_xlpm.MyAuditVal&lt;&gt;"",_xlpm.MyAuditVal,_xlpm.MacVal&lt;&gt;"",_xlpm.MacVal,_xlpm.CSVVal&lt;&gt;"",_xlpm.CSVVal
)),"")</f>
        <v/>
      </c>
      <c r="I544" s="2" t="str">
        <f>_xlfn.XLOOKUP(A544,Output_Mac!A:A,Output_Mac!I:I,"")</f>
        <v/>
      </c>
      <c r="J544" s="2" t="str" cm="1">
        <f t="array" ref="J544">IFERROR(_xlfn.LET(
_xlpm.CSVVal,_xlfn.XLOOKUP($A544,CSV!$A:$A,CSV!I:I,""),
_xlpm.MacVal,_xlfn.XLOOKUP($A544,Output_Mac!$A:$A,Output_Mac!J:J,""),
_xlpm.MyAuditVal,_xlfn.XLOOKUP($A544,My_Audit!$A:$A,My_Audit!I:I,""),
_xlfn.IFS(_xlpm.MyAuditVal&lt;&gt;"",UPPER(_xlpm.MyAuditVal),_xlpm.MacVal&lt;&gt;"",_xlpm.MacVal,_xlpm.CSVVal&lt;&gt;"",_xlpm.CSVVal
)),"")</f>
        <v/>
      </c>
      <c r="K544" s="2" t="str" cm="1">
        <f t="array" ref="K544">IFERROR(_xlfn.LET(
_xlpm.CSVVal,_xlfn.XLOOKUP($A544,CSV!$A:$A,CSV!K:K,""),
_xlpm.MacVal,_xlfn.XLOOKUP($A544,Output_Mac!$A:$A,Output_Mac!K:K,""),
_xlpm.MyAuditVal,_xlfn.XLOOKUP($A544,My_Audit!$A:$A,My_Audit!J:J,""),
_xlfn.IFS(_xlpm.MyAuditVal&lt;&gt;"",UPPER(_xlpm.MyAuditVal),_xlpm.MacVal&lt;&gt;"",_xlpm.MacVal,_xlpm.CSVVal&lt;&gt;"",_xlpm.CSVVal
)),"")</f>
        <v/>
      </c>
      <c r="L544" s="2" t="str" cm="1">
        <f t="array" ref="L544">IFERROR(_xlfn.LET(
_xlpm.CSVVal,_xlfn.XLOOKUP($A544,CSV!$A:$A,CSV!P:P,""),
_xlpm.MacVal,_xlfn.XLOOKUP($A544,Output_Mac!$A:$A,Output_Mac!L:L,""),
_xlpm.MyAuditVal,_xlfn.XLOOKUP($A544,My_Audit!$A:$A,My_Audit!K:K,""),
_xlfn.IFS(_xlpm.MyAuditVal&lt;&gt;"",UPPER(_xlpm.MyAuditVal),_xlpm.MacVal&lt;&gt;"",_xlpm.MacVal,_xlpm.CSVVal&lt;&gt;"",_xlpm.CSVVal
)),"")</f>
        <v/>
      </c>
      <c r="M544" s="2" t="str" cm="1">
        <f t="array" ref="M544">IFERROR(_xlfn.LET(
_xlpm.CSVVal,_xlfn.XLOOKUP($A544,CSV!$A:$A,CSV!Q:Q,""),
_xlpm.MacVal,_xlfn.XLOOKUP($A544,Output_Mac!$A:$A,Output_Mac!M:M,""),
_xlpm.MyAuditVal,_xlfn.XLOOKUP($A544,My_Audit!$A:$A,My_Audit!L:L,""),
_xlfn.IFS(_xlpm.MyAuditVal&lt;&gt;"",UPPER(_xlpm.MyAuditVal),_xlpm.MacVal&lt;&gt;"",_xlpm.MacVal,_xlpm.CSVVal&lt;&gt;"",_xlpm.CSVVal
)),"")</f>
        <v/>
      </c>
      <c r="O544" s="2" t="str">
        <f>_xlfn.LET(
    _xlpm.CSVVal, _xlfn.XLOOKUP($A544, CSV!$A:$A, CSV!AF:AF, ""),
    _xlpm.MacVal, _xlfn.XLOOKUP($A544, Output_Mac!$A:$A, Output_Mac!S:S, ""),
    _xlpm.MyAuditVal, _xlfn.XLOOKUP($A544, My_Audit!$A:$A, My_Audit!P:P, ""),
    _xlfn.TEXTJOIN(", ", TRUE, _xlpm.MyAuditVal, _xlpm.MacVal, _xlpm.CSVVal)
)</f>
        <v/>
      </c>
      <c r="P544" s="2" t="str" cm="1">
        <f t="array" ref="P544">IFERROR(_xlfn.LET(
_xlpm.CSVVal,_xlfn.XLOOKUP($A544,CSV!$A:$A,CSV!AG:AG,""),
_xlpm.MacVal,_xlfn.XLOOKUP($A544,Output_Mac!$A:$A,Output_Mac!T:T,""),
_xlpm.MyAuditVal,_xlfn.XLOOKUP($A544,My_Audit!$A:$A,My_Audit!Q:Q,""),
_xlfn.IFS(_xlpm.MyAuditVal&lt;&gt;"",UPPER(_xlpm.MyAuditVal),_xlpm.MacVal&lt;&gt;"",_xlpm.MacVal,_xlpm.CSVVal&lt;&gt;"",_xlpm.CSVVal
)),"No")</f>
        <v>No</v>
      </c>
      <c r="Q544" s="2" t="str" cm="1">
        <f t="array" ref="Q544">IFERROR(_xlfn.LET(
_xlpm.CSVVal,_xlfn.XLOOKUP($A544,CSV!$A:$A,CSV!AH:AH,""),
_xlpm.MacVal,_xlfn.XLOOKUP($A544,Output_Mac!$A:$A,Output_Mac!U:U,""),
_xlpm.MyAuditVal,_xlfn.XLOOKUP($A544,My_Audit!$A:$A,My_Audit!R:R,""),
_xlfn.IFS(_xlpm.MyAuditVal&lt;&gt;"",UPPER(_xlpm.MyAuditVal),_xlpm.MacVal&lt;&gt;"",_xlpm.MacVal,_xlpm.CSVVal&lt;&gt;"",_xlpm.CSVVal
)),"")</f>
        <v/>
      </c>
    </row>
    <row r="545" spans="1:17">
      <c r="A545" s="2" t="str">
        <f>_xlfn.TEXTJOIN("",TRUE,Input!$B$2,ROW(My_Audit!A544))</f>
        <v>XX544</v>
      </c>
      <c r="B545" s="2" t="str">
        <f>_xlfn.TEXTJOIN("-",TRUE,"ITD",Input!$A$2,A545)</f>
        <v>ITD-SHRXXX-XX544</v>
      </c>
      <c r="C545" s="2" t="str" cm="1">
        <f t="array" ref="C545">IFERROR(_xlfn.LET(
_xlpm.CSVVal,_xlfn.XLOOKUP($A545,CSV!$A:$A,CSV!B:B,""),
_xlpm.MacVal,_xlfn.XLOOKUP($A545,Output_Mac!$A:$A,Output_Mac!B:B,""),
_xlpm.MyAuditVal,_xlfn.XLOOKUP($A545,My_Audit!$A:$A,My_Audit!B:B,""),
_xlfn.IFS(_xlpm.MyAuditVal&lt;&gt;"",UPPER(_xlpm.MyAuditVal),_xlpm.MacVal&lt;&gt;"",_xlpm.MacVal,_xlpm.CSVVal&lt;&gt;"",_xlpm.CSVVal
)),"")</f>
        <v/>
      </c>
      <c r="D545" s="2" t="str" cm="1">
        <f t="array" ref="D545">IFERROR(_xlfn.LET(
_xlpm.CSVVal,_xlfn.XLOOKUP($A545,CSV!$A:$A,CSV!D:D,""),
_xlpm.MacVal,_xlfn.XLOOKUP($A545,Output_Mac!$A:$A,Output_Mac!C:C,""),
_xlpm.MyAuditVal,_xlfn.XLOOKUP($A545,My_Audit!$A:$A,My_Audit!C:C,""),
_xlfn.IFS(_xlpm.MyAuditVal&lt;&gt;"",_xlpm.MyAuditVal,_xlpm.MacVal&lt;&gt;"",_xlpm.MacVal,_xlpm.CSVVal&lt;&gt;"",_xlpm.CSVVal
)),"")</f>
        <v/>
      </c>
      <c r="E545" s="2" t="str">
        <f>_xlfn.XLOOKUP(A545,My_Audit!A:A,My_Audit!D:D,"")&amp;""</f>
        <v/>
      </c>
      <c r="F545" s="2" t="str" cm="1">
        <f t="array" ref="F545">IFERROR(_xlfn.LET(
_xlpm.CSVVal,_xlfn.XLOOKUP($A545,CSV!$A:$A,CSV!F:F,""),
_xlpm.MacVal,_xlfn.XLOOKUP($A545,Output_Mac!$A:$A,Output_Mac!E:E,""),
_xlpm.MyAuditVal,_xlfn.XLOOKUP($A545,My_Audit!$A:$A,My_Audit!E:E,""),
_xlfn.IFS(_xlpm.MyAuditVal&lt;&gt;"",_xlpm.MyAuditVal,_xlpm.MacVal&lt;&gt;"",_xlpm.MacVal,_xlpm.CSVVal&lt;&gt;"",_xlpm.CSVVal
)),"")</f>
        <v/>
      </c>
      <c r="G545" s="2" t="str" cm="1">
        <f t="array" ref="G545">IFERROR(_xlfn.LET(
_xlpm.CSVVal,_xlfn.XLOOKUP($A545,CSV!$A:$A,CSV!G:G,""),
_xlpm.MacVal,_xlfn.XLOOKUP($A545,Output_Mac!$A:$A,Output_Mac!F:F,""),
_xlpm.MyAuditVal,_xlfn.XLOOKUP($A545,My_Audit!$A:$A,My_Audit!F:F,""),
_xlfn.IFS(_xlpm.MyAuditVal&lt;&gt;"",_xlpm.MyAuditVal,_xlpm.MacVal&lt;&gt;"",_xlpm.MacVal,_xlpm.CSVVal&lt;&gt;"",PROPER(_xlpm.CSVVal)
)),"")</f>
        <v/>
      </c>
      <c r="H545" s="2" t="str" cm="1">
        <f t="array" ref="H545">IFERROR(_xlfn.LET(
_xlpm.CSVVal,_xlfn.XLOOKUP($A545,CSV!$A:$A,CSV!H:H,""),
_xlpm.MacVal,_xlfn.XLOOKUP($A545,Output_Mac!$A:$A,Output_Mac!H:H,""),
_xlpm.MyAuditVal,_xlfn.XLOOKUP($A545,My_Audit!$A:$A,My_Audit!G:G,""),
_xlfn.IFS(_xlpm.MyAuditVal&lt;&gt;"",_xlpm.MyAuditVal,_xlpm.MacVal&lt;&gt;"",_xlpm.MacVal,_xlpm.CSVVal&lt;&gt;"",_xlpm.CSVVal
)),"")</f>
        <v/>
      </c>
      <c r="I545" s="2" t="str">
        <f>_xlfn.XLOOKUP(A545,Output_Mac!A:A,Output_Mac!I:I,"")</f>
        <v/>
      </c>
      <c r="J545" s="2" t="str" cm="1">
        <f t="array" ref="J545">IFERROR(_xlfn.LET(
_xlpm.CSVVal,_xlfn.XLOOKUP($A545,CSV!$A:$A,CSV!I:I,""),
_xlpm.MacVal,_xlfn.XLOOKUP($A545,Output_Mac!$A:$A,Output_Mac!J:J,""),
_xlpm.MyAuditVal,_xlfn.XLOOKUP($A545,My_Audit!$A:$A,My_Audit!I:I,""),
_xlfn.IFS(_xlpm.MyAuditVal&lt;&gt;"",UPPER(_xlpm.MyAuditVal),_xlpm.MacVal&lt;&gt;"",_xlpm.MacVal,_xlpm.CSVVal&lt;&gt;"",_xlpm.CSVVal
)),"")</f>
        <v/>
      </c>
      <c r="K545" s="2" t="str" cm="1">
        <f t="array" ref="K545">IFERROR(_xlfn.LET(
_xlpm.CSVVal,_xlfn.XLOOKUP($A545,CSV!$A:$A,CSV!K:K,""),
_xlpm.MacVal,_xlfn.XLOOKUP($A545,Output_Mac!$A:$A,Output_Mac!K:K,""),
_xlpm.MyAuditVal,_xlfn.XLOOKUP($A545,My_Audit!$A:$A,My_Audit!J:J,""),
_xlfn.IFS(_xlpm.MyAuditVal&lt;&gt;"",UPPER(_xlpm.MyAuditVal),_xlpm.MacVal&lt;&gt;"",_xlpm.MacVal,_xlpm.CSVVal&lt;&gt;"",_xlpm.CSVVal
)),"")</f>
        <v/>
      </c>
      <c r="L545" s="2" t="str" cm="1">
        <f t="array" ref="L545">IFERROR(_xlfn.LET(
_xlpm.CSVVal,_xlfn.XLOOKUP($A545,CSV!$A:$A,CSV!P:P,""),
_xlpm.MacVal,_xlfn.XLOOKUP($A545,Output_Mac!$A:$A,Output_Mac!L:L,""),
_xlpm.MyAuditVal,_xlfn.XLOOKUP($A545,My_Audit!$A:$A,My_Audit!K:K,""),
_xlfn.IFS(_xlpm.MyAuditVal&lt;&gt;"",UPPER(_xlpm.MyAuditVal),_xlpm.MacVal&lt;&gt;"",_xlpm.MacVal,_xlpm.CSVVal&lt;&gt;"",_xlpm.CSVVal
)),"")</f>
        <v/>
      </c>
      <c r="M545" s="2" t="str" cm="1">
        <f t="array" ref="M545">IFERROR(_xlfn.LET(
_xlpm.CSVVal,_xlfn.XLOOKUP($A545,CSV!$A:$A,CSV!Q:Q,""),
_xlpm.MacVal,_xlfn.XLOOKUP($A545,Output_Mac!$A:$A,Output_Mac!M:M,""),
_xlpm.MyAuditVal,_xlfn.XLOOKUP($A545,My_Audit!$A:$A,My_Audit!L:L,""),
_xlfn.IFS(_xlpm.MyAuditVal&lt;&gt;"",UPPER(_xlpm.MyAuditVal),_xlpm.MacVal&lt;&gt;"",_xlpm.MacVal,_xlpm.CSVVal&lt;&gt;"",_xlpm.CSVVal
)),"")</f>
        <v/>
      </c>
      <c r="O545" s="2" t="str">
        <f>_xlfn.LET(
    _xlpm.CSVVal, _xlfn.XLOOKUP($A545, CSV!$A:$A, CSV!AF:AF, ""),
    _xlpm.MacVal, _xlfn.XLOOKUP($A545, Output_Mac!$A:$A, Output_Mac!S:S, ""),
    _xlpm.MyAuditVal, _xlfn.XLOOKUP($A545, My_Audit!$A:$A, My_Audit!P:P, ""),
    _xlfn.TEXTJOIN(", ", TRUE, _xlpm.MyAuditVal, _xlpm.MacVal, _xlpm.CSVVal)
)</f>
        <v/>
      </c>
      <c r="P545" s="2" t="str" cm="1">
        <f t="array" ref="P545">IFERROR(_xlfn.LET(
_xlpm.CSVVal,_xlfn.XLOOKUP($A545,CSV!$A:$A,CSV!AG:AG,""),
_xlpm.MacVal,_xlfn.XLOOKUP($A545,Output_Mac!$A:$A,Output_Mac!T:T,""),
_xlpm.MyAuditVal,_xlfn.XLOOKUP($A545,My_Audit!$A:$A,My_Audit!Q:Q,""),
_xlfn.IFS(_xlpm.MyAuditVal&lt;&gt;"",UPPER(_xlpm.MyAuditVal),_xlpm.MacVal&lt;&gt;"",_xlpm.MacVal,_xlpm.CSVVal&lt;&gt;"",_xlpm.CSVVal
)),"No")</f>
        <v>No</v>
      </c>
      <c r="Q545" s="2" t="str" cm="1">
        <f t="array" ref="Q545">IFERROR(_xlfn.LET(
_xlpm.CSVVal,_xlfn.XLOOKUP($A545,CSV!$A:$A,CSV!AH:AH,""),
_xlpm.MacVal,_xlfn.XLOOKUP($A545,Output_Mac!$A:$A,Output_Mac!U:U,""),
_xlpm.MyAuditVal,_xlfn.XLOOKUP($A545,My_Audit!$A:$A,My_Audit!R:R,""),
_xlfn.IFS(_xlpm.MyAuditVal&lt;&gt;"",UPPER(_xlpm.MyAuditVal),_xlpm.MacVal&lt;&gt;"",_xlpm.MacVal,_xlpm.CSVVal&lt;&gt;"",_xlpm.CSVVal
)),"")</f>
        <v/>
      </c>
    </row>
    <row r="546" spans="1:17">
      <c r="A546" s="2" t="str">
        <f>_xlfn.TEXTJOIN("",TRUE,Input!$B$2,ROW(My_Audit!A545))</f>
        <v>XX545</v>
      </c>
      <c r="B546" s="2" t="str">
        <f>_xlfn.TEXTJOIN("-",TRUE,"ITD",Input!$A$2,A546)</f>
        <v>ITD-SHRXXX-XX545</v>
      </c>
      <c r="C546" s="2" t="str" cm="1">
        <f t="array" ref="C546">IFERROR(_xlfn.LET(
_xlpm.CSVVal,_xlfn.XLOOKUP($A546,CSV!$A:$A,CSV!B:B,""),
_xlpm.MacVal,_xlfn.XLOOKUP($A546,Output_Mac!$A:$A,Output_Mac!B:B,""),
_xlpm.MyAuditVal,_xlfn.XLOOKUP($A546,My_Audit!$A:$A,My_Audit!B:B,""),
_xlfn.IFS(_xlpm.MyAuditVal&lt;&gt;"",UPPER(_xlpm.MyAuditVal),_xlpm.MacVal&lt;&gt;"",_xlpm.MacVal,_xlpm.CSVVal&lt;&gt;"",_xlpm.CSVVal
)),"")</f>
        <v/>
      </c>
      <c r="D546" s="2" t="str" cm="1">
        <f t="array" ref="D546">IFERROR(_xlfn.LET(
_xlpm.CSVVal,_xlfn.XLOOKUP($A546,CSV!$A:$A,CSV!D:D,""),
_xlpm.MacVal,_xlfn.XLOOKUP($A546,Output_Mac!$A:$A,Output_Mac!C:C,""),
_xlpm.MyAuditVal,_xlfn.XLOOKUP($A546,My_Audit!$A:$A,My_Audit!C:C,""),
_xlfn.IFS(_xlpm.MyAuditVal&lt;&gt;"",_xlpm.MyAuditVal,_xlpm.MacVal&lt;&gt;"",_xlpm.MacVal,_xlpm.CSVVal&lt;&gt;"",_xlpm.CSVVal
)),"")</f>
        <v/>
      </c>
      <c r="E546" s="2" t="str">
        <f>_xlfn.XLOOKUP(A546,My_Audit!A:A,My_Audit!D:D,"")&amp;""</f>
        <v/>
      </c>
      <c r="F546" s="2" t="str" cm="1">
        <f t="array" ref="F546">IFERROR(_xlfn.LET(
_xlpm.CSVVal,_xlfn.XLOOKUP($A546,CSV!$A:$A,CSV!F:F,""),
_xlpm.MacVal,_xlfn.XLOOKUP($A546,Output_Mac!$A:$A,Output_Mac!E:E,""),
_xlpm.MyAuditVal,_xlfn.XLOOKUP($A546,My_Audit!$A:$A,My_Audit!E:E,""),
_xlfn.IFS(_xlpm.MyAuditVal&lt;&gt;"",_xlpm.MyAuditVal,_xlpm.MacVal&lt;&gt;"",_xlpm.MacVal,_xlpm.CSVVal&lt;&gt;"",_xlpm.CSVVal
)),"")</f>
        <v/>
      </c>
      <c r="G546" s="2" t="str" cm="1">
        <f t="array" ref="G546">IFERROR(_xlfn.LET(
_xlpm.CSVVal,_xlfn.XLOOKUP($A546,CSV!$A:$A,CSV!G:G,""),
_xlpm.MacVal,_xlfn.XLOOKUP($A546,Output_Mac!$A:$A,Output_Mac!F:F,""),
_xlpm.MyAuditVal,_xlfn.XLOOKUP($A546,My_Audit!$A:$A,My_Audit!F:F,""),
_xlfn.IFS(_xlpm.MyAuditVal&lt;&gt;"",_xlpm.MyAuditVal,_xlpm.MacVal&lt;&gt;"",_xlpm.MacVal,_xlpm.CSVVal&lt;&gt;"",PROPER(_xlpm.CSVVal)
)),"")</f>
        <v/>
      </c>
      <c r="H546" s="2" t="str" cm="1">
        <f t="array" ref="H546">IFERROR(_xlfn.LET(
_xlpm.CSVVal,_xlfn.XLOOKUP($A546,CSV!$A:$A,CSV!H:H,""),
_xlpm.MacVal,_xlfn.XLOOKUP($A546,Output_Mac!$A:$A,Output_Mac!H:H,""),
_xlpm.MyAuditVal,_xlfn.XLOOKUP($A546,My_Audit!$A:$A,My_Audit!G:G,""),
_xlfn.IFS(_xlpm.MyAuditVal&lt;&gt;"",_xlpm.MyAuditVal,_xlpm.MacVal&lt;&gt;"",_xlpm.MacVal,_xlpm.CSVVal&lt;&gt;"",_xlpm.CSVVal
)),"")</f>
        <v/>
      </c>
      <c r="I546" s="2" t="str">
        <f>_xlfn.XLOOKUP(A546,Output_Mac!A:A,Output_Mac!I:I,"")</f>
        <v/>
      </c>
      <c r="J546" s="2" t="str" cm="1">
        <f t="array" ref="J546">IFERROR(_xlfn.LET(
_xlpm.CSVVal,_xlfn.XLOOKUP($A546,CSV!$A:$A,CSV!I:I,""),
_xlpm.MacVal,_xlfn.XLOOKUP($A546,Output_Mac!$A:$A,Output_Mac!J:J,""),
_xlpm.MyAuditVal,_xlfn.XLOOKUP($A546,My_Audit!$A:$A,My_Audit!I:I,""),
_xlfn.IFS(_xlpm.MyAuditVal&lt;&gt;"",UPPER(_xlpm.MyAuditVal),_xlpm.MacVal&lt;&gt;"",_xlpm.MacVal,_xlpm.CSVVal&lt;&gt;"",_xlpm.CSVVal
)),"")</f>
        <v/>
      </c>
      <c r="K546" s="2" t="str" cm="1">
        <f t="array" ref="K546">IFERROR(_xlfn.LET(
_xlpm.CSVVal,_xlfn.XLOOKUP($A546,CSV!$A:$A,CSV!K:K,""),
_xlpm.MacVal,_xlfn.XLOOKUP($A546,Output_Mac!$A:$A,Output_Mac!K:K,""),
_xlpm.MyAuditVal,_xlfn.XLOOKUP($A546,My_Audit!$A:$A,My_Audit!J:J,""),
_xlfn.IFS(_xlpm.MyAuditVal&lt;&gt;"",UPPER(_xlpm.MyAuditVal),_xlpm.MacVal&lt;&gt;"",_xlpm.MacVal,_xlpm.CSVVal&lt;&gt;"",_xlpm.CSVVal
)),"")</f>
        <v/>
      </c>
      <c r="L546" s="2" t="str" cm="1">
        <f t="array" ref="L546">IFERROR(_xlfn.LET(
_xlpm.CSVVal,_xlfn.XLOOKUP($A546,CSV!$A:$A,CSV!P:P,""),
_xlpm.MacVal,_xlfn.XLOOKUP($A546,Output_Mac!$A:$A,Output_Mac!L:L,""),
_xlpm.MyAuditVal,_xlfn.XLOOKUP($A546,My_Audit!$A:$A,My_Audit!K:K,""),
_xlfn.IFS(_xlpm.MyAuditVal&lt;&gt;"",UPPER(_xlpm.MyAuditVal),_xlpm.MacVal&lt;&gt;"",_xlpm.MacVal,_xlpm.CSVVal&lt;&gt;"",_xlpm.CSVVal
)),"")</f>
        <v/>
      </c>
      <c r="M546" s="2" t="str" cm="1">
        <f t="array" ref="M546">IFERROR(_xlfn.LET(
_xlpm.CSVVal,_xlfn.XLOOKUP($A546,CSV!$A:$A,CSV!Q:Q,""),
_xlpm.MacVal,_xlfn.XLOOKUP($A546,Output_Mac!$A:$A,Output_Mac!M:M,""),
_xlpm.MyAuditVal,_xlfn.XLOOKUP($A546,My_Audit!$A:$A,My_Audit!L:L,""),
_xlfn.IFS(_xlpm.MyAuditVal&lt;&gt;"",UPPER(_xlpm.MyAuditVal),_xlpm.MacVal&lt;&gt;"",_xlpm.MacVal,_xlpm.CSVVal&lt;&gt;"",_xlpm.CSVVal
)),"")</f>
        <v/>
      </c>
      <c r="O546" s="2" t="str">
        <f>_xlfn.LET(
    _xlpm.CSVVal, _xlfn.XLOOKUP($A546, CSV!$A:$A, CSV!AF:AF, ""),
    _xlpm.MacVal, _xlfn.XLOOKUP($A546, Output_Mac!$A:$A, Output_Mac!S:S, ""),
    _xlpm.MyAuditVal, _xlfn.XLOOKUP($A546, My_Audit!$A:$A, My_Audit!P:P, ""),
    _xlfn.TEXTJOIN(", ", TRUE, _xlpm.MyAuditVal, _xlpm.MacVal, _xlpm.CSVVal)
)</f>
        <v/>
      </c>
      <c r="P546" s="2" t="str" cm="1">
        <f t="array" ref="P546">IFERROR(_xlfn.LET(
_xlpm.CSVVal,_xlfn.XLOOKUP($A546,CSV!$A:$A,CSV!AG:AG,""),
_xlpm.MacVal,_xlfn.XLOOKUP($A546,Output_Mac!$A:$A,Output_Mac!T:T,""),
_xlpm.MyAuditVal,_xlfn.XLOOKUP($A546,My_Audit!$A:$A,My_Audit!Q:Q,""),
_xlfn.IFS(_xlpm.MyAuditVal&lt;&gt;"",UPPER(_xlpm.MyAuditVal),_xlpm.MacVal&lt;&gt;"",_xlpm.MacVal,_xlpm.CSVVal&lt;&gt;"",_xlpm.CSVVal
)),"No")</f>
        <v>No</v>
      </c>
      <c r="Q546" s="2" t="str" cm="1">
        <f t="array" ref="Q546">IFERROR(_xlfn.LET(
_xlpm.CSVVal,_xlfn.XLOOKUP($A546,CSV!$A:$A,CSV!AH:AH,""),
_xlpm.MacVal,_xlfn.XLOOKUP($A546,Output_Mac!$A:$A,Output_Mac!U:U,""),
_xlpm.MyAuditVal,_xlfn.XLOOKUP($A546,My_Audit!$A:$A,My_Audit!R:R,""),
_xlfn.IFS(_xlpm.MyAuditVal&lt;&gt;"",UPPER(_xlpm.MyAuditVal),_xlpm.MacVal&lt;&gt;"",_xlpm.MacVal,_xlpm.CSVVal&lt;&gt;"",_xlpm.CSVVal
)),"")</f>
        <v/>
      </c>
    </row>
    <row r="547" spans="1:17">
      <c r="A547" s="2" t="str">
        <f>_xlfn.TEXTJOIN("",TRUE,Input!$B$2,ROW(My_Audit!A546))</f>
        <v>XX546</v>
      </c>
      <c r="B547" s="2" t="str">
        <f>_xlfn.TEXTJOIN("-",TRUE,"ITD",Input!$A$2,A547)</f>
        <v>ITD-SHRXXX-XX546</v>
      </c>
      <c r="C547" s="2" t="str" cm="1">
        <f t="array" ref="C547">IFERROR(_xlfn.LET(
_xlpm.CSVVal,_xlfn.XLOOKUP($A547,CSV!$A:$A,CSV!B:B,""),
_xlpm.MacVal,_xlfn.XLOOKUP($A547,Output_Mac!$A:$A,Output_Mac!B:B,""),
_xlpm.MyAuditVal,_xlfn.XLOOKUP($A547,My_Audit!$A:$A,My_Audit!B:B,""),
_xlfn.IFS(_xlpm.MyAuditVal&lt;&gt;"",UPPER(_xlpm.MyAuditVal),_xlpm.MacVal&lt;&gt;"",_xlpm.MacVal,_xlpm.CSVVal&lt;&gt;"",_xlpm.CSVVal
)),"")</f>
        <v/>
      </c>
      <c r="D547" s="2" t="str" cm="1">
        <f t="array" ref="D547">IFERROR(_xlfn.LET(
_xlpm.CSVVal,_xlfn.XLOOKUP($A547,CSV!$A:$A,CSV!D:D,""),
_xlpm.MacVal,_xlfn.XLOOKUP($A547,Output_Mac!$A:$A,Output_Mac!C:C,""),
_xlpm.MyAuditVal,_xlfn.XLOOKUP($A547,My_Audit!$A:$A,My_Audit!C:C,""),
_xlfn.IFS(_xlpm.MyAuditVal&lt;&gt;"",_xlpm.MyAuditVal,_xlpm.MacVal&lt;&gt;"",_xlpm.MacVal,_xlpm.CSVVal&lt;&gt;"",_xlpm.CSVVal
)),"")</f>
        <v/>
      </c>
      <c r="E547" s="2" t="str">
        <f>_xlfn.XLOOKUP(A547,My_Audit!A:A,My_Audit!D:D,"")&amp;""</f>
        <v/>
      </c>
      <c r="F547" s="2" t="str" cm="1">
        <f t="array" ref="F547">IFERROR(_xlfn.LET(
_xlpm.CSVVal,_xlfn.XLOOKUP($A547,CSV!$A:$A,CSV!F:F,""),
_xlpm.MacVal,_xlfn.XLOOKUP($A547,Output_Mac!$A:$A,Output_Mac!E:E,""),
_xlpm.MyAuditVal,_xlfn.XLOOKUP($A547,My_Audit!$A:$A,My_Audit!E:E,""),
_xlfn.IFS(_xlpm.MyAuditVal&lt;&gt;"",_xlpm.MyAuditVal,_xlpm.MacVal&lt;&gt;"",_xlpm.MacVal,_xlpm.CSVVal&lt;&gt;"",_xlpm.CSVVal
)),"")</f>
        <v/>
      </c>
      <c r="G547" s="2" t="str" cm="1">
        <f t="array" ref="G547">IFERROR(_xlfn.LET(
_xlpm.CSVVal,_xlfn.XLOOKUP($A547,CSV!$A:$A,CSV!G:G,""),
_xlpm.MacVal,_xlfn.XLOOKUP($A547,Output_Mac!$A:$A,Output_Mac!F:F,""),
_xlpm.MyAuditVal,_xlfn.XLOOKUP($A547,My_Audit!$A:$A,My_Audit!F:F,""),
_xlfn.IFS(_xlpm.MyAuditVal&lt;&gt;"",_xlpm.MyAuditVal,_xlpm.MacVal&lt;&gt;"",_xlpm.MacVal,_xlpm.CSVVal&lt;&gt;"",PROPER(_xlpm.CSVVal)
)),"")</f>
        <v/>
      </c>
      <c r="H547" s="2" t="str" cm="1">
        <f t="array" ref="H547">IFERROR(_xlfn.LET(
_xlpm.CSVVal,_xlfn.XLOOKUP($A547,CSV!$A:$A,CSV!H:H,""),
_xlpm.MacVal,_xlfn.XLOOKUP($A547,Output_Mac!$A:$A,Output_Mac!H:H,""),
_xlpm.MyAuditVal,_xlfn.XLOOKUP($A547,My_Audit!$A:$A,My_Audit!G:G,""),
_xlfn.IFS(_xlpm.MyAuditVal&lt;&gt;"",_xlpm.MyAuditVal,_xlpm.MacVal&lt;&gt;"",_xlpm.MacVal,_xlpm.CSVVal&lt;&gt;"",_xlpm.CSVVal
)),"")</f>
        <v/>
      </c>
      <c r="I547" s="2" t="str">
        <f>_xlfn.XLOOKUP(A547,Output_Mac!A:A,Output_Mac!I:I,"")</f>
        <v/>
      </c>
      <c r="J547" s="2" t="str" cm="1">
        <f t="array" ref="J547">IFERROR(_xlfn.LET(
_xlpm.CSVVal,_xlfn.XLOOKUP($A547,CSV!$A:$A,CSV!I:I,""),
_xlpm.MacVal,_xlfn.XLOOKUP($A547,Output_Mac!$A:$A,Output_Mac!J:J,""),
_xlpm.MyAuditVal,_xlfn.XLOOKUP($A547,My_Audit!$A:$A,My_Audit!I:I,""),
_xlfn.IFS(_xlpm.MyAuditVal&lt;&gt;"",UPPER(_xlpm.MyAuditVal),_xlpm.MacVal&lt;&gt;"",_xlpm.MacVal,_xlpm.CSVVal&lt;&gt;"",_xlpm.CSVVal
)),"")</f>
        <v/>
      </c>
      <c r="K547" s="2" t="str" cm="1">
        <f t="array" ref="K547">IFERROR(_xlfn.LET(
_xlpm.CSVVal,_xlfn.XLOOKUP($A547,CSV!$A:$A,CSV!K:K,""),
_xlpm.MacVal,_xlfn.XLOOKUP($A547,Output_Mac!$A:$A,Output_Mac!K:K,""),
_xlpm.MyAuditVal,_xlfn.XLOOKUP($A547,My_Audit!$A:$A,My_Audit!J:J,""),
_xlfn.IFS(_xlpm.MyAuditVal&lt;&gt;"",UPPER(_xlpm.MyAuditVal),_xlpm.MacVal&lt;&gt;"",_xlpm.MacVal,_xlpm.CSVVal&lt;&gt;"",_xlpm.CSVVal
)),"")</f>
        <v/>
      </c>
      <c r="L547" s="2" t="str" cm="1">
        <f t="array" ref="L547">IFERROR(_xlfn.LET(
_xlpm.CSVVal,_xlfn.XLOOKUP($A547,CSV!$A:$A,CSV!P:P,""),
_xlpm.MacVal,_xlfn.XLOOKUP($A547,Output_Mac!$A:$A,Output_Mac!L:L,""),
_xlpm.MyAuditVal,_xlfn.XLOOKUP($A547,My_Audit!$A:$A,My_Audit!K:K,""),
_xlfn.IFS(_xlpm.MyAuditVal&lt;&gt;"",UPPER(_xlpm.MyAuditVal),_xlpm.MacVal&lt;&gt;"",_xlpm.MacVal,_xlpm.CSVVal&lt;&gt;"",_xlpm.CSVVal
)),"")</f>
        <v/>
      </c>
      <c r="M547" s="2" t="str" cm="1">
        <f t="array" ref="M547">IFERROR(_xlfn.LET(
_xlpm.CSVVal,_xlfn.XLOOKUP($A547,CSV!$A:$A,CSV!Q:Q,""),
_xlpm.MacVal,_xlfn.XLOOKUP($A547,Output_Mac!$A:$A,Output_Mac!M:M,""),
_xlpm.MyAuditVal,_xlfn.XLOOKUP($A547,My_Audit!$A:$A,My_Audit!L:L,""),
_xlfn.IFS(_xlpm.MyAuditVal&lt;&gt;"",UPPER(_xlpm.MyAuditVal),_xlpm.MacVal&lt;&gt;"",_xlpm.MacVal,_xlpm.CSVVal&lt;&gt;"",_xlpm.CSVVal
)),"")</f>
        <v/>
      </c>
      <c r="O547" s="2" t="str">
        <f>_xlfn.LET(
    _xlpm.CSVVal, _xlfn.XLOOKUP($A547, CSV!$A:$A, CSV!AF:AF, ""),
    _xlpm.MacVal, _xlfn.XLOOKUP($A547, Output_Mac!$A:$A, Output_Mac!S:S, ""),
    _xlpm.MyAuditVal, _xlfn.XLOOKUP($A547, My_Audit!$A:$A, My_Audit!P:P, ""),
    _xlfn.TEXTJOIN(", ", TRUE, _xlpm.MyAuditVal, _xlpm.MacVal, _xlpm.CSVVal)
)</f>
        <v/>
      </c>
      <c r="P547" s="2" t="str" cm="1">
        <f t="array" ref="P547">IFERROR(_xlfn.LET(
_xlpm.CSVVal,_xlfn.XLOOKUP($A547,CSV!$A:$A,CSV!AG:AG,""),
_xlpm.MacVal,_xlfn.XLOOKUP($A547,Output_Mac!$A:$A,Output_Mac!T:T,""),
_xlpm.MyAuditVal,_xlfn.XLOOKUP($A547,My_Audit!$A:$A,My_Audit!Q:Q,""),
_xlfn.IFS(_xlpm.MyAuditVal&lt;&gt;"",UPPER(_xlpm.MyAuditVal),_xlpm.MacVal&lt;&gt;"",_xlpm.MacVal,_xlpm.CSVVal&lt;&gt;"",_xlpm.CSVVal
)),"No")</f>
        <v>No</v>
      </c>
      <c r="Q547" s="2" t="str" cm="1">
        <f t="array" ref="Q547">IFERROR(_xlfn.LET(
_xlpm.CSVVal,_xlfn.XLOOKUP($A547,CSV!$A:$A,CSV!AH:AH,""),
_xlpm.MacVal,_xlfn.XLOOKUP($A547,Output_Mac!$A:$A,Output_Mac!U:U,""),
_xlpm.MyAuditVal,_xlfn.XLOOKUP($A547,My_Audit!$A:$A,My_Audit!R:R,""),
_xlfn.IFS(_xlpm.MyAuditVal&lt;&gt;"",UPPER(_xlpm.MyAuditVal),_xlpm.MacVal&lt;&gt;"",_xlpm.MacVal,_xlpm.CSVVal&lt;&gt;"",_xlpm.CSVVal
)),"")</f>
        <v/>
      </c>
    </row>
    <row r="548" spans="1:17">
      <c r="A548" s="2" t="str">
        <f>_xlfn.TEXTJOIN("",TRUE,Input!$B$2,ROW(My_Audit!A547))</f>
        <v>XX547</v>
      </c>
      <c r="B548" s="2" t="str">
        <f>_xlfn.TEXTJOIN("-",TRUE,"ITD",Input!$A$2,A548)</f>
        <v>ITD-SHRXXX-XX547</v>
      </c>
      <c r="C548" s="2" t="str" cm="1">
        <f t="array" ref="C548">IFERROR(_xlfn.LET(
_xlpm.CSVVal,_xlfn.XLOOKUP($A548,CSV!$A:$A,CSV!B:B,""),
_xlpm.MacVal,_xlfn.XLOOKUP($A548,Output_Mac!$A:$A,Output_Mac!B:B,""),
_xlpm.MyAuditVal,_xlfn.XLOOKUP($A548,My_Audit!$A:$A,My_Audit!B:B,""),
_xlfn.IFS(_xlpm.MyAuditVal&lt;&gt;"",UPPER(_xlpm.MyAuditVal),_xlpm.MacVal&lt;&gt;"",_xlpm.MacVal,_xlpm.CSVVal&lt;&gt;"",_xlpm.CSVVal
)),"")</f>
        <v/>
      </c>
      <c r="D548" s="2" t="str" cm="1">
        <f t="array" ref="D548">IFERROR(_xlfn.LET(
_xlpm.CSVVal,_xlfn.XLOOKUP($A548,CSV!$A:$A,CSV!D:D,""),
_xlpm.MacVal,_xlfn.XLOOKUP($A548,Output_Mac!$A:$A,Output_Mac!C:C,""),
_xlpm.MyAuditVal,_xlfn.XLOOKUP($A548,My_Audit!$A:$A,My_Audit!C:C,""),
_xlfn.IFS(_xlpm.MyAuditVal&lt;&gt;"",_xlpm.MyAuditVal,_xlpm.MacVal&lt;&gt;"",_xlpm.MacVal,_xlpm.CSVVal&lt;&gt;"",_xlpm.CSVVal
)),"")</f>
        <v/>
      </c>
      <c r="E548" s="2" t="str">
        <f>_xlfn.XLOOKUP(A548,My_Audit!A:A,My_Audit!D:D,"")&amp;""</f>
        <v/>
      </c>
      <c r="F548" s="2" t="str" cm="1">
        <f t="array" ref="F548">IFERROR(_xlfn.LET(
_xlpm.CSVVal,_xlfn.XLOOKUP($A548,CSV!$A:$A,CSV!F:F,""),
_xlpm.MacVal,_xlfn.XLOOKUP($A548,Output_Mac!$A:$A,Output_Mac!E:E,""),
_xlpm.MyAuditVal,_xlfn.XLOOKUP($A548,My_Audit!$A:$A,My_Audit!E:E,""),
_xlfn.IFS(_xlpm.MyAuditVal&lt;&gt;"",_xlpm.MyAuditVal,_xlpm.MacVal&lt;&gt;"",_xlpm.MacVal,_xlpm.CSVVal&lt;&gt;"",_xlpm.CSVVal
)),"")</f>
        <v/>
      </c>
      <c r="G548" s="2" t="str" cm="1">
        <f t="array" ref="G548">IFERROR(_xlfn.LET(
_xlpm.CSVVal,_xlfn.XLOOKUP($A548,CSV!$A:$A,CSV!G:G,""),
_xlpm.MacVal,_xlfn.XLOOKUP($A548,Output_Mac!$A:$A,Output_Mac!F:F,""),
_xlpm.MyAuditVal,_xlfn.XLOOKUP($A548,My_Audit!$A:$A,My_Audit!F:F,""),
_xlfn.IFS(_xlpm.MyAuditVal&lt;&gt;"",_xlpm.MyAuditVal,_xlpm.MacVal&lt;&gt;"",_xlpm.MacVal,_xlpm.CSVVal&lt;&gt;"",PROPER(_xlpm.CSVVal)
)),"")</f>
        <v/>
      </c>
      <c r="H548" s="2" t="str" cm="1">
        <f t="array" ref="H548">IFERROR(_xlfn.LET(
_xlpm.CSVVal,_xlfn.XLOOKUP($A548,CSV!$A:$A,CSV!H:H,""),
_xlpm.MacVal,_xlfn.XLOOKUP($A548,Output_Mac!$A:$A,Output_Mac!H:H,""),
_xlpm.MyAuditVal,_xlfn.XLOOKUP($A548,My_Audit!$A:$A,My_Audit!G:G,""),
_xlfn.IFS(_xlpm.MyAuditVal&lt;&gt;"",_xlpm.MyAuditVal,_xlpm.MacVal&lt;&gt;"",_xlpm.MacVal,_xlpm.CSVVal&lt;&gt;"",_xlpm.CSVVal
)),"")</f>
        <v/>
      </c>
      <c r="I548" s="2" t="str">
        <f>_xlfn.XLOOKUP(A548,Output_Mac!A:A,Output_Mac!I:I,"")</f>
        <v/>
      </c>
      <c r="J548" s="2" t="str" cm="1">
        <f t="array" ref="J548">IFERROR(_xlfn.LET(
_xlpm.CSVVal,_xlfn.XLOOKUP($A548,CSV!$A:$A,CSV!I:I,""),
_xlpm.MacVal,_xlfn.XLOOKUP($A548,Output_Mac!$A:$A,Output_Mac!J:J,""),
_xlpm.MyAuditVal,_xlfn.XLOOKUP($A548,My_Audit!$A:$A,My_Audit!I:I,""),
_xlfn.IFS(_xlpm.MyAuditVal&lt;&gt;"",UPPER(_xlpm.MyAuditVal),_xlpm.MacVal&lt;&gt;"",_xlpm.MacVal,_xlpm.CSVVal&lt;&gt;"",_xlpm.CSVVal
)),"")</f>
        <v/>
      </c>
      <c r="K548" s="2" t="str" cm="1">
        <f t="array" ref="K548">IFERROR(_xlfn.LET(
_xlpm.CSVVal,_xlfn.XLOOKUP($A548,CSV!$A:$A,CSV!K:K,""),
_xlpm.MacVal,_xlfn.XLOOKUP($A548,Output_Mac!$A:$A,Output_Mac!K:K,""),
_xlpm.MyAuditVal,_xlfn.XLOOKUP($A548,My_Audit!$A:$A,My_Audit!J:J,""),
_xlfn.IFS(_xlpm.MyAuditVal&lt;&gt;"",UPPER(_xlpm.MyAuditVal),_xlpm.MacVal&lt;&gt;"",_xlpm.MacVal,_xlpm.CSVVal&lt;&gt;"",_xlpm.CSVVal
)),"")</f>
        <v/>
      </c>
      <c r="L548" s="2" t="str" cm="1">
        <f t="array" ref="L548">IFERROR(_xlfn.LET(
_xlpm.CSVVal,_xlfn.XLOOKUP($A548,CSV!$A:$A,CSV!P:P,""),
_xlpm.MacVal,_xlfn.XLOOKUP($A548,Output_Mac!$A:$A,Output_Mac!L:L,""),
_xlpm.MyAuditVal,_xlfn.XLOOKUP($A548,My_Audit!$A:$A,My_Audit!K:K,""),
_xlfn.IFS(_xlpm.MyAuditVal&lt;&gt;"",UPPER(_xlpm.MyAuditVal),_xlpm.MacVal&lt;&gt;"",_xlpm.MacVal,_xlpm.CSVVal&lt;&gt;"",_xlpm.CSVVal
)),"")</f>
        <v/>
      </c>
      <c r="M548" s="2" t="str" cm="1">
        <f t="array" ref="M548">IFERROR(_xlfn.LET(
_xlpm.CSVVal,_xlfn.XLOOKUP($A548,CSV!$A:$A,CSV!Q:Q,""),
_xlpm.MacVal,_xlfn.XLOOKUP($A548,Output_Mac!$A:$A,Output_Mac!M:M,""),
_xlpm.MyAuditVal,_xlfn.XLOOKUP($A548,My_Audit!$A:$A,My_Audit!L:L,""),
_xlfn.IFS(_xlpm.MyAuditVal&lt;&gt;"",UPPER(_xlpm.MyAuditVal),_xlpm.MacVal&lt;&gt;"",_xlpm.MacVal,_xlpm.CSVVal&lt;&gt;"",_xlpm.CSVVal
)),"")</f>
        <v/>
      </c>
      <c r="O548" s="2" t="str">
        <f>_xlfn.LET(
    _xlpm.CSVVal, _xlfn.XLOOKUP($A548, CSV!$A:$A, CSV!AF:AF, ""),
    _xlpm.MacVal, _xlfn.XLOOKUP($A548, Output_Mac!$A:$A, Output_Mac!S:S, ""),
    _xlpm.MyAuditVal, _xlfn.XLOOKUP($A548, My_Audit!$A:$A, My_Audit!P:P, ""),
    _xlfn.TEXTJOIN(", ", TRUE, _xlpm.MyAuditVal, _xlpm.MacVal, _xlpm.CSVVal)
)</f>
        <v/>
      </c>
      <c r="P548" s="2" t="str" cm="1">
        <f t="array" ref="P548">IFERROR(_xlfn.LET(
_xlpm.CSVVal,_xlfn.XLOOKUP($A548,CSV!$A:$A,CSV!AG:AG,""),
_xlpm.MacVal,_xlfn.XLOOKUP($A548,Output_Mac!$A:$A,Output_Mac!T:T,""),
_xlpm.MyAuditVal,_xlfn.XLOOKUP($A548,My_Audit!$A:$A,My_Audit!Q:Q,""),
_xlfn.IFS(_xlpm.MyAuditVal&lt;&gt;"",UPPER(_xlpm.MyAuditVal),_xlpm.MacVal&lt;&gt;"",_xlpm.MacVal,_xlpm.CSVVal&lt;&gt;"",_xlpm.CSVVal
)),"No")</f>
        <v>No</v>
      </c>
      <c r="Q548" s="2" t="str" cm="1">
        <f t="array" ref="Q548">IFERROR(_xlfn.LET(
_xlpm.CSVVal,_xlfn.XLOOKUP($A548,CSV!$A:$A,CSV!AH:AH,""),
_xlpm.MacVal,_xlfn.XLOOKUP($A548,Output_Mac!$A:$A,Output_Mac!U:U,""),
_xlpm.MyAuditVal,_xlfn.XLOOKUP($A548,My_Audit!$A:$A,My_Audit!R:R,""),
_xlfn.IFS(_xlpm.MyAuditVal&lt;&gt;"",UPPER(_xlpm.MyAuditVal),_xlpm.MacVal&lt;&gt;"",_xlpm.MacVal,_xlpm.CSVVal&lt;&gt;"",_xlpm.CSVVal
)),"")</f>
        <v/>
      </c>
    </row>
    <row r="549" spans="1:17">
      <c r="A549" s="2" t="str">
        <f>_xlfn.TEXTJOIN("",TRUE,Input!$B$2,ROW(My_Audit!A548))</f>
        <v>XX548</v>
      </c>
      <c r="B549" s="2" t="str">
        <f>_xlfn.TEXTJOIN("-",TRUE,"ITD",Input!$A$2,A549)</f>
        <v>ITD-SHRXXX-XX548</v>
      </c>
      <c r="C549" s="2" t="str" cm="1">
        <f t="array" ref="C549">IFERROR(_xlfn.LET(
_xlpm.CSVVal,_xlfn.XLOOKUP($A549,CSV!$A:$A,CSV!B:B,""),
_xlpm.MacVal,_xlfn.XLOOKUP($A549,Output_Mac!$A:$A,Output_Mac!B:B,""),
_xlpm.MyAuditVal,_xlfn.XLOOKUP($A549,My_Audit!$A:$A,My_Audit!B:B,""),
_xlfn.IFS(_xlpm.MyAuditVal&lt;&gt;"",UPPER(_xlpm.MyAuditVal),_xlpm.MacVal&lt;&gt;"",_xlpm.MacVal,_xlpm.CSVVal&lt;&gt;"",_xlpm.CSVVal
)),"")</f>
        <v/>
      </c>
      <c r="D549" s="2" t="str" cm="1">
        <f t="array" ref="D549">IFERROR(_xlfn.LET(
_xlpm.CSVVal,_xlfn.XLOOKUP($A549,CSV!$A:$A,CSV!D:D,""),
_xlpm.MacVal,_xlfn.XLOOKUP($A549,Output_Mac!$A:$A,Output_Mac!C:C,""),
_xlpm.MyAuditVal,_xlfn.XLOOKUP($A549,My_Audit!$A:$A,My_Audit!C:C,""),
_xlfn.IFS(_xlpm.MyAuditVal&lt;&gt;"",_xlpm.MyAuditVal,_xlpm.MacVal&lt;&gt;"",_xlpm.MacVal,_xlpm.CSVVal&lt;&gt;"",_xlpm.CSVVal
)),"")</f>
        <v/>
      </c>
      <c r="E549" s="2" t="str">
        <f>_xlfn.XLOOKUP(A549,My_Audit!A:A,My_Audit!D:D,"")&amp;""</f>
        <v/>
      </c>
      <c r="F549" s="2" t="str" cm="1">
        <f t="array" ref="F549">IFERROR(_xlfn.LET(
_xlpm.CSVVal,_xlfn.XLOOKUP($A549,CSV!$A:$A,CSV!F:F,""),
_xlpm.MacVal,_xlfn.XLOOKUP($A549,Output_Mac!$A:$A,Output_Mac!E:E,""),
_xlpm.MyAuditVal,_xlfn.XLOOKUP($A549,My_Audit!$A:$A,My_Audit!E:E,""),
_xlfn.IFS(_xlpm.MyAuditVal&lt;&gt;"",_xlpm.MyAuditVal,_xlpm.MacVal&lt;&gt;"",_xlpm.MacVal,_xlpm.CSVVal&lt;&gt;"",_xlpm.CSVVal
)),"")</f>
        <v/>
      </c>
      <c r="G549" s="2" t="str" cm="1">
        <f t="array" ref="G549">IFERROR(_xlfn.LET(
_xlpm.CSVVal,_xlfn.XLOOKUP($A549,CSV!$A:$A,CSV!G:G,""),
_xlpm.MacVal,_xlfn.XLOOKUP($A549,Output_Mac!$A:$A,Output_Mac!F:F,""),
_xlpm.MyAuditVal,_xlfn.XLOOKUP($A549,My_Audit!$A:$A,My_Audit!F:F,""),
_xlfn.IFS(_xlpm.MyAuditVal&lt;&gt;"",_xlpm.MyAuditVal,_xlpm.MacVal&lt;&gt;"",_xlpm.MacVal,_xlpm.CSVVal&lt;&gt;"",PROPER(_xlpm.CSVVal)
)),"")</f>
        <v/>
      </c>
      <c r="H549" s="2" t="str" cm="1">
        <f t="array" ref="H549">IFERROR(_xlfn.LET(
_xlpm.CSVVal,_xlfn.XLOOKUP($A549,CSV!$A:$A,CSV!H:H,""),
_xlpm.MacVal,_xlfn.XLOOKUP($A549,Output_Mac!$A:$A,Output_Mac!H:H,""),
_xlpm.MyAuditVal,_xlfn.XLOOKUP($A549,My_Audit!$A:$A,My_Audit!G:G,""),
_xlfn.IFS(_xlpm.MyAuditVal&lt;&gt;"",_xlpm.MyAuditVal,_xlpm.MacVal&lt;&gt;"",_xlpm.MacVal,_xlpm.CSVVal&lt;&gt;"",_xlpm.CSVVal
)),"")</f>
        <v/>
      </c>
      <c r="I549" s="2" t="str">
        <f>_xlfn.XLOOKUP(A549,Output_Mac!A:A,Output_Mac!I:I,"")</f>
        <v/>
      </c>
      <c r="J549" s="2" t="str" cm="1">
        <f t="array" ref="J549">IFERROR(_xlfn.LET(
_xlpm.CSVVal,_xlfn.XLOOKUP($A549,CSV!$A:$A,CSV!I:I,""),
_xlpm.MacVal,_xlfn.XLOOKUP($A549,Output_Mac!$A:$A,Output_Mac!J:J,""),
_xlpm.MyAuditVal,_xlfn.XLOOKUP($A549,My_Audit!$A:$A,My_Audit!I:I,""),
_xlfn.IFS(_xlpm.MyAuditVal&lt;&gt;"",UPPER(_xlpm.MyAuditVal),_xlpm.MacVal&lt;&gt;"",_xlpm.MacVal,_xlpm.CSVVal&lt;&gt;"",_xlpm.CSVVal
)),"")</f>
        <v/>
      </c>
      <c r="K549" s="2" t="str" cm="1">
        <f t="array" ref="K549">IFERROR(_xlfn.LET(
_xlpm.CSVVal,_xlfn.XLOOKUP($A549,CSV!$A:$A,CSV!K:K,""),
_xlpm.MacVal,_xlfn.XLOOKUP($A549,Output_Mac!$A:$A,Output_Mac!K:K,""),
_xlpm.MyAuditVal,_xlfn.XLOOKUP($A549,My_Audit!$A:$A,My_Audit!J:J,""),
_xlfn.IFS(_xlpm.MyAuditVal&lt;&gt;"",UPPER(_xlpm.MyAuditVal),_xlpm.MacVal&lt;&gt;"",_xlpm.MacVal,_xlpm.CSVVal&lt;&gt;"",_xlpm.CSVVal
)),"")</f>
        <v/>
      </c>
      <c r="L549" s="2" t="str" cm="1">
        <f t="array" ref="L549">IFERROR(_xlfn.LET(
_xlpm.CSVVal,_xlfn.XLOOKUP($A549,CSV!$A:$A,CSV!P:P,""),
_xlpm.MacVal,_xlfn.XLOOKUP($A549,Output_Mac!$A:$A,Output_Mac!L:L,""),
_xlpm.MyAuditVal,_xlfn.XLOOKUP($A549,My_Audit!$A:$A,My_Audit!K:K,""),
_xlfn.IFS(_xlpm.MyAuditVal&lt;&gt;"",UPPER(_xlpm.MyAuditVal),_xlpm.MacVal&lt;&gt;"",_xlpm.MacVal,_xlpm.CSVVal&lt;&gt;"",_xlpm.CSVVal
)),"")</f>
        <v/>
      </c>
      <c r="M549" s="2" t="str" cm="1">
        <f t="array" ref="M549">IFERROR(_xlfn.LET(
_xlpm.CSVVal,_xlfn.XLOOKUP($A549,CSV!$A:$A,CSV!Q:Q,""),
_xlpm.MacVal,_xlfn.XLOOKUP($A549,Output_Mac!$A:$A,Output_Mac!M:M,""),
_xlpm.MyAuditVal,_xlfn.XLOOKUP($A549,My_Audit!$A:$A,My_Audit!L:L,""),
_xlfn.IFS(_xlpm.MyAuditVal&lt;&gt;"",UPPER(_xlpm.MyAuditVal),_xlpm.MacVal&lt;&gt;"",_xlpm.MacVal,_xlpm.CSVVal&lt;&gt;"",_xlpm.CSVVal
)),"")</f>
        <v/>
      </c>
      <c r="O549" s="2" t="str">
        <f>_xlfn.LET(
    _xlpm.CSVVal, _xlfn.XLOOKUP($A549, CSV!$A:$A, CSV!AF:AF, ""),
    _xlpm.MacVal, _xlfn.XLOOKUP($A549, Output_Mac!$A:$A, Output_Mac!S:S, ""),
    _xlpm.MyAuditVal, _xlfn.XLOOKUP($A549, My_Audit!$A:$A, My_Audit!P:P, ""),
    _xlfn.TEXTJOIN(", ", TRUE, _xlpm.MyAuditVal, _xlpm.MacVal, _xlpm.CSVVal)
)</f>
        <v/>
      </c>
      <c r="P549" s="2" t="str" cm="1">
        <f t="array" ref="P549">IFERROR(_xlfn.LET(
_xlpm.CSVVal,_xlfn.XLOOKUP($A549,CSV!$A:$A,CSV!AG:AG,""),
_xlpm.MacVal,_xlfn.XLOOKUP($A549,Output_Mac!$A:$A,Output_Mac!T:T,""),
_xlpm.MyAuditVal,_xlfn.XLOOKUP($A549,My_Audit!$A:$A,My_Audit!Q:Q,""),
_xlfn.IFS(_xlpm.MyAuditVal&lt;&gt;"",UPPER(_xlpm.MyAuditVal),_xlpm.MacVal&lt;&gt;"",_xlpm.MacVal,_xlpm.CSVVal&lt;&gt;"",_xlpm.CSVVal
)),"No")</f>
        <v>No</v>
      </c>
      <c r="Q549" s="2" t="str" cm="1">
        <f t="array" ref="Q549">IFERROR(_xlfn.LET(
_xlpm.CSVVal,_xlfn.XLOOKUP($A549,CSV!$A:$A,CSV!AH:AH,""),
_xlpm.MacVal,_xlfn.XLOOKUP($A549,Output_Mac!$A:$A,Output_Mac!U:U,""),
_xlpm.MyAuditVal,_xlfn.XLOOKUP($A549,My_Audit!$A:$A,My_Audit!R:R,""),
_xlfn.IFS(_xlpm.MyAuditVal&lt;&gt;"",UPPER(_xlpm.MyAuditVal),_xlpm.MacVal&lt;&gt;"",_xlpm.MacVal,_xlpm.CSVVal&lt;&gt;"",_xlpm.CSVVal
)),"")</f>
        <v/>
      </c>
    </row>
    <row r="550" spans="1:17">
      <c r="A550" s="2" t="str">
        <f>_xlfn.TEXTJOIN("",TRUE,Input!$B$2,ROW(My_Audit!A549))</f>
        <v>XX549</v>
      </c>
      <c r="B550" s="2" t="str">
        <f>_xlfn.TEXTJOIN("-",TRUE,"ITD",Input!$A$2,A550)</f>
        <v>ITD-SHRXXX-XX549</v>
      </c>
      <c r="C550" s="2" t="str" cm="1">
        <f t="array" ref="C550">IFERROR(_xlfn.LET(
_xlpm.CSVVal,_xlfn.XLOOKUP($A550,CSV!$A:$A,CSV!B:B,""),
_xlpm.MacVal,_xlfn.XLOOKUP($A550,Output_Mac!$A:$A,Output_Mac!B:B,""),
_xlpm.MyAuditVal,_xlfn.XLOOKUP($A550,My_Audit!$A:$A,My_Audit!B:B,""),
_xlfn.IFS(_xlpm.MyAuditVal&lt;&gt;"",UPPER(_xlpm.MyAuditVal),_xlpm.MacVal&lt;&gt;"",_xlpm.MacVal,_xlpm.CSVVal&lt;&gt;"",_xlpm.CSVVal
)),"")</f>
        <v/>
      </c>
      <c r="D550" s="2" t="str" cm="1">
        <f t="array" ref="D550">IFERROR(_xlfn.LET(
_xlpm.CSVVal,_xlfn.XLOOKUP($A550,CSV!$A:$A,CSV!D:D,""),
_xlpm.MacVal,_xlfn.XLOOKUP($A550,Output_Mac!$A:$A,Output_Mac!C:C,""),
_xlpm.MyAuditVal,_xlfn.XLOOKUP($A550,My_Audit!$A:$A,My_Audit!C:C,""),
_xlfn.IFS(_xlpm.MyAuditVal&lt;&gt;"",_xlpm.MyAuditVal,_xlpm.MacVal&lt;&gt;"",_xlpm.MacVal,_xlpm.CSVVal&lt;&gt;"",_xlpm.CSVVal
)),"")</f>
        <v/>
      </c>
      <c r="E550" s="2" t="str">
        <f>_xlfn.XLOOKUP(A550,My_Audit!A:A,My_Audit!D:D,"")&amp;""</f>
        <v/>
      </c>
      <c r="F550" s="2" t="str" cm="1">
        <f t="array" ref="F550">IFERROR(_xlfn.LET(
_xlpm.CSVVal,_xlfn.XLOOKUP($A550,CSV!$A:$A,CSV!F:F,""),
_xlpm.MacVal,_xlfn.XLOOKUP($A550,Output_Mac!$A:$A,Output_Mac!E:E,""),
_xlpm.MyAuditVal,_xlfn.XLOOKUP($A550,My_Audit!$A:$A,My_Audit!E:E,""),
_xlfn.IFS(_xlpm.MyAuditVal&lt;&gt;"",_xlpm.MyAuditVal,_xlpm.MacVal&lt;&gt;"",_xlpm.MacVal,_xlpm.CSVVal&lt;&gt;"",_xlpm.CSVVal
)),"")</f>
        <v/>
      </c>
      <c r="G550" s="2" t="str" cm="1">
        <f t="array" ref="G550">IFERROR(_xlfn.LET(
_xlpm.CSVVal,_xlfn.XLOOKUP($A550,CSV!$A:$A,CSV!G:G,""),
_xlpm.MacVal,_xlfn.XLOOKUP($A550,Output_Mac!$A:$A,Output_Mac!F:F,""),
_xlpm.MyAuditVal,_xlfn.XLOOKUP($A550,My_Audit!$A:$A,My_Audit!F:F,""),
_xlfn.IFS(_xlpm.MyAuditVal&lt;&gt;"",_xlpm.MyAuditVal,_xlpm.MacVal&lt;&gt;"",_xlpm.MacVal,_xlpm.CSVVal&lt;&gt;"",PROPER(_xlpm.CSVVal)
)),"")</f>
        <v/>
      </c>
      <c r="H550" s="2" t="str" cm="1">
        <f t="array" ref="H550">IFERROR(_xlfn.LET(
_xlpm.CSVVal,_xlfn.XLOOKUP($A550,CSV!$A:$A,CSV!H:H,""),
_xlpm.MacVal,_xlfn.XLOOKUP($A550,Output_Mac!$A:$A,Output_Mac!H:H,""),
_xlpm.MyAuditVal,_xlfn.XLOOKUP($A550,My_Audit!$A:$A,My_Audit!G:G,""),
_xlfn.IFS(_xlpm.MyAuditVal&lt;&gt;"",_xlpm.MyAuditVal,_xlpm.MacVal&lt;&gt;"",_xlpm.MacVal,_xlpm.CSVVal&lt;&gt;"",_xlpm.CSVVal
)),"")</f>
        <v/>
      </c>
      <c r="I550" s="2" t="str">
        <f>_xlfn.XLOOKUP(A550,Output_Mac!A:A,Output_Mac!I:I,"")</f>
        <v/>
      </c>
      <c r="J550" s="2" t="str" cm="1">
        <f t="array" ref="J550">IFERROR(_xlfn.LET(
_xlpm.CSVVal,_xlfn.XLOOKUP($A550,CSV!$A:$A,CSV!I:I,""),
_xlpm.MacVal,_xlfn.XLOOKUP($A550,Output_Mac!$A:$A,Output_Mac!J:J,""),
_xlpm.MyAuditVal,_xlfn.XLOOKUP($A550,My_Audit!$A:$A,My_Audit!I:I,""),
_xlfn.IFS(_xlpm.MyAuditVal&lt;&gt;"",UPPER(_xlpm.MyAuditVal),_xlpm.MacVal&lt;&gt;"",_xlpm.MacVal,_xlpm.CSVVal&lt;&gt;"",_xlpm.CSVVal
)),"")</f>
        <v/>
      </c>
      <c r="K550" s="2" t="str" cm="1">
        <f t="array" ref="K550">IFERROR(_xlfn.LET(
_xlpm.CSVVal,_xlfn.XLOOKUP($A550,CSV!$A:$A,CSV!K:K,""),
_xlpm.MacVal,_xlfn.XLOOKUP($A550,Output_Mac!$A:$A,Output_Mac!K:K,""),
_xlpm.MyAuditVal,_xlfn.XLOOKUP($A550,My_Audit!$A:$A,My_Audit!J:J,""),
_xlfn.IFS(_xlpm.MyAuditVal&lt;&gt;"",UPPER(_xlpm.MyAuditVal),_xlpm.MacVal&lt;&gt;"",_xlpm.MacVal,_xlpm.CSVVal&lt;&gt;"",_xlpm.CSVVal
)),"")</f>
        <v/>
      </c>
      <c r="L550" s="2" t="str" cm="1">
        <f t="array" ref="L550">IFERROR(_xlfn.LET(
_xlpm.CSVVal,_xlfn.XLOOKUP($A550,CSV!$A:$A,CSV!P:P,""),
_xlpm.MacVal,_xlfn.XLOOKUP($A550,Output_Mac!$A:$A,Output_Mac!L:L,""),
_xlpm.MyAuditVal,_xlfn.XLOOKUP($A550,My_Audit!$A:$A,My_Audit!K:K,""),
_xlfn.IFS(_xlpm.MyAuditVal&lt;&gt;"",UPPER(_xlpm.MyAuditVal),_xlpm.MacVal&lt;&gt;"",_xlpm.MacVal,_xlpm.CSVVal&lt;&gt;"",_xlpm.CSVVal
)),"")</f>
        <v/>
      </c>
      <c r="M550" s="2" t="str" cm="1">
        <f t="array" ref="M550">IFERROR(_xlfn.LET(
_xlpm.CSVVal,_xlfn.XLOOKUP($A550,CSV!$A:$A,CSV!Q:Q,""),
_xlpm.MacVal,_xlfn.XLOOKUP($A550,Output_Mac!$A:$A,Output_Mac!M:M,""),
_xlpm.MyAuditVal,_xlfn.XLOOKUP($A550,My_Audit!$A:$A,My_Audit!L:L,""),
_xlfn.IFS(_xlpm.MyAuditVal&lt;&gt;"",UPPER(_xlpm.MyAuditVal),_xlpm.MacVal&lt;&gt;"",_xlpm.MacVal,_xlpm.CSVVal&lt;&gt;"",_xlpm.CSVVal
)),"")</f>
        <v/>
      </c>
      <c r="O550" s="2" t="str">
        <f>_xlfn.LET(
    _xlpm.CSVVal, _xlfn.XLOOKUP($A550, CSV!$A:$A, CSV!AF:AF, ""),
    _xlpm.MacVal, _xlfn.XLOOKUP($A550, Output_Mac!$A:$A, Output_Mac!S:S, ""),
    _xlpm.MyAuditVal, _xlfn.XLOOKUP($A550, My_Audit!$A:$A, My_Audit!P:P, ""),
    _xlfn.TEXTJOIN(", ", TRUE, _xlpm.MyAuditVal, _xlpm.MacVal, _xlpm.CSVVal)
)</f>
        <v/>
      </c>
      <c r="P550" s="2" t="str" cm="1">
        <f t="array" ref="P550">IFERROR(_xlfn.LET(
_xlpm.CSVVal,_xlfn.XLOOKUP($A550,CSV!$A:$A,CSV!AG:AG,""),
_xlpm.MacVal,_xlfn.XLOOKUP($A550,Output_Mac!$A:$A,Output_Mac!T:T,""),
_xlpm.MyAuditVal,_xlfn.XLOOKUP($A550,My_Audit!$A:$A,My_Audit!Q:Q,""),
_xlfn.IFS(_xlpm.MyAuditVal&lt;&gt;"",UPPER(_xlpm.MyAuditVal),_xlpm.MacVal&lt;&gt;"",_xlpm.MacVal,_xlpm.CSVVal&lt;&gt;"",_xlpm.CSVVal
)),"No")</f>
        <v>No</v>
      </c>
      <c r="Q550" s="2" t="str" cm="1">
        <f t="array" ref="Q550">IFERROR(_xlfn.LET(
_xlpm.CSVVal,_xlfn.XLOOKUP($A550,CSV!$A:$A,CSV!AH:AH,""),
_xlpm.MacVal,_xlfn.XLOOKUP($A550,Output_Mac!$A:$A,Output_Mac!U:U,""),
_xlpm.MyAuditVal,_xlfn.XLOOKUP($A550,My_Audit!$A:$A,My_Audit!R:R,""),
_xlfn.IFS(_xlpm.MyAuditVal&lt;&gt;"",UPPER(_xlpm.MyAuditVal),_xlpm.MacVal&lt;&gt;"",_xlpm.MacVal,_xlpm.CSVVal&lt;&gt;"",_xlpm.CSVVal
)),"")</f>
        <v/>
      </c>
    </row>
    <row r="551" spans="1:17">
      <c r="A551" s="2" t="str">
        <f>_xlfn.TEXTJOIN("",TRUE,Input!$B$2,ROW(My_Audit!A550))</f>
        <v>XX550</v>
      </c>
      <c r="B551" s="2" t="str">
        <f>_xlfn.TEXTJOIN("-",TRUE,"ITD",Input!$A$2,A551)</f>
        <v>ITD-SHRXXX-XX550</v>
      </c>
      <c r="C551" s="2" t="str" cm="1">
        <f t="array" ref="C551">IFERROR(_xlfn.LET(
_xlpm.CSVVal,_xlfn.XLOOKUP($A551,CSV!$A:$A,CSV!B:B,""),
_xlpm.MacVal,_xlfn.XLOOKUP($A551,Output_Mac!$A:$A,Output_Mac!B:B,""),
_xlpm.MyAuditVal,_xlfn.XLOOKUP($A551,My_Audit!$A:$A,My_Audit!B:B,""),
_xlfn.IFS(_xlpm.MyAuditVal&lt;&gt;"",UPPER(_xlpm.MyAuditVal),_xlpm.MacVal&lt;&gt;"",_xlpm.MacVal,_xlpm.CSVVal&lt;&gt;"",_xlpm.CSVVal
)),"")</f>
        <v/>
      </c>
      <c r="D551" s="2" t="str" cm="1">
        <f t="array" ref="D551">IFERROR(_xlfn.LET(
_xlpm.CSVVal,_xlfn.XLOOKUP($A551,CSV!$A:$A,CSV!D:D,""),
_xlpm.MacVal,_xlfn.XLOOKUP($A551,Output_Mac!$A:$A,Output_Mac!C:C,""),
_xlpm.MyAuditVal,_xlfn.XLOOKUP($A551,My_Audit!$A:$A,My_Audit!C:C,""),
_xlfn.IFS(_xlpm.MyAuditVal&lt;&gt;"",_xlpm.MyAuditVal,_xlpm.MacVal&lt;&gt;"",_xlpm.MacVal,_xlpm.CSVVal&lt;&gt;"",_xlpm.CSVVal
)),"")</f>
        <v/>
      </c>
      <c r="E551" s="2" t="str">
        <f>_xlfn.XLOOKUP(A551,My_Audit!A:A,My_Audit!D:D,"")&amp;""</f>
        <v/>
      </c>
      <c r="F551" s="2" t="str" cm="1">
        <f t="array" ref="F551">IFERROR(_xlfn.LET(
_xlpm.CSVVal,_xlfn.XLOOKUP($A551,CSV!$A:$A,CSV!F:F,""),
_xlpm.MacVal,_xlfn.XLOOKUP($A551,Output_Mac!$A:$A,Output_Mac!E:E,""),
_xlpm.MyAuditVal,_xlfn.XLOOKUP($A551,My_Audit!$A:$A,My_Audit!E:E,""),
_xlfn.IFS(_xlpm.MyAuditVal&lt;&gt;"",_xlpm.MyAuditVal,_xlpm.MacVal&lt;&gt;"",_xlpm.MacVal,_xlpm.CSVVal&lt;&gt;"",_xlpm.CSVVal
)),"")</f>
        <v/>
      </c>
      <c r="G551" s="2" t="str" cm="1">
        <f t="array" ref="G551">IFERROR(_xlfn.LET(
_xlpm.CSVVal,_xlfn.XLOOKUP($A551,CSV!$A:$A,CSV!G:G,""),
_xlpm.MacVal,_xlfn.XLOOKUP($A551,Output_Mac!$A:$A,Output_Mac!F:F,""),
_xlpm.MyAuditVal,_xlfn.XLOOKUP($A551,My_Audit!$A:$A,My_Audit!F:F,""),
_xlfn.IFS(_xlpm.MyAuditVal&lt;&gt;"",_xlpm.MyAuditVal,_xlpm.MacVal&lt;&gt;"",_xlpm.MacVal,_xlpm.CSVVal&lt;&gt;"",PROPER(_xlpm.CSVVal)
)),"")</f>
        <v/>
      </c>
      <c r="H551" s="2" t="str" cm="1">
        <f t="array" ref="H551">IFERROR(_xlfn.LET(
_xlpm.CSVVal,_xlfn.XLOOKUP($A551,CSV!$A:$A,CSV!H:H,""),
_xlpm.MacVal,_xlfn.XLOOKUP($A551,Output_Mac!$A:$A,Output_Mac!H:H,""),
_xlpm.MyAuditVal,_xlfn.XLOOKUP($A551,My_Audit!$A:$A,My_Audit!G:G,""),
_xlfn.IFS(_xlpm.MyAuditVal&lt;&gt;"",_xlpm.MyAuditVal,_xlpm.MacVal&lt;&gt;"",_xlpm.MacVal,_xlpm.CSVVal&lt;&gt;"",_xlpm.CSVVal
)),"")</f>
        <v/>
      </c>
      <c r="I551" s="2" t="str">
        <f>_xlfn.XLOOKUP(A551,Output_Mac!A:A,Output_Mac!I:I,"")</f>
        <v/>
      </c>
      <c r="J551" s="2" t="str" cm="1">
        <f t="array" ref="J551">IFERROR(_xlfn.LET(
_xlpm.CSVVal,_xlfn.XLOOKUP($A551,CSV!$A:$A,CSV!I:I,""),
_xlpm.MacVal,_xlfn.XLOOKUP($A551,Output_Mac!$A:$A,Output_Mac!J:J,""),
_xlpm.MyAuditVal,_xlfn.XLOOKUP($A551,My_Audit!$A:$A,My_Audit!I:I,""),
_xlfn.IFS(_xlpm.MyAuditVal&lt;&gt;"",UPPER(_xlpm.MyAuditVal),_xlpm.MacVal&lt;&gt;"",_xlpm.MacVal,_xlpm.CSVVal&lt;&gt;"",_xlpm.CSVVal
)),"")</f>
        <v/>
      </c>
      <c r="K551" s="2" t="str" cm="1">
        <f t="array" ref="K551">IFERROR(_xlfn.LET(
_xlpm.CSVVal,_xlfn.XLOOKUP($A551,CSV!$A:$A,CSV!K:K,""),
_xlpm.MacVal,_xlfn.XLOOKUP($A551,Output_Mac!$A:$A,Output_Mac!K:K,""),
_xlpm.MyAuditVal,_xlfn.XLOOKUP($A551,My_Audit!$A:$A,My_Audit!J:J,""),
_xlfn.IFS(_xlpm.MyAuditVal&lt;&gt;"",UPPER(_xlpm.MyAuditVal),_xlpm.MacVal&lt;&gt;"",_xlpm.MacVal,_xlpm.CSVVal&lt;&gt;"",_xlpm.CSVVal
)),"")</f>
        <v/>
      </c>
      <c r="L551" s="2" t="str" cm="1">
        <f t="array" ref="L551">IFERROR(_xlfn.LET(
_xlpm.CSVVal,_xlfn.XLOOKUP($A551,CSV!$A:$A,CSV!P:P,""),
_xlpm.MacVal,_xlfn.XLOOKUP($A551,Output_Mac!$A:$A,Output_Mac!L:L,""),
_xlpm.MyAuditVal,_xlfn.XLOOKUP($A551,My_Audit!$A:$A,My_Audit!K:K,""),
_xlfn.IFS(_xlpm.MyAuditVal&lt;&gt;"",UPPER(_xlpm.MyAuditVal),_xlpm.MacVal&lt;&gt;"",_xlpm.MacVal,_xlpm.CSVVal&lt;&gt;"",_xlpm.CSVVal
)),"")</f>
        <v/>
      </c>
      <c r="M551" s="2" t="str" cm="1">
        <f t="array" ref="M551">IFERROR(_xlfn.LET(
_xlpm.CSVVal,_xlfn.XLOOKUP($A551,CSV!$A:$A,CSV!Q:Q,""),
_xlpm.MacVal,_xlfn.XLOOKUP($A551,Output_Mac!$A:$A,Output_Mac!M:M,""),
_xlpm.MyAuditVal,_xlfn.XLOOKUP($A551,My_Audit!$A:$A,My_Audit!L:L,""),
_xlfn.IFS(_xlpm.MyAuditVal&lt;&gt;"",UPPER(_xlpm.MyAuditVal),_xlpm.MacVal&lt;&gt;"",_xlpm.MacVal,_xlpm.CSVVal&lt;&gt;"",_xlpm.CSVVal
)),"")</f>
        <v/>
      </c>
      <c r="O551" s="2" t="str">
        <f>_xlfn.LET(
    _xlpm.CSVVal, _xlfn.XLOOKUP($A551, CSV!$A:$A, CSV!AF:AF, ""),
    _xlpm.MacVal, _xlfn.XLOOKUP($A551, Output_Mac!$A:$A, Output_Mac!S:S, ""),
    _xlpm.MyAuditVal, _xlfn.XLOOKUP($A551, My_Audit!$A:$A, My_Audit!P:P, ""),
    _xlfn.TEXTJOIN(", ", TRUE, _xlpm.MyAuditVal, _xlpm.MacVal, _xlpm.CSVVal)
)</f>
        <v/>
      </c>
      <c r="P551" s="2" t="str" cm="1">
        <f t="array" ref="P551">IFERROR(_xlfn.LET(
_xlpm.CSVVal,_xlfn.XLOOKUP($A551,CSV!$A:$A,CSV!AG:AG,""),
_xlpm.MacVal,_xlfn.XLOOKUP($A551,Output_Mac!$A:$A,Output_Mac!T:T,""),
_xlpm.MyAuditVal,_xlfn.XLOOKUP($A551,My_Audit!$A:$A,My_Audit!Q:Q,""),
_xlfn.IFS(_xlpm.MyAuditVal&lt;&gt;"",UPPER(_xlpm.MyAuditVal),_xlpm.MacVal&lt;&gt;"",_xlpm.MacVal,_xlpm.CSVVal&lt;&gt;"",_xlpm.CSVVal
)),"No")</f>
        <v>No</v>
      </c>
      <c r="Q551" s="2" t="str" cm="1">
        <f t="array" ref="Q551">IFERROR(_xlfn.LET(
_xlpm.CSVVal,_xlfn.XLOOKUP($A551,CSV!$A:$A,CSV!AH:AH,""),
_xlpm.MacVal,_xlfn.XLOOKUP($A551,Output_Mac!$A:$A,Output_Mac!U:U,""),
_xlpm.MyAuditVal,_xlfn.XLOOKUP($A551,My_Audit!$A:$A,My_Audit!R:R,""),
_xlfn.IFS(_xlpm.MyAuditVal&lt;&gt;"",UPPER(_xlpm.MyAuditVal),_xlpm.MacVal&lt;&gt;"",_xlpm.MacVal,_xlpm.CSVVal&lt;&gt;"",_xlpm.CSVVal
)),"")</f>
        <v/>
      </c>
    </row>
    <row r="552" spans="1:17">
      <c r="A552" s="2" t="str">
        <f>_xlfn.TEXTJOIN("",TRUE,Input!$B$2,ROW(My_Audit!A551))</f>
        <v>XX551</v>
      </c>
      <c r="B552" s="2" t="str">
        <f>_xlfn.TEXTJOIN("-",TRUE,"ITD",Input!$A$2,A552)</f>
        <v>ITD-SHRXXX-XX551</v>
      </c>
      <c r="C552" s="2" t="str" cm="1">
        <f t="array" ref="C552">IFERROR(_xlfn.LET(
_xlpm.CSVVal,_xlfn.XLOOKUP($A552,CSV!$A:$A,CSV!B:B,""),
_xlpm.MacVal,_xlfn.XLOOKUP($A552,Output_Mac!$A:$A,Output_Mac!B:B,""),
_xlpm.MyAuditVal,_xlfn.XLOOKUP($A552,My_Audit!$A:$A,My_Audit!B:B,""),
_xlfn.IFS(_xlpm.MyAuditVal&lt;&gt;"",UPPER(_xlpm.MyAuditVal),_xlpm.MacVal&lt;&gt;"",_xlpm.MacVal,_xlpm.CSVVal&lt;&gt;"",_xlpm.CSVVal
)),"")</f>
        <v/>
      </c>
      <c r="D552" s="2" t="str" cm="1">
        <f t="array" ref="D552">IFERROR(_xlfn.LET(
_xlpm.CSVVal,_xlfn.XLOOKUP($A552,CSV!$A:$A,CSV!D:D,""),
_xlpm.MacVal,_xlfn.XLOOKUP($A552,Output_Mac!$A:$A,Output_Mac!C:C,""),
_xlpm.MyAuditVal,_xlfn.XLOOKUP($A552,My_Audit!$A:$A,My_Audit!C:C,""),
_xlfn.IFS(_xlpm.MyAuditVal&lt;&gt;"",_xlpm.MyAuditVal,_xlpm.MacVal&lt;&gt;"",_xlpm.MacVal,_xlpm.CSVVal&lt;&gt;"",_xlpm.CSVVal
)),"")</f>
        <v/>
      </c>
      <c r="E552" s="2" t="str">
        <f>_xlfn.XLOOKUP(A552,My_Audit!A:A,My_Audit!D:D,"")&amp;""</f>
        <v/>
      </c>
      <c r="F552" s="2" t="str" cm="1">
        <f t="array" ref="F552">IFERROR(_xlfn.LET(
_xlpm.CSVVal,_xlfn.XLOOKUP($A552,CSV!$A:$A,CSV!F:F,""),
_xlpm.MacVal,_xlfn.XLOOKUP($A552,Output_Mac!$A:$A,Output_Mac!E:E,""),
_xlpm.MyAuditVal,_xlfn.XLOOKUP($A552,My_Audit!$A:$A,My_Audit!E:E,""),
_xlfn.IFS(_xlpm.MyAuditVal&lt;&gt;"",_xlpm.MyAuditVal,_xlpm.MacVal&lt;&gt;"",_xlpm.MacVal,_xlpm.CSVVal&lt;&gt;"",_xlpm.CSVVal
)),"")</f>
        <v/>
      </c>
      <c r="G552" s="2" t="str" cm="1">
        <f t="array" ref="G552">IFERROR(_xlfn.LET(
_xlpm.CSVVal,_xlfn.XLOOKUP($A552,CSV!$A:$A,CSV!G:G,""),
_xlpm.MacVal,_xlfn.XLOOKUP($A552,Output_Mac!$A:$A,Output_Mac!F:F,""),
_xlpm.MyAuditVal,_xlfn.XLOOKUP($A552,My_Audit!$A:$A,My_Audit!F:F,""),
_xlfn.IFS(_xlpm.MyAuditVal&lt;&gt;"",_xlpm.MyAuditVal,_xlpm.MacVal&lt;&gt;"",_xlpm.MacVal,_xlpm.CSVVal&lt;&gt;"",PROPER(_xlpm.CSVVal)
)),"")</f>
        <v/>
      </c>
      <c r="H552" s="2" t="str" cm="1">
        <f t="array" ref="H552">IFERROR(_xlfn.LET(
_xlpm.CSVVal,_xlfn.XLOOKUP($A552,CSV!$A:$A,CSV!H:H,""),
_xlpm.MacVal,_xlfn.XLOOKUP($A552,Output_Mac!$A:$A,Output_Mac!H:H,""),
_xlpm.MyAuditVal,_xlfn.XLOOKUP($A552,My_Audit!$A:$A,My_Audit!G:G,""),
_xlfn.IFS(_xlpm.MyAuditVal&lt;&gt;"",_xlpm.MyAuditVal,_xlpm.MacVal&lt;&gt;"",_xlpm.MacVal,_xlpm.CSVVal&lt;&gt;"",_xlpm.CSVVal
)),"")</f>
        <v/>
      </c>
      <c r="I552" s="2" t="str">
        <f>_xlfn.XLOOKUP(A552,Output_Mac!A:A,Output_Mac!I:I,"")</f>
        <v/>
      </c>
      <c r="J552" s="2" t="str" cm="1">
        <f t="array" ref="J552">IFERROR(_xlfn.LET(
_xlpm.CSVVal,_xlfn.XLOOKUP($A552,CSV!$A:$A,CSV!I:I,""),
_xlpm.MacVal,_xlfn.XLOOKUP($A552,Output_Mac!$A:$A,Output_Mac!J:J,""),
_xlpm.MyAuditVal,_xlfn.XLOOKUP($A552,My_Audit!$A:$A,My_Audit!I:I,""),
_xlfn.IFS(_xlpm.MyAuditVal&lt;&gt;"",UPPER(_xlpm.MyAuditVal),_xlpm.MacVal&lt;&gt;"",_xlpm.MacVal,_xlpm.CSVVal&lt;&gt;"",_xlpm.CSVVal
)),"")</f>
        <v/>
      </c>
      <c r="K552" s="2" t="str" cm="1">
        <f t="array" ref="K552">IFERROR(_xlfn.LET(
_xlpm.CSVVal,_xlfn.XLOOKUP($A552,CSV!$A:$A,CSV!K:K,""),
_xlpm.MacVal,_xlfn.XLOOKUP($A552,Output_Mac!$A:$A,Output_Mac!K:K,""),
_xlpm.MyAuditVal,_xlfn.XLOOKUP($A552,My_Audit!$A:$A,My_Audit!J:J,""),
_xlfn.IFS(_xlpm.MyAuditVal&lt;&gt;"",UPPER(_xlpm.MyAuditVal),_xlpm.MacVal&lt;&gt;"",_xlpm.MacVal,_xlpm.CSVVal&lt;&gt;"",_xlpm.CSVVal
)),"")</f>
        <v/>
      </c>
      <c r="L552" s="2" t="str" cm="1">
        <f t="array" ref="L552">IFERROR(_xlfn.LET(
_xlpm.CSVVal,_xlfn.XLOOKUP($A552,CSV!$A:$A,CSV!P:P,""),
_xlpm.MacVal,_xlfn.XLOOKUP($A552,Output_Mac!$A:$A,Output_Mac!L:L,""),
_xlpm.MyAuditVal,_xlfn.XLOOKUP($A552,My_Audit!$A:$A,My_Audit!K:K,""),
_xlfn.IFS(_xlpm.MyAuditVal&lt;&gt;"",UPPER(_xlpm.MyAuditVal),_xlpm.MacVal&lt;&gt;"",_xlpm.MacVal,_xlpm.CSVVal&lt;&gt;"",_xlpm.CSVVal
)),"")</f>
        <v/>
      </c>
      <c r="M552" s="2" t="str" cm="1">
        <f t="array" ref="M552">IFERROR(_xlfn.LET(
_xlpm.CSVVal,_xlfn.XLOOKUP($A552,CSV!$A:$A,CSV!Q:Q,""),
_xlpm.MacVal,_xlfn.XLOOKUP($A552,Output_Mac!$A:$A,Output_Mac!M:M,""),
_xlpm.MyAuditVal,_xlfn.XLOOKUP($A552,My_Audit!$A:$A,My_Audit!L:L,""),
_xlfn.IFS(_xlpm.MyAuditVal&lt;&gt;"",UPPER(_xlpm.MyAuditVal),_xlpm.MacVal&lt;&gt;"",_xlpm.MacVal,_xlpm.CSVVal&lt;&gt;"",_xlpm.CSVVal
)),"")</f>
        <v/>
      </c>
      <c r="O552" s="2" t="str">
        <f>_xlfn.LET(
    _xlpm.CSVVal, _xlfn.XLOOKUP($A552, CSV!$A:$A, CSV!AF:AF, ""),
    _xlpm.MacVal, _xlfn.XLOOKUP($A552, Output_Mac!$A:$A, Output_Mac!S:S, ""),
    _xlpm.MyAuditVal, _xlfn.XLOOKUP($A552, My_Audit!$A:$A, My_Audit!P:P, ""),
    _xlfn.TEXTJOIN(", ", TRUE, _xlpm.MyAuditVal, _xlpm.MacVal, _xlpm.CSVVal)
)</f>
        <v/>
      </c>
      <c r="P552" s="2" t="str" cm="1">
        <f t="array" ref="P552">IFERROR(_xlfn.LET(
_xlpm.CSVVal,_xlfn.XLOOKUP($A552,CSV!$A:$A,CSV!AG:AG,""),
_xlpm.MacVal,_xlfn.XLOOKUP($A552,Output_Mac!$A:$A,Output_Mac!T:T,""),
_xlpm.MyAuditVal,_xlfn.XLOOKUP($A552,My_Audit!$A:$A,My_Audit!Q:Q,""),
_xlfn.IFS(_xlpm.MyAuditVal&lt;&gt;"",UPPER(_xlpm.MyAuditVal),_xlpm.MacVal&lt;&gt;"",_xlpm.MacVal,_xlpm.CSVVal&lt;&gt;"",_xlpm.CSVVal
)),"No")</f>
        <v>No</v>
      </c>
      <c r="Q552" s="2" t="str" cm="1">
        <f t="array" ref="Q552">IFERROR(_xlfn.LET(
_xlpm.CSVVal,_xlfn.XLOOKUP($A552,CSV!$A:$A,CSV!AH:AH,""),
_xlpm.MacVal,_xlfn.XLOOKUP($A552,Output_Mac!$A:$A,Output_Mac!U:U,""),
_xlpm.MyAuditVal,_xlfn.XLOOKUP($A552,My_Audit!$A:$A,My_Audit!R:R,""),
_xlfn.IFS(_xlpm.MyAuditVal&lt;&gt;"",UPPER(_xlpm.MyAuditVal),_xlpm.MacVal&lt;&gt;"",_xlpm.MacVal,_xlpm.CSVVal&lt;&gt;"",_xlpm.CSVVal
)),"")</f>
        <v/>
      </c>
    </row>
    <row r="553" spans="1:17">
      <c r="A553" s="2" t="str">
        <f>_xlfn.TEXTJOIN("",TRUE,Input!$B$2,ROW(My_Audit!A552))</f>
        <v>XX552</v>
      </c>
      <c r="B553" s="2" t="str">
        <f>_xlfn.TEXTJOIN("-",TRUE,"ITD",Input!$A$2,A553)</f>
        <v>ITD-SHRXXX-XX552</v>
      </c>
      <c r="C553" s="2" t="str" cm="1">
        <f t="array" ref="C553">IFERROR(_xlfn.LET(
_xlpm.CSVVal,_xlfn.XLOOKUP($A553,CSV!$A:$A,CSV!B:B,""),
_xlpm.MacVal,_xlfn.XLOOKUP($A553,Output_Mac!$A:$A,Output_Mac!B:B,""),
_xlpm.MyAuditVal,_xlfn.XLOOKUP($A553,My_Audit!$A:$A,My_Audit!B:B,""),
_xlfn.IFS(_xlpm.MyAuditVal&lt;&gt;"",UPPER(_xlpm.MyAuditVal),_xlpm.MacVal&lt;&gt;"",_xlpm.MacVal,_xlpm.CSVVal&lt;&gt;"",_xlpm.CSVVal
)),"")</f>
        <v/>
      </c>
      <c r="D553" s="2" t="str" cm="1">
        <f t="array" ref="D553">IFERROR(_xlfn.LET(
_xlpm.CSVVal,_xlfn.XLOOKUP($A553,CSV!$A:$A,CSV!D:D,""),
_xlpm.MacVal,_xlfn.XLOOKUP($A553,Output_Mac!$A:$A,Output_Mac!C:C,""),
_xlpm.MyAuditVal,_xlfn.XLOOKUP($A553,My_Audit!$A:$A,My_Audit!C:C,""),
_xlfn.IFS(_xlpm.MyAuditVal&lt;&gt;"",_xlpm.MyAuditVal,_xlpm.MacVal&lt;&gt;"",_xlpm.MacVal,_xlpm.CSVVal&lt;&gt;"",_xlpm.CSVVal
)),"")</f>
        <v/>
      </c>
      <c r="E553" s="2" t="str">
        <f>_xlfn.XLOOKUP(A553,My_Audit!A:A,My_Audit!D:D,"")&amp;""</f>
        <v/>
      </c>
      <c r="F553" s="2" t="str" cm="1">
        <f t="array" ref="F553">IFERROR(_xlfn.LET(
_xlpm.CSVVal,_xlfn.XLOOKUP($A553,CSV!$A:$A,CSV!F:F,""),
_xlpm.MacVal,_xlfn.XLOOKUP($A553,Output_Mac!$A:$A,Output_Mac!E:E,""),
_xlpm.MyAuditVal,_xlfn.XLOOKUP($A553,My_Audit!$A:$A,My_Audit!E:E,""),
_xlfn.IFS(_xlpm.MyAuditVal&lt;&gt;"",_xlpm.MyAuditVal,_xlpm.MacVal&lt;&gt;"",_xlpm.MacVal,_xlpm.CSVVal&lt;&gt;"",_xlpm.CSVVal
)),"")</f>
        <v/>
      </c>
      <c r="G553" s="2" t="str" cm="1">
        <f t="array" ref="G553">IFERROR(_xlfn.LET(
_xlpm.CSVVal,_xlfn.XLOOKUP($A553,CSV!$A:$A,CSV!G:G,""),
_xlpm.MacVal,_xlfn.XLOOKUP($A553,Output_Mac!$A:$A,Output_Mac!F:F,""),
_xlpm.MyAuditVal,_xlfn.XLOOKUP($A553,My_Audit!$A:$A,My_Audit!F:F,""),
_xlfn.IFS(_xlpm.MyAuditVal&lt;&gt;"",_xlpm.MyAuditVal,_xlpm.MacVal&lt;&gt;"",_xlpm.MacVal,_xlpm.CSVVal&lt;&gt;"",PROPER(_xlpm.CSVVal)
)),"")</f>
        <v/>
      </c>
      <c r="H553" s="2" t="str" cm="1">
        <f t="array" ref="H553">IFERROR(_xlfn.LET(
_xlpm.CSVVal,_xlfn.XLOOKUP($A553,CSV!$A:$A,CSV!H:H,""),
_xlpm.MacVal,_xlfn.XLOOKUP($A553,Output_Mac!$A:$A,Output_Mac!H:H,""),
_xlpm.MyAuditVal,_xlfn.XLOOKUP($A553,My_Audit!$A:$A,My_Audit!G:G,""),
_xlfn.IFS(_xlpm.MyAuditVal&lt;&gt;"",_xlpm.MyAuditVal,_xlpm.MacVal&lt;&gt;"",_xlpm.MacVal,_xlpm.CSVVal&lt;&gt;"",_xlpm.CSVVal
)),"")</f>
        <v/>
      </c>
      <c r="I553" s="2" t="str">
        <f>_xlfn.XLOOKUP(A553,Output_Mac!A:A,Output_Mac!I:I,"")</f>
        <v/>
      </c>
      <c r="J553" s="2" t="str" cm="1">
        <f t="array" ref="J553">IFERROR(_xlfn.LET(
_xlpm.CSVVal,_xlfn.XLOOKUP($A553,CSV!$A:$A,CSV!I:I,""),
_xlpm.MacVal,_xlfn.XLOOKUP($A553,Output_Mac!$A:$A,Output_Mac!J:J,""),
_xlpm.MyAuditVal,_xlfn.XLOOKUP($A553,My_Audit!$A:$A,My_Audit!I:I,""),
_xlfn.IFS(_xlpm.MyAuditVal&lt;&gt;"",UPPER(_xlpm.MyAuditVal),_xlpm.MacVal&lt;&gt;"",_xlpm.MacVal,_xlpm.CSVVal&lt;&gt;"",_xlpm.CSVVal
)),"")</f>
        <v/>
      </c>
      <c r="K553" s="2" t="str" cm="1">
        <f t="array" ref="K553">IFERROR(_xlfn.LET(
_xlpm.CSVVal,_xlfn.XLOOKUP($A553,CSV!$A:$A,CSV!K:K,""),
_xlpm.MacVal,_xlfn.XLOOKUP($A553,Output_Mac!$A:$A,Output_Mac!K:K,""),
_xlpm.MyAuditVal,_xlfn.XLOOKUP($A553,My_Audit!$A:$A,My_Audit!J:J,""),
_xlfn.IFS(_xlpm.MyAuditVal&lt;&gt;"",UPPER(_xlpm.MyAuditVal),_xlpm.MacVal&lt;&gt;"",_xlpm.MacVal,_xlpm.CSVVal&lt;&gt;"",_xlpm.CSVVal
)),"")</f>
        <v/>
      </c>
      <c r="L553" s="2" t="str" cm="1">
        <f t="array" ref="L553">IFERROR(_xlfn.LET(
_xlpm.CSVVal,_xlfn.XLOOKUP($A553,CSV!$A:$A,CSV!P:P,""),
_xlpm.MacVal,_xlfn.XLOOKUP($A553,Output_Mac!$A:$A,Output_Mac!L:L,""),
_xlpm.MyAuditVal,_xlfn.XLOOKUP($A553,My_Audit!$A:$A,My_Audit!K:K,""),
_xlfn.IFS(_xlpm.MyAuditVal&lt;&gt;"",UPPER(_xlpm.MyAuditVal),_xlpm.MacVal&lt;&gt;"",_xlpm.MacVal,_xlpm.CSVVal&lt;&gt;"",_xlpm.CSVVal
)),"")</f>
        <v/>
      </c>
      <c r="M553" s="2" t="str" cm="1">
        <f t="array" ref="M553">IFERROR(_xlfn.LET(
_xlpm.CSVVal,_xlfn.XLOOKUP($A553,CSV!$A:$A,CSV!Q:Q,""),
_xlpm.MacVal,_xlfn.XLOOKUP($A553,Output_Mac!$A:$A,Output_Mac!M:M,""),
_xlpm.MyAuditVal,_xlfn.XLOOKUP($A553,My_Audit!$A:$A,My_Audit!L:L,""),
_xlfn.IFS(_xlpm.MyAuditVal&lt;&gt;"",UPPER(_xlpm.MyAuditVal),_xlpm.MacVal&lt;&gt;"",_xlpm.MacVal,_xlpm.CSVVal&lt;&gt;"",_xlpm.CSVVal
)),"")</f>
        <v/>
      </c>
      <c r="O553" s="2" t="str">
        <f>_xlfn.LET(
    _xlpm.CSVVal, _xlfn.XLOOKUP($A553, CSV!$A:$A, CSV!AF:AF, ""),
    _xlpm.MacVal, _xlfn.XLOOKUP($A553, Output_Mac!$A:$A, Output_Mac!S:S, ""),
    _xlpm.MyAuditVal, _xlfn.XLOOKUP($A553, My_Audit!$A:$A, My_Audit!P:P, ""),
    _xlfn.TEXTJOIN(", ", TRUE, _xlpm.MyAuditVal, _xlpm.MacVal, _xlpm.CSVVal)
)</f>
        <v/>
      </c>
      <c r="P553" s="2" t="str" cm="1">
        <f t="array" ref="P553">IFERROR(_xlfn.LET(
_xlpm.CSVVal,_xlfn.XLOOKUP($A553,CSV!$A:$A,CSV!AG:AG,""),
_xlpm.MacVal,_xlfn.XLOOKUP($A553,Output_Mac!$A:$A,Output_Mac!T:T,""),
_xlpm.MyAuditVal,_xlfn.XLOOKUP($A553,My_Audit!$A:$A,My_Audit!Q:Q,""),
_xlfn.IFS(_xlpm.MyAuditVal&lt;&gt;"",UPPER(_xlpm.MyAuditVal),_xlpm.MacVal&lt;&gt;"",_xlpm.MacVal,_xlpm.CSVVal&lt;&gt;"",_xlpm.CSVVal
)),"No")</f>
        <v>No</v>
      </c>
      <c r="Q553" s="2" t="str" cm="1">
        <f t="array" ref="Q553">IFERROR(_xlfn.LET(
_xlpm.CSVVal,_xlfn.XLOOKUP($A553,CSV!$A:$A,CSV!AH:AH,""),
_xlpm.MacVal,_xlfn.XLOOKUP($A553,Output_Mac!$A:$A,Output_Mac!U:U,""),
_xlpm.MyAuditVal,_xlfn.XLOOKUP($A553,My_Audit!$A:$A,My_Audit!R:R,""),
_xlfn.IFS(_xlpm.MyAuditVal&lt;&gt;"",UPPER(_xlpm.MyAuditVal),_xlpm.MacVal&lt;&gt;"",_xlpm.MacVal,_xlpm.CSVVal&lt;&gt;"",_xlpm.CSVVal
)),"")</f>
        <v/>
      </c>
    </row>
    <row r="554" spans="1:17">
      <c r="A554" s="2" t="str">
        <f>_xlfn.TEXTJOIN("",TRUE,Input!$B$2,ROW(My_Audit!A553))</f>
        <v>XX553</v>
      </c>
      <c r="B554" s="2" t="str">
        <f>_xlfn.TEXTJOIN("-",TRUE,"ITD",Input!$A$2,A554)</f>
        <v>ITD-SHRXXX-XX553</v>
      </c>
      <c r="C554" s="2" t="str" cm="1">
        <f t="array" ref="C554">IFERROR(_xlfn.LET(
_xlpm.CSVVal,_xlfn.XLOOKUP($A554,CSV!$A:$A,CSV!B:B,""),
_xlpm.MacVal,_xlfn.XLOOKUP($A554,Output_Mac!$A:$A,Output_Mac!B:B,""),
_xlpm.MyAuditVal,_xlfn.XLOOKUP($A554,My_Audit!$A:$A,My_Audit!B:B,""),
_xlfn.IFS(_xlpm.MyAuditVal&lt;&gt;"",UPPER(_xlpm.MyAuditVal),_xlpm.MacVal&lt;&gt;"",_xlpm.MacVal,_xlpm.CSVVal&lt;&gt;"",_xlpm.CSVVal
)),"")</f>
        <v/>
      </c>
      <c r="D554" s="2" t="str" cm="1">
        <f t="array" ref="D554">IFERROR(_xlfn.LET(
_xlpm.CSVVal,_xlfn.XLOOKUP($A554,CSV!$A:$A,CSV!D:D,""),
_xlpm.MacVal,_xlfn.XLOOKUP($A554,Output_Mac!$A:$A,Output_Mac!C:C,""),
_xlpm.MyAuditVal,_xlfn.XLOOKUP($A554,My_Audit!$A:$A,My_Audit!C:C,""),
_xlfn.IFS(_xlpm.MyAuditVal&lt;&gt;"",_xlpm.MyAuditVal,_xlpm.MacVal&lt;&gt;"",_xlpm.MacVal,_xlpm.CSVVal&lt;&gt;"",_xlpm.CSVVal
)),"")</f>
        <v/>
      </c>
      <c r="E554" s="2" t="str">
        <f>_xlfn.XLOOKUP(A554,My_Audit!A:A,My_Audit!D:D,"")&amp;""</f>
        <v/>
      </c>
      <c r="F554" s="2" t="str" cm="1">
        <f t="array" ref="F554">IFERROR(_xlfn.LET(
_xlpm.CSVVal,_xlfn.XLOOKUP($A554,CSV!$A:$A,CSV!F:F,""),
_xlpm.MacVal,_xlfn.XLOOKUP($A554,Output_Mac!$A:$A,Output_Mac!E:E,""),
_xlpm.MyAuditVal,_xlfn.XLOOKUP($A554,My_Audit!$A:$A,My_Audit!E:E,""),
_xlfn.IFS(_xlpm.MyAuditVal&lt;&gt;"",_xlpm.MyAuditVal,_xlpm.MacVal&lt;&gt;"",_xlpm.MacVal,_xlpm.CSVVal&lt;&gt;"",_xlpm.CSVVal
)),"")</f>
        <v/>
      </c>
      <c r="G554" s="2" t="str" cm="1">
        <f t="array" ref="G554">IFERROR(_xlfn.LET(
_xlpm.CSVVal,_xlfn.XLOOKUP($A554,CSV!$A:$A,CSV!G:G,""),
_xlpm.MacVal,_xlfn.XLOOKUP($A554,Output_Mac!$A:$A,Output_Mac!F:F,""),
_xlpm.MyAuditVal,_xlfn.XLOOKUP($A554,My_Audit!$A:$A,My_Audit!F:F,""),
_xlfn.IFS(_xlpm.MyAuditVal&lt;&gt;"",_xlpm.MyAuditVal,_xlpm.MacVal&lt;&gt;"",_xlpm.MacVal,_xlpm.CSVVal&lt;&gt;"",PROPER(_xlpm.CSVVal)
)),"")</f>
        <v/>
      </c>
      <c r="H554" s="2" t="str" cm="1">
        <f t="array" ref="H554">IFERROR(_xlfn.LET(
_xlpm.CSVVal,_xlfn.XLOOKUP($A554,CSV!$A:$A,CSV!H:H,""),
_xlpm.MacVal,_xlfn.XLOOKUP($A554,Output_Mac!$A:$A,Output_Mac!H:H,""),
_xlpm.MyAuditVal,_xlfn.XLOOKUP($A554,My_Audit!$A:$A,My_Audit!G:G,""),
_xlfn.IFS(_xlpm.MyAuditVal&lt;&gt;"",_xlpm.MyAuditVal,_xlpm.MacVal&lt;&gt;"",_xlpm.MacVal,_xlpm.CSVVal&lt;&gt;"",_xlpm.CSVVal
)),"")</f>
        <v/>
      </c>
      <c r="I554" s="2" t="str">
        <f>_xlfn.XLOOKUP(A554,Output_Mac!A:A,Output_Mac!I:I,"")</f>
        <v/>
      </c>
      <c r="J554" s="2" t="str" cm="1">
        <f t="array" ref="J554">IFERROR(_xlfn.LET(
_xlpm.CSVVal,_xlfn.XLOOKUP($A554,CSV!$A:$A,CSV!I:I,""),
_xlpm.MacVal,_xlfn.XLOOKUP($A554,Output_Mac!$A:$A,Output_Mac!J:J,""),
_xlpm.MyAuditVal,_xlfn.XLOOKUP($A554,My_Audit!$A:$A,My_Audit!I:I,""),
_xlfn.IFS(_xlpm.MyAuditVal&lt;&gt;"",UPPER(_xlpm.MyAuditVal),_xlpm.MacVal&lt;&gt;"",_xlpm.MacVal,_xlpm.CSVVal&lt;&gt;"",_xlpm.CSVVal
)),"")</f>
        <v/>
      </c>
      <c r="K554" s="2" t="str" cm="1">
        <f t="array" ref="K554">IFERROR(_xlfn.LET(
_xlpm.CSVVal,_xlfn.XLOOKUP($A554,CSV!$A:$A,CSV!K:K,""),
_xlpm.MacVal,_xlfn.XLOOKUP($A554,Output_Mac!$A:$A,Output_Mac!K:K,""),
_xlpm.MyAuditVal,_xlfn.XLOOKUP($A554,My_Audit!$A:$A,My_Audit!J:J,""),
_xlfn.IFS(_xlpm.MyAuditVal&lt;&gt;"",UPPER(_xlpm.MyAuditVal),_xlpm.MacVal&lt;&gt;"",_xlpm.MacVal,_xlpm.CSVVal&lt;&gt;"",_xlpm.CSVVal
)),"")</f>
        <v/>
      </c>
      <c r="L554" s="2" t="str" cm="1">
        <f t="array" ref="L554">IFERROR(_xlfn.LET(
_xlpm.CSVVal,_xlfn.XLOOKUP($A554,CSV!$A:$A,CSV!P:P,""),
_xlpm.MacVal,_xlfn.XLOOKUP($A554,Output_Mac!$A:$A,Output_Mac!L:L,""),
_xlpm.MyAuditVal,_xlfn.XLOOKUP($A554,My_Audit!$A:$A,My_Audit!K:K,""),
_xlfn.IFS(_xlpm.MyAuditVal&lt;&gt;"",UPPER(_xlpm.MyAuditVal),_xlpm.MacVal&lt;&gt;"",_xlpm.MacVal,_xlpm.CSVVal&lt;&gt;"",_xlpm.CSVVal
)),"")</f>
        <v/>
      </c>
      <c r="M554" s="2" t="str" cm="1">
        <f t="array" ref="M554">IFERROR(_xlfn.LET(
_xlpm.CSVVal,_xlfn.XLOOKUP($A554,CSV!$A:$A,CSV!Q:Q,""),
_xlpm.MacVal,_xlfn.XLOOKUP($A554,Output_Mac!$A:$A,Output_Mac!M:M,""),
_xlpm.MyAuditVal,_xlfn.XLOOKUP($A554,My_Audit!$A:$A,My_Audit!L:L,""),
_xlfn.IFS(_xlpm.MyAuditVal&lt;&gt;"",UPPER(_xlpm.MyAuditVal),_xlpm.MacVal&lt;&gt;"",_xlpm.MacVal,_xlpm.CSVVal&lt;&gt;"",_xlpm.CSVVal
)),"")</f>
        <v/>
      </c>
      <c r="O554" s="2" t="str">
        <f>_xlfn.LET(
    _xlpm.CSVVal, _xlfn.XLOOKUP($A554, CSV!$A:$A, CSV!AF:AF, ""),
    _xlpm.MacVal, _xlfn.XLOOKUP($A554, Output_Mac!$A:$A, Output_Mac!S:S, ""),
    _xlpm.MyAuditVal, _xlfn.XLOOKUP($A554, My_Audit!$A:$A, My_Audit!P:P, ""),
    _xlfn.TEXTJOIN(", ", TRUE, _xlpm.MyAuditVal, _xlpm.MacVal, _xlpm.CSVVal)
)</f>
        <v/>
      </c>
      <c r="P554" s="2" t="str" cm="1">
        <f t="array" ref="P554">IFERROR(_xlfn.LET(
_xlpm.CSVVal,_xlfn.XLOOKUP($A554,CSV!$A:$A,CSV!AG:AG,""),
_xlpm.MacVal,_xlfn.XLOOKUP($A554,Output_Mac!$A:$A,Output_Mac!T:T,""),
_xlpm.MyAuditVal,_xlfn.XLOOKUP($A554,My_Audit!$A:$A,My_Audit!Q:Q,""),
_xlfn.IFS(_xlpm.MyAuditVal&lt;&gt;"",UPPER(_xlpm.MyAuditVal),_xlpm.MacVal&lt;&gt;"",_xlpm.MacVal,_xlpm.CSVVal&lt;&gt;"",_xlpm.CSVVal
)),"No")</f>
        <v>No</v>
      </c>
      <c r="Q554" s="2" t="str" cm="1">
        <f t="array" ref="Q554">IFERROR(_xlfn.LET(
_xlpm.CSVVal,_xlfn.XLOOKUP($A554,CSV!$A:$A,CSV!AH:AH,""),
_xlpm.MacVal,_xlfn.XLOOKUP($A554,Output_Mac!$A:$A,Output_Mac!U:U,""),
_xlpm.MyAuditVal,_xlfn.XLOOKUP($A554,My_Audit!$A:$A,My_Audit!R:R,""),
_xlfn.IFS(_xlpm.MyAuditVal&lt;&gt;"",UPPER(_xlpm.MyAuditVal),_xlpm.MacVal&lt;&gt;"",_xlpm.MacVal,_xlpm.CSVVal&lt;&gt;"",_xlpm.CSVVal
)),"")</f>
        <v/>
      </c>
    </row>
    <row r="555" spans="1:17">
      <c r="A555" s="2" t="str">
        <f>_xlfn.TEXTJOIN("",TRUE,Input!$B$2,ROW(My_Audit!A554))</f>
        <v>XX554</v>
      </c>
      <c r="B555" s="2" t="str">
        <f>_xlfn.TEXTJOIN("-",TRUE,"ITD",Input!$A$2,A555)</f>
        <v>ITD-SHRXXX-XX554</v>
      </c>
      <c r="C555" s="2" t="str" cm="1">
        <f t="array" ref="C555">IFERROR(_xlfn.LET(
_xlpm.CSVVal,_xlfn.XLOOKUP($A555,CSV!$A:$A,CSV!B:B,""),
_xlpm.MacVal,_xlfn.XLOOKUP($A555,Output_Mac!$A:$A,Output_Mac!B:B,""),
_xlpm.MyAuditVal,_xlfn.XLOOKUP($A555,My_Audit!$A:$A,My_Audit!B:B,""),
_xlfn.IFS(_xlpm.MyAuditVal&lt;&gt;"",UPPER(_xlpm.MyAuditVal),_xlpm.MacVal&lt;&gt;"",_xlpm.MacVal,_xlpm.CSVVal&lt;&gt;"",_xlpm.CSVVal
)),"")</f>
        <v/>
      </c>
      <c r="D555" s="2" t="str" cm="1">
        <f t="array" ref="D555">IFERROR(_xlfn.LET(
_xlpm.CSVVal,_xlfn.XLOOKUP($A555,CSV!$A:$A,CSV!D:D,""),
_xlpm.MacVal,_xlfn.XLOOKUP($A555,Output_Mac!$A:$A,Output_Mac!C:C,""),
_xlpm.MyAuditVal,_xlfn.XLOOKUP($A555,My_Audit!$A:$A,My_Audit!C:C,""),
_xlfn.IFS(_xlpm.MyAuditVal&lt;&gt;"",_xlpm.MyAuditVal,_xlpm.MacVal&lt;&gt;"",_xlpm.MacVal,_xlpm.CSVVal&lt;&gt;"",_xlpm.CSVVal
)),"")</f>
        <v/>
      </c>
      <c r="E555" s="2" t="str">
        <f>_xlfn.XLOOKUP(A555,My_Audit!A:A,My_Audit!D:D,"")&amp;""</f>
        <v/>
      </c>
      <c r="F555" s="2" t="str" cm="1">
        <f t="array" ref="F555">IFERROR(_xlfn.LET(
_xlpm.CSVVal,_xlfn.XLOOKUP($A555,CSV!$A:$A,CSV!F:F,""),
_xlpm.MacVal,_xlfn.XLOOKUP($A555,Output_Mac!$A:$A,Output_Mac!E:E,""),
_xlpm.MyAuditVal,_xlfn.XLOOKUP($A555,My_Audit!$A:$A,My_Audit!E:E,""),
_xlfn.IFS(_xlpm.MyAuditVal&lt;&gt;"",_xlpm.MyAuditVal,_xlpm.MacVal&lt;&gt;"",_xlpm.MacVal,_xlpm.CSVVal&lt;&gt;"",_xlpm.CSVVal
)),"")</f>
        <v/>
      </c>
      <c r="G555" s="2" t="str" cm="1">
        <f t="array" ref="G555">IFERROR(_xlfn.LET(
_xlpm.CSVVal,_xlfn.XLOOKUP($A555,CSV!$A:$A,CSV!G:G,""),
_xlpm.MacVal,_xlfn.XLOOKUP($A555,Output_Mac!$A:$A,Output_Mac!F:F,""),
_xlpm.MyAuditVal,_xlfn.XLOOKUP($A555,My_Audit!$A:$A,My_Audit!F:F,""),
_xlfn.IFS(_xlpm.MyAuditVal&lt;&gt;"",_xlpm.MyAuditVal,_xlpm.MacVal&lt;&gt;"",_xlpm.MacVal,_xlpm.CSVVal&lt;&gt;"",PROPER(_xlpm.CSVVal)
)),"")</f>
        <v/>
      </c>
      <c r="H555" s="2" t="str" cm="1">
        <f t="array" ref="H555">IFERROR(_xlfn.LET(
_xlpm.CSVVal,_xlfn.XLOOKUP($A555,CSV!$A:$A,CSV!H:H,""),
_xlpm.MacVal,_xlfn.XLOOKUP($A555,Output_Mac!$A:$A,Output_Mac!H:H,""),
_xlpm.MyAuditVal,_xlfn.XLOOKUP($A555,My_Audit!$A:$A,My_Audit!G:G,""),
_xlfn.IFS(_xlpm.MyAuditVal&lt;&gt;"",_xlpm.MyAuditVal,_xlpm.MacVal&lt;&gt;"",_xlpm.MacVal,_xlpm.CSVVal&lt;&gt;"",_xlpm.CSVVal
)),"")</f>
        <v/>
      </c>
      <c r="I555" s="2" t="str">
        <f>_xlfn.XLOOKUP(A555,Output_Mac!A:A,Output_Mac!I:I,"")</f>
        <v/>
      </c>
      <c r="J555" s="2" t="str" cm="1">
        <f t="array" ref="J555">IFERROR(_xlfn.LET(
_xlpm.CSVVal,_xlfn.XLOOKUP($A555,CSV!$A:$A,CSV!I:I,""),
_xlpm.MacVal,_xlfn.XLOOKUP($A555,Output_Mac!$A:$A,Output_Mac!J:J,""),
_xlpm.MyAuditVal,_xlfn.XLOOKUP($A555,My_Audit!$A:$A,My_Audit!I:I,""),
_xlfn.IFS(_xlpm.MyAuditVal&lt;&gt;"",UPPER(_xlpm.MyAuditVal),_xlpm.MacVal&lt;&gt;"",_xlpm.MacVal,_xlpm.CSVVal&lt;&gt;"",_xlpm.CSVVal
)),"")</f>
        <v/>
      </c>
      <c r="K555" s="2" t="str" cm="1">
        <f t="array" ref="K555">IFERROR(_xlfn.LET(
_xlpm.CSVVal,_xlfn.XLOOKUP($A555,CSV!$A:$A,CSV!K:K,""),
_xlpm.MacVal,_xlfn.XLOOKUP($A555,Output_Mac!$A:$A,Output_Mac!K:K,""),
_xlpm.MyAuditVal,_xlfn.XLOOKUP($A555,My_Audit!$A:$A,My_Audit!J:J,""),
_xlfn.IFS(_xlpm.MyAuditVal&lt;&gt;"",UPPER(_xlpm.MyAuditVal),_xlpm.MacVal&lt;&gt;"",_xlpm.MacVal,_xlpm.CSVVal&lt;&gt;"",_xlpm.CSVVal
)),"")</f>
        <v/>
      </c>
      <c r="L555" s="2" t="str" cm="1">
        <f t="array" ref="L555">IFERROR(_xlfn.LET(
_xlpm.CSVVal,_xlfn.XLOOKUP($A555,CSV!$A:$A,CSV!P:P,""),
_xlpm.MacVal,_xlfn.XLOOKUP($A555,Output_Mac!$A:$A,Output_Mac!L:L,""),
_xlpm.MyAuditVal,_xlfn.XLOOKUP($A555,My_Audit!$A:$A,My_Audit!K:K,""),
_xlfn.IFS(_xlpm.MyAuditVal&lt;&gt;"",UPPER(_xlpm.MyAuditVal),_xlpm.MacVal&lt;&gt;"",_xlpm.MacVal,_xlpm.CSVVal&lt;&gt;"",_xlpm.CSVVal
)),"")</f>
        <v/>
      </c>
      <c r="M555" s="2" t="str" cm="1">
        <f t="array" ref="M555">IFERROR(_xlfn.LET(
_xlpm.CSVVal,_xlfn.XLOOKUP($A555,CSV!$A:$A,CSV!Q:Q,""),
_xlpm.MacVal,_xlfn.XLOOKUP($A555,Output_Mac!$A:$A,Output_Mac!M:M,""),
_xlpm.MyAuditVal,_xlfn.XLOOKUP($A555,My_Audit!$A:$A,My_Audit!L:L,""),
_xlfn.IFS(_xlpm.MyAuditVal&lt;&gt;"",UPPER(_xlpm.MyAuditVal),_xlpm.MacVal&lt;&gt;"",_xlpm.MacVal,_xlpm.CSVVal&lt;&gt;"",_xlpm.CSVVal
)),"")</f>
        <v/>
      </c>
      <c r="O555" s="2" t="str">
        <f>_xlfn.LET(
    _xlpm.CSVVal, _xlfn.XLOOKUP($A555, CSV!$A:$A, CSV!AF:AF, ""),
    _xlpm.MacVal, _xlfn.XLOOKUP($A555, Output_Mac!$A:$A, Output_Mac!S:S, ""),
    _xlpm.MyAuditVal, _xlfn.XLOOKUP($A555, My_Audit!$A:$A, My_Audit!P:P, ""),
    _xlfn.TEXTJOIN(", ", TRUE, _xlpm.MyAuditVal, _xlpm.MacVal, _xlpm.CSVVal)
)</f>
        <v/>
      </c>
      <c r="P555" s="2" t="str" cm="1">
        <f t="array" ref="P555">IFERROR(_xlfn.LET(
_xlpm.CSVVal,_xlfn.XLOOKUP($A555,CSV!$A:$A,CSV!AG:AG,""),
_xlpm.MacVal,_xlfn.XLOOKUP($A555,Output_Mac!$A:$A,Output_Mac!T:T,""),
_xlpm.MyAuditVal,_xlfn.XLOOKUP($A555,My_Audit!$A:$A,My_Audit!Q:Q,""),
_xlfn.IFS(_xlpm.MyAuditVal&lt;&gt;"",UPPER(_xlpm.MyAuditVal),_xlpm.MacVal&lt;&gt;"",_xlpm.MacVal,_xlpm.CSVVal&lt;&gt;"",_xlpm.CSVVal
)),"No")</f>
        <v>No</v>
      </c>
      <c r="Q555" s="2" t="str" cm="1">
        <f t="array" ref="Q555">IFERROR(_xlfn.LET(
_xlpm.CSVVal,_xlfn.XLOOKUP($A555,CSV!$A:$A,CSV!AH:AH,""),
_xlpm.MacVal,_xlfn.XLOOKUP($A555,Output_Mac!$A:$A,Output_Mac!U:U,""),
_xlpm.MyAuditVal,_xlfn.XLOOKUP($A555,My_Audit!$A:$A,My_Audit!R:R,""),
_xlfn.IFS(_xlpm.MyAuditVal&lt;&gt;"",UPPER(_xlpm.MyAuditVal),_xlpm.MacVal&lt;&gt;"",_xlpm.MacVal,_xlpm.CSVVal&lt;&gt;"",_xlpm.CSVVal
)),"")</f>
        <v/>
      </c>
    </row>
    <row r="556" spans="1:17">
      <c r="A556" s="2" t="str">
        <f>_xlfn.TEXTJOIN("",TRUE,Input!$B$2,ROW(My_Audit!A555))</f>
        <v>XX555</v>
      </c>
      <c r="B556" s="2" t="str">
        <f>_xlfn.TEXTJOIN("-",TRUE,"ITD",Input!$A$2,A556)</f>
        <v>ITD-SHRXXX-XX555</v>
      </c>
      <c r="C556" s="2" t="str" cm="1">
        <f t="array" ref="C556">IFERROR(_xlfn.LET(
_xlpm.CSVVal,_xlfn.XLOOKUP($A556,CSV!$A:$A,CSV!B:B,""),
_xlpm.MacVal,_xlfn.XLOOKUP($A556,Output_Mac!$A:$A,Output_Mac!B:B,""),
_xlpm.MyAuditVal,_xlfn.XLOOKUP($A556,My_Audit!$A:$A,My_Audit!B:B,""),
_xlfn.IFS(_xlpm.MyAuditVal&lt;&gt;"",UPPER(_xlpm.MyAuditVal),_xlpm.MacVal&lt;&gt;"",_xlpm.MacVal,_xlpm.CSVVal&lt;&gt;"",_xlpm.CSVVal
)),"")</f>
        <v/>
      </c>
      <c r="D556" s="2" t="str" cm="1">
        <f t="array" ref="D556">IFERROR(_xlfn.LET(
_xlpm.CSVVal,_xlfn.XLOOKUP($A556,CSV!$A:$A,CSV!D:D,""),
_xlpm.MacVal,_xlfn.XLOOKUP($A556,Output_Mac!$A:$A,Output_Mac!C:C,""),
_xlpm.MyAuditVal,_xlfn.XLOOKUP($A556,My_Audit!$A:$A,My_Audit!C:C,""),
_xlfn.IFS(_xlpm.MyAuditVal&lt;&gt;"",_xlpm.MyAuditVal,_xlpm.MacVal&lt;&gt;"",_xlpm.MacVal,_xlpm.CSVVal&lt;&gt;"",_xlpm.CSVVal
)),"")</f>
        <v/>
      </c>
      <c r="E556" s="2" t="str">
        <f>_xlfn.XLOOKUP(A556,My_Audit!A:A,My_Audit!D:D,"")&amp;""</f>
        <v/>
      </c>
      <c r="F556" s="2" t="str" cm="1">
        <f t="array" ref="F556">IFERROR(_xlfn.LET(
_xlpm.CSVVal,_xlfn.XLOOKUP($A556,CSV!$A:$A,CSV!F:F,""),
_xlpm.MacVal,_xlfn.XLOOKUP($A556,Output_Mac!$A:$A,Output_Mac!E:E,""),
_xlpm.MyAuditVal,_xlfn.XLOOKUP($A556,My_Audit!$A:$A,My_Audit!E:E,""),
_xlfn.IFS(_xlpm.MyAuditVal&lt;&gt;"",_xlpm.MyAuditVal,_xlpm.MacVal&lt;&gt;"",_xlpm.MacVal,_xlpm.CSVVal&lt;&gt;"",_xlpm.CSVVal
)),"")</f>
        <v/>
      </c>
      <c r="G556" s="2" t="str" cm="1">
        <f t="array" ref="G556">IFERROR(_xlfn.LET(
_xlpm.CSVVal,_xlfn.XLOOKUP($A556,CSV!$A:$A,CSV!G:G,""),
_xlpm.MacVal,_xlfn.XLOOKUP($A556,Output_Mac!$A:$A,Output_Mac!F:F,""),
_xlpm.MyAuditVal,_xlfn.XLOOKUP($A556,My_Audit!$A:$A,My_Audit!F:F,""),
_xlfn.IFS(_xlpm.MyAuditVal&lt;&gt;"",_xlpm.MyAuditVal,_xlpm.MacVal&lt;&gt;"",_xlpm.MacVal,_xlpm.CSVVal&lt;&gt;"",PROPER(_xlpm.CSVVal)
)),"")</f>
        <v/>
      </c>
      <c r="H556" s="2" t="str" cm="1">
        <f t="array" ref="H556">IFERROR(_xlfn.LET(
_xlpm.CSVVal,_xlfn.XLOOKUP($A556,CSV!$A:$A,CSV!H:H,""),
_xlpm.MacVal,_xlfn.XLOOKUP($A556,Output_Mac!$A:$A,Output_Mac!H:H,""),
_xlpm.MyAuditVal,_xlfn.XLOOKUP($A556,My_Audit!$A:$A,My_Audit!G:G,""),
_xlfn.IFS(_xlpm.MyAuditVal&lt;&gt;"",_xlpm.MyAuditVal,_xlpm.MacVal&lt;&gt;"",_xlpm.MacVal,_xlpm.CSVVal&lt;&gt;"",_xlpm.CSVVal
)),"")</f>
        <v/>
      </c>
      <c r="I556" s="2" t="str">
        <f>_xlfn.XLOOKUP(A556,Output_Mac!A:A,Output_Mac!I:I,"")</f>
        <v/>
      </c>
      <c r="J556" s="2" t="str" cm="1">
        <f t="array" ref="J556">IFERROR(_xlfn.LET(
_xlpm.CSVVal,_xlfn.XLOOKUP($A556,CSV!$A:$A,CSV!I:I,""),
_xlpm.MacVal,_xlfn.XLOOKUP($A556,Output_Mac!$A:$A,Output_Mac!J:J,""),
_xlpm.MyAuditVal,_xlfn.XLOOKUP($A556,My_Audit!$A:$A,My_Audit!I:I,""),
_xlfn.IFS(_xlpm.MyAuditVal&lt;&gt;"",UPPER(_xlpm.MyAuditVal),_xlpm.MacVal&lt;&gt;"",_xlpm.MacVal,_xlpm.CSVVal&lt;&gt;"",_xlpm.CSVVal
)),"")</f>
        <v/>
      </c>
      <c r="K556" s="2" t="str" cm="1">
        <f t="array" ref="K556">IFERROR(_xlfn.LET(
_xlpm.CSVVal,_xlfn.XLOOKUP($A556,CSV!$A:$A,CSV!K:K,""),
_xlpm.MacVal,_xlfn.XLOOKUP($A556,Output_Mac!$A:$A,Output_Mac!K:K,""),
_xlpm.MyAuditVal,_xlfn.XLOOKUP($A556,My_Audit!$A:$A,My_Audit!J:J,""),
_xlfn.IFS(_xlpm.MyAuditVal&lt;&gt;"",UPPER(_xlpm.MyAuditVal),_xlpm.MacVal&lt;&gt;"",_xlpm.MacVal,_xlpm.CSVVal&lt;&gt;"",_xlpm.CSVVal
)),"")</f>
        <v/>
      </c>
      <c r="L556" s="2" t="str" cm="1">
        <f t="array" ref="L556">IFERROR(_xlfn.LET(
_xlpm.CSVVal,_xlfn.XLOOKUP($A556,CSV!$A:$A,CSV!P:P,""),
_xlpm.MacVal,_xlfn.XLOOKUP($A556,Output_Mac!$A:$A,Output_Mac!L:L,""),
_xlpm.MyAuditVal,_xlfn.XLOOKUP($A556,My_Audit!$A:$A,My_Audit!K:K,""),
_xlfn.IFS(_xlpm.MyAuditVal&lt;&gt;"",UPPER(_xlpm.MyAuditVal),_xlpm.MacVal&lt;&gt;"",_xlpm.MacVal,_xlpm.CSVVal&lt;&gt;"",_xlpm.CSVVal
)),"")</f>
        <v/>
      </c>
      <c r="M556" s="2" t="str" cm="1">
        <f t="array" ref="M556">IFERROR(_xlfn.LET(
_xlpm.CSVVal,_xlfn.XLOOKUP($A556,CSV!$A:$A,CSV!Q:Q,""),
_xlpm.MacVal,_xlfn.XLOOKUP($A556,Output_Mac!$A:$A,Output_Mac!M:M,""),
_xlpm.MyAuditVal,_xlfn.XLOOKUP($A556,My_Audit!$A:$A,My_Audit!L:L,""),
_xlfn.IFS(_xlpm.MyAuditVal&lt;&gt;"",UPPER(_xlpm.MyAuditVal),_xlpm.MacVal&lt;&gt;"",_xlpm.MacVal,_xlpm.CSVVal&lt;&gt;"",_xlpm.CSVVal
)),"")</f>
        <v/>
      </c>
      <c r="O556" s="2" t="str">
        <f>_xlfn.LET(
    _xlpm.CSVVal, _xlfn.XLOOKUP($A556, CSV!$A:$A, CSV!AF:AF, ""),
    _xlpm.MacVal, _xlfn.XLOOKUP($A556, Output_Mac!$A:$A, Output_Mac!S:S, ""),
    _xlpm.MyAuditVal, _xlfn.XLOOKUP($A556, My_Audit!$A:$A, My_Audit!P:P, ""),
    _xlfn.TEXTJOIN(", ", TRUE, _xlpm.MyAuditVal, _xlpm.MacVal, _xlpm.CSVVal)
)</f>
        <v/>
      </c>
      <c r="P556" s="2" t="str" cm="1">
        <f t="array" ref="P556">IFERROR(_xlfn.LET(
_xlpm.CSVVal,_xlfn.XLOOKUP($A556,CSV!$A:$A,CSV!AG:AG,""),
_xlpm.MacVal,_xlfn.XLOOKUP($A556,Output_Mac!$A:$A,Output_Mac!T:T,""),
_xlpm.MyAuditVal,_xlfn.XLOOKUP($A556,My_Audit!$A:$A,My_Audit!Q:Q,""),
_xlfn.IFS(_xlpm.MyAuditVal&lt;&gt;"",UPPER(_xlpm.MyAuditVal),_xlpm.MacVal&lt;&gt;"",_xlpm.MacVal,_xlpm.CSVVal&lt;&gt;"",_xlpm.CSVVal
)),"No")</f>
        <v>No</v>
      </c>
      <c r="Q556" s="2" t="str" cm="1">
        <f t="array" ref="Q556">IFERROR(_xlfn.LET(
_xlpm.CSVVal,_xlfn.XLOOKUP($A556,CSV!$A:$A,CSV!AH:AH,""),
_xlpm.MacVal,_xlfn.XLOOKUP($A556,Output_Mac!$A:$A,Output_Mac!U:U,""),
_xlpm.MyAuditVal,_xlfn.XLOOKUP($A556,My_Audit!$A:$A,My_Audit!R:R,""),
_xlfn.IFS(_xlpm.MyAuditVal&lt;&gt;"",UPPER(_xlpm.MyAuditVal),_xlpm.MacVal&lt;&gt;"",_xlpm.MacVal,_xlpm.CSVVal&lt;&gt;"",_xlpm.CSVVal
)),"")</f>
        <v/>
      </c>
    </row>
    <row r="557" spans="1:17">
      <c r="A557" s="2" t="str">
        <f>_xlfn.TEXTJOIN("",TRUE,Input!$B$2,ROW(My_Audit!A556))</f>
        <v>XX556</v>
      </c>
      <c r="B557" s="2" t="str">
        <f>_xlfn.TEXTJOIN("-",TRUE,"ITD",Input!$A$2,A557)</f>
        <v>ITD-SHRXXX-XX556</v>
      </c>
      <c r="C557" s="2" t="str" cm="1">
        <f t="array" ref="C557">IFERROR(_xlfn.LET(
_xlpm.CSVVal,_xlfn.XLOOKUP($A557,CSV!$A:$A,CSV!B:B,""),
_xlpm.MacVal,_xlfn.XLOOKUP($A557,Output_Mac!$A:$A,Output_Mac!B:B,""),
_xlpm.MyAuditVal,_xlfn.XLOOKUP($A557,My_Audit!$A:$A,My_Audit!B:B,""),
_xlfn.IFS(_xlpm.MyAuditVal&lt;&gt;"",UPPER(_xlpm.MyAuditVal),_xlpm.MacVal&lt;&gt;"",_xlpm.MacVal,_xlpm.CSVVal&lt;&gt;"",_xlpm.CSVVal
)),"")</f>
        <v/>
      </c>
      <c r="D557" s="2" t="str" cm="1">
        <f t="array" ref="D557">IFERROR(_xlfn.LET(
_xlpm.CSVVal,_xlfn.XLOOKUP($A557,CSV!$A:$A,CSV!D:D,""),
_xlpm.MacVal,_xlfn.XLOOKUP($A557,Output_Mac!$A:$A,Output_Mac!C:C,""),
_xlpm.MyAuditVal,_xlfn.XLOOKUP($A557,My_Audit!$A:$A,My_Audit!C:C,""),
_xlfn.IFS(_xlpm.MyAuditVal&lt;&gt;"",_xlpm.MyAuditVal,_xlpm.MacVal&lt;&gt;"",_xlpm.MacVal,_xlpm.CSVVal&lt;&gt;"",_xlpm.CSVVal
)),"")</f>
        <v/>
      </c>
      <c r="E557" s="2" t="str">
        <f>_xlfn.XLOOKUP(A557,My_Audit!A:A,My_Audit!D:D,"")&amp;""</f>
        <v/>
      </c>
      <c r="F557" s="2" t="str" cm="1">
        <f t="array" ref="F557">IFERROR(_xlfn.LET(
_xlpm.CSVVal,_xlfn.XLOOKUP($A557,CSV!$A:$A,CSV!F:F,""),
_xlpm.MacVal,_xlfn.XLOOKUP($A557,Output_Mac!$A:$A,Output_Mac!E:E,""),
_xlpm.MyAuditVal,_xlfn.XLOOKUP($A557,My_Audit!$A:$A,My_Audit!E:E,""),
_xlfn.IFS(_xlpm.MyAuditVal&lt;&gt;"",_xlpm.MyAuditVal,_xlpm.MacVal&lt;&gt;"",_xlpm.MacVal,_xlpm.CSVVal&lt;&gt;"",_xlpm.CSVVal
)),"")</f>
        <v/>
      </c>
      <c r="G557" s="2" t="str" cm="1">
        <f t="array" ref="G557">IFERROR(_xlfn.LET(
_xlpm.CSVVal,_xlfn.XLOOKUP($A557,CSV!$A:$A,CSV!G:G,""),
_xlpm.MacVal,_xlfn.XLOOKUP($A557,Output_Mac!$A:$A,Output_Mac!F:F,""),
_xlpm.MyAuditVal,_xlfn.XLOOKUP($A557,My_Audit!$A:$A,My_Audit!F:F,""),
_xlfn.IFS(_xlpm.MyAuditVal&lt;&gt;"",_xlpm.MyAuditVal,_xlpm.MacVal&lt;&gt;"",_xlpm.MacVal,_xlpm.CSVVal&lt;&gt;"",PROPER(_xlpm.CSVVal)
)),"")</f>
        <v/>
      </c>
      <c r="H557" s="2" t="str" cm="1">
        <f t="array" ref="H557">IFERROR(_xlfn.LET(
_xlpm.CSVVal,_xlfn.XLOOKUP($A557,CSV!$A:$A,CSV!H:H,""),
_xlpm.MacVal,_xlfn.XLOOKUP($A557,Output_Mac!$A:$A,Output_Mac!H:H,""),
_xlpm.MyAuditVal,_xlfn.XLOOKUP($A557,My_Audit!$A:$A,My_Audit!G:G,""),
_xlfn.IFS(_xlpm.MyAuditVal&lt;&gt;"",_xlpm.MyAuditVal,_xlpm.MacVal&lt;&gt;"",_xlpm.MacVal,_xlpm.CSVVal&lt;&gt;"",_xlpm.CSVVal
)),"")</f>
        <v/>
      </c>
      <c r="I557" s="2" t="str">
        <f>_xlfn.XLOOKUP(A557,Output_Mac!A:A,Output_Mac!I:I,"")</f>
        <v/>
      </c>
      <c r="J557" s="2" t="str" cm="1">
        <f t="array" ref="J557">IFERROR(_xlfn.LET(
_xlpm.CSVVal,_xlfn.XLOOKUP($A557,CSV!$A:$A,CSV!I:I,""),
_xlpm.MacVal,_xlfn.XLOOKUP($A557,Output_Mac!$A:$A,Output_Mac!J:J,""),
_xlpm.MyAuditVal,_xlfn.XLOOKUP($A557,My_Audit!$A:$A,My_Audit!I:I,""),
_xlfn.IFS(_xlpm.MyAuditVal&lt;&gt;"",UPPER(_xlpm.MyAuditVal),_xlpm.MacVal&lt;&gt;"",_xlpm.MacVal,_xlpm.CSVVal&lt;&gt;"",_xlpm.CSVVal
)),"")</f>
        <v/>
      </c>
      <c r="K557" s="2" t="str" cm="1">
        <f t="array" ref="K557">IFERROR(_xlfn.LET(
_xlpm.CSVVal,_xlfn.XLOOKUP($A557,CSV!$A:$A,CSV!K:K,""),
_xlpm.MacVal,_xlfn.XLOOKUP($A557,Output_Mac!$A:$A,Output_Mac!K:K,""),
_xlpm.MyAuditVal,_xlfn.XLOOKUP($A557,My_Audit!$A:$A,My_Audit!J:J,""),
_xlfn.IFS(_xlpm.MyAuditVal&lt;&gt;"",UPPER(_xlpm.MyAuditVal),_xlpm.MacVal&lt;&gt;"",_xlpm.MacVal,_xlpm.CSVVal&lt;&gt;"",_xlpm.CSVVal
)),"")</f>
        <v/>
      </c>
      <c r="L557" s="2" t="str" cm="1">
        <f t="array" ref="L557">IFERROR(_xlfn.LET(
_xlpm.CSVVal,_xlfn.XLOOKUP($A557,CSV!$A:$A,CSV!P:P,""),
_xlpm.MacVal,_xlfn.XLOOKUP($A557,Output_Mac!$A:$A,Output_Mac!L:L,""),
_xlpm.MyAuditVal,_xlfn.XLOOKUP($A557,My_Audit!$A:$A,My_Audit!K:K,""),
_xlfn.IFS(_xlpm.MyAuditVal&lt;&gt;"",UPPER(_xlpm.MyAuditVal),_xlpm.MacVal&lt;&gt;"",_xlpm.MacVal,_xlpm.CSVVal&lt;&gt;"",_xlpm.CSVVal
)),"")</f>
        <v/>
      </c>
      <c r="M557" s="2" t="str" cm="1">
        <f t="array" ref="M557">IFERROR(_xlfn.LET(
_xlpm.CSVVal,_xlfn.XLOOKUP($A557,CSV!$A:$A,CSV!Q:Q,""),
_xlpm.MacVal,_xlfn.XLOOKUP($A557,Output_Mac!$A:$A,Output_Mac!M:M,""),
_xlpm.MyAuditVal,_xlfn.XLOOKUP($A557,My_Audit!$A:$A,My_Audit!L:L,""),
_xlfn.IFS(_xlpm.MyAuditVal&lt;&gt;"",UPPER(_xlpm.MyAuditVal),_xlpm.MacVal&lt;&gt;"",_xlpm.MacVal,_xlpm.CSVVal&lt;&gt;"",_xlpm.CSVVal
)),"")</f>
        <v/>
      </c>
      <c r="O557" s="2" t="str">
        <f>_xlfn.LET(
    _xlpm.CSVVal, _xlfn.XLOOKUP($A557, CSV!$A:$A, CSV!AF:AF, ""),
    _xlpm.MacVal, _xlfn.XLOOKUP($A557, Output_Mac!$A:$A, Output_Mac!S:S, ""),
    _xlpm.MyAuditVal, _xlfn.XLOOKUP($A557, My_Audit!$A:$A, My_Audit!P:P, ""),
    _xlfn.TEXTJOIN(", ", TRUE, _xlpm.MyAuditVal, _xlpm.MacVal, _xlpm.CSVVal)
)</f>
        <v/>
      </c>
      <c r="P557" s="2" t="str" cm="1">
        <f t="array" ref="P557">IFERROR(_xlfn.LET(
_xlpm.CSVVal,_xlfn.XLOOKUP($A557,CSV!$A:$A,CSV!AG:AG,""),
_xlpm.MacVal,_xlfn.XLOOKUP($A557,Output_Mac!$A:$A,Output_Mac!T:T,""),
_xlpm.MyAuditVal,_xlfn.XLOOKUP($A557,My_Audit!$A:$A,My_Audit!Q:Q,""),
_xlfn.IFS(_xlpm.MyAuditVal&lt;&gt;"",UPPER(_xlpm.MyAuditVal),_xlpm.MacVal&lt;&gt;"",_xlpm.MacVal,_xlpm.CSVVal&lt;&gt;"",_xlpm.CSVVal
)),"No")</f>
        <v>No</v>
      </c>
      <c r="Q557" s="2" t="str" cm="1">
        <f t="array" ref="Q557">IFERROR(_xlfn.LET(
_xlpm.CSVVal,_xlfn.XLOOKUP($A557,CSV!$A:$A,CSV!AH:AH,""),
_xlpm.MacVal,_xlfn.XLOOKUP($A557,Output_Mac!$A:$A,Output_Mac!U:U,""),
_xlpm.MyAuditVal,_xlfn.XLOOKUP($A557,My_Audit!$A:$A,My_Audit!R:R,""),
_xlfn.IFS(_xlpm.MyAuditVal&lt;&gt;"",UPPER(_xlpm.MyAuditVal),_xlpm.MacVal&lt;&gt;"",_xlpm.MacVal,_xlpm.CSVVal&lt;&gt;"",_xlpm.CSVVal
)),"")</f>
        <v/>
      </c>
    </row>
    <row r="558" spans="1:17">
      <c r="A558" s="2" t="str">
        <f>_xlfn.TEXTJOIN("",TRUE,Input!$B$2,ROW(My_Audit!A557))</f>
        <v>XX557</v>
      </c>
      <c r="B558" s="2" t="str">
        <f>_xlfn.TEXTJOIN("-",TRUE,"ITD",Input!$A$2,A558)</f>
        <v>ITD-SHRXXX-XX557</v>
      </c>
      <c r="C558" s="2" t="str" cm="1">
        <f t="array" ref="C558">IFERROR(_xlfn.LET(
_xlpm.CSVVal,_xlfn.XLOOKUP($A558,CSV!$A:$A,CSV!B:B,""),
_xlpm.MacVal,_xlfn.XLOOKUP($A558,Output_Mac!$A:$A,Output_Mac!B:B,""),
_xlpm.MyAuditVal,_xlfn.XLOOKUP($A558,My_Audit!$A:$A,My_Audit!B:B,""),
_xlfn.IFS(_xlpm.MyAuditVal&lt;&gt;"",UPPER(_xlpm.MyAuditVal),_xlpm.MacVal&lt;&gt;"",_xlpm.MacVal,_xlpm.CSVVal&lt;&gt;"",_xlpm.CSVVal
)),"")</f>
        <v/>
      </c>
      <c r="D558" s="2" t="str" cm="1">
        <f t="array" ref="D558">IFERROR(_xlfn.LET(
_xlpm.CSVVal,_xlfn.XLOOKUP($A558,CSV!$A:$A,CSV!D:D,""),
_xlpm.MacVal,_xlfn.XLOOKUP($A558,Output_Mac!$A:$A,Output_Mac!C:C,""),
_xlpm.MyAuditVal,_xlfn.XLOOKUP($A558,My_Audit!$A:$A,My_Audit!C:C,""),
_xlfn.IFS(_xlpm.MyAuditVal&lt;&gt;"",_xlpm.MyAuditVal,_xlpm.MacVal&lt;&gt;"",_xlpm.MacVal,_xlpm.CSVVal&lt;&gt;"",_xlpm.CSVVal
)),"")</f>
        <v/>
      </c>
      <c r="E558" s="2" t="str">
        <f>_xlfn.XLOOKUP(A558,My_Audit!A:A,My_Audit!D:D,"")&amp;""</f>
        <v/>
      </c>
      <c r="F558" s="2" t="str" cm="1">
        <f t="array" ref="F558">IFERROR(_xlfn.LET(
_xlpm.CSVVal,_xlfn.XLOOKUP($A558,CSV!$A:$A,CSV!F:F,""),
_xlpm.MacVal,_xlfn.XLOOKUP($A558,Output_Mac!$A:$A,Output_Mac!E:E,""),
_xlpm.MyAuditVal,_xlfn.XLOOKUP($A558,My_Audit!$A:$A,My_Audit!E:E,""),
_xlfn.IFS(_xlpm.MyAuditVal&lt;&gt;"",_xlpm.MyAuditVal,_xlpm.MacVal&lt;&gt;"",_xlpm.MacVal,_xlpm.CSVVal&lt;&gt;"",_xlpm.CSVVal
)),"")</f>
        <v/>
      </c>
      <c r="G558" s="2" t="str" cm="1">
        <f t="array" ref="G558">IFERROR(_xlfn.LET(
_xlpm.CSVVal,_xlfn.XLOOKUP($A558,CSV!$A:$A,CSV!G:G,""),
_xlpm.MacVal,_xlfn.XLOOKUP($A558,Output_Mac!$A:$A,Output_Mac!F:F,""),
_xlpm.MyAuditVal,_xlfn.XLOOKUP($A558,My_Audit!$A:$A,My_Audit!F:F,""),
_xlfn.IFS(_xlpm.MyAuditVal&lt;&gt;"",_xlpm.MyAuditVal,_xlpm.MacVal&lt;&gt;"",_xlpm.MacVal,_xlpm.CSVVal&lt;&gt;"",PROPER(_xlpm.CSVVal)
)),"")</f>
        <v/>
      </c>
      <c r="H558" s="2" t="str" cm="1">
        <f t="array" ref="H558">IFERROR(_xlfn.LET(
_xlpm.CSVVal,_xlfn.XLOOKUP($A558,CSV!$A:$A,CSV!H:H,""),
_xlpm.MacVal,_xlfn.XLOOKUP($A558,Output_Mac!$A:$A,Output_Mac!H:H,""),
_xlpm.MyAuditVal,_xlfn.XLOOKUP($A558,My_Audit!$A:$A,My_Audit!G:G,""),
_xlfn.IFS(_xlpm.MyAuditVal&lt;&gt;"",_xlpm.MyAuditVal,_xlpm.MacVal&lt;&gt;"",_xlpm.MacVal,_xlpm.CSVVal&lt;&gt;"",_xlpm.CSVVal
)),"")</f>
        <v/>
      </c>
      <c r="I558" s="2" t="str">
        <f>_xlfn.XLOOKUP(A558,Output_Mac!A:A,Output_Mac!I:I,"")</f>
        <v/>
      </c>
      <c r="J558" s="2" t="str" cm="1">
        <f t="array" ref="J558">IFERROR(_xlfn.LET(
_xlpm.CSVVal,_xlfn.XLOOKUP($A558,CSV!$A:$A,CSV!I:I,""),
_xlpm.MacVal,_xlfn.XLOOKUP($A558,Output_Mac!$A:$A,Output_Mac!J:J,""),
_xlpm.MyAuditVal,_xlfn.XLOOKUP($A558,My_Audit!$A:$A,My_Audit!I:I,""),
_xlfn.IFS(_xlpm.MyAuditVal&lt;&gt;"",UPPER(_xlpm.MyAuditVal),_xlpm.MacVal&lt;&gt;"",_xlpm.MacVal,_xlpm.CSVVal&lt;&gt;"",_xlpm.CSVVal
)),"")</f>
        <v/>
      </c>
      <c r="K558" s="2" t="str" cm="1">
        <f t="array" ref="K558">IFERROR(_xlfn.LET(
_xlpm.CSVVal,_xlfn.XLOOKUP($A558,CSV!$A:$A,CSV!K:K,""),
_xlpm.MacVal,_xlfn.XLOOKUP($A558,Output_Mac!$A:$A,Output_Mac!K:K,""),
_xlpm.MyAuditVal,_xlfn.XLOOKUP($A558,My_Audit!$A:$A,My_Audit!J:J,""),
_xlfn.IFS(_xlpm.MyAuditVal&lt;&gt;"",UPPER(_xlpm.MyAuditVal),_xlpm.MacVal&lt;&gt;"",_xlpm.MacVal,_xlpm.CSVVal&lt;&gt;"",_xlpm.CSVVal
)),"")</f>
        <v/>
      </c>
      <c r="L558" s="2" t="str" cm="1">
        <f t="array" ref="L558">IFERROR(_xlfn.LET(
_xlpm.CSVVal,_xlfn.XLOOKUP($A558,CSV!$A:$A,CSV!P:P,""),
_xlpm.MacVal,_xlfn.XLOOKUP($A558,Output_Mac!$A:$A,Output_Mac!L:L,""),
_xlpm.MyAuditVal,_xlfn.XLOOKUP($A558,My_Audit!$A:$A,My_Audit!K:K,""),
_xlfn.IFS(_xlpm.MyAuditVal&lt;&gt;"",UPPER(_xlpm.MyAuditVal),_xlpm.MacVal&lt;&gt;"",_xlpm.MacVal,_xlpm.CSVVal&lt;&gt;"",_xlpm.CSVVal
)),"")</f>
        <v/>
      </c>
      <c r="M558" s="2" t="str" cm="1">
        <f t="array" ref="M558">IFERROR(_xlfn.LET(
_xlpm.CSVVal,_xlfn.XLOOKUP($A558,CSV!$A:$A,CSV!Q:Q,""),
_xlpm.MacVal,_xlfn.XLOOKUP($A558,Output_Mac!$A:$A,Output_Mac!M:M,""),
_xlpm.MyAuditVal,_xlfn.XLOOKUP($A558,My_Audit!$A:$A,My_Audit!L:L,""),
_xlfn.IFS(_xlpm.MyAuditVal&lt;&gt;"",UPPER(_xlpm.MyAuditVal),_xlpm.MacVal&lt;&gt;"",_xlpm.MacVal,_xlpm.CSVVal&lt;&gt;"",_xlpm.CSVVal
)),"")</f>
        <v/>
      </c>
      <c r="O558" s="2" t="str">
        <f>_xlfn.LET(
    _xlpm.CSVVal, _xlfn.XLOOKUP($A558, CSV!$A:$A, CSV!AF:AF, ""),
    _xlpm.MacVal, _xlfn.XLOOKUP($A558, Output_Mac!$A:$A, Output_Mac!S:S, ""),
    _xlpm.MyAuditVal, _xlfn.XLOOKUP($A558, My_Audit!$A:$A, My_Audit!P:P, ""),
    _xlfn.TEXTJOIN(", ", TRUE, _xlpm.MyAuditVal, _xlpm.MacVal, _xlpm.CSVVal)
)</f>
        <v/>
      </c>
      <c r="P558" s="2" t="str" cm="1">
        <f t="array" ref="P558">IFERROR(_xlfn.LET(
_xlpm.CSVVal,_xlfn.XLOOKUP($A558,CSV!$A:$A,CSV!AG:AG,""),
_xlpm.MacVal,_xlfn.XLOOKUP($A558,Output_Mac!$A:$A,Output_Mac!T:T,""),
_xlpm.MyAuditVal,_xlfn.XLOOKUP($A558,My_Audit!$A:$A,My_Audit!Q:Q,""),
_xlfn.IFS(_xlpm.MyAuditVal&lt;&gt;"",UPPER(_xlpm.MyAuditVal),_xlpm.MacVal&lt;&gt;"",_xlpm.MacVal,_xlpm.CSVVal&lt;&gt;"",_xlpm.CSVVal
)),"No")</f>
        <v>No</v>
      </c>
      <c r="Q558" s="2" t="str" cm="1">
        <f t="array" ref="Q558">IFERROR(_xlfn.LET(
_xlpm.CSVVal,_xlfn.XLOOKUP($A558,CSV!$A:$A,CSV!AH:AH,""),
_xlpm.MacVal,_xlfn.XLOOKUP($A558,Output_Mac!$A:$A,Output_Mac!U:U,""),
_xlpm.MyAuditVal,_xlfn.XLOOKUP($A558,My_Audit!$A:$A,My_Audit!R:R,""),
_xlfn.IFS(_xlpm.MyAuditVal&lt;&gt;"",UPPER(_xlpm.MyAuditVal),_xlpm.MacVal&lt;&gt;"",_xlpm.MacVal,_xlpm.CSVVal&lt;&gt;"",_xlpm.CSVVal
)),"")</f>
        <v/>
      </c>
    </row>
    <row r="559" spans="1:17">
      <c r="A559" s="2" t="str">
        <f>_xlfn.TEXTJOIN("",TRUE,Input!$B$2,ROW(My_Audit!A558))</f>
        <v>XX558</v>
      </c>
      <c r="B559" s="2" t="str">
        <f>_xlfn.TEXTJOIN("-",TRUE,"ITD",Input!$A$2,A559)</f>
        <v>ITD-SHRXXX-XX558</v>
      </c>
      <c r="C559" s="2" t="str" cm="1">
        <f t="array" ref="C559">IFERROR(_xlfn.LET(
_xlpm.CSVVal,_xlfn.XLOOKUP($A559,CSV!$A:$A,CSV!B:B,""),
_xlpm.MacVal,_xlfn.XLOOKUP($A559,Output_Mac!$A:$A,Output_Mac!B:B,""),
_xlpm.MyAuditVal,_xlfn.XLOOKUP($A559,My_Audit!$A:$A,My_Audit!B:B,""),
_xlfn.IFS(_xlpm.MyAuditVal&lt;&gt;"",UPPER(_xlpm.MyAuditVal),_xlpm.MacVal&lt;&gt;"",_xlpm.MacVal,_xlpm.CSVVal&lt;&gt;"",_xlpm.CSVVal
)),"")</f>
        <v/>
      </c>
      <c r="D559" s="2" t="str" cm="1">
        <f t="array" ref="D559">IFERROR(_xlfn.LET(
_xlpm.CSVVal,_xlfn.XLOOKUP($A559,CSV!$A:$A,CSV!D:D,""),
_xlpm.MacVal,_xlfn.XLOOKUP($A559,Output_Mac!$A:$A,Output_Mac!C:C,""),
_xlpm.MyAuditVal,_xlfn.XLOOKUP($A559,My_Audit!$A:$A,My_Audit!C:C,""),
_xlfn.IFS(_xlpm.MyAuditVal&lt;&gt;"",_xlpm.MyAuditVal,_xlpm.MacVal&lt;&gt;"",_xlpm.MacVal,_xlpm.CSVVal&lt;&gt;"",_xlpm.CSVVal
)),"")</f>
        <v/>
      </c>
      <c r="E559" s="2" t="str">
        <f>_xlfn.XLOOKUP(A559,My_Audit!A:A,My_Audit!D:D,"")&amp;""</f>
        <v/>
      </c>
      <c r="F559" s="2" t="str" cm="1">
        <f t="array" ref="F559">IFERROR(_xlfn.LET(
_xlpm.CSVVal,_xlfn.XLOOKUP($A559,CSV!$A:$A,CSV!F:F,""),
_xlpm.MacVal,_xlfn.XLOOKUP($A559,Output_Mac!$A:$A,Output_Mac!E:E,""),
_xlpm.MyAuditVal,_xlfn.XLOOKUP($A559,My_Audit!$A:$A,My_Audit!E:E,""),
_xlfn.IFS(_xlpm.MyAuditVal&lt;&gt;"",_xlpm.MyAuditVal,_xlpm.MacVal&lt;&gt;"",_xlpm.MacVal,_xlpm.CSVVal&lt;&gt;"",_xlpm.CSVVal
)),"")</f>
        <v/>
      </c>
      <c r="G559" s="2" t="str" cm="1">
        <f t="array" ref="G559">IFERROR(_xlfn.LET(
_xlpm.CSVVal,_xlfn.XLOOKUP($A559,CSV!$A:$A,CSV!G:G,""),
_xlpm.MacVal,_xlfn.XLOOKUP($A559,Output_Mac!$A:$A,Output_Mac!F:F,""),
_xlpm.MyAuditVal,_xlfn.XLOOKUP($A559,My_Audit!$A:$A,My_Audit!F:F,""),
_xlfn.IFS(_xlpm.MyAuditVal&lt;&gt;"",_xlpm.MyAuditVal,_xlpm.MacVal&lt;&gt;"",_xlpm.MacVal,_xlpm.CSVVal&lt;&gt;"",PROPER(_xlpm.CSVVal)
)),"")</f>
        <v/>
      </c>
      <c r="H559" s="2" t="str" cm="1">
        <f t="array" ref="H559">IFERROR(_xlfn.LET(
_xlpm.CSVVal,_xlfn.XLOOKUP($A559,CSV!$A:$A,CSV!H:H,""),
_xlpm.MacVal,_xlfn.XLOOKUP($A559,Output_Mac!$A:$A,Output_Mac!H:H,""),
_xlpm.MyAuditVal,_xlfn.XLOOKUP($A559,My_Audit!$A:$A,My_Audit!G:G,""),
_xlfn.IFS(_xlpm.MyAuditVal&lt;&gt;"",_xlpm.MyAuditVal,_xlpm.MacVal&lt;&gt;"",_xlpm.MacVal,_xlpm.CSVVal&lt;&gt;"",_xlpm.CSVVal
)),"")</f>
        <v/>
      </c>
      <c r="I559" s="2" t="str">
        <f>_xlfn.XLOOKUP(A559,Output_Mac!A:A,Output_Mac!I:I,"")</f>
        <v/>
      </c>
      <c r="J559" s="2" t="str" cm="1">
        <f t="array" ref="J559">IFERROR(_xlfn.LET(
_xlpm.CSVVal,_xlfn.XLOOKUP($A559,CSV!$A:$A,CSV!I:I,""),
_xlpm.MacVal,_xlfn.XLOOKUP($A559,Output_Mac!$A:$A,Output_Mac!J:J,""),
_xlpm.MyAuditVal,_xlfn.XLOOKUP($A559,My_Audit!$A:$A,My_Audit!I:I,""),
_xlfn.IFS(_xlpm.MyAuditVal&lt;&gt;"",UPPER(_xlpm.MyAuditVal),_xlpm.MacVal&lt;&gt;"",_xlpm.MacVal,_xlpm.CSVVal&lt;&gt;"",_xlpm.CSVVal
)),"")</f>
        <v/>
      </c>
      <c r="K559" s="2" t="str" cm="1">
        <f t="array" ref="K559">IFERROR(_xlfn.LET(
_xlpm.CSVVal,_xlfn.XLOOKUP($A559,CSV!$A:$A,CSV!K:K,""),
_xlpm.MacVal,_xlfn.XLOOKUP($A559,Output_Mac!$A:$A,Output_Mac!K:K,""),
_xlpm.MyAuditVal,_xlfn.XLOOKUP($A559,My_Audit!$A:$A,My_Audit!J:J,""),
_xlfn.IFS(_xlpm.MyAuditVal&lt;&gt;"",UPPER(_xlpm.MyAuditVal),_xlpm.MacVal&lt;&gt;"",_xlpm.MacVal,_xlpm.CSVVal&lt;&gt;"",_xlpm.CSVVal
)),"")</f>
        <v/>
      </c>
      <c r="L559" s="2" t="str" cm="1">
        <f t="array" ref="L559">IFERROR(_xlfn.LET(
_xlpm.CSVVal,_xlfn.XLOOKUP($A559,CSV!$A:$A,CSV!P:P,""),
_xlpm.MacVal,_xlfn.XLOOKUP($A559,Output_Mac!$A:$A,Output_Mac!L:L,""),
_xlpm.MyAuditVal,_xlfn.XLOOKUP($A559,My_Audit!$A:$A,My_Audit!K:K,""),
_xlfn.IFS(_xlpm.MyAuditVal&lt;&gt;"",UPPER(_xlpm.MyAuditVal),_xlpm.MacVal&lt;&gt;"",_xlpm.MacVal,_xlpm.CSVVal&lt;&gt;"",_xlpm.CSVVal
)),"")</f>
        <v/>
      </c>
      <c r="M559" s="2" t="str" cm="1">
        <f t="array" ref="M559">IFERROR(_xlfn.LET(
_xlpm.CSVVal,_xlfn.XLOOKUP($A559,CSV!$A:$A,CSV!Q:Q,""),
_xlpm.MacVal,_xlfn.XLOOKUP($A559,Output_Mac!$A:$A,Output_Mac!M:M,""),
_xlpm.MyAuditVal,_xlfn.XLOOKUP($A559,My_Audit!$A:$A,My_Audit!L:L,""),
_xlfn.IFS(_xlpm.MyAuditVal&lt;&gt;"",UPPER(_xlpm.MyAuditVal),_xlpm.MacVal&lt;&gt;"",_xlpm.MacVal,_xlpm.CSVVal&lt;&gt;"",_xlpm.CSVVal
)),"")</f>
        <v/>
      </c>
      <c r="O559" s="2" t="str">
        <f>_xlfn.LET(
    _xlpm.CSVVal, _xlfn.XLOOKUP($A559, CSV!$A:$A, CSV!AF:AF, ""),
    _xlpm.MacVal, _xlfn.XLOOKUP($A559, Output_Mac!$A:$A, Output_Mac!S:S, ""),
    _xlpm.MyAuditVal, _xlfn.XLOOKUP($A559, My_Audit!$A:$A, My_Audit!P:P, ""),
    _xlfn.TEXTJOIN(", ", TRUE, _xlpm.MyAuditVal, _xlpm.MacVal, _xlpm.CSVVal)
)</f>
        <v/>
      </c>
      <c r="P559" s="2" t="str" cm="1">
        <f t="array" ref="P559">IFERROR(_xlfn.LET(
_xlpm.CSVVal,_xlfn.XLOOKUP($A559,CSV!$A:$A,CSV!AG:AG,""),
_xlpm.MacVal,_xlfn.XLOOKUP($A559,Output_Mac!$A:$A,Output_Mac!T:T,""),
_xlpm.MyAuditVal,_xlfn.XLOOKUP($A559,My_Audit!$A:$A,My_Audit!Q:Q,""),
_xlfn.IFS(_xlpm.MyAuditVal&lt;&gt;"",UPPER(_xlpm.MyAuditVal),_xlpm.MacVal&lt;&gt;"",_xlpm.MacVal,_xlpm.CSVVal&lt;&gt;"",_xlpm.CSVVal
)),"No")</f>
        <v>No</v>
      </c>
      <c r="Q559" s="2" t="str" cm="1">
        <f t="array" ref="Q559">IFERROR(_xlfn.LET(
_xlpm.CSVVal,_xlfn.XLOOKUP($A559,CSV!$A:$A,CSV!AH:AH,""),
_xlpm.MacVal,_xlfn.XLOOKUP($A559,Output_Mac!$A:$A,Output_Mac!U:U,""),
_xlpm.MyAuditVal,_xlfn.XLOOKUP($A559,My_Audit!$A:$A,My_Audit!R:R,""),
_xlfn.IFS(_xlpm.MyAuditVal&lt;&gt;"",UPPER(_xlpm.MyAuditVal),_xlpm.MacVal&lt;&gt;"",_xlpm.MacVal,_xlpm.CSVVal&lt;&gt;"",_xlpm.CSVVal
)),"")</f>
        <v/>
      </c>
    </row>
    <row r="560" spans="1:17">
      <c r="A560" s="2" t="str">
        <f>_xlfn.TEXTJOIN("",TRUE,Input!$B$2,ROW(My_Audit!A559))</f>
        <v>XX559</v>
      </c>
      <c r="B560" s="2" t="str">
        <f>_xlfn.TEXTJOIN("-",TRUE,"ITD",Input!$A$2,A560)</f>
        <v>ITD-SHRXXX-XX559</v>
      </c>
      <c r="C560" s="2" t="str" cm="1">
        <f t="array" ref="C560">IFERROR(_xlfn.LET(
_xlpm.CSVVal,_xlfn.XLOOKUP($A560,CSV!$A:$A,CSV!B:B,""),
_xlpm.MacVal,_xlfn.XLOOKUP($A560,Output_Mac!$A:$A,Output_Mac!B:B,""),
_xlpm.MyAuditVal,_xlfn.XLOOKUP($A560,My_Audit!$A:$A,My_Audit!B:B,""),
_xlfn.IFS(_xlpm.MyAuditVal&lt;&gt;"",UPPER(_xlpm.MyAuditVal),_xlpm.MacVal&lt;&gt;"",_xlpm.MacVal,_xlpm.CSVVal&lt;&gt;"",_xlpm.CSVVal
)),"")</f>
        <v/>
      </c>
      <c r="D560" s="2" t="str" cm="1">
        <f t="array" ref="D560">IFERROR(_xlfn.LET(
_xlpm.CSVVal,_xlfn.XLOOKUP($A560,CSV!$A:$A,CSV!D:D,""),
_xlpm.MacVal,_xlfn.XLOOKUP($A560,Output_Mac!$A:$A,Output_Mac!C:C,""),
_xlpm.MyAuditVal,_xlfn.XLOOKUP($A560,My_Audit!$A:$A,My_Audit!C:C,""),
_xlfn.IFS(_xlpm.MyAuditVal&lt;&gt;"",_xlpm.MyAuditVal,_xlpm.MacVal&lt;&gt;"",_xlpm.MacVal,_xlpm.CSVVal&lt;&gt;"",_xlpm.CSVVal
)),"")</f>
        <v/>
      </c>
      <c r="E560" s="2" t="str">
        <f>_xlfn.XLOOKUP(A560,My_Audit!A:A,My_Audit!D:D,"")&amp;""</f>
        <v/>
      </c>
      <c r="F560" s="2" t="str" cm="1">
        <f t="array" ref="F560">IFERROR(_xlfn.LET(
_xlpm.CSVVal,_xlfn.XLOOKUP($A560,CSV!$A:$A,CSV!F:F,""),
_xlpm.MacVal,_xlfn.XLOOKUP($A560,Output_Mac!$A:$A,Output_Mac!E:E,""),
_xlpm.MyAuditVal,_xlfn.XLOOKUP($A560,My_Audit!$A:$A,My_Audit!E:E,""),
_xlfn.IFS(_xlpm.MyAuditVal&lt;&gt;"",_xlpm.MyAuditVal,_xlpm.MacVal&lt;&gt;"",_xlpm.MacVal,_xlpm.CSVVal&lt;&gt;"",_xlpm.CSVVal
)),"")</f>
        <v/>
      </c>
      <c r="G560" s="2" t="str" cm="1">
        <f t="array" ref="G560">IFERROR(_xlfn.LET(
_xlpm.CSVVal,_xlfn.XLOOKUP($A560,CSV!$A:$A,CSV!G:G,""),
_xlpm.MacVal,_xlfn.XLOOKUP($A560,Output_Mac!$A:$A,Output_Mac!F:F,""),
_xlpm.MyAuditVal,_xlfn.XLOOKUP($A560,My_Audit!$A:$A,My_Audit!F:F,""),
_xlfn.IFS(_xlpm.MyAuditVal&lt;&gt;"",_xlpm.MyAuditVal,_xlpm.MacVal&lt;&gt;"",_xlpm.MacVal,_xlpm.CSVVal&lt;&gt;"",PROPER(_xlpm.CSVVal)
)),"")</f>
        <v/>
      </c>
      <c r="H560" s="2" t="str" cm="1">
        <f t="array" ref="H560">IFERROR(_xlfn.LET(
_xlpm.CSVVal,_xlfn.XLOOKUP($A560,CSV!$A:$A,CSV!H:H,""),
_xlpm.MacVal,_xlfn.XLOOKUP($A560,Output_Mac!$A:$A,Output_Mac!H:H,""),
_xlpm.MyAuditVal,_xlfn.XLOOKUP($A560,My_Audit!$A:$A,My_Audit!G:G,""),
_xlfn.IFS(_xlpm.MyAuditVal&lt;&gt;"",_xlpm.MyAuditVal,_xlpm.MacVal&lt;&gt;"",_xlpm.MacVal,_xlpm.CSVVal&lt;&gt;"",_xlpm.CSVVal
)),"")</f>
        <v/>
      </c>
      <c r="I560" s="2" t="str">
        <f>_xlfn.XLOOKUP(A560,Output_Mac!A:A,Output_Mac!I:I,"")</f>
        <v/>
      </c>
      <c r="J560" s="2" t="str" cm="1">
        <f t="array" ref="J560">IFERROR(_xlfn.LET(
_xlpm.CSVVal,_xlfn.XLOOKUP($A560,CSV!$A:$A,CSV!I:I,""),
_xlpm.MacVal,_xlfn.XLOOKUP($A560,Output_Mac!$A:$A,Output_Mac!J:J,""),
_xlpm.MyAuditVal,_xlfn.XLOOKUP($A560,My_Audit!$A:$A,My_Audit!I:I,""),
_xlfn.IFS(_xlpm.MyAuditVal&lt;&gt;"",UPPER(_xlpm.MyAuditVal),_xlpm.MacVal&lt;&gt;"",_xlpm.MacVal,_xlpm.CSVVal&lt;&gt;"",_xlpm.CSVVal
)),"")</f>
        <v/>
      </c>
      <c r="K560" s="2" t="str" cm="1">
        <f t="array" ref="K560">IFERROR(_xlfn.LET(
_xlpm.CSVVal,_xlfn.XLOOKUP($A560,CSV!$A:$A,CSV!K:K,""),
_xlpm.MacVal,_xlfn.XLOOKUP($A560,Output_Mac!$A:$A,Output_Mac!K:K,""),
_xlpm.MyAuditVal,_xlfn.XLOOKUP($A560,My_Audit!$A:$A,My_Audit!J:J,""),
_xlfn.IFS(_xlpm.MyAuditVal&lt;&gt;"",UPPER(_xlpm.MyAuditVal),_xlpm.MacVal&lt;&gt;"",_xlpm.MacVal,_xlpm.CSVVal&lt;&gt;"",_xlpm.CSVVal
)),"")</f>
        <v/>
      </c>
      <c r="L560" s="2" t="str" cm="1">
        <f t="array" ref="L560">IFERROR(_xlfn.LET(
_xlpm.CSVVal,_xlfn.XLOOKUP($A560,CSV!$A:$A,CSV!P:P,""),
_xlpm.MacVal,_xlfn.XLOOKUP($A560,Output_Mac!$A:$A,Output_Mac!L:L,""),
_xlpm.MyAuditVal,_xlfn.XLOOKUP($A560,My_Audit!$A:$A,My_Audit!K:K,""),
_xlfn.IFS(_xlpm.MyAuditVal&lt;&gt;"",UPPER(_xlpm.MyAuditVal),_xlpm.MacVal&lt;&gt;"",_xlpm.MacVal,_xlpm.CSVVal&lt;&gt;"",_xlpm.CSVVal
)),"")</f>
        <v/>
      </c>
      <c r="M560" s="2" t="str" cm="1">
        <f t="array" ref="M560">IFERROR(_xlfn.LET(
_xlpm.CSVVal,_xlfn.XLOOKUP($A560,CSV!$A:$A,CSV!Q:Q,""),
_xlpm.MacVal,_xlfn.XLOOKUP($A560,Output_Mac!$A:$A,Output_Mac!M:M,""),
_xlpm.MyAuditVal,_xlfn.XLOOKUP($A560,My_Audit!$A:$A,My_Audit!L:L,""),
_xlfn.IFS(_xlpm.MyAuditVal&lt;&gt;"",UPPER(_xlpm.MyAuditVal),_xlpm.MacVal&lt;&gt;"",_xlpm.MacVal,_xlpm.CSVVal&lt;&gt;"",_xlpm.CSVVal
)),"")</f>
        <v/>
      </c>
      <c r="O560" s="2" t="str">
        <f>_xlfn.LET(
    _xlpm.CSVVal, _xlfn.XLOOKUP($A560, CSV!$A:$A, CSV!AF:AF, ""),
    _xlpm.MacVal, _xlfn.XLOOKUP($A560, Output_Mac!$A:$A, Output_Mac!S:S, ""),
    _xlpm.MyAuditVal, _xlfn.XLOOKUP($A560, My_Audit!$A:$A, My_Audit!P:P, ""),
    _xlfn.TEXTJOIN(", ", TRUE, _xlpm.MyAuditVal, _xlpm.MacVal, _xlpm.CSVVal)
)</f>
        <v/>
      </c>
      <c r="P560" s="2" t="str" cm="1">
        <f t="array" ref="P560">IFERROR(_xlfn.LET(
_xlpm.CSVVal,_xlfn.XLOOKUP($A560,CSV!$A:$A,CSV!AG:AG,""),
_xlpm.MacVal,_xlfn.XLOOKUP($A560,Output_Mac!$A:$A,Output_Mac!T:T,""),
_xlpm.MyAuditVal,_xlfn.XLOOKUP($A560,My_Audit!$A:$A,My_Audit!Q:Q,""),
_xlfn.IFS(_xlpm.MyAuditVal&lt;&gt;"",UPPER(_xlpm.MyAuditVal),_xlpm.MacVal&lt;&gt;"",_xlpm.MacVal,_xlpm.CSVVal&lt;&gt;"",_xlpm.CSVVal
)),"No")</f>
        <v>No</v>
      </c>
      <c r="Q560" s="2" t="str" cm="1">
        <f t="array" ref="Q560">IFERROR(_xlfn.LET(
_xlpm.CSVVal,_xlfn.XLOOKUP($A560,CSV!$A:$A,CSV!AH:AH,""),
_xlpm.MacVal,_xlfn.XLOOKUP($A560,Output_Mac!$A:$A,Output_Mac!U:U,""),
_xlpm.MyAuditVal,_xlfn.XLOOKUP($A560,My_Audit!$A:$A,My_Audit!R:R,""),
_xlfn.IFS(_xlpm.MyAuditVal&lt;&gt;"",UPPER(_xlpm.MyAuditVal),_xlpm.MacVal&lt;&gt;"",_xlpm.MacVal,_xlpm.CSVVal&lt;&gt;"",_xlpm.CSVVal
)),"")</f>
        <v/>
      </c>
    </row>
    <row r="561" spans="1:17">
      <c r="A561" s="2" t="str">
        <f>_xlfn.TEXTJOIN("",TRUE,Input!$B$2,ROW(My_Audit!A560))</f>
        <v>XX560</v>
      </c>
      <c r="B561" s="2" t="str">
        <f>_xlfn.TEXTJOIN("-",TRUE,"ITD",Input!$A$2,A561)</f>
        <v>ITD-SHRXXX-XX560</v>
      </c>
      <c r="C561" s="2" t="str" cm="1">
        <f t="array" ref="C561">IFERROR(_xlfn.LET(
_xlpm.CSVVal,_xlfn.XLOOKUP($A561,CSV!$A:$A,CSV!B:B,""),
_xlpm.MacVal,_xlfn.XLOOKUP($A561,Output_Mac!$A:$A,Output_Mac!B:B,""),
_xlpm.MyAuditVal,_xlfn.XLOOKUP($A561,My_Audit!$A:$A,My_Audit!B:B,""),
_xlfn.IFS(_xlpm.MyAuditVal&lt;&gt;"",UPPER(_xlpm.MyAuditVal),_xlpm.MacVal&lt;&gt;"",_xlpm.MacVal,_xlpm.CSVVal&lt;&gt;"",_xlpm.CSVVal
)),"")</f>
        <v/>
      </c>
      <c r="D561" s="2" t="str" cm="1">
        <f t="array" ref="D561">IFERROR(_xlfn.LET(
_xlpm.CSVVal,_xlfn.XLOOKUP($A561,CSV!$A:$A,CSV!D:D,""),
_xlpm.MacVal,_xlfn.XLOOKUP($A561,Output_Mac!$A:$A,Output_Mac!C:C,""),
_xlpm.MyAuditVal,_xlfn.XLOOKUP($A561,My_Audit!$A:$A,My_Audit!C:C,""),
_xlfn.IFS(_xlpm.MyAuditVal&lt;&gt;"",_xlpm.MyAuditVal,_xlpm.MacVal&lt;&gt;"",_xlpm.MacVal,_xlpm.CSVVal&lt;&gt;"",_xlpm.CSVVal
)),"")</f>
        <v/>
      </c>
      <c r="E561" s="2" t="str">
        <f>_xlfn.XLOOKUP(A561,My_Audit!A:A,My_Audit!D:D,"")&amp;""</f>
        <v/>
      </c>
      <c r="F561" s="2" t="str" cm="1">
        <f t="array" ref="F561">IFERROR(_xlfn.LET(
_xlpm.CSVVal,_xlfn.XLOOKUP($A561,CSV!$A:$A,CSV!F:F,""),
_xlpm.MacVal,_xlfn.XLOOKUP($A561,Output_Mac!$A:$A,Output_Mac!E:E,""),
_xlpm.MyAuditVal,_xlfn.XLOOKUP($A561,My_Audit!$A:$A,My_Audit!E:E,""),
_xlfn.IFS(_xlpm.MyAuditVal&lt;&gt;"",_xlpm.MyAuditVal,_xlpm.MacVal&lt;&gt;"",_xlpm.MacVal,_xlpm.CSVVal&lt;&gt;"",_xlpm.CSVVal
)),"")</f>
        <v/>
      </c>
      <c r="G561" s="2" t="str" cm="1">
        <f t="array" ref="G561">IFERROR(_xlfn.LET(
_xlpm.CSVVal,_xlfn.XLOOKUP($A561,CSV!$A:$A,CSV!G:G,""),
_xlpm.MacVal,_xlfn.XLOOKUP($A561,Output_Mac!$A:$A,Output_Mac!F:F,""),
_xlpm.MyAuditVal,_xlfn.XLOOKUP($A561,My_Audit!$A:$A,My_Audit!F:F,""),
_xlfn.IFS(_xlpm.MyAuditVal&lt;&gt;"",_xlpm.MyAuditVal,_xlpm.MacVal&lt;&gt;"",_xlpm.MacVal,_xlpm.CSVVal&lt;&gt;"",PROPER(_xlpm.CSVVal)
)),"")</f>
        <v/>
      </c>
      <c r="H561" s="2" t="str" cm="1">
        <f t="array" ref="H561">IFERROR(_xlfn.LET(
_xlpm.CSVVal,_xlfn.XLOOKUP($A561,CSV!$A:$A,CSV!H:H,""),
_xlpm.MacVal,_xlfn.XLOOKUP($A561,Output_Mac!$A:$A,Output_Mac!H:H,""),
_xlpm.MyAuditVal,_xlfn.XLOOKUP($A561,My_Audit!$A:$A,My_Audit!G:G,""),
_xlfn.IFS(_xlpm.MyAuditVal&lt;&gt;"",_xlpm.MyAuditVal,_xlpm.MacVal&lt;&gt;"",_xlpm.MacVal,_xlpm.CSVVal&lt;&gt;"",_xlpm.CSVVal
)),"")</f>
        <v/>
      </c>
      <c r="I561" s="2" t="str">
        <f>_xlfn.XLOOKUP(A561,Output_Mac!A:A,Output_Mac!I:I,"")</f>
        <v/>
      </c>
      <c r="J561" s="2" t="str" cm="1">
        <f t="array" ref="J561">IFERROR(_xlfn.LET(
_xlpm.CSVVal,_xlfn.XLOOKUP($A561,CSV!$A:$A,CSV!I:I,""),
_xlpm.MacVal,_xlfn.XLOOKUP($A561,Output_Mac!$A:$A,Output_Mac!J:J,""),
_xlpm.MyAuditVal,_xlfn.XLOOKUP($A561,My_Audit!$A:$A,My_Audit!I:I,""),
_xlfn.IFS(_xlpm.MyAuditVal&lt;&gt;"",UPPER(_xlpm.MyAuditVal),_xlpm.MacVal&lt;&gt;"",_xlpm.MacVal,_xlpm.CSVVal&lt;&gt;"",_xlpm.CSVVal
)),"")</f>
        <v/>
      </c>
      <c r="K561" s="2" t="str" cm="1">
        <f t="array" ref="K561">IFERROR(_xlfn.LET(
_xlpm.CSVVal,_xlfn.XLOOKUP($A561,CSV!$A:$A,CSV!K:K,""),
_xlpm.MacVal,_xlfn.XLOOKUP($A561,Output_Mac!$A:$A,Output_Mac!K:K,""),
_xlpm.MyAuditVal,_xlfn.XLOOKUP($A561,My_Audit!$A:$A,My_Audit!J:J,""),
_xlfn.IFS(_xlpm.MyAuditVal&lt;&gt;"",UPPER(_xlpm.MyAuditVal),_xlpm.MacVal&lt;&gt;"",_xlpm.MacVal,_xlpm.CSVVal&lt;&gt;"",_xlpm.CSVVal
)),"")</f>
        <v/>
      </c>
      <c r="L561" s="2" t="str" cm="1">
        <f t="array" ref="L561">IFERROR(_xlfn.LET(
_xlpm.CSVVal,_xlfn.XLOOKUP($A561,CSV!$A:$A,CSV!P:P,""),
_xlpm.MacVal,_xlfn.XLOOKUP($A561,Output_Mac!$A:$A,Output_Mac!L:L,""),
_xlpm.MyAuditVal,_xlfn.XLOOKUP($A561,My_Audit!$A:$A,My_Audit!K:K,""),
_xlfn.IFS(_xlpm.MyAuditVal&lt;&gt;"",UPPER(_xlpm.MyAuditVal),_xlpm.MacVal&lt;&gt;"",_xlpm.MacVal,_xlpm.CSVVal&lt;&gt;"",_xlpm.CSVVal
)),"")</f>
        <v/>
      </c>
      <c r="M561" s="2" t="str" cm="1">
        <f t="array" ref="M561">IFERROR(_xlfn.LET(
_xlpm.CSVVal,_xlfn.XLOOKUP($A561,CSV!$A:$A,CSV!Q:Q,""),
_xlpm.MacVal,_xlfn.XLOOKUP($A561,Output_Mac!$A:$A,Output_Mac!M:M,""),
_xlpm.MyAuditVal,_xlfn.XLOOKUP($A561,My_Audit!$A:$A,My_Audit!L:L,""),
_xlfn.IFS(_xlpm.MyAuditVal&lt;&gt;"",UPPER(_xlpm.MyAuditVal),_xlpm.MacVal&lt;&gt;"",_xlpm.MacVal,_xlpm.CSVVal&lt;&gt;"",_xlpm.CSVVal
)),"")</f>
        <v/>
      </c>
      <c r="O561" s="2" t="str">
        <f>_xlfn.LET(
    _xlpm.CSVVal, _xlfn.XLOOKUP($A561, CSV!$A:$A, CSV!AF:AF, ""),
    _xlpm.MacVal, _xlfn.XLOOKUP($A561, Output_Mac!$A:$A, Output_Mac!S:S, ""),
    _xlpm.MyAuditVal, _xlfn.XLOOKUP($A561, My_Audit!$A:$A, My_Audit!P:P, ""),
    _xlfn.TEXTJOIN(", ", TRUE, _xlpm.MyAuditVal, _xlpm.MacVal, _xlpm.CSVVal)
)</f>
        <v/>
      </c>
      <c r="P561" s="2" t="str" cm="1">
        <f t="array" ref="P561">IFERROR(_xlfn.LET(
_xlpm.CSVVal,_xlfn.XLOOKUP($A561,CSV!$A:$A,CSV!AG:AG,""),
_xlpm.MacVal,_xlfn.XLOOKUP($A561,Output_Mac!$A:$A,Output_Mac!T:T,""),
_xlpm.MyAuditVal,_xlfn.XLOOKUP($A561,My_Audit!$A:$A,My_Audit!Q:Q,""),
_xlfn.IFS(_xlpm.MyAuditVal&lt;&gt;"",UPPER(_xlpm.MyAuditVal),_xlpm.MacVal&lt;&gt;"",_xlpm.MacVal,_xlpm.CSVVal&lt;&gt;"",_xlpm.CSVVal
)),"No")</f>
        <v>No</v>
      </c>
      <c r="Q561" s="2" t="str" cm="1">
        <f t="array" ref="Q561">IFERROR(_xlfn.LET(
_xlpm.CSVVal,_xlfn.XLOOKUP($A561,CSV!$A:$A,CSV!AH:AH,""),
_xlpm.MacVal,_xlfn.XLOOKUP($A561,Output_Mac!$A:$A,Output_Mac!U:U,""),
_xlpm.MyAuditVal,_xlfn.XLOOKUP($A561,My_Audit!$A:$A,My_Audit!R:R,""),
_xlfn.IFS(_xlpm.MyAuditVal&lt;&gt;"",UPPER(_xlpm.MyAuditVal),_xlpm.MacVal&lt;&gt;"",_xlpm.MacVal,_xlpm.CSVVal&lt;&gt;"",_xlpm.CSVVal
)),"")</f>
        <v/>
      </c>
    </row>
    <row r="562" spans="1:17">
      <c r="A562" s="2" t="str">
        <f>_xlfn.TEXTJOIN("",TRUE,Input!$B$2,ROW(My_Audit!A561))</f>
        <v>XX561</v>
      </c>
      <c r="B562" s="2" t="str">
        <f>_xlfn.TEXTJOIN("-",TRUE,"ITD",Input!$A$2,A562)</f>
        <v>ITD-SHRXXX-XX561</v>
      </c>
      <c r="C562" s="2" t="str" cm="1">
        <f t="array" ref="C562">IFERROR(_xlfn.LET(
_xlpm.CSVVal,_xlfn.XLOOKUP($A562,CSV!$A:$A,CSV!B:B,""),
_xlpm.MacVal,_xlfn.XLOOKUP($A562,Output_Mac!$A:$A,Output_Mac!B:B,""),
_xlpm.MyAuditVal,_xlfn.XLOOKUP($A562,My_Audit!$A:$A,My_Audit!B:B,""),
_xlfn.IFS(_xlpm.MyAuditVal&lt;&gt;"",UPPER(_xlpm.MyAuditVal),_xlpm.MacVal&lt;&gt;"",_xlpm.MacVal,_xlpm.CSVVal&lt;&gt;"",_xlpm.CSVVal
)),"")</f>
        <v/>
      </c>
      <c r="D562" s="2" t="str" cm="1">
        <f t="array" ref="D562">IFERROR(_xlfn.LET(
_xlpm.CSVVal,_xlfn.XLOOKUP($A562,CSV!$A:$A,CSV!D:D,""),
_xlpm.MacVal,_xlfn.XLOOKUP($A562,Output_Mac!$A:$A,Output_Mac!C:C,""),
_xlpm.MyAuditVal,_xlfn.XLOOKUP($A562,My_Audit!$A:$A,My_Audit!C:C,""),
_xlfn.IFS(_xlpm.MyAuditVal&lt;&gt;"",_xlpm.MyAuditVal,_xlpm.MacVal&lt;&gt;"",_xlpm.MacVal,_xlpm.CSVVal&lt;&gt;"",_xlpm.CSVVal
)),"")</f>
        <v/>
      </c>
      <c r="E562" s="2" t="str">
        <f>_xlfn.XLOOKUP(A562,My_Audit!A:A,My_Audit!D:D,"")&amp;""</f>
        <v/>
      </c>
      <c r="F562" s="2" t="str" cm="1">
        <f t="array" ref="F562">IFERROR(_xlfn.LET(
_xlpm.CSVVal,_xlfn.XLOOKUP($A562,CSV!$A:$A,CSV!F:F,""),
_xlpm.MacVal,_xlfn.XLOOKUP($A562,Output_Mac!$A:$A,Output_Mac!E:E,""),
_xlpm.MyAuditVal,_xlfn.XLOOKUP($A562,My_Audit!$A:$A,My_Audit!E:E,""),
_xlfn.IFS(_xlpm.MyAuditVal&lt;&gt;"",_xlpm.MyAuditVal,_xlpm.MacVal&lt;&gt;"",_xlpm.MacVal,_xlpm.CSVVal&lt;&gt;"",_xlpm.CSVVal
)),"")</f>
        <v/>
      </c>
      <c r="G562" s="2" t="str" cm="1">
        <f t="array" ref="G562">IFERROR(_xlfn.LET(
_xlpm.CSVVal,_xlfn.XLOOKUP($A562,CSV!$A:$A,CSV!G:G,""),
_xlpm.MacVal,_xlfn.XLOOKUP($A562,Output_Mac!$A:$A,Output_Mac!F:F,""),
_xlpm.MyAuditVal,_xlfn.XLOOKUP($A562,My_Audit!$A:$A,My_Audit!F:F,""),
_xlfn.IFS(_xlpm.MyAuditVal&lt;&gt;"",_xlpm.MyAuditVal,_xlpm.MacVal&lt;&gt;"",_xlpm.MacVal,_xlpm.CSVVal&lt;&gt;"",PROPER(_xlpm.CSVVal)
)),"")</f>
        <v/>
      </c>
      <c r="H562" s="2" t="str" cm="1">
        <f t="array" ref="H562">IFERROR(_xlfn.LET(
_xlpm.CSVVal,_xlfn.XLOOKUP($A562,CSV!$A:$A,CSV!H:H,""),
_xlpm.MacVal,_xlfn.XLOOKUP($A562,Output_Mac!$A:$A,Output_Mac!H:H,""),
_xlpm.MyAuditVal,_xlfn.XLOOKUP($A562,My_Audit!$A:$A,My_Audit!G:G,""),
_xlfn.IFS(_xlpm.MyAuditVal&lt;&gt;"",_xlpm.MyAuditVal,_xlpm.MacVal&lt;&gt;"",_xlpm.MacVal,_xlpm.CSVVal&lt;&gt;"",_xlpm.CSVVal
)),"")</f>
        <v/>
      </c>
      <c r="I562" s="2" t="str">
        <f>_xlfn.XLOOKUP(A562,Output_Mac!A:A,Output_Mac!I:I,"")</f>
        <v/>
      </c>
      <c r="J562" s="2" t="str" cm="1">
        <f t="array" ref="J562">IFERROR(_xlfn.LET(
_xlpm.CSVVal,_xlfn.XLOOKUP($A562,CSV!$A:$A,CSV!I:I,""),
_xlpm.MacVal,_xlfn.XLOOKUP($A562,Output_Mac!$A:$A,Output_Mac!J:J,""),
_xlpm.MyAuditVal,_xlfn.XLOOKUP($A562,My_Audit!$A:$A,My_Audit!I:I,""),
_xlfn.IFS(_xlpm.MyAuditVal&lt;&gt;"",UPPER(_xlpm.MyAuditVal),_xlpm.MacVal&lt;&gt;"",_xlpm.MacVal,_xlpm.CSVVal&lt;&gt;"",_xlpm.CSVVal
)),"")</f>
        <v/>
      </c>
      <c r="K562" s="2" t="str" cm="1">
        <f t="array" ref="K562">IFERROR(_xlfn.LET(
_xlpm.CSVVal,_xlfn.XLOOKUP($A562,CSV!$A:$A,CSV!K:K,""),
_xlpm.MacVal,_xlfn.XLOOKUP($A562,Output_Mac!$A:$A,Output_Mac!K:K,""),
_xlpm.MyAuditVal,_xlfn.XLOOKUP($A562,My_Audit!$A:$A,My_Audit!J:J,""),
_xlfn.IFS(_xlpm.MyAuditVal&lt;&gt;"",UPPER(_xlpm.MyAuditVal),_xlpm.MacVal&lt;&gt;"",_xlpm.MacVal,_xlpm.CSVVal&lt;&gt;"",_xlpm.CSVVal
)),"")</f>
        <v/>
      </c>
      <c r="L562" s="2" t="str" cm="1">
        <f t="array" ref="L562">IFERROR(_xlfn.LET(
_xlpm.CSVVal,_xlfn.XLOOKUP($A562,CSV!$A:$A,CSV!P:P,""),
_xlpm.MacVal,_xlfn.XLOOKUP($A562,Output_Mac!$A:$A,Output_Mac!L:L,""),
_xlpm.MyAuditVal,_xlfn.XLOOKUP($A562,My_Audit!$A:$A,My_Audit!K:K,""),
_xlfn.IFS(_xlpm.MyAuditVal&lt;&gt;"",UPPER(_xlpm.MyAuditVal),_xlpm.MacVal&lt;&gt;"",_xlpm.MacVal,_xlpm.CSVVal&lt;&gt;"",_xlpm.CSVVal
)),"")</f>
        <v/>
      </c>
      <c r="M562" s="2" t="str" cm="1">
        <f t="array" ref="M562">IFERROR(_xlfn.LET(
_xlpm.CSVVal,_xlfn.XLOOKUP($A562,CSV!$A:$A,CSV!Q:Q,""),
_xlpm.MacVal,_xlfn.XLOOKUP($A562,Output_Mac!$A:$A,Output_Mac!M:M,""),
_xlpm.MyAuditVal,_xlfn.XLOOKUP($A562,My_Audit!$A:$A,My_Audit!L:L,""),
_xlfn.IFS(_xlpm.MyAuditVal&lt;&gt;"",UPPER(_xlpm.MyAuditVal),_xlpm.MacVal&lt;&gt;"",_xlpm.MacVal,_xlpm.CSVVal&lt;&gt;"",_xlpm.CSVVal
)),"")</f>
        <v/>
      </c>
      <c r="O562" s="2" t="str">
        <f>_xlfn.LET(
    _xlpm.CSVVal, _xlfn.XLOOKUP($A562, CSV!$A:$A, CSV!AF:AF, ""),
    _xlpm.MacVal, _xlfn.XLOOKUP($A562, Output_Mac!$A:$A, Output_Mac!S:S, ""),
    _xlpm.MyAuditVal, _xlfn.XLOOKUP($A562, My_Audit!$A:$A, My_Audit!P:P, ""),
    _xlfn.TEXTJOIN(", ", TRUE, _xlpm.MyAuditVal, _xlpm.MacVal, _xlpm.CSVVal)
)</f>
        <v/>
      </c>
      <c r="P562" s="2" t="str" cm="1">
        <f t="array" ref="P562">IFERROR(_xlfn.LET(
_xlpm.CSVVal,_xlfn.XLOOKUP($A562,CSV!$A:$A,CSV!AG:AG,""),
_xlpm.MacVal,_xlfn.XLOOKUP($A562,Output_Mac!$A:$A,Output_Mac!T:T,""),
_xlpm.MyAuditVal,_xlfn.XLOOKUP($A562,My_Audit!$A:$A,My_Audit!Q:Q,""),
_xlfn.IFS(_xlpm.MyAuditVal&lt;&gt;"",UPPER(_xlpm.MyAuditVal),_xlpm.MacVal&lt;&gt;"",_xlpm.MacVal,_xlpm.CSVVal&lt;&gt;"",_xlpm.CSVVal
)),"No")</f>
        <v>No</v>
      </c>
      <c r="Q562" s="2" t="str" cm="1">
        <f t="array" ref="Q562">IFERROR(_xlfn.LET(
_xlpm.CSVVal,_xlfn.XLOOKUP($A562,CSV!$A:$A,CSV!AH:AH,""),
_xlpm.MacVal,_xlfn.XLOOKUP($A562,Output_Mac!$A:$A,Output_Mac!U:U,""),
_xlpm.MyAuditVal,_xlfn.XLOOKUP($A562,My_Audit!$A:$A,My_Audit!R:R,""),
_xlfn.IFS(_xlpm.MyAuditVal&lt;&gt;"",UPPER(_xlpm.MyAuditVal),_xlpm.MacVal&lt;&gt;"",_xlpm.MacVal,_xlpm.CSVVal&lt;&gt;"",_xlpm.CSVVal
)),"")</f>
        <v/>
      </c>
    </row>
    <row r="563" spans="1:17">
      <c r="A563" s="2" t="str">
        <f>_xlfn.TEXTJOIN("",TRUE,Input!$B$2,ROW(My_Audit!A562))</f>
        <v>XX562</v>
      </c>
      <c r="B563" s="2" t="str">
        <f>_xlfn.TEXTJOIN("-",TRUE,"ITD",Input!$A$2,A563)</f>
        <v>ITD-SHRXXX-XX562</v>
      </c>
      <c r="C563" s="2" t="str" cm="1">
        <f t="array" ref="C563">IFERROR(_xlfn.LET(
_xlpm.CSVVal,_xlfn.XLOOKUP($A563,CSV!$A:$A,CSV!B:B,""),
_xlpm.MacVal,_xlfn.XLOOKUP($A563,Output_Mac!$A:$A,Output_Mac!B:B,""),
_xlpm.MyAuditVal,_xlfn.XLOOKUP($A563,My_Audit!$A:$A,My_Audit!B:B,""),
_xlfn.IFS(_xlpm.MyAuditVal&lt;&gt;"",UPPER(_xlpm.MyAuditVal),_xlpm.MacVal&lt;&gt;"",_xlpm.MacVal,_xlpm.CSVVal&lt;&gt;"",_xlpm.CSVVal
)),"")</f>
        <v/>
      </c>
      <c r="D563" s="2" t="str" cm="1">
        <f t="array" ref="D563">IFERROR(_xlfn.LET(
_xlpm.CSVVal,_xlfn.XLOOKUP($A563,CSV!$A:$A,CSV!D:D,""),
_xlpm.MacVal,_xlfn.XLOOKUP($A563,Output_Mac!$A:$A,Output_Mac!C:C,""),
_xlpm.MyAuditVal,_xlfn.XLOOKUP($A563,My_Audit!$A:$A,My_Audit!C:C,""),
_xlfn.IFS(_xlpm.MyAuditVal&lt;&gt;"",_xlpm.MyAuditVal,_xlpm.MacVal&lt;&gt;"",_xlpm.MacVal,_xlpm.CSVVal&lt;&gt;"",_xlpm.CSVVal
)),"")</f>
        <v/>
      </c>
      <c r="E563" s="2" t="str">
        <f>_xlfn.XLOOKUP(A563,My_Audit!A:A,My_Audit!D:D,"")&amp;""</f>
        <v/>
      </c>
      <c r="F563" s="2" t="str" cm="1">
        <f t="array" ref="F563">IFERROR(_xlfn.LET(
_xlpm.CSVVal,_xlfn.XLOOKUP($A563,CSV!$A:$A,CSV!F:F,""),
_xlpm.MacVal,_xlfn.XLOOKUP($A563,Output_Mac!$A:$A,Output_Mac!E:E,""),
_xlpm.MyAuditVal,_xlfn.XLOOKUP($A563,My_Audit!$A:$A,My_Audit!E:E,""),
_xlfn.IFS(_xlpm.MyAuditVal&lt;&gt;"",_xlpm.MyAuditVal,_xlpm.MacVal&lt;&gt;"",_xlpm.MacVal,_xlpm.CSVVal&lt;&gt;"",_xlpm.CSVVal
)),"")</f>
        <v/>
      </c>
      <c r="G563" s="2" t="str" cm="1">
        <f t="array" ref="G563">IFERROR(_xlfn.LET(
_xlpm.CSVVal,_xlfn.XLOOKUP($A563,CSV!$A:$A,CSV!G:G,""),
_xlpm.MacVal,_xlfn.XLOOKUP($A563,Output_Mac!$A:$A,Output_Mac!F:F,""),
_xlpm.MyAuditVal,_xlfn.XLOOKUP($A563,My_Audit!$A:$A,My_Audit!F:F,""),
_xlfn.IFS(_xlpm.MyAuditVal&lt;&gt;"",_xlpm.MyAuditVal,_xlpm.MacVal&lt;&gt;"",_xlpm.MacVal,_xlpm.CSVVal&lt;&gt;"",PROPER(_xlpm.CSVVal)
)),"")</f>
        <v/>
      </c>
      <c r="H563" s="2" t="str" cm="1">
        <f t="array" ref="H563">IFERROR(_xlfn.LET(
_xlpm.CSVVal,_xlfn.XLOOKUP($A563,CSV!$A:$A,CSV!H:H,""),
_xlpm.MacVal,_xlfn.XLOOKUP($A563,Output_Mac!$A:$A,Output_Mac!H:H,""),
_xlpm.MyAuditVal,_xlfn.XLOOKUP($A563,My_Audit!$A:$A,My_Audit!G:G,""),
_xlfn.IFS(_xlpm.MyAuditVal&lt;&gt;"",_xlpm.MyAuditVal,_xlpm.MacVal&lt;&gt;"",_xlpm.MacVal,_xlpm.CSVVal&lt;&gt;"",_xlpm.CSVVal
)),"")</f>
        <v/>
      </c>
      <c r="I563" s="2" t="str">
        <f>_xlfn.XLOOKUP(A563,Output_Mac!A:A,Output_Mac!I:I,"")</f>
        <v/>
      </c>
      <c r="J563" s="2" t="str" cm="1">
        <f t="array" ref="J563">IFERROR(_xlfn.LET(
_xlpm.CSVVal,_xlfn.XLOOKUP($A563,CSV!$A:$A,CSV!I:I,""),
_xlpm.MacVal,_xlfn.XLOOKUP($A563,Output_Mac!$A:$A,Output_Mac!J:J,""),
_xlpm.MyAuditVal,_xlfn.XLOOKUP($A563,My_Audit!$A:$A,My_Audit!I:I,""),
_xlfn.IFS(_xlpm.MyAuditVal&lt;&gt;"",UPPER(_xlpm.MyAuditVal),_xlpm.MacVal&lt;&gt;"",_xlpm.MacVal,_xlpm.CSVVal&lt;&gt;"",_xlpm.CSVVal
)),"")</f>
        <v/>
      </c>
      <c r="K563" s="2" t="str" cm="1">
        <f t="array" ref="K563">IFERROR(_xlfn.LET(
_xlpm.CSVVal,_xlfn.XLOOKUP($A563,CSV!$A:$A,CSV!K:K,""),
_xlpm.MacVal,_xlfn.XLOOKUP($A563,Output_Mac!$A:$A,Output_Mac!K:K,""),
_xlpm.MyAuditVal,_xlfn.XLOOKUP($A563,My_Audit!$A:$A,My_Audit!J:J,""),
_xlfn.IFS(_xlpm.MyAuditVal&lt;&gt;"",UPPER(_xlpm.MyAuditVal),_xlpm.MacVal&lt;&gt;"",_xlpm.MacVal,_xlpm.CSVVal&lt;&gt;"",_xlpm.CSVVal
)),"")</f>
        <v/>
      </c>
      <c r="L563" s="2" t="str" cm="1">
        <f t="array" ref="L563">IFERROR(_xlfn.LET(
_xlpm.CSVVal,_xlfn.XLOOKUP($A563,CSV!$A:$A,CSV!P:P,""),
_xlpm.MacVal,_xlfn.XLOOKUP($A563,Output_Mac!$A:$A,Output_Mac!L:L,""),
_xlpm.MyAuditVal,_xlfn.XLOOKUP($A563,My_Audit!$A:$A,My_Audit!K:K,""),
_xlfn.IFS(_xlpm.MyAuditVal&lt;&gt;"",UPPER(_xlpm.MyAuditVal),_xlpm.MacVal&lt;&gt;"",_xlpm.MacVal,_xlpm.CSVVal&lt;&gt;"",_xlpm.CSVVal
)),"")</f>
        <v/>
      </c>
      <c r="M563" s="2" t="str" cm="1">
        <f t="array" ref="M563">IFERROR(_xlfn.LET(
_xlpm.CSVVal,_xlfn.XLOOKUP($A563,CSV!$A:$A,CSV!Q:Q,""),
_xlpm.MacVal,_xlfn.XLOOKUP($A563,Output_Mac!$A:$A,Output_Mac!M:M,""),
_xlpm.MyAuditVal,_xlfn.XLOOKUP($A563,My_Audit!$A:$A,My_Audit!L:L,""),
_xlfn.IFS(_xlpm.MyAuditVal&lt;&gt;"",UPPER(_xlpm.MyAuditVal),_xlpm.MacVal&lt;&gt;"",_xlpm.MacVal,_xlpm.CSVVal&lt;&gt;"",_xlpm.CSVVal
)),"")</f>
        <v/>
      </c>
      <c r="O563" s="2" t="str">
        <f>_xlfn.LET(
    _xlpm.CSVVal, _xlfn.XLOOKUP($A563, CSV!$A:$A, CSV!AF:AF, ""),
    _xlpm.MacVal, _xlfn.XLOOKUP($A563, Output_Mac!$A:$A, Output_Mac!S:S, ""),
    _xlpm.MyAuditVal, _xlfn.XLOOKUP($A563, My_Audit!$A:$A, My_Audit!P:P, ""),
    _xlfn.TEXTJOIN(", ", TRUE, _xlpm.MyAuditVal, _xlpm.MacVal, _xlpm.CSVVal)
)</f>
        <v/>
      </c>
      <c r="P563" s="2" t="str" cm="1">
        <f t="array" ref="P563">IFERROR(_xlfn.LET(
_xlpm.CSVVal,_xlfn.XLOOKUP($A563,CSV!$A:$A,CSV!AG:AG,""),
_xlpm.MacVal,_xlfn.XLOOKUP($A563,Output_Mac!$A:$A,Output_Mac!T:T,""),
_xlpm.MyAuditVal,_xlfn.XLOOKUP($A563,My_Audit!$A:$A,My_Audit!Q:Q,""),
_xlfn.IFS(_xlpm.MyAuditVal&lt;&gt;"",UPPER(_xlpm.MyAuditVal),_xlpm.MacVal&lt;&gt;"",_xlpm.MacVal,_xlpm.CSVVal&lt;&gt;"",_xlpm.CSVVal
)),"No")</f>
        <v>No</v>
      </c>
      <c r="Q563" s="2" t="str" cm="1">
        <f t="array" ref="Q563">IFERROR(_xlfn.LET(
_xlpm.CSVVal,_xlfn.XLOOKUP($A563,CSV!$A:$A,CSV!AH:AH,""),
_xlpm.MacVal,_xlfn.XLOOKUP($A563,Output_Mac!$A:$A,Output_Mac!U:U,""),
_xlpm.MyAuditVal,_xlfn.XLOOKUP($A563,My_Audit!$A:$A,My_Audit!R:R,""),
_xlfn.IFS(_xlpm.MyAuditVal&lt;&gt;"",UPPER(_xlpm.MyAuditVal),_xlpm.MacVal&lt;&gt;"",_xlpm.MacVal,_xlpm.CSVVal&lt;&gt;"",_xlpm.CSVVal
)),"")</f>
        <v/>
      </c>
    </row>
    <row r="564" spans="1:17">
      <c r="A564" s="2" t="str">
        <f>_xlfn.TEXTJOIN("",TRUE,Input!$B$2,ROW(My_Audit!A563))</f>
        <v>XX563</v>
      </c>
      <c r="B564" s="2" t="str">
        <f>_xlfn.TEXTJOIN("-",TRUE,"ITD",Input!$A$2,A564)</f>
        <v>ITD-SHRXXX-XX563</v>
      </c>
      <c r="C564" s="2" t="str" cm="1">
        <f t="array" ref="C564">IFERROR(_xlfn.LET(
_xlpm.CSVVal,_xlfn.XLOOKUP($A564,CSV!$A:$A,CSV!B:B,""),
_xlpm.MacVal,_xlfn.XLOOKUP($A564,Output_Mac!$A:$A,Output_Mac!B:B,""),
_xlpm.MyAuditVal,_xlfn.XLOOKUP($A564,My_Audit!$A:$A,My_Audit!B:B,""),
_xlfn.IFS(_xlpm.MyAuditVal&lt;&gt;"",UPPER(_xlpm.MyAuditVal),_xlpm.MacVal&lt;&gt;"",_xlpm.MacVal,_xlpm.CSVVal&lt;&gt;"",_xlpm.CSVVal
)),"")</f>
        <v/>
      </c>
      <c r="D564" s="2" t="str" cm="1">
        <f t="array" ref="D564">IFERROR(_xlfn.LET(
_xlpm.CSVVal,_xlfn.XLOOKUP($A564,CSV!$A:$A,CSV!D:D,""),
_xlpm.MacVal,_xlfn.XLOOKUP($A564,Output_Mac!$A:$A,Output_Mac!C:C,""),
_xlpm.MyAuditVal,_xlfn.XLOOKUP($A564,My_Audit!$A:$A,My_Audit!C:C,""),
_xlfn.IFS(_xlpm.MyAuditVal&lt;&gt;"",_xlpm.MyAuditVal,_xlpm.MacVal&lt;&gt;"",_xlpm.MacVal,_xlpm.CSVVal&lt;&gt;"",_xlpm.CSVVal
)),"")</f>
        <v/>
      </c>
      <c r="E564" s="2" t="str">
        <f>_xlfn.XLOOKUP(A564,My_Audit!A:A,My_Audit!D:D,"")&amp;""</f>
        <v/>
      </c>
      <c r="F564" s="2" t="str" cm="1">
        <f t="array" ref="F564">IFERROR(_xlfn.LET(
_xlpm.CSVVal,_xlfn.XLOOKUP($A564,CSV!$A:$A,CSV!F:F,""),
_xlpm.MacVal,_xlfn.XLOOKUP($A564,Output_Mac!$A:$A,Output_Mac!E:E,""),
_xlpm.MyAuditVal,_xlfn.XLOOKUP($A564,My_Audit!$A:$A,My_Audit!E:E,""),
_xlfn.IFS(_xlpm.MyAuditVal&lt;&gt;"",_xlpm.MyAuditVal,_xlpm.MacVal&lt;&gt;"",_xlpm.MacVal,_xlpm.CSVVal&lt;&gt;"",_xlpm.CSVVal
)),"")</f>
        <v/>
      </c>
      <c r="G564" s="2" t="str" cm="1">
        <f t="array" ref="G564">IFERROR(_xlfn.LET(
_xlpm.CSVVal,_xlfn.XLOOKUP($A564,CSV!$A:$A,CSV!G:G,""),
_xlpm.MacVal,_xlfn.XLOOKUP($A564,Output_Mac!$A:$A,Output_Mac!F:F,""),
_xlpm.MyAuditVal,_xlfn.XLOOKUP($A564,My_Audit!$A:$A,My_Audit!F:F,""),
_xlfn.IFS(_xlpm.MyAuditVal&lt;&gt;"",_xlpm.MyAuditVal,_xlpm.MacVal&lt;&gt;"",_xlpm.MacVal,_xlpm.CSVVal&lt;&gt;"",PROPER(_xlpm.CSVVal)
)),"")</f>
        <v/>
      </c>
      <c r="H564" s="2" t="str" cm="1">
        <f t="array" ref="H564">IFERROR(_xlfn.LET(
_xlpm.CSVVal,_xlfn.XLOOKUP($A564,CSV!$A:$A,CSV!H:H,""),
_xlpm.MacVal,_xlfn.XLOOKUP($A564,Output_Mac!$A:$A,Output_Mac!H:H,""),
_xlpm.MyAuditVal,_xlfn.XLOOKUP($A564,My_Audit!$A:$A,My_Audit!G:G,""),
_xlfn.IFS(_xlpm.MyAuditVal&lt;&gt;"",_xlpm.MyAuditVal,_xlpm.MacVal&lt;&gt;"",_xlpm.MacVal,_xlpm.CSVVal&lt;&gt;"",_xlpm.CSVVal
)),"")</f>
        <v/>
      </c>
      <c r="I564" s="2" t="str">
        <f>_xlfn.XLOOKUP(A564,Output_Mac!A:A,Output_Mac!I:I,"")</f>
        <v/>
      </c>
      <c r="J564" s="2" t="str" cm="1">
        <f t="array" ref="J564">IFERROR(_xlfn.LET(
_xlpm.CSVVal,_xlfn.XLOOKUP($A564,CSV!$A:$A,CSV!I:I,""),
_xlpm.MacVal,_xlfn.XLOOKUP($A564,Output_Mac!$A:$A,Output_Mac!J:J,""),
_xlpm.MyAuditVal,_xlfn.XLOOKUP($A564,My_Audit!$A:$A,My_Audit!I:I,""),
_xlfn.IFS(_xlpm.MyAuditVal&lt;&gt;"",UPPER(_xlpm.MyAuditVal),_xlpm.MacVal&lt;&gt;"",_xlpm.MacVal,_xlpm.CSVVal&lt;&gt;"",_xlpm.CSVVal
)),"")</f>
        <v/>
      </c>
      <c r="K564" s="2" t="str" cm="1">
        <f t="array" ref="K564">IFERROR(_xlfn.LET(
_xlpm.CSVVal,_xlfn.XLOOKUP($A564,CSV!$A:$A,CSV!K:K,""),
_xlpm.MacVal,_xlfn.XLOOKUP($A564,Output_Mac!$A:$A,Output_Mac!K:K,""),
_xlpm.MyAuditVal,_xlfn.XLOOKUP($A564,My_Audit!$A:$A,My_Audit!J:J,""),
_xlfn.IFS(_xlpm.MyAuditVal&lt;&gt;"",UPPER(_xlpm.MyAuditVal),_xlpm.MacVal&lt;&gt;"",_xlpm.MacVal,_xlpm.CSVVal&lt;&gt;"",_xlpm.CSVVal
)),"")</f>
        <v/>
      </c>
      <c r="L564" s="2" t="str" cm="1">
        <f t="array" ref="L564">IFERROR(_xlfn.LET(
_xlpm.CSVVal,_xlfn.XLOOKUP($A564,CSV!$A:$A,CSV!P:P,""),
_xlpm.MacVal,_xlfn.XLOOKUP($A564,Output_Mac!$A:$A,Output_Mac!L:L,""),
_xlpm.MyAuditVal,_xlfn.XLOOKUP($A564,My_Audit!$A:$A,My_Audit!K:K,""),
_xlfn.IFS(_xlpm.MyAuditVal&lt;&gt;"",UPPER(_xlpm.MyAuditVal),_xlpm.MacVal&lt;&gt;"",_xlpm.MacVal,_xlpm.CSVVal&lt;&gt;"",_xlpm.CSVVal
)),"")</f>
        <v/>
      </c>
      <c r="M564" s="2" t="str" cm="1">
        <f t="array" ref="M564">IFERROR(_xlfn.LET(
_xlpm.CSVVal,_xlfn.XLOOKUP($A564,CSV!$A:$A,CSV!Q:Q,""),
_xlpm.MacVal,_xlfn.XLOOKUP($A564,Output_Mac!$A:$A,Output_Mac!M:M,""),
_xlpm.MyAuditVal,_xlfn.XLOOKUP($A564,My_Audit!$A:$A,My_Audit!L:L,""),
_xlfn.IFS(_xlpm.MyAuditVal&lt;&gt;"",UPPER(_xlpm.MyAuditVal),_xlpm.MacVal&lt;&gt;"",_xlpm.MacVal,_xlpm.CSVVal&lt;&gt;"",_xlpm.CSVVal
)),"")</f>
        <v/>
      </c>
      <c r="O564" s="2" t="str">
        <f>_xlfn.LET(
    _xlpm.CSVVal, _xlfn.XLOOKUP($A564, CSV!$A:$A, CSV!AF:AF, ""),
    _xlpm.MacVal, _xlfn.XLOOKUP($A564, Output_Mac!$A:$A, Output_Mac!S:S, ""),
    _xlpm.MyAuditVal, _xlfn.XLOOKUP($A564, My_Audit!$A:$A, My_Audit!P:P, ""),
    _xlfn.TEXTJOIN(", ", TRUE, _xlpm.MyAuditVal, _xlpm.MacVal, _xlpm.CSVVal)
)</f>
        <v/>
      </c>
      <c r="P564" s="2" t="str" cm="1">
        <f t="array" ref="P564">IFERROR(_xlfn.LET(
_xlpm.CSVVal,_xlfn.XLOOKUP($A564,CSV!$A:$A,CSV!AG:AG,""),
_xlpm.MacVal,_xlfn.XLOOKUP($A564,Output_Mac!$A:$A,Output_Mac!T:T,""),
_xlpm.MyAuditVal,_xlfn.XLOOKUP($A564,My_Audit!$A:$A,My_Audit!Q:Q,""),
_xlfn.IFS(_xlpm.MyAuditVal&lt;&gt;"",UPPER(_xlpm.MyAuditVal),_xlpm.MacVal&lt;&gt;"",_xlpm.MacVal,_xlpm.CSVVal&lt;&gt;"",_xlpm.CSVVal
)),"No")</f>
        <v>No</v>
      </c>
      <c r="Q564" s="2" t="str" cm="1">
        <f t="array" ref="Q564">IFERROR(_xlfn.LET(
_xlpm.CSVVal,_xlfn.XLOOKUP($A564,CSV!$A:$A,CSV!AH:AH,""),
_xlpm.MacVal,_xlfn.XLOOKUP($A564,Output_Mac!$A:$A,Output_Mac!U:U,""),
_xlpm.MyAuditVal,_xlfn.XLOOKUP($A564,My_Audit!$A:$A,My_Audit!R:R,""),
_xlfn.IFS(_xlpm.MyAuditVal&lt;&gt;"",UPPER(_xlpm.MyAuditVal),_xlpm.MacVal&lt;&gt;"",_xlpm.MacVal,_xlpm.CSVVal&lt;&gt;"",_xlpm.CSVVal
)),"")</f>
        <v/>
      </c>
    </row>
    <row r="565" spans="1:17">
      <c r="A565" s="2" t="str">
        <f>_xlfn.TEXTJOIN("",TRUE,Input!$B$2,ROW(My_Audit!A564))</f>
        <v>XX564</v>
      </c>
      <c r="B565" s="2" t="str">
        <f>_xlfn.TEXTJOIN("-",TRUE,"ITD",Input!$A$2,A565)</f>
        <v>ITD-SHRXXX-XX564</v>
      </c>
      <c r="C565" s="2" t="str" cm="1">
        <f t="array" ref="C565">IFERROR(_xlfn.LET(
_xlpm.CSVVal,_xlfn.XLOOKUP($A565,CSV!$A:$A,CSV!B:B,""),
_xlpm.MacVal,_xlfn.XLOOKUP($A565,Output_Mac!$A:$A,Output_Mac!B:B,""),
_xlpm.MyAuditVal,_xlfn.XLOOKUP($A565,My_Audit!$A:$A,My_Audit!B:B,""),
_xlfn.IFS(_xlpm.MyAuditVal&lt;&gt;"",UPPER(_xlpm.MyAuditVal),_xlpm.MacVal&lt;&gt;"",_xlpm.MacVal,_xlpm.CSVVal&lt;&gt;"",_xlpm.CSVVal
)),"")</f>
        <v/>
      </c>
      <c r="D565" s="2" t="str" cm="1">
        <f t="array" ref="D565">IFERROR(_xlfn.LET(
_xlpm.CSVVal,_xlfn.XLOOKUP($A565,CSV!$A:$A,CSV!D:D,""),
_xlpm.MacVal,_xlfn.XLOOKUP($A565,Output_Mac!$A:$A,Output_Mac!C:C,""),
_xlpm.MyAuditVal,_xlfn.XLOOKUP($A565,My_Audit!$A:$A,My_Audit!C:C,""),
_xlfn.IFS(_xlpm.MyAuditVal&lt;&gt;"",_xlpm.MyAuditVal,_xlpm.MacVal&lt;&gt;"",_xlpm.MacVal,_xlpm.CSVVal&lt;&gt;"",_xlpm.CSVVal
)),"")</f>
        <v/>
      </c>
      <c r="E565" s="2" t="str">
        <f>_xlfn.XLOOKUP(A565,My_Audit!A:A,My_Audit!D:D,"")&amp;""</f>
        <v/>
      </c>
      <c r="F565" s="2" t="str" cm="1">
        <f t="array" ref="F565">IFERROR(_xlfn.LET(
_xlpm.CSVVal,_xlfn.XLOOKUP($A565,CSV!$A:$A,CSV!F:F,""),
_xlpm.MacVal,_xlfn.XLOOKUP($A565,Output_Mac!$A:$A,Output_Mac!E:E,""),
_xlpm.MyAuditVal,_xlfn.XLOOKUP($A565,My_Audit!$A:$A,My_Audit!E:E,""),
_xlfn.IFS(_xlpm.MyAuditVal&lt;&gt;"",_xlpm.MyAuditVal,_xlpm.MacVal&lt;&gt;"",_xlpm.MacVal,_xlpm.CSVVal&lt;&gt;"",_xlpm.CSVVal
)),"")</f>
        <v/>
      </c>
      <c r="G565" s="2" t="str" cm="1">
        <f t="array" ref="G565">IFERROR(_xlfn.LET(
_xlpm.CSVVal,_xlfn.XLOOKUP($A565,CSV!$A:$A,CSV!G:G,""),
_xlpm.MacVal,_xlfn.XLOOKUP($A565,Output_Mac!$A:$A,Output_Mac!F:F,""),
_xlpm.MyAuditVal,_xlfn.XLOOKUP($A565,My_Audit!$A:$A,My_Audit!F:F,""),
_xlfn.IFS(_xlpm.MyAuditVal&lt;&gt;"",_xlpm.MyAuditVal,_xlpm.MacVal&lt;&gt;"",_xlpm.MacVal,_xlpm.CSVVal&lt;&gt;"",PROPER(_xlpm.CSVVal)
)),"")</f>
        <v/>
      </c>
      <c r="H565" s="2" t="str" cm="1">
        <f t="array" ref="H565">IFERROR(_xlfn.LET(
_xlpm.CSVVal,_xlfn.XLOOKUP($A565,CSV!$A:$A,CSV!H:H,""),
_xlpm.MacVal,_xlfn.XLOOKUP($A565,Output_Mac!$A:$A,Output_Mac!H:H,""),
_xlpm.MyAuditVal,_xlfn.XLOOKUP($A565,My_Audit!$A:$A,My_Audit!G:G,""),
_xlfn.IFS(_xlpm.MyAuditVal&lt;&gt;"",_xlpm.MyAuditVal,_xlpm.MacVal&lt;&gt;"",_xlpm.MacVal,_xlpm.CSVVal&lt;&gt;"",_xlpm.CSVVal
)),"")</f>
        <v/>
      </c>
      <c r="I565" s="2" t="str">
        <f>_xlfn.XLOOKUP(A565,Output_Mac!A:A,Output_Mac!I:I,"")</f>
        <v/>
      </c>
      <c r="J565" s="2" t="str" cm="1">
        <f t="array" ref="J565">IFERROR(_xlfn.LET(
_xlpm.CSVVal,_xlfn.XLOOKUP($A565,CSV!$A:$A,CSV!I:I,""),
_xlpm.MacVal,_xlfn.XLOOKUP($A565,Output_Mac!$A:$A,Output_Mac!J:J,""),
_xlpm.MyAuditVal,_xlfn.XLOOKUP($A565,My_Audit!$A:$A,My_Audit!I:I,""),
_xlfn.IFS(_xlpm.MyAuditVal&lt;&gt;"",UPPER(_xlpm.MyAuditVal),_xlpm.MacVal&lt;&gt;"",_xlpm.MacVal,_xlpm.CSVVal&lt;&gt;"",_xlpm.CSVVal
)),"")</f>
        <v/>
      </c>
      <c r="K565" s="2" t="str" cm="1">
        <f t="array" ref="K565">IFERROR(_xlfn.LET(
_xlpm.CSVVal,_xlfn.XLOOKUP($A565,CSV!$A:$A,CSV!K:K,""),
_xlpm.MacVal,_xlfn.XLOOKUP($A565,Output_Mac!$A:$A,Output_Mac!K:K,""),
_xlpm.MyAuditVal,_xlfn.XLOOKUP($A565,My_Audit!$A:$A,My_Audit!J:J,""),
_xlfn.IFS(_xlpm.MyAuditVal&lt;&gt;"",UPPER(_xlpm.MyAuditVal),_xlpm.MacVal&lt;&gt;"",_xlpm.MacVal,_xlpm.CSVVal&lt;&gt;"",_xlpm.CSVVal
)),"")</f>
        <v/>
      </c>
      <c r="L565" s="2" t="str" cm="1">
        <f t="array" ref="L565">IFERROR(_xlfn.LET(
_xlpm.CSVVal,_xlfn.XLOOKUP($A565,CSV!$A:$A,CSV!P:P,""),
_xlpm.MacVal,_xlfn.XLOOKUP($A565,Output_Mac!$A:$A,Output_Mac!L:L,""),
_xlpm.MyAuditVal,_xlfn.XLOOKUP($A565,My_Audit!$A:$A,My_Audit!K:K,""),
_xlfn.IFS(_xlpm.MyAuditVal&lt;&gt;"",UPPER(_xlpm.MyAuditVal),_xlpm.MacVal&lt;&gt;"",_xlpm.MacVal,_xlpm.CSVVal&lt;&gt;"",_xlpm.CSVVal
)),"")</f>
        <v/>
      </c>
      <c r="M565" s="2" t="str" cm="1">
        <f t="array" ref="M565">IFERROR(_xlfn.LET(
_xlpm.CSVVal,_xlfn.XLOOKUP($A565,CSV!$A:$A,CSV!Q:Q,""),
_xlpm.MacVal,_xlfn.XLOOKUP($A565,Output_Mac!$A:$A,Output_Mac!M:M,""),
_xlpm.MyAuditVal,_xlfn.XLOOKUP($A565,My_Audit!$A:$A,My_Audit!L:L,""),
_xlfn.IFS(_xlpm.MyAuditVal&lt;&gt;"",UPPER(_xlpm.MyAuditVal),_xlpm.MacVal&lt;&gt;"",_xlpm.MacVal,_xlpm.CSVVal&lt;&gt;"",_xlpm.CSVVal
)),"")</f>
        <v/>
      </c>
      <c r="O565" s="2" t="str">
        <f>_xlfn.LET(
    _xlpm.CSVVal, _xlfn.XLOOKUP($A565, CSV!$A:$A, CSV!AF:AF, ""),
    _xlpm.MacVal, _xlfn.XLOOKUP($A565, Output_Mac!$A:$A, Output_Mac!S:S, ""),
    _xlpm.MyAuditVal, _xlfn.XLOOKUP($A565, My_Audit!$A:$A, My_Audit!P:P, ""),
    _xlfn.TEXTJOIN(", ", TRUE, _xlpm.MyAuditVal, _xlpm.MacVal, _xlpm.CSVVal)
)</f>
        <v/>
      </c>
      <c r="P565" s="2" t="str" cm="1">
        <f t="array" ref="P565">IFERROR(_xlfn.LET(
_xlpm.CSVVal,_xlfn.XLOOKUP($A565,CSV!$A:$A,CSV!AG:AG,""),
_xlpm.MacVal,_xlfn.XLOOKUP($A565,Output_Mac!$A:$A,Output_Mac!T:T,""),
_xlpm.MyAuditVal,_xlfn.XLOOKUP($A565,My_Audit!$A:$A,My_Audit!Q:Q,""),
_xlfn.IFS(_xlpm.MyAuditVal&lt;&gt;"",UPPER(_xlpm.MyAuditVal),_xlpm.MacVal&lt;&gt;"",_xlpm.MacVal,_xlpm.CSVVal&lt;&gt;"",_xlpm.CSVVal
)),"No")</f>
        <v>No</v>
      </c>
      <c r="Q565" s="2" t="str" cm="1">
        <f t="array" ref="Q565">IFERROR(_xlfn.LET(
_xlpm.CSVVal,_xlfn.XLOOKUP($A565,CSV!$A:$A,CSV!AH:AH,""),
_xlpm.MacVal,_xlfn.XLOOKUP($A565,Output_Mac!$A:$A,Output_Mac!U:U,""),
_xlpm.MyAuditVal,_xlfn.XLOOKUP($A565,My_Audit!$A:$A,My_Audit!R:R,""),
_xlfn.IFS(_xlpm.MyAuditVal&lt;&gt;"",UPPER(_xlpm.MyAuditVal),_xlpm.MacVal&lt;&gt;"",_xlpm.MacVal,_xlpm.CSVVal&lt;&gt;"",_xlpm.CSVVal
)),"")</f>
        <v/>
      </c>
    </row>
    <row r="566" spans="1:17">
      <c r="A566" s="2" t="str">
        <f>_xlfn.TEXTJOIN("",TRUE,Input!$B$2,ROW(My_Audit!A565))</f>
        <v>XX565</v>
      </c>
      <c r="B566" s="2" t="str">
        <f>_xlfn.TEXTJOIN("-",TRUE,"ITD",Input!$A$2,A566)</f>
        <v>ITD-SHRXXX-XX565</v>
      </c>
      <c r="C566" s="2" t="str" cm="1">
        <f t="array" ref="C566">IFERROR(_xlfn.LET(
_xlpm.CSVVal,_xlfn.XLOOKUP($A566,CSV!$A:$A,CSV!B:B,""),
_xlpm.MacVal,_xlfn.XLOOKUP($A566,Output_Mac!$A:$A,Output_Mac!B:B,""),
_xlpm.MyAuditVal,_xlfn.XLOOKUP($A566,My_Audit!$A:$A,My_Audit!B:B,""),
_xlfn.IFS(_xlpm.MyAuditVal&lt;&gt;"",UPPER(_xlpm.MyAuditVal),_xlpm.MacVal&lt;&gt;"",_xlpm.MacVal,_xlpm.CSVVal&lt;&gt;"",_xlpm.CSVVal
)),"")</f>
        <v/>
      </c>
      <c r="D566" s="2" t="str" cm="1">
        <f t="array" ref="D566">IFERROR(_xlfn.LET(
_xlpm.CSVVal,_xlfn.XLOOKUP($A566,CSV!$A:$A,CSV!D:D,""),
_xlpm.MacVal,_xlfn.XLOOKUP($A566,Output_Mac!$A:$A,Output_Mac!C:C,""),
_xlpm.MyAuditVal,_xlfn.XLOOKUP($A566,My_Audit!$A:$A,My_Audit!C:C,""),
_xlfn.IFS(_xlpm.MyAuditVal&lt;&gt;"",_xlpm.MyAuditVal,_xlpm.MacVal&lt;&gt;"",_xlpm.MacVal,_xlpm.CSVVal&lt;&gt;"",_xlpm.CSVVal
)),"")</f>
        <v/>
      </c>
      <c r="E566" s="2" t="str">
        <f>_xlfn.XLOOKUP(A566,My_Audit!A:A,My_Audit!D:D,"")&amp;""</f>
        <v/>
      </c>
      <c r="F566" s="2" t="str" cm="1">
        <f t="array" ref="F566">IFERROR(_xlfn.LET(
_xlpm.CSVVal,_xlfn.XLOOKUP($A566,CSV!$A:$A,CSV!F:F,""),
_xlpm.MacVal,_xlfn.XLOOKUP($A566,Output_Mac!$A:$A,Output_Mac!E:E,""),
_xlpm.MyAuditVal,_xlfn.XLOOKUP($A566,My_Audit!$A:$A,My_Audit!E:E,""),
_xlfn.IFS(_xlpm.MyAuditVal&lt;&gt;"",_xlpm.MyAuditVal,_xlpm.MacVal&lt;&gt;"",_xlpm.MacVal,_xlpm.CSVVal&lt;&gt;"",_xlpm.CSVVal
)),"")</f>
        <v/>
      </c>
      <c r="G566" s="2" t="str" cm="1">
        <f t="array" ref="G566">IFERROR(_xlfn.LET(
_xlpm.CSVVal,_xlfn.XLOOKUP($A566,CSV!$A:$A,CSV!G:G,""),
_xlpm.MacVal,_xlfn.XLOOKUP($A566,Output_Mac!$A:$A,Output_Mac!F:F,""),
_xlpm.MyAuditVal,_xlfn.XLOOKUP($A566,My_Audit!$A:$A,My_Audit!F:F,""),
_xlfn.IFS(_xlpm.MyAuditVal&lt;&gt;"",_xlpm.MyAuditVal,_xlpm.MacVal&lt;&gt;"",_xlpm.MacVal,_xlpm.CSVVal&lt;&gt;"",PROPER(_xlpm.CSVVal)
)),"")</f>
        <v/>
      </c>
      <c r="H566" s="2" t="str" cm="1">
        <f t="array" ref="H566">IFERROR(_xlfn.LET(
_xlpm.CSVVal,_xlfn.XLOOKUP($A566,CSV!$A:$A,CSV!H:H,""),
_xlpm.MacVal,_xlfn.XLOOKUP($A566,Output_Mac!$A:$A,Output_Mac!H:H,""),
_xlpm.MyAuditVal,_xlfn.XLOOKUP($A566,My_Audit!$A:$A,My_Audit!G:G,""),
_xlfn.IFS(_xlpm.MyAuditVal&lt;&gt;"",_xlpm.MyAuditVal,_xlpm.MacVal&lt;&gt;"",_xlpm.MacVal,_xlpm.CSVVal&lt;&gt;"",_xlpm.CSVVal
)),"")</f>
        <v/>
      </c>
      <c r="I566" s="2" t="str">
        <f>_xlfn.XLOOKUP(A566,Output_Mac!A:A,Output_Mac!I:I,"")</f>
        <v/>
      </c>
      <c r="J566" s="2" t="str" cm="1">
        <f t="array" ref="J566">IFERROR(_xlfn.LET(
_xlpm.CSVVal,_xlfn.XLOOKUP($A566,CSV!$A:$A,CSV!I:I,""),
_xlpm.MacVal,_xlfn.XLOOKUP($A566,Output_Mac!$A:$A,Output_Mac!J:J,""),
_xlpm.MyAuditVal,_xlfn.XLOOKUP($A566,My_Audit!$A:$A,My_Audit!I:I,""),
_xlfn.IFS(_xlpm.MyAuditVal&lt;&gt;"",UPPER(_xlpm.MyAuditVal),_xlpm.MacVal&lt;&gt;"",_xlpm.MacVal,_xlpm.CSVVal&lt;&gt;"",_xlpm.CSVVal
)),"")</f>
        <v/>
      </c>
      <c r="K566" s="2" t="str" cm="1">
        <f t="array" ref="K566">IFERROR(_xlfn.LET(
_xlpm.CSVVal,_xlfn.XLOOKUP($A566,CSV!$A:$A,CSV!K:K,""),
_xlpm.MacVal,_xlfn.XLOOKUP($A566,Output_Mac!$A:$A,Output_Mac!K:K,""),
_xlpm.MyAuditVal,_xlfn.XLOOKUP($A566,My_Audit!$A:$A,My_Audit!J:J,""),
_xlfn.IFS(_xlpm.MyAuditVal&lt;&gt;"",UPPER(_xlpm.MyAuditVal),_xlpm.MacVal&lt;&gt;"",_xlpm.MacVal,_xlpm.CSVVal&lt;&gt;"",_xlpm.CSVVal
)),"")</f>
        <v/>
      </c>
      <c r="L566" s="2" t="str" cm="1">
        <f t="array" ref="L566">IFERROR(_xlfn.LET(
_xlpm.CSVVal,_xlfn.XLOOKUP($A566,CSV!$A:$A,CSV!P:P,""),
_xlpm.MacVal,_xlfn.XLOOKUP($A566,Output_Mac!$A:$A,Output_Mac!L:L,""),
_xlpm.MyAuditVal,_xlfn.XLOOKUP($A566,My_Audit!$A:$A,My_Audit!K:K,""),
_xlfn.IFS(_xlpm.MyAuditVal&lt;&gt;"",UPPER(_xlpm.MyAuditVal),_xlpm.MacVal&lt;&gt;"",_xlpm.MacVal,_xlpm.CSVVal&lt;&gt;"",_xlpm.CSVVal
)),"")</f>
        <v/>
      </c>
      <c r="M566" s="2" t="str" cm="1">
        <f t="array" ref="M566">IFERROR(_xlfn.LET(
_xlpm.CSVVal,_xlfn.XLOOKUP($A566,CSV!$A:$A,CSV!Q:Q,""),
_xlpm.MacVal,_xlfn.XLOOKUP($A566,Output_Mac!$A:$A,Output_Mac!M:M,""),
_xlpm.MyAuditVal,_xlfn.XLOOKUP($A566,My_Audit!$A:$A,My_Audit!L:L,""),
_xlfn.IFS(_xlpm.MyAuditVal&lt;&gt;"",UPPER(_xlpm.MyAuditVal),_xlpm.MacVal&lt;&gt;"",_xlpm.MacVal,_xlpm.CSVVal&lt;&gt;"",_xlpm.CSVVal
)),"")</f>
        <v/>
      </c>
      <c r="O566" s="2" t="str">
        <f>_xlfn.LET(
    _xlpm.CSVVal, _xlfn.XLOOKUP($A566, CSV!$A:$A, CSV!AF:AF, ""),
    _xlpm.MacVal, _xlfn.XLOOKUP($A566, Output_Mac!$A:$A, Output_Mac!S:S, ""),
    _xlpm.MyAuditVal, _xlfn.XLOOKUP($A566, My_Audit!$A:$A, My_Audit!P:P, ""),
    _xlfn.TEXTJOIN(", ", TRUE, _xlpm.MyAuditVal, _xlpm.MacVal, _xlpm.CSVVal)
)</f>
        <v/>
      </c>
      <c r="P566" s="2" t="str" cm="1">
        <f t="array" ref="P566">IFERROR(_xlfn.LET(
_xlpm.CSVVal,_xlfn.XLOOKUP($A566,CSV!$A:$A,CSV!AG:AG,""),
_xlpm.MacVal,_xlfn.XLOOKUP($A566,Output_Mac!$A:$A,Output_Mac!T:T,""),
_xlpm.MyAuditVal,_xlfn.XLOOKUP($A566,My_Audit!$A:$A,My_Audit!Q:Q,""),
_xlfn.IFS(_xlpm.MyAuditVal&lt;&gt;"",UPPER(_xlpm.MyAuditVal),_xlpm.MacVal&lt;&gt;"",_xlpm.MacVal,_xlpm.CSVVal&lt;&gt;"",_xlpm.CSVVal
)),"No")</f>
        <v>No</v>
      </c>
      <c r="Q566" s="2" t="str" cm="1">
        <f t="array" ref="Q566">IFERROR(_xlfn.LET(
_xlpm.CSVVal,_xlfn.XLOOKUP($A566,CSV!$A:$A,CSV!AH:AH,""),
_xlpm.MacVal,_xlfn.XLOOKUP($A566,Output_Mac!$A:$A,Output_Mac!U:U,""),
_xlpm.MyAuditVal,_xlfn.XLOOKUP($A566,My_Audit!$A:$A,My_Audit!R:R,""),
_xlfn.IFS(_xlpm.MyAuditVal&lt;&gt;"",UPPER(_xlpm.MyAuditVal),_xlpm.MacVal&lt;&gt;"",_xlpm.MacVal,_xlpm.CSVVal&lt;&gt;"",_xlpm.CSVVal
)),"")</f>
        <v/>
      </c>
    </row>
    <row r="567" spans="1:17">
      <c r="A567" s="2" t="str">
        <f>_xlfn.TEXTJOIN("",TRUE,Input!$B$2,ROW(My_Audit!A566))</f>
        <v>XX566</v>
      </c>
      <c r="B567" s="2" t="str">
        <f>_xlfn.TEXTJOIN("-",TRUE,"ITD",Input!$A$2,A567)</f>
        <v>ITD-SHRXXX-XX566</v>
      </c>
      <c r="C567" s="2" t="str" cm="1">
        <f t="array" ref="C567">IFERROR(_xlfn.LET(
_xlpm.CSVVal,_xlfn.XLOOKUP($A567,CSV!$A:$A,CSV!B:B,""),
_xlpm.MacVal,_xlfn.XLOOKUP($A567,Output_Mac!$A:$A,Output_Mac!B:B,""),
_xlpm.MyAuditVal,_xlfn.XLOOKUP($A567,My_Audit!$A:$A,My_Audit!B:B,""),
_xlfn.IFS(_xlpm.MyAuditVal&lt;&gt;"",UPPER(_xlpm.MyAuditVal),_xlpm.MacVal&lt;&gt;"",_xlpm.MacVal,_xlpm.CSVVal&lt;&gt;"",_xlpm.CSVVal
)),"")</f>
        <v/>
      </c>
      <c r="D567" s="2" t="str" cm="1">
        <f t="array" ref="D567">IFERROR(_xlfn.LET(
_xlpm.CSVVal,_xlfn.XLOOKUP($A567,CSV!$A:$A,CSV!D:D,""),
_xlpm.MacVal,_xlfn.XLOOKUP($A567,Output_Mac!$A:$A,Output_Mac!C:C,""),
_xlpm.MyAuditVal,_xlfn.XLOOKUP($A567,My_Audit!$A:$A,My_Audit!C:C,""),
_xlfn.IFS(_xlpm.MyAuditVal&lt;&gt;"",_xlpm.MyAuditVal,_xlpm.MacVal&lt;&gt;"",_xlpm.MacVal,_xlpm.CSVVal&lt;&gt;"",_xlpm.CSVVal
)),"")</f>
        <v/>
      </c>
      <c r="E567" s="2" t="str">
        <f>_xlfn.XLOOKUP(A567,My_Audit!A:A,My_Audit!D:D,"")&amp;""</f>
        <v/>
      </c>
      <c r="F567" s="2" t="str" cm="1">
        <f t="array" ref="F567">IFERROR(_xlfn.LET(
_xlpm.CSVVal,_xlfn.XLOOKUP($A567,CSV!$A:$A,CSV!F:F,""),
_xlpm.MacVal,_xlfn.XLOOKUP($A567,Output_Mac!$A:$A,Output_Mac!E:E,""),
_xlpm.MyAuditVal,_xlfn.XLOOKUP($A567,My_Audit!$A:$A,My_Audit!E:E,""),
_xlfn.IFS(_xlpm.MyAuditVal&lt;&gt;"",_xlpm.MyAuditVal,_xlpm.MacVal&lt;&gt;"",_xlpm.MacVal,_xlpm.CSVVal&lt;&gt;"",_xlpm.CSVVal
)),"")</f>
        <v/>
      </c>
      <c r="G567" s="2" t="str" cm="1">
        <f t="array" ref="G567">IFERROR(_xlfn.LET(
_xlpm.CSVVal,_xlfn.XLOOKUP($A567,CSV!$A:$A,CSV!G:G,""),
_xlpm.MacVal,_xlfn.XLOOKUP($A567,Output_Mac!$A:$A,Output_Mac!F:F,""),
_xlpm.MyAuditVal,_xlfn.XLOOKUP($A567,My_Audit!$A:$A,My_Audit!F:F,""),
_xlfn.IFS(_xlpm.MyAuditVal&lt;&gt;"",_xlpm.MyAuditVal,_xlpm.MacVal&lt;&gt;"",_xlpm.MacVal,_xlpm.CSVVal&lt;&gt;"",PROPER(_xlpm.CSVVal)
)),"")</f>
        <v/>
      </c>
      <c r="H567" s="2" t="str" cm="1">
        <f t="array" ref="H567">IFERROR(_xlfn.LET(
_xlpm.CSVVal,_xlfn.XLOOKUP($A567,CSV!$A:$A,CSV!H:H,""),
_xlpm.MacVal,_xlfn.XLOOKUP($A567,Output_Mac!$A:$A,Output_Mac!H:H,""),
_xlpm.MyAuditVal,_xlfn.XLOOKUP($A567,My_Audit!$A:$A,My_Audit!G:G,""),
_xlfn.IFS(_xlpm.MyAuditVal&lt;&gt;"",_xlpm.MyAuditVal,_xlpm.MacVal&lt;&gt;"",_xlpm.MacVal,_xlpm.CSVVal&lt;&gt;"",_xlpm.CSVVal
)),"")</f>
        <v/>
      </c>
      <c r="I567" s="2" t="str">
        <f>_xlfn.XLOOKUP(A567,Output_Mac!A:A,Output_Mac!I:I,"")</f>
        <v/>
      </c>
      <c r="J567" s="2" t="str" cm="1">
        <f t="array" ref="J567">IFERROR(_xlfn.LET(
_xlpm.CSVVal,_xlfn.XLOOKUP($A567,CSV!$A:$A,CSV!I:I,""),
_xlpm.MacVal,_xlfn.XLOOKUP($A567,Output_Mac!$A:$A,Output_Mac!J:J,""),
_xlpm.MyAuditVal,_xlfn.XLOOKUP($A567,My_Audit!$A:$A,My_Audit!I:I,""),
_xlfn.IFS(_xlpm.MyAuditVal&lt;&gt;"",UPPER(_xlpm.MyAuditVal),_xlpm.MacVal&lt;&gt;"",_xlpm.MacVal,_xlpm.CSVVal&lt;&gt;"",_xlpm.CSVVal
)),"")</f>
        <v/>
      </c>
      <c r="K567" s="2" t="str" cm="1">
        <f t="array" ref="K567">IFERROR(_xlfn.LET(
_xlpm.CSVVal,_xlfn.XLOOKUP($A567,CSV!$A:$A,CSV!K:K,""),
_xlpm.MacVal,_xlfn.XLOOKUP($A567,Output_Mac!$A:$A,Output_Mac!K:K,""),
_xlpm.MyAuditVal,_xlfn.XLOOKUP($A567,My_Audit!$A:$A,My_Audit!J:J,""),
_xlfn.IFS(_xlpm.MyAuditVal&lt;&gt;"",UPPER(_xlpm.MyAuditVal),_xlpm.MacVal&lt;&gt;"",_xlpm.MacVal,_xlpm.CSVVal&lt;&gt;"",_xlpm.CSVVal
)),"")</f>
        <v/>
      </c>
      <c r="L567" s="2" t="str" cm="1">
        <f t="array" ref="L567">IFERROR(_xlfn.LET(
_xlpm.CSVVal,_xlfn.XLOOKUP($A567,CSV!$A:$A,CSV!P:P,""),
_xlpm.MacVal,_xlfn.XLOOKUP($A567,Output_Mac!$A:$A,Output_Mac!L:L,""),
_xlpm.MyAuditVal,_xlfn.XLOOKUP($A567,My_Audit!$A:$A,My_Audit!K:K,""),
_xlfn.IFS(_xlpm.MyAuditVal&lt;&gt;"",UPPER(_xlpm.MyAuditVal),_xlpm.MacVal&lt;&gt;"",_xlpm.MacVal,_xlpm.CSVVal&lt;&gt;"",_xlpm.CSVVal
)),"")</f>
        <v/>
      </c>
      <c r="M567" s="2" t="str" cm="1">
        <f t="array" ref="M567">IFERROR(_xlfn.LET(
_xlpm.CSVVal,_xlfn.XLOOKUP($A567,CSV!$A:$A,CSV!Q:Q,""),
_xlpm.MacVal,_xlfn.XLOOKUP($A567,Output_Mac!$A:$A,Output_Mac!M:M,""),
_xlpm.MyAuditVal,_xlfn.XLOOKUP($A567,My_Audit!$A:$A,My_Audit!L:L,""),
_xlfn.IFS(_xlpm.MyAuditVal&lt;&gt;"",UPPER(_xlpm.MyAuditVal),_xlpm.MacVal&lt;&gt;"",_xlpm.MacVal,_xlpm.CSVVal&lt;&gt;"",_xlpm.CSVVal
)),"")</f>
        <v/>
      </c>
      <c r="O567" s="2" t="str">
        <f>_xlfn.LET(
    _xlpm.CSVVal, _xlfn.XLOOKUP($A567, CSV!$A:$A, CSV!AF:AF, ""),
    _xlpm.MacVal, _xlfn.XLOOKUP($A567, Output_Mac!$A:$A, Output_Mac!S:S, ""),
    _xlpm.MyAuditVal, _xlfn.XLOOKUP($A567, My_Audit!$A:$A, My_Audit!P:P, ""),
    _xlfn.TEXTJOIN(", ", TRUE, _xlpm.MyAuditVal, _xlpm.MacVal, _xlpm.CSVVal)
)</f>
        <v/>
      </c>
      <c r="P567" s="2" t="str" cm="1">
        <f t="array" ref="P567">IFERROR(_xlfn.LET(
_xlpm.CSVVal,_xlfn.XLOOKUP($A567,CSV!$A:$A,CSV!AG:AG,""),
_xlpm.MacVal,_xlfn.XLOOKUP($A567,Output_Mac!$A:$A,Output_Mac!T:T,""),
_xlpm.MyAuditVal,_xlfn.XLOOKUP($A567,My_Audit!$A:$A,My_Audit!Q:Q,""),
_xlfn.IFS(_xlpm.MyAuditVal&lt;&gt;"",UPPER(_xlpm.MyAuditVal),_xlpm.MacVal&lt;&gt;"",_xlpm.MacVal,_xlpm.CSVVal&lt;&gt;"",_xlpm.CSVVal
)),"No")</f>
        <v>No</v>
      </c>
      <c r="Q567" s="2" t="str" cm="1">
        <f t="array" ref="Q567">IFERROR(_xlfn.LET(
_xlpm.CSVVal,_xlfn.XLOOKUP($A567,CSV!$A:$A,CSV!AH:AH,""),
_xlpm.MacVal,_xlfn.XLOOKUP($A567,Output_Mac!$A:$A,Output_Mac!U:U,""),
_xlpm.MyAuditVal,_xlfn.XLOOKUP($A567,My_Audit!$A:$A,My_Audit!R:R,""),
_xlfn.IFS(_xlpm.MyAuditVal&lt;&gt;"",UPPER(_xlpm.MyAuditVal),_xlpm.MacVal&lt;&gt;"",_xlpm.MacVal,_xlpm.CSVVal&lt;&gt;"",_xlpm.CSVVal
)),"")</f>
        <v/>
      </c>
    </row>
    <row r="568" spans="1:17">
      <c r="A568" s="2" t="str">
        <f>_xlfn.TEXTJOIN("",TRUE,Input!$B$2,ROW(My_Audit!A567))</f>
        <v>XX567</v>
      </c>
      <c r="B568" s="2" t="str">
        <f>_xlfn.TEXTJOIN("-",TRUE,"ITD",Input!$A$2,A568)</f>
        <v>ITD-SHRXXX-XX567</v>
      </c>
      <c r="C568" s="2" t="str" cm="1">
        <f t="array" ref="C568">IFERROR(_xlfn.LET(
_xlpm.CSVVal,_xlfn.XLOOKUP($A568,CSV!$A:$A,CSV!B:B,""),
_xlpm.MacVal,_xlfn.XLOOKUP($A568,Output_Mac!$A:$A,Output_Mac!B:B,""),
_xlpm.MyAuditVal,_xlfn.XLOOKUP($A568,My_Audit!$A:$A,My_Audit!B:B,""),
_xlfn.IFS(_xlpm.MyAuditVal&lt;&gt;"",UPPER(_xlpm.MyAuditVal),_xlpm.MacVal&lt;&gt;"",_xlpm.MacVal,_xlpm.CSVVal&lt;&gt;"",_xlpm.CSVVal
)),"")</f>
        <v/>
      </c>
      <c r="D568" s="2" t="str" cm="1">
        <f t="array" ref="D568">IFERROR(_xlfn.LET(
_xlpm.CSVVal,_xlfn.XLOOKUP($A568,CSV!$A:$A,CSV!D:D,""),
_xlpm.MacVal,_xlfn.XLOOKUP($A568,Output_Mac!$A:$A,Output_Mac!C:C,""),
_xlpm.MyAuditVal,_xlfn.XLOOKUP($A568,My_Audit!$A:$A,My_Audit!C:C,""),
_xlfn.IFS(_xlpm.MyAuditVal&lt;&gt;"",_xlpm.MyAuditVal,_xlpm.MacVal&lt;&gt;"",_xlpm.MacVal,_xlpm.CSVVal&lt;&gt;"",_xlpm.CSVVal
)),"")</f>
        <v/>
      </c>
      <c r="E568" s="2" t="str">
        <f>_xlfn.XLOOKUP(A568,My_Audit!A:A,My_Audit!D:D,"")&amp;""</f>
        <v/>
      </c>
      <c r="F568" s="2" t="str" cm="1">
        <f t="array" ref="F568">IFERROR(_xlfn.LET(
_xlpm.CSVVal,_xlfn.XLOOKUP($A568,CSV!$A:$A,CSV!F:F,""),
_xlpm.MacVal,_xlfn.XLOOKUP($A568,Output_Mac!$A:$A,Output_Mac!E:E,""),
_xlpm.MyAuditVal,_xlfn.XLOOKUP($A568,My_Audit!$A:$A,My_Audit!E:E,""),
_xlfn.IFS(_xlpm.MyAuditVal&lt;&gt;"",_xlpm.MyAuditVal,_xlpm.MacVal&lt;&gt;"",_xlpm.MacVal,_xlpm.CSVVal&lt;&gt;"",_xlpm.CSVVal
)),"")</f>
        <v/>
      </c>
      <c r="G568" s="2" t="str" cm="1">
        <f t="array" ref="G568">IFERROR(_xlfn.LET(
_xlpm.CSVVal,_xlfn.XLOOKUP($A568,CSV!$A:$A,CSV!G:G,""),
_xlpm.MacVal,_xlfn.XLOOKUP($A568,Output_Mac!$A:$A,Output_Mac!F:F,""),
_xlpm.MyAuditVal,_xlfn.XLOOKUP($A568,My_Audit!$A:$A,My_Audit!F:F,""),
_xlfn.IFS(_xlpm.MyAuditVal&lt;&gt;"",_xlpm.MyAuditVal,_xlpm.MacVal&lt;&gt;"",_xlpm.MacVal,_xlpm.CSVVal&lt;&gt;"",PROPER(_xlpm.CSVVal)
)),"")</f>
        <v/>
      </c>
      <c r="H568" s="2" t="str" cm="1">
        <f t="array" ref="H568">IFERROR(_xlfn.LET(
_xlpm.CSVVal,_xlfn.XLOOKUP($A568,CSV!$A:$A,CSV!H:H,""),
_xlpm.MacVal,_xlfn.XLOOKUP($A568,Output_Mac!$A:$A,Output_Mac!H:H,""),
_xlpm.MyAuditVal,_xlfn.XLOOKUP($A568,My_Audit!$A:$A,My_Audit!G:G,""),
_xlfn.IFS(_xlpm.MyAuditVal&lt;&gt;"",_xlpm.MyAuditVal,_xlpm.MacVal&lt;&gt;"",_xlpm.MacVal,_xlpm.CSVVal&lt;&gt;"",_xlpm.CSVVal
)),"")</f>
        <v/>
      </c>
      <c r="I568" s="2" t="str">
        <f>_xlfn.XLOOKUP(A568,Output_Mac!A:A,Output_Mac!I:I,"")</f>
        <v/>
      </c>
      <c r="J568" s="2" t="str" cm="1">
        <f t="array" ref="J568">IFERROR(_xlfn.LET(
_xlpm.CSVVal,_xlfn.XLOOKUP($A568,CSV!$A:$A,CSV!I:I,""),
_xlpm.MacVal,_xlfn.XLOOKUP($A568,Output_Mac!$A:$A,Output_Mac!J:J,""),
_xlpm.MyAuditVal,_xlfn.XLOOKUP($A568,My_Audit!$A:$A,My_Audit!I:I,""),
_xlfn.IFS(_xlpm.MyAuditVal&lt;&gt;"",UPPER(_xlpm.MyAuditVal),_xlpm.MacVal&lt;&gt;"",_xlpm.MacVal,_xlpm.CSVVal&lt;&gt;"",_xlpm.CSVVal
)),"")</f>
        <v/>
      </c>
      <c r="K568" s="2" t="str" cm="1">
        <f t="array" ref="K568">IFERROR(_xlfn.LET(
_xlpm.CSVVal,_xlfn.XLOOKUP($A568,CSV!$A:$A,CSV!K:K,""),
_xlpm.MacVal,_xlfn.XLOOKUP($A568,Output_Mac!$A:$A,Output_Mac!K:K,""),
_xlpm.MyAuditVal,_xlfn.XLOOKUP($A568,My_Audit!$A:$A,My_Audit!J:J,""),
_xlfn.IFS(_xlpm.MyAuditVal&lt;&gt;"",UPPER(_xlpm.MyAuditVal),_xlpm.MacVal&lt;&gt;"",_xlpm.MacVal,_xlpm.CSVVal&lt;&gt;"",_xlpm.CSVVal
)),"")</f>
        <v/>
      </c>
      <c r="L568" s="2" t="str" cm="1">
        <f t="array" ref="L568">IFERROR(_xlfn.LET(
_xlpm.CSVVal,_xlfn.XLOOKUP($A568,CSV!$A:$A,CSV!P:P,""),
_xlpm.MacVal,_xlfn.XLOOKUP($A568,Output_Mac!$A:$A,Output_Mac!L:L,""),
_xlpm.MyAuditVal,_xlfn.XLOOKUP($A568,My_Audit!$A:$A,My_Audit!K:K,""),
_xlfn.IFS(_xlpm.MyAuditVal&lt;&gt;"",UPPER(_xlpm.MyAuditVal),_xlpm.MacVal&lt;&gt;"",_xlpm.MacVal,_xlpm.CSVVal&lt;&gt;"",_xlpm.CSVVal
)),"")</f>
        <v/>
      </c>
      <c r="M568" s="2" t="str" cm="1">
        <f t="array" ref="M568">IFERROR(_xlfn.LET(
_xlpm.CSVVal,_xlfn.XLOOKUP($A568,CSV!$A:$A,CSV!Q:Q,""),
_xlpm.MacVal,_xlfn.XLOOKUP($A568,Output_Mac!$A:$A,Output_Mac!M:M,""),
_xlpm.MyAuditVal,_xlfn.XLOOKUP($A568,My_Audit!$A:$A,My_Audit!L:L,""),
_xlfn.IFS(_xlpm.MyAuditVal&lt;&gt;"",UPPER(_xlpm.MyAuditVal),_xlpm.MacVal&lt;&gt;"",_xlpm.MacVal,_xlpm.CSVVal&lt;&gt;"",_xlpm.CSVVal
)),"")</f>
        <v/>
      </c>
      <c r="O568" s="2" t="str">
        <f>_xlfn.LET(
    _xlpm.CSVVal, _xlfn.XLOOKUP($A568, CSV!$A:$A, CSV!AF:AF, ""),
    _xlpm.MacVal, _xlfn.XLOOKUP($A568, Output_Mac!$A:$A, Output_Mac!S:S, ""),
    _xlpm.MyAuditVal, _xlfn.XLOOKUP($A568, My_Audit!$A:$A, My_Audit!P:P, ""),
    _xlfn.TEXTJOIN(", ", TRUE, _xlpm.MyAuditVal, _xlpm.MacVal, _xlpm.CSVVal)
)</f>
        <v/>
      </c>
      <c r="P568" s="2" t="str" cm="1">
        <f t="array" ref="P568">IFERROR(_xlfn.LET(
_xlpm.CSVVal,_xlfn.XLOOKUP($A568,CSV!$A:$A,CSV!AG:AG,""),
_xlpm.MacVal,_xlfn.XLOOKUP($A568,Output_Mac!$A:$A,Output_Mac!T:T,""),
_xlpm.MyAuditVal,_xlfn.XLOOKUP($A568,My_Audit!$A:$A,My_Audit!Q:Q,""),
_xlfn.IFS(_xlpm.MyAuditVal&lt;&gt;"",UPPER(_xlpm.MyAuditVal),_xlpm.MacVal&lt;&gt;"",_xlpm.MacVal,_xlpm.CSVVal&lt;&gt;"",_xlpm.CSVVal
)),"No")</f>
        <v>No</v>
      </c>
      <c r="Q568" s="2" t="str" cm="1">
        <f t="array" ref="Q568">IFERROR(_xlfn.LET(
_xlpm.CSVVal,_xlfn.XLOOKUP($A568,CSV!$A:$A,CSV!AH:AH,""),
_xlpm.MacVal,_xlfn.XLOOKUP($A568,Output_Mac!$A:$A,Output_Mac!U:U,""),
_xlpm.MyAuditVal,_xlfn.XLOOKUP($A568,My_Audit!$A:$A,My_Audit!R:R,""),
_xlfn.IFS(_xlpm.MyAuditVal&lt;&gt;"",UPPER(_xlpm.MyAuditVal),_xlpm.MacVal&lt;&gt;"",_xlpm.MacVal,_xlpm.CSVVal&lt;&gt;"",_xlpm.CSVVal
)),"")</f>
        <v/>
      </c>
    </row>
    <row r="569" spans="1:17">
      <c r="A569" s="2" t="str">
        <f>_xlfn.TEXTJOIN("",TRUE,Input!$B$2,ROW(My_Audit!A568))</f>
        <v>XX568</v>
      </c>
      <c r="B569" s="2" t="str">
        <f>_xlfn.TEXTJOIN("-",TRUE,"ITD",Input!$A$2,A569)</f>
        <v>ITD-SHRXXX-XX568</v>
      </c>
      <c r="C569" s="2" t="str" cm="1">
        <f t="array" ref="C569">IFERROR(_xlfn.LET(
_xlpm.CSVVal,_xlfn.XLOOKUP($A569,CSV!$A:$A,CSV!B:B,""),
_xlpm.MacVal,_xlfn.XLOOKUP($A569,Output_Mac!$A:$A,Output_Mac!B:B,""),
_xlpm.MyAuditVal,_xlfn.XLOOKUP($A569,My_Audit!$A:$A,My_Audit!B:B,""),
_xlfn.IFS(_xlpm.MyAuditVal&lt;&gt;"",UPPER(_xlpm.MyAuditVal),_xlpm.MacVal&lt;&gt;"",_xlpm.MacVal,_xlpm.CSVVal&lt;&gt;"",_xlpm.CSVVal
)),"")</f>
        <v/>
      </c>
      <c r="D569" s="2" t="str" cm="1">
        <f t="array" ref="D569">IFERROR(_xlfn.LET(
_xlpm.CSVVal,_xlfn.XLOOKUP($A569,CSV!$A:$A,CSV!D:D,""),
_xlpm.MacVal,_xlfn.XLOOKUP($A569,Output_Mac!$A:$A,Output_Mac!C:C,""),
_xlpm.MyAuditVal,_xlfn.XLOOKUP($A569,My_Audit!$A:$A,My_Audit!C:C,""),
_xlfn.IFS(_xlpm.MyAuditVal&lt;&gt;"",_xlpm.MyAuditVal,_xlpm.MacVal&lt;&gt;"",_xlpm.MacVal,_xlpm.CSVVal&lt;&gt;"",_xlpm.CSVVal
)),"")</f>
        <v/>
      </c>
      <c r="E569" s="2" t="str">
        <f>_xlfn.XLOOKUP(A569,My_Audit!A:A,My_Audit!D:D,"")&amp;""</f>
        <v/>
      </c>
      <c r="F569" s="2" t="str" cm="1">
        <f t="array" ref="F569">IFERROR(_xlfn.LET(
_xlpm.CSVVal,_xlfn.XLOOKUP($A569,CSV!$A:$A,CSV!F:F,""),
_xlpm.MacVal,_xlfn.XLOOKUP($A569,Output_Mac!$A:$A,Output_Mac!E:E,""),
_xlpm.MyAuditVal,_xlfn.XLOOKUP($A569,My_Audit!$A:$A,My_Audit!E:E,""),
_xlfn.IFS(_xlpm.MyAuditVal&lt;&gt;"",_xlpm.MyAuditVal,_xlpm.MacVal&lt;&gt;"",_xlpm.MacVal,_xlpm.CSVVal&lt;&gt;"",_xlpm.CSVVal
)),"")</f>
        <v/>
      </c>
      <c r="G569" s="2" t="str" cm="1">
        <f t="array" ref="G569">IFERROR(_xlfn.LET(
_xlpm.CSVVal,_xlfn.XLOOKUP($A569,CSV!$A:$A,CSV!G:G,""),
_xlpm.MacVal,_xlfn.XLOOKUP($A569,Output_Mac!$A:$A,Output_Mac!F:F,""),
_xlpm.MyAuditVal,_xlfn.XLOOKUP($A569,My_Audit!$A:$A,My_Audit!F:F,""),
_xlfn.IFS(_xlpm.MyAuditVal&lt;&gt;"",_xlpm.MyAuditVal,_xlpm.MacVal&lt;&gt;"",_xlpm.MacVal,_xlpm.CSVVal&lt;&gt;"",PROPER(_xlpm.CSVVal)
)),"")</f>
        <v/>
      </c>
      <c r="H569" s="2" t="str" cm="1">
        <f t="array" ref="H569">IFERROR(_xlfn.LET(
_xlpm.CSVVal,_xlfn.XLOOKUP($A569,CSV!$A:$A,CSV!H:H,""),
_xlpm.MacVal,_xlfn.XLOOKUP($A569,Output_Mac!$A:$A,Output_Mac!H:H,""),
_xlpm.MyAuditVal,_xlfn.XLOOKUP($A569,My_Audit!$A:$A,My_Audit!G:G,""),
_xlfn.IFS(_xlpm.MyAuditVal&lt;&gt;"",_xlpm.MyAuditVal,_xlpm.MacVal&lt;&gt;"",_xlpm.MacVal,_xlpm.CSVVal&lt;&gt;"",_xlpm.CSVVal
)),"")</f>
        <v/>
      </c>
      <c r="I569" s="2" t="str">
        <f>_xlfn.XLOOKUP(A569,Output_Mac!A:A,Output_Mac!I:I,"")</f>
        <v/>
      </c>
      <c r="J569" s="2" t="str" cm="1">
        <f t="array" ref="J569">IFERROR(_xlfn.LET(
_xlpm.CSVVal,_xlfn.XLOOKUP($A569,CSV!$A:$A,CSV!I:I,""),
_xlpm.MacVal,_xlfn.XLOOKUP($A569,Output_Mac!$A:$A,Output_Mac!J:J,""),
_xlpm.MyAuditVal,_xlfn.XLOOKUP($A569,My_Audit!$A:$A,My_Audit!I:I,""),
_xlfn.IFS(_xlpm.MyAuditVal&lt;&gt;"",UPPER(_xlpm.MyAuditVal),_xlpm.MacVal&lt;&gt;"",_xlpm.MacVal,_xlpm.CSVVal&lt;&gt;"",_xlpm.CSVVal
)),"")</f>
        <v/>
      </c>
      <c r="K569" s="2" t="str" cm="1">
        <f t="array" ref="K569">IFERROR(_xlfn.LET(
_xlpm.CSVVal,_xlfn.XLOOKUP($A569,CSV!$A:$A,CSV!K:K,""),
_xlpm.MacVal,_xlfn.XLOOKUP($A569,Output_Mac!$A:$A,Output_Mac!K:K,""),
_xlpm.MyAuditVal,_xlfn.XLOOKUP($A569,My_Audit!$A:$A,My_Audit!J:J,""),
_xlfn.IFS(_xlpm.MyAuditVal&lt;&gt;"",UPPER(_xlpm.MyAuditVal),_xlpm.MacVal&lt;&gt;"",_xlpm.MacVal,_xlpm.CSVVal&lt;&gt;"",_xlpm.CSVVal
)),"")</f>
        <v/>
      </c>
      <c r="L569" s="2" t="str" cm="1">
        <f t="array" ref="L569">IFERROR(_xlfn.LET(
_xlpm.CSVVal,_xlfn.XLOOKUP($A569,CSV!$A:$A,CSV!P:P,""),
_xlpm.MacVal,_xlfn.XLOOKUP($A569,Output_Mac!$A:$A,Output_Mac!L:L,""),
_xlpm.MyAuditVal,_xlfn.XLOOKUP($A569,My_Audit!$A:$A,My_Audit!K:K,""),
_xlfn.IFS(_xlpm.MyAuditVal&lt;&gt;"",UPPER(_xlpm.MyAuditVal),_xlpm.MacVal&lt;&gt;"",_xlpm.MacVal,_xlpm.CSVVal&lt;&gt;"",_xlpm.CSVVal
)),"")</f>
        <v/>
      </c>
      <c r="M569" s="2" t="str" cm="1">
        <f t="array" ref="M569">IFERROR(_xlfn.LET(
_xlpm.CSVVal,_xlfn.XLOOKUP($A569,CSV!$A:$A,CSV!Q:Q,""),
_xlpm.MacVal,_xlfn.XLOOKUP($A569,Output_Mac!$A:$A,Output_Mac!M:M,""),
_xlpm.MyAuditVal,_xlfn.XLOOKUP($A569,My_Audit!$A:$A,My_Audit!L:L,""),
_xlfn.IFS(_xlpm.MyAuditVal&lt;&gt;"",UPPER(_xlpm.MyAuditVal),_xlpm.MacVal&lt;&gt;"",_xlpm.MacVal,_xlpm.CSVVal&lt;&gt;"",_xlpm.CSVVal
)),"")</f>
        <v/>
      </c>
      <c r="O569" s="2" t="str">
        <f>_xlfn.LET(
    _xlpm.CSVVal, _xlfn.XLOOKUP($A569, CSV!$A:$A, CSV!AF:AF, ""),
    _xlpm.MacVal, _xlfn.XLOOKUP($A569, Output_Mac!$A:$A, Output_Mac!S:S, ""),
    _xlpm.MyAuditVal, _xlfn.XLOOKUP($A569, My_Audit!$A:$A, My_Audit!P:P, ""),
    _xlfn.TEXTJOIN(", ", TRUE, _xlpm.MyAuditVal, _xlpm.MacVal, _xlpm.CSVVal)
)</f>
        <v/>
      </c>
      <c r="P569" s="2" t="str" cm="1">
        <f t="array" ref="P569">IFERROR(_xlfn.LET(
_xlpm.CSVVal,_xlfn.XLOOKUP($A569,CSV!$A:$A,CSV!AG:AG,""),
_xlpm.MacVal,_xlfn.XLOOKUP($A569,Output_Mac!$A:$A,Output_Mac!T:T,""),
_xlpm.MyAuditVal,_xlfn.XLOOKUP($A569,My_Audit!$A:$A,My_Audit!Q:Q,""),
_xlfn.IFS(_xlpm.MyAuditVal&lt;&gt;"",UPPER(_xlpm.MyAuditVal),_xlpm.MacVal&lt;&gt;"",_xlpm.MacVal,_xlpm.CSVVal&lt;&gt;"",_xlpm.CSVVal
)),"No")</f>
        <v>No</v>
      </c>
      <c r="Q569" s="2" t="str" cm="1">
        <f t="array" ref="Q569">IFERROR(_xlfn.LET(
_xlpm.CSVVal,_xlfn.XLOOKUP($A569,CSV!$A:$A,CSV!AH:AH,""),
_xlpm.MacVal,_xlfn.XLOOKUP($A569,Output_Mac!$A:$A,Output_Mac!U:U,""),
_xlpm.MyAuditVal,_xlfn.XLOOKUP($A569,My_Audit!$A:$A,My_Audit!R:R,""),
_xlfn.IFS(_xlpm.MyAuditVal&lt;&gt;"",UPPER(_xlpm.MyAuditVal),_xlpm.MacVal&lt;&gt;"",_xlpm.MacVal,_xlpm.CSVVal&lt;&gt;"",_xlpm.CSVVal
)),"")</f>
        <v/>
      </c>
    </row>
    <row r="570" spans="1:17">
      <c r="A570" s="2" t="str">
        <f>_xlfn.TEXTJOIN("",TRUE,Input!$B$2,ROW(My_Audit!A569))</f>
        <v>XX569</v>
      </c>
      <c r="B570" s="2" t="str">
        <f>_xlfn.TEXTJOIN("-",TRUE,"ITD",Input!$A$2,A570)</f>
        <v>ITD-SHRXXX-XX569</v>
      </c>
      <c r="C570" s="2" t="str" cm="1">
        <f t="array" ref="C570">IFERROR(_xlfn.LET(
_xlpm.CSVVal,_xlfn.XLOOKUP($A570,CSV!$A:$A,CSV!B:B,""),
_xlpm.MacVal,_xlfn.XLOOKUP($A570,Output_Mac!$A:$A,Output_Mac!B:B,""),
_xlpm.MyAuditVal,_xlfn.XLOOKUP($A570,My_Audit!$A:$A,My_Audit!B:B,""),
_xlfn.IFS(_xlpm.MyAuditVal&lt;&gt;"",UPPER(_xlpm.MyAuditVal),_xlpm.MacVal&lt;&gt;"",_xlpm.MacVal,_xlpm.CSVVal&lt;&gt;"",_xlpm.CSVVal
)),"")</f>
        <v/>
      </c>
      <c r="D570" s="2" t="str" cm="1">
        <f t="array" ref="D570">IFERROR(_xlfn.LET(
_xlpm.CSVVal,_xlfn.XLOOKUP($A570,CSV!$A:$A,CSV!D:D,""),
_xlpm.MacVal,_xlfn.XLOOKUP($A570,Output_Mac!$A:$A,Output_Mac!C:C,""),
_xlpm.MyAuditVal,_xlfn.XLOOKUP($A570,My_Audit!$A:$A,My_Audit!C:C,""),
_xlfn.IFS(_xlpm.MyAuditVal&lt;&gt;"",_xlpm.MyAuditVal,_xlpm.MacVal&lt;&gt;"",_xlpm.MacVal,_xlpm.CSVVal&lt;&gt;"",_xlpm.CSVVal
)),"")</f>
        <v/>
      </c>
      <c r="E570" s="2" t="str">
        <f>_xlfn.XLOOKUP(A570,My_Audit!A:A,My_Audit!D:D,"")&amp;""</f>
        <v/>
      </c>
      <c r="F570" s="2" t="str" cm="1">
        <f t="array" ref="F570">IFERROR(_xlfn.LET(
_xlpm.CSVVal,_xlfn.XLOOKUP($A570,CSV!$A:$A,CSV!F:F,""),
_xlpm.MacVal,_xlfn.XLOOKUP($A570,Output_Mac!$A:$A,Output_Mac!E:E,""),
_xlpm.MyAuditVal,_xlfn.XLOOKUP($A570,My_Audit!$A:$A,My_Audit!E:E,""),
_xlfn.IFS(_xlpm.MyAuditVal&lt;&gt;"",_xlpm.MyAuditVal,_xlpm.MacVal&lt;&gt;"",_xlpm.MacVal,_xlpm.CSVVal&lt;&gt;"",_xlpm.CSVVal
)),"")</f>
        <v/>
      </c>
      <c r="G570" s="2" t="str" cm="1">
        <f t="array" ref="G570">IFERROR(_xlfn.LET(
_xlpm.CSVVal,_xlfn.XLOOKUP($A570,CSV!$A:$A,CSV!G:G,""),
_xlpm.MacVal,_xlfn.XLOOKUP($A570,Output_Mac!$A:$A,Output_Mac!F:F,""),
_xlpm.MyAuditVal,_xlfn.XLOOKUP($A570,My_Audit!$A:$A,My_Audit!F:F,""),
_xlfn.IFS(_xlpm.MyAuditVal&lt;&gt;"",_xlpm.MyAuditVal,_xlpm.MacVal&lt;&gt;"",_xlpm.MacVal,_xlpm.CSVVal&lt;&gt;"",PROPER(_xlpm.CSVVal)
)),"")</f>
        <v/>
      </c>
      <c r="H570" s="2" t="str" cm="1">
        <f t="array" ref="H570">IFERROR(_xlfn.LET(
_xlpm.CSVVal,_xlfn.XLOOKUP($A570,CSV!$A:$A,CSV!H:H,""),
_xlpm.MacVal,_xlfn.XLOOKUP($A570,Output_Mac!$A:$A,Output_Mac!H:H,""),
_xlpm.MyAuditVal,_xlfn.XLOOKUP($A570,My_Audit!$A:$A,My_Audit!G:G,""),
_xlfn.IFS(_xlpm.MyAuditVal&lt;&gt;"",_xlpm.MyAuditVal,_xlpm.MacVal&lt;&gt;"",_xlpm.MacVal,_xlpm.CSVVal&lt;&gt;"",_xlpm.CSVVal
)),"")</f>
        <v/>
      </c>
      <c r="I570" s="2" t="str">
        <f>_xlfn.XLOOKUP(A570,Output_Mac!A:A,Output_Mac!I:I,"")</f>
        <v/>
      </c>
      <c r="J570" s="2" t="str" cm="1">
        <f t="array" ref="J570">IFERROR(_xlfn.LET(
_xlpm.CSVVal,_xlfn.XLOOKUP($A570,CSV!$A:$A,CSV!I:I,""),
_xlpm.MacVal,_xlfn.XLOOKUP($A570,Output_Mac!$A:$A,Output_Mac!J:J,""),
_xlpm.MyAuditVal,_xlfn.XLOOKUP($A570,My_Audit!$A:$A,My_Audit!I:I,""),
_xlfn.IFS(_xlpm.MyAuditVal&lt;&gt;"",UPPER(_xlpm.MyAuditVal),_xlpm.MacVal&lt;&gt;"",_xlpm.MacVal,_xlpm.CSVVal&lt;&gt;"",_xlpm.CSVVal
)),"")</f>
        <v/>
      </c>
      <c r="K570" s="2" t="str" cm="1">
        <f t="array" ref="K570">IFERROR(_xlfn.LET(
_xlpm.CSVVal,_xlfn.XLOOKUP($A570,CSV!$A:$A,CSV!K:K,""),
_xlpm.MacVal,_xlfn.XLOOKUP($A570,Output_Mac!$A:$A,Output_Mac!K:K,""),
_xlpm.MyAuditVal,_xlfn.XLOOKUP($A570,My_Audit!$A:$A,My_Audit!J:J,""),
_xlfn.IFS(_xlpm.MyAuditVal&lt;&gt;"",UPPER(_xlpm.MyAuditVal),_xlpm.MacVal&lt;&gt;"",_xlpm.MacVal,_xlpm.CSVVal&lt;&gt;"",_xlpm.CSVVal
)),"")</f>
        <v/>
      </c>
      <c r="L570" s="2" t="str" cm="1">
        <f t="array" ref="L570">IFERROR(_xlfn.LET(
_xlpm.CSVVal,_xlfn.XLOOKUP($A570,CSV!$A:$A,CSV!P:P,""),
_xlpm.MacVal,_xlfn.XLOOKUP($A570,Output_Mac!$A:$A,Output_Mac!L:L,""),
_xlpm.MyAuditVal,_xlfn.XLOOKUP($A570,My_Audit!$A:$A,My_Audit!K:K,""),
_xlfn.IFS(_xlpm.MyAuditVal&lt;&gt;"",UPPER(_xlpm.MyAuditVal),_xlpm.MacVal&lt;&gt;"",_xlpm.MacVal,_xlpm.CSVVal&lt;&gt;"",_xlpm.CSVVal
)),"")</f>
        <v/>
      </c>
      <c r="M570" s="2" t="str" cm="1">
        <f t="array" ref="M570">IFERROR(_xlfn.LET(
_xlpm.CSVVal,_xlfn.XLOOKUP($A570,CSV!$A:$A,CSV!Q:Q,""),
_xlpm.MacVal,_xlfn.XLOOKUP($A570,Output_Mac!$A:$A,Output_Mac!M:M,""),
_xlpm.MyAuditVal,_xlfn.XLOOKUP($A570,My_Audit!$A:$A,My_Audit!L:L,""),
_xlfn.IFS(_xlpm.MyAuditVal&lt;&gt;"",UPPER(_xlpm.MyAuditVal),_xlpm.MacVal&lt;&gt;"",_xlpm.MacVal,_xlpm.CSVVal&lt;&gt;"",_xlpm.CSVVal
)),"")</f>
        <v/>
      </c>
      <c r="O570" s="2" t="str">
        <f>_xlfn.LET(
    _xlpm.CSVVal, _xlfn.XLOOKUP($A570, CSV!$A:$A, CSV!AF:AF, ""),
    _xlpm.MacVal, _xlfn.XLOOKUP($A570, Output_Mac!$A:$A, Output_Mac!S:S, ""),
    _xlpm.MyAuditVal, _xlfn.XLOOKUP($A570, My_Audit!$A:$A, My_Audit!P:P, ""),
    _xlfn.TEXTJOIN(", ", TRUE, _xlpm.MyAuditVal, _xlpm.MacVal, _xlpm.CSVVal)
)</f>
        <v/>
      </c>
      <c r="P570" s="2" t="str" cm="1">
        <f t="array" ref="P570">IFERROR(_xlfn.LET(
_xlpm.CSVVal,_xlfn.XLOOKUP($A570,CSV!$A:$A,CSV!AG:AG,""),
_xlpm.MacVal,_xlfn.XLOOKUP($A570,Output_Mac!$A:$A,Output_Mac!T:T,""),
_xlpm.MyAuditVal,_xlfn.XLOOKUP($A570,My_Audit!$A:$A,My_Audit!Q:Q,""),
_xlfn.IFS(_xlpm.MyAuditVal&lt;&gt;"",UPPER(_xlpm.MyAuditVal),_xlpm.MacVal&lt;&gt;"",_xlpm.MacVal,_xlpm.CSVVal&lt;&gt;"",_xlpm.CSVVal
)),"No")</f>
        <v>No</v>
      </c>
      <c r="Q570" s="2" t="str" cm="1">
        <f t="array" ref="Q570">IFERROR(_xlfn.LET(
_xlpm.CSVVal,_xlfn.XLOOKUP($A570,CSV!$A:$A,CSV!AH:AH,""),
_xlpm.MacVal,_xlfn.XLOOKUP($A570,Output_Mac!$A:$A,Output_Mac!U:U,""),
_xlpm.MyAuditVal,_xlfn.XLOOKUP($A570,My_Audit!$A:$A,My_Audit!R:R,""),
_xlfn.IFS(_xlpm.MyAuditVal&lt;&gt;"",UPPER(_xlpm.MyAuditVal),_xlpm.MacVal&lt;&gt;"",_xlpm.MacVal,_xlpm.CSVVal&lt;&gt;"",_xlpm.CSVVal
)),"")</f>
        <v/>
      </c>
    </row>
    <row r="571" spans="1:17">
      <c r="A571" s="2" t="str">
        <f>_xlfn.TEXTJOIN("",TRUE,Input!$B$2,ROW(My_Audit!A570))</f>
        <v>XX570</v>
      </c>
      <c r="B571" s="2" t="str">
        <f>_xlfn.TEXTJOIN("-",TRUE,"ITD",Input!$A$2,A571)</f>
        <v>ITD-SHRXXX-XX570</v>
      </c>
      <c r="C571" s="2" t="str" cm="1">
        <f t="array" ref="C571">IFERROR(_xlfn.LET(
_xlpm.CSVVal,_xlfn.XLOOKUP($A571,CSV!$A:$A,CSV!B:B,""),
_xlpm.MacVal,_xlfn.XLOOKUP($A571,Output_Mac!$A:$A,Output_Mac!B:B,""),
_xlpm.MyAuditVal,_xlfn.XLOOKUP($A571,My_Audit!$A:$A,My_Audit!B:B,""),
_xlfn.IFS(_xlpm.MyAuditVal&lt;&gt;"",UPPER(_xlpm.MyAuditVal),_xlpm.MacVal&lt;&gt;"",_xlpm.MacVal,_xlpm.CSVVal&lt;&gt;"",_xlpm.CSVVal
)),"")</f>
        <v/>
      </c>
      <c r="D571" s="2" t="str" cm="1">
        <f t="array" ref="D571">IFERROR(_xlfn.LET(
_xlpm.CSVVal,_xlfn.XLOOKUP($A571,CSV!$A:$A,CSV!D:D,""),
_xlpm.MacVal,_xlfn.XLOOKUP($A571,Output_Mac!$A:$A,Output_Mac!C:C,""),
_xlpm.MyAuditVal,_xlfn.XLOOKUP($A571,My_Audit!$A:$A,My_Audit!C:C,""),
_xlfn.IFS(_xlpm.MyAuditVal&lt;&gt;"",_xlpm.MyAuditVal,_xlpm.MacVal&lt;&gt;"",_xlpm.MacVal,_xlpm.CSVVal&lt;&gt;"",_xlpm.CSVVal
)),"")</f>
        <v/>
      </c>
      <c r="E571" s="2" t="str">
        <f>_xlfn.XLOOKUP(A571,My_Audit!A:A,My_Audit!D:D,"")&amp;""</f>
        <v/>
      </c>
      <c r="F571" s="2" t="str" cm="1">
        <f t="array" ref="F571">IFERROR(_xlfn.LET(
_xlpm.CSVVal,_xlfn.XLOOKUP($A571,CSV!$A:$A,CSV!F:F,""),
_xlpm.MacVal,_xlfn.XLOOKUP($A571,Output_Mac!$A:$A,Output_Mac!E:E,""),
_xlpm.MyAuditVal,_xlfn.XLOOKUP($A571,My_Audit!$A:$A,My_Audit!E:E,""),
_xlfn.IFS(_xlpm.MyAuditVal&lt;&gt;"",_xlpm.MyAuditVal,_xlpm.MacVal&lt;&gt;"",_xlpm.MacVal,_xlpm.CSVVal&lt;&gt;"",_xlpm.CSVVal
)),"")</f>
        <v/>
      </c>
      <c r="G571" s="2" t="str" cm="1">
        <f t="array" ref="G571">IFERROR(_xlfn.LET(
_xlpm.CSVVal,_xlfn.XLOOKUP($A571,CSV!$A:$A,CSV!G:G,""),
_xlpm.MacVal,_xlfn.XLOOKUP($A571,Output_Mac!$A:$A,Output_Mac!F:F,""),
_xlpm.MyAuditVal,_xlfn.XLOOKUP($A571,My_Audit!$A:$A,My_Audit!F:F,""),
_xlfn.IFS(_xlpm.MyAuditVal&lt;&gt;"",_xlpm.MyAuditVal,_xlpm.MacVal&lt;&gt;"",_xlpm.MacVal,_xlpm.CSVVal&lt;&gt;"",PROPER(_xlpm.CSVVal)
)),"")</f>
        <v/>
      </c>
      <c r="H571" s="2" t="str" cm="1">
        <f t="array" ref="H571">IFERROR(_xlfn.LET(
_xlpm.CSVVal,_xlfn.XLOOKUP($A571,CSV!$A:$A,CSV!H:H,""),
_xlpm.MacVal,_xlfn.XLOOKUP($A571,Output_Mac!$A:$A,Output_Mac!H:H,""),
_xlpm.MyAuditVal,_xlfn.XLOOKUP($A571,My_Audit!$A:$A,My_Audit!G:G,""),
_xlfn.IFS(_xlpm.MyAuditVal&lt;&gt;"",_xlpm.MyAuditVal,_xlpm.MacVal&lt;&gt;"",_xlpm.MacVal,_xlpm.CSVVal&lt;&gt;"",_xlpm.CSVVal
)),"")</f>
        <v/>
      </c>
      <c r="I571" s="2" t="str">
        <f>_xlfn.XLOOKUP(A571,Output_Mac!A:A,Output_Mac!I:I,"")</f>
        <v/>
      </c>
      <c r="J571" s="2" t="str" cm="1">
        <f t="array" ref="J571">IFERROR(_xlfn.LET(
_xlpm.CSVVal,_xlfn.XLOOKUP($A571,CSV!$A:$A,CSV!I:I,""),
_xlpm.MacVal,_xlfn.XLOOKUP($A571,Output_Mac!$A:$A,Output_Mac!J:J,""),
_xlpm.MyAuditVal,_xlfn.XLOOKUP($A571,My_Audit!$A:$A,My_Audit!I:I,""),
_xlfn.IFS(_xlpm.MyAuditVal&lt;&gt;"",UPPER(_xlpm.MyAuditVal),_xlpm.MacVal&lt;&gt;"",_xlpm.MacVal,_xlpm.CSVVal&lt;&gt;"",_xlpm.CSVVal
)),"")</f>
        <v/>
      </c>
      <c r="K571" s="2" t="str" cm="1">
        <f t="array" ref="K571">IFERROR(_xlfn.LET(
_xlpm.CSVVal,_xlfn.XLOOKUP($A571,CSV!$A:$A,CSV!K:K,""),
_xlpm.MacVal,_xlfn.XLOOKUP($A571,Output_Mac!$A:$A,Output_Mac!K:K,""),
_xlpm.MyAuditVal,_xlfn.XLOOKUP($A571,My_Audit!$A:$A,My_Audit!J:J,""),
_xlfn.IFS(_xlpm.MyAuditVal&lt;&gt;"",UPPER(_xlpm.MyAuditVal),_xlpm.MacVal&lt;&gt;"",_xlpm.MacVal,_xlpm.CSVVal&lt;&gt;"",_xlpm.CSVVal
)),"")</f>
        <v/>
      </c>
      <c r="L571" s="2" t="str" cm="1">
        <f t="array" ref="L571">IFERROR(_xlfn.LET(
_xlpm.CSVVal,_xlfn.XLOOKUP($A571,CSV!$A:$A,CSV!P:P,""),
_xlpm.MacVal,_xlfn.XLOOKUP($A571,Output_Mac!$A:$A,Output_Mac!L:L,""),
_xlpm.MyAuditVal,_xlfn.XLOOKUP($A571,My_Audit!$A:$A,My_Audit!K:K,""),
_xlfn.IFS(_xlpm.MyAuditVal&lt;&gt;"",UPPER(_xlpm.MyAuditVal),_xlpm.MacVal&lt;&gt;"",_xlpm.MacVal,_xlpm.CSVVal&lt;&gt;"",_xlpm.CSVVal
)),"")</f>
        <v/>
      </c>
      <c r="M571" s="2" t="str" cm="1">
        <f t="array" ref="M571">IFERROR(_xlfn.LET(
_xlpm.CSVVal,_xlfn.XLOOKUP($A571,CSV!$A:$A,CSV!Q:Q,""),
_xlpm.MacVal,_xlfn.XLOOKUP($A571,Output_Mac!$A:$A,Output_Mac!M:M,""),
_xlpm.MyAuditVal,_xlfn.XLOOKUP($A571,My_Audit!$A:$A,My_Audit!L:L,""),
_xlfn.IFS(_xlpm.MyAuditVal&lt;&gt;"",UPPER(_xlpm.MyAuditVal),_xlpm.MacVal&lt;&gt;"",_xlpm.MacVal,_xlpm.CSVVal&lt;&gt;"",_xlpm.CSVVal
)),"")</f>
        <v/>
      </c>
      <c r="O571" s="2" t="str">
        <f>_xlfn.LET(
    _xlpm.CSVVal, _xlfn.XLOOKUP($A571, CSV!$A:$A, CSV!AF:AF, ""),
    _xlpm.MacVal, _xlfn.XLOOKUP($A571, Output_Mac!$A:$A, Output_Mac!S:S, ""),
    _xlpm.MyAuditVal, _xlfn.XLOOKUP($A571, My_Audit!$A:$A, My_Audit!P:P, ""),
    _xlfn.TEXTJOIN(", ", TRUE, _xlpm.MyAuditVal, _xlpm.MacVal, _xlpm.CSVVal)
)</f>
        <v/>
      </c>
      <c r="P571" s="2" t="str" cm="1">
        <f t="array" ref="P571">IFERROR(_xlfn.LET(
_xlpm.CSVVal,_xlfn.XLOOKUP($A571,CSV!$A:$A,CSV!AG:AG,""),
_xlpm.MacVal,_xlfn.XLOOKUP($A571,Output_Mac!$A:$A,Output_Mac!T:T,""),
_xlpm.MyAuditVal,_xlfn.XLOOKUP($A571,My_Audit!$A:$A,My_Audit!Q:Q,""),
_xlfn.IFS(_xlpm.MyAuditVal&lt;&gt;"",UPPER(_xlpm.MyAuditVal),_xlpm.MacVal&lt;&gt;"",_xlpm.MacVal,_xlpm.CSVVal&lt;&gt;"",_xlpm.CSVVal
)),"No")</f>
        <v>No</v>
      </c>
      <c r="Q571" s="2" t="str" cm="1">
        <f t="array" ref="Q571">IFERROR(_xlfn.LET(
_xlpm.CSVVal,_xlfn.XLOOKUP($A571,CSV!$A:$A,CSV!AH:AH,""),
_xlpm.MacVal,_xlfn.XLOOKUP($A571,Output_Mac!$A:$A,Output_Mac!U:U,""),
_xlpm.MyAuditVal,_xlfn.XLOOKUP($A571,My_Audit!$A:$A,My_Audit!R:R,""),
_xlfn.IFS(_xlpm.MyAuditVal&lt;&gt;"",UPPER(_xlpm.MyAuditVal),_xlpm.MacVal&lt;&gt;"",_xlpm.MacVal,_xlpm.CSVVal&lt;&gt;"",_xlpm.CSVVal
)),"")</f>
        <v/>
      </c>
    </row>
    <row r="572" spans="1:17">
      <c r="A572" s="2" t="str">
        <f>_xlfn.TEXTJOIN("",TRUE,Input!$B$2,ROW(My_Audit!A571))</f>
        <v>XX571</v>
      </c>
      <c r="B572" s="2" t="str">
        <f>_xlfn.TEXTJOIN("-",TRUE,"ITD",Input!$A$2,A572)</f>
        <v>ITD-SHRXXX-XX571</v>
      </c>
      <c r="C572" s="2" t="str" cm="1">
        <f t="array" ref="C572">IFERROR(_xlfn.LET(
_xlpm.CSVVal,_xlfn.XLOOKUP($A572,CSV!$A:$A,CSV!B:B,""),
_xlpm.MacVal,_xlfn.XLOOKUP($A572,Output_Mac!$A:$A,Output_Mac!B:B,""),
_xlpm.MyAuditVal,_xlfn.XLOOKUP($A572,My_Audit!$A:$A,My_Audit!B:B,""),
_xlfn.IFS(_xlpm.MyAuditVal&lt;&gt;"",UPPER(_xlpm.MyAuditVal),_xlpm.MacVal&lt;&gt;"",_xlpm.MacVal,_xlpm.CSVVal&lt;&gt;"",_xlpm.CSVVal
)),"")</f>
        <v/>
      </c>
      <c r="D572" s="2" t="str" cm="1">
        <f t="array" ref="D572">IFERROR(_xlfn.LET(
_xlpm.CSVVal,_xlfn.XLOOKUP($A572,CSV!$A:$A,CSV!D:D,""),
_xlpm.MacVal,_xlfn.XLOOKUP($A572,Output_Mac!$A:$A,Output_Mac!C:C,""),
_xlpm.MyAuditVal,_xlfn.XLOOKUP($A572,My_Audit!$A:$A,My_Audit!C:C,""),
_xlfn.IFS(_xlpm.MyAuditVal&lt;&gt;"",_xlpm.MyAuditVal,_xlpm.MacVal&lt;&gt;"",_xlpm.MacVal,_xlpm.CSVVal&lt;&gt;"",_xlpm.CSVVal
)),"")</f>
        <v/>
      </c>
      <c r="E572" s="2" t="str">
        <f>_xlfn.XLOOKUP(A572,My_Audit!A:A,My_Audit!D:D,"")&amp;""</f>
        <v/>
      </c>
      <c r="F572" s="2" t="str" cm="1">
        <f t="array" ref="F572">IFERROR(_xlfn.LET(
_xlpm.CSVVal,_xlfn.XLOOKUP($A572,CSV!$A:$A,CSV!F:F,""),
_xlpm.MacVal,_xlfn.XLOOKUP($A572,Output_Mac!$A:$A,Output_Mac!E:E,""),
_xlpm.MyAuditVal,_xlfn.XLOOKUP($A572,My_Audit!$A:$A,My_Audit!E:E,""),
_xlfn.IFS(_xlpm.MyAuditVal&lt;&gt;"",_xlpm.MyAuditVal,_xlpm.MacVal&lt;&gt;"",_xlpm.MacVal,_xlpm.CSVVal&lt;&gt;"",_xlpm.CSVVal
)),"")</f>
        <v/>
      </c>
      <c r="G572" s="2" t="str" cm="1">
        <f t="array" ref="G572">IFERROR(_xlfn.LET(
_xlpm.CSVVal,_xlfn.XLOOKUP($A572,CSV!$A:$A,CSV!G:G,""),
_xlpm.MacVal,_xlfn.XLOOKUP($A572,Output_Mac!$A:$A,Output_Mac!F:F,""),
_xlpm.MyAuditVal,_xlfn.XLOOKUP($A572,My_Audit!$A:$A,My_Audit!F:F,""),
_xlfn.IFS(_xlpm.MyAuditVal&lt;&gt;"",_xlpm.MyAuditVal,_xlpm.MacVal&lt;&gt;"",_xlpm.MacVal,_xlpm.CSVVal&lt;&gt;"",PROPER(_xlpm.CSVVal)
)),"")</f>
        <v/>
      </c>
      <c r="H572" s="2" t="str" cm="1">
        <f t="array" ref="H572">IFERROR(_xlfn.LET(
_xlpm.CSVVal,_xlfn.XLOOKUP($A572,CSV!$A:$A,CSV!H:H,""),
_xlpm.MacVal,_xlfn.XLOOKUP($A572,Output_Mac!$A:$A,Output_Mac!H:H,""),
_xlpm.MyAuditVal,_xlfn.XLOOKUP($A572,My_Audit!$A:$A,My_Audit!G:G,""),
_xlfn.IFS(_xlpm.MyAuditVal&lt;&gt;"",_xlpm.MyAuditVal,_xlpm.MacVal&lt;&gt;"",_xlpm.MacVal,_xlpm.CSVVal&lt;&gt;"",_xlpm.CSVVal
)),"")</f>
        <v/>
      </c>
      <c r="I572" s="2" t="str">
        <f>_xlfn.XLOOKUP(A572,Output_Mac!A:A,Output_Mac!I:I,"")</f>
        <v/>
      </c>
      <c r="J572" s="2" t="str" cm="1">
        <f t="array" ref="J572">IFERROR(_xlfn.LET(
_xlpm.CSVVal,_xlfn.XLOOKUP($A572,CSV!$A:$A,CSV!I:I,""),
_xlpm.MacVal,_xlfn.XLOOKUP($A572,Output_Mac!$A:$A,Output_Mac!J:J,""),
_xlpm.MyAuditVal,_xlfn.XLOOKUP($A572,My_Audit!$A:$A,My_Audit!I:I,""),
_xlfn.IFS(_xlpm.MyAuditVal&lt;&gt;"",UPPER(_xlpm.MyAuditVal),_xlpm.MacVal&lt;&gt;"",_xlpm.MacVal,_xlpm.CSVVal&lt;&gt;"",_xlpm.CSVVal
)),"")</f>
        <v/>
      </c>
      <c r="K572" s="2" t="str" cm="1">
        <f t="array" ref="K572">IFERROR(_xlfn.LET(
_xlpm.CSVVal,_xlfn.XLOOKUP($A572,CSV!$A:$A,CSV!K:K,""),
_xlpm.MacVal,_xlfn.XLOOKUP($A572,Output_Mac!$A:$A,Output_Mac!K:K,""),
_xlpm.MyAuditVal,_xlfn.XLOOKUP($A572,My_Audit!$A:$A,My_Audit!J:J,""),
_xlfn.IFS(_xlpm.MyAuditVal&lt;&gt;"",UPPER(_xlpm.MyAuditVal),_xlpm.MacVal&lt;&gt;"",_xlpm.MacVal,_xlpm.CSVVal&lt;&gt;"",_xlpm.CSVVal
)),"")</f>
        <v/>
      </c>
      <c r="L572" s="2" t="str" cm="1">
        <f t="array" ref="L572">IFERROR(_xlfn.LET(
_xlpm.CSVVal,_xlfn.XLOOKUP($A572,CSV!$A:$A,CSV!P:P,""),
_xlpm.MacVal,_xlfn.XLOOKUP($A572,Output_Mac!$A:$A,Output_Mac!L:L,""),
_xlpm.MyAuditVal,_xlfn.XLOOKUP($A572,My_Audit!$A:$A,My_Audit!K:K,""),
_xlfn.IFS(_xlpm.MyAuditVal&lt;&gt;"",UPPER(_xlpm.MyAuditVal),_xlpm.MacVal&lt;&gt;"",_xlpm.MacVal,_xlpm.CSVVal&lt;&gt;"",_xlpm.CSVVal
)),"")</f>
        <v/>
      </c>
      <c r="M572" s="2" t="str" cm="1">
        <f t="array" ref="M572">IFERROR(_xlfn.LET(
_xlpm.CSVVal,_xlfn.XLOOKUP($A572,CSV!$A:$A,CSV!Q:Q,""),
_xlpm.MacVal,_xlfn.XLOOKUP($A572,Output_Mac!$A:$A,Output_Mac!M:M,""),
_xlpm.MyAuditVal,_xlfn.XLOOKUP($A572,My_Audit!$A:$A,My_Audit!L:L,""),
_xlfn.IFS(_xlpm.MyAuditVal&lt;&gt;"",UPPER(_xlpm.MyAuditVal),_xlpm.MacVal&lt;&gt;"",_xlpm.MacVal,_xlpm.CSVVal&lt;&gt;"",_xlpm.CSVVal
)),"")</f>
        <v/>
      </c>
      <c r="O572" s="2" t="str">
        <f>_xlfn.LET(
    _xlpm.CSVVal, _xlfn.XLOOKUP($A572, CSV!$A:$A, CSV!AF:AF, ""),
    _xlpm.MacVal, _xlfn.XLOOKUP($A572, Output_Mac!$A:$A, Output_Mac!S:S, ""),
    _xlpm.MyAuditVal, _xlfn.XLOOKUP($A572, My_Audit!$A:$A, My_Audit!P:P, ""),
    _xlfn.TEXTJOIN(", ", TRUE, _xlpm.MyAuditVal, _xlpm.MacVal, _xlpm.CSVVal)
)</f>
        <v/>
      </c>
      <c r="P572" s="2" t="str" cm="1">
        <f t="array" ref="P572">IFERROR(_xlfn.LET(
_xlpm.CSVVal,_xlfn.XLOOKUP($A572,CSV!$A:$A,CSV!AG:AG,""),
_xlpm.MacVal,_xlfn.XLOOKUP($A572,Output_Mac!$A:$A,Output_Mac!T:T,""),
_xlpm.MyAuditVal,_xlfn.XLOOKUP($A572,My_Audit!$A:$A,My_Audit!Q:Q,""),
_xlfn.IFS(_xlpm.MyAuditVal&lt;&gt;"",UPPER(_xlpm.MyAuditVal),_xlpm.MacVal&lt;&gt;"",_xlpm.MacVal,_xlpm.CSVVal&lt;&gt;"",_xlpm.CSVVal
)),"No")</f>
        <v>No</v>
      </c>
      <c r="Q572" s="2" t="str" cm="1">
        <f t="array" ref="Q572">IFERROR(_xlfn.LET(
_xlpm.CSVVal,_xlfn.XLOOKUP($A572,CSV!$A:$A,CSV!AH:AH,""),
_xlpm.MacVal,_xlfn.XLOOKUP($A572,Output_Mac!$A:$A,Output_Mac!U:U,""),
_xlpm.MyAuditVal,_xlfn.XLOOKUP($A572,My_Audit!$A:$A,My_Audit!R:R,""),
_xlfn.IFS(_xlpm.MyAuditVal&lt;&gt;"",UPPER(_xlpm.MyAuditVal),_xlpm.MacVal&lt;&gt;"",_xlpm.MacVal,_xlpm.CSVVal&lt;&gt;"",_xlpm.CSVVal
)),"")</f>
        <v/>
      </c>
    </row>
    <row r="573" spans="1:17">
      <c r="A573" s="2" t="str">
        <f>_xlfn.TEXTJOIN("",TRUE,Input!$B$2,ROW(My_Audit!A572))</f>
        <v>XX572</v>
      </c>
      <c r="B573" s="2" t="str">
        <f>_xlfn.TEXTJOIN("-",TRUE,"ITD",Input!$A$2,A573)</f>
        <v>ITD-SHRXXX-XX572</v>
      </c>
      <c r="C573" s="2" t="str" cm="1">
        <f t="array" ref="C573">IFERROR(_xlfn.LET(
_xlpm.CSVVal,_xlfn.XLOOKUP($A573,CSV!$A:$A,CSV!B:B,""),
_xlpm.MacVal,_xlfn.XLOOKUP($A573,Output_Mac!$A:$A,Output_Mac!B:B,""),
_xlpm.MyAuditVal,_xlfn.XLOOKUP($A573,My_Audit!$A:$A,My_Audit!B:B,""),
_xlfn.IFS(_xlpm.MyAuditVal&lt;&gt;"",UPPER(_xlpm.MyAuditVal),_xlpm.MacVal&lt;&gt;"",_xlpm.MacVal,_xlpm.CSVVal&lt;&gt;"",_xlpm.CSVVal
)),"")</f>
        <v/>
      </c>
      <c r="D573" s="2" t="str" cm="1">
        <f t="array" ref="D573">IFERROR(_xlfn.LET(
_xlpm.CSVVal,_xlfn.XLOOKUP($A573,CSV!$A:$A,CSV!D:D,""),
_xlpm.MacVal,_xlfn.XLOOKUP($A573,Output_Mac!$A:$A,Output_Mac!C:C,""),
_xlpm.MyAuditVal,_xlfn.XLOOKUP($A573,My_Audit!$A:$A,My_Audit!C:C,""),
_xlfn.IFS(_xlpm.MyAuditVal&lt;&gt;"",_xlpm.MyAuditVal,_xlpm.MacVal&lt;&gt;"",_xlpm.MacVal,_xlpm.CSVVal&lt;&gt;"",_xlpm.CSVVal
)),"")</f>
        <v/>
      </c>
      <c r="E573" s="2" t="str">
        <f>_xlfn.XLOOKUP(A573,My_Audit!A:A,My_Audit!D:D,"")&amp;""</f>
        <v/>
      </c>
      <c r="F573" s="2" t="str" cm="1">
        <f t="array" ref="F573">IFERROR(_xlfn.LET(
_xlpm.CSVVal,_xlfn.XLOOKUP($A573,CSV!$A:$A,CSV!F:F,""),
_xlpm.MacVal,_xlfn.XLOOKUP($A573,Output_Mac!$A:$A,Output_Mac!E:E,""),
_xlpm.MyAuditVal,_xlfn.XLOOKUP($A573,My_Audit!$A:$A,My_Audit!E:E,""),
_xlfn.IFS(_xlpm.MyAuditVal&lt;&gt;"",_xlpm.MyAuditVal,_xlpm.MacVal&lt;&gt;"",_xlpm.MacVal,_xlpm.CSVVal&lt;&gt;"",_xlpm.CSVVal
)),"")</f>
        <v/>
      </c>
      <c r="G573" s="2" t="str" cm="1">
        <f t="array" ref="G573">IFERROR(_xlfn.LET(
_xlpm.CSVVal,_xlfn.XLOOKUP($A573,CSV!$A:$A,CSV!G:G,""),
_xlpm.MacVal,_xlfn.XLOOKUP($A573,Output_Mac!$A:$A,Output_Mac!F:F,""),
_xlpm.MyAuditVal,_xlfn.XLOOKUP($A573,My_Audit!$A:$A,My_Audit!F:F,""),
_xlfn.IFS(_xlpm.MyAuditVal&lt;&gt;"",_xlpm.MyAuditVal,_xlpm.MacVal&lt;&gt;"",_xlpm.MacVal,_xlpm.CSVVal&lt;&gt;"",PROPER(_xlpm.CSVVal)
)),"")</f>
        <v/>
      </c>
      <c r="H573" s="2" t="str" cm="1">
        <f t="array" ref="H573">IFERROR(_xlfn.LET(
_xlpm.CSVVal,_xlfn.XLOOKUP($A573,CSV!$A:$A,CSV!H:H,""),
_xlpm.MacVal,_xlfn.XLOOKUP($A573,Output_Mac!$A:$A,Output_Mac!H:H,""),
_xlpm.MyAuditVal,_xlfn.XLOOKUP($A573,My_Audit!$A:$A,My_Audit!G:G,""),
_xlfn.IFS(_xlpm.MyAuditVal&lt;&gt;"",_xlpm.MyAuditVal,_xlpm.MacVal&lt;&gt;"",_xlpm.MacVal,_xlpm.CSVVal&lt;&gt;"",_xlpm.CSVVal
)),"")</f>
        <v/>
      </c>
      <c r="I573" s="2" t="str">
        <f>_xlfn.XLOOKUP(A573,Output_Mac!A:A,Output_Mac!I:I,"")</f>
        <v/>
      </c>
      <c r="J573" s="2" t="str" cm="1">
        <f t="array" ref="J573">IFERROR(_xlfn.LET(
_xlpm.CSVVal,_xlfn.XLOOKUP($A573,CSV!$A:$A,CSV!I:I,""),
_xlpm.MacVal,_xlfn.XLOOKUP($A573,Output_Mac!$A:$A,Output_Mac!J:J,""),
_xlpm.MyAuditVal,_xlfn.XLOOKUP($A573,My_Audit!$A:$A,My_Audit!I:I,""),
_xlfn.IFS(_xlpm.MyAuditVal&lt;&gt;"",UPPER(_xlpm.MyAuditVal),_xlpm.MacVal&lt;&gt;"",_xlpm.MacVal,_xlpm.CSVVal&lt;&gt;"",_xlpm.CSVVal
)),"")</f>
        <v/>
      </c>
      <c r="K573" s="2" t="str" cm="1">
        <f t="array" ref="K573">IFERROR(_xlfn.LET(
_xlpm.CSVVal,_xlfn.XLOOKUP($A573,CSV!$A:$A,CSV!K:K,""),
_xlpm.MacVal,_xlfn.XLOOKUP($A573,Output_Mac!$A:$A,Output_Mac!K:K,""),
_xlpm.MyAuditVal,_xlfn.XLOOKUP($A573,My_Audit!$A:$A,My_Audit!J:J,""),
_xlfn.IFS(_xlpm.MyAuditVal&lt;&gt;"",UPPER(_xlpm.MyAuditVal),_xlpm.MacVal&lt;&gt;"",_xlpm.MacVal,_xlpm.CSVVal&lt;&gt;"",_xlpm.CSVVal
)),"")</f>
        <v/>
      </c>
      <c r="L573" s="2" t="str" cm="1">
        <f t="array" ref="L573">IFERROR(_xlfn.LET(
_xlpm.CSVVal,_xlfn.XLOOKUP($A573,CSV!$A:$A,CSV!P:P,""),
_xlpm.MacVal,_xlfn.XLOOKUP($A573,Output_Mac!$A:$A,Output_Mac!L:L,""),
_xlpm.MyAuditVal,_xlfn.XLOOKUP($A573,My_Audit!$A:$A,My_Audit!K:K,""),
_xlfn.IFS(_xlpm.MyAuditVal&lt;&gt;"",UPPER(_xlpm.MyAuditVal),_xlpm.MacVal&lt;&gt;"",_xlpm.MacVal,_xlpm.CSVVal&lt;&gt;"",_xlpm.CSVVal
)),"")</f>
        <v/>
      </c>
      <c r="M573" s="2" t="str" cm="1">
        <f t="array" ref="M573">IFERROR(_xlfn.LET(
_xlpm.CSVVal,_xlfn.XLOOKUP($A573,CSV!$A:$A,CSV!Q:Q,""),
_xlpm.MacVal,_xlfn.XLOOKUP($A573,Output_Mac!$A:$A,Output_Mac!M:M,""),
_xlpm.MyAuditVal,_xlfn.XLOOKUP($A573,My_Audit!$A:$A,My_Audit!L:L,""),
_xlfn.IFS(_xlpm.MyAuditVal&lt;&gt;"",UPPER(_xlpm.MyAuditVal),_xlpm.MacVal&lt;&gt;"",_xlpm.MacVal,_xlpm.CSVVal&lt;&gt;"",_xlpm.CSVVal
)),"")</f>
        <v/>
      </c>
      <c r="O573" s="2" t="str">
        <f>_xlfn.LET(
    _xlpm.CSVVal, _xlfn.XLOOKUP($A573, CSV!$A:$A, CSV!AF:AF, ""),
    _xlpm.MacVal, _xlfn.XLOOKUP($A573, Output_Mac!$A:$A, Output_Mac!S:S, ""),
    _xlpm.MyAuditVal, _xlfn.XLOOKUP($A573, My_Audit!$A:$A, My_Audit!P:P, ""),
    _xlfn.TEXTJOIN(", ", TRUE, _xlpm.MyAuditVal, _xlpm.MacVal, _xlpm.CSVVal)
)</f>
        <v/>
      </c>
      <c r="P573" s="2" t="str" cm="1">
        <f t="array" ref="P573">IFERROR(_xlfn.LET(
_xlpm.CSVVal,_xlfn.XLOOKUP($A573,CSV!$A:$A,CSV!AG:AG,""),
_xlpm.MacVal,_xlfn.XLOOKUP($A573,Output_Mac!$A:$A,Output_Mac!T:T,""),
_xlpm.MyAuditVal,_xlfn.XLOOKUP($A573,My_Audit!$A:$A,My_Audit!Q:Q,""),
_xlfn.IFS(_xlpm.MyAuditVal&lt;&gt;"",UPPER(_xlpm.MyAuditVal),_xlpm.MacVal&lt;&gt;"",_xlpm.MacVal,_xlpm.CSVVal&lt;&gt;"",_xlpm.CSVVal
)),"No")</f>
        <v>No</v>
      </c>
      <c r="Q573" s="2" t="str" cm="1">
        <f t="array" ref="Q573">IFERROR(_xlfn.LET(
_xlpm.CSVVal,_xlfn.XLOOKUP($A573,CSV!$A:$A,CSV!AH:AH,""),
_xlpm.MacVal,_xlfn.XLOOKUP($A573,Output_Mac!$A:$A,Output_Mac!U:U,""),
_xlpm.MyAuditVal,_xlfn.XLOOKUP($A573,My_Audit!$A:$A,My_Audit!R:R,""),
_xlfn.IFS(_xlpm.MyAuditVal&lt;&gt;"",UPPER(_xlpm.MyAuditVal),_xlpm.MacVal&lt;&gt;"",_xlpm.MacVal,_xlpm.CSVVal&lt;&gt;"",_xlpm.CSVVal
)),"")</f>
        <v/>
      </c>
    </row>
    <row r="574" spans="1:17">
      <c r="A574" s="2" t="str">
        <f>_xlfn.TEXTJOIN("",TRUE,Input!$B$2,ROW(My_Audit!A573))</f>
        <v>XX573</v>
      </c>
      <c r="B574" s="2" t="str">
        <f>_xlfn.TEXTJOIN("-",TRUE,"ITD",Input!$A$2,A574)</f>
        <v>ITD-SHRXXX-XX573</v>
      </c>
      <c r="C574" s="2" t="str" cm="1">
        <f t="array" ref="C574">IFERROR(_xlfn.LET(
_xlpm.CSVVal,_xlfn.XLOOKUP($A574,CSV!$A:$A,CSV!B:B,""),
_xlpm.MacVal,_xlfn.XLOOKUP($A574,Output_Mac!$A:$A,Output_Mac!B:B,""),
_xlpm.MyAuditVal,_xlfn.XLOOKUP($A574,My_Audit!$A:$A,My_Audit!B:B,""),
_xlfn.IFS(_xlpm.MyAuditVal&lt;&gt;"",UPPER(_xlpm.MyAuditVal),_xlpm.MacVal&lt;&gt;"",_xlpm.MacVal,_xlpm.CSVVal&lt;&gt;"",_xlpm.CSVVal
)),"")</f>
        <v/>
      </c>
      <c r="D574" s="2" t="str" cm="1">
        <f t="array" ref="D574">IFERROR(_xlfn.LET(
_xlpm.CSVVal,_xlfn.XLOOKUP($A574,CSV!$A:$A,CSV!D:D,""),
_xlpm.MacVal,_xlfn.XLOOKUP($A574,Output_Mac!$A:$A,Output_Mac!C:C,""),
_xlpm.MyAuditVal,_xlfn.XLOOKUP($A574,My_Audit!$A:$A,My_Audit!C:C,""),
_xlfn.IFS(_xlpm.MyAuditVal&lt;&gt;"",_xlpm.MyAuditVal,_xlpm.MacVal&lt;&gt;"",_xlpm.MacVal,_xlpm.CSVVal&lt;&gt;"",_xlpm.CSVVal
)),"")</f>
        <v/>
      </c>
      <c r="E574" s="2" t="str">
        <f>_xlfn.XLOOKUP(A574,My_Audit!A:A,My_Audit!D:D,"")&amp;""</f>
        <v/>
      </c>
      <c r="F574" s="2" t="str" cm="1">
        <f t="array" ref="F574">IFERROR(_xlfn.LET(
_xlpm.CSVVal,_xlfn.XLOOKUP($A574,CSV!$A:$A,CSV!F:F,""),
_xlpm.MacVal,_xlfn.XLOOKUP($A574,Output_Mac!$A:$A,Output_Mac!E:E,""),
_xlpm.MyAuditVal,_xlfn.XLOOKUP($A574,My_Audit!$A:$A,My_Audit!E:E,""),
_xlfn.IFS(_xlpm.MyAuditVal&lt;&gt;"",_xlpm.MyAuditVal,_xlpm.MacVal&lt;&gt;"",_xlpm.MacVal,_xlpm.CSVVal&lt;&gt;"",_xlpm.CSVVal
)),"")</f>
        <v/>
      </c>
      <c r="G574" s="2" t="str" cm="1">
        <f t="array" ref="G574">IFERROR(_xlfn.LET(
_xlpm.CSVVal,_xlfn.XLOOKUP($A574,CSV!$A:$A,CSV!G:G,""),
_xlpm.MacVal,_xlfn.XLOOKUP($A574,Output_Mac!$A:$A,Output_Mac!F:F,""),
_xlpm.MyAuditVal,_xlfn.XLOOKUP($A574,My_Audit!$A:$A,My_Audit!F:F,""),
_xlfn.IFS(_xlpm.MyAuditVal&lt;&gt;"",_xlpm.MyAuditVal,_xlpm.MacVal&lt;&gt;"",_xlpm.MacVal,_xlpm.CSVVal&lt;&gt;"",PROPER(_xlpm.CSVVal)
)),"")</f>
        <v/>
      </c>
      <c r="H574" s="2" t="str" cm="1">
        <f t="array" ref="H574">IFERROR(_xlfn.LET(
_xlpm.CSVVal,_xlfn.XLOOKUP($A574,CSV!$A:$A,CSV!H:H,""),
_xlpm.MacVal,_xlfn.XLOOKUP($A574,Output_Mac!$A:$A,Output_Mac!H:H,""),
_xlpm.MyAuditVal,_xlfn.XLOOKUP($A574,My_Audit!$A:$A,My_Audit!G:G,""),
_xlfn.IFS(_xlpm.MyAuditVal&lt;&gt;"",_xlpm.MyAuditVal,_xlpm.MacVal&lt;&gt;"",_xlpm.MacVal,_xlpm.CSVVal&lt;&gt;"",_xlpm.CSVVal
)),"")</f>
        <v/>
      </c>
      <c r="I574" s="2" t="str">
        <f>_xlfn.XLOOKUP(A574,Output_Mac!A:A,Output_Mac!I:I,"")</f>
        <v/>
      </c>
      <c r="J574" s="2" t="str" cm="1">
        <f t="array" ref="J574">IFERROR(_xlfn.LET(
_xlpm.CSVVal,_xlfn.XLOOKUP($A574,CSV!$A:$A,CSV!I:I,""),
_xlpm.MacVal,_xlfn.XLOOKUP($A574,Output_Mac!$A:$A,Output_Mac!J:J,""),
_xlpm.MyAuditVal,_xlfn.XLOOKUP($A574,My_Audit!$A:$A,My_Audit!I:I,""),
_xlfn.IFS(_xlpm.MyAuditVal&lt;&gt;"",UPPER(_xlpm.MyAuditVal),_xlpm.MacVal&lt;&gt;"",_xlpm.MacVal,_xlpm.CSVVal&lt;&gt;"",_xlpm.CSVVal
)),"")</f>
        <v/>
      </c>
      <c r="K574" s="2" t="str" cm="1">
        <f t="array" ref="K574">IFERROR(_xlfn.LET(
_xlpm.CSVVal,_xlfn.XLOOKUP($A574,CSV!$A:$A,CSV!K:K,""),
_xlpm.MacVal,_xlfn.XLOOKUP($A574,Output_Mac!$A:$A,Output_Mac!K:K,""),
_xlpm.MyAuditVal,_xlfn.XLOOKUP($A574,My_Audit!$A:$A,My_Audit!J:J,""),
_xlfn.IFS(_xlpm.MyAuditVal&lt;&gt;"",UPPER(_xlpm.MyAuditVal),_xlpm.MacVal&lt;&gt;"",_xlpm.MacVal,_xlpm.CSVVal&lt;&gt;"",_xlpm.CSVVal
)),"")</f>
        <v/>
      </c>
      <c r="L574" s="2" t="str" cm="1">
        <f t="array" ref="L574">IFERROR(_xlfn.LET(
_xlpm.CSVVal,_xlfn.XLOOKUP($A574,CSV!$A:$A,CSV!P:P,""),
_xlpm.MacVal,_xlfn.XLOOKUP($A574,Output_Mac!$A:$A,Output_Mac!L:L,""),
_xlpm.MyAuditVal,_xlfn.XLOOKUP($A574,My_Audit!$A:$A,My_Audit!K:K,""),
_xlfn.IFS(_xlpm.MyAuditVal&lt;&gt;"",UPPER(_xlpm.MyAuditVal),_xlpm.MacVal&lt;&gt;"",_xlpm.MacVal,_xlpm.CSVVal&lt;&gt;"",_xlpm.CSVVal
)),"")</f>
        <v/>
      </c>
      <c r="M574" s="2" t="str" cm="1">
        <f t="array" ref="M574">IFERROR(_xlfn.LET(
_xlpm.CSVVal,_xlfn.XLOOKUP($A574,CSV!$A:$A,CSV!Q:Q,""),
_xlpm.MacVal,_xlfn.XLOOKUP($A574,Output_Mac!$A:$A,Output_Mac!M:M,""),
_xlpm.MyAuditVal,_xlfn.XLOOKUP($A574,My_Audit!$A:$A,My_Audit!L:L,""),
_xlfn.IFS(_xlpm.MyAuditVal&lt;&gt;"",UPPER(_xlpm.MyAuditVal),_xlpm.MacVal&lt;&gt;"",_xlpm.MacVal,_xlpm.CSVVal&lt;&gt;"",_xlpm.CSVVal
)),"")</f>
        <v/>
      </c>
      <c r="O574" s="2" t="str">
        <f>_xlfn.LET(
    _xlpm.CSVVal, _xlfn.XLOOKUP($A574, CSV!$A:$A, CSV!AF:AF, ""),
    _xlpm.MacVal, _xlfn.XLOOKUP($A574, Output_Mac!$A:$A, Output_Mac!S:S, ""),
    _xlpm.MyAuditVal, _xlfn.XLOOKUP($A574, My_Audit!$A:$A, My_Audit!P:P, ""),
    _xlfn.TEXTJOIN(", ", TRUE, _xlpm.MyAuditVal, _xlpm.MacVal, _xlpm.CSVVal)
)</f>
        <v/>
      </c>
      <c r="P574" s="2" t="str" cm="1">
        <f t="array" ref="P574">IFERROR(_xlfn.LET(
_xlpm.CSVVal,_xlfn.XLOOKUP($A574,CSV!$A:$A,CSV!AG:AG,""),
_xlpm.MacVal,_xlfn.XLOOKUP($A574,Output_Mac!$A:$A,Output_Mac!T:T,""),
_xlpm.MyAuditVal,_xlfn.XLOOKUP($A574,My_Audit!$A:$A,My_Audit!Q:Q,""),
_xlfn.IFS(_xlpm.MyAuditVal&lt;&gt;"",UPPER(_xlpm.MyAuditVal),_xlpm.MacVal&lt;&gt;"",_xlpm.MacVal,_xlpm.CSVVal&lt;&gt;"",_xlpm.CSVVal
)),"No")</f>
        <v>No</v>
      </c>
      <c r="Q574" s="2" t="str" cm="1">
        <f t="array" ref="Q574">IFERROR(_xlfn.LET(
_xlpm.CSVVal,_xlfn.XLOOKUP($A574,CSV!$A:$A,CSV!AH:AH,""),
_xlpm.MacVal,_xlfn.XLOOKUP($A574,Output_Mac!$A:$A,Output_Mac!U:U,""),
_xlpm.MyAuditVal,_xlfn.XLOOKUP($A574,My_Audit!$A:$A,My_Audit!R:R,""),
_xlfn.IFS(_xlpm.MyAuditVal&lt;&gt;"",UPPER(_xlpm.MyAuditVal),_xlpm.MacVal&lt;&gt;"",_xlpm.MacVal,_xlpm.CSVVal&lt;&gt;"",_xlpm.CSVVal
)),"")</f>
        <v/>
      </c>
    </row>
    <row r="575" spans="1:17">
      <c r="A575" s="2" t="str">
        <f>_xlfn.TEXTJOIN("",TRUE,Input!$B$2,ROW(My_Audit!A574))</f>
        <v>XX574</v>
      </c>
      <c r="B575" s="2" t="str">
        <f>_xlfn.TEXTJOIN("-",TRUE,"ITD",Input!$A$2,A575)</f>
        <v>ITD-SHRXXX-XX574</v>
      </c>
      <c r="C575" s="2" t="str" cm="1">
        <f t="array" ref="C575">IFERROR(_xlfn.LET(
_xlpm.CSVVal,_xlfn.XLOOKUP($A575,CSV!$A:$A,CSV!B:B,""),
_xlpm.MacVal,_xlfn.XLOOKUP($A575,Output_Mac!$A:$A,Output_Mac!B:B,""),
_xlpm.MyAuditVal,_xlfn.XLOOKUP($A575,My_Audit!$A:$A,My_Audit!B:B,""),
_xlfn.IFS(_xlpm.MyAuditVal&lt;&gt;"",UPPER(_xlpm.MyAuditVal),_xlpm.MacVal&lt;&gt;"",_xlpm.MacVal,_xlpm.CSVVal&lt;&gt;"",_xlpm.CSVVal
)),"")</f>
        <v/>
      </c>
      <c r="D575" s="2" t="str" cm="1">
        <f t="array" ref="D575">IFERROR(_xlfn.LET(
_xlpm.CSVVal,_xlfn.XLOOKUP($A575,CSV!$A:$A,CSV!D:D,""),
_xlpm.MacVal,_xlfn.XLOOKUP($A575,Output_Mac!$A:$A,Output_Mac!C:C,""),
_xlpm.MyAuditVal,_xlfn.XLOOKUP($A575,My_Audit!$A:$A,My_Audit!C:C,""),
_xlfn.IFS(_xlpm.MyAuditVal&lt;&gt;"",_xlpm.MyAuditVal,_xlpm.MacVal&lt;&gt;"",_xlpm.MacVal,_xlpm.CSVVal&lt;&gt;"",_xlpm.CSVVal
)),"")</f>
        <v/>
      </c>
      <c r="E575" s="2" t="str">
        <f>_xlfn.XLOOKUP(A575,My_Audit!A:A,My_Audit!D:D,"")&amp;""</f>
        <v/>
      </c>
      <c r="F575" s="2" t="str" cm="1">
        <f t="array" ref="F575">IFERROR(_xlfn.LET(
_xlpm.CSVVal,_xlfn.XLOOKUP($A575,CSV!$A:$A,CSV!F:F,""),
_xlpm.MacVal,_xlfn.XLOOKUP($A575,Output_Mac!$A:$A,Output_Mac!E:E,""),
_xlpm.MyAuditVal,_xlfn.XLOOKUP($A575,My_Audit!$A:$A,My_Audit!E:E,""),
_xlfn.IFS(_xlpm.MyAuditVal&lt;&gt;"",_xlpm.MyAuditVal,_xlpm.MacVal&lt;&gt;"",_xlpm.MacVal,_xlpm.CSVVal&lt;&gt;"",_xlpm.CSVVal
)),"")</f>
        <v/>
      </c>
      <c r="G575" s="2" t="str" cm="1">
        <f t="array" ref="G575">IFERROR(_xlfn.LET(
_xlpm.CSVVal,_xlfn.XLOOKUP($A575,CSV!$A:$A,CSV!G:G,""),
_xlpm.MacVal,_xlfn.XLOOKUP($A575,Output_Mac!$A:$A,Output_Mac!F:F,""),
_xlpm.MyAuditVal,_xlfn.XLOOKUP($A575,My_Audit!$A:$A,My_Audit!F:F,""),
_xlfn.IFS(_xlpm.MyAuditVal&lt;&gt;"",_xlpm.MyAuditVal,_xlpm.MacVal&lt;&gt;"",_xlpm.MacVal,_xlpm.CSVVal&lt;&gt;"",PROPER(_xlpm.CSVVal)
)),"")</f>
        <v/>
      </c>
      <c r="H575" s="2" t="str" cm="1">
        <f t="array" ref="H575">IFERROR(_xlfn.LET(
_xlpm.CSVVal,_xlfn.XLOOKUP($A575,CSV!$A:$A,CSV!H:H,""),
_xlpm.MacVal,_xlfn.XLOOKUP($A575,Output_Mac!$A:$A,Output_Mac!H:H,""),
_xlpm.MyAuditVal,_xlfn.XLOOKUP($A575,My_Audit!$A:$A,My_Audit!G:G,""),
_xlfn.IFS(_xlpm.MyAuditVal&lt;&gt;"",_xlpm.MyAuditVal,_xlpm.MacVal&lt;&gt;"",_xlpm.MacVal,_xlpm.CSVVal&lt;&gt;"",_xlpm.CSVVal
)),"")</f>
        <v/>
      </c>
      <c r="I575" s="2" t="str">
        <f>_xlfn.XLOOKUP(A575,Output_Mac!A:A,Output_Mac!I:I,"")</f>
        <v/>
      </c>
      <c r="J575" s="2" t="str" cm="1">
        <f t="array" ref="J575">IFERROR(_xlfn.LET(
_xlpm.CSVVal,_xlfn.XLOOKUP($A575,CSV!$A:$A,CSV!I:I,""),
_xlpm.MacVal,_xlfn.XLOOKUP($A575,Output_Mac!$A:$A,Output_Mac!J:J,""),
_xlpm.MyAuditVal,_xlfn.XLOOKUP($A575,My_Audit!$A:$A,My_Audit!I:I,""),
_xlfn.IFS(_xlpm.MyAuditVal&lt;&gt;"",UPPER(_xlpm.MyAuditVal),_xlpm.MacVal&lt;&gt;"",_xlpm.MacVal,_xlpm.CSVVal&lt;&gt;"",_xlpm.CSVVal
)),"")</f>
        <v/>
      </c>
      <c r="K575" s="2" t="str" cm="1">
        <f t="array" ref="K575">IFERROR(_xlfn.LET(
_xlpm.CSVVal,_xlfn.XLOOKUP($A575,CSV!$A:$A,CSV!K:K,""),
_xlpm.MacVal,_xlfn.XLOOKUP($A575,Output_Mac!$A:$A,Output_Mac!K:K,""),
_xlpm.MyAuditVal,_xlfn.XLOOKUP($A575,My_Audit!$A:$A,My_Audit!J:J,""),
_xlfn.IFS(_xlpm.MyAuditVal&lt;&gt;"",UPPER(_xlpm.MyAuditVal),_xlpm.MacVal&lt;&gt;"",_xlpm.MacVal,_xlpm.CSVVal&lt;&gt;"",_xlpm.CSVVal
)),"")</f>
        <v/>
      </c>
      <c r="L575" s="2" t="str" cm="1">
        <f t="array" ref="L575">IFERROR(_xlfn.LET(
_xlpm.CSVVal,_xlfn.XLOOKUP($A575,CSV!$A:$A,CSV!P:P,""),
_xlpm.MacVal,_xlfn.XLOOKUP($A575,Output_Mac!$A:$A,Output_Mac!L:L,""),
_xlpm.MyAuditVal,_xlfn.XLOOKUP($A575,My_Audit!$A:$A,My_Audit!K:K,""),
_xlfn.IFS(_xlpm.MyAuditVal&lt;&gt;"",UPPER(_xlpm.MyAuditVal),_xlpm.MacVal&lt;&gt;"",_xlpm.MacVal,_xlpm.CSVVal&lt;&gt;"",_xlpm.CSVVal
)),"")</f>
        <v/>
      </c>
      <c r="M575" s="2" t="str" cm="1">
        <f t="array" ref="M575">IFERROR(_xlfn.LET(
_xlpm.CSVVal,_xlfn.XLOOKUP($A575,CSV!$A:$A,CSV!Q:Q,""),
_xlpm.MacVal,_xlfn.XLOOKUP($A575,Output_Mac!$A:$A,Output_Mac!M:M,""),
_xlpm.MyAuditVal,_xlfn.XLOOKUP($A575,My_Audit!$A:$A,My_Audit!L:L,""),
_xlfn.IFS(_xlpm.MyAuditVal&lt;&gt;"",UPPER(_xlpm.MyAuditVal),_xlpm.MacVal&lt;&gt;"",_xlpm.MacVal,_xlpm.CSVVal&lt;&gt;"",_xlpm.CSVVal
)),"")</f>
        <v/>
      </c>
      <c r="O575" s="2" t="str">
        <f>_xlfn.LET(
    _xlpm.CSVVal, _xlfn.XLOOKUP($A575, CSV!$A:$A, CSV!AF:AF, ""),
    _xlpm.MacVal, _xlfn.XLOOKUP($A575, Output_Mac!$A:$A, Output_Mac!S:S, ""),
    _xlpm.MyAuditVal, _xlfn.XLOOKUP($A575, My_Audit!$A:$A, My_Audit!P:P, ""),
    _xlfn.TEXTJOIN(", ", TRUE, _xlpm.MyAuditVal, _xlpm.MacVal, _xlpm.CSVVal)
)</f>
        <v/>
      </c>
      <c r="P575" s="2" t="str" cm="1">
        <f t="array" ref="P575">IFERROR(_xlfn.LET(
_xlpm.CSVVal,_xlfn.XLOOKUP($A575,CSV!$A:$A,CSV!AG:AG,""),
_xlpm.MacVal,_xlfn.XLOOKUP($A575,Output_Mac!$A:$A,Output_Mac!T:T,""),
_xlpm.MyAuditVal,_xlfn.XLOOKUP($A575,My_Audit!$A:$A,My_Audit!Q:Q,""),
_xlfn.IFS(_xlpm.MyAuditVal&lt;&gt;"",UPPER(_xlpm.MyAuditVal),_xlpm.MacVal&lt;&gt;"",_xlpm.MacVal,_xlpm.CSVVal&lt;&gt;"",_xlpm.CSVVal
)),"No")</f>
        <v>No</v>
      </c>
      <c r="Q575" s="2" t="str" cm="1">
        <f t="array" ref="Q575">IFERROR(_xlfn.LET(
_xlpm.CSVVal,_xlfn.XLOOKUP($A575,CSV!$A:$A,CSV!AH:AH,""),
_xlpm.MacVal,_xlfn.XLOOKUP($A575,Output_Mac!$A:$A,Output_Mac!U:U,""),
_xlpm.MyAuditVal,_xlfn.XLOOKUP($A575,My_Audit!$A:$A,My_Audit!R:R,""),
_xlfn.IFS(_xlpm.MyAuditVal&lt;&gt;"",UPPER(_xlpm.MyAuditVal),_xlpm.MacVal&lt;&gt;"",_xlpm.MacVal,_xlpm.CSVVal&lt;&gt;"",_xlpm.CSVVal
)),"")</f>
        <v/>
      </c>
    </row>
    <row r="576" spans="1:17">
      <c r="A576" s="2" t="str">
        <f>_xlfn.TEXTJOIN("",TRUE,Input!$B$2,ROW(My_Audit!A575))</f>
        <v>XX575</v>
      </c>
      <c r="B576" s="2" t="str">
        <f>_xlfn.TEXTJOIN("-",TRUE,"ITD",Input!$A$2,A576)</f>
        <v>ITD-SHRXXX-XX575</v>
      </c>
      <c r="C576" s="2" t="str" cm="1">
        <f t="array" ref="C576">IFERROR(_xlfn.LET(
_xlpm.CSVVal,_xlfn.XLOOKUP($A576,CSV!$A:$A,CSV!B:B,""),
_xlpm.MacVal,_xlfn.XLOOKUP($A576,Output_Mac!$A:$A,Output_Mac!B:B,""),
_xlpm.MyAuditVal,_xlfn.XLOOKUP($A576,My_Audit!$A:$A,My_Audit!B:B,""),
_xlfn.IFS(_xlpm.MyAuditVal&lt;&gt;"",UPPER(_xlpm.MyAuditVal),_xlpm.MacVal&lt;&gt;"",_xlpm.MacVal,_xlpm.CSVVal&lt;&gt;"",_xlpm.CSVVal
)),"")</f>
        <v/>
      </c>
      <c r="D576" s="2" t="str" cm="1">
        <f t="array" ref="D576">IFERROR(_xlfn.LET(
_xlpm.CSVVal,_xlfn.XLOOKUP($A576,CSV!$A:$A,CSV!D:D,""),
_xlpm.MacVal,_xlfn.XLOOKUP($A576,Output_Mac!$A:$A,Output_Mac!C:C,""),
_xlpm.MyAuditVal,_xlfn.XLOOKUP($A576,My_Audit!$A:$A,My_Audit!C:C,""),
_xlfn.IFS(_xlpm.MyAuditVal&lt;&gt;"",_xlpm.MyAuditVal,_xlpm.MacVal&lt;&gt;"",_xlpm.MacVal,_xlpm.CSVVal&lt;&gt;"",_xlpm.CSVVal
)),"")</f>
        <v/>
      </c>
      <c r="E576" s="2" t="str">
        <f>_xlfn.XLOOKUP(A576,My_Audit!A:A,My_Audit!D:D,"")&amp;""</f>
        <v/>
      </c>
      <c r="F576" s="2" t="str" cm="1">
        <f t="array" ref="F576">IFERROR(_xlfn.LET(
_xlpm.CSVVal,_xlfn.XLOOKUP($A576,CSV!$A:$A,CSV!F:F,""),
_xlpm.MacVal,_xlfn.XLOOKUP($A576,Output_Mac!$A:$A,Output_Mac!E:E,""),
_xlpm.MyAuditVal,_xlfn.XLOOKUP($A576,My_Audit!$A:$A,My_Audit!E:E,""),
_xlfn.IFS(_xlpm.MyAuditVal&lt;&gt;"",_xlpm.MyAuditVal,_xlpm.MacVal&lt;&gt;"",_xlpm.MacVal,_xlpm.CSVVal&lt;&gt;"",_xlpm.CSVVal
)),"")</f>
        <v/>
      </c>
      <c r="G576" s="2" t="str" cm="1">
        <f t="array" ref="G576">IFERROR(_xlfn.LET(
_xlpm.CSVVal,_xlfn.XLOOKUP($A576,CSV!$A:$A,CSV!G:G,""),
_xlpm.MacVal,_xlfn.XLOOKUP($A576,Output_Mac!$A:$A,Output_Mac!F:F,""),
_xlpm.MyAuditVal,_xlfn.XLOOKUP($A576,My_Audit!$A:$A,My_Audit!F:F,""),
_xlfn.IFS(_xlpm.MyAuditVal&lt;&gt;"",_xlpm.MyAuditVal,_xlpm.MacVal&lt;&gt;"",_xlpm.MacVal,_xlpm.CSVVal&lt;&gt;"",PROPER(_xlpm.CSVVal)
)),"")</f>
        <v/>
      </c>
      <c r="H576" s="2" t="str" cm="1">
        <f t="array" ref="H576">IFERROR(_xlfn.LET(
_xlpm.CSVVal,_xlfn.XLOOKUP($A576,CSV!$A:$A,CSV!H:H,""),
_xlpm.MacVal,_xlfn.XLOOKUP($A576,Output_Mac!$A:$A,Output_Mac!H:H,""),
_xlpm.MyAuditVal,_xlfn.XLOOKUP($A576,My_Audit!$A:$A,My_Audit!G:G,""),
_xlfn.IFS(_xlpm.MyAuditVal&lt;&gt;"",_xlpm.MyAuditVal,_xlpm.MacVal&lt;&gt;"",_xlpm.MacVal,_xlpm.CSVVal&lt;&gt;"",_xlpm.CSVVal
)),"")</f>
        <v/>
      </c>
      <c r="I576" s="2" t="str">
        <f>_xlfn.XLOOKUP(A576,Output_Mac!A:A,Output_Mac!I:I,"")</f>
        <v/>
      </c>
      <c r="J576" s="2" t="str" cm="1">
        <f t="array" ref="J576">IFERROR(_xlfn.LET(
_xlpm.CSVVal,_xlfn.XLOOKUP($A576,CSV!$A:$A,CSV!I:I,""),
_xlpm.MacVal,_xlfn.XLOOKUP($A576,Output_Mac!$A:$A,Output_Mac!J:J,""),
_xlpm.MyAuditVal,_xlfn.XLOOKUP($A576,My_Audit!$A:$A,My_Audit!I:I,""),
_xlfn.IFS(_xlpm.MyAuditVal&lt;&gt;"",UPPER(_xlpm.MyAuditVal),_xlpm.MacVal&lt;&gt;"",_xlpm.MacVal,_xlpm.CSVVal&lt;&gt;"",_xlpm.CSVVal
)),"")</f>
        <v/>
      </c>
      <c r="K576" s="2" t="str" cm="1">
        <f t="array" ref="K576">IFERROR(_xlfn.LET(
_xlpm.CSVVal,_xlfn.XLOOKUP($A576,CSV!$A:$A,CSV!K:K,""),
_xlpm.MacVal,_xlfn.XLOOKUP($A576,Output_Mac!$A:$A,Output_Mac!K:K,""),
_xlpm.MyAuditVal,_xlfn.XLOOKUP($A576,My_Audit!$A:$A,My_Audit!J:J,""),
_xlfn.IFS(_xlpm.MyAuditVal&lt;&gt;"",UPPER(_xlpm.MyAuditVal),_xlpm.MacVal&lt;&gt;"",_xlpm.MacVal,_xlpm.CSVVal&lt;&gt;"",_xlpm.CSVVal
)),"")</f>
        <v/>
      </c>
      <c r="L576" s="2" t="str" cm="1">
        <f t="array" ref="L576">IFERROR(_xlfn.LET(
_xlpm.CSVVal,_xlfn.XLOOKUP($A576,CSV!$A:$A,CSV!P:P,""),
_xlpm.MacVal,_xlfn.XLOOKUP($A576,Output_Mac!$A:$A,Output_Mac!L:L,""),
_xlpm.MyAuditVal,_xlfn.XLOOKUP($A576,My_Audit!$A:$A,My_Audit!K:K,""),
_xlfn.IFS(_xlpm.MyAuditVal&lt;&gt;"",UPPER(_xlpm.MyAuditVal),_xlpm.MacVal&lt;&gt;"",_xlpm.MacVal,_xlpm.CSVVal&lt;&gt;"",_xlpm.CSVVal
)),"")</f>
        <v/>
      </c>
      <c r="M576" s="2" t="str" cm="1">
        <f t="array" ref="M576">IFERROR(_xlfn.LET(
_xlpm.CSVVal,_xlfn.XLOOKUP($A576,CSV!$A:$A,CSV!Q:Q,""),
_xlpm.MacVal,_xlfn.XLOOKUP($A576,Output_Mac!$A:$A,Output_Mac!M:M,""),
_xlpm.MyAuditVal,_xlfn.XLOOKUP($A576,My_Audit!$A:$A,My_Audit!L:L,""),
_xlfn.IFS(_xlpm.MyAuditVal&lt;&gt;"",UPPER(_xlpm.MyAuditVal),_xlpm.MacVal&lt;&gt;"",_xlpm.MacVal,_xlpm.CSVVal&lt;&gt;"",_xlpm.CSVVal
)),"")</f>
        <v/>
      </c>
      <c r="O576" s="2" t="str">
        <f>_xlfn.LET(
    _xlpm.CSVVal, _xlfn.XLOOKUP($A576, CSV!$A:$A, CSV!AF:AF, ""),
    _xlpm.MacVal, _xlfn.XLOOKUP($A576, Output_Mac!$A:$A, Output_Mac!S:S, ""),
    _xlpm.MyAuditVal, _xlfn.XLOOKUP($A576, My_Audit!$A:$A, My_Audit!P:P, ""),
    _xlfn.TEXTJOIN(", ", TRUE, _xlpm.MyAuditVal, _xlpm.MacVal, _xlpm.CSVVal)
)</f>
        <v/>
      </c>
      <c r="P576" s="2" t="str" cm="1">
        <f t="array" ref="P576">IFERROR(_xlfn.LET(
_xlpm.CSVVal,_xlfn.XLOOKUP($A576,CSV!$A:$A,CSV!AG:AG,""),
_xlpm.MacVal,_xlfn.XLOOKUP($A576,Output_Mac!$A:$A,Output_Mac!T:T,""),
_xlpm.MyAuditVal,_xlfn.XLOOKUP($A576,My_Audit!$A:$A,My_Audit!Q:Q,""),
_xlfn.IFS(_xlpm.MyAuditVal&lt;&gt;"",UPPER(_xlpm.MyAuditVal),_xlpm.MacVal&lt;&gt;"",_xlpm.MacVal,_xlpm.CSVVal&lt;&gt;"",_xlpm.CSVVal
)),"No")</f>
        <v>No</v>
      </c>
      <c r="Q576" s="2" t="str" cm="1">
        <f t="array" ref="Q576">IFERROR(_xlfn.LET(
_xlpm.CSVVal,_xlfn.XLOOKUP($A576,CSV!$A:$A,CSV!AH:AH,""),
_xlpm.MacVal,_xlfn.XLOOKUP($A576,Output_Mac!$A:$A,Output_Mac!U:U,""),
_xlpm.MyAuditVal,_xlfn.XLOOKUP($A576,My_Audit!$A:$A,My_Audit!R:R,""),
_xlfn.IFS(_xlpm.MyAuditVal&lt;&gt;"",UPPER(_xlpm.MyAuditVal),_xlpm.MacVal&lt;&gt;"",_xlpm.MacVal,_xlpm.CSVVal&lt;&gt;"",_xlpm.CSVVal
)),"")</f>
        <v/>
      </c>
    </row>
    <row r="577" spans="1:17">
      <c r="A577" s="2" t="str">
        <f>_xlfn.TEXTJOIN("",TRUE,Input!$B$2,ROW(My_Audit!A576))</f>
        <v>XX576</v>
      </c>
      <c r="B577" s="2" t="str">
        <f>_xlfn.TEXTJOIN("-",TRUE,"ITD",Input!$A$2,A577)</f>
        <v>ITD-SHRXXX-XX576</v>
      </c>
      <c r="C577" s="2" t="str" cm="1">
        <f t="array" ref="C577">IFERROR(_xlfn.LET(
_xlpm.CSVVal,_xlfn.XLOOKUP($A577,CSV!$A:$A,CSV!B:B,""),
_xlpm.MacVal,_xlfn.XLOOKUP($A577,Output_Mac!$A:$A,Output_Mac!B:B,""),
_xlpm.MyAuditVal,_xlfn.XLOOKUP($A577,My_Audit!$A:$A,My_Audit!B:B,""),
_xlfn.IFS(_xlpm.MyAuditVal&lt;&gt;"",UPPER(_xlpm.MyAuditVal),_xlpm.MacVal&lt;&gt;"",_xlpm.MacVal,_xlpm.CSVVal&lt;&gt;"",_xlpm.CSVVal
)),"")</f>
        <v/>
      </c>
      <c r="D577" s="2" t="str" cm="1">
        <f t="array" ref="D577">IFERROR(_xlfn.LET(
_xlpm.CSVVal,_xlfn.XLOOKUP($A577,CSV!$A:$A,CSV!D:D,""),
_xlpm.MacVal,_xlfn.XLOOKUP($A577,Output_Mac!$A:$A,Output_Mac!C:C,""),
_xlpm.MyAuditVal,_xlfn.XLOOKUP($A577,My_Audit!$A:$A,My_Audit!C:C,""),
_xlfn.IFS(_xlpm.MyAuditVal&lt;&gt;"",_xlpm.MyAuditVal,_xlpm.MacVal&lt;&gt;"",_xlpm.MacVal,_xlpm.CSVVal&lt;&gt;"",_xlpm.CSVVal
)),"")</f>
        <v/>
      </c>
      <c r="E577" s="2" t="str">
        <f>_xlfn.XLOOKUP(A577,My_Audit!A:A,My_Audit!D:D,"")&amp;""</f>
        <v/>
      </c>
      <c r="F577" s="2" t="str" cm="1">
        <f t="array" ref="F577">IFERROR(_xlfn.LET(
_xlpm.CSVVal,_xlfn.XLOOKUP($A577,CSV!$A:$A,CSV!F:F,""),
_xlpm.MacVal,_xlfn.XLOOKUP($A577,Output_Mac!$A:$A,Output_Mac!E:E,""),
_xlpm.MyAuditVal,_xlfn.XLOOKUP($A577,My_Audit!$A:$A,My_Audit!E:E,""),
_xlfn.IFS(_xlpm.MyAuditVal&lt;&gt;"",_xlpm.MyAuditVal,_xlpm.MacVal&lt;&gt;"",_xlpm.MacVal,_xlpm.CSVVal&lt;&gt;"",_xlpm.CSVVal
)),"")</f>
        <v/>
      </c>
      <c r="G577" s="2" t="str" cm="1">
        <f t="array" ref="G577">IFERROR(_xlfn.LET(
_xlpm.CSVVal,_xlfn.XLOOKUP($A577,CSV!$A:$A,CSV!G:G,""),
_xlpm.MacVal,_xlfn.XLOOKUP($A577,Output_Mac!$A:$A,Output_Mac!F:F,""),
_xlpm.MyAuditVal,_xlfn.XLOOKUP($A577,My_Audit!$A:$A,My_Audit!F:F,""),
_xlfn.IFS(_xlpm.MyAuditVal&lt;&gt;"",_xlpm.MyAuditVal,_xlpm.MacVal&lt;&gt;"",_xlpm.MacVal,_xlpm.CSVVal&lt;&gt;"",PROPER(_xlpm.CSVVal)
)),"")</f>
        <v/>
      </c>
      <c r="H577" s="2" t="str" cm="1">
        <f t="array" ref="H577">IFERROR(_xlfn.LET(
_xlpm.CSVVal,_xlfn.XLOOKUP($A577,CSV!$A:$A,CSV!H:H,""),
_xlpm.MacVal,_xlfn.XLOOKUP($A577,Output_Mac!$A:$A,Output_Mac!H:H,""),
_xlpm.MyAuditVal,_xlfn.XLOOKUP($A577,My_Audit!$A:$A,My_Audit!G:G,""),
_xlfn.IFS(_xlpm.MyAuditVal&lt;&gt;"",_xlpm.MyAuditVal,_xlpm.MacVal&lt;&gt;"",_xlpm.MacVal,_xlpm.CSVVal&lt;&gt;"",_xlpm.CSVVal
)),"")</f>
        <v/>
      </c>
      <c r="I577" s="2" t="str">
        <f>_xlfn.XLOOKUP(A577,Output_Mac!A:A,Output_Mac!I:I,"")</f>
        <v/>
      </c>
      <c r="J577" s="2" t="str" cm="1">
        <f t="array" ref="J577">IFERROR(_xlfn.LET(
_xlpm.CSVVal,_xlfn.XLOOKUP($A577,CSV!$A:$A,CSV!I:I,""),
_xlpm.MacVal,_xlfn.XLOOKUP($A577,Output_Mac!$A:$A,Output_Mac!J:J,""),
_xlpm.MyAuditVal,_xlfn.XLOOKUP($A577,My_Audit!$A:$A,My_Audit!I:I,""),
_xlfn.IFS(_xlpm.MyAuditVal&lt;&gt;"",UPPER(_xlpm.MyAuditVal),_xlpm.MacVal&lt;&gt;"",_xlpm.MacVal,_xlpm.CSVVal&lt;&gt;"",_xlpm.CSVVal
)),"")</f>
        <v/>
      </c>
      <c r="K577" s="2" t="str" cm="1">
        <f t="array" ref="K577">IFERROR(_xlfn.LET(
_xlpm.CSVVal,_xlfn.XLOOKUP($A577,CSV!$A:$A,CSV!K:K,""),
_xlpm.MacVal,_xlfn.XLOOKUP($A577,Output_Mac!$A:$A,Output_Mac!K:K,""),
_xlpm.MyAuditVal,_xlfn.XLOOKUP($A577,My_Audit!$A:$A,My_Audit!J:J,""),
_xlfn.IFS(_xlpm.MyAuditVal&lt;&gt;"",UPPER(_xlpm.MyAuditVal),_xlpm.MacVal&lt;&gt;"",_xlpm.MacVal,_xlpm.CSVVal&lt;&gt;"",_xlpm.CSVVal
)),"")</f>
        <v/>
      </c>
      <c r="L577" s="2" t="str" cm="1">
        <f t="array" ref="L577">IFERROR(_xlfn.LET(
_xlpm.CSVVal,_xlfn.XLOOKUP($A577,CSV!$A:$A,CSV!P:P,""),
_xlpm.MacVal,_xlfn.XLOOKUP($A577,Output_Mac!$A:$A,Output_Mac!L:L,""),
_xlpm.MyAuditVal,_xlfn.XLOOKUP($A577,My_Audit!$A:$A,My_Audit!K:K,""),
_xlfn.IFS(_xlpm.MyAuditVal&lt;&gt;"",UPPER(_xlpm.MyAuditVal),_xlpm.MacVal&lt;&gt;"",_xlpm.MacVal,_xlpm.CSVVal&lt;&gt;"",_xlpm.CSVVal
)),"")</f>
        <v/>
      </c>
      <c r="M577" s="2" t="str" cm="1">
        <f t="array" ref="M577">IFERROR(_xlfn.LET(
_xlpm.CSVVal,_xlfn.XLOOKUP($A577,CSV!$A:$A,CSV!Q:Q,""),
_xlpm.MacVal,_xlfn.XLOOKUP($A577,Output_Mac!$A:$A,Output_Mac!M:M,""),
_xlpm.MyAuditVal,_xlfn.XLOOKUP($A577,My_Audit!$A:$A,My_Audit!L:L,""),
_xlfn.IFS(_xlpm.MyAuditVal&lt;&gt;"",UPPER(_xlpm.MyAuditVal),_xlpm.MacVal&lt;&gt;"",_xlpm.MacVal,_xlpm.CSVVal&lt;&gt;"",_xlpm.CSVVal
)),"")</f>
        <v/>
      </c>
      <c r="O577" s="2" t="str">
        <f>_xlfn.LET(
    _xlpm.CSVVal, _xlfn.XLOOKUP($A577, CSV!$A:$A, CSV!AF:AF, ""),
    _xlpm.MacVal, _xlfn.XLOOKUP($A577, Output_Mac!$A:$A, Output_Mac!S:S, ""),
    _xlpm.MyAuditVal, _xlfn.XLOOKUP($A577, My_Audit!$A:$A, My_Audit!P:P, ""),
    _xlfn.TEXTJOIN(", ", TRUE, _xlpm.MyAuditVal, _xlpm.MacVal, _xlpm.CSVVal)
)</f>
        <v/>
      </c>
      <c r="P577" s="2" t="str" cm="1">
        <f t="array" ref="P577">IFERROR(_xlfn.LET(
_xlpm.CSVVal,_xlfn.XLOOKUP($A577,CSV!$A:$A,CSV!AG:AG,""),
_xlpm.MacVal,_xlfn.XLOOKUP($A577,Output_Mac!$A:$A,Output_Mac!T:T,""),
_xlpm.MyAuditVal,_xlfn.XLOOKUP($A577,My_Audit!$A:$A,My_Audit!Q:Q,""),
_xlfn.IFS(_xlpm.MyAuditVal&lt;&gt;"",UPPER(_xlpm.MyAuditVal),_xlpm.MacVal&lt;&gt;"",_xlpm.MacVal,_xlpm.CSVVal&lt;&gt;"",_xlpm.CSVVal
)),"No")</f>
        <v>No</v>
      </c>
      <c r="Q577" s="2" t="str" cm="1">
        <f t="array" ref="Q577">IFERROR(_xlfn.LET(
_xlpm.CSVVal,_xlfn.XLOOKUP($A577,CSV!$A:$A,CSV!AH:AH,""),
_xlpm.MacVal,_xlfn.XLOOKUP($A577,Output_Mac!$A:$A,Output_Mac!U:U,""),
_xlpm.MyAuditVal,_xlfn.XLOOKUP($A577,My_Audit!$A:$A,My_Audit!R:R,""),
_xlfn.IFS(_xlpm.MyAuditVal&lt;&gt;"",UPPER(_xlpm.MyAuditVal),_xlpm.MacVal&lt;&gt;"",_xlpm.MacVal,_xlpm.CSVVal&lt;&gt;"",_xlpm.CSVVal
)),"")</f>
        <v/>
      </c>
    </row>
    <row r="578" spans="1:17">
      <c r="A578" s="2" t="str">
        <f>_xlfn.TEXTJOIN("",TRUE,Input!$B$2,ROW(My_Audit!A577))</f>
        <v>XX577</v>
      </c>
      <c r="B578" s="2" t="str">
        <f>_xlfn.TEXTJOIN("-",TRUE,"ITD",Input!$A$2,A578)</f>
        <v>ITD-SHRXXX-XX577</v>
      </c>
      <c r="C578" s="2" t="str" cm="1">
        <f t="array" ref="C578">IFERROR(_xlfn.LET(
_xlpm.CSVVal,_xlfn.XLOOKUP($A578,CSV!$A:$A,CSV!B:B,""),
_xlpm.MacVal,_xlfn.XLOOKUP($A578,Output_Mac!$A:$A,Output_Mac!B:B,""),
_xlpm.MyAuditVal,_xlfn.XLOOKUP($A578,My_Audit!$A:$A,My_Audit!B:B,""),
_xlfn.IFS(_xlpm.MyAuditVal&lt;&gt;"",UPPER(_xlpm.MyAuditVal),_xlpm.MacVal&lt;&gt;"",_xlpm.MacVal,_xlpm.CSVVal&lt;&gt;"",_xlpm.CSVVal
)),"")</f>
        <v/>
      </c>
      <c r="D578" s="2" t="str" cm="1">
        <f t="array" ref="D578">IFERROR(_xlfn.LET(
_xlpm.CSVVal,_xlfn.XLOOKUP($A578,CSV!$A:$A,CSV!D:D,""),
_xlpm.MacVal,_xlfn.XLOOKUP($A578,Output_Mac!$A:$A,Output_Mac!C:C,""),
_xlpm.MyAuditVal,_xlfn.XLOOKUP($A578,My_Audit!$A:$A,My_Audit!C:C,""),
_xlfn.IFS(_xlpm.MyAuditVal&lt;&gt;"",_xlpm.MyAuditVal,_xlpm.MacVal&lt;&gt;"",_xlpm.MacVal,_xlpm.CSVVal&lt;&gt;"",_xlpm.CSVVal
)),"")</f>
        <v/>
      </c>
      <c r="E578" s="2" t="str">
        <f>_xlfn.XLOOKUP(A578,My_Audit!A:A,My_Audit!D:D,"")&amp;""</f>
        <v/>
      </c>
      <c r="F578" s="2" t="str" cm="1">
        <f t="array" ref="F578">IFERROR(_xlfn.LET(
_xlpm.CSVVal,_xlfn.XLOOKUP($A578,CSV!$A:$A,CSV!F:F,""),
_xlpm.MacVal,_xlfn.XLOOKUP($A578,Output_Mac!$A:$A,Output_Mac!E:E,""),
_xlpm.MyAuditVal,_xlfn.XLOOKUP($A578,My_Audit!$A:$A,My_Audit!E:E,""),
_xlfn.IFS(_xlpm.MyAuditVal&lt;&gt;"",_xlpm.MyAuditVal,_xlpm.MacVal&lt;&gt;"",_xlpm.MacVal,_xlpm.CSVVal&lt;&gt;"",_xlpm.CSVVal
)),"")</f>
        <v/>
      </c>
      <c r="G578" s="2" t="str" cm="1">
        <f t="array" ref="G578">IFERROR(_xlfn.LET(
_xlpm.CSVVal,_xlfn.XLOOKUP($A578,CSV!$A:$A,CSV!G:G,""),
_xlpm.MacVal,_xlfn.XLOOKUP($A578,Output_Mac!$A:$A,Output_Mac!F:F,""),
_xlpm.MyAuditVal,_xlfn.XLOOKUP($A578,My_Audit!$A:$A,My_Audit!F:F,""),
_xlfn.IFS(_xlpm.MyAuditVal&lt;&gt;"",_xlpm.MyAuditVal,_xlpm.MacVal&lt;&gt;"",_xlpm.MacVal,_xlpm.CSVVal&lt;&gt;"",PROPER(_xlpm.CSVVal)
)),"")</f>
        <v/>
      </c>
      <c r="H578" s="2" t="str" cm="1">
        <f t="array" ref="H578">IFERROR(_xlfn.LET(
_xlpm.CSVVal,_xlfn.XLOOKUP($A578,CSV!$A:$A,CSV!H:H,""),
_xlpm.MacVal,_xlfn.XLOOKUP($A578,Output_Mac!$A:$A,Output_Mac!H:H,""),
_xlpm.MyAuditVal,_xlfn.XLOOKUP($A578,My_Audit!$A:$A,My_Audit!G:G,""),
_xlfn.IFS(_xlpm.MyAuditVal&lt;&gt;"",_xlpm.MyAuditVal,_xlpm.MacVal&lt;&gt;"",_xlpm.MacVal,_xlpm.CSVVal&lt;&gt;"",_xlpm.CSVVal
)),"")</f>
        <v/>
      </c>
      <c r="I578" s="2" t="str">
        <f>_xlfn.XLOOKUP(A578,Output_Mac!A:A,Output_Mac!I:I,"")</f>
        <v/>
      </c>
      <c r="J578" s="2" t="str" cm="1">
        <f t="array" ref="J578">IFERROR(_xlfn.LET(
_xlpm.CSVVal,_xlfn.XLOOKUP($A578,CSV!$A:$A,CSV!I:I,""),
_xlpm.MacVal,_xlfn.XLOOKUP($A578,Output_Mac!$A:$A,Output_Mac!J:J,""),
_xlpm.MyAuditVal,_xlfn.XLOOKUP($A578,My_Audit!$A:$A,My_Audit!I:I,""),
_xlfn.IFS(_xlpm.MyAuditVal&lt;&gt;"",UPPER(_xlpm.MyAuditVal),_xlpm.MacVal&lt;&gt;"",_xlpm.MacVal,_xlpm.CSVVal&lt;&gt;"",_xlpm.CSVVal
)),"")</f>
        <v/>
      </c>
      <c r="K578" s="2" t="str" cm="1">
        <f t="array" ref="K578">IFERROR(_xlfn.LET(
_xlpm.CSVVal,_xlfn.XLOOKUP($A578,CSV!$A:$A,CSV!K:K,""),
_xlpm.MacVal,_xlfn.XLOOKUP($A578,Output_Mac!$A:$A,Output_Mac!K:K,""),
_xlpm.MyAuditVal,_xlfn.XLOOKUP($A578,My_Audit!$A:$A,My_Audit!J:J,""),
_xlfn.IFS(_xlpm.MyAuditVal&lt;&gt;"",UPPER(_xlpm.MyAuditVal),_xlpm.MacVal&lt;&gt;"",_xlpm.MacVal,_xlpm.CSVVal&lt;&gt;"",_xlpm.CSVVal
)),"")</f>
        <v/>
      </c>
      <c r="L578" s="2" t="str" cm="1">
        <f t="array" ref="L578">IFERROR(_xlfn.LET(
_xlpm.CSVVal,_xlfn.XLOOKUP($A578,CSV!$A:$A,CSV!P:P,""),
_xlpm.MacVal,_xlfn.XLOOKUP($A578,Output_Mac!$A:$A,Output_Mac!L:L,""),
_xlpm.MyAuditVal,_xlfn.XLOOKUP($A578,My_Audit!$A:$A,My_Audit!K:K,""),
_xlfn.IFS(_xlpm.MyAuditVal&lt;&gt;"",UPPER(_xlpm.MyAuditVal),_xlpm.MacVal&lt;&gt;"",_xlpm.MacVal,_xlpm.CSVVal&lt;&gt;"",_xlpm.CSVVal
)),"")</f>
        <v/>
      </c>
      <c r="M578" s="2" t="str" cm="1">
        <f t="array" ref="M578">IFERROR(_xlfn.LET(
_xlpm.CSVVal,_xlfn.XLOOKUP($A578,CSV!$A:$A,CSV!Q:Q,""),
_xlpm.MacVal,_xlfn.XLOOKUP($A578,Output_Mac!$A:$A,Output_Mac!M:M,""),
_xlpm.MyAuditVal,_xlfn.XLOOKUP($A578,My_Audit!$A:$A,My_Audit!L:L,""),
_xlfn.IFS(_xlpm.MyAuditVal&lt;&gt;"",UPPER(_xlpm.MyAuditVal),_xlpm.MacVal&lt;&gt;"",_xlpm.MacVal,_xlpm.CSVVal&lt;&gt;"",_xlpm.CSVVal
)),"")</f>
        <v/>
      </c>
      <c r="O578" s="2" t="str">
        <f>_xlfn.LET(
    _xlpm.CSVVal, _xlfn.XLOOKUP($A578, CSV!$A:$A, CSV!AF:AF, ""),
    _xlpm.MacVal, _xlfn.XLOOKUP($A578, Output_Mac!$A:$A, Output_Mac!S:S, ""),
    _xlpm.MyAuditVal, _xlfn.XLOOKUP($A578, My_Audit!$A:$A, My_Audit!P:P, ""),
    _xlfn.TEXTJOIN(", ", TRUE, _xlpm.MyAuditVal, _xlpm.MacVal, _xlpm.CSVVal)
)</f>
        <v/>
      </c>
      <c r="P578" s="2" t="str" cm="1">
        <f t="array" ref="P578">IFERROR(_xlfn.LET(
_xlpm.CSVVal,_xlfn.XLOOKUP($A578,CSV!$A:$A,CSV!AG:AG,""),
_xlpm.MacVal,_xlfn.XLOOKUP($A578,Output_Mac!$A:$A,Output_Mac!T:T,""),
_xlpm.MyAuditVal,_xlfn.XLOOKUP($A578,My_Audit!$A:$A,My_Audit!Q:Q,""),
_xlfn.IFS(_xlpm.MyAuditVal&lt;&gt;"",UPPER(_xlpm.MyAuditVal),_xlpm.MacVal&lt;&gt;"",_xlpm.MacVal,_xlpm.CSVVal&lt;&gt;"",_xlpm.CSVVal
)),"No")</f>
        <v>No</v>
      </c>
      <c r="Q578" s="2" t="str" cm="1">
        <f t="array" ref="Q578">IFERROR(_xlfn.LET(
_xlpm.CSVVal,_xlfn.XLOOKUP($A578,CSV!$A:$A,CSV!AH:AH,""),
_xlpm.MacVal,_xlfn.XLOOKUP($A578,Output_Mac!$A:$A,Output_Mac!U:U,""),
_xlpm.MyAuditVal,_xlfn.XLOOKUP($A578,My_Audit!$A:$A,My_Audit!R:R,""),
_xlfn.IFS(_xlpm.MyAuditVal&lt;&gt;"",UPPER(_xlpm.MyAuditVal),_xlpm.MacVal&lt;&gt;"",_xlpm.MacVal,_xlpm.CSVVal&lt;&gt;"",_xlpm.CSVVal
)),"")</f>
        <v/>
      </c>
    </row>
    <row r="579" spans="1:17">
      <c r="A579" s="2" t="str">
        <f>_xlfn.TEXTJOIN("",TRUE,Input!$B$2,ROW(My_Audit!A578))</f>
        <v>XX578</v>
      </c>
      <c r="B579" s="2" t="str">
        <f>_xlfn.TEXTJOIN("-",TRUE,"ITD",Input!$A$2,A579)</f>
        <v>ITD-SHRXXX-XX578</v>
      </c>
      <c r="C579" s="2" t="str" cm="1">
        <f t="array" ref="C579">IFERROR(_xlfn.LET(
_xlpm.CSVVal,_xlfn.XLOOKUP($A579,CSV!$A:$A,CSV!B:B,""),
_xlpm.MacVal,_xlfn.XLOOKUP($A579,Output_Mac!$A:$A,Output_Mac!B:B,""),
_xlpm.MyAuditVal,_xlfn.XLOOKUP($A579,My_Audit!$A:$A,My_Audit!B:B,""),
_xlfn.IFS(_xlpm.MyAuditVal&lt;&gt;"",UPPER(_xlpm.MyAuditVal),_xlpm.MacVal&lt;&gt;"",_xlpm.MacVal,_xlpm.CSVVal&lt;&gt;"",_xlpm.CSVVal
)),"")</f>
        <v/>
      </c>
      <c r="D579" s="2" t="str" cm="1">
        <f t="array" ref="D579">IFERROR(_xlfn.LET(
_xlpm.CSVVal,_xlfn.XLOOKUP($A579,CSV!$A:$A,CSV!D:D,""),
_xlpm.MacVal,_xlfn.XLOOKUP($A579,Output_Mac!$A:$A,Output_Mac!C:C,""),
_xlpm.MyAuditVal,_xlfn.XLOOKUP($A579,My_Audit!$A:$A,My_Audit!C:C,""),
_xlfn.IFS(_xlpm.MyAuditVal&lt;&gt;"",_xlpm.MyAuditVal,_xlpm.MacVal&lt;&gt;"",_xlpm.MacVal,_xlpm.CSVVal&lt;&gt;"",_xlpm.CSVVal
)),"")</f>
        <v/>
      </c>
      <c r="E579" s="2" t="str">
        <f>_xlfn.XLOOKUP(A579,My_Audit!A:A,My_Audit!D:D,"")&amp;""</f>
        <v/>
      </c>
      <c r="F579" s="2" t="str" cm="1">
        <f t="array" ref="F579">IFERROR(_xlfn.LET(
_xlpm.CSVVal,_xlfn.XLOOKUP($A579,CSV!$A:$A,CSV!F:F,""),
_xlpm.MacVal,_xlfn.XLOOKUP($A579,Output_Mac!$A:$A,Output_Mac!E:E,""),
_xlpm.MyAuditVal,_xlfn.XLOOKUP($A579,My_Audit!$A:$A,My_Audit!E:E,""),
_xlfn.IFS(_xlpm.MyAuditVal&lt;&gt;"",_xlpm.MyAuditVal,_xlpm.MacVal&lt;&gt;"",_xlpm.MacVal,_xlpm.CSVVal&lt;&gt;"",_xlpm.CSVVal
)),"")</f>
        <v/>
      </c>
      <c r="G579" s="2" t="str" cm="1">
        <f t="array" ref="G579">IFERROR(_xlfn.LET(
_xlpm.CSVVal,_xlfn.XLOOKUP($A579,CSV!$A:$A,CSV!G:G,""),
_xlpm.MacVal,_xlfn.XLOOKUP($A579,Output_Mac!$A:$A,Output_Mac!F:F,""),
_xlpm.MyAuditVal,_xlfn.XLOOKUP($A579,My_Audit!$A:$A,My_Audit!F:F,""),
_xlfn.IFS(_xlpm.MyAuditVal&lt;&gt;"",_xlpm.MyAuditVal,_xlpm.MacVal&lt;&gt;"",_xlpm.MacVal,_xlpm.CSVVal&lt;&gt;"",PROPER(_xlpm.CSVVal)
)),"")</f>
        <v/>
      </c>
      <c r="H579" s="2" t="str" cm="1">
        <f t="array" ref="H579">IFERROR(_xlfn.LET(
_xlpm.CSVVal,_xlfn.XLOOKUP($A579,CSV!$A:$A,CSV!H:H,""),
_xlpm.MacVal,_xlfn.XLOOKUP($A579,Output_Mac!$A:$A,Output_Mac!H:H,""),
_xlpm.MyAuditVal,_xlfn.XLOOKUP($A579,My_Audit!$A:$A,My_Audit!G:G,""),
_xlfn.IFS(_xlpm.MyAuditVal&lt;&gt;"",_xlpm.MyAuditVal,_xlpm.MacVal&lt;&gt;"",_xlpm.MacVal,_xlpm.CSVVal&lt;&gt;"",_xlpm.CSVVal
)),"")</f>
        <v/>
      </c>
      <c r="I579" s="2" t="str">
        <f>_xlfn.XLOOKUP(A579,Output_Mac!A:A,Output_Mac!I:I,"")</f>
        <v/>
      </c>
      <c r="J579" s="2" t="str" cm="1">
        <f t="array" ref="J579">IFERROR(_xlfn.LET(
_xlpm.CSVVal,_xlfn.XLOOKUP($A579,CSV!$A:$A,CSV!I:I,""),
_xlpm.MacVal,_xlfn.XLOOKUP($A579,Output_Mac!$A:$A,Output_Mac!J:J,""),
_xlpm.MyAuditVal,_xlfn.XLOOKUP($A579,My_Audit!$A:$A,My_Audit!I:I,""),
_xlfn.IFS(_xlpm.MyAuditVal&lt;&gt;"",UPPER(_xlpm.MyAuditVal),_xlpm.MacVal&lt;&gt;"",_xlpm.MacVal,_xlpm.CSVVal&lt;&gt;"",_xlpm.CSVVal
)),"")</f>
        <v/>
      </c>
      <c r="K579" s="2" t="str" cm="1">
        <f t="array" ref="K579">IFERROR(_xlfn.LET(
_xlpm.CSVVal,_xlfn.XLOOKUP($A579,CSV!$A:$A,CSV!K:K,""),
_xlpm.MacVal,_xlfn.XLOOKUP($A579,Output_Mac!$A:$A,Output_Mac!K:K,""),
_xlpm.MyAuditVal,_xlfn.XLOOKUP($A579,My_Audit!$A:$A,My_Audit!J:J,""),
_xlfn.IFS(_xlpm.MyAuditVal&lt;&gt;"",UPPER(_xlpm.MyAuditVal),_xlpm.MacVal&lt;&gt;"",_xlpm.MacVal,_xlpm.CSVVal&lt;&gt;"",_xlpm.CSVVal
)),"")</f>
        <v/>
      </c>
      <c r="L579" s="2" t="str" cm="1">
        <f t="array" ref="L579">IFERROR(_xlfn.LET(
_xlpm.CSVVal,_xlfn.XLOOKUP($A579,CSV!$A:$A,CSV!P:P,""),
_xlpm.MacVal,_xlfn.XLOOKUP($A579,Output_Mac!$A:$A,Output_Mac!L:L,""),
_xlpm.MyAuditVal,_xlfn.XLOOKUP($A579,My_Audit!$A:$A,My_Audit!K:K,""),
_xlfn.IFS(_xlpm.MyAuditVal&lt;&gt;"",UPPER(_xlpm.MyAuditVal),_xlpm.MacVal&lt;&gt;"",_xlpm.MacVal,_xlpm.CSVVal&lt;&gt;"",_xlpm.CSVVal
)),"")</f>
        <v/>
      </c>
      <c r="M579" s="2" t="str" cm="1">
        <f t="array" ref="M579">IFERROR(_xlfn.LET(
_xlpm.CSVVal,_xlfn.XLOOKUP($A579,CSV!$A:$A,CSV!Q:Q,""),
_xlpm.MacVal,_xlfn.XLOOKUP($A579,Output_Mac!$A:$A,Output_Mac!M:M,""),
_xlpm.MyAuditVal,_xlfn.XLOOKUP($A579,My_Audit!$A:$A,My_Audit!L:L,""),
_xlfn.IFS(_xlpm.MyAuditVal&lt;&gt;"",UPPER(_xlpm.MyAuditVal),_xlpm.MacVal&lt;&gt;"",_xlpm.MacVal,_xlpm.CSVVal&lt;&gt;"",_xlpm.CSVVal
)),"")</f>
        <v/>
      </c>
      <c r="O579" s="2" t="str">
        <f>_xlfn.LET(
    _xlpm.CSVVal, _xlfn.XLOOKUP($A579, CSV!$A:$A, CSV!AF:AF, ""),
    _xlpm.MacVal, _xlfn.XLOOKUP($A579, Output_Mac!$A:$A, Output_Mac!S:S, ""),
    _xlpm.MyAuditVal, _xlfn.XLOOKUP($A579, My_Audit!$A:$A, My_Audit!P:P, ""),
    _xlfn.TEXTJOIN(", ", TRUE, _xlpm.MyAuditVal, _xlpm.MacVal, _xlpm.CSVVal)
)</f>
        <v/>
      </c>
      <c r="P579" s="2" t="str" cm="1">
        <f t="array" ref="P579">IFERROR(_xlfn.LET(
_xlpm.CSVVal,_xlfn.XLOOKUP($A579,CSV!$A:$A,CSV!AG:AG,""),
_xlpm.MacVal,_xlfn.XLOOKUP($A579,Output_Mac!$A:$A,Output_Mac!T:T,""),
_xlpm.MyAuditVal,_xlfn.XLOOKUP($A579,My_Audit!$A:$A,My_Audit!Q:Q,""),
_xlfn.IFS(_xlpm.MyAuditVal&lt;&gt;"",UPPER(_xlpm.MyAuditVal),_xlpm.MacVal&lt;&gt;"",_xlpm.MacVal,_xlpm.CSVVal&lt;&gt;"",_xlpm.CSVVal
)),"No")</f>
        <v>No</v>
      </c>
      <c r="Q579" s="2" t="str" cm="1">
        <f t="array" ref="Q579">IFERROR(_xlfn.LET(
_xlpm.CSVVal,_xlfn.XLOOKUP($A579,CSV!$A:$A,CSV!AH:AH,""),
_xlpm.MacVal,_xlfn.XLOOKUP($A579,Output_Mac!$A:$A,Output_Mac!U:U,""),
_xlpm.MyAuditVal,_xlfn.XLOOKUP($A579,My_Audit!$A:$A,My_Audit!R:R,""),
_xlfn.IFS(_xlpm.MyAuditVal&lt;&gt;"",UPPER(_xlpm.MyAuditVal),_xlpm.MacVal&lt;&gt;"",_xlpm.MacVal,_xlpm.CSVVal&lt;&gt;"",_xlpm.CSVVal
)),"")</f>
        <v/>
      </c>
    </row>
    <row r="580" spans="1:17">
      <c r="A580" s="2" t="str">
        <f>_xlfn.TEXTJOIN("",TRUE,Input!$B$2,ROW(My_Audit!A579))</f>
        <v>XX579</v>
      </c>
      <c r="B580" s="2" t="str">
        <f>_xlfn.TEXTJOIN("-",TRUE,"ITD",Input!$A$2,A580)</f>
        <v>ITD-SHRXXX-XX579</v>
      </c>
      <c r="C580" s="2" t="str" cm="1">
        <f t="array" ref="C580">IFERROR(_xlfn.LET(
_xlpm.CSVVal,_xlfn.XLOOKUP($A580,CSV!$A:$A,CSV!B:B,""),
_xlpm.MacVal,_xlfn.XLOOKUP($A580,Output_Mac!$A:$A,Output_Mac!B:B,""),
_xlpm.MyAuditVal,_xlfn.XLOOKUP($A580,My_Audit!$A:$A,My_Audit!B:B,""),
_xlfn.IFS(_xlpm.MyAuditVal&lt;&gt;"",UPPER(_xlpm.MyAuditVal),_xlpm.MacVal&lt;&gt;"",_xlpm.MacVal,_xlpm.CSVVal&lt;&gt;"",_xlpm.CSVVal
)),"")</f>
        <v/>
      </c>
      <c r="D580" s="2" t="str" cm="1">
        <f t="array" ref="D580">IFERROR(_xlfn.LET(
_xlpm.CSVVal,_xlfn.XLOOKUP($A580,CSV!$A:$A,CSV!D:D,""),
_xlpm.MacVal,_xlfn.XLOOKUP($A580,Output_Mac!$A:$A,Output_Mac!C:C,""),
_xlpm.MyAuditVal,_xlfn.XLOOKUP($A580,My_Audit!$A:$A,My_Audit!C:C,""),
_xlfn.IFS(_xlpm.MyAuditVal&lt;&gt;"",_xlpm.MyAuditVal,_xlpm.MacVal&lt;&gt;"",_xlpm.MacVal,_xlpm.CSVVal&lt;&gt;"",_xlpm.CSVVal
)),"")</f>
        <v/>
      </c>
      <c r="E580" s="2" t="str">
        <f>_xlfn.XLOOKUP(A580,My_Audit!A:A,My_Audit!D:D,"")&amp;""</f>
        <v/>
      </c>
      <c r="F580" s="2" t="str" cm="1">
        <f t="array" ref="F580">IFERROR(_xlfn.LET(
_xlpm.CSVVal,_xlfn.XLOOKUP($A580,CSV!$A:$A,CSV!F:F,""),
_xlpm.MacVal,_xlfn.XLOOKUP($A580,Output_Mac!$A:$A,Output_Mac!E:E,""),
_xlpm.MyAuditVal,_xlfn.XLOOKUP($A580,My_Audit!$A:$A,My_Audit!E:E,""),
_xlfn.IFS(_xlpm.MyAuditVal&lt;&gt;"",_xlpm.MyAuditVal,_xlpm.MacVal&lt;&gt;"",_xlpm.MacVal,_xlpm.CSVVal&lt;&gt;"",_xlpm.CSVVal
)),"")</f>
        <v/>
      </c>
      <c r="G580" s="2" t="str" cm="1">
        <f t="array" ref="G580">IFERROR(_xlfn.LET(
_xlpm.CSVVal,_xlfn.XLOOKUP($A580,CSV!$A:$A,CSV!G:G,""),
_xlpm.MacVal,_xlfn.XLOOKUP($A580,Output_Mac!$A:$A,Output_Mac!F:F,""),
_xlpm.MyAuditVal,_xlfn.XLOOKUP($A580,My_Audit!$A:$A,My_Audit!F:F,""),
_xlfn.IFS(_xlpm.MyAuditVal&lt;&gt;"",_xlpm.MyAuditVal,_xlpm.MacVal&lt;&gt;"",_xlpm.MacVal,_xlpm.CSVVal&lt;&gt;"",PROPER(_xlpm.CSVVal)
)),"")</f>
        <v/>
      </c>
      <c r="H580" s="2" t="str" cm="1">
        <f t="array" ref="H580">IFERROR(_xlfn.LET(
_xlpm.CSVVal,_xlfn.XLOOKUP($A580,CSV!$A:$A,CSV!H:H,""),
_xlpm.MacVal,_xlfn.XLOOKUP($A580,Output_Mac!$A:$A,Output_Mac!H:H,""),
_xlpm.MyAuditVal,_xlfn.XLOOKUP($A580,My_Audit!$A:$A,My_Audit!G:G,""),
_xlfn.IFS(_xlpm.MyAuditVal&lt;&gt;"",_xlpm.MyAuditVal,_xlpm.MacVal&lt;&gt;"",_xlpm.MacVal,_xlpm.CSVVal&lt;&gt;"",_xlpm.CSVVal
)),"")</f>
        <v/>
      </c>
      <c r="I580" s="2" t="str">
        <f>_xlfn.XLOOKUP(A580,Output_Mac!A:A,Output_Mac!I:I,"")</f>
        <v/>
      </c>
      <c r="J580" s="2" t="str" cm="1">
        <f t="array" ref="J580">IFERROR(_xlfn.LET(
_xlpm.CSVVal,_xlfn.XLOOKUP($A580,CSV!$A:$A,CSV!I:I,""),
_xlpm.MacVal,_xlfn.XLOOKUP($A580,Output_Mac!$A:$A,Output_Mac!J:J,""),
_xlpm.MyAuditVal,_xlfn.XLOOKUP($A580,My_Audit!$A:$A,My_Audit!I:I,""),
_xlfn.IFS(_xlpm.MyAuditVal&lt;&gt;"",UPPER(_xlpm.MyAuditVal),_xlpm.MacVal&lt;&gt;"",_xlpm.MacVal,_xlpm.CSVVal&lt;&gt;"",_xlpm.CSVVal
)),"")</f>
        <v/>
      </c>
      <c r="K580" s="2" t="str" cm="1">
        <f t="array" ref="K580">IFERROR(_xlfn.LET(
_xlpm.CSVVal,_xlfn.XLOOKUP($A580,CSV!$A:$A,CSV!K:K,""),
_xlpm.MacVal,_xlfn.XLOOKUP($A580,Output_Mac!$A:$A,Output_Mac!K:K,""),
_xlpm.MyAuditVal,_xlfn.XLOOKUP($A580,My_Audit!$A:$A,My_Audit!J:J,""),
_xlfn.IFS(_xlpm.MyAuditVal&lt;&gt;"",UPPER(_xlpm.MyAuditVal),_xlpm.MacVal&lt;&gt;"",_xlpm.MacVal,_xlpm.CSVVal&lt;&gt;"",_xlpm.CSVVal
)),"")</f>
        <v/>
      </c>
      <c r="L580" s="2" t="str" cm="1">
        <f t="array" ref="L580">IFERROR(_xlfn.LET(
_xlpm.CSVVal,_xlfn.XLOOKUP($A580,CSV!$A:$A,CSV!P:P,""),
_xlpm.MacVal,_xlfn.XLOOKUP($A580,Output_Mac!$A:$A,Output_Mac!L:L,""),
_xlpm.MyAuditVal,_xlfn.XLOOKUP($A580,My_Audit!$A:$A,My_Audit!K:K,""),
_xlfn.IFS(_xlpm.MyAuditVal&lt;&gt;"",UPPER(_xlpm.MyAuditVal),_xlpm.MacVal&lt;&gt;"",_xlpm.MacVal,_xlpm.CSVVal&lt;&gt;"",_xlpm.CSVVal
)),"")</f>
        <v/>
      </c>
      <c r="M580" s="2" t="str" cm="1">
        <f t="array" ref="M580">IFERROR(_xlfn.LET(
_xlpm.CSVVal,_xlfn.XLOOKUP($A580,CSV!$A:$A,CSV!Q:Q,""),
_xlpm.MacVal,_xlfn.XLOOKUP($A580,Output_Mac!$A:$A,Output_Mac!M:M,""),
_xlpm.MyAuditVal,_xlfn.XLOOKUP($A580,My_Audit!$A:$A,My_Audit!L:L,""),
_xlfn.IFS(_xlpm.MyAuditVal&lt;&gt;"",UPPER(_xlpm.MyAuditVal),_xlpm.MacVal&lt;&gt;"",_xlpm.MacVal,_xlpm.CSVVal&lt;&gt;"",_xlpm.CSVVal
)),"")</f>
        <v/>
      </c>
      <c r="O580" s="2" t="str">
        <f>_xlfn.LET(
    _xlpm.CSVVal, _xlfn.XLOOKUP($A580, CSV!$A:$A, CSV!AF:AF, ""),
    _xlpm.MacVal, _xlfn.XLOOKUP($A580, Output_Mac!$A:$A, Output_Mac!S:S, ""),
    _xlpm.MyAuditVal, _xlfn.XLOOKUP($A580, My_Audit!$A:$A, My_Audit!P:P, ""),
    _xlfn.TEXTJOIN(", ", TRUE, _xlpm.MyAuditVal, _xlpm.MacVal, _xlpm.CSVVal)
)</f>
        <v/>
      </c>
      <c r="P580" s="2" t="str" cm="1">
        <f t="array" ref="P580">IFERROR(_xlfn.LET(
_xlpm.CSVVal,_xlfn.XLOOKUP($A580,CSV!$A:$A,CSV!AG:AG,""),
_xlpm.MacVal,_xlfn.XLOOKUP($A580,Output_Mac!$A:$A,Output_Mac!T:T,""),
_xlpm.MyAuditVal,_xlfn.XLOOKUP($A580,My_Audit!$A:$A,My_Audit!Q:Q,""),
_xlfn.IFS(_xlpm.MyAuditVal&lt;&gt;"",UPPER(_xlpm.MyAuditVal),_xlpm.MacVal&lt;&gt;"",_xlpm.MacVal,_xlpm.CSVVal&lt;&gt;"",_xlpm.CSVVal
)),"No")</f>
        <v>No</v>
      </c>
      <c r="Q580" s="2" t="str" cm="1">
        <f t="array" ref="Q580">IFERROR(_xlfn.LET(
_xlpm.CSVVal,_xlfn.XLOOKUP($A580,CSV!$A:$A,CSV!AH:AH,""),
_xlpm.MacVal,_xlfn.XLOOKUP($A580,Output_Mac!$A:$A,Output_Mac!U:U,""),
_xlpm.MyAuditVal,_xlfn.XLOOKUP($A580,My_Audit!$A:$A,My_Audit!R:R,""),
_xlfn.IFS(_xlpm.MyAuditVal&lt;&gt;"",UPPER(_xlpm.MyAuditVal),_xlpm.MacVal&lt;&gt;"",_xlpm.MacVal,_xlpm.CSVVal&lt;&gt;"",_xlpm.CSVVal
)),"")</f>
        <v/>
      </c>
    </row>
    <row r="581" spans="1:17">
      <c r="A581" s="2" t="str">
        <f>_xlfn.TEXTJOIN("",TRUE,Input!$B$2,ROW(My_Audit!A580))</f>
        <v>XX580</v>
      </c>
      <c r="B581" s="2" t="str">
        <f>_xlfn.TEXTJOIN("-",TRUE,"ITD",Input!$A$2,A581)</f>
        <v>ITD-SHRXXX-XX580</v>
      </c>
      <c r="C581" s="2" t="str" cm="1">
        <f t="array" ref="C581">IFERROR(_xlfn.LET(
_xlpm.CSVVal,_xlfn.XLOOKUP($A581,CSV!$A:$A,CSV!B:B,""),
_xlpm.MacVal,_xlfn.XLOOKUP($A581,Output_Mac!$A:$A,Output_Mac!B:B,""),
_xlpm.MyAuditVal,_xlfn.XLOOKUP($A581,My_Audit!$A:$A,My_Audit!B:B,""),
_xlfn.IFS(_xlpm.MyAuditVal&lt;&gt;"",UPPER(_xlpm.MyAuditVal),_xlpm.MacVal&lt;&gt;"",_xlpm.MacVal,_xlpm.CSVVal&lt;&gt;"",_xlpm.CSVVal
)),"")</f>
        <v/>
      </c>
      <c r="D581" s="2" t="str" cm="1">
        <f t="array" ref="D581">IFERROR(_xlfn.LET(
_xlpm.CSVVal,_xlfn.XLOOKUP($A581,CSV!$A:$A,CSV!D:D,""),
_xlpm.MacVal,_xlfn.XLOOKUP($A581,Output_Mac!$A:$A,Output_Mac!C:C,""),
_xlpm.MyAuditVal,_xlfn.XLOOKUP($A581,My_Audit!$A:$A,My_Audit!C:C,""),
_xlfn.IFS(_xlpm.MyAuditVal&lt;&gt;"",_xlpm.MyAuditVal,_xlpm.MacVal&lt;&gt;"",_xlpm.MacVal,_xlpm.CSVVal&lt;&gt;"",_xlpm.CSVVal
)),"")</f>
        <v/>
      </c>
      <c r="E581" s="2" t="str">
        <f>_xlfn.XLOOKUP(A581,My_Audit!A:A,My_Audit!D:D,"")&amp;""</f>
        <v/>
      </c>
      <c r="F581" s="2" t="str" cm="1">
        <f t="array" ref="F581">IFERROR(_xlfn.LET(
_xlpm.CSVVal,_xlfn.XLOOKUP($A581,CSV!$A:$A,CSV!F:F,""),
_xlpm.MacVal,_xlfn.XLOOKUP($A581,Output_Mac!$A:$A,Output_Mac!E:E,""),
_xlpm.MyAuditVal,_xlfn.XLOOKUP($A581,My_Audit!$A:$A,My_Audit!E:E,""),
_xlfn.IFS(_xlpm.MyAuditVal&lt;&gt;"",_xlpm.MyAuditVal,_xlpm.MacVal&lt;&gt;"",_xlpm.MacVal,_xlpm.CSVVal&lt;&gt;"",_xlpm.CSVVal
)),"")</f>
        <v/>
      </c>
      <c r="G581" s="2" t="str" cm="1">
        <f t="array" ref="G581">IFERROR(_xlfn.LET(
_xlpm.CSVVal,_xlfn.XLOOKUP($A581,CSV!$A:$A,CSV!G:G,""),
_xlpm.MacVal,_xlfn.XLOOKUP($A581,Output_Mac!$A:$A,Output_Mac!F:F,""),
_xlpm.MyAuditVal,_xlfn.XLOOKUP($A581,My_Audit!$A:$A,My_Audit!F:F,""),
_xlfn.IFS(_xlpm.MyAuditVal&lt;&gt;"",_xlpm.MyAuditVal,_xlpm.MacVal&lt;&gt;"",_xlpm.MacVal,_xlpm.CSVVal&lt;&gt;"",PROPER(_xlpm.CSVVal)
)),"")</f>
        <v/>
      </c>
      <c r="H581" s="2" t="str" cm="1">
        <f t="array" ref="H581">IFERROR(_xlfn.LET(
_xlpm.CSVVal,_xlfn.XLOOKUP($A581,CSV!$A:$A,CSV!H:H,""),
_xlpm.MacVal,_xlfn.XLOOKUP($A581,Output_Mac!$A:$A,Output_Mac!H:H,""),
_xlpm.MyAuditVal,_xlfn.XLOOKUP($A581,My_Audit!$A:$A,My_Audit!G:G,""),
_xlfn.IFS(_xlpm.MyAuditVal&lt;&gt;"",_xlpm.MyAuditVal,_xlpm.MacVal&lt;&gt;"",_xlpm.MacVal,_xlpm.CSVVal&lt;&gt;"",_xlpm.CSVVal
)),"")</f>
        <v/>
      </c>
      <c r="I581" s="2" t="str">
        <f>_xlfn.XLOOKUP(A581,Output_Mac!A:A,Output_Mac!I:I,"")</f>
        <v/>
      </c>
      <c r="J581" s="2" t="str" cm="1">
        <f t="array" ref="J581">IFERROR(_xlfn.LET(
_xlpm.CSVVal,_xlfn.XLOOKUP($A581,CSV!$A:$A,CSV!I:I,""),
_xlpm.MacVal,_xlfn.XLOOKUP($A581,Output_Mac!$A:$A,Output_Mac!J:J,""),
_xlpm.MyAuditVal,_xlfn.XLOOKUP($A581,My_Audit!$A:$A,My_Audit!I:I,""),
_xlfn.IFS(_xlpm.MyAuditVal&lt;&gt;"",UPPER(_xlpm.MyAuditVal),_xlpm.MacVal&lt;&gt;"",_xlpm.MacVal,_xlpm.CSVVal&lt;&gt;"",_xlpm.CSVVal
)),"")</f>
        <v/>
      </c>
      <c r="K581" s="2" t="str" cm="1">
        <f t="array" ref="K581">IFERROR(_xlfn.LET(
_xlpm.CSVVal,_xlfn.XLOOKUP($A581,CSV!$A:$A,CSV!K:K,""),
_xlpm.MacVal,_xlfn.XLOOKUP($A581,Output_Mac!$A:$A,Output_Mac!K:K,""),
_xlpm.MyAuditVal,_xlfn.XLOOKUP($A581,My_Audit!$A:$A,My_Audit!J:J,""),
_xlfn.IFS(_xlpm.MyAuditVal&lt;&gt;"",UPPER(_xlpm.MyAuditVal),_xlpm.MacVal&lt;&gt;"",_xlpm.MacVal,_xlpm.CSVVal&lt;&gt;"",_xlpm.CSVVal
)),"")</f>
        <v/>
      </c>
      <c r="L581" s="2" t="str" cm="1">
        <f t="array" ref="L581">IFERROR(_xlfn.LET(
_xlpm.CSVVal,_xlfn.XLOOKUP($A581,CSV!$A:$A,CSV!P:P,""),
_xlpm.MacVal,_xlfn.XLOOKUP($A581,Output_Mac!$A:$A,Output_Mac!L:L,""),
_xlpm.MyAuditVal,_xlfn.XLOOKUP($A581,My_Audit!$A:$A,My_Audit!K:K,""),
_xlfn.IFS(_xlpm.MyAuditVal&lt;&gt;"",UPPER(_xlpm.MyAuditVal),_xlpm.MacVal&lt;&gt;"",_xlpm.MacVal,_xlpm.CSVVal&lt;&gt;"",_xlpm.CSVVal
)),"")</f>
        <v/>
      </c>
      <c r="M581" s="2" t="str" cm="1">
        <f t="array" ref="M581">IFERROR(_xlfn.LET(
_xlpm.CSVVal,_xlfn.XLOOKUP($A581,CSV!$A:$A,CSV!Q:Q,""),
_xlpm.MacVal,_xlfn.XLOOKUP($A581,Output_Mac!$A:$A,Output_Mac!M:M,""),
_xlpm.MyAuditVal,_xlfn.XLOOKUP($A581,My_Audit!$A:$A,My_Audit!L:L,""),
_xlfn.IFS(_xlpm.MyAuditVal&lt;&gt;"",UPPER(_xlpm.MyAuditVal),_xlpm.MacVal&lt;&gt;"",_xlpm.MacVal,_xlpm.CSVVal&lt;&gt;"",_xlpm.CSVVal
)),"")</f>
        <v/>
      </c>
      <c r="O581" s="2" t="str">
        <f>_xlfn.LET(
    _xlpm.CSVVal, _xlfn.XLOOKUP($A581, CSV!$A:$A, CSV!AF:AF, ""),
    _xlpm.MacVal, _xlfn.XLOOKUP($A581, Output_Mac!$A:$A, Output_Mac!S:S, ""),
    _xlpm.MyAuditVal, _xlfn.XLOOKUP($A581, My_Audit!$A:$A, My_Audit!P:P, ""),
    _xlfn.TEXTJOIN(", ", TRUE, _xlpm.MyAuditVal, _xlpm.MacVal, _xlpm.CSVVal)
)</f>
        <v/>
      </c>
      <c r="P581" s="2" t="str" cm="1">
        <f t="array" ref="P581">IFERROR(_xlfn.LET(
_xlpm.CSVVal,_xlfn.XLOOKUP($A581,CSV!$A:$A,CSV!AG:AG,""),
_xlpm.MacVal,_xlfn.XLOOKUP($A581,Output_Mac!$A:$A,Output_Mac!T:T,""),
_xlpm.MyAuditVal,_xlfn.XLOOKUP($A581,My_Audit!$A:$A,My_Audit!Q:Q,""),
_xlfn.IFS(_xlpm.MyAuditVal&lt;&gt;"",UPPER(_xlpm.MyAuditVal),_xlpm.MacVal&lt;&gt;"",_xlpm.MacVal,_xlpm.CSVVal&lt;&gt;"",_xlpm.CSVVal
)),"No")</f>
        <v>No</v>
      </c>
      <c r="Q581" s="2" t="str" cm="1">
        <f t="array" ref="Q581">IFERROR(_xlfn.LET(
_xlpm.CSVVal,_xlfn.XLOOKUP($A581,CSV!$A:$A,CSV!AH:AH,""),
_xlpm.MacVal,_xlfn.XLOOKUP($A581,Output_Mac!$A:$A,Output_Mac!U:U,""),
_xlpm.MyAuditVal,_xlfn.XLOOKUP($A581,My_Audit!$A:$A,My_Audit!R:R,""),
_xlfn.IFS(_xlpm.MyAuditVal&lt;&gt;"",UPPER(_xlpm.MyAuditVal),_xlpm.MacVal&lt;&gt;"",_xlpm.MacVal,_xlpm.CSVVal&lt;&gt;"",_xlpm.CSVVal
)),"")</f>
        <v/>
      </c>
    </row>
    <row r="582" spans="1:17">
      <c r="A582" s="2" t="str">
        <f>_xlfn.TEXTJOIN("",TRUE,Input!$B$2,ROW(My_Audit!A581))</f>
        <v>XX581</v>
      </c>
      <c r="B582" s="2" t="str">
        <f>_xlfn.TEXTJOIN("-",TRUE,"ITD",Input!$A$2,A582)</f>
        <v>ITD-SHRXXX-XX581</v>
      </c>
      <c r="C582" s="2" t="str" cm="1">
        <f t="array" ref="C582">IFERROR(_xlfn.LET(
_xlpm.CSVVal,_xlfn.XLOOKUP($A582,CSV!$A:$A,CSV!B:B,""),
_xlpm.MacVal,_xlfn.XLOOKUP($A582,Output_Mac!$A:$A,Output_Mac!B:B,""),
_xlpm.MyAuditVal,_xlfn.XLOOKUP($A582,My_Audit!$A:$A,My_Audit!B:B,""),
_xlfn.IFS(_xlpm.MyAuditVal&lt;&gt;"",UPPER(_xlpm.MyAuditVal),_xlpm.MacVal&lt;&gt;"",_xlpm.MacVal,_xlpm.CSVVal&lt;&gt;"",_xlpm.CSVVal
)),"")</f>
        <v/>
      </c>
      <c r="D582" s="2" t="str" cm="1">
        <f t="array" ref="D582">IFERROR(_xlfn.LET(
_xlpm.CSVVal,_xlfn.XLOOKUP($A582,CSV!$A:$A,CSV!D:D,""),
_xlpm.MacVal,_xlfn.XLOOKUP($A582,Output_Mac!$A:$A,Output_Mac!C:C,""),
_xlpm.MyAuditVal,_xlfn.XLOOKUP($A582,My_Audit!$A:$A,My_Audit!C:C,""),
_xlfn.IFS(_xlpm.MyAuditVal&lt;&gt;"",_xlpm.MyAuditVal,_xlpm.MacVal&lt;&gt;"",_xlpm.MacVal,_xlpm.CSVVal&lt;&gt;"",_xlpm.CSVVal
)),"")</f>
        <v/>
      </c>
      <c r="E582" s="2" t="str">
        <f>_xlfn.XLOOKUP(A582,My_Audit!A:A,My_Audit!D:D,"")&amp;""</f>
        <v/>
      </c>
      <c r="F582" s="2" t="str" cm="1">
        <f t="array" ref="F582">IFERROR(_xlfn.LET(
_xlpm.CSVVal,_xlfn.XLOOKUP($A582,CSV!$A:$A,CSV!F:F,""),
_xlpm.MacVal,_xlfn.XLOOKUP($A582,Output_Mac!$A:$A,Output_Mac!E:E,""),
_xlpm.MyAuditVal,_xlfn.XLOOKUP($A582,My_Audit!$A:$A,My_Audit!E:E,""),
_xlfn.IFS(_xlpm.MyAuditVal&lt;&gt;"",_xlpm.MyAuditVal,_xlpm.MacVal&lt;&gt;"",_xlpm.MacVal,_xlpm.CSVVal&lt;&gt;"",_xlpm.CSVVal
)),"")</f>
        <v/>
      </c>
      <c r="G582" s="2" t="str" cm="1">
        <f t="array" ref="G582">IFERROR(_xlfn.LET(
_xlpm.CSVVal,_xlfn.XLOOKUP($A582,CSV!$A:$A,CSV!G:G,""),
_xlpm.MacVal,_xlfn.XLOOKUP($A582,Output_Mac!$A:$A,Output_Mac!F:F,""),
_xlpm.MyAuditVal,_xlfn.XLOOKUP($A582,My_Audit!$A:$A,My_Audit!F:F,""),
_xlfn.IFS(_xlpm.MyAuditVal&lt;&gt;"",_xlpm.MyAuditVal,_xlpm.MacVal&lt;&gt;"",_xlpm.MacVal,_xlpm.CSVVal&lt;&gt;"",PROPER(_xlpm.CSVVal)
)),"")</f>
        <v/>
      </c>
      <c r="H582" s="2" t="str" cm="1">
        <f t="array" ref="H582">IFERROR(_xlfn.LET(
_xlpm.CSVVal,_xlfn.XLOOKUP($A582,CSV!$A:$A,CSV!H:H,""),
_xlpm.MacVal,_xlfn.XLOOKUP($A582,Output_Mac!$A:$A,Output_Mac!H:H,""),
_xlpm.MyAuditVal,_xlfn.XLOOKUP($A582,My_Audit!$A:$A,My_Audit!G:G,""),
_xlfn.IFS(_xlpm.MyAuditVal&lt;&gt;"",_xlpm.MyAuditVal,_xlpm.MacVal&lt;&gt;"",_xlpm.MacVal,_xlpm.CSVVal&lt;&gt;"",_xlpm.CSVVal
)),"")</f>
        <v/>
      </c>
      <c r="I582" s="2" t="str">
        <f>_xlfn.XLOOKUP(A582,Output_Mac!A:A,Output_Mac!I:I,"")</f>
        <v/>
      </c>
      <c r="J582" s="2" t="str" cm="1">
        <f t="array" ref="J582">IFERROR(_xlfn.LET(
_xlpm.CSVVal,_xlfn.XLOOKUP($A582,CSV!$A:$A,CSV!I:I,""),
_xlpm.MacVal,_xlfn.XLOOKUP($A582,Output_Mac!$A:$A,Output_Mac!J:J,""),
_xlpm.MyAuditVal,_xlfn.XLOOKUP($A582,My_Audit!$A:$A,My_Audit!I:I,""),
_xlfn.IFS(_xlpm.MyAuditVal&lt;&gt;"",UPPER(_xlpm.MyAuditVal),_xlpm.MacVal&lt;&gt;"",_xlpm.MacVal,_xlpm.CSVVal&lt;&gt;"",_xlpm.CSVVal
)),"")</f>
        <v/>
      </c>
      <c r="K582" s="2" t="str" cm="1">
        <f t="array" ref="K582">IFERROR(_xlfn.LET(
_xlpm.CSVVal,_xlfn.XLOOKUP($A582,CSV!$A:$A,CSV!K:K,""),
_xlpm.MacVal,_xlfn.XLOOKUP($A582,Output_Mac!$A:$A,Output_Mac!K:K,""),
_xlpm.MyAuditVal,_xlfn.XLOOKUP($A582,My_Audit!$A:$A,My_Audit!J:J,""),
_xlfn.IFS(_xlpm.MyAuditVal&lt;&gt;"",UPPER(_xlpm.MyAuditVal),_xlpm.MacVal&lt;&gt;"",_xlpm.MacVal,_xlpm.CSVVal&lt;&gt;"",_xlpm.CSVVal
)),"")</f>
        <v/>
      </c>
      <c r="L582" s="2" t="str" cm="1">
        <f t="array" ref="L582">IFERROR(_xlfn.LET(
_xlpm.CSVVal,_xlfn.XLOOKUP($A582,CSV!$A:$A,CSV!P:P,""),
_xlpm.MacVal,_xlfn.XLOOKUP($A582,Output_Mac!$A:$A,Output_Mac!L:L,""),
_xlpm.MyAuditVal,_xlfn.XLOOKUP($A582,My_Audit!$A:$A,My_Audit!K:K,""),
_xlfn.IFS(_xlpm.MyAuditVal&lt;&gt;"",UPPER(_xlpm.MyAuditVal),_xlpm.MacVal&lt;&gt;"",_xlpm.MacVal,_xlpm.CSVVal&lt;&gt;"",_xlpm.CSVVal
)),"")</f>
        <v/>
      </c>
      <c r="M582" s="2" t="str" cm="1">
        <f t="array" ref="M582">IFERROR(_xlfn.LET(
_xlpm.CSVVal,_xlfn.XLOOKUP($A582,CSV!$A:$A,CSV!Q:Q,""),
_xlpm.MacVal,_xlfn.XLOOKUP($A582,Output_Mac!$A:$A,Output_Mac!M:M,""),
_xlpm.MyAuditVal,_xlfn.XLOOKUP($A582,My_Audit!$A:$A,My_Audit!L:L,""),
_xlfn.IFS(_xlpm.MyAuditVal&lt;&gt;"",UPPER(_xlpm.MyAuditVal),_xlpm.MacVal&lt;&gt;"",_xlpm.MacVal,_xlpm.CSVVal&lt;&gt;"",_xlpm.CSVVal
)),"")</f>
        <v/>
      </c>
      <c r="O582" s="2" t="str">
        <f>_xlfn.LET(
    _xlpm.CSVVal, _xlfn.XLOOKUP($A582, CSV!$A:$A, CSV!AF:AF, ""),
    _xlpm.MacVal, _xlfn.XLOOKUP($A582, Output_Mac!$A:$A, Output_Mac!S:S, ""),
    _xlpm.MyAuditVal, _xlfn.XLOOKUP($A582, My_Audit!$A:$A, My_Audit!P:P, ""),
    _xlfn.TEXTJOIN(", ", TRUE, _xlpm.MyAuditVal, _xlpm.MacVal, _xlpm.CSVVal)
)</f>
        <v/>
      </c>
      <c r="P582" s="2" t="str" cm="1">
        <f t="array" ref="P582">IFERROR(_xlfn.LET(
_xlpm.CSVVal,_xlfn.XLOOKUP($A582,CSV!$A:$A,CSV!AG:AG,""),
_xlpm.MacVal,_xlfn.XLOOKUP($A582,Output_Mac!$A:$A,Output_Mac!T:T,""),
_xlpm.MyAuditVal,_xlfn.XLOOKUP($A582,My_Audit!$A:$A,My_Audit!Q:Q,""),
_xlfn.IFS(_xlpm.MyAuditVal&lt;&gt;"",UPPER(_xlpm.MyAuditVal),_xlpm.MacVal&lt;&gt;"",_xlpm.MacVal,_xlpm.CSVVal&lt;&gt;"",_xlpm.CSVVal
)),"No")</f>
        <v>No</v>
      </c>
      <c r="Q582" s="2" t="str" cm="1">
        <f t="array" ref="Q582">IFERROR(_xlfn.LET(
_xlpm.CSVVal,_xlfn.XLOOKUP($A582,CSV!$A:$A,CSV!AH:AH,""),
_xlpm.MacVal,_xlfn.XLOOKUP($A582,Output_Mac!$A:$A,Output_Mac!U:U,""),
_xlpm.MyAuditVal,_xlfn.XLOOKUP($A582,My_Audit!$A:$A,My_Audit!R:R,""),
_xlfn.IFS(_xlpm.MyAuditVal&lt;&gt;"",UPPER(_xlpm.MyAuditVal),_xlpm.MacVal&lt;&gt;"",_xlpm.MacVal,_xlpm.CSVVal&lt;&gt;"",_xlpm.CSVVal
)),"")</f>
        <v/>
      </c>
    </row>
    <row r="583" spans="1:17">
      <c r="A583" s="2" t="str">
        <f>_xlfn.TEXTJOIN("",TRUE,Input!$B$2,ROW(My_Audit!A582))</f>
        <v>XX582</v>
      </c>
      <c r="B583" s="2" t="str">
        <f>_xlfn.TEXTJOIN("-",TRUE,"ITD",Input!$A$2,A583)</f>
        <v>ITD-SHRXXX-XX582</v>
      </c>
      <c r="C583" s="2" t="str" cm="1">
        <f t="array" ref="C583">IFERROR(_xlfn.LET(
_xlpm.CSVVal,_xlfn.XLOOKUP($A583,CSV!$A:$A,CSV!B:B,""),
_xlpm.MacVal,_xlfn.XLOOKUP($A583,Output_Mac!$A:$A,Output_Mac!B:B,""),
_xlpm.MyAuditVal,_xlfn.XLOOKUP($A583,My_Audit!$A:$A,My_Audit!B:B,""),
_xlfn.IFS(_xlpm.MyAuditVal&lt;&gt;"",UPPER(_xlpm.MyAuditVal),_xlpm.MacVal&lt;&gt;"",_xlpm.MacVal,_xlpm.CSVVal&lt;&gt;"",_xlpm.CSVVal
)),"")</f>
        <v/>
      </c>
      <c r="D583" s="2" t="str" cm="1">
        <f t="array" ref="D583">IFERROR(_xlfn.LET(
_xlpm.CSVVal,_xlfn.XLOOKUP($A583,CSV!$A:$A,CSV!D:D,""),
_xlpm.MacVal,_xlfn.XLOOKUP($A583,Output_Mac!$A:$A,Output_Mac!C:C,""),
_xlpm.MyAuditVal,_xlfn.XLOOKUP($A583,My_Audit!$A:$A,My_Audit!C:C,""),
_xlfn.IFS(_xlpm.MyAuditVal&lt;&gt;"",_xlpm.MyAuditVal,_xlpm.MacVal&lt;&gt;"",_xlpm.MacVal,_xlpm.CSVVal&lt;&gt;"",_xlpm.CSVVal
)),"")</f>
        <v/>
      </c>
      <c r="E583" s="2" t="str">
        <f>_xlfn.XLOOKUP(A583,My_Audit!A:A,My_Audit!D:D,"")&amp;""</f>
        <v/>
      </c>
      <c r="F583" s="2" t="str" cm="1">
        <f t="array" ref="F583">IFERROR(_xlfn.LET(
_xlpm.CSVVal,_xlfn.XLOOKUP($A583,CSV!$A:$A,CSV!F:F,""),
_xlpm.MacVal,_xlfn.XLOOKUP($A583,Output_Mac!$A:$A,Output_Mac!E:E,""),
_xlpm.MyAuditVal,_xlfn.XLOOKUP($A583,My_Audit!$A:$A,My_Audit!E:E,""),
_xlfn.IFS(_xlpm.MyAuditVal&lt;&gt;"",_xlpm.MyAuditVal,_xlpm.MacVal&lt;&gt;"",_xlpm.MacVal,_xlpm.CSVVal&lt;&gt;"",_xlpm.CSVVal
)),"")</f>
        <v/>
      </c>
      <c r="G583" s="2" t="str" cm="1">
        <f t="array" ref="G583">IFERROR(_xlfn.LET(
_xlpm.CSVVal,_xlfn.XLOOKUP($A583,CSV!$A:$A,CSV!G:G,""),
_xlpm.MacVal,_xlfn.XLOOKUP($A583,Output_Mac!$A:$A,Output_Mac!F:F,""),
_xlpm.MyAuditVal,_xlfn.XLOOKUP($A583,My_Audit!$A:$A,My_Audit!F:F,""),
_xlfn.IFS(_xlpm.MyAuditVal&lt;&gt;"",_xlpm.MyAuditVal,_xlpm.MacVal&lt;&gt;"",_xlpm.MacVal,_xlpm.CSVVal&lt;&gt;"",PROPER(_xlpm.CSVVal)
)),"")</f>
        <v/>
      </c>
      <c r="H583" s="2" t="str" cm="1">
        <f t="array" ref="H583">IFERROR(_xlfn.LET(
_xlpm.CSVVal,_xlfn.XLOOKUP($A583,CSV!$A:$A,CSV!H:H,""),
_xlpm.MacVal,_xlfn.XLOOKUP($A583,Output_Mac!$A:$A,Output_Mac!H:H,""),
_xlpm.MyAuditVal,_xlfn.XLOOKUP($A583,My_Audit!$A:$A,My_Audit!G:G,""),
_xlfn.IFS(_xlpm.MyAuditVal&lt;&gt;"",_xlpm.MyAuditVal,_xlpm.MacVal&lt;&gt;"",_xlpm.MacVal,_xlpm.CSVVal&lt;&gt;"",_xlpm.CSVVal
)),"")</f>
        <v/>
      </c>
      <c r="I583" s="2" t="str">
        <f>_xlfn.XLOOKUP(A583,Output_Mac!A:A,Output_Mac!I:I,"")</f>
        <v/>
      </c>
      <c r="J583" s="2" t="str" cm="1">
        <f t="array" ref="J583">IFERROR(_xlfn.LET(
_xlpm.CSVVal,_xlfn.XLOOKUP($A583,CSV!$A:$A,CSV!I:I,""),
_xlpm.MacVal,_xlfn.XLOOKUP($A583,Output_Mac!$A:$A,Output_Mac!J:J,""),
_xlpm.MyAuditVal,_xlfn.XLOOKUP($A583,My_Audit!$A:$A,My_Audit!I:I,""),
_xlfn.IFS(_xlpm.MyAuditVal&lt;&gt;"",UPPER(_xlpm.MyAuditVal),_xlpm.MacVal&lt;&gt;"",_xlpm.MacVal,_xlpm.CSVVal&lt;&gt;"",_xlpm.CSVVal
)),"")</f>
        <v/>
      </c>
      <c r="K583" s="2" t="str" cm="1">
        <f t="array" ref="K583">IFERROR(_xlfn.LET(
_xlpm.CSVVal,_xlfn.XLOOKUP($A583,CSV!$A:$A,CSV!K:K,""),
_xlpm.MacVal,_xlfn.XLOOKUP($A583,Output_Mac!$A:$A,Output_Mac!K:K,""),
_xlpm.MyAuditVal,_xlfn.XLOOKUP($A583,My_Audit!$A:$A,My_Audit!J:J,""),
_xlfn.IFS(_xlpm.MyAuditVal&lt;&gt;"",UPPER(_xlpm.MyAuditVal),_xlpm.MacVal&lt;&gt;"",_xlpm.MacVal,_xlpm.CSVVal&lt;&gt;"",_xlpm.CSVVal
)),"")</f>
        <v/>
      </c>
      <c r="L583" s="2" t="str" cm="1">
        <f t="array" ref="L583">IFERROR(_xlfn.LET(
_xlpm.CSVVal,_xlfn.XLOOKUP($A583,CSV!$A:$A,CSV!P:P,""),
_xlpm.MacVal,_xlfn.XLOOKUP($A583,Output_Mac!$A:$A,Output_Mac!L:L,""),
_xlpm.MyAuditVal,_xlfn.XLOOKUP($A583,My_Audit!$A:$A,My_Audit!K:K,""),
_xlfn.IFS(_xlpm.MyAuditVal&lt;&gt;"",UPPER(_xlpm.MyAuditVal),_xlpm.MacVal&lt;&gt;"",_xlpm.MacVal,_xlpm.CSVVal&lt;&gt;"",_xlpm.CSVVal
)),"")</f>
        <v/>
      </c>
      <c r="M583" s="2" t="str" cm="1">
        <f t="array" ref="M583">IFERROR(_xlfn.LET(
_xlpm.CSVVal,_xlfn.XLOOKUP($A583,CSV!$A:$A,CSV!Q:Q,""),
_xlpm.MacVal,_xlfn.XLOOKUP($A583,Output_Mac!$A:$A,Output_Mac!M:M,""),
_xlpm.MyAuditVal,_xlfn.XLOOKUP($A583,My_Audit!$A:$A,My_Audit!L:L,""),
_xlfn.IFS(_xlpm.MyAuditVal&lt;&gt;"",UPPER(_xlpm.MyAuditVal),_xlpm.MacVal&lt;&gt;"",_xlpm.MacVal,_xlpm.CSVVal&lt;&gt;"",_xlpm.CSVVal
)),"")</f>
        <v/>
      </c>
      <c r="O583" s="2" t="str">
        <f>_xlfn.LET(
    _xlpm.CSVVal, _xlfn.XLOOKUP($A583, CSV!$A:$A, CSV!AF:AF, ""),
    _xlpm.MacVal, _xlfn.XLOOKUP($A583, Output_Mac!$A:$A, Output_Mac!S:S, ""),
    _xlpm.MyAuditVal, _xlfn.XLOOKUP($A583, My_Audit!$A:$A, My_Audit!P:P, ""),
    _xlfn.TEXTJOIN(", ", TRUE, _xlpm.MyAuditVal, _xlpm.MacVal, _xlpm.CSVVal)
)</f>
        <v/>
      </c>
      <c r="P583" s="2" t="str" cm="1">
        <f t="array" ref="P583">IFERROR(_xlfn.LET(
_xlpm.CSVVal,_xlfn.XLOOKUP($A583,CSV!$A:$A,CSV!AG:AG,""),
_xlpm.MacVal,_xlfn.XLOOKUP($A583,Output_Mac!$A:$A,Output_Mac!T:T,""),
_xlpm.MyAuditVal,_xlfn.XLOOKUP($A583,My_Audit!$A:$A,My_Audit!Q:Q,""),
_xlfn.IFS(_xlpm.MyAuditVal&lt;&gt;"",UPPER(_xlpm.MyAuditVal),_xlpm.MacVal&lt;&gt;"",_xlpm.MacVal,_xlpm.CSVVal&lt;&gt;"",_xlpm.CSVVal
)),"No")</f>
        <v>No</v>
      </c>
      <c r="Q583" s="2" t="str" cm="1">
        <f t="array" ref="Q583">IFERROR(_xlfn.LET(
_xlpm.CSVVal,_xlfn.XLOOKUP($A583,CSV!$A:$A,CSV!AH:AH,""),
_xlpm.MacVal,_xlfn.XLOOKUP($A583,Output_Mac!$A:$A,Output_Mac!U:U,""),
_xlpm.MyAuditVal,_xlfn.XLOOKUP($A583,My_Audit!$A:$A,My_Audit!R:R,""),
_xlfn.IFS(_xlpm.MyAuditVal&lt;&gt;"",UPPER(_xlpm.MyAuditVal),_xlpm.MacVal&lt;&gt;"",_xlpm.MacVal,_xlpm.CSVVal&lt;&gt;"",_xlpm.CSVVal
)),"")</f>
        <v/>
      </c>
    </row>
    <row r="584" spans="1:17">
      <c r="A584" s="2" t="str">
        <f>_xlfn.TEXTJOIN("",TRUE,Input!$B$2,ROW(My_Audit!A583))</f>
        <v>XX583</v>
      </c>
      <c r="B584" s="2" t="str">
        <f>_xlfn.TEXTJOIN("-",TRUE,"ITD",Input!$A$2,A584)</f>
        <v>ITD-SHRXXX-XX583</v>
      </c>
      <c r="C584" s="2" t="str" cm="1">
        <f t="array" ref="C584">IFERROR(_xlfn.LET(
_xlpm.CSVVal,_xlfn.XLOOKUP($A584,CSV!$A:$A,CSV!B:B,""),
_xlpm.MacVal,_xlfn.XLOOKUP($A584,Output_Mac!$A:$A,Output_Mac!B:B,""),
_xlpm.MyAuditVal,_xlfn.XLOOKUP($A584,My_Audit!$A:$A,My_Audit!B:B,""),
_xlfn.IFS(_xlpm.MyAuditVal&lt;&gt;"",UPPER(_xlpm.MyAuditVal),_xlpm.MacVal&lt;&gt;"",_xlpm.MacVal,_xlpm.CSVVal&lt;&gt;"",_xlpm.CSVVal
)),"")</f>
        <v/>
      </c>
      <c r="D584" s="2" t="str" cm="1">
        <f t="array" ref="D584">IFERROR(_xlfn.LET(
_xlpm.CSVVal,_xlfn.XLOOKUP($A584,CSV!$A:$A,CSV!D:D,""),
_xlpm.MacVal,_xlfn.XLOOKUP($A584,Output_Mac!$A:$A,Output_Mac!C:C,""),
_xlpm.MyAuditVal,_xlfn.XLOOKUP($A584,My_Audit!$A:$A,My_Audit!C:C,""),
_xlfn.IFS(_xlpm.MyAuditVal&lt;&gt;"",_xlpm.MyAuditVal,_xlpm.MacVal&lt;&gt;"",_xlpm.MacVal,_xlpm.CSVVal&lt;&gt;"",_xlpm.CSVVal
)),"")</f>
        <v/>
      </c>
      <c r="E584" s="2" t="str">
        <f>_xlfn.XLOOKUP(A584,My_Audit!A:A,My_Audit!D:D,"")&amp;""</f>
        <v/>
      </c>
      <c r="F584" s="2" t="str" cm="1">
        <f t="array" ref="F584">IFERROR(_xlfn.LET(
_xlpm.CSVVal,_xlfn.XLOOKUP($A584,CSV!$A:$A,CSV!F:F,""),
_xlpm.MacVal,_xlfn.XLOOKUP($A584,Output_Mac!$A:$A,Output_Mac!E:E,""),
_xlpm.MyAuditVal,_xlfn.XLOOKUP($A584,My_Audit!$A:$A,My_Audit!E:E,""),
_xlfn.IFS(_xlpm.MyAuditVal&lt;&gt;"",_xlpm.MyAuditVal,_xlpm.MacVal&lt;&gt;"",_xlpm.MacVal,_xlpm.CSVVal&lt;&gt;"",_xlpm.CSVVal
)),"")</f>
        <v/>
      </c>
      <c r="G584" s="2" t="str" cm="1">
        <f t="array" ref="G584">IFERROR(_xlfn.LET(
_xlpm.CSVVal,_xlfn.XLOOKUP($A584,CSV!$A:$A,CSV!G:G,""),
_xlpm.MacVal,_xlfn.XLOOKUP($A584,Output_Mac!$A:$A,Output_Mac!F:F,""),
_xlpm.MyAuditVal,_xlfn.XLOOKUP($A584,My_Audit!$A:$A,My_Audit!F:F,""),
_xlfn.IFS(_xlpm.MyAuditVal&lt;&gt;"",_xlpm.MyAuditVal,_xlpm.MacVal&lt;&gt;"",_xlpm.MacVal,_xlpm.CSVVal&lt;&gt;"",PROPER(_xlpm.CSVVal)
)),"")</f>
        <v/>
      </c>
      <c r="H584" s="2" t="str" cm="1">
        <f t="array" ref="H584">IFERROR(_xlfn.LET(
_xlpm.CSVVal,_xlfn.XLOOKUP($A584,CSV!$A:$A,CSV!H:H,""),
_xlpm.MacVal,_xlfn.XLOOKUP($A584,Output_Mac!$A:$A,Output_Mac!H:H,""),
_xlpm.MyAuditVal,_xlfn.XLOOKUP($A584,My_Audit!$A:$A,My_Audit!G:G,""),
_xlfn.IFS(_xlpm.MyAuditVal&lt;&gt;"",_xlpm.MyAuditVal,_xlpm.MacVal&lt;&gt;"",_xlpm.MacVal,_xlpm.CSVVal&lt;&gt;"",_xlpm.CSVVal
)),"")</f>
        <v/>
      </c>
      <c r="I584" s="2" t="str">
        <f>_xlfn.XLOOKUP(A584,Output_Mac!A:A,Output_Mac!I:I,"")</f>
        <v/>
      </c>
      <c r="J584" s="2" t="str" cm="1">
        <f t="array" ref="J584">IFERROR(_xlfn.LET(
_xlpm.CSVVal,_xlfn.XLOOKUP($A584,CSV!$A:$A,CSV!I:I,""),
_xlpm.MacVal,_xlfn.XLOOKUP($A584,Output_Mac!$A:$A,Output_Mac!J:J,""),
_xlpm.MyAuditVal,_xlfn.XLOOKUP($A584,My_Audit!$A:$A,My_Audit!I:I,""),
_xlfn.IFS(_xlpm.MyAuditVal&lt;&gt;"",UPPER(_xlpm.MyAuditVal),_xlpm.MacVal&lt;&gt;"",_xlpm.MacVal,_xlpm.CSVVal&lt;&gt;"",_xlpm.CSVVal
)),"")</f>
        <v/>
      </c>
      <c r="K584" s="2" t="str" cm="1">
        <f t="array" ref="K584">IFERROR(_xlfn.LET(
_xlpm.CSVVal,_xlfn.XLOOKUP($A584,CSV!$A:$A,CSV!K:K,""),
_xlpm.MacVal,_xlfn.XLOOKUP($A584,Output_Mac!$A:$A,Output_Mac!K:K,""),
_xlpm.MyAuditVal,_xlfn.XLOOKUP($A584,My_Audit!$A:$A,My_Audit!J:J,""),
_xlfn.IFS(_xlpm.MyAuditVal&lt;&gt;"",UPPER(_xlpm.MyAuditVal),_xlpm.MacVal&lt;&gt;"",_xlpm.MacVal,_xlpm.CSVVal&lt;&gt;"",_xlpm.CSVVal
)),"")</f>
        <v/>
      </c>
      <c r="L584" s="2" t="str" cm="1">
        <f t="array" ref="L584">IFERROR(_xlfn.LET(
_xlpm.CSVVal,_xlfn.XLOOKUP($A584,CSV!$A:$A,CSV!P:P,""),
_xlpm.MacVal,_xlfn.XLOOKUP($A584,Output_Mac!$A:$A,Output_Mac!L:L,""),
_xlpm.MyAuditVal,_xlfn.XLOOKUP($A584,My_Audit!$A:$A,My_Audit!K:K,""),
_xlfn.IFS(_xlpm.MyAuditVal&lt;&gt;"",UPPER(_xlpm.MyAuditVal),_xlpm.MacVal&lt;&gt;"",_xlpm.MacVal,_xlpm.CSVVal&lt;&gt;"",_xlpm.CSVVal
)),"")</f>
        <v/>
      </c>
      <c r="M584" s="2" t="str" cm="1">
        <f t="array" ref="M584">IFERROR(_xlfn.LET(
_xlpm.CSVVal,_xlfn.XLOOKUP($A584,CSV!$A:$A,CSV!Q:Q,""),
_xlpm.MacVal,_xlfn.XLOOKUP($A584,Output_Mac!$A:$A,Output_Mac!M:M,""),
_xlpm.MyAuditVal,_xlfn.XLOOKUP($A584,My_Audit!$A:$A,My_Audit!L:L,""),
_xlfn.IFS(_xlpm.MyAuditVal&lt;&gt;"",UPPER(_xlpm.MyAuditVal),_xlpm.MacVal&lt;&gt;"",_xlpm.MacVal,_xlpm.CSVVal&lt;&gt;"",_xlpm.CSVVal
)),"")</f>
        <v/>
      </c>
      <c r="O584" s="2" t="str">
        <f>_xlfn.LET(
    _xlpm.CSVVal, _xlfn.XLOOKUP($A584, CSV!$A:$A, CSV!AF:AF, ""),
    _xlpm.MacVal, _xlfn.XLOOKUP($A584, Output_Mac!$A:$A, Output_Mac!S:S, ""),
    _xlpm.MyAuditVal, _xlfn.XLOOKUP($A584, My_Audit!$A:$A, My_Audit!P:P, ""),
    _xlfn.TEXTJOIN(", ", TRUE, _xlpm.MyAuditVal, _xlpm.MacVal, _xlpm.CSVVal)
)</f>
        <v/>
      </c>
      <c r="P584" s="2" t="str" cm="1">
        <f t="array" ref="P584">IFERROR(_xlfn.LET(
_xlpm.CSVVal,_xlfn.XLOOKUP($A584,CSV!$A:$A,CSV!AG:AG,""),
_xlpm.MacVal,_xlfn.XLOOKUP($A584,Output_Mac!$A:$A,Output_Mac!T:T,""),
_xlpm.MyAuditVal,_xlfn.XLOOKUP($A584,My_Audit!$A:$A,My_Audit!Q:Q,""),
_xlfn.IFS(_xlpm.MyAuditVal&lt;&gt;"",UPPER(_xlpm.MyAuditVal),_xlpm.MacVal&lt;&gt;"",_xlpm.MacVal,_xlpm.CSVVal&lt;&gt;"",_xlpm.CSVVal
)),"No")</f>
        <v>No</v>
      </c>
      <c r="Q584" s="2" t="str" cm="1">
        <f t="array" ref="Q584">IFERROR(_xlfn.LET(
_xlpm.CSVVal,_xlfn.XLOOKUP($A584,CSV!$A:$A,CSV!AH:AH,""),
_xlpm.MacVal,_xlfn.XLOOKUP($A584,Output_Mac!$A:$A,Output_Mac!U:U,""),
_xlpm.MyAuditVal,_xlfn.XLOOKUP($A584,My_Audit!$A:$A,My_Audit!R:R,""),
_xlfn.IFS(_xlpm.MyAuditVal&lt;&gt;"",UPPER(_xlpm.MyAuditVal),_xlpm.MacVal&lt;&gt;"",_xlpm.MacVal,_xlpm.CSVVal&lt;&gt;"",_xlpm.CSVVal
)),"")</f>
        <v/>
      </c>
    </row>
    <row r="585" spans="1:17">
      <c r="A585" s="2" t="str">
        <f>_xlfn.TEXTJOIN("",TRUE,Input!$B$2,ROW(My_Audit!A584))</f>
        <v>XX584</v>
      </c>
      <c r="B585" s="2" t="str">
        <f>_xlfn.TEXTJOIN("-",TRUE,"ITD",Input!$A$2,A585)</f>
        <v>ITD-SHRXXX-XX584</v>
      </c>
      <c r="C585" s="2" t="str" cm="1">
        <f t="array" ref="C585">IFERROR(_xlfn.LET(
_xlpm.CSVVal,_xlfn.XLOOKUP($A585,CSV!$A:$A,CSV!B:B,""),
_xlpm.MacVal,_xlfn.XLOOKUP($A585,Output_Mac!$A:$A,Output_Mac!B:B,""),
_xlpm.MyAuditVal,_xlfn.XLOOKUP($A585,My_Audit!$A:$A,My_Audit!B:B,""),
_xlfn.IFS(_xlpm.MyAuditVal&lt;&gt;"",UPPER(_xlpm.MyAuditVal),_xlpm.MacVal&lt;&gt;"",_xlpm.MacVal,_xlpm.CSVVal&lt;&gt;"",_xlpm.CSVVal
)),"")</f>
        <v/>
      </c>
      <c r="D585" s="2" t="str" cm="1">
        <f t="array" ref="D585">IFERROR(_xlfn.LET(
_xlpm.CSVVal,_xlfn.XLOOKUP($A585,CSV!$A:$A,CSV!D:D,""),
_xlpm.MacVal,_xlfn.XLOOKUP($A585,Output_Mac!$A:$A,Output_Mac!C:C,""),
_xlpm.MyAuditVal,_xlfn.XLOOKUP($A585,My_Audit!$A:$A,My_Audit!C:C,""),
_xlfn.IFS(_xlpm.MyAuditVal&lt;&gt;"",_xlpm.MyAuditVal,_xlpm.MacVal&lt;&gt;"",_xlpm.MacVal,_xlpm.CSVVal&lt;&gt;"",_xlpm.CSVVal
)),"")</f>
        <v/>
      </c>
      <c r="E585" s="2" t="str">
        <f>_xlfn.XLOOKUP(A585,My_Audit!A:A,My_Audit!D:D,"")&amp;""</f>
        <v/>
      </c>
      <c r="F585" s="2" t="str" cm="1">
        <f t="array" ref="F585">IFERROR(_xlfn.LET(
_xlpm.CSVVal,_xlfn.XLOOKUP($A585,CSV!$A:$A,CSV!F:F,""),
_xlpm.MacVal,_xlfn.XLOOKUP($A585,Output_Mac!$A:$A,Output_Mac!E:E,""),
_xlpm.MyAuditVal,_xlfn.XLOOKUP($A585,My_Audit!$A:$A,My_Audit!E:E,""),
_xlfn.IFS(_xlpm.MyAuditVal&lt;&gt;"",_xlpm.MyAuditVal,_xlpm.MacVal&lt;&gt;"",_xlpm.MacVal,_xlpm.CSVVal&lt;&gt;"",_xlpm.CSVVal
)),"")</f>
        <v/>
      </c>
      <c r="G585" s="2" t="str" cm="1">
        <f t="array" ref="G585">IFERROR(_xlfn.LET(
_xlpm.CSVVal,_xlfn.XLOOKUP($A585,CSV!$A:$A,CSV!G:G,""),
_xlpm.MacVal,_xlfn.XLOOKUP($A585,Output_Mac!$A:$A,Output_Mac!F:F,""),
_xlpm.MyAuditVal,_xlfn.XLOOKUP($A585,My_Audit!$A:$A,My_Audit!F:F,""),
_xlfn.IFS(_xlpm.MyAuditVal&lt;&gt;"",_xlpm.MyAuditVal,_xlpm.MacVal&lt;&gt;"",_xlpm.MacVal,_xlpm.CSVVal&lt;&gt;"",PROPER(_xlpm.CSVVal)
)),"")</f>
        <v/>
      </c>
      <c r="H585" s="2" t="str" cm="1">
        <f t="array" ref="H585">IFERROR(_xlfn.LET(
_xlpm.CSVVal,_xlfn.XLOOKUP($A585,CSV!$A:$A,CSV!H:H,""),
_xlpm.MacVal,_xlfn.XLOOKUP($A585,Output_Mac!$A:$A,Output_Mac!H:H,""),
_xlpm.MyAuditVal,_xlfn.XLOOKUP($A585,My_Audit!$A:$A,My_Audit!G:G,""),
_xlfn.IFS(_xlpm.MyAuditVal&lt;&gt;"",_xlpm.MyAuditVal,_xlpm.MacVal&lt;&gt;"",_xlpm.MacVal,_xlpm.CSVVal&lt;&gt;"",_xlpm.CSVVal
)),"")</f>
        <v/>
      </c>
      <c r="I585" s="2" t="str">
        <f>_xlfn.XLOOKUP(A585,Output_Mac!A:A,Output_Mac!I:I,"")</f>
        <v/>
      </c>
      <c r="J585" s="2" t="str" cm="1">
        <f t="array" ref="J585">IFERROR(_xlfn.LET(
_xlpm.CSVVal,_xlfn.XLOOKUP($A585,CSV!$A:$A,CSV!I:I,""),
_xlpm.MacVal,_xlfn.XLOOKUP($A585,Output_Mac!$A:$A,Output_Mac!J:J,""),
_xlpm.MyAuditVal,_xlfn.XLOOKUP($A585,My_Audit!$A:$A,My_Audit!I:I,""),
_xlfn.IFS(_xlpm.MyAuditVal&lt;&gt;"",UPPER(_xlpm.MyAuditVal),_xlpm.MacVal&lt;&gt;"",_xlpm.MacVal,_xlpm.CSVVal&lt;&gt;"",_xlpm.CSVVal
)),"")</f>
        <v/>
      </c>
      <c r="K585" s="2" t="str" cm="1">
        <f t="array" ref="K585">IFERROR(_xlfn.LET(
_xlpm.CSVVal,_xlfn.XLOOKUP($A585,CSV!$A:$A,CSV!K:K,""),
_xlpm.MacVal,_xlfn.XLOOKUP($A585,Output_Mac!$A:$A,Output_Mac!K:K,""),
_xlpm.MyAuditVal,_xlfn.XLOOKUP($A585,My_Audit!$A:$A,My_Audit!J:J,""),
_xlfn.IFS(_xlpm.MyAuditVal&lt;&gt;"",UPPER(_xlpm.MyAuditVal),_xlpm.MacVal&lt;&gt;"",_xlpm.MacVal,_xlpm.CSVVal&lt;&gt;"",_xlpm.CSVVal
)),"")</f>
        <v/>
      </c>
      <c r="L585" s="2" t="str" cm="1">
        <f t="array" ref="L585">IFERROR(_xlfn.LET(
_xlpm.CSVVal,_xlfn.XLOOKUP($A585,CSV!$A:$A,CSV!P:P,""),
_xlpm.MacVal,_xlfn.XLOOKUP($A585,Output_Mac!$A:$A,Output_Mac!L:L,""),
_xlpm.MyAuditVal,_xlfn.XLOOKUP($A585,My_Audit!$A:$A,My_Audit!K:K,""),
_xlfn.IFS(_xlpm.MyAuditVal&lt;&gt;"",UPPER(_xlpm.MyAuditVal),_xlpm.MacVal&lt;&gt;"",_xlpm.MacVal,_xlpm.CSVVal&lt;&gt;"",_xlpm.CSVVal
)),"")</f>
        <v/>
      </c>
      <c r="M585" s="2" t="str" cm="1">
        <f t="array" ref="M585">IFERROR(_xlfn.LET(
_xlpm.CSVVal,_xlfn.XLOOKUP($A585,CSV!$A:$A,CSV!Q:Q,""),
_xlpm.MacVal,_xlfn.XLOOKUP($A585,Output_Mac!$A:$A,Output_Mac!M:M,""),
_xlpm.MyAuditVal,_xlfn.XLOOKUP($A585,My_Audit!$A:$A,My_Audit!L:L,""),
_xlfn.IFS(_xlpm.MyAuditVal&lt;&gt;"",UPPER(_xlpm.MyAuditVal),_xlpm.MacVal&lt;&gt;"",_xlpm.MacVal,_xlpm.CSVVal&lt;&gt;"",_xlpm.CSVVal
)),"")</f>
        <v/>
      </c>
      <c r="O585" s="2" t="str">
        <f>_xlfn.LET(
    _xlpm.CSVVal, _xlfn.XLOOKUP($A585, CSV!$A:$A, CSV!AF:AF, ""),
    _xlpm.MacVal, _xlfn.XLOOKUP($A585, Output_Mac!$A:$A, Output_Mac!S:S, ""),
    _xlpm.MyAuditVal, _xlfn.XLOOKUP($A585, My_Audit!$A:$A, My_Audit!P:P, ""),
    _xlfn.TEXTJOIN(", ", TRUE, _xlpm.MyAuditVal, _xlpm.MacVal, _xlpm.CSVVal)
)</f>
        <v/>
      </c>
      <c r="P585" s="2" t="str" cm="1">
        <f t="array" ref="P585">IFERROR(_xlfn.LET(
_xlpm.CSVVal,_xlfn.XLOOKUP($A585,CSV!$A:$A,CSV!AG:AG,""),
_xlpm.MacVal,_xlfn.XLOOKUP($A585,Output_Mac!$A:$A,Output_Mac!T:T,""),
_xlpm.MyAuditVal,_xlfn.XLOOKUP($A585,My_Audit!$A:$A,My_Audit!Q:Q,""),
_xlfn.IFS(_xlpm.MyAuditVal&lt;&gt;"",UPPER(_xlpm.MyAuditVal),_xlpm.MacVal&lt;&gt;"",_xlpm.MacVal,_xlpm.CSVVal&lt;&gt;"",_xlpm.CSVVal
)),"No")</f>
        <v>No</v>
      </c>
      <c r="Q585" s="2" t="str" cm="1">
        <f t="array" ref="Q585">IFERROR(_xlfn.LET(
_xlpm.CSVVal,_xlfn.XLOOKUP($A585,CSV!$A:$A,CSV!AH:AH,""),
_xlpm.MacVal,_xlfn.XLOOKUP($A585,Output_Mac!$A:$A,Output_Mac!U:U,""),
_xlpm.MyAuditVal,_xlfn.XLOOKUP($A585,My_Audit!$A:$A,My_Audit!R:R,""),
_xlfn.IFS(_xlpm.MyAuditVal&lt;&gt;"",UPPER(_xlpm.MyAuditVal),_xlpm.MacVal&lt;&gt;"",_xlpm.MacVal,_xlpm.CSVVal&lt;&gt;"",_xlpm.CSVVal
)),"")</f>
        <v/>
      </c>
    </row>
    <row r="586" spans="1:17">
      <c r="A586" s="2" t="str">
        <f>_xlfn.TEXTJOIN("",TRUE,Input!$B$2,ROW(My_Audit!A585))</f>
        <v>XX585</v>
      </c>
      <c r="B586" s="2" t="str">
        <f>_xlfn.TEXTJOIN("-",TRUE,"ITD",Input!$A$2,A586)</f>
        <v>ITD-SHRXXX-XX585</v>
      </c>
      <c r="C586" s="2" t="str" cm="1">
        <f t="array" ref="C586">IFERROR(_xlfn.LET(
_xlpm.CSVVal,_xlfn.XLOOKUP($A586,CSV!$A:$A,CSV!B:B,""),
_xlpm.MacVal,_xlfn.XLOOKUP($A586,Output_Mac!$A:$A,Output_Mac!B:B,""),
_xlpm.MyAuditVal,_xlfn.XLOOKUP($A586,My_Audit!$A:$A,My_Audit!B:B,""),
_xlfn.IFS(_xlpm.MyAuditVal&lt;&gt;"",UPPER(_xlpm.MyAuditVal),_xlpm.MacVal&lt;&gt;"",_xlpm.MacVal,_xlpm.CSVVal&lt;&gt;"",_xlpm.CSVVal
)),"")</f>
        <v/>
      </c>
      <c r="D586" s="2" t="str" cm="1">
        <f t="array" ref="D586">IFERROR(_xlfn.LET(
_xlpm.CSVVal,_xlfn.XLOOKUP($A586,CSV!$A:$A,CSV!D:D,""),
_xlpm.MacVal,_xlfn.XLOOKUP($A586,Output_Mac!$A:$A,Output_Mac!C:C,""),
_xlpm.MyAuditVal,_xlfn.XLOOKUP($A586,My_Audit!$A:$A,My_Audit!C:C,""),
_xlfn.IFS(_xlpm.MyAuditVal&lt;&gt;"",_xlpm.MyAuditVal,_xlpm.MacVal&lt;&gt;"",_xlpm.MacVal,_xlpm.CSVVal&lt;&gt;"",_xlpm.CSVVal
)),"")</f>
        <v/>
      </c>
      <c r="E586" s="2" t="str">
        <f>_xlfn.XLOOKUP(A586,My_Audit!A:A,My_Audit!D:D,"")&amp;""</f>
        <v/>
      </c>
      <c r="F586" s="2" t="str" cm="1">
        <f t="array" ref="F586">IFERROR(_xlfn.LET(
_xlpm.CSVVal,_xlfn.XLOOKUP($A586,CSV!$A:$A,CSV!F:F,""),
_xlpm.MacVal,_xlfn.XLOOKUP($A586,Output_Mac!$A:$A,Output_Mac!E:E,""),
_xlpm.MyAuditVal,_xlfn.XLOOKUP($A586,My_Audit!$A:$A,My_Audit!E:E,""),
_xlfn.IFS(_xlpm.MyAuditVal&lt;&gt;"",_xlpm.MyAuditVal,_xlpm.MacVal&lt;&gt;"",_xlpm.MacVal,_xlpm.CSVVal&lt;&gt;"",_xlpm.CSVVal
)),"")</f>
        <v/>
      </c>
      <c r="G586" s="2" t="str" cm="1">
        <f t="array" ref="G586">IFERROR(_xlfn.LET(
_xlpm.CSVVal,_xlfn.XLOOKUP($A586,CSV!$A:$A,CSV!G:G,""),
_xlpm.MacVal,_xlfn.XLOOKUP($A586,Output_Mac!$A:$A,Output_Mac!F:F,""),
_xlpm.MyAuditVal,_xlfn.XLOOKUP($A586,My_Audit!$A:$A,My_Audit!F:F,""),
_xlfn.IFS(_xlpm.MyAuditVal&lt;&gt;"",_xlpm.MyAuditVal,_xlpm.MacVal&lt;&gt;"",_xlpm.MacVal,_xlpm.CSVVal&lt;&gt;"",PROPER(_xlpm.CSVVal)
)),"")</f>
        <v/>
      </c>
      <c r="H586" s="2" t="str" cm="1">
        <f t="array" ref="H586">IFERROR(_xlfn.LET(
_xlpm.CSVVal,_xlfn.XLOOKUP($A586,CSV!$A:$A,CSV!H:H,""),
_xlpm.MacVal,_xlfn.XLOOKUP($A586,Output_Mac!$A:$A,Output_Mac!H:H,""),
_xlpm.MyAuditVal,_xlfn.XLOOKUP($A586,My_Audit!$A:$A,My_Audit!G:G,""),
_xlfn.IFS(_xlpm.MyAuditVal&lt;&gt;"",_xlpm.MyAuditVal,_xlpm.MacVal&lt;&gt;"",_xlpm.MacVal,_xlpm.CSVVal&lt;&gt;"",_xlpm.CSVVal
)),"")</f>
        <v/>
      </c>
      <c r="I586" s="2" t="str">
        <f>_xlfn.XLOOKUP(A586,Output_Mac!A:A,Output_Mac!I:I,"")</f>
        <v/>
      </c>
      <c r="J586" s="2" t="str" cm="1">
        <f t="array" ref="J586">IFERROR(_xlfn.LET(
_xlpm.CSVVal,_xlfn.XLOOKUP($A586,CSV!$A:$A,CSV!I:I,""),
_xlpm.MacVal,_xlfn.XLOOKUP($A586,Output_Mac!$A:$A,Output_Mac!J:J,""),
_xlpm.MyAuditVal,_xlfn.XLOOKUP($A586,My_Audit!$A:$A,My_Audit!I:I,""),
_xlfn.IFS(_xlpm.MyAuditVal&lt;&gt;"",UPPER(_xlpm.MyAuditVal),_xlpm.MacVal&lt;&gt;"",_xlpm.MacVal,_xlpm.CSVVal&lt;&gt;"",_xlpm.CSVVal
)),"")</f>
        <v/>
      </c>
      <c r="K586" s="2" t="str" cm="1">
        <f t="array" ref="K586">IFERROR(_xlfn.LET(
_xlpm.CSVVal,_xlfn.XLOOKUP($A586,CSV!$A:$A,CSV!K:K,""),
_xlpm.MacVal,_xlfn.XLOOKUP($A586,Output_Mac!$A:$A,Output_Mac!K:K,""),
_xlpm.MyAuditVal,_xlfn.XLOOKUP($A586,My_Audit!$A:$A,My_Audit!J:J,""),
_xlfn.IFS(_xlpm.MyAuditVal&lt;&gt;"",UPPER(_xlpm.MyAuditVal),_xlpm.MacVal&lt;&gt;"",_xlpm.MacVal,_xlpm.CSVVal&lt;&gt;"",_xlpm.CSVVal
)),"")</f>
        <v/>
      </c>
      <c r="L586" s="2" t="str" cm="1">
        <f t="array" ref="L586">IFERROR(_xlfn.LET(
_xlpm.CSVVal,_xlfn.XLOOKUP($A586,CSV!$A:$A,CSV!P:P,""),
_xlpm.MacVal,_xlfn.XLOOKUP($A586,Output_Mac!$A:$A,Output_Mac!L:L,""),
_xlpm.MyAuditVal,_xlfn.XLOOKUP($A586,My_Audit!$A:$A,My_Audit!K:K,""),
_xlfn.IFS(_xlpm.MyAuditVal&lt;&gt;"",UPPER(_xlpm.MyAuditVal),_xlpm.MacVal&lt;&gt;"",_xlpm.MacVal,_xlpm.CSVVal&lt;&gt;"",_xlpm.CSVVal
)),"")</f>
        <v/>
      </c>
      <c r="M586" s="2" t="str" cm="1">
        <f t="array" ref="M586">IFERROR(_xlfn.LET(
_xlpm.CSVVal,_xlfn.XLOOKUP($A586,CSV!$A:$A,CSV!Q:Q,""),
_xlpm.MacVal,_xlfn.XLOOKUP($A586,Output_Mac!$A:$A,Output_Mac!M:M,""),
_xlpm.MyAuditVal,_xlfn.XLOOKUP($A586,My_Audit!$A:$A,My_Audit!L:L,""),
_xlfn.IFS(_xlpm.MyAuditVal&lt;&gt;"",UPPER(_xlpm.MyAuditVal),_xlpm.MacVal&lt;&gt;"",_xlpm.MacVal,_xlpm.CSVVal&lt;&gt;"",_xlpm.CSVVal
)),"")</f>
        <v/>
      </c>
      <c r="O586" s="2" t="str">
        <f>_xlfn.LET(
    _xlpm.CSVVal, _xlfn.XLOOKUP($A586, CSV!$A:$A, CSV!AF:AF, ""),
    _xlpm.MacVal, _xlfn.XLOOKUP($A586, Output_Mac!$A:$A, Output_Mac!S:S, ""),
    _xlpm.MyAuditVal, _xlfn.XLOOKUP($A586, My_Audit!$A:$A, My_Audit!P:P, ""),
    _xlfn.TEXTJOIN(", ", TRUE, _xlpm.MyAuditVal, _xlpm.MacVal, _xlpm.CSVVal)
)</f>
        <v/>
      </c>
      <c r="P586" s="2" t="str" cm="1">
        <f t="array" ref="P586">IFERROR(_xlfn.LET(
_xlpm.CSVVal,_xlfn.XLOOKUP($A586,CSV!$A:$A,CSV!AG:AG,""),
_xlpm.MacVal,_xlfn.XLOOKUP($A586,Output_Mac!$A:$A,Output_Mac!T:T,""),
_xlpm.MyAuditVal,_xlfn.XLOOKUP($A586,My_Audit!$A:$A,My_Audit!Q:Q,""),
_xlfn.IFS(_xlpm.MyAuditVal&lt;&gt;"",UPPER(_xlpm.MyAuditVal),_xlpm.MacVal&lt;&gt;"",_xlpm.MacVal,_xlpm.CSVVal&lt;&gt;"",_xlpm.CSVVal
)),"No")</f>
        <v>No</v>
      </c>
      <c r="Q586" s="2" t="str" cm="1">
        <f t="array" ref="Q586">IFERROR(_xlfn.LET(
_xlpm.CSVVal,_xlfn.XLOOKUP($A586,CSV!$A:$A,CSV!AH:AH,""),
_xlpm.MacVal,_xlfn.XLOOKUP($A586,Output_Mac!$A:$A,Output_Mac!U:U,""),
_xlpm.MyAuditVal,_xlfn.XLOOKUP($A586,My_Audit!$A:$A,My_Audit!R:R,""),
_xlfn.IFS(_xlpm.MyAuditVal&lt;&gt;"",UPPER(_xlpm.MyAuditVal),_xlpm.MacVal&lt;&gt;"",_xlpm.MacVal,_xlpm.CSVVal&lt;&gt;"",_xlpm.CSVVal
)),"")</f>
        <v/>
      </c>
    </row>
    <row r="587" spans="1:17">
      <c r="A587" s="2" t="str">
        <f>_xlfn.TEXTJOIN("",TRUE,Input!$B$2,ROW(My_Audit!A586))</f>
        <v>XX586</v>
      </c>
      <c r="B587" s="2" t="str">
        <f>_xlfn.TEXTJOIN("-",TRUE,"ITD",Input!$A$2,A587)</f>
        <v>ITD-SHRXXX-XX586</v>
      </c>
      <c r="C587" s="2" t="str" cm="1">
        <f t="array" ref="C587">IFERROR(_xlfn.LET(
_xlpm.CSVVal,_xlfn.XLOOKUP($A587,CSV!$A:$A,CSV!B:B,""),
_xlpm.MacVal,_xlfn.XLOOKUP($A587,Output_Mac!$A:$A,Output_Mac!B:B,""),
_xlpm.MyAuditVal,_xlfn.XLOOKUP($A587,My_Audit!$A:$A,My_Audit!B:B,""),
_xlfn.IFS(_xlpm.MyAuditVal&lt;&gt;"",UPPER(_xlpm.MyAuditVal),_xlpm.MacVal&lt;&gt;"",_xlpm.MacVal,_xlpm.CSVVal&lt;&gt;"",_xlpm.CSVVal
)),"")</f>
        <v/>
      </c>
      <c r="D587" s="2" t="str" cm="1">
        <f t="array" ref="D587">IFERROR(_xlfn.LET(
_xlpm.CSVVal,_xlfn.XLOOKUP($A587,CSV!$A:$A,CSV!D:D,""),
_xlpm.MacVal,_xlfn.XLOOKUP($A587,Output_Mac!$A:$A,Output_Mac!C:C,""),
_xlpm.MyAuditVal,_xlfn.XLOOKUP($A587,My_Audit!$A:$A,My_Audit!C:C,""),
_xlfn.IFS(_xlpm.MyAuditVal&lt;&gt;"",_xlpm.MyAuditVal,_xlpm.MacVal&lt;&gt;"",_xlpm.MacVal,_xlpm.CSVVal&lt;&gt;"",_xlpm.CSVVal
)),"")</f>
        <v/>
      </c>
      <c r="E587" s="2" t="str">
        <f>_xlfn.XLOOKUP(A587,My_Audit!A:A,My_Audit!D:D,"")&amp;""</f>
        <v/>
      </c>
      <c r="F587" s="2" t="str" cm="1">
        <f t="array" ref="F587">IFERROR(_xlfn.LET(
_xlpm.CSVVal,_xlfn.XLOOKUP($A587,CSV!$A:$A,CSV!F:F,""),
_xlpm.MacVal,_xlfn.XLOOKUP($A587,Output_Mac!$A:$A,Output_Mac!E:E,""),
_xlpm.MyAuditVal,_xlfn.XLOOKUP($A587,My_Audit!$A:$A,My_Audit!E:E,""),
_xlfn.IFS(_xlpm.MyAuditVal&lt;&gt;"",_xlpm.MyAuditVal,_xlpm.MacVal&lt;&gt;"",_xlpm.MacVal,_xlpm.CSVVal&lt;&gt;"",_xlpm.CSVVal
)),"")</f>
        <v/>
      </c>
      <c r="G587" s="2" t="str" cm="1">
        <f t="array" ref="G587">IFERROR(_xlfn.LET(
_xlpm.CSVVal,_xlfn.XLOOKUP($A587,CSV!$A:$A,CSV!G:G,""),
_xlpm.MacVal,_xlfn.XLOOKUP($A587,Output_Mac!$A:$A,Output_Mac!F:F,""),
_xlpm.MyAuditVal,_xlfn.XLOOKUP($A587,My_Audit!$A:$A,My_Audit!F:F,""),
_xlfn.IFS(_xlpm.MyAuditVal&lt;&gt;"",_xlpm.MyAuditVal,_xlpm.MacVal&lt;&gt;"",_xlpm.MacVal,_xlpm.CSVVal&lt;&gt;"",PROPER(_xlpm.CSVVal)
)),"")</f>
        <v/>
      </c>
      <c r="H587" s="2" t="str" cm="1">
        <f t="array" ref="H587">IFERROR(_xlfn.LET(
_xlpm.CSVVal,_xlfn.XLOOKUP($A587,CSV!$A:$A,CSV!H:H,""),
_xlpm.MacVal,_xlfn.XLOOKUP($A587,Output_Mac!$A:$A,Output_Mac!H:H,""),
_xlpm.MyAuditVal,_xlfn.XLOOKUP($A587,My_Audit!$A:$A,My_Audit!G:G,""),
_xlfn.IFS(_xlpm.MyAuditVal&lt;&gt;"",_xlpm.MyAuditVal,_xlpm.MacVal&lt;&gt;"",_xlpm.MacVal,_xlpm.CSVVal&lt;&gt;"",_xlpm.CSVVal
)),"")</f>
        <v/>
      </c>
      <c r="I587" s="2" t="str">
        <f>_xlfn.XLOOKUP(A587,Output_Mac!A:A,Output_Mac!I:I,"")</f>
        <v/>
      </c>
      <c r="J587" s="2" t="str" cm="1">
        <f t="array" ref="J587">IFERROR(_xlfn.LET(
_xlpm.CSVVal,_xlfn.XLOOKUP($A587,CSV!$A:$A,CSV!I:I,""),
_xlpm.MacVal,_xlfn.XLOOKUP($A587,Output_Mac!$A:$A,Output_Mac!J:J,""),
_xlpm.MyAuditVal,_xlfn.XLOOKUP($A587,My_Audit!$A:$A,My_Audit!I:I,""),
_xlfn.IFS(_xlpm.MyAuditVal&lt;&gt;"",UPPER(_xlpm.MyAuditVal),_xlpm.MacVal&lt;&gt;"",_xlpm.MacVal,_xlpm.CSVVal&lt;&gt;"",_xlpm.CSVVal
)),"")</f>
        <v/>
      </c>
      <c r="K587" s="2" t="str" cm="1">
        <f t="array" ref="K587">IFERROR(_xlfn.LET(
_xlpm.CSVVal,_xlfn.XLOOKUP($A587,CSV!$A:$A,CSV!K:K,""),
_xlpm.MacVal,_xlfn.XLOOKUP($A587,Output_Mac!$A:$A,Output_Mac!K:K,""),
_xlpm.MyAuditVal,_xlfn.XLOOKUP($A587,My_Audit!$A:$A,My_Audit!J:J,""),
_xlfn.IFS(_xlpm.MyAuditVal&lt;&gt;"",UPPER(_xlpm.MyAuditVal),_xlpm.MacVal&lt;&gt;"",_xlpm.MacVal,_xlpm.CSVVal&lt;&gt;"",_xlpm.CSVVal
)),"")</f>
        <v/>
      </c>
      <c r="L587" s="2" t="str" cm="1">
        <f t="array" ref="L587">IFERROR(_xlfn.LET(
_xlpm.CSVVal,_xlfn.XLOOKUP($A587,CSV!$A:$A,CSV!P:P,""),
_xlpm.MacVal,_xlfn.XLOOKUP($A587,Output_Mac!$A:$A,Output_Mac!L:L,""),
_xlpm.MyAuditVal,_xlfn.XLOOKUP($A587,My_Audit!$A:$A,My_Audit!K:K,""),
_xlfn.IFS(_xlpm.MyAuditVal&lt;&gt;"",UPPER(_xlpm.MyAuditVal),_xlpm.MacVal&lt;&gt;"",_xlpm.MacVal,_xlpm.CSVVal&lt;&gt;"",_xlpm.CSVVal
)),"")</f>
        <v/>
      </c>
      <c r="M587" s="2" t="str" cm="1">
        <f t="array" ref="M587">IFERROR(_xlfn.LET(
_xlpm.CSVVal,_xlfn.XLOOKUP($A587,CSV!$A:$A,CSV!Q:Q,""),
_xlpm.MacVal,_xlfn.XLOOKUP($A587,Output_Mac!$A:$A,Output_Mac!M:M,""),
_xlpm.MyAuditVal,_xlfn.XLOOKUP($A587,My_Audit!$A:$A,My_Audit!L:L,""),
_xlfn.IFS(_xlpm.MyAuditVal&lt;&gt;"",UPPER(_xlpm.MyAuditVal),_xlpm.MacVal&lt;&gt;"",_xlpm.MacVal,_xlpm.CSVVal&lt;&gt;"",_xlpm.CSVVal
)),"")</f>
        <v/>
      </c>
      <c r="O587" s="2" t="str">
        <f>_xlfn.LET(
    _xlpm.CSVVal, _xlfn.XLOOKUP($A587, CSV!$A:$A, CSV!AF:AF, ""),
    _xlpm.MacVal, _xlfn.XLOOKUP($A587, Output_Mac!$A:$A, Output_Mac!S:S, ""),
    _xlpm.MyAuditVal, _xlfn.XLOOKUP($A587, My_Audit!$A:$A, My_Audit!P:P, ""),
    _xlfn.TEXTJOIN(", ", TRUE, _xlpm.MyAuditVal, _xlpm.MacVal, _xlpm.CSVVal)
)</f>
        <v/>
      </c>
      <c r="P587" s="2" t="str" cm="1">
        <f t="array" ref="P587">IFERROR(_xlfn.LET(
_xlpm.CSVVal,_xlfn.XLOOKUP($A587,CSV!$A:$A,CSV!AG:AG,""),
_xlpm.MacVal,_xlfn.XLOOKUP($A587,Output_Mac!$A:$A,Output_Mac!T:T,""),
_xlpm.MyAuditVal,_xlfn.XLOOKUP($A587,My_Audit!$A:$A,My_Audit!Q:Q,""),
_xlfn.IFS(_xlpm.MyAuditVal&lt;&gt;"",UPPER(_xlpm.MyAuditVal),_xlpm.MacVal&lt;&gt;"",_xlpm.MacVal,_xlpm.CSVVal&lt;&gt;"",_xlpm.CSVVal
)),"No")</f>
        <v>No</v>
      </c>
      <c r="Q587" s="2" t="str" cm="1">
        <f t="array" ref="Q587">IFERROR(_xlfn.LET(
_xlpm.CSVVal,_xlfn.XLOOKUP($A587,CSV!$A:$A,CSV!AH:AH,""),
_xlpm.MacVal,_xlfn.XLOOKUP($A587,Output_Mac!$A:$A,Output_Mac!U:U,""),
_xlpm.MyAuditVal,_xlfn.XLOOKUP($A587,My_Audit!$A:$A,My_Audit!R:R,""),
_xlfn.IFS(_xlpm.MyAuditVal&lt;&gt;"",UPPER(_xlpm.MyAuditVal),_xlpm.MacVal&lt;&gt;"",_xlpm.MacVal,_xlpm.CSVVal&lt;&gt;"",_xlpm.CSVVal
)),"")</f>
        <v/>
      </c>
    </row>
    <row r="588" spans="1:17">
      <c r="A588" s="2" t="str">
        <f>_xlfn.TEXTJOIN("",TRUE,Input!$B$2,ROW(My_Audit!A587))</f>
        <v>XX587</v>
      </c>
      <c r="B588" s="2" t="str">
        <f>_xlfn.TEXTJOIN("-",TRUE,"ITD",Input!$A$2,A588)</f>
        <v>ITD-SHRXXX-XX587</v>
      </c>
      <c r="C588" s="2" t="str" cm="1">
        <f t="array" ref="C588">IFERROR(_xlfn.LET(
_xlpm.CSVVal,_xlfn.XLOOKUP($A588,CSV!$A:$A,CSV!B:B,""),
_xlpm.MacVal,_xlfn.XLOOKUP($A588,Output_Mac!$A:$A,Output_Mac!B:B,""),
_xlpm.MyAuditVal,_xlfn.XLOOKUP($A588,My_Audit!$A:$A,My_Audit!B:B,""),
_xlfn.IFS(_xlpm.MyAuditVal&lt;&gt;"",UPPER(_xlpm.MyAuditVal),_xlpm.MacVal&lt;&gt;"",_xlpm.MacVal,_xlpm.CSVVal&lt;&gt;"",_xlpm.CSVVal
)),"")</f>
        <v/>
      </c>
      <c r="D588" s="2" t="str" cm="1">
        <f t="array" ref="D588">IFERROR(_xlfn.LET(
_xlpm.CSVVal,_xlfn.XLOOKUP($A588,CSV!$A:$A,CSV!D:D,""),
_xlpm.MacVal,_xlfn.XLOOKUP($A588,Output_Mac!$A:$A,Output_Mac!C:C,""),
_xlpm.MyAuditVal,_xlfn.XLOOKUP($A588,My_Audit!$A:$A,My_Audit!C:C,""),
_xlfn.IFS(_xlpm.MyAuditVal&lt;&gt;"",_xlpm.MyAuditVal,_xlpm.MacVal&lt;&gt;"",_xlpm.MacVal,_xlpm.CSVVal&lt;&gt;"",_xlpm.CSVVal
)),"")</f>
        <v/>
      </c>
      <c r="E588" s="2" t="str">
        <f>_xlfn.XLOOKUP(A588,My_Audit!A:A,My_Audit!D:D,"")&amp;""</f>
        <v/>
      </c>
      <c r="F588" s="2" t="str" cm="1">
        <f t="array" ref="F588">IFERROR(_xlfn.LET(
_xlpm.CSVVal,_xlfn.XLOOKUP($A588,CSV!$A:$A,CSV!F:F,""),
_xlpm.MacVal,_xlfn.XLOOKUP($A588,Output_Mac!$A:$A,Output_Mac!E:E,""),
_xlpm.MyAuditVal,_xlfn.XLOOKUP($A588,My_Audit!$A:$A,My_Audit!E:E,""),
_xlfn.IFS(_xlpm.MyAuditVal&lt;&gt;"",_xlpm.MyAuditVal,_xlpm.MacVal&lt;&gt;"",_xlpm.MacVal,_xlpm.CSVVal&lt;&gt;"",_xlpm.CSVVal
)),"")</f>
        <v/>
      </c>
      <c r="G588" s="2" t="str" cm="1">
        <f t="array" ref="G588">IFERROR(_xlfn.LET(
_xlpm.CSVVal,_xlfn.XLOOKUP($A588,CSV!$A:$A,CSV!G:G,""),
_xlpm.MacVal,_xlfn.XLOOKUP($A588,Output_Mac!$A:$A,Output_Mac!F:F,""),
_xlpm.MyAuditVal,_xlfn.XLOOKUP($A588,My_Audit!$A:$A,My_Audit!F:F,""),
_xlfn.IFS(_xlpm.MyAuditVal&lt;&gt;"",_xlpm.MyAuditVal,_xlpm.MacVal&lt;&gt;"",_xlpm.MacVal,_xlpm.CSVVal&lt;&gt;"",PROPER(_xlpm.CSVVal)
)),"")</f>
        <v/>
      </c>
      <c r="H588" s="2" t="str" cm="1">
        <f t="array" ref="H588">IFERROR(_xlfn.LET(
_xlpm.CSVVal,_xlfn.XLOOKUP($A588,CSV!$A:$A,CSV!H:H,""),
_xlpm.MacVal,_xlfn.XLOOKUP($A588,Output_Mac!$A:$A,Output_Mac!H:H,""),
_xlpm.MyAuditVal,_xlfn.XLOOKUP($A588,My_Audit!$A:$A,My_Audit!G:G,""),
_xlfn.IFS(_xlpm.MyAuditVal&lt;&gt;"",_xlpm.MyAuditVal,_xlpm.MacVal&lt;&gt;"",_xlpm.MacVal,_xlpm.CSVVal&lt;&gt;"",_xlpm.CSVVal
)),"")</f>
        <v/>
      </c>
      <c r="I588" s="2" t="str">
        <f>_xlfn.XLOOKUP(A588,Output_Mac!A:A,Output_Mac!I:I,"")</f>
        <v/>
      </c>
      <c r="J588" s="2" t="str" cm="1">
        <f t="array" ref="J588">IFERROR(_xlfn.LET(
_xlpm.CSVVal,_xlfn.XLOOKUP($A588,CSV!$A:$A,CSV!I:I,""),
_xlpm.MacVal,_xlfn.XLOOKUP($A588,Output_Mac!$A:$A,Output_Mac!J:J,""),
_xlpm.MyAuditVal,_xlfn.XLOOKUP($A588,My_Audit!$A:$A,My_Audit!I:I,""),
_xlfn.IFS(_xlpm.MyAuditVal&lt;&gt;"",UPPER(_xlpm.MyAuditVal),_xlpm.MacVal&lt;&gt;"",_xlpm.MacVal,_xlpm.CSVVal&lt;&gt;"",_xlpm.CSVVal
)),"")</f>
        <v/>
      </c>
      <c r="K588" s="2" t="str" cm="1">
        <f t="array" ref="K588">IFERROR(_xlfn.LET(
_xlpm.CSVVal,_xlfn.XLOOKUP($A588,CSV!$A:$A,CSV!K:K,""),
_xlpm.MacVal,_xlfn.XLOOKUP($A588,Output_Mac!$A:$A,Output_Mac!K:K,""),
_xlpm.MyAuditVal,_xlfn.XLOOKUP($A588,My_Audit!$A:$A,My_Audit!J:J,""),
_xlfn.IFS(_xlpm.MyAuditVal&lt;&gt;"",UPPER(_xlpm.MyAuditVal),_xlpm.MacVal&lt;&gt;"",_xlpm.MacVal,_xlpm.CSVVal&lt;&gt;"",_xlpm.CSVVal
)),"")</f>
        <v/>
      </c>
      <c r="L588" s="2" t="str" cm="1">
        <f t="array" ref="L588">IFERROR(_xlfn.LET(
_xlpm.CSVVal,_xlfn.XLOOKUP($A588,CSV!$A:$A,CSV!P:P,""),
_xlpm.MacVal,_xlfn.XLOOKUP($A588,Output_Mac!$A:$A,Output_Mac!L:L,""),
_xlpm.MyAuditVal,_xlfn.XLOOKUP($A588,My_Audit!$A:$A,My_Audit!K:K,""),
_xlfn.IFS(_xlpm.MyAuditVal&lt;&gt;"",UPPER(_xlpm.MyAuditVal),_xlpm.MacVal&lt;&gt;"",_xlpm.MacVal,_xlpm.CSVVal&lt;&gt;"",_xlpm.CSVVal
)),"")</f>
        <v/>
      </c>
      <c r="M588" s="2" t="str" cm="1">
        <f t="array" ref="M588">IFERROR(_xlfn.LET(
_xlpm.CSVVal,_xlfn.XLOOKUP($A588,CSV!$A:$A,CSV!Q:Q,""),
_xlpm.MacVal,_xlfn.XLOOKUP($A588,Output_Mac!$A:$A,Output_Mac!M:M,""),
_xlpm.MyAuditVal,_xlfn.XLOOKUP($A588,My_Audit!$A:$A,My_Audit!L:L,""),
_xlfn.IFS(_xlpm.MyAuditVal&lt;&gt;"",UPPER(_xlpm.MyAuditVal),_xlpm.MacVal&lt;&gt;"",_xlpm.MacVal,_xlpm.CSVVal&lt;&gt;"",_xlpm.CSVVal
)),"")</f>
        <v/>
      </c>
      <c r="O588" s="2" t="str">
        <f>_xlfn.LET(
    _xlpm.CSVVal, _xlfn.XLOOKUP($A588, CSV!$A:$A, CSV!AF:AF, ""),
    _xlpm.MacVal, _xlfn.XLOOKUP($A588, Output_Mac!$A:$A, Output_Mac!S:S, ""),
    _xlpm.MyAuditVal, _xlfn.XLOOKUP($A588, My_Audit!$A:$A, My_Audit!P:P, ""),
    _xlfn.TEXTJOIN(", ", TRUE, _xlpm.MyAuditVal, _xlpm.MacVal, _xlpm.CSVVal)
)</f>
        <v/>
      </c>
      <c r="P588" s="2" t="str" cm="1">
        <f t="array" ref="P588">IFERROR(_xlfn.LET(
_xlpm.CSVVal,_xlfn.XLOOKUP($A588,CSV!$A:$A,CSV!AG:AG,""),
_xlpm.MacVal,_xlfn.XLOOKUP($A588,Output_Mac!$A:$A,Output_Mac!T:T,""),
_xlpm.MyAuditVal,_xlfn.XLOOKUP($A588,My_Audit!$A:$A,My_Audit!Q:Q,""),
_xlfn.IFS(_xlpm.MyAuditVal&lt;&gt;"",UPPER(_xlpm.MyAuditVal),_xlpm.MacVal&lt;&gt;"",_xlpm.MacVal,_xlpm.CSVVal&lt;&gt;"",_xlpm.CSVVal
)),"No")</f>
        <v>No</v>
      </c>
      <c r="Q588" s="2" t="str" cm="1">
        <f t="array" ref="Q588">IFERROR(_xlfn.LET(
_xlpm.CSVVal,_xlfn.XLOOKUP($A588,CSV!$A:$A,CSV!AH:AH,""),
_xlpm.MacVal,_xlfn.XLOOKUP($A588,Output_Mac!$A:$A,Output_Mac!U:U,""),
_xlpm.MyAuditVal,_xlfn.XLOOKUP($A588,My_Audit!$A:$A,My_Audit!R:R,""),
_xlfn.IFS(_xlpm.MyAuditVal&lt;&gt;"",UPPER(_xlpm.MyAuditVal),_xlpm.MacVal&lt;&gt;"",_xlpm.MacVal,_xlpm.CSVVal&lt;&gt;"",_xlpm.CSVVal
)),"")</f>
        <v/>
      </c>
    </row>
    <row r="589" spans="1:17">
      <c r="A589" s="2" t="str">
        <f>_xlfn.TEXTJOIN("",TRUE,Input!$B$2,ROW(My_Audit!A588))</f>
        <v>XX588</v>
      </c>
      <c r="B589" s="2" t="str">
        <f>_xlfn.TEXTJOIN("-",TRUE,"ITD",Input!$A$2,A589)</f>
        <v>ITD-SHRXXX-XX588</v>
      </c>
      <c r="C589" s="2" t="str" cm="1">
        <f t="array" ref="C589">IFERROR(_xlfn.LET(
_xlpm.CSVVal,_xlfn.XLOOKUP($A589,CSV!$A:$A,CSV!B:B,""),
_xlpm.MacVal,_xlfn.XLOOKUP($A589,Output_Mac!$A:$A,Output_Mac!B:B,""),
_xlpm.MyAuditVal,_xlfn.XLOOKUP($A589,My_Audit!$A:$A,My_Audit!B:B,""),
_xlfn.IFS(_xlpm.MyAuditVal&lt;&gt;"",UPPER(_xlpm.MyAuditVal),_xlpm.MacVal&lt;&gt;"",_xlpm.MacVal,_xlpm.CSVVal&lt;&gt;"",_xlpm.CSVVal
)),"")</f>
        <v/>
      </c>
      <c r="D589" s="2" t="str" cm="1">
        <f t="array" ref="D589">IFERROR(_xlfn.LET(
_xlpm.CSVVal,_xlfn.XLOOKUP($A589,CSV!$A:$A,CSV!D:D,""),
_xlpm.MacVal,_xlfn.XLOOKUP($A589,Output_Mac!$A:$A,Output_Mac!C:C,""),
_xlpm.MyAuditVal,_xlfn.XLOOKUP($A589,My_Audit!$A:$A,My_Audit!C:C,""),
_xlfn.IFS(_xlpm.MyAuditVal&lt;&gt;"",_xlpm.MyAuditVal,_xlpm.MacVal&lt;&gt;"",_xlpm.MacVal,_xlpm.CSVVal&lt;&gt;"",_xlpm.CSVVal
)),"")</f>
        <v/>
      </c>
      <c r="E589" s="2" t="str">
        <f>_xlfn.XLOOKUP(A589,My_Audit!A:A,My_Audit!D:D,"")&amp;""</f>
        <v/>
      </c>
      <c r="F589" s="2" t="str" cm="1">
        <f t="array" ref="F589">IFERROR(_xlfn.LET(
_xlpm.CSVVal,_xlfn.XLOOKUP($A589,CSV!$A:$A,CSV!F:F,""),
_xlpm.MacVal,_xlfn.XLOOKUP($A589,Output_Mac!$A:$A,Output_Mac!E:E,""),
_xlpm.MyAuditVal,_xlfn.XLOOKUP($A589,My_Audit!$A:$A,My_Audit!E:E,""),
_xlfn.IFS(_xlpm.MyAuditVal&lt;&gt;"",_xlpm.MyAuditVal,_xlpm.MacVal&lt;&gt;"",_xlpm.MacVal,_xlpm.CSVVal&lt;&gt;"",_xlpm.CSVVal
)),"")</f>
        <v/>
      </c>
      <c r="G589" s="2" t="str" cm="1">
        <f t="array" ref="G589">IFERROR(_xlfn.LET(
_xlpm.CSVVal,_xlfn.XLOOKUP($A589,CSV!$A:$A,CSV!G:G,""),
_xlpm.MacVal,_xlfn.XLOOKUP($A589,Output_Mac!$A:$A,Output_Mac!F:F,""),
_xlpm.MyAuditVal,_xlfn.XLOOKUP($A589,My_Audit!$A:$A,My_Audit!F:F,""),
_xlfn.IFS(_xlpm.MyAuditVal&lt;&gt;"",_xlpm.MyAuditVal,_xlpm.MacVal&lt;&gt;"",_xlpm.MacVal,_xlpm.CSVVal&lt;&gt;"",PROPER(_xlpm.CSVVal)
)),"")</f>
        <v/>
      </c>
      <c r="H589" s="2" t="str" cm="1">
        <f t="array" ref="H589">IFERROR(_xlfn.LET(
_xlpm.CSVVal,_xlfn.XLOOKUP($A589,CSV!$A:$A,CSV!H:H,""),
_xlpm.MacVal,_xlfn.XLOOKUP($A589,Output_Mac!$A:$A,Output_Mac!H:H,""),
_xlpm.MyAuditVal,_xlfn.XLOOKUP($A589,My_Audit!$A:$A,My_Audit!G:G,""),
_xlfn.IFS(_xlpm.MyAuditVal&lt;&gt;"",_xlpm.MyAuditVal,_xlpm.MacVal&lt;&gt;"",_xlpm.MacVal,_xlpm.CSVVal&lt;&gt;"",_xlpm.CSVVal
)),"")</f>
        <v/>
      </c>
      <c r="I589" s="2" t="str">
        <f>_xlfn.XLOOKUP(A589,Output_Mac!A:A,Output_Mac!I:I,"")</f>
        <v/>
      </c>
      <c r="J589" s="2" t="str" cm="1">
        <f t="array" ref="J589">IFERROR(_xlfn.LET(
_xlpm.CSVVal,_xlfn.XLOOKUP($A589,CSV!$A:$A,CSV!I:I,""),
_xlpm.MacVal,_xlfn.XLOOKUP($A589,Output_Mac!$A:$A,Output_Mac!J:J,""),
_xlpm.MyAuditVal,_xlfn.XLOOKUP($A589,My_Audit!$A:$A,My_Audit!I:I,""),
_xlfn.IFS(_xlpm.MyAuditVal&lt;&gt;"",UPPER(_xlpm.MyAuditVal),_xlpm.MacVal&lt;&gt;"",_xlpm.MacVal,_xlpm.CSVVal&lt;&gt;"",_xlpm.CSVVal
)),"")</f>
        <v/>
      </c>
      <c r="K589" s="2" t="str" cm="1">
        <f t="array" ref="K589">IFERROR(_xlfn.LET(
_xlpm.CSVVal,_xlfn.XLOOKUP($A589,CSV!$A:$A,CSV!K:K,""),
_xlpm.MacVal,_xlfn.XLOOKUP($A589,Output_Mac!$A:$A,Output_Mac!K:K,""),
_xlpm.MyAuditVal,_xlfn.XLOOKUP($A589,My_Audit!$A:$A,My_Audit!J:J,""),
_xlfn.IFS(_xlpm.MyAuditVal&lt;&gt;"",UPPER(_xlpm.MyAuditVal),_xlpm.MacVal&lt;&gt;"",_xlpm.MacVal,_xlpm.CSVVal&lt;&gt;"",_xlpm.CSVVal
)),"")</f>
        <v/>
      </c>
      <c r="L589" s="2" t="str" cm="1">
        <f t="array" ref="L589">IFERROR(_xlfn.LET(
_xlpm.CSVVal,_xlfn.XLOOKUP($A589,CSV!$A:$A,CSV!P:P,""),
_xlpm.MacVal,_xlfn.XLOOKUP($A589,Output_Mac!$A:$A,Output_Mac!L:L,""),
_xlpm.MyAuditVal,_xlfn.XLOOKUP($A589,My_Audit!$A:$A,My_Audit!K:K,""),
_xlfn.IFS(_xlpm.MyAuditVal&lt;&gt;"",UPPER(_xlpm.MyAuditVal),_xlpm.MacVal&lt;&gt;"",_xlpm.MacVal,_xlpm.CSVVal&lt;&gt;"",_xlpm.CSVVal
)),"")</f>
        <v/>
      </c>
      <c r="M589" s="2" t="str" cm="1">
        <f t="array" ref="M589">IFERROR(_xlfn.LET(
_xlpm.CSVVal,_xlfn.XLOOKUP($A589,CSV!$A:$A,CSV!Q:Q,""),
_xlpm.MacVal,_xlfn.XLOOKUP($A589,Output_Mac!$A:$A,Output_Mac!M:M,""),
_xlpm.MyAuditVal,_xlfn.XLOOKUP($A589,My_Audit!$A:$A,My_Audit!L:L,""),
_xlfn.IFS(_xlpm.MyAuditVal&lt;&gt;"",UPPER(_xlpm.MyAuditVal),_xlpm.MacVal&lt;&gt;"",_xlpm.MacVal,_xlpm.CSVVal&lt;&gt;"",_xlpm.CSVVal
)),"")</f>
        <v/>
      </c>
      <c r="O589" s="2" t="str">
        <f>_xlfn.LET(
    _xlpm.CSVVal, _xlfn.XLOOKUP($A589, CSV!$A:$A, CSV!AF:AF, ""),
    _xlpm.MacVal, _xlfn.XLOOKUP($A589, Output_Mac!$A:$A, Output_Mac!S:S, ""),
    _xlpm.MyAuditVal, _xlfn.XLOOKUP($A589, My_Audit!$A:$A, My_Audit!P:P, ""),
    _xlfn.TEXTJOIN(", ", TRUE, _xlpm.MyAuditVal, _xlpm.MacVal, _xlpm.CSVVal)
)</f>
        <v/>
      </c>
      <c r="P589" s="2" t="str" cm="1">
        <f t="array" ref="P589">IFERROR(_xlfn.LET(
_xlpm.CSVVal,_xlfn.XLOOKUP($A589,CSV!$A:$A,CSV!AG:AG,""),
_xlpm.MacVal,_xlfn.XLOOKUP($A589,Output_Mac!$A:$A,Output_Mac!T:T,""),
_xlpm.MyAuditVal,_xlfn.XLOOKUP($A589,My_Audit!$A:$A,My_Audit!Q:Q,""),
_xlfn.IFS(_xlpm.MyAuditVal&lt;&gt;"",UPPER(_xlpm.MyAuditVal),_xlpm.MacVal&lt;&gt;"",_xlpm.MacVal,_xlpm.CSVVal&lt;&gt;"",_xlpm.CSVVal
)),"No")</f>
        <v>No</v>
      </c>
      <c r="Q589" s="2" t="str" cm="1">
        <f t="array" ref="Q589">IFERROR(_xlfn.LET(
_xlpm.CSVVal,_xlfn.XLOOKUP($A589,CSV!$A:$A,CSV!AH:AH,""),
_xlpm.MacVal,_xlfn.XLOOKUP($A589,Output_Mac!$A:$A,Output_Mac!U:U,""),
_xlpm.MyAuditVal,_xlfn.XLOOKUP($A589,My_Audit!$A:$A,My_Audit!R:R,""),
_xlfn.IFS(_xlpm.MyAuditVal&lt;&gt;"",UPPER(_xlpm.MyAuditVal),_xlpm.MacVal&lt;&gt;"",_xlpm.MacVal,_xlpm.CSVVal&lt;&gt;"",_xlpm.CSVVal
)),"")</f>
        <v/>
      </c>
    </row>
    <row r="590" spans="1:17">
      <c r="A590" s="2" t="str">
        <f>_xlfn.TEXTJOIN("",TRUE,Input!$B$2,ROW(My_Audit!A589))</f>
        <v>XX589</v>
      </c>
      <c r="B590" s="2" t="str">
        <f>_xlfn.TEXTJOIN("-",TRUE,"ITD",Input!$A$2,A590)</f>
        <v>ITD-SHRXXX-XX589</v>
      </c>
      <c r="C590" s="2" t="str" cm="1">
        <f t="array" ref="C590">IFERROR(_xlfn.LET(
_xlpm.CSVVal,_xlfn.XLOOKUP($A590,CSV!$A:$A,CSV!B:B,""),
_xlpm.MacVal,_xlfn.XLOOKUP($A590,Output_Mac!$A:$A,Output_Mac!B:B,""),
_xlpm.MyAuditVal,_xlfn.XLOOKUP($A590,My_Audit!$A:$A,My_Audit!B:B,""),
_xlfn.IFS(_xlpm.MyAuditVal&lt;&gt;"",UPPER(_xlpm.MyAuditVal),_xlpm.MacVal&lt;&gt;"",_xlpm.MacVal,_xlpm.CSVVal&lt;&gt;"",_xlpm.CSVVal
)),"")</f>
        <v/>
      </c>
      <c r="D590" s="2" t="str" cm="1">
        <f t="array" ref="D590">IFERROR(_xlfn.LET(
_xlpm.CSVVal,_xlfn.XLOOKUP($A590,CSV!$A:$A,CSV!D:D,""),
_xlpm.MacVal,_xlfn.XLOOKUP($A590,Output_Mac!$A:$A,Output_Mac!C:C,""),
_xlpm.MyAuditVal,_xlfn.XLOOKUP($A590,My_Audit!$A:$A,My_Audit!C:C,""),
_xlfn.IFS(_xlpm.MyAuditVal&lt;&gt;"",_xlpm.MyAuditVal,_xlpm.MacVal&lt;&gt;"",_xlpm.MacVal,_xlpm.CSVVal&lt;&gt;"",_xlpm.CSVVal
)),"")</f>
        <v/>
      </c>
      <c r="E590" s="2" t="str">
        <f>_xlfn.XLOOKUP(A590,My_Audit!A:A,My_Audit!D:D,"")&amp;""</f>
        <v/>
      </c>
      <c r="F590" s="2" t="str" cm="1">
        <f t="array" ref="F590">IFERROR(_xlfn.LET(
_xlpm.CSVVal,_xlfn.XLOOKUP($A590,CSV!$A:$A,CSV!F:F,""),
_xlpm.MacVal,_xlfn.XLOOKUP($A590,Output_Mac!$A:$A,Output_Mac!E:E,""),
_xlpm.MyAuditVal,_xlfn.XLOOKUP($A590,My_Audit!$A:$A,My_Audit!E:E,""),
_xlfn.IFS(_xlpm.MyAuditVal&lt;&gt;"",_xlpm.MyAuditVal,_xlpm.MacVal&lt;&gt;"",_xlpm.MacVal,_xlpm.CSVVal&lt;&gt;"",_xlpm.CSVVal
)),"")</f>
        <v/>
      </c>
      <c r="G590" s="2" t="str" cm="1">
        <f t="array" ref="G590">IFERROR(_xlfn.LET(
_xlpm.CSVVal,_xlfn.XLOOKUP($A590,CSV!$A:$A,CSV!G:G,""),
_xlpm.MacVal,_xlfn.XLOOKUP($A590,Output_Mac!$A:$A,Output_Mac!F:F,""),
_xlpm.MyAuditVal,_xlfn.XLOOKUP($A590,My_Audit!$A:$A,My_Audit!F:F,""),
_xlfn.IFS(_xlpm.MyAuditVal&lt;&gt;"",_xlpm.MyAuditVal,_xlpm.MacVal&lt;&gt;"",_xlpm.MacVal,_xlpm.CSVVal&lt;&gt;"",PROPER(_xlpm.CSVVal)
)),"")</f>
        <v/>
      </c>
      <c r="H590" s="2" t="str" cm="1">
        <f t="array" ref="H590">IFERROR(_xlfn.LET(
_xlpm.CSVVal,_xlfn.XLOOKUP($A590,CSV!$A:$A,CSV!H:H,""),
_xlpm.MacVal,_xlfn.XLOOKUP($A590,Output_Mac!$A:$A,Output_Mac!H:H,""),
_xlpm.MyAuditVal,_xlfn.XLOOKUP($A590,My_Audit!$A:$A,My_Audit!G:G,""),
_xlfn.IFS(_xlpm.MyAuditVal&lt;&gt;"",_xlpm.MyAuditVal,_xlpm.MacVal&lt;&gt;"",_xlpm.MacVal,_xlpm.CSVVal&lt;&gt;"",_xlpm.CSVVal
)),"")</f>
        <v/>
      </c>
      <c r="I590" s="2" t="str">
        <f>_xlfn.XLOOKUP(A590,Output_Mac!A:A,Output_Mac!I:I,"")</f>
        <v/>
      </c>
      <c r="J590" s="2" t="str" cm="1">
        <f t="array" ref="J590">IFERROR(_xlfn.LET(
_xlpm.CSVVal,_xlfn.XLOOKUP($A590,CSV!$A:$A,CSV!I:I,""),
_xlpm.MacVal,_xlfn.XLOOKUP($A590,Output_Mac!$A:$A,Output_Mac!J:J,""),
_xlpm.MyAuditVal,_xlfn.XLOOKUP($A590,My_Audit!$A:$A,My_Audit!I:I,""),
_xlfn.IFS(_xlpm.MyAuditVal&lt;&gt;"",UPPER(_xlpm.MyAuditVal),_xlpm.MacVal&lt;&gt;"",_xlpm.MacVal,_xlpm.CSVVal&lt;&gt;"",_xlpm.CSVVal
)),"")</f>
        <v/>
      </c>
      <c r="K590" s="2" t="str" cm="1">
        <f t="array" ref="K590">IFERROR(_xlfn.LET(
_xlpm.CSVVal,_xlfn.XLOOKUP($A590,CSV!$A:$A,CSV!K:K,""),
_xlpm.MacVal,_xlfn.XLOOKUP($A590,Output_Mac!$A:$A,Output_Mac!K:K,""),
_xlpm.MyAuditVal,_xlfn.XLOOKUP($A590,My_Audit!$A:$A,My_Audit!J:J,""),
_xlfn.IFS(_xlpm.MyAuditVal&lt;&gt;"",UPPER(_xlpm.MyAuditVal),_xlpm.MacVal&lt;&gt;"",_xlpm.MacVal,_xlpm.CSVVal&lt;&gt;"",_xlpm.CSVVal
)),"")</f>
        <v/>
      </c>
      <c r="L590" s="2" t="str" cm="1">
        <f t="array" ref="L590">IFERROR(_xlfn.LET(
_xlpm.CSVVal,_xlfn.XLOOKUP($A590,CSV!$A:$A,CSV!P:P,""),
_xlpm.MacVal,_xlfn.XLOOKUP($A590,Output_Mac!$A:$A,Output_Mac!L:L,""),
_xlpm.MyAuditVal,_xlfn.XLOOKUP($A590,My_Audit!$A:$A,My_Audit!K:K,""),
_xlfn.IFS(_xlpm.MyAuditVal&lt;&gt;"",UPPER(_xlpm.MyAuditVal),_xlpm.MacVal&lt;&gt;"",_xlpm.MacVal,_xlpm.CSVVal&lt;&gt;"",_xlpm.CSVVal
)),"")</f>
        <v/>
      </c>
      <c r="M590" s="2" t="str" cm="1">
        <f t="array" ref="M590">IFERROR(_xlfn.LET(
_xlpm.CSVVal,_xlfn.XLOOKUP($A590,CSV!$A:$A,CSV!Q:Q,""),
_xlpm.MacVal,_xlfn.XLOOKUP($A590,Output_Mac!$A:$A,Output_Mac!M:M,""),
_xlpm.MyAuditVal,_xlfn.XLOOKUP($A590,My_Audit!$A:$A,My_Audit!L:L,""),
_xlfn.IFS(_xlpm.MyAuditVal&lt;&gt;"",UPPER(_xlpm.MyAuditVal),_xlpm.MacVal&lt;&gt;"",_xlpm.MacVal,_xlpm.CSVVal&lt;&gt;"",_xlpm.CSVVal
)),"")</f>
        <v/>
      </c>
      <c r="O590" s="2" t="str">
        <f>_xlfn.LET(
    _xlpm.CSVVal, _xlfn.XLOOKUP($A590, CSV!$A:$A, CSV!AF:AF, ""),
    _xlpm.MacVal, _xlfn.XLOOKUP($A590, Output_Mac!$A:$A, Output_Mac!S:S, ""),
    _xlpm.MyAuditVal, _xlfn.XLOOKUP($A590, My_Audit!$A:$A, My_Audit!P:P, ""),
    _xlfn.TEXTJOIN(", ", TRUE, _xlpm.MyAuditVal, _xlpm.MacVal, _xlpm.CSVVal)
)</f>
        <v/>
      </c>
      <c r="P590" s="2" t="str" cm="1">
        <f t="array" ref="P590">IFERROR(_xlfn.LET(
_xlpm.CSVVal,_xlfn.XLOOKUP($A590,CSV!$A:$A,CSV!AG:AG,""),
_xlpm.MacVal,_xlfn.XLOOKUP($A590,Output_Mac!$A:$A,Output_Mac!T:T,""),
_xlpm.MyAuditVal,_xlfn.XLOOKUP($A590,My_Audit!$A:$A,My_Audit!Q:Q,""),
_xlfn.IFS(_xlpm.MyAuditVal&lt;&gt;"",UPPER(_xlpm.MyAuditVal),_xlpm.MacVal&lt;&gt;"",_xlpm.MacVal,_xlpm.CSVVal&lt;&gt;"",_xlpm.CSVVal
)),"No")</f>
        <v>No</v>
      </c>
      <c r="Q590" s="2" t="str" cm="1">
        <f t="array" ref="Q590">IFERROR(_xlfn.LET(
_xlpm.CSVVal,_xlfn.XLOOKUP($A590,CSV!$A:$A,CSV!AH:AH,""),
_xlpm.MacVal,_xlfn.XLOOKUP($A590,Output_Mac!$A:$A,Output_Mac!U:U,""),
_xlpm.MyAuditVal,_xlfn.XLOOKUP($A590,My_Audit!$A:$A,My_Audit!R:R,""),
_xlfn.IFS(_xlpm.MyAuditVal&lt;&gt;"",UPPER(_xlpm.MyAuditVal),_xlpm.MacVal&lt;&gt;"",_xlpm.MacVal,_xlpm.CSVVal&lt;&gt;"",_xlpm.CSVVal
)),"")</f>
        <v/>
      </c>
    </row>
    <row r="591" spans="1:17">
      <c r="A591" s="2" t="str">
        <f>_xlfn.TEXTJOIN("",TRUE,Input!$B$2,ROW(My_Audit!A590))</f>
        <v>XX590</v>
      </c>
      <c r="B591" s="2" t="str">
        <f>_xlfn.TEXTJOIN("-",TRUE,"ITD",Input!$A$2,A591)</f>
        <v>ITD-SHRXXX-XX590</v>
      </c>
      <c r="C591" s="2" t="str" cm="1">
        <f t="array" ref="C591">IFERROR(_xlfn.LET(
_xlpm.CSVVal,_xlfn.XLOOKUP($A591,CSV!$A:$A,CSV!B:B,""),
_xlpm.MacVal,_xlfn.XLOOKUP($A591,Output_Mac!$A:$A,Output_Mac!B:B,""),
_xlpm.MyAuditVal,_xlfn.XLOOKUP($A591,My_Audit!$A:$A,My_Audit!B:B,""),
_xlfn.IFS(_xlpm.MyAuditVal&lt;&gt;"",UPPER(_xlpm.MyAuditVal),_xlpm.MacVal&lt;&gt;"",_xlpm.MacVal,_xlpm.CSVVal&lt;&gt;"",_xlpm.CSVVal
)),"")</f>
        <v/>
      </c>
      <c r="D591" s="2" t="str" cm="1">
        <f t="array" ref="D591">IFERROR(_xlfn.LET(
_xlpm.CSVVal,_xlfn.XLOOKUP($A591,CSV!$A:$A,CSV!D:D,""),
_xlpm.MacVal,_xlfn.XLOOKUP($A591,Output_Mac!$A:$A,Output_Mac!C:C,""),
_xlpm.MyAuditVal,_xlfn.XLOOKUP($A591,My_Audit!$A:$A,My_Audit!C:C,""),
_xlfn.IFS(_xlpm.MyAuditVal&lt;&gt;"",_xlpm.MyAuditVal,_xlpm.MacVal&lt;&gt;"",_xlpm.MacVal,_xlpm.CSVVal&lt;&gt;"",_xlpm.CSVVal
)),"")</f>
        <v/>
      </c>
      <c r="E591" s="2" t="str">
        <f>_xlfn.XLOOKUP(A591,My_Audit!A:A,My_Audit!D:D,"")&amp;""</f>
        <v/>
      </c>
      <c r="F591" s="2" t="str" cm="1">
        <f t="array" ref="F591">IFERROR(_xlfn.LET(
_xlpm.CSVVal,_xlfn.XLOOKUP($A591,CSV!$A:$A,CSV!F:F,""),
_xlpm.MacVal,_xlfn.XLOOKUP($A591,Output_Mac!$A:$A,Output_Mac!E:E,""),
_xlpm.MyAuditVal,_xlfn.XLOOKUP($A591,My_Audit!$A:$A,My_Audit!E:E,""),
_xlfn.IFS(_xlpm.MyAuditVal&lt;&gt;"",_xlpm.MyAuditVal,_xlpm.MacVal&lt;&gt;"",_xlpm.MacVal,_xlpm.CSVVal&lt;&gt;"",_xlpm.CSVVal
)),"")</f>
        <v/>
      </c>
      <c r="G591" s="2" t="str" cm="1">
        <f t="array" ref="G591">IFERROR(_xlfn.LET(
_xlpm.CSVVal,_xlfn.XLOOKUP($A591,CSV!$A:$A,CSV!G:G,""),
_xlpm.MacVal,_xlfn.XLOOKUP($A591,Output_Mac!$A:$A,Output_Mac!F:F,""),
_xlpm.MyAuditVal,_xlfn.XLOOKUP($A591,My_Audit!$A:$A,My_Audit!F:F,""),
_xlfn.IFS(_xlpm.MyAuditVal&lt;&gt;"",_xlpm.MyAuditVal,_xlpm.MacVal&lt;&gt;"",_xlpm.MacVal,_xlpm.CSVVal&lt;&gt;"",PROPER(_xlpm.CSVVal)
)),"")</f>
        <v/>
      </c>
      <c r="H591" s="2" t="str" cm="1">
        <f t="array" ref="H591">IFERROR(_xlfn.LET(
_xlpm.CSVVal,_xlfn.XLOOKUP($A591,CSV!$A:$A,CSV!H:H,""),
_xlpm.MacVal,_xlfn.XLOOKUP($A591,Output_Mac!$A:$A,Output_Mac!H:H,""),
_xlpm.MyAuditVal,_xlfn.XLOOKUP($A591,My_Audit!$A:$A,My_Audit!G:G,""),
_xlfn.IFS(_xlpm.MyAuditVal&lt;&gt;"",_xlpm.MyAuditVal,_xlpm.MacVal&lt;&gt;"",_xlpm.MacVal,_xlpm.CSVVal&lt;&gt;"",_xlpm.CSVVal
)),"")</f>
        <v/>
      </c>
      <c r="I591" s="2" t="str">
        <f>_xlfn.XLOOKUP(A591,Output_Mac!A:A,Output_Mac!I:I,"")</f>
        <v/>
      </c>
      <c r="J591" s="2" t="str" cm="1">
        <f t="array" ref="J591">IFERROR(_xlfn.LET(
_xlpm.CSVVal,_xlfn.XLOOKUP($A591,CSV!$A:$A,CSV!I:I,""),
_xlpm.MacVal,_xlfn.XLOOKUP($A591,Output_Mac!$A:$A,Output_Mac!J:J,""),
_xlpm.MyAuditVal,_xlfn.XLOOKUP($A591,My_Audit!$A:$A,My_Audit!I:I,""),
_xlfn.IFS(_xlpm.MyAuditVal&lt;&gt;"",UPPER(_xlpm.MyAuditVal),_xlpm.MacVal&lt;&gt;"",_xlpm.MacVal,_xlpm.CSVVal&lt;&gt;"",_xlpm.CSVVal
)),"")</f>
        <v/>
      </c>
      <c r="K591" s="2" t="str" cm="1">
        <f t="array" ref="K591">IFERROR(_xlfn.LET(
_xlpm.CSVVal,_xlfn.XLOOKUP($A591,CSV!$A:$A,CSV!K:K,""),
_xlpm.MacVal,_xlfn.XLOOKUP($A591,Output_Mac!$A:$A,Output_Mac!K:K,""),
_xlpm.MyAuditVal,_xlfn.XLOOKUP($A591,My_Audit!$A:$A,My_Audit!J:J,""),
_xlfn.IFS(_xlpm.MyAuditVal&lt;&gt;"",UPPER(_xlpm.MyAuditVal),_xlpm.MacVal&lt;&gt;"",_xlpm.MacVal,_xlpm.CSVVal&lt;&gt;"",_xlpm.CSVVal
)),"")</f>
        <v/>
      </c>
      <c r="L591" s="2" t="str" cm="1">
        <f t="array" ref="L591">IFERROR(_xlfn.LET(
_xlpm.CSVVal,_xlfn.XLOOKUP($A591,CSV!$A:$A,CSV!P:P,""),
_xlpm.MacVal,_xlfn.XLOOKUP($A591,Output_Mac!$A:$A,Output_Mac!L:L,""),
_xlpm.MyAuditVal,_xlfn.XLOOKUP($A591,My_Audit!$A:$A,My_Audit!K:K,""),
_xlfn.IFS(_xlpm.MyAuditVal&lt;&gt;"",UPPER(_xlpm.MyAuditVal),_xlpm.MacVal&lt;&gt;"",_xlpm.MacVal,_xlpm.CSVVal&lt;&gt;"",_xlpm.CSVVal
)),"")</f>
        <v/>
      </c>
      <c r="M591" s="2" t="str" cm="1">
        <f t="array" ref="M591">IFERROR(_xlfn.LET(
_xlpm.CSVVal,_xlfn.XLOOKUP($A591,CSV!$A:$A,CSV!Q:Q,""),
_xlpm.MacVal,_xlfn.XLOOKUP($A591,Output_Mac!$A:$A,Output_Mac!M:M,""),
_xlpm.MyAuditVal,_xlfn.XLOOKUP($A591,My_Audit!$A:$A,My_Audit!L:L,""),
_xlfn.IFS(_xlpm.MyAuditVal&lt;&gt;"",UPPER(_xlpm.MyAuditVal),_xlpm.MacVal&lt;&gt;"",_xlpm.MacVal,_xlpm.CSVVal&lt;&gt;"",_xlpm.CSVVal
)),"")</f>
        <v/>
      </c>
      <c r="O591" s="2" t="str">
        <f>_xlfn.LET(
    _xlpm.CSVVal, _xlfn.XLOOKUP($A591, CSV!$A:$A, CSV!AF:AF, ""),
    _xlpm.MacVal, _xlfn.XLOOKUP($A591, Output_Mac!$A:$A, Output_Mac!S:S, ""),
    _xlpm.MyAuditVal, _xlfn.XLOOKUP($A591, My_Audit!$A:$A, My_Audit!P:P, ""),
    _xlfn.TEXTJOIN(", ", TRUE, _xlpm.MyAuditVal, _xlpm.MacVal, _xlpm.CSVVal)
)</f>
        <v/>
      </c>
      <c r="P591" s="2" t="str" cm="1">
        <f t="array" ref="P591">IFERROR(_xlfn.LET(
_xlpm.CSVVal,_xlfn.XLOOKUP($A591,CSV!$A:$A,CSV!AG:AG,""),
_xlpm.MacVal,_xlfn.XLOOKUP($A591,Output_Mac!$A:$A,Output_Mac!T:T,""),
_xlpm.MyAuditVal,_xlfn.XLOOKUP($A591,My_Audit!$A:$A,My_Audit!Q:Q,""),
_xlfn.IFS(_xlpm.MyAuditVal&lt;&gt;"",UPPER(_xlpm.MyAuditVal),_xlpm.MacVal&lt;&gt;"",_xlpm.MacVal,_xlpm.CSVVal&lt;&gt;"",_xlpm.CSVVal
)),"No")</f>
        <v>No</v>
      </c>
      <c r="Q591" s="2" t="str" cm="1">
        <f t="array" ref="Q591">IFERROR(_xlfn.LET(
_xlpm.CSVVal,_xlfn.XLOOKUP($A591,CSV!$A:$A,CSV!AH:AH,""),
_xlpm.MacVal,_xlfn.XLOOKUP($A591,Output_Mac!$A:$A,Output_Mac!U:U,""),
_xlpm.MyAuditVal,_xlfn.XLOOKUP($A591,My_Audit!$A:$A,My_Audit!R:R,""),
_xlfn.IFS(_xlpm.MyAuditVal&lt;&gt;"",UPPER(_xlpm.MyAuditVal),_xlpm.MacVal&lt;&gt;"",_xlpm.MacVal,_xlpm.CSVVal&lt;&gt;"",_xlpm.CSVVal
)),"")</f>
        <v/>
      </c>
    </row>
    <row r="592" spans="1:17">
      <c r="A592" s="2" t="str">
        <f>_xlfn.TEXTJOIN("",TRUE,Input!$B$2,ROW(My_Audit!A591))</f>
        <v>XX591</v>
      </c>
      <c r="B592" s="2" t="str">
        <f>_xlfn.TEXTJOIN("-",TRUE,"ITD",Input!$A$2,A592)</f>
        <v>ITD-SHRXXX-XX591</v>
      </c>
      <c r="C592" s="2" t="str" cm="1">
        <f t="array" ref="C592">IFERROR(_xlfn.LET(
_xlpm.CSVVal,_xlfn.XLOOKUP($A592,CSV!$A:$A,CSV!B:B,""),
_xlpm.MacVal,_xlfn.XLOOKUP($A592,Output_Mac!$A:$A,Output_Mac!B:B,""),
_xlpm.MyAuditVal,_xlfn.XLOOKUP($A592,My_Audit!$A:$A,My_Audit!B:B,""),
_xlfn.IFS(_xlpm.MyAuditVal&lt;&gt;"",UPPER(_xlpm.MyAuditVal),_xlpm.MacVal&lt;&gt;"",_xlpm.MacVal,_xlpm.CSVVal&lt;&gt;"",_xlpm.CSVVal
)),"")</f>
        <v/>
      </c>
      <c r="D592" s="2" t="str" cm="1">
        <f t="array" ref="D592">IFERROR(_xlfn.LET(
_xlpm.CSVVal,_xlfn.XLOOKUP($A592,CSV!$A:$A,CSV!D:D,""),
_xlpm.MacVal,_xlfn.XLOOKUP($A592,Output_Mac!$A:$A,Output_Mac!C:C,""),
_xlpm.MyAuditVal,_xlfn.XLOOKUP($A592,My_Audit!$A:$A,My_Audit!C:C,""),
_xlfn.IFS(_xlpm.MyAuditVal&lt;&gt;"",_xlpm.MyAuditVal,_xlpm.MacVal&lt;&gt;"",_xlpm.MacVal,_xlpm.CSVVal&lt;&gt;"",_xlpm.CSVVal
)),"")</f>
        <v/>
      </c>
      <c r="E592" s="2" t="str">
        <f>_xlfn.XLOOKUP(A592,My_Audit!A:A,My_Audit!D:D,"")&amp;""</f>
        <v/>
      </c>
      <c r="F592" s="2" t="str" cm="1">
        <f t="array" ref="F592">IFERROR(_xlfn.LET(
_xlpm.CSVVal,_xlfn.XLOOKUP($A592,CSV!$A:$A,CSV!F:F,""),
_xlpm.MacVal,_xlfn.XLOOKUP($A592,Output_Mac!$A:$A,Output_Mac!E:E,""),
_xlpm.MyAuditVal,_xlfn.XLOOKUP($A592,My_Audit!$A:$A,My_Audit!E:E,""),
_xlfn.IFS(_xlpm.MyAuditVal&lt;&gt;"",_xlpm.MyAuditVal,_xlpm.MacVal&lt;&gt;"",_xlpm.MacVal,_xlpm.CSVVal&lt;&gt;"",_xlpm.CSVVal
)),"")</f>
        <v/>
      </c>
      <c r="G592" s="2" t="str" cm="1">
        <f t="array" ref="G592">IFERROR(_xlfn.LET(
_xlpm.CSVVal,_xlfn.XLOOKUP($A592,CSV!$A:$A,CSV!G:G,""),
_xlpm.MacVal,_xlfn.XLOOKUP($A592,Output_Mac!$A:$A,Output_Mac!F:F,""),
_xlpm.MyAuditVal,_xlfn.XLOOKUP($A592,My_Audit!$A:$A,My_Audit!F:F,""),
_xlfn.IFS(_xlpm.MyAuditVal&lt;&gt;"",_xlpm.MyAuditVal,_xlpm.MacVal&lt;&gt;"",_xlpm.MacVal,_xlpm.CSVVal&lt;&gt;"",PROPER(_xlpm.CSVVal)
)),"")</f>
        <v/>
      </c>
      <c r="H592" s="2" t="str" cm="1">
        <f t="array" ref="H592">IFERROR(_xlfn.LET(
_xlpm.CSVVal,_xlfn.XLOOKUP($A592,CSV!$A:$A,CSV!H:H,""),
_xlpm.MacVal,_xlfn.XLOOKUP($A592,Output_Mac!$A:$A,Output_Mac!H:H,""),
_xlpm.MyAuditVal,_xlfn.XLOOKUP($A592,My_Audit!$A:$A,My_Audit!G:G,""),
_xlfn.IFS(_xlpm.MyAuditVal&lt;&gt;"",_xlpm.MyAuditVal,_xlpm.MacVal&lt;&gt;"",_xlpm.MacVal,_xlpm.CSVVal&lt;&gt;"",_xlpm.CSVVal
)),"")</f>
        <v/>
      </c>
      <c r="I592" s="2" t="str">
        <f>_xlfn.XLOOKUP(A592,Output_Mac!A:A,Output_Mac!I:I,"")</f>
        <v/>
      </c>
      <c r="J592" s="2" t="str" cm="1">
        <f t="array" ref="J592">IFERROR(_xlfn.LET(
_xlpm.CSVVal,_xlfn.XLOOKUP($A592,CSV!$A:$A,CSV!I:I,""),
_xlpm.MacVal,_xlfn.XLOOKUP($A592,Output_Mac!$A:$A,Output_Mac!J:J,""),
_xlpm.MyAuditVal,_xlfn.XLOOKUP($A592,My_Audit!$A:$A,My_Audit!I:I,""),
_xlfn.IFS(_xlpm.MyAuditVal&lt;&gt;"",UPPER(_xlpm.MyAuditVal),_xlpm.MacVal&lt;&gt;"",_xlpm.MacVal,_xlpm.CSVVal&lt;&gt;"",_xlpm.CSVVal
)),"")</f>
        <v/>
      </c>
      <c r="K592" s="2" t="str" cm="1">
        <f t="array" ref="K592">IFERROR(_xlfn.LET(
_xlpm.CSVVal,_xlfn.XLOOKUP($A592,CSV!$A:$A,CSV!K:K,""),
_xlpm.MacVal,_xlfn.XLOOKUP($A592,Output_Mac!$A:$A,Output_Mac!K:K,""),
_xlpm.MyAuditVal,_xlfn.XLOOKUP($A592,My_Audit!$A:$A,My_Audit!J:J,""),
_xlfn.IFS(_xlpm.MyAuditVal&lt;&gt;"",UPPER(_xlpm.MyAuditVal),_xlpm.MacVal&lt;&gt;"",_xlpm.MacVal,_xlpm.CSVVal&lt;&gt;"",_xlpm.CSVVal
)),"")</f>
        <v/>
      </c>
      <c r="L592" s="2" t="str" cm="1">
        <f t="array" ref="L592">IFERROR(_xlfn.LET(
_xlpm.CSVVal,_xlfn.XLOOKUP($A592,CSV!$A:$A,CSV!P:P,""),
_xlpm.MacVal,_xlfn.XLOOKUP($A592,Output_Mac!$A:$A,Output_Mac!L:L,""),
_xlpm.MyAuditVal,_xlfn.XLOOKUP($A592,My_Audit!$A:$A,My_Audit!K:K,""),
_xlfn.IFS(_xlpm.MyAuditVal&lt;&gt;"",UPPER(_xlpm.MyAuditVal),_xlpm.MacVal&lt;&gt;"",_xlpm.MacVal,_xlpm.CSVVal&lt;&gt;"",_xlpm.CSVVal
)),"")</f>
        <v/>
      </c>
      <c r="M592" s="2" t="str" cm="1">
        <f t="array" ref="M592">IFERROR(_xlfn.LET(
_xlpm.CSVVal,_xlfn.XLOOKUP($A592,CSV!$A:$A,CSV!Q:Q,""),
_xlpm.MacVal,_xlfn.XLOOKUP($A592,Output_Mac!$A:$A,Output_Mac!M:M,""),
_xlpm.MyAuditVal,_xlfn.XLOOKUP($A592,My_Audit!$A:$A,My_Audit!L:L,""),
_xlfn.IFS(_xlpm.MyAuditVal&lt;&gt;"",UPPER(_xlpm.MyAuditVal),_xlpm.MacVal&lt;&gt;"",_xlpm.MacVal,_xlpm.CSVVal&lt;&gt;"",_xlpm.CSVVal
)),"")</f>
        <v/>
      </c>
      <c r="O592" s="2" t="str">
        <f>_xlfn.LET(
    _xlpm.CSVVal, _xlfn.XLOOKUP($A592, CSV!$A:$A, CSV!AF:AF, ""),
    _xlpm.MacVal, _xlfn.XLOOKUP($A592, Output_Mac!$A:$A, Output_Mac!S:S, ""),
    _xlpm.MyAuditVal, _xlfn.XLOOKUP($A592, My_Audit!$A:$A, My_Audit!P:P, ""),
    _xlfn.TEXTJOIN(", ", TRUE, _xlpm.MyAuditVal, _xlpm.MacVal, _xlpm.CSVVal)
)</f>
        <v/>
      </c>
      <c r="P592" s="2" t="str" cm="1">
        <f t="array" ref="P592">IFERROR(_xlfn.LET(
_xlpm.CSVVal,_xlfn.XLOOKUP($A592,CSV!$A:$A,CSV!AG:AG,""),
_xlpm.MacVal,_xlfn.XLOOKUP($A592,Output_Mac!$A:$A,Output_Mac!T:T,""),
_xlpm.MyAuditVal,_xlfn.XLOOKUP($A592,My_Audit!$A:$A,My_Audit!Q:Q,""),
_xlfn.IFS(_xlpm.MyAuditVal&lt;&gt;"",UPPER(_xlpm.MyAuditVal),_xlpm.MacVal&lt;&gt;"",_xlpm.MacVal,_xlpm.CSVVal&lt;&gt;"",_xlpm.CSVVal
)),"No")</f>
        <v>No</v>
      </c>
      <c r="Q592" s="2" t="str" cm="1">
        <f t="array" ref="Q592">IFERROR(_xlfn.LET(
_xlpm.CSVVal,_xlfn.XLOOKUP($A592,CSV!$A:$A,CSV!AH:AH,""),
_xlpm.MacVal,_xlfn.XLOOKUP($A592,Output_Mac!$A:$A,Output_Mac!U:U,""),
_xlpm.MyAuditVal,_xlfn.XLOOKUP($A592,My_Audit!$A:$A,My_Audit!R:R,""),
_xlfn.IFS(_xlpm.MyAuditVal&lt;&gt;"",UPPER(_xlpm.MyAuditVal),_xlpm.MacVal&lt;&gt;"",_xlpm.MacVal,_xlpm.CSVVal&lt;&gt;"",_xlpm.CSVVal
)),"")</f>
        <v/>
      </c>
    </row>
    <row r="593" spans="1:17">
      <c r="A593" s="2" t="str">
        <f>_xlfn.TEXTJOIN("",TRUE,Input!$B$2,ROW(My_Audit!A592))</f>
        <v>XX592</v>
      </c>
      <c r="B593" s="2" t="str">
        <f>_xlfn.TEXTJOIN("-",TRUE,"ITD",Input!$A$2,A593)</f>
        <v>ITD-SHRXXX-XX592</v>
      </c>
      <c r="C593" s="2" t="str" cm="1">
        <f t="array" ref="C593">IFERROR(_xlfn.LET(
_xlpm.CSVVal,_xlfn.XLOOKUP($A593,CSV!$A:$A,CSV!B:B,""),
_xlpm.MacVal,_xlfn.XLOOKUP($A593,Output_Mac!$A:$A,Output_Mac!B:B,""),
_xlpm.MyAuditVal,_xlfn.XLOOKUP($A593,My_Audit!$A:$A,My_Audit!B:B,""),
_xlfn.IFS(_xlpm.MyAuditVal&lt;&gt;"",UPPER(_xlpm.MyAuditVal),_xlpm.MacVal&lt;&gt;"",_xlpm.MacVal,_xlpm.CSVVal&lt;&gt;"",_xlpm.CSVVal
)),"")</f>
        <v/>
      </c>
      <c r="D593" s="2" t="str" cm="1">
        <f t="array" ref="D593">IFERROR(_xlfn.LET(
_xlpm.CSVVal,_xlfn.XLOOKUP($A593,CSV!$A:$A,CSV!D:D,""),
_xlpm.MacVal,_xlfn.XLOOKUP($A593,Output_Mac!$A:$A,Output_Mac!C:C,""),
_xlpm.MyAuditVal,_xlfn.XLOOKUP($A593,My_Audit!$A:$A,My_Audit!C:C,""),
_xlfn.IFS(_xlpm.MyAuditVal&lt;&gt;"",_xlpm.MyAuditVal,_xlpm.MacVal&lt;&gt;"",_xlpm.MacVal,_xlpm.CSVVal&lt;&gt;"",_xlpm.CSVVal
)),"")</f>
        <v/>
      </c>
      <c r="E593" s="2" t="str">
        <f>_xlfn.XLOOKUP(A593,My_Audit!A:A,My_Audit!D:D,"")&amp;""</f>
        <v/>
      </c>
      <c r="F593" s="2" t="str" cm="1">
        <f t="array" ref="F593">IFERROR(_xlfn.LET(
_xlpm.CSVVal,_xlfn.XLOOKUP($A593,CSV!$A:$A,CSV!F:F,""),
_xlpm.MacVal,_xlfn.XLOOKUP($A593,Output_Mac!$A:$A,Output_Mac!E:E,""),
_xlpm.MyAuditVal,_xlfn.XLOOKUP($A593,My_Audit!$A:$A,My_Audit!E:E,""),
_xlfn.IFS(_xlpm.MyAuditVal&lt;&gt;"",_xlpm.MyAuditVal,_xlpm.MacVal&lt;&gt;"",_xlpm.MacVal,_xlpm.CSVVal&lt;&gt;"",_xlpm.CSVVal
)),"")</f>
        <v/>
      </c>
      <c r="G593" s="2" t="str" cm="1">
        <f t="array" ref="G593">IFERROR(_xlfn.LET(
_xlpm.CSVVal,_xlfn.XLOOKUP($A593,CSV!$A:$A,CSV!G:G,""),
_xlpm.MacVal,_xlfn.XLOOKUP($A593,Output_Mac!$A:$A,Output_Mac!F:F,""),
_xlpm.MyAuditVal,_xlfn.XLOOKUP($A593,My_Audit!$A:$A,My_Audit!F:F,""),
_xlfn.IFS(_xlpm.MyAuditVal&lt;&gt;"",_xlpm.MyAuditVal,_xlpm.MacVal&lt;&gt;"",_xlpm.MacVal,_xlpm.CSVVal&lt;&gt;"",PROPER(_xlpm.CSVVal)
)),"")</f>
        <v/>
      </c>
      <c r="H593" s="2" t="str" cm="1">
        <f t="array" ref="H593">IFERROR(_xlfn.LET(
_xlpm.CSVVal,_xlfn.XLOOKUP($A593,CSV!$A:$A,CSV!H:H,""),
_xlpm.MacVal,_xlfn.XLOOKUP($A593,Output_Mac!$A:$A,Output_Mac!H:H,""),
_xlpm.MyAuditVal,_xlfn.XLOOKUP($A593,My_Audit!$A:$A,My_Audit!G:G,""),
_xlfn.IFS(_xlpm.MyAuditVal&lt;&gt;"",_xlpm.MyAuditVal,_xlpm.MacVal&lt;&gt;"",_xlpm.MacVal,_xlpm.CSVVal&lt;&gt;"",_xlpm.CSVVal
)),"")</f>
        <v/>
      </c>
      <c r="I593" s="2" t="str">
        <f>_xlfn.XLOOKUP(A593,Output_Mac!A:A,Output_Mac!I:I,"")</f>
        <v/>
      </c>
      <c r="J593" s="2" t="str" cm="1">
        <f t="array" ref="J593">IFERROR(_xlfn.LET(
_xlpm.CSVVal,_xlfn.XLOOKUP($A593,CSV!$A:$A,CSV!I:I,""),
_xlpm.MacVal,_xlfn.XLOOKUP($A593,Output_Mac!$A:$A,Output_Mac!J:J,""),
_xlpm.MyAuditVal,_xlfn.XLOOKUP($A593,My_Audit!$A:$A,My_Audit!I:I,""),
_xlfn.IFS(_xlpm.MyAuditVal&lt;&gt;"",UPPER(_xlpm.MyAuditVal),_xlpm.MacVal&lt;&gt;"",_xlpm.MacVal,_xlpm.CSVVal&lt;&gt;"",_xlpm.CSVVal
)),"")</f>
        <v/>
      </c>
      <c r="K593" s="2" t="str" cm="1">
        <f t="array" ref="K593">IFERROR(_xlfn.LET(
_xlpm.CSVVal,_xlfn.XLOOKUP($A593,CSV!$A:$A,CSV!K:K,""),
_xlpm.MacVal,_xlfn.XLOOKUP($A593,Output_Mac!$A:$A,Output_Mac!K:K,""),
_xlpm.MyAuditVal,_xlfn.XLOOKUP($A593,My_Audit!$A:$A,My_Audit!J:J,""),
_xlfn.IFS(_xlpm.MyAuditVal&lt;&gt;"",UPPER(_xlpm.MyAuditVal),_xlpm.MacVal&lt;&gt;"",_xlpm.MacVal,_xlpm.CSVVal&lt;&gt;"",_xlpm.CSVVal
)),"")</f>
        <v/>
      </c>
      <c r="L593" s="2" t="str" cm="1">
        <f t="array" ref="L593">IFERROR(_xlfn.LET(
_xlpm.CSVVal,_xlfn.XLOOKUP($A593,CSV!$A:$A,CSV!P:P,""),
_xlpm.MacVal,_xlfn.XLOOKUP($A593,Output_Mac!$A:$A,Output_Mac!L:L,""),
_xlpm.MyAuditVal,_xlfn.XLOOKUP($A593,My_Audit!$A:$A,My_Audit!K:K,""),
_xlfn.IFS(_xlpm.MyAuditVal&lt;&gt;"",UPPER(_xlpm.MyAuditVal),_xlpm.MacVal&lt;&gt;"",_xlpm.MacVal,_xlpm.CSVVal&lt;&gt;"",_xlpm.CSVVal
)),"")</f>
        <v/>
      </c>
      <c r="M593" s="2" t="str" cm="1">
        <f t="array" ref="M593">IFERROR(_xlfn.LET(
_xlpm.CSVVal,_xlfn.XLOOKUP($A593,CSV!$A:$A,CSV!Q:Q,""),
_xlpm.MacVal,_xlfn.XLOOKUP($A593,Output_Mac!$A:$A,Output_Mac!M:M,""),
_xlpm.MyAuditVal,_xlfn.XLOOKUP($A593,My_Audit!$A:$A,My_Audit!L:L,""),
_xlfn.IFS(_xlpm.MyAuditVal&lt;&gt;"",UPPER(_xlpm.MyAuditVal),_xlpm.MacVal&lt;&gt;"",_xlpm.MacVal,_xlpm.CSVVal&lt;&gt;"",_xlpm.CSVVal
)),"")</f>
        <v/>
      </c>
      <c r="O593" s="2" t="str">
        <f>_xlfn.LET(
    _xlpm.CSVVal, _xlfn.XLOOKUP($A593, CSV!$A:$A, CSV!AF:AF, ""),
    _xlpm.MacVal, _xlfn.XLOOKUP($A593, Output_Mac!$A:$A, Output_Mac!S:S, ""),
    _xlpm.MyAuditVal, _xlfn.XLOOKUP($A593, My_Audit!$A:$A, My_Audit!P:P, ""),
    _xlfn.TEXTJOIN(", ", TRUE, _xlpm.MyAuditVal, _xlpm.MacVal, _xlpm.CSVVal)
)</f>
        <v/>
      </c>
      <c r="P593" s="2" t="str" cm="1">
        <f t="array" ref="P593">IFERROR(_xlfn.LET(
_xlpm.CSVVal,_xlfn.XLOOKUP($A593,CSV!$A:$A,CSV!AG:AG,""),
_xlpm.MacVal,_xlfn.XLOOKUP($A593,Output_Mac!$A:$A,Output_Mac!T:T,""),
_xlpm.MyAuditVal,_xlfn.XLOOKUP($A593,My_Audit!$A:$A,My_Audit!Q:Q,""),
_xlfn.IFS(_xlpm.MyAuditVal&lt;&gt;"",UPPER(_xlpm.MyAuditVal),_xlpm.MacVal&lt;&gt;"",_xlpm.MacVal,_xlpm.CSVVal&lt;&gt;"",_xlpm.CSVVal
)),"No")</f>
        <v>No</v>
      </c>
      <c r="Q593" s="2" t="str" cm="1">
        <f t="array" ref="Q593">IFERROR(_xlfn.LET(
_xlpm.CSVVal,_xlfn.XLOOKUP($A593,CSV!$A:$A,CSV!AH:AH,""),
_xlpm.MacVal,_xlfn.XLOOKUP($A593,Output_Mac!$A:$A,Output_Mac!U:U,""),
_xlpm.MyAuditVal,_xlfn.XLOOKUP($A593,My_Audit!$A:$A,My_Audit!R:R,""),
_xlfn.IFS(_xlpm.MyAuditVal&lt;&gt;"",UPPER(_xlpm.MyAuditVal),_xlpm.MacVal&lt;&gt;"",_xlpm.MacVal,_xlpm.CSVVal&lt;&gt;"",_xlpm.CSVVal
)),"")</f>
        <v/>
      </c>
    </row>
    <row r="594" spans="1:17">
      <c r="A594" s="2" t="str">
        <f>_xlfn.TEXTJOIN("",TRUE,Input!$B$2,ROW(My_Audit!A593))</f>
        <v>XX593</v>
      </c>
      <c r="B594" s="2" t="str">
        <f>_xlfn.TEXTJOIN("-",TRUE,"ITD",Input!$A$2,A594)</f>
        <v>ITD-SHRXXX-XX593</v>
      </c>
      <c r="C594" s="2" t="str" cm="1">
        <f t="array" ref="C594">IFERROR(_xlfn.LET(
_xlpm.CSVVal,_xlfn.XLOOKUP($A594,CSV!$A:$A,CSV!B:B,""),
_xlpm.MacVal,_xlfn.XLOOKUP($A594,Output_Mac!$A:$A,Output_Mac!B:B,""),
_xlpm.MyAuditVal,_xlfn.XLOOKUP($A594,My_Audit!$A:$A,My_Audit!B:B,""),
_xlfn.IFS(_xlpm.MyAuditVal&lt;&gt;"",UPPER(_xlpm.MyAuditVal),_xlpm.MacVal&lt;&gt;"",_xlpm.MacVal,_xlpm.CSVVal&lt;&gt;"",_xlpm.CSVVal
)),"")</f>
        <v/>
      </c>
      <c r="D594" s="2" t="str" cm="1">
        <f t="array" ref="D594">IFERROR(_xlfn.LET(
_xlpm.CSVVal,_xlfn.XLOOKUP($A594,CSV!$A:$A,CSV!D:D,""),
_xlpm.MacVal,_xlfn.XLOOKUP($A594,Output_Mac!$A:$A,Output_Mac!C:C,""),
_xlpm.MyAuditVal,_xlfn.XLOOKUP($A594,My_Audit!$A:$A,My_Audit!C:C,""),
_xlfn.IFS(_xlpm.MyAuditVal&lt;&gt;"",_xlpm.MyAuditVal,_xlpm.MacVal&lt;&gt;"",_xlpm.MacVal,_xlpm.CSVVal&lt;&gt;"",_xlpm.CSVVal
)),"")</f>
        <v/>
      </c>
      <c r="E594" s="2" t="str">
        <f>_xlfn.XLOOKUP(A594,My_Audit!A:A,My_Audit!D:D,"")&amp;""</f>
        <v/>
      </c>
      <c r="F594" s="2" t="str" cm="1">
        <f t="array" ref="F594">IFERROR(_xlfn.LET(
_xlpm.CSVVal,_xlfn.XLOOKUP($A594,CSV!$A:$A,CSV!F:F,""),
_xlpm.MacVal,_xlfn.XLOOKUP($A594,Output_Mac!$A:$A,Output_Mac!E:E,""),
_xlpm.MyAuditVal,_xlfn.XLOOKUP($A594,My_Audit!$A:$A,My_Audit!E:E,""),
_xlfn.IFS(_xlpm.MyAuditVal&lt;&gt;"",_xlpm.MyAuditVal,_xlpm.MacVal&lt;&gt;"",_xlpm.MacVal,_xlpm.CSVVal&lt;&gt;"",_xlpm.CSVVal
)),"")</f>
        <v/>
      </c>
      <c r="G594" s="2" t="str" cm="1">
        <f t="array" ref="G594">IFERROR(_xlfn.LET(
_xlpm.CSVVal,_xlfn.XLOOKUP($A594,CSV!$A:$A,CSV!G:G,""),
_xlpm.MacVal,_xlfn.XLOOKUP($A594,Output_Mac!$A:$A,Output_Mac!F:F,""),
_xlpm.MyAuditVal,_xlfn.XLOOKUP($A594,My_Audit!$A:$A,My_Audit!F:F,""),
_xlfn.IFS(_xlpm.MyAuditVal&lt;&gt;"",_xlpm.MyAuditVal,_xlpm.MacVal&lt;&gt;"",_xlpm.MacVal,_xlpm.CSVVal&lt;&gt;"",PROPER(_xlpm.CSVVal)
)),"")</f>
        <v/>
      </c>
      <c r="H594" s="2" t="str" cm="1">
        <f t="array" ref="H594">IFERROR(_xlfn.LET(
_xlpm.CSVVal,_xlfn.XLOOKUP($A594,CSV!$A:$A,CSV!H:H,""),
_xlpm.MacVal,_xlfn.XLOOKUP($A594,Output_Mac!$A:$A,Output_Mac!H:H,""),
_xlpm.MyAuditVal,_xlfn.XLOOKUP($A594,My_Audit!$A:$A,My_Audit!G:G,""),
_xlfn.IFS(_xlpm.MyAuditVal&lt;&gt;"",_xlpm.MyAuditVal,_xlpm.MacVal&lt;&gt;"",_xlpm.MacVal,_xlpm.CSVVal&lt;&gt;"",_xlpm.CSVVal
)),"")</f>
        <v/>
      </c>
      <c r="I594" s="2" t="str">
        <f>_xlfn.XLOOKUP(A594,Output_Mac!A:A,Output_Mac!I:I,"")</f>
        <v/>
      </c>
      <c r="J594" s="2" t="str" cm="1">
        <f t="array" ref="J594">IFERROR(_xlfn.LET(
_xlpm.CSVVal,_xlfn.XLOOKUP($A594,CSV!$A:$A,CSV!I:I,""),
_xlpm.MacVal,_xlfn.XLOOKUP($A594,Output_Mac!$A:$A,Output_Mac!J:J,""),
_xlpm.MyAuditVal,_xlfn.XLOOKUP($A594,My_Audit!$A:$A,My_Audit!I:I,""),
_xlfn.IFS(_xlpm.MyAuditVal&lt;&gt;"",UPPER(_xlpm.MyAuditVal),_xlpm.MacVal&lt;&gt;"",_xlpm.MacVal,_xlpm.CSVVal&lt;&gt;"",_xlpm.CSVVal
)),"")</f>
        <v/>
      </c>
      <c r="K594" s="2" t="str" cm="1">
        <f t="array" ref="K594">IFERROR(_xlfn.LET(
_xlpm.CSVVal,_xlfn.XLOOKUP($A594,CSV!$A:$A,CSV!K:K,""),
_xlpm.MacVal,_xlfn.XLOOKUP($A594,Output_Mac!$A:$A,Output_Mac!K:K,""),
_xlpm.MyAuditVal,_xlfn.XLOOKUP($A594,My_Audit!$A:$A,My_Audit!J:J,""),
_xlfn.IFS(_xlpm.MyAuditVal&lt;&gt;"",UPPER(_xlpm.MyAuditVal),_xlpm.MacVal&lt;&gt;"",_xlpm.MacVal,_xlpm.CSVVal&lt;&gt;"",_xlpm.CSVVal
)),"")</f>
        <v/>
      </c>
      <c r="L594" s="2" t="str" cm="1">
        <f t="array" ref="L594">IFERROR(_xlfn.LET(
_xlpm.CSVVal,_xlfn.XLOOKUP($A594,CSV!$A:$A,CSV!P:P,""),
_xlpm.MacVal,_xlfn.XLOOKUP($A594,Output_Mac!$A:$A,Output_Mac!L:L,""),
_xlpm.MyAuditVal,_xlfn.XLOOKUP($A594,My_Audit!$A:$A,My_Audit!K:K,""),
_xlfn.IFS(_xlpm.MyAuditVal&lt;&gt;"",UPPER(_xlpm.MyAuditVal),_xlpm.MacVal&lt;&gt;"",_xlpm.MacVal,_xlpm.CSVVal&lt;&gt;"",_xlpm.CSVVal
)),"")</f>
        <v/>
      </c>
      <c r="M594" s="2" t="str" cm="1">
        <f t="array" ref="M594">IFERROR(_xlfn.LET(
_xlpm.CSVVal,_xlfn.XLOOKUP($A594,CSV!$A:$A,CSV!Q:Q,""),
_xlpm.MacVal,_xlfn.XLOOKUP($A594,Output_Mac!$A:$A,Output_Mac!M:M,""),
_xlpm.MyAuditVal,_xlfn.XLOOKUP($A594,My_Audit!$A:$A,My_Audit!L:L,""),
_xlfn.IFS(_xlpm.MyAuditVal&lt;&gt;"",UPPER(_xlpm.MyAuditVal),_xlpm.MacVal&lt;&gt;"",_xlpm.MacVal,_xlpm.CSVVal&lt;&gt;"",_xlpm.CSVVal
)),"")</f>
        <v/>
      </c>
      <c r="O594" s="2" t="str">
        <f>_xlfn.LET(
    _xlpm.CSVVal, _xlfn.XLOOKUP($A594, CSV!$A:$A, CSV!AF:AF, ""),
    _xlpm.MacVal, _xlfn.XLOOKUP($A594, Output_Mac!$A:$A, Output_Mac!S:S, ""),
    _xlpm.MyAuditVal, _xlfn.XLOOKUP($A594, My_Audit!$A:$A, My_Audit!P:P, ""),
    _xlfn.TEXTJOIN(", ", TRUE, _xlpm.MyAuditVal, _xlpm.MacVal, _xlpm.CSVVal)
)</f>
        <v/>
      </c>
      <c r="P594" s="2" t="str" cm="1">
        <f t="array" ref="P594">IFERROR(_xlfn.LET(
_xlpm.CSVVal,_xlfn.XLOOKUP($A594,CSV!$A:$A,CSV!AG:AG,""),
_xlpm.MacVal,_xlfn.XLOOKUP($A594,Output_Mac!$A:$A,Output_Mac!T:T,""),
_xlpm.MyAuditVal,_xlfn.XLOOKUP($A594,My_Audit!$A:$A,My_Audit!Q:Q,""),
_xlfn.IFS(_xlpm.MyAuditVal&lt;&gt;"",UPPER(_xlpm.MyAuditVal),_xlpm.MacVal&lt;&gt;"",_xlpm.MacVal,_xlpm.CSVVal&lt;&gt;"",_xlpm.CSVVal
)),"No")</f>
        <v>No</v>
      </c>
      <c r="Q594" s="2" t="str" cm="1">
        <f t="array" ref="Q594">IFERROR(_xlfn.LET(
_xlpm.CSVVal,_xlfn.XLOOKUP($A594,CSV!$A:$A,CSV!AH:AH,""),
_xlpm.MacVal,_xlfn.XLOOKUP($A594,Output_Mac!$A:$A,Output_Mac!U:U,""),
_xlpm.MyAuditVal,_xlfn.XLOOKUP($A594,My_Audit!$A:$A,My_Audit!R:R,""),
_xlfn.IFS(_xlpm.MyAuditVal&lt;&gt;"",UPPER(_xlpm.MyAuditVal),_xlpm.MacVal&lt;&gt;"",_xlpm.MacVal,_xlpm.CSVVal&lt;&gt;"",_xlpm.CSVVal
)),"")</f>
        <v/>
      </c>
    </row>
    <row r="595" spans="1:17">
      <c r="A595" s="2" t="str">
        <f>_xlfn.TEXTJOIN("",TRUE,Input!$B$2,ROW(My_Audit!A594))</f>
        <v>XX594</v>
      </c>
      <c r="B595" s="2" t="str">
        <f>_xlfn.TEXTJOIN("-",TRUE,"ITD",Input!$A$2,A595)</f>
        <v>ITD-SHRXXX-XX594</v>
      </c>
      <c r="C595" s="2" t="str" cm="1">
        <f t="array" ref="C595">IFERROR(_xlfn.LET(
_xlpm.CSVVal,_xlfn.XLOOKUP($A595,CSV!$A:$A,CSV!B:B,""),
_xlpm.MacVal,_xlfn.XLOOKUP($A595,Output_Mac!$A:$A,Output_Mac!B:B,""),
_xlpm.MyAuditVal,_xlfn.XLOOKUP($A595,My_Audit!$A:$A,My_Audit!B:B,""),
_xlfn.IFS(_xlpm.MyAuditVal&lt;&gt;"",UPPER(_xlpm.MyAuditVal),_xlpm.MacVal&lt;&gt;"",_xlpm.MacVal,_xlpm.CSVVal&lt;&gt;"",_xlpm.CSVVal
)),"")</f>
        <v/>
      </c>
      <c r="D595" s="2" t="str" cm="1">
        <f t="array" ref="D595">IFERROR(_xlfn.LET(
_xlpm.CSVVal,_xlfn.XLOOKUP($A595,CSV!$A:$A,CSV!D:D,""),
_xlpm.MacVal,_xlfn.XLOOKUP($A595,Output_Mac!$A:$A,Output_Mac!C:C,""),
_xlpm.MyAuditVal,_xlfn.XLOOKUP($A595,My_Audit!$A:$A,My_Audit!C:C,""),
_xlfn.IFS(_xlpm.MyAuditVal&lt;&gt;"",_xlpm.MyAuditVal,_xlpm.MacVal&lt;&gt;"",_xlpm.MacVal,_xlpm.CSVVal&lt;&gt;"",_xlpm.CSVVal
)),"")</f>
        <v/>
      </c>
      <c r="E595" s="2" t="str">
        <f>_xlfn.XLOOKUP(A595,My_Audit!A:A,My_Audit!D:D,"")&amp;""</f>
        <v/>
      </c>
      <c r="F595" s="2" t="str" cm="1">
        <f t="array" ref="F595">IFERROR(_xlfn.LET(
_xlpm.CSVVal,_xlfn.XLOOKUP($A595,CSV!$A:$A,CSV!F:F,""),
_xlpm.MacVal,_xlfn.XLOOKUP($A595,Output_Mac!$A:$A,Output_Mac!E:E,""),
_xlpm.MyAuditVal,_xlfn.XLOOKUP($A595,My_Audit!$A:$A,My_Audit!E:E,""),
_xlfn.IFS(_xlpm.MyAuditVal&lt;&gt;"",_xlpm.MyAuditVal,_xlpm.MacVal&lt;&gt;"",_xlpm.MacVal,_xlpm.CSVVal&lt;&gt;"",_xlpm.CSVVal
)),"")</f>
        <v/>
      </c>
      <c r="G595" s="2" t="str" cm="1">
        <f t="array" ref="G595">IFERROR(_xlfn.LET(
_xlpm.CSVVal,_xlfn.XLOOKUP($A595,CSV!$A:$A,CSV!G:G,""),
_xlpm.MacVal,_xlfn.XLOOKUP($A595,Output_Mac!$A:$A,Output_Mac!F:F,""),
_xlpm.MyAuditVal,_xlfn.XLOOKUP($A595,My_Audit!$A:$A,My_Audit!F:F,""),
_xlfn.IFS(_xlpm.MyAuditVal&lt;&gt;"",_xlpm.MyAuditVal,_xlpm.MacVal&lt;&gt;"",_xlpm.MacVal,_xlpm.CSVVal&lt;&gt;"",PROPER(_xlpm.CSVVal)
)),"")</f>
        <v/>
      </c>
      <c r="H595" s="2" t="str" cm="1">
        <f t="array" ref="H595">IFERROR(_xlfn.LET(
_xlpm.CSVVal,_xlfn.XLOOKUP($A595,CSV!$A:$A,CSV!H:H,""),
_xlpm.MacVal,_xlfn.XLOOKUP($A595,Output_Mac!$A:$A,Output_Mac!H:H,""),
_xlpm.MyAuditVal,_xlfn.XLOOKUP($A595,My_Audit!$A:$A,My_Audit!G:G,""),
_xlfn.IFS(_xlpm.MyAuditVal&lt;&gt;"",_xlpm.MyAuditVal,_xlpm.MacVal&lt;&gt;"",_xlpm.MacVal,_xlpm.CSVVal&lt;&gt;"",_xlpm.CSVVal
)),"")</f>
        <v/>
      </c>
      <c r="I595" s="2" t="str">
        <f>_xlfn.XLOOKUP(A595,Output_Mac!A:A,Output_Mac!I:I,"")</f>
        <v/>
      </c>
      <c r="J595" s="2" t="str" cm="1">
        <f t="array" ref="J595">IFERROR(_xlfn.LET(
_xlpm.CSVVal,_xlfn.XLOOKUP($A595,CSV!$A:$A,CSV!I:I,""),
_xlpm.MacVal,_xlfn.XLOOKUP($A595,Output_Mac!$A:$A,Output_Mac!J:J,""),
_xlpm.MyAuditVal,_xlfn.XLOOKUP($A595,My_Audit!$A:$A,My_Audit!I:I,""),
_xlfn.IFS(_xlpm.MyAuditVal&lt;&gt;"",UPPER(_xlpm.MyAuditVal),_xlpm.MacVal&lt;&gt;"",_xlpm.MacVal,_xlpm.CSVVal&lt;&gt;"",_xlpm.CSVVal
)),"")</f>
        <v/>
      </c>
      <c r="K595" s="2" t="str" cm="1">
        <f t="array" ref="K595">IFERROR(_xlfn.LET(
_xlpm.CSVVal,_xlfn.XLOOKUP($A595,CSV!$A:$A,CSV!K:K,""),
_xlpm.MacVal,_xlfn.XLOOKUP($A595,Output_Mac!$A:$A,Output_Mac!K:K,""),
_xlpm.MyAuditVal,_xlfn.XLOOKUP($A595,My_Audit!$A:$A,My_Audit!J:J,""),
_xlfn.IFS(_xlpm.MyAuditVal&lt;&gt;"",UPPER(_xlpm.MyAuditVal),_xlpm.MacVal&lt;&gt;"",_xlpm.MacVal,_xlpm.CSVVal&lt;&gt;"",_xlpm.CSVVal
)),"")</f>
        <v/>
      </c>
      <c r="L595" s="2" t="str" cm="1">
        <f t="array" ref="L595">IFERROR(_xlfn.LET(
_xlpm.CSVVal,_xlfn.XLOOKUP($A595,CSV!$A:$A,CSV!P:P,""),
_xlpm.MacVal,_xlfn.XLOOKUP($A595,Output_Mac!$A:$A,Output_Mac!L:L,""),
_xlpm.MyAuditVal,_xlfn.XLOOKUP($A595,My_Audit!$A:$A,My_Audit!K:K,""),
_xlfn.IFS(_xlpm.MyAuditVal&lt;&gt;"",UPPER(_xlpm.MyAuditVal),_xlpm.MacVal&lt;&gt;"",_xlpm.MacVal,_xlpm.CSVVal&lt;&gt;"",_xlpm.CSVVal
)),"")</f>
        <v/>
      </c>
      <c r="M595" s="2" t="str" cm="1">
        <f t="array" ref="M595">IFERROR(_xlfn.LET(
_xlpm.CSVVal,_xlfn.XLOOKUP($A595,CSV!$A:$A,CSV!Q:Q,""),
_xlpm.MacVal,_xlfn.XLOOKUP($A595,Output_Mac!$A:$A,Output_Mac!M:M,""),
_xlpm.MyAuditVal,_xlfn.XLOOKUP($A595,My_Audit!$A:$A,My_Audit!L:L,""),
_xlfn.IFS(_xlpm.MyAuditVal&lt;&gt;"",UPPER(_xlpm.MyAuditVal),_xlpm.MacVal&lt;&gt;"",_xlpm.MacVal,_xlpm.CSVVal&lt;&gt;"",_xlpm.CSVVal
)),"")</f>
        <v/>
      </c>
      <c r="O595" s="2" t="str">
        <f>_xlfn.LET(
    _xlpm.CSVVal, _xlfn.XLOOKUP($A595, CSV!$A:$A, CSV!AF:AF, ""),
    _xlpm.MacVal, _xlfn.XLOOKUP($A595, Output_Mac!$A:$A, Output_Mac!S:S, ""),
    _xlpm.MyAuditVal, _xlfn.XLOOKUP($A595, My_Audit!$A:$A, My_Audit!P:P, ""),
    _xlfn.TEXTJOIN(", ", TRUE, _xlpm.MyAuditVal, _xlpm.MacVal, _xlpm.CSVVal)
)</f>
        <v/>
      </c>
      <c r="P595" s="2" t="str" cm="1">
        <f t="array" ref="P595">IFERROR(_xlfn.LET(
_xlpm.CSVVal,_xlfn.XLOOKUP($A595,CSV!$A:$A,CSV!AG:AG,""),
_xlpm.MacVal,_xlfn.XLOOKUP($A595,Output_Mac!$A:$A,Output_Mac!T:T,""),
_xlpm.MyAuditVal,_xlfn.XLOOKUP($A595,My_Audit!$A:$A,My_Audit!Q:Q,""),
_xlfn.IFS(_xlpm.MyAuditVal&lt;&gt;"",UPPER(_xlpm.MyAuditVal),_xlpm.MacVal&lt;&gt;"",_xlpm.MacVal,_xlpm.CSVVal&lt;&gt;"",_xlpm.CSVVal
)),"No")</f>
        <v>No</v>
      </c>
      <c r="Q595" s="2" t="str" cm="1">
        <f t="array" ref="Q595">IFERROR(_xlfn.LET(
_xlpm.CSVVal,_xlfn.XLOOKUP($A595,CSV!$A:$A,CSV!AH:AH,""),
_xlpm.MacVal,_xlfn.XLOOKUP($A595,Output_Mac!$A:$A,Output_Mac!U:U,""),
_xlpm.MyAuditVal,_xlfn.XLOOKUP($A595,My_Audit!$A:$A,My_Audit!R:R,""),
_xlfn.IFS(_xlpm.MyAuditVal&lt;&gt;"",UPPER(_xlpm.MyAuditVal),_xlpm.MacVal&lt;&gt;"",_xlpm.MacVal,_xlpm.CSVVal&lt;&gt;"",_xlpm.CSVVal
)),"")</f>
        <v/>
      </c>
    </row>
    <row r="596" spans="1:17">
      <c r="A596" s="2" t="str">
        <f>_xlfn.TEXTJOIN("",TRUE,Input!$B$2,ROW(My_Audit!A595))</f>
        <v>XX595</v>
      </c>
      <c r="B596" s="2" t="str">
        <f>_xlfn.TEXTJOIN("-",TRUE,"ITD",Input!$A$2,A596)</f>
        <v>ITD-SHRXXX-XX595</v>
      </c>
      <c r="C596" s="2" t="str" cm="1">
        <f t="array" ref="C596">IFERROR(_xlfn.LET(
_xlpm.CSVVal,_xlfn.XLOOKUP($A596,CSV!$A:$A,CSV!B:B,""),
_xlpm.MacVal,_xlfn.XLOOKUP($A596,Output_Mac!$A:$A,Output_Mac!B:B,""),
_xlpm.MyAuditVal,_xlfn.XLOOKUP($A596,My_Audit!$A:$A,My_Audit!B:B,""),
_xlfn.IFS(_xlpm.MyAuditVal&lt;&gt;"",UPPER(_xlpm.MyAuditVal),_xlpm.MacVal&lt;&gt;"",_xlpm.MacVal,_xlpm.CSVVal&lt;&gt;"",_xlpm.CSVVal
)),"")</f>
        <v/>
      </c>
      <c r="D596" s="2" t="str" cm="1">
        <f t="array" ref="D596">IFERROR(_xlfn.LET(
_xlpm.CSVVal,_xlfn.XLOOKUP($A596,CSV!$A:$A,CSV!D:D,""),
_xlpm.MacVal,_xlfn.XLOOKUP($A596,Output_Mac!$A:$A,Output_Mac!C:C,""),
_xlpm.MyAuditVal,_xlfn.XLOOKUP($A596,My_Audit!$A:$A,My_Audit!C:C,""),
_xlfn.IFS(_xlpm.MyAuditVal&lt;&gt;"",_xlpm.MyAuditVal,_xlpm.MacVal&lt;&gt;"",_xlpm.MacVal,_xlpm.CSVVal&lt;&gt;"",_xlpm.CSVVal
)),"")</f>
        <v/>
      </c>
      <c r="E596" s="2" t="str">
        <f>_xlfn.XLOOKUP(A596,My_Audit!A:A,My_Audit!D:D,"")&amp;""</f>
        <v/>
      </c>
      <c r="F596" s="2" t="str" cm="1">
        <f t="array" ref="F596">IFERROR(_xlfn.LET(
_xlpm.CSVVal,_xlfn.XLOOKUP($A596,CSV!$A:$A,CSV!F:F,""),
_xlpm.MacVal,_xlfn.XLOOKUP($A596,Output_Mac!$A:$A,Output_Mac!E:E,""),
_xlpm.MyAuditVal,_xlfn.XLOOKUP($A596,My_Audit!$A:$A,My_Audit!E:E,""),
_xlfn.IFS(_xlpm.MyAuditVal&lt;&gt;"",_xlpm.MyAuditVal,_xlpm.MacVal&lt;&gt;"",_xlpm.MacVal,_xlpm.CSVVal&lt;&gt;"",_xlpm.CSVVal
)),"")</f>
        <v/>
      </c>
      <c r="G596" s="2" t="str" cm="1">
        <f t="array" ref="G596">IFERROR(_xlfn.LET(
_xlpm.CSVVal,_xlfn.XLOOKUP($A596,CSV!$A:$A,CSV!G:G,""),
_xlpm.MacVal,_xlfn.XLOOKUP($A596,Output_Mac!$A:$A,Output_Mac!F:F,""),
_xlpm.MyAuditVal,_xlfn.XLOOKUP($A596,My_Audit!$A:$A,My_Audit!F:F,""),
_xlfn.IFS(_xlpm.MyAuditVal&lt;&gt;"",_xlpm.MyAuditVal,_xlpm.MacVal&lt;&gt;"",_xlpm.MacVal,_xlpm.CSVVal&lt;&gt;"",PROPER(_xlpm.CSVVal)
)),"")</f>
        <v/>
      </c>
      <c r="H596" s="2" t="str" cm="1">
        <f t="array" ref="H596">IFERROR(_xlfn.LET(
_xlpm.CSVVal,_xlfn.XLOOKUP($A596,CSV!$A:$A,CSV!H:H,""),
_xlpm.MacVal,_xlfn.XLOOKUP($A596,Output_Mac!$A:$A,Output_Mac!H:H,""),
_xlpm.MyAuditVal,_xlfn.XLOOKUP($A596,My_Audit!$A:$A,My_Audit!G:G,""),
_xlfn.IFS(_xlpm.MyAuditVal&lt;&gt;"",_xlpm.MyAuditVal,_xlpm.MacVal&lt;&gt;"",_xlpm.MacVal,_xlpm.CSVVal&lt;&gt;"",_xlpm.CSVVal
)),"")</f>
        <v/>
      </c>
      <c r="I596" s="2" t="str">
        <f>_xlfn.XLOOKUP(A596,Output_Mac!A:A,Output_Mac!I:I,"")</f>
        <v/>
      </c>
      <c r="J596" s="2" t="str" cm="1">
        <f t="array" ref="J596">IFERROR(_xlfn.LET(
_xlpm.CSVVal,_xlfn.XLOOKUP($A596,CSV!$A:$A,CSV!I:I,""),
_xlpm.MacVal,_xlfn.XLOOKUP($A596,Output_Mac!$A:$A,Output_Mac!J:J,""),
_xlpm.MyAuditVal,_xlfn.XLOOKUP($A596,My_Audit!$A:$A,My_Audit!I:I,""),
_xlfn.IFS(_xlpm.MyAuditVal&lt;&gt;"",UPPER(_xlpm.MyAuditVal),_xlpm.MacVal&lt;&gt;"",_xlpm.MacVal,_xlpm.CSVVal&lt;&gt;"",_xlpm.CSVVal
)),"")</f>
        <v/>
      </c>
      <c r="K596" s="2" t="str" cm="1">
        <f t="array" ref="K596">IFERROR(_xlfn.LET(
_xlpm.CSVVal,_xlfn.XLOOKUP($A596,CSV!$A:$A,CSV!K:K,""),
_xlpm.MacVal,_xlfn.XLOOKUP($A596,Output_Mac!$A:$A,Output_Mac!K:K,""),
_xlpm.MyAuditVal,_xlfn.XLOOKUP($A596,My_Audit!$A:$A,My_Audit!J:J,""),
_xlfn.IFS(_xlpm.MyAuditVal&lt;&gt;"",UPPER(_xlpm.MyAuditVal),_xlpm.MacVal&lt;&gt;"",_xlpm.MacVal,_xlpm.CSVVal&lt;&gt;"",_xlpm.CSVVal
)),"")</f>
        <v/>
      </c>
      <c r="L596" s="2" t="str" cm="1">
        <f t="array" ref="L596">IFERROR(_xlfn.LET(
_xlpm.CSVVal,_xlfn.XLOOKUP($A596,CSV!$A:$A,CSV!P:P,""),
_xlpm.MacVal,_xlfn.XLOOKUP($A596,Output_Mac!$A:$A,Output_Mac!L:L,""),
_xlpm.MyAuditVal,_xlfn.XLOOKUP($A596,My_Audit!$A:$A,My_Audit!K:K,""),
_xlfn.IFS(_xlpm.MyAuditVal&lt;&gt;"",UPPER(_xlpm.MyAuditVal),_xlpm.MacVal&lt;&gt;"",_xlpm.MacVal,_xlpm.CSVVal&lt;&gt;"",_xlpm.CSVVal
)),"")</f>
        <v/>
      </c>
      <c r="M596" s="2" t="str" cm="1">
        <f t="array" ref="M596">IFERROR(_xlfn.LET(
_xlpm.CSVVal,_xlfn.XLOOKUP($A596,CSV!$A:$A,CSV!Q:Q,""),
_xlpm.MacVal,_xlfn.XLOOKUP($A596,Output_Mac!$A:$A,Output_Mac!M:M,""),
_xlpm.MyAuditVal,_xlfn.XLOOKUP($A596,My_Audit!$A:$A,My_Audit!L:L,""),
_xlfn.IFS(_xlpm.MyAuditVal&lt;&gt;"",UPPER(_xlpm.MyAuditVal),_xlpm.MacVal&lt;&gt;"",_xlpm.MacVal,_xlpm.CSVVal&lt;&gt;"",_xlpm.CSVVal
)),"")</f>
        <v/>
      </c>
      <c r="O596" s="2" t="str">
        <f>_xlfn.LET(
    _xlpm.CSVVal, _xlfn.XLOOKUP($A596, CSV!$A:$A, CSV!AF:AF, ""),
    _xlpm.MacVal, _xlfn.XLOOKUP($A596, Output_Mac!$A:$A, Output_Mac!S:S, ""),
    _xlpm.MyAuditVal, _xlfn.XLOOKUP($A596, My_Audit!$A:$A, My_Audit!P:P, ""),
    _xlfn.TEXTJOIN(", ", TRUE, _xlpm.MyAuditVal, _xlpm.MacVal, _xlpm.CSVVal)
)</f>
        <v/>
      </c>
      <c r="P596" s="2" t="str" cm="1">
        <f t="array" ref="P596">IFERROR(_xlfn.LET(
_xlpm.CSVVal,_xlfn.XLOOKUP($A596,CSV!$A:$A,CSV!AG:AG,""),
_xlpm.MacVal,_xlfn.XLOOKUP($A596,Output_Mac!$A:$A,Output_Mac!T:T,""),
_xlpm.MyAuditVal,_xlfn.XLOOKUP($A596,My_Audit!$A:$A,My_Audit!Q:Q,""),
_xlfn.IFS(_xlpm.MyAuditVal&lt;&gt;"",UPPER(_xlpm.MyAuditVal),_xlpm.MacVal&lt;&gt;"",_xlpm.MacVal,_xlpm.CSVVal&lt;&gt;"",_xlpm.CSVVal
)),"No")</f>
        <v>No</v>
      </c>
      <c r="Q596" s="2" t="str" cm="1">
        <f t="array" ref="Q596">IFERROR(_xlfn.LET(
_xlpm.CSVVal,_xlfn.XLOOKUP($A596,CSV!$A:$A,CSV!AH:AH,""),
_xlpm.MacVal,_xlfn.XLOOKUP($A596,Output_Mac!$A:$A,Output_Mac!U:U,""),
_xlpm.MyAuditVal,_xlfn.XLOOKUP($A596,My_Audit!$A:$A,My_Audit!R:R,""),
_xlfn.IFS(_xlpm.MyAuditVal&lt;&gt;"",UPPER(_xlpm.MyAuditVal),_xlpm.MacVal&lt;&gt;"",_xlpm.MacVal,_xlpm.CSVVal&lt;&gt;"",_xlpm.CSVVal
)),"")</f>
        <v/>
      </c>
    </row>
    <row r="597" spans="1:17">
      <c r="A597" s="2" t="str">
        <f>_xlfn.TEXTJOIN("",TRUE,Input!$B$2,ROW(My_Audit!A596))</f>
        <v>XX596</v>
      </c>
      <c r="B597" s="2" t="str">
        <f>_xlfn.TEXTJOIN("-",TRUE,"ITD",Input!$A$2,A597)</f>
        <v>ITD-SHRXXX-XX596</v>
      </c>
      <c r="C597" s="2" t="str" cm="1">
        <f t="array" ref="C597">IFERROR(_xlfn.LET(
_xlpm.CSVVal,_xlfn.XLOOKUP($A597,CSV!$A:$A,CSV!B:B,""),
_xlpm.MacVal,_xlfn.XLOOKUP($A597,Output_Mac!$A:$A,Output_Mac!B:B,""),
_xlpm.MyAuditVal,_xlfn.XLOOKUP($A597,My_Audit!$A:$A,My_Audit!B:B,""),
_xlfn.IFS(_xlpm.MyAuditVal&lt;&gt;"",UPPER(_xlpm.MyAuditVal),_xlpm.MacVal&lt;&gt;"",_xlpm.MacVal,_xlpm.CSVVal&lt;&gt;"",_xlpm.CSVVal
)),"")</f>
        <v/>
      </c>
      <c r="D597" s="2" t="str" cm="1">
        <f t="array" ref="D597">IFERROR(_xlfn.LET(
_xlpm.CSVVal,_xlfn.XLOOKUP($A597,CSV!$A:$A,CSV!D:D,""),
_xlpm.MacVal,_xlfn.XLOOKUP($A597,Output_Mac!$A:$A,Output_Mac!C:C,""),
_xlpm.MyAuditVal,_xlfn.XLOOKUP($A597,My_Audit!$A:$A,My_Audit!C:C,""),
_xlfn.IFS(_xlpm.MyAuditVal&lt;&gt;"",_xlpm.MyAuditVal,_xlpm.MacVal&lt;&gt;"",_xlpm.MacVal,_xlpm.CSVVal&lt;&gt;"",_xlpm.CSVVal
)),"")</f>
        <v/>
      </c>
      <c r="E597" s="2" t="str">
        <f>_xlfn.XLOOKUP(A597,My_Audit!A:A,My_Audit!D:D,"")&amp;""</f>
        <v/>
      </c>
      <c r="F597" s="2" t="str" cm="1">
        <f t="array" ref="F597">IFERROR(_xlfn.LET(
_xlpm.CSVVal,_xlfn.XLOOKUP($A597,CSV!$A:$A,CSV!F:F,""),
_xlpm.MacVal,_xlfn.XLOOKUP($A597,Output_Mac!$A:$A,Output_Mac!E:E,""),
_xlpm.MyAuditVal,_xlfn.XLOOKUP($A597,My_Audit!$A:$A,My_Audit!E:E,""),
_xlfn.IFS(_xlpm.MyAuditVal&lt;&gt;"",_xlpm.MyAuditVal,_xlpm.MacVal&lt;&gt;"",_xlpm.MacVal,_xlpm.CSVVal&lt;&gt;"",_xlpm.CSVVal
)),"")</f>
        <v/>
      </c>
      <c r="G597" s="2" t="str" cm="1">
        <f t="array" ref="G597">IFERROR(_xlfn.LET(
_xlpm.CSVVal,_xlfn.XLOOKUP($A597,CSV!$A:$A,CSV!G:G,""),
_xlpm.MacVal,_xlfn.XLOOKUP($A597,Output_Mac!$A:$A,Output_Mac!F:F,""),
_xlpm.MyAuditVal,_xlfn.XLOOKUP($A597,My_Audit!$A:$A,My_Audit!F:F,""),
_xlfn.IFS(_xlpm.MyAuditVal&lt;&gt;"",_xlpm.MyAuditVal,_xlpm.MacVal&lt;&gt;"",_xlpm.MacVal,_xlpm.CSVVal&lt;&gt;"",PROPER(_xlpm.CSVVal)
)),"")</f>
        <v/>
      </c>
      <c r="H597" s="2" t="str" cm="1">
        <f t="array" ref="H597">IFERROR(_xlfn.LET(
_xlpm.CSVVal,_xlfn.XLOOKUP($A597,CSV!$A:$A,CSV!H:H,""),
_xlpm.MacVal,_xlfn.XLOOKUP($A597,Output_Mac!$A:$A,Output_Mac!H:H,""),
_xlpm.MyAuditVal,_xlfn.XLOOKUP($A597,My_Audit!$A:$A,My_Audit!G:G,""),
_xlfn.IFS(_xlpm.MyAuditVal&lt;&gt;"",_xlpm.MyAuditVal,_xlpm.MacVal&lt;&gt;"",_xlpm.MacVal,_xlpm.CSVVal&lt;&gt;"",_xlpm.CSVVal
)),"")</f>
        <v/>
      </c>
      <c r="I597" s="2" t="str">
        <f>_xlfn.XLOOKUP(A597,Output_Mac!A:A,Output_Mac!I:I,"")</f>
        <v/>
      </c>
      <c r="J597" s="2" t="str" cm="1">
        <f t="array" ref="J597">IFERROR(_xlfn.LET(
_xlpm.CSVVal,_xlfn.XLOOKUP($A597,CSV!$A:$A,CSV!I:I,""),
_xlpm.MacVal,_xlfn.XLOOKUP($A597,Output_Mac!$A:$A,Output_Mac!J:J,""),
_xlpm.MyAuditVal,_xlfn.XLOOKUP($A597,My_Audit!$A:$A,My_Audit!I:I,""),
_xlfn.IFS(_xlpm.MyAuditVal&lt;&gt;"",UPPER(_xlpm.MyAuditVal),_xlpm.MacVal&lt;&gt;"",_xlpm.MacVal,_xlpm.CSVVal&lt;&gt;"",_xlpm.CSVVal
)),"")</f>
        <v/>
      </c>
      <c r="K597" s="2" t="str" cm="1">
        <f t="array" ref="K597">IFERROR(_xlfn.LET(
_xlpm.CSVVal,_xlfn.XLOOKUP($A597,CSV!$A:$A,CSV!K:K,""),
_xlpm.MacVal,_xlfn.XLOOKUP($A597,Output_Mac!$A:$A,Output_Mac!K:K,""),
_xlpm.MyAuditVal,_xlfn.XLOOKUP($A597,My_Audit!$A:$A,My_Audit!J:J,""),
_xlfn.IFS(_xlpm.MyAuditVal&lt;&gt;"",UPPER(_xlpm.MyAuditVal),_xlpm.MacVal&lt;&gt;"",_xlpm.MacVal,_xlpm.CSVVal&lt;&gt;"",_xlpm.CSVVal
)),"")</f>
        <v/>
      </c>
      <c r="L597" s="2" t="str" cm="1">
        <f t="array" ref="L597">IFERROR(_xlfn.LET(
_xlpm.CSVVal,_xlfn.XLOOKUP($A597,CSV!$A:$A,CSV!P:P,""),
_xlpm.MacVal,_xlfn.XLOOKUP($A597,Output_Mac!$A:$A,Output_Mac!L:L,""),
_xlpm.MyAuditVal,_xlfn.XLOOKUP($A597,My_Audit!$A:$A,My_Audit!K:K,""),
_xlfn.IFS(_xlpm.MyAuditVal&lt;&gt;"",UPPER(_xlpm.MyAuditVal),_xlpm.MacVal&lt;&gt;"",_xlpm.MacVal,_xlpm.CSVVal&lt;&gt;"",_xlpm.CSVVal
)),"")</f>
        <v/>
      </c>
      <c r="M597" s="2" t="str" cm="1">
        <f t="array" ref="M597">IFERROR(_xlfn.LET(
_xlpm.CSVVal,_xlfn.XLOOKUP($A597,CSV!$A:$A,CSV!Q:Q,""),
_xlpm.MacVal,_xlfn.XLOOKUP($A597,Output_Mac!$A:$A,Output_Mac!M:M,""),
_xlpm.MyAuditVal,_xlfn.XLOOKUP($A597,My_Audit!$A:$A,My_Audit!L:L,""),
_xlfn.IFS(_xlpm.MyAuditVal&lt;&gt;"",UPPER(_xlpm.MyAuditVal),_xlpm.MacVal&lt;&gt;"",_xlpm.MacVal,_xlpm.CSVVal&lt;&gt;"",_xlpm.CSVVal
)),"")</f>
        <v/>
      </c>
      <c r="O597" s="2" t="str">
        <f>_xlfn.LET(
    _xlpm.CSVVal, _xlfn.XLOOKUP($A597, CSV!$A:$A, CSV!AF:AF, ""),
    _xlpm.MacVal, _xlfn.XLOOKUP($A597, Output_Mac!$A:$A, Output_Mac!S:S, ""),
    _xlpm.MyAuditVal, _xlfn.XLOOKUP($A597, My_Audit!$A:$A, My_Audit!P:P, ""),
    _xlfn.TEXTJOIN(", ", TRUE, _xlpm.MyAuditVal, _xlpm.MacVal, _xlpm.CSVVal)
)</f>
        <v/>
      </c>
      <c r="P597" s="2" t="str" cm="1">
        <f t="array" ref="P597">IFERROR(_xlfn.LET(
_xlpm.CSVVal,_xlfn.XLOOKUP($A597,CSV!$A:$A,CSV!AG:AG,""),
_xlpm.MacVal,_xlfn.XLOOKUP($A597,Output_Mac!$A:$A,Output_Mac!T:T,""),
_xlpm.MyAuditVal,_xlfn.XLOOKUP($A597,My_Audit!$A:$A,My_Audit!Q:Q,""),
_xlfn.IFS(_xlpm.MyAuditVal&lt;&gt;"",UPPER(_xlpm.MyAuditVal),_xlpm.MacVal&lt;&gt;"",_xlpm.MacVal,_xlpm.CSVVal&lt;&gt;"",_xlpm.CSVVal
)),"No")</f>
        <v>No</v>
      </c>
      <c r="Q597" s="2" t="str" cm="1">
        <f t="array" ref="Q597">IFERROR(_xlfn.LET(
_xlpm.CSVVal,_xlfn.XLOOKUP($A597,CSV!$A:$A,CSV!AH:AH,""),
_xlpm.MacVal,_xlfn.XLOOKUP($A597,Output_Mac!$A:$A,Output_Mac!U:U,""),
_xlpm.MyAuditVal,_xlfn.XLOOKUP($A597,My_Audit!$A:$A,My_Audit!R:R,""),
_xlfn.IFS(_xlpm.MyAuditVal&lt;&gt;"",UPPER(_xlpm.MyAuditVal),_xlpm.MacVal&lt;&gt;"",_xlpm.MacVal,_xlpm.CSVVal&lt;&gt;"",_xlpm.CSVVal
)),"")</f>
        <v/>
      </c>
    </row>
    <row r="598" spans="1:17">
      <c r="A598" s="2" t="str">
        <f>_xlfn.TEXTJOIN("",TRUE,Input!$B$2,ROW(My_Audit!A597))</f>
        <v>XX597</v>
      </c>
      <c r="B598" s="2" t="str">
        <f>_xlfn.TEXTJOIN("-",TRUE,"ITD",Input!$A$2,A598)</f>
        <v>ITD-SHRXXX-XX597</v>
      </c>
      <c r="C598" s="2" t="str" cm="1">
        <f t="array" ref="C598">IFERROR(_xlfn.LET(
_xlpm.CSVVal,_xlfn.XLOOKUP($A598,CSV!$A:$A,CSV!B:B,""),
_xlpm.MacVal,_xlfn.XLOOKUP($A598,Output_Mac!$A:$A,Output_Mac!B:B,""),
_xlpm.MyAuditVal,_xlfn.XLOOKUP($A598,My_Audit!$A:$A,My_Audit!B:B,""),
_xlfn.IFS(_xlpm.MyAuditVal&lt;&gt;"",UPPER(_xlpm.MyAuditVal),_xlpm.MacVal&lt;&gt;"",_xlpm.MacVal,_xlpm.CSVVal&lt;&gt;"",_xlpm.CSVVal
)),"")</f>
        <v/>
      </c>
      <c r="D598" s="2" t="str" cm="1">
        <f t="array" ref="D598">IFERROR(_xlfn.LET(
_xlpm.CSVVal,_xlfn.XLOOKUP($A598,CSV!$A:$A,CSV!D:D,""),
_xlpm.MacVal,_xlfn.XLOOKUP($A598,Output_Mac!$A:$A,Output_Mac!C:C,""),
_xlpm.MyAuditVal,_xlfn.XLOOKUP($A598,My_Audit!$A:$A,My_Audit!C:C,""),
_xlfn.IFS(_xlpm.MyAuditVal&lt;&gt;"",_xlpm.MyAuditVal,_xlpm.MacVal&lt;&gt;"",_xlpm.MacVal,_xlpm.CSVVal&lt;&gt;"",_xlpm.CSVVal
)),"")</f>
        <v/>
      </c>
      <c r="E598" s="2" t="str">
        <f>_xlfn.XLOOKUP(A598,My_Audit!A:A,My_Audit!D:D,"")&amp;""</f>
        <v/>
      </c>
      <c r="F598" s="2" t="str" cm="1">
        <f t="array" ref="F598">IFERROR(_xlfn.LET(
_xlpm.CSVVal,_xlfn.XLOOKUP($A598,CSV!$A:$A,CSV!F:F,""),
_xlpm.MacVal,_xlfn.XLOOKUP($A598,Output_Mac!$A:$A,Output_Mac!E:E,""),
_xlpm.MyAuditVal,_xlfn.XLOOKUP($A598,My_Audit!$A:$A,My_Audit!E:E,""),
_xlfn.IFS(_xlpm.MyAuditVal&lt;&gt;"",_xlpm.MyAuditVal,_xlpm.MacVal&lt;&gt;"",_xlpm.MacVal,_xlpm.CSVVal&lt;&gt;"",_xlpm.CSVVal
)),"")</f>
        <v/>
      </c>
      <c r="G598" s="2" t="str" cm="1">
        <f t="array" ref="G598">IFERROR(_xlfn.LET(
_xlpm.CSVVal,_xlfn.XLOOKUP($A598,CSV!$A:$A,CSV!G:G,""),
_xlpm.MacVal,_xlfn.XLOOKUP($A598,Output_Mac!$A:$A,Output_Mac!F:F,""),
_xlpm.MyAuditVal,_xlfn.XLOOKUP($A598,My_Audit!$A:$A,My_Audit!F:F,""),
_xlfn.IFS(_xlpm.MyAuditVal&lt;&gt;"",_xlpm.MyAuditVal,_xlpm.MacVal&lt;&gt;"",_xlpm.MacVal,_xlpm.CSVVal&lt;&gt;"",PROPER(_xlpm.CSVVal)
)),"")</f>
        <v/>
      </c>
      <c r="H598" s="2" t="str" cm="1">
        <f t="array" ref="H598">IFERROR(_xlfn.LET(
_xlpm.CSVVal,_xlfn.XLOOKUP($A598,CSV!$A:$A,CSV!H:H,""),
_xlpm.MacVal,_xlfn.XLOOKUP($A598,Output_Mac!$A:$A,Output_Mac!H:H,""),
_xlpm.MyAuditVal,_xlfn.XLOOKUP($A598,My_Audit!$A:$A,My_Audit!G:G,""),
_xlfn.IFS(_xlpm.MyAuditVal&lt;&gt;"",_xlpm.MyAuditVal,_xlpm.MacVal&lt;&gt;"",_xlpm.MacVal,_xlpm.CSVVal&lt;&gt;"",_xlpm.CSVVal
)),"")</f>
        <v/>
      </c>
      <c r="I598" s="2" t="str">
        <f>_xlfn.XLOOKUP(A598,Output_Mac!A:A,Output_Mac!I:I,"")</f>
        <v/>
      </c>
      <c r="J598" s="2" t="str" cm="1">
        <f t="array" ref="J598">IFERROR(_xlfn.LET(
_xlpm.CSVVal,_xlfn.XLOOKUP($A598,CSV!$A:$A,CSV!I:I,""),
_xlpm.MacVal,_xlfn.XLOOKUP($A598,Output_Mac!$A:$A,Output_Mac!J:J,""),
_xlpm.MyAuditVal,_xlfn.XLOOKUP($A598,My_Audit!$A:$A,My_Audit!I:I,""),
_xlfn.IFS(_xlpm.MyAuditVal&lt;&gt;"",UPPER(_xlpm.MyAuditVal),_xlpm.MacVal&lt;&gt;"",_xlpm.MacVal,_xlpm.CSVVal&lt;&gt;"",_xlpm.CSVVal
)),"")</f>
        <v/>
      </c>
      <c r="K598" s="2" t="str" cm="1">
        <f t="array" ref="K598">IFERROR(_xlfn.LET(
_xlpm.CSVVal,_xlfn.XLOOKUP($A598,CSV!$A:$A,CSV!K:K,""),
_xlpm.MacVal,_xlfn.XLOOKUP($A598,Output_Mac!$A:$A,Output_Mac!K:K,""),
_xlpm.MyAuditVal,_xlfn.XLOOKUP($A598,My_Audit!$A:$A,My_Audit!J:J,""),
_xlfn.IFS(_xlpm.MyAuditVal&lt;&gt;"",UPPER(_xlpm.MyAuditVal),_xlpm.MacVal&lt;&gt;"",_xlpm.MacVal,_xlpm.CSVVal&lt;&gt;"",_xlpm.CSVVal
)),"")</f>
        <v/>
      </c>
      <c r="L598" s="2" t="str" cm="1">
        <f t="array" ref="L598">IFERROR(_xlfn.LET(
_xlpm.CSVVal,_xlfn.XLOOKUP($A598,CSV!$A:$A,CSV!P:P,""),
_xlpm.MacVal,_xlfn.XLOOKUP($A598,Output_Mac!$A:$A,Output_Mac!L:L,""),
_xlpm.MyAuditVal,_xlfn.XLOOKUP($A598,My_Audit!$A:$A,My_Audit!K:K,""),
_xlfn.IFS(_xlpm.MyAuditVal&lt;&gt;"",UPPER(_xlpm.MyAuditVal),_xlpm.MacVal&lt;&gt;"",_xlpm.MacVal,_xlpm.CSVVal&lt;&gt;"",_xlpm.CSVVal
)),"")</f>
        <v/>
      </c>
      <c r="M598" s="2" t="str" cm="1">
        <f t="array" ref="M598">IFERROR(_xlfn.LET(
_xlpm.CSVVal,_xlfn.XLOOKUP($A598,CSV!$A:$A,CSV!Q:Q,""),
_xlpm.MacVal,_xlfn.XLOOKUP($A598,Output_Mac!$A:$A,Output_Mac!M:M,""),
_xlpm.MyAuditVal,_xlfn.XLOOKUP($A598,My_Audit!$A:$A,My_Audit!L:L,""),
_xlfn.IFS(_xlpm.MyAuditVal&lt;&gt;"",UPPER(_xlpm.MyAuditVal),_xlpm.MacVal&lt;&gt;"",_xlpm.MacVal,_xlpm.CSVVal&lt;&gt;"",_xlpm.CSVVal
)),"")</f>
        <v/>
      </c>
      <c r="O598" s="2" t="str">
        <f>_xlfn.LET(
    _xlpm.CSVVal, _xlfn.XLOOKUP($A598, CSV!$A:$A, CSV!AF:AF, ""),
    _xlpm.MacVal, _xlfn.XLOOKUP($A598, Output_Mac!$A:$A, Output_Mac!S:S, ""),
    _xlpm.MyAuditVal, _xlfn.XLOOKUP($A598, My_Audit!$A:$A, My_Audit!P:P, ""),
    _xlfn.TEXTJOIN(", ", TRUE, _xlpm.MyAuditVal, _xlpm.MacVal, _xlpm.CSVVal)
)</f>
        <v/>
      </c>
      <c r="P598" s="2" t="str" cm="1">
        <f t="array" ref="P598">IFERROR(_xlfn.LET(
_xlpm.CSVVal,_xlfn.XLOOKUP($A598,CSV!$A:$A,CSV!AG:AG,""),
_xlpm.MacVal,_xlfn.XLOOKUP($A598,Output_Mac!$A:$A,Output_Mac!T:T,""),
_xlpm.MyAuditVal,_xlfn.XLOOKUP($A598,My_Audit!$A:$A,My_Audit!Q:Q,""),
_xlfn.IFS(_xlpm.MyAuditVal&lt;&gt;"",UPPER(_xlpm.MyAuditVal),_xlpm.MacVal&lt;&gt;"",_xlpm.MacVal,_xlpm.CSVVal&lt;&gt;"",_xlpm.CSVVal
)),"No")</f>
        <v>No</v>
      </c>
      <c r="Q598" s="2" t="str" cm="1">
        <f t="array" ref="Q598">IFERROR(_xlfn.LET(
_xlpm.CSVVal,_xlfn.XLOOKUP($A598,CSV!$A:$A,CSV!AH:AH,""),
_xlpm.MacVal,_xlfn.XLOOKUP($A598,Output_Mac!$A:$A,Output_Mac!U:U,""),
_xlpm.MyAuditVal,_xlfn.XLOOKUP($A598,My_Audit!$A:$A,My_Audit!R:R,""),
_xlfn.IFS(_xlpm.MyAuditVal&lt;&gt;"",UPPER(_xlpm.MyAuditVal),_xlpm.MacVal&lt;&gt;"",_xlpm.MacVal,_xlpm.CSVVal&lt;&gt;"",_xlpm.CSVVal
)),"")</f>
        <v/>
      </c>
    </row>
    <row r="599" spans="1:17">
      <c r="A599" s="2" t="str">
        <f>_xlfn.TEXTJOIN("",TRUE,Input!$B$2,ROW(My_Audit!A598))</f>
        <v>XX598</v>
      </c>
      <c r="B599" s="2" t="str">
        <f>_xlfn.TEXTJOIN("-",TRUE,"ITD",Input!$A$2,A599)</f>
        <v>ITD-SHRXXX-XX598</v>
      </c>
      <c r="C599" s="2" t="str" cm="1">
        <f t="array" ref="C599">IFERROR(_xlfn.LET(
_xlpm.CSVVal,_xlfn.XLOOKUP($A599,CSV!$A:$A,CSV!B:B,""),
_xlpm.MacVal,_xlfn.XLOOKUP($A599,Output_Mac!$A:$A,Output_Mac!B:B,""),
_xlpm.MyAuditVal,_xlfn.XLOOKUP($A599,My_Audit!$A:$A,My_Audit!B:B,""),
_xlfn.IFS(_xlpm.MyAuditVal&lt;&gt;"",UPPER(_xlpm.MyAuditVal),_xlpm.MacVal&lt;&gt;"",_xlpm.MacVal,_xlpm.CSVVal&lt;&gt;"",_xlpm.CSVVal
)),"")</f>
        <v/>
      </c>
      <c r="D599" s="2" t="str" cm="1">
        <f t="array" ref="D599">IFERROR(_xlfn.LET(
_xlpm.CSVVal,_xlfn.XLOOKUP($A599,CSV!$A:$A,CSV!D:D,""),
_xlpm.MacVal,_xlfn.XLOOKUP($A599,Output_Mac!$A:$A,Output_Mac!C:C,""),
_xlpm.MyAuditVal,_xlfn.XLOOKUP($A599,My_Audit!$A:$A,My_Audit!C:C,""),
_xlfn.IFS(_xlpm.MyAuditVal&lt;&gt;"",_xlpm.MyAuditVal,_xlpm.MacVal&lt;&gt;"",_xlpm.MacVal,_xlpm.CSVVal&lt;&gt;"",_xlpm.CSVVal
)),"")</f>
        <v/>
      </c>
      <c r="E599" s="2" t="str">
        <f>_xlfn.XLOOKUP(A599,My_Audit!A:A,My_Audit!D:D,"")&amp;""</f>
        <v/>
      </c>
      <c r="F599" s="2" t="str" cm="1">
        <f t="array" ref="F599">IFERROR(_xlfn.LET(
_xlpm.CSVVal,_xlfn.XLOOKUP($A599,CSV!$A:$A,CSV!F:F,""),
_xlpm.MacVal,_xlfn.XLOOKUP($A599,Output_Mac!$A:$A,Output_Mac!E:E,""),
_xlpm.MyAuditVal,_xlfn.XLOOKUP($A599,My_Audit!$A:$A,My_Audit!E:E,""),
_xlfn.IFS(_xlpm.MyAuditVal&lt;&gt;"",_xlpm.MyAuditVal,_xlpm.MacVal&lt;&gt;"",_xlpm.MacVal,_xlpm.CSVVal&lt;&gt;"",_xlpm.CSVVal
)),"")</f>
        <v/>
      </c>
      <c r="G599" s="2" t="str" cm="1">
        <f t="array" ref="G599">IFERROR(_xlfn.LET(
_xlpm.CSVVal,_xlfn.XLOOKUP($A599,CSV!$A:$A,CSV!G:G,""),
_xlpm.MacVal,_xlfn.XLOOKUP($A599,Output_Mac!$A:$A,Output_Mac!F:F,""),
_xlpm.MyAuditVal,_xlfn.XLOOKUP($A599,My_Audit!$A:$A,My_Audit!F:F,""),
_xlfn.IFS(_xlpm.MyAuditVal&lt;&gt;"",_xlpm.MyAuditVal,_xlpm.MacVal&lt;&gt;"",_xlpm.MacVal,_xlpm.CSVVal&lt;&gt;"",PROPER(_xlpm.CSVVal)
)),"")</f>
        <v/>
      </c>
      <c r="H599" s="2" t="str" cm="1">
        <f t="array" ref="H599">IFERROR(_xlfn.LET(
_xlpm.CSVVal,_xlfn.XLOOKUP($A599,CSV!$A:$A,CSV!H:H,""),
_xlpm.MacVal,_xlfn.XLOOKUP($A599,Output_Mac!$A:$A,Output_Mac!H:H,""),
_xlpm.MyAuditVal,_xlfn.XLOOKUP($A599,My_Audit!$A:$A,My_Audit!G:G,""),
_xlfn.IFS(_xlpm.MyAuditVal&lt;&gt;"",_xlpm.MyAuditVal,_xlpm.MacVal&lt;&gt;"",_xlpm.MacVal,_xlpm.CSVVal&lt;&gt;"",_xlpm.CSVVal
)),"")</f>
        <v/>
      </c>
      <c r="I599" s="2" t="str">
        <f>_xlfn.XLOOKUP(A599,Output_Mac!A:A,Output_Mac!I:I,"")</f>
        <v/>
      </c>
      <c r="J599" s="2" t="str" cm="1">
        <f t="array" ref="J599">IFERROR(_xlfn.LET(
_xlpm.CSVVal,_xlfn.XLOOKUP($A599,CSV!$A:$A,CSV!I:I,""),
_xlpm.MacVal,_xlfn.XLOOKUP($A599,Output_Mac!$A:$A,Output_Mac!J:J,""),
_xlpm.MyAuditVal,_xlfn.XLOOKUP($A599,My_Audit!$A:$A,My_Audit!I:I,""),
_xlfn.IFS(_xlpm.MyAuditVal&lt;&gt;"",UPPER(_xlpm.MyAuditVal),_xlpm.MacVal&lt;&gt;"",_xlpm.MacVal,_xlpm.CSVVal&lt;&gt;"",_xlpm.CSVVal
)),"")</f>
        <v/>
      </c>
      <c r="K599" s="2" t="str" cm="1">
        <f t="array" ref="K599">IFERROR(_xlfn.LET(
_xlpm.CSVVal,_xlfn.XLOOKUP($A599,CSV!$A:$A,CSV!K:K,""),
_xlpm.MacVal,_xlfn.XLOOKUP($A599,Output_Mac!$A:$A,Output_Mac!K:K,""),
_xlpm.MyAuditVal,_xlfn.XLOOKUP($A599,My_Audit!$A:$A,My_Audit!J:J,""),
_xlfn.IFS(_xlpm.MyAuditVal&lt;&gt;"",UPPER(_xlpm.MyAuditVal),_xlpm.MacVal&lt;&gt;"",_xlpm.MacVal,_xlpm.CSVVal&lt;&gt;"",_xlpm.CSVVal
)),"")</f>
        <v/>
      </c>
      <c r="L599" s="2" t="str" cm="1">
        <f t="array" ref="L599">IFERROR(_xlfn.LET(
_xlpm.CSVVal,_xlfn.XLOOKUP($A599,CSV!$A:$A,CSV!P:P,""),
_xlpm.MacVal,_xlfn.XLOOKUP($A599,Output_Mac!$A:$A,Output_Mac!L:L,""),
_xlpm.MyAuditVal,_xlfn.XLOOKUP($A599,My_Audit!$A:$A,My_Audit!K:K,""),
_xlfn.IFS(_xlpm.MyAuditVal&lt;&gt;"",UPPER(_xlpm.MyAuditVal),_xlpm.MacVal&lt;&gt;"",_xlpm.MacVal,_xlpm.CSVVal&lt;&gt;"",_xlpm.CSVVal
)),"")</f>
        <v/>
      </c>
      <c r="M599" s="2" t="str" cm="1">
        <f t="array" ref="M599">IFERROR(_xlfn.LET(
_xlpm.CSVVal,_xlfn.XLOOKUP($A599,CSV!$A:$A,CSV!Q:Q,""),
_xlpm.MacVal,_xlfn.XLOOKUP($A599,Output_Mac!$A:$A,Output_Mac!M:M,""),
_xlpm.MyAuditVal,_xlfn.XLOOKUP($A599,My_Audit!$A:$A,My_Audit!L:L,""),
_xlfn.IFS(_xlpm.MyAuditVal&lt;&gt;"",UPPER(_xlpm.MyAuditVal),_xlpm.MacVal&lt;&gt;"",_xlpm.MacVal,_xlpm.CSVVal&lt;&gt;"",_xlpm.CSVVal
)),"")</f>
        <v/>
      </c>
      <c r="O599" s="2" t="str">
        <f>_xlfn.LET(
    _xlpm.CSVVal, _xlfn.XLOOKUP($A599, CSV!$A:$A, CSV!AF:AF, ""),
    _xlpm.MacVal, _xlfn.XLOOKUP($A599, Output_Mac!$A:$A, Output_Mac!S:S, ""),
    _xlpm.MyAuditVal, _xlfn.XLOOKUP($A599, My_Audit!$A:$A, My_Audit!P:P, ""),
    _xlfn.TEXTJOIN(", ", TRUE, _xlpm.MyAuditVal, _xlpm.MacVal, _xlpm.CSVVal)
)</f>
        <v/>
      </c>
      <c r="P599" s="2" t="str" cm="1">
        <f t="array" ref="P599">IFERROR(_xlfn.LET(
_xlpm.CSVVal,_xlfn.XLOOKUP($A599,CSV!$A:$A,CSV!AG:AG,""),
_xlpm.MacVal,_xlfn.XLOOKUP($A599,Output_Mac!$A:$A,Output_Mac!T:T,""),
_xlpm.MyAuditVal,_xlfn.XLOOKUP($A599,My_Audit!$A:$A,My_Audit!Q:Q,""),
_xlfn.IFS(_xlpm.MyAuditVal&lt;&gt;"",UPPER(_xlpm.MyAuditVal),_xlpm.MacVal&lt;&gt;"",_xlpm.MacVal,_xlpm.CSVVal&lt;&gt;"",_xlpm.CSVVal
)),"No")</f>
        <v>No</v>
      </c>
      <c r="Q599" s="2" t="str" cm="1">
        <f t="array" ref="Q599">IFERROR(_xlfn.LET(
_xlpm.CSVVal,_xlfn.XLOOKUP($A599,CSV!$A:$A,CSV!AH:AH,""),
_xlpm.MacVal,_xlfn.XLOOKUP($A599,Output_Mac!$A:$A,Output_Mac!U:U,""),
_xlpm.MyAuditVal,_xlfn.XLOOKUP($A599,My_Audit!$A:$A,My_Audit!R:R,""),
_xlfn.IFS(_xlpm.MyAuditVal&lt;&gt;"",UPPER(_xlpm.MyAuditVal),_xlpm.MacVal&lt;&gt;"",_xlpm.MacVal,_xlpm.CSVVal&lt;&gt;"",_xlpm.CSVVal
)),"")</f>
        <v/>
      </c>
    </row>
    <row r="600" spans="1:17">
      <c r="A600" s="2" t="str">
        <f>_xlfn.TEXTJOIN("",TRUE,Input!$B$2,ROW(My_Audit!A599))</f>
        <v>XX599</v>
      </c>
      <c r="B600" s="2" t="str">
        <f>_xlfn.TEXTJOIN("-",TRUE,"ITD",Input!$A$2,A600)</f>
        <v>ITD-SHRXXX-XX599</v>
      </c>
      <c r="C600" s="2" t="str" cm="1">
        <f t="array" ref="C600">IFERROR(_xlfn.LET(
_xlpm.CSVVal,_xlfn.XLOOKUP($A600,CSV!$A:$A,CSV!B:B,""),
_xlpm.MacVal,_xlfn.XLOOKUP($A600,Output_Mac!$A:$A,Output_Mac!B:B,""),
_xlpm.MyAuditVal,_xlfn.XLOOKUP($A600,My_Audit!$A:$A,My_Audit!B:B,""),
_xlfn.IFS(_xlpm.MyAuditVal&lt;&gt;"",UPPER(_xlpm.MyAuditVal),_xlpm.MacVal&lt;&gt;"",_xlpm.MacVal,_xlpm.CSVVal&lt;&gt;"",_xlpm.CSVVal
)),"")</f>
        <v/>
      </c>
      <c r="D600" s="2" t="str" cm="1">
        <f t="array" ref="D600">IFERROR(_xlfn.LET(
_xlpm.CSVVal,_xlfn.XLOOKUP($A600,CSV!$A:$A,CSV!D:D,""),
_xlpm.MacVal,_xlfn.XLOOKUP($A600,Output_Mac!$A:$A,Output_Mac!C:C,""),
_xlpm.MyAuditVal,_xlfn.XLOOKUP($A600,My_Audit!$A:$A,My_Audit!C:C,""),
_xlfn.IFS(_xlpm.MyAuditVal&lt;&gt;"",_xlpm.MyAuditVal,_xlpm.MacVal&lt;&gt;"",_xlpm.MacVal,_xlpm.CSVVal&lt;&gt;"",_xlpm.CSVVal
)),"")</f>
        <v/>
      </c>
      <c r="E600" s="2" t="str">
        <f>_xlfn.XLOOKUP(A600,My_Audit!A:A,My_Audit!D:D,"")&amp;""</f>
        <v/>
      </c>
      <c r="F600" s="2" t="str" cm="1">
        <f t="array" ref="F600">IFERROR(_xlfn.LET(
_xlpm.CSVVal,_xlfn.XLOOKUP($A600,CSV!$A:$A,CSV!F:F,""),
_xlpm.MacVal,_xlfn.XLOOKUP($A600,Output_Mac!$A:$A,Output_Mac!E:E,""),
_xlpm.MyAuditVal,_xlfn.XLOOKUP($A600,My_Audit!$A:$A,My_Audit!E:E,""),
_xlfn.IFS(_xlpm.MyAuditVal&lt;&gt;"",_xlpm.MyAuditVal,_xlpm.MacVal&lt;&gt;"",_xlpm.MacVal,_xlpm.CSVVal&lt;&gt;"",_xlpm.CSVVal
)),"")</f>
        <v/>
      </c>
      <c r="G600" s="2" t="str" cm="1">
        <f t="array" ref="G600">IFERROR(_xlfn.LET(
_xlpm.CSVVal,_xlfn.XLOOKUP($A600,CSV!$A:$A,CSV!G:G,""),
_xlpm.MacVal,_xlfn.XLOOKUP($A600,Output_Mac!$A:$A,Output_Mac!F:F,""),
_xlpm.MyAuditVal,_xlfn.XLOOKUP($A600,My_Audit!$A:$A,My_Audit!F:F,""),
_xlfn.IFS(_xlpm.MyAuditVal&lt;&gt;"",_xlpm.MyAuditVal,_xlpm.MacVal&lt;&gt;"",_xlpm.MacVal,_xlpm.CSVVal&lt;&gt;"",PROPER(_xlpm.CSVVal)
)),"")</f>
        <v/>
      </c>
      <c r="H600" s="2" t="str" cm="1">
        <f t="array" ref="H600">IFERROR(_xlfn.LET(
_xlpm.CSVVal,_xlfn.XLOOKUP($A600,CSV!$A:$A,CSV!H:H,""),
_xlpm.MacVal,_xlfn.XLOOKUP($A600,Output_Mac!$A:$A,Output_Mac!H:H,""),
_xlpm.MyAuditVal,_xlfn.XLOOKUP($A600,My_Audit!$A:$A,My_Audit!G:G,""),
_xlfn.IFS(_xlpm.MyAuditVal&lt;&gt;"",_xlpm.MyAuditVal,_xlpm.MacVal&lt;&gt;"",_xlpm.MacVal,_xlpm.CSVVal&lt;&gt;"",_xlpm.CSVVal
)),"")</f>
        <v/>
      </c>
      <c r="I600" s="2" t="str">
        <f>_xlfn.XLOOKUP(A600,Output_Mac!A:A,Output_Mac!I:I,"")</f>
        <v/>
      </c>
      <c r="J600" s="2" t="str" cm="1">
        <f t="array" ref="J600">IFERROR(_xlfn.LET(
_xlpm.CSVVal,_xlfn.XLOOKUP($A600,CSV!$A:$A,CSV!I:I,""),
_xlpm.MacVal,_xlfn.XLOOKUP($A600,Output_Mac!$A:$A,Output_Mac!J:J,""),
_xlpm.MyAuditVal,_xlfn.XLOOKUP($A600,My_Audit!$A:$A,My_Audit!I:I,""),
_xlfn.IFS(_xlpm.MyAuditVal&lt;&gt;"",UPPER(_xlpm.MyAuditVal),_xlpm.MacVal&lt;&gt;"",_xlpm.MacVal,_xlpm.CSVVal&lt;&gt;"",_xlpm.CSVVal
)),"")</f>
        <v/>
      </c>
      <c r="K600" s="2" t="str" cm="1">
        <f t="array" ref="K600">IFERROR(_xlfn.LET(
_xlpm.CSVVal,_xlfn.XLOOKUP($A600,CSV!$A:$A,CSV!K:K,""),
_xlpm.MacVal,_xlfn.XLOOKUP($A600,Output_Mac!$A:$A,Output_Mac!K:K,""),
_xlpm.MyAuditVal,_xlfn.XLOOKUP($A600,My_Audit!$A:$A,My_Audit!J:J,""),
_xlfn.IFS(_xlpm.MyAuditVal&lt;&gt;"",UPPER(_xlpm.MyAuditVal),_xlpm.MacVal&lt;&gt;"",_xlpm.MacVal,_xlpm.CSVVal&lt;&gt;"",_xlpm.CSVVal
)),"")</f>
        <v/>
      </c>
      <c r="L600" s="2" t="str" cm="1">
        <f t="array" ref="L600">IFERROR(_xlfn.LET(
_xlpm.CSVVal,_xlfn.XLOOKUP($A600,CSV!$A:$A,CSV!P:P,""),
_xlpm.MacVal,_xlfn.XLOOKUP($A600,Output_Mac!$A:$A,Output_Mac!L:L,""),
_xlpm.MyAuditVal,_xlfn.XLOOKUP($A600,My_Audit!$A:$A,My_Audit!K:K,""),
_xlfn.IFS(_xlpm.MyAuditVal&lt;&gt;"",UPPER(_xlpm.MyAuditVal),_xlpm.MacVal&lt;&gt;"",_xlpm.MacVal,_xlpm.CSVVal&lt;&gt;"",_xlpm.CSVVal
)),"")</f>
        <v/>
      </c>
      <c r="M600" s="2" t="str" cm="1">
        <f t="array" ref="M600">IFERROR(_xlfn.LET(
_xlpm.CSVVal,_xlfn.XLOOKUP($A600,CSV!$A:$A,CSV!Q:Q,""),
_xlpm.MacVal,_xlfn.XLOOKUP($A600,Output_Mac!$A:$A,Output_Mac!M:M,""),
_xlpm.MyAuditVal,_xlfn.XLOOKUP($A600,My_Audit!$A:$A,My_Audit!L:L,""),
_xlfn.IFS(_xlpm.MyAuditVal&lt;&gt;"",UPPER(_xlpm.MyAuditVal),_xlpm.MacVal&lt;&gt;"",_xlpm.MacVal,_xlpm.CSVVal&lt;&gt;"",_xlpm.CSVVal
)),"")</f>
        <v/>
      </c>
      <c r="O600" s="2" t="str">
        <f>_xlfn.LET(
    _xlpm.CSVVal, _xlfn.XLOOKUP($A600, CSV!$A:$A, CSV!AF:AF, ""),
    _xlpm.MacVal, _xlfn.XLOOKUP($A600, Output_Mac!$A:$A, Output_Mac!S:S, ""),
    _xlpm.MyAuditVal, _xlfn.XLOOKUP($A600, My_Audit!$A:$A, My_Audit!P:P, ""),
    _xlfn.TEXTJOIN(", ", TRUE, _xlpm.MyAuditVal, _xlpm.MacVal, _xlpm.CSVVal)
)</f>
        <v/>
      </c>
      <c r="P600" s="2" t="str" cm="1">
        <f t="array" ref="P600">IFERROR(_xlfn.LET(
_xlpm.CSVVal,_xlfn.XLOOKUP($A600,CSV!$A:$A,CSV!AG:AG,""),
_xlpm.MacVal,_xlfn.XLOOKUP($A600,Output_Mac!$A:$A,Output_Mac!T:T,""),
_xlpm.MyAuditVal,_xlfn.XLOOKUP($A600,My_Audit!$A:$A,My_Audit!Q:Q,""),
_xlfn.IFS(_xlpm.MyAuditVal&lt;&gt;"",UPPER(_xlpm.MyAuditVal),_xlpm.MacVal&lt;&gt;"",_xlpm.MacVal,_xlpm.CSVVal&lt;&gt;"",_xlpm.CSVVal
)),"No")</f>
        <v>No</v>
      </c>
      <c r="Q600" s="2" t="str" cm="1">
        <f t="array" ref="Q600">IFERROR(_xlfn.LET(
_xlpm.CSVVal,_xlfn.XLOOKUP($A600,CSV!$A:$A,CSV!AH:AH,""),
_xlpm.MacVal,_xlfn.XLOOKUP($A600,Output_Mac!$A:$A,Output_Mac!U:U,""),
_xlpm.MyAuditVal,_xlfn.XLOOKUP($A600,My_Audit!$A:$A,My_Audit!R:R,""),
_xlfn.IFS(_xlpm.MyAuditVal&lt;&gt;"",UPPER(_xlpm.MyAuditVal),_xlpm.MacVal&lt;&gt;"",_xlpm.MacVal,_xlpm.CSVVal&lt;&gt;"",_xlpm.CSVVal
)),"")</f>
        <v/>
      </c>
    </row>
    <row r="601" spans="1:17">
      <c r="A601" s="2" t="str">
        <f>_xlfn.TEXTJOIN("",TRUE,Input!$B$2,ROW(My_Audit!A600))</f>
        <v>XX600</v>
      </c>
      <c r="B601" s="2" t="str">
        <f>_xlfn.TEXTJOIN("-",TRUE,"ITD",Input!$A$2,A601)</f>
        <v>ITD-SHRXXX-XX600</v>
      </c>
      <c r="C601" s="2" t="str" cm="1">
        <f t="array" ref="C601">IFERROR(_xlfn.LET(
_xlpm.CSVVal,_xlfn.XLOOKUP($A601,CSV!$A:$A,CSV!B:B,""),
_xlpm.MacVal,_xlfn.XLOOKUP($A601,Output_Mac!$A:$A,Output_Mac!B:B,""),
_xlpm.MyAuditVal,_xlfn.XLOOKUP($A601,My_Audit!$A:$A,My_Audit!B:B,""),
_xlfn.IFS(_xlpm.MyAuditVal&lt;&gt;"",UPPER(_xlpm.MyAuditVal),_xlpm.MacVal&lt;&gt;"",_xlpm.MacVal,_xlpm.CSVVal&lt;&gt;"",_xlpm.CSVVal
)),"")</f>
        <v/>
      </c>
      <c r="D601" s="2" t="str" cm="1">
        <f t="array" ref="D601">IFERROR(_xlfn.LET(
_xlpm.CSVVal,_xlfn.XLOOKUP($A601,CSV!$A:$A,CSV!D:D,""),
_xlpm.MacVal,_xlfn.XLOOKUP($A601,Output_Mac!$A:$A,Output_Mac!C:C,""),
_xlpm.MyAuditVal,_xlfn.XLOOKUP($A601,My_Audit!$A:$A,My_Audit!C:C,""),
_xlfn.IFS(_xlpm.MyAuditVal&lt;&gt;"",_xlpm.MyAuditVal,_xlpm.MacVal&lt;&gt;"",_xlpm.MacVal,_xlpm.CSVVal&lt;&gt;"",_xlpm.CSVVal
)),"")</f>
        <v/>
      </c>
      <c r="E601" s="2" t="str">
        <f>_xlfn.XLOOKUP(A601,My_Audit!A:A,My_Audit!D:D,"")&amp;""</f>
        <v/>
      </c>
      <c r="F601" s="2" t="str" cm="1">
        <f t="array" ref="F601">IFERROR(_xlfn.LET(
_xlpm.CSVVal,_xlfn.XLOOKUP($A601,CSV!$A:$A,CSV!F:F,""),
_xlpm.MacVal,_xlfn.XLOOKUP($A601,Output_Mac!$A:$A,Output_Mac!E:E,""),
_xlpm.MyAuditVal,_xlfn.XLOOKUP($A601,My_Audit!$A:$A,My_Audit!E:E,""),
_xlfn.IFS(_xlpm.MyAuditVal&lt;&gt;"",_xlpm.MyAuditVal,_xlpm.MacVal&lt;&gt;"",_xlpm.MacVal,_xlpm.CSVVal&lt;&gt;"",_xlpm.CSVVal
)),"")</f>
        <v/>
      </c>
      <c r="G601" s="2" t="str" cm="1">
        <f t="array" ref="G601">IFERROR(_xlfn.LET(
_xlpm.CSVVal,_xlfn.XLOOKUP($A601,CSV!$A:$A,CSV!G:G,""),
_xlpm.MacVal,_xlfn.XLOOKUP($A601,Output_Mac!$A:$A,Output_Mac!F:F,""),
_xlpm.MyAuditVal,_xlfn.XLOOKUP($A601,My_Audit!$A:$A,My_Audit!F:F,""),
_xlfn.IFS(_xlpm.MyAuditVal&lt;&gt;"",_xlpm.MyAuditVal,_xlpm.MacVal&lt;&gt;"",_xlpm.MacVal,_xlpm.CSVVal&lt;&gt;"",PROPER(_xlpm.CSVVal)
)),"")</f>
        <v/>
      </c>
      <c r="H601" s="2" t="str" cm="1">
        <f t="array" ref="H601">IFERROR(_xlfn.LET(
_xlpm.CSVVal,_xlfn.XLOOKUP($A601,CSV!$A:$A,CSV!H:H,""),
_xlpm.MacVal,_xlfn.XLOOKUP($A601,Output_Mac!$A:$A,Output_Mac!H:H,""),
_xlpm.MyAuditVal,_xlfn.XLOOKUP($A601,My_Audit!$A:$A,My_Audit!G:G,""),
_xlfn.IFS(_xlpm.MyAuditVal&lt;&gt;"",_xlpm.MyAuditVal,_xlpm.MacVal&lt;&gt;"",_xlpm.MacVal,_xlpm.CSVVal&lt;&gt;"",_xlpm.CSVVal
)),"")</f>
        <v/>
      </c>
      <c r="I601" s="2" t="str">
        <f>_xlfn.XLOOKUP(A601,Output_Mac!A:A,Output_Mac!I:I,"")</f>
        <v/>
      </c>
      <c r="J601" s="2" t="str" cm="1">
        <f t="array" ref="J601">IFERROR(_xlfn.LET(
_xlpm.CSVVal,_xlfn.XLOOKUP($A601,CSV!$A:$A,CSV!I:I,""),
_xlpm.MacVal,_xlfn.XLOOKUP($A601,Output_Mac!$A:$A,Output_Mac!J:J,""),
_xlpm.MyAuditVal,_xlfn.XLOOKUP($A601,My_Audit!$A:$A,My_Audit!I:I,""),
_xlfn.IFS(_xlpm.MyAuditVal&lt;&gt;"",UPPER(_xlpm.MyAuditVal),_xlpm.MacVal&lt;&gt;"",_xlpm.MacVal,_xlpm.CSVVal&lt;&gt;"",_xlpm.CSVVal
)),"")</f>
        <v/>
      </c>
      <c r="K601" s="2" t="str" cm="1">
        <f t="array" ref="K601">IFERROR(_xlfn.LET(
_xlpm.CSVVal,_xlfn.XLOOKUP($A601,CSV!$A:$A,CSV!K:K,""),
_xlpm.MacVal,_xlfn.XLOOKUP($A601,Output_Mac!$A:$A,Output_Mac!K:K,""),
_xlpm.MyAuditVal,_xlfn.XLOOKUP($A601,My_Audit!$A:$A,My_Audit!J:J,""),
_xlfn.IFS(_xlpm.MyAuditVal&lt;&gt;"",UPPER(_xlpm.MyAuditVal),_xlpm.MacVal&lt;&gt;"",_xlpm.MacVal,_xlpm.CSVVal&lt;&gt;"",_xlpm.CSVVal
)),"")</f>
        <v/>
      </c>
      <c r="L601" s="2" t="str" cm="1">
        <f t="array" ref="L601">IFERROR(_xlfn.LET(
_xlpm.CSVVal,_xlfn.XLOOKUP($A601,CSV!$A:$A,CSV!P:P,""),
_xlpm.MacVal,_xlfn.XLOOKUP($A601,Output_Mac!$A:$A,Output_Mac!L:L,""),
_xlpm.MyAuditVal,_xlfn.XLOOKUP($A601,My_Audit!$A:$A,My_Audit!K:K,""),
_xlfn.IFS(_xlpm.MyAuditVal&lt;&gt;"",UPPER(_xlpm.MyAuditVal),_xlpm.MacVal&lt;&gt;"",_xlpm.MacVal,_xlpm.CSVVal&lt;&gt;"",_xlpm.CSVVal
)),"")</f>
        <v/>
      </c>
      <c r="M601" s="2" t="str" cm="1">
        <f t="array" ref="M601">IFERROR(_xlfn.LET(
_xlpm.CSVVal,_xlfn.XLOOKUP($A601,CSV!$A:$A,CSV!Q:Q,""),
_xlpm.MacVal,_xlfn.XLOOKUP($A601,Output_Mac!$A:$A,Output_Mac!M:M,""),
_xlpm.MyAuditVal,_xlfn.XLOOKUP($A601,My_Audit!$A:$A,My_Audit!L:L,""),
_xlfn.IFS(_xlpm.MyAuditVal&lt;&gt;"",UPPER(_xlpm.MyAuditVal),_xlpm.MacVal&lt;&gt;"",_xlpm.MacVal,_xlpm.CSVVal&lt;&gt;"",_xlpm.CSVVal
)),"")</f>
        <v/>
      </c>
      <c r="O601" s="2" t="str">
        <f>_xlfn.LET(
    _xlpm.CSVVal, _xlfn.XLOOKUP($A601, CSV!$A:$A, CSV!AF:AF, ""),
    _xlpm.MacVal, _xlfn.XLOOKUP($A601, Output_Mac!$A:$A, Output_Mac!S:S, ""),
    _xlpm.MyAuditVal, _xlfn.XLOOKUP($A601, My_Audit!$A:$A, My_Audit!P:P, ""),
    _xlfn.TEXTJOIN(", ", TRUE, _xlpm.MyAuditVal, _xlpm.MacVal, _xlpm.CSVVal)
)</f>
        <v/>
      </c>
      <c r="P601" s="2" t="str" cm="1">
        <f t="array" ref="P601">IFERROR(_xlfn.LET(
_xlpm.CSVVal,_xlfn.XLOOKUP($A601,CSV!$A:$A,CSV!AG:AG,""),
_xlpm.MacVal,_xlfn.XLOOKUP($A601,Output_Mac!$A:$A,Output_Mac!T:T,""),
_xlpm.MyAuditVal,_xlfn.XLOOKUP($A601,My_Audit!$A:$A,My_Audit!Q:Q,""),
_xlfn.IFS(_xlpm.MyAuditVal&lt;&gt;"",UPPER(_xlpm.MyAuditVal),_xlpm.MacVal&lt;&gt;"",_xlpm.MacVal,_xlpm.CSVVal&lt;&gt;"",_xlpm.CSVVal
)),"No")</f>
        <v>No</v>
      </c>
      <c r="Q601" s="2" t="str" cm="1">
        <f t="array" ref="Q601">IFERROR(_xlfn.LET(
_xlpm.CSVVal,_xlfn.XLOOKUP($A601,CSV!$A:$A,CSV!AH:AH,""),
_xlpm.MacVal,_xlfn.XLOOKUP($A601,Output_Mac!$A:$A,Output_Mac!U:U,""),
_xlpm.MyAuditVal,_xlfn.XLOOKUP($A601,My_Audit!$A:$A,My_Audit!R:R,""),
_xlfn.IFS(_xlpm.MyAuditVal&lt;&gt;"",UPPER(_xlpm.MyAuditVal),_xlpm.MacVal&lt;&gt;"",_xlpm.MacVal,_xlpm.CSVVal&lt;&gt;"",_xlpm.CSVVal
)),"")</f>
        <v/>
      </c>
    </row>
    <row r="602" spans="1:17">
      <c r="A602" s="2" t="str">
        <f>_xlfn.TEXTJOIN("",TRUE,Input!$B$2,ROW(My_Audit!A601))</f>
        <v>XX601</v>
      </c>
      <c r="B602" s="2" t="str">
        <f>_xlfn.TEXTJOIN("-",TRUE,"ITD",Input!$A$2,A602)</f>
        <v>ITD-SHRXXX-XX601</v>
      </c>
      <c r="C602" s="2" t="str" cm="1">
        <f t="array" ref="C602">IFERROR(_xlfn.LET(
_xlpm.CSVVal,_xlfn.XLOOKUP($A602,CSV!$A:$A,CSV!B:B,""),
_xlpm.MacVal,_xlfn.XLOOKUP($A602,Output_Mac!$A:$A,Output_Mac!B:B,""),
_xlpm.MyAuditVal,_xlfn.XLOOKUP($A602,My_Audit!$A:$A,My_Audit!B:B,""),
_xlfn.IFS(_xlpm.MyAuditVal&lt;&gt;"",UPPER(_xlpm.MyAuditVal),_xlpm.MacVal&lt;&gt;"",_xlpm.MacVal,_xlpm.CSVVal&lt;&gt;"",_xlpm.CSVVal
)),"")</f>
        <v/>
      </c>
      <c r="D602" s="2" t="str" cm="1">
        <f t="array" ref="D602">IFERROR(_xlfn.LET(
_xlpm.CSVVal,_xlfn.XLOOKUP($A602,CSV!$A:$A,CSV!D:D,""),
_xlpm.MacVal,_xlfn.XLOOKUP($A602,Output_Mac!$A:$A,Output_Mac!C:C,""),
_xlpm.MyAuditVal,_xlfn.XLOOKUP($A602,My_Audit!$A:$A,My_Audit!C:C,""),
_xlfn.IFS(_xlpm.MyAuditVal&lt;&gt;"",_xlpm.MyAuditVal,_xlpm.MacVal&lt;&gt;"",_xlpm.MacVal,_xlpm.CSVVal&lt;&gt;"",_xlpm.CSVVal
)),"")</f>
        <v/>
      </c>
      <c r="E602" s="2" t="str">
        <f>_xlfn.XLOOKUP(A602,My_Audit!A:A,My_Audit!D:D,"")&amp;""</f>
        <v/>
      </c>
      <c r="F602" s="2" t="str" cm="1">
        <f t="array" ref="F602">IFERROR(_xlfn.LET(
_xlpm.CSVVal,_xlfn.XLOOKUP($A602,CSV!$A:$A,CSV!F:F,""),
_xlpm.MacVal,_xlfn.XLOOKUP($A602,Output_Mac!$A:$A,Output_Mac!E:E,""),
_xlpm.MyAuditVal,_xlfn.XLOOKUP($A602,My_Audit!$A:$A,My_Audit!E:E,""),
_xlfn.IFS(_xlpm.MyAuditVal&lt;&gt;"",_xlpm.MyAuditVal,_xlpm.MacVal&lt;&gt;"",_xlpm.MacVal,_xlpm.CSVVal&lt;&gt;"",_xlpm.CSVVal
)),"")</f>
        <v/>
      </c>
      <c r="G602" s="2" t="str" cm="1">
        <f t="array" ref="G602">IFERROR(_xlfn.LET(
_xlpm.CSVVal,_xlfn.XLOOKUP($A602,CSV!$A:$A,CSV!G:G,""),
_xlpm.MacVal,_xlfn.XLOOKUP($A602,Output_Mac!$A:$A,Output_Mac!F:F,""),
_xlpm.MyAuditVal,_xlfn.XLOOKUP($A602,My_Audit!$A:$A,My_Audit!F:F,""),
_xlfn.IFS(_xlpm.MyAuditVal&lt;&gt;"",_xlpm.MyAuditVal,_xlpm.MacVal&lt;&gt;"",_xlpm.MacVal,_xlpm.CSVVal&lt;&gt;"",PROPER(_xlpm.CSVVal)
)),"")</f>
        <v/>
      </c>
      <c r="H602" s="2" t="str" cm="1">
        <f t="array" ref="H602">IFERROR(_xlfn.LET(
_xlpm.CSVVal,_xlfn.XLOOKUP($A602,CSV!$A:$A,CSV!H:H,""),
_xlpm.MacVal,_xlfn.XLOOKUP($A602,Output_Mac!$A:$A,Output_Mac!H:H,""),
_xlpm.MyAuditVal,_xlfn.XLOOKUP($A602,My_Audit!$A:$A,My_Audit!G:G,""),
_xlfn.IFS(_xlpm.MyAuditVal&lt;&gt;"",_xlpm.MyAuditVal,_xlpm.MacVal&lt;&gt;"",_xlpm.MacVal,_xlpm.CSVVal&lt;&gt;"",_xlpm.CSVVal
)),"")</f>
        <v/>
      </c>
      <c r="I602" s="2" t="str">
        <f>_xlfn.XLOOKUP(A602,Output_Mac!A:A,Output_Mac!I:I,"")</f>
        <v/>
      </c>
      <c r="J602" s="2" t="str" cm="1">
        <f t="array" ref="J602">IFERROR(_xlfn.LET(
_xlpm.CSVVal,_xlfn.XLOOKUP($A602,CSV!$A:$A,CSV!I:I,""),
_xlpm.MacVal,_xlfn.XLOOKUP($A602,Output_Mac!$A:$A,Output_Mac!J:J,""),
_xlpm.MyAuditVal,_xlfn.XLOOKUP($A602,My_Audit!$A:$A,My_Audit!I:I,""),
_xlfn.IFS(_xlpm.MyAuditVal&lt;&gt;"",UPPER(_xlpm.MyAuditVal),_xlpm.MacVal&lt;&gt;"",_xlpm.MacVal,_xlpm.CSVVal&lt;&gt;"",_xlpm.CSVVal
)),"")</f>
        <v/>
      </c>
      <c r="K602" s="2" t="str" cm="1">
        <f t="array" ref="K602">IFERROR(_xlfn.LET(
_xlpm.CSVVal,_xlfn.XLOOKUP($A602,CSV!$A:$A,CSV!K:K,""),
_xlpm.MacVal,_xlfn.XLOOKUP($A602,Output_Mac!$A:$A,Output_Mac!K:K,""),
_xlpm.MyAuditVal,_xlfn.XLOOKUP($A602,My_Audit!$A:$A,My_Audit!J:J,""),
_xlfn.IFS(_xlpm.MyAuditVal&lt;&gt;"",UPPER(_xlpm.MyAuditVal),_xlpm.MacVal&lt;&gt;"",_xlpm.MacVal,_xlpm.CSVVal&lt;&gt;"",_xlpm.CSVVal
)),"")</f>
        <v/>
      </c>
      <c r="L602" s="2" t="str" cm="1">
        <f t="array" ref="L602">IFERROR(_xlfn.LET(
_xlpm.CSVVal,_xlfn.XLOOKUP($A602,CSV!$A:$A,CSV!P:P,""),
_xlpm.MacVal,_xlfn.XLOOKUP($A602,Output_Mac!$A:$A,Output_Mac!L:L,""),
_xlpm.MyAuditVal,_xlfn.XLOOKUP($A602,My_Audit!$A:$A,My_Audit!K:K,""),
_xlfn.IFS(_xlpm.MyAuditVal&lt;&gt;"",UPPER(_xlpm.MyAuditVal),_xlpm.MacVal&lt;&gt;"",_xlpm.MacVal,_xlpm.CSVVal&lt;&gt;"",_xlpm.CSVVal
)),"")</f>
        <v/>
      </c>
      <c r="M602" s="2" t="str" cm="1">
        <f t="array" ref="M602">IFERROR(_xlfn.LET(
_xlpm.CSVVal,_xlfn.XLOOKUP($A602,CSV!$A:$A,CSV!Q:Q,""),
_xlpm.MacVal,_xlfn.XLOOKUP($A602,Output_Mac!$A:$A,Output_Mac!M:M,""),
_xlpm.MyAuditVal,_xlfn.XLOOKUP($A602,My_Audit!$A:$A,My_Audit!L:L,""),
_xlfn.IFS(_xlpm.MyAuditVal&lt;&gt;"",UPPER(_xlpm.MyAuditVal),_xlpm.MacVal&lt;&gt;"",_xlpm.MacVal,_xlpm.CSVVal&lt;&gt;"",_xlpm.CSVVal
)),"")</f>
        <v/>
      </c>
      <c r="O602" s="2" t="str">
        <f>_xlfn.LET(
    _xlpm.CSVVal, _xlfn.XLOOKUP($A602, CSV!$A:$A, CSV!AF:AF, ""),
    _xlpm.MacVal, _xlfn.XLOOKUP($A602, Output_Mac!$A:$A, Output_Mac!S:S, ""),
    _xlpm.MyAuditVal, _xlfn.XLOOKUP($A602, My_Audit!$A:$A, My_Audit!P:P, ""),
    _xlfn.TEXTJOIN(", ", TRUE, _xlpm.MyAuditVal, _xlpm.MacVal, _xlpm.CSVVal)
)</f>
        <v/>
      </c>
      <c r="P602" s="2" t="str" cm="1">
        <f t="array" ref="P602">IFERROR(_xlfn.LET(
_xlpm.CSVVal,_xlfn.XLOOKUP($A602,CSV!$A:$A,CSV!AG:AG,""),
_xlpm.MacVal,_xlfn.XLOOKUP($A602,Output_Mac!$A:$A,Output_Mac!T:T,""),
_xlpm.MyAuditVal,_xlfn.XLOOKUP($A602,My_Audit!$A:$A,My_Audit!Q:Q,""),
_xlfn.IFS(_xlpm.MyAuditVal&lt;&gt;"",UPPER(_xlpm.MyAuditVal),_xlpm.MacVal&lt;&gt;"",_xlpm.MacVal,_xlpm.CSVVal&lt;&gt;"",_xlpm.CSVVal
)),"No")</f>
        <v>No</v>
      </c>
      <c r="Q602" s="2" t="str" cm="1">
        <f t="array" ref="Q602">IFERROR(_xlfn.LET(
_xlpm.CSVVal,_xlfn.XLOOKUP($A602,CSV!$A:$A,CSV!AH:AH,""),
_xlpm.MacVal,_xlfn.XLOOKUP($A602,Output_Mac!$A:$A,Output_Mac!U:U,""),
_xlpm.MyAuditVal,_xlfn.XLOOKUP($A602,My_Audit!$A:$A,My_Audit!R:R,""),
_xlfn.IFS(_xlpm.MyAuditVal&lt;&gt;"",UPPER(_xlpm.MyAuditVal),_xlpm.MacVal&lt;&gt;"",_xlpm.MacVal,_xlpm.CSVVal&lt;&gt;"",_xlpm.CSVVal
)),"")</f>
        <v/>
      </c>
    </row>
    <row r="603" spans="1:17">
      <c r="A603" s="2" t="str">
        <f>_xlfn.TEXTJOIN("",TRUE,Input!$B$2,ROW(My_Audit!A602))</f>
        <v>XX602</v>
      </c>
      <c r="B603" s="2" t="str">
        <f>_xlfn.TEXTJOIN("-",TRUE,"ITD",Input!$A$2,A603)</f>
        <v>ITD-SHRXXX-XX602</v>
      </c>
      <c r="C603" s="2" t="str" cm="1">
        <f t="array" ref="C603">IFERROR(_xlfn.LET(
_xlpm.CSVVal,_xlfn.XLOOKUP($A603,CSV!$A:$A,CSV!B:B,""),
_xlpm.MacVal,_xlfn.XLOOKUP($A603,Output_Mac!$A:$A,Output_Mac!B:B,""),
_xlpm.MyAuditVal,_xlfn.XLOOKUP($A603,My_Audit!$A:$A,My_Audit!B:B,""),
_xlfn.IFS(_xlpm.MyAuditVal&lt;&gt;"",UPPER(_xlpm.MyAuditVal),_xlpm.MacVal&lt;&gt;"",_xlpm.MacVal,_xlpm.CSVVal&lt;&gt;"",_xlpm.CSVVal
)),"")</f>
        <v/>
      </c>
      <c r="D603" s="2" t="str" cm="1">
        <f t="array" ref="D603">IFERROR(_xlfn.LET(
_xlpm.CSVVal,_xlfn.XLOOKUP($A603,CSV!$A:$A,CSV!D:D,""),
_xlpm.MacVal,_xlfn.XLOOKUP($A603,Output_Mac!$A:$A,Output_Mac!C:C,""),
_xlpm.MyAuditVal,_xlfn.XLOOKUP($A603,My_Audit!$A:$A,My_Audit!C:C,""),
_xlfn.IFS(_xlpm.MyAuditVal&lt;&gt;"",_xlpm.MyAuditVal,_xlpm.MacVal&lt;&gt;"",_xlpm.MacVal,_xlpm.CSVVal&lt;&gt;"",_xlpm.CSVVal
)),"")</f>
        <v/>
      </c>
      <c r="E603" s="2" t="str">
        <f>_xlfn.XLOOKUP(A603,My_Audit!A:A,My_Audit!D:D,"")&amp;""</f>
        <v/>
      </c>
      <c r="F603" s="2" t="str" cm="1">
        <f t="array" ref="F603">IFERROR(_xlfn.LET(
_xlpm.CSVVal,_xlfn.XLOOKUP($A603,CSV!$A:$A,CSV!F:F,""),
_xlpm.MacVal,_xlfn.XLOOKUP($A603,Output_Mac!$A:$A,Output_Mac!E:E,""),
_xlpm.MyAuditVal,_xlfn.XLOOKUP($A603,My_Audit!$A:$A,My_Audit!E:E,""),
_xlfn.IFS(_xlpm.MyAuditVal&lt;&gt;"",_xlpm.MyAuditVal,_xlpm.MacVal&lt;&gt;"",_xlpm.MacVal,_xlpm.CSVVal&lt;&gt;"",_xlpm.CSVVal
)),"")</f>
        <v/>
      </c>
      <c r="G603" s="2" t="str" cm="1">
        <f t="array" ref="G603">IFERROR(_xlfn.LET(
_xlpm.CSVVal,_xlfn.XLOOKUP($A603,CSV!$A:$A,CSV!G:G,""),
_xlpm.MacVal,_xlfn.XLOOKUP($A603,Output_Mac!$A:$A,Output_Mac!F:F,""),
_xlpm.MyAuditVal,_xlfn.XLOOKUP($A603,My_Audit!$A:$A,My_Audit!F:F,""),
_xlfn.IFS(_xlpm.MyAuditVal&lt;&gt;"",_xlpm.MyAuditVal,_xlpm.MacVal&lt;&gt;"",_xlpm.MacVal,_xlpm.CSVVal&lt;&gt;"",PROPER(_xlpm.CSVVal)
)),"")</f>
        <v/>
      </c>
      <c r="H603" s="2" t="str" cm="1">
        <f t="array" ref="H603">IFERROR(_xlfn.LET(
_xlpm.CSVVal,_xlfn.XLOOKUP($A603,CSV!$A:$A,CSV!H:H,""),
_xlpm.MacVal,_xlfn.XLOOKUP($A603,Output_Mac!$A:$A,Output_Mac!H:H,""),
_xlpm.MyAuditVal,_xlfn.XLOOKUP($A603,My_Audit!$A:$A,My_Audit!G:G,""),
_xlfn.IFS(_xlpm.MyAuditVal&lt;&gt;"",_xlpm.MyAuditVal,_xlpm.MacVal&lt;&gt;"",_xlpm.MacVal,_xlpm.CSVVal&lt;&gt;"",_xlpm.CSVVal
)),"")</f>
        <v/>
      </c>
      <c r="I603" s="2" t="str">
        <f>_xlfn.XLOOKUP(A603,Output_Mac!A:A,Output_Mac!I:I,"")</f>
        <v/>
      </c>
      <c r="J603" s="2" t="str" cm="1">
        <f t="array" ref="J603">IFERROR(_xlfn.LET(
_xlpm.CSVVal,_xlfn.XLOOKUP($A603,CSV!$A:$A,CSV!I:I,""),
_xlpm.MacVal,_xlfn.XLOOKUP($A603,Output_Mac!$A:$A,Output_Mac!J:J,""),
_xlpm.MyAuditVal,_xlfn.XLOOKUP($A603,My_Audit!$A:$A,My_Audit!I:I,""),
_xlfn.IFS(_xlpm.MyAuditVal&lt;&gt;"",UPPER(_xlpm.MyAuditVal),_xlpm.MacVal&lt;&gt;"",_xlpm.MacVal,_xlpm.CSVVal&lt;&gt;"",_xlpm.CSVVal
)),"")</f>
        <v/>
      </c>
      <c r="K603" s="2" t="str" cm="1">
        <f t="array" ref="K603">IFERROR(_xlfn.LET(
_xlpm.CSVVal,_xlfn.XLOOKUP($A603,CSV!$A:$A,CSV!K:K,""),
_xlpm.MacVal,_xlfn.XLOOKUP($A603,Output_Mac!$A:$A,Output_Mac!K:K,""),
_xlpm.MyAuditVal,_xlfn.XLOOKUP($A603,My_Audit!$A:$A,My_Audit!J:J,""),
_xlfn.IFS(_xlpm.MyAuditVal&lt;&gt;"",UPPER(_xlpm.MyAuditVal),_xlpm.MacVal&lt;&gt;"",_xlpm.MacVal,_xlpm.CSVVal&lt;&gt;"",_xlpm.CSVVal
)),"")</f>
        <v/>
      </c>
      <c r="L603" s="2" t="str" cm="1">
        <f t="array" ref="L603">IFERROR(_xlfn.LET(
_xlpm.CSVVal,_xlfn.XLOOKUP($A603,CSV!$A:$A,CSV!P:P,""),
_xlpm.MacVal,_xlfn.XLOOKUP($A603,Output_Mac!$A:$A,Output_Mac!L:L,""),
_xlpm.MyAuditVal,_xlfn.XLOOKUP($A603,My_Audit!$A:$A,My_Audit!K:K,""),
_xlfn.IFS(_xlpm.MyAuditVal&lt;&gt;"",UPPER(_xlpm.MyAuditVal),_xlpm.MacVal&lt;&gt;"",_xlpm.MacVal,_xlpm.CSVVal&lt;&gt;"",_xlpm.CSVVal
)),"")</f>
        <v/>
      </c>
      <c r="M603" s="2" t="str" cm="1">
        <f t="array" ref="M603">IFERROR(_xlfn.LET(
_xlpm.CSVVal,_xlfn.XLOOKUP($A603,CSV!$A:$A,CSV!Q:Q,""),
_xlpm.MacVal,_xlfn.XLOOKUP($A603,Output_Mac!$A:$A,Output_Mac!M:M,""),
_xlpm.MyAuditVal,_xlfn.XLOOKUP($A603,My_Audit!$A:$A,My_Audit!L:L,""),
_xlfn.IFS(_xlpm.MyAuditVal&lt;&gt;"",UPPER(_xlpm.MyAuditVal),_xlpm.MacVal&lt;&gt;"",_xlpm.MacVal,_xlpm.CSVVal&lt;&gt;"",_xlpm.CSVVal
)),"")</f>
        <v/>
      </c>
      <c r="O603" s="2" t="str">
        <f>_xlfn.LET(
    _xlpm.CSVVal, _xlfn.XLOOKUP($A603, CSV!$A:$A, CSV!AF:AF, ""),
    _xlpm.MacVal, _xlfn.XLOOKUP($A603, Output_Mac!$A:$A, Output_Mac!S:S, ""),
    _xlpm.MyAuditVal, _xlfn.XLOOKUP($A603, My_Audit!$A:$A, My_Audit!P:P, ""),
    _xlfn.TEXTJOIN(", ", TRUE, _xlpm.MyAuditVal, _xlpm.MacVal, _xlpm.CSVVal)
)</f>
        <v/>
      </c>
      <c r="P603" s="2" t="str" cm="1">
        <f t="array" ref="P603">IFERROR(_xlfn.LET(
_xlpm.CSVVal,_xlfn.XLOOKUP($A603,CSV!$A:$A,CSV!AG:AG,""),
_xlpm.MacVal,_xlfn.XLOOKUP($A603,Output_Mac!$A:$A,Output_Mac!T:T,""),
_xlpm.MyAuditVal,_xlfn.XLOOKUP($A603,My_Audit!$A:$A,My_Audit!Q:Q,""),
_xlfn.IFS(_xlpm.MyAuditVal&lt;&gt;"",UPPER(_xlpm.MyAuditVal),_xlpm.MacVal&lt;&gt;"",_xlpm.MacVal,_xlpm.CSVVal&lt;&gt;"",_xlpm.CSVVal
)),"No")</f>
        <v>No</v>
      </c>
      <c r="Q603" s="2" t="str" cm="1">
        <f t="array" ref="Q603">IFERROR(_xlfn.LET(
_xlpm.CSVVal,_xlfn.XLOOKUP($A603,CSV!$A:$A,CSV!AH:AH,""),
_xlpm.MacVal,_xlfn.XLOOKUP($A603,Output_Mac!$A:$A,Output_Mac!U:U,""),
_xlpm.MyAuditVal,_xlfn.XLOOKUP($A603,My_Audit!$A:$A,My_Audit!R:R,""),
_xlfn.IFS(_xlpm.MyAuditVal&lt;&gt;"",UPPER(_xlpm.MyAuditVal),_xlpm.MacVal&lt;&gt;"",_xlpm.MacVal,_xlpm.CSVVal&lt;&gt;"",_xlpm.CSVVal
)),"")</f>
        <v/>
      </c>
    </row>
    <row r="604" spans="1:17">
      <c r="A604" s="2" t="str">
        <f>_xlfn.TEXTJOIN("",TRUE,Input!$B$2,ROW(My_Audit!A603))</f>
        <v>XX603</v>
      </c>
      <c r="B604" s="2" t="str">
        <f>_xlfn.TEXTJOIN("-",TRUE,"ITD",Input!$A$2,A604)</f>
        <v>ITD-SHRXXX-XX603</v>
      </c>
      <c r="C604" s="2" t="str" cm="1">
        <f t="array" ref="C604">IFERROR(_xlfn.LET(
_xlpm.CSVVal,_xlfn.XLOOKUP($A604,CSV!$A:$A,CSV!B:B,""),
_xlpm.MacVal,_xlfn.XLOOKUP($A604,Output_Mac!$A:$A,Output_Mac!B:B,""),
_xlpm.MyAuditVal,_xlfn.XLOOKUP($A604,My_Audit!$A:$A,My_Audit!B:B,""),
_xlfn.IFS(_xlpm.MyAuditVal&lt;&gt;"",UPPER(_xlpm.MyAuditVal),_xlpm.MacVal&lt;&gt;"",_xlpm.MacVal,_xlpm.CSVVal&lt;&gt;"",_xlpm.CSVVal
)),"")</f>
        <v/>
      </c>
      <c r="D604" s="2" t="str" cm="1">
        <f t="array" ref="D604">IFERROR(_xlfn.LET(
_xlpm.CSVVal,_xlfn.XLOOKUP($A604,CSV!$A:$A,CSV!D:D,""),
_xlpm.MacVal,_xlfn.XLOOKUP($A604,Output_Mac!$A:$A,Output_Mac!C:C,""),
_xlpm.MyAuditVal,_xlfn.XLOOKUP($A604,My_Audit!$A:$A,My_Audit!C:C,""),
_xlfn.IFS(_xlpm.MyAuditVal&lt;&gt;"",_xlpm.MyAuditVal,_xlpm.MacVal&lt;&gt;"",_xlpm.MacVal,_xlpm.CSVVal&lt;&gt;"",_xlpm.CSVVal
)),"")</f>
        <v/>
      </c>
      <c r="E604" s="2" t="str">
        <f>_xlfn.XLOOKUP(A604,My_Audit!A:A,My_Audit!D:D,"")&amp;""</f>
        <v/>
      </c>
      <c r="F604" s="2" t="str" cm="1">
        <f t="array" ref="F604">IFERROR(_xlfn.LET(
_xlpm.CSVVal,_xlfn.XLOOKUP($A604,CSV!$A:$A,CSV!F:F,""),
_xlpm.MacVal,_xlfn.XLOOKUP($A604,Output_Mac!$A:$A,Output_Mac!E:E,""),
_xlpm.MyAuditVal,_xlfn.XLOOKUP($A604,My_Audit!$A:$A,My_Audit!E:E,""),
_xlfn.IFS(_xlpm.MyAuditVal&lt;&gt;"",_xlpm.MyAuditVal,_xlpm.MacVal&lt;&gt;"",_xlpm.MacVal,_xlpm.CSVVal&lt;&gt;"",_xlpm.CSVVal
)),"")</f>
        <v/>
      </c>
      <c r="G604" s="2" t="str" cm="1">
        <f t="array" ref="G604">IFERROR(_xlfn.LET(
_xlpm.CSVVal,_xlfn.XLOOKUP($A604,CSV!$A:$A,CSV!G:G,""),
_xlpm.MacVal,_xlfn.XLOOKUP($A604,Output_Mac!$A:$A,Output_Mac!F:F,""),
_xlpm.MyAuditVal,_xlfn.XLOOKUP($A604,My_Audit!$A:$A,My_Audit!F:F,""),
_xlfn.IFS(_xlpm.MyAuditVal&lt;&gt;"",_xlpm.MyAuditVal,_xlpm.MacVal&lt;&gt;"",_xlpm.MacVal,_xlpm.CSVVal&lt;&gt;"",PROPER(_xlpm.CSVVal)
)),"")</f>
        <v/>
      </c>
      <c r="H604" s="2" t="str" cm="1">
        <f t="array" ref="H604">IFERROR(_xlfn.LET(
_xlpm.CSVVal,_xlfn.XLOOKUP($A604,CSV!$A:$A,CSV!H:H,""),
_xlpm.MacVal,_xlfn.XLOOKUP($A604,Output_Mac!$A:$A,Output_Mac!H:H,""),
_xlpm.MyAuditVal,_xlfn.XLOOKUP($A604,My_Audit!$A:$A,My_Audit!G:G,""),
_xlfn.IFS(_xlpm.MyAuditVal&lt;&gt;"",_xlpm.MyAuditVal,_xlpm.MacVal&lt;&gt;"",_xlpm.MacVal,_xlpm.CSVVal&lt;&gt;"",_xlpm.CSVVal
)),"")</f>
        <v/>
      </c>
      <c r="I604" s="2" t="str">
        <f>_xlfn.XLOOKUP(A604,Output_Mac!A:A,Output_Mac!I:I,"")</f>
        <v/>
      </c>
      <c r="J604" s="2" t="str" cm="1">
        <f t="array" ref="J604">IFERROR(_xlfn.LET(
_xlpm.CSVVal,_xlfn.XLOOKUP($A604,CSV!$A:$A,CSV!I:I,""),
_xlpm.MacVal,_xlfn.XLOOKUP($A604,Output_Mac!$A:$A,Output_Mac!J:J,""),
_xlpm.MyAuditVal,_xlfn.XLOOKUP($A604,My_Audit!$A:$A,My_Audit!I:I,""),
_xlfn.IFS(_xlpm.MyAuditVal&lt;&gt;"",UPPER(_xlpm.MyAuditVal),_xlpm.MacVal&lt;&gt;"",_xlpm.MacVal,_xlpm.CSVVal&lt;&gt;"",_xlpm.CSVVal
)),"")</f>
        <v/>
      </c>
      <c r="K604" s="2" t="str" cm="1">
        <f t="array" ref="K604">IFERROR(_xlfn.LET(
_xlpm.CSVVal,_xlfn.XLOOKUP($A604,CSV!$A:$A,CSV!K:K,""),
_xlpm.MacVal,_xlfn.XLOOKUP($A604,Output_Mac!$A:$A,Output_Mac!K:K,""),
_xlpm.MyAuditVal,_xlfn.XLOOKUP($A604,My_Audit!$A:$A,My_Audit!J:J,""),
_xlfn.IFS(_xlpm.MyAuditVal&lt;&gt;"",UPPER(_xlpm.MyAuditVal),_xlpm.MacVal&lt;&gt;"",_xlpm.MacVal,_xlpm.CSVVal&lt;&gt;"",_xlpm.CSVVal
)),"")</f>
        <v/>
      </c>
      <c r="L604" s="2" t="str" cm="1">
        <f t="array" ref="L604">IFERROR(_xlfn.LET(
_xlpm.CSVVal,_xlfn.XLOOKUP($A604,CSV!$A:$A,CSV!P:P,""),
_xlpm.MacVal,_xlfn.XLOOKUP($A604,Output_Mac!$A:$A,Output_Mac!L:L,""),
_xlpm.MyAuditVal,_xlfn.XLOOKUP($A604,My_Audit!$A:$A,My_Audit!K:K,""),
_xlfn.IFS(_xlpm.MyAuditVal&lt;&gt;"",UPPER(_xlpm.MyAuditVal),_xlpm.MacVal&lt;&gt;"",_xlpm.MacVal,_xlpm.CSVVal&lt;&gt;"",_xlpm.CSVVal
)),"")</f>
        <v/>
      </c>
      <c r="M604" s="2" t="str" cm="1">
        <f t="array" ref="M604">IFERROR(_xlfn.LET(
_xlpm.CSVVal,_xlfn.XLOOKUP($A604,CSV!$A:$A,CSV!Q:Q,""),
_xlpm.MacVal,_xlfn.XLOOKUP($A604,Output_Mac!$A:$A,Output_Mac!M:M,""),
_xlpm.MyAuditVal,_xlfn.XLOOKUP($A604,My_Audit!$A:$A,My_Audit!L:L,""),
_xlfn.IFS(_xlpm.MyAuditVal&lt;&gt;"",UPPER(_xlpm.MyAuditVal),_xlpm.MacVal&lt;&gt;"",_xlpm.MacVal,_xlpm.CSVVal&lt;&gt;"",_xlpm.CSVVal
)),"")</f>
        <v/>
      </c>
      <c r="O604" s="2" t="str">
        <f>_xlfn.LET(
    _xlpm.CSVVal, _xlfn.XLOOKUP($A604, CSV!$A:$A, CSV!AF:AF, ""),
    _xlpm.MacVal, _xlfn.XLOOKUP($A604, Output_Mac!$A:$A, Output_Mac!S:S, ""),
    _xlpm.MyAuditVal, _xlfn.XLOOKUP($A604, My_Audit!$A:$A, My_Audit!P:P, ""),
    _xlfn.TEXTJOIN(", ", TRUE, _xlpm.MyAuditVal, _xlpm.MacVal, _xlpm.CSVVal)
)</f>
        <v/>
      </c>
      <c r="P604" s="2" t="str" cm="1">
        <f t="array" ref="P604">IFERROR(_xlfn.LET(
_xlpm.CSVVal,_xlfn.XLOOKUP($A604,CSV!$A:$A,CSV!AG:AG,""),
_xlpm.MacVal,_xlfn.XLOOKUP($A604,Output_Mac!$A:$A,Output_Mac!T:T,""),
_xlpm.MyAuditVal,_xlfn.XLOOKUP($A604,My_Audit!$A:$A,My_Audit!Q:Q,""),
_xlfn.IFS(_xlpm.MyAuditVal&lt;&gt;"",UPPER(_xlpm.MyAuditVal),_xlpm.MacVal&lt;&gt;"",_xlpm.MacVal,_xlpm.CSVVal&lt;&gt;"",_xlpm.CSVVal
)),"No")</f>
        <v>No</v>
      </c>
      <c r="Q604" s="2" t="str" cm="1">
        <f t="array" ref="Q604">IFERROR(_xlfn.LET(
_xlpm.CSVVal,_xlfn.XLOOKUP($A604,CSV!$A:$A,CSV!AH:AH,""),
_xlpm.MacVal,_xlfn.XLOOKUP($A604,Output_Mac!$A:$A,Output_Mac!U:U,""),
_xlpm.MyAuditVal,_xlfn.XLOOKUP($A604,My_Audit!$A:$A,My_Audit!R:R,""),
_xlfn.IFS(_xlpm.MyAuditVal&lt;&gt;"",UPPER(_xlpm.MyAuditVal),_xlpm.MacVal&lt;&gt;"",_xlpm.MacVal,_xlpm.CSVVal&lt;&gt;"",_xlpm.CSVVal
)),"")</f>
        <v/>
      </c>
    </row>
    <row r="605" spans="1:17">
      <c r="A605" s="2" t="str">
        <f>_xlfn.TEXTJOIN("",TRUE,Input!$B$2,ROW(My_Audit!A604))</f>
        <v>XX604</v>
      </c>
      <c r="B605" s="2" t="str">
        <f>_xlfn.TEXTJOIN("-",TRUE,"ITD",Input!$A$2,A605)</f>
        <v>ITD-SHRXXX-XX604</v>
      </c>
      <c r="C605" s="2" t="str" cm="1">
        <f t="array" ref="C605">IFERROR(_xlfn.LET(
_xlpm.CSVVal,_xlfn.XLOOKUP($A605,CSV!$A:$A,CSV!B:B,""),
_xlpm.MacVal,_xlfn.XLOOKUP($A605,Output_Mac!$A:$A,Output_Mac!B:B,""),
_xlpm.MyAuditVal,_xlfn.XLOOKUP($A605,My_Audit!$A:$A,My_Audit!B:B,""),
_xlfn.IFS(_xlpm.MyAuditVal&lt;&gt;"",UPPER(_xlpm.MyAuditVal),_xlpm.MacVal&lt;&gt;"",_xlpm.MacVal,_xlpm.CSVVal&lt;&gt;"",_xlpm.CSVVal
)),"")</f>
        <v/>
      </c>
      <c r="D605" s="2" t="str" cm="1">
        <f t="array" ref="D605">IFERROR(_xlfn.LET(
_xlpm.CSVVal,_xlfn.XLOOKUP($A605,CSV!$A:$A,CSV!D:D,""),
_xlpm.MacVal,_xlfn.XLOOKUP($A605,Output_Mac!$A:$A,Output_Mac!C:C,""),
_xlpm.MyAuditVal,_xlfn.XLOOKUP($A605,My_Audit!$A:$A,My_Audit!C:C,""),
_xlfn.IFS(_xlpm.MyAuditVal&lt;&gt;"",_xlpm.MyAuditVal,_xlpm.MacVal&lt;&gt;"",_xlpm.MacVal,_xlpm.CSVVal&lt;&gt;"",_xlpm.CSVVal
)),"")</f>
        <v/>
      </c>
      <c r="E605" s="2" t="str">
        <f>_xlfn.XLOOKUP(A605,My_Audit!A:A,My_Audit!D:D,"")&amp;""</f>
        <v/>
      </c>
      <c r="F605" s="2" t="str" cm="1">
        <f t="array" ref="F605">IFERROR(_xlfn.LET(
_xlpm.CSVVal,_xlfn.XLOOKUP($A605,CSV!$A:$A,CSV!F:F,""),
_xlpm.MacVal,_xlfn.XLOOKUP($A605,Output_Mac!$A:$A,Output_Mac!E:E,""),
_xlpm.MyAuditVal,_xlfn.XLOOKUP($A605,My_Audit!$A:$A,My_Audit!E:E,""),
_xlfn.IFS(_xlpm.MyAuditVal&lt;&gt;"",_xlpm.MyAuditVal,_xlpm.MacVal&lt;&gt;"",_xlpm.MacVal,_xlpm.CSVVal&lt;&gt;"",_xlpm.CSVVal
)),"")</f>
        <v/>
      </c>
      <c r="G605" s="2" t="str" cm="1">
        <f t="array" ref="G605">IFERROR(_xlfn.LET(
_xlpm.CSVVal,_xlfn.XLOOKUP($A605,CSV!$A:$A,CSV!G:G,""),
_xlpm.MacVal,_xlfn.XLOOKUP($A605,Output_Mac!$A:$A,Output_Mac!F:F,""),
_xlpm.MyAuditVal,_xlfn.XLOOKUP($A605,My_Audit!$A:$A,My_Audit!F:F,""),
_xlfn.IFS(_xlpm.MyAuditVal&lt;&gt;"",_xlpm.MyAuditVal,_xlpm.MacVal&lt;&gt;"",_xlpm.MacVal,_xlpm.CSVVal&lt;&gt;"",PROPER(_xlpm.CSVVal)
)),"")</f>
        <v/>
      </c>
      <c r="H605" s="2" t="str" cm="1">
        <f t="array" ref="H605">IFERROR(_xlfn.LET(
_xlpm.CSVVal,_xlfn.XLOOKUP($A605,CSV!$A:$A,CSV!H:H,""),
_xlpm.MacVal,_xlfn.XLOOKUP($A605,Output_Mac!$A:$A,Output_Mac!H:H,""),
_xlpm.MyAuditVal,_xlfn.XLOOKUP($A605,My_Audit!$A:$A,My_Audit!G:G,""),
_xlfn.IFS(_xlpm.MyAuditVal&lt;&gt;"",_xlpm.MyAuditVal,_xlpm.MacVal&lt;&gt;"",_xlpm.MacVal,_xlpm.CSVVal&lt;&gt;"",_xlpm.CSVVal
)),"")</f>
        <v/>
      </c>
      <c r="I605" s="2" t="str">
        <f>_xlfn.XLOOKUP(A605,Output_Mac!A:A,Output_Mac!I:I,"")</f>
        <v/>
      </c>
      <c r="J605" s="2" t="str" cm="1">
        <f t="array" ref="J605">IFERROR(_xlfn.LET(
_xlpm.CSVVal,_xlfn.XLOOKUP($A605,CSV!$A:$A,CSV!I:I,""),
_xlpm.MacVal,_xlfn.XLOOKUP($A605,Output_Mac!$A:$A,Output_Mac!J:J,""),
_xlpm.MyAuditVal,_xlfn.XLOOKUP($A605,My_Audit!$A:$A,My_Audit!I:I,""),
_xlfn.IFS(_xlpm.MyAuditVal&lt;&gt;"",UPPER(_xlpm.MyAuditVal),_xlpm.MacVal&lt;&gt;"",_xlpm.MacVal,_xlpm.CSVVal&lt;&gt;"",_xlpm.CSVVal
)),"")</f>
        <v/>
      </c>
      <c r="K605" s="2" t="str" cm="1">
        <f t="array" ref="K605">IFERROR(_xlfn.LET(
_xlpm.CSVVal,_xlfn.XLOOKUP($A605,CSV!$A:$A,CSV!K:K,""),
_xlpm.MacVal,_xlfn.XLOOKUP($A605,Output_Mac!$A:$A,Output_Mac!K:K,""),
_xlpm.MyAuditVal,_xlfn.XLOOKUP($A605,My_Audit!$A:$A,My_Audit!J:J,""),
_xlfn.IFS(_xlpm.MyAuditVal&lt;&gt;"",UPPER(_xlpm.MyAuditVal),_xlpm.MacVal&lt;&gt;"",_xlpm.MacVal,_xlpm.CSVVal&lt;&gt;"",_xlpm.CSVVal
)),"")</f>
        <v/>
      </c>
      <c r="L605" s="2" t="str" cm="1">
        <f t="array" ref="L605">IFERROR(_xlfn.LET(
_xlpm.CSVVal,_xlfn.XLOOKUP($A605,CSV!$A:$A,CSV!P:P,""),
_xlpm.MacVal,_xlfn.XLOOKUP($A605,Output_Mac!$A:$A,Output_Mac!L:L,""),
_xlpm.MyAuditVal,_xlfn.XLOOKUP($A605,My_Audit!$A:$A,My_Audit!K:K,""),
_xlfn.IFS(_xlpm.MyAuditVal&lt;&gt;"",UPPER(_xlpm.MyAuditVal),_xlpm.MacVal&lt;&gt;"",_xlpm.MacVal,_xlpm.CSVVal&lt;&gt;"",_xlpm.CSVVal
)),"")</f>
        <v/>
      </c>
      <c r="M605" s="2" t="str" cm="1">
        <f t="array" ref="M605">IFERROR(_xlfn.LET(
_xlpm.CSVVal,_xlfn.XLOOKUP($A605,CSV!$A:$A,CSV!Q:Q,""),
_xlpm.MacVal,_xlfn.XLOOKUP($A605,Output_Mac!$A:$A,Output_Mac!M:M,""),
_xlpm.MyAuditVal,_xlfn.XLOOKUP($A605,My_Audit!$A:$A,My_Audit!L:L,""),
_xlfn.IFS(_xlpm.MyAuditVal&lt;&gt;"",UPPER(_xlpm.MyAuditVal),_xlpm.MacVal&lt;&gt;"",_xlpm.MacVal,_xlpm.CSVVal&lt;&gt;"",_xlpm.CSVVal
)),"")</f>
        <v/>
      </c>
      <c r="O605" s="2" t="str">
        <f>_xlfn.LET(
    _xlpm.CSVVal, _xlfn.XLOOKUP($A605, CSV!$A:$A, CSV!AF:AF, ""),
    _xlpm.MacVal, _xlfn.XLOOKUP($A605, Output_Mac!$A:$A, Output_Mac!S:S, ""),
    _xlpm.MyAuditVal, _xlfn.XLOOKUP($A605, My_Audit!$A:$A, My_Audit!P:P, ""),
    _xlfn.TEXTJOIN(", ", TRUE, _xlpm.MyAuditVal, _xlpm.MacVal, _xlpm.CSVVal)
)</f>
        <v/>
      </c>
      <c r="P605" s="2" t="str" cm="1">
        <f t="array" ref="P605">IFERROR(_xlfn.LET(
_xlpm.CSVVal,_xlfn.XLOOKUP($A605,CSV!$A:$A,CSV!AG:AG,""),
_xlpm.MacVal,_xlfn.XLOOKUP($A605,Output_Mac!$A:$A,Output_Mac!T:T,""),
_xlpm.MyAuditVal,_xlfn.XLOOKUP($A605,My_Audit!$A:$A,My_Audit!Q:Q,""),
_xlfn.IFS(_xlpm.MyAuditVal&lt;&gt;"",UPPER(_xlpm.MyAuditVal),_xlpm.MacVal&lt;&gt;"",_xlpm.MacVal,_xlpm.CSVVal&lt;&gt;"",_xlpm.CSVVal
)),"No")</f>
        <v>No</v>
      </c>
      <c r="Q605" s="2" t="str" cm="1">
        <f t="array" ref="Q605">IFERROR(_xlfn.LET(
_xlpm.CSVVal,_xlfn.XLOOKUP($A605,CSV!$A:$A,CSV!AH:AH,""),
_xlpm.MacVal,_xlfn.XLOOKUP($A605,Output_Mac!$A:$A,Output_Mac!U:U,""),
_xlpm.MyAuditVal,_xlfn.XLOOKUP($A605,My_Audit!$A:$A,My_Audit!R:R,""),
_xlfn.IFS(_xlpm.MyAuditVal&lt;&gt;"",UPPER(_xlpm.MyAuditVal),_xlpm.MacVal&lt;&gt;"",_xlpm.MacVal,_xlpm.CSVVal&lt;&gt;"",_xlpm.CSVVal
)),"")</f>
        <v/>
      </c>
    </row>
    <row r="606" spans="1:17">
      <c r="A606" s="2" t="str">
        <f>_xlfn.TEXTJOIN("",TRUE,Input!$B$2,ROW(My_Audit!A605))</f>
        <v>XX605</v>
      </c>
      <c r="B606" s="2" t="str">
        <f>_xlfn.TEXTJOIN("-",TRUE,"ITD",Input!$A$2,A606)</f>
        <v>ITD-SHRXXX-XX605</v>
      </c>
      <c r="C606" s="2" t="str" cm="1">
        <f t="array" ref="C606">IFERROR(_xlfn.LET(
_xlpm.CSVVal,_xlfn.XLOOKUP($A606,CSV!$A:$A,CSV!B:B,""),
_xlpm.MacVal,_xlfn.XLOOKUP($A606,Output_Mac!$A:$A,Output_Mac!B:B,""),
_xlpm.MyAuditVal,_xlfn.XLOOKUP($A606,My_Audit!$A:$A,My_Audit!B:B,""),
_xlfn.IFS(_xlpm.MyAuditVal&lt;&gt;"",UPPER(_xlpm.MyAuditVal),_xlpm.MacVal&lt;&gt;"",_xlpm.MacVal,_xlpm.CSVVal&lt;&gt;"",_xlpm.CSVVal
)),"")</f>
        <v/>
      </c>
      <c r="D606" s="2" t="str" cm="1">
        <f t="array" ref="D606">IFERROR(_xlfn.LET(
_xlpm.CSVVal,_xlfn.XLOOKUP($A606,CSV!$A:$A,CSV!D:D,""),
_xlpm.MacVal,_xlfn.XLOOKUP($A606,Output_Mac!$A:$A,Output_Mac!C:C,""),
_xlpm.MyAuditVal,_xlfn.XLOOKUP($A606,My_Audit!$A:$A,My_Audit!C:C,""),
_xlfn.IFS(_xlpm.MyAuditVal&lt;&gt;"",_xlpm.MyAuditVal,_xlpm.MacVal&lt;&gt;"",_xlpm.MacVal,_xlpm.CSVVal&lt;&gt;"",_xlpm.CSVVal
)),"")</f>
        <v/>
      </c>
      <c r="E606" s="2" t="str">
        <f>_xlfn.XLOOKUP(A606,My_Audit!A:A,My_Audit!D:D,"")&amp;""</f>
        <v/>
      </c>
      <c r="F606" s="2" t="str" cm="1">
        <f t="array" ref="F606">IFERROR(_xlfn.LET(
_xlpm.CSVVal,_xlfn.XLOOKUP($A606,CSV!$A:$A,CSV!F:F,""),
_xlpm.MacVal,_xlfn.XLOOKUP($A606,Output_Mac!$A:$A,Output_Mac!E:E,""),
_xlpm.MyAuditVal,_xlfn.XLOOKUP($A606,My_Audit!$A:$A,My_Audit!E:E,""),
_xlfn.IFS(_xlpm.MyAuditVal&lt;&gt;"",_xlpm.MyAuditVal,_xlpm.MacVal&lt;&gt;"",_xlpm.MacVal,_xlpm.CSVVal&lt;&gt;"",_xlpm.CSVVal
)),"")</f>
        <v/>
      </c>
      <c r="G606" s="2" t="str" cm="1">
        <f t="array" ref="G606">IFERROR(_xlfn.LET(
_xlpm.CSVVal,_xlfn.XLOOKUP($A606,CSV!$A:$A,CSV!G:G,""),
_xlpm.MacVal,_xlfn.XLOOKUP($A606,Output_Mac!$A:$A,Output_Mac!F:F,""),
_xlpm.MyAuditVal,_xlfn.XLOOKUP($A606,My_Audit!$A:$A,My_Audit!F:F,""),
_xlfn.IFS(_xlpm.MyAuditVal&lt;&gt;"",_xlpm.MyAuditVal,_xlpm.MacVal&lt;&gt;"",_xlpm.MacVal,_xlpm.CSVVal&lt;&gt;"",PROPER(_xlpm.CSVVal)
)),"")</f>
        <v/>
      </c>
      <c r="H606" s="2" t="str" cm="1">
        <f t="array" ref="H606">IFERROR(_xlfn.LET(
_xlpm.CSVVal,_xlfn.XLOOKUP($A606,CSV!$A:$A,CSV!H:H,""),
_xlpm.MacVal,_xlfn.XLOOKUP($A606,Output_Mac!$A:$A,Output_Mac!H:H,""),
_xlpm.MyAuditVal,_xlfn.XLOOKUP($A606,My_Audit!$A:$A,My_Audit!G:G,""),
_xlfn.IFS(_xlpm.MyAuditVal&lt;&gt;"",_xlpm.MyAuditVal,_xlpm.MacVal&lt;&gt;"",_xlpm.MacVal,_xlpm.CSVVal&lt;&gt;"",_xlpm.CSVVal
)),"")</f>
        <v/>
      </c>
      <c r="I606" s="2" t="str">
        <f>_xlfn.XLOOKUP(A606,Output_Mac!A:A,Output_Mac!I:I,"")</f>
        <v/>
      </c>
      <c r="J606" s="2" t="str" cm="1">
        <f t="array" ref="J606">IFERROR(_xlfn.LET(
_xlpm.CSVVal,_xlfn.XLOOKUP($A606,CSV!$A:$A,CSV!I:I,""),
_xlpm.MacVal,_xlfn.XLOOKUP($A606,Output_Mac!$A:$A,Output_Mac!J:J,""),
_xlpm.MyAuditVal,_xlfn.XLOOKUP($A606,My_Audit!$A:$A,My_Audit!I:I,""),
_xlfn.IFS(_xlpm.MyAuditVal&lt;&gt;"",UPPER(_xlpm.MyAuditVal),_xlpm.MacVal&lt;&gt;"",_xlpm.MacVal,_xlpm.CSVVal&lt;&gt;"",_xlpm.CSVVal
)),"")</f>
        <v/>
      </c>
      <c r="K606" s="2" t="str" cm="1">
        <f t="array" ref="K606">IFERROR(_xlfn.LET(
_xlpm.CSVVal,_xlfn.XLOOKUP($A606,CSV!$A:$A,CSV!K:K,""),
_xlpm.MacVal,_xlfn.XLOOKUP($A606,Output_Mac!$A:$A,Output_Mac!K:K,""),
_xlpm.MyAuditVal,_xlfn.XLOOKUP($A606,My_Audit!$A:$A,My_Audit!J:J,""),
_xlfn.IFS(_xlpm.MyAuditVal&lt;&gt;"",UPPER(_xlpm.MyAuditVal),_xlpm.MacVal&lt;&gt;"",_xlpm.MacVal,_xlpm.CSVVal&lt;&gt;"",_xlpm.CSVVal
)),"")</f>
        <v/>
      </c>
      <c r="L606" s="2" t="str" cm="1">
        <f t="array" ref="L606">IFERROR(_xlfn.LET(
_xlpm.CSVVal,_xlfn.XLOOKUP($A606,CSV!$A:$A,CSV!P:P,""),
_xlpm.MacVal,_xlfn.XLOOKUP($A606,Output_Mac!$A:$A,Output_Mac!L:L,""),
_xlpm.MyAuditVal,_xlfn.XLOOKUP($A606,My_Audit!$A:$A,My_Audit!K:K,""),
_xlfn.IFS(_xlpm.MyAuditVal&lt;&gt;"",UPPER(_xlpm.MyAuditVal),_xlpm.MacVal&lt;&gt;"",_xlpm.MacVal,_xlpm.CSVVal&lt;&gt;"",_xlpm.CSVVal
)),"")</f>
        <v/>
      </c>
      <c r="M606" s="2" t="str" cm="1">
        <f t="array" ref="M606">IFERROR(_xlfn.LET(
_xlpm.CSVVal,_xlfn.XLOOKUP($A606,CSV!$A:$A,CSV!Q:Q,""),
_xlpm.MacVal,_xlfn.XLOOKUP($A606,Output_Mac!$A:$A,Output_Mac!M:M,""),
_xlpm.MyAuditVal,_xlfn.XLOOKUP($A606,My_Audit!$A:$A,My_Audit!L:L,""),
_xlfn.IFS(_xlpm.MyAuditVal&lt;&gt;"",UPPER(_xlpm.MyAuditVal),_xlpm.MacVal&lt;&gt;"",_xlpm.MacVal,_xlpm.CSVVal&lt;&gt;"",_xlpm.CSVVal
)),"")</f>
        <v/>
      </c>
      <c r="O606" s="2" t="str">
        <f>_xlfn.LET(
    _xlpm.CSVVal, _xlfn.XLOOKUP($A606, CSV!$A:$A, CSV!AF:AF, ""),
    _xlpm.MacVal, _xlfn.XLOOKUP($A606, Output_Mac!$A:$A, Output_Mac!S:S, ""),
    _xlpm.MyAuditVal, _xlfn.XLOOKUP($A606, My_Audit!$A:$A, My_Audit!P:P, ""),
    _xlfn.TEXTJOIN(", ", TRUE, _xlpm.MyAuditVal, _xlpm.MacVal, _xlpm.CSVVal)
)</f>
        <v/>
      </c>
      <c r="P606" s="2" t="str" cm="1">
        <f t="array" ref="P606">IFERROR(_xlfn.LET(
_xlpm.CSVVal,_xlfn.XLOOKUP($A606,CSV!$A:$A,CSV!AG:AG,""),
_xlpm.MacVal,_xlfn.XLOOKUP($A606,Output_Mac!$A:$A,Output_Mac!T:T,""),
_xlpm.MyAuditVal,_xlfn.XLOOKUP($A606,My_Audit!$A:$A,My_Audit!Q:Q,""),
_xlfn.IFS(_xlpm.MyAuditVal&lt;&gt;"",UPPER(_xlpm.MyAuditVal),_xlpm.MacVal&lt;&gt;"",_xlpm.MacVal,_xlpm.CSVVal&lt;&gt;"",_xlpm.CSVVal
)),"No")</f>
        <v>No</v>
      </c>
      <c r="Q606" s="2" t="str" cm="1">
        <f t="array" ref="Q606">IFERROR(_xlfn.LET(
_xlpm.CSVVal,_xlfn.XLOOKUP($A606,CSV!$A:$A,CSV!AH:AH,""),
_xlpm.MacVal,_xlfn.XLOOKUP($A606,Output_Mac!$A:$A,Output_Mac!U:U,""),
_xlpm.MyAuditVal,_xlfn.XLOOKUP($A606,My_Audit!$A:$A,My_Audit!R:R,""),
_xlfn.IFS(_xlpm.MyAuditVal&lt;&gt;"",UPPER(_xlpm.MyAuditVal),_xlpm.MacVal&lt;&gt;"",_xlpm.MacVal,_xlpm.CSVVal&lt;&gt;"",_xlpm.CSVVal
)),"")</f>
        <v/>
      </c>
    </row>
    <row r="607" spans="1:17">
      <c r="A607" s="2" t="str">
        <f>_xlfn.TEXTJOIN("",TRUE,Input!$B$2,ROW(My_Audit!A606))</f>
        <v>XX606</v>
      </c>
      <c r="B607" s="2" t="str">
        <f>_xlfn.TEXTJOIN("-",TRUE,"ITD",Input!$A$2,A607)</f>
        <v>ITD-SHRXXX-XX606</v>
      </c>
      <c r="C607" s="2" t="str" cm="1">
        <f t="array" ref="C607">IFERROR(_xlfn.LET(
_xlpm.CSVVal,_xlfn.XLOOKUP($A607,CSV!$A:$A,CSV!B:B,""),
_xlpm.MacVal,_xlfn.XLOOKUP($A607,Output_Mac!$A:$A,Output_Mac!B:B,""),
_xlpm.MyAuditVal,_xlfn.XLOOKUP($A607,My_Audit!$A:$A,My_Audit!B:B,""),
_xlfn.IFS(_xlpm.MyAuditVal&lt;&gt;"",UPPER(_xlpm.MyAuditVal),_xlpm.MacVal&lt;&gt;"",_xlpm.MacVal,_xlpm.CSVVal&lt;&gt;"",_xlpm.CSVVal
)),"")</f>
        <v/>
      </c>
      <c r="D607" s="2" t="str" cm="1">
        <f t="array" ref="D607">IFERROR(_xlfn.LET(
_xlpm.CSVVal,_xlfn.XLOOKUP($A607,CSV!$A:$A,CSV!D:D,""),
_xlpm.MacVal,_xlfn.XLOOKUP($A607,Output_Mac!$A:$A,Output_Mac!C:C,""),
_xlpm.MyAuditVal,_xlfn.XLOOKUP($A607,My_Audit!$A:$A,My_Audit!C:C,""),
_xlfn.IFS(_xlpm.MyAuditVal&lt;&gt;"",_xlpm.MyAuditVal,_xlpm.MacVal&lt;&gt;"",_xlpm.MacVal,_xlpm.CSVVal&lt;&gt;"",_xlpm.CSVVal
)),"")</f>
        <v/>
      </c>
      <c r="E607" s="2" t="str">
        <f>_xlfn.XLOOKUP(A607,My_Audit!A:A,My_Audit!D:D,"")&amp;""</f>
        <v/>
      </c>
      <c r="F607" s="2" t="str" cm="1">
        <f t="array" ref="F607">IFERROR(_xlfn.LET(
_xlpm.CSVVal,_xlfn.XLOOKUP($A607,CSV!$A:$A,CSV!F:F,""),
_xlpm.MacVal,_xlfn.XLOOKUP($A607,Output_Mac!$A:$A,Output_Mac!E:E,""),
_xlpm.MyAuditVal,_xlfn.XLOOKUP($A607,My_Audit!$A:$A,My_Audit!E:E,""),
_xlfn.IFS(_xlpm.MyAuditVal&lt;&gt;"",_xlpm.MyAuditVal,_xlpm.MacVal&lt;&gt;"",_xlpm.MacVal,_xlpm.CSVVal&lt;&gt;"",_xlpm.CSVVal
)),"")</f>
        <v/>
      </c>
      <c r="G607" s="2" t="str" cm="1">
        <f t="array" ref="G607">IFERROR(_xlfn.LET(
_xlpm.CSVVal,_xlfn.XLOOKUP($A607,CSV!$A:$A,CSV!G:G,""),
_xlpm.MacVal,_xlfn.XLOOKUP($A607,Output_Mac!$A:$A,Output_Mac!F:F,""),
_xlpm.MyAuditVal,_xlfn.XLOOKUP($A607,My_Audit!$A:$A,My_Audit!F:F,""),
_xlfn.IFS(_xlpm.MyAuditVal&lt;&gt;"",_xlpm.MyAuditVal,_xlpm.MacVal&lt;&gt;"",_xlpm.MacVal,_xlpm.CSVVal&lt;&gt;"",PROPER(_xlpm.CSVVal)
)),"")</f>
        <v/>
      </c>
      <c r="H607" s="2" t="str" cm="1">
        <f t="array" ref="H607">IFERROR(_xlfn.LET(
_xlpm.CSVVal,_xlfn.XLOOKUP($A607,CSV!$A:$A,CSV!H:H,""),
_xlpm.MacVal,_xlfn.XLOOKUP($A607,Output_Mac!$A:$A,Output_Mac!H:H,""),
_xlpm.MyAuditVal,_xlfn.XLOOKUP($A607,My_Audit!$A:$A,My_Audit!G:G,""),
_xlfn.IFS(_xlpm.MyAuditVal&lt;&gt;"",_xlpm.MyAuditVal,_xlpm.MacVal&lt;&gt;"",_xlpm.MacVal,_xlpm.CSVVal&lt;&gt;"",_xlpm.CSVVal
)),"")</f>
        <v/>
      </c>
      <c r="I607" s="2" t="str">
        <f>_xlfn.XLOOKUP(A607,Output_Mac!A:A,Output_Mac!I:I,"")</f>
        <v/>
      </c>
      <c r="J607" s="2" t="str" cm="1">
        <f t="array" ref="J607">IFERROR(_xlfn.LET(
_xlpm.CSVVal,_xlfn.XLOOKUP($A607,CSV!$A:$A,CSV!I:I,""),
_xlpm.MacVal,_xlfn.XLOOKUP($A607,Output_Mac!$A:$A,Output_Mac!J:J,""),
_xlpm.MyAuditVal,_xlfn.XLOOKUP($A607,My_Audit!$A:$A,My_Audit!I:I,""),
_xlfn.IFS(_xlpm.MyAuditVal&lt;&gt;"",UPPER(_xlpm.MyAuditVal),_xlpm.MacVal&lt;&gt;"",_xlpm.MacVal,_xlpm.CSVVal&lt;&gt;"",_xlpm.CSVVal
)),"")</f>
        <v/>
      </c>
      <c r="K607" s="2" t="str" cm="1">
        <f t="array" ref="K607">IFERROR(_xlfn.LET(
_xlpm.CSVVal,_xlfn.XLOOKUP($A607,CSV!$A:$A,CSV!K:K,""),
_xlpm.MacVal,_xlfn.XLOOKUP($A607,Output_Mac!$A:$A,Output_Mac!K:K,""),
_xlpm.MyAuditVal,_xlfn.XLOOKUP($A607,My_Audit!$A:$A,My_Audit!J:J,""),
_xlfn.IFS(_xlpm.MyAuditVal&lt;&gt;"",UPPER(_xlpm.MyAuditVal),_xlpm.MacVal&lt;&gt;"",_xlpm.MacVal,_xlpm.CSVVal&lt;&gt;"",_xlpm.CSVVal
)),"")</f>
        <v/>
      </c>
      <c r="L607" s="2" t="str" cm="1">
        <f t="array" ref="L607">IFERROR(_xlfn.LET(
_xlpm.CSVVal,_xlfn.XLOOKUP($A607,CSV!$A:$A,CSV!P:P,""),
_xlpm.MacVal,_xlfn.XLOOKUP($A607,Output_Mac!$A:$A,Output_Mac!L:L,""),
_xlpm.MyAuditVal,_xlfn.XLOOKUP($A607,My_Audit!$A:$A,My_Audit!K:K,""),
_xlfn.IFS(_xlpm.MyAuditVal&lt;&gt;"",UPPER(_xlpm.MyAuditVal),_xlpm.MacVal&lt;&gt;"",_xlpm.MacVal,_xlpm.CSVVal&lt;&gt;"",_xlpm.CSVVal
)),"")</f>
        <v/>
      </c>
      <c r="M607" s="2" t="str" cm="1">
        <f t="array" ref="M607">IFERROR(_xlfn.LET(
_xlpm.CSVVal,_xlfn.XLOOKUP($A607,CSV!$A:$A,CSV!Q:Q,""),
_xlpm.MacVal,_xlfn.XLOOKUP($A607,Output_Mac!$A:$A,Output_Mac!M:M,""),
_xlpm.MyAuditVal,_xlfn.XLOOKUP($A607,My_Audit!$A:$A,My_Audit!L:L,""),
_xlfn.IFS(_xlpm.MyAuditVal&lt;&gt;"",UPPER(_xlpm.MyAuditVal),_xlpm.MacVal&lt;&gt;"",_xlpm.MacVal,_xlpm.CSVVal&lt;&gt;"",_xlpm.CSVVal
)),"")</f>
        <v/>
      </c>
      <c r="O607" s="2" t="str">
        <f>_xlfn.LET(
    _xlpm.CSVVal, _xlfn.XLOOKUP($A607, CSV!$A:$A, CSV!AF:AF, ""),
    _xlpm.MacVal, _xlfn.XLOOKUP($A607, Output_Mac!$A:$A, Output_Mac!S:S, ""),
    _xlpm.MyAuditVal, _xlfn.XLOOKUP($A607, My_Audit!$A:$A, My_Audit!P:P, ""),
    _xlfn.TEXTJOIN(", ", TRUE, _xlpm.MyAuditVal, _xlpm.MacVal, _xlpm.CSVVal)
)</f>
        <v/>
      </c>
      <c r="P607" s="2" t="str" cm="1">
        <f t="array" ref="P607">IFERROR(_xlfn.LET(
_xlpm.CSVVal,_xlfn.XLOOKUP($A607,CSV!$A:$A,CSV!AG:AG,""),
_xlpm.MacVal,_xlfn.XLOOKUP($A607,Output_Mac!$A:$A,Output_Mac!T:T,""),
_xlpm.MyAuditVal,_xlfn.XLOOKUP($A607,My_Audit!$A:$A,My_Audit!Q:Q,""),
_xlfn.IFS(_xlpm.MyAuditVal&lt;&gt;"",UPPER(_xlpm.MyAuditVal),_xlpm.MacVal&lt;&gt;"",_xlpm.MacVal,_xlpm.CSVVal&lt;&gt;"",_xlpm.CSVVal
)),"No")</f>
        <v>No</v>
      </c>
      <c r="Q607" s="2" t="str" cm="1">
        <f t="array" ref="Q607">IFERROR(_xlfn.LET(
_xlpm.CSVVal,_xlfn.XLOOKUP($A607,CSV!$A:$A,CSV!AH:AH,""),
_xlpm.MacVal,_xlfn.XLOOKUP($A607,Output_Mac!$A:$A,Output_Mac!U:U,""),
_xlpm.MyAuditVal,_xlfn.XLOOKUP($A607,My_Audit!$A:$A,My_Audit!R:R,""),
_xlfn.IFS(_xlpm.MyAuditVal&lt;&gt;"",UPPER(_xlpm.MyAuditVal),_xlpm.MacVal&lt;&gt;"",_xlpm.MacVal,_xlpm.CSVVal&lt;&gt;"",_xlpm.CSVVal
)),"")</f>
        <v/>
      </c>
    </row>
    <row r="608" spans="1:17">
      <c r="A608" s="2" t="str">
        <f>_xlfn.TEXTJOIN("",TRUE,Input!$B$2,ROW(My_Audit!A607))</f>
        <v>XX607</v>
      </c>
      <c r="B608" s="2" t="str">
        <f>_xlfn.TEXTJOIN("-",TRUE,"ITD",Input!$A$2,A608)</f>
        <v>ITD-SHRXXX-XX607</v>
      </c>
      <c r="C608" s="2" t="str" cm="1">
        <f t="array" ref="C608">IFERROR(_xlfn.LET(
_xlpm.CSVVal,_xlfn.XLOOKUP($A608,CSV!$A:$A,CSV!B:B,""),
_xlpm.MacVal,_xlfn.XLOOKUP($A608,Output_Mac!$A:$A,Output_Mac!B:B,""),
_xlpm.MyAuditVal,_xlfn.XLOOKUP($A608,My_Audit!$A:$A,My_Audit!B:B,""),
_xlfn.IFS(_xlpm.MyAuditVal&lt;&gt;"",UPPER(_xlpm.MyAuditVal),_xlpm.MacVal&lt;&gt;"",_xlpm.MacVal,_xlpm.CSVVal&lt;&gt;"",_xlpm.CSVVal
)),"")</f>
        <v/>
      </c>
      <c r="D608" s="2" t="str" cm="1">
        <f t="array" ref="D608">IFERROR(_xlfn.LET(
_xlpm.CSVVal,_xlfn.XLOOKUP($A608,CSV!$A:$A,CSV!D:D,""),
_xlpm.MacVal,_xlfn.XLOOKUP($A608,Output_Mac!$A:$A,Output_Mac!C:C,""),
_xlpm.MyAuditVal,_xlfn.XLOOKUP($A608,My_Audit!$A:$A,My_Audit!C:C,""),
_xlfn.IFS(_xlpm.MyAuditVal&lt;&gt;"",_xlpm.MyAuditVal,_xlpm.MacVal&lt;&gt;"",_xlpm.MacVal,_xlpm.CSVVal&lt;&gt;"",_xlpm.CSVVal
)),"")</f>
        <v/>
      </c>
      <c r="E608" s="2" t="str">
        <f>_xlfn.XLOOKUP(A608,My_Audit!A:A,My_Audit!D:D,"")&amp;""</f>
        <v/>
      </c>
      <c r="F608" s="2" t="str" cm="1">
        <f t="array" ref="F608">IFERROR(_xlfn.LET(
_xlpm.CSVVal,_xlfn.XLOOKUP($A608,CSV!$A:$A,CSV!F:F,""),
_xlpm.MacVal,_xlfn.XLOOKUP($A608,Output_Mac!$A:$A,Output_Mac!E:E,""),
_xlpm.MyAuditVal,_xlfn.XLOOKUP($A608,My_Audit!$A:$A,My_Audit!E:E,""),
_xlfn.IFS(_xlpm.MyAuditVal&lt;&gt;"",_xlpm.MyAuditVal,_xlpm.MacVal&lt;&gt;"",_xlpm.MacVal,_xlpm.CSVVal&lt;&gt;"",_xlpm.CSVVal
)),"")</f>
        <v/>
      </c>
      <c r="G608" s="2" t="str" cm="1">
        <f t="array" ref="G608">IFERROR(_xlfn.LET(
_xlpm.CSVVal,_xlfn.XLOOKUP($A608,CSV!$A:$A,CSV!G:G,""),
_xlpm.MacVal,_xlfn.XLOOKUP($A608,Output_Mac!$A:$A,Output_Mac!F:F,""),
_xlpm.MyAuditVal,_xlfn.XLOOKUP($A608,My_Audit!$A:$A,My_Audit!F:F,""),
_xlfn.IFS(_xlpm.MyAuditVal&lt;&gt;"",_xlpm.MyAuditVal,_xlpm.MacVal&lt;&gt;"",_xlpm.MacVal,_xlpm.CSVVal&lt;&gt;"",PROPER(_xlpm.CSVVal)
)),"")</f>
        <v/>
      </c>
      <c r="H608" s="2" t="str" cm="1">
        <f t="array" ref="H608">IFERROR(_xlfn.LET(
_xlpm.CSVVal,_xlfn.XLOOKUP($A608,CSV!$A:$A,CSV!H:H,""),
_xlpm.MacVal,_xlfn.XLOOKUP($A608,Output_Mac!$A:$A,Output_Mac!H:H,""),
_xlpm.MyAuditVal,_xlfn.XLOOKUP($A608,My_Audit!$A:$A,My_Audit!G:G,""),
_xlfn.IFS(_xlpm.MyAuditVal&lt;&gt;"",_xlpm.MyAuditVal,_xlpm.MacVal&lt;&gt;"",_xlpm.MacVal,_xlpm.CSVVal&lt;&gt;"",_xlpm.CSVVal
)),"")</f>
        <v/>
      </c>
      <c r="I608" s="2" t="str">
        <f>_xlfn.XLOOKUP(A608,Output_Mac!A:A,Output_Mac!I:I,"")</f>
        <v/>
      </c>
      <c r="J608" s="2" t="str" cm="1">
        <f t="array" ref="J608">IFERROR(_xlfn.LET(
_xlpm.CSVVal,_xlfn.XLOOKUP($A608,CSV!$A:$A,CSV!I:I,""),
_xlpm.MacVal,_xlfn.XLOOKUP($A608,Output_Mac!$A:$A,Output_Mac!J:J,""),
_xlpm.MyAuditVal,_xlfn.XLOOKUP($A608,My_Audit!$A:$A,My_Audit!I:I,""),
_xlfn.IFS(_xlpm.MyAuditVal&lt;&gt;"",UPPER(_xlpm.MyAuditVal),_xlpm.MacVal&lt;&gt;"",_xlpm.MacVal,_xlpm.CSVVal&lt;&gt;"",_xlpm.CSVVal
)),"")</f>
        <v/>
      </c>
      <c r="K608" s="2" t="str" cm="1">
        <f t="array" ref="K608">IFERROR(_xlfn.LET(
_xlpm.CSVVal,_xlfn.XLOOKUP($A608,CSV!$A:$A,CSV!K:K,""),
_xlpm.MacVal,_xlfn.XLOOKUP($A608,Output_Mac!$A:$A,Output_Mac!K:K,""),
_xlpm.MyAuditVal,_xlfn.XLOOKUP($A608,My_Audit!$A:$A,My_Audit!J:J,""),
_xlfn.IFS(_xlpm.MyAuditVal&lt;&gt;"",UPPER(_xlpm.MyAuditVal),_xlpm.MacVal&lt;&gt;"",_xlpm.MacVal,_xlpm.CSVVal&lt;&gt;"",_xlpm.CSVVal
)),"")</f>
        <v/>
      </c>
      <c r="L608" s="2" t="str" cm="1">
        <f t="array" ref="L608">IFERROR(_xlfn.LET(
_xlpm.CSVVal,_xlfn.XLOOKUP($A608,CSV!$A:$A,CSV!P:P,""),
_xlpm.MacVal,_xlfn.XLOOKUP($A608,Output_Mac!$A:$A,Output_Mac!L:L,""),
_xlpm.MyAuditVal,_xlfn.XLOOKUP($A608,My_Audit!$A:$A,My_Audit!K:K,""),
_xlfn.IFS(_xlpm.MyAuditVal&lt;&gt;"",UPPER(_xlpm.MyAuditVal),_xlpm.MacVal&lt;&gt;"",_xlpm.MacVal,_xlpm.CSVVal&lt;&gt;"",_xlpm.CSVVal
)),"")</f>
        <v/>
      </c>
      <c r="M608" s="2" t="str" cm="1">
        <f t="array" ref="M608">IFERROR(_xlfn.LET(
_xlpm.CSVVal,_xlfn.XLOOKUP($A608,CSV!$A:$A,CSV!Q:Q,""),
_xlpm.MacVal,_xlfn.XLOOKUP($A608,Output_Mac!$A:$A,Output_Mac!M:M,""),
_xlpm.MyAuditVal,_xlfn.XLOOKUP($A608,My_Audit!$A:$A,My_Audit!L:L,""),
_xlfn.IFS(_xlpm.MyAuditVal&lt;&gt;"",UPPER(_xlpm.MyAuditVal),_xlpm.MacVal&lt;&gt;"",_xlpm.MacVal,_xlpm.CSVVal&lt;&gt;"",_xlpm.CSVVal
)),"")</f>
        <v/>
      </c>
      <c r="O608" s="2" t="str">
        <f>_xlfn.LET(
    _xlpm.CSVVal, _xlfn.XLOOKUP($A608, CSV!$A:$A, CSV!AF:AF, ""),
    _xlpm.MacVal, _xlfn.XLOOKUP($A608, Output_Mac!$A:$A, Output_Mac!S:S, ""),
    _xlpm.MyAuditVal, _xlfn.XLOOKUP($A608, My_Audit!$A:$A, My_Audit!P:P, ""),
    _xlfn.TEXTJOIN(", ", TRUE, _xlpm.MyAuditVal, _xlpm.MacVal, _xlpm.CSVVal)
)</f>
        <v/>
      </c>
      <c r="P608" s="2" t="str" cm="1">
        <f t="array" ref="P608">IFERROR(_xlfn.LET(
_xlpm.CSVVal,_xlfn.XLOOKUP($A608,CSV!$A:$A,CSV!AG:AG,""),
_xlpm.MacVal,_xlfn.XLOOKUP($A608,Output_Mac!$A:$A,Output_Mac!T:T,""),
_xlpm.MyAuditVal,_xlfn.XLOOKUP($A608,My_Audit!$A:$A,My_Audit!Q:Q,""),
_xlfn.IFS(_xlpm.MyAuditVal&lt;&gt;"",UPPER(_xlpm.MyAuditVal),_xlpm.MacVal&lt;&gt;"",_xlpm.MacVal,_xlpm.CSVVal&lt;&gt;"",_xlpm.CSVVal
)),"No")</f>
        <v>No</v>
      </c>
      <c r="Q608" s="2" t="str" cm="1">
        <f t="array" ref="Q608">IFERROR(_xlfn.LET(
_xlpm.CSVVal,_xlfn.XLOOKUP($A608,CSV!$A:$A,CSV!AH:AH,""),
_xlpm.MacVal,_xlfn.XLOOKUP($A608,Output_Mac!$A:$A,Output_Mac!U:U,""),
_xlpm.MyAuditVal,_xlfn.XLOOKUP($A608,My_Audit!$A:$A,My_Audit!R:R,""),
_xlfn.IFS(_xlpm.MyAuditVal&lt;&gt;"",UPPER(_xlpm.MyAuditVal),_xlpm.MacVal&lt;&gt;"",_xlpm.MacVal,_xlpm.CSVVal&lt;&gt;"",_xlpm.CSVVal
)),"")</f>
        <v/>
      </c>
    </row>
    <row r="609" spans="1:17">
      <c r="A609" s="2" t="str">
        <f>_xlfn.TEXTJOIN("",TRUE,Input!$B$2,ROW(My_Audit!A608))</f>
        <v>XX608</v>
      </c>
      <c r="B609" s="2" t="str">
        <f>_xlfn.TEXTJOIN("-",TRUE,"ITD",Input!$A$2,A609)</f>
        <v>ITD-SHRXXX-XX608</v>
      </c>
      <c r="C609" s="2" t="str" cm="1">
        <f t="array" ref="C609">IFERROR(_xlfn.LET(
_xlpm.CSVVal,_xlfn.XLOOKUP($A609,CSV!$A:$A,CSV!B:B,""),
_xlpm.MacVal,_xlfn.XLOOKUP($A609,Output_Mac!$A:$A,Output_Mac!B:B,""),
_xlpm.MyAuditVal,_xlfn.XLOOKUP($A609,My_Audit!$A:$A,My_Audit!B:B,""),
_xlfn.IFS(_xlpm.MyAuditVal&lt;&gt;"",UPPER(_xlpm.MyAuditVal),_xlpm.MacVal&lt;&gt;"",_xlpm.MacVal,_xlpm.CSVVal&lt;&gt;"",_xlpm.CSVVal
)),"")</f>
        <v/>
      </c>
      <c r="D609" s="2" t="str" cm="1">
        <f t="array" ref="D609">IFERROR(_xlfn.LET(
_xlpm.CSVVal,_xlfn.XLOOKUP($A609,CSV!$A:$A,CSV!D:D,""),
_xlpm.MacVal,_xlfn.XLOOKUP($A609,Output_Mac!$A:$A,Output_Mac!C:C,""),
_xlpm.MyAuditVal,_xlfn.XLOOKUP($A609,My_Audit!$A:$A,My_Audit!C:C,""),
_xlfn.IFS(_xlpm.MyAuditVal&lt;&gt;"",_xlpm.MyAuditVal,_xlpm.MacVal&lt;&gt;"",_xlpm.MacVal,_xlpm.CSVVal&lt;&gt;"",_xlpm.CSVVal
)),"")</f>
        <v/>
      </c>
      <c r="E609" s="2" t="str">
        <f>_xlfn.XLOOKUP(A609,My_Audit!A:A,My_Audit!D:D,"")&amp;""</f>
        <v/>
      </c>
      <c r="F609" s="2" t="str" cm="1">
        <f t="array" ref="F609">IFERROR(_xlfn.LET(
_xlpm.CSVVal,_xlfn.XLOOKUP($A609,CSV!$A:$A,CSV!F:F,""),
_xlpm.MacVal,_xlfn.XLOOKUP($A609,Output_Mac!$A:$A,Output_Mac!E:E,""),
_xlpm.MyAuditVal,_xlfn.XLOOKUP($A609,My_Audit!$A:$A,My_Audit!E:E,""),
_xlfn.IFS(_xlpm.MyAuditVal&lt;&gt;"",_xlpm.MyAuditVal,_xlpm.MacVal&lt;&gt;"",_xlpm.MacVal,_xlpm.CSVVal&lt;&gt;"",_xlpm.CSVVal
)),"")</f>
        <v/>
      </c>
      <c r="G609" s="2" t="str" cm="1">
        <f t="array" ref="G609">IFERROR(_xlfn.LET(
_xlpm.CSVVal,_xlfn.XLOOKUP($A609,CSV!$A:$A,CSV!G:G,""),
_xlpm.MacVal,_xlfn.XLOOKUP($A609,Output_Mac!$A:$A,Output_Mac!F:F,""),
_xlpm.MyAuditVal,_xlfn.XLOOKUP($A609,My_Audit!$A:$A,My_Audit!F:F,""),
_xlfn.IFS(_xlpm.MyAuditVal&lt;&gt;"",_xlpm.MyAuditVal,_xlpm.MacVal&lt;&gt;"",_xlpm.MacVal,_xlpm.CSVVal&lt;&gt;"",PROPER(_xlpm.CSVVal)
)),"")</f>
        <v/>
      </c>
      <c r="H609" s="2" t="str" cm="1">
        <f t="array" ref="H609">IFERROR(_xlfn.LET(
_xlpm.CSVVal,_xlfn.XLOOKUP($A609,CSV!$A:$A,CSV!H:H,""),
_xlpm.MacVal,_xlfn.XLOOKUP($A609,Output_Mac!$A:$A,Output_Mac!H:H,""),
_xlpm.MyAuditVal,_xlfn.XLOOKUP($A609,My_Audit!$A:$A,My_Audit!G:G,""),
_xlfn.IFS(_xlpm.MyAuditVal&lt;&gt;"",_xlpm.MyAuditVal,_xlpm.MacVal&lt;&gt;"",_xlpm.MacVal,_xlpm.CSVVal&lt;&gt;"",_xlpm.CSVVal
)),"")</f>
        <v/>
      </c>
      <c r="I609" s="2" t="str">
        <f>_xlfn.XLOOKUP(A609,Output_Mac!A:A,Output_Mac!I:I,"")</f>
        <v/>
      </c>
      <c r="J609" s="2" t="str" cm="1">
        <f t="array" ref="J609">IFERROR(_xlfn.LET(
_xlpm.CSVVal,_xlfn.XLOOKUP($A609,CSV!$A:$A,CSV!I:I,""),
_xlpm.MacVal,_xlfn.XLOOKUP($A609,Output_Mac!$A:$A,Output_Mac!J:J,""),
_xlpm.MyAuditVal,_xlfn.XLOOKUP($A609,My_Audit!$A:$A,My_Audit!I:I,""),
_xlfn.IFS(_xlpm.MyAuditVal&lt;&gt;"",UPPER(_xlpm.MyAuditVal),_xlpm.MacVal&lt;&gt;"",_xlpm.MacVal,_xlpm.CSVVal&lt;&gt;"",_xlpm.CSVVal
)),"")</f>
        <v/>
      </c>
      <c r="K609" s="2" t="str" cm="1">
        <f t="array" ref="K609">IFERROR(_xlfn.LET(
_xlpm.CSVVal,_xlfn.XLOOKUP($A609,CSV!$A:$A,CSV!K:K,""),
_xlpm.MacVal,_xlfn.XLOOKUP($A609,Output_Mac!$A:$A,Output_Mac!K:K,""),
_xlpm.MyAuditVal,_xlfn.XLOOKUP($A609,My_Audit!$A:$A,My_Audit!J:J,""),
_xlfn.IFS(_xlpm.MyAuditVal&lt;&gt;"",UPPER(_xlpm.MyAuditVal),_xlpm.MacVal&lt;&gt;"",_xlpm.MacVal,_xlpm.CSVVal&lt;&gt;"",_xlpm.CSVVal
)),"")</f>
        <v/>
      </c>
      <c r="L609" s="2" t="str" cm="1">
        <f t="array" ref="L609">IFERROR(_xlfn.LET(
_xlpm.CSVVal,_xlfn.XLOOKUP($A609,CSV!$A:$A,CSV!P:P,""),
_xlpm.MacVal,_xlfn.XLOOKUP($A609,Output_Mac!$A:$A,Output_Mac!L:L,""),
_xlpm.MyAuditVal,_xlfn.XLOOKUP($A609,My_Audit!$A:$A,My_Audit!K:K,""),
_xlfn.IFS(_xlpm.MyAuditVal&lt;&gt;"",UPPER(_xlpm.MyAuditVal),_xlpm.MacVal&lt;&gt;"",_xlpm.MacVal,_xlpm.CSVVal&lt;&gt;"",_xlpm.CSVVal
)),"")</f>
        <v/>
      </c>
      <c r="M609" s="2" t="str" cm="1">
        <f t="array" ref="M609">IFERROR(_xlfn.LET(
_xlpm.CSVVal,_xlfn.XLOOKUP($A609,CSV!$A:$A,CSV!Q:Q,""),
_xlpm.MacVal,_xlfn.XLOOKUP($A609,Output_Mac!$A:$A,Output_Mac!M:M,""),
_xlpm.MyAuditVal,_xlfn.XLOOKUP($A609,My_Audit!$A:$A,My_Audit!L:L,""),
_xlfn.IFS(_xlpm.MyAuditVal&lt;&gt;"",UPPER(_xlpm.MyAuditVal),_xlpm.MacVal&lt;&gt;"",_xlpm.MacVal,_xlpm.CSVVal&lt;&gt;"",_xlpm.CSVVal
)),"")</f>
        <v/>
      </c>
      <c r="O609" s="2" t="str">
        <f>_xlfn.LET(
    _xlpm.CSVVal, _xlfn.XLOOKUP($A609, CSV!$A:$A, CSV!AF:AF, ""),
    _xlpm.MacVal, _xlfn.XLOOKUP($A609, Output_Mac!$A:$A, Output_Mac!S:S, ""),
    _xlpm.MyAuditVal, _xlfn.XLOOKUP($A609, My_Audit!$A:$A, My_Audit!P:P, ""),
    _xlfn.TEXTJOIN(", ", TRUE, _xlpm.MyAuditVal, _xlpm.MacVal, _xlpm.CSVVal)
)</f>
        <v/>
      </c>
      <c r="P609" s="2" t="str" cm="1">
        <f t="array" ref="P609">IFERROR(_xlfn.LET(
_xlpm.CSVVal,_xlfn.XLOOKUP($A609,CSV!$A:$A,CSV!AG:AG,""),
_xlpm.MacVal,_xlfn.XLOOKUP($A609,Output_Mac!$A:$A,Output_Mac!T:T,""),
_xlpm.MyAuditVal,_xlfn.XLOOKUP($A609,My_Audit!$A:$A,My_Audit!Q:Q,""),
_xlfn.IFS(_xlpm.MyAuditVal&lt;&gt;"",UPPER(_xlpm.MyAuditVal),_xlpm.MacVal&lt;&gt;"",_xlpm.MacVal,_xlpm.CSVVal&lt;&gt;"",_xlpm.CSVVal
)),"No")</f>
        <v>No</v>
      </c>
      <c r="Q609" s="2" t="str" cm="1">
        <f t="array" ref="Q609">IFERROR(_xlfn.LET(
_xlpm.CSVVal,_xlfn.XLOOKUP($A609,CSV!$A:$A,CSV!AH:AH,""),
_xlpm.MacVal,_xlfn.XLOOKUP($A609,Output_Mac!$A:$A,Output_Mac!U:U,""),
_xlpm.MyAuditVal,_xlfn.XLOOKUP($A609,My_Audit!$A:$A,My_Audit!R:R,""),
_xlfn.IFS(_xlpm.MyAuditVal&lt;&gt;"",UPPER(_xlpm.MyAuditVal),_xlpm.MacVal&lt;&gt;"",_xlpm.MacVal,_xlpm.CSVVal&lt;&gt;"",_xlpm.CSVVal
)),"")</f>
        <v/>
      </c>
    </row>
    <row r="610" spans="1:17">
      <c r="A610" s="2" t="str">
        <f>_xlfn.TEXTJOIN("",TRUE,Input!$B$2,ROW(My_Audit!A609))</f>
        <v>XX609</v>
      </c>
      <c r="B610" s="2" t="str">
        <f>_xlfn.TEXTJOIN("-",TRUE,"ITD",Input!$A$2,A610)</f>
        <v>ITD-SHRXXX-XX609</v>
      </c>
      <c r="C610" s="2" t="str" cm="1">
        <f t="array" ref="C610">IFERROR(_xlfn.LET(
_xlpm.CSVVal,_xlfn.XLOOKUP($A610,CSV!$A:$A,CSV!B:B,""),
_xlpm.MacVal,_xlfn.XLOOKUP($A610,Output_Mac!$A:$A,Output_Mac!B:B,""),
_xlpm.MyAuditVal,_xlfn.XLOOKUP($A610,My_Audit!$A:$A,My_Audit!B:B,""),
_xlfn.IFS(_xlpm.MyAuditVal&lt;&gt;"",UPPER(_xlpm.MyAuditVal),_xlpm.MacVal&lt;&gt;"",_xlpm.MacVal,_xlpm.CSVVal&lt;&gt;"",_xlpm.CSVVal
)),"")</f>
        <v/>
      </c>
      <c r="D610" s="2" t="str" cm="1">
        <f t="array" ref="D610">IFERROR(_xlfn.LET(
_xlpm.CSVVal,_xlfn.XLOOKUP($A610,CSV!$A:$A,CSV!D:D,""),
_xlpm.MacVal,_xlfn.XLOOKUP($A610,Output_Mac!$A:$A,Output_Mac!C:C,""),
_xlpm.MyAuditVal,_xlfn.XLOOKUP($A610,My_Audit!$A:$A,My_Audit!C:C,""),
_xlfn.IFS(_xlpm.MyAuditVal&lt;&gt;"",_xlpm.MyAuditVal,_xlpm.MacVal&lt;&gt;"",_xlpm.MacVal,_xlpm.CSVVal&lt;&gt;"",_xlpm.CSVVal
)),"")</f>
        <v/>
      </c>
      <c r="E610" s="2" t="str">
        <f>_xlfn.XLOOKUP(A610,My_Audit!A:A,My_Audit!D:D,"")&amp;""</f>
        <v/>
      </c>
      <c r="F610" s="2" t="str" cm="1">
        <f t="array" ref="F610">IFERROR(_xlfn.LET(
_xlpm.CSVVal,_xlfn.XLOOKUP($A610,CSV!$A:$A,CSV!F:F,""),
_xlpm.MacVal,_xlfn.XLOOKUP($A610,Output_Mac!$A:$A,Output_Mac!E:E,""),
_xlpm.MyAuditVal,_xlfn.XLOOKUP($A610,My_Audit!$A:$A,My_Audit!E:E,""),
_xlfn.IFS(_xlpm.MyAuditVal&lt;&gt;"",_xlpm.MyAuditVal,_xlpm.MacVal&lt;&gt;"",_xlpm.MacVal,_xlpm.CSVVal&lt;&gt;"",_xlpm.CSVVal
)),"")</f>
        <v/>
      </c>
      <c r="G610" s="2" t="str" cm="1">
        <f t="array" ref="G610">IFERROR(_xlfn.LET(
_xlpm.CSVVal,_xlfn.XLOOKUP($A610,CSV!$A:$A,CSV!G:G,""),
_xlpm.MacVal,_xlfn.XLOOKUP($A610,Output_Mac!$A:$A,Output_Mac!F:F,""),
_xlpm.MyAuditVal,_xlfn.XLOOKUP($A610,My_Audit!$A:$A,My_Audit!F:F,""),
_xlfn.IFS(_xlpm.MyAuditVal&lt;&gt;"",_xlpm.MyAuditVal,_xlpm.MacVal&lt;&gt;"",_xlpm.MacVal,_xlpm.CSVVal&lt;&gt;"",PROPER(_xlpm.CSVVal)
)),"")</f>
        <v/>
      </c>
      <c r="H610" s="2" t="str" cm="1">
        <f t="array" ref="H610">IFERROR(_xlfn.LET(
_xlpm.CSVVal,_xlfn.XLOOKUP($A610,CSV!$A:$A,CSV!H:H,""),
_xlpm.MacVal,_xlfn.XLOOKUP($A610,Output_Mac!$A:$A,Output_Mac!H:H,""),
_xlpm.MyAuditVal,_xlfn.XLOOKUP($A610,My_Audit!$A:$A,My_Audit!G:G,""),
_xlfn.IFS(_xlpm.MyAuditVal&lt;&gt;"",_xlpm.MyAuditVal,_xlpm.MacVal&lt;&gt;"",_xlpm.MacVal,_xlpm.CSVVal&lt;&gt;"",_xlpm.CSVVal
)),"")</f>
        <v/>
      </c>
      <c r="I610" s="2" t="str">
        <f>_xlfn.XLOOKUP(A610,Output_Mac!A:A,Output_Mac!I:I,"")</f>
        <v/>
      </c>
      <c r="J610" s="2" t="str" cm="1">
        <f t="array" ref="J610">IFERROR(_xlfn.LET(
_xlpm.CSVVal,_xlfn.XLOOKUP($A610,CSV!$A:$A,CSV!I:I,""),
_xlpm.MacVal,_xlfn.XLOOKUP($A610,Output_Mac!$A:$A,Output_Mac!J:J,""),
_xlpm.MyAuditVal,_xlfn.XLOOKUP($A610,My_Audit!$A:$A,My_Audit!I:I,""),
_xlfn.IFS(_xlpm.MyAuditVal&lt;&gt;"",UPPER(_xlpm.MyAuditVal),_xlpm.MacVal&lt;&gt;"",_xlpm.MacVal,_xlpm.CSVVal&lt;&gt;"",_xlpm.CSVVal
)),"")</f>
        <v/>
      </c>
      <c r="K610" s="2" t="str" cm="1">
        <f t="array" ref="K610">IFERROR(_xlfn.LET(
_xlpm.CSVVal,_xlfn.XLOOKUP($A610,CSV!$A:$A,CSV!K:K,""),
_xlpm.MacVal,_xlfn.XLOOKUP($A610,Output_Mac!$A:$A,Output_Mac!K:K,""),
_xlpm.MyAuditVal,_xlfn.XLOOKUP($A610,My_Audit!$A:$A,My_Audit!J:J,""),
_xlfn.IFS(_xlpm.MyAuditVal&lt;&gt;"",UPPER(_xlpm.MyAuditVal),_xlpm.MacVal&lt;&gt;"",_xlpm.MacVal,_xlpm.CSVVal&lt;&gt;"",_xlpm.CSVVal
)),"")</f>
        <v/>
      </c>
      <c r="L610" s="2" t="str" cm="1">
        <f t="array" ref="L610">IFERROR(_xlfn.LET(
_xlpm.CSVVal,_xlfn.XLOOKUP($A610,CSV!$A:$A,CSV!P:P,""),
_xlpm.MacVal,_xlfn.XLOOKUP($A610,Output_Mac!$A:$A,Output_Mac!L:L,""),
_xlpm.MyAuditVal,_xlfn.XLOOKUP($A610,My_Audit!$A:$A,My_Audit!K:K,""),
_xlfn.IFS(_xlpm.MyAuditVal&lt;&gt;"",UPPER(_xlpm.MyAuditVal),_xlpm.MacVal&lt;&gt;"",_xlpm.MacVal,_xlpm.CSVVal&lt;&gt;"",_xlpm.CSVVal
)),"")</f>
        <v/>
      </c>
      <c r="M610" s="2" t="str" cm="1">
        <f t="array" ref="M610">IFERROR(_xlfn.LET(
_xlpm.CSVVal,_xlfn.XLOOKUP($A610,CSV!$A:$A,CSV!Q:Q,""),
_xlpm.MacVal,_xlfn.XLOOKUP($A610,Output_Mac!$A:$A,Output_Mac!M:M,""),
_xlpm.MyAuditVal,_xlfn.XLOOKUP($A610,My_Audit!$A:$A,My_Audit!L:L,""),
_xlfn.IFS(_xlpm.MyAuditVal&lt;&gt;"",UPPER(_xlpm.MyAuditVal),_xlpm.MacVal&lt;&gt;"",_xlpm.MacVal,_xlpm.CSVVal&lt;&gt;"",_xlpm.CSVVal
)),"")</f>
        <v/>
      </c>
      <c r="O610" s="2" t="str">
        <f>_xlfn.LET(
    _xlpm.CSVVal, _xlfn.XLOOKUP($A610, CSV!$A:$A, CSV!AF:AF, ""),
    _xlpm.MacVal, _xlfn.XLOOKUP($A610, Output_Mac!$A:$A, Output_Mac!S:S, ""),
    _xlpm.MyAuditVal, _xlfn.XLOOKUP($A610, My_Audit!$A:$A, My_Audit!P:P, ""),
    _xlfn.TEXTJOIN(", ", TRUE, _xlpm.MyAuditVal, _xlpm.MacVal, _xlpm.CSVVal)
)</f>
        <v/>
      </c>
      <c r="P610" s="2" t="str" cm="1">
        <f t="array" ref="P610">IFERROR(_xlfn.LET(
_xlpm.CSVVal,_xlfn.XLOOKUP($A610,CSV!$A:$A,CSV!AG:AG,""),
_xlpm.MacVal,_xlfn.XLOOKUP($A610,Output_Mac!$A:$A,Output_Mac!T:T,""),
_xlpm.MyAuditVal,_xlfn.XLOOKUP($A610,My_Audit!$A:$A,My_Audit!Q:Q,""),
_xlfn.IFS(_xlpm.MyAuditVal&lt;&gt;"",UPPER(_xlpm.MyAuditVal),_xlpm.MacVal&lt;&gt;"",_xlpm.MacVal,_xlpm.CSVVal&lt;&gt;"",_xlpm.CSVVal
)),"No")</f>
        <v>No</v>
      </c>
      <c r="Q610" s="2" t="str" cm="1">
        <f t="array" ref="Q610">IFERROR(_xlfn.LET(
_xlpm.CSVVal,_xlfn.XLOOKUP($A610,CSV!$A:$A,CSV!AH:AH,""),
_xlpm.MacVal,_xlfn.XLOOKUP($A610,Output_Mac!$A:$A,Output_Mac!U:U,""),
_xlpm.MyAuditVal,_xlfn.XLOOKUP($A610,My_Audit!$A:$A,My_Audit!R:R,""),
_xlfn.IFS(_xlpm.MyAuditVal&lt;&gt;"",UPPER(_xlpm.MyAuditVal),_xlpm.MacVal&lt;&gt;"",_xlpm.MacVal,_xlpm.CSVVal&lt;&gt;"",_xlpm.CSVVal
)),"")</f>
        <v/>
      </c>
    </row>
    <row r="611" spans="1:17">
      <c r="A611" s="2" t="str">
        <f>_xlfn.TEXTJOIN("",TRUE,Input!$B$2,ROW(My_Audit!A610))</f>
        <v>XX610</v>
      </c>
      <c r="B611" s="2" t="str">
        <f>_xlfn.TEXTJOIN("-",TRUE,"ITD",Input!$A$2,A611)</f>
        <v>ITD-SHRXXX-XX610</v>
      </c>
      <c r="C611" s="2" t="str" cm="1">
        <f t="array" ref="C611">IFERROR(_xlfn.LET(
_xlpm.CSVVal,_xlfn.XLOOKUP($A611,CSV!$A:$A,CSV!B:B,""),
_xlpm.MacVal,_xlfn.XLOOKUP($A611,Output_Mac!$A:$A,Output_Mac!B:B,""),
_xlpm.MyAuditVal,_xlfn.XLOOKUP($A611,My_Audit!$A:$A,My_Audit!B:B,""),
_xlfn.IFS(_xlpm.MyAuditVal&lt;&gt;"",UPPER(_xlpm.MyAuditVal),_xlpm.MacVal&lt;&gt;"",_xlpm.MacVal,_xlpm.CSVVal&lt;&gt;"",_xlpm.CSVVal
)),"")</f>
        <v/>
      </c>
      <c r="D611" s="2" t="str" cm="1">
        <f t="array" ref="D611">IFERROR(_xlfn.LET(
_xlpm.CSVVal,_xlfn.XLOOKUP($A611,CSV!$A:$A,CSV!D:D,""),
_xlpm.MacVal,_xlfn.XLOOKUP($A611,Output_Mac!$A:$A,Output_Mac!C:C,""),
_xlpm.MyAuditVal,_xlfn.XLOOKUP($A611,My_Audit!$A:$A,My_Audit!C:C,""),
_xlfn.IFS(_xlpm.MyAuditVal&lt;&gt;"",_xlpm.MyAuditVal,_xlpm.MacVal&lt;&gt;"",_xlpm.MacVal,_xlpm.CSVVal&lt;&gt;"",_xlpm.CSVVal
)),"")</f>
        <v/>
      </c>
      <c r="E611" s="2" t="str">
        <f>_xlfn.XLOOKUP(A611,My_Audit!A:A,My_Audit!D:D,"")&amp;""</f>
        <v/>
      </c>
      <c r="F611" s="2" t="str" cm="1">
        <f t="array" ref="F611">IFERROR(_xlfn.LET(
_xlpm.CSVVal,_xlfn.XLOOKUP($A611,CSV!$A:$A,CSV!F:F,""),
_xlpm.MacVal,_xlfn.XLOOKUP($A611,Output_Mac!$A:$A,Output_Mac!E:E,""),
_xlpm.MyAuditVal,_xlfn.XLOOKUP($A611,My_Audit!$A:$A,My_Audit!E:E,""),
_xlfn.IFS(_xlpm.MyAuditVal&lt;&gt;"",_xlpm.MyAuditVal,_xlpm.MacVal&lt;&gt;"",_xlpm.MacVal,_xlpm.CSVVal&lt;&gt;"",_xlpm.CSVVal
)),"")</f>
        <v/>
      </c>
      <c r="G611" s="2" t="str" cm="1">
        <f t="array" ref="G611">IFERROR(_xlfn.LET(
_xlpm.CSVVal,_xlfn.XLOOKUP($A611,CSV!$A:$A,CSV!G:G,""),
_xlpm.MacVal,_xlfn.XLOOKUP($A611,Output_Mac!$A:$A,Output_Mac!F:F,""),
_xlpm.MyAuditVal,_xlfn.XLOOKUP($A611,My_Audit!$A:$A,My_Audit!F:F,""),
_xlfn.IFS(_xlpm.MyAuditVal&lt;&gt;"",_xlpm.MyAuditVal,_xlpm.MacVal&lt;&gt;"",_xlpm.MacVal,_xlpm.CSVVal&lt;&gt;"",PROPER(_xlpm.CSVVal)
)),"")</f>
        <v/>
      </c>
      <c r="H611" s="2" t="str" cm="1">
        <f t="array" ref="H611">IFERROR(_xlfn.LET(
_xlpm.CSVVal,_xlfn.XLOOKUP($A611,CSV!$A:$A,CSV!H:H,""),
_xlpm.MacVal,_xlfn.XLOOKUP($A611,Output_Mac!$A:$A,Output_Mac!H:H,""),
_xlpm.MyAuditVal,_xlfn.XLOOKUP($A611,My_Audit!$A:$A,My_Audit!G:G,""),
_xlfn.IFS(_xlpm.MyAuditVal&lt;&gt;"",_xlpm.MyAuditVal,_xlpm.MacVal&lt;&gt;"",_xlpm.MacVal,_xlpm.CSVVal&lt;&gt;"",_xlpm.CSVVal
)),"")</f>
        <v/>
      </c>
      <c r="I611" s="2" t="str">
        <f>_xlfn.XLOOKUP(A611,Output_Mac!A:A,Output_Mac!I:I,"")</f>
        <v/>
      </c>
      <c r="J611" s="2" t="str" cm="1">
        <f t="array" ref="J611">IFERROR(_xlfn.LET(
_xlpm.CSVVal,_xlfn.XLOOKUP($A611,CSV!$A:$A,CSV!I:I,""),
_xlpm.MacVal,_xlfn.XLOOKUP($A611,Output_Mac!$A:$A,Output_Mac!J:J,""),
_xlpm.MyAuditVal,_xlfn.XLOOKUP($A611,My_Audit!$A:$A,My_Audit!I:I,""),
_xlfn.IFS(_xlpm.MyAuditVal&lt;&gt;"",UPPER(_xlpm.MyAuditVal),_xlpm.MacVal&lt;&gt;"",_xlpm.MacVal,_xlpm.CSVVal&lt;&gt;"",_xlpm.CSVVal
)),"")</f>
        <v/>
      </c>
      <c r="K611" s="2" t="str" cm="1">
        <f t="array" ref="K611">IFERROR(_xlfn.LET(
_xlpm.CSVVal,_xlfn.XLOOKUP($A611,CSV!$A:$A,CSV!K:K,""),
_xlpm.MacVal,_xlfn.XLOOKUP($A611,Output_Mac!$A:$A,Output_Mac!K:K,""),
_xlpm.MyAuditVal,_xlfn.XLOOKUP($A611,My_Audit!$A:$A,My_Audit!J:J,""),
_xlfn.IFS(_xlpm.MyAuditVal&lt;&gt;"",UPPER(_xlpm.MyAuditVal),_xlpm.MacVal&lt;&gt;"",_xlpm.MacVal,_xlpm.CSVVal&lt;&gt;"",_xlpm.CSVVal
)),"")</f>
        <v/>
      </c>
      <c r="L611" s="2" t="str" cm="1">
        <f t="array" ref="L611">IFERROR(_xlfn.LET(
_xlpm.CSVVal,_xlfn.XLOOKUP($A611,CSV!$A:$A,CSV!P:P,""),
_xlpm.MacVal,_xlfn.XLOOKUP($A611,Output_Mac!$A:$A,Output_Mac!L:L,""),
_xlpm.MyAuditVal,_xlfn.XLOOKUP($A611,My_Audit!$A:$A,My_Audit!K:K,""),
_xlfn.IFS(_xlpm.MyAuditVal&lt;&gt;"",UPPER(_xlpm.MyAuditVal),_xlpm.MacVal&lt;&gt;"",_xlpm.MacVal,_xlpm.CSVVal&lt;&gt;"",_xlpm.CSVVal
)),"")</f>
        <v/>
      </c>
      <c r="M611" s="2" t="str" cm="1">
        <f t="array" ref="M611">IFERROR(_xlfn.LET(
_xlpm.CSVVal,_xlfn.XLOOKUP($A611,CSV!$A:$A,CSV!Q:Q,""),
_xlpm.MacVal,_xlfn.XLOOKUP($A611,Output_Mac!$A:$A,Output_Mac!M:M,""),
_xlpm.MyAuditVal,_xlfn.XLOOKUP($A611,My_Audit!$A:$A,My_Audit!L:L,""),
_xlfn.IFS(_xlpm.MyAuditVal&lt;&gt;"",UPPER(_xlpm.MyAuditVal),_xlpm.MacVal&lt;&gt;"",_xlpm.MacVal,_xlpm.CSVVal&lt;&gt;"",_xlpm.CSVVal
)),"")</f>
        <v/>
      </c>
      <c r="O611" s="2" t="str">
        <f>_xlfn.LET(
    _xlpm.CSVVal, _xlfn.XLOOKUP($A611, CSV!$A:$A, CSV!AF:AF, ""),
    _xlpm.MacVal, _xlfn.XLOOKUP($A611, Output_Mac!$A:$A, Output_Mac!S:S, ""),
    _xlpm.MyAuditVal, _xlfn.XLOOKUP($A611, My_Audit!$A:$A, My_Audit!P:P, ""),
    _xlfn.TEXTJOIN(", ", TRUE, _xlpm.MyAuditVal, _xlpm.MacVal, _xlpm.CSVVal)
)</f>
        <v/>
      </c>
      <c r="P611" s="2" t="str" cm="1">
        <f t="array" ref="P611">IFERROR(_xlfn.LET(
_xlpm.CSVVal,_xlfn.XLOOKUP($A611,CSV!$A:$A,CSV!AG:AG,""),
_xlpm.MacVal,_xlfn.XLOOKUP($A611,Output_Mac!$A:$A,Output_Mac!T:T,""),
_xlpm.MyAuditVal,_xlfn.XLOOKUP($A611,My_Audit!$A:$A,My_Audit!Q:Q,""),
_xlfn.IFS(_xlpm.MyAuditVal&lt;&gt;"",UPPER(_xlpm.MyAuditVal),_xlpm.MacVal&lt;&gt;"",_xlpm.MacVal,_xlpm.CSVVal&lt;&gt;"",_xlpm.CSVVal
)),"No")</f>
        <v>No</v>
      </c>
      <c r="Q611" s="2" t="str" cm="1">
        <f t="array" ref="Q611">IFERROR(_xlfn.LET(
_xlpm.CSVVal,_xlfn.XLOOKUP($A611,CSV!$A:$A,CSV!AH:AH,""),
_xlpm.MacVal,_xlfn.XLOOKUP($A611,Output_Mac!$A:$A,Output_Mac!U:U,""),
_xlpm.MyAuditVal,_xlfn.XLOOKUP($A611,My_Audit!$A:$A,My_Audit!R:R,""),
_xlfn.IFS(_xlpm.MyAuditVal&lt;&gt;"",UPPER(_xlpm.MyAuditVal),_xlpm.MacVal&lt;&gt;"",_xlpm.MacVal,_xlpm.CSVVal&lt;&gt;"",_xlpm.CSVVal
)),"")</f>
        <v/>
      </c>
    </row>
    <row r="612" spans="1:17">
      <c r="A612" s="2" t="str">
        <f>_xlfn.TEXTJOIN("",TRUE,Input!$B$2,ROW(My_Audit!A611))</f>
        <v>XX611</v>
      </c>
      <c r="B612" s="2" t="str">
        <f>_xlfn.TEXTJOIN("-",TRUE,"ITD",Input!$A$2,A612)</f>
        <v>ITD-SHRXXX-XX611</v>
      </c>
      <c r="C612" s="2" t="str" cm="1">
        <f t="array" ref="C612">IFERROR(_xlfn.LET(
_xlpm.CSVVal,_xlfn.XLOOKUP($A612,CSV!$A:$A,CSV!B:B,""),
_xlpm.MacVal,_xlfn.XLOOKUP($A612,Output_Mac!$A:$A,Output_Mac!B:B,""),
_xlpm.MyAuditVal,_xlfn.XLOOKUP($A612,My_Audit!$A:$A,My_Audit!B:B,""),
_xlfn.IFS(_xlpm.MyAuditVal&lt;&gt;"",UPPER(_xlpm.MyAuditVal),_xlpm.MacVal&lt;&gt;"",_xlpm.MacVal,_xlpm.CSVVal&lt;&gt;"",_xlpm.CSVVal
)),"")</f>
        <v/>
      </c>
      <c r="D612" s="2" t="str" cm="1">
        <f t="array" ref="D612">IFERROR(_xlfn.LET(
_xlpm.CSVVal,_xlfn.XLOOKUP($A612,CSV!$A:$A,CSV!D:D,""),
_xlpm.MacVal,_xlfn.XLOOKUP($A612,Output_Mac!$A:$A,Output_Mac!C:C,""),
_xlpm.MyAuditVal,_xlfn.XLOOKUP($A612,My_Audit!$A:$A,My_Audit!C:C,""),
_xlfn.IFS(_xlpm.MyAuditVal&lt;&gt;"",_xlpm.MyAuditVal,_xlpm.MacVal&lt;&gt;"",_xlpm.MacVal,_xlpm.CSVVal&lt;&gt;"",_xlpm.CSVVal
)),"")</f>
        <v/>
      </c>
      <c r="E612" s="2" t="str">
        <f>_xlfn.XLOOKUP(A612,My_Audit!A:A,My_Audit!D:D,"")&amp;""</f>
        <v/>
      </c>
      <c r="F612" s="2" t="str" cm="1">
        <f t="array" ref="F612">IFERROR(_xlfn.LET(
_xlpm.CSVVal,_xlfn.XLOOKUP($A612,CSV!$A:$A,CSV!F:F,""),
_xlpm.MacVal,_xlfn.XLOOKUP($A612,Output_Mac!$A:$A,Output_Mac!E:E,""),
_xlpm.MyAuditVal,_xlfn.XLOOKUP($A612,My_Audit!$A:$A,My_Audit!E:E,""),
_xlfn.IFS(_xlpm.MyAuditVal&lt;&gt;"",_xlpm.MyAuditVal,_xlpm.MacVal&lt;&gt;"",_xlpm.MacVal,_xlpm.CSVVal&lt;&gt;"",_xlpm.CSVVal
)),"")</f>
        <v/>
      </c>
      <c r="G612" s="2" t="str" cm="1">
        <f t="array" ref="G612">IFERROR(_xlfn.LET(
_xlpm.CSVVal,_xlfn.XLOOKUP($A612,CSV!$A:$A,CSV!G:G,""),
_xlpm.MacVal,_xlfn.XLOOKUP($A612,Output_Mac!$A:$A,Output_Mac!F:F,""),
_xlpm.MyAuditVal,_xlfn.XLOOKUP($A612,My_Audit!$A:$A,My_Audit!F:F,""),
_xlfn.IFS(_xlpm.MyAuditVal&lt;&gt;"",_xlpm.MyAuditVal,_xlpm.MacVal&lt;&gt;"",_xlpm.MacVal,_xlpm.CSVVal&lt;&gt;"",PROPER(_xlpm.CSVVal)
)),"")</f>
        <v/>
      </c>
      <c r="H612" s="2" t="str" cm="1">
        <f t="array" ref="H612">IFERROR(_xlfn.LET(
_xlpm.CSVVal,_xlfn.XLOOKUP($A612,CSV!$A:$A,CSV!H:H,""),
_xlpm.MacVal,_xlfn.XLOOKUP($A612,Output_Mac!$A:$A,Output_Mac!H:H,""),
_xlpm.MyAuditVal,_xlfn.XLOOKUP($A612,My_Audit!$A:$A,My_Audit!G:G,""),
_xlfn.IFS(_xlpm.MyAuditVal&lt;&gt;"",_xlpm.MyAuditVal,_xlpm.MacVal&lt;&gt;"",_xlpm.MacVal,_xlpm.CSVVal&lt;&gt;"",_xlpm.CSVVal
)),"")</f>
        <v/>
      </c>
      <c r="I612" s="2" t="str">
        <f>_xlfn.XLOOKUP(A612,Output_Mac!A:A,Output_Mac!I:I,"")</f>
        <v/>
      </c>
      <c r="J612" s="2" t="str" cm="1">
        <f t="array" ref="J612">IFERROR(_xlfn.LET(
_xlpm.CSVVal,_xlfn.XLOOKUP($A612,CSV!$A:$A,CSV!I:I,""),
_xlpm.MacVal,_xlfn.XLOOKUP($A612,Output_Mac!$A:$A,Output_Mac!J:J,""),
_xlpm.MyAuditVal,_xlfn.XLOOKUP($A612,My_Audit!$A:$A,My_Audit!I:I,""),
_xlfn.IFS(_xlpm.MyAuditVal&lt;&gt;"",UPPER(_xlpm.MyAuditVal),_xlpm.MacVal&lt;&gt;"",_xlpm.MacVal,_xlpm.CSVVal&lt;&gt;"",_xlpm.CSVVal
)),"")</f>
        <v/>
      </c>
      <c r="K612" s="2" t="str" cm="1">
        <f t="array" ref="K612">IFERROR(_xlfn.LET(
_xlpm.CSVVal,_xlfn.XLOOKUP($A612,CSV!$A:$A,CSV!K:K,""),
_xlpm.MacVal,_xlfn.XLOOKUP($A612,Output_Mac!$A:$A,Output_Mac!K:K,""),
_xlpm.MyAuditVal,_xlfn.XLOOKUP($A612,My_Audit!$A:$A,My_Audit!J:J,""),
_xlfn.IFS(_xlpm.MyAuditVal&lt;&gt;"",UPPER(_xlpm.MyAuditVal),_xlpm.MacVal&lt;&gt;"",_xlpm.MacVal,_xlpm.CSVVal&lt;&gt;"",_xlpm.CSVVal
)),"")</f>
        <v/>
      </c>
      <c r="L612" s="2" t="str" cm="1">
        <f t="array" ref="L612">IFERROR(_xlfn.LET(
_xlpm.CSVVal,_xlfn.XLOOKUP($A612,CSV!$A:$A,CSV!P:P,""),
_xlpm.MacVal,_xlfn.XLOOKUP($A612,Output_Mac!$A:$A,Output_Mac!L:L,""),
_xlpm.MyAuditVal,_xlfn.XLOOKUP($A612,My_Audit!$A:$A,My_Audit!K:K,""),
_xlfn.IFS(_xlpm.MyAuditVal&lt;&gt;"",UPPER(_xlpm.MyAuditVal),_xlpm.MacVal&lt;&gt;"",_xlpm.MacVal,_xlpm.CSVVal&lt;&gt;"",_xlpm.CSVVal
)),"")</f>
        <v/>
      </c>
      <c r="M612" s="2" t="str" cm="1">
        <f t="array" ref="M612">IFERROR(_xlfn.LET(
_xlpm.CSVVal,_xlfn.XLOOKUP($A612,CSV!$A:$A,CSV!Q:Q,""),
_xlpm.MacVal,_xlfn.XLOOKUP($A612,Output_Mac!$A:$A,Output_Mac!M:M,""),
_xlpm.MyAuditVal,_xlfn.XLOOKUP($A612,My_Audit!$A:$A,My_Audit!L:L,""),
_xlfn.IFS(_xlpm.MyAuditVal&lt;&gt;"",UPPER(_xlpm.MyAuditVal),_xlpm.MacVal&lt;&gt;"",_xlpm.MacVal,_xlpm.CSVVal&lt;&gt;"",_xlpm.CSVVal
)),"")</f>
        <v/>
      </c>
      <c r="O612" s="2" t="str">
        <f>_xlfn.LET(
    _xlpm.CSVVal, _xlfn.XLOOKUP($A612, CSV!$A:$A, CSV!AF:AF, ""),
    _xlpm.MacVal, _xlfn.XLOOKUP($A612, Output_Mac!$A:$A, Output_Mac!S:S, ""),
    _xlpm.MyAuditVal, _xlfn.XLOOKUP($A612, My_Audit!$A:$A, My_Audit!P:P, ""),
    _xlfn.TEXTJOIN(", ", TRUE, _xlpm.MyAuditVal, _xlpm.MacVal, _xlpm.CSVVal)
)</f>
        <v/>
      </c>
      <c r="P612" s="2" t="str" cm="1">
        <f t="array" ref="P612">IFERROR(_xlfn.LET(
_xlpm.CSVVal,_xlfn.XLOOKUP($A612,CSV!$A:$A,CSV!AG:AG,""),
_xlpm.MacVal,_xlfn.XLOOKUP($A612,Output_Mac!$A:$A,Output_Mac!T:T,""),
_xlpm.MyAuditVal,_xlfn.XLOOKUP($A612,My_Audit!$A:$A,My_Audit!Q:Q,""),
_xlfn.IFS(_xlpm.MyAuditVal&lt;&gt;"",UPPER(_xlpm.MyAuditVal),_xlpm.MacVal&lt;&gt;"",_xlpm.MacVal,_xlpm.CSVVal&lt;&gt;"",_xlpm.CSVVal
)),"No")</f>
        <v>No</v>
      </c>
      <c r="Q612" s="2" t="str" cm="1">
        <f t="array" ref="Q612">IFERROR(_xlfn.LET(
_xlpm.CSVVal,_xlfn.XLOOKUP($A612,CSV!$A:$A,CSV!AH:AH,""),
_xlpm.MacVal,_xlfn.XLOOKUP($A612,Output_Mac!$A:$A,Output_Mac!U:U,""),
_xlpm.MyAuditVal,_xlfn.XLOOKUP($A612,My_Audit!$A:$A,My_Audit!R:R,""),
_xlfn.IFS(_xlpm.MyAuditVal&lt;&gt;"",UPPER(_xlpm.MyAuditVal),_xlpm.MacVal&lt;&gt;"",_xlpm.MacVal,_xlpm.CSVVal&lt;&gt;"",_xlpm.CSVVal
)),"")</f>
        <v/>
      </c>
    </row>
    <row r="613" spans="1:17">
      <c r="A613" s="2" t="str">
        <f>_xlfn.TEXTJOIN("",TRUE,Input!$B$2,ROW(My_Audit!A612))</f>
        <v>XX612</v>
      </c>
      <c r="B613" s="2" t="str">
        <f>_xlfn.TEXTJOIN("-",TRUE,"ITD",Input!$A$2,A613)</f>
        <v>ITD-SHRXXX-XX612</v>
      </c>
      <c r="C613" s="2" t="str" cm="1">
        <f t="array" ref="C613">IFERROR(_xlfn.LET(
_xlpm.CSVVal,_xlfn.XLOOKUP($A613,CSV!$A:$A,CSV!B:B,""),
_xlpm.MacVal,_xlfn.XLOOKUP($A613,Output_Mac!$A:$A,Output_Mac!B:B,""),
_xlpm.MyAuditVal,_xlfn.XLOOKUP($A613,My_Audit!$A:$A,My_Audit!B:B,""),
_xlfn.IFS(_xlpm.MyAuditVal&lt;&gt;"",UPPER(_xlpm.MyAuditVal),_xlpm.MacVal&lt;&gt;"",_xlpm.MacVal,_xlpm.CSVVal&lt;&gt;"",_xlpm.CSVVal
)),"")</f>
        <v/>
      </c>
      <c r="D613" s="2" t="str" cm="1">
        <f t="array" ref="D613">IFERROR(_xlfn.LET(
_xlpm.CSVVal,_xlfn.XLOOKUP($A613,CSV!$A:$A,CSV!D:D,""),
_xlpm.MacVal,_xlfn.XLOOKUP($A613,Output_Mac!$A:$A,Output_Mac!C:C,""),
_xlpm.MyAuditVal,_xlfn.XLOOKUP($A613,My_Audit!$A:$A,My_Audit!C:C,""),
_xlfn.IFS(_xlpm.MyAuditVal&lt;&gt;"",_xlpm.MyAuditVal,_xlpm.MacVal&lt;&gt;"",_xlpm.MacVal,_xlpm.CSVVal&lt;&gt;"",_xlpm.CSVVal
)),"")</f>
        <v/>
      </c>
      <c r="E613" s="2" t="str">
        <f>_xlfn.XLOOKUP(A613,My_Audit!A:A,My_Audit!D:D,"")&amp;""</f>
        <v/>
      </c>
      <c r="F613" s="2" t="str" cm="1">
        <f t="array" ref="F613">IFERROR(_xlfn.LET(
_xlpm.CSVVal,_xlfn.XLOOKUP($A613,CSV!$A:$A,CSV!F:F,""),
_xlpm.MacVal,_xlfn.XLOOKUP($A613,Output_Mac!$A:$A,Output_Mac!E:E,""),
_xlpm.MyAuditVal,_xlfn.XLOOKUP($A613,My_Audit!$A:$A,My_Audit!E:E,""),
_xlfn.IFS(_xlpm.MyAuditVal&lt;&gt;"",_xlpm.MyAuditVal,_xlpm.MacVal&lt;&gt;"",_xlpm.MacVal,_xlpm.CSVVal&lt;&gt;"",_xlpm.CSVVal
)),"")</f>
        <v/>
      </c>
      <c r="G613" s="2" t="str" cm="1">
        <f t="array" ref="G613">IFERROR(_xlfn.LET(
_xlpm.CSVVal,_xlfn.XLOOKUP($A613,CSV!$A:$A,CSV!G:G,""),
_xlpm.MacVal,_xlfn.XLOOKUP($A613,Output_Mac!$A:$A,Output_Mac!F:F,""),
_xlpm.MyAuditVal,_xlfn.XLOOKUP($A613,My_Audit!$A:$A,My_Audit!F:F,""),
_xlfn.IFS(_xlpm.MyAuditVal&lt;&gt;"",_xlpm.MyAuditVal,_xlpm.MacVal&lt;&gt;"",_xlpm.MacVal,_xlpm.CSVVal&lt;&gt;"",PROPER(_xlpm.CSVVal)
)),"")</f>
        <v/>
      </c>
      <c r="H613" s="2" t="str" cm="1">
        <f t="array" ref="H613">IFERROR(_xlfn.LET(
_xlpm.CSVVal,_xlfn.XLOOKUP($A613,CSV!$A:$A,CSV!H:H,""),
_xlpm.MacVal,_xlfn.XLOOKUP($A613,Output_Mac!$A:$A,Output_Mac!H:H,""),
_xlpm.MyAuditVal,_xlfn.XLOOKUP($A613,My_Audit!$A:$A,My_Audit!G:G,""),
_xlfn.IFS(_xlpm.MyAuditVal&lt;&gt;"",_xlpm.MyAuditVal,_xlpm.MacVal&lt;&gt;"",_xlpm.MacVal,_xlpm.CSVVal&lt;&gt;"",_xlpm.CSVVal
)),"")</f>
        <v/>
      </c>
      <c r="I613" s="2" t="str">
        <f>_xlfn.XLOOKUP(A613,Output_Mac!A:A,Output_Mac!I:I,"")</f>
        <v/>
      </c>
      <c r="J613" s="2" t="str" cm="1">
        <f t="array" ref="J613">IFERROR(_xlfn.LET(
_xlpm.CSVVal,_xlfn.XLOOKUP($A613,CSV!$A:$A,CSV!I:I,""),
_xlpm.MacVal,_xlfn.XLOOKUP($A613,Output_Mac!$A:$A,Output_Mac!J:J,""),
_xlpm.MyAuditVal,_xlfn.XLOOKUP($A613,My_Audit!$A:$A,My_Audit!I:I,""),
_xlfn.IFS(_xlpm.MyAuditVal&lt;&gt;"",UPPER(_xlpm.MyAuditVal),_xlpm.MacVal&lt;&gt;"",_xlpm.MacVal,_xlpm.CSVVal&lt;&gt;"",_xlpm.CSVVal
)),"")</f>
        <v/>
      </c>
      <c r="K613" s="2" t="str" cm="1">
        <f t="array" ref="K613">IFERROR(_xlfn.LET(
_xlpm.CSVVal,_xlfn.XLOOKUP($A613,CSV!$A:$A,CSV!K:K,""),
_xlpm.MacVal,_xlfn.XLOOKUP($A613,Output_Mac!$A:$A,Output_Mac!K:K,""),
_xlpm.MyAuditVal,_xlfn.XLOOKUP($A613,My_Audit!$A:$A,My_Audit!J:J,""),
_xlfn.IFS(_xlpm.MyAuditVal&lt;&gt;"",UPPER(_xlpm.MyAuditVal),_xlpm.MacVal&lt;&gt;"",_xlpm.MacVal,_xlpm.CSVVal&lt;&gt;"",_xlpm.CSVVal
)),"")</f>
        <v/>
      </c>
      <c r="L613" s="2" t="str" cm="1">
        <f t="array" ref="L613">IFERROR(_xlfn.LET(
_xlpm.CSVVal,_xlfn.XLOOKUP($A613,CSV!$A:$A,CSV!P:P,""),
_xlpm.MacVal,_xlfn.XLOOKUP($A613,Output_Mac!$A:$A,Output_Mac!L:L,""),
_xlpm.MyAuditVal,_xlfn.XLOOKUP($A613,My_Audit!$A:$A,My_Audit!K:K,""),
_xlfn.IFS(_xlpm.MyAuditVal&lt;&gt;"",UPPER(_xlpm.MyAuditVal),_xlpm.MacVal&lt;&gt;"",_xlpm.MacVal,_xlpm.CSVVal&lt;&gt;"",_xlpm.CSVVal
)),"")</f>
        <v/>
      </c>
      <c r="M613" s="2" t="str" cm="1">
        <f t="array" ref="M613">IFERROR(_xlfn.LET(
_xlpm.CSVVal,_xlfn.XLOOKUP($A613,CSV!$A:$A,CSV!Q:Q,""),
_xlpm.MacVal,_xlfn.XLOOKUP($A613,Output_Mac!$A:$A,Output_Mac!M:M,""),
_xlpm.MyAuditVal,_xlfn.XLOOKUP($A613,My_Audit!$A:$A,My_Audit!L:L,""),
_xlfn.IFS(_xlpm.MyAuditVal&lt;&gt;"",UPPER(_xlpm.MyAuditVal),_xlpm.MacVal&lt;&gt;"",_xlpm.MacVal,_xlpm.CSVVal&lt;&gt;"",_xlpm.CSVVal
)),"")</f>
        <v/>
      </c>
      <c r="O613" s="2" t="str">
        <f>_xlfn.LET(
    _xlpm.CSVVal, _xlfn.XLOOKUP($A613, CSV!$A:$A, CSV!AF:AF, ""),
    _xlpm.MacVal, _xlfn.XLOOKUP($A613, Output_Mac!$A:$A, Output_Mac!S:S, ""),
    _xlpm.MyAuditVal, _xlfn.XLOOKUP($A613, My_Audit!$A:$A, My_Audit!P:P, ""),
    _xlfn.TEXTJOIN(", ", TRUE, _xlpm.MyAuditVal, _xlpm.MacVal, _xlpm.CSVVal)
)</f>
        <v/>
      </c>
      <c r="P613" s="2" t="str" cm="1">
        <f t="array" ref="P613">IFERROR(_xlfn.LET(
_xlpm.CSVVal,_xlfn.XLOOKUP($A613,CSV!$A:$A,CSV!AG:AG,""),
_xlpm.MacVal,_xlfn.XLOOKUP($A613,Output_Mac!$A:$A,Output_Mac!T:T,""),
_xlpm.MyAuditVal,_xlfn.XLOOKUP($A613,My_Audit!$A:$A,My_Audit!Q:Q,""),
_xlfn.IFS(_xlpm.MyAuditVal&lt;&gt;"",UPPER(_xlpm.MyAuditVal),_xlpm.MacVal&lt;&gt;"",_xlpm.MacVal,_xlpm.CSVVal&lt;&gt;"",_xlpm.CSVVal
)),"No")</f>
        <v>No</v>
      </c>
      <c r="Q613" s="2" t="str" cm="1">
        <f t="array" ref="Q613">IFERROR(_xlfn.LET(
_xlpm.CSVVal,_xlfn.XLOOKUP($A613,CSV!$A:$A,CSV!AH:AH,""),
_xlpm.MacVal,_xlfn.XLOOKUP($A613,Output_Mac!$A:$A,Output_Mac!U:U,""),
_xlpm.MyAuditVal,_xlfn.XLOOKUP($A613,My_Audit!$A:$A,My_Audit!R:R,""),
_xlfn.IFS(_xlpm.MyAuditVal&lt;&gt;"",UPPER(_xlpm.MyAuditVal),_xlpm.MacVal&lt;&gt;"",_xlpm.MacVal,_xlpm.CSVVal&lt;&gt;"",_xlpm.CSVVal
)),"")</f>
        <v/>
      </c>
    </row>
    <row r="614" spans="1:17">
      <c r="A614" s="2" t="str">
        <f>_xlfn.TEXTJOIN("",TRUE,Input!$B$2,ROW(My_Audit!A613))</f>
        <v>XX613</v>
      </c>
      <c r="B614" s="2" t="str">
        <f>_xlfn.TEXTJOIN("-",TRUE,"ITD",Input!$A$2,A614)</f>
        <v>ITD-SHRXXX-XX613</v>
      </c>
      <c r="C614" s="2" t="str" cm="1">
        <f t="array" ref="C614">IFERROR(_xlfn.LET(
_xlpm.CSVVal,_xlfn.XLOOKUP($A614,CSV!$A:$A,CSV!B:B,""),
_xlpm.MacVal,_xlfn.XLOOKUP($A614,Output_Mac!$A:$A,Output_Mac!B:B,""),
_xlpm.MyAuditVal,_xlfn.XLOOKUP($A614,My_Audit!$A:$A,My_Audit!B:B,""),
_xlfn.IFS(_xlpm.MyAuditVal&lt;&gt;"",UPPER(_xlpm.MyAuditVal),_xlpm.MacVal&lt;&gt;"",_xlpm.MacVal,_xlpm.CSVVal&lt;&gt;"",_xlpm.CSVVal
)),"")</f>
        <v/>
      </c>
      <c r="D614" s="2" t="str" cm="1">
        <f t="array" ref="D614">IFERROR(_xlfn.LET(
_xlpm.CSVVal,_xlfn.XLOOKUP($A614,CSV!$A:$A,CSV!D:D,""),
_xlpm.MacVal,_xlfn.XLOOKUP($A614,Output_Mac!$A:$A,Output_Mac!C:C,""),
_xlpm.MyAuditVal,_xlfn.XLOOKUP($A614,My_Audit!$A:$A,My_Audit!C:C,""),
_xlfn.IFS(_xlpm.MyAuditVal&lt;&gt;"",_xlpm.MyAuditVal,_xlpm.MacVal&lt;&gt;"",_xlpm.MacVal,_xlpm.CSVVal&lt;&gt;"",_xlpm.CSVVal
)),"")</f>
        <v/>
      </c>
      <c r="E614" s="2" t="str">
        <f>_xlfn.XLOOKUP(A614,My_Audit!A:A,My_Audit!D:D,"")&amp;""</f>
        <v/>
      </c>
      <c r="F614" s="2" t="str" cm="1">
        <f t="array" ref="F614">IFERROR(_xlfn.LET(
_xlpm.CSVVal,_xlfn.XLOOKUP($A614,CSV!$A:$A,CSV!F:F,""),
_xlpm.MacVal,_xlfn.XLOOKUP($A614,Output_Mac!$A:$A,Output_Mac!E:E,""),
_xlpm.MyAuditVal,_xlfn.XLOOKUP($A614,My_Audit!$A:$A,My_Audit!E:E,""),
_xlfn.IFS(_xlpm.MyAuditVal&lt;&gt;"",_xlpm.MyAuditVal,_xlpm.MacVal&lt;&gt;"",_xlpm.MacVal,_xlpm.CSVVal&lt;&gt;"",_xlpm.CSVVal
)),"")</f>
        <v/>
      </c>
      <c r="G614" s="2" t="str" cm="1">
        <f t="array" ref="G614">IFERROR(_xlfn.LET(
_xlpm.CSVVal,_xlfn.XLOOKUP($A614,CSV!$A:$A,CSV!G:G,""),
_xlpm.MacVal,_xlfn.XLOOKUP($A614,Output_Mac!$A:$A,Output_Mac!F:F,""),
_xlpm.MyAuditVal,_xlfn.XLOOKUP($A614,My_Audit!$A:$A,My_Audit!F:F,""),
_xlfn.IFS(_xlpm.MyAuditVal&lt;&gt;"",_xlpm.MyAuditVal,_xlpm.MacVal&lt;&gt;"",_xlpm.MacVal,_xlpm.CSVVal&lt;&gt;"",PROPER(_xlpm.CSVVal)
)),"")</f>
        <v/>
      </c>
      <c r="H614" s="2" t="str" cm="1">
        <f t="array" ref="H614">IFERROR(_xlfn.LET(
_xlpm.CSVVal,_xlfn.XLOOKUP($A614,CSV!$A:$A,CSV!H:H,""),
_xlpm.MacVal,_xlfn.XLOOKUP($A614,Output_Mac!$A:$A,Output_Mac!H:H,""),
_xlpm.MyAuditVal,_xlfn.XLOOKUP($A614,My_Audit!$A:$A,My_Audit!G:G,""),
_xlfn.IFS(_xlpm.MyAuditVal&lt;&gt;"",_xlpm.MyAuditVal,_xlpm.MacVal&lt;&gt;"",_xlpm.MacVal,_xlpm.CSVVal&lt;&gt;"",_xlpm.CSVVal
)),"")</f>
        <v/>
      </c>
      <c r="I614" s="2" t="str">
        <f>_xlfn.XLOOKUP(A614,Output_Mac!A:A,Output_Mac!I:I,"")</f>
        <v/>
      </c>
      <c r="J614" s="2" t="str" cm="1">
        <f t="array" ref="J614">IFERROR(_xlfn.LET(
_xlpm.CSVVal,_xlfn.XLOOKUP($A614,CSV!$A:$A,CSV!I:I,""),
_xlpm.MacVal,_xlfn.XLOOKUP($A614,Output_Mac!$A:$A,Output_Mac!J:J,""),
_xlpm.MyAuditVal,_xlfn.XLOOKUP($A614,My_Audit!$A:$A,My_Audit!I:I,""),
_xlfn.IFS(_xlpm.MyAuditVal&lt;&gt;"",UPPER(_xlpm.MyAuditVal),_xlpm.MacVal&lt;&gt;"",_xlpm.MacVal,_xlpm.CSVVal&lt;&gt;"",_xlpm.CSVVal
)),"")</f>
        <v/>
      </c>
      <c r="K614" s="2" t="str" cm="1">
        <f t="array" ref="K614">IFERROR(_xlfn.LET(
_xlpm.CSVVal,_xlfn.XLOOKUP($A614,CSV!$A:$A,CSV!K:K,""),
_xlpm.MacVal,_xlfn.XLOOKUP($A614,Output_Mac!$A:$A,Output_Mac!K:K,""),
_xlpm.MyAuditVal,_xlfn.XLOOKUP($A614,My_Audit!$A:$A,My_Audit!J:J,""),
_xlfn.IFS(_xlpm.MyAuditVal&lt;&gt;"",UPPER(_xlpm.MyAuditVal),_xlpm.MacVal&lt;&gt;"",_xlpm.MacVal,_xlpm.CSVVal&lt;&gt;"",_xlpm.CSVVal
)),"")</f>
        <v/>
      </c>
      <c r="L614" s="2" t="str" cm="1">
        <f t="array" ref="L614">IFERROR(_xlfn.LET(
_xlpm.CSVVal,_xlfn.XLOOKUP($A614,CSV!$A:$A,CSV!P:P,""),
_xlpm.MacVal,_xlfn.XLOOKUP($A614,Output_Mac!$A:$A,Output_Mac!L:L,""),
_xlpm.MyAuditVal,_xlfn.XLOOKUP($A614,My_Audit!$A:$A,My_Audit!K:K,""),
_xlfn.IFS(_xlpm.MyAuditVal&lt;&gt;"",UPPER(_xlpm.MyAuditVal),_xlpm.MacVal&lt;&gt;"",_xlpm.MacVal,_xlpm.CSVVal&lt;&gt;"",_xlpm.CSVVal
)),"")</f>
        <v/>
      </c>
      <c r="M614" s="2" t="str" cm="1">
        <f t="array" ref="M614">IFERROR(_xlfn.LET(
_xlpm.CSVVal,_xlfn.XLOOKUP($A614,CSV!$A:$A,CSV!Q:Q,""),
_xlpm.MacVal,_xlfn.XLOOKUP($A614,Output_Mac!$A:$A,Output_Mac!M:M,""),
_xlpm.MyAuditVal,_xlfn.XLOOKUP($A614,My_Audit!$A:$A,My_Audit!L:L,""),
_xlfn.IFS(_xlpm.MyAuditVal&lt;&gt;"",UPPER(_xlpm.MyAuditVal),_xlpm.MacVal&lt;&gt;"",_xlpm.MacVal,_xlpm.CSVVal&lt;&gt;"",_xlpm.CSVVal
)),"")</f>
        <v/>
      </c>
      <c r="O614" s="2" t="str">
        <f>_xlfn.LET(
    _xlpm.CSVVal, _xlfn.XLOOKUP($A614, CSV!$A:$A, CSV!AF:AF, ""),
    _xlpm.MacVal, _xlfn.XLOOKUP($A614, Output_Mac!$A:$A, Output_Mac!S:S, ""),
    _xlpm.MyAuditVal, _xlfn.XLOOKUP($A614, My_Audit!$A:$A, My_Audit!P:P, ""),
    _xlfn.TEXTJOIN(", ", TRUE, _xlpm.MyAuditVal, _xlpm.MacVal, _xlpm.CSVVal)
)</f>
        <v/>
      </c>
      <c r="P614" s="2" t="str" cm="1">
        <f t="array" ref="P614">IFERROR(_xlfn.LET(
_xlpm.CSVVal,_xlfn.XLOOKUP($A614,CSV!$A:$A,CSV!AG:AG,""),
_xlpm.MacVal,_xlfn.XLOOKUP($A614,Output_Mac!$A:$A,Output_Mac!T:T,""),
_xlpm.MyAuditVal,_xlfn.XLOOKUP($A614,My_Audit!$A:$A,My_Audit!Q:Q,""),
_xlfn.IFS(_xlpm.MyAuditVal&lt;&gt;"",UPPER(_xlpm.MyAuditVal),_xlpm.MacVal&lt;&gt;"",_xlpm.MacVal,_xlpm.CSVVal&lt;&gt;"",_xlpm.CSVVal
)),"No")</f>
        <v>No</v>
      </c>
      <c r="Q614" s="2" t="str" cm="1">
        <f t="array" ref="Q614">IFERROR(_xlfn.LET(
_xlpm.CSVVal,_xlfn.XLOOKUP($A614,CSV!$A:$A,CSV!AH:AH,""),
_xlpm.MacVal,_xlfn.XLOOKUP($A614,Output_Mac!$A:$A,Output_Mac!U:U,""),
_xlpm.MyAuditVal,_xlfn.XLOOKUP($A614,My_Audit!$A:$A,My_Audit!R:R,""),
_xlfn.IFS(_xlpm.MyAuditVal&lt;&gt;"",UPPER(_xlpm.MyAuditVal),_xlpm.MacVal&lt;&gt;"",_xlpm.MacVal,_xlpm.CSVVal&lt;&gt;"",_xlpm.CSVVal
)),"")</f>
        <v/>
      </c>
    </row>
    <row r="615" spans="1:17">
      <c r="A615" s="2" t="str">
        <f>_xlfn.TEXTJOIN("",TRUE,Input!$B$2,ROW(My_Audit!A614))</f>
        <v>XX614</v>
      </c>
      <c r="B615" s="2" t="str">
        <f>_xlfn.TEXTJOIN("-",TRUE,"ITD",Input!$A$2,A615)</f>
        <v>ITD-SHRXXX-XX614</v>
      </c>
      <c r="C615" s="2" t="str" cm="1">
        <f t="array" ref="C615">IFERROR(_xlfn.LET(
_xlpm.CSVVal,_xlfn.XLOOKUP($A615,CSV!$A:$A,CSV!B:B,""),
_xlpm.MacVal,_xlfn.XLOOKUP($A615,Output_Mac!$A:$A,Output_Mac!B:B,""),
_xlpm.MyAuditVal,_xlfn.XLOOKUP($A615,My_Audit!$A:$A,My_Audit!B:B,""),
_xlfn.IFS(_xlpm.MyAuditVal&lt;&gt;"",UPPER(_xlpm.MyAuditVal),_xlpm.MacVal&lt;&gt;"",_xlpm.MacVal,_xlpm.CSVVal&lt;&gt;"",_xlpm.CSVVal
)),"")</f>
        <v/>
      </c>
      <c r="D615" s="2" t="str" cm="1">
        <f t="array" ref="D615">IFERROR(_xlfn.LET(
_xlpm.CSVVal,_xlfn.XLOOKUP($A615,CSV!$A:$A,CSV!D:D,""),
_xlpm.MacVal,_xlfn.XLOOKUP($A615,Output_Mac!$A:$A,Output_Mac!C:C,""),
_xlpm.MyAuditVal,_xlfn.XLOOKUP($A615,My_Audit!$A:$A,My_Audit!C:C,""),
_xlfn.IFS(_xlpm.MyAuditVal&lt;&gt;"",_xlpm.MyAuditVal,_xlpm.MacVal&lt;&gt;"",_xlpm.MacVal,_xlpm.CSVVal&lt;&gt;"",_xlpm.CSVVal
)),"")</f>
        <v/>
      </c>
      <c r="E615" s="2" t="str">
        <f>_xlfn.XLOOKUP(A615,My_Audit!A:A,My_Audit!D:D,"")&amp;""</f>
        <v/>
      </c>
      <c r="F615" s="2" t="str" cm="1">
        <f t="array" ref="F615">IFERROR(_xlfn.LET(
_xlpm.CSVVal,_xlfn.XLOOKUP($A615,CSV!$A:$A,CSV!F:F,""),
_xlpm.MacVal,_xlfn.XLOOKUP($A615,Output_Mac!$A:$A,Output_Mac!E:E,""),
_xlpm.MyAuditVal,_xlfn.XLOOKUP($A615,My_Audit!$A:$A,My_Audit!E:E,""),
_xlfn.IFS(_xlpm.MyAuditVal&lt;&gt;"",_xlpm.MyAuditVal,_xlpm.MacVal&lt;&gt;"",_xlpm.MacVal,_xlpm.CSVVal&lt;&gt;"",_xlpm.CSVVal
)),"")</f>
        <v/>
      </c>
      <c r="G615" s="2" t="str" cm="1">
        <f t="array" ref="G615">IFERROR(_xlfn.LET(
_xlpm.CSVVal,_xlfn.XLOOKUP($A615,CSV!$A:$A,CSV!G:G,""),
_xlpm.MacVal,_xlfn.XLOOKUP($A615,Output_Mac!$A:$A,Output_Mac!F:F,""),
_xlpm.MyAuditVal,_xlfn.XLOOKUP($A615,My_Audit!$A:$A,My_Audit!F:F,""),
_xlfn.IFS(_xlpm.MyAuditVal&lt;&gt;"",_xlpm.MyAuditVal,_xlpm.MacVal&lt;&gt;"",_xlpm.MacVal,_xlpm.CSVVal&lt;&gt;"",PROPER(_xlpm.CSVVal)
)),"")</f>
        <v/>
      </c>
      <c r="H615" s="2" t="str" cm="1">
        <f t="array" ref="H615">IFERROR(_xlfn.LET(
_xlpm.CSVVal,_xlfn.XLOOKUP($A615,CSV!$A:$A,CSV!H:H,""),
_xlpm.MacVal,_xlfn.XLOOKUP($A615,Output_Mac!$A:$A,Output_Mac!H:H,""),
_xlpm.MyAuditVal,_xlfn.XLOOKUP($A615,My_Audit!$A:$A,My_Audit!G:G,""),
_xlfn.IFS(_xlpm.MyAuditVal&lt;&gt;"",_xlpm.MyAuditVal,_xlpm.MacVal&lt;&gt;"",_xlpm.MacVal,_xlpm.CSVVal&lt;&gt;"",_xlpm.CSVVal
)),"")</f>
        <v/>
      </c>
      <c r="I615" s="2" t="str">
        <f>_xlfn.XLOOKUP(A615,Output_Mac!A:A,Output_Mac!I:I,"")</f>
        <v/>
      </c>
      <c r="J615" s="2" t="str" cm="1">
        <f t="array" ref="J615">IFERROR(_xlfn.LET(
_xlpm.CSVVal,_xlfn.XLOOKUP($A615,CSV!$A:$A,CSV!I:I,""),
_xlpm.MacVal,_xlfn.XLOOKUP($A615,Output_Mac!$A:$A,Output_Mac!J:J,""),
_xlpm.MyAuditVal,_xlfn.XLOOKUP($A615,My_Audit!$A:$A,My_Audit!I:I,""),
_xlfn.IFS(_xlpm.MyAuditVal&lt;&gt;"",UPPER(_xlpm.MyAuditVal),_xlpm.MacVal&lt;&gt;"",_xlpm.MacVal,_xlpm.CSVVal&lt;&gt;"",_xlpm.CSVVal
)),"")</f>
        <v/>
      </c>
      <c r="K615" s="2" t="str" cm="1">
        <f t="array" ref="K615">IFERROR(_xlfn.LET(
_xlpm.CSVVal,_xlfn.XLOOKUP($A615,CSV!$A:$A,CSV!K:K,""),
_xlpm.MacVal,_xlfn.XLOOKUP($A615,Output_Mac!$A:$A,Output_Mac!K:K,""),
_xlpm.MyAuditVal,_xlfn.XLOOKUP($A615,My_Audit!$A:$A,My_Audit!J:J,""),
_xlfn.IFS(_xlpm.MyAuditVal&lt;&gt;"",UPPER(_xlpm.MyAuditVal),_xlpm.MacVal&lt;&gt;"",_xlpm.MacVal,_xlpm.CSVVal&lt;&gt;"",_xlpm.CSVVal
)),"")</f>
        <v/>
      </c>
      <c r="L615" s="2" t="str" cm="1">
        <f t="array" ref="L615">IFERROR(_xlfn.LET(
_xlpm.CSVVal,_xlfn.XLOOKUP($A615,CSV!$A:$A,CSV!P:P,""),
_xlpm.MacVal,_xlfn.XLOOKUP($A615,Output_Mac!$A:$A,Output_Mac!L:L,""),
_xlpm.MyAuditVal,_xlfn.XLOOKUP($A615,My_Audit!$A:$A,My_Audit!K:K,""),
_xlfn.IFS(_xlpm.MyAuditVal&lt;&gt;"",UPPER(_xlpm.MyAuditVal),_xlpm.MacVal&lt;&gt;"",_xlpm.MacVal,_xlpm.CSVVal&lt;&gt;"",_xlpm.CSVVal
)),"")</f>
        <v/>
      </c>
      <c r="M615" s="2" t="str" cm="1">
        <f t="array" ref="M615">IFERROR(_xlfn.LET(
_xlpm.CSVVal,_xlfn.XLOOKUP($A615,CSV!$A:$A,CSV!Q:Q,""),
_xlpm.MacVal,_xlfn.XLOOKUP($A615,Output_Mac!$A:$A,Output_Mac!M:M,""),
_xlpm.MyAuditVal,_xlfn.XLOOKUP($A615,My_Audit!$A:$A,My_Audit!L:L,""),
_xlfn.IFS(_xlpm.MyAuditVal&lt;&gt;"",UPPER(_xlpm.MyAuditVal),_xlpm.MacVal&lt;&gt;"",_xlpm.MacVal,_xlpm.CSVVal&lt;&gt;"",_xlpm.CSVVal
)),"")</f>
        <v/>
      </c>
      <c r="O615" s="2" t="str">
        <f>_xlfn.LET(
    _xlpm.CSVVal, _xlfn.XLOOKUP($A615, CSV!$A:$A, CSV!AF:AF, ""),
    _xlpm.MacVal, _xlfn.XLOOKUP($A615, Output_Mac!$A:$A, Output_Mac!S:S, ""),
    _xlpm.MyAuditVal, _xlfn.XLOOKUP($A615, My_Audit!$A:$A, My_Audit!P:P, ""),
    _xlfn.TEXTJOIN(", ", TRUE, _xlpm.MyAuditVal, _xlpm.MacVal, _xlpm.CSVVal)
)</f>
        <v/>
      </c>
      <c r="P615" s="2" t="str" cm="1">
        <f t="array" ref="P615">IFERROR(_xlfn.LET(
_xlpm.CSVVal,_xlfn.XLOOKUP($A615,CSV!$A:$A,CSV!AG:AG,""),
_xlpm.MacVal,_xlfn.XLOOKUP($A615,Output_Mac!$A:$A,Output_Mac!T:T,""),
_xlpm.MyAuditVal,_xlfn.XLOOKUP($A615,My_Audit!$A:$A,My_Audit!Q:Q,""),
_xlfn.IFS(_xlpm.MyAuditVal&lt;&gt;"",UPPER(_xlpm.MyAuditVal),_xlpm.MacVal&lt;&gt;"",_xlpm.MacVal,_xlpm.CSVVal&lt;&gt;"",_xlpm.CSVVal
)),"No")</f>
        <v>No</v>
      </c>
      <c r="Q615" s="2" t="str" cm="1">
        <f t="array" ref="Q615">IFERROR(_xlfn.LET(
_xlpm.CSVVal,_xlfn.XLOOKUP($A615,CSV!$A:$A,CSV!AH:AH,""),
_xlpm.MacVal,_xlfn.XLOOKUP($A615,Output_Mac!$A:$A,Output_Mac!U:U,""),
_xlpm.MyAuditVal,_xlfn.XLOOKUP($A615,My_Audit!$A:$A,My_Audit!R:R,""),
_xlfn.IFS(_xlpm.MyAuditVal&lt;&gt;"",UPPER(_xlpm.MyAuditVal),_xlpm.MacVal&lt;&gt;"",_xlpm.MacVal,_xlpm.CSVVal&lt;&gt;"",_xlpm.CSVVal
)),"")</f>
        <v/>
      </c>
    </row>
    <row r="616" spans="1:17">
      <c r="A616" s="2" t="str">
        <f>_xlfn.TEXTJOIN("",TRUE,Input!$B$2,ROW(My_Audit!A615))</f>
        <v>XX615</v>
      </c>
      <c r="B616" s="2" t="str">
        <f>_xlfn.TEXTJOIN("-",TRUE,"ITD",Input!$A$2,A616)</f>
        <v>ITD-SHRXXX-XX615</v>
      </c>
      <c r="C616" s="2" t="str" cm="1">
        <f t="array" ref="C616">IFERROR(_xlfn.LET(
_xlpm.CSVVal,_xlfn.XLOOKUP($A616,CSV!$A:$A,CSV!B:B,""),
_xlpm.MacVal,_xlfn.XLOOKUP($A616,Output_Mac!$A:$A,Output_Mac!B:B,""),
_xlpm.MyAuditVal,_xlfn.XLOOKUP($A616,My_Audit!$A:$A,My_Audit!B:B,""),
_xlfn.IFS(_xlpm.MyAuditVal&lt;&gt;"",UPPER(_xlpm.MyAuditVal),_xlpm.MacVal&lt;&gt;"",_xlpm.MacVal,_xlpm.CSVVal&lt;&gt;"",_xlpm.CSVVal
)),"")</f>
        <v/>
      </c>
      <c r="D616" s="2" t="str" cm="1">
        <f t="array" ref="D616">IFERROR(_xlfn.LET(
_xlpm.CSVVal,_xlfn.XLOOKUP($A616,CSV!$A:$A,CSV!D:D,""),
_xlpm.MacVal,_xlfn.XLOOKUP($A616,Output_Mac!$A:$A,Output_Mac!C:C,""),
_xlpm.MyAuditVal,_xlfn.XLOOKUP($A616,My_Audit!$A:$A,My_Audit!C:C,""),
_xlfn.IFS(_xlpm.MyAuditVal&lt;&gt;"",_xlpm.MyAuditVal,_xlpm.MacVal&lt;&gt;"",_xlpm.MacVal,_xlpm.CSVVal&lt;&gt;"",_xlpm.CSVVal
)),"")</f>
        <v/>
      </c>
      <c r="E616" s="2" t="str">
        <f>_xlfn.XLOOKUP(A616,My_Audit!A:A,My_Audit!D:D,"")&amp;""</f>
        <v/>
      </c>
      <c r="F616" s="2" t="str" cm="1">
        <f t="array" ref="F616">IFERROR(_xlfn.LET(
_xlpm.CSVVal,_xlfn.XLOOKUP($A616,CSV!$A:$A,CSV!F:F,""),
_xlpm.MacVal,_xlfn.XLOOKUP($A616,Output_Mac!$A:$A,Output_Mac!E:E,""),
_xlpm.MyAuditVal,_xlfn.XLOOKUP($A616,My_Audit!$A:$A,My_Audit!E:E,""),
_xlfn.IFS(_xlpm.MyAuditVal&lt;&gt;"",_xlpm.MyAuditVal,_xlpm.MacVal&lt;&gt;"",_xlpm.MacVal,_xlpm.CSVVal&lt;&gt;"",_xlpm.CSVVal
)),"")</f>
        <v/>
      </c>
      <c r="G616" s="2" t="str" cm="1">
        <f t="array" ref="G616">IFERROR(_xlfn.LET(
_xlpm.CSVVal,_xlfn.XLOOKUP($A616,CSV!$A:$A,CSV!G:G,""),
_xlpm.MacVal,_xlfn.XLOOKUP($A616,Output_Mac!$A:$A,Output_Mac!F:F,""),
_xlpm.MyAuditVal,_xlfn.XLOOKUP($A616,My_Audit!$A:$A,My_Audit!F:F,""),
_xlfn.IFS(_xlpm.MyAuditVal&lt;&gt;"",_xlpm.MyAuditVal,_xlpm.MacVal&lt;&gt;"",_xlpm.MacVal,_xlpm.CSVVal&lt;&gt;"",PROPER(_xlpm.CSVVal)
)),"")</f>
        <v/>
      </c>
      <c r="H616" s="2" t="str" cm="1">
        <f t="array" ref="H616">IFERROR(_xlfn.LET(
_xlpm.CSVVal,_xlfn.XLOOKUP($A616,CSV!$A:$A,CSV!H:H,""),
_xlpm.MacVal,_xlfn.XLOOKUP($A616,Output_Mac!$A:$A,Output_Mac!H:H,""),
_xlpm.MyAuditVal,_xlfn.XLOOKUP($A616,My_Audit!$A:$A,My_Audit!G:G,""),
_xlfn.IFS(_xlpm.MyAuditVal&lt;&gt;"",_xlpm.MyAuditVal,_xlpm.MacVal&lt;&gt;"",_xlpm.MacVal,_xlpm.CSVVal&lt;&gt;"",_xlpm.CSVVal
)),"")</f>
        <v/>
      </c>
      <c r="I616" s="2" t="str">
        <f>_xlfn.XLOOKUP(A616,Output_Mac!A:A,Output_Mac!I:I,"")</f>
        <v/>
      </c>
      <c r="J616" s="2" t="str" cm="1">
        <f t="array" ref="J616">IFERROR(_xlfn.LET(
_xlpm.CSVVal,_xlfn.XLOOKUP($A616,CSV!$A:$A,CSV!I:I,""),
_xlpm.MacVal,_xlfn.XLOOKUP($A616,Output_Mac!$A:$A,Output_Mac!J:J,""),
_xlpm.MyAuditVal,_xlfn.XLOOKUP($A616,My_Audit!$A:$A,My_Audit!I:I,""),
_xlfn.IFS(_xlpm.MyAuditVal&lt;&gt;"",UPPER(_xlpm.MyAuditVal),_xlpm.MacVal&lt;&gt;"",_xlpm.MacVal,_xlpm.CSVVal&lt;&gt;"",_xlpm.CSVVal
)),"")</f>
        <v/>
      </c>
      <c r="K616" s="2" t="str" cm="1">
        <f t="array" ref="K616">IFERROR(_xlfn.LET(
_xlpm.CSVVal,_xlfn.XLOOKUP($A616,CSV!$A:$A,CSV!K:K,""),
_xlpm.MacVal,_xlfn.XLOOKUP($A616,Output_Mac!$A:$A,Output_Mac!K:K,""),
_xlpm.MyAuditVal,_xlfn.XLOOKUP($A616,My_Audit!$A:$A,My_Audit!J:J,""),
_xlfn.IFS(_xlpm.MyAuditVal&lt;&gt;"",UPPER(_xlpm.MyAuditVal),_xlpm.MacVal&lt;&gt;"",_xlpm.MacVal,_xlpm.CSVVal&lt;&gt;"",_xlpm.CSVVal
)),"")</f>
        <v/>
      </c>
      <c r="L616" s="2" t="str" cm="1">
        <f t="array" ref="L616">IFERROR(_xlfn.LET(
_xlpm.CSVVal,_xlfn.XLOOKUP($A616,CSV!$A:$A,CSV!P:P,""),
_xlpm.MacVal,_xlfn.XLOOKUP($A616,Output_Mac!$A:$A,Output_Mac!L:L,""),
_xlpm.MyAuditVal,_xlfn.XLOOKUP($A616,My_Audit!$A:$A,My_Audit!K:K,""),
_xlfn.IFS(_xlpm.MyAuditVal&lt;&gt;"",UPPER(_xlpm.MyAuditVal),_xlpm.MacVal&lt;&gt;"",_xlpm.MacVal,_xlpm.CSVVal&lt;&gt;"",_xlpm.CSVVal
)),"")</f>
        <v/>
      </c>
      <c r="M616" s="2" t="str" cm="1">
        <f t="array" ref="M616">IFERROR(_xlfn.LET(
_xlpm.CSVVal,_xlfn.XLOOKUP($A616,CSV!$A:$A,CSV!Q:Q,""),
_xlpm.MacVal,_xlfn.XLOOKUP($A616,Output_Mac!$A:$A,Output_Mac!M:M,""),
_xlpm.MyAuditVal,_xlfn.XLOOKUP($A616,My_Audit!$A:$A,My_Audit!L:L,""),
_xlfn.IFS(_xlpm.MyAuditVal&lt;&gt;"",UPPER(_xlpm.MyAuditVal),_xlpm.MacVal&lt;&gt;"",_xlpm.MacVal,_xlpm.CSVVal&lt;&gt;"",_xlpm.CSVVal
)),"")</f>
        <v/>
      </c>
      <c r="O616" s="2" t="str">
        <f>_xlfn.LET(
    _xlpm.CSVVal, _xlfn.XLOOKUP($A616, CSV!$A:$A, CSV!AF:AF, ""),
    _xlpm.MacVal, _xlfn.XLOOKUP($A616, Output_Mac!$A:$A, Output_Mac!S:S, ""),
    _xlpm.MyAuditVal, _xlfn.XLOOKUP($A616, My_Audit!$A:$A, My_Audit!P:P, ""),
    _xlfn.TEXTJOIN(", ", TRUE, _xlpm.MyAuditVal, _xlpm.MacVal, _xlpm.CSVVal)
)</f>
        <v/>
      </c>
      <c r="P616" s="2" t="str" cm="1">
        <f t="array" ref="P616">IFERROR(_xlfn.LET(
_xlpm.CSVVal,_xlfn.XLOOKUP($A616,CSV!$A:$A,CSV!AG:AG,""),
_xlpm.MacVal,_xlfn.XLOOKUP($A616,Output_Mac!$A:$A,Output_Mac!T:T,""),
_xlpm.MyAuditVal,_xlfn.XLOOKUP($A616,My_Audit!$A:$A,My_Audit!Q:Q,""),
_xlfn.IFS(_xlpm.MyAuditVal&lt;&gt;"",UPPER(_xlpm.MyAuditVal),_xlpm.MacVal&lt;&gt;"",_xlpm.MacVal,_xlpm.CSVVal&lt;&gt;"",_xlpm.CSVVal
)),"No")</f>
        <v>No</v>
      </c>
      <c r="Q616" s="2" t="str" cm="1">
        <f t="array" ref="Q616">IFERROR(_xlfn.LET(
_xlpm.CSVVal,_xlfn.XLOOKUP($A616,CSV!$A:$A,CSV!AH:AH,""),
_xlpm.MacVal,_xlfn.XLOOKUP($A616,Output_Mac!$A:$A,Output_Mac!U:U,""),
_xlpm.MyAuditVal,_xlfn.XLOOKUP($A616,My_Audit!$A:$A,My_Audit!R:R,""),
_xlfn.IFS(_xlpm.MyAuditVal&lt;&gt;"",UPPER(_xlpm.MyAuditVal),_xlpm.MacVal&lt;&gt;"",_xlpm.MacVal,_xlpm.CSVVal&lt;&gt;"",_xlpm.CSVVal
)),"")</f>
        <v/>
      </c>
    </row>
    <row r="617" spans="1:17">
      <c r="A617" s="2" t="str">
        <f>_xlfn.TEXTJOIN("",TRUE,Input!$B$2,ROW(My_Audit!A616))</f>
        <v>XX616</v>
      </c>
      <c r="B617" s="2" t="str">
        <f>_xlfn.TEXTJOIN("-",TRUE,"ITD",Input!$A$2,A617)</f>
        <v>ITD-SHRXXX-XX616</v>
      </c>
      <c r="C617" s="2" t="str" cm="1">
        <f t="array" ref="C617">IFERROR(_xlfn.LET(
_xlpm.CSVVal,_xlfn.XLOOKUP($A617,CSV!$A:$A,CSV!B:B,""),
_xlpm.MacVal,_xlfn.XLOOKUP($A617,Output_Mac!$A:$A,Output_Mac!B:B,""),
_xlpm.MyAuditVal,_xlfn.XLOOKUP($A617,My_Audit!$A:$A,My_Audit!B:B,""),
_xlfn.IFS(_xlpm.MyAuditVal&lt;&gt;"",UPPER(_xlpm.MyAuditVal),_xlpm.MacVal&lt;&gt;"",_xlpm.MacVal,_xlpm.CSVVal&lt;&gt;"",_xlpm.CSVVal
)),"")</f>
        <v/>
      </c>
      <c r="D617" s="2" t="str" cm="1">
        <f t="array" ref="D617">IFERROR(_xlfn.LET(
_xlpm.CSVVal,_xlfn.XLOOKUP($A617,CSV!$A:$A,CSV!D:D,""),
_xlpm.MacVal,_xlfn.XLOOKUP($A617,Output_Mac!$A:$A,Output_Mac!C:C,""),
_xlpm.MyAuditVal,_xlfn.XLOOKUP($A617,My_Audit!$A:$A,My_Audit!C:C,""),
_xlfn.IFS(_xlpm.MyAuditVal&lt;&gt;"",_xlpm.MyAuditVal,_xlpm.MacVal&lt;&gt;"",_xlpm.MacVal,_xlpm.CSVVal&lt;&gt;"",_xlpm.CSVVal
)),"")</f>
        <v/>
      </c>
      <c r="E617" s="2" t="str">
        <f>_xlfn.XLOOKUP(A617,My_Audit!A:A,My_Audit!D:D,"")&amp;""</f>
        <v/>
      </c>
      <c r="F617" s="2" t="str" cm="1">
        <f t="array" ref="F617">IFERROR(_xlfn.LET(
_xlpm.CSVVal,_xlfn.XLOOKUP($A617,CSV!$A:$A,CSV!F:F,""),
_xlpm.MacVal,_xlfn.XLOOKUP($A617,Output_Mac!$A:$A,Output_Mac!E:E,""),
_xlpm.MyAuditVal,_xlfn.XLOOKUP($A617,My_Audit!$A:$A,My_Audit!E:E,""),
_xlfn.IFS(_xlpm.MyAuditVal&lt;&gt;"",_xlpm.MyAuditVal,_xlpm.MacVal&lt;&gt;"",_xlpm.MacVal,_xlpm.CSVVal&lt;&gt;"",_xlpm.CSVVal
)),"")</f>
        <v/>
      </c>
      <c r="G617" s="2" t="str" cm="1">
        <f t="array" ref="G617">IFERROR(_xlfn.LET(
_xlpm.CSVVal,_xlfn.XLOOKUP($A617,CSV!$A:$A,CSV!G:G,""),
_xlpm.MacVal,_xlfn.XLOOKUP($A617,Output_Mac!$A:$A,Output_Mac!F:F,""),
_xlpm.MyAuditVal,_xlfn.XLOOKUP($A617,My_Audit!$A:$A,My_Audit!F:F,""),
_xlfn.IFS(_xlpm.MyAuditVal&lt;&gt;"",_xlpm.MyAuditVal,_xlpm.MacVal&lt;&gt;"",_xlpm.MacVal,_xlpm.CSVVal&lt;&gt;"",PROPER(_xlpm.CSVVal)
)),"")</f>
        <v/>
      </c>
      <c r="H617" s="2" t="str" cm="1">
        <f t="array" ref="H617">IFERROR(_xlfn.LET(
_xlpm.CSVVal,_xlfn.XLOOKUP($A617,CSV!$A:$A,CSV!H:H,""),
_xlpm.MacVal,_xlfn.XLOOKUP($A617,Output_Mac!$A:$A,Output_Mac!H:H,""),
_xlpm.MyAuditVal,_xlfn.XLOOKUP($A617,My_Audit!$A:$A,My_Audit!G:G,""),
_xlfn.IFS(_xlpm.MyAuditVal&lt;&gt;"",_xlpm.MyAuditVal,_xlpm.MacVal&lt;&gt;"",_xlpm.MacVal,_xlpm.CSVVal&lt;&gt;"",_xlpm.CSVVal
)),"")</f>
        <v/>
      </c>
      <c r="I617" s="2" t="str">
        <f>_xlfn.XLOOKUP(A617,Output_Mac!A:A,Output_Mac!I:I,"")</f>
        <v/>
      </c>
      <c r="J617" s="2" t="str" cm="1">
        <f t="array" ref="J617">IFERROR(_xlfn.LET(
_xlpm.CSVVal,_xlfn.XLOOKUP($A617,CSV!$A:$A,CSV!I:I,""),
_xlpm.MacVal,_xlfn.XLOOKUP($A617,Output_Mac!$A:$A,Output_Mac!J:J,""),
_xlpm.MyAuditVal,_xlfn.XLOOKUP($A617,My_Audit!$A:$A,My_Audit!I:I,""),
_xlfn.IFS(_xlpm.MyAuditVal&lt;&gt;"",UPPER(_xlpm.MyAuditVal),_xlpm.MacVal&lt;&gt;"",_xlpm.MacVal,_xlpm.CSVVal&lt;&gt;"",_xlpm.CSVVal
)),"")</f>
        <v/>
      </c>
      <c r="K617" s="2" t="str" cm="1">
        <f t="array" ref="K617">IFERROR(_xlfn.LET(
_xlpm.CSVVal,_xlfn.XLOOKUP($A617,CSV!$A:$A,CSV!K:K,""),
_xlpm.MacVal,_xlfn.XLOOKUP($A617,Output_Mac!$A:$A,Output_Mac!K:K,""),
_xlpm.MyAuditVal,_xlfn.XLOOKUP($A617,My_Audit!$A:$A,My_Audit!J:J,""),
_xlfn.IFS(_xlpm.MyAuditVal&lt;&gt;"",UPPER(_xlpm.MyAuditVal),_xlpm.MacVal&lt;&gt;"",_xlpm.MacVal,_xlpm.CSVVal&lt;&gt;"",_xlpm.CSVVal
)),"")</f>
        <v/>
      </c>
      <c r="L617" s="2" t="str" cm="1">
        <f t="array" ref="L617">IFERROR(_xlfn.LET(
_xlpm.CSVVal,_xlfn.XLOOKUP($A617,CSV!$A:$A,CSV!P:P,""),
_xlpm.MacVal,_xlfn.XLOOKUP($A617,Output_Mac!$A:$A,Output_Mac!L:L,""),
_xlpm.MyAuditVal,_xlfn.XLOOKUP($A617,My_Audit!$A:$A,My_Audit!K:K,""),
_xlfn.IFS(_xlpm.MyAuditVal&lt;&gt;"",UPPER(_xlpm.MyAuditVal),_xlpm.MacVal&lt;&gt;"",_xlpm.MacVal,_xlpm.CSVVal&lt;&gt;"",_xlpm.CSVVal
)),"")</f>
        <v/>
      </c>
      <c r="M617" s="2" t="str" cm="1">
        <f t="array" ref="M617">IFERROR(_xlfn.LET(
_xlpm.CSVVal,_xlfn.XLOOKUP($A617,CSV!$A:$A,CSV!Q:Q,""),
_xlpm.MacVal,_xlfn.XLOOKUP($A617,Output_Mac!$A:$A,Output_Mac!M:M,""),
_xlpm.MyAuditVal,_xlfn.XLOOKUP($A617,My_Audit!$A:$A,My_Audit!L:L,""),
_xlfn.IFS(_xlpm.MyAuditVal&lt;&gt;"",UPPER(_xlpm.MyAuditVal),_xlpm.MacVal&lt;&gt;"",_xlpm.MacVal,_xlpm.CSVVal&lt;&gt;"",_xlpm.CSVVal
)),"")</f>
        <v/>
      </c>
      <c r="O617" s="2" t="str">
        <f>_xlfn.LET(
    _xlpm.CSVVal, _xlfn.XLOOKUP($A617, CSV!$A:$A, CSV!AF:AF, ""),
    _xlpm.MacVal, _xlfn.XLOOKUP($A617, Output_Mac!$A:$A, Output_Mac!S:S, ""),
    _xlpm.MyAuditVal, _xlfn.XLOOKUP($A617, My_Audit!$A:$A, My_Audit!P:P, ""),
    _xlfn.TEXTJOIN(", ", TRUE, _xlpm.MyAuditVal, _xlpm.MacVal, _xlpm.CSVVal)
)</f>
        <v/>
      </c>
      <c r="P617" s="2" t="str" cm="1">
        <f t="array" ref="P617">IFERROR(_xlfn.LET(
_xlpm.CSVVal,_xlfn.XLOOKUP($A617,CSV!$A:$A,CSV!AG:AG,""),
_xlpm.MacVal,_xlfn.XLOOKUP($A617,Output_Mac!$A:$A,Output_Mac!T:T,""),
_xlpm.MyAuditVal,_xlfn.XLOOKUP($A617,My_Audit!$A:$A,My_Audit!Q:Q,""),
_xlfn.IFS(_xlpm.MyAuditVal&lt;&gt;"",UPPER(_xlpm.MyAuditVal),_xlpm.MacVal&lt;&gt;"",_xlpm.MacVal,_xlpm.CSVVal&lt;&gt;"",_xlpm.CSVVal
)),"No")</f>
        <v>No</v>
      </c>
      <c r="Q617" s="2" t="str" cm="1">
        <f t="array" ref="Q617">IFERROR(_xlfn.LET(
_xlpm.CSVVal,_xlfn.XLOOKUP($A617,CSV!$A:$A,CSV!AH:AH,""),
_xlpm.MacVal,_xlfn.XLOOKUP($A617,Output_Mac!$A:$A,Output_Mac!U:U,""),
_xlpm.MyAuditVal,_xlfn.XLOOKUP($A617,My_Audit!$A:$A,My_Audit!R:R,""),
_xlfn.IFS(_xlpm.MyAuditVal&lt;&gt;"",UPPER(_xlpm.MyAuditVal),_xlpm.MacVal&lt;&gt;"",_xlpm.MacVal,_xlpm.CSVVal&lt;&gt;"",_xlpm.CSVVal
)),"")</f>
        <v/>
      </c>
    </row>
    <row r="618" spans="1:17">
      <c r="A618" s="2" t="str">
        <f>_xlfn.TEXTJOIN("",TRUE,Input!$B$2,ROW(My_Audit!A617))</f>
        <v>XX617</v>
      </c>
      <c r="B618" s="2" t="str">
        <f>_xlfn.TEXTJOIN("-",TRUE,"ITD",Input!$A$2,A618)</f>
        <v>ITD-SHRXXX-XX617</v>
      </c>
      <c r="C618" s="2" t="str" cm="1">
        <f t="array" ref="C618">IFERROR(_xlfn.LET(
_xlpm.CSVVal,_xlfn.XLOOKUP($A618,CSV!$A:$A,CSV!B:B,""),
_xlpm.MacVal,_xlfn.XLOOKUP($A618,Output_Mac!$A:$A,Output_Mac!B:B,""),
_xlpm.MyAuditVal,_xlfn.XLOOKUP($A618,My_Audit!$A:$A,My_Audit!B:B,""),
_xlfn.IFS(_xlpm.MyAuditVal&lt;&gt;"",UPPER(_xlpm.MyAuditVal),_xlpm.MacVal&lt;&gt;"",_xlpm.MacVal,_xlpm.CSVVal&lt;&gt;"",_xlpm.CSVVal
)),"")</f>
        <v/>
      </c>
      <c r="D618" s="2" t="str" cm="1">
        <f t="array" ref="D618">IFERROR(_xlfn.LET(
_xlpm.CSVVal,_xlfn.XLOOKUP($A618,CSV!$A:$A,CSV!D:D,""),
_xlpm.MacVal,_xlfn.XLOOKUP($A618,Output_Mac!$A:$A,Output_Mac!C:C,""),
_xlpm.MyAuditVal,_xlfn.XLOOKUP($A618,My_Audit!$A:$A,My_Audit!C:C,""),
_xlfn.IFS(_xlpm.MyAuditVal&lt;&gt;"",_xlpm.MyAuditVal,_xlpm.MacVal&lt;&gt;"",_xlpm.MacVal,_xlpm.CSVVal&lt;&gt;"",_xlpm.CSVVal
)),"")</f>
        <v/>
      </c>
      <c r="E618" s="2" t="str">
        <f>_xlfn.XLOOKUP(A618,My_Audit!A:A,My_Audit!D:D,"")&amp;""</f>
        <v/>
      </c>
      <c r="F618" s="2" t="str" cm="1">
        <f t="array" ref="F618">IFERROR(_xlfn.LET(
_xlpm.CSVVal,_xlfn.XLOOKUP($A618,CSV!$A:$A,CSV!F:F,""),
_xlpm.MacVal,_xlfn.XLOOKUP($A618,Output_Mac!$A:$A,Output_Mac!E:E,""),
_xlpm.MyAuditVal,_xlfn.XLOOKUP($A618,My_Audit!$A:$A,My_Audit!E:E,""),
_xlfn.IFS(_xlpm.MyAuditVal&lt;&gt;"",_xlpm.MyAuditVal,_xlpm.MacVal&lt;&gt;"",_xlpm.MacVal,_xlpm.CSVVal&lt;&gt;"",_xlpm.CSVVal
)),"")</f>
        <v/>
      </c>
      <c r="G618" s="2" t="str" cm="1">
        <f t="array" ref="G618">IFERROR(_xlfn.LET(
_xlpm.CSVVal,_xlfn.XLOOKUP($A618,CSV!$A:$A,CSV!G:G,""),
_xlpm.MacVal,_xlfn.XLOOKUP($A618,Output_Mac!$A:$A,Output_Mac!F:F,""),
_xlpm.MyAuditVal,_xlfn.XLOOKUP($A618,My_Audit!$A:$A,My_Audit!F:F,""),
_xlfn.IFS(_xlpm.MyAuditVal&lt;&gt;"",_xlpm.MyAuditVal,_xlpm.MacVal&lt;&gt;"",_xlpm.MacVal,_xlpm.CSVVal&lt;&gt;"",PROPER(_xlpm.CSVVal)
)),"")</f>
        <v/>
      </c>
      <c r="H618" s="2" t="str" cm="1">
        <f t="array" ref="H618">IFERROR(_xlfn.LET(
_xlpm.CSVVal,_xlfn.XLOOKUP($A618,CSV!$A:$A,CSV!H:H,""),
_xlpm.MacVal,_xlfn.XLOOKUP($A618,Output_Mac!$A:$A,Output_Mac!H:H,""),
_xlpm.MyAuditVal,_xlfn.XLOOKUP($A618,My_Audit!$A:$A,My_Audit!G:G,""),
_xlfn.IFS(_xlpm.MyAuditVal&lt;&gt;"",_xlpm.MyAuditVal,_xlpm.MacVal&lt;&gt;"",_xlpm.MacVal,_xlpm.CSVVal&lt;&gt;"",_xlpm.CSVVal
)),"")</f>
        <v/>
      </c>
      <c r="I618" s="2" t="str">
        <f>_xlfn.XLOOKUP(A618,Output_Mac!A:A,Output_Mac!I:I,"")</f>
        <v/>
      </c>
      <c r="J618" s="2" t="str" cm="1">
        <f t="array" ref="J618">IFERROR(_xlfn.LET(
_xlpm.CSVVal,_xlfn.XLOOKUP($A618,CSV!$A:$A,CSV!I:I,""),
_xlpm.MacVal,_xlfn.XLOOKUP($A618,Output_Mac!$A:$A,Output_Mac!J:J,""),
_xlpm.MyAuditVal,_xlfn.XLOOKUP($A618,My_Audit!$A:$A,My_Audit!I:I,""),
_xlfn.IFS(_xlpm.MyAuditVal&lt;&gt;"",UPPER(_xlpm.MyAuditVal),_xlpm.MacVal&lt;&gt;"",_xlpm.MacVal,_xlpm.CSVVal&lt;&gt;"",_xlpm.CSVVal
)),"")</f>
        <v/>
      </c>
      <c r="K618" s="2" t="str" cm="1">
        <f t="array" ref="K618">IFERROR(_xlfn.LET(
_xlpm.CSVVal,_xlfn.XLOOKUP($A618,CSV!$A:$A,CSV!K:K,""),
_xlpm.MacVal,_xlfn.XLOOKUP($A618,Output_Mac!$A:$A,Output_Mac!K:K,""),
_xlpm.MyAuditVal,_xlfn.XLOOKUP($A618,My_Audit!$A:$A,My_Audit!J:J,""),
_xlfn.IFS(_xlpm.MyAuditVal&lt;&gt;"",UPPER(_xlpm.MyAuditVal),_xlpm.MacVal&lt;&gt;"",_xlpm.MacVal,_xlpm.CSVVal&lt;&gt;"",_xlpm.CSVVal
)),"")</f>
        <v/>
      </c>
      <c r="L618" s="2" t="str" cm="1">
        <f t="array" ref="L618">IFERROR(_xlfn.LET(
_xlpm.CSVVal,_xlfn.XLOOKUP($A618,CSV!$A:$A,CSV!P:P,""),
_xlpm.MacVal,_xlfn.XLOOKUP($A618,Output_Mac!$A:$A,Output_Mac!L:L,""),
_xlpm.MyAuditVal,_xlfn.XLOOKUP($A618,My_Audit!$A:$A,My_Audit!K:K,""),
_xlfn.IFS(_xlpm.MyAuditVal&lt;&gt;"",UPPER(_xlpm.MyAuditVal),_xlpm.MacVal&lt;&gt;"",_xlpm.MacVal,_xlpm.CSVVal&lt;&gt;"",_xlpm.CSVVal
)),"")</f>
        <v/>
      </c>
      <c r="M618" s="2" t="str" cm="1">
        <f t="array" ref="M618">IFERROR(_xlfn.LET(
_xlpm.CSVVal,_xlfn.XLOOKUP($A618,CSV!$A:$A,CSV!Q:Q,""),
_xlpm.MacVal,_xlfn.XLOOKUP($A618,Output_Mac!$A:$A,Output_Mac!M:M,""),
_xlpm.MyAuditVal,_xlfn.XLOOKUP($A618,My_Audit!$A:$A,My_Audit!L:L,""),
_xlfn.IFS(_xlpm.MyAuditVal&lt;&gt;"",UPPER(_xlpm.MyAuditVal),_xlpm.MacVal&lt;&gt;"",_xlpm.MacVal,_xlpm.CSVVal&lt;&gt;"",_xlpm.CSVVal
)),"")</f>
        <v/>
      </c>
      <c r="O618" s="2" t="str">
        <f>_xlfn.LET(
    _xlpm.CSVVal, _xlfn.XLOOKUP($A618, CSV!$A:$A, CSV!AF:AF, ""),
    _xlpm.MacVal, _xlfn.XLOOKUP($A618, Output_Mac!$A:$A, Output_Mac!S:S, ""),
    _xlpm.MyAuditVal, _xlfn.XLOOKUP($A618, My_Audit!$A:$A, My_Audit!P:P, ""),
    _xlfn.TEXTJOIN(", ", TRUE, _xlpm.MyAuditVal, _xlpm.MacVal, _xlpm.CSVVal)
)</f>
        <v/>
      </c>
      <c r="P618" s="2" t="str" cm="1">
        <f t="array" ref="P618">IFERROR(_xlfn.LET(
_xlpm.CSVVal,_xlfn.XLOOKUP($A618,CSV!$A:$A,CSV!AG:AG,""),
_xlpm.MacVal,_xlfn.XLOOKUP($A618,Output_Mac!$A:$A,Output_Mac!T:T,""),
_xlpm.MyAuditVal,_xlfn.XLOOKUP($A618,My_Audit!$A:$A,My_Audit!Q:Q,""),
_xlfn.IFS(_xlpm.MyAuditVal&lt;&gt;"",UPPER(_xlpm.MyAuditVal),_xlpm.MacVal&lt;&gt;"",_xlpm.MacVal,_xlpm.CSVVal&lt;&gt;"",_xlpm.CSVVal
)),"No")</f>
        <v>No</v>
      </c>
      <c r="Q618" s="2" t="str" cm="1">
        <f t="array" ref="Q618">IFERROR(_xlfn.LET(
_xlpm.CSVVal,_xlfn.XLOOKUP($A618,CSV!$A:$A,CSV!AH:AH,""),
_xlpm.MacVal,_xlfn.XLOOKUP($A618,Output_Mac!$A:$A,Output_Mac!U:U,""),
_xlpm.MyAuditVal,_xlfn.XLOOKUP($A618,My_Audit!$A:$A,My_Audit!R:R,""),
_xlfn.IFS(_xlpm.MyAuditVal&lt;&gt;"",UPPER(_xlpm.MyAuditVal),_xlpm.MacVal&lt;&gt;"",_xlpm.MacVal,_xlpm.CSVVal&lt;&gt;"",_xlpm.CSVVal
)),"")</f>
        <v/>
      </c>
    </row>
    <row r="619" spans="1:17">
      <c r="A619" s="2" t="str">
        <f>_xlfn.TEXTJOIN("",TRUE,Input!$B$2,ROW(My_Audit!A618))</f>
        <v>XX618</v>
      </c>
      <c r="B619" s="2" t="str">
        <f>_xlfn.TEXTJOIN("-",TRUE,"ITD",Input!$A$2,A619)</f>
        <v>ITD-SHRXXX-XX618</v>
      </c>
      <c r="C619" s="2" t="str" cm="1">
        <f t="array" ref="C619">IFERROR(_xlfn.LET(
_xlpm.CSVVal,_xlfn.XLOOKUP($A619,CSV!$A:$A,CSV!B:B,""),
_xlpm.MacVal,_xlfn.XLOOKUP($A619,Output_Mac!$A:$A,Output_Mac!B:B,""),
_xlpm.MyAuditVal,_xlfn.XLOOKUP($A619,My_Audit!$A:$A,My_Audit!B:B,""),
_xlfn.IFS(_xlpm.MyAuditVal&lt;&gt;"",UPPER(_xlpm.MyAuditVal),_xlpm.MacVal&lt;&gt;"",_xlpm.MacVal,_xlpm.CSVVal&lt;&gt;"",_xlpm.CSVVal
)),"")</f>
        <v/>
      </c>
      <c r="D619" s="2" t="str" cm="1">
        <f t="array" ref="D619">IFERROR(_xlfn.LET(
_xlpm.CSVVal,_xlfn.XLOOKUP($A619,CSV!$A:$A,CSV!D:D,""),
_xlpm.MacVal,_xlfn.XLOOKUP($A619,Output_Mac!$A:$A,Output_Mac!C:C,""),
_xlpm.MyAuditVal,_xlfn.XLOOKUP($A619,My_Audit!$A:$A,My_Audit!C:C,""),
_xlfn.IFS(_xlpm.MyAuditVal&lt;&gt;"",_xlpm.MyAuditVal,_xlpm.MacVal&lt;&gt;"",_xlpm.MacVal,_xlpm.CSVVal&lt;&gt;"",_xlpm.CSVVal
)),"")</f>
        <v/>
      </c>
      <c r="E619" s="2" t="str">
        <f>_xlfn.XLOOKUP(A619,My_Audit!A:A,My_Audit!D:D,"")&amp;""</f>
        <v/>
      </c>
      <c r="F619" s="2" t="str" cm="1">
        <f t="array" ref="F619">IFERROR(_xlfn.LET(
_xlpm.CSVVal,_xlfn.XLOOKUP($A619,CSV!$A:$A,CSV!F:F,""),
_xlpm.MacVal,_xlfn.XLOOKUP($A619,Output_Mac!$A:$A,Output_Mac!E:E,""),
_xlpm.MyAuditVal,_xlfn.XLOOKUP($A619,My_Audit!$A:$A,My_Audit!E:E,""),
_xlfn.IFS(_xlpm.MyAuditVal&lt;&gt;"",_xlpm.MyAuditVal,_xlpm.MacVal&lt;&gt;"",_xlpm.MacVal,_xlpm.CSVVal&lt;&gt;"",_xlpm.CSVVal
)),"")</f>
        <v/>
      </c>
      <c r="G619" s="2" t="str" cm="1">
        <f t="array" ref="G619">IFERROR(_xlfn.LET(
_xlpm.CSVVal,_xlfn.XLOOKUP($A619,CSV!$A:$A,CSV!G:G,""),
_xlpm.MacVal,_xlfn.XLOOKUP($A619,Output_Mac!$A:$A,Output_Mac!F:F,""),
_xlpm.MyAuditVal,_xlfn.XLOOKUP($A619,My_Audit!$A:$A,My_Audit!F:F,""),
_xlfn.IFS(_xlpm.MyAuditVal&lt;&gt;"",_xlpm.MyAuditVal,_xlpm.MacVal&lt;&gt;"",_xlpm.MacVal,_xlpm.CSVVal&lt;&gt;"",PROPER(_xlpm.CSVVal)
)),"")</f>
        <v/>
      </c>
      <c r="H619" s="2" t="str" cm="1">
        <f t="array" ref="H619">IFERROR(_xlfn.LET(
_xlpm.CSVVal,_xlfn.XLOOKUP($A619,CSV!$A:$A,CSV!H:H,""),
_xlpm.MacVal,_xlfn.XLOOKUP($A619,Output_Mac!$A:$A,Output_Mac!H:H,""),
_xlpm.MyAuditVal,_xlfn.XLOOKUP($A619,My_Audit!$A:$A,My_Audit!G:G,""),
_xlfn.IFS(_xlpm.MyAuditVal&lt;&gt;"",_xlpm.MyAuditVal,_xlpm.MacVal&lt;&gt;"",_xlpm.MacVal,_xlpm.CSVVal&lt;&gt;"",_xlpm.CSVVal
)),"")</f>
        <v/>
      </c>
      <c r="I619" s="2" t="str">
        <f>_xlfn.XLOOKUP(A619,Output_Mac!A:A,Output_Mac!I:I,"")</f>
        <v/>
      </c>
      <c r="J619" s="2" t="str" cm="1">
        <f t="array" ref="J619">IFERROR(_xlfn.LET(
_xlpm.CSVVal,_xlfn.XLOOKUP($A619,CSV!$A:$A,CSV!I:I,""),
_xlpm.MacVal,_xlfn.XLOOKUP($A619,Output_Mac!$A:$A,Output_Mac!J:J,""),
_xlpm.MyAuditVal,_xlfn.XLOOKUP($A619,My_Audit!$A:$A,My_Audit!I:I,""),
_xlfn.IFS(_xlpm.MyAuditVal&lt;&gt;"",UPPER(_xlpm.MyAuditVal),_xlpm.MacVal&lt;&gt;"",_xlpm.MacVal,_xlpm.CSVVal&lt;&gt;"",_xlpm.CSVVal
)),"")</f>
        <v/>
      </c>
      <c r="K619" s="2" t="str" cm="1">
        <f t="array" ref="K619">IFERROR(_xlfn.LET(
_xlpm.CSVVal,_xlfn.XLOOKUP($A619,CSV!$A:$A,CSV!K:K,""),
_xlpm.MacVal,_xlfn.XLOOKUP($A619,Output_Mac!$A:$A,Output_Mac!K:K,""),
_xlpm.MyAuditVal,_xlfn.XLOOKUP($A619,My_Audit!$A:$A,My_Audit!J:J,""),
_xlfn.IFS(_xlpm.MyAuditVal&lt;&gt;"",UPPER(_xlpm.MyAuditVal),_xlpm.MacVal&lt;&gt;"",_xlpm.MacVal,_xlpm.CSVVal&lt;&gt;"",_xlpm.CSVVal
)),"")</f>
        <v/>
      </c>
      <c r="L619" s="2" t="str" cm="1">
        <f t="array" ref="L619">IFERROR(_xlfn.LET(
_xlpm.CSVVal,_xlfn.XLOOKUP($A619,CSV!$A:$A,CSV!P:P,""),
_xlpm.MacVal,_xlfn.XLOOKUP($A619,Output_Mac!$A:$A,Output_Mac!L:L,""),
_xlpm.MyAuditVal,_xlfn.XLOOKUP($A619,My_Audit!$A:$A,My_Audit!K:K,""),
_xlfn.IFS(_xlpm.MyAuditVal&lt;&gt;"",UPPER(_xlpm.MyAuditVal),_xlpm.MacVal&lt;&gt;"",_xlpm.MacVal,_xlpm.CSVVal&lt;&gt;"",_xlpm.CSVVal
)),"")</f>
        <v/>
      </c>
      <c r="M619" s="2" t="str" cm="1">
        <f t="array" ref="M619">IFERROR(_xlfn.LET(
_xlpm.CSVVal,_xlfn.XLOOKUP($A619,CSV!$A:$A,CSV!Q:Q,""),
_xlpm.MacVal,_xlfn.XLOOKUP($A619,Output_Mac!$A:$A,Output_Mac!M:M,""),
_xlpm.MyAuditVal,_xlfn.XLOOKUP($A619,My_Audit!$A:$A,My_Audit!L:L,""),
_xlfn.IFS(_xlpm.MyAuditVal&lt;&gt;"",UPPER(_xlpm.MyAuditVal),_xlpm.MacVal&lt;&gt;"",_xlpm.MacVal,_xlpm.CSVVal&lt;&gt;"",_xlpm.CSVVal
)),"")</f>
        <v/>
      </c>
      <c r="O619" s="2" t="str">
        <f>_xlfn.LET(
    _xlpm.CSVVal, _xlfn.XLOOKUP($A619, CSV!$A:$A, CSV!AF:AF, ""),
    _xlpm.MacVal, _xlfn.XLOOKUP($A619, Output_Mac!$A:$A, Output_Mac!S:S, ""),
    _xlpm.MyAuditVal, _xlfn.XLOOKUP($A619, My_Audit!$A:$A, My_Audit!P:P, ""),
    _xlfn.TEXTJOIN(", ", TRUE, _xlpm.MyAuditVal, _xlpm.MacVal, _xlpm.CSVVal)
)</f>
        <v/>
      </c>
      <c r="P619" s="2" t="str" cm="1">
        <f t="array" ref="P619">IFERROR(_xlfn.LET(
_xlpm.CSVVal,_xlfn.XLOOKUP($A619,CSV!$A:$A,CSV!AG:AG,""),
_xlpm.MacVal,_xlfn.XLOOKUP($A619,Output_Mac!$A:$A,Output_Mac!T:T,""),
_xlpm.MyAuditVal,_xlfn.XLOOKUP($A619,My_Audit!$A:$A,My_Audit!Q:Q,""),
_xlfn.IFS(_xlpm.MyAuditVal&lt;&gt;"",UPPER(_xlpm.MyAuditVal),_xlpm.MacVal&lt;&gt;"",_xlpm.MacVal,_xlpm.CSVVal&lt;&gt;"",_xlpm.CSVVal
)),"No")</f>
        <v>No</v>
      </c>
      <c r="Q619" s="2" t="str" cm="1">
        <f t="array" ref="Q619">IFERROR(_xlfn.LET(
_xlpm.CSVVal,_xlfn.XLOOKUP($A619,CSV!$A:$A,CSV!AH:AH,""),
_xlpm.MacVal,_xlfn.XLOOKUP($A619,Output_Mac!$A:$A,Output_Mac!U:U,""),
_xlpm.MyAuditVal,_xlfn.XLOOKUP($A619,My_Audit!$A:$A,My_Audit!R:R,""),
_xlfn.IFS(_xlpm.MyAuditVal&lt;&gt;"",UPPER(_xlpm.MyAuditVal),_xlpm.MacVal&lt;&gt;"",_xlpm.MacVal,_xlpm.CSVVal&lt;&gt;"",_xlpm.CSVVal
)),"")</f>
        <v/>
      </c>
    </row>
    <row r="620" spans="1:17">
      <c r="A620" s="2" t="str">
        <f>_xlfn.TEXTJOIN("",TRUE,Input!$B$2,ROW(My_Audit!A619))</f>
        <v>XX619</v>
      </c>
      <c r="B620" s="2" t="str">
        <f>_xlfn.TEXTJOIN("-",TRUE,"ITD",Input!$A$2,A620)</f>
        <v>ITD-SHRXXX-XX619</v>
      </c>
      <c r="C620" s="2" t="str" cm="1">
        <f t="array" ref="C620">IFERROR(_xlfn.LET(
_xlpm.CSVVal,_xlfn.XLOOKUP($A620,CSV!$A:$A,CSV!B:B,""),
_xlpm.MacVal,_xlfn.XLOOKUP($A620,Output_Mac!$A:$A,Output_Mac!B:B,""),
_xlpm.MyAuditVal,_xlfn.XLOOKUP($A620,My_Audit!$A:$A,My_Audit!B:B,""),
_xlfn.IFS(_xlpm.MyAuditVal&lt;&gt;"",UPPER(_xlpm.MyAuditVal),_xlpm.MacVal&lt;&gt;"",_xlpm.MacVal,_xlpm.CSVVal&lt;&gt;"",_xlpm.CSVVal
)),"")</f>
        <v/>
      </c>
      <c r="D620" s="2" t="str" cm="1">
        <f t="array" ref="D620">IFERROR(_xlfn.LET(
_xlpm.CSVVal,_xlfn.XLOOKUP($A620,CSV!$A:$A,CSV!D:D,""),
_xlpm.MacVal,_xlfn.XLOOKUP($A620,Output_Mac!$A:$A,Output_Mac!C:C,""),
_xlpm.MyAuditVal,_xlfn.XLOOKUP($A620,My_Audit!$A:$A,My_Audit!C:C,""),
_xlfn.IFS(_xlpm.MyAuditVal&lt;&gt;"",_xlpm.MyAuditVal,_xlpm.MacVal&lt;&gt;"",_xlpm.MacVal,_xlpm.CSVVal&lt;&gt;"",_xlpm.CSVVal
)),"")</f>
        <v/>
      </c>
      <c r="E620" s="2" t="str">
        <f>_xlfn.XLOOKUP(A620,My_Audit!A:A,My_Audit!D:D,"")&amp;""</f>
        <v/>
      </c>
      <c r="F620" s="2" t="str" cm="1">
        <f t="array" ref="F620">IFERROR(_xlfn.LET(
_xlpm.CSVVal,_xlfn.XLOOKUP($A620,CSV!$A:$A,CSV!F:F,""),
_xlpm.MacVal,_xlfn.XLOOKUP($A620,Output_Mac!$A:$A,Output_Mac!E:E,""),
_xlpm.MyAuditVal,_xlfn.XLOOKUP($A620,My_Audit!$A:$A,My_Audit!E:E,""),
_xlfn.IFS(_xlpm.MyAuditVal&lt;&gt;"",_xlpm.MyAuditVal,_xlpm.MacVal&lt;&gt;"",_xlpm.MacVal,_xlpm.CSVVal&lt;&gt;"",_xlpm.CSVVal
)),"")</f>
        <v/>
      </c>
      <c r="G620" s="2" t="str" cm="1">
        <f t="array" ref="G620">IFERROR(_xlfn.LET(
_xlpm.CSVVal,_xlfn.XLOOKUP($A620,CSV!$A:$A,CSV!G:G,""),
_xlpm.MacVal,_xlfn.XLOOKUP($A620,Output_Mac!$A:$A,Output_Mac!F:F,""),
_xlpm.MyAuditVal,_xlfn.XLOOKUP($A620,My_Audit!$A:$A,My_Audit!F:F,""),
_xlfn.IFS(_xlpm.MyAuditVal&lt;&gt;"",_xlpm.MyAuditVal,_xlpm.MacVal&lt;&gt;"",_xlpm.MacVal,_xlpm.CSVVal&lt;&gt;"",PROPER(_xlpm.CSVVal)
)),"")</f>
        <v/>
      </c>
      <c r="H620" s="2" t="str" cm="1">
        <f t="array" ref="H620">IFERROR(_xlfn.LET(
_xlpm.CSVVal,_xlfn.XLOOKUP($A620,CSV!$A:$A,CSV!H:H,""),
_xlpm.MacVal,_xlfn.XLOOKUP($A620,Output_Mac!$A:$A,Output_Mac!H:H,""),
_xlpm.MyAuditVal,_xlfn.XLOOKUP($A620,My_Audit!$A:$A,My_Audit!G:G,""),
_xlfn.IFS(_xlpm.MyAuditVal&lt;&gt;"",_xlpm.MyAuditVal,_xlpm.MacVal&lt;&gt;"",_xlpm.MacVal,_xlpm.CSVVal&lt;&gt;"",_xlpm.CSVVal
)),"")</f>
        <v/>
      </c>
      <c r="I620" s="2" t="str">
        <f>_xlfn.XLOOKUP(A620,Output_Mac!A:A,Output_Mac!I:I,"")</f>
        <v/>
      </c>
      <c r="J620" s="2" t="str" cm="1">
        <f t="array" ref="J620">IFERROR(_xlfn.LET(
_xlpm.CSVVal,_xlfn.XLOOKUP($A620,CSV!$A:$A,CSV!I:I,""),
_xlpm.MacVal,_xlfn.XLOOKUP($A620,Output_Mac!$A:$A,Output_Mac!J:J,""),
_xlpm.MyAuditVal,_xlfn.XLOOKUP($A620,My_Audit!$A:$A,My_Audit!I:I,""),
_xlfn.IFS(_xlpm.MyAuditVal&lt;&gt;"",UPPER(_xlpm.MyAuditVal),_xlpm.MacVal&lt;&gt;"",_xlpm.MacVal,_xlpm.CSVVal&lt;&gt;"",_xlpm.CSVVal
)),"")</f>
        <v/>
      </c>
      <c r="K620" s="2" t="str" cm="1">
        <f t="array" ref="K620">IFERROR(_xlfn.LET(
_xlpm.CSVVal,_xlfn.XLOOKUP($A620,CSV!$A:$A,CSV!K:K,""),
_xlpm.MacVal,_xlfn.XLOOKUP($A620,Output_Mac!$A:$A,Output_Mac!K:K,""),
_xlpm.MyAuditVal,_xlfn.XLOOKUP($A620,My_Audit!$A:$A,My_Audit!J:J,""),
_xlfn.IFS(_xlpm.MyAuditVal&lt;&gt;"",UPPER(_xlpm.MyAuditVal),_xlpm.MacVal&lt;&gt;"",_xlpm.MacVal,_xlpm.CSVVal&lt;&gt;"",_xlpm.CSVVal
)),"")</f>
        <v/>
      </c>
      <c r="L620" s="2" t="str" cm="1">
        <f t="array" ref="L620">IFERROR(_xlfn.LET(
_xlpm.CSVVal,_xlfn.XLOOKUP($A620,CSV!$A:$A,CSV!P:P,""),
_xlpm.MacVal,_xlfn.XLOOKUP($A620,Output_Mac!$A:$A,Output_Mac!L:L,""),
_xlpm.MyAuditVal,_xlfn.XLOOKUP($A620,My_Audit!$A:$A,My_Audit!K:K,""),
_xlfn.IFS(_xlpm.MyAuditVal&lt;&gt;"",UPPER(_xlpm.MyAuditVal),_xlpm.MacVal&lt;&gt;"",_xlpm.MacVal,_xlpm.CSVVal&lt;&gt;"",_xlpm.CSVVal
)),"")</f>
        <v/>
      </c>
      <c r="M620" s="2" t="str" cm="1">
        <f t="array" ref="M620">IFERROR(_xlfn.LET(
_xlpm.CSVVal,_xlfn.XLOOKUP($A620,CSV!$A:$A,CSV!Q:Q,""),
_xlpm.MacVal,_xlfn.XLOOKUP($A620,Output_Mac!$A:$A,Output_Mac!M:M,""),
_xlpm.MyAuditVal,_xlfn.XLOOKUP($A620,My_Audit!$A:$A,My_Audit!L:L,""),
_xlfn.IFS(_xlpm.MyAuditVal&lt;&gt;"",UPPER(_xlpm.MyAuditVal),_xlpm.MacVal&lt;&gt;"",_xlpm.MacVal,_xlpm.CSVVal&lt;&gt;"",_xlpm.CSVVal
)),"")</f>
        <v/>
      </c>
      <c r="O620" s="2" t="str">
        <f>_xlfn.LET(
    _xlpm.CSVVal, _xlfn.XLOOKUP($A620, CSV!$A:$A, CSV!AF:AF, ""),
    _xlpm.MacVal, _xlfn.XLOOKUP($A620, Output_Mac!$A:$A, Output_Mac!S:S, ""),
    _xlpm.MyAuditVal, _xlfn.XLOOKUP($A620, My_Audit!$A:$A, My_Audit!P:P, ""),
    _xlfn.TEXTJOIN(", ", TRUE, _xlpm.MyAuditVal, _xlpm.MacVal, _xlpm.CSVVal)
)</f>
        <v/>
      </c>
      <c r="P620" s="2" t="str" cm="1">
        <f t="array" ref="P620">IFERROR(_xlfn.LET(
_xlpm.CSVVal,_xlfn.XLOOKUP($A620,CSV!$A:$A,CSV!AG:AG,""),
_xlpm.MacVal,_xlfn.XLOOKUP($A620,Output_Mac!$A:$A,Output_Mac!T:T,""),
_xlpm.MyAuditVal,_xlfn.XLOOKUP($A620,My_Audit!$A:$A,My_Audit!Q:Q,""),
_xlfn.IFS(_xlpm.MyAuditVal&lt;&gt;"",UPPER(_xlpm.MyAuditVal),_xlpm.MacVal&lt;&gt;"",_xlpm.MacVal,_xlpm.CSVVal&lt;&gt;"",_xlpm.CSVVal
)),"No")</f>
        <v>No</v>
      </c>
      <c r="Q620" s="2" t="str" cm="1">
        <f t="array" ref="Q620">IFERROR(_xlfn.LET(
_xlpm.CSVVal,_xlfn.XLOOKUP($A620,CSV!$A:$A,CSV!AH:AH,""),
_xlpm.MacVal,_xlfn.XLOOKUP($A620,Output_Mac!$A:$A,Output_Mac!U:U,""),
_xlpm.MyAuditVal,_xlfn.XLOOKUP($A620,My_Audit!$A:$A,My_Audit!R:R,""),
_xlfn.IFS(_xlpm.MyAuditVal&lt;&gt;"",UPPER(_xlpm.MyAuditVal),_xlpm.MacVal&lt;&gt;"",_xlpm.MacVal,_xlpm.CSVVal&lt;&gt;"",_xlpm.CSVVal
)),"")</f>
        <v/>
      </c>
    </row>
    <row r="621" spans="1:17">
      <c r="A621" s="2" t="str">
        <f>_xlfn.TEXTJOIN("",TRUE,Input!$B$2,ROW(My_Audit!A620))</f>
        <v>XX620</v>
      </c>
      <c r="B621" s="2" t="str">
        <f>_xlfn.TEXTJOIN("-",TRUE,"ITD",Input!$A$2,A621)</f>
        <v>ITD-SHRXXX-XX620</v>
      </c>
      <c r="C621" s="2" t="str" cm="1">
        <f t="array" ref="C621">IFERROR(_xlfn.LET(
_xlpm.CSVVal,_xlfn.XLOOKUP($A621,CSV!$A:$A,CSV!B:B,""),
_xlpm.MacVal,_xlfn.XLOOKUP($A621,Output_Mac!$A:$A,Output_Mac!B:B,""),
_xlpm.MyAuditVal,_xlfn.XLOOKUP($A621,My_Audit!$A:$A,My_Audit!B:B,""),
_xlfn.IFS(_xlpm.MyAuditVal&lt;&gt;"",UPPER(_xlpm.MyAuditVal),_xlpm.MacVal&lt;&gt;"",_xlpm.MacVal,_xlpm.CSVVal&lt;&gt;"",_xlpm.CSVVal
)),"")</f>
        <v/>
      </c>
      <c r="D621" s="2" t="str" cm="1">
        <f t="array" ref="D621">IFERROR(_xlfn.LET(
_xlpm.CSVVal,_xlfn.XLOOKUP($A621,CSV!$A:$A,CSV!D:D,""),
_xlpm.MacVal,_xlfn.XLOOKUP($A621,Output_Mac!$A:$A,Output_Mac!C:C,""),
_xlpm.MyAuditVal,_xlfn.XLOOKUP($A621,My_Audit!$A:$A,My_Audit!C:C,""),
_xlfn.IFS(_xlpm.MyAuditVal&lt;&gt;"",_xlpm.MyAuditVal,_xlpm.MacVal&lt;&gt;"",_xlpm.MacVal,_xlpm.CSVVal&lt;&gt;"",_xlpm.CSVVal
)),"")</f>
        <v/>
      </c>
      <c r="E621" s="2" t="str">
        <f>_xlfn.XLOOKUP(A621,My_Audit!A:A,My_Audit!D:D,"")&amp;""</f>
        <v/>
      </c>
      <c r="F621" s="2" t="str" cm="1">
        <f t="array" ref="F621">IFERROR(_xlfn.LET(
_xlpm.CSVVal,_xlfn.XLOOKUP($A621,CSV!$A:$A,CSV!F:F,""),
_xlpm.MacVal,_xlfn.XLOOKUP($A621,Output_Mac!$A:$A,Output_Mac!E:E,""),
_xlpm.MyAuditVal,_xlfn.XLOOKUP($A621,My_Audit!$A:$A,My_Audit!E:E,""),
_xlfn.IFS(_xlpm.MyAuditVal&lt;&gt;"",_xlpm.MyAuditVal,_xlpm.MacVal&lt;&gt;"",_xlpm.MacVal,_xlpm.CSVVal&lt;&gt;"",_xlpm.CSVVal
)),"")</f>
        <v/>
      </c>
      <c r="G621" s="2" t="str" cm="1">
        <f t="array" ref="G621">IFERROR(_xlfn.LET(
_xlpm.CSVVal,_xlfn.XLOOKUP($A621,CSV!$A:$A,CSV!G:G,""),
_xlpm.MacVal,_xlfn.XLOOKUP($A621,Output_Mac!$A:$A,Output_Mac!F:F,""),
_xlpm.MyAuditVal,_xlfn.XLOOKUP($A621,My_Audit!$A:$A,My_Audit!F:F,""),
_xlfn.IFS(_xlpm.MyAuditVal&lt;&gt;"",_xlpm.MyAuditVal,_xlpm.MacVal&lt;&gt;"",_xlpm.MacVal,_xlpm.CSVVal&lt;&gt;"",PROPER(_xlpm.CSVVal)
)),"")</f>
        <v/>
      </c>
      <c r="H621" s="2" t="str" cm="1">
        <f t="array" ref="H621">IFERROR(_xlfn.LET(
_xlpm.CSVVal,_xlfn.XLOOKUP($A621,CSV!$A:$A,CSV!H:H,""),
_xlpm.MacVal,_xlfn.XLOOKUP($A621,Output_Mac!$A:$A,Output_Mac!H:H,""),
_xlpm.MyAuditVal,_xlfn.XLOOKUP($A621,My_Audit!$A:$A,My_Audit!G:G,""),
_xlfn.IFS(_xlpm.MyAuditVal&lt;&gt;"",_xlpm.MyAuditVal,_xlpm.MacVal&lt;&gt;"",_xlpm.MacVal,_xlpm.CSVVal&lt;&gt;"",_xlpm.CSVVal
)),"")</f>
        <v/>
      </c>
      <c r="I621" s="2" t="str">
        <f>_xlfn.XLOOKUP(A621,Output_Mac!A:A,Output_Mac!I:I,"")</f>
        <v/>
      </c>
      <c r="J621" s="2" t="str" cm="1">
        <f t="array" ref="J621">IFERROR(_xlfn.LET(
_xlpm.CSVVal,_xlfn.XLOOKUP($A621,CSV!$A:$A,CSV!I:I,""),
_xlpm.MacVal,_xlfn.XLOOKUP($A621,Output_Mac!$A:$A,Output_Mac!J:J,""),
_xlpm.MyAuditVal,_xlfn.XLOOKUP($A621,My_Audit!$A:$A,My_Audit!I:I,""),
_xlfn.IFS(_xlpm.MyAuditVal&lt;&gt;"",UPPER(_xlpm.MyAuditVal),_xlpm.MacVal&lt;&gt;"",_xlpm.MacVal,_xlpm.CSVVal&lt;&gt;"",_xlpm.CSVVal
)),"")</f>
        <v/>
      </c>
      <c r="K621" s="2" t="str" cm="1">
        <f t="array" ref="K621">IFERROR(_xlfn.LET(
_xlpm.CSVVal,_xlfn.XLOOKUP($A621,CSV!$A:$A,CSV!K:K,""),
_xlpm.MacVal,_xlfn.XLOOKUP($A621,Output_Mac!$A:$A,Output_Mac!K:K,""),
_xlpm.MyAuditVal,_xlfn.XLOOKUP($A621,My_Audit!$A:$A,My_Audit!J:J,""),
_xlfn.IFS(_xlpm.MyAuditVal&lt;&gt;"",UPPER(_xlpm.MyAuditVal),_xlpm.MacVal&lt;&gt;"",_xlpm.MacVal,_xlpm.CSVVal&lt;&gt;"",_xlpm.CSVVal
)),"")</f>
        <v/>
      </c>
      <c r="L621" s="2" t="str" cm="1">
        <f t="array" ref="L621">IFERROR(_xlfn.LET(
_xlpm.CSVVal,_xlfn.XLOOKUP($A621,CSV!$A:$A,CSV!P:P,""),
_xlpm.MacVal,_xlfn.XLOOKUP($A621,Output_Mac!$A:$A,Output_Mac!L:L,""),
_xlpm.MyAuditVal,_xlfn.XLOOKUP($A621,My_Audit!$A:$A,My_Audit!K:K,""),
_xlfn.IFS(_xlpm.MyAuditVal&lt;&gt;"",UPPER(_xlpm.MyAuditVal),_xlpm.MacVal&lt;&gt;"",_xlpm.MacVal,_xlpm.CSVVal&lt;&gt;"",_xlpm.CSVVal
)),"")</f>
        <v/>
      </c>
      <c r="M621" s="2" t="str" cm="1">
        <f t="array" ref="M621">IFERROR(_xlfn.LET(
_xlpm.CSVVal,_xlfn.XLOOKUP($A621,CSV!$A:$A,CSV!Q:Q,""),
_xlpm.MacVal,_xlfn.XLOOKUP($A621,Output_Mac!$A:$A,Output_Mac!M:M,""),
_xlpm.MyAuditVal,_xlfn.XLOOKUP($A621,My_Audit!$A:$A,My_Audit!L:L,""),
_xlfn.IFS(_xlpm.MyAuditVal&lt;&gt;"",UPPER(_xlpm.MyAuditVal),_xlpm.MacVal&lt;&gt;"",_xlpm.MacVal,_xlpm.CSVVal&lt;&gt;"",_xlpm.CSVVal
)),"")</f>
        <v/>
      </c>
      <c r="O621" s="2" t="str">
        <f>_xlfn.LET(
    _xlpm.CSVVal, _xlfn.XLOOKUP($A621, CSV!$A:$A, CSV!AF:AF, ""),
    _xlpm.MacVal, _xlfn.XLOOKUP($A621, Output_Mac!$A:$A, Output_Mac!S:S, ""),
    _xlpm.MyAuditVal, _xlfn.XLOOKUP($A621, My_Audit!$A:$A, My_Audit!P:P, ""),
    _xlfn.TEXTJOIN(", ", TRUE, _xlpm.MyAuditVal, _xlpm.MacVal, _xlpm.CSVVal)
)</f>
        <v/>
      </c>
      <c r="P621" s="2" t="str" cm="1">
        <f t="array" ref="P621">IFERROR(_xlfn.LET(
_xlpm.CSVVal,_xlfn.XLOOKUP($A621,CSV!$A:$A,CSV!AG:AG,""),
_xlpm.MacVal,_xlfn.XLOOKUP($A621,Output_Mac!$A:$A,Output_Mac!T:T,""),
_xlpm.MyAuditVal,_xlfn.XLOOKUP($A621,My_Audit!$A:$A,My_Audit!Q:Q,""),
_xlfn.IFS(_xlpm.MyAuditVal&lt;&gt;"",UPPER(_xlpm.MyAuditVal),_xlpm.MacVal&lt;&gt;"",_xlpm.MacVal,_xlpm.CSVVal&lt;&gt;"",_xlpm.CSVVal
)),"No")</f>
        <v>No</v>
      </c>
      <c r="Q621" s="2" t="str" cm="1">
        <f t="array" ref="Q621">IFERROR(_xlfn.LET(
_xlpm.CSVVal,_xlfn.XLOOKUP($A621,CSV!$A:$A,CSV!AH:AH,""),
_xlpm.MacVal,_xlfn.XLOOKUP($A621,Output_Mac!$A:$A,Output_Mac!U:U,""),
_xlpm.MyAuditVal,_xlfn.XLOOKUP($A621,My_Audit!$A:$A,My_Audit!R:R,""),
_xlfn.IFS(_xlpm.MyAuditVal&lt;&gt;"",UPPER(_xlpm.MyAuditVal),_xlpm.MacVal&lt;&gt;"",_xlpm.MacVal,_xlpm.CSVVal&lt;&gt;"",_xlpm.CSVVal
)),"")</f>
        <v/>
      </c>
    </row>
    <row r="622" spans="1:17">
      <c r="A622" s="2" t="str">
        <f>_xlfn.TEXTJOIN("",TRUE,Input!$B$2,ROW(My_Audit!A621))</f>
        <v>XX621</v>
      </c>
      <c r="B622" s="2" t="str">
        <f>_xlfn.TEXTJOIN("-",TRUE,"ITD",Input!$A$2,A622)</f>
        <v>ITD-SHRXXX-XX621</v>
      </c>
      <c r="C622" s="2" t="str" cm="1">
        <f t="array" ref="C622">IFERROR(_xlfn.LET(
_xlpm.CSVVal,_xlfn.XLOOKUP($A622,CSV!$A:$A,CSV!B:B,""),
_xlpm.MacVal,_xlfn.XLOOKUP($A622,Output_Mac!$A:$A,Output_Mac!B:B,""),
_xlpm.MyAuditVal,_xlfn.XLOOKUP($A622,My_Audit!$A:$A,My_Audit!B:B,""),
_xlfn.IFS(_xlpm.MyAuditVal&lt;&gt;"",UPPER(_xlpm.MyAuditVal),_xlpm.MacVal&lt;&gt;"",_xlpm.MacVal,_xlpm.CSVVal&lt;&gt;"",_xlpm.CSVVal
)),"")</f>
        <v/>
      </c>
      <c r="D622" s="2" t="str" cm="1">
        <f t="array" ref="D622">IFERROR(_xlfn.LET(
_xlpm.CSVVal,_xlfn.XLOOKUP($A622,CSV!$A:$A,CSV!D:D,""),
_xlpm.MacVal,_xlfn.XLOOKUP($A622,Output_Mac!$A:$A,Output_Mac!C:C,""),
_xlpm.MyAuditVal,_xlfn.XLOOKUP($A622,My_Audit!$A:$A,My_Audit!C:C,""),
_xlfn.IFS(_xlpm.MyAuditVal&lt;&gt;"",_xlpm.MyAuditVal,_xlpm.MacVal&lt;&gt;"",_xlpm.MacVal,_xlpm.CSVVal&lt;&gt;"",_xlpm.CSVVal
)),"")</f>
        <v/>
      </c>
      <c r="E622" s="2" t="str">
        <f>_xlfn.XLOOKUP(A622,My_Audit!A:A,My_Audit!D:D,"")&amp;""</f>
        <v/>
      </c>
      <c r="F622" s="2" t="str" cm="1">
        <f t="array" ref="F622">IFERROR(_xlfn.LET(
_xlpm.CSVVal,_xlfn.XLOOKUP($A622,CSV!$A:$A,CSV!F:F,""),
_xlpm.MacVal,_xlfn.XLOOKUP($A622,Output_Mac!$A:$A,Output_Mac!E:E,""),
_xlpm.MyAuditVal,_xlfn.XLOOKUP($A622,My_Audit!$A:$A,My_Audit!E:E,""),
_xlfn.IFS(_xlpm.MyAuditVal&lt;&gt;"",_xlpm.MyAuditVal,_xlpm.MacVal&lt;&gt;"",_xlpm.MacVal,_xlpm.CSVVal&lt;&gt;"",_xlpm.CSVVal
)),"")</f>
        <v/>
      </c>
      <c r="G622" s="2" t="str" cm="1">
        <f t="array" ref="G622">IFERROR(_xlfn.LET(
_xlpm.CSVVal,_xlfn.XLOOKUP($A622,CSV!$A:$A,CSV!G:G,""),
_xlpm.MacVal,_xlfn.XLOOKUP($A622,Output_Mac!$A:$A,Output_Mac!F:F,""),
_xlpm.MyAuditVal,_xlfn.XLOOKUP($A622,My_Audit!$A:$A,My_Audit!F:F,""),
_xlfn.IFS(_xlpm.MyAuditVal&lt;&gt;"",_xlpm.MyAuditVal,_xlpm.MacVal&lt;&gt;"",_xlpm.MacVal,_xlpm.CSVVal&lt;&gt;"",PROPER(_xlpm.CSVVal)
)),"")</f>
        <v/>
      </c>
      <c r="H622" s="2" t="str" cm="1">
        <f t="array" ref="H622">IFERROR(_xlfn.LET(
_xlpm.CSVVal,_xlfn.XLOOKUP($A622,CSV!$A:$A,CSV!H:H,""),
_xlpm.MacVal,_xlfn.XLOOKUP($A622,Output_Mac!$A:$A,Output_Mac!H:H,""),
_xlpm.MyAuditVal,_xlfn.XLOOKUP($A622,My_Audit!$A:$A,My_Audit!G:G,""),
_xlfn.IFS(_xlpm.MyAuditVal&lt;&gt;"",_xlpm.MyAuditVal,_xlpm.MacVal&lt;&gt;"",_xlpm.MacVal,_xlpm.CSVVal&lt;&gt;"",_xlpm.CSVVal
)),"")</f>
        <v/>
      </c>
      <c r="I622" s="2" t="str">
        <f>_xlfn.XLOOKUP(A622,Output_Mac!A:A,Output_Mac!I:I,"")</f>
        <v/>
      </c>
      <c r="J622" s="2" t="str" cm="1">
        <f t="array" ref="J622">IFERROR(_xlfn.LET(
_xlpm.CSVVal,_xlfn.XLOOKUP($A622,CSV!$A:$A,CSV!I:I,""),
_xlpm.MacVal,_xlfn.XLOOKUP($A622,Output_Mac!$A:$A,Output_Mac!J:J,""),
_xlpm.MyAuditVal,_xlfn.XLOOKUP($A622,My_Audit!$A:$A,My_Audit!I:I,""),
_xlfn.IFS(_xlpm.MyAuditVal&lt;&gt;"",UPPER(_xlpm.MyAuditVal),_xlpm.MacVal&lt;&gt;"",_xlpm.MacVal,_xlpm.CSVVal&lt;&gt;"",_xlpm.CSVVal
)),"")</f>
        <v/>
      </c>
      <c r="K622" s="2" t="str" cm="1">
        <f t="array" ref="K622">IFERROR(_xlfn.LET(
_xlpm.CSVVal,_xlfn.XLOOKUP($A622,CSV!$A:$A,CSV!K:K,""),
_xlpm.MacVal,_xlfn.XLOOKUP($A622,Output_Mac!$A:$A,Output_Mac!K:K,""),
_xlpm.MyAuditVal,_xlfn.XLOOKUP($A622,My_Audit!$A:$A,My_Audit!J:J,""),
_xlfn.IFS(_xlpm.MyAuditVal&lt;&gt;"",UPPER(_xlpm.MyAuditVal),_xlpm.MacVal&lt;&gt;"",_xlpm.MacVal,_xlpm.CSVVal&lt;&gt;"",_xlpm.CSVVal
)),"")</f>
        <v/>
      </c>
      <c r="L622" s="2" t="str" cm="1">
        <f t="array" ref="L622">IFERROR(_xlfn.LET(
_xlpm.CSVVal,_xlfn.XLOOKUP($A622,CSV!$A:$A,CSV!P:P,""),
_xlpm.MacVal,_xlfn.XLOOKUP($A622,Output_Mac!$A:$A,Output_Mac!L:L,""),
_xlpm.MyAuditVal,_xlfn.XLOOKUP($A622,My_Audit!$A:$A,My_Audit!K:K,""),
_xlfn.IFS(_xlpm.MyAuditVal&lt;&gt;"",UPPER(_xlpm.MyAuditVal),_xlpm.MacVal&lt;&gt;"",_xlpm.MacVal,_xlpm.CSVVal&lt;&gt;"",_xlpm.CSVVal
)),"")</f>
        <v/>
      </c>
      <c r="M622" s="2" t="str" cm="1">
        <f t="array" ref="M622">IFERROR(_xlfn.LET(
_xlpm.CSVVal,_xlfn.XLOOKUP($A622,CSV!$A:$A,CSV!Q:Q,""),
_xlpm.MacVal,_xlfn.XLOOKUP($A622,Output_Mac!$A:$A,Output_Mac!M:M,""),
_xlpm.MyAuditVal,_xlfn.XLOOKUP($A622,My_Audit!$A:$A,My_Audit!L:L,""),
_xlfn.IFS(_xlpm.MyAuditVal&lt;&gt;"",UPPER(_xlpm.MyAuditVal),_xlpm.MacVal&lt;&gt;"",_xlpm.MacVal,_xlpm.CSVVal&lt;&gt;"",_xlpm.CSVVal
)),"")</f>
        <v/>
      </c>
      <c r="O622" s="2" t="str">
        <f>_xlfn.LET(
    _xlpm.CSVVal, _xlfn.XLOOKUP($A622, CSV!$A:$A, CSV!AF:AF, ""),
    _xlpm.MacVal, _xlfn.XLOOKUP($A622, Output_Mac!$A:$A, Output_Mac!S:S, ""),
    _xlpm.MyAuditVal, _xlfn.XLOOKUP($A622, My_Audit!$A:$A, My_Audit!P:P, ""),
    _xlfn.TEXTJOIN(", ", TRUE, _xlpm.MyAuditVal, _xlpm.MacVal, _xlpm.CSVVal)
)</f>
        <v/>
      </c>
      <c r="P622" s="2" t="str" cm="1">
        <f t="array" ref="P622">IFERROR(_xlfn.LET(
_xlpm.CSVVal,_xlfn.XLOOKUP($A622,CSV!$A:$A,CSV!AG:AG,""),
_xlpm.MacVal,_xlfn.XLOOKUP($A622,Output_Mac!$A:$A,Output_Mac!T:T,""),
_xlpm.MyAuditVal,_xlfn.XLOOKUP($A622,My_Audit!$A:$A,My_Audit!Q:Q,""),
_xlfn.IFS(_xlpm.MyAuditVal&lt;&gt;"",UPPER(_xlpm.MyAuditVal),_xlpm.MacVal&lt;&gt;"",_xlpm.MacVal,_xlpm.CSVVal&lt;&gt;"",_xlpm.CSVVal
)),"No")</f>
        <v>No</v>
      </c>
      <c r="Q622" s="2" t="str" cm="1">
        <f t="array" ref="Q622">IFERROR(_xlfn.LET(
_xlpm.CSVVal,_xlfn.XLOOKUP($A622,CSV!$A:$A,CSV!AH:AH,""),
_xlpm.MacVal,_xlfn.XLOOKUP($A622,Output_Mac!$A:$A,Output_Mac!U:U,""),
_xlpm.MyAuditVal,_xlfn.XLOOKUP($A622,My_Audit!$A:$A,My_Audit!R:R,""),
_xlfn.IFS(_xlpm.MyAuditVal&lt;&gt;"",UPPER(_xlpm.MyAuditVal),_xlpm.MacVal&lt;&gt;"",_xlpm.MacVal,_xlpm.CSVVal&lt;&gt;"",_xlpm.CSVVal
)),"")</f>
        <v/>
      </c>
    </row>
    <row r="623" spans="1:17">
      <c r="A623" s="2" t="str">
        <f>_xlfn.TEXTJOIN("",TRUE,Input!$B$2,ROW(My_Audit!A622))</f>
        <v>XX622</v>
      </c>
      <c r="B623" s="2" t="str">
        <f>_xlfn.TEXTJOIN("-",TRUE,"ITD",Input!$A$2,A623)</f>
        <v>ITD-SHRXXX-XX622</v>
      </c>
      <c r="C623" s="2" t="str" cm="1">
        <f t="array" ref="C623">IFERROR(_xlfn.LET(
_xlpm.CSVVal,_xlfn.XLOOKUP($A623,CSV!$A:$A,CSV!B:B,""),
_xlpm.MacVal,_xlfn.XLOOKUP($A623,Output_Mac!$A:$A,Output_Mac!B:B,""),
_xlpm.MyAuditVal,_xlfn.XLOOKUP($A623,My_Audit!$A:$A,My_Audit!B:B,""),
_xlfn.IFS(_xlpm.MyAuditVal&lt;&gt;"",UPPER(_xlpm.MyAuditVal),_xlpm.MacVal&lt;&gt;"",_xlpm.MacVal,_xlpm.CSVVal&lt;&gt;"",_xlpm.CSVVal
)),"")</f>
        <v/>
      </c>
      <c r="D623" s="2" t="str" cm="1">
        <f t="array" ref="D623">IFERROR(_xlfn.LET(
_xlpm.CSVVal,_xlfn.XLOOKUP($A623,CSV!$A:$A,CSV!D:D,""),
_xlpm.MacVal,_xlfn.XLOOKUP($A623,Output_Mac!$A:$A,Output_Mac!C:C,""),
_xlpm.MyAuditVal,_xlfn.XLOOKUP($A623,My_Audit!$A:$A,My_Audit!C:C,""),
_xlfn.IFS(_xlpm.MyAuditVal&lt;&gt;"",_xlpm.MyAuditVal,_xlpm.MacVal&lt;&gt;"",_xlpm.MacVal,_xlpm.CSVVal&lt;&gt;"",_xlpm.CSVVal
)),"")</f>
        <v/>
      </c>
      <c r="E623" s="2" t="str">
        <f>_xlfn.XLOOKUP(A623,My_Audit!A:A,My_Audit!D:D,"")&amp;""</f>
        <v/>
      </c>
      <c r="F623" s="2" t="str" cm="1">
        <f t="array" ref="F623">IFERROR(_xlfn.LET(
_xlpm.CSVVal,_xlfn.XLOOKUP($A623,CSV!$A:$A,CSV!F:F,""),
_xlpm.MacVal,_xlfn.XLOOKUP($A623,Output_Mac!$A:$A,Output_Mac!E:E,""),
_xlpm.MyAuditVal,_xlfn.XLOOKUP($A623,My_Audit!$A:$A,My_Audit!E:E,""),
_xlfn.IFS(_xlpm.MyAuditVal&lt;&gt;"",_xlpm.MyAuditVal,_xlpm.MacVal&lt;&gt;"",_xlpm.MacVal,_xlpm.CSVVal&lt;&gt;"",_xlpm.CSVVal
)),"")</f>
        <v/>
      </c>
      <c r="G623" s="2" t="str" cm="1">
        <f t="array" ref="G623">IFERROR(_xlfn.LET(
_xlpm.CSVVal,_xlfn.XLOOKUP($A623,CSV!$A:$A,CSV!G:G,""),
_xlpm.MacVal,_xlfn.XLOOKUP($A623,Output_Mac!$A:$A,Output_Mac!F:F,""),
_xlpm.MyAuditVal,_xlfn.XLOOKUP($A623,My_Audit!$A:$A,My_Audit!F:F,""),
_xlfn.IFS(_xlpm.MyAuditVal&lt;&gt;"",_xlpm.MyAuditVal,_xlpm.MacVal&lt;&gt;"",_xlpm.MacVal,_xlpm.CSVVal&lt;&gt;"",PROPER(_xlpm.CSVVal)
)),"")</f>
        <v/>
      </c>
      <c r="H623" s="2" t="str" cm="1">
        <f t="array" ref="H623">IFERROR(_xlfn.LET(
_xlpm.CSVVal,_xlfn.XLOOKUP($A623,CSV!$A:$A,CSV!H:H,""),
_xlpm.MacVal,_xlfn.XLOOKUP($A623,Output_Mac!$A:$A,Output_Mac!H:H,""),
_xlpm.MyAuditVal,_xlfn.XLOOKUP($A623,My_Audit!$A:$A,My_Audit!G:G,""),
_xlfn.IFS(_xlpm.MyAuditVal&lt;&gt;"",_xlpm.MyAuditVal,_xlpm.MacVal&lt;&gt;"",_xlpm.MacVal,_xlpm.CSVVal&lt;&gt;"",_xlpm.CSVVal
)),"")</f>
        <v/>
      </c>
      <c r="I623" s="2" t="str">
        <f>_xlfn.XLOOKUP(A623,Output_Mac!A:A,Output_Mac!I:I,"")</f>
        <v/>
      </c>
      <c r="J623" s="2" t="str" cm="1">
        <f t="array" ref="J623">IFERROR(_xlfn.LET(
_xlpm.CSVVal,_xlfn.XLOOKUP($A623,CSV!$A:$A,CSV!I:I,""),
_xlpm.MacVal,_xlfn.XLOOKUP($A623,Output_Mac!$A:$A,Output_Mac!J:J,""),
_xlpm.MyAuditVal,_xlfn.XLOOKUP($A623,My_Audit!$A:$A,My_Audit!I:I,""),
_xlfn.IFS(_xlpm.MyAuditVal&lt;&gt;"",UPPER(_xlpm.MyAuditVal),_xlpm.MacVal&lt;&gt;"",_xlpm.MacVal,_xlpm.CSVVal&lt;&gt;"",_xlpm.CSVVal
)),"")</f>
        <v/>
      </c>
      <c r="K623" s="2" t="str" cm="1">
        <f t="array" ref="K623">IFERROR(_xlfn.LET(
_xlpm.CSVVal,_xlfn.XLOOKUP($A623,CSV!$A:$A,CSV!K:K,""),
_xlpm.MacVal,_xlfn.XLOOKUP($A623,Output_Mac!$A:$A,Output_Mac!K:K,""),
_xlpm.MyAuditVal,_xlfn.XLOOKUP($A623,My_Audit!$A:$A,My_Audit!J:J,""),
_xlfn.IFS(_xlpm.MyAuditVal&lt;&gt;"",UPPER(_xlpm.MyAuditVal),_xlpm.MacVal&lt;&gt;"",_xlpm.MacVal,_xlpm.CSVVal&lt;&gt;"",_xlpm.CSVVal
)),"")</f>
        <v/>
      </c>
      <c r="L623" s="2" t="str" cm="1">
        <f t="array" ref="L623">IFERROR(_xlfn.LET(
_xlpm.CSVVal,_xlfn.XLOOKUP($A623,CSV!$A:$A,CSV!P:P,""),
_xlpm.MacVal,_xlfn.XLOOKUP($A623,Output_Mac!$A:$A,Output_Mac!L:L,""),
_xlpm.MyAuditVal,_xlfn.XLOOKUP($A623,My_Audit!$A:$A,My_Audit!K:K,""),
_xlfn.IFS(_xlpm.MyAuditVal&lt;&gt;"",UPPER(_xlpm.MyAuditVal),_xlpm.MacVal&lt;&gt;"",_xlpm.MacVal,_xlpm.CSVVal&lt;&gt;"",_xlpm.CSVVal
)),"")</f>
        <v/>
      </c>
      <c r="M623" s="2" t="str" cm="1">
        <f t="array" ref="M623">IFERROR(_xlfn.LET(
_xlpm.CSVVal,_xlfn.XLOOKUP($A623,CSV!$A:$A,CSV!Q:Q,""),
_xlpm.MacVal,_xlfn.XLOOKUP($A623,Output_Mac!$A:$A,Output_Mac!M:M,""),
_xlpm.MyAuditVal,_xlfn.XLOOKUP($A623,My_Audit!$A:$A,My_Audit!L:L,""),
_xlfn.IFS(_xlpm.MyAuditVal&lt;&gt;"",UPPER(_xlpm.MyAuditVal),_xlpm.MacVal&lt;&gt;"",_xlpm.MacVal,_xlpm.CSVVal&lt;&gt;"",_xlpm.CSVVal
)),"")</f>
        <v/>
      </c>
      <c r="O623" s="2" t="str">
        <f>_xlfn.LET(
    _xlpm.CSVVal, _xlfn.XLOOKUP($A623, CSV!$A:$A, CSV!AF:AF, ""),
    _xlpm.MacVal, _xlfn.XLOOKUP($A623, Output_Mac!$A:$A, Output_Mac!S:S, ""),
    _xlpm.MyAuditVal, _xlfn.XLOOKUP($A623, My_Audit!$A:$A, My_Audit!P:P, ""),
    _xlfn.TEXTJOIN(", ", TRUE, _xlpm.MyAuditVal, _xlpm.MacVal, _xlpm.CSVVal)
)</f>
        <v/>
      </c>
      <c r="P623" s="2" t="str" cm="1">
        <f t="array" ref="P623">IFERROR(_xlfn.LET(
_xlpm.CSVVal,_xlfn.XLOOKUP($A623,CSV!$A:$A,CSV!AG:AG,""),
_xlpm.MacVal,_xlfn.XLOOKUP($A623,Output_Mac!$A:$A,Output_Mac!T:T,""),
_xlpm.MyAuditVal,_xlfn.XLOOKUP($A623,My_Audit!$A:$A,My_Audit!Q:Q,""),
_xlfn.IFS(_xlpm.MyAuditVal&lt;&gt;"",UPPER(_xlpm.MyAuditVal),_xlpm.MacVal&lt;&gt;"",_xlpm.MacVal,_xlpm.CSVVal&lt;&gt;"",_xlpm.CSVVal
)),"No")</f>
        <v>No</v>
      </c>
      <c r="Q623" s="2" t="str" cm="1">
        <f t="array" ref="Q623">IFERROR(_xlfn.LET(
_xlpm.CSVVal,_xlfn.XLOOKUP($A623,CSV!$A:$A,CSV!AH:AH,""),
_xlpm.MacVal,_xlfn.XLOOKUP($A623,Output_Mac!$A:$A,Output_Mac!U:U,""),
_xlpm.MyAuditVal,_xlfn.XLOOKUP($A623,My_Audit!$A:$A,My_Audit!R:R,""),
_xlfn.IFS(_xlpm.MyAuditVal&lt;&gt;"",UPPER(_xlpm.MyAuditVal),_xlpm.MacVal&lt;&gt;"",_xlpm.MacVal,_xlpm.CSVVal&lt;&gt;"",_xlpm.CSVVal
)),"")</f>
        <v/>
      </c>
    </row>
    <row r="624" spans="1:17">
      <c r="A624" s="2" t="str">
        <f>_xlfn.TEXTJOIN("",TRUE,Input!$B$2,ROW(My_Audit!A623))</f>
        <v>XX623</v>
      </c>
      <c r="B624" s="2" t="str">
        <f>_xlfn.TEXTJOIN("-",TRUE,"ITD",Input!$A$2,A624)</f>
        <v>ITD-SHRXXX-XX623</v>
      </c>
      <c r="C624" s="2" t="str" cm="1">
        <f t="array" ref="C624">IFERROR(_xlfn.LET(
_xlpm.CSVVal,_xlfn.XLOOKUP($A624,CSV!$A:$A,CSV!B:B,""),
_xlpm.MacVal,_xlfn.XLOOKUP($A624,Output_Mac!$A:$A,Output_Mac!B:B,""),
_xlpm.MyAuditVal,_xlfn.XLOOKUP($A624,My_Audit!$A:$A,My_Audit!B:B,""),
_xlfn.IFS(_xlpm.MyAuditVal&lt;&gt;"",UPPER(_xlpm.MyAuditVal),_xlpm.MacVal&lt;&gt;"",_xlpm.MacVal,_xlpm.CSVVal&lt;&gt;"",_xlpm.CSVVal
)),"")</f>
        <v/>
      </c>
      <c r="D624" s="2" t="str" cm="1">
        <f t="array" ref="D624">IFERROR(_xlfn.LET(
_xlpm.CSVVal,_xlfn.XLOOKUP($A624,CSV!$A:$A,CSV!D:D,""),
_xlpm.MacVal,_xlfn.XLOOKUP($A624,Output_Mac!$A:$A,Output_Mac!C:C,""),
_xlpm.MyAuditVal,_xlfn.XLOOKUP($A624,My_Audit!$A:$A,My_Audit!C:C,""),
_xlfn.IFS(_xlpm.MyAuditVal&lt;&gt;"",_xlpm.MyAuditVal,_xlpm.MacVal&lt;&gt;"",_xlpm.MacVal,_xlpm.CSVVal&lt;&gt;"",_xlpm.CSVVal
)),"")</f>
        <v/>
      </c>
      <c r="E624" s="2" t="str">
        <f>_xlfn.XLOOKUP(A624,My_Audit!A:A,My_Audit!D:D,"")&amp;""</f>
        <v/>
      </c>
      <c r="F624" s="2" t="str" cm="1">
        <f t="array" ref="F624">IFERROR(_xlfn.LET(
_xlpm.CSVVal,_xlfn.XLOOKUP($A624,CSV!$A:$A,CSV!F:F,""),
_xlpm.MacVal,_xlfn.XLOOKUP($A624,Output_Mac!$A:$A,Output_Mac!E:E,""),
_xlpm.MyAuditVal,_xlfn.XLOOKUP($A624,My_Audit!$A:$A,My_Audit!E:E,""),
_xlfn.IFS(_xlpm.MyAuditVal&lt;&gt;"",_xlpm.MyAuditVal,_xlpm.MacVal&lt;&gt;"",_xlpm.MacVal,_xlpm.CSVVal&lt;&gt;"",_xlpm.CSVVal
)),"")</f>
        <v/>
      </c>
      <c r="G624" s="2" t="str" cm="1">
        <f t="array" ref="G624">IFERROR(_xlfn.LET(
_xlpm.CSVVal,_xlfn.XLOOKUP($A624,CSV!$A:$A,CSV!G:G,""),
_xlpm.MacVal,_xlfn.XLOOKUP($A624,Output_Mac!$A:$A,Output_Mac!F:F,""),
_xlpm.MyAuditVal,_xlfn.XLOOKUP($A624,My_Audit!$A:$A,My_Audit!F:F,""),
_xlfn.IFS(_xlpm.MyAuditVal&lt;&gt;"",_xlpm.MyAuditVal,_xlpm.MacVal&lt;&gt;"",_xlpm.MacVal,_xlpm.CSVVal&lt;&gt;"",PROPER(_xlpm.CSVVal)
)),"")</f>
        <v/>
      </c>
      <c r="H624" s="2" t="str" cm="1">
        <f t="array" ref="H624">IFERROR(_xlfn.LET(
_xlpm.CSVVal,_xlfn.XLOOKUP($A624,CSV!$A:$A,CSV!H:H,""),
_xlpm.MacVal,_xlfn.XLOOKUP($A624,Output_Mac!$A:$A,Output_Mac!H:H,""),
_xlpm.MyAuditVal,_xlfn.XLOOKUP($A624,My_Audit!$A:$A,My_Audit!G:G,""),
_xlfn.IFS(_xlpm.MyAuditVal&lt;&gt;"",_xlpm.MyAuditVal,_xlpm.MacVal&lt;&gt;"",_xlpm.MacVal,_xlpm.CSVVal&lt;&gt;"",_xlpm.CSVVal
)),"")</f>
        <v/>
      </c>
      <c r="I624" s="2" t="str">
        <f>_xlfn.XLOOKUP(A624,Output_Mac!A:A,Output_Mac!I:I,"")</f>
        <v/>
      </c>
      <c r="J624" s="2" t="str" cm="1">
        <f t="array" ref="J624">IFERROR(_xlfn.LET(
_xlpm.CSVVal,_xlfn.XLOOKUP($A624,CSV!$A:$A,CSV!I:I,""),
_xlpm.MacVal,_xlfn.XLOOKUP($A624,Output_Mac!$A:$A,Output_Mac!J:J,""),
_xlpm.MyAuditVal,_xlfn.XLOOKUP($A624,My_Audit!$A:$A,My_Audit!I:I,""),
_xlfn.IFS(_xlpm.MyAuditVal&lt;&gt;"",UPPER(_xlpm.MyAuditVal),_xlpm.MacVal&lt;&gt;"",_xlpm.MacVal,_xlpm.CSVVal&lt;&gt;"",_xlpm.CSVVal
)),"")</f>
        <v/>
      </c>
      <c r="K624" s="2" t="str" cm="1">
        <f t="array" ref="K624">IFERROR(_xlfn.LET(
_xlpm.CSVVal,_xlfn.XLOOKUP($A624,CSV!$A:$A,CSV!K:K,""),
_xlpm.MacVal,_xlfn.XLOOKUP($A624,Output_Mac!$A:$A,Output_Mac!K:K,""),
_xlpm.MyAuditVal,_xlfn.XLOOKUP($A624,My_Audit!$A:$A,My_Audit!J:J,""),
_xlfn.IFS(_xlpm.MyAuditVal&lt;&gt;"",UPPER(_xlpm.MyAuditVal),_xlpm.MacVal&lt;&gt;"",_xlpm.MacVal,_xlpm.CSVVal&lt;&gt;"",_xlpm.CSVVal
)),"")</f>
        <v/>
      </c>
      <c r="L624" s="2" t="str" cm="1">
        <f t="array" ref="L624">IFERROR(_xlfn.LET(
_xlpm.CSVVal,_xlfn.XLOOKUP($A624,CSV!$A:$A,CSV!P:P,""),
_xlpm.MacVal,_xlfn.XLOOKUP($A624,Output_Mac!$A:$A,Output_Mac!L:L,""),
_xlpm.MyAuditVal,_xlfn.XLOOKUP($A624,My_Audit!$A:$A,My_Audit!K:K,""),
_xlfn.IFS(_xlpm.MyAuditVal&lt;&gt;"",UPPER(_xlpm.MyAuditVal),_xlpm.MacVal&lt;&gt;"",_xlpm.MacVal,_xlpm.CSVVal&lt;&gt;"",_xlpm.CSVVal
)),"")</f>
        <v/>
      </c>
      <c r="M624" s="2" t="str" cm="1">
        <f t="array" ref="M624">IFERROR(_xlfn.LET(
_xlpm.CSVVal,_xlfn.XLOOKUP($A624,CSV!$A:$A,CSV!Q:Q,""),
_xlpm.MacVal,_xlfn.XLOOKUP($A624,Output_Mac!$A:$A,Output_Mac!M:M,""),
_xlpm.MyAuditVal,_xlfn.XLOOKUP($A624,My_Audit!$A:$A,My_Audit!L:L,""),
_xlfn.IFS(_xlpm.MyAuditVal&lt;&gt;"",UPPER(_xlpm.MyAuditVal),_xlpm.MacVal&lt;&gt;"",_xlpm.MacVal,_xlpm.CSVVal&lt;&gt;"",_xlpm.CSVVal
)),"")</f>
        <v/>
      </c>
      <c r="O624" s="2" t="str">
        <f>_xlfn.LET(
    _xlpm.CSVVal, _xlfn.XLOOKUP($A624, CSV!$A:$A, CSV!AF:AF, ""),
    _xlpm.MacVal, _xlfn.XLOOKUP($A624, Output_Mac!$A:$A, Output_Mac!S:S, ""),
    _xlpm.MyAuditVal, _xlfn.XLOOKUP($A624, My_Audit!$A:$A, My_Audit!P:P, ""),
    _xlfn.TEXTJOIN(", ", TRUE, _xlpm.MyAuditVal, _xlpm.MacVal, _xlpm.CSVVal)
)</f>
        <v/>
      </c>
      <c r="P624" s="2" t="str" cm="1">
        <f t="array" ref="P624">IFERROR(_xlfn.LET(
_xlpm.CSVVal,_xlfn.XLOOKUP($A624,CSV!$A:$A,CSV!AG:AG,""),
_xlpm.MacVal,_xlfn.XLOOKUP($A624,Output_Mac!$A:$A,Output_Mac!T:T,""),
_xlpm.MyAuditVal,_xlfn.XLOOKUP($A624,My_Audit!$A:$A,My_Audit!Q:Q,""),
_xlfn.IFS(_xlpm.MyAuditVal&lt;&gt;"",UPPER(_xlpm.MyAuditVal),_xlpm.MacVal&lt;&gt;"",_xlpm.MacVal,_xlpm.CSVVal&lt;&gt;"",_xlpm.CSVVal
)),"No")</f>
        <v>No</v>
      </c>
      <c r="Q624" s="2" t="str" cm="1">
        <f t="array" ref="Q624">IFERROR(_xlfn.LET(
_xlpm.CSVVal,_xlfn.XLOOKUP($A624,CSV!$A:$A,CSV!AH:AH,""),
_xlpm.MacVal,_xlfn.XLOOKUP($A624,Output_Mac!$A:$A,Output_Mac!U:U,""),
_xlpm.MyAuditVal,_xlfn.XLOOKUP($A624,My_Audit!$A:$A,My_Audit!R:R,""),
_xlfn.IFS(_xlpm.MyAuditVal&lt;&gt;"",UPPER(_xlpm.MyAuditVal),_xlpm.MacVal&lt;&gt;"",_xlpm.MacVal,_xlpm.CSVVal&lt;&gt;"",_xlpm.CSVVal
)),"")</f>
        <v/>
      </c>
    </row>
    <row r="625" spans="1:17">
      <c r="A625" s="2" t="str">
        <f>_xlfn.TEXTJOIN("",TRUE,Input!$B$2,ROW(My_Audit!A624))</f>
        <v>XX624</v>
      </c>
      <c r="B625" s="2" t="str">
        <f>_xlfn.TEXTJOIN("-",TRUE,"ITD",Input!$A$2,A625)</f>
        <v>ITD-SHRXXX-XX624</v>
      </c>
      <c r="C625" s="2" t="str" cm="1">
        <f t="array" ref="C625">IFERROR(_xlfn.LET(
_xlpm.CSVVal,_xlfn.XLOOKUP($A625,CSV!$A:$A,CSV!B:B,""),
_xlpm.MacVal,_xlfn.XLOOKUP($A625,Output_Mac!$A:$A,Output_Mac!B:B,""),
_xlpm.MyAuditVal,_xlfn.XLOOKUP($A625,My_Audit!$A:$A,My_Audit!B:B,""),
_xlfn.IFS(_xlpm.MyAuditVal&lt;&gt;"",UPPER(_xlpm.MyAuditVal),_xlpm.MacVal&lt;&gt;"",_xlpm.MacVal,_xlpm.CSVVal&lt;&gt;"",_xlpm.CSVVal
)),"")</f>
        <v/>
      </c>
      <c r="D625" s="2" t="str" cm="1">
        <f t="array" ref="D625">IFERROR(_xlfn.LET(
_xlpm.CSVVal,_xlfn.XLOOKUP($A625,CSV!$A:$A,CSV!D:D,""),
_xlpm.MacVal,_xlfn.XLOOKUP($A625,Output_Mac!$A:$A,Output_Mac!C:C,""),
_xlpm.MyAuditVal,_xlfn.XLOOKUP($A625,My_Audit!$A:$A,My_Audit!C:C,""),
_xlfn.IFS(_xlpm.MyAuditVal&lt;&gt;"",_xlpm.MyAuditVal,_xlpm.MacVal&lt;&gt;"",_xlpm.MacVal,_xlpm.CSVVal&lt;&gt;"",_xlpm.CSVVal
)),"")</f>
        <v/>
      </c>
      <c r="E625" s="2" t="str">
        <f>_xlfn.XLOOKUP(A625,My_Audit!A:A,My_Audit!D:D,"")&amp;""</f>
        <v/>
      </c>
      <c r="F625" s="2" t="str" cm="1">
        <f t="array" ref="F625">IFERROR(_xlfn.LET(
_xlpm.CSVVal,_xlfn.XLOOKUP($A625,CSV!$A:$A,CSV!F:F,""),
_xlpm.MacVal,_xlfn.XLOOKUP($A625,Output_Mac!$A:$A,Output_Mac!E:E,""),
_xlpm.MyAuditVal,_xlfn.XLOOKUP($A625,My_Audit!$A:$A,My_Audit!E:E,""),
_xlfn.IFS(_xlpm.MyAuditVal&lt;&gt;"",_xlpm.MyAuditVal,_xlpm.MacVal&lt;&gt;"",_xlpm.MacVal,_xlpm.CSVVal&lt;&gt;"",_xlpm.CSVVal
)),"")</f>
        <v/>
      </c>
      <c r="G625" s="2" t="str" cm="1">
        <f t="array" ref="G625">IFERROR(_xlfn.LET(
_xlpm.CSVVal,_xlfn.XLOOKUP($A625,CSV!$A:$A,CSV!G:G,""),
_xlpm.MacVal,_xlfn.XLOOKUP($A625,Output_Mac!$A:$A,Output_Mac!F:F,""),
_xlpm.MyAuditVal,_xlfn.XLOOKUP($A625,My_Audit!$A:$A,My_Audit!F:F,""),
_xlfn.IFS(_xlpm.MyAuditVal&lt;&gt;"",_xlpm.MyAuditVal,_xlpm.MacVal&lt;&gt;"",_xlpm.MacVal,_xlpm.CSVVal&lt;&gt;"",PROPER(_xlpm.CSVVal)
)),"")</f>
        <v/>
      </c>
      <c r="H625" s="2" t="str" cm="1">
        <f t="array" ref="H625">IFERROR(_xlfn.LET(
_xlpm.CSVVal,_xlfn.XLOOKUP($A625,CSV!$A:$A,CSV!H:H,""),
_xlpm.MacVal,_xlfn.XLOOKUP($A625,Output_Mac!$A:$A,Output_Mac!H:H,""),
_xlpm.MyAuditVal,_xlfn.XLOOKUP($A625,My_Audit!$A:$A,My_Audit!G:G,""),
_xlfn.IFS(_xlpm.MyAuditVal&lt;&gt;"",_xlpm.MyAuditVal,_xlpm.MacVal&lt;&gt;"",_xlpm.MacVal,_xlpm.CSVVal&lt;&gt;"",_xlpm.CSVVal
)),"")</f>
        <v/>
      </c>
      <c r="I625" s="2" t="str">
        <f>_xlfn.XLOOKUP(A625,Output_Mac!A:A,Output_Mac!I:I,"")</f>
        <v/>
      </c>
      <c r="J625" s="2" t="str" cm="1">
        <f t="array" ref="J625">IFERROR(_xlfn.LET(
_xlpm.CSVVal,_xlfn.XLOOKUP($A625,CSV!$A:$A,CSV!I:I,""),
_xlpm.MacVal,_xlfn.XLOOKUP($A625,Output_Mac!$A:$A,Output_Mac!J:J,""),
_xlpm.MyAuditVal,_xlfn.XLOOKUP($A625,My_Audit!$A:$A,My_Audit!I:I,""),
_xlfn.IFS(_xlpm.MyAuditVal&lt;&gt;"",UPPER(_xlpm.MyAuditVal),_xlpm.MacVal&lt;&gt;"",_xlpm.MacVal,_xlpm.CSVVal&lt;&gt;"",_xlpm.CSVVal
)),"")</f>
        <v/>
      </c>
      <c r="K625" s="2" t="str" cm="1">
        <f t="array" ref="K625">IFERROR(_xlfn.LET(
_xlpm.CSVVal,_xlfn.XLOOKUP($A625,CSV!$A:$A,CSV!K:K,""),
_xlpm.MacVal,_xlfn.XLOOKUP($A625,Output_Mac!$A:$A,Output_Mac!K:K,""),
_xlpm.MyAuditVal,_xlfn.XLOOKUP($A625,My_Audit!$A:$A,My_Audit!J:J,""),
_xlfn.IFS(_xlpm.MyAuditVal&lt;&gt;"",UPPER(_xlpm.MyAuditVal),_xlpm.MacVal&lt;&gt;"",_xlpm.MacVal,_xlpm.CSVVal&lt;&gt;"",_xlpm.CSVVal
)),"")</f>
        <v/>
      </c>
      <c r="L625" s="2" t="str" cm="1">
        <f t="array" ref="L625">IFERROR(_xlfn.LET(
_xlpm.CSVVal,_xlfn.XLOOKUP($A625,CSV!$A:$A,CSV!P:P,""),
_xlpm.MacVal,_xlfn.XLOOKUP($A625,Output_Mac!$A:$A,Output_Mac!L:L,""),
_xlpm.MyAuditVal,_xlfn.XLOOKUP($A625,My_Audit!$A:$A,My_Audit!K:K,""),
_xlfn.IFS(_xlpm.MyAuditVal&lt;&gt;"",UPPER(_xlpm.MyAuditVal),_xlpm.MacVal&lt;&gt;"",_xlpm.MacVal,_xlpm.CSVVal&lt;&gt;"",_xlpm.CSVVal
)),"")</f>
        <v/>
      </c>
      <c r="M625" s="2" t="str" cm="1">
        <f t="array" ref="M625">IFERROR(_xlfn.LET(
_xlpm.CSVVal,_xlfn.XLOOKUP($A625,CSV!$A:$A,CSV!Q:Q,""),
_xlpm.MacVal,_xlfn.XLOOKUP($A625,Output_Mac!$A:$A,Output_Mac!M:M,""),
_xlpm.MyAuditVal,_xlfn.XLOOKUP($A625,My_Audit!$A:$A,My_Audit!L:L,""),
_xlfn.IFS(_xlpm.MyAuditVal&lt;&gt;"",UPPER(_xlpm.MyAuditVal),_xlpm.MacVal&lt;&gt;"",_xlpm.MacVal,_xlpm.CSVVal&lt;&gt;"",_xlpm.CSVVal
)),"")</f>
        <v/>
      </c>
      <c r="O625" s="2" t="str">
        <f>_xlfn.LET(
    _xlpm.CSVVal, _xlfn.XLOOKUP($A625, CSV!$A:$A, CSV!AF:AF, ""),
    _xlpm.MacVal, _xlfn.XLOOKUP($A625, Output_Mac!$A:$A, Output_Mac!S:S, ""),
    _xlpm.MyAuditVal, _xlfn.XLOOKUP($A625, My_Audit!$A:$A, My_Audit!P:P, ""),
    _xlfn.TEXTJOIN(", ", TRUE, _xlpm.MyAuditVal, _xlpm.MacVal, _xlpm.CSVVal)
)</f>
        <v/>
      </c>
      <c r="P625" s="2" t="str" cm="1">
        <f t="array" ref="P625">IFERROR(_xlfn.LET(
_xlpm.CSVVal,_xlfn.XLOOKUP($A625,CSV!$A:$A,CSV!AG:AG,""),
_xlpm.MacVal,_xlfn.XLOOKUP($A625,Output_Mac!$A:$A,Output_Mac!T:T,""),
_xlpm.MyAuditVal,_xlfn.XLOOKUP($A625,My_Audit!$A:$A,My_Audit!Q:Q,""),
_xlfn.IFS(_xlpm.MyAuditVal&lt;&gt;"",UPPER(_xlpm.MyAuditVal),_xlpm.MacVal&lt;&gt;"",_xlpm.MacVal,_xlpm.CSVVal&lt;&gt;"",_xlpm.CSVVal
)),"No")</f>
        <v>No</v>
      </c>
      <c r="Q625" s="2" t="str" cm="1">
        <f t="array" ref="Q625">IFERROR(_xlfn.LET(
_xlpm.CSVVal,_xlfn.XLOOKUP($A625,CSV!$A:$A,CSV!AH:AH,""),
_xlpm.MacVal,_xlfn.XLOOKUP($A625,Output_Mac!$A:$A,Output_Mac!U:U,""),
_xlpm.MyAuditVal,_xlfn.XLOOKUP($A625,My_Audit!$A:$A,My_Audit!R:R,""),
_xlfn.IFS(_xlpm.MyAuditVal&lt;&gt;"",UPPER(_xlpm.MyAuditVal),_xlpm.MacVal&lt;&gt;"",_xlpm.MacVal,_xlpm.CSVVal&lt;&gt;"",_xlpm.CSVVal
)),"")</f>
        <v/>
      </c>
    </row>
    <row r="626" spans="1:17">
      <c r="A626" s="2" t="str">
        <f>_xlfn.TEXTJOIN("",TRUE,Input!$B$2,ROW(My_Audit!A625))</f>
        <v>XX625</v>
      </c>
      <c r="B626" s="2" t="str">
        <f>_xlfn.TEXTJOIN("-",TRUE,"ITD",Input!$A$2,A626)</f>
        <v>ITD-SHRXXX-XX625</v>
      </c>
      <c r="C626" s="2" t="str" cm="1">
        <f t="array" ref="C626">IFERROR(_xlfn.LET(
_xlpm.CSVVal,_xlfn.XLOOKUP($A626,CSV!$A:$A,CSV!B:B,""),
_xlpm.MacVal,_xlfn.XLOOKUP($A626,Output_Mac!$A:$A,Output_Mac!B:B,""),
_xlpm.MyAuditVal,_xlfn.XLOOKUP($A626,My_Audit!$A:$A,My_Audit!B:B,""),
_xlfn.IFS(_xlpm.MyAuditVal&lt;&gt;"",UPPER(_xlpm.MyAuditVal),_xlpm.MacVal&lt;&gt;"",_xlpm.MacVal,_xlpm.CSVVal&lt;&gt;"",_xlpm.CSVVal
)),"")</f>
        <v/>
      </c>
      <c r="D626" s="2" t="str" cm="1">
        <f t="array" ref="D626">IFERROR(_xlfn.LET(
_xlpm.CSVVal,_xlfn.XLOOKUP($A626,CSV!$A:$A,CSV!D:D,""),
_xlpm.MacVal,_xlfn.XLOOKUP($A626,Output_Mac!$A:$A,Output_Mac!C:C,""),
_xlpm.MyAuditVal,_xlfn.XLOOKUP($A626,My_Audit!$A:$A,My_Audit!C:C,""),
_xlfn.IFS(_xlpm.MyAuditVal&lt;&gt;"",_xlpm.MyAuditVal,_xlpm.MacVal&lt;&gt;"",_xlpm.MacVal,_xlpm.CSVVal&lt;&gt;"",_xlpm.CSVVal
)),"")</f>
        <v/>
      </c>
      <c r="E626" s="2" t="str">
        <f>_xlfn.XLOOKUP(A626,My_Audit!A:A,My_Audit!D:D,"")&amp;""</f>
        <v/>
      </c>
      <c r="F626" s="2" t="str" cm="1">
        <f t="array" ref="F626">IFERROR(_xlfn.LET(
_xlpm.CSVVal,_xlfn.XLOOKUP($A626,CSV!$A:$A,CSV!F:F,""),
_xlpm.MacVal,_xlfn.XLOOKUP($A626,Output_Mac!$A:$A,Output_Mac!E:E,""),
_xlpm.MyAuditVal,_xlfn.XLOOKUP($A626,My_Audit!$A:$A,My_Audit!E:E,""),
_xlfn.IFS(_xlpm.MyAuditVal&lt;&gt;"",_xlpm.MyAuditVal,_xlpm.MacVal&lt;&gt;"",_xlpm.MacVal,_xlpm.CSVVal&lt;&gt;"",_xlpm.CSVVal
)),"")</f>
        <v/>
      </c>
      <c r="G626" s="2" t="str" cm="1">
        <f t="array" ref="G626">IFERROR(_xlfn.LET(
_xlpm.CSVVal,_xlfn.XLOOKUP($A626,CSV!$A:$A,CSV!G:G,""),
_xlpm.MacVal,_xlfn.XLOOKUP($A626,Output_Mac!$A:$A,Output_Mac!F:F,""),
_xlpm.MyAuditVal,_xlfn.XLOOKUP($A626,My_Audit!$A:$A,My_Audit!F:F,""),
_xlfn.IFS(_xlpm.MyAuditVal&lt;&gt;"",_xlpm.MyAuditVal,_xlpm.MacVal&lt;&gt;"",_xlpm.MacVal,_xlpm.CSVVal&lt;&gt;"",PROPER(_xlpm.CSVVal)
)),"")</f>
        <v/>
      </c>
      <c r="H626" s="2" t="str" cm="1">
        <f t="array" ref="H626">IFERROR(_xlfn.LET(
_xlpm.CSVVal,_xlfn.XLOOKUP($A626,CSV!$A:$A,CSV!H:H,""),
_xlpm.MacVal,_xlfn.XLOOKUP($A626,Output_Mac!$A:$A,Output_Mac!H:H,""),
_xlpm.MyAuditVal,_xlfn.XLOOKUP($A626,My_Audit!$A:$A,My_Audit!G:G,""),
_xlfn.IFS(_xlpm.MyAuditVal&lt;&gt;"",_xlpm.MyAuditVal,_xlpm.MacVal&lt;&gt;"",_xlpm.MacVal,_xlpm.CSVVal&lt;&gt;"",_xlpm.CSVVal
)),"")</f>
        <v/>
      </c>
      <c r="I626" s="2" t="str">
        <f>_xlfn.XLOOKUP(A626,Output_Mac!A:A,Output_Mac!I:I,"")</f>
        <v/>
      </c>
      <c r="J626" s="2" t="str" cm="1">
        <f t="array" ref="J626">IFERROR(_xlfn.LET(
_xlpm.CSVVal,_xlfn.XLOOKUP($A626,CSV!$A:$A,CSV!I:I,""),
_xlpm.MacVal,_xlfn.XLOOKUP($A626,Output_Mac!$A:$A,Output_Mac!J:J,""),
_xlpm.MyAuditVal,_xlfn.XLOOKUP($A626,My_Audit!$A:$A,My_Audit!I:I,""),
_xlfn.IFS(_xlpm.MyAuditVal&lt;&gt;"",UPPER(_xlpm.MyAuditVal),_xlpm.MacVal&lt;&gt;"",_xlpm.MacVal,_xlpm.CSVVal&lt;&gt;"",_xlpm.CSVVal
)),"")</f>
        <v/>
      </c>
      <c r="K626" s="2" t="str" cm="1">
        <f t="array" ref="K626">IFERROR(_xlfn.LET(
_xlpm.CSVVal,_xlfn.XLOOKUP($A626,CSV!$A:$A,CSV!K:K,""),
_xlpm.MacVal,_xlfn.XLOOKUP($A626,Output_Mac!$A:$A,Output_Mac!K:K,""),
_xlpm.MyAuditVal,_xlfn.XLOOKUP($A626,My_Audit!$A:$A,My_Audit!J:J,""),
_xlfn.IFS(_xlpm.MyAuditVal&lt;&gt;"",UPPER(_xlpm.MyAuditVal),_xlpm.MacVal&lt;&gt;"",_xlpm.MacVal,_xlpm.CSVVal&lt;&gt;"",_xlpm.CSVVal
)),"")</f>
        <v/>
      </c>
      <c r="L626" s="2" t="str" cm="1">
        <f t="array" ref="L626">IFERROR(_xlfn.LET(
_xlpm.CSVVal,_xlfn.XLOOKUP($A626,CSV!$A:$A,CSV!P:P,""),
_xlpm.MacVal,_xlfn.XLOOKUP($A626,Output_Mac!$A:$A,Output_Mac!L:L,""),
_xlpm.MyAuditVal,_xlfn.XLOOKUP($A626,My_Audit!$A:$A,My_Audit!K:K,""),
_xlfn.IFS(_xlpm.MyAuditVal&lt;&gt;"",UPPER(_xlpm.MyAuditVal),_xlpm.MacVal&lt;&gt;"",_xlpm.MacVal,_xlpm.CSVVal&lt;&gt;"",_xlpm.CSVVal
)),"")</f>
        <v/>
      </c>
      <c r="M626" s="2" t="str" cm="1">
        <f t="array" ref="M626">IFERROR(_xlfn.LET(
_xlpm.CSVVal,_xlfn.XLOOKUP($A626,CSV!$A:$A,CSV!Q:Q,""),
_xlpm.MacVal,_xlfn.XLOOKUP($A626,Output_Mac!$A:$A,Output_Mac!M:M,""),
_xlpm.MyAuditVal,_xlfn.XLOOKUP($A626,My_Audit!$A:$A,My_Audit!L:L,""),
_xlfn.IFS(_xlpm.MyAuditVal&lt;&gt;"",UPPER(_xlpm.MyAuditVal),_xlpm.MacVal&lt;&gt;"",_xlpm.MacVal,_xlpm.CSVVal&lt;&gt;"",_xlpm.CSVVal
)),"")</f>
        <v/>
      </c>
      <c r="O626" s="2" t="str">
        <f>_xlfn.LET(
    _xlpm.CSVVal, _xlfn.XLOOKUP($A626, CSV!$A:$A, CSV!AF:AF, ""),
    _xlpm.MacVal, _xlfn.XLOOKUP($A626, Output_Mac!$A:$A, Output_Mac!S:S, ""),
    _xlpm.MyAuditVal, _xlfn.XLOOKUP($A626, My_Audit!$A:$A, My_Audit!P:P, ""),
    _xlfn.TEXTJOIN(", ", TRUE, _xlpm.MyAuditVal, _xlpm.MacVal, _xlpm.CSVVal)
)</f>
        <v/>
      </c>
      <c r="P626" s="2" t="str" cm="1">
        <f t="array" ref="P626">IFERROR(_xlfn.LET(
_xlpm.CSVVal,_xlfn.XLOOKUP($A626,CSV!$A:$A,CSV!AG:AG,""),
_xlpm.MacVal,_xlfn.XLOOKUP($A626,Output_Mac!$A:$A,Output_Mac!T:T,""),
_xlpm.MyAuditVal,_xlfn.XLOOKUP($A626,My_Audit!$A:$A,My_Audit!Q:Q,""),
_xlfn.IFS(_xlpm.MyAuditVal&lt;&gt;"",UPPER(_xlpm.MyAuditVal),_xlpm.MacVal&lt;&gt;"",_xlpm.MacVal,_xlpm.CSVVal&lt;&gt;"",_xlpm.CSVVal
)),"No")</f>
        <v>No</v>
      </c>
      <c r="Q626" s="2" t="str" cm="1">
        <f t="array" ref="Q626">IFERROR(_xlfn.LET(
_xlpm.CSVVal,_xlfn.XLOOKUP($A626,CSV!$A:$A,CSV!AH:AH,""),
_xlpm.MacVal,_xlfn.XLOOKUP($A626,Output_Mac!$A:$A,Output_Mac!U:U,""),
_xlpm.MyAuditVal,_xlfn.XLOOKUP($A626,My_Audit!$A:$A,My_Audit!R:R,""),
_xlfn.IFS(_xlpm.MyAuditVal&lt;&gt;"",UPPER(_xlpm.MyAuditVal),_xlpm.MacVal&lt;&gt;"",_xlpm.MacVal,_xlpm.CSVVal&lt;&gt;"",_xlpm.CSVVal
)),"")</f>
        <v/>
      </c>
    </row>
    <row r="627" spans="1:17">
      <c r="A627" s="2" t="str">
        <f>_xlfn.TEXTJOIN("",TRUE,Input!$B$2,ROW(My_Audit!A626))</f>
        <v>XX626</v>
      </c>
      <c r="B627" s="2" t="str">
        <f>_xlfn.TEXTJOIN("-",TRUE,"ITD",Input!$A$2,A627)</f>
        <v>ITD-SHRXXX-XX626</v>
      </c>
      <c r="C627" s="2" t="str" cm="1">
        <f t="array" ref="C627">IFERROR(_xlfn.LET(
_xlpm.CSVVal,_xlfn.XLOOKUP($A627,CSV!$A:$A,CSV!B:B,""),
_xlpm.MacVal,_xlfn.XLOOKUP($A627,Output_Mac!$A:$A,Output_Mac!B:B,""),
_xlpm.MyAuditVal,_xlfn.XLOOKUP($A627,My_Audit!$A:$A,My_Audit!B:B,""),
_xlfn.IFS(_xlpm.MyAuditVal&lt;&gt;"",UPPER(_xlpm.MyAuditVal),_xlpm.MacVal&lt;&gt;"",_xlpm.MacVal,_xlpm.CSVVal&lt;&gt;"",_xlpm.CSVVal
)),"")</f>
        <v/>
      </c>
      <c r="D627" s="2" t="str" cm="1">
        <f t="array" ref="D627">IFERROR(_xlfn.LET(
_xlpm.CSVVal,_xlfn.XLOOKUP($A627,CSV!$A:$A,CSV!D:D,""),
_xlpm.MacVal,_xlfn.XLOOKUP($A627,Output_Mac!$A:$A,Output_Mac!C:C,""),
_xlpm.MyAuditVal,_xlfn.XLOOKUP($A627,My_Audit!$A:$A,My_Audit!C:C,""),
_xlfn.IFS(_xlpm.MyAuditVal&lt;&gt;"",_xlpm.MyAuditVal,_xlpm.MacVal&lt;&gt;"",_xlpm.MacVal,_xlpm.CSVVal&lt;&gt;"",_xlpm.CSVVal
)),"")</f>
        <v/>
      </c>
      <c r="E627" s="2" t="str">
        <f>_xlfn.XLOOKUP(A627,My_Audit!A:A,My_Audit!D:D,"")&amp;""</f>
        <v/>
      </c>
      <c r="F627" s="2" t="str" cm="1">
        <f t="array" ref="F627">IFERROR(_xlfn.LET(
_xlpm.CSVVal,_xlfn.XLOOKUP($A627,CSV!$A:$A,CSV!F:F,""),
_xlpm.MacVal,_xlfn.XLOOKUP($A627,Output_Mac!$A:$A,Output_Mac!E:E,""),
_xlpm.MyAuditVal,_xlfn.XLOOKUP($A627,My_Audit!$A:$A,My_Audit!E:E,""),
_xlfn.IFS(_xlpm.MyAuditVal&lt;&gt;"",_xlpm.MyAuditVal,_xlpm.MacVal&lt;&gt;"",_xlpm.MacVal,_xlpm.CSVVal&lt;&gt;"",_xlpm.CSVVal
)),"")</f>
        <v/>
      </c>
      <c r="G627" s="2" t="str" cm="1">
        <f t="array" ref="G627">IFERROR(_xlfn.LET(
_xlpm.CSVVal,_xlfn.XLOOKUP($A627,CSV!$A:$A,CSV!G:G,""),
_xlpm.MacVal,_xlfn.XLOOKUP($A627,Output_Mac!$A:$A,Output_Mac!F:F,""),
_xlpm.MyAuditVal,_xlfn.XLOOKUP($A627,My_Audit!$A:$A,My_Audit!F:F,""),
_xlfn.IFS(_xlpm.MyAuditVal&lt;&gt;"",_xlpm.MyAuditVal,_xlpm.MacVal&lt;&gt;"",_xlpm.MacVal,_xlpm.CSVVal&lt;&gt;"",PROPER(_xlpm.CSVVal)
)),"")</f>
        <v/>
      </c>
      <c r="H627" s="2" t="str" cm="1">
        <f t="array" ref="H627">IFERROR(_xlfn.LET(
_xlpm.CSVVal,_xlfn.XLOOKUP($A627,CSV!$A:$A,CSV!H:H,""),
_xlpm.MacVal,_xlfn.XLOOKUP($A627,Output_Mac!$A:$A,Output_Mac!H:H,""),
_xlpm.MyAuditVal,_xlfn.XLOOKUP($A627,My_Audit!$A:$A,My_Audit!G:G,""),
_xlfn.IFS(_xlpm.MyAuditVal&lt;&gt;"",_xlpm.MyAuditVal,_xlpm.MacVal&lt;&gt;"",_xlpm.MacVal,_xlpm.CSVVal&lt;&gt;"",_xlpm.CSVVal
)),"")</f>
        <v/>
      </c>
      <c r="I627" s="2" t="str">
        <f>_xlfn.XLOOKUP(A627,Output_Mac!A:A,Output_Mac!I:I,"")</f>
        <v/>
      </c>
      <c r="J627" s="2" t="str" cm="1">
        <f t="array" ref="J627">IFERROR(_xlfn.LET(
_xlpm.CSVVal,_xlfn.XLOOKUP($A627,CSV!$A:$A,CSV!I:I,""),
_xlpm.MacVal,_xlfn.XLOOKUP($A627,Output_Mac!$A:$A,Output_Mac!J:J,""),
_xlpm.MyAuditVal,_xlfn.XLOOKUP($A627,My_Audit!$A:$A,My_Audit!I:I,""),
_xlfn.IFS(_xlpm.MyAuditVal&lt;&gt;"",UPPER(_xlpm.MyAuditVal),_xlpm.MacVal&lt;&gt;"",_xlpm.MacVal,_xlpm.CSVVal&lt;&gt;"",_xlpm.CSVVal
)),"")</f>
        <v/>
      </c>
      <c r="K627" s="2" t="str" cm="1">
        <f t="array" ref="K627">IFERROR(_xlfn.LET(
_xlpm.CSVVal,_xlfn.XLOOKUP($A627,CSV!$A:$A,CSV!K:K,""),
_xlpm.MacVal,_xlfn.XLOOKUP($A627,Output_Mac!$A:$A,Output_Mac!K:K,""),
_xlpm.MyAuditVal,_xlfn.XLOOKUP($A627,My_Audit!$A:$A,My_Audit!J:J,""),
_xlfn.IFS(_xlpm.MyAuditVal&lt;&gt;"",UPPER(_xlpm.MyAuditVal),_xlpm.MacVal&lt;&gt;"",_xlpm.MacVal,_xlpm.CSVVal&lt;&gt;"",_xlpm.CSVVal
)),"")</f>
        <v/>
      </c>
      <c r="L627" s="2" t="str" cm="1">
        <f t="array" ref="L627">IFERROR(_xlfn.LET(
_xlpm.CSVVal,_xlfn.XLOOKUP($A627,CSV!$A:$A,CSV!P:P,""),
_xlpm.MacVal,_xlfn.XLOOKUP($A627,Output_Mac!$A:$A,Output_Mac!L:L,""),
_xlpm.MyAuditVal,_xlfn.XLOOKUP($A627,My_Audit!$A:$A,My_Audit!K:K,""),
_xlfn.IFS(_xlpm.MyAuditVal&lt;&gt;"",UPPER(_xlpm.MyAuditVal),_xlpm.MacVal&lt;&gt;"",_xlpm.MacVal,_xlpm.CSVVal&lt;&gt;"",_xlpm.CSVVal
)),"")</f>
        <v/>
      </c>
      <c r="M627" s="2" t="str" cm="1">
        <f t="array" ref="M627">IFERROR(_xlfn.LET(
_xlpm.CSVVal,_xlfn.XLOOKUP($A627,CSV!$A:$A,CSV!Q:Q,""),
_xlpm.MacVal,_xlfn.XLOOKUP($A627,Output_Mac!$A:$A,Output_Mac!M:M,""),
_xlpm.MyAuditVal,_xlfn.XLOOKUP($A627,My_Audit!$A:$A,My_Audit!L:L,""),
_xlfn.IFS(_xlpm.MyAuditVal&lt;&gt;"",UPPER(_xlpm.MyAuditVal),_xlpm.MacVal&lt;&gt;"",_xlpm.MacVal,_xlpm.CSVVal&lt;&gt;"",_xlpm.CSVVal
)),"")</f>
        <v/>
      </c>
      <c r="O627" s="2" t="str">
        <f>_xlfn.LET(
    _xlpm.CSVVal, _xlfn.XLOOKUP($A627, CSV!$A:$A, CSV!AF:AF, ""),
    _xlpm.MacVal, _xlfn.XLOOKUP($A627, Output_Mac!$A:$A, Output_Mac!S:S, ""),
    _xlpm.MyAuditVal, _xlfn.XLOOKUP($A627, My_Audit!$A:$A, My_Audit!P:P, ""),
    _xlfn.TEXTJOIN(", ", TRUE, _xlpm.MyAuditVal, _xlpm.MacVal, _xlpm.CSVVal)
)</f>
        <v/>
      </c>
      <c r="P627" s="2" t="str" cm="1">
        <f t="array" ref="P627">IFERROR(_xlfn.LET(
_xlpm.CSVVal,_xlfn.XLOOKUP($A627,CSV!$A:$A,CSV!AG:AG,""),
_xlpm.MacVal,_xlfn.XLOOKUP($A627,Output_Mac!$A:$A,Output_Mac!T:T,""),
_xlpm.MyAuditVal,_xlfn.XLOOKUP($A627,My_Audit!$A:$A,My_Audit!Q:Q,""),
_xlfn.IFS(_xlpm.MyAuditVal&lt;&gt;"",UPPER(_xlpm.MyAuditVal),_xlpm.MacVal&lt;&gt;"",_xlpm.MacVal,_xlpm.CSVVal&lt;&gt;"",_xlpm.CSVVal
)),"No")</f>
        <v>No</v>
      </c>
      <c r="Q627" s="2" t="str" cm="1">
        <f t="array" ref="Q627">IFERROR(_xlfn.LET(
_xlpm.CSVVal,_xlfn.XLOOKUP($A627,CSV!$A:$A,CSV!AH:AH,""),
_xlpm.MacVal,_xlfn.XLOOKUP($A627,Output_Mac!$A:$A,Output_Mac!U:U,""),
_xlpm.MyAuditVal,_xlfn.XLOOKUP($A627,My_Audit!$A:$A,My_Audit!R:R,""),
_xlfn.IFS(_xlpm.MyAuditVal&lt;&gt;"",UPPER(_xlpm.MyAuditVal),_xlpm.MacVal&lt;&gt;"",_xlpm.MacVal,_xlpm.CSVVal&lt;&gt;"",_xlpm.CSVVal
)),"")</f>
        <v/>
      </c>
    </row>
    <row r="628" spans="1:17">
      <c r="A628" s="2" t="str">
        <f>_xlfn.TEXTJOIN("",TRUE,Input!$B$2,ROW(My_Audit!A627))</f>
        <v>XX627</v>
      </c>
      <c r="B628" s="2" t="str">
        <f>_xlfn.TEXTJOIN("-",TRUE,"ITD",Input!$A$2,A628)</f>
        <v>ITD-SHRXXX-XX627</v>
      </c>
      <c r="C628" s="2" t="str" cm="1">
        <f t="array" ref="C628">IFERROR(_xlfn.LET(
_xlpm.CSVVal,_xlfn.XLOOKUP($A628,CSV!$A:$A,CSV!B:B,""),
_xlpm.MacVal,_xlfn.XLOOKUP($A628,Output_Mac!$A:$A,Output_Mac!B:B,""),
_xlpm.MyAuditVal,_xlfn.XLOOKUP($A628,My_Audit!$A:$A,My_Audit!B:B,""),
_xlfn.IFS(_xlpm.MyAuditVal&lt;&gt;"",UPPER(_xlpm.MyAuditVal),_xlpm.MacVal&lt;&gt;"",_xlpm.MacVal,_xlpm.CSVVal&lt;&gt;"",_xlpm.CSVVal
)),"")</f>
        <v/>
      </c>
      <c r="D628" s="2" t="str" cm="1">
        <f t="array" ref="D628">IFERROR(_xlfn.LET(
_xlpm.CSVVal,_xlfn.XLOOKUP($A628,CSV!$A:$A,CSV!D:D,""),
_xlpm.MacVal,_xlfn.XLOOKUP($A628,Output_Mac!$A:$A,Output_Mac!C:C,""),
_xlpm.MyAuditVal,_xlfn.XLOOKUP($A628,My_Audit!$A:$A,My_Audit!C:C,""),
_xlfn.IFS(_xlpm.MyAuditVal&lt;&gt;"",_xlpm.MyAuditVal,_xlpm.MacVal&lt;&gt;"",_xlpm.MacVal,_xlpm.CSVVal&lt;&gt;"",_xlpm.CSVVal
)),"")</f>
        <v/>
      </c>
      <c r="E628" s="2" t="str">
        <f>_xlfn.XLOOKUP(A628,My_Audit!A:A,My_Audit!D:D,"")&amp;""</f>
        <v/>
      </c>
      <c r="F628" s="2" t="str" cm="1">
        <f t="array" ref="F628">IFERROR(_xlfn.LET(
_xlpm.CSVVal,_xlfn.XLOOKUP($A628,CSV!$A:$A,CSV!F:F,""),
_xlpm.MacVal,_xlfn.XLOOKUP($A628,Output_Mac!$A:$A,Output_Mac!E:E,""),
_xlpm.MyAuditVal,_xlfn.XLOOKUP($A628,My_Audit!$A:$A,My_Audit!E:E,""),
_xlfn.IFS(_xlpm.MyAuditVal&lt;&gt;"",_xlpm.MyAuditVal,_xlpm.MacVal&lt;&gt;"",_xlpm.MacVal,_xlpm.CSVVal&lt;&gt;"",_xlpm.CSVVal
)),"")</f>
        <v/>
      </c>
      <c r="G628" s="2" t="str" cm="1">
        <f t="array" ref="G628">IFERROR(_xlfn.LET(
_xlpm.CSVVal,_xlfn.XLOOKUP($A628,CSV!$A:$A,CSV!G:G,""),
_xlpm.MacVal,_xlfn.XLOOKUP($A628,Output_Mac!$A:$A,Output_Mac!F:F,""),
_xlpm.MyAuditVal,_xlfn.XLOOKUP($A628,My_Audit!$A:$A,My_Audit!F:F,""),
_xlfn.IFS(_xlpm.MyAuditVal&lt;&gt;"",_xlpm.MyAuditVal,_xlpm.MacVal&lt;&gt;"",_xlpm.MacVal,_xlpm.CSVVal&lt;&gt;"",PROPER(_xlpm.CSVVal)
)),"")</f>
        <v/>
      </c>
      <c r="H628" s="2" t="str" cm="1">
        <f t="array" ref="H628">IFERROR(_xlfn.LET(
_xlpm.CSVVal,_xlfn.XLOOKUP($A628,CSV!$A:$A,CSV!H:H,""),
_xlpm.MacVal,_xlfn.XLOOKUP($A628,Output_Mac!$A:$A,Output_Mac!H:H,""),
_xlpm.MyAuditVal,_xlfn.XLOOKUP($A628,My_Audit!$A:$A,My_Audit!G:G,""),
_xlfn.IFS(_xlpm.MyAuditVal&lt;&gt;"",_xlpm.MyAuditVal,_xlpm.MacVal&lt;&gt;"",_xlpm.MacVal,_xlpm.CSVVal&lt;&gt;"",_xlpm.CSVVal
)),"")</f>
        <v/>
      </c>
      <c r="I628" s="2" t="str">
        <f>_xlfn.XLOOKUP(A628,Output_Mac!A:A,Output_Mac!I:I,"")</f>
        <v/>
      </c>
      <c r="J628" s="2" t="str" cm="1">
        <f t="array" ref="J628">IFERROR(_xlfn.LET(
_xlpm.CSVVal,_xlfn.XLOOKUP($A628,CSV!$A:$A,CSV!I:I,""),
_xlpm.MacVal,_xlfn.XLOOKUP($A628,Output_Mac!$A:$A,Output_Mac!J:J,""),
_xlpm.MyAuditVal,_xlfn.XLOOKUP($A628,My_Audit!$A:$A,My_Audit!I:I,""),
_xlfn.IFS(_xlpm.MyAuditVal&lt;&gt;"",UPPER(_xlpm.MyAuditVal),_xlpm.MacVal&lt;&gt;"",_xlpm.MacVal,_xlpm.CSVVal&lt;&gt;"",_xlpm.CSVVal
)),"")</f>
        <v/>
      </c>
      <c r="K628" s="2" t="str" cm="1">
        <f t="array" ref="K628">IFERROR(_xlfn.LET(
_xlpm.CSVVal,_xlfn.XLOOKUP($A628,CSV!$A:$A,CSV!K:K,""),
_xlpm.MacVal,_xlfn.XLOOKUP($A628,Output_Mac!$A:$A,Output_Mac!K:K,""),
_xlpm.MyAuditVal,_xlfn.XLOOKUP($A628,My_Audit!$A:$A,My_Audit!J:J,""),
_xlfn.IFS(_xlpm.MyAuditVal&lt;&gt;"",UPPER(_xlpm.MyAuditVal),_xlpm.MacVal&lt;&gt;"",_xlpm.MacVal,_xlpm.CSVVal&lt;&gt;"",_xlpm.CSVVal
)),"")</f>
        <v/>
      </c>
      <c r="L628" s="2" t="str" cm="1">
        <f t="array" ref="L628">IFERROR(_xlfn.LET(
_xlpm.CSVVal,_xlfn.XLOOKUP($A628,CSV!$A:$A,CSV!P:P,""),
_xlpm.MacVal,_xlfn.XLOOKUP($A628,Output_Mac!$A:$A,Output_Mac!L:L,""),
_xlpm.MyAuditVal,_xlfn.XLOOKUP($A628,My_Audit!$A:$A,My_Audit!K:K,""),
_xlfn.IFS(_xlpm.MyAuditVal&lt;&gt;"",UPPER(_xlpm.MyAuditVal),_xlpm.MacVal&lt;&gt;"",_xlpm.MacVal,_xlpm.CSVVal&lt;&gt;"",_xlpm.CSVVal
)),"")</f>
        <v/>
      </c>
      <c r="M628" s="2" t="str" cm="1">
        <f t="array" ref="M628">IFERROR(_xlfn.LET(
_xlpm.CSVVal,_xlfn.XLOOKUP($A628,CSV!$A:$A,CSV!Q:Q,""),
_xlpm.MacVal,_xlfn.XLOOKUP($A628,Output_Mac!$A:$A,Output_Mac!M:M,""),
_xlpm.MyAuditVal,_xlfn.XLOOKUP($A628,My_Audit!$A:$A,My_Audit!L:L,""),
_xlfn.IFS(_xlpm.MyAuditVal&lt;&gt;"",UPPER(_xlpm.MyAuditVal),_xlpm.MacVal&lt;&gt;"",_xlpm.MacVal,_xlpm.CSVVal&lt;&gt;"",_xlpm.CSVVal
)),"")</f>
        <v/>
      </c>
      <c r="O628" s="2" t="str">
        <f>_xlfn.LET(
    _xlpm.CSVVal, _xlfn.XLOOKUP($A628, CSV!$A:$A, CSV!AF:AF, ""),
    _xlpm.MacVal, _xlfn.XLOOKUP($A628, Output_Mac!$A:$A, Output_Mac!S:S, ""),
    _xlpm.MyAuditVal, _xlfn.XLOOKUP($A628, My_Audit!$A:$A, My_Audit!P:P, ""),
    _xlfn.TEXTJOIN(", ", TRUE, _xlpm.MyAuditVal, _xlpm.MacVal, _xlpm.CSVVal)
)</f>
        <v/>
      </c>
      <c r="P628" s="2" t="str" cm="1">
        <f t="array" ref="P628">IFERROR(_xlfn.LET(
_xlpm.CSVVal,_xlfn.XLOOKUP($A628,CSV!$A:$A,CSV!AG:AG,""),
_xlpm.MacVal,_xlfn.XLOOKUP($A628,Output_Mac!$A:$A,Output_Mac!T:T,""),
_xlpm.MyAuditVal,_xlfn.XLOOKUP($A628,My_Audit!$A:$A,My_Audit!Q:Q,""),
_xlfn.IFS(_xlpm.MyAuditVal&lt;&gt;"",UPPER(_xlpm.MyAuditVal),_xlpm.MacVal&lt;&gt;"",_xlpm.MacVal,_xlpm.CSVVal&lt;&gt;"",_xlpm.CSVVal
)),"No")</f>
        <v>No</v>
      </c>
      <c r="Q628" s="2" t="str" cm="1">
        <f t="array" ref="Q628">IFERROR(_xlfn.LET(
_xlpm.CSVVal,_xlfn.XLOOKUP($A628,CSV!$A:$A,CSV!AH:AH,""),
_xlpm.MacVal,_xlfn.XLOOKUP($A628,Output_Mac!$A:$A,Output_Mac!U:U,""),
_xlpm.MyAuditVal,_xlfn.XLOOKUP($A628,My_Audit!$A:$A,My_Audit!R:R,""),
_xlfn.IFS(_xlpm.MyAuditVal&lt;&gt;"",UPPER(_xlpm.MyAuditVal),_xlpm.MacVal&lt;&gt;"",_xlpm.MacVal,_xlpm.CSVVal&lt;&gt;"",_xlpm.CSVVal
)),"")</f>
        <v/>
      </c>
    </row>
    <row r="629" spans="1:17">
      <c r="A629" s="2" t="str">
        <f>_xlfn.TEXTJOIN("",TRUE,Input!$B$2,ROW(My_Audit!A628))</f>
        <v>XX628</v>
      </c>
      <c r="B629" s="2" t="str">
        <f>_xlfn.TEXTJOIN("-",TRUE,"ITD",Input!$A$2,A629)</f>
        <v>ITD-SHRXXX-XX628</v>
      </c>
      <c r="C629" s="2" t="str" cm="1">
        <f t="array" ref="C629">IFERROR(_xlfn.LET(
_xlpm.CSVVal,_xlfn.XLOOKUP($A629,CSV!$A:$A,CSV!B:B,""),
_xlpm.MacVal,_xlfn.XLOOKUP($A629,Output_Mac!$A:$A,Output_Mac!B:B,""),
_xlpm.MyAuditVal,_xlfn.XLOOKUP($A629,My_Audit!$A:$A,My_Audit!B:B,""),
_xlfn.IFS(_xlpm.MyAuditVal&lt;&gt;"",UPPER(_xlpm.MyAuditVal),_xlpm.MacVal&lt;&gt;"",_xlpm.MacVal,_xlpm.CSVVal&lt;&gt;"",_xlpm.CSVVal
)),"")</f>
        <v/>
      </c>
      <c r="D629" s="2" t="str" cm="1">
        <f t="array" ref="D629">IFERROR(_xlfn.LET(
_xlpm.CSVVal,_xlfn.XLOOKUP($A629,CSV!$A:$A,CSV!D:D,""),
_xlpm.MacVal,_xlfn.XLOOKUP($A629,Output_Mac!$A:$A,Output_Mac!C:C,""),
_xlpm.MyAuditVal,_xlfn.XLOOKUP($A629,My_Audit!$A:$A,My_Audit!C:C,""),
_xlfn.IFS(_xlpm.MyAuditVal&lt;&gt;"",_xlpm.MyAuditVal,_xlpm.MacVal&lt;&gt;"",_xlpm.MacVal,_xlpm.CSVVal&lt;&gt;"",_xlpm.CSVVal
)),"")</f>
        <v/>
      </c>
      <c r="E629" s="2" t="str">
        <f>_xlfn.XLOOKUP(A629,My_Audit!A:A,My_Audit!D:D,"")&amp;""</f>
        <v/>
      </c>
      <c r="F629" s="2" t="str" cm="1">
        <f t="array" ref="F629">IFERROR(_xlfn.LET(
_xlpm.CSVVal,_xlfn.XLOOKUP($A629,CSV!$A:$A,CSV!F:F,""),
_xlpm.MacVal,_xlfn.XLOOKUP($A629,Output_Mac!$A:$A,Output_Mac!E:E,""),
_xlpm.MyAuditVal,_xlfn.XLOOKUP($A629,My_Audit!$A:$A,My_Audit!E:E,""),
_xlfn.IFS(_xlpm.MyAuditVal&lt;&gt;"",_xlpm.MyAuditVal,_xlpm.MacVal&lt;&gt;"",_xlpm.MacVal,_xlpm.CSVVal&lt;&gt;"",_xlpm.CSVVal
)),"")</f>
        <v/>
      </c>
      <c r="G629" s="2" t="str" cm="1">
        <f t="array" ref="G629">IFERROR(_xlfn.LET(
_xlpm.CSVVal,_xlfn.XLOOKUP($A629,CSV!$A:$A,CSV!G:G,""),
_xlpm.MacVal,_xlfn.XLOOKUP($A629,Output_Mac!$A:$A,Output_Mac!F:F,""),
_xlpm.MyAuditVal,_xlfn.XLOOKUP($A629,My_Audit!$A:$A,My_Audit!F:F,""),
_xlfn.IFS(_xlpm.MyAuditVal&lt;&gt;"",_xlpm.MyAuditVal,_xlpm.MacVal&lt;&gt;"",_xlpm.MacVal,_xlpm.CSVVal&lt;&gt;"",PROPER(_xlpm.CSVVal)
)),"")</f>
        <v/>
      </c>
      <c r="H629" s="2" t="str" cm="1">
        <f t="array" ref="H629">IFERROR(_xlfn.LET(
_xlpm.CSVVal,_xlfn.XLOOKUP($A629,CSV!$A:$A,CSV!H:H,""),
_xlpm.MacVal,_xlfn.XLOOKUP($A629,Output_Mac!$A:$A,Output_Mac!H:H,""),
_xlpm.MyAuditVal,_xlfn.XLOOKUP($A629,My_Audit!$A:$A,My_Audit!G:G,""),
_xlfn.IFS(_xlpm.MyAuditVal&lt;&gt;"",_xlpm.MyAuditVal,_xlpm.MacVal&lt;&gt;"",_xlpm.MacVal,_xlpm.CSVVal&lt;&gt;"",_xlpm.CSVVal
)),"")</f>
        <v/>
      </c>
      <c r="I629" s="2" t="str">
        <f>_xlfn.XLOOKUP(A629,Output_Mac!A:A,Output_Mac!I:I,"")</f>
        <v/>
      </c>
      <c r="J629" s="2" t="str" cm="1">
        <f t="array" ref="J629">IFERROR(_xlfn.LET(
_xlpm.CSVVal,_xlfn.XLOOKUP($A629,CSV!$A:$A,CSV!I:I,""),
_xlpm.MacVal,_xlfn.XLOOKUP($A629,Output_Mac!$A:$A,Output_Mac!J:J,""),
_xlpm.MyAuditVal,_xlfn.XLOOKUP($A629,My_Audit!$A:$A,My_Audit!I:I,""),
_xlfn.IFS(_xlpm.MyAuditVal&lt;&gt;"",UPPER(_xlpm.MyAuditVal),_xlpm.MacVal&lt;&gt;"",_xlpm.MacVal,_xlpm.CSVVal&lt;&gt;"",_xlpm.CSVVal
)),"")</f>
        <v/>
      </c>
      <c r="K629" s="2" t="str" cm="1">
        <f t="array" ref="K629">IFERROR(_xlfn.LET(
_xlpm.CSVVal,_xlfn.XLOOKUP($A629,CSV!$A:$A,CSV!K:K,""),
_xlpm.MacVal,_xlfn.XLOOKUP($A629,Output_Mac!$A:$A,Output_Mac!K:K,""),
_xlpm.MyAuditVal,_xlfn.XLOOKUP($A629,My_Audit!$A:$A,My_Audit!J:J,""),
_xlfn.IFS(_xlpm.MyAuditVal&lt;&gt;"",UPPER(_xlpm.MyAuditVal),_xlpm.MacVal&lt;&gt;"",_xlpm.MacVal,_xlpm.CSVVal&lt;&gt;"",_xlpm.CSVVal
)),"")</f>
        <v/>
      </c>
      <c r="L629" s="2" t="str" cm="1">
        <f t="array" ref="L629">IFERROR(_xlfn.LET(
_xlpm.CSVVal,_xlfn.XLOOKUP($A629,CSV!$A:$A,CSV!P:P,""),
_xlpm.MacVal,_xlfn.XLOOKUP($A629,Output_Mac!$A:$A,Output_Mac!L:L,""),
_xlpm.MyAuditVal,_xlfn.XLOOKUP($A629,My_Audit!$A:$A,My_Audit!K:K,""),
_xlfn.IFS(_xlpm.MyAuditVal&lt;&gt;"",UPPER(_xlpm.MyAuditVal),_xlpm.MacVal&lt;&gt;"",_xlpm.MacVal,_xlpm.CSVVal&lt;&gt;"",_xlpm.CSVVal
)),"")</f>
        <v/>
      </c>
      <c r="M629" s="2" t="str" cm="1">
        <f t="array" ref="M629">IFERROR(_xlfn.LET(
_xlpm.CSVVal,_xlfn.XLOOKUP($A629,CSV!$A:$A,CSV!Q:Q,""),
_xlpm.MacVal,_xlfn.XLOOKUP($A629,Output_Mac!$A:$A,Output_Mac!M:M,""),
_xlpm.MyAuditVal,_xlfn.XLOOKUP($A629,My_Audit!$A:$A,My_Audit!L:L,""),
_xlfn.IFS(_xlpm.MyAuditVal&lt;&gt;"",UPPER(_xlpm.MyAuditVal),_xlpm.MacVal&lt;&gt;"",_xlpm.MacVal,_xlpm.CSVVal&lt;&gt;"",_xlpm.CSVVal
)),"")</f>
        <v/>
      </c>
      <c r="O629" s="2" t="str">
        <f>_xlfn.LET(
    _xlpm.CSVVal, _xlfn.XLOOKUP($A629, CSV!$A:$A, CSV!AF:AF, ""),
    _xlpm.MacVal, _xlfn.XLOOKUP($A629, Output_Mac!$A:$A, Output_Mac!S:S, ""),
    _xlpm.MyAuditVal, _xlfn.XLOOKUP($A629, My_Audit!$A:$A, My_Audit!P:P, ""),
    _xlfn.TEXTJOIN(", ", TRUE, _xlpm.MyAuditVal, _xlpm.MacVal, _xlpm.CSVVal)
)</f>
        <v/>
      </c>
      <c r="P629" s="2" t="str" cm="1">
        <f t="array" ref="P629">IFERROR(_xlfn.LET(
_xlpm.CSVVal,_xlfn.XLOOKUP($A629,CSV!$A:$A,CSV!AG:AG,""),
_xlpm.MacVal,_xlfn.XLOOKUP($A629,Output_Mac!$A:$A,Output_Mac!T:T,""),
_xlpm.MyAuditVal,_xlfn.XLOOKUP($A629,My_Audit!$A:$A,My_Audit!Q:Q,""),
_xlfn.IFS(_xlpm.MyAuditVal&lt;&gt;"",UPPER(_xlpm.MyAuditVal),_xlpm.MacVal&lt;&gt;"",_xlpm.MacVal,_xlpm.CSVVal&lt;&gt;"",_xlpm.CSVVal
)),"No")</f>
        <v>No</v>
      </c>
      <c r="Q629" s="2" t="str" cm="1">
        <f t="array" ref="Q629">IFERROR(_xlfn.LET(
_xlpm.CSVVal,_xlfn.XLOOKUP($A629,CSV!$A:$A,CSV!AH:AH,""),
_xlpm.MacVal,_xlfn.XLOOKUP($A629,Output_Mac!$A:$A,Output_Mac!U:U,""),
_xlpm.MyAuditVal,_xlfn.XLOOKUP($A629,My_Audit!$A:$A,My_Audit!R:R,""),
_xlfn.IFS(_xlpm.MyAuditVal&lt;&gt;"",UPPER(_xlpm.MyAuditVal),_xlpm.MacVal&lt;&gt;"",_xlpm.MacVal,_xlpm.CSVVal&lt;&gt;"",_xlpm.CSVVal
)),"")</f>
        <v/>
      </c>
    </row>
    <row r="630" spans="1:17">
      <c r="A630" s="2" t="str">
        <f>_xlfn.TEXTJOIN("",TRUE,Input!$B$2,ROW(My_Audit!A629))</f>
        <v>XX629</v>
      </c>
      <c r="B630" s="2" t="str">
        <f>_xlfn.TEXTJOIN("-",TRUE,"ITD",Input!$A$2,A630)</f>
        <v>ITD-SHRXXX-XX629</v>
      </c>
      <c r="C630" s="2" t="str" cm="1">
        <f t="array" ref="C630">IFERROR(_xlfn.LET(
_xlpm.CSVVal,_xlfn.XLOOKUP($A630,CSV!$A:$A,CSV!B:B,""),
_xlpm.MacVal,_xlfn.XLOOKUP($A630,Output_Mac!$A:$A,Output_Mac!B:B,""),
_xlpm.MyAuditVal,_xlfn.XLOOKUP($A630,My_Audit!$A:$A,My_Audit!B:B,""),
_xlfn.IFS(_xlpm.MyAuditVal&lt;&gt;"",UPPER(_xlpm.MyAuditVal),_xlpm.MacVal&lt;&gt;"",_xlpm.MacVal,_xlpm.CSVVal&lt;&gt;"",_xlpm.CSVVal
)),"")</f>
        <v/>
      </c>
      <c r="D630" s="2" t="str" cm="1">
        <f t="array" ref="D630">IFERROR(_xlfn.LET(
_xlpm.CSVVal,_xlfn.XLOOKUP($A630,CSV!$A:$A,CSV!D:D,""),
_xlpm.MacVal,_xlfn.XLOOKUP($A630,Output_Mac!$A:$A,Output_Mac!C:C,""),
_xlpm.MyAuditVal,_xlfn.XLOOKUP($A630,My_Audit!$A:$A,My_Audit!C:C,""),
_xlfn.IFS(_xlpm.MyAuditVal&lt;&gt;"",_xlpm.MyAuditVal,_xlpm.MacVal&lt;&gt;"",_xlpm.MacVal,_xlpm.CSVVal&lt;&gt;"",_xlpm.CSVVal
)),"")</f>
        <v/>
      </c>
      <c r="E630" s="2" t="str">
        <f>_xlfn.XLOOKUP(A630,My_Audit!A:A,My_Audit!D:D,"")&amp;""</f>
        <v/>
      </c>
      <c r="F630" s="2" t="str" cm="1">
        <f t="array" ref="F630">IFERROR(_xlfn.LET(
_xlpm.CSVVal,_xlfn.XLOOKUP($A630,CSV!$A:$A,CSV!F:F,""),
_xlpm.MacVal,_xlfn.XLOOKUP($A630,Output_Mac!$A:$A,Output_Mac!E:E,""),
_xlpm.MyAuditVal,_xlfn.XLOOKUP($A630,My_Audit!$A:$A,My_Audit!E:E,""),
_xlfn.IFS(_xlpm.MyAuditVal&lt;&gt;"",_xlpm.MyAuditVal,_xlpm.MacVal&lt;&gt;"",_xlpm.MacVal,_xlpm.CSVVal&lt;&gt;"",_xlpm.CSVVal
)),"")</f>
        <v/>
      </c>
      <c r="G630" s="2" t="str" cm="1">
        <f t="array" ref="G630">IFERROR(_xlfn.LET(
_xlpm.CSVVal,_xlfn.XLOOKUP($A630,CSV!$A:$A,CSV!G:G,""),
_xlpm.MacVal,_xlfn.XLOOKUP($A630,Output_Mac!$A:$A,Output_Mac!F:F,""),
_xlpm.MyAuditVal,_xlfn.XLOOKUP($A630,My_Audit!$A:$A,My_Audit!F:F,""),
_xlfn.IFS(_xlpm.MyAuditVal&lt;&gt;"",_xlpm.MyAuditVal,_xlpm.MacVal&lt;&gt;"",_xlpm.MacVal,_xlpm.CSVVal&lt;&gt;"",PROPER(_xlpm.CSVVal)
)),"")</f>
        <v/>
      </c>
      <c r="H630" s="2" t="str" cm="1">
        <f t="array" ref="H630">IFERROR(_xlfn.LET(
_xlpm.CSVVal,_xlfn.XLOOKUP($A630,CSV!$A:$A,CSV!H:H,""),
_xlpm.MacVal,_xlfn.XLOOKUP($A630,Output_Mac!$A:$A,Output_Mac!H:H,""),
_xlpm.MyAuditVal,_xlfn.XLOOKUP($A630,My_Audit!$A:$A,My_Audit!G:G,""),
_xlfn.IFS(_xlpm.MyAuditVal&lt;&gt;"",_xlpm.MyAuditVal,_xlpm.MacVal&lt;&gt;"",_xlpm.MacVal,_xlpm.CSVVal&lt;&gt;"",_xlpm.CSVVal
)),"")</f>
        <v/>
      </c>
      <c r="I630" s="2" t="str">
        <f>_xlfn.XLOOKUP(A630,Output_Mac!A:A,Output_Mac!I:I,"")</f>
        <v/>
      </c>
      <c r="J630" s="2" t="str" cm="1">
        <f t="array" ref="J630">IFERROR(_xlfn.LET(
_xlpm.CSVVal,_xlfn.XLOOKUP($A630,CSV!$A:$A,CSV!I:I,""),
_xlpm.MacVal,_xlfn.XLOOKUP($A630,Output_Mac!$A:$A,Output_Mac!J:J,""),
_xlpm.MyAuditVal,_xlfn.XLOOKUP($A630,My_Audit!$A:$A,My_Audit!I:I,""),
_xlfn.IFS(_xlpm.MyAuditVal&lt;&gt;"",UPPER(_xlpm.MyAuditVal),_xlpm.MacVal&lt;&gt;"",_xlpm.MacVal,_xlpm.CSVVal&lt;&gt;"",_xlpm.CSVVal
)),"")</f>
        <v/>
      </c>
      <c r="K630" s="2" t="str" cm="1">
        <f t="array" ref="K630">IFERROR(_xlfn.LET(
_xlpm.CSVVal,_xlfn.XLOOKUP($A630,CSV!$A:$A,CSV!K:K,""),
_xlpm.MacVal,_xlfn.XLOOKUP($A630,Output_Mac!$A:$A,Output_Mac!K:K,""),
_xlpm.MyAuditVal,_xlfn.XLOOKUP($A630,My_Audit!$A:$A,My_Audit!J:J,""),
_xlfn.IFS(_xlpm.MyAuditVal&lt;&gt;"",UPPER(_xlpm.MyAuditVal),_xlpm.MacVal&lt;&gt;"",_xlpm.MacVal,_xlpm.CSVVal&lt;&gt;"",_xlpm.CSVVal
)),"")</f>
        <v/>
      </c>
      <c r="L630" s="2" t="str" cm="1">
        <f t="array" ref="L630">IFERROR(_xlfn.LET(
_xlpm.CSVVal,_xlfn.XLOOKUP($A630,CSV!$A:$A,CSV!P:P,""),
_xlpm.MacVal,_xlfn.XLOOKUP($A630,Output_Mac!$A:$A,Output_Mac!L:L,""),
_xlpm.MyAuditVal,_xlfn.XLOOKUP($A630,My_Audit!$A:$A,My_Audit!K:K,""),
_xlfn.IFS(_xlpm.MyAuditVal&lt;&gt;"",UPPER(_xlpm.MyAuditVal),_xlpm.MacVal&lt;&gt;"",_xlpm.MacVal,_xlpm.CSVVal&lt;&gt;"",_xlpm.CSVVal
)),"")</f>
        <v/>
      </c>
      <c r="M630" s="2" t="str" cm="1">
        <f t="array" ref="M630">IFERROR(_xlfn.LET(
_xlpm.CSVVal,_xlfn.XLOOKUP($A630,CSV!$A:$A,CSV!Q:Q,""),
_xlpm.MacVal,_xlfn.XLOOKUP($A630,Output_Mac!$A:$A,Output_Mac!M:M,""),
_xlpm.MyAuditVal,_xlfn.XLOOKUP($A630,My_Audit!$A:$A,My_Audit!L:L,""),
_xlfn.IFS(_xlpm.MyAuditVal&lt;&gt;"",UPPER(_xlpm.MyAuditVal),_xlpm.MacVal&lt;&gt;"",_xlpm.MacVal,_xlpm.CSVVal&lt;&gt;"",_xlpm.CSVVal
)),"")</f>
        <v/>
      </c>
      <c r="O630" s="2" t="str">
        <f>_xlfn.LET(
    _xlpm.CSVVal, _xlfn.XLOOKUP($A630, CSV!$A:$A, CSV!AF:AF, ""),
    _xlpm.MacVal, _xlfn.XLOOKUP($A630, Output_Mac!$A:$A, Output_Mac!S:S, ""),
    _xlpm.MyAuditVal, _xlfn.XLOOKUP($A630, My_Audit!$A:$A, My_Audit!P:P, ""),
    _xlfn.TEXTJOIN(", ", TRUE, _xlpm.MyAuditVal, _xlpm.MacVal, _xlpm.CSVVal)
)</f>
        <v/>
      </c>
      <c r="P630" s="2" t="str" cm="1">
        <f t="array" ref="P630">IFERROR(_xlfn.LET(
_xlpm.CSVVal,_xlfn.XLOOKUP($A630,CSV!$A:$A,CSV!AG:AG,""),
_xlpm.MacVal,_xlfn.XLOOKUP($A630,Output_Mac!$A:$A,Output_Mac!T:T,""),
_xlpm.MyAuditVal,_xlfn.XLOOKUP($A630,My_Audit!$A:$A,My_Audit!Q:Q,""),
_xlfn.IFS(_xlpm.MyAuditVal&lt;&gt;"",UPPER(_xlpm.MyAuditVal),_xlpm.MacVal&lt;&gt;"",_xlpm.MacVal,_xlpm.CSVVal&lt;&gt;"",_xlpm.CSVVal
)),"No")</f>
        <v>No</v>
      </c>
      <c r="Q630" s="2" t="str" cm="1">
        <f t="array" ref="Q630">IFERROR(_xlfn.LET(
_xlpm.CSVVal,_xlfn.XLOOKUP($A630,CSV!$A:$A,CSV!AH:AH,""),
_xlpm.MacVal,_xlfn.XLOOKUP($A630,Output_Mac!$A:$A,Output_Mac!U:U,""),
_xlpm.MyAuditVal,_xlfn.XLOOKUP($A630,My_Audit!$A:$A,My_Audit!R:R,""),
_xlfn.IFS(_xlpm.MyAuditVal&lt;&gt;"",UPPER(_xlpm.MyAuditVal),_xlpm.MacVal&lt;&gt;"",_xlpm.MacVal,_xlpm.CSVVal&lt;&gt;"",_xlpm.CSVVal
)),"")</f>
        <v/>
      </c>
    </row>
    <row r="631" spans="1:17">
      <c r="A631" s="2" t="str">
        <f>_xlfn.TEXTJOIN("",TRUE,Input!$B$2,ROW(My_Audit!A630))</f>
        <v>XX630</v>
      </c>
      <c r="B631" s="2" t="str">
        <f>_xlfn.TEXTJOIN("-",TRUE,"ITD",Input!$A$2,A631)</f>
        <v>ITD-SHRXXX-XX630</v>
      </c>
      <c r="C631" s="2" t="str" cm="1">
        <f t="array" ref="C631">IFERROR(_xlfn.LET(
_xlpm.CSVVal,_xlfn.XLOOKUP($A631,CSV!$A:$A,CSV!B:B,""),
_xlpm.MacVal,_xlfn.XLOOKUP($A631,Output_Mac!$A:$A,Output_Mac!B:B,""),
_xlpm.MyAuditVal,_xlfn.XLOOKUP($A631,My_Audit!$A:$A,My_Audit!B:B,""),
_xlfn.IFS(_xlpm.MyAuditVal&lt;&gt;"",UPPER(_xlpm.MyAuditVal),_xlpm.MacVal&lt;&gt;"",_xlpm.MacVal,_xlpm.CSVVal&lt;&gt;"",_xlpm.CSVVal
)),"")</f>
        <v/>
      </c>
      <c r="D631" s="2" t="str" cm="1">
        <f t="array" ref="D631">IFERROR(_xlfn.LET(
_xlpm.CSVVal,_xlfn.XLOOKUP($A631,CSV!$A:$A,CSV!D:D,""),
_xlpm.MacVal,_xlfn.XLOOKUP($A631,Output_Mac!$A:$A,Output_Mac!C:C,""),
_xlpm.MyAuditVal,_xlfn.XLOOKUP($A631,My_Audit!$A:$A,My_Audit!C:C,""),
_xlfn.IFS(_xlpm.MyAuditVal&lt;&gt;"",_xlpm.MyAuditVal,_xlpm.MacVal&lt;&gt;"",_xlpm.MacVal,_xlpm.CSVVal&lt;&gt;"",_xlpm.CSVVal
)),"")</f>
        <v/>
      </c>
      <c r="E631" s="2" t="str">
        <f>_xlfn.XLOOKUP(A631,My_Audit!A:A,My_Audit!D:D,"")&amp;""</f>
        <v/>
      </c>
      <c r="F631" s="2" t="str" cm="1">
        <f t="array" ref="F631">IFERROR(_xlfn.LET(
_xlpm.CSVVal,_xlfn.XLOOKUP($A631,CSV!$A:$A,CSV!F:F,""),
_xlpm.MacVal,_xlfn.XLOOKUP($A631,Output_Mac!$A:$A,Output_Mac!E:E,""),
_xlpm.MyAuditVal,_xlfn.XLOOKUP($A631,My_Audit!$A:$A,My_Audit!E:E,""),
_xlfn.IFS(_xlpm.MyAuditVal&lt;&gt;"",_xlpm.MyAuditVal,_xlpm.MacVal&lt;&gt;"",_xlpm.MacVal,_xlpm.CSVVal&lt;&gt;"",_xlpm.CSVVal
)),"")</f>
        <v/>
      </c>
      <c r="G631" s="2" t="str" cm="1">
        <f t="array" ref="G631">IFERROR(_xlfn.LET(
_xlpm.CSVVal,_xlfn.XLOOKUP($A631,CSV!$A:$A,CSV!G:G,""),
_xlpm.MacVal,_xlfn.XLOOKUP($A631,Output_Mac!$A:$A,Output_Mac!F:F,""),
_xlpm.MyAuditVal,_xlfn.XLOOKUP($A631,My_Audit!$A:$A,My_Audit!F:F,""),
_xlfn.IFS(_xlpm.MyAuditVal&lt;&gt;"",_xlpm.MyAuditVal,_xlpm.MacVal&lt;&gt;"",_xlpm.MacVal,_xlpm.CSVVal&lt;&gt;"",PROPER(_xlpm.CSVVal)
)),"")</f>
        <v/>
      </c>
      <c r="H631" s="2" t="str" cm="1">
        <f t="array" ref="H631">IFERROR(_xlfn.LET(
_xlpm.CSVVal,_xlfn.XLOOKUP($A631,CSV!$A:$A,CSV!H:H,""),
_xlpm.MacVal,_xlfn.XLOOKUP($A631,Output_Mac!$A:$A,Output_Mac!H:H,""),
_xlpm.MyAuditVal,_xlfn.XLOOKUP($A631,My_Audit!$A:$A,My_Audit!G:G,""),
_xlfn.IFS(_xlpm.MyAuditVal&lt;&gt;"",_xlpm.MyAuditVal,_xlpm.MacVal&lt;&gt;"",_xlpm.MacVal,_xlpm.CSVVal&lt;&gt;"",_xlpm.CSVVal
)),"")</f>
        <v/>
      </c>
      <c r="I631" s="2" t="str">
        <f>_xlfn.XLOOKUP(A631,Output_Mac!A:A,Output_Mac!I:I,"")</f>
        <v/>
      </c>
      <c r="J631" s="2" t="str" cm="1">
        <f t="array" ref="J631">IFERROR(_xlfn.LET(
_xlpm.CSVVal,_xlfn.XLOOKUP($A631,CSV!$A:$A,CSV!I:I,""),
_xlpm.MacVal,_xlfn.XLOOKUP($A631,Output_Mac!$A:$A,Output_Mac!J:J,""),
_xlpm.MyAuditVal,_xlfn.XLOOKUP($A631,My_Audit!$A:$A,My_Audit!I:I,""),
_xlfn.IFS(_xlpm.MyAuditVal&lt;&gt;"",UPPER(_xlpm.MyAuditVal),_xlpm.MacVal&lt;&gt;"",_xlpm.MacVal,_xlpm.CSVVal&lt;&gt;"",_xlpm.CSVVal
)),"")</f>
        <v/>
      </c>
      <c r="K631" s="2" t="str" cm="1">
        <f t="array" ref="K631">IFERROR(_xlfn.LET(
_xlpm.CSVVal,_xlfn.XLOOKUP($A631,CSV!$A:$A,CSV!K:K,""),
_xlpm.MacVal,_xlfn.XLOOKUP($A631,Output_Mac!$A:$A,Output_Mac!K:K,""),
_xlpm.MyAuditVal,_xlfn.XLOOKUP($A631,My_Audit!$A:$A,My_Audit!J:J,""),
_xlfn.IFS(_xlpm.MyAuditVal&lt;&gt;"",UPPER(_xlpm.MyAuditVal),_xlpm.MacVal&lt;&gt;"",_xlpm.MacVal,_xlpm.CSVVal&lt;&gt;"",_xlpm.CSVVal
)),"")</f>
        <v/>
      </c>
      <c r="L631" s="2" t="str" cm="1">
        <f t="array" ref="L631">IFERROR(_xlfn.LET(
_xlpm.CSVVal,_xlfn.XLOOKUP($A631,CSV!$A:$A,CSV!P:P,""),
_xlpm.MacVal,_xlfn.XLOOKUP($A631,Output_Mac!$A:$A,Output_Mac!L:L,""),
_xlpm.MyAuditVal,_xlfn.XLOOKUP($A631,My_Audit!$A:$A,My_Audit!K:K,""),
_xlfn.IFS(_xlpm.MyAuditVal&lt;&gt;"",UPPER(_xlpm.MyAuditVal),_xlpm.MacVal&lt;&gt;"",_xlpm.MacVal,_xlpm.CSVVal&lt;&gt;"",_xlpm.CSVVal
)),"")</f>
        <v/>
      </c>
      <c r="M631" s="2" t="str" cm="1">
        <f t="array" ref="M631">IFERROR(_xlfn.LET(
_xlpm.CSVVal,_xlfn.XLOOKUP($A631,CSV!$A:$A,CSV!Q:Q,""),
_xlpm.MacVal,_xlfn.XLOOKUP($A631,Output_Mac!$A:$A,Output_Mac!M:M,""),
_xlpm.MyAuditVal,_xlfn.XLOOKUP($A631,My_Audit!$A:$A,My_Audit!L:L,""),
_xlfn.IFS(_xlpm.MyAuditVal&lt;&gt;"",UPPER(_xlpm.MyAuditVal),_xlpm.MacVal&lt;&gt;"",_xlpm.MacVal,_xlpm.CSVVal&lt;&gt;"",_xlpm.CSVVal
)),"")</f>
        <v/>
      </c>
      <c r="O631" s="2" t="str">
        <f>_xlfn.LET(
    _xlpm.CSVVal, _xlfn.XLOOKUP($A631, CSV!$A:$A, CSV!AF:AF, ""),
    _xlpm.MacVal, _xlfn.XLOOKUP($A631, Output_Mac!$A:$A, Output_Mac!S:S, ""),
    _xlpm.MyAuditVal, _xlfn.XLOOKUP($A631, My_Audit!$A:$A, My_Audit!P:P, ""),
    _xlfn.TEXTJOIN(", ", TRUE, _xlpm.MyAuditVal, _xlpm.MacVal, _xlpm.CSVVal)
)</f>
        <v/>
      </c>
      <c r="P631" s="2" t="str" cm="1">
        <f t="array" ref="P631">IFERROR(_xlfn.LET(
_xlpm.CSVVal,_xlfn.XLOOKUP($A631,CSV!$A:$A,CSV!AG:AG,""),
_xlpm.MacVal,_xlfn.XLOOKUP($A631,Output_Mac!$A:$A,Output_Mac!T:T,""),
_xlpm.MyAuditVal,_xlfn.XLOOKUP($A631,My_Audit!$A:$A,My_Audit!Q:Q,""),
_xlfn.IFS(_xlpm.MyAuditVal&lt;&gt;"",UPPER(_xlpm.MyAuditVal),_xlpm.MacVal&lt;&gt;"",_xlpm.MacVal,_xlpm.CSVVal&lt;&gt;"",_xlpm.CSVVal
)),"No")</f>
        <v>No</v>
      </c>
      <c r="Q631" s="2" t="str" cm="1">
        <f t="array" ref="Q631">IFERROR(_xlfn.LET(
_xlpm.CSVVal,_xlfn.XLOOKUP($A631,CSV!$A:$A,CSV!AH:AH,""),
_xlpm.MacVal,_xlfn.XLOOKUP($A631,Output_Mac!$A:$A,Output_Mac!U:U,""),
_xlpm.MyAuditVal,_xlfn.XLOOKUP($A631,My_Audit!$A:$A,My_Audit!R:R,""),
_xlfn.IFS(_xlpm.MyAuditVal&lt;&gt;"",UPPER(_xlpm.MyAuditVal),_xlpm.MacVal&lt;&gt;"",_xlpm.MacVal,_xlpm.CSVVal&lt;&gt;"",_xlpm.CSVVal
)),"")</f>
        <v/>
      </c>
    </row>
    <row r="632" spans="1:17">
      <c r="A632" s="2" t="str">
        <f>_xlfn.TEXTJOIN("",TRUE,Input!$B$2,ROW(My_Audit!A631))</f>
        <v>XX631</v>
      </c>
      <c r="B632" s="2" t="str">
        <f>_xlfn.TEXTJOIN("-",TRUE,"ITD",Input!$A$2,A632)</f>
        <v>ITD-SHRXXX-XX631</v>
      </c>
      <c r="C632" s="2" t="str" cm="1">
        <f t="array" ref="C632">IFERROR(_xlfn.LET(
_xlpm.CSVVal,_xlfn.XLOOKUP($A632,CSV!$A:$A,CSV!B:B,""),
_xlpm.MacVal,_xlfn.XLOOKUP($A632,Output_Mac!$A:$A,Output_Mac!B:B,""),
_xlpm.MyAuditVal,_xlfn.XLOOKUP($A632,My_Audit!$A:$A,My_Audit!B:B,""),
_xlfn.IFS(_xlpm.MyAuditVal&lt;&gt;"",UPPER(_xlpm.MyAuditVal),_xlpm.MacVal&lt;&gt;"",_xlpm.MacVal,_xlpm.CSVVal&lt;&gt;"",_xlpm.CSVVal
)),"")</f>
        <v/>
      </c>
      <c r="D632" s="2" t="str" cm="1">
        <f t="array" ref="D632">IFERROR(_xlfn.LET(
_xlpm.CSVVal,_xlfn.XLOOKUP($A632,CSV!$A:$A,CSV!D:D,""),
_xlpm.MacVal,_xlfn.XLOOKUP($A632,Output_Mac!$A:$A,Output_Mac!C:C,""),
_xlpm.MyAuditVal,_xlfn.XLOOKUP($A632,My_Audit!$A:$A,My_Audit!C:C,""),
_xlfn.IFS(_xlpm.MyAuditVal&lt;&gt;"",_xlpm.MyAuditVal,_xlpm.MacVal&lt;&gt;"",_xlpm.MacVal,_xlpm.CSVVal&lt;&gt;"",_xlpm.CSVVal
)),"")</f>
        <v/>
      </c>
      <c r="E632" s="2" t="str">
        <f>_xlfn.XLOOKUP(A632,My_Audit!A:A,My_Audit!D:D,"")&amp;""</f>
        <v/>
      </c>
      <c r="F632" s="2" t="str" cm="1">
        <f t="array" ref="F632">IFERROR(_xlfn.LET(
_xlpm.CSVVal,_xlfn.XLOOKUP($A632,CSV!$A:$A,CSV!F:F,""),
_xlpm.MacVal,_xlfn.XLOOKUP($A632,Output_Mac!$A:$A,Output_Mac!E:E,""),
_xlpm.MyAuditVal,_xlfn.XLOOKUP($A632,My_Audit!$A:$A,My_Audit!E:E,""),
_xlfn.IFS(_xlpm.MyAuditVal&lt;&gt;"",_xlpm.MyAuditVal,_xlpm.MacVal&lt;&gt;"",_xlpm.MacVal,_xlpm.CSVVal&lt;&gt;"",_xlpm.CSVVal
)),"")</f>
        <v/>
      </c>
      <c r="G632" s="2" t="str" cm="1">
        <f t="array" ref="G632">IFERROR(_xlfn.LET(
_xlpm.CSVVal,_xlfn.XLOOKUP($A632,CSV!$A:$A,CSV!G:G,""),
_xlpm.MacVal,_xlfn.XLOOKUP($A632,Output_Mac!$A:$A,Output_Mac!F:F,""),
_xlpm.MyAuditVal,_xlfn.XLOOKUP($A632,My_Audit!$A:$A,My_Audit!F:F,""),
_xlfn.IFS(_xlpm.MyAuditVal&lt;&gt;"",_xlpm.MyAuditVal,_xlpm.MacVal&lt;&gt;"",_xlpm.MacVal,_xlpm.CSVVal&lt;&gt;"",PROPER(_xlpm.CSVVal)
)),"")</f>
        <v/>
      </c>
      <c r="H632" s="2" t="str" cm="1">
        <f t="array" ref="H632">IFERROR(_xlfn.LET(
_xlpm.CSVVal,_xlfn.XLOOKUP($A632,CSV!$A:$A,CSV!H:H,""),
_xlpm.MacVal,_xlfn.XLOOKUP($A632,Output_Mac!$A:$A,Output_Mac!H:H,""),
_xlpm.MyAuditVal,_xlfn.XLOOKUP($A632,My_Audit!$A:$A,My_Audit!G:G,""),
_xlfn.IFS(_xlpm.MyAuditVal&lt;&gt;"",_xlpm.MyAuditVal,_xlpm.MacVal&lt;&gt;"",_xlpm.MacVal,_xlpm.CSVVal&lt;&gt;"",_xlpm.CSVVal
)),"")</f>
        <v/>
      </c>
      <c r="I632" s="2" t="str">
        <f>_xlfn.XLOOKUP(A632,Output_Mac!A:A,Output_Mac!I:I,"")</f>
        <v/>
      </c>
      <c r="J632" s="2" t="str" cm="1">
        <f t="array" ref="J632">IFERROR(_xlfn.LET(
_xlpm.CSVVal,_xlfn.XLOOKUP($A632,CSV!$A:$A,CSV!I:I,""),
_xlpm.MacVal,_xlfn.XLOOKUP($A632,Output_Mac!$A:$A,Output_Mac!J:J,""),
_xlpm.MyAuditVal,_xlfn.XLOOKUP($A632,My_Audit!$A:$A,My_Audit!I:I,""),
_xlfn.IFS(_xlpm.MyAuditVal&lt;&gt;"",UPPER(_xlpm.MyAuditVal),_xlpm.MacVal&lt;&gt;"",_xlpm.MacVal,_xlpm.CSVVal&lt;&gt;"",_xlpm.CSVVal
)),"")</f>
        <v/>
      </c>
      <c r="K632" s="2" t="str" cm="1">
        <f t="array" ref="K632">IFERROR(_xlfn.LET(
_xlpm.CSVVal,_xlfn.XLOOKUP($A632,CSV!$A:$A,CSV!K:K,""),
_xlpm.MacVal,_xlfn.XLOOKUP($A632,Output_Mac!$A:$A,Output_Mac!K:K,""),
_xlpm.MyAuditVal,_xlfn.XLOOKUP($A632,My_Audit!$A:$A,My_Audit!J:J,""),
_xlfn.IFS(_xlpm.MyAuditVal&lt;&gt;"",UPPER(_xlpm.MyAuditVal),_xlpm.MacVal&lt;&gt;"",_xlpm.MacVal,_xlpm.CSVVal&lt;&gt;"",_xlpm.CSVVal
)),"")</f>
        <v/>
      </c>
      <c r="L632" s="2" t="str" cm="1">
        <f t="array" ref="L632">IFERROR(_xlfn.LET(
_xlpm.CSVVal,_xlfn.XLOOKUP($A632,CSV!$A:$A,CSV!P:P,""),
_xlpm.MacVal,_xlfn.XLOOKUP($A632,Output_Mac!$A:$A,Output_Mac!L:L,""),
_xlpm.MyAuditVal,_xlfn.XLOOKUP($A632,My_Audit!$A:$A,My_Audit!K:K,""),
_xlfn.IFS(_xlpm.MyAuditVal&lt;&gt;"",UPPER(_xlpm.MyAuditVal),_xlpm.MacVal&lt;&gt;"",_xlpm.MacVal,_xlpm.CSVVal&lt;&gt;"",_xlpm.CSVVal
)),"")</f>
        <v/>
      </c>
      <c r="M632" s="2" t="str" cm="1">
        <f t="array" ref="M632">IFERROR(_xlfn.LET(
_xlpm.CSVVal,_xlfn.XLOOKUP($A632,CSV!$A:$A,CSV!Q:Q,""),
_xlpm.MacVal,_xlfn.XLOOKUP($A632,Output_Mac!$A:$A,Output_Mac!M:M,""),
_xlpm.MyAuditVal,_xlfn.XLOOKUP($A632,My_Audit!$A:$A,My_Audit!L:L,""),
_xlfn.IFS(_xlpm.MyAuditVal&lt;&gt;"",UPPER(_xlpm.MyAuditVal),_xlpm.MacVal&lt;&gt;"",_xlpm.MacVal,_xlpm.CSVVal&lt;&gt;"",_xlpm.CSVVal
)),"")</f>
        <v/>
      </c>
      <c r="O632" s="2" t="str">
        <f>_xlfn.LET(
    _xlpm.CSVVal, _xlfn.XLOOKUP($A632, CSV!$A:$A, CSV!AF:AF, ""),
    _xlpm.MacVal, _xlfn.XLOOKUP($A632, Output_Mac!$A:$A, Output_Mac!S:S, ""),
    _xlpm.MyAuditVal, _xlfn.XLOOKUP($A632, My_Audit!$A:$A, My_Audit!P:P, ""),
    _xlfn.TEXTJOIN(", ", TRUE, _xlpm.MyAuditVal, _xlpm.MacVal, _xlpm.CSVVal)
)</f>
        <v/>
      </c>
      <c r="P632" s="2" t="str" cm="1">
        <f t="array" ref="P632">IFERROR(_xlfn.LET(
_xlpm.CSVVal,_xlfn.XLOOKUP($A632,CSV!$A:$A,CSV!AG:AG,""),
_xlpm.MacVal,_xlfn.XLOOKUP($A632,Output_Mac!$A:$A,Output_Mac!T:T,""),
_xlpm.MyAuditVal,_xlfn.XLOOKUP($A632,My_Audit!$A:$A,My_Audit!Q:Q,""),
_xlfn.IFS(_xlpm.MyAuditVal&lt;&gt;"",UPPER(_xlpm.MyAuditVal),_xlpm.MacVal&lt;&gt;"",_xlpm.MacVal,_xlpm.CSVVal&lt;&gt;"",_xlpm.CSVVal
)),"No")</f>
        <v>No</v>
      </c>
      <c r="Q632" s="2" t="str" cm="1">
        <f t="array" ref="Q632">IFERROR(_xlfn.LET(
_xlpm.CSVVal,_xlfn.XLOOKUP($A632,CSV!$A:$A,CSV!AH:AH,""),
_xlpm.MacVal,_xlfn.XLOOKUP($A632,Output_Mac!$A:$A,Output_Mac!U:U,""),
_xlpm.MyAuditVal,_xlfn.XLOOKUP($A632,My_Audit!$A:$A,My_Audit!R:R,""),
_xlfn.IFS(_xlpm.MyAuditVal&lt;&gt;"",UPPER(_xlpm.MyAuditVal),_xlpm.MacVal&lt;&gt;"",_xlpm.MacVal,_xlpm.CSVVal&lt;&gt;"",_xlpm.CSVVal
)),"")</f>
        <v/>
      </c>
    </row>
    <row r="633" spans="1:17">
      <c r="A633" s="2" t="str">
        <f>_xlfn.TEXTJOIN("",TRUE,Input!$B$2,ROW(My_Audit!A632))</f>
        <v>XX632</v>
      </c>
      <c r="B633" s="2" t="str">
        <f>_xlfn.TEXTJOIN("-",TRUE,"ITD",Input!$A$2,A633)</f>
        <v>ITD-SHRXXX-XX632</v>
      </c>
      <c r="C633" s="2" t="str" cm="1">
        <f t="array" ref="C633">IFERROR(_xlfn.LET(
_xlpm.CSVVal,_xlfn.XLOOKUP($A633,CSV!$A:$A,CSV!B:B,""),
_xlpm.MacVal,_xlfn.XLOOKUP($A633,Output_Mac!$A:$A,Output_Mac!B:B,""),
_xlpm.MyAuditVal,_xlfn.XLOOKUP($A633,My_Audit!$A:$A,My_Audit!B:B,""),
_xlfn.IFS(_xlpm.MyAuditVal&lt;&gt;"",UPPER(_xlpm.MyAuditVal),_xlpm.MacVal&lt;&gt;"",_xlpm.MacVal,_xlpm.CSVVal&lt;&gt;"",_xlpm.CSVVal
)),"")</f>
        <v/>
      </c>
      <c r="D633" s="2" t="str" cm="1">
        <f t="array" ref="D633">IFERROR(_xlfn.LET(
_xlpm.CSVVal,_xlfn.XLOOKUP($A633,CSV!$A:$A,CSV!D:D,""),
_xlpm.MacVal,_xlfn.XLOOKUP($A633,Output_Mac!$A:$A,Output_Mac!C:C,""),
_xlpm.MyAuditVal,_xlfn.XLOOKUP($A633,My_Audit!$A:$A,My_Audit!C:C,""),
_xlfn.IFS(_xlpm.MyAuditVal&lt;&gt;"",_xlpm.MyAuditVal,_xlpm.MacVal&lt;&gt;"",_xlpm.MacVal,_xlpm.CSVVal&lt;&gt;"",_xlpm.CSVVal
)),"")</f>
        <v/>
      </c>
      <c r="E633" s="2" t="str">
        <f>_xlfn.XLOOKUP(A633,My_Audit!A:A,My_Audit!D:D,"")&amp;""</f>
        <v/>
      </c>
      <c r="F633" s="2" t="str" cm="1">
        <f t="array" ref="F633">IFERROR(_xlfn.LET(
_xlpm.CSVVal,_xlfn.XLOOKUP($A633,CSV!$A:$A,CSV!F:F,""),
_xlpm.MacVal,_xlfn.XLOOKUP($A633,Output_Mac!$A:$A,Output_Mac!E:E,""),
_xlpm.MyAuditVal,_xlfn.XLOOKUP($A633,My_Audit!$A:$A,My_Audit!E:E,""),
_xlfn.IFS(_xlpm.MyAuditVal&lt;&gt;"",_xlpm.MyAuditVal,_xlpm.MacVal&lt;&gt;"",_xlpm.MacVal,_xlpm.CSVVal&lt;&gt;"",_xlpm.CSVVal
)),"")</f>
        <v/>
      </c>
      <c r="G633" s="2" t="str" cm="1">
        <f t="array" ref="G633">IFERROR(_xlfn.LET(
_xlpm.CSVVal,_xlfn.XLOOKUP($A633,CSV!$A:$A,CSV!G:G,""),
_xlpm.MacVal,_xlfn.XLOOKUP($A633,Output_Mac!$A:$A,Output_Mac!F:F,""),
_xlpm.MyAuditVal,_xlfn.XLOOKUP($A633,My_Audit!$A:$A,My_Audit!F:F,""),
_xlfn.IFS(_xlpm.MyAuditVal&lt;&gt;"",_xlpm.MyAuditVal,_xlpm.MacVal&lt;&gt;"",_xlpm.MacVal,_xlpm.CSVVal&lt;&gt;"",PROPER(_xlpm.CSVVal)
)),"")</f>
        <v/>
      </c>
      <c r="H633" s="2" t="str" cm="1">
        <f t="array" ref="H633">IFERROR(_xlfn.LET(
_xlpm.CSVVal,_xlfn.XLOOKUP($A633,CSV!$A:$A,CSV!H:H,""),
_xlpm.MacVal,_xlfn.XLOOKUP($A633,Output_Mac!$A:$A,Output_Mac!H:H,""),
_xlpm.MyAuditVal,_xlfn.XLOOKUP($A633,My_Audit!$A:$A,My_Audit!G:G,""),
_xlfn.IFS(_xlpm.MyAuditVal&lt;&gt;"",_xlpm.MyAuditVal,_xlpm.MacVal&lt;&gt;"",_xlpm.MacVal,_xlpm.CSVVal&lt;&gt;"",_xlpm.CSVVal
)),"")</f>
        <v/>
      </c>
      <c r="I633" s="2" t="str">
        <f>_xlfn.XLOOKUP(A633,Output_Mac!A:A,Output_Mac!I:I,"")</f>
        <v/>
      </c>
      <c r="J633" s="2" t="str" cm="1">
        <f t="array" ref="J633">IFERROR(_xlfn.LET(
_xlpm.CSVVal,_xlfn.XLOOKUP($A633,CSV!$A:$A,CSV!I:I,""),
_xlpm.MacVal,_xlfn.XLOOKUP($A633,Output_Mac!$A:$A,Output_Mac!J:J,""),
_xlpm.MyAuditVal,_xlfn.XLOOKUP($A633,My_Audit!$A:$A,My_Audit!I:I,""),
_xlfn.IFS(_xlpm.MyAuditVal&lt;&gt;"",UPPER(_xlpm.MyAuditVal),_xlpm.MacVal&lt;&gt;"",_xlpm.MacVal,_xlpm.CSVVal&lt;&gt;"",_xlpm.CSVVal
)),"")</f>
        <v/>
      </c>
      <c r="K633" s="2" t="str" cm="1">
        <f t="array" ref="K633">IFERROR(_xlfn.LET(
_xlpm.CSVVal,_xlfn.XLOOKUP($A633,CSV!$A:$A,CSV!K:K,""),
_xlpm.MacVal,_xlfn.XLOOKUP($A633,Output_Mac!$A:$A,Output_Mac!K:K,""),
_xlpm.MyAuditVal,_xlfn.XLOOKUP($A633,My_Audit!$A:$A,My_Audit!J:J,""),
_xlfn.IFS(_xlpm.MyAuditVal&lt;&gt;"",UPPER(_xlpm.MyAuditVal),_xlpm.MacVal&lt;&gt;"",_xlpm.MacVal,_xlpm.CSVVal&lt;&gt;"",_xlpm.CSVVal
)),"")</f>
        <v/>
      </c>
      <c r="L633" s="2" t="str" cm="1">
        <f t="array" ref="L633">IFERROR(_xlfn.LET(
_xlpm.CSVVal,_xlfn.XLOOKUP($A633,CSV!$A:$A,CSV!P:P,""),
_xlpm.MacVal,_xlfn.XLOOKUP($A633,Output_Mac!$A:$A,Output_Mac!L:L,""),
_xlpm.MyAuditVal,_xlfn.XLOOKUP($A633,My_Audit!$A:$A,My_Audit!K:K,""),
_xlfn.IFS(_xlpm.MyAuditVal&lt;&gt;"",UPPER(_xlpm.MyAuditVal),_xlpm.MacVal&lt;&gt;"",_xlpm.MacVal,_xlpm.CSVVal&lt;&gt;"",_xlpm.CSVVal
)),"")</f>
        <v/>
      </c>
      <c r="M633" s="2" t="str" cm="1">
        <f t="array" ref="M633">IFERROR(_xlfn.LET(
_xlpm.CSVVal,_xlfn.XLOOKUP($A633,CSV!$A:$A,CSV!Q:Q,""),
_xlpm.MacVal,_xlfn.XLOOKUP($A633,Output_Mac!$A:$A,Output_Mac!M:M,""),
_xlpm.MyAuditVal,_xlfn.XLOOKUP($A633,My_Audit!$A:$A,My_Audit!L:L,""),
_xlfn.IFS(_xlpm.MyAuditVal&lt;&gt;"",UPPER(_xlpm.MyAuditVal),_xlpm.MacVal&lt;&gt;"",_xlpm.MacVal,_xlpm.CSVVal&lt;&gt;"",_xlpm.CSVVal
)),"")</f>
        <v/>
      </c>
      <c r="O633" s="2" t="str">
        <f>_xlfn.LET(
    _xlpm.CSVVal, _xlfn.XLOOKUP($A633, CSV!$A:$A, CSV!AF:AF, ""),
    _xlpm.MacVal, _xlfn.XLOOKUP($A633, Output_Mac!$A:$A, Output_Mac!S:S, ""),
    _xlpm.MyAuditVal, _xlfn.XLOOKUP($A633, My_Audit!$A:$A, My_Audit!P:P, ""),
    _xlfn.TEXTJOIN(", ", TRUE, _xlpm.MyAuditVal, _xlpm.MacVal, _xlpm.CSVVal)
)</f>
        <v/>
      </c>
      <c r="P633" s="2" t="str" cm="1">
        <f t="array" ref="P633">IFERROR(_xlfn.LET(
_xlpm.CSVVal,_xlfn.XLOOKUP($A633,CSV!$A:$A,CSV!AG:AG,""),
_xlpm.MacVal,_xlfn.XLOOKUP($A633,Output_Mac!$A:$A,Output_Mac!T:T,""),
_xlpm.MyAuditVal,_xlfn.XLOOKUP($A633,My_Audit!$A:$A,My_Audit!Q:Q,""),
_xlfn.IFS(_xlpm.MyAuditVal&lt;&gt;"",UPPER(_xlpm.MyAuditVal),_xlpm.MacVal&lt;&gt;"",_xlpm.MacVal,_xlpm.CSVVal&lt;&gt;"",_xlpm.CSVVal
)),"No")</f>
        <v>No</v>
      </c>
      <c r="Q633" s="2" t="str" cm="1">
        <f t="array" ref="Q633">IFERROR(_xlfn.LET(
_xlpm.CSVVal,_xlfn.XLOOKUP($A633,CSV!$A:$A,CSV!AH:AH,""),
_xlpm.MacVal,_xlfn.XLOOKUP($A633,Output_Mac!$A:$A,Output_Mac!U:U,""),
_xlpm.MyAuditVal,_xlfn.XLOOKUP($A633,My_Audit!$A:$A,My_Audit!R:R,""),
_xlfn.IFS(_xlpm.MyAuditVal&lt;&gt;"",UPPER(_xlpm.MyAuditVal),_xlpm.MacVal&lt;&gt;"",_xlpm.MacVal,_xlpm.CSVVal&lt;&gt;"",_xlpm.CSVVal
)),"")</f>
        <v/>
      </c>
    </row>
    <row r="634" spans="1:17">
      <c r="A634" s="2" t="str">
        <f>_xlfn.TEXTJOIN("",TRUE,Input!$B$2,ROW(My_Audit!A633))</f>
        <v>XX633</v>
      </c>
      <c r="B634" s="2" t="str">
        <f>_xlfn.TEXTJOIN("-",TRUE,"ITD",Input!$A$2,A634)</f>
        <v>ITD-SHRXXX-XX633</v>
      </c>
      <c r="C634" s="2" t="str" cm="1">
        <f t="array" ref="C634">IFERROR(_xlfn.LET(
_xlpm.CSVVal,_xlfn.XLOOKUP($A634,CSV!$A:$A,CSV!B:B,""),
_xlpm.MacVal,_xlfn.XLOOKUP($A634,Output_Mac!$A:$A,Output_Mac!B:B,""),
_xlpm.MyAuditVal,_xlfn.XLOOKUP($A634,My_Audit!$A:$A,My_Audit!B:B,""),
_xlfn.IFS(_xlpm.MyAuditVal&lt;&gt;"",UPPER(_xlpm.MyAuditVal),_xlpm.MacVal&lt;&gt;"",_xlpm.MacVal,_xlpm.CSVVal&lt;&gt;"",_xlpm.CSVVal
)),"")</f>
        <v/>
      </c>
      <c r="D634" s="2" t="str" cm="1">
        <f t="array" ref="D634">IFERROR(_xlfn.LET(
_xlpm.CSVVal,_xlfn.XLOOKUP($A634,CSV!$A:$A,CSV!D:D,""),
_xlpm.MacVal,_xlfn.XLOOKUP($A634,Output_Mac!$A:$A,Output_Mac!C:C,""),
_xlpm.MyAuditVal,_xlfn.XLOOKUP($A634,My_Audit!$A:$A,My_Audit!C:C,""),
_xlfn.IFS(_xlpm.MyAuditVal&lt;&gt;"",_xlpm.MyAuditVal,_xlpm.MacVal&lt;&gt;"",_xlpm.MacVal,_xlpm.CSVVal&lt;&gt;"",_xlpm.CSVVal
)),"")</f>
        <v/>
      </c>
      <c r="E634" s="2" t="str">
        <f>_xlfn.XLOOKUP(A634,My_Audit!A:A,My_Audit!D:D,"")&amp;""</f>
        <v/>
      </c>
      <c r="F634" s="2" t="str" cm="1">
        <f t="array" ref="F634">IFERROR(_xlfn.LET(
_xlpm.CSVVal,_xlfn.XLOOKUP($A634,CSV!$A:$A,CSV!F:F,""),
_xlpm.MacVal,_xlfn.XLOOKUP($A634,Output_Mac!$A:$A,Output_Mac!E:E,""),
_xlpm.MyAuditVal,_xlfn.XLOOKUP($A634,My_Audit!$A:$A,My_Audit!E:E,""),
_xlfn.IFS(_xlpm.MyAuditVal&lt;&gt;"",_xlpm.MyAuditVal,_xlpm.MacVal&lt;&gt;"",_xlpm.MacVal,_xlpm.CSVVal&lt;&gt;"",_xlpm.CSVVal
)),"")</f>
        <v/>
      </c>
      <c r="G634" s="2" t="str" cm="1">
        <f t="array" ref="G634">IFERROR(_xlfn.LET(
_xlpm.CSVVal,_xlfn.XLOOKUP($A634,CSV!$A:$A,CSV!G:G,""),
_xlpm.MacVal,_xlfn.XLOOKUP($A634,Output_Mac!$A:$A,Output_Mac!F:F,""),
_xlpm.MyAuditVal,_xlfn.XLOOKUP($A634,My_Audit!$A:$A,My_Audit!F:F,""),
_xlfn.IFS(_xlpm.MyAuditVal&lt;&gt;"",_xlpm.MyAuditVal,_xlpm.MacVal&lt;&gt;"",_xlpm.MacVal,_xlpm.CSVVal&lt;&gt;"",PROPER(_xlpm.CSVVal)
)),"")</f>
        <v/>
      </c>
      <c r="H634" s="2" t="str" cm="1">
        <f t="array" ref="H634">IFERROR(_xlfn.LET(
_xlpm.CSVVal,_xlfn.XLOOKUP($A634,CSV!$A:$A,CSV!H:H,""),
_xlpm.MacVal,_xlfn.XLOOKUP($A634,Output_Mac!$A:$A,Output_Mac!H:H,""),
_xlpm.MyAuditVal,_xlfn.XLOOKUP($A634,My_Audit!$A:$A,My_Audit!G:G,""),
_xlfn.IFS(_xlpm.MyAuditVal&lt;&gt;"",_xlpm.MyAuditVal,_xlpm.MacVal&lt;&gt;"",_xlpm.MacVal,_xlpm.CSVVal&lt;&gt;"",_xlpm.CSVVal
)),"")</f>
        <v/>
      </c>
      <c r="I634" s="2" t="str">
        <f>_xlfn.XLOOKUP(A634,Output_Mac!A:A,Output_Mac!I:I,"")</f>
        <v/>
      </c>
      <c r="J634" s="2" t="str" cm="1">
        <f t="array" ref="J634">IFERROR(_xlfn.LET(
_xlpm.CSVVal,_xlfn.XLOOKUP($A634,CSV!$A:$A,CSV!I:I,""),
_xlpm.MacVal,_xlfn.XLOOKUP($A634,Output_Mac!$A:$A,Output_Mac!J:J,""),
_xlpm.MyAuditVal,_xlfn.XLOOKUP($A634,My_Audit!$A:$A,My_Audit!I:I,""),
_xlfn.IFS(_xlpm.MyAuditVal&lt;&gt;"",UPPER(_xlpm.MyAuditVal),_xlpm.MacVal&lt;&gt;"",_xlpm.MacVal,_xlpm.CSVVal&lt;&gt;"",_xlpm.CSVVal
)),"")</f>
        <v/>
      </c>
      <c r="K634" s="2" t="str" cm="1">
        <f t="array" ref="K634">IFERROR(_xlfn.LET(
_xlpm.CSVVal,_xlfn.XLOOKUP($A634,CSV!$A:$A,CSV!K:K,""),
_xlpm.MacVal,_xlfn.XLOOKUP($A634,Output_Mac!$A:$A,Output_Mac!K:K,""),
_xlpm.MyAuditVal,_xlfn.XLOOKUP($A634,My_Audit!$A:$A,My_Audit!J:J,""),
_xlfn.IFS(_xlpm.MyAuditVal&lt;&gt;"",UPPER(_xlpm.MyAuditVal),_xlpm.MacVal&lt;&gt;"",_xlpm.MacVal,_xlpm.CSVVal&lt;&gt;"",_xlpm.CSVVal
)),"")</f>
        <v/>
      </c>
      <c r="L634" s="2" t="str" cm="1">
        <f t="array" ref="L634">IFERROR(_xlfn.LET(
_xlpm.CSVVal,_xlfn.XLOOKUP($A634,CSV!$A:$A,CSV!P:P,""),
_xlpm.MacVal,_xlfn.XLOOKUP($A634,Output_Mac!$A:$A,Output_Mac!L:L,""),
_xlpm.MyAuditVal,_xlfn.XLOOKUP($A634,My_Audit!$A:$A,My_Audit!K:K,""),
_xlfn.IFS(_xlpm.MyAuditVal&lt;&gt;"",UPPER(_xlpm.MyAuditVal),_xlpm.MacVal&lt;&gt;"",_xlpm.MacVal,_xlpm.CSVVal&lt;&gt;"",_xlpm.CSVVal
)),"")</f>
        <v/>
      </c>
      <c r="M634" s="2" t="str" cm="1">
        <f t="array" ref="M634">IFERROR(_xlfn.LET(
_xlpm.CSVVal,_xlfn.XLOOKUP($A634,CSV!$A:$A,CSV!Q:Q,""),
_xlpm.MacVal,_xlfn.XLOOKUP($A634,Output_Mac!$A:$A,Output_Mac!M:M,""),
_xlpm.MyAuditVal,_xlfn.XLOOKUP($A634,My_Audit!$A:$A,My_Audit!L:L,""),
_xlfn.IFS(_xlpm.MyAuditVal&lt;&gt;"",UPPER(_xlpm.MyAuditVal),_xlpm.MacVal&lt;&gt;"",_xlpm.MacVal,_xlpm.CSVVal&lt;&gt;"",_xlpm.CSVVal
)),"")</f>
        <v/>
      </c>
      <c r="O634" s="2" t="str">
        <f>_xlfn.LET(
    _xlpm.CSVVal, _xlfn.XLOOKUP($A634, CSV!$A:$A, CSV!AF:AF, ""),
    _xlpm.MacVal, _xlfn.XLOOKUP($A634, Output_Mac!$A:$A, Output_Mac!S:S, ""),
    _xlpm.MyAuditVal, _xlfn.XLOOKUP($A634, My_Audit!$A:$A, My_Audit!P:P, ""),
    _xlfn.TEXTJOIN(", ", TRUE, _xlpm.MyAuditVal, _xlpm.MacVal, _xlpm.CSVVal)
)</f>
        <v/>
      </c>
      <c r="P634" s="2" t="str" cm="1">
        <f t="array" ref="P634">IFERROR(_xlfn.LET(
_xlpm.CSVVal,_xlfn.XLOOKUP($A634,CSV!$A:$A,CSV!AG:AG,""),
_xlpm.MacVal,_xlfn.XLOOKUP($A634,Output_Mac!$A:$A,Output_Mac!T:T,""),
_xlpm.MyAuditVal,_xlfn.XLOOKUP($A634,My_Audit!$A:$A,My_Audit!Q:Q,""),
_xlfn.IFS(_xlpm.MyAuditVal&lt;&gt;"",UPPER(_xlpm.MyAuditVal),_xlpm.MacVal&lt;&gt;"",_xlpm.MacVal,_xlpm.CSVVal&lt;&gt;"",_xlpm.CSVVal
)),"No")</f>
        <v>No</v>
      </c>
      <c r="Q634" s="2" t="str" cm="1">
        <f t="array" ref="Q634">IFERROR(_xlfn.LET(
_xlpm.CSVVal,_xlfn.XLOOKUP($A634,CSV!$A:$A,CSV!AH:AH,""),
_xlpm.MacVal,_xlfn.XLOOKUP($A634,Output_Mac!$A:$A,Output_Mac!U:U,""),
_xlpm.MyAuditVal,_xlfn.XLOOKUP($A634,My_Audit!$A:$A,My_Audit!R:R,""),
_xlfn.IFS(_xlpm.MyAuditVal&lt;&gt;"",UPPER(_xlpm.MyAuditVal),_xlpm.MacVal&lt;&gt;"",_xlpm.MacVal,_xlpm.CSVVal&lt;&gt;"",_xlpm.CSVVal
)),"")</f>
        <v/>
      </c>
    </row>
    <row r="635" spans="1:17">
      <c r="A635" s="2" t="str">
        <f>_xlfn.TEXTJOIN("",TRUE,Input!$B$2,ROW(My_Audit!A634))</f>
        <v>XX634</v>
      </c>
      <c r="B635" s="2" t="str">
        <f>_xlfn.TEXTJOIN("-",TRUE,"ITD",Input!$A$2,A635)</f>
        <v>ITD-SHRXXX-XX634</v>
      </c>
      <c r="C635" s="2" t="str" cm="1">
        <f t="array" ref="C635">IFERROR(_xlfn.LET(
_xlpm.CSVVal,_xlfn.XLOOKUP($A635,CSV!$A:$A,CSV!B:B,""),
_xlpm.MacVal,_xlfn.XLOOKUP($A635,Output_Mac!$A:$A,Output_Mac!B:B,""),
_xlpm.MyAuditVal,_xlfn.XLOOKUP($A635,My_Audit!$A:$A,My_Audit!B:B,""),
_xlfn.IFS(_xlpm.MyAuditVal&lt;&gt;"",UPPER(_xlpm.MyAuditVal),_xlpm.MacVal&lt;&gt;"",_xlpm.MacVal,_xlpm.CSVVal&lt;&gt;"",_xlpm.CSVVal
)),"")</f>
        <v/>
      </c>
      <c r="D635" s="2" t="str" cm="1">
        <f t="array" ref="D635">IFERROR(_xlfn.LET(
_xlpm.CSVVal,_xlfn.XLOOKUP($A635,CSV!$A:$A,CSV!D:D,""),
_xlpm.MacVal,_xlfn.XLOOKUP($A635,Output_Mac!$A:$A,Output_Mac!C:C,""),
_xlpm.MyAuditVal,_xlfn.XLOOKUP($A635,My_Audit!$A:$A,My_Audit!C:C,""),
_xlfn.IFS(_xlpm.MyAuditVal&lt;&gt;"",_xlpm.MyAuditVal,_xlpm.MacVal&lt;&gt;"",_xlpm.MacVal,_xlpm.CSVVal&lt;&gt;"",_xlpm.CSVVal
)),"")</f>
        <v/>
      </c>
      <c r="E635" s="2" t="str">
        <f>_xlfn.XLOOKUP(A635,My_Audit!A:A,My_Audit!D:D,"")&amp;""</f>
        <v/>
      </c>
      <c r="F635" s="2" t="str" cm="1">
        <f t="array" ref="F635">IFERROR(_xlfn.LET(
_xlpm.CSVVal,_xlfn.XLOOKUP($A635,CSV!$A:$A,CSV!F:F,""),
_xlpm.MacVal,_xlfn.XLOOKUP($A635,Output_Mac!$A:$A,Output_Mac!E:E,""),
_xlpm.MyAuditVal,_xlfn.XLOOKUP($A635,My_Audit!$A:$A,My_Audit!E:E,""),
_xlfn.IFS(_xlpm.MyAuditVal&lt;&gt;"",_xlpm.MyAuditVal,_xlpm.MacVal&lt;&gt;"",_xlpm.MacVal,_xlpm.CSVVal&lt;&gt;"",_xlpm.CSVVal
)),"")</f>
        <v/>
      </c>
      <c r="G635" s="2" t="str" cm="1">
        <f t="array" ref="G635">IFERROR(_xlfn.LET(
_xlpm.CSVVal,_xlfn.XLOOKUP($A635,CSV!$A:$A,CSV!G:G,""),
_xlpm.MacVal,_xlfn.XLOOKUP($A635,Output_Mac!$A:$A,Output_Mac!F:F,""),
_xlpm.MyAuditVal,_xlfn.XLOOKUP($A635,My_Audit!$A:$A,My_Audit!F:F,""),
_xlfn.IFS(_xlpm.MyAuditVal&lt;&gt;"",_xlpm.MyAuditVal,_xlpm.MacVal&lt;&gt;"",_xlpm.MacVal,_xlpm.CSVVal&lt;&gt;"",PROPER(_xlpm.CSVVal)
)),"")</f>
        <v/>
      </c>
      <c r="H635" s="2" t="str" cm="1">
        <f t="array" ref="H635">IFERROR(_xlfn.LET(
_xlpm.CSVVal,_xlfn.XLOOKUP($A635,CSV!$A:$A,CSV!H:H,""),
_xlpm.MacVal,_xlfn.XLOOKUP($A635,Output_Mac!$A:$A,Output_Mac!H:H,""),
_xlpm.MyAuditVal,_xlfn.XLOOKUP($A635,My_Audit!$A:$A,My_Audit!G:G,""),
_xlfn.IFS(_xlpm.MyAuditVal&lt;&gt;"",_xlpm.MyAuditVal,_xlpm.MacVal&lt;&gt;"",_xlpm.MacVal,_xlpm.CSVVal&lt;&gt;"",_xlpm.CSVVal
)),"")</f>
        <v/>
      </c>
      <c r="I635" s="2" t="str">
        <f>_xlfn.XLOOKUP(A635,Output_Mac!A:A,Output_Mac!I:I,"")</f>
        <v/>
      </c>
      <c r="J635" s="2" t="str" cm="1">
        <f t="array" ref="J635">IFERROR(_xlfn.LET(
_xlpm.CSVVal,_xlfn.XLOOKUP($A635,CSV!$A:$A,CSV!I:I,""),
_xlpm.MacVal,_xlfn.XLOOKUP($A635,Output_Mac!$A:$A,Output_Mac!J:J,""),
_xlpm.MyAuditVal,_xlfn.XLOOKUP($A635,My_Audit!$A:$A,My_Audit!I:I,""),
_xlfn.IFS(_xlpm.MyAuditVal&lt;&gt;"",UPPER(_xlpm.MyAuditVal),_xlpm.MacVal&lt;&gt;"",_xlpm.MacVal,_xlpm.CSVVal&lt;&gt;"",_xlpm.CSVVal
)),"")</f>
        <v/>
      </c>
      <c r="K635" s="2" t="str" cm="1">
        <f t="array" ref="K635">IFERROR(_xlfn.LET(
_xlpm.CSVVal,_xlfn.XLOOKUP($A635,CSV!$A:$A,CSV!K:K,""),
_xlpm.MacVal,_xlfn.XLOOKUP($A635,Output_Mac!$A:$A,Output_Mac!K:K,""),
_xlpm.MyAuditVal,_xlfn.XLOOKUP($A635,My_Audit!$A:$A,My_Audit!J:J,""),
_xlfn.IFS(_xlpm.MyAuditVal&lt;&gt;"",UPPER(_xlpm.MyAuditVal),_xlpm.MacVal&lt;&gt;"",_xlpm.MacVal,_xlpm.CSVVal&lt;&gt;"",_xlpm.CSVVal
)),"")</f>
        <v/>
      </c>
      <c r="L635" s="2" t="str" cm="1">
        <f t="array" ref="L635">IFERROR(_xlfn.LET(
_xlpm.CSVVal,_xlfn.XLOOKUP($A635,CSV!$A:$A,CSV!P:P,""),
_xlpm.MacVal,_xlfn.XLOOKUP($A635,Output_Mac!$A:$A,Output_Mac!L:L,""),
_xlpm.MyAuditVal,_xlfn.XLOOKUP($A635,My_Audit!$A:$A,My_Audit!K:K,""),
_xlfn.IFS(_xlpm.MyAuditVal&lt;&gt;"",UPPER(_xlpm.MyAuditVal),_xlpm.MacVal&lt;&gt;"",_xlpm.MacVal,_xlpm.CSVVal&lt;&gt;"",_xlpm.CSVVal
)),"")</f>
        <v/>
      </c>
      <c r="M635" s="2" t="str" cm="1">
        <f t="array" ref="M635">IFERROR(_xlfn.LET(
_xlpm.CSVVal,_xlfn.XLOOKUP($A635,CSV!$A:$A,CSV!Q:Q,""),
_xlpm.MacVal,_xlfn.XLOOKUP($A635,Output_Mac!$A:$A,Output_Mac!M:M,""),
_xlpm.MyAuditVal,_xlfn.XLOOKUP($A635,My_Audit!$A:$A,My_Audit!L:L,""),
_xlfn.IFS(_xlpm.MyAuditVal&lt;&gt;"",UPPER(_xlpm.MyAuditVal),_xlpm.MacVal&lt;&gt;"",_xlpm.MacVal,_xlpm.CSVVal&lt;&gt;"",_xlpm.CSVVal
)),"")</f>
        <v/>
      </c>
      <c r="O635" s="2" t="str">
        <f>_xlfn.LET(
    _xlpm.CSVVal, _xlfn.XLOOKUP($A635, CSV!$A:$A, CSV!AF:AF, ""),
    _xlpm.MacVal, _xlfn.XLOOKUP($A635, Output_Mac!$A:$A, Output_Mac!S:S, ""),
    _xlpm.MyAuditVal, _xlfn.XLOOKUP($A635, My_Audit!$A:$A, My_Audit!P:P, ""),
    _xlfn.TEXTJOIN(", ", TRUE, _xlpm.MyAuditVal, _xlpm.MacVal, _xlpm.CSVVal)
)</f>
        <v/>
      </c>
      <c r="P635" s="2" t="str" cm="1">
        <f t="array" ref="P635">IFERROR(_xlfn.LET(
_xlpm.CSVVal,_xlfn.XLOOKUP($A635,CSV!$A:$A,CSV!AG:AG,""),
_xlpm.MacVal,_xlfn.XLOOKUP($A635,Output_Mac!$A:$A,Output_Mac!T:T,""),
_xlpm.MyAuditVal,_xlfn.XLOOKUP($A635,My_Audit!$A:$A,My_Audit!Q:Q,""),
_xlfn.IFS(_xlpm.MyAuditVal&lt;&gt;"",UPPER(_xlpm.MyAuditVal),_xlpm.MacVal&lt;&gt;"",_xlpm.MacVal,_xlpm.CSVVal&lt;&gt;"",_xlpm.CSVVal
)),"No")</f>
        <v>No</v>
      </c>
      <c r="Q635" s="2" t="str" cm="1">
        <f t="array" ref="Q635">IFERROR(_xlfn.LET(
_xlpm.CSVVal,_xlfn.XLOOKUP($A635,CSV!$A:$A,CSV!AH:AH,""),
_xlpm.MacVal,_xlfn.XLOOKUP($A635,Output_Mac!$A:$A,Output_Mac!U:U,""),
_xlpm.MyAuditVal,_xlfn.XLOOKUP($A635,My_Audit!$A:$A,My_Audit!R:R,""),
_xlfn.IFS(_xlpm.MyAuditVal&lt;&gt;"",UPPER(_xlpm.MyAuditVal),_xlpm.MacVal&lt;&gt;"",_xlpm.MacVal,_xlpm.CSVVal&lt;&gt;"",_xlpm.CSVVal
)),"")</f>
        <v/>
      </c>
    </row>
    <row r="636" spans="1:17">
      <c r="A636" s="2" t="str">
        <f>_xlfn.TEXTJOIN("",TRUE,Input!$B$2,ROW(My_Audit!A635))</f>
        <v>XX635</v>
      </c>
      <c r="B636" s="2" t="str">
        <f>_xlfn.TEXTJOIN("-",TRUE,"ITD",Input!$A$2,A636)</f>
        <v>ITD-SHRXXX-XX635</v>
      </c>
      <c r="C636" s="2" t="str" cm="1">
        <f t="array" ref="C636">IFERROR(_xlfn.LET(
_xlpm.CSVVal,_xlfn.XLOOKUP($A636,CSV!$A:$A,CSV!B:B,""),
_xlpm.MacVal,_xlfn.XLOOKUP($A636,Output_Mac!$A:$A,Output_Mac!B:B,""),
_xlpm.MyAuditVal,_xlfn.XLOOKUP($A636,My_Audit!$A:$A,My_Audit!B:B,""),
_xlfn.IFS(_xlpm.MyAuditVal&lt;&gt;"",UPPER(_xlpm.MyAuditVal),_xlpm.MacVal&lt;&gt;"",_xlpm.MacVal,_xlpm.CSVVal&lt;&gt;"",_xlpm.CSVVal
)),"")</f>
        <v/>
      </c>
      <c r="D636" s="2" t="str" cm="1">
        <f t="array" ref="D636">IFERROR(_xlfn.LET(
_xlpm.CSVVal,_xlfn.XLOOKUP($A636,CSV!$A:$A,CSV!D:D,""),
_xlpm.MacVal,_xlfn.XLOOKUP($A636,Output_Mac!$A:$A,Output_Mac!C:C,""),
_xlpm.MyAuditVal,_xlfn.XLOOKUP($A636,My_Audit!$A:$A,My_Audit!C:C,""),
_xlfn.IFS(_xlpm.MyAuditVal&lt;&gt;"",_xlpm.MyAuditVal,_xlpm.MacVal&lt;&gt;"",_xlpm.MacVal,_xlpm.CSVVal&lt;&gt;"",_xlpm.CSVVal
)),"")</f>
        <v/>
      </c>
      <c r="E636" s="2" t="str">
        <f>_xlfn.XLOOKUP(A636,My_Audit!A:A,My_Audit!D:D,"")&amp;""</f>
        <v/>
      </c>
      <c r="F636" s="2" t="str" cm="1">
        <f t="array" ref="F636">IFERROR(_xlfn.LET(
_xlpm.CSVVal,_xlfn.XLOOKUP($A636,CSV!$A:$A,CSV!F:F,""),
_xlpm.MacVal,_xlfn.XLOOKUP($A636,Output_Mac!$A:$A,Output_Mac!E:E,""),
_xlpm.MyAuditVal,_xlfn.XLOOKUP($A636,My_Audit!$A:$A,My_Audit!E:E,""),
_xlfn.IFS(_xlpm.MyAuditVal&lt;&gt;"",_xlpm.MyAuditVal,_xlpm.MacVal&lt;&gt;"",_xlpm.MacVal,_xlpm.CSVVal&lt;&gt;"",_xlpm.CSVVal
)),"")</f>
        <v/>
      </c>
      <c r="G636" s="2" t="str" cm="1">
        <f t="array" ref="G636">IFERROR(_xlfn.LET(
_xlpm.CSVVal,_xlfn.XLOOKUP($A636,CSV!$A:$A,CSV!G:G,""),
_xlpm.MacVal,_xlfn.XLOOKUP($A636,Output_Mac!$A:$A,Output_Mac!F:F,""),
_xlpm.MyAuditVal,_xlfn.XLOOKUP($A636,My_Audit!$A:$A,My_Audit!F:F,""),
_xlfn.IFS(_xlpm.MyAuditVal&lt;&gt;"",_xlpm.MyAuditVal,_xlpm.MacVal&lt;&gt;"",_xlpm.MacVal,_xlpm.CSVVal&lt;&gt;"",PROPER(_xlpm.CSVVal)
)),"")</f>
        <v/>
      </c>
      <c r="H636" s="2" t="str" cm="1">
        <f t="array" ref="H636">IFERROR(_xlfn.LET(
_xlpm.CSVVal,_xlfn.XLOOKUP($A636,CSV!$A:$A,CSV!H:H,""),
_xlpm.MacVal,_xlfn.XLOOKUP($A636,Output_Mac!$A:$A,Output_Mac!H:H,""),
_xlpm.MyAuditVal,_xlfn.XLOOKUP($A636,My_Audit!$A:$A,My_Audit!G:G,""),
_xlfn.IFS(_xlpm.MyAuditVal&lt;&gt;"",_xlpm.MyAuditVal,_xlpm.MacVal&lt;&gt;"",_xlpm.MacVal,_xlpm.CSVVal&lt;&gt;"",_xlpm.CSVVal
)),"")</f>
        <v/>
      </c>
      <c r="I636" s="2" t="str">
        <f>_xlfn.XLOOKUP(A636,Output_Mac!A:A,Output_Mac!I:I,"")</f>
        <v/>
      </c>
      <c r="J636" s="2" t="str" cm="1">
        <f t="array" ref="J636">IFERROR(_xlfn.LET(
_xlpm.CSVVal,_xlfn.XLOOKUP($A636,CSV!$A:$A,CSV!I:I,""),
_xlpm.MacVal,_xlfn.XLOOKUP($A636,Output_Mac!$A:$A,Output_Mac!J:J,""),
_xlpm.MyAuditVal,_xlfn.XLOOKUP($A636,My_Audit!$A:$A,My_Audit!I:I,""),
_xlfn.IFS(_xlpm.MyAuditVal&lt;&gt;"",UPPER(_xlpm.MyAuditVal),_xlpm.MacVal&lt;&gt;"",_xlpm.MacVal,_xlpm.CSVVal&lt;&gt;"",_xlpm.CSVVal
)),"")</f>
        <v/>
      </c>
      <c r="K636" s="2" t="str" cm="1">
        <f t="array" ref="K636">IFERROR(_xlfn.LET(
_xlpm.CSVVal,_xlfn.XLOOKUP($A636,CSV!$A:$A,CSV!K:K,""),
_xlpm.MacVal,_xlfn.XLOOKUP($A636,Output_Mac!$A:$A,Output_Mac!K:K,""),
_xlpm.MyAuditVal,_xlfn.XLOOKUP($A636,My_Audit!$A:$A,My_Audit!J:J,""),
_xlfn.IFS(_xlpm.MyAuditVal&lt;&gt;"",UPPER(_xlpm.MyAuditVal),_xlpm.MacVal&lt;&gt;"",_xlpm.MacVal,_xlpm.CSVVal&lt;&gt;"",_xlpm.CSVVal
)),"")</f>
        <v/>
      </c>
      <c r="L636" s="2" t="str" cm="1">
        <f t="array" ref="L636">IFERROR(_xlfn.LET(
_xlpm.CSVVal,_xlfn.XLOOKUP($A636,CSV!$A:$A,CSV!P:P,""),
_xlpm.MacVal,_xlfn.XLOOKUP($A636,Output_Mac!$A:$A,Output_Mac!L:L,""),
_xlpm.MyAuditVal,_xlfn.XLOOKUP($A636,My_Audit!$A:$A,My_Audit!K:K,""),
_xlfn.IFS(_xlpm.MyAuditVal&lt;&gt;"",UPPER(_xlpm.MyAuditVal),_xlpm.MacVal&lt;&gt;"",_xlpm.MacVal,_xlpm.CSVVal&lt;&gt;"",_xlpm.CSVVal
)),"")</f>
        <v/>
      </c>
      <c r="M636" s="2" t="str" cm="1">
        <f t="array" ref="M636">IFERROR(_xlfn.LET(
_xlpm.CSVVal,_xlfn.XLOOKUP($A636,CSV!$A:$A,CSV!Q:Q,""),
_xlpm.MacVal,_xlfn.XLOOKUP($A636,Output_Mac!$A:$A,Output_Mac!M:M,""),
_xlpm.MyAuditVal,_xlfn.XLOOKUP($A636,My_Audit!$A:$A,My_Audit!L:L,""),
_xlfn.IFS(_xlpm.MyAuditVal&lt;&gt;"",UPPER(_xlpm.MyAuditVal),_xlpm.MacVal&lt;&gt;"",_xlpm.MacVal,_xlpm.CSVVal&lt;&gt;"",_xlpm.CSVVal
)),"")</f>
        <v/>
      </c>
      <c r="O636" s="2" t="str">
        <f>_xlfn.LET(
    _xlpm.CSVVal, _xlfn.XLOOKUP($A636, CSV!$A:$A, CSV!AF:AF, ""),
    _xlpm.MacVal, _xlfn.XLOOKUP($A636, Output_Mac!$A:$A, Output_Mac!S:S, ""),
    _xlpm.MyAuditVal, _xlfn.XLOOKUP($A636, My_Audit!$A:$A, My_Audit!P:P, ""),
    _xlfn.TEXTJOIN(", ", TRUE, _xlpm.MyAuditVal, _xlpm.MacVal, _xlpm.CSVVal)
)</f>
        <v/>
      </c>
      <c r="P636" s="2" t="str" cm="1">
        <f t="array" ref="P636">IFERROR(_xlfn.LET(
_xlpm.CSVVal,_xlfn.XLOOKUP($A636,CSV!$A:$A,CSV!AG:AG,""),
_xlpm.MacVal,_xlfn.XLOOKUP($A636,Output_Mac!$A:$A,Output_Mac!T:T,""),
_xlpm.MyAuditVal,_xlfn.XLOOKUP($A636,My_Audit!$A:$A,My_Audit!Q:Q,""),
_xlfn.IFS(_xlpm.MyAuditVal&lt;&gt;"",UPPER(_xlpm.MyAuditVal),_xlpm.MacVal&lt;&gt;"",_xlpm.MacVal,_xlpm.CSVVal&lt;&gt;"",_xlpm.CSVVal
)),"No")</f>
        <v>No</v>
      </c>
      <c r="Q636" s="2" t="str" cm="1">
        <f t="array" ref="Q636">IFERROR(_xlfn.LET(
_xlpm.CSVVal,_xlfn.XLOOKUP($A636,CSV!$A:$A,CSV!AH:AH,""),
_xlpm.MacVal,_xlfn.XLOOKUP($A636,Output_Mac!$A:$A,Output_Mac!U:U,""),
_xlpm.MyAuditVal,_xlfn.XLOOKUP($A636,My_Audit!$A:$A,My_Audit!R:R,""),
_xlfn.IFS(_xlpm.MyAuditVal&lt;&gt;"",UPPER(_xlpm.MyAuditVal),_xlpm.MacVal&lt;&gt;"",_xlpm.MacVal,_xlpm.CSVVal&lt;&gt;"",_xlpm.CSVVal
)),"")</f>
        <v/>
      </c>
    </row>
    <row r="637" spans="1:17">
      <c r="A637" s="2" t="str">
        <f>_xlfn.TEXTJOIN("",TRUE,Input!$B$2,ROW(My_Audit!A636))</f>
        <v>XX636</v>
      </c>
      <c r="B637" s="2" t="str">
        <f>_xlfn.TEXTJOIN("-",TRUE,"ITD",Input!$A$2,A637)</f>
        <v>ITD-SHRXXX-XX636</v>
      </c>
      <c r="C637" s="2" t="str" cm="1">
        <f t="array" ref="C637">IFERROR(_xlfn.LET(
_xlpm.CSVVal,_xlfn.XLOOKUP($A637,CSV!$A:$A,CSV!B:B,""),
_xlpm.MacVal,_xlfn.XLOOKUP($A637,Output_Mac!$A:$A,Output_Mac!B:B,""),
_xlpm.MyAuditVal,_xlfn.XLOOKUP($A637,My_Audit!$A:$A,My_Audit!B:B,""),
_xlfn.IFS(_xlpm.MyAuditVal&lt;&gt;"",UPPER(_xlpm.MyAuditVal),_xlpm.MacVal&lt;&gt;"",_xlpm.MacVal,_xlpm.CSVVal&lt;&gt;"",_xlpm.CSVVal
)),"")</f>
        <v/>
      </c>
      <c r="D637" s="2" t="str" cm="1">
        <f t="array" ref="D637">IFERROR(_xlfn.LET(
_xlpm.CSVVal,_xlfn.XLOOKUP($A637,CSV!$A:$A,CSV!D:D,""),
_xlpm.MacVal,_xlfn.XLOOKUP($A637,Output_Mac!$A:$A,Output_Mac!C:C,""),
_xlpm.MyAuditVal,_xlfn.XLOOKUP($A637,My_Audit!$A:$A,My_Audit!C:C,""),
_xlfn.IFS(_xlpm.MyAuditVal&lt;&gt;"",_xlpm.MyAuditVal,_xlpm.MacVal&lt;&gt;"",_xlpm.MacVal,_xlpm.CSVVal&lt;&gt;"",_xlpm.CSVVal
)),"")</f>
        <v/>
      </c>
      <c r="E637" s="2" t="str">
        <f>_xlfn.XLOOKUP(A637,My_Audit!A:A,My_Audit!D:D,"")&amp;""</f>
        <v/>
      </c>
      <c r="F637" s="2" t="str" cm="1">
        <f t="array" ref="F637">IFERROR(_xlfn.LET(
_xlpm.CSVVal,_xlfn.XLOOKUP($A637,CSV!$A:$A,CSV!F:F,""),
_xlpm.MacVal,_xlfn.XLOOKUP($A637,Output_Mac!$A:$A,Output_Mac!E:E,""),
_xlpm.MyAuditVal,_xlfn.XLOOKUP($A637,My_Audit!$A:$A,My_Audit!E:E,""),
_xlfn.IFS(_xlpm.MyAuditVal&lt;&gt;"",_xlpm.MyAuditVal,_xlpm.MacVal&lt;&gt;"",_xlpm.MacVal,_xlpm.CSVVal&lt;&gt;"",_xlpm.CSVVal
)),"")</f>
        <v/>
      </c>
      <c r="G637" s="2" t="str" cm="1">
        <f t="array" ref="G637">IFERROR(_xlfn.LET(
_xlpm.CSVVal,_xlfn.XLOOKUP($A637,CSV!$A:$A,CSV!G:G,""),
_xlpm.MacVal,_xlfn.XLOOKUP($A637,Output_Mac!$A:$A,Output_Mac!F:F,""),
_xlpm.MyAuditVal,_xlfn.XLOOKUP($A637,My_Audit!$A:$A,My_Audit!F:F,""),
_xlfn.IFS(_xlpm.MyAuditVal&lt;&gt;"",_xlpm.MyAuditVal,_xlpm.MacVal&lt;&gt;"",_xlpm.MacVal,_xlpm.CSVVal&lt;&gt;"",PROPER(_xlpm.CSVVal)
)),"")</f>
        <v/>
      </c>
      <c r="H637" s="2" t="str" cm="1">
        <f t="array" ref="H637">IFERROR(_xlfn.LET(
_xlpm.CSVVal,_xlfn.XLOOKUP($A637,CSV!$A:$A,CSV!H:H,""),
_xlpm.MacVal,_xlfn.XLOOKUP($A637,Output_Mac!$A:$A,Output_Mac!H:H,""),
_xlpm.MyAuditVal,_xlfn.XLOOKUP($A637,My_Audit!$A:$A,My_Audit!G:G,""),
_xlfn.IFS(_xlpm.MyAuditVal&lt;&gt;"",_xlpm.MyAuditVal,_xlpm.MacVal&lt;&gt;"",_xlpm.MacVal,_xlpm.CSVVal&lt;&gt;"",_xlpm.CSVVal
)),"")</f>
        <v/>
      </c>
      <c r="I637" s="2" t="str">
        <f>_xlfn.XLOOKUP(A637,Output_Mac!A:A,Output_Mac!I:I,"")</f>
        <v/>
      </c>
      <c r="J637" s="2" t="str" cm="1">
        <f t="array" ref="J637">IFERROR(_xlfn.LET(
_xlpm.CSVVal,_xlfn.XLOOKUP($A637,CSV!$A:$A,CSV!I:I,""),
_xlpm.MacVal,_xlfn.XLOOKUP($A637,Output_Mac!$A:$A,Output_Mac!J:J,""),
_xlpm.MyAuditVal,_xlfn.XLOOKUP($A637,My_Audit!$A:$A,My_Audit!I:I,""),
_xlfn.IFS(_xlpm.MyAuditVal&lt;&gt;"",UPPER(_xlpm.MyAuditVal),_xlpm.MacVal&lt;&gt;"",_xlpm.MacVal,_xlpm.CSVVal&lt;&gt;"",_xlpm.CSVVal
)),"")</f>
        <v/>
      </c>
      <c r="K637" s="2" t="str" cm="1">
        <f t="array" ref="K637">IFERROR(_xlfn.LET(
_xlpm.CSVVal,_xlfn.XLOOKUP($A637,CSV!$A:$A,CSV!K:K,""),
_xlpm.MacVal,_xlfn.XLOOKUP($A637,Output_Mac!$A:$A,Output_Mac!K:K,""),
_xlpm.MyAuditVal,_xlfn.XLOOKUP($A637,My_Audit!$A:$A,My_Audit!J:J,""),
_xlfn.IFS(_xlpm.MyAuditVal&lt;&gt;"",UPPER(_xlpm.MyAuditVal),_xlpm.MacVal&lt;&gt;"",_xlpm.MacVal,_xlpm.CSVVal&lt;&gt;"",_xlpm.CSVVal
)),"")</f>
        <v/>
      </c>
      <c r="L637" s="2" t="str" cm="1">
        <f t="array" ref="L637">IFERROR(_xlfn.LET(
_xlpm.CSVVal,_xlfn.XLOOKUP($A637,CSV!$A:$A,CSV!P:P,""),
_xlpm.MacVal,_xlfn.XLOOKUP($A637,Output_Mac!$A:$A,Output_Mac!L:L,""),
_xlpm.MyAuditVal,_xlfn.XLOOKUP($A637,My_Audit!$A:$A,My_Audit!K:K,""),
_xlfn.IFS(_xlpm.MyAuditVal&lt;&gt;"",UPPER(_xlpm.MyAuditVal),_xlpm.MacVal&lt;&gt;"",_xlpm.MacVal,_xlpm.CSVVal&lt;&gt;"",_xlpm.CSVVal
)),"")</f>
        <v/>
      </c>
      <c r="M637" s="2" t="str" cm="1">
        <f t="array" ref="M637">IFERROR(_xlfn.LET(
_xlpm.CSVVal,_xlfn.XLOOKUP($A637,CSV!$A:$A,CSV!Q:Q,""),
_xlpm.MacVal,_xlfn.XLOOKUP($A637,Output_Mac!$A:$A,Output_Mac!M:M,""),
_xlpm.MyAuditVal,_xlfn.XLOOKUP($A637,My_Audit!$A:$A,My_Audit!L:L,""),
_xlfn.IFS(_xlpm.MyAuditVal&lt;&gt;"",UPPER(_xlpm.MyAuditVal),_xlpm.MacVal&lt;&gt;"",_xlpm.MacVal,_xlpm.CSVVal&lt;&gt;"",_xlpm.CSVVal
)),"")</f>
        <v/>
      </c>
      <c r="O637" s="2" t="str">
        <f>_xlfn.LET(
    _xlpm.CSVVal, _xlfn.XLOOKUP($A637, CSV!$A:$A, CSV!AF:AF, ""),
    _xlpm.MacVal, _xlfn.XLOOKUP($A637, Output_Mac!$A:$A, Output_Mac!S:S, ""),
    _xlpm.MyAuditVal, _xlfn.XLOOKUP($A637, My_Audit!$A:$A, My_Audit!P:P, ""),
    _xlfn.TEXTJOIN(", ", TRUE, _xlpm.MyAuditVal, _xlpm.MacVal, _xlpm.CSVVal)
)</f>
        <v/>
      </c>
      <c r="P637" s="2" t="str" cm="1">
        <f t="array" ref="P637">IFERROR(_xlfn.LET(
_xlpm.CSVVal,_xlfn.XLOOKUP($A637,CSV!$A:$A,CSV!AG:AG,""),
_xlpm.MacVal,_xlfn.XLOOKUP($A637,Output_Mac!$A:$A,Output_Mac!T:T,""),
_xlpm.MyAuditVal,_xlfn.XLOOKUP($A637,My_Audit!$A:$A,My_Audit!Q:Q,""),
_xlfn.IFS(_xlpm.MyAuditVal&lt;&gt;"",UPPER(_xlpm.MyAuditVal),_xlpm.MacVal&lt;&gt;"",_xlpm.MacVal,_xlpm.CSVVal&lt;&gt;"",_xlpm.CSVVal
)),"No")</f>
        <v>No</v>
      </c>
      <c r="Q637" s="2" t="str" cm="1">
        <f t="array" ref="Q637">IFERROR(_xlfn.LET(
_xlpm.CSVVal,_xlfn.XLOOKUP($A637,CSV!$A:$A,CSV!AH:AH,""),
_xlpm.MacVal,_xlfn.XLOOKUP($A637,Output_Mac!$A:$A,Output_Mac!U:U,""),
_xlpm.MyAuditVal,_xlfn.XLOOKUP($A637,My_Audit!$A:$A,My_Audit!R:R,""),
_xlfn.IFS(_xlpm.MyAuditVal&lt;&gt;"",UPPER(_xlpm.MyAuditVal),_xlpm.MacVal&lt;&gt;"",_xlpm.MacVal,_xlpm.CSVVal&lt;&gt;"",_xlpm.CSVVal
)),"")</f>
        <v/>
      </c>
    </row>
    <row r="638" spans="1:17">
      <c r="A638" s="2" t="str">
        <f>_xlfn.TEXTJOIN("",TRUE,Input!$B$2,ROW(My_Audit!A637))</f>
        <v>XX637</v>
      </c>
      <c r="B638" s="2" t="str">
        <f>_xlfn.TEXTJOIN("-",TRUE,"ITD",Input!$A$2,A638)</f>
        <v>ITD-SHRXXX-XX637</v>
      </c>
      <c r="C638" s="2" t="str" cm="1">
        <f t="array" ref="C638">IFERROR(_xlfn.LET(
_xlpm.CSVVal,_xlfn.XLOOKUP($A638,CSV!$A:$A,CSV!B:B,""),
_xlpm.MacVal,_xlfn.XLOOKUP($A638,Output_Mac!$A:$A,Output_Mac!B:B,""),
_xlpm.MyAuditVal,_xlfn.XLOOKUP($A638,My_Audit!$A:$A,My_Audit!B:B,""),
_xlfn.IFS(_xlpm.MyAuditVal&lt;&gt;"",UPPER(_xlpm.MyAuditVal),_xlpm.MacVal&lt;&gt;"",_xlpm.MacVal,_xlpm.CSVVal&lt;&gt;"",_xlpm.CSVVal
)),"")</f>
        <v/>
      </c>
      <c r="D638" s="2" t="str" cm="1">
        <f t="array" ref="D638">IFERROR(_xlfn.LET(
_xlpm.CSVVal,_xlfn.XLOOKUP($A638,CSV!$A:$A,CSV!D:D,""),
_xlpm.MacVal,_xlfn.XLOOKUP($A638,Output_Mac!$A:$A,Output_Mac!C:C,""),
_xlpm.MyAuditVal,_xlfn.XLOOKUP($A638,My_Audit!$A:$A,My_Audit!C:C,""),
_xlfn.IFS(_xlpm.MyAuditVal&lt;&gt;"",_xlpm.MyAuditVal,_xlpm.MacVal&lt;&gt;"",_xlpm.MacVal,_xlpm.CSVVal&lt;&gt;"",_xlpm.CSVVal
)),"")</f>
        <v/>
      </c>
      <c r="E638" s="2" t="str">
        <f>_xlfn.XLOOKUP(A638,My_Audit!A:A,My_Audit!D:D,"")&amp;""</f>
        <v/>
      </c>
      <c r="F638" s="2" t="str" cm="1">
        <f t="array" ref="F638">IFERROR(_xlfn.LET(
_xlpm.CSVVal,_xlfn.XLOOKUP($A638,CSV!$A:$A,CSV!F:F,""),
_xlpm.MacVal,_xlfn.XLOOKUP($A638,Output_Mac!$A:$A,Output_Mac!E:E,""),
_xlpm.MyAuditVal,_xlfn.XLOOKUP($A638,My_Audit!$A:$A,My_Audit!E:E,""),
_xlfn.IFS(_xlpm.MyAuditVal&lt;&gt;"",_xlpm.MyAuditVal,_xlpm.MacVal&lt;&gt;"",_xlpm.MacVal,_xlpm.CSVVal&lt;&gt;"",_xlpm.CSVVal
)),"")</f>
        <v/>
      </c>
      <c r="G638" s="2" t="str" cm="1">
        <f t="array" ref="G638">IFERROR(_xlfn.LET(
_xlpm.CSVVal,_xlfn.XLOOKUP($A638,CSV!$A:$A,CSV!G:G,""),
_xlpm.MacVal,_xlfn.XLOOKUP($A638,Output_Mac!$A:$A,Output_Mac!F:F,""),
_xlpm.MyAuditVal,_xlfn.XLOOKUP($A638,My_Audit!$A:$A,My_Audit!F:F,""),
_xlfn.IFS(_xlpm.MyAuditVal&lt;&gt;"",_xlpm.MyAuditVal,_xlpm.MacVal&lt;&gt;"",_xlpm.MacVal,_xlpm.CSVVal&lt;&gt;"",PROPER(_xlpm.CSVVal)
)),"")</f>
        <v/>
      </c>
      <c r="H638" s="2" t="str" cm="1">
        <f t="array" ref="H638">IFERROR(_xlfn.LET(
_xlpm.CSVVal,_xlfn.XLOOKUP($A638,CSV!$A:$A,CSV!H:H,""),
_xlpm.MacVal,_xlfn.XLOOKUP($A638,Output_Mac!$A:$A,Output_Mac!H:H,""),
_xlpm.MyAuditVal,_xlfn.XLOOKUP($A638,My_Audit!$A:$A,My_Audit!G:G,""),
_xlfn.IFS(_xlpm.MyAuditVal&lt;&gt;"",_xlpm.MyAuditVal,_xlpm.MacVal&lt;&gt;"",_xlpm.MacVal,_xlpm.CSVVal&lt;&gt;"",_xlpm.CSVVal
)),"")</f>
        <v/>
      </c>
      <c r="I638" s="2" t="str">
        <f>_xlfn.XLOOKUP(A638,Output_Mac!A:A,Output_Mac!I:I,"")</f>
        <v/>
      </c>
      <c r="J638" s="2" t="str" cm="1">
        <f t="array" ref="J638">IFERROR(_xlfn.LET(
_xlpm.CSVVal,_xlfn.XLOOKUP($A638,CSV!$A:$A,CSV!I:I,""),
_xlpm.MacVal,_xlfn.XLOOKUP($A638,Output_Mac!$A:$A,Output_Mac!J:J,""),
_xlpm.MyAuditVal,_xlfn.XLOOKUP($A638,My_Audit!$A:$A,My_Audit!I:I,""),
_xlfn.IFS(_xlpm.MyAuditVal&lt;&gt;"",UPPER(_xlpm.MyAuditVal),_xlpm.MacVal&lt;&gt;"",_xlpm.MacVal,_xlpm.CSVVal&lt;&gt;"",_xlpm.CSVVal
)),"")</f>
        <v/>
      </c>
      <c r="K638" s="2" t="str" cm="1">
        <f t="array" ref="K638">IFERROR(_xlfn.LET(
_xlpm.CSVVal,_xlfn.XLOOKUP($A638,CSV!$A:$A,CSV!K:K,""),
_xlpm.MacVal,_xlfn.XLOOKUP($A638,Output_Mac!$A:$A,Output_Mac!K:K,""),
_xlpm.MyAuditVal,_xlfn.XLOOKUP($A638,My_Audit!$A:$A,My_Audit!J:J,""),
_xlfn.IFS(_xlpm.MyAuditVal&lt;&gt;"",UPPER(_xlpm.MyAuditVal),_xlpm.MacVal&lt;&gt;"",_xlpm.MacVal,_xlpm.CSVVal&lt;&gt;"",_xlpm.CSVVal
)),"")</f>
        <v/>
      </c>
      <c r="L638" s="2" t="str" cm="1">
        <f t="array" ref="L638">IFERROR(_xlfn.LET(
_xlpm.CSVVal,_xlfn.XLOOKUP($A638,CSV!$A:$A,CSV!P:P,""),
_xlpm.MacVal,_xlfn.XLOOKUP($A638,Output_Mac!$A:$A,Output_Mac!L:L,""),
_xlpm.MyAuditVal,_xlfn.XLOOKUP($A638,My_Audit!$A:$A,My_Audit!K:K,""),
_xlfn.IFS(_xlpm.MyAuditVal&lt;&gt;"",UPPER(_xlpm.MyAuditVal),_xlpm.MacVal&lt;&gt;"",_xlpm.MacVal,_xlpm.CSVVal&lt;&gt;"",_xlpm.CSVVal
)),"")</f>
        <v/>
      </c>
      <c r="M638" s="2" t="str" cm="1">
        <f t="array" ref="M638">IFERROR(_xlfn.LET(
_xlpm.CSVVal,_xlfn.XLOOKUP($A638,CSV!$A:$A,CSV!Q:Q,""),
_xlpm.MacVal,_xlfn.XLOOKUP($A638,Output_Mac!$A:$A,Output_Mac!M:M,""),
_xlpm.MyAuditVal,_xlfn.XLOOKUP($A638,My_Audit!$A:$A,My_Audit!L:L,""),
_xlfn.IFS(_xlpm.MyAuditVal&lt;&gt;"",UPPER(_xlpm.MyAuditVal),_xlpm.MacVal&lt;&gt;"",_xlpm.MacVal,_xlpm.CSVVal&lt;&gt;"",_xlpm.CSVVal
)),"")</f>
        <v/>
      </c>
      <c r="O638" s="2" t="str">
        <f>_xlfn.LET(
    _xlpm.CSVVal, _xlfn.XLOOKUP($A638, CSV!$A:$A, CSV!AF:AF, ""),
    _xlpm.MacVal, _xlfn.XLOOKUP($A638, Output_Mac!$A:$A, Output_Mac!S:S, ""),
    _xlpm.MyAuditVal, _xlfn.XLOOKUP($A638, My_Audit!$A:$A, My_Audit!P:P, ""),
    _xlfn.TEXTJOIN(", ", TRUE, _xlpm.MyAuditVal, _xlpm.MacVal, _xlpm.CSVVal)
)</f>
        <v/>
      </c>
      <c r="P638" s="2" t="str" cm="1">
        <f t="array" ref="P638">IFERROR(_xlfn.LET(
_xlpm.CSVVal,_xlfn.XLOOKUP($A638,CSV!$A:$A,CSV!AG:AG,""),
_xlpm.MacVal,_xlfn.XLOOKUP($A638,Output_Mac!$A:$A,Output_Mac!T:T,""),
_xlpm.MyAuditVal,_xlfn.XLOOKUP($A638,My_Audit!$A:$A,My_Audit!Q:Q,""),
_xlfn.IFS(_xlpm.MyAuditVal&lt;&gt;"",UPPER(_xlpm.MyAuditVal),_xlpm.MacVal&lt;&gt;"",_xlpm.MacVal,_xlpm.CSVVal&lt;&gt;"",_xlpm.CSVVal
)),"No")</f>
        <v>No</v>
      </c>
      <c r="Q638" s="2" t="str" cm="1">
        <f t="array" ref="Q638">IFERROR(_xlfn.LET(
_xlpm.CSVVal,_xlfn.XLOOKUP($A638,CSV!$A:$A,CSV!AH:AH,""),
_xlpm.MacVal,_xlfn.XLOOKUP($A638,Output_Mac!$A:$A,Output_Mac!U:U,""),
_xlpm.MyAuditVal,_xlfn.XLOOKUP($A638,My_Audit!$A:$A,My_Audit!R:R,""),
_xlfn.IFS(_xlpm.MyAuditVal&lt;&gt;"",UPPER(_xlpm.MyAuditVal),_xlpm.MacVal&lt;&gt;"",_xlpm.MacVal,_xlpm.CSVVal&lt;&gt;"",_xlpm.CSVVal
)),"")</f>
        <v/>
      </c>
    </row>
    <row r="639" spans="1:17">
      <c r="A639" s="2" t="str">
        <f>_xlfn.TEXTJOIN("",TRUE,Input!$B$2,ROW(My_Audit!A638))</f>
        <v>XX638</v>
      </c>
      <c r="B639" s="2" t="str">
        <f>_xlfn.TEXTJOIN("-",TRUE,"ITD",Input!$A$2,A639)</f>
        <v>ITD-SHRXXX-XX638</v>
      </c>
      <c r="C639" s="2" t="str" cm="1">
        <f t="array" ref="C639">IFERROR(_xlfn.LET(
_xlpm.CSVVal,_xlfn.XLOOKUP($A639,CSV!$A:$A,CSV!B:B,""),
_xlpm.MacVal,_xlfn.XLOOKUP($A639,Output_Mac!$A:$A,Output_Mac!B:B,""),
_xlpm.MyAuditVal,_xlfn.XLOOKUP($A639,My_Audit!$A:$A,My_Audit!B:B,""),
_xlfn.IFS(_xlpm.MyAuditVal&lt;&gt;"",UPPER(_xlpm.MyAuditVal),_xlpm.MacVal&lt;&gt;"",_xlpm.MacVal,_xlpm.CSVVal&lt;&gt;"",_xlpm.CSVVal
)),"")</f>
        <v/>
      </c>
      <c r="D639" s="2" t="str" cm="1">
        <f t="array" ref="D639">IFERROR(_xlfn.LET(
_xlpm.CSVVal,_xlfn.XLOOKUP($A639,CSV!$A:$A,CSV!D:D,""),
_xlpm.MacVal,_xlfn.XLOOKUP($A639,Output_Mac!$A:$A,Output_Mac!C:C,""),
_xlpm.MyAuditVal,_xlfn.XLOOKUP($A639,My_Audit!$A:$A,My_Audit!C:C,""),
_xlfn.IFS(_xlpm.MyAuditVal&lt;&gt;"",_xlpm.MyAuditVal,_xlpm.MacVal&lt;&gt;"",_xlpm.MacVal,_xlpm.CSVVal&lt;&gt;"",_xlpm.CSVVal
)),"")</f>
        <v/>
      </c>
      <c r="E639" s="2" t="str">
        <f>_xlfn.XLOOKUP(A639,My_Audit!A:A,My_Audit!D:D,"")&amp;""</f>
        <v/>
      </c>
      <c r="F639" s="2" t="str" cm="1">
        <f t="array" ref="F639">IFERROR(_xlfn.LET(
_xlpm.CSVVal,_xlfn.XLOOKUP($A639,CSV!$A:$A,CSV!F:F,""),
_xlpm.MacVal,_xlfn.XLOOKUP($A639,Output_Mac!$A:$A,Output_Mac!E:E,""),
_xlpm.MyAuditVal,_xlfn.XLOOKUP($A639,My_Audit!$A:$A,My_Audit!E:E,""),
_xlfn.IFS(_xlpm.MyAuditVal&lt;&gt;"",_xlpm.MyAuditVal,_xlpm.MacVal&lt;&gt;"",_xlpm.MacVal,_xlpm.CSVVal&lt;&gt;"",_xlpm.CSVVal
)),"")</f>
        <v/>
      </c>
      <c r="G639" s="2" t="str" cm="1">
        <f t="array" ref="G639">IFERROR(_xlfn.LET(
_xlpm.CSVVal,_xlfn.XLOOKUP($A639,CSV!$A:$A,CSV!G:G,""),
_xlpm.MacVal,_xlfn.XLOOKUP($A639,Output_Mac!$A:$A,Output_Mac!F:F,""),
_xlpm.MyAuditVal,_xlfn.XLOOKUP($A639,My_Audit!$A:$A,My_Audit!F:F,""),
_xlfn.IFS(_xlpm.MyAuditVal&lt;&gt;"",_xlpm.MyAuditVal,_xlpm.MacVal&lt;&gt;"",_xlpm.MacVal,_xlpm.CSVVal&lt;&gt;"",PROPER(_xlpm.CSVVal)
)),"")</f>
        <v/>
      </c>
      <c r="H639" s="2" t="str" cm="1">
        <f t="array" ref="H639">IFERROR(_xlfn.LET(
_xlpm.CSVVal,_xlfn.XLOOKUP($A639,CSV!$A:$A,CSV!H:H,""),
_xlpm.MacVal,_xlfn.XLOOKUP($A639,Output_Mac!$A:$A,Output_Mac!H:H,""),
_xlpm.MyAuditVal,_xlfn.XLOOKUP($A639,My_Audit!$A:$A,My_Audit!G:G,""),
_xlfn.IFS(_xlpm.MyAuditVal&lt;&gt;"",_xlpm.MyAuditVal,_xlpm.MacVal&lt;&gt;"",_xlpm.MacVal,_xlpm.CSVVal&lt;&gt;"",_xlpm.CSVVal
)),"")</f>
        <v/>
      </c>
      <c r="I639" s="2" t="str">
        <f>_xlfn.XLOOKUP(A639,Output_Mac!A:A,Output_Mac!I:I,"")</f>
        <v/>
      </c>
      <c r="J639" s="2" t="str" cm="1">
        <f t="array" ref="J639">IFERROR(_xlfn.LET(
_xlpm.CSVVal,_xlfn.XLOOKUP($A639,CSV!$A:$A,CSV!I:I,""),
_xlpm.MacVal,_xlfn.XLOOKUP($A639,Output_Mac!$A:$A,Output_Mac!J:J,""),
_xlpm.MyAuditVal,_xlfn.XLOOKUP($A639,My_Audit!$A:$A,My_Audit!I:I,""),
_xlfn.IFS(_xlpm.MyAuditVal&lt;&gt;"",UPPER(_xlpm.MyAuditVal),_xlpm.MacVal&lt;&gt;"",_xlpm.MacVal,_xlpm.CSVVal&lt;&gt;"",_xlpm.CSVVal
)),"")</f>
        <v/>
      </c>
      <c r="K639" s="2" t="str" cm="1">
        <f t="array" ref="K639">IFERROR(_xlfn.LET(
_xlpm.CSVVal,_xlfn.XLOOKUP($A639,CSV!$A:$A,CSV!K:K,""),
_xlpm.MacVal,_xlfn.XLOOKUP($A639,Output_Mac!$A:$A,Output_Mac!K:K,""),
_xlpm.MyAuditVal,_xlfn.XLOOKUP($A639,My_Audit!$A:$A,My_Audit!J:J,""),
_xlfn.IFS(_xlpm.MyAuditVal&lt;&gt;"",UPPER(_xlpm.MyAuditVal),_xlpm.MacVal&lt;&gt;"",_xlpm.MacVal,_xlpm.CSVVal&lt;&gt;"",_xlpm.CSVVal
)),"")</f>
        <v/>
      </c>
      <c r="L639" s="2" t="str" cm="1">
        <f t="array" ref="L639">IFERROR(_xlfn.LET(
_xlpm.CSVVal,_xlfn.XLOOKUP($A639,CSV!$A:$A,CSV!P:P,""),
_xlpm.MacVal,_xlfn.XLOOKUP($A639,Output_Mac!$A:$A,Output_Mac!L:L,""),
_xlpm.MyAuditVal,_xlfn.XLOOKUP($A639,My_Audit!$A:$A,My_Audit!K:K,""),
_xlfn.IFS(_xlpm.MyAuditVal&lt;&gt;"",UPPER(_xlpm.MyAuditVal),_xlpm.MacVal&lt;&gt;"",_xlpm.MacVal,_xlpm.CSVVal&lt;&gt;"",_xlpm.CSVVal
)),"")</f>
        <v/>
      </c>
      <c r="M639" s="2" t="str" cm="1">
        <f t="array" ref="M639">IFERROR(_xlfn.LET(
_xlpm.CSVVal,_xlfn.XLOOKUP($A639,CSV!$A:$A,CSV!Q:Q,""),
_xlpm.MacVal,_xlfn.XLOOKUP($A639,Output_Mac!$A:$A,Output_Mac!M:M,""),
_xlpm.MyAuditVal,_xlfn.XLOOKUP($A639,My_Audit!$A:$A,My_Audit!L:L,""),
_xlfn.IFS(_xlpm.MyAuditVal&lt;&gt;"",UPPER(_xlpm.MyAuditVal),_xlpm.MacVal&lt;&gt;"",_xlpm.MacVal,_xlpm.CSVVal&lt;&gt;"",_xlpm.CSVVal
)),"")</f>
        <v/>
      </c>
      <c r="O639" s="2" t="str">
        <f>_xlfn.LET(
    _xlpm.CSVVal, _xlfn.XLOOKUP($A639, CSV!$A:$A, CSV!AF:AF, ""),
    _xlpm.MacVal, _xlfn.XLOOKUP($A639, Output_Mac!$A:$A, Output_Mac!S:S, ""),
    _xlpm.MyAuditVal, _xlfn.XLOOKUP($A639, My_Audit!$A:$A, My_Audit!P:P, ""),
    _xlfn.TEXTJOIN(", ", TRUE, _xlpm.MyAuditVal, _xlpm.MacVal, _xlpm.CSVVal)
)</f>
        <v/>
      </c>
      <c r="P639" s="2" t="str" cm="1">
        <f t="array" ref="P639">IFERROR(_xlfn.LET(
_xlpm.CSVVal,_xlfn.XLOOKUP($A639,CSV!$A:$A,CSV!AG:AG,""),
_xlpm.MacVal,_xlfn.XLOOKUP($A639,Output_Mac!$A:$A,Output_Mac!T:T,""),
_xlpm.MyAuditVal,_xlfn.XLOOKUP($A639,My_Audit!$A:$A,My_Audit!Q:Q,""),
_xlfn.IFS(_xlpm.MyAuditVal&lt;&gt;"",UPPER(_xlpm.MyAuditVal),_xlpm.MacVal&lt;&gt;"",_xlpm.MacVal,_xlpm.CSVVal&lt;&gt;"",_xlpm.CSVVal
)),"No")</f>
        <v>No</v>
      </c>
      <c r="Q639" s="2" t="str" cm="1">
        <f t="array" ref="Q639">IFERROR(_xlfn.LET(
_xlpm.CSVVal,_xlfn.XLOOKUP($A639,CSV!$A:$A,CSV!AH:AH,""),
_xlpm.MacVal,_xlfn.XLOOKUP($A639,Output_Mac!$A:$A,Output_Mac!U:U,""),
_xlpm.MyAuditVal,_xlfn.XLOOKUP($A639,My_Audit!$A:$A,My_Audit!R:R,""),
_xlfn.IFS(_xlpm.MyAuditVal&lt;&gt;"",UPPER(_xlpm.MyAuditVal),_xlpm.MacVal&lt;&gt;"",_xlpm.MacVal,_xlpm.CSVVal&lt;&gt;"",_xlpm.CSVVal
)),"")</f>
        <v/>
      </c>
    </row>
    <row r="640" spans="1:17">
      <c r="A640" s="2" t="str">
        <f>_xlfn.TEXTJOIN("",TRUE,Input!$B$2,ROW(My_Audit!A639))</f>
        <v>XX639</v>
      </c>
      <c r="B640" s="2" t="str">
        <f>_xlfn.TEXTJOIN("-",TRUE,"ITD",Input!$A$2,A640)</f>
        <v>ITD-SHRXXX-XX639</v>
      </c>
      <c r="C640" s="2" t="str" cm="1">
        <f t="array" ref="C640">IFERROR(_xlfn.LET(
_xlpm.CSVVal,_xlfn.XLOOKUP($A640,CSV!$A:$A,CSV!B:B,""),
_xlpm.MacVal,_xlfn.XLOOKUP($A640,Output_Mac!$A:$A,Output_Mac!B:B,""),
_xlpm.MyAuditVal,_xlfn.XLOOKUP($A640,My_Audit!$A:$A,My_Audit!B:B,""),
_xlfn.IFS(_xlpm.MyAuditVal&lt;&gt;"",UPPER(_xlpm.MyAuditVal),_xlpm.MacVal&lt;&gt;"",_xlpm.MacVal,_xlpm.CSVVal&lt;&gt;"",_xlpm.CSVVal
)),"")</f>
        <v/>
      </c>
      <c r="D640" s="2" t="str" cm="1">
        <f t="array" ref="D640">IFERROR(_xlfn.LET(
_xlpm.CSVVal,_xlfn.XLOOKUP($A640,CSV!$A:$A,CSV!D:D,""),
_xlpm.MacVal,_xlfn.XLOOKUP($A640,Output_Mac!$A:$A,Output_Mac!C:C,""),
_xlpm.MyAuditVal,_xlfn.XLOOKUP($A640,My_Audit!$A:$A,My_Audit!C:C,""),
_xlfn.IFS(_xlpm.MyAuditVal&lt;&gt;"",_xlpm.MyAuditVal,_xlpm.MacVal&lt;&gt;"",_xlpm.MacVal,_xlpm.CSVVal&lt;&gt;"",_xlpm.CSVVal
)),"")</f>
        <v/>
      </c>
      <c r="E640" s="2" t="str">
        <f>_xlfn.XLOOKUP(A640,My_Audit!A:A,My_Audit!D:D,"")&amp;""</f>
        <v/>
      </c>
      <c r="F640" s="2" t="str" cm="1">
        <f t="array" ref="F640">IFERROR(_xlfn.LET(
_xlpm.CSVVal,_xlfn.XLOOKUP($A640,CSV!$A:$A,CSV!F:F,""),
_xlpm.MacVal,_xlfn.XLOOKUP($A640,Output_Mac!$A:$A,Output_Mac!E:E,""),
_xlpm.MyAuditVal,_xlfn.XLOOKUP($A640,My_Audit!$A:$A,My_Audit!E:E,""),
_xlfn.IFS(_xlpm.MyAuditVal&lt;&gt;"",_xlpm.MyAuditVal,_xlpm.MacVal&lt;&gt;"",_xlpm.MacVal,_xlpm.CSVVal&lt;&gt;"",_xlpm.CSVVal
)),"")</f>
        <v/>
      </c>
      <c r="G640" s="2" t="str" cm="1">
        <f t="array" ref="G640">IFERROR(_xlfn.LET(
_xlpm.CSVVal,_xlfn.XLOOKUP($A640,CSV!$A:$A,CSV!G:G,""),
_xlpm.MacVal,_xlfn.XLOOKUP($A640,Output_Mac!$A:$A,Output_Mac!F:F,""),
_xlpm.MyAuditVal,_xlfn.XLOOKUP($A640,My_Audit!$A:$A,My_Audit!F:F,""),
_xlfn.IFS(_xlpm.MyAuditVal&lt;&gt;"",_xlpm.MyAuditVal,_xlpm.MacVal&lt;&gt;"",_xlpm.MacVal,_xlpm.CSVVal&lt;&gt;"",PROPER(_xlpm.CSVVal)
)),"")</f>
        <v/>
      </c>
      <c r="H640" s="2" t="str" cm="1">
        <f t="array" ref="H640">IFERROR(_xlfn.LET(
_xlpm.CSVVal,_xlfn.XLOOKUP($A640,CSV!$A:$A,CSV!H:H,""),
_xlpm.MacVal,_xlfn.XLOOKUP($A640,Output_Mac!$A:$A,Output_Mac!H:H,""),
_xlpm.MyAuditVal,_xlfn.XLOOKUP($A640,My_Audit!$A:$A,My_Audit!G:G,""),
_xlfn.IFS(_xlpm.MyAuditVal&lt;&gt;"",_xlpm.MyAuditVal,_xlpm.MacVal&lt;&gt;"",_xlpm.MacVal,_xlpm.CSVVal&lt;&gt;"",_xlpm.CSVVal
)),"")</f>
        <v/>
      </c>
      <c r="I640" s="2" t="str">
        <f>_xlfn.XLOOKUP(A640,Output_Mac!A:A,Output_Mac!I:I,"")</f>
        <v/>
      </c>
      <c r="J640" s="2" t="str" cm="1">
        <f t="array" ref="J640">IFERROR(_xlfn.LET(
_xlpm.CSVVal,_xlfn.XLOOKUP($A640,CSV!$A:$A,CSV!I:I,""),
_xlpm.MacVal,_xlfn.XLOOKUP($A640,Output_Mac!$A:$A,Output_Mac!J:J,""),
_xlpm.MyAuditVal,_xlfn.XLOOKUP($A640,My_Audit!$A:$A,My_Audit!I:I,""),
_xlfn.IFS(_xlpm.MyAuditVal&lt;&gt;"",UPPER(_xlpm.MyAuditVal),_xlpm.MacVal&lt;&gt;"",_xlpm.MacVal,_xlpm.CSVVal&lt;&gt;"",_xlpm.CSVVal
)),"")</f>
        <v/>
      </c>
      <c r="K640" s="2" t="str" cm="1">
        <f t="array" ref="K640">IFERROR(_xlfn.LET(
_xlpm.CSVVal,_xlfn.XLOOKUP($A640,CSV!$A:$A,CSV!K:K,""),
_xlpm.MacVal,_xlfn.XLOOKUP($A640,Output_Mac!$A:$A,Output_Mac!K:K,""),
_xlpm.MyAuditVal,_xlfn.XLOOKUP($A640,My_Audit!$A:$A,My_Audit!J:J,""),
_xlfn.IFS(_xlpm.MyAuditVal&lt;&gt;"",UPPER(_xlpm.MyAuditVal),_xlpm.MacVal&lt;&gt;"",_xlpm.MacVal,_xlpm.CSVVal&lt;&gt;"",_xlpm.CSVVal
)),"")</f>
        <v/>
      </c>
      <c r="L640" s="2" t="str" cm="1">
        <f t="array" ref="L640">IFERROR(_xlfn.LET(
_xlpm.CSVVal,_xlfn.XLOOKUP($A640,CSV!$A:$A,CSV!P:P,""),
_xlpm.MacVal,_xlfn.XLOOKUP($A640,Output_Mac!$A:$A,Output_Mac!L:L,""),
_xlpm.MyAuditVal,_xlfn.XLOOKUP($A640,My_Audit!$A:$A,My_Audit!K:K,""),
_xlfn.IFS(_xlpm.MyAuditVal&lt;&gt;"",UPPER(_xlpm.MyAuditVal),_xlpm.MacVal&lt;&gt;"",_xlpm.MacVal,_xlpm.CSVVal&lt;&gt;"",_xlpm.CSVVal
)),"")</f>
        <v/>
      </c>
      <c r="M640" s="2" t="str" cm="1">
        <f t="array" ref="M640">IFERROR(_xlfn.LET(
_xlpm.CSVVal,_xlfn.XLOOKUP($A640,CSV!$A:$A,CSV!Q:Q,""),
_xlpm.MacVal,_xlfn.XLOOKUP($A640,Output_Mac!$A:$A,Output_Mac!M:M,""),
_xlpm.MyAuditVal,_xlfn.XLOOKUP($A640,My_Audit!$A:$A,My_Audit!L:L,""),
_xlfn.IFS(_xlpm.MyAuditVal&lt;&gt;"",UPPER(_xlpm.MyAuditVal),_xlpm.MacVal&lt;&gt;"",_xlpm.MacVal,_xlpm.CSVVal&lt;&gt;"",_xlpm.CSVVal
)),"")</f>
        <v/>
      </c>
      <c r="O640" s="2" t="str">
        <f>_xlfn.LET(
    _xlpm.CSVVal, _xlfn.XLOOKUP($A640, CSV!$A:$A, CSV!AF:AF, ""),
    _xlpm.MacVal, _xlfn.XLOOKUP($A640, Output_Mac!$A:$A, Output_Mac!S:S, ""),
    _xlpm.MyAuditVal, _xlfn.XLOOKUP($A640, My_Audit!$A:$A, My_Audit!P:P, ""),
    _xlfn.TEXTJOIN(", ", TRUE, _xlpm.MyAuditVal, _xlpm.MacVal, _xlpm.CSVVal)
)</f>
        <v/>
      </c>
      <c r="P640" s="2" t="str" cm="1">
        <f t="array" ref="P640">IFERROR(_xlfn.LET(
_xlpm.CSVVal,_xlfn.XLOOKUP($A640,CSV!$A:$A,CSV!AG:AG,""),
_xlpm.MacVal,_xlfn.XLOOKUP($A640,Output_Mac!$A:$A,Output_Mac!T:T,""),
_xlpm.MyAuditVal,_xlfn.XLOOKUP($A640,My_Audit!$A:$A,My_Audit!Q:Q,""),
_xlfn.IFS(_xlpm.MyAuditVal&lt;&gt;"",UPPER(_xlpm.MyAuditVal),_xlpm.MacVal&lt;&gt;"",_xlpm.MacVal,_xlpm.CSVVal&lt;&gt;"",_xlpm.CSVVal
)),"No")</f>
        <v>No</v>
      </c>
      <c r="Q640" s="2" t="str" cm="1">
        <f t="array" ref="Q640">IFERROR(_xlfn.LET(
_xlpm.CSVVal,_xlfn.XLOOKUP($A640,CSV!$A:$A,CSV!AH:AH,""),
_xlpm.MacVal,_xlfn.XLOOKUP($A640,Output_Mac!$A:$A,Output_Mac!U:U,""),
_xlpm.MyAuditVal,_xlfn.XLOOKUP($A640,My_Audit!$A:$A,My_Audit!R:R,""),
_xlfn.IFS(_xlpm.MyAuditVal&lt;&gt;"",UPPER(_xlpm.MyAuditVal),_xlpm.MacVal&lt;&gt;"",_xlpm.MacVal,_xlpm.CSVVal&lt;&gt;"",_xlpm.CSVVal
)),"")</f>
        <v/>
      </c>
    </row>
    <row r="641" spans="1:17">
      <c r="A641" s="2" t="str">
        <f>_xlfn.TEXTJOIN("",TRUE,Input!$B$2,ROW(My_Audit!A640))</f>
        <v>XX640</v>
      </c>
      <c r="B641" s="2" t="str">
        <f>_xlfn.TEXTJOIN("-",TRUE,"ITD",Input!$A$2,A641)</f>
        <v>ITD-SHRXXX-XX640</v>
      </c>
      <c r="C641" s="2" t="str" cm="1">
        <f t="array" ref="C641">IFERROR(_xlfn.LET(
_xlpm.CSVVal,_xlfn.XLOOKUP($A641,CSV!$A:$A,CSV!B:B,""),
_xlpm.MacVal,_xlfn.XLOOKUP($A641,Output_Mac!$A:$A,Output_Mac!B:B,""),
_xlpm.MyAuditVal,_xlfn.XLOOKUP($A641,My_Audit!$A:$A,My_Audit!B:B,""),
_xlfn.IFS(_xlpm.MyAuditVal&lt;&gt;"",UPPER(_xlpm.MyAuditVal),_xlpm.MacVal&lt;&gt;"",_xlpm.MacVal,_xlpm.CSVVal&lt;&gt;"",_xlpm.CSVVal
)),"")</f>
        <v/>
      </c>
      <c r="D641" s="2" t="str" cm="1">
        <f t="array" ref="D641">IFERROR(_xlfn.LET(
_xlpm.CSVVal,_xlfn.XLOOKUP($A641,CSV!$A:$A,CSV!D:D,""),
_xlpm.MacVal,_xlfn.XLOOKUP($A641,Output_Mac!$A:$A,Output_Mac!C:C,""),
_xlpm.MyAuditVal,_xlfn.XLOOKUP($A641,My_Audit!$A:$A,My_Audit!C:C,""),
_xlfn.IFS(_xlpm.MyAuditVal&lt;&gt;"",_xlpm.MyAuditVal,_xlpm.MacVal&lt;&gt;"",_xlpm.MacVal,_xlpm.CSVVal&lt;&gt;"",_xlpm.CSVVal
)),"")</f>
        <v/>
      </c>
      <c r="E641" s="2" t="str">
        <f>_xlfn.XLOOKUP(A641,My_Audit!A:A,My_Audit!D:D,"")&amp;""</f>
        <v/>
      </c>
      <c r="F641" s="2" t="str" cm="1">
        <f t="array" ref="F641">IFERROR(_xlfn.LET(
_xlpm.CSVVal,_xlfn.XLOOKUP($A641,CSV!$A:$A,CSV!F:F,""),
_xlpm.MacVal,_xlfn.XLOOKUP($A641,Output_Mac!$A:$A,Output_Mac!E:E,""),
_xlpm.MyAuditVal,_xlfn.XLOOKUP($A641,My_Audit!$A:$A,My_Audit!E:E,""),
_xlfn.IFS(_xlpm.MyAuditVal&lt;&gt;"",_xlpm.MyAuditVal,_xlpm.MacVal&lt;&gt;"",_xlpm.MacVal,_xlpm.CSVVal&lt;&gt;"",_xlpm.CSVVal
)),"")</f>
        <v/>
      </c>
      <c r="G641" s="2" t="str" cm="1">
        <f t="array" ref="G641">IFERROR(_xlfn.LET(
_xlpm.CSVVal,_xlfn.XLOOKUP($A641,CSV!$A:$A,CSV!G:G,""),
_xlpm.MacVal,_xlfn.XLOOKUP($A641,Output_Mac!$A:$A,Output_Mac!F:F,""),
_xlpm.MyAuditVal,_xlfn.XLOOKUP($A641,My_Audit!$A:$A,My_Audit!F:F,""),
_xlfn.IFS(_xlpm.MyAuditVal&lt;&gt;"",_xlpm.MyAuditVal,_xlpm.MacVal&lt;&gt;"",_xlpm.MacVal,_xlpm.CSVVal&lt;&gt;"",PROPER(_xlpm.CSVVal)
)),"")</f>
        <v/>
      </c>
      <c r="H641" s="2" t="str" cm="1">
        <f t="array" ref="H641">IFERROR(_xlfn.LET(
_xlpm.CSVVal,_xlfn.XLOOKUP($A641,CSV!$A:$A,CSV!H:H,""),
_xlpm.MacVal,_xlfn.XLOOKUP($A641,Output_Mac!$A:$A,Output_Mac!H:H,""),
_xlpm.MyAuditVal,_xlfn.XLOOKUP($A641,My_Audit!$A:$A,My_Audit!G:G,""),
_xlfn.IFS(_xlpm.MyAuditVal&lt;&gt;"",_xlpm.MyAuditVal,_xlpm.MacVal&lt;&gt;"",_xlpm.MacVal,_xlpm.CSVVal&lt;&gt;"",_xlpm.CSVVal
)),"")</f>
        <v/>
      </c>
      <c r="I641" s="2" t="str">
        <f>_xlfn.XLOOKUP(A641,Output_Mac!A:A,Output_Mac!I:I,"")</f>
        <v/>
      </c>
      <c r="J641" s="2" t="str" cm="1">
        <f t="array" ref="J641">IFERROR(_xlfn.LET(
_xlpm.CSVVal,_xlfn.XLOOKUP($A641,CSV!$A:$A,CSV!I:I,""),
_xlpm.MacVal,_xlfn.XLOOKUP($A641,Output_Mac!$A:$A,Output_Mac!J:J,""),
_xlpm.MyAuditVal,_xlfn.XLOOKUP($A641,My_Audit!$A:$A,My_Audit!I:I,""),
_xlfn.IFS(_xlpm.MyAuditVal&lt;&gt;"",UPPER(_xlpm.MyAuditVal),_xlpm.MacVal&lt;&gt;"",_xlpm.MacVal,_xlpm.CSVVal&lt;&gt;"",_xlpm.CSVVal
)),"")</f>
        <v/>
      </c>
      <c r="K641" s="2" t="str" cm="1">
        <f t="array" ref="K641">IFERROR(_xlfn.LET(
_xlpm.CSVVal,_xlfn.XLOOKUP($A641,CSV!$A:$A,CSV!K:K,""),
_xlpm.MacVal,_xlfn.XLOOKUP($A641,Output_Mac!$A:$A,Output_Mac!K:K,""),
_xlpm.MyAuditVal,_xlfn.XLOOKUP($A641,My_Audit!$A:$A,My_Audit!J:J,""),
_xlfn.IFS(_xlpm.MyAuditVal&lt;&gt;"",UPPER(_xlpm.MyAuditVal),_xlpm.MacVal&lt;&gt;"",_xlpm.MacVal,_xlpm.CSVVal&lt;&gt;"",_xlpm.CSVVal
)),"")</f>
        <v/>
      </c>
      <c r="L641" s="2" t="str" cm="1">
        <f t="array" ref="L641">IFERROR(_xlfn.LET(
_xlpm.CSVVal,_xlfn.XLOOKUP($A641,CSV!$A:$A,CSV!P:P,""),
_xlpm.MacVal,_xlfn.XLOOKUP($A641,Output_Mac!$A:$A,Output_Mac!L:L,""),
_xlpm.MyAuditVal,_xlfn.XLOOKUP($A641,My_Audit!$A:$A,My_Audit!K:K,""),
_xlfn.IFS(_xlpm.MyAuditVal&lt;&gt;"",UPPER(_xlpm.MyAuditVal),_xlpm.MacVal&lt;&gt;"",_xlpm.MacVal,_xlpm.CSVVal&lt;&gt;"",_xlpm.CSVVal
)),"")</f>
        <v/>
      </c>
      <c r="M641" s="2" t="str" cm="1">
        <f t="array" ref="M641">IFERROR(_xlfn.LET(
_xlpm.CSVVal,_xlfn.XLOOKUP($A641,CSV!$A:$A,CSV!Q:Q,""),
_xlpm.MacVal,_xlfn.XLOOKUP($A641,Output_Mac!$A:$A,Output_Mac!M:M,""),
_xlpm.MyAuditVal,_xlfn.XLOOKUP($A641,My_Audit!$A:$A,My_Audit!L:L,""),
_xlfn.IFS(_xlpm.MyAuditVal&lt;&gt;"",UPPER(_xlpm.MyAuditVal),_xlpm.MacVal&lt;&gt;"",_xlpm.MacVal,_xlpm.CSVVal&lt;&gt;"",_xlpm.CSVVal
)),"")</f>
        <v/>
      </c>
      <c r="O641" s="2" t="str">
        <f>_xlfn.LET(
    _xlpm.CSVVal, _xlfn.XLOOKUP($A641, CSV!$A:$A, CSV!AF:AF, ""),
    _xlpm.MacVal, _xlfn.XLOOKUP($A641, Output_Mac!$A:$A, Output_Mac!S:S, ""),
    _xlpm.MyAuditVal, _xlfn.XLOOKUP($A641, My_Audit!$A:$A, My_Audit!P:P, ""),
    _xlfn.TEXTJOIN(", ", TRUE, _xlpm.MyAuditVal, _xlpm.MacVal, _xlpm.CSVVal)
)</f>
        <v/>
      </c>
      <c r="P641" s="2" t="str" cm="1">
        <f t="array" ref="P641">IFERROR(_xlfn.LET(
_xlpm.CSVVal,_xlfn.XLOOKUP($A641,CSV!$A:$A,CSV!AG:AG,""),
_xlpm.MacVal,_xlfn.XLOOKUP($A641,Output_Mac!$A:$A,Output_Mac!T:T,""),
_xlpm.MyAuditVal,_xlfn.XLOOKUP($A641,My_Audit!$A:$A,My_Audit!Q:Q,""),
_xlfn.IFS(_xlpm.MyAuditVal&lt;&gt;"",UPPER(_xlpm.MyAuditVal),_xlpm.MacVal&lt;&gt;"",_xlpm.MacVal,_xlpm.CSVVal&lt;&gt;"",_xlpm.CSVVal
)),"No")</f>
        <v>No</v>
      </c>
      <c r="Q641" s="2" t="str" cm="1">
        <f t="array" ref="Q641">IFERROR(_xlfn.LET(
_xlpm.CSVVal,_xlfn.XLOOKUP($A641,CSV!$A:$A,CSV!AH:AH,""),
_xlpm.MacVal,_xlfn.XLOOKUP($A641,Output_Mac!$A:$A,Output_Mac!U:U,""),
_xlpm.MyAuditVal,_xlfn.XLOOKUP($A641,My_Audit!$A:$A,My_Audit!R:R,""),
_xlfn.IFS(_xlpm.MyAuditVal&lt;&gt;"",UPPER(_xlpm.MyAuditVal),_xlpm.MacVal&lt;&gt;"",_xlpm.MacVal,_xlpm.CSVVal&lt;&gt;"",_xlpm.CSVVal
)),"")</f>
        <v/>
      </c>
    </row>
    <row r="642" spans="1:17">
      <c r="A642" s="2" t="str">
        <f>_xlfn.TEXTJOIN("",TRUE,Input!$B$2,ROW(My_Audit!A641))</f>
        <v>XX641</v>
      </c>
      <c r="B642" s="2" t="str">
        <f>_xlfn.TEXTJOIN("-",TRUE,"ITD",Input!$A$2,A642)</f>
        <v>ITD-SHRXXX-XX641</v>
      </c>
      <c r="C642" s="2" t="str" cm="1">
        <f t="array" ref="C642">IFERROR(_xlfn.LET(
_xlpm.CSVVal,_xlfn.XLOOKUP($A642,CSV!$A:$A,CSV!B:B,""),
_xlpm.MacVal,_xlfn.XLOOKUP($A642,Output_Mac!$A:$A,Output_Mac!B:B,""),
_xlpm.MyAuditVal,_xlfn.XLOOKUP($A642,My_Audit!$A:$A,My_Audit!B:B,""),
_xlfn.IFS(_xlpm.MyAuditVal&lt;&gt;"",UPPER(_xlpm.MyAuditVal),_xlpm.MacVal&lt;&gt;"",_xlpm.MacVal,_xlpm.CSVVal&lt;&gt;"",_xlpm.CSVVal
)),"")</f>
        <v/>
      </c>
      <c r="D642" s="2" t="str" cm="1">
        <f t="array" ref="D642">IFERROR(_xlfn.LET(
_xlpm.CSVVal,_xlfn.XLOOKUP($A642,CSV!$A:$A,CSV!D:D,""),
_xlpm.MacVal,_xlfn.XLOOKUP($A642,Output_Mac!$A:$A,Output_Mac!C:C,""),
_xlpm.MyAuditVal,_xlfn.XLOOKUP($A642,My_Audit!$A:$A,My_Audit!C:C,""),
_xlfn.IFS(_xlpm.MyAuditVal&lt;&gt;"",_xlpm.MyAuditVal,_xlpm.MacVal&lt;&gt;"",_xlpm.MacVal,_xlpm.CSVVal&lt;&gt;"",_xlpm.CSVVal
)),"")</f>
        <v/>
      </c>
      <c r="E642" s="2" t="str">
        <f>_xlfn.XLOOKUP(A642,My_Audit!A:A,My_Audit!D:D,"")&amp;""</f>
        <v/>
      </c>
      <c r="F642" s="2" t="str" cm="1">
        <f t="array" ref="F642">IFERROR(_xlfn.LET(
_xlpm.CSVVal,_xlfn.XLOOKUP($A642,CSV!$A:$A,CSV!F:F,""),
_xlpm.MacVal,_xlfn.XLOOKUP($A642,Output_Mac!$A:$A,Output_Mac!E:E,""),
_xlpm.MyAuditVal,_xlfn.XLOOKUP($A642,My_Audit!$A:$A,My_Audit!E:E,""),
_xlfn.IFS(_xlpm.MyAuditVal&lt;&gt;"",_xlpm.MyAuditVal,_xlpm.MacVal&lt;&gt;"",_xlpm.MacVal,_xlpm.CSVVal&lt;&gt;"",_xlpm.CSVVal
)),"")</f>
        <v/>
      </c>
      <c r="G642" s="2" t="str" cm="1">
        <f t="array" ref="G642">IFERROR(_xlfn.LET(
_xlpm.CSVVal,_xlfn.XLOOKUP($A642,CSV!$A:$A,CSV!G:G,""),
_xlpm.MacVal,_xlfn.XLOOKUP($A642,Output_Mac!$A:$A,Output_Mac!F:F,""),
_xlpm.MyAuditVal,_xlfn.XLOOKUP($A642,My_Audit!$A:$A,My_Audit!F:F,""),
_xlfn.IFS(_xlpm.MyAuditVal&lt;&gt;"",_xlpm.MyAuditVal,_xlpm.MacVal&lt;&gt;"",_xlpm.MacVal,_xlpm.CSVVal&lt;&gt;"",PROPER(_xlpm.CSVVal)
)),"")</f>
        <v/>
      </c>
      <c r="H642" s="2" t="str" cm="1">
        <f t="array" ref="H642">IFERROR(_xlfn.LET(
_xlpm.CSVVal,_xlfn.XLOOKUP($A642,CSV!$A:$A,CSV!H:H,""),
_xlpm.MacVal,_xlfn.XLOOKUP($A642,Output_Mac!$A:$A,Output_Mac!H:H,""),
_xlpm.MyAuditVal,_xlfn.XLOOKUP($A642,My_Audit!$A:$A,My_Audit!G:G,""),
_xlfn.IFS(_xlpm.MyAuditVal&lt;&gt;"",_xlpm.MyAuditVal,_xlpm.MacVal&lt;&gt;"",_xlpm.MacVal,_xlpm.CSVVal&lt;&gt;"",_xlpm.CSVVal
)),"")</f>
        <v/>
      </c>
      <c r="I642" s="2" t="str">
        <f>_xlfn.XLOOKUP(A642,Output_Mac!A:A,Output_Mac!I:I,"")</f>
        <v/>
      </c>
      <c r="J642" s="2" t="str" cm="1">
        <f t="array" ref="J642">IFERROR(_xlfn.LET(
_xlpm.CSVVal,_xlfn.XLOOKUP($A642,CSV!$A:$A,CSV!I:I,""),
_xlpm.MacVal,_xlfn.XLOOKUP($A642,Output_Mac!$A:$A,Output_Mac!J:J,""),
_xlpm.MyAuditVal,_xlfn.XLOOKUP($A642,My_Audit!$A:$A,My_Audit!I:I,""),
_xlfn.IFS(_xlpm.MyAuditVal&lt;&gt;"",UPPER(_xlpm.MyAuditVal),_xlpm.MacVal&lt;&gt;"",_xlpm.MacVal,_xlpm.CSVVal&lt;&gt;"",_xlpm.CSVVal
)),"")</f>
        <v/>
      </c>
      <c r="K642" s="2" t="str" cm="1">
        <f t="array" ref="K642">IFERROR(_xlfn.LET(
_xlpm.CSVVal,_xlfn.XLOOKUP($A642,CSV!$A:$A,CSV!K:K,""),
_xlpm.MacVal,_xlfn.XLOOKUP($A642,Output_Mac!$A:$A,Output_Mac!K:K,""),
_xlpm.MyAuditVal,_xlfn.XLOOKUP($A642,My_Audit!$A:$A,My_Audit!J:J,""),
_xlfn.IFS(_xlpm.MyAuditVal&lt;&gt;"",UPPER(_xlpm.MyAuditVal),_xlpm.MacVal&lt;&gt;"",_xlpm.MacVal,_xlpm.CSVVal&lt;&gt;"",_xlpm.CSVVal
)),"")</f>
        <v/>
      </c>
      <c r="L642" s="2" t="str" cm="1">
        <f t="array" ref="L642">IFERROR(_xlfn.LET(
_xlpm.CSVVal,_xlfn.XLOOKUP($A642,CSV!$A:$A,CSV!P:P,""),
_xlpm.MacVal,_xlfn.XLOOKUP($A642,Output_Mac!$A:$A,Output_Mac!L:L,""),
_xlpm.MyAuditVal,_xlfn.XLOOKUP($A642,My_Audit!$A:$A,My_Audit!K:K,""),
_xlfn.IFS(_xlpm.MyAuditVal&lt;&gt;"",UPPER(_xlpm.MyAuditVal),_xlpm.MacVal&lt;&gt;"",_xlpm.MacVal,_xlpm.CSVVal&lt;&gt;"",_xlpm.CSVVal
)),"")</f>
        <v/>
      </c>
      <c r="M642" s="2" t="str" cm="1">
        <f t="array" ref="M642">IFERROR(_xlfn.LET(
_xlpm.CSVVal,_xlfn.XLOOKUP($A642,CSV!$A:$A,CSV!Q:Q,""),
_xlpm.MacVal,_xlfn.XLOOKUP($A642,Output_Mac!$A:$A,Output_Mac!M:M,""),
_xlpm.MyAuditVal,_xlfn.XLOOKUP($A642,My_Audit!$A:$A,My_Audit!L:L,""),
_xlfn.IFS(_xlpm.MyAuditVal&lt;&gt;"",UPPER(_xlpm.MyAuditVal),_xlpm.MacVal&lt;&gt;"",_xlpm.MacVal,_xlpm.CSVVal&lt;&gt;"",_xlpm.CSVVal
)),"")</f>
        <v/>
      </c>
      <c r="O642" s="2" t="str">
        <f>_xlfn.LET(
    _xlpm.CSVVal, _xlfn.XLOOKUP($A642, CSV!$A:$A, CSV!AF:AF, ""),
    _xlpm.MacVal, _xlfn.XLOOKUP($A642, Output_Mac!$A:$A, Output_Mac!S:S, ""),
    _xlpm.MyAuditVal, _xlfn.XLOOKUP($A642, My_Audit!$A:$A, My_Audit!P:P, ""),
    _xlfn.TEXTJOIN(", ", TRUE, _xlpm.MyAuditVal, _xlpm.MacVal, _xlpm.CSVVal)
)</f>
        <v/>
      </c>
      <c r="P642" s="2" t="str" cm="1">
        <f t="array" ref="P642">IFERROR(_xlfn.LET(
_xlpm.CSVVal,_xlfn.XLOOKUP($A642,CSV!$A:$A,CSV!AG:AG,""),
_xlpm.MacVal,_xlfn.XLOOKUP($A642,Output_Mac!$A:$A,Output_Mac!T:T,""),
_xlpm.MyAuditVal,_xlfn.XLOOKUP($A642,My_Audit!$A:$A,My_Audit!Q:Q,""),
_xlfn.IFS(_xlpm.MyAuditVal&lt;&gt;"",UPPER(_xlpm.MyAuditVal),_xlpm.MacVal&lt;&gt;"",_xlpm.MacVal,_xlpm.CSVVal&lt;&gt;"",_xlpm.CSVVal
)),"No")</f>
        <v>No</v>
      </c>
      <c r="Q642" s="2" t="str" cm="1">
        <f t="array" ref="Q642">IFERROR(_xlfn.LET(
_xlpm.CSVVal,_xlfn.XLOOKUP($A642,CSV!$A:$A,CSV!AH:AH,""),
_xlpm.MacVal,_xlfn.XLOOKUP($A642,Output_Mac!$A:$A,Output_Mac!U:U,""),
_xlpm.MyAuditVal,_xlfn.XLOOKUP($A642,My_Audit!$A:$A,My_Audit!R:R,""),
_xlfn.IFS(_xlpm.MyAuditVal&lt;&gt;"",UPPER(_xlpm.MyAuditVal),_xlpm.MacVal&lt;&gt;"",_xlpm.MacVal,_xlpm.CSVVal&lt;&gt;"",_xlpm.CSVVal
)),"")</f>
        <v/>
      </c>
    </row>
    <row r="643" spans="1:17">
      <c r="A643" s="2" t="str">
        <f>_xlfn.TEXTJOIN("",TRUE,Input!$B$2,ROW(My_Audit!A642))</f>
        <v>XX642</v>
      </c>
      <c r="B643" s="2" t="str">
        <f>_xlfn.TEXTJOIN("-",TRUE,"ITD",Input!$A$2,A643)</f>
        <v>ITD-SHRXXX-XX642</v>
      </c>
      <c r="C643" s="2" t="str" cm="1">
        <f t="array" ref="C643">IFERROR(_xlfn.LET(
_xlpm.CSVVal,_xlfn.XLOOKUP($A643,CSV!$A:$A,CSV!B:B,""),
_xlpm.MacVal,_xlfn.XLOOKUP($A643,Output_Mac!$A:$A,Output_Mac!B:B,""),
_xlpm.MyAuditVal,_xlfn.XLOOKUP($A643,My_Audit!$A:$A,My_Audit!B:B,""),
_xlfn.IFS(_xlpm.MyAuditVal&lt;&gt;"",UPPER(_xlpm.MyAuditVal),_xlpm.MacVal&lt;&gt;"",_xlpm.MacVal,_xlpm.CSVVal&lt;&gt;"",_xlpm.CSVVal
)),"")</f>
        <v/>
      </c>
      <c r="D643" s="2" t="str" cm="1">
        <f t="array" ref="D643">IFERROR(_xlfn.LET(
_xlpm.CSVVal,_xlfn.XLOOKUP($A643,CSV!$A:$A,CSV!D:D,""),
_xlpm.MacVal,_xlfn.XLOOKUP($A643,Output_Mac!$A:$A,Output_Mac!C:C,""),
_xlpm.MyAuditVal,_xlfn.XLOOKUP($A643,My_Audit!$A:$A,My_Audit!C:C,""),
_xlfn.IFS(_xlpm.MyAuditVal&lt;&gt;"",_xlpm.MyAuditVal,_xlpm.MacVal&lt;&gt;"",_xlpm.MacVal,_xlpm.CSVVal&lt;&gt;"",_xlpm.CSVVal
)),"")</f>
        <v/>
      </c>
      <c r="E643" s="2" t="str">
        <f>_xlfn.XLOOKUP(A643,My_Audit!A:A,My_Audit!D:D,"")&amp;""</f>
        <v/>
      </c>
      <c r="F643" s="2" t="str" cm="1">
        <f t="array" ref="F643">IFERROR(_xlfn.LET(
_xlpm.CSVVal,_xlfn.XLOOKUP($A643,CSV!$A:$A,CSV!F:F,""),
_xlpm.MacVal,_xlfn.XLOOKUP($A643,Output_Mac!$A:$A,Output_Mac!E:E,""),
_xlpm.MyAuditVal,_xlfn.XLOOKUP($A643,My_Audit!$A:$A,My_Audit!E:E,""),
_xlfn.IFS(_xlpm.MyAuditVal&lt;&gt;"",_xlpm.MyAuditVal,_xlpm.MacVal&lt;&gt;"",_xlpm.MacVal,_xlpm.CSVVal&lt;&gt;"",_xlpm.CSVVal
)),"")</f>
        <v/>
      </c>
      <c r="G643" s="2" t="str" cm="1">
        <f t="array" ref="G643">IFERROR(_xlfn.LET(
_xlpm.CSVVal,_xlfn.XLOOKUP($A643,CSV!$A:$A,CSV!G:G,""),
_xlpm.MacVal,_xlfn.XLOOKUP($A643,Output_Mac!$A:$A,Output_Mac!F:F,""),
_xlpm.MyAuditVal,_xlfn.XLOOKUP($A643,My_Audit!$A:$A,My_Audit!F:F,""),
_xlfn.IFS(_xlpm.MyAuditVal&lt;&gt;"",_xlpm.MyAuditVal,_xlpm.MacVal&lt;&gt;"",_xlpm.MacVal,_xlpm.CSVVal&lt;&gt;"",PROPER(_xlpm.CSVVal)
)),"")</f>
        <v/>
      </c>
      <c r="H643" s="2" t="str" cm="1">
        <f t="array" ref="H643">IFERROR(_xlfn.LET(
_xlpm.CSVVal,_xlfn.XLOOKUP($A643,CSV!$A:$A,CSV!H:H,""),
_xlpm.MacVal,_xlfn.XLOOKUP($A643,Output_Mac!$A:$A,Output_Mac!H:H,""),
_xlpm.MyAuditVal,_xlfn.XLOOKUP($A643,My_Audit!$A:$A,My_Audit!G:G,""),
_xlfn.IFS(_xlpm.MyAuditVal&lt;&gt;"",_xlpm.MyAuditVal,_xlpm.MacVal&lt;&gt;"",_xlpm.MacVal,_xlpm.CSVVal&lt;&gt;"",_xlpm.CSVVal
)),"")</f>
        <v/>
      </c>
      <c r="I643" s="2" t="str">
        <f>_xlfn.XLOOKUP(A643,Output_Mac!A:A,Output_Mac!I:I,"")</f>
        <v/>
      </c>
      <c r="J643" s="2" t="str" cm="1">
        <f t="array" ref="J643">IFERROR(_xlfn.LET(
_xlpm.CSVVal,_xlfn.XLOOKUP($A643,CSV!$A:$A,CSV!I:I,""),
_xlpm.MacVal,_xlfn.XLOOKUP($A643,Output_Mac!$A:$A,Output_Mac!J:J,""),
_xlpm.MyAuditVal,_xlfn.XLOOKUP($A643,My_Audit!$A:$A,My_Audit!I:I,""),
_xlfn.IFS(_xlpm.MyAuditVal&lt;&gt;"",UPPER(_xlpm.MyAuditVal),_xlpm.MacVal&lt;&gt;"",_xlpm.MacVal,_xlpm.CSVVal&lt;&gt;"",_xlpm.CSVVal
)),"")</f>
        <v/>
      </c>
      <c r="K643" s="2" t="str" cm="1">
        <f t="array" ref="K643">IFERROR(_xlfn.LET(
_xlpm.CSVVal,_xlfn.XLOOKUP($A643,CSV!$A:$A,CSV!K:K,""),
_xlpm.MacVal,_xlfn.XLOOKUP($A643,Output_Mac!$A:$A,Output_Mac!K:K,""),
_xlpm.MyAuditVal,_xlfn.XLOOKUP($A643,My_Audit!$A:$A,My_Audit!J:J,""),
_xlfn.IFS(_xlpm.MyAuditVal&lt;&gt;"",UPPER(_xlpm.MyAuditVal),_xlpm.MacVal&lt;&gt;"",_xlpm.MacVal,_xlpm.CSVVal&lt;&gt;"",_xlpm.CSVVal
)),"")</f>
        <v/>
      </c>
      <c r="L643" s="2" t="str" cm="1">
        <f t="array" ref="L643">IFERROR(_xlfn.LET(
_xlpm.CSVVal,_xlfn.XLOOKUP($A643,CSV!$A:$A,CSV!P:P,""),
_xlpm.MacVal,_xlfn.XLOOKUP($A643,Output_Mac!$A:$A,Output_Mac!L:L,""),
_xlpm.MyAuditVal,_xlfn.XLOOKUP($A643,My_Audit!$A:$A,My_Audit!K:K,""),
_xlfn.IFS(_xlpm.MyAuditVal&lt;&gt;"",UPPER(_xlpm.MyAuditVal),_xlpm.MacVal&lt;&gt;"",_xlpm.MacVal,_xlpm.CSVVal&lt;&gt;"",_xlpm.CSVVal
)),"")</f>
        <v/>
      </c>
      <c r="M643" s="2" t="str" cm="1">
        <f t="array" ref="M643">IFERROR(_xlfn.LET(
_xlpm.CSVVal,_xlfn.XLOOKUP($A643,CSV!$A:$A,CSV!Q:Q,""),
_xlpm.MacVal,_xlfn.XLOOKUP($A643,Output_Mac!$A:$A,Output_Mac!M:M,""),
_xlpm.MyAuditVal,_xlfn.XLOOKUP($A643,My_Audit!$A:$A,My_Audit!L:L,""),
_xlfn.IFS(_xlpm.MyAuditVal&lt;&gt;"",UPPER(_xlpm.MyAuditVal),_xlpm.MacVal&lt;&gt;"",_xlpm.MacVal,_xlpm.CSVVal&lt;&gt;"",_xlpm.CSVVal
)),"")</f>
        <v/>
      </c>
      <c r="O643" s="2" t="str">
        <f>_xlfn.LET(
    _xlpm.CSVVal, _xlfn.XLOOKUP($A643, CSV!$A:$A, CSV!AF:AF, ""),
    _xlpm.MacVal, _xlfn.XLOOKUP($A643, Output_Mac!$A:$A, Output_Mac!S:S, ""),
    _xlpm.MyAuditVal, _xlfn.XLOOKUP($A643, My_Audit!$A:$A, My_Audit!P:P, ""),
    _xlfn.TEXTJOIN(", ", TRUE, _xlpm.MyAuditVal, _xlpm.MacVal, _xlpm.CSVVal)
)</f>
        <v/>
      </c>
      <c r="P643" s="2" t="str" cm="1">
        <f t="array" ref="P643">IFERROR(_xlfn.LET(
_xlpm.CSVVal,_xlfn.XLOOKUP($A643,CSV!$A:$A,CSV!AG:AG,""),
_xlpm.MacVal,_xlfn.XLOOKUP($A643,Output_Mac!$A:$A,Output_Mac!T:T,""),
_xlpm.MyAuditVal,_xlfn.XLOOKUP($A643,My_Audit!$A:$A,My_Audit!Q:Q,""),
_xlfn.IFS(_xlpm.MyAuditVal&lt;&gt;"",UPPER(_xlpm.MyAuditVal),_xlpm.MacVal&lt;&gt;"",_xlpm.MacVal,_xlpm.CSVVal&lt;&gt;"",_xlpm.CSVVal
)),"No")</f>
        <v>No</v>
      </c>
      <c r="Q643" s="2" t="str" cm="1">
        <f t="array" ref="Q643">IFERROR(_xlfn.LET(
_xlpm.CSVVal,_xlfn.XLOOKUP($A643,CSV!$A:$A,CSV!AH:AH,""),
_xlpm.MacVal,_xlfn.XLOOKUP($A643,Output_Mac!$A:$A,Output_Mac!U:U,""),
_xlpm.MyAuditVal,_xlfn.XLOOKUP($A643,My_Audit!$A:$A,My_Audit!R:R,""),
_xlfn.IFS(_xlpm.MyAuditVal&lt;&gt;"",UPPER(_xlpm.MyAuditVal),_xlpm.MacVal&lt;&gt;"",_xlpm.MacVal,_xlpm.CSVVal&lt;&gt;"",_xlpm.CSVVal
)),"")</f>
        <v/>
      </c>
    </row>
    <row r="644" spans="1:17">
      <c r="A644" s="2" t="str">
        <f>_xlfn.TEXTJOIN("",TRUE,Input!$B$2,ROW(My_Audit!A643))</f>
        <v>XX643</v>
      </c>
      <c r="B644" s="2" t="str">
        <f>_xlfn.TEXTJOIN("-",TRUE,"ITD",Input!$A$2,A644)</f>
        <v>ITD-SHRXXX-XX643</v>
      </c>
      <c r="C644" s="2" t="str" cm="1">
        <f t="array" ref="C644">IFERROR(_xlfn.LET(
_xlpm.CSVVal,_xlfn.XLOOKUP($A644,CSV!$A:$A,CSV!B:B,""),
_xlpm.MacVal,_xlfn.XLOOKUP($A644,Output_Mac!$A:$A,Output_Mac!B:B,""),
_xlpm.MyAuditVal,_xlfn.XLOOKUP($A644,My_Audit!$A:$A,My_Audit!B:B,""),
_xlfn.IFS(_xlpm.MyAuditVal&lt;&gt;"",UPPER(_xlpm.MyAuditVal),_xlpm.MacVal&lt;&gt;"",_xlpm.MacVal,_xlpm.CSVVal&lt;&gt;"",_xlpm.CSVVal
)),"")</f>
        <v/>
      </c>
      <c r="D644" s="2" t="str" cm="1">
        <f t="array" ref="D644">IFERROR(_xlfn.LET(
_xlpm.CSVVal,_xlfn.XLOOKUP($A644,CSV!$A:$A,CSV!D:D,""),
_xlpm.MacVal,_xlfn.XLOOKUP($A644,Output_Mac!$A:$A,Output_Mac!C:C,""),
_xlpm.MyAuditVal,_xlfn.XLOOKUP($A644,My_Audit!$A:$A,My_Audit!C:C,""),
_xlfn.IFS(_xlpm.MyAuditVal&lt;&gt;"",_xlpm.MyAuditVal,_xlpm.MacVal&lt;&gt;"",_xlpm.MacVal,_xlpm.CSVVal&lt;&gt;"",_xlpm.CSVVal
)),"")</f>
        <v/>
      </c>
      <c r="E644" s="2" t="str">
        <f>_xlfn.XLOOKUP(A644,My_Audit!A:A,My_Audit!D:D,"")&amp;""</f>
        <v/>
      </c>
      <c r="F644" s="2" t="str" cm="1">
        <f t="array" ref="F644">IFERROR(_xlfn.LET(
_xlpm.CSVVal,_xlfn.XLOOKUP($A644,CSV!$A:$A,CSV!F:F,""),
_xlpm.MacVal,_xlfn.XLOOKUP($A644,Output_Mac!$A:$A,Output_Mac!E:E,""),
_xlpm.MyAuditVal,_xlfn.XLOOKUP($A644,My_Audit!$A:$A,My_Audit!E:E,""),
_xlfn.IFS(_xlpm.MyAuditVal&lt;&gt;"",_xlpm.MyAuditVal,_xlpm.MacVal&lt;&gt;"",_xlpm.MacVal,_xlpm.CSVVal&lt;&gt;"",_xlpm.CSVVal
)),"")</f>
        <v/>
      </c>
      <c r="G644" s="2" t="str" cm="1">
        <f t="array" ref="G644">IFERROR(_xlfn.LET(
_xlpm.CSVVal,_xlfn.XLOOKUP($A644,CSV!$A:$A,CSV!G:G,""),
_xlpm.MacVal,_xlfn.XLOOKUP($A644,Output_Mac!$A:$A,Output_Mac!F:F,""),
_xlpm.MyAuditVal,_xlfn.XLOOKUP($A644,My_Audit!$A:$A,My_Audit!F:F,""),
_xlfn.IFS(_xlpm.MyAuditVal&lt;&gt;"",_xlpm.MyAuditVal,_xlpm.MacVal&lt;&gt;"",_xlpm.MacVal,_xlpm.CSVVal&lt;&gt;"",PROPER(_xlpm.CSVVal)
)),"")</f>
        <v/>
      </c>
      <c r="H644" s="2" t="str" cm="1">
        <f t="array" ref="H644">IFERROR(_xlfn.LET(
_xlpm.CSVVal,_xlfn.XLOOKUP($A644,CSV!$A:$A,CSV!H:H,""),
_xlpm.MacVal,_xlfn.XLOOKUP($A644,Output_Mac!$A:$A,Output_Mac!H:H,""),
_xlpm.MyAuditVal,_xlfn.XLOOKUP($A644,My_Audit!$A:$A,My_Audit!G:G,""),
_xlfn.IFS(_xlpm.MyAuditVal&lt;&gt;"",_xlpm.MyAuditVal,_xlpm.MacVal&lt;&gt;"",_xlpm.MacVal,_xlpm.CSVVal&lt;&gt;"",_xlpm.CSVVal
)),"")</f>
        <v/>
      </c>
      <c r="I644" s="2" t="str">
        <f>_xlfn.XLOOKUP(A644,Output_Mac!A:A,Output_Mac!I:I,"")</f>
        <v/>
      </c>
      <c r="J644" s="2" t="str" cm="1">
        <f t="array" ref="J644">IFERROR(_xlfn.LET(
_xlpm.CSVVal,_xlfn.XLOOKUP($A644,CSV!$A:$A,CSV!I:I,""),
_xlpm.MacVal,_xlfn.XLOOKUP($A644,Output_Mac!$A:$A,Output_Mac!J:J,""),
_xlpm.MyAuditVal,_xlfn.XLOOKUP($A644,My_Audit!$A:$A,My_Audit!I:I,""),
_xlfn.IFS(_xlpm.MyAuditVal&lt;&gt;"",UPPER(_xlpm.MyAuditVal),_xlpm.MacVal&lt;&gt;"",_xlpm.MacVal,_xlpm.CSVVal&lt;&gt;"",_xlpm.CSVVal
)),"")</f>
        <v/>
      </c>
      <c r="K644" s="2" t="str" cm="1">
        <f t="array" ref="K644">IFERROR(_xlfn.LET(
_xlpm.CSVVal,_xlfn.XLOOKUP($A644,CSV!$A:$A,CSV!K:K,""),
_xlpm.MacVal,_xlfn.XLOOKUP($A644,Output_Mac!$A:$A,Output_Mac!K:K,""),
_xlpm.MyAuditVal,_xlfn.XLOOKUP($A644,My_Audit!$A:$A,My_Audit!J:J,""),
_xlfn.IFS(_xlpm.MyAuditVal&lt;&gt;"",UPPER(_xlpm.MyAuditVal),_xlpm.MacVal&lt;&gt;"",_xlpm.MacVal,_xlpm.CSVVal&lt;&gt;"",_xlpm.CSVVal
)),"")</f>
        <v/>
      </c>
      <c r="L644" s="2" t="str" cm="1">
        <f t="array" ref="L644">IFERROR(_xlfn.LET(
_xlpm.CSVVal,_xlfn.XLOOKUP($A644,CSV!$A:$A,CSV!P:P,""),
_xlpm.MacVal,_xlfn.XLOOKUP($A644,Output_Mac!$A:$A,Output_Mac!L:L,""),
_xlpm.MyAuditVal,_xlfn.XLOOKUP($A644,My_Audit!$A:$A,My_Audit!K:K,""),
_xlfn.IFS(_xlpm.MyAuditVal&lt;&gt;"",UPPER(_xlpm.MyAuditVal),_xlpm.MacVal&lt;&gt;"",_xlpm.MacVal,_xlpm.CSVVal&lt;&gt;"",_xlpm.CSVVal
)),"")</f>
        <v/>
      </c>
      <c r="M644" s="2" t="str" cm="1">
        <f t="array" ref="M644">IFERROR(_xlfn.LET(
_xlpm.CSVVal,_xlfn.XLOOKUP($A644,CSV!$A:$A,CSV!Q:Q,""),
_xlpm.MacVal,_xlfn.XLOOKUP($A644,Output_Mac!$A:$A,Output_Mac!M:M,""),
_xlpm.MyAuditVal,_xlfn.XLOOKUP($A644,My_Audit!$A:$A,My_Audit!L:L,""),
_xlfn.IFS(_xlpm.MyAuditVal&lt;&gt;"",UPPER(_xlpm.MyAuditVal),_xlpm.MacVal&lt;&gt;"",_xlpm.MacVal,_xlpm.CSVVal&lt;&gt;"",_xlpm.CSVVal
)),"")</f>
        <v/>
      </c>
      <c r="O644" s="2" t="str">
        <f>_xlfn.LET(
    _xlpm.CSVVal, _xlfn.XLOOKUP($A644, CSV!$A:$A, CSV!AF:AF, ""),
    _xlpm.MacVal, _xlfn.XLOOKUP($A644, Output_Mac!$A:$A, Output_Mac!S:S, ""),
    _xlpm.MyAuditVal, _xlfn.XLOOKUP($A644, My_Audit!$A:$A, My_Audit!P:P, ""),
    _xlfn.TEXTJOIN(", ", TRUE, _xlpm.MyAuditVal, _xlpm.MacVal, _xlpm.CSVVal)
)</f>
        <v/>
      </c>
      <c r="P644" s="2" t="str" cm="1">
        <f t="array" ref="P644">IFERROR(_xlfn.LET(
_xlpm.CSVVal,_xlfn.XLOOKUP($A644,CSV!$A:$A,CSV!AG:AG,""),
_xlpm.MacVal,_xlfn.XLOOKUP($A644,Output_Mac!$A:$A,Output_Mac!T:T,""),
_xlpm.MyAuditVal,_xlfn.XLOOKUP($A644,My_Audit!$A:$A,My_Audit!Q:Q,""),
_xlfn.IFS(_xlpm.MyAuditVal&lt;&gt;"",UPPER(_xlpm.MyAuditVal),_xlpm.MacVal&lt;&gt;"",_xlpm.MacVal,_xlpm.CSVVal&lt;&gt;"",_xlpm.CSVVal
)),"No")</f>
        <v>No</v>
      </c>
      <c r="Q644" s="2" t="str" cm="1">
        <f t="array" ref="Q644">IFERROR(_xlfn.LET(
_xlpm.CSVVal,_xlfn.XLOOKUP($A644,CSV!$A:$A,CSV!AH:AH,""),
_xlpm.MacVal,_xlfn.XLOOKUP($A644,Output_Mac!$A:$A,Output_Mac!U:U,""),
_xlpm.MyAuditVal,_xlfn.XLOOKUP($A644,My_Audit!$A:$A,My_Audit!R:R,""),
_xlfn.IFS(_xlpm.MyAuditVal&lt;&gt;"",UPPER(_xlpm.MyAuditVal),_xlpm.MacVal&lt;&gt;"",_xlpm.MacVal,_xlpm.CSVVal&lt;&gt;"",_xlpm.CSVVal
)),"")</f>
        <v/>
      </c>
    </row>
    <row r="645" spans="1:17">
      <c r="A645" s="2" t="str">
        <f>_xlfn.TEXTJOIN("",TRUE,Input!$B$2,ROW(My_Audit!A644))</f>
        <v>XX644</v>
      </c>
      <c r="B645" s="2" t="str">
        <f>_xlfn.TEXTJOIN("-",TRUE,"ITD",Input!$A$2,A645)</f>
        <v>ITD-SHRXXX-XX644</v>
      </c>
      <c r="C645" s="2" t="str" cm="1">
        <f t="array" ref="C645">IFERROR(_xlfn.LET(
_xlpm.CSVVal,_xlfn.XLOOKUP($A645,CSV!$A:$A,CSV!B:B,""),
_xlpm.MacVal,_xlfn.XLOOKUP($A645,Output_Mac!$A:$A,Output_Mac!B:B,""),
_xlpm.MyAuditVal,_xlfn.XLOOKUP($A645,My_Audit!$A:$A,My_Audit!B:B,""),
_xlfn.IFS(_xlpm.MyAuditVal&lt;&gt;"",UPPER(_xlpm.MyAuditVal),_xlpm.MacVal&lt;&gt;"",_xlpm.MacVal,_xlpm.CSVVal&lt;&gt;"",_xlpm.CSVVal
)),"")</f>
        <v/>
      </c>
      <c r="D645" s="2" t="str" cm="1">
        <f t="array" ref="D645">IFERROR(_xlfn.LET(
_xlpm.CSVVal,_xlfn.XLOOKUP($A645,CSV!$A:$A,CSV!D:D,""),
_xlpm.MacVal,_xlfn.XLOOKUP($A645,Output_Mac!$A:$A,Output_Mac!C:C,""),
_xlpm.MyAuditVal,_xlfn.XLOOKUP($A645,My_Audit!$A:$A,My_Audit!C:C,""),
_xlfn.IFS(_xlpm.MyAuditVal&lt;&gt;"",_xlpm.MyAuditVal,_xlpm.MacVal&lt;&gt;"",_xlpm.MacVal,_xlpm.CSVVal&lt;&gt;"",_xlpm.CSVVal
)),"")</f>
        <v/>
      </c>
      <c r="E645" s="2" t="str">
        <f>_xlfn.XLOOKUP(A645,My_Audit!A:A,My_Audit!D:D,"")&amp;""</f>
        <v/>
      </c>
      <c r="F645" s="2" t="str" cm="1">
        <f t="array" ref="F645">IFERROR(_xlfn.LET(
_xlpm.CSVVal,_xlfn.XLOOKUP($A645,CSV!$A:$A,CSV!F:F,""),
_xlpm.MacVal,_xlfn.XLOOKUP($A645,Output_Mac!$A:$A,Output_Mac!E:E,""),
_xlpm.MyAuditVal,_xlfn.XLOOKUP($A645,My_Audit!$A:$A,My_Audit!E:E,""),
_xlfn.IFS(_xlpm.MyAuditVal&lt;&gt;"",_xlpm.MyAuditVal,_xlpm.MacVal&lt;&gt;"",_xlpm.MacVal,_xlpm.CSVVal&lt;&gt;"",_xlpm.CSVVal
)),"")</f>
        <v/>
      </c>
      <c r="G645" s="2" t="str" cm="1">
        <f t="array" ref="G645">IFERROR(_xlfn.LET(
_xlpm.CSVVal,_xlfn.XLOOKUP($A645,CSV!$A:$A,CSV!G:G,""),
_xlpm.MacVal,_xlfn.XLOOKUP($A645,Output_Mac!$A:$A,Output_Mac!F:F,""),
_xlpm.MyAuditVal,_xlfn.XLOOKUP($A645,My_Audit!$A:$A,My_Audit!F:F,""),
_xlfn.IFS(_xlpm.MyAuditVal&lt;&gt;"",_xlpm.MyAuditVal,_xlpm.MacVal&lt;&gt;"",_xlpm.MacVal,_xlpm.CSVVal&lt;&gt;"",PROPER(_xlpm.CSVVal)
)),"")</f>
        <v/>
      </c>
      <c r="H645" s="2" t="str" cm="1">
        <f t="array" ref="H645">IFERROR(_xlfn.LET(
_xlpm.CSVVal,_xlfn.XLOOKUP($A645,CSV!$A:$A,CSV!H:H,""),
_xlpm.MacVal,_xlfn.XLOOKUP($A645,Output_Mac!$A:$A,Output_Mac!H:H,""),
_xlpm.MyAuditVal,_xlfn.XLOOKUP($A645,My_Audit!$A:$A,My_Audit!G:G,""),
_xlfn.IFS(_xlpm.MyAuditVal&lt;&gt;"",_xlpm.MyAuditVal,_xlpm.MacVal&lt;&gt;"",_xlpm.MacVal,_xlpm.CSVVal&lt;&gt;"",_xlpm.CSVVal
)),"")</f>
        <v/>
      </c>
      <c r="I645" s="2" t="str">
        <f>_xlfn.XLOOKUP(A645,Output_Mac!A:A,Output_Mac!I:I,"")</f>
        <v/>
      </c>
      <c r="J645" s="2" t="str" cm="1">
        <f t="array" ref="J645">IFERROR(_xlfn.LET(
_xlpm.CSVVal,_xlfn.XLOOKUP($A645,CSV!$A:$A,CSV!I:I,""),
_xlpm.MacVal,_xlfn.XLOOKUP($A645,Output_Mac!$A:$A,Output_Mac!J:J,""),
_xlpm.MyAuditVal,_xlfn.XLOOKUP($A645,My_Audit!$A:$A,My_Audit!I:I,""),
_xlfn.IFS(_xlpm.MyAuditVal&lt;&gt;"",UPPER(_xlpm.MyAuditVal),_xlpm.MacVal&lt;&gt;"",_xlpm.MacVal,_xlpm.CSVVal&lt;&gt;"",_xlpm.CSVVal
)),"")</f>
        <v/>
      </c>
      <c r="K645" s="2" t="str" cm="1">
        <f t="array" ref="K645">IFERROR(_xlfn.LET(
_xlpm.CSVVal,_xlfn.XLOOKUP($A645,CSV!$A:$A,CSV!K:K,""),
_xlpm.MacVal,_xlfn.XLOOKUP($A645,Output_Mac!$A:$A,Output_Mac!K:K,""),
_xlpm.MyAuditVal,_xlfn.XLOOKUP($A645,My_Audit!$A:$A,My_Audit!J:J,""),
_xlfn.IFS(_xlpm.MyAuditVal&lt;&gt;"",UPPER(_xlpm.MyAuditVal),_xlpm.MacVal&lt;&gt;"",_xlpm.MacVal,_xlpm.CSVVal&lt;&gt;"",_xlpm.CSVVal
)),"")</f>
        <v/>
      </c>
      <c r="L645" s="2" t="str" cm="1">
        <f t="array" ref="L645">IFERROR(_xlfn.LET(
_xlpm.CSVVal,_xlfn.XLOOKUP($A645,CSV!$A:$A,CSV!P:P,""),
_xlpm.MacVal,_xlfn.XLOOKUP($A645,Output_Mac!$A:$A,Output_Mac!L:L,""),
_xlpm.MyAuditVal,_xlfn.XLOOKUP($A645,My_Audit!$A:$A,My_Audit!K:K,""),
_xlfn.IFS(_xlpm.MyAuditVal&lt;&gt;"",UPPER(_xlpm.MyAuditVal),_xlpm.MacVal&lt;&gt;"",_xlpm.MacVal,_xlpm.CSVVal&lt;&gt;"",_xlpm.CSVVal
)),"")</f>
        <v/>
      </c>
      <c r="M645" s="2" t="str" cm="1">
        <f t="array" ref="M645">IFERROR(_xlfn.LET(
_xlpm.CSVVal,_xlfn.XLOOKUP($A645,CSV!$A:$A,CSV!Q:Q,""),
_xlpm.MacVal,_xlfn.XLOOKUP($A645,Output_Mac!$A:$A,Output_Mac!M:M,""),
_xlpm.MyAuditVal,_xlfn.XLOOKUP($A645,My_Audit!$A:$A,My_Audit!L:L,""),
_xlfn.IFS(_xlpm.MyAuditVal&lt;&gt;"",UPPER(_xlpm.MyAuditVal),_xlpm.MacVal&lt;&gt;"",_xlpm.MacVal,_xlpm.CSVVal&lt;&gt;"",_xlpm.CSVVal
)),"")</f>
        <v/>
      </c>
      <c r="O645" s="2" t="str">
        <f>_xlfn.LET(
    _xlpm.CSVVal, _xlfn.XLOOKUP($A645, CSV!$A:$A, CSV!AF:AF, ""),
    _xlpm.MacVal, _xlfn.XLOOKUP($A645, Output_Mac!$A:$A, Output_Mac!S:S, ""),
    _xlpm.MyAuditVal, _xlfn.XLOOKUP($A645, My_Audit!$A:$A, My_Audit!P:P, ""),
    _xlfn.TEXTJOIN(", ", TRUE, _xlpm.MyAuditVal, _xlpm.MacVal, _xlpm.CSVVal)
)</f>
        <v/>
      </c>
      <c r="P645" s="2" t="str" cm="1">
        <f t="array" ref="P645">IFERROR(_xlfn.LET(
_xlpm.CSVVal,_xlfn.XLOOKUP($A645,CSV!$A:$A,CSV!AG:AG,""),
_xlpm.MacVal,_xlfn.XLOOKUP($A645,Output_Mac!$A:$A,Output_Mac!T:T,""),
_xlpm.MyAuditVal,_xlfn.XLOOKUP($A645,My_Audit!$A:$A,My_Audit!Q:Q,""),
_xlfn.IFS(_xlpm.MyAuditVal&lt;&gt;"",UPPER(_xlpm.MyAuditVal),_xlpm.MacVal&lt;&gt;"",_xlpm.MacVal,_xlpm.CSVVal&lt;&gt;"",_xlpm.CSVVal
)),"No")</f>
        <v>No</v>
      </c>
      <c r="Q645" s="2" t="str" cm="1">
        <f t="array" ref="Q645">IFERROR(_xlfn.LET(
_xlpm.CSVVal,_xlfn.XLOOKUP($A645,CSV!$A:$A,CSV!AH:AH,""),
_xlpm.MacVal,_xlfn.XLOOKUP($A645,Output_Mac!$A:$A,Output_Mac!U:U,""),
_xlpm.MyAuditVal,_xlfn.XLOOKUP($A645,My_Audit!$A:$A,My_Audit!R:R,""),
_xlfn.IFS(_xlpm.MyAuditVal&lt;&gt;"",UPPER(_xlpm.MyAuditVal),_xlpm.MacVal&lt;&gt;"",_xlpm.MacVal,_xlpm.CSVVal&lt;&gt;"",_xlpm.CSVVal
)),"")</f>
        <v/>
      </c>
    </row>
    <row r="646" spans="1:17">
      <c r="A646" s="2" t="str">
        <f>_xlfn.TEXTJOIN("",TRUE,Input!$B$2,ROW(My_Audit!A645))</f>
        <v>XX645</v>
      </c>
      <c r="B646" s="2" t="str">
        <f>_xlfn.TEXTJOIN("-",TRUE,"ITD",Input!$A$2,A646)</f>
        <v>ITD-SHRXXX-XX645</v>
      </c>
      <c r="C646" s="2" t="str" cm="1">
        <f t="array" ref="C646">IFERROR(_xlfn.LET(
_xlpm.CSVVal,_xlfn.XLOOKUP($A646,CSV!$A:$A,CSV!B:B,""),
_xlpm.MacVal,_xlfn.XLOOKUP($A646,Output_Mac!$A:$A,Output_Mac!B:B,""),
_xlpm.MyAuditVal,_xlfn.XLOOKUP($A646,My_Audit!$A:$A,My_Audit!B:B,""),
_xlfn.IFS(_xlpm.MyAuditVal&lt;&gt;"",UPPER(_xlpm.MyAuditVal),_xlpm.MacVal&lt;&gt;"",_xlpm.MacVal,_xlpm.CSVVal&lt;&gt;"",_xlpm.CSVVal
)),"")</f>
        <v/>
      </c>
      <c r="D646" s="2" t="str" cm="1">
        <f t="array" ref="D646">IFERROR(_xlfn.LET(
_xlpm.CSVVal,_xlfn.XLOOKUP($A646,CSV!$A:$A,CSV!D:D,""),
_xlpm.MacVal,_xlfn.XLOOKUP($A646,Output_Mac!$A:$A,Output_Mac!C:C,""),
_xlpm.MyAuditVal,_xlfn.XLOOKUP($A646,My_Audit!$A:$A,My_Audit!C:C,""),
_xlfn.IFS(_xlpm.MyAuditVal&lt;&gt;"",_xlpm.MyAuditVal,_xlpm.MacVal&lt;&gt;"",_xlpm.MacVal,_xlpm.CSVVal&lt;&gt;"",_xlpm.CSVVal
)),"")</f>
        <v/>
      </c>
      <c r="E646" s="2" t="str">
        <f>_xlfn.XLOOKUP(A646,My_Audit!A:A,My_Audit!D:D,"")&amp;""</f>
        <v/>
      </c>
      <c r="F646" s="2" t="str" cm="1">
        <f t="array" ref="F646">IFERROR(_xlfn.LET(
_xlpm.CSVVal,_xlfn.XLOOKUP($A646,CSV!$A:$A,CSV!F:F,""),
_xlpm.MacVal,_xlfn.XLOOKUP($A646,Output_Mac!$A:$A,Output_Mac!E:E,""),
_xlpm.MyAuditVal,_xlfn.XLOOKUP($A646,My_Audit!$A:$A,My_Audit!E:E,""),
_xlfn.IFS(_xlpm.MyAuditVal&lt;&gt;"",_xlpm.MyAuditVal,_xlpm.MacVal&lt;&gt;"",_xlpm.MacVal,_xlpm.CSVVal&lt;&gt;"",_xlpm.CSVVal
)),"")</f>
        <v/>
      </c>
      <c r="G646" s="2" t="str" cm="1">
        <f t="array" ref="G646">IFERROR(_xlfn.LET(
_xlpm.CSVVal,_xlfn.XLOOKUP($A646,CSV!$A:$A,CSV!G:G,""),
_xlpm.MacVal,_xlfn.XLOOKUP($A646,Output_Mac!$A:$A,Output_Mac!F:F,""),
_xlpm.MyAuditVal,_xlfn.XLOOKUP($A646,My_Audit!$A:$A,My_Audit!F:F,""),
_xlfn.IFS(_xlpm.MyAuditVal&lt;&gt;"",_xlpm.MyAuditVal,_xlpm.MacVal&lt;&gt;"",_xlpm.MacVal,_xlpm.CSVVal&lt;&gt;"",PROPER(_xlpm.CSVVal)
)),"")</f>
        <v/>
      </c>
      <c r="H646" s="2" t="str" cm="1">
        <f t="array" ref="H646">IFERROR(_xlfn.LET(
_xlpm.CSVVal,_xlfn.XLOOKUP($A646,CSV!$A:$A,CSV!H:H,""),
_xlpm.MacVal,_xlfn.XLOOKUP($A646,Output_Mac!$A:$A,Output_Mac!H:H,""),
_xlpm.MyAuditVal,_xlfn.XLOOKUP($A646,My_Audit!$A:$A,My_Audit!G:G,""),
_xlfn.IFS(_xlpm.MyAuditVal&lt;&gt;"",_xlpm.MyAuditVal,_xlpm.MacVal&lt;&gt;"",_xlpm.MacVal,_xlpm.CSVVal&lt;&gt;"",_xlpm.CSVVal
)),"")</f>
        <v/>
      </c>
      <c r="I646" s="2" t="str">
        <f>_xlfn.XLOOKUP(A646,Output_Mac!A:A,Output_Mac!I:I,"")</f>
        <v/>
      </c>
      <c r="J646" s="2" t="str" cm="1">
        <f t="array" ref="J646">IFERROR(_xlfn.LET(
_xlpm.CSVVal,_xlfn.XLOOKUP($A646,CSV!$A:$A,CSV!I:I,""),
_xlpm.MacVal,_xlfn.XLOOKUP($A646,Output_Mac!$A:$A,Output_Mac!J:J,""),
_xlpm.MyAuditVal,_xlfn.XLOOKUP($A646,My_Audit!$A:$A,My_Audit!I:I,""),
_xlfn.IFS(_xlpm.MyAuditVal&lt;&gt;"",UPPER(_xlpm.MyAuditVal),_xlpm.MacVal&lt;&gt;"",_xlpm.MacVal,_xlpm.CSVVal&lt;&gt;"",_xlpm.CSVVal
)),"")</f>
        <v/>
      </c>
      <c r="K646" s="2" t="str" cm="1">
        <f t="array" ref="K646">IFERROR(_xlfn.LET(
_xlpm.CSVVal,_xlfn.XLOOKUP($A646,CSV!$A:$A,CSV!K:K,""),
_xlpm.MacVal,_xlfn.XLOOKUP($A646,Output_Mac!$A:$A,Output_Mac!K:K,""),
_xlpm.MyAuditVal,_xlfn.XLOOKUP($A646,My_Audit!$A:$A,My_Audit!J:J,""),
_xlfn.IFS(_xlpm.MyAuditVal&lt;&gt;"",UPPER(_xlpm.MyAuditVal),_xlpm.MacVal&lt;&gt;"",_xlpm.MacVal,_xlpm.CSVVal&lt;&gt;"",_xlpm.CSVVal
)),"")</f>
        <v/>
      </c>
      <c r="L646" s="2" t="str" cm="1">
        <f t="array" ref="L646">IFERROR(_xlfn.LET(
_xlpm.CSVVal,_xlfn.XLOOKUP($A646,CSV!$A:$A,CSV!P:P,""),
_xlpm.MacVal,_xlfn.XLOOKUP($A646,Output_Mac!$A:$A,Output_Mac!L:L,""),
_xlpm.MyAuditVal,_xlfn.XLOOKUP($A646,My_Audit!$A:$A,My_Audit!K:K,""),
_xlfn.IFS(_xlpm.MyAuditVal&lt;&gt;"",UPPER(_xlpm.MyAuditVal),_xlpm.MacVal&lt;&gt;"",_xlpm.MacVal,_xlpm.CSVVal&lt;&gt;"",_xlpm.CSVVal
)),"")</f>
        <v/>
      </c>
      <c r="M646" s="2" t="str" cm="1">
        <f t="array" ref="M646">IFERROR(_xlfn.LET(
_xlpm.CSVVal,_xlfn.XLOOKUP($A646,CSV!$A:$A,CSV!Q:Q,""),
_xlpm.MacVal,_xlfn.XLOOKUP($A646,Output_Mac!$A:$A,Output_Mac!M:M,""),
_xlpm.MyAuditVal,_xlfn.XLOOKUP($A646,My_Audit!$A:$A,My_Audit!L:L,""),
_xlfn.IFS(_xlpm.MyAuditVal&lt;&gt;"",UPPER(_xlpm.MyAuditVal),_xlpm.MacVal&lt;&gt;"",_xlpm.MacVal,_xlpm.CSVVal&lt;&gt;"",_xlpm.CSVVal
)),"")</f>
        <v/>
      </c>
      <c r="O646" s="2" t="str">
        <f>_xlfn.LET(
    _xlpm.CSVVal, _xlfn.XLOOKUP($A646, CSV!$A:$A, CSV!AF:AF, ""),
    _xlpm.MacVal, _xlfn.XLOOKUP($A646, Output_Mac!$A:$A, Output_Mac!S:S, ""),
    _xlpm.MyAuditVal, _xlfn.XLOOKUP($A646, My_Audit!$A:$A, My_Audit!P:P, ""),
    _xlfn.TEXTJOIN(", ", TRUE, _xlpm.MyAuditVal, _xlpm.MacVal, _xlpm.CSVVal)
)</f>
        <v/>
      </c>
      <c r="P646" s="2" t="str" cm="1">
        <f t="array" ref="P646">IFERROR(_xlfn.LET(
_xlpm.CSVVal,_xlfn.XLOOKUP($A646,CSV!$A:$A,CSV!AG:AG,""),
_xlpm.MacVal,_xlfn.XLOOKUP($A646,Output_Mac!$A:$A,Output_Mac!T:T,""),
_xlpm.MyAuditVal,_xlfn.XLOOKUP($A646,My_Audit!$A:$A,My_Audit!Q:Q,""),
_xlfn.IFS(_xlpm.MyAuditVal&lt;&gt;"",UPPER(_xlpm.MyAuditVal),_xlpm.MacVal&lt;&gt;"",_xlpm.MacVal,_xlpm.CSVVal&lt;&gt;"",_xlpm.CSVVal
)),"No")</f>
        <v>No</v>
      </c>
      <c r="Q646" s="2" t="str" cm="1">
        <f t="array" ref="Q646">IFERROR(_xlfn.LET(
_xlpm.CSVVal,_xlfn.XLOOKUP($A646,CSV!$A:$A,CSV!AH:AH,""),
_xlpm.MacVal,_xlfn.XLOOKUP($A646,Output_Mac!$A:$A,Output_Mac!U:U,""),
_xlpm.MyAuditVal,_xlfn.XLOOKUP($A646,My_Audit!$A:$A,My_Audit!R:R,""),
_xlfn.IFS(_xlpm.MyAuditVal&lt;&gt;"",UPPER(_xlpm.MyAuditVal),_xlpm.MacVal&lt;&gt;"",_xlpm.MacVal,_xlpm.CSVVal&lt;&gt;"",_xlpm.CSVVal
)),"")</f>
        <v/>
      </c>
    </row>
    <row r="647" spans="1:17">
      <c r="A647" s="2" t="str">
        <f>_xlfn.TEXTJOIN("",TRUE,Input!$B$2,ROW(My_Audit!A646))</f>
        <v>XX646</v>
      </c>
      <c r="B647" s="2" t="str">
        <f>_xlfn.TEXTJOIN("-",TRUE,"ITD",Input!$A$2,A647)</f>
        <v>ITD-SHRXXX-XX646</v>
      </c>
      <c r="C647" s="2" t="str" cm="1">
        <f t="array" ref="C647">IFERROR(_xlfn.LET(
_xlpm.CSVVal,_xlfn.XLOOKUP($A647,CSV!$A:$A,CSV!B:B,""),
_xlpm.MacVal,_xlfn.XLOOKUP($A647,Output_Mac!$A:$A,Output_Mac!B:B,""),
_xlpm.MyAuditVal,_xlfn.XLOOKUP($A647,My_Audit!$A:$A,My_Audit!B:B,""),
_xlfn.IFS(_xlpm.MyAuditVal&lt;&gt;"",UPPER(_xlpm.MyAuditVal),_xlpm.MacVal&lt;&gt;"",_xlpm.MacVal,_xlpm.CSVVal&lt;&gt;"",_xlpm.CSVVal
)),"")</f>
        <v/>
      </c>
      <c r="D647" s="2" t="str" cm="1">
        <f t="array" ref="D647">IFERROR(_xlfn.LET(
_xlpm.CSVVal,_xlfn.XLOOKUP($A647,CSV!$A:$A,CSV!D:D,""),
_xlpm.MacVal,_xlfn.XLOOKUP($A647,Output_Mac!$A:$A,Output_Mac!C:C,""),
_xlpm.MyAuditVal,_xlfn.XLOOKUP($A647,My_Audit!$A:$A,My_Audit!C:C,""),
_xlfn.IFS(_xlpm.MyAuditVal&lt;&gt;"",_xlpm.MyAuditVal,_xlpm.MacVal&lt;&gt;"",_xlpm.MacVal,_xlpm.CSVVal&lt;&gt;"",_xlpm.CSVVal
)),"")</f>
        <v/>
      </c>
      <c r="E647" s="2" t="str">
        <f>_xlfn.XLOOKUP(A647,My_Audit!A:A,My_Audit!D:D,"")&amp;""</f>
        <v/>
      </c>
      <c r="F647" s="2" t="str" cm="1">
        <f t="array" ref="F647">IFERROR(_xlfn.LET(
_xlpm.CSVVal,_xlfn.XLOOKUP($A647,CSV!$A:$A,CSV!F:F,""),
_xlpm.MacVal,_xlfn.XLOOKUP($A647,Output_Mac!$A:$A,Output_Mac!E:E,""),
_xlpm.MyAuditVal,_xlfn.XLOOKUP($A647,My_Audit!$A:$A,My_Audit!E:E,""),
_xlfn.IFS(_xlpm.MyAuditVal&lt;&gt;"",_xlpm.MyAuditVal,_xlpm.MacVal&lt;&gt;"",_xlpm.MacVal,_xlpm.CSVVal&lt;&gt;"",_xlpm.CSVVal
)),"")</f>
        <v/>
      </c>
      <c r="G647" s="2" t="str" cm="1">
        <f t="array" ref="G647">IFERROR(_xlfn.LET(
_xlpm.CSVVal,_xlfn.XLOOKUP($A647,CSV!$A:$A,CSV!G:G,""),
_xlpm.MacVal,_xlfn.XLOOKUP($A647,Output_Mac!$A:$A,Output_Mac!F:F,""),
_xlpm.MyAuditVal,_xlfn.XLOOKUP($A647,My_Audit!$A:$A,My_Audit!F:F,""),
_xlfn.IFS(_xlpm.MyAuditVal&lt;&gt;"",_xlpm.MyAuditVal,_xlpm.MacVal&lt;&gt;"",_xlpm.MacVal,_xlpm.CSVVal&lt;&gt;"",PROPER(_xlpm.CSVVal)
)),"")</f>
        <v/>
      </c>
      <c r="H647" s="2" t="str" cm="1">
        <f t="array" ref="H647">IFERROR(_xlfn.LET(
_xlpm.CSVVal,_xlfn.XLOOKUP($A647,CSV!$A:$A,CSV!H:H,""),
_xlpm.MacVal,_xlfn.XLOOKUP($A647,Output_Mac!$A:$A,Output_Mac!H:H,""),
_xlpm.MyAuditVal,_xlfn.XLOOKUP($A647,My_Audit!$A:$A,My_Audit!G:G,""),
_xlfn.IFS(_xlpm.MyAuditVal&lt;&gt;"",_xlpm.MyAuditVal,_xlpm.MacVal&lt;&gt;"",_xlpm.MacVal,_xlpm.CSVVal&lt;&gt;"",_xlpm.CSVVal
)),"")</f>
        <v/>
      </c>
      <c r="I647" s="2" t="str">
        <f>_xlfn.XLOOKUP(A647,Output_Mac!A:A,Output_Mac!I:I,"")</f>
        <v/>
      </c>
      <c r="J647" s="2" t="str" cm="1">
        <f t="array" ref="J647">IFERROR(_xlfn.LET(
_xlpm.CSVVal,_xlfn.XLOOKUP($A647,CSV!$A:$A,CSV!I:I,""),
_xlpm.MacVal,_xlfn.XLOOKUP($A647,Output_Mac!$A:$A,Output_Mac!J:J,""),
_xlpm.MyAuditVal,_xlfn.XLOOKUP($A647,My_Audit!$A:$A,My_Audit!I:I,""),
_xlfn.IFS(_xlpm.MyAuditVal&lt;&gt;"",UPPER(_xlpm.MyAuditVal),_xlpm.MacVal&lt;&gt;"",_xlpm.MacVal,_xlpm.CSVVal&lt;&gt;"",_xlpm.CSVVal
)),"")</f>
        <v/>
      </c>
      <c r="K647" s="2" t="str" cm="1">
        <f t="array" ref="K647">IFERROR(_xlfn.LET(
_xlpm.CSVVal,_xlfn.XLOOKUP($A647,CSV!$A:$A,CSV!K:K,""),
_xlpm.MacVal,_xlfn.XLOOKUP($A647,Output_Mac!$A:$A,Output_Mac!K:K,""),
_xlpm.MyAuditVal,_xlfn.XLOOKUP($A647,My_Audit!$A:$A,My_Audit!J:J,""),
_xlfn.IFS(_xlpm.MyAuditVal&lt;&gt;"",UPPER(_xlpm.MyAuditVal),_xlpm.MacVal&lt;&gt;"",_xlpm.MacVal,_xlpm.CSVVal&lt;&gt;"",_xlpm.CSVVal
)),"")</f>
        <v/>
      </c>
      <c r="L647" s="2" t="str" cm="1">
        <f t="array" ref="L647">IFERROR(_xlfn.LET(
_xlpm.CSVVal,_xlfn.XLOOKUP($A647,CSV!$A:$A,CSV!P:P,""),
_xlpm.MacVal,_xlfn.XLOOKUP($A647,Output_Mac!$A:$A,Output_Mac!L:L,""),
_xlpm.MyAuditVal,_xlfn.XLOOKUP($A647,My_Audit!$A:$A,My_Audit!K:K,""),
_xlfn.IFS(_xlpm.MyAuditVal&lt;&gt;"",UPPER(_xlpm.MyAuditVal),_xlpm.MacVal&lt;&gt;"",_xlpm.MacVal,_xlpm.CSVVal&lt;&gt;"",_xlpm.CSVVal
)),"")</f>
        <v/>
      </c>
      <c r="M647" s="2" t="str" cm="1">
        <f t="array" ref="M647">IFERROR(_xlfn.LET(
_xlpm.CSVVal,_xlfn.XLOOKUP($A647,CSV!$A:$A,CSV!Q:Q,""),
_xlpm.MacVal,_xlfn.XLOOKUP($A647,Output_Mac!$A:$A,Output_Mac!M:M,""),
_xlpm.MyAuditVal,_xlfn.XLOOKUP($A647,My_Audit!$A:$A,My_Audit!L:L,""),
_xlfn.IFS(_xlpm.MyAuditVal&lt;&gt;"",UPPER(_xlpm.MyAuditVal),_xlpm.MacVal&lt;&gt;"",_xlpm.MacVal,_xlpm.CSVVal&lt;&gt;"",_xlpm.CSVVal
)),"")</f>
        <v/>
      </c>
      <c r="O647" s="2" t="str">
        <f>_xlfn.LET(
    _xlpm.CSVVal, _xlfn.XLOOKUP($A647, CSV!$A:$A, CSV!AF:AF, ""),
    _xlpm.MacVal, _xlfn.XLOOKUP($A647, Output_Mac!$A:$A, Output_Mac!S:S, ""),
    _xlpm.MyAuditVal, _xlfn.XLOOKUP($A647, My_Audit!$A:$A, My_Audit!P:P, ""),
    _xlfn.TEXTJOIN(", ", TRUE, _xlpm.MyAuditVal, _xlpm.MacVal, _xlpm.CSVVal)
)</f>
        <v/>
      </c>
      <c r="P647" s="2" t="str" cm="1">
        <f t="array" ref="P647">IFERROR(_xlfn.LET(
_xlpm.CSVVal,_xlfn.XLOOKUP($A647,CSV!$A:$A,CSV!AG:AG,""),
_xlpm.MacVal,_xlfn.XLOOKUP($A647,Output_Mac!$A:$A,Output_Mac!T:T,""),
_xlpm.MyAuditVal,_xlfn.XLOOKUP($A647,My_Audit!$A:$A,My_Audit!Q:Q,""),
_xlfn.IFS(_xlpm.MyAuditVal&lt;&gt;"",UPPER(_xlpm.MyAuditVal),_xlpm.MacVal&lt;&gt;"",_xlpm.MacVal,_xlpm.CSVVal&lt;&gt;"",_xlpm.CSVVal
)),"No")</f>
        <v>No</v>
      </c>
      <c r="Q647" s="2" t="str" cm="1">
        <f t="array" ref="Q647">IFERROR(_xlfn.LET(
_xlpm.CSVVal,_xlfn.XLOOKUP($A647,CSV!$A:$A,CSV!AH:AH,""),
_xlpm.MacVal,_xlfn.XLOOKUP($A647,Output_Mac!$A:$A,Output_Mac!U:U,""),
_xlpm.MyAuditVal,_xlfn.XLOOKUP($A647,My_Audit!$A:$A,My_Audit!R:R,""),
_xlfn.IFS(_xlpm.MyAuditVal&lt;&gt;"",UPPER(_xlpm.MyAuditVal),_xlpm.MacVal&lt;&gt;"",_xlpm.MacVal,_xlpm.CSVVal&lt;&gt;"",_xlpm.CSVVal
)),"")</f>
        <v/>
      </c>
    </row>
    <row r="648" spans="1:17">
      <c r="A648" s="2" t="str">
        <f>_xlfn.TEXTJOIN("",TRUE,Input!$B$2,ROW(My_Audit!A647))</f>
        <v>XX647</v>
      </c>
      <c r="B648" s="2" t="str">
        <f>_xlfn.TEXTJOIN("-",TRUE,"ITD",Input!$A$2,A648)</f>
        <v>ITD-SHRXXX-XX647</v>
      </c>
      <c r="C648" s="2" t="str" cm="1">
        <f t="array" ref="C648">IFERROR(_xlfn.LET(
_xlpm.CSVVal,_xlfn.XLOOKUP($A648,CSV!$A:$A,CSV!B:B,""),
_xlpm.MacVal,_xlfn.XLOOKUP($A648,Output_Mac!$A:$A,Output_Mac!B:B,""),
_xlpm.MyAuditVal,_xlfn.XLOOKUP($A648,My_Audit!$A:$A,My_Audit!B:B,""),
_xlfn.IFS(_xlpm.MyAuditVal&lt;&gt;"",UPPER(_xlpm.MyAuditVal),_xlpm.MacVal&lt;&gt;"",_xlpm.MacVal,_xlpm.CSVVal&lt;&gt;"",_xlpm.CSVVal
)),"")</f>
        <v/>
      </c>
      <c r="D648" s="2" t="str" cm="1">
        <f t="array" ref="D648">IFERROR(_xlfn.LET(
_xlpm.CSVVal,_xlfn.XLOOKUP($A648,CSV!$A:$A,CSV!D:D,""),
_xlpm.MacVal,_xlfn.XLOOKUP($A648,Output_Mac!$A:$A,Output_Mac!C:C,""),
_xlpm.MyAuditVal,_xlfn.XLOOKUP($A648,My_Audit!$A:$A,My_Audit!C:C,""),
_xlfn.IFS(_xlpm.MyAuditVal&lt;&gt;"",_xlpm.MyAuditVal,_xlpm.MacVal&lt;&gt;"",_xlpm.MacVal,_xlpm.CSVVal&lt;&gt;"",_xlpm.CSVVal
)),"")</f>
        <v/>
      </c>
      <c r="E648" s="2" t="str">
        <f>_xlfn.XLOOKUP(A648,My_Audit!A:A,My_Audit!D:D,"")&amp;""</f>
        <v/>
      </c>
      <c r="F648" s="2" t="str" cm="1">
        <f t="array" ref="F648">IFERROR(_xlfn.LET(
_xlpm.CSVVal,_xlfn.XLOOKUP($A648,CSV!$A:$A,CSV!F:F,""),
_xlpm.MacVal,_xlfn.XLOOKUP($A648,Output_Mac!$A:$A,Output_Mac!E:E,""),
_xlpm.MyAuditVal,_xlfn.XLOOKUP($A648,My_Audit!$A:$A,My_Audit!E:E,""),
_xlfn.IFS(_xlpm.MyAuditVal&lt;&gt;"",_xlpm.MyAuditVal,_xlpm.MacVal&lt;&gt;"",_xlpm.MacVal,_xlpm.CSVVal&lt;&gt;"",_xlpm.CSVVal
)),"")</f>
        <v/>
      </c>
      <c r="G648" s="2" t="str" cm="1">
        <f t="array" ref="G648">IFERROR(_xlfn.LET(
_xlpm.CSVVal,_xlfn.XLOOKUP($A648,CSV!$A:$A,CSV!G:G,""),
_xlpm.MacVal,_xlfn.XLOOKUP($A648,Output_Mac!$A:$A,Output_Mac!F:F,""),
_xlpm.MyAuditVal,_xlfn.XLOOKUP($A648,My_Audit!$A:$A,My_Audit!F:F,""),
_xlfn.IFS(_xlpm.MyAuditVal&lt;&gt;"",_xlpm.MyAuditVal,_xlpm.MacVal&lt;&gt;"",_xlpm.MacVal,_xlpm.CSVVal&lt;&gt;"",PROPER(_xlpm.CSVVal)
)),"")</f>
        <v/>
      </c>
      <c r="H648" s="2" t="str" cm="1">
        <f t="array" ref="H648">IFERROR(_xlfn.LET(
_xlpm.CSVVal,_xlfn.XLOOKUP($A648,CSV!$A:$A,CSV!H:H,""),
_xlpm.MacVal,_xlfn.XLOOKUP($A648,Output_Mac!$A:$A,Output_Mac!H:H,""),
_xlpm.MyAuditVal,_xlfn.XLOOKUP($A648,My_Audit!$A:$A,My_Audit!G:G,""),
_xlfn.IFS(_xlpm.MyAuditVal&lt;&gt;"",_xlpm.MyAuditVal,_xlpm.MacVal&lt;&gt;"",_xlpm.MacVal,_xlpm.CSVVal&lt;&gt;"",_xlpm.CSVVal
)),"")</f>
        <v/>
      </c>
      <c r="I648" s="2" t="str">
        <f>_xlfn.XLOOKUP(A648,Output_Mac!A:A,Output_Mac!I:I,"")</f>
        <v/>
      </c>
      <c r="J648" s="2" t="str" cm="1">
        <f t="array" ref="J648">IFERROR(_xlfn.LET(
_xlpm.CSVVal,_xlfn.XLOOKUP($A648,CSV!$A:$A,CSV!I:I,""),
_xlpm.MacVal,_xlfn.XLOOKUP($A648,Output_Mac!$A:$A,Output_Mac!J:J,""),
_xlpm.MyAuditVal,_xlfn.XLOOKUP($A648,My_Audit!$A:$A,My_Audit!I:I,""),
_xlfn.IFS(_xlpm.MyAuditVal&lt;&gt;"",UPPER(_xlpm.MyAuditVal),_xlpm.MacVal&lt;&gt;"",_xlpm.MacVal,_xlpm.CSVVal&lt;&gt;"",_xlpm.CSVVal
)),"")</f>
        <v/>
      </c>
      <c r="K648" s="2" t="str" cm="1">
        <f t="array" ref="K648">IFERROR(_xlfn.LET(
_xlpm.CSVVal,_xlfn.XLOOKUP($A648,CSV!$A:$A,CSV!K:K,""),
_xlpm.MacVal,_xlfn.XLOOKUP($A648,Output_Mac!$A:$A,Output_Mac!K:K,""),
_xlpm.MyAuditVal,_xlfn.XLOOKUP($A648,My_Audit!$A:$A,My_Audit!J:J,""),
_xlfn.IFS(_xlpm.MyAuditVal&lt;&gt;"",UPPER(_xlpm.MyAuditVal),_xlpm.MacVal&lt;&gt;"",_xlpm.MacVal,_xlpm.CSVVal&lt;&gt;"",_xlpm.CSVVal
)),"")</f>
        <v/>
      </c>
      <c r="L648" s="2" t="str" cm="1">
        <f t="array" ref="L648">IFERROR(_xlfn.LET(
_xlpm.CSVVal,_xlfn.XLOOKUP($A648,CSV!$A:$A,CSV!P:P,""),
_xlpm.MacVal,_xlfn.XLOOKUP($A648,Output_Mac!$A:$A,Output_Mac!L:L,""),
_xlpm.MyAuditVal,_xlfn.XLOOKUP($A648,My_Audit!$A:$A,My_Audit!K:K,""),
_xlfn.IFS(_xlpm.MyAuditVal&lt;&gt;"",UPPER(_xlpm.MyAuditVal),_xlpm.MacVal&lt;&gt;"",_xlpm.MacVal,_xlpm.CSVVal&lt;&gt;"",_xlpm.CSVVal
)),"")</f>
        <v/>
      </c>
      <c r="M648" s="2" t="str" cm="1">
        <f t="array" ref="M648">IFERROR(_xlfn.LET(
_xlpm.CSVVal,_xlfn.XLOOKUP($A648,CSV!$A:$A,CSV!Q:Q,""),
_xlpm.MacVal,_xlfn.XLOOKUP($A648,Output_Mac!$A:$A,Output_Mac!M:M,""),
_xlpm.MyAuditVal,_xlfn.XLOOKUP($A648,My_Audit!$A:$A,My_Audit!L:L,""),
_xlfn.IFS(_xlpm.MyAuditVal&lt;&gt;"",UPPER(_xlpm.MyAuditVal),_xlpm.MacVal&lt;&gt;"",_xlpm.MacVal,_xlpm.CSVVal&lt;&gt;"",_xlpm.CSVVal
)),"")</f>
        <v/>
      </c>
      <c r="O648" s="2" t="str">
        <f>_xlfn.LET(
    _xlpm.CSVVal, _xlfn.XLOOKUP($A648, CSV!$A:$A, CSV!AF:AF, ""),
    _xlpm.MacVal, _xlfn.XLOOKUP($A648, Output_Mac!$A:$A, Output_Mac!S:S, ""),
    _xlpm.MyAuditVal, _xlfn.XLOOKUP($A648, My_Audit!$A:$A, My_Audit!P:P, ""),
    _xlfn.TEXTJOIN(", ", TRUE, _xlpm.MyAuditVal, _xlpm.MacVal, _xlpm.CSVVal)
)</f>
        <v/>
      </c>
      <c r="P648" s="2" t="str" cm="1">
        <f t="array" ref="P648">IFERROR(_xlfn.LET(
_xlpm.CSVVal,_xlfn.XLOOKUP($A648,CSV!$A:$A,CSV!AG:AG,""),
_xlpm.MacVal,_xlfn.XLOOKUP($A648,Output_Mac!$A:$A,Output_Mac!T:T,""),
_xlpm.MyAuditVal,_xlfn.XLOOKUP($A648,My_Audit!$A:$A,My_Audit!Q:Q,""),
_xlfn.IFS(_xlpm.MyAuditVal&lt;&gt;"",UPPER(_xlpm.MyAuditVal),_xlpm.MacVal&lt;&gt;"",_xlpm.MacVal,_xlpm.CSVVal&lt;&gt;"",_xlpm.CSVVal
)),"No")</f>
        <v>No</v>
      </c>
      <c r="Q648" s="2" t="str" cm="1">
        <f t="array" ref="Q648">IFERROR(_xlfn.LET(
_xlpm.CSVVal,_xlfn.XLOOKUP($A648,CSV!$A:$A,CSV!AH:AH,""),
_xlpm.MacVal,_xlfn.XLOOKUP($A648,Output_Mac!$A:$A,Output_Mac!U:U,""),
_xlpm.MyAuditVal,_xlfn.XLOOKUP($A648,My_Audit!$A:$A,My_Audit!R:R,""),
_xlfn.IFS(_xlpm.MyAuditVal&lt;&gt;"",UPPER(_xlpm.MyAuditVal),_xlpm.MacVal&lt;&gt;"",_xlpm.MacVal,_xlpm.CSVVal&lt;&gt;"",_xlpm.CSVVal
)),"")</f>
        <v/>
      </c>
    </row>
    <row r="649" spans="1:17">
      <c r="A649" s="2" t="str">
        <f>_xlfn.TEXTJOIN("",TRUE,Input!$B$2,ROW(My_Audit!A648))</f>
        <v>XX648</v>
      </c>
      <c r="B649" s="2" t="str">
        <f>_xlfn.TEXTJOIN("-",TRUE,"ITD",Input!$A$2,A649)</f>
        <v>ITD-SHRXXX-XX648</v>
      </c>
      <c r="C649" s="2" t="str" cm="1">
        <f t="array" ref="C649">IFERROR(_xlfn.LET(
_xlpm.CSVVal,_xlfn.XLOOKUP($A649,CSV!$A:$A,CSV!B:B,""),
_xlpm.MacVal,_xlfn.XLOOKUP($A649,Output_Mac!$A:$A,Output_Mac!B:B,""),
_xlpm.MyAuditVal,_xlfn.XLOOKUP($A649,My_Audit!$A:$A,My_Audit!B:B,""),
_xlfn.IFS(_xlpm.MyAuditVal&lt;&gt;"",UPPER(_xlpm.MyAuditVal),_xlpm.MacVal&lt;&gt;"",_xlpm.MacVal,_xlpm.CSVVal&lt;&gt;"",_xlpm.CSVVal
)),"")</f>
        <v/>
      </c>
      <c r="D649" s="2" t="str" cm="1">
        <f t="array" ref="D649">IFERROR(_xlfn.LET(
_xlpm.CSVVal,_xlfn.XLOOKUP($A649,CSV!$A:$A,CSV!D:D,""),
_xlpm.MacVal,_xlfn.XLOOKUP($A649,Output_Mac!$A:$A,Output_Mac!C:C,""),
_xlpm.MyAuditVal,_xlfn.XLOOKUP($A649,My_Audit!$A:$A,My_Audit!C:C,""),
_xlfn.IFS(_xlpm.MyAuditVal&lt;&gt;"",_xlpm.MyAuditVal,_xlpm.MacVal&lt;&gt;"",_xlpm.MacVal,_xlpm.CSVVal&lt;&gt;"",_xlpm.CSVVal
)),"")</f>
        <v/>
      </c>
      <c r="E649" s="2" t="str">
        <f>_xlfn.XLOOKUP(A649,My_Audit!A:A,My_Audit!D:D,"")&amp;""</f>
        <v/>
      </c>
      <c r="F649" s="2" t="str" cm="1">
        <f t="array" ref="F649">IFERROR(_xlfn.LET(
_xlpm.CSVVal,_xlfn.XLOOKUP($A649,CSV!$A:$A,CSV!F:F,""),
_xlpm.MacVal,_xlfn.XLOOKUP($A649,Output_Mac!$A:$A,Output_Mac!E:E,""),
_xlpm.MyAuditVal,_xlfn.XLOOKUP($A649,My_Audit!$A:$A,My_Audit!E:E,""),
_xlfn.IFS(_xlpm.MyAuditVal&lt;&gt;"",_xlpm.MyAuditVal,_xlpm.MacVal&lt;&gt;"",_xlpm.MacVal,_xlpm.CSVVal&lt;&gt;"",_xlpm.CSVVal
)),"")</f>
        <v/>
      </c>
      <c r="G649" s="2" t="str" cm="1">
        <f t="array" ref="G649">IFERROR(_xlfn.LET(
_xlpm.CSVVal,_xlfn.XLOOKUP($A649,CSV!$A:$A,CSV!G:G,""),
_xlpm.MacVal,_xlfn.XLOOKUP($A649,Output_Mac!$A:$A,Output_Mac!F:F,""),
_xlpm.MyAuditVal,_xlfn.XLOOKUP($A649,My_Audit!$A:$A,My_Audit!F:F,""),
_xlfn.IFS(_xlpm.MyAuditVal&lt;&gt;"",_xlpm.MyAuditVal,_xlpm.MacVal&lt;&gt;"",_xlpm.MacVal,_xlpm.CSVVal&lt;&gt;"",PROPER(_xlpm.CSVVal)
)),"")</f>
        <v/>
      </c>
      <c r="H649" s="2" t="str" cm="1">
        <f t="array" ref="H649">IFERROR(_xlfn.LET(
_xlpm.CSVVal,_xlfn.XLOOKUP($A649,CSV!$A:$A,CSV!H:H,""),
_xlpm.MacVal,_xlfn.XLOOKUP($A649,Output_Mac!$A:$A,Output_Mac!H:H,""),
_xlpm.MyAuditVal,_xlfn.XLOOKUP($A649,My_Audit!$A:$A,My_Audit!G:G,""),
_xlfn.IFS(_xlpm.MyAuditVal&lt;&gt;"",_xlpm.MyAuditVal,_xlpm.MacVal&lt;&gt;"",_xlpm.MacVal,_xlpm.CSVVal&lt;&gt;"",_xlpm.CSVVal
)),"")</f>
        <v/>
      </c>
      <c r="I649" s="2" t="str">
        <f>_xlfn.XLOOKUP(A649,Output_Mac!A:A,Output_Mac!I:I,"")</f>
        <v/>
      </c>
      <c r="J649" s="2" t="str" cm="1">
        <f t="array" ref="J649">IFERROR(_xlfn.LET(
_xlpm.CSVVal,_xlfn.XLOOKUP($A649,CSV!$A:$A,CSV!I:I,""),
_xlpm.MacVal,_xlfn.XLOOKUP($A649,Output_Mac!$A:$A,Output_Mac!J:J,""),
_xlpm.MyAuditVal,_xlfn.XLOOKUP($A649,My_Audit!$A:$A,My_Audit!I:I,""),
_xlfn.IFS(_xlpm.MyAuditVal&lt;&gt;"",UPPER(_xlpm.MyAuditVal),_xlpm.MacVal&lt;&gt;"",_xlpm.MacVal,_xlpm.CSVVal&lt;&gt;"",_xlpm.CSVVal
)),"")</f>
        <v/>
      </c>
      <c r="K649" s="2" t="str" cm="1">
        <f t="array" ref="K649">IFERROR(_xlfn.LET(
_xlpm.CSVVal,_xlfn.XLOOKUP($A649,CSV!$A:$A,CSV!K:K,""),
_xlpm.MacVal,_xlfn.XLOOKUP($A649,Output_Mac!$A:$A,Output_Mac!K:K,""),
_xlpm.MyAuditVal,_xlfn.XLOOKUP($A649,My_Audit!$A:$A,My_Audit!J:J,""),
_xlfn.IFS(_xlpm.MyAuditVal&lt;&gt;"",UPPER(_xlpm.MyAuditVal),_xlpm.MacVal&lt;&gt;"",_xlpm.MacVal,_xlpm.CSVVal&lt;&gt;"",_xlpm.CSVVal
)),"")</f>
        <v/>
      </c>
      <c r="L649" s="2" t="str" cm="1">
        <f t="array" ref="L649">IFERROR(_xlfn.LET(
_xlpm.CSVVal,_xlfn.XLOOKUP($A649,CSV!$A:$A,CSV!P:P,""),
_xlpm.MacVal,_xlfn.XLOOKUP($A649,Output_Mac!$A:$A,Output_Mac!L:L,""),
_xlpm.MyAuditVal,_xlfn.XLOOKUP($A649,My_Audit!$A:$A,My_Audit!K:K,""),
_xlfn.IFS(_xlpm.MyAuditVal&lt;&gt;"",UPPER(_xlpm.MyAuditVal),_xlpm.MacVal&lt;&gt;"",_xlpm.MacVal,_xlpm.CSVVal&lt;&gt;"",_xlpm.CSVVal
)),"")</f>
        <v/>
      </c>
      <c r="M649" s="2" t="str" cm="1">
        <f t="array" ref="M649">IFERROR(_xlfn.LET(
_xlpm.CSVVal,_xlfn.XLOOKUP($A649,CSV!$A:$A,CSV!Q:Q,""),
_xlpm.MacVal,_xlfn.XLOOKUP($A649,Output_Mac!$A:$A,Output_Mac!M:M,""),
_xlpm.MyAuditVal,_xlfn.XLOOKUP($A649,My_Audit!$A:$A,My_Audit!L:L,""),
_xlfn.IFS(_xlpm.MyAuditVal&lt;&gt;"",UPPER(_xlpm.MyAuditVal),_xlpm.MacVal&lt;&gt;"",_xlpm.MacVal,_xlpm.CSVVal&lt;&gt;"",_xlpm.CSVVal
)),"")</f>
        <v/>
      </c>
      <c r="O649" s="2" t="str">
        <f>_xlfn.LET(
    _xlpm.CSVVal, _xlfn.XLOOKUP($A649, CSV!$A:$A, CSV!AF:AF, ""),
    _xlpm.MacVal, _xlfn.XLOOKUP($A649, Output_Mac!$A:$A, Output_Mac!S:S, ""),
    _xlpm.MyAuditVal, _xlfn.XLOOKUP($A649, My_Audit!$A:$A, My_Audit!P:P, ""),
    _xlfn.TEXTJOIN(", ", TRUE, _xlpm.MyAuditVal, _xlpm.MacVal, _xlpm.CSVVal)
)</f>
        <v/>
      </c>
      <c r="P649" s="2" t="str" cm="1">
        <f t="array" ref="P649">IFERROR(_xlfn.LET(
_xlpm.CSVVal,_xlfn.XLOOKUP($A649,CSV!$A:$A,CSV!AG:AG,""),
_xlpm.MacVal,_xlfn.XLOOKUP($A649,Output_Mac!$A:$A,Output_Mac!T:T,""),
_xlpm.MyAuditVal,_xlfn.XLOOKUP($A649,My_Audit!$A:$A,My_Audit!Q:Q,""),
_xlfn.IFS(_xlpm.MyAuditVal&lt;&gt;"",UPPER(_xlpm.MyAuditVal),_xlpm.MacVal&lt;&gt;"",_xlpm.MacVal,_xlpm.CSVVal&lt;&gt;"",_xlpm.CSVVal
)),"No")</f>
        <v>No</v>
      </c>
      <c r="Q649" s="2" t="str" cm="1">
        <f t="array" ref="Q649">IFERROR(_xlfn.LET(
_xlpm.CSVVal,_xlfn.XLOOKUP($A649,CSV!$A:$A,CSV!AH:AH,""),
_xlpm.MacVal,_xlfn.XLOOKUP($A649,Output_Mac!$A:$A,Output_Mac!U:U,""),
_xlpm.MyAuditVal,_xlfn.XLOOKUP($A649,My_Audit!$A:$A,My_Audit!R:R,""),
_xlfn.IFS(_xlpm.MyAuditVal&lt;&gt;"",UPPER(_xlpm.MyAuditVal),_xlpm.MacVal&lt;&gt;"",_xlpm.MacVal,_xlpm.CSVVal&lt;&gt;"",_xlpm.CSVVal
)),"")</f>
        <v/>
      </c>
    </row>
    <row r="650" spans="1:17">
      <c r="A650" s="2" t="str">
        <f>_xlfn.TEXTJOIN("",TRUE,Input!$B$2,ROW(My_Audit!A649))</f>
        <v>XX649</v>
      </c>
      <c r="B650" s="2" t="str">
        <f>_xlfn.TEXTJOIN("-",TRUE,"ITD",Input!$A$2,A650)</f>
        <v>ITD-SHRXXX-XX649</v>
      </c>
      <c r="C650" s="2" t="str" cm="1">
        <f t="array" ref="C650">IFERROR(_xlfn.LET(
_xlpm.CSVVal,_xlfn.XLOOKUP($A650,CSV!$A:$A,CSV!B:B,""),
_xlpm.MacVal,_xlfn.XLOOKUP($A650,Output_Mac!$A:$A,Output_Mac!B:B,""),
_xlpm.MyAuditVal,_xlfn.XLOOKUP($A650,My_Audit!$A:$A,My_Audit!B:B,""),
_xlfn.IFS(_xlpm.MyAuditVal&lt;&gt;"",UPPER(_xlpm.MyAuditVal),_xlpm.MacVal&lt;&gt;"",_xlpm.MacVal,_xlpm.CSVVal&lt;&gt;"",_xlpm.CSVVal
)),"")</f>
        <v/>
      </c>
      <c r="D650" s="2" t="str" cm="1">
        <f t="array" ref="D650">IFERROR(_xlfn.LET(
_xlpm.CSVVal,_xlfn.XLOOKUP($A650,CSV!$A:$A,CSV!D:D,""),
_xlpm.MacVal,_xlfn.XLOOKUP($A650,Output_Mac!$A:$A,Output_Mac!C:C,""),
_xlpm.MyAuditVal,_xlfn.XLOOKUP($A650,My_Audit!$A:$A,My_Audit!C:C,""),
_xlfn.IFS(_xlpm.MyAuditVal&lt;&gt;"",_xlpm.MyAuditVal,_xlpm.MacVal&lt;&gt;"",_xlpm.MacVal,_xlpm.CSVVal&lt;&gt;"",_xlpm.CSVVal
)),"")</f>
        <v/>
      </c>
      <c r="E650" s="2" t="str">
        <f>_xlfn.XLOOKUP(A650,My_Audit!A:A,My_Audit!D:D,"")&amp;""</f>
        <v/>
      </c>
      <c r="F650" s="2" t="str" cm="1">
        <f t="array" ref="F650">IFERROR(_xlfn.LET(
_xlpm.CSVVal,_xlfn.XLOOKUP($A650,CSV!$A:$A,CSV!F:F,""),
_xlpm.MacVal,_xlfn.XLOOKUP($A650,Output_Mac!$A:$A,Output_Mac!E:E,""),
_xlpm.MyAuditVal,_xlfn.XLOOKUP($A650,My_Audit!$A:$A,My_Audit!E:E,""),
_xlfn.IFS(_xlpm.MyAuditVal&lt;&gt;"",_xlpm.MyAuditVal,_xlpm.MacVal&lt;&gt;"",_xlpm.MacVal,_xlpm.CSVVal&lt;&gt;"",_xlpm.CSVVal
)),"")</f>
        <v/>
      </c>
      <c r="G650" s="2" t="str" cm="1">
        <f t="array" ref="G650">IFERROR(_xlfn.LET(
_xlpm.CSVVal,_xlfn.XLOOKUP($A650,CSV!$A:$A,CSV!G:G,""),
_xlpm.MacVal,_xlfn.XLOOKUP($A650,Output_Mac!$A:$A,Output_Mac!F:F,""),
_xlpm.MyAuditVal,_xlfn.XLOOKUP($A650,My_Audit!$A:$A,My_Audit!F:F,""),
_xlfn.IFS(_xlpm.MyAuditVal&lt;&gt;"",_xlpm.MyAuditVal,_xlpm.MacVal&lt;&gt;"",_xlpm.MacVal,_xlpm.CSVVal&lt;&gt;"",PROPER(_xlpm.CSVVal)
)),"")</f>
        <v/>
      </c>
      <c r="H650" s="2" t="str" cm="1">
        <f t="array" ref="H650">IFERROR(_xlfn.LET(
_xlpm.CSVVal,_xlfn.XLOOKUP($A650,CSV!$A:$A,CSV!H:H,""),
_xlpm.MacVal,_xlfn.XLOOKUP($A650,Output_Mac!$A:$A,Output_Mac!H:H,""),
_xlpm.MyAuditVal,_xlfn.XLOOKUP($A650,My_Audit!$A:$A,My_Audit!G:G,""),
_xlfn.IFS(_xlpm.MyAuditVal&lt;&gt;"",_xlpm.MyAuditVal,_xlpm.MacVal&lt;&gt;"",_xlpm.MacVal,_xlpm.CSVVal&lt;&gt;"",_xlpm.CSVVal
)),"")</f>
        <v/>
      </c>
      <c r="I650" s="2" t="str">
        <f>_xlfn.XLOOKUP(A650,Output_Mac!A:A,Output_Mac!I:I,"")</f>
        <v/>
      </c>
      <c r="J650" s="2" t="str" cm="1">
        <f t="array" ref="J650">IFERROR(_xlfn.LET(
_xlpm.CSVVal,_xlfn.XLOOKUP($A650,CSV!$A:$A,CSV!I:I,""),
_xlpm.MacVal,_xlfn.XLOOKUP($A650,Output_Mac!$A:$A,Output_Mac!J:J,""),
_xlpm.MyAuditVal,_xlfn.XLOOKUP($A650,My_Audit!$A:$A,My_Audit!I:I,""),
_xlfn.IFS(_xlpm.MyAuditVal&lt;&gt;"",UPPER(_xlpm.MyAuditVal),_xlpm.MacVal&lt;&gt;"",_xlpm.MacVal,_xlpm.CSVVal&lt;&gt;"",_xlpm.CSVVal
)),"")</f>
        <v/>
      </c>
      <c r="K650" s="2" t="str" cm="1">
        <f t="array" ref="K650">IFERROR(_xlfn.LET(
_xlpm.CSVVal,_xlfn.XLOOKUP($A650,CSV!$A:$A,CSV!K:K,""),
_xlpm.MacVal,_xlfn.XLOOKUP($A650,Output_Mac!$A:$A,Output_Mac!K:K,""),
_xlpm.MyAuditVal,_xlfn.XLOOKUP($A650,My_Audit!$A:$A,My_Audit!J:J,""),
_xlfn.IFS(_xlpm.MyAuditVal&lt;&gt;"",UPPER(_xlpm.MyAuditVal),_xlpm.MacVal&lt;&gt;"",_xlpm.MacVal,_xlpm.CSVVal&lt;&gt;"",_xlpm.CSVVal
)),"")</f>
        <v/>
      </c>
      <c r="L650" s="2" t="str" cm="1">
        <f t="array" ref="L650">IFERROR(_xlfn.LET(
_xlpm.CSVVal,_xlfn.XLOOKUP($A650,CSV!$A:$A,CSV!P:P,""),
_xlpm.MacVal,_xlfn.XLOOKUP($A650,Output_Mac!$A:$A,Output_Mac!L:L,""),
_xlpm.MyAuditVal,_xlfn.XLOOKUP($A650,My_Audit!$A:$A,My_Audit!K:K,""),
_xlfn.IFS(_xlpm.MyAuditVal&lt;&gt;"",UPPER(_xlpm.MyAuditVal),_xlpm.MacVal&lt;&gt;"",_xlpm.MacVal,_xlpm.CSVVal&lt;&gt;"",_xlpm.CSVVal
)),"")</f>
        <v/>
      </c>
      <c r="M650" s="2" t="str" cm="1">
        <f t="array" ref="M650">IFERROR(_xlfn.LET(
_xlpm.CSVVal,_xlfn.XLOOKUP($A650,CSV!$A:$A,CSV!Q:Q,""),
_xlpm.MacVal,_xlfn.XLOOKUP($A650,Output_Mac!$A:$A,Output_Mac!M:M,""),
_xlpm.MyAuditVal,_xlfn.XLOOKUP($A650,My_Audit!$A:$A,My_Audit!L:L,""),
_xlfn.IFS(_xlpm.MyAuditVal&lt;&gt;"",UPPER(_xlpm.MyAuditVal),_xlpm.MacVal&lt;&gt;"",_xlpm.MacVal,_xlpm.CSVVal&lt;&gt;"",_xlpm.CSVVal
)),"")</f>
        <v/>
      </c>
      <c r="O650" s="2" t="str">
        <f>_xlfn.LET(
    _xlpm.CSVVal, _xlfn.XLOOKUP($A650, CSV!$A:$A, CSV!AF:AF, ""),
    _xlpm.MacVal, _xlfn.XLOOKUP($A650, Output_Mac!$A:$A, Output_Mac!S:S, ""),
    _xlpm.MyAuditVal, _xlfn.XLOOKUP($A650, My_Audit!$A:$A, My_Audit!P:P, ""),
    _xlfn.TEXTJOIN(", ", TRUE, _xlpm.MyAuditVal, _xlpm.MacVal, _xlpm.CSVVal)
)</f>
        <v/>
      </c>
      <c r="P650" s="2" t="str" cm="1">
        <f t="array" ref="P650">IFERROR(_xlfn.LET(
_xlpm.CSVVal,_xlfn.XLOOKUP($A650,CSV!$A:$A,CSV!AG:AG,""),
_xlpm.MacVal,_xlfn.XLOOKUP($A650,Output_Mac!$A:$A,Output_Mac!T:T,""),
_xlpm.MyAuditVal,_xlfn.XLOOKUP($A650,My_Audit!$A:$A,My_Audit!Q:Q,""),
_xlfn.IFS(_xlpm.MyAuditVal&lt;&gt;"",UPPER(_xlpm.MyAuditVal),_xlpm.MacVal&lt;&gt;"",_xlpm.MacVal,_xlpm.CSVVal&lt;&gt;"",_xlpm.CSVVal
)),"No")</f>
        <v>No</v>
      </c>
      <c r="Q650" s="2" t="str" cm="1">
        <f t="array" ref="Q650">IFERROR(_xlfn.LET(
_xlpm.CSVVal,_xlfn.XLOOKUP($A650,CSV!$A:$A,CSV!AH:AH,""),
_xlpm.MacVal,_xlfn.XLOOKUP($A650,Output_Mac!$A:$A,Output_Mac!U:U,""),
_xlpm.MyAuditVal,_xlfn.XLOOKUP($A650,My_Audit!$A:$A,My_Audit!R:R,""),
_xlfn.IFS(_xlpm.MyAuditVal&lt;&gt;"",UPPER(_xlpm.MyAuditVal),_xlpm.MacVal&lt;&gt;"",_xlpm.MacVal,_xlpm.CSVVal&lt;&gt;"",_xlpm.CSVVal
)),"")</f>
        <v/>
      </c>
    </row>
    <row r="651" spans="1:17">
      <c r="A651" s="2" t="str">
        <f>_xlfn.TEXTJOIN("",TRUE,Input!$B$2,ROW(My_Audit!A650))</f>
        <v>XX650</v>
      </c>
      <c r="B651" s="2" t="str">
        <f>_xlfn.TEXTJOIN("-",TRUE,"ITD",Input!$A$2,A651)</f>
        <v>ITD-SHRXXX-XX650</v>
      </c>
      <c r="C651" s="2" t="str" cm="1">
        <f t="array" ref="C651">IFERROR(_xlfn.LET(
_xlpm.CSVVal,_xlfn.XLOOKUP($A651,CSV!$A:$A,CSV!B:B,""),
_xlpm.MacVal,_xlfn.XLOOKUP($A651,Output_Mac!$A:$A,Output_Mac!B:B,""),
_xlpm.MyAuditVal,_xlfn.XLOOKUP($A651,My_Audit!$A:$A,My_Audit!B:B,""),
_xlfn.IFS(_xlpm.MyAuditVal&lt;&gt;"",UPPER(_xlpm.MyAuditVal),_xlpm.MacVal&lt;&gt;"",_xlpm.MacVal,_xlpm.CSVVal&lt;&gt;"",_xlpm.CSVVal
)),"")</f>
        <v/>
      </c>
      <c r="D651" s="2" t="str" cm="1">
        <f t="array" ref="D651">IFERROR(_xlfn.LET(
_xlpm.CSVVal,_xlfn.XLOOKUP($A651,CSV!$A:$A,CSV!D:D,""),
_xlpm.MacVal,_xlfn.XLOOKUP($A651,Output_Mac!$A:$A,Output_Mac!C:C,""),
_xlpm.MyAuditVal,_xlfn.XLOOKUP($A651,My_Audit!$A:$A,My_Audit!C:C,""),
_xlfn.IFS(_xlpm.MyAuditVal&lt;&gt;"",_xlpm.MyAuditVal,_xlpm.MacVal&lt;&gt;"",_xlpm.MacVal,_xlpm.CSVVal&lt;&gt;"",_xlpm.CSVVal
)),"")</f>
        <v/>
      </c>
      <c r="E651" s="2" t="str">
        <f>_xlfn.XLOOKUP(A651,My_Audit!A:A,My_Audit!D:D,"")&amp;""</f>
        <v/>
      </c>
      <c r="F651" s="2" t="str" cm="1">
        <f t="array" ref="F651">IFERROR(_xlfn.LET(
_xlpm.CSVVal,_xlfn.XLOOKUP($A651,CSV!$A:$A,CSV!F:F,""),
_xlpm.MacVal,_xlfn.XLOOKUP($A651,Output_Mac!$A:$A,Output_Mac!E:E,""),
_xlpm.MyAuditVal,_xlfn.XLOOKUP($A651,My_Audit!$A:$A,My_Audit!E:E,""),
_xlfn.IFS(_xlpm.MyAuditVal&lt;&gt;"",_xlpm.MyAuditVal,_xlpm.MacVal&lt;&gt;"",_xlpm.MacVal,_xlpm.CSVVal&lt;&gt;"",_xlpm.CSVVal
)),"")</f>
        <v/>
      </c>
      <c r="G651" s="2" t="str" cm="1">
        <f t="array" ref="G651">IFERROR(_xlfn.LET(
_xlpm.CSVVal,_xlfn.XLOOKUP($A651,CSV!$A:$A,CSV!G:G,""),
_xlpm.MacVal,_xlfn.XLOOKUP($A651,Output_Mac!$A:$A,Output_Mac!F:F,""),
_xlpm.MyAuditVal,_xlfn.XLOOKUP($A651,My_Audit!$A:$A,My_Audit!F:F,""),
_xlfn.IFS(_xlpm.MyAuditVal&lt;&gt;"",_xlpm.MyAuditVal,_xlpm.MacVal&lt;&gt;"",_xlpm.MacVal,_xlpm.CSVVal&lt;&gt;"",PROPER(_xlpm.CSVVal)
)),"")</f>
        <v/>
      </c>
      <c r="H651" s="2" t="str" cm="1">
        <f t="array" ref="H651">IFERROR(_xlfn.LET(
_xlpm.CSVVal,_xlfn.XLOOKUP($A651,CSV!$A:$A,CSV!H:H,""),
_xlpm.MacVal,_xlfn.XLOOKUP($A651,Output_Mac!$A:$A,Output_Mac!H:H,""),
_xlpm.MyAuditVal,_xlfn.XLOOKUP($A651,My_Audit!$A:$A,My_Audit!G:G,""),
_xlfn.IFS(_xlpm.MyAuditVal&lt;&gt;"",_xlpm.MyAuditVal,_xlpm.MacVal&lt;&gt;"",_xlpm.MacVal,_xlpm.CSVVal&lt;&gt;"",_xlpm.CSVVal
)),"")</f>
        <v/>
      </c>
      <c r="I651" s="2" t="str">
        <f>_xlfn.XLOOKUP(A651,Output_Mac!A:A,Output_Mac!I:I,"")</f>
        <v/>
      </c>
      <c r="J651" s="2" t="str" cm="1">
        <f t="array" ref="J651">IFERROR(_xlfn.LET(
_xlpm.CSVVal,_xlfn.XLOOKUP($A651,CSV!$A:$A,CSV!I:I,""),
_xlpm.MacVal,_xlfn.XLOOKUP($A651,Output_Mac!$A:$A,Output_Mac!J:J,""),
_xlpm.MyAuditVal,_xlfn.XLOOKUP($A651,My_Audit!$A:$A,My_Audit!I:I,""),
_xlfn.IFS(_xlpm.MyAuditVal&lt;&gt;"",UPPER(_xlpm.MyAuditVal),_xlpm.MacVal&lt;&gt;"",_xlpm.MacVal,_xlpm.CSVVal&lt;&gt;"",_xlpm.CSVVal
)),"")</f>
        <v/>
      </c>
      <c r="K651" s="2" t="str" cm="1">
        <f t="array" ref="K651">IFERROR(_xlfn.LET(
_xlpm.CSVVal,_xlfn.XLOOKUP($A651,CSV!$A:$A,CSV!K:K,""),
_xlpm.MacVal,_xlfn.XLOOKUP($A651,Output_Mac!$A:$A,Output_Mac!K:K,""),
_xlpm.MyAuditVal,_xlfn.XLOOKUP($A651,My_Audit!$A:$A,My_Audit!J:J,""),
_xlfn.IFS(_xlpm.MyAuditVal&lt;&gt;"",UPPER(_xlpm.MyAuditVal),_xlpm.MacVal&lt;&gt;"",_xlpm.MacVal,_xlpm.CSVVal&lt;&gt;"",_xlpm.CSVVal
)),"")</f>
        <v/>
      </c>
      <c r="L651" s="2" t="str" cm="1">
        <f t="array" ref="L651">IFERROR(_xlfn.LET(
_xlpm.CSVVal,_xlfn.XLOOKUP($A651,CSV!$A:$A,CSV!P:P,""),
_xlpm.MacVal,_xlfn.XLOOKUP($A651,Output_Mac!$A:$A,Output_Mac!L:L,""),
_xlpm.MyAuditVal,_xlfn.XLOOKUP($A651,My_Audit!$A:$A,My_Audit!K:K,""),
_xlfn.IFS(_xlpm.MyAuditVal&lt;&gt;"",UPPER(_xlpm.MyAuditVal),_xlpm.MacVal&lt;&gt;"",_xlpm.MacVal,_xlpm.CSVVal&lt;&gt;"",_xlpm.CSVVal
)),"")</f>
        <v/>
      </c>
      <c r="M651" s="2" t="str" cm="1">
        <f t="array" ref="M651">IFERROR(_xlfn.LET(
_xlpm.CSVVal,_xlfn.XLOOKUP($A651,CSV!$A:$A,CSV!Q:Q,""),
_xlpm.MacVal,_xlfn.XLOOKUP($A651,Output_Mac!$A:$A,Output_Mac!M:M,""),
_xlpm.MyAuditVal,_xlfn.XLOOKUP($A651,My_Audit!$A:$A,My_Audit!L:L,""),
_xlfn.IFS(_xlpm.MyAuditVal&lt;&gt;"",UPPER(_xlpm.MyAuditVal),_xlpm.MacVal&lt;&gt;"",_xlpm.MacVal,_xlpm.CSVVal&lt;&gt;"",_xlpm.CSVVal
)),"")</f>
        <v/>
      </c>
      <c r="O651" s="2" t="str">
        <f>_xlfn.LET(
    _xlpm.CSVVal, _xlfn.XLOOKUP($A651, CSV!$A:$A, CSV!AF:AF, ""),
    _xlpm.MacVal, _xlfn.XLOOKUP($A651, Output_Mac!$A:$A, Output_Mac!S:S, ""),
    _xlpm.MyAuditVal, _xlfn.XLOOKUP($A651, My_Audit!$A:$A, My_Audit!P:P, ""),
    _xlfn.TEXTJOIN(", ", TRUE, _xlpm.MyAuditVal, _xlpm.MacVal, _xlpm.CSVVal)
)</f>
        <v/>
      </c>
      <c r="P651" s="2" t="str" cm="1">
        <f t="array" ref="P651">IFERROR(_xlfn.LET(
_xlpm.CSVVal,_xlfn.XLOOKUP($A651,CSV!$A:$A,CSV!AG:AG,""),
_xlpm.MacVal,_xlfn.XLOOKUP($A651,Output_Mac!$A:$A,Output_Mac!T:T,""),
_xlpm.MyAuditVal,_xlfn.XLOOKUP($A651,My_Audit!$A:$A,My_Audit!Q:Q,""),
_xlfn.IFS(_xlpm.MyAuditVal&lt;&gt;"",UPPER(_xlpm.MyAuditVal),_xlpm.MacVal&lt;&gt;"",_xlpm.MacVal,_xlpm.CSVVal&lt;&gt;"",_xlpm.CSVVal
)),"No")</f>
        <v>No</v>
      </c>
      <c r="Q651" s="2" t="str" cm="1">
        <f t="array" ref="Q651">IFERROR(_xlfn.LET(
_xlpm.CSVVal,_xlfn.XLOOKUP($A651,CSV!$A:$A,CSV!AH:AH,""),
_xlpm.MacVal,_xlfn.XLOOKUP($A651,Output_Mac!$A:$A,Output_Mac!U:U,""),
_xlpm.MyAuditVal,_xlfn.XLOOKUP($A651,My_Audit!$A:$A,My_Audit!R:R,""),
_xlfn.IFS(_xlpm.MyAuditVal&lt;&gt;"",UPPER(_xlpm.MyAuditVal),_xlpm.MacVal&lt;&gt;"",_xlpm.MacVal,_xlpm.CSVVal&lt;&gt;"",_xlpm.CSVVal
)),"")</f>
        <v/>
      </c>
    </row>
    <row r="652" spans="1:17">
      <c r="A652" s="2" t="str">
        <f>_xlfn.TEXTJOIN("",TRUE,Input!$B$2,ROW(My_Audit!A651))</f>
        <v>XX651</v>
      </c>
      <c r="B652" s="2" t="str">
        <f>_xlfn.TEXTJOIN("-",TRUE,"ITD",Input!$A$2,A652)</f>
        <v>ITD-SHRXXX-XX651</v>
      </c>
      <c r="C652" s="2" t="str" cm="1">
        <f t="array" ref="C652">IFERROR(_xlfn.LET(
_xlpm.CSVVal,_xlfn.XLOOKUP($A652,CSV!$A:$A,CSV!B:B,""),
_xlpm.MacVal,_xlfn.XLOOKUP($A652,Output_Mac!$A:$A,Output_Mac!B:B,""),
_xlpm.MyAuditVal,_xlfn.XLOOKUP($A652,My_Audit!$A:$A,My_Audit!B:B,""),
_xlfn.IFS(_xlpm.MyAuditVal&lt;&gt;"",UPPER(_xlpm.MyAuditVal),_xlpm.MacVal&lt;&gt;"",_xlpm.MacVal,_xlpm.CSVVal&lt;&gt;"",_xlpm.CSVVal
)),"")</f>
        <v/>
      </c>
      <c r="D652" s="2" t="str" cm="1">
        <f t="array" ref="D652">IFERROR(_xlfn.LET(
_xlpm.CSVVal,_xlfn.XLOOKUP($A652,CSV!$A:$A,CSV!D:D,""),
_xlpm.MacVal,_xlfn.XLOOKUP($A652,Output_Mac!$A:$A,Output_Mac!C:C,""),
_xlpm.MyAuditVal,_xlfn.XLOOKUP($A652,My_Audit!$A:$A,My_Audit!C:C,""),
_xlfn.IFS(_xlpm.MyAuditVal&lt;&gt;"",_xlpm.MyAuditVal,_xlpm.MacVal&lt;&gt;"",_xlpm.MacVal,_xlpm.CSVVal&lt;&gt;"",_xlpm.CSVVal
)),"")</f>
        <v/>
      </c>
      <c r="E652" s="2" t="str">
        <f>_xlfn.XLOOKUP(A652,My_Audit!A:A,My_Audit!D:D,"")&amp;""</f>
        <v/>
      </c>
      <c r="F652" s="2" t="str" cm="1">
        <f t="array" ref="F652">IFERROR(_xlfn.LET(
_xlpm.CSVVal,_xlfn.XLOOKUP($A652,CSV!$A:$A,CSV!F:F,""),
_xlpm.MacVal,_xlfn.XLOOKUP($A652,Output_Mac!$A:$A,Output_Mac!E:E,""),
_xlpm.MyAuditVal,_xlfn.XLOOKUP($A652,My_Audit!$A:$A,My_Audit!E:E,""),
_xlfn.IFS(_xlpm.MyAuditVal&lt;&gt;"",_xlpm.MyAuditVal,_xlpm.MacVal&lt;&gt;"",_xlpm.MacVal,_xlpm.CSVVal&lt;&gt;"",_xlpm.CSVVal
)),"")</f>
        <v/>
      </c>
      <c r="G652" s="2" t="str" cm="1">
        <f t="array" ref="G652">IFERROR(_xlfn.LET(
_xlpm.CSVVal,_xlfn.XLOOKUP($A652,CSV!$A:$A,CSV!G:G,""),
_xlpm.MacVal,_xlfn.XLOOKUP($A652,Output_Mac!$A:$A,Output_Mac!F:F,""),
_xlpm.MyAuditVal,_xlfn.XLOOKUP($A652,My_Audit!$A:$A,My_Audit!F:F,""),
_xlfn.IFS(_xlpm.MyAuditVal&lt;&gt;"",_xlpm.MyAuditVal,_xlpm.MacVal&lt;&gt;"",_xlpm.MacVal,_xlpm.CSVVal&lt;&gt;"",PROPER(_xlpm.CSVVal)
)),"")</f>
        <v/>
      </c>
      <c r="H652" s="2" t="str" cm="1">
        <f t="array" ref="H652">IFERROR(_xlfn.LET(
_xlpm.CSVVal,_xlfn.XLOOKUP($A652,CSV!$A:$A,CSV!H:H,""),
_xlpm.MacVal,_xlfn.XLOOKUP($A652,Output_Mac!$A:$A,Output_Mac!H:H,""),
_xlpm.MyAuditVal,_xlfn.XLOOKUP($A652,My_Audit!$A:$A,My_Audit!G:G,""),
_xlfn.IFS(_xlpm.MyAuditVal&lt;&gt;"",_xlpm.MyAuditVal,_xlpm.MacVal&lt;&gt;"",_xlpm.MacVal,_xlpm.CSVVal&lt;&gt;"",_xlpm.CSVVal
)),"")</f>
        <v/>
      </c>
      <c r="I652" s="2" t="str">
        <f>_xlfn.XLOOKUP(A652,Output_Mac!A:A,Output_Mac!I:I,"")</f>
        <v/>
      </c>
      <c r="J652" s="2" t="str" cm="1">
        <f t="array" ref="J652">IFERROR(_xlfn.LET(
_xlpm.CSVVal,_xlfn.XLOOKUP($A652,CSV!$A:$A,CSV!I:I,""),
_xlpm.MacVal,_xlfn.XLOOKUP($A652,Output_Mac!$A:$A,Output_Mac!J:J,""),
_xlpm.MyAuditVal,_xlfn.XLOOKUP($A652,My_Audit!$A:$A,My_Audit!I:I,""),
_xlfn.IFS(_xlpm.MyAuditVal&lt;&gt;"",UPPER(_xlpm.MyAuditVal),_xlpm.MacVal&lt;&gt;"",_xlpm.MacVal,_xlpm.CSVVal&lt;&gt;"",_xlpm.CSVVal
)),"")</f>
        <v/>
      </c>
      <c r="K652" s="2" t="str" cm="1">
        <f t="array" ref="K652">IFERROR(_xlfn.LET(
_xlpm.CSVVal,_xlfn.XLOOKUP($A652,CSV!$A:$A,CSV!K:K,""),
_xlpm.MacVal,_xlfn.XLOOKUP($A652,Output_Mac!$A:$A,Output_Mac!K:K,""),
_xlpm.MyAuditVal,_xlfn.XLOOKUP($A652,My_Audit!$A:$A,My_Audit!J:J,""),
_xlfn.IFS(_xlpm.MyAuditVal&lt;&gt;"",UPPER(_xlpm.MyAuditVal),_xlpm.MacVal&lt;&gt;"",_xlpm.MacVal,_xlpm.CSVVal&lt;&gt;"",_xlpm.CSVVal
)),"")</f>
        <v/>
      </c>
      <c r="L652" s="2" t="str" cm="1">
        <f t="array" ref="L652">IFERROR(_xlfn.LET(
_xlpm.CSVVal,_xlfn.XLOOKUP($A652,CSV!$A:$A,CSV!P:P,""),
_xlpm.MacVal,_xlfn.XLOOKUP($A652,Output_Mac!$A:$A,Output_Mac!L:L,""),
_xlpm.MyAuditVal,_xlfn.XLOOKUP($A652,My_Audit!$A:$A,My_Audit!K:K,""),
_xlfn.IFS(_xlpm.MyAuditVal&lt;&gt;"",UPPER(_xlpm.MyAuditVal),_xlpm.MacVal&lt;&gt;"",_xlpm.MacVal,_xlpm.CSVVal&lt;&gt;"",_xlpm.CSVVal
)),"")</f>
        <v/>
      </c>
      <c r="M652" s="2" t="str" cm="1">
        <f t="array" ref="M652">IFERROR(_xlfn.LET(
_xlpm.CSVVal,_xlfn.XLOOKUP($A652,CSV!$A:$A,CSV!Q:Q,""),
_xlpm.MacVal,_xlfn.XLOOKUP($A652,Output_Mac!$A:$A,Output_Mac!M:M,""),
_xlpm.MyAuditVal,_xlfn.XLOOKUP($A652,My_Audit!$A:$A,My_Audit!L:L,""),
_xlfn.IFS(_xlpm.MyAuditVal&lt;&gt;"",UPPER(_xlpm.MyAuditVal),_xlpm.MacVal&lt;&gt;"",_xlpm.MacVal,_xlpm.CSVVal&lt;&gt;"",_xlpm.CSVVal
)),"")</f>
        <v/>
      </c>
      <c r="O652" s="2" t="str">
        <f>_xlfn.LET(
    _xlpm.CSVVal, _xlfn.XLOOKUP($A652, CSV!$A:$A, CSV!AF:AF, ""),
    _xlpm.MacVal, _xlfn.XLOOKUP($A652, Output_Mac!$A:$A, Output_Mac!S:S, ""),
    _xlpm.MyAuditVal, _xlfn.XLOOKUP($A652, My_Audit!$A:$A, My_Audit!P:P, ""),
    _xlfn.TEXTJOIN(", ", TRUE, _xlpm.MyAuditVal, _xlpm.MacVal, _xlpm.CSVVal)
)</f>
        <v/>
      </c>
      <c r="P652" s="2" t="str" cm="1">
        <f t="array" ref="P652">IFERROR(_xlfn.LET(
_xlpm.CSVVal,_xlfn.XLOOKUP($A652,CSV!$A:$A,CSV!AG:AG,""),
_xlpm.MacVal,_xlfn.XLOOKUP($A652,Output_Mac!$A:$A,Output_Mac!T:T,""),
_xlpm.MyAuditVal,_xlfn.XLOOKUP($A652,My_Audit!$A:$A,My_Audit!Q:Q,""),
_xlfn.IFS(_xlpm.MyAuditVal&lt;&gt;"",UPPER(_xlpm.MyAuditVal),_xlpm.MacVal&lt;&gt;"",_xlpm.MacVal,_xlpm.CSVVal&lt;&gt;"",_xlpm.CSVVal
)),"No")</f>
        <v>No</v>
      </c>
      <c r="Q652" s="2" t="str" cm="1">
        <f t="array" ref="Q652">IFERROR(_xlfn.LET(
_xlpm.CSVVal,_xlfn.XLOOKUP($A652,CSV!$A:$A,CSV!AH:AH,""),
_xlpm.MacVal,_xlfn.XLOOKUP($A652,Output_Mac!$A:$A,Output_Mac!U:U,""),
_xlpm.MyAuditVal,_xlfn.XLOOKUP($A652,My_Audit!$A:$A,My_Audit!R:R,""),
_xlfn.IFS(_xlpm.MyAuditVal&lt;&gt;"",UPPER(_xlpm.MyAuditVal),_xlpm.MacVal&lt;&gt;"",_xlpm.MacVal,_xlpm.CSVVal&lt;&gt;"",_xlpm.CSVVal
)),"")</f>
        <v/>
      </c>
    </row>
    <row r="653" spans="1:17">
      <c r="A653" s="2" t="str">
        <f>_xlfn.TEXTJOIN("",TRUE,Input!$B$2,ROW(My_Audit!A652))</f>
        <v>XX652</v>
      </c>
      <c r="B653" s="2" t="str">
        <f>_xlfn.TEXTJOIN("-",TRUE,"ITD",Input!$A$2,A653)</f>
        <v>ITD-SHRXXX-XX652</v>
      </c>
      <c r="C653" s="2" t="str" cm="1">
        <f t="array" ref="C653">IFERROR(_xlfn.LET(
_xlpm.CSVVal,_xlfn.XLOOKUP($A653,CSV!$A:$A,CSV!B:B,""),
_xlpm.MacVal,_xlfn.XLOOKUP($A653,Output_Mac!$A:$A,Output_Mac!B:B,""),
_xlpm.MyAuditVal,_xlfn.XLOOKUP($A653,My_Audit!$A:$A,My_Audit!B:B,""),
_xlfn.IFS(_xlpm.MyAuditVal&lt;&gt;"",UPPER(_xlpm.MyAuditVal),_xlpm.MacVal&lt;&gt;"",_xlpm.MacVal,_xlpm.CSVVal&lt;&gt;"",_xlpm.CSVVal
)),"")</f>
        <v/>
      </c>
      <c r="D653" s="2" t="str" cm="1">
        <f t="array" ref="D653">IFERROR(_xlfn.LET(
_xlpm.CSVVal,_xlfn.XLOOKUP($A653,CSV!$A:$A,CSV!D:D,""),
_xlpm.MacVal,_xlfn.XLOOKUP($A653,Output_Mac!$A:$A,Output_Mac!C:C,""),
_xlpm.MyAuditVal,_xlfn.XLOOKUP($A653,My_Audit!$A:$A,My_Audit!C:C,""),
_xlfn.IFS(_xlpm.MyAuditVal&lt;&gt;"",_xlpm.MyAuditVal,_xlpm.MacVal&lt;&gt;"",_xlpm.MacVal,_xlpm.CSVVal&lt;&gt;"",_xlpm.CSVVal
)),"")</f>
        <v/>
      </c>
      <c r="E653" s="2" t="str">
        <f>_xlfn.XLOOKUP(A653,My_Audit!A:A,My_Audit!D:D,"")&amp;""</f>
        <v/>
      </c>
      <c r="F653" s="2" t="str" cm="1">
        <f t="array" ref="F653">IFERROR(_xlfn.LET(
_xlpm.CSVVal,_xlfn.XLOOKUP($A653,CSV!$A:$A,CSV!F:F,""),
_xlpm.MacVal,_xlfn.XLOOKUP($A653,Output_Mac!$A:$A,Output_Mac!E:E,""),
_xlpm.MyAuditVal,_xlfn.XLOOKUP($A653,My_Audit!$A:$A,My_Audit!E:E,""),
_xlfn.IFS(_xlpm.MyAuditVal&lt;&gt;"",_xlpm.MyAuditVal,_xlpm.MacVal&lt;&gt;"",_xlpm.MacVal,_xlpm.CSVVal&lt;&gt;"",_xlpm.CSVVal
)),"")</f>
        <v/>
      </c>
      <c r="G653" s="2" t="str" cm="1">
        <f t="array" ref="G653">IFERROR(_xlfn.LET(
_xlpm.CSVVal,_xlfn.XLOOKUP($A653,CSV!$A:$A,CSV!G:G,""),
_xlpm.MacVal,_xlfn.XLOOKUP($A653,Output_Mac!$A:$A,Output_Mac!F:F,""),
_xlpm.MyAuditVal,_xlfn.XLOOKUP($A653,My_Audit!$A:$A,My_Audit!F:F,""),
_xlfn.IFS(_xlpm.MyAuditVal&lt;&gt;"",_xlpm.MyAuditVal,_xlpm.MacVal&lt;&gt;"",_xlpm.MacVal,_xlpm.CSVVal&lt;&gt;"",PROPER(_xlpm.CSVVal)
)),"")</f>
        <v/>
      </c>
      <c r="H653" s="2" t="str" cm="1">
        <f t="array" ref="H653">IFERROR(_xlfn.LET(
_xlpm.CSVVal,_xlfn.XLOOKUP($A653,CSV!$A:$A,CSV!H:H,""),
_xlpm.MacVal,_xlfn.XLOOKUP($A653,Output_Mac!$A:$A,Output_Mac!H:H,""),
_xlpm.MyAuditVal,_xlfn.XLOOKUP($A653,My_Audit!$A:$A,My_Audit!G:G,""),
_xlfn.IFS(_xlpm.MyAuditVal&lt;&gt;"",_xlpm.MyAuditVal,_xlpm.MacVal&lt;&gt;"",_xlpm.MacVal,_xlpm.CSVVal&lt;&gt;"",_xlpm.CSVVal
)),"")</f>
        <v/>
      </c>
      <c r="I653" s="2" t="str">
        <f>_xlfn.XLOOKUP(A653,Output_Mac!A:A,Output_Mac!I:I,"")</f>
        <v/>
      </c>
      <c r="J653" s="2" t="str" cm="1">
        <f t="array" ref="J653">IFERROR(_xlfn.LET(
_xlpm.CSVVal,_xlfn.XLOOKUP($A653,CSV!$A:$A,CSV!I:I,""),
_xlpm.MacVal,_xlfn.XLOOKUP($A653,Output_Mac!$A:$A,Output_Mac!J:J,""),
_xlpm.MyAuditVal,_xlfn.XLOOKUP($A653,My_Audit!$A:$A,My_Audit!I:I,""),
_xlfn.IFS(_xlpm.MyAuditVal&lt;&gt;"",UPPER(_xlpm.MyAuditVal),_xlpm.MacVal&lt;&gt;"",_xlpm.MacVal,_xlpm.CSVVal&lt;&gt;"",_xlpm.CSVVal
)),"")</f>
        <v/>
      </c>
      <c r="K653" s="2" t="str" cm="1">
        <f t="array" ref="K653">IFERROR(_xlfn.LET(
_xlpm.CSVVal,_xlfn.XLOOKUP($A653,CSV!$A:$A,CSV!K:K,""),
_xlpm.MacVal,_xlfn.XLOOKUP($A653,Output_Mac!$A:$A,Output_Mac!K:K,""),
_xlpm.MyAuditVal,_xlfn.XLOOKUP($A653,My_Audit!$A:$A,My_Audit!J:J,""),
_xlfn.IFS(_xlpm.MyAuditVal&lt;&gt;"",UPPER(_xlpm.MyAuditVal),_xlpm.MacVal&lt;&gt;"",_xlpm.MacVal,_xlpm.CSVVal&lt;&gt;"",_xlpm.CSVVal
)),"")</f>
        <v/>
      </c>
      <c r="L653" s="2" t="str" cm="1">
        <f t="array" ref="L653">IFERROR(_xlfn.LET(
_xlpm.CSVVal,_xlfn.XLOOKUP($A653,CSV!$A:$A,CSV!P:P,""),
_xlpm.MacVal,_xlfn.XLOOKUP($A653,Output_Mac!$A:$A,Output_Mac!L:L,""),
_xlpm.MyAuditVal,_xlfn.XLOOKUP($A653,My_Audit!$A:$A,My_Audit!K:K,""),
_xlfn.IFS(_xlpm.MyAuditVal&lt;&gt;"",UPPER(_xlpm.MyAuditVal),_xlpm.MacVal&lt;&gt;"",_xlpm.MacVal,_xlpm.CSVVal&lt;&gt;"",_xlpm.CSVVal
)),"")</f>
        <v/>
      </c>
      <c r="M653" s="2" t="str" cm="1">
        <f t="array" ref="M653">IFERROR(_xlfn.LET(
_xlpm.CSVVal,_xlfn.XLOOKUP($A653,CSV!$A:$A,CSV!Q:Q,""),
_xlpm.MacVal,_xlfn.XLOOKUP($A653,Output_Mac!$A:$A,Output_Mac!M:M,""),
_xlpm.MyAuditVal,_xlfn.XLOOKUP($A653,My_Audit!$A:$A,My_Audit!L:L,""),
_xlfn.IFS(_xlpm.MyAuditVal&lt;&gt;"",UPPER(_xlpm.MyAuditVal),_xlpm.MacVal&lt;&gt;"",_xlpm.MacVal,_xlpm.CSVVal&lt;&gt;"",_xlpm.CSVVal
)),"")</f>
        <v/>
      </c>
      <c r="O653" s="2" t="str">
        <f>_xlfn.LET(
    _xlpm.CSVVal, _xlfn.XLOOKUP($A653, CSV!$A:$A, CSV!AF:AF, ""),
    _xlpm.MacVal, _xlfn.XLOOKUP($A653, Output_Mac!$A:$A, Output_Mac!S:S, ""),
    _xlpm.MyAuditVal, _xlfn.XLOOKUP($A653, My_Audit!$A:$A, My_Audit!P:P, ""),
    _xlfn.TEXTJOIN(", ", TRUE, _xlpm.MyAuditVal, _xlpm.MacVal, _xlpm.CSVVal)
)</f>
        <v/>
      </c>
      <c r="P653" s="2" t="str" cm="1">
        <f t="array" ref="P653">IFERROR(_xlfn.LET(
_xlpm.CSVVal,_xlfn.XLOOKUP($A653,CSV!$A:$A,CSV!AG:AG,""),
_xlpm.MacVal,_xlfn.XLOOKUP($A653,Output_Mac!$A:$A,Output_Mac!T:T,""),
_xlpm.MyAuditVal,_xlfn.XLOOKUP($A653,My_Audit!$A:$A,My_Audit!Q:Q,""),
_xlfn.IFS(_xlpm.MyAuditVal&lt;&gt;"",UPPER(_xlpm.MyAuditVal),_xlpm.MacVal&lt;&gt;"",_xlpm.MacVal,_xlpm.CSVVal&lt;&gt;"",_xlpm.CSVVal
)),"No")</f>
        <v>No</v>
      </c>
      <c r="Q653" s="2" t="str" cm="1">
        <f t="array" ref="Q653">IFERROR(_xlfn.LET(
_xlpm.CSVVal,_xlfn.XLOOKUP($A653,CSV!$A:$A,CSV!AH:AH,""),
_xlpm.MacVal,_xlfn.XLOOKUP($A653,Output_Mac!$A:$A,Output_Mac!U:U,""),
_xlpm.MyAuditVal,_xlfn.XLOOKUP($A653,My_Audit!$A:$A,My_Audit!R:R,""),
_xlfn.IFS(_xlpm.MyAuditVal&lt;&gt;"",UPPER(_xlpm.MyAuditVal),_xlpm.MacVal&lt;&gt;"",_xlpm.MacVal,_xlpm.CSVVal&lt;&gt;"",_xlpm.CSVVal
)),"")</f>
        <v/>
      </c>
    </row>
    <row r="654" spans="1:17">
      <c r="A654" s="2" t="str">
        <f>_xlfn.TEXTJOIN("",TRUE,Input!$B$2,ROW(My_Audit!A653))</f>
        <v>XX653</v>
      </c>
      <c r="B654" s="2" t="str">
        <f>_xlfn.TEXTJOIN("-",TRUE,"ITD",Input!$A$2,A654)</f>
        <v>ITD-SHRXXX-XX653</v>
      </c>
      <c r="C654" s="2" t="str" cm="1">
        <f t="array" ref="C654">IFERROR(_xlfn.LET(
_xlpm.CSVVal,_xlfn.XLOOKUP($A654,CSV!$A:$A,CSV!B:B,""),
_xlpm.MacVal,_xlfn.XLOOKUP($A654,Output_Mac!$A:$A,Output_Mac!B:B,""),
_xlpm.MyAuditVal,_xlfn.XLOOKUP($A654,My_Audit!$A:$A,My_Audit!B:B,""),
_xlfn.IFS(_xlpm.MyAuditVal&lt;&gt;"",UPPER(_xlpm.MyAuditVal),_xlpm.MacVal&lt;&gt;"",_xlpm.MacVal,_xlpm.CSVVal&lt;&gt;"",_xlpm.CSVVal
)),"")</f>
        <v/>
      </c>
      <c r="D654" s="2" t="str" cm="1">
        <f t="array" ref="D654">IFERROR(_xlfn.LET(
_xlpm.CSVVal,_xlfn.XLOOKUP($A654,CSV!$A:$A,CSV!D:D,""),
_xlpm.MacVal,_xlfn.XLOOKUP($A654,Output_Mac!$A:$A,Output_Mac!C:C,""),
_xlpm.MyAuditVal,_xlfn.XLOOKUP($A654,My_Audit!$A:$A,My_Audit!C:C,""),
_xlfn.IFS(_xlpm.MyAuditVal&lt;&gt;"",_xlpm.MyAuditVal,_xlpm.MacVal&lt;&gt;"",_xlpm.MacVal,_xlpm.CSVVal&lt;&gt;"",_xlpm.CSVVal
)),"")</f>
        <v/>
      </c>
      <c r="E654" s="2" t="str">
        <f>_xlfn.XLOOKUP(A654,My_Audit!A:A,My_Audit!D:D,"")&amp;""</f>
        <v/>
      </c>
      <c r="F654" s="2" t="str" cm="1">
        <f t="array" ref="F654">IFERROR(_xlfn.LET(
_xlpm.CSVVal,_xlfn.XLOOKUP($A654,CSV!$A:$A,CSV!F:F,""),
_xlpm.MacVal,_xlfn.XLOOKUP($A654,Output_Mac!$A:$A,Output_Mac!E:E,""),
_xlpm.MyAuditVal,_xlfn.XLOOKUP($A654,My_Audit!$A:$A,My_Audit!E:E,""),
_xlfn.IFS(_xlpm.MyAuditVal&lt;&gt;"",_xlpm.MyAuditVal,_xlpm.MacVal&lt;&gt;"",_xlpm.MacVal,_xlpm.CSVVal&lt;&gt;"",_xlpm.CSVVal
)),"")</f>
        <v/>
      </c>
      <c r="G654" s="2" t="str" cm="1">
        <f t="array" ref="G654">IFERROR(_xlfn.LET(
_xlpm.CSVVal,_xlfn.XLOOKUP($A654,CSV!$A:$A,CSV!G:G,""),
_xlpm.MacVal,_xlfn.XLOOKUP($A654,Output_Mac!$A:$A,Output_Mac!F:F,""),
_xlpm.MyAuditVal,_xlfn.XLOOKUP($A654,My_Audit!$A:$A,My_Audit!F:F,""),
_xlfn.IFS(_xlpm.MyAuditVal&lt;&gt;"",_xlpm.MyAuditVal,_xlpm.MacVal&lt;&gt;"",_xlpm.MacVal,_xlpm.CSVVal&lt;&gt;"",PROPER(_xlpm.CSVVal)
)),"")</f>
        <v/>
      </c>
      <c r="H654" s="2" t="str" cm="1">
        <f t="array" ref="H654">IFERROR(_xlfn.LET(
_xlpm.CSVVal,_xlfn.XLOOKUP($A654,CSV!$A:$A,CSV!H:H,""),
_xlpm.MacVal,_xlfn.XLOOKUP($A654,Output_Mac!$A:$A,Output_Mac!H:H,""),
_xlpm.MyAuditVal,_xlfn.XLOOKUP($A654,My_Audit!$A:$A,My_Audit!G:G,""),
_xlfn.IFS(_xlpm.MyAuditVal&lt;&gt;"",_xlpm.MyAuditVal,_xlpm.MacVal&lt;&gt;"",_xlpm.MacVal,_xlpm.CSVVal&lt;&gt;"",_xlpm.CSVVal
)),"")</f>
        <v/>
      </c>
      <c r="I654" s="2" t="str">
        <f>_xlfn.XLOOKUP(A654,Output_Mac!A:A,Output_Mac!I:I,"")</f>
        <v/>
      </c>
      <c r="J654" s="2" t="str" cm="1">
        <f t="array" ref="J654">IFERROR(_xlfn.LET(
_xlpm.CSVVal,_xlfn.XLOOKUP($A654,CSV!$A:$A,CSV!I:I,""),
_xlpm.MacVal,_xlfn.XLOOKUP($A654,Output_Mac!$A:$A,Output_Mac!J:J,""),
_xlpm.MyAuditVal,_xlfn.XLOOKUP($A654,My_Audit!$A:$A,My_Audit!I:I,""),
_xlfn.IFS(_xlpm.MyAuditVal&lt;&gt;"",UPPER(_xlpm.MyAuditVal),_xlpm.MacVal&lt;&gt;"",_xlpm.MacVal,_xlpm.CSVVal&lt;&gt;"",_xlpm.CSVVal
)),"")</f>
        <v/>
      </c>
      <c r="K654" s="2" t="str" cm="1">
        <f t="array" ref="K654">IFERROR(_xlfn.LET(
_xlpm.CSVVal,_xlfn.XLOOKUP($A654,CSV!$A:$A,CSV!K:K,""),
_xlpm.MacVal,_xlfn.XLOOKUP($A654,Output_Mac!$A:$A,Output_Mac!K:K,""),
_xlpm.MyAuditVal,_xlfn.XLOOKUP($A654,My_Audit!$A:$A,My_Audit!J:J,""),
_xlfn.IFS(_xlpm.MyAuditVal&lt;&gt;"",UPPER(_xlpm.MyAuditVal),_xlpm.MacVal&lt;&gt;"",_xlpm.MacVal,_xlpm.CSVVal&lt;&gt;"",_xlpm.CSVVal
)),"")</f>
        <v/>
      </c>
      <c r="L654" s="2" t="str" cm="1">
        <f t="array" ref="L654">IFERROR(_xlfn.LET(
_xlpm.CSVVal,_xlfn.XLOOKUP($A654,CSV!$A:$A,CSV!P:P,""),
_xlpm.MacVal,_xlfn.XLOOKUP($A654,Output_Mac!$A:$A,Output_Mac!L:L,""),
_xlpm.MyAuditVal,_xlfn.XLOOKUP($A654,My_Audit!$A:$A,My_Audit!K:K,""),
_xlfn.IFS(_xlpm.MyAuditVal&lt;&gt;"",UPPER(_xlpm.MyAuditVal),_xlpm.MacVal&lt;&gt;"",_xlpm.MacVal,_xlpm.CSVVal&lt;&gt;"",_xlpm.CSVVal
)),"")</f>
        <v/>
      </c>
      <c r="M654" s="2" t="str" cm="1">
        <f t="array" ref="M654">IFERROR(_xlfn.LET(
_xlpm.CSVVal,_xlfn.XLOOKUP($A654,CSV!$A:$A,CSV!Q:Q,""),
_xlpm.MacVal,_xlfn.XLOOKUP($A654,Output_Mac!$A:$A,Output_Mac!M:M,""),
_xlpm.MyAuditVal,_xlfn.XLOOKUP($A654,My_Audit!$A:$A,My_Audit!L:L,""),
_xlfn.IFS(_xlpm.MyAuditVal&lt;&gt;"",UPPER(_xlpm.MyAuditVal),_xlpm.MacVal&lt;&gt;"",_xlpm.MacVal,_xlpm.CSVVal&lt;&gt;"",_xlpm.CSVVal
)),"")</f>
        <v/>
      </c>
      <c r="O654" s="2" t="str">
        <f>_xlfn.LET(
    _xlpm.CSVVal, _xlfn.XLOOKUP($A654, CSV!$A:$A, CSV!AF:AF, ""),
    _xlpm.MacVal, _xlfn.XLOOKUP($A654, Output_Mac!$A:$A, Output_Mac!S:S, ""),
    _xlpm.MyAuditVal, _xlfn.XLOOKUP($A654, My_Audit!$A:$A, My_Audit!P:P, ""),
    _xlfn.TEXTJOIN(", ", TRUE, _xlpm.MyAuditVal, _xlpm.MacVal, _xlpm.CSVVal)
)</f>
        <v/>
      </c>
      <c r="P654" s="2" t="str" cm="1">
        <f t="array" ref="P654">IFERROR(_xlfn.LET(
_xlpm.CSVVal,_xlfn.XLOOKUP($A654,CSV!$A:$A,CSV!AG:AG,""),
_xlpm.MacVal,_xlfn.XLOOKUP($A654,Output_Mac!$A:$A,Output_Mac!T:T,""),
_xlpm.MyAuditVal,_xlfn.XLOOKUP($A654,My_Audit!$A:$A,My_Audit!Q:Q,""),
_xlfn.IFS(_xlpm.MyAuditVal&lt;&gt;"",UPPER(_xlpm.MyAuditVal),_xlpm.MacVal&lt;&gt;"",_xlpm.MacVal,_xlpm.CSVVal&lt;&gt;"",_xlpm.CSVVal
)),"No")</f>
        <v>No</v>
      </c>
      <c r="Q654" s="2" t="str" cm="1">
        <f t="array" ref="Q654">IFERROR(_xlfn.LET(
_xlpm.CSVVal,_xlfn.XLOOKUP($A654,CSV!$A:$A,CSV!AH:AH,""),
_xlpm.MacVal,_xlfn.XLOOKUP($A654,Output_Mac!$A:$A,Output_Mac!U:U,""),
_xlpm.MyAuditVal,_xlfn.XLOOKUP($A654,My_Audit!$A:$A,My_Audit!R:R,""),
_xlfn.IFS(_xlpm.MyAuditVal&lt;&gt;"",UPPER(_xlpm.MyAuditVal),_xlpm.MacVal&lt;&gt;"",_xlpm.MacVal,_xlpm.CSVVal&lt;&gt;"",_xlpm.CSVVal
)),"")</f>
        <v/>
      </c>
    </row>
    <row r="655" spans="1:17">
      <c r="A655" s="2" t="str">
        <f>_xlfn.TEXTJOIN("",TRUE,Input!$B$2,ROW(My_Audit!A654))</f>
        <v>XX654</v>
      </c>
      <c r="B655" s="2" t="str">
        <f>_xlfn.TEXTJOIN("-",TRUE,"ITD",Input!$A$2,A655)</f>
        <v>ITD-SHRXXX-XX654</v>
      </c>
      <c r="C655" s="2" t="str" cm="1">
        <f t="array" ref="C655">IFERROR(_xlfn.LET(
_xlpm.CSVVal,_xlfn.XLOOKUP($A655,CSV!$A:$A,CSV!B:B,""),
_xlpm.MacVal,_xlfn.XLOOKUP($A655,Output_Mac!$A:$A,Output_Mac!B:B,""),
_xlpm.MyAuditVal,_xlfn.XLOOKUP($A655,My_Audit!$A:$A,My_Audit!B:B,""),
_xlfn.IFS(_xlpm.MyAuditVal&lt;&gt;"",UPPER(_xlpm.MyAuditVal),_xlpm.MacVal&lt;&gt;"",_xlpm.MacVal,_xlpm.CSVVal&lt;&gt;"",_xlpm.CSVVal
)),"")</f>
        <v/>
      </c>
      <c r="D655" s="2" t="str" cm="1">
        <f t="array" ref="D655">IFERROR(_xlfn.LET(
_xlpm.CSVVal,_xlfn.XLOOKUP($A655,CSV!$A:$A,CSV!D:D,""),
_xlpm.MacVal,_xlfn.XLOOKUP($A655,Output_Mac!$A:$A,Output_Mac!C:C,""),
_xlpm.MyAuditVal,_xlfn.XLOOKUP($A655,My_Audit!$A:$A,My_Audit!C:C,""),
_xlfn.IFS(_xlpm.MyAuditVal&lt;&gt;"",_xlpm.MyAuditVal,_xlpm.MacVal&lt;&gt;"",_xlpm.MacVal,_xlpm.CSVVal&lt;&gt;"",_xlpm.CSVVal
)),"")</f>
        <v/>
      </c>
      <c r="E655" s="2" t="str">
        <f>_xlfn.XLOOKUP(A655,My_Audit!A:A,My_Audit!D:D,"")&amp;""</f>
        <v/>
      </c>
      <c r="F655" s="2" t="str" cm="1">
        <f t="array" ref="F655">IFERROR(_xlfn.LET(
_xlpm.CSVVal,_xlfn.XLOOKUP($A655,CSV!$A:$A,CSV!F:F,""),
_xlpm.MacVal,_xlfn.XLOOKUP($A655,Output_Mac!$A:$A,Output_Mac!E:E,""),
_xlpm.MyAuditVal,_xlfn.XLOOKUP($A655,My_Audit!$A:$A,My_Audit!E:E,""),
_xlfn.IFS(_xlpm.MyAuditVal&lt;&gt;"",_xlpm.MyAuditVal,_xlpm.MacVal&lt;&gt;"",_xlpm.MacVal,_xlpm.CSVVal&lt;&gt;"",_xlpm.CSVVal
)),"")</f>
        <v/>
      </c>
      <c r="G655" s="2" t="str" cm="1">
        <f t="array" ref="G655">IFERROR(_xlfn.LET(
_xlpm.CSVVal,_xlfn.XLOOKUP($A655,CSV!$A:$A,CSV!G:G,""),
_xlpm.MacVal,_xlfn.XLOOKUP($A655,Output_Mac!$A:$A,Output_Mac!F:F,""),
_xlpm.MyAuditVal,_xlfn.XLOOKUP($A655,My_Audit!$A:$A,My_Audit!F:F,""),
_xlfn.IFS(_xlpm.MyAuditVal&lt;&gt;"",_xlpm.MyAuditVal,_xlpm.MacVal&lt;&gt;"",_xlpm.MacVal,_xlpm.CSVVal&lt;&gt;"",PROPER(_xlpm.CSVVal)
)),"")</f>
        <v/>
      </c>
      <c r="H655" s="2" t="str" cm="1">
        <f t="array" ref="H655">IFERROR(_xlfn.LET(
_xlpm.CSVVal,_xlfn.XLOOKUP($A655,CSV!$A:$A,CSV!H:H,""),
_xlpm.MacVal,_xlfn.XLOOKUP($A655,Output_Mac!$A:$A,Output_Mac!H:H,""),
_xlpm.MyAuditVal,_xlfn.XLOOKUP($A655,My_Audit!$A:$A,My_Audit!G:G,""),
_xlfn.IFS(_xlpm.MyAuditVal&lt;&gt;"",_xlpm.MyAuditVal,_xlpm.MacVal&lt;&gt;"",_xlpm.MacVal,_xlpm.CSVVal&lt;&gt;"",_xlpm.CSVVal
)),"")</f>
        <v/>
      </c>
      <c r="I655" s="2" t="str">
        <f>_xlfn.XLOOKUP(A655,Output_Mac!A:A,Output_Mac!I:I,"")</f>
        <v/>
      </c>
      <c r="J655" s="2" t="str" cm="1">
        <f t="array" ref="J655">IFERROR(_xlfn.LET(
_xlpm.CSVVal,_xlfn.XLOOKUP($A655,CSV!$A:$A,CSV!I:I,""),
_xlpm.MacVal,_xlfn.XLOOKUP($A655,Output_Mac!$A:$A,Output_Mac!J:J,""),
_xlpm.MyAuditVal,_xlfn.XLOOKUP($A655,My_Audit!$A:$A,My_Audit!I:I,""),
_xlfn.IFS(_xlpm.MyAuditVal&lt;&gt;"",UPPER(_xlpm.MyAuditVal),_xlpm.MacVal&lt;&gt;"",_xlpm.MacVal,_xlpm.CSVVal&lt;&gt;"",_xlpm.CSVVal
)),"")</f>
        <v/>
      </c>
      <c r="K655" s="2" t="str" cm="1">
        <f t="array" ref="K655">IFERROR(_xlfn.LET(
_xlpm.CSVVal,_xlfn.XLOOKUP($A655,CSV!$A:$A,CSV!K:K,""),
_xlpm.MacVal,_xlfn.XLOOKUP($A655,Output_Mac!$A:$A,Output_Mac!K:K,""),
_xlpm.MyAuditVal,_xlfn.XLOOKUP($A655,My_Audit!$A:$A,My_Audit!J:J,""),
_xlfn.IFS(_xlpm.MyAuditVal&lt;&gt;"",UPPER(_xlpm.MyAuditVal),_xlpm.MacVal&lt;&gt;"",_xlpm.MacVal,_xlpm.CSVVal&lt;&gt;"",_xlpm.CSVVal
)),"")</f>
        <v/>
      </c>
      <c r="L655" s="2" t="str" cm="1">
        <f t="array" ref="L655">IFERROR(_xlfn.LET(
_xlpm.CSVVal,_xlfn.XLOOKUP($A655,CSV!$A:$A,CSV!P:P,""),
_xlpm.MacVal,_xlfn.XLOOKUP($A655,Output_Mac!$A:$A,Output_Mac!L:L,""),
_xlpm.MyAuditVal,_xlfn.XLOOKUP($A655,My_Audit!$A:$A,My_Audit!K:K,""),
_xlfn.IFS(_xlpm.MyAuditVal&lt;&gt;"",UPPER(_xlpm.MyAuditVal),_xlpm.MacVal&lt;&gt;"",_xlpm.MacVal,_xlpm.CSVVal&lt;&gt;"",_xlpm.CSVVal
)),"")</f>
        <v/>
      </c>
      <c r="M655" s="2" t="str" cm="1">
        <f t="array" ref="M655">IFERROR(_xlfn.LET(
_xlpm.CSVVal,_xlfn.XLOOKUP($A655,CSV!$A:$A,CSV!Q:Q,""),
_xlpm.MacVal,_xlfn.XLOOKUP($A655,Output_Mac!$A:$A,Output_Mac!M:M,""),
_xlpm.MyAuditVal,_xlfn.XLOOKUP($A655,My_Audit!$A:$A,My_Audit!L:L,""),
_xlfn.IFS(_xlpm.MyAuditVal&lt;&gt;"",UPPER(_xlpm.MyAuditVal),_xlpm.MacVal&lt;&gt;"",_xlpm.MacVal,_xlpm.CSVVal&lt;&gt;"",_xlpm.CSVVal
)),"")</f>
        <v/>
      </c>
      <c r="O655" s="2" t="str">
        <f>_xlfn.LET(
    _xlpm.CSVVal, _xlfn.XLOOKUP($A655, CSV!$A:$A, CSV!AF:AF, ""),
    _xlpm.MacVal, _xlfn.XLOOKUP($A655, Output_Mac!$A:$A, Output_Mac!S:S, ""),
    _xlpm.MyAuditVal, _xlfn.XLOOKUP($A655, My_Audit!$A:$A, My_Audit!P:P, ""),
    _xlfn.TEXTJOIN(", ", TRUE, _xlpm.MyAuditVal, _xlpm.MacVal, _xlpm.CSVVal)
)</f>
        <v/>
      </c>
      <c r="P655" s="2" t="str" cm="1">
        <f t="array" ref="P655">IFERROR(_xlfn.LET(
_xlpm.CSVVal,_xlfn.XLOOKUP($A655,CSV!$A:$A,CSV!AG:AG,""),
_xlpm.MacVal,_xlfn.XLOOKUP($A655,Output_Mac!$A:$A,Output_Mac!T:T,""),
_xlpm.MyAuditVal,_xlfn.XLOOKUP($A655,My_Audit!$A:$A,My_Audit!Q:Q,""),
_xlfn.IFS(_xlpm.MyAuditVal&lt;&gt;"",UPPER(_xlpm.MyAuditVal),_xlpm.MacVal&lt;&gt;"",_xlpm.MacVal,_xlpm.CSVVal&lt;&gt;"",_xlpm.CSVVal
)),"No")</f>
        <v>No</v>
      </c>
      <c r="Q655" s="2" t="str" cm="1">
        <f t="array" ref="Q655">IFERROR(_xlfn.LET(
_xlpm.CSVVal,_xlfn.XLOOKUP($A655,CSV!$A:$A,CSV!AH:AH,""),
_xlpm.MacVal,_xlfn.XLOOKUP($A655,Output_Mac!$A:$A,Output_Mac!U:U,""),
_xlpm.MyAuditVal,_xlfn.XLOOKUP($A655,My_Audit!$A:$A,My_Audit!R:R,""),
_xlfn.IFS(_xlpm.MyAuditVal&lt;&gt;"",UPPER(_xlpm.MyAuditVal),_xlpm.MacVal&lt;&gt;"",_xlpm.MacVal,_xlpm.CSVVal&lt;&gt;"",_xlpm.CSVVal
)),"")</f>
        <v/>
      </c>
    </row>
    <row r="656" spans="1:17">
      <c r="A656" s="2" t="str">
        <f>_xlfn.TEXTJOIN("",TRUE,Input!$B$2,ROW(My_Audit!A655))</f>
        <v>XX655</v>
      </c>
      <c r="B656" s="2" t="str">
        <f>_xlfn.TEXTJOIN("-",TRUE,"ITD",Input!$A$2,A656)</f>
        <v>ITD-SHRXXX-XX655</v>
      </c>
      <c r="C656" s="2" t="str" cm="1">
        <f t="array" ref="C656">IFERROR(_xlfn.LET(
_xlpm.CSVVal,_xlfn.XLOOKUP($A656,CSV!$A:$A,CSV!B:B,""),
_xlpm.MacVal,_xlfn.XLOOKUP($A656,Output_Mac!$A:$A,Output_Mac!B:B,""),
_xlpm.MyAuditVal,_xlfn.XLOOKUP($A656,My_Audit!$A:$A,My_Audit!B:B,""),
_xlfn.IFS(_xlpm.MyAuditVal&lt;&gt;"",UPPER(_xlpm.MyAuditVal),_xlpm.MacVal&lt;&gt;"",_xlpm.MacVal,_xlpm.CSVVal&lt;&gt;"",_xlpm.CSVVal
)),"")</f>
        <v/>
      </c>
      <c r="D656" s="2" t="str" cm="1">
        <f t="array" ref="D656">IFERROR(_xlfn.LET(
_xlpm.CSVVal,_xlfn.XLOOKUP($A656,CSV!$A:$A,CSV!D:D,""),
_xlpm.MacVal,_xlfn.XLOOKUP($A656,Output_Mac!$A:$A,Output_Mac!C:C,""),
_xlpm.MyAuditVal,_xlfn.XLOOKUP($A656,My_Audit!$A:$A,My_Audit!C:C,""),
_xlfn.IFS(_xlpm.MyAuditVal&lt;&gt;"",_xlpm.MyAuditVal,_xlpm.MacVal&lt;&gt;"",_xlpm.MacVal,_xlpm.CSVVal&lt;&gt;"",_xlpm.CSVVal
)),"")</f>
        <v/>
      </c>
      <c r="E656" s="2" t="str">
        <f>_xlfn.XLOOKUP(A656,My_Audit!A:A,My_Audit!D:D,"")&amp;""</f>
        <v/>
      </c>
      <c r="F656" s="2" t="str" cm="1">
        <f t="array" ref="F656">IFERROR(_xlfn.LET(
_xlpm.CSVVal,_xlfn.XLOOKUP($A656,CSV!$A:$A,CSV!F:F,""),
_xlpm.MacVal,_xlfn.XLOOKUP($A656,Output_Mac!$A:$A,Output_Mac!E:E,""),
_xlpm.MyAuditVal,_xlfn.XLOOKUP($A656,My_Audit!$A:$A,My_Audit!E:E,""),
_xlfn.IFS(_xlpm.MyAuditVal&lt;&gt;"",_xlpm.MyAuditVal,_xlpm.MacVal&lt;&gt;"",_xlpm.MacVal,_xlpm.CSVVal&lt;&gt;"",_xlpm.CSVVal
)),"")</f>
        <v/>
      </c>
      <c r="G656" s="2" t="str" cm="1">
        <f t="array" ref="G656">IFERROR(_xlfn.LET(
_xlpm.CSVVal,_xlfn.XLOOKUP($A656,CSV!$A:$A,CSV!G:G,""),
_xlpm.MacVal,_xlfn.XLOOKUP($A656,Output_Mac!$A:$A,Output_Mac!F:F,""),
_xlpm.MyAuditVal,_xlfn.XLOOKUP($A656,My_Audit!$A:$A,My_Audit!F:F,""),
_xlfn.IFS(_xlpm.MyAuditVal&lt;&gt;"",_xlpm.MyAuditVal,_xlpm.MacVal&lt;&gt;"",_xlpm.MacVal,_xlpm.CSVVal&lt;&gt;"",PROPER(_xlpm.CSVVal)
)),"")</f>
        <v/>
      </c>
      <c r="H656" s="2" t="str" cm="1">
        <f t="array" ref="H656">IFERROR(_xlfn.LET(
_xlpm.CSVVal,_xlfn.XLOOKUP($A656,CSV!$A:$A,CSV!H:H,""),
_xlpm.MacVal,_xlfn.XLOOKUP($A656,Output_Mac!$A:$A,Output_Mac!H:H,""),
_xlpm.MyAuditVal,_xlfn.XLOOKUP($A656,My_Audit!$A:$A,My_Audit!G:G,""),
_xlfn.IFS(_xlpm.MyAuditVal&lt;&gt;"",_xlpm.MyAuditVal,_xlpm.MacVal&lt;&gt;"",_xlpm.MacVal,_xlpm.CSVVal&lt;&gt;"",_xlpm.CSVVal
)),"")</f>
        <v/>
      </c>
      <c r="I656" s="2" t="str">
        <f>_xlfn.XLOOKUP(A656,Output_Mac!A:A,Output_Mac!I:I,"")</f>
        <v/>
      </c>
      <c r="J656" s="2" t="str" cm="1">
        <f t="array" ref="J656">IFERROR(_xlfn.LET(
_xlpm.CSVVal,_xlfn.XLOOKUP($A656,CSV!$A:$A,CSV!I:I,""),
_xlpm.MacVal,_xlfn.XLOOKUP($A656,Output_Mac!$A:$A,Output_Mac!J:J,""),
_xlpm.MyAuditVal,_xlfn.XLOOKUP($A656,My_Audit!$A:$A,My_Audit!I:I,""),
_xlfn.IFS(_xlpm.MyAuditVal&lt;&gt;"",UPPER(_xlpm.MyAuditVal),_xlpm.MacVal&lt;&gt;"",_xlpm.MacVal,_xlpm.CSVVal&lt;&gt;"",_xlpm.CSVVal
)),"")</f>
        <v/>
      </c>
      <c r="K656" s="2" t="str" cm="1">
        <f t="array" ref="K656">IFERROR(_xlfn.LET(
_xlpm.CSVVal,_xlfn.XLOOKUP($A656,CSV!$A:$A,CSV!K:K,""),
_xlpm.MacVal,_xlfn.XLOOKUP($A656,Output_Mac!$A:$A,Output_Mac!K:K,""),
_xlpm.MyAuditVal,_xlfn.XLOOKUP($A656,My_Audit!$A:$A,My_Audit!J:J,""),
_xlfn.IFS(_xlpm.MyAuditVal&lt;&gt;"",UPPER(_xlpm.MyAuditVal),_xlpm.MacVal&lt;&gt;"",_xlpm.MacVal,_xlpm.CSVVal&lt;&gt;"",_xlpm.CSVVal
)),"")</f>
        <v/>
      </c>
      <c r="L656" s="2" t="str" cm="1">
        <f t="array" ref="L656">IFERROR(_xlfn.LET(
_xlpm.CSVVal,_xlfn.XLOOKUP($A656,CSV!$A:$A,CSV!P:P,""),
_xlpm.MacVal,_xlfn.XLOOKUP($A656,Output_Mac!$A:$A,Output_Mac!L:L,""),
_xlpm.MyAuditVal,_xlfn.XLOOKUP($A656,My_Audit!$A:$A,My_Audit!K:K,""),
_xlfn.IFS(_xlpm.MyAuditVal&lt;&gt;"",UPPER(_xlpm.MyAuditVal),_xlpm.MacVal&lt;&gt;"",_xlpm.MacVal,_xlpm.CSVVal&lt;&gt;"",_xlpm.CSVVal
)),"")</f>
        <v/>
      </c>
      <c r="M656" s="2" t="str" cm="1">
        <f t="array" ref="M656">IFERROR(_xlfn.LET(
_xlpm.CSVVal,_xlfn.XLOOKUP($A656,CSV!$A:$A,CSV!Q:Q,""),
_xlpm.MacVal,_xlfn.XLOOKUP($A656,Output_Mac!$A:$A,Output_Mac!M:M,""),
_xlpm.MyAuditVal,_xlfn.XLOOKUP($A656,My_Audit!$A:$A,My_Audit!L:L,""),
_xlfn.IFS(_xlpm.MyAuditVal&lt;&gt;"",UPPER(_xlpm.MyAuditVal),_xlpm.MacVal&lt;&gt;"",_xlpm.MacVal,_xlpm.CSVVal&lt;&gt;"",_xlpm.CSVVal
)),"")</f>
        <v/>
      </c>
      <c r="O656" s="2" t="str">
        <f>_xlfn.LET(
    _xlpm.CSVVal, _xlfn.XLOOKUP($A656, CSV!$A:$A, CSV!AF:AF, ""),
    _xlpm.MacVal, _xlfn.XLOOKUP($A656, Output_Mac!$A:$A, Output_Mac!S:S, ""),
    _xlpm.MyAuditVal, _xlfn.XLOOKUP($A656, My_Audit!$A:$A, My_Audit!P:P, ""),
    _xlfn.TEXTJOIN(", ", TRUE, _xlpm.MyAuditVal, _xlpm.MacVal, _xlpm.CSVVal)
)</f>
        <v/>
      </c>
      <c r="P656" s="2" t="str" cm="1">
        <f t="array" ref="P656">IFERROR(_xlfn.LET(
_xlpm.CSVVal,_xlfn.XLOOKUP($A656,CSV!$A:$A,CSV!AG:AG,""),
_xlpm.MacVal,_xlfn.XLOOKUP($A656,Output_Mac!$A:$A,Output_Mac!T:T,""),
_xlpm.MyAuditVal,_xlfn.XLOOKUP($A656,My_Audit!$A:$A,My_Audit!Q:Q,""),
_xlfn.IFS(_xlpm.MyAuditVal&lt;&gt;"",UPPER(_xlpm.MyAuditVal),_xlpm.MacVal&lt;&gt;"",_xlpm.MacVal,_xlpm.CSVVal&lt;&gt;"",_xlpm.CSVVal
)),"No")</f>
        <v>No</v>
      </c>
      <c r="Q656" s="2" t="str" cm="1">
        <f t="array" ref="Q656">IFERROR(_xlfn.LET(
_xlpm.CSVVal,_xlfn.XLOOKUP($A656,CSV!$A:$A,CSV!AH:AH,""),
_xlpm.MacVal,_xlfn.XLOOKUP($A656,Output_Mac!$A:$A,Output_Mac!U:U,""),
_xlpm.MyAuditVal,_xlfn.XLOOKUP($A656,My_Audit!$A:$A,My_Audit!R:R,""),
_xlfn.IFS(_xlpm.MyAuditVal&lt;&gt;"",UPPER(_xlpm.MyAuditVal),_xlpm.MacVal&lt;&gt;"",_xlpm.MacVal,_xlpm.CSVVal&lt;&gt;"",_xlpm.CSVVal
)),"")</f>
        <v/>
      </c>
    </row>
    <row r="657" spans="1:17">
      <c r="A657" s="2" t="str">
        <f>_xlfn.TEXTJOIN("",TRUE,Input!$B$2,ROW(My_Audit!A656))</f>
        <v>XX656</v>
      </c>
      <c r="B657" s="2" t="str">
        <f>_xlfn.TEXTJOIN("-",TRUE,"ITD",Input!$A$2,A657)</f>
        <v>ITD-SHRXXX-XX656</v>
      </c>
      <c r="C657" s="2" t="str" cm="1">
        <f t="array" ref="C657">IFERROR(_xlfn.LET(
_xlpm.CSVVal,_xlfn.XLOOKUP($A657,CSV!$A:$A,CSV!B:B,""),
_xlpm.MacVal,_xlfn.XLOOKUP($A657,Output_Mac!$A:$A,Output_Mac!B:B,""),
_xlpm.MyAuditVal,_xlfn.XLOOKUP($A657,My_Audit!$A:$A,My_Audit!B:B,""),
_xlfn.IFS(_xlpm.MyAuditVal&lt;&gt;"",UPPER(_xlpm.MyAuditVal),_xlpm.MacVal&lt;&gt;"",_xlpm.MacVal,_xlpm.CSVVal&lt;&gt;"",_xlpm.CSVVal
)),"")</f>
        <v/>
      </c>
      <c r="D657" s="2" t="str" cm="1">
        <f t="array" ref="D657">IFERROR(_xlfn.LET(
_xlpm.CSVVal,_xlfn.XLOOKUP($A657,CSV!$A:$A,CSV!D:D,""),
_xlpm.MacVal,_xlfn.XLOOKUP($A657,Output_Mac!$A:$A,Output_Mac!C:C,""),
_xlpm.MyAuditVal,_xlfn.XLOOKUP($A657,My_Audit!$A:$A,My_Audit!C:C,""),
_xlfn.IFS(_xlpm.MyAuditVal&lt;&gt;"",_xlpm.MyAuditVal,_xlpm.MacVal&lt;&gt;"",_xlpm.MacVal,_xlpm.CSVVal&lt;&gt;"",_xlpm.CSVVal
)),"")</f>
        <v/>
      </c>
      <c r="E657" s="2" t="str">
        <f>_xlfn.XLOOKUP(A657,My_Audit!A:A,My_Audit!D:D,"")&amp;""</f>
        <v/>
      </c>
      <c r="F657" s="2" t="str" cm="1">
        <f t="array" ref="F657">IFERROR(_xlfn.LET(
_xlpm.CSVVal,_xlfn.XLOOKUP($A657,CSV!$A:$A,CSV!F:F,""),
_xlpm.MacVal,_xlfn.XLOOKUP($A657,Output_Mac!$A:$A,Output_Mac!E:E,""),
_xlpm.MyAuditVal,_xlfn.XLOOKUP($A657,My_Audit!$A:$A,My_Audit!E:E,""),
_xlfn.IFS(_xlpm.MyAuditVal&lt;&gt;"",_xlpm.MyAuditVal,_xlpm.MacVal&lt;&gt;"",_xlpm.MacVal,_xlpm.CSVVal&lt;&gt;"",_xlpm.CSVVal
)),"")</f>
        <v/>
      </c>
      <c r="G657" s="2" t="str" cm="1">
        <f t="array" ref="G657">IFERROR(_xlfn.LET(
_xlpm.CSVVal,_xlfn.XLOOKUP($A657,CSV!$A:$A,CSV!G:G,""),
_xlpm.MacVal,_xlfn.XLOOKUP($A657,Output_Mac!$A:$A,Output_Mac!F:F,""),
_xlpm.MyAuditVal,_xlfn.XLOOKUP($A657,My_Audit!$A:$A,My_Audit!F:F,""),
_xlfn.IFS(_xlpm.MyAuditVal&lt;&gt;"",_xlpm.MyAuditVal,_xlpm.MacVal&lt;&gt;"",_xlpm.MacVal,_xlpm.CSVVal&lt;&gt;"",PROPER(_xlpm.CSVVal)
)),"")</f>
        <v/>
      </c>
      <c r="H657" s="2" t="str" cm="1">
        <f t="array" ref="H657">IFERROR(_xlfn.LET(
_xlpm.CSVVal,_xlfn.XLOOKUP($A657,CSV!$A:$A,CSV!H:H,""),
_xlpm.MacVal,_xlfn.XLOOKUP($A657,Output_Mac!$A:$A,Output_Mac!H:H,""),
_xlpm.MyAuditVal,_xlfn.XLOOKUP($A657,My_Audit!$A:$A,My_Audit!G:G,""),
_xlfn.IFS(_xlpm.MyAuditVal&lt;&gt;"",_xlpm.MyAuditVal,_xlpm.MacVal&lt;&gt;"",_xlpm.MacVal,_xlpm.CSVVal&lt;&gt;"",_xlpm.CSVVal
)),"")</f>
        <v/>
      </c>
      <c r="I657" s="2" t="str">
        <f>_xlfn.XLOOKUP(A657,Output_Mac!A:A,Output_Mac!I:I,"")</f>
        <v/>
      </c>
      <c r="J657" s="2" t="str" cm="1">
        <f t="array" ref="J657">IFERROR(_xlfn.LET(
_xlpm.CSVVal,_xlfn.XLOOKUP($A657,CSV!$A:$A,CSV!I:I,""),
_xlpm.MacVal,_xlfn.XLOOKUP($A657,Output_Mac!$A:$A,Output_Mac!J:J,""),
_xlpm.MyAuditVal,_xlfn.XLOOKUP($A657,My_Audit!$A:$A,My_Audit!I:I,""),
_xlfn.IFS(_xlpm.MyAuditVal&lt;&gt;"",UPPER(_xlpm.MyAuditVal),_xlpm.MacVal&lt;&gt;"",_xlpm.MacVal,_xlpm.CSVVal&lt;&gt;"",_xlpm.CSVVal
)),"")</f>
        <v/>
      </c>
      <c r="K657" s="2" t="str" cm="1">
        <f t="array" ref="K657">IFERROR(_xlfn.LET(
_xlpm.CSVVal,_xlfn.XLOOKUP($A657,CSV!$A:$A,CSV!K:K,""),
_xlpm.MacVal,_xlfn.XLOOKUP($A657,Output_Mac!$A:$A,Output_Mac!K:K,""),
_xlpm.MyAuditVal,_xlfn.XLOOKUP($A657,My_Audit!$A:$A,My_Audit!J:J,""),
_xlfn.IFS(_xlpm.MyAuditVal&lt;&gt;"",UPPER(_xlpm.MyAuditVal),_xlpm.MacVal&lt;&gt;"",_xlpm.MacVal,_xlpm.CSVVal&lt;&gt;"",_xlpm.CSVVal
)),"")</f>
        <v/>
      </c>
      <c r="L657" s="2" t="str" cm="1">
        <f t="array" ref="L657">IFERROR(_xlfn.LET(
_xlpm.CSVVal,_xlfn.XLOOKUP($A657,CSV!$A:$A,CSV!P:P,""),
_xlpm.MacVal,_xlfn.XLOOKUP($A657,Output_Mac!$A:$A,Output_Mac!L:L,""),
_xlpm.MyAuditVal,_xlfn.XLOOKUP($A657,My_Audit!$A:$A,My_Audit!K:K,""),
_xlfn.IFS(_xlpm.MyAuditVal&lt;&gt;"",UPPER(_xlpm.MyAuditVal),_xlpm.MacVal&lt;&gt;"",_xlpm.MacVal,_xlpm.CSVVal&lt;&gt;"",_xlpm.CSVVal
)),"")</f>
        <v/>
      </c>
      <c r="M657" s="2" t="str" cm="1">
        <f t="array" ref="M657">IFERROR(_xlfn.LET(
_xlpm.CSVVal,_xlfn.XLOOKUP($A657,CSV!$A:$A,CSV!Q:Q,""),
_xlpm.MacVal,_xlfn.XLOOKUP($A657,Output_Mac!$A:$A,Output_Mac!M:M,""),
_xlpm.MyAuditVal,_xlfn.XLOOKUP($A657,My_Audit!$A:$A,My_Audit!L:L,""),
_xlfn.IFS(_xlpm.MyAuditVal&lt;&gt;"",UPPER(_xlpm.MyAuditVal),_xlpm.MacVal&lt;&gt;"",_xlpm.MacVal,_xlpm.CSVVal&lt;&gt;"",_xlpm.CSVVal
)),"")</f>
        <v/>
      </c>
      <c r="O657" s="2" t="str">
        <f>_xlfn.LET(
    _xlpm.CSVVal, _xlfn.XLOOKUP($A657, CSV!$A:$A, CSV!AF:AF, ""),
    _xlpm.MacVal, _xlfn.XLOOKUP($A657, Output_Mac!$A:$A, Output_Mac!S:S, ""),
    _xlpm.MyAuditVal, _xlfn.XLOOKUP($A657, My_Audit!$A:$A, My_Audit!P:P, ""),
    _xlfn.TEXTJOIN(", ", TRUE, _xlpm.MyAuditVal, _xlpm.MacVal, _xlpm.CSVVal)
)</f>
        <v/>
      </c>
      <c r="P657" s="2" t="str" cm="1">
        <f t="array" ref="P657">IFERROR(_xlfn.LET(
_xlpm.CSVVal,_xlfn.XLOOKUP($A657,CSV!$A:$A,CSV!AG:AG,""),
_xlpm.MacVal,_xlfn.XLOOKUP($A657,Output_Mac!$A:$A,Output_Mac!T:T,""),
_xlpm.MyAuditVal,_xlfn.XLOOKUP($A657,My_Audit!$A:$A,My_Audit!Q:Q,""),
_xlfn.IFS(_xlpm.MyAuditVal&lt;&gt;"",UPPER(_xlpm.MyAuditVal),_xlpm.MacVal&lt;&gt;"",_xlpm.MacVal,_xlpm.CSVVal&lt;&gt;"",_xlpm.CSVVal
)),"No")</f>
        <v>No</v>
      </c>
      <c r="Q657" s="2" t="str" cm="1">
        <f t="array" ref="Q657">IFERROR(_xlfn.LET(
_xlpm.CSVVal,_xlfn.XLOOKUP($A657,CSV!$A:$A,CSV!AH:AH,""),
_xlpm.MacVal,_xlfn.XLOOKUP($A657,Output_Mac!$A:$A,Output_Mac!U:U,""),
_xlpm.MyAuditVal,_xlfn.XLOOKUP($A657,My_Audit!$A:$A,My_Audit!R:R,""),
_xlfn.IFS(_xlpm.MyAuditVal&lt;&gt;"",UPPER(_xlpm.MyAuditVal),_xlpm.MacVal&lt;&gt;"",_xlpm.MacVal,_xlpm.CSVVal&lt;&gt;"",_xlpm.CSVVal
)),"")</f>
        <v/>
      </c>
    </row>
    <row r="658" spans="1:17">
      <c r="A658" s="2" t="str">
        <f>_xlfn.TEXTJOIN("",TRUE,Input!$B$2,ROW(My_Audit!A657))</f>
        <v>XX657</v>
      </c>
      <c r="B658" s="2" t="str">
        <f>_xlfn.TEXTJOIN("-",TRUE,"ITD",Input!$A$2,A658)</f>
        <v>ITD-SHRXXX-XX657</v>
      </c>
      <c r="C658" s="2" t="str" cm="1">
        <f t="array" ref="C658">IFERROR(_xlfn.LET(
_xlpm.CSVVal,_xlfn.XLOOKUP($A658,CSV!$A:$A,CSV!B:B,""),
_xlpm.MacVal,_xlfn.XLOOKUP($A658,Output_Mac!$A:$A,Output_Mac!B:B,""),
_xlpm.MyAuditVal,_xlfn.XLOOKUP($A658,My_Audit!$A:$A,My_Audit!B:B,""),
_xlfn.IFS(_xlpm.MyAuditVal&lt;&gt;"",UPPER(_xlpm.MyAuditVal),_xlpm.MacVal&lt;&gt;"",_xlpm.MacVal,_xlpm.CSVVal&lt;&gt;"",_xlpm.CSVVal
)),"")</f>
        <v/>
      </c>
      <c r="D658" s="2" t="str" cm="1">
        <f t="array" ref="D658">IFERROR(_xlfn.LET(
_xlpm.CSVVal,_xlfn.XLOOKUP($A658,CSV!$A:$A,CSV!D:D,""),
_xlpm.MacVal,_xlfn.XLOOKUP($A658,Output_Mac!$A:$A,Output_Mac!C:C,""),
_xlpm.MyAuditVal,_xlfn.XLOOKUP($A658,My_Audit!$A:$A,My_Audit!C:C,""),
_xlfn.IFS(_xlpm.MyAuditVal&lt;&gt;"",_xlpm.MyAuditVal,_xlpm.MacVal&lt;&gt;"",_xlpm.MacVal,_xlpm.CSVVal&lt;&gt;"",_xlpm.CSVVal
)),"")</f>
        <v/>
      </c>
      <c r="E658" s="2" t="str">
        <f>_xlfn.XLOOKUP(A658,My_Audit!A:A,My_Audit!D:D,"")&amp;""</f>
        <v/>
      </c>
      <c r="F658" s="2" t="str" cm="1">
        <f t="array" ref="F658">IFERROR(_xlfn.LET(
_xlpm.CSVVal,_xlfn.XLOOKUP($A658,CSV!$A:$A,CSV!F:F,""),
_xlpm.MacVal,_xlfn.XLOOKUP($A658,Output_Mac!$A:$A,Output_Mac!E:E,""),
_xlpm.MyAuditVal,_xlfn.XLOOKUP($A658,My_Audit!$A:$A,My_Audit!E:E,""),
_xlfn.IFS(_xlpm.MyAuditVal&lt;&gt;"",_xlpm.MyAuditVal,_xlpm.MacVal&lt;&gt;"",_xlpm.MacVal,_xlpm.CSVVal&lt;&gt;"",_xlpm.CSVVal
)),"")</f>
        <v/>
      </c>
      <c r="G658" s="2" t="str" cm="1">
        <f t="array" ref="G658">IFERROR(_xlfn.LET(
_xlpm.CSVVal,_xlfn.XLOOKUP($A658,CSV!$A:$A,CSV!G:G,""),
_xlpm.MacVal,_xlfn.XLOOKUP($A658,Output_Mac!$A:$A,Output_Mac!F:F,""),
_xlpm.MyAuditVal,_xlfn.XLOOKUP($A658,My_Audit!$A:$A,My_Audit!F:F,""),
_xlfn.IFS(_xlpm.MyAuditVal&lt;&gt;"",_xlpm.MyAuditVal,_xlpm.MacVal&lt;&gt;"",_xlpm.MacVal,_xlpm.CSVVal&lt;&gt;"",PROPER(_xlpm.CSVVal)
)),"")</f>
        <v/>
      </c>
      <c r="H658" s="2" t="str" cm="1">
        <f t="array" ref="H658">IFERROR(_xlfn.LET(
_xlpm.CSVVal,_xlfn.XLOOKUP($A658,CSV!$A:$A,CSV!H:H,""),
_xlpm.MacVal,_xlfn.XLOOKUP($A658,Output_Mac!$A:$A,Output_Mac!H:H,""),
_xlpm.MyAuditVal,_xlfn.XLOOKUP($A658,My_Audit!$A:$A,My_Audit!G:G,""),
_xlfn.IFS(_xlpm.MyAuditVal&lt;&gt;"",_xlpm.MyAuditVal,_xlpm.MacVal&lt;&gt;"",_xlpm.MacVal,_xlpm.CSVVal&lt;&gt;"",_xlpm.CSVVal
)),"")</f>
        <v/>
      </c>
      <c r="I658" s="2" t="str">
        <f>_xlfn.XLOOKUP(A658,Output_Mac!A:A,Output_Mac!I:I,"")</f>
        <v/>
      </c>
      <c r="J658" s="2" t="str" cm="1">
        <f t="array" ref="J658">IFERROR(_xlfn.LET(
_xlpm.CSVVal,_xlfn.XLOOKUP($A658,CSV!$A:$A,CSV!I:I,""),
_xlpm.MacVal,_xlfn.XLOOKUP($A658,Output_Mac!$A:$A,Output_Mac!J:J,""),
_xlpm.MyAuditVal,_xlfn.XLOOKUP($A658,My_Audit!$A:$A,My_Audit!I:I,""),
_xlfn.IFS(_xlpm.MyAuditVal&lt;&gt;"",UPPER(_xlpm.MyAuditVal),_xlpm.MacVal&lt;&gt;"",_xlpm.MacVal,_xlpm.CSVVal&lt;&gt;"",_xlpm.CSVVal
)),"")</f>
        <v/>
      </c>
      <c r="K658" s="2" t="str" cm="1">
        <f t="array" ref="K658">IFERROR(_xlfn.LET(
_xlpm.CSVVal,_xlfn.XLOOKUP($A658,CSV!$A:$A,CSV!K:K,""),
_xlpm.MacVal,_xlfn.XLOOKUP($A658,Output_Mac!$A:$A,Output_Mac!K:K,""),
_xlpm.MyAuditVal,_xlfn.XLOOKUP($A658,My_Audit!$A:$A,My_Audit!J:J,""),
_xlfn.IFS(_xlpm.MyAuditVal&lt;&gt;"",UPPER(_xlpm.MyAuditVal),_xlpm.MacVal&lt;&gt;"",_xlpm.MacVal,_xlpm.CSVVal&lt;&gt;"",_xlpm.CSVVal
)),"")</f>
        <v/>
      </c>
      <c r="L658" s="2" t="str" cm="1">
        <f t="array" ref="L658">IFERROR(_xlfn.LET(
_xlpm.CSVVal,_xlfn.XLOOKUP($A658,CSV!$A:$A,CSV!P:P,""),
_xlpm.MacVal,_xlfn.XLOOKUP($A658,Output_Mac!$A:$A,Output_Mac!L:L,""),
_xlpm.MyAuditVal,_xlfn.XLOOKUP($A658,My_Audit!$A:$A,My_Audit!K:K,""),
_xlfn.IFS(_xlpm.MyAuditVal&lt;&gt;"",UPPER(_xlpm.MyAuditVal),_xlpm.MacVal&lt;&gt;"",_xlpm.MacVal,_xlpm.CSVVal&lt;&gt;"",_xlpm.CSVVal
)),"")</f>
        <v/>
      </c>
      <c r="M658" s="2" t="str" cm="1">
        <f t="array" ref="M658">IFERROR(_xlfn.LET(
_xlpm.CSVVal,_xlfn.XLOOKUP($A658,CSV!$A:$A,CSV!Q:Q,""),
_xlpm.MacVal,_xlfn.XLOOKUP($A658,Output_Mac!$A:$A,Output_Mac!M:M,""),
_xlpm.MyAuditVal,_xlfn.XLOOKUP($A658,My_Audit!$A:$A,My_Audit!L:L,""),
_xlfn.IFS(_xlpm.MyAuditVal&lt;&gt;"",UPPER(_xlpm.MyAuditVal),_xlpm.MacVal&lt;&gt;"",_xlpm.MacVal,_xlpm.CSVVal&lt;&gt;"",_xlpm.CSVVal
)),"")</f>
        <v/>
      </c>
      <c r="O658" s="2" t="str">
        <f>_xlfn.LET(
    _xlpm.CSVVal, _xlfn.XLOOKUP($A658, CSV!$A:$A, CSV!AF:AF, ""),
    _xlpm.MacVal, _xlfn.XLOOKUP($A658, Output_Mac!$A:$A, Output_Mac!S:S, ""),
    _xlpm.MyAuditVal, _xlfn.XLOOKUP($A658, My_Audit!$A:$A, My_Audit!P:P, ""),
    _xlfn.TEXTJOIN(", ", TRUE, _xlpm.MyAuditVal, _xlpm.MacVal, _xlpm.CSVVal)
)</f>
        <v/>
      </c>
      <c r="P658" s="2" t="str" cm="1">
        <f t="array" ref="P658">IFERROR(_xlfn.LET(
_xlpm.CSVVal,_xlfn.XLOOKUP($A658,CSV!$A:$A,CSV!AG:AG,""),
_xlpm.MacVal,_xlfn.XLOOKUP($A658,Output_Mac!$A:$A,Output_Mac!T:T,""),
_xlpm.MyAuditVal,_xlfn.XLOOKUP($A658,My_Audit!$A:$A,My_Audit!Q:Q,""),
_xlfn.IFS(_xlpm.MyAuditVal&lt;&gt;"",UPPER(_xlpm.MyAuditVal),_xlpm.MacVal&lt;&gt;"",_xlpm.MacVal,_xlpm.CSVVal&lt;&gt;"",_xlpm.CSVVal
)),"No")</f>
        <v>No</v>
      </c>
      <c r="Q658" s="2" t="str" cm="1">
        <f t="array" ref="Q658">IFERROR(_xlfn.LET(
_xlpm.CSVVal,_xlfn.XLOOKUP($A658,CSV!$A:$A,CSV!AH:AH,""),
_xlpm.MacVal,_xlfn.XLOOKUP($A658,Output_Mac!$A:$A,Output_Mac!U:U,""),
_xlpm.MyAuditVal,_xlfn.XLOOKUP($A658,My_Audit!$A:$A,My_Audit!R:R,""),
_xlfn.IFS(_xlpm.MyAuditVal&lt;&gt;"",UPPER(_xlpm.MyAuditVal),_xlpm.MacVal&lt;&gt;"",_xlpm.MacVal,_xlpm.CSVVal&lt;&gt;"",_xlpm.CSVVal
)),"")</f>
        <v/>
      </c>
    </row>
    <row r="659" spans="1:17">
      <c r="A659" s="2" t="str">
        <f>_xlfn.TEXTJOIN("",TRUE,Input!$B$2,ROW(My_Audit!A658))</f>
        <v>XX658</v>
      </c>
      <c r="B659" s="2" t="str">
        <f>_xlfn.TEXTJOIN("-",TRUE,"ITD",Input!$A$2,A659)</f>
        <v>ITD-SHRXXX-XX658</v>
      </c>
      <c r="C659" s="2" t="str" cm="1">
        <f t="array" ref="C659">IFERROR(_xlfn.LET(
_xlpm.CSVVal,_xlfn.XLOOKUP($A659,CSV!$A:$A,CSV!B:B,""),
_xlpm.MacVal,_xlfn.XLOOKUP($A659,Output_Mac!$A:$A,Output_Mac!B:B,""),
_xlpm.MyAuditVal,_xlfn.XLOOKUP($A659,My_Audit!$A:$A,My_Audit!B:B,""),
_xlfn.IFS(_xlpm.MyAuditVal&lt;&gt;"",UPPER(_xlpm.MyAuditVal),_xlpm.MacVal&lt;&gt;"",_xlpm.MacVal,_xlpm.CSVVal&lt;&gt;"",_xlpm.CSVVal
)),"")</f>
        <v/>
      </c>
      <c r="D659" s="2" t="str" cm="1">
        <f t="array" ref="D659">IFERROR(_xlfn.LET(
_xlpm.CSVVal,_xlfn.XLOOKUP($A659,CSV!$A:$A,CSV!D:D,""),
_xlpm.MacVal,_xlfn.XLOOKUP($A659,Output_Mac!$A:$A,Output_Mac!C:C,""),
_xlpm.MyAuditVal,_xlfn.XLOOKUP($A659,My_Audit!$A:$A,My_Audit!C:C,""),
_xlfn.IFS(_xlpm.MyAuditVal&lt;&gt;"",_xlpm.MyAuditVal,_xlpm.MacVal&lt;&gt;"",_xlpm.MacVal,_xlpm.CSVVal&lt;&gt;"",_xlpm.CSVVal
)),"")</f>
        <v/>
      </c>
      <c r="E659" s="2" t="str">
        <f>_xlfn.XLOOKUP(A659,My_Audit!A:A,My_Audit!D:D,"")&amp;""</f>
        <v/>
      </c>
      <c r="F659" s="2" t="str" cm="1">
        <f t="array" ref="F659">IFERROR(_xlfn.LET(
_xlpm.CSVVal,_xlfn.XLOOKUP($A659,CSV!$A:$A,CSV!F:F,""),
_xlpm.MacVal,_xlfn.XLOOKUP($A659,Output_Mac!$A:$A,Output_Mac!E:E,""),
_xlpm.MyAuditVal,_xlfn.XLOOKUP($A659,My_Audit!$A:$A,My_Audit!E:E,""),
_xlfn.IFS(_xlpm.MyAuditVal&lt;&gt;"",_xlpm.MyAuditVal,_xlpm.MacVal&lt;&gt;"",_xlpm.MacVal,_xlpm.CSVVal&lt;&gt;"",_xlpm.CSVVal
)),"")</f>
        <v/>
      </c>
      <c r="G659" s="2" t="str" cm="1">
        <f t="array" ref="G659">IFERROR(_xlfn.LET(
_xlpm.CSVVal,_xlfn.XLOOKUP($A659,CSV!$A:$A,CSV!G:G,""),
_xlpm.MacVal,_xlfn.XLOOKUP($A659,Output_Mac!$A:$A,Output_Mac!F:F,""),
_xlpm.MyAuditVal,_xlfn.XLOOKUP($A659,My_Audit!$A:$A,My_Audit!F:F,""),
_xlfn.IFS(_xlpm.MyAuditVal&lt;&gt;"",_xlpm.MyAuditVal,_xlpm.MacVal&lt;&gt;"",_xlpm.MacVal,_xlpm.CSVVal&lt;&gt;"",PROPER(_xlpm.CSVVal)
)),"")</f>
        <v/>
      </c>
      <c r="H659" s="2" t="str" cm="1">
        <f t="array" ref="H659">IFERROR(_xlfn.LET(
_xlpm.CSVVal,_xlfn.XLOOKUP($A659,CSV!$A:$A,CSV!H:H,""),
_xlpm.MacVal,_xlfn.XLOOKUP($A659,Output_Mac!$A:$A,Output_Mac!H:H,""),
_xlpm.MyAuditVal,_xlfn.XLOOKUP($A659,My_Audit!$A:$A,My_Audit!G:G,""),
_xlfn.IFS(_xlpm.MyAuditVal&lt;&gt;"",_xlpm.MyAuditVal,_xlpm.MacVal&lt;&gt;"",_xlpm.MacVal,_xlpm.CSVVal&lt;&gt;"",_xlpm.CSVVal
)),"")</f>
        <v/>
      </c>
      <c r="I659" s="2" t="str">
        <f>_xlfn.XLOOKUP(A659,Output_Mac!A:A,Output_Mac!I:I,"")</f>
        <v/>
      </c>
      <c r="J659" s="2" t="str" cm="1">
        <f t="array" ref="J659">IFERROR(_xlfn.LET(
_xlpm.CSVVal,_xlfn.XLOOKUP($A659,CSV!$A:$A,CSV!I:I,""),
_xlpm.MacVal,_xlfn.XLOOKUP($A659,Output_Mac!$A:$A,Output_Mac!J:J,""),
_xlpm.MyAuditVal,_xlfn.XLOOKUP($A659,My_Audit!$A:$A,My_Audit!I:I,""),
_xlfn.IFS(_xlpm.MyAuditVal&lt;&gt;"",UPPER(_xlpm.MyAuditVal),_xlpm.MacVal&lt;&gt;"",_xlpm.MacVal,_xlpm.CSVVal&lt;&gt;"",_xlpm.CSVVal
)),"")</f>
        <v/>
      </c>
      <c r="K659" s="2" t="str" cm="1">
        <f t="array" ref="K659">IFERROR(_xlfn.LET(
_xlpm.CSVVal,_xlfn.XLOOKUP($A659,CSV!$A:$A,CSV!K:K,""),
_xlpm.MacVal,_xlfn.XLOOKUP($A659,Output_Mac!$A:$A,Output_Mac!K:K,""),
_xlpm.MyAuditVal,_xlfn.XLOOKUP($A659,My_Audit!$A:$A,My_Audit!J:J,""),
_xlfn.IFS(_xlpm.MyAuditVal&lt;&gt;"",UPPER(_xlpm.MyAuditVal),_xlpm.MacVal&lt;&gt;"",_xlpm.MacVal,_xlpm.CSVVal&lt;&gt;"",_xlpm.CSVVal
)),"")</f>
        <v/>
      </c>
      <c r="L659" s="2" t="str" cm="1">
        <f t="array" ref="L659">IFERROR(_xlfn.LET(
_xlpm.CSVVal,_xlfn.XLOOKUP($A659,CSV!$A:$A,CSV!P:P,""),
_xlpm.MacVal,_xlfn.XLOOKUP($A659,Output_Mac!$A:$A,Output_Mac!L:L,""),
_xlpm.MyAuditVal,_xlfn.XLOOKUP($A659,My_Audit!$A:$A,My_Audit!K:K,""),
_xlfn.IFS(_xlpm.MyAuditVal&lt;&gt;"",UPPER(_xlpm.MyAuditVal),_xlpm.MacVal&lt;&gt;"",_xlpm.MacVal,_xlpm.CSVVal&lt;&gt;"",_xlpm.CSVVal
)),"")</f>
        <v/>
      </c>
      <c r="M659" s="2" t="str" cm="1">
        <f t="array" ref="M659">IFERROR(_xlfn.LET(
_xlpm.CSVVal,_xlfn.XLOOKUP($A659,CSV!$A:$A,CSV!Q:Q,""),
_xlpm.MacVal,_xlfn.XLOOKUP($A659,Output_Mac!$A:$A,Output_Mac!M:M,""),
_xlpm.MyAuditVal,_xlfn.XLOOKUP($A659,My_Audit!$A:$A,My_Audit!L:L,""),
_xlfn.IFS(_xlpm.MyAuditVal&lt;&gt;"",UPPER(_xlpm.MyAuditVal),_xlpm.MacVal&lt;&gt;"",_xlpm.MacVal,_xlpm.CSVVal&lt;&gt;"",_xlpm.CSVVal
)),"")</f>
        <v/>
      </c>
      <c r="O659" s="2" t="str">
        <f>_xlfn.LET(
    _xlpm.CSVVal, _xlfn.XLOOKUP($A659, CSV!$A:$A, CSV!AF:AF, ""),
    _xlpm.MacVal, _xlfn.XLOOKUP($A659, Output_Mac!$A:$A, Output_Mac!S:S, ""),
    _xlpm.MyAuditVal, _xlfn.XLOOKUP($A659, My_Audit!$A:$A, My_Audit!P:P, ""),
    _xlfn.TEXTJOIN(", ", TRUE, _xlpm.MyAuditVal, _xlpm.MacVal, _xlpm.CSVVal)
)</f>
        <v/>
      </c>
      <c r="P659" s="2" t="str" cm="1">
        <f t="array" ref="P659">IFERROR(_xlfn.LET(
_xlpm.CSVVal,_xlfn.XLOOKUP($A659,CSV!$A:$A,CSV!AG:AG,""),
_xlpm.MacVal,_xlfn.XLOOKUP($A659,Output_Mac!$A:$A,Output_Mac!T:T,""),
_xlpm.MyAuditVal,_xlfn.XLOOKUP($A659,My_Audit!$A:$A,My_Audit!Q:Q,""),
_xlfn.IFS(_xlpm.MyAuditVal&lt;&gt;"",UPPER(_xlpm.MyAuditVal),_xlpm.MacVal&lt;&gt;"",_xlpm.MacVal,_xlpm.CSVVal&lt;&gt;"",_xlpm.CSVVal
)),"No")</f>
        <v>No</v>
      </c>
      <c r="Q659" s="2" t="str" cm="1">
        <f t="array" ref="Q659">IFERROR(_xlfn.LET(
_xlpm.CSVVal,_xlfn.XLOOKUP($A659,CSV!$A:$A,CSV!AH:AH,""),
_xlpm.MacVal,_xlfn.XLOOKUP($A659,Output_Mac!$A:$A,Output_Mac!U:U,""),
_xlpm.MyAuditVal,_xlfn.XLOOKUP($A659,My_Audit!$A:$A,My_Audit!R:R,""),
_xlfn.IFS(_xlpm.MyAuditVal&lt;&gt;"",UPPER(_xlpm.MyAuditVal),_xlpm.MacVal&lt;&gt;"",_xlpm.MacVal,_xlpm.CSVVal&lt;&gt;"",_xlpm.CSVVal
)),"")</f>
        <v/>
      </c>
    </row>
    <row r="660" spans="1:17">
      <c r="A660" s="2" t="str">
        <f>_xlfn.TEXTJOIN("",TRUE,Input!$B$2,ROW(My_Audit!A659))</f>
        <v>XX659</v>
      </c>
      <c r="B660" s="2" t="str">
        <f>_xlfn.TEXTJOIN("-",TRUE,"ITD",Input!$A$2,A660)</f>
        <v>ITD-SHRXXX-XX659</v>
      </c>
      <c r="C660" s="2" t="str" cm="1">
        <f t="array" ref="C660">IFERROR(_xlfn.LET(
_xlpm.CSVVal,_xlfn.XLOOKUP($A660,CSV!$A:$A,CSV!B:B,""),
_xlpm.MacVal,_xlfn.XLOOKUP($A660,Output_Mac!$A:$A,Output_Mac!B:B,""),
_xlpm.MyAuditVal,_xlfn.XLOOKUP($A660,My_Audit!$A:$A,My_Audit!B:B,""),
_xlfn.IFS(_xlpm.MyAuditVal&lt;&gt;"",UPPER(_xlpm.MyAuditVal),_xlpm.MacVal&lt;&gt;"",_xlpm.MacVal,_xlpm.CSVVal&lt;&gt;"",_xlpm.CSVVal
)),"")</f>
        <v/>
      </c>
      <c r="D660" s="2" t="str" cm="1">
        <f t="array" ref="D660">IFERROR(_xlfn.LET(
_xlpm.CSVVal,_xlfn.XLOOKUP($A660,CSV!$A:$A,CSV!D:D,""),
_xlpm.MacVal,_xlfn.XLOOKUP($A660,Output_Mac!$A:$A,Output_Mac!C:C,""),
_xlpm.MyAuditVal,_xlfn.XLOOKUP($A660,My_Audit!$A:$A,My_Audit!C:C,""),
_xlfn.IFS(_xlpm.MyAuditVal&lt;&gt;"",_xlpm.MyAuditVal,_xlpm.MacVal&lt;&gt;"",_xlpm.MacVal,_xlpm.CSVVal&lt;&gt;"",_xlpm.CSVVal
)),"")</f>
        <v/>
      </c>
      <c r="E660" s="2" t="str">
        <f>_xlfn.XLOOKUP(A660,My_Audit!A:A,My_Audit!D:D,"")&amp;""</f>
        <v/>
      </c>
      <c r="F660" s="2" t="str" cm="1">
        <f t="array" ref="F660">IFERROR(_xlfn.LET(
_xlpm.CSVVal,_xlfn.XLOOKUP($A660,CSV!$A:$A,CSV!F:F,""),
_xlpm.MacVal,_xlfn.XLOOKUP($A660,Output_Mac!$A:$A,Output_Mac!E:E,""),
_xlpm.MyAuditVal,_xlfn.XLOOKUP($A660,My_Audit!$A:$A,My_Audit!E:E,""),
_xlfn.IFS(_xlpm.MyAuditVal&lt;&gt;"",_xlpm.MyAuditVal,_xlpm.MacVal&lt;&gt;"",_xlpm.MacVal,_xlpm.CSVVal&lt;&gt;"",_xlpm.CSVVal
)),"")</f>
        <v/>
      </c>
      <c r="G660" s="2" t="str" cm="1">
        <f t="array" ref="G660">IFERROR(_xlfn.LET(
_xlpm.CSVVal,_xlfn.XLOOKUP($A660,CSV!$A:$A,CSV!G:G,""),
_xlpm.MacVal,_xlfn.XLOOKUP($A660,Output_Mac!$A:$A,Output_Mac!F:F,""),
_xlpm.MyAuditVal,_xlfn.XLOOKUP($A660,My_Audit!$A:$A,My_Audit!F:F,""),
_xlfn.IFS(_xlpm.MyAuditVal&lt;&gt;"",_xlpm.MyAuditVal,_xlpm.MacVal&lt;&gt;"",_xlpm.MacVal,_xlpm.CSVVal&lt;&gt;"",PROPER(_xlpm.CSVVal)
)),"")</f>
        <v/>
      </c>
      <c r="H660" s="2" t="str" cm="1">
        <f t="array" ref="H660">IFERROR(_xlfn.LET(
_xlpm.CSVVal,_xlfn.XLOOKUP($A660,CSV!$A:$A,CSV!H:H,""),
_xlpm.MacVal,_xlfn.XLOOKUP($A660,Output_Mac!$A:$A,Output_Mac!H:H,""),
_xlpm.MyAuditVal,_xlfn.XLOOKUP($A660,My_Audit!$A:$A,My_Audit!G:G,""),
_xlfn.IFS(_xlpm.MyAuditVal&lt;&gt;"",_xlpm.MyAuditVal,_xlpm.MacVal&lt;&gt;"",_xlpm.MacVal,_xlpm.CSVVal&lt;&gt;"",_xlpm.CSVVal
)),"")</f>
        <v/>
      </c>
      <c r="I660" s="2" t="str">
        <f>_xlfn.XLOOKUP(A660,Output_Mac!A:A,Output_Mac!I:I,"")</f>
        <v/>
      </c>
      <c r="J660" s="2" t="str" cm="1">
        <f t="array" ref="J660">IFERROR(_xlfn.LET(
_xlpm.CSVVal,_xlfn.XLOOKUP($A660,CSV!$A:$A,CSV!I:I,""),
_xlpm.MacVal,_xlfn.XLOOKUP($A660,Output_Mac!$A:$A,Output_Mac!J:J,""),
_xlpm.MyAuditVal,_xlfn.XLOOKUP($A660,My_Audit!$A:$A,My_Audit!I:I,""),
_xlfn.IFS(_xlpm.MyAuditVal&lt;&gt;"",UPPER(_xlpm.MyAuditVal),_xlpm.MacVal&lt;&gt;"",_xlpm.MacVal,_xlpm.CSVVal&lt;&gt;"",_xlpm.CSVVal
)),"")</f>
        <v/>
      </c>
      <c r="K660" s="2" t="str" cm="1">
        <f t="array" ref="K660">IFERROR(_xlfn.LET(
_xlpm.CSVVal,_xlfn.XLOOKUP($A660,CSV!$A:$A,CSV!K:K,""),
_xlpm.MacVal,_xlfn.XLOOKUP($A660,Output_Mac!$A:$A,Output_Mac!K:K,""),
_xlpm.MyAuditVal,_xlfn.XLOOKUP($A660,My_Audit!$A:$A,My_Audit!J:J,""),
_xlfn.IFS(_xlpm.MyAuditVal&lt;&gt;"",UPPER(_xlpm.MyAuditVal),_xlpm.MacVal&lt;&gt;"",_xlpm.MacVal,_xlpm.CSVVal&lt;&gt;"",_xlpm.CSVVal
)),"")</f>
        <v/>
      </c>
      <c r="L660" s="2" t="str" cm="1">
        <f t="array" ref="L660">IFERROR(_xlfn.LET(
_xlpm.CSVVal,_xlfn.XLOOKUP($A660,CSV!$A:$A,CSV!P:P,""),
_xlpm.MacVal,_xlfn.XLOOKUP($A660,Output_Mac!$A:$A,Output_Mac!L:L,""),
_xlpm.MyAuditVal,_xlfn.XLOOKUP($A660,My_Audit!$A:$A,My_Audit!K:K,""),
_xlfn.IFS(_xlpm.MyAuditVal&lt;&gt;"",UPPER(_xlpm.MyAuditVal),_xlpm.MacVal&lt;&gt;"",_xlpm.MacVal,_xlpm.CSVVal&lt;&gt;"",_xlpm.CSVVal
)),"")</f>
        <v/>
      </c>
      <c r="M660" s="2" t="str" cm="1">
        <f t="array" ref="M660">IFERROR(_xlfn.LET(
_xlpm.CSVVal,_xlfn.XLOOKUP($A660,CSV!$A:$A,CSV!Q:Q,""),
_xlpm.MacVal,_xlfn.XLOOKUP($A660,Output_Mac!$A:$A,Output_Mac!M:M,""),
_xlpm.MyAuditVal,_xlfn.XLOOKUP($A660,My_Audit!$A:$A,My_Audit!L:L,""),
_xlfn.IFS(_xlpm.MyAuditVal&lt;&gt;"",UPPER(_xlpm.MyAuditVal),_xlpm.MacVal&lt;&gt;"",_xlpm.MacVal,_xlpm.CSVVal&lt;&gt;"",_xlpm.CSVVal
)),"")</f>
        <v/>
      </c>
      <c r="O660" s="2" t="str">
        <f>_xlfn.LET(
    _xlpm.CSVVal, _xlfn.XLOOKUP($A660, CSV!$A:$A, CSV!AF:AF, ""),
    _xlpm.MacVal, _xlfn.XLOOKUP($A660, Output_Mac!$A:$A, Output_Mac!S:S, ""),
    _xlpm.MyAuditVal, _xlfn.XLOOKUP($A660, My_Audit!$A:$A, My_Audit!P:P, ""),
    _xlfn.TEXTJOIN(", ", TRUE, _xlpm.MyAuditVal, _xlpm.MacVal, _xlpm.CSVVal)
)</f>
        <v/>
      </c>
      <c r="P660" s="2" t="str" cm="1">
        <f t="array" ref="P660">IFERROR(_xlfn.LET(
_xlpm.CSVVal,_xlfn.XLOOKUP($A660,CSV!$A:$A,CSV!AG:AG,""),
_xlpm.MacVal,_xlfn.XLOOKUP($A660,Output_Mac!$A:$A,Output_Mac!T:T,""),
_xlpm.MyAuditVal,_xlfn.XLOOKUP($A660,My_Audit!$A:$A,My_Audit!Q:Q,""),
_xlfn.IFS(_xlpm.MyAuditVal&lt;&gt;"",UPPER(_xlpm.MyAuditVal),_xlpm.MacVal&lt;&gt;"",_xlpm.MacVal,_xlpm.CSVVal&lt;&gt;"",_xlpm.CSVVal
)),"No")</f>
        <v>No</v>
      </c>
      <c r="Q660" s="2" t="str" cm="1">
        <f t="array" ref="Q660">IFERROR(_xlfn.LET(
_xlpm.CSVVal,_xlfn.XLOOKUP($A660,CSV!$A:$A,CSV!AH:AH,""),
_xlpm.MacVal,_xlfn.XLOOKUP($A660,Output_Mac!$A:$A,Output_Mac!U:U,""),
_xlpm.MyAuditVal,_xlfn.XLOOKUP($A660,My_Audit!$A:$A,My_Audit!R:R,""),
_xlfn.IFS(_xlpm.MyAuditVal&lt;&gt;"",UPPER(_xlpm.MyAuditVal),_xlpm.MacVal&lt;&gt;"",_xlpm.MacVal,_xlpm.CSVVal&lt;&gt;"",_xlpm.CSVVal
)),"")</f>
        <v/>
      </c>
    </row>
    <row r="661" spans="1:17">
      <c r="A661" s="2" t="str">
        <f>_xlfn.TEXTJOIN("",TRUE,Input!$B$2,ROW(My_Audit!A660))</f>
        <v>XX660</v>
      </c>
      <c r="B661" s="2" t="str">
        <f>_xlfn.TEXTJOIN("-",TRUE,"ITD",Input!$A$2,A661)</f>
        <v>ITD-SHRXXX-XX660</v>
      </c>
      <c r="C661" s="2" t="str" cm="1">
        <f t="array" ref="C661">IFERROR(_xlfn.LET(
_xlpm.CSVVal,_xlfn.XLOOKUP($A661,CSV!$A:$A,CSV!B:B,""),
_xlpm.MacVal,_xlfn.XLOOKUP($A661,Output_Mac!$A:$A,Output_Mac!B:B,""),
_xlpm.MyAuditVal,_xlfn.XLOOKUP($A661,My_Audit!$A:$A,My_Audit!B:B,""),
_xlfn.IFS(_xlpm.MyAuditVal&lt;&gt;"",UPPER(_xlpm.MyAuditVal),_xlpm.MacVal&lt;&gt;"",_xlpm.MacVal,_xlpm.CSVVal&lt;&gt;"",_xlpm.CSVVal
)),"")</f>
        <v/>
      </c>
      <c r="D661" s="2" t="str" cm="1">
        <f t="array" ref="D661">IFERROR(_xlfn.LET(
_xlpm.CSVVal,_xlfn.XLOOKUP($A661,CSV!$A:$A,CSV!D:D,""),
_xlpm.MacVal,_xlfn.XLOOKUP($A661,Output_Mac!$A:$A,Output_Mac!C:C,""),
_xlpm.MyAuditVal,_xlfn.XLOOKUP($A661,My_Audit!$A:$A,My_Audit!C:C,""),
_xlfn.IFS(_xlpm.MyAuditVal&lt;&gt;"",_xlpm.MyAuditVal,_xlpm.MacVal&lt;&gt;"",_xlpm.MacVal,_xlpm.CSVVal&lt;&gt;"",_xlpm.CSVVal
)),"")</f>
        <v/>
      </c>
      <c r="E661" s="2" t="str">
        <f>_xlfn.XLOOKUP(A661,My_Audit!A:A,My_Audit!D:D,"")&amp;""</f>
        <v/>
      </c>
      <c r="F661" s="2" t="str" cm="1">
        <f t="array" ref="F661">IFERROR(_xlfn.LET(
_xlpm.CSVVal,_xlfn.XLOOKUP($A661,CSV!$A:$A,CSV!F:F,""),
_xlpm.MacVal,_xlfn.XLOOKUP($A661,Output_Mac!$A:$A,Output_Mac!E:E,""),
_xlpm.MyAuditVal,_xlfn.XLOOKUP($A661,My_Audit!$A:$A,My_Audit!E:E,""),
_xlfn.IFS(_xlpm.MyAuditVal&lt;&gt;"",_xlpm.MyAuditVal,_xlpm.MacVal&lt;&gt;"",_xlpm.MacVal,_xlpm.CSVVal&lt;&gt;"",_xlpm.CSVVal
)),"")</f>
        <v/>
      </c>
      <c r="G661" s="2" t="str" cm="1">
        <f t="array" ref="G661">IFERROR(_xlfn.LET(
_xlpm.CSVVal,_xlfn.XLOOKUP($A661,CSV!$A:$A,CSV!G:G,""),
_xlpm.MacVal,_xlfn.XLOOKUP($A661,Output_Mac!$A:$A,Output_Mac!F:F,""),
_xlpm.MyAuditVal,_xlfn.XLOOKUP($A661,My_Audit!$A:$A,My_Audit!F:F,""),
_xlfn.IFS(_xlpm.MyAuditVal&lt;&gt;"",_xlpm.MyAuditVal,_xlpm.MacVal&lt;&gt;"",_xlpm.MacVal,_xlpm.CSVVal&lt;&gt;"",PROPER(_xlpm.CSVVal)
)),"")</f>
        <v/>
      </c>
      <c r="H661" s="2" t="str" cm="1">
        <f t="array" ref="H661">IFERROR(_xlfn.LET(
_xlpm.CSVVal,_xlfn.XLOOKUP($A661,CSV!$A:$A,CSV!H:H,""),
_xlpm.MacVal,_xlfn.XLOOKUP($A661,Output_Mac!$A:$A,Output_Mac!H:H,""),
_xlpm.MyAuditVal,_xlfn.XLOOKUP($A661,My_Audit!$A:$A,My_Audit!G:G,""),
_xlfn.IFS(_xlpm.MyAuditVal&lt;&gt;"",_xlpm.MyAuditVal,_xlpm.MacVal&lt;&gt;"",_xlpm.MacVal,_xlpm.CSVVal&lt;&gt;"",_xlpm.CSVVal
)),"")</f>
        <v/>
      </c>
      <c r="I661" s="2" t="str">
        <f>_xlfn.XLOOKUP(A661,Output_Mac!A:A,Output_Mac!I:I,"")</f>
        <v/>
      </c>
      <c r="J661" s="2" t="str" cm="1">
        <f t="array" ref="J661">IFERROR(_xlfn.LET(
_xlpm.CSVVal,_xlfn.XLOOKUP($A661,CSV!$A:$A,CSV!I:I,""),
_xlpm.MacVal,_xlfn.XLOOKUP($A661,Output_Mac!$A:$A,Output_Mac!J:J,""),
_xlpm.MyAuditVal,_xlfn.XLOOKUP($A661,My_Audit!$A:$A,My_Audit!I:I,""),
_xlfn.IFS(_xlpm.MyAuditVal&lt;&gt;"",UPPER(_xlpm.MyAuditVal),_xlpm.MacVal&lt;&gt;"",_xlpm.MacVal,_xlpm.CSVVal&lt;&gt;"",_xlpm.CSVVal
)),"")</f>
        <v/>
      </c>
      <c r="K661" s="2" t="str" cm="1">
        <f t="array" ref="K661">IFERROR(_xlfn.LET(
_xlpm.CSVVal,_xlfn.XLOOKUP($A661,CSV!$A:$A,CSV!K:K,""),
_xlpm.MacVal,_xlfn.XLOOKUP($A661,Output_Mac!$A:$A,Output_Mac!K:K,""),
_xlpm.MyAuditVal,_xlfn.XLOOKUP($A661,My_Audit!$A:$A,My_Audit!J:J,""),
_xlfn.IFS(_xlpm.MyAuditVal&lt;&gt;"",UPPER(_xlpm.MyAuditVal),_xlpm.MacVal&lt;&gt;"",_xlpm.MacVal,_xlpm.CSVVal&lt;&gt;"",_xlpm.CSVVal
)),"")</f>
        <v/>
      </c>
      <c r="L661" s="2" t="str" cm="1">
        <f t="array" ref="L661">IFERROR(_xlfn.LET(
_xlpm.CSVVal,_xlfn.XLOOKUP($A661,CSV!$A:$A,CSV!P:P,""),
_xlpm.MacVal,_xlfn.XLOOKUP($A661,Output_Mac!$A:$A,Output_Mac!L:L,""),
_xlpm.MyAuditVal,_xlfn.XLOOKUP($A661,My_Audit!$A:$A,My_Audit!K:K,""),
_xlfn.IFS(_xlpm.MyAuditVal&lt;&gt;"",UPPER(_xlpm.MyAuditVal),_xlpm.MacVal&lt;&gt;"",_xlpm.MacVal,_xlpm.CSVVal&lt;&gt;"",_xlpm.CSVVal
)),"")</f>
        <v/>
      </c>
      <c r="M661" s="2" t="str" cm="1">
        <f t="array" ref="M661">IFERROR(_xlfn.LET(
_xlpm.CSVVal,_xlfn.XLOOKUP($A661,CSV!$A:$A,CSV!Q:Q,""),
_xlpm.MacVal,_xlfn.XLOOKUP($A661,Output_Mac!$A:$A,Output_Mac!M:M,""),
_xlpm.MyAuditVal,_xlfn.XLOOKUP($A661,My_Audit!$A:$A,My_Audit!L:L,""),
_xlfn.IFS(_xlpm.MyAuditVal&lt;&gt;"",UPPER(_xlpm.MyAuditVal),_xlpm.MacVal&lt;&gt;"",_xlpm.MacVal,_xlpm.CSVVal&lt;&gt;"",_xlpm.CSVVal
)),"")</f>
        <v/>
      </c>
      <c r="O661" s="2" t="str">
        <f>_xlfn.LET(
    _xlpm.CSVVal, _xlfn.XLOOKUP($A661, CSV!$A:$A, CSV!AF:AF, ""),
    _xlpm.MacVal, _xlfn.XLOOKUP($A661, Output_Mac!$A:$A, Output_Mac!S:S, ""),
    _xlpm.MyAuditVal, _xlfn.XLOOKUP($A661, My_Audit!$A:$A, My_Audit!P:P, ""),
    _xlfn.TEXTJOIN(", ", TRUE, _xlpm.MyAuditVal, _xlpm.MacVal, _xlpm.CSVVal)
)</f>
        <v/>
      </c>
      <c r="P661" s="2" t="str" cm="1">
        <f t="array" ref="P661">IFERROR(_xlfn.LET(
_xlpm.CSVVal,_xlfn.XLOOKUP($A661,CSV!$A:$A,CSV!AG:AG,""),
_xlpm.MacVal,_xlfn.XLOOKUP($A661,Output_Mac!$A:$A,Output_Mac!T:T,""),
_xlpm.MyAuditVal,_xlfn.XLOOKUP($A661,My_Audit!$A:$A,My_Audit!Q:Q,""),
_xlfn.IFS(_xlpm.MyAuditVal&lt;&gt;"",UPPER(_xlpm.MyAuditVal),_xlpm.MacVal&lt;&gt;"",_xlpm.MacVal,_xlpm.CSVVal&lt;&gt;"",_xlpm.CSVVal
)),"No")</f>
        <v>No</v>
      </c>
      <c r="Q661" s="2" t="str" cm="1">
        <f t="array" ref="Q661">IFERROR(_xlfn.LET(
_xlpm.CSVVal,_xlfn.XLOOKUP($A661,CSV!$A:$A,CSV!AH:AH,""),
_xlpm.MacVal,_xlfn.XLOOKUP($A661,Output_Mac!$A:$A,Output_Mac!U:U,""),
_xlpm.MyAuditVal,_xlfn.XLOOKUP($A661,My_Audit!$A:$A,My_Audit!R:R,""),
_xlfn.IFS(_xlpm.MyAuditVal&lt;&gt;"",UPPER(_xlpm.MyAuditVal),_xlpm.MacVal&lt;&gt;"",_xlpm.MacVal,_xlpm.CSVVal&lt;&gt;"",_xlpm.CSVVal
)),"")</f>
        <v/>
      </c>
    </row>
    <row r="662" spans="1:17">
      <c r="A662" s="2" t="str">
        <f>_xlfn.TEXTJOIN("",TRUE,Input!$B$2,ROW(My_Audit!A661))</f>
        <v>XX661</v>
      </c>
      <c r="B662" s="2" t="str">
        <f>_xlfn.TEXTJOIN("-",TRUE,"ITD",Input!$A$2,A662)</f>
        <v>ITD-SHRXXX-XX661</v>
      </c>
      <c r="C662" s="2" t="str" cm="1">
        <f t="array" ref="C662">IFERROR(_xlfn.LET(
_xlpm.CSVVal,_xlfn.XLOOKUP($A662,CSV!$A:$A,CSV!B:B,""),
_xlpm.MacVal,_xlfn.XLOOKUP($A662,Output_Mac!$A:$A,Output_Mac!B:B,""),
_xlpm.MyAuditVal,_xlfn.XLOOKUP($A662,My_Audit!$A:$A,My_Audit!B:B,""),
_xlfn.IFS(_xlpm.MyAuditVal&lt;&gt;"",UPPER(_xlpm.MyAuditVal),_xlpm.MacVal&lt;&gt;"",_xlpm.MacVal,_xlpm.CSVVal&lt;&gt;"",_xlpm.CSVVal
)),"")</f>
        <v/>
      </c>
      <c r="D662" s="2" t="str" cm="1">
        <f t="array" ref="D662">IFERROR(_xlfn.LET(
_xlpm.CSVVal,_xlfn.XLOOKUP($A662,CSV!$A:$A,CSV!D:D,""),
_xlpm.MacVal,_xlfn.XLOOKUP($A662,Output_Mac!$A:$A,Output_Mac!C:C,""),
_xlpm.MyAuditVal,_xlfn.XLOOKUP($A662,My_Audit!$A:$A,My_Audit!C:C,""),
_xlfn.IFS(_xlpm.MyAuditVal&lt;&gt;"",_xlpm.MyAuditVal,_xlpm.MacVal&lt;&gt;"",_xlpm.MacVal,_xlpm.CSVVal&lt;&gt;"",_xlpm.CSVVal
)),"")</f>
        <v/>
      </c>
      <c r="E662" s="2" t="str">
        <f>_xlfn.XLOOKUP(A662,My_Audit!A:A,My_Audit!D:D,"")&amp;""</f>
        <v/>
      </c>
      <c r="F662" s="2" t="str" cm="1">
        <f t="array" ref="F662">IFERROR(_xlfn.LET(
_xlpm.CSVVal,_xlfn.XLOOKUP($A662,CSV!$A:$A,CSV!F:F,""),
_xlpm.MacVal,_xlfn.XLOOKUP($A662,Output_Mac!$A:$A,Output_Mac!E:E,""),
_xlpm.MyAuditVal,_xlfn.XLOOKUP($A662,My_Audit!$A:$A,My_Audit!E:E,""),
_xlfn.IFS(_xlpm.MyAuditVal&lt;&gt;"",_xlpm.MyAuditVal,_xlpm.MacVal&lt;&gt;"",_xlpm.MacVal,_xlpm.CSVVal&lt;&gt;"",_xlpm.CSVVal
)),"")</f>
        <v/>
      </c>
      <c r="G662" s="2" t="str" cm="1">
        <f t="array" ref="G662">IFERROR(_xlfn.LET(
_xlpm.CSVVal,_xlfn.XLOOKUP($A662,CSV!$A:$A,CSV!G:G,""),
_xlpm.MacVal,_xlfn.XLOOKUP($A662,Output_Mac!$A:$A,Output_Mac!F:F,""),
_xlpm.MyAuditVal,_xlfn.XLOOKUP($A662,My_Audit!$A:$A,My_Audit!F:F,""),
_xlfn.IFS(_xlpm.MyAuditVal&lt;&gt;"",_xlpm.MyAuditVal,_xlpm.MacVal&lt;&gt;"",_xlpm.MacVal,_xlpm.CSVVal&lt;&gt;"",PROPER(_xlpm.CSVVal)
)),"")</f>
        <v/>
      </c>
      <c r="H662" s="2" t="str" cm="1">
        <f t="array" ref="H662">IFERROR(_xlfn.LET(
_xlpm.CSVVal,_xlfn.XLOOKUP($A662,CSV!$A:$A,CSV!H:H,""),
_xlpm.MacVal,_xlfn.XLOOKUP($A662,Output_Mac!$A:$A,Output_Mac!H:H,""),
_xlpm.MyAuditVal,_xlfn.XLOOKUP($A662,My_Audit!$A:$A,My_Audit!G:G,""),
_xlfn.IFS(_xlpm.MyAuditVal&lt;&gt;"",_xlpm.MyAuditVal,_xlpm.MacVal&lt;&gt;"",_xlpm.MacVal,_xlpm.CSVVal&lt;&gt;"",_xlpm.CSVVal
)),"")</f>
        <v/>
      </c>
      <c r="I662" s="2" t="str">
        <f>_xlfn.XLOOKUP(A662,Output_Mac!A:A,Output_Mac!I:I,"")</f>
        <v/>
      </c>
      <c r="J662" s="2" t="str" cm="1">
        <f t="array" ref="J662">IFERROR(_xlfn.LET(
_xlpm.CSVVal,_xlfn.XLOOKUP($A662,CSV!$A:$A,CSV!I:I,""),
_xlpm.MacVal,_xlfn.XLOOKUP($A662,Output_Mac!$A:$A,Output_Mac!J:J,""),
_xlpm.MyAuditVal,_xlfn.XLOOKUP($A662,My_Audit!$A:$A,My_Audit!I:I,""),
_xlfn.IFS(_xlpm.MyAuditVal&lt;&gt;"",UPPER(_xlpm.MyAuditVal),_xlpm.MacVal&lt;&gt;"",_xlpm.MacVal,_xlpm.CSVVal&lt;&gt;"",_xlpm.CSVVal
)),"")</f>
        <v/>
      </c>
      <c r="K662" s="2" t="str" cm="1">
        <f t="array" ref="K662">IFERROR(_xlfn.LET(
_xlpm.CSVVal,_xlfn.XLOOKUP($A662,CSV!$A:$A,CSV!K:K,""),
_xlpm.MacVal,_xlfn.XLOOKUP($A662,Output_Mac!$A:$A,Output_Mac!K:K,""),
_xlpm.MyAuditVal,_xlfn.XLOOKUP($A662,My_Audit!$A:$A,My_Audit!J:J,""),
_xlfn.IFS(_xlpm.MyAuditVal&lt;&gt;"",UPPER(_xlpm.MyAuditVal),_xlpm.MacVal&lt;&gt;"",_xlpm.MacVal,_xlpm.CSVVal&lt;&gt;"",_xlpm.CSVVal
)),"")</f>
        <v/>
      </c>
      <c r="L662" s="2" t="str" cm="1">
        <f t="array" ref="L662">IFERROR(_xlfn.LET(
_xlpm.CSVVal,_xlfn.XLOOKUP($A662,CSV!$A:$A,CSV!P:P,""),
_xlpm.MacVal,_xlfn.XLOOKUP($A662,Output_Mac!$A:$A,Output_Mac!L:L,""),
_xlpm.MyAuditVal,_xlfn.XLOOKUP($A662,My_Audit!$A:$A,My_Audit!K:K,""),
_xlfn.IFS(_xlpm.MyAuditVal&lt;&gt;"",UPPER(_xlpm.MyAuditVal),_xlpm.MacVal&lt;&gt;"",_xlpm.MacVal,_xlpm.CSVVal&lt;&gt;"",_xlpm.CSVVal
)),"")</f>
        <v/>
      </c>
      <c r="M662" s="2" t="str" cm="1">
        <f t="array" ref="M662">IFERROR(_xlfn.LET(
_xlpm.CSVVal,_xlfn.XLOOKUP($A662,CSV!$A:$A,CSV!Q:Q,""),
_xlpm.MacVal,_xlfn.XLOOKUP($A662,Output_Mac!$A:$A,Output_Mac!M:M,""),
_xlpm.MyAuditVal,_xlfn.XLOOKUP($A662,My_Audit!$A:$A,My_Audit!L:L,""),
_xlfn.IFS(_xlpm.MyAuditVal&lt;&gt;"",UPPER(_xlpm.MyAuditVal),_xlpm.MacVal&lt;&gt;"",_xlpm.MacVal,_xlpm.CSVVal&lt;&gt;"",_xlpm.CSVVal
)),"")</f>
        <v/>
      </c>
      <c r="O662" s="2" t="str">
        <f>_xlfn.LET(
    _xlpm.CSVVal, _xlfn.XLOOKUP($A662, CSV!$A:$A, CSV!AF:AF, ""),
    _xlpm.MacVal, _xlfn.XLOOKUP($A662, Output_Mac!$A:$A, Output_Mac!S:S, ""),
    _xlpm.MyAuditVal, _xlfn.XLOOKUP($A662, My_Audit!$A:$A, My_Audit!P:P, ""),
    _xlfn.TEXTJOIN(", ", TRUE, _xlpm.MyAuditVal, _xlpm.MacVal, _xlpm.CSVVal)
)</f>
        <v/>
      </c>
      <c r="P662" s="2" t="str" cm="1">
        <f t="array" ref="P662">IFERROR(_xlfn.LET(
_xlpm.CSVVal,_xlfn.XLOOKUP($A662,CSV!$A:$A,CSV!AG:AG,""),
_xlpm.MacVal,_xlfn.XLOOKUP($A662,Output_Mac!$A:$A,Output_Mac!T:T,""),
_xlpm.MyAuditVal,_xlfn.XLOOKUP($A662,My_Audit!$A:$A,My_Audit!Q:Q,""),
_xlfn.IFS(_xlpm.MyAuditVal&lt;&gt;"",UPPER(_xlpm.MyAuditVal),_xlpm.MacVal&lt;&gt;"",_xlpm.MacVal,_xlpm.CSVVal&lt;&gt;"",_xlpm.CSVVal
)),"No")</f>
        <v>No</v>
      </c>
      <c r="Q662" s="2" t="str" cm="1">
        <f t="array" ref="Q662">IFERROR(_xlfn.LET(
_xlpm.CSVVal,_xlfn.XLOOKUP($A662,CSV!$A:$A,CSV!AH:AH,""),
_xlpm.MacVal,_xlfn.XLOOKUP($A662,Output_Mac!$A:$A,Output_Mac!U:U,""),
_xlpm.MyAuditVal,_xlfn.XLOOKUP($A662,My_Audit!$A:$A,My_Audit!R:R,""),
_xlfn.IFS(_xlpm.MyAuditVal&lt;&gt;"",UPPER(_xlpm.MyAuditVal),_xlpm.MacVal&lt;&gt;"",_xlpm.MacVal,_xlpm.CSVVal&lt;&gt;"",_xlpm.CSVVal
)),"")</f>
        <v/>
      </c>
    </row>
    <row r="663" spans="1:17">
      <c r="A663" s="2" t="str">
        <f>_xlfn.TEXTJOIN("",TRUE,Input!$B$2,ROW(My_Audit!A662))</f>
        <v>XX662</v>
      </c>
      <c r="B663" s="2" t="str">
        <f>_xlfn.TEXTJOIN("-",TRUE,"ITD",Input!$A$2,A663)</f>
        <v>ITD-SHRXXX-XX662</v>
      </c>
      <c r="C663" s="2" t="str" cm="1">
        <f t="array" ref="C663">IFERROR(_xlfn.LET(
_xlpm.CSVVal,_xlfn.XLOOKUP($A663,CSV!$A:$A,CSV!B:B,""),
_xlpm.MacVal,_xlfn.XLOOKUP($A663,Output_Mac!$A:$A,Output_Mac!B:B,""),
_xlpm.MyAuditVal,_xlfn.XLOOKUP($A663,My_Audit!$A:$A,My_Audit!B:B,""),
_xlfn.IFS(_xlpm.MyAuditVal&lt;&gt;"",UPPER(_xlpm.MyAuditVal),_xlpm.MacVal&lt;&gt;"",_xlpm.MacVal,_xlpm.CSVVal&lt;&gt;"",_xlpm.CSVVal
)),"")</f>
        <v/>
      </c>
      <c r="D663" s="2" t="str" cm="1">
        <f t="array" ref="D663">IFERROR(_xlfn.LET(
_xlpm.CSVVal,_xlfn.XLOOKUP($A663,CSV!$A:$A,CSV!D:D,""),
_xlpm.MacVal,_xlfn.XLOOKUP($A663,Output_Mac!$A:$A,Output_Mac!C:C,""),
_xlpm.MyAuditVal,_xlfn.XLOOKUP($A663,My_Audit!$A:$A,My_Audit!C:C,""),
_xlfn.IFS(_xlpm.MyAuditVal&lt;&gt;"",_xlpm.MyAuditVal,_xlpm.MacVal&lt;&gt;"",_xlpm.MacVal,_xlpm.CSVVal&lt;&gt;"",_xlpm.CSVVal
)),"")</f>
        <v/>
      </c>
      <c r="E663" s="2" t="str">
        <f>_xlfn.XLOOKUP(A663,My_Audit!A:A,My_Audit!D:D,"")&amp;""</f>
        <v/>
      </c>
      <c r="F663" s="2" t="str" cm="1">
        <f t="array" ref="F663">IFERROR(_xlfn.LET(
_xlpm.CSVVal,_xlfn.XLOOKUP($A663,CSV!$A:$A,CSV!F:F,""),
_xlpm.MacVal,_xlfn.XLOOKUP($A663,Output_Mac!$A:$A,Output_Mac!E:E,""),
_xlpm.MyAuditVal,_xlfn.XLOOKUP($A663,My_Audit!$A:$A,My_Audit!E:E,""),
_xlfn.IFS(_xlpm.MyAuditVal&lt;&gt;"",_xlpm.MyAuditVal,_xlpm.MacVal&lt;&gt;"",_xlpm.MacVal,_xlpm.CSVVal&lt;&gt;"",_xlpm.CSVVal
)),"")</f>
        <v/>
      </c>
      <c r="G663" s="2" t="str" cm="1">
        <f t="array" ref="G663">IFERROR(_xlfn.LET(
_xlpm.CSVVal,_xlfn.XLOOKUP($A663,CSV!$A:$A,CSV!G:G,""),
_xlpm.MacVal,_xlfn.XLOOKUP($A663,Output_Mac!$A:$A,Output_Mac!F:F,""),
_xlpm.MyAuditVal,_xlfn.XLOOKUP($A663,My_Audit!$A:$A,My_Audit!F:F,""),
_xlfn.IFS(_xlpm.MyAuditVal&lt;&gt;"",_xlpm.MyAuditVal,_xlpm.MacVal&lt;&gt;"",_xlpm.MacVal,_xlpm.CSVVal&lt;&gt;"",PROPER(_xlpm.CSVVal)
)),"")</f>
        <v/>
      </c>
      <c r="H663" s="2" t="str" cm="1">
        <f t="array" ref="H663">IFERROR(_xlfn.LET(
_xlpm.CSVVal,_xlfn.XLOOKUP($A663,CSV!$A:$A,CSV!H:H,""),
_xlpm.MacVal,_xlfn.XLOOKUP($A663,Output_Mac!$A:$A,Output_Mac!H:H,""),
_xlpm.MyAuditVal,_xlfn.XLOOKUP($A663,My_Audit!$A:$A,My_Audit!G:G,""),
_xlfn.IFS(_xlpm.MyAuditVal&lt;&gt;"",_xlpm.MyAuditVal,_xlpm.MacVal&lt;&gt;"",_xlpm.MacVal,_xlpm.CSVVal&lt;&gt;"",_xlpm.CSVVal
)),"")</f>
        <v/>
      </c>
      <c r="I663" s="2" t="str">
        <f>_xlfn.XLOOKUP(A663,Output_Mac!A:A,Output_Mac!I:I,"")</f>
        <v/>
      </c>
      <c r="J663" s="2" t="str" cm="1">
        <f t="array" ref="J663">IFERROR(_xlfn.LET(
_xlpm.CSVVal,_xlfn.XLOOKUP($A663,CSV!$A:$A,CSV!I:I,""),
_xlpm.MacVal,_xlfn.XLOOKUP($A663,Output_Mac!$A:$A,Output_Mac!J:J,""),
_xlpm.MyAuditVal,_xlfn.XLOOKUP($A663,My_Audit!$A:$A,My_Audit!I:I,""),
_xlfn.IFS(_xlpm.MyAuditVal&lt;&gt;"",UPPER(_xlpm.MyAuditVal),_xlpm.MacVal&lt;&gt;"",_xlpm.MacVal,_xlpm.CSVVal&lt;&gt;"",_xlpm.CSVVal
)),"")</f>
        <v/>
      </c>
      <c r="K663" s="2" t="str" cm="1">
        <f t="array" ref="K663">IFERROR(_xlfn.LET(
_xlpm.CSVVal,_xlfn.XLOOKUP($A663,CSV!$A:$A,CSV!K:K,""),
_xlpm.MacVal,_xlfn.XLOOKUP($A663,Output_Mac!$A:$A,Output_Mac!K:K,""),
_xlpm.MyAuditVal,_xlfn.XLOOKUP($A663,My_Audit!$A:$A,My_Audit!J:J,""),
_xlfn.IFS(_xlpm.MyAuditVal&lt;&gt;"",UPPER(_xlpm.MyAuditVal),_xlpm.MacVal&lt;&gt;"",_xlpm.MacVal,_xlpm.CSVVal&lt;&gt;"",_xlpm.CSVVal
)),"")</f>
        <v/>
      </c>
      <c r="L663" s="2" t="str" cm="1">
        <f t="array" ref="L663">IFERROR(_xlfn.LET(
_xlpm.CSVVal,_xlfn.XLOOKUP($A663,CSV!$A:$A,CSV!P:P,""),
_xlpm.MacVal,_xlfn.XLOOKUP($A663,Output_Mac!$A:$A,Output_Mac!L:L,""),
_xlpm.MyAuditVal,_xlfn.XLOOKUP($A663,My_Audit!$A:$A,My_Audit!K:K,""),
_xlfn.IFS(_xlpm.MyAuditVal&lt;&gt;"",UPPER(_xlpm.MyAuditVal),_xlpm.MacVal&lt;&gt;"",_xlpm.MacVal,_xlpm.CSVVal&lt;&gt;"",_xlpm.CSVVal
)),"")</f>
        <v/>
      </c>
      <c r="M663" s="2" t="str" cm="1">
        <f t="array" ref="M663">IFERROR(_xlfn.LET(
_xlpm.CSVVal,_xlfn.XLOOKUP($A663,CSV!$A:$A,CSV!Q:Q,""),
_xlpm.MacVal,_xlfn.XLOOKUP($A663,Output_Mac!$A:$A,Output_Mac!M:M,""),
_xlpm.MyAuditVal,_xlfn.XLOOKUP($A663,My_Audit!$A:$A,My_Audit!L:L,""),
_xlfn.IFS(_xlpm.MyAuditVal&lt;&gt;"",UPPER(_xlpm.MyAuditVal),_xlpm.MacVal&lt;&gt;"",_xlpm.MacVal,_xlpm.CSVVal&lt;&gt;"",_xlpm.CSVVal
)),"")</f>
        <v/>
      </c>
      <c r="O663" s="2" t="str">
        <f>_xlfn.LET(
    _xlpm.CSVVal, _xlfn.XLOOKUP($A663, CSV!$A:$A, CSV!AF:AF, ""),
    _xlpm.MacVal, _xlfn.XLOOKUP($A663, Output_Mac!$A:$A, Output_Mac!S:S, ""),
    _xlpm.MyAuditVal, _xlfn.XLOOKUP($A663, My_Audit!$A:$A, My_Audit!P:P, ""),
    _xlfn.TEXTJOIN(", ", TRUE, _xlpm.MyAuditVal, _xlpm.MacVal, _xlpm.CSVVal)
)</f>
        <v/>
      </c>
      <c r="P663" s="2" t="str" cm="1">
        <f t="array" ref="P663">IFERROR(_xlfn.LET(
_xlpm.CSVVal,_xlfn.XLOOKUP($A663,CSV!$A:$A,CSV!AG:AG,""),
_xlpm.MacVal,_xlfn.XLOOKUP($A663,Output_Mac!$A:$A,Output_Mac!T:T,""),
_xlpm.MyAuditVal,_xlfn.XLOOKUP($A663,My_Audit!$A:$A,My_Audit!Q:Q,""),
_xlfn.IFS(_xlpm.MyAuditVal&lt;&gt;"",UPPER(_xlpm.MyAuditVal),_xlpm.MacVal&lt;&gt;"",_xlpm.MacVal,_xlpm.CSVVal&lt;&gt;"",_xlpm.CSVVal
)),"No")</f>
        <v>No</v>
      </c>
      <c r="Q663" s="2" t="str" cm="1">
        <f t="array" ref="Q663">IFERROR(_xlfn.LET(
_xlpm.CSVVal,_xlfn.XLOOKUP($A663,CSV!$A:$A,CSV!AH:AH,""),
_xlpm.MacVal,_xlfn.XLOOKUP($A663,Output_Mac!$A:$A,Output_Mac!U:U,""),
_xlpm.MyAuditVal,_xlfn.XLOOKUP($A663,My_Audit!$A:$A,My_Audit!R:R,""),
_xlfn.IFS(_xlpm.MyAuditVal&lt;&gt;"",UPPER(_xlpm.MyAuditVal),_xlpm.MacVal&lt;&gt;"",_xlpm.MacVal,_xlpm.CSVVal&lt;&gt;"",_xlpm.CSVVal
)),"")</f>
        <v/>
      </c>
    </row>
    <row r="664" spans="1:17">
      <c r="A664" s="2" t="str">
        <f>_xlfn.TEXTJOIN("",TRUE,Input!$B$2,ROW(My_Audit!A663))</f>
        <v>XX663</v>
      </c>
      <c r="B664" s="2" t="str">
        <f>_xlfn.TEXTJOIN("-",TRUE,"ITD",Input!$A$2,A664)</f>
        <v>ITD-SHRXXX-XX663</v>
      </c>
      <c r="C664" s="2" t="str" cm="1">
        <f t="array" ref="C664">IFERROR(_xlfn.LET(
_xlpm.CSVVal,_xlfn.XLOOKUP($A664,CSV!$A:$A,CSV!B:B,""),
_xlpm.MacVal,_xlfn.XLOOKUP($A664,Output_Mac!$A:$A,Output_Mac!B:B,""),
_xlpm.MyAuditVal,_xlfn.XLOOKUP($A664,My_Audit!$A:$A,My_Audit!B:B,""),
_xlfn.IFS(_xlpm.MyAuditVal&lt;&gt;"",UPPER(_xlpm.MyAuditVal),_xlpm.MacVal&lt;&gt;"",_xlpm.MacVal,_xlpm.CSVVal&lt;&gt;"",_xlpm.CSVVal
)),"")</f>
        <v/>
      </c>
      <c r="D664" s="2" t="str" cm="1">
        <f t="array" ref="D664">IFERROR(_xlfn.LET(
_xlpm.CSVVal,_xlfn.XLOOKUP($A664,CSV!$A:$A,CSV!D:D,""),
_xlpm.MacVal,_xlfn.XLOOKUP($A664,Output_Mac!$A:$A,Output_Mac!C:C,""),
_xlpm.MyAuditVal,_xlfn.XLOOKUP($A664,My_Audit!$A:$A,My_Audit!C:C,""),
_xlfn.IFS(_xlpm.MyAuditVal&lt;&gt;"",_xlpm.MyAuditVal,_xlpm.MacVal&lt;&gt;"",_xlpm.MacVal,_xlpm.CSVVal&lt;&gt;"",_xlpm.CSVVal
)),"")</f>
        <v/>
      </c>
      <c r="E664" s="2" t="str">
        <f>_xlfn.XLOOKUP(A664,My_Audit!A:A,My_Audit!D:D,"")&amp;""</f>
        <v/>
      </c>
      <c r="F664" s="2" t="str" cm="1">
        <f t="array" ref="F664">IFERROR(_xlfn.LET(
_xlpm.CSVVal,_xlfn.XLOOKUP($A664,CSV!$A:$A,CSV!F:F,""),
_xlpm.MacVal,_xlfn.XLOOKUP($A664,Output_Mac!$A:$A,Output_Mac!E:E,""),
_xlpm.MyAuditVal,_xlfn.XLOOKUP($A664,My_Audit!$A:$A,My_Audit!E:E,""),
_xlfn.IFS(_xlpm.MyAuditVal&lt;&gt;"",_xlpm.MyAuditVal,_xlpm.MacVal&lt;&gt;"",_xlpm.MacVal,_xlpm.CSVVal&lt;&gt;"",_xlpm.CSVVal
)),"")</f>
        <v/>
      </c>
      <c r="G664" s="2" t="str" cm="1">
        <f t="array" ref="G664">IFERROR(_xlfn.LET(
_xlpm.CSVVal,_xlfn.XLOOKUP($A664,CSV!$A:$A,CSV!G:G,""),
_xlpm.MacVal,_xlfn.XLOOKUP($A664,Output_Mac!$A:$A,Output_Mac!F:F,""),
_xlpm.MyAuditVal,_xlfn.XLOOKUP($A664,My_Audit!$A:$A,My_Audit!F:F,""),
_xlfn.IFS(_xlpm.MyAuditVal&lt;&gt;"",_xlpm.MyAuditVal,_xlpm.MacVal&lt;&gt;"",_xlpm.MacVal,_xlpm.CSVVal&lt;&gt;"",PROPER(_xlpm.CSVVal)
)),"")</f>
        <v/>
      </c>
      <c r="H664" s="2" t="str" cm="1">
        <f t="array" ref="H664">IFERROR(_xlfn.LET(
_xlpm.CSVVal,_xlfn.XLOOKUP($A664,CSV!$A:$A,CSV!H:H,""),
_xlpm.MacVal,_xlfn.XLOOKUP($A664,Output_Mac!$A:$A,Output_Mac!H:H,""),
_xlpm.MyAuditVal,_xlfn.XLOOKUP($A664,My_Audit!$A:$A,My_Audit!G:G,""),
_xlfn.IFS(_xlpm.MyAuditVal&lt;&gt;"",_xlpm.MyAuditVal,_xlpm.MacVal&lt;&gt;"",_xlpm.MacVal,_xlpm.CSVVal&lt;&gt;"",_xlpm.CSVVal
)),"")</f>
        <v/>
      </c>
      <c r="I664" s="2" t="str">
        <f>_xlfn.XLOOKUP(A664,Output_Mac!A:A,Output_Mac!I:I,"")</f>
        <v/>
      </c>
      <c r="J664" s="2" t="str" cm="1">
        <f t="array" ref="J664">IFERROR(_xlfn.LET(
_xlpm.CSVVal,_xlfn.XLOOKUP($A664,CSV!$A:$A,CSV!I:I,""),
_xlpm.MacVal,_xlfn.XLOOKUP($A664,Output_Mac!$A:$A,Output_Mac!J:J,""),
_xlpm.MyAuditVal,_xlfn.XLOOKUP($A664,My_Audit!$A:$A,My_Audit!I:I,""),
_xlfn.IFS(_xlpm.MyAuditVal&lt;&gt;"",UPPER(_xlpm.MyAuditVal),_xlpm.MacVal&lt;&gt;"",_xlpm.MacVal,_xlpm.CSVVal&lt;&gt;"",_xlpm.CSVVal
)),"")</f>
        <v/>
      </c>
      <c r="K664" s="2" t="str" cm="1">
        <f t="array" ref="K664">IFERROR(_xlfn.LET(
_xlpm.CSVVal,_xlfn.XLOOKUP($A664,CSV!$A:$A,CSV!K:K,""),
_xlpm.MacVal,_xlfn.XLOOKUP($A664,Output_Mac!$A:$A,Output_Mac!K:K,""),
_xlpm.MyAuditVal,_xlfn.XLOOKUP($A664,My_Audit!$A:$A,My_Audit!J:J,""),
_xlfn.IFS(_xlpm.MyAuditVal&lt;&gt;"",UPPER(_xlpm.MyAuditVal),_xlpm.MacVal&lt;&gt;"",_xlpm.MacVal,_xlpm.CSVVal&lt;&gt;"",_xlpm.CSVVal
)),"")</f>
        <v/>
      </c>
      <c r="L664" s="2" t="str" cm="1">
        <f t="array" ref="L664">IFERROR(_xlfn.LET(
_xlpm.CSVVal,_xlfn.XLOOKUP($A664,CSV!$A:$A,CSV!P:P,""),
_xlpm.MacVal,_xlfn.XLOOKUP($A664,Output_Mac!$A:$A,Output_Mac!L:L,""),
_xlpm.MyAuditVal,_xlfn.XLOOKUP($A664,My_Audit!$A:$A,My_Audit!K:K,""),
_xlfn.IFS(_xlpm.MyAuditVal&lt;&gt;"",UPPER(_xlpm.MyAuditVal),_xlpm.MacVal&lt;&gt;"",_xlpm.MacVal,_xlpm.CSVVal&lt;&gt;"",_xlpm.CSVVal
)),"")</f>
        <v/>
      </c>
      <c r="M664" s="2" t="str" cm="1">
        <f t="array" ref="M664">IFERROR(_xlfn.LET(
_xlpm.CSVVal,_xlfn.XLOOKUP($A664,CSV!$A:$A,CSV!Q:Q,""),
_xlpm.MacVal,_xlfn.XLOOKUP($A664,Output_Mac!$A:$A,Output_Mac!M:M,""),
_xlpm.MyAuditVal,_xlfn.XLOOKUP($A664,My_Audit!$A:$A,My_Audit!L:L,""),
_xlfn.IFS(_xlpm.MyAuditVal&lt;&gt;"",UPPER(_xlpm.MyAuditVal),_xlpm.MacVal&lt;&gt;"",_xlpm.MacVal,_xlpm.CSVVal&lt;&gt;"",_xlpm.CSVVal
)),"")</f>
        <v/>
      </c>
      <c r="O664" s="2" t="str">
        <f>_xlfn.LET(
    _xlpm.CSVVal, _xlfn.XLOOKUP($A664, CSV!$A:$A, CSV!AF:AF, ""),
    _xlpm.MacVal, _xlfn.XLOOKUP($A664, Output_Mac!$A:$A, Output_Mac!S:S, ""),
    _xlpm.MyAuditVal, _xlfn.XLOOKUP($A664, My_Audit!$A:$A, My_Audit!P:P, ""),
    _xlfn.TEXTJOIN(", ", TRUE, _xlpm.MyAuditVal, _xlpm.MacVal, _xlpm.CSVVal)
)</f>
        <v/>
      </c>
      <c r="P664" s="2" t="str" cm="1">
        <f t="array" ref="P664">IFERROR(_xlfn.LET(
_xlpm.CSVVal,_xlfn.XLOOKUP($A664,CSV!$A:$A,CSV!AG:AG,""),
_xlpm.MacVal,_xlfn.XLOOKUP($A664,Output_Mac!$A:$A,Output_Mac!T:T,""),
_xlpm.MyAuditVal,_xlfn.XLOOKUP($A664,My_Audit!$A:$A,My_Audit!Q:Q,""),
_xlfn.IFS(_xlpm.MyAuditVal&lt;&gt;"",UPPER(_xlpm.MyAuditVal),_xlpm.MacVal&lt;&gt;"",_xlpm.MacVal,_xlpm.CSVVal&lt;&gt;"",_xlpm.CSVVal
)),"No")</f>
        <v>No</v>
      </c>
      <c r="Q664" s="2" t="str" cm="1">
        <f t="array" ref="Q664">IFERROR(_xlfn.LET(
_xlpm.CSVVal,_xlfn.XLOOKUP($A664,CSV!$A:$A,CSV!AH:AH,""),
_xlpm.MacVal,_xlfn.XLOOKUP($A664,Output_Mac!$A:$A,Output_Mac!U:U,""),
_xlpm.MyAuditVal,_xlfn.XLOOKUP($A664,My_Audit!$A:$A,My_Audit!R:R,""),
_xlfn.IFS(_xlpm.MyAuditVal&lt;&gt;"",UPPER(_xlpm.MyAuditVal),_xlpm.MacVal&lt;&gt;"",_xlpm.MacVal,_xlpm.CSVVal&lt;&gt;"",_xlpm.CSVVal
)),"")</f>
        <v/>
      </c>
    </row>
    <row r="665" spans="1:17">
      <c r="A665" s="2" t="str">
        <f>_xlfn.TEXTJOIN("",TRUE,Input!$B$2,ROW(My_Audit!A664))</f>
        <v>XX664</v>
      </c>
      <c r="B665" s="2" t="str">
        <f>_xlfn.TEXTJOIN("-",TRUE,"ITD",Input!$A$2,A665)</f>
        <v>ITD-SHRXXX-XX664</v>
      </c>
      <c r="C665" s="2" t="str" cm="1">
        <f t="array" ref="C665">IFERROR(_xlfn.LET(
_xlpm.CSVVal,_xlfn.XLOOKUP($A665,CSV!$A:$A,CSV!B:B,""),
_xlpm.MacVal,_xlfn.XLOOKUP($A665,Output_Mac!$A:$A,Output_Mac!B:B,""),
_xlpm.MyAuditVal,_xlfn.XLOOKUP($A665,My_Audit!$A:$A,My_Audit!B:B,""),
_xlfn.IFS(_xlpm.MyAuditVal&lt;&gt;"",UPPER(_xlpm.MyAuditVal),_xlpm.MacVal&lt;&gt;"",_xlpm.MacVal,_xlpm.CSVVal&lt;&gt;"",_xlpm.CSVVal
)),"")</f>
        <v/>
      </c>
      <c r="D665" s="2" t="str" cm="1">
        <f t="array" ref="D665">IFERROR(_xlfn.LET(
_xlpm.CSVVal,_xlfn.XLOOKUP($A665,CSV!$A:$A,CSV!D:D,""),
_xlpm.MacVal,_xlfn.XLOOKUP($A665,Output_Mac!$A:$A,Output_Mac!C:C,""),
_xlpm.MyAuditVal,_xlfn.XLOOKUP($A665,My_Audit!$A:$A,My_Audit!C:C,""),
_xlfn.IFS(_xlpm.MyAuditVal&lt;&gt;"",_xlpm.MyAuditVal,_xlpm.MacVal&lt;&gt;"",_xlpm.MacVal,_xlpm.CSVVal&lt;&gt;"",_xlpm.CSVVal
)),"")</f>
        <v/>
      </c>
      <c r="E665" s="2" t="str">
        <f>_xlfn.XLOOKUP(A665,My_Audit!A:A,My_Audit!D:D,"")&amp;""</f>
        <v/>
      </c>
      <c r="F665" s="2" t="str" cm="1">
        <f t="array" ref="F665">IFERROR(_xlfn.LET(
_xlpm.CSVVal,_xlfn.XLOOKUP($A665,CSV!$A:$A,CSV!F:F,""),
_xlpm.MacVal,_xlfn.XLOOKUP($A665,Output_Mac!$A:$A,Output_Mac!E:E,""),
_xlpm.MyAuditVal,_xlfn.XLOOKUP($A665,My_Audit!$A:$A,My_Audit!E:E,""),
_xlfn.IFS(_xlpm.MyAuditVal&lt;&gt;"",_xlpm.MyAuditVal,_xlpm.MacVal&lt;&gt;"",_xlpm.MacVal,_xlpm.CSVVal&lt;&gt;"",_xlpm.CSVVal
)),"")</f>
        <v/>
      </c>
      <c r="G665" s="2" t="str" cm="1">
        <f t="array" ref="G665">IFERROR(_xlfn.LET(
_xlpm.CSVVal,_xlfn.XLOOKUP($A665,CSV!$A:$A,CSV!G:G,""),
_xlpm.MacVal,_xlfn.XLOOKUP($A665,Output_Mac!$A:$A,Output_Mac!F:F,""),
_xlpm.MyAuditVal,_xlfn.XLOOKUP($A665,My_Audit!$A:$A,My_Audit!F:F,""),
_xlfn.IFS(_xlpm.MyAuditVal&lt;&gt;"",_xlpm.MyAuditVal,_xlpm.MacVal&lt;&gt;"",_xlpm.MacVal,_xlpm.CSVVal&lt;&gt;"",PROPER(_xlpm.CSVVal)
)),"")</f>
        <v/>
      </c>
      <c r="H665" s="2" t="str" cm="1">
        <f t="array" ref="H665">IFERROR(_xlfn.LET(
_xlpm.CSVVal,_xlfn.XLOOKUP($A665,CSV!$A:$A,CSV!H:H,""),
_xlpm.MacVal,_xlfn.XLOOKUP($A665,Output_Mac!$A:$A,Output_Mac!H:H,""),
_xlpm.MyAuditVal,_xlfn.XLOOKUP($A665,My_Audit!$A:$A,My_Audit!G:G,""),
_xlfn.IFS(_xlpm.MyAuditVal&lt;&gt;"",_xlpm.MyAuditVal,_xlpm.MacVal&lt;&gt;"",_xlpm.MacVal,_xlpm.CSVVal&lt;&gt;"",_xlpm.CSVVal
)),"")</f>
        <v/>
      </c>
      <c r="I665" s="2" t="str">
        <f>_xlfn.XLOOKUP(A665,Output_Mac!A:A,Output_Mac!I:I,"")</f>
        <v/>
      </c>
      <c r="J665" s="2" t="str" cm="1">
        <f t="array" ref="J665">IFERROR(_xlfn.LET(
_xlpm.CSVVal,_xlfn.XLOOKUP($A665,CSV!$A:$A,CSV!I:I,""),
_xlpm.MacVal,_xlfn.XLOOKUP($A665,Output_Mac!$A:$A,Output_Mac!J:J,""),
_xlpm.MyAuditVal,_xlfn.XLOOKUP($A665,My_Audit!$A:$A,My_Audit!I:I,""),
_xlfn.IFS(_xlpm.MyAuditVal&lt;&gt;"",UPPER(_xlpm.MyAuditVal),_xlpm.MacVal&lt;&gt;"",_xlpm.MacVal,_xlpm.CSVVal&lt;&gt;"",_xlpm.CSVVal
)),"")</f>
        <v/>
      </c>
      <c r="K665" s="2" t="str" cm="1">
        <f t="array" ref="K665">IFERROR(_xlfn.LET(
_xlpm.CSVVal,_xlfn.XLOOKUP($A665,CSV!$A:$A,CSV!K:K,""),
_xlpm.MacVal,_xlfn.XLOOKUP($A665,Output_Mac!$A:$A,Output_Mac!K:K,""),
_xlpm.MyAuditVal,_xlfn.XLOOKUP($A665,My_Audit!$A:$A,My_Audit!J:J,""),
_xlfn.IFS(_xlpm.MyAuditVal&lt;&gt;"",UPPER(_xlpm.MyAuditVal),_xlpm.MacVal&lt;&gt;"",_xlpm.MacVal,_xlpm.CSVVal&lt;&gt;"",_xlpm.CSVVal
)),"")</f>
        <v/>
      </c>
      <c r="L665" s="2" t="str" cm="1">
        <f t="array" ref="L665">IFERROR(_xlfn.LET(
_xlpm.CSVVal,_xlfn.XLOOKUP($A665,CSV!$A:$A,CSV!P:P,""),
_xlpm.MacVal,_xlfn.XLOOKUP($A665,Output_Mac!$A:$A,Output_Mac!L:L,""),
_xlpm.MyAuditVal,_xlfn.XLOOKUP($A665,My_Audit!$A:$A,My_Audit!K:K,""),
_xlfn.IFS(_xlpm.MyAuditVal&lt;&gt;"",UPPER(_xlpm.MyAuditVal),_xlpm.MacVal&lt;&gt;"",_xlpm.MacVal,_xlpm.CSVVal&lt;&gt;"",_xlpm.CSVVal
)),"")</f>
        <v/>
      </c>
      <c r="M665" s="2" t="str" cm="1">
        <f t="array" ref="M665">IFERROR(_xlfn.LET(
_xlpm.CSVVal,_xlfn.XLOOKUP($A665,CSV!$A:$A,CSV!Q:Q,""),
_xlpm.MacVal,_xlfn.XLOOKUP($A665,Output_Mac!$A:$A,Output_Mac!M:M,""),
_xlpm.MyAuditVal,_xlfn.XLOOKUP($A665,My_Audit!$A:$A,My_Audit!L:L,""),
_xlfn.IFS(_xlpm.MyAuditVal&lt;&gt;"",UPPER(_xlpm.MyAuditVal),_xlpm.MacVal&lt;&gt;"",_xlpm.MacVal,_xlpm.CSVVal&lt;&gt;"",_xlpm.CSVVal
)),"")</f>
        <v/>
      </c>
      <c r="O665" s="2" t="str">
        <f>_xlfn.LET(
    _xlpm.CSVVal, _xlfn.XLOOKUP($A665, CSV!$A:$A, CSV!AF:AF, ""),
    _xlpm.MacVal, _xlfn.XLOOKUP($A665, Output_Mac!$A:$A, Output_Mac!S:S, ""),
    _xlpm.MyAuditVal, _xlfn.XLOOKUP($A665, My_Audit!$A:$A, My_Audit!P:P, ""),
    _xlfn.TEXTJOIN(", ", TRUE, _xlpm.MyAuditVal, _xlpm.MacVal, _xlpm.CSVVal)
)</f>
        <v/>
      </c>
      <c r="P665" s="2" t="str" cm="1">
        <f t="array" ref="P665">IFERROR(_xlfn.LET(
_xlpm.CSVVal,_xlfn.XLOOKUP($A665,CSV!$A:$A,CSV!AG:AG,""),
_xlpm.MacVal,_xlfn.XLOOKUP($A665,Output_Mac!$A:$A,Output_Mac!T:T,""),
_xlpm.MyAuditVal,_xlfn.XLOOKUP($A665,My_Audit!$A:$A,My_Audit!Q:Q,""),
_xlfn.IFS(_xlpm.MyAuditVal&lt;&gt;"",UPPER(_xlpm.MyAuditVal),_xlpm.MacVal&lt;&gt;"",_xlpm.MacVal,_xlpm.CSVVal&lt;&gt;"",_xlpm.CSVVal
)),"No")</f>
        <v>No</v>
      </c>
      <c r="Q665" s="2" t="str" cm="1">
        <f t="array" ref="Q665">IFERROR(_xlfn.LET(
_xlpm.CSVVal,_xlfn.XLOOKUP($A665,CSV!$A:$A,CSV!AH:AH,""),
_xlpm.MacVal,_xlfn.XLOOKUP($A665,Output_Mac!$A:$A,Output_Mac!U:U,""),
_xlpm.MyAuditVal,_xlfn.XLOOKUP($A665,My_Audit!$A:$A,My_Audit!R:R,""),
_xlfn.IFS(_xlpm.MyAuditVal&lt;&gt;"",UPPER(_xlpm.MyAuditVal),_xlpm.MacVal&lt;&gt;"",_xlpm.MacVal,_xlpm.CSVVal&lt;&gt;"",_xlpm.CSVVal
)),"")</f>
        <v/>
      </c>
    </row>
    <row r="666" spans="1:17">
      <c r="A666" s="2" t="str">
        <f>_xlfn.TEXTJOIN("",TRUE,Input!$B$2,ROW(My_Audit!A665))</f>
        <v>XX665</v>
      </c>
      <c r="B666" s="2" t="str">
        <f>_xlfn.TEXTJOIN("-",TRUE,"ITD",Input!$A$2,A666)</f>
        <v>ITD-SHRXXX-XX665</v>
      </c>
      <c r="C666" s="2" t="str" cm="1">
        <f t="array" ref="C666">IFERROR(_xlfn.LET(
_xlpm.CSVVal,_xlfn.XLOOKUP($A666,CSV!$A:$A,CSV!B:B,""),
_xlpm.MacVal,_xlfn.XLOOKUP($A666,Output_Mac!$A:$A,Output_Mac!B:B,""),
_xlpm.MyAuditVal,_xlfn.XLOOKUP($A666,My_Audit!$A:$A,My_Audit!B:B,""),
_xlfn.IFS(_xlpm.MyAuditVal&lt;&gt;"",UPPER(_xlpm.MyAuditVal),_xlpm.MacVal&lt;&gt;"",_xlpm.MacVal,_xlpm.CSVVal&lt;&gt;"",_xlpm.CSVVal
)),"")</f>
        <v/>
      </c>
      <c r="D666" s="2" t="str" cm="1">
        <f t="array" ref="D666">IFERROR(_xlfn.LET(
_xlpm.CSVVal,_xlfn.XLOOKUP($A666,CSV!$A:$A,CSV!D:D,""),
_xlpm.MacVal,_xlfn.XLOOKUP($A666,Output_Mac!$A:$A,Output_Mac!C:C,""),
_xlpm.MyAuditVal,_xlfn.XLOOKUP($A666,My_Audit!$A:$A,My_Audit!C:C,""),
_xlfn.IFS(_xlpm.MyAuditVal&lt;&gt;"",_xlpm.MyAuditVal,_xlpm.MacVal&lt;&gt;"",_xlpm.MacVal,_xlpm.CSVVal&lt;&gt;"",_xlpm.CSVVal
)),"")</f>
        <v/>
      </c>
      <c r="E666" s="2" t="str">
        <f>_xlfn.XLOOKUP(A666,My_Audit!A:A,My_Audit!D:D,"")&amp;""</f>
        <v/>
      </c>
      <c r="F666" s="2" t="str" cm="1">
        <f t="array" ref="F666">IFERROR(_xlfn.LET(
_xlpm.CSVVal,_xlfn.XLOOKUP($A666,CSV!$A:$A,CSV!F:F,""),
_xlpm.MacVal,_xlfn.XLOOKUP($A666,Output_Mac!$A:$A,Output_Mac!E:E,""),
_xlpm.MyAuditVal,_xlfn.XLOOKUP($A666,My_Audit!$A:$A,My_Audit!E:E,""),
_xlfn.IFS(_xlpm.MyAuditVal&lt;&gt;"",_xlpm.MyAuditVal,_xlpm.MacVal&lt;&gt;"",_xlpm.MacVal,_xlpm.CSVVal&lt;&gt;"",_xlpm.CSVVal
)),"")</f>
        <v/>
      </c>
      <c r="G666" s="2" t="str" cm="1">
        <f t="array" ref="G666">IFERROR(_xlfn.LET(
_xlpm.CSVVal,_xlfn.XLOOKUP($A666,CSV!$A:$A,CSV!G:G,""),
_xlpm.MacVal,_xlfn.XLOOKUP($A666,Output_Mac!$A:$A,Output_Mac!F:F,""),
_xlpm.MyAuditVal,_xlfn.XLOOKUP($A666,My_Audit!$A:$A,My_Audit!F:F,""),
_xlfn.IFS(_xlpm.MyAuditVal&lt;&gt;"",_xlpm.MyAuditVal,_xlpm.MacVal&lt;&gt;"",_xlpm.MacVal,_xlpm.CSVVal&lt;&gt;"",PROPER(_xlpm.CSVVal)
)),"")</f>
        <v/>
      </c>
      <c r="H666" s="2" t="str" cm="1">
        <f t="array" ref="H666">IFERROR(_xlfn.LET(
_xlpm.CSVVal,_xlfn.XLOOKUP($A666,CSV!$A:$A,CSV!H:H,""),
_xlpm.MacVal,_xlfn.XLOOKUP($A666,Output_Mac!$A:$A,Output_Mac!H:H,""),
_xlpm.MyAuditVal,_xlfn.XLOOKUP($A666,My_Audit!$A:$A,My_Audit!G:G,""),
_xlfn.IFS(_xlpm.MyAuditVal&lt;&gt;"",_xlpm.MyAuditVal,_xlpm.MacVal&lt;&gt;"",_xlpm.MacVal,_xlpm.CSVVal&lt;&gt;"",_xlpm.CSVVal
)),"")</f>
        <v/>
      </c>
      <c r="I666" s="2" t="str">
        <f>_xlfn.XLOOKUP(A666,Output_Mac!A:A,Output_Mac!I:I,"")</f>
        <v/>
      </c>
      <c r="J666" s="2" t="str" cm="1">
        <f t="array" ref="J666">IFERROR(_xlfn.LET(
_xlpm.CSVVal,_xlfn.XLOOKUP($A666,CSV!$A:$A,CSV!I:I,""),
_xlpm.MacVal,_xlfn.XLOOKUP($A666,Output_Mac!$A:$A,Output_Mac!J:J,""),
_xlpm.MyAuditVal,_xlfn.XLOOKUP($A666,My_Audit!$A:$A,My_Audit!I:I,""),
_xlfn.IFS(_xlpm.MyAuditVal&lt;&gt;"",UPPER(_xlpm.MyAuditVal),_xlpm.MacVal&lt;&gt;"",_xlpm.MacVal,_xlpm.CSVVal&lt;&gt;"",_xlpm.CSVVal
)),"")</f>
        <v/>
      </c>
      <c r="K666" s="2" t="str" cm="1">
        <f t="array" ref="K666">IFERROR(_xlfn.LET(
_xlpm.CSVVal,_xlfn.XLOOKUP($A666,CSV!$A:$A,CSV!K:K,""),
_xlpm.MacVal,_xlfn.XLOOKUP($A666,Output_Mac!$A:$A,Output_Mac!K:K,""),
_xlpm.MyAuditVal,_xlfn.XLOOKUP($A666,My_Audit!$A:$A,My_Audit!J:J,""),
_xlfn.IFS(_xlpm.MyAuditVal&lt;&gt;"",UPPER(_xlpm.MyAuditVal),_xlpm.MacVal&lt;&gt;"",_xlpm.MacVal,_xlpm.CSVVal&lt;&gt;"",_xlpm.CSVVal
)),"")</f>
        <v/>
      </c>
      <c r="L666" s="2" t="str" cm="1">
        <f t="array" ref="L666">IFERROR(_xlfn.LET(
_xlpm.CSVVal,_xlfn.XLOOKUP($A666,CSV!$A:$A,CSV!P:P,""),
_xlpm.MacVal,_xlfn.XLOOKUP($A666,Output_Mac!$A:$A,Output_Mac!L:L,""),
_xlpm.MyAuditVal,_xlfn.XLOOKUP($A666,My_Audit!$A:$A,My_Audit!K:K,""),
_xlfn.IFS(_xlpm.MyAuditVal&lt;&gt;"",UPPER(_xlpm.MyAuditVal),_xlpm.MacVal&lt;&gt;"",_xlpm.MacVal,_xlpm.CSVVal&lt;&gt;"",_xlpm.CSVVal
)),"")</f>
        <v/>
      </c>
      <c r="M666" s="2" t="str" cm="1">
        <f t="array" ref="M666">IFERROR(_xlfn.LET(
_xlpm.CSVVal,_xlfn.XLOOKUP($A666,CSV!$A:$A,CSV!Q:Q,""),
_xlpm.MacVal,_xlfn.XLOOKUP($A666,Output_Mac!$A:$A,Output_Mac!M:M,""),
_xlpm.MyAuditVal,_xlfn.XLOOKUP($A666,My_Audit!$A:$A,My_Audit!L:L,""),
_xlfn.IFS(_xlpm.MyAuditVal&lt;&gt;"",UPPER(_xlpm.MyAuditVal),_xlpm.MacVal&lt;&gt;"",_xlpm.MacVal,_xlpm.CSVVal&lt;&gt;"",_xlpm.CSVVal
)),"")</f>
        <v/>
      </c>
      <c r="O666" s="2" t="str">
        <f>_xlfn.LET(
    _xlpm.CSVVal, _xlfn.XLOOKUP($A666, CSV!$A:$A, CSV!AF:AF, ""),
    _xlpm.MacVal, _xlfn.XLOOKUP($A666, Output_Mac!$A:$A, Output_Mac!S:S, ""),
    _xlpm.MyAuditVal, _xlfn.XLOOKUP($A666, My_Audit!$A:$A, My_Audit!P:P, ""),
    _xlfn.TEXTJOIN(", ", TRUE, _xlpm.MyAuditVal, _xlpm.MacVal, _xlpm.CSVVal)
)</f>
        <v/>
      </c>
      <c r="P666" s="2" t="str" cm="1">
        <f t="array" ref="P666">IFERROR(_xlfn.LET(
_xlpm.CSVVal,_xlfn.XLOOKUP($A666,CSV!$A:$A,CSV!AG:AG,""),
_xlpm.MacVal,_xlfn.XLOOKUP($A666,Output_Mac!$A:$A,Output_Mac!T:T,""),
_xlpm.MyAuditVal,_xlfn.XLOOKUP($A666,My_Audit!$A:$A,My_Audit!Q:Q,""),
_xlfn.IFS(_xlpm.MyAuditVal&lt;&gt;"",UPPER(_xlpm.MyAuditVal),_xlpm.MacVal&lt;&gt;"",_xlpm.MacVal,_xlpm.CSVVal&lt;&gt;"",_xlpm.CSVVal
)),"No")</f>
        <v>No</v>
      </c>
      <c r="Q666" s="2" t="str" cm="1">
        <f t="array" ref="Q666">IFERROR(_xlfn.LET(
_xlpm.CSVVal,_xlfn.XLOOKUP($A666,CSV!$A:$A,CSV!AH:AH,""),
_xlpm.MacVal,_xlfn.XLOOKUP($A666,Output_Mac!$A:$A,Output_Mac!U:U,""),
_xlpm.MyAuditVal,_xlfn.XLOOKUP($A666,My_Audit!$A:$A,My_Audit!R:R,""),
_xlfn.IFS(_xlpm.MyAuditVal&lt;&gt;"",UPPER(_xlpm.MyAuditVal),_xlpm.MacVal&lt;&gt;"",_xlpm.MacVal,_xlpm.CSVVal&lt;&gt;"",_xlpm.CSVVal
)),"")</f>
        <v/>
      </c>
    </row>
    <row r="667" spans="1:17">
      <c r="A667" s="2" t="str">
        <f>_xlfn.TEXTJOIN("",TRUE,Input!$B$2,ROW(My_Audit!A666))</f>
        <v>XX666</v>
      </c>
      <c r="B667" s="2" t="str">
        <f>_xlfn.TEXTJOIN("-",TRUE,"ITD",Input!$A$2,A667)</f>
        <v>ITD-SHRXXX-XX666</v>
      </c>
      <c r="C667" s="2" t="str" cm="1">
        <f t="array" ref="C667">IFERROR(_xlfn.LET(
_xlpm.CSVVal,_xlfn.XLOOKUP($A667,CSV!$A:$A,CSV!B:B,""),
_xlpm.MacVal,_xlfn.XLOOKUP($A667,Output_Mac!$A:$A,Output_Mac!B:B,""),
_xlpm.MyAuditVal,_xlfn.XLOOKUP($A667,My_Audit!$A:$A,My_Audit!B:B,""),
_xlfn.IFS(_xlpm.MyAuditVal&lt;&gt;"",UPPER(_xlpm.MyAuditVal),_xlpm.MacVal&lt;&gt;"",_xlpm.MacVal,_xlpm.CSVVal&lt;&gt;"",_xlpm.CSVVal
)),"")</f>
        <v/>
      </c>
      <c r="D667" s="2" t="str" cm="1">
        <f t="array" ref="D667">IFERROR(_xlfn.LET(
_xlpm.CSVVal,_xlfn.XLOOKUP($A667,CSV!$A:$A,CSV!D:D,""),
_xlpm.MacVal,_xlfn.XLOOKUP($A667,Output_Mac!$A:$A,Output_Mac!C:C,""),
_xlpm.MyAuditVal,_xlfn.XLOOKUP($A667,My_Audit!$A:$A,My_Audit!C:C,""),
_xlfn.IFS(_xlpm.MyAuditVal&lt;&gt;"",_xlpm.MyAuditVal,_xlpm.MacVal&lt;&gt;"",_xlpm.MacVal,_xlpm.CSVVal&lt;&gt;"",_xlpm.CSVVal
)),"")</f>
        <v/>
      </c>
      <c r="E667" s="2" t="str">
        <f>_xlfn.XLOOKUP(A667,My_Audit!A:A,My_Audit!D:D,"")&amp;""</f>
        <v/>
      </c>
      <c r="F667" s="2" t="str" cm="1">
        <f t="array" ref="F667">IFERROR(_xlfn.LET(
_xlpm.CSVVal,_xlfn.XLOOKUP($A667,CSV!$A:$A,CSV!F:F,""),
_xlpm.MacVal,_xlfn.XLOOKUP($A667,Output_Mac!$A:$A,Output_Mac!E:E,""),
_xlpm.MyAuditVal,_xlfn.XLOOKUP($A667,My_Audit!$A:$A,My_Audit!E:E,""),
_xlfn.IFS(_xlpm.MyAuditVal&lt;&gt;"",_xlpm.MyAuditVal,_xlpm.MacVal&lt;&gt;"",_xlpm.MacVal,_xlpm.CSVVal&lt;&gt;"",_xlpm.CSVVal
)),"")</f>
        <v/>
      </c>
      <c r="G667" s="2" t="str" cm="1">
        <f t="array" ref="G667">IFERROR(_xlfn.LET(
_xlpm.CSVVal,_xlfn.XLOOKUP($A667,CSV!$A:$A,CSV!G:G,""),
_xlpm.MacVal,_xlfn.XLOOKUP($A667,Output_Mac!$A:$A,Output_Mac!F:F,""),
_xlpm.MyAuditVal,_xlfn.XLOOKUP($A667,My_Audit!$A:$A,My_Audit!F:F,""),
_xlfn.IFS(_xlpm.MyAuditVal&lt;&gt;"",_xlpm.MyAuditVal,_xlpm.MacVal&lt;&gt;"",_xlpm.MacVal,_xlpm.CSVVal&lt;&gt;"",PROPER(_xlpm.CSVVal)
)),"")</f>
        <v/>
      </c>
      <c r="H667" s="2" t="str" cm="1">
        <f t="array" ref="H667">IFERROR(_xlfn.LET(
_xlpm.CSVVal,_xlfn.XLOOKUP($A667,CSV!$A:$A,CSV!H:H,""),
_xlpm.MacVal,_xlfn.XLOOKUP($A667,Output_Mac!$A:$A,Output_Mac!H:H,""),
_xlpm.MyAuditVal,_xlfn.XLOOKUP($A667,My_Audit!$A:$A,My_Audit!G:G,""),
_xlfn.IFS(_xlpm.MyAuditVal&lt;&gt;"",_xlpm.MyAuditVal,_xlpm.MacVal&lt;&gt;"",_xlpm.MacVal,_xlpm.CSVVal&lt;&gt;"",_xlpm.CSVVal
)),"")</f>
        <v/>
      </c>
      <c r="I667" s="2" t="str">
        <f>_xlfn.XLOOKUP(A667,Output_Mac!A:A,Output_Mac!I:I,"")</f>
        <v/>
      </c>
      <c r="J667" s="2" t="str" cm="1">
        <f t="array" ref="J667">IFERROR(_xlfn.LET(
_xlpm.CSVVal,_xlfn.XLOOKUP($A667,CSV!$A:$A,CSV!I:I,""),
_xlpm.MacVal,_xlfn.XLOOKUP($A667,Output_Mac!$A:$A,Output_Mac!J:J,""),
_xlpm.MyAuditVal,_xlfn.XLOOKUP($A667,My_Audit!$A:$A,My_Audit!I:I,""),
_xlfn.IFS(_xlpm.MyAuditVal&lt;&gt;"",UPPER(_xlpm.MyAuditVal),_xlpm.MacVal&lt;&gt;"",_xlpm.MacVal,_xlpm.CSVVal&lt;&gt;"",_xlpm.CSVVal
)),"")</f>
        <v/>
      </c>
      <c r="K667" s="2" t="str" cm="1">
        <f t="array" ref="K667">IFERROR(_xlfn.LET(
_xlpm.CSVVal,_xlfn.XLOOKUP($A667,CSV!$A:$A,CSV!K:K,""),
_xlpm.MacVal,_xlfn.XLOOKUP($A667,Output_Mac!$A:$A,Output_Mac!K:K,""),
_xlpm.MyAuditVal,_xlfn.XLOOKUP($A667,My_Audit!$A:$A,My_Audit!J:J,""),
_xlfn.IFS(_xlpm.MyAuditVal&lt;&gt;"",UPPER(_xlpm.MyAuditVal),_xlpm.MacVal&lt;&gt;"",_xlpm.MacVal,_xlpm.CSVVal&lt;&gt;"",_xlpm.CSVVal
)),"")</f>
        <v/>
      </c>
      <c r="L667" s="2" t="str" cm="1">
        <f t="array" ref="L667">IFERROR(_xlfn.LET(
_xlpm.CSVVal,_xlfn.XLOOKUP($A667,CSV!$A:$A,CSV!P:P,""),
_xlpm.MacVal,_xlfn.XLOOKUP($A667,Output_Mac!$A:$A,Output_Mac!L:L,""),
_xlpm.MyAuditVal,_xlfn.XLOOKUP($A667,My_Audit!$A:$A,My_Audit!K:K,""),
_xlfn.IFS(_xlpm.MyAuditVal&lt;&gt;"",UPPER(_xlpm.MyAuditVal),_xlpm.MacVal&lt;&gt;"",_xlpm.MacVal,_xlpm.CSVVal&lt;&gt;"",_xlpm.CSVVal
)),"")</f>
        <v/>
      </c>
      <c r="M667" s="2" t="str" cm="1">
        <f t="array" ref="M667">IFERROR(_xlfn.LET(
_xlpm.CSVVal,_xlfn.XLOOKUP($A667,CSV!$A:$A,CSV!Q:Q,""),
_xlpm.MacVal,_xlfn.XLOOKUP($A667,Output_Mac!$A:$A,Output_Mac!M:M,""),
_xlpm.MyAuditVal,_xlfn.XLOOKUP($A667,My_Audit!$A:$A,My_Audit!L:L,""),
_xlfn.IFS(_xlpm.MyAuditVal&lt;&gt;"",UPPER(_xlpm.MyAuditVal),_xlpm.MacVal&lt;&gt;"",_xlpm.MacVal,_xlpm.CSVVal&lt;&gt;"",_xlpm.CSVVal
)),"")</f>
        <v/>
      </c>
      <c r="O667" s="2" t="str">
        <f>_xlfn.LET(
    _xlpm.CSVVal, _xlfn.XLOOKUP($A667, CSV!$A:$A, CSV!AF:AF, ""),
    _xlpm.MacVal, _xlfn.XLOOKUP($A667, Output_Mac!$A:$A, Output_Mac!S:S, ""),
    _xlpm.MyAuditVal, _xlfn.XLOOKUP($A667, My_Audit!$A:$A, My_Audit!P:P, ""),
    _xlfn.TEXTJOIN(", ", TRUE, _xlpm.MyAuditVal, _xlpm.MacVal, _xlpm.CSVVal)
)</f>
        <v/>
      </c>
      <c r="P667" s="2" t="str" cm="1">
        <f t="array" ref="P667">IFERROR(_xlfn.LET(
_xlpm.CSVVal,_xlfn.XLOOKUP($A667,CSV!$A:$A,CSV!AG:AG,""),
_xlpm.MacVal,_xlfn.XLOOKUP($A667,Output_Mac!$A:$A,Output_Mac!T:T,""),
_xlpm.MyAuditVal,_xlfn.XLOOKUP($A667,My_Audit!$A:$A,My_Audit!Q:Q,""),
_xlfn.IFS(_xlpm.MyAuditVal&lt;&gt;"",UPPER(_xlpm.MyAuditVal),_xlpm.MacVal&lt;&gt;"",_xlpm.MacVal,_xlpm.CSVVal&lt;&gt;"",_xlpm.CSVVal
)),"No")</f>
        <v>No</v>
      </c>
      <c r="Q667" s="2" t="str" cm="1">
        <f t="array" ref="Q667">IFERROR(_xlfn.LET(
_xlpm.CSVVal,_xlfn.XLOOKUP($A667,CSV!$A:$A,CSV!AH:AH,""),
_xlpm.MacVal,_xlfn.XLOOKUP($A667,Output_Mac!$A:$A,Output_Mac!U:U,""),
_xlpm.MyAuditVal,_xlfn.XLOOKUP($A667,My_Audit!$A:$A,My_Audit!R:R,""),
_xlfn.IFS(_xlpm.MyAuditVal&lt;&gt;"",UPPER(_xlpm.MyAuditVal),_xlpm.MacVal&lt;&gt;"",_xlpm.MacVal,_xlpm.CSVVal&lt;&gt;"",_xlpm.CSVVal
)),"")</f>
        <v/>
      </c>
    </row>
    <row r="668" spans="1:17">
      <c r="A668" s="2" t="str">
        <f>_xlfn.TEXTJOIN("",TRUE,Input!$B$2,ROW(My_Audit!A667))</f>
        <v>XX667</v>
      </c>
      <c r="B668" s="2" t="str">
        <f>_xlfn.TEXTJOIN("-",TRUE,"ITD",Input!$A$2,A668)</f>
        <v>ITD-SHRXXX-XX667</v>
      </c>
      <c r="C668" s="2" t="str" cm="1">
        <f t="array" ref="C668">IFERROR(_xlfn.LET(
_xlpm.CSVVal,_xlfn.XLOOKUP($A668,CSV!$A:$A,CSV!B:B,""),
_xlpm.MacVal,_xlfn.XLOOKUP($A668,Output_Mac!$A:$A,Output_Mac!B:B,""),
_xlpm.MyAuditVal,_xlfn.XLOOKUP($A668,My_Audit!$A:$A,My_Audit!B:B,""),
_xlfn.IFS(_xlpm.MyAuditVal&lt;&gt;"",UPPER(_xlpm.MyAuditVal),_xlpm.MacVal&lt;&gt;"",_xlpm.MacVal,_xlpm.CSVVal&lt;&gt;"",_xlpm.CSVVal
)),"")</f>
        <v/>
      </c>
      <c r="D668" s="2" t="str" cm="1">
        <f t="array" ref="D668">IFERROR(_xlfn.LET(
_xlpm.CSVVal,_xlfn.XLOOKUP($A668,CSV!$A:$A,CSV!D:D,""),
_xlpm.MacVal,_xlfn.XLOOKUP($A668,Output_Mac!$A:$A,Output_Mac!C:C,""),
_xlpm.MyAuditVal,_xlfn.XLOOKUP($A668,My_Audit!$A:$A,My_Audit!C:C,""),
_xlfn.IFS(_xlpm.MyAuditVal&lt;&gt;"",_xlpm.MyAuditVal,_xlpm.MacVal&lt;&gt;"",_xlpm.MacVal,_xlpm.CSVVal&lt;&gt;"",_xlpm.CSVVal
)),"")</f>
        <v/>
      </c>
      <c r="E668" s="2" t="str">
        <f>_xlfn.XLOOKUP(A668,My_Audit!A:A,My_Audit!D:D,"")&amp;""</f>
        <v/>
      </c>
      <c r="F668" s="2" t="str" cm="1">
        <f t="array" ref="F668">IFERROR(_xlfn.LET(
_xlpm.CSVVal,_xlfn.XLOOKUP($A668,CSV!$A:$A,CSV!F:F,""),
_xlpm.MacVal,_xlfn.XLOOKUP($A668,Output_Mac!$A:$A,Output_Mac!E:E,""),
_xlpm.MyAuditVal,_xlfn.XLOOKUP($A668,My_Audit!$A:$A,My_Audit!E:E,""),
_xlfn.IFS(_xlpm.MyAuditVal&lt;&gt;"",_xlpm.MyAuditVal,_xlpm.MacVal&lt;&gt;"",_xlpm.MacVal,_xlpm.CSVVal&lt;&gt;"",_xlpm.CSVVal
)),"")</f>
        <v/>
      </c>
      <c r="G668" s="2" t="str" cm="1">
        <f t="array" ref="G668">IFERROR(_xlfn.LET(
_xlpm.CSVVal,_xlfn.XLOOKUP($A668,CSV!$A:$A,CSV!G:G,""),
_xlpm.MacVal,_xlfn.XLOOKUP($A668,Output_Mac!$A:$A,Output_Mac!F:F,""),
_xlpm.MyAuditVal,_xlfn.XLOOKUP($A668,My_Audit!$A:$A,My_Audit!F:F,""),
_xlfn.IFS(_xlpm.MyAuditVal&lt;&gt;"",_xlpm.MyAuditVal,_xlpm.MacVal&lt;&gt;"",_xlpm.MacVal,_xlpm.CSVVal&lt;&gt;"",PROPER(_xlpm.CSVVal)
)),"")</f>
        <v/>
      </c>
      <c r="H668" s="2" t="str" cm="1">
        <f t="array" ref="H668">IFERROR(_xlfn.LET(
_xlpm.CSVVal,_xlfn.XLOOKUP($A668,CSV!$A:$A,CSV!H:H,""),
_xlpm.MacVal,_xlfn.XLOOKUP($A668,Output_Mac!$A:$A,Output_Mac!H:H,""),
_xlpm.MyAuditVal,_xlfn.XLOOKUP($A668,My_Audit!$A:$A,My_Audit!G:G,""),
_xlfn.IFS(_xlpm.MyAuditVal&lt;&gt;"",_xlpm.MyAuditVal,_xlpm.MacVal&lt;&gt;"",_xlpm.MacVal,_xlpm.CSVVal&lt;&gt;"",_xlpm.CSVVal
)),"")</f>
        <v/>
      </c>
      <c r="I668" s="2" t="str">
        <f>_xlfn.XLOOKUP(A668,Output_Mac!A:A,Output_Mac!I:I,"")</f>
        <v/>
      </c>
      <c r="J668" s="2" t="str" cm="1">
        <f t="array" ref="J668">IFERROR(_xlfn.LET(
_xlpm.CSVVal,_xlfn.XLOOKUP($A668,CSV!$A:$A,CSV!I:I,""),
_xlpm.MacVal,_xlfn.XLOOKUP($A668,Output_Mac!$A:$A,Output_Mac!J:J,""),
_xlpm.MyAuditVal,_xlfn.XLOOKUP($A668,My_Audit!$A:$A,My_Audit!I:I,""),
_xlfn.IFS(_xlpm.MyAuditVal&lt;&gt;"",UPPER(_xlpm.MyAuditVal),_xlpm.MacVal&lt;&gt;"",_xlpm.MacVal,_xlpm.CSVVal&lt;&gt;"",_xlpm.CSVVal
)),"")</f>
        <v/>
      </c>
      <c r="K668" s="2" t="str" cm="1">
        <f t="array" ref="K668">IFERROR(_xlfn.LET(
_xlpm.CSVVal,_xlfn.XLOOKUP($A668,CSV!$A:$A,CSV!K:K,""),
_xlpm.MacVal,_xlfn.XLOOKUP($A668,Output_Mac!$A:$A,Output_Mac!K:K,""),
_xlpm.MyAuditVal,_xlfn.XLOOKUP($A668,My_Audit!$A:$A,My_Audit!J:J,""),
_xlfn.IFS(_xlpm.MyAuditVal&lt;&gt;"",UPPER(_xlpm.MyAuditVal),_xlpm.MacVal&lt;&gt;"",_xlpm.MacVal,_xlpm.CSVVal&lt;&gt;"",_xlpm.CSVVal
)),"")</f>
        <v/>
      </c>
      <c r="L668" s="2" t="str" cm="1">
        <f t="array" ref="L668">IFERROR(_xlfn.LET(
_xlpm.CSVVal,_xlfn.XLOOKUP($A668,CSV!$A:$A,CSV!P:P,""),
_xlpm.MacVal,_xlfn.XLOOKUP($A668,Output_Mac!$A:$A,Output_Mac!L:L,""),
_xlpm.MyAuditVal,_xlfn.XLOOKUP($A668,My_Audit!$A:$A,My_Audit!K:K,""),
_xlfn.IFS(_xlpm.MyAuditVal&lt;&gt;"",UPPER(_xlpm.MyAuditVal),_xlpm.MacVal&lt;&gt;"",_xlpm.MacVal,_xlpm.CSVVal&lt;&gt;"",_xlpm.CSVVal
)),"")</f>
        <v/>
      </c>
      <c r="M668" s="2" t="str" cm="1">
        <f t="array" ref="M668">IFERROR(_xlfn.LET(
_xlpm.CSVVal,_xlfn.XLOOKUP($A668,CSV!$A:$A,CSV!Q:Q,""),
_xlpm.MacVal,_xlfn.XLOOKUP($A668,Output_Mac!$A:$A,Output_Mac!M:M,""),
_xlpm.MyAuditVal,_xlfn.XLOOKUP($A668,My_Audit!$A:$A,My_Audit!L:L,""),
_xlfn.IFS(_xlpm.MyAuditVal&lt;&gt;"",UPPER(_xlpm.MyAuditVal),_xlpm.MacVal&lt;&gt;"",_xlpm.MacVal,_xlpm.CSVVal&lt;&gt;"",_xlpm.CSVVal
)),"")</f>
        <v/>
      </c>
      <c r="O668" s="2" t="str">
        <f>_xlfn.LET(
    _xlpm.CSVVal, _xlfn.XLOOKUP($A668, CSV!$A:$A, CSV!AF:AF, ""),
    _xlpm.MacVal, _xlfn.XLOOKUP($A668, Output_Mac!$A:$A, Output_Mac!S:S, ""),
    _xlpm.MyAuditVal, _xlfn.XLOOKUP($A668, My_Audit!$A:$A, My_Audit!P:P, ""),
    _xlfn.TEXTJOIN(", ", TRUE, _xlpm.MyAuditVal, _xlpm.MacVal, _xlpm.CSVVal)
)</f>
        <v/>
      </c>
      <c r="P668" s="2" t="str" cm="1">
        <f t="array" ref="P668">IFERROR(_xlfn.LET(
_xlpm.CSVVal,_xlfn.XLOOKUP($A668,CSV!$A:$A,CSV!AG:AG,""),
_xlpm.MacVal,_xlfn.XLOOKUP($A668,Output_Mac!$A:$A,Output_Mac!T:T,""),
_xlpm.MyAuditVal,_xlfn.XLOOKUP($A668,My_Audit!$A:$A,My_Audit!Q:Q,""),
_xlfn.IFS(_xlpm.MyAuditVal&lt;&gt;"",UPPER(_xlpm.MyAuditVal),_xlpm.MacVal&lt;&gt;"",_xlpm.MacVal,_xlpm.CSVVal&lt;&gt;"",_xlpm.CSVVal
)),"No")</f>
        <v>No</v>
      </c>
      <c r="Q668" s="2" t="str" cm="1">
        <f t="array" ref="Q668">IFERROR(_xlfn.LET(
_xlpm.CSVVal,_xlfn.XLOOKUP($A668,CSV!$A:$A,CSV!AH:AH,""),
_xlpm.MacVal,_xlfn.XLOOKUP($A668,Output_Mac!$A:$A,Output_Mac!U:U,""),
_xlpm.MyAuditVal,_xlfn.XLOOKUP($A668,My_Audit!$A:$A,My_Audit!R:R,""),
_xlfn.IFS(_xlpm.MyAuditVal&lt;&gt;"",UPPER(_xlpm.MyAuditVal),_xlpm.MacVal&lt;&gt;"",_xlpm.MacVal,_xlpm.CSVVal&lt;&gt;"",_xlpm.CSVVal
)),"")</f>
        <v/>
      </c>
    </row>
    <row r="669" spans="1:17">
      <c r="A669" s="2" t="str">
        <f>_xlfn.TEXTJOIN("",TRUE,Input!$B$2,ROW(My_Audit!A668))</f>
        <v>XX668</v>
      </c>
      <c r="B669" s="2" t="str">
        <f>_xlfn.TEXTJOIN("-",TRUE,"ITD",Input!$A$2,A669)</f>
        <v>ITD-SHRXXX-XX668</v>
      </c>
      <c r="C669" s="2" t="str" cm="1">
        <f t="array" ref="C669">IFERROR(_xlfn.LET(
_xlpm.CSVVal,_xlfn.XLOOKUP($A669,CSV!$A:$A,CSV!B:B,""),
_xlpm.MacVal,_xlfn.XLOOKUP($A669,Output_Mac!$A:$A,Output_Mac!B:B,""),
_xlpm.MyAuditVal,_xlfn.XLOOKUP($A669,My_Audit!$A:$A,My_Audit!B:B,""),
_xlfn.IFS(_xlpm.MyAuditVal&lt;&gt;"",UPPER(_xlpm.MyAuditVal),_xlpm.MacVal&lt;&gt;"",_xlpm.MacVal,_xlpm.CSVVal&lt;&gt;"",_xlpm.CSVVal
)),"")</f>
        <v/>
      </c>
      <c r="D669" s="2" t="str" cm="1">
        <f t="array" ref="D669">IFERROR(_xlfn.LET(
_xlpm.CSVVal,_xlfn.XLOOKUP($A669,CSV!$A:$A,CSV!D:D,""),
_xlpm.MacVal,_xlfn.XLOOKUP($A669,Output_Mac!$A:$A,Output_Mac!C:C,""),
_xlpm.MyAuditVal,_xlfn.XLOOKUP($A669,My_Audit!$A:$A,My_Audit!C:C,""),
_xlfn.IFS(_xlpm.MyAuditVal&lt;&gt;"",_xlpm.MyAuditVal,_xlpm.MacVal&lt;&gt;"",_xlpm.MacVal,_xlpm.CSVVal&lt;&gt;"",_xlpm.CSVVal
)),"")</f>
        <v/>
      </c>
      <c r="E669" s="2" t="str">
        <f>_xlfn.XLOOKUP(A669,My_Audit!A:A,My_Audit!D:D,"")&amp;""</f>
        <v/>
      </c>
      <c r="F669" s="2" t="str" cm="1">
        <f t="array" ref="F669">IFERROR(_xlfn.LET(
_xlpm.CSVVal,_xlfn.XLOOKUP($A669,CSV!$A:$A,CSV!F:F,""),
_xlpm.MacVal,_xlfn.XLOOKUP($A669,Output_Mac!$A:$A,Output_Mac!E:E,""),
_xlpm.MyAuditVal,_xlfn.XLOOKUP($A669,My_Audit!$A:$A,My_Audit!E:E,""),
_xlfn.IFS(_xlpm.MyAuditVal&lt;&gt;"",_xlpm.MyAuditVal,_xlpm.MacVal&lt;&gt;"",_xlpm.MacVal,_xlpm.CSVVal&lt;&gt;"",_xlpm.CSVVal
)),"")</f>
        <v/>
      </c>
      <c r="G669" s="2" t="str" cm="1">
        <f t="array" ref="G669">IFERROR(_xlfn.LET(
_xlpm.CSVVal,_xlfn.XLOOKUP($A669,CSV!$A:$A,CSV!G:G,""),
_xlpm.MacVal,_xlfn.XLOOKUP($A669,Output_Mac!$A:$A,Output_Mac!F:F,""),
_xlpm.MyAuditVal,_xlfn.XLOOKUP($A669,My_Audit!$A:$A,My_Audit!F:F,""),
_xlfn.IFS(_xlpm.MyAuditVal&lt;&gt;"",_xlpm.MyAuditVal,_xlpm.MacVal&lt;&gt;"",_xlpm.MacVal,_xlpm.CSVVal&lt;&gt;"",PROPER(_xlpm.CSVVal)
)),"")</f>
        <v/>
      </c>
      <c r="H669" s="2" t="str" cm="1">
        <f t="array" ref="H669">IFERROR(_xlfn.LET(
_xlpm.CSVVal,_xlfn.XLOOKUP($A669,CSV!$A:$A,CSV!H:H,""),
_xlpm.MacVal,_xlfn.XLOOKUP($A669,Output_Mac!$A:$A,Output_Mac!H:H,""),
_xlpm.MyAuditVal,_xlfn.XLOOKUP($A669,My_Audit!$A:$A,My_Audit!G:G,""),
_xlfn.IFS(_xlpm.MyAuditVal&lt;&gt;"",_xlpm.MyAuditVal,_xlpm.MacVal&lt;&gt;"",_xlpm.MacVal,_xlpm.CSVVal&lt;&gt;"",_xlpm.CSVVal
)),"")</f>
        <v/>
      </c>
      <c r="I669" s="2" t="str">
        <f>_xlfn.XLOOKUP(A669,Output_Mac!A:A,Output_Mac!I:I,"")</f>
        <v/>
      </c>
      <c r="J669" s="2" t="str" cm="1">
        <f t="array" ref="J669">IFERROR(_xlfn.LET(
_xlpm.CSVVal,_xlfn.XLOOKUP($A669,CSV!$A:$A,CSV!I:I,""),
_xlpm.MacVal,_xlfn.XLOOKUP($A669,Output_Mac!$A:$A,Output_Mac!J:J,""),
_xlpm.MyAuditVal,_xlfn.XLOOKUP($A669,My_Audit!$A:$A,My_Audit!I:I,""),
_xlfn.IFS(_xlpm.MyAuditVal&lt;&gt;"",UPPER(_xlpm.MyAuditVal),_xlpm.MacVal&lt;&gt;"",_xlpm.MacVal,_xlpm.CSVVal&lt;&gt;"",_xlpm.CSVVal
)),"")</f>
        <v/>
      </c>
      <c r="K669" s="2" t="str" cm="1">
        <f t="array" ref="K669">IFERROR(_xlfn.LET(
_xlpm.CSVVal,_xlfn.XLOOKUP($A669,CSV!$A:$A,CSV!K:K,""),
_xlpm.MacVal,_xlfn.XLOOKUP($A669,Output_Mac!$A:$A,Output_Mac!K:K,""),
_xlpm.MyAuditVal,_xlfn.XLOOKUP($A669,My_Audit!$A:$A,My_Audit!J:J,""),
_xlfn.IFS(_xlpm.MyAuditVal&lt;&gt;"",UPPER(_xlpm.MyAuditVal),_xlpm.MacVal&lt;&gt;"",_xlpm.MacVal,_xlpm.CSVVal&lt;&gt;"",_xlpm.CSVVal
)),"")</f>
        <v/>
      </c>
      <c r="L669" s="2" t="str" cm="1">
        <f t="array" ref="L669">IFERROR(_xlfn.LET(
_xlpm.CSVVal,_xlfn.XLOOKUP($A669,CSV!$A:$A,CSV!P:P,""),
_xlpm.MacVal,_xlfn.XLOOKUP($A669,Output_Mac!$A:$A,Output_Mac!L:L,""),
_xlpm.MyAuditVal,_xlfn.XLOOKUP($A669,My_Audit!$A:$A,My_Audit!K:K,""),
_xlfn.IFS(_xlpm.MyAuditVal&lt;&gt;"",UPPER(_xlpm.MyAuditVal),_xlpm.MacVal&lt;&gt;"",_xlpm.MacVal,_xlpm.CSVVal&lt;&gt;"",_xlpm.CSVVal
)),"")</f>
        <v/>
      </c>
      <c r="M669" s="2" t="str" cm="1">
        <f t="array" ref="M669">IFERROR(_xlfn.LET(
_xlpm.CSVVal,_xlfn.XLOOKUP($A669,CSV!$A:$A,CSV!Q:Q,""),
_xlpm.MacVal,_xlfn.XLOOKUP($A669,Output_Mac!$A:$A,Output_Mac!M:M,""),
_xlpm.MyAuditVal,_xlfn.XLOOKUP($A669,My_Audit!$A:$A,My_Audit!L:L,""),
_xlfn.IFS(_xlpm.MyAuditVal&lt;&gt;"",UPPER(_xlpm.MyAuditVal),_xlpm.MacVal&lt;&gt;"",_xlpm.MacVal,_xlpm.CSVVal&lt;&gt;"",_xlpm.CSVVal
)),"")</f>
        <v/>
      </c>
      <c r="O669" s="2" t="str">
        <f>_xlfn.LET(
    _xlpm.CSVVal, _xlfn.XLOOKUP($A669, CSV!$A:$A, CSV!AF:AF, ""),
    _xlpm.MacVal, _xlfn.XLOOKUP($A669, Output_Mac!$A:$A, Output_Mac!S:S, ""),
    _xlpm.MyAuditVal, _xlfn.XLOOKUP($A669, My_Audit!$A:$A, My_Audit!P:P, ""),
    _xlfn.TEXTJOIN(", ", TRUE, _xlpm.MyAuditVal, _xlpm.MacVal, _xlpm.CSVVal)
)</f>
        <v/>
      </c>
      <c r="P669" s="2" t="str" cm="1">
        <f t="array" ref="P669">IFERROR(_xlfn.LET(
_xlpm.CSVVal,_xlfn.XLOOKUP($A669,CSV!$A:$A,CSV!AG:AG,""),
_xlpm.MacVal,_xlfn.XLOOKUP($A669,Output_Mac!$A:$A,Output_Mac!T:T,""),
_xlpm.MyAuditVal,_xlfn.XLOOKUP($A669,My_Audit!$A:$A,My_Audit!Q:Q,""),
_xlfn.IFS(_xlpm.MyAuditVal&lt;&gt;"",UPPER(_xlpm.MyAuditVal),_xlpm.MacVal&lt;&gt;"",_xlpm.MacVal,_xlpm.CSVVal&lt;&gt;"",_xlpm.CSVVal
)),"No")</f>
        <v>No</v>
      </c>
      <c r="Q669" s="2" t="str" cm="1">
        <f t="array" ref="Q669">IFERROR(_xlfn.LET(
_xlpm.CSVVal,_xlfn.XLOOKUP($A669,CSV!$A:$A,CSV!AH:AH,""),
_xlpm.MacVal,_xlfn.XLOOKUP($A669,Output_Mac!$A:$A,Output_Mac!U:U,""),
_xlpm.MyAuditVal,_xlfn.XLOOKUP($A669,My_Audit!$A:$A,My_Audit!R:R,""),
_xlfn.IFS(_xlpm.MyAuditVal&lt;&gt;"",UPPER(_xlpm.MyAuditVal),_xlpm.MacVal&lt;&gt;"",_xlpm.MacVal,_xlpm.CSVVal&lt;&gt;"",_xlpm.CSVVal
)),"")</f>
        <v/>
      </c>
    </row>
    <row r="670" spans="1:17">
      <c r="A670" s="2" t="str">
        <f>_xlfn.TEXTJOIN("",TRUE,Input!$B$2,ROW(My_Audit!A669))</f>
        <v>XX669</v>
      </c>
      <c r="B670" s="2" t="str">
        <f>_xlfn.TEXTJOIN("-",TRUE,"ITD",Input!$A$2,A670)</f>
        <v>ITD-SHRXXX-XX669</v>
      </c>
      <c r="C670" s="2" t="str" cm="1">
        <f t="array" ref="C670">IFERROR(_xlfn.LET(
_xlpm.CSVVal,_xlfn.XLOOKUP($A670,CSV!$A:$A,CSV!B:B,""),
_xlpm.MacVal,_xlfn.XLOOKUP($A670,Output_Mac!$A:$A,Output_Mac!B:B,""),
_xlpm.MyAuditVal,_xlfn.XLOOKUP($A670,My_Audit!$A:$A,My_Audit!B:B,""),
_xlfn.IFS(_xlpm.MyAuditVal&lt;&gt;"",UPPER(_xlpm.MyAuditVal),_xlpm.MacVal&lt;&gt;"",_xlpm.MacVal,_xlpm.CSVVal&lt;&gt;"",_xlpm.CSVVal
)),"")</f>
        <v/>
      </c>
      <c r="D670" s="2" t="str" cm="1">
        <f t="array" ref="D670">IFERROR(_xlfn.LET(
_xlpm.CSVVal,_xlfn.XLOOKUP($A670,CSV!$A:$A,CSV!D:D,""),
_xlpm.MacVal,_xlfn.XLOOKUP($A670,Output_Mac!$A:$A,Output_Mac!C:C,""),
_xlpm.MyAuditVal,_xlfn.XLOOKUP($A670,My_Audit!$A:$A,My_Audit!C:C,""),
_xlfn.IFS(_xlpm.MyAuditVal&lt;&gt;"",_xlpm.MyAuditVal,_xlpm.MacVal&lt;&gt;"",_xlpm.MacVal,_xlpm.CSVVal&lt;&gt;"",_xlpm.CSVVal
)),"")</f>
        <v/>
      </c>
      <c r="E670" s="2" t="str">
        <f>_xlfn.XLOOKUP(A670,My_Audit!A:A,My_Audit!D:D,"")&amp;""</f>
        <v/>
      </c>
      <c r="F670" s="2" t="str" cm="1">
        <f t="array" ref="F670">IFERROR(_xlfn.LET(
_xlpm.CSVVal,_xlfn.XLOOKUP($A670,CSV!$A:$A,CSV!F:F,""),
_xlpm.MacVal,_xlfn.XLOOKUP($A670,Output_Mac!$A:$A,Output_Mac!E:E,""),
_xlpm.MyAuditVal,_xlfn.XLOOKUP($A670,My_Audit!$A:$A,My_Audit!E:E,""),
_xlfn.IFS(_xlpm.MyAuditVal&lt;&gt;"",_xlpm.MyAuditVal,_xlpm.MacVal&lt;&gt;"",_xlpm.MacVal,_xlpm.CSVVal&lt;&gt;"",_xlpm.CSVVal
)),"")</f>
        <v/>
      </c>
      <c r="G670" s="2" t="str" cm="1">
        <f t="array" ref="G670">IFERROR(_xlfn.LET(
_xlpm.CSVVal,_xlfn.XLOOKUP($A670,CSV!$A:$A,CSV!G:G,""),
_xlpm.MacVal,_xlfn.XLOOKUP($A670,Output_Mac!$A:$A,Output_Mac!F:F,""),
_xlpm.MyAuditVal,_xlfn.XLOOKUP($A670,My_Audit!$A:$A,My_Audit!F:F,""),
_xlfn.IFS(_xlpm.MyAuditVal&lt;&gt;"",_xlpm.MyAuditVal,_xlpm.MacVal&lt;&gt;"",_xlpm.MacVal,_xlpm.CSVVal&lt;&gt;"",PROPER(_xlpm.CSVVal)
)),"")</f>
        <v/>
      </c>
      <c r="H670" s="2" t="str" cm="1">
        <f t="array" ref="H670">IFERROR(_xlfn.LET(
_xlpm.CSVVal,_xlfn.XLOOKUP($A670,CSV!$A:$A,CSV!H:H,""),
_xlpm.MacVal,_xlfn.XLOOKUP($A670,Output_Mac!$A:$A,Output_Mac!H:H,""),
_xlpm.MyAuditVal,_xlfn.XLOOKUP($A670,My_Audit!$A:$A,My_Audit!G:G,""),
_xlfn.IFS(_xlpm.MyAuditVal&lt;&gt;"",_xlpm.MyAuditVal,_xlpm.MacVal&lt;&gt;"",_xlpm.MacVal,_xlpm.CSVVal&lt;&gt;"",_xlpm.CSVVal
)),"")</f>
        <v/>
      </c>
      <c r="I670" s="2" t="str">
        <f>_xlfn.XLOOKUP(A670,Output_Mac!A:A,Output_Mac!I:I,"")</f>
        <v/>
      </c>
      <c r="J670" s="2" t="str" cm="1">
        <f t="array" ref="J670">IFERROR(_xlfn.LET(
_xlpm.CSVVal,_xlfn.XLOOKUP($A670,CSV!$A:$A,CSV!I:I,""),
_xlpm.MacVal,_xlfn.XLOOKUP($A670,Output_Mac!$A:$A,Output_Mac!J:J,""),
_xlpm.MyAuditVal,_xlfn.XLOOKUP($A670,My_Audit!$A:$A,My_Audit!I:I,""),
_xlfn.IFS(_xlpm.MyAuditVal&lt;&gt;"",UPPER(_xlpm.MyAuditVal),_xlpm.MacVal&lt;&gt;"",_xlpm.MacVal,_xlpm.CSVVal&lt;&gt;"",_xlpm.CSVVal
)),"")</f>
        <v/>
      </c>
      <c r="K670" s="2" t="str" cm="1">
        <f t="array" ref="K670">IFERROR(_xlfn.LET(
_xlpm.CSVVal,_xlfn.XLOOKUP($A670,CSV!$A:$A,CSV!K:K,""),
_xlpm.MacVal,_xlfn.XLOOKUP($A670,Output_Mac!$A:$A,Output_Mac!K:K,""),
_xlpm.MyAuditVal,_xlfn.XLOOKUP($A670,My_Audit!$A:$A,My_Audit!J:J,""),
_xlfn.IFS(_xlpm.MyAuditVal&lt;&gt;"",UPPER(_xlpm.MyAuditVal),_xlpm.MacVal&lt;&gt;"",_xlpm.MacVal,_xlpm.CSVVal&lt;&gt;"",_xlpm.CSVVal
)),"")</f>
        <v/>
      </c>
      <c r="L670" s="2" t="str" cm="1">
        <f t="array" ref="L670">IFERROR(_xlfn.LET(
_xlpm.CSVVal,_xlfn.XLOOKUP($A670,CSV!$A:$A,CSV!P:P,""),
_xlpm.MacVal,_xlfn.XLOOKUP($A670,Output_Mac!$A:$A,Output_Mac!L:L,""),
_xlpm.MyAuditVal,_xlfn.XLOOKUP($A670,My_Audit!$A:$A,My_Audit!K:K,""),
_xlfn.IFS(_xlpm.MyAuditVal&lt;&gt;"",UPPER(_xlpm.MyAuditVal),_xlpm.MacVal&lt;&gt;"",_xlpm.MacVal,_xlpm.CSVVal&lt;&gt;"",_xlpm.CSVVal
)),"")</f>
        <v/>
      </c>
      <c r="M670" s="2" t="str" cm="1">
        <f t="array" ref="M670">IFERROR(_xlfn.LET(
_xlpm.CSVVal,_xlfn.XLOOKUP($A670,CSV!$A:$A,CSV!Q:Q,""),
_xlpm.MacVal,_xlfn.XLOOKUP($A670,Output_Mac!$A:$A,Output_Mac!M:M,""),
_xlpm.MyAuditVal,_xlfn.XLOOKUP($A670,My_Audit!$A:$A,My_Audit!L:L,""),
_xlfn.IFS(_xlpm.MyAuditVal&lt;&gt;"",UPPER(_xlpm.MyAuditVal),_xlpm.MacVal&lt;&gt;"",_xlpm.MacVal,_xlpm.CSVVal&lt;&gt;"",_xlpm.CSVVal
)),"")</f>
        <v/>
      </c>
      <c r="O670" s="2" t="str">
        <f>_xlfn.LET(
    _xlpm.CSVVal, _xlfn.XLOOKUP($A670, CSV!$A:$A, CSV!AF:AF, ""),
    _xlpm.MacVal, _xlfn.XLOOKUP($A670, Output_Mac!$A:$A, Output_Mac!S:S, ""),
    _xlpm.MyAuditVal, _xlfn.XLOOKUP($A670, My_Audit!$A:$A, My_Audit!P:P, ""),
    _xlfn.TEXTJOIN(", ", TRUE, _xlpm.MyAuditVal, _xlpm.MacVal, _xlpm.CSVVal)
)</f>
        <v/>
      </c>
      <c r="P670" s="2" t="str" cm="1">
        <f t="array" ref="P670">IFERROR(_xlfn.LET(
_xlpm.CSVVal,_xlfn.XLOOKUP($A670,CSV!$A:$A,CSV!AG:AG,""),
_xlpm.MacVal,_xlfn.XLOOKUP($A670,Output_Mac!$A:$A,Output_Mac!T:T,""),
_xlpm.MyAuditVal,_xlfn.XLOOKUP($A670,My_Audit!$A:$A,My_Audit!Q:Q,""),
_xlfn.IFS(_xlpm.MyAuditVal&lt;&gt;"",UPPER(_xlpm.MyAuditVal),_xlpm.MacVal&lt;&gt;"",_xlpm.MacVal,_xlpm.CSVVal&lt;&gt;"",_xlpm.CSVVal
)),"No")</f>
        <v>No</v>
      </c>
      <c r="Q670" s="2" t="str" cm="1">
        <f t="array" ref="Q670">IFERROR(_xlfn.LET(
_xlpm.CSVVal,_xlfn.XLOOKUP($A670,CSV!$A:$A,CSV!AH:AH,""),
_xlpm.MacVal,_xlfn.XLOOKUP($A670,Output_Mac!$A:$A,Output_Mac!U:U,""),
_xlpm.MyAuditVal,_xlfn.XLOOKUP($A670,My_Audit!$A:$A,My_Audit!R:R,""),
_xlfn.IFS(_xlpm.MyAuditVal&lt;&gt;"",UPPER(_xlpm.MyAuditVal),_xlpm.MacVal&lt;&gt;"",_xlpm.MacVal,_xlpm.CSVVal&lt;&gt;"",_xlpm.CSVVal
)),"")</f>
        <v/>
      </c>
    </row>
    <row r="671" spans="1:17">
      <c r="A671" s="2" t="str">
        <f>_xlfn.TEXTJOIN("",TRUE,Input!$B$2,ROW(My_Audit!A670))</f>
        <v>XX670</v>
      </c>
      <c r="B671" s="2" t="str">
        <f>_xlfn.TEXTJOIN("-",TRUE,"ITD",Input!$A$2,A671)</f>
        <v>ITD-SHRXXX-XX670</v>
      </c>
      <c r="C671" s="2" t="str" cm="1">
        <f t="array" ref="C671">IFERROR(_xlfn.LET(
_xlpm.CSVVal,_xlfn.XLOOKUP($A671,CSV!$A:$A,CSV!B:B,""),
_xlpm.MacVal,_xlfn.XLOOKUP($A671,Output_Mac!$A:$A,Output_Mac!B:B,""),
_xlpm.MyAuditVal,_xlfn.XLOOKUP($A671,My_Audit!$A:$A,My_Audit!B:B,""),
_xlfn.IFS(_xlpm.MyAuditVal&lt;&gt;"",UPPER(_xlpm.MyAuditVal),_xlpm.MacVal&lt;&gt;"",_xlpm.MacVal,_xlpm.CSVVal&lt;&gt;"",_xlpm.CSVVal
)),"")</f>
        <v/>
      </c>
      <c r="D671" s="2" t="str" cm="1">
        <f t="array" ref="D671">IFERROR(_xlfn.LET(
_xlpm.CSVVal,_xlfn.XLOOKUP($A671,CSV!$A:$A,CSV!D:D,""),
_xlpm.MacVal,_xlfn.XLOOKUP($A671,Output_Mac!$A:$A,Output_Mac!C:C,""),
_xlpm.MyAuditVal,_xlfn.XLOOKUP($A671,My_Audit!$A:$A,My_Audit!C:C,""),
_xlfn.IFS(_xlpm.MyAuditVal&lt;&gt;"",_xlpm.MyAuditVal,_xlpm.MacVal&lt;&gt;"",_xlpm.MacVal,_xlpm.CSVVal&lt;&gt;"",_xlpm.CSVVal
)),"")</f>
        <v/>
      </c>
      <c r="E671" s="2" t="str">
        <f>_xlfn.XLOOKUP(A671,My_Audit!A:A,My_Audit!D:D,"")&amp;""</f>
        <v/>
      </c>
      <c r="F671" s="2" t="str" cm="1">
        <f t="array" ref="F671">IFERROR(_xlfn.LET(
_xlpm.CSVVal,_xlfn.XLOOKUP($A671,CSV!$A:$A,CSV!F:F,""),
_xlpm.MacVal,_xlfn.XLOOKUP($A671,Output_Mac!$A:$A,Output_Mac!E:E,""),
_xlpm.MyAuditVal,_xlfn.XLOOKUP($A671,My_Audit!$A:$A,My_Audit!E:E,""),
_xlfn.IFS(_xlpm.MyAuditVal&lt;&gt;"",_xlpm.MyAuditVal,_xlpm.MacVal&lt;&gt;"",_xlpm.MacVal,_xlpm.CSVVal&lt;&gt;"",_xlpm.CSVVal
)),"")</f>
        <v/>
      </c>
      <c r="G671" s="2" t="str" cm="1">
        <f t="array" ref="G671">IFERROR(_xlfn.LET(
_xlpm.CSVVal,_xlfn.XLOOKUP($A671,CSV!$A:$A,CSV!G:G,""),
_xlpm.MacVal,_xlfn.XLOOKUP($A671,Output_Mac!$A:$A,Output_Mac!F:F,""),
_xlpm.MyAuditVal,_xlfn.XLOOKUP($A671,My_Audit!$A:$A,My_Audit!F:F,""),
_xlfn.IFS(_xlpm.MyAuditVal&lt;&gt;"",_xlpm.MyAuditVal,_xlpm.MacVal&lt;&gt;"",_xlpm.MacVal,_xlpm.CSVVal&lt;&gt;"",PROPER(_xlpm.CSVVal)
)),"")</f>
        <v/>
      </c>
      <c r="H671" s="2" t="str" cm="1">
        <f t="array" ref="H671">IFERROR(_xlfn.LET(
_xlpm.CSVVal,_xlfn.XLOOKUP($A671,CSV!$A:$A,CSV!H:H,""),
_xlpm.MacVal,_xlfn.XLOOKUP($A671,Output_Mac!$A:$A,Output_Mac!H:H,""),
_xlpm.MyAuditVal,_xlfn.XLOOKUP($A671,My_Audit!$A:$A,My_Audit!G:G,""),
_xlfn.IFS(_xlpm.MyAuditVal&lt;&gt;"",_xlpm.MyAuditVal,_xlpm.MacVal&lt;&gt;"",_xlpm.MacVal,_xlpm.CSVVal&lt;&gt;"",_xlpm.CSVVal
)),"")</f>
        <v/>
      </c>
      <c r="I671" s="2" t="str">
        <f>_xlfn.XLOOKUP(A671,Output_Mac!A:A,Output_Mac!I:I,"")</f>
        <v/>
      </c>
      <c r="J671" s="2" t="str" cm="1">
        <f t="array" ref="J671">IFERROR(_xlfn.LET(
_xlpm.CSVVal,_xlfn.XLOOKUP($A671,CSV!$A:$A,CSV!I:I,""),
_xlpm.MacVal,_xlfn.XLOOKUP($A671,Output_Mac!$A:$A,Output_Mac!J:J,""),
_xlpm.MyAuditVal,_xlfn.XLOOKUP($A671,My_Audit!$A:$A,My_Audit!I:I,""),
_xlfn.IFS(_xlpm.MyAuditVal&lt;&gt;"",UPPER(_xlpm.MyAuditVal),_xlpm.MacVal&lt;&gt;"",_xlpm.MacVal,_xlpm.CSVVal&lt;&gt;"",_xlpm.CSVVal
)),"")</f>
        <v/>
      </c>
      <c r="K671" s="2" t="str" cm="1">
        <f t="array" ref="K671">IFERROR(_xlfn.LET(
_xlpm.CSVVal,_xlfn.XLOOKUP($A671,CSV!$A:$A,CSV!K:K,""),
_xlpm.MacVal,_xlfn.XLOOKUP($A671,Output_Mac!$A:$A,Output_Mac!K:K,""),
_xlpm.MyAuditVal,_xlfn.XLOOKUP($A671,My_Audit!$A:$A,My_Audit!J:J,""),
_xlfn.IFS(_xlpm.MyAuditVal&lt;&gt;"",UPPER(_xlpm.MyAuditVal),_xlpm.MacVal&lt;&gt;"",_xlpm.MacVal,_xlpm.CSVVal&lt;&gt;"",_xlpm.CSVVal
)),"")</f>
        <v/>
      </c>
      <c r="L671" s="2" t="str" cm="1">
        <f t="array" ref="L671">IFERROR(_xlfn.LET(
_xlpm.CSVVal,_xlfn.XLOOKUP($A671,CSV!$A:$A,CSV!P:P,""),
_xlpm.MacVal,_xlfn.XLOOKUP($A671,Output_Mac!$A:$A,Output_Mac!L:L,""),
_xlpm.MyAuditVal,_xlfn.XLOOKUP($A671,My_Audit!$A:$A,My_Audit!K:K,""),
_xlfn.IFS(_xlpm.MyAuditVal&lt;&gt;"",UPPER(_xlpm.MyAuditVal),_xlpm.MacVal&lt;&gt;"",_xlpm.MacVal,_xlpm.CSVVal&lt;&gt;"",_xlpm.CSVVal
)),"")</f>
        <v/>
      </c>
      <c r="M671" s="2" t="str" cm="1">
        <f t="array" ref="M671">IFERROR(_xlfn.LET(
_xlpm.CSVVal,_xlfn.XLOOKUP($A671,CSV!$A:$A,CSV!Q:Q,""),
_xlpm.MacVal,_xlfn.XLOOKUP($A671,Output_Mac!$A:$A,Output_Mac!M:M,""),
_xlpm.MyAuditVal,_xlfn.XLOOKUP($A671,My_Audit!$A:$A,My_Audit!L:L,""),
_xlfn.IFS(_xlpm.MyAuditVal&lt;&gt;"",UPPER(_xlpm.MyAuditVal),_xlpm.MacVal&lt;&gt;"",_xlpm.MacVal,_xlpm.CSVVal&lt;&gt;"",_xlpm.CSVVal
)),"")</f>
        <v/>
      </c>
      <c r="O671" s="2" t="str">
        <f>_xlfn.LET(
    _xlpm.CSVVal, _xlfn.XLOOKUP($A671, CSV!$A:$A, CSV!AF:AF, ""),
    _xlpm.MacVal, _xlfn.XLOOKUP($A671, Output_Mac!$A:$A, Output_Mac!S:S, ""),
    _xlpm.MyAuditVal, _xlfn.XLOOKUP($A671, My_Audit!$A:$A, My_Audit!P:P, ""),
    _xlfn.TEXTJOIN(", ", TRUE, _xlpm.MyAuditVal, _xlpm.MacVal, _xlpm.CSVVal)
)</f>
        <v/>
      </c>
      <c r="P671" s="2" t="str" cm="1">
        <f t="array" ref="P671">IFERROR(_xlfn.LET(
_xlpm.CSVVal,_xlfn.XLOOKUP($A671,CSV!$A:$A,CSV!AG:AG,""),
_xlpm.MacVal,_xlfn.XLOOKUP($A671,Output_Mac!$A:$A,Output_Mac!T:T,""),
_xlpm.MyAuditVal,_xlfn.XLOOKUP($A671,My_Audit!$A:$A,My_Audit!Q:Q,""),
_xlfn.IFS(_xlpm.MyAuditVal&lt;&gt;"",UPPER(_xlpm.MyAuditVal),_xlpm.MacVal&lt;&gt;"",_xlpm.MacVal,_xlpm.CSVVal&lt;&gt;"",_xlpm.CSVVal
)),"No")</f>
        <v>No</v>
      </c>
      <c r="Q671" s="2" t="str" cm="1">
        <f t="array" ref="Q671">IFERROR(_xlfn.LET(
_xlpm.CSVVal,_xlfn.XLOOKUP($A671,CSV!$A:$A,CSV!AH:AH,""),
_xlpm.MacVal,_xlfn.XLOOKUP($A671,Output_Mac!$A:$A,Output_Mac!U:U,""),
_xlpm.MyAuditVal,_xlfn.XLOOKUP($A671,My_Audit!$A:$A,My_Audit!R:R,""),
_xlfn.IFS(_xlpm.MyAuditVal&lt;&gt;"",UPPER(_xlpm.MyAuditVal),_xlpm.MacVal&lt;&gt;"",_xlpm.MacVal,_xlpm.CSVVal&lt;&gt;"",_xlpm.CSVVal
)),"")</f>
        <v/>
      </c>
    </row>
    <row r="672" spans="1:17">
      <c r="A672" s="2" t="str">
        <f>_xlfn.TEXTJOIN("",TRUE,Input!$B$2,ROW(My_Audit!A671))</f>
        <v>XX671</v>
      </c>
      <c r="B672" s="2" t="str">
        <f>_xlfn.TEXTJOIN("-",TRUE,"ITD",Input!$A$2,A672)</f>
        <v>ITD-SHRXXX-XX671</v>
      </c>
      <c r="C672" s="2" t="str" cm="1">
        <f t="array" ref="C672">IFERROR(_xlfn.LET(
_xlpm.CSVVal,_xlfn.XLOOKUP($A672,CSV!$A:$A,CSV!B:B,""),
_xlpm.MacVal,_xlfn.XLOOKUP($A672,Output_Mac!$A:$A,Output_Mac!B:B,""),
_xlpm.MyAuditVal,_xlfn.XLOOKUP($A672,My_Audit!$A:$A,My_Audit!B:B,""),
_xlfn.IFS(_xlpm.MyAuditVal&lt;&gt;"",UPPER(_xlpm.MyAuditVal),_xlpm.MacVal&lt;&gt;"",_xlpm.MacVal,_xlpm.CSVVal&lt;&gt;"",_xlpm.CSVVal
)),"")</f>
        <v/>
      </c>
      <c r="D672" s="2" t="str" cm="1">
        <f t="array" ref="D672">IFERROR(_xlfn.LET(
_xlpm.CSVVal,_xlfn.XLOOKUP($A672,CSV!$A:$A,CSV!D:D,""),
_xlpm.MacVal,_xlfn.XLOOKUP($A672,Output_Mac!$A:$A,Output_Mac!C:C,""),
_xlpm.MyAuditVal,_xlfn.XLOOKUP($A672,My_Audit!$A:$A,My_Audit!C:C,""),
_xlfn.IFS(_xlpm.MyAuditVal&lt;&gt;"",_xlpm.MyAuditVal,_xlpm.MacVal&lt;&gt;"",_xlpm.MacVal,_xlpm.CSVVal&lt;&gt;"",_xlpm.CSVVal
)),"")</f>
        <v/>
      </c>
      <c r="E672" s="2" t="str">
        <f>_xlfn.XLOOKUP(A672,My_Audit!A:A,My_Audit!D:D,"")&amp;""</f>
        <v/>
      </c>
      <c r="F672" s="2" t="str" cm="1">
        <f t="array" ref="F672">IFERROR(_xlfn.LET(
_xlpm.CSVVal,_xlfn.XLOOKUP($A672,CSV!$A:$A,CSV!F:F,""),
_xlpm.MacVal,_xlfn.XLOOKUP($A672,Output_Mac!$A:$A,Output_Mac!E:E,""),
_xlpm.MyAuditVal,_xlfn.XLOOKUP($A672,My_Audit!$A:$A,My_Audit!E:E,""),
_xlfn.IFS(_xlpm.MyAuditVal&lt;&gt;"",_xlpm.MyAuditVal,_xlpm.MacVal&lt;&gt;"",_xlpm.MacVal,_xlpm.CSVVal&lt;&gt;"",_xlpm.CSVVal
)),"")</f>
        <v/>
      </c>
      <c r="G672" s="2" t="str" cm="1">
        <f t="array" ref="G672">IFERROR(_xlfn.LET(
_xlpm.CSVVal,_xlfn.XLOOKUP($A672,CSV!$A:$A,CSV!G:G,""),
_xlpm.MacVal,_xlfn.XLOOKUP($A672,Output_Mac!$A:$A,Output_Mac!F:F,""),
_xlpm.MyAuditVal,_xlfn.XLOOKUP($A672,My_Audit!$A:$A,My_Audit!F:F,""),
_xlfn.IFS(_xlpm.MyAuditVal&lt;&gt;"",_xlpm.MyAuditVal,_xlpm.MacVal&lt;&gt;"",_xlpm.MacVal,_xlpm.CSVVal&lt;&gt;"",PROPER(_xlpm.CSVVal)
)),"")</f>
        <v/>
      </c>
      <c r="H672" s="2" t="str" cm="1">
        <f t="array" ref="H672">IFERROR(_xlfn.LET(
_xlpm.CSVVal,_xlfn.XLOOKUP($A672,CSV!$A:$A,CSV!H:H,""),
_xlpm.MacVal,_xlfn.XLOOKUP($A672,Output_Mac!$A:$A,Output_Mac!H:H,""),
_xlpm.MyAuditVal,_xlfn.XLOOKUP($A672,My_Audit!$A:$A,My_Audit!G:G,""),
_xlfn.IFS(_xlpm.MyAuditVal&lt;&gt;"",_xlpm.MyAuditVal,_xlpm.MacVal&lt;&gt;"",_xlpm.MacVal,_xlpm.CSVVal&lt;&gt;"",_xlpm.CSVVal
)),"")</f>
        <v/>
      </c>
      <c r="I672" s="2" t="str">
        <f>_xlfn.XLOOKUP(A672,Output_Mac!A:A,Output_Mac!I:I,"")</f>
        <v/>
      </c>
      <c r="J672" s="2" t="str" cm="1">
        <f t="array" ref="J672">IFERROR(_xlfn.LET(
_xlpm.CSVVal,_xlfn.XLOOKUP($A672,CSV!$A:$A,CSV!I:I,""),
_xlpm.MacVal,_xlfn.XLOOKUP($A672,Output_Mac!$A:$A,Output_Mac!J:J,""),
_xlpm.MyAuditVal,_xlfn.XLOOKUP($A672,My_Audit!$A:$A,My_Audit!I:I,""),
_xlfn.IFS(_xlpm.MyAuditVal&lt;&gt;"",UPPER(_xlpm.MyAuditVal),_xlpm.MacVal&lt;&gt;"",_xlpm.MacVal,_xlpm.CSVVal&lt;&gt;"",_xlpm.CSVVal
)),"")</f>
        <v/>
      </c>
      <c r="K672" s="2" t="str" cm="1">
        <f t="array" ref="K672">IFERROR(_xlfn.LET(
_xlpm.CSVVal,_xlfn.XLOOKUP($A672,CSV!$A:$A,CSV!K:K,""),
_xlpm.MacVal,_xlfn.XLOOKUP($A672,Output_Mac!$A:$A,Output_Mac!K:K,""),
_xlpm.MyAuditVal,_xlfn.XLOOKUP($A672,My_Audit!$A:$A,My_Audit!J:J,""),
_xlfn.IFS(_xlpm.MyAuditVal&lt;&gt;"",UPPER(_xlpm.MyAuditVal),_xlpm.MacVal&lt;&gt;"",_xlpm.MacVal,_xlpm.CSVVal&lt;&gt;"",_xlpm.CSVVal
)),"")</f>
        <v/>
      </c>
      <c r="L672" s="2" t="str" cm="1">
        <f t="array" ref="L672">IFERROR(_xlfn.LET(
_xlpm.CSVVal,_xlfn.XLOOKUP($A672,CSV!$A:$A,CSV!P:P,""),
_xlpm.MacVal,_xlfn.XLOOKUP($A672,Output_Mac!$A:$A,Output_Mac!L:L,""),
_xlpm.MyAuditVal,_xlfn.XLOOKUP($A672,My_Audit!$A:$A,My_Audit!K:K,""),
_xlfn.IFS(_xlpm.MyAuditVal&lt;&gt;"",UPPER(_xlpm.MyAuditVal),_xlpm.MacVal&lt;&gt;"",_xlpm.MacVal,_xlpm.CSVVal&lt;&gt;"",_xlpm.CSVVal
)),"")</f>
        <v/>
      </c>
      <c r="M672" s="2" t="str" cm="1">
        <f t="array" ref="M672">IFERROR(_xlfn.LET(
_xlpm.CSVVal,_xlfn.XLOOKUP($A672,CSV!$A:$A,CSV!Q:Q,""),
_xlpm.MacVal,_xlfn.XLOOKUP($A672,Output_Mac!$A:$A,Output_Mac!M:M,""),
_xlpm.MyAuditVal,_xlfn.XLOOKUP($A672,My_Audit!$A:$A,My_Audit!L:L,""),
_xlfn.IFS(_xlpm.MyAuditVal&lt;&gt;"",UPPER(_xlpm.MyAuditVal),_xlpm.MacVal&lt;&gt;"",_xlpm.MacVal,_xlpm.CSVVal&lt;&gt;"",_xlpm.CSVVal
)),"")</f>
        <v/>
      </c>
      <c r="O672" s="2" t="str">
        <f>_xlfn.LET(
    _xlpm.CSVVal, _xlfn.XLOOKUP($A672, CSV!$A:$A, CSV!AF:AF, ""),
    _xlpm.MacVal, _xlfn.XLOOKUP($A672, Output_Mac!$A:$A, Output_Mac!S:S, ""),
    _xlpm.MyAuditVal, _xlfn.XLOOKUP($A672, My_Audit!$A:$A, My_Audit!P:P, ""),
    _xlfn.TEXTJOIN(", ", TRUE, _xlpm.MyAuditVal, _xlpm.MacVal, _xlpm.CSVVal)
)</f>
        <v/>
      </c>
      <c r="P672" s="2" t="str" cm="1">
        <f t="array" ref="P672">IFERROR(_xlfn.LET(
_xlpm.CSVVal,_xlfn.XLOOKUP($A672,CSV!$A:$A,CSV!AG:AG,""),
_xlpm.MacVal,_xlfn.XLOOKUP($A672,Output_Mac!$A:$A,Output_Mac!T:T,""),
_xlpm.MyAuditVal,_xlfn.XLOOKUP($A672,My_Audit!$A:$A,My_Audit!Q:Q,""),
_xlfn.IFS(_xlpm.MyAuditVal&lt;&gt;"",UPPER(_xlpm.MyAuditVal),_xlpm.MacVal&lt;&gt;"",_xlpm.MacVal,_xlpm.CSVVal&lt;&gt;"",_xlpm.CSVVal
)),"No")</f>
        <v>No</v>
      </c>
      <c r="Q672" s="2" t="str" cm="1">
        <f t="array" ref="Q672">IFERROR(_xlfn.LET(
_xlpm.CSVVal,_xlfn.XLOOKUP($A672,CSV!$A:$A,CSV!AH:AH,""),
_xlpm.MacVal,_xlfn.XLOOKUP($A672,Output_Mac!$A:$A,Output_Mac!U:U,""),
_xlpm.MyAuditVal,_xlfn.XLOOKUP($A672,My_Audit!$A:$A,My_Audit!R:R,""),
_xlfn.IFS(_xlpm.MyAuditVal&lt;&gt;"",UPPER(_xlpm.MyAuditVal),_xlpm.MacVal&lt;&gt;"",_xlpm.MacVal,_xlpm.CSVVal&lt;&gt;"",_xlpm.CSVVal
)),"")</f>
        <v/>
      </c>
    </row>
    <row r="673" spans="1:17">
      <c r="A673" s="2" t="str">
        <f>_xlfn.TEXTJOIN("",TRUE,Input!$B$2,ROW(My_Audit!A672))</f>
        <v>XX672</v>
      </c>
      <c r="B673" s="2" t="str">
        <f>_xlfn.TEXTJOIN("-",TRUE,"ITD",Input!$A$2,A673)</f>
        <v>ITD-SHRXXX-XX672</v>
      </c>
      <c r="C673" s="2" t="str" cm="1">
        <f t="array" ref="C673">IFERROR(_xlfn.LET(
_xlpm.CSVVal,_xlfn.XLOOKUP($A673,CSV!$A:$A,CSV!B:B,""),
_xlpm.MacVal,_xlfn.XLOOKUP($A673,Output_Mac!$A:$A,Output_Mac!B:B,""),
_xlpm.MyAuditVal,_xlfn.XLOOKUP($A673,My_Audit!$A:$A,My_Audit!B:B,""),
_xlfn.IFS(_xlpm.MyAuditVal&lt;&gt;"",UPPER(_xlpm.MyAuditVal),_xlpm.MacVal&lt;&gt;"",_xlpm.MacVal,_xlpm.CSVVal&lt;&gt;"",_xlpm.CSVVal
)),"")</f>
        <v/>
      </c>
      <c r="D673" s="2" t="str" cm="1">
        <f t="array" ref="D673">IFERROR(_xlfn.LET(
_xlpm.CSVVal,_xlfn.XLOOKUP($A673,CSV!$A:$A,CSV!D:D,""),
_xlpm.MacVal,_xlfn.XLOOKUP($A673,Output_Mac!$A:$A,Output_Mac!C:C,""),
_xlpm.MyAuditVal,_xlfn.XLOOKUP($A673,My_Audit!$A:$A,My_Audit!C:C,""),
_xlfn.IFS(_xlpm.MyAuditVal&lt;&gt;"",_xlpm.MyAuditVal,_xlpm.MacVal&lt;&gt;"",_xlpm.MacVal,_xlpm.CSVVal&lt;&gt;"",_xlpm.CSVVal
)),"")</f>
        <v/>
      </c>
      <c r="E673" s="2" t="str">
        <f>_xlfn.XLOOKUP(A673,My_Audit!A:A,My_Audit!D:D,"")&amp;""</f>
        <v/>
      </c>
      <c r="F673" s="2" t="str" cm="1">
        <f t="array" ref="F673">IFERROR(_xlfn.LET(
_xlpm.CSVVal,_xlfn.XLOOKUP($A673,CSV!$A:$A,CSV!F:F,""),
_xlpm.MacVal,_xlfn.XLOOKUP($A673,Output_Mac!$A:$A,Output_Mac!E:E,""),
_xlpm.MyAuditVal,_xlfn.XLOOKUP($A673,My_Audit!$A:$A,My_Audit!E:E,""),
_xlfn.IFS(_xlpm.MyAuditVal&lt;&gt;"",_xlpm.MyAuditVal,_xlpm.MacVal&lt;&gt;"",_xlpm.MacVal,_xlpm.CSVVal&lt;&gt;"",_xlpm.CSVVal
)),"")</f>
        <v/>
      </c>
      <c r="G673" s="2" t="str" cm="1">
        <f t="array" ref="G673">IFERROR(_xlfn.LET(
_xlpm.CSVVal,_xlfn.XLOOKUP($A673,CSV!$A:$A,CSV!G:G,""),
_xlpm.MacVal,_xlfn.XLOOKUP($A673,Output_Mac!$A:$A,Output_Mac!F:F,""),
_xlpm.MyAuditVal,_xlfn.XLOOKUP($A673,My_Audit!$A:$A,My_Audit!F:F,""),
_xlfn.IFS(_xlpm.MyAuditVal&lt;&gt;"",_xlpm.MyAuditVal,_xlpm.MacVal&lt;&gt;"",_xlpm.MacVal,_xlpm.CSVVal&lt;&gt;"",PROPER(_xlpm.CSVVal)
)),"")</f>
        <v/>
      </c>
      <c r="H673" s="2" t="str" cm="1">
        <f t="array" ref="H673">IFERROR(_xlfn.LET(
_xlpm.CSVVal,_xlfn.XLOOKUP($A673,CSV!$A:$A,CSV!H:H,""),
_xlpm.MacVal,_xlfn.XLOOKUP($A673,Output_Mac!$A:$A,Output_Mac!H:H,""),
_xlpm.MyAuditVal,_xlfn.XLOOKUP($A673,My_Audit!$A:$A,My_Audit!G:G,""),
_xlfn.IFS(_xlpm.MyAuditVal&lt;&gt;"",_xlpm.MyAuditVal,_xlpm.MacVal&lt;&gt;"",_xlpm.MacVal,_xlpm.CSVVal&lt;&gt;"",_xlpm.CSVVal
)),"")</f>
        <v/>
      </c>
      <c r="I673" s="2" t="str">
        <f>_xlfn.XLOOKUP(A673,Output_Mac!A:A,Output_Mac!I:I,"")</f>
        <v/>
      </c>
      <c r="J673" s="2" t="str" cm="1">
        <f t="array" ref="J673">IFERROR(_xlfn.LET(
_xlpm.CSVVal,_xlfn.XLOOKUP($A673,CSV!$A:$A,CSV!I:I,""),
_xlpm.MacVal,_xlfn.XLOOKUP($A673,Output_Mac!$A:$A,Output_Mac!J:J,""),
_xlpm.MyAuditVal,_xlfn.XLOOKUP($A673,My_Audit!$A:$A,My_Audit!I:I,""),
_xlfn.IFS(_xlpm.MyAuditVal&lt;&gt;"",UPPER(_xlpm.MyAuditVal),_xlpm.MacVal&lt;&gt;"",_xlpm.MacVal,_xlpm.CSVVal&lt;&gt;"",_xlpm.CSVVal
)),"")</f>
        <v/>
      </c>
      <c r="K673" s="2" t="str" cm="1">
        <f t="array" ref="K673">IFERROR(_xlfn.LET(
_xlpm.CSVVal,_xlfn.XLOOKUP($A673,CSV!$A:$A,CSV!K:K,""),
_xlpm.MacVal,_xlfn.XLOOKUP($A673,Output_Mac!$A:$A,Output_Mac!K:K,""),
_xlpm.MyAuditVal,_xlfn.XLOOKUP($A673,My_Audit!$A:$A,My_Audit!J:J,""),
_xlfn.IFS(_xlpm.MyAuditVal&lt;&gt;"",UPPER(_xlpm.MyAuditVal),_xlpm.MacVal&lt;&gt;"",_xlpm.MacVal,_xlpm.CSVVal&lt;&gt;"",_xlpm.CSVVal
)),"")</f>
        <v/>
      </c>
      <c r="L673" s="2" t="str" cm="1">
        <f t="array" ref="L673">IFERROR(_xlfn.LET(
_xlpm.CSVVal,_xlfn.XLOOKUP($A673,CSV!$A:$A,CSV!P:P,""),
_xlpm.MacVal,_xlfn.XLOOKUP($A673,Output_Mac!$A:$A,Output_Mac!L:L,""),
_xlpm.MyAuditVal,_xlfn.XLOOKUP($A673,My_Audit!$A:$A,My_Audit!K:K,""),
_xlfn.IFS(_xlpm.MyAuditVal&lt;&gt;"",UPPER(_xlpm.MyAuditVal),_xlpm.MacVal&lt;&gt;"",_xlpm.MacVal,_xlpm.CSVVal&lt;&gt;"",_xlpm.CSVVal
)),"")</f>
        <v/>
      </c>
      <c r="M673" s="2" t="str" cm="1">
        <f t="array" ref="M673">IFERROR(_xlfn.LET(
_xlpm.CSVVal,_xlfn.XLOOKUP($A673,CSV!$A:$A,CSV!Q:Q,""),
_xlpm.MacVal,_xlfn.XLOOKUP($A673,Output_Mac!$A:$A,Output_Mac!M:M,""),
_xlpm.MyAuditVal,_xlfn.XLOOKUP($A673,My_Audit!$A:$A,My_Audit!L:L,""),
_xlfn.IFS(_xlpm.MyAuditVal&lt;&gt;"",UPPER(_xlpm.MyAuditVal),_xlpm.MacVal&lt;&gt;"",_xlpm.MacVal,_xlpm.CSVVal&lt;&gt;"",_xlpm.CSVVal
)),"")</f>
        <v/>
      </c>
      <c r="O673" s="2" t="str">
        <f>_xlfn.LET(
    _xlpm.CSVVal, _xlfn.XLOOKUP($A673, CSV!$A:$A, CSV!AF:AF, ""),
    _xlpm.MacVal, _xlfn.XLOOKUP($A673, Output_Mac!$A:$A, Output_Mac!S:S, ""),
    _xlpm.MyAuditVal, _xlfn.XLOOKUP($A673, My_Audit!$A:$A, My_Audit!P:P, ""),
    _xlfn.TEXTJOIN(", ", TRUE, _xlpm.MyAuditVal, _xlpm.MacVal, _xlpm.CSVVal)
)</f>
        <v/>
      </c>
      <c r="P673" s="2" t="str" cm="1">
        <f t="array" ref="P673">IFERROR(_xlfn.LET(
_xlpm.CSVVal,_xlfn.XLOOKUP($A673,CSV!$A:$A,CSV!AG:AG,""),
_xlpm.MacVal,_xlfn.XLOOKUP($A673,Output_Mac!$A:$A,Output_Mac!T:T,""),
_xlpm.MyAuditVal,_xlfn.XLOOKUP($A673,My_Audit!$A:$A,My_Audit!Q:Q,""),
_xlfn.IFS(_xlpm.MyAuditVal&lt;&gt;"",UPPER(_xlpm.MyAuditVal),_xlpm.MacVal&lt;&gt;"",_xlpm.MacVal,_xlpm.CSVVal&lt;&gt;"",_xlpm.CSVVal
)),"No")</f>
        <v>No</v>
      </c>
      <c r="Q673" s="2" t="str" cm="1">
        <f t="array" ref="Q673">IFERROR(_xlfn.LET(
_xlpm.CSVVal,_xlfn.XLOOKUP($A673,CSV!$A:$A,CSV!AH:AH,""),
_xlpm.MacVal,_xlfn.XLOOKUP($A673,Output_Mac!$A:$A,Output_Mac!U:U,""),
_xlpm.MyAuditVal,_xlfn.XLOOKUP($A673,My_Audit!$A:$A,My_Audit!R:R,""),
_xlfn.IFS(_xlpm.MyAuditVal&lt;&gt;"",UPPER(_xlpm.MyAuditVal),_xlpm.MacVal&lt;&gt;"",_xlpm.MacVal,_xlpm.CSVVal&lt;&gt;"",_xlpm.CSVVal
)),"")</f>
        <v/>
      </c>
    </row>
    <row r="674" spans="1:17">
      <c r="A674" s="2" t="str">
        <f>_xlfn.TEXTJOIN("",TRUE,Input!$B$2,ROW(My_Audit!A673))</f>
        <v>XX673</v>
      </c>
      <c r="B674" s="2" t="str">
        <f>_xlfn.TEXTJOIN("-",TRUE,"ITD",Input!$A$2,A674)</f>
        <v>ITD-SHRXXX-XX673</v>
      </c>
      <c r="C674" s="2" t="str" cm="1">
        <f t="array" ref="C674">IFERROR(_xlfn.LET(
_xlpm.CSVVal,_xlfn.XLOOKUP($A674,CSV!$A:$A,CSV!B:B,""),
_xlpm.MacVal,_xlfn.XLOOKUP($A674,Output_Mac!$A:$A,Output_Mac!B:B,""),
_xlpm.MyAuditVal,_xlfn.XLOOKUP($A674,My_Audit!$A:$A,My_Audit!B:B,""),
_xlfn.IFS(_xlpm.MyAuditVal&lt;&gt;"",UPPER(_xlpm.MyAuditVal),_xlpm.MacVal&lt;&gt;"",_xlpm.MacVal,_xlpm.CSVVal&lt;&gt;"",_xlpm.CSVVal
)),"")</f>
        <v/>
      </c>
      <c r="D674" s="2" t="str" cm="1">
        <f t="array" ref="D674">IFERROR(_xlfn.LET(
_xlpm.CSVVal,_xlfn.XLOOKUP($A674,CSV!$A:$A,CSV!D:D,""),
_xlpm.MacVal,_xlfn.XLOOKUP($A674,Output_Mac!$A:$A,Output_Mac!C:C,""),
_xlpm.MyAuditVal,_xlfn.XLOOKUP($A674,My_Audit!$A:$A,My_Audit!C:C,""),
_xlfn.IFS(_xlpm.MyAuditVal&lt;&gt;"",_xlpm.MyAuditVal,_xlpm.MacVal&lt;&gt;"",_xlpm.MacVal,_xlpm.CSVVal&lt;&gt;"",_xlpm.CSVVal
)),"")</f>
        <v/>
      </c>
      <c r="E674" s="2" t="str">
        <f>_xlfn.XLOOKUP(A674,My_Audit!A:A,My_Audit!D:D,"")&amp;""</f>
        <v/>
      </c>
      <c r="F674" s="2" t="str" cm="1">
        <f t="array" ref="F674">IFERROR(_xlfn.LET(
_xlpm.CSVVal,_xlfn.XLOOKUP($A674,CSV!$A:$A,CSV!F:F,""),
_xlpm.MacVal,_xlfn.XLOOKUP($A674,Output_Mac!$A:$A,Output_Mac!E:E,""),
_xlpm.MyAuditVal,_xlfn.XLOOKUP($A674,My_Audit!$A:$A,My_Audit!E:E,""),
_xlfn.IFS(_xlpm.MyAuditVal&lt;&gt;"",_xlpm.MyAuditVal,_xlpm.MacVal&lt;&gt;"",_xlpm.MacVal,_xlpm.CSVVal&lt;&gt;"",_xlpm.CSVVal
)),"")</f>
        <v/>
      </c>
      <c r="G674" s="2" t="str" cm="1">
        <f t="array" ref="G674">IFERROR(_xlfn.LET(
_xlpm.CSVVal,_xlfn.XLOOKUP($A674,CSV!$A:$A,CSV!G:G,""),
_xlpm.MacVal,_xlfn.XLOOKUP($A674,Output_Mac!$A:$A,Output_Mac!F:F,""),
_xlpm.MyAuditVal,_xlfn.XLOOKUP($A674,My_Audit!$A:$A,My_Audit!F:F,""),
_xlfn.IFS(_xlpm.MyAuditVal&lt;&gt;"",_xlpm.MyAuditVal,_xlpm.MacVal&lt;&gt;"",_xlpm.MacVal,_xlpm.CSVVal&lt;&gt;"",PROPER(_xlpm.CSVVal)
)),"")</f>
        <v/>
      </c>
      <c r="H674" s="2" t="str" cm="1">
        <f t="array" ref="H674">IFERROR(_xlfn.LET(
_xlpm.CSVVal,_xlfn.XLOOKUP($A674,CSV!$A:$A,CSV!H:H,""),
_xlpm.MacVal,_xlfn.XLOOKUP($A674,Output_Mac!$A:$A,Output_Mac!H:H,""),
_xlpm.MyAuditVal,_xlfn.XLOOKUP($A674,My_Audit!$A:$A,My_Audit!G:G,""),
_xlfn.IFS(_xlpm.MyAuditVal&lt;&gt;"",_xlpm.MyAuditVal,_xlpm.MacVal&lt;&gt;"",_xlpm.MacVal,_xlpm.CSVVal&lt;&gt;"",_xlpm.CSVVal
)),"")</f>
        <v/>
      </c>
      <c r="I674" s="2" t="str">
        <f>_xlfn.XLOOKUP(A674,Output_Mac!A:A,Output_Mac!I:I,"")</f>
        <v/>
      </c>
      <c r="J674" s="2" t="str" cm="1">
        <f t="array" ref="J674">IFERROR(_xlfn.LET(
_xlpm.CSVVal,_xlfn.XLOOKUP($A674,CSV!$A:$A,CSV!I:I,""),
_xlpm.MacVal,_xlfn.XLOOKUP($A674,Output_Mac!$A:$A,Output_Mac!J:J,""),
_xlpm.MyAuditVal,_xlfn.XLOOKUP($A674,My_Audit!$A:$A,My_Audit!I:I,""),
_xlfn.IFS(_xlpm.MyAuditVal&lt;&gt;"",UPPER(_xlpm.MyAuditVal),_xlpm.MacVal&lt;&gt;"",_xlpm.MacVal,_xlpm.CSVVal&lt;&gt;"",_xlpm.CSVVal
)),"")</f>
        <v/>
      </c>
      <c r="K674" s="2" t="str" cm="1">
        <f t="array" ref="K674">IFERROR(_xlfn.LET(
_xlpm.CSVVal,_xlfn.XLOOKUP($A674,CSV!$A:$A,CSV!K:K,""),
_xlpm.MacVal,_xlfn.XLOOKUP($A674,Output_Mac!$A:$A,Output_Mac!K:K,""),
_xlpm.MyAuditVal,_xlfn.XLOOKUP($A674,My_Audit!$A:$A,My_Audit!J:J,""),
_xlfn.IFS(_xlpm.MyAuditVal&lt;&gt;"",UPPER(_xlpm.MyAuditVal),_xlpm.MacVal&lt;&gt;"",_xlpm.MacVal,_xlpm.CSVVal&lt;&gt;"",_xlpm.CSVVal
)),"")</f>
        <v/>
      </c>
      <c r="L674" s="2" t="str" cm="1">
        <f t="array" ref="L674">IFERROR(_xlfn.LET(
_xlpm.CSVVal,_xlfn.XLOOKUP($A674,CSV!$A:$A,CSV!P:P,""),
_xlpm.MacVal,_xlfn.XLOOKUP($A674,Output_Mac!$A:$A,Output_Mac!L:L,""),
_xlpm.MyAuditVal,_xlfn.XLOOKUP($A674,My_Audit!$A:$A,My_Audit!K:K,""),
_xlfn.IFS(_xlpm.MyAuditVal&lt;&gt;"",UPPER(_xlpm.MyAuditVal),_xlpm.MacVal&lt;&gt;"",_xlpm.MacVal,_xlpm.CSVVal&lt;&gt;"",_xlpm.CSVVal
)),"")</f>
        <v/>
      </c>
      <c r="M674" s="2" t="str" cm="1">
        <f t="array" ref="M674">IFERROR(_xlfn.LET(
_xlpm.CSVVal,_xlfn.XLOOKUP($A674,CSV!$A:$A,CSV!Q:Q,""),
_xlpm.MacVal,_xlfn.XLOOKUP($A674,Output_Mac!$A:$A,Output_Mac!M:M,""),
_xlpm.MyAuditVal,_xlfn.XLOOKUP($A674,My_Audit!$A:$A,My_Audit!L:L,""),
_xlfn.IFS(_xlpm.MyAuditVal&lt;&gt;"",UPPER(_xlpm.MyAuditVal),_xlpm.MacVal&lt;&gt;"",_xlpm.MacVal,_xlpm.CSVVal&lt;&gt;"",_xlpm.CSVVal
)),"")</f>
        <v/>
      </c>
      <c r="O674" s="2" t="str">
        <f>_xlfn.LET(
    _xlpm.CSVVal, _xlfn.XLOOKUP($A674, CSV!$A:$A, CSV!AF:AF, ""),
    _xlpm.MacVal, _xlfn.XLOOKUP($A674, Output_Mac!$A:$A, Output_Mac!S:S, ""),
    _xlpm.MyAuditVal, _xlfn.XLOOKUP($A674, My_Audit!$A:$A, My_Audit!P:P, ""),
    _xlfn.TEXTJOIN(", ", TRUE, _xlpm.MyAuditVal, _xlpm.MacVal, _xlpm.CSVVal)
)</f>
        <v/>
      </c>
      <c r="P674" s="2" t="str" cm="1">
        <f t="array" ref="P674">IFERROR(_xlfn.LET(
_xlpm.CSVVal,_xlfn.XLOOKUP($A674,CSV!$A:$A,CSV!AG:AG,""),
_xlpm.MacVal,_xlfn.XLOOKUP($A674,Output_Mac!$A:$A,Output_Mac!T:T,""),
_xlpm.MyAuditVal,_xlfn.XLOOKUP($A674,My_Audit!$A:$A,My_Audit!Q:Q,""),
_xlfn.IFS(_xlpm.MyAuditVal&lt;&gt;"",UPPER(_xlpm.MyAuditVal),_xlpm.MacVal&lt;&gt;"",_xlpm.MacVal,_xlpm.CSVVal&lt;&gt;"",_xlpm.CSVVal
)),"No")</f>
        <v>No</v>
      </c>
      <c r="Q674" s="2" t="str" cm="1">
        <f t="array" ref="Q674">IFERROR(_xlfn.LET(
_xlpm.CSVVal,_xlfn.XLOOKUP($A674,CSV!$A:$A,CSV!AH:AH,""),
_xlpm.MacVal,_xlfn.XLOOKUP($A674,Output_Mac!$A:$A,Output_Mac!U:U,""),
_xlpm.MyAuditVal,_xlfn.XLOOKUP($A674,My_Audit!$A:$A,My_Audit!R:R,""),
_xlfn.IFS(_xlpm.MyAuditVal&lt;&gt;"",UPPER(_xlpm.MyAuditVal),_xlpm.MacVal&lt;&gt;"",_xlpm.MacVal,_xlpm.CSVVal&lt;&gt;"",_xlpm.CSVVal
)),"")</f>
        <v/>
      </c>
    </row>
    <row r="675" spans="1:17">
      <c r="A675" s="2" t="str">
        <f>_xlfn.TEXTJOIN("",TRUE,Input!$B$2,ROW(My_Audit!A674))</f>
        <v>XX674</v>
      </c>
      <c r="B675" s="2" t="str">
        <f>_xlfn.TEXTJOIN("-",TRUE,"ITD",Input!$A$2,A675)</f>
        <v>ITD-SHRXXX-XX674</v>
      </c>
      <c r="C675" s="2" t="str" cm="1">
        <f t="array" ref="C675">IFERROR(_xlfn.LET(
_xlpm.CSVVal,_xlfn.XLOOKUP($A675,CSV!$A:$A,CSV!B:B,""),
_xlpm.MacVal,_xlfn.XLOOKUP($A675,Output_Mac!$A:$A,Output_Mac!B:B,""),
_xlpm.MyAuditVal,_xlfn.XLOOKUP($A675,My_Audit!$A:$A,My_Audit!B:B,""),
_xlfn.IFS(_xlpm.MyAuditVal&lt;&gt;"",UPPER(_xlpm.MyAuditVal),_xlpm.MacVal&lt;&gt;"",_xlpm.MacVal,_xlpm.CSVVal&lt;&gt;"",_xlpm.CSVVal
)),"")</f>
        <v/>
      </c>
      <c r="D675" s="2" t="str" cm="1">
        <f t="array" ref="D675">IFERROR(_xlfn.LET(
_xlpm.CSVVal,_xlfn.XLOOKUP($A675,CSV!$A:$A,CSV!D:D,""),
_xlpm.MacVal,_xlfn.XLOOKUP($A675,Output_Mac!$A:$A,Output_Mac!C:C,""),
_xlpm.MyAuditVal,_xlfn.XLOOKUP($A675,My_Audit!$A:$A,My_Audit!C:C,""),
_xlfn.IFS(_xlpm.MyAuditVal&lt;&gt;"",_xlpm.MyAuditVal,_xlpm.MacVal&lt;&gt;"",_xlpm.MacVal,_xlpm.CSVVal&lt;&gt;"",_xlpm.CSVVal
)),"")</f>
        <v/>
      </c>
      <c r="E675" s="2" t="str">
        <f>_xlfn.XLOOKUP(A675,My_Audit!A:A,My_Audit!D:D,"")&amp;""</f>
        <v/>
      </c>
      <c r="F675" s="2" t="str" cm="1">
        <f t="array" ref="F675">IFERROR(_xlfn.LET(
_xlpm.CSVVal,_xlfn.XLOOKUP($A675,CSV!$A:$A,CSV!F:F,""),
_xlpm.MacVal,_xlfn.XLOOKUP($A675,Output_Mac!$A:$A,Output_Mac!E:E,""),
_xlpm.MyAuditVal,_xlfn.XLOOKUP($A675,My_Audit!$A:$A,My_Audit!E:E,""),
_xlfn.IFS(_xlpm.MyAuditVal&lt;&gt;"",_xlpm.MyAuditVal,_xlpm.MacVal&lt;&gt;"",_xlpm.MacVal,_xlpm.CSVVal&lt;&gt;"",_xlpm.CSVVal
)),"")</f>
        <v/>
      </c>
      <c r="G675" s="2" t="str" cm="1">
        <f t="array" ref="G675">IFERROR(_xlfn.LET(
_xlpm.CSVVal,_xlfn.XLOOKUP($A675,CSV!$A:$A,CSV!G:G,""),
_xlpm.MacVal,_xlfn.XLOOKUP($A675,Output_Mac!$A:$A,Output_Mac!F:F,""),
_xlpm.MyAuditVal,_xlfn.XLOOKUP($A675,My_Audit!$A:$A,My_Audit!F:F,""),
_xlfn.IFS(_xlpm.MyAuditVal&lt;&gt;"",_xlpm.MyAuditVal,_xlpm.MacVal&lt;&gt;"",_xlpm.MacVal,_xlpm.CSVVal&lt;&gt;"",PROPER(_xlpm.CSVVal)
)),"")</f>
        <v/>
      </c>
      <c r="H675" s="2" t="str" cm="1">
        <f t="array" ref="H675">IFERROR(_xlfn.LET(
_xlpm.CSVVal,_xlfn.XLOOKUP($A675,CSV!$A:$A,CSV!H:H,""),
_xlpm.MacVal,_xlfn.XLOOKUP($A675,Output_Mac!$A:$A,Output_Mac!H:H,""),
_xlpm.MyAuditVal,_xlfn.XLOOKUP($A675,My_Audit!$A:$A,My_Audit!G:G,""),
_xlfn.IFS(_xlpm.MyAuditVal&lt;&gt;"",_xlpm.MyAuditVal,_xlpm.MacVal&lt;&gt;"",_xlpm.MacVal,_xlpm.CSVVal&lt;&gt;"",_xlpm.CSVVal
)),"")</f>
        <v/>
      </c>
      <c r="I675" s="2" t="str">
        <f>_xlfn.XLOOKUP(A675,Output_Mac!A:A,Output_Mac!I:I,"")</f>
        <v/>
      </c>
      <c r="J675" s="2" t="str" cm="1">
        <f t="array" ref="J675">IFERROR(_xlfn.LET(
_xlpm.CSVVal,_xlfn.XLOOKUP($A675,CSV!$A:$A,CSV!I:I,""),
_xlpm.MacVal,_xlfn.XLOOKUP($A675,Output_Mac!$A:$A,Output_Mac!J:J,""),
_xlpm.MyAuditVal,_xlfn.XLOOKUP($A675,My_Audit!$A:$A,My_Audit!I:I,""),
_xlfn.IFS(_xlpm.MyAuditVal&lt;&gt;"",UPPER(_xlpm.MyAuditVal),_xlpm.MacVal&lt;&gt;"",_xlpm.MacVal,_xlpm.CSVVal&lt;&gt;"",_xlpm.CSVVal
)),"")</f>
        <v/>
      </c>
      <c r="K675" s="2" t="str" cm="1">
        <f t="array" ref="K675">IFERROR(_xlfn.LET(
_xlpm.CSVVal,_xlfn.XLOOKUP($A675,CSV!$A:$A,CSV!K:K,""),
_xlpm.MacVal,_xlfn.XLOOKUP($A675,Output_Mac!$A:$A,Output_Mac!K:K,""),
_xlpm.MyAuditVal,_xlfn.XLOOKUP($A675,My_Audit!$A:$A,My_Audit!J:J,""),
_xlfn.IFS(_xlpm.MyAuditVal&lt;&gt;"",UPPER(_xlpm.MyAuditVal),_xlpm.MacVal&lt;&gt;"",_xlpm.MacVal,_xlpm.CSVVal&lt;&gt;"",_xlpm.CSVVal
)),"")</f>
        <v/>
      </c>
      <c r="L675" s="2" t="str" cm="1">
        <f t="array" ref="L675">IFERROR(_xlfn.LET(
_xlpm.CSVVal,_xlfn.XLOOKUP($A675,CSV!$A:$A,CSV!P:P,""),
_xlpm.MacVal,_xlfn.XLOOKUP($A675,Output_Mac!$A:$A,Output_Mac!L:L,""),
_xlpm.MyAuditVal,_xlfn.XLOOKUP($A675,My_Audit!$A:$A,My_Audit!K:K,""),
_xlfn.IFS(_xlpm.MyAuditVal&lt;&gt;"",UPPER(_xlpm.MyAuditVal),_xlpm.MacVal&lt;&gt;"",_xlpm.MacVal,_xlpm.CSVVal&lt;&gt;"",_xlpm.CSVVal
)),"")</f>
        <v/>
      </c>
      <c r="M675" s="2" t="str" cm="1">
        <f t="array" ref="M675">IFERROR(_xlfn.LET(
_xlpm.CSVVal,_xlfn.XLOOKUP($A675,CSV!$A:$A,CSV!Q:Q,""),
_xlpm.MacVal,_xlfn.XLOOKUP($A675,Output_Mac!$A:$A,Output_Mac!M:M,""),
_xlpm.MyAuditVal,_xlfn.XLOOKUP($A675,My_Audit!$A:$A,My_Audit!L:L,""),
_xlfn.IFS(_xlpm.MyAuditVal&lt;&gt;"",UPPER(_xlpm.MyAuditVal),_xlpm.MacVal&lt;&gt;"",_xlpm.MacVal,_xlpm.CSVVal&lt;&gt;"",_xlpm.CSVVal
)),"")</f>
        <v/>
      </c>
      <c r="O675" s="2" t="str">
        <f>_xlfn.LET(
    _xlpm.CSVVal, _xlfn.XLOOKUP($A675, CSV!$A:$A, CSV!AF:AF, ""),
    _xlpm.MacVal, _xlfn.XLOOKUP($A675, Output_Mac!$A:$A, Output_Mac!S:S, ""),
    _xlpm.MyAuditVal, _xlfn.XLOOKUP($A675, My_Audit!$A:$A, My_Audit!P:P, ""),
    _xlfn.TEXTJOIN(", ", TRUE, _xlpm.MyAuditVal, _xlpm.MacVal, _xlpm.CSVVal)
)</f>
        <v/>
      </c>
      <c r="P675" s="2" t="str" cm="1">
        <f t="array" ref="P675">IFERROR(_xlfn.LET(
_xlpm.CSVVal,_xlfn.XLOOKUP($A675,CSV!$A:$A,CSV!AG:AG,""),
_xlpm.MacVal,_xlfn.XLOOKUP($A675,Output_Mac!$A:$A,Output_Mac!T:T,""),
_xlpm.MyAuditVal,_xlfn.XLOOKUP($A675,My_Audit!$A:$A,My_Audit!Q:Q,""),
_xlfn.IFS(_xlpm.MyAuditVal&lt;&gt;"",UPPER(_xlpm.MyAuditVal),_xlpm.MacVal&lt;&gt;"",_xlpm.MacVal,_xlpm.CSVVal&lt;&gt;"",_xlpm.CSVVal
)),"No")</f>
        <v>No</v>
      </c>
      <c r="Q675" s="2" t="str" cm="1">
        <f t="array" ref="Q675">IFERROR(_xlfn.LET(
_xlpm.CSVVal,_xlfn.XLOOKUP($A675,CSV!$A:$A,CSV!AH:AH,""),
_xlpm.MacVal,_xlfn.XLOOKUP($A675,Output_Mac!$A:$A,Output_Mac!U:U,""),
_xlpm.MyAuditVal,_xlfn.XLOOKUP($A675,My_Audit!$A:$A,My_Audit!R:R,""),
_xlfn.IFS(_xlpm.MyAuditVal&lt;&gt;"",UPPER(_xlpm.MyAuditVal),_xlpm.MacVal&lt;&gt;"",_xlpm.MacVal,_xlpm.CSVVal&lt;&gt;"",_xlpm.CSVVal
)),"")</f>
        <v/>
      </c>
    </row>
    <row r="676" spans="1:17">
      <c r="A676" s="2" t="str">
        <f>_xlfn.TEXTJOIN("",TRUE,Input!$B$2,ROW(My_Audit!A675))</f>
        <v>XX675</v>
      </c>
      <c r="B676" s="2" t="str">
        <f>_xlfn.TEXTJOIN("-",TRUE,"ITD",Input!$A$2,A676)</f>
        <v>ITD-SHRXXX-XX675</v>
      </c>
      <c r="C676" s="2" t="str" cm="1">
        <f t="array" ref="C676">IFERROR(_xlfn.LET(
_xlpm.CSVVal,_xlfn.XLOOKUP($A676,CSV!$A:$A,CSV!B:B,""),
_xlpm.MacVal,_xlfn.XLOOKUP($A676,Output_Mac!$A:$A,Output_Mac!B:B,""),
_xlpm.MyAuditVal,_xlfn.XLOOKUP($A676,My_Audit!$A:$A,My_Audit!B:B,""),
_xlfn.IFS(_xlpm.MyAuditVal&lt;&gt;"",UPPER(_xlpm.MyAuditVal),_xlpm.MacVal&lt;&gt;"",_xlpm.MacVal,_xlpm.CSVVal&lt;&gt;"",_xlpm.CSVVal
)),"")</f>
        <v/>
      </c>
      <c r="D676" s="2" t="str" cm="1">
        <f t="array" ref="D676">IFERROR(_xlfn.LET(
_xlpm.CSVVal,_xlfn.XLOOKUP($A676,CSV!$A:$A,CSV!D:D,""),
_xlpm.MacVal,_xlfn.XLOOKUP($A676,Output_Mac!$A:$A,Output_Mac!C:C,""),
_xlpm.MyAuditVal,_xlfn.XLOOKUP($A676,My_Audit!$A:$A,My_Audit!C:C,""),
_xlfn.IFS(_xlpm.MyAuditVal&lt;&gt;"",_xlpm.MyAuditVal,_xlpm.MacVal&lt;&gt;"",_xlpm.MacVal,_xlpm.CSVVal&lt;&gt;"",_xlpm.CSVVal
)),"")</f>
        <v/>
      </c>
      <c r="E676" s="2" t="str">
        <f>_xlfn.XLOOKUP(A676,My_Audit!A:A,My_Audit!D:D,"")&amp;""</f>
        <v/>
      </c>
      <c r="F676" s="2" t="str" cm="1">
        <f t="array" ref="F676">IFERROR(_xlfn.LET(
_xlpm.CSVVal,_xlfn.XLOOKUP($A676,CSV!$A:$A,CSV!F:F,""),
_xlpm.MacVal,_xlfn.XLOOKUP($A676,Output_Mac!$A:$A,Output_Mac!E:E,""),
_xlpm.MyAuditVal,_xlfn.XLOOKUP($A676,My_Audit!$A:$A,My_Audit!E:E,""),
_xlfn.IFS(_xlpm.MyAuditVal&lt;&gt;"",_xlpm.MyAuditVal,_xlpm.MacVal&lt;&gt;"",_xlpm.MacVal,_xlpm.CSVVal&lt;&gt;"",_xlpm.CSVVal
)),"")</f>
        <v/>
      </c>
      <c r="G676" s="2" t="str" cm="1">
        <f t="array" ref="G676">IFERROR(_xlfn.LET(
_xlpm.CSVVal,_xlfn.XLOOKUP($A676,CSV!$A:$A,CSV!G:G,""),
_xlpm.MacVal,_xlfn.XLOOKUP($A676,Output_Mac!$A:$A,Output_Mac!F:F,""),
_xlpm.MyAuditVal,_xlfn.XLOOKUP($A676,My_Audit!$A:$A,My_Audit!F:F,""),
_xlfn.IFS(_xlpm.MyAuditVal&lt;&gt;"",_xlpm.MyAuditVal,_xlpm.MacVal&lt;&gt;"",_xlpm.MacVal,_xlpm.CSVVal&lt;&gt;"",PROPER(_xlpm.CSVVal)
)),"")</f>
        <v/>
      </c>
      <c r="H676" s="2" t="str" cm="1">
        <f t="array" ref="H676">IFERROR(_xlfn.LET(
_xlpm.CSVVal,_xlfn.XLOOKUP($A676,CSV!$A:$A,CSV!H:H,""),
_xlpm.MacVal,_xlfn.XLOOKUP($A676,Output_Mac!$A:$A,Output_Mac!H:H,""),
_xlpm.MyAuditVal,_xlfn.XLOOKUP($A676,My_Audit!$A:$A,My_Audit!G:G,""),
_xlfn.IFS(_xlpm.MyAuditVal&lt;&gt;"",_xlpm.MyAuditVal,_xlpm.MacVal&lt;&gt;"",_xlpm.MacVal,_xlpm.CSVVal&lt;&gt;"",_xlpm.CSVVal
)),"")</f>
        <v/>
      </c>
      <c r="I676" s="2" t="str">
        <f>_xlfn.XLOOKUP(A676,Output_Mac!A:A,Output_Mac!I:I,"")</f>
        <v/>
      </c>
      <c r="J676" s="2" t="str" cm="1">
        <f t="array" ref="J676">IFERROR(_xlfn.LET(
_xlpm.CSVVal,_xlfn.XLOOKUP($A676,CSV!$A:$A,CSV!I:I,""),
_xlpm.MacVal,_xlfn.XLOOKUP($A676,Output_Mac!$A:$A,Output_Mac!J:J,""),
_xlpm.MyAuditVal,_xlfn.XLOOKUP($A676,My_Audit!$A:$A,My_Audit!I:I,""),
_xlfn.IFS(_xlpm.MyAuditVal&lt;&gt;"",UPPER(_xlpm.MyAuditVal),_xlpm.MacVal&lt;&gt;"",_xlpm.MacVal,_xlpm.CSVVal&lt;&gt;"",_xlpm.CSVVal
)),"")</f>
        <v/>
      </c>
      <c r="K676" s="2" t="str" cm="1">
        <f t="array" ref="K676">IFERROR(_xlfn.LET(
_xlpm.CSVVal,_xlfn.XLOOKUP($A676,CSV!$A:$A,CSV!K:K,""),
_xlpm.MacVal,_xlfn.XLOOKUP($A676,Output_Mac!$A:$A,Output_Mac!K:K,""),
_xlpm.MyAuditVal,_xlfn.XLOOKUP($A676,My_Audit!$A:$A,My_Audit!J:J,""),
_xlfn.IFS(_xlpm.MyAuditVal&lt;&gt;"",UPPER(_xlpm.MyAuditVal),_xlpm.MacVal&lt;&gt;"",_xlpm.MacVal,_xlpm.CSVVal&lt;&gt;"",_xlpm.CSVVal
)),"")</f>
        <v/>
      </c>
      <c r="L676" s="2" t="str" cm="1">
        <f t="array" ref="L676">IFERROR(_xlfn.LET(
_xlpm.CSVVal,_xlfn.XLOOKUP($A676,CSV!$A:$A,CSV!P:P,""),
_xlpm.MacVal,_xlfn.XLOOKUP($A676,Output_Mac!$A:$A,Output_Mac!L:L,""),
_xlpm.MyAuditVal,_xlfn.XLOOKUP($A676,My_Audit!$A:$A,My_Audit!K:K,""),
_xlfn.IFS(_xlpm.MyAuditVal&lt;&gt;"",UPPER(_xlpm.MyAuditVal),_xlpm.MacVal&lt;&gt;"",_xlpm.MacVal,_xlpm.CSVVal&lt;&gt;"",_xlpm.CSVVal
)),"")</f>
        <v/>
      </c>
      <c r="M676" s="2" t="str" cm="1">
        <f t="array" ref="M676">IFERROR(_xlfn.LET(
_xlpm.CSVVal,_xlfn.XLOOKUP($A676,CSV!$A:$A,CSV!Q:Q,""),
_xlpm.MacVal,_xlfn.XLOOKUP($A676,Output_Mac!$A:$A,Output_Mac!M:M,""),
_xlpm.MyAuditVal,_xlfn.XLOOKUP($A676,My_Audit!$A:$A,My_Audit!L:L,""),
_xlfn.IFS(_xlpm.MyAuditVal&lt;&gt;"",UPPER(_xlpm.MyAuditVal),_xlpm.MacVal&lt;&gt;"",_xlpm.MacVal,_xlpm.CSVVal&lt;&gt;"",_xlpm.CSVVal
)),"")</f>
        <v/>
      </c>
      <c r="O676" s="2" t="str">
        <f>_xlfn.LET(
    _xlpm.CSVVal, _xlfn.XLOOKUP($A676, CSV!$A:$A, CSV!AF:AF, ""),
    _xlpm.MacVal, _xlfn.XLOOKUP($A676, Output_Mac!$A:$A, Output_Mac!S:S, ""),
    _xlpm.MyAuditVal, _xlfn.XLOOKUP($A676, My_Audit!$A:$A, My_Audit!P:P, ""),
    _xlfn.TEXTJOIN(", ", TRUE, _xlpm.MyAuditVal, _xlpm.MacVal, _xlpm.CSVVal)
)</f>
        <v/>
      </c>
      <c r="P676" s="2" t="str" cm="1">
        <f t="array" ref="P676">IFERROR(_xlfn.LET(
_xlpm.CSVVal,_xlfn.XLOOKUP($A676,CSV!$A:$A,CSV!AG:AG,""),
_xlpm.MacVal,_xlfn.XLOOKUP($A676,Output_Mac!$A:$A,Output_Mac!T:T,""),
_xlpm.MyAuditVal,_xlfn.XLOOKUP($A676,My_Audit!$A:$A,My_Audit!Q:Q,""),
_xlfn.IFS(_xlpm.MyAuditVal&lt;&gt;"",UPPER(_xlpm.MyAuditVal),_xlpm.MacVal&lt;&gt;"",_xlpm.MacVal,_xlpm.CSVVal&lt;&gt;"",_xlpm.CSVVal
)),"No")</f>
        <v>No</v>
      </c>
      <c r="Q676" s="2" t="str" cm="1">
        <f t="array" ref="Q676">IFERROR(_xlfn.LET(
_xlpm.CSVVal,_xlfn.XLOOKUP($A676,CSV!$A:$A,CSV!AH:AH,""),
_xlpm.MacVal,_xlfn.XLOOKUP($A676,Output_Mac!$A:$A,Output_Mac!U:U,""),
_xlpm.MyAuditVal,_xlfn.XLOOKUP($A676,My_Audit!$A:$A,My_Audit!R:R,""),
_xlfn.IFS(_xlpm.MyAuditVal&lt;&gt;"",UPPER(_xlpm.MyAuditVal),_xlpm.MacVal&lt;&gt;"",_xlpm.MacVal,_xlpm.CSVVal&lt;&gt;"",_xlpm.CSVVal
)),"")</f>
        <v/>
      </c>
    </row>
    <row r="677" spans="1:17">
      <c r="A677" s="2" t="str">
        <f>_xlfn.TEXTJOIN("",TRUE,Input!$B$2,ROW(My_Audit!A676))</f>
        <v>XX676</v>
      </c>
      <c r="B677" s="2" t="str">
        <f>_xlfn.TEXTJOIN("-",TRUE,"ITD",Input!$A$2,A677)</f>
        <v>ITD-SHRXXX-XX676</v>
      </c>
      <c r="C677" s="2" t="str" cm="1">
        <f t="array" ref="C677">IFERROR(_xlfn.LET(
_xlpm.CSVVal,_xlfn.XLOOKUP($A677,CSV!$A:$A,CSV!B:B,""),
_xlpm.MacVal,_xlfn.XLOOKUP($A677,Output_Mac!$A:$A,Output_Mac!B:B,""),
_xlpm.MyAuditVal,_xlfn.XLOOKUP($A677,My_Audit!$A:$A,My_Audit!B:B,""),
_xlfn.IFS(_xlpm.MyAuditVal&lt;&gt;"",UPPER(_xlpm.MyAuditVal),_xlpm.MacVal&lt;&gt;"",_xlpm.MacVal,_xlpm.CSVVal&lt;&gt;"",_xlpm.CSVVal
)),"")</f>
        <v/>
      </c>
      <c r="D677" s="2" t="str" cm="1">
        <f t="array" ref="D677">IFERROR(_xlfn.LET(
_xlpm.CSVVal,_xlfn.XLOOKUP($A677,CSV!$A:$A,CSV!D:D,""),
_xlpm.MacVal,_xlfn.XLOOKUP($A677,Output_Mac!$A:$A,Output_Mac!C:C,""),
_xlpm.MyAuditVal,_xlfn.XLOOKUP($A677,My_Audit!$A:$A,My_Audit!C:C,""),
_xlfn.IFS(_xlpm.MyAuditVal&lt;&gt;"",_xlpm.MyAuditVal,_xlpm.MacVal&lt;&gt;"",_xlpm.MacVal,_xlpm.CSVVal&lt;&gt;"",_xlpm.CSVVal
)),"")</f>
        <v/>
      </c>
      <c r="E677" s="2" t="str">
        <f>_xlfn.XLOOKUP(A677,My_Audit!A:A,My_Audit!D:D,"")&amp;""</f>
        <v/>
      </c>
      <c r="F677" s="2" t="str" cm="1">
        <f t="array" ref="F677">IFERROR(_xlfn.LET(
_xlpm.CSVVal,_xlfn.XLOOKUP($A677,CSV!$A:$A,CSV!F:F,""),
_xlpm.MacVal,_xlfn.XLOOKUP($A677,Output_Mac!$A:$A,Output_Mac!E:E,""),
_xlpm.MyAuditVal,_xlfn.XLOOKUP($A677,My_Audit!$A:$A,My_Audit!E:E,""),
_xlfn.IFS(_xlpm.MyAuditVal&lt;&gt;"",_xlpm.MyAuditVal,_xlpm.MacVal&lt;&gt;"",_xlpm.MacVal,_xlpm.CSVVal&lt;&gt;"",_xlpm.CSVVal
)),"")</f>
        <v/>
      </c>
      <c r="G677" s="2" t="str" cm="1">
        <f t="array" ref="G677">IFERROR(_xlfn.LET(
_xlpm.CSVVal,_xlfn.XLOOKUP($A677,CSV!$A:$A,CSV!G:G,""),
_xlpm.MacVal,_xlfn.XLOOKUP($A677,Output_Mac!$A:$A,Output_Mac!F:F,""),
_xlpm.MyAuditVal,_xlfn.XLOOKUP($A677,My_Audit!$A:$A,My_Audit!F:F,""),
_xlfn.IFS(_xlpm.MyAuditVal&lt;&gt;"",_xlpm.MyAuditVal,_xlpm.MacVal&lt;&gt;"",_xlpm.MacVal,_xlpm.CSVVal&lt;&gt;"",PROPER(_xlpm.CSVVal)
)),"")</f>
        <v/>
      </c>
      <c r="H677" s="2" t="str" cm="1">
        <f t="array" ref="H677">IFERROR(_xlfn.LET(
_xlpm.CSVVal,_xlfn.XLOOKUP($A677,CSV!$A:$A,CSV!H:H,""),
_xlpm.MacVal,_xlfn.XLOOKUP($A677,Output_Mac!$A:$A,Output_Mac!H:H,""),
_xlpm.MyAuditVal,_xlfn.XLOOKUP($A677,My_Audit!$A:$A,My_Audit!G:G,""),
_xlfn.IFS(_xlpm.MyAuditVal&lt;&gt;"",_xlpm.MyAuditVal,_xlpm.MacVal&lt;&gt;"",_xlpm.MacVal,_xlpm.CSVVal&lt;&gt;"",_xlpm.CSVVal
)),"")</f>
        <v/>
      </c>
      <c r="I677" s="2" t="str">
        <f>_xlfn.XLOOKUP(A677,Output_Mac!A:A,Output_Mac!I:I,"")</f>
        <v/>
      </c>
      <c r="J677" s="2" t="str" cm="1">
        <f t="array" ref="J677">IFERROR(_xlfn.LET(
_xlpm.CSVVal,_xlfn.XLOOKUP($A677,CSV!$A:$A,CSV!I:I,""),
_xlpm.MacVal,_xlfn.XLOOKUP($A677,Output_Mac!$A:$A,Output_Mac!J:J,""),
_xlpm.MyAuditVal,_xlfn.XLOOKUP($A677,My_Audit!$A:$A,My_Audit!I:I,""),
_xlfn.IFS(_xlpm.MyAuditVal&lt;&gt;"",UPPER(_xlpm.MyAuditVal),_xlpm.MacVal&lt;&gt;"",_xlpm.MacVal,_xlpm.CSVVal&lt;&gt;"",_xlpm.CSVVal
)),"")</f>
        <v/>
      </c>
      <c r="K677" s="2" t="str" cm="1">
        <f t="array" ref="K677">IFERROR(_xlfn.LET(
_xlpm.CSVVal,_xlfn.XLOOKUP($A677,CSV!$A:$A,CSV!K:K,""),
_xlpm.MacVal,_xlfn.XLOOKUP($A677,Output_Mac!$A:$A,Output_Mac!K:K,""),
_xlpm.MyAuditVal,_xlfn.XLOOKUP($A677,My_Audit!$A:$A,My_Audit!J:J,""),
_xlfn.IFS(_xlpm.MyAuditVal&lt;&gt;"",UPPER(_xlpm.MyAuditVal),_xlpm.MacVal&lt;&gt;"",_xlpm.MacVal,_xlpm.CSVVal&lt;&gt;"",_xlpm.CSVVal
)),"")</f>
        <v/>
      </c>
      <c r="L677" s="2" t="str" cm="1">
        <f t="array" ref="L677">IFERROR(_xlfn.LET(
_xlpm.CSVVal,_xlfn.XLOOKUP($A677,CSV!$A:$A,CSV!P:P,""),
_xlpm.MacVal,_xlfn.XLOOKUP($A677,Output_Mac!$A:$A,Output_Mac!L:L,""),
_xlpm.MyAuditVal,_xlfn.XLOOKUP($A677,My_Audit!$A:$A,My_Audit!K:K,""),
_xlfn.IFS(_xlpm.MyAuditVal&lt;&gt;"",UPPER(_xlpm.MyAuditVal),_xlpm.MacVal&lt;&gt;"",_xlpm.MacVal,_xlpm.CSVVal&lt;&gt;"",_xlpm.CSVVal
)),"")</f>
        <v/>
      </c>
      <c r="M677" s="2" t="str" cm="1">
        <f t="array" ref="M677">IFERROR(_xlfn.LET(
_xlpm.CSVVal,_xlfn.XLOOKUP($A677,CSV!$A:$A,CSV!Q:Q,""),
_xlpm.MacVal,_xlfn.XLOOKUP($A677,Output_Mac!$A:$A,Output_Mac!M:M,""),
_xlpm.MyAuditVal,_xlfn.XLOOKUP($A677,My_Audit!$A:$A,My_Audit!L:L,""),
_xlfn.IFS(_xlpm.MyAuditVal&lt;&gt;"",UPPER(_xlpm.MyAuditVal),_xlpm.MacVal&lt;&gt;"",_xlpm.MacVal,_xlpm.CSVVal&lt;&gt;"",_xlpm.CSVVal
)),"")</f>
        <v/>
      </c>
      <c r="O677" s="2" t="str">
        <f>_xlfn.LET(
    _xlpm.CSVVal, _xlfn.XLOOKUP($A677, CSV!$A:$A, CSV!AF:AF, ""),
    _xlpm.MacVal, _xlfn.XLOOKUP($A677, Output_Mac!$A:$A, Output_Mac!S:S, ""),
    _xlpm.MyAuditVal, _xlfn.XLOOKUP($A677, My_Audit!$A:$A, My_Audit!P:P, ""),
    _xlfn.TEXTJOIN(", ", TRUE, _xlpm.MyAuditVal, _xlpm.MacVal, _xlpm.CSVVal)
)</f>
        <v/>
      </c>
      <c r="P677" s="2" t="str" cm="1">
        <f t="array" ref="P677">IFERROR(_xlfn.LET(
_xlpm.CSVVal,_xlfn.XLOOKUP($A677,CSV!$A:$A,CSV!AG:AG,""),
_xlpm.MacVal,_xlfn.XLOOKUP($A677,Output_Mac!$A:$A,Output_Mac!T:T,""),
_xlpm.MyAuditVal,_xlfn.XLOOKUP($A677,My_Audit!$A:$A,My_Audit!Q:Q,""),
_xlfn.IFS(_xlpm.MyAuditVal&lt;&gt;"",UPPER(_xlpm.MyAuditVal),_xlpm.MacVal&lt;&gt;"",_xlpm.MacVal,_xlpm.CSVVal&lt;&gt;"",_xlpm.CSVVal
)),"No")</f>
        <v>No</v>
      </c>
      <c r="Q677" s="2" t="str" cm="1">
        <f t="array" ref="Q677">IFERROR(_xlfn.LET(
_xlpm.CSVVal,_xlfn.XLOOKUP($A677,CSV!$A:$A,CSV!AH:AH,""),
_xlpm.MacVal,_xlfn.XLOOKUP($A677,Output_Mac!$A:$A,Output_Mac!U:U,""),
_xlpm.MyAuditVal,_xlfn.XLOOKUP($A677,My_Audit!$A:$A,My_Audit!R:R,""),
_xlfn.IFS(_xlpm.MyAuditVal&lt;&gt;"",UPPER(_xlpm.MyAuditVal),_xlpm.MacVal&lt;&gt;"",_xlpm.MacVal,_xlpm.CSVVal&lt;&gt;"",_xlpm.CSVVal
)),"")</f>
        <v/>
      </c>
    </row>
    <row r="678" spans="1:17">
      <c r="A678" s="2" t="str">
        <f>_xlfn.TEXTJOIN("",TRUE,Input!$B$2,ROW(My_Audit!A677))</f>
        <v>XX677</v>
      </c>
      <c r="B678" s="2" t="str">
        <f>_xlfn.TEXTJOIN("-",TRUE,"ITD",Input!$A$2,A678)</f>
        <v>ITD-SHRXXX-XX677</v>
      </c>
      <c r="C678" s="2" t="str" cm="1">
        <f t="array" ref="C678">IFERROR(_xlfn.LET(
_xlpm.CSVVal,_xlfn.XLOOKUP($A678,CSV!$A:$A,CSV!B:B,""),
_xlpm.MacVal,_xlfn.XLOOKUP($A678,Output_Mac!$A:$A,Output_Mac!B:B,""),
_xlpm.MyAuditVal,_xlfn.XLOOKUP($A678,My_Audit!$A:$A,My_Audit!B:B,""),
_xlfn.IFS(_xlpm.MyAuditVal&lt;&gt;"",UPPER(_xlpm.MyAuditVal),_xlpm.MacVal&lt;&gt;"",_xlpm.MacVal,_xlpm.CSVVal&lt;&gt;"",_xlpm.CSVVal
)),"")</f>
        <v/>
      </c>
      <c r="D678" s="2" t="str" cm="1">
        <f t="array" ref="D678">IFERROR(_xlfn.LET(
_xlpm.CSVVal,_xlfn.XLOOKUP($A678,CSV!$A:$A,CSV!D:D,""),
_xlpm.MacVal,_xlfn.XLOOKUP($A678,Output_Mac!$A:$A,Output_Mac!C:C,""),
_xlpm.MyAuditVal,_xlfn.XLOOKUP($A678,My_Audit!$A:$A,My_Audit!C:C,""),
_xlfn.IFS(_xlpm.MyAuditVal&lt;&gt;"",_xlpm.MyAuditVal,_xlpm.MacVal&lt;&gt;"",_xlpm.MacVal,_xlpm.CSVVal&lt;&gt;"",_xlpm.CSVVal
)),"")</f>
        <v/>
      </c>
      <c r="E678" s="2" t="str">
        <f>_xlfn.XLOOKUP(A678,My_Audit!A:A,My_Audit!D:D,"")&amp;""</f>
        <v/>
      </c>
      <c r="F678" s="2" t="str" cm="1">
        <f t="array" ref="F678">IFERROR(_xlfn.LET(
_xlpm.CSVVal,_xlfn.XLOOKUP($A678,CSV!$A:$A,CSV!F:F,""),
_xlpm.MacVal,_xlfn.XLOOKUP($A678,Output_Mac!$A:$A,Output_Mac!E:E,""),
_xlpm.MyAuditVal,_xlfn.XLOOKUP($A678,My_Audit!$A:$A,My_Audit!E:E,""),
_xlfn.IFS(_xlpm.MyAuditVal&lt;&gt;"",_xlpm.MyAuditVal,_xlpm.MacVal&lt;&gt;"",_xlpm.MacVal,_xlpm.CSVVal&lt;&gt;"",_xlpm.CSVVal
)),"")</f>
        <v/>
      </c>
      <c r="G678" s="2" t="str" cm="1">
        <f t="array" ref="G678">IFERROR(_xlfn.LET(
_xlpm.CSVVal,_xlfn.XLOOKUP($A678,CSV!$A:$A,CSV!G:G,""),
_xlpm.MacVal,_xlfn.XLOOKUP($A678,Output_Mac!$A:$A,Output_Mac!F:F,""),
_xlpm.MyAuditVal,_xlfn.XLOOKUP($A678,My_Audit!$A:$A,My_Audit!F:F,""),
_xlfn.IFS(_xlpm.MyAuditVal&lt;&gt;"",_xlpm.MyAuditVal,_xlpm.MacVal&lt;&gt;"",_xlpm.MacVal,_xlpm.CSVVal&lt;&gt;"",PROPER(_xlpm.CSVVal)
)),"")</f>
        <v/>
      </c>
      <c r="H678" s="2" t="str" cm="1">
        <f t="array" ref="H678">IFERROR(_xlfn.LET(
_xlpm.CSVVal,_xlfn.XLOOKUP($A678,CSV!$A:$A,CSV!H:H,""),
_xlpm.MacVal,_xlfn.XLOOKUP($A678,Output_Mac!$A:$A,Output_Mac!H:H,""),
_xlpm.MyAuditVal,_xlfn.XLOOKUP($A678,My_Audit!$A:$A,My_Audit!G:G,""),
_xlfn.IFS(_xlpm.MyAuditVal&lt;&gt;"",_xlpm.MyAuditVal,_xlpm.MacVal&lt;&gt;"",_xlpm.MacVal,_xlpm.CSVVal&lt;&gt;"",_xlpm.CSVVal
)),"")</f>
        <v/>
      </c>
      <c r="I678" s="2" t="str">
        <f>_xlfn.XLOOKUP(A678,Output_Mac!A:A,Output_Mac!I:I,"")</f>
        <v/>
      </c>
      <c r="J678" s="2" t="str" cm="1">
        <f t="array" ref="J678">IFERROR(_xlfn.LET(
_xlpm.CSVVal,_xlfn.XLOOKUP($A678,CSV!$A:$A,CSV!I:I,""),
_xlpm.MacVal,_xlfn.XLOOKUP($A678,Output_Mac!$A:$A,Output_Mac!J:J,""),
_xlpm.MyAuditVal,_xlfn.XLOOKUP($A678,My_Audit!$A:$A,My_Audit!I:I,""),
_xlfn.IFS(_xlpm.MyAuditVal&lt;&gt;"",UPPER(_xlpm.MyAuditVal),_xlpm.MacVal&lt;&gt;"",_xlpm.MacVal,_xlpm.CSVVal&lt;&gt;"",_xlpm.CSVVal
)),"")</f>
        <v/>
      </c>
      <c r="K678" s="2" t="str" cm="1">
        <f t="array" ref="K678">IFERROR(_xlfn.LET(
_xlpm.CSVVal,_xlfn.XLOOKUP($A678,CSV!$A:$A,CSV!K:K,""),
_xlpm.MacVal,_xlfn.XLOOKUP($A678,Output_Mac!$A:$A,Output_Mac!K:K,""),
_xlpm.MyAuditVal,_xlfn.XLOOKUP($A678,My_Audit!$A:$A,My_Audit!J:J,""),
_xlfn.IFS(_xlpm.MyAuditVal&lt;&gt;"",UPPER(_xlpm.MyAuditVal),_xlpm.MacVal&lt;&gt;"",_xlpm.MacVal,_xlpm.CSVVal&lt;&gt;"",_xlpm.CSVVal
)),"")</f>
        <v/>
      </c>
      <c r="L678" s="2" t="str" cm="1">
        <f t="array" ref="L678">IFERROR(_xlfn.LET(
_xlpm.CSVVal,_xlfn.XLOOKUP($A678,CSV!$A:$A,CSV!P:P,""),
_xlpm.MacVal,_xlfn.XLOOKUP($A678,Output_Mac!$A:$A,Output_Mac!L:L,""),
_xlpm.MyAuditVal,_xlfn.XLOOKUP($A678,My_Audit!$A:$A,My_Audit!K:K,""),
_xlfn.IFS(_xlpm.MyAuditVal&lt;&gt;"",UPPER(_xlpm.MyAuditVal),_xlpm.MacVal&lt;&gt;"",_xlpm.MacVal,_xlpm.CSVVal&lt;&gt;"",_xlpm.CSVVal
)),"")</f>
        <v/>
      </c>
      <c r="M678" s="2" t="str" cm="1">
        <f t="array" ref="M678">IFERROR(_xlfn.LET(
_xlpm.CSVVal,_xlfn.XLOOKUP($A678,CSV!$A:$A,CSV!Q:Q,""),
_xlpm.MacVal,_xlfn.XLOOKUP($A678,Output_Mac!$A:$A,Output_Mac!M:M,""),
_xlpm.MyAuditVal,_xlfn.XLOOKUP($A678,My_Audit!$A:$A,My_Audit!L:L,""),
_xlfn.IFS(_xlpm.MyAuditVal&lt;&gt;"",UPPER(_xlpm.MyAuditVal),_xlpm.MacVal&lt;&gt;"",_xlpm.MacVal,_xlpm.CSVVal&lt;&gt;"",_xlpm.CSVVal
)),"")</f>
        <v/>
      </c>
      <c r="O678" s="2" t="str">
        <f>_xlfn.LET(
    _xlpm.CSVVal, _xlfn.XLOOKUP($A678, CSV!$A:$A, CSV!AF:AF, ""),
    _xlpm.MacVal, _xlfn.XLOOKUP($A678, Output_Mac!$A:$A, Output_Mac!S:S, ""),
    _xlpm.MyAuditVal, _xlfn.XLOOKUP($A678, My_Audit!$A:$A, My_Audit!P:P, ""),
    _xlfn.TEXTJOIN(", ", TRUE, _xlpm.MyAuditVal, _xlpm.MacVal, _xlpm.CSVVal)
)</f>
        <v/>
      </c>
      <c r="P678" s="2" t="str" cm="1">
        <f t="array" ref="P678">IFERROR(_xlfn.LET(
_xlpm.CSVVal,_xlfn.XLOOKUP($A678,CSV!$A:$A,CSV!AG:AG,""),
_xlpm.MacVal,_xlfn.XLOOKUP($A678,Output_Mac!$A:$A,Output_Mac!T:T,""),
_xlpm.MyAuditVal,_xlfn.XLOOKUP($A678,My_Audit!$A:$A,My_Audit!Q:Q,""),
_xlfn.IFS(_xlpm.MyAuditVal&lt;&gt;"",UPPER(_xlpm.MyAuditVal),_xlpm.MacVal&lt;&gt;"",_xlpm.MacVal,_xlpm.CSVVal&lt;&gt;"",_xlpm.CSVVal
)),"No")</f>
        <v>No</v>
      </c>
      <c r="Q678" s="2" t="str" cm="1">
        <f t="array" ref="Q678">IFERROR(_xlfn.LET(
_xlpm.CSVVal,_xlfn.XLOOKUP($A678,CSV!$A:$A,CSV!AH:AH,""),
_xlpm.MacVal,_xlfn.XLOOKUP($A678,Output_Mac!$A:$A,Output_Mac!U:U,""),
_xlpm.MyAuditVal,_xlfn.XLOOKUP($A678,My_Audit!$A:$A,My_Audit!R:R,""),
_xlfn.IFS(_xlpm.MyAuditVal&lt;&gt;"",UPPER(_xlpm.MyAuditVal),_xlpm.MacVal&lt;&gt;"",_xlpm.MacVal,_xlpm.CSVVal&lt;&gt;"",_xlpm.CSVVal
)),"")</f>
        <v/>
      </c>
    </row>
    <row r="679" spans="1:17">
      <c r="A679" s="2" t="str">
        <f>_xlfn.TEXTJOIN("",TRUE,Input!$B$2,ROW(My_Audit!A678))</f>
        <v>XX678</v>
      </c>
      <c r="B679" s="2" t="str">
        <f>_xlfn.TEXTJOIN("-",TRUE,"ITD",Input!$A$2,A679)</f>
        <v>ITD-SHRXXX-XX678</v>
      </c>
      <c r="C679" s="2" t="str" cm="1">
        <f t="array" ref="C679">IFERROR(_xlfn.LET(
_xlpm.CSVVal,_xlfn.XLOOKUP($A679,CSV!$A:$A,CSV!B:B,""),
_xlpm.MacVal,_xlfn.XLOOKUP($A679,Output_Mac!$A:$A,Output_Mac!B:B,""),
_xlpm.MyAuditVal,_xlfn.XLOOKUP($A679,My_Audit!$A:$A,My_Audit!B:B,""),
_xlfn.IFS(_xlpm.MyAuditVal&lt;&gt;"",UPPER(_xlpm.MyAuditVal),_xlpm.MacVal&lt;&gt;"",_xlpm.MacVal,_xlpm.CSVVal&lt;&gt;"",_xlpm.CSVVal
)),"")</f>
        <v/>
      </c>
      <c r="D679" s="2" t="str" cm="1">
        <f t="array" ref="D679">IFERROR(_xlfn.LET(
_xlpm.CSVVal,_xlfn.XLOOKUP($A679,CSV!$A:$A,CSV!D:D,""),
_xlpm.MacVal,_xlfn.XLOOKUP($A679,Output_Mac!$A:$A,Output_Mac!C:C,""),
_xlpm.MyAuditVal,_xlfn.XLOOKUP($A679,My_Audit!$A:$A,My_Audit!C:C,""),
_xlfn.IFS(_xlpm.MyAuditVal&lt;&gt;"",_xlpm.MyAuditVal,_xlpm.MacVal&lt;&gt;"",_xlpm.MacVal,_xlpm.CSVVal&lt;&gt;"",_xlpm.CSVVal
)),"")</f>
        <v/>
      </c>
      <c r="E679" s="2" t="str">
        <f>_xlfn.XLOOKUP(A679,My_Audit!A:A,My_Audit!D:D,"")&amp;""</f>
        <v/>
      </c>
      <c r="F679" s="2" t="str" cm="1">
        <f t="array" ref="F679">IFERROR(_xlfn.LET(
_xlpm.CSVVal,_xlfn.XLOOKUP($A679,CSV!$A:$A,CSV!F:F,""),
_xlpm.MacVal,_xlfn.XLOOKUP($A679,Output_Mac!$A:$A,Output_Mac!E:E,""),
_xlpm.MyAuditVal,_xlfn.XLOOKUP($A679,My_Audit!$A:$A,My_Audit!E:E,""),
_xlfn.IFS(_xlpm.MyAuditVal&lt;&gt;"",_xlpm.MyAuditVal,_xlpm.MacVal&lt;&gt;"",_xlpm.MacVal,_xlpm.CSVVal&lt;&gt;"",_xlpm.CSVVal
)),"")</f>
        <v/>
      </c>
      <c r="G679" s="2" t="str" cm="1">
        <f t="array" ref="G679">IFERROR(_xlfn.LET(
_xlpm.CSVVal,_xlfn.XLOOKUP($A679,CSV!$A:$A,CSV!G:G,""),
_xlpm.MacVal,_xlfn.XLOOKUP($A679,Output_Mac!$A:$A,Output_Mac!F:F,""),
_xlpm.MyAuditVal,_xlfn.XLOOKUP($A679,My_Audit!$A:$A,My_Audit!F:F,""),
_xlfn.IFS(_xlpm.MyAuditVal&lt;&gt;"",_xlpm.MyAuditVal,_xlpm.MacVal&lt;&gt;"",_xlpm.MacVal,_xlpm.CSVVal&lt;&gt;"",PROPER(_xlpm.CSVVal)
)),"")</f>
        <v/>
      </c>
      <c r="H679" s="2" t="str" cm="1">
        <f t="array" ref="H679">IFERROR(_xlfn.LET(
_xlpm.CSVVal,_xlfn.XLOOKUP($A679,CSV!$A:$A,CSV!H:H,""),
_xlpm.MacVal,_xlfn.XLOOKUP($A679,Output_Mac!$A:$A,Output_Mac!H:H,""),
_xlpm.MyAuditVal,_xlfn.XLOOKUP($A679,My_Audit!$A:$A,My_Audit!G:G,""),
_xlfn.IFS(_xlpm.MyAuditVal&lt;&gt;"",_xlpm.MyAuditVal,_xlpm.MacVal&lt;&gt;"",_xlpm.MacVal,_xlpm.CSVVal&lt;&gt;"",_xlpm.CSVVal
)),"")</f>
        <v/>
      </c>
      <c r="I679" s="2" t="str">
        <f>_xlfn.XLOOKUP(A679,Output_Mac!A:A,Output_Mac!I:I,"")</f>
        <v/>
      </c>
      <c r="J679" s="2" t="str" cm="1">
        <f t="array" ref="J679">IFERROR(_xlfn.LET(
_xlpm.CSVVal,_xlfn.XLOOKUP($A679,CSV!$A:$A,CSV!I:I,""),
_xlpm.MacVal,_xlfn.XLOOKUP($A679,Output_Mac!$A:$A,Output_Mac!J:J,""),
_xlpm.MyAuditVal,_xlfn.XLOOKUP($A679,My_Audit!$A:$A,My_Audit!I:I,""),
_xlfn.IFS(_xlpm.MyAuditVal&lt;&gt;"",UPPER(_xlpm.MyAuditVal),_xlpm.MacVal&lt;&gt;"",_xlpm.MacVal,_xlpm.CSVVal&lt;&gt;"",_xlpm.CSVVal
)),"")</f>
        <v/>
      </c>
      <c r="K679" s="2" t="str" cm="1">
        <f t="array" ref="K679">IFERROR(_xlfn.LET(
_xlpm.CSVVal,_xlfn.XLOOKUP($A679,CSV!$A:$A,CSV!K:K,""),
_xlpm.MacVal,_xlfn.XLOOKUP($A679,Output_Mac!$A:$A,Output_Mac!K:K,""),
_xlpm.MyAuditVal,_xlfn.XLOOKUP($A679,My_Audit!$A:$A,My_Audit!J:J,""),
_xlfn.IFS(_xlpm.MyAuditVal&lt;&gt;"",UPPER(_xlpm.MyAuditVal),_xlpm.MacVal&lt;&gt;"",_xlpm.MacVal,_xlpm.CSVVal&lt;&gt;"",_xlpm.CSVVal
)),"")</f>
        <v/>
      </c>
      <c r="L679" s="2" t="str" cm="1">
        <f t="array" ref="L679">IFERROR(_xlfn.LET(
_xlpm.CSVVal,_xlfn.XLOOKUP($A679,CSV!$A:$A,CSV!P:P,""),
_xlpm.MacVal,_xlfn.XLOOKUP($A679,Output_Mac!$A:$A,Output_Mac!L:L,""),
_xlpm.MyAuditVal,_xlfn.XLOOKUP($A679,My_Audit!$A:$A,My_Audit!K:K,""),
_xlfn.IFS(_xlpm.MyAuditVal&lt;&gt;"",UPPER(_xlpm.MyAuditVal),_xlpm.MacVal&lt;&gt;"",_xlpm.MacVal,_xlpm.CSVVal&lt;&gt;"",_xlpm.CSVVal
)),"")</f>
        <v/>
      </c>
      <c r="M679" s="2" t="str" cm="1">
        <f t="array" ref="M679">IFERROR(_xlfn.LET(
_xlpm.CSVVal,_xlfn.XLOOKUP($A679,CSV!$A:$A,CSV!Q:Q,""),
_xlpm.MacVal,_xlfn.XLOOKUP($A679,Output_Mac!$A:$A,Output_Mac!M:M,""),
_xlpm.MyAuditVal,_xlfn.XLOOKUP($A679,My_Audit!$A:$A,My_Audit!L:L,""),
_xlfn.IFS(_xlpm.MyAuditVal&lt;&gt;"",UPPER(_xlpm.MyAuditVal),_xlpm.MacVal&lt;&gt;"",_xlpm.MacVal,_xlpm.CSVVal&lt;&gt;"",_xlpm.CSVVal
)),"")</f>
        <v/>
      </c>
      <c r="O679" s="2" t="str">
        <f>_xlfn.LET(
    _xlpm.CSVVal, _xlfn.XLOOKUP($A679, CSV!$A:$A, CSV!AF:AF, ""),
    _xlpm.MacVal, _xlfn.XLOOKUP($A679, Output_Mac!$A:$A, Output_Mac!S:S, ""),
    _xlpm.MyAuditVal, _xlfn.XLOOKUP($A679, My_Audit!$A:$A, My_Audit!P:P, ""),
    _xlfn.TEXTJOIN(", ", TRUE, _xlpm.MyAuditVal, _xlpm.MacVal, _xlpm.CSVVal)
)</f>
        <v/>
      </c>
      <c r="P679" s="2" t="str" cm="1">
        <f t="array" ref="P679">IFERROR(_xlfn.LET(
_xlpm.CSVVal,_xlfn.XLOOKUP($A679,CSV!$A:$A,CSV!AG:AG,""),
_xlpm.MacVal,_xlfn.XLOOKUP($A679,Output_Mac!$A:$A,Output_Mac!T:T,""),
_xlpm.MyAuditVal,_xlfn.XLOOKUP($A679,My_Audit!$A:$A,My_Audit!Q:Q,""),
_xlfn.IFS(_xlpm.MyAuditVal&lt;&gt;"",UPPER(_xlpm.MyAuditVal),_xlpm.MacVal&lt;&gt;"",_xlpm.MacVal,_xlpm.CSVVal&lt;&gt;"",_xlpm.CSVVal
)),"No")</f>
        <v>No</v>
      </c>
      <c r="Q679" s="2" t="str" cm="1">
        <f t="array" ref="Q679">IFERROR(_xlfn.LET(
_xlpm.CSVVal,_xlfn.XLOOKUP($A679,CSV!$A:$A,CSV!AH:AH,""),
_xlpm.MacVal,_xlfn.XLOOKUP($A679,Output_Mac!$A:$A,Output_Mac!U:U,""),
_xlpm.MyAuditVal,_xlfn.XLOOKUP($A679,My_Audit!$A:$A,My_Audit!R:R,""),
_xlfn.IFS(_xlpm.MyAuditVal&lt;&gt;"",UPPER(_xlpm.MyAuditVal),_xlpm.MacVal&lt;&gt;"",_xlpm.MacVal,_xlpm.CSVVal&lt;&gt;"",_xlpm.CSVVal
)),"")</f>
        <v/>
      </c>
    </row>
    <row r="680" spans="1:17">
      <c r="A680" s="2" t="str">
        <f>_xlfn.TEXTJOIN("",TRUE,Input!$B$2,ROW(My_Audit!A679))</f>
        <v>XX679</v>
      </c>
      <c r="B680" s="2" t="str">
        <f>_xlfn.TEXTJOIN("-",TRUE,"ITD",Input!$A$2,A680)</f>
        <v>ITD-SHRXXX-XX679</v>
      </c>
      <c r="C680" s="2" t="str" cm="1">
        <f t="array" ref="C680">IFERROR(_xlfn.LET(
_xlpm.CSVVal,_xlfn.XLOOKUP($A680,CSV!$A:$A,CSV!B:B,""),
_xlpm.MacVal,_xlfn.XLOOKUP($A680,Output_Mac!$A:$A,Output_Mac!B:B,""),
_xlpm.MyAuditVal,_xlfn.XLOOKUP($A680,My_Audit!$A:$A,My_Audit!B:B,""),
_xlfn.IFS(_xlpm.MyAuditVal&lt;&gt;"",UPPER(_xlpm.MyAuditVal),_xlpm.MacVal&lt;&gt;"",_xlpm.MacVal,_xlpm.CSVVal&lt;&gt;"",_xlpm.CSVVal
)),"")</f>
        <v/>
      </c>
      <c r="D680" s="2" t="str" cm="1">
        <f t="array" ref="D680">IFERROR(_xlfn.LET(
_xlpm.CSVVal,_xlfn.XLOOKUP($A680,CSV!$A:$A,CSV!D:D,""),
_xlpm.MacVal,_xlfn.XLOOKUP($A680,Output_Mac!$A:$A,Output_Mac!C:C,""),
_xlpm.MyAuditVal,_xlfn.XLOOKUP($A680,My_Audit!$A:$A,My_Audit!C:C,""),
_xlfn.IFS(_xlpm.MyAuditVal&lt;&gt;"",_xlpm.MyAuditVal,_xlpm.MacVal&lt;&gt;"",_xlpm.MacVal,_xlpm.CSVVal&lt;&gt;"",_xlpm.CSVVal
)),"")</f>
        <v/>
      </c>
      <c r="E680" s="2" t="str">
        <f>_xlfn.XLOOKUP(A680,My_Audit!A:A,My_Audit!D:D,"")&amp;""</f>
        <v/>
      </c>
      <c r="F680" s="2" t="str" cm="1">
        <f t="array" ref="F680">IFERROR(_xlfn.LET(
_xlpm.CSVVal,_xlfn.XLOOKUP($A680,CSV!$A:$A,CSV!F:F,""),
_xlpm.MacVal,_xlfn.XLOOKUP($A680,Output_Mac!$A:$A,Output_Mac!E:E,""),
_xlpm.MyAuditVal,_xlfn.XLOOKUP($A680,My_Audit!$A:$A,My_Audit!E:E,""),
_xlfn.IFS(_xlpm.MyAuditVal&lt;&gt;"",_xlpm.MyAuditVal,_xlpm.MacVal&lt;&gt;"",_xlpm.MacVal,_xlpm.CSVVal&lt;&gt;"",_xlpm.CSVVal
)),"")</f>
        <v/>
      </c>
      <c r="G680" s="2" t="str" cm="1">
        <f t="array" ref="G680">IFERROR(_xlfn.LET(
_xlpm.CSVVal,_xlfn.XLOOKUP($A680,CSV!$A:$A,CSV!G:G,""),
_xlpm.MacVal,_xlfn.XLOOKUP($A680,Output_Mac!$A:$A,Output_Mac!F:F,""),
_xlpm.MyAuditVal,_xlfn.XLOOKUP($A680,My_Audit!$A:$A,My_Audit!F:F,""),
_xlfn.IFS(_xlpm.MyAuditVal&lt;&gt;"",_xlpm.MyAuditVal,_xlpm.MacVal&lt;&gt;"",_xlpm.MacVal,_xlpm.CSVVal&lt;&gt;"",PROPER(_xlpm.CSVVal)
)),"")</f>
        <v/>
      </c>
      <c r="H680" s="2" t="str" cm="1">
        <f t="array" ref="H680">IFERROR(_xlfn.LET(
_xlpm.CSVVal,_xlfn.XLOOKUP($A680,CSV!$A:$A,CSV!H:H,""),
_xlpm.MacVal,_xlfn.XLOOKUP($A680,Output_Mac!$A:$A,Output_Mac!H:H,""),
_xlpm.MyAuditVal,_xlfn.XLOOKUP($A680,My_Audit!$A:$A,My_Audit!G:G,""),
_xlfn.IFS(_xlpm.MyAuditVal&lt;&gt;"",_xlpm.MyAuditVal,_xlpm.MacVal&lt;&gt;"",_xlpm.MacVal,_xlpm.CSVVal&lt;&gt;"",_xlpm.CSVVal
)),"")</f>
        <v/>
      </c>
      <c r="I680" s="2" t="str">
        <f>_xlfn.XLOOKUP(A680,Output_Mac!A:A,Output_Mac!I:I,"")</f>
        <v/>
      </c>
      <c r="J680" s="2" t="str" cm="1">
        <f t="array" ref="J680">IFERROR(_xlfn.LET(
_xlpm.CSVVal,_xlfn.XLOOKUP($A680,CSV!$A:$A,CSV!I:I,""),
_xlpm.MacVal,_xlfn.XLOOKUP($A680,Output_Mac!$A:$A,Output_Mac!J:J,""),
_xlpm.MyAuditVal,_xlfn.XLOOKUP($A680,My_Audit!$A:$A,My_Audit!I:I,""),
_xlfn.IFS(_xlpm.MyAuditVal&lt;&gt;"",UPPER(_xlpm.MyAuditVal),_xlpm.MacVal&lt;&gt;"",_xlpm.MacVal,_xlpm.CSVVal&lt;&gt;"",_xlpm.CSVVal
)),"")</f>
        <v/>
      </c>
      <c r="K680" s="2" t="str" cm="1">
        <f t="array" ref="K680">IFERROR(_xlfn.LET(
_xlpm.CSVVal,_xlfn.XLOOKUP($A680,CSV!$A:$A,CSV!K:K,""),
_xlpm.MacVal,_xlfn.XLOOKUP($A680,Output_Mac!$A:$A,Output_Mac!K:K,""),
_xlpm.MyAuditVal,_xlfn.XLOOKUP($A680,My_Audit!$A:$A,My_Audit!J:J,""),
_xlfn.IFS(_xlpm.MyAuditVal&lt;&gt;"",UPPER(_xlpm.MyAuditVal),_xlpm.MacVal&lt;&gt;"",_xlpm.MacVal,_xlpm.CSVVal&lt;&gt;"",_xlpm.CSVVal
)),"")</f>
        <v/>
      </c>
      <c r="L680" s="2" t="str" cm="1">
        <f t="array" ref="L680">IFERROR(_xlfn.LET(
_xlpm.CSVVal,_xlfn.XLOOKUP($A680,CSV!$A:$A,CSV!P:P,""),
_xlpm.MacVal,_xlfn.XLOOKUP($A680,Output_Mac!$A:$A,Output_Mac!L:L,""),
_xlpm.MyAuditVal,_xlfn.XLOOKUP($A680,My_Audit!$A:$A,My_Audit!K:K,""),
_xlfn.IFS(_xlpm.MyAuditVal&lt;&gt;"",UPPER(_xlpm.MyAuditVal),_xlpm.MacVal&lt;&gt;"",_xlpm.MacVal,_xlpm.CSVVal&lt;&gt;"",_xlpm.CSVVal
)),"")</f>
        <v/>
      </c>
      <c r="M680" s="2" t="str" cm="1">
        <f t="array" ref="M680">IFERROR(_xlfn.LET(
_xlpm.CSVVal,_xlfn.XLOOKUP($A680,CSV!$A:$A,CSV!Q:Q,""),
_xlpm.MacVal,_xlfn.XLOOKUP($A680,Output_Mac!$A:$A,Output_Mac!M:M,""),
_xlpm.MyAuditVal,_xlfn.XLOOKUP($A680,My_Audit!$A:$A,My_Audit!L:L,""),
_xlfn.IFS(_xlpm.MyAuditVal&lt;&gt;"",UPPER(_xlpm.MyAuditVal),_xlpm.MacVal&lt;&gt;"",_xlpm.MacVal,_xlpm.CSVVal&lt;&gt;"",_xlpm.CSVVal
)),"")</f>
        <v/>
      </c>
      <c r="O680" s="2" t="str">
        <f>_xlfn.LET(
    _xlpm.CSVVal, _xlfn.XLOOKUP($A680, CSV!$A:$A, CSV!AF:AF, ""),
    _xlpm.MacVal, _xlfn.XLOOKUP($A680, Output_Mac!$A:$A, Output_Mac!S:S, ""),
    _xlpm.MyAuditVal, _xlfn.XLOOKUP($A680, My_Audit!$A:$A, My_Audit!P:P, ""),
    _xlfn.TEXTJOIN(", ", TRUE, _xlpm.MyAuditVal, _xlpm.MacVal, _xlpm.CSVVal)
)</f>
        <v/>
      </c>
      <c r="P680" s="2" t="str" cm="1">
        <f t="array" ref="P680">IFERROR(_xlfn.LET(
_xlpm.CSVVal,_xlfn.XLOOKUP($A680,CSV!$A:$A,CSV!AG:AG,""),
_xlpm.MacVal,_xlfn.XLOOKUP($A680,Output_Mac!$A:$A,Output_Mac!T:T,""),
_xlpm.MyAuditVal,_xlfn.XLOOKUP($A680,My_Audit!$A:$A,My_Audit!Q:Q,""),
_xlfn.IFS(_xlpm.MyAuditVal&lt;&gt;"",UPPER(_xlpm.MyAuditVal),_xlpm.MacVal&lt;&gt;"",_xlpm.MacVal,_xlpm.CSVVal&lt;&gt;"",_xlpm.CSVVal
)),"No")</f>
        <v>No</v>
      </c>
      <c r="Q680" s="2" t="str" cm="1">
        <f t="array" ref="Q680">IFERROR(_xlfn.LET(
_xlpm.CSVVal,_xlfn.XLOOKUP($A680,CSV!$A:$A,CSV!AH:AH,""),
_xlpm.MacVal,_xlfn.XLOOKUP($A680,Output_Mac!$A:$A,Output_Mac!U:U,""),
_xlpm.MyAuditVal,_xlfn.XLOOKUP($A680,My_Audit!$A:$A,My_Audit!R:R,""),
_xlfn.IFS(_xlpm.MyAuditVal&lt;&gt;"",UPPER(_xlpm.MyAuditVal),_xlpm.MacVal&lt;&gt;"",_xlpm.MacVal,_xlpm.CSVVal&lt;&gt;"",_xlpm.CSVVal
)),"")</f>
        <v/>
      </c>
    </row>
    <row r="681" spans="1:17">
      <c r="A681" s="2" t="str">
        <f>_xlfn.TEXTJOIN("",TRUE,Input!$B$2,ROW(My_Audit!A680))</f>
        <v>XX680</v>
      </c>
      <c r="B681" s="2" t="str">
        <f>_xlfn.TEXTJOIN("-",TRUE,"ITD",Input!$A$2,A681)</f>
        <v>ITD-SHRXXX-XX680</v>
      </c>
      <c r="C681" s="2" t="str" cm="1">
        <f t="array" ref="C681">IFERROR(_xlfn.LET(
_xlpm.CSVVal,_xlfn.XLOOKUP($A681,CSV!$A:$A,CSV!B:B,""),
_xlpm.MacVal,_xlfn.XLOOKUP($A681,Output_Mac!$A:$A,Output_Mac!B:B,""),
_xlpm.MyAuditVal,_xlfn.XLOOKUP($A681,My_Audit!$A:$A,My_Audit!B:B,""),
_xlfn.IFS(_xlpm.MyAuditVal&lt;&gt;"",UPPER(_xlpm.MyAuditVal),_xlpm.MacVal&lt;&gt;"",_xlpm.MacVal,_xlpm.CSVVal&lt;&gt;"",_xlpm.CSVVal
)),"")</f>
        <v/>
      </c>
      <c r="D681" s="2" t="str" cm="1">
        <f t="array" ref="D681">IFERROR(_xlfn.LET(
_xlpm.CSVVal,_xlfn.XLOOKUP($A681,CSV!$A:$A,CSV!D:D,""),
_xlpm.MacVal,_xlfn.XLOOKUP($A681,Output_Mac!$A:$A,Output_Mac!C:C,""),
_xlpm.MyAuditVal,_xlfn.XLOOKUP($A681,My_Audit!$A:$A,My_Audit!C:C,""),
_xlfn.IFS(_xlpm.MyAuditVal&lt;&gt;"",_xlpm.MyAuditVal,_xlpm.MacVal&lt;&gt;"",_xlpm.MacVal,_xlpm.CSVVal&lt;&gt;"",_xlpm.CSVVal
)),"")</f>
        <v/>
      </c>
      <c r="E681" s="2" t="str">
        <f>_xlfn.XLOOKUP(A681,My_Audit!A:A,My_Audit!D:D,"")&amp;""</f>
        <v/>
      </c>
      <c r="F681" s="2" t="str" cm="1">
        <f t="array" ref="F681">IFERROR(_xlfn.LET(
_xlpm.CSVVal,_xlfn.XLOOKUP($A681,CSV!$A:$A,CSV!F:F,""),
_xlpm.MacVal,_xlfn.XLOOKUP($A681,Output_Mac!$A:$A,Output_Mac!E:E,""),
_xlpm.MyAuditVal,_xlfn.XLOOKUP($A681,My_Audit!$A:$A,My_Audit!E:E,""),
_xlfn.IFS(_xlpm.MyAuditVal&lt;&gt;"",_xlpm.MyAuditVal,_xlpm.MacVal&lt;&gt;"",_xlpm.MacVal,_xlpm.CSVVal&lt;&gt;"",_xlpm.CSVVal
)),"")</f>
        <v/>
      </c>
      <c r="G681" s="2" t="str" cm="1">
        <f t="array" ref="G681">IFERROR(_xlfn.LET(
_xlpm.CSVVal,_xlfn.XLOOKUP($A681,CSV!$A:$A,CSV!G:G,""),
_xlpm.MacVal,_xlfn.XLOOKUP($A681,Output_Mac!$A:$A,Output_Mac!F:F,""),
_xlpm.MyAuditVal,_xlfn.XLOOKUP($A681,My_Audit!$A:$A,My_Audit!F:F,""),
_xlfn.IFS(_xlpm.MyAuditVal&lt;&gt;"",_xlpm.MyAuditVal,_xlpm.MacVal&lt;&gt;"",_xlpm.MacVal,_xlpm.CSVVal&lt;&gt;"",PROPER(_xlpm.CSVVal)
)),"")</f>
        <v/>
      </c>
      <c r="H681" s="2" t="str" cm="1">
        <f t="array" ref="H681">IFERROR(_xlfn.LET(
_xlpm.CSVVal,_xlfn.XLOOKUP($A681,CSV!$A:$A,CSV!H:H,""),
_xlpm.MacVal,_xlfn.XLOOKUP($A681,Output_Mac!$A:$A,Output_Mac!H:H,""),
_xlpm.MyAuditVal,_xlfn.XLOOKUP($A681,My_Audit!$A:$A,My_Audit!G:G,""),
_xlfn.IFS(_xlpm.MyAuditVal&lt;&gt;"",_xlpm.MyAuditVal,_xlpm.MacVal&lt;&gt;"",_xlpm.MacVal,_xlpm.CSVVal&lt;&gt;"",_xlpm.CSVVal
)),"")</f>
        <v/>
      </c>
      <c r="I681" s="2" t="str">
        <f>_xlfn.XLOOKUP(A681,Output_Mac!A:A,Output_Mac!I:I,"")</f>
        <v/>
      </c>
      <c r="J681" s="2" t="str" cm="1">
        <f t="array" ref="J681">IFERROR(_xlfn.LET(
_xlpm.CSVVal,_xlfn.XLOOKUP($A681,CSV!$A:$A,CSV!I:I,""),
_xlpm.MacVal,_xlfn.XLOOKUP($A681,Output_Mac!$A:$A,Output_Mac!J:J,""),
_xlpm.MyAuditVal,_xlfn.XLOOKUP($A681,My_Audit!$A:$A,My_Audit!I:I,""),
_xlfn.IFS(_xlpm.MyAuditVal&lt;&gt;"",UPPER(_xlpm.MyAuditVal),_xlpm.MacVal&lt;&gt;"",_xlpm.MacVal,_xlpm.CSVVal&lt;&gt;"",_xlpm.CSVVal
)),"")</f>
        <v/>
      </c>
      <c r="K681" s="2" t="str" cm="1">
        <f t="array" ref="K681">IFERROR(_xlfn.LET(
_xlpm.CSVVal,_xlfn.XLOOKUP($A681,CSV!$A:$A,CSV!K:K,""),
_xlpm.MacVal,_xlfn.XLOOKUP($A681,Output_Mac!$A:$A,Output_Mac!K:K,""),
_xlpm.MyAuditVal,_xlfn.XLOOKUP($A681,My_Audit!$A:$A,My_Audit!J:J,""),
_xlfn.IFS(_xlpm.MyAuditVal&lt;&gt;"",UPPER(_xlpm.MyAuditVal),_xlpm.MacVal&lt;&gt;"",_xlpm.MacVal,_xlpm.CSVVal&lt;&gt;"",_xlpm.CSVVal
)),"")</f>
        <v/>
      </c>
      <c r="L681" s="2" t="str" cm="1">
        <f t="array" ref="L681">IFERROR(_xlfn.LET(
_xlpm.CSVVal,_xlfn.XLOOKUP($A681,CSV!$A:$A,CSV!P:P,""),
_xlpm.MacVal,_xlfn.XLOOKUP($A681,Output_Mac!$A:$A,Output_Mac!L:L,""),
_xlpm.MyAuditVal,_xlfn.XLOOKUP($A681,My_Audit!$A:$A,My_Audit!K:K,""),
_xlfn.IFS(_xlpm.MyAuditVal&lt;&gt;"",UPPER(_xlpm.MyAuditVal),_xlpm.MacVal&lt;&gt;"",_xlpm.MacVal,_xlpm.CSVVal&lt;&gt;"",_xlpm.CSVVal
)),"")</f>
        <v/>
      </c>
      <c r="M681" s="2" t="str" cm="1">
        <f t="array" ref="M681">IFERROR(_xlfn.LET(
_xlpm.CSVVal,_xlfn.XLOOKUP($A681,CSV!$A:$A,CSV!Q:Q,""),
_xlpm.MacVal,_xlfn.XLOOKUP($A681,Output_Mac!$A:$A,Output_Mac!M:M,""),
_xlpm.MyAuditVal,_xlfn.XLOOKUP($A681,My_Audit!$A:$A,My_Audit!L:L,""),
_xlfn.IFS(_xlpm.MyAuditVal&lt;&gt;"",UPPER(_xlpm.MyAuditVal),_xlpm.MacVal&lt;&gt;"",_xlpm.MacVal,_xlpm.CSVVal&lt;&gt;"",_xlpm.CSVVal
)),"")</f>
        <v/>
      </c>
      <c r="O681" s="2" t="str">
        <f>_xlfn.LET(
    _xlpm.CSVVal, _xlfn.XLOOKUP($A681, CSV!$A:$A, CSV!AF:AF, ""),
    _xlpm.MacVal, _xlfn.XLOOKUP($A681, Output_Mac!$A:$A, Output_Mac!S:S, ""),
    _xlpm.MyAuditVal, _xlfn.XLOOKUP($A681, My_Audit!$A:$A, My_Audit!P:P, ""),
    _xlfn.TEXTJOIN(", ", TRUE, _xlpm.MyAuditVal, _xlpm.MacVal, _xlpm.CSVVal)
)</f>
        <v/>
      </c>
      <c r="P681" s="2" t="str" cm="1">
        <f t="array" ref="P681">IFERROR(_xlfn.LET(
_xlpm.CSVVal,_xlfn.XLOOKUP($A681,CSV!$A:$A,CSV!AG:AG,""),
_xlpm.MacVal,_xlfn.XLOOKUP($A681,Output_Mac!$A:$A,Output_Mac!T:T,""),
_xlpm.MyAuditVal,_xlfn.XLOOKUP($A681,My_Audit!$A:$A,My_Audit!Q:Q,""),
_xlfn.IFS(_xlpm.MyAuditVal&lt;&gt;"",UPPER(_xlpm.MyAuditVal),_xlpm.MacVal&lt;&gt;"",_xlpm.MacVal,_xlpm.CSVVal&lt;&gt;"",_xlpm.CSVVal
)),"No")</f>
        <v>No</v>
      </c>
      <c r="Q681" s="2" t="str" cm="1">
        <f t="array" ref="Q681">IFERROR(_xlfn.LET(
_xlpm.CSVVal,_xlfn.XLOOKUP($A681,CSV!$A:$A,CSV!AH:AH,""),
_xlpm.MacVal,_xlfn.XLOOKUP($A681,Output_Mac!$A:$A,Output_Mac!U:U,""),
_xlpm.MyAuditVal,_xlfn.XLOOKUP($A681,My_Audit!$A:$A,My_Audit!R:R,""),
_xlfn.IFS(_xlpm.MyAuditVal&lt;&gt;"",UPPER(_xlpm.MyAuditVal),_xlpm.MacVal&lt;&gt;"",_xlpm.MacVal,_xlpm.CSVVal&lt;&gt;"",_xlpm.CSVVal
)),"")</f>
        <v/>
      </c>
    </row>
    <row r="682" spans="1:17">
      <c r="A682" s="2" t="str">
        <f>_xlfn.TEXTJOIN("",TRUE,Input!$B$2,ROW(My_Audit!A681))</f>
        <v>XX681</v>
      </c>
      <c r="B682" s="2" t="str">
        <f>_xlfn.TEXTJOIN("-",TRUE,"ITD",Input!$A$2,A682)</f>
        <v>ITD-SHRXXX-XX681</v>
      </c>
      <c r="C682" s="2" t="str" cm="1">
        <f t="array" ref="C682">IFERROR(_xlfn.LET(
_xlpm.CSVVal,_xlfn.XLOOKUP($A682,CSV!$A:$A,CSV!B:B,""),
_xlpm.MacVal,_xlfn.XLOOKUP($A682,Output_Mac!$A:$A,Output_Mac!B:B,""),
_xlpm.MyAuditVal,_xlfn.XLOOKUP($A682,My_Audit!$A:$A,My_Audit!B:B,""),
_xlfn.IFS(_xlpm.MyAuditVal&lt;&gt;"",UPPER(_xlpm.MyAuditVal),_xlpm.MacVal&lt;&gt;"",_xlpm.MacVal,_xlpm.CSVVal&lt;&gt;"",_xlpm.CSVVal
)),"")</f>
        <v/>
      </c>
      <c r="D682" s="2" t="str" cm="1">
        <f t="array" ref="D682">IFERROR(_xlfn.LET(
_xlpm.CSVVal,_xlfn.XLOOKUP($A682,CSV!$A:$A,CSV!D:D,""),
_xlpm.MacVal,_xlfn.XLOOKUP($A682,Output_Mac!$A:$A,Output_Mac!C:C,""),
_xlpm.MyAuditVal,_xlfn.XLOOKUP($A682,My_Audit!$A:$A,My_Audit!C:C,""),
_xlfn.IFS(_xlpm.MyAuditVal&lt;&gt;"",_xlpm.MyAuditVal,_xlpm.MacVal&lt;&gt;"",_xlpm.MacVal,_xlpm.CSVVal&lt;&gt;"",_xlpm.CSVVal
)),"")</f>
        <v/>
      </c>
      <c r="E682" s="2" t="str">
        <f>_xlfn.XLOOKUP(A682,My_Audit!A:A,My_Audit!D:D,"")&amp;""</f>
        <v/>
      </c>
      <c r="F682" s="2" t="str" cm="1">
        <f t="array" ref="F682">IFERROR(_xlfn.LET(
_xlpm.CSVVal,_xlfn.XLOOKUP($A682,CSV!$A:$A,CSV!F:F,""),
_xlpm.MacVal,_xlfn.XLOOKUP($A682,Output_Mac!$A:$A,Output_Mac!E:E,""),
_xlpm.MyAuditVal,_xlfn.XLOOKUP($A682,My_Audit!$A:$A,My_Audit!E:E,""),
_xlfn.IFS(_xlpm.MyAuditVal&lt;&gt;"",_xlpm.MyAuditVal,_xlpm.MacVal&lt;&gt;"",_xlpm.MacVal,_xlpm.CSVVal&lt;&gt;"",_xlpm.CSVVal
)),"")</f>
        <v/>
      </c>
      <c r="G682" s="2" t="str" cm="1">
        <f t="array" ref="G682">IFERROR(_xlfn.LET(
_xlpm.CSVVal,_xlfn.XLOOKUP($A682,CSV!$A:$A,CSV!G:G,""),
_xlpm.MacVal,_xlfn.XLOOKUP($A682,Output_Mac!$A:$A,Output_Mac!F:F,""),
_xlpm.MyAuditVal,_xlfn.XLOOKUP($A682,My_Audit!$A:$A,My_Audit!F:F,""),
_xlfn.IFS(_xlpm.MyAuditVal&lt;&gt;"",_xlpm.MyAuditVal,_xlpm.MacVal&lt;&gt;"",_xlpm.MacVal,_xlpm.CSVVal&lt;&gt;"",PROPER(_xlpm.CSVVal)
)),"")</f>
        <v/>
      </c>
      <c r="H682" s="2" t="str" cm="1">
        <f t="array" ref="H682">IFERROR(_xlfn.LET(
_xlpm.CSVVal,_xlfn.XLOOKUP($A682,CSV!$A:$A,CSV!H:H,""),
_xlpm.MacVal,_xlfn.XLOOKUP($A682,Output_Mac!$A:$A,Output_Mac!H:H,""),
_xlpm.MyAuditVal,_xlfn.XLOOKUP($A682,My_Audit!$A:$A,My_Audit!G:G,""),
_xlfn.IFS(_xlpm.MyAuditVal&lt;&gt;"",_xlpm.MyAuditVal,_xlpm.MacVal&lt;&gt;"",_xlpm.MacVal,_xlpm.CSVVal&lt;&gt;"",_xlpm.CSVVal
)),"")</f>
        <v/>
      </c>
      <c r="I682" s="2" t="str">
        <f>_xlfn.XLOOKUP(A682,Output_Mac!A:A,Output_Mac!I:I,"")</f>
        <v/>
      </c>
      <c r="J682" s="2" t="str" cm="1">
        <f t="array" ref="J682">IFERROR(_xlfn.LET(
_xlpm.CSVVal,_xlfn.XLOOKUP($A682,CSV!$A:$A,CSV!I:I,""),
_xlpm.MacVal,_xlfn.XLOOKUP($A682,Output_Mac!$A:$A,Output_Mac!J:J,""),
_xlpm.MyAuditVal,_xlfn.XLOOKUP($A682,My_Audit!$A:$A,My_Audit!I:I,""),
_xlfn.IFS(_xlpm.MyAuditVal&lt;&gt;"",UPPER(_xlpm.MyAuditVal),_xlpm.MacVal&lt;&gt;"",_xlpm.MacVal,_xlpm.CSVVal&lt;&gt;"",_xlpm.CSVVal
)),"")</f>
        <v/>
      </c>
      <c r="K682" s="2" t="str" cm="1">
        <f t="array" ref="K682">IFERROR(_xlfn.LET(
_xlpm.CSVVal,_xlfn.XLOOKUP($A682,CSV!$A:$A,CSV!K:K,""),
_xlpm.MacVal,_xlfn.XLOOKUP($A682,Output_Mac!$A:$A,Output_Mac!K:K,""),
_xlpm.MyAuditVal,_xlfn.XLOOKUP($A682,My_Audit!$A:$A,My_Audit!J:J,""),
_xlfn.IFS(_xlpm.MyAuditVal&lt;&gt;"",UPPER(_xlpm.MyAuditVal),_xlpm.MacVal&lt;&gt;"",_xlpm.MacVal,_xlpm.CSVVal&lt;&gt;"",_xlpm.CSVVal
)),"")</f>
        <v/>
      </c>
      <c r="L682" s="2" t="str" cm="1">
        <f t="array" ref="L682">IFERROR(_xlfn.LET(
_xlpm.CSVVal,_xlfn.XLOOKUP($A682,CSV!$A:$A,CSV!P:P,""),
_xlpm.MacVal,_xlfn.XLOOKUP($A682,Output_Mac!$A:$A,Output_Mac!L:L,""),
_xlpm.MyAuditVal,_xlfn.XLOOKUP($A682,My_Audit!$A:$A,My_Audit!K:K,""),
_xlfn.IFS(_xlpm.MyAuditVal&lt;&gt;"",UPPER(_xlpm.MyAuditVal),_xlpm.MacVal&lt;&gt;"",_xlpm.MacVal,_xlpm.CSVVal&lt;&gt;"",_xlpm.CSVVal
)),"")</f>
        <v/>
      </c>
      <c r="M682" s="2" t="str" cm="1">
        <f t="array" ref="M682">IFERROR(_xlfn.LET(
_xlpm.CSVVal,_xlfn.XLOOKUP($A682,CSV!$A:$A,CSV!Q:Q,""),
_xlpm.MacVal,_xlfn.XLOOKUP($A682,Output_Mac!$A:$A,Output_Mac!M:M,""),
_xlpm.MyAuditVal,_xlfn.XLOOKUP($A682,My_Audit!$A:$A,My_Audit!L:L,""),
_xlfn.IFS(_xlpm.MyAuditVal&lt;&gt;"",UPPER(_xlpm.MyAuditVal),_xlpm.MacVal&lt;&gt;"",_xlpm.MacVal,_xlpm.CSVVal&lt;&gt;"",_xlpm.CSVVal
)),"")</f>
        <v/>
      </c>
      <c r="O682" s="2" t="str">
        <f>_xlfn.LET(
    _xlpm.CSVVal, _xlfn.XLOOKUP($A682, CSV!$A:$A, CSV!AF:AF, ""),
    _xlpm.MacVal, _xlfn.XLOOKUP($A682, Output_Mac!$A:$A, Output_Mac!S:S, ""),
    _xlpm.MyAuditVal, _xlfn.XLOOKUP($A682, My_Audit!$A:$A, My_Audit!P:P, ""),
    _xlfn.TEXTJOIN(", ", TRUE, _xlpm.MyAuditVal, _xlpm.MacVal, _xlpm.CSVVal)
)</f>
        <v/>
      </c>
      <c r="P682" s="2" t="str" cm="1">
        <f t="array" ref="P682">IFERROR(_xlfn.LET(
_xlpm.CSVVal,_xlfn.XLOOKUP($A682,CSV!$A:$A,CSV!AG:AG,""),
_xlpm.MacVal,_xlfn.XLOOKUP($A682,Output_Mac!$A:$A,Output_Mac!T:T,""),
_xlpm.MyAuditVal,_xlfn.XLOOKUP($A682,My_Audit!$A:$A,My_Audit!Q:Q,""),
_xlfn.IFS(_xlpm.MyAuditVal&lt;&gt;"",UPPER(_xlpm.MyAuditVal),_xlpm.MacVal&lt;&gt;"",_xlpm.MacVal,_xlpm.CSVVal&lt;&gt;"",_xlpm.CSVVal
)),"No")</f>
        <v>No</v>
      </c>
      <c r="Q682" s="2" t="str" cm="1">
        <f t="array" ref="Q682">IFERROR(_xlfn.LET(
_xlpm.CSVVal,_xlfn.XLOOKUP($A682,CSV!$A:$A,CSV!AH:AH,""),
_xlpm.MacVal,_xlfn.XLOOKUP($A682,Output_Mac!$A:$A,Output_Mac!U:U,""),
_xlpm.MyAuditVal,_xlfn.XLOOKUP($A682,My_Audit!$A:$A,My_Audit!R:R,""),
_xlfn.IFS(_xlpm.MyAuditVal&lt;&gt;"",UPPER(_xlpm.MyAuditVal),_xlpm.MacVal&lt;&gt;"",_xlpm.MacVal,_xlpm.CSVVal&lt;&gt;"",_xlpm.CSVVal
)),"")</f>
        <v/>
      </c>
    </row>
    <row r="683" spans="1:17">
      <c r="A683" s="2" t="str">
        <f>_xlfn.TEXTJOIN("",TRUE,Input!$B$2,ROW(My_Audit!A682))</f>
        <v>XX682</v>
      </c>
      <c r="B683" s="2" t="str">
        <f>_xlfn.TEXTJOIN("-",TRUE,"ITD",Input!$A$2,A683)</f>
        <v>ITD-SHRXXX-XX682</v>
      </c>
      <c r="C683" s="2" t="str" cm="1">
        <f t="array" ref="C683">IFERROR(_xlfn.LET(
_xlpm.CSVVal,_xlfn.XLOOKUP($A683,CSV!$A:$A,CSV!B:B,""),
_xlpm.MacVal,_xlfn.XLOOKUP($A683,Output_Mac!$A:$A,Output_Mac!B:B,""),
_xlpm.MyAuditVal,_xlfn.XLOOKUP($A683,My_Audit!$A:$A,My_Audit!B:B,""),
_xlfn.IFS(_xlpm.MyAuditVal&lt;&gt;"",UPPER(_xlpm.MyAuditVal),_xlpm.MacVal&lt;&gt;"",_xlpm.MacVal,_xlpm.CSVVal&lt;&gt;"",_xlpm.CSVVal
)),"")</f>
        <v/>
      </c>
      <c r="D683" s="2" t="str" cm="1">
        <f t="array" ref="D683">IFERROR(_xlfn.LET(
_xlpm.CSVVal,_xlfn.XLOOKUP($A683,CSV!$A:$A,CSV!D:D,""),
_xlpm.MacVal,_xlfn.XLOOKUP($A683,Output_Mac!$A:$A,Output_Mac!C:C,""),
_xlpm.MyAuditVal,_xlfn.XLOOKUP($A683,My_Audit!$A:$A,My_Audit!C:C,""),
_xlfn.IFS(_xlpm.MyAuditVal&lt;&gt;"",_xlpm.MyAuditVal,_xlpm.MacVal&lt;&gt;"",_xlpm.MacVal,_xlpm.CSVVal&lt;&gt;"",_xlpm.CSVVal
)),"")</f>
        <v/>
      </c>
      <c r="E683" s="2" t="str">
        <f>_xlfn.XLOOKUP(A683,My_Audit!A:A,My_Audit!D:D,"")&amp;""</f>
        <v/>
      </c>
      <c r="F683" s="2" t="str" cm="1">
        <f t="array" ref="F683">IFERROR(_xlfn.LET(
_xlpm.CSVVal,_xlfn.XLOOKUP($A683,CSV!$A:$A,CSV!F:F,""),
_xlpm.MacVal,_xlfn.XLOOKUP($A683,Output_Mac!$A:$A,Output_Mac!E:E,""),
_xlpm.MyAuditVal,_xlfn.XLOOKUP($A683,My_Audit!$A:$A,My_Audit!E:E,""),
_xlfn.IFS(_xlpm.MyAuditVal&lt;&gt;"",_xlpm.MyAuditVal,_xlpm.MacVal&lt;&gt;"",_xlpm.MacVal,_xlpm.CSVVal&lt;&gt;"",_xlpm.CSVVal
)),"")</f>
        <v/>
      </c>
      <c r="G683" s="2" t="str" cm="1">
        <f t="array" ref="G683">IFERROR(_xlfn.LET(
_xlpm.CSVVal,_xlfn.XLOOKUP($A683,CSV!$A:$A,CSV!G:G,""),
_xlpm.MacVal,_xlfn.XLOOKUP($A683,Output_Mac!$A:$A,Output_Mac!F:F,""),
_xlpm.MyAuditVal,_xlfn.XLOOKUP($A683,My_Audit!$A:$A,My_Audit!F:F,""),
_xlfn.IFS(_xlpm.MyAuditVal&lt;&gt;"",_xlpm.MyAuditVal,_xlpm.MacVal&lt;&gt;"",_xlpm.MacVal,_xlpm.CSVVal&lt;&gt;"",PROPER(_xlpm.CSVVal)
)),"")</f>
        <v/>
      </c>
      <c r="H683" s="2" t="str" cm="1">
        <f t="array" ref="H683">IFERROR(_xlfn.LET(
_xlpm.CSVVal,_xlfn.XLOOKUP($A683,CSV!$A:$A,CSV!H:H,""),
_xlpm.MacVal,_xlfn.XLOOKUP($A683,Output_Mac!$A:$A,Output_Mac!H:H,""),
_xlpm.MyAuditVal,_xlfn.XLOOKUP($A683,My_Audit!$A:$A,My_Audit!G:G,""),
_xlfn.IFS(_xlpm.MyAuditVal&lt;&gt;"",_xlpm.MyAuditVal,_xlpm.MacVal&lt;&gt;"",_xlpm.MacVal,_xlpm.CSVVal&lt;&gt;"",_xlpm.CSVVal
)),"")</f>
        <v/>
      </c>
      <c r="I683" s="2" t="str">
        <f>_xlfn.XLOOKUP(A683,Output_Mac!A:A,Output_Mac!I:I,"")</f>
        <v/>
      </c>
      <c r="J683" s="2" t="str" cm="1">
        <f t="array" ref="J683">IFERROR(_xlfn.LET(
_xlpm.CSVVal,_xlfn.XLOOKUP($A683,CSV!$A:$A,CSV!I:I,""),
_xlpm.MacVal,_xlfn.XLOOKUP($A683,Output_Mac!$A:$A,Output_Mac!J:J,""),
_xlpm.MyAuditVal,_xlfn.XLOOKUP($A683,My_Audit!$A:$A,My_Audit!I:I,""),
_xlfn.IFS(_xlpm.MyAuditVal&lt;&gt;"",UPPER(_xlpm.MyAuditVal),_xlpm.MacVal&lt;&gt;"",_xlpm.MacVal,_xlpm.CSVVal&lt;&gt;"",_xlpm.CSVVal
)),"")</f>
        <v/>
      </c>
      <c r="K683" s="2" t="str" cm="1">
        <f t="array" ref="K683">IFERROR(_xlfn.LET(
_xlpm.CSVVal,_xlfn.XLOOKUP($A683,CSV!$A:$A,CSV!K:K,""),
_xlpm.MacVal,_xlfn.XLOOKUP($A683,Output_Mac!$A:$A,Output_Mac!K:K,""),
_xlpm.MyAuditVal,_xlfn.XLOOKUP($A683,My_Audit!$A:$A,My_Audit!J:J,""),
_xlfn.IFS(_xlpm.MyAuditVal&lt;&gt;"",UPPER(_xlpm.MyAuditVal),_xlpm.MacVal&lt;&gt;"",_xlpm.MacVal,_xlpm.CSVVal&lt;&gt;"",_xlpm.CSVVal
)),"")</f>
        <v/>
      </c>
      <c r="L683" s="2" t="str" cm="1">
        <f t="array" ref="L683">IFERROR(_xlfn.LET(
_xlpm.CSVVal,_xlfn.XLOOKUP($A683,CSV!$A:$A,CSV!P:P,""),
_xlpm.MacVal,_xlfn.XLOOKUP($A683,Output_Mac!$A:$A,Output_Mac!L:L,""),
_xlpm.MyAuditVal,_xlfn.XLOOKUP($A683,My_Audit!$A:$A,My_Audit!K:K,""),
_xlfn.IFS(_xlpm.MyAuditVal&lt;&gt;"",UPPER(_xlpm.MyAuditVal),_xlpm.MacVal&lt;&gt;"",_xlpm.MacVal,_xlpm.CSVVal&lt;&gt;"",_xlpm.CSVVal
)),"")</f>
        <v/>
      </c>
      <c r="M683" s="2" t="str" cm="1">
        <f t="array" ref="M683">IFERROR(_xlfn.LET(
_xlpm.CSVVal,_xlfn.XLOOKUP($A683,CSV!$A:$A,CSV!Q:Q,""),
_xlpm.MacVal,_xlfn.XLOOKUP($A683,Output_Mac!$A:$A,Output_Mac!M:M,""),
_xlpm.MyAuditVal,_xlfn.XLOOKUP($A683,My_Audit!$A:$A,My_Audit!L:L,""),
_xlfn.IFS(_xlpm.MyAuditVal&lt;&gt;"",UPPER(_xlpm.MyAuditVal),_xlpm.MacVal&lt;&gt;"",_xlpm.MacVal,_xlpm.CSVVal&lt;&gt;"",_xlpm.CSVVal
)),"")</f>
        <v/>
      </c>
      <c r="O683" s="2" t="str">
        <f>_xlfn.LET(
    _xlpm.CSVVal, _xlfn.XLOOKUP($A683, CSV!$A:$A, CSV!AF:AF, ""),
    _xlpm.MacVal, _xlfn.XLOOKUP($A683, Output_Mac!$A:$A, Output_Mac!S:S, ""),
    _xlpm.MyAuditVal, _xlfn.XLOOKUP($A683, My_Audit!$A:$A, My_Audit!P:P, ""),
    _xlfn.TEXTJOIN(", ", TRUE, _xlpm.MyAuditVal, _xlpm.MacVal, _xlpm.CSVVal)
)</f>
        <v/>
      </c>
      <c r="P683" s="2" t="str" cm="1">
        <f t="array" ref="P683">IFERROR(_xlfn.LET(
_xlpm.CSVVal,_xlfn.XLOOKUP($A683,CSV!$A:$A,CSV!AG:AG,""),
_xlpm.MacVal,_xlfn.XLOOKUP($A683,Output_Mac!$A:$A,Output_Mac!T:T,""),
_xlpm.MyAuditVal,_xlfn.XLOOKUP($A683,My_Audit!$A:$A,My_Audit!Q:Q,""),
_xlfn.IFS(_xlpm.MyAuditVal&lt;&gt;"",UPPER(_xlpm.MyAuditVal),_xlpm.MacVal&lt;&gt;"",_xlpm.MacVal,_xlpm.CSVVal&lt;&gt;"",_xlpm.CSVVal
)),"No")</f>
        <v>No</v>
      </c>
      <c r="Q683" s="2" t="str" cm="1">
        <f t="array" ref="Q683">IFERROR(_xlfn.LET(
_xlpm.CSVVal,_xlfn.XLOOKUP($A683,CSV!$A:$A,CSV!AH:AH,""),
_xlpm.MacVal,_xlfn.XLOOKUP($A683,Output_Mac!$A:$A,Output_Mac!U:U,""),
_xlpm.MyAuditVal,_xlfn.XLOOKUP($A683,My_Audit!$A:$A,My_Audit!R:R,""),
_xlfn.IFS(_xlpm.MyAuditVal&lt;&gt;"",UPPER(_xlpm.MyAuditVal),_xlpm.MacVal&lt;&gt;"",_xlpm.MacVal,_xlpm.CSVVal&lt;&gt;"",_xlpm.CSVVal
)),"")</f>
        <v/>
      </c>
    </row>
    <row r="684" spans="1:17">
      <c r="A684" s="2" t="str">
        <f>_xlfn.TEXTJOIN("",TRUE,Input!$B$2,ROW(My_Audit!A683))</f>
        <v>XX683</v>
      </c>
      <c r="B684" s="2" t="str">
        <f>_xlfn.TEXTJOIN("-",TRUE,"ITD",Input!$A$2,A684)</f>
        <v>ITD-SHRXXX-XX683</v>
      </c>
      <c r="C684" s="2" t="str" cm="1">
        <f t="array" ref="C684">IFERROR(_xlfn.LET(
_xlpm.CSVVal,_xlfn.XLOOKUP($A684,CSV!$A:$A,CSV!B:B,""),
_xlpm.MacVal,_xlfn.XLOOKUP($A684,Output_Mac!$A:$A,Output_Mac!B:B,""),
_xlpm.MyAuditVal,_xlfn.XLOOKUP($A684,My_Audit!$A:$A,My_Audit!B:B,""),
_xlfn.IFS(_xlpm.MyAuditVal&lt;&gt;"",UPPER(_xlpm.MyAuditVal),_xlpm.MacVal&lt;&gt;"",_xlpm.MacVal,_xlpm.CSVVal&lt;&gt;"",_xlpm.CSVVal
)),"")</f>
        <v/>
      </c>
      <c r="D684" s="2" t="str" cm="1">
        <f t="array" ref="D684">IFERROR(_xlfn.LET(
_xlpm.CSVVal,_xlfn.XLOOKUP($A684,CSV!$A:$A,CSV!D:D,""),
_xlpm.MacVal,_xlfn.XLOOKUP($A684,Output_Mac!$A:$A,Output_Mac!C:C,""),
_xlpm.MyAuditVal,_xlfn.XLOOKUP($A684,My_Audit!$A:$A,My_Audit!C:C,""),
_xlfn.IFS(_xlpm.MyAuditVal&lt;&gt;"",_xlpm.MyAuditVal,_xlpm.MacVal&lt;&gt;"",_xlpm.MacVal,_xlpm.CSVVal&lt;&gt;"",_xlpm.CSVVal
)),"")</f>
        <v/>
      </c>
      <c r="E684" s="2" t="str">
        <f>_xlfn.XLOOKUP(A684,My_Audit!A:A,My_Audit!D:D,"")&amp;""</f>
        <v/>
      </c>
      <c r="F684" s="2" t="str" cm="1">
        <f t="array" ref="F684">IFERROR(_xlfn.LET(
_xlpm.CSVVal,_xlfn.XLOOKUP($A684,CSV!$A:$A,CSV!F:F,""),
_xlpm.MacVal,_xlfn.XLOOKUP($A684,Output_Mac!$A:$A,Output_Mac!E:E,""),
_xlpm.MyAuditVal,_xlfn.XLOOKUP($A684,My_Audit!$A:$A,My_Audit!E:E,""),
_xlfn.IFS(_xlpm.MyAuditVal&lt;&gt;"",_xlpm.MyAuditVal,_xlpm.MacVal&lt;&gt;"",_xlpm.MacVal,_xlpm.CSVVal&lt;&gt;"",_xlpm.CSVVal
)),"")</f>
        <v/>
      </c>
      <c r="G684" s="2" t="str" cm="1">
        <f t="array" ref="G684">IFERROR(_xlfn.LET(
_xlpm.CSVVal,_xlfn.XLOOKUP($A684,CSV!$A:$A,CSV!G:G,""),
_xlpm.MacVal,_xlfn.XLOOKUP($A684,Output_Mac!$A:$A,Output_Mac!F:F,""),
_xlpm.MyAuditVal,_xlfn.XLOOKUP($A684,My_Audit!$A:$A,My_Audit!F:F,""),
_xlfn.IFS(_xlpm.MyAuditVal&lt;&gt;"",_xlpm.MyAuditVal,_xlpm.MacVal&lt;&gt;"",_xlpm.MacVal,_xlpm.CSVVal&lt;&gt;"",PROPER(_xlpm.CSVVal)
)),"")</f>
        <v/>
      </c>
      <c r="H684" s="2" t="str" cm="1">
        <f t="array" ref="H684">IFERROR(_xlfn.LET(
_xlpm.CSVVal,_xlfn.XLOOKUP($A684,CSV!$A:$A,CSV!H:H,""),
_xlpm.MacVal,_xlfn.XLOOKUP($A684,Output_Mac!$A:$A,Output_Mac!H:H,""),
_xlpm.MyAuditVal,_xlfn.XLOOKUP($A684,My_Audit!$A:$A,My_Audit!G:G,""),
_xlfn.IFS(_xlpm.MyAuditVal&lt;&gt;"",_xlpm.MyAuditVal,_xlpm.MacVal&lt;&gt;"",_xlpm.MacVal,_xlpm.CSVVal&lt;&gt;"",_xlpm.CSVVal
)),"")</f>
        <v/>
      </c>
      <c r="I684" s="2" t="str">
        <f>_xlfn.XLOOKUP(A684,Output_Mac!A:A,Output_Mac!I:I,"")</f>
        <v/>
      </c>
      <c r="J684" s="2" t="str" cm="1">
        <f t="array" ref="J684">IFERROR(_xlfn.LET(
_xlpm.CSVVal,_xlfn.XLOOKUP($A684,CSV!$A:$A,CSV!I:I,""),
_xlpm.MacVal,_xlfn.XLOOKUP($A684,Output_Mac!$A:$A,Output_Mac!J:J,""),
_xlpm.MyAuditVal,_xlfn.XLOOKUP($A684,My_Audit!$A:$A,My_Audit!I:I,""),
_xlfn.IFS(_xlpm.MyAuditVal&lt;&gt;"",UPPER(_xlpm.MyAuditVal),_xlpm.MacVal&lt;&gt;"",_xlpm.MacVal,_xlpm.CSVVal&lt;&gt;"",_xlpm.CSVVal
)),"")</f>
        <v/>
      </c>
      <c r="K684" s="2" t="str" cm="1">
        <f t="array" ref="K684">IFERROR(_xlfn.LET(
_xlpm.CSVVal,_xlfn.XLOOKUP($A684,CSV!$A:$A,CSV!K:K,""),
_xlpm.MacVal,_xlfn.XLOOKUP($A684,Output_Mac!$A:$A,Output_Mac!K:K,""),
_xlpm.MyAuditVal,_xlfn.XLOOKUP($A684,My_Audit!$A:$A,My_Audit!J:J,""),
_xlfn.IFS(_xlpm.MyAuditVal&lt;&gt;"",UPPER(_xlpm.MyAuditVal),_xlpm.MacVal&lt;&gt;"",_xlpm.MacVal,_xlpm.CSVVal&lt;&gt;"",_xlpm.CSVVal
)),"")</f>
        <v/>
      </c>
      <c r="L684" s="2" t="str" cm="1">
        <f t="array" ref="L684">IFERROR(_xlfn.LET(
_xlpm.CSVVal,_xlfn.XLOOKUP($A684,CSV!$A:$A,CSV!P:P,""),
_xlpm.MacVal,_xlfn.XLOOKUP($A684,Output_Mac!$A:$A,Output_Mac!L:L,""),
_xlpm.MyAuditVal,_xlfn.XLOOKUP($A684,My_Audit!$A:$A,My_Audit!K:K,""),
_xlfn.IFS(_xlpm.MyAuditVal&lt;&gt;"",UPPER(_xlpm.MyAuditVal),_xlpm.MacVal&lt;&gt;"",_xlpm.MacVal,_xlpm.CSVVal&lt;&gt;"",_xlpm.CSVVal
)),"")</f>
        <v/>
      </c>
      <c r="M684" s="2" t="str" cm="1">
        <f t="array" ref="M684">IFERROR(_xlfn.LET(
_xlpm.CSVVal,_xlfn.XLOOKUP($A684,CSV!$A:$A,CSV!Q:Q,""),
_xlpm.MacVal,_xlfn.XLOOKUP($A684,Output_Mac!$A:$A,Output_Mac!M:M,""),
_xlpm.MyAuditVal,_xlfn.XLOOKUP($A684,My_Audit!$A:$A,My_Audit!L:L,""),
_xlfn.IFS(_xlpm.MyAuditVal&lt;&gt;"",UPPER(_xlpm.MyAuditVal),_xlpm.MacVal&lt;&gt;"",_xlpm.MacVal,_xlpm.CSVVal&lt;&gt;"",_xlpm.CSVVal
)),"")</f>
        <v/>
      </c>
      <c r="O684" s="2" t="str">
        <f>_xlfn.LET(
    _xlpm.CSVVal, _xlfn.XLOOKUP($A684, CSV!$A:$A, CSV!AF:AF, ""),
    _xlpm.MacVal, _xlfn.XLOOKUP($A684, Output_Mac!$A:$A, Output_Mac!S:S, ""),
    _xlpm.MyAuditVal, _xlfn.XLOOKUP($A684, My_Audit!$A:$A, My_Audit!P:P, ""),
    _xlfn.TEXTJOIN(", ", TRUE, _xlpm.MyAuditVal, _xlpm.MacVal, _xlpm.CSVVal)
)</f>
        <v/>
      </c>
      <c r="P684" s="2" t="str" cm="1">
        <f t="array" ref="P684">IFERROR(_xlfn.LET(
_xlpm.CSVVal,_xlfn.XLOOKUP($A684,CSV!$A:$A,CSV!AG:AG,""),
_xlpm.MacVal,_xlfn.XLOOKUP($A684,Output_Mac!$A:$A,Output_Mac!T:T,""),
_xlpm.MyAuditVal,_xlfn.XLOOKUP($A684,My_Audit!$A:$A,My_Audit!Q:Q,""),
_xlfn.IFS(_xlpm.MyAuditVal&lt;&gt;"",UPPER(_xlpm.MyAuditVal),_xlpm.MacVal&lt;&gt;"",_xlpm.MacVal,_xlpm.CSVVal&lt;&gt;"",_xlpm.CSVVal
)),"No")</f>
        <v>No</v>
      </c>
      <c r="Q684" s="2" t="str" cm="1">
        <f t="array" ref="Q684">IFERROR(_xlfn.LET(
_xlpm.CSVVal,_xlfn.XLOOKUP($A684,CSV!$A:$A,CSV!AH:AH,""),
_xlpm.MacVal,_xlfn.XLOOKUP($A684,Output_Mac!$A:$A,Output_Mac!U:U,""),
_xlpm.MyAuditVal,_xlfn.XLOOKUP($A684,My_Audit!$A:$A,My_Audit!R:R,""),
_xlfn.IFS(_xlpm.MyAuditVal&lt;&gt;"",UPPER(_xlpm.MyAuditVal),_xlpm.MacVal&lt;&gt;"",_xlpm.MacVal,_xlpm.CSVVal&lt;&gt;"",_xlpm.CSVVal
)),"")</f>
        <v/>
      </c>
    </row>
    <row r="685" spans="1:17">
      <c r="A685" s="2" t="str">
        <f>_xlfn.TEXTJOIN("",TRUE,Input!$B$2,ROW(My_Audit!A684))</f>
        <v>XX684</v>
      </c>
      <c r="B685" s="2" t="str">
        <f>_xlfn.TEXTJOIN("-",TRUE,"ITD",Input!$A$2,A685)</f>
        <v>ITD-SHRXXX-XX684</v>
      </c>
      <c r="C685" s="2" t="str" cm="1">
        <f t="array" ref="C685">IFERROR(_xlfn.LET(
_xlpm.CSVVal,_xlfn.XLOOKUP($A685,CSV!$A:$A,CSV!B:B,""),
_xlpm.MacVal,_xlfn.XLOOKUP($A685,Output_Mac!$A:$A,Output_Mac!B:B,""),
_xlpm.MyAuditVal,_xlfn.XLOOKUP($A685,My_Audit!$A:$A,My_Audit!B:B,""),
_xlfn.IFS(_xlpm.MyAuditVal&lt;&gt;"",UPPER(_xlpm.MyAuditVal),_xlpm.MacVal&lt;&gt;"",_xlpm.MacVal,_xlpm.CSVVal&lt;&gt;"",_xlpm.CSVVal
)),"")</f>
        <v/>
      </c>
      <c r="D685" s="2" t="str" cm="1">
        <f t="array" ref="D685">IFERROR(_xlfn.LET(
_xlpm.CSVVal,_xlfn.XLOOKUP($A685,CSV!$A:$A,CSV!D:D,""),
_xlpm.MacVal,_xlfn.XLOOKUP($A685,Output_Mac!$A:$A,Output_Mac!C:C,""),
_xlpm.MyAuditVal,_xlfn.XLOOKUP($A685,My_Audit!$A:$A,My_Audit!C:C,""),
_xlfn.IFS(_xlpm.MyAuditVal&lt;&gt;"",_xlpm.MyAuditVal,_xlpm.MacVal&lt;&gt;"",_xlpm.MacVal,_xlpm.CSVVal&lt;&gt;"",_xlpm.CSVVal
)),"")</f>
        <v/>
      </c>
      <c r="E685" s="2" t="str">
        <f>_xlfn.XLOOKUP(A685,My_Audit!A:A,My_Audit!D:D,"")&amp;""</f>
        <v/>
      </c>
      <c r="F685" s="2" t="str" cm="1">
        <f t="array" ref="F685">IFERROR(_xlfn.LET(
_xlpm.CSVVal,_xlfn.XLOOKUP($A685,CSV!$A:$A,CSV!F:F,""),
_xlpm.MacVal,_xlfn.XLOOKUP($A685,Output_Mac!$A:$A,Output_Mac!E:E,""),
_xlpm.MyAuditVal,_xlfn.XLOOKUP($A685,My_Audit!$A:$A,My_Audit!E:E,""),
_xlfn.IFS(_xlpm.MyAuditVal&lt;&gt;"",_xlpm.MyAuditVal,_xlpm.MacVal&lt;&gt;"",_xlpm.MacVal,_xlpm.CSVVal&lt;&gt;"",_xlpm.CSVVal
)),"")</f>
        <v/>
      </c>
      <c r="G685" s="2" t="str" cm="1">
        <f t="array" ref="G685">IFERROR(_xlfn.LET(
_xlpm.CSVVal,_xlfn.XLOOKUP($A685,CSV!$A:$A,CSV!G:G,""),
_xlpm.MacVal,_xlfn.XLOOKUP($A685,Output_Mac!$A:$A,Output_Mac!F:F,""),
_xlpm.MyAuditVal,_xlfn.XLOOKUP($A685,My_Audit!$A:$A,My_Audit!F:F,""),
_xlfn.IFS(_xlpm.MyAuditVal&lt;&gt;"",_xlpm.MyAuditVal,_xlpm.MacVal&lt;&gt;"",_xlpm.MacVal,_xlpm.CSVVal&lt;&gt;"",PROPER(_xlpm.CSVVal)
)),"")</f>
        <v/>
      </c>
      <c r="H685" s="2" t="str" cm="1">
        <f t="array" ref="H685">IFERROR(_xlfn.LET(
_xlpm.CSVVal,_xlfn.XLOOKUP($A685,CSV!$A:$A,CSV!H:H,""),
_xlpm.MacVal,_xlfn.XLOOKUP($A685,Output_Mac!$A:$A,Output_Mac!H:H,""),
_xlpm.MyAuditVal,_xlfn.XLOOKUP($A685,My_Audit!$A:$A,My_Audit!G:G,""),
_xlfn.IFS(_xlpm.MyAuditVal&lt;&gt;"",_xlpm.MyAuditVal,_xlpm.MacVal&lt;&gt;"",_xlpm.MacVal,_xlpm.CSVVal&lt;&gt;"",_xlpm.CSVVal
)),"")</f>
        <v/>
      </c>
      <c r="I685" s="2" t="str">
        <f>_xlfn.XLOOKUP(A685,Output_Mac!A:A,Output_Mac!I:I,"")</f>
        <v/>
      </c>
      <c r="J685" s="2" t="str" cm="1">
        <f t="array" ref="J685">IFERROR(_xlfn.LET(
_xlpm.CSVVal,_xlfn.XLOOKUP($A685,CSV!$A:$A,CSV!I:I,""),
_xlpm.MacVal,_xlfn.XLOOKUP($A685,Output_Mac!$A:$A,Output_Mac!J:J,""),
_xlpm.MyAuditVal,_xlfn.XLOOKUP($A685,My_Audit!$A:$A,My_Audit!I:I,""),
_xlfn.IFS(_xlpm.MyAuditVal&lt;&gt;"",UPPER(_xlpm.MyAuditVal),_xlpm.MacVal&lt;&gt;"",_xlpm.MacVal,_xlpm.CSVVal&lt;&gt;"",_xlpm.CSVVal
)),"")</f>
        <v/>
      </c>
      <c r="K685" s="2" t="str" cm="1">
        <f t="array" ref="K685">IFERROR(_xlfn.LET(
_xlpm.CSVVal,_xlfn.XLOOKUP($A685,CSV!$A:$A,CSV!K:K,""),
_xlpm.MacVal,_xlfn.XLOOKUP($A685,Output_Mac!$A:$A,Output_Mac!K:K,""),
_xlpm.MyAuditVal,_xlfn.XLOOKUP($A685,My_Audit!$A:$A,My_Audit!J:J,""),
_xlfn.IFS(_xlpm.MyAuditVal&lt;&gt;"",UPPER(_xlpm.MyAuditVal),_xlpm.MacVal&lt;&gt;"",_xlpm.MacVal,_xlpm.CSVVal&lt;&gt;"",_xlpm.CSVVal
)),"")</f>
        <v/>
      </c>
      <c r="L685" s="2" t="str" cm="1">
        <f t="array" ref="L685">IFERROR(_xlfn.LET(
_xlpm.CSVVal,_xlfn.XLOOKUP($A685,CSV!$A:$A,CSV!P:P,""),
_xlpm.MacVal,_xlfn.XLOOKUP($A685,Output_Mac!$A:$A,Output_Mac!L:L,""),
_xlpm.MyAuditVal,_xlfn.XLOOKUP($A685,My_Audit!$A:$A,My_Audit!K:K,""),
_xlfn.IFS(_xlpm.MyAuditVal&lt;&gt;"",UPPER(_xlpm.MyAuditVal),_xlpm.MacVal&lt;&gt;"",_xlpm.MacVal,_xlpm.CSVVal&lt;&gt;"",_xlpm.CSVVal
)),"")</f>
        <v/>
      </c>
      <c r="M685" s="2" t="str" cm="1">
        <f t="array" ref="M685">IFERROR(_xlfn.LET(
_xlpm.CSVVal,_xlfn.XLOOKUP($A685,CSV!$A:$A,CSV!Q:Q,""),
_xlpm.MacVal,_xlfn.XLOOKUP($A685,Output_Mac!$A:$A,Output_Mac!M:M,""),
_xlpm.MyAuditVal,_xlfn.XLOOKUP($A685,My_Audit!$A:$A,My_Audit!L:L,""),
_xlfn.IFS(_xlpm.MyAuditVal&lt;&gt;"",UPPER(_xlpm.MyAuditVal),_xlpm.MacVal&lt;&gt;"",_xlpm.MacVal,_xlpm.CSVVal&lt;&gt;"",_xlpm.CSVVal
)),"")</f>
        <v/>
      </c>
      <c r="O685" s="2" t="str">
        <f>_xlfn.LET(
    _xlpm.CSVVal, _xlfn.XLOOKUP($A685, CSV!$A:$A, CSV!AF:AF, ""),
    _xlpm.MacVal, _xlfn.XLOOKUP($A685, Output_Mac!$A:$A, Output_Mac!S:S, ""),
    _xlpm.MyAuditVal, _xlfn.XLOOKUP($A685, My_Audit!$A:$A, My_Audit!P:P, ""),
    _xlfn.TEXTJOIN(", ", TRUE, _xlpm.MyAuditVal, _xlpm.MacVal, _xlpm.CSVVal)
)</f>
        <v/>
      </c>
      <c r="P685" s="2" t="str" cm="1">
        <f t="array" ref="P685">IFERROR(_xlfn.LET(
_xlpm.CSVVal,_xlfn.XLOOKUP($A685,CSV!$A:$A,CSV!AG:AG,""),
_xlpm.MacVal,_xlfn.XLOOKUP($A685,Output_Mac!$A:$A,Output_Mac!T:T,""),
_xlpm.MyAuditVal,_xlfn.XLOOKUP($A685,My_Audit!$A:$A,My_Audit!Q:Q,""),
_xlfn.IFS(_xlpm.MyAuditVal&lt;&gt;"",UPPER(_xlpm.MyAuditVal),_xlpm.MacVal&lt;&gt;"",_xlpm.MacVal,_xlpm.CSVVal&lt;&gt;"",_xlpm.CSVVal
)),"No")</f>
        <v>No</v>
      </c>
      <c r="Q685" s="2" t="str" cm="1">
        <f t="array" ref="Q685">IFERROR(_xlfn.LET(
_xlpm.CSVVal,_xlfn.XLOOKUP($A685,CSV!$A:$A,CSV!AH:AH,""),
_xlpm.MacVal,_xlfn.XLOOKUP($A685,Output_Mac!$A:$A,Output_Mac!U:U,""),
_xlpm.MyAuditVal,_xlfn.XLOOKUP($A685,My_Audit!$A:$A,My_Audit!R:R,""),
_xlfn.IFS(_xlpm.MyAuditVal&lt;&gt;"",UPPER(_xlpm.MyAuditVal),_xlpm.MacVal&lt;&gt;"",_xlpm.MacVal,_xlpm.CSVVal&lt;&gt;"",_xlpm.CSVVal
)),"")</f>
        <v/>
      </c>
    </row>
    <row r="686" spans="1:17">
      <c r="A686" s="2" t="str">
        <f>_xlfn.TEXTJOIN("",TRUE,Input!$B$2,ROW(My_Audit!A685))</f>
        <v>XX685</v>
      </c>
      <c r="B686" s="2" t="str">
        <f>_xlfn.TEXTJOIN("-",TRUE,"ITD",Input!$A$2,A686)</f>
        <v>ITD-SHRXXX-XX685</v>
      </c>
      <c r="C686" s="2" t="str" cm="1">
        <f t="array" ref="C686">IFERROR(_xlfn.LET(
_xlpm.CSVVal,_xlfn.XLOOKUP($A686,CSV!$A:$A,CSV!B:B,""),
_xlpm.MacVal,_xlfn.XLOOKUP($A686,Output_Mac!$A:$A,Output_Mac!B:B,""),
_xlpm.MyAuditVal,_xlfn.XLOOKUP($A686,My_Audit!$A:$A,My_Audit!B:B,""),
_xlfn.IFS(_xlpm.MyAuditVal&lt;&gt;"",UPPER(_xlpm.MyAuditVal),_xlpm.MacVal&lt;&gt;"",_xlpm.MacVal,_xlpm.CSVVal&lt;&gt;"",_xlpm.CSVVal
)),"")</f>
        <v/>
      </c>
      <c r="D686" s="2" t="str" cm="1">
        <f t="array" ref="D686">IFERROR(_xlfn.LET(
_xlpm.CSVVal,_xlfn.XLOOKUP($A686,CSV!$A:$A,CSV!D:D,""),
_xlpm.MacVal,_xlfn.XLOOKUP($A686,Output_Mac!$A:$A,Output_Mac!C:C,""),
_xlpm.MyAuditVal,_xlfn.XLOOKUP($A686,My_Audit!$A:$A,My_Audit!C:C,""),
_xlfn.IFS(_xlpm.MyAuditVal&lt;&gt;"",_xlpm.MyAuditVal,_xlpm.MacVal&lt;&gt;"",_xlpm.MacVal,_xlpm.CSVVal&lt;&gt;"",_xlpm.CSVVal
)),"")</f>
        <v/>
      </c>
      <c r="E686" s="2" t="str">
        <f>_xlfn.XLOOKUP(A686,My_Audit!A:A,My_Audit!D:D,"")&amp;""</f>
        <v/>
      </c>
      <c r="F686" s="2" t="str" cm="1">
        <f t="array" ref="F686">IFERROR(_xlfn.LET(
_xlpm.CSVVal,_xlfn.XLOOKUP($A686,CSV!$A:$A,CSV!F:F,""),
_xlpm.MacVal,_xlfn.XLOOKUP($A686,Output_Mac!$A:$A,Output_Mac!E:E,""),
_xlpm.MyAuditVal,_xlfn.XLOOKUP($A686,My_Audit!$A:$A,My_Audit!E:E,""),
_xlfn.IFS(_xlpm.MyAuditVal&lt;&gt;"",_xlpm.MyAuditVal,_xlpm.MacVal&lt;&gt;"",_xlpm.MacVal,_xlpm.CSVVal&lt;&gt;"",_xlpm.CSVVal
)),"")</f>
        <v/>
      </c>
      <c r="G686" s="2" t="str" cm="1">
        <f t="array" ref="G686">IFERROR(_xlfn.LET(
_xlpm.CSVVal,_xlfn.XLOOKUP($A686,CSV!$A:$A,CSV!G:G,""),
_xlpm.MacVal,_xlfn.XLOOKUP($A686,Output_Mac!$A:$A,Output_Mac!F:F,""),
_xlpm.MyAuditVal,_xlfn.XLOOKUP($A686,My_Audit!$A:$A,My_Audit!F:F,""),
_xlfn.IFS(_xlpm.MyAuditVal&lt;&gt;"",_xlpm.MyAuditVal,_xlpm.MacVal&lt;&gt;"",_xlpm.MacVal,_xlpm.CSVVal&lt;&gt;"",PROPER(_xlpm.CSVVal)
)),"")</f>
        <v/>
      </c>
      <c r="H686" s="2" t="str" cm="1">
        <f t="array" ref="H686">IFERROR(_xlfn.LET(
_xlpm.CSVVal,_xlfn.XLOOKUP($A686,CSV!$A:$A,CSV!H:H,""),
_xlpm.MacVal,_xlfn.XLOOKUP($A686,Output_Mac!$A:$A,Output_Mac!H:H,""),
_xlpm.MyAuditVal,_xlfn.XLOOKUP($A686,My_Audit!$A:$A,My_Audit!G:G,""),
_xlfn.IFS(_xlpm.MyAuditVal&lt;&gt;"",_xlpm.MyAuditVal,_xlpm.MacVal&lt;&gt;"",_xlpm.MacVal,_xlpm.CSVVal&lt;&gt;"",_xlpm.CSVVal
)),"")</f>
        <v/>
      </c>
      <c r="I686" s="2" t="str">
        <f>_xlfn.XLOOKUP(A686,Output_Mac!A:A,Output_Mac!I:I,"")</f>
        <v/>
      </c>
      <c r="J686" s="2" t="str" cm="1">
        <f t="array" ref="J686">IFERROR(_xlfn.LET(
_xlpm.CSVVal,_xlfn.XLOOKUP($A686,CSV!$A:$A,CSV!I:I,""),
_xlpm.MacVal,_xlfn.XLOOKUP($A686,Output_Mac!$A:$A,Output_Mac!J:J,""),
_xlpm.MyAuditVal,_xlfn.XLOOKUP($A686,My_Audit!$A:$A,My_Audit!I:I,""),
_xlfn.IFS(_xlpm.MyAuditVal&lt;&gt;"",UPPER(_xlpm.MyAuditVal),_xlpm.MacVal&lt;&gt;"",_xlpm.MacVal,_xlpm.CSVVal&lt;&gt;"",_xlpm.CSVVal
)),"")</f>
        <v/>
      </c>
      <c r="K686" s="2" t="str" cm="1">
        <f t="array" ref="K686">IFERROR(_xlfn.LET(
_xlpm.CSVVal,_xlfn.XLOOKUP($A686,CSV!$A:$A,CSV!K:K,""),
_xlpm.MacVal,_xlfn.XLOOKUP($A686,Output_Mac!$A:$A,Output_Mac!K:K,""),
_xlpm.MyAuditVal,_xlfn.XLOOKUP($A686,My_Audit!$A:$A,My_Audit!J:J,""),
_xlfn.IFS(_xlpm.MyAuditVal&lt;&gt;"",UPPER(_xlpm.MyAuditVal),_xlpm.MacVal&lt;&gt;"",_xlpm.MacVal,_xlpm.CSVVal&lt;&gt;"",_xlpm.CSVVal
)),"")</f>
        <v/>
      </c>
      <c r="L686" s="2" t="str" cm="1">
        <f t="array" ref="L686">IFERROR(_xlfn.LET(
_xlpm.CSVVal,_xlfn.XLOOKUP($A686,CSV!$A:$A,CSV!P:P,""),
_xlpm.MacVal,_xlfn.XLOOKUP($A686,Output_Mac!$A:$A,Output_Mac!L:L,""),
_xlpm.MyAuditVal,_xlfn.XLOOKUP($A686,My_Audit!$A:$A,My_Audit!K:K,""),
_xlfn.IFS(_xlpm.MyAuditVal&lt;&gt;"",UPPER(_xlpm.MyAuditVal),_xlpm.MacVal&lt;&gt;"",_xlpm.MacVal,_xlpm.CSVVal&lt;&gt;"",_xlpm.CSVVal
)),"")</f>
        <v/>
      </c>
      <c r="M686" s="2" t="str" cm="1">
        <f t="array" ref="M686">IFERROR(_xlfn.LET(
_xlpm.CSVVal,_xlfn.XLOOKUP($A686,CSV!$A:$A,CSV!Q:Q,""),
_xlpm.MacVal,_xlfn.XLOOKUP($A686,Output_Mac!$A:$A,Output_Mac!M:M,""),
_xlpm.MyAuditVal,_xlfn.XLOOKUP($A686,My_Audit!$A:$A,My_Audit!L:L,""),
_xlfn.IFS(_xlpm.MyAuditVal&lt;&gt;"",UPPER(_xlpm.MyAuditVal),_xlpm.MacVal&lt;&gt;"",_xlpm.MacVal,_xlpm.CSVVal&lt;&gt;"",_xlpm.CSVVal
)),"")</f>
        <v/>
      </c>
      <c r="O686" s="2" t="str">
        <f>_xlfn.LET(
    _xlpm.CSVVal, _xlfn.XLOOKUP($A686, CSV!$A:$A, CSV!AF:AF, ""),
    _xlpm.MacVal, _xlfn.XLOOKUP($A686, Output_Mac!$A:$A, Output_Mac!S:S, ""),
    _xlpm.MyAuditVal, _xlfn.XLOOKUP($A686, My_Audit!$A:$A, My_Audit!P:P, ""),
    _xlfn.TEXTJOIN(", ", TRUE, _xlpm.MyAuditVal, _xlpm.MacVal, _xlpm.CSVVal)
)</f>
        <v/>
      </c>
      <c r="P686" s="2" t="str" cm="1">
        <f t="array" ref="P686">IFERROR(_xlfn.LET(
_xlpm.CSVVal,_xlfn.XLOOKUP($A686,CSV!$A:$A,CSV!AG:AG,""),
_xlpm.MacVal,_xlfn.XLOOKUP($A686,Output_Mac!$A:$A,Output_Mac!T:T,""),
_xlpm.MyAuditVal,_xlfn.XLOOKUP($A686,My_Audit!$A:$A,My_Audit!Q:Q,""),
_xlfn.IFS(_xlpm.MyAuditVal&lt;&gt;"",UPPER(_xlpm.MyAuditVal),_xlpm.MacVal&lt;&gt;"",_xlpm.MacVal,_xlpm.CSVVal&lt;&gt;"",_xlpm.CSVVal
)),"No")</f>
        <v>No</v>
      </c>
      <c r="Q686" s="2" t="str" cm="1">
        <f t="array" ref="Q686">IFERROR(_xlfn.LET(
_xlpm.CSVVal,_xlfn.XLOOKUP($A686,CSV!$A:$A,CSV!AH:AH,""),
_xlpm.MacVal,_xlfn.XLOOKUP($A686,Output_Mac!$A:$A,Output_Mac!U:U,""),
_xlpm.MyAuditVal,_xlfn.XLOOKUP($A686,My_Audit!$A:$A,My_Audit!R:R,""),
_xlfn.IFS(_xlpm.MyAuditVal&lt;&gt;"",UPPER(_xlpm.MyAuditVal),_xlpm.MacVal&lt;&gt;"",_xlpm.MacVal,_xlpm.CSVVal&lt;&gt;"",_xlpm.CSVVal
)),"")</f>
        <v/>
      </c>
    </row>
    <row r="687" spans="1:17">
      <c r="A687" s="2" t="str">
        <f>_xlfn.TEXTJOIN("",TRUE,Input!$B$2,ROW(My_Audit!A686))</f>
        <v>XX686</v>
      </c>
      <c r="B687" s="2" t="str">
        <f>_xlfn.TEXTJOIN("-",TRUE,"ITD",Input!$A$2,A687)</f>
        <v>ITD-SHRXXX-XX686</v>
      </c>
      <c r="C687" s="2" t="str" cm="1">
        <f t="array" ref="C687">IFERROR(_xlfn.LET(
_xlpm.CSVVal,_xlfn.XLOOKUP($A687,CSV!$A:$A,CSV!B:B,""),
_xlpm.MacVal,_xlfn.XLOOKUP($A687,Output_Mac!$A:$A,Output_Mac!B:B,""),
_xlpm.MyAuditVal,_xlfn.XLOOKUP($A687,My_Audit!$A:$A,My_Audit!B:B,""),
_xlfn.IFS(_xlpm.MyAuditVal&lt;&gt;"",UPPER(_xlpm.MyAuditVal),_xlpm.MacVal&lt;&gt;"",_xlpm.MacVal,_xlpm.CSVVal&lt;&gt;"",_xlpm.CSVVal
)),"")</f>
        <v/>
      </c>
      <c r="D687" s="2" t="str" cm="1">
        <f t="array" ref="D687">IFERROR(_xlfn.LET(
_xlpm.CSVVal,_xlfn.XLOOKUP($A687,CSV!$A:$A,CSV!D:D,""),
_xlpm.MacVal,_xlfn.XLOOKUP($A687,Output_Mac!$A:$A,Output_Mac!C:C,""),
_xlpm.MyAuditVal,_xlfn.XLOOKUP($A687,My_Audit!$A:$A,My_Audit!C:C,""),
_xlfn.IFS(_xlpm.MyAuditVal&lt;&gt;"",_xlpm.MyAuditVal,_xlpm.MacVal&lt;&gt;"",_xlpm.MacVal,_xlpm.CSVVal&lt;&gt;"",_xlpm.CSVVal
)),"")</f>
        <v/>
      </c>
      <c r="E687" s="2" t="str">
        <f>_xlfn.XLOOKUP(A687,My_Audit!A:A,My_Audit!D:D,"")&amp;""</f>
        <v/>
      </c>
      <c r="F687" s="2" t="str" cm="1">
        <f t="array" ref="F687">IFERROR(_xlfn.LET(
_xlpm.CSVVal,_xlfn.XLOOKUP($A687,CSV!$A:$A,CSV!F:F,""),
_xlpm.MacVal,_xlfn.XLOOKUP($A687,Output_Mac!$A:$A,Output_Mac!E:E,""),
_xlpm.MyAuditVal,_xlfn.XLOOKUP($A687,My_Audit!$A:$A,My_Audit!E:E,""),
_xlfn.IFS(_xlpm.MyAuditVal&lt;&gt;"",_xlpm.MyAuditVal,_xlpm.MacVal&lt;&gt;"",_xlpm.MacVal,_xlpm.CSVVal&lt;&gt;"",_xlpm.CSVVal
)),"")</f>
        <v/>
      </c>
      <c r="G687" s="2" t="str" cm="1">
        <f t="array" ref="G687">IFERROR(_xlfn.LET(
_xlpm.CSVVal,_xlfn.XLOOKUP($A687,CSV!$A:$A,CSV!G:G,""),
_xlpm.MacVal,_xlfn.XLOOKUP($A687,Output_Mac!$A:$A,Output_Mac!F:F,""),
_xlpm.MyAuditVal,_xlfn.XLOOKUP($A687,My_Audit!$A:$A,My_Audit!F:F,""),
_xlfn.IFS(_xlpm.MyAuditVal&lt;&gt;"",_xlpm.MyAuditVal,_xlpm.MacVal&lt;&gt;"",_xlpm.MacVal,_xlpm.CSVVal&lt;&gt;"",PROPER(_xlpm.CSVVal)
)),"")</f>
        <v/>
      </c>
      <c r="H687" s="2" t="str" cm="1">
        <f t="array" ref="H687">IFERROR(_xlfn.LET(
_xlpm.CSVVal,_xlfn.XLOOKUP($A687,CSV!$A:$A,CSV!H:H,""),
_xlpm.MacVal,_xlfn.XLOOKUP($A687,Output_Mac!$A:$A,Output_Mac!H:H,""),
_xlpm.MyAuditVal,_xlfn.XLOOKUP($A687,My_Audit!$A:$A,My_Audit!G:G,""),
_xlfn.IFS(_xlpm.MyAuditVal&lt;&gt;"",_xlpm.MyAuditVal,_xlpm.MacVal&lt;&gt;"",_xlpm.MacVal,_xlpm.CSVVal&lt;&gt;"",_xlpm.CSVVal
)),"")</f>
        <v/>
      </c>
      <c r="I687" s="2" t="str">
        <f>_xlfn.XLOOKUP(A687,Output_Mac!A:A,Output_Mac!I:I,"")</f>
        <v/>
      </c>
      <c r="J687" s="2" t="str" cm="1">
        <f t="array" ref="J687">IFERROR(_xlfn.LET(
_xlpm.CSVVal,_xlfn.XLOOKUP($A687,CSV!$A:$A,CSV!I:I,""),
_xlpm.MacVal,_xlfn.XLOOKUP($A687,Output_Mac!$A:$A,Output_Mac!J:J,""),
_xlpm.MyAuditVal,_xlfn.XLOOKUP($A687,My_Audit!$A:$A,My_Audit!I:I,""),
_xlfn.IFS(_xlpm.MyAuditVal&lt;&gt;"",UPPER(_xlpm.MyAuditVal),_xlpm.MacVal&lt;&gt;"",_xlpm.MacVal,_xlpm.CSVVal&lt;&gt;"",_xlpm.CSVVal
)),"")</f>
        <v/>
      </c>
      <c r="K687" s="2" t="str" cm="1">
        <f t="array" ref="K687">IFERROR(_xlfn.LET(
_xlpm.CSVVal,_xlfn.XLOOKUP($A687,CSV!$A:$A,CSV!K:K,""),
_xlpm.MacVal,_xlfn.XLOOKUP($A687,Output_Mac!$A:$A,Output_Mac!K:K,""),
_xlpm.MyAuditVal,_xlfn.XLOOKUP($A687,My_Audit!$A:$A,My_Audit!J:J,""),
_xlfn.IFS(_xlpm.MyAuditVal&lt;&gt;"",UPPER(_xlpm.MyAuditVal),_xlpm.MacVal&lt;&gt;"",_xlpm.MacVal,_xlpm.CSVVal&lt;&gt;"",_xlpm.CSVVal
)),"")</f>
        <v/>
      </c>
      <c r="L687" s="2" t="str" cm="1">
        <f t="array" ref="L687">IFERROR(_xlfn.LET(
_xlpm.CSVVal,_xlfn.XLOOKUP($A687,CSV!$A:$A,CSV!P:P,""),
_xlpm.MacVal,_xlfn.XLOOKUP($A687,Output_Mac!$A:$A,Output_Mac!L:L,""),
_xlpm.MyAuditVal,_xlfn.XLOOKUP($A687,My_Audit!$A:$A,My_Audit!K:K,""),
_xlfn.IFS(_xlpm.MyAuditVal&lt;&gt;"",UPPER(_xlpm.MyAuditVal),_xlpm.MacVal&lt;&gt;"",_xlpm.MacVal,_xlpm.CSVVal&lt;&gt;"",_xlpm.CSVVal
)),"")</f>
        <v/>
      </c>
      <c r="M687" s="2" t="str" cm="1">
        <f t="array" ref="M687">IFERROR(_xlfn.LET(
_xlpm.CSVVal,_xlfn.XLOOKUP($A687,CSV!$A:$A,CSV!Q:Q,""),
_xlpm.MacVal,_xlfn.XLOOKUP($A687,Output_Mac!$A:$A,Output_Mac!M:M,""),
_xlpm.MyAuditVal,_xlfn.XLOOKUP($A687,My_Audit!$A:$A,My_Audit!L:L,""),
_xlfn.IFS(_xlpm.MyAuditVal&lt;&gt;"",UPPER(_xlpm.MyAuditVal),_xlpm.MacVal&lt;&gt;"",_xlpm.MacVal,_xlpm.CSVVal&lt;&gt;"",_xlpm.CSVVal
)),"")</f>
        <v/>
      </c>
      <c r="O687" s="2" t="str">
        <f>_xlfn.LET(
    _xlpm.CSVVal, _xlfn.XLOOKUP($A687, CSV!$A:$A, CSV!AF:AF, ""),
    _xlpm.MacVal, _xlfn.XLOOKUP($A687, Output_Mac!$A:$A, Output_Mac!S:S, ""),
    _xlpm.MyAuditVal, _xlfn.XLOOKUP($A687, My_Audit!$A:$A, My_Audit!P:P, ""),
    _xlfn.TEXTJOIN(", ", TRUE, _xlpm.MyAuditVal, _xlpm.MacVal, _xlpm.CSVVal)
)</f>
        <v/>
      </c>
      <c r="P687" s="2" t="str" cm="1">
        <f t="array" ref="P687">IFERROR(_xlfn.LET(
_xlpm.CSVVal,_xlfn.XLOOKUP($A687,CSV!$A:$A,CSV!AG:AG,""),
_xlpm.MacVal,_xlfn.XLOOKUP($A687,Output_Mac!$A:$A,Output_Mac!T:T,""),
_xlpm.MyAuditVal,_xlfn.XLOOKUP($A687,My_Audit!$A:$A,My_Audit!Q:Q,""),
_xlfn.IFS(_xlpm.MyAuditVal&lt;&gt;"",UPPER(_xlpm.MyAuditVal),_xlpm.MacVal&lt;&gt;"",_xlpm.MacVal,_xlpm.CSVVal&lt;&gt;"",_xlpm.CSVVal
)),"No")</f>
        <v>No</v>
      </c>
      <c r="Q687" s="2" t="str" cm="1">
        <f t="array" ref="Q687">IFERROR(_xlfn.LET(
_xlpm.CSVVal,_xlfn.XLOOKUP($A687,CSV!$A:$A,CSV!AH:AH,""),
_xlpm.MacVal,_xlfn.XLOOKUP($A687,Output_Mac!$A:$A,Output_Mac!U:U,""),
_xlpm.MyAuditVal,_xlfn.XLOOKUP($A687,My_Audit!$A:$A,My_Audit!R:R,""),
_xlfn.IFS(_xlpm.MyAuditVal&lt;&gt;"",UPPER(_xlpm.MyAuditVal),_xlpm.MacVal&lt;&gt;"",_xlpm.MacVal,_xlpm.CSVVal&lt;&gt;"",_xlpm.CSVVal
)),"")</f>
        <v/>
      </c>
    </row>
    <row r="688" spans="1:17">
      <c r="A688" s="2" t="str">
        <f>_xlfn.TEXTJOIN("",TRUE,Input!$B$2,ROW(My_Audit!A687))</f>
        <v>XX687</v>
      </c>
      <c r="B688" s="2" t="str">
        <f>_xlfn.TEXTJOIN("-",TRUE,"ITD",Input!$A$2,A688)</f>
        <v>ITD-SHRXXX-XX687</v>
      </c>
      <c r="C688" s="2" t="str" cm="1">
        <f t="array" ref="C688">IFERROR(_xlfn.LET(
_xlpm.CSVVal,_xlfn.XLOOKUP($A688,CSV!$A:$A,CSV!B:B,""),
_xlpm.MacVal,_xlfn.XLOOKUP($A688,Output_Mac!$A:$A,Output_Mac!B:B,""),
_xlpm.MyAuditVal,_xlfn.XLOOKUP($A688,My_Audit!$A:$A,My_Audit!B:B,""),
_xlfn.IFS(_xlpm.MyAuditVal&lt;&gt;"",UPPER(_xlpm.MyAuditVal),_xlpm.MacVal&lt;&gt;"",_xlpm.MacVal,_xlpm.CSVVal&lt;&gt;"",_xlpm.CSVVal
)),"")</f>
        <v/>
      </c>
      <c r="D688" s="2" t="str" cm="1">
        <f t="array" ref="D688">IFERROR(_xlfn.LET(
_xlpm.CSVVal,_xlfn.XLOOKUP($A688,CSV!$A:$A,CSV!D:D,""),
_xlpm.MacVal,_xlfn.XLOOKUP($A688,Output_Mac!$A:$A,Output_Mac!C:C,""),
_xlpm.MyAuditVal,_xlfn.XLOOKUP($A688,My_Audit!$A:$A,My_Audit!C:C,""),
_xlfn.IFS(_xlpm.MyAuditVal&lt;&gt;"",_xlpm.MyAuditVal,_xlpm.MacVal&lt;&gt;"",_xlpm.MacVal,_xlpm.CSVVal&lt;&gt;"",_xlpm.CSVVal
)),"")</f>
        <v/>
      </c>
      <c r="E688" s="2" t="str">
        <f>_xlfn.XLOOKUP(A688,My_Audit!A:A,My_Audit!D:D,"")&amp;""</f>
        <v/>
      </c>
      <c r="F688" s="2" t="str" cm="1">
        <f t="array" ref="F688">IFERROR(_xlfn.LET(
_xlpm.CSVVal,_xlfn.XLOOKUP($A688,CSV!$A:$A,CSV!F:F,""),
_xlpm.MacVal,_xlfn.XLOOKUP($A688,Output_Mac!$A:$A,Output_Mac!E:E,""),
_xlpm.MyAuditVal,_xlfn.XLOOKUP($A688,My_Audit!$A:$A,My_Audit!E:E,""),
_xlfn.IFS(_xlpm.MyAuditVal&lt;&gt;"",_xlpm.MyAuditVal,_xlpm.MacVal&lt;&gt;"",_xlpm.MacVal,_xlpm.CSVVal&lt;&gt;"",_xlpm.CSVVal
)),"")</f>
        <v/>
      </c>
      <c r="G688" s="2" t="str" cm="1">
        <f t="array" ref="G688">IFERROR(_xlfn.LET(
_xlpm.CSVVal,_xlfn.XLOOKUP($A688,CSV!$A:$A,CSV!G:G,""),
_xlpm.MacVal,_xlfn.XLOOKUP($A688,Output_Mac!$A:$A,Output_Mac!F:F,""),
_xlpm.MyAuditVal,_xlfn.XLOOKUP($A688,My_Audit!$A:$A,My_Audit!F:F,""),
_xlfn.IFS(_xlpm.MyAuditVal&lt;&gt;"",_xlpm.MyAuditVal,_xlpm.MacVal&lt;&gt;"",_xlpm.MacVal,_xlpm.CSVVal&lt;&gt;"",PROPER(_xlpm.CSVVal)
)),"")</f>
        <v/>
      </c>
      <c r="H688" s="2" t="str" cm="1">
        <f t="array" ref="H688">IFERROR(_xlfn.LET(
_xlpm.CSVVal,_xlfn.XLOOKUP($A688,CSV!$A:$A,CSV!H:H,""),
_xlpm.MacVal,_xlfn.XLOOKUP($A688,Output_Mac!$A:$A,Output_Mac!H:H,""),
_xlpm.MyAuditVal,_xlfn.XLOOKUP($A688,My_Audit!$A:$A,My_Audit!G:G,""),
_xlfn.IFS(_xlpm.MyAuditVal&lt;&gt;"",_xlpm.MyAuditVal,_xlpm.MacVal&lt;&gt;"",_xlpm.MacVal,_xlpm.CSVVal&lt;&gt;"",_xlpm.CSVVal
)),"")</f>
        <v/>
      </c>
      <c r="I688" s="2" t="str">
        <f>_xlfn.XLOOKUP(A688,Output_Mac!A:A,Output_Mac!I:I,"")</f>
        <v/>
      </c>
      <c r="J688" s="2" t="str" cm="1">
        <f t="array" ref="J688">IFERROR(_xlfn.LET(
_xlpm.CSVVal,_xlfn.XLOOKUP($A688,CSV!$A:$A,CSV!I:I,""),
_xlpm.MacVal,_xlfn.XLOOKUP($A688,Output_Mac!$A:$A,Output_Mac!J:J,""),
_xlpm.MyAuditVal,_xlfn.XLOOKUP($A688,My_Audit!$A:$A,My_Audit!I:I,""),
_xlfn.IFS(_xlpm.MyAuditVal&lt;&gt;"",UPPER(_xlpm.MyAuditVal),_xlpm.MacVal&lt;&gt;"",_xlpm.MacVal,_xlpm.CSVVal&lt;&gt;"",_xlpm.CSVVal
)),"")</f>
        <v/>
      </c>
      <c r="K688" s="2" t="str" cm="1">
        <f t="array" ref="K688">IFERROR(_xlfn.LET(
_xlpm.CSVVal,_xlfn.XLOOKUP($A688,CSV!$A:$A,CSV!K:K,""),
_xlpm.MacVal,_xlfn.XLOOKUP($A688,Output_Mac!$A:$A,Output_Mac!K:K,""),
_xlpm.MyAuditVal,_xlfn.XLOOKUP($A688,My_Audit!$A:$A,My_Audit!J:J,""),
_xlfn.IFS(_xlpm.MyAuditVal&lt;&gt;"",UPPER(_xlpm.MyAuditVal),_xlpm.MacVal&lt;&gt;"",_xlpm.MacVal,_xlpm.CSVVal&lt;&gt;"",_xlpm.CSVVal
)),"")</f>
        <v/>
      </c>
      <c r="L688" s="2" t="str" cm="1">
        <f t="array" ref="L688">IFERROR(_xlfn.LET(
_xlpm.CSVVal,_xlfn.XLOOKUP($A688,CSV!$A:$A,CSV!P:P,""),
_xlpm.MacVal,_xlfn.XLOOKUP($A688,Output_Mac!$A:$A,Output_Mac!L:L,""),
_xlpm.MyAuditVal,_xlfn.XLOOKUP($A688,My_Audit!$A:$A,My_Audit!K:K,""),
_xlfn.IFS(_xlpm.MyAuditVal&lt;&gt;"",UPPER(_xlpm.MyAuditVal),_xlpm.MacVal&lt;&gt;"",_xlpm.MacVal,_xlpm.CSVVal&lt;&gt;"",_xlpm.CSVVal
)),"")</f>
        <v/>
      </c>
      <c r="M688" s="2" t="str" cm="1">
        <f t="array" ref="M688">IFERROR(_xlfn.LET(
_xlpm.CSVVal,_xlfn.XLOOKUP($A688,CSV!$A:$A,CSV!Q:Q,""),
_xlpm.MacVal,_xlfn.XLOOKUP($A688,Output_Mac!$A:$A,Output_Mac!M:M,""),
_xlpm.MyAuditVal,_xlfn.XLOOKUP($A688,My_Audit!$A:$A,My_Audit!L:L,""),
_xlfn.IFS(_xlpm.MyAuditVal&lt;&gt;"",UPPER(_xlpm.MyAuditVal),_xlpm.MacVal&lt;&gt;"",_xlpm.MacVal,_xlpm.CSVVal&lt;&gt;"",_xlpm.CSVVal
)),"")</f>
        <v/>
      </c>
      <c r="O688" s="2" t="str">
        <f>_xlfn.LET(
    _xlpm.CSVVal, _xlfn.XLOOKUP($A688, CSV!$A:$A, CSV!AF:AF, ""),
    _xlpm.MacVal, _xlfn.XLOOKUP($A688, Output_Mac!$A:$A, Output_Mac!S:S, ""),
    _xlpm.MyAuditVal, _xlfn.XLOOKUP($A688, My_Audit!$A:$A, My_Audit!P:P, ""),
    _xlfn.TEXTJOIN(", ", TRUE, _xlpm.MyAuditVal, _xlpm.MacVal, _xlpm.CSVVal)
)</f>
        <v/>
      </c>
      <c r="P688" s="2" t="str" cm="1">
        <f t="array" ref="P688">IFERROR(_xlfn.LET(
_xlpm.CSVVal,_xlfn.XLOOKUP($A688,CSV!$A:$A,CSV!AG:AG,""),
_xlpm.MacVal,_xlfn.XLOOKUP($A688,Output_Mac!$A:$A,Output_Mac!T:T,""),
_xlpm.MyAuditVal,_xlfn.XLOOKUP($A688,My_Audit!$A:$A,My_Audit!Q:Q,""),
_xlfn.IFS(_xlpm.MyAuditVal&lt;&gt;"",UPPER(_xlpm.MyAuditVal),_xlpm.MacVal&lt;&gt;"",_xlpm.MacVal,_xlpm.CSVVal&lt;&gt;"",_xlpm.CSVVal
)),"No")</f>
        <v>No</v>
      </c>
      <c r="Q688" s="2" t="str" cm="1">
        <f t="array" ref="Q688">IFERROR(_xlfn.LET(
_xlpm.CSVVal,_xlfn.XLOOKUP($A688,CSV!$A:$A,CSV!AH:AH,""),
_xlpm.MacVal,_xlfn.XLOOKUP($A688,Output_Mac!$A:$A,Output_Mac!U:U,""),
_xlpm.MyAuditVal,_xlfn.XLOOKUP($A688,My_Audit!$A:$A,My_Audit!R:R,""),
_xlfn.IFS(_xlpm.MyAuditVal&lt;&gt;"",UPPER(_xlpm.MyAuditVal),_xlpm.MacVal&lt;&gt;"",_xlpm.MacVal,_xlpm.CSVVal&lt;&gt;"",_xlpm.CSVVal
)),"")</f>
        <v/>
      </c>
    </row>
    <row r="689" spans="1:17">
      <c r="A689" s="2" t="str">
        <f>_xlfn.TEXTJOIN("",TRUE,Input!$B$2,ROW(My_Audit!A688))</f>
        <v>XX688</v>
      </c>
      <c r="B689" s="2" t="str">
        <f>_xlfn.TEXTJOIN("-",TRUE,"ITD",Input!$A$2,A689)</f>
        <v>ITD-SHRXXX-XX688</v>
      </c>
      <c r="C689" s="2" t="str" cm="1">
        <f t="array" ref="C689">IFERROR(_xlfn.LET(
_xlpm.CSVVal,_xlfn.XLOOKUP($A689,CSV!$A:$A,CSV!B:B,""),
_xlpm.MacVal,_xlfn.XLOOKUP($A689,Output_Mac!$A:$A,Output_Mac!B:B,""),
_xlpm.MyAuditVal,_xlfn.XLOOKUP($A689,My_Audit!$A:$A,My_Audit!B:B,""),
_xlfn.IFS(_xlpm.MyAuditVal&lt;&gt;"",UPPER(_xlpm.MyAuditVal),_xlpm.MacVal&lt;&gt;"",_xlpm.MacVal,_xlpm.CSVVal&lt;&gt;"",_xlpm.CSVVal
)),"")</f>
        <v/>
      </c>
      <c r="D689" s="2" t="str" cm="1">
        <f t="array" ref="D689">IFERROR(_xlfn.LET(
_xlpm.CSVVal,_xlfn.XLOOKUP($A689,CSV!$A:$A,CSV!D:D,""),
_xlpm.MacVal,_xlfn.XLOOKUP($A689,Output_Mac!$A:$A,Output_Mac!C:C,""),
_xlpm.MyAuditVal,_xlfn.XLOOKUP($A689,My_Audit!$A:$A,My_Audit!C:C,""),
_xlfn.IFS(_xlpm.MyAuditVal&lt;&gt;"",_xlpm.MyAuditVal,_xlpm.MacVal&lt;&gt;"",_xlpm.MacVal,_xlpm.CSVVal&lt;&gt;"",_xlpm.CSVVal
)),"")</f>
        <v/>
      </c>
      <c r="E689" s="2" t="str">
        <f>_xlfn.XLOOKUP(A689,My_Audit!A:A,My_Audit!D:D,"")&amp;""</f>
        <v/>
      </c>
      <c r="F689" s="2" t="str" cm="1">
        <f t="array" ref="F689">IFERROR(_xlfn.LET(
_xlpm.CSVVal,_xlfn.XLOOKUP($A689,CSV!$A:$A,CSV!F:F,""),
_xlpm.MacVal,_xlfn.XLOOKUP($A689,Output_Mac!$A:$A,Output_Mac!E:E,""),
_xlpm.MyAuditVal,_xlfn.XLOOKUP($A689,My_Audit!$A:$A,My_Audit!E:E,""),
_xlfn.IFS(_xlpm.MyAuditVal&lt;&gt;"",_xlpm.MyAuditVal,_xlpm.MacVal&lt;&gt;"",_xlpm.MacVal,_xlpm.CSVVal&lt;&gt;"",_xlpm.CSVVal
)),"")</f>
        <v/>
      </c>
      <c r="G689" s="2" t="str" cm="1">
        <f t="array" ref="G689">IFERROR(_xlfn.LET(
_xlpm.CSVVal,_xlfn.XLOOKUP($A689,CSV!$A:$A,CSV!G:G,""),
_xlpm.MacVal,_xlfn.XLOOKUP($A689,Output_Mac!$A:$A,Output_Mac!F:F,""),
_xlpm.MyAuditVal,_xlfn.XLOOKUP($A689,My_Audit!$A:$A,My_Audit!F:F,""),
_xlfn.IFS(_xlpm.MyAuditVal&lt;&gt;"",_xlpm.MyAuditVal,_xlpm.MacVal&lt;&gt;"",_xlpm.MacVal,_xlpm.CSVVal&lt;&gt;"",PROPER(_xlpm.CSVVal)
)),"")</f>
        <v/>
      </c>
      <c r="H689" s="2" t="str" cm="1">
        <f t="array" ref="H689">IFERROR(_xlfn.LET(
_xlpm.CSVVal,_xlfn.XLOOKUP($A689,CSV!$A:$A,CSV!H:H,""),
_xlpm.MacVal,_xlfn.XLOOKUP($A689,Output_Mac!$A:$A,Output_Mac!H:H,""),
_xlpm.MyAuditVal,_xlfn.XLOOKUP($A689,My_Audit!$A:$A,My_Audit!G:G,""),
_xlfn.IFS(_xlpm.MyAuditVal&lt;&gt;"",_xlpm.MyAuditVal,_xlpm.MacVal&lt;&gt;"",_xlpm.MacVal,_xlpm.CSVVal&lt;&gt;"",_xlpm.CSVVal
)),"")</f>
        <v/>
      </c>
      <c r="I689" s="2" t="str">
        <f>_xlfn.XLOOKUP(A689,Output_Mac!A:A,Output_Mac!I:I,"")</f>
        <v/>
      </c>
      <c r="J689" s="2" t="str" cm="1">
        <f t="array" ref="J689">IFERROR(_xlfn.LET(
_xlpm.CSVVal,_xlfn.XLOOKUP($A689,CSV!$A:$A,CSV!I:I,""),
_xlpm.MacVal,_xlfn.XLOOKUP($A689,Output_Mac!$A:$A,Output_Mac!J:J,""),
_xlpm.MyAuditVal,_xlfn.XLOOKUP($A689,My_Audit!$A:$A,My_Audit!I:I,""),
_xlfn.IFS(_xlpm.MyAuditVal&lt;&gt;"",UPPER(_xlpm.MyAuditVal),_xlpm.MacVal&lt;&gt;"",_xlpm.MacVal,_xlpm.CSVVal&lt;&gt;"",_xlpm.CSVVal
)),"")</f>
        <v/>
      </c>
      <c r="K689" s="2" t="str" cm="1">
        <f t="array" ref="K689">IFERROR(_xlfn.LET(
_xlpm.CSVVal,_xlfn.XLOOKUP($A689,CSV!$A:$A,CSV!K:K,""),
_xlpm.MacVal,_xlfn.XLOOKUP($A689,Output_Mac!$A:$A,Output_Mac!K:K,""),
_xlpm.MyAuditVal,_xlfn.XLOOKUP($A689,My_Audit!$A:$A,My_Audit!J:J,""),
_xlfn.IFS(_xlpm.MyAuditVal&lt;&gt;"",UPPER(_xlpm.MyAuditVal),_xlpm.MacVal&lt;&gt;"",_xlpm.MacVal,_xlpm.CSVVal&lt;&gt;"",_xlpm.CSVVal
)),"")</f>
        <v/>
      </c>
      <c r="L689" s="2" t="str" cm="1">
        <f t="array" ref="L689">IFERROR(_xlfn.LET(
_xlpm.CSVVal,_xlfn.XLOOKUP($A689,CSV!$A:$A,CSV!P:P,""),
_xlpm.MacVal,_xlfn.XLOOKUP($A689,Output_Mac!$A:$A,Output_Mac!L:L,""),
_xlpm.MyAuditVal,_xlfn.XLOOKUP($A689,My_Audit!$A:$A,My_Audit!K:K,""),
_xlfn.IFS(_xlpm.MyAuditVal&lt;&gt;"",UPPER(_xlpm.MyAuditVal),_xlpm.MacVal&lt;&gt;"",_xlpm.MacVal,_xlpm.CSVVal&lt;&gt;"",_xlpm.CSVVal
)),"")</f>
        <v/>
      </c>
      <c r="M689" s="2" t="str" cm="1">
        <f t="array" ref="M689">IFERROR(_xlfn.LET(
_xlpm.CSVVal,_xlfn.XLOOKUP($A689,CSV!$A:$A,CSV!Q:Q,""),
_xlpm.MacVal,_xlfn.XLOOKUP($A689,Output_Mac!$A:$A,Output_Mac!M:M,""),
_xlpm.MyAuditVal,_xlfn.XLOOKUP($A689,My_Audit!$A:$A,My_Audit!L:L,""),
_xlfn.IFS(_xlpm.MyAuditVal&lt;&gt;"",UPPER(_xlpm.MyAuditVal),_xlpm.MacVal&lt;&gt;"",_xlpm.MacVal,_xlpm.CSVVal&lt;&gt;"",_xlpm.CSVVal
)),"")</f>
        <v/>
      </c>
      <c r="O689" s="2" t="str">
        <f>_xlfn.LET(
    _xlpm.CSVVal, _xlfn.XLOOKUP($A689, CSV!$A:$A, CSV!AF:AF, ""),
    _xlpm.MacVal, _xlfn.XLOOKUP($A689, Output_Mac!$A:$A, Output_Mac!S:S, ""),
    _xlpm.MyAuditVal, _xlfn.XLOOKUP($A689, My_Audit!$A:$A, My_Audit!P:P, ""),
    _xlfn.TEXTJOIN(", ", TRUE, _xlpm.MyAuditVal, _xlpm.MacVal, _xlpm.CSVVal)
)</f>
        <v/>
      </c>
      <c r="P689" s="2" t="str" cm="1">
        <f t="array" ref="P689">IFERROR(_xlfn.LET(
_xlpm.CSVVal,_xlfn.XLOOKUP($A689,CSV!$A:$A,CSV!AG:AG,""),
_xlpm.MacVal,_xlfn.XLOOKUP($A689,Output_Mac!$A:$A,Output_Mac!T:T,""),
_xlpm.MyAuditVal,_xlfn.XLOOKUP($A689,My_Audit!$A:$A,My_Audit!Q:Q,""),
_xlfn.IFS(_xlpm.MyAuditVal&lt;&gt;"",UPPER(_xlpm.MyAuditVal),_xlpm.MacVal&lt;&gt;"",_xlpm.MacVal,_xlpm.CSVVal&lt;&gt;"",_xlpm.CSVVal
)),"No")</f>
        <v>No</v>
      </c>
      <c r="Q689" s="2" t="str" cm="1">
        <f t="array" ref="Q689">IFERROR(_xlfn.LET(
_xlpm.CSVVal,_xlfn.XLOOKUP($A689,CSV!$A:$A,CSV!AH:AH,""),
_xlpm.MacVal,_xlfn.XLOOKUP($A689,Output_Mac!$A:$A,Output_Mac!U:U,""),
_xlpm.MyAuditVal,_xlfn.XLOOKUP($A689,My_Audit!$A:$A,My_Audit!R:R,""),
_xlfn.IFS(_xlpm.MyAuditVal&lt;&gt;"",UPPER(_xlpm.MyAuditVal),_xlpm.MacVal&lt;&gt;"",_xlpm.MacVal,_xlpm.CSVVal&lt;&gt;"",_xlpm.CSVVal
)),"")</f>
        <v/>
      </c>
    </row>
    <row r="690" spans="1:17">
      <c r="A690" s="2" t="str">
        <f>_xlfn.TEXTJOIN("",TRUE,Input!$B$2,ROW(My_Audit!A689))</f>
        <v>XX689</v>
      </c>
      <c r="B690" s="2" t="str">
        <f>_xlfn.TEXTJOIN("-",TRUE,"ITD",Input!$A$2,A690)</f>
        <v>ITD-SHRXXX-XX689</v>
      </c>
      <c r="C690" s="2" t="str" cm="1">
        <f t="array" ref="C690">IFERROR(_xlfn.LET(
_xlpm.CSVVal,_xlfn.XLOOKUP($A690,CSV!$A:$A,CSV!B:B,""),
_xlpm.MacVal,_xlfn.XLOOKUP($A690,Output_Mac!$A:$A,Output_Mac!B:B,""),
_xlpm.MyAuditVal,_xlfn.XLOOKUP($A690,My_Audit!$A:$A,My_Audit!B:B,""),
_xlfn.IFS(_xlpm.MyAuditVal&lt;&gt;"",UPPER(_xlpm.MyAuditVal),_xlpm.MacVal&lt;&gt;"",_xlpm.MacVal,_xlpm.CSVVal&lt;&gt;"",_xlpm.CSVVal
)),"")</f>
        <v/>
      </c>
      <c r="D690" s="2" t="str" cm="1">
        <f t="array" ref="D690">IFERROR(_xlfn.LET(
_xlpm.CSVVal,_xlfn.XLOOKUP($A690,CSV!$A:$A,CSV!D:D,""),
_xlpm.MacVal,_xlfn.XLOOKUP($A690,Output_Mac!$A:$A,Output_Mac!C:C,""),
_xlpm.MyAuditVal,_xlfn.XLOOKUP($A690,My_Audit!$A:$A,My_Audit!C:C,""),
_xlfn.IFS(_xlpm.MyAuditVal&lt;&gt;"",_xlpm.MyAuditVal,_xlpm.MacVal&lt;&gt;"",_xlpm.MacVal,_xlpm.CSVVal&lt;&gt;"",_xlpm.CSVVal
)),"")</f>
        <v/>
      </c>
      <c r="E690" s="2" t="str">
        <f>_xlfn.XLOOKUP(A690,My_Audit!A:A,My_Audit!D:D,"")&amp;""</f>
        <v/>
      </c>
      <c r="F690" s="2" t="str" cm="1">
        <f t="array" ref="F690">IFERROR(_xlfn.LET(
_xlpm.CSVVal,_xlfn.XLOOKUP($A690,CSV!$A:$A,CSV!F:F,""),
_xlpm.MacVal,_xlfn.XLOOKUP($A690,Output_Mac!$A:$A,Output_Mac!E:E,""),
_xlpm.MyAuditVal,_xlfn.XLOOKUP($A690,My_Audit!$A:$A,My_Audit!E:E,""),
_xlfn.IFS(_xlpm.MyAuditVal&lt;&gt;"",_xlpm.MyAuditVal,_xlpm.MacVal&lt;&gt;"",_xlpm.MacVal,_xlpm.CSVVal&lt;&gt;"",_xlpm.CSVVal
)),"")</f>
        <v/>
      </c>
      <c r="G690" s="2" t="str" cm="1">
        <f t="array" ref="G690">IFERROR(_xlfn.LET(
_xlpm.CSVVal,_xlfn.XLOOKUP($A690,CSV!$A:$A,CSV!G:G,""),
_xlpm.MacVal,_xlfn.XLOOKUP($A690,Output_Mac!$A:$A,Output_Mac!F:F,""),
_xlpm.MyAuditVal,_xlfn.XLOOKUP($A690,My_Audit!$A:$A,My_Audit!F:F,""),
_xlfn.IFS(_xlpm.MyAuditVal&lt;&gt;"",_xlpm.MyAuditVal,_xlpm.MacVal&lt;&gt;"",_xlpm.MacVal,_xlpm.CSVVal&lt;&gt;"",PROPER(_xlpm.CSVVal)
)),"")</f>
        <v/>
      </c>
      <c r="H690" s="2" t="str" cm="1">
        <f t="array" ref="H690">IFERROR(_xlfn.LET(
_xlpm.CSVVal,_xlfn.XLOOKUP($A690,CSV!$A:$A,CSV!H:H,""),
_xlpm.MacVal,_xlfn.XLOOKUP($A690,Output_Mac!$A:$A,Output_Mac!H:H,""),
_xlpm.MyAuditVal,_xlfn.XLOOKUP($A690,My_Audit!$A:$A,My_Audit!G:G,""),
_xlfn.IFS(_xlpm.MyAuditVal&lt;&gt;"",_xlpm.MyAuditVal,_xlpm.MacVal&lt;&gt;"",_xlpm.MacVal,_xlpm.CSVVal&lt;&gt;"",_xlpm.CSVVal
)),"")</f>
        <v/>
      </c>
      <c r="I690" s="2" t="str">
        <f>_xlfn.XLOOKUP(A690,Output_Mac!A:A,Output_Mac!I:I,"")</f>
        <v/>
      </c>
      <c r="J690" s="2" t="str" cm="1">
        <f t="array" ref="J690">IFERROR(_xlfn.LET(
_xlpm.CSVVal,_xlfn.XLOOKUP($A690,CSV!$A:$A,CSV!I:I,""),
_xlpm.MacVal,_xlfn.XLOOKUP($A690,Output_Mac!$A:$A,Output_Mac!J:J,""),
_xlpm.MyAuditVal,_xlfn.XLOOKUP($A690,My_Audit!$A:$A,My_Audit!I:I,""),
_xlfn.IFS(_xlpm.MyAuditVal&lt;&gt;"",UPPER(_xlpm.MyAuditVal),_xlpm.MacVal&lt;&gt;"",_xlpm.MacVal,_xlpm.CSVVal&lt;&gt;"",_xlpm.CSVVal
)),"")</f>
        <v/>
      </c>
      <c r="K690" s="2" t="str" cm="1">
        <f t="array" ref="K690">IFERROR(_xlfn.LET(
_xlpm.CSVVal,_xlfn.XLOOKUP($A690,CSV!$A:$A,CSV!K:K,""),
_xlpm.MacVal,_xlfn.XLOOKUP($A690,Output_Mac!$A:$A,Output_Mac!K:K,""),
_xlpm.MyAuditVal,_xlfn.XLOOKUP($A690,My_Audit!$A:$A,My_Audit!J:J,""),
_xlfn.IFS(_xlpm.MyAuditVal&lt;&gt;"",UPPER(_xlpm.MyAuditVal),_xlpm.MacVal&lt;&gt;"",_xlpm.MacVal,_xlpm.CSVVal&lt;&gt;"",_xlpm.CSVVal
)),"")</f>
        <v/>
      </c>
      <c r="L690" s="2" t="str" cm="1">
        <f t="array" ref="L690">IFERROR(_xlfn.LET(
_xlpm.CSVVal,_xlfn.XLOOKUP($A690,CSV!$A:$A,CSV!P:P,""),
_xlpm.MacVal,_xlfn.XLOOKUP($A690,Output_Mac!$A:$A,Output_Mac!L:L,""),
_xlpm.MyAuditVal,_xlfn.XLOOKUP($A690,My_Audit!$A:$A,My_Audit!K:K,""),
_xlfn.IFS(_xlpm.MyAuditVal&lt;&gt;"",UPPER(_xlpm.MyAuditVal),_xlpm.MacVal&lt;&gt;"",_xlpm.MacVal,_xlpm.CSVVal&lt;&gt;"",_xlpm.CSVVal
)),"")</f>
        <v/>
      </c>
      <c r="M690" s="2" t="str" cm="1">
        <f t="array" ref="M690">IFERROR(_xlfn.LET(
_xlpm.CSVVal,_xlfn.XLOOKUP($A690,CSV!$A:$A,CSV!Q:Q,""),
_xlpm.MacVal,_xlfn.XLOOKUP($A690,Output_Mac!$A:$A,Output_Mac!M:M,""),
_xlpm.MyAuditVal,_xlfn.XLOOKUP($A690,My_Audit!$A:$A,My_Audit!L:L,""),
_xlfn.IFS(_xlpm.MyAuditVal&lt;&gt;"",UPPER(_xlpm.MyAuditVal),_xlpm.MacVal&lt;&gt;"",_xlpm.MacVal,_xlpm.CSVVal&lt;&gt;"",_xlpm.CSVVal
)),"")</f>
        <v/>
      </c>
      <c r="O690" s="2" t="str">
        <f>_xlfn.LET(
    _xlpm.CSVVal, _xlfn.XLOOKUP($A690, CSV!$A:$A, CSV!AF:AF, ""),
    _xlpm.MacVal, _xlfn.XLOOKUP($A690, Output_Mac!$A:$A, Output_Mac!S:S, ""),
    _xlpm.MyAuditVal, _xlfn.XLOOKUP($A690, My_Audit!$A:$A, My_Audit!P:P, ""),
    _xlfn.TEXTJOIN(", ", TRUE, _xlpm.MyAuditVal, _xlpm.MacVal, _xlpm.CSVVal)
)</f>
        <v/>
      </c>
      <c r="P690" s="2" t="str" cm="1">
        <f t="array" ref="P690">IFERROR(_xlfn.LET(
_xlpm.CSVVal,_xlfn.XLOOKUP($A690,CSV!$A:$A,CSV!AG:AG,""),
_xlpm.MacVal,_xlfn.XLOOKUP($A690,Output_Mac!$A:$A,Output_Mac!T:T,""),
_xlpm.MyAuditVal,_xlfn.XLOOKUP($A690,My_Audit!$A:$A,My_Audit!Q:Q,""),
_xlfn.IFS(_xlpm.MyAuditVal&lt;&gt;"",UPPER(_xlpm.MyAuditVal),_xlpm.MacVal&lt;&gt;"",_xlpm.MacVal,_xlpm.CSVVal&lt;&gt;"",_xlpm.CSVVal
)),"No")</f>
        <v>No</v>
      </c>
      <c r="Q690" s="2" t="str" cm="1">
        <f t="array" ref="Q690">IFERROR(_xlfn.LET(
_xlpm.CSVVal,_xlfn.XLOOKUP($A690,CSV!$A:$A,CSV!AH:AH,""),
_xlpm.MacVal,_xlfn.XLOOKUP($A690,Output_Mac!$A:$A,Output_Mac!U:U,""),
_xlpm.MyAuditVal,_xlfn.XLOOKUP($A690,My_Audit!$A:$A,My_Audit!R:R,""),
_xlfn.IFS(_xlpm.MyAuditVal&lt;&gt;"",UPPER(_xlpm.MyAuditVal),_xlpm.MacVal&lt;&gt;"",_xlpm.MacVal,_xlpm.CSVVal&lt;&gt;"",_xlpm.CSVVal
)),"")</f>
        <v/>
      </c>
    </row>
    <row r="691" spans="1:17">
      <c r="A691" s="2" t="str">
        <f>_xlfn.TEXTJOIN("",TRUE,Input!$B$2,ROW(My_Audit!A690))</f>
        <v>XX690</v>
      </c>
      <c r="B691" s="2" t="str">
        <f>_xlfn.TEXTJOIN("-",TRUE,"ITD",Input!$A$2,A691)</f>
        <v>ITD-SHRXXX-XX690</v>
      </c>
      <c r="C691" s="2" t="str" cm="1">
        <f t="array" ref="C691">IFERROR(_xlfn.LET(
_xlpm.CSVVal,_xlfn.XLOOKUP($A691,CSV!$A:$A,CSV!B:B,""),
_xlpm.MacVal,_xlfn.XLOOKUP($A691,Output_Mac!$A:$A,Output_Mac!B:B,""),
_xlpm.MyAuditVal,_xlfn.XLOOKUP($A691,My_Audit!$A:$A,My_Audit!B:B,""),
_xlfn.IFS(_xlpm.MyAuditVal&lt;&gt;"",UPPER(_xlpm.MyAuditVal),_xlpm.MacVal&lt;&gt;"",_xlpm.MacVal,_xlpm.CSVVal&lt;&gt;"",_xlpm.CSVVal
)),"")</f>
        <v/>
      </c>
      <c r="D691" s="2" t="str" cm="1">
        <f t="array" ref="D691">IFERROR(_xlfn.LET(
_xlpm.CSVVal,_xlfn.XLOOKUP($A691,CSV!$A:$A,CSV!D:D,""),
_xlpm.MacVal,_xlfn.XLOOKUP($A691,Output_Mac!$A:$A,Output_Mac!C:C,""),
_xlpm.MyAuditVal,_xlfn.XLOOKUP($A691,My_Audit!$A:$A,My_Audit!C:C,""),
_xlfn.IFS(_xlpm.MyAuditVal&lt;&gt;"",_xlpm.MyAuditVal,_xlpm.MacVal&lt;&gt;"",_xlpm.MacVal,_xlpm.CSVVal&lt;&gt;"",_xlpm.CSVVal
)),"")</f>
        <v/>
      </c>
      <c r="E691" s="2" t="str">
        <f>_xlfn.XLOOKUP(A691,My_Audit!A:A,My_Audit!D:D,"")&amp;""</f>
        <v/>
      </c>
      <c r="F691" s="2" t="str" cm="1">
        <f t="array" ref="F691">IFERROR(_xlfn.LET(
_xlpm.CSVVal,_xlfn.XLOOKUP($A691,CSV!$A:$A,CSV!F:F,""),
_xlpm.MacVal,_xlfn.XLOOKUP($A691,Output_Mac!$A:$A,Output_Mac!E:E,""),
_xlpm.MyAuditVal,_xlfn.XLOOKUP($A691,My_Audit!$A:$A,My_Audit!E:E,""),
_xlfn.IFS(_xlpm.MyAuditVal&lt;&gt;"",_xlpm.MyAuditVal,_xlpm.MacVal&lt;&gt;"",_xlpm.MacVal,_xlpm.CSVVal&lt;&gt;"",_xlpm.CSVVal
)),"")</f>
        <v/>
      </c>
      <c r="G691" s="2" t="str" cm="1">
        <f t="array" ref="G691">IFERROR(_xlfn.LET(
_xlpm.CSVVal,_xlfn.XLOOKUP($A691,CSV!$A:$A,CSV!G:G,""),
_xlpm.MacVal,_xlfn.XLOOKUP($A691,Output_Mac!$A:$A,Output_Mac!F:F,""),
_xlpm.MyAuditVal,_xlfn.XLOOKUP($A691,My_Audit!$A:$A,My_Audit!F:F,""),
_xlfn.IFS(_xlpm.MyAuditVal&lt;&gt;"",_xlpm.MyAuditVal,_xlpm.MacVal&lt;&gt;"",_xlpm.MacVal,_xlpm.CSVVal&lt;&gt;"",PROPER(_xlpm.CSVVal)
)),"")</f>
        <v/>
      </c>
      <c r="H691" s="2" t="str" cm="1">
        <f t="array" ref="H691">IFERROR(_xlfn.LET(
_xlpm.CSVVal,_xlfn.XLOOKUP($A691,CSV!$A:$A,CSV!H:H,""),
_xlpm.MacVal,_xlfn.XLOOKUP($A691,Output_Mac!$A:$A,Output_Mac!H:H,""),
_xlpm.MyAuditVal,_xlfn.XLOOKUP($A691,My_Audit!$A:$A,My_Audit!G:G,""),
_xlfn.IFS(_xlpm.MyAuditVal&lt;&gt;"",_xlpm.MyAuditVal,_xlpm.MacVal&lt;&gt;"",_xlpm.MacVal,_xlpm.CSVVal&lt;&gt;"",_xlpm.CSVVal
)),"")</f>
        <v/>
      </c>
      <c r="I691" s="2" t="str">
        <f>_xlfn.XLOOKUP(A691,Output_Mac!A:A,Output_Mac!I:I,"")</f>
        <v/>
      </c>
      <c r="J691" s="2" t="str" cm="1">
        <f t="array" ref="J691">IFERROR(_xlfn.LET(
_xlpm.CSVVal,_xlfn.XLOOKUP($A691,CSV!$A:$A,CSV!I:I,""),
_xlpm.MacVal,_xlfn.XLOOKUP($A691,Output_Mac!$A:$A,Output_Mac!J:J,""),
_xlpm.MyAuditVal,_xlfn.XLOOKUP($A691,My_Audit!$A:$A,My_Audit!I:I,""),
_xlfn.IFS(_xlpm.MyAuditVal&lt;&gt;"",UPPER(_xlpm.MyAuditVal),_xlpm.MacVal&lt;&gt;"",_xlpm.MacVal,_xlpm.CSVVal&lt;&gt;"",_xlpm.CSVVal
)),"")</f>
        <v/>
      </c>
      <c r="K691" s="2" t="str" cm="1">
        <f t="array" ref="K691">IFERROR(_xlfn.LET(
_xlpm.CSVVal,_xlfn.XLOOKUP($A691,CSV!$A:$A,CSV!K:K,""),
_xlpm.MacVal,_xlfn.XLOOKUP($A691,Output_Mac!$A:$A,Output_Mac!K:K,""),
_xlpm.MyAuditVal,_xlfn.XLOOKUP($A691,My_Audit!$A:$A,My_Audit!J:J,""),
_xlfn.IFS(_xlpm.MyAuditVal&lt;&gt;"",UPPER(_xlpm.MyAuditVal),_xlpm.MacVal&lt;&gt;"",_xlpm.MacVal,_xlpm.CSVVal&lt;&gt;"",_xlpm.CSVVal
)),"")</f>
        <v/>
      </c>
      <c r="L691" s="2" t="str" cm="1">
        <f t="array" ref="L691">IFERROR(_xlfn.LET(
_xlpm.CSVVal,_xlfn.XLOOKUP($A691,CSV!$A:$A,CSV!P:P,""),
_xlpm.MacVal,_xlfn.XLOOKUP($A691,Output_Mac!$A:$A,Output_Mac!L:L,""),
_xlpm.MyAuditVal,_xlfn.XLOOKUP($A691,My_Audit!$A:$A,My_Audit!K:K,""),
_xlfn.IFS(_xlpm.MyAuditVal&lt;&gt;"",UPPER(_xlpm.MyAuditVal),_xlpm.MacVal&lt;&gt;"",_xlpm.MacVal,_xlpm.CSVVal&lt;&gt;"",_xlpm.CSVVal
)),"")</f>
        <v/>
      </c>
      <c r="M691" s="2" t="str" cm="1">
        <f t="array" ref="M691">IFERROR(_xlfn.LET(
_xlpm.CSVVal,_xlfn.XLOOKUP($A691,CSV!$A:$A,CSV!Q:Q,""),
_xlpm.MacVal,_xlfn.XLOOKUP($A691,Output_Mac!$A:$A,Output_Mac!M:M,""),
_xlpm.MyAuditVal,_xlfn.XLOOKUP($A691,My_Audit!$A:$A,My_Audit!L:L,""),
_xlfn.IFS(_xlpm.MyAuditVal&lt;&gt;"",UPPER(_xlpm.MyAuditVal),_xlpm.MacVal&lt;&gt;"",_xlpm.MacVal,_xlpm.CSVVal&lt;&gt;"",_xlpm.CSVVal
)),"")</f>
        <v/>
      </c>
      <c r="O691" s="2" t="str">
        <f>_xlfn.LET(
    _xlpm.CSVVal, _xlfn.XLOOKUP($A691, CSV!$A:$A, CSV!AF:AF, ""),
    _xlpm.MacVal, _xlfn.XLOOKUP($A691, Output_Mac!$A:$A, Output_Mac!S:S, ""),
    _xlpm.MyAuditVal, _xlfn.XLOOKUP($A691, My_Audit!$A:$A, My_Audit!P:P, ""),
    _xlfn.TEXTJOIN(", ", TRUE, _xlpm.MyAuditVal, _xlpm.MacVal, _xlpm.CSVVal)
)</f>
        <v/>
      </c>
      <c r="P691" s="2" t="str" cm="1">
        <f t="array" ref="P691">IFERROR(_xlfn.LET(
_xlpm.CSVVal,_xlfn.XLOOKUP($A691,CSV!$A:$A,CSV!AG:AG,""),
_xlpm.MacVal,_xlfn.XLOOKUP($A691,Output_Mac!$A:$A,Output_Mac!T:T,""),
_xlpm.MyAuditVal,_xlfn.XLOOKUP($A691,My_Audit!$A:$A,My_Audit!Q:Q,""),
_xlfn.IFS(_xlpm.MyAuditVal&lt;&gt;"",UPPER(_xlpm.MyAuditVal),_xlpm.MacVal&lt;&gt;"",_xlpm.MacVal,_xlpm.CSVVal&lt;&gt;"",_xlpm.CSVVal
)),"No")</f>
        <v>No</v>
      </c>
      <c r="Q691" s="2" t="str" cm="1">
        <f t="array" ref="Q691">IFERROR(_xlfn.LET(
_xlpm.CSVVal,_xlfn.XLOOKUP($A691,CSV!$A:$A,CSV!AH:AH,""),
_xlpm.MacVal,_xlfn.XLOOKUP($A691,Output_Mac!$A:$A,Output_Mac!U:U,""),
_xlpm.MyAuditVal,_xlfn.XLOOKUP($A691,My_Audit!$A:$A,My_Audit!R:R,""),
_xlfn.IFS(_xlpm.MyAuditVal&lt;&gt;"",UPPER(_xlpm.MyAuditVal),_xlpm.MacVal&lt;&gt;"",_xlpm.MacVal,_xlpm.CSVVal&lt;&gt;"",_xlpm.CSVVal
)),"")</f>
        <v/>
      </c>
    </row>
    <row r="692" spans="1:17">
      <c r="A692" s="2" t="str">
        <f>_xlfn.TEXTJOIN("",TRUE,Input!$B$2,ROW(My_Audit!A691))</f>
        <v>XX691</v>
      </c>
      <c r="B692" s="2" t="str">
        <f>_xlfn.TEXTJOIN("-",TRUE,"ITD",Input!$A$2,A692)</f>
        <v>ITD-SHRXXX-XX691</v>
      </c>
      <c r="C692" s="2" t="str" cm="1">
        <f t="array" ref="C692">IFERROR(_xlfn.LET(
_xlpm.CSVVal,_xlfn.XLOOKUP($A692,CSV!$A:$A,CSV!B:B,""),
_xlpm.MacVal,_xlfn.XLOOKUP($A692,Output_Mac!$A:$A,Output_Mac!B:B,""),
_xlpm.MyAuditVal,_xlfn.XLOOKUP($A692,My_Audit!$A:$A,My_Audit!B:B,""),
_xlfn.IFS(_xlpm.MyAuditVal&lt;&gt;"",UPPER(_xlpm.MyAuditVal),_xlpm.MacVal&lt;&gt;"",_xlpm.MacVal,_xlpm.CSVVal&lt;&gt;"",_xlpm.CSVVal
)),"")</f>
        <v/>
      </c>
      <c r="D692" s="2" t="str" cm="1">
        <f t="array" ref="D692">IFERROR(_xlfn.LET(
_xlpm.CSVVal,_xlfn.XLOOKUP($A692,CSV!$A:$A,CSV!D:D,""),
_xlpm.MacVal,_xlfn.XLOOKUP($A692,Output_Mac!$A:$A,Output_Mac!C:C,""),
_xlpm.MyAuditVal,_xlfn.XLOOKUP($A692,My_Audit!$A:$A,My_Audit!C:C,""),
_xlfn.IFS(_xlpm.MyAuditVal&lt;&gt;"",_xlpm.MyAuditVal,_xlpm.MacVal&lt;&gt;"",_xlpm.MacVal,_xlpm.CSVVal&lt;&gt;"",_xlpm.CSVVal
)),"")</f>
        <v/>
      </c>
      <c r="E692" s="2" t="str">
        <f>_xlfn.XLOOKUP(A692,My_Audit!A:A,My_Audit!D:D,"")&amp;""</f>
        <v/>
      </c>
      <c r="F692" s="2" t="str" cm="1">
        <f t="array" ref="F692">IFERROR(_xlfn.LET(
_xlpm.CSVVal,_xlfn.XLOOKUP($A692,CSV!$A:$A,CSV!F:F,""),
_xlpm.MacVal,_xlfn.XLOOKUP($A692,Output_Mac!$A:$A,Output_Mac!E:E,""),
_xlpm.MyAuditVal,_xlfn.XLOOKUP($A692,My_Audit!$A:$A,My_Audit!E:E,""),
_xlfn.IFS(_xlpm.MyAuditVal&lt;&gt;"",_xlpm.MyAuditVal,_xlpm.MacVal&lt;&gt;"",_xlpm.MacVal,_xlpm.CSVVal&lt;&gt;"",_xlpm.CSVVal
)),"")</f>
        <v/>
      </c>
      <c r="G692" s="2" t="str" cm="1">
        <f t="array" ref="G692">IFERROR(_xlfn.LET(
_xlpm.CSVVal,_xlfn.XLOOKUP($A692,CSV!$A:$A,CSV!G:G,""),
_xlpm.MacVal,_xlfn.XLOOKUP($A692,Output_Mac!$A:$A,Output_Mac!F:F,""),
_xlpm.MyAuditVal,_xlfn.XLOOKUP($A692,My_Audit!$A:$A,My_Audit!F:F,""),
_xlfn.IFS(_xlpm.MyAuditVal&lt;&gt;"",_xlpm.MyAuditVal,_xlpm.MacVal&lt;&gt;"",_xlpm.MacVal,_xlpm.CSVVal&lt;&gt;"",PROPER(_xlpm.CSVVal)
)),"")</f>
        <v/>
      </c>
      <c r="H692" s="2" t="str" cm="1">
        <f t="array" ref="H692">IFERROR(_xlfn.LET(
_xlpm.CSVVal,_xlfn.XLOOKUP($A692,CSV!$A:$A,CSV!H:H,""),
_xlpm.MacVal,_xlfn.XLOOKUP($A692,Output_Mac!$A:$A,Output_Mac!H:H,""),
_xlpm.MyAuditVal,_xlfn.XLOOKUP($A692,My_Audit!$A:$A,My_Audit!G:G,""),
_xlfn.IFS(_xlpm.MyAuditVal&lt;&gt;"",_xlpm.MyAuditVal,_xlpm.MacVal&lt;&gt;"",_xlpm.MacVal,_xlpm.CSVVal&lt;&gt;"",_xlpm.CSVVal
)),"")</f>
        <v/>
      </c>
      <c r="I692" s="2" t="str">
        <f>_xlfn.XLOOKUP(A692,Output_Mac!A:A,Output_Mac!I:I,"")</f>
        <v/>
      </c>
      <c r="J692" s="2" t="str" cm="1">
        <f t="array" ref="J692">IFERROR(_xlfn.LET(
_xlpm.CSVVal,_xlfn.XLOOKUP($A692,CSV!$A:$A,CSV!I:I,""),
_xlpm.MacVal,_xlfn.XLOOKUP($A692,Output_Mac!$A:$A,Output_Mac!J:J,""),
_xlpm.MyAuditVal,_xlfn.XLOOKUP($A692,My_Audit!$A:$A,My_Audit!I:I,""),
_xlfn.IFS(_xlpm.MyAuditVal&lt;&gt;"",UPPER(_xlpm.MyAuditVal),_xlpm.MacVal&lt;&gt;"",_xlpm.MacVal,_xlpm.CSVVal&lt;&gt;"",_xlpm.CSVVal
)),"")</f>
        <v/>
      </c>
      <c r="K692" s="2" t="str" cm="1">
        <f t="array" ref="K692">IFERROR(_xlfn.LET(
_xlpm.CSVVal,_xlfn.XLOOKUP($A692,CSV!$A:$A,CSV!K:K,""),
_xlpm.MacVal,_xlfn.XLOOKUP($A692,Output_Mac!$A:$A,Output_Mac!K:K,""),
_xlpm.MyAuditVal,_xlfn.XLOOKUP($A692,My_Audit!$A:$A,My_Audit!J:J,""),
_xlfn.IFS(_xlpm.MyAuditVal&lt;&gt;"",UPPER(_xlpm.MyAuditVal),_xlpm.MacVal&lt;&gt;"",_xlpm.MacVal,_xlpm.CSVVal&lt;&gt;"",_xlpm.CSVVal
)),"")</f>
        <v/>
      </c>
      <c r="L692" s="2" t="str" cm="1">
        <f t="array" ref="L692">IFERROR(_xlfn.LET(
_xlpm.CSVVal,_xlfn.XLOOKUP($A692,CSV!$A:$A,CSV!P:P,""),
_xlpm.MacVal,_xlfn.XLOOKUP($A692,Output_Mac!$A:$A,Output_Mac!L:L,""),
_xlpm.MyAuditVal,_xlfn.XLOOKUP($A692,My_Audit!$A:$A,My_Audit!K:K,""),
_xlfn.IFS(_xlpm.MyAuditVal&lt;&gt;"",UPPER(_xlpm.MyAuditVal),_xlpm.MacVal&lt;&gt;"",_xlpm.MacVal,_xlpm.CSVVal&lt;&gt;"",_xlpm.CSVVal
)),"")</f>
        <v/>
      </c>
      <c r="M692" s="2" t="str" cm="1">
        <f t="array" ref="M692">IFERROR(_xlfn.LET(
_xlpm.CSVVal,_xlfn.XLOOKUP($A692,CSV!$A:$A,CSV!Q:Q,""),
_xlpm.MacVal,_xlfn.XLOOKUP($A692,Output_Mac!$A:$A,Output_Mac!M:M,""),
_xlpm.MyAuditVal,_xlfn.XLOOKUP($A692,My_Audit!$A:$A,My_Audit!L:L,""),
_xlfn.IFS(_xlpm.MyAuditVal&lt;&gt;"",UPPER(_xlpm.MyAuditVal),_xlpm.MacVal&lt;&gt;"",_xlpm.MacVal,_xlpm.CSVVal&lt;&gt;"",_xlpm.CSVVal
)),"")</f>
        <v/>
      </c>
      <c r="O692" s="2" t="str">
        <f>_xlfn.LET(
    _xlpm.CSVVal, _xlfn.XLOOKUP($A692, CSV!$A:$A, CSV!AF:AF, ""),
    _xlpm.MacVal, _xlfn.XLOOKUP($A692, Output_Mac!$A:$A, Output_Mac!S:S, ""),
    _xlpm.MyAuditVal, _xlfn.XLOOKUP($A692, My_Audit!$A:$A, My_Audit!P:P, ""),
    _xlfn.TEXTJOIN(", ", TRUE, _xlpm.MyAuditVal, _xlpm.MacVal, _xlpm.CSVVal)
)</f>
        <v/>
      </c>
      <c r="P692" s="2" t="str" cm="1">
        <f t="array" ref="P692">IFERROR(_xlfn.LET(
_xlpm.CSVVal,_xlfn.XLOOKUP($A692,CSV!$A:$A,CSV!AG:AG,""),
_xlpm.MacVal,_xlfn.XLOOKUP($A692,Output_Mac!$A:$A,Output_Mac!T:T,""),
_xlpm.MyAuditVal,_xlfn.XLOOKUP($A692,My_Audit!$A:$A,My_Audit!Q:Q,""),
_xlfn.IFS(_xlpm.MyAuditVal&lt;&gt;"",UPPER(_xlpm.MyAuditVal),_xlpm.MacVal&lt;&gt;"",_xlpm.MacVal,_xlpm.CSVVal&lt;&gt;"",_xlpm.CSVVal
)),"No")</f>
        <v>No</v>
      </c>
      <c r="Q692" s="2" t="str" cm="1">
        <f t="array" ref="Q692">IFERROR(_xlfn.LET(
_xlpm.CSVVal,_xlfn.XLOOKUP($A692,CSV!$A:$A,CSV!AH:AH,""),
_xlpm.MacVal,_xlfn.XLOOKUP($A692,Output_Mac!$A:$A,Output_Mac!U:U,""),
_xlpm.MyAuditVal,_xlfn.XLOOKUP($A692,My_Audit!$A:$A,My_Audit!R:R,""),
_xlfn.IFS(_xlpm.MyAuditVal&lt;&gt;"",UPPER(_xlpm.MyAuditVal),_xlpm.MacVal&lt;&gt;"",_xlpm.MacVal,_xlpm.CSVVal&lt;&gt;"",_xlpm.CSVVal
)),"")</f>
        <v/>
      </c>
    </row>
    <row r="693" spans="1:17">
      <c r="A693" s="2" t="str">
        <f>_xlfn.TEXTJOIN("",TRUE,Input!$B$2,ROW(My_Audit!A692))</f>
        <v>XX692</v>
      </c>
      <c r="B693" s="2" t="str">
        <f>_xlfn.TEXTJOIN("-",TRUE,"ITD",Input!$A$2,A693)</f>
        <v>ITD-SHRXXX-XX692</v>
      </c>
      <c r="C693" s="2" t="str" cm="1">
        <f t="array" ref="C693">IFERROR(_xlfn.LET(
_xlpm.CSVVal,_xlfn.XLOOKUP($A693,CSV!$A:$A,CSV!B:B,""),
_xlpm.MacVal,_xlfn.XLOOKUP($A693,Output_Mac!$A:$A,Output_Mac!B:B,""),
_xlpm.MyAuditVal,_xlfn.XLOOKUP($A693,My_Audit!$A:$A,My_Audit!B:B,""),
_xlfn.IFS(_xlpm.MyAuditVal&lt;&gt;"",UPPER(_xlpm.MyAuditVal),_xlpm.MacVal&lt;&gt;"",_xlpm.MacVal,_xlpm.CSVVal&lt;&gt;"",_xlpm.CSVVal
)),"")</f>
        <v/>
      </c>
      <c r="D693" s="2" t="str" cm="1">
        <f t="array" ref="D693">IFERROR(_xlfn.LET(
_xlpm.CSVVal,_xlfn.XLOOKUP($A693,CSV!$A:$A,CSV!D:D,""),
_xlpm.MacVal,_xlfn.XLOOKUP($A693,Output_Mac!$A:$A,Output_Mac!C:C,""),
_xlpm.MyAuditVal,_xlfn.XLOOKUP($A693,My_Audit!$A:$A,My_Audit!C:C,""),
_xlfn.IFS(_xlpm.MyAuditVal&lt;&gt;"",_xlpm.MyAuditVal,_xlpm.MacVal&lt;&gt;"",_xlpm.MacVal,_xlpm.CSVVal&lt;&gt;"",_xlpm.CSVVal
)),"")</f>
        <v/>
      </c>
      <c r="E693" s="2" t="str">
        <f>_xlfn.XLOOKUP(A693,My_Audit!A:A,My_Audit!D:D,"")&amp;""</f>
        <v/>
      </c>
      <c r="F693" s="2" t="str" cm="1">
        <f t="array" ref="F693">IFERROR(_xlfn.LET(
_xlpm.CSVVal,_xlfn.XLOOKUP($A693,CSV!$A:$A,CSV!F:F,""),
_xlpm.MacVal,_xlfn.XLOOKUP($A693,Output_Mac!$A:$A,Output_Mac!E:E,""),
_xlpm.MyAuditVal,_xlfn.XLOOKUP($A693,My_Audit!$A:$A,My_Audit!E:E,""),
_xlfn.IFS(_xlpm.MyAuditVal&lt;&gt;"",_xlpm.MyAuditVal,_xlpm.MacVal&lt;&gt;"",_xlpm.MacVal,_xlpm.CSVVal&lt;&gt;"",_xlpm.CSVVal
)),"")</f>
        <v/>
      </c>
      <c r="G693" s="2" t="str" cm="1">
        <f t="array" ref="G693">IFERROR(_xlfn.LET(
_xlpm.CSVVal,_xlfn.XLOOKUP($A693,CSV!$A:$A,CSV!G:G,""),
_xlpm.MacVal,_xlfn.XLOOKUP($A693,Output_Mac!$A:$A,Output_Mac!F:F,""),
_xlpm.MyAuditVal,_xlfn.XLOOKUP($A693,My_Audit!$A:$A,My_Audit!F:F,""),
_xlfn.IFS(_xlpm.MyAuditVal&lt;&gt;"",_xlpm.MyAuditVal,_xlpm.MacVal&lt;&gt;"",_xlpm.MacVal,_xlpm.CSVVal&lt;&gt;"",PROPER(_xlpm.CSVVal)
)),"")</f>
        <v/>
      </c>
      <c r="H693" s="2" t="str" cm="1">
        <f t="array" ref="H693">IFERROR(_xlfn.LET(
_xlpm.CSVVal,_xlfn.XLOOKUP($A693,CSV!$A:$A,CSV!H:H,""),
_xlpm.MacVal,_xlfn.XLOOKUP($A693,Output_Mac!$A:$A,Output_Mac!H:H,""),
_xlpm.MyAuditVal,_xlfn.XLOOKUP($A693,My_Audit!$A:$A,My_Audit!G:G,""),
_xlfn.IFS(_xlpm.MyAuditVal&lt;&gt;"",_xlpm.MyAuditVal,_xlpm.MacVal&lt;&gt;"",_xlpm.MacVal,_xlpm.CSVVal&lt;&gt;"",_xlpm.CSVVal
)),"")</f>
        <v/>
      </c>
      <c r="I693" s="2" t="str">
        <f>_xlfn.XLOOKUP(A693,Output_Mac!A:A,Output_Mac!I:I,"")</f>
        <v/>
      </c>
      <c r="J693" s="2" t="str" cm="1">
        <f t="array" ref="J693">IFERROR(_xlfn.LET(
_xlpm.CSVVal,_xlfn.XLOOKUP($A693,CSV!$A:$A,CSV!I:I,""),
_xlpm.MacVal,_xlfn.XLOOKUP($A693,Output_Mac!$A:$A,Output_Mac!J:J,""),
_xlpm.MyAuditVal,_xlfn.XLOOKUP($A693,My_Audit!$A:$A,My_Audit!I:I,""),
_xlfn.IFS(_xlpm.MyAuditVal&lt;&gt;"",UPPER(_xlpm.MyAuditVal),_xlpm.MacVal&lt;&gt;"",_xlpm.MacVal,_xlpm.CSVVal&lt;&gt;"",_xlpm.CSVVal
)),"")</f>
        <v/>
      </c>
      <c r="K693" s="2" t="str" cm="1">
        <f t="array" ref="K693">IFERROR(_xlfn.LET(
_xlpm.CSVVal,_xlfn.XLOOKUP($A693,CSV!$A:$A,CSV!K:K,""),
_xlpm.MacVal,_xlfn.XLOOKUP($A693,Output_Mac!$A:$A,Output_Mac!K:K,""),
_xlpm.MyAuditVal,_xlfn.XLOOKUP($A693,My_Audit!$A:$A,My_Audit!J:J,""),
_xlfn.IFS(_xlpm.MyAuditVal&lt;&gt;"",UPPER(_xlpm.MyAuditVal),_xlpm.MacVal&lt;&gt;"",_xlpm.MacVal,_xlpm.CSVVal&lt;&gt;"",_xlpm.CSVVal
)),"")</f>
        <v/>
      </c>
      <c r="L693" s="2" t="str" cm="1">
        <f t="array" ref="L693">IFERROR(_xlfn.LET(
_xlpm.CSVVal,_xlfn.XLOOKUP($A693,CSV!$A:$A,CSV!P:P,""),
_xlpm.MacVal,_xlfn.XLOOKUP($A693,Output_Mac!$A:$A,Output_Mac!L:L,""),
_xlpm.MyAuditVal,_xlfn.XLOOKUP($A693,My_Audit!$A:$A,My_Audit!K:K,""),
_xlfn.IFS(_xlpm.MyAuditVal&lt;&gt;"",UPPER(_xlpm.MyAuditVal),_xlpm.MacVal&lt;&gt;"",_xlpm.MacVal,_xlpm.CSVVal&lt;&gt;"",_xlpm.CSVVal
)),"")</f>
        <v/>
      </c>
      <c r="M693" s="2" t="str" cm="1">
        <f t="array" ref="M693">IFERROR(_xlfn.LET(
_xlpm.CSVVal,_xlfn.XLOOKUP($A693,CSV!$A:$A,CSV!Q:Q,""),
_xlpm.MacVal,_xlfn.XLOOKUP($A693,Output_Mac!$A:$A,Output_Mac!M:M,""),
_xlpm.MyAuditVal,_xlfn.XLOOKUP($A693,My_Audit!$A:$A,My_Audit!L:L,""),
_xlfn.IFS(_xlpm.MyAuditVal&lt;&gt;"",UPPER(_xlpm.MyAuditVal),_xlpm.MacVal&lt;&gt;"",_xlpm.MacVal,_xlpm.CSVVal&lt;&gt;"",_xlpm.CSVVal
)),"")</f>
        <v/>
      </c>
      <c r="O693" s="2" t="str">
        <f>_xlfn.LET(
    _xlpm.CSVVal, _xlfn.XLOOKUP($A693, CSV!$A:$A, CSV!AF:AF, ""),
    _xlpm.MacVal, _xlfn.XLOOKUP($A693, Output_Mac!$A:$A, Output_Mac!S:S, ""),
    _xlpm.MyAuditVal, _xlfn.XLOOKUP($A693, My_Audit!$A:$A, My_Audit!P:P, ""),
    _xlfn.TEXTJOIN(", ", TRUE, _xlpm.MyAuditVal, _xlpm.MacVal, _xlpm.CSVVal)
)</f>
        <v/>
      </c>
      <c r="P693" s="2" t="str" cm="1">
        <f t="array" ref="P693">IFERROR(_xlfn.LET(
_xlpm.CSVVal,_xlfn.XLOOKUP($A693,CSV!$A:$A,CSV!AG:AG,""),
_xlpm.MacVal,_xlfn.XLOOKUP($A693,Output_Mac!$A:$A,Output_Mac!T:T,""),
_xlpm.MyAuditVal,_xlfn.XLOOKUP($A693,My_Audit!$A:$A,My_Audit!Q:Q,""),
_xlfn.IFS(_xlpm.MyAuditVal&lt;&gt;"",UPPER(_xlpm.MyAuditVal),_xlpm.MacVal&lt;&gt;"",_xlpm.MacVal,_xlpm.CSVVal&lt;&gt;"",_xlpm.CSVVal
)),"No")</f>
        <v>No</v>
      </c>
      <c r="Q693" s="2" t="str" cm="1">
        <f t="array" ref="Q693">IFERROR(_xlfn.LET(
_xlpm.CSVVal,_xlfn.XLOOKUP($A693,CSV!$A:$A,CSV!AH:AH,""),
_xlpm.MacVal,_xlfn.XLOOKUP($A693,Output_Mac!$A:$A,Output_Mac!U:U,""),
_xlpm.MyAuditVal,_xlfn.XLOOKUP($A693,My_Audit!$A:$A,My_Audit!R:R,""),
_xlfn.IFS(_xlpm.MyAuditVal&lt;&gt;"",UPPER(_xlpm.MyAuditVal),_xlpm.MacVal&lt;&gt;"",_xlpm.MacVal,_xlpm.CSVVal&lt;&gt;"",_xlpm.CSVVal
)),"")</f>
        <v/>
      </c>
    </row>
    <row r="694" spans="1:17">
      <c r="A694" s="2" t="str">
        <f>_xlfn.TEXTJOIN("",TRUE,Input!$B$2,ROW(My_Audit!A693))</f>
        <v>XX693</v>
      </c>
      <c r="B694" s="2" t="str">
        <f>_xlfn.TEXTJOIN("-",TRUE,"ITD",Input!$A$2,A694)</f>
        <v>ITD-SHRXXX-XX693</v>
      </c>
      <c r="C694" s="2" t="str" cm="1">
        <f t="array" ref="C694">IFERROR(_xlfn.LET(
_xlpm.CSVVal,_xlfn.XLOOKUP($A694,CSV!$A:$A,CSV!B:B,""),
_xlpm.MacVal,_xlfn.XLOOKUP($A694,Output_Mac!$A:$A,Output_Mac!B:B,""),
_xlpm.MyAuditVal,_xlfn.XLOOKUP($A694,My_Audit!$A:$A,My_Audit!B:B,""),
_xlfn.IFS(_xlpm.MyAuditVal&lt;&gt;"",UPPER(_xlpm.MyAuditVal),_xlpm.MacVal&lt;&gt;"",_xlpm.MacVal,_xlpm.CSVVal&lt;&gt;"",_xlpm.CSVVal
)),"")</f>
        <v/>
      </c>
      <c r="D694" s="2" t="str" cm="1">
        <f t="array" ref="D694">IFERROR(_xlfn.LET(
_xlpm.CSVVal,_xlfn.XLOOKUP($A694,CSV!$A:$A,CSV!D:D,""),
_xlpm.MacVal,_xlfn.XLOOKUP($A694,Output_Mac!$A:$A,Output_Mac!C:C,""),
_xlpm.MyAuditVal,_xlfn.XLOOKUP($A694,My_Audit!$A:$A,My_Audit!C:C,""),
_xlfn.IFS(_xlpm.MyAuditVal&lt;&gt;"",_xlpm.MyAuditVal,_xlpm.MacVal&lt;&gt;"",_xlpm.MacVal,_xlpm.CSVVal&lt;&gt;"",_xlpm.CSVVal
)),"")</f>
        <v/>
      </c>
      <c r="E694" s="2" t="str">
        <f>_xlfn.XLOOKUP(A694,My_Audit!A:A,My_Audit!D:D,"")&amp;""</f>
        <v/>
      </c>
      <c r="F694" s="2" t="str" cm="1">
        <f t="array" ref="F694">IFERROR(_xlfn.LET(
_xlpm.CSVVal,_xlfn.XLOOKUP($A694,CSV!$A:$A,CSV!F:F,""),
_xlpm.MacVal,_xlfn.XLOOKUP($A694,Output_Mac!$A:$A,Output_Mac!E:E,""),
_xlpm.MyAuditVal,_xlfn.XLOOKUP($A694,My_Audit!$A:$A,My_Audit!E:E,""),
_xlfn.IFS(_xlpm.MyAuditVal&lt;&gt;"",_xlpm.MyAuditVal,_xlpm.MacVal&lt;&gt;"",_xlpm.MacVal,_xlpm.CSVVal&lt;&gt;"",_xlpm.CSVVal
)),"")</f>
        <v/>
      </c>
      <c r="G694" s="2" t="str" cm="1">
        <f t="array" ref="G694">IFERROR(_xlfn.LET(
_xlpm.CSVVal,_xlfn.XLOOKUP($A694,CSV!$A:$A,CSV!G:G,""),
_xlpm.MacVal,_xlfn.XLOOKUP($A694,Output_Mac!$A:$A,Output_Mac!F:F,""),
_xlpm.MyAuditVal,_xlfn.XLOOKUP($A694,My_Audit!$A:$A,My_Audit!F:F,""),
_xlfn.IFS(_xlpm.MyAuditVal&lt;&gt;"",_xlpm.MyAuditVal,_xlpm.MacVal&lt;&gt;"",_xlpm.MacVal,_xlpm.CSVVal&lt;&gt;"",PROPER(_xlpm.CSVVal)
)),"")</f>
        <v/>
      </c>
      <c r="H694" s="2" t="str" cm="1">
        <f t="array" ref="H694">IFERROR(_xlfn.LET(
_xlpm.CSVVal,_xlfn.XLOOKUP($A694,CSV!$A:$A,CSV!H:H,""),
_xlpm.MacVal,_xlfn.XLOOKUP($A694,Output_Mac!$A:$A,Output_Mac!H:H,""),
_xlpm.MyAuditVal,_xlfn.XLOOKUP($A694,My_Audit!$A:$A,My_Audit!G:G,""),
_xlfn.IFS(_xlpm.MyAuditVal&lt;&gt;"",_xlpm.MyAuditVal,_xlpm.MacVal&lt;&gt;"",_xlpm.MacVal,_xlpm.CSVVal&lt;&gt;"",_xlpm.CSVVal
)),"")</f>
        <v/>
      </c>
      <c r="I694" s="2" t="str">
        <f>_xlfn.XLOOKUP(A694,Output_Mac!A:A,Output_Mac!I:I,"")</f>
        <v/>
      </c>
      <c r="J694" s="2" t="str" cm="1">
        <f t="array" ref="J694">IFERROR(_xlfn.LET(
_xlpm.CSVVal,_xlfn.XLOOKUP($A694,CSV!$A:$A,CSV!I:I,""),
_xlpm.MacVal,_xlfn.XLOOKUP($A694,Output_Mac!$A:$A,Output_Mac!J:J,""),
_xlpm.MyAuditVal,_xlfn.XLOOKUP($A694,My_Audit!$A:$A,My_Audit!I:I,""),
_xlfn.IFS(_xlpm.MyAuditVal&lt;&gt;"",UPPER(_xlpm.MyAuditVal),_xlpm.MacVal&lt;&gt;"",_xlpm.MacVal,_xlpm.CSVVal&lt;&gt;"",_xlpm.CSVVal
)),"")</f>
        <v/>
      </c>
      <c r="K694" s="2" t="str" cm="1">
        <f t="array" ref="K694">IFERROR(_xlfn.LET(
_xlpm.CSVVal,_xlfn.XLOOKUP($A694,CSV!$A:$A,CSV!K:K,""),
_xlpm.MacVal,_xlfn.XLOOKUP($A694,Output_Mac!$A:$A,Output_Mac!K:K,""),
_xlpm.MyAuditVal,_xlfn.XLOOKUP($A694,My_Audit!$A:$A,My_Audit!J:J,""),
_xlfn.IFS(_xlpm.MyAuditVal&lt;&gt;"",UPPER(_xlpm.MyAuditVal),_xlpm.MacVal&lt;&gt;"",_xlpm.MacVal,_xlpm.CSVVal&lt;&gt;"",_xlpm.CSVVal
)),"")</f>
        <v/>
      </c>
      <c r="L694" s="2" t="str" cm="1">
        <f t="array" ref="L694">IFERROR(_xlfn.LET(
_xlpm.CSVVal,_xlfn.XLOOKUP($A694,CSV!$A:$A,CSV!P:P,""),
_xlpm.MacVal,_xlfn.XLOOKUP($A694,Output_Mac!$A:$A,Output_Mac!L:L,""),
_xlpm.MyAuditVal,_xlfn.XLOOKUP($A694,My_Audit!$A:$A,My_Audit!K:K,""),
_xlfn.IFS(_xlpm.MyAuditVal&lt;&gt;"",UPPER(_xlpm.MyAuditVal),_xlpm.MacVal&lt;&gt;"",_xlpm.MacVal,_xlpm.CSVVal&lt;&gt;"",_xlpm.CSVVal
)),"")</f>
        <v/>
      </c>
      <c r="M694" s="2" t="str" cm="1">
        <f t="array" ref="M694">IFERROR(_xlfn.LET(
_xlpm.CSVVal,_xlfn.XLOOKUP($A694,CSV!$A:$A,CSV!Q:Q,""),
_xlpm.MacVal,_xlfn.XLOOKUP($A694,Output_Mac!$A:$A,Output_Mac!M:M,""),
_xlpm.MyAuditVal,_xlfn.XLOOKUP($A694,My_Audit!$A:$A,My_Audit!L:L,""),
_xlfn.IFS(_xlpm.MyAuditVal&lt;&gt;"",UPPER(_xlpm.MyAuditVal),_xlpm.MacVal&lt;&gt;"",_xlpm.MacVal,_xlpm.CSVVal&lt;&gt;"",_xlpm.CSVVal
)),"")</f>
        <v/>
      </c>
      <c r="O694" s="2" t="str">
        <f>_xlfn.LET(
    _xlpm.CSVVal, _xlfn.XLOOKUP($A694, CSV!$A:$A, CSV!AF:AF, ""),
    _xlpm.MacVal, _xlfn.XLOOKUP($A694, Output_Mac!$A:$A, Output_Mac!S:S, ""),
    _xlpm.MyAuditVal, _xlfn.XLOOKUP($A694, My_Audit!$A:$A, My_Audit!P:P, ""),
    _xlfn.TEXTJOIN(", ", TRUE, _xlpm.MyAuditVal, _xlpm.MacVal, _xlpm.CSVVal)
)</f>
        <v/>
      </c>
      <c r="P694" s="2" t="str" cm="1">
        <f t="array" ref="P694">IFERROR(_xlfn.LET(
_xlpm.CSVVal,_xlfn.XLOOKUP($A694,CSV!$A:$A,CSV!AG:AG,""),
_xlpm.MacVal,_xlfn.XLOOKUP($A694,Output_Mac!$A:$A,Output_Mac!T:T,""),
_xlpm.MyAuditVal,_xlfn.XLOOKUP($A694,My_Audit!$A:$A,My_Audit!Q:Q,""),
_xlfn.IFS(_xlpm.MyAuditVal&lt;&gt;"",UPPER(_xlpm.MyAuditVal),_xlpm.MacVal&lt;&gt;"",_xlpm.MacVal,_xlpm.CSVVal&lt;&gt;"",_xlpm.CSVVal
)),"No")</f>
        <v>No</v>
      </c>
      <c r="Q694" s="2" t="str" cm="1">
        <f t="array" ref="Q694">IFERROR(_xlfn.LET(
_xlpm.CSVVal,_xlfn.XLOOKUP($A694,CSV!$A:$A,CSV!AH:AH,""),
_xlpm.MacVal,_xlfn.XLOOKUP($A694,Output_Mac!$A:$A,Output_Mac!U:U,""),
_xlpm.MyAuditVal,_xlfn.XLOOKUP($A694,My_Audit!$A:$A,My_Audit!R:R,""),
_xlfn.IFS(_xlpm.MyAuditVal&lt;&gt;"",UPPER(_xlpm.MyAuditVal),_xlpm.MacVal&lt;&gt;"",_xlpm.MacVal,_xlpm.CSVVal&lt;&gt;"",_xlpm.CSVVal
)),"")</f>
        <v/>
      </c>
    </row>
    <row r="695" spans="1:17">
      <c r="A695" s="2" t="str">
        <f>_xlfn.TEXTJOIN("",TRUE,Input!$B$2,ROW(My_Audit!A694))</f>
        <v>XX694</v>
      </c>
      <c r="B695" s="2" t="str">
        <f>_xlfn.TEXTJOIN("-",TRUE,"ITD",Input!$A$2,A695)</f>
        <v>ITD-SHRXXX-XX694</v>
      </c>
      <c r="C695" s="2" t="str" cm="1">
        <f t="array" ref="C695">IFERROR(_xlfn.LET(
_xlpm.CSVVal,_xlfn.XLOOKUP($A695,CSV!$A:$A,CSV!B:B,""),
_xlpm.MacVal,_xlfn.XLOOKUP($A695,Output_Mac!$A:$A,Output_Mac!B:B,""),
_xlpm.MyAuditVal,_xlfn.XLOOKUP($A695,My_Audit!$A:$A,My_Audit!B:B,""),
_xlfn.IFS(_xlpm.MyAuditVal&lt;&gt;"",UPPER(_xlpm.MyAuditVal),_xlpm.MacVal&lt;&gt;"",_xlpm.MacVal,_xlpm.CSVVal&lt;&gt;"",_xlpm.CSVVal
)),"")</f>
        <v/>
      </c>
      <c r="D695" s="2" t="str" cm="1">
        <f t="array" ref="D695">IFERROR(_xlfn.LET(
_xlpm.CSVVal,_xlfn.XLOOKUP($A695,CSV!$A:$A,CSV!D:D,""),
_xlpm.MacVal,_xlfn.XLOOKUP($A695,Output_Mac!$A:$A,Output_Mac!C:C,""),
_xlpm.MyAuditVal,_xlfn.XLOOKUP($A695,My_Audit!$A:$A,My_Audit!C:C,""),
_xlfn.IFS(_xlpm.MyAuditVal&lt;&gt;"",_xlpm.MyAuditVal,_xlpm.MacVal&lt;&gt;"",_xlpm.MacVal,_xlpm.CSVVal&lt;&gt;"",_xlpm.CSVVal
)),"")</f>
        <v/>
      </c>
      <c r="E695" s="2" t="str">
        <f>_xlfn.XLOOKUP(A695,My_Audit!A:A,My_Audit!D:D,"")&amp;""</f>
        <v/>
      </c>
      <c r="F695" s="2" t="str" cm="1">
        <f t="array" ref="F695">IFERROR(_xlfn.LET(
_xlpm.CSVVal,_xlfn.XLOOKUP($A695,CSV!$A:$A,CSV!F:F,""),
_xlpm.MacVal,_xlfn.XLOOKUP($A695,Output_Mac!$A:$A,Output_Mac!E:E,""),
_xlpm.MyAuditVal,_xlfn.XLOOKUP($A695,My_Audit!$A:$A,My_Audit!E:E,""),
_xlfn.IFS(_xlpm.MyAuditVal&lt;&gt;"",_xlpm.MyAuditVal,_xlpm.MacVal&lt;&gt;"",_xlpm.MacVal,_xlpm.CSVVal&lt;&gt;"",_xlpm.CSVVal
)),"")</f>
        <v/>
      </c>
      <c r="G695" s="2" t="str" cm="1">
        <f t="array" ref="G695">IFERROR(_xlfn.LET(
_xlpm.CSVVal,_xlfn.XLOOKUP($A695,CSV!$A:$A,CSV!G:G,""),
_xlpm.MacVal,_xlfn.XLOOKUP($A695,Output_Mac!$A:$A,Output_Mac!F:F,""),
_xlpm.MyAuditVal,_xlfn.XLOOKUP($A695,My_Audit!$A:$A,My_Audit!F:F,""),
_xlfn.IFS(_xlpm.MyAuditVal&lt;&gt;"",_xlpm.MyAuditVal,_xlpm.MacVal&lt;&gt;"",_xlpm.MacVal,_xlpm.CSVVal&lt;&gt;"",PROPER(_xlpm.CSVVal)
)),"")</f>
        <v/>
      </c>
      <c r="H695" s="2" t="str" cm="1">
        <f t="array" ref="H695">IFERROR(_xlfn.LET(
_xlpm.CSVVal,_xlfn.XLOOKUP($A695,CSV!$A:$A,CSV!H:H,""),
_xlpm.MacVal,_xlfn.XLOOKUP($A695,Output_Mac!$A:$A,Output_Mac!H:H,""),
_xlpm.MyAuditVal,_xlfn.XLOOKUP($A695,My_Audit!$A:$A,My_Audit!G:G,""),
_xlfn.IFS(_xlpm.MyAuditVal&lt;&gt;"",_xlpm.MyAuditVal,_xlpm.MacVal&lt;&gt;"",_xlpm.MacVal,_xlpm.CSVVal&lt;&gt;"",_xlpm.CSVVal
)),"")</f>
        <v/>
      </c>
      <c r="I695" s="2" t="str">
        <f>_xlfn.XLOOKUP(A695,Output_Mac!A:A,Output_Mac!I:I,"")</f>
        <v/>
      </c>
      <c r="J695" s="2" t="str" cm="1">
        <f t="array" ref="J695">IFERROR(_xlfn.LET(
_xlpm.CSVVal,_xlfn.XLOOKUP($A695,CSV!$A:$A,CSV!I:I,""),
_xlpm.MacVal,_xlfn.XLOOKUP($A695,Output_Mac!$A:$A,Output_Mac!J:J,""),
_xlpm.MyAuditVal,_xlfn.XLOOKUP($A695,My_Audit!$A:$A,My_Audit!I:I,""),
_xlfn.IFS(_xlpm.MyAuditVal&lt;&gt;"",UPPER(_xlpm.MyAuditVal),_xlpm.MacVal&lt;&gt;"",_xlpm.MacVal,_xlpm.CSVVal&lt;&gt;"",_xlpm.CSVVal
)),"")</f>
        <v/>
      </c>
      <c r="K695" s="2" t="str" cm="1">
        <f t="array" ref="K695">IFERROR(_xlfn.LET(
_xlpm.CSVVal,_xlfn.XLOOKUP($A695,CSV!$A:$A,CSV!K:K,""),
_xlpm.MacVal,_xlfn.XLOOKUP($A695,Output_Mac!$A:$A,Output_Mac!K:K,""),
_xlpm.MyAuditVal,_xlfn.XLOOKUP($A695,My_Audit!$A:$A,My_Audit!J:J,""),
_xlfn.IFS(_xlpm.MyAuditVal&lt;&gt;"",UPPER(_xlpm.MyAuditVal),_xlpm.MacVal&lt;&gt;"",_xlpm.MacVal,_xlpm.CSVVal&lt;&gt;"",_xlpm.CSVVal
)),"")</f>
        <v/>
      </c>
      <c r="L695" s="2" t="str" cm="1">
        <f t="array" ref="L695">IFERROR(_xlfn.LET(
_xlpm.CSVVal,_xlfn.XLOOKUP($A695,CSV!$A:$A,CSV!P:P,""),
_xlpm.MacVal,_xlfn.XLOOKUP($A695,Output_Mac!$A:$A,Output_Mac!L:L,""),
_xlpm.MyAuditVal,_xlfn.XLOOKUP($A695,My_Audit!$A:$A,My_Audit!K:K,""),
_xlfn.IFS(_xlpm.MyAuditVal&lt;&gt;"",UPPER(_xlpm.MyAuditVal),_xlpm.MacVal&lt;&gt;"",_xlpm.MacVal,_xlpm.CSVVal&lt;&gt;"",_xlpm.CSVVal
)),"")</f>
        <v/>
      </c>
      <c r="M695" s="2" t="str" cm="1">
        <f t="array" ref="M695">IFERROR(_xlfn.LET(
_xlpm.CSVVal,_xlfn.XLOOKUP($A695,CSV!$A:$A,CSV!Q:Q,""),
_xlpm.MacVal,_xlfn.XLOOKUP($A695,Output_Mac!$A:$A,Output_Mac!M:M,""),
_xlpm.MyAuditVal,_xlfn.XLOOKUP($A695,My_Audit!$A:$A,My_Audit!L:L,""),
_xlfn.IFS(_xlpm.MyAuditVal&lt;&gt;"",UPPER(_xlpm.MyAuditVal),_xlpm.MacVal&lt;&gt;"",_xlpm.MacVal,_xlpm.CSVVal&lt;&gt;"",_xlpm.CSVVal
)),"")</f>
        <v/>
      </c>
      <c r="O695" s="2" t="str">
        <f>_xlfn.LET(
    _xlpm.CSVVal, _xlfn.XLOOKUP($A695, CSV!$A:$A, CSV!AF:AF, ""),
    _xlpm.MacVal, _xlfn.XLOOKUP($A695, Output_Mac!$A:$A, Output_Mac!S:S, ""),
    _xlpm.MyAuditVal, _xlfn.XLOOKUP($A695, My_Audit!$A:$A, My_Audit!P:P, ""),
    _xlfn.TEXTJOIN(", ", TRUE, _xlpm.MyAuditVal, _xlpm.MacVal, _xlpm.CSVVal)
)</f>
        <v/>
      </c>
      <c r="P695" s="2" t="str" cm="1">
        <f t="array" ref="P695">IFERROR(_xlfn.LET(
_xlpm.CSVVal,_xlfn.XLOOKUP($A695,CSV!$A:$A,CSV!AG:AG,""),
_xlpm.MacVal,_xlfn.XLOOKUP($A695,Output_Mac!$A:$A,Output_Mac!T:T,""),
_xlpm.MyAuditVal,_xlfn.XLOOKUP($A695,My_Audit!$A:$A,My_Audit!Q:Q,""),
_xlfn.IFS(_xlpm.MyAuditVal&lt;&gt;"",UPPER(_xlpm.MyAuditVal),_xlpm.MacVal&lt;&gt;"",_xlpm.MacVal,_xlpm.CSVVal&lt;&gt;"",_xlpm.CSVVal
)),"No")</f>
        <v>No</v>
      </c>
      <c r="Q695" s="2" t="str" cm="1">
        <f t="array" ref="Q695">IFERROR(_xlfn.LET(
_xlpm.CSVVal,_xlfn.XLOOKUP($A695,CSV!$A:$A,CSV!AH:AH,""),
_xlpm.MacVal,_xlfn.XLOOKUP($A695,Output_Mac!$A:$A,Output_Mac!U:U,""),
_xlpm.MyAuditVal,_xlfn.XLOOKUP($A695,My_Audit!$A:$A,My_Audit!R:R,""),
_xlfn.IFS(_xlpm.MyAuditVal&lt;&gt;"",UPPER(_xlpm.MyAuditVal),_xlpm.MacVal&lt;&gt;"",_xlpm.MacVal,_xlpm.CSVVal&lt;&gt;"",_xlpm.CSVVal
)),"")</f>
        <v/>
      </c>
    </row>
    <row r="696" spans="1:17">
      <c r="A696" s="2" t="str">
        <f>_xlfn.TEXTJOIN("",TRUE,Input!$B$2,ROW(My_Audit!A695))</f>
        <v>XX695</v>
      </c>
      <c r="B696" s="2" t="str">
        <f>_xlfn.TEXTJOIN("-",TRUE,"ITD",Input!$A$2,A696)</f>
        <v>ITD-SHRXXX-XX695</v>
      </c>
      <c r="C696" s="2" t="str" cm="1">
        <f t="array" ref="C696">IFERROR(_xlfn.LET(
_xlpm.CSVVal,_xlfn.XLOOKUP($A696,CSV!$A:$A,CSV!B:B,""),
_xlpm.MacVal,_xlfn.XLOOKUP($A696,Output_Mac!$A:$A,Output_Mac!B:B,""),
_xlpm.MyAuditVal,_xlfn.XLOOKUP($A696,My_Audit!$A:$A,My_Audit!B:B,""),
_xlfn.IFS(_xlpm.MyAuditVal&lt;&gt;"",UPPER(_xlpm.MyAuditVal),_xlpm.MacVal&lt;&gt;"",_xlpm.MacVal,_xlpm.CSVVal&lt;&gt;"",_xlpm.CSVVal
)),"")</f>
        <v/>
      </c>
      <c r="D696" s="2" t="str" cm="1">
        <f t="array" ref="D696">IFERROR(_xlfn.LET(
_xlpm.CSVVal,_xlfn.XLOOKUP($A696,CSV!$A:$A,CSV!D:D,""),
_xlpm.MacVal,_xlfn.XLOOKUP($A696,Output_Mac!$A:$A,Output_Mac!C:C,""),
_xlpm.MyAuditVal,_xlfn.XLOOKUP($A696,My_Audit!$A:$A,My_Audit!C:C,""),
_xlfn.IFS(_xlpm.MyAuditVal&lt;&gt;"",_xlpm.MyAuditVal,_xlpm.MacVal&lt;&gt;"",_xlpm.MacVal,_xlpm.CSVVal&lt;&gt;"",_xlpm.CSVVal
)),"")</f>
        <v/>
      </c>
      <c r="E696" s="2" t="str">
        <f>_xlfn.XLOOKUP(A696,My_Audit!A:A,My_Audit!D:D,"")&amp;""</f>
        <v/>
      </c>
      <c r="F696" s="2" t="str" cm="1">
        <f t="array" ref="F696">IFERROR(_xlfn.LET(
_xlpm.CSVVal,_xlfn.XLOOKUP($A696,CSV!$A:$A,CSV!F:F,""),
_xlpm.MacVal,_xlfn.XLOOKUP($A696,Output_Mac!$A:$A,Output_Mac!E:E,""),
_xlpm.MyAuditVal,_xlfn.XLOOKUP($A696,My_Audit!$A:$A,My_Audit!E:E,""),
_xlfn.IFS(_xlpm.MyAuditVal&lt;&gt;"",_xlpm.MyAuditVal,_xlpm.MacVal&lt;&gt;"",_xlpm.MacVal,_xlpm.CSVVal&lt;&gt;"",_xlpm.CSVVal
)),"")</f>
        <v/>
      </c>
      <c r="G696" s="2" t="str" cm="1">
        <f t="array" ref="G696">IFERROR(_xlfn.LET(
_xlpm.CSVVal,_xlfn.XLOOKUP($A696,CSV!$A:$A,CSV!G:G,""),
_xlpm.MacVal,_xlfn.XLOOKUP($A696,Output_Mac!$A:$A,Output_Mac!F:F,""),
_xlpm.MyAuditVal,_xlfn.XLOOKUP($A696,My_Audit!$A:$A,My_Audit!F:F,""),
_xlfn.IFS(_xlpm.MyAuditVal&lt;&gt;"",_xlpm.MyAuditVal,_xlpm.MacVal&lt;&gt;"",_xlpm.MacVal,_xlpm.CSVVal&lt;&gt;"",PROPER(_xlpm.CSVVal)
)),"")</f>
        <v/>
      </c>
      <c r="H696" s="2" t="str" cm="1">
        <f t="array" ref="H696">IFERROR(_xlfn.LET(
_xlpm.CSVVal,_xlfn.XLOOKUP($A696,CSV!$A:$A,CSV!H:H,""),
_xlpm.MacVal,_xlfn.XLOOKUP($A696,Output_Mac!$A:$A,Output_Mac!H:H,""),
_xlpm.MyAuditVal,_xlfn.XLOOKUP($A696,My_Audit!$A:$A,My_Audit!G:G,""),
_xlfn.IFS(_xlpm.MyAuditVal&lt;&gt;"",_xlpm.MyAuditVal,_xlpm.MacVal&lt;&gt;"",_xlpm.MacVal,_xlpm.CSVVal&lt;&gt;"",_xlpm.CSVVal
)),"")</f>
        <v/>
      </c>
      <c r="I696" s="2" t="str">
        <f>_xlfn.XLOOKUP(A696,Output_Mac!A:A,Output_Mac!I:I,"")</f>
        <v/>
      </c>
      <c r="J696" s="2" t="str" cm="1">
        <f t="array" ref="J696">IFERROR(_xlfn.LET(
_xlpm.CSVVal,_xlfn.XLOOKUP($A696,CSV!$A:$A,CSV!I:I,""),
_xlpm.MacVal,_xlfn.XLOOKUP($A696,Output_Mac!$A:$A,Output_Mac!J:J,""),
_xlpm.MyAuditVal,_xlfn.XLOOKUP($A696,My_Audit!$A:$A,My_Audit!I:I,""),
_xlfn.IFS(_xlpm.MyAuditVal&lt;&gt;"",UPPER(_xlpm.MyAuditVal),_xlpm.MacVal&lt;&gt;"",_xlpm.MacVal,_xlpm.CSVVal&lt;&gt;"",_xlpm.CSVVal
)),"")</f>
        <v/>
      </c>
      <c r="K696" s="2" t="str" cm="1">
        <f t="array" ref="K696">IFERROR(_xlfn.LET(
_xlpm.CSVVal,_xlfn.XLOOKUP($A696,CSV!$A:$A,CSV!K:K,""),
_xlpm.MacVal,_xlfn.XLOOKUP($A696,Output_Mac!$A:$A,Output_Mac!K:K,""),
_xlpm.MyAuditVal,_xlfn.XLOOKUP($A696,My_Audit!$A:$A,My_Audit!J:J,""),
_xlfn.IFS(_xlpm.MyAuditVal&lt;&gt;"",UPPER(_xlpm.MyAuditVal),_xlpm.MacVal&lt;&gt;"",_xlpm.MacVal,_xlpm.CSVVal&lt;&gt;"",_xlpm.CSVVal
)),"")</f>
        <v/>
      </c>
      <c r="L696" s="2" t="str" cm="1">
        <f t="array" ref="L696">IFERROR(_xlfn.LET(
_xlpm.CSVVal,_xlfn.XLOOKUP($A696,CSV!$A:$A,CSV!P:P,""),
_xlpm.MacVal,_xlfn.XLOOKUP($A696,Output_Mac!$A:$A,Output_Mac!L:L,""),
_xlpm.MyAuditVal,_xlfn.XLOOKUP($A696,My_Audit!$A:$A,My_Audit!K:K,""),
_xlfn.IFS(_xlpm.MyAuditVal&lt;&gt;"",UPPER(_xlpm.MyAuditVal),_xlpm.MacVal&lt;&gt;"",_xlpm.MacVal,_xlpm.CSVVal&lt;&gt;"",_xlpm.CSVVal
)),"")</f>
        <v/>
      </c>
      <c r="M696" s="2" t="str" cm="1">
        <f t="array" ref="M696">IFERROR(_xlfn.LET(
_xlpm.CSVVal,_xlfn.XLOOKUP($A696,CSV!$A:$A,CSV!Q:Q,""),
_xlpm.MacVal,_xlfn.XLOOKUP($A696,Output_Mac!$A:$A,Output_Mac!M:M,""),
_xlpm.MyAuditVal,_xlfn.XLOOKUP($A696,My_Audit!$A:$A,My_Audit!L:L,""),
_xlfn.IFS(_xlpm.MyAuditVal&lt;&gt;"",UPPER(_xlpm.MyAuditVal),_xlpm.MacVal&lt;&gt;"",_xlpm.MacVal,_xlpm.CSVVal&lt;&gt;"",_xlpm.CSVVal
)),"")</f>
        <v/>
      </c>
      <c r="O696" s="2" t="str">
        <f>_xlfn.LET(
    _xlpm.CSVVal, _xlfn.XLOOKUP($A696, CSV!$A:$A, CSV!AF:AF, ""),
    _xlpm.MacVal, _xlfn.XLOOKUP($A696, Output_Mac!$A:$A, Output_Mac!S:S, ""),
    _xlpm.MyAuditVal, _xlfn.XLOOKUP($A696, My_Audit!$A:$A, My_Audit!P:P, ""),
    _xlfn.TEXTJOIN(", ", TRUE, _xlpm.MyAuditVal, _xlpm.MacVal, _xlpm.CSVVal)
)</f>
        <v/>
      </c>
      <c r="P696" s="2" t="str" cm="1">
        <f t="array" ref="P696">IFERROR(_xlfn.LET(
_xlpm.CSVVal,_xlfn.XLOOKUP($A696,CSV!$A:$A,CSV!AG:AG,""),
_xlpm.MacVal,_xlfn.XLOOKUP($A696,Output_Mac!$A:$A,Output_Mac!T:T,""),
_xlpm.MyAuditVal,_xlfn.XLOOKUP($A696,My_Audit!$A:$A,My_Audit!Q:Q,""),
_xlfn.IFS(_xlpm.MyAuditVal&lt;&gt;"",UPPER(_xlpm.MyAuditVal),_xlpm.MacVal&lt;&gt;"",_xlpm.MacVal,_xlpm.CSVVal&lt;&gt;"",_xlpm.CSVVal
)),"No")</f>
        <v>No</v>
      </c>
      <c r="Q696" s="2" t="str" cm="1">
        <f t="array" ref="Q696">IFERROR(_xlfn.LET(
_xlpm.CSVVal,_xlfn.XLOOKUP($A696,CSV!$A:$A,CSV!AH:AH,""),
_xlpm.MacVal,_xlfn.XLOOKUP($A696,Output_Mac!$A:$A,Output_Mac!U:U,""),
_xlpm.MyAuditVal,_xlfn.XLOOKUP($A696,My_Audit!$A:$A,My_Audit!R:R,""),
_xlfn.IFS(_xlpm.MyAuditVal&lt;&gt;"",UPPER(_xlpm.MyAuditVal),_xlpm.MacVal&lt;&gt;"",_xlpm.MacVal,_xlpm.CSVVal&lt;&gt;"",_xlpm.CSVVal
)),"")</f>
        <v/>
      </c>
    </row>
    <row r="697" spans="1:17">
      <c r="A697" s="2" t="str">
        <f>_xlfn.TEXTJOIN("",TRUE,Input!$B$2,ROW(My_Audit!A696))</f>
        <v>XX696</v>
      </c>
      <c r="B697" s="2" t="str">
        <f>_xlfn.TEXTJOIN("-",TRUE,"ITD",Input!$A$2,A697)</f>
        <v>ITD-SHRXXX-XX696</v>
      </c>
      <c r="C697" s="2" t="str" cm="1">
        <f t="array" ref="C697">IFERROR(_xlfn.LET(
_xlpm.CSVVal,_xlfn.XLOOKUP($A697,CSV!$A:$A,CSV!B:B,""),
_xlpm.MacVal,_xlfn.XLOOKUP($A697,Output_Mac!$A:$A,Output_Mac!B:B,""),
_xlpm.MyAuditVal,_xlfn.XLOOKUP($A697,My_Audit!$A:$A,My_Audit!B:B,""),
_xlfn.IFS(_xlpm.MyAuditVal&lt;&gt;"",UPPER(_xlpm.MyAuditVal),_xlpm.MacVal&lt;&gt;"",_xlpm.MacVal,_xlpm.CSVVal&lt;&gt;"",_xlpm.CSVVal
)),"")</f>
        <v/>
      </c>
      <c r="D697" s="2" t="str" cm="1">
        <f t="array" ref="D697">IFERROR(_xlfn.LET(
_xlpm.CSVVal,_xlfn.XLOOKUP($A697,CSV!$A:$A,CSV!D:D,""),
_xlpm.MacVal,_xlfn.XLOOKUP($A697,Output_Mac!$A:$A,Output_Mac!C:C,""),
_xlpm.MyAuditVal,_xlfn.XLOOKUP($A697,My_Audit!$A:$A,My_Audit!C:C,""),
_xlfn.IFS(_xlpm.MyAuditVal&lt;&gt;"",_xlpm.MyAuditVal,_xlpm.MacVal&lt;&gt;"",_xlpm.MacVal,_xlpm.CSVVal&lt;&gt;"",_xlpm.CSVVal
)),"")</f>
        <v/>
      </c>
      <c r="E697" s="2" t="str">
        <f>_xlfn.XLOOKUP(A697,My_Audit!A:A,My_Audit!D:D,"")&amp;""</f>
        <v/>
      </c>
      <c r="F697" s="2" t="str" cm="1">
        <f t="array" ref="F697">IFERROR(_xlfn.LET(
_xlpm.CSVVal,_xlfn.XLOOKUP($A697,CSV!$A:$A,CSV!F:F,""),
_xlpm.MacVal,_xlfn.XLOOKUP($A697,Output_Mac!$A:$A,Output_Mac!E:E,""),
_xlpm.MyAuditVal,_xlfn.XLOOKUP($A697,My_Audit!$A:$A,My_Audit!E:E,""),
_xlfn.IFS(_xlpm.MyAuditVal&lt;&gt;"",_xlpm.MyAuditVal,_xlpm.MacVal&lt;&gt;"",_xlpm.MacVal,_xlpm.CSVVal&lt;&gt;"",_xlpm.CSVVal
)),"")</f>
        <v/>
      </c>
      <c r="G697" s="2" t="str" cm="1">
        <f t="array" ref="G697">IFERROR(_xlfn.LET(
_xlpm.CSVVal,_xlfn.XLOOKUP($A697,CSV!$A:$A,CSV!G:G,""),
_xlpm.MacVal,_xlfn.XLOOKUP($A697,Output_Mac!$A:$A,Output_Mac!F:F,""),
_xlpm.MyAuditVal,_xlfn.XLOOKUP($A697,My_Audit!$A:$A,My_Audit!F:F,""),
_xlfn.IFS(_xlpm.MyAuditVal&lt;&gt;"",_xlpm.MyAuditVal,_xlpm.MacVal&lt;&gt;"",_xlpm.MacVal,_xlpm.CSVVal&lt;&gt;"",PROPER(_xlpm.CSVVal)
)),"")</f>
        <v/>
      </c>
      <c r="H697" s="2" t="str" cm="1">
        <f t="array" ref="H697">IFERROR(_xlfn.LET(
_xlpm.CSVVal,_xlfn.XLOOKUP($A697,CSV!$A:$A,CSV!H:H,""),
_xlpm.MacVal,_xlfn.XLOOKUP($A697,Output_Mac!$A:$A,Output_Mac!H:H,""),
_xlpm.MyAuditVal,_xlfn.XLOOKUP($A697,My_Audit!$A:$A,My_Audit!G:G,""),
_xlfn.IFS(_xlpm.MyAuditVal&lt;&gt;"",_xlpm.MyAuditVal,_xlpm.MacVal&lt;&gt;"",_xlpm.MacVal,_xlpm.CSVVal&lt;&gt;"",_xlpm.CSVVal
)),"")</f>
        <v/>
      </c>
      <c r="I697" s="2" t="str">
        <f>_xlfn.XLOOKUP(A697,Output_Mac!A:A,Output_Mac!I:I,"")</f>
        <v/>
      </c>
      <c r="J697" s="2" t="str" cm="1">
        <f t="array" ref="J697">IFERROR(_xlfn.LET(
_xlpm.CSVVal,_xlfn.XLOOKUP($A697,CSV!$A:$A,CSV!I:I,""),
_xlpm.MacVal,_xlfn.XLOOKUP($A697,Output_Mac!$A:$A,Output_Mac!J:J,""),
_xlpm.MyAuditVal,_xlfn.XLOOKUP($A697,My_Audit!$A:$A,My_Audit!I:I,""),
_xlfn.IFS(_xlpm.MyAuditVal&lt;&gt;"",UPPER(_xlpm.MyAuditVal),_xlpm.MacVal&lt;&gt;"",_xlpm.MacVal,_xlpm.CSVVal&lt;&gt;"",_xlpm.CSVVal
)),"")</f>
        <v/>
      </c>
      <c r="K697" s="2" t="str" cm="1">
        <f t="array" ref="K697">IFERROR(_xlfn.LET(
_xlpm.CSVVal,_xlfn.XLOOKUP($A697,CSV!$A:$A,CSV!K:K,""),
_xlpm.MacVal,_xlfn.XLOOKUP($A697,Output_Mac!$A:$A,Output_Mac!K:K,""),
_xlpm.MyAuditVal,_xlfn.XLOOKUP($A697,My_Audit!$A:$A,My_Audit!J:J,""),
_xlfn.IFS(_xlpm.MyAuditVal&lt;&gt;"",UPPER(_xlpm.MyAuditVal),_xlpm.MacVal&lt;&gt;"",_xlpm.MacVal,_xlpm.CSVVal&lt;&gt;"",_xlpm.CSVVal
)),"")</f>
        <v/>
      </c>
      <c r="L697" s="2" t="str" cm="1">
        <f t="array" ref="L697">IFERROR(_xlfn.LET(
_xlpm.CSVVal,_xlfn.XLOOKUP($A697,CSV!$A:$A,CSV!P:P,""),
_xlpm.MacVal,_xlfn.XLOOKUP($A697,Output_Mac!$A:$A,Output_Mac!L:L,""),
_xlpm.MyAuditVal,_xlfn.XLOOKUP($A697,My_Audit!$A:$A,My_Audit!K:K,""),
_xlfn.IFS(_xlpm.MyAuditVal&lt;&gt;"",UPPER(_xlpm.MyAuditVal),_xlpm.MacVal&lt;&gt;"",_xlpm.MacVal,_xlpm.CSVVal&lt;&gt;"",_xlpm.CSVVal
)),"")</f>
        <v/>
      </c>
      <c r="M697" s="2" t="str" cm="1">
        <f t="array" ref="M697">IFERROR(_xlfn.LET(
_xlpm.CSVVal,_xlfn.XLOOKUP($A697,CSV!$A:$A,CSV!Q:Q,""),
_xlpm.MacVal,_xlfn.XLOOKUP($A697,Output_Mac!$A:$A,Output_Mac!M:M,""),
_xlpm.MyAuditVal,_xlfn.XLOOKUP($A697,My_Audit!$A:$A,My_Audit!L:L,""),
_xlfn.IFS(_xlpm.MyAuditVal&lt;&gt;"",UPPER(_xlpm.MyAuditVal),_xlpm.MacVal&lt;&gt;"",_xlpm.MacVal,_xlpm.CSVVal&lt;&gt;"",_xlpm.CSVVal
)),"")</f>
        <v/>
      </c>
      <c r="O697" s="2" t="str">
        <f>_xlfn.LET(
    _xlpm.CSVVal, _xlfn.XLOOKUP($A697, CSV!$A:$A, CSV!AF:AF, ""),
    _xlpm.MacVal, _xlfn.XLOOKUP($A697, Output_Mac!$A:$A, Output_Mac!S:S, ""),
    _xlpm.MyAuditVal, _xlfn.XLOOKUP($A697, My_Audit!$A:$A, My_Audit!P:P, ""),
    _xlfn.TEXTJOIN(", ", TRUE, _xlpm.MyAuditVal, _xlpm.MacVal, _xlpm.CSVVal)
)</f>
        <v/>
      </c>
      <c r="P697" s="2" t="str" cm="1">
        <f t="array" ref="P697">IFERROR(_xlfn.LET(
_xlpm.CSVVal,_xlfn.XLOOKUP($A697,CSV!$A:$A,CSV!AG:AG,""),
_xlpm.MacVal,_xlfn.XLOOKUP($A697,Output_Mac!$A:$A,Output_Mac!T:T,""),
_xlpm.MyAuditVal,_xlfn.XLOOKUP($A697,My_Audit!$A:$A,My_Audit!Q:Q,""),
_xlfn.IFS(_xlpm.MyAuditVal&lt;&gt;"",UPPER(_xlpm.MyAuditVal),_xlpm.MacVal&lt;&gt;"",_xlpm.MacVal,_xlpm.CSVVal&lt;&gt;"",_xlpm.CSVVal
)),"No")</f>
        <v>No</v>
      </c>
      <c r="Q697" s="2" t="str" cm="1">
        <f t="array" ref="Q697">IFERROR(_xlfn.LET(
_xlpm.CSVVal,_xlfn.XLOOKUP($A697,CSV!$A:$A,CSV!AH:AH,""),
_xlpm.MacVal,_xlfn.XLOOKUP($A697,Output_Mac!$A:$A,Output_Mac!U:U,""),
_xlpm.MyAuditVal,_xlfn.XLOOKUP($A697,My_Audit!$A:$A,My_Audit!R:R,""),
_xlfn.IFS(_xlpm.MyAuditVal&lt;&gt;"",UPPER(_xlpm.MyAuditVal),_xlpm.MacVal&lt;&gt;"",_xlpm.MacVal,_xlpm.CSVVal&lt;&gt;"",_xlpm.CSVVal
)),"")</f>
        <v/>
      </c>
    </row>
    <row r="698" spans="1:17">
      <c r="A698" s="2" t="str">
        <f>_xlfn.TEXTJOIN("",TRUE,Input!$B$2,ROW(My_Audit!A697))</f>
        <v>XX697</v>
      </c>
      <c r="B698" s="2" t="str">
        <f>_xlfn.TEXTJOIN("-",TRUE,"ITD",Input!$A$2,A698)</f>
        <v>ITD-SHRXXX-XX697</v>
      </c>
      <c r="C698" s="2" t="str" cm="1">
        <f t="array" ref="C698">IFERROR(_xlfn.LET(
_xlpm.CSVVal,_xlfn.XLOOKUP($A698,CSV!$A:$A,CSV!B:B,""),
_xlpm.MacVal,_xlfn.XLOOKUP($A698,Output_Mac!$A:$A,Output_Mac!B:B,""),
_xlpm.MyAuditVal,_xlfn.XLOOKUP($A698,My_Audit!$A:$A,My_Audit!B:B,""),
_xlfn.IFS(_xlpm.MyAuditVal&lt;&gt;"",UPPER(_xlpm.MyAuditVal),_xlpm.MacVal&lt;&gt;"",_xlpm.MacVal,_xlpm.CSVVal&lt;&gt;"",_xlpm.CSVVal
)),"")</f>
        <v/>
      </c>
      <c r="D698" s="2" t="str" cm="1">
        <f t="array" ref="D698">IFERROR(_xlfn.LET(
_xlpm.CSVVal,_xlfn.XLOOKUP($A698,CSV!$A:$A,CSV!D:D,""),
_xlpm.MacVal,_xlfn.XLOOKUP($A698,Output_Mac!$A:$A,Output_Mac!C:C,""),
_xlpm.MyAuditVal,_xlfn.XLOOKUP($A698,My_Audit!$A:$A,My_Audit!C:C,""),
_xlfn.IFS(_xlpm.MyAuditVal&lt;&gt;"",_xlpm.MyAuditVal,_xlpm.MacVal&lt;&gt;"",_xlpm.MacVal,_xlpm.CSVVal&lt;&gt;"",_xlpm.CSVVal
)),"")</f>
        <v/>
      </c>
      <c r="E698" s="2" t="str">
        <f>_xlfn.XLOOKUP(A698,My_Audit!A:A,My_Audit!D:D,"")&amp;""</f>
        <v/>
      </c>
      <c r="F698" s="2" t="str" cm="1">
        <f t="array" ref="F698">IFERROR(_xlfn.LET(
_xlpm.CSVVal,_xlfn.XLOOKUP($A698,CSV!$A:$A,CSV!F:F,""),
_xlpm.MacVal,_xlfn.XLOOKUP($A698,Output_Mac!$A:$A,Output_Mac!E:E,""),
_xlpm.MyAuditVal,_xlfn.XLOOKUP($A698,My_Audit!$A:$A,My_Audit!E:E,""),
_xlfn.IFS(_xlpm.MyAuditVal&lt;&gt;"",_xlpm.MyAuditVal,_xlpm.MacVal&lt;&gt;"",_xlpm.MacVal,_xlpm.CSVVal&lt;&gt;"",_xlpm.CSVVal
)),"")</f>
        <v/>
      </c>
      <c r="G698" s="2" t="str" cm="1">
        <f t="array" ref="G698">IFERROR(_xlfn.LET(
_xlpm.CSVVal,_xlfn.XLOOKUP($A698,CSV!$A:$A,CSV!G:G,""),
_xlpm.MacVal,_xlfn.XLOOKUP($A698,Output_Mac!$A:$A,Output_Mac!F:F,""),
_xlpm.MyAuditVal,_xlfn.XLOOKUP($A698,My_Audit!$A:$A,My_Audit!F:F,""),
_xlfn.IFS(_xlpm.MyAuditVal&lt;&gt;"",_xlpm.MyAuditVal,_xlpm.MacVal&lt;&gt;"",_xlpm.MacVal,_xlpm.CSVVal&lt;&gt;"",PROPER(_xlpm.CSVVal)
)),"")</f>
        <v/>
      </c>
      <c r="H698" s="2" t="str" cm="1">
        <f t="array" ref="H698">IFERROR(_xlfn.LET(
_xlpm.CSVVal,_xlfn.XLOOKUP($A698,CSV!$A:$A,CSV!H:H,""),
_xlpm.MacVal,_xlfn.XLOOKUP($A698,Output_Mac!$A:$A,Output_Mac!H:H,""),
_xlpm.MyAuditVal,_xlfn.XLOOKUP($A698,My_Audit!$A:$A,My_Audit!G:G,""),
_xlfn.IFS(_xlpm.MyAuditVal&lt;&gt;"",_xlpm.MyAuditVal,_xlpm.MacVal&lt;&gt;"",_xlpm.MacVal,_xlpm.CSVVal&lt;&gt;"",_xlpm.CSVVal
)),"")</f>
        <v/>
      </c>
      <c r="I698" s="2" t="str">
        <f>_xlfn.XLOOKUP(A698,Output_Mac!A:A,Output_Mac!I:I,"")</f>
        <v/>
      </c>
      <c r="J698" s="2" t="str" cm="1">
        <f t="array" ref="J698">IFERROR(_xlfn.LET(
_xlpm.CSVVal,_xlfn.XLOOKUP($A698,CSV!$A:$A,CSV!I:I,""),
_xlpm.MacVal,_xlfn.XLOOKUP($A698,Output_Mac!$A:$A,Output_Mac!J:J,""),
_xlpm.MyAuditVal,_xlfn.XLOOKUP($A698,My_Audit!$A:$A,My_Audit!I:I,""),
_xlfn.IFS(_xlpm.MyAuditVal&lt;&gt;"",UPPER(_xlpm.MyAuditVal),_xlpm.MacVal&lt;&gt;"",_xlpm.MacVal,_xlpm.CSVVal&lt;&gt;"",_xlpm.CSVVal
)),"")</f>
        <v/>
      </c>
      <c r="K698" s="2" t="str" cm="1">
        <f t="array" ref="K698">IFERROR(_xlfn.LET(
_xlpm.CSVVal,_xlfn.XLOOKUP($A698,CSV!$A:$A,CSV!K:K,""),
_xlpm.MacVal,_xlfn.XLOOKUP($A698,Output_Mac!$A:$A,Output_Mac!K:K,""),
_xlpm.MyAuditVal,_xlfn.XLOOKUP($A698,My_Audit!$A:$A,My_Audit!J:J,""),
_xlfn.IFS(_xlpm.MyAuditVal&lt;&gt;"",UPPER(_xlpm.MyAuditVal),_xlpm.MacVal&lt;&gt;"",_xlpm.MacVal,_xlpm.CSVVal&lt;&gt;"",_xlpm.CSVVal
)),"")</f>
        <v/>
      </c>
      <c r="L698" s="2" t="str" cm="1">
        <f t="array" ref="L698">IFERROR(_xlfn.LET(
_xlpm.CSVVal,_xlfn.XLOOKUP($A698,CSV!$A:$A,CSV!P:P,""),
_xlpm.MacVal,_xlfn.XLOOKUP($A698,Output_Mac!$A:$A,Output_Mac!L:L,""),
_xlpm.MyAuditVal,_xlfn.XLOOKUP($A698,My_Audit!$A:$A,My_Audit!K:K,""),
_xlfn.IFS(_xlpm.MyAuditVal&lt;&gt;"",UPPER(_xlpm.MyAuditVal),_xlpm.MacVal&lt;&gt;"",_xlpm.MacVal,_xlpm.CSVVal&lt;&gt;"",_xlpm.CSVVal
)),"")</f>
        <v/>
      </c>
      <c r="M698" s="2" t="str" cm="1">
        <f t="array" ref="M698">IFERROR(_xlfn.LET(
_xlpm.CSVVal,_xlfn.XLOOKUP($A698,CSV!$A:$A,CSV!Q:Q,""),
_xlpm.MacVal,_xlfn.XLOOKUP($A698,Output_Mac!$A:$A,Output_Mac!M:M,""),
_xlpm.MyAuditVal,_xlfn.XLOOKUP($A698,My_Audit!$A:$A,My_Audit!L:L,""),
_xlfn.IFS(_xlpm.MyAuditVal&lt;&gt;"",UPPER(_xlpm.MyAuditVal),_xlpm.MacVal&lt;&gt;"",_xlpm.MacVal,_xlpm.CSVVal&lt;&gt;"",_xlpm.CSVVal
)),"")</f>
        <v/>
      </c>
      <c r="O698" s="2" t="str">
        <f>_xlfn.LET(
    _xlpm.CSVVal, _xlfn.XLOOKUP($A698, CSV!$A:$A, CSV!AF:AF, ""),
    _xlpm.MacVal, _xlfn.XLOOKUP($A698, Output_Mac!$A:$A, Output_Mac!S:S, ""),
    _xlpm.MyAuditVal, _xlfn.XLOOKUP($A698, My_Audit!$A:$A, My_Audit!P:P, ""),
    _xlfn.TEXTJOIN(", ", TRUE, _xlpm.MyAuditVal, _xlpm.MacVal, _xlpm.CSVVal)
)</f>
        <v/>
      </c>
      <c r="P698" s="2" t="str" cm="1">
        <f t="array" ref="P698">IFERROR(_xlfn.LET(
_xlpm.CSVVal,_xlfn.XLOOKUP($A698,CSV!$A:$A,CSV!AG:AG,""),
_xlpm.MacVal,_xlfn.XLOOKUP($A698,Output_Mac!$A:$A,Output_Mac!T:T,""),
_xlpm.MyAuditVal,_xlfn.XLOOKUP($A698,My_Audit!$A:$A,My_Audit!Q:Q,""),
_xlfn.IFS(_xlpm.MyAuditVal&lt;&gt;"",UPPER(_xlpm.MyAuditVal),_xlpm.MacVal&lt;&gt;"",_xlpm.MacVal,_xlpm.CSVVal&lt;&gt;"",_xlpm.CSVVal
)),"No")</f>
        <v>No</v>
      </c>
      <c r="Q698" s="2" t="str" cm="1">
        <f t="array" ref="Q698">IFERROR(_xlfn.LET(
_xlpm.CSVVal,_xlfn.XLOOKUP($A698,CSV!$A:$A,CSV!AH:AH,""),
_xlpm.MacVal,_xlfn.XLOOKUP($A698,Output_Mac!$A:$A,Output_Mac!U:U,""),
_xlpm.MyAuditVal,_xlfn.XLOOKUP($A698,My_Audit!$A:$A,My_Audit!R:R,""),
_xlfn.IFS(_xlpm.MyAuditVal&lt;&gt;"",UPPER(_xlpm.MyAuditVal),_xlpm.MacVal&lt;&gt;"",_xlpm.MacVal,_xlpm.CSVVal&lt;&gt;"",_xlpm.CSVVal
)),"")</f>
        <v/>
      </c>
    </row>
    <row r="699" spans="1:17">
      <c r="A699" s="2" t="str">
        <f>_xlfn.TEXTJOIN("",TRUE,Input!$B$2,ROW(My_Audit!A698))</f>
        <v>XX698</v>
      </c>
      <c r="B699" s="2" t="str">
        <f>_xlfn.TEXTJOIN("-",TRUE,"ITD",Input!$A$2,A699)</f>
        <v>ITD-SHRXXX-XX698</v>
      </c>
      <c r="C699" s="2" t="str" cm="1">
        <f t="array" ref="C699">IFERROR(_xlfn.LET(
_xlpm.CSVVal,_xlfn.XLOOKUP($A699,CSV!$A:$A,CSV!B:B,""),
_xlpm.MacVal,_xlfn.XLOOKUP($A699,Output_Mac!$A:$A,Output_Mac!B:B,""),
_xlpm.MyAuditVal,_xlfn.XLOOKUP($A699,My_Audit!$A:$A,My_Audit!B:B,""),
_xlfn.IFS(_xlpm.MyAuditVal&lt;&gt;"",UPPER(_xlpm.MyAuditVal),_xlpm.MacVal&lt;&gt;"",_xlpm.MacVal,_xlpm.CSVVal&lt;&gt;"",_xlpm.CSVVal
)),"")</f>
        <v/>
      </c>
      <c r="D699" s="2" t="str" cm="1">
        <f t="array" ref="D699">IFERROR(_xlfn.LET(
_xlpm.CSVVal,_xlfn.XLOOKUP($A699,CSV!$A:$A,CSV!D:D,""),
_xlpm.MacVal,_xlfn.XLOOKUP($A699,Output_Mac!$A:$A,Output_Mac!C:C,""),
_xlpm.MyAuditVal,_xlfn.XLOOKUP($A699,My_Audit!$A:$A,My_Audit!C:C,""),
_xlfn.IFS(_xlpm.MyAuditVal&lt;&gt;"",_xlpm.MyAuditVal,_xlpm.MacVal&lt;&gt;"",_xlpm.MacVal,_xlpm.CSVVal&lt;&gt;"",_xlpm.CSVVal
)),"")</f>
        <v/>
      </c>
      <c r="E699" s="2" t="str">
        <f>_xlfn.XLOOKUP(A699,My_Audit!A:A,My_Audit!D:D,"")&amp;""</f>
        <v/>
      </c>
      <c r="F699" s="2" t="str" cm="1">
        <f t="array" ref="F699">IFERROR(_xlfn.LET(
_xlpm.CSVVal,_xlfn.XLOOKUP($A699,CSV!$A:$A,CSV!F:F,""),
_xlpm.MacVal,_xlfn.XLOOKUP($A699,Output_Mac!$A:$A,Output_Mac!E:E,""),
_xlpm.MyAuditVal,_xlfn.XLOOKUP($A699,My_Audit!$A:$A,My_Audit!E:E,""),
_xlfn.IFS(_xlpm.MyAuditVal&lt;&gt;"",_xlpm.MyAuditVal,_xlpm.MacVal&lt;&gt;"",_xlpm.MacVal,_xlpm.CSVVal&lt;&gt;"",_xlpm.CSVVal
)),"")</f>
        <v/>
      </c>
      <c r="G699" s="2" t="str" cm="1">
        <f t="array" ref="G699">IFERROR(_xlfn.LET(
_xlpm.CSVVal,_xlfn.XLOOKUP($A699,CSV!$A:$A,CSV!G:G,""),
_xlpm.MacVal,_xlfn.XLOOKUP($A699,Output_Mac!$A:$A,Output_Mac!F:F,""),
_xlpm.MyAuditVal,_xlfn.XLOOKUP($A699,My_Audit!$A:$A,My_Audit!F:F,""),
_xlfn.IFS(_xlpm.MyAuditVal&lt;&gt;"",_xlpm.MyAuditVal,_xlpm.MacVal&lt;&gt;"",_xlpm.MacVal,_xlpm.CSVVal&lt;&gt;"",PROPER(_xlpm.CSVVal)
)),"")</f>
        <v/>
      </c>
      <c r="H699" s="2" t="str" cm="1">
        <f t="array" ref="H699">IFERROR(_xlfn.LET(
_xlpm.CSVVal,_xlfn.XLOOKUP($A699,CSV!$A:$A,CSV!H:H,""),
_xlpm.MacVal,_xlfn.XLOOKUP($A699,Output_Mac!$A:$A,Output_Mac!H:H,""),
_xlpm.MyAuditVal,_xlfn.XLOOKUP($A699,My_Audit!$A:$A,My_Audit!G:G,""),
_xlfn.IFS(_xlpm.MyAuditVal&lt;&gt;"",_xlpm.MyAuditVal,_xlpm.MacVal&lt;&gt;"",_xlpm.MacVal,_xlpm.CSVVal&lt;&gt;"",_xlpm.CSVVal
)),"")</f>
        <v/>
      </c>
      <c r="I699" s="2" t="str">
        <f>_xlfn.XLOOKUP(A699,Output_Mac!A:A,Output_Mac!I:I,"")</f>
        <v/>
      </c>
      <c r="J699" s="2" t="str" cm="1">
        <f t="array" ref="J699">IFERROR(_xlfn.LET(
_xlpm.CSVVal,_xlfn.XLOOKUP($A699,CSV!$A:$A,CSV!I:I,""),
_xlpm.MacVal,_xlfn.XLOOKUP($A699,Output_Mac!$A:$A,Output_Mac!J:J,""),
_xlpm.MyAuditVal,_xlfn.XLOOKUP($A699,My_Audit!$A:$A,My_Audit!I:I,""),
_xlfn.IFS(_xlpm.MyAuditVal&lt;&gt;"",UPPER(_xlpm.MyAuditVal),_xlpm.MacVal&lt;&gt;"",_xlpm.MacVal,_xlpm.CSVVal&lt;&gt;"",_xlpm.CSVVal
)),"")</f>
        <v/>
      </c>
      <c r="K699" s="2" t="str" cm="1">
        <f t="array" ref="K699">IFERROR(_xlfn.LET(
_xlpm.CSVVal,_xlfn.XLOOKUP($A699,CSV!$A:$A,CSV!K:K,""),
_xlpm.MacVal,_xlfn.XLOOKUP($A699,Output_Mac!$A:$A,Output_Mac!K:K,""),
_xlpm.MyAuditVal,_xlfn.XLOOKUP($A699,My_Audit!$A:$A,My_Audit!J:J,""),
_xlfn.IFS(_xlpm.MyAuditVal&lt;&gt;"",UPPER(_xlpm.MyAuditVal),_xlpm.MacVal&lt;&gt;"",_xlpm.MacVal,_xlpm.CSVVal&lt;&gt;"",_xlpm.CSVVal
)),"")</f>
        <v/>
      </c>
      <c r="L699" s="2" t="str" cm="1">
        <f t="array" ref="L699">IFERROR(_xlfn.LET(
_xlpm.CSVVal,_xlfn.XLOOKUP($A699,CSV!$A:$A,CSV!P:P,""),
_xlpm.MacVal,_xlfn.XLOOKUP($A699,Output_Mac!$A:$A,Output_Mac!L:L,""),
_xlpm.MyAuditVal,_xlfn.XLOOKUP($A699,My_Audit!$A:$A,My_Audit!K:K,""),
_xlfn.IFS(_xlpm.MyAuditVal&lt;&gt;"",UPPER(_xlpm.MyAuditVal),_xlpm.MacVal&lt;&gt;"",_xlpm.MacVal,_xlpm.CSVVal&lt;&gt;"",_xlpm.CSVVal
)),"")</f>
        <v/>
      </c>
      <c r="M699" s="2" t="str" cm="1">
        <f t="array" ref="M699">IFERROR(_xlfn.LET(
_xlpm.CSVVal,_xlfn.XLOOKUP($A699,CSV!$A:$A,CSV!Q:Q,""),
_xlpm.MacVal,_xlfn.XLOOKUP($A699,Output_Mac!$A:$A,Output_Mac!M:M,""),
_xlpm.MyAuditVal,_xlfn.XLOOKUP($A699,My_Audit!$A:$A,My_Audit!L:L,""),
_xlfn.IFS(_xlpm.MyAuditVal&lt;&gt;"",UPPER(_xlpm.MyAuditVal),_xlpm.MacVal&lt;&gt;"",_xlpm.MacVal,_xlpm.CSVVal&lt;&gt;"",_xlpm.CSVVal
)),"")</f>
        <v/>
      </c>
      <c r="O699" s="2" t="str">
        <f>_xlfn.LET(
    _xlpm.CSVVal, _xlfn.XLOOKUP($A699, CSV!$A:$A, CSV!AF:AF, ""),
    _xlpm.MacVal, _xlfn.XLOOKUP($A699, Output_Mac!$A:$A, Output_Mac!S:S, ""),
    _xlpm.MyAuditVal, _xlfn.XLOOKUP($A699, My_Audit!$A:$A, My_Audit!P:P, ""),
    _xlfn.TEXTJOIN(", ", TRUE, _xlpm.MyAuditVal, _xlpm.MacVal, _xlpm.CSVVal)
)</f>
        <v/>
      </c>
      <c r="P699" s="2" t="str" cm="1">
        <f t="array" ref="P699">IFERROR(_xlfn.LET(
_xlpm.CSVVal,_xlfn.XLOOKUP($A699,CSV!$A:$A,CSV!AG:AG,""),
_xlpm.MacVal,_xlfn.XLOOKUP($A699,Output_Mac!$A:$A,Output_Mac!T:T,""),
_xlpm.MyAuditVal,_xlfn.XLOOKUP($A699,My_Audit!$A:$A,My_Audit!Q:Q,""),
_xlfn.IFS(_xlpm.MyAuditVal&lt;&gt;"",UPPER(_xlpm.MyAuditVal),_xlpm.MacVal&lt;&gt;"",_xlpm.MacVal,_xlpm.CSVVal&lt;&gt;"",_xlpm.CSVVal
)),"No")</f>
        <v>No</v>
      </c>
      <c r="Q699" s="2" t="str" cm="1">
        <f t="array" ref="Q699">IFERROR(_xlfn.LET(
_xlpm.CSVVal,_xlfn.XLOOKUP($A699,CSV!$A:$A,CSV!AH:AH,""),
_xlpm.MacVal,_xlfn.XLOOKUP($A699,Output_Mac!$A:$A,Output_Mac!U:U,""),
_xlpm.MyAuditVal,_xlfn.XLOOKUP($A699,My_Audit!$A:$A,My_Audit!R:R,""),
_xlfn.IFS(_xlpm.MyAuditVal&lt;&gt;"",UPPER(_xlpm.MyAuditVal),_xlpm.MacVal&lt;&gt;"",_xlpm.MacVal,_xlpm.CSVVal&lt;&gt;"",_xlpm.CSVVal
)),"")</f>
        <v/>
      </c>
    </row>
    <row r="700" spans="1:17">
      <c r="A700" s="2" t="str">
        <f>_xlfn.TEXTJOIN("",TRUE,Input!$B$2,ROW(My_Audit!A699))</f>
        <v>XX699</v>
      </c>
      <c r="B700" s="2" t="str">
        <f>_xlfn.TEXTJOIN("-",TRUE,"ITD",Input!$A$2,A700)</f>
        <v>ITD-SHRXXX-XX699</v>
      </c>
      <c r="C700" s="2" t="str" cm="1">
        <f t="array" ref="C700">IFERROR(_xlfn.LET(
_xlpm.CSVVal,_xlfn.XLOOKUP($A700,CSV!$A:$A,CSV!B:B,""),
_xlpm.MacVal,_xlfn.XLOOKUP($A700,Output_Mac!$A:$A,Output_Mac!B:B,""),
_xlpm.MyAuditVal,_xlfn.XLOOKUP($A700,My_Audit!$A:$A,My_Audit!B:B,""),
_xlfn.IFS(_xlpm.MyAuditVal&lt;&gt;"",UPPER(_xlpm.MyAuditVal),_xlpm.MacVal&lt;&gt;"",_xlpm.MacVal,_xlpm.CSVVal&lt;&gt;"",_xlpm.CSVVal
)),"")</f>
        <v/>
      </c>
      <c r="D700" s="2" t="str" cm="1">
        <f t="array" ref="D700">IFERROR(_xlfn.LET(
_xlpm.CSVVal,_xlfn.XLOOKUP($A700,CSV!$A:$A,CSV!D:D,""),
_xlpm.MacVal,_xlfn.XLOOKUP($A700,Output_Mac!$A:$A,Output_Mac!C:C,""),
_xlpm.MyAuditVal,_xlfn.XLOOKUP($A700,My_Audit!$A:$A,My_Audit!C:C,""),
_xlfn.IFS(_xlpm.MyAuditVal&lt;&gt;"",_xlpm.MyAuditVal,_xlpm.MacVal&lt;&gt;"",_xlpm.MacVal,_xlpm.CSVVal&lt;&gt;"",_xlpm.CSVVal
)),"")</f>
        <v/>
      </c>
      <c r="E700" s="2" t="str">
        <f>_xlfn.XLOOKUP(A700,My_Audit!A:A,My_Audit!D:D,"")&amp;""</f>
        <v/>
      </c>
      <c r="F700" s="2" t="str" cm="1">
        <f t="array" ref="F700">IFERROR(_xlfn.LET(
_xlpm.CSVVal,_xlfn.XLOOKUP($A700,CSV!$A:$A,CSV!F:F,""),
_xlpm.MacVal,_xlfn.XLOOKUP($A700,Output_Mac!$A:$A,Output_Mac!E:E,""),
_xlpm.MyAuditVal,_xlfn.XLOOKUP($A700,My_Audit!$A:$A,My_Audit!E:E,""),
_xlfn.IFS(_xlpm.MyAuditVal&lt;&gt;"",_xlpm.MyAuditVal,_xlpm.MacVal&lt;&gt;"",_xlpm.MacVal,_xlpm.CSVVal&lt;&gt;"",_xlpm.CSVVal
)),"")</f>
        <v/>
      </c>
      <c r="G700" s="2" t="str" cm="1">
        <f t="array" ref="G700">IFERROR(_xlfn.LET(
_xlpm.CSVVal,_xlfn.XLOOKUP($A700,CSV!$A:$A,CSV!G:G,""),
_xlpm.MacVal,_xlfn.XLOOKUP($A700,Output_Mac!$A:$A,Output_Mac!F:F,""),
_xlpm.MyAuditVal,_xlfn.XLOOKUP($A700,My_Audit!$A:$A,My_Audit!F:F,""),
_xlfn.IFS(_xlpm.MyAuditVal&lt;&gt;"",_xlpm.MyAuditVal,_xlpm.MacVal&lt;&gt;"",_xlpm.MacVal,_xlpm.CSVVal&lt;&gt;"",PROPER(_xlpm.CSVVal)
)),"")</f>
        <v/>
      </c>
      <c r="H700" s="2" t="str" cm="1">
        <f t="array" ref="H700">IFERROR(_xlfn.LET(
_xlpm.CSVVal,_xlfn.XLOOKUP($A700,CSV!$A:$A,CSV!H:H,""),
_xlpm.MacVal,_xlfn.XLOOKUP($A700,Output_Mac!$A:$A,Output_Mac!H:H,""),
_xlpm.MyAuditVal,_xlfn.XLOOKUP($A700,My_Audit!$A:$A,My_Audit!G:G,""),
_xlfn.IFS(_xlpm.MyAuditVal&lt;&gt;"",_xlpm.MyAuditVal,_xlpm.MacVal&lt;&gt;"",_xlpm.MacVal,_xlpm.CSVVal&lt;&gt;"",_xlpm.CSVVal
)),"")</f>
        <v/>
      </c>
      <c r="I700" s="2" t="str">
        <f>_xlfn.XLOOKUP(A700,Output_Mac!A:A,Output_Mac!I:I,"")</f>
        <v/>
      </c>
      <c r="J700" s="2" t="str" cm="1">
        <f t="array" ref="J700">IFERROR(_xlfn.LET(
_xlpm.CSVVal,_xlfn.XLOOKUP($A700,CSV!$A:$A,CSV!I:I,""),
_xlpm.MacVal,_xlfn.XLOOKUP($A700,Output_Mac!$A:$A,Output_Mac!J:J,""),
_xlpm.MyAuditVal,_xlfn.XLOOKUP($A700,My_Audit!$A:$A,My_Audit!I:I,""),
_xlfn.IFS(_xlpm.MyAuditVal&lt;&gt;"",UPPER(_xlpm.MyAuditVal),_xlpm.MacVal&lt;&gt;"",_xlpm.MacVal,_xlpm.CSVVal&lt;&gt;"",_xlpm.CSVVal
)),"")</f>
        <v/>
      </c>
      <c r="K700" s="2" t="str" cm="1">
        <f t="array" ref="K700">IFERROR(_xlfn.LET(
_xlpm.CSVVal,_xlfn.XLOOKUP($A700,CSV!$A:$A,CSV!K:K,""),
_xlpm.MacVal,_xlfn.XLOOKUP($A700,Output_Mac!$A:$A,Output_Mac!K:K,""),
_xlpm.MyAuditVal,_xlfn.XLOOKUP($A700,My_Audit!$A:$A,My_Audit!J:J,""),
_xlfn.IFS(_xlpm.MyAuditVal&lt;&gt;"",UPPER(_xlpm.MyAuditVal),_xlpm.MacVal&lt;&gt;"",_xlpm.MacVal,_xlpm.CSVVal&lt;&gt;"",_xlpm.CSVVal
)),"")</f>
        <v/>
      </c>
      <c r="L700" s="2" t="str" cm="1">
        <f t="array" ref="L700">IFERROR(_xlfn.LET(
_xlpm.CSVVal,_xlfn.XLOOKUP($A700,CSV!$A:$A,CSV!P:P,""),
_xlpm.MacVal,_xlfn.XLOOKUP($A700,Output_Mac!$A:$A,Output_Mac!L:L,""),
_xlpm.MyAuditVal,_xlfn.XLOOKUP($A700,My_Audit!$A:$A,My_Audit!K:K,""),
_xlfn.IFS(_xlpm.MyAuditVal&lt;&gt;"",UPPER(_xlpm.MyAuditVal),_xlpm.MacVal&lt;&gt;"",_xlpm.MacVal,_xlpm.CSVVal&lt;&gt;"",_xlpm.CSVVal
)),"")</f>
        <v/>
      </c>
      <c r="M700" s="2" t="str" cm="1">
        <f t="array" ref="M700">IFERROR(_xlfn.LET(
_xlpm.CSVVal,_xlfn.XLOOKUP($A700,CSV!$A:$A,CSV!Q:Q,""),
_xlpm.MacVal,_xlfn.XLOOKUP($A700,Output_Mac!$A:$A,Output_Mac!M:M,""),
_xlpm.MyAuditVal,_xlfn.XLOOKUP($A700,My_Audit!$A:$A,My_Audit!L:L,""),
_xlfn.IFS(_xlpm.MyAuditVal&lt;&gt;"",UPPER(_xlpm.MyAuditVal),_xlpm.MacVal&lt;&gt;"",_xlpm.MacVal,_xlpm.CSVVal&lt;&gt;"",_xlpm.CSVVal
)),"")</f>
        <v/>
      </c>
      <c r="O700" s="2" t="str">
        <f>_xlfn.LET(
    _xlpm.CSVVal, _xlfn.XLOOKUP($A700, CSV!$A:$A, CSV!AF:AF, ""),
    _xlpm.MacVal, _xlfn.XLOOKUP($A700, Output_Mac!$A:$A, Output_Mac!S:S, ""),
    _xlpm.MyAuditVal, _xlfn.XLOOKUP($A700, My_Audit!$A:$A, My_Audit!P:P, ""),
    _xlfn.TEXTJOIN(", ", TRUE, _xlpm.MyAuditVal, _xlpm.MacVal, _xlpm.CSVVal)
)</f>
        <v/>
      </c>
      <c r="P700" s="2" t="str" cm="1">
        <f t="array" ref="P700">IFERROR(_xlfn.LET(
_xlpm.CSVVal,_xlfn.XLOOKUP($A700,CSV!$A:$A,CSV!AG:AG,""),
_xlpm.MacVal,_xlfn.XLOOKUP($A700,Output_Mac!$A:$A,Output_Mac!T:T,""),
_xlpm.MyAuditVal,_xlfn.XLOOKUP($A700,My_Audit!$A:$A,My_Audit!Q:Q,""),
_xlfn.IFS(_xlpm.MyAuditVal&lt;&gt;"",UPPER(_xlpm.MyAuditVal),_xlpm.MacVal&lt;&gt;"",_xlpm.MacVal,_xlpm.CSVVal&lt;&gt;"",_xlpm.CSVVal
)),"No")</f>
        <v>No</v>
      </c>
      <c r="Q700" s="2" t="str" cm="1">
        <f t="array" ref="Q700">IFERROR(_xlfn.LET(
_xlpm.CSVVal,_xlfn.XLOOKUP($A700,CSV!$A:$A,CSV!AH:AH,""),
_xlpm.MacVal,_xlfn.XLOOKUP($A700,Output_Mac!$A:$A,Output_Mac!U:U,""),
_xlpm.MyAuditVal,_xlfn.XLOOKUP($A700,My_Audit!$A:$A,My_Audit!R:R,""),
_xlfn.IFS(_xlpm.MyAuditVal&lt;&gt;"",UPPER(_xlpm.MyAuditVal),_xlpm.MacVal&lt;&gt;"",_xlpm.MacVal,_xlpm.CSVVal&lt;&gt;"",_xlpm.CSVVal
)),"")</f>
        <v/>
      </c>
    </row>
    <row r="701" spans="1:17">
      <c r="A701" s="2" t="str">
        <f>_xlfn.TEXTJOIN("",TRUE,Input!$B$2,ROW(My_Audit!A700))</f>
        <v>XX700</v>
      </c>
      <c r="B701" s="2" t="str">
        <f>_xlfn.TEXTJOIN("-",TRUE,"ITD",Input!$A$2,A701)</f>
        <v>ITD-SHRXXX-XX700</v>
      </c>
      <c r="C701" s="2" t="str" cm="1">
        <f t="array" ref="C701">IFERROR(_xlfn.LET(
_xlpm.CSVVal,_xlfn.XLOOKUP($A701,CSV!$A:$A,CSV!B:B,""),
_xlpm.MacVal,_xlfn.XLOOKUP($A701,Output_Mac!$A:$A,Output_Mac!B:B,""),
_xlpm.MyAuditVal,_xlfn.XLOOKUP($A701,My_Audit!$A:$A,My_Audit!B:B,""),
_xlfn.IFS(_xlpm.MyAuditVal&lt;&gt;"",UPPER(_xlpm.MyAuditVal),_xlpm.MacVal&lt;&gt;"",_xlpm.MacVal,_xlpm.CSVVal&lt;&gt;"",_xlpm.CSVVal
)),"")</f>
        <v/>
      </c>
      <c r="D701" s="2" t="str" cm="1">
        <f t="array" ref="D701">IFERROR(_xlfn.LET(
_xlpm.CSVVal,_xlfn.XLOOKUP($A701,CSV!$A:$A,CSV!D:D,""),
_xlpm.MacVal,_xlfn.XLOOKUP($A701,Output_Mac!$A:$A,Output_Mac!C:C,""),
_xlpm.MyAuditVal,_xlfn.XLOOKUP($A701,My_Audit!$A:$A,My_Audit!C:C,""),
_xlfn.IFS(_xlpm.MyAuditVal&lt;&gt;"",_xlpm.MyAuditVal,_xlpm.MacVal&lt;&gt;"",_xlpm.MacVal,_xlpm.CSVVal&lt;&gt;"",_xlpm.CSVVal
)),"")</f>
        <v/>
      </c>
      <c r="E701" s="2" t="str">
        <f>_xlfn.XLOOKUP(A701,My_Audit!A:A,My_Audit!D:D,"")&amp;""</f>
        <v/>
      </c>
      <c r="F701" s="2" t="str" cm="1">
        <f t="array" ref="F701">IFERROR(_xlfn.LET(
_xlpm.CSVVal,_xlfn.XLOOKUP($A701,CSV!$A:$A,CSV!F:F,""),
_xlpm.MacVal,_xlfn.XLOOKUP($A701,Output_Mac!$A:$A,Output_Mac!E:E,""),
_xlpm.MyAuditVal,_xlfn.XLOOKUP($A701,My_Audit!$A:$A,My_Audit!E:E,""),
_xlfn.IFS(_xlpm.MyAuditVal&lt;&gt;"",_xlpm.MyAuditVal,_xlpm.MacVal&lt;&gt;"",_xlpm.MacVal,_xlpm.CSVVal&lt;&gt;"",_xlpm.CSVVal
)),"")</f>
        <v/>
      </c>
      <c r="G701" s="2" t="str" cm="1">
        <f t="array" ref="G701">IFERROR(_xlfn.LET(
_xlpm.CSVVal,_xlfn.XLOOKUP($A701,CSV!$A:$A,CSV!G:G,""),
_xlpm.MacVal,_xlfn.XLOOKUP($A701,Output_Mac!$A:$A,Output_Mac!F:F,""),
_xlpm.MyAuditVal,_xlfn.XLOOKUP($A701,My_Audit!$A:$A,My_Audit!F:F,""),
_xlfn.IFS(_xlpm.MyAuditVal&lt;&gt;"",_xlpm.MyAuditVal,_xlpm.MacVal&lt;&gt;"",_xlpm.MacVal,_xlpm.CSVVal&lt;&gt;"",PROPER(_xlpm.CSVVal)
)),"")</f>
        <v/>
      </c>
      <c r="H701" s="2" t="str" cm="1">
        <f t="array" ref="H701">IFERROR(_xlfn.LET(
_xlpm.CSVVal,_xlfn.XLOOKUP($A701,CSV!$A:$A,CSV!H:H,""),
_xlpm.MacVal,_xlfn.XLOOKUP($A701,Output_Mac!$A:$A,Output_Mac!H:H,""),
_xlpm.MyAuditVal,_xlfn.XLOOKUP($A701,My_Audit!$A:$A,My_Audit!G:G,""),
_xlfn.IFS(_xlpm.MyAuditVal&lt;&gt;"",_xlpm.MyAuditVal,_xlpm.MacVal&lt;&gt;"",_xlpm.MacVal,_xlpm.CSVVal&lt;&gt;"",_xlpm.CSVVal
)),"")</f>
        <v/>
      </c>
      <c r="I701" s="2" t="str">
        <f>_xlfn.XLOOKUP(A701,Output_Mac!A:A,Output_Mac!I:I,"")</f>
        <v/>
      </c>
      <c r="J701" s="2" t="str" cm="1">
        <f t="array" ref="J701">IFERROR(_xlfn.LET(
_xlpm.CSVVal,_xlfn.XLOOKUP($A701,CSV!$A:$A,CSV!I:I,""),
_xlpm.MacVal,_xlfn.XLOOKUP($A701,Output_Mac!$A:$A,Output_Mac!J:J,""),
_xlpm.MyAuditVal,_xlfn.XLOOKUP($A701,My_Audit!$A:$A,My_Audit!I:I,""),
_xlfn.IFS(_xlpm.MyAuditVal&lt;&gt;"",UPPER(_xlpm.MyAuditVal),_xlpm.MacVal&lt;&gt;"",_xlpm.MacVal,_xlpm.CSVVal&lt;&gt;"",_xlpm.CSVVal
)),"")</f>
        <v/>
      </c>
      <c r="K701" s="2" t="str" cm="1">
        <f t="array" ref="K701">IFERROR(_xlfn.LET(
_xlpm.CSVVal,_xlfn.XLOOKUP($A701,CSV!$A:$A,CSV!K:K,""),
_xlpm.MacVal,_xlfn.XLOOKUP($A701,Output_Mac!$A:$A,Output_Mac!K:K,""),
_xlpm.MyAuditVal,_xlfn.XLOOKUP($A701,My_Audit!$A:$A,My_Audit!J:J,""),
_xlfn.IFS(_xlpm.MyAuditVal&lt;&gt;"",UPPER(_xlpm.MyAuditVal),_xlpm.MacVal&lt;&gt;"",_xlpm.MacVal,_xlpm.CSVVal&lt;&gt;"",_xlpm.CSVVal
)),"")</f>
        <v/>
      </c>
      <c r="L701" s="2" t="str" cm="1">
        <f t="array" ref="L701">IFERROR(_xlfn.LET(
_xlpm.CSVVal,_xlfn.XLOOKUP($A701,CSV!$A:$A,CSV!P:P,""),
_xlpm.MacVal,_xlfn.XLOOKUP($A701,Output_Mac!$A:$A,Output_Mac!L:L,""),
_xlpm.MyAuditVal,_xlfn.XLOOKUP($A701,My_Audit!$A:$A,My_Audit!K:K,""),
_xlfn.IFS(_xlpm.MyAuditVal&lt;&gt;"",UPPER(_xlpm.MyAuditVal),_xlpm.MacVal&lt;&gt;"",_xlpm.MacVal,_xlpm.CSVVal&lt;&gt;"",_xlpm.CSVVal
)),"")</f>
        <v/>
      </c>
      <c r="M701" s="2" t="str" cm="1">
        <f t="array" ref="M701">IFERROR(_xlfn.LET(
_xlpm.CSVVal,_xlfn.XLOOKUP($A701,CSV!$A:$A,CSV!Q:Q,""),
_xlpm.MacVal,_xlfn.XLOOKUP($A701,Output_Mac!$A:$A,Output_Mac!M:M,""),
_xlpm.MyAuditVal,_xlfn.XLOOKUP($A701,My_Audit!$A:$A,My_Audit!L:L,""),
_xlfn.IFS(_xlpm.MyAuditVal&lt;&gt;"",UPPER(_xlpm.MyAuditVal),_xlpm.MacVal&lt;&gt;"",_xlpm.MacVal,_xlpm.CSVVal&lt;&gt;"",_xlpm.CSVVal
)),"")</f>
        <v/>
      </c>
      <c r="O701" s="2" t="str">
        <f>_xlfn.LET(
    _xlpm.CSVVal, _xlfn.XLOOKUP($A701, CSV!$A:$A, CSV!AF:AF, ""),
    _xlpm.MacVal, _xlfn.XLOOKUP($A701, Output_Mac!$A:$A, Output_Mac!S:S, ""),
    _xlpm.MyAuditVal, _xlfn.XLOOKUP($A701, My_Audit!$A:$A, My_Audit!P:P, ""),
    _xlfn.TEXTJOIN(", ", TRUE, _xlpm.MyAuditVal, _xlpm.MacVal, _xlpm.CSVVal)
)</f>
        <v/>
      </c>
      <c r="P701" s="2" t="str" cm="1">
        <f t="array" ref="P701">IFERROR(_xlfn.LET(
_xlpm.CSVVal,_xlfn.XLOOKUP($A701,CSV!$A:$A,CSV!AG:AG,""),
_xlpm.MacVal,_xlfn.XLOOKUP($A701,Output_Mac!$A:$A,Output_Mac!T:T,""),
_xlpm.MyAuditVal,_xlfn.XLOOKUP($A701,My_Audit!$A:$A,My_Audit!Q:Q,""),
_xlfn.IFS(_xlpm.MyAuditVal&lt;&gt;"",UPPER(_xlpm.MyAuditVal),_xlpm.MacVal&lt;&gt;"",_xlpm.MacVal,_xlpm.CSVVal&lt;&gt;"",_xlpm.CSVVal
)),"No")</f>
        <v>No</v>
      </c>
      <c r="Q701" s="2" t="str" cm="1">
        <f t="array" ref="Q701">IFERROR(_xlfn.LET(
_xlpm.CSVVal,_xlfn.XLOOKUP($A701,CSV!$A:$A,CSV!AH:AH,""),
_xlpm.MacVal,_xlfn.XLOOKUP($A701,Output_Mac!$A:$A,Output_Mac!U:U,""),
_xlpm.MyAuditVal,_xlfn.XLOOKUP($A701,My_Audit!$A:$A,My_Audit!R:R,""),
_xlfn.IFS(_xlpm.MyAuditVal&lt;&gt;"",UPPER(_xlpm.MyAuditVal),_xlpm.MacVal&lt;&gt;"",_xlpm.MacVal,_xlpm.CSVVal&lt;&gt;"",_xlpm.CSVVal
)),"")</f>
        <v/>
      </c>
    </row>
    <row r="702" spans="1:17">
      <c r="A702" s="2" t="str">
        <f>_xlfn.TEXTJOIN("",TRUE,Input!$B$2,ROW(My_Audit!A701))</f>
        <v>XX701</v>
      </c>
      <c r="B702" s="2" t="str">
        <f>_xlfn.TEXTJOIN("-",TRUE,"ITD",Input!$A$2,A702)</f>
        <v>ITD-SHRXXX-XX701</v>
      </c>
      <c r="C702" s="2" t="str" cm="1">
        <f t="array" ref="C702">IFERROR(_xlfn.LET(
_xlpm.CSVVal,_xlfn.XLOOKUP($A702,CSV!$A:$A,CSV!B:B,""),
_xlpm.MacVal,_xlfn.XLOOKUP($A702,Output_Mac!$A:$A,Output_Mac!B:B,""),
_xlpm.MyAuditVal,_xlfn.XLOOKUP($A702,My_Audit!$A:$A,My_Audit!B:B,""),
_xlfn.IFS(_xlpm.MyAuditVal&lt;&gt;"",UPPER(_xlpm.MyAuditVal),_xlpm.MacVal&lt;&gt;"",_xlpm.MacVal,_xlpm.CSVVal&lt;&gt;"",_xlpm.CSVVal
)),"")</f>
        <v/>
      </c>
      <c r="D702" s="2" t="str" cm="1">
        <f t="array" ref="D702">IFERROR(_xlfn.LET(
_xlpm.CSVVal,_xlfn.XLOOKUP($A702,CSV!$A:$A,CSV!D:D,""),
_xlpm.MacVal,_xlfn.XLOOKUP($A702,Output_Mac!$A:$A,Output_Mac!C:C,""),
_xlpm.MyAuditVal,_xlfn.XLOOKUP($A702,My_Audit!$A:$A,My_Audit!C:C,""),
_xlfn.IFS(_xlpm.MyAuditVal&lt;&gt;"",_xlpm.MyAuditVal,_xlpm.MacVal&lt;&gt;"",_xlpm.MacVal,_xlpm.CSVVal&lt;&gt;"",_xlpm.CSVVal
)),"")</f>
        <v/>
      </c>
      <c r="E702" s="2" t="str">
        <f>_xlfn.XLOOKUP(A702,My_Audit!A:A,My_Audit!D:D,"")&amp;""</f>
        <v/>
      </c>
      <c r="F702" s="2" t="str" cm="1">
        <f t="array" ref="F702">IFERROR(_xlfn.LET(
_xlpm.CSVVal,_xlfn.XLOOKUP($A702,CSV!$A:$A,CSV!F:F,""),
_xlpm.MacVal,_xlfn.XLOOKUP($A702,Output_Mac!$A:$A,Output_Mac!E:E,""),
_xlpm.MyAuditVal,_xlfn.XLOOKUP($A702,My_Audit!$A:$A,My_Audit!E:E,""),
_xlfn.IFS(_xlpm.MyAuditVal&lt;&gt;"",_xlpm.MyAuditVal,_xlpm.MacVal&lt;&gt;"",_xlpm.MacVal,_xlpm.CSVVal&lt;&gt;"",_xlpm.CSVVal
)),"")</f>
        <v/>
      </c>
      <c r="G702" s="2" t="str" cm="1">
        <f t="array" ref="G702">IFERROR(_xlfn.LET(
_xlpm.CSVVal,_xlfn.XLOOKUP($A702,CSV!$A:$A,CSV!G:G,""),
_xlpm.MacVal,_xlfn.XLOOKUP($A702,Output_Mac!$A:$A,Output_Mac!F:F,""),
_xlpm.MyAuditVal,_xlfn.XLOOKUP($A702,My_Audit!$A:$A,My_Audit!F:F,""),
_xlfn.IFS(_xlpm.MyAuditVal&lt;&gt;"",_xlpm.MyAuditVal,_xlpm.MacVal&lt;&gt;"",_xlpm.MacVal,_xlpm.CSVVal&lt;&gt;"",PROPER(_xlpm.CSVVal)
)),"")</f>
        <v/>
      </c>
      <c r="H702" s="2" t="str" cm="1">
        <f t="array" ref="H702">IFERROR(_xlfn.LET(
_xlpm.CSVVal,_xlfn.XLOOKUP($A702,CSV!$A:$A,CSV!H:H,""),
_xlpm.MacVal,_xlfn.XLOOKUP($A702,Output_Mac!$A:$A,Output_Mac!H:H,""),
_xlpm.MyAuditVal,_xlfn.XLOOKUP($A702,My_Audit!$A:$A,My_Audit!G:G,""),
_xlfn.IFS(_xlpm.MyAuditVal&lt;&gt;"",_xlpm.MyAuditVal,_xlpm.MacVal&lt;&gt;"",_xlpm.MacVal,_xlpm.CSVVal&lt;&gt;"",_xlpm.CSVVal
)),"")</f>
        <v/>
      </c>
      <c r="I702" s="2" t="str">
        <f>_xlfn.XLOOKUP(A702,Output_Mac!A:A,Output_Mac!I:I,"")</f>
        <v/>
      </c>
      <c r="J702" s="2" t="str" cm="1">
        <f t="array" ref="J702">IFERROR(_xlfn.LET(
_xlpm.CSVVal,_xlfn.XLOOKUP($A702,CSV!$A:$A,CSV!I:I,""),
_xlpm.MacVal,_xlfn.XLOOKUP($A702,Output_Mac!$A:$A,Output_Mac!J:J,""),
_xlpm.MyAuditVal,_xlfn.XLOOKUP($A702,My_Audit!$A:$A,My_Audit!I:I,""),
_xlfn.IFS(_xlpm.MyAuditVal&lt;&gt;"",UPPER(_xlpm.MyAuditVal),_xlpm.MacVal&lt;&gt;"",_xlpm.MacVal,_xlpm.CSVVal&lt;&gt;"",_xlpm.CSVVal
)),"")</f>
        <v/>
      </c>
      <c r="K702" s="2" t="str" cm="1">
        <f t="array" ref="K702">IFERROR(_xlfn.LET(
_xlpm.CSVVal,_xlfn.XLOOKUP($A702,CSV!$A:$A,CSV!K:K,""),
_xlpm.MacVal,_xlfn.XLOOKUP($A702,Output_Mac!$A:$A,Output_Mac!K:K,""),
_xlpm.MyAuditVal,_xlfn.XLOOKUP($A702,My_Audit!$A:$A,My_Audit!J:J,""),
_xlfn.IFS(_xlpm.MyAuditVal&lt;&gt;"",UPPER(_xlpm.MyAuditVal),_xlpm.MacVal&lt;&gt;"",_xlpm.MacVal,_xlpm.CSVVal&lt;&gt;"",_xlpm.CSVVal
)),"")</f>
        <v/>
      </c>
      <c r="L702" s="2" t="str" cm="1">
        <f t="array" ref="L702">IFERROR(_xlfn.LET(
_xlpm.CSVVal,_xlfn.XLOOKUP($A702,CSV!$A:$A,CSV!P:P,""),
_xlpm.MacVal,_xlfn.XLOOKUP($A702,Output_Mac!$A:$A,Output_Mac!L:L,""),
_xlpm.MyAuditVal,_xlfn.XLOOKUP($A702,My_Audit!$A:$A,My_Audit!K:K,""),
_xlfn.IFS(_xlpm.MyAuditVal&lt;&gt;"",UPPER(_xlpm.MyAuditVal),_xlpm.MacVal&lt;&gt;"",_xlpm.MacVal,_xlpm.CSVVal&lt;&gt;"",_xlpm.CSVVal
)),"")</f>
        <v/>
      </c>
      <c r="M702" s="2" t="str" cm="1">
        <f t="array" ref="M702">IFERROR(_xlfn.LET(
_xlpm.CSVVal,_xlfn.XLOOKUP($A702,CSV!$A:$A,CSV!Q:Q,""),
_xlpm.MacVal,_xlfn.XLOOKUP($A702,Output_Mac!$A:$A,Output_Mac!M:M,""),
_xlpm.MyAuditVal,_xlfn.XLOOKUP($A702,My_Audit!$A:$A,My_Audit!L:L,""),
_xlfn.IFS(_xlpm.MyAuditVal&lt;&gt;"",UPPER(_xlpm.MyAuditVal),_xlpm.MacVal&lt;&gt;"",_xlpm.MacVal,_xlpm.CSVVal&lt;&gt;"",_xlpm.CSVVal
)),"")</f>
        <v/>
      </c>
      <c r="O702" s="2" t="str">
        <f>_xlfn.LET(
    _xlpm.CSVVal, _xlfn.XLOOKUP($A702, CSV!$A:$A, CSV!AF:AF, ""),
    _xlpm.MacVal, _xlfn.XLOOKUP($A702, Output_Mac!$A:$A, Output_Mac!S:S, ""),
    _xlpm.MyAuditVal, _xlfn.XLOOKUP($A702, My_Audit!$A:$A, My_Audit!P:P, ""),
    _xlfn.TEXTJOIN(", ", TRUE, _xlpm.MyAuditVal, _xlpm.MacVal, _xlpm.CSVVal)
)</f>
        <v/>
      </c>
      <c r="P702" s="2" t="str" cm="1">
        <f t="array" ref="P702">IFERROR(_xlfn.LET(
_xlpm.CSVVal,_xlfn.XLOOKUP($A702,CSV!$A:$A,CSV!AG:AG,""),
_xlpm.MacVal,_xlfn.XLOOKUP($A702,Output_Mac!$A:$A,Output_Mac!T:T,""),
_xlpm.MyAuditVal,_xlfn.XLOOKUP($A702,My_Audit!$A:$A,My_Audit!Q:Q,""),
_xlfn.IFS(_xlpm.MyAuditVal&lt;&gt;"",UPPER(_xlpm.MyAuditVal),_xlpm.MacVal&lt;&gt;"",_xlpm.MacVal,_xlpm.CSVVal&lt;&gt;"",_xlpm.CSVVal
)),"No")</f>
        <v>No</v>
      </c>
      <c r="Q702" s="2" t="str" cm="1">
        <f t="array" ref="Q702">IFERROR(_xlfn.LET(
_xlpm.CSVVal,_xlfn.XLOOKUP($A702,CSV!$A:$A,CSV!AH:AH,""),
_xlpm.MacVal,_xlfn.XLOOKUP($A702,Output_Mac!$A:$A,Output_Mac!U:U,""),
_xlpm.MyAuditVal,_xlfn.XLOOKUP($A702,My_Audit!$A:$A,My_Audit!R:R,""),
_xlfn.IFS(_xlpm.MyAuditVal&lt;&gt;"",UPPER(_xlpm.MyAuditVal),_xlpm.MacVal&lt;&gt;"",_xlpm.MacVal,_xlpm.CSVVal&lt;&gt;"",_xlpm.CSVVal
)),"")</f>
        <v/>
      </c>
    </row>
    <row r="703" spans="1:17">
      <c r="A703" s="2" t="str">
        <f>_xlfn.TEXTJOIN("",TRUE,Input!$B$2,ROW(My_Audit!A702))</f>
        <v>XX702</v>
      </c>
      <c r="B703" s="2" t="str">
        <f>_xlfn.TEXTJOIN("-",TRUE,"ITD",Input!$A$2,A703)</f>
        <v>ITD-SHRXXX-XX702</v>
      </c>
      <c r="C703" s="2" t="str" cm="1">
        <f t="array" ref="C703">IFERROR(_xlfn.LET(
_xlpm.CSVVal,_xlfn.XLOOKUP($A703,CSV!$A:$A,CSV!B:B,""),
_xlpm.MacVal,_xlfn.XLOOKUP($A703,Output_Mac!$A:$A,Output_Mac!B:B,""),
_xlpm.MyAuditVal,_xlfn.XLOOKUP($A703,My_Audit!$A:$A,My_Audit!B:B,""),
_xlfn.IFS(_xlpm.MyAuditVal&lt;&gt;"",UPPER(_xlpm.MyAuditVal),_xlpm.MacVal&lt;&gt;"",_xlpm.MacVal,_xlpm.CSVVal&lt;&gt;"",_xlpm.CSVVal
)),"")</f>
        <v/>
      </c>
      <c r="D703" s="2" t="str" cm="1">
        <f t="array" ref="D703">IFERROR(_xlfn.LET(
_xlpm.CSVVal,_xlfn.XLOOKUP($A703,CSV!$A:$A,CSV!D:D,""),
_xlpm.MacVal,_xlfn.XLOOKUP($A703,Output_Mac!$A:$A,Output_Mac!C:C,""),
_xlpm.MyAuditVal,_xlfn.XLOOKUP($A703,My_Audit!$A:$A,My_Audit!C:C,""),
_xlfn.IFS(_xlpm.MyAuditVal&lt;&gt;"",_xlpm.MyAuditVal,_xlpm.MacVal&lt;&gt;"",_xlpm.MacVal,_xlpm.CSVVal&lt;&gt;"",_xlpm.CSVVal
)),"")</f>
        <v/>
      </c>
      <c r="E703" s="2" t="str">
        <f>_xlfn.XLOOKUP(A703,My_Audit!A:A,My_Audit!D:D,"")&amp;""</f>
        <v/>
      </c>
      <c r="F703" s="2" t="str" cm="1">
        <f t="array" ref="F703">IFERROR(_xlfn.LET(
_xlpm.CSVVal,_xlfn.XLOOKUP($A703,CSV!$A:$A,CSV!F:F,""),
_xlpm.MacVal,_xlfn.XLOOKUP($A703,Output_Mac!$A:$A,Output_Mac!E:E,""),
_xlpm.MyAuditVal,_xlfn.XLOOKUP($A703,My_Audit!$A:$A,My_Audit!E:E,""),
_xlfn.IFS(_xlpm.MyAuditVal&lt;&gt;"",_xlpm.MyAuditVal,_xlpm.MacVal&lt;&gt;"",_xlpm.MacVal,_xlpm.CSVVal&lt;&gt;"",_xlpm.CSVVal
)),"")</f>
        <v/>
      </c>
      <c r="G703" s="2" t="str" cm="1">
        <f t="array" ref="G703">IFERROR(_xlfn.LET(
_xlpm.CSVVal,_xlfn.XLOOKUP($A703,CSV!$A:$A,CSV!G:G,""),
_xlpm.MacVal,_xlfn.XLOOKUP($A703,Output_Mac!$A:$A,Output_Mac!F:F,""),
_xlpm.MyAuditVal,_xlfn.XLOOKUP($A703,My_Audit!$A:$A,My_Audit!F:F,""),
_xlfn.IFS(_xlpm.MyAuditVal&lt;&gt;"",_xlpm.MyAuditVal,_xlpm.MacVal&lt;&gt;"",_xlpm.MacVal,_xlpm.CSVVal&lt;&gt;"",PROPER(_xlpm.CSVVal)
)),"")</f>
        <v/>
      </c>
      <c r="H703" s="2" t="str" cm="1">
        <f t="array" ref="H703">IFERROR(_xlfn.LET(
_xlpm.CSVVal,_xlfn.XLOOKUP($A703,CSV!$A:$A,CSV!H:H,""),
_xlpm.MacVal,_xlfn.XLOOKUP($A703,Output_Mac!$A:$A,Output_Mac!H:H,""),
_xlpm.MyAuditVal,_xlfn.XLOOKUP($A703,My_Audit!$A:$A,My_Audit!G:G,""),
_xlfn.IFS(_xlpm.MyAuditVal&lt;&gt;"",_xlpm.MyAuditVal,_xlpm.MacVal&lt;&gt;"",_xlpm.MacVal,_xlpm.CSVVal&lt;&gt;"",_xlpm.CSVVal
)),"")</f>
        <v/>
      </c>
      <c r="I703" s="2" t="str">
        <f>_xlfn.XLOOKUP(A703,Output_Mac!A:A,Output_Mac!I:I,"")</f>
        <v/>
      </c>
      <c r="J703" s="2" t="str" cm="1">
        <f t="array" ref="J703">IFERROR(_xlfn.LET(
_xlpm.CSVVal,_xlfn.XLOOKUP($A703,CSV!$A:$A,CSV!I:I,""),
_xlpm.MacVal,_xlfn.XLOOKUP($A703,Output_Mac!$A:$A,Output_Mac!J:J,""),
_xlpm.MyAuditVal,_xlfn.XLOOKUP($A703,My_Audit!$A:$A,My_Audit!I:I,""),
_xlfn.IFS(_xlpm.MyAuditVal&lt;&gt;"",UPPER(_xlpm.MyAuditVal),_xlpm.MacVal&lt;&gt;"",_xlpm.MacVal,_xlpm.CSVVal&lt;&gt;"",_xlpm.CSVVal
)),"")</f>
        <v/>
      </c>
      <c r="K703" s="2" t="str" cm="1">
        <f t="array" ref="K703">IFERROR(_xlfn.LET(
_xlpm.CSVVal,_xlfn.XLOOKUP($A703,CSV!$A:$A,CSV!K:K,""),
_xlpm.MacVal,_xlfn.XLOOKUP($A703,Output_Mac!$A:$A,Output_Mac!K:K,""),
_xlpm.MyAuditVal,_xlfn.XLOOKUP($A703,My_Audit!$A:$A,My_Audit!J:J,""),
_xlfn.IFS(_xlpm.MyAuditVal&lt;&gt;"",UPPER(_xlpm.MyAuditVal),_xlpm.MacVal&lt;&gt;"",_xlpm.MacVal,_xlpm.CSVVal&lt;&gt;"",_xlpm.CSVVal
)),"")</f>
        <v/>
      </c>
      <c r="L703" s="2" t="str" cm="1">
        <f t="array" ref="L703">IFERROR(_xlfn.LET(
_xlpm.CSVVal,_xlfn.XLOOKUP($A703,CSV!$A:$A,CSV!P:P,""),
_xlpm.MacVal,_xlfn.XLOOKUP($A703,Output_Mac!$A:$A,Output_Mac!L:L,""),
_xlpm.MyAuditVal,_xlfn.XLOOKUP($A703,My_Audit!$A:$A,My_Audit!K:K,""),
_xlfn.IFS(_xlpm.MyAuditVal&lt;&gt;"",UPPER(_xlpm.MyAuditVal),_xlpm.MacVal&lt;&gt;"",_xlpm.MacVal,_xlpm.CSVVal&lt;&gt;"",_xlpm.CSVVal
)),"")</f>
        <v/>
      </c>
      <c r="M703" s="2" t="str" cm="1">
        <f t="array" ref="M703">IFERROR(_xlfn.LET(
_xlpm.CSVVal,_xlfn.XLOOKUP($A703,CSV!$A:$A,CSV!Q:Q,""),
_xlpm.MacVal,_xlfn.XLOOKUP($A703,Output_Mac!$A:$A,Output_Mac!M:M,""),
_xlpm.MyAuditVal,_xlfn.XLOOKUP($A703,My_Audit!$A:$A,My_Audit!L:L,""),
_xlfn.IFS(_xlpm.MyAuditVal&lt;&gt;"",UPPER(_xlpm.MyAuditVal),_xlpm.MacVal&lt;&gt;"",_xlpm.MacVal,_xlpm.CSVVal&lt;&gt;"",_xlpm.CSVVal
)),"")</f>
        <v/>
      </c>
      <c r="O703" s="2" t="str">
        <f>_xlfn.LET(
    _xlpm.CSVVal, _xlfn.XLOOKUP($A703, CSV!$A:$A, CSV!AF:AF, ""),
    _xlpm.MacVal, _xlfn.XLOOKUP($A703, Output_Mac!$A:$A, Output_Mac!S:S, ""),
    _xlpm.MyAuditVal, _xlfn.XLOOKUP($A703, My_Audit!$A:$A, My_Audit!P:P, ""),
    _xlfn.TEXTJOIN(", ", TRUE, _xlpm.MyAuditVal, _xlpm.MacVal, _xlpm.CSVVal)
)</f>
        <v/>
      </c>
      <c r="P703" s="2" t="str" cm="1">
        <f t="array" ref="P703">IFERROR(_xlfn.LET(
_xlpm.CSVVal,_xlfn.XLOOKUP($A703,CSV!$A:$A,CSV!AG:AG,""),
_xlpm.MacVal,_xlfn.XLOOKUP($A703,Output_Mac!$A:$A,Output_Mac!T:T,""),
_xlpm.MyAuditVal,_xlfn.XLOOKUP($A703,My_Audit!$A:$A,My_Audit!Q:Q,""),
_xlfn.IFS(_xlpm.MyAuditVal&lt;&gt;"",UPPER(_xlpm.MyAuditVal),_xlpm.MacVal&lt;&gt;"",_xlpm.MacVal,_xlpm.CSVVal&lt;&gt;"",_xlpm.CSVVal
)),"No")</f>
        <v>No</v>
      </c>
      <c r="Q703" s="2" t="str" cm="1">
        <f t="array" ref="Q703">IFERROR(_xlfn.LET(
_xlpm.CSVVal,_xlfn.XLOOKUP($A703,CSV!$A:$A,CSV!AH:AH,""),
_xlpm.MacVal,_xlfn.XLOOKUP($A703,Output_Mac!$A:$A,Output_Mac!U:U,""),
_xlpm.MyAuditVal,_xlfn.XLOOKUP($A703,My_Audit!$A:$A,My_Audit!R:R,""),
_xlfn.IFS(_xlpm.MyAuditVal&lt;&gt;"",UPPER(_xlpm.MyAuditVal),_xlpm.MacVal&lt;&gt;"",_xlpm.MacVal,_xlpm.CSVVal&lt;&gt;"",_xlpm.CSVVal
)),"")</f>
        <v/>
      </c>
    </row>
    <row r="704" spans="1:17">
      <c r="A704" s="2" t="str">
        <f>_xlfn.TEXTJOIN("",TRUE,Input!$B$2,ROW(My_Audit!A703))</f>
        <v>XX703</v>
      </c>
      <c r="B704" s="2" t="str">
        <f>_xlfn.TEXTJOIN("-",TRUE,"ITD",Input!$A$2,A704)</f>
        <v>ITD-SHRXXX-XX703</v>
      </c>
      <c r="C704" s="2" t="str" cm="1">
        <f t="array" ref="C704">IFERROR(_xlfn.LET(
_xlpm.CSVVal,_xlfn.XLOOKUP($A704,CSV!$A:$A,CSV!B:B,""),
_xlpm.MacVal,_xlfn.XLOOKUP($A704,Output_Mac!$A:$A,Output_Mac!B:B,""),
_xlpm.MyAuditVal,_xlfn.XLOOKUP($A704,My_Audit!$A:$A,My_Audit!B:B,""),
_xlfn.IFS(_xlpm.MyAuditVal&lt;&gt;"",UPPER(_xlpm.MyAuditVal),_xlpm.MacVal&lt;&gt;"",_xlpm.MacVal,_xlpm.CSVVal&lt;&gt;"",_xlpm.CSVVal
)),"")</f>
        <v/>
      </c>
      <c r="D704" s="2" t="str" cm="1">
        <f t="array" ref="D704">IFERROR(_xlfn.LET(
_xlpm.CSVVal,_xlfn.XLOOKUP($A704,CSV!$A:$A,CSV!D:D,""),
_xlpm.MacVal,_xlfn.XLOOKUP($A704,Output_Mac!$A:$A,Output_Mac!C:C,""),
_xlpm.MyAuditVal,_xlfn.XLOOKUP($A704,My_Audit!$A:$A,My_Audit!C:C,""),
_xlfn.IFS(_xlpm.MyAuditVal&lt;&gt;"",_xlpm.MyAuditVal,_xlpm.MacVal&lt;&gt;"",_xlpm.MacVal,_xlpm.CSVVal&lt;&gt;"",_xlpm.CSVVal
)),"")</f>
        <v/>
      </c>
      <c r="E704" s="2" t="str">
        <f>_xlfn.XLOOKUP(A704,My_Audit!A:A,My_Audit!D:D,"")&amp;""</f>
        <v/>
      </c>
      <c r="F704" s="2" t="str" cm="1">
        <f t="array" ref="F704">IFERROR(_xlfn.LET(
_xlpm.CSVVal,_xlfn.XLOOKUP($A704,CSV!$A:$A,CSV!F:F,""),
_xlpm.MacVal,_xlfn.XLOOKUP($A704,Output_Mac!$A:$A,Output_Mac!E:E,""),
_xlpm.MyAuditVal,_xlfn.XLOOKUP($A704,My_Audit!$A:$A,My_Audit!E:E,""),
_xlfn.IFS(_xlpm.MyAuditVal&lt;&gt;"",_xlpm.MyAuditVal,_xlpm.MacVal&lt;&gt;"",_xlpm.MacVal,_xlpm.CSVVal&lt;&gt;"",_xlpm.CSVVal
)),"")</f>
        <v/>
      </c>
      <c r="G704" s="2" t="str" cm="1">
        <f t="array" ref="G704">IFERROR(_xlfn.LET(
_xlpm.CSVVal,_xlfn.XLOOKUP($A704,CSV!$A:$A,CSV!G:G,""),
_xlpm.MacVal,_xlfn.XLOOKUP($A704,Output_Mac!$A:$A,Output_Mac!F:F,""),
_xlpm.MyAuditVal,_xlfn.XLOOKUP($A704,My_Audit!$A:$A,My_Audit!F:F,""),
_xlfn.IFS(_xlpm.MyAuditVal&lt;&gt;"",_xlpm.MyAuditVal,_xlpm.MacVal&lt;&gt;"",_xlpm.MacVal,_xlpm.CSVVal&lt;&gt;"",PROPER(_xlpm.CSVVal)
)),"")</f>
        <v/>
      </c>
      <c r="H704" s="2" t="str" cm="1">
        <f t="array" ref="H704">IFERROR(_xlfn.LET(
_xlpm.CSVVal,_xlfn.XLOOKUP($A704,CSV!$A:$A,CSV!H:H,""),
_xlpm.MacVal,_xlfn.XLOOKUP($A704,Output_Mac!$A:$A,Output_Mac!H:H,""),
_xlpm.MyAuditVal,_xlfn.XLOOKUP($A704,My_Audit!$A:$A,My_Audit!G:G,""),
_xlfn.IFS(_xlpm.MyAuditVal&lt;&gt;"",_xlpm.MyAuditVal,_xlpm.MacVal&lt;&gt;"",_xlpm.MacVal,_xlpm.CSVVal&lt;&gt;"",_xlpm.CSVVal
)),"")</f>
        <v/>
      </c>
      <c r="I704" s="2" t="str">
        <f>_xlfn.XLOOKUP(A704,Output_Mac!A:A,Output_Mac!I:I,"")</f>
        <v/>
      </c>
      <c r="J704" s="2" t="str" cm="1">
        <f t="array" ref="J704">IFERROR(_xlfn.LET(
_xlpm.CSVVal,_xlfn.XLOOKUP($A704,CSV!$A:$A,CSV!I:I,""),
_xlpm.MacVal,_xlfn.XLOOKUP($A704,Output_Mac!$A:$A,Output_Mac!J:J,""),
_xlpm.MyAuditVal,_xlfn.XLOOKUP($A704,My_Audit!$A:$A,My_Audit!I:I,""),
_xlfn.IFS(_xlpm.MyAuditVal&lt;&gt;"",UPPER(_xlpm.MyAuditVal),_xlpm.MacVal&lt;&gt;"",_xlpm.MacVal,_xlpm.CSVVal&lt;&gt;"",_xlpm.CSVVal
)),"")</f>
        <v/>
      </c>
      <c r="K704" s="2" t="str" cm="1">
        <f t="array" ref="K704">IFERROR(_xlfn.LET(
_xlpm.CSVVal,_xlfn.XLOOKUP($A704,CSV!$A:$A,CSV!K:K,""),
_xlpm.MacVal,_xlfn.XLOOKUP($A704,Output_Mac!$A:$A,Output_Mac!K:K,""),
_xlpm.MyAuditVal,_xlfn.XLOOKUP($A704,My_Audit!$A:$A,My_Audit!J:J,""),
_xlfn.IFS(_xlpm.MyAuditVal&lt;&gt;"",UPPER(_xlpm.MyAuditVal),_xlpm.MacVal&lt;&gt;"",_xlpm.MacVal,_xlpm.CSVVal&lt;&gt;"",_xlpm.CSVVal
)),"")</f>
        <v/>
      </c>
      <c r="L704" s="2" t="str" cm="1">
        <f t="array" ref="L704">IFERROR(_xlfn.LET(
_xlpm.CSVVal,_xlfn.XLOOKUP($A704,CSV!$A:$A,CSV!P:P,""),
_xlpm.MacVal,_xlfn.XLOOKUP($A704,Output_Mac!$A:$A,Output_Mac!L:L,""),
_xlpm.MyAuditVal,_xlfn.XLOOKUP($A704,My_Audit!$A:$A,My_Audit!K:K,""),
_xlfn.IFS(_xlpm.MyAuditVal&lt;&gt;"",UPPER(_xlpm.MyAuditVal),_xlpm.MacVal&lt;&gt;"",_xlpm.MacVal,_xlpm.CSVVal&lt;&gt;"",_xlpm.CSVVal
)),"")</f>
        <v/>
      </c>
      <c r="M704" s="2" t="str" cm="1">
        <f t="array" ref="M704">IFERROR(_xlfn.LET(
_xlpm.CSVVal,_xlfn.XLOOKUP($A704,CSV!$A:$A,CSV!Q:Q,""),
_xlpm.MacVal,_xlfn.XLOOKUP($A704,Output_Mac!$A:$A,Output_Mac!M:M,""),
_xlpm.MyAuditVal,_xlfn.XLOOKUP($A704,My_Audit!$A:$A,My_Audit!L:L,""),
_xlfn.IFS(_xlpm.MyAuditVal&lt;&gt;"",UPPER(_xlpm.MyAuditVal),_xlpm.MacVal&lt;&gt;"",_xlpm.MacVal,_xlpm.CSVVal&lt;&gt;"",_xlpm.CSVVal
)),"")</f>
        <v/>
      </c>
      <c r="O704" s="2" t="str">
        <f>_xlfn.LET(
    _xlpm.CSVVal, _xlfn.XLOOKUP($A704, CSV!$A:$A, CSV!AF:AF, ""),
    _xlpm.MacVal, _xlfn.XLOOKUP($A704, Output_Mac!$A:$A, Output_Mac!S:S, ""),
    _xlpm.MyAuditVal, _xlfn.XLOOKUP($A704, My_Audit!$A:$A, My_Audit!P:P, ""),
    _xlfn.TEXTJOIN(", ", TRUE, _xlpm.MyAuditVal, _xlpm.MacVal, _xlpm.CSVVal)
)</f>
        <v/>
      </c>
      <c r="P704" s="2" t="str" cm="1">
        <f t="array" ref="P704">IFERROR(_xlfn.LET(
_xlpm.CSVVal,_xlfn.XLOOKUP($A704,CSV!$A:$A,CSV!AG:AG,""),
_xlpm.MacVal,_xlfn.XLOOKUP($A704,Output_Mac!$A:$A,Output_Mac!T:T,""),
_xlpm.MyAuditVal,_xlfn.XLOOKUP($A704,My_Audit!$A:$A,My_Audit!Q:Q,""),
_xlfn.IFS(_xlpm.MyAuditVal&lt;&gt;"",UPPER(_xlpm.MyAuditVal),_xlpm.MacVal&lt;&gt;"",_xlpm.MacVal,_xlpm.CSVVal&lt;&gt;"",_xlpm.CSVVal
)),"No")</f>
        <v>No</v>
      </c>
      <c r="Q704" s="2" t="str" cm="1">
        <f t="array" ref="Q704">IFERROR(_xlfn.LET(
_xlpm.CSVVal,_xlfn.XLOOKUP($A704,CSV!$A:$A,CSV!AH:AH,""),
_xlpm.MacVal,_xlfn.XLOOKUP($A704,Output_Mac!$A:$A,Output_Mac!U:U,""),
_xlpm.MyAuditVal,_xlfn.XLOOKUP($A704,My_Audit!$A:$A,My_Audit!R:R,""),
_xlfn.IFS(_xlpm.MyAuditVal&lt;&gt;"",UPPER(_xlpm.MyAuditVal),_xlpm.MacVal&lt;&gt;"",_xlpm.MacVal,_xlpm.CSVVal&lt;&gt;"",_xlpm.CSVVal
)),"")</f>
        <v/>
      </c>
    </row>
    <row r="705" spans="1:17">
      <c r="A705" s="2" t="str">
        <f>_xlfn.TEXTJOIN("",TRUE,Input!$B$2,ROW(My_Audit!A704))</f>
        <v>XX704</v>
      </c>
      <c r="B705" s="2" t="str">
        <f>_xlfn.TEXTJOIN("-",TRUE,"ITD",Input!$A$2,A705)</f>
        <v>ITD-SHRXXX-XX704</v>
      </c>
      <c r="C705" s="2" t="str" cm="1">
        <f t="array" ref="C705">IFERROR(_xlfn.LET(
_xlpm.CSVVal,_xlfn.XLOOKUP($A705,CSV!$A:$A,CSV!B:B,""),
_xlpm.MacVal,_xlfn.XLOOKUP($A705,Output_Mac!$A:$A,Output_Mac!B:B,""),
_xlpm.MyAuditVal,_xlfn.XLOOKUP($A705,My_Audit!$A:$A,My_Audit!B:B,""),
_xlfn.IFS(_xlpm.MyAuditVal&lt;&gt;"",UPPER(_xlpm.MyAuditVal),_xlpm.MacVal&lt;&gt;"",_xlpm.MacVal,_xlpm.CSVVal&lt;&gt;"",_xlpm.CSVVal
)),"")</f>
        <v/>
      </c>
      <c r="D705" s="2" t="str" cm="1">
        <f t="array" ref="D705">IFERROR(_xlfn.LET(
_xlpm.CSVVal,_xlfn.XLOOKUP($A705,CSV!$A:$A,CSV!D:D,""),
_xlpm.MacVal,_xlfn.XLOOKUP($A705,Output_Mac!$A:$A,Output_Mac!C:C,""),
_xlpm.MyAuditVal,_xlfn.XLOOKUP($A705,My_Audit!$A:$A,My_Audit!C:C,""),
_xlfn.IFS(_xlpm.MyAuditVal&lt;&gt;"",_xlpm.MyAuditVal,_xlpm.MacVal&lt;&gt;"",_xlpm.MacVal,_xlpm.CSVVal&lt;&gt;"",_xlpm.CSVVal
)),"")</f>
        <v/>
      </c>
      <c r="E705" s="2" t="str">
        <f>_xlfn.XLOOKUP(A705,My_Audit!A:A,My_Audit!D:D,"")&amp;""</f>
        <v/>
      </c>
      <c r="F705" s="2" t="str" cm="1">
        <f t="array" ref="F705">IFERROR(_xlfn.LET(
_xlpm.CSVVal,_xlfn.XLOOKUP($A705,CSV!$A:$A,CSV!F:F,""),
_xlpm.MacVal,_xlfn.XLOOKUP($A705,Output_Mac!$A:$A,Output_Mac!E:E,""),
_xlpm.MyAuditVal,_xlfn.XLOOKUP($A705,My_Audit!$A:$A,My_Audit!E:E,""),
_xlfn.IFS(_xlpm.MyAuditVal&lt;&gt;"",_xlpm.MyAuditVal,_xlpm.MacVal&lt;&gt;"",_xlpm.MacVal,_xlpm.CSVVal&lt;&gt;"",_xlpm.CSVVal
)),"")</f>
        <v/>
      </c>
      <c r="G705" s="2" t="str" cm="1">
        <f t="array" ref="G705">IFERROR(_xlfn.LET(
_xlpm.CSVVal,_xlfn.XLOOKUP($A705,CSV!$A:$A,CSV!G:G,""),
_xlpm.MacVal,_xlfn.XLOOKUP($A705,Output_Mac!$A:$A,Output_Mac!F:F,""),
_xlpm.MyAuditVal,_xlfn.XLOOKUP($A705,My_Audit!$A:$A,My_Audit!F:F,""),
_xlfn.IFS(_xlpm.MyAuditVal&lt;&gt;"",_xlpm.MyAuditVal,_xlpm.MacVal&lt;&gt;"",_xlpm.MacVal,_xlpm.CSVVal&lt;&gt;"",PROPER(_xlpm.CSVVal)
)),"")</f>
        <v/>
      </c>
      <c r="H705" s="2" t="str" cm="1">
        <f t="array" ref="H705">IFERROR(_xlfn.LET(
_xlpm.CSVVal,_xlfn.XLOOKUP($A705,CSV!$A:$A,CSV!H:H,""),
_xlpm.MacVal,_xlfn.XLOOKUP($A705,Output_Mac!$A:$A,Output_Mac!H:H,""),
_xlpm.MyAuditVal,_xlfn.XLOOKUP($A705,My_Audit!$A:$A,My_Audit!G:G,""),
_xlfn.IFS(_xlpm.MyAuditVal&lt;&gt;"",_xlpm.MyAuditVal,_xlpm.MacVal&lt;&gt;"",_xlpm.MacVal,_xlpm.CSVVal&lt;&gt;"",_xlpm.CSVVal
)),"")</f>
        <v/>
      </c>
      <c r="I705" s="2" t="str">
        <f>_xlfn.XLOOKUP(A705,Output_Mac!A:A,Output_Mac!I:I,"")</f>
        <v/>
      </c>
      <c r="J705" s="2" t="str" cm="1">
        <f t="array" ref="J705">IFERROR(_xlfn.LET(
_xlpm.CSVVal,_xlfn.XLOOKUP($A705,CSV!$A:$A,CSV!I:I,""),
_xlpm.MacVal,_xlfn.XLOOKUP($A705,Output_Mac!$A:$A,Output_Mac!J:J,""),
_xlpm.MyAuditVal,_xlfn.XLOOKUP($A705,My_Audit!$A:$A,My_Audit!I:I,""),
_xlfn.IFS(_xlpm.MyAuditVal&lt;&gt;"",UPPER(_xlpm.MyAuditVal),_xlpm.MacVal&lt;&gt;"",_xlpm.MacVal,_xlpm.CSVVal&lt;&gt;"",_xlpm.CSVVal
)),"")</f>
        <v/>
      </c>
      <c r="K705" s="2" t="str" cm="1">
        <f t="array" ref="K705">IFERROR(_xlfn.LET(
_xlpm.CSVVal,_xlfn.XLOOKUP($A705,CSV!$A:$A,CSV!K:K,""),
_xlpm.MacVal,_xlfn.XLOOKUP($A705,Output_Mac!$A:$A,Output_Mac!K:K,""),
_xlpm.MyAuditVal,_xlfn.XLOOKUP($A705,My_Audit!$A:$A,My_Audit!J:J,""),
_xlfn.IFS(_xlpm.MyAuditVal&lt;&gt;"",UPPER(_xlpm.MyAuditVal),_xlpm.MacVal&lt;&gt;"",_xlpm.MacVal,_xlpm.CSVVal&lt;&gt;"",_xlpm.CSVVal
)),"")</f>
        <v/>
      </c>
      <c r="L705" s="2" t="str" cm="1">
        <f t="array" ref="L705">IFERROR(_xlfn.LET(
_xlpm.CSVVal,_xlfn.XLOOKUP($A705,CSV!$A:$A,CSV!P:P,""),
_xlpm.MacVal,_xlfn.XLOOKUP($A705,Output_Mac!$A:$A,Output_Mac!L:L,""),
_xlpm.MyAuditVal,_xlfn.XLOOKUP($A705,My_Audit!$A:$A,My_Audit!K:K,""),
_xlfn.IFS(_xlpm.MyAuditVal&lt;&gt;"",UPPER(_xlpm.MyAuditVal),_xlpm.MacVal&lt;&gt;"",_xlpm.MacVal,_xlpm.CSVVal&lt;&gt;"",_xlpm.CSVVal
)),"")</f>
        <v/>
      </c>
      <c r="M705" s="2" t="str" cm="1">
        <f t="array" ref="M705">IFERROR(_xlfn.LET(
_xlpm.CSVVal,_xlfn.XLOOKUP($A705,CSV!$A:$A,CSV!Q:Q,""),
_xlpm.MacVal,_xlfn.XLOOKUP($A705,Output_Mac!$A:$A,Output_Mac!M:M,""),
_xlpm.MyAuditVal,_xlfn.XLOOKUP($A705,My_Audit!$A:$A,My_Audit!L:L,""),
_xlfn.IFS(_xlpm.MyAuditVal&lt;&gt;"",UPPER(_xlpm.MyAuditVal),_xlpm.MacVal&lt;&gt;"",_xlpm.MacVal,_xlpm.CSVVal&lt;&gt;"",_xlpm.CSVVal
)),"")</f>
        <v/>
      </c>
      <c r="O705" s="2" t="str">
        <f>_xlfn.LET(
    _xlpm.CSVVal, _xlfn.XLOOKUP($A705, CSV!$A:$A, CSV!AF:AF, ""),
    _xlpm.MacVal, _xlfn.XLOOKUP($A705, Output_Mac!$A:$A, Output_Mac!S:S, ""),
    _xlpm.MyAuditVal, _xlfn.XLOOKUP($A705, My_Audit!$A:$A, My_Audit!P:P, ""),
    _xlfn.TEXTJOIN(", ", TRUE, _xlpm.MyAuditVal, _xlpm.MacVal, _xlpm.CSVVal)
)</f>
        <v/>
      </c>
      <c r="P705" s="2" t="str" cm="1">
        <f t="array" ref="P705">IFERROR(_xlfn.LET(
_xlpm.CSVVal,_xlfn.XLOOKUP($A705,CSV!$A:$A,CSV!AG:AG,""),
_xlpm.MacVal,_xlfn.XLOOKUP($A705,Output_Mac!$A:$A,Output_Mac!T:T,""),
_xlpm.MyAuditVal,_xlfn.XLOOKUP($A705,My_Audit!$A:$A,My_Audit!Q:Q,""),
_xlfn.IFS(_xlpm.MyAuditVal&lt;&gt;"",UPPER(_xlpm.MyAuditVal),_xlpm.MacVal&lt;&gt;"",_xlpm.MacVal,_xlpm.CSVVal&lt;&gt;"",_xlpm.CSVVal
)),"No")</f>
        <v>No</v>
      </c>
      <c r="Q705" s="2" t="str" cm="1">
        <f t="array" ref="Q705">IFERROR(_xlfn.LET(
_xlpm.CSVVal,_xlfn.XLOOKUP($A705,CSV!$A:$A,CSV!AH:AH,""),
_xlpm.MacVal,_xlfn.XLOOKUP($A705,Output_Mac!$A:$A,Output_Mac!U:U,""),
_xlpm.MyAuditVal,_xlfn.XLOOKUP($A705,My_Audit!$A:$A,My_Audit!R:R,""),
_xlfn.IFS(_xlpm.MyAuditVal&lt;&gt;"",UPPER(_xlpm.MyAuditVal),_xlpm.MacVal&lt;&gt;"",_xlpm.MacVal,_xlpm.CSVVal&lt;&gt;"",_xlpm.CSVVal
)),"")</f>
        <v/>
      </c>
    </row>
    <row r="706" spans="1:17">
      <c r="A706" s="2" t="str">
        <f>_xlfn.TEXTJOIN("",TRUE,Input!$B$2,ROW(My_Audit!A705))</f>
        <v>XX705</v>
      </c>
      <c r="B706" s="2" t="str">
        <f>_xlfn.TEXTJOIN("-",TRUE,"ITD",Input!$A$2,A706)</f>
        <v>ITD-SHRXXX-XX705</v>
      </c>
      <c r="C706" s="2" t="str" cm="1">
        <f t="array" ref="C706">IFERROR(_xlfn.LET(
_xlpm.CSVVal,_xlfn.XLOOKUP($A706,CSV!$A:$A,CSV!B:B,""),
_xlpm.MacVal,_xlfn.XLOOKUP($A706,Output_Mac!$A:$A,Output_Mac!B:B,""),
_xlpm.MyAuditVal,_xlfn.XLOOKUP($A706,My_Audit!$A:$A,My_Audit!B:B,""),
_xlfn.IFS(_xlpm.MyAuditVal&lt;&gt;"",UPPER(_xlpm.MyAuditVal),_xlpm.MacVal&lt;&gt;"",_xlpm.MacVal,_xlpm.CSVVal&lt;&gt;"",_xlpm.CSVVal
)),"")</f>
        <v/>
      </c>
      <c r="D706" s="2" t="str" cm="1">
        <f t="array" ref="D706">IFERROR(_xlfn.LET(
_xlpm.CSVVal,_xlfn.XLOOKUP($A706,CSV!$A:$A,CSV!D:D,""),
_xlpm.MacVal,_xlfn.XLOOKUP($A706,Output_Mac!$A:$A,Output_Mac!C:C,""),
_xlpm.MyAuditVal,_xlfn.XLOOKUP($A706,My_Audit!$A:$A,My_Audit!C:C,""),
_xlfn.IFS(_xlpm.MyAuditVal&lt;&gt;"",_xlpm.MyAuditVal,_xlpm.MacVal&lt;&gt;"",_xlpm.MacVal,_xlpm.CSVVal&lt;&gt;"",_xlpm.CSVVal
)),"")</f>
        <v/>
      </c>
      <c r="E706" s="2" t="str">
        <f>_xlfn.XLOOKUP(A706,My_Audit!A:A,My_Audit!D:D,"")&amp;""</f>
        <v/>
      </c>
      <c r="F706" s="2" t="str" cm="1">
        <f t="array" ref="F706">IFERROR(_xlfn.LET(
_xlpm.CSVVal,_xlfn.XLOOKUP($A706,CSV!$A:$A,CSV!F:F,""),
_xlpm.MacVal,_xlfn.XLOOKUP($A706,Output_Mac!$A:$A,Output_Mac!E:E,""),
_xlpm.MyAuditVal,_xlfn.XLOOKUP($A706,My_Audit!$A:$A,My_Audit!E:E,""),
_xlfn.IFS(_xlpm.MyAuditVal&lt;&gt;"",_xlpm.MyAuditVal,_xlpm.MacVal&lt;&gt;"",_xlpm.MacVal,_xlpm.CSVVal&lt;&gt;"",_xlpm.CSVVal
)),"")</f>
        <v/>
      </c>
      <c r="G706" s="2" t="str" cm="1">
        <f t="array" ref="G706">IFERROR(_xlfn.LET(
_xlpm.CSVVal,_xlfn.XLOOKUP($A706,CSV!$A:$A,CSV!G:G,""),
_xlpm.MacVal,_xlfn.XLOOKUP($A706,Output_Mac!$A:$A,Output_Mac!F:F,""),
_xlpm.MyAuditVal,_xlfn.XLOOKUP($A706,My_Audit!$A:$A,My_Audit!F:F,""),
_xlfn.IFS(_xlpm.MyAuditVal&lt;&gt;"",_xlpm.MyAuditVal,_xlpm.MacVal&lt;&gt;"",_xlpm.MacVal,_xlpm.CSVVal&lt;&gt;"",PROPER(_xlpm.CSVVal)
)),"")</f>
        <v/>
      </c>
      <c r="H706" s="2" t="str" cm="1">
        <f t="array" ref="H706">IFERROR(_xlfn.LET(
_xlpm.CSVVal,_xlfn.XLOOKUP($A706,CSV!$A:$A,CSV!H:H,""),
_xlpm.MacVal,_xlfn.XLOOKUP($A706,Output_Mac!$A:$A,Output_Mac!H:H,""),
_xlpm.MyAuditVal,_xlfn.XLOOKUP($A706,My_Audit!$A:$A,My_Audit!G:G,""),
_xlfn.IFS(_xlpm.MyAuditVal&lt;&gt;"",_xlpm.MyAuditVal,_xlpm.MacVal&lt;&gt;"",_xlpm.MacVal,_xlpm.CSVVal&lt;&gt;"",_xlpm.CSVVal
)),"")</f>
        <v/>
      </c>
      <c r="I706" s="2" t="str">
        <f>_xlfn.XLOOKUP(A706,Output_Mac!A:A,Output_Mac!I:I,"")</f>
        <v/>
      </c>
      <c r="J706" s="2" t="str" cm="1">
        <f t="array" ref="J706">IFERROR(_xlfn.LET(
_xlpm.CSVVal,_xlfn.XLOOKUP($A706,CSV!$A:$A,CSV!I:I,""),
_xlpm.MacVal,_xlfn.XLOOKUP($A706,Output_Mac!$A:$A,Output_Mac!J:J,""),
_xlpm.MyAuditVal,_xlfn.XLOOKUP($A706,My_Audit!$A:$A,My_Audit!I:I,""),
_xlfn.IFS(_xlpm.MyAuditVal&lt;&gt;"",UPPER(_xlpm.MyAuditVal),_xlpm.MacVal&lt;&gt;"",_xlpm.MacVal,_xlpm.CSVVal&lt;&gt;"",_xlpm.CSVVal
)),"")</f>
        <v/>
      </c>
      <c r="K706" s="2" t="str" cm="1">
        <f t="array" ref="K706">IFERROR(_xlfn.LET(
_xlpm.CSVVal,_xlfn.XLOOKUP($A706,CSV!$A:$A,CSV!K:K,""),
_xlpm.MacVal,_xlfn.XLOOKUP($A706,Output_Mac!$A:$A,Output_Mac!K:K,""),
_xlpm.MyAuditVal,_xlfn.XLOOKUP($A706,My_Audit!$A:$A,My_Audit!J:J,""),
_xlfn.IFS(_xlpm.MyAuditVal&lt;&gt;"",UPPER(_xlpm.MyAuditVal),_xlpm.MacVal&lt;&gt;"",_xlpm.MacVal,_xlpm.CSVVal&lt;&gt;"",_xlpm.CSVVal
)),"")</f>
        <v/>
      </c>
      <c r="L706" s="2" t="str" cm="1">
        <f t="array" ref="L706">IFERROR(_xlfn.LET(
_xlpm.CSVVal,_xlfn.XLOOKUP($A706,CSV!$A:$A,CSV!P:P,""),
_xlpm.MacVal,_xlfn.XLOOKUP($A706,Output_Mac!$A:$A,Output_Mac!L:L,""),
_xlpm.MyAuditVal,_xlfn.XLOOKUP($A706,My_Audit!$A:$A,My_Audit!K:K,""),
_xlfn.IFS(_xlpm.MyAuditVal&lt;&gt;"",UPPER(_xlpm.MyAuditVal),_xlpm.MacVal&lt;&gt;"",_xlpm.MacVal,_xlpm.CSVVal&lt;&gt;"",_xlpm.CSVVal
)),"")</f>
        <v/>
      </c>
      <c r="M706" s="2" t="str" cm="1">
        <f t="array" ref="M706">IFERROR(_xlfn.LET(
_xlpm.CSVVal,_xlfn.XLOOKUP($A706,CSV!$A:$A,CSV!Q:Q,""),
_xlpm.MacVal,_xlfn.XLOOKUP($A706,Output_Mac!$A:$A,Output_Mac!M:M,""),
_xlpm.MyAuditVal,_xlfn.XLOOKUP($A706,My_Audit!$A:$A,My_Audit!L:L,""),
_xlfn.IFS(_xlpm.MyAuditVal&lt;&gt;"",UPPER(_xlpm.MyAuditVal),_xlpm.MacVal&lt;&gt;"",_xlpm.MacVal,_xlpm.CSVVal&lt;&gt;"",_xlpm.CSVVal
)),"")</f>
        <v/>
      </c>
      <c r="O706" s="2" t="str">
        <f>_xlfn.LET(
    _xlpm.CSVVal, _xlfn.XLOOKUP($A706, CSV!$A:$A, CSV!AF:AF, ""),
    _xlpm.MacVal, _xlfn.XLOOKUP($A706, Output_Mac!$A:$A, Output_Mac!S:S, ""),
    _xlpm.MyAuditVal, _xlfn.XLOOKUP($A706, My_Audit!$A:$A, My_Audit!P:P, ""),
    _xlfn.TEXTJOIN(", ", TRUE, _xlpm.MyAuditVal, _xlpm.MacVal, _xlpm.CSVVal)
)</f>
        <v/>
      </c>
      <c r="P706" s="2" t="str" cm="1">
        <f t="array" ref="P706">IFERROR(_xlfn.LET(
_xlpm.CSVVal,_xlfn.XLOOKUP($A706,CSV!$A:$A,CSV!AG:AG,""),
_xlpm.MacVal,_xlfn.XLOOKUP($A706,Output_Mac!$A:$A,Output_Mac!T:T,""),
_xlpm.MyAuditVal,_xlfn.XLOOKUP($A706,My_Audit!$A:$A,My_Audit!Q:Q,""),
_xlfn.IFS(_xlpm.MyAuditVal&lt;&gt;"",UPPER(_xlpm.MyAuditVal),_xlpm.MacVal&lt;&gt;"",_xlpm.MacVal,_xlpm.CSVVal&lt;&gt;"",_xlpm.CSVVal
)),"No")</f>
        <v>No</v>
      </c>
      <c r="Q706" s="2" t="str" cm="1">
        <f t="array" ref="Q706">IFERROR(_xlfn.LET(
_xlpm.CSVVal,_xlfn.XLOOKUP($A706,CSV!$A:$A,CSV!AH:AH,""),
_xlpm.MacVal,_xlfn.XLOOKUP($A706,Output_Mac!$A:$A,Output_Mac!U:U,""),
_xlpm.MyAuditVal,_xlfn.XLOOKUP($A706,My_Audit!$A:$A,My_Audit!R:R,""),
_xlfn.IFS(_xlpm.MyAuditVal&lt;&gt;"",UPPER(_xlpm.MyAuditVal),_xlpm.MacVal&lt;&gt;"",_xlpm.MacVal,_xlpm.CSVVal&lt;&gt;"",_xlpm.CSVVal
)),"")</f>
        <v/>
      </c>
    </row>
    <row r="707" spans="1:17">
      <c r="A707" s="2" t="str">
        <f>_xlfn.TEXTJOIN("",TRUE,Input!$B$2,ROW(My_Audit!A706))</f>
        <v>XX706</v>
      </c>
      <c r="B707" s="2" t="str">
        <f>_xlfn.TEXTJOIN("-",TRUE,"ITD",Input!$A$2,A707)</f>
        <v>ITD-SHRXXX-XX706</v>
      </c>
      <c r="C707" s="2" t="str" cm="1">
        <f t="array" ref="C707">IFERROR(_xlfn.LET(
_xlpm.CSVVal,_xlfn.XLOOKUP($A707,CSV!$A:$A,CSV!B:B,""),
_xlpm.MacVal,_xlfn.XLOOKUP($A707,Output_Mac!$A:$A,Output_Mac!B:B,""),
_xlpm.MyAuditVal,_xlfn.XLOOKUP($A707,My_Audit!$A:$A,My_Audit!B:B,""),
_xlfn.IFS(_xlpm.MyAuditVal&lt;&gt;"",UPPER(_xlpm.MyAuditVal),_xlpm.MacVal&lt;&gt;"",_xlpm.MacVal,_xlpm.CSVVal&lt;&gt;"",_xlpm.CSVVal
)),"")</f>
        <v/>
      </c>
      <c r="D707" s="2" t="str" cm="1">
        <f t="array" ref="D707">IFERROR(_xlfn.LET(
_xlpm.CSVVal,_xlfn.XLOOKUP($A707,CSV!$A:$A,CSV!D:D,""),
_xlpm.MacVal,_xlfn.XLOOKUP($A707,Output_Mac!$A:$A,Output_Mac!C:C,""),
_xlpm.MyAuditVal,_xlfn.XLOOKUP($A707,My_Audit!$A:$A,My_Audit!C:C,""),
_xlfn.IFS(_xlpm.MyAuditVal&lt;&gt;"",_xlpm.MyAuditVal,_xlpm.MacVal&lt;&gt;"",_xlpm.MacVal,_xlpm.CSVVal&lt;&gt;"",_xlpm.CSVVal
)),"")</f>
        <v/>
      </c>
      <c r="E707" s="2" t="str">
        <f>_xlfn.XLOOKUP(A707,My_Audit!A:A,My_Audit!D:D,"")&amp;""</f>
        <v/>
      </c>
      <c r="F707" s="2" t="str" cm="1">
        <f t="array" ref="F707">IFERROR(_xlfn.LET(
_xlpm.CSVVal,_xlfn.XLOOKUP($A707,CSV!$A:$A,CSV!F:F,""),
_xlpm.MacVal,_xlfn.XLOOKUP($A707,Output_Mac!$A:$A,Output_Mac!E:E,""),
_xlpm.MyAuditVal,_xlfn.XLOOKUP($A707,My_Audit!$A:$A,My_Audit!E:E,""),
_xlfn.IFS(_xlpm.MyAuditVal&lt;&gt;"",_xlpm.MyAuditVal,_xlpm.MacVal&lt;&gt;"",_xlpm.MacVal,_xlpm.CSVVal&lt;&gt;"",_xlpm.CSVVal
)),"")</f>
        <v/>
      </c>
      <c r="G707" s="2" t="str" cm="1">
        <f t="array" ref="G707">IFERROR(_xlfn.LET(
_xlpm.CSVVal,_xlfn.XLOOKUP($A707,CSV!$A:$A,CSV!G:G,""),
_xlpm.MacVal,_xlfn.XLOOKUP($A707,Output_Mac!$A:$A,Output_Mac!F:F,""),
_xlpm.MyAuditVal,_xlfn.XLOOKUP($A707,My_Audit!$A:$A,My_Audit!F:F,""),
_xlfn.IFS(_xlpm.MyAuditVal&lt;&gt;"",_xlpm.MyAuditVal,_xlpm.MacVal&lt;&gt;"",_xlpm.MacVal,_xlpm.CSVVal&lt;&gt;"",PROPER(_xlpm.CSVVal)
)),"")</f>
        <v/>
      </c>
      <c r="H707" s="2" t="str" cm="1">
        <f t="array" ref="H707">IFERROR(_xlfn.LET(
_xlpm.CSVVal,_xlfn.XLOOKUP($A707,CSV!$A:$A,CSV!H:H,""),
_xlpm.MacVal,_xlfn.XLOOKUP($A707,Output_Mac!$A:$A,Output_Mac!H:H,""),
_xlpm.MyAuditVal,_xlfn.XLOOKUP($A707,My_Audit!$A:$A,My_Audit!G:G,""),
_xlfn.IFS(_xlpm.MyAuditVal&lt;&gt;"",_xlpm.MyAuditVal,_xlpm.MacVal&lt;&gt;"",_xlpm.MacVal,_xlpm.CSVVal&lt;&gt;"",_xlpm.CSVVal
)),"")</f>
        <v/>
      </c>
      <c r="I707" s="2" t="str">
        <f>_xlfn.XLOOKUP(A707,Output_Mac!A:A,Output_Mac!I:I,"")</f>
        <v/>
      </c>
      <c r="J707" s="2" t="str" cm="1">
        <f t="array" ref="J707">IFERROR(_xlfn.LET(
_xlpm.CSVVal,_xlfn.XLOOKUP($A707,CSV!$A:$A,CSV!I:I,""),
_xlpm.MacVal,_xlfn.XLOOKUP($A707,Output_Mac!$A:$A,Output_Mac!J:J,""),
_xlpm.MyAuditVal,_xlfn.XLOOKUP($A707,My_Audit!$A:$A,My_Audit!I:I,""),
_xlfn.IFS(_xlpm.MyAuditVal&lt;&gt;"",UPPER(_xlpm.MyAuditVal),_xlpm.MacVal&lt;&gt;"",_xlpm.MacVal,_xlpm.CSVVal&lt;&gt;"",_xlpm.CSVVal
)),"")</f>
        <v/>
      </c>
      <c r="K707" s="2" t="str" cm="1">
        <f t="array" ref="K707">IFERROR(_xlfn.LET(
_xlpm.CSVVal,_xlfn.XLOOKUP($A707,CSV!$A:$A,CSV!K:K,""),
_xlpm.MacVal,_xlfn.XLOOKUP($A707,Output_Mac!$A:$A,Output_Mac!K:K,""),
_xlpm.MyAuditVal,_xlfn.XLOOKUP($A707,My_Audit!$A:$A,My_Audit!J:J,""),
_xlfn.IFS(_xlpm.MyAuditVal&lt;&gt;"",UPPER(_xlpm.MyAuditVal),_xlpm.MacVal&lt;&gt;"",_xlpm.MacVal,_xlpm.CSVVal&lt;&gt;"",_xlpm.CSVVal
)),"")</f>
        <v/>
      </c>
      <c r="L707" s="2" t="str" cm="1">
        <f t="array" ref="L707">IFERROR(_xlfn.LET(
_xlpm.CSVVal,_xlfn.XLOOKUP($A707,CSV!$A:$A,CSV!P:P,""),
_xlpm.MacVal,_xlfn.XLOOKUP($A707,Output_Mac!$A:$A,Output_Mac!L:L,""),
_xlpm.MyAuditVal,_xlfn.XLOOKUP($A707,My_Audit!$A:$A,My_Audit!K:K,""),
_xlfn.IFS(_xlpm.MyAuditVal&lt;&gt;"",UPPER(_xlpm.MyAuditVal),_xlpm.MacVal&lt;&gt;"",_xlpm.MacVal,_xlpm.CSVVal&lt;&gt;"",_xlpm.CSVVal
)),"")</f>
        <v/>
      </c>
      <c r="M707" s="2" t="str" cm="1">
        <f t="array" ref="M707">IFERROR(_xlfn.LET(
_xlpm.CSVVal,_xlfn.XLOOKUP($A707,CSV!$A:$A,CSV!Q:Q,""),
_xlpm.MacVal,_xlfn.XLOOKUP($A707,Output_Mac!$A:$A,Output_Mac!M:M,""),
_xlpm.MyAuditVal,_xlfn.XLOOKUP($A707,My_Audit!$A:$A,My_Audit!L:L,""),
_xlfn.IFS(_xlpm.MyAuditVal&lt;&gt;"",UPPER(_xlpm.MyAuditVal),_xlpm.MacVal&lt;&gt;"",_xlpm.MacVal,_xlpm.CSVVal&lt;&gt;"",_xlpm.CSVVal
)),"")</f>
        <v/>
      </c>
      <c r="O707" s="2" t="str">
        <f>_xlfn.LET(
    _xlpm.CSVVal, _xlfn.XLOOKUP($A707, CSV!$A:$A, CSV!AF:AF, ""),
    _xlpm.MacVal, _xlfn.XLOOKUP($A707, Output_Mac!$A:$A, Output_Mac!S:S, ""),
    _xlpm.MyAuditVal, _xlfn.XLOOKUP($A707, My_Audit!$A:$A, My_Audit!P:P, ""),
    _xlfn.TEXTJOIN(", ", TRUE, _xlpm.MyAuditVal, _xlpm.MacVal, _xlpm.CSVVal)
)</f>
        <v/>
      </c>
      <c r="P707" s="2" t="str" cm="1">
        <f t="array" ref="P707">IFERROR(_xlfn.LET(
_xlpm.CSVVal,_xlfn.XLOOKUP($A707,CSV!$A:$A,CSV!AG:AG,""),
_xlpm.MacVal,_xlfn.XLOOKUP($A707,Output_Mac!$A:$A,Output_Mac!T:T,""),
_xlpm.MyAuditVal,_xlfn.XLOOKUP($A707,My_Audit!$A:$A,My_Audit!Q:Q,""),
_xlfn.IFS(_xlpm.MyAuditVal&lt;&gt;"",UPPER(_xlpm.MyAuditVal),_xlpm.MacVal&lt;&gt;"",_xlpm.MacVal,_xlpm.CSVVal&lt;&gt;"",_xlpm.CSVVal
)),"No")</f>
        <v>No</v>
      </c>
      <c r="Q707" s="2" t="str" cm="1">
        <f t="array" ref="Q707">IFERROR(_xlfn.LET(
_xlpm.CSVVal,_xlfn.XLOOKUP($A707,CSV!$A:$A,CSV!AH:AH,""),
_xlpm.MacVal,_xlfn.XLOOKUP($A707,Output_Mac!$A:$A,Output_Mac!U:U,""),
_xlpm.MyAuditVal,_xlfn.XLOOKUP($A707,My_Audit!$A:$A,My_Audit!R:R,""),
_xlfn.IFS(_xlpm.MyAuditVal&lt;&gt;"",UPPER(_xlpm.MyAuditVal),_xlpm.MacVal&lt;&gt;"",_xlpm.MacVal,_xlpm.CSVVal&lt;&gt;"",_xlpm.CSVVal
)),"")</f>
        <v/>
      </c>
    </row>
    <row r="708" spans="1:17">
      <c r="A708" s="2" t="str">
        <f>_xlfn.TEXTJOIN("",TRUE,Input!$B$2,ROW(My_Audit!A707))</f>
        <v>XX707</v>
      </c>
      <c r="B708" s="2" t="str">
        <f>_xlfn.TEXTJOIN("-",TRUE,"ITD",Input!$A$2,A708)</f>
        <v>ITD-SHRXXX-XX707</v>
      </c>
      <c r="C708" s="2" t="str" cm="1">
        <f t="array" ref="C708">IFERROR(_xlfn.LET(
_xlpm.CSVVal,_xlfn.XLOOKUP($A708,CSV!$A:$A,CSV!B:B,""),
_xlpm.MacVal,_xlfn.XLOOKUP($A708,Output_Mac!$A:$A,Output_Mac!B:B,""),
_xlpm.MyAuditVal,_xlfn.XLOOKUP($A708,My_Audit!$A:$A,My_Audit!B:B,""),
_xlfn.IFS(_xlpm.MyAuditVal&lt;&gt;"",UPPER(_xlpm.MyAuditVal),_xlpm.MacVal&lt;&gt;"",_xlpm.MacVal,_xlpm.CSVVal&lt;&gt;"",_xlpm.CSVVal
)),"")</f>
        <v/>
      </c>
      <c r="D708" s="2" t="str" cm="1">
        <f t="array" ref="D708">IFERROR(_xlfn.LET(
_xlpm.CSVVal,_xlfn.XLOOKUP($A708,CSV!$A:$A,CSV!D:D,""),
_xlpm.MacVal,_xlfn.XLOOKUP($A708,Output_Mac!$A:$A,Output_Mac!C:C,""),
_xlpm.MyAuditVal,_xlfn.XLOOKUP($A708,My_Audit!$A:$A,My_Audit!C:C,""),
_xlfn.IFS(_xlpm.MyAuditVal&lt;&gt;"",_xlpm.MyAuditVal,_xlpm.MacVal&lt;&gt;"",_xlpm.MacVal,_xlpm.CSVVal&lt;&gt;"",_xlpm.CSVVal
)),"")</f>
        <v/>
      </c>
      <c r="E708" s="2" t="str">
        <f>_xlfn.XLOOKUP(A708,My_Audit!A:A,My_Audit!D:D,"")&amp;""</f>
        <v/>
      </c>
      <c r="F708" s="2" t="str" cm="1">
        <f t="array" ref="F708">IFERROR(_xlfn.LET(
_xlpm.CSVVal,_xlfn.XLOOKUP($A708,CSV!$A:$A,CSV!F:F,""),
_xlpm.MacVal,_xlfn.XLOOKUP($A708,Output_Mac!$A:$A,Output_Mac!E:E,""),
_xlpm.MyAuditVal,_xlfn.XLOOKUP($A708,My_Audit!$A:$A,My_Audit!E:E,""),
_xlfn.IFS(_xlpm.MyAuditVal&lt;&gt;"",_xlpm.MyAuditVal,_xlpm.MacVal&lt;&gt;"",_xlpm.MacVal,_xlpm.CSVVal&lt;&gt;"",_xlpm.CSVVal
)),"")</f>
        <v/>
      </c>
      <c r="G708" s="2" t="str" cm="1">
        <f t="array" ref="G708">IFERROR(_xlfn.LET(
_xlpm.CSVVal,_xlfn.XLOOKUP($A708,CSV!$A:$A,CSV!G:G,""),
_xlpm.MacVal,_xlfn.XLOOKUP($A708,Output_Mac!$A:$A,Output_Mac!F:F,""),
_xlpm.MyAuditVal,_xlfn.XLOOKUP($A708,My_Audit!$A:$A,My_Audit!F:F,""),
_xlfn.IFS(_xlpm.MyAuditVal&lt;&gt;"",_xlpm.MyAuditVal,_xlpm.MacVal&lt;&gt;"",_xlpm.MacVal,_xlpm.CSVVal&lt;&gt;"",PROPER(_xlpm.CSVVal)
)),"")</f>
        <v/>
      </c>
      <c r="H708" s="2" t="str" cm="1">
        <f t="array" ref="H708">IFERROR(_xlfn.LET(
_xlpm.CSVVal,_xlfn.XLOOKUP($A708,CSV!$A:$A,CSV!H:H,""),
_xlpm.MacVal,_xlfn.XLOOKUP($A708,Output_Mac!$A:$A,Output_Mac!H:H,""),
_xlpm.MyAuditVal,_xlfn.XLOOKUP($A708,My_Audit!$A:$A,My_Audit!G:G,""),
_xlfn.IFS(_xlpm.MyAuditVal&lt;&gt;"",_xlpm.MyAuditVal,_xlpm.MacVal&lt;&gt;"",_xlpm.MacVal,_xlpm.CSVVal&lt;&gt;"",_xlpm.CSVVal
)),"")</f>
        <v/>
      </c>
      <c r="I708" s="2" t="str">
        <f>_xlfn.XLOOKUP(A708,Output_Mac!A:A,Output_Mac!I:I,"")</f>
        <v/>
      </c>
      <c r="J708" s="2" t="str" cm="1">
        <f t="array" ref="J708">IFERROR(_xlfn.LET(
_xlpm.CSVVal,_xlfn.XLOOKUP($A708,CSV!$A:$A,CSV!I:I,""),
_xlpm.MacVal,_xlfn.XLOOKUP($A708,Output_Mac!$A:$A,Output_Mac!J:J,""),
_xlpm.MyAuditVal,_xlfn.XLOOKUP($A708,My_Audit!$A:$A,My_Audit!I:I,""),
_xlfn.IFS(_xlpm.MyAuditVal&lt;&gt;"",UPPER(_xlpm.MyAuditVal),_xlpm.MacVal&lt;&gt;"",_xlpm.MacVal,_xlpm.CSVVal&lt;&gt;"",_xlpm.CSVVal
)),"")</f>
        <v/>
      </c>
      <c r="K708" s="2" t="str" cm="1">
        <f t="array" ref="K708">IFERROR(_xlfn.LET(
_xlpm.CSVVal,_xlfn.XLOOKUP($A708,CSV!$A:$A,CSV!K:K,""),
_xlpm.MacVal,_xlfn.XLOOKUP($A708,Output_Mac!$A:$A,Output_Mac!K:K,""),
_xlpm.MyAuditVal,_xlfn.XLOOKUP($A708,My_Audit!$A:$A,My_Audit!J:J,""),
_xlfn.IFS(_xlpm.MyAuditVal&lt;&gt;"",UPPER(_xlpm.MyAuditVal),_xlpm.MacVal&lt;&gt;"",_xlpm.MacVal,_xlpm.CSVVal&lt;&gt;"",_xlpm.CSVVal
)),"")</f>
        <v/>
      </c>
      <c r="L708" s="2" t="str" cm="1">
        <f t="array" ref="L708">IFERROR(_xlfn.LET(
_xlpm.CSVVal,_xlfn.XLOOKUP($A708,CSV!$A:$A,CSV!P:P,""),
_xlpm.MacVal,_xlfn.XLOOKUP($A708,Output_Mac!$A:$A,Output_Mac!L:L,""),
_xlpm.MyAuditVal,_xlfn.XLOOKUP($A708,My_Audit!$A:$A,My_Audit!K:K,""),
_xlfn.IFS(_xlpm.MyAuditVal&lt;&gt;"",UPPER(_xlpm.MyAuditVal),_xlpm.MacVal&lt;&gt;"",_xlpm.MacVal,_xlpm.CSVVal&lt;&gt;"",_xlpm.CSVVal
)),"")</f>
        <v/>
      </c>
      <c r="M708" s="2" t="str" cm="1">
        <f t="array" ref="M708">IFERROR(_xlfn.LET(
_xlpm.CSVVal,_xlfn.XLOOKUP($A708,CSV!$A:$A,CSV!Q:Q,""),
_xlpm.MacVal,_xlfn.XLOOKUP($A708,Output_Mac!$A:$A,Output_Mac!M:M,""),
_xlpm.MyAuditVal,_xlfn.XLOOKUP($A708,My_Audit!$A:$A,My_Audit!L:L,""),
_xlfn.IFS(_xlpm.MyAuditVal&lt;&gt;"",UPPER(_xlpm.MyAuditVal),_xlpm.MacVal&lt;&gt;"",_xlpm.MacVal,_xlpm.CSVVal&lt;&gt;"",_xlpm.CSVVal
)),"")</f>
        <v/>
      </c>
      <c r="O708" s="2" t="str">
        <f>_xlfn.LET(
    _xlpm.CSVVal, _xlfn.XLOOKUP($A708, CSV!$A:$A, CSV!AF:AF, ""),
    _xlpm.MacVal, _xlfn.XLOOKUP($A708, Output_Mac!$A:$A, Output_Mac!S:S, ""),
    _xlpm.MyAuditVal, _xlfn.XLOOKUP($A708, My_Audit!$A:$A, My_Audit!P:P, ""),
    _xlfn.TEXTJOIN(", ", TRUE, _xlpm.MyAuditVal, _xlpm.MacVal, _xlpm.CSVVal)
)</f>
        <v/>
      </c>
      <c r="P708" s="2" t="str" cm="1">
        <f t="array" ref="P708">IFERROR(_xlfn.LET(
_xlpm.CSVVal,_xlfn.XLOOKUP($A708,CSV!$A:$A,CSV!AG:AG,""),
_xlpm.MacVal,_xlfn.XLOOKUP($A708,Output_Mac!$A:$A,Output_Mac!T:T,""),
_xlpm.MyAuditVal,_xlfn.XLOOKUP($A708,My_Audit!$A:$A,My_Audit!Q:Q,""),
_xlfn.IFS(_xlpm.MyAuditVal&lt;&gt;"",UPPER(_xlpm.MyAuditVal),_xlpm.MacVal&lt;&gt;"",_xlpm.MacVal,_xlpm.CSVVal&lt;&gt;"",_xlpm.CSVVal
)),"No")</f>
        <v>No</v>
      </c>
      <c r="Q708" s="2" t="str" cm="1">
        <f t="array" ref="Q708">IFERROR(_xlfn.LET(
_xlpm.CSVVal,_xlfn.XLOOKUP($A708,CSV!$A:$A,CSV!AH:AH,""),
_xlpm.MacVal,_xlfn.XLOOKUP($A708,Output_Mac!$A:$A,Output_Mac!U:U,""),
_xlpm.MyAuditVal,_xlfn.XLOOKUP($A708,My_Audit!$A:$A,My_Audit!R:R,""),
_xlfn.IFS(_xlpm.MyAuditVal&lt;&gt;"",UPPER(_xlpm.MyAuditVal),_xlpm.MacVal&lt;&gt;"",_xlpm.MacVal,_xlpm.CSVVal&lt;&gt;"",_xlpm.CSVVal
)),"")</f>
        <v/>
      </c>
    </row>
    <row r="709" spans="1:17">
      <c r="A709" s="2" t="str">
        <f>_xlfn.TEXTJOIN("",TRUE,Input!$B$2,ROW(My_Audit!A708))</f>
        <v>XX708</v>
      </c>
      <c r="B709" s="2" t="str">
        <f>_xlfn.TEXTJOIN("-",TRUE,"ITD",Input!$A$2,A709)</f>
        <v>ITD-SHRXXX-XX708</v>
      </c>
      <c r="C709" s="2" t="str" cm="1">
        <f t="array" ref="C709">IFERROR(_xlfn.LET(
_xlpm.CSVVal,_xlfn.XLOOKUP($A709,CSV!$A:$A,CSV!B:B,""),
_xlpm.MacVal,_xlfn.XLOOKUP($A709,Output_Mac!$A:$A,Output_Mac!B:B,""),
_xlpm.MyAuditVal,_xlfn.XLOOKUP($A709,My_Audit!$A:$A,My_Audit!B:B,""),
_xlfn.IFS(_xlpm.MyAuditVal&lt;&gt;"",UPPER(_xlpm.MyAuditVal),_xlpm.MacVal&lt;&gt;"",_xlpm.MacVal,_xlpm.CSVVal&lt;&gt;"",_xlpm.CSVVal
)),"")</f>
        <v/>
      </c>
      <c r="D709" s="2" t="str" cm="1">
        <f t="array" ref="D709">IFERROR(_xlfn.LET(
_xlpm.CSVVal,_xlfn.XLOOKUP($A709,CSV!$A:$A,CSV!D:D,""),
_xlpm.MacVal,_xlfn.XLOOKUP($A709,Output_Mac!$A:$A,Output_Mac!C:C,""),
_xlpm.MyAuditVal,_xlfn.XLOOKUP($A709,My_Audit!$A:$A,My_Audit!C:C,""),
_xlfn.IFS(_xlpm.MyAuditVal&lt;&gt;"",_xlpm.MyAuditVal,_xlpm.MacVal&lt;&gt;"",_xlpm.MacVal,_xlpm.CSVVal&lt;&gt;"",_xlpm.CSVVal
)),"")</f>
        <v/>
      </c>
      <c r="E709" s="2" t="str">
        <f>_xlfn.XLOOKUP(A709,My_Audit!A:A,My_Audit!D:D,"")&amp;""</f>
        <v/>
      </c>
      <c r="F709" s="2" t="str" cm="1">
        <f t="array" ref="F709">IFERROR(_xlfn.LET(
_xlpm.CSVVal,_xlfn.XLOOKUP($A709,CSV!$A:$A,CSV!F:F,""),
_xlpm.MacVal,_xlfn.XLOOKUP($A709,Output_Mac!$A:$A,Output_Mac!E:E,""),
_xlpm.MyAuditVal,_xlfn.XLOOKUP($A709,My_Audit!$A:$A,My_Audit!E:E,""),
_xlfn.IFS(_xlpm.MyAuditVal&lt;&gt;"",_xlpm.MyAuditVal,_xlpm.MacVal&lt;&gt;"",_xlpm.MacVal,_xlpm.CSVVal&lt;&gt;"",_xlpm.CSVVal
)),"")</f>
        <v/>
      </c>
      <c r="G709" s="2" t="str" cm="1">
        <f t="array" ref="G709">IFERROR(_xlfn.LET(
_xlpm.CSVVal,_xlfn.XLOOKUP($A709,CSV!$A:$A,CSV!G:G,""),
_xlpm.MacVal,_xlfn.XLOOKUP($A709,Output_Mac!$A:$A,Output_Mac!F:F,""),
_xlpm.MyAuditVal,_xlfn.XLOOKUP($A709,My_Audit!$A:$A,My_Audit!F:F,""),
_xlfn.IFS(_xlpm.MyAuditVal&lt;&gt;"",_xlpm.MyAuditVal,_xlpm.MacVal&lt;&gt;"",_xlpm.MacVal,_xlpm.CSVVal&lt;&gt;"",PROPER(_xlpm.CSVVal)
)),"")</f>
        <v/>
      </c>
      <c r="H709" s="2" t="str" cm="1">
        <f t="array" ref="H709">IFERROR(_xlfn.LET(
_xlpm.CSVVal,_xlfn.XLOOKUP($A709,CSV!$A:$A,CSV!H:H,""),
_xlpm.MacVal,_xlfn.XLOOKUP($A709,Output_Mac!$A:$A,Output_Mac!H:H,""),
_xlpm.MyAuditVal,_xlfn.XLOOKUP($A709,My_Audit!$A:$A,My_Audit!G:G,""),
_xlfn.IFS(_xlpm.MyAuditVal&lt;&gt;"",_xlpm.MyAuditVal,_xlpm.MacVal&lt;&gt;"",_xlpm.MacVal,_xlpm.CSVVal&lt;&gt;"",_xlpm.CSVVal
)),"")</f>
        <v/>
      </c>
      <c r="I709" s="2" t="str">
        <f>_xlfn.XLOOKUP(A709,Output_Mac!A:A,Output_Mac!I:I,"")</f>
        <v/>
      </c>
      <c r="J709" s="2" t="str" cm="1">
        <f t="array" ref="J709">IFERROR(_xlfn.LET(
_xlpm.CSVVal,_xlfn.XLOOKUP($A709,CSV!$A:$A,CSV!I:I,""),
_xlpm.MacVal,_xlfn.XLOOKUP($A709,Output_Mac!$A:$A,Output_Mac!J:J,""),
_xlpm.MyAuditVal,_xlfn.XLOOKUP($A709,My_Audit!$A:$A,My_Audit!I:I,""),
_xlfn.IFS(_xlpm.MyAuditVal&lt;&gt;"",UPPER(_xlpm.MyAuditVal),_xlpm.MacVal&lt;&gt;"",_xlpm.MacVal,_xlpm.CSVVal&lt;&gt;"",_xlpm.CSVVal
)),"")</f>
        <v/>
      </c>
      <c r="K709" s="2" t="str" cm="1">
        <f t="array" ref="K709">IFERROR(_xlfn.LET(
_xlpm.CSVVal,_xlfn.XLOOKUP($A709,CSV!$A:$A,CSV!K:K,""),
_xlpm.MacVal,_xlfn.XLOOKUP($A709,Output_Mac!$A:$A,Output_Mac!K:K,""),
_xlpm.MyAuditVal,_xlfn.XLOOKUP($A709,My_Audit!$A:$A,My_Audit!J:J,""),
_xlfn.IFS(_xlpm.MyAuditVal&lt;&gt;"",UPPER(_xlpm.MyAuditVal),_xlpm.MacVal&lt;&gt;"",_xlpm.MacVal,_xlpm.CSVVal&lt;&gt;"",_xlpm.CSVVal
)),"")</f>
        <v/>
      </c>
      <c r="L709" s="2" t="str" cm="1">
        <f t="array" ref="L709">IFERROR(_xlfn.LET(
_xlpm.CSVVal,_xlfn.XLOOKUP($A709,CSV!$A:$A,CSV!P:P,""),
_xlpm.MacVal,_xlfn.XLOOKUP($A709,Output_Mac!$A:$A,Output_Mac!L:L,""),
_xlpm.MyAuditVal,_xlfn.XLOOKUP($A709,My_Audit!$A:$A,My_Audit!K:K,""),
_xlfn.IFS(_xlpm.MyAuditVal&lt;&gt;"",UPPER(_xlpm.MyAuditVal),_xlpm.MacVal&lt;&gt;"",_xlpm.MacVal,_xlpm.CSVVal&lt;&gt;"",_xlpm.CSVVal
)),"")</f>
        <v/>
      </c>
      <c r="M709" s="2" t="str" cm="1">
        <f t="array" ref="M709">IFERROR(_xlfn.LET(
_xlpm.CSVVal,_xlfn.XLOOKUP($A709,CSV!$A:$A,CSV!Q:Q,""),
_xlpm.MacVal,_xlfn.XLOOKUP($A709,Output_Mac!$A:$A,Output_Mac!M:M,""),
_xlpm.MyAuditVal,_xlfn.XLOOKUP($A709,My_Audit!$A:$A,My_Audit!L:L,""),
_xlfn.IFS(_xlpm.MyAuditVal&lt;&gt;"",UPPER(_xlpm.MyAuditVal),_xlpm.MacVal&lt;&gt;"",_xlpm.MacVal,_xlpm.CSVVal&lt;&gt;"",_xlpm.CSVVal
)),"")</f>
        <v/>
      </c>
      <c r="O709" s="2" t="str">
        <f>_xlfn.LET(
    _xlpm.CSVVal, _xlfn.XLOOKUP($A709, CSV!$A:$A, CSV!AF:AF, ""),
    _xlpm.MacVal, _xlfn.XLOOKUP($A709, Output_Mac!$A:$A, Output_Mac!S:S, ""),
    _xlpm.MyAuditVal, _xlfn.XLOOKUP($A709, My_Audit!$A:$A, My_Audit!P:P, ""),
    _xlfn.TEXTJOIN(", ", TRUE, _xlpm.MyAuditVal, _xlpm.MacVal, _xlpm.CSVVal)
)</f>
        <v/>
      </c>
      <c r="P709" s="2" t="str" cm="1">
        <f t="array" ref="P709">IFERROR(_xlfn.LET(
_xlpm.CSVVal,_xlfn.XLOOKUP($A709,CSV!$A:$A,CSV!AG:AG,""),
_xlpm.MacVal,_xlfn.XLOOKUP($A709,Output_Mac!$A:$A,Output_Mac!T:T,""),
_xlpm.MyAuditVal,_xlfn.XLOOKUP($A709,My_Audit!$A:$A,My_Audit!Q:Q,""),
_xlfn.IFS(_xlpm.MyAuditVal&lt;&gt;"",UPPER(_xlpm.MyAuditVal),_xlpm.MacVal&lt;&gt;"",_xlpm.MacVal,_xlpm.CSVVal&lt;&gt;"",_xlpm.CSVVal
)),"No")</f>
        <v>No</v>
      </c>
      <c r="Q709" s="2" t="str" cm="1">
        <f t="array" ref="Q709">IFERROR(_xlfn.LET(
_xlpm.CSVVal,_xlfn.XLOOKUP($A709,CSV!$A:$A,CSV!AH:AH,""),
_xlpm.MacVal,_xlfn.XLOOKUP($A709,Output_Mac!$A:$A,Output_Mac!U:U,""),
_xlpm.MyAuditVal,_xlfn.XLOOKUP($A709,My_Audit!$A:$A,My_Audit!R:R,""),
_xlfn.IFS(_xlpm.MyAuditVal&lt;&gt;"",UPPER(_xlpm.MyAuditVal),_xlpm.MacVal&lt;&gt;"",_xlpm.MacVal,_xlpm.CSVVal&lt;&gt;"",_xlpm.CSVVal
)),"")</f>
        <v/>
      </c>
    </row>
    <row r="710" spans="1:17">
      <c r="A710" s="2" t="str">
        <f>_xlfn.TEXTJOIN("",TRUE,Input!$B$2,ROW(My_Audit!A709))</f>
        <v>XX709</v>
      </c>
      <c r="B710" s="2" t="str">
        <f>_xlfn.TEXTJOIN("-",TRUE,"ITD",Input!$A$2,A710)</f>
        <v>ITD-SHRXXX-XX709</v>
      </c>
      <c r="C710" s="2" t="str" cm="1">
        <f t="array" ref="C710">IFERROR(_xlfn.LET(
_xlpm.CSVVal,_xlfn.XLOOKUP($A710,CSV!$A:$A,CSV!B:B,""),
_xlpm.MacVal,_xlfn.XLOOKUP($A710,Output_Mac!$A:$A,Output_Mac!B:B,""),
_xlpm.MyAuditVal,_xlfn.XLOOKUP($A710,My_Audit!$A:$A,My_Audit!B:B,""),
_xlfn.IFS(_xlpm.MyAuditVal&lt;&gt;"",UPPER(_xlpm.MyAuditVal),_xlpm.MacVal&lt;&gt;"",_xlpm.MacVal,_xlpm.CSVVal&lt;&gt;"",_xlpm.CSVVal
)),"")</f>
        <v/>
      </c>
      <c r="D710" s="2" t="str" cm="1">
        <f t="array" ref="D710">IFERROR(_xlfn.LET(
_xlpm.CSVVal,_xlfn.XLOOKUP($A710,CSV!$A:$A,CSV!D:D,""),
_xlpm.MacVal,_xlfn.XLOOKUP($A710,Output_Mac!$A:$A,Output_Mac!C:C,""),
_xlpm.MyAuditVal,_xlfn.XLOOKUP($A710,My_Audit!$A:$A,My_Audit!C:C,""),
_xlfn.IFS(_xlpm.MyAuditVal&lt;&gt;"",_xlpm.MyAuditVal,_xlpm.MacVal&lt;&gt;"",_xlpm.MacVal,_xlpm.CSVVal&lt;&gt;"",_xlpm.CSVVal
)),"")</f>
        <v/>
      </c>
      <c r="E710" s="2" t="str">
        <f>_xlfn.XLOOKUP(A710,My_Audit!A:A,My_Audit!D:D,"")&amp;""</f>
        <v/>
      </c>
      <c r="F710" s="2" t="str" cm="1">
        <f t="array" ref="F710">IFERROR(_xlfn.LET(
_xlpm.CSVVal,_xlfn.XLOOKUP($A710,CSV!$A:$A,CSV!F:F,""),
_xlpm.MacVal,_xlfn.XLOOKUP($A710,Output_Mac!$A:$A,Output_Mac!E:E,""),
_xlpm.MyAuditVal,_xlfn.XLOOKUP($A710,My_Audit!$A:$A,My_Audit!E:E,""),
_xlfn.IFS(_xlpm.MyAuditVal&lt;&gt;"",_xlpm.MyAuditVal,_xlpm.MacVal&lt;&gt;"",_xlpm.MacVal,_xlpm.CSVVal&lt;&gt;"",_xlpm.CSVVal
)),"")</f>
        <v/>
      </c>
      <c r="G710" s="2" t="str" cm="1">
        <f t="array" ref="G710">IFERROR(_xlfn.LET(
_xlpm.CSVVal,_xlfn.XLOOKUP($A710,CSV!$A:$A,CSV!G:G,""),
_xlpm.MacVal,_xlfn.XLOOKUP($A710,Output_Mac!$A:$A,Output_Mac!F:F,""),
_xlpm.MyAuditVal,_xlfn.XLOOKUP($A710,My_Audit!$A:$A,My_Audit!F:F,""),
_xlfn.IFS(_xlpm.MyAuditVal&lt;&gt;"",_xlpm.MyAuditVal,_xlpm.MacVal&lt;&gt;"",_xlpm.MacVal,_xlpm.CSVVal&lt;&gt;"",PROPER(_xlpm.CSVVal)
)),"")</f>
        <v/>
      </c>
      <c r="H710" s="2" t="str" cm="1">
        <f t="array" ref="H710">IFERROR(_xlfn.LET(
_xlpm.CSVVal,_xlfn.XLOOKUP($A710,CSV!$A:$A,CSV!H:H,""),
_xlpm.MacVal,_xlfn.XLOOKUP($A710,Output_Mac!$A:$A,Output_Mac!H:H,""),
_xlpm.MyAuditVal,_xlfn.XLOOKUP($A710,My_Audit!$A:$A,My_Audit!G:G,""),
_xlfn.IFS(_xlpm.MyAuditVal&lt;&gt;"",_xlpm.MyAuditVal,_xlpm.MacVal&lt;&gt;"",_xlpm.MacVal,_xlpm.CSVVal&lt;&gt;"",_xlpm.CSVVal
)),"")</f>
        <v/>
      </c>
      <c r="I710" s="2" t="str">
        <f>_xlfn.XLOOKUP(A710,Output_Mac!A:A,Output_Mac!I:I,"")</f>
        <v/>
      </c>
      <c r="J710" s="2" t="str" cm="1">
        <f t="array" ref="J710">IFERROR(_xlfn.LET(
_xlpm.CSVVal,_xlfn.XLOOKUP($A710,CSV!$A:$A,CSV!I:I,""),
_xlpm.MacVal,_xlfn.XLOOKUP($A710,Output_Mac!$A:$A,Output_Mac!J:J,""),
_xlpm.MyAuditVal,_xlfn.XLOOKUP($A710,My_Audit!$A:$A,My_Audit!I:I,""),
_xlfn.IFS(_xlpm.MyAuditVal&lt;&gt;"",UPPER(_xlpm.MyAuditVal),_xlpm.MacVal&lt;&gt;"",_xlpm.MacVal,_xlpm.CSVVal&lt;&gt;"",_xlpm.CSVVal
)),"")</f>
        <v/>
      </c>
      <c r="K710" s="2" t="str" cm="1">
        <f t="array" ref="K710">IFERROR(_xlfn.LET(
_xlpm.CSVVal,_xlfn.XLOOKUP($A710,CSV!$A:$A,CSV!K:K,""),
_xlpm.MacVal,_xlfn.XLOOKUP($A710,Output_Mac!$A:$A,Output_Mac!K:K,""),
_xlpm.MyAuditVal,_xlfn.XLOOKUP($A710,My_Audit!$A:$A,My_Audit!J:J,""),
_xlfn.IFS(_xlpm.MyAuditVal&lt;&gt;"",UPPER(_xlpm.MyAuditVal),_xlpm.MacVal&lt;&gt;"",_xlpm.MacVal,_xlpm.CSVVal&lt;&gt;"",_xlpm.CSVVal
)),"")</f>
        <v/>
      </c>
      <c r="L710" s="2" t="str" cm="1">
        <f t="array" ref="L710">IFERROR(_xlfn.LET(
_xlpm.CSVVal,_xlfn.XLOOKUP($A710,CSV!$A:$A,CSV!P:P,""),
_xlpm.MacVal,_xlfn.XLOOKUP($A710,Output_Mac!$A:$A,Output_Mac!L:L,""),
_xlpm.MyAuditVal,_xlfn.XLOOKUP($A710,My_Audit!$A:$A,My_Audit!K:K,""),
_xlfn.IFS(_xlpm.MyAuditVal&lt;&gt;"",UPPER(_xlpm.MyAuditVal),_xlpm.MacVal&lt;&gt;"",_xlpm.MacVal,_xlpm.CSVVal&lt;&gt;"",_xlpm.CSVVal
)),"")</f>
        <v/>
      </c>
      <c r="M710" s="2" t="str" cm="1">
        <f t="array" ref="M710">IFERROR(_xlfn.LET(
_xlpm.CSVVal,_xlfn.XLOOKUP($A710,CSV!$A:$A,CSV!Q:Q,""),
_xlpm.MacVal,_xlfn.XLOOKUP($A710,Output_Mac!$A:$A,Output_Mac!M:M,""),
_xlpm.MyAuditVal,_xlfn.XLOOKUP($A710,My_Audit!$A:$A,My_Audit!L:L,""),
_xlfn.IFS(_xlpm.MyAuditVal&lt;&gt;"",UPPER(_xlpm.MyAuditVal),_xlpm.MacVal&lt;&gt;"",_xlpm.MacVal,_xlpm.CSVVal&lt;&gt;"",_xlpm.CSVVal
)),"")</f>
        <v/>
      </c>
      <c r="O710" s="2" t="str">
        <f>_xlfn.LET(
    _xlpm.CSVVal, _xlfn.XLOOKUP($A710, CSV!$A:$A, CSV!AF:AF, ""),
    _xlpm.MacVal, _xlfn.XLOOKUP($A710, Output_Mac!$A:$A, Output_Mac!S:S, ""),
    _xlpm.MyAuditVal, _xlfn.XLOOKUP($A710, My_Audit!$A:$A, My_Audit!P:P, ""),
    _xlfn.TEXTJOIN(", ", TRUE, _xlpm.MyAuditVal, _xlpm.MacVal, _xlpm.CSVVal)
)</f>
        <v/>
      </c>
      <c r="P710" s="2" t="str" cm="1">
        <f t="array" ref="P710">IFERROR(_xlfn.LET(
_xlpm.CSVVal,_xlfn.XLOOKUP($A710,CSV!$A:$A,CSV!AG:AG,""),
_xlpm.MacVal,_xlfn.XLOOKUP($A710,Output_Mac!$A:$A,Output_Mac!T:T,""),
_xlpm.MyAuditVal,_xlfn.XLOOKUP($A710,My_Audit!$A:$A,My_Audit!Q:Q,""),
_xlfn.IFS(_xlpm.MyAuditVal&lt;&gt;"",UPPER(_xlpm.MyAuditVal),_xlpm.MacVal&lt;&gt;"",_xlpm.MacVal,_xlpm.CSVVal&lt;&gt;"",_xlpm.CSVVal
)),"No")</f>
        <v>No</v>
      </c>
      <c r="Q710" s="2" t="str" cm="1">
        <f t="array" ref="Q710">IFERROR(_xlfn.LET(
_xlpm.CSVVal,_xlfn.XLOOKUP($A710,CSV!$A:$A,CSV!AH:AH,""),
_xlpm.MacVal,_xlfn.XLOOKUP($A710,Output_Mac!$A:$A,Output_Mac!U:U,""),
_xlpm.MyAuditVal,_xlfn.XLOOKUP($A710,My_Audit!$A:$A,My_Audit!R:R,""),
_xlfn.IFS(_xlpm.MyAuditVal&lt;&gt;"",UPPER(_xlpm.MyAuditVal),_xlpm.MacVal&lt;&gt;"",_xlpm.MacVal,_xlpm.CSVVal&lt;&gt;"",_xlpm.CSVVal
)),"")</f>
        <v/>
      </c>
    </row>
    <row r="711" spans="1:17">
      <c r="A711" s="2" t="str">
        <f>_xlfn.TEXTJOIN("",TRUE,Input!$B$2,ROW(My_Audit!A710))</f>
        <v>XX710</v>
      </c>
      <c r="B711" s="2" t="str">
        <f>_xlfn.TEXTJOIN("-",TRUE,"ITD",Input!$A$2,A711)</f>
        <v>ITD-SHRXXX-XX710</v>
      </c>
      <c r="C711" s="2" t="str" cm="1">
        <f t="array" ref="C711">IFERROR(_xlfn.LET(
_xlpm.CSVVal,_xlfn.XLOOKUP($A711,CSV!$A:$A,CSV!B:B,""),
_xlpm.MacVal,_xlfn.XLOOKUP($A711,Output_Mac!$A:$A,Output_Mac!B:B,""),
_xlpm.MyAuditVal,_xlfn.XLOOKUP($A711,My_Audit!$A:$A,My_Audit!B:B,""),
_xlfn.IFS(_xlpm.MyAuditVal&lt;&gt;"",UPPER(_xlpm.MyAuditVal),_xlpm.MacVal&lt;&gt;"",_xlpm.MacVal,_xlpm.CSVVal&lt;&gt;"",_xlpm.CSVVal
)),"")</f>
        <v/>
      </c>
      <c r="D711" s="2" t="str" cm="1">
        <f t="array" ref="D711">IFERROR(_xlfn.LET(
_xlpm.CSVVal,_xlfn.XLOOKUP($A711,CSV!$A:$A,CSV!D:D,""),
_xlpm.MacVal,_xlfn.XLOOKUP($A711,Output_Mac!$A:$A,Output_Mac!C:C,""),
_xlpm.MyAuditVal,_xlfn.XLOOKUP($A711,My_Audit!$A:$A,My_Audit!C:C,""),
_xlfn.IFS(_xlpm.MyAuditVal&lt;&gt;"",_xlpm.MyAuditVal,_xlpm.MacVal&lt;&gt;"",_xlpm.MacVal,_xlpm.CSVVal&lt;&gt;"",_xlpm.CSVVal
)),"")</f>
        <v/>
      </c>
      <c r="E711" s="2" t="str">
        <f>_xlfn.XLOOKUP(A711,My_Audit!A:A,My_Audit!D:D,"")&amp;""</f>
        <v/>
      </c>
      <c r="F711" s="2" t="str" cm="1">
        <f t="array" ref="F711">IFERROR(_xlfn.LET(
_xlpm.CSVVal,_xlfn.XLOOKUP($A711,CSV!$A:$A,CSV!F:F,""),
_xlpm.MacVal,_xlfn.XLOOKUP($A711,Output_Mac!$A:$A,Output_Mac!E:E,""),
_xlpm.MyAuditVal,_xlfn.XLOOKUP($A711,My_Audit!$A:$A,My_Audit!E:E,""),
_xlfn.IFS(_xlpm.MyAuditVal&lt;&gt;"",_xlpm.MyAuditVal,_xlpm.MacVal&lt;&gt;"",_xlpm.MacVal,_xlpm.CSVVal&lt;&gt;"",_xlpm.CSVVal
)),"")</f>
        <v/>
      </c>
      <c r="G711" s="2" t="str" cm="1">
        <f t="array" ref="G711">IFERROR(_xlfn.LET(
_xlpm.CSVVal,_xlfn.XLOOKUP($A711,CSV!$A:$A,CSV!G:G,""),
_xlpm.MacVal,_xlfn.XLOOKUP($A711,Output_Mac!$A:$A,Output_Mac!F:F,""),
_xlpm.MyAuditVal,_xlfn.XLOOKUP($A711,My_Audit!$A:$A,My_Audit!F:F,""),
_xlfn.IFS(_xlpm.MyAuditVal&lt;&gt;"",_xlpm.MyAuditVal,_xlpm.MacVal&lt;&gt;"",_xlpm.MacVal,_xlpm.CSVVal&lt;&gt;"",PROPER(_xlpm.CSVVal)
)),"")</f>
        <v/>
      </c>
      <c r="H711" s="2" t="str" cm="1">
        <f t="array" ref="H711">IFERROR(_xlfn.LET(
_xlpm.CSVVal,_xlfn.XLOOKUP($A711,CSV!$A:$A,CSV!H:H,""),
_xlpm.MacVal,_xlfn.XLOOKUP($A711,Output_Mac!$A:$A,Output_Mac!H:H,""),
_xlpm.MyAuditVal,_xlfn.XLOOKUP($A711,My_Audit!$A:$A,My_Audit!G:G,""),
_xlfn.IFS(_xlpm.MyAuditVal&lt;&gt;"",_xlpm.MyAuditVal,_xlpm.MacVal&lt;&gt;"",_xlpm.MacVal,_xlpm.CSVVal&lt;&gt;"",_xlpm.CSVVal
)),"")</f>
        <v/>
      </c>
      <c r="I711" s="2" t="str">
        <f>_xlfn.XLOOKUP(A711,Output_Mac!A:A,Output_Mac!I:I,"")</f>
        <v/>
      </c>
      <c r="J711" s="2" t="str" cm="1">
        <f t="array" ref="J711">IFERROR(_xlfn.LET(
_xlpm.CSVVal,_xlfn.XLOOKUP($A711,CSV!$A:$A,CSV!I:I,""),
_xlpm.MacVal,_xlfn.XLOOKUP($A711,Output_Mac!$A:$A,Output_Mac!J:J,""),
_xlpm.MyAuditVal,_xlfn.XLOOKUP($A711,My_Audit!$A:$A,My_Audit!I:I,""),
_xlfn.IFS(_xlpm.MyAuditVal&lt;&gt;"",UPPER(_xlpm.MyAuditVal),_xlpm.MacVal&lt;&gt;"",_xlpm.MacVal,_xlpm.CSVVal&lt;&gt;"",_xlpm.CSVVal
)),"")</f>
        <v/>
      </c>
      <c r="K711" s="2" t="str" cm="1">
        <f t="array" ref="K711">IFERROR(_xlfn.LET(
_xlpm.CSVVal,_xlfn.XLOOKUP($A711,CSV!$A:$A,CSV!K:K,""),
_xlpm.MacVal,_xlfn.XLOOKUP($A711,Output_Mac!$A:$A,Output_Mac!K:K,""),
_xlpm.MyAuditVal,_xlfn.XLOOKUP($A711,My_Audit!$A:$A,My_Audit!J:J,""),
_xlfn.IFS(_xlpm.MyAuditVal&lt;&gt;"",UPPER(_xlpm.MyAuditVal),_xlpm.MacVal&lt;&gt;"",_xlpm.MacVal,_xlpm.CSVVal&lt;&gt;"",_xlpm.CSVVal
)),"")</f>
        <v/>
      </c>
      <c r="L711" s="2" t="str" cm="1">
        <f t="array" ref="L711">IFERROR(_xlfn.LET(
_xlpm.CSVVal,_xlfn.XLOOKUP($A711,CSV!$A:$A,CSV!P:P,""),
_xlpm.MacVal,_xlfn.XLOOKUP($A711,Output_Mac!$A:$A,Output_Mac!L:L,""),
_xlpm.MyAuditVal,_xlfn.XLOOKUP($A711,My_Audit!$A:$A,My_Audit!K:K,""),
_xlfn.IFS(_xlpm.MyAuditVal&lt;&gt;"",UPPER(_xlpm.MyAuditVal),_xlpm.MacVal&lt;&gt;"",_xlpm.MacVal,_xlpm.CSVVal&lt;&gt;"",_xlpm.CSVVal
)),"")</f>
        <v/>
      </c>
      <c r="M711" s="2" t="str" cm="1">
        <f t="array" ref="M711">IFERROR(_xlfn.LET(
_xlpm.CSVVal,_xlfn.XLOOKUP($A711,CSV!$A:$A,CSV!Q:Q,""),
_xlpm.MacVal,_xlfn.XLOOKUP($A711,Output_Mac!$A:$A,Output_Mac!M:M,""),
_xlpm.MyAuditVal,_xlfn.XLOOKUP($A711,My_Audit!$A:$A,My_Audit!L:L,""),
_xlfn.IFS(_xlpm.MyAuditVal&lt;&gt;"",UPPER(_xlpm.MyAuditVal),_xlpm.MacVal&lt;&gt;"",_xlpm.MacVal,_xlpm.CSVVal&lt;&gt;"",_xlpm.CSVVal
)),"")</f>
        <v/>
      </c>
      <c r="O711" s="2" t="str">
        <f>_xlfn.LET(
    _xlpm.CSVVal, _xlfn.XLOOKUP($A711, CSV!$A:$A, CSV!AF:AF, ""),
    _xlpm.MacVal, _xlfn.XLOOKUP($A711, Output_Mac!$A:$A, Output_Mac!S:S, ""),
    _xlpm.MyAuditVal, _xlfn.XLOOKUP($A711, My_Audit!$A:$A, My_Audit!P:P, ""),
    _xlfn.TEXTJOIN(", ", TRUE, _xlpm.MyAuditVal, _xlpm.MacVal, _xlpm.CSVVal)
)</f>
        <v/>
      </c>
      <c r="P711" s="2" t="str" cm="1">
        <f t="array" ref="P711">IFERROR(_xlfn.LET(
_xlpm.CSVVal,_xlfn.XLOOKUP($A711,CSV!$A:$A,CSV!AG:AG,""),
_xlpm.MacVal,_xlfn.XLOOKUP($A711,Output_Mac!$A:$A,Output_Mac!T:T,""),
_xlpm.MyAuditVal,_xlfn.XLOOKUP($A711,My_Audit!$A:$A,My_Audit!Q:Q,""),
_xlfn.IFS(_xlpm.MyAuditVal&lt;&gt;"",UPPER(_xlpm.MyAuditVal),_xlpm.MacVal&lt;&gt;"",_xlpm.MacVal,_xlpm.CSVVal&lt;&gt;"",_xlpm.CSVVal
)),"No")</f>
        <v>No</v>
      </c>
      <c r="Q711" s="2" t="str" cm="1">
        <f t="array" ref="Q711">IFERROR(_xlfn.LET(
_xlpm.CSVVal,_xlfn.XLOOKUP($A711,CSV!$A:$A,CSV!AH:AH,""),
_xlpm.MacVal,_xlfn.XLOOKUP($A711,Output_Mac!$A:$A,Output_Mac!U:U,""),
_xlpm.MyAuditVal,_xlfn.XLOOKUP($A711,My_Audit!$A:$A,My_Audit!R:R,""),
_xlfn.IFS(_xlpm.MyAuditVal&lt;&gt;"",UPPER(_xlpm.MyAuditVal),_xlpm.MacVal&lt;&gt;"",_xlpm.MacVal,_xlpm.CSVVal&lt;&gt;"",_xlpm.CSVVal
)),"")</f>
        <v/>
      </c>
    </row>
    <row r="712" spans="1:17">
      <c r="A712" s="2" t="str">
        <f>_xlfn.TEXTJOIN("",TRUE,Input!$B$2,ROW(My_Audit!A711))</f>
        <v>XX711</v>
      </c>
    </row>
    <row r="713" spans="1:17">
      <c r="A713" s="2" t="str">
        <f>_xlfn.TEXTJOIN("",TRUE,Input!$B$2,ROW(My_Audit!A712))</f>
        <v>XX712</v>
      </c>
    </row>
    <row r="714" spans="1:17">
      <c r="A714" s="2" t="str">
        <f>_xlfn.TEXTJOIN("",TRUE,Input!$B$2,ROW(My_Audit!A713))</f>
        <v>XX713</v>
      </c>
    </row>
    <row r="715" spans="1:17">
      <c r="A715" s="2" t="str">
        <f>_xlfn.TEXTJOIN("",TRUE,Input!$B$2,ROW(My_Audit!A714))</f>
        <v>XX714</v>
      </c>
    </row>
    <row r="716" spans="1:17">
      <c r="A716" s="2" t="str">
        <f>_xlfn.TEXTJOIN("",TRUE,Input!$B$2,ROW(My_Audit!A715))</f>
        <v>XX715</v>
      </c>
    </row>
    <row r="717" spans="1:17">
      <c r="A717" s="2" t="str">
        <f>_xlfn.TEXTJOIN("",TRUE,Input!$B$2,ROW(My_Audit!A716))</f>
        <v>XX716</v>
      </c>
    </row>
    <row r="718" spans="1:17">
      <c r="A718" s="2" t="str">
        <f>_xlfn.TEXTJOIN("",TRUE,Input!$B$2,ROW(My_Audit!A717))</f>
        <v>XX717</v>
      </c>
    </row>
    <row r="719" spans="1:17">
      <c r="A719" s="2" t="str">
        <f>_xlfn.TEXTJOIN("",TRUE,Input!$B$2,ROW(My_Audit!A718))</f>
        <v>XX718</v>
      </c>
    </row>
    <row r="720" spans="1:17">
      <c r="A720" s="2" t="str">
        <f>_xlfn.TEXTJOIN("",TRUE,Input!$B$2,ROW(My_Audit!A719))</f>
        <v>XX719</v>
      </c>
    </row>
    <row r="721" spans="1:1">
      <c r="A721" s="2" t="str">
        <f>_xlfn.TEXTJOIN("",TRUE,Input!$B$2,ROW(My_Audit!A720))</f>
        <v>XX720</v>
      </c>
    </row>
    <row r="722" spans="1:1">
      <c r="A722" s="2" t="str">
        <f>_xlfn.TEXTJOIN("",TRUE,Input!$B$2,ROW(My_Audit!A721))</f>
        <v>XX721</v>
      </c>
    </row>
    <row r="723" spans="1:1">
      <c r="A723" s="2" t="str">
        <f>_xlfn.TEXTJOIN("",TRUE,Input!$B$2,ROW(My_Audit!A722))</f>
        <v>XX722</v>
      </c>
    </row>
    <row r="724" spans="1:1">
      <c r="A724" s="2" t="str">
        <f>_xlfn.TEXTJOIN("",TRUE,Input!$B$2,ROW(My_Audit!A723))</f>
        <v>XX723</v>
      </c>
    </row>
    <row r="725" spans="1:1">
      <c r="A725" s="2" t="str">
        <f>_xlfn.TEXTJOIN("",TRUE,Input!$B$2,ROW(My_Audit!A724))</f>
        <v>XX724</v>
      </c>
    </row>
    <row r="726" spans="1:1">
      <c r="A726" s="2" t="str">
        <f>_xlfn.TEXTJOIN("",TRUE,Input!$B$2,ROW(My_Audit!A725))</f>
        <v>XX725</v>
      </c>
    </row>
    <row r="727" spans="1:1">
      <c r="A727" s="2" t="str">
        <f>_xlfn.TEXTJOIN("",TRUE,Input!$B$2,ROW(My_Audit!A726))</f>
        <v>XX726</v>
      </c>
    </row>
    <row r="728" spans="1:1">
      <c r="A728" s="2" t="str">
        <f>_xlfn.TEXTJOIN("",TRUE,Input!$B$2,ROW(My_Audit!A727))</f>
        <v>XX727</v>
      </c>
    </row>
    <row r="729" spans="1:1">
      <c r="A729" s="2" t="str">
        <f>_xlfn.TEXTJOIN("",TRUE,Input!$B$2,ROW(My_Audit!A728))</f>
        <v>XX728</v>
      </c>
    </row>
    <row r="730" spans="1:1">
      <c r="A730" s="2" t="str">
        <f>_xlfn.TEXTJOIN("",TRUE,Input!$B$2,ROW(My_Audit!A729))</f>
        <v>XX729</v>
      </c>
    </row>
    <row r="731" spans="1:1">
      <c r="A731" s="2" t="str">
        <f>_xlfn.TEXTJOIN("",TRUE,Input!$B$2,ROW(My_Audit!A730))</f>
        <v>XX730</v>
      </c>
    </row>
    <row r="732" spans="1:1">
      <c r="A732" s="2" t="str">
        <f>_xlfn.TEXTJOIN("",TRUE,Input!$B$2,ROW(My_Audit!A731))</f>
        <v>XX731</v>
      </c>
    </row>
    <row r="733" spans="1:1">
      <c r="A733" s="2" t="str">
        <f>_xlfn.TEXTJOIN("",TRUE,Input!$B$2,ROW(My_Audit!A732))</f>
        <v>XX732</v>
      </c>
    </row>
    <row r="734" spans="1:1">
      <c r="A734" s="2" t="str">
        <f>_xlfn.TEXTJOIN("",TRUE,Input!$B$2,ROW(My_Audit!A733))</f>
        <v>XX733</v>
      </c>
    </row>
    <row r="735" spans="1:1">
      <c r="A735" s="2" t="str">
        <f>_xlfn.TEXTJOIN("",TRUE,Input!$B$2,ROW(My_Audit!A734))</f>
        <v>XX734</v>
      </c>
    </row>
    <row r="736" spans="1:1">
      <c r="A736" s="2" t="str">
        <f>_xlfn.TEXTJOIN("",TRUE,Input!$B$2,ROW(My_Audit!A735))</f>
        <v>XX735</v>
      </c>
    </row>
    <row r="737" spans="1:1">
      <c r="A737" s="2" t="str">
        <f>_xlfn.TEXTJOIN("",TRUE,Input!$B$2,ROW(My_Audit!A736))</f>
        <v>XX736</v>
      </c>
    </row>
    <row r="738" spans="1:1">
      <c r="A738" s="2" t="str">
        <f>_xlfn.TEXTJOIN("",TRUE,Input!$B$2,ROW(My_Audit!A737))</f>
        <v>XX737</v>
      </c>
    </row>
    <row r="739" spans="1:1">
      <c r="A739" s="2" t="str">
        <f>_xlfn.TEXTJOIN("",TRUE,Input!$B$2,ROW(My_Audit!A738))</f>
        <v>XX738</v>
      </c>
    </row>
    <row r="740" spans="1:1">
      <c r="A740" s="2" t="str">
        <f>_xlfn.TEXTJOIN("",TRUE,Input!$B$2,ROW(My_Audit!A739))</f>
        <v>XX739</v>
      </c>
    </row>
    <row r="741" spans="1:1">
      <c r="A741" s="2" t="str">
        <f>_xlfn.TEXTJOIN("",TRUE,Input!$B$2,ROW(My_Audit!A740))</f>
        <v>XX740</v>
      </c>
    </row>
    <row r="742" spans="1:1">
      <c r="A742" s="2" t="str">
        <f>_xlfn.TEXTJOIN("",TRUE,Input!$B$2,ROW(My_Audit!A741))</f>
        <v>XX741</v>
      </c>
    </row>
    <row r="743" spans="1:1">
      <c r="A743" s="2" t="str">
        <f>_xlfn.TEXTJOIN("",TRUE,Input!$B$2,ROW(My_Audit!A742))</f>
        <v>XX742</v>
      </c>
    </row>
    <row r="744" spans="1:1">
      <c r="A744" s="2" t="str">
        <f>_xlfn.TEXTJOIN("",TRUE,Input!$B$2,ROW(My_Audit!A743))</f>
        <v>XX743</v>
      </c>
    </row>
    <row r="745" spans="1:1">
      <c r="A745" s="2" t="str">
        <f>_xlfn.TEXTJOIN("",TRUE,Input!$B$2,ROW(My_Audit!A744))</f>
        <v>XX744</v>
      </c>
    </row>
    <row r="746" spans="1:1">
      <c r="A746" s="2" t="str">
        <f>_xlfn.TEXTJOIN("",TRUE,Input!$B$2,ROW(My_Audit!A745))</f>
        <v>XX745</v>
      </c>
    </row>
    <row r="747" spans="1:1">
      <c r="A747" s="2" t="str">
        <f>_xlfn.TEXTJOIN("",TRUE,Input!$B$2,ROW(My_Audit!A746))</f>
        <v>XX746</v>
      </c>
    </row>
    <row r="748" spans="1:1">
      <c r="A748" s="2" t="str">
        <f>_xlfn.TEXTJOIN("",TRUE,Input!$B$2,ROW(My_Audit!A747))</f>
        <v>XX747</v>
      </c>
    </row>
    <row r="749" spans="1:1">
      <c r="A749" s="2" t="str">
        <f>_xlfn.TEXTJOIN("",TRUE,Input!$B$2,ROW(My_Audit!A748))</f>
        <v>XX748</v>
      </c>
    </row>
    <row r="750" spans="1:1">
      <c r="A750" s="2" t="str">
        <f>_xlfn.TEXTJOIN("",TRUE,Input!$B$2,ROW(My_Audit!A749))</f>
        <v>XX749</v>
      </c>
    </row>
    <row r="751" spans="1:1">
      <c r="A751" s="2" t="str">
        <f>_xlfn.TEXTJOIN("",TRUE,Input!$B$2,ROW(My_Audit!A750))</f>
        <v>XX750</v>
      </c>
    </row>
    <row r="752" spans="1:1">
      <c r="A752" s="2" t="str">
        <f>_xlfn.TEXTJOIN("",TRUE,Input!$B$2,ROW(My_Audit!A751))</f>
        <v>XX751</v>
      </c>
    </row>
    <row r="753" spans="1:1">
      <c r="A753" s="2" t="str">
        <f>_xlfn.TEXTJOIN("",TRUE,Input!$B$2,ROW(My_Audit!A752))</f>
        <v>XX752</v>
      </c>
    </row>
    <row r="754" spans="1:1">
      <c r="A754" s="2" t="str">
        <f>_xlfn.TEXTJOIN("",TRUE,Input!$B$2,ROW(My_Audit!A753))</f>
        <v>XX753</v>
      </c>
    </row>
    <row r="755" spans="1:1">
      <c r="A755" s="2" t="str">
        <f>_xlfn.TEXTJOIN("",TRUE,Input!$B$2,ROW(My_Audit!A754))</f>
        <v>XX754</v>
      </c>
    </row>
    <row r="756" spans="1:1">
      <c r="A756" s="2" t="str">
        <f>_xlfn.TEXTJOIN("",TRUE,Input!$B$2,ROW(My_Audit!A755))</f>
        <v>XX755</v>
      </c>
    </row>
    <row r="757" spans="1:1">
      <c r="A757" s="2" t="str">
        <f>_xlfn.TEXTJOIN("",TRUE,Input!$B$2,ROW(My_Audit!A756))</f>
        <v>XX756</v>
      </c>
    </row>
    <row r="758" spans="1:1">
      <c r="A758" s="2" t="str">
        <f>_xlfn.TEXTJOIN("",TRUE,Input!$B$2,ROW(My_Audit!A757))</f>
        <v>XX757</v>
      </c>
    </row>
    <row r="759" spans="1:1">
      <c r="A759" s="2" t="str">
        <f>_xlfn.TEXTJOIN("",TRUE,Input!$B$2,ROW(My_Audit!A758))</f>
        <v>XX758</v>
      </c>
    </row>
    <row r="760" spans="1:1">
      <c r="A760" s="2" t="str">
        <f>_xlfn.TEXTJOIN("",TRUE,Input!$B$2,ROW(My_Audit!A759))</f>
        <v>XX759</v>
      </c>
    </row>
    <row r="761" spans="1:1">
      <c r="A761" s="2" t="str">
        <f>_xlfn.TEXTJOIN("",TRUE,Input!$B$2,ROW(My_Audit!A760))</f>
        <v>XX760</v>
      </c>
    </row>
    <row r="762" spans="1:1">
      <c r="A762" s="2" t="str">
        <f>_xlfn.TEXTJOIN("",TRUE,Input!$B$2,ROW(My_Audit!A761))</f>
        <v>XX761</v>
      </c>
    </row>
    <row r="763" spans="1:1">
      <c r="A763" s="2" t="str">
        <f>_xlfn.TEXTJOIN("",TRUE,Input!$B$2,ROW(My_Audit!A762))</f>
        <v>XX762</v>
      </c>
    </row>
    <row r="764" spans="1:1">
      <c r="A764" s="2" t="str">
        <f>_xlfn.TEXTJOIN("",TRUE,Input!$B$2,ROW(My_Audit!A763))</f>
        <v>XX763</v>
      </c>
    </row>
    <row r="765" spans="1:1">
      <c r="A765" s="2" t="str">
        <f>_xlfn.TEXTJOIN("",TRUE,Input!$B$2,ROW(My_Audit!A764))</f>
        <v>XX764</v>
      </c>
    </row>
    <row r="766" spans="1:1">
      <c r="A766" s="2" t="str">
        <f>_xlfn.TEXTJOIN("",TRUE,Input!$B$2,ROW(My_Audit!A765))</f>
        <v>XX765</v>
      </c>
    </row>
    <row r="767" spans="1:1">
      <c r="A767" s="2" t="str">
        <f>_xlfn.TEXTJOIN("",TRUE,Input!$B$2,ROW(My_Audit!A766))</f>
        <v>XX766</v>
      </c>
    </row>
    <row r="768" spans="1:1">
      <c r="A768" s="2" t="str">
        <f>_xlfn.TEXTJOIN("",TRUE,Input!$B$2,ROW(My_Audit!A767))</f>
        <v>XX767</v>
      </c>
    </row>
    <row r="769" spans="1:1">
      <c r="A769" s="2" t="str">
        <f>_xlfn.TEXTJOIN("",TRUE,Input!$B$2,ROW(My_Audit!A768))</f>
        <v>XX768</v>
      </c>
    </row>
    <row r="770" spans="1:1">
      <c r="A770" s="2" t="str">
        <f>_xlfn.TEXTJOIN("",TRUE,Input!$B$2,ROW(My_Audit!A769))</f>
        <v>XX769</v>
      </c>
    </row>
    <row r="771" spans="1:1">
      <c r="A771" s="2" t="str">
        <f>_xlfn.TEXTJOIN("",TRUE,Input!$B$2,ROW(My_Audit!A770))</f>
        <v>XX770</v>
      </c>
    </row>
    <row r="772" spans="1:1">
      <c r="A772" s="2" t="str">
        <f>_xlfn.TEXTJOIN("",TRUE,Input!$B$2,ROW(My_Audit!A771))</f>
        <v>XX771</v>
      </c>
    </row>
    <row r="773" spans="1:1">
      <c r="A773" s="2" t="str">
        <f>_xlfn.TEXTJOIN("",TRUE,Input!$B$2,ROW(My_Audit!A772))</f>
        <v>XX772</v>
      </c>
    </row>
    <row r="774" spans="1:1">
      <c r="A774" s="2" t="str">
        <f>_xlfn.TEXTJOIN("",TRUE,Input!$B$2,ROW(My_Audit!A773))</f>
        <v>XX773</v>
      </c>
    </row>
    <row r="775" spans="1:1">
      <c r="A775" s="2" t="str">
        <f>_xlfn.TEXTJOIN("",TRUE,Input!$B$2,ROW(My_Audit!A774))</f>
        <v>XX774</v>
      </c>
    </row>
    <row r="776" spans="1:1">
      <c r="A776" s="2" t="str">
        <f>_xlfn.TEXTJOIN("",TRUE,Input!$B$2,ROW(My_Audit!A775))</f>
        <v>XX775</v>
      </c>
    </row>
    <row r="777" spans="1:1">
      <c r="A777" s="2" t="str">
        <f>_xlfn.TEXTJOIN("",TRUE,Input!$B$2,ROW(My_Audit!A776))</f>
        <v>XX776</v>
      </c>
    </row>
    <row r="778" spans="1:1">
      <c r="A778" s="2" t="str">
        <f>_xlfn.TEXTJOIN("",TRUE,Input!$B$2,ROW(My_Audit!A777))</f>
        <v>XX777</v>
      </c>
    </row>
    <row r="779" spans="1:1">
      <c r="A779" s="2" t="str">
        <f>_xlfn.TEXTJOIN("",TRUE,Input!$B$2,ROW(My_Audit!A778))</f>
        <v>XX778</v>
      </c>
    </row>
    <row r="780" spans="1:1">
      <c r="A780" s="2" t="str">
        <f>_xlfn.TEXTJOIN("",TRUE,Input!$B$2,ROW(My_Audit!A779))</f>
        <v>XX779</v>
      </c>
    </row>
    <row r="781" spans="1:1">
      <c r="A781" s="2" t="str">
        <f>_xlfn.TEXTJOIN("",TRUE,Input!$B$2,ROW(My_Audit!A780))</f>
        <v>XX780</v>
      </c>
    </row>
    <row r="782" spans="1:1">
      <c r="A782" s="2" t="str">
        <f>_xlfn.TEXTJOIN("",TRUE,Input!$B$2,ROW(My_Audit!A781))</f>
        <v>XX781</v>
      </c>
    </row>
    <row r="783" spans="1:1">
      <c r="A783" s="2" t="str">
        <f>_xlfn.TEXTJOIN("",TRUE,Input!$B$2,ROW(My_Audit!A782))</f>
        <v>XX782</v>
      </c>
    </row>
    <row r="784" spans="1:1">
      <c r="A784" s="2" t="str">
        <f>_xlfn.TEXTJOIN("",TRUE,Input!$B$2,ROW(My_Audit!A783))</f>
        <v>XX783</v>
      </c>
    </row>
    <row r="785" spans="1:1">
      <c r="A785" s="2" t="str">
        <f>_xlfn.TEXTJOIN("",TRUE,Input!$B$2,ROW(My_Audit!A784))</f>
        <v>XX784</v>
      </c>
    </row>
    <row r="786" spans="1:1">
      <c r="A786" s="2" t="str">
        <f>_xlfn.TEXTJOIN("",TRUE,Input!$B$2,ROW(My_Audit!A785))</f>
        <v>XX785</v>
      </c>
    </row>
    <row r="787" spans="1:1">
      <c r="A787" s="2" t="str">
        <f>_xlfn.TEXTJOIN("",TRUE,Input!$B$2,ROW(My_Audit!A786))</f>
        <v>XX786</v>
      </c>
    </row>
    <row r="788" spans="1:1">
      <c r="A788" s="2" t="str">
        <f>_xlfn.TEXTJOIN("",TRUE,Input!$B$2,ROW(My_Audit!A787))</f>
        <v>XX787</v>
      </c>
    </row>
    <row r="789" spans="1:1">
      <c r="A789" s="2" t="str">
        <f>_xlfn.TEXTJOIN("",TRUE,Input!$B$2,ROW(My_Audit!A788))</f>
        <v>XX788</v>
      </c>
    </row>
    <row r="790" spans="1:1">
      <c r="A790" s="2" t="str">
        <f>_xlfn.TEXTJOIN("",TRUE,Input!$B$2,ROW(My_Audit!A789))</f>
        <v>XX789</v>
      </c>
    </row>
    <row r="791" spans="1:1">
      <c r="A791" s="2" t="str">
        <f>_xlfn.TEXTJOIN("",TRUE,Input!$B$2,ROW(My_Audit!A790))</f>
        <v>XX790</v>
      </c>
    </row>
    <row r="792" spans="1:1">
      <c r="A792" s="2" t="str">
        <f>_xlfn.TEXTJOIN("",TRUE,Input!$B$2,ROW(My_Audit!A791))</f>
        <v>XX791</v>
      </c>
    </row>
    <row r="793" spans="1:1">
      <c r="A793" s="2" t="str">
        <f>_xlfn.TEXTJOIN("",TRUE,Input!$B$2,ROW(My_Audit!A792))</f>
        <v>XX792</v>
      </c>
    </row>
    <row r="794" spans="1:1">
      <c r="A794" s="2" t="str">
        <f>_xlfn.TEXTJOIN("",TRUE,Input!$B$2,ROW(My_Audit!A793))</f>
        <v>XX793</v>
      </c>
    </row>
    <row r="795" spans="1:1">
      <c r="A795" s="2" t="str">
        <f>_xlfn.TEXTJOIN("",TRUE,Input!$B$2,ROW(My_Audit!A794))</f>
        <v>XX794</v>
      </c>
    </row>
    <row r="796" spans="1:1">
      <c r="A796" s="2" t="str">
        <f>_xlfn.TEXTJOIN("",TRUE,Input!$B$2,ROW(My_Audit!A795))</f>
        <v>XX795</v>
      </c>
    </row>
    <row r="797" spans="1:1">
      <c r="A797" s="2" t="str">
        <f>_xlfn.TEXTJOIN("",TRUE,Input!$B$2,ROW(My_Audit!A796))</f>
        <v>XX796</v>
      </c>
    </row>
    <row r="798" spans="1:1">
      <c r="A798" s="2" t="str">
        <f>_xlfn.TEXTJOIN("",TRUE,Input!$B$2,ROW(My_Audit!A797))</f>
        <v>XX797</v>
      </c>
    </row>
    <row r="799" spans="1:1">
      <c r="A799" s="2" t="str">
        <f>_xlfn.TEXTJOIN("",TRUE,Input!$B$2,ROW(My_Audit!A798))</f>
        <v>XX798</v>
      </c>
    </row>
    <row r="800" spans="1:1">
      <c r="A800" s="2" t="str">
        <f>_xlfn.TEXTJOIN("",TRUE,Input!$B$2,ROW(My_Audit!A799))</f>
        <v>XX799</v>
      </c>
    </row>
    <row r="801" spans="1:1">
      <c r="A801" s="2" t="str">
        <f>_xlfn.TEXTJOIN("",TRUE,Input!$B$2,ROW(My_Audit!A800))</f>
        <v>XX800</v>
      </c>
    </row>
    <row r="802" spans="1:1">
      <c r="A802" s="2" t="str">
        <f>_xlfn.TEXTJOIN("",TRUE,Input!$B$2,ROW(My_Audit!A801))</f>
        <v>XX801</v>
      </c>
    </row>
    <row r="803" spans="1:1">
      <c r="A803" s="2" t="str">
        <f>_xlfn.TEXTJOIN("",TRUE,Input!$B$2,ROW(My_Audit!A802))</f>
        <v>XX802</v>
      </c>
    </row>
    <row r="804" spans="1:1">
      <c r="A804" s="2" t="str">
        <f>_xlfn.TEXTJOIN("",TRUE,Input!$B$2,ROW(My_Audit!A803))</f>
        <v>XX803</v>
      </c>
    </row>
    <row r="805" spans="1:1">
      <c r="A805" s="2" t="str">
        <f>_xlfn.TEXTJOIN("",TRUE,Input!$B$2,ROW(My_Audit!A804))</f>
        <v>XX804</v>
      </c>
    </row>
    <row r="806" spans="1:1">
      <c r="A806" s="2" t="str">
        <f>_xlfn.TEXTJOIN("",TRUE,Input!$B$2,ROW(My_Audit!A805))</f>
        <v>XX805</v>
      </c>
    </row>
    <row r="807" spans="1:1">
      <c r="A807" s="2" t="str">
        <f>_xlfn.TEXTJOIN("",TRUE,Input!$B$2,ROW(My_Audit!A806))</f>
        <v>XX806</v>
      </c>
    </row>
    <row r="808" spans="1:1">
      <c r="A808" s="2" t="str">
        <f>_xlfn.TEXTJOIN("",TRUE,Input!$B$2,ROW(My_Audit!A807))</f>
        <v>XX807</v>
      </c>
    </row>
    <row r="809" spans="1:1">
      <c r="A809" s="2" t="str">
        <f>_xlfn.TEXTJOIN("",TRUE,Input!$B$2,ROW(My_Audit!A808))</f>
        <v>XX808</v>
      </c>
    </row>
    <row r="810" spans="1:1">
      <c r="A810" s="2" t="str">
        <f>_xlfn.TEXTJOIN("",TRUE,Input!$B$2,ROW(My_Audit!A809))</f>
        <v>XX809</v>
      </c>
    </row>
    <row r="811" spans="1:1">
      <c r="A811" s="2" t="str">
        <f>_xlfn.TEXTJOIN("",TRUE,Input!$B$2,ROW(My_Audit!A810))</f>
        <v>XX810</v>
      </c>
    </row>
    <row r="812" spans="1:1">
      <c r="A812" s="2" t="str">
        <f>_xlfn.TEXTJOIN("",TRUE,Input!$B$2,ROW(My_Audit!A811))</f>
        <v>XX811</v>
      </c>
    </row>
    <row r="813" spans="1:1">
      <c r="A813" s="2" t="str">
        <f>_xlfn.TEXTJOIN("",TRUE,Input!$B$2,ROW(My_Audit!A812))</f>
        <v>XX812</v>
      </c>
    </row>
    <row r="814" spans="1:1">
      <c r="A814" s="2" t="str">
        <f>_xlfn.TEXTJOIN("",TRUE,Input!$B$2,ROW(My_Audit!A813))</f>
        <v>XX813</v>
      </c>
    </row>
    <row r="815" spans="1:1">
      <c r="A815" s="2" t="str">
        <f>_xlfn.TEXTJOIN("",TRUE,Input!$B$2,ROW(My_Audit!A814))</f>
        <v>XX814</v>
      </c>
    </row>
    <row r="816" spans="1:1">
      <c r="A816" s="2" t="str">
        <f>_xlfn.TEXTJOIN("",TRUE,Input!$B$2,ROW(My_Audit!A815))</f>
        <v>XX815</v>
      </c>
    </row>
    <row r="817" spans="1:1">
      <c r="A817" s="2" t="str">
        <f>_xlfn.TEXTJOIN("",TRUE,Input!$B$2,ROW(My_Audit!A816))</f>
        <v>XX816</v>
      </c>
    </row>
    <row r="818" spans="1:1">
      <c r="A818" s="2" t="str">
        <f>_xlfn.TEXTJOIN("",TRUE,Input!$B$2,ROW(My_Audit!A817))</f>
        <v>XX817</v>
      </c>
    </row>
    <row r="819" spans="1:1">
      <c r="A819" s="2" t="str">
        <f>_xlfn.TEXTJOIN("",TRUE,Input!$B$2,ROW(My_Audit!A818))</f>
        <v>XX818</v>
      </c>
    </row>
    <row r="820" spans="1:1">
      <c r="A820" s="2" t="str">
        <f>_xlfn.TEXTJOIN("",TRUE,Input!$B$2,ROW(My_Audit!A819))</f>
        <v>XX819</v>
      </c>
    </row>
    <row r="821" spans="1:1">
      <c r="A821" s="2" t="str">
        <f>_xlfn.TEXTJOIN("",TRUE,Input!$B$2,ROW(My_Audit!A820))</f>
        <v>XX820</v>
      </c>
    </row>
    <row r="822" spans="1:1">
      <c r="A822" s="2" t="str">
        <f>_xlfn.TEXTJOIN("",TRUE,Input!$B$2,ROW(My_Audit!A821))</f>
        <v>XX821</v>
      </c>
    </row>
    <row r="823" spans="1:1">
      <c r="A823" s="2" t="str">
        <f>_xlfn.TEXTJOIN("",TRUE,Input!$B$2,ROW(My_Audit!A822))</f>
        <v>XX822</v>
      </c>
    </row>
    <row r="824" spans="1:1">
      <c r="A824" s="2" t="str">
        <f>_xlfn.TEXTJOIN("",TRUE,Input!$B$2,ROW(My_Audit!A823))</f>
        <v>XX823</v>
      </c>
    </row>
    <row r="825" spans="1:1">
      <c r="A825" s="2" t="str">
        <f>_xlfn.TEXTJOIN("",TRUE,Input!$B$2,ROW(My_Audit!A824))</f>
        <v>XX824</v>
      </c>
    </row>
    <row r="826" spans="1:1">
      <c r="A826" s="2" t="str">
        <f>_xlfn.TEXTJOIN("",TRUE,Input!$B$2,ROW(My_Audit!A825))</f>
        <v>XX825</v>
      </c>
    </row>
    <row r="827" spans="1:1">
      <c r="A827" s="2" t="str">
        <f>_xlfn.TEXTJOIN("",TRUE,Input!$B$2,ROW(My_Audit!A826))</f>
        <v>XX826</v>
      </c>
    </row>
    <row r="828" spans="1:1">
      <c r="A828" s="2" t="str">
        <f>_xlfn.TEXTJOIN("",TRUE,Input!$B$2,ROW(My_Audit!A827))</f>
        <v>XX827</v>
      </c>
    </row>
    <row r="829" spans="1:1">
      <c r="A829" s="2" t="str">
        <f>_xlfn.TEXTJOIN("",TRUE,Input!$B$2,ROW(My_Audit!A828))</f>
        <v>XX828</v>
      </c>
    </row>
    <row r="830" spans="1:1">
      <c r="A830" s="2" t="str">
        <f>_xlfn.TEXTJOIN("",TRUE,Input!$B$2,ROW(My_Audit!A829))</f>
        <v>XX829</v>
      </c>
    </row>
    <row r="831" spans="1:1">
      <c r="A831" s="2" t="str">
        <f>_xlfn.TEXTJOIN("",TRUE,Input!$B$2,ROW(My_Audit!A830))</f>
        <v>XX830</v>
      </c>
    </row>
    <row r="832" spans="1:1">
      <c r="A832" s="2" t="str">
        <f>_xlfn.TEXTJOIN("",TRUE,Input!$B$2,ROW(My_Audit!A831))</f>
        <v>XX831</v>
      </c>
    </row>
    <row r="833" spans="1:1">
      <c r="A833" s="2" t="str">
        <f>_xlfn.TEXTJOIN("",TRUE,Input!$B$2,ROW(My_Audit!A832))</f>
        <v>XX832</v>
      </c>
    </row>
    <row r="834" spans="1:1">
      <c r="A834" s="2" t="str">
        <f>_xlfn.TEXTJOIN("",TRUE,Input!$B$2,ROW(My_Audit!A833))</f>
        <v>XX833</v>
      </c>
    </row>
    <row r="835" spans="1:1">
      <c r="A835" s="2" t="str">
        <f>_xlfn.TEXTJOIN("",TRUE,Input!$B$2,ROW(My_Audit!A834))</f>
        <v>XX834</v>
      </c>
    </row>
    <row r="836" spans="1:1">
      <c r="A836" s="2" t="str">
        <f>_xlfn.TEXTJOIN("",TRUE,Input!$B$2,ROW(My_Audit!A835))</f>
        <v>XX835</v>
      </c>
    </row>
    <row r="837" spans="1:1">
      <c r="A837" s="2" t="str">
        <f>_xlfn.TEXTJOIN("",TRUE,Input!$B$2,ROW(My_Audit!A836))</f>
        <v>XX836</v>
      </c>
    </row>
    <row r="838" spans="1:1">
      <c r="A838" s="2" t="str">
        <f>_xlfn.TEXTJOIN("",TRUE,Input!$B$2,ROW(My_Audit!A837))</f>
        <v>XX837</v>
      </c>
    </row>
    <row r="839" spans="1:1">
      <c r="A839" s="2" t="str">
        <f>_xlfn.TEXTJOIN("",TRUE,Input!$B$2,ROW(My_Audit!A838))</f>
        <v>XX838</v>
      </c>
    </row>
    <row r="840" spans="1:1">
      <c r="A840" s="2" t="str">
        <f>_xlfn.TEXTJOIN("",TRUE,Input!$B$2,ROW(My_Audit!A839))</f>
        <v>XX839</v>
      </c>
    </row>
    <row r="841" spans="1:1">
      <c r="A841" s="2" t="str">
        <f>_xlfn.TEXTJOIN("",TRUE,Input!$B$2,ROW(My_Audit!A840))</f>
        <v>XX840</v>
      </c>
    </row>
    <row r="842" spans="1:1">
      <c r="A842" s="2" t="str">
        <f>_xlfn.TEXTJOIN("",TRUE,Input!$B$2,ROW(My_Audit!A841))</f>
        <v>XX841</v>
      </c>
    </row>
    <row r="843" spans="1:1">
      <c r="A843" s="2" t="str">
        <f>_xlfn.TEXTJOIN("",TRUE,Input!$B$2,ROW(My_Audit!A842))</f>
        <v>XX842</v>
      </c>
    </row>
    <row r="844" spans="1:1">
      <c r="A844" s="2" t="str">
        <f>_xlfn.TEXTJOIN("",TRUE,Input!$B$2,ROW(My_Audit!A843))</f>
        <v>XX843</v>
      </c>
    </row>
    <row r="845" spans="1:1">
      <c r="A845" s="2" t="str">
        <f>_xlfn.TEXTJOIN("",TRUE,Input!$B$2,ROW(My_Audit!A844))</f>
        <v>XX844</v>
      </c>
    </row>
    <row r="846" spans="1:1">
      <c r="A846" s="2" t="str">
        <f>_xlfn.TEXTJOIN("",TRUE,Input!$B$2,ROW(My_Audit!A845))</f>
        <v>XX845</v>
      </c>
    </row>
    <row r="847" spans="1:1">
      <c r="A847" s="2" t="str">
        <f>_xlfn.TEXTJOIN("",TRUE,Input!$B$2,ROW(My_Audit!A846))</f>
        <v>XX846</v>
      </c>
    </row>
    <row r="848" spans="1:1">
      <c r="A848" s="2" t="str">
        <f>_xlfn.TEXTJOIN("",TRUE,Input!$B$2,ROW(My_Audit!A847))</f>
        <v>XX847</v>
      </c>
    </row>
    <row r="849" spans="1:1">
      <c r="A849" s="2" t="str">
        <f>_xlfn.TEXTJOIN("",TRUE,Input!$B$2,ROW(My_Audit!A848))</f>
        <v>XX848</v>
      </c>
    </row>
    <row r="850" spans="1:1">
      <c r="A850" s="2" t="str">
        <f>_xlfn.TEXTJOIN("",TRUE,Input!$B$2,ROW(My_Audit!A849))</f>
        <v>XX849</v>
      </c>
    </row>
    <row r="851" spans="1:1">
      <c r="A851" s="2" t="str">
        <f>_xlfn.TEXTJOIN("",TRUE,Input!$B$2,ROW(My_Audit!A850))</f>
        <v>XX850</v>
      </c>
    </row>
    <row r="852" spans="1:1">
      <c r="A852" s="2" t="str">
        <f>_xlfn.TEXTJOIN("",TRUE,Input!$B$2,ROW(My_Audit!A851))</f>
        <v>XX851</v>
      </c>
    </row>
    <row r="853" spans="1:1">
      <c r="A853" s="2" t="str">
        <f>_xlfn.TEXTJOIN("",TRUE,Input!$B$2,ROW(My_Audit!A852))</f>
        <v>XX852</v>
      </c>
    </row>
    <row r="854" spans="1:1">
      <c r="A854" s="2" t="str">
        <f>_xlfn.TEXTJOIN("",TRUE,Input!$B$2,ROW(My_Audit!A853))</f>
        <v>XX853</v>
      </c>
    </row>
    <row r="855" spans="1:1">
      <c r="A855" s="2" t="str">
        <f>_xlfn.TEXTJOIN("",TRUE,Input!$B$2,ROW(My_Audit!A854))</f>
        <v>XX854</v>
      </c>
    </row>
    <row r="856" spans="1:1">
      <c r="A856" s="2" t="str">
        <f>_xlfn.TEXTJOIN("",TRUE,Input!$B$2,ROW(My_Audit!A855))</f>
        <v>XX855</v>
      </c>
    </row>
    <row r="857" spans="1:1">
      <c r="A857" s="2" t="str">
        <f>_xlfn.TEXTJOIN("",TRUE,Input!$B$2,ROW(My_Audit!A856))</f>
        <v>XX856</v>
      </c>
    </row>
    <row r="858" spans="1:1">
      <c r="A858" s="2" t="str">
        <f>_xlfn.TEXTJOIN("",TRUE,Input!$B$2,ROW(My_Audit!A857))</f>
        <v>XX857</v>
      </c>
    </row>
    <row r="859" spans="1:1">
      <c r="A859" s="2" t="str">
        <f>_xlfn.TEXTJOIN("",TRUE,Input!$B$2,ROW(My_Audit!A858))</f>
        <v>XX858</v>
      </c>
    </row>
    <row r="860" spans="1:1">
      <c r="A860" s="2" t="str">
        <f>_xlfn.TEXTJOIN("",TRUE,Input!$B$2,ROW(My_Audit!A859))</f>
        <v>XX859</v>
      </c>
    </row>
    <row r="861" spans="1:1">
      <c r="A861" s="2" t="str">
        <f>_xlfn.TEXTJOIN("",TRUE,Input!$B$2,ROW(My_Audit!A860))</f>
        <v>XX860</v>
      </c>
    </row>
    <row r="862" spans="1:1">
      <c r="A862" s="2" t="str">
        <f>_xlfn.TEXTJOIN("",TRUE,Input!$B$2,ROW(My_Audit!A861))</f>
        <v>XX861</v>
      </c>
    </row>
    <row r="863" spans="1:1">
      <c r="A863" s="2" t="str">
        <f>_xlfn.TEXTJOIN("",TRUE,Input!$B$2,ROW(My_Audit!A862))</f>
        <v>XX862</v>
      </c>
    </row>
    <row r="864" spans="1:1">
      <c r="A864" s="2" t="str">
        <f>_xlfn.TEXTJOIN("",TRUE,Input!$B$2,ROW(My_Audit!A863))</f>
        <v>XX863</v>
      </c>
    </row>
    <row r="865" spans="1:1">
      <c r="A865" s="2" t="str">
        <f>_xlfn.TEXTJOIN("",TRUE,Input!$B$2,ROW(My_Audit!A864))</f>
        <v>XX864</v>
      </c>
    </row>
    <row r="866" spans="1:1">
      <c r="A866" s="2" t="str">
        <f>_xlfn.TEXTJOIN("",TRUE,Input!$B$2,ROW(My_Audit!A865))</f>
        <v>XX865</v>
      </c>
    </row>
    <row r="867" spans="1:1">
      <c r="A867" s="2" t="str">
        <f>_xlfn.TEXTJOIN("",TRUE,Input!$B$2,ROW(My_Audit!A866))</f>
        <v>XX866</v>
      </c>
    </row>
    <row r="868" spans="1:1">
      <c r="A868" s="2" t="str">
        <f>_xlfn.TEXTJOIN("",TRUE,Input!$B$2,ROW(My_Audit!A867))</f>
        <v>XX867</v>
      </c>
    </row>
    <row r="869" spans="1:1">
      <c r="A869" s="2" t="str">
        <f>_xlfn.TEXTJOIN("",TRUE,Input!$B$2,ROW(My_Audit!A868))</f>
        <v>XX868</v>
      </c>
    </row>
    <row r="870" spans="1:1">
      <c r="A870" s="2" t="str">
        <f>_xlfn.TEXTJOIN("",TRUE,Input!$B$2,ROW(My_Audit!A869))</f>
        <v>XX869</v>
      </c>
    </row>
    <row r="871" spans="1:1">
      <c r="A871" s="2" t="str">
        <f>_xlfn.TEXTJOIN("",TRUE,Input!$B$2,ROW(My_Audit!A870))</f>
        <v>XX870</v>
      </c>
    </row>
    <row r="872" spans="1:1">
      <c r="A872" s="2" t="str">
        <f>_xlfn.TEXTJOIN("",TRUE,Input!$B$2,ROW(My_Audit!A871))</f>
        <v>XX871</v>
      </c>
    </row>
    <row r="873" spans="1:1">
      <c r="A873" s="2" t="str">
        <f>_xlfn.TEXTJOIN("",TRUE,Input!$B$2,ROW(My_Audit!A872))</f>
        <v>XX872</v>
      </c>
    </row>
    <row r="874" spans="1:1">
      <c r="A874" s="2" t="str">
        <f>_xlfn.TEXTJOIN("",TRUE,Input!$B$2,ROW(My_Audit!A873))</f>
        <v>XX873</v>
      </c>
    </row>
    <row r="875" spans="1:1">
      <c r="A875" s="2" t="str">
        <f>_xlfn.TEXTJOIN("",TRUE,Input!$B$2,ROW(My_Audit!A874))</f>
        <v>XX874</v>
      </c>
    </row>
    <row r="876" spans="1:1">
      <c r="A876" s="2" t="str">
        <f>_xlfn.TEXTJOIN("",TRUE,Input!$B$2,ROW(My_Audit!A875))</f>
        <v>XX875</v>
      </c>
    </row>
    <row r="877" spans="1:1">
      <c r="A877" s="2" t="str">
        <f>_xlfn.TEXTJOIN("",TRUE,Input!$B$2,ROW(My_Audit!A876))</f>
        <v>XX876</v>
      </c>
    </row>
    <row r="878" spans="1:1">
      <c r="A878" s="2" t="str">
        <f>_xlfn.TEXTJOIN("",TRUE,Input!$B$2,ROW(My_Audit!A877))</f>
        <v>XX877</v>
      </c>
    </row>
    <row r="879" spans="1:1">
      <c r="A879" s="2" t="str">
        <f>_xlfn.TEXTJOIN("",TRUE,Input!$B$2,ROW(My_Audit!A878))</f>
        <v>XX878</v>
      </c>
    </row>
    <row r="880" spans="1:1">
      <c r="A880" s="2" t="str">
        <f>_xlfn.TEXTJOIN("",TRUE,Input!$B$2,ROW(My_Audit!A879))</f>
        <v>XX879</v>
      </c>
    </row>
    <row r="881" spans="1:1">
      <c r="A881" s="2" t="str">
        <f>_xlfn.TEXTJOIN("",TRUE,Input!$B$2,ROW(My_Audit!A880))</f>
        <v>XX880</v>
      </c>
    </row>
    <row r="882" spans="1:1">
      <c r="A882" s="2" t="str">
        <f>_xlfn.TEXTJOIN("",TRUE,Input!$B$2,ROW(My_Audit!A881))</f>
        <v>XX881</v>
      </c>
    </row>
    <row r="883" spans="1:1">
      <c r="A883" s="2" t="str">
        <f>_xlfn.TEXTJOIN("",TRUE,Input!$B$2,ROW(My_Audit!A882))</f>
        <v>XX882</v>
      </c>
    </row>
    <row r="884" spans="1:1">
      <c r="A884" s="2" t="str">
        <f>_xlfn.TEXTJOIN("",TRUE,Input!$B$2,ROW(My_Audit!A883))</f>
        <v>XX883</v>
      </c>
    </row>
    <row r="885" spans="1:1">
      <c r="A885" s="2" t="str">
        <f>_xlfn.TEXTJOIN("",TRUE,Input!$B$2,ROW(My_Audit!A884))</f>
        <v>XX884</v>
      </c>
    </row>
    <row r="886" spans="1:1">
      <c r="A886" s="2" t="str">
        <f>_xlfn.TEXTJOIN("",TRUE,Input!$B$2,ROW(My_Audit!A885))</f>
        <v>XX885</v>
      </c>
    </row>
    <row r="887" spans="1:1">
      <c r="A887" s="2" t="str">
        <f>_xlfn.TEXTJOIN("",TRUE,Input!$B$2,ROW(My_Audit!A886))</f>
        <v>XX886</v>
      </c>
    </row>
    <row r="888" spans="1:1">
      <c r="A888" s="2" t="str">
        <f>_xlfn.TEXTJOIN("",TRUE,Input!$B$2,ROW(My_Audit!A887))</f>
        <v>XX887</v>
      </c>
    </row>
    <row r="889" spans="1:1">
      <c r="A889" s="2" t="str">
        <f>_xlfn.TEXTJOIN("",TRUE,Input!$B$2,ROW(My_Audit!A888))</f>
        <v>XX888</v>
      </c>
    </row>
    <row r="890" spans="1:1">
      <c r="A890" s="2" t="str">
        <f>_xlfn.TEXTJOIN("",TRUE,Input!$B$2,ROW(My_Audit!A889))</f>
        <v>XX889</v>
      </c>
    </row>
    <row r="891" spans="1:1">
      <c r="A891" s="2" t="str">
        <f>_xlfn.TEXTJOIN("",TRUE,Input!$B$2,ROW(My_Audit!A890))</f>
        <v>XX890</v>
      </c>
    </row>
    <row r="892" spans="1:1">
      <c r="A892" s="2" t="str">
        <f>_xlfn.TEXTJOIN("",TRUE,Input!$B$2,ROW(My_Audit!A891))</f>
        <v>XX891</v>
      </c>
    </row>
    <row r="893" spans="1:1">
      <c r="A893" s="2" t="str">
        <f>_xlfn.TEXTJOIN("",TRUE,Input!$B$2,ROW(My_Audit!A892))</f>
        <v>XX892</v>
      </c>
    </row>
    <row r="894" spans="1:1">
      <c r="A894" s="2" t="str">
        <f>_xlfn.TEXTJOIN("",TRUE,Input!$B$2,ROW(My_Audit!A893))</f>
        <v>XX893</v>
      </c>
    </row>
    <row r="895" spans="1:1">
      <c r="A895" s="2" t="str">
        <f>_xlfn.TEXTJOIN("",TRUE,Input!$B$2,ROW(My_Audit!A894))</f>
        <v>XX894</v>
      </c>
    </row>
    <row r="896" spans="1:1">
      <c r="A896" s="2" t="str">
        <f>_xlfn.TEXTJOIN("",TRUE,Input!$B$2,ROW(My_Audit!A895))</f>
        <v>XX895</v>
      </c>
    </row>
    <row r="897" spans="1:1">
      <c r="A897" s="2" t="str">
        <f>_xlfn.TEXTJOIN("",TRUE,Input!$B$2,ROW(My_Audit!A896))</f>
        <v>XX896</v>
      </c>
    </row>
    <row r="898" spans="1:1">
      <c r="A898" s="2" t="str">
        <f>_xlfn.TEXTJOIN("",TRUE,Input!$B$2,ROW(My_Audit!A897))</f>
        <v>XX897</v>
      </c>
    </row>
    <row r="899" spans="1:1">
      <c r="A899" s="2" t="str">
        <f>_xlfn.TEXTJOIN("",TRUE,Input!$B$2,ROW(My_Audit!A898))</f>
        <v>XX898</v>
      </c>
    </row>
    <row r="900" spans="1:1">
      <c r="A900" s="2" t="str">
        <f>_xlfn.TEXTJOIN("",TRUE,Input!$B$2,ROW(My_Audit!A899))</f>
        <v>XX899</v>
      </c>
    </row>
    <row r="901" spans="1:1">
      <c r="A901" s="2" t="str">
        <f>_xlfn.TEXTJOIN("",TRUE,Input!$B$2,ROW(My_Audit!A900))</f>
        <v>XX900</v>
      </c>
    </row>
    <row r="902" spans="1:1">
      <c r="A902" s="2" t="str">
        <f>_xlfn.TEXTJOIN("",TRUE,Input!$B$2,ROW(My_Audit!A901))</f>
        <v>XX901</v>
      </c>
    </row>
    <row r="903" spans="1:1">
      <c r="A903" s="2" t="str">
        <f>_xlfn.TEXTJOIN("",TRUE,Input!$B$2,ROW(My_Audit!A902))</f>
        <v>XX902</v>
      </c>
    </row>
    <row r="904" spans="1:1">
      <c r="A904" s="2" t="str">
        <f>_xlfn.TEXTJOIN("",TRUE,Input!$B$2,ROW(My_Audit!A903))</f>
        <v>XX903</v>
      </c>
    </row>
    <row r="905" spans="1:1">
      <c r="A905" s="2" t="str">
        <f>_xlfn.TEXTJOIN("",TRUE,Input!$B$2,ROW(My_Audit!A904))</f>
        <v>XX904</v>
      </c>
    </row>
    <row r="906" spans="1:1">
      <c r="A906" s="2" t="str">
        <f>_xlfn.TEXTJOIN("",TRUE,Input!$B$2,ROW(My_Audit!A905))</f>
        <v>XX905</v>
      </c>
    </row>
    <row r="907" spans="1:1">
      <c r="A907" s="2" t="str">
        <f>_xlfn.TEXTJOIN("",TRUE,Input!$B$2,ROW(My_Audit!A906))</f>
        <v>XX906</v>
      </c>
    </row>
    <row r="908" spans="1:1">
      <c r="A908" s="2" t="str">
        <f>_xlfn.TEXTJOIN("",TRUE,Input!$B$2,ROW(My_Audit!A907))</f>
        <v>XX907</v>
      </c>
    </row>
    <row r="909" spans="1:1">
      <c r="A909" s="2" t="str">
        <f>_xlfn.TEXTJOIN("",TRUE,Input!$B$2,ROW(My_Audit!A908))</f>
        <v>XX908</v>
      </c>
    </row>
    <row r="910" spans="1:1">
      <c r="A910" s="2" t="str">
        <f>_xlfn.TEXTJOIN("",TRUE,Input!$B$2,ROW(My_Audit!A909))</f>
        <v>XX909</v>
      </c>
    </row>
    <row r="911" spans="1:1">
      <c r="A911" s="2" t="str">
        <f>_xlfn.TEXTJOIN("",TRUE,Input!$B$2,ROW(My_Audit!A910))</f>
        <v>XX910</v>
      </c>
    </row>
    <row r="912" spans="1:1">
      <c r="A912" s="2" t="str">
        <f>_xlfn.TEXTJOIN("",TRUE,Input!$B$2,ROW(My_Audit!A911))</f>
        <v>XX911</v>
      </c>
    </row>
    <row r="913" spans="1:1">
      <c r="A913" s="2" t="str">
        <f>_xlfn.TEXTJOIN("",TRUE,Input!$B$2,ROW(My_Audit!A912))</f>
        <v>XX912</v>
      </c>
    </row>
    <row r="914" spans="1:1">
      <c r="A914" s="2" t="str">
        <f>_xlfn.TEXTJOIN("",TRUE,Input!$B$2,ROW(My_Audit!A913))</f>
        <v>XX913</v>
      </c>
    </row>
    <row r="915" spans="1:1">
      <c r="A915" s="2" t="str">
        <f>_xlfn.TEXTJOIN("",TRUE,Input!$B$2,ROW(My_Audit!A914))</f>
        <v>XX914</v>
      </c>
    </row>
    <row r="916" spans="1:1">
      <c r="A916" s="2" t="str">
        <f>_xlfn.TEXTJOIN("",TRUE,Input!$B$2,ROW(My_Audit!A915))</f>
        <v>XX915</v>
      </c>
    </row>
    <row r="917" spans="1:1">
      <c r="A917" s="2" t="str">
        <f>_xlfn.TEXTJOIN("",TRUE,Input!$B$2,ROW(My_Audit!A916))</f>
        <v>XX916</v>
      </c>
    </row>
    <row r="918" spans="1:1">
      <c r="A918" s="2" t="str">
        <f>_xlfn.TEXTJOIN("",TRUE,Input!$B$2,ROW(My_Audit!A917))</f>
        <v>XX917</v>
      </c>
    </row>
    <row r="919" spans="1:1">
      <c r="A919" s="2" t="str">
        <f>_xlfn.TEXTJOIN("",TRUE,Input!$B$2,ROW(My_Audit!A918))</f>
        <v>XX918</v>
      </c>
    </row>
    <row r="920" spans="1:1">
      <c r="A920" s="2" t="str">
        <f>_xlfn.TEXTJOIN("",TRUE,Input!$B$2,ROW(My_Audit!A919))</f>
        <v>XX919</v>
      </c>
    </row>
    <row r="921" spans="1:1">
      <c r="A921" s="2" t="str">
        <f>_xlfn.TEXTJOIN("",TRUE,Input!$B$2,ROW(My_Audit!A920))</f>
        <v>XX920</v>
      </c>
    </row>
    <row r="922" spans="1:1">
      <c r="A922" s="2" t="str">
        <f>_xlfn.TEXTJOIN("",TRUE,Input!$B$2,ROW(My_Audit!A921))</f>
        <v>XX921</v>
      </c>
    </row>
    <row r="923" spans="1:1">
      <c r="A923" s="2" t="str">
        <f>_xlfn.TEXTJOIN("",TRUE,Input!$B$2,ROW(My_Audit!A922))</f>
        <v>XX922</v>
      </c>
    </row>
    <row r="924" spans="1:1">
      <c r="A924" s="2" t="str">
        <f>_xlfn.TEXTJOIN("",TRUE,Input!$B$2,ROW(My_Audit!A923))</f>
        <v>XX923</v>
      </c>
    </row>
    <row r="925" spans="1:1">
      <c r="A925" s="2" t="str">
        <f>_xlfn.TEXTJOIN("",TRUE,Input!$B$2,ROW(My_Audit!A924))</f>
        <v>XX924</v>
      </c>
    </row>
    <row r="926" spans="1:1">
      <c r="A926" s="2" t="str">
        <f>_xlfn.TEXTJOIN("",TRUE,Input!$B$2,ROW(My_Audit!A925))</f>
        <v>XX925</v>
      </c>
    </row>
    <row r="927" spans="1:1">
      <c r="A927" s="2" t="str">
        <f>_xlfn.TEXTJOIN("",TRUE,Input!$B$2,ROW(My_Audit!A926))</f>
        <v>XX926</v>
      </c>
    </row>
    <row r="928" spans="1:1">
      <c r="A928" s="2" t="str">
        <f>_xlfn.TEXTJOIN("",TRUE,Input!$B$2,ROW(My_Audit!A927))</f>
        <v>XX927</v>
      </c>
    </row>
    <row r="929" spans="1:1">
      <c r="A929" s="2" t="str">
        <f>_xlfn.TEXTJOIN("",TRUE,Input!$B$2,ROW(My_Audit!A928))</f>
        <v>XX928</v>
      </c>
    </row>
    <row r="930" spans="1:1">
      <c r="A930" s="2" t="str">
        <f>_xlfn.TEXTJOIN("",TRUE,Input!$B$2,ROW(My_Audit!A929))</f>
        <v>XX929</v>
      </c>
    </row>
    <row r="931" spans="1:1">
      <c r="A931" s="2" t="str">
        <f>_xlfn.TEXTJOIN("",TRUE,Input!$B$2,ROW(My_Audit!A930))</f>
        <v>XX930</v>
      </c>
    </row>
    <row r="932" spans="1:1">
      <c r="A932" s="2" t="str">
        <f>_xlfn.TEXTJOIN("",TRUE,Input!$B$2,ROW(My_Audit!A931))</f>
        <v>XX931</v>
      </c>
    </row>
    <row r="933" spans="1:1">
      <c r="A933" s="2" t="str">
        <f>_xlfn.TEXTJOIN("",TRUE,Input!$B$2,ROW(My_Audit!A932))</f>
        <v>XX932</v>
      </c>
    </row>
    <row r="934" spans="1:1">
      <c r="A934" s="2" t="str">
        <f>_xlfn.TEXTJOIN("",TRUE,Input!$B$2,ROW(My_Audit!A933))</f>
        <v>XX933</v>
      </c>
    </row>
    <row r="935" spans="1:1">
      <c r="A935" s="2" t="str">
        <f>_xlfn.TEXTJOIN("",TRUE,Input!$B$2,ROW(My_Audit!A934))</f>
        <v>XX934</v>
      </c>
    </row>
    <row r="936" spans="1:1">
      <c r="A936" s="2" t="str">
        <f>_xlfn.TEXTJOIN("",TRUE,Input!$B$2,ROW(My_Audit!A935))</f>
        <v>XX935</v>
      </c>
    </row>
    <row r="937" spans="1:1">
      <c r="A937" s="2" t="str">
        <f>_xlfn.TEXTJOIN("",TRUE,Input!$B$2,ROW(My_Audit!A936))</f>
        <v>XX936</v>
      </c>
    </row>
    <row r="938" spans="1:1">
      <c r="A938" s="2" t="str">
        <f>_xlfn.TEXTJOIN("",TRUE,Input!$B$2,ROW(My_Audit!A937))</f>
        <v>XX937</v>
      </c>
    </row>
    <row r="939" spans="1:1">
      <c r="A939" s="2" t="str">
        <f>_xlfn.TEXTJOIN("",TRUE,Input!$B$2,ROW(My_Audit!A938))</f>
        <v>XX938</v>
      </c>
    </row>
    <row r="940" spans="1:1">
      <c r="A940" s="2" t="str">
        <f>_xlfn.TEXTJOIN("",TRUE,Input!$B$2,ROW(My_Audit!A939))</f>
        <v>XX939</v>
      </c>
    </row>
    <row r="941" spans="1:1">
      <c r="A941" s="2" t="str">
        <f>_xlfn.TEXTJOIN("",TRUE,Input!$B$2,ROW(My_Audit!A940))</f>
        <v>XX940</v>
      </c>
    </row>
    <row r="942" spans="1:1">
      <c r="A942" s="2" t="str">
        <f>_xlfn.TEXTJOIN("",TRUE,Input!$B$2,ROW(My_Audit!A941))</f>
        <v>XX941</v>
      </c>
    </row>
    <row r="943" spans="1:1">
      <c r="A943" s="2" t="str">
        <f>_xlfn.TEXTJOIN("",TRUE,Input!$B$2,ROW(My_Audit!A942))</f>
        <v>XX942</v>
      </c>
    </row>
    <row r="944" spans="1:1">
      <c r="A944" s="2" t="str">
        <f>_xlfn.TEXTJOIN("",TRUE,Input!$B$2,ROW(My_Audit!A943))</f>
        <v>XX943</v>
      </c>
    </row>
    <row r="945" spans="1:1">
      <c r="A945" s="2" t="str">
        <f>_xlfn.TEXTJOIN("",TRUE,Input!$B$2,ROW(My_Audit!A944))</f>
        <v>XX944</v>
      </c>
    </row>
    <row r="946" spans="1:1">
      <c r="A946" s="2" t="str">
        <f>_xlfn.TEXTJOIN("",TRUE,Input!$B$2,ROW(My_Audit!A945))</f>
        <v>XX945</v>
      </c>
    </row>
    <row r="947" spans="1:1">
      <c r="A947" s="2" t="str">
        <f>_xlfn.TEXTJOIN("",TRUE,Input!$B$2,ROW(My_Audit!A946))</f>
        <v>XX946</v>
      </c>
    </row>
    <row r="948" spans="1:1">
      <c r="A948" s="2" t="str">
        <f>_xlfn.TEXTJOIN("",TRUE,Input!$B$2,ROW(My_Audit!A947))</f>
        <v>XX947</v>
      </c>
    </row>
    <row r="949" spans="1:1">
      <c r="A949" s="2" t="str">
        <f>_xlfn.TEXTJOIN("",TRUE,Input!$B$2,ROW(My_Audit!A948))</f>
        <v>XX948</v>
      </c>
    </row>
    <row r="950" spans="1:1">
      <c r="A950" s="2" t="str">
        <f>_xlfn.TEXTJOIN("",TRUE,Input!$B$2,ROW(My_Audit!A949))</f>
        <v>XX949</v>
      </c>
    </row>
    <row r="951" spans="1:1">
      <c r="A951" s="2" t="str">
        <f>_xlfn.TEXTJOIN("",TRUE,Input!$B$2,ROW(My_Audit!A950))</f>
        <v>XX950</v>
      </c>
    </row>
    <row r="952" spans="1:1">
      <c r="A952" s="2" t="str">
        <f>_xlfn.TEXTJOIN("",TRUE,Input!$B$2,ROW(My_Audit!A951))</f>
        <v>XX951</v>
      </c>
    </row>
    <row r="953" spans="1:1">
      <c r="A953" s="2" t="str">
        <f>_xlfn.TEXTJOIN("",TRUE,Input!$B$2,ROW(My_Audit!A952))</f>
        <v>XX952</v>
      </c>
    </row>
    <row r="954" spans="1:1">
      <c r="A954" s="2" t="str">
        <f>_xlfn.TEXTJOIN("",TRUE,Input!$B$2,ROW(My_Audit!A953))</f>
        <v>XX953</v>
      </c>
    </row>
    <row r="955" spans="1:1">
      <c r="A955" s="2" t="str">
        <f>_xlfn.TEXTJOIN("",TRUE,Input!$B$2,ROW(My_Audit!A954))</f>
        <v>XX954</v>
      </c>
    </row>
    <row r="956" spans="1:1">
      <c r="A956" s="2" t="str">
        <f>_xlfn.TEXTJOIN("",TRUE,Input!$B$2,ROW(My_Audit!A955))</f>
        <v>XX955</v>
      </c>
    </row>
    <row r="957" spans="1:1">
      <c r="A957" s="2" t="str">
        <f>_xlfn.TEXTJOIN("",TRUE,Input!$B$2,ROW(My_Audit!A956))</f>
        <v>XX956</v>
      </c>
    </row>
    <row r="958" spans="1:1">
      <c r="A958" s="2" t="str">
        <f>_xlfn.TEXTJOIN("",TRUE,Input!$B$2,ROW(My_Audit!A957))</f>
        <v>XX957</v>
      </c>
    </row>
    <row r="959" spans="1:1">
      <c r="A959" s="2" t="str">
        <f>_xlfn.TEXTJOIN("",TRUE,Input!$B$2,ROW(My_Audit!A958))</f>
        <v>XX958</v>
      </c>
    </row>
    <row r="960" spans="1:1">
      <c r="A960" s="2" t="str">
        <f>_xlfn.TEXTJOIN("",TRUE,Input!$B$2,ROW(My_Audit!A959))</f>
        <v>XX959</v>
      </c>
    </row>
    <row r="961" spans="1:1">
      <c r="A961" s="2" t="str">
        <f>_xlfn.TEXTJOIN("",TRUE,Input!$B$2,ROW(My_Audit!A960))</f>
        <v>XX960</v>
      </c>
    </row>
    <row r="962" spans="1:1">
      <c r="A962" s="2" t="str">
        <f>_xlfn.TEXTJOIN("",TRUE,Input!$B$2,ROW(My_Audit!A961))</f>
        <v>XX961</v>
      </c>
    </row>
    <row r="963" spans="1:1">
      <c r="A963" s="2" t="str">
        <f>_xlfn.TEXTJOIN("",TRUE,Input!$B$2,ROW(My_Audit!A962))</f>
        <v>XX962</v>
      </c>
    </row>
    <row r="964" spans="1:1">
      <c r="A964" s="2" t="str">
        <f>_xlfn.TEXTJOIN("",TRUE,Input!$B$2,ROW(My_Audit!A963))</f>
        <v>XX963</v>
      </c>
    </row>
    <row r="965" spans="1:1">
      <c r="A965" s="2" t="str">
        <f>_xlfn.TEXTJOIN("",TRUE,Input!$B$2,ROW(My_Audit!A964))</f>
        <v>XX964</v>
      </c>
    </row>
    <row r="966" spans="1:1">
      <c r="A966" s="2" t="str">
        <f>_xlfn.TEXTJOIN("",TRUE,Input!$B$2,ROW(My_Audit!A965))</f>
        <v>XX965</v>
      </c>
    </row>
    <row r="967" spans="1:1">
      <c r="A967" s="2" t="str">
        <f>_xlfn.TEXTJOIN("",TRUE,Input!$B$2,ROW(My_Audit!A966))</f>
        <v>XX966</v>
      </c>
    </row>
    <row r="968" spans="1:1">
      <c r="A968" s="2" t="str">
        <f>_xlfn.TEXTJOIN("",TRUE,Input!$B$2,ROW(My_Audit!A967))</f>
        <v>XX967</v>
      </c>
    </row>
    <row r="969" spans="1:1">
      <c r="A969" s="2" t="str">
        <f>_xlfn.TEXTJOIN("",TRUE,Input!$B$2,ROW(My_Audit!A968))</f>
        <v>XX968</v>
      </c>
    </row>
    <row r="970" spans="1:1">
      <c r="A970" s="2" t="str">
        <f>_xlfn.TEXTJOIN("",TRUE,Input!$B$2,ROW(My_Audit!A969))</f>
        <v>XX969</v>
      </c>
    </row>
    <row r="971" spans="1:1">
      <c r="A971" s="2" t="str">
        <f>_xlfn.TEXTJOIN("",TRUE,Input!$B$2,ROW(My_Audit!A970))</f>
        <v>XX970</v>
      </c>
    </row>
    <row r="972" spans="1:1">
      <c r="A972" s="2" t="str">
        <f>_xlfn.TEXTJOIN("",TRUE,Input!$B$2,ROW(My_Audit!A971))</f>
        <v>XX971</v>
      </c>
    </row>
    <row r="973" spans="1:1">
      <c r="A973" s="2" t="str">
        <f>_xlfn.TEXTJOIN("",TRUE,Input!$B$2,ROW(My_Audit!A972))</f>
        <v>XX972</v>
      </c>
    </row>
    <row r="974" spans="1:1">
      <c r="A974" s="2" t="str">
        <f>_xlfn.TEXTJOIN("",TRUE,Input!$B$2,ROW(My_Audit!A973))</f>
        <v>XX973</v>
      </c>
    </row>
    <row r="975" spans="1:1">
      <c r="A975" s="2" t="str">
        <f>_xlfn.TEXTJOIN("",TRUE,Input!$B$2,ROW(My_Audit!A974))</f>
        <v>XX974</v>
      </c>
    </row>
    <row r="976" spans="1:1">
      <c r="A976" s="2" t="str">
        <f>_xlfn.TEXTJOIN("",TRUE,Input!$B$2,ROW(My_Audit!A975))</f>
        <v>XX975</v>
      </c>
    </row>
    <row r="977" spans="1:1">
      <c r="A977" s="2" t="str">
        <f>_xlfn.TEXTJOIN("",TRUE,Input!$B$2,ROW(My_Audit!A976))</f>
        <v>XX976</v>
      </c>
    </row>
    <row r="978" spans="1:1">
      <c r="A978" s="2" t="str">
        <f>_xlfn.TEXTJOIN("",TRUE,Input!$B$2,ROW(My_Audit!A977))</f>
        <v>XX977</v>
      </c>
    </row>
    <row r="979" spans="1:1">
      <c r="A979" s="2" t="str">
        <f>_xlfn.TEXTJOIN("",TRUE,Input!$B$2,ROW(My_Audit!A978))</f>
        <v>XX978</v>
      </c>
    </row>
    <row r="980" spans="1:1">
      <c r="A980" s="2" t="str">
        <f>_xlfn.TEXTJOIN("",TRUE,Input!$B$2,ROW(My_Audit!A979))</f>
        <v>XX979</v>
      </c>
    </row>
    <row r="981" spans="1:1">
      <c r="A981" s="2" t="str">
        <f>_xlfn.TEXTJOIN("",TRUE,Input!$B$2,ROW(My_Audit!A980))</f>
        <v>XX980</v>
      </c>
    </row>
    <row r="982" spans="1:1">
      <c r="A982" s="2" t="str">
        <f>_xlfn.TEXTJOIN("",TRUE,Input!$B$2,ROW(My_Audit!A981))</f>
        <v>XX981</v>
      </c>
    </row>
    <row r="983" spans="1:1">
      <c r="A983" s="2" t="str">
        <f>_xlfn.TEXTJOIN("",TRUE,Input!$B$2,ROW(My_Audit!A982))</f>
        <v>XX982</v>
      </c>
    </row>
    <row r="984" spans="1:1">
      <c r="A984" s="2" t="str">
        <f>_xlfn.TEXTJOIN("",TRUE,Input!$B$2,ROW(My_Audit!A983))</f>
        <v>XX983</v>
      </c>
    </row>
    <row r="985" spans="1:1">
      <c r="A985" s="2" t="str">
        <f>_xlfn.TEXTJOIN("",TRUE,Input!$B$2,ROW(My_Audit!A984))</f>
        <v>XX984</v>
      </c>
    </row>
    <row r="986" spans="1:1">
      <c r="A986" s="2" t="str">
        <f>_xlfn.TEXTJOIN("",TRUE,Input!$B$2,ROW(My_Audit!A985))</f>
        <v>XX985</v>
      </c>
    </row>
    <row r="987" spans="1:1">
      <c r="A987" s="2" t="str">
        <f>_xlfn.TEXTJOIN("",TRUE,Input!$B$2,ROW(My_Audit!A986))</f>
        <v>XX986</v>
      </c>
    </row>
    <row r="988" spans="1:1">
      <c r="A988" s="2" t="str">
        <f>_xlfn.TEXTJOIN("",TRUE,Input!$B$2,ROW(My_Audit!A987))</f>
        <v>XX987</v>
      </c>
    </row>
    <row r="989" spans="1:1">
      <c r="A989" s="2" t="str">
        <f>_xlfn.TEXTJOIN("",TRUE,Input!$B$2,ROW(My_Audit!A988))</f>
        <v>XX988</v>
      </c>
    </row>
    <row r="990" spans="1:1">
      <c r="A990" s="2" t="str">
        <f>_xlfn.TEXTJOIN("",TRUE,Input!$B$2,ROW(My_Audit!A989))</f>
        <v>XX989</v>
      </c>
    </row>
    <row r="991" spans="1:1">
      <c r="A991" s="2" t="str">
        <f>_xlfn.TEXTJOIN("",TRUE,Input!$B$2,ROW(My_Audit!A990))</f>
        <v>XX990</v>
      </c>
    </row>
    <row r="992" spans="1:1">
      <c r="A992" s="2" t="str">
        <f>_xlfn.TEXTJOIN("",TRUE,Input!$B$2,ROW(My_Audit!A991))</f>
        <v>XX991</v>
      </c>
    </row>
    <row r="993" spans="1:1">
      <c r="A993" s="2" t="str">
        <f>_xlfn.TEXTJOIN("",TRUE,Input!$B$2,ROW(My_Audit!A992))</f>
        <v>XX992</v>
      </c>
    </row>
    <row r="994" spans="1:1">
      <c r="A994" s="2" t="str">
        <f>_xlfn.TEXTJOIN("",TRUE,Input!$B$2,ROW(My_Audit!A993))</f>
        <v>XX993</v>
      </c>
    </row>
    <row r="995" spans="1:1">
      <c r="A995" s="2" t="str">
        <f>_xlfn.TEXTJOIN("",TRUE,Input!$B$2,ROW(My_Audit!A994))</f>
        <v>XX994</v>
      </c>
    </row>
    <row r="996" spans="1:1">
      <c r="A996" s="2" t="str">
        <f>_xlfn.TEXTJOIN("",TRUE,Input!$B$2,ROW(My_Audit!A995))</f>
        <v>XX995</v>
      </c>
    </row>
    <row r="997" spans="1:1">
      <c r="A997" s="2" t="str">
        <f>_xlfn.TEXTJOIN("",TRUE,Input!$B$2,ROW(My_Audit!A996))</f>
        <v>XX996</v>
      </c>
    </row>
    <row r="998" spans="1:1">
      <c r="A998" s="2" t="str">
        <f>_xlfn.TEXTJOIN("",TRUE,Input!$B$2,ROW(My_Audit!A997))</f>
        <v>XX997</v>
      </c>
    </row>
    <row r="999" spans="1:1">
      <c r="A999" s="2" t="str">
        <f>_xlfn.TEXTJOIN("",TRUE,Input!$B$2,ROW(My_Audit!A998))</f>
        <v>XX998</v>
      </c>
    </row>
    <row r="1000" spans="1:1">
      <c r="A1000" s="2" t="str">
        <f>_xlfn.TEXTJOIN("",TRUE,Input!$B$2,ROW(My_Audit!A999))</f>
        <v>XX999</v>
      </c>
    </row>
    <row r="1001" spans="1:1">
      <c r="A1001" s="2" t="str">
        <f>_xlfn.TEXTJOIN("",TRUE,Input!$B$2,ROW(My_Audit!A1000))</f>
        <v>XX1000</v>
      </c>
    </row>
    <row r="1002" spans="1:1">
      <c r="A1002" s="2" t="str">
        <f>_xlfn.TEXTJOIN("",TRUE,Input!$B$2,ROW(My_Audit!A1001))</f>
        <v>XX1001</v>
      </c>
    </row>
    <row r="1003" spans="1:1">
      <c r="A1003" s="2" t="str">
        <f>_xlfn.TEXTJOIN("",TRUE,Input!$B$2,ROW(My_Audit!A1002))</f>
        <v>XX1002</v>
      </c>
    </row>
    <row r="1004" spans="1:1">
      <c r="A1004" s="2" t="str">
        <f>_xlfn.TEXTJOIN("",TRUE,Input!$B$2,ROW(My_Audit!A1003))</f>
        <v>XX1003</v>
      </c>
    </row>
    <row r="1005" spans="1:1">
      <c r="A1005" s="2" t="str">
        <f>_xlfn.TEXTJOIN("",TRUE,Input!$B$2,ROW(My_Audit!A1004))</f>
        <v>XX1004</v>
      </c>
    </row>
    <row r="1006" spans="1:1">
      <c r="A1006" s="2" t="str">
        <f>_xlfn.TEXTJOIN("",TRUE,Input!$B$2,ROW(My_Audit!A1005))</f>
        <v>XX1005</v>
      </c>
    </row>
    <row r="1007" spans="1:1">
      <c r="A1007" s="2" t="str">
        <f>_xlfn.TEXTJOIN("",TRUE,Input!$B$2,ROW(My_Audit!A1006))</f>
        <v>XX1006</v>
      </c>
    </row>
    <row r="1008" spans="1:1">
      <c r="A1008" s="2" t="str">
        <f>_xlfn.TEXTJOIN("",TRUE,Input!$B$2,ROW(My_Audit!A1007))</f>
        <v>XX1007</v>
      </c>
    </row>
    <row r="1009" spans="1:1">
      <c r="A1009" s="2" t="str">
        <f>_xlfn.TEXTJOIN("",TRUE,Input!$B$2,ROW(My_Audit!A1008))</f>
        <v>XX1008</v>
      </c>
    </row>
    <row r="1010" spans="1:1">
      <c r="A1010" s="2" t="str">
        <f>_xlfn.TEXTJOIN("",TRUE,Input!$B$2,ROW(My_Audit!A1009))</f>
        <v>XX1009</v>
      </c>
    </row>
    <row r="1011" spans="1:1">
      <c r="A1011" s="2" t="str">
        <f>_xlfn.TEXTJOIN("",TRUE,Input!$B$2,ROW(My_Audit!A1010))</f>
        <v>XX1010</v>
      </c>
    </row>
    <row r="1012" spans="1:1">
      <c r="A1012" s="2" t="str">
        <f>_xlfn.TEXTJOIN("",TRUE,Input!$B$2,ROW(My_Audit!A1011))</f>
        <v>XX1011</v>
      </c>
    </row>
    <row r="1013" spans="1:1">
      <c r="A1013" s="2" t="str">
        <f>_xlfn.TEXTJOIN("",TRUE,Input!$B$2,ROW(My_Audit!A1012))</f>
        <v>XX1012</v>
      </c>
    </row>
    <row r="1014" spans="1:1">
      <c r="A1014" s="2" t="str">
        <f>_xlfn.TEXTJOIN("",TRUE,Input!$B$2,ROW(My_Audit!A1013))</f>
        <v>XX1013</v>
      </c>
    </row>
    <row r="1015" spans="1:1">
      <c r="A1015" s="2" t="str">
        <f>_xlfn.TEXTJOIN("",TRUE,Input!$B$2,ROW(My_Audit!A1014))</f>
        <v>XX1014</v>
      </c>
    </row>
    <row r="1016" spans="1:1">
      <c r="A1016" s="2" t="str">
        <f>_xlfn.TEXTJOIN("",TRUE,Input!$B$2,ROW(My_Audit!A1015))</f>
        <v>XX1015</v>
      </c>
    </row>
    <row r="1017" spans="1:1">
      <c r="A1017" s="2" t="str">
        <f>_xlfn.TEXTJOIN("",TRUE,Input!$B$2,ROW(My_Audit!A1016))</f>
        <v>XX1016</v>
      </c>
    </row>
    <row r="1018" spans="1:1">
      <c r="A1018" s="2" t="str">
        <f>_xlfn.TEXTJOIN("",TRUE,Input!$B$2,ROW(My_Audit!A1017))</f>
        <v>XX1017</v>
      </c>
    </row>
    <row r="1019" spans="1:1">
      <c r="A1019" s="2" t="str">
        <f>_xlfn.TEXTJOIN("",TRUE,Input!$B$2,ROW(My_Audit!A1018))</f>
        <v>XX1018</v>
      </c>
    </row>
    <row r="1020" spans="1:1">
      <c r="A1020" s="2" t="str">
        <f>_xlfn.TEXTJOIN("",TRUE,Input!$B$2,ROW(My_Audit!A1019))</f>
        <v>XX1019</v>
      </c>
    </row>
    <row r="1021" spans="1:1">
      <c r="A1021" s="2" t="str">
        <f>_xlfn.TEXTJOIN("",TRUE,Input!$B$2,ROW(My_Audit!A1020))</f>
        <v>XX1020</v>
      </c>
    </row>
    <row r="1022" spans="1:1">
      <c r="A1022" s="2" t="str">
        <f>_xlfn.TEXTJOIN("",TRUE,Input!$B$2,ROW(My_Audit!A1021))</f>
        <v>XX1021</v>
      </c>
    </row>
    <row r="1023" spans="1:1">
      <c r="A1023" s="2" t="str">
        <f>_xlfn.TEXTJOIN("",TRUE,Input!$B$2,ROW(My_Audit!A1022))</f>
        <v>XX1022</v>
      </c>
    </row>
    <row r="1024" spans="1:1">
      <c r="A1024" s="2" t="str">
        <f>_xlfn.TEXTJOIN("",TRUE,Input!$B$2,ROW(My_Audit!A1023))</f>
        <v>XX1023</v>
      </c>
    </row>
    <row r="1025" spans="1:1">
      <c r="A1025" s="2" t="str">
        <f>_xlfn.TEXTJOIN("",TRUE,Input!$B$2,ROW(My_Audit!A1024))</f>
        <v>XX1024</v>
      </c>
    </row>
    <row r="1026" spans="1:1">
      <c r="A1026" s="2" t="str">
        <f>_xlfn.TEXTJOIN("",TRUE,Input!$B$2,ROW(My_Audit!A1025))</f>
        <v>XX1025</v>
      </c>
    </row>
    <row r="1027" spans="1:1">
      <c r="A1027" s="2" t="str">
        <f>_xlfn.TEXTJOIN("",TRUE,Input!$B$2,ROW(My_Audit!A1026))</f>
        <v>XX1026</v>
      </c>
    </row>
    <row r="1028" spans="1:1">
      <c r="A1028" s="2" t="str">
        <f>_xlfn.TEXTJOIN("",TRUE,Input!$B$2,ROW(My_Audit!A1027))</f>
        <v>XX1027</v>
      </c>
    </row>
    <row r="1029" spans="1:1">
      <c r="A1029" s="2" t="str">
        <f>_xlfn.TEXTJOIN("",TRUE,Input!$B$2,ROW(My_Audit!A1028))</f>
        <v>XX1028</v>
      </c>
    </row>
    <row r="1030" spans="1:1">
      <c r="A1030" s="2" t="str">
        <f>_xlfn.TEXTJOIN("",TRUE,Input!$B$2,ROW(My_Audit!A1029))</f>
        <v>XX1029</v>
      </c>
    </row>
    <row r="1031" spans="1:1">
      <c r="A1031" s="2" t="str">
        <f>_xlfn.TEXTJOIN("",TRUE,Input!$B$2,ROW(My_Audit!A1030))</f>
        <v>XX1030</v>
      </c>
    </row>
    <row r="1032" spans="1:1">
      <c r="A1032" s="2" t="str">
        <f>_xlfn.TEXTJOIN("",TRUE,Input!$B$2,ROW(My_Audit!A1031))</f>
        <v>XX1031</v>
      </c>
    </row>
    <row r="1033" spans="1:1">
      <c r="A1033" s="2" t="str">
        <f>_xlfn.TEXTJOIN("",TRUE,Input!$B$2,ROW(My_Audit!A1032))</f>
        <v>XX1032</v>
      </c>
    </row>
    <row r="1034" spans="1:1">
      <c r="A1034" s="2" t="str">
        <f>_xlfn.TEXTJOIN("",TRUE,Input!$B$2,ROW(My_Audit!A1033))</f>
        <v>XX1033</v>
      </c>
    </row>
    <row r="1035" spans="1:1">
      <c r="A1035" s="2" t="str">
        <f>_xlfn.TEXTJOIN("",TRUE,Input!$B$2,ROW(My_Audit!A1034))</f>
        <v>XX1034</v>
      </c>
    </row>
    <row r="1036" spans="1:1">
      <c r="A1036" s="2" t="str">
        <f>_xlfn.TEXTJOIN("",TRUE,Input!$B$2,ROW(My_Audit!A1035))</f>
        <v>XX1035</v>
      </c>
    </row>
    <row r="1037" spans="1:1">
      <c r="A1037" s="2" t="str">
        <f>_xlfn.TEXTJOIN("",TRUE,Input!$B$2,ROW(My_Audit!A1036))</f>
        <v>XX1036</v>
      </c>
    </row>
    <row r="1038" spans="1:1">
      <c r="A1038" s="2" t="str">
        <f>_xlfn.TEXTJOIN("",TRUE,Input!$B$2,ROW(My_Audit!A1037))</f>
        <v>XX1037</v>
      </c>
    </row>
    <row r="1039" spans="1:1">
      <c r="A1039" s="2" t="str">
        <f>_xlfn.TEXTJOIN("",TRUE,Input!$B$2,ROW(My_Audit!A1038))</f>
        <v>XX1038</v>
      </c>
    </row>
    <row r="1040" spans="1:1">
      <c r="A1040" s="2" t="str">
        <f>_xlfn.TEXTJOIN("",TRUE,Input!$B$2,ROW(My_Audit!A1039))</f>
        <v>XX1039</v>
      </c>
    </row>
    <row r="1041" spans="1:1">
      <c r="A1041" s="2" t="str">
        <f>_xlfn.TEXTJOIN("",TRUE,Input!$B$2,ROW(My_Audit!A1040))</f>
        <v>XX1040</v>
      </c>
    </row>
    <row r="1042" spans="1:1">
      <c r="A1042" s="2" t="str">
        <f>_xlfn.TEXTJOIN("",TRUE,Input!$B$2,ROW(My_Audit!A1041))</f>
        <v>XX1041</v>
      </c>
    </row>
    <row r="1043" spans="1:1">
      <c r="A1043" s="2" t="str">
        <f>_xlfn.TEXTJOIN("",TRUE,Input!$B$2,ROW(My_Audit!A1042))</f>
        <v>XX1042</v>
      </c>
    </row>
    <row r="1044" spans="1:1">
      <c r="A1044" s="2" t="str">
        <f>_xlfn.TEXTJOIN("",TRUE,Input!$B$2,ROW(My_Audit!A1043))</f>
        <v>XX1043</v>
      </c>
    </row>
    <row r="1045" spans="1:1">
      <c r="A1045" s="2" t="str">
        <f>_xlfn.TEXTJOIN("",TRUE,Input!$B$2,ROW(My_Audit!A1044))</f>
        <v>XX1044</v>
      </c>
    </row>
    <row r="1046" spans="1:1">
      <c r="A1046" s="2" t="str">
        <f>_xlfn.TEXTJOIN("",TRUE,Input!$B$2,ROW(My_Audit!A1045))</f>
        <v>XX1045</v>
      </c>
    </row>
    <row r="1047" spans="1:1">
      <c r="A1047" s="2" t="str">
        <f>_xlfn.TEXTJOIN("",TRUE,Input!$B$2,ROW(My_Audit!A1046))</f>
        <v>XX1046</v>
      </c>
    </row>
    <row r="1048" spans="1:1">
      <c r="A1048" s="2" t="str">
        <f>_xlfn.TEXTJOIN("",TRUE,Input!$B$2,ROW(My_Audit!A1047))</f>
        <v>XX1047</v>
      </c>
    </row>
    <row r="1049" spans="1:1">
      <c r="A1049" s="2" t="str">
        <f>_xlfn.TEXTJOIN("",TRUE,Input!$B$2,ROW(My_Audit!A1048))</f>
        <v>XX1048</v>
      </c>
    </row>
    <row r="1050" spans="1:1">
      <c r="A1050" s="2" t="str">
        <f>_xlfn.TEXTJOIN("",TRUE,Input!$B$2,ROW(My_Audit!A1049))</f>
        <v>XX1049</v>
      </c>
    </row>
    <row r="1051" spans="1:1">
      <c r="A1051" s="2" t="str">
        <f>_xlfn.TEXTJOIN("",TRUE,Input!$B$2,ROW(My_Audit!A1050))</f>
        <v>XX1050</v>
      </c>
    </row>
    <row r="1052" spans="1:1">
      <c r="A1052" s="2" t="str">
        <f>_xlfn.TEXTJOIN("",TRUE,Input!$B$2,ROW(My_Audit!A1051))</f>
        <v>XX1051</v>
      </c>
    </row>
    <row r="1053" spans="1:1">
      <c r="A1053" s="2" t="str">
        <f>_xlfn.TEXTJOIN("",TRUE,Input!$B$2,ROW(My_Audit!A1052))</f>
        <v>XX1052</v>
      </c>
    </row>
    <row r="1054" spans="1:1">
      <c r="A1054" s="2" t="str">
        <f>_xlfn.TEXTJOIN("",TRUE,Input!$B$2,ROW(My_Audit!A1053))</f>
        <v>XX1053</v>
      </c>
    </row>
    <row r="1055" spans="1:1">
      <c r="A1055" s="2" t="str">
        <f>_xlfn.TEXTJOIN("",TRUE,Input!$B$2,ROW(My_Audit!A1054))</f>
        <v>XX1054</v>
      </c>
    </row>
    <row r="1056" spans="1:1">
      <c r="A1056" s="2" t="str">
        <f>_xlfn.TEXTJOIN("",TRUE,Input!$B$2,ROW(My_Audit!A1055))</f>
        <v>XX1055</v>
      </c>
    </row>
    <row r="1057" spans="1:1">
      <c r="A1057" s="2" t="str">
        <f>_xlfn.TEXTJOIN("",TRUE,Input!$B$2,ROW(My_Audit!A1056))</f>
        <v>XX1056</v>
      </c>
    </row>
    <row r="1058" spans="1:1">
      <c r="A1058" s="2" t="str">
        <f>_xlfn.TEXTJOIN("",TRUE,Input!$B$2,ROW(My_Audit!A1057))</f>
        <v>XX1057</v>
      </c>
    </row>
    <row r="1059" spans="1:1">
      <c r="A1059" s="2" t="str">
        <f>_xlfn.TEXTJOIN("",TRUE,Input!$B$2,ROW(My_Audit!A1058))</f>
        <v>XX1058</v>
      </c>
    </row>
    <row r="1060" spans="1:1">
      <c r="A1060" s="2" t="str">
        <f>_xlfn.TEXTJOIN("",TRUE,Input!$B$2,ROW(My_Audit!A1059))</f>
        <v>XX1059</v>
      </c>
    </row>
    <row r="1061" spans="1:1">
      <c r="A1061" s="2" t="str">
        <f>_xlfn.TEXTJOIN("",TRUE,Input!$B$2,ROW(My_Audit!A1060))</f>
        <v>XX1060</v>
      </c>
    </row>
    <row r="1062" spans="1:1">
      <c r="A1062" s="2" t="str">
        <f>_xlfn.TEXTJOIN("",TRUE,Input!$B$2,ROW(My_Audit!A1061))</f>
        <v>XX1061</v>
      </c>
    </row>
    <row r="1063" spans="1:1">
      <c r="A1063" s="2" t="str">
        <f>_xlfn.TEXTJOIN("",TRUE,Input!$B$2,ROW(My_Audit!A1062))</f>
        <v>XX1062</v>
      </c>
    </row>
    <row r="1064" spans="1:1">
      <c r="A1064" s="2" t="str">
        <f>_xlfn.TEXTJOIN("",TRUE,Input!$B$2,ROW(My_Audit!A1063))</f>
        <v>XX1063</v>
      </c>
    </row>
    <row r="1065" spans="1:1">
      <c r="A1065" s="2" t="str">
        <f>_xlfn.TEXTJOIN("",TRUE,Input!$B$2,ROW(My_Audit!A1064))</f>
        <v>XX1064</v>
      </c>
    </row>
    <row r="1066" spans="1:1">
      <c r="A1066" s="2" t="str">
        <f>_xlfn.TEXTJOIN("",TRUE,Input!$B$2,ROW(My_Audit!A1065))</f>
        <v>XX1065</v>
      </c>
    </row>
    <row r="1067" spans="1:1">
      <c r="A1067" s="2" t="str">
        <f>_xlfn.TEXTJOIN("",TRUE,Input!$B$2,ROW(My_Audit!A1066))</f>
        <v>XX1066</v>
      </c>
    </row>
    <row r="1068" spans="1:1">
      <c r="A1068" s="2" t="str">
        <f>_xlfn.TEXTJOIN("",TRUE,Input!$B$2,ROW(My_Audit!A1067))</f>
        <v>XX1067</v>
      </c>
    </row>
    <row r="1069" spans="1:1">
      <c r="A1069" s="2" t="str">
        <f>_xlfn.TEXTJOIN("",TRUE,Input!$B$2,ROW(My_Audit!A1068))</f>
        <v>XX1068</v>
      </c>
    </row>
    <row r="1070" spans="1:1">
      <c r="A1070" s="2" t="str">
        <f>_xlfn.TEXTJOIN("",TRUE,Input!$B$2,ROW(My_Audit!A1069))</f>
        <v>XX1069</v>
      </c>
    </row>
    <row r="1071" spans="1:1">
      <c r="A1071" s="2" t="str">
        <f>_xlfn.TEXTJOIN("",TRUE,Input!$B$2,ROW(My_Audit!A1070))</f>
        <v>XX1070</v>
      </c>
    </row>
    <row r="1072" spans="1:1">
      <c r="A1072" s="2" t="str">
        <f>_xlfn.TEXTJOIN("",TRUE,Input!$B$2,ROW(My_Audit!A1071))</f>
        <v>XX1071</v>
      </c>
    </row>
    <row r="1073" spans="1:1">
      <c r="A1073" s="2" t="str">
        <f>_xlfn.TEXTJOIN("",TRUE,Input!$B$2,ROW(My_Audit!A1072))</f>
        <v>XX1072</v>
      </c>
    </row>
    <row r="1074" spans="1:1">
      <c r="A1074" s="2" t="str">
        <f>_xlfn.TEXTJOIN("",TRUE,Input!$B$2,ROW(My_Audit!A1073))</f>
        <v>XX1073</v>
      </c>
    </row>
    <row r="1075" spans="1:1">
      <c r="A1075" s="2" t="str">
        <f>_xlfn.TEXTJOIN("",TRUE,Input!$B$2,ROW(My_Audit!A1074))</f>
        <v>XX1074</v>
      </c>
    </row>
    <row r="1076" spans="1:1">
      <c r="A1076" s="2" t="str">
        <f>_xlfn.TEXTJOIN("",TRUE,Input!$B$2,ROW(My_Audit!A1075))</f>
        <v>XX1075</v>
      </c>
    </row>
    <row r="1077" spans="1:1">
      <c r="A1077" s="2" t="str">
        <f>_xlfn.TEXTJOIN("",TRUE,Input!$B$2,ROW(My_Audit!A1076))</f>
        <v>XX1076</v>
      </c>
    </row>
    <row r="1078" spans="1:1">
      <c r="A1078" s="2" t="str">
        <f>_xlfn.TEXTJOIN("",TRUE,Input!$B$2,ROW(My_Audit!A1077))</f>
        <v>XX1077</v>
      </c>
    </row>
    <row r="1079" spans="1:1">
      <c r="A1079" s="2" t="str">
        <f>_xlfn.TEXTJOIN("",TRUE,Input!$B$2,ROW(My_Audit!A1078))</f>
        <v>XX1078</v>
      </c>
    </row>
    <row r="1080" spans="1:1">
      <c r="A1080" s="2" t="str">
        <f>_xlfn.TEXTJOIN("",TRUE,Input!$B$2,ROW(My_Audit!A1079))</f>
        <v>XX1079</v>
      </c>
    </row>
    <row r="1081" spans="1:1">
      <c r="A1081" s="2" t="str">
        <f>_xlfn.TEXTJOIN("",TRUE,Input!$B$2,ROW(My_Audit!A1080))</f>
        <v>XX1080</v>
      </c>
    </row>
    <row r="1082" spans="1:1">
      <c r="A1082" s="2" t="str">
        <f>_xlfn.TEXTJOIN("",TRUE,Input!$B$2,ROW(My_Audit!A1081))</f>
        <v>XX1081</v>
      </c>
    </row>
    <row r="1083" spans="1:1">
      <c r="A1083" s="2" t="str">
        <f>_xlfn.TEXTJOIN("",TRUE,Input!$B$2,ROW(My_Audit!A1082))</f>
        <v>XX1082</v>
      </c>
    </row>
    <row r="1084" spans="1:1">
      <c r="A1084" s="2" t="str">
        <f>_xlfn.TEXTJOIN("",TRUE,Input!$B$2,ROW(My_Audit!A1083))</f>
        <v>XX1083</v>
      </c>
    </row>
    <row r="1085" spans="1:1">
      <c r="A1085" s="2" t="str">
        <f>_xlfn.TEXTJOIN("",TRUE,Input!$B$2,ROW(My_Audit!A1084))</f>
        <v>XX1084</v>
      </c>
    </row>
    <row r="1086" spans="1:1">
      <c r="A1086" s="2" t="str">
        <f>_xlfn.TEXTJOIN("",TRUE,Input!$B$2,ROW(My_Audit!A1085))</f>
        <v>XX1085</v>
      </c>
    </row>
    <row r="1087" spans="1:1">
      <c r="A1087" s="2" t="str">
        <f>_xlfn.TEXTJOIN("",TRUE,Input!$B$2,ROW(My_Audit!A1086))</f>
        <v>XX1086</v>
      </c>
    </row>
    <row r="1088" spans="1:1">
      <c r="A1088" s="2" t="str">
        <f>_xlfn.TEXTJOIN("",TRUE,Input!$B$2,ROW(My_Audit!A1087))</f>
        <v>XX1087</v>
      </c>
    </row>
    <row r="1089" spans="1:1">
      <c r="A1089" s="2" t="str">
        <f>_xlfn.TEXTJOIN("",TRUE,Input!$B$2,ROW(My_Audit!A1088))</f>
        <v>XX1088</v>
      </c>
    </row>
    <row r="1090" spans="1:1">
      <c r="A1090" s="2" t="str">
        <f>_xlfn.TEXTJOIN("",TRUE,Input!$B$2,ROW(My_Audit!A1089))</f>
        <v>XX1089</v>
      </c>
    </row>
    <row r="1091" spans="1:1">
      <c r="A1091" s="2" t="str">
        <f>_xlfn.TEXTJOIN("",TRUE,Input!$B$2,ROW(My_Audit!A1090))</f>
        <v>XX1090</v>
      </c>
    </row>
    <row r="1092" spans="1:1">
      <c r="A1092" s="2" t="str">
        <f>_xlfn.TEXTJOIN("",TRUE,Input!$B$2,ROW(My_Audit!A1091))</f>
        <v>XX1091</v>
      </c>
    </row>
    <row r="1093" spans="1:1">
      <c r="A1093" s="2" t="str">
        <f>_xlfn.TEXTJOIN("",TRUE,Input!$B$2,ROW(My_Audit!A1092))</f>
        <v>XX1092</v>
      </c>
    </row>
    <row r="1094" spans="1:1">
      <c r="A1094" s="2" t="str">
        <f>_xlfn.TEXTJOIN("",TRUE,Input!$B$2,ROW(My_Audit!A1093))</f>
        <v>XX1093</v>
      </c>
    </row>
    <row r="1095" spans="1:1">
      <c r="A1095" s="2" t="str">
        <f>_xlfn.TEXTJOIN("",TRUE,Input!$B$2,ROW(My_Audit!A1094))</f>
        <v>XX1094</v>
      </c>
    </row>
    <row r="1096" spans="1:1">
      <c r="A1096" s="2" t="str">
        <f>_xlfn.TEXTJOIN("",TRUE,Input!$B$2,ROW(My_Audit!A1095))</f>
        <v>XX1095</v>
      </c>
    </row>
    <row r="1097" spans="1:1">
      <c r="A1097" s="2" t="str">
        <f>_xlfn.TEXTJOIN("",TRUE,Input!$B$2,ROW(My_Audit!A1096))</f>
        <v>XX1096</v>
      </c>
    </row>
    <row r="1098" spans="1:1">
      <c r="A1098" s="2" t="str">
        <f>_xlfn.TEXTJOIN("",TRUE,Input!$B$2,ROW(My_Audit!A1097))</f>
        <v>XX1097</v>
      </c>
    </row>
    <row r="1099" spans="1:1">
      <c r="A1099" s="2" t="str">
        <f>_xlfn.TEXTJOIN("",TRUE,Input!$B$2,ROW(My_Audit!A1098))</f>
        <v>XX1098</v>
      </c>
    </row>
    <row r="1100" spans="1:1">
      <c r="A1100" s="2" t="str">
        <f>_xlfn.TEXTJOIN("",TRUE,Input!$B$2,ROW(My_Audit!A1099))</f>
        <v>XX1099</v>
      </c>
    </row>
    <row r="1101" spans="1:1">
      <c r="A1101" s="2" t="str">
        <f>_xlfn.TEXTJOIN("",TRUE,Input!$B$2,ROW(My_Audit!A1100))</f>
        <v>XX1100</v>
      </c>
    </row>
    <row r="1102" spans="1:1">
      <c r="A1102" s="2" t="str">
        <f>_xlfn.TEXTJOIN("",TRUE,Input!$B$2,ROW(My_Audit!A1101))</f>
        <v>XX1101</v>
      </c>
    </row>
    <row r="1103" spans="1:1">
      <c r="A1103" s="2" t="str">
        <f>_xlfn.TEXTJOIN("",TRUE,Input!$B$2,ROW(My_Audit!A1102))</f>
        <v>XX1102</v>
      </c>
    </row>
    <row r="1104" spans="1:1">
      <c r="A1104" s="2" t="str">
        <f>_xlfn.TEXTJOIN("",TRUE,Input!$B$2,ROW(My_Audit!A1103))</f>
        <v>XX1103</v>
      </c>
    </row>
    <row r="1105" spans="1:1">
      <c r="A1105" s="2" t="str">
        <f>_xlfn.TEXTJOIN("",TRUE,Input!$B$2,ROW(My_Audit!A1104))</f>
        <v>XX1104</v>
      </c>
    </row>
    <row r="1106" spans="1:1">
      <c r="A1106" s="2" t="str">
        <f>_xlfn.TEXTJOIN("",TRUE,Input!$B$2,ROW(My_Audit!A1105))</f>
        <v>XX1105</v>
      </c>
    </row>
    <row r="1107" spans="1:1">
      <c r="A1107" s="2" t="str">
        <f>_xlfn.TEXTJOIN("",TRUE,Input!$B$2,ROW(My_Audit!A1106))</f>
        <v>XX1106</v>
      </c>
    </row>
    <row r="1108" spans="1:1">
      <c r="A1108" s="2" t="str">
        <f>_xlfn.TEXTJOIN("",TRUE,Input!$B$2,ROW(My_Audit!A1107))</f>
        <v>XX1107</v>
      </c>
    </row>
    <row r="1109" spans="1:1">
      <c r="A1109" s="2" t="str">
        <f>_xlfn.TEXTJOIN("",TRUE,Input!$B$2,ROW(My_Audit!A1108))</f>
        <v>XX1108</v>
      </c>
    </row>
    <row r="1110" spans="1:1">
      <c r="A1110" s="2" t="str">
        <f>_xlfn.TEXTJOIN("",TRUE,Input!$B$2,ROW(My_Audit!A1109))</f>
        <v>XX1109</v>
      </c>
    </row>
    <row r="1111" spans="1:1">
      <c r="A1111" s="2" t="str">
        <f>_xlfn.TEXTJOIN("",TRUE,Input!$B$2,ROW(My_Audit!A1110))</f>
        <v>XX1110</v>
      </c>
    </row>
    <row r="1112" spans="1:1">
      <c r="A1112" s="2" t="str">
        <f>_xlfn.TEXTJOIN("",TRUE,Input!$B$2,ROW(My_Audit!A1111))</f>
        <v>XX1111</v>
      </c>
    </row>
    <row r="1113" spans="1:1">
      <c r="A1113" s="2" t="str">
        <f>_xlfn.TEXTJOIN("",TRUE,Input!$B$2,ROW(My_Audit!A1112))</f>
        <v>XX1112</v>
      </c>
    </row>
    <row r="1114" spans="1:1">
      <c r="A1114" s="2" t="str">
        <f>_xlfn.TEXTJOIN("",TRUE,Input!$B$2,ROW(My_Audit!A1113))</f>
        <v>XX1113</v>
      </c>
    </row>
    <row r="1115" spans="1:1">
      <c r="A1115" s="2" t="str">
        <f>_xlfn.TEXTJOIN("",TRUE,Input!$B$2,ROW(My_Audit!A1114))</f>
        <v>XX1114</v>
      </c>
    </row>
    <row r="1116" spans="1:1">
      <c r="A1116" s="2" t="str">
        <f>_xlfn.TEXTJOIN("",TRUE,Input!$B$2,ROW(My_Audit!A1115))</f>
        <v>XX1115</v>
      </c>
    </row>
    <row r="1117" spans="1:1">
      <c r="A1117" s="2" t="str">
        <f>_xlfn.TEXTJOIN("",TRUE,Input!$B$2,ROW(My_Audit!A1116))</f>
        <v>XX1116</v>
      </c>
    </row>
    <row r="1118" spans="1:1">
      <c r="A1118" s="2" t="str">
        <f>_xlfn.TEXTJOIN("",TRUE,Input!$B$2,ROW(My_Audit!A1117))</f>
        <v>XX1117</v>
      </c>
    </row>
    <row r="1119" spans="1:1">
      <c r="A1119" s="2" t="str">
        <f>_xlfn.TEXTJOIN("",TRUE,Input!$B$2,ROW(My_Audit!A1118))</f>
        <v>XX1118</v>
      </c>
    </row>
    <row r="1120" spans="1:1">
      <c r="A1120" s="2" t="str">
        <f>_xlfn.TEXTJOIN("",TRUE,Input!$B$2,ROW(My_Audit!A1119))</f>
        <v>XX1119</v>
      </c>
    </row>
    <row r="1121" spans="1:1">
      <c r="A1121" s="2" t="str">
        <f>_xlfn.TEXTJOIN("",TRUE,Input!$B$2,ROW(My_Audit!A1120))</f>
        <v>XX1120</v>
      </c>
    </row>
    <row r="1122" spans="1:1">
      <c r="A1122" s="2" t="str">
        <f>_xlfn.TEXTJOIN("",TRUE,Input!$B$2,ROW(My_Audit!A1121))</f>
        <v>XX1121</v>
      </c>
    </row>
    <row r="1123" spans="1:1">
      <c r="A1123" s="2" t="str">
        <f>_xlfn.TEXTJOIN("",TRUE,Input!$B$2,ROW(My_Audit!A1122))</f>
        <v>XX1122</v>
      </c>
    </row>
    <row r="1124" spans="1:1">
      <c r="A1124" s="2" t="str">
        <f>_xlfn.TEXTJOIN("",TRUE,Input!$B$2,ROW(My_Audit!A1123))</f>
        <v>XX1123</v>
      </c>
    </row>
    <row r="1125" spans="1:1">
      <c r="A1125" s="2" t="str">
        <f>_xlfn.TEXTJOIN("",TRUE,Input!$B$2,ROW(My_Audit!A1124))</f>
        <v>XX1124</v>
      </c>
    </row>
    <row r="1126" spans="1:1">
      <c r="A1126" s="2" t="str">
        <f>_xlfn.TEXTJOIN("",TRUE,Input!$B$2,ROW(My_Audit!A1125))</f>
        <v>XX1125</v>
      </c>
    </row>
    <row r="1127" spans="1:1">
      <c r="A1127" s="2" t="str">
        <f>_xlfn.TEXTJOIN("",TRUE,Input!$B$2,ROW(My_Audit!A1126))</f>
        <v>XX1126</v>
      </c>
    </row>
    <row r="1128" spans="1:1">
      <c r="A1128" s="2" t="str">
        <f>_xlfn.TEXTJOIN("",TRUE,Input!$B$2,ROW(My_Audit!A1127))</f>
        <v>XX1127</v>
      </c>
    </row>
    <row r="1129" spans="1:1">
      <c r="A1129" s="2" t="str">
        <f>_xlfn.TEXTJOIN("",TRUE,Input!$B$2,ROW(My_Audit!A1128))</f>
        <v>XX1128</v>
      </c>
    </row>
    <row r="1130" spans="1:1">
      <c r="A1130" s="2" t="str">
        <f>_xlfn.TEXTJOIN("",TRUE,Input!$B$2,ROW(My_Audit!A1129))</f>
        <v>XX1129</v>
      </c>
    </row>
    <row r="1131" spans="1:1">
      <c r="A1131" s="2" t="str">
        <f>_xlfn.TEXTJOIN("",TRUE,Input!$B$2,ROW(My_Audit!A1130))</f>
        <v>XX1130</v>
      </c>
    </row>
    <row r="1132" spans="1:1">
      <c r="A1132" s="2" t="str">
        <f>_xlfn.TEXTJOIN("",TRUE,Input!$B$2,ROW(My_Audit!A1131))</f>
        <v>XX1131</v>
      </c>
    </row>
    <row r="1133" spans="1:1">
      <c r="A1133" s="2" t="str">
        <f>_xlfn.TEXTJOIN("",TRUE,Input!$B$2,ROW(My_Audit!A1132))</f>
        <v>XX1132</v>
      </c>
    </row>
    <row r="1134" spans="1:1">
      <c r="A1134" s="2" t="str">
        <f>_xlfn.TEXTJOIN("",TRUE,Input!$B$2,ROW(My_Audit!A1133))</f>
        <v>XX1133</v>
      </c>
    </row>
    <row r="1135" spans="1:1">
      <c r="A1135" s="2" t="str">
        <f>_xlfn.TEXTJOIN("",TRUE,Input!$B$2,ROW(My_Audit!A1134))</f>
        <v>XX1134</v>
      </c>
    </row>
    <row r="1136" spans="1:1">
      <c r="A1136" s="2" t="str">
        <f>_xlfn.TEXTJOIN("",TRUE,Input!$B$2,ROW(My_Audit!A1135))</f>
        <v>XX1135</v>
      </c>
    </row>
    <row r="1137" spans="1:1">
      <c r="A1137" s="2" t="str">
        <f>_xlfn.TEXTJOIN("",TRUE,Input!$B$2,ROW(My_Audit!A1136))</f>
        <v>XX1136</v>
      </c>
    </row>
    <row r="1138" spans="1:1">
      <c r="A1138" s="2" t="str">
        <f>_xlfn.TEXTJOIN("",TRUE,Input!$B$2,ROW(My_Audit!A1137))</f>
        <v>XX1137</v>
      </c>
    </row>
    <row r="1139" spans="1:1">
      <c r="A1139" s="2" t="str">
        <f>_xlfn.TEXTJOIN("",TRUE,Input!$B$2,ROW(My_Audit!A1138))</f>
        <v>XX1138</v>
      </c>
    </row>
    <row r="1140" spans="1:1">
      <c r="A1140" s="2" t="str">
        <f>_xlfn.TEXTJOIN("",TRUE,Input!$B$2,ROW(My_Audit!A1139))</f>
        <v>XX1139</v>
      </c>
    </row>
    <row r="1141" spans="1:1">
      <c r="A1141" s="2" t="str">
        <f>_xlfn.TEXTJOIN("",TRUE,Input!$B$2,ROW(My_Audit!A1140))</f>
        <v>XX1140</v>
      </c>
    </row>
    <row r="1142" spans="1:1">
      <c r="A1142" s="2" t="str">
        <f>_xlfn.TEXTJOIN("",TRUE,Input!$B$2,ROW(My_Audit!A1141))</f>
        <v>XX1141</v>
      </c>
    </row>
    <row r="1143" spans="1:1">
      <c r="A1143" s="2" t="str">
        <f>_xlfn.TEXTJOIN("",TRUE,Input!$B$2,ROW(My_Audit!A1142))</f>
        <v>XX1142</v>
      </c>
    </row>
    <row r="1144" spans="1:1">
      <c r="A1144" s="2" t="str">
        <f>_xlfn.TEXTJOIN("",TRUE,Input!$B$2,ROW(My_Audit!A1143))</f>
        <v>XX1143</v>
      </c>
    </row>
    <row r="1145" spans="1:1">
      <c r="A1145" s="2" t="str">
        <f>_xlfn.TEXTJOIN("",TRUE,Input!$B$2,ROW(My_Audit!A1144))</f>
        <v>XX1144</v>
      </c>
    </row>
    <row r="1146" spans="1:1">
      <c r="A1146" s="2" t="str">
        <f>_xlfn.TEXTJOIN("",TRUE,Input!$B$2,ROW(My_Audit!A1145))</f>
        <v>XX1145</v>
      </c>
    </row>
    <row r="1147" spans="1:1">
      <c r="A1147" s="2" t="str">
        <f>_xlfn.TEXTJOIN("",TRUE,Input!$B$2,ROW(My_Audit!A1146))</f>
        <v>XX1146</v>
      </c>
    </row>
    <row r="1148" spans="1:1">
      <c r="A1148" s="2" t="str">
        <f>_xlfn.TEXTJOIN("",TRUE,Input!$B$2,ROW(My_Audit!A1147))</f>
        <v>XX1147</v>
      </c>
    </row>
    <row r="1149" spans="1:1">
      <c r="A1149" s="2" t="str">
        <f>_xlfn.TEXTJOIN("",TRUE,Input!$B$2,ROW(My_Audit!A1148))</f>
        <v>XX1148</v>
      </c>
    </row>
    <row r="1150" spans="1:1">
      <c r="A1150" s="2" t="str">
        <f>_xlfn.TEXTJOIN("",TRUE,Input!$B$2,ROW(My_Audit!A1149))</f>
        <v>XX1149</v>
      </c>
    </row>
    <row r="1151" spans="1:1">
      <c r="A1151" s="2" t="str">
        <f>_xlfn.TEXTJOIN("",TRUE,Input!$B$2,ROW(My_Audit!A1150))</f>
        <v>XX1150</v>
      </c>
    </row>
    <row r="1152" spans="1:1">
      <c r="A1152" s="2" t="str">
        <f>_xlfn.TEXTJOIN("",TRUE,Input!$B$2,ROW(My_Audit!A1151))</f>
        <v>XX1151</v>
      </c>
    </row>
    <row r="1153" spans="1:1">
      <c r="A1153" s="2" t="str">
        <f>_xlfn.TEXTJOIN("",TRUE,Input!$B$2,ROW(My_Audit!A1152))</f>
        <v>XX1152</v>
      </c>
    </row>
    <row r="1154" spans="1:1">
      <c r="A1154" s="2" t="str">
        <f>_xlfn.TEXTJOIN("",TRUE,Input!$B$2,ROW(My_Audit!A1153))</f>
        <v>XX1153</v>
      </c>
    </row>
    <row r="1155" spans="1:1">
      <c r="A1155" s="2" t="str">
        <f>_xlfn.TEXTJOIN("",TRUE,Input!$B$2,ROW(My_Audit!A1154))</f>
        <v>XX1154</v>
      </c>
    </row>
    <row r="1156" spans="1:1">
      <c r="A1156" s="2" t="str">
        <f>_xlfn.TEXTJOIN("",TRUE,Input!$B$2,ROW(My_Audit!A1155))</f>
        <v>XX1155</v>
      </c>
    </row>
    <row r="1157" spans="1:1">
      <c r="A1157" s="2" t="str">
        <f>_xlfn.TEXTJOIN("",TRUE,Input!$B$2,ROW(My_Audit!A1156))</f>
        <v>XX1156</v>
      </c>
    </row>
    <row r="1158" spans="1:1">
      <c r="A1158" s="2" t="str">
        <f>_xlfn.TEXTJOIN("",TRUE,Input!$B$2,ROW(My_Audit!A1157))</f>
        <v>XX1157</v>
      </c>
    </row>
    <row r="1159" spans="1:1">
      <c r="A1159" s="2" t="str">
        <f>_xlfn.TEXTJOIN("",TRUE,Input!$B$2,ROW(My_Audit!A1158))</f>
        <v>XX1158</v>
      </c>
    </row>
    <row r="1160" spans="1:1">
      <c r="A1160" s="2" t="str">
        <f>_xlfn.TEXTJOIN("",TRUE,Input!$B$2,ROW(My_Audit!A1159))</f>
        <v>XX1159</v>
      </c>
    </row>
    <row r="1161" spans="1:1">
      <c r="A1161" s="2" t="str">
        <f>_xlfn.TEXTJOIN("",TRUE,Input!$B$2,ROW(My_Audit!A1160))</f>
        <v>XX1160</v>
      </c>
    </row>
    <row r="1162" spans="1:1">
      <c r="A1162" s="2" t="str">
        <f>_xlfn.TEXTJOIN("",TRUE,Input!$B$2,ROW(My_Audit!A1161))</f>
        <v>XX1161</v>
      </c>
    </row>
    <row r="1163" spans="1:1">
      <c r="A1163" s="2" t="str">
        <f>_xlfn.TEXTJOIN("",TRUE,Input!$B$2,ROW(My_Audit!A1162))</f>
        <v>XX1162</v>
      </c>
    </row>
    <row r="1164" spans="1:1">
      <c r="A1164" s="2" t="str">
        <f>_xlfn.TEXTJOIN("",TRUE,Input!$B$2,ROW(My_Audit!A1163))</f>
        <v>XX1163</v>
      </c>
    </row>
    <row r="1165" spans="1:1">
      <c r="A1165" s="2" t="str">
        <f>_xlfn.TEXTJOIN("",TRUE,Input!$B$2,ROW(My_Audit!A1164))</f>
        <v>XX1164</v>
      </c>
    </row>
    <row r="1166" spans="1:1">
      <c r="A1166" s="2" t="str">
        <f>_xlfn.TEXTJOIN("",TRUE,Input!$B$2,ROW(My_Audit!A1165))</f>
        <v>XX1165</v>
      </c>
    </row>
    <row r="1167" spans="1:1">
      <c r="A1167" s="2" t="str">
        <f>_xlfn.TEXTJOIN("",TRUE,Input!$B$2,ROW(My_Audit!A1166))</f>
        <v>XX1166</v>
      </c>
    </row>
    <row r="1168" spans="1:1">
      <c r="A1168" s="2" t="str">
        <f>_xlfn.TEXTJOIN("",TRUE,Input!$B$2,ROW(My_Audit!A1167))</f>
        <v>XX1167</v>
      </c>
    </row>
    <row r="1169" spans="1:1">
      <c r="A1169" s="2" t="str">
        <f>_xlfn.TEXTJOIN("",TRUE,Input!$B$2,ROW(My_Audit!A1168))</f>
        <v>XX1168</v>
      </c>
    </row>
    <row r="1170" spans="1:1">
      <c r="A1170" s="2" t="str">
        <f>_xlfn.TEXTJOIN("",TRUE,Input!$B$2,ROW(My_Audit!A1169))</f>
        <v>XX1169</v>
      </c>
    </row>
    <row r="1171" spans="1:1">
      <c r="A1171" s="2" t="str">
        <f>_xlfn.TEXTJOIN("",TRUE,Input!$B$2,ROW(My_Audit!A1170))</f>
        <v>XX1170</v>
      </c>
    </row>
    <row r="1172" spans="1:1">
      <c r="A1172" s="2" t="str">
        <f>_xlfn.TEXTJOIN("",TRUE,Input!$B$2,ROW(My_Audit!A1171))</f>
        <v>XX1171</v>
      </c>
    </row>
    <row r="1173" spans="1:1">
      <c r="A1173" s="2" t="str">
        <f>_xlfn.TEXTJOIN("",TRUE,Input!$B$2,ROW(My_Audit!A1172))</f>
        <v>XX1172</v>
      </c>
    </row>
    <row r="1174" spans="1:1">
      <c r="A1174" s="2" t="str">
        <f>_xlfn.TEXTJOIN("",TRUE,Input!$B$2,ROW(My_Audit!A1173))</f>
        <v>XX1173</v>
      </c>
    </row>
    <row r="1175" spans="1:1">
      <c r="A1175" s="2" t="str">
        <f>_xlfn.TEXTJOIN("",TRUE,Input!$B$2,ROW(My_Audit!A1174))</f>
        <v>XX1174</v>
      </c>
    </row>
    <row r="1176" spans="1:1">
      <c r="A1176" s="2" t="str">
        <f>_xlfn.TEXTJOIN("",TRUE,Input!$B$2,ROW(My_Audit!A1175))</f>
        <v>XX1175</v>
      </c>
    </row>
    <row r="1177" spans="1:1">
      <c r="A1177" s="2" t="str">
        <f>_xlfn.TEXTJOIN("",TRUE,Input!$B$2,ROW(My_Audit!A1176))</f>
        <v>XX1176</v>
      </c>
    </row>
    <row r="1178" spans="1:1">
      <c r="A1178" s="2" t="str">
        <f>_xlfn.TEXTJOIN("",TRUE,Input!$B$2,ROW(My_Audit!A1177))</f>
        <v>XX1177</v>
      </c>
    </row>
    <row r="1179" spans="1:1">
      <c r="A1179" s="2" t="str">
        <f>_xlfn.TEXTJOIN("",TRUE,Input!$B$2,ROW(My_Audit!A1178))</f>
        <v>XX1178</v>
      </c>
    </row>
    <row r="1180" spans="1:1">
      <c r="A1180" s="2" t="str">
        <f>_xlfn.TEXTJOIN("",TRUE,Input!$B$2,ROW(My_Audit!A1179))</f>
        <v>XX1179</v>
      </c>
    </row>
    <row r="1181" spans="1:1">
      <c r="A1181" s="2" t="str">
        <f>_xlfn.TEXTJOIN("",TRUE,Input!$B$2,ROW(My_Audit!A1180))</f>
        <v>XX1180</v>
      </c>
    </row>
    <row r="1182" spans="1:1">
      <c r="A1182" s="2" t="str">
        <f>_xlfn.TEXTJOIN("",TRUE,Input!$B$2,ROW(My_Audit!A1181))</f>
        <v>XX1181</v>
      </c>
    </row>
    <row r="1183" spans="1:1">
      <c r="A1183" s="2" t="str">
        <f>_xlfn.TEXTJOIN("",TRUE,Input!$B$2,ROW(My_Audit!A1182))</f>
        <v>XX1182</v>
      </c>
    </row>
    <row r="1184" spans="1:1">
      <c r="A1184" s="2" t="str">
        <f>_xlfn.TEXTJOIN("",TRUE,Input!$B$2,ROW(My_Audit!A1183))</f>
        <v>XX1183</v>
      </c>
    </row>
    <row r="1185" spans="1:1">
      <c r="A1185" s="2" t="str">
        <f>_xlfn.TEXTJOIN("",TRUE,Input!$B$2,ROW(My_Audit!A1184))</f>
        <v>XX1184</v>
      </c>
    </row>
    <row r="1186" spans="1:1">
      <c r="A1186" s="2" t="str">
        <f>_xlfn.TEXTJOIN("",TRUE,Input!$B$2,ROW(My_Audit!A1185))</f>
        <v>XX1185</v>
      </c>
    </row>
    <row r="1187" spans="1:1">
      <c r="A1187" s="2" t="str">
        <f>_xlfn.TEXTJOIN("",TRUE,Input!$B$2,ROW(My_Audit!A1186))</f>
        <v>XX1186</v>
      </c>
    </row>
    <row r="1188" spans="1:1">
      <c r="A1188" s="2" t="str">
        <f>_xlfn.TEXTJOIN("",TRUE,Input!$B$2,ROW(My_Audit!A1187))</f>
        <v>XX1187</v>
      </c>
    </row>
    <row r="1189" spans="1:1">
      <c r="A1189" s="2" t="str">
        <f>_xlfn.TEXTJOIN("",TRUE,Input!$B$2,ROW(My_Audit!A1188))</f>
        <v>XX1188</v>
      </c>
    </row>
    <row r="1190" spans="1:1">
      <c r="A1190" s="2" t="str">
        <f>_xlfn.TEXTJOIN("",TRUE,Input!$B$2,ROW(My_Audit!A1189))</f>
        <v>XX1189</v>
      </c>
    </row>
    <row r="1191" spans="1:1">
      <c r="A1191" s="2" t="str">
        <f>_xlfn.TEXTJOIN("",TRUE,Input!$B$2,ROW(My_Audit!A1190))</f>
        <v>XX1190</v>
      </c>
    </row>
    <row r="1192" spans="1:1">
      <c r="A1192" s="2" t="str">
        <f>_xlfn.TEXTJOIN("",TRUE,Input!$B$2,ROW(My_Audit!A1191))</f>
        <v>XX1191</v>
      </c>
    </row>
    <row r="1193" spans="1:1">
      <c r="A1193" s="2" t="str">
        <f>_xlfn.TEXTJOIN("",TRUE,Input!$B$2,ROW(My_Audit!A1192))</f>
        <v>XX1192</v>
      </c>
    </row>
    <row r="1194" spans="1:1">
      <c r="A1194" s="2" t="str">
        <f>_xlfn.TEXTJOIN("",TRUE,Input!$B$2,ROW(My_Audit!A1193))</f>
        <v>XX1193</v>
      </c>
    </row>
    <row r="1195" spans="1:1">
      <c r="A1195" s="2" t="str">
        <f>_xlfn.TEXTJOIN("",TRUE,Input!$B$2,ROW(My_Audit!A1194))</f>
        <v>XX1194</v>
      </c>
    </row>
    <row r="1196" spans="1:1">
      <c r="A1196" s="2" t="str">
        <f>_xlfn.TEXTJOIN("",TRUE,Input!$B$2,ROW(My_Audit!A1195))</f>
        <v>XX1195</v>
      </c>
    </row>
    <row r="1197" spans="1:1">
      <c r="A1197" s="2" t="str">
        <f>_xlfn.TEXTJOIN("",TRUE,Input!$B$2,ROW(My_Audit!A1196))</f>
        <v>XX1196</v>
      </c>
    </row>
    <row r="1198" spans="1:1">
      <c r="A1198" s="2" t="str">
        <f>_xlfn.TEXTJOIN("",TRUE,Input!$B$2,ROW(My_Audit!A1197))</f>
        <v>XX1197</v>
      </c>
    </row>
    <row r="1199" spans="1:1">
      <c r="A1199" s="2" t="str">
        <f>_xlfn.TEXTJOIN("",TRUE,Input!$B$2,ROW(My_Audit!A1198))</f>
        <v>XX1198</v>
      </c>
    </row>
    <row r="1200" spans="1:1">
      <c r="A1200" s="2" t="str">
        <f>_xlfn.TEXTJOIN("",TRUE,Input!$B$2,ROW(My_Audit!A1199))</f>
        <v>XX1199</v>
      </c>
    </row>
    <row r="1201" spans="1:1">
      <c r="A1201" s="2" t="str">
        <f>_xlfn.TEXTJOIN("",TRUE,Input!$B$2,ROW(My_Audit!A1200))</f>
        <v>XX1200</v>
      </c>
    </row>
    <row r="1202" spans="1:1">
      <c r="A1202" s="2" t="str">
        <f>_xlfn.TEXTJOIN("",TRUE,Input!$B$2,ROW(My_Audit!A1201))</f>
        <v>XX1201</v>
      </c>
    </row>
    <row r="1203" spans="1:1">
      <c r="A1203" s="2" t="str">
        <f>_xlfn.TEXTJOIN("",TRUE,Input!$B$2,ROW(My_Audit!A1202))</f>
        <v>XX1202</v>
      </c>
    </row>
    <row r="1204" spans="1:1">
      <c r="A1204" s="2" t="str">
        <f>_xlfn.TEXTJOIN("",TRUE,Input!$B$2,ROW(My_Audit!A1203))</f>
        <v>XX1203</v>
      </c>
    </row>
    <row r="1205" spans="1:1">
      <c r="A1205" s="2" t="str">
        <f>_xlfn.TEXTJOIN("",TRUE,Input!$B$2,ROW(My_Audit!A1204))</f>
        <v>XX1204</v>
      </c>
    </row>
    <row r="1206" spans="1:1">
      <c r="A1206" s="2" t="str">
        <f>_xlfn.TEXTJOIN("",TRUE,Input!$B$2,ROW(My_Audit!A1205))</f>
        <v>XX1205</v>
      </c>
    </row>
    <row r="1207" spans="1:1">
      <c r="A1207" s="2" t="str">
        <f>_xlfn.TEXTJOIN("",TRUE,Input!$B$2,ROW(My_Audit!A1206))</f>
        <v>XX1206</v>
      </c>
    </row>
    <row r="1208" spans="1:1">
      <c r="A1208" s="2" t="str">
        <f>_xlfn.TEXTJOIN("",TRUE,Input!$B$2,ROW(My_Audit!A1207))</f>
        <v>XX1207</v>
      </c>
    </row>
    <row r="1209" spans="1:1">
      <c r="A1209" s="2" t="str">
        <f>_xlfn.TEXTJOIN("",TRUE,Input!$B$2,ROW(My_Audit!A1208))</f>
        <v>XX1208</v>
      </c>
    </row>
    <row r="1210" spans="1:1">
      <c r="A1210" s="2" t="str">
        <f>_xlfn.TEXTJOIN("",TRUE,Input!$B$2,ROW(My_Audit!A1209))</f>
        <v>XX1209</v>
      </c>
    </row>
    <row r="1211" spans="1:1">
      <c r="A1211" s="2" t="str">
        <f>_xlfn.TEXTJOIN("",TRUE,Input!$B$2,ROW(My_Audit!A1210))</f>
        <v>XX1210</v>
      </c>
    </row>
    <row r="1212" spans="1:1">
      <c r="A1212" s="2" t="str">
        <f>_xlfn.TEXTJOIN("",TRUE,Input!$B$2,ROW(My_Audit!A1211))</f>
        <v>XX1211</v>
      </c>
    </row>
    <row r="1213" spans="1:1">
      <c r="A1213" s="2" t="str">
        <f>_xlfn.TEXTJOIN("",TRUE,Input!$B$2,ROW(My_Audit!A1212))</f>
        <v>XX1212</v>
      </c>
    </row>
    <row r="1214" spans="1:1">
      <c r="A1214" s="2" t="str">
        <f>_xlfn.TEXTJOIN("",TRUE,Input!$B$2,ROW(My_Audit!A1213))</f>
        <v>XX1213</v>
      </c>
    </row>
    <row r="1215" spans="1:1">
      <c r="A1215" s="2" t="str">
        <f>_xlfn.TEXTJOIN("",TRUE,Input!$B$2,ROW(My_Audit!A1214))</f>
        <v>XX1214</v>
      </c>
    </row>
    <row r="1216" spans="1:1">
      <c r="A1216" s="2" t="str">
        <f>_xlfn.TEXTJOIN("",TRUE,Input!$B$2,ROW(My_Audit!A1215))</f>
        <v>XX1215</v>
      </c>
    </row>
    <row r="1217" spans="1:1">
      <c r="A1217" s="2" t="str">
        <f>_xlfn.TEXTJOIN("",TRUE,Input!$B$2,ROW(My_Audit!A1216))</f>
        <v>XX1216</v>
      </c>
    </row>
    <row r="1218" spans="1:1">
      <c r="A1218" s="2" t="str">
        <f>_xlfn.TEXTJOIN("",TRUE,Input!$B$2,ROW(My_Audit!A1217))</f>
        <v>XX1217</v>
      </c>
    </row>
    <row r="1219" spans="1:1">
      <c r="A1219" s="2" t="str">
        <f>_xlfn.TEXTJOIN("",TRUE,Input!$B$2,ROW(My_Audit!A1218))</f>
        <v>XX1218</v>
      </c>
    </row>
    <row r="1220" spans="1:1">
      <c r="A1220" s="2" t="str">
        <f>_xlfn.TEXTJOIN("",TRUE,Input!$B$2,ROW(My_Audit!A1219))</f>
        <v>XX1219</v>
      </c>
    </row>
    <row r="1221" spans="1:1">
      <c r="A1221" s="2" t="str">
        <f>_xlfn.TEXTJOIN("",TRUE,Input!$B$2,ROW(My_Audit!A1220))</f>
        <v>XX1220</v>
      </c>
    </row>
    <row r="1222" spans="1:1">
      <c r="A1222" s="2" t="str">
        <f>_xlfn.TEXTJOIN("",TRUE,Input!$B$2,ROW(My_Audit!A1221))</f>
        <v>XX1221</v>
      </c>
    </row>
    <row r="1223" spans="1:1">
      <c r="A1223" s="2" t="str">
        <f>_xlfn.TEXTJOIN("",TRUE,Input!$B$2,ROW(My_Audit!A1222))</f>
        <v>XX1222</v>
      </c>
    </row>
    <row r="1224" spans="1:1">
      <c r="A1224" s="2" t="str">
        <f>_xlfn.TEXTJOIN("",TRUE,Input!$B$2,ROW(My_Audit!A1223))</f>
        <v>XX1223</v>
      </c>
    </row>
    <row r="1225" spans="1:1">
      <c r="A1225" s="2" t="str">
        <f>_xlfn.TEXTJOIN("",TRUE,Input!$B$2,ROW(My_Audit!A1224))</f>
        <v>XX1224</v>
      </c>
    </row>
    <row r="1226" spans="1:1">
      <c r="A1226" s="2" t="str">
        <f>_xlfn.TEXTJOIN("",TRUE,Input!$B$2,ROW(My_Audit!A1225))</f>
        <v>XX1225</v>
      </c>
    </row>
    <row r="1227" spans="1:1">
      <c r="A1227" s="2" t="str">
        <f>_xlfn.TEXTJOIN("",TRUE,Input!$B$2,ROW(My_Audit!A1226))</f>
        <v>XX1226</v>
      </c>
    </row>
    <row r="1228" spans="1:1">
      <c r="A1228" s="2" t="str">
        <f>_xlfn.TEXTJOIN("",TRUE,Input!$B$2,ROW(My_Audit!A1227))</f>
        <v>XX1227</v>
      </c>
    </row>
    <row r="1229" spans="1:1">
      <c r="A1229" s="2" t="str">
        <f>_xlfn.TEXTJOIN("",TRUE,Input!$B$2,ROW(My_Audit!A1228))</f>
        <v>XX1228</v>
      </c>
    </row>
    <row r="1230" spans="1:1">
      <c r="A1230" s="2" t="str">
        <f>_xlfn.TEXTJOIN("",TRUE,Input!$B$2,ROW(My_Audit!A1229))</f>
        <v>XX1229</v>
      </c>
    </row>
    <row r="1231" spans="1:1">
      <c r="A1231" s="2" t="str">
        <f>_xlfn.TEXTJOIN("",TRUE,Input!$B$2,ROW(My_Audit!A1230))</f>
        <v>XX1230</v>
      </c>
    </row>
    <row r="1232" spans="1:1">
      <c r="A1232" s="2" t="str">
        <f>_xlfn.TEXTJOIN("",TRUE,Input!$B$2,ROW(My_Audit!A1231))</f>
        <v>XX1231</v>
      </c>
    </row>
    <row r="1233" spans="1:1">
      <c r="A1233" s="2" t="str">
        <f>_xlfn.TEXTJOIN("",TRUE,Input!$B$2,ROW(My_Audit!A1232))</f>
        <v>XX1232</v>
      </c>
    </row>
    <row r="1234" spans="1:1">
      <c r="A1234" s="2" t="str">
        <f>_xlfn.TEXTJOIN("",TRUE,Input!$B$2,ROW(My_Audit!A1233))</f>
        <v>XX1233</v>
      </c>
    </row>
    <row r="1235" spans="1:1">
      <c r="A1235" s="2" t="str">
        <f>_xlfn.TEXTJOIN("",TRUE,Input!$B$2,ROW(My_Audit!A1234))</f>
        <v>XX1234</v>
      </c>
    </row>
    <row r="1236" spans="1:1">
      <c r="A1236" s="2" t="str">
        <f>_xlfn.TEXTJOIN("",TRUE,Input!$B$2,ROW(My_Audit!A1235))</f>
        <v>XX1235</v>
      </c>
    </row>
    <row r="1237" spans="1:1">
      <c r="A1237" s="2" t="str">
        <f>_xlfn.TEXTJOIN("",TRUE,Input!$B$2,ROW(My_Audit!A1236))</f>
        <v>XX1236</v>
      </c>
    </row>
    <row r="1238" spans="1:1">
      <c r="A1238" s="2" t="str">
        <f>_xlfn.TEXTJOIN("",TRUE,Input!$B$2,ROW(My_Audit!A1237))</f>
        <v>XX1237</v>
      </c>
    </row>
    <row r="1239" spans="1:1">
      <c r="A1239" s="2" t="str">
        <f>_xlfn.TEXTJOIN("",TRUE,Input!$B$2,ROW(My_Audit!A1238))</f>
        <v>XX1238</v>
      </c>
    </row>
    <row r="1240" spans="1:1">
      <c r="A1240" s="2" t="str">
        <f>_xlfn.TEXTJOIN("",TRUE,Input!$B$2,ROW(My_Audit!A1239))</f>
        <v>XX1239</v>
      </c>
    </row>
    <row r="1241" spans="1:1">
      <c r="A1241" s="2" t="str">
        <f>_xlfn.TEXTJOIN("",TRUE,Input!$B$2,ROW(My_Audit!A1240))</f>
        <v>XX1240</v>
      </c>
    </row>
    <row r="1242" spans="1:1">
      <c r="A1242" s="2" t="str">
        <f>_xlfn.TEXTJOIN("",TRUE,Input!$B$2,ROW(My_Audit!A1241))</f>
        <v>XX1241</v>
      </c>
    </row>
    <row r="1243" spans="1:1">
      <c r="A1243" s="2" t="str">
        <f>_xlfn.TEXTJOIN("",TRUE,Input!$B$2,ROW(My_Audit!A1242))</f>
        <v>XX1242</v>
      </c>
    </row>
    <row r="1244" spans="1:1">
      <c r="A1244" s="2" t="str">
        <f>_xlfn.TEXTJOIN("",TRUE,Input!$B$2,ROW(My_Audit!A1243))</f>
        <v>XX1243</v>
      </c>
    </row>
    <row r="1245" spans="1:1">
      <c r="A1245" s="2" t="str">
        <f>_xlfn.TEXTJOIN("",TRUE,Input!$B$2,ROW(My_Audit!A1244))</f>
        <v>XX1244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7E89-1EFC-41FD-AEA1-41E7D2128A33}">
  <sheetPr>
    <tabColor theme="9"/>
  </sheetPr>
  <dimension ref="A1:AM1365"/>
  <sheetViews>
    <sheetView workbookViewId="0">
      <pane ySplit="1" topLeftCell="A5" activePane="bottomLeft" state="frozen"/>
      <selection pane="bottomLeft" activeCell="M25" sqref="M25"/>
    </sheetView>
  </sheetViews>
  <sheetFormatPr defaultRowHeight="15"/>
  <cols>
    <col min="1" max="1" width="9" bestFit="1" customWidth="1"/>
    <col min="2" max="2" width="21" customWidth="1"/>
    <col min="3" max="3" width="18.5703125" customWidth="1"/>
    <col min="4" max="4" width="20.5703125" bestFit="1" customWidth="1"/>
    <col min="5" max="5" width="17.140625" customWidth="1"/>
    <col min="7" max="7" width="19.7109375" customWidth="1"/>
    <col min="8" max="8" width="21.7109375" customWidth="1"/>
    <col min="9" max="9" width="21" customWidth="1"/>
    <col min="10" max="10" width="15.42578125" customWidth="1"/>
    <col min="11" max="11" width="14.42578125" customWidth="1"/>
    <col min="12" max="12" width="40.7109375" customWidth="1"/>
    <col min="13" max="13" width="41.85546875" customWidth="1"/>
    <col min="14" max="14" width="23.5703125" customWidth="1"/>
    <col min="15" max="15" width="19.5703125" customWidth="1"/>
    <col min="16" max="16" width="5.7109375" bestFit="1" customWidth="1"/>
    <col min="17" max="17" width="6" bestFit="1" customWidth="1"/>
    <col min="18" max="18" width="6.85546875" bestFit="1" customWidth="1"/>
    <col min="19" max="19" width="7.42578125" customWidth="1"/>
    <col min="20" max="20" width="15.85546875" customWidth="1"/>
    <col min="22" max="22" width="8.28515625" bestFit="1" customWidth="1"/>
  </cols>
  <sheetData>
    <row r="1" spans="1:39" ht="34.5" thickBot="1">
      <c r="A1" s="41" t="s">
        <v>736</v>
      </c>
      <c r="B1" s="42" t="s">
        <v>737</v>
      </c>
      <c r="C1" s="42" t="s">
        <v>738</v>
      </c>
      <c r="D1" s="42" t="s">
        <v>739</v>
      </c>
      <c r="E1" s="42" t="s">
        <v>740</v>
      </c>
      <c r="F1" s="43"/>
      <c r="G1" s="42" t="s">
        <v>741</v>
      </c>
      <c r="H1" s="42" t="s">
        <v>742</v>
      </c>
      <c r="I1" s="42" t="s">
        <v>743</v>
      </c>
      <c r="J1" s="42" t="s">
        <v>6</v>
      </c>
      <c r="K1" s="42" t="s">
        <v>744</v>
      </c>
      <c r="L1" s="42" t="s">
        <v>745</v>
      </c>
      <c r="M1" s="44"/>
      <c r="N1" s="42" t="s">
        <v>746</v>
      </c>
      <c r="O1" s="42" t="s">
        <v>747</v>
      </c>
      <c r="P1" s="45" t="s">
        <v>748</v>
      </c>
      <c r="Q1" s="45" t="s">
        <v>749</v>
      </c>
      <c r="R1" s="42" t="s">
        <v>750</v>
      </c>
      <c r="S1" s="42" t="s">
        <v>751</v>
      </c>
      <c r="T1" s="42" t="s">
        <v>752</v>
      </c>
      <c r="U1" s="46" t="s">
        <v>753</v>
      </c>
      <c r="V1" s="46" t="s">
        <v>754</v>
      </c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</row>
    <row r="2" spans="1:39">
      <c r="D2" t="str">
        <f>'Audit Report'!B2</f>
        <v>ITD-SHRXXX-XX01</v>
      </c>
      <c r="E2" t="str">
        <f>'Audit Report'!C2</f>
        <v/>
      </c>
      <c r="I2" t="str">
        <f>_xlfn.XLOOKUP('Audit Report'!D2,Models!G:G,Models!I:I,'Audit Report'!D2,0,1)</f>
        <v/>
      </c>
      <c r="J2" t="str">
        <f>_xlfn.TEXTJOIN(" ",TRUE,'Audit Report'!G2,'Audit Report'!H2)</f>
        <v/>
      </c>
      <c r="L2" t="str">
        <f>_xlfn.TEXTJOIN(", ", TRUE, 'Audit Report'!K2,'Audit Report'!L2,'Audit Report'!M2)</f>
        <v/>
      </c>
      <c r="M2" t="str">
        <f>'Audit Report'!O2</f>
        <v/>
      </c>
      <c r="N2" t="str" cm="1">
        <f t="array" ref="N2">IF(M2="","",
_xlfn.TEXTJOIN(", ",TRUE,
    _xlfn.MAP(_xlfn.TEXTSPLIT(M2,","),_xlfn.LAMBDA(_xlpm.x,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" t="str">
        <f>'Audit Report'!F2</f>
        <v/>
      </c>
      <c r="S2" t="str">
        <f>'Audit Report'!Q2</f>
        <v/>
      </c>
    </row>
    <row r="3" spans="1:39">
      <c r="D3" t="str">
        <f>'Audit Report'!B3</f>
        <v>ITD-SHRXXX-XX02</v>
      </c>
      <c r="E3" t="str">
        <f>'Audit Report'!C3</f>
        <v/>
      </c>
      <c r="I3" t="str">
        <f>_xlfn.XLOOKUP('Audit Report'!D3,Models!G:G,Models!I:I,'Audit Report'!D3,0,1)</f>
        <v/>
      </c>
      <c r="J3" t="str">
        <f>_xlfn.TEXTJOIN(" ",TRUE,'Audit Report'!G3,'Audit Report'!H3)</f>
        <v/>
      </c>
      <c r="L3" t="str">
        <f>_xlfn.TEXTJOIN(", ", TRUE, 'Audit Report'!K3,'Audit Report'!L3,'Audit Report'!M3)</f>
        <v/>
      </c>
      <c r="M3" t="str">
        <f>'Audit Report'!O3</f>
        <v/>
      </c>
      <c r="N3" t="str" cm="1">
        <f t="array" ref="N3">IF(M3="","",
_xlfn.TEXTJOIN(", ",TRUE,
    _xlfn.MAP(_xlfn.TEXTSPLIT(M3,","),_xlfn.LAMBDA(_xlpm.x,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" t="str">
        <f>'Audit Report'!F3</f>
        <v/>
      </c>
      <c r="S3" t="str">
        <f>'Audit Report'!Q3</f>
        <v/>
      </c>
    </row>
    <row r="4" spans="1:39">
      <c r="D4" t="str">
        <f>'Audit Report'!B4</f>
        <v>ITD-SHRXXX-XX03</v>
      </c>
      <c r="E4" t="str">
        <f>'Audit Report'!C4</f>
        <v/>
      </c>
      <c r="I4" t="str">
        <f>_xlfn.XLOOKUP('Audit Report'!D4,Models!G:G,Models!I:I,'Audit Report'!D4,0,1)</f>
        <v/>
      </c>
      <c r="J4" t="str">
        <f>_xlfn.TEXTJOIN(" ",TRUE,'Audit Report'!G4,'Audit Report'!H4)</f>
        <v/>
      </c>
      <c r="L4" t="str">
        <f>_xlfn.TEXTJOIN(", ", TRUE, 'Audit Report'!K4,'Audit Report'!L4,'Audit Report'!M4)</f>
        <v/>
      </c>
      <c r="M4" t="str">
        <f>'Audit Report'!O4</f>
        <v/>
      </c>
      <c r="N4" t="str" cm="1">
        <f t="array" ref="N4">IF(M4="","",
_xlfn.TEXTJOIN(", ",TRUE,
    _xlfn.MAP(_xlfn.TEXTSPLIT(M4,","),_xlfn.LAMBDA(_xlpm.x,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" t="str">
        <f>'Audit Report'!F4</f>
        <v/>
      </c>
      <c r="S4" t="str">
        <f>'Audit Report'!Q4</f>
        <v/>
      </c>
    </row>
    <row r="5" spans="1:39">
      <c r="D5" t="str">
        <f>'Audit Report'!B5</f>
        <v>ITD-SHRXXX-XX04</v>
      </c>
      <c r="E5" t="str">
        <f>'Audit Report'!C5</f>
        <v/>
      </c>
      <c r="I5" t="str">
        <f>_xlfn.XLOOKUP('Audit Report'!D5,Models!G:G,Models!I:I,'Audit Report'!D5,0,1)</f>
        <v/>
      </c>
      <c r="J5" t="str">
        <f>_xlfn.TEXTJOIN(" ",TRUE,'Audit Report'!G5,'Audit Report'!H5)</f>
        <v/>
      </c>
      <c r="L5" t="str">
        <f>_xlfn.TEXTJOIN(", ", TRUE, 'Audit Report'!K5,'Audit Report'!L5,'Audit Report'!M5)</f>
        <v/>
      </c>
      <c r="M5" t="str">
        <f>'Audit Report'!O5</f>
        <v/>
      </c>
      <c r="N5" t="str" cm="1">
        <f t="array" ref="N5">IF(M5="","",
_xlfn.TEXTJOIN(", ",TRUE,
    _xlfn.MAP(_xlfn.TEXTSPLIT(M5,","),_xlfn.LAMBDA(_xlpm.x,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" t="str">
        <f>'Audit Report'!F5</f>
        <v/>
      </c>
      <c r="S5" t="str">
        <f>'Audit Report'!Q5</f>
        <v/>
      </c>
    </row>
    <row r="6" spans="1:39">
      <c r="D6" t="str">
        <f>'Audit Report'!B6</f>
        <v>ITD-SHRXXX-XX05</v>
      </c>
      <c r="E6" t="str">
        <f>'Audit Report'!C6</f>
        <v/>
      </c>
      <c r="I6" t="str">
        <f>_xlfn.XLOOKUP('Audit Report'!D6,Models!G:G,Models!I:I,'Audit Report'!D6,0,1)</f>
        <v/>
      </c>
      <c r="J6" t="str">
        <f>_xlfn.TEXTJOIN(" ",TRUE,'Audit Report'!G6,'Audit Report'!H6)</f>
        <v/>
      </c>
      <c r="L6" t="str">
        <f>_xlfn.TEXTJOIN(", ", TRUE, 'Audit Report'!K6,'Audit Report'!L6,'Audit Report'!M6)</f>
        <v/>
      </c>
      <c r="M6" t="str">
        <f>'Audit Report'!O6</f>
        <v/>
      </c>
      <c r="N6" t="str" cm="1">
        <f t="array" ref="N6">IF(M6="","",
_xlfn.TEXTJOIN(", ",TRUE,
    _xlfn.MAP(_xlfn.TEXTSPLIT(M6,","),_xlfn.LAMBDA(_xlpm.x,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" t="str">
        <f>'Audit Report'!F6</f>
        <v/>
      </c>
      <c r="S6" t="str">
        <f>'Audit Report'!Q6</f>
        <v/>
      </c>
    </row>
    <row r="7" spans="1:39">
      <c r="D7" t="str">
        <f>'Audit Report'!B7</f>
        <v>ITD-SHRXXX-XX06</v>
      </c>
      <c r="E7" t="str">
        <f>'Audit Report'!C7</f>
        <v/>
      </c>
      <c r="I7" t="str">
        <f>_xlfn.XLOOKUP('Audit Report'!D7,Models!G:G,Models!I:I,'Audit Report'!D7,0,1)</f>
        <v/>
      </c>
      <c r="J7" t="str">
        <f>_xlfn.TEXTJOIN(" ",TRUE,'Audit Report'!G7,'Audit Report'!H7)</f>
        <v/>
      </c>
      <c r="L7" t="str">
        <f>_xlfn.TEXTJOIN(", ", TRUE, 'Audit Report'!K7,'Audit Report'!L7,'Audit Report'!M7)</f>
        <v/>
      </c>
      <c r="M7" t="str">
        <f>'Audit Report'!O7</f>
        <v/>
      </c>
      <c r="N7" t="str" cm="1">
        <f t="array" ref="N7">IF(M7="","",
_xlfn.TEXTJOIN(", ",TRUE,
    _xlfn.MAP(_xlfn.TEXTSPLIT(M7,","),_xlfn.LAMBDA(_xlpm.x,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" t="str">
        <f>'Audit Report'!F7</f>
        <v/>
      </c>
      <c r="S7" t="str">
        <f>'Audit Report'!Q7</f>
        <v/>
      </c>
    </row>
    <row r="8" spans="1:39">
      <c r="D8" t="str">
        <f>'Audit Report'!B8</f>
        <v>ITD-SHRXXX-XX07</v>
      </c>
      <c r="E8" t="str">
        <f>'Audit Report'!C8</f>
        <v/>
      </c>
      <c r="I8" t="str">
        <f>_xlfn.XLOOKUP('Audit Report'!D8,Models!G:G,Models!I:I,'Audit Report'!D8,0,1)</f>
        <v/>
      </c>
      <c r="J8" t="str">
        <f>_xlfn.TEXTJOIN(" ",TRUE,'Audit Report'!G8,'Audit Report'!H8)</f>
        <v/>
      </c>
      <c r="L8" t="str">
        <f>_xlfn.TEXTJOIN(", ", TRUE, 'Audit Report'!K8,'Audit Report'!L8,'Audit Report'!M8)</f>
        <v/>
      </c>
      <c r="M8" t="str">
        <f>'Audit Report'!O8</f>
        <v/>
      </c>
      <c r="N8" t="str" cm="1">
        <f t="array" ref="N8">IF(M8="","",
_xlfn.TEXTJOIN(", ",TRUE,
    _xlfn.MAP(_xlfn.TEXTSPLIT(M8,","),_xlfn.LAMBDA(_xlpm.x,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" t="str">
        <f>'Audit Report'!F8</f>
        <v/>
      </c>
      <c r="S8" t="str">
        <f>'Audit Report'!Q8</f>
        <v/>
      </c>
    </row>
    <row r="9" spans="1:39">
      <c r="D9" t="str">
        <f>'Audit Report'!B9</f>
        <v>ITD-SHRXXX-XX08</v>
      </c>
      <c r="E9" t="str">
        <f>'Audit Report'!C9</f>
        <v/>
      </c>
      <c r="I9" t="str">
        <f>_xlfn.XLOOKUP('Audit Report'!D9,Models!G:G,Models!I:I,'Audit Report'!D9,0,1)</f>
        <v/>
      </c>
      <c r="J9" t="str">
        <f>_xlfn.TEXTJOIN(" ",TRUE,'Audit Report'!G9,'Audit Report'!H9)</f>
        <v/>
      </c>
      <c r="L9" t="str">
        <f>_xlfn.TEXTJOIN(", ", TRUE, 'Audit Report'!K9,'Audit Report'!L9,'Audit Report'!M9)</f>
        <v/>
      </c>
      <c r="M9" t="str">
        <f>'Audit Report'!O9</f>
        <v/>
      </c>
      <c r="N9" t="str" cm="1">
        <f t="array" ref="N9">IF(M9="","",
_xlfn.TEXTJOIN(", ",TRUE,
    _xlfn.MAP(_xlfn.TEXTSPLIT(M9,","),_xlfn.LAMBDA(_xlpm.x,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" t="str">
        <f>'Audit Report'!F9</f>
        <v/>
      </c>
      <c r="S9" t="str">
        <f>'Audit Report'!Q9</f>
        <v/>
      </c>
    </row>
    <row r="10" spans="1:39">
      <c r="D10" t="str">
        <f>'Audit Report'!B10</f>
        <v>ITD-SHRXXX-XX09</v>
      </c>
      <c r="E10" t="str">
        <f>'Audit Report'!C10</f>
        <v/>
      </c>
      <c r="I10" t="str">
        <f>_xlfn.XLOOKUP('Audit Report'!D10,Models!G:G,Models!I:I,'Audit Report'!D10,0,1)</f>
        <v/>
      </c>
      <c r="J10" t="str">
        <f>_xlfn.TEXTJOIN(" ",TRUE,'Audit Report'!G10,'Audit Report'!H10)</f>
        <v/>
      </c>
      <c r="L10" t="str">
        <f>_xlfn.TEXTJOIN(", ", TRUE, 'Audit Report'!K10,'Audit Report'!L10,'Audit Report'!M10)</f>
        <v/>
      </c>
      <c r="M10" t="str">
        <f>'Audit Report'!O10</f>
        <v/>
      </c>
      <c r="N10" t="str" cm="1">
        <f t="array" ref="N10">IF(M10="","",
_xlfn.TEXTJOIN(", ",TRUE,
    _xlfn.MAP(_xlfn.TEXTSPLIT(M10,","),_xlfn.LAMBDA(_xlpm.x,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" t="str">
        <f>'Audit Report'!F10</f>
        <v/>
      </c>
      <c r="S10" t="str">
        <f>'Audit Report'!Q10</f>
        <v/>
      </c>
    </row>
    <row r="11" spans="1:39">
      <c r="D11" t="str">
        <f>'Audit Report'!B11</f>
        <v>ITD-SHRXXX-XX10</v>
      </c>
      <c r="E11" t="str">
        <f>'Audit Report'!C11</f>
        <v/>
      </c>
      <c r="I11" t="str">
        <f>_xlfn.XLOOKUP('Audit Report'!D11,Models!G:G,Models!I:I,'Audit Report'!D11,0,1)</f>
        <v/>
      </c>
      <c r="J11" t="str">
        <f>_xlfn.TEXTJOIN(" ",TRUE,'Audit Report'!G11,'Audit Report'!H11)</f>
        <v/>
      </c>
      <c r="L11" t="str">
        <f>_xlfn.TEXTJOIN(", ", TRUE, 'Audit Report'!K11,'Audit Report'!L11,'Audit Report'!M11)</f>
        <v/>
      </c>
      <c r="M11" t="str">
        <f>'Audit Report'!O11</f>
        <v/>
      </c>
      <c r="N11" t="str" cm="1">
        <f t="array" ref="N11">IF(M11="","",
_xlfn.TEXTJOIN(", ",TRUE,
    _xlfn.MAP(_xlfn.TEXTSPLIT(M11,","),_xlfn.LAMBDA(_xlpm.x,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" t="str">
        <f>'Audit Report'!F11</f>
        <v/>
      </c>
      <c r="S11" t="str">
        <f>'Audit Report'!Q11</f>
        <v/>
      </c>
    </row>
    <row r="12" spans="1:39">
      <c r="D12" t="str">
        <f>'Audit Report'!B12</f>
        <v>ITD-SHRXXX-XX11</v>
      </c>
      <c r="E12" t="str">
        <f>'Audit Report'!C12</f>
        <v/>
      </c>
      <c r="I12" t="str">
        <f>_xlfn.XLOOKUP('Audit Report'!D12,Models!G:G,Models!I:I,'Audit Report'!D12,0,1)</f>
        <v/>
      </c>
      <c r="J12" t="str">
        <f>_xlfn.TEXTJOIN(" ",TRUE,'Audit Report'!G12,'Audit Report'!H12)</f>
        <v/>
      </c>
      <c r="L12" t="str">
        <f>_xlfn.TEXTJOIN(", ", TRUE, 'Audit Report'!K12,'Audit Report'!L12,'Audit Report'!M12)</f>
        <v/>
      </c>
      <c r="M12" t="str">
        <f>'Audit Report'!O12</f>
        <v/>
      </c>
      <c r="N12" t="str" cm="1">
        <f t="array" ref="N12">IF(M12="","",
_xlfn.TEXTJOIN(", ",TRUE,
    _xlfn.MAP(_xlfn.TEXTSPLIT(M12,","),_xlfn.LAMBDA(_xlpm.x,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" t="str">
        <f>'Audit Report'!F12</f>
        <v/>
      </c>
      <c r="S12" t="str">
        <f>'Audit Report'!Q12</f>
        <v/>
      </c>
    </row>
    <row r="13" spans="1:39">
      <c r="D13" t="str">
        <f>'Audit Report'!B13</f>
        <v>ITD-SHRXXX-XX12</v>
      </c>
      <c r="E13" t="str">
        <f>'Audit Report'!C13</f>
        <v/>
      </c>
      <c r="I13" t="str">
        <f>_xlfn.XLOOKUP('Audit Report'!D13,Models!G:G,Models!I:I,'Audit Report'!D13,0,1)</f>
        <v/>
      </c>
      <c r="J13" t="str">
        <f>_xlfn.TEXTJOIN(" ",TRUE,'Audit Report'!G13,'Audit Report'!H13)</f>
        <v/>
      </c>
      <c r="L13" t="str">
        <f>_xlfn.TEXTJOIN(", ", TRUE, 'Audit Report'!K13,'Audit Report'!L13,'Audit Report'!M13)</f>
        <v/>
      </c>
      <c r="M13" t="str">
        <f>'Audit Report'!O13</f>
        <v/>
      </c>
      <c r="N13" t="str" cm="1">
        <f t="array" ref="N13">IF(M13="","",
_xlfn.TEXTJOIN(", ",TRUE,
    _xlfn.MAP(_xlfn.TEXTSPLIT(M13,","),_xlfn.LAMBDA(_xlpm.x,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" t="str">
        <f>'Audit Report'!F13</f>
        <v/>
      </c>
      <c r="S13" t="str">
        <f>'Audit Report'!Q13</f>
        <v/>
      </c>
    </row>
    <row r="14" spans="1:39">
      <c r="D14" t="str">
        <f>'Audit Report'!B14</f>
        <v>ITD-SHRXXX-XX13</v>
      </c>
      <c r="E14" t="str">
        <f>'Audit Report'!C14</f>
        <v/>
      </c>
      <c r="I14" t="str">
        <f>_xlfn.XLOOKUP('Audit Report'!D14,Models!G:G,Models!I:I,'Audit Report'!D14,0,1)</f>
        <v/>
      </c>
      <c r="J14" t="str">
        <f>_xlfn.TEXTJOIN(" ",TRUE,'Audit Report'!G14,'Audit Report'!H14)</f>
        <v/>
      </c>
      <c r="L14" t="str">
        <f>_xlfn.TEXTJOIN(", ", TRUE, 'Audit Report'!K14,'Audit Report'!L14,'Audit Report'!M14)</f>
        <v/>
      </c>
      <c r="M14" t="str">
        <f>'Audit Report'!O14</f>
        <v/>
      </c>
      <c r="N14" t="str" cm="1">
        <f t="array" ref="N14">IF(M14="","",
_xlfn.TEXTJOIN(", ",TRUE,
    _xlfn.MAP(_xlfn.TEXTSPLIT(M14,","),_xlfn.LAMBDA(_xlpm.x,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" t="str">
        <f>'Audit Report'!F14</f>
        <v/>
      </c>
      <c r="S14" t="str">
        <f>'Audit Report'!Q14</f>
        <v/>
      </c>
    </row>
    <row r="15" spans="1:39">
      <c r="D15" t="str">
        <f>'Audit Report'!B15</f>
        <v>ITD-SHRXXX-XX14</v>
      </c>
      <c r="E15" t="str">
        <f>'Audit Report'!C15</f>
        <v/>
      </c>
      <c r="I15" t="str">
        <f>_xlfn.XLOOKUP('Audit Report'!D15,Models!G:G,Models!I:I,'Audit Report'!D15,0,1)</f>
        <v/>
      </c>
      <c r="J15" t="str">
        <f>_xlfn.TEXTJOIN(" ",TRUE,'Audit Report'!G15,'Audit Report'!H15)</f>
        <v/>
      </c>
      <c r="L15" t="str">
        <f>_xlfn.TEXTJOIN(", ", TRUE, 'Audit Report'!K15,'Audit Report'!L15,'Audit Report'!M15)</f>
        <v/>
      </c>
      <c r="M15" t="str">
        <f>'Audit Report'!O15</f>
        <v/>
      </c>
      <c r="N15" t="str" cm="1">
        <f t="array" ref="N15">IF(M15="","",
_xlfn.TEXTJOIN(", ",TRUE,
    _xlfn.MAP(_xlfn.TEXTSPLIT(M15,","),_xlfn.LAMBDA(_xlpm.x,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" t="str">
        <f>'Audit Report'!F15</f>
        <v/>
      </c>
      <c r="S15" t="str">
        <f>'Audit Report'!Q15</f>
        <v/>
      </c>
    </row>
    <row r="16" spans="1:39">
      <c r="D16" t="str">
        <f>'Audit Report'!B16</f>
        <v>ITD-SHRXXX-XX15</v>
      </c>
      <c r="E16" t="str">
        <f>'Audit Report'!C16</f>
        <v/>
      </c>
      <c r="I16" t="str">
        <f>_xlfn.XLOOKUP('Audit Report'!D16,Models!G:G,Models!I:I,'Audit Report'!D16,0,1)</f>
        <v/>
      </c>
      <c r="J16" t="str">
        <f>_xlfn.TEXTJOIN(" ",TRUE,'Audit Report'!G16,'Audit Report'!H16)</f>
        <v/>
      </c>
      <c r="L16" t="str">
        <f>_xlfn.TEXTJOIN(", ", TRUE, 'Audit Report'!K16,'Audit Report'!L16,'Audit Report'!M16)</f>
        <v/>
      </c>
      <c r="M16" t="str">
        <f>'Audit Report'!O16</f>
        <v/>
      </c>
      <c r="N16" t="str" cm="1">
        <f t="array" ref="N16">IF(M16="","",
_xlfn.TEXTJOIN(", ",TRUE,
    _xlfn.MAP(_xlfn.TEXTSPLIT(M16,","),_xlfn.LAMBDA(_xlpm.x,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" t="str">
        <f>'Audit Report'!F16</f>
        <v/>
      </c>
      <c r="S16" t="str">
        <f>'Audit Report'!Q16</f>
        <v/>
      </c>
    </row>
    <row r="17" spans="4:19">
      <c r="D17" t="str">
        <f>'Audit Report'!B17</f>
        <v>ITD-SHRXXX-XX16</v>
      </c>
      <c r="E17" t="str">
        <f>'Audit Report'!C17</f>
        <v/>
      </c>
      <c r="I17" t="str">
        <f>_xlfn.XLOOKUP('Audit Report'!D17,Models!G:G,Models!I:I,'Audit Report'!D17,0,1)</f>
        <v/>
      </c>
      <c r="J17" t="str">
        <f>_xlfn.TEXTJOIN(" ",TRUE,'Audit Report'!G17,'Audit Report'!H17)</f>
        <v/>
      </c>
      <c r="L17" t="str">
        <f>_xlfn.TEXTJOIN(", ", TRUE, 'Audit Report'!K17,'Audit Report'!L17,'Audit Report'!M17)</f>
        <v/>
      </c>
      <c r="M17" t="str">
        <f>'Audit Report'!O17</f>
        <v/>
      </c>
      <c r="N17" t="str" cm="1">
        <f t="array" ref="N17">IF(M17="","",
_xlfn.TEXTJOIN(", ",TRUE,
    _xlfn.MAP(_xlfn.TEXTSPLIT(M17,","),_xlfn.LAMBDA(_xlpm.x,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" t="str">
        <f>'Audit Report'!F17</f>
        <v/>
      </c>
      <c r="S17" t="str">
        <f>'Audit Report'!Q17</f>
        <v/>
      </c>
    </row>
    <row r="18" spans="4:19">
      <c r="D18" t="str">
        <f>'Audit Report'!B18</f>
        <v>ITD-SHRXXX-XX17</v>
      </c>
      <c r="E18" t="str">
        <f>'Audit Report'!C18</f>
        <v/>
      </c>
      <c r="I18" t="str">
        <f>_xlfn.XLOOKUP('Audit Report'!D18,Models!G:G,Models!I:I,'Audit Report'!D18,0,1)</f>
        <v/>
      </c>
      <c r="J18" t="str">
        <f>_xlfn.TEXTJOIN(" ",TRUE,'Audit Report'!G18,'Audit Report'!H18)</f>
        <v/>
      </c>
      <c r="L18" t="str">
        <f>_xlfn.TEXTJOIN(", ", TRUE, 'Audit Report'!K18,'Audit Report'!L18,'Audit Report'!M18)</f>
        <v/>
      </c>
      <c r="M18" t="str">
        <f>'Audit Report'!O18</f>
        <v/>
      </c>
      <c r="N18" t="str" cm="1">
        <f t="array" ref="N18">IF(M18="","",
_xlfn.TEXTJOIN(", ",TRUE,
    _xlfn.MAP(_xlfn.TEXTSPLIT(M18,","),_xlfn.LAMBDA(_xlpm.x,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" t="str">
        <f>'Audit Report'!F18</f>
        <v/>
      </c>
      <c r="S18" t="str">
        <f>'Audit Report'!Q18</f>
        <v/>
      </c>
    </row>
    <row r="19" spans="4:19">
      <c r="D19" t="str">
        <f>'Audit Report'!B19</f>
        <v>ITD-SHRXXX-XX18</v>
      </c>
      <c r="E19" t="str">
        <f>'Audit Report'!C19</f>
        <v/>
      </c>
      <c r="I19" t="str">
        <f>_xlfn.XLOOKUP('Audit Report'!D19,Models!G:G,Models!I:I,'Audit Report'!D19,0,1)</f>
        <v/>
      </c>
      <c r="J19" t="str">
        <f>_xlfn.TEXTJOIN(" ",TRUE,'Audit Report'!G19,'Audit Report'!H19)</f>
        <v/>
      </c>
      <c r="L19" t="str">
        <f>_xlfn.TEXTJOIN(", ", TRUE, 'Audit Report'!K19,'Audit Report'!L19,'Audit Report'!M19)</f>
        <v/>
      </c>
      <c r="M19" t="str">
        <f>'Audit Report'!O19</f>
        <v/>
      </c>
      <c r="N19" t="str" cm="1">
        <f t="array" ref="N19">IF(M19="","",
_xlfn.TEXTJOIN(", ",TRUE,
    _xlfn.MAP(_xlfn.TEXTSPLIT(M19,","),_xlfn.LAMBDA(_xlpm.x,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" t="str">
        <f>'Audit Report'!F19</f>
        <v/>
      </c>
      <c r="S19" t="str">
        <f>'Audit Report'!Q19</f>
        <v/>
      </c>
    </row>
    <row r="20" spans="4:19">
      <c r="D20" t="str">
        <f>'Audit Report'!B20</f>
        <v>ITD-SHRXXX-XX19</v>
      </c>
      <c r="E20" t="str">
        <f>'Audit Report'!C20</f>
        <v/>
      </c>
      <c r="I20" t="str">
        <f>_xlfn.XLOOKUP('Audit Report'!D20,Models!G:G,Models!I:I,'Audit Report'!D20,0,1)</f>
        <v/>
      </c>
      <c r="J20" t="str">
        <f>_xlfn.TEXTJOIN(" ",TRUE,'Audit Report'!G20,'Audit Report'!H20)</f>
        <v/>
      </c>
      <c r="L20" t="str">
        <f>_xlfn.TEXTJOIN(", ", TRUE, 'Audit Report'!K20,'Audit Report'!L20,'Audit Report'!M20)</f>
        <v/>
      </c>
      <c r="M20" t="str">
        <f>'Audit Report'!O20</f>
        <v/>
      </c>
      <c r="N20" t="str" cm="1">
        <f t="array" ref="N20">IF(M20="","",
_xlfn.TEXTJOIN(", ",TRUE,
    _xlfn.MAP(_xlfn.TEXTSPLIT(M20,","),_xlfn.LAMBDA(_xlpm.x,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" t="str">
        <f>'Audit Report'!F20</f>
        <v/>
      </c>
      <c r="S20" t="str">
        <f>'Audit Report'!Q20</f>
        <v/>
      </c>
    </row>
    <row r="21" spans="4:19">
      <c r="D21" t="str">
        <f>'Audit Report'!B21</f>
        <v>ITD-SHRXXX-XX20</v>
      </c>
      <c r="E21" t="str">
        <f>'Audit Report'!C21</f>
        <v/>
      </c>
      <c r="I21" t="str">
        <f>_xlfn.XLOOKUP('Audit Report'!D21,Models!G:G,Models!I:I,'Audit Report'!D21,0,1)</f>
        <v/>
      </c>
      <c r="J21" t="str">
        <f>_xlfn.TEXTJOIN(" ",TRUE,'Audit Report'!G21,'Audit Report'!H21)</f>
        <v/>
      </c>
      <c r="L21" t="str">
        <f>_xlfn.TEXTJOIN(", ", TRUE, 'Audit Report'!K21,'Audit Report'!L21,'Audit Report'!M21)</f>
        <v/>
      </c>
      <c r="M21" t="str">
        <f>'Audit Report'!O21</f>
        <v/>
      </c>
      <c r="N21" t="str" cm="1">
        <f t="array" ref="N21">IF(M21="","",
_xlfn.TEXTJOIN(", ",TRUE,
    _xlfn.MAP(_xlfn.TEXTSPLIT(M21,","),_xlfn.LAMBDA(_xlpm.x,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" t="str">
        <f>'Audit Report'!F21</f>
        <v/>
      </c>
      <c r="S21" t="str">
        <f>'Audit Report'!Q21</f>
        <v/>
      </c>
    </row>
    <row r="22" spans="4:19">
      <c r="D22" t="str">
        <f>'Audit Report'!B22</f>
        <v>ITD-SHRXXX-XX21</v>
      </c>
      <c r="E22" t="str">
        <f>'Audit Report'!C22</f>
        <v/>
      </c>
      <c r="I22" t="str">
        <f>_xlfn.XLOOKUP('Audit Report'!D22,Models!G:G,Models!I:I,'Audit Report'!D22,0,1)</f>
        <v/>
      </c>
      <c r="J22" t="str">
        <f>_xlfn.TEXTJOIN(" ",TRUE,'Audit Report'!G22,'Audit Report'!H22)</f>
        <v/>
      </c>
      <c r="L22" t="str">
        <f>_xlfn.TEXTJOIN(", ", TRUE, 'Audit Report'!K22,'Audit Report'!L22,'Audit Report'!M22)</f>
        <v/>
      </c>
      <c r="M22" t="str">
        <f>'Audit Report'!O22</f>
        <v/>
      </c>
      <c r="N22" t="str" cm="1">
        <f t="array" ref="N22">IF(M22="","",
_xlfn.TEXTJOIN(", ",TRUE,
    _xlfn.MAP(_xlfn.TEXTSPLIT(M22,","),_xlfn.LAMBDA(_xlpm.x,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" t="str">
        <f>'Audit Report'!F22</f>
        <v/>
      </c>
      <c r="S22" t="str">
        <f>'Audit Report'!Q22</f>
        <v/>
      </c>
    </row>
    <row r="23" spans="4:19">
      <c r="D23" t="str">
        <f>'Audit Report'!B23</f>
        <v>ITD-SHRXXX-XX22</v>
      </c>
      <c r="E23" t="str">
        <f>'Audit Report'!C23</f>
        <v/>
      </c>
      <c r="I23" t="str">
        <f>_xlfn.XLOOKUP('Audit Report'!D23,Models!G:G,Models!I:I,'Audit Report'!D23,0,1)</f>
        <v/>
      </c>
      <c r="J23" t="str">
        <f>_xlfn.TEXTJOIN(" ",TRUE,'Audit Report'!G23,'Audit Report'!H23)</f>
        <v/>
      </c>
      <c r="L23" t="str">
        <f>_xlfn.TEXTJOIN(", ", TRUE, 'Audit Report'!K23,'Audit Report'!L23,'Audit Report'!M23)</f>
        <v/>
      </c>
      <c r="M23" t="str">
        <f>'Audit Report'!O23</f>
        <v/>
      </c>
      <c r="N23" t="str" cm="1">
        <f t="array" ref="N23">IF(M23="","",
_xlfn.TEXTJOIN(", ",TRUE,
    _xlfn.MAP(_xlfn.TEXTSPLIT(M23,","),_xlfn.LAMBDA(_xlpm.x,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" t="str">
        <f>'Audit Report'!F23</f>
        <v/>
      </c>
      <c r="S23" t="str">
        <f>'Audit Report'!Q23</f>
        <v/>
      </c>
    </row>
    <row r="24" spans="4:19">
      <c r="D24" t="str">
        <f>'Audit Report'!B24</f>
        <v>ITD-SHRXXX-XX23</v>
      </c>
      <c r="E24" t="str">
        <f>'Audit Report'!C24</f>
        <v/>
      </c>
      <c r="I24" t="str">
        <f>_xlfn.XLOOKUP('Audit Report'!D24,Models!G:G,Models!I:I,'Audit Report'!D24,0,1)</f>
        <v/>
      </c>
      <c r="J24" t="str">
        <f>_xlfn.TEXTJOIN(" ",TRUE,'Audit Report'!G24,'Audit Report'!H24)</f>
        <v/>
      </c>
      <c r="L24" t="str">
        <f>_xlfn.TEXTJOIN(", ", TRUE, 'Audit Report'!K24,'Audit Report'!L24,'Audit Report'!M24)</f>
        <v/>
      </c>
      <c r="M24" t="str">
        <f>'Audit Report'!O24</f>
        <v/>
      </c>
      <c r="N24" t="str" cm="1">
        <f t="array" ref="N24">IF(M24="","",
_xlfn.TEXTJOIN(", ",TRUE,
    _xlfn.MAP(_xlfn.TEXTSPLIT(M24,","),_xlfn.LAMBDA(_xlpm.x,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" t="str">
        <f>'Audit Report'!F24</f>
        <v/>
      </c>
      <c r="S24" t="str">
        <f>'Audit Report'!Q24</f>
        <v/>
      </c>
    </row>
    <row r="25" spans="4:19">
      <c r="D25" t="str">
        <f>'Audit Report'!B25</f>
        <v>ITD-SHRXXX-XX24</v>
      </c>
      <c r="E25" t="str">
        <f>'Audit Report'!C25</f>
        <v/>
      </c>
      <c r="I25" t="str">
        <f>_xlfn.XLOOKUP('Audit Report'!D25,Models!G:G,Models!I:I,'Audit Report'!D25,0,1)</f>
        <v/>
      </c>
      <c r="J25" t="str">
        <f>_xlfn.TEXTJOIN(" ",TRUE,'Audit Report'!G25,'Audit Report'!H25)</f>
        <v/>
      </c>
      <c r="L25" t="str">
        <f>_xlfn.TEXTJOIN(", ", TRUE, 'Audit Report'!K25,'Audit Report'!L25,'Audit Report'!M25)</f>
        <v/>
      </c>
      <c r="M25" t="str">
        <f>'Audit Report'!O25</f>
        <v/>
      </c>
      <c r="N25" t="str" cm="1">
        <f t="array" ref="N25">IF(M25="","",
_xlfn.TEXTJOIN(", ",TRUE,
    _xlfn.MAP(_xlfn.TEXTSPLIT(M25,","),_xlfn.LAMBDA(_xlpm.x,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" t="str">
        <f>'Audit Report'!F25</f>
        <v/>
      </c>
      <c r="S25" t="str">
        <f>'Audit Report'!Q25</f>
        <v/>
      </c>
    </row>
    <row r="26" spans="4:19">
      <c r="D26" t="str">
        <f>'Audit Report'!B26</f>
        <v>ITD-SHRXXX-XX25</v>
      </c>
      <c r="E26" t="str">
        <f>'Audit Report'!C26</f>
        <v/>
      </c>
      <c r="I26" t="str">
        <f>_xlfn.XLOOKUP('Audit Report'!D26,Models!G:G,Models!I:I,'Audit Report'!D26,0,1)</f>
        <v/>
      </c>
      <c r="J26" t="str">
        <f>_xlfn.TEXTJOIN(" ",TRUE,'Audit Report'!G26,'Audit Report'!H26)</f>
        <v/>
      </c>
      <c r="L26" t="str">
        <f>_xlfn.TEXTJOIN(", ", TRUE, 'Audit Report'!K26,'Audit Report'!L26,'Audit Report'!M26)</f>
        <v/>
      </c>
      <c r="M26" t="str">
        <f>'Audit Report'!O26</f>
        <v/>
      </c>
      <c r="N26" t="str" cm="1">
        <f t="array" ref="N26">IF(M26="","",
_xlfn.TEXTJOIN(", ",TRUE,
    _xlfn.MAP(_xlfn.TEXTSPLIT(M26,","),_xlfn.LAMBDA(_xlpm.x,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" t="str">
        <f>'Audit Report'!F26</f>
        <v/>
      </c>
      <c r="S26" t="str">
        <f>'Audit Report'!Q26</f>
        <v/>
      </c>
    </row>
    <row r="27" spans="4:19">
      <c r="D27" t="str">
        <f>'Audit Report'!B27</f>
        <v>ITD-SHRXXX-XX26</v>
      </c>
      <c r="E27" t="str">
        <f>'Audit Report'!C27</f>
        <v/>
      </c>
      <c r="I27" t="str">
        <f>_xlfn.XLOOKUP('Audit Report'!D27,Models!G:G,Models!I:I,'Audit Report'!D27,0,1)</f>
        <v/>
      </c>
      <c r="J27" t="str">
        <f>_xlfn.TEXTJOIN(" ",TRUE,'Audit Report'!G27,'Audit Report'!H27)</f>
        <v/>
      </c>
      <c r="L27" t="str">
        <f>_xlfn.TEXTJOIN(", ", TRUE, 'Audit Report'!K27,'Audit Report'!L27,'Audit Report'!M27)</f>
        <v/>
      </c>
      <c r="M27" t="str">
        <f>'Audit Report'!O27</f>
        <v/>
      </c>
      <c r="N27" t="str" cm="1">
        <f t="array" ref="N27">IF(M27="","",
_xlfn.TEXTJOIN(", ",TRUE,
    _xlfn.MAP(_xlfn.TEXTSPLIT(M27,","),_xlfn.LAMBDA(_xlpm.x,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" t="str">
        <f>'Audit Report'!F27</f>
        <v/>
      </c>
      <c r="S27" t="str">
        <f>'Audit Report'!Q27</f>
        <v/>
      </c>
    </row>
    <row r="28" spans="4:19">
      <c r="D28" t="str">
        <f>'Audit Report'!B28</f>
        <v>ITD-SHRXXX-XX27</v>
      </c>
      <c r="E28" t="str">
        <f>'Audit Report'!C28</f>
        <v/>
      </c>
      <c r="I28" t="str">
        <f>_xlfn.XLOOKUP('Audit Report'!D28,Models!G:G,Models!I:I,'Audit Report'!D28,0,1)</f>
        <v/>
      </c>
      <c r="J28" t="str">
        <f>_xlfn.TEXTJOIN(" ",TRUE,'Audit Report'!G28,'Audit Report'!H28)</f>
        <v/>
      </c>
      <c r="L28" t="str">
        <f>_xlfn.TEXTJOIN(", ", TRUE, 'Audit Report'!K28,'Audit Report'!L28,'Audit Report'!M28)</f>
        <v/>
      </c>
      <c r="M28" t="str">
        <f>'Audit Report'!O28</f>
        <v/>
      </c>
      <c r="N28" t="str" cm="1">
        <f t="array" ref="N28">IF(M28="","",
_xlfn.TEXTJOIN(", ",TRUE,
    _xlfn.MAP(_xlfn.TEXTSPLIT(M28,","),_xlfn.LAMBDA(_xlpm.x,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" t="str">
        <f>'Audit Report'!F28</f>
        <v/>
      </c>
      <c r="S28" t="str">
        <f>'Audit Report'!Q28</f>
        <v/>
      </c>
    </row>
    <row r="29" spans="4:19">
      <c r="D29" t="str">
        <f>'Audit Report'!B29</f>
        <v>ITD-SHRXXX-XX28</v>
      </c>
      <c r="E29" t="str">
        <f>'Audit Report'!C29</f>
        <v/>
      </c>
      <c r="I29" t="str">
        <f>_xlfn.XLOOKUP('Audit Report'!D29,Models!G:G,Models!I:I,'Audit Report'!D29,0,1)</f>
        <v/>
      </c>
      <c r="J29" t="str">
        <f>_xlfn.TEXTJOIN(" ",TRUE,'Audit Report'!G29,'Audit Report'!H29)</f>
        <v/>
      </c>
      <c r="L29" t="str">
        <f>_xlfn.TEXTJOIN(", ", TRUE, 'Audit Report'!K29,'Audit Report'!L29,'Audit Report'!M29)</f>
        <v/>
      </c>
      <c r="M29" t="str">
        <f>'Audit Report'!O29</f>
        <v/>
      </c>
      <c r="N29" t="str" cm="1">
        <f t="array" ref="N29">IF(M29="","",
_xlfn.TEXTJOIN(", ",TRUE,
    _xlfn.MAP(_xlfn.TEXTSPLIT(M29,","),_xlfn.LAMBDA(_xlpm.x,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" t="str">
        <f>'Audit Report'!F29</f>
        <v/>
      </c>
      <c r="S29" t="str">
        <f>'Audit Report'!Q29</f>
        <v/>
      </c>
    </row>
    <row r="30" spans="4:19">
      <c r="D30" t="str">
        <f>'Audit Report'!B30</f>
        <v>ITD-SHRXXX-XX29</v>
      </c>
      <c r="E30" t="str">
        <f>'Audit Report'!C30</f>
        <v/>
      </c>
      <c r="I30" t="str">
        <f>_xlfn.XLOOKUP('Audit Report'!D30,Models!G:G,Models!I:I,'Audit Report'!D30,0,1)</f>
        <v/>
      </c>
      <c r="J30" t="str">
        <f>_xlfn.TEXTJOIN(" ",TRUE,'Audit Report'!G30,'Audit Report'!H30)</f>
        <v/>
      </c>
      <c r="L30" t="str">
        <f>_xlfn.TEXTJOIN(", ", TRUE, 'Audit Report'!K30,'Audit Report'!L30,'Audit Report'!M30)</f>
        <v/>
      </c>
      <c r="M30" t="str">
        <f>'Audit Report'!O30</f>
        <v/>
      </c>
      <c r="N30" t="str" cm="1">
        <f t="array" ref="N30">IF(M30="","",
_xlfn.TEXTJOIN(", ",TRUE,
    _xlfn.MAP(_xlfn.TEXTSPLIT(M30,","),_xlfn.LAMBDA(_xlpm.x,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" t="str">
        <f>'Audit Report'!F30</f>
        <v/>
      </c>
      <c r="S30" t="str">
        <f>'Audit Report'!Q30</f>
        <v/>
      </c>
    </row>
    <row r="31" spans="4:19">
      <c r="D31" t="str">
        <f>'Audit Report'!B31</f>
        <v>ITD-SHRXXX-XX30</v>
      </c>
      <c r="E31" t="str">
        <f>'Audit Report'!C31</f>
        <v/>
      </c>
      <c r="I31" t="str">
        <f>_xlfn.XLOOKUP('Audit Report'!D31,Models!G:G,Models!I:I,'Audit Report'!D31,0,1)</f>
        <v/>
      </c>
      <c r="J31" t="str">
        <f>_xlfn.TEXTJOIN(" ",TRUE,'Audit Report'!G31,'Audit Report'!H31)</f>
        <v/>
      </c>
      <c r="L31" t="str">
        <f>_xlfn.TEXTJOIN(", ", TRUE, 'Audit Report'!K31,'Audit Report'!L31,'Audit Report'!M31)</f>
        <v/>
      </c>
      <c r="M31" t="str">
        <f>'Audit Report'!O31</f>
        <v/>
      </c>
      <c r="N31" t="str" cm="1">
        <f t="array" ref="N31">IF(M31="","",
_xlfn.TEXTJOIN(", ",TRUE,
    _xlfn.MAP(_xlfn.TEXTSPLIT(M31,","),_xlfn.LAMBDA(_xlpm.x,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" t="str">
        <f>'Audit Report'!F31</f>
        <v/>
      </c>
      <c r="S31" t="str">
        <f>'Audit Report'!Q31</f>
        <v/>
      </c>
    </row>
    <row r="32" spans="4:19">
      <c r="D32" t="str">
        <f>'Audit Report'!B32</f>
        <v>ITD-SHRXXX-XX31</v>
      </c>
      <c r="E32" t="str">
        <f>'Audit Report'!C32</f>
        <v/>
      </c>
      <c r="I32" t="str">
        <f>_xlfn.XLOOKUP('Audit Report'!D32,Models!G:G,Models!I:I,'Audit Report'!D32,0,1)</f>
        <v/>
      </c>
      <c r="J32" t="str">
        <f>_xlfn.TEXTJOIN(" ",TRUE,'Audit Report'!G32,'Audit Report'!H32)</f>
        <v/>
      </c>
      <c r="L32" t="str">
        <f>_xlfn.TEXTJOIN(", ", TRUE, 'Audit Report'!K32,'Audit Report'!L32,'Audit Report'!M32)</f>
        <v/>
      </c>
      <c r="M32" t="str">
        <f>'Audit Report'!O32</f>
        <v/>
      </c>
      <c r="N32" t="str" cm="1">
        <f t="array" ref="N32">IF(M32="","",
_xlfn.TEXTJOIN(", ",TRUE,
    _xlfn.MAP(_xlfn.TEXTSPLIT(M32,","),_xlfn.LAMBDA(_xlpm.x,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" t="str">
        <f>'Audit Report'!F32</f>
        <v/>
      </c>
      <c r="S32" t="str">
        <f>'Audit Report'!Q32</f>
        <v/>
      </c>
    </row>
    <row r="33" spans="4:19">
      <c r="D33" t="str">
        <f>'Audit Report'!B33</f>
        <v>ITD-SHRXXX-XX32</v>
      </c>
      <c r="E33" t="str">
        <f>'Audit Report'!C33</f>
        <v/>
      </c>
      <c r="I33" t="str">
        <f>_xlfn.XLOOKUP('Audit Report'!D33,Models!G:G,Models!I:I,'Audit Report'!D33,0,1)</f>
        <v/>
      </c>
      <c r="J33" t="str">
        <f>_xlfn.TEXTJOIN(" ",TRUE,'Audit Report'!G33,'Audit Report'!H33)</f>
        <v/>
      </c>
      <c r="L33" t="str">
        <f>_xlfn.TEXTJOIN(", ", TRUE, 'Audit Report'!K33,'Audit Report'!L33,'Audit Report'!M33)</f>
        <v/>
      </c>
      <c r="M33" t="str">
        <f>'Audit Report'!O33</f>
        <v/>
      </c>
      <c r="N33" t="str" cm="1">
        <f t="array" ref="N33">IF(M33="","",
_xlfn.TEXTJOIN(", ",TRUE,
    _xlfn.MAP(_xlfn.TEXTSPLIT(M33,","),_xlfn.LAMBDA(_xlpm.x,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" t="str">
        <f>'Audit Report'!F33</f>
        <v/>
      </c>
      <c r="S33" t="str">
        <f>'Audit Report'!Q33</f>
        <v/>
      </c>
    </row>
    <row r="34" spans="4:19">
      <c r="D34" t="str">
        <f>'Audit Report'!B34</f>
        <v>ITD-SHRXXX-XX33</v>
      </c>
      <c r="E34" t="str">
        <f>'Audit Report'!C34</f>
        <v/>
      </c>
      <c r="I34" t="str">
        <f>_xlfn.XLOOKUP('Audit Report'!D34,Models!G:G,Models!I:I,'Audit Report'!D34,0,1)</f>
        <v/>
      </c>
      <c r="J34" t="str">
        <f>_xlfn.TEXTJOIN(" ",TRUE,'Audit Report'!G34,'Audit Report'!H34)</f>
        <v/>
      </c>
      <c r="L34" t="str">
        <f>_xlfn.TEXTJOIN(", ", TRUE, 'Audit Report'!K34,'Audit Report'!L34,'Audit Report'!M34)</f>
        <v/>
      </c>
      <c r="M34" t="str">
        <f>'Audit Report'!O34</f>
        <v/>
      </c>
      <c r="N34" t="str" cm="1">
        <f t="array" ref="N34">IF(M34="","",
_xlfn.TEXTJOIN(", ",TRUE,
    _xlfn.MAP(_xlfn.TEXTSPLIT(M34,","),_xlfn.LAMBDA(_xlpm.x,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" t="str">
        <f>'Audit Report'!F34</f>
        <v/>
      </c>
      <c r="S34" t="str">
        <f>'Audit Report'!Q34</f>
        <v/>
      </c>
    </row>
    <row r="35" spans="4:19">
      <c r="D35" t="str">
        <f>'Audit Report'!B35</f>
        <v>ITD-SHRXXX-XX34</v>
      </c>
      <c r="E35" t="str">
        <f>'Audit Report'!C35</f>
        <v/>
      </c>
      <c r="I35" t="str">
        <f>_xlfn.XLOOKUP('Audit Report'!D35,Models!G:G,Models!I:I,'Audit Report'!D35,0,1)</f>
        <v/>
      </c>
      <c r="J35" t="str">
        <f>_xlfn.TEXTJOIN(" ",TRUE,'Audit Report'!G35,'Audit Report'!H35)</f>
        <v/>
      </c>
      <c r="L35" t="str">
        <f>_xlfn.TEXTJOIN(", ", TRUE, 'Audit Report'!K35,'Audit Report'!L35,'Audit Report'!M35)</f>
        <v/>
      </c>
      <c r="M35" t="str">
        <f>'Audit Report'!O35</f>
        <v/>
      </c>
      <c r="N35" t="str" cm="1">
        <f t="array" ref="N35">IF(M35="","",
_xlfn.TEXTJOIN(", ",TRUE,
    _xlfn.MAP(_xlfn.TEXTSPLIT(M35,","),_xlfn.LAMBDA(_xlpm.x,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" t="str">
        <f>'Audit Report'!F35</f>
        <v/>
      </c>
      <c r="S35" t="str">
        <f>'Audit Report'!Q35</f>
        <v/>
      </c>
    </row>
    <row r="36" spans="4:19">
      <c r="D36" t="str">
        <f>'Audit Report'!B36</f>
        <v>ITD-SHRXXX-XX35</v>
      </c>
      <c r="E36" t="str">
        <f>'Audit Report'!C36</f>
        <v/>
      </c>
      <c r="I36" t="str">
        <f>_xlfn.XLOOKUP('Audit Report'!D36,Models!G:G,Models!I:I,'Audit Report'!D36,0,1)</f>
        <v/>
      </c>
      <c r="J36" t="str">
        <f>_xlfn.TEXTJOIN(" ",TRUE,'Audit Report'!G36,'Audit Report'!H36)</f>
        <v/>
      </c>
      <c r="L36" t="str">
        <f>_xlfn.TEXTJOIN(", ", TRUE, 'Audit Report'!K36,'Audit Report'!L36,'Audit Report'!M36)</f>
        <v/>
      </c>
      <c r="M36" t="str">
        <f>'Audit Report'!O36</f>
        <v/>
      </c>
      <c r="N36" t="str" cm="1">
        <f t="array" ref="N36">IF(M36="","",
_xlfn.TEXTJOIN(", ",TRUE,
    _xlfn.MAP(_xlfn.TEXTSPLIT(M36,","),_xlfn.LAMBDA(_xlpm.x,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" t="str">
        <f>'Audit Report'!F36</f>
        <v/>
      </c>
      <c r="S36" t="str">
        <f>'Audit Report'!Q36</f>
        <v/>
      </c>
    </row>
    <row r="37" spans="4:19">
      <c r="D37" t="str">
        <f>'Audit Report'!B37</f>
        <v>ITD-SHRXXX-XX36</v>
      </c>
      <c r="E37" t="str">
        <f>'Audit Report'!C37</f>
        <v/>
      </c>
      <c r="I37" t="str">
        <f>_xlfn.XLOOKUP('Audit Report'!D37,Models!G:G,Models!I:I,'Audit Report'!D37,0,1)</f>
        <v/>
      </c>
      <c r="J37" t="str">
        <f>_xlfn.TEXTJOIN(" ",TRUE,'Audit Report'!G37,'Audit Report'!H37)</f>
        <v/>
      </c>
      <c r="L37" t="str">
        <f>_xlfn.TEXTJOIN(", ", TRUE, 'Audit Report'!K37,'Audit Report'!L37,'Audit Report'!M37)</f>
        <v/>
      </c>
      <c r="M37" t="str">
        <f>'Audit Report'!O37</f>
        <v/>
      </c>
      <c r="N37" t="str" cm="1">
        <f t="array" ref="N37">IF(M37="","",
_xlfn.TEXTJOIN(", ",TRUE,
    _xlfn.MAP(_xlfn.TEXTSPLIT(M37,","),_xlfn.LAMBDA(_xlpm.x,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" t="str">
        <f>'Audit Report'!F37</f>
        <v/>
      </c>
      <c r="S37" t="str">
        <f>'Audit Report'!Q37</f>
        <v/>
      </c>
    </row>
    <row r="38" spans="4:19">
      <c r="D38" t="str">
        <f>'Audit Report'!B38</f>
        <v>ITD-SHRXXX-XX37</v>
      </c>
      <c r="E38" t="str">
        <f>'Audit Report'!C38</f>
        <v/>
      </c>
      <c r="I38" t="str">
        <f>_xlfn.XLOOKUP('Audit Report'!D38,Models!G:G,Models!I:I,'Audit Report'!D38,0,1)</f>
        <v/>
      </c>
      <c r="J38" t="str">
        <f>_xlfn.TEXTJOIN(" ",TRUE,'Audit Report'!G38,'Audit Report'!H38)</f>
        <v/>
      </c>
      <c r="L38" t="str">
        <f>_xlfn.TEXTJOIN(", ", TRUE, 'Audit Report'!K38,'Audit Report'!L38,'Audit Report'!M38)</f>
        <v/>
      </c>
      <c r="M38" t="str">
        <f>'Audit Report'!O38</f>
        <v/>
      </c>
      <c r="N38" t="str" cm="1">
        <f t="array" ref="N38">IF(M38="","",
_xlfn.TEXTJOIN(", ",TRUE,
    _xlfn.MAP(_xlfn.TEXTSPLIT(M38,","),_xlfn.LAMBDA(_xlpm.x,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" t="str">
        <f>'Audit Report'!F38</f>
        <v/>
      </c>
      <c r="S38" t="str">
        <f>'Audit Report'!Q38</f>
        <v/>
      </c>
    </row>
    <row r="39" spans="4:19">
      <c r="D39" t="str">
        <f>'Audit Report'!B39</f>
        <v>ITD-SHRXXX-XX38</v>
      </c>
      <c r="E39" t="str">
        <f>'Audit Report'!C39</f>
        <v/>
      </c>
      <c r="I39" t="str">
        <f>_xlfn.XLOOKUP('Audit Report'!D39,Models!G:G,Models!I:I,'Audit Report'!D39,0,1)</f>
        <v/>
      </c>
      <c r="J39" t="str">
        <f>_xlfn.TEXTJOIN(" ",TRUE,'Audit Report'!G39,'Audit Report'!H39)</f>
        <v/>
      </c>
      <c r="L39" t="str">
        <f>_xlfn.TEXTJOIN(", ", TRUE, 'Audit Report'!K39,'Audit Report'!L39,'Audit Report'!M39)</f>
        <v/>
      </c>
      <c r="M39" t="str">
        <f>'Audit Report'!O39</f>
        <v/>
      </c>
      <c r="N39" t="str" cm="1">
        <f t="array" ref="N39">IF(M39="","",
_xlfn.TEXTJOIN(", ",TRUE,
    _xlfn.MAP(_xlfn.TEXTSPLIT(M39,","),_xlfn.LAMBDA(_xlpm.x,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" t="str">
        <f>'Audit Report'!F39</f>
        <v/>
      </c>
      <c r="S39" t="str">
        <f>'Audit Report'!Q39</f>
        <v/>
      </c>
    </row>
    <row r="40" spans="4:19">
      <c r="D40" t="str">
        <f>'Audit Report'!B40</f>
        <v>ITD-SHRXXX-XX39</v>
      </c>
      <c r="E40" t="str">
        <f>'Audit Report'!C40</f>
        <v/>
      </c>
      <c r="I40" t="str">
        <f>_xlfn.XLOOKUP('Audit Report'!D40,Models!G:G,Models!I:I,'Audit Report'!D40,0,1)</f>
        <v/>
      </c>
      <c r="J40" t="str">
        <f>_xlfn.TEXTJOIN(" ",TRUE,'Audit Report'!G40,'Audit Report'!H40)</f>
        <v/>
      </c>
      <c r="L40" t="str">
        <f>_xlfn.TEXTJOIN(", ", TRUE, 'Audit Report'!K40,'Audit Report'!L40,'Audit Report'!M40)</f>
        <v/>
      </c>
      <c r="M40" t="str">
        <f>'Audit Report'!O40</f>
        <v/>
      </c>
      <c r="N40" t="str" cm="1">
        <f t="array" ref="N40">IF(M40="","",
_xlfn.TEXTJOIN(", ",TRUE,
    _xlfn.MAP(_xlfn.TEXTSPLIT(M40,","),_xlfn.LAMBDA(_xlpm.x,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" t="str">
        <f>'Audit Report'!F40</f>
        <v/>
      </c>
      <c r="S40" t="str">
        <f>'Audit Report'!Q40</f>
        <v/>
      </c>
    </row>
    <row r="41" spans="4:19">
      <c r="D41" t="str">
        <f>'Audit Report'!B41</f>
        <v>ITD-SHRXXX-XX40</v>
      </c>
      <c r="E41" t="str">
        <f>'Audit Report'!C41</f>
        <v/>
      </c>
      <c r="I41" t="str">
        <f>_xlfn.XLOOKUP('Audit Report'!D41,Models!G:G,Models!I:I,'Audit Report'!D41,0,1)</f>
        <v/>
      </c>
      <c r="J41" t="str">
        <f>_xlfn.TEXTJOIN(" ",TRUE,'Audit Report'!G41,'Audit Report'!H41)</f>
        <v/>
      </c>
      <c r="L41" t="str">
        <f>_xlfn.TEXTJOIN(", ", TRUE, 'Audit Report'!K41,'Audit Report'!L41,'Audit Report'!M41)</f>
        <v/>
      </c>
      <c r="M41" t="str">
        <f>'Audit Report'!O41</f>
        <v/>
      </c>
      <c r="N41" t="str" cm="1">
        <f t="array" ref="N41">IF(M41="","",
_xlfn.TEXTJOIN(", ",TRUE,
    _xlfn.MAP(_xlfn.TEXTSPLIT(M41,","),_xlfn.LAMBDA(_xlpm.x,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" t="str">
        <f>'Audit Report'!F41</f>
        <v/>
      </c>
      <c r="S41" t="str">
        <f>'Audit Report'!Q41</f>
        <v/>
      </c>
    </row>
    <row r="42" spans="4:19">
      <c r="D42" t="str">
        <f>'Audit Report'!B42</f>
        <v>ITD-SHRXXX-XX41</v>
      </c>
      <c r="E42" t="str">
        <f>'Audit Report'!C42</f>
        <v/>
      </c>
      <c r="I42" t="str">
        <f>_xlfn.XLOOKUP('Audit Report'!D42,Models!G:G,Models!I:I,'Audit Report'!D42,0,1)</f>
        <v/>
      </c>
      <c r="J42" t="str">
        <f>_xlfn.TEXTJOIN(" ",TRUE,'Audit Report'!G42,'Audit Report'!H42)</f>
        <v/>
      </c>
      <c r="L42" t="str">
        <f>_xlfn.TEXTJOIN(", ", TRUE, 'Audit Report'!K42,'Audit Report'!L42,'Audit Report'!M42)</f>
        <v/>
      </c>
      <c r="M42" t="str">
        <f>'Audit Report'!O42</f>
        <v/>
      </c>
      <c r="N42" t="str" cm="1">
        <f t="array" ref="N42">IF(M42="","",
_xlfn.TEXTJOIN(", ",TRUE,
    _xlfn.MAP(_xlfn.TEXTSPLIT(M42,","),_xlfn.LAMBDA(_xlpm.x,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" t="str">
        <f>'Audit Report'!F42</f>
        <v/>
      </c>
      <c r="S42" t="str">
        <f>'Audit Report'!Q42</f>
        <v/>
      </c>
    </row>
    <row r="43" spans="4:19">
      <c r="D43" t="str">
        <f>'Audit Report'!B43</f>
        <v>ITD-SHRXXX-XX42</v>
      </c>
      <c r="E43" t="str">
        <f>'Audit Report'!C43</f>
        <v/>
      </c>
      <c r="I43" t="str">
        <f>_xlfn.XLOOKUP('Audit Report'!D43,Models!G:G,Models!I:I,'Audit Report'!D43,0,1)</f>
        <v/>
      </c>
      <c r="J43" t="str">
        <f>_xlfn.TEXTJOIN(" ",TRUE,'Audit Report'!G43,'Audit Report'!H43)</f>
        <v/>
      </c>
      <c r="L43" t="str">
        <f>_xlfn.TEXTJOIN(", ", TRUE, 'Audit Report'!K43,'Audit Report'!L43,'Audit Report'!M43)</f>
        <v/>
      </c>
      <c r="M43" t="str">
        <f>'Audit Report'!O43</f>
        <v/>
      </c>
      <c r="N43" t="str" cm="1">
        <f t="array" ref="N43">IF(M43="","",
_xlfn.TEXTJOIN(", ",TRUE,
    _xlfn.MAP(_xlfn.TEXTSPLIT(M43,","),_xlfn.LAMBDA(_xlpm.x,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" t="str">
        <f>'Audit Report'!F43</f>
        <v/>
      </c>
      <c r="S43" t="str">
        <f>'Audit Report'!Q43</f>
        <v/>
      </c>
    </row>
    <row r="44" spans="4:19">
      <c r="D44" t="str">
        <f>'Audit Report'!B44</f>
        <v>ITD-SHRXXX-XX43</v>
      </c>
      <c r="E44" t="str">
        <f>'Audit Report'!C44</f>
        <v/>
      </c>
      <c r="I44" t="str">
        <f>_xlfn.XLOOKUP('Audit Report'!D44,Models!G:G,Models!I:I,'Audit Report'!D44,0,1)</f>
        <v/>
      </c>
      <c r="J44" t="str">
        <f>_xlfn.TEXTJOIN(" ",TRUE,'Audit Report'!G44,'Audit Report'!H44)</f>
        <v/>
      </c>
      <c r="L44" t="str">
        <f>_xlfn.TEXTJOIN(", ", TRUE, 'Audit Report'!K44,'Audit Report'!L44,'Audit Report'!M44)</f>
        <v/>
      </c>
      <c r="M44" t="str">
        <f>'Audit Report'!O44</f>
        <v/>
      </c>
      <c r="N44" t="str" cm="1">
        <f t="array" ref="N44">IF(M44="","",
_xlfn.TEXTJOIN(", ",TRUE,
    _xlfn.MAP(_xlfn.TEXTSPLIT(M44,","),_xlfn.LAMBDA(_xlpm.x,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" t="str">
        <f>'Audit Report'!F44</f>
        <v/>
      </c>
      <c r="S44" t="str">
        <f>'Audit Report'!Q44</f>
        <v/>
      </c>
    </row>
    <row r="45" spans="4:19">
      <c r="D45" t="str">
        <f>'Audit Report'!B45</f>
        <v>ITD-SHRXXX-XX44</v>
      </c>
      <c r="E45" t="str">
        <f>'Audit Report'!C45</f>
        <v/>
      </c>
      <c r="I45" t="str">
        <f>_xlfn.XLOOKUP('Audit Report'!D45,Models!G:G,Models!I:I,'Audit Report'!D45,0,1)</f>
        <v/>
      </c>
      <c r="J45" t="str">
        <f>_xlfn.TEXTJOIN(" ",TRUE,'Audit Report'!G45,'Audit Report'!H45)</f>
        <v/>
      </c>
      <c r="L45" t="str">
        <f>_xlfn.TEXTJOIN(", ", TRUE, 'Audit Report'!K45,'Audit Report'!L45,'Audit Report'!M45)</f>
        <v/>
      </c>
      <c r="M45" t="str">
        <f>'Audit Report'!O45</f>
        <v/>
      </c>
      <c r="N45" t="str" cm="1">
        <f t="array" ref="N45">IF(M45="","",
_xlfn.TEXTJOIN(", ",TRUE,
    _xlfn.MAP(_xlfn.TEXTSPLIT(M45,","),_xlfn.LAMBDA(_xlpm.x,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" t="str">
        <f>'Audit Report'!F45</f>
        <v/>
      </c>
      <c r="S45" t="str">
        <f>'Audit Report'!Q45</f>
        <v/>
      </c>
    </row>
    <row r="46" spans="4:19">
      <c r="D46" t="str">
        <f>'Audit Report'!B46</f>
        <v>ITD-SHRXXX-XX45</v>
      </c>
      <c r="E46" t="str">
        <f>'Audit Report'!C46</f>
        <v/>
      </c>
      <c r="I46" t="str">
        <f>_xlfn.XLOOKUP('Audit Report'!D46,Models!G:G,Models!I:I,'Audit Report'!D46,0,1)</f>
        <v/>
      </c>
      <c r="J46" t="str">
        <f>_xlfn.TEXTJOIN(" ",TRUE,'Audit Report'!G46,'Audit Report'!H46)</f>
        <v/>
      </c>
      <c r="L46" t="str">
        <f>_xlfn.TEXTJOIN(", ", TRUE, 'Audit Report'!K46,'Audit Report'!L46,'Audit Report'!M46)</f>
        <v/>
      </c>
      <c r="M46" t="str">
        <f>'Audit Report'!O46</f>
        <v/>
      </c>
      <c r="N46" t="str" cm="1">
        <f t="array" ref="N46">IF(M46="","",
_xlfn.TEXTJOIN(", ",TRUE,
    _xlfn.MAP(_xlfn.TEXTSPLIT(M46,","),_xlfn.LAMBDA(_xlpm.x,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" t="str">
        <f>'Audit Report'!F46</f>
        <v/>
      </c>
      <c r="S46" t="str">
        <f>'Audit Report'!Q46</f>
        <v/>
      </c>
    </row>
    <row r="47" spans="4:19">
      <c r="D47" t="str">
        <f>'Audit Report'!B47</f>
        <v>ITD-SHRXXX-XX46</v>
      </c>
      <c r="E47" t="str">
        <f>'Audit Report'!C47</f>
        <v/>
      </c>
      <c r="I47" t="str">
        <f>_xlfn.XLOOKUP('Audit Report'!D47,Models!G:G,Models!I:I,'Audit Report'!D47,0,1)</f>
        <v/>
      </c>
      <c r="J47" t="str">
        <f>_xlfn.TEXTJOIN(" ",TRUE,'Audit Report'!G47,'Audit Report'!H47)</f>
        <v/>
      </c>
      <c r="L47" t="str">
        <f>_xlfn.TEXTJOIN(", ", TRUE, 'Audit Report'!K47,'Audit Report'!L47,'Audit Report'!M47)</f>
        <v/>
      </c>
      <c r="M47" t="str">
        <f>'Audit Report'!O47</f>
        <v/>
      </c>
      <c r="N47" t="str" cm="1">
        <f t="array" ref="N47">IF(M47="","",
_xlfn.TEXTJOIN(", ",TRUE,
    _xlfn.MAP(_xlfn.TEXTSPLIT(M47,","),_xlfn.LAMBDA(_xlpm.x,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" t="str">
        <f>'Audit Report'!F47</f>
        <v/>
      </c>
      <c r="S47" t="str">
        <f>'Audit Report'!Q47</f>
        <v/>
      </c>
    </row>
    <row r="48" spans="4:19">
      <c r="D48" t="str">
        <f>'Audit Report'!B48</f>
        <v>ITD-SHRXXX-XX47</v>
      </c>
      <c r="E48" t="str">
        <f>'Audit Report'!C48</f>
        <v/>
      </c>
      <c r="I48" t="str">
        <f>_xlfn.XLOOKUP('Audit Report'!D48,Models!G:G,Models!I:I,'Audit Report'!D48,0,1)</f>
        <v/>
      </c>
      <c r="J48" t="str">
        <f>_xlfn.TEXTJOIN(" ",TRUE,'Audit Report'!G48,'Audit Report'!H48)</f>
        <v/>
      </c>
      <c r="L48" t="str">
        <f>_xlfn.TEXTJOIN(", ", TRUE, 'Audit Report'!K48,'Audit Report'!L48,'Audit Report'!M48)</f>
        <v/>
      </c>
      <c r="M48" t="str">
        <f>'Audit Report'!O48</f>
        <v/>
      </c>
      <c r="N48" t="str" cm="1">
        <f t="array" ref="N48">IF(M48="","",
_xlfn.TEXTJOIN(", ",TRUE,
    _xlfn.MAP(_xlfn.TEXTSPLIT(M48,","),_xlfn.LAMBDA(_xlpm.x,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" t="str">
        <f>'Audit Report'!F48</f>
        <v/>
      </c>
      <c r="S48" t="str">
        <f>'Audit Report'!Q48</f>
        <v/>
      </c>
    </row>
    <row r="49" spans="4:19">
      <c r="D49" t="str">
        <f>'Audit Report'!B49</f>
        <v>ITD-SHRXXX-XX48</v>
      </c>
      <c r="E49" t="str">
        <f>'Audit Report'!C49</f>
        <v/>
      </c>
      <c r="I49" t="str">
        <f>_xlfn.XLOOKUP('Audit Report'!D49,Models!G:G,Models!I:I,'Audit Report'!D49,0,1)</f>
        <v/>
      </c>
      <c r="J49" t="str">
        <f>_xlfn.TEXTJOIN(" ",TRUE,'Audit Report'!G49,'Audit Report'!H49)</f>
        <v/>
      </c>
      <c r="L49" t="str">
        <f>_xlfn.TEXTJOIN(", ", TRUE, 'Audit Report'!K49,'Audit Report'!L49,'Audit Report'!M49)</f>
        <v/>
      </c>
      <c r="M49" t="str">
        <f>'Audit Report'!O49</f>
        <v/>
      </c>
      <c r="N49" t="str" cm="1">
        <f t="array" ref="N49">IF(M49="","",
_xlfn.TEXTJOIN(", ",TRUE,
    _xlfn.MAP(_xlfn.TEXTSPLIT(M49,","),_xlfn.LAMBDA(_xlpm.x,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" t="str">
        <f>'Audit Report'!F49</f>
        <v/>
      </c>
      <c r="S49" t="str">
        <f>'Audit Report'!Q49</f>
        <v/>
      </c>
    </row>
    <row r="50" spans="4:19">
      <c r="D50" t="str">
        <f>'Audit Report'!B50</f>
        <v>ITD-SHRXXX-XX49</v>
      </c>
      <c r="E50" t="str">
        <f>'Audit Report'!C50</f>
        <v/>
      </c>
      <c r="I50" t="str">
        <f>_xlfn.XLOOKUP('Audit Report'!D50,Models!G:G,Models!I:I,'Audit Report'!D50,0,1)</f>
        <v/>
      </c>
      <c r="J50" t="str">
        <f>_xlfn.TEXTJOIN(" ",TRUE,'Audit Report'!G50,'Audit Report'!H50)</f>
        <v/>
      </c>
      <c r="L50" t="str">
        <f>_xlfn.TEXTJOIN(", ", TRUE, 'Audit Report'!K50,'Audit Report'!L50,'Audit Report'!M50)</f>
        <v/>
      </c>
      <c r="M50" t="str">
        <f>'Audit Report'!O50</f>
        <v/>
      </c>
      <c r="N50" t="str" cm="1">
        <f t="array" ref="N50">IF(M50="","",
_xlfn.TEXTJOIN(", ",TRUE,
    _xlfn.MAP(_xlfn.TEXTSPLIT(M50,","),_xlfn.LAMBDA(_xlpm.x,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" t="str">
        <f>'Audit Report'!F50</f>
        <v/>
      </c>
      <c r="S50" t="str">
        <f>'Audit Report'!Q50</f>
        <v/>
      </c>
    </row>
    <row r="51" spans="4:19">
      <c r="D51" t="str">
        <f>'Audit Report'!B51</f>
        <v>ITD-SHRXXX-XX50</v>
      </c>
      <c r="E51" t="str">
        <f>'Audit Report'!C51</f>
        <v/>
      </c>
      <c r="I51" t="str">
        <f>_xlfn.XLOOKUP('Audit Report'!D51,Models!G:G,Models!I:I,'Audit Report'!D51,0,1)</f>
        <v/>
      </c>
      <c r="J51" t="str">
        <f>_xlfn.TEXTJOIN(" ",TRUE,'Audit Report'!G51,'Audit Report'!H51)</f>
        <v/>
      </c>
      <c r="L51" t="str">
        <f>_xlfn.TEXTJOIN(", ", TRUE, 'Audit Report'!K51,'Audit Report'!L51,'Audit Report'!M51)</f>
        <v/>
      </c>
      <c r="M51" t="str">
        <f>'Audit Report'!O51</f>
        <v/>
      </c>
      <c r="N51" t="str" cm="1">
        <f t="array" ref="N51">IF(M51="","",
_xlfn.TEXTJOIN(", ",TRUE,
    _xlfn.MAP(_xlfn.TEXTSPLIT(M51,","),_xlfn.LAMBDA(_xlpm.x,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" t="str">
        <f>'Audit Report'!F51</f>
        <v/>
      </c>
      <c r="S51" t="str">
        <f>'Audit Report'!Q51</f>
        <v/>
      </c>
    </row>
    <row r="52" spans="4:19">
      <c r="D52" t="str">
        <f>'Audit Report'!B52</f>
        <v>ITD-SHRXXX-XX51</v>
      </c>
      <c r="E52" t="str">
        <f>'Audit Report'!C52</f>
        <v/>
      </c>
      <c r="I52" t="str">
        <f>_xlfn.XLOOKUP('Audit Report'!D52,Models!G:G,Models!I:I,'Audit Report'!D52,0,1)</f>
        <v/>
      </c>
      <c r="J52" t="str">
        <f>_xlfn.TEXTJOIN(" ",TRUE,'Audit Report'!G52,'Audit Report'!H52)</f>
        <v/>
      </c>
      <c r="L52" t="str">
        <f>_xlfn.TEXTJOIN(", ", TRUE, 'Audit Report'!K52,'Audit Report'!L52,'Audit Report'!M52)</f>
        <v/>
      </c>
      <c r="M52" t="str">
        <f>'Audit Report'!O52</f>
        <v/>
      </c>
      <c r="N52" t="str" cm="1">
        <f t="array" ref="N52">IF(M52="","",
_xlfn.TEXTJOIN(", ",TRUE,
    _xlfn.MAP(_xlfn.TEXTSPLIT(M52,","),_xlfn.LAMBDA(_xlpm.x,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" t="str">
        <f>'Audit Report'!F52</f>
        <v/>
      </c>
      <c r="S52" t="str">
        <f>'Audit Report'!Q52</f>
        <v/>
      </c>
    </row>
    <row r="53" spans="4:19">
      <c r="D53" t="str">
        <f>'Audit Report'!B53</f>
        <v>ITD-SHRXXX-XX52</v>
      </c>
      <c r="E53" t="str">
        <f>'Audit Report'!C53</f>
        <v/>
      </c>
      <c r="I53" t="str">
        <f>_xlfn.XLOOKUP('Audit Report'!D53,Models!G:G,Models!I:I,'Audit Report'!D53,0,1)</f>
        <v/>
      </c>
      <c r="J53" t="str">
        <f>_xlfn.TEXTJOIN(" ",TRUE,'Audit Report'!G53,'Audit Report'!H53)</f>
        <v/>
      </c>
      <c r="L53" t="str">
        <f>_xlfn.TEXTJOIN(", ", TRUE, 'Audit Report'!K53,'Audit Report'!L53,'Audit Report'!M53)</f>
        <v/>
      </c>
      <c r="M53" t="str">
        <f>'Audit Report'!O53</f>
        <v/>
      </c>
      <c r="N53" t="str" cm="1">
        <f t="array" ref="N53">IF(M53="","",
_xlfn.TEXTJOIN(", ",TRUE,
    _xlfn.MAP(_xlfn.TEXTSPLIT(M53,","),_xlfn.LAMBDA(_xlpm.x,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" t="str">
        <f>'Audit Report'!F53</f>
        <v/>
      </c>
      <c r="S53" t="str">
        <f>'Audit Report'!Q53</f>
        <v/>
      </c>
    </row>
    <row r="54" spans="4:19">
      <c r="D54" t="str">
        <f>'Audit Report'!B54</f>
        <v>ITD-SHRXXX-XX53</v>
      </c>
      <c r="E54" t="str">
        <f>'Audit Report'!C54</f>
        <v/>
      </c>
      <c r="I54" t="str">
        <f>_xlfn.XLOOKUP('Audit Report'!D54,Models!G:G,Models!I:I,'Audit Report'!D54,0,1)</f>
        <v/>
      </c>
      <c r="J54" t="str">
        <f>_xlfn.TEXTJOIN(" ",TRUE,'Audit Report'!G54,'Audit Report'!H54)</f>
        <v/>
      </c>
      <c r="L54" t="str">
        <f>_xlfn.TEXTJOIN(", ", TRUE, 'Audit Report'!K54,'Audit Report'!L54,'Audit Report'!M54)</f>
        <v/>
      </c>
      <c r="M54" t="str">
        <f>'Audit Report'!O54</f>
        <v/>
      </c>
      <c r="N54" t="str" cm="1">
        <f t="array" ref="N54">IF(M54="","",
_xlfn.TEXTJOIN(", ",TRUE,
    _xlfn.MAP(_xlfn.TEXTSPLIT(M54,","),_xlfn.LAMBDA(_xlpm.x,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" t="str">
        <f>'Audit Report'!F54</f>
        <v/>
      </c>
      <c r="S54" t="str">
        <f>'Audit Report'!Q54</f>
        <v/>
      </c>
    </row>
    <row r="55" spans="4:19">
      <c r="D55" t="str">
        <f>'Audit Report'!B55</f>
        <v>ITD-SHRXXX-XX54</v>
      </c>
      <c r="E55" t="str">
        <f>'Audit Report'!C55</f>
        <v/>
      </c>
      <c r="I55" t="str">
        <f>_xlfn.XLOOKUP('Audit Report'!D55,Models!G:G,Models!I:I,'Audit Report'!D55,0,1)</f>
        <v/>
      </c>
      <c r="J55" t="str">
        <f>_xlfn.TEXTJOIN(" ",TRUE,'Audit Report'!G55,'Audit Report'!H55)</f>
        <v/>
      </c>
      <c r="L55" t="str">
        <f>_xlfn.TEXTJOIN(", ", TRUE, 'Audit Report'!K55,'Audit Report'!L55,'Audit Report'!M55)</f>
        <v/>
      </c>
      <c r="M55" t="str">
        <f>'Audit Report'!O55</f>
        <v/>
      </c>
      <c r="N55" t="str" cm="1">
        <f t="array" ref="N55">IF(M55="","",
_xlfn.TEXTJOIN(", ",TRUE,
    _xlfn.MAP(_xlfn.TEXTSPLIT(M55,","),_xlfn.LAMBDA(_xlpm.x,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" t="str">
        <f>'Audit Report'!F55</f>
        <v/>
      </c>
      <c r="S55" t="str">
        <f>'Audit Report'!Q55</f>
        <v/>
      </c>
    </row>
    <row r="56" spans="4:19">
      <c r="D56" t="str">
        <f>'Audit Report'!B56</f>
        <v>ITD-SHRXXX-XX55</v>
      </c>
      <c r="E56" t="str">
        <f>'Audit Report'!C56</f>
        <v/>
      </c>
      <c r="I56" t="str">
        <f>_xlfn.XLOOKUP('Audit Report'!D56,Models!G:G,Models!I:I,'Audit Report'!D56,0,1)</f>
        <v/>
      </c>
      <c r="J56" t="str">
        <f>_xlfn.TEXTJOIN(" ",TRUE,'Audit Report'!G56,'Audit Report'!H56)</f>
        <v/>
      </c>
      <c r="L56" t="str">
        <f>_xlfn.TEXTJOIN(", ", TRUE, 'Audit Report'!K56,'Audit Report'!L56,'Audit Report'!M56)</f>
        <v/>
      </c>
      <c r="M56" t="str">
        <f>'Audit Report'!O56</f>
        <v/>
      </c>
      <c r="N56" t="str" cm="1">
        <f t="array" ref="N56">IF(M56="","",
_xlfn.TEXTJOIN(", ",TRUE,
    _xlfn.MAP(_xlfn.TEXTSPLIT(M56,","),_xlfn.LAMBDA(_xlpm.x,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" t="str">
        <f>'Audit Report'!F56</f>
        <v/>
      </c>
      <c r="S56" t="str">
        <f>'Audit Report'!Q56</f>
        <v/>
      </c>
    </row>
    <row r="57" spans="4:19">
      <c r="D57" t="str">
        <f>'Audit Report'!B57</f>
        <v>ITD-SHRXXX-XX56</v>
      </c>
      <c r="E57" t="str">
        <f>'Audit Report'!C57</f>
        <v/>
      </c>
      <c r="I57" t="str">
        <f>_xlfn.XLOOKUP('Audit Report'!D57,Models!G:G,Models!I:I,'Audit Report'!D57,0,1)</f>
        <v/>
      </c>
      <c r="J57" t="str">
        <f>_xlfn.TEXTJOIN(" ",TRUE,'Audit Report'!G57,'Audit Report'!H57)</f>
        <v/>
      </c>
      <c r="L57" t="str">
        <f>_xlfn.TEXTJOIN(", ", TRUE, 'Audit Report'!K57,'Audit Report'!L57,'Audit Report'!M57)</f>
        <v/>
      </c>
      <c r="M57" t="str">
        <f>'Audit Report'!O57</f>
        <v/>
      </c>
      <c r="N57" t="str" cm="1">
        <f t="array" ref="N57">IF(M57="","",
_xlfn.TEXTJOIN(", ",TRUE,
    _xlfn.MAP(_xlfn.TEXTSPLIT(M57,","),_xlfn.LAMBDA(_xlpm.x,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" t="str">
        <f>'Audit Report'!F57</f>
        <v/>
      </c>
      <c r="S57" t="str">
        <f>'Audit Report'!Q57</f>
        <v/>
      </c>
    </row>
    <row r="58" spans="4:19">
      <c r="D58" t="str">
        <f>'Audit Report'!B58</f>
        <v>ITD-SHRXXX-XX57</v>
      </c>
      <c r="E58" t="str">
        <f>'Audit Report'!C58</f>
        <v/>
      </c>
      <c r="I58" t="str">
        <f>_xlfn.XLOOKUP('Audit Report'!D58,Models!G:G,Models!I:I,'Audit Report'!D58,0,1)</f>
        <v/>
      </c>
      <c r="J58" t="str">
        <f>_xlfn.TEXTJOIN(" ",TRUE,'Audit Report'!G58,'Audit Report'!H58)</f>
        <v/>
      </c>
      <c r="L58" t="str">
        <f>_xlfn.TEXTJOIN(", ", TRUE, 'Audit Report'!K58,'Audit Report'!L58,'Audit Report'!M58)</f>
        <v/>
      </c>
      <c r="M58" t="str">
        <f>'Audit Report'!O58</f>
        <v/>
      </c>
      <c r="N58" t="str" cm="1">
        <f t="array" ref="N58">IF(M58="","",
_xlfn.TEXTJOIN(", ",TRUE,
    _xlfn.MAP(_xlfn.TEXTSPLIT(M58,","),_xlfn.LAMBDA(_xlpm.x,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" t="str">
        <f>'Audit Report'!F58</f>
        <v/>
      </c>
      <c r="S58" t="str">
        <f>'Audit Report'!Q58</f>
        <v/>
      </c>
    </row>
    <row r="59" spans="4:19">
      <c r="D59" t="str">
        <f>'Audit Report'!B59</f>
        <v>ITD-SHRXXX-XX58</v>
      </c>
      <c r="E59" t="str">
        <f>'Audit Report'!C59</f>
        <v/>
      </c>
      <c r="I59" t="str">
        <f>_xlfn.XLOOKUP('Audit Report'!D59,Models!G:G,Models!I:I,'Audit Report'!D59,0,1)</f>
        <v/>
      </c>
      <c r="J59" t="str">
        <f>_xlfn.TEXTJOIN(" ",TRUE,'Audit Report'!G59,'Audit Report'!H59)</f>
        <v/>
      </c>
      <c r="L59" t="str">
        <f>_xlfn.TEXTJOIN(", ", TRUE, 'Audit Report'!K59,'Audit Report'!L59,'Audit Report'!M59)</f>
        <v/>
      </c>
      <c r="M59" t="str">
        <f>'Audit Report'!O59</f>
        <v/>
      </c>
      <c r="N59" t="str" cm="1">
        <f t="array" ref="N59">IF(M59="","",
_xlfn.TEXTJOIN(", ",TRUE,
    _xlfn.MAP(_xlfn.TEXTSPLIT(M59,","),_xlfn.LAMBDA(_xlpm.x,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" t="str">
        <f>'Audit Report'!F59</f>
        <v/>
      </c>
      <c r="S59" t="str">
        <f>'Audit Report'!Q59</f>
        <v/>
      </c>
    </row>
    <row r="60" spans="4:19">
      <c r="D60" t="str">
        <f>'Audit Report'!B60</f>
        <v>ITD-SHRXXX-XX59</v>
      </c>
      <c r="E60" t="str">
        <f>'Audit Report'!C60</f>
        <v/>
      </c>
      <c r="I60" t="str">
        <f>_xlfn.XLOOKUP('Audit Report'!D60,Models!G:G,Models!I:I,'Audit Report'!D60,0,1)</f>
        <v/>
      </c>
      <c r="J60" t="str">
        <f>_xlfn.TEXTJOIN(" ",TRUE,'Audit Report'!G60,'Audit Report'!H60)</f>
        <v/>
      </c>
      <c r="L60" t="str">
        <f>_xlfn.TEXTJOIN(", ", TRUE, 'Audit Report'!K60,'Audit Report'!L60,'Audit Report'!M60)</f>
        <v/>
      </c>
      <c r="M60" t="str">
        <f>'Audit Report'!O60</f>
        <v/>
      </c>
      <c r="N60" t="str" cm="1">
        <f t="array" ref="N60">IF(M60="","",
_xlfn.TEXTJOIN(", ",TRUE,
    _xlfn.MAP(_xlfn.TEXTSPLIT(M60,","),_xlfn.LAMBDA(_xlpm.x,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" t="str">
        <f>'Audit Report'!F60</f>
        <v/>
      </c>
      <c r="S60" t="str">
        <f>'Audit Report'!Q60</f>
        <v/>
      </c>
    </row>
    <row r="61" spans="4:19">
      <c r="D61" t="str">
        <f>'Audit Report'!B61</f>
        <v>ITD-SHRXXX-XX60</v>
      </c>
      <c r="E61" t="str">
        <f>'Audit Report'!C61</f>
        <v/>
      </c>
      <c r="I61" t="str">
        <f>_xlfn.XLOOKUP('Audit Report'!D61,Models!G:G,Models!I:I,'Audit Report'!D61,0,1)</f>
        <v/>
      </c>
      <c r="J61" t="str">
        <f>_xlfn.TEXTJOIN(" ",TRUE,'Audit Report'!G61,'Audit Report'!H61)</f>
        <v/>
      </c>
      <c r="L61" t="str">
        <f>_xlfn.TEXTJOIN(", ", TRUE, 'Audit Report'!K61,'Audit Report'!L61,'Audit Report'!M61)</f>
        <v/>
      </c>
      <c r="M61" t="str">
        <f>'Audit Report'!O61</f>
        <v/>
      </c>
      <c r="N61" t="str" cm="1">
        <f t="array" ref="N61">IF(M61="","",
_xlfn.TEXTJOIN(", ",TRUE,
    _xlfn.MAP(_xlfn.TEXTSPLIT(M61,","),_xlfn.LAMBDA(_xlpm.x,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" t="str">
        <f>'Audit Report'!F61</f>
        <v/>
      </c>
      <c r="S61" t="str">
        <f>'Audit Report'!Q61</f>
        <v/>
      </c>
    </row>
    <row r="62" spans="4:19">
      <c r="D62" t="str">
        <f>'Audit Report'!B62</f>
        <v>ITD-SHRXXX-XX61</v>
      </c>
      <c r="E62" t="str">
        <f>'Audit Report'!C62</f>
        <v/>
      </c>
      <c r="I62" t="str">
        <f>_xlfn.XLOOKUP('Audit Report'!D62,Models!G:G,Models!I:I,'Audit Report'!D62,0,1)</f>
        <v/>
      </c>
      <c r="J62" t="str">
        <f>_xlfn.TEXTJOIN(" ",TRUE,'Audit Report'!G62,'Audit Report'!H62)</f>
        <v/>
      </c>
      <c r="L62" t="str">
        <f>_xlfn.TEXTJOIN(", ", TRUE, 'Audit Report'!K62,'Audit Report'!L62,'Audit Report'!M62)</f>
        <v/>
      </c>
      <c r="M62" t="str">
        <f>'Audit Report'!O62</f>
        <v/>
      </c>
      <c r="N62" t="str" cm="1">
        <f t="array" ref="N62">IF(M62="","",
_xlfn.TEXTJOIN(", ",TRUE,
    _xlfn.MAP(_xlfn.TEXTSPLIT(M62,","),_xlfn.LAMBDA(_xlpm.x,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" t="str">
        <f>'Audit Report'!F62</f>
        <v/>
      </c>
      <c r="S62" t="str">
        <f>'Audit Report'!Q62</f>
        <v/>
      </c>
    </row>
    <row r="63" spans="4:19">
      <c r="D63" t="str">
        <f>'Audit Report'!B63</f>
        <v>ITD-SHRXXX-XX62</v>
      </c>
      <c r="E63" t="str">
        <f>'Audit Report'!C63</f>
        <v/>
      </c>
      <c r="I63" t="str">
        <f>_xlfn.XLOOKUP('Audit Report'!D63,Models!G:G,Models!I:I,'Audit Report'!D63,0,1)</f>
        <v/>
      </c>
      <c r="J63" t="str">
        <f>_xlfn.TEXTJOIN(" ",TRUE,'Audit Report'!G63,'Audit Report'!H63)</f>
        <v/>
      </c>
      <c r="L63" t="str">
        <f>_xlfn.TEXTJOIN(", ", TRUE, 'Audit Report'!K63,'Audit Report'!L63,'Audit Report'!M63)</f>
        <v/>
      </c>
      <c r="M63" t="str">
        <f>'Audit Report'!O63</f>
        <v/>
      </c>
      <c r="N63" t="str" cm="1">
        <f t="array" ref="N63">IF(M63="","",
_xlfn.TEXTJOIN(", ",TRUE,
    _xlfn.MAP(_xlfn.TEXTSPLIT(M63,","),_xlfn.LAMBDA(_xlpm.x,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" t="str">
        <f>'Audit Report'!F63</f>
        <v/>
      </c>
      <c r="S63" t="str">
        <f>'Audit Report'!Q63</f>
        <v/>
      </c>
    </row>
    <row r="64" spans="4:19">
      <c r="D64" t="str">
        <f>'Audit Report'!B64</f>
        <v>ITD-SHRXXX-XX63</v>
      </c>
      <c r="E64" t="str">
        <f>'Audit Report'!C64</f>
        <v/>
      </c>
      <c r="I64" t="str">
        <f>_xlfn.XLOOKUP('Audit Report'!D64,Models!G:G,Models!I:I,'Audit Report'!D64,0,1)</f>
        <v/>
      </c>
      <c r="J64" t="str">
        <f>_xlfn.TEXTJOIN(" ",TRUE,'Audit Report'!G64,'Audit Report'!H64)</f>
        <v/>
      </c>
      <c r="L64" t="str">
        <f>_xlfn.TEXTJOIN(", ", TRUE, 'Audit Report'!K64,'Audit Report'!L64,'Audit Report'!M64)</f>
        <v/>
      </c>
      <c r="M64" t="str">
        <f>'Audit Report'!O64</f>
        <v/>
      </c>
      <c r="N64" t="str" cm="1">
        <f t="array" ref="N64">IF(M64="","",
_xlfn.TEXTJOIN(", ",TRUE,
    _xlfn.MAP(_xlfn.TEXTSPLIT(M64,","),_xlfn.LAMBDA(_xlpm.x,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" t="str">
        <f>'Audit Report'!F64</f>
        <v/>
      </c>
      <c r="S64" t="str">
        <f>'Audit Report'!Q64</f>
        <v/>
      </c>
    </row>
    <row r="65" spans="4:19">
      <c r="D65" t="str">
        <f>'Audit Report'!B65</f>
        <v>ITD-SHRXXX-XX64</v>
      </c>
      <c r="E65" t="str">
        <f>'Audit Report'!C65</f>
        <v/>
      </c>
      <c r="I65" t="str">
        <f>_xlfn.XLOOKUP('Audit Report'!D65,Models!G:G,Models!I:I,'Audit Report'!D65,0,1)</f>
        <v/>
      </c>
      <c r="J65" t="str">
        <f>_xlfn.TEXTJOIN(" ",TRUE,'Audit Report'!G65,'Audit Report'!H65)</f>
        <v/>
      </c>
      <c r="L65" t="str">
        <f>_xlfn.TEXTJOIN(", ", TRUE, 'Audit Report'!K65,'Audit Report'!L65,'Audit Report'!M65)</f>
        <v/>
      </c>
      <c r="M65" t="str">
        <f>'Audit Report'!O65</f>
        <v/>
      </c>
      <c r="N65" t="str" cm="1">
        <f t="array" ref="N65">IF(M65="","",
_xlfn.TEXTJOIN(", ",TRUE,
    _xlfn.MAP(_xlfn.TEXTSPLIT(M65,","),_xlfn.LAMBDA(_xlpm.x,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" t="str">
        <f>'Audit Report'!F65</f>
        <v/>
      </c>
      <c r="S65" t="str">
        <f>'Audit Report'!Q65</f>
        <v/>
      </c>
    </row>
    <row r="66" spans="4:19">
      <c r="D66" t="str">
        <f>'Audit Report'!B66</f>
        <v>ITD-SHRXXX-XX65</v>
      </c>
      <c r="E66" t="str">
        <f>'Audit Report'!C66</f>
        <v/>
      </c>
      <c r="I66" t="str">
        <f>_xlfn.XLOOKUP('Audit Report'!D66,Models!G:G,Models!I:I,'Audit Report'!D66,0,1)</f>
        <v/>
      </c>
      <c r="J66" t="str">
        <f>_xlfn.TEXTJOIN(" ",TRUE,'Audit Report'!G66,'Audit Report'!H66)</f>
        <v/>
      </c>
      <c r="L66" t="str">
        <f>_xlfn.TEXTJOIN(", ", TRUE, 'Audit Report'!K66,'Audit Report'!L66,'Audit Report'!M66)</f>
        <v/>
      </c>
      <c r="M66" t="str">
        <f>'Audit Report'!O66</f>
        <v/>
      </c>
      <c r="N66" t="str" cm="1">
        <f t="array" ref="N66">IF(M66="","",
_xlfn.TEXTJOIN(", ",TRUE,
    _xlfn.MAP(_xlfn.TEXTSPLIT(M66,","),_xlfn.LAMBDA(_xlpm.x,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" t="str">
        <f>'Audit Report'!F66</f>
        <v/>
      </c>
      <c r="S66" t="str">
        <f>'Audit Report'!Q66</f>
        <v/>
      </c>
    </row>
    <row r="67" spans="4:19">
      <c r="D67" t="str">
        <f>'Audit Report'!B67</f>
        <v>ITD-SHRXXX-XX66</v>
      </c>
      <c r="E67" t="str">
        <f>'Audit Report'!C67</f>
        <v/>
      </c>
      <c r="I67" t="str">
        <f>_xlfn.XLOOKUP('Audit Report'!D67,Models!G:G,Models!I:I,'Audit Report'!D67,0,1)</f>
        <v/>
      </c>
      <c r="J67" t="str">
        <f>_xlfn.TEXTJOIN(" ",TRUE,'Audit Report'!G67,'Audit Report'!H67)</f>
        <v/>
      </c>
      <c r="L67" t="str">
        <f>_xlfn.TEXTJOIN(", ", TRUE, 'Audit Report'!K67,'Audit Report'!L67,'Audit Report'!M67)</f>
        <v/>
      </c>
      <c r="M67" t="str">
        <f>'Audit Report'!O67</f>
        <v/>
      </c>
      <c r="N67" t="str" cm="1">
        <f t="array" ref="N67">IF(M67="","",
_xlfn.TEXTJOIN(", ",TRUE,
    _xlfn.MAP(_xlfn.TEXTSPLIT(M67,","),_xlfn.LAMBDA(_xlpm.x,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" t="str">
        <f>'Audit Report'!F67</f>
        <v/>
      </c>
      <c r="S67" t="str">
        <f>'Audit Report'!Q67</f>
        <v/>
      </c>
    </row>
    <row r="68" spans="4:19">
      <c r="D68" t="str">
        <f>'Audit Report'!B68</f>
        <v>ITD-SHRXXX-XX67</v>
      </c>
      <c r="E68" t="str">
        <f>'Audit Report'!C68</f>
        <v/>
      </c>
      <c r="I68" t="str">
        <f>_xlfn.XLOOKUP('Audit Report'!D68,Models!G:G,Models!I:I,'Audit Report'!D68,0,1)</f>
        <v/>
      </c>
      <c r="J68" t="str">
        <f>_xlfn.TEXTJOIN(" ",TRUE,'Audit Report'!G68,'Audit Report'!H68)</f>
        <v/>
      </c>
      <c r="L68" t="str">
        <f>_xlfn.TEXTJOIN(", ", TRUE, 'Audit Report'!K68,'Audit Report'!L68,'Audit Report'!M68)</f>
        <v/>
      </c>
      <c r="M68" t="str">
        <f>'Audit Report'!O68</f>
        <v/>
      </c>
      <c r="N68" t="str" cm="1">
        <f t="array" ref="N68">IF(M68="","",
_xlfn.TEXTJOIN(", ",TRUE,
    _xlfn.MAP(_xlfn.TEXTSPLIT(M68,","),_xlfn.LAMBDA(_xlpm.x,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" t="str">
        <f>'Audit Report'!F68</f>
        <v/>
      </c>
      <c r="S68" t="str">
        <f>'Audit Report'!Q68</f>
        <v/>
      </c>
    </row>
    <row r="69" spans="4:19">
      <c r="D69" t="str">
        <f>'Audit Report'!B69</f>
        <v>ITD-SHRXXX-XX68</v>
      </c>
      <c r="E69" t="str">
        <f>'Audit Report'!C69</f>
        <v/>
      </c>
      <c r="I69" t="str">
        <f>_xlfn.XLOOKUP('Audit Report'!D69,Models!G:G,Models!I:I,'Audit Report'!D69,0,1)</f>
        <v/>
      </c>
      <c r="J69" t="str">
        <f>_xlfn.TEXTJOIN(" ",TRUE,'Audit Report'!G69,'Audit Report'!H69)</f>
        <v/>
      </c>
      <c r="L69" t="str">
        <f>_xlfn.TEXTJOIN(", ", TRUE, 'Audit Report'!K69,'Audit Report'!L69,'Audit Report'!M69)</f>
        <v/>
      </c>
      <c r="M69" t="str">
        <f>'Audit Report'!O69</f>
        <v/>
      </c>
      <c r="N69" t="str" cm="1">
        <f t="array" ref="N69">IF(M69="","",
_xlfn.TEXTJOIN(", ",TRUE,
    _xlfn.MAP(_xlfn.TEXTSPLIT(M69,","),_xlfn.LAMBDA(_xlpm.x,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" t="str">
        <f>'Audit Report'!F69</f>
        <v/>
      </c>
      <c r="S69" t="str">
        <f>'Audit Report'!Q69</f>
        <v/>
      </c>
    </row>
    <row r="70" spans="4:19">
      <c r="D70" t="str">
        <f>'Audit Report'!B70</f>
        <v>ITD-SHRXXX-XX69</v>
      </c>
      <c r="E70" t="str">
        <f>'Audit Report'!C70</f>
        <v/>
      </c>
      <c r="I70" t="str">
        <f>_xlfn.XLOOKUP('Audit Report'!D70,Models!G:G,Models!I:I,'Audit Report'!D70,0,1)</f>
        <v/>
      </c>
      <c r="J70" t="str">
        <f>_xlfn.TEXTJOIN(" ",TRUE,'Audit Report'!G70,'Audit Report'!H70)</f>
        <v/>
      </c>
      <c r="L70" t="str">
        <f>_xlfn.TEXTJOIN(", ", TRUE, 'Audit Report'!K70,'Audit Report'!L70,'Audit Report'!M70)</f>
        <v/>
      </c>
      <c r="M70" t="str">
        <f>'Audit Report'!O70</f>
        <v/>
      </c>
      <c r="N70" t="str" cm="1">
        <f t="array" ref="N70">IF(M70="","",
_xlfn.TEXTJOIN(", ",TRUE,
    _xlfn.MAP(_xlfn.TEXTSPLIT(M70,","),_xlfn.LAMBDA(_xlpm.x,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" t="str">
        <f>'Audit Report'!F70</f>
        <v/>
      </c>
      <c r="S70" t="str">
        <f>'Audit Report'!Q70</f>
        <v/>
      </c>
    </row>
    <row r="71" spans="4:19">
      <c r="D71" t="str">
        <f>'Audit Report'!B71</f>
        <v>ITD-SHRXXX-XX70</v>
      </c>
      <c r="E71" t="str">
        <f>'Audit Report'!C71</f>
        <v/>
      </c>
      <c r="I71" t="str">
        <f>_xlfn.XLOOKUP('Audit Report'!D71,Models!G:G,Models!I:I,'Audit Report'!D71,0,1)</f>
        <v/>
      </c>
      <c r="J71" t="str">
        <f>_xlfn.TEXTJOIN(" ",TRUE,'Audit Report'!G71,'Audit Report'!H71)</f>
        <v/>
      </c>
      <c r="L71" t="str">
        <f>_xlfn.TEXTJOIN(", ", TRUE, 'Audit Report'!K71,'Audit Report'!L71,'Audit Report'!M71)</f>
        <v/>
      </c>
      <c r="M71" t="str">
        <f>'Audit Report'!O71</f>
        <v/>
      </c>
      <c r="N71" t="str" cm="1">
        <f t="array" ref="N71">IF(M71="","",
_xlfn.TEXTJOIN(", ",TRUE,
    _xlfn.MAP(_xlfn.TEXTSPLIT(M71,","),_xlfn.LAMBDA(_xlpm.x,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" t="str">
        <f>'Audit Report'!F71</f>
        <v/>
      </c>
      <c r="S71" t="str">
        <f>'Audit Report'!Q71</f>
        <v/>
      </c>
    </row>
    <row r="72" spans="4:19">
      <c r="D72" t="str">
        <f>'Audit Report'!B72</f>
        <v>ITD-SHRXXX-XX71</v>
      </c>
      <c r="E72" t="str">
        <f>'Audit Report'!C72</f>
        <v/>
      </c>
      <c r="I72" t="str">
        <f>_xlfn.XLOOKUP('Audit Report'!D72,Models!G:G,Models!I:I,'Audit Report'!D72,0,1)</f>
        <v/>
      </c>
      <c r="J72" t="str">
        <f>_xlfn.TEXTJOIN(" ",TRUE,'Audit Report'!G72,'Audit Report'!H72)</f>
        <v/>
      </c>
      <c r="L72" t="str">
        <f>_xlfn.TEXTJOIN(", ", TRUE, 'Audit Report'!K72,'Audit Report'!L72,'Audit Report'!M72)</f>
        <v/>
      </c>
      <c r="M72" t="str">
        <f>'Audit Report'!O72</f>
        <v/>
      </c>
      <c r="N72" t="str" cm="1">
        <f t="array" ref="N72">IF(M72="","",
_xlfn.TEXTJOIN(", ",TRUE,
    _xlfn.MAP(_xlfn.TEXTSPLIT(M72,","),_xlfn.LAMBDA(_xlpm.x,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" t="str">
        <f>'Audit Report'!F72</f>
        <v/>
      </c>
      <c r="S72" t="str">
        <f>'Audit Report'!Q72</f>
        <v/>
      </c>
    </row>
    <row r="73" spans="4:19">
      <c r="D73" t="str">
        <f>'Audit Report'!B73</f>
        <v>ITD-SHRXXX-XX72</v>
      </c>
      <c r="E73" t="str">
        <f>'Audit Report'!C73</f>
        <v/>
      </c>
      <c r="I73" t="str">
        <f>_xlfn.XLOOKUP('Audit Report'!D73,Models!G:G,Models!I:I,'Audit Report'!D73,0,1)</f>
        <v/>
      </c>
      <c r="J73" t="str">
        <f>_xlfn.TEXTJOIN(" ",TRUE,'Audit Report'!G73,'Audit Report'!H73)</f>
        <v/>
      </c>
      <c r="L73" t="str">
        <f>_xlfn.TEXTJOIN(", ", TRUE, 'Audit Report'!K73,'Audit Report'!L73,'Audit Report'!M73)</f>
        <v/>
      </c>
      <c r="M73" t="str">
        <f>'Audit Report'!O73</f>
        <v/>
      </c>
      <c r="N73" t="str" cm="1">
        <f t="array" ref="N73">IF(M73="","",
_xlfn.TEXTJOIN(", ",TRUE,
    _xlfn.MAP(_xlfn.TEXTSPLIT(M73,","),_xlfn.LAMBDA(_xlpm.x,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" t="str">
        <f>'Audit Report'!F73</f>
        <v/>
      </c>
      <c r="S73" t="str">
        <f>'Audit Report'!Q73</f>
        <v/>
      </c>
    </row>
    <row r="74" spans="4:19">
      <c r="D74" t="str">
        <f>'Audit Report'!B74</f>
        <v>ITD-SHRXXX-XX73</v>
      </c>
      <c r="E74" t="str">
        <f>'Audit Report'!C74</f>
        <v/>
      </c>
      <c r="I74" t="str">
        <f>_xlfn.XLOOKUP('Audit Report'!D74,Models!G:G,Models!I:I,'Audit Report'!D74,0,1)</f>
        <v/>
      </c>
      <c r="J74" t="str">
        <f>_xlfn.TEXTJOIN(" ",TRUE,'Audit Report'!G74,'Audit Report'!H74)</f>
        <v/>
      </c>
      <c r="L74" t="str">
        <f>_xlfn.TEXTJOIN(", ", TRUE, 'Audit Report'!K74,'Audit Report'!L74,'Audit Report'!M74)</f>
        <v/>
      </c>
      <c r="M74" t="str">
        <f>'Audit Report'!O74</f>
        <v/>
      </c>
      <c r="N74" t="str" cm="1">
        <f t="array" ref="N74">IF(M74="","",
_xlfn.TEXTJOIN(", ",TRUE,
    _xlfn.MAP(_xlfn.TEXTSPLIT(M74,","),_xlfn.LAMBDA(_xlpm.x,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" t="str">
        <f>'Audit Report'!F74</f>
        <v/>
      </c>
      <c r="S74" t="str">
        <f>'Audit Report'!Q74</f>
        <v/>
      </c>
    </row>
    <row r="75" spans="4:19">
      <c r="D75" t="str">
        <f>'Audit Report'!B75</f>
        <v>ITD-SHRXXX-XX74</v>
      </c>
      <c r="E75" t="str">
        <f>'Audit Report'!C75</f>
        <v/>
      </c>
      <c r="I75" t="str">
        <f>_xlfn.XLOOKUP('Audit Report'!D75,Models!G:G,Models!I:I,'Audit Report'!D75,0,1)</f>
        <v/>
      </c>
      <c r="J75" t="str">
        <f>_xlfn.TEXTJOIN(" ",TRUE,'Audit Report'!G75,'Audit Report'!H75)</f>
        <v/>
      </c>
      <c r="L75" t="str">
        <f>_xlfn.TEXTJOIN(", ", TRUE, 'Audit Report'!K75,'Audit Report'!L75,'Audit Report'!M75)</f>
        <v/>
      </c>
      <c r="M75" t="str">
        <f>'Audit Report'!O75</f>
        <v/>
      </c>
      <c r="N75" t="str" cm="1">
        <f t="array" ref="N75">IF(M75="","",
_xlfn.TEXTJOIN(", ",TRUE,
    _xlfn.MAP(_xlfn.TEXTSPLIT(M75,","),_xlfn.LAMBDA(_xlpm.x,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" t="str">
        <f>'Audit Report'!F75</f>
        <v/>
      </c>
      <c r="S75" t="str">
        <f>'Audit Report'!Q75</f>
        <v/>
      </c>
    </row>
    <row r="76" spans="4:19">
      <c r="D76" t="str">
        <f>'Audit Report'!B76</f>
        <v>ITD-SHRXXX-XX75</v>
      </c>
      <c r="E76" t="str">
        <f>'Audit Report'!C76</f>
        <v/>
      </c>
      <c r="I76" t="str">
        <f>_xlfn.XLOOKUP('Audit Report'!D76,Models!G:G,Models!I:I,'Audit Report'!D76,0,1)</f>
        <v/>
      </c>
      <c r="J76" t="str">
        <f>_xlfn.TEXTJOIN(" ",TRUE,'Audit Report'!G76,'Audit Report'!H76)</f>
        <v/>
      </c>
      <c r="L76" t="str">
        <f>_xlfn.TEXTJOIN(", ", TRUE, 'Audit Report'!K76,'Audit Report'!L76,'Audit Report'!M76)</f>
        <v/>
      </c>
      <c r="M76" t="str">
        <f>'Audit Report'!O76</f>
        <v/>
      </c>
      <c r="N76" t="str" cm="1">
        <f t="array" ref="N76">IF(M76="","",
_xlfn.TEXTJOIN(", ",TRUE,
    _xlfn.MAP(_xlfn.TEXTSPLIT(M76,","),_xlfn.LAMBDA(_xlpm.x,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" t="str">
        <f>'Audit Report'!F76</f>
        <v/>
      </c>
      <c r="S76" t="str">
        <f>'Audit Report'!Q76</f>
        <v/>
      </c>
    </row>
    <row r="77" spans="4:19">
      <c r="D77" t="str">
        <f>'Audit Report'!B77</f>
        <v>ITD-SHRXXX-XX76</v>
      </c>
      <c r="E77" t="str">
        <f>'Audit Report'!C77</f>
        <v/>
      </c>
      <c r="I77" t="str">
        <f>_xlfn.XLOOKUP('Audit Report'!D77,Models!G:G,Models!I:I,'Audit Report'!D77,0,1)</f>
        <v/>
      </c>
      <c r="J77" t="str">
        <f>_xlfn.TEXTJOIN(" ",TRUE,'Audit Report'!G77,'Audit Report'!H77)</f>
        <v/>
      </c>
      <c r="L77" t="str">
        <f>_xlfn.TEXTJOIN(", ", TRUE, 'Audit Report'!K77,'Audit Report'!L77,'Audit Report'!M77)</f>
        <v/>
      </c>
      <c r="M77" t="str">
        <f>'Audit Report'!O77</f>
        <v/>
      </c>
      <c r="N77" t="str" cm="1">
        <f t="array" ref="N77">IF(M77="","",
_xlfn.TEXTJOIN(", ",TRUE,
    _xlfn.MAP(_xlfn.TEXTSPLIT(M77,","),_xlfn.LAMBDA(_xlpm.x,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" t="str">
        <f>'Audit Report'!F77</f>
        <v/>
      </c>
      <c r="S77" t="str">
        <f>'Audit Report'!Q77</f>
        <v/>
      </c>
    </row>
    <row r="78" spans="4:19">
      <c r="D78" t="str">
        <f>'Audit Report'!B78</f>
        <v>ITD-SHRXXX-XX77</v>
      </c>
      <c r="E78" t="str">
        <f>'Audit Report'!C78</f>
        <v/>
      </c>
      <c r="I78" t="str">
        <f>_xlfn.XLOOKUP('Audit Report'!D78,Models!G:G,Models!I:I,'Audit Report'!D78,0,1)</f>
        <v/>
      </c>
      <c r="J78" t="str">
        <f>_xlfn.TEXTJOIN(" ",TRUE,'Audit Report'!G78,'Audit Report'!H78)</f>
        <v/>
      </c>
      <c r="L78" t="str">
        <f>_xlfn.TEXTJOIN(", ", TRUE, 'Audit Report'!K78,'Audit Report'!L78,'Audit Report'!M78)</f>
        <v/>
      </c>
      <c r="M78" t="str">
        <f>'Audit Report'!O78</f>
        <v/>
      </c>
      <c r="N78" t="str" cm="1">
        <f t="array" ref="N78">IF(M78="","",
_xlfn.TEXTJOIN(", ",TRUE,
    _xlfn.MAP(_xlfn.TEXTSPLIT(M78,","),_xlfn.LAMBDA(_xlpm.x,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" t="str">
        <f>'Audit Report'!F78</f>
        <v/>
      </c>
      <c r="S78" t="str">
        <f>'Audit Report'!Q78</f>
        <v/>
      </c>
    </row>
    <row r="79" spans="4:19">
      <c r="D79" t="str">
        <f>'Audit Report'!B79</f>
        <v>ITD-SHRXXX-XX78</v>
      </c>
      <c r="E79" t="str">
        <f>'Audit Report'!C79</f>
        <v/>
      </c>
      <c r="I79" t="str">
        <f>_xlfn.XLOOKUP('Audit Report'!D79,Models!G:G,Models!I:I,'Audit Report'!D79,0,1)</f>
        <v/>
      </c>
      <c r="J79" t="str">
        <f>_xlfn.TEXTJOIN(" ",TRUE,'Audit Report'!G79,'Audit Report'!H79)</f>
        <v/>
      </c>
      <c r="L79" t="str">
        <f>_xlfn.TEXTJOIN(", ", TRUE, 'Audit Report'!K79,'Audit Report'!L79,'Audit Report'!M79)</f>
        <v/>
      </c>
      <c r="M79" t="str">
        <f>'Audit Report'!O79</f>
        <v/>
      </c>
      <c r="N79" t="str" cm="1">
        <f t="array" ref="N79">IF(M79="","",
_xlfn.TEXTJOIN(", ",TRUE,
    _xlfn.MAP(_xlfn.TEXTSPLIT(M79,","),_xlfn.LAMBDA(_xlpm.x,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" t="str">
        <f>'Audit Report'!F79</f>
        <v/>
      </c>
      <c r="S79" t="str">
        <f>'Audit Report'!Q79</f>
        <v/>
      </c>
    </row>
    <row r="80" spans="4:19">
      <c r="D80" t="str">
        <f>'Audit Report'!B80</f>
        <v>ITD-SHRXXX-XX79</v>
      </c>
      <c r="E80" t="str">
        <f>'Audit Report'!C80</f>
        <v/>
      </c>
      <c r="I80" t="str">
        <f>_xlfn.XLOOKUP('Audit Report'!D80,Models!G:G,Models!I:I,'Audit Report'!D80,0,1)</f>
        <v/>
      </c>
      <c r="J80" t="str">
        <f>_xlfn.TEXTJOIN(" ",TRUE,'Audit Report'!G80,'Audit Report'!H80)</f>
        <v/>
      </c>
      <c r="L80" t="str">
        <f>_xlfn.TEXTJOIN(", ", TRUE, 'Audit Report'!K80,'Audit Report'!L80,'Audit Report'!M80)</f>
        <v/>
      </c>
      <c r="M80" t="str">
        <f>'Audit Report'!O80</f>
        <v/>
      </c>
      <c r="N80" t="str" cm="1">
        <f t="array" ref="N80">IF(M80="","",
_xlfn.TEXTJOIN(", ",TRUE,
    _xlfn.MAP(_xlfn.TEXTSPLIT(M80,","),_xlfn.LAMBDA(_xlpm.x,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" t="str">
        <f>'Audit Report'!F80</f>
        <v/>
      </c>
      <c r="S80" t="str">
        <f>'Audit Report'!Q80</f>
        <v/>
      </c>
    </row>
    <row r="81" spans="4:19">
      <c r="D81" t="str">
        <f>'Audit Report'!B81</f>
        <v>ITD-SHRXXX-XX80</v>
      </c>
      <c r="E81" t="str">
        <f>'Audit Report'!C81</f>
        <v/>
      </c>
      <c r="I81" t="str">
        <f>_xlfn.XLOOKUP('Audit Report'!D81,Models!G:G,Models!I:I,'Audit Report'!D81,0,1)</f>
        <v/>
      </c>
      <c r="J81" t="str">
        <f>_xlfn.TEXTJOIN(" ",TRUE,'Audit Report'!G81,'Audit Report'!H81)</f>
        <v/>
      </c>
      <c r="L81" t="str">
        <f>_xlfn.TEXTJOIN(", ", TRUE, 'Audit Report'!K81,'Audit Report'!L81,'Audit Report'!M81)</f>
        <v/>
      </c>
      <c r="M81" t="str">
        <f>'Audit Report'!O81</f>
        <v/>
      </c>
      <c r="N81" t="str" cm="1">
        <f t="array" ref="N81">IF(M81="","",
_xlfn.TEXTJOIN(", ",TRUE,
    _xlfn.MAP(_xlfn.TEXTSPLIT(M81,","),_xlfn.LAMBDA(_xlpm.x,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" t="str">
        <f>'Audit Report'!F81</f>
        <v/>
      </c>
      <c r="S81" t="str">
        <f>'Audit Report'!Q81</f>
        <v/>
      </c>
    </row>
    <row r="82" spans="4:19">
      <c r="D82" t="str">
        <f>'Audit Report'!B82</f>
        <v>ITD-SHRXXX-XX81</v>
      </c>
      <c r="E82" t="str">
        <f>'Audit Report'!C82</f>
        <v/>
      </c>
      <c r="I82" t="str">
        <f>_xlfn.XLOOKUP('Audit Report'!D82,Models!G:G,Models!I:I,'Audit Report'!D82,0,1)</f>
        <v/>
      </c>
      <c r="J82" t="str">
        <f>_xlfn.TEXTJOIN(" ",TRUE,'Audit Report'!G82,'Audit Report'!H82)</f>
        <v/>
      </c>
      <c r="L82" t="str">
        <f>_xlfn.TEXTJOIN(", ", TRUE, 'Audit Report'!K82,'Audit Report'!L82,'Audit Report'!M82)</f>
        <v/>
      </c>
      <c r="M82" t="str">
        <f>'Audit Report'!O82</f>
        <v/>
      </c>
      <c r="N82" t="str" cm="1">
        <f t="array" ref="N82">IF(M82="","",
_xlfn.TEXTJOIN(", ",TRUE,
    _xlfn.MAP(_xlfn.TEXTSPLIT(M82,","),_xlfn.LAMBDA(_xlpm.x,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" t="str">
        <f>'Audit Report'!F82</f>
        <v/>
      </c>
      <c r="S82" t="str">
        <f>'Audit Report'!Q82</f>
        <v/>
      </c>
    </row>
    <row r="83" spans="4:19">
      <c r="D83" t="str">
        <f>'Audit Report'!B83</f>
        <v>ITD-SHRXXX-XX82</v>
      </c>
      <c r="E83" t="str">
        <f>'Audit Report'!C83</f>
        <v/>
      </c>
      <c r="I83" t="str">
        <f>_xlfn.XLOOKUP('Audit Report'!D83,Models!G:G,Models!I:I,'Audit Report'!D83,0,1)</f>
        <v/>
      </c>
      <c r="J83" t="str">
        <f>_xlfn.TEXTJOIN(" ",TRUE,'Audit Report'!G83,'Audit Report'!H83)</f>
        <v/>
      </c>
      <c r="L83" t="str">
        <f>_xlfn.TEXTJOIN(", ", TRUE, 'Audit Report'!K83,'Audit Report'!L83,'Audit Report'!M83)</f>
        <v/>
      </c>
      <c r="M83" t="str">
        <f>'Audit Report'!O83</f>
        <v/>
      </c>
      <c r="N83" t="str" cm="1">
        <f t="array" ref="N83">IF(M83="","",
_xlfn.TEXTJOIN(", ",TRUE,
    _xlfn.MAP(_xlfn.TEXTSPLIT(M83,","),_xlfn.LAMBDA(_xlpm.x,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" t="str">
        <f>'Audit Report'!F83</f>
        <v/>
      </c>
      <c r="S83" t="str">
        <f>'Audit Report'!Q83</f>
        <v/>
      </c>
    </row>
    <row r="84" spans="4:19">
      <c r="D84" t="str">
        <f>'Audit Report'!B84</f>
        <v>ITD-SHRXXX-XX83</v>
      </c>
      <c r="E84" t="str">
        <f>'Audit Report'!C84</f>
        <v/>
      </c>
      <c r="I84" t="str">
        <f>_xlfn.XLOOKUP('Audit Report'!D84,Models!G:G,Models!I:I,'Audit Report'!D84,0,1)</f>
        <v/>
      </c>
      <c r="J84" t="str">
        <f>_xlfn.TEXTJOIN(" ",TRUE,'Audit Report'!G84,'Audit Report'!H84)</f>
        <v/>
      </c>
      <c r="L84" t="str">
        <f>_xlfn.TEXTJOIN(", ", TRUE, 'Audit Report'!K84,'Audit Report'!L84,'Audit Report'!M84)</f>
        <v/>
      </c>
      <c r="M84" t="str">
        <f>'Audit Report'!O84</f>
        <v/>
      </c>
      <c r="N84" t="str" cm="1">
        <f t="array" ref="N84">IF(M84="","",
_xlfn.TEXTJOIN(", ",TRUE,
    _xlfn.MAP(_xlfn.TEXTSPLIT(M84,","),_xlfn.LAMBDA(_xlpm.x,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" t="str">
        <f>'Audit Report'!F84</f>
        <v/>
      </c>
      <c r="S84" t="str">
        <f>'Audit Report'!Q84</f>
        <v/>
      </c>
    </row>
    <row r="85" spans="4:19">
      <c r="D85" t="str">
        <f>'Audit Report'!B85</f>
        <v>ITD-SHRXXX-XX84</v>
      </c>
      <c r="E85" t="str">
        <f>'Audit Report'!C85</f>
        <v/>
      </c>
      <c r="I85" t="str">
        <f>_xlfn.XLOOKUP('Audit Report'!D85,Models!G:G,Models!I:I,'Audit Report'!D85,0,1)</f>
        <v/>
      </c>
      <c r="J85" t="str">
        <f>_xlfn.TEXTJOIN(" ",TRUE,'Audit Report'!G85,'Audit Report'!H85)</f>
        <v/>
      </c>
      <c r="L85" t="str">
        <f>_xlfn.TEXTJOIN(", ", TRUE, 'Audit Report'!K85,'Audit Report'!L85,'Audit Report'!M85)</f>
        <v/>
      </c>
      <c r="M85" t="str">
        <f>'Audit Report'!O85</f>
        <v/>
      </c>
      <c r="N85" t="str" cm="1">
        <f t="array" ref="N85">IF(M85="","",
_xlfn.TEXTJOIN(", ",TRUE,
    _xlfn.MAP(_xlfn.TEXTSPLIT(M85,","),_xlfn.LAMBDA(_xlpm.x,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" t="str">
        <f>'Audit Report'!F85</f>
        <v/>
      </c>
      <c r="S85" t="str">
        <f>'Audit Report'!Q85</f>
        <v/>
      </c>
    </row>
    <row r="86" spans="4:19">
      <c r="D86" t="str">
        <f>'Audit Report'!B86</f>
        <v>ITD-SHRXXX-XX85</v>
      </c>
      <c r="E86" t="str">
        <f>'Audit Report'!C86</f>
        <v/>
      </c>
      <c r="I86" t="str">
        <f>_xlfn.XLOOKUP('Audit Report'!D86,Models!G:G,Models!I:I,'Audit Report'!D86,0,1)</f>
        <v/>
      </c>
      <c r="J86" t="str">
        <f>_xlfn.TEXTJOIN(" ",TRUE,'Audit Report'!G86,'Audit Report'!H86)</f>
        <v/>
      </c>
      <c r="L86" t="str">
        <f>_xlfn.TEXTJOIN(", ", TRUE, 'Audit Report'!K86,'Audit Report'!L86,'Audit Report'!M86)</f>
        <v/>
      </c>
      <c r="M86" t="str">
        <f>'Audit Report'!O86</f>
        <v/>
      </c>
      <c r="N86" t="str" cm="1">
        <f t="array" ref="N86">IF(M86="","",
_xlfn.TEXTJOIN(", ",TRUE,
    _xlfn.MAP(_xlfn.TEXTSPLIT(M86,","),_xlfn.LAMBDA(_xlpm.x,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" t="str">
        <f>'Audit Report'!F86</f>
        <v/>
      </c>
      <c r="S86" t="str">
        <f>'Audit Report'!Q86</f>
        <v/>
      </c>
    </row>
    <row r="87" spans="4:19">
      <c r="D87" t="str">
        <f>'Audit Report'!B87</f>
        <v>ITD-SHRXXX-XX86</v>
      </c>
      <c r="E87" t="str">
        <f>'Audit Report'!C87</f>
        <v/>
      </c>
      <c r="I87" t="str">
        <f>_xlfn.XLOOKUP('Audit Report'!D87,Models!G:G,Models!I:I,'Audit Report'!D87,0,1)</f>
        <v/>
      </c>
      <c r="J87" t="str">
        <f>_xlfn.TEXTJOIN(" ",TRUE,'Audit Report'!G87,'Audit Report'!H87)</f>
        <v/>
      </c>
      <c r="L87" t="str">
        <f>_xlfn.TEXTJOIN(", ", TRUE, 'Audit Report'!K87,'Audit Report'!L87,'Audit Report'!M87)</f>
        <v/>
      </c>
      <c r="M87" t="str">
        <f>'Audit Report'!O87</f>
        <v/>
      </c>
      <c r="N87" t="str" cm="1">
        <f t="array" ref="N87">IF(M87="","",
_xlfn.TEXTJOIN(", ",TRUE,
    _xlfn.MAP(_xlfn.TEXTSPLIT(M87,","),_xlfn.LAMBDA(_xlpm.x,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" t="str">
        <f>'Audit Report'!F87</f>
        <v/>
      </c>
      <c r="S87" t="str">
        <f>'Audit Report'!Q87</f>
        <v/>
      </c>
    </row>
    <row r="88" spans="4:19">
      <c r="D88" t="str">
        <f>'Audit Report'!B88</f>
        <v>ITD-SHRXXX-XX87</v>
      </c>
      <c r="E88" t="str">
        <f>'Audit Report'!C88</f>
        <v/>
      </c>
      <c r="I88" t="str">
        <f>_xlfn.XLOOKUP('Audit Report'!D88,Models!G:G,Models!I:I,'Audit Report'!D88,0,1)</f>
        <v/>
      </c>
      <c r="J88" t="str">
        <f>_xlfn.TEXTJOIN(" ",TRUE,'Audit Report'!G88,'Audit Report'!H88)</f>
        <v/>
      </c>
      <c r="L88" t="str">
        <f>_xlfn.TEXTJOIN(", ", TRUE, 'Audit Report'!K88,'Audit Report'!L88,'Audit Report'!M88)</f>
        <v/>
      </c>
      <c r="M88" t="str">
        <f>'Audit Report'!O88</f>
        <v/>
      </c>
      <c r="N88" t="str" cm="1">
        <f t="array" ref="N88">IF(M88="","",
_xlfn.TEXTJOIN(", ",TRUE,
    _xlfn.MAP(_xlfn.TEXTSPLIT(M88,","),_xlfn.LAMBDA(_xlpm.x,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" t="str">
        <f>'Audit Report'!F88</f>
        <v/>
      </c>
      <c r="S88" t="str">
        <f>'Audit Report'!Q88</f>
        <v/>
      </c>
    </row>
    <row r="89" spans="4:19">
      <c r="D89" t="str">
        <f>'Audit Report'!B89</f>
        <v>ITD-SHRXXX-XX88</v>
      </c>
      <c r="E89" t="str">
        <f>'Audit Report'!C89</f>
        <v/>
      </c>
      <c r="I89" t="str">
        <f>_xlfn.XLOOKUP('Audit Report'!D89,Models!G:G,Models!I:I,'Audit Report'!D89,0,1)</f>
        <v/>
      </c>
      <c r="J89" t="str">
        <f>_xlfn.TEXTJOIN(" ",TRUE,'Audit Report'!G89,'Audit Report'!H89)</f>
        <v/>
      </c>
      <c r="L89" t="str">
        <f>_xlfn.TEXTJOIN(", ", TRUE, 'Audit Report'!K89,'Audit Report'!L89,'Audit Report'!M89)</f>
        <v/>
      </c>
      <c r="M89" t="str">
        <f>'Audit Report'!O89</f>
        <v/>
      </c>
      <c r="N89" t="str" cm="1">
        <f t="array" ref="N89">IF(M89="","",
_xlfn.TEXTJOIN(", ",TRUE,
    _xlfn.MAP(_xlfn.TEXTSPLIT(M89,","),_xlfn.LAMBDA(_xlpm.x,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" t="str">
        <f>'Audit Report'!F89</f>
        <v/>
      </c>
      <c r="S89" t="str">
        <f>'Audit Report'!Q89</f>
        <v/>
      </c>
    </row>
    <row r="90" spans="4:19">
      <c r="D90" t="str">
        <f>'Audit Report'!B90</f>
        <v>ITD-SHRXXX-XX89</v>
      </c>
      <c r="E90" t="str">
        <f>'Audit Report'!C90</f>
        <v/>
      </c>
      <c r="I90" t="str">
        <f>_xlfn.XLOOKUP('Audit Report'!D90,Models!G:G,Models!I:I,'Audit Report'!D90,0,1)</f>
        <v/>
      </c>
      <c r="J90" t="str">
        <f>_xlfn.TEXTJOIN(" ",TRUE,'Audit Report'!G90,'Audit Report'!H90)</f>
        <v/>
      </c>
      <c r="L90" t="str">
        <f>_xlfn.TEXTJOIN(", ", TRUE, 'Audit Report'!K90,'Audit Report'!L90,'Audit Report'!M90)</f>
        <v/>
      </c>
      <c r="M90" t="str">
        <f>'Audit Report'!O90</f>
        <v/>
      </c>
      <c r="N90" t="str" cm="1">
        <f t="array" ref="N90">IF(M90="","",
_xlfn.TEXTJOIN(", ",TRUE,
    _xlfn.MAP(_xlfn.TEXTSPLIT(M90,","),_xlfn.LAMBDA(_xlpm.x,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" t="str">
        <f>'Audit Report'!F90</f>
        <v/>
      </c>
      <c r="S90" t="str">
        <f>'Audit Report'!Q90</f>
        <v/>
      </c>
    </row>
    <row r="91" spans="4:19">
      <c r="D91" t="str">
        <f>'Audit Report'!B91</f>
        <v>ITD-SHRXXX-XX90</v>
      </c>
      <c r="E91" t="str">
        <f>'Audit Report'!C91</f>
        <v/>
      </c>
      <c r="I91" t="str">
        <f>_xlfn.XLOOKUP('Audit Report'!D91,Models!G:G,Models!I:I,'Audit Report'!D91,0,1)</f>
        <v/>
      </c>
      <c r="J91" t="str">
        <f>_xlfn.TEXTJOIN(" ",TRUE,'Audit Report'!G91,'Audit Report'!H91)</f>
        <v/>
      </c>
      <c r="L91" t="str">
        <f>_xlfn.TEXTJOIN(", ", TRUE, 'Audit Report'!K91,'Audit Report'!L91,'Audit Report'!M91)</f>
        <v/>
      </c>
      <c r="M91" t="str">
        <f>'Audit Report'!O91</f>
        <v/>
      </c>
      <c r="N91" t="str" cm="1">
        <f t="array" ref="N91">IF(M91="","",
_xlfn.TEXTJOIN(", ",TRUE,
    _xlfn.MAP(_xlfn.TEXTSPLIT(M91,","),_xlfn.LAMBDA(_xlpm.x,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" t="str">
        <f>'Audit Report'!F91</f>
        <v/>
      </c>
      <c r="S91" t="str">
        <f>'Audit Report'!Q91</f>
        <v/>
      </c>
    </row>
    <row r="92" spans="4:19">
      <c r="D92" t="str">
        <f>'Audit Report'!B92</f>
        <v>ITD-SHRXXX-XX91</v>
      </c>
      <c r="E92" t="str">
        <f>'Audit Report'!C92</f>
        <v/>
      </c>
      <c r="I92" t="str">
        <f>_xlfn.XLOOKUP('Audit Report'!D92,Models!G:G,Models!I:I,'Audit Report'!D92,0,1)</f>
        <v/>
      </c>
      <c r="J92" t="str">
        <f>_xlfn.TEXTJOIN(" ",TRUE,'Audit Report'!G92,'Audit Report'!H92)</f>
        <v/>
      </c>
      <c r="L92" t="str">
        <f>_xlfn.TEXTJOIN(", ", TRUE, 'Audit Report'!K92,'Audit Report'!L92,'Audit Report'!M92)</f>
        <v/>
      </c>
      <c r="M92" t="str">
        <f>'Audit Report'!O92</f>
        <v/>
      </c>
      <c r="N92" t="str" cm="1">
        <f t="array" ref="N92">IF(M92="","",
_xlfn.TEXTJOIN(", ",TRUE,
    _xlfn.MAP(_xlfn.TEXTSPLIT(M92,","),_xlfn.LAMBDA(_xlpm.x,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" t="str">
        <f>'Audit Report'!F92</f>
        <v/>
      </c>
      <c r="S92" t="str">
        <f>'Audit Report'!Q92</f>
        <v/>
      </c>
    </row>
    <row r="93" spans="4:19">
      <c r="D93" t="str">
        <f>'Audit Report'!B93</f>
        <v>ITD-SHRXXX-XX92</v>
      </c>
      <c r="E93" t="str">
        <f>'Audit Report'!C93</f>
        <v/>
      </c>
      <c r="I93" t="str">
        <f>_xlfn.XLOOKUP('Audit Report'!D93,Models!G:G,Models!I:I,'Audit Report'!D93,0,1)</f>
        <v/>
      </c>
      <c r="J93" t="str">
        <f>_xlfn.TEXTJOIN(" ",TRUE,'Audit Report'!G93,'Audit Report'!H93)</f>
        <v/>
      </c>
      <c r="L93" t="str">
        <f>_xlfn.TEXTJOIN(", ", TRUE, 'Audit Report'!K93,'Audit Report'!L93,'Audit Report'!M93)</f>
        <v/>
      </c>
      <c r="M93" t="str">
        <f>'Audit Report'!O93</f>
        <v/>
      </c>
      <c r="N93" t="str" cm="1">
        <f t="array" ref="N93">IF(M93="","",
_xlfn.TEXTJOIN(", ",TRUE,
    _xlfn.MAP(_xlfn.TEXTSPLIT(M93,","),_xlfn.LAMBDA(_xlpm.x,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" t="str">
        <f>'Audit Report'!F93</f>
        <v/>
      </c>
      <c r="S93" t="str">
        <f>'Audit Report'!Q93</f>
        <v/>
      </c>
    </row>
    <row r="94" spans="4:19">
      <c r="D94" t="str">
        <f>'Audit Report'!B94</f>
        <v>ITD-SHRXXX-XX93</v>
      </c>
      <c r="E94" t="str">
        <f>'Audit Report'!C94</f>
        <v/>
      </c>
      <c r="I94" t="str">
        <f>_xlfn.XLOOKUP('Audit Report'!D94,Models!G:G,Models!I:I,'Audit Report'!D94,0,1)</f>
        <v/>
      </c>
      <c r="J94" t="str">
        <f>_xlfn.TEXTJOIN(" ",TRUE,'Audit Report'!G94,'Audit Report'!H94)</f>
        <v/>
      </c>
      <c r="L94" t="str">
        <f>_xlfn.TEXTJOIN(", ", TRUE, 'Audit Report'!K94,'Audit Report'!L94,'Audit Report'!M94)</f>
        <v/>
      </c>
      <c r="M94" t="str">
        <f>'Audit Report'!O94</f>
        <v/>
      </c>
      <c r="N94" t="str" cm="1">
        <f t="array" ref="N94">IF(M94="","",
_xlfn.TEXTJOIN(", ",TRUE,
    _xlfn.MAP(_xlfn.TEXTSPLIT(M94,","),_xlfn.LAMBDA(_xlpm.x,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" t="str">
        <f>'Audit Report'!F94</f>
        <v/>
      </c>
      <c r="S94" t="str">
        <f>'Audit Report'!Q94</f>
        <v/>
      </c>
    </row>
    <row r="95" spans="4:19">
      <c r="D95" t="str">
        <f>'Audit Report'!B95</f>
        <v>ITD-SHRXXX-XX94</v>
      </c>
      <c r="E95" t="str">
        <f>'Audit Report'!C95</f>
        <v/>
      </c>
      <c r="I95" t="str">
        <f>_xlfn.XLOOKUP('Audit Report'!D95,Models!G:G,Models!I:I,'Audit Report'!D95,0,1)</f>
        <v/>
      </c>
      <c r="J95" t="str">
        <f>_xlfn.TEXTJOIN(" ",TRUE,'Audit Report'!G95,'Audit Report'!H95)</f>
        <v/>
      </c>
      <c r="L95" t="str">
        <f>_xlfn.TEXTJOIN(", ", TRUE, 'Audit Report'!K95,'Audit Report'!L95,'Audit Report'!M95)</f>
        <v/>
      </c>
      <c r="M95" t="str">
        <f>'Audit Report'!O95</f>
        <v/>
      </c>
      <c r="N95" t="str" cm="1">
        <f t="array" ref="N95">IF(M95="","",
_xlfn.TEXTJOIN(", ",TRUE,
    _xlfn.MAP(_xlfn.TEXTSPLIT(M95,","),_xlfn.LAMBDA(_xlpm.x,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" t="str">
        <f>'Audit Report'!F95</f>
        <v/>
      </c>
      <c r="S95" t="str">
        <f>'Audit Report'!Q95</f>
        <v/>
      </c>
    </row>
    <row r="96" spans="4:19">
      <c r="D96" t="str">
        <f>'Audit Report'!B96</f>
        <v>ITD-SHRXXX-XX95</v>
      </c>
      <c r="E96" t="str">
        <f>'Audit Report'!C96</f>
        <v/>
      </c>
      <c r="I96" t="str">
        <f>_xlfn.XLOOKUP('Audit Report'!D96,Models!G:G,Models!I:I,'Audit Report'!D96,0,1)</f>
        <v/>
      </c>
      <c r="J96" t="str">
        <f>_xlfn.TEXTJOIN(" ",TRUE,'Audit Report'!G96,'Audit Report'!H96)</f>
        <v/>
      </c>
      <c r="L96" t="str">
        <f>_xlfn.TEXTJOIN(", ", TRUE, 'Audit Report'!K96,'Audit Report'!L96,'Audit Report'!M96)</f>
        <v/>
      </c>
      <c r="M96" t="str">
        <f>'Audit Report'!O96</f>
        <v/>
      </c>
      <c r="N96" t="str" cm="1">
        <f t="array" ref="N96">IF(M96="","",
_xlfn.TEXTJOIN(", ",TRUE,
    _xlfn.MAP(_xlfn.TEXTSPLIT(M96,","),_xlfn.LAMBDA(_xlpm.x,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" t="str">
        <f>'Audit Report'!F96</f>
        <v/>
      </c>
      <c r="S96" t="str">
        <f>'Audit Report'!Q96</f>
        <v/>
      </c>
    </row>
    <row r="97" spans="4:19">
      <c r="D97" t="str">
        <f>'Audit Report'!B97</f>
        <v>ITD-SHRXXX-XX96</v>
      </c>
      <c r="E97" t="str">
        <f>'Audit Report'!C97</f>
        <v/>
      </c>
      <c r="I97" t="str">
        <f>_xlfn.XLOOKUP('Audit Report'!D97,Models!G:G,Models!I:I,'Audit Report'!D97,0,1)</f>
        <v/>
      </c>
      <c r="J97" t="str">
        <f>_xlfn.TEXTJOIN(" ",TRUE,'Audit Report'!G97,'Audit Report'!H97)</f>
        <v/>
      </c>
      <c r="L97" t="str">
        <f>_xlfn.TEXTJOIN(", ", TRUE, 'Audit Report'!K97,'Audit Report'!L97,'Audit Report'!M97)</f>
        <v/>
      </c>
      <c r="M97" t="str">
        <f>'Audit Report'!O97</f>
        <v/>
      </c>
      <c r="N97" t="str" cm="1">
        <f t="array" ref="N97">IF(M97="","",
_xlfn.TEXTJOIN(", ",TRUE,
    _xlfn.MAP(_xlfn.TEXTSPLIT(M97,","),_xlfn.LAMBDA(_xlpm.x,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" t="str">
        <f>'Audit Report'!F97</f>
        <v/>
      </c>
      <c r="S97" t="str">
        <f>'Audit Report'!Q97</f>
        <v/>
      </c>
    </row>
    <row r="98" spans="4:19">
      <c r="D98" t="str">
        <f>'Audit Report'!B98</f>
        <v>ITD-SHRXXX-XX97</v>
      </c>
      <c r="E98" t="str">
        <f>'Audit Report'!C98</f>
        <v/>
      </c>
      <c r="I98" t="str">
        <f>_xlfn.XLOOKUP('Audit Report'!D98,Models!G:G,Models!I:I,'Audit Report'!D98,0,1)</f>
        <v/>
      </c>
      <c r="J98" t="str">
        <f>_xlfn.TEXTJOIN(" ",TRUE,'Audit Report'!G98,'Audit Report'!H98)</f>
        <v/>
      </c>
      <c r="L98" t="str">
        <f>_xlfn.TEXTJOIN(", ", TRUE, 'Audit Report'!K98,'Audit Report'!L98,'Audit Report'!M98)</f>
        <v/>
      </c>
      <c r="M98" t="str">
        <f>'Audit Report'!O98</f>
        <v/>
      </c>
      <c r="N98" t="str" cm="1">
        <f t="array" ref="N98">IF(M98="","",
_xlfn.TEXTJOIN(", ",TRUE,
    _xlfn.MAP(_xlfn.TEXTSPLIT(M98,","),_xlfn.LAMBDA(_xlpm.x,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" t="str">
        <f>'Audit Report'!F98</f>
        <v/>
      </c>
      <c r="S98" t="str">
        <f>'Audit Report'!Q98</f>
        <v/>
      </c>
    </row>
    <row r="99" spans="4:19">
      <c r="D99" t="str">
        <f>'Audit Report'!B99</f>
        <v>ITD-SHRXXX-XX98</v>
      </c>
      <c r="E99" t="str">
        <f>'Audit Report'!C99</f>
        <v/>
      </c>
      <c r="I99" t="str">
        <f>_xlfn.XLOOKUP('Audit Report'!D99,Models!G:G,Models!I:I,'Audit Report'!D99,0,1)</f>
        <v/>
      </c>
      <c r="J99" t="str">
        <f>_xlfn.TEXTJOIN(" ",TRUE,'Audit Report'!G99,'Audit Report'!H99)</f>
        <v/>
      </c>
      <c r="L99" t="str">
        <f>_xlfn.TEXTJOIN(", ", TRUE, 'Audit Report'!K99,'Audit Report'!L99,'Audit Report'!M99)</f>
        <v/>
      </c>
      <c r="M99" t="str">
        <f>'Audit Report'!O99</f>
        <v/>
      </c>
      <c r="N99" t="str" cm="1">
        <f t="array" ref="N99">IF(M99="","",
_xlfn.TEXTJOIN(", ",TRUE,
    _xlfn.MAP(_xlfn.TEXTSPLIT(M99,","),_xlfn.LAMBDA(_xlpm.x,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" t="str">
        <f>'Audit Report'!F99</f>
        <v/>
      </c>
      <c r="S99" t="str">
        <f>'Audit Report'!Q99</f>
        <v/>
      </c>
    </row>
    <row r="100" spans="4:19">
      <c r="D100" t="str">
        <f>'Audit Report'!B100</f>
        <v>ITD-SHRXXX-XX99</v>
      </c>
      <c r="E100" t="str">
        <f>'Audit Report'!C100</f>
        <v/>
      </c>
      <c r="I100" t="str">
        <f>_xlfn.XLOOKUP('Audit Report'!D100,Models!G:G,Models!I:I,'Audit Report'!D100,0,1)</f>
        <v/>
      </c>
      <c r="J100" t="str">
        <f>_xlfn.TEXTJOIN(" ",TRUE,'Audit Report'!G100,'Audit Report'!H100)</f>
        <v/>
      </c>
      <c r="L100" t="str">
        <f>_xlfn.TEXTJOIN(", ", TRUE, 'Audit Report'!K100,'Audit Report'!L100,'Audit Report'!M100)</f>
        <v/>
      </c>
      <c r="M100" t="str">
        <f>'Audit Report'!O100</f>
        <v/>
      </c>
      <c r="N100" t="str" cm="1">
        <f t="array" ref="N100">IF(M100="","",
_xlfn.TEXTJOIN(", ",TRUE,
    _xlfn.MAP(_xlfn.TEXTSPLIT(M100,","),_xlfn.LAMBDA(_xlpm.x,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" t="str">
        <f>'Audit Report'!F100</f>
        <v/>
      </c>
      <c r="S100" t="str">
        <f>'Audit Report'!Q100</f>
        <v/>
      </c>
    </row>
    <row r="101" spans="4:19">
      <c r="D101" t="str">
        <f>'Audit Report'!B101</f>
        <v>ITD-SHRXXX-XX100</v>
      </c>
      <c r="E101" t="str">
        <f>'Audit Report'!C101</f>
        <v/>
      </c>
      <c r="I101" t="str">
        <f>_xlfn.XLOOKUP('Audit Report'!D101,Models!G:G,Models!I:I,'Audit Report'!D101,0,1)</f>
        <v/>
      </c>
      <c r="J101" t="str">
        <f>_xlfn.TEXTJOIN(" ",TRUE,'Audit Report'!G101,'Audit Report'!H101)</f>
        <v/>
      </c>
      <c r="L101" t="str">
        <f>_xlfn.TEXTJOIN(", ", TRUE, 'Audit Report'!K101,'Audit Report'!L101,'Audit Report'!M101)</f>
        <v/>
      </c>
      <c r="M101" t="str">
        <f>'Audit Report'!O101</f>
        <v/>
      </c>
      <c r="N101" t="str" cm="1">
        <f t="array" ref="N101">IF(M101="","",
_xlfn.TEXTJOIN(", ",TRUE,
    _xlfn.MAP(_xlfn.TEXTSPLIT(M101,","),_xlfn.LAMBDA(_xlpm.x,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" t="str">
        <f>'Audit Report'!F101</f>
        <v/>
      </c>
      <c r="S101" t="str">
        <f>'Audit Report'!Q101</f>
        <v/>
      </c>
    </row>
    <row r="102" spans="4:19">
      <c r="D102" t="str">
        <f>'Audit Report'!B102</f>
        <v>ITD-SHRXXX-XX101</v>
      </c>
      <c r="E102" t="str">
        <f>'Audit Report'!C102</f>
        <v/>
      </c>
      <c r="I102" t="str">
        <f>_xlfn.XLOOKUP('Audit Report'!D102,Models!G:G,Models!I:I,'Audit Report'!D102,0,1)</f>
        <v/>
      </c>
      <c r="J102" t="str">
        <f>_xlfn.TEXTJOIN(" ",TRUE,'Audit Report'!G102,'Audit Report'!H102)</f>
        <v/>
      </c>
      <c r="L102" t="str">
        <f>_xlfn.TEXTJOIN(", ", TRUE, 'Audit Report'!K102,'Audit Report'!L102,'Audit Report'!M102)</f>
        <v/>
      </c>
      <c r="M102" t="str">
        <f>'Audit Report'!O102</f>
        <v/>
      </c>
      <c r="N102" t="str" cm="1">
        <f t="array" ref="N102">IF(M102="","",
_xlfn.TEXTJOIN(", ",TRUE,
    _xlfn.MAP(_xlfn.TEXTSPLIT(M102,","),_xlfn.LAMBDA(_xlpm.x,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" t="str">
        <f>'Audit Report'!F102</f>
        <v/>
      </c>
      <c r="S102" t="str">
        <f>'Audit Report'!Q102</f>
        <v/>
      </c>
    </row>
    <row r="103" spans="4:19">
      <c r="D103" t="str">
        <f>'Audit Report'!B103</f>
        <v>ITD-SHRXXX-XX102</v>
      </c>
      <c r="E103" t="str">
        <f>'Audit Report'!C103</f>
        <v/>
      </c>
      <c r="I103" t="str">
        <f>_xlfn.XLOOKUP('Audit Report'!D103,Models!G:G,Models!I:I,'Audit Report'!D103,0,1)</f>
        <v/>
      </c>
      <c r="J103" t="str">
        <f>_xlfn.TEXTJOIN(" ",TRUE,'Audit Report'!G103,'Audit Report'!H103)</f>
        <v/>
      </c>
      <c r="L103" t="str">
        <f>_xlfn.TEXTJOIN(", ", TRUE, 'Audit Report'!K103,'Audit Report'!L103,'Audit Report'!M103)</f>
        <v/>
      </c>
      <c r="M103" t="str">
        <f>'Audit Report'!O103</f>
        <v/>
      </c>
      <c r="N103" t="str" cm="1">
        <f t="array" ref="N103">IF(M103="","",
_xlfn.TEXTJOIN(", ",TRUE,
    _xlfn.MAP(_xlfn.TEXTSPLIT(M103,","),_xlfn.LAMBDA(_xlpm.x,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" t="str">
        <f>'Audit Report'!F103</f>
        <v/>
      </c>
      <c r="S103" t="str">
        <f>'Audit Report'!Q103</f>
        <v/>
      </c>
    </row>
    <row r="104" spans="4:19">
      <c r="D104" t="str">
        <f>'Audit Report'!B104</f>
        <v>ITD-SHRXXX-XX103</v>
      </c>
      <c r="E104" t="str">
        <f>'Audit Report'!C104</f>
        <v/>
      </c>
      <c r="I104" t="str">
        <f>_xlfn.XLOOKUP('Audit Report'!D104,Models!G:G,Models!I:I,'Audit Report'!D104,0,1)</f>
        <v/>
      </c>
      <c r="J104" t="str">
        <f>_xlfn.TEXTJOIN(" ",TRUE,'Audit Report'!G104,'Audit Report'!H104)</f>
        <v/>
      </c>
      <c r="L104" t="str">
        <f>_xlfn.TEXTJOIN(", ", TRUE, 'Audit Report'!K104,'Audit Report'!L104,'Audit Report'!M104)</f>
        <v/>
      </c>
      <c r="M104" t="str">
        <f>'Audit Report'!O104</f>
        <v/>
      </c>
      <c r="N104" t="str" cm="1">
        <f t="array" ref="N104">IF(M104="","",
_xlfn.TEXTJOIN(", ",TRUE,
    _xlfn.MAP(_xlfn.TEXTSPLIT(M104,","),_xlfn.LAMBDA(_xlpm.x,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" t="str">
        <f>'Audit Report'!F104</f>
        <v/>
      </c>
      <c r="S104" t="str">
        <f>'Audit Report'!Q104</f>
        <v/>
      </c>
    </row>
    <row r="105" spans="4:19">
      <c r="D105" t="str">
        <f>'Audit Report'!B105</f>
        <v>ITD-SHRXXX-XX104</v>
      </c>
      <c r="E105" t="str">
        <f>'Audit Report'!C105</f>
        <v/>
      </c>
      <c r="I105" t="str">
        <f>_xlfn.XLOOKUP('Audit Report'!D105,Models!G:G,Models!I:I,'Audit Report'!D105,0,1)</f>
        <v/>
      </c>
      <c r="J105" t="str">
        <f>_xlfn.TEXTJOIN(" ",TRUE,'Audit Report'!G105,'Audit Report'!H105)</f>
        <v/>
      </c>
      <c r="L105" t="str">
        <f>_xlfn.TEXTJOIN(", ", TRUE, 'Audit Report'!K105,'Audit Report'!L105,'Audit Report'!M105)</f>
        <v/>
      </c>
      <c r="M105" t="str">
        <f>'Audit Report'!O105</f>
        <v/>
      </c>
      <c r="N105" t="str" cm="1">
        <f t="array" ref="N105">IF(M105="","",
_xlfn.TEXTJOIN(", ",TRUE,
    _xlfn.MAP(_xlfn.TEXTSPLIT(M105,","),_xlfn.LAMBDA(_xlpm.x,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" t="str">
        <f>'Audit Report'!F105</f>
        <v/>
      </c>
      <c r="S105" t="str">
        <f>'Audit Report'!Q105</f>
        <v/>
      </c>
    </row>
    <row r="106" spans="4:19">
      <c r="D106" t="str">
        <f>'Audit Report'!B106</f>
        <v>ITD-SHRXXX-XX105</v>
      </c>
      <c r="E106" t="str">
        <f>'Audit Report'!C106</f>
        <v/>
      </c>
      <c r="I106" t="str">
        <f>_xlfn.XLOOKUP('Audit Report'!D106,Models!G:G,Models!I:I,'Audit Report'!D106,0,1)</f>
        <v/>
      </c>
      <c r="J106" t="str">
        <f>_xlfn.TEXTJOIN(" ",TRUE,'Audit Report'!G106,'Audit Report'!H106)</f>
        <v/>
      </c>
      <c r="L106" t="str">
        <f>_xlfn.TEXTJOIN(", ", TRUE, 'Audit Report'!K106,'Audit Report'!L106,'Audit Report'!M106)</f>
        <v/>
      </c>
      <c r="M106" t="str">
        <f>'Audit Report'!O106</f>
        <v/>
      </c>
      <c r="N106" t="str" cm="1">
        <f t="array" ref="N106">IF(M106="","",
_xlfn.TEXTJOIN(", ",TRUE,
    _xlfn.MAP(_xlfn.TEXTSPLIT(M106,","),_xlfn.LAMBDA(_xlpm.x,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" t="str">
        <f>'Audit Report'!F106</f>
        <v/>
      </c>
      <c r="S106" t="str">
        <f>'Audit Report'!Q106</f>
        <v/>
      </c>
    </row>
    <row r="107" spans="4:19">
      <c r="D107" t="str">
        <f>'Audit Report'!B107</f>
        <v>ITD-SHRXXX-XX106</v>
      </c>
      <c r="E107" t="str">
        <f>'Audit Report'!C107</f>
        <v/>
      </c>
      <c r="I107" t="str">
        <f>_xlfn.XLOOKUP('Audit Report'!D107,Models!G:G,Models!I:I,'Audit Report'!D107,0,1)</f>
        <v/>
      </c>
      <c r="J107" t="str">
        <f>_xlfn.TEXTJOIN(" ",TRUE,'Audit Report'!G107,'Audit Report'!H107)</f>
        <v/>
      </c>
      <c r="L107" t="str">
        <f>_xlfn.TEXTJOIN(", ", TRUE, 'Audit Report'!K107,'Audit Report'!L107,'Audit Report'!M107)</f>
        <v/>
      </c>
      <c r="M107" t="str">
        <f>'Audit Report'!O107</f>
        <v/>
      </c>
      <c r="N107" t="str" cm="1">
        <f t="array" ref="N107">IF(M107="","",
_xlfn.TEXTJOIN(", ",TRUE,
    _xlfn.MAP(_xlfn.TEXTSPLIT(M107,","),_xlfn.LAMBDA(_xlpm.x,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" t="str">
        <f>'Audit Report'!F107</f>
        <v/>
      </c>
      <c r="S107" t="str">
        <f>'Audit Report'!Q107</f>
        <v/>
      </c>
    </row>
    <row r="108" spans="4:19">
      <c r="D108" t="str">
        <f>'Audit Report'!B108</f>
        <v>ITD-SHRXXX-XX107</v>
      </c>
      <c r="E108" t="str">
        <f>'Audit Report'!C108</f>
        <v/>
      </c>
      <c r="I108" t="str">
        <f>_xlfn.XLOOKUP('Audit Report'!D108,Models!G:G,Models!I:I,'Audit Report'!D108,0,1)</f>
        <v/>
      </c>
      <c r="J108" t="str">
        <f>_xlfn.TEXTJOIN(" ",TRUE,'Audit Report'!G108,'Audit Report'!H108)</f>
        <v/>
      </c>
      <c r="L108" t="str">
        <f>_xlfn.TEXTJOIN(", ", TRUE, 'Audit Report'!K108,'Audit Report'!L108,'Audit Report'!M108)</f>
        <v/>
      </c>
      <c r="M108" t="str">
        <f>'Audit Report'!O108</f>
        <v/>
      </c>
      <c r="N108" t="str" cm="1">
        <f t="array" ref="N108">IF(M108="","",
_xlfn.TEXTJOIN(", ",TRUE,
    _xlfn.MAP(_xlfn.TEXTSPLIT(M108,","),_xlfn.LAMBDA(_xlpm.x,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" t="str">
        <f>'Audit Report'!F108</f>
        <v/>
      </c>
      <c r="S108" t="str">
        <f>'Audit Report'!Q108</f>
        <v/>
      </c>
    </row>
    <row r="109" spans="4:19">
      <c r="D109" t="str">
        <f>'Audit Report'!B109</f>
        <v>ITD-SHRXXX-XX108</v>
      </c>
      <c r="E109" t="str">
        <f>'Audit Report'!C109</f>
        <v/>
      </c>
      <c r="I109" t="str">
        <f>_xlfn.XLOOKUP('Audit Report'!D109,Models!G:G,Models!I:I,'Audit Report'!D109,0,1)</f>
        <v/>
      </c>
      <c r="J109" t="str">
        <f>_xlfn.TEXTJOIN(" ",TRUE,'Audit Report'!G109,'Audit Report'!H109)</f>
        <v/>
      </c>
      <c r="L109" t="str">
        <f>_xlfn.TEXTJOIN(", ", TRUE, 'Audit Report'!K109,'Audit Report'!L109,'Audit Report'!M109)</f>
        <v/>
      </c>
      <c r="M109" t="str">
        <f>'Audit Report'!O109</f>
        <v/>
      </c>
      <c r="N109" t="str" cm="1">
        <f t="array" ref="N109">IF(M109="","",
_xlfn.TEXTJOIN(", ",TRUE,
    _xlfn.MAP(_xlfn.TEXTSPLIT(M109,","),_xlfn.LAMBDA(_xlpm.x,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" t="str">
        <f>'Audit Report'!F109</f>
        <v/>
      </c>
      <c r="S109" t="str">
        <f>'Audit Report'!Q109</f>
        <v/>
      </c>
    </row>
    <row r="110" spans="4:19">
      <c r="D110" t="str">
        <f>'Audit Report'!B110</f>
        <v>ITD-SHRXXX-XX109</v>
      </c>
      <c r="E110" t="str">
        <f>'Audit Report'!C110</f>
        <v/>
      </c>
      <c r="I110" t="str">
        <f>_xlfn.XLOOKUP('Audit Report'!D110,Models!G:G,Models!I:I,'Audit Report'!D110,0,1)</f>
        <v/>
      </c>
      <c r="J110" t="str">
        <f>_xlfn.TEXTJOIN(" ",TRUE,'Audit Report'!G110,'Audit Report'!H110)</f>
        <v/>
      </c>
      <c r="L110" t="str">
        <f>_xlfn.TEXTJOIN(", ", TRUE, 'Audit Report'!K110,'Audit Report'!L110,'Audit Report'!M110)</f>
        <v/>
      </c>
      <c r="M110" t="str">
        <f>'Audit Report'!O110</f>
        <v/>
      </c>
      <c r="N110" t="str" cm="1">
        <f t="array" ref="N110">IF(M110="","",
_xlfn.TEXTJOIN(", ",TRUE,
    _xlfn.MAP(_xlfn.TEXTSPLIT(M110,","),_xlfn.LAMBDA(_xlpm.x,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" t="str">
        <f>'Audit Report'!F110</f>
        <v/>
      </c>
      <c r="S110" t="str">
        <f>'Audit Report'!Q110</f>
        <v/>
      </c>
    </row>
    <row r="111" spans="4:19">
      <c r="D111" t="str">
        <f>'Audit Report'!B111</f>
        <v>ITD-SHRXXX-XX110</v>
      </c>
      <c r="E111" t="str">
        <f>'Audit Report'!C111</f>
        <v/>
      </c>
      <c r="I111" t="str">
        <f>_xlfn.XLOOKUP('Audit Report'!D111,Models!G:G,Models!I:I,'Audit Report'!D111,0,1)</f>
        <v/>
      </c>
      <c r="J111" t="str">
        <f>_xlfn.TEXTJOIN(" ",TRUE,'Audit Report'!G111,'Audit Report'!H111)</f>
        <v/>
      </c>
      <c r="L111" t="str">
        <f>_xlfn.TEXTJOIN(", ", TRUE, 'Audit Report'!K111,'Audit Report'!L111,'Audit Report'!M111)</f>
        <v/>
      </c>
      <c r="M111" t="str">
        <f>'Audit Report'!O111</f>
        <v/>
      </c>
      <c r="N111" t="str" cm="1">
        <f t="array" ref="N111">IF(M111="","",
_xlfn.TEXTJOIN(", ",TRUE,
    _xlfn.MAP(_xlfn.TEXTSPLIT(M111,","),_xlfn.LAMBDA(_xlpm.x,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" t="str">
        <f>'Audit Report'!F111</f>
        <v/>
      </c>
      <c r="S111" t="str">
        <f>'Audit Report'!Q111</f>
        <v/>
      </c>
    </row>
    <row r="112" spans="4:19">
      <c r="D112" t="str">
        <f>'Audit Report'!B112</f>
        <v>ITD-SHRXXX-XX111</v>
      </c>
      <c r="E112" t="str">
        <f>'Audit Report'!C112</f>
        <v/>
      </c>
      <c r="I112" t="str">
        <f>_xlfn.XLOOKUP('Audit Report'!D112,Models!G:G,Models!I:I,'Audit Report'!D112,0,1)</f>
        <v/>
      </c>
      <c r="J112" t="str">
        <f>_xlfn.TEXTJOIN(" ",TRUE,'Audit Report'!G112,'Audit Report'!H112)</f>
        <v/>
      </c>
      <c r="L112" t="str">
        <f>_xlfn.TEXTJOIN(", ", TRUE, 'Audit Report'!K112,'Audit Report'!L112,'Audit Report'!M112)</f>
        <v/>
      </c>
      <c r="M112" t="str">
        <f>'Audit Report'!O112</f>
        <v/>
      </c>
      <c r="N112" t="str" cm="1">
        <f t="array" ref="N112">IF(M112="","",
_xlfn.TEXTJOIN(", ",TRUE,
    _xlfn.MAP(_xlfn.TEXTSPLIT(M112,","),_xlfn.LAMBDA(_xlpm.x,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" t="str">
        <f>'Audit Report'!F112</f>
        <v/>
      </c>
      <c r="S112" t="str">
        <f>'Audit Report'!Q112</f>
        <v/>
      </c>
    </row>
    <row r="113" spans="4:19">
      <c r="D113" t="str">
        <f>'Audit Report'!B113</f>
        <v>ITD-SHRXXX-XX112</v>
      </c>
      <c r="E113" t="str">
        <f>'Audit Report'!C113</f>
        <v/>
      </c>
      <c r="I113" t="str">
        <f>_xlfn.XLOOKUP('Audit Report'!D113,Models!G:G,Models!I:I,'Audit Report'!D113,0,1)</f>
        <v/>
      </c>
      <c r="J113" t="str">
        <f>_xlfn.TEXTJOIN(" ",TRUE,'Audit Report'!G113,'Audit Report'!H113)</f>
        <v/>
      </c>
      <c r="L113" t="str">
        <f>_xlfn.TEXTJOIN(", ", TRUE, 'Audit Report'!K113,'Audit Report'!L113,'Audit Report'!M113)</f>
        <v/>
      </c>
      <c r="M113" t="str">
        <f>'Audit Report'!O113</f>
        <v/>
      </c>
      <c r="N113" t="str" cm="1">
        <f t="array" ref="N113">IF(M113="","",
_xlfn.TEXTJOIN(", ",TRUE,
    _xlfn.MAP(_xlfn.TEXTSPLIT(M113,","),_xlfn.LAMBDA(_xlpm.x,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" t="str">
        <f>'Audit Report'!F113</f>
        <v/>
      </c>
      <c r="S113" t="str">
        <f>'Audit Report'!Q113</f>
        <v/>
      </c>
    </row>
    <row r="114" spans="4:19">
      <c r="D114" t="str">
        <f>'Audit Report'!B114</f>
        <v>ITD-SHRXXX-XX113</v>
      </c>
      <c r="E114" t="str">
        <f>'Audit Report'!C114</f>
        <v/>
      </c>
      <c r="I114" t="str">
        <f>_xlfn.XLOOKUP('Audit Report'!D114,Models!G:G,Models!I:I,'Audit Report'!D114,0,1)</f>
        <v/>
      </c>
      <c r="J114" t="str">
        <f>_xlfn.TEXTJOIN(" ",TRUE,'Audit Report'!G114,'Audit Report'!H114)</f>
        <v/>
      </c>
      <c r="L114" t="str">
        <f>_xlfn.TEXTJOIN(", ", TRUE, 'Audit Report'!K114,'Audit Report'!L114,'Audit Report'!M114)</f>
        <v/>
      </c>
      <c r="M114" t="str">
        <f>'Audit Report'!O114</f>
        <v/>
      </c>
      <c r="N114" t="str" cm="1">
        <f t="array" ref="N114">IF(M114="","",
_xlfn.TEXTJOIN(", ",TRUE,
    _xlfn.MAP(_xlfn.TEXTSPLIT(M114,","),_xlfn.LAMBDA(_xlpm.x,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" t="str">
        <f>'Audit Report'!F114</f>
        <v/>
      </c>
      <c r="S114" t="str">
        <f>'Audit Report'!Q114</f>
        <v/>
      </c>
    </row>
    <row r="115" spans="4:19">
      <c r="D115" t="str">
        <f>'Audit Report'!B115</f>
        <v>ITD-SHRXXX-XX114</v>
      </c>
      <c r="E115" t="str">
        <f>'Audit Report'!C115</f>
        <v/>
      </c>
      <c r="I115" t="str">
        <f>_xlfn.XLOOKUP('Audit Report'!D115,Models!G:G,Models!I:I,'Audit Report'!D115,0,1)</f>
        <v/>
      </c>
      <c r="J115" t="str">
        <f>_xlfn.TEXTJOIN(" ",TRUE,'Audit Report'!G115,'Audit Report'!H115)</f>
        <v/>
      </c>
      <c r="L115" t="str">
        <f>_xlfn.TEXTJOIN(", ", TRUE, 'Audit Report'!K115,'Audit Report'!L115,'Audit Report'!M115)</f>
        <v/>
      </c>
      <c r="M115" t="str">
        <f>'Audit Report'!O115</f>
        <v/>
      </c>
      <c r="N115" t="str" cm="1">
        <f t="array" ref="N115">IF(M115="","",
_xlfn.TEXTJOIN(", ",TRUE,
    _xlfn.MAP(_xlfn.TEXTSPLIT(M115,","),_xlfn.LAMBDA(_xlpm.x,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" t="str">
        <f>'Audit Report'!F115</f>
        <v/>
      </c>
      <c r="S115" t="str">
        <f>'Audit Report'!Q115</f>
        <v/>
      </c>
    </row>
    <row r="116" spans="4:19">
      <c r="D116" t="str">
        <f>'Audit Report'!B116</f>
        <v>ITD-SHRXXX-XX115</v>
      </c>
      <c r="E116" t="str">
        <f>'Audit Report'!C116</f>
        <v/>
      </c>
      <c r="I116" t="str">
        <f>_xlfn.XLOOKUP('Audit Report'!D116,Models!G:G,Models!I:I,'Audit Report'!D116,0,1)</f>
        <v/>
      </c>
      <c r="J116" t="str">
        <f>_xlfn.TEXTJOIN(" ",TRUE,'Audit Report'!G116,'Audit Report'!H116)</f>
        <v/>
      </c>
      <c r="L116" t="str">
        <f>_xlfn.TEXTJOIN(", ", TRUE, 'Audit Report'!K116,'Audit Report'!L116,'Audit Report'!M116)</f>
        <v/>
      </c>
      <c r="M116" t="str">
        <f>'Audit Report'!O116</f>
        <v/>
      </c>
      <c r="N116" t="str" cm="1">
        <f t="array" ref="N116">IF(M116="","",
_xlfn.TEXTJOIN(", ",TRUE,
    _xlfn.MAP(_xlfn.TEXTSPLIT(M116,","),_xlfn.LAMBDA(_xlpm.x,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" t="str">
        <f>'Audit Report'!F116</f>
        <v/>
      </c>
      <c r="S116" t="str">
        <f>'Audit Report'!Q116</f>
        <v/>
      </c>
    </row>
    <row r="117" spans="4:19">
      <c r="D117" t="str">
        <f>'Audit Report'!B117</f>
        <v>ITD-SHRXXX-XX116</v>
      </c>
      <c r="E117" t="str">
        <f>'Audit Report'!C117</f>
        <v/>
      </c>
      <c r="I117" t="str">
        <f>_xlfn.XLOOKUP('Audit Report'!D117,Models!G:G,Models!I:I,'Audit Report'!D117,0,1)</f>
        <v/>
      </c>
      <c r="J117" t="str">
        <f>_xlfn.TEXTJOIN(" ",TRUE,'Audit Report'!G117,'Audit Report'!H117)</f>
        <v/>
      </c>
      <c r="L117" t="str">
        <f>_xlfn.TEXTJOIN(", ", TRUE, 'Audit Report'!K117,'Audit Report'!L117,'Audit Report'!M117)</f>
        <v/>
      </c>
      <c r="M117" t="str">
        <f>'Audit Report'!O117</f>
        <v/>
      </c>
      <c r="N117" t="str" cm="1">
        <f t="array" ref="N117">IF(M117="","",
_xlfn.TEXTJOIN(", ",TRUE,
    _xlfn.MAP(_xlfn.TEXTSPLIT(M117,","),_xlfn.LAMBDA(_xlpm.x,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" t="str">
        <f>'Audit Report'!F117</f>
        <v/>
      </c>
      <c r="S117" t="str">
        <f>'Audit Report'!Q117</f>
        <v/>
      </c>
    </row>
    <row r="118" spans="4:19">
      <c r="D118" t="str">
        <f>'Audit Report'!B118</f>
        <v>ITD-SHRXXX-XX117</v>
      </c>
      <c r="E118" t="str">
        <f>'Audit Report'!C118</f>
        <v/>
      </c>
      <c r="I118" t="str">
        <f>_xlfn.XLOOKUP('Audit Report'!D118,Models!G:G,Models!I:I,'Audit Report'!D118,0,1)</f>
        <v/>
      </c>
      <c r="J118" t="str">
        <f>_xlfn.TEXTJOIN(" ",TRUE,'Audit Report'!G118,'Audit Report'!H118)</f>
        <v/>
      </c>
      <c r="L118" t="str">
        <f>_xlfn.TEXTJOIN(", ", TRUE, 'Audit Report'!K118,'Audit Report'!L118,'Audit Report'!M118)</f>
        <v/>
      </c>
      <c r="M118" t="str">
        <f>'Audit Report'!O118</f>
        <v/>
      </c>
      <c r="N118" t="str" cm="1">
        <f t="array" ref="N118">IF(M118="","",
_xlfn.TEXTJOIN(", ",TRUE,
    _xlfn.MAP(_xlfn.TEXTSPLIT(M118,","),_xlfn.LAMBDA(_xlpm.x,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" t="str">
        <f>'Audit Report'!F118</f>
        <v/>
      </c>
      <c r="S118" t="str">
        <f>'Audit Report'!Q118</f>
        <v/>
      </c>
    </row>
    <row r="119" spans="4:19">
      <c r="D119" t="str">
        <f>'Audit Report'!B119</f>
        <v>ITD-SHRXXX-XX118</v>
      </c>
      <c r="E119" t="str">
        <f>'Audit Report'!C119</f>
        <v/>
      </c>
      <c r="I119" t="str">
        <f>_xlfn.XLOOKUP('Audit Report'!D119,Models!G:G,Models!I:I,'Audit Report'!D119,0,1)</f>
        <v/>
      </c>
      <c r="J119" t="str">
        <f>_xlfn.TEXTJOIN(" ",TRUE,'Audit Report'!G119,'Audit Report'!H119)</f>
        <v/>
      </c>
      <c r="L119" t="str">
        <f>_xlfn.TEXTJOIN(", ", TRUE, 'Audit Report'!K119,'Audit Report'!L119,'Audit Report'!M119)</f>
        <v/>
      </c>
      <c r="M119" t="str">
        <f>'Audit Report'!O119</f>
        <v/>
      </c>
      <c r="N119" t="str" cm="1">
        <f t="array" ref="N119">IF(M119="","",
_xlfn.TEXTJOIN(", ",TRUE,
    _xlfn.MAP(_xlfn.TEXTSPLIT(M119,","),_xlfn.LAMBDA(_xlpm.x,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" t="str">
        <f>'Audit Report'!F119</f>
        <v/>
      </c>
      <c r="S119" t="str">
        <f>'Audit Report'!Q119</f>
        <v/>
      </c>
    </row>
    <row r="120" spans="4:19">
      <c r="D120" t="str">
        <f>'Audit Report'!B120</f>
        <v>ITD-SHRXXX-XX119</v>
      </c>
      <c r="E120" t="str">
        <f>'Audit Report'!C120</f>
        <v/>
      </c>
      <c r="I120" t="str">
        <f>_xlfn.XLOOKUP('Audit Report'!D120,Models!G:G,Models!I:I,'Audit Report'!D120,0,1)</f>
        <v/>
      </c>
      <c r="J120" t="str">
        <f>_xlfn.TEXTJOIN(" ",TRUE,'Audit Report'!G120,'Audit Report'!H120)</f>
        <v/>
      </c>
      <c r="L120" t="str">
        <f>_xlfn.TEXTJOIN(", ", TRUE, 'Audit Report'!K120,'Audit Report'!L120,'Audit Report'!M120)</f>
        <v/>
      </c>
      <c r="M120" t="str">
        <f>'Audit Report'!O120</f>
        <v/>
      </c>
      <c r="N120" t="str" cm="1">
        <f t="array" ref="N120">IF(M120="","",
_xlfn.TEXTJOIN(", ",TRUE,
    _xlfn.MAP(_xlfn.TEXTSPLIT(M120,","),_xlfn.LAMBDA(_xlpm.x,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" t="str">
        <f>'Audit Report'!F120</f>
        <v/>
      </c>
      <c r="S120" t="str">
        <f>'Audit Report'!Q120</f>
        <v/>
      </c>
    </row>
    <row r="121" spans="4:19">
      <c r="D121" t="str">
        <f>'Audit Report'!B121</f>
        <v>ITD-SHRXXX-XX120</v>
      </c>
      <c r="E121" t="str">
        <f>'Audit Report'!C121</f>
        <v/>
      </c>
      <c r="I121" t="str">
        <f>_xlfn.XLOOKUP('Audit Report'!D121,Models!G:G,Models!I:I,'Audit Report'!D121,0,1)</f>
        <v/>
      </c>
      <c r="J121" t="str">
        <f>_xlfn.TEXTJOIN(" ",TRUE,'Audit Report'!G121,'Audit Report'!H121)</f>
        <v/>
      </c>
      <c r="L121" t="str">
        <f>_xlfn.TEXTJOIN(", ", TRUE, 'Audit Report'!K121,'Audit Report'!L121,'Audit Report'!M121)</f>
        <v/>
      </c>
      <c r="M121" t="str">
        <f>'Audit Report'!O121</f>
        <v/>
      </c>
      <c r="N121" t="str" cm="1">
        <f t="array" ref="N121">IF(M121="","",
_xlfn.TEXTJOIN(", ",TRUE,
    _xlfn.MAP(_xlfn.TEXTSPLIT(M121,","),_xlfn.LAMBDA(_xlpm.x,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" t="str">
        <f>'Audit Report'!F121</f>
        <v/>
      </c>
      <c r="S121" t="str">
        <f>'Audit Report'!Q121</f>
        <v/>
      </c>
    </row>
    <row r="122" spans="4:19">
      <c r="D122" t="str">
        <f>'Audit Report'!B122</f>
        <v>ITD-SHRXXX-XX121</v>
      </c>
      <c r="E122" t="str">
        <f>'Audit Report'!C122</f>
        <v/>
      </c>
      <c r="I122" t="str">
        <f>_xlfn.XLOOKUP('Audit Report'!D122,Models!G:G,Models!I:I,'Audit Report'!D122,0,1)</f>
        <v/>
      </c>
      <c r="J122" t="str">
        <f>_xlfn.TEXTJOIN(" ",TRUE,'Audit Report'!G122,'Audit Report'!H122)</f>
        <v/>
      </c>
      <c r="L122" t="str">
        <f>_xlfn.TEXTJOIN(", ", TRUE, 'Audit Report'!K122,'Audit Report'!L122,'Audit Report'!M122)</f>
        <v/>
      </c>
      <c r="M122" t="str">
        <f>'Audit Report'!O122</f>
        <v/>
      </c>
      <c r="N122" t="str" cm="1">
        <f t="array" ref="N122">IF(M122="","",
_xlfn.TEXTJOIN(", ",TRUE,
    _xlfn.MAP(_xlfn.TEXTSPLIT(M122,","),_xlfn.LAMBDA(_xlpm.x,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" t="str">
        <f>'Audit Report'!F122</f>
        <v/>
      </c>
      <c r="S122" t="str">
        <f>'Audit Report'!Q122</f>
        <v/>
      </c>
    </row>
    <row r="123" spans="4:19">
      <c r="D123" t="str">
        <f>'Audit Report'!B123</f>
        <v>ITD-SHRXXX-XX122</v>
      </c>
      <c r="E123" t="str">
        <f>'Audit Report'!C123</f>
        <v/>
      </c>
      <c r="I123" t="str">
        <f>_xlfn.XLOOKUP('Audit Report'!D123,Models!G:G,Models!I:I,'Audit Report'!D123,0,1)</f>
        <v/>
      </c>
      <c r="J123" t="str">
        <f>_xlfn.TEXTJOIN(" ",TRUE,'Audit Report'!G123,'Audit Report'!H123)</f>
        <v/>
      </c>
      <c r="L123" t="str">
        <f>_xlfn.TEXTJOIN(", ", TRUE, 'Audit Report'!K123,'Audit Report'!L123,'Audit Report'!M123)</f>
        <v/>
      </c>
      <c r="M123" t="str">
        <f>'Audit Report'!O123</f>
        <v/>
      </c>
      <c r="N123" t="str" cm="1">
        <f t="array" ref="N123">IF(M123="","",
_xlfn.TEXTJOIN(", ",TRUE,
    _xlfn.MAP(_xlfn.TEXTSPLIT(M123,","),_xlfn.LAMBDA(_xlpm.x,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3" t="str">
        <f>'Audit Report'!F123</f>
        <v/>
      </c>
      <c r="S123" t="str">
        <f>'Audit Report'!Q123</f>
        <v/>
      </c>
    </row>
    <row r="124" spans="4:19">
      <c r="D124" t="str">
        <f>'Audit Report'!B124</f>
        <v>ITD-SHRXXX-XX123</v>
      </c>
      <c r="E124" t="str">
        <f>'Audit Report'!C124</f>
        <v/>
      </c>
      <c r="I124" t="str">
        <f>_xlfn.XLOOKUP('Audit Report'!D124,Models!G:G,Models!I:I,'Audit Report'!D124,0,1)</f>
        <v/>
      </c>
      <c r="J124" t="str">
        <f>_xlfn.TEXTJOIN(" ",TRUE,'Audit Report'!G124,'Audit Report'!H124)</f>
        <v/>
      </c>
      <c r="L124" t="str">
        <f>_xlfn.TEXTJOIN(", ", TRUE, 'Audit Report'!K124,'Audit Report'!L124,'Audit Report'!M124)</f>
        <v/>
      </c>
      <c r="M124" t="str">
        <f>'Audit Report'!O124</f>
        <v/>
      </c>
      <c r="N124" t="str" cm="1">
        <f t="array" ref="N124">IF(M124="","",
_xlfn.TEXTJOIN(", ",TRUE,
    _xlfn.MAP(_xlfn.TEXTSPLIT(M124,","),_xlfn.LAMBDA(_xlpm.x,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4" t="str">
        <f>'Audit Report'!F124</f>
        <v/>
      </c>
      <c r="S124" t="str">
        <f>'Audit Report'!Q124</f>
        <v/>
      </c>
    </row>
    <row r="125" spans="4:19">
      <c r="D125" t="str">
        <f>'Audit Report'!B125</f>
        <v>ITD-SHRXXX-XX124</v>
      </c>
      <c r="E125" t="str">
        <f>'Audit Report'!C125</f>
        <v/>
      </c>
      <c r="I125" t="str">
        <f>_xlfn.XLOOKUP('Audit Report'!D125,Models!G:G,Models!I:I,'Audit Report'!D125,0,1)</f>
        <v/>
      </c>
      <c r="J125" t="str">
        <f>_xlfn.TEXTJOIN(" ",TRUE,'Audit Report'!G125,'Audit Report'!H125)</f>
        <v/>
      </c>
      <c r="L125" t="str">
        <f>_xlfn.TEXTJOIN(", ", TRUE, 'Audit Report'!K125,'Audit Report'!L125,'Audit Report'!M125)</f>
        <v/>
      </c>
      <c r="M125" t="str">
        <f>'Audit Report'!O125</f>
        <v/>
      </c>
      <c r="N125" t="str" cm="1">
        <f t="array" ref="N125">IF(M125="","",
_xlfn.TEXTJOIN(", ",TRUE,
    _xlfn.MAP(_xlfn.TEXTSPLIT(M125,","),_xlfn.LAMBDA(_xlpm.x,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5" t="str">
        <f>'Audit Report'!F125</f>
        <v/>
      </c>
      <c r="S125" t="str">
        <f>'Audit Report'!Q125</f>
        <v/>
      </c>
    </row>
    <row r="126" spans="4:19">
      <c r="D126" t="str">
        <f>'Audit Report'!B126</f>
        <v>ITD-SHRXXX-XX125</v>
      </c>
      <c r="E126" t="str">
        <f>'Audit Report'!C126</f>
        <v/>
      </c>
      <c r="I126" t="str">
        <f>_xlfn.XLOOKUP('Audit Report'!D126,Models!G:G,Models!I:I,'Audit Report'!D126,0,1)</f>
        <v/>
      </c>
      <c r="J126" t="str">
        <f>_xlfn.TEXTJOIN(" ",TRUE,'Audit Report'!G126,'Audit Report'!H126)</f>
        <v/>
      </c>
      <c r="L126" t="str">
        <f>_xlfn.TEXTJOIN(", ", TRUE, 'Audit Report'!K126,'Audit Report'!L126,'Audit Report'!M126)</f>
        <v/>
      </c>
      <c r="M126" t="str">
        <f>'Audit Report'!O126</f>
        <v/>
      </c>
      <c r="N126" t="str" cm="1">
        <f t="array" ref="N126">IF(M126="","",
_xlfn.TEXTJOIN(", ",TRUE,
    _xlfn.MAP(_xlfn.TEXTSPLIT(M126,","),_xlfn.LAMBDA(_xlpm.x,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6" t="str">
        <f>'Audit Report'!F126</f>
        <v/>
      </c>
      <c r="S126" t="str">
        <f>'Audit Report'!Q126</f>
        <v/>
      </c>
    </row>
    <row r="127" spans="4:19">
      <c r="D127" t="str">
        <f>'Audit Report'!B127</f>
        <v>ITD-SHRXXX-XX126</v>
      </c>
      <c r="E127" t="str">
        <f>'Audit Report'!C127</f>
        <v/>
      </c>
      <c r="I127" t="str">
        <f>_xlfn.XLOOKUP('Audit Report'!D127,Models!G:G,Models!I:I,'Audit Report'!D127,0,1)</f>
        <v/>
      </c>
      <c r="J127" t="str">
        <f>_xlfn.TEXTJOIN(" ",TRUE,'Audit Report'!G127,'Audit Report'!H127)</f>
        <v/>
      </c>
      <c r="L127" t="str">
        <f>_xlfn.TEXTJOIN(", ", TRUE, 'Audit Report'!K127,'Audit Report'!L127,'Audit Report'!M127)</f>
        <v/>
      </c>
      <c r="M127" t="str">
        <f>'Audit Report'!O127</f>
        <v/>
      </c>
      <c r="N127" t="str" cm="1">
        <f t="array" ref="N127">IF(M127="","",
_xlfn.TEXTJOIN(", ",TRUE,
    _xlfn.MAP(_xlfn.TEXTSPLIT(M127,","),_xlfn.LAMBDA(_xlpm.x,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7" t="str">
        <f>'Audit Report'!F127</f>
        <v/>
      </c>
      <c r="S127" t="str">
        <f>'Audit Report'!Q127</f>
        <v/>
      </c>
    </row>
    <row r="128" spans="4:19">
      <c r="D128" t="str">
        <f>'Audit Report'!B128</f>
        <v>ITD-SHRXXX-XX127</v>
      </c>
      <c r="E128" t="str">
        <f>'Audit Report'!C128</f>
        <v/>
      </c>
      <c r="I128" t="str">
        <f>_xlfn.XLOOKUP('Audit Report'!D128,Models!G:G,Models!I:I,'Audit Report'!D128,0,1)</f>
        <v/>
      </c>
      <c r="J128" t="str">
        <f>_xlfn.TEXTJOIN(" ",TRUE,'Audit Report'!G128,'Audit Report'!H128)</f>
        <v/>
      </c>
      <c r="L128" t="str">
        <f>_xlfn.TEXTJOIN(", ", TRUE, 'Audit Report'!K128,'Audit Report'!L128,'Audit Report'!M128)</f>
        <v/>
      </c>
      <c r="M128" t="str">
        <f>'Audit Report'!O128</f>
        <v/>
      </c>
      <c r="N128" t="str" cm="1">
        <f t="array" ref="N128">IF(M128="","",
_xlfn.TEXTJOIN(", ",TRUE,
    _xlfn.MAP(_xlfn.TEXTSPLIT(M128,","),_xlfn.LAMBDA(_xlpm.x,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8" t="str">
        <f>'Audit Report'!F128</f>
        <v/>
      </c>
      <c r="S128" t="str">
        <f>'Audit Report'!Q128</f>
        <v/>
      </c>
    </row>
    <row r="129" spans="4:19">
      <c r="D129" t="str">
        <f>'Audit Report'!B129</f>
        <v>ITD-SHRXXX-XX128</v>
      </c>
      <c r="E129" t="str">
        <f>'Audit Report'!C129</f>
        <v/>
      </c>
      <c r="I129" t="str">
        <f>_xlfn.XLOOKUP('Audit Report'!D129,Models!G:G,Models!I:I,'Audit Report'!D129,0,1)</f>
        <v/>
      </c>
      <c r="J129" t="str">
        <f>_xlfn.TEXTJOIN(" ",TRUE,'Audit Report'!G129,'Audit Report'!H129)</f>
        <v/>
      </c>
      <c r="L129" t="str">
        <f>_xlfn.TEXTJOIN(", ", TRUE, 'Audit Report'!K129,'Audit Report'!L129,'Audit Report'!M129)</f>
        <v/>
      </c>
      <c r="M129" t="str">
        <f>'Audit Report'!O129</f>
        <v/>
      </c>
      <c r="N129" t="str" cm="1">
        <f t="array" ref="N129">IF(M129="","",
_xlfn.TEXTJOIN(", ",TRUE,
    _xlfn.MAP(_xlfn.TEXTSPLIT(M129,","),_xlfn.LAMBDA(_xlpm.x,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9" t="str">
        <f>'Audit Report'!F129</f>
        <v/>
      </c>
      <c r="S129" t="str">
        <f>'Audit Report'!Q129</f>
        <v/>
      </c>
    </row>
    <row r="130" spans="4:19">
      <c r="D130" t="str">
        <f>'Audit Report'!B130</f>
        <v>ITD-SHRXXX-XX129</v>
      </c>
      <c r="E130" t="str">
        <f>'Audit Report'!C130</f>
        <v/>
      </c>
      <c r="I130" t="str">
        <f>_xlfn.XLOOKUP('Audit Report'!D130,Models!G:G,Models!I:I,'Audit Report'!D130,0,1)</f>
        <v/>
      </c>
      <c r="J130" t="str">
        <f>_xlfn.TEXTJOIN(" ",TRUE,'Audit Report'!G130,'Audit Report'!H130)</f>
        <v/>
      </c>
      <c r="L130" t="str">
        <f>_xlfn.TEXTJOIN(", ", TRUE, 'Audit Report'!K130,'Audit Report'!L130,'Audit Report'!M130)</f>
        <v/>
      </c>
      <c r="M130" t="str">
        <f>'Audit Report'!O130</f>
        <v/>
      </c>
      <c r="N130" t="str" cm="1">
        <f t="array" ref="N130">IF(M130="","",
_xlfn.TEXTJOIN(", ",TRUE,
    _xlfn.MAP(_xlfn.TEXTSPLIT(M130,","),_xlfn.LAMBDA(_xlpm.x,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0" t="str">
        <f>'Audit Report'!F130</f>
        <v/>
      </c>
      <c r="S130" t="str">
        <f>'Audit Report'!Q130</f>
        <v/>
      </c>
    </row>
    <row r="131" spans="4:19">
      <c r="D131" t="str">
        <f>'Audit Report'!B131</f>
        <v>ITD-SHRXXX-XX130</v>
      </c>
      <c r="E131" t="str">
        <f>'Audit Report'!C131</f>
        <v/>
      </c>
      <c r="I131" t="str">
        <f>_xlfn.XLOOKUP('Audit Report'!D131,Models!G:G,Models!I:I,'Audit Report'!D131,0,1)</f>
        <v/>
      </c>
      <c r="J131" t="str">
        <f>_xlfn.TEXTJOIN(" ",TRUE,'Audit Report'!G131,'Audit Report'!H131)</f>
        <v/>
      </c>
      <c r="L131" t="str">
        <f>_xlfn.TEXTJOIN(", ", TRUE, 'Audit Report'!K131,'Audit Report'!L131,'Audit Report'!M131)</f>
        <v/>
      </c>
      <c r="M131" t="str">
        <f>'Audit Report'!O131</f>
        <v/>
      </c>
      <c r="N131" t="str" cm="1">
        <f t="array" ref="N131">IF(M131="","",
_xlfn.TEXTJOIN(", ",TRUE,
    _xlfn.MAP(_xlfn.TEXTSPLIT(M131,","),_xlfn.LAMBDA(_xlpm.x,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1" t="str">
        <f>'Audit Report'!F131</f>
        <v/>
      </c>
      <c r="S131" t="str">
        <f>'Audit Report'!Q131</f>
        <v/>
      </c>
    </row>
    <row r="132" spans="4:19">
      <c r="D132" t="str">
        <f>'Audit Report'!B132</f>
        <v>ITD-SHRXXX-XX131</v>
      </c>
      <c r="E132" t="str">
        <f>'Audit Report'!C132</f>
        <v/>
      </c>
      <c r="I132" t="str">
        <f>_xlfn.XLOOKUP('Audit Report'!D132,Models!G:G,Models!I:I,'Audit Report'!D132,0,1)</f>
        <v/>
      </c>
      <c r="J132" t="str">
        <f>_xlfn.TEXTJOIN(" ",TRUE,'Audit Report'!G132,'Audit Report'!H132)</f>
        <v/>
      </c>
      <c r="L132" t="str">
        <f>_xlfn.TEXTJOIN(", ", TRUE, 'Audit Report'!K132,'Audit Report'!L132,'Audit Report'!M132)</f>
        <v/>
      </c>
      <c r="M132" t="str">
        <f>'Audit Report'!O132</f>
        <v/>
      </c>
      <c r="N132" t="str" cm="1">
        <f t="array" ref="N132">IF(M132="","",
_xlfn.TEXTJOIN(", ",TRUE,
    _xlfn.MAP(_xlfn.TEXTSPLIT(M132,","),_xlfn.LAMBDA(_xlpm.x,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2" t="str">
        <f>'Audit Report'!F132</f>
        <v/>
      </c>
      <c r="S132" t="str">
        <f>'Audit Report'!Q132</f>
        <v/>
      </c>
    </row>
    <row r="133" spans="4:19">
      <c r="D133" t="str">
        <f>'Audit Report'!B133</f>
        <v>ITD-SHRXXX-XX132</v>
      </c>
      <c r="E133" t="str">
        <f>'Audit Report'!C133</f>
        <v/>
      </c>
      <c r="I133" t="str">
        <f>_xlfn.XLOOKUP('Audit Report'!D133,Models!G:G,Models!I:I,'Audit Report'!D133,0,1)</f>
        <v/>
      </c>
      <c r="J133" t="str">
        <f>_xlfn.TEXTJOIN(" ",TRUE,'Audit Report'!G133,'Audit Report'!H133)</f>
        <v/>
      </c>
      <c r="L133" t="str">
        <f>_xlfn.TEXTJOIN(", ", TRUE, 'Audit Report'!K133,'Audit Report'!L133,'Audit Report'!M133)</f>
        <v/>
      </c>
      <c r="M133" t="str">
        <f>'Audit Report'!O133</f>
        <v/>
      </c>
      <c r="N133" t="str" cm="1">
        <f t="array" ref="N133">IF(M133="","",
_xlfn.TEXTJOIN(", ",TRUE,
    _xlfn.MAP(_xlfn.TEXTSPLIT(M133,","),_xlfn.LAMBDA(_xlpm.x,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3" t="str">
        <f>'Audit Report'!F133</f>
        <v/>
      </c>
      <c r="S133" t="str">
        <f>'Audit Report'!Q133</f>
        <v/>
      </c>
    </row>
    <row r="134" spans="4:19">
      <c r="D134" t="str">
        <f>'Audit Report'!B134</f>
        <v>ITD-SHRXXX-XX133</v>
      </c>
      <c r="E134" t="str">
        <f>'Audit Report'!C134</f>
        <v/>
      </c>
      <c r="I134" t="str">
        <f>_xlfn.XLOOKUP('Audit Report'!D134,Models!G:G,Models!I:I,'Audit Report'!D134,0,1)</f>
        <v/>
      </c>
      <c r="J134" t="str">
        <f>_xlfn.TEXTJOIN(" ",TRUE,'Audit Report'!G134,'Audit Report'!H134)</f>
        <v/>
      </c>
      <c r="L134" t="str">
        <f>_xlfn.TEXTJOIN(", ", TRUE, 'Audit Report'!K134,'Audit Report'!L134,'Audit Report'!M134)</f>
        <v/>
      </c>
      <c r="M134" t="str">
        <f>'Audit Report'!O134</f>
        <v/>
      </c>
      <c r="N134" t="str" cm="1">
        <f t="array" ref="N134">IF(M134="","",
_xlfn.TEXTJOIN(", ",TRUE,
    _xlfn.MAP(_xlfn.TEXTSPLIT(M134,","),_xlfn.LAMBDA(_xlpm.x,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4" t="str">
        <f>'Audit Report'!F134</f>
        <v/>
      </c>
      <c r="S134" t="str">
        <f>'Audit Report'!Q134</f>
        <v/>
      </c>
    </row>
    <row r="135" spans="4:19">
      <c r="D135" t="str">
        <f>'Audit Report'!B135</f>
        <v>ITD-SHRXXX-XX134</v>
      </c>
      <c r="E135" t="str">
        <f>'Audit Report'!C135</f>
        <v/>
      </c>
      <c r="I135" t="str">
        <f>_xlfn.XLOOKUP('Audit Report'!D135,Models!G:G,Models!I:I,'Audit Report'!D135,0,1)</f>
        <v/>
      </c>
      <c r="J135" t="str">
        <f>_xlfn.TEXTJOIN(" ",TRUE,'Audit Report'!G135,'Audit Report'!H135)</f>
        <v/>
      </c>
      <c r="L135" t="str">
        <f>_xlfn.TEXTJOIN(", ", TRUE, 'Audit Report'!K135,'Audit Report'!L135,'Audit Report'!M135)</f>
        <v/>
      </c>
      <c r="M135" t="str">
        <f>'Audit Report'!O135</f>
        <v/>
      </c>
      <c r="N135" t="str" cm="1">
        <f t="array" ref="N135">IF(M135="","",
_xlfn.TEXTJOIN(", ",TRUE,
    _xlfn.MAP(_xlfn.TEXTSPLIT(M135,","),_xlfn.LAMBDA(_xlpm.x,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5" t="str">
        <f>'Audit Report'!F135</f>
        <v/>
      </c>
      <c r="S135" t="str">
        <f>'Audit Report'!Q135</f>
        <v/>
      </c>
    </row>
    <row r="136" spans="4:19">
      <c r="D136" t="str">
        <f>'Audit Report'!B136</f>
        <v>ITD-SHRXXX-XX135</v>
      </c>
      <c r="E136" t="str">
        <f>'Audit Report'!C136</f>
        <v/>
      </c>
      <c r="I136" t="str">
        <f>_xlfn.XLOOKUP('Audit Report'!D136,Models!G:G,Models!I:I,'Audit Report'!D136,0,1)</f>
        <v/>
      </c>
      <c r="J136" t="str">
        <f>_xlfn.TEXTJOIN(" ",TRUE,'Audit Report'!G136,'Audit Report'!H136)</f>
        <v/>
      </c>
      <c r="L136" t="str">
        <f>_xlfn.TEXTJOIN(", ", TRUE, 'Audit Report'!K136,'Audit Report'!L136,'Audit Report'!M136)</f>
        <v/>
      </c>
      <c r="M136" t="str">
        <f>'Audit Report'!O136</f>
        <v/>
      </c>
      <c r="N136" t="str" cm="1">
        <f t="array" ref="N136">IF(M136="","",
_xlfn.TEXTJOIN(", ",TRUE,
    _xlfn.MAP(_xlfn.TEXTSPLIT(M136,","),_xlfn.LAMBDA(_xlpm.x,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6" t="str">
        <f>'Audit Report'!F136</f>
        <v/>
      </c>
      <c r="S136" t="str">
        <f>'Audit Report'!Q136</f>
        <v/>
      </c>
    </row>
    <row r="137" spans="4:19">
      <c r="D137" t="str">
        <f>'Audit Report'!B137</f>
        <v>ITD-SHRXXX-XX136</v>
      </c>
      <c r="E137" t="str">
        <f>'Audit Report'!C137</f>
        <v/>
      </c>
      <c r="I137" t="str">
        <f>_xlfn.XLOOKUP('Audit Report'!D137,Models!G:G,Models!I:I,'Audit Report'!D137,0,1)</f>
        <v/>
      </c>
      <c r="J137" t="str">
        <f>_xlfn.TEXTJOIN(" ",TRUE,'Audit Report'!G137,'Audit Report'!H137)</f>
        <v/>
      </c>
      <c r="L137" t="str">
        <f>_xlfn.TEXTJOIN(", ", TRUE, 'Audit Report'!K137,'Audit Report'!L137,'Audit Report'!M137)</f>
        <v/>
      </c>
      <c r="M137" t="str">
        <f>'Audit Report'!O137</f>
        <v/>
      </c>
      <c r="N137" t="str" cm="1">
        <f t="array" ref="N137">IF(M137="","",
_xlfn.TEXTJOIN(", ",TRUE,
    _xlfn.MAP(_xlfn.TEXTSPLIT(M137,","),_xlfn.LAMBDA(_xlpm.x,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7" t="str">
        <f>'Audit Report'!F137</f>
        <v/>
      </c>
      <c r="S137" t="str">
        <f>'Audit Report'!Q137</f>
        <v/>
      </c>
    </row>
    <row r="138" spans="4:19">
      <c r="D138" t="str">
        <f>'Audit Report'!B138</f>
        <v>ITD-SHRXXX-XX137</v>
      </c>
      <c r="E138" t="str">
        <f>'Audit Report'!C138</f>
        <v/>
      </c>
      <c r="I138" t="str">
        <f>_xlfn.XLOOKUP('Audit Report'!D138,Models!G:G,Models!I:I,'Audit Report'!D138,0,1)</f>
        <v/>
      </c>
      <c r="J138" t="str">
        <f>_xlfn.TEXTJOIN(" ",TRUE,'Audit Report'!G138,'Audit Report'!H138)</f>
        <v/>
      </c>
      <c r="L138" t="str">
        <f>_xlfn.TEXTJOIN(", ", TRUE, 'Audit Report'!K138,'Audit Report'!L138,'Audit Report'!M138)</f>
        <v/>
      </c>
      <c r="M138" t="str">
        <f>'Audit Report'!O138</f>
        <v/>
      </c>
      <c r="N138" t="str" cm="1">
        <f t="array" ref="N138">IF(M138="","",
_xlfn.TEXTJOIN(", ",TRUE,
    _xlfn.MAP(_xlfn.TEXTSPLIT(M138,","),_xlfn.LAMBDA(_xlpm.x,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8" t="str">
        <f>'Audit Report'!F138</f>
        <v/>
      </c>
      <c r="S138" t="str">
        <f>'Audit Report'!Q138</f>
        <v/>
      </c>
    </row>
    <row r="139" spans="4:19">
      <c r="D139" t="str">
        <f>'Audit Report'!B139</f>
        <v>ITD-SHRXXX-XX138</v>
      </c>
      <c r="E139" t="str">
        <f>'Audit Report'!C139</f>
        <v/>
      </c>
      <c r="I139" t="str">
        <f>_xlfn.XLOOKUP('Audit Report'!D139,Models!G:G,Models!I:I,'Audit Report'!D139,0,1)</f>
        <v/>
      </c>
      <c r="J139" t="str">
        <f>_xlfn.TEXTJOIN(" ",TRUE,'Audit Report'!G139,'Audit Report'!H139)</f>
        <v/>
      </c>
      <c r="L139" t="str">
        <f>_xlfn.TEXTJOIN(", ", TRUE, 'Audit Report'!K139,'Audit Report'!L139,'Audit Report'!M139)</f>
        <v/>
      </c>
      <c r="M139" t="str">
        <f>'Audit Report'!O139</f>
        <v/>
      </c>
      <c r="N139" t="str" cm="1">
        <f t="array" ref="N139">IF(M139="","",
_xlfn.TEXTJOIN(", ",TRUE,
    _xlfn.MAP(_xlfn.TEXTSPLIT(M139,","),_xlfn.LAMBDA(_xlpm.x,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9" t="str">
        <f>'Audit Report'!F139</f>
        <v/>
      </c>
      <c r="S139" t="str">
        <f>'Audit Report'!Q139</f>
        <v/>
      </c>
    </row>
    <row r="140" spans="4:19">
      <c r="D140" t="str">
        <f>'Audit Report'!B140</f>
        <v>ITD-SHRXXX-XX139</v>
      </c>
      <c r="E140" t="str">
        <f>'Audit Report'!C140</f>
        <v/>
      </c>
      <c r="I140" t="str">
        <f>_xlfn.XLOOKUP('Audit Report'!D140,Models!G:G,Models!I:I,'Audit Report'!D140,0,1)</f>
        <v/>
      </c>
      <c r="J140" t="str">
        <f>_xlfn.TEXTJOIN(" ",TRUE,'Audit Report'!G140,'Audit Report'!H140)</f>
        <v/>
      </c>
      <c r="L140" t="str">
        <f>_xlfn.TEXTJOIN(", ", TRUE, 'Audit Report'!K140,'Audit Report'!L140,'Audit Report'!M140)</f>
        <v/>
      </c>
      <c r="M140" t="str">
        <f>'Audit Report'!O140</f>
        <v/>
      </c>
      <c r="N140" t="str" cm="1">
        <f t="array" ref="N140">IF(M140="","",
_xlfn.TEXTJOIN(", ",TRUE,
    _xlfn.MAP(_xlfn.TEXTSPLIT(M140,","),_xlfn.LAMBDA(_xlpm.x,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0" t="str">
        <f>'Audit Report'!F140</f>
        <v/>
      </c>
      <c r="S140" t="str">
        <f>'Audit Report'!Q140</f>
        <v/>
      </c>
    </row>
    <row r="141" spans="4:19">
      <c r="D141" t="str">
        <f>'Audit Report'!B141</f>
        <v>ITD-SHRXXX-XX140</v>
      </c>
      <c r="E141" t="str">
        <f>'Audit Report'!C141</f>
        <v/>
      </c>
      <c r="I141" t="str">
        <f>_xlfn.XLOOKUP('Audit Report'!D141,Models!G:G,Models!I:I,'Audit Report'!D141,0,1)</f>
        <v/>
      </c>
      <c r="J141" t="str">
        <f>_xlfn.TEXTJOIN(" ",TRUE,'Audit Report'!G141,'Audit Report'!H141)</f>
        <v/>
      </c>
      <c r="L141" t="str">
        <f>_xlfn.TEXTJOIN(", ", TRUE, 'Audit Report'!K141,'Audit Report'!L141,'Audit Report'!M141)</f>
        <v/>
      </c>
      <c r="M141" t="str">
        <f>'Audit Report'!O141</f>
        <v/>
      </c>
      <c r="N141" t="str" cm="1">
        <f t="array" ref="N141">IF(M141="","",
_xlfn.TEXTJOIN(", ",TRUE,
    _xlfn.MAP(_xlfn.TEXTSPLIT(M141,","),_xlfn.LAMBDA(_xlpm.x,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1" t="str">
        <f>'Audit Report'!F141</f>
        <v/>
      </c>
      <c r="S141" t="str">
        <f>'Audit Report'!Q141</f>
        <v/>
      </c>
    </row>
    <row r="142" spans="4:19">
      <c r="D142" t="str">
        <f>'Audit Report'!B142</f>
        <v>ITD-SHRXXX-XX141</v>
      </c>
      <c r="E142" t="str">
        <f>'Audit Report'!C142</f>
        <v/>
      </c>
      <c r="I142" t="str">
        <f>_xlfn.XLOOKUP('Audit Report'!D142,Models!G:G,Models!I:I,'Audit Report'!D142,0,1)</f>
        <v/>
      </c>
      <c r="J142" t="str">
        <f>_xlfn.TEXTJOIN(" ",TRUE,'Audit Report'!G142,'Audit Report'!H142)</f>
        <v/>
      </c>
      <c r="L142" t="str">
        <f>_xlfn.TEXTJOIN(", ", TRUE, 'Audit Report'!K142,'Audit Report'!L142,'Audit Report'!M142)</f>
        <v/>
      </c>
      <c r="M142" t="str">
        <f>'Audit Report'!O142</f>
        <v/>
      </c>
      <c r="N142" t="str" cm="1">
        <f t="array" ref="N142">IF(M142="","",
_xlfn.TEXTJOIN(", ",TRUE,
    _xlfn.MAP(_xlfn.TEXTSPLIT(M142,","),_xlfn.LAMBDA(_xlpm.x,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2" t="str">
        <f>'Audit Report'!F142</f>
        <v/>
      </c>
      <c r="S142" t="str">
        <f>'Audit Report'!Q142</f>
        <v/>
      </c>
    </row>
    <row r="143" spans="4:19">
      <c r="D143" t="str">
        <f>'Audit Report'!B143</f>
        <v>ITD-SHRXXX-XX142</v>
      </c>
      <c r="E143" t="str">
        <f>'Audit Report'!C143</f>
        <v/>
      </c>
      <c r="I143" t="str">
        <f>_xlfn.XLOOKUP('Audit Report'!D143,Models!G:G,Models!I:I,'Audit Report'!D143,0,1)</f>
        <v/>
      </c>
      <c r="J143" t="str">
        <f>_xlfn.TEXTJOIN(" ",TRUE,'Audit Report'!G143,'Audit Report'!H143)</f>
        <v/>
      </c>
      <c r="L143" t="str">
        <f>_xlfn.TEXTJOIN(", ", TRUE, 'Audit Report'!K143,'Audit Report'!L143,'Audit Report'!M143)</f>
        <v/>
      </c>
      <c r="M143" t="str">
        <f>'Audit Report'!O143</f>
        <v/>
      </c>
      <c r="N143" t="str" cm="1">
        <f t="array" ref="N143">IF(M143="","",
_xlfn.TEXTJOIN(", ",TRUE,
    _xlfn.MAP(_xlfn.TEXTSPLIT(M143,","),_xlfn.LAMBDA(_xlpm.x,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3" t="str">
        <f>'Audit Report'!F143</f>
        <v/>
      </c>
      <c r="S143" t="str">
        <f>'Audit Report'!Q143</f>
        <v/>
      </c>
    </row>
    <row r="144" spans="4:19">
      <c r="D144" t="str">
        <f>'Audit Report'!B144</f>
        <v>ITD-SHRXXX-XX143</v>
      </c>
      <c r="E144" t="str">
        <f>'Audit Report'!C144</f>
        <v/>
      </c>
      <c r="I144" t="str">
        <f>_xlfn.XLOOKUP('Audit Report'!D144,Models!G:G,Models!I:I,'Audit Report'!D144,0,1)</f>
        <v/>
      </c>
      <c r="J144" t="str">
        <f>_xlfn.TEXTJOIN(" ",TRUE,'Audit Report'!G144,'Audit Report'!H144)</f>
        <v/>
      </c>
      <c r="L144" t="str">
        <f>_xlfn.TEXTJOIN(", ", TRUE, 'Audit Report'!K144,'Audit Report'!L144,'Audit Report'!M144)</f>
        <v/>
      </c>
      <c r="M144" t="str">
        <f>'Audit Report'!O144</f>
        <v/>
      </c>
      <c r="N144" t="str" cm="1">
        <f t="array" ref="N144">IF(M144="","",
_xlfn.TEXTJOIN(", ",TRUE,
    _xlfn.MAP(_xlfn.TEXTSPLIT(M144,","),_xlfn.LAMBDA(_xlpm.x,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4" t="str">
        <f>'Audit Report'!F144</f>
        <v/>
      </c>
      <c r="S144" t="str">
        <f>'Audit Report'!Q144</f>
        <v/>
      </c>
    </row>
    <row r="145" spans="4:19">
      <c r="D145" t="str">
        <f>'Audit Report'!B145</f>
        <v>ITD-SHRXXX-XX144</v>
      </c>
      <c r="E145" t="str">
        <f>'Audit Report'!C145</f>
        <v/>
      </c>
      <c r="I145" t="str">
        <f>_xlfn.XLOOKUP('Audit Report'!D145,Models!G:G,Models!I:I,'Audit Report'!D145,0,1)</f>
        <v/>
      </c>
      <c r="J145" t="str">
        <f>_xlfn.TEXTJOIN(" ",TRUE,'Audit Report'!G145,'Audit Report'!H145)</f>
        <v/>
      </c>
      <c r="L145" t="str">
        <f>_xlfn.TEXTJOIN(", ", TRUE, 'Audit Report'!K145,'Audit Report'!L145,'Audit Report'!M145)</f>
        <v/>
      </c>
      <c r="M145" t="str">
        <f>'Audit Report'!O145</f>
        <v/>
      </c>
      <c r="N145" t="str" cm="1">
        <f t="array" ref="N145">IF(M145="","",
_xlfn.TEXTJOIN(", ",TRUE,
    _xlfn.MAP(_xlfn.TEXTSPLIT(M145,","),_xlfn.LAMBDA(_xlpm.x,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5" t="str">
        <f>'Audit Report'!F145</f>
        <v/>
      </c>
      <c r="S145" t="str">
        <f>'Audit Report'!Q145</f>
        <v/>
      </c>
    </row>
    <row r="146" spans="4:19">
      <c r="D146" t="str">
        <f>'Audit Report'!B146</f>
        <v>ITD-SHRXXX-XX145</v>
      </c>
      <c r="E146" t="str">
        <f>'Audit Report'!C146</f>
        <v/>
      </c>
      <c r="I146" t="str">
        <f>_xlfn.XLOOKUP('Audit Report'!D146,Models!G:G,Models!I:I,'Audit Report'!D146,0,1)</f>
        <v/>
      </c>
      <c r="J146" t="str">
        <f>_xlfn.TEXTJOIN(" ",TRUE,'Audit Report'!G146,'Audit Report'!H146)</f>
        <v/>
      </c>
      <c r="L146" t="str">
        <f>_xlfn.TEXTJOIN(", ", TRUE, 'Audit Report'!K146,'Audit Report'!L146,'Audit Report'!M146)</f>
        <v/>
      </c>
      <c r="M146" t="str">
        <f>'Audit Report'!O146</f>
        <v/>
      </c>
      <c r="N146" t="str" cm="1">
        <f t="array" ref="N146">IF(M146="","",
_xlfn.TEXTJOIN(", ",TRUE,
    _xlfn.MAP(_xlfn.TEXTSPLIT(M146,","),_xlfn.LAMBDA(_xlpm.x,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6" t="str">
        <f>'Audit Report'!F146</f>
        <v/>
      </c>
      <c r="S146" t="str">
        <f>'Audit Report'!Q146</f>
        <v/>
      </c>
    </row>
    <row r="147" spans="4:19">
      <c r="D147" t="str">
        <f>'Audit Report'!B147</f>
        <v>ITD-SHRXXX-XX146</v>
      </c>
      <c r="E147" t="str">
        <f>'Audit Report'!C147</f>
        <v/>
      </c>
      <c r="I147" t="str">
        <f>_xlfn.XLOOKUP('Audit Report'!D147,Models!G:G,Models!I:I,'Audit Report'!D147,0,1)</f>
        <v/>
      </c>
      <c r="J147" t="str">
        <f>_xlfn.TEXTJOIN(" ",TRUE,'Audit Report'!G147,'Audit Report'!H147)</f>
        <v/>
      </c>
      <c r="L147" t="str">
        <f>_xlfn.TEXTJOIN(", ", TRUE, 'Audit Report'!K147,'Audit Report'!L147,'Audit Report'!M147)</f>
        <v/>
      </c>
      <c r="M147" t="str">
        <f>'Audit Report'!O147</f>
        <v/>
      </c>
      <c r="N147" t="str" cm="1">
        <f t="array" ref="N147">IF(M147="","",
_xlfn.TEXTJOIN(", ",TRUE,
    _xlfn.MAP(_xlfn.TEXTSPLIT(M147,","),_xlfn.LAMBDA(_xlpm.x,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7" t="str">
        <f>'Audit Report'!F147</f>
        <v/>
      </c>
      <c r="S147" t="str">
        <f>'Audit Report'!Q147</f>
        <v/>
      </c>
    </row>
    <row r="148" spans="4:19">
      <c r="D148" t="str">
        <f>'Audit Report'!B148</f>
        <v>ITD-SHRXXX-XX147</v>
      </c>
      <c r="E148" t="str">
        <f>'Audit Report'!C148</f>
        <v/>
      </c>
      <c r="I148" t="str">
        <f>_xlfn.XLOOKUP('Audit Report'!D148,Models!G:G,Models!I:I,'Audit Report'!D148,0,1)</f>
        <v/>
      </c>
      <c r="J148" t="str">
        <f>_xlfn.TEXTJOIN(" ",TRUE,'Audit Report'!G148,'Audit Report'!H148)</f>
        <v/>
      </c>
      <c r="L148" t="str">
        <f>_xlfn.TEXTJOIN(", ", TRUE, 'Audit Report'!K148,'Audit Report'!L148,'Audit Report'!M148)</f>
        <v/>
      </c>
      <c r="M148" t="str">
        <f>'Audit Report'!O148</f>
        <v/>
      </c>
      <c r="N148" t="str" cm="1">
        <f t="array" ref="N148">IF(M148="","",
_xlfn.TEXTJOIN(", ",TRUE,
    _xlfn.MAP(_xlfn.TEXTSPLIT(M148,","),_xlfn.LAMBDA(_xlpm.x,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8" t="str">
        <f>'Audit Report'!F148</f>
        <v/>
      </c>
      <c r="S148" t="str">
        <f>'Audit Report'!Q148</f>
        <v/>
      </c>
    </row>
    <row r="149" spans="4:19">
      <c r="D149" t="str">
        <f>'Audit Report'!B149</f>
        <v>ITD-SHRXXX-XX148</v>
      </c>
      <c r="E149" t="str">
        <f>'Audit Report'!C149</f>
        <v/>
      </c>
      <c r="I149" t="str">
        <f>_xlfn.XLOOKUP('Audit Report'!D149,Models!G:G,Models!I:I,'Audit Report'!D149,0,1)</f>
        <v/>
      </c>
      <c r="J149" t="str">
        <f>_xlfn.TEXTJOIN(" ",TRUE,'Audit Report'!G149,'Audit Report'!H149)</f>
        <v/>
      </c>
      <c r="L149" t="str">
        <f>_xlfn.TEXTJOIN(", ", TRUE, 'Audit Report'!K149,'Audit Report'!L149,'Audit Report'!M149)</f>
        <v/>
      </c>
      <c r="M149" t="str">
        <f>'Audit Report'!O149</f>
        <v/>
      </c>
      <c r="N149" t="str" cm="1">
        <f t="array" ref="N149">IF(M149="","",
_xlfn.TEXTJOIN(", ",TRUE,
    _xlfn.MAP(_xlfn.TEXTSPLIT(M149,","),_xlfn.LAMBDA(_xlpm.x,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9" t="str">
        <f>'Audit Report'!F149</f>
        <v/>
      </c>
      <c r="S149" t="str">
        <f>'Audit Report'!Q149</f>
        <v/>
      </c>
    </row>
    <row r="150" spans="4:19">
      <c r="D150" t="str">
        <f>'Audit Report'!B150</f>
        <v>ITD-SHRXXX-XX149</v>
      </c>
      <c r="E150" t="str">
        <f>'Audit Report'!C150</f>
        <v/>
      </c>
      <c r="I150" t="str">
        <f>_xlfn.XLOOKUP('Audit Report'!D150,Models!G:G,Models!I:I,'Audit Report'!D150,0,1)</f>
        <v/>
      </c>
      <c r="J150" t="str">
        <f>_xlfn.TEXTJOIN(" ",TRUE,'Audit Report'!G150,'Audit Report'!H150)</f>
        <v/>
      </c>
      <c r="L150" t="str">
        <f>_xlfn.TEXTJOIN(", ", TRUE, 'Audit Report'!K150,'Audit Report'!L150,'Audit Report'!M150)</f>
        <v/>
      </c>
      <c r="M150" t="str">
        <f>'Audit Report'!O150</f>
        <v/>
      </c>
      <c r="N150" t="str" cm="1">
        <f t="array" ref="N150">IF(M150="","",
_xlfn.TEXTJOIN(", ",TRUE,
    _xlfn.MAP(_xlfn.TEXTSPLIT(M150,","),_xlfn.LAMBDA(_xlpm.x,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0" t="str">
        <f>'Audit Report'!F150</f>
        <v/>
      </c>
      <c r="S150" t="str">
        <f>'Audit Report'!Q150</f>
        <v/>
      </c>
    </row>
    <row r="151" spans="4:19">
      <c r="D151" t="str">
        <f>'Audit Report'!B151</f>
        <v>ITD-SHRXXX-XX150</v>
      </c>
      <c r="E151" t="str">
        <f>'Audit Report'!C151</f>
        <v/>
      </c>
      <c r="I151" t="str">
        <f>_xlfn.XLOOKUP('Audit Report'!D151,Models!G:G,Models!I:I,'Audit Report'!D151,0,1)</f>
        <v/>
      </c>
      <c r="J151" t="str">
        <f>_xlfn.TEXTJOIN(" ",TRUE,'Audit Report'!G151,'Audit Report'!H151)</f>
        <v/>
      </c>
      <c r="L151" t="str">
        <f>_xlfn.TEXTJOIN(", ", TRUE, 'Audit Report'!K151,'Audit Report'!L151,'Audit Report'!M151)</f>
        <v/>
      </c>
      <c r="M151" t="str">
        <f>'Audit Report'!O151</f>
        <v/>
      </c>
      <c r="N151" t="str" cm="1">
        <f t="array" ref="N151">IF(M151="","",
_xlfn.TEXTJOIN(", ",TRUE,
    _xlfn.MAP(_xlfn.TEXTSPLIT(M151,","),_xlfn.LAMBDA(_xlpm.x,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1" t="str">
        <f>'Audit Report'!F151</f>
        <v/>
      </c>
      <c r="S151" t="str">
        <f>'Audit Report'!Q151</f>
        <v/>
      </c>
    </row>
    <row r="152" spans="4:19">
      <c r="D152" t="str">
        <f>'Audit Report'!B152</f>
        <v>ITD-SHRXXX-XX151</v>
      </c>
      <c r="E152" t="str">
        <f>'Audit Report'!C152</f>
        <v/>
      </c>
      <c r="I152" t="str">
        <f>_xlfn.XLOOKUP('Audit Report'!D152,Models!G:G,Models!I:I,'Audit Report'!D152,0,1)</f>
        <v/>
      </c>
      <c r="J152" t="str">
        <f>_xlfn.TEXTJOIN(" ",TRUE,'Audit Report'!G152,'Audit Report'!H152)</f>
        <v/>
      </c>
      <c r="L152" t="str">
        <f>_xlfn.TEXTJOIN(", ", TRUE, 'Audit Report'!K152,'Audit Report'!L152,'Audit Report'!M152)</f>
        <v/>
      </c>
      <c r="M152" t="str">
        <f>'Audit Report'!O152</f>
        <v/>
      </c>
      <c r="N152" t="str" cm="1">
        <f t="array" ref="N152">IF(M152="","",
_xlfn.TEXTJOIN(", ",TRUE,
    _xlfn.MAP(_xlfn.TEXTSPLIT(M152,","),_xlfn.LAMBDA(_xlpm.x,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2" t="str">
        <f>'Audit Report'!F152</f>
        <v/>
      </c>
      <c r="S152" t="str">
        <f>'Audit Report'!Q152</f>
        <v/>
      </c>
    </row>
    <row r="153" spans="4:19">
      <c r="D153" t="str">
        <f>'Audit Report'!B153</f>
        <v>ITD-SHRXXX-XX152</v>
      </c>
      <c r="E153" t="str">
        <f>'Audit Report'!C153</f>
        <v/>
      </c>
      <c r="I153" t="str">
        <f>_xlfn.XLOOKUP('Audit Report'!D153,Models!G:G,Models!I:I,'Audit Report'!D153,0,1)</f>
        <v/>
      </c>
      <c r="J153" t="str">
        <f>_xlfn.TEXTJOIN(" ",TRUE,'Audit Report'!G153,'Audit Report'!H153)</f>
        <v/>
      </c>
      <c r="L153" t="str">
        <f>_xlfn.TEXTJOIN(", ", TRUE, 'Audit Report'!K153,'Audit Report'!L153,'Audit Report'!M153)</f>
        <v/>
      </c>
      <c r="M153" t="str">
        <f>'Audit Report'!O153</f>
        <v/>
      </c>
      <c r="N153" t="str" cm="1">
        <f t="array" ref="N153">IF(M153="","",
_xlfn.TEXTJOIN(", ",TRUE,
    _xlfn.MAP(_xlfn.TEXTSPLIT(M153,","),_xlfn.LAMBDA(_xlpm.x,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3" t="str">
        <f>'Audit Report'!F153</f>
        <v/>
      </c>
      <c r="S153" t="str">
        <f>'Audit Report'!Q153</f>
        <v/>
      </c>
    </row>
    <row r="154" spans="4:19">
      <c r="D154" t="str">
        <f>'Audit Report'!B154</f>
        <v>ITD-SHRXXX-XX153</v>
      </c>
      <c r="E154" t="str">
        <f>'Audit Report'!C154</f>
        <v/>
      </c>
      <c r="I154" t="str">
        <f>_xlfn.XLOOKUP('Audit Report'!D154,Models!G:G,Models!I:I,'Audit Report'!D154,0,1)</f>
        <v/>
      </c>
      <c r="J154" t="str">
        <f>_xlfn.TEXTJOIN(" ",TRUE,'Audit Report'!G154,'Audit Report'!H154)</f>
        <v/>
      </c>
      <c r="L154" t="str">
        <f>_xlfn.TEXTJOIN(", ", TRUE, 'Audit Report'!K154,'Audit Report'!L154,'Audit Report'!M154)</f>
        <v/>
      </c>
      <c r="M154" t="str">
        <f>'Audit Report'!O154</f>
        <v/>
      </c>
      <c r="N154" t="str" cm="1">
        <f t="array" ref="N154">IF(M154="","",
_xlfn.TEXTJOIN(", ",TRUE,
    _xlfn.MAP(_xlfn.TEXTSPLIT(M154,","),_xlfn.LAMBDA(_xlpm.x,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4" t="str">
        <f>'Audit Report'!F154</f>
        <v/>
      </c>
      <c r="S154" t="str">
        <f>'Audit Report'!Q154</f>
        <v/>
      </c>
    </row>
    <row r="155" spans="4:19">
      <c r="D155" t="str">
        <f>'Audit Report'!B155</f>
        <v>ITD-SHRXXX-XX154</v>
      </c>
      <c r="E155" t="str">
        <f>'Audit Report'!C155</f>
        <v/>
      </c>
      <c r="I155" t="str">
        <f>_xlfn.XLOOKUP('Audit Report'!D155,Models!G:G,Models!I:I,'Audit Report'!D155,0,1)</f>
        <v/>
      </c>
      <c r="J155" t="str">
        <f>_xlfn.TEXTJOIN(" ",TRUE,'Audit Report'!G155,'Audit Report'!H155)</f>
        <v/>
      </c>
      <c r="L155" t="str">
        <f>_xlfn.TEXTJOIN(", ", TRUE, 'Audit Report'!K155,'Audit Report'!L155,'Audit Report'!M155)</f>
        <v/>
      </c>
      <c r="M155" t="str">
        <f>'Audit Report'!O155</f>
        <v/>
      </c>
      <c r="N155" t="str" cm="1">
        <f t="array" ref="N155">IF(M155="","",
_xlfn.TEXTJOIN(", ",TRUE,
    _xlfn.MAP(_xlfn.TEXTSPLIT(M155,","),_xlfn.LAMBDA(_xlpm.x,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5" t="str">
        <f>'Audit Report'!F155</f>
        <v/>
      </c>
      <c r="S155" t="str">
        <f>'Audit Report'!Q155</f>
        <v/>
      </c>
    </row>
    <row r="156" spans="4:19">
      <c r="D156" t="str">
        <f>'Audit Report'!B156</f>
        <v>ITD-SHRXXX-XX155</v>
      </c>
      <c r="E156" t="str">
        <f>'Audit Report'!C156</f>
        <v/>
      </c>
      <c r="I156" t="str">
        <f>_xlfn.XLOOKUP('Audit Report'!D156,Models!G:G,Models!I:I,'Audit Report'!D156,0,1)</f>
        <v/>
      </c>
      <c r="J156" t="str">
        <f>_xlfn.TEXTJOIN(" ",TRUE,'Audit Report'!G156,'Audit Report'!H156)</f>
        <v/>
      </c>
      <c r="L156" t="str">
        <f>_xlfn.TEXTJOIN(", ", TRUE, 'Audit Report'!K156,'Audit Report'!L156,'Audit Report'!M156)</f>
        <v/>
      </c>
      <c r="M156" t="str">
        <f>'Audit Report'!O156</f>
        <v/>
      </c>
      <c r="N156" t="str" cm="1">
        <f t="array" ref="N156">IF(M156="","",
_xlfn.TEXTJOIN(", ",TRUE,
    _xlfn.MAP(_xlfn.TEXTSPLIT(M156,","),_xlfn.LAMBDA(_xlpm.x,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6" t="str">
        <f>'Audit Report'!F156</f>
        <v/>
      </c>
      <c r="S156" t="str">
        <f>'Audit Report'!Q156</f>
        <v/>
      </c>
    </row>
    <row r="157" spans="4:19">
      <c r="D157" t="str">
        <f>'Audit Report'!B157</f>
        <v>ITD-SHRXXX-XX156</v>
      </c>
      <c r="E157" t="str">
        <f>'Audit Report'!C157</f>
        <v/>
      </c>
      <c r="I157" t="str">
        <f>_xlfn.XLOOKUP('Audit Report'!D157,Models!G:G,Models!I:I,'Audit Report'!D157,0,1)</f>
        <v/>
      </c>
      <c r="J157" t="str">
        <f>_xlfn.TEXTJOIN(" ",TRUE,'Audit Report'!G157,'Audit Report'!H157)</f>
        <v/>
      </c>
      <c r="L157" t="str">
        <f>_xlfn.TEXTJOIN(", ", TRUE, 'Audit Report'!K157,'Audit Report'!L157,'Audit Report'!M157)</f>
        <v/>
      </c>
      <c r="M157" t="str">
        <f>'Audit Report'!O157</f>
        <v/>
      </c>
      <c r="N157" t="str" cm="1">
        <f t="array" ref="N157">IF(M157="","",
_xlfn.TEXTJOIN(", ",TRUE,
    _xlfn.MAP(_xlfn.TEXTSPLIT(M157,","),_xlfn.LAMBDA(_xlpm.x,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7" t="str">
        <f>'Audit Report'!F157</f>
        <v/>
      </c>
      <c r="S157" t="str">
        <f>'Audit Report'!Q157</f>
        <v/>
      </c>
    </row>
    <row r="158" spans="4:19">
      <c r="D158" t="str">
        <f>'Audit Report'!B158</f>
        <v>ITD-SHRXXX-XX157</v>
      </c>
      <c r="E158" t="str">
        <f>'Audit Report'!C158</f>
        <v/>
      </c>
      <c r="I158" t="str">
        <f>_xlfn.XLOOKUP('Audit Report'!D158,Models!G:G,Models!I:I,'Audit Report'!D158,0,1)</f>
        <v/>
      </c>
      <c r="J158" t="str">
        <f>_xlfn.TEXTJOIN(" ",TRUE,'Audit Report'!G158,'Audit Report'!H158)</f>
        <v/>
      </c>
      <c r="L158" t="str">
        <f>_xlfn.TEXTJOIN(", ", TRUE, 'Audit Report'!K158,'Audit Report'!L158,'Audit Report'!M158)</f>
        <v/>
      </c>
      <c r="M158" t="str">
        <f>'Audit Report'!O158</f>
        <v/>
      </c>
      <c r="N158" t="str" cm="1">
        <f t="array" ref="N158">IF(M158="","",
_xlfn.TEXTJOIN(", ",TRUE,
    _xlfn.MAP(_xlfn.TEXTSPLIT(M158,","),_xlfn.LAMBDA(_xlpm.x,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8" t="str">
        <f>'Audit Report'!F158</f>
        <v/>
      </c>
      <c r="S158" t="str">
        <f>'Audit Report'!Q158</f>
        <v/>
      </c>
    </row>
    <row r="159" spans="4:19">
      <c r="D159" t="str">
        <f>'Audit Report'!B159</f>
        <v>ITD-SHRXXX-XX158</v>
      </c>
      <c r="E159" t="str">
        <f>'Audit Report'!C159</f>
        <v/>
      </c>
      <c r="I159" t="str">
        <f>_xlfn.XLOOKUP('Audit Report'!D159,Models!G:G,Models!I:I,'Audit Report'!D159,0,1)</f>
        <v/>
      </c>
      <c r="J159" t="str">
        <f>_xlfn.TEXTJOIN(" ",TRUE,'Audit Report'!G159,'Audit Report'!H159)</f>
        <v/>
      </c>
      <c r="L159" t="str">
        <f>_xlfn.TEXTJOIN(", ", TRUE, 'Audit Report'!K159,'Audit Report'!L159,'Audit Report'!M159)</f>
        <v/>
      </c>
      <c r="M159" t="str">
        <f>'Audit Report'!O159</f>
        <v/>
      </c>
      <c r="N159" t="str" cm="1">
        <f t="array" ref="N159">IF(M159="","",
_xlfn.TEXTJOIN(", ",TRUE,
    _xlfn.MAP(_xlfn.TEXTSPLIT(M159,","),_xlfn.LAMBDA(_xlpm.x,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9" t="str">
        <f>'Audit Report'!F159</f>
        <v/>
      </c>
      <c r="S159" t="str">
        <f>'Audit Report'!Q159</f>
        <v/>
      </c>
    </row>
    <row r="160" spans="4:19">
      <c r="D160" t="str">
        <f>'Audit Report'!B160</f>
        <v>ITD-SHRXXX-XX159</v>
      </c>
      <c r="E160" t="str">
        <f>'Audit Report'!C160</f>
        <v/>
      </c>
      <c r="I160" t="str">
        <f>_xlfn.XLOOKUP('Audit Report'!D160,Models!G:G,Models!I:I,'Audit Report'!D160,0,1)</f>
        <v/>
      </c>
      <c r="J160" t="str">
        <f>_xlfn.TEXTJOIN(" ",TRUE,'Audit Report'!G160,'Audit Report'!H160)</f>
        <v/>
      </c>
      <c r="L160" t="str">
        <f>_xlfn.TEXTJOIN(", ", TRUE, 'Audit Report'!K160,'Audit Report'!L160,'Audit Report'!M160)</f>
        <v/>
      </c>
      <c r="M160" t="str">
        <f>'Audit Report'!O160</f>
        <v/>
      </c>
      <c r="N160" t="str" cm="1">
        <f t="array" ref="N160">IF(M160="","",
_xlfn.TEXTJOIN(", ",TRUE,
    _xlfn.MAP(_xlfn.TEXTSPLIT(M160,","),_xlfn.LAMBDA(_xlpm.x,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0" t="str">
        <f>'Audit Report'!F160</f>
        <v/>
      </c>
      <c r="S160" t="str">
        <f>'Audit Report'!Q160</f>
        <v/>
      </c>
    </row>
    <row r="161" spans="4:19">
      <c r="D161" t="str">
        <f>'Audit Report'!B161</f>
        <v>ITD-SHRXXX-XX160</v>
      </c>
      <c r="E161" t="str">
        <f>'Audit Report'!C161</f>
        <v/>
      </c>
      <c r="I161" t="str">
        <f>_xlfn.XLOOKUP('Audit Report'!D161,Models!G:G,Models!I:I,'Audit Report'!D161,0,1)</f>
        <v/>
      </c>
      <c r="J161" t="str">
        <f>_xlfn.TEXTJOIN(" ",TRUE,'Audit Report'!G161,'Audit Report'!H161)</f>
        <v/>
      </c>
      <c r="L161" t="str">
        <f>_xlfn.TEXTJOIN(", ", TRUE, 'Audit Report'!K161,'Audit Report'!L161,'Audit Report'!M161)</f>
        <v/>
      </c>
      <c r="M161" t="str">
        <f>'Audit Report'!O161</f>
        <v/>
      </c>
      <c r="N161" t="str" cm="1">
        <f t="array" ref="N161">IF(M161="","",
_xlfn.TEXTJOIN(", ",TRUE,
    _xlfn.MAP(_xlfn.TEXTSPLIT(M161,","),_xlfn.LAMBDA(_xlpm.x,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1" t="str">
        <f>'Audit Report'!F161</f>
        <v/>
      </c>
      <c r="S161" t="str">
        <f>'Audit Report'!Q161</f>
        <v/>
      </c>
    </row>
    <row r="162" spans="4:19">
      <c r="D162" t="str">
        <f>'Audit Report'!B162</f>
        <v>ITD-SHRXXX-XX161</v>
      </c>
      <c r="E162" t="str">
        <f>'Audit Report'!C162</f>
        <v/>
      </c>
      <c r="I162" t="str">
        <f>_xlfn.XLOOKUP('Audit Report'!D162,Models!G:G,Models!I:I,'Audit Report'!D162,0,1)</f>
        <v/>
      </c>
      <c r="J162" t="str">
        <f>_xlfn.TEXTJOIN(" ",TRUE,'Audit Report'!G162,'Audit Report'!H162)</f>
        <v/>
      </c>
      <c r="L162" t="str">
        <f>_xlfn.TEXTJOIN(", ", TRUE, 'Audit Report'!K162,'Audit Report'!L162,'Audit Report'!M162)</f>
        <v/>
      </c>
      <c r="M162" t="str">
        <f>'Audit Report'!O162</f>
        <v/>
      </c>
      <c r="N162" t="str" cm="1">
        <f t="array" ref="N162">IF(M162="","",
_xlfn.TEXTJOIN(", ",TRUE,
    _xlfn.MAP(_xlfn.TEXTSPLIT(M162,","),_xlfn.LAMBDA(_xlpm.x,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2" t="str">
        <f>'Audit Report'!F162</f>
        <v/>
      </c>
      <c r="S162" t="str">
        <f>'Audit Report'!Q162</f>
        <v/>
      </c>
    </row>
    <row r="163" spans="4:19">
      <c r="D163" t="str">
        <f>'Audit Report'!B163</f>
        <v>ITD-SHRXXX-XX162</v>
      </c>
      <c r="E163" t="str">
        <f>'Audit Report'!C163</f>
        <v/>
      </c>
      <c r="I163" t="str">
        <f>_xlfn.XLOOKUP('Audit Report'!D163,Models!G:G,Models!I:I,'Audit Report'!D163,0,1)</f>
        <v/>
      </c>
      <c r="J163" t="str">
        <f>_xlfn.TEXTJOIN(" ",TRUE,'Audit Report'!G163,'Audit Report'!H163)</f>
        <v/>
      </c>
      <c r="L163" t="str">
        <f>_xlfn.TEXTJOIN(", ", TRUE, 'Audit Report'!K163,'Audit Report'!L163,'Audit Report'!M163)</f>
        <v/>
      </c>
      <c r="M163" t="str">
        <f>'Audit Report'!O163</f>
        <v/>
      </c>
      <c r="N163" t="str" cm="1">
        <f t="array" ref="N163">IF(M163="","",
_xlfn.TEXTJOIN(", ",TRUE,
    _xlfn.MAP(_xlfn.TEXTSPLIT(M163,","),_xlfn.LAMBDA(_xlpm.x,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3" t="str">
        <f>'Audit Report'!F163</f>
        <v/>
      </c>
      <c r="S163" t="str">
        <f>'Audit Report'!Q163</f>
        <v/>
      </c>
    </row>
    <row r="164" spans="4:19">
      <c r="D164" t="str">
        <f>'Audit Report'!B164</f>
        <v>ITD-SHRXXX-XX163</v>
      </c>
      <c r="E164" t="str">
        <f>'Audit Report'!C164</f>
        <v/>
      </c>
      <c r="I164" t="str">
        <f>_xlfn.XLOOKUP('Audit Report'!D164,Models!G:G,Models!I:I,'Audit Report'!D164,0,1)</f>
        <v/>
      </c>
      <c r="J164" t="str">
        <f>_xlfn.TEXTJOIN(" ",TRUE,'Audit Report'!G164,'Audit Report'!H164)</f>
        <v/>
      </c>
      <c r="L164" t="str">
        <f>_xlfn.TEXTJOIN(", ", TRUE, 'Audit Report'!K164,'Audit Report'!L164,'Audit Report'!M164)</f>
        <v/>
      </c>
      <c r="M164" t="str">
        <f>'Audit Report'!O164</f>
        <v/>
      </c>
      <c r="N164" t="str" cm="1">
        <f t="array" ref="N164">IF(M164="","",
_xlfn.TEXTJOIN(", ",TRUE,
    _xlfn.MAP(_xlfn.TEXTSPLIT(M164,","),_xlfn.LAMBDA(_xlpm.x,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4" t="str">
        <f>'Audit Report'!F164</f>
        <v/>
      </c>
      <c r="S164" t="str">
        <f>'Audit Report'!Q164</f>
        <v/>
      </c>
    </row>
    <row r="165" spans="4:19">
      <c r="D165" t="str">
        <f>'Audit Report'!B165</f>
        <v>ITD-SHRXXX-XX164</v>
      </c>
      <c r="E165" t="str">
        <f>'Audit Report'!C165</f>
        <v/>
      </c>
      <c r="I165" t="str">
        <f>_xlfn.XLOOKUP('Audit Report'!D165,Models!G:G,Models!I:I,'Audit Report'!D165,0,1)</f>
        <v/>
      </c>
      <c r="J165" t="str">
        <f>_xlfn.TEXTJOIN(" ",TRUE,'Audit Report'!G165,'Audit Report'!H165)</f>
        <v/>
      </c>
      <c r="L165" t="str">
        <f>_xlfn.TEXTJOIN(", ", TRUE, 'Audit Report'!K165,'Audit Report'!L165,'Audit Report'!M165)</f>
        <v/>
      </c>
      <c r="M165" t="str">
        <f>'Audit Report'!O165</f>
        <v/>
      </c>
      <c r="N165" t="str" cm="1">
        <f t="array" ref="N165">IF(M165="","",
_xlfn.TEXTJOIN(", ",TRUE,
    _xlfn.MAP(_xlfn.TEXTSPLIT(M165,","),_xlfn.LAMBDA(_xlpm.x,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5" t="str">
        <f>'Audit Report'!F165</f>
        <v/>
      </c>
      <c r="S165" t="str">
        <f>'Audit Report'!Q165</f>
        <v/>
      </c>
    </row>
    <row r="166" spans="4:19">
      <c r="D166" t="str">
        <f>'Audit Report'!B166</f>
        <v>ITD-SHRXXX-XX165</v>
      </c>
      <c r="E166" t="str">
        <f>'Audit Report'!C166</f>
        <v/>
      </c>
      <c r="I166" t="str">
        <f>_xlfn.XLOOKUP('Audit Report'!D166,Models!G:G,Models!I:I,'Audit Report'!D166,0,1)</f>
        <v/>
      </c>
      <c r="J166" t="str">
        <f>_xlfn.TEXTJOIN(" ",TRUE,'Audit Report'!G166,'Audit Report'!H166)</f>
        <v/>
      </c>
      <c r="L166" t="str">
        <f>_xlfn.TEXTJOIN(", ", TRUE, 'Audit Report'!K166,'Audit Report'!L166,'Audit Report'!M166)</f>
        <v/>
      </c>
      <c r="M166" t="str">
        <f>'Audit Report'!O166</f>
        <v/>
      </c>
      <c r="N166" t="str" cm="1">
        <f t="array" ref="N166">IF(M166="","",
_xlfn.TEXTJOIN(", ",TRUE,
    _xlfn.MAP(_xlfn.TEXTSPLIT(M166,","),_xlfn.LAMBDA(_xlpm.x,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6" t="str">
        <f>'Audit Report'!F166</f>
        <v/>
      </c>
      <c r="S166" t="str">
        <f>'Audit Report'!Q166</f>
        <v/>
      </c>
    </row>
    <row r="167" spans="4:19">
      <c r="D167" t="str">
        <f>'Audit Report'!B167</f>
        <v>ITD-SHRXXX-XX166</v>
      </c>
      <c r="E167" t="str">
        <f>'Audit Report'!C167</f>
        <v/>
      </c>
      <c r="I167" t="str">
        <f>_xlfn.XLOOKUP('Audit Report'!D167,Models!G:G,Models!I:I,'Audit Report'!D167,0,1)</f>
        <v/>
      </c>
      <c r="J167" t="str">
        <f>_xlfn.TEXTJOIN(" ",TRUE,'Audit Report'!G167,'Audit Report'!H167)</f>
        <v/>
      </c>
      <c r="L167" t="str">
        <f>_xlfn.TEXTJOIN(", ", TRUE, 'Audit Report'!K167,'Audit Report'!L167,'Audit Report'!M167)</f>
        <v/>
      </c>
      <c r="M167" t="str">
        <f>'Audit Report'!O167</f>
        <v/>
      </c>
      <c r="N167" t="str" cm="1">
        <f t="array" ref="N167">IF(M167="","",
_xlfn.TEXTJOIN(", ",TRUE,
    _xlfn.MAP(_xlfn.TEXTSPLIT(M167,","),_xlfn.LAMBDA(_xlpm.x,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7" t="str">
        <f>'Audit Report'!F167</f>
        <v/>
      </c>
      <c r="S167" t="str">
        <f>'Audit Report'!Q167</f>
        <v/>
      </c>
    </row>
    <row r="168" spans="4:19">
      <c r="D168" t="str">
        <f>'Audit Report'!B168</f>
        <v>ITD-SHRXXX-XX167</v>
      </c>
      <c r="E168" t="str">
        <f>'Audit Report'!C168</f>
        <v/>
      </c>
      <c r="I168" t="str">
        <f>_xlfn.XLOOKUP('Audit Report'!D168,Models!G:G,Models!I:I,'Audit Report'!D168,0,1)</f>
        <v/>
      </c>
      <c r="J168" t="str">
        <f>_xlfn.TEXTJOIN(" ",TRUE,'Audit Report'!G168,'Audit Report'!H168)</f>
        <v/>
      </c>
      <c r="L168" t="str">
        <f>_xlfn.TEXTJOIN(", ", TRUE, 'Audit Report'!K168,'Audit Report'!L168,'Audit Report'!M168)</f>
        <v/>
      </c>
      <c r="M168" t="str">
        <f>'Audit Report'!O168</f>
        <v/>
      </c>
      <c r="N168" t="str" cm="1">
        <f t="array" ref="N168">IF(M168="","",
_xlfn.TEXTJOIN(", ",TRUE,
    _xlfn.MAP(_xlfn.TEXTSPLIT(M168,","),_xlfn.LAMBDA(_xlpm.x,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8" t="str">
        <f>'Audit Report'!F168</f>
        <v/>
      </c>
      <c r="S168" t="str">
        <f>'Audit Report'!Q168</f>
        <v/>
      </c>
    </row>
    <row r="169" spans="4:19">
      <c r="D169" t="str">
        <f>'Audit Report'!B169</f>
        <v>ITD-SHRXXX-XX168</v>
      </c>
      <c r="E169" t="str">
        <f>'Audit Report'!C169</f>
        <v/>
      </c>
      <c r="I169" t="str">
        <f>_xlfn.XLOOKUP('Audit Report'!D169,Models!G:G,Models!I:I,'Audit Report'!D169,0,1)</f>
        <v/>
      </c>
      <c r="J169" t="str">
        <f>_xlfn.TEXTJOIN(" ",TRUE,'Audit Report'!G169,'Audit Report'!H169)</f>
        <v/>
      </c>
      <c r="L169" t="str">
        <f>_xlfn.TEXTJOIN(", ", TRUE, 'Audit Report'!K169,'Audit Report'!L169,'Audit Report'!M169)</f>
        <v/>
      </c>
      <c r="M169" t="str">
        <f>'Audit Report'!O169</f>
        <v/>
      </c>
      <c r="N169" t="str" cm="1">
        <f t="array" ref="N169">IF(M169="","",
_xlfn.TEXTJOIN(", ",TRUE,
    _xlfn.MAP(_xlfn.TEXTSPLIT(M169,","),_xlfn.LAMBDA(_xlpm.x,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9" t="str">
        <f>'Audit Report'!F169</f>
        <v/>
      </c>
      <c r="S169" t="str">
        <f>'Audit Report'!Q169</f>
        <v/>
      </c>
    </row>
    <row r="170" spans="4:19">
      <c r="D170" t="str">
        <f>'Audit Report'!B170</f>
        <v>ITD-SHRXXX-XX169</v>
      </c>
      <c r="E170" t="str">
        <f>'Audit Report'!C170</f>
        <v/>
      </c>
      <c r="I170" t="str">
        <f>_xlfn.XLOOKUP('Audit Report'!D170,Models!G:G,Models!I:I,'Audit Report'!D170,0,1)</f>
        <v/>
      </c>
      <c r="J170" t="str">
        <f>_xlfn.TEXTJOIN(" ",TRUE,'Audit Report'!G170,'Audit Report'!H170)</f>
        <v/>
      </c>
      <c r="L170" t="str">
        <f>_xlfn.TEXTJOIN(", ", TRUE, 'Audit Report'!K170,'Audit Report'!L170,'Audit Report'!M170)</f>
        <v/>
      </c>
      <c r="M170" t="str">
        <f>'Audit Report'!O170</f>
        <v/>
      </c>
      <c r="N170" t="str" cm="1">
        <f t="array" ref="N170">IF(M170="","",
_xlfn.TEXTJOIN(", ",TRUE,
    _xlfn.MAP(_xlfn.TEXTSPLIT(M170,","),_xlfn.LAMBDA(_xlpm.x,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0" t="str">
        <f>'Audit Report'!F170</f>
        <v/>
      </c>
      <c r="S170" t="str">
        <f>'Audit Report'!Q170</f>
        <v/>
      </c>
    </row>
    <row r="171" spans="4:19">
      <c r="D171" t="str">
        <f>'Audit Report'!B171</f>
        <v>ITD-SHRXXX-XX170</v>
      </c>
      <c r="E171" t="str">
        <f>'Audit Report'!C171</f>
        <v/>
      </c>
      <c r="I171" t="str">
        <f>_xlfn.XLOOKUP('Audit Report'!D171,Models!G:G,Models!I:I,'Audit Report'!D171,0,1)</f>
        <v/>
      </c>
      <c r="J171" t="str">
        <f>_xlfn.TEXTJOIN(" ",TRUE,'Audit Report'!G171,'Audit Report'!H171)</f>
        <v/>
      </c>
      <c r="L171" t="str">
        <f>_xlfn.TEXTJOIN(", ", TRUE, 'Audit Report'!K171,'Audit Report'!L171,'Audit Report'!M171)</f>
        <v/>
      </c>
      <c r="M171" t="str">
        <f>'Audit Report'!O171</f>
        <v/>
      </c>
      <c r="N171" t="str" cm="1">
        <f t="array" ref="N171">IF(M171="","",
_xlfn.TEXTJOIN(", ",TRUE,
    _xlfn.MAP(_xlfn.TEXTSPLIT(M171,","),_xlfn.LAMBDA(_xlpm.x,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1" t="str">
        <f>'Audit Report'!F171</f>
        <v/>
      </c>
      <c r="S171" t="str">
        <f>'Audit Report'!Q171</f>
        <v/>
      </c>
    </row>
    <row r="172" spans="4:19">
      <c r="D172" t="str">
        <f>'Audit Report'!B172</f>
        <v>ITD-SHRXXX-XX171</v>
      </c>
      <c r="E172" t="str">
        <f>'Audit Report'!C172</f>
        <v/>
      </c>
      <c r="I172" t="str">
        <f>_xlfn.XLOOKUP('Audit Report'!D172,Models!G:G,Models!I:I,'Audit Report'!D172,0,1)</f>
        <v/>
      </c>
      <c r="J172" t="str">
        <f>_xlfn.TEXTJOIN(" ",TRUE,'Audit Report'!G172,'Audit Report'!H172)</f>
        <v/>
      </c>
      <c r="L172" t="str">
        <f>_xlfn.TEXTJOIN(", ", TRUE, 'Audit Report'!K172,'Audit Report'!L172,'Audit Report'!M172)</f>
        <v/>
      </c>
      <c r="M172" t="str">
        <f>'Audit Report'!O172</f>
        <v/>
      </c>
      <c r="N172" t="str" cm="1">
        <f t="array" ref="N172">IF(M172="","",
_xlfn.TEXTJOIN(", ",TRUE,
    _xlfn.MAP(_xlfn.TEXTSPLIT(M172,","),_xlfn.LAMBDA(_xlpm.x,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2" t="str">
        <f>'Audit Report'!F172</f>
        <v/>
      </c>
      <c r="S172" t="str">
        <f>'Audit Report'!Q172</f>
        <v/>
      </c>
    </row>
    <row r="173" spans="4:19">
      <c r="D173" t="str">
        <f>'Audit Report'!B173</f>
        <v>ITD-SHRXXX-XX172</v>
      </c>
      <c r="E173" t="str">
        <f>'Audit Report'!C173</f>
        <v/>
      </c>
      <c r="I173" t="str">
        <f>_xlfn.XLOOKUP('Audit Report'!D173,Models!G:G,Models!I:I,'Audit Report'!D173,0,1)</f>
        <v/>
      </c>
      <c r="J173" t="str">
        <f>_xlfn.TEXTJOIN(" ",TRUE,'Audit Report'!G173,'Audit Report'!H173)</f>
        <v/>
      </c>
      <c r="L173" t="str">
        <f>_xlfn.TEXTJOIN(", ", TRUE, 'Audit Report'!K173,'Audit Report'!L173,'Audit Report'!M173)</f>
        <v/>
      </c>
      <c r="M173" t="str">
        <f>'Audit Report'!O173</f>
        <v/>
      </c>
      <c r="N173" t="str" cm="1">
        <f t="array" ref="N173">IF(M173="","",
_xlfn.TEXTJOIN(", ",TRUE,
    _xlfn.MAP(_xlfn.TEXTSPLIT(M173,","),_xlfn.LAMBDA(_xlpm.x,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3" t="str">
        <f>'Audit Report'!F173</f>
        <v/>
      </c>
      <c r="S173" t="str">
        <f>'Audit Report'!Q173</f>
        <v/>
      </c>
    </row>
    <row r="174" spans="4:19">
      <c r="D174" t="str">
        <f>'Audit Report'!B174</f>
        <v>ITD-SHRXXX-XX173</v>
      </c>
      <c r="E174" t="str">
        <f>'Audit Report'!C174</f>
        <v/>
      </c>
      <c r="I174" t="str">
        <f>_xlfn.XLOOKUP('Audit Report'!D174,Models!G:G,Models!I:I,'Audit Report'!D174,0,1)</f>
        <v/>
      </c>
      <c r="J174" t="str">
        <f>_xlfn.TEXTJOIN(" ",TRUE,'Audit Report'!G174,'Audit Report'!H174)</f>
        <v/>
      </c>
      <c r="L174" t="str">
        <f>_xlfn.TEXTJOIN(", ", TRUE, 'Audit Report'!K174,'Audit Report'!L174,'Audit Report'!M174)</f>
        <v/>
      </c>
      <c r="M174" t="str">
        <f>'Audit Report'!O174</f>
        <v/>
      </c>
      <c r="N174" t="str" cm="1">
        <f t="array" ref="N174">IF(M174="","",
_xlfn.TEXTJOIN(", ",TRUE,
    _xlfn.MAP(_xlfn.TEXTSPLIT(M174,","),_xlfn.LAMBDA(_xlpm.x,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4" t="str">
        <f>'Audit Report'!F174</f>
        <v/>
      </c>
      <c r="S174" t="str">
        <f>'Audit Report'!Q174</f>
        <v/>
      </c>
    </row>
    <row r="175" spans="4:19">
      <c r="D175" t="str">
        <f>'Audit Report'!B175</f>
        <v>ITD-SHRXXX-XX174</v>
      </c>
      <c r="E175" t="str">
        <f>'Audit Report'!C175</f>
        <v/>
      </c>
      <c r="I175" t="str">
        <f>_xlfn.XLOOKUP('Audit Report'!D175,Models!G:G,Models!I:I,'Audit Report'!D175,0,1)</f>
        <v/>
      </c>
      <c r="J175" t="str">
        <f>_xlfn.TEXTJOIN(" ",TRUE,'Audit Report'!G175,'Audit Report'!H175)</f>
        <v/>
      </c>
      <c r="L175" t="str">
        <f>_xlfn.TEXTJOIN(", ", TRUE, 'Audit Report'!K175,'Audit Report'!L175,'Audit Report'!M175)</f>
        <v/>
      </c>
      <c r="M175" t="str">
        <f>'Audit Report'!O175</f>
        <v/>
      </c>
      <c r="N175" t="str" cm="1">
        <f t="array" ref="N175">IF(M175="","",
_xlfn.TEXTJOIN(", ",TRUE,
    _xlfn.MAP(_xlfn.TEXTSPLIT(M175,","),_xlfn.LAMBDA(_xlpm.x,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5" t="str">
        <f>'Audit Report'!F175</f>
        <v/>
      </c>
      <c r="S175" t="str">
        <f>'Audit Report'!Q175</f>
        <v/>
      </c>
    </row>
    <row r="176" spans="4:19">
      <c r="D176" t="str">
        <f>'Audit Report'!B176</f>
        <v>ITD-SHRXXX-XX175</v>
      </c>
      <c r="E176" t="str">
        <f>'Audit Report'!C176</f>
        <v/>
      </c>
      <c r="I176" t="str">
        <f>_xlfn.XLOOKUP('Audit Report'!D176,Models!G:G,Models!I:I,'Audit Report'!D176,0,1)</f>
        <v/>
      </c>
      <c r="J176" t="str">
        <f>_xlfn.TEXTJOIN(" ",TRUE,'Audit Report'!G176,'Audit Report'!H176)</f>
        <v/>
      </c>
      <c r="L176" t="str">
        <f>_xlfn.TEXTJOIN(", ", TRUE, 'Audit Report'!K176,'Audit Report'!L176,'Audit Report'!M176)</f>
        <v/>
      </c>
      <c r="M176" t="str">
        <f>'Audit Report'!O176</f>
        <v/>
      </c>
      <c r="N176" t="str" cm="1">
        <f t="array" ref="N176">IF(M176="","",
_xlfn.TEXTJOIN(", ",TRUE,
    _xlfn.MAP(_xlfn.TEXTSPLIT(M176,","),_xlfn.LAMBDA(_xlpm.x,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6" t="str">
        <f>'Audit Report'!F176</f>
        <v/>
      </c>
      <c r="S176" t="str">
        <f>'Audit Report'!Q176</f>
        <v/>
      </c>
    </row>
    <row r="177" spans="4:19">
      <c r="D177" t="str">
        <f>'Audit Report'!B177</f>
        <v>ITD-SHRXXX-XX176</v>
      </c>
      <c r="E177" t="str">
        <f>'Audit Report'!C177</f>
        <v/>
      </c>
      <c r="I177" t="str">
        <f>_xlfn.XLOOKUP('Audit Report'!D177,Models!G:G,Models!I:I,'Audit Report'!D177,0,1)</f>
        <v/>
      </c>
      <c r="J177" t="str">
        <f>_xlfn.TEXTJOIN(" ",TRUE,'Audit Report'!G177,'Audit Report'!H177)</f>
        <v/>
      </c>
      <c r="L177" t="str">
        <f>_xlfn.TEXTJOIN(", ", TRUE, 'Audit Report'!K177,'Audit Report'!L177,'Audit Report'!M177)</f>
        <v/>
      </c>
      <c r="M177" t="str">
        <f>'Audit Report'!O177</f>
        <v/>
      </c>
      <c r="N177" t="str" cm="1">
        <f t="array" ref="N177">IF(M177="","",
_xlfn.TEXTJOIN(", ",TRUE,
    _xlfn.MAP(_xlfn.TEXTSPLIT(M177,","),_xlfn.LAMBDA(_xlpm.x,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7" t="str">
        <f>'Audit Report'!F177</f>
        <v/>
      </c>
      <c r="S177" t="str">
        <f>'Audit Report'!Q177</f>
        <v/>
      </c>
    </row>
    <row r="178" spans="4:19">
      <c r="D178" t="str">
        <f>'Audit Report'!B178</f>
        <v>ITD-SHRXXX-XX177</v>
      </c>
      <c r="E178" t="str">
        <f>'Audit Report'!C178</f>
        <v/>
      </c>
      <c r="I178" t="str">
        <f>_xlfn.XLOOKUP('Audit Report'!D178,Models!G:G,Models!I:I,'Audit Report'!D178,0,1)</f>
        <v/>
      </c>
      <c r="J178" t="str">
        <f>_xlfn.TEXTJOIN(" ",TRUE,'Audit Report'!G178,'Audit Report'!H178)</f>
        <v/>
      </c>
      <c r="L178" t="str">
        <f>_xlfn.TEXTJOIN(", ", TRUE, 'Audit Report'!K178,'Audit Report'!L178,'Audit Report'!M178)</f>
        <v/>
      </c>
      <c r="M178" t="str">
        <f>'Audit Report'!O178</f>
        <v/>
      </c>
      <c r="N178" t="str" cm="1">
        <f t="array" ref="N178">IF(M178="","",
_xlfn.TEXTJOIN(", ",TRUE,
    _xlfn.MAP(_xlfn.TEXTSPLIT(M178,","),_xlfn.LAMBDA(_xlpm.x,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8" t="str">
        <f>'Audit Report'!F178</f>
        <v/>
      </c>
      <c r="S178" t="str">
        <f>'Audit Report'!Q178</f>
        <v/>
      </c>
    </row>
    <row r="179" spans="4:19">
      <c r="D179" t="str">
        <f>'Audit Report'!B179</f>
        <v>ITD-SHRXXX-XX178</v>
      </c>
      <c r="E179" t="str">
        <f>'Audit Report'!C179</f>
        <v/>
      </c>
      <c r="I179" t="str">
        <f>_xlfn.XLOOKUP('Audit Report'!D179,Models!G:G,Models!I:I,'Audit Report'!D179,0,1)</f>
        <v/>
      </c>
      <c r="J179" t="str">
        <f>_xlfn.TEXTJOIN(" ",TRUE,'Audit Report'!G179,'Audit Report'!H179)</f>
        <v/>
      </c>
      <c r="L179" t="str">
        <f>_xlfn.TEXTJOIN(", ", TRUE, 'Audit Report'!K179,'Audit Report'!L179,'Audit Report'!M179)</f>
        <v/>
      </c>
      <c r="M179" t="str">
        <f>'Audit Report'!O179</f>
        <v/>
      </c>
      <c r="N179" t="str" cm="1">
        <f t="array" ref="N179">IF(M179="","",
_xlfn.TEXTJOIN(", ",TRUE,
    _xlfn.MAP(_xlfn.TEXTSPLIT(M179,","),_xlfn.LAMBDA(_xlpm.x,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9" t="str">
        <f>'Audit Report'!F179</f>
        <v/>
      </c>
      <c r="S179" t="str">
        <f>'Audit Report'!Q179</f>
        <v/>
      </c>
    </row>
    <row r="180" spans="4:19">
      <c r="D180" t="str">
        <f>'Audit Report'!B180</f>
        <v>ITD-SHRXXX-XX179</v>
      </c>
      <c r="E180" t="str">
        <f>'Audit Report'!C180</f>
        <v/>
      </c>
      <c r="I180" t="str">
        <f>_xlfn.XLOOKUP('Audit Report'!D180,Models!G:G,Models!I:I,'Audit Report'!D180,0,1)</f>
        <v/>
      </c>
      <c r="J180" t="str">
        <f>_xlfn.TEXTJOIN(" ",TRUE,'Audit Report'!G180,'Audit Report'!H180)</f>
        <v/>
      </c>
      <c r="L180" t="str">
        <f>_xlfn.TEXTJOIN(", ", TRUE, 'Audit Report'!K180,'Audit Report'!L180,'Audit Report'!M180)</f>
        <v/>
      </c>
      <c r="M180" t="str">
        <f>'Audit Report'!O180</f>
        <v/>
      </c>
      <c r="N180" t="str" cm="1">
        <f t="array" ref="N180">IF(M180="","",
_xlfn.TEXTJOIN(", ",TRUE,
    _xlfn.MAP(_xlfn.TEXTSPLIT(M180,","),_xlfn.LAMBDA(_xlpm.x,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0" t="str">
        <f>'Audit Report'!F180</f>
        <v/>
      </c>
      <c r="S180" t="str">
        <f>'Audit Report'!Q180</f>
        <v/>
      </c>
    </row>
    <row r="181" spans="4:19">
      <c r="D181" t="str">
        <f>'Audit Report'!B181</f>
        <v>ITD-SHRXXX-XX180</v>
      </c>
      <c r="E181" t="str">
        <f>'Audit Report'!C181</f>
        <v/>
      </c>
      <c r="I181" t="str">
        <f>_xlfn.XLOOKUP('Audit Report'!D181,Models!G:G,Models!I:I,'Audit Report'!D181,0,1)</f>
        <v/>
      </c>
      <c r="J181" t="str">
        <f>_xlfn.TEXTJOIN(" ",TRUE,'Audit Report'!G181,'Audit Report'!H181)</f>
        <v/>
      </c>
      <c r="L181" t="str">
        <f>_xlfn.TEXTJOIN(", ", TRUE, 'Audit Report'!K181,'Audit Report'!L181,'Audit Report'!M181)</f>
        <v/>
      </c>
      <c r="M181" t="str">
        <f>'Audit Report'!O181</f>
        <v/>
      </c>
      <c r="N181" t="str" cm="1">
        <f t="array" ref="N181">IF(M181="","",
_xlfn.TEXTJOIN(", ",TRUE,
    _xlfn.MAP(_xlfn.TEXTSPLIT(M181,","),_xlfn.LAMBDA(_xlpm.x,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1" t="str">
        <f>'Audit Report'!F181</f>
        <v/>
      </c>
      <c r="S181" t="str">
        <f>'Audit Report'!Q181</f>
        <v/>
      </c>
    </row>
    <row r="182" spans="4:19">
      <c r="D182" t="str">
        <f>'Audit Report'!B182</f>
        <v>ITD-SHRXXX-XX181</v>
      </c>
      <c r="E182" t="str">
        <f>'Audit Report'!C182</f>
        <v/>
      </c>
      <c r="I182" t="str">
        <f>_xlfn.XLOOKUP('Audit Report'!D182,Models!G:G,Models!I:I,'Audit Report'!D182,0,1)</f>
        <v/>
      </c>
      <c r="J182" t="str">
        <f>_xlfn.TEXTJOIN(" ",TRUE,'Audit Report'!G182,'Audit Report'!H182)</f>
        <v/>
      </c>
      <c r="L182" t="str">
        <f>_xlfn.TEXTJOIN(", ", TRUE, 'Audit Report'!K182,'Audit Report'!L182,'Audit Report'!M182)</f>
        <v/>
      </c>
      <c r="M182" t="str">
        <f>'Audit Report'!O182</f>
        <v/>
      </c>
      <c r="N182" t="str" cm="1">
        <f t="array" ref="N182">IF(M182="","",
_xlfn.TEXTJOIN(", ",TRUE,
    _xlfn.MAP(_xlfn.TEXTSPLIT(M182,","),_xlfn.LAMBDA(_xlpm.x,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2" t="str">
        <f>'Audit Report'!F182</f>
        <v/>
      </c>
      <c r="S182" t="str">
        <f>'Audit Report'!Q182</f>
        <v/>
      </c>
    </row>
    <row r="183" spans="4:19">
      <c r="D183" t="str">
        <f>'Audit Report'!B183</f>
        <v>ITD-SHRXXX-XX182</v>
      </c>
      <c r="E183" t="str">
        <f>'Audit Report'!C183</f>
        <v/>
      </c>
      <c r="I183" t="str">
        <f>_xlfn.XLOOKUP('Audit Report'!D183,Models!G:G,Models!I:I,'Audit Report'!D183,0,1)</f>
        <v/>
      </c>
      <c r="J183" t="str">
        <f>_xlfn.TEXTJOIN(" ",TRUE,'Audit Report'!G183,'Audit Report'!H183)</f>
        <v/>
      </c>
      <c r="L183" t="str">
        <f>_xlfn.TEXTJOIN(", ", TRUE, 'Audit Report'!K183,'Audit Report'!L183,'Audit Report'!M183)</f>
        <v/>
      </c>
      <c r="M183" t="str">
        <f>'Audit Report'!O183</f>
        <v/>
      </c>
      <c r="N183" t="str" cm="1">
        <f t="array" ref="N183">IF(M183="","",
_xlfn.TEXTJOIN(", ",TRUE,
    _xlfn.MAP(_xlfn.TEXTSPLIT(M183,","),_xlfn.LAMBDA(_xlpm.x,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3" t="str">
        <f>'Audit Report'!F183</f>
        <v/>
      </c>
      <c r="S183" t="str">
        <f>'Audit Report'!Q183</f>
        <v/>
      </c>
    </row>
    <row r="184" spans="4:19">
      <c r="D184" t="str">
        <f>'Audit Report'!B184</f>
        <v>ITD-SHRXXX-XX183</v>
      </c>
      <c r="E184" t="str">
        <f>'Audit Report'!C184</f>
        <v/>
      </c>
      <c r="I184" t="str">
        <f>_xlfn.XLOOKUP('Audit Report'!D184,Models!G:G,Models!I:I,'Audit Report'!D184,0,1)</f>
        <v/>
      </c>
      <c r="J184" t="str">
        <f>_xlfn.TEXTJOIN(" ",TRUE,'Audit Report'!G184,'Audit Report'!H184)</f>
        <v/>
      </c>
      <c r="L184" t="str">
        <f>_xlfn.TEXTJOIN(", ", TRUE, 'Audit Report'!K184,'Audit Report'!L184,'Audit Report'!M184)</f>
        <v/>
      </c>
      <c r="M184" t="str">
        <f>'Audit Report'!O184</f>
        <v/>
      </c>
      <c r="N184" t="str" cm="1">
        <f t="array" ref="N184">IF(M184="","",
_xlfn.TEXTJOIN(", ",TRUE,
    _xlfn.MAP(_xlfn.TEXTSPLIT(M184,","),_xlfn.LAMBDA(_xlpm.x,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4" t="str">
        <f>'Audit Report'!F184</f>
        <v/>
      </c>
      <c r="S184" t="str">
        <f>'Audit Report'!Q184</f>
        <v/>
      </c>
    </row>
    <row r="185" spans="4:19">
      <c r="D185" t="str">
        <f>'Audit Report'!B185</f>
        <v>ITD-SHRXXX-XX184</v>
      </c>
      <c r="E185" t="str">
        <f>'Audit Report'!C185</f>
        <v/>
      </c>
      <c r="I185" t="str">
        <f>_xlfn.XLOOKUP('Audit Report'!D185,Models!G:G,Models!I:I,'Audit Report'!D185,0,1)</f>
        <v/>
      </c>
      <c r="J185" t="str">
        <f>_xlfn.TEXTJOIN(" ",TRUE,'Audit Report'!G185,'Audit Report'!H185)</f>
        <v/>
      </c>
      <c r="L185" t="str">
        <f>_xlfn.TEXTJOIN(", ", TRUE, 'Audit Report'!K185,'Audit Report'!L185,'Audit Report'!M185)</f>
        <v/>
      </c>
      <c r="M185" t="str">
        <f>'Audit Report'!O185</f>
        <v/>
      </c>
      <c r="N185" t="str" cm="1">
        <f t="array" ref="N185">IF(M185="","",
_xlfn.TEXTJOIN(", ",TRUE,
    _xlfn.MAP(_xlfn.TEXTSPLIT(M185,","),_xlfn.LAMBDA(_xlpm.x,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5" t="str">
        <f>'Audit Report'!F185</f>
        <v/>
      </c>
      <c r="S185" t="str">
        <f>'Audit Report'!Q185</f>
        <v/>
      </c>
    </row>
    <row r="186" spans="4:19">
      <c r="D186" t="str">
        <f>'Audit Report'!B186</f>
        <v>ITD-SHRXXX-XX185</v>
      </c>
      <c r="E186" t="str">
        <f>'Audit Report'!C186</f>
        <v/>
      </c>
      <c r="I186" t="str">
        <f>_xlfn.XLOOKUP('Audit Report'!D186,Models!G:G,Models!I:I,'Audit Report'!D186,0,1)</f>
        <v/>
      </c>
      <c r="J186" t="str">
        <f>_xlfn.TEXTJOIN(" ",TRUE,'Audit Report'!G186,'Audit Report'!H186)</f>
        <v/>
      </c>
      <c r="L186" t="str">
        <f>_xlfn.TEXTJOIN(", ", TRUE, 'Audit Report'!K186,'Audit Report'!L186,'Audit Report'!M186)</f>
        <v/>
      </c>
      <c r="M186" t="str">
        <f>'Audit Report'!O186</f>
        <v/>
      </c>
      <c r="N186" t="str" cm="1">
        <f t="array" ref="N186">IF(M186="","",
_xlfn.TEXTJOIN(", ",TRUE,
    _xlfn.MAP(_xlfn.TEXTSPLIT(M186,","),_xlfn.LAMBDA(_xlpm.x,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6" t="str">
        <f>'Audit Report'!F186</f>
        <v/>
      </c>
      <c r="S186" t="str">
        <f>'Audit Report'!Q186</f>
        <v/>
      </c>
    </row>
    <row r="187" spans="4:19">
      <c r="D187" t="str">
        <f>'Audit Report'!B187</f>
        <v>ITD-SHRXXX-XX186</v>
      </c>
      <c r="E187" t="str">
        <f>'Audit Report'!C187</f>
        <v/>
      </c>
      <c r="I187" t="str">
        <f>_xlfn.XLOOKUP('Audit Report'!D187,Models!G:G,Models!I:I,'Audit Report'!D187,0,1)</f>
        <v/>
      </c>
      <c r="J187" t="str">
        <f>_xlfn.TEXTJOIN(" ",TRUE,'Audit Report'!G187,'Audit Report'!H187)</f>
        <v/>
      </c>
      <c r="L187" t="str">
        <f>_xlfn.TEXTJOIN(", ", TRUE, 'Audit Report'!K187,'Audit Report'!L187,'Audit Report'!M187)</f>
        <v/>
      </c>
      <c r="M187" t="str">
        <f>'Audit Report'!O187</f>
        <v/>
      </c>
      <c r="N187" t="str" cm="1">
        <f t="array" ref="N187">IF(M187="","",
_xlfn.TEXTJOIN(", ",TRUE,
    _xlfn.MAP(_xlfn.TEXTSPLIT(M187,","),_xlfn.LAMBDA(_xlpm.x,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7" t="str">
        <f>'Audit Report'!F187</f>
        <v/>
      </c>
      <c r="S187" t="str">
        <f>'Audit Report'!Q187</f>
        <v/>
      </c>
    </row>
    <row r="188" spans="4:19">
      <c r="D188" t="str">
        <f>'Audit Report'!B188</f>
        <v>ITD-SHRXXX-XX187</v>
      </c>
      <c r="E188" t="str">
        <f>'Audit Report'!C188</f>
        <v/>
      </c>
      <c r="I188" t="str">
        <f>_xlfn.XLOOKUP('Audit Report'!D188,Models!G:G,Models!I:I,'Audit Report'!D188,0,1)</f>
        <v/>
      </c>
      <c r="J188" t="str">
        <f>_xlfn.TEXTJOIN(" ",TRUE,'Audit Report'!G188,'Audit Report'!H188)</f>
        <v/>
      </c>
      <c r="L188" t="str">
        <f>_xlfn.TEXTJOIN(", ", TRUE, 'Audit Report'!K188,'Audit Report'!L188,'Audit Report'!M188)</f>
        <v/>
      </c>
      <c r="M188" t="str">
        <f>'Audit Report'!O188</f>
        <v/>
      </c>
      <c r="N188" t="str" cm="1">
        <f t="array" ref="N188">IF(M188="","",
_xlfn.TEXTJOIN(", ",TRUE,
    _xlfn.MAP(_xlfn.TEXTSPLIT(M188,","),_xlfn.LAMBDA(_xlpm.x,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8" t="str">
        <f>'Audit Report'!F188</f>
        <v/>
      </c>
      <c r="S188" t="str">
        <f>'Audit Report'!Q188</f>
        <v/>
      </c>
    </row>
    <row r="189" spans="4:19">
      <c r="D189" t="str">
        <f>'Audit Report'!B189</f>
        <v>ITD-SHRXXX-XX188</v>
      </c>
      <c r="E189" t="str">
        <f>'Audit Report'!C189</f>
        <v/>
      </c>
      <c r="I189" t="str">
        <f>_xlfn.XLOOKUP('Audit Report'!D189,Models!G:G,Models!I:I,'Audit Report'!D189,0,1)</f>
        <v/>
      </c>
      <c r="J189" t="str">
        <f>_xlfn.TEXTJOIN(" ",TRUE,'Audit Report'!G189,'Audit Report'!H189)</f>
        <v/>
      </c>
      <c r="L189" t="str">
        <f>_xlfn.TEXTJOIN(", ", TRUE, 'Audit Report'!K189,'Audit Report'!L189,'Audit Report'!M189)</f>
        <v/>
      </c>
      <c r="M189" t="str">
        <f>'Audit Report'!O189</f>
        <v/>
      </c>
      <c r="N189" t="str" cm="1">
        <f t="array" ref="N189">IF(M189="","",
_xlfn.TEXTJOIN(", ",TRUE,
    _xlfn.MAP(_xlfn.TEXTSPLIT(M189,","),_xlfn.LAMBDA(_xlpm.x,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9" t="str">
        <f>'Audit Report'!F189</f>
        <v/>
      </c>
      <c r="S189" t="str">
        <f>'Audit Report'!Q189</f>
        <v/>
      </c>
    </row>
    <row r="190" spans="4:19">
      <c r="D190" t="str">
        <f>'Audit Report'!B190</f>
        <v>ITD-SHRXXX-XX189</v>
      </c>
      <c r="E190" t="str">
        <f>'Audit Report'!C190</f>
        <v/>
      </c>
      <c r="I190" t="str">
        <f>_xlfn.XLOOKUP('Audit Report'!D190,Models!G:G,Models!I:I,'Audit Report'!D190,0,1)</f>
        <v/>
      </c>
      <c r="J190" t="str">
        <f>_xlfn.TEXTJOIN(" ",TRUE,'Audit Report'!G190,'Audit Report'!H190)</f>
        <v/>
      </c>
      <c r="L190" t="str">
        <f>_xlfn.TEXTJOIN(", ", TRUE, 'Audit Report'!K190,'Audit Report'!L190,'Audit Report'!M190)</f>
        <v/>
      </c>
      <c r="M190" t="str">
        <f>'Audit Report'!O190</f>
        <v/>
      </c>
      <c r="N190" t="str" cm="1">
        <f t="array" ref="N190">IF(M190="","",
_xlfn.TEXTJOIN(", ",TRUE,
    _xlfn.MAP(_xlfn.TEXTSPLIT(M190,","),_xlfn.LAMBDA(_xlpm.x,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0" t="str">
        <f>'Audit Report'!F190</f>
        <v/>
      </c>
      <c r="S190" t="str">
        <f>'Audit Report'!Q190</f>
        <v/>
      </c>
    </row>
    <row r="191" spans="4:19">
      <c r="D191" t="str">
        <f>'Audit Report'!B191</f>
        <v>ITD-SHRXXX-XX190</v>
      </c>
      <c r="E191" t="str">
        <f>'Audit Report'!C191</f>
        <v/>
      </c>
      <c r="I191" t="str">
        <f>_xlfn.XLOOKUP('Audit Report'!D191,Models!G:G,Models!I:I,'Audit Report'!D191,0,1)</f>
        <v/>
      </c>
      <c r="J191" t="str">
        <f>_xlfn.TEXTJOIN(" ",TRUE,'Audit Report'!G191,'Audit Report'!H191)</f>
        <v/>
      </c>
      <c r="L191" t="str">
        <f>_xlfn.TEXTJOIN(", ", TRUE, 'Audit Report'!K191,'Audit Report'!L191,'Audit Report'!M191)</f>
        <v/>
      </c>
      <c r="M191" t="str">
        <f>'Audit Report'!O191</f>
        <v/>
      </c>
      <c r="N191" t="str" cm="1">
        <f t="array" ref="N191">IF(M191="","",
_xlfn.TEXTJOIN(", ",TRUE,
    _xlfn.MAP(_xlfn.TEXTSPLIT(M191,","),_xlfn.LAMBDA(_xlpm.x,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1" t="str">
        <f>'Audit Report'!F191</f>
        <v/>
      </c>
      <c r="S191" t="str">
        <f>'Audit Report'!Q191</f>
        <v/>
      </c>
    </row>
    <row r="192" spans="4:19">
      <c r="D192" t="str">
        <f>'Audit Report'!B192</f>
        <v>ITD-SHRXXX-XX191</v>
      </c>
      <c r="E192" t="str">
        <f>'Audit Report'!C192</f>
        <v/>
      </c>
      <c r="I192" t="str">
        <f>_xlfn.XLOOKUP('Audit Report'!D192,Models!G:G,Models!I:I,'Audit Report'!D192,0,1)</f>
        <v/>
      </c>
      <c r="J192" t="str">
        <f>_xlfn.TEXTJOIN(" ",TRUE,'Audit Report'!G192,'Audit Report'!H192)</f>
        <v/>
      </c>
      <c r="L192" t="str">
        <f>_xlfn.TEXTJOIN(", ", TRUE, 'Audit Report'!K192,'Audit Report'!L192,'Audit Report'!M192)</f>
        <v/>
      </c>
      <c r="M192" t="str">
        <f>'Audit Report'!O192</f>
        <v/>
      </c>
      <c r="N192" t="str" cm="1">
        <f t="array" ref="N192">IF(M192="","",
_xlfn.TEXTJOIN(", ",TRUE,
    _xlfn.MAP(_xlfn.TEXTSPLIT(M192,","),_xlfn.LAMBDA(_xlpm.x,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2" t="str">
        <f>'Audit Report'!F192</f>
        <v/>
      </c>
      <c r="S192" t="str">
        <f>'Audit Report'!Q192</f>
        <v/>
      </c>
    </row>
    <row r="193" spans="4:19">
      <c r="D193" t="str">
        <f>'Audit Report'!B193</f>
        <v>ITD-SHRXXX-XX192</v>
      </c>
      <c r="E193" t="str">
        <f>'Audit Report'!C193</f>
        <v/>
      </c>
      <c r="I193" t="str">
        <f>_xlfn.XLOOKUP('Audit Report'!D193,Models!G:G,Models!I:I,'Audit Report'!D193,0,1)</f>
        <v/>
      </c>
      <c r="J193" t="str">
        <f>_xlfn.TEXTJOIN(" ",TRUE,'Audit Report'!G193,'Audit Report'!H193)</f>
        <v/>
      </c>
      <c r="L193" t="str">
        <f>_xlfn.TEXTJOIN(", ", TRUE, 'Audit Report'!K193,'Audit Report'!L193,'Audit Report'!M193)</f>
        <v/>
      </c>
      <c r="M193" t="str">
        <f>'Audit Report'!O193</f>
        <v/>
      </c>
      <c r="N193" t="str" cm="1">
        <f t="array" ref="N193">IF(M193="","",
_xlfn.TEXTJOIN(", ",TRUE,
    _xlfn.MAP(_xlfn.TEXTSPLIT(M193,","),_xlfn.LAMBDA(_xlpm.x,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3" t="str">
        <f>'Audit Report'!F193</f>
        <v/>
      </c>
      <c r="S193" t="str">
        <f>'Audit Report'!Q193</f>
        <v/>
      </c>
    </row>
    <row r="194" spans="4:19">
      <c r="D194" t="str">
        <f>'Audit Report'!B194</f>
        <v>ITD-SHRXXX-XX193</v>
      </c>
      <c r="E194" t="str">
        <f>'Audit Report'!C194</f>
        <v/>
      </c>
      <c r="I194" t="str">
        <f>_xlfn.XLOOKUP('Audit Report'!D194,Models!G:G,Models!I:I,'Audit Report'!D194,0,1)</f>
        <v/>
      </c>
      <c r="J194" t="str">
        <f>_xlfn.TEXTJOIN(" ",TRUE,'Audit Report'!G194,'Audit Report'!H194)</f>
        <v/>
      </c>
      <c r="L194" t="str">
        <f>_xlfn.TEXTJOIN(", ", TRUE, 'Audit Report'!K194,'Audit Report'!L194,'Audit Report'!M194)</f>
        <v/>
      </c>
      <c r="M194" t="str">
        <f>'Audit Report'!O194</f>
        <v/>
      </c>
      <c r="N194" t="str" cm="1">
        <f t="array" ref="N194">IF(M194="","",
_xlfn.TEXTJOIN(", ",TRUE,
    _xlfn.MAP(_xlfn.TEXTSPLIT(M194,","),_xlfn.LAMBDA(_xlpm.x,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4" t="str">
        <f>'Audit Report'!F194</f>
        <v/>
      </c>
      <c r="S194" t="str">
        <f>'Audit Report'!Q194</f>
        <v/>
      </c>
    </row>
    <row r="195" spans="4:19">
      <c r="D195" t="str">
        <f>'Audit Report'!B195</f>
        <v>ITD-SHRXXX-XX194</v>
      </c>
      <c r="E195" t="str">
        <f>'Audit Report'!C195</f>
        <v/>
      </c>
      <c r="I195" t="str">
        <f>_xlfn.XLOOKUP('Audit Report'!D195,Models!G:G,Models!I:I,'Audit Report'!D195,0,1)</f>
        <v/>
      </c>
      <c r="J195" t="str">
        <f>_xlfn.TEXTJOIN(" ",TRUE,'Audit Report'!G195,'Audit Report'!H195)</f>
        <v/>
      </c>
      <c r="L195" t="str">
        <f>_xlfn.TEXTJOIN(", ", TRUE, 'Audit Report'!K195,'Audit Report'!L195,'Audit Report'!M195)</f>
        <v/>
      </c>
      <c r="M195" t="str">
        <f>'Audit Report'!O195</f>
        <v/>
      </c>
      <c r="N195" t="str" cm="1">
        <f t="array" ref="N195">IF(M195="","",
_xlfn.TEXTJOIN(", ",TRUE,
    _xlfn.MAP(_xlfn.TEXTSPLIT(M195,","),_xlfn.LAMBDA(_xlpm.x,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5" t="str">
        <f>'Audit Report'!F195</f>
        <v/>
      </c>
      <c r="S195" t="str">
        <f>'Audit Report'!Q195</f>
        <v/>
      </c>
    </row>
    <row r="196" spans="4:19">
      <c r="D196" t="str">
        <f>'Audit Report'!B196</f>
        <v>ITD-SHRXXX-XX195</v>
      </c>
      <c r="E196" t="str">
        <f>'Audit Report'!C196</f>
        <v/>
      </c>
      <c r="I196" t="str">
        <f>_xlfn.XLOOKUP('Audit Report'!D196,Models!G:G,Models!I:I,'Audit Report'!D196,0,1)</f>
        <v/>
      </c>
      <c r="J196" t="str">
        <f>_xlfn.TEXTJOIN(" ",TRUE,'Audit Report'!G196,'Audit Report'!H196)</f>
        <v/>
      </c>
      <c r="L196" t="str">
        <f>_xlfn.TEXTJOIN(", ", TRUE, 'Audit Report'!K196,'Audit Report'!L196,'Audit Report'!M196)</f>
        <v/>
      </c>
      <c r="M196" t="str">
        <f>'Audit Report'!O196</f>
        <v/>
      </c>
      <c r="N196" t="str" cm="1">
        <f t="array" ref="N196">IF(M196="","",
_xlfn.TEXTJOIN(", ",TRUE,
    _xlfn.MAP(_xlfn.TEXTSPLIT(M196,","),_xlfn.LAMBDA(_xlpm.x,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6" t="str">
        <f>'Audit Report'!F196</f>
        <v/>
      </c>
      <c r="S196" t="str">
        <f>'Audit Report'!Q196</f>
        <v/>
      </c>
    </row>
    <row r="197" spans="4:19">
      <c r="D197" t="str">
        <f>'Audit Report'!B197</f>
        <v>ITD-SHRXXX-XX196</v>
      </c>
      <c r="E197" t="str">
        <f>'Audit Report'!C197</f>
        <v/>
      </c>
      <c r="I197" t="str">
        <f>_xlfn.XLOOKUP('Audit Report'!D197,Models!G:G,Models!I:I,'Audit Report'!D197,0,1)</f>
        <v/>
      </c>
      <c r="J197" t="str">
        <f>_xlfn.TEXTJOIN(" ",TRUE,'Audit Report'!G197,'Audit Report'!H197)</f>
        <v/>
      </c>
      <c r="L197" t="str">
        <f>_xlfn.TEXTJOIN(", ", TRUE, 'Audit Report'!K197,'Audit Report'!L197,'Audit Report'!M197)</f>
        <v/>
      </c>
      <c r="M197" t="str">
        <f>'Audit Report'!O197</f>
        <v/>
      </c>
      <c r="N197" t="str" cm="1">
        <f t="array" ref="N197">IF(M197="","",
_xlfn.TEXTJOIN(", ",TRUE,
    _xlfn.MAP(_xlfn.TEXTSPLIT(M197,","),_xlfn.LAMBDA(_xlpm.x,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7" t="str">
        <f>'Audit Report'!F197</f>
        <v/>
      </c>
      <c r="S197" t="str">
        <f>'Audit Report'!Q197</f>
        <v/>
      </c>
    </row>
    <row r="198" spans="4:19">
      <c r="D198" t="str">
        <f>'Audit Report'!B198</f>
        <v>ITD-SHRXXX-XX197</v>
      </c>
      <c r="E198" t="str">
        <f>'Audit Report'!C198</f>
        <v/>
      </c>
      <c r="I198" t="str">
        <f>_xlfn.XLOOKUP('Audit Report'!D198,Models!G:G,Models!I:I,'Audit Report'!D198,0,1)</f>
        <v/>
      </c>
      <c r="J198" t="str">
        <f>_xlfn.TEXTJOIN(" ",TRUE,'Audit Report'!G198,'Audit Report'!H198)</f>
        <v/>
      </c>
      <c r="L198" t="str">
        <f>_xlfn.TEXTJOIN(", ", TRUE, 'Audit Report'!K198,'Audit Report'!L198,'Audit Report'!M198)</f>
        <v/>
      </c>
      <c r="M198" t="str">
        <f>'Audit Report'!O198</f>
        <v/>
      </c>
      <c r="N198" t="str" cm="1">
        <f t="array" ref="N198">IF(M198="","",
_xlfn.TEXTJOIN(", ",TRUE,
    _xlfn.MAP(_xlfn.TEXTSPLIT(M198,","),_xlfn.LAMBDA(_xlpm.x,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8" t="str">
        <f>'Audit Report'!F198</f>
        <v/>
      </c>
      <c r="S198" t="str">
        <f>'Audit Report'!Q198</f>
        <v/>
      </c>
    </row>
    <row r="199" spans="4:19">
      <c r="D199" t="str">
        <f>'Audit Report'!B199</f>
        <v>ITD-SHRXXX-XX198</v>
      </c>
      <c r="E199" t="str">
        <f>'Audit Report'!C199</f>
        <v/>
      </c>
      <c r="I199" t="str">
        <f>_xlfn.XLOOKUP('Audit Report'!D199,Models!G:G,Models!I:I,'Audit Report'!D199,0,1)</f>
        <v/>
      </c>
      <c r="J199" t="str">
        <f>_xlfn.TEXTJOIN(" ",TRUE,'Audit Report'!G199,'Audit Report'!H199)</f>
        <v/>
      </c>
      <c r="L199" t="str">
        <f>_xlfn.TEXTJOIN(", ", TRUE, 'Audit Report'!K199,'Audit Report'!L199,'Audit Report'!M199)</f>
        <v/>
      </c>
      <c r="M199" t="str">
        <f>'Audit Report'!O199</f>
        <v/>
      </c>
      <c r="N199" t="str" cm="1">
        <f t="array" ref="N199">IF(M199="","",
_xlfn.TEXTJOIN(", ",TRUE,
    _xlfn.MAP(_xlfn.TEXTSPLIT(M199,","),_xlfn.LAMBDA(_xlpm.x,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9" t="str">
        <f>'Audit Report'!F199</f>
        <v/>
      </c>
      <c r="S199" t="str">
        <f>'Audit Report'!Q199</f>
        <v/>
      </c>
    </row>
    <row r="200" spans="4:19">
      <c r="D200" t="str">
        <f>'Audit Report'!B200</f>
        <v>ITD-SHRXXX-XX199</v>
      </c>
      <c r="E200" t="str">
        <f>'Audit Report'!C200</f>
        <v/>
      </c>
      <c r="I200" t="str">
        <f>_xlfn.XLOOKUP('Audit Report'!D200,Models!G:G,Models!I:I,'Audit Report'!D200,0,1)</f>
        <v/>
      </c>
      <c r="J200" t="str">
        <f>_xlfn.TEXTJOIN(" ",TRUE,'Audit Report'!G200,'Audit Report'!H200)</f>
        <v/>
      </c>
      <c r="L200" t="str">
        <f>_xlfn.TEXTJOIN(", ", TRUE, 'Audit Report'!K200,'Audit Report'!L200,'Audit Report'!M200)</f>
        <v/>
      </c>
      <c r="M200" t="str">
        <f>'Audit Report'!O200</f>
        <v/>
      </c>
      <c r="N200" t="str" cm="1">
        <f t="array" ref="N200">IF(M200="","",
_xlfn.TEXTJOIN(", ",TRUE,
    _xlfn.MAP(_xlfn.TEXTSPLIT(M200,","),_xlfn.LAMBDA(_xlpm.x,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0" t="str">
        <f>'Audit Report'!F200</f>
        <v/>
      </c>
      <c r="S200" t="str">
        <f>'Audit Report'!Q200</f>
        <v/>
      </c>
    </row>
    <row r="201" spans="4:19">
      <c r="D201" t="str">
        <f>'Audit Report'!B201</f>
        <v>ITD-SHRXXX-XX200</v>
      </c>
      <c r="E201" t="str">
        <f>'Audit Report'!C201</f>
        <v/>
      </c>
      <c r="I201" t="str">
        <f>_xlfn.XLOOKUP('Audit Report'!D201,Models!G:G,Models!I:I,'Audit Report'!D201,0,1)</f>
        <v/>
      </c>
      <c r="J201" t="str">
        <f>_xlfn.TEXTJOIN(" ",TRUE,'Audit Report'!G201,'Audit Report'!H201)</f>
        <v/>
      </c>
      <c r="L201" t="str">
        <f>_xlfn.TEXTJOIN(", ", TRUE, 'Audit Report'!K201,'Audit Report'!L201,'Audit Report'!M201)</f>
        <v/>
      </c>
      <c r="M201" t="str">
        <f>'Audit Report'!O201</f>
        <v/>
      </c>
      <c r="N201" t="str" cm="1">
        <f t="array" ref="N201">IF(M201="","",
_xlfn.TEXTJOIN(", ",TRUE,
    _xlfn.MAP(_xlfn.TEXTSPLIT(M201,","),_xlfn.LAMBDA(_xlpm.x,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1" t="str">
        <f>'Audit Report'!F201</f>
        <v/>
      </c>
      <c r="S201" t="str">
        <f>'Audit Report'!Q201</f>
        <v/>
      </c>
    </row>
    <row r="202" spans="4:19">
      <c r="D202" t="str">
        <f>'Audit Report'!B202</f>
        <v>ITD-SHRXXX-XX201</v>
      </c>
      <c r="E202" t="str">
        <f>'Audit Report'!C202</f>
        <v/>
      </c>
      <c r="I202" t="str">
        <f>_xlfn.XLOOKUP('Audit Report'!D202,Models!G:G,Models!I:I,'Audit Report'!D202,0,1)</f>
        <v/>
      </c>
      <c r="J202" t="str">
        <f>_xlfn.TEXTJOIN(" ",TRUE,'Audit Report'!G202,'Audit Report'!H202)</f>
        <v/>
      </c>
      <c r="L202" t="str">
        <f>_xlfn.TEXTJOIN(", ", TRUE, 'Audit Report'!K202,'Audit Report'!L202,'Audit Report'!M202)</f>
        <v/>
      </c>
      <c r="M202" t="str">
        <f>'Audit Report'!O202</f>
        <v/>
      </c>
      <c r="N202" t="str" cm="1">
        <f t="array" ref="N202">IF(M202="","",
_xlfn.TEXTJOIN(", ",TRUE,
    _xlfn.MAP(_xlfn.TEXTSPLIT(M202,","),_xlfn.LAMBDA(_xlpm.x,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2" t="str">
        <f>'Audit Report'!F202</f>
        <v/>
      </c>
      <c r="S202" t="str">
        <f>'Audit Report'!Q202</f>
        <v/>
      </c>
    </row>
    <row r="203" spans="4:19">
      <c r="D203" t="str">
        <f>'Audit Report'!B203</f>
        <v>ITD-SHRXXX-XX202</v>
      </c>
      <c r="E203" t="str">
        <f>'Audit Report'!C203</f>
        <v/>
      </c>
      <c r="I203" t="str">
        <f>_xlfn.XLOOKUP('Audit Report'!D203,Models!G:G,Models!I:I,'Audit Report'!D203,0,1)</f>
        <v/>
      </c>
      <c r="J203" t="str">
        <f>_xlfn.TEXTJOIN(" ",TRUE,'Audit Report'!G203,'Audit Report'!H203)</f>
        <v/>
      </c>
      <c r="L203" t="str">
        <f>_xlfn.TEXTJOIN(", ", TRUE, 'Audit Report'!K203,'Audit Report'!L203,'Audit Report'!M203)</f>
        <v/>
      </c>
      <c r="M203" t="str">
        <f>'Audit Report'!O203</f>
        <v/>
      </c>
      <c r="N203" t="str" cm="1">
        <f t="array" ref="N203">IF(M203="","",
_xlfn.TEXTJOIN(", ",TRUE,
    _xlfn.MAP(_xlfn.TEXTSPLIT(M203,","),_xlfn.LAMBDA(_xlpm.x,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3" t="str">
        <f>'Audit Report'!F203</f>
        <v/>
      </c>
      <c r="S203" t="str">
        <f>'Audit Report'!Q203</f>
        <v/>
      </c>
    </row>
    <row r="204" spans="4:19">
      <c r="D204" t="str">
        <f>'Audit Report'!B204</f>
        <v>ITD-SHRXXX-XX203</v>
      </c>
      <c r="E204" t="str">
        <f>'Audit Report'!C204</f>
        <v/>
      </c>
      <c r="I204" t="str">
        <f>_xlfn.XLOOKUP('Audit Report'!D204,Models!G:G,Models!I:I,'Audit Report'!D204,0,1)</f>
        <v/>
      </c>
      <c r="J204" t="str">
        <f>_xlfn.TEXTJOIN(" ",TRUE,'Audit Report'!G204,'Audit Report'!H204)</f>
        <v/>
      </c>
      <c r="L204" t="str">
        <f>_xlfn.TEXTJOIN(", ", TRUE, 'Audit Report'!K204,'Audit Report'!L204,'Audit Report'!M204)</f>
        <v/>
      </c>
      <c r="M204" t="str">
        <f>'Audit Report'!O204</f>
        <v/>
      </c>
      <c r="N204" t="str" cm="1">
        <f t="array" ref="N204">IF(M204="","",
_xlfn.TEXTJOIN(", ",TRUE,
    _xlfn.MAP(_xlfn.TEXTSPLIT(M204,","),_xlfn.LAMBDA(_xlpm.x,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4" t="str">
        <f>'Audit Report'!F204</f>
        <v/>
      </c>
      <c r="S204" t="str">
        <f>'Audit Report'!Q204</f>
        <v/>
      </c>
    </row>
    <row r="205" spans="4:19">
      <c r="D205" t="str">
        <f>'Audit Report'!B205</f>
        <v>ITD-SHRXXX-XX204</v>
      </c>
      <c r="E205" t="str">
        <f>'Audit Report'!C205</f>
        <v/>
      </c>
      <c r="I205" t="str">
        <f>_xlfn.XLOOKUP('Audit Report'!D205,Models!G:G,Models!I:I,'Audit Report'!D205,0,1)</f>
        <v/>
      </c>
      <c r="J205" t="str">
        <f>_xlfn.TEXTJOIN(" ",TRUE,'Audit Report'!G205,'Audit Report'!H205)</f>
        <v/>
      </c>
      <c r="L205" t="str">
        <f>_xlfn.TEXTJOIN(", ", TRUE, 'Audit Report'!K205,'Audit Report'!L205,'Audit Report'!M205)</f>
        <v/>
      </c>
      <c r="M205" t="str">
        <f>'Audit Report'!O205</f>
        <v/>
      </c>
      <c r="N205" t="str" cm="1">
        <f t="array" ref="N205">IF(M205="","",
_xlfn.TEXTJOIN(", ",TRUE,
    _xlfn.MAP(_xlfn.TEXTSPLIT(M205,","),_xlfn.LAMBDA(_xlpm.x,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5" t="str">
        <f>'Audit Report'!F205</f>
        <v/>
      </c>
      <c r="S205" t="str">
        <f>'Audit Report'!Q205</f>
        <v/>
      </c>
    </row>
    <row r="206" spans="4:19">
      <c r="D206" t="str">
        <f>'Audit Report'!B206</f>
        <v>ITD-SHRXXX-XX205</v>
      </c>
      <c r="E206" t="str">
        <f>'Audit Report'!C206</f>
        <v/>
      </c>
      <c r="I206" t="str">
        <f>_xlfn.XLOOKUP('Audit Report'!D206,Models!G:G,Models!I:I,'Audit Report'!D206,0,1)</f>
        <v/>
      </c>
      <c r="J206" t="str">
        <f>_xlfn.TEXTJOIN(" ",TRUE,'Audit Report'!G206,'Audit Report'!H206)</f>
        <v/>
      </c>
      <c r="L206" t="str">
        <f>_xlfn.TEXTJOIN(", ", TRUE, 'Audit Report'!K206,'Audit Report'!L206,'Audit Report'!M206)</f>
        <v/>
      </c>
      <c r="M206" t="str">
        <f>'Audit Report'!O206</f>
        <v/>
      </c>
      <c r="N206" t="str" cm="1">
        <f t="array" ref="N206">IF(M206="","",
_xlfn.TEXTJOIN(", ",TRUE,
    _xlfn.MAP(_xlfn.TEXTSPLIT(M206,","),_xlfn.LAMBDA(_xlpm.x,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6" t="str">
        <f>'Audit Report'!F206</f>
        <v/>
      </c>
      <c r="S206" t="str">
        <f>'Audit Report'!Q206</f>
        <v/>
      </c>
    </row>
    <row r="207" spans="4:19">
      <c r="D207" t="str">
        <f>'Audit Report'!B207</f>
        <v>ITD-SHRXXX-XX206</v>
      </c>
      <c r="E207" t="str">
        <f>'Audit Report'!C207</f>
        <v/>
      </c>
      <c r="I207" t="str">
        <f>_xlfn.XLOOKUP('Audit Report'!D207,Models!G:G,Models!I:I,'Audit Report'!D207,0,1)</f>
        <v/>
      </c>
      <c r="J207" t="str">
        <f>_xlfn.TEXTJOIN(" ",TRUE,'Audit Report'!G207,'Audit Report'!H207)</f>
        <v/>
      </c>
      <c r="L207" t="str">
        <f>_xlfn.TEXTJOIN(", ", TRUE, 'Audit Report'!K207,'Audit Report'!L207,'Audit Report'!M207)</f>
        <v/>
      </c>
      <c r="M207" t="str">
        <f>'Audit Report'!O207</f>
        <v/>
      </c>
      <c r="N207" t="str" cm="1">
        <f t="array" ref="N207">IF(M207="","",
_xlfn.TEXTJOIN(", ",TRUE,
    _xlfn.MAP(_xlfn.TEXTSPLIT(M207,","),_xlfn.LAMBDA(_xlpm.x,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7" t="str">
        <f>'Audit Report'!F207</f>
        <v/>
      </c>
      <c r="S207" t="str">
        <f>'Audit Report'!Q207</f>
        <v/>
      </c>
    </row>
    <row r="208" spans="4:19">
      <c r="D208" t="str">
        <f>'Audit Report'!B208</f>
        <v>ITD-SHRXXX-XX207</v>
      </c>
      <c r="E208" t="str">
        <f>'Audit Report'!C208</f>
        <v/>
      </c>
      <c r="I208" t="str">
        <f>_xlfn.XLOOKUP('Audit Report'!D208,Models!G:G,Models!I:I,'Audit Report'!D208,0,1)</f>
        <v/>
      </c>
      <c r="J208" t="str">
        <f>_xlfn.TEXTJOIN(" ",TRUE,'Audit Report'!G208,'Audit Report'!H208)</f>
        <v/>
      </c>
      <c r="L208" t="str">
        <f>_xlfn.TEXTJOIN(", ", TRUE, 'Audit Report'!K208,'Audit Report'!L208,'Audit Report'!M208)</f>
        <v/>
      </c>
      <c r="M208" t="str">
        <f>'Audit Report'!O208</f>
        <v/>
      </c>
      <c r="N208" t="str" cm="1">
        <f t="array" ref="N208">IF(M208="","",
_xlfn.TEXTJOIN(", ",TRUE,
    _xlfn.MAP(_xlfn.TEXTSPLIT(M208,","),_xlfn.LAMBDA(_xlpm.x,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8" t="str">
        <f>'Audit Report'!F208</f>
        <v/>
      </c>
      <c r="S208" t="str">
        <f>'Audit Report'!Q208</f>
        <v/>
      </c>
    </row>
    <row r="209" spans="4:19">
      <c r="D209" t="str">
        <f>'Audit Report'!B209</f>
        <v>ITD-SHRXXX-XX208</v>
      </c>
      <c r="E209" t="str">
        <f>'Audit Report'!C209</f>
        <v/>
      </c>
      <c r="I209" t="str">
        <f>_xlfn.XLOOKUP('Audit Report'!D209,Models!G:G,Models!I:I,'Audit Report'!D209,0,1)</f>
        <v/>
      </c>
      <c r="J209" t="str">
        <f>_xlfn.TEXTJOIN(" ",TRUE,'Audit Report'!G209,'Audit Report'!H209)</f>
        <v/>
      </c>
      <c r="L209" t="str">
        <f>_xlfn.TEXTJOIN(", ", TRUE, 'Audit Report'!K209,'Audit Report'!L209,'Audit Report'!M209)</f>
        <v/>
      </c>
      <c r="M209" t="str">
        <f>'Audit Report'!O209</f>
        <v/>
      </c>
      <c r="N209" t="str" cm="1">
        <f t="array" ref="N209">IF(M209="","",
_xlfn.TEXTJOIN(", ",TRUE,
    _xlfn.MAP(_xlfn.TEXTSPLIT(M209,","),_xlfn.LAMBDA(_xlpm.x,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9" t="str">
        <f>'Audit Report'!F209</f>
        <v/>
      </c>
      <c r="S209" t="str">
        <f>'Audit Report'!Q209</f>
        <v/>
      </c>
    </row>
    <row r="210" spans="4:19">
      <c r="D210" t="str">
        <f>'Audit Report'!B210</f>
        <v>ITD-SHRXXX-XX209</v>
      </c>
      <c r="E210" t="str">
        <f>'Audit Report'!C210</f>
        <v/>
      </c>
      <c r="I210" t="str">
        <f>_xlfn.XLOOKUP('Audit Report'!D210,Models!G:G,Models!I:I,'Audit Report'!D210,0,1)</f>
        <v/>
      </c>
      <c r="J210" t="str">
        <f>_xlfn.TEXTJOIN(" ",TRUE,'Audit Report'!G210,'Audit Report'!H210)</f>
        <v/>
      </c>
      <c r="L210" t="str">
        <f>_xlfn.TEXTJOIN(", ", TRUE, 'Audit Report'!K210,'Audit Report'!L210,'Audit Report'!M210)</f>
        <v/>
      </c>
      <c r="M210" t="str">
        <f>'Audit Report'!O210</f>
        <v/>
      </c>
      <c r="N210" t="str" cm="1">
        <f t="array" ref="N210">IF(M210="","",
_xlfn.TEXTJOIN(", ",TRUE,
    _xlfn.MAP(_xlfn.TEXTSPLIT(M210,","),_xlfn.LAMBDA(_xlpm.x,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0" t="str">
        <f>'Audit Report'!F210</f>
        <v/>
      </c>
      <c r="S210" t="str">
        <f>'Audit Report'!Q210</f>
        <v/>
      </c>
    </row>
    <row r="211" spans="4:19">
      <c r="D211" t="str">
        <f>'Audit Report'!B211</f>
        <v>ITD-SHRXXX-XX210</v>
      </c>
      <c r="E211" t="str">
        <f>'Audit Report'!C211</f>
        <v/>
      </c>
      <c r="I211" t="str">
        <f>_xlfn.XLOOKUP('Audit Report'!D211,Models!G:G,Models!I:I,'Audit Report'!D211,0,1)</f>
        <v/>
      </c>
      <c r="J211" t="str">
        <f>_xlfn.TEXTJOIN(" ",TRUE,'Audit Report'!G211,'Audit Report'!H211)</f>
        <v/>
      </c>
      <c r="L211" t="str">
        <f>_xlfn.TEXTJOIN(", ", TRUE, 'Audit Report'!K211,'Audit Report'!L211,'Audit Report'!M211)</f>
        <v/>
      </c>
      <c r="M211" t="str">
        <f>'Audit Report'!O211</f>
        <v/>
      </c>
      <c r="N211" t="str" cm="1">
        <f t="array" ref="N211">IF(M211="","",
_xlfn.TEXTJOIN(", ",TRUE,
    _xlfn.MAP(_xlfn.TEXTSPLIT(M211,","),_xlfn.LAMBDA(_xlpm.x,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1" t="str">
        <f>'Audit Report'!F211</f>
        <v/>
      </c>
      <c r="S211" t="str">
        <f>'Audit Report'!Q211</f>
        <v/>
      </c>
    </row>
    <row r="212" spans="4:19">
      <c r="D212" t="str">
        <f>'Audit Report'!B212</f>
        <v>ITD-SHRXXX-XX211</v>
      </c>
      <c r="E212" t="str">
        <f>'Audit Report'!C212</f>
        <v/>
      </c>
      <c r="I212" t="str">
        <f>_xlfn.XLOOKUP('Audit Report'!D212,Models!G:G,Models!I:I,'Audit Report'!D212,0,1)</f>
        <v/>
      </c>
      <c r="J212" t="str">
        <f>_xlfn.TEXTJOIN(" ",TRUE,'Audit Report'!G212,'Audit Report'!H212)</f>
        <v/>
      </c>
      <c r="L212" t="str">
        <f>_xlfn.TEXTJOIN(", ", TRUE, 'Audit Report'!K212,'Audit Report'!L212,'Audit Report'!M212)</f>
        <v/>
      </c>
      <c r="M212" t="str">
        <f>'Audit Report'!O212</f>
        <v/>
      </c>
      <c r="N212" t="str" cm="1">
        <f t="array" ref="N212">IF(M212="","",
_xlfn.TEXTJOIN(", ",TRUE,
    _xlfn.MAP(_xlfn.TEXTSPLIT(M212,","),_xlfn.LAMBDA(_xlpm.x,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2" t="str">
        <f>'Audit Report'!F212</f>
        <v/>
      </c>
      <c r="S212" t="str">
        <f>'Audit Report'!Q212</f>
        <v/>
      </c>
    </row>
    <row r="213" spans="4:19">
      <c r="D213" t="str">
        <f>'Audit Report'!B213</f>
        <v>ITD-SHRXXX-XX212</v>
      </c>
      <c r="E213" t="str">
        <f>'Audit Report'!C213</f>
        <v/>
      </c>
      <c r="I213" t="str">
        <f>_xlfn.XLOOKUP('Audit Report'!D213,Models!G:G,Models!I:I,'Audit Report'!D213,0,1)</f>
        <v/>
      </c>
      <c r="J213" t="str">
        <f>_xlfn.TEXTJOIN(" ",TRUE,'Audit Report'!G213,'Audit Report'!H213)</f>
        <v/>
      </c>
      <c r="L213" t="str">
        <f>_xlfn.TEXTJOIN(", ", TRUE, 'Audit Report'!K213,'Audit Report'!L213,'Audit Report'!M213)</f>
        <v/>
      </c>
      <c r="M213" t="str">
        <f>'Audit Report'!O213</f>
        <v/>
      </c>
      <c r="N213" t="str" cm="1">
        <f t="array" ref="N213">IF(M213="","",
_xlfn.TEXTJOIN(", ",TRUE,
    _xlfn.MAP(_xlfn.TEXTSPLIT(M213,","),_xlfn.LAMBDA(_xlpm.x,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3" t="str">
        <f>'Audit Report'!F213</f>
        <v/>
      </c>
      <c r="S213" t="str">
        <f>'Audit Report'!Q213</f>
        <v/>
      </c>
    </row>
    <row r="214" spans="4:19">
      <c r="D214" t="str">
        <f>'Audit Report'!B214</f>
        <v>ITD-SHRXXX-XX213</v>
      </c>
      <c r="E214" t="str">
        <f>'Audit Report'!C214</f>
        <v/>
      </c>
      <c r="I214" t="str">
        <f>_xlfn.XLOOKUP('Audit Report'!D214,Models!G:G,Models!I:I,'Audit Report'!D214,0,1)</f>
        <v/>
      </c>
      <c r="J214" t="str">
        <f>_xlfn.TEXTJOIN(" ",TRUE,'Audit Report'!G214,'Audit Report'!H214)</f>
        <v/>
      </c>
      <c r="L214" t="str">
        <f>_xlfn.TEXTJOIN(", ", TRUE, 'Audit Report'!K214,'Audit Report'!L214,'Audit Report'!M214)</f>
        <v/>
      </c>
      <c r="M214" t="str">
        <f>'Audit Report'!O214</f>
        <v/>
      </c>
      <c r="N214" t="str" cm="1">
        <f t="array" ref="N214">IF(M214="","",
_xlfn.TEXTJOIN(", ",TRUE,
    _xlfn.MAP(_xlfn.TEXTSPLIT(M214,","),_xlfn.LAMBDA(_xlpm.x,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4" t="str">
        <f>'Audit Report'!F214</f>
        <v/>
      </c>
      <c r="S214" t="str">
        <f>'Audit Report'!Q214</f>
        <v/>
      </c>
    </row>
    <row r="215" spans="4:19">
      <c r="D215" t="str">
        <f>'Audit Report'!B215</f>
        <v>ITD-SHRXXX-XX214</v>
      </c>
      <c r="E215" t="str">
        <f>'Audit Report'!C215</f>
        <v/>
      </c>
      <c r="I215" t="str">
        <f>_xlfn.XLOOKUP('Audit Report'!D215,Models!G:G,Models!I:I,'Audit Report'!D215,0,1)</f>
        <v/>
      </c>
      <c r="J215" t="str">
        <f>_xlfn.TEXTJOIN(" ",TRUE,'Audit Report'!G215,'Audit Report'!H215)</f>
        <v/>
      </c>
      <c r="L215" t="str">
        <f>_xlfn.TEXTJOIN(", ", TRUE, 'Audit Report'!K215,'Audit Report'!L215,'Audit Report'!M215)</f>
        <v/>
      </c>
      <c r="M215" t="str">
        <f>'Audit Report'!O215</f>
        <v/>
      </c>
      <c r="N215" t="str" cm="1">
        <f t="array" ref="N215">IF(M215="","",
_xlfn.TEXTJOIN(", ",TRUE,
    _xlfn.MAP(_xlfn.TEXTSPLIT(M215,","),_xlfn.LAMBDA(_xlpm.x,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5" t="str">
        <f>'Audit Report'!F215</f>
        <v/>
      </c>
      <c r="S215" t="str">
        <f>'Audit Report'!Q215</f>
        <v/>
      </c>
    </row>
    <row r="216" spans="4:19">
      <c r="D216" t="str">
        <f>'Audit Report'!B216</f>
        <v>ITD-SHRXXX-XX215</v>
      </c>
      <c r="E216" t="str">
        <f>'Audit Report'!C216</f>
        <v/>
      </c>
      <c r="I216" t="str">
        <f>_xlfn.XLOOKUP('Audit Report'!D216,Models!G:G,Models!I:I,'Audit Report'!D216,0,1)</f>
        <v/>
      </c>
      <c r="J216" t="str">
        <f>_xlfn.TEXTJOIN(" ",TRUE,'Audit Report'!G216,'Audit Report'!H216)</f>
        <v/>
      </c>
      <c r="L216" t="str">
        <f>_xlfn.TEXTJOIN(", ", TRUE, 'Audit Report'!K216,'Audit Report'!L216,'Audit Report'!M216)</f>
        <v/>
      </c>
      <c r="M216" t="str">
        <f>'Audit Report'!O216</f>
        <v/>
      </c>
      <c r="N216" t="str" cm="1">
        <f t="array" ref="N216">IF(M216="","",
_xlfn.TEXTJOIN(", ",TRUE,
    _xlfn.MAP(_xlfn.TEXTSPLIT(M216,","),_xlfn.LAMBDA(_xlpm.x,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6" t="str">
        <f>'Audit Report'!F216</f>
        <v/>
      </c>
      <c r="S216" t="str">
        <f>'Audit Report'!Q216</f>
        <v/>
      </c>
    </row>
    <row r="217" spans="4:19">
      <c r="D217" t="str">
        <f>'Audit Report'!B217</f>
        <v>ITD-SHRXXX-XX216</v>
      </c>
      <c r="E217" t="str">
        <f>'Audit Report'!C217</f>
        <v/>
      </c>
      <c r="I217" t="str">
        <f>_xlfn.XLOOKUP('Audit Report'!D217,Models!G:G,Models!I:I,'Audit Report'!D217,0,1)</f>
        <v/>
      </c>
      <c r="J217" t="str">
        <f>_xlfn.TEXTJOIN(" ",TRUE,'Audit Report'!G217,'Audit Report'!H217)</f>
        <v/>
      </c>
      <c r="L217" t="str">
        <f>_xlfn.TEXTJOIN(", ", TRUE, 'Audit Report'!K217,'Audit Report'!L217,'Audit Report'!M217)</f>
        <v/>
      </c>
      <c r="M217" t="str">
        <f>'Audit Report'!O217</f>
        <v/>
      </c>
      <c r="N217" t="str" cm="1">
        <f t="array" ref="N217">IF(M217="","",
_xlfn.TEXTJOIN(", ",TRUE,
    _xlfn.MAP(_xlfn.TEXTSPLIT(M217,","),_xlfn.LAMBDA(_xlpm.x,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7" t="str">
        <f>'Audit Report'!F217</f>
        <v/>
      </c>
      <c r="S217" t="str">
        <f>'Audit Report'!Q217</f>
        <v/>
      </c>
    </row>
    <row r="218" spans="4:19">
      <c r="D218" t="str">
        <f>'Audit Report'!B218</f>
        <v>ITD-SHRXXX-XX217</v>
      </c>
      <c r="E218" t="str">
        <f>'Audit Report'!C218</f>
        <v/>
      </c>
      <c r="I218" t="str">
        <f>_xlfn.XLOOKUP('Audit Report'!D218,Models!G:G,Models!I:I,'Audit Report'!D218,0,1)</f>
        <v/>
      </c>
      <c r="J218" t="str">
        <f>_xlfn.TEXTJOIN(" ",TRUE,'Audit Report'!G218,'Audit Report'!H218)</f>
        <v/>
      </c>
      <c r="L218" t="str">
        <f>_xlfn.TEXTJOIN(", ", TRUE, 'Audit Report'!K218,'Audit Report'!L218,'Audit Report'!M218)</f>
        <v/>
      </c>
      <c r="M218" t="str">
        <f>'Audit Report'!O218</f>
        <v/>
      </c>
      <c r="N218" t="str" cm="1">
        <f t="array" ref="N218">IF(M218="","",
_xlfn.TEXTJOIN(", ",TRUE,
    _xlfn.MAP(_xlfn.TEXTSPLIT(M218,","),_xlfn.LAMBDA(_xlpm.x,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8" t="str">
        <f>'Audit Report'!F218</f>
        <v/>
      </c>
      <c r="S218" t="str">
        <f>'Audit Report'!Q218</f>
        <v/>
      </c>
    </row>
    <row r="219" spans="4:19">
      <c r="D219" t="str">
        <f>'Audit Report'!B219</f>
        <v>ITD-SHRXXX-XX218</v>
      </c>
      <c r="E219" t="str">
        <f>'Audit Report'!C219</f>
        <v/>
      </c>
      <c r="I219" t="str">
        <f>_xlfn.XLOOKUP('Audit Report'!D219,Models!G:G,Models!I:I,'Audit Report'!D219,0,1)</f>
        <v/>
      </c>
      <c r="J219" t="str">
        <f>_xlfn.TEXTJOIN(" ",TRUE,'Audit Report'!G219,'Audit Report'!H219)</f>
        <v/>
      </c>
      <c r="L219" t="str">
        <f>_xlfn.TEXTJOIN(", ", TRUE, 'Audit Report'!K219,'Audit Report'!L219,'Audit Report'!M219)</f>
        <v/>
      </c>
      <c r="M219" t="str">
        <f>'Audit Report'!O219</f>
        <v/>
      </c>
      <c r="N219" t="str" cm="1">
        <f t="array" ref="N219">IF(M219="","",
_xlfn.TEXTJOIN(", ",TRUE,
    _xlfn.MAP(_xlfn.TEXTSPLIT(M219,","),_xlfn.LAMBDA(_xlpm.x,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9" t="str">
        <f>'Audit Report'!F219</f>
        <v/>
      </c>
      <c r="S219" t="str">
        <f>'Audit Report'!Q219</f>
        <v/>
      </c>
    </row>
    <row r="220" spans="4:19">
      <c r="D220" t="str">
        <f>'Audit Report'!B220</f>
        <v>ITD-SHRXXX-XX219</v>
      </c>
      <c r="E220" t="str">
        <f>'Audit Report'!C220</f>
        <v/>
      </c>
      <c r="I220" t="str">
        <f>_xlfn.XLOOKUP('Audit Report'!D220,Models!G:G,Models!I:I,'Audit Report'!D220,0,1)</f>
        <v/>
      </c>
      <c r="J220" t="str">
        <f>_xlfn.TEXTJOIN(" ",TRUE,'Audit Report'!G220,'Audit Report'!H220)</f>
        <v/>
      </c>
      <c r="L220" t="str">
        <f>_xlfn.TEXTJOIN(", ", TRUE, 'Audit Report'!K220,'Audit Report'!L220,'Audit Report'!M220)</f>
        <v/>
      </c>
      <c r="M220" t="str">
        <f>'Audit Report'!O220</f>
        <v/>
      </c>
      <c r="N220" t="str" cm="1">
        <f t="array" ref="N220">IF(M220="","",
_xlfn.TEXTJOIN(", ",TRUE,
    _xlfn.MAP(_xlfn.TEXTSPLIT(M220,","),_xlfn.LAMBDA(_xlpm.x,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0" t="str">
        <f>'Audit Report'!F220</f>
        <v/>
      </c>
      <c r="S220" t="str">
        <f>'Audit Report'!Q220</f>
        <v/>
      </c>
    </row>
    <row r="221" spans="4:19">
      <c r="D221" t="str">
        <f>'Audit Report'!B221</f>
        <v>ITD-SHRXXX-XX220</v>
      </c>
      <c r="E221" t="str">
        <f>'Audit Report'!C221</f>
        <v/>
      </c>
      <c r="I221" t="str">
        <f>_xlfn.XLOOKUP('Audit Report'!D221,Models!G:G,Models!I:I,'Audit Report'!D221,0,1)</f>
        <v/>
      </c>
      <c r="J221" t="str">
        <f>_xlfn.TEXTJOIN(" ",TRUE,'Audit Report'!G221,'Audit Report'!H221)</f>
        <v/>
      </c>
      <c r="L221" t="str">
        <f>_xlfn.TEXTJOIN(", ", TRUE, 'Audit Report'!K221,'Audit Report'!L221,'Audit Report'!M221)</f>
        <v/>
      </c>
      <c r="M221" t="str">
        <f>'Audit Report'!O221</f>
        <v/>
      </c>
      <c r="N221" t="str" cm="1">
        <f t="array" ref="N221">IF(M221="","",
_xlfn.TEXTJOIN(", ",TRUE,
    _xlfn.MAP(_xlfn.TEXTSPLIT(M221,","),_xlfn.LAMBDA(_xlpm.x,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1" t="str">
        <f>'Audit Report'!F221</f>
        <v/>
      </c>
      <c r="S221" t="str">
        <f>'Audit Report'!Q221</f>
        <v/>
      </c>
    </row>
    <row r="222" spans="4:19">
      <c r="D222" t="str">
        <f>'Audit Report'!B222</f>
        <v>ITD-SHRXXX-XX221</v>
      </c>
      <c r="E222" t="str">
        <f>'Audit Report'!C222</f>
        <v/>
      </c>
      <c r="I222" t="str">
        <f>_xlfn.XLOOKUP('Audit Report'!D222,Models!G:G,Models!I:I,'Audit Report'!D222,0,1)</f>
        <v/>
      </c>
      <c r="J222" t="str">
        <f>_xlfn.TEXTJOIN(" ",TRUE,'Audit Report'!G222,'Audit Report'!H222)</f>
        <v/>
      </c>
      <c r="L222" t="str">
        <f>_xlfn.TEXTJOIN(", ", TRUE, 'Audit Report'!K222,'Audit Report'!L222,'Audit Report'!M222)</f>
        <v/>
      </c>
      <c r="M222" t="str">
        <f>'Audit Report'!O222</f>
        <v/>
      </c>
      <c r="N222" t="str" cm="1">
        <f t="array" ref="N222">IF(M222="","",
_xlfn.TEXTJOIN(", ",TRUE,
    _xlfn.MAP(_xlfn.TEXTSPLIT(M222,","),_xlfn.LAMBDA(_xlpm.x,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2" t="str">
        <f>'Audit Report'!F222</f>
        <v/>
      </c>
      <c r="S222" t="str">
        <f>'Audit Report'!Q222</f>
        <v/>
      </c>
    </row>
    <row r="223" spans="4:19">
      <c r="D223" t="str">
        <f>'Audit Report'!B223</f>
        <v>ITD-SHRXXX-XX222</v>
      </c>
      <c r="E223" t="str">
        <f>'Audit Report'!C223</f>
        <v/>
      </c>
      <c r="I223" t="str">
        <f>_xlfn.XLOOKUP('Audit Report'!D223,Models!G:G,Models!I:I,'Audit Report'!D223,0,1)</f>
        <v/>
      </c>
      <c r="J223" t="str">
        <f>_xlfn.TEXTJOIN(" ",TRUE,'Audit Report'!G223,'Audit Report'!H223)</f>
        <v/>
      </c>
      <c r="L223" t="str">
        <f>_xlfn.TEXTJOIN(", ", TRUE, 'Audit Report'!K223,'Audit Report'!L223,'Audit Report'!M223)</f>
        <v/>
      </c>
      <c r="M223" t="str">
        <f>'Audit Report'!O223</f>
        <v/>
      </c>
      <c r="N223" t="str" cm="1">
        <f t="array" ref="N223">IF(M223="","",
_xlfn.TEXTJOIN(", ",TRUE,
    _xlfn.MAP(_xlfn.TEXTSPLIT(M223,","),_xlfn.LAMBDA(_xlpm.x,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3" t="str">
        <f>'Audit Report'!F223</f>
        <v/>
      </c>
      <c r="S223" t="str">
        <f>'Audit Report'!Q223</f>
        <v/>
      </c>
    </row>
    <row r="224" spans="4:19">
      <c r="D224" t="str">
        <f>'Audit Report'!B224</f>
        <v>ITD-SHRXXX-XX223</v>
      </c>
      <c r="E224" t="str">
        <f>'Audit Report'!C224</f>
        <v/>
      </c>
      <c r="I224" t="str">
        <f>_xlfn.XLOOKUP('Audit Report'!D224,Models!G:G,Models!I:I,'Audit Report'!D224,0,1)</f>
        <v/>
      </c>
      <c r="J224" t="str">
        <f>_xlfn.TEXTJOIN(" ",TRUE,'Audit Report'!G224,'Audit Report'!H224)</f>
        <v/>
      </c>
      <c r="L224" t="str">
        <f>_xlfn.TEXTJOIN(", ", TRUE, 'Audit Report'!K224,'Audit Report'!L224,'Audit Report'!M224)</f>
        <v/>
      </c>
      <c r="M224" t="str">
        <f>'Audit Report'!O224</f>
        <v/>
      </c>
      <c r="N224" t="str" cm="1">
        <f t="array" ref="N224">IF(M224="","",
_xlfn.TEXTJOIN(", ",TRUE,
    _xlfn.MAP(_xlfn.TEXTSPLIT(M224,","),_xlfn.LAMBDA(_xlpm.x,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4" t="str">
        <f>'Audit Report'!F224</f>
        <v/>
      </c>
      <c r="S224" t="str">
        <f>'Audit Report'!Q224</f>
        <v/>
      </c>
    </row>
    <row r="225" spans="4:19">
      <c r="D225" t="str">
        <f>'Audit Report'!B225</f>
        <v>ITD-SHRXXX-XX224</v>
      </c>
      <c r="E225" t="str">
        <f>'Audit Report'!C225</f>
        <v/>
      </c>
      <c r="I225" t="str">
        <f>_xlfn.XLOOKUP('Audit Report'!D225,Models!G:G,Models!I:I,'Audit Report'!D225,0,1)</f>
        <v/>
      </c>
      <c r="J225" t="str">
        <f>_xlfn.TEXTJOIN(" ",TRUE,'Audit Report'!G225,'Audit Report'!H225)</f>
        <v/>
      </c>
      <c r="L225" t="str">
        <f>_xlfn.TEXTJOIN(", ", TRUE, 'Audit Report'!K225,'Audit Report'!L225,'Audit Report'!M225)</f>
        <v/>
      </c>
      <c r="M225" t="str">
        <f>'Audit Report'!O225</f>
        <v/>
      </c>
      <c r="N225" t="str" cm="1">
        <f t="array" ref="N225">IF(M225="","",
_xlfn.TEXTJOIN(", ",TRUE,
    _xlfn.MAP(_xlfn.TEXTSPLIT(M225,","),_xlfn.LAMBDA(_xlpm.x,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5" t="str">
        <f>'Audit Report'!F225</f>
        <v/>
      </c>
      <c r="S225" t="str">
        <f>'Audit Report'!Q225</f>
        <v/>
      </c>
    </row>
    <row r="226" spans="4:19">
      <c r="D226" t="str">
        <f>'Audit Report'!B226</f>
        <v>ITD-SHRXXX-XX225</v>
      </c>
      <c r="E226" t="str">
        <f>'Audit Report'!C226</f>
        <v/>
      </c>
      <c r="I226" t="str">
        <f>_xlfn.XLOOKUP('Audit Report'!D226,Models!G:G,Models!I:I,'Audit Report'!D226,0,1)</f>
        <v/>
      </c>
      <c r="J226" t="str">
        <f>_xlfn.TEXTJOIN(" ",TRUE,'Audit Report'!G226,'Audit Report'!H226)</f>
        <v/>
      </c>
      <c r="L226" t="str">
        <f>_xlfn.TEXTJOIN(", ", TRUE, 'Audit Report'!K226,'Audit Report'!L226,'Audit Report'!M226)</f>
        <v/>
      </c>
      <c r="M226" t="str">
        <f>'Audit Report'!O226</f>
        <v/>
      </c>
      <c r="N226" t="str" cm="1">
        <f t="array" ref="N226">IF(M226="","",
_xlfn.TEXTJOIN(", ",TRUE,
    _xlfn.MAP(_xlfn.TEXTSPLIT(M226,","),_xlfn.LAMBDA(_xlpm.x,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6" t="str">
        <f>'Audit Report'!F226</f>
        <v/>
      </c>
      <c r="S226" t="str">
        <f>'Audit Report'!Q226</f>
        <v/>
      </c>
    </row>
    <row r="227" spans="4:19">
      <c r="D227" t="str">
        <f>'Audit Report'!B227</f>
        <v>ITD-SHRXXX-XX226</v>
      </c>
      <c r="E227" t="str">
        <f>'Audit Report'!C227</f>
        <v/>
      </c>
      <c r="I227" t="str">
        <f>_xlfn.XLOOKUP('Audit Report'!D227,Models!G:G,Models!I:I,'Audit Report'!D227,0,1)</f>
        <v/>
      </c>
      <c r="J227" t="str">
        <f>_xlfn.TEXTJOIN(" ",TRUE,'Audit Report'!G227,'Audit Report'!H227)</f>
        <v/>
      </c>
      <c r="L227" t="str">
        <f>_xlfn.TEXTJOIN(", ", TRUE, 'Audit Report'!K227,'Audit Report'!L227,'Audit Report'!M227)</f>
        <v/>
      </c>
      <c r="M227" t="str">
        <f>'Audit Report'!O227</f>
        <v/>
      </c>
      <c r="N227" t="str" cm="1">
        <f t="array" ref="N227">IF(M227="","",
_xlfn.TEXTJOIN(", ",TRUE,
    _xlfn.MAP(_xlfn.TEXTSPLIT(M227,","),_xlfn.LAMBDA(_xlpm.x,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7" t="str">
        <f>'Audit Report'!F227</f>
        <v/>
      </c>
      <c r="S227" t="str">
        <f>'Audit Report'!Q227</f>
        <v/>
      </c>
    </row>
    <row r="228" spans="4:19">
      <c r="D228" t="str">
        <f>'Audit Report'!B228</f>
        <v>ITD-SHRXXX-XX227</v>
      </c>
      <c r="E228" t="str">
        <f>'Audit Report'!C228</f>
        <v/>
      </c>
      <c r="I228" t="str">
        <f>_xlfn.XLOOKUP('Audit Report'!D228,Models!G:G,Models!I:I,'Audit Report'!D228,0,1)</f>
        <v/>
      </c>
      <c r="J228" t="str">
        <f>_xlfn.TEXTJOIN(" ",TRUE,'Audit Report'!G228,'Audit Report'!H228)</f>
        <v/>
      </c>
      <c r="L228" t="str">
        <f>_xlfn.TEXTJOIN(", ", TRUE, 'Audit Report'!K228,'Audit Report'!L228,'Audit Report'!M228)</f>
        <v/>
      </c>
      <c r="M228" t="str">
        <f>'Audit Report'!O228</f>
        <v/>
      </c>
      <c r="N228" t="str" cm="1">
        <f t="array" ref="N228">IF(M228="","",
_xlfn.TEXTJOIN(", ",TRUE,
    _xlfn.MAP(_xlfn.TEXTSPLIT(M228,","),_xlfn.LAMBDA(_xlpm.x,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8" t="str">
        <f>'Audit Report'!F228</f>
        <v/>
      </c>
      <c r="S228" t="str">
        <f>'Audit Report'!Q228</f>
        <v/>
      </c>
    </row>
    <row r="229" spans="4:19">
      <c r="D229" t="str">
        <f>'Audit Report'!B229</f>
        <v>ITD-SHRXXX-XX228</v>
      </c>
      <c r="E229" t="str">
        <f>'Audit Report'!C229</f>
        <v/>
      </c>
      <c r="I229" t="str">
        <f>_xlfn.XLOOKUP('Audit Report'!D229,Models!G:G,Models!I:I,'Audit Report'!D229,0,1)</f>
        <v/>
      </c>
      <c r="J229" t="str">
        <f>_xlfn.TEXTJOIN(" ",TRUE,'Audit Report'!G229,'Audit Report'!H229)</f>
        <v/>
      </c>
      <c r="L229" t="str">
        <f>_xlfn.TEXTJOIN(", ", TRUE, 'Audit Report'!K229,'Audit Report'!L229,'Audit Report'!M229)</f>
        <v/>
      </c>
      <c r="M229" t="str">
        <f>'Audit Report'!O229</f>
        <v/>
      </c>
      <c r="N229" t="str" cm="1">
        <f t="array" ref="N229">IF(M229="","",
_xlfn.TEXTJOIN(", ",TRUE,
    _xlfn.MAP(_xlfn.TEXTSPLIT(M229,","),_xlfn.LAMBDA(_xlpm.x,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9" t="str">
        <f>'Audit Report'!F229</f>
        <v/>
      </c>
      <c r="S229" t="str">
        <f>'Audit Report'!Q229</f>
        <v/>
      </c>
    </row>
    <row r="230" spans="4:19">
      <c r="D230" t="str">
        <f>'Audit Report'!B230</f>
        <v>ITD-SHRXXX-XX229</v>
      </c>
      <c r="E230" t="str">
        <f>'Audit Report'!C230</f>
        <v/>
      </c>
      <c r="I230" t="str">
        <f>_xlfn.XLOOKUP('Audit Report'!D230,Models!G:G,Models!I:I,'Audit Report'!D230,0,1)</f>
        <v/>
      </c>
      <c r="J230" t="str">
        <f>_xlfn.TEXTJOIN(" ",TRUE,'Audit Report'!G230,'Audit Report'!H230)</f>
        <v/>
      </c>
      <c r="L230" t="str">
        <f>_xlfn.TEXTJOIN(", ", TRUE, 'Audit Report'!K230,'Audit Report'!L230,'Audit Report'!M230)</f>
        <v/>
      </c>
      <c r="M230" t="str">
        <f>'Audit Report'!O230</f>
        <v/>
      </c>
      <c r="N230" t="str" cm="1">
        <f t="array" ref="N230">IF(M230="","",
_xlfn.TEXTJOIN(", ",TRUE,
    _xlfn.MAP(_xlfn.TEXTSPLIT(M230,","),_xlfn.LAMBDA(_xlpm.x,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0" t="str">
        <f>'Audit Report'!F230</f>
        <v/>
      </c>
      <c r="S230" t="str">
        <f>'Audit Report'!Q230</f>
        <v/>
      </c>
    </row>
    <row r="231" spans="4:19">
      <c r="D231" t="str">
        <f>'Audit Report'!B231</f>
        <v>ITD-SHRXXX-XX230</v>
      </c>
      <c r="E231" t="str">
        <f>'Audit Report'!C231</f>
        <v/>
      </c>
      <c r="I231" t="str">
        <f>_xlfn.XLOOKUP('Audit Report'!D231,Models!G:G,Models!I:I,'Audit Report'!D231,0,1)</f>
        <v/>
      </c>
      <c r="J231" t="str">
        <f>_xlfn.TEXTJOIN(" ",TRUE,'Audit Report'!G231,'Audit Report'!H231)</f>
        <v/>
      </c>
      <c r="L231" t="str">
        <f>_xlfn.TEXTJOIN(", ", TRUE, 'Audit Report'!K231,'Audit Report'!L231,'Audit Report'!M231)</f>
        <v/>
      </c>
      <c r="M231" t="str">
        <f>'Audit Report'!O231</f>
        <v/>
      </c>
      <c r="N231" t="str" cm="1">
        <f t="array" ref="N231">IF(M231="","",
_xlfn.TEXTJOIN(", ",TRUE,
    _xlfn.MAP(_xlfn.TEXTSPLIT(M231,","),_xlfn.LAMBDA(_xlpm.x,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1" t="str">
        <f>'Audit Report'!F231</f>
        <v/>
      </c>
      <c r="S231" t="str">
        <f>'Audit Report'!Q231</f>
        <v/>
      </c>
    </row>
    <row r="232" spans="4:19">
      <c r="D232" t="str">
        <f>'Audit Report'!B232</f>
        <v>ITD-SHRXXX-XX231</v>
      </c>
      <c r="E232" t="str">
        <f>'Audit Report'!C232</f>
        <v/>
      </c>
      <c r="I232" t="str">
        <f>_xlfn.XLOOKUP('Audit Report'!D232,Models!G:G,Models!I:I,'Audit Report'!D232,0,1)</f>
        <v/>
      </c>
      <c r="J232" t="str">
        <f>_xlfn.TEXTJOIN(" ",TRUE,'Audit Report'!G232,'Audit Report'!H232)</f>
        <v/>
      </c>
      <c r="L232" t="str">
        <f>_xlfn.TEXTJOIN(", ", TRUE, 'Audit Report'!K232,'Audit Report'!L232,'Audit Report'!M232)</f>
        <v/>
      </c>
      <c r="M232" t="str">
        <f>'Audit Report'!O232</f>
        <v/>
      </c>
      <c r="N232" t="str" cm="1">
        <f t="array" ref="N232">IF(M232="","",
_xlfn.TEXTJOIN(", ",TRUE,
    _xlfn.MAP(_xlfn.TEXTSPLIT(M232,","),_xlfn.LAMBDA(_xlpm.x,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2" t="str">
        <f>'Audit Report'!F232</f>
        <v/>
      </c>
      <c r="S232" t="str">
        <f>'Audit Report'!Q232</f>
        <v/>
      </c>
    </row>
    <row r="233" spans="4:19">
      <c r="D233" t="str">
        <f>'Audit Report'!B233</f>
        <v>ITD-SHRXXX-XX232</v>
      </c>
      <c r="E233" t="str">
        <f>'Audit Report'!C233</f>
        <v/>
      </c>
      <c r="I233" t="str">
        <f>_xlfn.XLOOKUP('Audit Report'!D233,Models!G:G,Models!I:I,'Audit Report'!D233,0,1)</f>
        <v/>
      </c>
      <c r="J233" t="str">
        <f>_xlfn.TEXTJOIN(" ",TRUE,'Audit Report'!G233,'Audit Report'!H233)</f>
        <v/>
      </c>
      <c r="L233" t="str">
        <f>_xlfn.TEXTJOIN(", ", TRUE, 'Audit Report'!K233,'Audit Report'!L233,'Audit Report'!M233)</f>
        <v/>
      </c>
      <c r="M233" t="str">
        <f>'Audit Report'!O233</f>
        <v/>
      </c>
      <c r="N233" t="str" cm="1">
        <f t="array" ref="N233">IF(M233="","",
_xlfn.TEXTJOIN(", ",TRUE,
    _xlfn.MAP(_xlfn.TEXTSPLIT(M233,","),_xlfn.LAMBDA(_xlpm.x,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3" t="str">
        <f>'Audit Report'!F233</f>
        <v/>
      </c>
      <c r="S233" t="str">
        <f>'Audit Report'!Q233</f>
        <v/>
      </c>
    </row>
    <row r="234" spans="4:19">
      <c r="D234" t="str">
        <f>'Audit Report'!B234</f>
        <v>ITD-SHRXXX-XX233</v>
      </c>
      <c r="E234" t="str">
        <f>'Audit Report'!C234</f>
        <v/>
      </c>
      <c r="I234" t="str">
        <f>_xlfn.XLOOKUP('Audit Report'!D234,Models!G:G,Models!I:I,'Audit Report'!D234,0,1)</f>
        <v/>
      </c>
      <c r="J234" t="str">
        <f>_xlfn.TEXTJOIN(" ",TRUE,'Audit Report'!G234,'Audit Report'!H234)</f>
        <v/>
      </c>
      <c r="L234" t="str">
        <f>_xlfn.TEXTJOIN(", ", TRUE, 'Audit Report'!K234,'Audit Report'!L234,'Audit Report'!M234)</f>
        <v/>
      </c>
      <c r="M234" t="str">
        <f>'Audit Report'!O234</f>
        <v/>
      </c>
      <c r="N234" t="str" cm="1">
        <f t="array" ref="N234">IF(M234="","",
_xlfn.TEXTJOIN(", ",TRUE,
    _xlfn.MAP(_xlfn.TEXTSPLIT(M234,","),_xlfn.LAMBDA(_xlpm.x,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4" t="str">
        <f>'Audit Report'!F234</f>
        <v/>
      </c>
      <c r="S234" t="str">
        <f>'Audit Report'!Q234</f>
        <v/>
      </c>
    </row>
    <row r="235" spans="4:19">
      <c r="D235" t="str">
        <f>'Audit Report'!B235</f>
        <v>ITD-SHRXXX-XX234</v>
      </c>
      <c r="E235" t="str">
        <f>'Audit Report'!C235</f>
        <v/>
      </c>
      <c r="I235" t="str">
        <f>_xlfn.XLOOKUP('Audit Report'!D235,Models!G:G,Models!I:I,'Audit Report'!D235,0,1)</f>
        <v/>
      </c>
      <c r="J235" t="str">
        <f>_xlfn.TEXTJOIN(" ",TRUE,'Audit Report'!G235,'Audit Report'!H235)</f>
        <v/>
      </c>
      <c r="L235" t="str">
        <f>_xlfn.TEXTJOIN(", ", TRUE, 'Audit Report'!K235,'Audit Report'!L235,'Audit Report'!M235)</f>
        <v/>
      </c>
      <c r="M235" t="str">
        <f>'Audit Report'!O235</f>
        <v/>
      </c>
      <c r="N235" t="str" cm="1">
        <f t="array" ref="N235">IF(M235="","",
_xlfn.TEXTJOIN(", ",TRUE,
    _xlfn.MAP(_xlfn.TEXTSPLIT(M235,","),_xlfn.LAMBDA(_xlpm.x,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5" t="str">
        <f>'Audit Report'!F235</f>
        <v/>
      </c>
      <c r="S235" t="str">
        <f>'Audit Report'!Q235</f>
        <v/>
      </c>
    </row>
    <row r="236" spans="4:19">
      <c r="D236" t="str">
        <f>'Audit Report'!B236</f>
        <v>ITD-SHRXXX-XX235</v>
      </c>
      <c r="E236" t="str">
        <f>'Audit Report'!C236</f>
        <v/>
      </c>
      <c r="I236" t="str">
        <f>_xlfn.XLOOKUP('Audit Report'!D236,Models!G:G,Models!I:I,'Audit Report'!D236,0,1)</f>
        <v/>
      </c>
      <c r="J236" t="str">
        <f>_xlfn.TEXTJOIN(" ",TRUE,'Audit Report'!G236,'Audit Report'!H236)</f>
        <v/>
      </c>
      <c r="L236" t="str">
        <f>_xlfn.TEXTJOIN(", ", TRUE, 'Audit Report'!K236,'Audit Report'!L236,'Audit Report'!M236)</f>
        <v/>
      </c>
      <c r="M236" t="str">
        <f>'Audit Report'!O236</f>
        <v/>
      </c>
      <c r="N236" t="str" cm="1">
        <f t="array" ref="N236">IF(M236="","",
_xlfn.TEXTJOIN(", ",TRUE,
    _xlfn.MAP(_xlfn.TEXTSPLIT(M236,","),_xlfn.LAMBDA(_xlpm.x,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6" t="str">
        <f>'Audit Report'!F236</f>
        <v/>
      </c>
      <c r="S236" t="str">
        <f>'Audit Report'!Q236</f>
        <v/>
      </c>
    </row>
    <row r="237" spans="4:19">
      <c r="D237" t="str">
        <f>'Audit Report'!B237</f>
        <v>ITD-SHRXXX-XX236</v>
      </c>
      <c r="E237" t="str">
        <f>'Audit Report'!C237</f>
        <v/>
      </c>
      <c r="I237" t="str">
        <f>_xlfn.XLOOKUP('Audit Report'!D237,Models!G:G,Models!I:I,'Audit Report'!D237,0,1)</f>
        <v/>
      </c>
      <c r="J237" t="str">
        <f>_xlfn.TEXTJOIN(" ",TRUE,'Audit Report'!G237,'Audit Report'!H237)</f>
        <v/>
      </c>
      <c r="L237" t="str">
        <f>_xlfn.TEXTJOIN(", ", TRUE, 'Audit Report'!K237,'Audit Report'!L237,'Audit Report'!M237)</f>
        <v/>
      </c>
      <c r="M237" t="str">
        <f>'Audit Report'!O237</f>
        <v/>
      </c>
      <c r="N237" t="str" cm="1">
        <f t="array" ref="N237">IF(M237="","",
_xlfn.TEXTJOIN(", ",TRUE,
    _xlfn.MAP(_xlfn.TEXTSPLIT(M237,","),_xlfn.LAMBDA(_xlpm.x,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7" t="str">
        <f>'Audit Report'!F237</f>
        <v/>
      </c>
      <c r="S237" t="str">
        <f>'Audit Report'!Q237</f>
        <v/>
      </c>
    </row>
    <row r="238" spans="4:19">
      <c r="D238" t="str">
        <f>'Audit Report'!B238</f>
        <v>ITD-SHRXXX-XX237</v>
      </c>
      <c r="E238" t="str">
        <f>'Audit Report'!C238</f>
        <v/>
      </c>
      <c r="I238" t="str">
        <f>_xlfn.XLOOKUP('Audit Report'!D238,Models!G:G,Models!I:I,'Audit Report'!D238,0,1)</f>
        <v/>
      </c>
      <c r="J238" t="str">
        <f>_xlfn.TEXTJOIN(" ",TRUE,'Audit Report'!G238,'Audit Report'!H238)</f>
        <v/>
      </c>
      <c r="L238" t="str">
        <f>_xlfn.TEXTJOIN(", ", TRUE, 'Audit Report'!K238,'Audit Report'!L238,'Audit Report'!M238)</f>
        <v/>
      </c>
      <c r="M238" t="str">
        <f>'Audit Report'!O238</f>
        <v/>
      </c>
      <c r="N238" t="str" cm="1">
        <f t="array" ref="N238">IF(M238="","",
_xlfn.TEXTJOIN(", ",TRUE,
    _xlfn.MAP(_xlfn.TEXTSPLIT(M238,","),_xlfn.LAMBDA(_xlpm.x,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8" t="str">
        <f>'Audit Report'!F238</f>
        <v/>
      </c>
      <c r="S238" t="str">
        <f>'Audit Report'!Q238</f>
        <v/>
      </c>
    </row>
    <row r="239" spans="4:19">
      <c r="D239" t="str">
        <f>'Audit Report'!B239</f>
        <v>ITD-SHRXXX-XX238</v>
      </c>
      <c r="E239" t="str">
        <f>'Audit Report'!C239</f>
        <v/>
      </c>
      <c r="I239" t="str">
        <f>_xlfn.XLOOKUP('Audit Report'!D239,Models!G:G,Models!I:I,'Audit Report'!D239,0,1)</f>
        <v/>
      </c>
      <c r="J239" t="str">
        <f>_xlfn.TEXTJOIN(" ",TRUE,'Audit Report'!G239,'Audit Report'!H239)</f>
        <v/>
      </c>
      <c r="L239" t="str">
        <f>_xlfn.TEXTJOIN(", ", TRUE, 'Audit Report'!K239,'Audit Report'!L239,'Audit Report'!M239)</f>
        <v/>
      </c>
      <c r="M239" t="str">
        <f>'Audit Report'!O239</f>
        <v/>
      </c>
      <c r="N239" t="str" cm="1">
        <f t="array" ref="N239">IF(M239="","",
_xlfn.TEXTJOIN(", ",TRUE,
    _xlfn.MAP(_xlfn.TEXTSPLIT(M239,","),_xlfn.LAMBDA(_xlpm.x,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9" t="str">
        <f>'Audit Report'!F239</f>
        <v/>
      </c>
      <c r="S239" t="str">
        <f>'Audit Report'!Q239</f>
        <v/>
      </c>
    </row>
    <row r="240" spans="4:19">
      <c r="D240" t="str">
        <f>'Audit Report'!B240</f>
        <v>ITD-SHRXXX-XX239</v>
      </c>
      <c r="E240" t="str">
        <f>'Audit Report'!C240</f>
        <v/>
      </c>
      <c r="I240" t="str">
        <f>_xlfn.XLOOKUP('Audit Report'!D240,Models!G:G,Models!I:I,'Audit Report'!D240,0,1)</f>
        <v/>
      </c>
      <c r="J240" t="str">
        <f>_xlfn.TEXTJOIN(" ",TRUE,'Audit Report'!G240,'Audit Report'!H240)</f>
        <v/>
      </c>
      <c r="L240" t="str">
        <f>_xlfn.TEXTJOIN(", ", TRUE, 'Audit Report'!K240,'Audit Report'!L240,'Audit Report'!M240)</f>
        <v/>
      </c>
      <c r="M240" t="str">
        <f>'Audit Report'!O240</f>
        <v/>
      </c>
      <c r="N240" t="str" cm="1">
        <f t="array" ref="N240">IF(M240="","",
_xlfn.TEXTJOIN(", ",TRUE,
    _xlfn.MAP(_xlfn.TEXTSPLIT(M240,","),_xlfn.LAMBDA(_xlpm.x,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0" t="str">
        <f>'Audit Report'!F240</f>
        <v/>
      </c>
      <c r="S240" t="str">
        <f>'Audit Report'!Q240</f>
        <v/>
      </c>
    </row>
    <row r="241" spans="4:19">
      <c r="D241" t="str">
        <f>'Audit Report'!B241</f>
        <v>ITD-SHRXXX-XX240</v>
      </c>
      <c r="E241" t="str">
        <f>'Audit Report'!C241</f>
        <v/>
      </c>
      <c r="I241" t="str">
        <f>_xlfn.XLOOKUP('Audit Report'!D241,Models!G:G,Models!I:I,'Audit Report'!D241,0,1)</f>
        <v/>
      </c>
      <c r="J241" t="str">
        <f>_xlfn.TEXTJOIN(" ",TRUE,'Audit Report'!G241,'Audit Report'!H241)</f>
        <v/>
      </c>
      <c r="L241" t="str">
        <f>_xlfn.TEXTJOIN(", ", TRUE, 'Audit Report'!K241,'Audit Report'!L241,'Audit Report'!M241)</f>
        <v/>
      </c>
      <c r="M241" t="str">
        <f>'Audit Report'!O241</f>
        <v/>
      </c>
      <c r="N241" t="str" cm="1">
        <f t="array" ref="N241">IF(M241="","",
_xlfn.TEXTJOIN(", ",TRUE,
    _xlfn.MAP(_xlfn.TEXTSPLIT(M241,","),_xlfn.LAMBDA(_xlpm.x,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1" t="str">
        <f>'Audit Report'!F241</f>
        <v/>
      </c>
      <c r="S241" t="str">
        <f>'Audit Report'!Q241</f>
        <v/>
      </c>
    </row>
    <row r="242" spans="4:19">
      <c r="D242" t="str">
        <f>'Audit Report'!B242</f>
        <v>ITD-SHRXXX-XX241</v>
      </c>
      <c r="E242" t="str">
        <f>'Audit Report'!C242</f>
        <v/>
      </c>
      <c r="I242" t="str">
        <f>_xlfn.XLOOKUP('Audit Report'!D242,Models!G:G,Models!I:I,'Audit Report'!D242,0,1)</f>
        <v/>
      </c>
      <c r="J242" t="str">
        <f>_xlfn.TEXTJOIN(" ",TRUE,'Audit Report'!G242,'Audit Report'!H242)</f>
        <v/>
      </c>
      <c r="L242" t="str">
        <f>_xlfn.TEXTJOIN(", ", TRUE, 'Audit Report'!K242,'Audit Report'!L242,'Audit Report'!M242)</f>
        <v/>
      </c>
      <c r="M242" t="str">
        <f>'Audit Report'!O242</f>
        <v/>
      </c>
      <c r="N242" t="str" cm="1">
        <f t="array" ref="N242">IF(M242="","",
_xlfn.TEXTJOIN(", ",TRUE,
    _xlfn.MAP(_xlfn.TEXTSPLIT(M242,","),_xlfn.LAMBDA(_xlpm.x,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2" t="str">
        <f>'Audit Report'!F242</f>
        <v/>
      </c>
      <c r="S242" t="str">
        <f>'Audit Report'!Q242</f>
        <v/>
      </c>
    </row>
    <row r="243" spans="4:19">
      <c r="D243" t="str">
        <f>'Audit Report'!B243</f>
        <v>ITD-SHRXXX-XX242</v>
      </c>
      <c r="E243" t="str">
        <f>'Audit Report'!C243</f>
        <v/>
      </c>
      <c r="I243" t="str">
        <f>_xlfn.XLOOKUP('Audit Report'!D243,Models!G:G,Models!I:I,'Audit Report'!D243,0,1)</f>
        <v/>
      </c>
      <c r="J243" t="str">
        <f>_xlfn.TEXTJOIN(" ",TRUE,'Audit Report'!G243,'Audit Report'!H243)</f>
        <v/>
      </c>
      <c r="L243" t="str">
        <f>_xlfn.TEXTJOIN(", ", TRUE, 'Audit Report'!K243,'Audit Report'!L243,'Audit Report'!M243)</f>
        <v/>
      </c>
      <c r="M243" t="str">
        <f>'Audit Report'!O243</f>
        <v/>
      </c>
      <c r="N243" t="str" cm="1">
        <f t="array" ref="N243">IF(M243="","",
_xlfn.TEXTJOIN(", ",TRUE,
    _xlfn.MAP(_xlfn.TEXTSPLIT(M243,","),_xlfn.LAMBDA(_xlpm.x,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3" t="str">
        <f>'Audit Report'!F243</f>
        <v/>
      </c>
      <c r="S243" t="str">
        <f>'Audit Report'!Q243</f>
        <v/>
      </c>
    </row>
    <row r="244" spans="4:19">
      <c r="D244" t="str">
        <f>'Audit Report'!B244</f>
        <v>ITD-SHRXXX-XX243</v>
      </c>
      <c r="E244" t="str">
        <f>'Audit Report'!C244</f>
        <v/>
      </c>
      <c r="I244" t="str">
        <f>_xlfn.XLOOKUP('Audit Report'!D244,Models!G:G,Models!I:I,'Audit Report'!D244,0,1)</f>
        <v/>
      </c>
      <c r="J244" t="str">
        <f>_xlfn.TEXTJOIN(" ",TRUE,'Audit Report'!G244,'Audit Report'!H244)</f>
        <v/>
      </c>
      <c r="L244" t="str">
        <f>_xlfn.TEXTJOIN(", ", TRUE, 'Audit Report'!K244,'Audit Report'!L244,'Audit Report'!M244)</f>
        <v/>
      </c>
      <c r="M244" t="str">
        <f>'Audit Report'!O244</f>
        <v/>
      </c>
      <c r="N244" t="str" cm="1">
        <f t="array" ref="N244">IF(M244="","",
_xlfn.TEXTJOIN(", ",TRUE,
    _xlfn.MAP(_xlfn.TEXTSPLIT(M244,","),_xlfn.LAMBDA(_xlpm.x,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4" t="str">
        <f>'Audit Report'!F244</f>
        <v/>
      </c>
      <c r="S244" t="str">
        <f>'Audit Report'!Q244</f>
        <v/>
      </c>
    </row>
    <row r="245" spans="4:19">
      <c r="D245" t="str">
        <f>'Audit Report'!B245</f>
        <v>ITD-SHRXXX-XX244</v>
      </c>
      <c r="E245" t="str">
        <f>'Audit Report'!C245</f>
        <v/>
      </c>
      <c r="I245" t="str">
        <f>_xlfn.XLOOKUP('Audit Report'!D245,Models!G:G,Models!I:I,'Audit Report'!D245,0,1)</f>
        <v/>
      </c>
      <c r="J245" t="str">
        <f>_xlfn.TEXTJOIN(" ",TRUE,'Audit Report'!G245,'Audit Report'!H245)</f>
        <v/>
      </c>
      <c r="L245" t="str">
        <f>_xlfn.TEXTJOIN(", ", TRUE, 'Audit Report'!K245,'Audit Report'!L245,'Audit Report'!M245)</f>
        <v/>
      </c>
      <c r="M245" t="str">
        <f>'Audit Report'!O245</f>
        <v/>
      </c>
      <c r="N245" t="str" cm="1">
        <f t="array" ref="N245">IF(M245="","",
_xlfn.TEXTJOIN(", ",TRUE,
    _xlfn.MAP(_xlfn.TEXTSPLIT(M245,","),_xlfn.LAMBDA(_xlpm.x,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5" t="str">
        <f>'Audit Report'!F245</f>
        <v/>
      </c>
      <c r="S245" t="str">
        <f>'Audit Report'!Q245</f>
        <v/>
      </c>
    </row>
    <row r="246" spans="4:19">
      <c r="D246" t="str">
        <f>'Audit Report'!B246</f>
        <v>ITD-SHRXXX-XX245</v>
      </c>
      <c r="E246" t="str">
        <f>'Audit Report'!C246</f>
        <v/>
      </c>
      <c r="I246" t="str">
        <f>_xlfn.XLOOKUP('Audit Report'!D246,Models!G:G,Models!I:I,'Audit Report'!D246,0,1)</f>
        <v/>
      </c>
      <c r="J246" t="str">
        <f>_xlfn.TEXTJOIN(" ",TRUE,'Audit Report'!G246,'Audit Report'!H246)</f>
        <v/>
      </c>
      <c r="L246" t="str">
        <f>_xlfn.TEXTJOIN(", ", TRUE, 'Audit Report'!K246,'Audit Report'!L246,'Audit Report'!M246)</f>
        <v/>
      </c>
      <c r="M246" t="str">
        <f>'Audit Report'!O246</f>
        <v/>
      </c>
      <c r="N246" t="str" cm="1">
        <f t="array" ref="N246">IF(M246="","",
_xlfn.TEXTJOIN(", ",TRUE,
    _xlfn.MAP(_xlfn.TEXTSPLIT(M246,","),_xlfn.LAMBDA(_xlpm.x,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6" t="str">
        <f>'Audit Report'!F246</f>
        <v/>
      </c>
      <c r="S246" t="str">
        <f>'Audit Report'!Q246</f>
        <v/>
      </c>
    </row>
    <row r="247" spans="4:19">
      <c r="D247" t="str">
        <f>'Audit Report'!B247</f>
        <v>ITD-SHRXXX-XX246</v>
      </c>
      <c r="E247" t="str">
        <f>'Audit Report'!C247</f>
        <v/>
      </c>
      <c r="I247" t="str">
        <f>_xlfn.XLOOKUP('Audit Report'!D247,Models!G:G,Models!I:I,'Audit Report'!D247,0,1)</f>
        <v/>
      </c>
      <c r="J247" t="str">
        <f>_xlfn.TEXTJOIN(" ",TRUE,'Audit Report'!G247,'Audit Report'!H247)</f>
        <v/>
      </c>
      <c r="L247" t="str">
        <f>_xlfn.TEXTJOIN(", ", TRUE, 'Audit Report'!K247,'Audit Report'!L247,'Audit Report'!M247)</f>
        <v/>
      </c>
      <c r="M247" t="str">
        <f>'Audit Report'!O247</f>
        <v/>
      </c>
      <c r="N247" t="str" cm="1">
        <f t="array" ref="N247">IF(M247="","",
_xlfn.TEXTJOIN(", ",TRUE,
    _xlfn.MAP(_xlfn.TEXTSPLIT(M247,","),_xlfn.LAMBDA(_xlpm.x,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7" t="str">
        <f>'Audit Report'!F247</f>
        <v/>
      </c>
      <c r="S247" t="str">
        <f>'Audit Report'!Q247</f>
        <v/>
      </c>
    </row>
    <row r="248" spans="4:19">
      <c r="D248" t="str">
        <f>'Audit Report'!B248</f>
        <v>ITD-SHRXXX-XX247</v>
      </c>
      <c r="E248" t="str">
        <f>'Audit Report'!C248</f>
        <v/>
      </c>
      <c r="I248" t="str">
        <f>_xlfn.XLOOKUP('Audit Report'!D248,Models!G:G,Models!I:I,'Audit Report'!D248,0,1)</f>
        <v/>
      </c>
      <c r="J248" t="str">
        <f>_xlfn.TEXTJOIN(" ",TRUE,'Audit Report'!G248,'Audit Report'!H248)</f>
        <v/>
      </c>
      <c r="L248" t="str">
        <f>_xlfn.TEXTJOIN(", ", TRUE, 'Audit Report'!K248,'Audit Report'!L248,'Audit Report'!M248)</f>
        <v/>
      </c>
      <c r="M248" t="str">
        <f>'Audit Report'!O248</f>
        <v/>
      </c>
      <c r="N248" t="str" cm="1">
        <f t="array" ref="N248">IF(M248="","",
_xlfn.TEXTJOIN(", ",TRUE,
    _xlfn.MAP(_xlfn.TEXTSPLIT(M248,","),_xlfn.LAMBDA(_xlpm.x,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8" t="str">
        <f>'Audit Report'!F248</f>
        <v/>
      </c>
      <c r="S248" t="str">
        <f>'Audit Report'!Q248</f>
        <v/>
      </c>
    </row>
    <row r="249" spans="4:19">
      <c r="D249" t="str">
        <f>'Audit Report'!B249</f>
        <v>ITD-SHRXXX-XX248</v>
      </c>
      <c r="E249" t="str">
        <f>'Audit Report'!C249</f>
        <v/>
      </c>
      <c r="I249" t="str">
        <f>_xlfn.XLOOKUP('Audit Report'!D249,Models!G:G,Models!I:I,'Audit Report'!D249,0,1)</f>
        <v/>
      </c>
      <c r="J249" t="str">
        <f>_xlfn.TEXTJOIN(" ",TRUE,'Audit Report'!G249,'Audit Report'!H249)</f>
        <v/>
      </c>
      <c r="L249" t="str">
        <f>_xlfn.TEXTJOIN(", ", TRUE, 'Audit Report'!K249,'Audit Report'!L249,'Audit Report'!M249)</f>
        <v/>
      </c>
      <c r="M249" t="str">
        <f>'Audit Report'!O249</f>
        <v/>
      </c>
      <c r="N249" t="str" cm="1">
        <f t="array" ref="N249">IF(M249="","",
_xlfn.TEXTJOIN(", ",TRUE,
    _xlfn.MAP(_xlfn.TEXTSPLIT(M249,","),_xlfn.LAMBDA(_xlpm.x,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9" t="str">
        <f>'Audit Report'!F249</f>
        <v/>
      </c>
      <c r="S249" t="str">
        <f>'Audit Report'!Q249</f>
        <v/>
      </c>
    </row>
    <row r="250" spans="4:19">
      <c r="D250" t="str">
        <f>'Audit Report'!B250</f>
        <v>ITD-SHRXXX-XX249</v>
      </c>
      <c r="E250" t="str">
        <f>'Audit Report'!C250</f>
        <v/>
      </c>
      <c r="I250" t="str">
        <f>_xlfn.XLOOKUP('Audit Report'!D250,Models!G:G,Models!I:I,'Audit Report'!D250,0,1)</f>
        <v/>
      </c>
      <c r="J250" t="str">
        <f>_xlfn.TEXTJOIN(" ",TRUE,'Audit Report'!G250,'Audit Report'!H250)</f>
        <v/>
      </c>
      <c r="L250" t="str">
        <f>_xlfn.TEXTJOIN(", ", TRUE, 'Audit Report'!K250,'Audit Report'!L250,'Audit Report'!M250)</f>
        <v/>
      </c>
      <c r="M250" t="str">
        <f>'Audit Report'!O250</f>
        <v/>
      </c>
      <c r="N250" t="str" cm="1">
        <f t="array" ref="N250">IF(M250="","",
_xlfn.TEXTJOIN(", ",TRUE,
    _xlfn.MAP(_xlfn.TEXTSPLIT(M250,","),_xlfn.LAMBDA(_xlpm.x,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0" t="str">
        <f>'Audit Report'!F250</f>
        <v/>
      </c>
      <c r="S250" t="str">
        <f>'Audit Report'!Q250</f>
        <v/>
      </c>
    </row>
    <row r="251" spans="4:19">
      <c r="D251" t="str">
        <f>'Audit Report'!B251</f>
        <v>ITD-SHRXXX-XX250</v>
      </c>
      <c r="E251" t="str">
        <f>'Audit Report'!C251</f>
        <v/>
      </c>
      <c r="I251" t="str">
        <f>_xlfn.XLOOKUP('Audit Report'!D251,Models!G:G,Models!I:I,'Audit Report'!D251,0,1)</f>
        <v/>
      </c>
      <c r="J251" t="str">
        <f>_xlfn.TEXTJOIN(" ",TRUE,'Audit Report'!G251,'Audit Report'!H251)</f>
        <v/>
      </c>
      <c r="L251" t="str">
        <f>_xlfn.TEXTJOIN(", ", TRUE, 'Audit Report'!K251,'Audit Report'!L251,'Audit Report'!M251)</f>
        <v/>
      </c>
      <c r="M251" t="str">
        <f>'Audit Report'!O251</f>
        <v/>
      </c>
      <c r="N251" t="str" cm="1">
        <f t="array" ref="N251">IF(M251="","",
_xlfn.TEXTJOIN(", ",TRUE,
    _xlfn.MAP(_xlfn.TEXTSPLIT(M251,","),_xlfn.LAMBDA(_xlpm.x,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1" t="str">
        <f>'Audit Report'!F251</f>
        <v/>
      </c>
      <c r="S251" t="str">
        <f>'Audit Report'!Q251</f>
        <v/>
      </c>
    </row>
    <row r="252" spans="4:19">
      <c r="D252" t="str">
        <f>'Audit Report'!B252</f>
        <v>ITD-SHRXXX-XX251</v>
      </c>
      <c r="E252" t="str">
        <f>'Audit Report'!C252</f>
        <v/>
      </c>
      <c r="I252" t="str">
        <f>_xlfn.XLOOKUP('Audit Report'!D252,Models!G:G,Models!I:I,'Audit Report'!D252,0,1)</f>
        <v/>
      </c>
      <c r="J252" t="str">
        <f>_xlfn.TEXTJOIN(" ",TRUE,'Audit Report'!G252,'Audit Report'!H252)</f>
        <v/>
      </c>
      <c r="L252" t="str">
        <f>_xlfn.TEXTJOIN(", ", TRUE, 'Audit Report'!K252,'Audit Report'!L252,'Audit Report'!M252)</f>
        <v/>
      </c>
      <c r="M252" t="str">
        <f>'Audit Report'!O252</f>
        <v/>
      </c>
      <c r="N252" t="str" cm="1">
        <f t="array" ref="N252">IF(M252="","",
_xlfn.TEXTJOIN(", ",TRUE,
    _xlfn.MAP(_xlfn.TEXTSPLIT(M252,","),_xlfn.LAMBDA(_xlpm.x,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2" t="str">
        <f>'Audit Report'!F252</f>
        <v/>
      </c>
      <c r="S252" t="str">
        <f>'Audit Report'!Q252</f>
        <v/>
      </c>
    </row>
    <row r="253" spans="4:19">
      <c r="D253" t="str">
        <f>'Audit Report'!B253</f>
        <v>ITD-SHRXXX-XX252</v>
      </c>
      <c r="E253" t="str">
        <f>'Audit Report'!C253</f>
        <v/>
      </c>
      <c r="I253" t="str">
        <f>_xlfn.XLOOKUP('Audit Report'!D253,Models!G:G,Models!I:I,'Audit Report'!D253,0,1)</f>
        <v/>
      </c>
      <c r="J253" t="str">
        <f>_xlfn.TEXTJOIN(" ",TRUE,'Audit Report'!G253,'Audit Report'!H253)</f>
        <v/>
      </c>
      <c r="L253" t="str">
        <f>_xlfn.TEXTJOIN(", ", TRUE, 'Audit Report'!K253,'Audit Report'!L253,'Audit Report'!M253)</f>
        <v/>
      </c>
      <c r="M253" t="str">
        <f>'Audit Report'!O253</f>
        <v/>
      </c>
      <c r="N253" t="str" cm="1">
        <f t="array" ref="N253">IF(M253="","",
_xlfn.TEXTJOIN(", ",TRUE,
    _xlfn.MAP(_xlfn.TEXTSPLIT(M253,","),_xlfn.LAMBDA(_xlpm.x,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3" t="str">
        <f>'Audit Report'!F253</f>
        <v/>
      </c>
      <c r="S253" t="str">
        <f>'Audit Report'!Q253</f>
        <v/>
      </c>
    </row>
    <row r="254" spans="4:19">
      <c r="D254" t="str">
        <f>'Audit Report'!B254</f>
        <v>ITD-SHRXXX-XX253</v>
      </c>
      <c r="E254" t="str">
        <f>'Audit Report'!C254</f>
        <v/>
      </c>
      <c r="I254" t="str">
        <f>_xlfn.XLOOKUP('Audit Report'!D254,Models!G:G,Models!I:I,'Audit Report'!D254,0,1)</f>
        <v/>
      </c>
      <c r="J254" t="str">
        <f>_xlfn.TEXTJOIN(" ",TRUE,'Audit Report'!G254,'Audit Report'!H254)</f>
        <v/>
      </c>
      <c r="L254" t="str">
        <f>_xlfn.TEXTJOIN(", ", TRUE, 'Audit Report'!K254,'Audit Report'!L254,'Audit Report'!M254)</f>
        <v/>
      </c>
      <c r="M254" t="str">
        <f>'Audit Report'!O254</f>
        <v/>
      </c>
      <c r="N254" t="str" cm="1">
        <f t="array" ref="N254">IF(M254="","",
_xlfn.TEXTJOIN(", ",TRUE,
    _xlfn.MAP(_xlfn.TEXTSPLIT(M254,","),_xlfn.LAMBDA(_xlpm.x,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4" t="str">
        <f>'Audit Report'!F254</f>
        <v/>
      </c>
      <c r="S254" t="str">
        <f>'Audit Report'!Q254</f>
        <v/>
      </c>
    </row>
    <row r="255" spans="4:19">
      <c r="D255" t="str">
        <f>'Audit Report'!B255</f>
        <v>ITD-SHRXXX-XX254</v>
      </c>
      <c r="E255" t="str">
        <f>'Audit Report'!C255</f>
        <v/>
      </c>
      <c r="I255" t="str">
        <f>_xlfn.XLOOKUP('Audit Report'!D255,Models!G:G,Models!I:I,'Audit Report'!D255,0,1)</f>
        <v/>
      </c>
      <c r="J255" t="str">
        <f>_xlfn.TEXTJOIN(" ",TRUE,'Audit Report'!G255,'Audit Report'!H255)</f>
        <v/>
      </c>
      <c r="L255" t="str">
        <f>_xlfn.TEXTJOIN(", ", TRUE, 'Audit Report'!K255,'Audit Report'!L255,'Audit Report'!M255)</f>
        <v/>
      </c>
      <c r="M255" t="str">
        <f>'Audit Report'!O255</f>
        <v/>
      </c>
      <c r="N255" t="str" cm="1">
        <f t="array" ref="N255">IF(M255="","",
_xlfn.TEXTJOIN(", ",TRUE,
    _xlfn.MAP(_xlfn.TEXTSPLIT(M255,","),_xlfn.LAMBDA(_xlpm.x,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5" t="str">
        <f>'Audit Report'!F255</f>
        <v/>
      </c>
      <c r="S255" t="str">
        <f>'Audit Report'!Q255</f>
        <v/>
      </c>
    </row>
    <row r="256" spans="4:19">
      <c r="D256" t="str">
        <f>'Audit Report'!B256</f>
        <v>ITD-SHRXXX-XX255</v>
      </c>
      <c r="E256" t="str">
        <f>'Audit Report'!C256</f>
        <v/>
      </c>
      <c r="I256" t="str">
        <f>_xlfn.XLOOKUP('Audit Report'!D256,Models!G:G,Models!I:I,'Audit Report'!D256,0,1)</f>
        <v/>
      </c>
      <c r="J256" t="str">
        <f>_xlfn.TEXTJOIN(" ",TRUE,'Audit Report'!G256,'Audit Report'!H256)</f>
        <v/>
      </c>
      <c r="L256" t="str">
        <f>_xlfn.TEXTJOIN(", ", TRUE, 'Audit Report'!K256,'Audit Report'!L256,'Audit Report'!M256)</f>
        <v/>
      </c>
      <c r="M256" t="str">
        <f>'Audit Report'!O256</f>
        <v/>
      </c>
      <c r="N256" t="str" cm="1">
        <f t="array" ref="N256">IF(M256="","",
_xlfn.TEXTJOIN(", ",TRUE,
    _xlfn.MAP(_xlfn.TEXTSPLIT(M256,","),_xlfn.LAMBDA(_xlpm.x,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6" t="str">
        <f>'Audit Report'!F256</f>
        <v/>
      </c>
      <c r="S256" t="str">
        <f>'Audit Report'!Q256</f>
        <v/>
      </c>
    </row>
    <row r="257" spans="4:19">
      <c r="D257" t="str">
        <f>'Audit Report'!B257</f>
        <v>ITD-SHRXXX-XX256</v>
      </c>
      <c r="E257" t="str">
        <f>'Audit Report'!C257</f>
        <v/>
      </c>
      <c r="I257" t="str">
        <f>_xlfn.XLOOKUP('Audit Report'!D257,Models!G:G,Models!I:I,'Audit Report'!D257,0,1)</f>
        <v/>
      </c>
      <c r="J257" t="str">
        <f>_xlfn.TEXTJOIN(" ",TRUE,'Audit Report'!G257,'Audit Report'!H257)</f>
        <v/>
      </c>
      <c r="L257" t="str">
        <f>_xlfn.TEXTJOIN(", ", TRUE, 'Audit Report'!K257,'Audit Report'!L257,'Audit Report'!M257)</f>
        <v/>
      </c>
      <c r="M257" t="str">
        <f>'Audit Report'!O257</f>
        <v/>
      </c>
      <c r="N257" t="str" cm="1">
        <f t="array" ref="N257">IF(M257="","",
_xlfn.TEXTJOIN(", ",TRUE,
    _xlfn.MAP(_xlfn.TEXTSPLIT(M257,","),_xlfn.LAMBDA(_xlpm.x,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7" t="str">
        <f>'Audit Report'!F257</f>
        <v/>
      </c>
      <c r="S257" t="str">
        <f>'Audit Report'!Q257</f>
        <v/>
      </c>
    </row>
    <row r="258" spans="4:19">
      <c r="D258" t="str">
        <f>'Audit Report'!B258</f>
        <v>ITD-SHRXXX-XX257</v>
      </c>
      <c r="E258" t="str">
        <f>'Audit Report'!C258</f>
        <v/>
      </c>
      <c r="I258" t="str">
        <f>_xlfn.XLOOKUP('Audit Report'!D258,Models!G:G,Models!I:I,'Audit Report'!D258,0,1)</f>
        <v/>
      </c>
      <c r="J258" t="str">
        <f>_xlfn.TEXTJOIN(" ",TRUE,'Audit Report'!G258,'Audit Report'!H258)</f>
        <v/>
      </c>
      <c r="L258" t="str">
        <f>_xlfn.TEXTJOIN(", ", TRUE, 'Audit Report'!K258,'Audit Report'!L258,'Audit Report'!M258)</f>
        <v/>
      </c>
      <c r="M258" t="str">
        <f>'Audit Report'!O258</f>
        <v/>
      </c>
      <c r="N258" t="str" cm="1">
        <f t="array" ref="N258">IF(M258="","",
_xlfn.TEXTJOIN(", ",TRUE,
    _xlfn.MAP(_xlfn.TEXTSPLIT(M258,","),_xlfn.LAMBDA(_xlpm.x,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8" t="str">
        <f>'Audit Report'!F258</f>
        <v/>
      </c>
      <c r="S258" t="str">
        <f>'Audit Report'!Q258</f>
        <v/>
      </c>
    </row>
    <row r="259" spans="4:19">
      <c r="D259" t="str">
        <f>'Audit Report'!B259</f>
        <v>ITD-SHRXXX-XX258</v>
      </c>
      <c r="E259" t="str">
        <f>'Audit Report'!C259</f>
        <v/>
      </c>
      <c r="I259" t="str">
        <f>_xlfn.XLOOKUP('Audit Report'!D259,Models!G:G,Models!I:I,'Audit Report'!D259,0,1)</f>
        <v/>
      </c>
      <c r="J259" t="str">
        <f>_xlfn.TEXTJOIN(" ",TRUE,'Audit Report'!G259,'Audit Report'!H259)</f>
        <v/>
      </c>
      <c r="L259" t="str">
        <f>_xlfn.TEXTJOIN(", ", TRUE, 'Audit Report'!K259,'Audit Report'!L259,'Audit Report'!M259)</f>
        <v/>
      </c>
      <c r="M259" t="str">
        <f>'Audit Report'!O259</f>
        <v/>
      </c>
      <c r="N259" t="str" cm="1">
        <f t="array" ref="N259">IF(M259="","",
_xlfn.TEXTJOIN(", ",TRUE,
    _xlfn.MAP(_xlfn.TEXTSPLIT(M259,","),_xlfn.LAMBDA(_xlpm.x,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9" t="str">
        <f>'Audit Report'!F259</f>
        <v/>
      </c>
      <c r="S259" t="str">
        <f>'Audit Report'!Q259</f>
        <v/>
      </c>
    </row>
    <row r="260" spans="4:19">
      <c r="D260" t="str">
        <f>'Audit Report'!B260</f>
        <v>ITD-SHRXXX-XX259</v>
      </c>
      <c r="E260" t="str">
        <f>'Audit Report'!C260</f>
        <v/>
      </c>
      <c r="I260" t="str">
        <f>_xlfn.XLOOKUP('Audit Report'!D260,Models!G:G,Models!I:I,'Audit Report'!D260,0,1)</f>
        <v/>
      </c>
      <c r="J260" t="str">
        <f>_xlfn.TEXTJOIN(" ",TRUE,'Audit Report'!G260,'Audit Report'!H260)</f>
        <v/>
      </c>
      <c r="L260" t="str">
        <f>_xlfn.TEXTJOIN(", ", TRUE, 'Audit Report'!K260,'Audit Report'!L260,'Audit Report'!M260)</f>
        <v/>
      </c>
      <c r="M260" t="str">
        <f>'Audit Report'!O260</f>
        <v/>
      </c>
      <c r="N260" t="str" cm="1">
        <f t="array" ref="N260">IF(M260="","",
_xlfn.TEXTJOIN(", ",TRUE,
    _xlfn.MAP(_xlfn.TEXTSPLIT(M260,","),_xlfn.LAMBDA(_xlpm.x,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0" t="str">
        <f>'Audit Report'!F260</f>
        <v/>
      </c>
      <c r="S260" t="str">
        <f>'Audit Report'!Q260</f>
        <v/>
      </c>
    </row>
    <row r="261" spans="4:19">
      <c r="D261" t="str">
        <f>'Audit Report'!B261</f>
        <v>ITD-SHRXXX-XX260</v>
      </c>
      <c r="E261" t="str">
        <f>'Audit Report'!C261</f>
        <v/>
      </c>
      <c r="I261" t="str">
        <f>_xlfn.XLOOKUP('Audit Report'!D261,Models!G:G,Models!I:I,'Audit Report'!D261,0,1)</f>
        <v/>
      </c>
      <c r="J261" t="str">
        <f>_xlfn.TEXTJOIN(" ",TRUE,'Audit Report'!G261,'Audit Report'!H261)</f>
        <v/>
      </c>
      <c r="L261" t="str">
        <f>_xlfn.TEXTJOIN(", ", TRUE, 'Audit Report'!K261,'Audit Report'!L261,'Audit Report'!M261)</f>
        <v/>
      </c>
      <c r="M261" t="str">
        <f>'Audit Report'!O261</f>
        <v/>
      </c>
      <c r="N261" t="str" cm="1">
        <f t="array" ref="N261">IF(M261="","",
_xlfn.TEXTJOIN(", ",TRUE,
    _xlfn.MAP(_xlfn.TEXTSPLIT(M261,","),_xlfn.LAMBDA(_xlpm.x,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1" t="str">
        <f>'Audit Report'!F261</f>
        <v/>
      </c>
      <c r="S261" t="str">
        <f>'Audit Report'!Q261</f>
        <v/>
      </c>
    </row>
    <row r="262" spans="4:19">
      <c r="D262" t="str">
        <f>'Audit Report'!B262</f>
        <v>ITD-SHRXXX-XX261</v>
      </c>
      <c r="E262" t="str">
        <f>'Audit Report'!C262</f>
        <v/>
      </c>
      <c r="I262" t="str">
        <f>_xlfn.XLOOKUP('Audit Report'!D262,Models!G:G,Models!I:I,'Audit Report'!D262,0,1)</f>
        <v/>
      </c>
      <c r="J262" t="str">
        <f>_xlfn.TEXTJOIN(" ",TRUE,'Audit Report'!G262,'Audit Report'!H262)</f>
        <v/>
      </c>
      <c r="L262" t="str">
        <f>_xlfn.TEXTJOIN(", ", TRUE, 'Audit Report'!K262,'Audit Report'!L262,'Audit Report'!M262)</f>
        <v/>
      </c>
      <c r="M262" t="str">
        <f>'Audit Report'!O262</f>
        <v/>
      </c>
      <c r="N262" t="str" cm="1">
        <f t="array" ref="N262">IF(M262="","",
_xlfn.TEXTJOIN(", ",TRUE,
    _xlfn.MAP(_xlfn.TEXTSPLIT(M262,","),_xlfn.LAMBDA(_xlpm.x,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2" t="str">
        <f>'Audit Report'!F262</f>
        <v/>
      </c>
      <c r="S262" t="str">
        <f>'Audit Report'!Q262</f>
        <v/>
      </c>
    </row>
    <row r="263" spans="4:19">
      <c r="D263" t="str">
        <f>'Audit Report'!B263</f>
        <v>ITD-SHRXXX-XX262</v>
      </c>
      <c r="E263" t="str">
        <f>'Audit Report'!C263</f>
        <v/>
      </c>
      <c r="I263" t="str">
        <f>_xlfn.XLOOKUP('Audit Report'!D263,Models!G:G,Models!I:I,'Audit Report'!D263,0,1)</f>
        <v/>
      </c>
      <c r="J263" t="str">
        <f>_xlfn.TEXTJOIN(" ",TRUE,'Audit Report'!G263,'Audit Report'!H263)</f>
        <v/>
      </c>
      <c r="L263" t="str">
        <f>_xlfn.TEXTJOIN(", ", TRUE, 'Audit Report'!K263,'Audit Report'!L263,'Audit Report'!M263)</f>
        <v/>
      </c>
      <c r="M263" t="str">
        <f>'Audit Report'!O263</f>
        <v/>
      </c>
      <c r="N263" t="str" cm="1">
        <f t="array" ref="N263">IF(M263="","",
_xlfn.TEXTJOIN(", ",TRUE,
    _xlfn.MAP(_xlfn.TEXTSPLIT(M263,","),_xlfn.LAMBDA(_xlpm.x,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3" t="str">
        <f>'Audit Report'!F263</f>
        <v/>
      </c>
      <c r="S263" t="str">
        <f>'Audit Report'!Q263</f>
        <v/>
      </c>
    </row>
    <row r="264" spans="4:19">
      <c r="D264" t="str">
        <f>'Audit Report'!B264</f>
        <v>ITD-SHRXXX-XX263</v>
      </c>
      <c r="E264" t="str">
        <f>'Audit Report'!C264</f>
        <v/>
      </c>
      <c r="I264" t="str">
        <f>_xlfn.XLOOKUP('Audit Report'!D264,Models!G:G,Models!I:I,'Audit Report'!D264,0,1)</f>
        <v/>
      </c>
      <c r="J264" t="str">
        <f>_xlfn.TEXTJOIN(" ",TRUE,'Audit Report'!G264,'Audit Report'!H264)</f>
        <v/>
      </c>
      <c r="L264" t="str">
        <f>_xlfn.TEXTJOIN(", ", TRUE, 'Audit Report'!K264,'Audit Report'!L264,'Audit Report'!M264)</f>
        <v/>
      </c>
      <c r="M264" t="str">
        <f>'Audit Report'!O264</f>
        <v/>
      </c>
      <c r="N264" t="str" cm="1">
        <f t="array" ref="N264">IF(M264="","",
_xlfn.TEXTJOIN(", ",TRUE,
    _xlfn.MAP(_xlfn.TEXTSPLIT(M264,","),_xlfn.LAMBDA(_xlpm.x,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4" t="str">
        <f>'Audit Report'!F264</f>
        <v/>
      </c>
      <c r="S264" t="str">
        <f>'Audit Report'!Q264</f>
        <v/>
      </c>
    </row>
    <row r="265" spans="4:19">
      <c r="D265" t="str">
        <f>'Audit Report'!B265</f>
        <v>ITD-SHRXXX-XX264</v>
      </c>
      <c r="E265" t="str">
        <f>'Audit Report'!C265</f>
        <v/>
      </c>
      <c r="I265" t="str">
        <f>_xlfn.XLOOKUP('Audit Report'!D265,Models!G:G,Models!I:I,'Audit Report'!D265,0,1)</f>
        <v/>
      </c>
      <c r="J265" t="str">
        <f>_xlfn.TEXTJOIN(" ",TRUE,'Audit Report'!G265,'Audit Report'!H265)</f>
        <v/>
      </c>
      <c r="L265" t="str">
        <f>_xlfn.TEXTJOIN(", ", TRUE, 'Audit Report'!K265,'Audit Report'!L265,'Audit Report'!M265)</f>
        <v/>
      </c>
      <c r="M265" t="str">
        <f>'Audit Report'!O265</f>
        <v/>
      </c>
      <c r="N265" t="str" cm="1">
        <f t="array" ref="N265">IF(M265="","",
_xlfn.TEXTJOIN(", ",TRUE,
    _xlfn.MAP(_xlfn.TEXTSPLIT(M265,","),_xlfn.LAMBDA(_xlpm.x,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5" t="str">
        <f>'Audit Report'!F265</f>
        <v/>
      </c>
      <c r="S265" t="str">
        <f>'Audit Report'!Q265</f>
        <v/>
      </c>
    </row>
    <row r="266" spans="4:19">
      <c r="D266" t="str">
        <f>'Audit Report'!B266</f>
        <v>ITD-SHRXXX-XX265</v>
      </c>
      <c r="E266" t="str">
        <f>'Audit Report'!C266</f>
        <v/>
      </c>
      <c r="I266" t="str">
        <f>_xlfn.XLOOKUP('Audit Report'!D266,Models!G:G,Models!I:I,'Audit Report'!D266,0,1)</f>
        <v/>
      </c>
      <c r="J266" t="str">
        <f>_xlfn.TEXTJOIN(" ",TRUE,'Audit Report'!G266,'Audit Report'!H266)</f>
        <v/>
      </c>
      <c r="L266" t="str">
        <f>_xlfn.TEXTJOIN(", ", TRUE, 'Audit Report'!K266,'Audit Report'!L266,'Audit Report'!M266)</f>
        <v/>
      </c>
      <c r="M266" t="str">
        <f>'Audit Report'!O266</f>
        <v/>
      </c>
      <c r="N266" t="str" cm="1">
        <f t="array" ref="N266">IF(M266="","",
_xlfn.TEXTJOIN(", ",TRUE,
    _xlfn.MAP(_xlfn.TEXTSPLIT(M266,","),_xlfn.LAMBDA(_xlpm.x,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6" t="str">
        <f>'Audit Report'!F266</f>
        <v/>
      </c>
      <c r="S266" t="str">
        <f>'Audit Report'!Q266</f>
        <v/>
      </c>
    </row>
    <row r="267" spans="4:19">
      <c r="D267" t="str">
        <f>'Audit Report'!B267</f>
        <v>ITD-SHRXXX-XX266</v>
      </c>
      <c r="E267" t="str">
        <f>'Audit Report'!C267</f>
        <v/>
      </c>
      <c r="I267" t="str">
        <f>_xlfn.XLOOKUP('Audit Report'!D267,Models!G:G,Models!I:I,'Audit Report'!D267,0,1)</f>
        <v/>
      </c>
      <c r="J267" t="str">
        <f>_xlfn.TEXTJOIN(" ",TRUE,'Audit Report'!G267,'Audit Report'!H267)</f>
        <v/>
      </c>
      <c r="L267" t="str">
        <f>_xlfn.TEXTJOIN(", ", TRUE, 'Audit Report'!K267,'Audit Report'!L267,'Audit Report'!M267)</f>
        <v/>
      </c>
      <c r="M267" t="str">
        <f>'Audit Report'!O267</f>
        <v/>
      </c>
      <c r="N267" t="str" cm="1">
        <f t="array" ref="N267">IF(M267="","",
_xlfn.TEXTJOIN(", ",TRUE,
    _xlfn.MAP(_xlfn.TEXTSPLIT(M267,","),_xlfn.LAMBDA(_xlpm.x,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7" t="str">
        <f>'Audit Report'!F267</f>
        <v/>
      </c>
      <c r="S267" t="str">
        <f>'Audit Report'!Q267</f>
        <v/>
      </c>
    </row>
    <row r="268" spans="4:19">
      <c r="D268" t="str">
        <f>'Audit Report'!B268</f>
        <v>ITD-SHRXXX-XX267</v>
      </c>
      <c r="E268" t="str">
        <f>'Audit Report'!C268</f>
        <v/>
      </c>
      <c r="I268" t="str">
        <f>_xlfn.XLOOKUP('Audit Report'!D268,Models!G:G,Models!I:I,'Audit Report'!D268,0,1)</f>
        <v/>
      </c>
      <c r="J268" t="str">
        <f>_xlfn.TEXTJOIN(" ",TRUE,'Audit Report'!G268,'Audit Report'!H268)</f>
        <v/>
      </c>
      <c r="L268" t="str">
        <f>_xlfn.TEXTJOIN(", ", TRUE, 'Audit Report'!K268,'Audit Report'!L268,'Audit Report'!M268)</f>
        <v/>
      </c>
      <c r="M268" t="str">
        <f>'Audit Report'!O268</f>
        <v/>
      </c>
      <c r="N268" t="str" cm="1">
        <f t="array" ref="N268">IF(M268="","",
_xlfn.TEXTJOIN(", ",TRUE,
    _xlfn.MAP(_xlfn.TEXTSPLIT(M268,","),_xlfn.LAMBDA(_xlpm.x,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8" t="str">
        <f>'Audit Report'!F268</f>
        <v/>
      </c>
      <c r="S268" t="str">
        <f>'Audit Report'!Q268</f>
        <v/>
      </c>
    </row>
    <row r="269" spans="4:19">
      <c r="D269" t="str">
        <f>'Audit Report'!B269</f>
        <v>ITD-SHRXXX-XX268</v>
      </c>
      <c r="E269" t="str">
        <f>'Audit Report'!C269</f>
        <v/>
      </c>
      <c r="I269" t="str">
        <f>_xlfn.XLOOKUP('Audit Report'!D269,Models!G:G,Models!I:I,'Audit Report'!D269,0,1)</f>
        <v/>
      </c>
      <c r="J269" t="str">
        <f>_xlfn.TEXTJOIN(" ",TRUE,'Audit Report'!G269,'Audit Report'!H269)</f>
        <v/>
      </c>
      <c r="L269" t="str">
        <f>_xlfn.TEXTJOIN(", ", TRUE, 'Audit Report'!K269,'Audit Report'!L269,'Audit Report'!M269)</f>
        <v/>
      </c>
      <c r="M269" t="str">
        <f>'Audit Report'!O269</f>
        <v/>
      </c>
      <c r="N269" t="str" cm="1">
        <f t="array" ref="N269">IF(M269="","",
_xlfn.TEXTJOIN(", ",TRUE,
    _xlfn.MAP(_xlfn.TEXTSPLIT(M269,","),_xlfn.LAMBDA(_xlpm.x,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9" t="str">
        <f>'Audit Report'!F269</f>
        <v/>
      </c>
      <c r="S269" t="str">
        <f>'Audit Report'!Q269</f>
        <v/>
      </c>
    </row>
    <row r="270" spans="4:19">
      <c r="D270" t="str">
        <f>'Audit Report'!B270</f>
        <v>ITD-SHRXXX-XX269</v>
      </c>
      <c r="E270" t="str">
        <f>'Audit Report'!C270</f>
        <v/>
      </c>
      <c r="I270" t="str">
        <f>_xlfn.XLOOKUP('Audit Report'!D270,Models!G:G,Models!I:I,'Audit Report'!D270,0,1)</f>
        <v/>
      </c>
      <c r="J270" t="str">
        <f>_xlfn.TEXTJOIN(" ",TRUE,'Audit Report'!G270,'Audit Report'!H270)</f>
        <v/>
      </c>
      <c r="L270" t="str">
        <f>_xlfn.TEXTJOIN(", ", TRUE, 'Audit Report'!K270,'Audit Report'!L270,'Audit Report'!M270)</f>
        <v/>
      </c>
      <c r="M270" t="str">
        <f>'Audit Report'!O270</f>
        <v/>
      </c>
      <c r="N270" t="str" cm="1">
        <f t="array" ref="N270">IF(M270="","",
_xlfn.TEXTJOIN(", ",TRUE,
    _xlfn.MAP(_xlfn.TEXTSPLIT(M270,","),_xlfn.LAMBDA(_xlpm.x,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0" t="str">
        <f>'Audit Report'!F270</f>
        <v/>
      </c>
      <c r="S270" t="str">
        <f>'Audit Report'!Q270</f>
        <v/>
      </c>
    </row>
    <row r="271" spans="4:19">
      <c r="D271" t="str">
        <f>'Audit Report'!B271</f>
        <v>ITD-SHRXXX-XX270</v>
      </c>
      <c r="E271" t="str">
        <f>'Audit Report'!C271</f>
        <v/>
      </c>
      <c r="I271" t="str">
        <f>_xlfn.XLOOKUP('Audit Report'!D271,Models!G:G,Models!I:I,'Audit Report'!D271,0,1)</f>
        <v/>
      </c>
      <c r="J271" t="str">
        <f>_xlfn.TEXTJOIN(" ",TRUE,'Audit Report'!G271,'Audit Report'!H271)</f>
        <v/>
      </c>
      <c r="L271" t="str">
        <f>_xlfn.TEXTJOIN(", ", TRUE, 'Audit Report'!K271,'Audit Report'!L271,'Audit Report'!M271)</f>
        <v/>
      </c>
      <c r="M271" t="str">
        <f>'Audit Report'!O271</f>
        <v/>
      </c>
      <c r="N271" t="str" cm="1">
        <f t="array" ref="N271">IF(M271="","",
_xlfn.TEXTJOIN(", ",TRUE,
    _xlfn.MAP(_xlfn.TEXTSPLIT(M271,","),_xlfn.LAMBDA(_xlpm.x,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1" t="str">
        <f>'Audit Report'!F271</f>
        <v/>
      </c>
      <c r="S271" t="str">
        <f>'Audit Report'!Q271</f>
        <v/>
      </c>
    </row>
    <row r="272" spans="4:19">
      <c r="D272" t="str">
        <f>'Audit Report'!B272</f>
        <v>ITD-SHRXXX-XX271</v>
      </c>
      <c r="E272" t="str">
        <f>'Audit Report'!C272</f>
        <v/>
      </c>
      <c r="I272" t="str">
        <f>_xlfn.XLOOKUP('Audit Report'!D272,Models!G:G,Models!I:I,'Audit Report'!D272,0,1)</f>
        <v/>
      </c>
      <c r="J272" t="str">
        <f>_xlfn.TEXTJOIN(" ",TRUE,'Audit Report'!G272,'Audit Report'!H272)</f>
        <v/>
      </c>
      <c r="L272" t="str">
        <f>_xlfn.TEXTJOIN(", ", TRUE, 'Audit Report'!K272,'Audit Report'!L272,'Audit Report'!M272)</f>
        <v/>
      </c>
      <c r="M272" t="str">
        <f>'Audit Report'!O272</f>
        <v/>
      </c>
      <c r="N272" t="str" cm="1">
        <f t="array" ref="N272">IF(M272="","",
_xlfn.TEXTJOIN(", ",TRUE,
    _xlfn.MAP(_xlfn.TEXTSPLIT(M272,","),_xlfn.LAMBDA(_xlpm.x,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2" t="str">
        <f>'Audit Report'!F272</f>
        <v/>
      </c>
      <c r="S272" t="str">
        <f>'Audit Report'!Q272</f>
        <v/>
      </c>
    </row>
    <row r="273" spans="4:19">
      <c r="D273" t="str">
        <f>'Audit Report'!B273</f>
        <v>ITD-SHRXXX-XX272</v>
      </c>
      <c r="E273" t="str">
        <f>'Audit Report'!C273</f>
        <v/>
      </c>
      <c r="I273" t="str">
        <f>_xlfn.XLOOKUP('Audit Report'!D273,Models!G:G,Models!I:I,'Audit Report'!D273,0,1)</f>
        <v/>
      </c>
      <c r="J273" t="str">
        <f>_xlfn.TEXTJOIN(" ",TRUE,'Audit Report'!G273,'Audit Report'!H273)</f>
        <v/>
      </c>
      <c r="L273" t="str">
        <f>_xlfn.TEXTJOIN(", ", TRUE, 'Audit Report'!K273,'Audit Report'!L273,'Audit Report'!M273)</f>
        <v/>
      </c>
      <c r="M273" t="str">
        <f>'Audit Report'!O273</f>
        <v/>
      </c>
      <c r="N273" t="str" cm="1">
        <f t="array" ref="N273">IF(M273="","",
_xlfn.TEXTJOIN(", ",TRUE,
    _xlfn.MAP(_xlfn.TEXTSPLIT(M273,","),_xlfn.LAMBDA(_xlpm.x,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3" t="str">
        <f>'Audit Report'!F273</f>
        <v/>
      </c>
      <c r="S273" t="str">
        <f>'Audit Report'!Q273</f>
        <v/>
      </c>
    </row>
    <row r="274" spans="4:19">
      <c r="D274" t="str">
        <f>'Audit Report'!B274</f>
        <v>ITD-SHRXXX-XX273</v>
      </c>
      <c r="E274" t="str">
        <f>'Audit Report'!C274</f>
        <v/>
      </c>
      <c r="I274" t="str">
        <f>_xlfn.XLOOKUP('Audit Report'!D274,Models!G:G,Models!I:I,'Audit Report'!D274,0,1)</f>
        <v/>
      </c>
      <c r="J274" t="str">
        <f>_xlfn.TEXTJOIN(" ",TRUE,'Audit Report'!G274,'Audit Report'!H274)</f>
        <v/>
      </c>
      <c r="L274" t="str">
        <f>_xlfn.TEXTJOIN(", ", TRUE, 'Audit Report'!K274,'Audit Report'!L274,'Audit Report'!M274)</f>
        <v/>
      </c>
      <c r="M274" t="str">
        <f>'Audit Report'!O274</f>
        <v/>
      </c>
      <c r="N274" t="str" cm="1">
        <f t="array" ref="N274">IF(M274="","",
_xlfn.TEXTJOIN(", ",TRUE,
    _xlfn.MAP(_xlfn.TEXTSPLIT(M274,","),_xlfn.LAMBDA(_xlpm.x,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4" t="str">
        <f>'Audit Report'!F274</f>
        <v/>
      </c>
      <c r="S274" t="str">
        <f>'Audit Report'!Q274</f>
        <v/>
      </c>
    </row>
    <row r="275" spans="4:19">
      <c r="D275" t="str">
        <f>'Audit Report'!B275</f>
        <v>ITD-SHRXXX-XX274</v>
      </c>
      <c r="E275" t="str">
        <f>'Audit Report'!C275</f>
        <v/>
      </c>
      <c r="I275" t="str">
        <f>_xlfn.XLOOKUP('Audit Report'!D275,Models!G:G,Models!I:I,'Audit Report'!D275,0,1)</f>
        <v/>
      </c>
      <c r="J275" t="str">
        <f>_xlfn.TEXTJOIN(" ",TRUE,'Audit Report'!G275,'Audit Report'!H275)</f>
        <v/>
      </c>
      <c r="L275" t="str">
        <f>_xlfn.TEXTJOIN(", ", TRUE, 'Audit Report'!K275,'Audit Report'!L275,'Audit Report'!M275)</f>
        <v/>
      </c>
      <c r="M275" t="str">
        <f>'Audit Report'!O275</f>
        <v/>
      </c>
      <c r="N275" t="str" cm="1">
        <f t="array" ref="N275">IF(M275="","",
_xlfn.TEXTJOIN(", ",TRUE,
    _xlfn.MAP(_xlfn.TEXTSPLIT(M275,","),_xlfn.LAMBDA(_xlpm.x,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5" t="str">
        <f>'Audit Report'!F275</f>
        <v/>
      </c>
      <c r="S275" t="str">
        <f>'Audit Report'!Q275</f>
        <v/>
      </c>
    </row>
    <row r="276" spans="4:19">
      <c r="D276" t="str">
        <f>'Audit Report'!B276</f>
        <v>ITD-SHRXXX-XX275</v>
      </c>
      <c r="E276" t="str">
        <f>'Audit Report'!C276</f>
        <v/>
      </c>
      <c r="I276" t="str">
        <f>_xlfn.XLOOKUP('Audit Report'!D276,Models!G:G,Models!I:I,'Audit Report'!D276,0,1)</f>
        <v/>
      </c>
      <c r="J276" t="str">
        <f>_xlfn.TEXTJOIN(" ",TRUE,'Audit Report'!G276,'Audit Report'!H276)</f>
        <v/>
      </c>
      <c r="L276" t="str">
        <f>_xlfn.TEXTJOIN(", ", TRUE, 'Audit Report'!K276,'Audit Report'!L276,'Audit Report'!M276)</f>
        <v/>
      </c>
      <c r="M276" t="str">
        <f>'Audit Report'!O276</f>
        <v/>
      </c>
      <c r="N276" t="str" cm="1">
        <f t="array" ref="N276">IF(M276="","",
_xlfn.TEXTJOIN(", ",TRUE,
    _xlfn.MAP(_xlfn.TEXTSPLIT(M276,","),_xlfn.LAMBDA(_xlpm.x,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6" t="str">
        <f>'Audit Report'!F276</f>
        <v/>
      </c>
      <c r="S276" t="str">
        <f>'Audit Report'!Q276</f>
        <v/>
      </c>
    </row>
    <row r="277" spans="4:19">
      <c r="D277" t="str">
        <f>'Audit Report'!B277</f>
        <v>ITD-SHRXXX-XX276</v>
      </c>
      <c r="E277" t="str">
        <f>'Audit Report'!C277</f>
        <v/>
      </c>
      <c r="I277" t="str">
        <f>_xlfn.XLOOKUP('Audit Report'!D277,Models!G:G,Models!I:I,'Audit Report'!D277,0,1)</f>
        <v/>
      </c>
      <c r="J277" t="str">
        <f>_xlfn.TEXTJOIN(" ",TRUE,'Audit Report'!G277,'Audit Report'!H277)</f>
        <v/>
      </c>
      <c r="L277" t="str">
        <f>_xlfn.TEXTJOIN(", ", TRUE, 'Audit Report'!K277,'Audit Report'!L277,'Audit Report'!M277)</f>
        <v/>
      </c>
      <c r="M277" t="str">
        <f>'Audit Report'!O277</f>
        <v/>
      </c>
      <c r="N277" t="str" cm="1">
        <f t="array" ref="N277">IF(M277="","",
_xlfn.TEXTJOIN(", ",TRUE,
    _xlfn.MAP(_xlfn.TEXTSPLIT(M277,","),_xlfn.LAMBDA(_xlpm.x,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7" t="str">
        <f>'Audit Report'!F277</f>
        <v/>
      </c>
      <c r="S277" t="str">
        <f>'Audit Report'!Q277</f>
        <v/>
      </c>
    </row>
    <row r="278" spans="4:19">
      <c r="D278" t="str">
        <f>'Audit Report'!B278</f>
        <v>ITD-SHRXXX-XX277</v>
      </c>
      <c r="E278" t="str">
        <f>'Audit Report'!C278</f>
        <v/>
      </c>
      <c r="I278" t="str">
        <f>_xlfn.XLOOKUP('Audit Report'!D278,Models!G:G,Models!I:I,'Audit Report'!D278,0,1)</f>
        <v/>
      </c>
      <c r="J278" t="str">
        <f>_xlfn.TEXTJOIN(" ",TRUE,'Audit Report'!G278,'Audit Report'!H278)</f>
        <v/>
      </c>
      <c r="L278" t="str">
        <f>_xlfn.TEXTJOIN(", ", TRUE, 'Audit Report'!K278,'Audit Report'!L278,'Audit Report'!M278)</f>
        <v/>
      </c>
      <c r="M278" t="str">
        <f>'Audit Report'!O278</f>
        <v/>
      </c>
      <c r="N278" t="str" cm="1">
        <f t="array" ref="N278">IF(M278="","",
_xlfn.TEXTJOIN(", ",TRUE,
    _xlfn.MAP(_xlfn.TEXTSPLIT(M278,","),_xlfn.LAMBDA(_xlpm.x,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8" t="str">
        <f>'Audit Report'!F278</f>
        <v/>
      </c>
      <c r="S278" t="str">
        <f>'Audit Report'!Q278</f>
        <v/>
      </c>
    </row>
    <row r="279" spans="4:19">
      <c r="D279" t="str">
        <f>'Audit Report'!B279</f>
        <v>ITD-SHRXXX-XX278</v>
      </c>
      <c r="E279" t="str">
        <f>'Audit Report'!C279</f>
        <v/>
      </c>
      <c r="I279" t="str">
        <f>_xlfn.XLOOKUP('Audit Report'!D279,Models!G:G,Models!I:I,'Audit Report'!D279,0,1)</f>
        <v/>
      </c>
      <c r="J279" t="str">
        <f>_xlfn.TEXTJOIN(" ",TRUE,'Audit Report'!G279,'Audit Report'!H279)</f>
        <v/>
      </c>
      <c r="L279" t="str">
        <f>_xlfn.TEXTJOIN(", ", TRUE, 'Audit Report'!K279,'Audit Report'!L279,'Audit Report'!M279)</f>
        <v/>
      </c>
      <c r="M279" t="str">
        <f>'Audit Report'!O279</f>
        <v/>
      </c>
      <c r="N279" t="str" cm="1">
        <f t="array" ref="N279">IF(M279="","",
_xlfn.TEXTJOIN(", ",TRUE,
    _xlfn.MAP(_xlfn.TEXTSPLIT(M279,","),_xlfn.LAMBDA(_xlpm.x,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9" t="str">
        <f>'Audit Report'!F279</f>
        <v/>
      </c>
      <c r="S279" t="str">
        <f>'Audit Report'!Q279</f>
        <v/>
      </c>
    </row>
    <row r="280" spans="4:19">
      <c r="D280" t="str">
        <f>'Audit Report'!B280</f>
        <v>ITD-SHRXXX-XX279</v>
      </c>
      <c r="E280" t="str">
        <f>'Audit Report'!C280</f>
        <v/>
      </c>
      <c r="I280" t="str">
        <f>_xlfn.XLOOKUP('Audit Report'!D280,Models!G:G,Models!I:I,'Audit Report'!D280,0,1)</f>
        <v/>
      </c>
      <c r="J280" t="str">
        <f>_xlfn.TEXTJOIN(" ",TRUE,'Audit Report'!G280,'Audit Report'!H280)</f>
        <v/>
      </c>
      <c r="L280" t="str">
        <f>_xlfn.TEXTJOIN(", ", TRUE, 'Audit Report'!K280,'Audit Report'!L280,'Audit Report'!M280)</f>
        <v/>
      </c>
      <c r="M280" t="str">
        <f>'Audit Report'!O280</f>
        <v/>
      </c>
      <c r="N280" t="str" cm="1">
        <f t="array" ref="N280">IF(M280="","",
_xlfn.TEXTJOIN(", ",TRUE,
    _xlfn.MAP(_xlfn.TEXTSPLIT(M280,","),_xlfn.LAMBDA(_xlpm.x,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0" t="str">
        <f>'Audit Report'!F280</f>
        <v/>
      </c>
      <c r="S280" t="str">
        <f>'Audit Report'!Q280</f>
        <v/>
      </c>
    </row>
    <row r="281" spans="4:19">
      <c r="D281" t="str">
        <f>'Audit Report'!B281</f>
        <v>ITD-SHRXXX-XX280</v>
      </c>
      <c r="E281" t="str">
        <f>'Audit Report'!C281</f>
        <v/>
      </c>
      <c r="I281" t="str">
        <f>_xlfn.XLOOKUP('Audit Report'!D281,Models!G:G,Models!I:I,'Audit Report'!D281,0,1)</f>
        <v/>
      </c>
      <c r="J281" t="str">
        <f>_xlfn.TEXTJOIN(" ",TRUE,'Audit Report'!G281,'Audit Report'!H281)</f>
        <v/>
      </c>
      <c r="L281" t="str">
        <f>_xlfn.TEXTJOIN(", ", TRUE, 'Audit Report'!K281,'Audit Report'!L281,'Audit Report'!M281)</f>
        <v/>
      </c>
      <c r="M281" t="str">
        <f>'Audit Report'!O281</f>
        <v/>
      </c>
      <c r="N281" t="str" cm="1">
        <f t="array" ref="N281">IF(M281="","",
_xlfn.TEXTJOIN(", ",TRUE,
    _xlfn.MAP(_xlfn.TEXTSPLIT(M281,","),_xlfn.LAMBDA(_xlpm.x,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1" t="str">
        <f>'Audit Report'!F281</f>
        <v/>
      </c>
      <c r="S281" t="str">
        <f>'Audit Report'!Q281</f>
        <v/>
      </c>
    </row>
    <row r="282" spans="4:19">
      <c r="D282" t="str">
        <f>'Audit Report'!B282</f>
        <v>ITD-SHRXXX-XX281</v>
      </c>
      <c r="E282" t="str">
        <f>'Audit Report'!C282</f>
        <v/>
      </c>
      <c r="I282" t="str">
        <f>_xlfn.XLOOKUP('Audit Report'!D282,Models!G:G,Models!I:I,'Audit Report'!D282,0,1)</f>
        <v/>
      </c>
      <c r="J282" t="str">
        <f>_xlfn.TEXTJOIN(" ",TRUE,'Audit Report'!G282,'Audit Report'!H282)</f>
        <v/>
      </c>
      <c r="L282" t="str">
        <f>_xlfn.TEXTJOIN(", ", TRUE, 'Audit Report'!K282,'Audit Report'!L282,'Audit Report'!M282)</f>
        <v/>
      </c>
      <c r="M282" t="str">
        <f>'Audit Report'!O282</f>
        <v/>
      </c>
      <c r="N282" t="str" cm="1">
        <f t="array" ref="N282">IF(M282="","",
_xlfn.TEXTJOIN(", ",TRUE,
    _xlfn.MAP(_xlfn.TEXTSPLIT(M282,","),_xlfn.LAMBDA(_xlpm.x,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2" t="str">
        <f>'Audit Report'!F282</f>
        <v/>
      </c>
      <c r="S282" t="str">
        <f>'Audit Report'!Q282</f>
        <v/>
      </c>
    </row>
    <row r="283" spans="4:19">
      <c r="D283" t="str">
        <f>'Audit Report'!B283</f>
        <v>ITD-SHRXXX-XX282</v>
      </c>
      <c r="E283" t="str">
        <f>'Audit Report'!C283</f>
        <v/>
      </c>
      <c r="I283" t="str">
        <f>_xlfn.XLOOKUP('Audit Report'!D283,Models!G:G,Models!I:I,'Audit Report'!D283,0,1)</f>
        <v/>
      </c>
      <c r="J283" t="str">
        <f>_xlfn.TEXTJOIN(" ",TRUE,'Audit Report'!G283,'Audit Report'!H283)</f>
        <v/>
      </c>
      <c r="L283" t="str">
        <f>_xlfn.TEXTJOIN(", ", TRUE, 'Audit Report'!K283,'Audit Report'!L283,'Audit Report'!M283)</f>
        <v/>
      </c>
      <c r="M283" t="str">
        <f>'Audit Report'!O283</f>
        <v/>
      </c>
      <c r="N283" t="str" cm="1">
        <f t="array" ref="N283">IF(M283="","",
_xlfn.TEXTJOIN(", ",TRUE,
    _xlfn.MAP(_xlfn.TEXTSPLIT(M283,","),_xlfn.LAMBDA(_xlpm.x,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3" t="str">
        <f>'Audit Report'!F283</f>
        <v/>
      </c>
      <c r="S283" t="str">
        <f>'Audit Report'!Q283</f>
        <v/>
      </c>
    </row>
    <row r="284" spans="4:19">
      <c r="D284" t="str">
        <f>'Audit Report'!B284</f>
        <v>ITD-SHRXXX-XX283</v>
      </c>
      <c r="E284" t="str">
        <f>'Audit Report'!C284</f>
        <v/>
      </c>
      <c r="I284" t="str">
        <f>_xlfn.XLOOKUP('Audit Report'!D284,Models!G:G,Models!I:I,'Audit Report'!D284,0,1)</f>
        <v/>
      </c>
      <c r="J284" t="str">
        <f>_xlfn.TEXTJOIN(" ",TRUE,'Audit Report'!G284,'Audit Report'!H284)</f>
        <v/>
      </c>
      <c r="L284" t="str">
        <f>_xlfn.TEXTJOIN(", ", TRUE, 'Audit Report'!K284,'Audit Report'!L284,'Audit Report'!M284)</f>
        <v/>
      </c>
      <c r="M284" t="str">
        <f>'Audit Report'!O284</f>
        <v/>
      </c>
      <c r="N284" t="str" cm="1">
        <f t="array" ref="N284">IF(M284="","",
_xlfn.TEXTJOIN(", ",TRUE,
    _xlfn.MAP(_xlfn.TEXTSPLIT(M284,","),_xlfn.LAMBDA(_xlpm.x,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4" t="str">
        <f>'Audit Report'!F284</f>
        <v/>
      </c>
      <c r="S284" t="str">
        <f>'Audit Report'!Q284</f>
        <v/>
      </c>
    </row>
    <row r="285" spans="4:19">
      <c r="D285" t="str">
        <f>'Audit Report'!B285</f>
        <v>ITD-SHRXXX-XX284</v>
      </c>
      <c r="E285" t="str">
        <f>'Audit Report'!C285</f>
        <v/>
      </c>
      <c r="I285" t="str">
        <f>_xlfn.XLOOKUP('Audit Report'!D285,Models!G:G,Models!I:I,'Audit Report'!D285,0,1)</f>
        <v/>
      </c>
      <c r="J285" t="str">
        <f>_xlfn.TEXTJOIN(" ",TRUE,'Audit Report'!G285,'Audit Report'!H285)</f>
        <v/>
      </c>
      <c r="L285" t="str">
        <f>_xlfn.TEXTJOIN(", ", TRUE, 'Audit Report'!K285,'Audit Report'!L285,'Audit Report'!M285)</f>
        <v/>
      </c>
      <c r="M285" t="str">
        <f>'Audit Report'!O285</f>
        <v/>
      </c>
      <c r="N285" t="str" cm="1">
        <f t="array" ref="N285">IF(M285="","",
_xlfn.TEXTJOIN(", ",TRUE,
    _xlfn.MAP(_xlfn.TEXTSPLIT(M285,","),_xlfn.LAMBDA(_xlpm.x,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5" t="str">
        <f>'Audit Report'!F285</f>
        <v/>
      </c>
      <c r="S285" t="str">
        <f>'Audit Report'!Q285</f>
        <v/>
      </c>
    </row>
    <row r="286" spans="4:19">
      <c r="D286" t="str">
        <f>'Audit Report'!B286</f>
        <v>ITD-SHRXXX-XX285</v>
      </c>
      <c r="E286" t="str">
        <f>'Audit Report'!C286</f>
        <v/>
      </c>
      <c r="I286" t="str">
        <f>_xlfn.XLOOKUP('Audit Report'!D286,Models!G:G,Models!I:I,'Audit Report'!D286,0,1)</f>
        <v/>
      </c>
      <c r="J286" t="str">
        <f>_xlfn.TEXTJOIN(" ",TRUE,'Audit Report'!G286,'Audit Report'!H286)</f>
        <v/>
      </c>
      <c r="L286" t="str">
        <f>_xlfn.TEXTJOIN(", ", TRUE, 'Audit Report'!K286,'Audit Report'!L286,'Audit Report'!M286)</f>
        <v/>
      </c>
      <c r="M286" t="str">
        <f>'Audit Report'!O286</f>
        <v/>
      </c>
      <c r="N286" t="str" cm="1">
        <f t="array" ref="N286">IF(M286="","",
_xlfn.TEXTJOIN(", ",TRUE,
    _xlfn.MAP(_xlfn.TEXTSPLIT(M286,","),_xlfn.LAMBDA(_xlpm.x,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6" t="str">
        <f>'Audit Report'!F286</f>
        <v/>
      </c>
      <c r="S286" t="str">
        <f>'Audit Report'!Q286</f>
        <v/>
      </c>
    </row>
    <row r="287" spans="4:19">
      <c r="D287" t="str">
        <f>'Audit Report'!B287</f>
        <v>ITD-SHRXXX-XX286</v>
      </c>
      <c r="E287" t="str">
        <f>'Audit Report'!C287</f>
        <v/>
      </c>
      <c r="I287" t="str">
        <f>_xlfn.XLOOKUP('Audit Report'!D287,Models!G:G,Models!I:I,'Audit Report'!D287,0,1)</f>
        <v/>
      </c>
      <c r="J287" t="str">
        <f>_xlfn.TEXTJOIN(" ",TRUE,'Audit Report'!G287,'Audit Report'!H287)</f>
        <v/>
      </c>
      <c r="L287" t="str">
        <f>_xlfn.TEXTJOIN(", ", TRUE, 'Audit Report'!K287,'Audit Report'!L287,'Audit Report'!M287)</f>
        <v/>
      </c>
      <c r="M287" t="str">
        <f>'Audit Report'!O287</f>
        <v/>
      </c>
      <c r="N287" t="str" cm="1">
        <f t="array" ref="N287">IF(M287="","",
_xlfn.TEXTJOIN(", ",TRUE,
    _xlfn.MAP(_xlfn.TEXTSPLIT(M287,","),_xlfn.LAMBDA(_xlpm.x,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7" t="str">
        <f>'Audit Report'!F287</f>
        <v/>
      </c>
      <c r="S287" t="str">
        <f>'Audit Report'!Q287</f>
        <v/>
      </c>
    </row>
    <row r="288" spans="4:19">
      <c r="D288" t="str">
        <f>'Audit Report'!B288</f>
        <v>ITD-SHRXXX-XX287</v>
      </c>
      <c r="E288" t="str">
        <f>'Audit Report'!C288</f>
        <v/>
      </c>
      <c r="I288" t="str">
        <f>_xlfn.XLOOKUP('Audit Report'!D288,Models!G:G,Models!I:I,'Audit Report'!D288,0,1)</f>
        <v/>
      </c>
      <c r="J288" t="str">
        <f>_xlfn.TEXTJOIN(" ",TRUE,'Audit Report'!G288,'Audit Report'!H288)</f>
        <v/>
      </c>
      <c r="L288" t="str">
        <f>_xlfn.TEXTJOIN(", ", TRUE, 'Audit Report'!K288,'Audit Report'!L288,'Audit Report'!M288)</f>
        <v/>
      </c>
      <c r="M288" t="str">
        <f>'Audit Report'!O288</f>
        <v/>
      </c>
      <c r="N288" t="str" cm="1">
        <f t="array" ref="N288">IF(M288="","",
_xlfn.TEXTJOIN(", ",TRUE,
    _xlfn.MAP(_xlfn.TEXTSPLIT(M288,","),_xlfn.LAMBDA(_xlpm.x,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8" t="str">
        <f>'Audit Report'!F288</f>
        <v/>
      </c>
      <c r="S288" t="str">
        <f>'Audit Report'!Q288</f>
        <v/>
      </c>
    </row>
    <row r="289" spans="4:19">
      <c r="D289" t="str">
        <f>'Audit Report'!B289</f>
        <v>ITD-SHRXXX-XX288</v>
      </c>
      <c r="E289" t="str">
        <f>'Audit Report'!C289</f>
        <v/>
      </c>
      <c r="I289" t="str">
        <f>_xlfn.XLOOKUP('Audit Report'!D289,Models!G:G,Models!I:I,'Audit Report'!D289,0,1)</f>
        <v/>
      </c>
      <c r="J289" t="str">
        <f>_xlfn.TEXTJOIN(" ",TRUE,'Audit Report'!G289,'Audit Report'!H289)</f>
        <v/>
      </c>
      <c r="L289" t="str">
        <f>_xlfn.TEXTJOIN(", ", TRUE, 'Audit Report'!K289,'Audit Report'!L289,'Audit Report'!M289)</f>
        <v/>
      </c>
      <c r="M289" t="str">
        <f>'Audit Report'!O289</f>
        <v/>
      </c>
      <c r="N289" t="str" cm="1">
        <f t="array" ref="N289">IF(M289="","",
_xlfn.TEXTJOIN(", ",TRUE,
    _xlfn.MAP(_xlfn.TEXTSPLIT(M289,","),_xlfn.LAMBDA(_xlpm.x,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9" t="str">
        <f>'Audit Report'!F289</f>
        <v/>
      </c>
      <c r="S289" t="str">
        <f>'Audit Report'!Q289</f>
        <v/>
      </c>
    </row>
    <row r="290" spans="4:19">
      <c r="D290" t="str">
        <f>'Audit Report'!B290</f>
        <v>ITD-SHRXXX-XX289</v>
      </c>
      <c r="E290" t="str">
        <f>'Audit Report'!C290</f>
        <v/>
      </c>
      <c r="I290" t="str">
        <f>_xlfn.XLOOKUP('Audit Report'!D290,Models!G:G,Models!I:I,'Audit Report'!D290,0,1)</f>
        <v/>
      </c>
      <c r="J290" t="str">
        <f>_xlfn.TEXTJOIN(" ",TRUE,'Audit Report'!G290,'Audit Report'!H290)</f>
        <v/>
      </c>
      <c r="L290" t="str">
        <f>_xlfn.TEXTJOIN(", ", TRUE, 'Audit Report'!K290,'Audit Report'!L290,'Audit Report'!M290)</f>
        <v/>
      </c>
      <c r="M290" t="str">
        <f>'Audit Report'!O290</f>
        <v/>
      </c>
      <c r="N290" t="str" cm="1">
        <f t="array" ref="N290">IF(M290="","",
_xlfn.TEXTJOIN(", ",TRUE,
    _xlfn.MAP(_xlfn.TEXTSPLIT(M290,","),_xlfn.LAMBDA(_xlpm.x,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0" t="str">
        <f>'Audit Report'!F290</f>
        <v/>
      </c>
      <c r="S290" t="str">
        <f>'Audit Report'!Q290</f>
        <v/>
      </c>
    </row>
    <row r="291" spans="4:19">
      <c r="D291" t="str">
        <f>'Audit Report'!B291</f>
        <v>ITD-SHRXXX-XX290</v>
      </c>
      <c r="E291" t="str">
        <f>'Audit Report'!C291</f>
        <v/>
      </c>
      <c r="I291" t="str">
        <f>_xlfn.XLOOKUP('Audit Report'!D291,Models!G:G,Models!I:I,'Audit Report'!D291,0,1)</f>
        <v/>
      </c>
      <c r="J291" t="str">
        <f>_xlfn.TEXTJOIN(" ",TRUE,'Audit Report'!G291,'Audit Report'!H291)</f>
        <v/>
      </c>
      <c r="L291" t="str">
        <f>_xlfn.TEXTJOIN(", ", TRUE, 'Audit Report'!K291,'Audit Report'!L291,'Audit Report'!M291)</f>
        <v/>
      </c>
      <c r="M291" t="str">
        <f>'Audit Report'!O291</f>
        <v/>
      </c>
      <c r="N291" t="str" cm="1">
        <f t="array" ref="N291">IF(M291="","",
_xlfn.TEXTJOIN(", ",TRUE,
    _xlfn.MAP(_xlfn.TEXTSPLIT(M291,","),_xlfn.LAMBDA(_xlpm.x,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1" t="str">
        <f>'Audit Report'!F291</f>
        <v/>
      </c>
      <c r="S291" t="str">
        <f>'Audit Report'!Q291</f>
        <v/>
      </c>
    </row>
    <row r="292" spans="4:19">
      <c r="D292" t="str">
        <f>'Audit Report'!B292</f>
        <v>ITD-SHRXXX-XX291</v>
      </c>
      <c r="E292" t="str">
        <f>'Audit Report'!C292</f>
        <v/>
      </c>
      <c r="I292" t="str">
        <f>_xlfn.XLOOKUP('Audit Report'!D292,Models!G:G,Models!I:I,'Audit Report'!D292,0,1)</f>
        <v/>
      </c>
      <c r="J292" t="str">
        <f>_xlfn.TEXTJOIN(" ",TRUE,'Audit Report'!G292,'Audit Report'!H292)</f>
        <v/>
      </c>
      <c r="L292" t="str">
        <f>_xlfn.TEXTJOIN(", ", TRUE, 'Audit Report'!K292,'Audit Report'!L292,'Audit Report'!M292)</f>
        <v/>
      </c>
      <c r="M292" t="str">
        <f>'Audit Report'!O292</f>
        <v/>
      </c>
      <c r="N292" t="str" cm="1">
        <f t="array" ref="N292">IF(M292="","",
_xlfn.TEXTJOIN(", ",TRUE,
    _xlfn.MAP(_xlfn.TEXTSPLIT(M292,","),_xlfn.LAMBDA(_xlpm.x,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2" t="str">
        <f>'Audit Report'!F292</f>
        <v/>
      </c>
      <c r="S292" t="str">
        <f>'Audit Report'!Q292</f>
        <v/>
      </c>
    </row>
    <row r="293" spans="4:19">
      <c r="D293" t="str">
        <f>'Audit Report'!B293</f>
        <v>ITD-SHRXXX-XX292</v>
      </c>
      <c r="E293" t="str">
        <f>'Audit Report'!C293</f>
        <v/>
      </c>
      <c r="I293" t="str">
        <f>_xlfn.XLOOKUP('Audit Report'!D293,Models!G:G,Models!I:I,'Audit Report'!D293,0,1)</f>
        <v/>
      </c>
      <c r="J293" t="str">
        <f>_xlfn.TEXTJOIN(" ",TRUE,'Audit Report'!G293,'Audit Report'!H293)</f>
        <v/>
      </c>
      <c r="L293" t="str">
        <f>_xlfn.TEXTJOIN(", ", TRUE, 'Audit Report'!K293,'Audit Report'!L293,'Audit Report'!M293)</f>
        <v/>
      </c>
      <c r="M293" t="str">
        <f>'Audit Report'!O293</f>
        <v/>
      </c>
      <c r="N293" t="str" cm="1">
        <f t="array" ref="N293">IF(M293="","",
_xlfn.TEXTJOIN(", ",TRUE,
    _xlfn.MAP(_xlfn.TEXTSPLIT(M293,","),_xlfn.LAMBDA(_xlpm.x,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3" t="str">
        <f>'Audit Report'!F293</f>
        <v/>
      </c>
      <c r="S293" t="str">
        <f>'Audit Report'!Q293</f>
        <v/>
      </c>
    </row>
    <row r="294" spans="4:19">
      <c r="D294" t="str">
        <f>'Audit Report'!B294</f>
        <v>ITD-SHRXXX-XX293</v>
      </c>
      <c r="E294" t="str">
        <f>'Audit Report'!C294</f>
        <v/>
      </c>
      <c r="I294" t="str">
        <f>_xlfn.XLOOKUP('Audit Report'!D294,Models!G:G,Models!I:I,'Audit Report'!D294,0,1)</f>
        <v/>
      </c>
      <c r="J294" t="str">
        <f>_xlfn.TEXTJOIN(" ",TRUE,'Audit Report'!G294,'Audit Report'!H294)</f>
        <v/>
      </c>
      <c r="L294" t="str">
        <f>_xlfn.TEXTJOIN(", ", TRUE, 'Audit Report'!K294,'Audit Report'!L294,'Audit Report'!M294)</f>
        <v/>
      </c>
      <c r="M294" t="str">
        <f>'Audit Report'!O294</f>
        <v/>
      </c>
      <c r="N294" t="str" cm="1">
        <f t="array" ref="N294">IF(M294="","",
_xlfn.TEXTJOIN(", ",TRUE,
    _xlfn.MAP(_xlfn.TEXTSPLIT(M294,","),_xlfn.LAMBDA(_xlpm.x,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4" t="str">
        <f>'Audit Report'!F294</f>
        <v/>
      </c>
      <c r="S294" t="str">
        <f>'Audit Report'!Q294</f>
        <v/>
      </c>
    </row>
    <row r="295" spans="4:19">
      <c r="D295" t="str">
        <f>'Audit Report'!B295</f>
        <v>ITD-SHRXXX-XX294</v>
      </c>
      <c r="E295" t="str">
        <f>'Audit Report'!C295</f>
        <v/>
      </c>
      <c r="I295" t="str">
        <f>_xlfn.XLOOKUP('Audit Report'!D295,Models!G:G,Models!I:I,'Audit Report'!D295,0,1)</f>
        <v/>
      </c>
      <c r="J295" t="str">
        <f>_xlfn.TEXTJOIN(" ",TRUE,'Audit Report'!G295,'Audit Report'!H295)</f>
        <v/>
      </c>
      <c r="L295" t="str">
        <f>_xlfn.TEXTJOIN(", ", TRUE, 'Audit Report'!K295,'Audit Report'!L295,'Audit Report'!M295)</f>
        <v/>
      </c>
      <c r="M295" t="str">
        <f>'Audit Report'!O295</f>
        <v/>
      </c>
      <c r="N295" t="str" cm="1">
        <f t="array" ref="N295">IF(M295="","",
_xlfn.TEXTJOIN(", ",TRUE,
    _xlfn.MAP(_xlfn.TEXTSPLIT(M295,","),_xlfn.LAMBDA(_xlpm.x,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5" t="str">
        <f>'Audit Report'!F295</f>
        <v/>
      </c>
      <c r="S295" t="str">
        <f>'Audit Report'!Q295</f>
        <v/>
      </c>
    </row>
    <row r="296" spans="4:19">
      <c r="D296" t="str">
        <f>'Audit Report'!B296</f>
        <v>ITD-SHRXXX-XX295</v>
      </c>
      <c r="E296" t="str">
        <f>'Audit Report'!C296</f>
        <v/>
      </c>
      <c r="I296" t="str">
        <f>_xlfn.XLOOKUP('Audit Report'!D296,Models!G:G,Models!I:I,'Audit Report'!D296,0,1)</f>
        <v/>
      </c>
      <c r="J296" t="str">
        <f>_xlfn.TEXTJOIN(" ",TRUE,'Audit Report'!G296,'Audit Report'!H296)</f>
        <v/>
      </c>
      <c r="L296" t="str">
        <f>_xlfn.TEXTJOIN(", ", TRUE, 'Audit Report'!K296,'Audit Report'!L296,'Audit Report'!M296)</f>
        <v/>
      </c>
      <c r="M296" t="str">
        <f>'Audit Report'!O296</f>
        <v/>
      </c>
      <c r="N296" t="str" cm="1">
        <f t="array" ref="N296">IF(M296="","",
_xlfn.TEXTJOIN(", ",TRUE,
    _xlfn.MAP(_xlfn.TEXTSPLIT(M296,","),_xlfn.LAMBDA(_xlpm.x,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6" t="str">
        <f>'Audit Report'!F296</f>
        <v/>
      </c>
      <c r="S296" t="str">
        <f>'Audit Report'!Q296</f>
        <v/>
      </c>
    </row>
    <row r="297" spans="4:19">
      <c r="D297" t="str">
        <f>'Audit Report'!B297</f>
        <v>ITD-SHRXXX-XX296</v>
      </c>
      <c r="E297" t="str">
        <f>'Audit Report'!C297</f>
        <v/>
      </c>
      <c r="I297" t="str">
        <f>_xlfn.XLOOKUP('Audit Report'!D297,Models!G:G,Models!I:I,'Audit Report'!D297,0,1)</f>
        <v/>
      </c>
      <c r="J297" t="str">
        <f>_xlfn.TEXTJOIN(" ",TRUE,'Audit Report'!G297,'Audit Report'!H297)</f>
        <v/>
      </c>
      <c r="L297" t="str">
        <f>_xlfn.TEXTJOIN(", ", TRUE, 'Audit Report'!K297,'Audit Report'!L297,'Audit Report'!M297)</f>
        <v/>
      </c>
      <c r="M297" t="str">
        <f>'Audit Report'!O297</f>
        <v/>
      </c>
      <c r="N297" t="str" cm="1">
        <f t="array" ref="N297">IF(M297="","",
_xlfn.TEXTJOIN(", ",TRUE,
    _xlfn.MAP(_xlfn.TEXTSPLIT(M297,","),_xlfn.LAMBDA(_xlpm.x,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7" t="str">
        <f>'Audit Report'!F297</f>
        <v/>
      </c>
      <c r="S297" t="str">
        <f>'Audit Report'!Q297</f>
        <v/>
      </c>
    </row>
    <row r="298" spans="4:19">
      <c r="D298" t="str">
        <f>'Audit Report'!B298</f>
        <v>ITD-SHRXXX-XX297</v>
      </c>
      <c r="E298" t="str">
        <f>'Audit Report'!C298</f>
        <v/>
      </c>
      <c r="I298" t="str">
        <f>_xlfn.XLOOKUP('Audit Report'!D298,Models!G:G,Models!I:I,'Audit Report'!D298,0,1)</f>
        <v/>
      </c>
      <c r="J298" t="str">
        <f>_xlfn.TEXTJOIN(" ",TRUE,'Audit Report'!G298,'Audit Report'!H298)</f>
        <v/>
      </c>
      <c r="L298" t="str">
        <f>_xlfn.TEXTJOIN(", ", TRUE, 'Audit Report'!K298,'Audit Report'!L298,'Audit Report'!M298)</f>
        <v/>
      </c>
      <c r="M298" t="str">
        <f>'Audit Report'!O298</f>
        <v/>
      </c>
      <c r="N298" t="str" cm="1">
        <f t="array" ref="N298">IF(M298="","",
_xlfn.TEXTJOIN(", ",TRUE,
    _xlfn.MAP(_xlfn.TEXTSPLIT(M298,","),_xlfn.LAMBDA(_xlpm.x,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8" t="str">
        <f>'Audit Report'!F298</f>
        <v/>
      </c>
      <c r="S298" t="str">
        <f>'Audit Report'!Q298</f>
        <v/>
      </c>
    </row>
    <row r="299" spans="4:19">
      <c r="D299" t="str">
        <f>'Audit Report'!B299</f>
        <v>ITD-SHRXXX-XX298</v>
      </c>
      <c r="E299" t="str">
        <f>'Audit Report'!C299</f>
        <v/>
      </c>
      <c r="I299" t="str">
        <f>_xlfn.XLOOKUP('Audit Report'!D299,Models!G:G,Models!I:I,'Audit Report'!D299,0,1)</f>
        <v/>
      </c>
      <c r="J299" t="str">
        <f>_xlfn.TEXTJOIN(" ",TRUE,'Audit Report'!G299,'Audit Report'!H299)</f>
        <v/>
      </c>
      <c r="L299" t="str">
        <f>_xlfn.TEXTJOIN(", ", TRUE, 'Audit Report'!K299,'Audit Report'!L299,'Audit Report'!M299)</f>
        <v/>
      </c>
      <c r="M299" t="str">
        <f>'Audit Report'!O299</f>
        <v/>
      </c>
      <c r="N299" t="str" cm="1">
        <f t="array" ref="N299">IF(M299="","",
_xlfn.TEXTJOIN(", ",TRUE,
    _xlfn.MAP(_xlfn.TEXTSPLIT(M299,","),_xlfn.LAMBDA(_xlpm.x,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9" t="str">
        <f>'Audit Report'!F299</f>
        <v/>
      </c>
      <c r="S299" t="str">
        <f>'Audit Report'!Q299</f>
        <v/>
      </c>
    </row>
    <row r="300" spans="4:19">
      <c r="D300" t="str">
        <f>'Audit Report'!B300</f>
        <v>ITD-SHRXXX-XX299</v>
      </c>
      <c r="E300" t="str">
        <f>'Audit Report'!C300</f>
        <v/>
      </c>
      <c r="I300" t="str">
        <f>_xlfn.XLOOKUP('Audit Report'!D300,Models!G:G,Models!I:I,'Audit Report'!D300,0,1)</f>
        <v/>
      </c>
      <c r="J300" t="str">
        <f>_xlfn.TEXTJOIN(" ",TRUE,'Audit Report'!G300,'Audit Report'!H300)</f>
        <v/>
      </c>
      <c r="L300" t="str">
        <f>_xlfn.TEXTJOIN(", ", TRUE, 'Audit Report'!K300,'Audit Report'!L300,'Audit Report'!M300)</f>
        <v/>
      </c>
      <c r="M300" t="str">
        <f>'Audit Report'!O300</f>
        <v/>
      </c>
      <c r="N300" t="str" cm="1">
        <f t="array" ref="N300">IF(M300="","",
_xlfn.TEXTJOIN(", ",TRUE,
    _xlfn.MAP(_xlfn.TEXTSPLIT(M300,","),_xlfn.LAMBDA(_xlpm.x,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0" t="str">
        <f>'Audit Report'!F300</f>
        <v/>
      </c>
      <c r="S300" t="str">
        <f>'Audit Report'!Q300</f>
        <v/>
      </c>
    </row>
    <row r="301" spans="4:19">
      <c r="D301" t="str">
        <f>'Audit Report'!B301</f>
        <v>ITD-SHRXXX-XX300</v>
      </c>
      <c r="E301" t="str">
        <f>'Audit Report'!C301</f>
        <v/>
      </c>
      <c r="I301" t="str">
        <f>_xlfn.XLOOKUP('Audit Report'!D301,Models!G:G,Models!I:I,'Audit Report'!D301,0,1)</f>
        <v/>
      </c>
      <c r="J301" t="str">
        <f>_xlfn.TEXTJOIN(" ",TRUE,'Audit Report'!G301,'Audit Report'!H301)</f>
        <v/>
      </c>
      <c r="L301" t="str">
        <f>_xlfn.TEXTJOIN(", ", TRUE, 'Audit Report'!K301,'Audit Report'!L301,'Audit Report'!M301)</f>
        <v/>
      </c>
      <c r="M301" t="str">
        <f>'Audit Report'!O301</f>
        <v/>
      </c>
      <c r="N301" t="str" cm="1">
        <f t="array" ref="N301">IF(M301="","",
_xlfn.TEXTJOIN(", ",TRUE,
    _xlfn.MAP(_xlfn.TEXTSPLIT(M301,","),_xlfn.LAMBDA(_xlpm.x,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1" t="str">
        <f>'Audit Report'!F301</f>
        <v/>
      </c>
      <c r="S301" t="str">
        <f>'Audit Report'!Q301</f>
        <v/>
      </c>
    </row>
    <row r="302" spans="4:19">
      <c r="D302" t="str">
        <f>'Audit Report'!B302</f>
        <v>ITD-SHRXXX-XX301</v>
      </c>
      <c r="E302" t="str">
        <f>'Audit Report'!C302</f>
        <v/>
      </c>
      <c r="I302" t="str">
        <f>_xlfn.XLOOKUP('Audit Report'!D302,Models!G:G,Models!I:I,'Audit Report'!D302,0,1)</f>
        <v/>
      </c>
      <c r="J302" t="str">
        <f>_xlfn.TEXTJOIN(" ",TRUE,'Audit Report'!G302,'Audit Report'!H302)</f>
        <v/>
      </c>
      <c r="L302" t="str">
        <f>_xlfn.TEXTJOIN(", ", TRUE, 'Audit Report'!K302,'Audit Report'!L302,'Audit Report'!M302)</f>
        <v/>
      </c>
      <c r="M302" t="str">
        <f>'Audit Report'!O302</f>
        <v/>
      </c>
      <c r="N302" t="str" cm="1">
        <f t="array" ref="N302">IF(M302="","",
_xlfn.TEXTJOIN(", ",TRUE,
    _xlfn.MAP(_xlfn.TEXTSPLIT(M302,","),_xlfn.LAMBDA(_xlpm.x,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2" t="str">
        <f>'Audit Report'!F302</f>
        <v/>
      </c>
      <c r="S302" t="str">
        <f>'Audit Report'!Q302</f>
        <v/>
      </c>
    </row>
    <row r="303" spans="4:19">
      <c r="D303" t="str">
        <f>'Audit Report'!B303</f>
        <v>ITD-SHRXXX-XX302</v>
      </c>
      <c r="E303" t="str">
        <f>'Audit Report'!C303</f>
        <v/>
      </c>
      <c r="I303" t="str">
        <f>_xlfn.XLOOKUP('Audit Report'!D303,Models!G:G,Models!I:I,'Audit Report'!D303,0,1)</f>
        <v/>
      </c>
      <c r="J303" t="str">
        <f>_xlfn.TEXTJOIN(" ",TRUE,'Audit Report'!G303,'Audit Report'!H303)</f>
        <v/>
      </c>
      <c r="L303" t="str">
        <f>_xlfn.TEXTJOIN(", ", TRUE, 'Audit Report'!K303,'Audit Report'!L303,'Audit Report'!M303)</f>
        <v/>
      </c>
      <c r="M303" t="str">
        <f>'Audit Report'!O303</f>
        <v/>
      </c>
      <c r="N303" t="str" cm="1">
        <f t="array" ref="N303">IF(M303="","",
_xlfn.TEXTJOIN(", ",TRUE,
    _xlfn.MAP(_xlfn.TEXTSPLIT(M303,","),_xlfn.LAMBDA(_xlpm.x,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3" t="str">
        <f>'Audit Report'!F303</f>
        <v/>
      </c>
      <c r="S303" t="str">
        <f>'Audit Report'!Q303</f>
        <v/>
      </c>
    </row>
    <row r="304" spans="4:19">
      <c r="D304" t="str">
        <f>'Audit Report'!B304</f>
        <v>ITD-SHRXXX-XX303</v>
      </c>
      <c r="E304" t="str">
        <f>'Audit Report'!C304</f>
        <v/>
      </c>
      <c r="I304" t="str">
        <f>_xlfn.XLOOKUP('Audit Report'!D304,Models!G:G,Models!I:I,'Audit Report'!D304,0,1)</f>
        <v/>
      </c>
      <c r="J304" t="str">
        <f>_xlfn.TEXTJOIN(" ",TRUE,'Audit Report'!G304,'Audit Report'!H304)</f>
        <v/>
      </c>
      <c r="L304" t="str">
        <f>_xlfn.TEXTJOIN(", ", TRUE, 'Audit Report'!K304,'Audit Report'!L304,'Audit Report'!M304)</f>
        <v/>
      </c>
      <c r="M304" t="str">
        <f>'Audit Report'!O304</f>
        <v/>
      </c>
      <c r="N304" t="str" cm="1">
        <f t="array" ref="N304">IF(M304="","",
_xlfn.TEXTJOIN(", ",TRUE,
    _xlfn.MAP(_xlfn.TEXTSPLIT(M304,","),_xlfn.LAMBDA(_xlpm.x,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4" t="str">
        <f>'Audit Report'!F304</f>
        <v/>
      </c>
      <c r="S304" t="str">
        <f>'Audit Report'!Q304</f>
        <v/>
      </c>
    </row>
    <row r="305" spans="4:19">
      <c r="D305" t="str">
        <f>'Audit Report'!B305</f>
        <v>ITD-SHRXXX-XX304</v>
      </c>
      <c r="E305" t="str">
        <f>'Audit Report'!C305</f>
        <v/>
      </c>
      <c r="I305" t="str">
        <f>_xlfn.XLOOKUP('Audit Report'!D305,Models!G:G,Models!I:I,'Audit Report'!D305,0,1)</f>
        <v/>
      </c>
      <c r="J305" t="str">
        <f>_xlfn.TEXTJOIN(" ",TRUE,'Audit Report'!G305,'Audit Report'!H305)</f>
        <v/>
      </c>
      <c r="L305" t="str">
        <f>_xlfn.TEXTJOIN(", ", TRUE, 'Audit Report'!K305,'Audit Report'!L305,'Audit Report'!M305)</f>
        <v/>
      </c>
      <c r="M305" t="str">
        <f>'Audit Report'!O305</f>
        <v/>
      </c>
      <c r="N305" t="str" cm="1">
        <f t="array" ref="N305">IF(M305="","",
_xlfn.TEXTJOIN(", ",TRUE,
    _xlfn.MAP(_xlfn.TEXTSPLIT(M305,","),_xlfn.LAMBDA(_xlpm.x,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5" t="str">
        <f>'Audit Report'!F305</f>
        <v/>
      </c>
      <c r="S305" t="str">
        <f>'Audit Report'!Q305</f>
        <v/>
      </c>
    </row>
    <row r="306" spans="4:19">
      <c r="D306" t="str">
        <f>'Audit Report'!B306</f>
        <v>ITD-SHRXXX-XX305</v>
      </c>
      <c r="E306" t="str">
        <f>'Audit Report'!C306</f>
        <v/>
      </c>
      <c r="I306" t="str">
        <f>_xlfn.XLOOKUP('Audit Report'!D306,Models!G:G,Models!I:I,'Audit Report'!D306,0,1)</f>
        <v/>
      </c>
      <c r="J306" t="str">
        <f>_xlfn.TEXTJOIN(" ",TRUE,'Audit Report'!G306,'Audit Report'!H306)</f>
        <v/>
      </c>
      <c r="L306" t="str">
        <f>_xlfn.TEXTJOIN(", ", TRUE, 'Audit Report'!K306,'Audit Report'!L306,'Audit Report'!M306)</f>
        <v/>
      </c>
      <c r="M306" t="str">
        <f>'Audit Report'!O306</f>
        <v/>
      </c>
      <c r="N306" t="str" cm="1">
        <f t="array" ref="N306">IF(M306="","",
_xlfn.TEXTJOIN(", ",TRUE,
    _xlfn.MAP(_xlfn.TEXTSPLIT(M306,","),_xlfn.LAMBDA(_xlpm.x,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6" t="str">
        <f>'Audit Report'!F306</f>
        <v/>
      </c>
      <c r="S306" t="str">
        <f>'Audit Report'!Q306</f>
        <v/>
      </c>
    </row>
    <row r="307" spans="4:19">
      <c r="D307" t="str">
        <f>'Audit Report'!B307</f>
        <v>ITD-SHRXXX-XX306</v>
      </c>
      <c r="E307" t="str">
        <f>'Audit Report'!C307</f>
        <v/>
      </c>
      <c r="I307" t="str">
        <f>_xlfn.XLOOKUP('Audit Report'!D307,Models!G:G,Models!I:I,'Audit Report'!D307,0,1)</f>
        <v/>
      </c>
      <c r="J307" t="str">
        <f>_xlfn.TEXTJOIN(" ",TRUE,'Audit Report'!G307,'Audit Report'!H307)</f>
        <v/>
      </c>
      <c r="L307" t="str">
        <f>_xlfn.TEXTJOIN(", ", TRUE, 'Audit Report'!K307,'Audit Report'!L307,'Audit Report'!M307)</f>
        <v/>
      </c>
      <c r="M307" t="str">
        <f>'Audit Report'!O307</f>
        <v/>
      </c>
      <c r="N307" t="str" cm="1">
        <f t="array" ref="N307">IF(M307="","",
_xlfn.TEXTJOIN(", ",TRUE,
    _xlfn.MAP(_xlfn.TEXTSPLIT(M307,","),_xlfn.LAMBDA(_xlpm.x,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7" t="str">
        <f>'Audit Report'!F307</f>
        <v/>
      </c>
      <c r="S307" t="str">
        <f>'Audit Report'!Q307</f>
        <v/>
      </c>
    </row>
    <row r="308" spans="4:19">
      <c r="D308" t="str">
        <f>'Audit Report'!B308</f>
        <v>ITD-SHRXXX-XX307</v>
      </c>
      <c r="E308" t="str">
        <f>'Audit Report'!C308</f>
        <v/>
      </c>
      <c r="I308" t="str">
        <f>_xlfn.XLOOKUP('Audit Report'!D308,Models!G:G,Models!I:I,'Audit Report'!D308,0,1)</f>
        <v/>
      </c>
      <c r="J308" t="str">
        <f>_xlfn.TEXTJOIN(" ",TRUE,'Audit Report'!G308,'Audit Report'!H308)</f>
        <v/>
      </c>
      <c r="L308" t="str">
        <f>_xlfn.TEXTJOIN(", ", TRUE, 'Audit Report'!K308,'Audit Report'!L308,'Audit Report'!M308)</f>
        <v/>
      </c>
      <c r="M308" t="str">
        <f>'Audit Report'!O308</f>
        <v/>
      </c>
      <c r="N308" t="str" cm="1">
        <f t="array" ref="N308">IF(M308="","",
_xlfn.TEXTJOIN(", ",TRUE,
    _xlfn.MAP(_xlfn.TEXTSPLIT(M308,","),_xlfn.LAMBDA(_xlpm.x,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8" t="str">
        <f>'Audit Report'!F308</f>
        <v/>
      </c>
      <c r="S308" t="str">
        <f>'Audit Report'!Q308</f>
        <v/>
      </c>
    </row>
    <row r="309" spans="4:19">
      <c r="D309" t="str">
        <f>'Audit Report'!B309</f>
        <v>ITD-SHRXXX-XX308</v>
      </c>
      <c r="E309" t="str">
        <f>'Audit Report'!C309</f>
        <v/>
      </c>
      <c r="I309" t="str">
        <f>_xlfn.XLOOKUP('Audit Report'!D309,Models!G:G,Models!I:I,'Audit Report'!D309,0,1)</f>
        <v/>
      </c>
      <c r="J309" t="str">
        <f>_xlfn.TEXTJOIN(" ",TRUE,'Audit Report'!G309,'Audit Report'!H309)</f>
        <v/>
      </c>
      <c r="L309" t="str">
        <f>_xlfn.TEXTJOIN(", ", TRUE, 'Audit Report'!K309,'Audit Report'!L309,'Audit Report'!M309)</f>
        <v/>
      </c>
      <c r="M309" t="str">
        <f>'Audit Report'!O309</f>
        <v/>
      </c>
      <c r="N309" t="str" cm="1">
        <f t="array" ref="N309">IF(M309="","",
_xlfn.TEXTJOIN(", ",TRUE,
    _xlfn.MAP(_xlfn.TEXTSPLIT(M309,","),_xlfn.LAMBDA(_xlpm.x,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9" t="str">
        <f>'Audit Report'!F309</f>
        <v/>
      </c>
      <c r="S309" t="str">
        <f>'Audit Report'!Q309</f>
        <v/>
      </c>
    </row>
    <row r="310" spans="4:19">
      <c r="D310" t="str">
        <f>'Audit Report'!B310</f>
        <v>ITD-SHRXXX-XX309</v>
      </c>
      <c r="E310" t="str">
        <f>'Audit Report'!C310</f>
        <v/>
      </c>
      <c r="I310" t="str">
        <f>'Audit Report'!D310</f>
        <v/>
      </c>
      <c r="J310" t="str">
        <f>_xlfn.TEXTJOIN(" ",TRUE,'Audit Report'!G310,'Audit Report'!H310)</f>
        <v/>
      </c>
      <c r="L310" t="str">
        <f>_xlfn.TEXTJOIN(", ", TRUE, 'Audit Report'!K310,'Audit Report'!L310,'Audit Report'!M310)</f>
        <v/>
      </c>
      <c r="M310" t="str">
        <f>'Audit Report'!O310</f>
        <v/>
      </c>
      <c r="N310" t="str" cm="1">
        <f t="array" ref="N310">IF(M310="","",
_xlfn.TEXTJOIN(", ",TRUE,
    _xlfn.MAP(_xlfn.TEXTSPLIT(M310,","),_xlfn.LAMBDA(_xlpm.x,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0" t="str">
        <f>'Audit Report'!F310</f>
        <v/>
      </c>
      <c r="S310" t="str">
        <f>'Audit Report'!Q310</f>
        <v/>
      </c>
    </row>
    <row r="311" spans="4:19">
      <c r="D311" t="str">
        <f>'Audit Report'!B311</f>
        <v>ITD-SHRXXX-XX310</v>
      </c>
      <c r="E311" t="str">
        <f>'Audit Report'!C311</f>
        <v/>
      </c>
      <c r="I311" t="str">
        <f>'Audit Report'!D311</f>
        <v/>
      </c>
      <c r="J311" t="str">
        <f>_xlfn.TEXTJOIN(" ",TRUE,'Audit Report'!G311,'Audit Report'!H311)</f>
        <v/>
      </c>
      <c r="L311" t="str">
        <f>_xlfn.TEXTJOIN(", ", TRUE, 'Audit Report'!K311,'Audit Report'!L311,'Audit Report'!M311)</f>
        <v/>
      </c>
      <c r="M311" t="str">
        <f>'Audit Report'!O311</f>
        <v/>
      </c>
      <c r="N311" t="str" cm="1">
        <f t="array" ref="N311">IF(M311="","",
_xlfn.TEXTJOIN(", ",TRUE,
    _xlfn.MAP(_xlfn.TEXTSPLIT(M311,","),_xlfn.LAMBDA(_xlpm.x,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1" t="str">
        <f>'Audit Report'!F311</f>
        <v/>
      </c>
      <c r="S311" t="str">
        <f>'Audit Report'!Q311</f>
        <v/>
      </c>
    </row>
    <row r="312" spans="4:19">
      <c r="D312" t="str">
        <f>'Audit Report'!B312</f>
        <v>ITD-SHRXXX-XX311</v>
      </c>
      <c r="E312" t="str">
        <f>'Audit Report'!C312</f>
        <v/>
      </c>
      <c r="I312" t="str">
        <f>'Audit Report'!D312</f>
        <v/>
      </c>
      <c r="J312" t="str">
        <f>_xlfn.TEXTJOIN(" ",TRUE,'Audit Report'!G312,'Audit Report'!H312)</f>
        <v/>
      </c>
      <c r="L312" t="str">
        <f>_xlfn.TEXTJOIN(", ", TRUE, 'Audit Report'!K312,'Audit Report'!L312,'Audit Report'!M312)</f>
        <v/>
      </c>
      <c r="M312" t="str">
        <f>'Audit Report'!O312</f>
        <v/>
      </c>
      <c r="N312" t="str" cm="1">
        <f t="array" ref="N312">IF(M312="","",
_xlfn.TEXTJOIN(", ",TRUE,
    _xlfn.MAP(_xlfn.TEXTSPLIT(M312,","),_xlfn.LAMBDA(_xlpm.x,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2" t="str">
        <f>'Audit Report'!F312</f>
        <v/>
      </c>
      <c r="S312" t="str">
        <f>'Audit Report'!Q312</f>
        <v/>
      </c>
    </row>
    <row r="313" spans="4:19">
      <c r="D313" t="str">
        <f>'Audit Report'!B313</f>
        <v>ITD-SHRXXX-XX312</v>
      </c>
      <c r="E313" t="str">
        <f>'Audit Report'!C313</f>
        <v/>
      </c>
      <c r="I313" t="str">
        <f>'Audit Report'!D313</f>
        <v/>
      </c>
      <c r="J313" t="str">
        <f>_xlfn.TEXTJOIN(" ",TRUE,'Audit Report'!G313,'Audit Report'!H313)</f>
        <v/>
      </c>
      <c r="L313" t="str">
        <f>_xlfn.TEXTJOIN(", ", TRUE, 'Audit Report'!K313,'Audit Report'!L313,'Audit Report'!M313)</f>
        <v/>
      </c>
      <c r="M313" t="str">
        <f>'Audit Report'!O313</f>
        <v/>
      </c>
      <c r="N313" t="str" cm="1">
        <f t="array" ref="N313">IF(M313="","",
_xlfn.TEXTJOIN(", ",TRUE,
    _xlfn.MAP(_xlfn.TEXTSPLIT(M313,","),_xlfn.LAMBDA(_xlpm.x,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3" t="str">
        <f>'Audit Report'!F313</f>
        <v/>
      </c>
      <c r="S313" t="str">
        <f>'Audit Report'!Q313</f>
        <v/>
      </c>
    </row>
    <row r="314" spans="4:19">
      <c r="D314" t="str">
        <f>'Audit Report'!B314</f>
        <v>ITD-SHRXXX-XX313</v>
      </c>
      <c r="E314" t="str">
        <f>'Audit Report'!C314</f>
        <v/>
      </c>
      <c r="I314" t="str">
        <f>'Audit Report'!D314</f>
        <v/>
      </c>
      <c r="J314" t="str">
        <f>_xlfn.TEXTJOIN(" ",TRUE,'Audit Report'!G314,'Audit Report'!H314)</f>
        <v/>
      </c>
      <c r="L314" t="str">
        <f>_xlfn.TEXTJOIN(", ", TRUE, 'Audit Report'!K314,'Audit Report'!L314,'Audit Report'!M314)</f>
        <v/>
      </c>
      <c r="M314" t="str">
        <f>'Audit Report'!O314</f>
        <v/>
      </c>
      <c r="N314" t="str" cm="1">
        <f t="array" ref="N314">IF(M314="","",
_xlfn.TEXTJOIN(", ",TRUE,
    _xlfn.MAP(_xlfn.TEXTSPLIT(M314,","),_xlfn.LAMBDA(_xlpm.x,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4" t="str">
        <f>'Audit Report'!F314</f>
        <v/>
      </c>
      <c r="S314" t="str">
        <f>'Audit Report'!Q314</f>
        <v/>
      </c>
    </row>
    <row r="315" spans="4:19">
      <c r="D315" t="str">
        <f>'Audit Report'!B315</f>
        <v>ITD-SHRXXX-XX314</v>
      </c>
      <c r="E315" t="str">
        <f>'Audit Report'!C315</f>
        <v/>
      </c>
      <c r="I315" t="str">
        <f>'Audit Report'!D315</f>
        <v/>
      </c>
      <c r="J315" t="str">
        <f>_xlfn.TEXTJOIN(" ",TRUE,'Audit Report'!G315,'Audit Report'!H315)</f>
        <v/>
      </c>
      <c r="L315" t="str">
        <f>_xlfn.TEXTJOIN(", ", TRUE, 'Audit Report'!K315,'Audit Report'!L315,'Audit Report'!M315)</f>
        <v/>
      </c>
      <c r="M315" t="str">
        <f>'Audit Report'!O315</f>
        <v/>
      </c>
      <c r="N315" t="str" cm="1">
        <f t="array" ref="N315">IF(M315="","",
_xlfn.TEXTJOIN(", ",TRUE,
    _xlfn.MAP(_xlfn.TEXTSPLIT(M315,","),_xlfn.LAMBDA(_xlpm.x,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5" t="str">
        <f>'Audit Report'!F315</f>
        <v/>
      </c>
      <c r="S315" t="str">
        <f>'Audit Report'!Q315</f>
        <v/>
      </c>
    </row>
    <row r="316" spans="4:19">
      <c r="D316" t="str">
        <f>'Audit Report'!B316</f>
        <v>ITD-SHRXXX-XX315</v>
      </c>
      <c r="E316" t="str">
        <f>'Audit Report'!C316</f>
        <v/>
      </c>
      <c r="I316" t="str">
        <f>'Audit Report'!D316</f>
        <v/>
      </c>
      <c r="J316" t="str">
        <f>_xlfn.TEXTJOIN(" ",TRUE,'Audit Report'!G316,'Audit Report'!H316)</f>
        <v/>
      </c>
      <c r="L316" t="str">
        <f>_xlfn.TEXTJOIN(", ", TRUE, 'Audit Report'!K316,'Audit Report'!L316,'Audit Report'!M316)</f>
        <v/>
      </c>
      <c r="M316" t="str">
        <f>'Audit Report'!O316</f>
        <v/>
      </c>
      <c r="N316" t="str" cm="1">
        <f t="array" ref="N316">IF(M316="","",
_xlfn.TEXTJOIN(", ",TRUE,
    _xlfn.MAP(_xlfn.TEXTSPLIT(M316,","),_xlfn.LAMBDA(_xlpm.x,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6" t="str">
        <f>'Audit Report'!F316</f>
        <v/>
      </c>
      <c r="S316" t="str">
        <f>'Audit Report'!Q316</f>
        <v/>
      </c>
    </row>
    <row r="317" spans="4:19">
      <c r="D317" t="str">
        <f>'Audit Report'!B317</f>
        <v>ITD-SHRXXX-XX316</v>
      </c>
      <c r="E317" t="str">
        <f>'Audit Report'!C317</f>
        <v/>
      </c>
      <c r="I317" t="str">
        <f>'Audit Report'!D317</f>
        <v/>
      </c>
      <c r="J317" t="str">
        <f>_xlfn.TEXTJOIN(" ",TRUE,'Audit Report'!G317,'Audit Report'!H317)</f>
        <v/>
      </c>
      <c r="L317" t="str">
        <f>_xlfn.TEXTJOIN(", ", TRUE, 'Audit Report'!K317,'Audit Report'!L317,'Audit Report'!M317)</f>
        <v/>
      </c>
      <c r="M317" t="str">
        <f>'Audit Report'!O317</f>
        <v/>
      </c>
      <c r="N317" t="str" cm="1">
        <f t="array" ref="N317">IF(M317="","",
_xlfn.TEXTJOIN(", ",TRUE,
    _xlfn.MAP(_xlfn.TEXTSPLIT(M317,","),_xlfn.LAMBDA(_xlpm.x,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7" t="str">
        <f>'Audit Report'!F317</f>
        <v/>
      </c>
      <c r="S317" t="str">
        <f>'Audit Report'!Q317</f>
        <v/>
      </c>
    </row>
    <row r="318" spans="4:19">
      <c r="D318" t="str">
        <f>'Audit Report'!B318</f>
        <v>ITD-SHRXXX-XX317</v>
      </c>
      <c r="E318" t="str">
        <f>'Audit Report'!C318</f>
        <v/>
      </c>
      <c r="I318" t="str">
        <f>'Audit Report'!D318</f>
        <v/>
      </c>
      <c r="J318" t="str">
        <f>_xlfn.TEXTJOIN(" ",TRUE,'Audit Report'!G318,'Audit Report'!H318)</f>
        <v/>
      </c>
      <c r="L318" t="str">
        <f>_xlfn.TEXTJOIN(", ", TRUE, 'Audit Report'!K318,'Audit Report'!L318,'Audit Report'!M318)</f>
        <v/>
      </c>
      <c r="M318" t="str">
        <f>'Audit Report'!O318</f>
        <v/>
      </c>
      <c r="N318" t="str" cm="1">
        <f t="array" ref="N318">IF(M318="","",
_xlfn.TEXTJOIN(", ",TRUE,
    _xlfn.MAP(_xlfn.TEXTSPLIT(M318,","),_xlfn.LAMBDA(_xlpm.x,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8" t="str">
        <f>'Audit Report'!F318</f>
        <v/>
      </c>
      <c r="S318" t="str">
        <f>'Audit Report'!Q318</f>
        <v/>
      </c>
    </row>
    <row r="319" spans="4:19">
      <c r="D319" t="str">
        <f>'Audit Report'!B319</f>
        <v>ITD-SHRXXX-XX318</v>
      </c>
      <c r="E319" t="str">
        <f>'Audit Report'!C319</f>
        <v/>
      </c>
      <c r="I319" t="str">
        <f>'Audit Report'!D319</f>
        <v/>
      </c>
      <c r="J319" t="str">
        <f>_xlfn.TEXTJOIN(" ",TRUE,'Audit Report'!G319,'Audit Report'!H319)</f>
        <v/>
      </c>
      <c r="L319" t="str">
        <f>_xlfn.TEXTJOIN(", ", TRUE, 'Audit Report'!K319,'Audit Report'!L319,'Audit Report'!M319)</f>
        <v/>
      </c>
      <c r="M319" t="str">
        <f>'Audit Report'!O319</f>
        <v/>
      </c>
      <c r="N319" t="str" cm="1">
        <f t="array" ref="N319">IF(M319="","",
_xlfn.TEXTJOIN(", ",TRUE,
    _xlfn.MAP(_xlfn.TEXTSPLIT(M319,","),_xlfn.LAMBDA(_xlpm.x,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9" t="str">
        <f>'Audit Report'!F319</f>
        <v/>
      </c>
      <c r="S319" t="str">
        <f>'Audit Report'!Q319</f>
        <v/>
      </c>
    </row>
    <row r="320" spans="4:19">
      <c r="D320" t="str">
        <f>'Audit Report'!B320</f>
        <v>ITD-SHRXXX-XX319</v>
      </c>
      <c r="E320" t="str">
        <f>'Audit Report'!C320</f>
        <v/>
      </c>
      <c r="I320" t="str">
        <f>'Audit Report'!D320</f>
        <v/>
      </c>
      <c r="J320" t="str">
        <f>_xlfn.TEXTJOIN(" ",TRUE,'Audit Report'!G320,'Audit Report'!H320)</f>
        <v/>
      </c>
      <c r="L320" t="str">
        <f>_xlfn.TEXTJOIN(", ", TRUE, 'Audit Report'!K320,'Audit Report'!L320,'Audit Report'!M320)</f>
        <v/>
      </c>
      <c r="M320" t="str">
        <f>'Audit Report'!O320</f>
        <v/>
      </c>
      <c r="N320" t="str" cm="1">
        <f t="array" ref="N320">IF(M320="","",
_xlfn.TEXTJOIN(", ",TRUE,
    _xlfn.MAP(_xlfn.TEXTSPLIT(M320,","),_xlfn.LAMBDA(_xlpm.x,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0" t="str">
        <f>'Audit Report'!F320</f>
        <v/>
      </c>
      <c r="S320" t="str">
        <f>'Audit Report'!Q320</f>
        <v/>
      </c>
    </row>
    <row r="321" spans="4:19">
      <c r="D321" t="str">
        <f>'Audit Report'!B321</f>
        <v>ITD-SHRXXX-XX320</v>
      </c>
      <c r="E321" t="str">
        <f>'Audit Report'!C321</f>
        <v/>
      </c>
      <c r="I321" t="str">
        <f>'Audit Report'!D321</f>
        <v/>
      </c>
      <c r="J321" t="str">
        <f>_xlfn.TEXTJOIN(" ",TRUE,'Audit Report'!G321,'Audit Report'!H321)</f>
        <v/>
      </c>
      <c r="L321" t="str">
        <f>_xlfn.TEXTJOIN(", ", TRUE, 'Audit Report'!K321,'Audit Report'!L321,'Audit Report'!M321)</f>
        <v/>
      </c>
      <c r="M321" t="str">
        <f>'Audit Report'!O321</f>
        <v/>
      </c>
      <c r="N321" t="str" cm="1">
        <f t="array" ref="N321">IF(M321="","",
_xlfn.TEXTJOIN(", ",TRUE,
    _xlfn.MAP(_xlfn.TEXTSPLIT(M321,","),_xlfn.LAMBDA(_xlpm.x,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1" t="str">
        <f>'Audit Report'!F321</f>
        <v/>
      </c>
      <c r="S321" t="str">
        <f>'Audit Report'!Q321</f>
        <v/>
      </c>
    </row>
    <row r="322" spans="4:19">
      <c r="D322" t="str">
        <f>'Audit Report'!B322</f>
        <v>ITD-SHRXXX-XX321</v>
      </c>
      <c r="E322" t="str">
        <f>'Audit Report'!C322</f>
        <v/>
      </c>
      <c r="I322" t="str">
        <f>'Audit Report'!D322</f>
        <v/>
      </c>
      <c r="J322" t="str">
        <f>_xlfn.TEXTJOIN(" ",TRUE,'Audit Report'!G322,'Audit Report'!H322)</f>
        <v/>
      </c>
      <c r="L322" t="str">
        <f>_xlfn.TEXTJOIN(", ", TRUE, 'Audit Report'!K322,'Audit Report'!L322,'Audit Report'!M322)</f>
        <v/>
      </c>
      <c r="M322" t="str">
        <f>'Audit Report'!O322</f>
        <v/>
      </c>
      <c r="N322" t="str" cm="1">
        <f t="array" ref="N322">IF(M322="","",
_xlfn.TEXTJOIN(", ",TRUE,
    _xlfn.MAP(_xlfn.TEXTSPLIT(M322,","),_xlfn.LAMBDA(_xlpm.x,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2" t="str">
        <f>'Audit Report'!F322</f>
        <v/>
      </c>
      <c r="S322" t="str">
        <f>'Audit Report'!Q322</f>
        <v/>
      </c>
    </row>
    <row r="323" spans="4:19">
      <c r="D323" t="str">
        <f>'Audit Report'!B323</f>
        <v>ITD-SHRXXX-XX322</v>
      </c>
      <c r="E323" t="str">
        <f>'Audit Report'!C323</f>
        <v/>
      </c>
      <c r="I323" t="str">
        <f>'Audit Report'!D323</f>
        <v/>
      </c>
      <c r="J323" t="str">
        <f>_xlfn.TEXTJOIN(" ",TRUE,'Audit Report'!G323,'Audit Report'!H323)</f>
        <v/>
      </c>
      <c r="L323" t="str">
        <f>_xlfn.TEXTJOIN(", ", TRUE, 'Audit Report'!K323,'Audit Report'!L323,'Audit Report'!M323)</f>
        <v/>
      </c>
      <c r="M323" t="str">
        <f>'Audit Report'!O323</f>
        <v/>
      </c>
      <c r="N323" t="str" cm="1">
        <f t="array" ref="N323">IF(M323="","",
_xlfn.TEXTJOIN(", ",TRUE,
    _xlfn.MAP(_xlfn.TEXTSPLIT(M323,","),_xlfn.LAMBDA(_xlpm.x,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3" t="str">
        <f>'Audit Report'!F323</f>
        <v/>
      </c>
      <c r="S323" t="str">
        <f>'Audit Report'!Q323</f>
        <v/>
      </c>
    </row>
    <row r="324" spans="4:19">
      <c r="D324" t="str">
        <f>'Audit Report'!B324</f>
        <v>ITD-SHRXXX-XX323</v>
      </c>
      <c r="E324" t="str">
        <f>'Audit Report'!C324</f>
        <v/>
      </c>
      <c r="I324" t="str">
        <f>'Audit Report'!D324</f>
        <v/>
      </c>
      <c r="J324" t="str">
        <f>_xlfn.TEXTJOIN(" ",TRUE,'Audit Report'!G324,'Audit Report'!H324)</f>
        <v/>
      </c>
      <c r="L324" t="str">
        <f>_xlfn.TEXTJOIN(", ", TRUE, 'Audit Report'!K324,'Audit Report'!L324,'Audit Report'!M324)</f>
        <v/>
      </c>
      <c r="M324" t="str">
        <f>'Audit Report'!O324</f>
        <v/>
      </c>
      <c r="N324" t="str" cm="1">
        <f t="array" ref="N324">IF(M324="","",
_xlfn.TEXTJOIN(", ",TRUE,
    _xlfn.MAP(_xlfn.TEXTSPLIT(M324,","),_xlfn.LAMBDA(_xlpm.x,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4" t="str">
        <f>'Audit Report'!F324</f>
        <v/>
      </c>
      <c r="S324" t="str">
        <f>'Audit Report'!Q324</f>
        <v/>
      </c>
    </row>
    <row r="325" spans="4:19">
      <c r="D325" t="str">
        <f>'Audit Report'!B325</f>
        <v>ITD-SHRXXX-XX324</v>
      </c>
      <c r="E325" t="str">
        <f>'Audit Report'!C325</f>
        <v/>
      </c>
      <c r="I325" t="str">
        <f>'Audit Report'!D325</f>
        <v/>
      </c>
      <c r="J325" t="str">
        <f>_xlfn.TEXTJOIN(" ",TRUE,'Audit Report'!G325,'Audit Report'!H325)</f>
        <v/>
      </c>
      <c r="L325" t="str">
        <f>_xlfn.TEXTJOIN(", ", TRUE, 'Audit Report'!K325,'Audit Report'!L325,'Audit Report'!M325)</f>
        <v/>
      </c>
      <c r="M325" t="str">
        <f>'Audit Report'!O325</f>
        <v/>
      </c>
      <c r="N325" t="str" cm="1">
        <f t="array" ref="N325">IF(M325="","",
_xlfn.TEXTJOIN(", ",TRUE,
    _xlfn.MAP(_xlfn.TEXTSPLIT(M325,","),_xlfn.LAMBDA(_xlpm.x,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5" t="str">
        <f>'Audit Report'!F325</f>
        <v/>
      </c>
      <c r="S325" t="str">
        <f>'Audit Report'!Q325</f>
        <v/>
      </c>
    </row>
    <row r="326" spans="4:19">
      <c r="D326" t="str">
        <f>'Audit Report'!B326</f>
        <v>ITD-SHRXXX-XX325</v>
      </c>
      <c r="E326" t="str">
        <f>'Audit Report'!C326</f>
        <v/>
      </c>
      <c r="I326" t="str">
        <f>'Audit Report'!D326</f>
        <v/>
      </c>
      <c r="J326" t="str">
        <f>_xlfn.TEXTJOIN(" ",TRUE,'Audit Report'!G326,'Audit Report'!H326)</f>
        <v/>
      </c>
      <c r="L326" t="str">
        <f>_xlfn.TEXTJOIN(", ", TRUE, 'Audit Report'!K326,'Audit Report'!L326,'Audit Report'!M326)</f>
        <v/>
      </c>
      <c r="M326" t="str">
        <f>'Audit Report'!O326</f>
        <v/>
      </c>
      <c r="N326" t="str" cm="1">
        <f t="array" ref="N326">IF(M326="","",
_xlfn.TEXTJOIN(", ",TRUE,
    _xlfn.MAP(_xlfn.TEXTSPLIT(M326,","),_xlfn.LAMBDA(_xlpm.x,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6" t="str">
        <f>'Audit Report'!F326</f>
        <v/>
      </c>
      <c r="S326" t="str">
        <f>'Audit Report'!Q326</f>
        <v/>
      </c>
    </row>
    <row r="327" spans="4:19">
      <c r="D327" t="str">
        <f>'Audit Report'!B327</f>
        <v>ITD-SHRXXX-XX326</v>
      </c>
      <c r="E327" t="str">
        <f>'Audit Report'!C327</f>
        <v/>
      </c>
      <c r="I327" t="str">
        <f>'Audit Report'!D327</f>
        <v/>
      </c>
      <c r="J327" t="str">
        <f>_xlfn.TEXTJOIN(" ",TRUE,'Audit Report'!G327,'Audit Report'!H327)</f>
        <v/>
      </c>
      <c r="L327" t="str">
        <f>_xlfn.TEXTJOIN(", ", TRUE, 'Audit Report'!K327,'Audit Report'!L327,'Audit Report'!M327)</f>
        <v/>
      </c>
      <c r="M327" t="str">
        <f>'Audit Report'!O327</f>
        <v/>
      </c>
      <c r="N327" t="str" cm="1">
        <f t="array" ref="N327">IF(M327="","",
_xlfn.TEXTJOIN(", ",TRUE,
    _xlfn.MAP(_xlfn.TEXTSPLIT(M327,","),_xlfn.LAMBDA(_xlpm.x,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7" t="str">
        <f>'Audit Report'!F327</f>
        <v/>
      </c>
      <c r="S327" t="str">
        <f>'Audit Report'!Q327</f>
        <v/>
      </c>
    </row>
    <row r="328" spans="4:19">
      <c r="D328" t="str">
        <f>'Audit Report'!B328</f>
        <v>ITD-SHRXXX-XX327</v>
      </c>
      <c r="E328" t="str">
        <f>'Audit Report'!C328</f>
        <v/>
      </c>
      <c r="I328" t="str">
        <f>'Audit Report'!D328</f>
        <v/>
      </c>
      <c r="J328" t="str">
        <f>_xlfn.TEXTJOIN(" ",TRUE,'Audit Report'!G328,'Audit Report'!H328)</f>
        <v/>
      </c>
      <c r="L328" t="str">
        <f>_xlfn.TEXTJOIN(", ", TRUE, 'Audit Report'!K328,'Audit Report'!L328,'Audit Report'!M328)</f>
        <v/>
      </c>
      <c r="M328" t="str">
        <f>'Audit Report'!O328</f>
        <v/>
      </c>
      <c r="N328" t="str" cm="1">
        <f t="array" ref="N328">IF(M328="","",
_xlfn.TEXTJOIN(", ",TRUE,
    _xlfn.MAP(_xlfn.TEXTSPLIT(M328,","),_xlfn.LAMBDA(_xlpm.x,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8" t="str">
        <f>'Audit Report'!F328</f>
        <v/>
      </c>
      <c r="S328" t="str">
        <f>'Audit Report'!Q328</f>
        <v/>
      </c>
    </row>
    <row r="329" spans="4:19">
      <c r="D329" t="str">
        <f>'Audit Report'!B329</f>
        <v>ITD-SHRXXX-XX328</v>
      </c>
      <c r="E329" t="str">
        <f>'Audit Report'!C329</f>
        <v/>
      </c>
      <c r="I329" t="str">
        <f>'Audit Report'!D329</f>
        <v/>
      </c>
      <c r="J329" t="str">
        <f>_xlfn.TEXTJOIN(" ",TRUE,'Audit Report'!G329,'Audit Report'!H329)</f>
        <v/>
      </c>
      <c r="L329" t="str">
        <f>_xlfn.TEXTJOIN(", ", TRUE, 'Audit Report'!K329,'Audit Report'!L329,'Audit Report'!M329)</f>
        <v/>
      </c>
      <c r="M329" t="str">
        <f>'Audit Report'!O329</f>
        <v/>
      </c>
      <c r="N329" t="str" cm="1">
        <f t="array" ref="N329">IF(M329="","",
_xlfn.TEXTJOIN(", ",TRUE,
    _xlfn.MAP(_xlfn.TEXTSPLIT(M329,","),_xlfn.LAMBDA(_xlpm.x,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9" t="str">
        <f>'Audit Report'!F329</f>
        <v/>
      </c>
      <c r="S329" t="str">
        <f>'Audit Report'!Q329</f>
        <v/>
      </c>
    </row>
    <row r="330" spans="4:19">
      <c r="D330" t="str">
        <f>'Audit Report'!B330</f>
        <v>ITD-SHRXXX-XX329</v>
      </c>
      <c r="E330" t="str">
        <f>'Audit Report'!C330</f>
        <v/>
      </c>
      <c r="I330" t="str">
        <f>'Audit Report'!D330</f>
        <v/>
      </c>
      <c r="J330" t="str">
        <f>_xlfn.TEXTJOIN(" ",TRUE,'Audit Report'!G330,'Audit Report'!H330)</f>
        <v/>
      </c>
      <c r="L330" t="str">
        <f>_xlfn.TEXTJOIN(", ", TRUE, 'Audit Report'!K330,'Audit Report'!L330,'Audit Report'!M330)</f>
        <v/>
      </c>
      <c r="M330" t="str">
        <f>'Audit Report'!O330</f>
        <v/>
      </c>
      <c r="N330" t="str" cm="1">
        <f t="array" ref="N330">IF(M330="","",
_xlfn.TEXTJOIN(", ",TRUE,
    _xlfn.MAP(_xlfn.TEXTSPLIT(M330,","),_xlfn.LAMBDA(_xlpm.x,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0" t="str">
        <f>'Audit Report'!F330</f>
        <v/>
      </c>
      <c r="S330" t="str">
        <f>'Audit Report'!Q330</f>
        <v/>
      </c>
    </row>
    <row r="331" spans="4:19">
      <c r="D331" t="str">
        <f>'Audit Report'!B331</f>
        <v>ITD-SHRXXX-XX330</v>
      </c>
      <c r="E331" t="str">
        <f>'Audit Report'!C331</f>
        <v/>
      </c>
      <c r="I331" t="str">
        <f>'Audit Report'!D331</f>
        <v/>
      </c>
      <c r="J331" t="str">
        <f>_xlfn.TEXTJOIN(" ",TRUE,'Audit Report'!G331,'Audit Report'!H331)</f>
        <v/>
      </c>
      <c r="L331" t="str">
        <f>_xlfn.TEXTJOIN(", ", TRUE, 'Audit Report'!K331,'Audit Report'!L331,'Audit Report'!M331)</f>
        <v/>
      </c>
      <c r="M331" t="str">
        <f>'Audit Report'!O331</f>
        <v/>
      </c>
      <c r="N331" t="str" cm="1">
        <f t="array" ref="N331">IF(M331="","",
_xlfn.TEXTJOIN(", ",TRUE,
    _xlfn.MAP(_xlfn.TEXTSPLIT(M331,","),_xlfn.LAMBDA(_xlpm.x,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1" t="str">
        <f>'Audit Report'!F331</f>
        <v/>
      </c>
      <c r="S331" t="str">
        <f>'Audit Report'!Q331</f>
        <v/>
      </c>
    </row>
    <row r="332" spans="4:19">
      <c r="D332" t="str">
        <f>'Audit Report'!B332</f>
        <v>ITD-SHRXXX-XX331</v>
      </c>
      <c r="E332" t="str">
        <f>'Audit Report'!C332</f>
        <v/>
      </c>
      <c r="I332" t="str">
        <f>'Audit Report'!D332</f>
        <v/>
      </c>
      <c r="J332" t="str">
        <f>_xlfn.TEXTJOIN(" ",TRUE,'Audit Report'!G332,'Audit Report'!H332)</f>
        <v/>
      </c>
      <c r="L332" t="str">
        <f>_xlfn.TEXTJOIN(", ", TRUE, 'Audit Report'!K332,'Audit Report'!L332,'Audit Report'!M332)</f>
        <v/>
      </c>
      <c r="M332" t="str">
        <f>'Audit Report'!O332</f>
        <v/>
      </c>
      <c r="N332" t="str" cm="1">
        <f t="array" ref="N332">IF(M332="","",
_xlfn.TEXTJOIN(", ",TRUE,
    _xlfn.MAP(_xlfn.TEXTSPLIT(M332,","),_xlfn.LAMBDA(_xlpm.x,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2" t="str">
        <f>'Audit Report'!F332</f>
        <v/>
      </c>
      <c r="S332" t="str">
        <f>'Audit Report'!Q332</f>
        <v/>
      </c>
    </row>
    <row r="333" spans="4:19">
      <c r="D333" t="str">
        <f>'Audit Report'!B333</f>
        <v>ITD-SHRXXX-XX332</v>
      </c>
      <c r="E333" t="str">
        <f>'Audit Report'!C333</f>
        <v/>
      </c>
      <c r="I333" t="str">
        <f>'Audit Report'!D333</f>
        <v/>
      </c>
      <c r="J333" t="str">
        <f>_xlfn.TEXTJOIN(" ",TRUE,'Audit Report'!G333,'Audit Report'!H333)</f>
        <v/>
      </c>
      <c r="L333" t="str">
        <f>_xlfn.TEXTJOIN(", ", TRUE, 'Audit Report'!K333,'Audit Report'!L333,'Audit Report'!M333)</f>
        <v/>
      </c>
      <c r="M333" t="str">
        <f>'Audit Report'!O333</f>
        <v/>
      </c>
      <c r="N333" t="str" cm="1">
        <f t="array" ref="N333">IF(M333="","",
_xlfn.TEXTJOIN(", ",TRUE,
    _xlfn.MAP(_xlfn.TEXTSPLIT(M333,","),_xlfn.LAMBDA(_xlpm.x,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3" t="str">
        <f>'Audit Report'!F333</f>
        <v/>
      </c>
      <c r="S333" t="str">
        <f>'Audit Report'!Q333</f>
        <v/>
      </c>
    </row>
    <row r="334" spans="4:19">
      <c r="D334" t="str">
        <f>'Audit Report'!B334</f>
        <v>ITD-SHRXXX-XX333</v>
      </c>
      <c r="E334" t="str">
        <f>'Audit Report'!C334</f>
        <v/>
      </c>
      <c r="I334" t="str">
        <f>'Audit Report'!D334</f>
        <v/>
      </c>
      <c r="J334" t="str">
        <f>_xlfn.TEXTJOIN(" ",TRUE,'Audit Report'!G334,'Audit Report'!H334)</f>
        <v/>
      </c>
      <c r="L334" t="str">
        <f>_xlfn.TEXTJOIN(", ", TRUE, 'Audit Report'!K334,'Audit Report'!L334,'Audit Report'!M334)</f>
        <v/>
      </c>
      <c r="M334" t="str">
        <f>'Audit Report'!O334</f>
        <v/>
      </c>
      <c r="N334" t="str" cm="1">
        <f t="array" ref="N334">IF(M334="","",
_xlfn.TEXTJOIN(", ",TRUE,
    _xlfn.MAP(_xlfn.TEXTSPLIT(M334,","),_xlfn.LAMBDA(_xlpm.x,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4" t="str">
        <f>'Audit Report'!F334</f>
        <v/>
      </c>
      <c r="S334" t="str">
        <f>'Audit Report'!Q334</f>
        <v/>
      </c>
    </row>
    <row r="335" spans="4:19">
      <c r="D335" t="str">
        <f>'Audit Report'!B335</f>
        <v>ITD-SHRXXX-XX334</v>
      </c>
      <c r="E335" t="str">
        <f>'Audit Report'!C335</f>
        <v/>
      </c>
      <c r="I335" t="str">
        <f>'Audit Report'!D335</f>
        <v/>
      </c>
      <c r="J335" t="str">
        <f>_xlfn.TEXTJOIN(" ",TRUE,'Audit Report'!G335,'Audit Report'!H335)</f>
        <v/>
      </c>
      <c r="L335" t="str">
        <f>_xlfn.TEXTJOIN(", ", TRUE, 'Audit Report'!K335,'Audit Report'!L335,'Audit Report'!M335)</f>
        <v/>
      </c>
      <c r="M335" t="str">
        <f>'Audit Report'!O335</f>
        <v/>
      </c>
      <c r="N335" t="str" cm="1">
        <f t="array" ref="N335">IF(M335="","",
_xlfn.TEXTJOIN(", ",TRUE,
    _xlfn.MAP(_xlfn.TEXTSPLIT(M335,","),_xlfn.LAMBDA(_xlpm.x,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5" t="str">
        <f>'Audit Report'!F335</f>
        <v/>
      </c>
      <c r="S335" t="str">
        <f>'Audit Report'!Q335</f>
        <v/>
      </c>
    </row>
    <row r="336" spans="4:19">
      <c r="D336" t="str">
        <f>'Audit Report'!B336</f>
        <v>ITD-SHRXXX-XX335</v>
      </c>
      <c r="E336" t="str">
        <f>'Audit Report'!C336</f>
        <v/>
      </c>
      <c r="I336" t="str">
        <f>'Audit Report'!D336</f>
        <v/>
      </c>
      <c r="J336" t="str">
        <f>_xlfn.TEXTJOIN(" ",TRUE,'Audit Report'!G336,'Audit Report'!H336)</f>
        <v/>
      </c>
      <c r="L336" t="str">
        <f>_xlfn.TEXTJOIN(", ", TRUE, 'Audit Report'!K336,'Audit Report'!L336,'Audit Report'!M336)</f>
        <v/>
      </c>
      <c r="M336" t="str">
        <f>'Audit Report'!O336</f>
        <v/>
      </c>
      <c r="N336" t="str" cm="1">
        <f t="array" ref="N336">IF(M336="","",
_xlfn.TEXTJOIN(", ",TRUE,
    _xlfn.MAP(_xlfn.TEXTSPLIT(M336,","),_xlfn.LAMBDA(_xlpm.x,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6" t="str">
        <f>'Audit Report'!F336</f>
        <v/>
      </c>
      <c r="S336" t="str">
        <f>'Audit Report'!Q336</f>
        <v/>
      </c>
    </row>
    <row r="337" spans="4:19">
      <c r="D337" t="str">
        <f>'Audit Report'!B337</f>
        <v>ITD-SHRXXX-XX336</v>
      </c>
      <c r="E337" t="str">
        <f>'Audit Report'!C337</f>
        <v/>
      </c>
      <c r="I337" t="str">
        <f>'Audit Report'!D337</f>
        <v/>
      </c>
      <c r="J337" t="str">
        <f>_xlfn.TEXTJOIN(" ",TRUE,'Audit Report'!G337,'Audit Report'!H337)</f>
        <v/>
      </c>
      <c r="L337" t="str">
        <f>_xlfn.TEXTJOIN(", ", TRUE, 'Audit Report'!K337,'Audit Report'!L337,'Audit Report'!M337)</f>
        <v/>
      </c>
      <c r="M337" t="str">
        <f>'Audit Report'!O337</f>
        <v/>
      </c>
      <c r="N337" t="str" cm="1">
        <f t="array" ref="N337">IF(M337="","",
_xlfn.TEXTJOIN(", ",TRUE,
    _xlfn.MAP(_xlfn.TEXTSPLIT(M337,","),_xlfn.LAMBDA(_xlpm.x,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7" t="str">
        <f>'Audit Report'!F337</f>
        <v/>
      </c>
      <c r="S337" t="str">
        <f>'Audit Report'!Q337</f>
        <v/>
      </c>
    </row>
    <row r="338" spans="4:19">
      <c r="D338" t="str">
        <f>'Audit Report'!B338</f>
        <v>ITD-SHRXXX-XX337</v>
      </c>
      <c r="E338" t="str">
        <f>'Audit Report'!C338</f>
        <v/>
      </c>
      <c r="I338" t="str">
        <f>'Audit Report'!D338</f>
        <v/>
      </c>
      <c r="J338" t="str">
        <f>_xlfn.TEXTJOIN(" ",TRUE,'Audit Report'!G338,'Audit Report'!H338)</f>
        <v/>
      </c>
      <c r="L338" t="str">
        <f>_xlfn.TEXTJOIN(", ", TRUE, 'Audit Report'!K338,'Audit Report'!L338,'Audit Report'!M338)</f>
        <v/>
      </c>
      <c r="M338" t="str">
        <f>'Audit Report'!O338</f>
        <v/>
      </c>
      <c r="N338" t="str" cm="1">
        <f t="array" ref="N338">IF(M338="","",
_xlfn.TEXTJOIN(", ",TRUE,
    _xlfn.MAP(_xlfn.TEXTSPLIT(M338,","),_xlfn.LAMBDA(_xlpm.x,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8" t="str">
        <f>'Audit Report'!F338</f>
        <v/>
      </c>
      <c r="S338" t="str">
        <f>'Audit Report'!Q338</f>
        <v/>
      </c>
    </row>
    <row r="339" spans="4:19">
      <c r="D339" t="str">
        <f>'Audit Report'!B339</f>
        <v>ITD-SHRXXX-XX338</v>
      </c>
      <c r="E339" t="str">
        <f>'Audit Report'!C339</f>
        <v/>
      </c>
      <c r="I339" t="str">
        <f>'Audit Report'!D339</f>
        <v/>
      </c>
      <c r="J339" t="str">
        <f>_xlfn.TEXTJOIN(" ",TRUE,'Audit Report'!G339,'Audit Report'!H339)</f>
        <v/>
      </c>
      <c r="L339" t="str">
        <f>_xlfn.TEXTJOIN(", ", TRUE, 'Audit Report'!K339,'Audit Report'!L339,'Audit Report'!M339)</f>
        <v/>
      </c>
      <c r="M339" t="str">
        <f>'Audit Report'!O339</f>
        <v/>
      </c>
      <c r="N339" t="str" cm="1">
        <f t="array" ref="N339">IF(M339="","",
_xlfn.TEXTJOIN(", ",TRUE,
    _xlfn.MAP(_xlfn.TEXTSPLIT(M339,","),_xlfn.LAMBDA(_xlpm.x,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9" t="str">
        <f>'Audit Report'!F339</f>
        <v/>
      </c>
      <c r="S339" t="str">
        <f>'Audit Report'!Q339</f>
        <v/>
      </c>
    </row>
    <row r="340" spans="4:19">
      <c r="D340" t="str">
        <f>'Audit Report'!B340</f>
        <v>ITD-SHRXXX-XX339</v>
      </c>
      <c r="E340" t="str">
        <f>'Audit Report'!C340</f>
        <v/>
      </c>
      <c r="I340" t="str">
        <f>'Audit Report'!D340</f>
        <v/>
      </c>
      <c r="J340" t="str">
        <f>_xlfn.TEXTJOIN(" ",TRUE,'Audit Report'!G340,'Audit Report'!H340)</f>
        <v/>
      </c>
      <c r="L340" t="str">
        <f>_xlfn.TEXTJOIN(", ", TRUE, 'Audit Report'!K340,'Audit Report'!L340,'Audit Report'!M340)</f>
        <v/>
      </c>
      <c r="M340" t="str">
        <f>'Audit Report'!O340</f>
        <v/>
      </c>
      <c r="N340" t="str" cm="1">
        <f t="array" ref="N340">IF(M340="","",
_xlfn.TEXTJOIN(", ",TRUE,
    _xlfn.MAP(_xlfn.TEXTSPLIT(M340,","),_xlfn.LAMBDA(_xlpm.x,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0" t="str">
        <f>'Audit Report'!F340</f>
        <v/>
      </c>
      <c r="S340" t="str">
        <f>'Audit Report'!Q340</f>
        <v/>
      </c>
    </row>
    <row r="341" spans="4:19">
      <c r="D341" t="str">
        <f>'Audit Report'!B341</f>
        <v>ITD-SHRXXX-XX340</v>
      </c>
      <c r="E341" t="str">
        <f>'Audit Report'!C341</f>
        <v/>
      </c>
      <c r="I341" t="str">
        <f>'Audit Report'!D341</f>
        <v/>
      </c>
      <c r="J341" t="str">
        <f>_xlfn.TEXTJOIN(" ",TRUE,'Audit Report'!G341,'Audit Report'!H341)</f>
        <v/>
      </c>
      <c r="L341" t="str">
        <f>_xlfn.TEXTJOIN(", ", TRUE, 'Audit Report'!K341,'Audit Report'!L341,'Audit Report'!M341)</f>
        <v/>
      </c>
      <c r="M341" t="str">
        <f>'Audit Report'!O341</f>
        <v/>
      </c>
      <c r="N341" t="str" cm="1">
        <f t="array" ref="N341">IF(M341="","",
_xlfn.TEXTJOIN(", ",TRUE,
    _xlfn.MAP(_xlfn.TEXTSPLIT(M341,","),_xlfn.LAMBDA(_xlpm.x,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1" t="str">
        <f>'Audit Report'!F341</f>
        <v/>
      </c>
      <c r="S341" t="str">
        <f>'Audit Report'!Q341</f>
        <v/>
      </c>
    </row>
    <row r="342" spans="4:19">
      <c r="D342" t="str">
        <f>'Audit Report'!B342</f>
        <v>ITD-SHRXXX-XX341</v>
      </c>
      <c r="E342" t="str">
        <f>'Audit Report'!C342</f>
        <v/>
      </c>
      <c r="I342" t="str">
        <f>'Audit Report'!D342</f>
        <v/>
      </c>
      <c r="J342" t="str">
        <f>_xlfn.TEXTJOIN(" ",TRUE,'Audit Report'!G342,'Audit Report'!H342)</f>
        <v/>
      </c>
      <c r="L342" t="str">
        <f>_xlfn.TEXTJOIN(", ", TRUE, 'Audit Report'!K342,'Audit Report'!L342,'Audit Report'!M342)</f>
        <v/>
      </c>
      <c r="M342" t="str">
        <f>'Audit Report'!O342</f>
        <v/>
      </c>
      <c r="N342" t="str" cm="1">
        <f t="array" ref="N342">IF(M342="","",
_xlfn.TEXTJOIN(", ",TRUE,
    _xlfn.MAP(_xlfn.TEXTSPLIT(M342,","),_xlfn.LAMBDA(_xlpm.x,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2" t="str">
        <f>'Audit Report'!F342</f>
        <v/>
      </c>
      <c r="S342" t="str">
        <f>'Audit Report'!Q342</f>
        <v/>
      </c>
    </row>
    <row r="343" spans="4:19">
      <c r="D343" t="str">
        <f>'Audit Report'!B343</f>
        <v>ITD-SHRXXX-XX342</v>
      </c>
      <c r="E343" t="str">
        <f>'Audit Report'!C343</f>
        <v/>
      </c>
      <c r="I343" t="str">
        <f>'Audit Report'!D343</f>
        <v/>
      </c>
      <c r="J343" t="str">
        <f>_xlfn.TEXTJOIN(" ",TRUE,'Audit Report'!G343,'Audit Report'!H343)</f>
        <v/>
      </c>
      <c r="L343" t="str">
        <f>_xlfn.TEXTJOIN(", ", TRUE, 'Audit Report'!K343,'Audit Report'!L343,'Audit Report'!M343)</f>
        <v/>
      </c>
      <c r="M343" t="str">
        <f>'Audit Report'!O343</f>
        <v/>
      </c>
      <c r="N343" t="str" cm="1">
        <f t="array" ref="N343">IF(M343="","",
_xlfn.TEXTJOIN(", ",TRUE,
    _xlfn.MAP(_xlfn.TEXTSPLIT(M343,","),_xlfn.LAMBDA(_xlpm.x,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3" t="str">
        <f>'Audit Report'!F343</f>
        <v/>
      </c>
      <c r="S343" t="str">
        <f>'Audit Report'!Q343</f>
        <v/>
      </c>
    </row>
    <row r="344" spans="4:19">
      <c r="D344" t="str">
        <f>'Audit Report'!B344</f>
        <v>ITD-SHRXXX-XX343</v>
      </c>
      <c r="E344" t="str">
        <f>'Audit Report'!C344</f>
        <v/>
      </c>
      <c r="I344" t="str">
        <f>'Audit Report'!D344</f>
        <v/>
      </c>
      <c r="J344" t="str">
        <f>_xlfn.TEXTJOIN(" ",TRUE,'Audit Report'!G344,'Audit Report'!H344)</f>
        <v/>
      </c>
      <c r="L344" t="str">
        <f>_xlfn.TEXTJOIN(", ", TRUE, 'Audit Report'!K344,'Audit Report'!L344,'Audit Report'!M344)</f>
        <v/>
      </c>
      <c r="M344" t="str">
        <f>'Audit Report'!O344</f>
        <v/>
      </c>
      <c r="N344" t="str" cm="1">
        <f t="array" ref="N344">IF(M344="","",
_xlfn.TEXTJOIN(", ",TRUE,
    _xlfn.MAP(_xlfn.TEXTSPLIT(M344,","),_xlfn.LAMBDA(_xlpm.x,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4" t="str">
        <f>'Audit Report'!F344</f>
        <v/>
      </c>
      <c r="S344" t="str">
        <f>'Audit Report'!Q344</f>
        <v/>
      </c>
    </row>
    <row r="345" spans="4:19">
      <c r="D345" t="str">
        <f>'Audit Report'!B345</f>
        <v>ITD-SHRXXX-XX344</v>
      </c>
      <c r="E345" t="str">
        <f>'Audit Report'!C345</f>
        <v/>
      </c>
      <c r="I345" t="str">
        <f>'Audit Report'!D345</f>
        <v/>
      </c>
      <c r="J345" t="str">
        <f>_xlfn.TEXTJOIN(" ",TRUE,'Audit Report'!G345,'Audit Report'!H345)</f>
        <v/>
      </c>
      <c r="L345" t="str">
        <f>_xlfn.TEXTJOIN(", ", TRUE, 'Audit Report'!K345,'Audit Report'!L345,'Audit Report'!M345)</f>
        <v/>
      </c>
      <c r="M345" t="str">
        <f>'Audit Report'!O345</f>
        <v/>
      </c>
      <c r="N345" t="str" cm="1">
        <f t="array" ref="N345">IF(M345="","",
_xlfn.TEXTJOIN(", ",TRUE,
    _xlfn.MAP(_xlfn.TEXTSPLIT(M345,","),_xlfn.LAMBDA(_xlpm.x,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5" t="str">
        <f>'Audit Report'!F345</f>
        <v/>
      </c>
      <c r="S345" t="str">
        <f>'Audit Report'!Q345</f>
        <v/>
      </c>
    </row>
    <row r="346" spans="4:19">
      <c r="D346" t="str">
        <f>'Audit Report'!B346</f>
        <v>ITD-SHRXXX-XX345</v>
      </c>
      <c r="E346" t="str">
        <f>'Audit Report'!C346</f>
        <v/>
      </c>
      <c r="I346" t="str">
        <f>'Audit Report'!D346</f>
        <v/>
      </c>
      <c r="J346" t="str">
        <f>_xlfn.TEXTJOIN(" ",TRUE,'Audit Report'!G346,'Audit Report'!H346)</f>
        <v/>
      </c>
      <c r="L346" t="str">
        <f>_xlfn.TEXTJOIN(", ", TRUE, 'Audit Report'!K346,'Audit Report'!L346,'Audit Report'!M346)</f>
        <v/>
      </c>
      <c r="M346" t="str">
        <f>'Audit Report'!O346</f>
        <v/>
      </c>
      <c r="N346" t="str" cm="1">
        <f t="array" ref="N346">IF(M346="","",
_xlfn.TEXTJOIN(", ",TRUE,
    _xlfn.MAP(_xlfn.TEXTSPLIT(M346,","),_xlfn.LAMBDA(_xlpm.x,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6" t="str">
        <f>'Audit Report'!F346</f>
        <v/>
      </c>
      <c r="S346" t="str">
        <f>'Audit Report'!Q346</f>
        <v/>
      </c>
    </row>
    <row r="347" spans="4:19">
      <c r="D347" t="str">
        <f>'Audit Report'!B347</f>
        <v>ITD-SHRXXX-XX346</v>
      </c>
      <c r="E347" t="str">
        <f>'Audit Report'!C347</f>
        <v/>
      </c>
      <c r="I347" t="str">
        <f>'Audit Report'!D347</f>
        <v/>
      </c>
      <c r="J347" t="str">
        <f>_xlfn.TEXTJOIN(" ",TRUE,'Audit Report'!G347,'Audit Report'!H347)</f>
        <v/>
      </c>
      <c r="L347" t="str">
        <f>_xlfn.TEXTJOIN(", ", TRUE, 'Audit Report'!K347,'Audit Report'!L347,'Audit Report'!M347)</f>
        <v/>
      </c>
      <c r="M347" t="str">
        <f>'Audit Report'!O347</f>
        <v/>
      </c>
      <c r="N347" t="str" cm="1">
        <f t="array" ref="N347">IF(M347="","",
_xlfn.TEXTJOIN(", ",TRUE,
    _xlfn.MAP(_xlfn.TEXTSPLIT(M347,","),_xlfn.LAMBDA(_xlpm.x,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7" t="str">
        <f>'Audit Report'!F347</f>
        <v/>
      </c>
      <c r="S347" t="str">
        <f>'Audit Report'!Q347</f>
        <v/>
      </c>
    </row>
    <row r="348" spans="4:19">
      <c r="D348" t="str">
        <f>'Audit Report'!B348</f>
        <v>ITD-SHRXXX-XX347</v>
      </c>
      <c r="E348" t="str">
        <f>'Audit Report'!C348</f>
        <v/>
      </c>
      <c r="I348" t="str">
        <f>'Audit Report'!D348</f>
        <v/>
      </c>
      <c r="J348" t="str">
        <f>_xlfn.TEXTJOIN(" ",TRUE,'Audit Report'!G348,'Audit Report'!H348)</f>
        <v/>
      </c>
      <c r="L348" t="str">
        <f>_xlfn.TEXTJOIN(", ", TRUE, 'Audit Report'!K348,'Audit Report'!L348,'Audit Report'!M348)</f>
        <v/>
      </c>
      <c r="M348" t="str">
        <f>'Audit Report'!O348</f>
        <v/>
      </c>
      <c r="N348" t="str" cm="1">
        <f t="array" ref="N348">IF(M348="","",
_xlfn.TEXTJOIN(", ",TRUE,
    _xlfn.MAP(_xlfn.TEXTSPLIT(M348,","),_xlfn.LAMBDA(_xlpm.x,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8" t="str">
        <f>'Audit Report'!F348</f>
        <v/>
      </c>
      <c r="S348" t="str">
        <f>'Audit Report'!Q348</f>
        <v/>
      </c>
    </row>
    <row r="349" spans="4:19">
      <c r="D349" t="str">
        <f>'Audit Report'!B349</f>
        <v>ITD-SHRXXX-XX348</v>
      </c>
      <c r="E349" t="str">
        <f>'Audit Report'!C349</f>
        <v/>
      </c>
      <c r="I349" t="str">
        <f>'Audit Report'!D349</f>
        <v/>
      </c>
      <c r="J349" t="str">
        <f>_xlfn.TEXTJOIN(" ",TRUE,'Audit Report'!G349,'Audit Report'!H349)</f>
        <v/>
      </c>
      <c r="L349" t="str">
        <f>_xlfn.TEXTJOIN(", ", TRUE, 'Audit Report'!K349,'Audit Report'!L349,'Audit Report'!M349)</f>
        <v/>
      </c>
      <c r="M349" t="str">
        <f>'Audit Report'!O349</f>
        <v/>
      </c>
      <c r="N349" t="str" cm="1">
        <f t="array" ref="N349">IF(M349="","",
_xlfn.TEXTJOIN(", ",TRUE,
    _xlfn.MAP(_xlfn.TEXTSPLIT(M349,","),_xlfn.LAMBDA(_xlpm.x,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9" t="str">
        <f>'Audit Report'!F349</f>
        <v/>
      </c>
      <c r="S349" t="str">
        <f>'Audit Report'!Q349</f>
        <v/>
      </c>
    </row>
    <row r="350" spans="4:19">
      <c r="D350" t="str">
        <f>'Audit Report'!B350</f>
        <v>ITD-SHRXXX-XX349</v>
      </c>
      <c r="E350" t="str">
        <f>'Audit Report'!C350</f>
        <v/>
      </c>
      <c r="I350" t="str">
        <f>'Audit Report'!D350</f>
        <v/>
      </c>
      <c r="J350" t="str">
        <f>_xlfn.TEXTJOIN(" ",TRUE,'Audit Report'!G350,'Audit Report'!H350)</f>
        <v/>
      </c>
      <c r="L350" t="str">
        <f>_xlfn.TEXTJOIN(", ", TRUE, 'Audit Report'!K350,'Audit Report'!L350,'Audit Report'!M350)</f>
        <v/>
      </c>
      <c r="M350" t="str">
        <f>'Audit Report'!O350</f>
        <v/>
      </c>
      <c r="N350" t="str" cm="1">
        <f t="array" ref="N350">IF(M350="","",
_xlfn.TEXTJOIN(", ",TRUE,
    _xlfn.MAP(_xlfn.TEXTSPLIT(M350,","),_xlfn.LAMBDA(_xlpm.x,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0" t="str">
        <f>'Audit Report'!F350</f>
        <v/>
      </c>
      <c r="S350" t="str">
        <f>'Audit Report'!Q350</f>
        <v/>
      </c>
    </row>
    <row r="351" spans="4:19">
      <c r="D351" t="str">
        <f>'Audit Report'!B351</f>
        <v>ITD-SHRXXX-XX350</v>
      </c>
      <c r="E351" t="str">
        <f>'Audit Report'!C351</f>
        <v/>
      </c>
      <c r="I351" t="str">
        <f>'Audit Report'!D351</f>
        <v/>
      </c>
      <c r="J351" t="str">
        <f>_xlfn.TEXTJOIN(" ",TRUE,'Audit Report'!G351,'Audit Report'!H351)</f>
        <v/>
      </c>
      <c r="L351" t="str">
        <f>_xlfn.TEXTJOIN(", ", TRUE, 'Audit Report'!K351,'Audit Report'!L351,'Audit Report'!M351)</f>
        <v/>
      </c>
      <c r="M351" t="str">
        <f>'Audit Report'!O351</f>
        <v/>
      </c>
      <c r="N351" t="str" cm="1">
        <f t="array" ref="N351">IF(M351="","",
_xlfn.TEXTJOIN(", ",TRUE,
    _xlfn.MAP(_xlfn.TEXTSPLIT(M351,","),_xlfn.LAMBDA(_xlpm.x,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1" t="str">
        <f>'Audit Report'!F351</f>
        <v/>
      </c>
      <c r="S351" t="str">
        <f>'Audit Report'!Q351</f>
        <v/>
      </c>
    </row>
    <row r="352" spans="4:19">
      <c r="D352" t="str">
        <f>'Audit Report'!B352</f>
        <v>ITD-SHRXXX-XX351</v>
      </c>
      <c r="E352" t="str">
        <f>'Audit Report'!C352</f>
        <v/>
      </c>
      <c r="I352" t="str">
        <f>'Audit Report'!D352</f>
        <v/>
      </c>
      <c r="J352" t="str">
        <f>_xlfn.TEXTJOIN(" ",TRUE,'Audit Report'!G352,'Audit Report'!H352)</f>
        <v/>
      </c>
      <c r="L352" t="str">
        <f>_xlfn.TEXTJOIN(", ", TRUE, 'Audit Report'!K352,'Audit Report'!L352,'Audit Report'!M352)</f>
        <v/>
      </c>
      <c r="M352" t="str">
        <f>'Audit Report'!O352</f>
        <v/>
      </c>
      <c r="N352" t="str" cm="1">
        <f t="array" ref="N352">IF(M352="","",
_xlfn.TEXTJOIN(", ",TRUE,
    _xlfn.MAP(_xlfn.TEXTSPLIT(M352,","),_xlfn.LAMBDA(_xlpm.x,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2" t="str">
        <f>'Audit Report'!F352</f>
        <v/>
      </c>
      <c r="S352" t="str">
        <f>'Audit Report'!Q352</f>
        <v/>
      </c>
    </row>
    <row r="353" spans="4:19">
      <c r="D353" t="str">
        <f>'Audit Report'!B353</f>
        <v>ITD-SHRXXX-XX352</v>
      </c>
      <c r="E353" t="str">
        <f>'Audit Report'!C353</f>
        <v/>
      </c>
      <c r="I353" t="str">
        <f>'Audit Report'!D353</f>
        <v/>
      </c>
      <c r="J353" t="str">
        <f>_xlfn.TEXTJOIN(" ",TRUE,'Audit Report'!G353,'Audit Report'!H353)</f>
        <v/>
      </c>
      <c r="L353" t="str">
        <f>_xlfn.TEXTJOIN(", ", TRUE, 'Audit Report'!K353,'Audit Report'!L353,'Audit Report'!M353)</f>
        <v/>
      </c>
      <c r="M353" t="str">
        <f>'Audit Report'!O353</f>
        <v/>
      </c>
      <c r="N353" t="str" cm="1">
        <f t="array" ref="N353">IF(M353="","",
_xlfn.TEXTJOIN(", ",TRUE,
    _xlfn.MAP(_xlfn.TEXTSPLIT(M353,","),_xlfn.LAMBDA(_xlpm.x,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3" t="str">
        <f>'Audit Report'!F353</f>
        <v/>
      </c>
      <c r="S353" t="str">
        <f>'Audit Report'!Q353</f>
        <v/>
      </c>
    </row>
    <row r="354" spans="4:19">
      <c r="D354" t="str">
        <f>'Audit Report'!B354</f>
        <v>ITD-SHRXXX-XX353</v>
      </c>
      <c r="E354" t="str">
        <f>'Audit Report'!C354</f>
        <v/>
      </c>
      <c r="I354" t="str">
        <f>'Audit Report'!D354</f>
        <v/>
      </c>
      <c r="J354" t="str">
        <f>_xlfn.TEXTJOIN(" ",TRUE,'Audit Report'!G354,'Audit Report'!H354)</f>
        <v/>
      </c>
      <c r="L354" t="str">
        <f>_xlfn.TEXTJOIN(", ", TRUE, 'Audit Report'!K354,'Audit Report'!L354,'Audit Report'!M354)</f>
        <v/>
      </c>
      <c r="M354" t="str">
        <f>'Audit Report'!O354</f>
        <v/>
      </c>
      <c r="N354" t="str" cm="1">
        <f t="array" ref="N354">IF(M354="","",
_xlfn.TEXTJOIN(", ",TRUE,
    _xlfn.MAP(_xlfn.TEXTSPLIT(M354,","),_xlfn.LAMBDA(_xlpm.x,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4" t="str">
        <f>'Audit Report'!F354</f>
        <v/>
      </c>
      <c r="S354" t="str">
        <f>'Audit Report'!Q354</f>
        <v/>
      </c>
    </row>
    <row r="355" spans="4:19">
      <c r="D355" t="str">
        <f>'Audit Report'!B355</f>
        <v>ITD-SHRXXX-XX354</v>
      </c>
      <c r="E355" t="str">
        <f>'Audit Report'!C355</f>
        <v/>
      </c>
      <c r="I355" t="str">
        <f>'Audit Report'!D355</f>
        <v/>
      </c>
      <c r="J355" t="str">
        <f>_xlfn.TEXTJOIN(" ",TRUE,'Audit Report'!G355,'Audit Report'!H355)</f>
        <v/>
      </c>
      <c r="L355" t="str">
        <f>_xlfn.TEXTJOIN(", ", TRUE, 'Audit Report'!K355,'Audit Report'!L355,'Audit Report'!M355)</f>
        <v/>
      </c>
      <c r="M355" t="str">
        <f>'Audit Report'!O355</f>
        <v/>
      </c>
      <c r="N355" t="str" cm="1">
        <f t="array" ref="N355">IF(M355="","",
_xlfn.TEXTJOIN(", ",TRUE,
    _xlfn.MAP(_xlfn.TEXTSPLIT(M355,","),_xlfn.LAMBDA(_xlpm.x,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5" t="str">
        <f>'Audit Report'!F355</f>
        <v/>
      </c>
      <c r="S355" t="str">
        <f>'Audit Report'!Q355</f>
        <v/>
      </c>
    </row>
    <row r="356" spans="4:19">
      <c r="D356" t="str">
        <f>'Audit Report'!B356</f>
        <v>ITD-SHRXXX-XX355</v>
      </c>
      <c r="E356" t="str">
        <f>'Audit Report'!C356</f>
        <v/>
      </c>
      <c r="I356" t="str">
        <f>'Audit Report'!D356</f>
        <v/>
      </c>
      <c r="J356" t="str">
        <f>_xlfn.TEXTJOIN(" ",TRUE,'Audit Report'!G356,'Audit Report'!H356)</f>
        <v/>
      </c>
      <c r="L356" t="str">
        <f>_xlfn.TEXTJOIN(", ", TRUE, 'Audit Report'!K356,'Audit Report'!L356,'Audit Report'!M356)</f>
        <v/>
      </c>
      <c r="M356" t="str">
        <f>'Audit Report'!O356</f>
        <v/>
      </c>
      <c r="N356" t="str" cm="1">
        <f t="array" ref="N356">IF(M356="","",
_xlfn.TEXTJOIN(", ",TRUE,
    _xlfn.MAP(_xlfn.TEXTSPLIT(M356,","),_xlfn.LAMBDA(_xlpm.x,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6" t="str">
        <f>'Audit Report'!F356</f>
        <v/>
      </c>
      <c r="S356" t="str">
        <f>'Audit Report'!Q356</f>
        <v/>
      </c>
    </row>
    <row r="357" spans="4:19">
      <c r="D357" t="str">
        <f>'Audit Report'!B357</f>
        <v>ITD-SHRXXX-XX356</v>
      </c>
      <c r="E357" t="str">
        <f>'Audit Report'!C357</f>
        <v/>
      </c>
      <c r="I357" t="str">
        <f>'Audit Report'!D357</f>
        <v/>
      </c>
      <c r="J357" t="str">
        <f>_xlfn.TEXTJOIN(" ",TRUE,'Audit Report'!G357,'Audit Report'!H357)</f>
        <v/>
      </c>
      <c r="L357" t="str">
        <f>_xlfn.TEXTJOIN(", ", TRUE, 'Audit Report'!K357,'Audit Report'!L357,'Audit Report'!M357)</f>
        <v/>
      </c>
      <c r="M357" t="str">
        <f>'Audit Report'!O357</f>
        <v/>
      </c>
      <c r="N357" t="str" cm="1">
        <f t="array" ref="N357">IF(M357="","",
_xlfn.TEXTJOIN(", ",TRUE,
    _xlfn.MAP(_xlfn.TEXTSPLIT(M357,","),_xlfn.LAMBDA(_xlpm.x,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7" t="str">
        <f>'Audit Report'!F357</f>
        <v/>
      </c>
      <c r="S357" t="str">
        <f>'Audit Report'!Q357</f>
        <v/>
      </c>
    </row>
    <row r="358" spans="4:19">
      <c r="D358" t="str">
        <f>'Audit Report'!B358</f>
        <v>ITD-SHRXXX-XX357</v>
      </c>
      <c r="E358" t="str">
        <f>'Audit Report'!C358</f>
        <v/>
      </c>
      <c r="I358" t="str">
        <f>'Audit Report'!D358</f>
        <v/>
      </c>
      <c r="J358" t="str">
        <f>_xlfn.TEXTJOIN(" ",TRUE,'Audit Report'!G358,'Audit Report'!H358)</f>
        <v/>
      </c>
      <c r="L358" t="str">
        <f>_xlfn.TEXTJOIN(", ", TRUE, 'Audit Report'!K358,'Audit Report'!L358,'Audit Report'!M358)</f>
        <v/>
      </c>
      <c r="M358" t="str">
        <f>'Audit Report'!O358</f>
        <v/>
      </c>
      <c r="N358" t="str" cm="1">
        <f t="array" ref="N358">IF(M358="","",
_xlfn.TEXTJOIN(", ",TRUE,
    _xlfn.MAP(_xlfn.TEXTSPLIT(M358,","),_xlfn.LAMBDA(_xlpm.x,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8" t="str">
        <f>'Audit Report'!F358</f>
        <v/>
      </c>
      <c r="S358" t="str">
        <f>'Audit Report'!Q358</f>
        <v/>
      </c>
    </row>
    <row r="359" spans="4:19">
      <c r="D359" t="str">
        <f>'Audit Report'!B359</f>
        <v>ITD-SHRXXX-XX358</v>
      </c>
      <c r="E359" t="str">
        <f>'Audit Report'!C359</f>
        <v/>
      </c>
      <c r="I359" t="str">
        <f>'Audit Report'!D359</f>
        <v/>
      </c>
      <c r="J359" t="str">
        <f>_xlfn.TEXTJOIN(" ",TRUE,'Audit Report'!G359,'Audit Report'!H359)</f>
        <v/>
      </c>
      <c r="L359" t="str">
        <f>_xlfn.TEXTJOIN(", ", TRUE, 'Audit Report'!K359,'Audit Report'!L359,'Audit Report'!M359)</f>
        <v/>
      </c>
      <c r="M359" t="str">
        <f>'Audit Report'!O359</f>
        <v/>
      </c>
      <c r="N359" t="str" cm="1">
        <f t="array" ref="N359">IF(M359="","",
_xlfn.TEXTJOIN(", ",TRUE,
    _xlfn.MAP(_xlfn.TEXTSPLIT(M359,","),_xlfn.LAMBDA(_xlpm.x,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9" t="str">
        <f>'Audit Report'!F359</f>
        <v/>
      </c>
      <c r="S359" t="str">
        <f>'Audit Report'!Q359</f>
        <v/>
      </c>
    </row>
    <row r="360" spans="4:19">
      <c r="D360" t="str">
        <f>'Audit Report'!B360</f>
        <v>ITD-SHRXXX-XX359</v>
      </c>
      <c r="E360" t="str">
        <f>'Audit Report'!C360</f>
        <v/>
      </c>
      <c r="I360" t="str">
        <f>'Audit Report'!D360</f>
        <v/>
      </c>
      <c r="J360" t="str">
        <f>_xlfn.TEXTJOIN(" ",TRUE,'Audit Report'!G360,'Audit Report'!H360)</f>
        <v/>
      </c>
      <c r="L360" t="str">
        <f>_xlfn.TEXTJOIN(", ", TRUE, 'Audit Report'!K360,'Audit Report'!L360,'Audit Report'!M360)</f>
        <v/>
      </c>
      <c r="M360" t="str">
        <f>'Audit Report'!O360</f>
        <v/>
      </c>
      <c r="N360" t="str" cm="1">
        <f t="array" ref="N360">IF(M360="","",
_xlfn.TEXTJOIN(", ",TRUE,
    _xlfn.MAP(_xlfn.TEXTSPLIT(M360,","),_xlfn.LAMBDA(_xlpm.x,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0" t="str">
        <f>'Audit Report'!F360</f>
        <v/>
      </c>
      <c r="S360" t="str">
        <f>'Audit Report'!Q360</f>
        <v/>
      </c>
    </row>
    <row r="361" spans="4:19">
      <c r="D361" t="str">
        <f>'Audit Report'!B361</f>
        <v>ITD-SHRXXX-XX360</v>
      </c>
      <c r="E361" t="str">
        <f>'Audit Report'!C361</f>
        <v/>
      </c>
      <c r="I361" t="str">
        <f>'Audit Report'!D361</f>
        <v/>
      </c>
      <c r="J361" t="str">
        <f>_xlfn.TEXTJOIN(" ",TRUE,'Audit Report'!G361,'Audit Report'!H361)</f>
        <v/>
      </c>
      <c r="L361" t="str">
        <f>_xlfn.TEXTJOIN(", ", TRUE, 'Audit Report'!K361,'Audit Report'!L361,'Audit Report'!M361)</f>
        <v/>
      </c>
      <c r="M361" t="str">
        <f>'Audit Report'!O361</f>
        <v/>
      </c>
      <c r="N361" t="str" cm="1">
        <f t="array" ref="N361">IF(M361="","",
_xlfn.TEXTJOIN(", ",TRUE,
    _xlfn.MAP(_xlfn.TEXTSPLIT(M361,","),_xlfn.LAMBDA(_xlpm.x,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1" t="str">
        <f>'Audit Report'!F361</f>
        <v/>
      </c>
      <c r="S361" t="str">
        <f>'Audit Report'!Q361</f>
        <v/>
      </c>
    </row>
    <row r="362" spans="4:19">
      <c r="D362" t="str">
        <f>'Audit Report'!B362</f>
        <v>ITD-SHRXXX-XX361</v>
      </c>
      <c r="E362" t="str">
        <f>'Audit Report'!C362</f>
        <v/>
      </c>
      <c r="I362" t="str">
        <f>'Audit Report'!D362</f>
        <v/>
      </c>
      <c r="J362" t="str">
        <f>_xlfn.TEXTJOIN(" ",TRUE,'Audit Report'!G362,'Audit Report'!H362)</f>
        <v/>
      </c>
      <c r="L362" t="str">
        <f>_xlfn.TEXTJOIN(", ", TRUE, 'Audit Report'!K362,'Audit Report'!L362,'Audit Report'!M362)</f>
        <v/>
      </c>
      <c r="M362" t="str">
        <f>'Audit Report'!O362</f>
        <v/>
      </c>
      <c r="N362" t="str" cm="1">
        <f t="array" ref="N362">IF(M362="","",
_xlfn.TEXTJOIN(", ",TRUE,
    _xlfn.MAP(_xlfn.TEXTSPLIT(M362,","),_xlfn.LAMBDA(_xlpm.x,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2" t="str">
        <f>'Audit Report'!F362</f>
        <v/>
      </c>
      <c r="S362" t="str">
        <f>'Audit Report'!Q362</f>
        <v/>
      </c>
    </row>
    <row r="363" spans="4:19">
      <c r="D363" t="str">
        <f>'Audit Report'!B363</f>
        <v>ITD-SHRXXX-XX362</v>
      </c>
      <c r="E363" t="str">
        <f>'Audit Report'!C363</f>
        <v/>
      </c>
      <c r="I363" t="str">
        <f>'Audit Report'!D363</f>
        <v/>
      </c>
      <c r="J363" t="str">
        <f>_xlfn.TEXTJOIN(" ",TRUE,'Audit Report'!G363,'Audit Report'!H363)</f>
        <v/>
      </c>
      <c r="L363" t="str">
        <f>_xlfn.TEXTJOIN(", ", TRUE, 'Audit Report'!K363,'Audit Report'!L363,'Audit Report'!M363)</f>
        <v/>
      </c>
      <c r="M363" t="str">
        <f>'Audit Report'!O363</f>
        <v/>
      </c>
      <c r="N363" t="str" cm="1">
        <f t="array" ref="N363">IF(M363="","",
_xlfn.TEXTJOIN(", ",TRUE,
    _xlfn.MAP(_xlfn.TEXTSPLIT(M363,","),_xlfn.LAMBDA(_xlpm.x,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3" t="str">
        <f>'Audit Report'!F363</f>
        <v/>
      </c>
      <c r="S363" t="str">
        <f>'Audit Report'!Q363</f>
        <v/>
      </c>
    </row>
    <row r="364" spans="4:19">
      <c r="D364" t="str">
        <f>'Audit Report'!B364</f>
        <v>ITD-SHRXXX-XX363</v>
      </c>
      <c r="E364" t="str">
        <f>'Audit Report'!C364</f>
        <v/>
      </c>
      <c r="I364" t="str">
        <f>'Audit Report'!D364</f>
        <v/>
      </c>
      <c r="J364" t="str">
        <f>_xlfn.TEXTJOIN(" ",TRUE,'Audit Report'!G364,'Audit Report'!H364)</f>
        <v/>
      </c>
      <c r="L364" t="str">
        <f>_xlfn.TEXTJOIN(", ", TRUE, 'Audit Report'!K364,'Audit Report'!L364,'Audit Report'!M364)</f>
        <v/>
      </c>
      <c r="M364" t="str">
        <f>'Audit Report'!O364</f>
        <v/>
      </c>
      <c r="N364" t="str" cm="1">
        <f t="array" ref="N364">IF(M364="","",
_xlfn.TEXTJOIN(", ",TRUE,
    _xlfn.MAP(_xlfn.TEXTSPLIT(M364,","),_xlfn.LAMBDA(_xlpm.x,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4" t="str">
        <f>'Audit Report'!F364</f>
        <v/>
      </c>
      <c r="S364" t="str">
        <f>'Audit Report'!Q364</f>
        <v/>
      </c>
    </row>
    <row r="365" spans="4:19">
      <c r="D365" t="str">
        <f>'Audit Report'!B365</f>
        <v>ITD-SHRXXX-XX364</v>
      </c>
      <c r="E365" t="str">
        <f>'Audit Report'!C365</f>
        <v/>
      </c>
      <c r="I365" t="str">
        <f>'Audit Report'!D365</f>
        <v/>
      </c>
      <c r="J365" t="str">
        <f>_xlfn.TEXTJOIN(" ",TRUE,'Audit Report'!G365,'Audit Report'!H365)</f>
        <v/>
      </c>
      <c r="L365" t="str">
        <f>_xlfn.TEXTJOIN(", ", TRUE, 'Audit Report'!K365,'Audit Report'!L365,'Audit Report'!M365)</f>
        <v/>
      </c>
      <c r="M365" t="str">
        <f>'Audit Report'!O365</f>
        <v/>
      </c>
      <c r="N365" t="str" cm="1">
        <f t="array" ref="N365">IF(M365="","",
_xlfn.TEXTJOIN(", ",TRUE,
    _xlfn.MAP(_xlfn.TEXTSPLIT(M365,","),_xlfn.LAMBDA(_xlpm.x,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5" t="str">
        <f>'Audit Report'!F365</f>
        <v/>
      </c>
      <c r="S365" t="str">
        <f>'Audit Report'!Q365</f>
        <v/>
      </c>
    </row>
    <row r="366" spans="4:19">
      <c r="D366" t="str">
        <f>'Audit Report'!B366</f>
        <v>ITD-SHRXXX-XX365</v>
      </c>
      <c r="E366" t="str">
        <f>'Audit Report'!C366</f>
        <v/>
      </c>
      <c r="I366" t="str">
        <f>'Audit Report'!D366</f>
        <v/>
      </c>
      <c r="J366" t="str">
        <f>_xlfn.TEXTJOIN(" ",TRUE,'Audit Report'!G366,'Audit Report'!H366)</f>
        <v/>
      </c>
      <c r="L366" t="str">
        <f>_xlfn.TEXTJOIN(", ", TRUE, 'Audit Report'!K366,'Audit Report'!L366,'Audit Report'!M366)</f>
        <v/>
      </c>
      <c r="M366" t="str">
        <f>'Audit Report'!O366</f>
        <v/>
      </c>
      <c r="N366" t="str" cm="1">
        <f t="array" ref="N366">IF(M366="","",
_xlfn.TEXTJOIN(", ",TRUE,
    _xlfn.MAP(_xlfn.TEXTSPLIT(M366,","),_xlfn.LAMBDA(_xlpm.x,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6" t="str">
        <f>'Audit Report'!F366</f>
        <v/>
      </c>
      <c r="S366" t="str">
        <f>'Audit Report'!Q366</f>
        <v/>
      </c>
    </row>
    <row r="367" spans="4:19">
      <c r="D367" t="str">
        <f>'Audit Report'!B367</f>
        <v>ITD-SHRXXX-XX366</v>
      </c>
      <c r="E367" t="str">
        <f>'Audit Report'!C367</f>
        <v/>
      </c>
      <c r="I367" t="str">
        <f>'Audit Report'!D367</f>
        <v/>
      </c>
      <c r="J367" t="str">
        <f>_xlfn.TEXTJOIN(" ",TRUE,'Audit Report'!G367,'Audit Report'!H367)</f>
        <v/>
      </c>
      <c r="L367" t="str">
        <f>_xlfn.TEXTJOIN(", ", TRUE, 'Audit Report'!K367,'Audit Report'!L367,'Audit Report'!M367)</f>
        <v/>
      </c>
      <c r="M367" t="str">
        <f>'Audit Report'!O367</f>
        <v/>
      </c>
      <c r="N367" t="str" cm="1">
        <f t="array" ref="N367">IF(M367="","",
_xlfn.TEXTJOIN(", ",TRUE,
    _xlfn.MAP(_xlfn.TEXTSPLIT(M367,","),_xlfn.LAMBDA(_xlpm.x,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7" t="str">
        <f>'Audit Report'!F367</f>
        <v/>
      </c>
      <c r="S367" t="str">
        <f>'Audit Report'!Q367</f>
        <v/>
      </c>
    </row>
    <row r="368" spans="4:19">
      <c r="D368" t="str">
        <f>'Audit Report'!B368</f>
        <v>ITD-SHRXXX-XX367</v>
      </c>
      <c r="E368" t="str">
        <f>'Audit Report'!C368</f>
        <v/>
      </c>
      <c r="I368" t="str">
        <f>'Audit Report'!D368</f>
        <v/>
      </c>
      <c r="J368" t="str">
        <f>_xlfn.TEXTJOIN(" ",TRUE,'Audit Report'!G368,'Audit Report'!H368)</f>
        <v/>
      </c>
      <c r="L368" t="str">
        <f>_xlfn.TEXTJOIN(", ", TRUE, 'Audit Report'!K368,'Audit Report'!L368,'Audit Report'!M368)</f>
        <v/>
      </c>
      <c r="M368" t="str">
        <f>'Audit Report'!O368</f>
        <v/>
      </c>
      <c r="N368" t="str" cm="1">
        <f t="array" ref="N368">IF(M368="","",
_xlfn.TEXTJOIN(", ",TRUE,
    _xlfn.MAP(_xlfn.TEXTSPLIT(M368,","),_xlfn.LAMBDA(_xlpm.x,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8" t="str">
        <f>'Audit Report'!F368</f>
        <v/>
      </c>
      <c r="S368" t="str">
        <f>'Audit Report'!Q368</f>
        <v/>
      </c>
    </row>
    <row r="369" spans="4:19">
      <c r="D369" t="str">
        <f>'Audit Report'!B369</f>
        <v>ITD-SHRXXX-XX368</v>
      </c>
      <c r="E369" t="str">
        <f>'Audit Report'!C369</f>
        <v/>
      </c>
      <c r="I369" t="str">
        <f>'Audit Report'!D369</f>
        <v/>
      </c>
      <c r="J369" t="str">
        <f>_xlfn.TEXTJOIN(" ",TRUE,'Audit Report'!G369,'Audit Report'!H369)</f>
        <v/>
      </c>
      <c r="L369" t="str">
        <f>_xlfn.TEXTJOIN(", ", TRUE, 'Audit Report'!K369,'Audit Report'!L369,'Audit Report'!M369)</f>
        <v/>
      </c>
      <c r="M369" t="str">
        <f>'Audit Report'!O369</f>
        <v/>
      </c>
      <c r="N369" t="str" cm="1">
        <f t="array" ref="N369">IF(M369="","",
_xlfn.TEXTJOIN(", ",TRUE,
    _xlfn.MAP(_xlfn.TEXTSPLIT(M369,","),_xlfn.LAMBDA(_xlpm.x,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9" t="str">
        <f>'Audit Report'!F369</f>
        <v/>
      </c>
      <c r="S369" t="str">
        <f>'Audit Report'!Q369</f>
        <v/>
      </c>
    </row>
    <row r="370" spans="4:19">
      <c r="D370" t="str">
        <f>'Audit Report'!B370</f>
        <v>ITD-SHRXXX-XX369</v>
      </c>
      <c r="E370" t="str">
        <f>'Audit Report'!C370</f>
        <v/>
      </c>
      <c r="I370" t="str">
        <f>'Audit Report'!D370</f>
        <v/>
      </c>
      <c r="J370" t="str">
        <f>_xlfn.TEXTJOIN(" ",TRUE,'Audit Report'!G370,'Audit Report'!H370)</f>
        <v/>
      </c>
      <c r="L370" t="str">
        <f>_xlfn.TEXTJOIN(", ", TRUE, 'Audit Report'!K370,'Audit Report'!L370,'Audit Report'!M370)</f>
        <v/>
      </c>
      <c r="M370" t="str">
        <f>'Audit Report'!O370</f>
        <v/>
      </c>
      <c r="N370" t="str" cm="1">
        <f t="array" ref="N370">IF(M370="","",
_xlfn.TEXTJOIN(", ",TRUE,
    _xlfn.MAP(_xlfn.TEXTSPLIT(M370,","),_xlfn.LAMBDA(_xlpm.x,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0" t="str">
        <f>'Audit Report'!F370</f>
        <v/>
      </c>
      <c r="S370" t="str">
        <f>'Audit Report'!Q370</f>
        <v/>
      </c>
    </row>
    <row r="371" spans="4:19">
      <c r="D371" t="str">
        <f>'Audit Report'!B371</f>
        <v>ITD-SHRXXX-XX370</v>
      </c>
      <c r="E371" t="str">
        <f>'Audit Report'!C371</f>
        <v/>
      </c>
      <c r="I371" t="str">
        <f>'Audit Report'!D371</f>
        <v/>
      </c>
      <c r="J371" t="str">
        <f>_xlfn.TEXTJOIN(" ",TRUE,'Audit Report'!G371,'Audit Report'!H371)</f>
        <v/>
      </c>
      <c r="L371" t="str">
        <f>_xlfn.TEXTJOIN(", ", TRUE, 'Audit Report'!K371,'Audit Report'!L371,'Audit Report'!M371)</f>
        <v/>
      </c>
      <c r="M371" t="str">
        <f>'Audit Report'!O371</f>
        <v/>
      </c>
      <c r="N371" t="str" cm="1">
        <f t="array" ref="N371">IF(M371="","",
_xlfn.TEXTJOIN(", ",TRUE,
    _xlfn.MAP(_xlfn.TEXTSPLIT(M371,","),_xlfn.LAMBDA(_xlpm.x,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1" t="str">
        <f>'Audit Report'!F371</f>
        <v/>
      </c>
      <c r="S371" t="str">
        <f>'Audit Report'!Q371</f>
        <v/>
      </c>
    </row>
    <row r="372" spans="4:19">
      <c r="D372" t="str">
        <f>'Audit Report'!B372</f>
        <v>ITD-SHRXXX-XX371</v>
      </c>
      <c r="E372" t="str">
        <f>'Audit Report'!C372</f>
        <v/>
      </c>
      <c r="I372" t="str">
        <f>'Audit Report'!D372</f>
        <v/>
      </c>
      <c r="J372" t="str">
        <f>_xlfn.TEXTJOIN(" ",TRUE,'Audit Report'!G372,'Audit Report'!H372)</f>
        <v/>
      </c>
      <c r="L372" t="str">
        <f>_xlfn.TEXTJOIN(", ", TRUE, 'Audit Report'!K372,'Audit Report'!L372,'Audit Report'!M372)</f>
        <v/>
      </c>
      <c r="M372" t="str">
        <f>'Audit Report'!O372</f>
        <v/>
      </c>
      <c r="N372" t="str" cm="1">
        <f t="array" ref="N372">IF(M372="","",
_xlfn.TEXTJOIN(", ",TRUE,
    _xlfn.MAP(_xlfn.TEXTSPLIT(M372,","),_xlfn.LAMBDA(_xlpm.x,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2" t="str">
        <f>'Audit Report'!F372</f>
        <v/>
      </c>
      <c r="S372" t="str">
        <f>'Audit Report'!Q372</f>
        <v/>
      </c>
    </row>
    <row r="373" spans="4:19">
      <c r="D373" t="str">
        <f>'Audit Report'!B373</f>
        <v>ITD-SHRXXX-XX372</v>
      </c>
      <c r="E373" t="str">
        <f>'Audit Report'!C373</f>
        <v/>
      </c>
      <c r="I373" t="str">
        <f>'Audit Report'!D373</f>
        <v/>
      </c>
      <c r="J373" t="str">
        <f>_xlfn.TEXTJOIN(" ",TRUE,'Audit Report'!G373,'Audit Report'!H373)</f>
        <v/>
      </c>
      <c r="L373" t="str">
        <f>_xlfn.TEXTJOIN(", ", TRUE, 'Audit Report'!K373,'Audit Report'!L373,'Audit Report'!M373)</f>
        <v/>
      </c>
      <c r="M373" t="str">
        <f>'Audit Report'!O373</f>
        <v/>
      </c>
      <c r="N373" t="str" cm="1">
        <f t="array" ref="N373">IF(M373="","",
_xlfn.TEXTJOIN(", ",TRUE,
    _xlfn.MAP(_xlfn.TEXTSPLIT(M373,","),_xlfn.LAMBDA(_xlpm.x,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3" t="str">
        <f>'Audit Report'!F373</f>
        <v/>
      </c>
      <c r="S373" t="str">
        <f>'Audit Report'!Q373</f>
        <v/>
      </c>
    </row>
    <row r="374" spans="4:19">
      <c r="D374" t="str">
        <f>'Audit Report'!B374</f>
        <v>ITD-SHRXXX-XX373</v>
      </c>
      <c r="E374" t="str">
        <f>'Audit Report'!C374</f>
        <v/>
      </c>
      <c r="I374" t="str">
        <f>'Audit Report'!D374</f>
        <v/>
      </c>
      <c r="J374" t="str">
        <f>_xlfn.TEXTJOIN(" ",TRUE,'Audit Report'!G374,'Audit Report'!H374)</f>
        <v/>
      </c>
      <c r="L374" t="str">
        <f>_xlfn.TEXTJOIN(", ", TRUE, 'Audit Report'!K374,'Audit Report'!L374,'Audit Report'!M374)</f>
        <v/>
      </c>
      <c r="M374" t="str">
        <f>'Audit Report'!O374</f>
        <v/>
      </c>
      <c r="N374" t="str" cm="1">
        <f t="array" ref="N374">IF(M374="","",
_xlfn.TEXTJOIN(", ",TRUE,
    _xlfn.MAP(_xlfn.TEXTSPLIT(M374,","),_xlfn.LAMBDA(_xlpm.x,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4" t="str">
        <f>'Audit Report'!F374</f>
        <v/>
      </c>
      <c r="S374" t="str">
        <f>'Audit Report'!Q374</f>
        <v/>
      </c>
    </row>
    <row r="375" spans="4:19">
      <c r="D375" t="str">
        <f>'Audit Report'!B375</f>
        <v>ITD-SHRXXX-XX374</v>
      </c>
      <c r="E375" t="str">
        <f>'Audit Report'!C375</f>
        <v/>
      </c>
      <c r="I375" t="str">
        <f>'Audit Report'!D375</f>
        <v/>
      </c>
      <c r="J375" t="str">
        <f>_xlfn.TEXTJOIN(" ",TRUE,'Audit Report'!G375,'Audit Report'!H375)</f>
        <v/>
      </c>
      <c r="L375" t="str">
        <f>_xlfn.TEXTJOIN(", ", TRUE, 'Audit Report'!K375,'Audit Report'!L375,'Audit Report'!M375)</f>
        <v/>
      </c>
      <c r="M375" t="str">
        <f>'Audit Report'!O375</f>
        <v/>
      </c>
      <c r="N375" t="str" cm="1">
        <f t="array" ref="N375">IF(M375="","",
_xlfn.TEXTJOIN(", ",TRUE,
    _xlfn.MAP(_xlfn.TEXTSPLIT(M375,","),_xlfn.LAMBDA(_xlpm.x,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5" t="str">
        <f>'Audit Report'!F375</f>
        <v/>
      </c>
      <c r="S375" t="str">
        <f>'Audit Report'!Q375</f>
        <v/>
      </c>
    </row>
    <row r="376" spans="4:19">
      <c r="D376" t="str">
        <f>'Audit Report'!B376</f>
        <v>ITD-SHRXXX-XX375</v>
      </c>
      <c r="E376" t="str">
        <f>'Audit Report'!C376</f>
        <v/>
      </c>
      <c r="I376" t="str">
        <f>'Audit Report'!D376</f>
        <v/>
      </c>
      <c r="J376" t="str">
        <f>_xlfn.TEXTJOIN(" ",TRUE,'Audit Report'!G376,'Audit Report'!H376)</f>
        <v/>
      </c>
      <c r="L376" t="str">
        <f>_xlfn.TEXTJOIN(", ", TRUE, 'Audit Report'!K376,'Audit Report'!L376,'Audit Report'!M376)</f>
        <v/>
      </c>
      <c r="M376" t="str">
        <f>'Audit Report'!O376</f>
        <v/>
      </c>
      <c r="N376" t="str" cm="1">
        <f t="array" ref="N376">IF(M376="","",
_xlfn.TEXTJOIN(", ",TRUE,
    _xlfn.MAP(_xlfn.TEXTSPLIT(M376,","),_xlfn.LAMBDA(_xlpm.x,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6" t="str">
        <f>'Audit Report'!F376</f>
        <v/>
      </c>
      <c r="S376" t="str">
        <f>'Audit Report'!Q376</f>
        <v/>
      </c>
    </row>
    <row r="377" spans="4:19">
      <c r="D377" t="str">
        <f>'Audit Report'!B377</f>
        <v>ITD-SHRXXX-XX376</v>
      </c>
      <c r="E377" t="str">
        <f>'Audit Report'!C377</f>
        <v/>
      </c>
      <c r="I377" t="str">
        <f>'Audit Report'!D377</f>
        <v/>
      </c>
      <c r="J377" t="str">
        <f>_xlfn.TEXTJOIN(" ",TRUE,'Audit Report'!G377,'Audit Report'!H377)</f>
        <v/>
      </c>
      <c r="L377" t="str">
        <f>_xlfn.TEXTJOIN(", ", TRUE, 'Audit Report'!K377,'Audit Report'!L377,'Audit Report'!M377)</f>
        <v/>
      </c>
      <c r="M377" t="str">
        <f>'Audit Report'!O377</f>
        <v/>
      </c>
      <c r="N377" t="str" cm="1">
        <f t="array" ref="N377">IF(M377="","",
_xlfn.TEXTJOIN(", ",TRUE,
    _xlfn.MAP(_xlfn.TEXTSPLIT(M377,","),_xlfn.LAMBDA(_xlpm.x,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7" t="str">
        <f>'Audit Report'!F377</f>
        <v/>
      </c>
      <c r="S377" t="str">
        <f>'Audit Report'!Q377</f>
        <v/>
      </c>
    </row>
    <row r="378" spans="4:19">
      <c r="D378" t="str">
        <f>'Audit Report'!B378</f>
        <v>ITD-SHRXXX-XX377</v>
      </c>
      <c r="E378" t="str">
        <f>'Audit Report'!C378</f>
        <v/>
      </c>
      <c r="I378" t="str">
        <f>'Audit Report'!D378</f>
        <v/>
      </c>
      <c r="J378" t="str">
        <f>_xlfn.TEXTJOIN(" ",TRUE,'Audit Report'!G378,'Audit Report'!H378)</f>
        <v/>
      </c>
      <c r="L378" t="str">
        <f>_xlfn.TEXTJOIN(", ", TRUE, 'Audit Report'!K378,'Audit Report'!L378,'Audit Report'!M378)</f>
        <v/>
      </c>
      <c r="M378" t="str">
        <f>'Audit Report'!O378</f>
        <v/>
      </c>
      <c r="N378" t="str" cm="1">
        <f t="array" ref="N378">IF(M378="","",
_xlfn.TEXTJOIN(", ",TRUE,
    _xlfn.MAP(_xlfn.TEXTSPLIT(M378,","),_xlfn.LAMBDA(_xlpm.x,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8" t="str">
        <f>'Audit Report'!F378</f>
        <v/>
      </c>
      <c r="S378" t="str">
        <f>'Audit Report'!Q378</f>
        <v/>
      </c>
    </row>
    <row r="379" spans="4:19">
      <c r="D379" t="str">
        <f>'Audit Report'!B379</f>
        <v>ITD-SHRXXX-XX378</v>
      </c>
      <c r="E379" t="str">
        <f>'Audit Report'!C379</f>
        <v/>
      </c>
      <c r="I379" t="str">
        <f>'Audit Report'!D379</f>
        <v/>
      </c>
      <c r="J379" t="str">
        <f>_xlfn.TEXTJOIN(" ",TRUE,'Audit Report'!G379,'Audit Report'!H379)</f>
        <v/>
      </c>
      <c r="L379" t="str">
        <f>_xlfn.TEXTJOIN(", ", TRUE, 'Audit Report'!K379,'Audit Report'!L379,'Audit Report'!M379)</f>
        <v/>
      </c>
      <c r="M379" t="str">
        <f>'Audit Report'!O379</f>
        <v/>
      </c>
      <c r="N379" t="str" cm="1">
        <f t="array" ref="N379">IF(M379="","",
_xlfn.TEXTJOIN(", ",TRUE,
    _xlfn.MAP(_xlfn.TEXTSPLIT(M379,","),_xlfn.LAMBDA(_xlpm.x,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9" t="str">
        <f>'Audit Report'!F379</f>
        <v/>
      </c>
      <c r="S379" t="str">
        <f>'Audit Report'!Q379</f>
        <v/>
      </c>
    </row>
    <row r="380" spans="4:19">
      <c r="D380" t="str">
        <f>'Audit Report'!B380</f>
        <v>ITD-SHRXXX-XX379</v>
      </c>
      <c r="E380" t="str">
        <f>'Audit Report'!C380</f>
        <v/>
      </c>
      <c r="I380" t="str">
        <f>'Audit Report'!D380</f>
        <v/>
      </c>
      <c r="J380" t="str">
        <f>_xlfn.TEXTJOIN(" ",TRUE,'Audit Report'!G380,'Audit Report'!H380)</f>
        <v/>
      </c>
      <c r="L380" t="str">
        <f>_xlfn.TEXTJOIN(", ", TRUE, 'Audit Report'!K380,'Audit Report'!L380,'Audit Report'!M380)</f>
        <v/>
      </c>
      <c r="M380" t="str">
        <f>'Audit Report'!O380</f>
        <v/>
      </c>
      <c r="N380" t="str" cm="1">
        <f t="array" ref="N380">IF(M380="","",
_xlfn.TEXTJOIN(", ",TRUE,
    _xlfn.MAP(_xlfn.TEXTSPLIT(M380,","),_xlfn.LAMBDA(_xlpm.x,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0" t="str">
        <f>'Audit Report'!F380</f>
        <v/>
      </c>
      <c r="S380" t="str">
        <f>'Audit Report'!Q380</f>
        <v/>
      </c>
    </row>
    <row r="381" spans="4:19">
      <c r="D381" t="str">
        <f>'Audit Report'!B381</f>
        <v>ITD-SHRXXX-XX380</v>
      </c>
      <c r="E381" t="str">
        <f>'Audit Report'!C381</f>
        <v/>
      </c>
      <c r="I381" t="str">
        <f>'Audit Report'!D381</f>
        <v/>
      </c>
      <c r="J381" t="str">
        <f>_xlfn.TEXTJOIN(" ",TRUE,'Audit Report'!G381,'Audit Report'!H381)</f>
        <v/>
      </c>
      <c r="L381" t="str">
        <f>_xlfn.TEXTJOIN(", ", TRUE, 'Audit Report'!K381,'Audit Report'!L381,'Audit Report'!M381)</f>
        <v/>
      </c>
      <c r="M381" t="str">
        <f>'Audit Report'!O381</f>
        <v/>
      </c>
      <c r="N381" t="str" cm="1">
        <f t="array" ref="N381">IF(M381="","",
_xlfn.TEXTJOIN(", ",TRUE,
    _xlfn.MAP(_xlfn.TEXTSPLIT(M381,","),_xlfn.LAMBDA(_xlpm.x,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1" t="str">
        <f>'Audit Report'!F381</f>
        <v/>
      </c>
      <c r="S381" t="str">
        <f>'Audit Report'!Q381</f>
        <v/>
      </c>
    </row>
    <row r="382" spans="4:19">
      <c r="D382" t="str">
        <f>'Audit Report'!B382</f>
        <v>ITD-SHRXXX-XX381</v>
      </c>
      <c r="E382" t="str">
        <f>'Audit Report'!C382</f>
        <v/>
      </c>
      <c r="I382" t="str">
        <f>'Audit Report'!D382</f>
        <v/>
      </c>
      <c r="J382" t="str">
        <f>_xlfn.TEXTJOIN(" ",TRUE,'Audit Report'!G382,'Audit Report'!H382)</f>
        <v/>
      </c>
      <c r="L382" t="str">
        <f>_xlfn.TEXTJOIN(", ", TRUE, 'Audit Report'!K382,'Audit Report'!L382,'Audit Report'!M382)</f>
        <v/>
      </c>
      <c r="M382" t="str">
        <f>'Audit Report'!O382</f>
        <v/>
      </c>
      <c r="N382" t="str" cm="1">
        <f t="array" ref="N382">IF(M382="","",
_xlfn.TEXTJOIN(", ",TRUE,
    _xlfn.MAP(_xlfn.TEXTSPLIT(M382,","),_xlfn.LAMBDA(_xlpm.x,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2" t="str">
        <f>'Audit Report'!F382</f>
        <v/>
      </c>
      <c r="S382" t="str">
        <f>'Audit Report'!Q382</f>
        <v/>
      </c>
    </row>
    <row r="383" spans="4:19">
      <c r="D383" t="str">
        <f>'Audit Report'!B383</f>
        <v>ITD-SHRXXX-XX382</v>
      </c>
      <c r="E383" t="str">
        <f>'Audit Report'!C383</f>
        <v/>
      </c>
      <c r="I383" t="str">
        <f>'Audit Report'!D383</f>
        <v/>
      </c>
      <c r="J383" t="str">
        <f>_xlfn.TEXTJOIN(" ",TRUE,'Audit Report'!G383,'Audit Report'!H383)</f>
        <v/>
      </c>
      <c r="L383" t="str">
        <f>_xlfn.TEXTJOIN(", ", TRUE, 'Audit Report'!K383,'Audit Report'!L383,'Audit Report'!M383)</f>
        <v/>
      </c>
      <c r="M383" t="str">
        <f>'Audit Report'!O383</f>
        <v/>
      </c>
      <c r="N383" t="str" cm="1">
        <f t="array" ref="N383">IF(M383="","",
_xlfn.TEXTJOIN(", ",TRUE,
    _xlfn.MAP(_xlfn.TEXTSPLIT(M383,","),_xlfn.LAMBDA(_xlpm.x,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3" t="str">
        <f>'Audit Report'!F383</f>
        <v/>
      </c>
      <c r="S383" t="str">
        <f>'Audit Report'!Q383</f>
        <v/>
      </c>
    </row>
    <row r="384" spans="4:19">
      <c r="D384" t="str">
        <f>'Audit Report'!B384</f>
        <v>ITD-SHRXXX-XX383</v>
      </c>
      <c r="E384" t="str">
        <f>'Audit Report'!C384</f>
        <v/>
      </c>
      <c r="I384" t="str">
        <f>'Audit Report'!D384</f>
        <v/>
      </c>
      <c r="J384" t="str">
        <f>_xlfn.TEXTJOIN(" ",TRUE,'Audit Report'!G384,'Audit Report'!H384)</f>
        <v/>
      </c>
      <c r="L384" t="str">
        <f>_xlfn.TEXTJOIN(", ", TRUE, 'Audit Report'!K384,'Audit Report'!L384,'Audit Report'!M384)</f>
        <v/>
      </c>
      <c r="M384" t="str">
        <f>'Audit Report'!O384</f>
        <v/>
      </c>
      <c r="N384" t="str" cm="1">
        <f t="array" ref="N384">IF(M384="","",
_xlfn.TEXTJOIN(", ",TRUE,
    _xlfn.MAP(_xlfn.TEXTSPLIT(M384,","),_xlfn.LAMBDA(_xlpm.x,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4" t="str">
        <f>'Audit Report'!F384</f>
        <v/>
      </c>
      <c r="S384" t="str">
        <f>'Audit Report'!Q384</f>
        <v/>
      </c>
    </row>
    <row r="385" spans="4:19">
      <c r="D385" t="str">
        <f>'Audit Report'!B385</f>
        <v>ITD-SHRXXX-XX384</v>
      </c>
      <c r="E385" t="str">
        <f>'Audit Report'!C385</f>
        <v/>
      </c>
      <c r="I385" t="str">
        <f>'Audit Report'!D385</f>
        <v/>
      </c>
      <c r="J385" t="str">
        <f>_xlfn.TEXTJOIN(" ",TRUE,'Audit Report'!G385,'Audit Report'!H385)</f>
        <v/>
      </c>
      <c r="L385" t="str">
        <f>_xlfn.TEXTJOIN(", ", TRUE, 'Audit Report'!K385,'Audit Report'!L385,'Audit Report'!M385)</f>
        <v/>
      </c>
      <c r="M385" t="str">
        <f>'Audit Report'!O385</f>
        <v/>
      </c>
      <c r="N385" t="str" cm="1">
        <f t="array" ref="N385">IF(M385="","",
_xlfn.TEXTJOIN(", ",TRUE,
    _xlfn.MAP(_xlfn.TEXTSPLIT(M385,","),_xlfn.LAMBDA(_xlpm.x,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5" t="str">
        <f>'Audit Report'!F385</f>
        <v/>
      </c>
      <c r="S385" t="str">
        <f>'Audit Report'!Q385</f>
        <v/>
      </c>
    </row>
    <row r="386" spans="4:19">
      <c r="D386" t="str">
        <f>'Audit Report'!B386</f>
        <v>ITD-SHRXXX-XX385</v>
      </c>
      <c r="E386" t="str">
        <f>'Audit Report'!C386</f>
        <v/>
      </c>
      <c r="I386" t="str">
        <f>'Audit Report'!D386</f>
        <v/>
      </c>
      <c r="J386" t="str">
        <f>_xlfn.TEXTJOIN(" ",TRUE,'Audit Report'!G386,'Audit Report'!H386)</f>
        <v/>
      </c>
      <c r="L386" t="str">
        <f>_xlfn.TEXTJOIN(", ", TRUE, 'Audit Report'!K386,'Audit Report'!L386,'Audit Report'!M386)</f>
        <v/>
      </c>
      <c r="M386" t="str">
        <f>'Audit Report'!O386</f>
        <v/>
      </c>
      <c r="N386" t="str" cm="1">
        <f t="array" ref="N386">IF(M386="","",
_xlfn.TEXTJOIN(", ",TRUE,
    _xlfn.MAP(_xlfn.TEXTSPLIT(M386,","),_xlfn.LAMBDA(_xlpm.x,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6" t="str">
        <f>'Audit Report'!F386</f>
        <v/>
      </c>
      <c r="S386" t="str">
        <f>'Audit Report'!Q386</f>
        <v/>
      </c>
    </row>
    <row r="387" spans="4:19">
      <c r="D387" t="str">
        <f>'Audit Report'!B387</f>
        <v>ITD-SHRXXX-XX386</v>
      </c>
      <c r="E387" t="str">
        <f>'Audit Report'!C387</f>
        <v/>
      </c>
      <c r="I387" t="str">
        <f>'Audit Report'!D387</f>
        <v/>
      </c>
      <c r="J387" t="str">
        <f>_xlfn.TEXTJOIN(" ",TRUE,'Audit Report'!G387,'Audit Report'!H387)</f>
        <v/>
      </c>
      <c r="L387" t="str">
        <f>_xlfn.TEXTJOIN(", ", TRUE, 'Audit Report'!K387,'Audit Report'!L387,'Audit Report'!M387)</f>
        <v/>
      </c>
      <c r="M387" t="str">
        <f>'Audit Report'!O387</f>
        <v/>
      </c>
      <c r="N387" t="str" cm="1">
        <f t="array" ref="N387">IF(M387="","",
_xlfn.TEXTJOIN(", ",TRUE,
    _xlfn.MAP(_xlfn.TEXTSPLIT(M387,","),_xlfn.LAMBDA(_xlpm.x,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7" t="str">
        <f>'Audit Report'!F387</f>
        <v/>
      </c>
      <c r="S387" t="str">
        <f>'Audit Report'!Q387</f>
        <v/>
      </c>
    </row>
    <row r="388" spans="4:19">
      <c r="D388" t="str">
        <f>'Audit Report'!B388</f>
        <v>ITD-SHRXXX-XX387</v>
      </c>
      <c r="E388" t="str">
        <f>'Audit Report'!C388</f>
        <v/>
      </c>
      <c r="I388" t="str">
        <f>'Audit Report'!D388</f>
        <v/>
      </c>
      <c r="J388" t="str">
        <f>_xlfn.TEXTJOIN(" ",TRUE,'Audit Report'!G388,'Audit Report'!H388)</f>
        <v/>
      </c>
      <c r="L388" t="str">
        <f>_xlfn.TEXTJOIN(", ", TRUE, 'Audit Report'!K388,'Audit Report'!L388,'Audit Report'!M388)</f>
        <v/>
      </c>
      <c r="M388" t="str">
        <f>'Audit Report'!O388</f>
        <v/>
      </c>
      <c r="N388" t="str" cm="1">
        <f t="array" ref="N388">IF(M388="","",
_xlfn.TEXTJOIN(", ",TRUE,
    _xlfn.MAP(_xlfn.TEXTSPLIT(M388,","),_xlfn.LAMBDA(_xlpm.x,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8" t="str">
        <f>'Audit Report'!F388</f>
        <v/>
      </c>
      <c r="S388" t="str">
        <f>'Audit Report'!Q388</f>
        <v/>
      </c>
    </row>
    <row r="389" spans="4:19">
      <c r="D389" t="str">
        <f>'Audit Report'!B389</f>
        <v>ITD-SHRXXX-XX388</v>
      </c>
      <c r="E389" t="str">
        <f>'Audit Report'!C389</f>
        <v/>
      </c>
      <c r="I389" t="str">
        <f>'Audit Report'!D389</f>
        <v/>
      </c>
      <c r="J389" t="str">
        <f>_xlfn.TEXTJOIN(" ",TRUE,'Audit Report'!G389,'Audit Report'!H389)</f>
        <v/>
      </c>
      <c r="L389" t="str">
        <f>_xlfn.TEXTJOIN(", ", TRUE, 'Audit Report'!K389,'Audit Report'!L389,'Audit Report'!M389)</f>
        <v/>
      </c>
      <c r="M389" t="str">
        <f>'Audit Report'!O389</f>
        <v/>
      </c>
      <c r="N389" t="str" cm="1">
        <f t="array" ref="N389">IF(M389="","",
_xlfn.TEXTJOIN(", ",TRUE,
    _xlfn.MAP(_xlfn.TEXTSPLIT(M389,","),_xlfn.LAMBDA(_xlpm.x,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9" t="str">
        <f>'Audit Report'!F389</f>
        <v/>
      </c>
      <c r="S389" t="str">
        <f>'Audit Report'!Q389</f>
        <v/>
      </c>
    </row>
    <row r="390" spans="4:19">
      <c r="D390" t="str">
        <f>'Audit Report'!B390</f>
        <v>ITD-SHRXXX-XX389</v>
      </c>
      <c r="E390" t="str">
        <f>'Audit Report'!C390</f>
        <v/>
      </c>
      <c r="I390" t="str">
        <f>'Audit Report'!D390</f>
        <v/>
      </c>
      <c r="J390" t="str">
        <f>_xlfn.TEXTJOIN(" ",TRUE,'Audit Report'!G390,'Audit Report'!H390)</f>
        <v/>
      </c>
      <c r="L390" t="str">
        <f>_xlfn.TEXTJOIN(", ", TRUE, 'Audit Report'!K390,'Audit Report'!L390,'Audit Report'!M390)</f>
        <v/>
      </c>
      <c r="M390" t="str">
        <f>'Audit Report'!O390</f>
        <v/>
      </c>
      <c r="N390" t="str" cm="1">
        <f t="array" ref="N390">IF(M390="","",
_xlfn.TEXTJOIN(", ",TRUE,
    _xlfn.MAP(_xlfn.TEXTSPLIT(M390,","),_xlfn.LAMBDA(_xlpm.x,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0" t="str">
        <f>'Audit Report'!F390</f>
        <v/>
      </c>
      <c r="S390" t="str">
        <f>'Audit Report'!Q390</f>
        <v/>
      </c>
    </row>
    <row r="391" spans="4:19">
      <c r="D391" t="str">
        <f>'Audit Report'!B391</f>
        <v>ITD-SHRXXX-XX390</v>
      </c>
      <c r="E391" t="str">
        <f>'Audit Report'!C391</f>
        <v/>
      </c>
      <c r="I391" t="str">
        <f>'Audit Report'!D391</f>
        <v/>
      </c>
      <c r="J391" t="str">
        <f>_xlfn.TEXTJOIN(" ",TRUE,'Audit Report'!G391,'Audit Report'!H391)</f>
        <v/>
      </c>
      <c r="L391" t="str">
        <f>_xlfn.TEXTJOIN(", ", TRUE, 'Audit Report'!K391,'Audit Report'!L391,'Audit Report'!M391)</f>
        <v/>
      </c>
      <c r="M391" t="str">
        <f>'Audit Report'!O391</f>
        <v/>
      </c>
      <c r="N391" t="str" cm="1">
        <f t="array" ref="N391">IF(M391="","",
_xlfn.TEXTJOIN(", ",TRUE,
    _xlfn.MAP(_xlfn.TEXTSPLIT(M391,","),_xlfn.LAMBDA(_xlpm.x,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1" t="str">
        <f>'Audit Report'!F391</f>
        <v/>
      </c>
      <c r="S391" t="str">
        <f>'Audit Report'!Q391</f>
        <v/>
      </c>
    </row>
    <row r="392" spans="4:19">
      <c r="D392" t="str">
        <f>'Audit Report'!B392</f>
        <v>ITD-SHRXXX-XX391</v>
      </c>
      <c r="E392" t="str">
        <f>'Audit Report'!C392</f>
        <v/>
      </c>
      <c r="I392" t="str">
        <f>'Audit Report'!D392</f>
        <v/>
      </c>
      <c r="J392" t="str">
        <f>_xlfn.TEXTJOIN(" ",TRUE,'Audit Report'!G392,'Audit Report'!H392)</f>
        <v/>
      </c>
      <c r="L392" t="str">
        <f>_xlfn.TEXTJOIN(", ", TRUE, 'Audit Report'!K392,'Audit Report'!L392,'Audit Report'!M392)</f>
        <v/>
      </c>
      <c r="M392" t="str">
        <f>'Audit Report'!O392</f>
        <v/>
      </c>
      <c r="N392" t="str" cm="1">
        <f t="array" ref="N392">IF(M392="","",
_xlfn.TEXTJOIN(", ",TRUE,
    _xlfn.MAP(_xlfn.TEXTSPLIT(M392,","),_xlfn.LAMBDA(_xlpm.x,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2" t="str">
        <f>'Audit Report'!F392</f>
        <v/>
      </c>
      <c r="S392" t="str">
        <f>'Audit Report'!Q392</f>
        <v/>
      </c>
    </row>
    <row r="393" spans="4:19">
      <c r="D393" t="str">
        <f>'Audit Report'!B393</f>
        <v>ITD-SHRXXX-XX392</v>
      </c>
      <c r="E393" t="str">
        <f>'Audit Report'!C393</f>
        <v/>
      </c>
      <c r="I393" t="str">
        <f>'Audit Report'!D393</f>
        <v/>
      </c>
      <c r="J393" t="str">
        <f>_xlfn.TEXTJOIN(" ",TRUE,'Audit Report'!G393,'Audit Report'!H393)</f>
        <v/>
      </c>
      <c r="L393" t="str">
        <f>_xlfn.TEXTJOIN(", ", TRUE, 'Audit Report'!K393,'Audit Report'!L393,'Audit Report'!M393)</f>
        <v/>
      </c>
      <c r="M393" t="str">
        <f>'Audit Report'!O393</f>
        <v/>
      </c>
      <c r="N393" t="str" cm="1">
        <f t="array" ref="N393">IF(M393="","",
_xlfn.TEXTJOIN(", ",TRUE,
    _xlfn.MAP(_xlfn.TEXTSPLIT(M393,","),_xlfn.LAMBDA(_xlpm.x,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3" t="str">
        <f>'Audit Report'!F393</f>
        <v/>
      </c>
      <c r="S393" t="str">
        <f>'Audit Report'!Q393</f>
        <v/>
      </c>
    </row>
    <row r="394" spans="4:19">
      <c r="D394" t="str">
        <f>'Audit Report'!B394</f>
        <v>ITD-SHRXXX-XX393</v>
      </c>
      <c r="E394" t="str">
        <f>'Audit Report'!C394</f>
        <v/>
      </c>
      <c r="I394" t="str">
        <f>'Audit Report'!D394</f>
        <v/>
      </c>
      <c r="J394" t="str">
        <f>_xlfn.TEXTJOIN(" ",TRUE,'Audit Report'!G394,'Audit Report'!H394)</f>
        <v/>
      </c>
      <c r="L394" t="str">
        <f>_xlfn.TEXTJOIN(", ", TRUE, 'Audit Report'!K394,'Audit Report'!L394,'Audit Report'!M394)</f>
        <v/>
      </c>
      <c r="M394" t="str">
        <f>'Audit Report'!O394</f>
        <v/>
      </c>
      <c r="N394" t="str" cm="1">
        <f t="array" ref="N394">IF(M394="","",
_xlfn.TEXTJOIN(", ",TRUE,
    _xlfn.MAP(_xlfn.TEXTSPLIT(M394,","),_xlfn.LAMBDA(_xlpm.x,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4" t="str">
        <f>'Audit Report'!F394</f>
        <v/>
      </c>
      <c r="S394" t="str">
        <f>'Audit Report'!Q394</f>
        <v/>
      </c>
    </row>
    <row r="395" spans="4:19">
      <c r="D395" t="str">
        <f>'Audit Report'!B395</f>
        <v>ITD-SHRXXX-XX394</v>
      </c>
      <c r="E395" t="str">
        <f>'Audit Report'!C395</f>
        <v/>
      </c>
      <c r="I395" t="str">
        <f>'Audit Report'!D395</f>
        <v/>
      </c>
      <c r="J395" t="str">
        <f>_xlfn.TEXTJOIN(" ",TRUE,'Audit Report'!G395,'Audit Report'!H395)</f>
        <v/>
      </c>
      <c r="L395" t="str">
        <f>_xlfn.TEXTJOIN(", ", TRUE, 'Audit Report'!K395,'Audit Report'!L395,'Audit Report'!M395)</f>
        <v/>
      </c>
      <c r="M395" t="str">
        <f>'Audit Report'!O395</f>
        <v/>
      </c>
      <c r="N395" t="str" cm="1">
        <f t="array" ref="N395">IF(M395="","",
_xlfn.TEXTJOIN(", ",TRUE,
    _xlfn.MAP(_xlfn.TEXTSPLIT(M395,","),_xlfn.LAMBDA(_xlpm.x,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5" t="str">
        <f>'Audit Report'!F395</f>
        <v/>
      </c>
      <c r="S395" t="str">
        <f>'Audit Report'!Q395</f>
        <v/>
      </c>
    </row>
    <row r="396" spans="4:19">
      <c r="D396" t="str">
        <f>'Audit Report'!B396</f>
        <v>ITD-SHRXXX-XX395</v>
      </c>
      <c r="E396" t="str">
        <f>'Audit Report'!C396</f>
        <v/>
      </c>
      <c r="I396" t="str">
        <f>'Audit Report'!D396</f>
        <v/>
      </c>
      <c r="J396" t="str">
        <f>_xlfn.TEXTJOIN(" ",TRUE,'Audit Report'!G396,'Audit Report'!H396)</f>
        <v/>
      </c>
      <c r="L396" t="str">
        <f>_xlfn.TEXTJOIN(", ", TRUE, 'Audit Report'!K396,'Audit Report'!L396,'Audit Report'!M396)</f>
        <v/>
      </c>
      <c r="M396" t="str">
        <f>'Audit Report'!O396</f>
        <v/>
      </c>
      <c r="N396" t="str" cm="1">
        <f t="array" ref="N396">IF(M396="","",
_xlfn.TEXTJOIN(", ",TRUE,
    _xlfn.MAP(_xlfn.TEXTSPLIT(M396,","),_xlfn.LAMBDA(_xlpm.x,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6" t="str">
        <f>'Audit Report'!F396</f>
        <v/>
      </c>
      <c r="S396" t="str">
        <f>'Audit Report'!Q396</f>
        <v/>
      </c>
    </row>
    <row r="397" spans="4:19">
      <c r="D397" t="str">
        <f>'Audit Report'!B397</f>
        <v>ITD-SHRXXX-XX396</v>
      </c>
      <c r="E397" t="str">
        <f>'Audit Report'!C397</f>
        <v/>
      </c>
      <c r="I397" t="str">
        <f>'Audit Report'!D397</f>
        <v/>
      </c>
      <c r="J397" t="str">
        <f>_xlfn.TEXTJOIN(" ",TRUE,'Audit Report'!G397,'Audit Report'!H397)</f>
        <v/>
      </c>
      <c r="L397" t="str">
        <f>_xlfn.TEXTJOIN(", ", TRUE, 'Audit Report'!K397,'Audit Report'!L397,'Audit Report'!M397)</f>
        <v/>
      </c>
      <c r="M397" t="str">
        <f>'Audit Report'!O397</f>
        <v/>
      </c>
      <c r="N397" t="str" cm="1">
        <f t="array" ref="N397">IF(M397="","",
_xlfn.TEXTJOIN(", ",TRUE,
    _xlfn.MAP(_xlfn.TEXTSPLIT(M397,","),_xlfn.LAMBDA(_xlpm.x,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7" t="str">
        <f>'Audit Report'!F397</f>
        <v/>
      </c>
      <c r="S397" t="str">
        <f>'Audit Report'!Q397</f>
        <v/>
      </c>
    </row>
    <row r="398" spans="4:19">
      <c r="D398" t="str">
        <f>'Audit Report'!B398</f>
        <v>ITD-SHRXXX-XX397</v>
      </c>
      <c r="E398" t="str">
        <f>'Audit Report'!C398</f>
        <v/>
      </c>
      <c r="I398" t="str">
        <f>'Audit Report'!D398</f>
        <v/>
      </c>
      <c r="J398" t="str">
        <f>_xlfn.TEXTJOIN(" ",TRUE,'Audit Report'!G398,'Audit Report'!H398)</f>
        <v/>
      </c>
      <c r="L398" t="str">
        <f>_xlfn.TEXTJOIN(", ", TRUE, 'Audit Report'!K398,'Audit Report'!L398,'Audit Report'!M398)</f>
        <v/>
      </c>
      <c r="M398" t="str">
        <f>'Audit Report'!O398</f>
        <v/>
      </c>
      <c r="N398" t="str" cm="1">
        <f t="array" ref="N398">IF(M398="","",
_xlfn.TEXTJOIN(", ",TRUE,
    _xlfn.MAP(_xlfn.TEXTSPLIT(M398,","),_xlfn.LAMBDA(_xlpm.x,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8" t="str">
        <f>'Audit Report'!F398</f>
        <v/>
      </c>
      <c r="S398" t="str">
        <f>'Audit Report'!Q398</f>
        <v/>
      </c>
    </row>
    <row r="399" spans="4:19">
      <c r="D399" t="str">
        <f>'Audit Report'!B399</f>
        <v>ITD-SHRXXX-XX398</v>
      </c>
      <c r="E399" t="str">
        <f>'Audit Report'!C399</f>
        <v/>
      </c>
      <c r="I399" t="str">
        <f>'Audit Report'!D399</f>
        <v/>
      </c>
      <c r="J399" t="str">
        <f>_xlfn.TEXTJOIN(" ",TRUE,'Audit Report'!G399,'Audit Report'!H399)</f>
        <v/>
      </c>
      <c r="L399" t="str">
        <f>_xlfn.TEXTJOIN(", ", TRUE, 'Audit Report'!K399,'Audit Report'!L399,'Audit Report'!M399)</f>
        <v/>
      </c>
      <c r="M399" t="str">
        <f>'Audit Report'!O399</f>
        <v/>
      </c>
      <c r="N399" t="str" cm="1">
        <f t="array" ref="N399">IF(M399="","",
_xlfn.TEXTJOIN(", ",TRUE,
    _xlfn.MAP(_xlfn.TEXTSPLIT(M399,","),_xlfn.LAMBDA(_xlpm.x,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9" t="str">
        <f>'Audit Report'!F399</f>
        <v/>
      </c>
      <c r="S399" t="str">
        <f>'Audit Report'!Q399</f>
        <v/>
      </c>
    </row>
    <row r="400" spans="4:19">
      <c r="D400" t="str">
        <f>'Audit Report'!B400</f>
        <v>ITD-SHRXXX-XX399</v>
      </c>
      <c r="E400" t="str">
        <f>'Audit Report'!C400</f>
        <v/>
      </c>
      <c r="I400" t="str">
        <f>'Audit Report'!D400</f>
        <v/>
      </c>
      <c r="J400" t="str">
        <f>_xlfn.TEXTJOIN(" ",TRUE,'Audit Report'!G400,'Audit Report'!H400)</f>
        <v/>
      </c>
      <c r="L400" t="str">
        <f>_xlfn.TEXTJOIN(", ", TRUE, 'Audit Report'!K400,'Audit Report'!L400,'Audit Report'!M400)</f>
        <v/>
      </c>
      <c r="M400" t="str">
        <f>'Audit Report'!O400</f>
        <v/>
      </c>
      <c r="N400" t="str" cm="1">
        <f t="array" ref="N400">IF(M400="","",
_xlfn.TEXTJOIN(", ",TRUE,
    _xlfn.MAP(_xlfn.TEXTSPLIT(M400,","),_xlfn.LAMBDA(_xlpm.x,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0" t="str">
        <f>'Audit Report'!F400</f>
        <v/>
      </c>
      <c r="S400" t="str">
        <f>'Audit Report'!Q400</f>
        <v/>
      </c>
    </row>
    <row r="401" spans="4:19">
      <c r="D401" t="str">
        <f>'Audit Report'!B401</f>
        <v>ITD-SHRXXX-XX400</v>
      </c>
      <c r="E401" t="str">
        <f>'Audit Report'!C401</f>
        <v/>
      </c>
      <c r="I401" t="str">
        <f>'Audit Report'!D401</f>
        <v/>
      </c>
      <c r="J401" t="str">
        <f>_xlfn.TEXTJOIN(" ",TRUE,'Audit Report'!G401,'Audit Report'!H401)</f>
        <v/>
      </c>
      <c r="L401" t="str">
        <f>_xlfn.TEXTJOIN(", ", TRUE, 'Audit Report'!K401,'Audit Report'!L401,'Audit Report'!M401)</f>
        <v/>
      </c>
      <c r="M401" t="str">
        <f>'Audit Report'!O401</f>
        <v/>
      </c>
      <c r="N401" t="str" cm="1">
        <f t="array" ref="N401">IF(M401="","",
_xlfn.TEXTJOIN(", ",TRUE,
    _xlfn.MAP(_xlfn.TEXTSPLIT(M401,","),_xlfn.LAMBDA(_xlpm.x,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1" t="str">
        <f>'Audit Report'!F401</f>
        <v/>
      </c>
      <c r="S401" t="str">
        <f>'Audit Report'!Q401</f>
        <v/>
      </c>
    </row>
    <row r="402" spans="4:19">
      <c r="D402" t="str">
        <f>'Audit Report'!B402</f>
        <v>ITD-SHRXXX-XX401</v>
      </c>
      <c r="E402" t="str">
        <f>'Audit Report'!C402</f>
        <v/>
      </c>
      <c r="I402" t="str">
        <f>'Audit Report'!D402</f>
        <v/>
      </c>
      <c r="J402" t="str">
        <f>_xlfn.TEXTJOIN(" ",TRUE,'Audit Report'!G402,'Audit Report'!H402)</f>
        <v/>
      </c>
      <c r="L402" t="str">
        <f>_xlfn.TEXTJOIN(", ", TRUE, 'Audit Report'!K402,'Audit Report'!L402,'Audit Report'!M402)</f>
        <v/>
      </c>
      <c r="M402" t="str">
        <f>'Audit Report'!O402</f>
        <v/>
      </c>
      <c r="N402" t="str" cm="1">
        <f t="array" ref="N402">IF(M402="","",
_xlfn.TEXTJOIN(", ",TRUE,
    _xlfn.MAP(_xlfn.TEXTSPLIT(M402,","),_xlfn.LAMBDA(_xlpm.x,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2" t="str">
        <f>'Audit Report'!F402</f>
        <v/>
      </c>
      <c r="S402" t="str">
        <f>'Audit Report'!Q402</f>
        <v/>
      </c>
    </row>
    <row r="403" spans="4:19">
      <c r="D403" t="str">
        <f>'Audit Report'!B403</f>
        <v>ITD-SHRXXX-XX402</v>
      </c>
      <c r="E403" t="str">
        <f>'Audit Report'!C403</f>
        <v/>
      </c>
      <c r="I403" t="str">
        <f>'Audit Report'!D403</f>
        <v/>
      </c>
      <c r="J403" t="str">
        <f>_xlfn.TEXTJOIN(" ",TRUE,'Audit Report'!G403,'Audit Report'!H403)</f>
        <v/>
      </c>
      <c r="L403" t="str">
        <f>_xlfn.TEXTJOIN(", ", TRUE, 'Audit Report'!K403,'Audit Report'!L403,'Audit Report'!M403)</f>
        <v/>
      </c>
      <c r="M403" t="str">
        <f>'Audit Report'!O403</f>
        <v/>
      </c>
      <c r="N403" t="str" cm="1">
        <f t="array" ref="N403">IF(M403="","",
_xlfn.TEXTJOIN(", ",TRUE,
    _xlfn.MAP(_xlfn.TEXTSPLIT(M403,","),_xlfn.LAMBDA(_xlpm.x,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3" t="str">
        <f>'Audit Report'!F403</f>
        <v/>
      </c>
      <c r="S403" t="str">
        <f>'Audit Report'!Q403</f>
        <v/>
      </c>
    </row>
    <row r="404" spans="4:19">
      <c r="D404" t="str">
        <f>'Audit Report'!B404</f>
        <v>ITD-SHRXXX-XX403</v>
      </c>
      <c r="E404" t="str">
        <f>'Audit Report'!C404</f>
        <v/>
      </c>
      <c r="I404" t="str">
        <f>'Audit Report'!D404</f>
        <v/>
      </c>
      <c r="J404" t="str">
        <f>_xlfn.TEXTJOIN(" ",TRUE,'Audit Report'!G404,'Audit Report'!H404)</f>
        <v/>
      </c>
      <c r="L404" t="str">
        <f>_xlfn.TEXTJOIN(", ", TRUE, 'Audit Report'!K404,'Audit Report'!L404,'Audit Report'!M404)</f>
        <v/>
      </c>
      <c r="M404" t="str">
        <f>'Audit Report'!O404</f>
        <v/>
      </c>
      <c r="N404" t="str" cm="1">
        <f t="array" ref="N404">IF(M404="","",
_xlfn.TEXTJOIN(", ",TRUE,
    _xlfn.MAP(_xlfn.TEXTSPLIT(M404,","),_xlfn.LAMBDA(_xlpm.x,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4" t="str">
        <f>'Audit Report'!F404</f>
        <v/>
      </c>
      <c r="S404" t="str">
        <f>'Audit Report'!Q404</f>
        <v/>
      </c>
    </row>
    <row r="405" spans="4:19">
      <c r="D405" t="str">
        <f>'Audit Report'!B405</f>
        <v>ITD-SHRXXX-XX404</v>
      </c>
      <c r="E405" t="str">
        <f>'Audit Report'!C405</f>
        <v/>
      </c>
      <c r="I405" t="str">
        <f>'Audit Report'!D405</f>
        <v/>
      </c>
      <c r="J405" t="str">
        <f>_xlfn.TEXTJOIN(" ",TRUE,'Audit Report'!G405,'Audit Report'!H405)</f>
        <v/>
      </c>
      <c r="L405" t="str">
        <f>_xlfn.TEXTJOIN(", ", TRUE, 'Audit Report'!K405,'Audit Report'!L405,'Audit Report'!M405)</f>
        <v/>
      </c>
      <c r="M405" t="str">
        <f>'Audit Report'!O405</f>
        <v/>
      </c>
      <c r="N405" t="str" cm="1">
        <f t="array" ref="N405">IF(M405="","",
_xlfn.TEXTJOIN(", ",TRUE,
    _xlfn.MAP(_xlfn.TEXTSPLIT(M405,","),_xlfn.LAMBDA(_xlpm.x,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5" t="str">
        <f>'Audit Report'!F405</f>
        <v/>
      </c>
      <c r="S405" t="str">
        <f>'Audit Report'!Q405</f>
        <v/>
      </c>
    </row>
    <row r="406" spans="4:19">
      <c r="D406" t="str">
        <f>'Audit Report'!B406</f>
        <v>ITD-SHRXXX-XX405</v>
      </c>
      <c r="E406" t="str">
        <f>'Audit Report'!C406</f>
        <v/>
      </c>
      <c r="I406" t="str">
        <f>'Audit Report'!D406</f>
        <v/>
      </c>
      <c r="J406" t="str">
        <f>_xlfn.TEXTJOIN(" ",TRUE,'Audit Report'!G406,'Audit Report'!H406)</f>
        <v/>
      </c>
      <c r="L406" t="str">
        <f>_xlfn.TEXTJOIN(", ", TRUE, 'Audit Report'!K406,'Audit Report'!L406,'Audit Report'!M406)</f>
        <v/>
      </c>
      <c r="M406" t="str">
        <f>'Audit Report'!O406</f>
        <v/>
      </c>
      <c r="N406" t="str" cm="1">
        <f t="array" ref="N406">IF(M406="","",
_xlfn.TEXTJOIN(", ",TRUE,
    _xlfn.MAP(_xlfn.TEXTSPLIT(M406,","),_xlfn.LAMBDA(_xlpm.x,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6" t="str">
        <f>'Audit Report'!F406</f>
        <v/>
      </c>
      <c r="S406" t="str">
        <f>'Audit Report'!Q406</f>
        <v/>
      </c>
    </row>
    <row r="407" spans="4:19">
      <c r="D407" t="str">
        <f>'Audit Report'!B407</f>
        <v>ITD-SHRXXX-XX406</v>
      </c>
      <c r="E407" t="str">
        <f>'Audit Report'!C407</f>
        <v/>
      </c>
      <c r="I407" t="str">
        <f>'Audit Report'!D407</f>
        <v/>
      </c>
      <c r="J407" t="str">
        <f>_xlfn.TEXTJOIN(" ",TRUE,'Audit Report'!G407,'Audit Report'!H407)</f>
        <v/>
      </c>
      <c r="L407" t="str">
        <f>_xlfn.TEXTJOIN(", ", TRUE, 'Audit Report'!K407,'Audit Report'!L407,'Audit Report'!M407)</f>
        <v/>
      </c>
      <c r="M407" t="str">
        <f>'Audit Report'!O407</f>
        <v/>
      </c>
      <c r="N407" t="str" cm="1">
        <f t="array" ref="N407">IF(M407="","",
_xlfn.TEXTJOIN(", ",TRUE,
    _xlfn.MAP(_xlfn.TEXTSPLIT(M407,","),_xlfn.LAMBDA(_xlpm.x,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7" t="str">
        <f>'Audit Report'!F407</f>
        <v/>
      </c>
      <c r="S407" t="str">
        <f>'Audit Report'!Q407</f>
        <v/>
      </c>
    </row>
    <row r="408" spans="4:19">
      <c r="D408" t="str">
        <f>'Audit Report'!B408</f>
        <v>ITD-SHRXXX-XX407</v>
      </c>
      <c r="E408" t="str">
        <f>'Audit Report'!C408</f>
        <v/>
      </c>
      <c r="I408" t="str">
        <f>'Audit Report'!D408</f>
        <v/>
      </c>
      <c r="J408" t="str">
        <f>_xlfn.TEXTJOIN(" ",TRUE,'Audit Report'!G408,'Audit Report'!H408)</f>
        <v/>
      </c>
      <c r="L408" t="str">
        <f>_xlfn.TEXTJOIN(", ", TRUE, 'Audit Report'!K408,'Audit Report'!L408,'Audit Report'!M408)</f>
        <v/>
      </c>
      <c r="M408" t="str">
        <f>'Audit Report'!O408</f>
        <v/>
      </c>
      <c r="N408" t="str" cm="1">
        <f t="array" ref="N408">IF(M408="","",
_xlfn.TEXTJOIN(", ",TRUE,
    _xlfn.MAP(_xlfn.TEXTSPLIT(M408,","),_xlfn.LAMBDA(_xlpm.x,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8" t="str">
        <f>'Audit Report'!F408</f>
        <v/>
      </c>
      <c r="S408" t="str">
        <f>'Audit Report'!Q408</f>
        <v/>
      </c>
    </row>
    <row r="409" spans="4:19">
      <c r="D409" t="str">
        <f>'Audit Report'!B409</f>
        <v>ITD-SHRXXX-XX408</v>
      </c>
      <c r="E409" t="str">
        <f>'Audit Report'!C409</f>
        <v/>
      </c>
      <c r="I409" t="str">
        <f>'Audit Report'!D409</f>
        <v/>
      </c>
      <c r="J409" t="str">
        <f>_xlfn.TEXTJOIN(" ",TRUE,'Audit Report'!G409,'Audit Report'!H409)</f>
        <v/>
      </c>
      <c r="L409" t="str">
        <f>_xlfn.TEXTJOIN(", ", TRUE, 'Audit Report'!K409,'Audit Report'!L409,'Audit Report'!M409)</f>
        <v/>
      </c>
      <c r="M409" t="str">
        <f>'Audit Report'!O409</f>
        <v/>
      </c>
      <c r="N409" t="str" cm="1">
        <f t="array" ref="N409">IF(M409="","",
_xlfn.TEXTJOIN(", ",TRUE,
    _xlfn.MAP(_xlfn.TEXTSPLIT(M409,","),_xlfn.LAMBDA(_xlpm.x,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9" t="str">
        <f>'Audit Report'!F409</f>
        <v/>
      </c>
      <c r="S409" t="str">
        <f>'Audit Report'!Q409</f>
        <v/>
      </c>
    </row>
    <row r="410" spans="4:19">
      <c r="D410" t="str">
        <f>'Audit Report'!B410</f>
        <v>ITD-SHRXXX-XX409</v>
      </c>
      <c r="E410" t="str">
        <f>'Audit Report'!C410</f>
        <v/>
      </c>
      <c r="I410" t="str">
        <f>'Audit Report'!D410</f>
        <v/>
      </c>
      <c r="J410" t="str">
        <f>_xlfn.TEXTJOIN(" ",TRUE,'Audit Report'!G410,'Audit Report'!H410)</f>
        <v/>
      </c>
      <c r="L410" t="str">
        <f>_xlfn.TEXTJOIN(", ", TRUE, 'Audit Report'!K410,'Audit Report'!L410,'Audit Report'!M410)</f>
        <v/>
      </c>
      <c r="M410" t="str">
        <f>'Audit Report'!O410</f>
        <v/>
      </c>
      <c r="N410" t="str" cm="1">
        <f t="array" ref="N410">IF(M410="","",
_xlfn.TEXTJOIN(", ",TRUE,
    _xlfn.MAP(_xlfn.TEXTSPLIT(M410,","),_xlfn.LAMBDA(_xlpm.x,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0" t="str">
        <f>'Audit Report'!F410</f>
        <v/>
      </c>
      <c r="S410" t="str">
        <f>'Audit Report'!Q410</f>
        <v/>
      </c>
    </row>
    <row r="411" spans="4:19">
      <c r="D411" t="str">
        <f>'Audit Report'!B411</f>
        <v>ITD-SHRXXX-XX410</v>
      </c>
      <c r="E411" t="str">
        <f>'Audit Report'!C411</f>
        <v/>
      </c>
      <c r="I411" t="str">
        <f>'Audit Report'!D411</f>
        <v/>
      </c>
      <c r="J411" t="str">
        <f>_xlfn.TEXTJOIN(" ",TRUE,'Audit Report'!G411,'Audit Report'!H411)</f>
        <v/>
      </c>
      <c r="L411" t="str">
        <f>_xlfn.TEXTJOIN(", ", TRUE, 'Audit Report'!K411,'Audit Report'!L411,'Audit Report'!M411)</f>
        <v/>
      </c>
      <c r="M411" t="str">
        <f>'Audit Report'!O411</f>
        <v/>
      </c>
      <c r="N411" t="str" cm="1">
        <f t="array" ref="N411">IF(M411="","",
_xlfn.TEXTJOIN(", ",TRUE,
    _xlfn.MAP(_xlfn.TEXTSPLIT(M411,","),_xlfn.LAMBDA(_xlpm.x,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1" t="str">
        <f>'Audit Report'!F411</f>
        <v/>
      </c>
      <c r="S411" t="str">
        <f>'Audit Report'!Q411</f>
        <v/>
      </c>
    </row>
    <row r="412" spans="4:19">
      <c r="D412" t="str">
        <f>'Audit Report'!B412</f>
        <v>ITD-SHRXXX-XX411</v>
      </c>
      <c r="E412" t="str">
        <f>'Audit Report'!C412</f>
        <v/>
      </c>
      <c r="I412" t="str">
        <f>'Audit Report'!D412</f>
        <v/>
      </c>
      <c r="J412" t="str">
        <f>_xlfn.TEXTJOIN(" ",TRUE,'Audit Report'!G412,'Audit Report'!H412)</f>
        <v/>
      </c>
      <c r="L412" t="str">
        <f>_xlfn.TEXTJOIN(", ", TRUE, 'Audit Report'!K412,'Audit Report'!L412,'Audit Report'!M412)</f>
        <v/>
      </c>
      <c r="M412" t="str">
        <f>'Audit Report'!O412</f>
        <v/>
      </c>
      <c r="N412" t="str" cm="1">
        <f t="array" ref="N412">IF(M412="","",
_xlfn.TEXTJOIN(", ",TRUE,
    _xlfn.MAP(_xlfn.TEXTSPLIT(M412,","),_xlfn.LAMBDA(_xlpm.x,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2" t="str">
        <f>'Audit Report'!F412</f>
        <v/>
      </c>
      <c r="S412" t="str">
        <f>'Audit Report'!Q412</f>
        <v/>
      </c>
    </row>
    <row r="413" spans="4:19">
      <c r="D413" t="str">
        <f>'Audit Report'!B413</f>
        <v>ITD-SHRXXX-XX412</v>
      </c>
      <c r="E413" t="str">
        <f>'Audit Report'!C413</f>
        <v/>
      </c>
      <c r="I413" t="str">
        <f>'Audit Report'!D413</f>
        <v/>
      </c>
      <c r="J413" t="str">
        <f>_xlfn.TEXTJOIN(" ",TRUE,'Audit Report'!G413,'Audit Report'!H413)</f>
        <v/>
      </c>
      <c r="L413" t="str">
        <f>_xlfn.TEXTJOIN(", ", TRUE, 'Audit Report'!K413,'Audit Report'!L413,'Audit Report'!M413)</f>
        <v/>
      </c>
      <c r="M413" t="str">
        <f>'Audit Report'!O413</f>
        <v/>
      </c>
      <c r="N413" t="str" cm="1">
        <f t="array" ref="N413">IF(M413="","",
_xlfn.TEXTJOIN(", ",TRUE,
    _xlfn.MAP(_xlfn.TEXTSPLIT(M413,","),_xlfn.LAMBDA(_xlpm.x,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3" t="str">
        <f>'Audit Report'!F413</f>
        <v/>
      </c>
      <c r="S413" t="str">
        <f>'Audit Report'!Q413</f>
        <v/>
      </c>
    </row>
    <row r="414" spans="4:19">
      <c r="D414" t="str">
        <f>'Audit Report'!B414</f>
        <v>ITD-SHRXXX-XX413</v>
      </c>
      <c r="E414" t="str">
        <f>'Audit Report'!C414</f>
        <v/>
      </c>
      <c r="I414" t="str">
        <f>'Audit Report'!D414</f>
        <v/>
      </c>
      <c r="J414" t="str">
        <f>_xlfn.TEXTJOIN(" ",TRUE,'Audit Report'!G414,'Audit Report'!H414)</f>
        <v/>
      </c>
      <c r="L414" t="str">
        <f>_xlfn.TEXTJOIN(", ", TRUE, 'Audit Report'!K414,'Audit Report'!L414,'Audit Report'!M414)</f>
        <v/>
      </c>
      <c r="M414" t="str">
        <f>'Audit Report'!O414</f>
        <v/>
      </c>
      <c r="N414" t="str" cm="1">
        <f t="array" ref="N414">IF(M414="","",
_xlfn.TEXTJOIN(", ",TRUE,
    _xlfn.MAP(_xlfn.TEXTSPLIT(M414,","),_xlfn.LAMBDA(_xlpm.x,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4" t="str">
        <f>'Audit Report'!F414</f>
        <v/>
      </c>
      <c r="S414" t="str">
        <f>'Audit Report'!Q414</f>
        <v/>
      </c>
    </row>
    <row r="415" spans="4:19">
      <c r="D415" t="str">
        <f>'Audit Report'!B415</f>
        <v>ITD-SHRXXX-XX414</v>
      </c>
      <c r="E415" t="str">
        <f>'Audit Report'!C415</f>
        <v/>
      </c>
      <c r="I415" t="str">
        <f>'Audit Report'!D415</f>
        <v/>
      </c>
      <c r="J415" t="str">
        <f>_xlfn.TEXTJOIN(" ",TRUE,'Audit Report'!G415,'Audit Report'!H415)</f>
        <v/>
      </c>
      <c r="L415" t="str">
        <f>_xlfn.TEXTJOIN(", ", TRUE, 'Audit Report'!K415,'Audit Report'!L415,'Audit Report'!M415)</f>
        <v/>
      </c>
      <c r="M415" t="str">
        <f>'Audit Report'!O415</f>
        <v/>
      </c>
      <c r="N415" t="str" cm="1">
        <f t="array" ref="N415">IF(M415="","",
_xlfn.TEXTJOIN(", ",TRUE,
    _xlfn.MAP(_xlfn.TEXTSPLIT(M415,","),_xlfn.LAMBDA(_xlpm.x,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5" t="str">
        <f>'Audit Report'!F415</f>
        <v/>
      </c>
      <c r="S415" t="str">
        <f>'Audit Report'!Q415</f>
        <v/>
      </c>
    </row>
    <row r="416" spans="4:19">
      <c r="D416" t="str">
        <f>'Audit Report'!B416</f>
        <v>ITD-SHRXXX-XX415</v>
      </c>
      <c r="E416" t="str">
        <f>'Audit Report'!C416</f>
        <v/>
      </c>
      <c r="I416" t="str">
        <f>'Audit Report'!D416</f>
        <v/>
      </c>
      <c r="J416" t="str">
        <f>_xlfn.TEXTJOIN(" ",TRUE,'Audit Report'!G416,'Audit Report'!H416)</f>
        <v/>
      </c>
      <c r="L416" t="str">
        <f>_xlfn.TEXTJOIN(", ", TRUE, 'Audit Report'!K416,'Audit Report'!L416,'Audit Report'!M416)</f>
        <v/>
      </c>
      <c r="M416" t="str">
        <f>'Audit Report'!O416</f>
        <v/>
      </c>
      <c r="N416" t="str" cm="1">
        <f t="array" ref="N416">IF(M416="","",
_xlfn.TEXTJOIN(", ",TRUE,
    _xlfn.MAP(_xlfn.TEXTSPLIT(M416,","),_xlfn.LAMBDA(_xlpm.x,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6" t="str">
        <f>'Audit Report'!F416</f>
        <v/>
      </c>
      <c r="S416" t="str">
        <f>'Audit Report'!Q416</f>
        <v/>
      </c>
    </row>
    <row r="417" spans="4:19">
      <c r="D417" t="str">
        <f>'Audit Report'!B417</f>
        <v>ITD-SHRXXX-XX416</v>
      </c>
      <c r="E417" t="str">
        <f>'Audit Report'!C417</f>
        <v/>
      </c>
      <c r="I417" t="str">
        <f>'Audit Report'!D417</f>
        <v/>
      </c>
      <c r="J417" t="str">
        <f>_xlfn.TEXTJOIN(" ",TRUE,'Audit Report'!G417,'Audit Report'!H417)</f>
        <v/>
      </c>
      <c r="L417" t="str">
        <f>_xlfn.TEXTJOIN(", ", TRUE, 'Audit Report'!K417,'Audit Report'!L417,'Audit Report'!M417)</f>
        <v/>
      </c>
      <c r="M417" t="str">
        <f>'Audit Report'!O417</f>
        <v/>
      </c>
      <c r="N417" t="str" cm="1">
        <f t="array" ref="N417">IF(M417="","",
_xlfn.TEXTJOIN(", ",TRUE,
    _xlfn.MAP(_xlfn.TEXTSPLIT(M417,","),_xlfn.LAMBDA(_xlpm.x,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7" t="str">
        <f>'Audit Report'!F417</f>
        <v/>
      </c>
      <c r="S417" t="str">
        <f>'Audit Report'!Q417</f>
        <v/>
      </c>
    </row>
    <row r="418" spans="4:19">
      <c r="D418" t="str">
        <f>'Audit Report'!B418</f>
        <v>ITD-SHRXXX-XX417</v>
      </c>
      <c r="E418" t="str">
        <f>'Audit Report'!C418</f>
        <v/>
      </c>
      <c r="I418" t="str">
        <f>'Audit Report'!D418</f>
        <v/>
      </c>
      <c r="J418" t="str">
        <f>_xlfn.TEXTJOIN(" ",TRUE,'Audit Report'!G418,'Audit Report'!H418)</f>
        <v/>
      </c>
      <c r="L418" t="str">
        <f>_xlfn.TEXTJOIN(", ", TRUE, 'Audit Report'!K418,'Audit Report'!L418,'Audit Report'!M418)</f>
        <v/>
      </c>
      <c r="M418" t="str">
        <f>'Audit Report'!O418</f>
        <v/>
      </c>
      <c r="N418" t="str" cm="1">
        <f t="array" ref="N418">IF(M418="","",
_xlfn.TEXTJOIN(", ",TRUE,
    _xlfn.MAP(_xlfn.TEXTSPLIT(M418,","),_xlfn.LAMBDA(_xlpm.x,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8" t="str">
        <f>'Audit Report'!F418</f>
        <v/>
      </c>
      <c r="S418" t="str">
        <f>'Audit Report'!Q418</f>
        <v/>
      </c>
    </row>
    <row r="419" spans="4:19">
      <c r="D419" t="str">
        <f>'Audit Report'!B419</f>
        <v>ITD-SHRXXX-XX418</v>
      </c>
      <c r="E419" t="str">
        <f>'Audit Report'!C419</f>
        <v/>
      </c>
      <c r="I419" t="str">
        <f>'Audit Report'!D419</f>
        <v/>
      </c>
      <c r="J419" t="str">
        <f>_xlfn.TEXTJOIN(" ",TRUE,'Audit Report'!G419,'Audit Report'!H419)</f>
        <v/>
      </c>
      <c r="L419" t="str">
        <f>_xlfn.TEXTJOIN(", ", TRUE, 'Audit Report'!K419,'Audit Report'!L419,'Audit Report'!M419)</f>
        <v/>
      </c>
      <c r="M419" t="str">
        <f>'Audit Report'!O419</f>
        <v/>
      </c>
      <c r="N419" t="str" cm="1">
        <f t="array" ref="N419">IF(M419="","",
_xlfn.TEXTJOIN(", ",TRUE,
    _xlfn.MAP(_xlfn.TEXTSPLIT(M419,","),_xlfn.LAMBDA(_xlpm.x,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9" t="str">
        <f>'Audit Report'!F419</f>
        <v/>
      </c>
      <c r="S419" t="str">
        <f>'Audit Report'!Q419</f>
        <v/>
      </c>
    </row>
    <row r="420" spans="4:19">
      <c r="D420" t="str">
        <f>'Audit Report'!B420</f>
        <v>ITD-SHRXXX-XX419</v>
      </c>
      <c r="E420" t="str">
        <f>'Audit Report'!C420</f>
        <v/>
      </c>
      <c r="I420" t="str">
        <f>'Audit Report'!D420</f>
        <v/>
      </c>
      <c r="J420" t="str">
        <f>_xlfn.TEXTJOIN(" ",TRUE,'Audit Report'!G420,'Audit Report'!H420)</f>
        <v/>
      </c>
      <c r="L420" t="str">
        <f>_xlfn.TEXTJOIN(", ", TRUE, 'Audit Report'!K420,'Audit Report'!L420,'Audit Report'!M420)</f>
        <v/>
      </c>
      <c r="M420" t="str">
        <f>'Audit Report'!O420</f>
        <v/>
      </c>
      <c r="N420" t="str" cm="1">
        <f t="array" ref="N420">IF(M420="","",
_xlfn.TEXTJOIN(", ",TRUE,
    _xlfn.MAP(_xlfn.TEXTSPLIT(M420,","),_xlfn.LAMBDA(_xlpm.x,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0" t="str">
        <f>'Audit Report'!F420</f>
        <v/>
      </c>
      <c r="S420" t="str">
        <f>'Audit Report'!Q420</f>
        <v/>
      </c>
    </row>
    <row r="421" spans="4:19">
      <c r="D421" t="str">
        <f>'Audit Report'!B421</f>
        <v>ITD-SHRXXX-XX420</v>
      </c>
      <c r="E421" t="str">
        <f>'Audit Report'!C421</f>
        <v/>
      </c>
      <c r="I421" t="str">
        <f>'Audit Report'!D421</f>
        <v/>
      </c>
      <c r="J421" t="str">
        <f>_xlfn.TEXTJOIN(" ",TRUE,'Audit Report'!G421,'Audit Report'!H421)</f>
        <v/>
      </c>
      <c r="L421" t="str">
        <f>_xlfn.TEXTJOIN(", ", TRUE, 'Audit Report'!K421,'Audit Report'!L421,'Audit Report'!M421)</f>
        <v/>
      </c>
      <c r="M421" t="str">
        <f>'Audit Report'!O421</f>
        <v/>
      </c>
      <c r="N421" t="str" cm="1">
        <f t="array" ref="N421">IF(M421="","",
_xlfn.TEXTJOIN(", ",TRUE,
    _xlfn.MAP(_xlfn.TEXTSPLIT(M421,","),_xlfn.LAMBDA(_xlpm.x,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1" t="str">
        <f>'Audit Report'!F421</f>
        <v/>
      </c>
      <c r="S421" t="str">
        <f>'Audit Report'!Q421</f>
        <v/>
      </c>
    </row>
    <row r="422" spans="4:19">
      <c r="D422" t="str">
        <f>'Audit Report'!B422</f>
        <v>ITD-SHRXXX-XX421</v>
      </c>
      <c r="E422" t="str">
        <f>'Audit Report'!C422</f>
        <v/>
      </c>
      <c r="I422" t="str">
        <f>'Audit Report'!D422</f>
        <v/>
      </c>
      <c r="J422" t="str">
        <f>_xlfn.TEXTJOIN(" ",TRUE,'Audit Report'!G422,'Audit Report'!H422)</f>
        <v/>
      </c>
      <c r="L422" t="str">
        <f>_xlfn.TEXTJOIN(", ", TRUE, 'Audit Report'!K422,'Audit Report'!L422,'Audit Report'!M422)</f>
        <v/>
      </c>
      <c r="M422" t="str">
        <f>'Audit Report'!O422</f>
        <v/>
      </c>
      <c r="N422" t="str" cm="1">
        <f t="array" ref="N422">IF(M422="","",
_xlfn.TEXTJOIN(", ",TRUE,
    _xlfn.MAP(_xlfn.TEXTSPLIT(M422,","),_xlfn.LAMBDA(_xlpm.x,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2" t="str">
        <f>'Audit Report'!F422</f>
        <v/>
      </c>
      <c r="S422" t="str">
        <f>'Audit Report'!Q422</f>
        <v/>
      </c>
    </row>
    <row r="423" spans="4:19">
      <c r="D423" t="str">
        <f>'Audit Report'!B423</f>
        <v>ITD-SHRXXX-XX422</v>
      </c>
      <c r="E423" t="str">
        <f>'Audit Report'!C423</f>
        <v/>
      </c>
      <c r="I423" t="str">
        <f>'Audit Report'!D423</f>
        <v/>
      </c>
      <c r="J423" t="str">
        <f>_xlfn.TEXTJOIN(" ",TRUE,'Audit Report'!G423,'Audit Report'!H423)</f>
        <v/>
      </c>
      <c r="L423" t="str">
        <f>_xlfn.TEXTJOIN(", ", TRUE, 'Audit Report'!K423,'Audit Report'!L423,'Audit Report'!M423)</f>
        <v/>
      </c>
      <c r="M423" t="str">
        <f>'Audit Report'!O423</f>
        <v/>
      </c>
      <c r="N423" t="str" cm="1">
        <f t="array" ref="N423">IF(M423="","",
_xlfn.TEXTJOIN(", ",TRUE,
    _xlfn.MAP(_xlfn.TEXTSPLIT(M423,","),_xlfn.LAMBDA(_xlpm.x,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3" t="str">
        <f>'Audit Report'!F423</f>
        <v/>
      </c>
      <c r="S423" t="str">
        <f>'Audit Report'!Q423</f>
        <v/>
      </c>
    </row>
    <row r="424" spans="4:19">
      <c r="D424" t="str">
        <f>'Audit Report'!B424</f>
        <v>ITD-SHRXXX-XX423</v>
      </c>
      <c r="E424" t="str">
        <f>'Audit Report'!C424</f>
        <v/>
      </c>
      <c r="I424" t="str">
        <f>'Audit Report'!D424</f>
        <v/>
      </c>
      <c r="J424" t="str">
        <f>_xlfn.TEXTJOIN(" ",TRUE,'Audit Report'!G424,'Audit Report'!H424)</f>
        <v/>
      </c>
      <c r="L424" t="str">
        <f>_xlfn.TEXTJOIN(", ", TRUE, 'Audit Report'!K424,'Audit Report'!L424,'Audit Report'!M424)</f>
        <v/>
      </c>
      <c r="M424" t="str">
        <f>'Audit Report'!O424</f>
        <v/>
      </c>
      <c r="N424" t="str" cm="1">
        <f t="array" ref="N424">IF(M424="","",
_xlfn.TEXTJOIN(", ",TRUE,
    _xlfn.MAP(_xlfn.TEXTSPLIT(M424,","),_xlfn.LAMBDA(_xlpm.x,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4" t="str">
        <f>'Audit Report'!F424</f>
        <v/>
      </c>
      <c r="S424" t="str">
        <f>'Audit Report'!Q424</f>
        <v/>
      </c>
    </row>
    <row r="425" spans="4:19">
      <c r="D425" t="str">
        <f>'Audit Report'!B425</f>
        <v>ITD-SHRXXX-XX424</v>
      </c>
      <c r="E425" t="str">
        <f>'Audit Report'!C425</f>
        <v/>
      </c>
      <c r="I425" t="str">
        <f>'Audit Report'!D425</f>
        <v/>
      </c>
      <c r="J425" t="str">
        <f>_xlfn.TEXTJOIN(" ",TRUE,'Audit Report'!G425,'Audit Report'!H425)</f>
        <v/>
      </c>
      <c r="L425" t="str">
        <f>_xlfn.TEXTJOIN(", ", TRUE, 'Audit Report'!K425,'Audit Report'!L425,'Audit Report'!M425)</f>
        <v/>
      </c>
      <c r="M425" t="str">
        <f>'Audit Report'!O425</f>
        <v/>
      </c>
      <c r="N425" t="str" cm="1">
        <f t="array" ref="N425">IF(M425="","",
_xlfn.TEXTJOIN(", ",TRUE,
    _xlfn.MAP(_xlfn.TEXTSPLIT(M425,","),_xlfn.LAMBDA(_xlpm.x,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5" t="str">
        <f>'Audit Report'!F425</f>
        <v/>
      </c>
      <c r="S425" t="str">
        <f>'Audit Report'!Q425</f>
        <v/>
      </c>
    </row>
    <row r="426" spans="4:19">
      <c r="D426" t="str">
        <f>'Audit Report'!B426</f>
        <v>ITD-SHRXXX-XX425</v>
      </c>
      <c r="E426" t="str">
        <f>'Audit Report'!C426</f>
        <v/>
      </c>
      <c r="I426" t="str">
        <f>'Audit Report'!D426</f>
        <v/>
      </c>
      <c r="J426" t="str">
        <f>_xlfn.TEXTJOIN(" ",TRUE,'Audit Report'!G426,'Audit Report'!H426)</f>
        <v/>
      </c>
      <c r="L426" t="str">
        <f>_xlfn.TEXTJOIN(", ", TRUE, 'Audit Report'!K426,'Audit Report'!L426,'Audit Report'!M426)</f>
        <v/>
      </c>
      <c r="M426" t="str">
        <f>'Audit Report'!O426</f>
        <v/>
      </c>
      <c r="N426" t="str" cm="1">
        <f t="array" ref="N426">IF(M426="","",
_xlfn.TEXTJOIN(", ",TRUE,
    _xlfn.MAP(_xlfn.TEXTSPLIT(M426,","),_xlfn.LAMBDA(_xlpm.x,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6" t="str">
        <f>'Audit Report'!F426</f>
        <v/>
      </c>
      <c r="S426" t="str">
        <f>'Audit Report'!Q426</f>
        <v/>
      </c>
    </row>
    <row r="427" spans="4:19">
      <c r="D427" t="str">
        <f>'Audit Report'!B427</f>
        <v>ITD-SHRXXX-XX426</v>
      </c>
      <c r="E427" t="str">
        <f>'Audit Report'!C427</f>
        <v/>
      </c>
      <c r="I427" t="str">
        <f>'Audit Report'!D427</f>
        <v/>
      </c>
      <c r="J427" t="str">
        <f>_xlfn.TEXTJOIN(" ",TRUE,'Audit Report'!G427,'Audit Report'!H427)</f>
        <v/>
      </c>
      <c r="L427" t="str">
        <f>_xlfn.TEXTJOIN(", ", TRUE, 'Audit Report'!K427,'Audit Report'!L427,'Audit Report'!M427)</f>
        <v/>
      </c>
      <c r="M427" t="str">
        <f>'Audit Report'!O427</f>
        <v/>
      </c>
      <c r="N427" t="str" cm="1">
        <f t="array" ref="N427">IF(M427="","",
_xlfn.TEXTJOIN(", ",TRUE,
    _xlfn.MAP(_xlfn.TEXTSPLIT(M427,","),_xlfn.LAMBDA(_xlpm.x,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7" t="str">
        <f>'Audit Report'!F427</f>
        <v/>
      </c>
      <c r="S427" t="str">
        <f>'Audit Report'!Q427</f>
        <v/>
      </c>
    </row>
    <row r="428" spans="4:19">
      <c r="D428" t="str">
        <f>'Audit Report'!B428</f>
        <v>ITD-SHRXXX-XX427</v>
      </c>
      <c r="E428" t="str">
        <f>'Audit Report'!C428</f>
        <v/>
      </c>
      <c r="I428" t="str">
        <f>'Audit Report'!D428</f>
        <v/>
      </c>
      <c r="J428" t="str">
        <f>_xlfn.TEXTJOIN(" ",TRUE,'Audit Report'!G428,'Audit Report'!H428)</f>
        <v/>
      </c>
      <c r="L428" t="str">
        <f>_xlfn.TEXTJOIN(", ", TRUE, 'Audit Report'!K428,'Audit Report'!L428,'Audit Report'!M428)</f>
        <v/>
      </c>
      <c r="M428" t="str">
        <f>'Audit Report'!O428</f>
        <v/>
      </c>
      <c r="N428" t="str" cm="1">
        <f t="array" ref="N428">IF(M428="","",
_xlfn.TEXTJOIN(", ",TRUE,
    _xlfn.MAP(_xlfn.TEXTSPLIT(M428,","),_xlfn.LAMBDA(_xlpm.x,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8" t="str">
        <f>'Audit Report'!F428</f>
        <v/>
      </c>
      <c r="S428" t="str">
        <f>'Audit Report'!Q428</f>
        <v/>
      </c>
    </row>
    <row r="429" spans="4:19">
      <c r="D429" t="str">
        <f>'Audit Report'!B429</f>
        <v>ITD-SHRXXX-XX428</v>
      </c>
      <c r="E429" t="str">
        <f>'Audit Report'!C429</f>
        <v/>
      </c>
      <c r="I429" t="str">
        <f>'Audit Report'!D429</f>
        <v/>
      </c>
      <c r="J429" t="str">
        <f>_xlfn.TEXTJOIN(" ",TRUE,'Audit Report'!G429,'Audit Report'!H429)</f>
        <v/>
      </c>
      <c r="L429" t="str">
        <f>_xlfn.TEXTJOIN(", ", TRUE, 'Audit Report'!K429,'Audit Report'!L429,'Audit Report'!M429)</f>
        <v/>
      </c>
      <c r="M429" t="str">
        <f>'Audit Report'!O429</f>
        <v/>
      </c>
      <c r="N429" t="str" cm="1">
        <f t="array" ref="N429">IF(M429="","",
_xlfn.TEXTJOIN(", ",TRUE,
    _xlfn.MAP(_xlfn.TEXTSPLIT(M429,","),_xlfn.LAMBDA(_xlpm.x,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9" t="str">
        <f>'Audit Report'!F429</f>
        <v/>
      </c>
      <c r="S429" t="str">
        <f>'Audit Report'!Q429</f>
        <v/>
      </c>
    </row>
    <row r="430" spans="4:19">
      <c r="D430" t="str">
        <f>'Audit Report'!B430</f>
        <v>ITD-SHRXXX-XX429</v>
      </c>
      <c r="E430" t="str">
        <f>'Audit Report'!C430</f>
        <v/>
      </c>
      <c r="I430" t="str">
        <f>'Audit Report'!D430</f>
        <v/>
      </c>
      <c r="J430" t="str">
        <f>_xlfn.TEXTJOIN(" ",TRUE,'Audit Report'!G430,'Audit Report'!H430)</f>
        <v/>
      </c>
      <c r="L430" t="str">
        <f>_xlfn.TEXTJOIN(", ", TRUE, 'Audit Report'!K430,'Audit Report'!L430,'Audit Report'!M430)</f>
        <v/>
      </c>
      <c r="M430" t="str">
        <f>'Audit Report'!O430</f>
        <v/>
      </c>
      <c r="N430" t="str" cm="1">
        <f t="array" ref="N430">IF(M430="","",
_xlfn.TEXTJOIN(", ",TRUE,
    _xlfn.MAP(_xlfn.TEXTSPLIT(M430,","),_xlfn.LAMBDA(_xlpm.x,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0" t="str">
        <f>'Audit Report'!F430</f>
        <v/>
      </c>
      <c r="S430" t="str">
        <f>'Audit Report'!Q430</f>
        <v/>
      </c>
    </row>
    <row r="431" spans="4:19">
      <c r="D431" t="str">
        <f>'Audit Report'!B431</f>
        <v>ITD-SHRXXX-XX430</v>
      </c>
      <c r="E431" t="str">
        <f>'Audit Report'!C431</f>
        <v/>
      </c>
      <c r="I431" t="str">
        <f>'Audit Report'!D431</f>
        <v/>
      </c>
      <c r="J431" t="str">
        <f>_xlfn.TEXTJOIN(" ",TRUE,'Audit Report'!G431,'Audit Report'!H431)</f>
        <v/>
      </c>
      <c r="L431" t="str">
        <f>_xlfn.TEXTJOIN(", ", TRUE, 'Audit Report'!K431,'Audit Report'!L431,'Audit Report'!M431)</f>
        <v/>
      </c>
      <c r="M431" t="str">
        <f>'Audit Report'!O431</f>
        <v/>
      </c>
      <c r="N431" t="str" cm="1">
        <f t="array" ref="N431">IF(M431="","",
_xlfn.TEXTJOIN(", ",TRUE,
    _xlfn.MAP(_xlfn.TEXTSPLIT(M431,","),_xlfn.LAMBDA(_xlpm.x,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1" t="str">
        <f>'Audit Report'!F431</f>
        <v/>
      </c>
      <c r="S431" t="str">
        <f>'Audit Report'!Q431</f>
        <v/>
      </c>
    </row>
    <row r="432" spans="4:19">
      <c r="D432" t="str">
        <f>'Audit Report'!B432</f>
        <v>ITD-SHRXXX-XX431</v>
      </c>
      <c r="E432" t="str">
        <f>'Audit Report'!C432</f>
        <v/>
      </c>
      <c r="I432" t="str">
        <f>'Audit Report'!D432</f>
        <v/>
      </c>
      <c r="J432" t="str">
        <f>_xlfn.TEXTJOIN(" ",TRUE,'Audit Report'!G432,'Audit Report'!H432)</f>
        <v/>
      </c>
      <c r="L432" t="str">
        <f>_xlfn.TEXTJOIN(", ", TRUE, 'Audit Report'!K432,'Audit Report'!L432,'Audit Report'!M432)</f>
        <v/>
      </c>
      <c r="M432" t="str">
        <f>'Audit Report'!O432</f>
        <v/>
      </c>
      <c r="N432" t="str" cm="1">
        <f t="array" ref="N432">IF(M432="","",
_xlfn.TEXTJOIN(", ",TRUE,
    _xlfn.MAP(_xlfn.TEXTSPLIT(M432,","),_xlfn.LAMBDA(_xlpm.x,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2" t="str">
        <f>'Audit Report'!F432</f>
        <v/>
      </c>
      <c r="S432" t="str">
        <f>'Audit Report'!Q432</f>
        <v/>
      </c>
    </row>
    <row r="433" spans="4:19">
      <c r="D433" t="str">
        <f>'Audit Report'!B433</f>
        <v>ITD-SHRXXX-XX432</v>
      </c>
      <c r="E433" t="str">
        <f>'Audit Report'!C433</f>
        <v/>
      </c>
      <c r="I433" t="str">
        <f>'Audit Report'!D433</f>
        <v/>
      </c>
      <c r="J433" t="str">
        <f>_xlfn.TEXTJOIN(" ",TRUE,'Audit Report'!G433,'Audit Report'!H433)</f>
        <v/>
      </c>
      <c r="L433" t="str">
        <f>_xlfn.TEXTJOIN(", ", TRUE, 'Audit Report'!K433,'Audit Report'!L433,'Audit Report'!M433)</f>
        <v/>
      </c>
      <c r="M433" t="str">
        <f>'Audit Report'!O433</f>
        <v/>
      </c>
      <c r="N433" t="str" cm="1">
        <f t="array" ref="N433">IF(M433="","",
_xlfn.TEXTJOIN(", ",TRUE,
    _xlfn.MAP(_xlfn.TEXTSPLIT(M433,","),_xlfn.LAMBDA(_xlpm.x,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3" t="str">
        <f>'Audit Report'!F433</f>
        <v/>
      </c>
      <c r="S433" t="str">
        <f>'Audit Report'!Q433</f>
        <v/>
      </c>
    </row>
    <row r="434" spans="4:19">
      <c r="D434" t="str">
        <f>'Audit Report'!B434</f>
        <v>ITD-SHRXXX-XX433</v>
      </c>
      <c r="E434" t="str">
        <f>'Audit Report'!C434</f>
        <v/>
      </c>
      <c r="I434" t="str">
        <f>'Audit Report'!D434</f>
        <v/>
      </c>
      <c r="J434" t="str">
        <f>_xlfn.TEXTJOIN(" ",TRUE,'Audit Report'!G434,'Audit Report'!H434)</f>
        <v/>
      </c>
      <c r="L434" t="str">
        <f>_xlfn.TEXTJOIN(", ", TRUE, 'Audit Report'!K434,'Audit Report'!L434,'Audit Report'!M434)</f>
        <v/>
      </c>
      <c r="M434" t="str">
        <f>'Audit Report'!O434</f>
        <v/>
      </c>
      <c r="N434" t="str" cm="1">
        <f t="array" ref="N434">IF(M434="","",
_xlfn.TEXTJOIN(", ",TRUE,
    _xlfn.MAP(_xlfn.TEXTSPLIT(M434,","),_xlfn.LAMBDA(_xlpm.x,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4" t="str">
        <f>'Audit Report'!F434</f>
        <v/>
      </c>
      <c r="S434" t="str">
        <f>'Audit Report'!Q434</f>
        <v/>
      </c>
    </row>
    <row r="435" spans="4:19">
      <c r="D435" t="str">
        <f>'Audit Report'!B435</f>
        <v>ITD-SHRXXX-XX434</v>
      </c>
      <c r="E435" t="str">
        <f>'Audit Report'!C435</f>
        <v/>
      </c>
      <c r="I435" t="str">
        <f>'Audit Report'!D435</f>
        <v/>
      </c>
      <c r="J435" t="str">
        <f>_xlfn.TEXTJOIN(" ",TRUE,'Audit Report'!G435,'Audit Report'!H435)</f>
        <v/>
      </c>
      <c r="L435" t="str">
        <f>_xlfn.TEXTJOIN(", ", TRUE, 'Audit Report'!K435,'Audit Report'!L435,'Audit Report'!M435)</f>
        <v/>
      </c>
      <c r="M435" t="str">
        <f>'Audit Report'!O435</f>
        <v/>
      </c>
      <c r="N435" t="str" cm="1">
        <f t="array" ref="N435">IF(M435="","",
_xlfn.TEXTJOIN(", ",TRUE,
    _xlfn.MAP(_xlfn.TEXTSPLIT(M435,","),_xlfn.LAMBDA(_xlpm.x,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5" t="str">
        <f>'Audit Report'!F435</f>
        <v/>
      </c>
      <c r="S435" t="str">
        <f>'Audit Report'!Q435</f>
        <v/>
      </c>
    </row>
    <row r="436" spans="4:19">
      <c r="D436" t="str">
        <f>'Audit Report'!B436</f>
        <v>ITD-SHRXXX-XX435</v>
      </c>
      <c r="E436" t="str">
        <f>'Audit Report'!C436</f>
        <v/>
      </c>
      <c r="I436" t="str">
        <f>'Audit Report'!D436</f>
        <v/>
      </c>
      <c r="J436" t="str">
        <f>_xlfn.TEXTJOIN(" ",TRUE,'Audit Report'!G436,'Audit Report'!H436)</f>
        <v/>
      </c>
      <c r="L436" t="str">
        <f>_xlfn.TEXTJOIN(", ", TRUE, 'Audit Report'!K436,'Audit Report'!L436,'Audit Report'!M436)</f>
        <v/>
      </c>
      <c r="M436" t="str">
        <f>'Audit Report'!O436</f>
        <v/>
      </c>
      <c r="N436" t="str" cm="1">
        <f t="array" ref="N436">IF(M436="","",
_xlfn.TEXTJOIN(", ",TRUE,
    _xlfn.MAP(_xlfn.TEXTSPLIT(M436,","),_xlfn.LAMBDA(_xlpm.x,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6" t="str">
        <f>'Audit Report'!F436</f>
        <v/>
      </c>
      <c r="S436" t="str">
        <f>'Audit Report'!Q436</f>
        <v/>
      </c>
    </row>
    <row r="437" spans="4:19">
      <c r="D437" t="str">
        <f>'Audit Report'!B437</f>
        <v>ITD-SHRXXX-XX436</v>
      </c>
      <c r="E437" t="str">
        <f>'Audit Report'!C437</f>
        <v/>
      </c>
      <c r="I437" t="str">
        <f>'Audit Report'!D437</f>
        <v/>
      </c>
      <c r="J437" t="str">
        <f>_xlfn.TEXTJOIN(" ",TRUE,'Audit Report'!G437,'Audit Report'!H437)</f>
        <v/>
      </c>
      <c r="L437" t="str">
        <f>_xlfn.TEXTJOIN(", ", TRUE, 'Audit Report'!K437,'Audit Report'!L437,'Audit Report'!M437)</f>
        <v/>
      </c>
      <c r="M437" t="str">
        <f>'Audit Report'!O437</f>
        <v/>
      </c>
      <c r="N437" t="str" cm="1">
        <f t="array" ref="N437">IF(M437="","",
_xlfn.TEXTJOIN(", ",TRUE,
    _xlfn.MAP(_xlfn.TEXTSPLIT(M437,","),_xlfn.LAMBDA(_xlpm.x,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7" t="str">
        <f>'Audit Report'!F437</f>
        <v/>
      </c>
      <c r="S437" t="str">
        <f>'Audit Report'!Q437</f>
        <v/>
      </c>
    </row>
    <row r="438" spans="4:19">
      <c r="D438" t="str">
        <f>'Audit Report'!B438</f>
        <v>ITD-SHRXXX-XX437</v>
      </c>
      <c r="E438" t="str">
        <f>'Audit Report'!C438</f>
        <v/>
      </c>
      <c r="I438" t="str">
        <f>'Audit Report'!D438</f>
        <v/>
      </c>
      <c r="J438" t="str">
        <f>_xlfn.TEXTJOIN(" ",TRUE,'Audit Report'!G438,'Audit Report'!H438)</f>
        <v/>
      </c>
      <c r="L438" t="str">
        <f>_xlfn.TEXTJOIN(", ", TRUE, 'Audit Report'!K438,'Audit Report'!L438,'Audit Report'!M438)</f>
        <v/>
      </c>
      <c r="M438" t="str">
        <f>'Audit Report'!O438</f>
        <v/>
      </c>
      <c r="N438" t="str" cm="1">
        <f t="array" ref="N438">IF(M438="","",
_xlfn.TEXTJOIN(", ",TRUE,
    _xlfn.MAP(_xlfn.TEXTSPLIT(M438,","),_xlfn.LAMBDA(_xlpm.x,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8" t="str">
        <f>'Audit Report'!F438</f>
        <v/>
      </c>
      <c r="S438" t="str">
        <f>'Audit Report'!Q438</f>
        <v/>
      </c>
    </row>
    <row r="439" spans="4:19">
      <c r="D439" t="str">
        <f>'Audit Report'!B439</f>
        <v>ITD-SHRXXX-XX438</v>
      </c>
      <c r="E439" t="str">
        <f>'Audit Report'!C439</f>
        <v/>
      </c>
      <c r="I439" t="str">
        <f>'Audit Report'!D439</f>
        <v/>
      </c>
      <c r="J439" t="str">
        <f>_xlfn.TEXTJOIN(" ",TRUE,'Audit Report'!G439,'Audit Report'!H439)</f>
        <v/>
      </c>
      <c r="L439" t="str">
        <f>_xlfn.TEXTJOIN(", ", TRUE, 'Audit Report'!K439,'Audit Report'!L439,'Audit Report'!M439)</f>
        <v/>
      </c>
      <c r="M439" t="str">
        <f>'Audit Report'!O439</f>
        <v/>
      </c>
      <c r="N439" t="str" cm="1">
        <f t="array" ref="N439">IF(M439="","",
_xlfn.TEXTJOIN(", ",TRUE,
    _xlfn.MAP(_xlfn.TEXTSPLIT(M439,","),_xlfn.LAMBDA(_xlpm.x,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9" t="str">
        <f>'Audit Report'!F439</f>
        <v/>
      </c>
      <c r="S439" t="str">
        <f>'Audit Report'!Q439</f>
        <v/>
      </c>
    </row>
    <row r="440" spans="4:19">
      <c r="D440" t="str">
        <f>'Audit Report'!B440</f>
        <v>ITD-SHRXXX-XX439</v>
      </c>
      <c r="E440" t="str">
        <f>'Audit Report'!C440</f>
        <v/>
      </c>
      <c r="I440" t="str">
        <f>'Audit Report'!D440</f>
        <v/>
      </c>
      <c r="J440" t="str">
        <f>_xlfn.TEXTJOIN(" ",TRUE,'Audit Report'!G440,'Audit Report'!H440)</f>
        <v/>
      </c>
      <c r="L440" t="str">
        <f>_xlfn.TEXTJOIN(", ", TRUE, 'Audit Report'!K440,'Audit Report'!L440,'Audit Report'!M440)</f>
        <v/>
      </c>
      <c r="M440" t="str">
        <f>'Audit Report'!O440</f>
        <v/>
      </c>
      <c r="N440" t="str" cm="1">
        <f t="array" ref="N440">IF(M440="","",
_xlfn.TEXTJOIN(", ",TRUE,
    _xlfn.MAP(_xlfn.TEXTSPLIT(M440,","),_xlfn.LAMBDA(_xlpm.x,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0" t="str">
        <f>'Audit Report'!F440</f>
        <v/>
      </c>
      <c r="S440" t="str">
        <f>'Audit Report'!Q440</f>
        <v/>
      </c>
    </row>
    <row r="441" spans="4:19">
      <c r="D441" t="str">
        <f>'Audit Report'!B441</f>
        <v>ITD-SHRXXX-XX440</v>
      </c>
      <c r="E441" t="str">
        <f>'Audit Report'!C441</f>
        <v/>
      </c>
      <c r="I441" t="str">
        <f>'Audit Report'!D441</f>
        <v/>
      </c>
      <c r="J441" t="str">
        <f>_xlfn.TEXTJOIN(" ",TRUE,'Audit Report'!G441,'Audit Report'!H441)</f>
        <v/>
      </c>
      <c r="L441" t="str">
        <f>_xlfn.TEXTJOIN(", ", TRUE, 'Audit Report'!K441,'Audit Report'!L441,'Audit Report'!M441)</f>
        <v/>
      </c>
      <c r="M441" t="str">
        <f>'Audit Report'!O441</f>
        <v/>
      </c>
      <c r="N441" t="str" cm="1">
        <f t="array" ref="N441">IF(M441="","",
_xlfn.TEXTJOIN(", ",TRUE,
    _xlfn.MAP(_xlfn.TEXTSPLIT(M441,","),_xlfn.LAMBDA(_xlpm.x,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1" t="str">
        <f>'Audit Report'!F441</f>
        <v/>
      </c>
      <c r="S441" t="str">
        <f>'Audit Report'!Q441</f>
        <v/>
      </c>
    </row>
    <row r="442" spans="4:19">
      <c r="D442" t="str">
        <f>'Audit Report'!B442</f>
        <v>ITD-SHRXXX-XX441</v>
      </c>
      <c r="E442" t="str">
        <f>'Audit Report'!C442</f>
        <v/>
      </c>
      <c r="I442" t="str">
        <f>'Audit Report'!D442</f>
        <v/>
      </c>
      <c r="J442" t="str">
        <f>_xlfn.TEXTJOIN(" ",TRUE,'Audit Report'!G442,'Audit Report'!H442)</f>
        <v/>
      </c>
      <c r="L442" t="str">
        <f>_xlfn.TEXTJOIN(", ", TRUE, 'Audit Report'!K442,'Audit Report'!L442,'Audit Report'!M442)</f>
        <v/>
      </c>
      <c r="M442" t="str">
        <f>'Audit Report'!O442</f>
        <v/>
      </c>
      <c r="N442" t="str" cm="1">
        <f t="array" ref="N442">IF(M442="","",
_xlfn.TEXTJOIN(", ",TRUE,
    _xlfn.MAP(_xlfn.TEXTSPLIT(M442,","),_xlfn.LAMBDA(_xlpm.x,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2" t="str">
        <f>'Audit Report'!F442</f>
        <v/>
      </c>
      <c r="S442" t="str">
        <f>'Audit Report'!Q442</f>
        <v/>
      </c>
    </row>
    <row r="443" spans="4:19">
      <c r="D443" t="str">
        <f>'Audit Report'!B443</f>
        <v>ITD-SHRXXX-XX442</v>
      </c>
      <c r="E443" t="str">
        <f>'Audit Report'!C443</f>
        <v/>
      </c>
      <c r="I443" t="str">
        <f>'Audit Report'!D443</f>
        <v/>
      </c>
      <c r="J443" t="str">
        <f>_xlfn.TEXTJOIN(" ",TRUE,'Audit Report'!G443,'Audit Report'!H443)</f>
        <v/>
      </c>
      <c r="L443" t="str">
        <f>_xlfn.TEXTJOIN(", ", TRUE, 'Audit Report'!K443,'Audit Report'!L443,'Audit Report'!M443)</f>
        <v/>
      </c>
      <c r="M443" t="str">
        <f>'Audit Report'!O443</f>
        <v/>
      </c>
      <c r="N443" t="str" cm="1">
        <f t="array" ref="N443">IF(M443="","",
_xlfn.TEXTJOIN(", ",TRUE,
    _xlfn.MAP(_xlfn.TEXTSPLIT(M443,","),_xlfn.LAMBDA(_xlpm.x,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3" t="str">
        <f>'Audit Report'!F443</f>
        <v/>
      </c>
      <c r="S443" t="str">
        <f>'Audit Report'!Q443</f>
        <v/>
      </c>
    </row>
    <row r="444" spans="4:19">
      <c r="D444" t="str">
        <f>'Audit Report'!B444</f>
        <v>ITD-SHRXXX-XX443</v>
      </c>
      <c r="E444" t="str">
        <f>'Audit Report'!C444</f>
        <v/>
      </c>
      <c r="I444" t="str">
        <f>'Audit Report'!D444</f>
        <v/>
      </c>
      <c r="J444" t="str">
        <f>_xlfn.TEXTJOIN(" ",TRUE,'Audit Report'!G444,'Audit Report'!H444)</f>
        <v/>
      </c>
      <c r="L444" t="str">
        <f>_xlfn.TEXTJOIN(", ", TRUE, 'Audit Report'!K444,'Audit Report'!L444,'Audit Report'!M444)</f>
        <v/>
      </c>
      <c r="M444" t="str">
        <f>'Audit Report'!O444</f>
        <v/>
      </c>
      <c r="N444" t="str" cm="1">
        <f t="array" ref="N444">IF(M444="","",
_xlfn.TEXTJOIN(", ",TRUE,
    _xlfn.MAP(_xlfn.TEXTSPLIT(M444,","),_xlfn.LAMBDA(_xlpm.x,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4" t="str">
        <f>'Audit Report'!F444</f>
        <v/>
      </c>
      <c r="S444" t="str">
        <f>'Audit Report'!Q444</f>
        <v/>
      </c>
    </row>
    <row r="445" spans="4:19">
      <c r="D445" t="str">
        <f>'Audit Report'!B445</f>
        <v>ITD-SHRXXX-XX444</v>
      </c>
      <c r="E445" t="str">
        <f>'Audit Report'!C445</f>
        <v/>
      </c>
      <c r="I445" t="str">
        <f>'Audit Report'!D445</f>
        <v/>
      </c>
      <c r="J445" t="str">
        <f>_xlfn.TEXTJOIN(" ",TRUE,'Audit Report'!G445,'Audit Report'!H445)</f>
        <v/>
      </c>
      <c r="L445" t="str">
        <f>_xlfn.TEXTJOIN(", ", TRUE, 'Audit Report'!K445,'Audit Report'!L445,'Audit Report'!M445)</f>
        <v/>
      </c>
      <c r="M445" t="str">
        <f>'Audit Report'!O445</f>
        <v/>
      </c>
      <c r="N445" t="str" cm="1">
        <f t="array" ref="N445">IF(M445="","",
_xlfn.TEXTJOIN(", ",TRUE,
    _xlfn.MAP(_xlfn.TEXTSPLIT(M445,","),_xlfn.LAMBDA(_xlpm.x,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5" t="str">
        <f>'Audit Report'!F445</f>
        <v/>
      </c>
      <c r="S445" t="str">
        <f>'Audit Report'!Q445</f>
        <v/>
      </c>
    </row>
    <row r="446" spans="4:19">
      <c r="D446" t="str">
        <f>'Audit Report'!B446</f>
        <v>ITD-SHRXXX-XX445</v>
      </c>
      <c r="E446" t="str">
        <f>'Audit Report'!C446</f>
        <v/>
      </c>
      <c r="I446" t="str">
        <f>'Audit Report'!D446</f>
        <v/>
      </c>
      <c r="J446" t="str">
        <f>_xlfn.TEXTJOIN(" ",TRUE,'Audit Report'!G446,'Audit Report'!H446)</f>
        <v/>
      </c>
      <c r="L446" t="str">
        <f>_xlfn.TEXTJOIN(", ", TRUE, 'Audit Report'!K446,'Audit Report'!L446,'Audit Report'!M446)</f>
        <v/>
      </c>
      <c r="M446" t="str">
        <f>'Audit Report'!O446</f>
        <v/>
      </c>
      <c r="N446" t="str" cm="1">
        <f t="array" ref="N446">IF(M446="","",
_xlfn.TEXTJOIN(", ",TRUE,
    _xlfn.MAP(_xlfn.TEXTSPLIT(M446,","),_xlfn.LAMBDA(_xlpm.x,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6" t="str">
        <f>'Audit Report'!F446</f>
        <v/>
      </c>
      <c r="S446" t="str">
        <f>'Audit Report'!Q446</f>
        <v/>
      </c>
    </row>
    <row r="447" spans="4:19">
      <c r="D447" t="str">
        <f>'Audit Report'!B447</f>
        <v>ITD-SHRXXX-XX446</v>
      </c>
      <c r="E447" t="str">
        <f>'Audit Report'!C447</f>
        <v/>
      </c>
      <c r="I447" t="str">
        <f>'Audit Report'!D447</f>
        <v/>
      </c>
      <c r="J447" t="str">
        <f>_xlfn.TEXTJOIN(" ",TRUE,'Audit Report'!G447,'Audit Report'!H447)</f>
        <v/>
      </c>
      <c r="L447" t="str">
        <f>_xlfn.TEXTJOIN(", ", TRUE, 'Audit Report'!K447,'Audit Report'!L447,'Audit Report'!M447)</f>
        <v/>
      </c>
      <c r="M447" t="str">
        <f>'Audit Report'!O447</f>
        <v/>
      </c>
      <c r="N447" t="str" cm="1">
        <f t="array" ref="N447">IF(M447="","",
_xlfn.TEXTJOIN(", ",TRUE,
    _xlfn.MAP(_xlfn.TEXTSPLIT(M447,","),_xlfn.LAMBDA(_xlpm.x,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7" t="str">
        <f>'Audit Report'!F447</f>
        <v/>
      </c>
      <c r="S447" t="str">
        <f>'Audit Report'!Q447</f>
        <v/>
      </c>
    </row>
    <row r="448" spans="4:19">
      <c r="D448" t="str">
        <f>'Audit Report'!B448</f>
        <v>ITD-SHRXXX-XX447</v>
      </c>
      <c r="E448" t="str">
        <f>'Audit Report'!C448</f>
        <v/>
      </c>
      <c r="I448" t="str">
        <f>'Audit Report'!D448</f>
        <v/>
      </c>
      <c r="J448" t="str">
        <f>_xlfn.TEXTJOIN(" ",TRUE,'Audit Report'!G448,'Audit Report'!H448)</f>
        <v/>
      </c>
      <c r="L448" t="str">
        <f>_xlfn.TEXTJOIN(", ", TRUE, 'Audit Report'!K448,'Audit Report'!L448,'Audit Report'!M448)</f>
        <v/>
      </c>
      <c r="M448" t="str">
        <f>'Audit Report'!O448</f>
        <v/>
      </c>
      <c r="N448" t="str" cm="1">
        <f t="array" ref="N448">IF(M448="","",
_xlfn.TEXTJOIN(", ",TRUE,
    _xlfn.MAP(_xlfn.TEXTSPLIT(M448,","),_xlfn.LAMBDA(_xlpm.x,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8" t="str">
        <f>'Audit Report'!F448</f>
        <v/>
      </c>
      <c r="S448" t="str">
        <f>'Audit Report'!Q448</f>
        <v/>
      </c>
    </row>
    <row r="449" spans="4:19">
      <c r="D449" t="str">
        <f>'Audit Report'!B449</f>
        <v>ITD-SHRXXX-XX448</v>
      </c>
      <c r="E449" t="str">
        <f>'Audit Report'!C449</f>
        <v/>
      </c>
      <c r="I449" t="str">
        <f>'Audit Report'!D449</f>
        <v/>
      </c>
      <c r="J449" t="str">
        <f>_xlfn.TEXTJOIN(" ",TRUE,'Audit Report'!G449,'Audit Report'!H449)</f>
        <v/>
      </c>
      <c r="L449" t="str">
        <f>_xlfn.TEXTJOIN(", ", TRUE, 'Audit Report'!K449,'Audit Report'!L449,'Audit Report'!M449)</f>
        <v/>
      </c>
      <c r="M449" t="str">
        <f>'Audit Report'!O449</f>
        <v/>
      </c>
      <c r="N449" t="str" cm="1">
        <f t="array" ref="N449">IF(M449="","",
_xlfn.TEXTJOIN(", ",TRUE,
    _xlfn.MAP(_xlfn.TEXTSPLIT(M449,","),_xlfn.LAMBDA(_xlpm.x,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9" t="str">
        <f>'Audit Report'!F449</f>
        <v/>
      </c>
      <c r="S449" t="str">
        <f>'Audit Report'!Q449</f>
        <v/>
      </c>
    </row>
    <row r="450" spans="4:19">
      <c r="D450" t="str">
        <f>'Audit Report'!B450</f>
        <v>ITD-SHRXXX-XX449</v>
      </c>
      <c r="E450" t="str">
        <f>'Audit Report'!C450</f>
        <v/>
      </c>
      <c r="I450" t="str">
        <f>'Audit Report'!D450</f>
        <v/>
      </c>
      <c r="J450" t="str">
        <f>_xlfn.TEXTJOIN(" ",TRUE,'Audit Report'!G450,'Audit Report'!H450)</f>
        <v/>
      </c>
      <c r="L450" t="str">
        <f>_xlfn.TEXTJOIN(", ", TRUE, 'Audit Report'!K450,'Audit Report'!L450,'Audit Report'!M450)</f>
        <v/>
      </c>
      <c r="M450" t="str">
        <f>'Audit Report'!O450</f>
        <v/>
      </c>
      <c r="N450" t="str" cm="1">
        <f t="array" ref="N450">IF(M450="","",
_xlfn.TEXTJOIN(", ",TRUE,
    _xlfn.MAP(_xlfn.TEXTSPLIT(M450,","),_xlfn.LAMBDA(_xlpm.x,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0" t="str">
        <f>'Audit Report'!F450</f>
        <v/>
      </c>
      <c r="S450" t="str">
        <f>'Audit Report'!Q450</f>
        <v/>
      </c>
    </row>
    <row r="451" spans="4:19">
      <c r="D451" t="str">
        <f>'Audit Report'!B451</f>
        <v>ITD-SHRXXX-XX450</v>
      </c>
      <c r="E451" t="str">
        <f>'Audit Report'!C451</f>
        <v/>
      </c>
      <c r="I451" t="str">
        <f>'Audit Report'!D451</f>
        <v/>
      </c>
      <c r="J451" t="str">
        <f>_xlfn.TEXTJOIN(" ",TRUE,'Audit Report'!G451,'Audit Report'!H451)</f>
        <v/>
      </c>
      <c r="L451" t="str">
        <f>_xlfn.TEXTJOIN(", ", TRUE, 'Audit Report'!K451,'Audit Report'!L451,'Audit Report'!M451)</f>
        <v/>
      </c>
      <c r="M451" t="str">
        <f>'Audit Report'!O451</f>
        <v/>
      </c>
      <c r="N451" t="str" cm="1">
        <f t="array" ref="N451">IF(M451="","",
_xlfn.TEXTJOIN(", ",TRUE,
    _xlfn.MAP(_xlfn.TEXTSPLIT(M451,","),_xlfn.LAMBDA(_xlpm.x,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1" t="str">
        <f>'Audit Report'!F451</f>
        <v/>
      </c>
      <c r="S451" t="str">
        <f>'Audit Report'!Q451</f>
        <v/>
      </c>
    </row>
    <row r="452" spans="4:19">
      <c r="D452" t="str">
        <f>'Audit Report'!B452</f>
        <v>ITD-SHRXXX-XX451</v>
      </c>
      <c r="E452" t="str">
        <f>'Audit Report'!C452</f>
        <v/>
      </c>
      <c r="I452" t="str">
        <f>'Audit Report'!D452</f>
        <v/>
      </c>
      <c r="J452" t="str">
        <f>_xlfn.TEXTJOIN(" ",TRUE,'Audit Report'!G452,'Audit Report'!H452)</f>
        <v/>
      </c>
      <c r="L452" t="str">
        <f>_xlfn.TEXTJOIN(", ", TRUE, 'Audit Report'!K452,'Audit Report'!L452,'Audit Report'!M452)</f>
        <v/>
      </c>
      <c r="M452" t="str">
        <f>'Audit Report'!O452</f>
        <v/>
      </c>
      <c r="N452" t="str" cm="1">
        <f t="array" ref="N452">IF(M452="","",
_xlfn.TEXTJOIN(", ",TRUE,
    _xlfn.MAP(_xlfn.TEXTSPLIT(M452,","),_xlfn.LAMBDA(_xlpm.x,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2" t="str">
        <f>'Audit Report'!F452</f>
        <v/>
      </c>
      <c r="S452" t="str">
        <f>'Audit Report'!Q452</f>
        <v/>
      </c>
    </row>
    <row r="453" spans="4:19">
      <c r="D453" t="str">
        <f>'Audit Report'!B453</f>
        <v>ITD-SHRXXX-XX452</v>
      </c>
      <c r="E453" t="str">
        <f>'Audit Report'!C453</f>
        <v/>
      </c>
      <c r="I453" t="str">
        <f>'Audit Report'!D453</f>
        <v/>
      </c>
      <c r="J453" t="str">
        <f>_xlfn.TEXTJOIN(" ",TRUE,'Audit Report'!G453,'Audit Report'!H453)</f>
        <v/>
      </c>
      <c r="L453" t="str">
        <f>_xlfn.TEXTJOIN(", ", TRUE, 'Audit Report'!K453,'Audit Report'!L453,'Audit Report'!M453)</f>
        <v/>
      </c>
      <c r="M453" t="str">
        <f>'Audit Report'!O453</f>
        <v/>
      </c>
      <c r="N453" t="str" cm="1">
        <f t="array" ref="N453">IF(M453="","",
_xlfn.TEXTJOIN(", ",TRUE,
    _xlfn.MAP(_xlfn.TEXTSPLIT(M453,","),_xlfn.LAMBDA(_xlpm.x,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3" t="str">
        <f>'Audit Report'!F453</f>
        <v/>
      </c>
      <c r="S453" t="str">
        <f>'Audit Report'!Q453</f>
        <v/>
      </c>
    </row>
    <row r="454" spans="4:19">
      <c r="D454" t="str">
        <f>'Audit Report'!B454</f>
        <v>ITD-SHRXXX-XX453</v>
      </c>
      <c r="E454" t="str">
        <f>'Audit Report'!C454</f>
        <v/>
      </c>
      <c r="I454" t="str">
        <f>'Audit Report'!D454</f>
        <v/>
      </c>
      <c r="J454" t="str">
        <f>_xlfn.TEXTJOIN(" ",TRUE,'Audit Report'!G454,'Audit Report'!H454)</f>
        <v/>
      </c>
      <c r="L454" t="str">
        <f>_xlfn.TEXTJOIN(", ", TRUE, 'Audit Report'!K454,'Audit Report'!L454,'Audit Report'!M454)</f>
        <v/>
      </c>
      <c r="M454" t="str">
        <f>'Audit Report'!O454</f>
        <v/>
      </c>
      <c r="N454" t="str" cm="1">
        <f t="array" ref="N454">IF(M454="","",
_xlfn.TEXTJOIN(", ",TRUE,
    _xlfn.MAP(_xlfn.TEXTSPLIT(M454,","),_xlfn.LAMBDA(_xlpm.x,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4" t="str">
        <f>'Audit Report'!F454</f>
        <v/>
      </c>
      <c r="S454" t="str">
        <f>'Audit Report'!Q454</f>
        <v/>
      </c>
    </row>
    <row r="455" spans="4:19">
      <c r="D455" t="str">
        <f>'Audit Report'!B455</f>
        <v>ITD-SHRXXX-XX454</v>
      </c>
      <c r="E455" t="str">
        <f>'Audit Report'!C455</f>
        <v/>
      </c>
      <c r="I455" t="str">
        <f>'Audit Report'!D455</f>
        <v/>
      </c>
      <c r="J455" t="str">
        <f>_xlfn.TEXTJOIN(" ",TRUE,'Audit Report'!G455,'Audit Report'!H455)</f>
        <v/>
      </c>
      <c r="L455" t="str">
        <f>_xlfn.TEXTJOIN(", ", TRUE, 'Audit Report'!K455,'Audit Report'!L455,'Audit Report'!M455)</f>
        <v/>
      </c>
      <c r="M455" t="str">
        <f>'Audit Report'!O455</f>
        <v/>
      </c>
      <c r="N455" t="str" cm="1">
        <f t="array" ref="N455">IF(M455="","",
_xlfn.TEXTJOIN(", ",TRUE,
    _xlfn.MAP(_xlfn.TEXTSPLIT(M455,","),_xlfn.LAMBDA(_xlpm.x,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5" t="str">
        <f>'Audit Report'!F455</f>
        <v/>
      </c>
      <c r="S455" t="str">
        <f>'Audit Report'!Q455</f>
        <v/>
      </c>
    </row>
    <row r="456" spans="4:19">
      <c r="D456" t="str">
        <f>'Audit Report'!B456</f>
        <v>ITD-SHRXXX-XX455</v>
      </c>
      <c r="E456" t="str">
        <f>'Audit Report'!C456</f>
        <v/>
      </c>
      <c r="I456" t="str">
        <f>'Audit Report'!D456</f>
        <v/>
      </c>
      <c r="J456" t="str">
        <f>_xlfn.TEXTJOIN(" ",TRUE,'Audit Report'!G456,'Audit Report'!H456)</f>
        <v/>
      </c>
      <c r="L456" t="str">
        <f>_xlfn.TEXTJOIN(", ", TRUE, 'Audit Report'!K456,'Audit Report'!L456,'Audit Report'!M456)</f>
        <v/>
      </c>
      <c r="M456" t="str">
        <f>'Audit Report'!O456</f>
        <v/>
      </c>
      <c r="N456" t="str" cm="1">
        <f t="array" ref="N456">IF(M456="","",
_xlfn.TEXTJOIN(", ",TRUE,
    _xlfn.MAP(_xlfn.TEXTSPLIT(M456,","),_xlfn.LAMBDA(_xlpm.x,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6" t="str">
        <f>'Audit Report'!F456</f>
        <v/>
      </c>
      <c r="S456" t="str">
        <f>'Audit Report'!Q456</f>
        <v/>
      </c>
    </row>
    <row r="457" spans="4:19">
      <c r="D457" t="str">
        <f>'Audit Report'!B457</f>
        <v>ITD-SHRXXX-XX456</v>
      </c>
      <c r="E457" t="str">
        <f>'Audit Report'!C457</f>
        <v/>
      </c>
      <c r="I457" t="str">
        <f>'Audit Report'!D457</f>
        <v/>
      </c>
      <c r="J457" t="str">
        <f>_xlfn.TEXTJOIN(" ",TRUE,'Audit Report'!G457,'Audit Report'!H457)</f>
        <v/>
      </c>
      <c r="L457" t="str">
        <f>_xlfn.TEXTJOIN(", ", TRUE, 'Audit Report'!K457,'Audit Report'!L457,'Audit Report'!M457)</f>
        <v/>
      </c>
      <c r="M457" t="str">
        <f>'Audit Report'!O457</f>
        <v/>
      </c>
      <c r="N457" t="str" cm="1">
        <f t="array" ref="N457">IF(M457="","",
_xlfn.TEXTJOIN(", ",TRUE,
    _xlfn.MAP(_xlfn.TEXTSPLIT(M457,","),_xlfn.LAMBDA(_xlpm.x,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7" t="str">
        <f>'Audit Report'!F457</f>
        <v/>
      </c>
      <c r="S457" t="str">
        <f>'Audit Report'!Q457</f>
        <v/>
      </c>
    </row>
    <row r="458" spans="4:19">
      <c r="D458" t="str">
        <f>'Audit Report'!B458</f>
        <v>ITD-SHRXXX-XX457</v>
      </c>
      <c r="E458" t="str">
        <f>'Audit Report'!C458</f>
        <v/>
      </c>
      <c r="I458" t="str">
        <f>'Audit Report'!D458</f>
        <v/>
      </c>
      <c r="J458" t="str">
        <f>_xlfn.TEXTJOIN(" ",TRUE,'Audit Report'!G458,'Audit Report'!H458)</f>
        <v/>
      </c>
      <c r="L458" t="str">
        <f>_xlfn.TEXTJOIN(", ", TRUE, 'Audit Report'!K458,'Audit Report'!L458,'Audit Report'!M458)</f>
        <v/>
      </c>
      <c r="M458" t="str">
        <f>'Audit Report'!O458</f>
        <v/>
      </c>
      <c r="N458" t="str" cm="1">
        <f t="array" ref="N458">IF(M458="","",
_xlfn.TEXTJOIN(", ",TRUE,
    _xlfn.MAP(_xlfn.TEXTSPLIT(M458,","),_xlfn.LAMBDA(_xlpm.x,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8" t="str">
        <f>'Audit Report'!F458</f>
        <v/>
      </c>
      <c r="S458" t="str">
        <f>'Audit Report'!Q458</f>
        <v/>
      </c>
    </row>
    <row r="459" spans="4:19">
      <c r="D459" t="str">
        <f>'Audit Report'!B459</f>
        <v>ITD-SHRXXX-XX458</v>
      </c>
      <c r="E459" t="str">
        <f>'Audit Report'!C459</f>
        <v/>
      </c>
      <c r="I459" t="str">
        <f>'Audit Report'!D459</f>
        <v/>
      </c>
      <c r="J459" t="str">
        <f>_xlfn.TEXTJOIN(" ",TRUE,'Audit Report'!G459,'Audit Report'!H459)</f>
        <v/>
      </c>
      <c r="L459" t="str">
        <f>_xlfn.TEXTJOIN(", ", TRUE, 'Audit Report'!K459,'Audit Report'!L459,'Audit Report'!M459)</f>
        <v/>
      </c>
      <c r="M459" t="str">
        <f>'Audit Report'!O459</f>
        <v/>
      </c>
      <c r="N459" t="str" cm="1">
        <f t="array" ref="N459">IF(M459="","",
_xlfn.TEXTJOIN(", ",TRUE,
    _xlfn.MAP(_xlfn.TEXTSPLIT(M459,","),_xlfn.LAMBDA(_xlpm.x,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9" t="str">
        <f>'Audit Report'!F459</f>
        <v/>
      </c>
      <c r="S459" t="str">
        <f>'Audit Report'!Q459</f>
        <v/>
      </c>
    </row>
    <row r="460" spans="4:19">
      <c r="D460" t="str">
        <f>'Audit Report'!B460</f>
        <v>ITD-SHRXXX-XX459</v>
      </c>
      <c r="E460" t="str">
        <f>'Audit Report'!C460</f>
        <v/>
      </c>
      <c r="I460" t="str">
        <f>'Audit Report'!D460</f>
        <v/>
      </c>
      <c r="J460" t="str">
        <f>_xlfn.TEXTJOIN(" ",TRUE,'Audit Report'!G460,'Audit Report'!H460)</f>
        <v/>
      </c>
      <c r="L460" t="str">
        <f>_xlfn.TEXTJOIN(", ", TRUE, 'Audit Report'!K460,'Audit Report'!L460,'Audit Report'!M460)</f>
        <v/>
      </c>
      <c r="M460" t="str">
        <f>'Audit Report'!O460</f>
        <v/>
      </c>
      <c r="N460" t="str" cm="1">
        <f t="array" ref="N460">IF(M460="","",
_xlfn.TEXTJOIN(", ",TRUE,
    _xlfn.MAP(_xlfn.TEXTSPLIT(M460,","),_xlfn.LAMBDA(_xlpm.x,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0" t="str">
        <f>'Audit Report'!F460</f>
        <v/>
      </c>
      <c r="S460" t="str">
        <f>'Audit Report'!Q460</f>
        <v/>
      </c>
    </row>
    <row r="461" spans="4:19">
      <c r="D461" t="str">
        <f>'Audit Report'!B461</f>
        <v>ITD-SHRXXX-XX460</v>
      </c>
      <c r="E461" t="str">
        <f>'Audit Report'!C461</f>
        <v/>
      </c>
      <c r="I461" t="str">
        <f>'Audit Report'!D461</f>
        <v/>
      </c>
      <c r="J461" t="str">
        <f>_xlfn.TEXTJOIN(" ",TRUE,'Audit Report'!G461,'Audit Report'!H461)</f>
        <v/>
      </c>
      <c r="L461" t="str">
        <f>_xlfn.TEXTJOIN(", ", TRUE, 'Audit Report'!K461,'Audit Report'!L461,'Audit Report'!M461)</f>
        <v/>
      </c>
      <c r="M461" t="str">
        <f>'Audit Report'!O461</f>
        <v/>
      </c>
      <c r="N461" t="str" cm="1">
        <f t="array" ref="N461">IF(M461="","",
_xlfn.TEXTJOIN(", ",TRUE,
    _xlfn.MAP(_xlfn.TEXTSPLIT(M461,","),_xlfn.LAMBDA(_xlpm.x,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1" t="str">
        <f>'Audit Report'!F461</f>
        <v/>
      </c>
      <c r="S461" t="str">
        <f>'Audit Report'!Q461</f>
        <v/>
      </c>
    </row>
    <row r="462" spans="4:19">
      <c r="D462" t="str">
        <f>'Audit Report'!B462</f>
        <v>ITD-SHRXXX-XX461</v>
      </c>
      <c r="E462" t="str">
        <f>'Audit Report'!C462</f>
        <v/>
      </c>
      <c r="I462" t="str">
        <f>'Audit Report'!D462</f>
        <v/>
      </c>
      <c r="J462" t="str">
        <f>_xlfn.TEXTJOIN(" ",TRUE,'Audit Report'!G462,'Audit Report'!H462)</f>
        <v/>
      </c>
      <c r="L462" t="str">
        <f>_xlfn.TEXTJOIN(", ", TRUE, 'Audit Report'!K462,'Audit Report'!L462,'Audit Report'!M462)</f>
        <v/>
      </c>
      <c r="M462" t="str">
        <f>'Audit Report'!O462</f>
        <v/>
      </c>
      <c r="N462" t="str" cm="1">
        <f t="array" ref="N462">IF(M462="","",
_xlfn.TEXTJOIN(", ",TRUE,
    _xlfn.MAP(_xlfn.TEXTSPLIT(M462,","),_xlfn.LAMBDA(_xlpm.x,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2" t="str">
        <f>'Audit Report'!F462</f>
        <v/>
      </c>
      <c r="S462" t="str">
        <f>'Audit Report'!Q462</f>
        <v/>
      </c>
    </row>
    <row r="463" spans="4:19">
      <c r="D463" t="str">
        <f>'Audit Report'!B463</f>
        <v>ITD-SHRXXX-XX462</v>
      </c>
      <c r="E463" t="str">
        <f>'Audit Report'!C463</f>
        <v/>
      </c>
      <c r="I463" t="str">
        <f>'Audit Report'!D463</f>
        <v/>
      </c>
      <c r="J463" t="str">
        <f>_xlfn.TEXTJOIN(" ",TRUE,'Audit Report'!G463,'Audit Report'!H463)</f>
        <v/>
      </c>
      <c r="L463" t="str">
        <f>_xlfn.TEXTJOIN(", ", TRUE, 'Audit Report'!K463,'Audit Report'!L463,'Audit Report'!M463)</f>
        <v/>
      </c>
      <c r="M463" t="str">
        <f>'Audit Report'!O463</f>
        <v/>
      </c>
      <c r="N463" t="str" cm="1">
        <f t="array" ref="N463">IF(M463="","",
_xlfn.TEXTJOIN(", ",TRUE,
    _xlfn.MAP(_xlfn.TEXTSPLIT(M463,","),_xlfn.LAMBDA(_xlpm.x,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3" t="str">
        <f>'Audit Report'!F463</f>
        <v/>
      </c>
      <c r="S463" t="str">
        <f>'Audit Report'!Q463</f>
        <v/>
      </c>
    </row>
    <row r="464" spans="4:19">
      <c r="D464" t="str">
        <f>'Audit Report'!B464</f>
        <v>ITD-SHRXXX-XX463</v>
      </c>
      <c r="E464" t="str">
        <f>'Audit Report'!C464</f>
        <v/>
      </c>
      <c r="I464" t="str">
        <f>'Audit Report'!D464</f>
        <v/>
      </c>
      <c r="J464" t="str">
        <f>_xlfn.TEXTJOIN(" ",TRUE,'Audit Report'!G464,'Audit Report'!H464)</f>
        <v/>
      </c>
      <c r="L464" t="str">
        <f>_xlfn.TEXTJOIN(", ", TRUE, 'Audit Report'!K464,'Audit Report'!L464,'Audit Report'!M464)</f>
        <v/>
      </c>
      <c r="M464" t="str">
        <f>'Audit Report'!O464</f>
        <v/>
      </c>
      <c r="N464" t="str" cm="1">
        <f t="array" ref="N464">IF(M464="","",
_xlfn.TEXTJOIN(", ",TRUE,
    _xlfn.MAP(_xlfn.TEXTSPLIT(M464,","),_xlfn.LAMBDA(_xlpm.x,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4" t="str">
        <f>'Audit Report'!F464</f>
        <v/>
      </c>
      <c r="S464" t="str">
        <f>'Audit Report'!Q464</f>
        <v/>
      </c>
    </row>
    <row r="465" spans="4:19">
      <c r="D465" t="str">
        <f>'Audit Report'!B465</f>
        <v>ITD-SHRXXX-XX464</v>
      </c>
      <c r="E465" t="str">
        <f>'Audit Report'!C465</f>
        <v/>
      </c>
      <c r="I465" t="str">
        <f>'Audit Report'!D465</f>
        <v/>
      </c>
      <c r="J465" t="str">
        <f>_xlfn.TEXTJOIN(" ",TRUE,'Audit Report'!G465,'Audit Report'!H465)</f>
        <v/>
      </c>
      <c r="L465" t="str">
        <f>_xlfn.TEXTJOIN(", ", TRUE, 'Audit Report'!K465,'Audit Report'!L465,'Audit Report'!M465)</f>
        <v/>
      </c>
      <c r="M465" t="str">
        <f>'Audit Report'!O465</f>
        <v/>
      </c>
      <c r="N465" t="str" cm="1">
        <f t="array" ref="N465">IF(M465="","",
_xlfn.TEXTJOIN(", ",TRUE,
    _xlfn.MAP(_xlfn.TEXTSPLIT(M465,","),_xlfn.LAMBDA(_xlpm.x,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5" t="str">
        <f>'Audit Report'!F465</f>
        <v/>
      </c>
      <c r="S465" t="str">
        <f>'Audit Report'!Q465</f>
        <v/>
      </c>
    </row>
    <row r="466" spans="4:19">
      <c r="D466" t="str">
        <f>'Audit Report'!B466</f>
        <v>ITD-SHRXXX-XX465</v>
      </c>
      <c r="E466" t="str">
        <f>'Audit Report'!C466</f>
        <v/>
      </c>
      <c r="I466" t="str">
        <f>'Audit Report'!D466</f>
        <v/>
      </c>
      <c r="J466" t="str">
        <f>_xlfn.TEXTJOIN(" ",TRUE,'Audit Report'!G466,'Audit Report'!H466)</f>
        <v/>
      </c>
      <c r="L466" t="str">
        <f>_xlfn.TEXTJOIN(", ", TRUE, 'Audit Report'!K466,'Audit Report'!L466,'Audit Report'!M466)</f>
        <v/>
      </c>
      <c r="M466" t="str">
        <f>'Audit Report'!O466</f>
        <v/>
      </c>
      <c r="N466" t="str" cm="1">
        <f t="array" ref="N466">IF(M466="","",
_xlfn.TEXTJOIN(", ",TRUE,
    _xlfn.MAP(_xlfn.TEXTSPLIT(M466,","),_xlfn.LAMBDA(_xlpm.x,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6" t="str">
        <f>'Audit Report'!F466</f>
        <v/>
      </c>
      <c r="S466" t="str">
        <f>'Audit Report'!Q466</f>
        <v/>
      </c>
    </row>
    <row r="467" spans="4:19">
      <c r="D467" t="str">
        <f>'Audit Report'!B467</f>
        <v>ITD-SHRXXX-XX466</v>
      </c>
      <c r="E467" t="str">
        <f>'Audit Report'!C467</f>
        <v/>
      </c>
      <c r="I467" t="str">
        <f>'Audit Report'!D467</f>
        <v/>
      </c>
      <c r="J467" t="str">
        <f>_xlfn.TEXTJOIN(" ",TRUE,'Audit Report'!G467,'Audit Report'!H467)</f>
        <v/>
      </c>
      <c r="L467" t="str">
        <f>_xlfn.TEXTJOIN(", ", TRUE, 'Audit Report'!K467,'Audit Report'!L467,'Audit Report'!M467)</f>
        <v/>
      </c>
      <c r="M467" t="str">
        <f>'Audit Report'!O467</f>
        <v/>
      </c>
      <c r="N467" t="str" cm="1">
        <f t="array" ref="N467">IF(M467="","",
_xlfn.TEXTJOIN(", ",TRUE,
    _xlfn.MAP(_xlfn.TEXTSPLIT(M467,","),_xlfn.LAMBDA(_xlpm.x,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7" t="str">
        <f>'Audit Report'!F467</f>
        <v/>
      </c>
      <c r="S467" t="str">
        <f>'Audit Report'!Q467</f>
        <v/>
      </c>
    </row>
    <row r="468" spans="4:19">
      <c r="D468" t="str">
        <f>'Audit Report'!B468</f>
        <v>ITD-SHRXXX-XX467</v>
      </c>
      <c r="E468" t="str">
        <f>'Audit Report'!C468</f>
        <v/>
      </c>
      <c r="I468" t="str">
        <f>'Audit Report'!D468</f>
        <v/>
      </c>
      <c r="J468" t="str">
        <f>_xlfn.TEXTJOIN(" ",TRUE,'Audit Report'!G468,'Audit Report'!H468)</f>
        <v/>
      </c>
      <c r="L468" t="str">
        <f>_xlfn.TEXTJOIN(", ", TRUE, 'Audit Report'!K468,'Audit Report'!L468,'Audit Report'!M468)</f>
        <v/>
      </c>
      <c r="M468" t="str">
        <f>'Audit Report'!O468</f>
        <v/>
      </c>
      <c r="N468" t="str" cm="1">
        <f t="array" ref="N468">IF(M468="","",
_xlfn.TEXTJOIN(", ",TRUE,
    _xlfn.MAP(_xlfn.TEXTSPLIT(M468,","),_xlfn.LAMBDA(_xlpm.x,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8" t="str">
        <f>'Audit Report'!F468</f>
        <v/>
      </c>
      <c r="S468" t="str">
        <f>'Audit Report'!Q468</f>
        <v/>
      </c>
    </row>
    <row r="469" spans="4:19">
      <c r="D469" t="str">
        <f>'Audit Report'!B469</f>
        <v>ITD-SHRXXX-XX468</v>
      </c>
      <c r="E469" t="str">
        <f>'Audit Report'!C469</f>
        <v/>
      </c>
      <c r="I469" t="str">
        <f>'Audit Report'!D469</f>
        <v/>
      </c>
      <c r="J469" t="str">
        <f>_xlfn.TEXTJOIN(" ",TRUE,'Audit Report'!G469,'Audit Report'!H469)</f>
        <v/>
      </c>
      <c r="L469" t="str">
        <f>_xlfn.TEXTJOIN(", ", TRUE, 'Audit Report'!K469,'Audit Report'!L469,'Audit Report'!M469)</f>
        <v/>
      </c>
      <c r="M469" t="str">
        <f>'Audit Report'!O469</f>
        <v/>
      </c>
      <c r="N469" t="str" cm="1">
        <f t="array" ref="N469">IF(M469="","",
_xlfn.TEXTJOIN(", ",TRUE,
    _xlfn.MAP(_xlfn.TEXTSPLIT(M469,","),_xlfn.LAMBDA(_xlpm.x,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9" t="str">
        <f>'Audit Report'!F469</f>
        <v/>
      </c>
      <c r="S469" t="str">
        <f>'Audit Report'!Q469</f>
        <v/>
      </c>
    </row>
    <row r="470" spans="4:19">
      <c r="D470" t="str">
        <f>'Audit Report'!B470</f>
        <v>ITD-SHRXXX-XX469</v>
      </c>
      <c r="E470" t="str">
        <f>'Audit Report'!C470</f>
        <v/>
      </c>
      <c r="I470" t="str">
        <f>'Audit Report'!D470</f>
        <v/>
      </c>
      <c r="J470" t="str">
        <f>_xlfn.TEXTJOIN(" ",TRUE,'Audit Report'!G470,'Audit Report'!H470)</f>
        <v/>
      </c>
      <c r="L470" t="str">
        <f>_xlfn.TEXTJOIN(", ", TRUE, 'Audit Report'!K470,'Audit Report'!L470,'Audit Report'!M470)</f>
        <v/>
      </c>
      <c r="M470" t="str">
        <f>'Audit Report'!O470</f>
        <v/>
      </c>
      <c r="N470" t="str" cm="1">
        <f t="array" ref="N470">IF(M470="","",
_xlfn.TEXTJOIN(", ",TRUE,
    _xlfn.MAP(_xlfn.TEXTSPLIT(M470,","),_xlfn.LAMBDA(_xlpm.x,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0" t="str">
        <f>'Audit Report'!F470</f>
        <v/>
      </c>
      <c r="S470" t="str">
        <f>'Audit Report'!Q470</f>
        <v/>
      </c>
    </row>
    <row r="471" spans="4:19">
      <c r="D471" t="str">
        <f>'Audit Report'!B471</f>
        <v>ITD-SHRXXX-XX470</v>
      </c>
      <c r="E471" t="str">
        <f>'Audit Report'!C471</f>
        <v/>
      </c>
      <c r="I471" t="str">
        <f>'Audit Report'!D471</f>
        <v/>
      </c>
      <c r="J471" t="str">
        <f>_xlfn.TEXTJOIN(" ",TRUE,'Audit Report'!G471,'Audit Report'!H471)</f>
        <v/>
      </c>
      <c r="L471" t="str">
        <f>_xlfn.TEXTJOIN(", ", TRUE, 'Audit Report'!K471,'Audit Report'!L471,'Audit Report'!M471)</f>
        <v/>
      </c>
      <c r="M471" t="str">
        <f>'Audit Report'!O471</f>
        <v/>
      </c>
      <c r="N471" t="str" cm="1">
        <f t="array" ref="N471">IF(M471="","",
_xlfn.TEXTJOIN(", ",TRUE,
    _xlfn.MAP(_xlfn.TEXTSPLIT(M471,","),_xlfn.LAMBDA(_xlpm.x,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1" t="str">
        <f>'Audit Report'!F471</f>
        <v/>
      </c>
      <c r="S471" t="str">
        <f>'Audit Report'!Q471</f>
        <v/>
      </c>
    </row>
    <row r="472" spans="4:19">
      <c r="D472" t="str">
        <f>'Audit Report'!B472</f>
        <v>ITD-SHRXXX-XX471</v>
      </c>
      <c r="E472" t="str">
        <f>'Audit Report'!C472</f>
        <v/>
      </c>
      <c r="I472" t="str">
        <f>'Audit Report'!D472</f>
        <v/>
      </c>
      <c r="J472" t="str">
        <f>_xlfn.TEXTJOIN(" ",TRUE,'Audit Report'!G472,'Audit Report'!H472)</f>
        <v/>
      </c>
      <c r="L472" t="str">
        <f>_xlfn.TEXTJOIN(", ", TRUE, 'Audit Report'!K472,'Audit Report'!L472,'Audit Report'!M472)</f>
        <v/>
      </c>
      <c r="M472" t="str">
        <f>'Audit Report'!O472</f>
        <v/>
      </c>
      <c r="N472" t="str" cm="1">
        <f t="array" ref="N472">IF(M472="","",
_xlfn.TEXTJOIN(", ",TRUE,
    _xlfn.MAP(_xlfn.TEXTSPLIT(M472,","),_xlfn.LAMBDA(_xlpm.x,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2" t="str">
        <f>'Audit Report'!F472</f>
        <v/>
      </c>
      <c r="S472" t="str">
        <f>'Audit Report'!Q472</f>
        <v/>
      </c>
    </row>
    <row r="473" spans="4:19">
      <c r="D473" t="str">
        <f>'Audit Report'!B473</f>
        <v>ITD-SHRXXX-XX472</v>
      </c>
      <c r="E473" t="str">
        <f>'Audit Report'!C473</f>
        <v/>
      </c>
      <c r="I473" t="str">
        <f>'Audit Report'!D473</f>
        <v/>
      </c>
      <c r="J473" t="str">
        <f>_xlfn.TEXTJOIN(" ",TRUE,'Audit Report'!G473,'Audit Report'!H473)</f>
        <v/>
      </c>
      <c r="L473" t="str">
        <f>_xlfn.TEXTJOIN(", ", TRUE, 'Audit Report'!K473,'Audit Report'!L473,'Audit Report'!M473)</f>
        <v/>
      </c>
      <c r="M473" t="str">
        <f>'Audit Report'!O473</f>
        <v/>
      </c>
      <c r="N473" t="str" cm="1">
        <f t="array" ref="N473">IF(M473="","",
_xlfn.TEXTJOIN(", ",TRUE,
    _xlfn.MAP(_xlfn.TEXTSPLIT(M473,","),_xlfn.LAMBDA(_xlpm.x,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3" t="str">
        <f>'Audit Report'!F473</f>
        <v/>
      </c>
      <c r="S473" t="str">
        <f>'Audit Report'!Q473</f>
        <v/>
      </c>
    </row>
    <row r="474" spans="4:19">
      <c r="D474" t="str">
        <f>'Audit Report'!B474</f>
        <v>ITD-SHRXXX-XX473</v>
      </c>
      <c r="E474" t="str">
        <f>'Audit Report'!C474</f>
        <v/>
      </c>
      <c r="I474" t="str">
        <f>'Audit Report'!D474</f>
        <v/>
      </c>
      <c r="J474" t="str">
        <f>_xlfn.TEXTJOIN(" ",TRUE,'Audit Report'!G474,'Audit Report'!H474)</f>
        <v/>
      </c>
      <c r="L474" t="str">
        <f>_xlfn.TEXTJOIN(", ", TRUE, 'Audit Report'!K474,'Audit Report'!L474,'Audit Report'!M474)</f>
        <v/>
      </c>
      <c r="M474" t="str">
        <f>'Audit Report'!O474</f>
        <v/>
      </c>
      <c r="N474" t="str" cm="1">
        <f t="array" ref="N474">IF(M474="","",
_xlfn.TEXTJOIN(", ",TRUE,
    _xlfn.MAP(_xlfn.TEXTSPLIT(M474,","),_xlfn.LAMBDA(_xlpm.x,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4" t="str">
        <f>'Audit Report'!F474</f>
        <v/>
      </c>
      <c r="S474" t="str">
        <f>'Audit Report'!Q474</f>
        <v/>
      </c>
    </row>
    <row r="475" spans="4:19">
      <c r="D475" t="str">
        <f>'Audit Report'!B475</f>
        <v>ITD-SHRXXX-XX474</v>
      </c>
      <c r="E475" t="str">
        <f>'Audit Report'!C475</f>
        <v/>
      </c>
      <c r="I475" t="str">
        <f>'Audit Report'!D475</f>
        <v/>
      </c>
      <c r="J475" t="str">
        <f>_xlfn.TEXTJOIN(" ",TRUE,'Audit Report'!G475,'Audit Report'!H475)</f>
        <v/>
      </c>
      <c r="L475" t="str">
        <f>_xlfn.TEXTJOIN(", ", TRUE, 'Audit Report'!K475,'Audit Report'!L475,'Audit Report'!M475)</f>
        <v/>
      </c>
      <c r="M475" t="str">
        <f>'Audit Report'!O475</f>
        <v/>
      </c>
      <c r="N475" t="str" cm="1">
        <f t="array" ref="N475">IF(M475="","",
_xlfn.TEXTJOIN(", ",TRUE,
    _xlfn.MAP(_xlfn.TEXTSPLIT(M475,","),_xlfn.LAMBDA(_xlpm.x,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5" t="str">
        <f>'Audit Report'!F475</f>
        <v/>
      </c>
      <c r="S475" t="str">
        <f>'Audit Report'!Q475</f>
        <v/>
      </c>
    </row>
    <row r="476" spans="4:19">
      <c r="D476" t="str">
        <f>'Audit Report'!B476</f>
        <v>ITD-SHRXXX-XX475</v>
      </c>
      <c r="E476" t="str">
        <f>'Audit Report'!C476</f>
        <v/>
      </c>
      <c r="I476" t="str">
        <f>'Audit Report'!D476</f>
        <v/>
      </c>
      <c r="J476" t="str">
        <f>_xlfn.TEXTJOIN(" ",TRUE,'Audit Report'!G476,'Audit Report'!H476)</f>
        <v/>
      </c>
      <c r="L476" t="str">
        <f>_xlfn.TEXTJOIN(", ", TRUE, 'Audit Report'!K476,'Audit Report'!L476,'Audit Report'!M476)</f>
        <v/>
      </c>
      <c r="M476" t="str">
        <f>'Audit Report'!O476</f>
        <v/>
      </c>
      <c r="N476" t="str" cm="1">
        <f t="array" ref="N476">IF(M476="","",
_xlfn.TEXTJOIN(", ",TRUE,
    _xlfn.MAP(_xlfn.TEXTSPLIT(M476,","),_xlfn.LAMBDA(_xlpm.x,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6" t="str">
        <f>'Audit Report'!F476</f>
        <v/>
      </c>
      <c r="S476" t="str">
        <f>'Audit Report'!Q476</f>
        <v/>
      </c>
    </row>
    <row r="477" spans="4:19">
      <c r="D477" t="str">
        <f>'Audit Report'!B477</f>
        <v>ITD-SHRXXX-XX476</v>
      </c>
      <c r="E477" t="str">
        <f>'Audit Report'!C477</f>
        <v/>
      </c>
      <c r="I477" t="str">
        <f>'Audit Report'!D477</f>
        <v/>
      </c>
      <c r="J477" t="str">
        <f>_xlfn.TEXTJOIN(" ",TRUE,'Audit Report'!G477,'Audit Report'!H477)</f>
        <v/>
      </c>
      <c r="L477" t="str">
        <f>_xlfn.TEXTJOIN(", ", TRUE, 'Audit Report'!K477,'Audit Report'!L477,'Audit Report'!M477)</f>
        <v/>
      </c>
      <c r="M477" t="str">
        <f>'Audit Report'!O477</f>
        <v/>
      </c>
      <c r="N477" t="str" cm="1">
        <f t="array" ref="N477">IF(M477="","",
_xlfn.TEXTJOIN(", ",TRUE,
    _xlfn.MAP(_xlfn.TEXTSPLIT(M477,","),_xlfn.LAMBDA(_xlpm.x,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7" t="str">
        <f>'Audit Report'!F477</f>
        <v/>
      </c>
      <c r="S477" t="str">
        <f>'Audit Report'!Q477</f>
        <v/>
      </c>
    </row>
    <row r="478" spans="4:19">
      <c r="D478" t="str">
        <f>'Audit Report'!B478</f>
        <v>ITD-SHRXXX-XX477</v>
      </c>
      <c r="E478" t="str">
        <f>'Audit Report'!C478</f>
        <v/>
      </c>
      <c r="I478" t="str">
        <f>'Audit Report'!D478</f>
        <v/>
      </c>
      <c r="J478" t="str">
        <f>_xlfn.TEXTJOIN(" ",TRUE,'Audit Report'!G478,'Audit Report'!H478)</f>
        <v/>
      </c>
      <c r="L478" t="str">
        <f>_xlfn.TEXTJOIN(", ", TRUE, 'Audit Report'!K478,'Audit Report'!L478,'Audit Report'!M478)</f>
        <v/>
      </c>
      <c r="M478" t="str">
        <f>'Audit Report'!O478</f>
        <v/>
      </c>
      <c r="N478" t="str" cm="1">
        <f t="array" ref="N478">IF(M478="","",
_xlfn.TEXTJOIN(", ",TRUE,
    _xlfn.MAP(_xlfn.TEXTSPLIT(M478,","),_xlfn.LAMBDA(_xlpm.x,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8" t="str">
        <f>'Audit Report'!F478</f>
        <v/>
      </c>
      <c r="S478" t="str">
        <f>'Audit Report'!Q478</f>
        <v/>
      </c>
    </row>
    <row r="479" spans="4:19">
      <c r="D479" t="str">
        <f>'Audit Report'!B479</f>
        <v>ITD-SHRXXX-XX478</v>
      </c>
      <c r="E479" t="str">
        <f>'Audit Report'!C479</f>
        <v/>
      </c>
      <c r="I479" t="str">
        <f>'Audit Report'!D479</f>
        <v/>
      </c>
      <c r="J479" t="str">
        <f>_xlfn.TEXTJOIN(" ",TRUE,'Audit Report'!G479,'Audit Report'!H479)</f>
        <v/>
      </c>
      <c r="L479" t="str">
        <f>_xlfn.TEXTJOIN(", ", TRUE, 'Audit Report'!K479,'Audit Report'!L479,'Audit Report'!M479)</f>
        <v/>
      </c>
      <c r="M479" t="str">
        <f>'Audit Report'!O479</f>
        <v/>
      </c>
      <c r="N479" t="str" cm="1">
        <f t="array" ref="N479">IF(M479="","",
_xlfn.TEXTJOIN(", ",TRUE,
    _xlfn.MAP(_xlfn.TEXTSPLIT(M479,","),_xlfn.LAMBDA(_xlpm.x,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9" t="str">
        <f>'Audit Report'!F479</f>
        <v/>
      </c>
      <c r="S479" t="str">
        <f>'Audit Report'!Q479</f>
        <v/>
      </c>
    </row>
    <row r="480" spans="4:19">
      <c r="D480" t="str">
        <f>'Audit Report'!B480</f>
        <v>ITD-SHRXXX-XX479</v>
      </c>
      <c r="E480" t="str">
        <f>'Audit Report'!C480</f>
        <v/>
      </c>
      <c r="I480" t="str">
        <f>'Audit Report'!D480</f>
        <v/>
      </c>
      <c r="J480" t="str">
        <f>_xlfn.TEXTJOIN(" ",TRUE,'Audit Report'!G480,'Audit Report'!H480)</f>
        <v/>
      </c>
      <c r="L480" t="str">
        <f>_xlfn.TEXTJOIN(", ", TRUE, 'Audit Report'!K480,'Audit Report'!L480,'Audit Report'!M480)</f>
        <v/>
      </c>
      <c r="M480" t="str">
        <f>'Audit Report'!O480</f>
        <v/>
      </c>
      <c r="N480" t="str" cm="1">
        <f t="array" ref="N480">IF(M480="","",
_xlfn.TEXTJOIN(", ",TRUE,
    _xlfn.MAP(_xlfn.TEXTSPLIT(M480,","),_xlfn.LAMBDA(_xlpm.x,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0" t="str">
        <f>'Audit Report'!F480</f>
        <v/>
      </c>
      <c r="S480" t="str">
        <f>'Audit Report'!Q480</f>
        <v/>
      </c>
    </row>
    <row r="481" spans="4:19">
      <c r="D481" t="str">
        <f>'Audit Report'!B481</f>
        <v>ITD-SHRXXX-XX480</v>
      </c>
      <c r="E481" t="str">
        <f>'Audit Report'!C481</f>
        <v/>
      </c>
      <c r="I481" t="str">
        <f>'Audit Report'!D481</f>
        <v/>
      </c>
      <c r="J481" t="str">
        <f>_xlfn.TEXTJOIN(" ",TRUE,'Audit Report'!G481,'Audit Report'!H481)</f>
        <v/>
      </c>
      <c r="L481" t="str">
        <f>_xlfn.TEXTJOIN(", ", TRUE, 'Audit Report'!K481,'Audit Report'!L481,'Audit Report'!M481)</f>
        <v/>
      </c>
      <c r="M481" t="str">
        <f>'Audit Report'!O481</f>
        <v/>
      </c>
      <c r="N481" t="str" cm="1">
        <f t="array" ref="N481">IF(M481="","",
_xlfn.TEXTJOIN(", ",TRUE,
    _xlfn.MAP(_xlfn.TEXTSPLIT(M481,","),_xlfn.LAMBDA(_xlpm.x,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1" t="str">
        <f>'Audit Report'!F481</f>
        <v/>
      </c>
      <c r="S481" t="str">
        <f>'Audit Report'!Q481</f>
        <v/>
      </c>
    </row>
    <row r="482" spans="4:19">
      <c r="D482" t="str">
        <f>'Audit Report'!B482</f>
        <v>ITD-SHRXXX-XX481</v>
      </c>
      <c r="E482" t="str">
        <f>'Audit Report'!C482</f>
        <v/>
      </c>
      <c r="I482" t="str">
        <f>'Audit Report'!D482</f>
        <v/>
      </c>
      <c r="J482" t="str">
        <f>_xlfn.TEXTJOIN(" ",TRUE,'Audit Report'!G482,'Audit Report'!H482)</f>
        <v/>
      </c>
      <c r="L482" t="str">
        <f>_xlfn.TEXTJOIN(", ", TRUE, 'Audit Report'!K482,'Audit Report'!L482,'Audit Report'!M482)</f>
        <v/>
      </c>
      <c r="M482" t="str">
        <f>'Audit Report'!O482</f>
        <v/>
      </c>
      <c r="N482" t="str" cm="1">
        <f t="array" ref="N482">IF(M482="","",
_xlfn.TEXTJOIN(", ",TRUE,
    _xlfn.MAP(_xlfn.TEXTSPLIT(M482,","),_xlfn.LAMBDA(_xlpm.x,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2" t="str">
        <f>'Audit Report'!F482</f>
        <v/>
      </c>
      <c r="S482" t="str">
        <f>'Audit Report'!Q482</f>
        <v/>
      </c>
    </row>
    <row r="483" spans="4:19">
      <c r="D483" t="str">
        <f>'Audit Report'!B483</f>
        <v>ITD-SHRXXX-XX482</v>
      </c>
      <c r="E483" t="str">
        <f>'Audit Report'!C483</f>
        <v/>
      </c>
      <c r="I483" t="str">
        <f>'Audit Report'!D483</f>
        <v/>
      </c>
      <c r="J483" t="str">
        <f>_xlfn.TEXTJOIN(" ",TRUE,'Audit Report'!G483,'Audit Report'!H483)</f>
        <v/>
      </c>
      <c r="L483" t="str">
        <f>_xlfn.TEXTJOIN(", ", TRUE, 'Audit Report'!K483,'Audit Report'!L483,'Audit Report'!M483)</f>
        <v/>
      </c>
      <c r="M483" t="str">
        <f>'Audit Report'!O483</f>
        <v/>
      </c>
      <c r="N483" t="str" cm="1">
        <f t="array" ref="N483">IF(M483="","",
_xlfn.TEXTJOIN(", ",TRUE,
    _xlfn.MAP(_xlfn.TEXTSPLIT(M483,","),_xlfn.LAMBDA(_xlpm.x,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3" t="str">
        <f>'Audit Report'!F483</f>
        <v/>
      </c>
      <c r="S483" t="str">
        <f>'Audit Report'!Q483</f>
        <v/>
      </c>
    </row>
    <row r="484" spans="4:19">
      <c r="D484" t="str">
        <f>'Audit Report'!B484</f>
        <v>ITD-SHRXXX-XX483</v>
      </c>
      <c r="E484" t="str">
        <f>'Audit Report'!C484</f>
        <v/>
      </c>
      <c r="I484" t="str">
        <f>'Audit Report'!D484</f>
        <v/>
      </c>
      <c r="J484" t="str">
        <f>_xlfn.TEXTJOIN(" ",TRUE,'Audit Report'!G484,'Audit Report'!H484)</f>
        <v/>
      </c>
      <c r="L484" t="str">
        <f>_xlfn.TEXTJOIN(", ", TRUE, 'Audit Report'!K484,'Audit Report'!L484,'Audit Report'!M484)</f>
        <v/>
      </c>
      <c r="M484" t="str">
        <f>'Audit Report'!O484</f>
        <v/>
      </c>
      <c r="N484" t="str" cm="1">
        <f t="array" ref="N484">IF(M484="","",
_xlfn.TEXTJOIN(", ",TRUE,
    _xlfn.MAP(_xlfn.TEXTSPLIT(M484,","),_xlfn.LAMBDA(_xlpm.x,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4" t="str">
        <f>'Audit Report'!F484</f>
        <v/>
      </c>
      <c r="S484" t="str">
        <f>'Audit Report'!Q484</f>
        <v/>
      </c>
    </row>
    <row r="485" spans="4:19">
      <c r="D485" t="str">
        <f>'Audit Report'!B485</f>
        <v>ITD-SHRXXX-XX484</v>
      </c>
      <c r="E485" t="str">
        <f>'Audit Report'!C485</f>
        <v/>
      </c>
      <c r="I485" t="str">
        <f>'Audit Report'!D485</f>
        <v/>
      </c>
      <c r="J485" t="str">
        <f>_xlfn.TEXTJOIN(" ",TRUE,'Audit Report'!G485,'Audit Report'!H485)</f>
        <v/>
      </c>
      <c r="L485" t="str">
        <f>_xlfn.TEXTJOIN(", ", TRUE, 'Audit Report'!K485,'Audit Report'!L485,'Audit Report'!M485)</f>
        <v/>
      </c>
      <c r="M485" t="str">
        <f>'Audit Report'!O485</f>
        <v/>
      </c>
      <c r="N485" t="str" cm="1">
        <f t="array" ref="N485">IF(M485="","",
_xlfn.TEXTJOIN(", ",TRUE,
    _xlfn.MAP(_xlfn.TEXTSPLIT(M485,","),_xlfn.LAMBDA(_xlpm.x,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5" t="str">
        <f>'Audit Report'!F485</f>
        <v/>
      </c>
      <c r="S485" t="str">
        <f>'Audit Report'!Q485</f>
        <v/>
      </c>
    </row>
    <row r="486" spans="4:19">
      <c r="D486" t="str">
        <f>'Audit Report'!B486</f>
        <v>ITD-SHRXXX-XX485</v>
      </c>
      <c r="E486" t="str">
        <f>'Audit Report'!C486</f>
        <v/>
      </c>
      <c r="I486" t="str">
        <f>'Audit Report'!D486</f>
        <v/>
      </c>
      <c r="J486" t="str">
        <f>_xlfn.TEXTJOIN(" ",TRUE,'Audit Report'!G486,'Audit Report'!H486)</f>
        <v/>
      </c>
      <c r="L486" t="str">
        <f>_xlfn.TEXTJOIN(", ", TRUE, 'Audit Report'!K486,'Audit Report'!L486,'Audit Report'!M486)</f>
        <v/>
      </c>
      <c r="M486" t="str">
        <f>'Audit Report'!O486</f>
        <v/>
      </c>
      <c r="N486" t="str" cm="1">
        <f t="array" ref="N486">IF(M486="","",
_xlfn.TEXTJOIN(", ",TRUE,
    _xlfn.MAP(_xlfn.TEXTSPLIT(M486,","),_xlfn.LAMBDA(_xlpm.x,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6" t="str">
        <f>'Audit Report'!F486</f>
        <v/>
      </c>
      <c r="S486" t="str">
        <f>'Audit Report'!Q486</f>
        <v/>
      </c>
    </row>
    <row r="487" spans="4:19">
      <c r="D487" t="str">
        <f>'Audit Report'!B487</f>
        <v>ITD-SHRXXX-XX486</v>
      </c>
      <c r="E487" t="str">
        <f>'Audit Report'!C487</f>
        <v/>
      </c>
      <c r="I487" t="str">
        <f>'Audit Report'!D487</f>
        <v/>
      </c>
      <c r="J487" t="str">
        <f>_xlfn.TEXTJOIN(" ",TRUE,'Audit Report'!G487,'Audit Report'!H487)</f>
        <v/>
      </c>
      <c r="L487" t="str">
        <f>_xlfn.TEXTJOIN(", ", TRUE, 'Audit Report'!K487,'Audit Report'!L487,'Audit Report'!M487)</f>
        <v/>
      </c>
      <c r="M487" t="str">
        <f>'Audit Report'!O487</f>
        <v/>
      </c>
      <c r="N487" t="str" cm="1">
        <f t="array" ref="N487">IF(M487="","",
_xlfn.TEXTJOIN(", ",TRUE,
    _xlfn.MAP(_xlfn.TEXTSPLIT(M487,","),_xlfn.LAMBDA(_xlpm.x,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7" t="str">
        <f>'Audit Report'!F487</f>
        <v/>
      </c>
      <c r="S487" t="str">
        <f>'Audit Report'!Q487</f>
        <v/>
      </c>
    </row>
    <row r="488" spans="4:19">
      <c r="D488" t="str">
        <f>'Audit Report'!B488</f>
        <v>ITD-SHRXXX-XX487</v>
      </c>
      <c r="E488" t="str">
        <f>'Audit Report'!C488</f>
        <v/>
      </c>
      <c r="I488" t="str">
        <f>'Audit Report'!D488</f>
        <v/>
      </c>
      <c r="J488" t="str">
        <f>_xlfn.TEXTJOIN(" ",TRUE,'Audit Report'!G488,'Audit Report'!H488)</f>
        <v/>
      </c>
      <c r="L488" t="str">
        <f>_xlfn.TEXTJOIN(", ", TRUE, 'Audit Report'!K488,'Audit Report'!L488,'Audit Report'!M488)</f>
        <v/>
      </c>
      <c r="M488" t="str">
        <f>'Audit Report'!O488</f>
        <v/>
      </c>
      <c r="N488" t="str" cm="1">
        <f t="array" ref="N488">IF(M488="","",
_xlfn.TEXTJOIN(", ",TRUE,
    _xlfn.MAP(_xlfn.TEXTSPLIT(M488,","),_xlfn.LAMBDA(_xlpm.x,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8" t="str">
        <f>'Audit Report'!F488</f>
        <v/>
      </c>
      <c r="S488" t="str">
        <f>'Audit Report'!Q488</f>
        <v/>
      </c>
    </row>
    <row r="489" spans="4:19">
      <c r="D489" t="str">
        <f>'Audit Report'!B489</f>
        <v>ITD-SHRXXX-XX488</v>
      </c>
      <c r="E489" t="str">
        <f>'Audit Report'!C489</f>
        <v/>
      </c>
      <c r="I489" t="str">
        <f>'Audit Report'!D489</f>
        <v/>
      </c>
      <c r="J489" t="str">
        <f>_xlfn.TEXTJOIN(" ",TRUE,'Audit Report'!G489,'Audit Report'!H489)</f>
        <v/>
      </c>
      <c r="L489" t="str">
        <f>_xlfn.TEXTJOIN(", ", TRUE, 'Audit Report'!K489,'Audit Report'!L489,'Audit Report'!M489)</f>
        <v/>
      </c>
      <c r="M489" t="str">
        <f>'Audit Report'!O489</f>
        <v/>
      </c>
      <c r="N489" t="str" cm="1">
        <f t="array" ref="N489">IF(M489="","",
_xlfn.TEXTJOIN(", ",TRUE,
    _xlfn.MAP(_xlfn.TEXTSPLIT(M489,","),_xlfn.LAMBDA(_xlpm.x,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9" t="str">
        <f>'Audit Report'!F489</f>
        <v/>
      </c>
      <c r="S489" t="str">
        <f>'Audit Report'!Q489</f>
        <v/>
      </c>
    </row>
    <row r="490" spans="4:19">
      <c r="D490" t="str">
        <f>'Audit Report'!B490</f>
        <v>ITD-SHRXXX-XX489</v>
      </c>
      <c r="E490" t="str">
        <f>'Audit Report'!C490</f>
        <v/>
      </c>
      <c r="I490" t="str">
        <f>'Audit Report'!D490</f>
        <v/>
      </c>
      <c r="J490" t="str">
        <f>_xlfn.TEXTJOIN(" ",TRUE,'Audit Report'!G490,'Audit Report'!H490)</f>
        <v/>
      </c>
      <c r="L490" t="str">
        <f>_xlfn.TEXTJOIN(", ", TRUE, 'Audit Report'!K490,'Audit Report'!L490,'Audit Report'!M490)</f>
        <v/>
      </c>
      <c r="M490" t="str">
        <f>'Audit Report'!O490</f>
        <v/>
      </c>
      <c r="N490" t="str" cm="1">
        <f t="array" ref="N490">IF(M490="","",
_xlfn.TEXTJOIN(", ",TRUE,
    _xlfn.MAP(_xlfn.TEXTSPLIT(M490,","),_xlfn.LAMBDA(_xlpm.x,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0" t="str">
        <f>'Audit Report'!F490</f>
        <v/>
      </c>
      <c r="S490" t="str">
        <f>'Audit Report'!Q490</f>
        <v/>
      </c>
    </row>
    <row r="491" spans="4:19">
      <c r="D491" t="str">
        <f>'Audit Report'!B491</f>
        <v>ITD-SHRXXX-XX490</v>
      </c>
      <c r="E491" t="str">
        <f>'Audit Report'!C491</f>
        <v/>
      </c>
      <c r="I491" t="str">
        <f>'Audit Report'!D491</f>
        <v/>
      </c>
      <c r="J491" t="str">
        <f>_xlfn.TEXTJOIN(" ",TRUE,'Audit Report'!G491,'Audit Report'!H491)</f>
        <v/>
      </c>
      <c r="L491" t="str">
        <f>_xlfn.TEXTJOIN(", ", TRUE, 'Audit Report'!K491,'Audit Report'!L491,'Audit Report'!M491)</f>
        <v/>
      </c>
      <c r="M491" t="str">
        <f>'Audit Report'!O491</f>
        <v/>
      </c>
      <c r="N491" t="str" cm="1">
        <f t="array" ref="N491">IF(M491="","",
_xlfn.TEXTJOIN(", ",TRUE,
    _xlfn.MAP(_xlfn.TEXTSPLIT(M491,","),_xlfn.LAMBDA(_xlpm.x,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1" t="str">
        <f>'Audit Report'!F491</f>
        <v/>
      </c>
      <c r="S491" t="str">
        <f>'Audit Report'!Q491</f>
        <v/>
      </c>
    </row>
    <row r="492" spans="4:19">
      <c r="D492" t="str">
        <f>'Audit Report'!B492</f>
        <v>ITD-SHRXXX-XX491</v>
      </c>
      <c r="E492" t="str">
        <f>'Audit Report'!C492</f>
        <v/>
      </c>
      <c r="I492" t="str">
        <f>'Audit Report'!D492</f>
        <v/>
      </c>
      <c r="J492" t="str">
        <f>_xlfn.TEXTJOIN(" ",TRUE,'Audit Report'!G492,'Audit Report'!H492)</f>
        <v/>
      </c>
      <c r="L492" t="str">
        <f>_xlfn.TEXTJOIN(", ", TRUE, 'Audit Report'!K492,'Audit Report'!L492,'Audit Report'!M492)</f>
        <v/>
      </c>
      <c r="M492" t="str">
        <f>'Audit Report'!O492</f>
        <v/>
      </c>
      <c r="N492" t="str" cm="1">
        <f t="array" ref="N492">IF(M492="","",
_xlfn.TEXTJOIN(", ",TRUE,
    _xlfn.MAP(_xlfn.TEXTSPLIT(M492,","),_xlfn.LAMBDA(_xlpm.x,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2" t="str">
        <f>'Audit Report'!F492</f>
        <v/>
      </c>
      <c r="S492" t="str">
        <f>'Audit Report'!Q492</f>
        <v/>
      </c>
    </row>
    <row r="493" spans="4:19">
      <c r="D493" t="str">
        <f>'Audit Report'!B493</f>
        <v>ITD-SHRXXX-XX492</v>
      </c>
      <c r="E493" t="str">
        <f>'Audit Report'!C493</f>
        <v/>
      </c>
      <c r="I493" t="str">
        <f>'Audit Report'!D493</f>
        <v/>
      </c>
      <c r="J493" t="str">
        <f>_xlfn.TEXTJOIN(" ",TRUE,'Audit Report'!G493,'Audit Report'!H493)</f>
        <v/>
      </c>
      <c r="L493" t="str">
        <f>_xlfn.TEXTJOIN(", ", TRUE, 'Audit Report'!K493,'Audit Report'!L493,'Audit Report'!M493)</f>
        <v/>
      </c>
      <c r="M493" t="str">
        <f>'Audit Report'!O493</f>
        <v/>
      </c>
      <c r="N493" t="str" cm="1">
        <f t="array" ref="N493">IF(M493="","",
_xlfn.TEXTJOIN(", ",TRUE,
    _xlfn.MAP(_xlfn.TEXTSPLIT(M493,","),_xlfn.LAMBDA(_xlpm.x,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3" t="str">
        <f>'Audit Report'!F493</f>
        <v/>
      </c>
      <c r="S493" t="str">
        <f>'Audit Report'!Q493</f>
        <v/>
      </c>
    </row>
    <row r="494" spans="4:19">
      <c r="D494" t="str">
        <f>'Audit Report'!B494</f>
        <v>ITD-SHRXXX-XX493</v>
      </c>
      <c r="E494" t="str">
        <f>'Audit Report'!C494</f>
        <v/>
      </c>
      <c r="I494" t="str">
        <f>'Audit Report'!D494</f>
        <v/>
      </c>
      <c r="J494" t="str">
        <f>_xlfn.TEXTJOIN(" ",TRUE,'Audit Report'!G494,'Audit Report'!H494)</f>
        <v/>
      </c>
      <c r="L494" t="str">
        <f>_xlfn.TEXTJOIN(", ", TRUE, 'Audit Report'!K494,'Audit Report'!L494,'Audit Report'!M494)</f>
        <v/>
      </c>
      <c r="M494" t="str">
        <f>'Audit Report'!O494</f>
        <v/>
      </c>
      <c r="N494" t="str" cm="1">
        <f t="array" ref="N494">IF(M494="","",
_xlfn.TEXTJOIN(", ",TRUE,
    _xlfn.MAP(_xlfn.TEXTSPLIT(M494,","),_xlfn.LAMBDA(_xlpm.x,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4" t="str">
        <f>'Audit Report'!F494</f>
        <v/>
      </c>
      <c r="S494" t="str">
        <f>'Audit Report'!Q494</f>
        <v/>
      </c>
    </row>
    <row r="495" spans="4:19">
      <c r="D495" t="str">
        <f>'Audit Report'!B495</f>
        <v>ITD-SHRXXX-XX494</v>
      </c>
      <c r="E495" t="str">
        <f>'Audit Report'!C495</f>
        <v/>
      </c>
      <c r="I495" t="str">
        <f>'Audit Report'!D495</f>
        <v/>
      </c>
      <c r="J495" t="str">
        <f>_xlfn.TEXTJOIN(" ",TRUE,'Audit Report'!G495,'Audit Report'!H495)</f>
        <v/>
      </c>
      <c r="L495" t="str">
        <f>_xlfn.TEXTJOIN(", ", TRUE, 'Audit Report'!K495,'Audit Report'!L495,'Audit Report'!M495)</f>
        <v/>
      </c>
      <c r="M495" t="str">
        <f>'Audit Report'!O495</f>
        <v/>
      </c>
      <c r="N495" t="str" cm="1">
        <f t="array" ref="N495">IF(M495="","",
_xlfn.TEXTJOIN(", ",TRUE,
    _xlfn.MAP(_xlfn.TEXTSPLIT(M495,","),_xlfn.LAMBDA(_xlpm.x,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5" t="str">
        <f>'Audit Report'!F495</f>
        <v/>
      </c>
      <c r="S495" t="str">
        <f>'Audit Report'!Q495</f>
        <v/>
      </c>
    </row>
    <row r="496" spans="4:19">
      <c r="D496" t="str">
        <f>'Audit Report'!B496</f>
        <v>ITD-SHRXXX-XX495</v>
      </c>
      <c r="E496" t="str">
        <f>'Audit Report'!C496</f>
        <v/>
      </c>
      <c r="I496" t="str">
        <f>'Audit Report'!D496</f>
        <v/>
      </c>
      <c r="J496" t="str">
        <f>_xlfn.TEXTJOIN(" ",TRUE,'Audit Report'!G496,'Audit Report'!H496)</f>
        <v/>
      </c>
      <c r="L496" t="str">
        <f>_xlfn.TEXTJOIN(", ", TRUE, 'Audit Report'!K496,'Audit Report'!L496,'Audit Report'!M496)</f>
        <v/>
      </c>
      <c r="M496" t="str">
        <f>'Audit Report'!O496</f>
        <v/>
      </c>
      <c r="N496" t="str" cm="1">
        <f t="array" ref="N496">IF(M496="","",
_xlfn.TEXTJOIN(", ",TRUE,
    _xlfn.MAP(_xlfn.TEXTSPLIT(M496,","),_xlfn.LAMBDA(_xlpm.x,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6" t="str">
        <f>'Audit Report'!F496</f>
        <v/>
      </c>
      <c r="S496" t="str">
        <f>'Audit Report'!Q496</f>
        <v/>
      </c>
    </row>
    <row r="497" spans="4:19">
      <c r="D497" t="str">
        <f>'Audit Report'!B497</f>
        <v>ITD-SHRXXX-XX496</v>
      </c>
      <c r="E497" t="str">
        <f>'Audit Report'!C497</f>
        <v/>
      </c>
      <c r="I497" t="str">
        <f>'Audit Report'!D497</f>
        <v/>
      </c>
      <c r="J497" t="str">
        <f>_xlfn.TEXTJOIN(" ",TRUE,'Audit Report'!G497,'Audit Report'!H497)</f>
        <v/>
      </c>
      <c r="L497" t="str">
        <f>_xlfn.TEXTJOIN(", ", TRUE, 'Audit Report'!K497,'Audit Report'!L497,'Audit Report'!M497)</f>
        <v/>
      </c>
      <c r="M497" t="str">
        <f>'Audit Report'!O497</f>
        <v/>
      </c>
      <c r="N497" t="str" cm="1">
        <f t="array" ref="N497">IF(M497="","",
_xlfn.TEXTJOIN(", ",TRUE,
    _xlfn.MAP(_xlfn.TEXTSPLIT(M497,","),_xlfn.LAMBDA(_xlpm.x,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7" t="str">
        <f>'Audit Report'!F497</f>
        <v/>
      </c>
      <c r="S497" t="str">
        <f>'Audit Report'!Q497</f>
        <v/>
      </c>
    </row>
    <row r="498" spans="4:19">
      <c r="D498" t="str">
        <f>'Audit Report'!B498</f>
        <v>ITD-SHRXXX-XX497</v>
      </c>
      <c r="E498" t="str">
        <f>'Audit Report'!C498</f>
        <v/>
      </c>
      <c r="I498" t="str">
        <f>'Audit Report'!D498</f>
        <v/>
      </c>
      <c r="J498" t="str">
        <f>_xlfn.TEXTJOIN(" ",TRUE,'Audit Report'!G498,'Audit Report'!H498)</f>
        <v/>
      </c>
      <c r="L498" t="str">
        <f>_xlfn.TEXTJOIN(", ", TRUE, 'Audit Report'!K498,'Audit Report'!L498,'Audit Report'!M498)</f>
        <v/>
      </c>
      <c r="M498" t="str">
        <f>'Audit Report'!O498</f>
        <v/>
      </c>
      <c r="N498" t="str" cm="1">
        <f t="array" ref="N498">IF(M498="","",
_xlfn.TEXTJOIN(", ",TRUE,
    _xlfn.MAP(_xlfn.TEXTSPLIT(M498,","),_xlfn.LAMBDA(_xlpm.x,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8" t="str">
        <f>'Audit Report'!F498</f>
        <v/>
      </c>
      <c r="S498" t="str">
        <f>'Audit Report'!Q498</f>
        <v/>
      </c>
    </row>
    <row r="499" spans="4:19">
      <c r="D499" t="str">
        <f>'Audit Report'!B499</f>
        <v>ITD-SHRXXX-XX498</v>
      </c>
      <c r="E499" t="str">
        <f>'Audit Report'!C499</f>
        <v/>
      </c>
      <c r="I499" t="str">
        <f>'Audit Report'!D499</f>
        <v/>
      </c>
      <c r="J499" t="str">
        <f>_xlfn.TEXTJOIN(" ",TRUE,'Audit Report'!G499,'Audit Report'!H499)</f>
        <v/>
      </c>
      <c r="L499" t="str">
        <f>_xlfn.TEXTJOIN(", ", TRUE, 'Audit Report'!K499,'Audit Report'!L499,'Audit Report'!M499)</f>
        <v/>
      </c>
      <c r="M499" t="str">
        <f>'Audit Report'!O499</f>
        <v/>
      </c>
      <c r="N499" t="str" cm="1">
        <f t="array" ref="N499">IF(M499="","",
_xlfn.TEXTJOIN(", ",TRUE,
    _xlfn.MAP(_xlfn.TEXTSPLIT(M499,","),_xlfn.LAMBDA(_xlpm.x,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9" t="str">
        <f>'Audit Report'!F499</f>
        <v/>
      </c>
      <c r="S499" t="str">
        <f>'Audit Report'!Q499</f>
        <v/>
      </c>
    </row>
    <row r="500" spans="4:19">
      <c r="D500" t="str">
        <f>'Audit Report'!B500</f>
        <v>ITD-SHRXXX-XX499</v>
      </c>
      <c r="E500" t="str">
        <f>'Audit Report'!C500</f>
        <v/>
      </c>
      <c r="I500" t="str">
        <f>'Audit Report'!D500</f>
        <v/>
      </c>
      <c r="J500" t="str">
        <f>_xlfn.TEXTJOIN(" ",TRUE,'Audit Report'!G500,'Audit Report'!H500)</f>
        <v/>
      </c>
      <c r="L500" t="str">
        <f>_xlfn.TEXTJOIN(", ", TRUE, 'Audit Report'!K500,'Audit Report'!L500,'Audit Report'!M500)</f>
        <v/>
      </c>
      <c r="M500" t="str">
        <f>'Audit Report'!O500</f>
        <v/>
      </c>
      <c r="N500" t="str" cm="1">
        <f t="array" ref="N500">IF(M500="","",
_xlfn.TEXTJOIN(", ",TRUE,
    _xlfn.MAP(_xlfn.TEXTSPLIT(M500,","),_xlfn.LAMBDA(_xlpm.x,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0" t="str">
        <f>'Audit Report'!F500</f>
        <v/>
      </c>
      <c r="S500" t="str">
        <f>'Audit Report'!Q500</f>
        <v/>
      </c>
    </row>
    <row r="501" spans="4:19">
      <c r="D501" t="str">
        <f>'Audit Report'!B501</f>
        <v>ITD-SHRXXX-XX500</v>
      </c>
      <c r="E501" t="str">
        <f>'Audit Report'!C501</f>
        <v/>
      </c>
      <c r="I501" t="str">
        <f>'Audit Report'!D501</f>
        <v/>
      </c>
      <c r="J501" t="str">
        <f>_xlfn.TEXTJOIN(" ",TRUE,'Audit Report'!G501,'Audit Report'!H501)</f>
        <v/>
      </c>
      <c r="L501" t="str">
        <f>_xlfn.TEXTJOIN(", ", TRUE, 'Audit Report'!K501,'Audit Report'!L501,'Audit Report'!M501)</f>
        <v/>
      </c>
      <c r="M501" t="str">
        <f>'Audit Report'!O501</f>
        <v/>
      </c>
      <c r="N501" t="str" cm="1">
        <f t="array" ref="N501">IF(M501="","",
_xlfn.TEXTJOIN(", ",TRUE,
    _xlfn.MAP(_xlfn.TEXTSPLIT(M501,","),_xlfn.LAMBDA(_xlpm.x,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1" t="str">
        <f>'Audit Report'!F501</f>
        <v/>
      </c>
      <c r="S501" t="str">
        <f>'Audit Report'!Q501</f>
        <v/>
      </c>
    </row>
    <row r="502" spans="4:19">
      <c r="D502" t="str">
        <f>'Audit Report'!B502</f>
        <v>ITD-SHRXXX-XX501</v>
      </c>
      <c r="E502" t="str">
        <f>'Audit Report'!C502</f>
        <v/>
      </c>
      <c r="I502" t="str">
        <f>'Audit Report'!D502</f>
        <v/>
      </c>
      <c r="J502" t="str">
        <f>_xlfn.TEXTJOIN(" ",TRUE,'Audit Report'!G502,'Audit Report'!H502)</f>
        <v/>
      </c>
      <c r="L502" t="str">
        <f>_xlfn.TEXTJOIN(", ", TRUE, 'Audit Report'!K502,'Audit Report'!L502,'Audit Report'!M502)</f>
        <v/>
      </c>
      <c r="M502" t="str">
        <f>'Audit Report'!O502</f>
        <v/>
      </c>
      <c r="N502" t="str" cm="1">
        <f t="array" ref="N502">IF(M502="","",
_xlfn.TEXTJOIN(", ",TRUE,
    _xlfn.MAP(_xlfn.TEXTSPLIT(M502,","),_xlfn.LAMBDA(_xlpm.x,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2" t="str">
        <f>'Audit Report'!F502</f>
        <v/>
      </c>
      <c r="S502" t="str">
        <f>'Audit Report'!Q502</f>
        <v/>
      </c>
    </row>
    <row r="503" spans="4:19">
      <c r="D503" t="str">
        <f>'Audit Report'!B503</f>
        <v>ITD-SHRXXX-XX502</v>
      </c>
      <c r="E503" t="str">
        <f>'Audit Report'!C503</f>
        <v/>
      </c>
      <c r="I503" t="str">
        <f>'Audit Report'!D503</f>
        <v/>
      </c>
      <c r="J503" t="str">
        <f>_xlfn.TEXTJOIN(" ",TRUE,'Audit Report'!G503,'Audit Report'!H503)</f>
        <v/>
      </c>
      <c r="L503" t="str">
        <f>_xlfn.TEXTJOIN(", ", TRUE, 'Audit Report'!K503,'Audit Report'!L503,'Audit Report'!M503)</f>
        <v/>
      </c>
      <c r="M503" t="str">
        <f>'Audit Report'!O503</f>
        <v/>
      </c>
      <c r="N503" t="str" cm="1">
        <f t="array" ref="N503">IF(M503="","",
_xlfn.TEXTJOIN(", ",TRUE,
    _xlfn.MAP(_xlfn.TEXTSPLIT(M503,","),_xlfn.LAMBDA(_xlpm.x,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3" t="str">
        <f>'Audit Report'!F503</f>
        <v/>
      </c>
      <c r="S503" t="str">
        <f>'Audit Report'!Q503</f>
        <v/>
      </c>
    </row>
    <row r="504" spans="4:19">
      <c r="D504" t="str">
        <f>'Audit Report'!B504</f>
        <v>ITD-SHRXXX-XX503</v>
      </c>
      <c r="E504" t="str">
        <f>'Audit Report'!C504</f>
        <v/>
      </c>
      <c r="I504" t="str">
        <f>'Audit Report'!D504</f>
        <v/>
      </c>
      <c r="J504" t="str">
        <f>_xlfn.TEXTJOIN(" ",TRUE,'Audit Report'!G504,'Audit Report'!H504)</f>
        <v/>
      </c>
      <c r="L504" t="str">
        <f>_xlfn.TEXTJOIN(", ", TRUE, 'Audit Report'!K504,'Audit Report'!L504,'Audit Report'!M504)</f>
        <v/>
      </c>
      <c r="M504" t="str">
        <f>'Audit Report'!O504</f>
        <v/>
      </c>
      <c r="N504" t="str" cm="1">
        <f t="array" ref="N504">IF(M504="","",
_xlfn.TEXTJOIN(", ",TRUE,
    _xlfn.MAP(_xlfn.TEXTSPLIT(M504,","),_xlfn.LAMBDA(_xlpm.x,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4" t="str">
        <f>'Audit Report'!F504</f>
        <v/>
      </c>
      <c r="S504" t="str">
        <f>'Audit Report'!Q504</f>
        <v/>
      </c>
    </row>
    <row r="505" spans="4:19">
      <c r="D505" t="str">
        <f>'Audit Report'!B505</f>
        <v>ITD-SHRXXX-XX504</v>
      </c>
      <c r="E505" t="str">
        <f>'Audit Report'!C505</f>
        <v/>
      </c>
      <c r="I505" t="str">
        <f>'Audit Report'!D505</f>
        <v/>
      </c>
      <c r="J505" t="str">
        <f>_xlfn.TEXTJOIN(" ",TRUE,'Audit Report'!G505,'Audit Report'!H505)</f>
        <v/>
      </c>
      <c r="L505" t="str">
        <f>_xlfn.TEXTJOIN(", ", TRUE, 'Audit Report'!K505,'Audit Report'!L505,'Audit Report'!M505)</f>
        <v/>
      </c>
      <c r="M505" t="str">
        <f>'Audit Report'!O505</f>
        <v/>
      </c>
      <c r="N505" t="str" cm="1">
        <f t="array" ref="N505">IF(M505="","",
_xlfn.TEXTJOIN(", ",TRUE,
    _xlfn.MAP(_xlfn.TEXTSPLIT(M505,","),_xlfn.LAMBDA(_xlpm.x,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5" t="str">
        <f>'Audit Report'!F505</f>
        <v/>
      </c>
      <c r="S505" t="str">
        <f>'Audit Report'!Q505</f>
        <v/>
      </c>
    </row>
    <row r="506" spans="4:19">
      <c r="D506" t="str">
        <f>'Audit Report'!B506</f>
        <v>ITD-SHRXXX-XX505</v>
      </c>
      <c r="E506" t="str">
        <f>'Audit Report'!C506</f>
        <v/>
      </c>
      <c r="I506" t="str">
        <f>'Audit Report'!D506</f>
        <v/>
      </c>
      <c r="J506" t="str">
        <f>_xlfn.TEXTJOIN(" ",TRUE,'Audit Report'!G506,'Audit Report'!H506)</f>
        <v/>
      </c>
      <c r="L506" t="str">
        <f>_xlfn.TEXTJOIN(", ", TRUE, 'Audit Report'!K506,'Audit Report'!L506,'Audit Report'!M506)</f>
        <v/>
      </c>
      <c r="M506" t="str">
        <f>'Audit Report'!O506</f>
        <v/>
      </c>
      <c r="N506" t="str" cm="1">
        <f t="array" ref="N506">IF(M506="","",
_xlfn.TEXTJOIN(", ",TRUE,
    _xlfn.MAP(_xlfn.TEXTSPLIT(M506,","),_xlfn.LAMBDA(_xlpm.x,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6" t="str">
        <f>'Audit Report'!F506</f>
        <v/>
      </c>
      <c r="S506" t="str">
        <f>'Audit Report'!Q506</f>
        <v/>
      </c>
    </row>
    <row r="507" spans="4:19">
      <c r="D507" t="str">
        <f>'Audit Report'!B507</f>
        <v>ITD-SHRXXX-XX506</v>
      </c>
      <c r="E507" t="str">
        <f>'Audit Report'!C507</f>
        <v/>
      </c>
      <c r="I507" t="str">
        <f>'Audit Report'!D507</f>
        <v/>
      </c>
      <c r="J507" t="str">
        <f>_xlfn.TEXTJOIN(" ",TRUE,'Audit Report'!G507,'Audit Report'!H507)</f>
        <v/>
      </c>
      <c r="L507" t="str">
        <f>_xlfn.TEXTJOIN(", ", TRUE, 'Audit Report'!K507,'Audit Report'!L507,'Audit Report'!M507)</f>
        <v/>
      </c>
      <c r="M507" t="str">
        <f>'Audit Report'!O507</f>
        <v/>
      </c>
      <c r="N507" t="str" cm="1">
        <f t="array" ref="N507">IF(M507="","",
_xlfn.TEXTJOIN(", ",TRUE,
    _xlfn.MAP(_xlfn.TEXTSPLIT(M507,","),_xlfn.LAMBDA(_xlpm.x,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7" t="str">
        <f>'Audit Report'!F507</f>
        <v/>
      </c>
      <c r="S507" t="str">
        <f>'Audit Report'!Q507</f>
        <v/>
      </c>
    </row>
    <row r="508" spans="4:19">
      <c r="D508" t="str">
        <f>'Audit Report'!B508</f>
        <v>ITD-SHRXXX-XX507</v>
      </c>
      <c r="E508" t="str">
        <f>'Audit Report'!C508</f>
        <v/>
      </c>
      <c r="I508" t="str">
        <f>'Audit Report'!D508</f>
        <v/>
      </c>
      <c r="J508" t="str">
        <f>_xlfn.TEXTJOIN(" ",TRUE,'Audit Report'!G508,'Audit Report'!H508)</f>
        <v/>
      </c>
      <c r="L508" t="str">
        <f>_xlfn.TEXTJOIN(", ", TRUE, 'Audit Report'!K508,'Audit Report'!L508,'Audit Report'!M508)</f>
        <v/>
      </c>
      <c r="M508" t="str">
        <f>'Audit Report'!O508</f>
        <v/>
      </c>
      <c r="N508" t="str" cm="1">
        <f t="array" ref="N508">IF(M508="","",
_xlfn.TEXTJOIN(", ",TRUE,
    _xlfn.MAP(_xlfn.TEXTSPLIT(M508,","),_xlfn.LAMBDA(_xlpm.x,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8" t="str">
        <f>'Audit Report'!F508</f>
        <v/>
      </c>
      <c r="S508" t="str">
        <f>'Audit Report'!Q508</f>
        <v/>
      </c>
    </row>
    <row r="509" spans="4:19">
      <c r="D509" t="str">
        <f>'Audit Report'!B509</f>
        <v>ITD-SHRXXX-XX508</v>
      </c>
      <c r="E509" t="str">
        <f>'Audit Report'!C509</f>
        <v/>
      </c>
      <c r="I509" t="str">
        <f>'Audit Report'!D509</f>
        <v/>
      </c>
      <c r="J509" t="str">
        <f>_xlfn.TEXTJOIN(" ",TRUE,'Audit Report'!G509,'Audit Report'!H509)</f>
        <v/>
      </c>
      <c r="L509" t="str">
        <f>_xlfn.TEXTJOIN(", ", TRUE, 'Audit Report'!K509,'Audit Report'!L509,'Audit Report'!M509)</f>
        <v/>
      </c>
      <c r="M509" t="str">
        <f>'Audit Report'!O509</f>
        <v/>
      </c>
      <c r="N509" t="str" cm="1">
        <f t="array" ref="N509">IF(M509="","",
_xlfn.TEXTJOIN(", ",TRUE,
    _xlfn.MAP(_xlfn.TEXTSPLIT(M509,","),_xlfn.LAMBDA(_xlpm.x,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9" t="str">
        <f>'Audit Report'!F509</f>
        <v/>
      </c>
      <c r="S509" t="str">
        <f>'Audit Report'!Q509</f>
        <v/>
      </c>
    </row>
    <row r="510" spans="4:19">
      <c r="D510" t="str">
        <f>'Audit Report'!B510</f>
        <v>ITD-SHRXXX-XX509</v>
      </c>
      <c r="E510" t="str">
        <f>'Audit Report'!C510</f>
        <v/>
      </c>
      <c r="I510" t="str">
        <f>'Audit Report'!D510</f>
        <v/>
      </c>
      <c r="J510" t="str">
        <f>_xlfn.TEXTJOIN(" ",TRUE,'Audit Report'!G510,'Audit Report'!H510)</f>
        <v/>
      </c>
      <c r="L510" t="str">
        <f>_xlfn.TEXTJOIN(", ", TRUE, 'Audit Report'!K510,'Audit Report'!L510,'Audit Report'!M510)</f>
        <v/>
      </c>
      <c r="M510" t="str">
        <f>'Audit Report'!O510</f>
        <v/>
      </c>
      <c r="N510" t="str" cm="1">
        <f t="array" ref="N510">IF(M510="","",
_xlfn.TEXTJOIN(", ",TRUE,
    _xlfn.MAP(_xlfn.TEXTSPLIT(M510,","),_xlfn.LAMBDA(_xlpm.x,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0" t="str">
        <f>'Audit Report'!F510</f>
        <v/>
      </c>
      <c r="S510" t="str">
        <f>'Audit Report'!Q510</f>
        <v/>
      </c>
    </row>
    <row r="511" spans="4:19">
      <c r="D511" t="str">
        <f>'Audit Report'!B511</f>
        <v>ITD-SHRXXX-XX510</v>
      </c>
      <c r="E511" t="str">
        <f>'Audit Report'!C511</f>
        <v/>
      </c>
      <c r="I511" t="str">
        <f>'Audit Report'!D511</f>
        <v/>
      </c>
      <c r="J511" t="str">
        <f>_xlfn.TEXTJOIN(" ",TRUE,'Audit Report'!G511,'Audit Report'!H511)</f>
        <v/>
      </c>
      <c r="L511" t="str">
        <f>_xlfn.TEXTJOIN(", ", TRUE, 'Audit Report'!K511,'Audit Report'!L511,'Audit Report'!M511)</f>
        <v/>
      </c>
      <c r="M511" t="str">
        <f>'Audit Report'!O511</f>
        <v/>
      </c>
      <c r="N511" t="str" cm="1">
        <f t="array" ref="N511">IF(M511="","",
_xlfn.TEXTJOIN(", ",TRUE,
    _xlfn.MAP(_xlfn.TEXTSPLIT(M511,","),_xlfn.LAMBDA(_xlpm.x,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1" t="str">
        <f>'Audit Report'!F511</f>
        <v/>
      </c>
      <c r="S511" t="str">
        <f>'Audit Report'!Q511</f>
        <v/>
      </c>
    </row>
    <row r="512" spans="4:19">
      <c r="D512" t="str">
        <f>'Audit Report'!B512</f>
        <v>ITD-SHRXXX-XX511</v>
      </c>
      <c r="E512" t="str">
        <f>'Audit Report'!C512</f>
        <v/>
      </c>
      <c r="I512" t="str">
        <f>'Audit Report'!D512</f>
        <v/>
      </c>
      <c r="J512" t="str">
        <f>_xlfn.TEXTJOIN(" ",TRUE,'Audit Report'!G512,'Audit Report'!H512)</f>
        <v/>
      </c>
      <c r="L512" t="str">
        <f>_xlfn.TEXTJOIN(", ", TRUE, 'Audit Report'!K512,'Audit Report'!L512,'Audit Report'!M512)</f>
        <v/>
      </c>
      <c r="M512" t="str">
        <f>'Audit Report'!O512</f>
        <v/>
      </c>
      <c r="N512" t="str" cm="1">
        <f t="array" ref="N512">IF(M512="","",
_xlfn.TEXTJOIN(", ",TRUE,
    _xlfn.MAP(_xlfn.TEXTSPLIT(M512,","),_xlfn.LAMBDA(_xlpm.x,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2" t="str">
        <f>'Audit Report'!F512</f>
        <v/>
      </c>
      <c r="S512" t="str">
        <f>'Audit Report'!Q512</f>
        <v/>
      </c>
    </row>
    <row r="513" spans="4:19">
      <c r="D513" t="str">
        <f>'Audit Report'!B513</f>
        <v>ITD-SHRXXX-XX512</v>
      </c>
      <c r="E513" t="str">
        <f>'Audit Report'!C513</f>
        <v/>
      </c>
      <c r="I513" t="str">
        <f>'Audit Report'!D513</f>
        <v/>
      </c>
      <c r="J513" t="str">
        <f>_xlfn.TEXTJOIN(" ",TRUE,'Audit Report'!G513,'Audit Report'!H513)</f>
        <v/>
      </c>
      <c r="L513" t="str">
        <f>_xlfn.TEXTJOIN(", ", TRUE, 'Audit Report'!K513,'Audit Report'!L513,'Audit Report'!M513)</f>
        <v/>
      </c>
      <c r="M513" t="str">
        <f>'Audit Report'!O513</f>
        <v/>
      </c>
      <c r="N513" t="str" cm="1">
        <f t="array" ref="N513">IF(M513="","",
_xlfn.TEXTJOIN(", ",TRUE,
    _xlfn.MAP(_xlfn.TEXTSPLIT(M513,","),_xlfn.LAMBDA(_xlpm.x,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3" t="str">
        <f>'Audit Report'!F513</f>
        <v/>
      </c>
      <c r="S513" t="str">
        <f>'Audit Report'!Q513</f>
        <v/>
      </c>
    </row>
    <row r="514" spans="4:19">
      <c r="D514" t="str">
        <f>'Audit Report'!B514</f>
        <v>ITD-SHRXXX-XX513</v>
      </c>
      <c r="E514" t="str">
        <f>'Audit Report'!C514</f>
        <v/>
      </c>
      <c r="I514" t="str">
        <f>'Audit Report'!D514</f>
        <v/>
      </c>
      <c r="J514" t="str">
        <f>_xlfn.TEXTJOIN(" ",TRUE,'Audit Report'!G514,'Audit Report'!H514)</f>
        <v/>
      </c>
      <c r="L514" t="str">
        <f>_xlfn.TEXTJOIN(", ", TRUE, 'Audit Report'!K514,'Audit Report'!L514,'Audit Report'!M514)</f>
        <v/>
      </c>
      <c r="M514" t="str">
        <f>'Audit Report'!O514</f>
        <v/>
      </c>
      <c r="N514" t="str" cm="1">
        <f t="array" ref="N514">IF(M514="","",
_xlfn.TEXTJOIN(", ",TRUE,
    _xlfn.MAP(_xlfn.TEXTSPLIT(M514,","),_xlfn.LAMBDA(_xlpm.x,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4" t="str">
        <f>'Audit Report'!F514</f>
        <v/>
      </c>
      <c r="S514" t="str">
        <f>'Audit Report'!Q514</f>
        <v/>
      </c>
    </row>
    <row r="515" spans="4:19">
      <c r="D515" t="str">
        <f>'Audit Report'!B515</f>
        <v>ITD-SHRXXX-XX514</v>
      </c>
      <c r="E515" t="str">
        <f>'Audit Report'!C515</f>
        <v/>
      </c>
      <c r="I515" t="str">
        <f>'Audit Report'!D515</f>
        <v/>
      </c>
      <c r="J515" t="str">
        <f>_xlfn.TEXTJOIN(" ",TRUE,'Audit Report'!G515,'Audit Report'!H515)</f>
        <v/>
      </c>
      <c r="L515" t="str">
        <f>_xlfn.TEXTJOIN(", ", TRUE, 'Audit Report'!K515,'Audit Report'!L515,'Audit Report'!M515)</f>
        <v/>
      </c>
      <c r="M515" t="str">
        <f>'Audit Report'!O515</f>
        <v/>
      </c>
      <c r="N515" t="str" cm="1">
        <f t="array" ref="N515">IF(M515="","",
_xlfn.TEXTJOIN(", ",TRUE,
    _xlfn.MAP(_xlfn.TEXTSPLIT(M515,","),_xlfn.LAMBDA(_xlpm.x,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5" t="str">
        <f>'Audit Report'!F515</f>
        <v/>
      </c>
      <c r="S515" t="str">
        <f>'Audit Report'!Q515</f>
        <v/>
      </c>
    </row>
    <row r="516" spans="4:19">
      <c r="D516" t="str">
        <f>'Audit Report'!B516</f>
        <v>ITD-SHRXXX-XX515</v>
      </c>
      <c r="E516" t="str">
        <f>'Audit Report'!C516</f>
        <v/>
      </c>
      <c r="I516" t="str">
        <f>'Audit Report'!D516</f>
        <v/>
      </c>
      <c r="J516" t="str">
        <f>_xlfn.TEXTJOIN(" ",TRUE,'Audit Report'!G516,'Audit Report'!H516)</f>
        <v/>
      </c>
      <c r="L516" t="str">
        <f>_xlfn.TEXTJOIN(", ", TRUE, 'Audit Report'!K516,'Audit Report'!L516,'Audit Report'!M516)</f>
        <v/>
      </c>
      <c r="M516" t="str">
        <f>'Audit Report'!O516</f>
        <v/>
      </c>
      <c r="N516" t="str" cm="1">
        <f t="array" ref="N516">IF(M516="","",
_xlfn.TEXTJOIN(", ",TRUE,
    _xlfn.MAP(_xlfn.TEXTSPLIT(M516,","),_xlfn.LAMBDA(_xlpm.x,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6" t="str">
        <f>'Audit Report'!F516</f>
        <v/>
      </c>
      <c r="S516" t="str">
        <f>'Audit Report'!Q516</f>
        <v/>
      </c>
    </row>
    <row r="517" spans="4:19">
      <c r="D517" t="str">
        <f>'Audit Report'!B517</f>
        <v>ITD-SHRXXX-XX516</v>
      </c>
      <c r="E517" t="str">
        <f>'Audit Report'!C517</f>
        <v/>
      </c>
      <c r="I517" t="str">
        <f>'Audit Report'!D517</f>
        <v/>
      </c>
      <c r="J517" t="str">
        <f>_xlfn.TEXTJOIN(" ",TRUE,'Audit Report'!G517,'Audit Report'!H517)</f>
        <v/>
      </c>
      <c r="L517" t="str">
        <f>_xlfn.TEXTJOIN(", ", TRUE, 'Audit Report'!K517,'Audit Report'!L517,'Audit Report'!M517)</f>
        <v/>
      </c>
      <c r="M517" t="str">
        <f>'Audit Report'!O517</f>
        <v/>
      </c>
      <c r="N517" t="str" cm="1">
        <f t="array" ref="N517">IF(M517="","",
_xlfn.TEXTJOIN(", ",TRUE,
    _xlfn.MAP(_xlfn.TEXTSPLIT(M517,","),_xlfn.LAMBDA(_xlpm.x,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7" t="str">
        <f>'Audit Report'!F517</f>
        <v/>
      </c>
      <c r="S517" t="str">
        <f>'Audit Report'!Q517</f>
        <v/>
      </c>
    </row>
    <row r="518" spans="4:19">
      <c r="D518" t="str">
        <f>'Audit Report'!B518</f>
        <v>ITD-SHRXXX-XX517</v>
      </c>
      <c r="E518" t="str">
        <f>'Audit Report'!C518</f>
        <v/>
      </c>
      <c r="I518" t="str">
        <f>'Audit Report'!D518</f>
        <v/>
      </c>
      <c r="J518" t="str">
        <f>_xlfn.TEXTJOIN(" ",TRUE,'Audit Report'!G518,'Audit Report'!H518)</f>
        <v/>
      </c>
      <c r="L518" t="str">
        <f>_xlfn.TEXTJOIN(", ", TRUE, 'Audit Report'!K518,'Audit Report'!L518,'Audit Report'!M518)</f>
        <v/>
      </c>
      <c r="M518" t="str">
        <f>'Audit Report'!O518</f>
        <v/>
      </c>
      <c r="N518" t="str" cm="1">
        <f t="array" ref="N518">IF(M518="","",
_xlfn.TEXTJOIN(", ",TRUE,
    _xlfn.MAP(_xlfn.TEXTSPLIT(M518,","),_xlfn.LAMBDA(_xlpm.x,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8" t="str">
        <f>'Audit Report'!F518</f>
        <v/>
      </c>
      <c r="S518" t="str">
        <f>'Audit Report'!Q518</f>
        <v/>
      </c>
    </row>
    <row r="519" spans="4:19">
      <c r="D519" t="str">
        <f>'Audit Report'!B519</f>
        <v>ITD-SHRXXX-XX518</v>
      </c>
      <c r="E519" t="str">
        <f>'Audit Report'!C519</f>
        <v/>
      </c>
      <c r="I519" t="str">
        <f>'Audit Report'!D519</f>
        <v/>
      </c>
      <c r="J519" t="str">
        <f>_xlfn.TEXTJOIN(" ",TRUE,'Audit Report'!G519,'Audit Report'!H519)</f>
        <v/>
      </c>
      <c r="L519" t="str">
        <f>_xlfn.TEXTJOIN(", ", TRUE, 'Audit Report'!K519,'Audit Report'!L519,'Audit Report'!M519)</f>
        <v/>
      </c>
      <c r="M519" t="str">
        <f>'Audit Report'!O519</f>
        <v/>
      </c>
      <c r="N519" t="str" cm="1">
        <f t="array" ref="N519">IF(M519="","",
_xlfn.TEXTJOIN(", ",TRUE,
    _xlfn.MAP(_xlfn.TEXTSPLIT(M519,","),_xlfn.LAMBDA(_xlpm.x,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9" t="str">
        <f>'Audit Report'!F519</f>
        <v/>
      </c>
      <c r="S519" t="str">
        <f>'Audit Report'!Q519</f>
        <v/>
      </c>
    </row>
    <row r="520" spans="4:19">
      <c r="D520" t="str">
        <f>'Audit Report'!B520</f>
        <v>ITD-SHRXXX-XX519</v>
      </c>
      <c r="E520" t="str">
        <f>'Audit Report'!C520</f>
        <v/>
      </c>
      <c r="I520" t="str">
        <f>'Audit Report'!D520</f>
        <v/>
      </c>
      <c r="J520" t="str">
        <f>_xlfn.TEXTJOIN(" ",TRUE,'Audit Report'!G520,'Audit Report'!H520)</f>
        <v/>
      </c>
      <c r="L520" t="str">
        <f>_xlfn.TEXTJOIN(", ", TRUE, 'Audit Report'!K520,'Audit Report'!L520,'Audit Report'!M520)</f>
        <v/>
      </c>
      <c r="M520" t="str">
        <f>'Audit Report'!O520</f>
        <v/>
      </c>
      <c r="N520" t="str" cm="1">
        <f t="array" ref="N520">IF(M520="","",
_xlfn.TEXTJOIN(", ",TRUE,
    _xlfn.MAP(_xlfn.TEXTSPLIT(M520,","),_xlfn.LAMBDA(_xlpm.x,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0" t="str">
        <f>'Audit Report'!F520</f>
        <v/>
      </c>
      <c r="S520" t="str">
        <f>'Audit Report'!Q520</f>
        <v/>
      </c>
    </row>
    <row r="521" spans="4:19">
      <c r="D521" t="str">
        <f>'Audit Report'!B521</f>
        <v>ITD-SHRXXX-XX520</v>
      </c>
      <c r="E521" t="str">
        <f>'Audit Report'!C521</f>
        <v/>
      </c>
      <c r="I521" t="str">
        <f>'Audit Report'!D521</f>
        <v/>
      </c>
      <c r="J521" t="str">
        <f>_xlfn.TEXTJOIN(" ",TRUE,'Audit Report'!G521,'Audit Report'!H521)</f>
        <v/>
      </c>
      <c r="L521" t="str">
        <f>_xlfn.TEXTJOIN(", ", TRUE, 'Audit Report'!K521,'Audit Report'!L521,'Audit Report'!M521)</f>
        <v/>
      </c>
      <c r="M521" t="str">
        <f>'Audit Report'!O521</f>
        <v/>
      </c>
      <c r="N521" t="str" cm="1">
        <f t="array" ref="N521">IF(M521="","",
_xlfn.TEXTJOIN(", ",TRUE,
    _xlfn.MAP(_xlfn.TEXTSPLIT(M521,","),_xlfn.LAMBDA(_xlpm.x,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1" t="str">
        <f>'Audit Report'!F521</f>
        <v/>
      </c>
      <c r="S521" t="str">
        <f>'Audit Report'!Q521</f>
        <v/>
      </c>
    </row>
    <row r="522" spans="4:19">
      <c r="D522" t="str">
        <f>'Audit Report'!B522</f>
        <v>ITD-SHRXXX-XX521</v>
      </c>
      <c r="E522" t="str">
        <f>'Audit Report'!C522</f>
        <v/>
      </c>
      <c r="I522" t="str">
        <f>'Audit Report'!D522</f>
        <v/>
      </c>
      <c r="J522" t="str">
        <f>_xlfn.TEXTJOIN(" ",TRUE,'Audit Report'!G522,'Audit Report'!H522)</f>
        <v/>
      </c>
      <c r="L522" t="str">
        <f>_xlfn.TEXTJOIN(", ", TRUE, 'Audit Report'!K522,'Audit Report'!L522,'Audit Report'!M522)</f>
        <v/>
      </c>
      <c r="M522" t="str">
        <f>'Audit Report'!O522</f>
        <v/>
      </c>
      <c r="N522" t="str" cm="1">
        <f t="array" ref="N522">IF(M522="","",
_xlfn.TEXTJOIN(", ",TRUE,
    _xlfn.MAP(_xlfn.TEXTSPLIT(M522,","),_xlfn.LAMBDA(_xlpm.x,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2" t="str">
        <f>'Audit Report'!F522</f>
        <v/>
      </c>
      <c r="S522" t="str">
        <f>'Audit Report'!Q522</f>
        <v/>
      </c>
    </row>
    <row r="523" spans="4:19">
      <c r="D523" t="str">
        <f>'Audit Report'!B523</f>
        <v>ITD-SHRXXX-XX522</v>
      </c>
      <c r="E523" t="str">
        <f>'Audit Report'!C523</f>
        <v/>
      </c>
      <c r="I523" t="str">
        <f>'Audit Report'!D523</f>
        <v/>
      </c>
      <c r="J523" t="str">
        <f>_xlfn.TEXTJOIN(" ",TRUE,'Audit Report'!G523,'Audit Report'!H523)</f>
        <v/>
      </c>
      <c r="L523" t="str">
        <f>_xlfn.TEXTJOIN(", ", TRUE, 'Audit Report'!K523,'Audit Report'!L523,'Audit Report'!M523)</f>
        <v/>
      </c>
      <c r="M523" t="str">
        <f>'Audit Report'!O523</f>
        <v/>
      </c>
      <c r="N523" t="str" cm="1">
        <f t="array" ref="N523">IF(M523="","",
_xlfn.TEXTJOIN(", ",TRUE,
    _xlfn.MAP(_xlfn.TEXTSPLIT(M523,","),_xlfn.LAMBDA(_xlpm.x,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3" t="str">
        <f>'Audit Report'!F523</f>
        <v/>
      </c>
      <c r="S523" t="str">
        <f>'Audit Report'!Q523</f>
        <v/>
      </c>
    </row>
    <row r="524" spans="4:19">
      <c r="D524" t="str">
        <f>'Audit Report'!B524</f>
        <v>ITD-SHRXXX-XX523</v>
      </c>
      <c r="E524" t="str">
        <f>'Audit Report'!C524</f>
        <v/>
      </c>
      <c r="I524" t="str">
        <f>'Audit Report'!D524</f>
        <v/>
      </c>
      <c r="J524" t="str">
        <f>_xlfn.TEXTJOIN(" ",TRUE,'Audit Report'!G524,'Audit Report'!H524)</f>
        <v/>
      </c>
      <c r="L524" t="str">
        <f>_xlfn.TEXTJOIN(", ", TRUE, 'Audit Report'!K524,'Audit Report'!L524,'Audit Report'!M524)</f>
        <v/>
      </c>
      <c r="M524" t="str">
        <f>'Audit Report'!O524</f>
        <v/>
      </c>
      <c r="N524" t="str" cm="1">
        <f t="array" ref="N524">IF(M524="","",
_xlfn.TEXTJOIN(", ",TRUE,
    _xlfn.MAP(_xlfn.TEXTSPLIT(M524,","),_xlfn.LAMBDA(_xlpm.x,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4" t="str">
        <f>'Audit Report'!F524</f>
        <v/>
      </c>
      <c r="S524" t="str">
        <f>'Audit Report'!Q524</f>
        <v/>
      </c>
    </row>
    <row r="525" spans="4:19">
      <c r="D525" t="str">
        <f>'Audit Report'!B525</f>
        <v>ITD-SHRXXX-XX524</v>
      </c>
      <c r="E525" t="str">
        <f>'Audit Report'!C525</f>
        <v/>
      </c>
      <c r="I525" t="str">
        <f>'Audit Report'!D525</f>
        <v/>
      </c>
      <c r="J525" t="str">
        <f>_xlfn.TEXTJOIN(" ",TRUE,'Audit Report'!G525,'Audit Report'!H525)</f>
        <v/>
      </c>
      <c r="L525" t="str">
        <f>_xlfn.TEXTJOIN(", ", TRUE, 'Audit Report'!K525,'Audit Report'!L525,'Audit Report'!M525)</f>
        <v/>
      </c>
      <c r="M525" t="str">
        <f>'Audit Report'!O525</f>
        <v/>
      </c>
      <c r="N525" t="str" cm="1">
        <f t="array" ref="N525">IF(M525="","",
_xlfn.TEXTJOIN(", ",TRUE,
    _xlfn.MAP(_xlfn.TEXTSPLIT(M525,","),_xlfn.LAMBDA(_xlpm.x,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5" t="str">
        <f>'Audit Report'!F525</f>
        <v/>
      </c>
      <c r="S525" t="str">
        <f>'Audit Report'!Q525</f>
        <v/>
      </c>
    </row>
    <row r="526" spans="4:19">
      <c r="D526" t="str">
        <f>'Audit Report'!B526</f>
        <v>ITD-SHRXXX-XX525</v>
      </c>
      <c r="E526" t="str">
        <f>'Audit Report'!C526</f>
        <v/>
      </c>
      <c r="I526" t="str">
        <f>'Audit Report'!D526</f>
        <v/>
      </c>
      <c r="J526" t="str">
        <f>_xlfn.TEXTJOIN(" ",TRUE,'Audit Report'!G526,'Audit Report'!H526)</f>
        <v/>
      </c>
      <c r="L526" t="str">
        <f>_xlfn.TEXTJOIN(", ", TRUE, 'Audit Report'!K526,'Audit Report'!L526,'Audit Report'!M526)</f>
        <v/>
      </c>
      <c r="M526" t="str">
        <f>'Audit Report'!O526</f>
        <v/>
      </c>
      <c r="N526" t="str" cm="1">
        <f t="array" ref="N526">IF(M526="","",
_xlfn.TEXTJOIN(", ",TRUE,
    _xlfn.MAP(_xlfn.TEXTSPLIT(M526,","),_xlfn.LAMBDA(_xlpm.x,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6" t="str">
        <f>'Audit Report'!F526</f>
        <v/>
      </c>
      <c r="S526" t="str">
        <f>'Audit Report'!Q526</f>
        <v/>
      </c>
    </row>
    <row r="527" spans="4:19">
      <c r="D527" t="str">
        <f>'Audit Report'!B527</f>
        <v>ITD-SHRXXX-XX526</v>
      </c>
      <c r="E527" t="str">
        <f>'Audit Report'!C527</f>
        <v/>
      </c>
      <c r="I527" t="str">
        <f>'Audit Report'!D527</f>
        <v/>
      </c>
      <c r="J527" t="str">
        <f>_xlfn.TEXTJOIN(" ",TRUE,'Audit Report'!G527,'Audit Report'!H527)</f>
        <v/>
      </c>
      <c r="L527" t="str">
        <f>_xlfn.TEXTJOIN(", ", TRUE, 'Audit Report'!K527,'Audit Report'!L527,'Audit Report'!M527)</f>
        <v/>
      </c>
      <c r="M527" t="str">
        <f>'Audit Report'!O527</f>
        <v/>
      </c>
      <c r="N527" t="str" cm="1">
        <f t="array" ref="N527">IF(M527="","",
_xlfn.TEXTJOIN(", ",TRUE,
    _xlfn.MAP(_xlfn.TEXTSPLIT(M527,","),_xlfn.LAMBDA(_xlpm.x,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7" t="str">
        <f>'Audit Report'!F527</f>
        <v/>
      </c>
      <c r="S527" t="str">
        <f>'Audit Report'!Q527</f>
        <v/>
      </c>
    </row>
    <row r="528" spans="4:19">
      <c r="D528" t="str">
        <f>'Audit Report'!B528</f>
        <v>ITD-SHRXXX-XX527</v>
      </c>
      <c r="E528" t="str">
        <f>'Audit Report'!C528</f>
        <v/>
      </c>
      <c r="I528" t="str">
        <f>'Audit Report'!D528</f>
        <v/>
      </c>
      <c r="J528" t="str">
        <f>_xlfn.TEXTJOIN(" ",TRUE,'Audit Report'!G528,'Audit Report'!H528)</f>
        <v/>
      </c>
      <c r="L528" t="str">
        <f>_xlfn.TEXTJOIN(", ", TRUE, 'Audit Report'!K528,'Audit Report'!L528,'Audit Report'!M528)</f>
        <v/>
      </c>
      <c r="M528" t="str">
        <f>'Audit Report'!O528</f>
        <v/>
      </c>
      <c r="N528" t="str" cm="1">
        <f t="array" ref="N528">IF(M528="","",
_xlfn.TEXTJOIN(", ",TRUE,
    _xlfn.MAP(_xlfn.TEXTSPLIT(M528,","),_xlfn.LAMBDA(_xlpm.x,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8" t="str">
        <f>'Audit Report'!F528</f>
        <v/>
      </c>
      <c r="S528" t="str">
        <f>'Audit Report'!Q528</f>
        <v/>
      </c>
    </row>
    <row r="529" spans="4:19">
      <c r="D529" t="str">
        <f>'Audit Report'!B529</f>
        <v>ITD-SHRXXX-XX528</v>
      </c>
      <c r="E529" t="str">
        <f>'Audit Report'!C529</f>
        <v/>
      </c>
      <c r="I529" t="str">
        <f>'Audit Report'!D529</f>
        <v/>
      </c>
      <c r="J529" t="str">
        <f>_xlfn.TEXTJOIN(" ",TRUE,'Audit Report'!G529,'Audit Report'!H529)</f>
        <v/>
      </c>
      <c r="L529" t="str">
        <f>_xlfn.TEXTJOIN(", ", TRUE, 'Audit Report'!K529,'Audit Report'!L529,'Audit Report'!M529)</f>
        <v/>
      </c>
      <c r="M529" t="str">
        <f>'Audit Report'!O529</f>
        <v/>
      </c>
      <c r="N529" t="str" cm="1">
        <f t="array" ref="N529">IF(M529="","",
_xlfn.TEXTJOIN(", ",TRUE,
    _xlfn.MAP(_xlfn.TEXTSPLIT(M529,","),_xlfn.LAMBDA(_xlpm.x,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9" t="str">
        <f>'Audit Report'!F529</f>
        <v/>
      </c>
      <c r="S529" t="str">
        <f>'Audit Report'!Q529</f>
        <v/>
      </c>
    </row>
    <row r="530" spans="4:19">
      <c r="D530" t="str">
        <f>'Audit Report'!B530</f>
        <v>ITD-SHRXXX-XX529</v>
      </c>
      <c r="E530" t="str">
        <f>'Audit Report'!C530</f>
        <v/>
      </c>
      <c r="I530" t="str">
        <f>'Audit Report'!D530</f>
        <v/>
      </c>
      <c r="J530" t="str">
        <f>_xlfn.TEXTJOIN(" ",TRUE,'Audit Report'!G530,'Audit Report'!H530)</f>
        <v/>
      </c>
      <c r="L530" t="str">
        <f>_xlfn.TEXTJOIN(", ", TRUE, 'Audit Report'!K530,'Audit Report'!L530,'Audit Report'!M530)</f>
        <v/>
      </c>
      <c r="M530" t="str">
        <f>'Audit Report'!O530</f>
        <v/>
      </c>
      <c r="N530" t="str" cm="1">
        <f t="array" ref="N530">IF(M530="","",
_xlfn.TEXTJOIN(", ",TRUE,
    _xlfn.MAP(_xlfn.TEXTSPLIT(M530,","),_xlfn.LAMBDA(_xlpm.x,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0" t="str">
        <f>'Audit Report'!F530</f>
        <v/>
      </c>
      <c r="S530" t="str">
        <f>'Audit Report'!Q530</f>
        <v/>
      </c>
    </row>
    <row r="531" spans="4:19">
      <c r="D531" t="str">
        <f>'Audit Report'!B531</f>
        <v>ITD-SHRXXX-XX530</v>
      </c>
      <c r="E531" t="str">
        <f>'Audit Report'!C531</f>
        <v/>
      </c>
      <c r="I531" t="str">
        <f>'Audit Report'!D531</f>
        <v/>
      </c>
      <c r="J531" t="str">
        <f>_xlfn.TEXTJOIN(" ",TRUE,'Audit Report'!G531,'Audit Report'!H531)</f>
        <v/>
      </c>
      <c r="L531" t="str">
        <f>_xlfn.TEXTJOIN(", ", TRUE, 'Audit Report'!K531,'Audit Report'!L531,'Audit Report'!M531)</f>
        <v/>
      </c>
      <c r="M531" t="str">
        <f>'Audit Report'!O531</f>
        <v/>
      </c>
      <c r="N531" t="str" cm="1">
        <f t="array" ref="N531">IF(M531="","",
_xlfn.TEXTJOIN(", ",TRUE,
    _xlfn.MAP(_xlfn.TEXTSPLIT(M531,","),_xlfn.LAMBDA(_xlpm.x,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1" t="str">
        <f>'Audit Report'!F531</f>
        <v/>
      </c>
      <c r="S531" t="str">
        <f>'Audit Report'!Q531</f>
        <v/>
      </c>
    </row>
    <row r="532" spans="4:19">
      <c r="D532" t="str">
        <f>'Audit Report'!B532</f>
        <v>ITD-SHRXXX-XX531</v>
      </c>
      <c r="E532" t="str">
        <f>'Audit Report'!C532</f>
        <v/>
      </c>
      <c r="I532" t="str">
        <f>'Audit Report'!D532</f>
        <v/>
      </c>
      <c r="J532" t="str">
        <f>_xlfn.TEXTJOIN(" ",TRUE,'Audit Report'!G532,'Audit Report'!H532)</f>
        <v/>
      </c>
      <c r="L532" t="str">
        <f>_xlfn.TEXTJOIN(", ", TRUE, 'Audit Report'!K532,'Audit Report'!L532,'Audit Report'!M532)</f>
        <v/>
      </c>
      <c r="M532" t="str">
        <f>'Audit Report'!O532</f>
        <v/>
      </c>
      <c r="N532" t="str" cm="1">
        <f t="array" ref="N532">IF(M532="","",
_xlfn.TEXTJOIN(", ",TRUE,
    _xlfn.MAP(_xlfn.TEXTSPLIT(M532,","),_xlfn.LAMBDA(_xlpm.x,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2" t="str">
        <f>'Audit Report'!F532</f>
        <v/>
      </c>
      <c r="S532" t="str">
        <f>'Audit Report'!Q532</f>
        <v/>
      </c>
    </row>
    <row r="533" spans="4:19">
      <c r="D533" t="str">
        <f>'Audit Report'!B533</f>
        <v>ITD-SHRXXX-XX532</v>
      </c>
      <c r="E533" t="str">
        <f>'Audit Report'!C533</f>
        <v/>
      </c>
      <c r="I533" t="str">
        <f>'Audit Report'!D533</f>
        <v/>
      </c>
      <c r="J533" t="str">
        <f>_xlfn.TEXTJOIN(" ",TRUE,'Audit Report'!G533,'Audit Report'!H533)</f>
        <v/>
      </c>
      <c r="L533" t="str">
        <f>_xlfn.TEXTJOIN(", ", TRUE, 'Audit Report'!K533,'Audit Report'!L533,'Audit Report'!M533)</f>
        <v/>
      </c>
      <c r="M533" t="str">
        <f>'Audit Report'!O533</f>
        <v/>
      </c>
      <c r="N533" t="str" cm="1">
        <f t="array" ref="N533">IF(M533="","",
_xlfn.TEXTJOIN(", ",TRUE,
    _xlfn.MAP(_xlfn.TEXTSPLIT(M533,","),_xlfn.LAMBDA(_xlpm.x,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3" t="str">
        <f>'Audit Report'!F533</f>
        <v/>
      </c>
      <c r="S533" t="str">
        <f>'Audit Report'!Q533</f>
        <v/>
      </c>
    </row>
    <row r="534" spans="4:19">
      <c r="D534" t="str">
        <f>'Audit Report'!B534</f>
        <v>ITD-SHRXXX-XX533</v>
      </c>
      <c r="E534" t="str">
        <f>'Audit Report'!C534</f>
        <v/>
      </c>
      <c r="I534" t="str">
        <f>'Audit Report'!D534</f>
        <v/>
      </c>
      <c r="J534" t="str">
        <f>_xlfn.TEXTJOIN(" ",TRUE,'Audit Report'!G534,'Audit Report'!H534)</f>
        <v/>
      </c>
      <c r="L534" t="str">
        <f>_xlfn.TEXTJOIN(", ", TRUE, 'Audit Report'!K534,'Audit Report'!L534,'Audit Report'!M534)</f>
        <v/>
      </c>
      <c r="M534" t="str">
        <f>'Audit Report'!O534</f>
        <v/>
      </c>
      <c r="N534" t="str" cm="1">
        <f t="array" ref="N534">IF(M534="","",
_xlfn.TEXTJOIN(", ",TRUE,
    _xlfn.MAP(_xlfn.TEXTSPLIT(M534,","),_xlfn.LAMBDA(_xlpm.x,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4" t="str">
        <f>'Audit Report'!F534</f>
        <v/>
      </c>
      <c r="S534" t="str">
        <f>'Audit Report'!Q534</f>
        <v/>
      </c>
    </row>
    <row r="535" spans="4:19">
      <c r="D535" t="str">
        <f>'Audit Report'!B535</f>
        <v>ITD-SHRXXX-XX534</v>
      </c>
      <c r="E535" t="str">
        <f>'Audit Report'!C535</f>
        <v/>
      </c>
      <c r="I535" t="str">
        <f>'Audit Report'!D535</f>
        <v/>
      </c>
      <c r="J535" t="str">
        <f>_xlfn.TEXTJOIN(" ",TRUE,'Audit Report'!G535,'Audit Report'!H535)</f>
        <v/>
      </c>
      <c r="L535" t="str">
        <f>_xlfn.TEXTJOIN(", ", TRUE, 'Audit Report'!K535,'Audit Report'!L535,'Audit Report'!M535)</f>
        <v/>
      </c>
      <c r="M535" t="str">
        <f>'Audit Report'!O535</f>
        <v/>
      </c>
      <c r="N535" t="str" cm="1">
        <f t="array" ref="N535">IF(M535="","",
_xlfn.TEXTJOIN(", ",TRUE,
    _xlfn.MAP(_xlfn.TEXTSPLIT(M535,","),_xlfn.LAMBDA(_xlpm.x,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5" t="str">
        <f>'Audit Report'!F535</f>
        <v/>
      </c>
      <c r="S535" t="str">
        <f>'Audit Report'!Q535</f>
        <v/>
      </c>
    </row>
    <row r="536" spans="4:19">
      <c r="D536" t="str">
        <f>'Audit Report'!B536</f>
        <v>ITD-SHRXXX-XX535</v>
      </c>
      <c r="E536" t="str">
        <f>'Audit Report'!C536</f>
        <v/>
      </c>
      <c r="I536" t="str">
        <f>'Audit Report'!D536</f>
        <v/>
      </c>
      <c r="J536" t="str">
        <f>_xlfn.TEXTJOIN(" ",TRUE,'Audit Report'!G536,'Audit Report'!H536)</f>
        <v/>
      </c>
      <c r="L536" t="str">
        <f>_xlfn.TEXTJOIN(", ", TRUE, 'Audit Report'!K536,'Audit Report'!L536,'Audit Report'!M536)</f>
        <v/>
      </c>
      <c r="M536" t="str">
        <f>'Audit Report'!O536</f>
        <v/>
      </c>
      <c r="N536" t="str" cm="1">
        <f t="array" ref="N536">IF(M536="","",
_xlfn.TEXTJOIN(", ",TRUE,
    _xlfn.MAP(_xlfn.TEXTSPLIT(M536,","),_xlfn.LAMBDA(_xlpm.x,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6" t="str">
        <f>'Audit Report'!F536</f>
        <v/>
      </c>
      <c r="S536" t="str">
        <f>'Audit Report'!Q536</f>
        <v/>
      </c>
    </row>
    <row r="537" spans="4:19">
      <c r="D537" t="str">
        <f>'Audit Report'!B537</f>
        <v>ITD-SHRXXX-XX536</v>
      </c>
      <c r="E537" t="str">
        <f>'Audit Report'!C537</f>
        <v/>
      </c>
      <c r="I537" t="str">
        <f>'Audit Report'!D537</f>
        <v/>
      </c>
      <c r="J537" t="str">
        <f>_xlfn.TEXTJOIN(" ",TRUE,'Audit Report'!G537,'Audit Report'!H537)</f>
        <v/>
      </c>
      <c r="L537" t="str">
        <f>_xlfn.TEXTJOIN(", ", TRUE, 'Audit Report'!K537,'Audit Report'!L537,'Audit Report'!M537)</f>
        <v/>
      </c>
      <c r="M537" t="str">
        <f>'Audit Report'!O537</f>
        <v/>
      </c>
      <c r="N537" t="str" cm="1">
        <f t="array" ref="N537">IF(M537="","",
_xlfn.TEXTJOIN(", ",TRUE,
    _xlfn.MAP(_xlfn.TEXTSPLIT(M537,","),_xlfn.LAMBDA(_xlpm.x,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7" t="str">
        <f>'Audit Report'!F537</f>
        <v/>
      </c>
      <c r="S537" t="str">
        <f>'Audit Report'!Q537</f>
        <v/>
      </c>
    </row>
    <row r="538" spans="4:19">
      <c r="D538" t="str">
        <f>'Audit Report'!B538</f>
        <v>ITD-SHRXXX-XX537</v>
      </c>
      <c r="E538" t="str">
        <f>'Audit Report'!C538</f>
        <v/>
      </c>
      <c r="I538" t="str">
        <f>'Audit Report'!D538</f>
        <v/>
      </c>
      <c r="J538" t="str">
        <f>_xlfn.TEXTJOIN(" ",TRUE,'Audit Report'!G538,'Audit Report'!H538)</f>
        <v/>
      </c>
      <c r="L538" t="str">
        <f>_xlfn.TEXTJOIN(", ", TRUE, 'Audit Report'!K538,'Audit Report'!L538,'Audit Report'!M538)</f>
        <v/>
      </c>
      <c r="M538" t="str">
        <f>'Audit Report'!O538</f>
        <v/>
      </c>
      <c r="N538" t="str" cm="1">
        <f t="array" ref="N538">IF(M538="","",
_xlfn.TEXTJOIN(", ",TRUE,
    _xlfn.MAP(_xlfn.TEXTSPLIT(M538,","),_xlfn.LAMBDA(_xlpm.x,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8" t="str">
        <f>'Audit Report'!F538</f>
        <v/>
      </c>
      <c r="S538" t="str">
        <f>'Audit Report'!Q538</f>
        <v/>
      </c>
    </row>
    <row r="539" spans="4:19">
      <c r="D539" t="str">
        <f>'Audit Report'!B539</f>
        <v>ITD-SHRXXX-XX538</v>
      </c>
      <c r="E539" t="str">
        <f>'Audit Report'!C539</f>
        <v/>
      </c>
      <c r="I539" t="str">
        <f>'Audit Report'!D539</f>
        <v/>
      </c>
      <c r="J539" t="str">
        <f>_xlfn.TEXTJOIN(" ",TRUE,'Audit Report'!G539,'Audit Report'!H539)</f>
        <v/>
      </c>
      <c r="L539" t="str">
        <f>_xlfn.TEXTJOIN(", ", TRUE, 'Audit Report'!K539,'Audit Report'!L539,'Audit Report'!M539)</f>
        <v/>
      </c>
      <c r="M539" t="str">
        <f>'Audit Report'!O539</f>
        <v/>
      </c>
      <c r="N539" t="str" cm="1">
        <f t="array" ref="N539">IF(M539="","",
_xlfn.TEXTJOIN(", ",TRUE,
    _xlfn.MAP(_xlfn.TEXTSPLIT(M539,","),_xlfn.LAMBDA(_xlpm.x,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9" t="str">
        <f>'Audit Report'!F539</f>
        <v/>
      </c>
      <c r="S539" t="str">
        <f>'Audit Report'!Q539</f>
        <v/>
      </c>
    </row>
    <row r="540" spans="4:19">
      <c r="D540" t="str">
        <f>'Audit Report'!B540</f>
        <v>ITD-SHRXXX-XX539</v>
      </c>
      <c r="E540" t="str">
        <f>'Audit Report'!C540</f>
        <v/>
      </c>
      <c r="I540" t="str">
        <f>'Audit Report'!D540</f>
        <v/>
      </c>
      <c r="J540" t="str">
        <f>_xlfn.TEXTJOIN(" ",TRUE,'Audit Report'!G540,'Audit Report'!H540)</f>
        <v/>
      </c>
      <c r="L540" t="str">
        <f>_xlfn.TEXTJOIN(", ", TRUE, 'Audit Report'!K540,'Audit Report'!L540,'Audit Report'!M540)</f>
        <v/>
      </c>
      <c r="M540" t="str">
        <f>'Audit Report'!O540</f>
        <v/>
      </c>
      <c r="N540" t="str" cm="1">
        <f t="array" ref="N540">IF(M540="","",
_xlfn.TEXTJOIN(", ",TRUE,
    _xlfn.MAP(_xlfn.TEXTSPLIT(M540,","),_xlfn.LAMBDA(_xlpm.x,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0" t="str">
        <f>'Audit Report'!F540</f>
        <v/>
      </c>
      <c r="S540" t="str">
        <f>'Audit Report'!Q540</f>
        <v/>
      </c>
    </row>
    <row r="541" spans="4:19">
      <c r="D541" t="str">
        <f>'Audit Report'!B541</f>
        <v>ITD-SHRXXX-XX540</v>
      </c>
      <c r="E541" t="str">
        <f>'Audit Report'!C541</f>
        <v/>
      </c>
      <c r="I541" t="str">
        <f>'Audit Report'!D541</f>
        <v/>
      </c>
      <c r="J541" t="str">
        <f>_xlfn.TEXTJOIN(" ",TRUE,'Audit Report'!G541,'Audit Report'!H541)</f>
        <v/>
      </c>
      <c r="L541" t="str">
        <f>_xlfn.TEXTJOIN(", ", TRUE, 'Audit Report'!K541,'Audit Report'!L541,'Audit Report'!M541)</f>
        <v/>
      </c>
      <c r="M541" t="str">
        <f>'Audit Report'!O541</f>
        <v/>
      </c>
      <c r="N541" t="str" cm="1">
        <f t="array" ref="N541">IF(M541="","",
_xlfn.TEXTJOIN(", ",TRUE,
    _xlfn.MAP(_xlfn.TEXTSPLIT(M541,","),_xlfn.LAMBDA(_xlpm.x,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1" t="str">
        <f>'Audit Report'!F541</f>
        <v/>
      </c>
      <c r="S541" t="str">
        <f>'Audit Report'!Q541</f>
        <v/>
      </c>
    </row>
    <row r="542" spans="4:19">
      <c r="D542" t="str">
        <f>'Audit Report'!B542</f>
        <v>ITD-SHRXXX-XX541</v>
      </c>
      <c r="E542" t="str">
        <f>'Audit Report'!C542</f>
        <v/>
      </c>
      <c r="I542" t="str">
        <f>'Audit Report'!D542</f>
        <v/>
      </c>
      <c r="J542" t="str">
        <f>_xlfn.TEXTJOIN(" ",TRUE,'Audit Report'!G542,'Audit Report'!H542)</f>
        <v/>
      </c>
      <c r="L542" t="str">
        <f>_xlfn.TEXTJOIN(", ", TRUE, 'Audit Report'!K542,'Audit Report'!L542,'Audit Report'!M542)</f>
        <v/>
      </c>
      <c r="M542" t="str">
        <f>'Audit Report'!O542</f>
        <v/>
      </c>
      <c r="N542" t="str" cm="1">
        <f t="array" ref="N542">IF(M542="","",
_xlfn.TEXTJOIN(", ",TRUE,
    _xlfn.MAP(_xlfn.TEXTSPLIT(M542,","),_xlfn.LAMBDA(_xlpm.x,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2" t="str">
        <f>'Audit Report'!F542</f>
        <v/>
      </c>
      <c r="S542" t="str">
        <f>'Audit Report'!Q542</f>
        <v/>
      </c>
    </row>
    <row r="543" spans="4:19">
      <c r="D543" t="str">
        <f>'Audit Report'!B543</f>
        <v>ITD-SHRXXX-XX542</v>
      </c>
      <c r="E543" t="str">
        <f>'Audit Report'!C543</f>
        <v/>
      </c>
      <c r="I543" t="str">
        <f>'Audit Report'!D543</f>
        <v/>
      </c>
      <c r="J543" t="str">
        <f>_xlfn.TEXTJOIN(" ",TRUE,'Audit Report'!G543,'Audit Report'!H543)</f>
        <v/>
      </c>
      <c r="L543" t="str">
        <f>_xlfn.TEXTJOIN(", ", TRUE, 'Audit Report'!K543,'Audit Report'!L543,'Audit Report'!M543)</f>
        <v/>
      </c>
      <c r="M543" t="str">
        <f>'Audit Report'!O543</f>
        <v/>
      </c>
      <c r="N543" t="str" cm="1">
        <f t="array" ref="N543">IF(M543="","",
_xlfn.TEXTJOIN(", ",TRUE,
    _xlfn.MAP(_xlfn.TEXTSPLIT(M543,","),_xlfn.LAMBDA(_xlpm.x,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3" t="str">
        <f>'Audit Report'!F543</f>
        <v/>
      </c>
      <c r="S543" t="str">
        <f>'Audit Report'!Q543</f>
        <v/>
      </c>
    </row>
    <row r="544" spans="4:19">
      <c r="D544" t="str">
        <f>'Audit Report'!B544</f>
        <v>ITD-SHRXXX-XX543</v>
      </c>
      <c r="E544" t="str">
        <f>'Audit Report'!C544</f>
        <v/>
      </c>
      <c r="I544" t="str">
        <f>'Audit Report'!D544</f>
        <v/>
      </c>
      <c r="J544" t="str">
        <f>_xlfn.TEXTJOIN(" ",TRUE,'Audit Report'!G544,'Audit Report'!H544)</f>
        <v/>
      </c>
      <c r="L544" t="str">
        <f>_xlfn.TEXTJOIN(", ", TRUE, 'Audit Report'!K544,'Audit Report'!L544,'Audit Report'!M544)</f>
        <v/>
      </c>
      <c r="M544" t="str">
        <f>'Audit Report'!O544</f>
        <v/>
      </c>
      <c r="N544" t="str" cm="1">
        <f t="array" ref="N544">IF(M544="","",
_xlfn.TEXTJOIN(", ",TRUE,
    _xlfn.MAP(_xlfn.TEXTSPLIT(M544,","),_xlfn.LAMBDA(_xlpm.x,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4" t="str">
        <f>'Audit Report'!F544</f>
        <v/>
      </c>
      <c r="S544" t="str">
        <f>'Audit Report'!Q544</f>
        <v/>
      </c>
    </row>
    <row r="545" spans="4:19">
      <c r="D545" t="str">
        <f>'Audit Report'!B545</f>
        <v>ITD-SHRXXX-XX544</v>
      </c>
      <c r="E545" t="str">
        <f>'Audit Report'!C545</f>
        <v/>
      </c>
      <c r="I545" t="str">
        <f>'Audit Report'!D545</f>
        <v/>
      </c>
      <c r="J545" t="str">
        <f>_xlfn.TEXTJOIN(" ",TRUE,'Audit Report'!G545,'Audit Report'!H545)</f>
        <v/>
      </c>
      <c r="L545" t="str">
        <f>_xlfn.TEXTJOIN(", ", TRUE, 'Audit Report'!K545,'Audit Report'!L545,'Audit Report'!M545)</f>
        <v/>
      </c>
      <c r="M545" t="str">
        <f>'Audit Report'!O545</f>
        <v/>
      </c>
      <c r="N545" t="str" cm="1">
        <f t="array" ref="N545">IF(M545="","",
_xlfn.TEXTJOIN(", ",TRUE,
    _xlfn.MAP(_xlfn.TEXTSPLIT(M545,","),_xlfn.LAMBDA(_xlpm.x,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5" t="str">
        <f>'Audit Report'!F545</f>
        <v/>
      </c>
      <c r="S545" t="str">
        <f>'Audit Report'!Q545</f>
        <v/>
      </c>
    </row>
    <row r="546" spans="4:19">
      <c r="D546" t="str">
        <f>'Audit Report'!B546</f>
        <v>ITD-SHRXXX-XX545</v>
      </c>
      <c r="E546" t="str">
        <f>'Audit Report'!C546</f>
        <v/>
      </c>
      <c r="I546" t="str">
        <f>'Audit Report'!D546</f>
        <v/>
      </c>
      <c r="J546" t="str">
        <f>_xlfn.TEXTJOIN(" ",TRUE,'Audit Report'!G546,'Audit Report'!H546)</f>
        <v/>
      </c>
      <c r="L546" t="str">
        <f>_xlfn.TEXTJOIN(", ", TRUE, 'Audit Report'!K546,'Audit Report'!L546,'Audit Report'!M546)</f>
        <v/>
      </c>
      <c r="M546" t="str">
        <f>'Audit Report'!O546</f>
        <v/>
      </c>
      <c r="N546" t="str" cm="1">
        <f t="array" ref="N546">IF(M546="","",
_xlfn.TEXTJOIN(", ",TRUE,
    _xlfn.MAP(_xlfn.TEXTSPLIT(M546,","),_xlfn.LAMBDA(_xlpm.x,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6" t="str">
        <f>'Audit Report'!F546</f>
        <v/>
      </c>
      <c r="S546" t="str">
        <f>'Audit Report'!Q546</f>
        <v/>
      </c>
    </row>
    <row r="547" spans="4:19">
      <c r="D547" t="str">
        <f>'Audit Report'!B547</f>
        <v>ITD-SHRXXX-XX546</v>
      </c>
      <c r="E547" t="str">
        <f>'Audit Report'!C547</f>
        <v/>
      </c>
      <c r="I547" t="str">
        <f>'Audit Report'!D547</f>
        <v/>
      </c>
      <c r="J547" t="str">
        <f>_xlfn.TEXTJOIN(" ",TRUE,'Audit Report'!G547,'Audit Report'!H547)</f>
        <v/>
      </c>
      <c r="L547" t="str">
        <f>_xlfn.TEXTJOIN(", ", TRUE, 'Audit Report'!K547,'Audit Report'!L547,'Audit Report'!M547)</f>
        <v/>
      </c>
      <c r="M547" t="str">
        <f>'Audit Report'!O547</f>
        <v/>
      </c>
      <c r="N547" t="str" cm="1">
        <f t="array" ref="N547">IF(M547="","",
_xlfn.TEXTJOIN(", ",TRUE,
    _xlfn.MAP(_xlfn.TEXTSPLIT(M547,","),_xlfn.LAMBDA(_xlpm.x,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7" t="str">
        <f>'Audit Report'!F547</f>
        <v/>
      </c>
      <c r="S547" t="str">
        <f>'Audit Report'!Q547</f>
        <v/>
      </c>
    </row>
    <row r="548" spans="4:19">
      <c r="D548" t="str">
        <f>'Audit Report'!B548</f>
        <v>ITD-SHRXXX-XX547</v>
      </c>
      <c r="E548" t="str">
        <f>'Audit Report'!C548</f>
        <v/>
      </c>
      <c r="I548" t="str">
        <f>'Audit Report'!D548</f>
        <v/>
      </c>
      <c r="J548" t="str">
        <f>_xlfn.TEXTJOIN(" ",TRUE,'Audit Report'!G548,'Audit Report'!H548)</f>
        <v/>
      </c>
      <c r="L548" t="str">
        <f>_xlfn.TEXTJOIN(", ", TRUE, 'Audit Report'!K548,'Audit Report'!L548,'Audit Report'!M548)</f>
        <v/>
      </c>
      <c r="M548" t="str">
        <f>'Audit Report'!O548</f>
        <v/>
      </c>
      <c r="N548" t="str" cm="1">
        <f t="array" ref="N548">IF(M548="","",
_xlfn.TEXTJOIN(", ",TRUE,
    _xlfn.MAP(_xlfn.TEXTSPLIT(M548,","),_xlfn.LAMBDA(_xlpm.x,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8" t="str">
        <f>'Audit Report'!F548</f>
        <v/>
      </c>
      <c r="S548" t="str">
        <f>'Audit Report'!Q548</f>
        <v/>
      </c>
    </row>
    <row r="549" spans="4:19">
      <c r="D549" t="str">
        <f>'Audit Report'!B549</f>
        <v>ITD-SHRXXX-XX548</v>
      </c>
      <c r="E549" t="str">
        <f>'Audit Report'!C549</f>
        <v/>
      </c>
      <c r="I549" t="str">
        <f>'Audit Report'!D549</f>
        <v/>
      </c>
      <c r="J549" t="str">
        <f>_xlfn.TEXTJOIN(" ",TRUE,'Audit Report'!G549,'Audit Report'!H549)</f>
        <v/>
      </c>
      <c r="L549" t="str">
        <f>_xlfn.TEXTJOIN(", ", TRUE, 'Audit Report'!K549,'Audit Report'!L549,'Audit Report'!M549)</f>
        <v/>
      </c>
      <c r="M549" t="str">
        <f>'Audit Report'!O549</f>
        <v/>
      </c>
      <c r="N549" t="str" cm="1">
        <f t="array" ref="N549">IF(M549="","",
_xlfn.TEXTJOIN(", ",TRUE,
    _xlfn.MAP(_xlfn.TEXTSPLIT(M549,","),_xlfn.LAMBDA(_xlpm.x,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9" t="str">
        <f>'Audit Report'!F549</f>
        <v/>
      </c>
      <c r="S549" t="str">
        <f>'Audit Report'!Q549</f>
        <v/>
      </c>
    </row>
    <row r="550" spans="4:19">
      <c r="D550" t="str">
        <f>'Audit Report'!B550</f>
        <v>ITD-SHRXXX-XX549</v>
      </c>
      <c r="E550" t="str">
        <f>'Audit Report'!C550</f>
        <v/>
      </c>
      <c r="I550" t="str">
        <f>'Audit Report'!D550</f>
        <v/>
      </c>
      <c r="J550" t="str">
        <f>_xlfn.TEXTJOIN(" ",TRUE,'Audit Report'!G550,'Audit Report'!H550)</f>
        <v/>
      </c>
      <c r="L550" t="str">
        <f>_xlfn.TEXTJOIN(", ", TRUE, 'Audit Report'!K550,'Audit Report'!L550,'Audit Report'!M550)</f>
        <v/>
      </c>
      <c r="M550" t="str">
        <f>'Audit Report'!O550</f>
        <v/>
      </c>
      <c r="N550" t="str" cm="1">
        <f t="array" ref="N550">IF(M550="","",
_xlfn.TEXTJOIN(", ",TRUE,
    _xlfn.MAP(_xlfn.TEXTSPLIT(M550,","),_xlfn.LAMBDA(_xlpm.x,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0" t="str">
        <f>'Audit Report'!F550</f>
        <v/>
      </c>
      <c r="S550" t="str">
        <f>'Audit Report'!Q550</f>
        <v/>
      </c>
    </row>
    <row r="551" spans="4:19">
      <c r="D551" t="str">
        <f>'Audit Report'!B551</f>
        <v>ITD-SHRXXX-XX550</v>
      </c>
      <c r="E551" t="str">
        <f>'Audit Report'!C551</f>
        <v/>
      </c>
      <c r="I551" t="str">
        <f>'Audit Report'!D551</f>
        <v/>
      </c>
      <c r="J551" t="str">
        <f>_xlfn.TEXTJOIN(" ",TRUE,'Audit Report'!G551,'Audit Report'!H551)</f>
        <v/>
      </c>
      <c r="L551" t="str">
        <f>_xlfn.TEXTJOIN(", ", TRUE, 'Audit Report'!K551,'Audit Report'!L551,'Audit Report'!M551)</f>
        <v/>
      </c>
      <c r="M551" t="str">
        <f>'Audit Report'!O551</f>
        <v/>
      </c>
      <c r="N551" t="str" cm="1">
        <f t="array" ref="N551">IF(M551="","",
_xlfn.TEXTJOIN(", ",TRUE,
    _xlfn.MAP(_xlfn.TEXTSPLIT(M551,","),_xlfn.LAMBDA(_xlpm.x,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1" t="str">
        <f>'Audit Report'!F551</f>
        <v/>
      </c>
      <c r="S551" t="str">
        <f>'Audit Report'!Q551</f>
        <v/>
      </c>
    </row>
    <row r="552" spans="4:19">
      <c r="D552" t="str">
        <f>'Audit Report'!B552</f>
        <v>ITD-SHRXXX-XX551</v>
      </c>
      <c r="E552" t="str">
        <f>'Audit Report'!C552</f>
        <v/>
      </c>
      <c r="I552" t="str">
        <f>'Audit Report'!D552</f>
        <v/>
      </c>
      <c r="J552" t="str">
        <f>_xlfn.TEXTJOIN(" ",TRUE,'Audit Report'!G552,'Audit Report'!H552)</f>
        <v/>
      </c>
      <c r="L552" t="str">
        <f>_xlfn.TEXTJOIN(", ", TRUE, 'Audit Report'!K552,'Audit Report'!L552,'Audit Report'!M552)</f>
        <v/>
      </c>
      <c r="M552" t="str">
        <f>'Audit Report'!O552</f>
        <v/>
      </c>
      <c r="N552" t="str" cm="1">
        <f t="array" ref="N552">IF(M552="","",
_xlfn.TEXTJOIN(", ",TRUE,
    _xlfn.MAP(_xlfn.TEXTSPLIT(M552,","),_xlfn.LAMBDA(_xlpm.x,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2" t="str">
        <f>'Audit Report'!F552</f>
        <v/>
      </c>
      <c r="S552" t="str">
        <f>'Audit Report'!Q552</f>
        <v/>
      </c>
    </row>
    <row r="553" spans="4:19">
      <c r="D553" t="str">
        <f>'Audit Report'!B553</f>
        <v>ITD-SHRXXX-XX552</v>
      </c>
      <c r="E553" t="str">
        <f>'Audit Report'!C553</f>
        <v/>
      </c>
      <c r="I553" t="str">
        <f>'Audit Report'!D553</f>
        <v/>
      </c>
      <c r="J553" t="str">
        <f>_xlfn.TEXTJOIN(" ",TRUE,'Audit Report'!G553,'Audit Report'!H553)</f>
        <v/>
      </c>
      <c r="L553" t="str">
        <f>_xlfn.TEXTJOIN(", ", TRUE, 'Audit Report'!K553,'Audit Report'!L553,'Audit Report'!M553)</f>
        <v/>
      </c>
      <c r="M553" t="str">
        <f>'Audit Report'!O553</f>
        <v/>
      </c>
      <c r="N553" t="str" cm="1">
        <f t="array" ref="N553">IF(M553="","",
_xlfn.TEXTJOIN(", ",TRUE,
    _xlfn.MAP(_xlfn.TEXTSPLIT(M553,","),_xlfn.LAMBDA(_xlpm.x,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3" t="str">
        <f>'Audit Report'!F553</f>
        <v/>
      </c>
      <c r="S553" t="str">
        <f>'Audit Report'!Q553</f>
        <v/>
      </c>
    </row>
    <row r="554" spans="4:19">
      <c r="D554" t="str">
        <f>'Audit Report'!B554</f>
        <v>ITD-SHRXXX-XX553</v>
      </c>
      <c r="E554" t="str">
        <f>'Audit Report'!C554</f>
        <v/>
      </c>
      <c r="I554" t="str">
        <f>'Audit Report'!D554</f>
        <v/>
      </c>
      <c r="J554" t="str">
        <f>_xlfn.TEXTJOIN(" ",TRUE,'Audit Report'!G554,'Audit Report'!H554)</f>
        <v/>
      </c>
      <c r="L554" t="str">
        <f>_xlfn.TEXTJOIN(", ", TRUE, 'Audit Report'!K554,'Audit Report'!L554,'Audit Report'!M554)</f>
        <v/>
      </c>
      <c r="M554" t="str">
        <f>'Audit Report'!O554</f>
        <v/>
      </c>
      <c r="N554" t="str" cm="1">
        <f t="array" ref="N554">IF(M554="","",
_xlfn.TEXTJOIN(", ",TRUE,
    _xlfn.MAP(_xlfn.TEXTSPLIT(M554,","),_xlfn.LAMBDA(_xlpm.x,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4" t="str">
        <f>'Audit Report'!F554</f>
        <v/>
      </c>
      <c r="S554" t="str">
        <f>'Audit Report'!Q554</f>
        <v/>
      </c>
    </row>
    <row r="555" spans="4:19">
      <c r="D555" t="str">
        <f>'Audit Report'!B555</f>
        <v>ITD-SHRXXX-XX554</v>
      </c>
      <c r="E555" t="str">
        <f>'Audit Report'!C555</f>
        <v/>
      </c>
      <c r="I555" t="str">
        <f>'Audit Report'!D555</f>
        <v/>
      </c>
      <c r="J555" t="str">
        <f>_xlfn.TEXTJOIN(" ",TRUE,'Audit Report'!G555,'Audit Report'!H555)</f>
        <v/>
      </c>
      <c r="L555" t="str">
        <f>_xlfn.TEXTJOIN(", ", TRUE, 'Audit Report'!K555,'Audit Report'!L555,'Audit Report'!M555)</f>
        <v/>
      </c>
      <c r="M555" t="str">
        <f>'Audit Report'!O555</f>
        <v/>
      </c>
      <c r="N555" t="str" cm="1">
        <f t="array" ref="N555">IF(M555="","",
_xlfn.TEXTJOIN(", ",TRUE,
    _xlfn.MAP(_xlfn.TEXTSPLIT(M555,","),_xlfn.LAMBDA(_xlpm.x,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5" t="str">
        <f>'Audit Report'!F555</f>
        <v/>
      </c>
      <c r="S555" t="str">
        <f>'Audit Report'!Q555</f>
        <v/>
      </c>
    </row>
    <row r="556" spans="4:19">
      <c r="D556" t="str">
        <f>'Audit Report'!B556</f>
        <v>ITD-SHRXXX-XX555</v>
      </c>
      <c r="E556" t="str">
        <f>'Audit Report'!C556</f>
        <v/>
      </c>
      <c r="I556" t="str">
        <f>'Audit Report'!D556</f>
        <v/>
      </c>
      <c r="J556" t="str">
        <f>_xlfn.TEXTJOIN(" ",TRUE,'Audit Report'!G556,'Audit Report'!H556)</f>
        <v/>
      </c>
      <c r="L556" t="str">
        <f>_xlfn.TEXTJOIN(", ", TRUE, 'Audit Report'!K556,'Audit Report'!L556,'Audit Report'!M556)</f>
        <v/>
      </c>
      <c r="M556" t="str">
        <f>'Audit Report'!O556</f>
        <v/>
      </c>
      <c r="N556" t="str" cm="1">
        <f t="array" ref="N556">IF(M556="","",
_xlfn.TEXTJOIN(", ",TRUE,
    _xlfn.MAP(_xlfn.TEXTSPLIT(M556,","),_xlfn.LAMBDA(_xlpm.x,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6" t="str">
        <f>'Audit Report'!F556</f>
        <v/>
      </c>
      <c r="S556" t="str">
        <f>'Audit Report'!Q556</f>
        <v/>
      </c>
    </row>
    <row r="557" spans="4:19">
      <c r="D557" t="str">
        <f>'Audit Report'!B557</f>
        <v>ITD-SHRXXX-XX556</v>
      </c>
      <c r="E557" t="str">
        <f>'Audit Report'!C557</f>
        <v/>
      </c>
      <c r="I557" t="str">
        <f>'Audit Report'!D557</f>
        <v/>
      </c>
      <c r="J557" t="str">
        <f>_xlfn.TEXTJOIN(" ",TRUE,'Audit Report'!G557,'Audit Report'!H557)</f>
        <v/>
      </c>
      <c r="L557" t="str">
        <f>_xlfn.TEXTJOIN(", ", TRUE, 'Audit Report'!K557,'Audit Report'!L557,'Audit Report'!M557)</f>
        <v/>
      </c>
      <c r="M557" t="str">
        <f>'Audit Report'!O557</f>
        <v/>
      </c>
      <c r="N557" t="str" cm="1">
        <f t="array" ref="N557">IF(M557="","",
_xlfn.TEXTJOIN(", ",TRUE,
    _xlfn.MAP(_xlfn.TEXTSPLIT(M557,","),_xlfn.LAMBDA(_xlpm.x,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7" t="str">
        <f>'Audit Report'!F557</f>
        <v/>
      </c>
      <c r="S557" t="str">
        <f>'Audit Report'!Q557</f>
        <v/>
      </c>
    </row>
    <row r="558" spans="4:19">
      <c r="D558" t="str">
        <f>'Audit Report'!B558</f>
        <v>ITD-SHRXXX-XX557</v>
      </c>
      <c r="E558" t="str">
        <f>'Audit Report'!C558</f>
        <v/>
      </c>
      <c r="I558" t="str">
        <f>'Audit Report'!D558</f>
        <v/>
      </c>
      <c r="J558" t="str">
        <f>_xlfn.TEXTJOIN(" ",TRUE,'Audit Report'!G558,'Audit Report'!H558)</f>
        <v/>
      </c>
      <c r="L558" t="str">
        <f>_xlfn.TEXTJOIN(", ", TRUE, 'Audit Report'!K558,'Audit Report'!L558,'Audit Report'!M558)</f>
        <v/>
      </c>
      <c r="M558" t="str">
        <f>'Audit Report'!O558</f>
        <v/>
      </c>
      <c r="N558" t="str" cm="1">
        <f t="array" ref="N558">IF(M558="","",
_xlfn.TEXTJOIN(", ",TRUE,
    _xlfn.MAP(_xlfn.TEXTSPLIT(M558,","),_xlfn.LAMBDA(_xlpm.x,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8" t="str">
        <f>'Audit Report'!F558</f>
        <v/>
      </c>
      <c r="S558" t="str">
        <f>'Audit Report'!Q558</f>
        <v/>
      </c>
    </row>
    <row r="559" spans="4:19">
      <c r="D559" t="str">
        <f>'Audit Report'!B559</f>
        <v>ITD-SHRXXX-XX558</v>
      </c>
      <c r="E559" t="str">
        <f>'Audit Report'!C559</f>
        <v/>
      </c>
      <c r="I559" t="str">
        <f>'Audit Report'!D559</f>
        <v/>
      </c>
      <c r="J559" t="str">
        <f>_xlfn.TEXTJOIN(" ",TRUE,'Audit Report'!G559,'Audit Report'!H559)</f>
        <v/>
      </c>
      <c r="L559" t="str">
        <f>_xlfn.TEXTJOIN(", ", TRUE, 'Audit Report'!K559,'Audit Report'!L559,'Audit Report'!M559)</f>
        <v/>
      </c>
      <c r="M559" t="str">
        <f>'Audit Report'!O559</f>
        <v/>
      </c>
      <c r="N559" t="str" cm="1">
        <f t="array" ref="N559">IF(M559="","",
_xlfn.TEXTJOIN(", ",TRUE,
    _xlfn.MAP(_xlfn.TEXTSPLIT(M559,","),_xlfn.LAMBDA(_xlpm.x,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9" t="str">
        <f>'Audit Report'!F559</f>
        <v/>
      </c>
      <c r="S559" t="str">
        <f>'Audit Report'!Q559</f>
        <v/>
      </c>
    </row>
    <row r="560" spans="4:19">
      <c r="D560" t="str">
        <f>'Audit Report'!B560</f>
        <v>ITD-SHRXXX-XX559</v>
      </c>
      <c r="E560" t="str">
        <f>'Audit Report'!C560</f>
        <v/>
      </c>
      <c r="I560" t="str">
        <f>'Audit Report'!D560</f>
        <v/>
      </c>
      <c r="J560" t="str">
        <f>_xlfn.TEXTJOIN(" ",TRUE,'Audit Report'!G560,'Audit Report'!H560)</f>
        <v/>
      </c>
      <c r="L560" t="str">
        <f>_xlfn.TEXTJOIN(", ", TRUE, 'Audit Report'!K560,'Audit Report'!L560,'Audit Report'!M560)</f>
        <v/>
      </c>
      <c r="M560" t="str">
        <f>'Audit Report'!O560</f>
        <v/>
      </c>
      <c r="N560" t="str" cm="1">
        <f t="array" ref="N560">IF(M560="","",
_xlfn.TEXTJOIN(", ",TRUE,
    _xlfn.MAP(_xlfn.TEXTSPLIT(M560,","),_xlfn.LAMBDA(_xlpm.x,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0" t="str">
        <f>'Audit Report'!F560</f>
        <v/>
      </c>
      <c r="S560" t="str">
        <f>'Audit Report'!Q560</f>
        <v/>
      </c>
    </row>
    <row r="561" spans="4:19">
      <c r="D561" t="str">
        <f>'Audit Report'!B561</f>
        <v>ITD-SHRXXX-XX560</v>
      </c>
      <c r="E561" t="str">
        <f>'Audit Report'!C561</f>
        <v/>
      </c>
      <c r="I561" t="str">
        <f>'Audit Report'!D561</f>
        <v/>
      </c>
      <c r="J561" t="str">
        <f>_xlfn.TEXTJOIN(" ",TRUE,'Audit Report'!G561,'Audit Report'!H561)</f>
        <v/>
      </c>
      <c r="L561" t="str">
        <f>_xlfn.TEXTJOIN(", ", TRUE, 'Audit Report'!K561,'Audit Report'!L561,'Audit Report'!M561)</f>
        <v/>
      </c>
      <c r="M561" t="str">
        <f>'Audit Report'!O561</f>
        <v/>
      </c>
      <c r="N561" t="str" cm="1">
        <f t="array" ref="N561">IF(M561="","",
_xlfn.TEXTJOIN(", ",TRUE,
    _xlfn.MAP(_xlfn.TEXTSPLIT(M561,","),_xlfn.LAMBDA(_xlpm.x,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1" t="str">
        <f>'Audit Report'!F561</f>
        <v/>
      </c>
      <c r="S561" t="str">
        <f>'Audit Report'!Q561</f>
        <v/>
      </c>
    </row>
    <row r="562" spans="4:19">
      <c r="D562" t="str">
        <f>'Audit Report'!B562</f>
        <v>ITD-SHRXXX-XX561</v>
      </c>
      <c r="E562" t="str">
        <f>'Audit Report'!C562</f>
        <v/>
      </c>
      <c r="I562" t="str">
        <f>'Audit Report'!D562</f>
        <v/>
      </c>
      <c r="J562" t="str">
        <f>_xlfn.TEXTJOIN(" ",TRUE,'Audit Report'!G562,'Audit Report'!H562)</f>
        <v/>
      </c>
      <c r="L562" t="str">
        <f>_xlfn.TEXTJOIN(", ", TRUE, 'Audit Report'!K562,'Audit Report'!L562,'Audit Report'!M562)</f>
        <v/>
      </c>
      <c r="M562" t="str">
        <f>'Audit Report'!O562</f>
        <v/>
      </c>
      <c r="N562" t="str" cm="1">
        <f t="array" ref="N562">IF(M562="","",
_xlfn.TEXTJOIN(", ",TRUE,
    _xlfn.MAP(_xlfn.TEXTSPLIT(M562,","),_xlfn.LAMBDA(_xlpm.x,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2" t="str">
        <f>'Audit Report'!F562</f>
        <v/>
      </c>
      <c r="S562" t="str">
        <f>'Audit Report'!Q562</f>
        <v/>
      </c>
    </row>
    <row r="563" spans="4:19">
      <c r="D563" t="str">
        <f>'Audit Report'!B563</f>
        <v>ITD-SHRXXX-XX562</v>
      </c>
      <c r="E563" t="str">
        <f>'Audit Report'!C563</f>
        <v/>
      </c>
      <c r="I563" t="str">
        <f>'Audit Report'!D563</f>
        <v/>
      </c>
      <c r="J563" t="str">
        <f>_xlfn.TEXTJOIN(" ",TRUE,'Audit Report'!G563,'Audit Report'!H563)</f>
        <v/>
      </c>
      <c r="L563" t="str">
        <f>_xlfn.TEXTJOIN(", ", TRUE, 'Audit Report'!K563,'Audit Report'!L563,'Audit Report'!M563)</f>
        <v/>
      </c>
      <c r="M563" t="str">
        <f>'Audit Report'!O563</f>
        <v/>
      </c>
      <c r="N563" t="str" cm="1">
        <f t="array" ref="N563">IF(M563="","",
_xlfn.TEXTJOIN(", ",TRUE,
    _xlfn.MAP(_xlfn.TEXTSPLIT(M563,","),_xlfn.LAMBDA(_xlpm.x,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3" t="str">
        <f>'Audit Report'!F563</f>
        <v/>
      </c>
      <c r="S563" t="str">
        <f>'Audit Report'!Q563</f>
        <v/>
      </c>
    </row>
    <row r="564" spans="4:19">
      <c r="D564" t="str">
        <f>'Audit Report'!B564</f>
        <v>ITD-SHRXXX-XX563</v>
      </c>
      <c r="E564" t="str">
        <f>'Audit Report'!C564</f>
        <v/>
      </c>
      <c r="I564" t="str">
        <f>'Audit Report'!D564</f>
        <v/>
      </c>
      <c r="J564" t="str">
        <f>_xlfn.TEXTJOIN(" ",TRUE,'Audit Report'!G564,'Audit Report'!H564)</f>
        <v/>
      </c>
      <c r="L564" t="str">
        <f>_xlfn.TEXTJOIN(", ", TRUE, 'Audit Report'!K564,'Audit Report'!L564,'Audit Report'!M564)</f>
        <v/>
      </c>
      <c r="M564" t="str">
        <f>'Audit Report'!O564</f>
        <v/>
      </c>
      <c r="N564" t="str" cm="1">
        <f t="array" ref="N564">IF(M564="","",
_xlfn.TEXTJOIN(", ",TRUE,
    _xlfn.MAP(_xlfn.TEXTSPLIT(M564,","),_xlfn.LAMBDA(_xlpm.x,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4" t="str">
        <f>'Audit Report'!F564</f>
        <v/>
      </c>
      <c r="S564" t="str">
        <f>'Audit Report'!Q564</f>
        <v/>
      </c>
    </row>
    <row r="565" spans="4:19">
      <c r="D565" t="str">
        <f>'Audit Report'!B565</f>
        <v>ITD-SHRXXX-XX564</v>
      </c>
      <c r="E565" t="str">
        <f>'Audit Report'!C565</f>
        <v/>
      </c>
      <c r="I565" t="str">
        <f>'Audit Report'!D565</f>
        <v/>
      </c>
      <c r="J565" t="str">
        <f>_xlfn.TEXTJOIN(" ",TRUE,'Audit Report'!G565,'Audit Report'!H565)</f>
        <v/>
      </c>
      <c r="L565" t="str">
        <f>_xlfn.TEXTJOIN(", ", TRUE, 'Audit Report'!K565,'Audit Report'!L565,'Audit Report'!M565)</f>
        <v/>
      </c>
      <c r="M565" t="str">
        <f>'Audit Report'!O565</f>
        <v/>
      </c>
      <c r="N565" t="str" cm="1">
        <f t="array" ref="N565">IF(M565="","",
_xlfn.TEXTJOIN(", ",TRUE,
    _xlfn.MAP(_xlfn.TEXTSPLIT(M565,","),_xlfn.LAMBDA(_xlpm.x,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5" t="str">
        <f>'Audit Report'!F565</f>
        <v/>
      </c>
      <c r="S565" t="str">
        <f>'Audit Report'!Q565</f>
        <v/>
      </c>
    </row>
    <row r="566" spans="4:19">
      <c r="D566" t="str">
        <f>'Audit Report'!B566</f>
        <v>ITD-SHRXXX-XX565</v>
      </c>
      <c r="E566" t="str">
        <f>'Audit Report'!C566</f>
        <v/>
      </c>
      <c r="I566" t="str">
        <f>'Audit Report'!D566</f>
        <v/>
      </c>
      <c r="J566" t="str">
        <f>_xlfn.TEXTJOIN(" ",TRUE,'Audit Report'!G566,'Audit Report'!H566)</f>
        <v/>
      </c>
      <c r="L566" t="str">
        <f>_xlfn.TEXTJOIN(", ", TRUE, 'Audit Report'!K566,'Audit Report'!L566,'Audit Report'!M566)</f>
        <v/>
      </c>
      <c r="M566" t="str">
        <f>'Audit Report'!O566</f>
        <v/>
      </c>
      <c r="N566" t="str" cm="1">
        <f t="array" ref="N566">IF(M566="","",
_xlfn.TEXTJOIN(", ",TRUE,
    _xlfn.MAP(_xlfn.TEXTSPLIT(M566,","),_xlfn.LAMBDA(_xlpm.x,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6" t="str">
        <f>'Audit Report'!F566</f>
        <v/>
      </c>
      <c r="S566" t="str">
        <f>'Audit Report'!Q566</f>
        <v/>
      </c>
    </row>
    <row r="567" spans="4:19">
      <c r="D567" t="str">
        <f>'Audit Report'!B567</f>
        <v>ITD-SHRXXX-XX566</v>
      </c>
      <c r="E567" t="str">
        <f>'Audit Report'!C567</f>
        <v/>
      </c>
      <c r="I567" t="str">
        <f>'Audit Report'!D567</f>
        <v/>
      </c>
      <c r="J567" t="str">
        <f>_xlfn.TEXTJOIN(" ",TRUE,'Audit Report'!G567,'Audit Report'!H567)</f>
        <v/>
      </c>
      <c r="L567" t="str">
        <f>_xlfn.TEXTJOIN(", ", TRUE, 'Audit Report'!K567,'Audit Report'!L567,'Audit Report'!M567)</f>
        <v/>
      </c>
      <c r="M567" t="str">
        <f>'Audit Report'!O567</f>
        <v/>
      </c>
      <c r="N567" t="str" cm="1">
        <f t="array" ref="N567">IF(M567="","",
_xlfn.TEXTJOIN(", ",TRUE,
    _xlfn.MAP(_xlfn.TEXTSPLIT(M567,","),_xlfn.LAMBDA(_xlpm.x,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7" t="str">
        <f>'Audit Report'!F567</f>
        <v/>
      </c>
      <c r="S567" t="str">
        <f>'Audit Report'!Q567</f>
        <v/>
      </c>
    </row>
    <row r="568" spans="4:19">
      <c r="D568" t="str">
        <f>'Audit Report'!B568</f>
        <v>ITD-SHRXXX-XX567</v>
      </c>
      <c r="E568" t="str">
        <f>'Audit Report'!C568</f>
        <v/>
      </c>
      <c r="I568" t="str">
        <f>'Audit Report'!D568</f>
        <v/>
      </c>
      <c r="J568" t="str">
        <f>_xlfn.TEXTJOIN(" ",TRUE,'Audit Report'!G568,'Audit Report'!H568)</f>
        <v/>
      </c>
      <c r="L568" t="str">
        <f>_xlfn.TEXTJOIN(", ", TRUE, 'Audit Report'!K568,'Audit Report'!L568,'Audit Report'!M568)</f>
        <v/>
      </c>
      <c r="M568" t="str">
        <f>'Audit Report'!O568</f>
        <v/>
      </c>
      <c r="N568" t="str" cm="1">
        <f t="array" ref="N568">IF(M568="","",
_xlfn.TEXTJOIN(", ",TRUE,
    _xlfn.MAP(_xlfn.TEXTSPLIT(M568,","),_xlfn.LAMBDA(_xlpm.x,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8" t="str">
        <f>'Audit Report'!F568</f>
        <v/>
      </c>
      <c r="S568" t="str">
        <f>'Audit Report'!Q568</f>
        <v/>
      </c>
    </row>
    <row r="569" spans="4:19">
      <c r="D569" t="str">
        <f>'Audit Report'!B569</f>
        <v>ITD-SHRXXX-XX568</v>
      </c>
      <c r="E569" t="str">
        <f>'Audit Report'!C569</f>
        <v/>
      </c>
      <c r="I569" t="str">
        <f>'Audit Report'!D569</f>
        <v/>
      </c>
      <c r="J569" t="str">
        <f>_xlfn.TEXTJOIN(" ",TRUE,'Audit Report'!G569,'Audit Report'!H569)</f>
        <v/>
      </c>
      <c r="L569" t="str">
        <f>_xlfn.TEXTJOIN(", ", TRUE, 'Audit Report'!K569,'Audit Report'!L569,'Audit Report'!M569)</f>
        <v/>
      </c>
      <c r="M569" t="str">
        <f>'Audit Report'!O569</f>
        <v/>
      </c>
      <c r="N569" t="str" cm="1">
        <f t="array" ref="N569">IF(M569="","",
_xlfn.TEXTJOIN(", ",TRUE,
    _xlfn.MAP(_xlfn.TEXTSPLIT(M569,","),_xlfn.LAMBDA(_xlpm.x,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9" t="str">
        <f>'Audit Report'!F569</f>
        <v/>
      </c>
      <c r="S569" t="str">
        <f>'Audit Report'!Q569</f>
        <v/>
      </c>
    </row>
    <row r="570" spans="4:19">
      <c r="D570" t="str">
        <f>'Audit Report'!B570</f>
        <v>ITD-SHRXXX-XX569</v>
      </c>
      <c r="E570" t="str">
        <f>'Audit Report'!C570</f>
        <v/>
      </c>
      <c r="I570" t="str">
        <f>'Audit Report'!D570</f>
        <v/>
      </c>
      <c r="J570" t="str">
        <f>_xlfn.TEXTJOIN(" ",TRUE,'Audit Report'!G570,'Audit Report'!H570)</f>
        <v/>
      </c>
      <c r="L570" t="str">
        <f>_xlfn.TEXTJOIN(", ", TRUE, 'Audit Report'!K570,'Audit Report'!L570,'Audit Report'!M570)</f>
        <v/>
      </c>
      <c r="M570" t="str">
        <f>'Audit Report'!O570</f>
        <v/>
      </c>
      <c r="N570" t="str" cm="1">
        <f t="array" ref="N570">IF(M570="","",
_xlfn.TEXTJOIN(", ",TRUE,
    _xlfn.MAP(_xlfn.TEXTSPLIT(M570,","),_xlfn.LAMBDA(_xlpm.x,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0" t="str">
        <f>'Audit Report'!F570</f>
        <v/>
      </c>
      <c r="S570" t="str">
        <f>'Audit Report'!Q570</f>
        <v/>
      </c>
    </row>
    <row r="571" spans="4:19">
      <c r="D571" t="str">
        <f>'Audit Report'!B571</f>
        <v>ITD-SHRXXX-XX570</v>
      </c>
      <c r="E571" t="str">
        <f>'Audit Report'!C571</f>
        <v/>
      </c>
      <c r="I571" t="str">
        <f>'Audit Report'!D571</f>
        <v/>
      </c>
      <c r="J571" t="str">
        <f>_xlfn.TEXTJOIN(" ",TRUE,'Audit Report'!G571,'Audit Report'!H571)</f>
        <v/>
      </c>
      <c r="L571" t="str">
        <f>_xlfn.TEXTJOIN(", ", TRUE, 'Audit Report'!K571,'Audit Report'!L571,'Audit Report'!M571)</f>
        <v/>
      </c>
      <c r="M571" t="str">
        <f>'Audit Report'!O571</f>
        <v/>
      </c>
      <c r="N571" t="str" cm="1">
        <f t="array" ref="N571">IF(M571="","",
_xlfn.TEXTJOIN(", ",TRUE,
    _xlfn.MAP(_xlfn.TEXTSPLIT(M571,","),_xlfn.LAMBDA(_xlpm.x,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1" t="str">
        <f>'Audit Report'!F571</f>
        <v/>
      </c>
      <c r="S571" t="str">
        <f>'Audit Report'!Q571</f>
        <v/>
      </c>
    </row>
    <row r="572" spans="4:19">
      <c r="D572" t="str">
        <f>'Audit Report'!B572</f>
        <v>ITD-SHRXXX-XX571</v>
      </c>
      <c r="E572" t="str">
        <f>'Audit Report'!C572</f>
        <v/>
      </c>
      <c r="I572" t="str">
        <f>'Audit Report'!D572</f>
        <v/>
      </c>
      <c r="J572" t="str">
        <f>_xlfn.TEXTJOIN(" ",TRUE,'Audit Report'!G572,'Audit Report'!H572)</f>
        <v/>
      </c>
      <c r="L572" t="str">
        <f>_xlfn.TEXTJOIN(", ", TRUE, 'Audit Report'!K572,'Audit Report'!L572,'Audit Report'!M572)</f>
        <v/>
      </c>
      <c r="M572" t="str">
        <f>'Audit Report'!O572</f>
        <v/>
      </c>
      <c r="N572" t="str" cm="1">
        <f t="array" ref="N572">IF(M572="","",
_xlfn.TEXTJOIN(", ",TRUE,
    _xlfn.MAP(_xlfn.TEXTSPLIT(M572,","),_xlfn.LAMBDA(_xlpm.x,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2" t="str">
        <f>'Audit Report'!F572</f>
        <v/>
      </c>
      <c r="S572" t="str">
        <f>'Audit Report'!Q572</f>
        <v/>
      </c>
    </row>
    <row r="573" spans="4:19">
      <c r="D573" t="str">
        <f>'Audit Report'!B573</f>
        <v>ITD-SHRXXX-XX572</v>
      </c>
      <c r="E573" t="str">
        <f>'Audit Report'!C573</f>
        <v/>
      </c>
      <c r="I573" t="str">
        <f>'Audit Report'!D573</f>
        <v/>
      </c>
      <c r="J573" t="str">
        <f>_xlfn.TEXTJOIN(" ",TRUE,'Audit Report'!G573,'Audit Report'!H573)</f>
        <v/>
      </c>
      <c r="L573" t="str">
        <f>_xlfn.TEXTJOIN(", ", TRUE, 'Audit Report'!K573,'Audit Report'!L573,'Audit Report'!M573)</f>
        <v/>
      </c>
      <c r="M573" t="str">
        <f>'Audit Report'!O573</f>
        <v/>
      </c>
      <c r="N573" t="str" cm="1">
        <f t="array" ref="N573">IF(M573="","",
_xlfn.TEXTJOIN(", ",TRUE,
    _xlfn.MAP(_xlfn.TEXTSPLIT(M573,","),_xlfn.LAMBDA(_xlpm.x,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3" t="str">
        <f>'Audit Report'!F573</f>
        <v/>
      </c>
      <c r="S573" t="str">
        <f>'Audit Report'!Q573</f>
        <v/>
      </c>
    </row>
    <row r="574" spans="4:19">
      <c r="D574" t="str">
        <f>'Audit Report'!B574</f>
        <v>ITD-SHRXXX-XX573</v>
      </c>
      <c r="E574" t="str">
        <f>'Audit Report'!C574</f>
        <v/>
      </c>
      <c r="I574" t="str">
        <f>'Audit Report'!D574</f>
        <v/>
      </c>
      <c r="J574" t="str">
        <f>_xlfn.TEXTJOIN(" ",TRUE,'Audit Report'!G574,'Audit Report'!H574)</f>
        <v/>
      </c>
      <c r="L574" t="str">
        <f>_xlfn.TEXTJOIN(", ", TRUE, 'Audit Report'!K574,'Audit Report'!L574,'Audit Report'!M574)</f>
        <v/>
      </c>
      <c r="M574" t="str">
        <f>'Audit Report'!O574</f>
        <v/>
      </c>
      <c r="N574" t="str" cm="1">
        <f t="array" ref="N574">IF(M574="","",
_xlfn.TEXTJOIN(", ",TRUE,
    _xlfn.MAP(_xlfn.TEXTSPLIT(M574,","),_xlfn.LAMBDA(_xlpm.x,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4" t="str">
        <f>'Audit Report'!F574</f>
        <v/>
      </c>
      <c r="S574" t="str">
        <f>'Audit Report'!Q574</f>
        <v/>
      </c>
    </row>
    <row r="575" spans="4:19">
      <c r="D575" t="str">
        <f>'Audit Report'!B575</f>
        <v>ITD-SHRXXX-XX574</v>
      </c>
      <c r="E575" t="str">
        <f>'Audit Report'!C575</f>
        <v/>
      </c>
      <c r="I575" t="str">
        <f>'Audit Report'!D575</f>
        <v/>
      </c>
      <c r="J575" t="str">
        <f>_xlfn.TEXTJOIN(" ",TRUE,'Audit Report'!G575,'Audit Report'!H575)</f>
        <v/>
      </c>
      <c r="L575" t="str">
        <f>_xlfn.TEXTJOIN(", ", TRUE, 'Audit Report'!K575,'Audit Report'!L575,'Audit Report'!M575)</f>
        <v/>
      </c>
      <c r="M575" t="str">
        <f>'Audit Report'!O575</f>
        <v/>
      </c>
      <c r="N575" t="str" cm="1">
        <f t="array" ref="N575">IF(M575="","",
_xlfn.TEXTJOIN(", ",TRUE,
    _xlfn.MAP(_xlfn.TEXTSPLIT(M575,","),_xlfn.LAMBDA(_xlpm.x,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5" t="str">
        <f>'Audit Report'!F575</f>
        <v/>
      </c>
      <c r="S575" t="str">
        <f>'Audit Report'!Q575</f>
        <v/>
      </c>
    </row>
    <row r="576" spans="4:19">
      <c r="D576" t="str">
        <f>'Audit Report'!B576</f>
        <v>ITD-SHRXXX-XX575</v>
      </c>
      <c r="E576" t="str">
        <f>'Audit Report'!C576</f>
        <v/>
      </c>
      <c r="I576" t="str">
        <f>'Audit Report'!D576</f>
        <v/>
      </c>
      <c r="J576" t="str">
        <f>_xlfn.TEXTJOIN(" ",TRUE,'Audit Report'!G576,'Audit Report'!H576)</f>
        <v/>
      </c>
      <c r="L576" t="str">
        <f>_xlfn.TEXTJOIN(", ", TRUE, 'Audit Report'!K576,'Audit Report'!L576,'Audit Report'!M576)</f>
        <v/>
      </c>
      <c r="M576" t="str">
        <f>'Audit Report'!O576</f>
        <v/>
      </c>
      <c r="N576" t="str" cm="1">
        <f t="array" ref="N576">IF(M576="","",
_xlfn.TEXTJOIN(", ",TRUE,
    _xlfn.MAP(_xlfn.TEXTSPLIT(M576,","),_xlfn.LAMBDA(_xlpm.x,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6" t="str">
        <f>'Audit Report'!F576</f>
        <v/>
      </c>
      <c r="S576" t="str">
        <f>'Audit Report'!Q576</f>
        <v/>
      </c>
    </row>
    <row r="577" spans="4:19">
      <c r="D577" t="str">
        <f>'Audit Report'!B577</f>
        <v>ITD-SHRXXX-XX576</v>
      </c>
      <c r="E577" t="str">
        <f>'Audit Report'!C577</f>
        <v/>
      </c>
      <c r="I577" t="str">
        <f>'Audit Report'!D577</f>
        <v/>
      </c>
      <c r="J577" t="str">
        <f>_xlfn.TEXTJOIN(" ",TRUE,'Audit Report'!G577,'Audit Report'!H577)</f>
        <v/>
      </c>
      <c r="L577" t="str">
        <f>_xlfn.TEXTJOIN(", ", TRUE, 'Audit Report'!K577,'Audit Report'!L577,'Audit Report'!M577)</f>
        <v/>
      </c>
      <c r="M577" t="str">
        <f>'Audit Report'!O577</f>
        <v/>
      </c>
      <c r="N577" t="str" cm="1">
        <f t="array" ref="N577">IF(M577="","",
_xlfn.TEXTJOIN(", ",TRUE,
    _xlfn.MAP(_xlfn.TEXTSPLIT(M577,","),_xlfn.LAMBDA(_xlpm.x,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7" t="str">
        <f>'Audit Report'!F577</f>
        <v/>
      </c>
      <c r="S577" t="str">
        <f>'Audit Report'!Q577</f>
        <v/>
      </c>
    </row>
    <row r="578" spans="4:19">
      <c r="D578" t="str">
        <f>'Audit Report'!B578</f>
        <v>ITD-SHRXXX-XX577</v>
      </c>
      <c r="E578" t="str">
        <f>'Audit Report'!C578</f>
        <v/>
      </c>
      <c r="I578" t="str">
        <f>'Audit Report'!D578</f>
        <v/>
      </c>
      <c r="J578" t="str">
        <f>_xlfn.TEXTJOIN(" ",TRUE,'Audit Report'!G578,'Audit Report'!H578)</f>
        <v/>
      </c>
      <c r="L578" t="str">
        <f>_xlfn.TEXTJOIN(", ", TRUE, 'Audit Report'!K578,'Audit Report'!L578,'Audit Report'!M578)</f>
        <v/>
      </c>
      <c r="M578" t="str">
        <f>'Audit Report'!O578</f>
        <v/>
      </c>
      <c r="N578" t="str" cm="1">
        <f t="array" ref="N578">IF(M578="","",
_xlfn.TEXTJOIN(", ",TRUE,
    _xlfn.MAP(_xlfn.TEXTSPLIT(M578,","),_xlfn.LAMBDA(_xlpm.x,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8" t="str">
        <f>'Audit Report'!F578</f>
        <v/>
      </c>
      <c r="S578" t="str">
        <f>'Audit Report'!Q578</f>
        <v/>
      </c>
    </row>
    <row r="579" spans="4:19">
      <c r="D579" t="str">
        <f>'Audit Report'!B579</f>
        <v>ITD-SHRXXX-XX578</v>
      </c>
      <c r="E579" t="str">
        <f>'Audit Report'!C579</f>
        <v/>
      </c>
      <c r="I579" t="str">
        <f>'Audit Report'!D579</f>
        <v/>
      </c>
      <c r="J579" t="str">
        <f>_xlfn.TEXTJOIN(" ",TRUE,'Audit Report'!G579,'Audit Report'!H579)</f>
        <v/>
      </c>
      <c r="L579" t="str">
        <f>_xlfn.TEXTJOIN(", ", TRUE, 'Audit Report'!K579,'Audit Report'!L579,'Audit Report'!M579)</f>
        <v/>
      </c>
      <c r="M579" t="str">
        <f>'Audit Report'!O579</f>
        <v/>
      </c>
      <c r="N579" t="str" cm="1">
        <f t="array" ref="N579">IF(M579="","",
_xlfn.TEXTJOIN(", ",TRUE,
    _xlfn.MAP(_xlfn.TEXTSPLIT(M579,","),_xlfn.LAMBDA(_xlpm.x,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9" t="str">
        <f>'Audit Report'!F579</f>
        <v/>
      </c>
      <c r="S579" t="str">
        <f>'Audit Report'!Q579</f>
        <v/>
      </c>
    </row>
    <row r="580" spans="4:19">
      <c r="D580" t="str">
        <f>'Audit Report'!B580</f>
        <v>ITD-SHRXXX-XX579</v>
      </c>
      <c r="E580" t="str">
        <f>'Audit Report'!C580</f>
        <v/>
      </c>
      <c r="I580" t="str">
        <f>'Audit Report'!D580</f>
        <v/>
      </c>
      <c r="J580" t="str">
        <f>_xlfn.TEXTJOIN(" ",TRUE,'Audit Report'!G580,'Audit Report'!H580)</f>
        <v/>
      </c>
      <c r="L580" t="str">
        <f>_xlfn.TEXTJOIN(", ", TRUE, 'Audit Report'!K580,'Audit Report'!L580,'Audit Report'!M580)</f>
        <v/>
      </c>
      <c r="M580" t="str">
        <f>'Audit Report'!O580</f>
        <v/>
      </c>
      <c r="N580" t="str" cm="1">
        <f t="array" ref="N580">IF(M580="","",
_xlfn.TEXTJOIN(", ",TRUE,
    _xlfn.MAP(_xlfn.TEXTSPLIT(M580,","),_xlfn.LAMBDA(_xlpm.x,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0" t="str">
        <f>'Audit Report'!F580</f>
        <v/>
      </c>
      <c r="S580" t="str">
        <f>'Audit Report'!Q580</f>
        <v/>
      </c>
    </row>
    <row r="581" spans="4:19">
      <c r="D581" t="str">
        <f>'Audit Report'!B581</f>
        <v>ITD-SHRXXX-XX580</v>
      </c>
      <c r="E581" t="str">
        <f>'Audit Report'!C581</f>
        <v/>
      </c>
      <c r="I581" t="str">
        <f>'Audit Report'!D581</f>
        <v/>
      </c>
      <c r="J581" t="str">
        <f>_xlfn.TEXTJOIN(" ",TRUE,'Audit Report'!G581,'Audit Report'!H581)</f>
        <v/>
      </c>
      <c r="L581" t="str">
        <f>_xlfn.TEXTJOIN(", ", TRUE, 'Audit Report'!K581,'Audit Report'!L581,'Audit Report'!M581)</f>
        <v/>
      </c>
      <c r="M581" t="str">
        <f>'Audit Report'!O581</f>
        <v/>
      </c>
      <c r="N581" t="str" cm="1">
        <f t="array" ref="N581">IF(M581="","",
_xlfn.TEXTJOIN(", ",TRUE,
    _xlfn.MAP(_xlfn.TEXTSPLIT(M581,","),_xlfn.LAMBDA(_xlpm.x,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1" t="str">
        <f>'Audit Report'!F581</f>
        <v/>
      </c>
      <c r="S581" t="str">
        <f>'Audit Report'!Q581</f>
        <v/>
      </c>
    </row>
    <row r="582" spans="4:19">
      <c r="D582" t="str">
        <f>'Audit Report'!B582</f>
        <v>ITD-SHRXXX-XX581</v>
      </c>
      <c r="E582" t="str">
        <f>'Audit Report'!C582</f>
        <v/>
      </c>
      <c r="I582" t="str">
        <f>'Audit Report'!D582</f>
        <v/>
      </c>
      <c r="J582" t="str">
        <f>_xlfn.TEXTJOIN(" ",TRUE,'Audit Report'!G582,'Audit Report'!H582)</f>
        <v/>
      </c>
      <c r="L582" t="str">
        <f>_xlfn.TEXTJOIN(", ", TRUE, 'Audit Report'!K582,'Audit Report'!L582,'Audit Report'!M582)</f>
        <v/>
      </c>
      <c r="M582" t="str">
        <f>'Audit Report'!O582</f>
        <v/>
      </c>
      <c r="N582" t="str" cm="1">
        <f t="array" ref="N582">IF(M582="","",
_xlfn.TEXTJOIN(", ",TRUE,
    _xlfn.MAP(_xlfn.TEXTSPLIT(M582,","),_xlfn.LAMBDA(_xlpm.x,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2" t="str">
        <f>'Audit Report'!F582</f>
        <v/>
      </c>
      <c r="S582" t="str">
        <f>'Audit Report'!Q582</f>
        <v/>
      </c>
    </row>
    <row r="583" spans="4:19">
      <c r="D583" t="str">
        <f>'Audit Report'!B583</f>
        <v>ITD-SHRXXX-XX582</v>
      </c>
      <c r="E583" t="str">
        <f>'Audit Report'!C583</f>
        <v/>
      </c>
      <c r="I583" t="str">
        <f>'Audit Report'!D583</f>
        <v/>
      </c>
      <c r="J583" t="str">
        <f>_xlfn.TEXTJOIN(" ",TRUE,'Audit Report'!G583,'Audit Report'!H583)</f>
        <v/>
      </c>
      <c r="L583" t="str">
        <f>_xlfn.TEXTJOIN(", ", TRUE, 'Audit Report'!K583,'Audit Report'!L583,'Audit Report'!M583)</f>
        <v/>
      </c>
      <c r="M583" t="str">
        <f>'Audit Report'!O583</f>
        <v/>
      </c>
      <c r="N583" t="str" cm="1">
        <f t="array" ref="N583">IF(M583="","",
_xlfn.TEXTJOIN(", ",TRUE,
    _xlfn.MAP(_xlfn.TEXTSPLIT(M583,","),_xlfn.LAMBDA(_xlpm.x,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3" t="str">
        <f>'Audit Report'!F583</f>
        <v/>
      </c>
      <c r="S583" t="str">
        <f>'Audit Report'!Q583</f>
        <v/>
      </c>
    </row>
    <row r="584" spans="4:19">
      <c r="D584" t="str">
        <f>'Audit Report'!B584</f>
        <v>ITD-SHRXXX-XX583</v>
      </c>
      <c r="E584" t="str">
        <f>'Audit Report'!C584</f>
        <v/>
      </c>
      <c r="I584" t="str">
        <f>'Audit Report'!D584</f>
        <v/>
      </c>
      <c r="J584" t="str">
        <f>_xlfn.TEXTJOIN(" ",TRUE,'Audit Report'!G584,'Audit Report'!H584)</f>
        <v/>
      </c>
      <c r="L584" t="str">
        <f>_xlfn.TEXTJOIN(", ", TRUE, 'Audit Report'!K584,'Audit Report'!L584,'Audit Report'!M584)</f>
        <v/>
      </c>
      <c r="M584" t="str">
        <f>'Audit Report'!O584</f>
        <v/>
      </c>
      <c r="N584" t="str" cm="1">
        <f t="array" ref="N584">IF(M584="","",
_xlfn.TEXTJOIN(", ",TRUE,
    _xlfn.MAP(_xlfn.TEXTSPLIT(M584,","),_xlfn.LAMBDA(_xlpm.x,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4" t="str">
        <f>'Audit Report'!F584</f>
        <v/>
      </c>
      <c r="S584" t="str">
        <f>'Audit Report'!Q584</f>
        <v/>
      </c>
    </row>
    <row r="585" spans="4:19">
      <c r="D585" t="str">
        <f>'Audit Report'!B585</f>
        <v>ITD-SHRXXX-XX584</v>
      </c>
      <c r="E585" t="str">
        <f>'Audit Report'!C585</f>
        <v/>
      </c>
      <c r="I585" t="str">
        <f>'Audit Report'!D585</f>
        <v/>
      </c>
      <c r="J585" t="str">
        <f>_xlfn.TEXTJOIN(" ",TRUE,'Audit Report'!G585,'Audit Report'!H585)</f>
        <v/>
      </c>
      <c r="L585" t="str">
        <f>_xlfn.TEXTJOIN(", ", TRUE, 'Audit Report'!K585,'Audit Report'!L585,'Audit Report'!M585)</f>
        <v/>
      </c>
      <c r="M585" t="str">
        <f>'Audit Report'!O585</f>
        <v/>
      </c>
      <c r="N585" t="str" cm="1">
        <f t="array" ref="N585">IF(M585="","",
_xlfn.TEXTJOIN(", ",TRUE,
    _xlfn.MAP(_xlfn.TEXTSPLIT(M585,","),_xlfn.LAMBDA(_xlpm.x,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5" t="str">
        <f>'Audit Report'!F585</f>
        <v/>
      </c>
      <c r="S585" t="str">
        <f>'Audit Report'!Q585</f>
        <v/>
      </c>
    </row>
    <row r="586" spans="4:19">
      <c r="D586" t="str">
        <f>'Audit Report'!B586</f>
        <v>ITD-SHRXXX-XX585</v>
      </c>
      <c r="E586" t="str">
        <f>'Audit Report'!C586</f>
        <v/>
      </c>
      <c r="I586" t="str">
        <f>'Audit Report'!D586</f>
        <v/>
      </c>
      <c r="J586" t="str">
        <f>_xlfn.TEXTJOIN(" ",TRUE,'Audit Report'!G586,'Audit Report'!H586)</f>
        <v/>
      </c>
      <c r="L586" t="str">
        <f>_xlfn.TEXTJOIN(", ", TRUE, 'Audit Report'!K586,'Audit Report'!L586,'Audit Report'!M586)</f>
        <v/>
      </c>
      <c r="M586" t="str">
        <f>'Audit Report'!O586</f>
        <v/>
      </c>
      <c r="N586" t="str" cm="1">
        <f t="array" ref="N586">IF(M586="","",
_xlfn.TEXTJOIN(", ",TRUE,
    _xlfn.MAP(_xlfn.TEXTSPLIT(M586,","),_xlfn.LAMBDA(_xlpm.x,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6" t="str">
        <f>'Audit Report'!F586</f>
        <v/>
      </c>
      <c r="S586" t="str">
        <f>'Audit Report'!Q586</f>
        <v/>
      </c>
    </row>
    <row r="587" spans="4:19">
      <c r="D587" t="str">
        <f>'Audit Report'!B587</f>
        <v>ITD-SHRXXX-XX586</v>
      </c>
      <c r="E587" t="str">
        <f>'Audit Report'!C587</f>
        <v/>
      </c>
      <c r="I587" t="str">
        <f>'Audit Report'!D587</f>
        <v/>
      </c>
      <c r="J587" t="str">
        <f>_xlfn.TEXTJOIN(" ",TRUE,'Audit Report'!G587,'Audit Report'!H587)</f>
        <v/>
      </c>
      <c r="L587" t="str">
        <f>_xlfn.TEXTJOIN(", ", TRUE, 'Audit Report'!K587,'Audit Report'!L587,'Audit Report'!M587)</f>
        <v/>
      </c>
      <c r="M587" t="str">
        <f>'Audit Report'!O587</f>
        <v/>
      </c>
      <c r="N587" t="str" cm="1">
        <f t="array" ref="N587">IF(M587="","",
_xlfn.TEXTJOIN(", ",TRUE,
    _xlfn.MAP(_xlfn.TEXTSPLIT(M587,","),_xlfn.LAMBDA(_xlpm.x,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7" t="str">
        <f>'Audit Report'!F587</f>
        <v/>
      </c>
      <c r="S587" t="str">
        <f>'Audit Report'!Q587</f>
        <v/>
      </c>
    </row>
    <row r="588" spans="4:19">
      <c r="D588" t="str">
        <f>'Audit Report'!B588</f>
        <v>ITD-SHRXXX-XX587</v>
      </c>
      <c r="E588" t="str">
        <f>'Audit Report'!C588</f>
        <v/>
      </c>
      <c r="I588" t="str">
        <f>'Audit Report'!D588</f>
        <v/>
      </c>
      <c r="J588" t="str">
        <f>_xlfn.TEXTJOIN(" ",TRUE,'Audit Report'!G588,'Audit Report'!H588)</f>
        <v/>
      </c>
      <c r="L588" t="str">
        <f>_xlfn.TEXTJOIN(", ", TRUE, 'Audit Report'!K588,'Audit Report'!L588,'Audit Report'!M588)</f>
        <v/>
      </c>
      <c r="M588" t="str">
        <f>'Audit Report'!O588</f>
        <v/>
      </c>
      <c r="N588" t="str" cm="1">
        <f t="array" ref="N588">IF(M588="","",
_xlfn.TEXTJOIN(", ",TRUE,
    _xlfn.MAP(_xlfn.TEXTSPLIT(M588,","),_xlfn.LAMBDA(_xlpm.x,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8" t="str">
        <f>'Audit Report'!F588</f>
        <v/>
      </c>
      <c r="S588" t="str">
        <f>'Audit Report'!Q588</f>
        <v/>
      </c>
    </row>
    <row r="589" spans="4:19">
      <c r="D589" t="str">
        <f>'Audit Report'!B589</f>
        <v>ITD-SHRXXX-XX588</v>
      </c>
      <c r="E589" t="str">
        <f>'Audit Report'!C589</f>
        <v/>
      </c>
      <c r="I589" t="str">
        <f>'Audit Report'!D589</f>
        <v/>
      </c>
      <c r="J589" t="str">
        <f>_xlfn.TEXTJOIN(" ",TRUE,'Audit Report'!G589,'Audit Report'!H589)</f>
        <v/>
      </c>
      <c r="L589" t="str">
        <f>_xlfn.TEXTJOIN(", ", TRUE, 'Audit Report'!K589,'Audit Report'!L589,'Audit Report'!M589)</f>
        <v/>
      </c>
      <c r="M589" t="str">
        <f>'Audit Report'!O589</f>
        <v/>
      </c>
      <c r="N589" t="str" cm="1">
        <f t="array" ref="N589">IF(M589="","",
_xlfn.TEXTJOIN(", ",TRUE,
    _xlfn.MAP(_xlfn.TEXTSPLIT(M589,","),_xlfn.LAMBDA(_xlpm.x,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9" t="str">
        <f>'Audit Report'!F589</f>
        <v/>
      </c>
      <c r="S589" t="str">
        <f>'Audit Report'!Q589</f>
        <v/>
      </c>
    </row>
    <row r="590" spans="4:19">
      <c r="D590" t="str">
        <f>'Audit Report'!B590</f>
        <v>ITD-SHRXXX-XX589</v>
      </c>
      <c r="E590" t="str">
        <f>'Audit Report'!C590</f>
        <v/>
      </c>
      <c r="I590" t="str">
        <f>'Audit Report'!D590</f>
        <v/>
      </c>
      <c r="J590" t="str">
        <f>_xlfn.TEXTJOIN(" ",TRUE,'Audit Report'!G590,'Audit Report'!H590)</f>
        <v/>
      </c>
      <c r="L590" t="str">
        <f>_xlfn.TEXTJOIN(", ", TRUE, 'Audit Report'!K590,'Audit Report'!L590,'Audit Report'!M590)</f>
        <v/>
      </c>
      <c r="M590" t="str">
        <f>'Audit Report'!O590</f>
        <v/>
      </c>
      <c r="N590" t="str" cm="1">
        <f t="array" ref="N590">IF(M590="","",
_xlfn.TEXTJOIN(", ",TRUE,
    _xlfn.MAP(_xlfn.TEXTSPLIT(M590,","),_xlfn.LAMBDA(_xlpm.x,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0" t="str">
        <f>'Audit Report'!F590</f>
        <v/>
      </c>
      <c r="S590" t="str">
        <f>'Audit Report'!Q590</f>
        <v/>
      </c>
    </row>
    <row r="591" spans="4:19">
      <c r="D591" t="str">
        <f>'Audit Report'!B591</f>
        <v>ITD-SHRXXX-XX590</v>
      </c>
      <c r="E591" t="str">
        <f>'Audit Report'!C591</f>
        <v/>
      </c>
      <c r="I591" t="str">
        <f>'Audit Report'!D591</f>
        <v/>
      </c>
      <c r="J591" t="str">
        <f>_xlfn.TEXTJOIN(" ",TRUE,'Audit Report'!G591,'Audit Report'!H591)</f>
        <v/>
      </c>
      <c r="L591" t="str">
        <f>_xlfn.TEXTJOIN(", ", TRUE, 'Audit Report'!K591,'Audit Report'!L591,'Audit Report'!M591)</f>
        <v/>
      </c>
      <c r="M591" t="str">
        <f>'Audit Report'!O591</f>
        <v/>
      </c>
      <c r="N591" t="str" cm="1">
        <f t="array" ref="N591">IF(M591="","",
_xlfn.TEXTJOIN(", ",TRUE,
    _xlfn.MAP(_xlfn.TEXTSPLIT(M591,","),_xlfn.LAMBDA(_xlpm.x,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1" t="str">
        <f>'Audit Report'!F591</f>
        <v/>
      </c>
      <c r="S591" t="str">
        <f>'Audit Report'!Q591</f>
        <v/>
      </c>
    </row>
    <row r="592" spans="4:19">
      <c r="D592" t="str">
        <f>'Audit Report'!B592</f>
        <v>ITD-SHRXXX-XX591</v>
      </c>
      <c r="E592" t="str">
        <f>'Audit Report'!C592</f>
        <v/>
      </c>
      <c r="I592" t="str">
        <f>'Audit Report'!D592</f>
        <v/>
      </c>
      <c r="J592" t="str">
        <f>_xlfn.TEXTJOIN(" ",TRUE,'Audit Report'!G592,'Audit Report'!H592)</f>
        <v/>
      </c>
      <c r="L592" t="str">
        <f>_xlfn.TEXTJOIN(", ", TRUE, 'Audit Report'!K592,'Audit Report'!L592,'Audit Report'!M592)</f>
        <v/>
      </c>
      <c r="M592" t="str">
        <f>'Audit Report'!O592</f>
        <v/>
      </c>
      <c r="N592" t="str" cm="1">
        <f t="array" ref="N592">IF(M592="","",
_xlfn.TEXTJOIN(", ",TRUE,
    _xlfn.MAP(_xlfn.TEXTSPLIT(M592,","),_xlfn.LAMBDA(_xlpm.x,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2" t="str">
        <f>'Audit Report'!F592</f>
        <v/>
      </c>
      <c r="S592" t="str">
        <f>'Audit Report'!Q592</f>
        <v/>
      </c>
    </row>
    <row r="593" spans="4:19">
      <c r="D593" t="str">
        <f>'Audit Report'!B593</f>
        <v>ITD-SHRXXX-XX592</v>
      </c>
      <c r="E593" t="str">
        <f>'Audit Report'!C593</f>
        <v/>
      </c>
      <c r="I593" t="str">
        <f>'Audit Report'!D593</f>
        <v/>
      </c>
      <c r="J593" t="str">
        <f>_xlfn.TEXTJOIN(" ",TRUE,'Audit Report'!G593,'Audit Report'!H593)</f>
        <v/>
      </c>
      <c r="L593" t="str">
        <f>_xlfn.TEXTJOIN(", ", TRUE, 'Audit Report'!K593,'Audit Report'!L593,'Audit Report'!M593)</f>
        <v/>
      </c>
      <c r="M593" t="str">
        <f>'Audit Report'!O593</f>
        <v/>
      </c>
      <c r="N593" t="str" cm="1">
        <f t="array" ref="N593">IF(M593="","",
_xlfn.TEXTJOIN(", ",TRUE,
    _xlfn.MAP(_xlfn.TEXTSPLIT(M593,","),_xlfn.LAMBDA(_xlpm.x,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3" t="str">
        <f>'Audit Report'!F593</f>
        <v/>
      </c>
      <c r="S593" t="str">
        <f>'Audit Report'!Q593</f>
        <v/>
      </c>
    </row>
    <row r="594" spans="4:19">
      <c r="D594" t="str">
        <f>'Audit Report'!B594</f>
        <v>ITD-SHRXXX-XX593</v>
      </c>
      <c r="E594" t="str">
        <f>'Audit Report'!C594</f>
        <v/>
      </c>
      <c r="I594" t="str">
        <f>'Audit Report'!D594</f>
        <v/>
      </c>
      <c r="J594" t="str">
        <f>_xlfn.TEXTJOIN(" ",TRUE,'Audit Report'!G594,'Audit Report'!H594)</f>
        <v/>
      </c>
      <c r="L594" t="str">
        <f>_xlfn.TEXTJOIN(", ", TRUE, 'Audit Report'!K594,'Audit Report'!L594,'Audit Report'!M594)</f>
        <v/>
      </c>
      <c r="M594" t="str">
        <f>'Audit Report'!O594</f>
        <v/>
      </c>
      <c r="N594" t="str" cm="1">
        <f t="array" ref="N594">IF(M594="","",
_xlfn.TEXTJOIN(", ",TRUE,
    _xlfn.MAP(_xlfn.TEXTSPLIT(M594,","),_xlfn.LAMBDA(_xlpm.x,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4" t="str">
        <f>'Audit Report'!F594</f>
        <v/>
      </c>
      <c r="S594" t="str">
        <f>'Audit Report'!Q594</f>
        <v/>
      </c>
    </row>
    <row r="595" spans="4:19">
      <c r="D595" t="str">
        <f>'Audit Report'!B595</f>
        <v>ITD-SHRXXX-XX594</v>
      </c>
      <c r="E595" t="str">
        <f>'Audit Report'!C595</f>
        <v/>
      </c>
      <c r="I595" t="str">
        <f>'Audit Report'!D595</f>
        <v/>
      </c>
      <c r="J595" t="str">
        <f>_xlfn.TEXTJOIN(" ",TRUE,'Audit Report'!G595,'Audit Report'!H595)</f>
        <v/>
      </c>
      <c r="L595" t="str">
        <f>_xlfn.TEXTJOIN(", ", TRUE, 'Audit Report'!K595,'Audit Report'!L595,'Audit Report'!M595)</f>
        <v/>
      </c>
      <c r="M595" t="str">
        <f>'Audit Report'!O595</f>
        <v/>
      </c>
      <c r="N595" t="str" cm="1">
        <f t="array" ref="N595">IF(M595="","",
_xlfn.TEXTJOIN(", ",TRUE,
    _xlfn.MAP(_xlfn.TEXTSPLIT(M595,","),_xlfn.LAMBDA(_xlpm.x,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5" t="str">
        <f>'Audit Report'!F595</f>
        <v/>
      </c>
      <c r="S595" t="str">
        <f>'Audit Report'!Q595</f>
        <v/>
      </c>
    </row>
    <row r="596" spans="4:19">
      <c r="D596" t="str">
        <f>'Audit Report'!B596</f>
        <v>ITD-SHRXXX-XX595</v>
      </c>
      <c r="E596" t="str">
        <f>'Audit Report'!C596</f>
        <v/>
      </c>
      <c r="I596" t="str">
        <f>'Audit Report'!D596</f>
        <v/>
      </c>
      <c r="J596" t="str">
        <f>_xlfn.TEXTJOIN(" ",TRUE,'Audit Report'!G596,'Audit Report'!H596)</f>
        <v/>
      </c>
      <c r="L596" t="str">
        <f>_xlfn.TEXTJOIN(", ", TRUE, 'Audit Report'!K596,'Audit Report'!L596,'Audit Report'!M596)</f>
        <v/>
      </c>
      <c r="M596" t="str">
        <f>'Audit Report'!O596</f>
        <v/>
      </c>
      <c r="N596" t="str" cm="1">
        <f t="array" ref="N596">IF(M596="","",
_xlfn.TEXTJOIN(", ",TRUE,
    _xlfn.MAP(_xlfn.TEXTSPLIT(M596,","),_xlfn.LAMBDA(_xlpm.x,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6" t="str">
        <f>'Audit Report'!F596</f>
        <v/>
      </c>
      <c r="S596" t="str">
        <f>'Audit Report'!Q596</f>
        <v/>
      </c>
    </row>
    <row r="597" spans="4:19">
      <c r="D597" t="str">
        <f>'Audit Report'!B597</f>
        <v>ITD-SHRXXX-XX596</v>
      </c>
      <c r="E597" t="str">
        <f>'Audit Report'!C597</f>
        <v/>
      </c>
      <c r="I597" t="str">
        <f>'Audit Report'!D597</f>
        <v/>
      </c>
      <c r="J597" t="str">
        <f>_xlfn.TEXTJOIN(" ",TRUE,'Audit Report'!G597,'Audit Report'!H597)</f>
        <v/>
      </c>
      <c r="L597" t="str">
        <f>_xlfn.TEXTJOIN(", ", TRUE, 'Audit Report'!K597,'Audit Report'!L597,'Audit Report'!M597)</f>
        <v/>
      </c>
      <c r="M597" t="str">
        <f>'Audit Report'!O597</f>
        <v/>
      </c>
      <c r="N597" t="str" cm="1">
        <f t="array" ref="N597">IF(M597="","",
_xlfn.TEXTJOIN(", ",TRUE,
    _xlfn.MAP(_xlfn.TEXTSPLIT(M597,","),_xlfn.LAMBDA(_xlpm.x,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7" t="str">
        <f>'Audit Report'!F597</f>
        <v/>
      </c>
      <c r="S597" t="str">
        <f>'Audit Report'!Q597</f>
        <v/>
      </c>
    </row>
    <row r="598" spans="4:19">
      <c r="D598" t="str">
        <f>'Audit Report'!B598</f>
        <v>ITD-SHRXXX-XX597</v>
      </c>
      <c r="E598" t="str">
        <f>'Audit Report'!C598</f>
        <v/>
      </c>
      <c r="I598" t="str">
        <f>'Audit Report'!D598</f>
        <v/>
      </c>
      <c r="J598" t="str">
        <f>_xlfn.TEXTJOIN(" ",TRUE,'Audit Report'!G598,'Audit Report'!H598)</f>
        <v/>
      </c>
      <c r="L598" t="str">
        <f>_xlfn.TEXTJOIN(", ", TRUE, 'Audit Report'!K598,'Audit Report'!L598,'Audit Report'!M598)</f>
        <v/>
      </c>
      <c r="M598" t="str">
        <f>'Audit Report'!O598</f>
        <v/>
      </c>
      <c r="N598" t="str" cm="1">
        <f t="array" ref="N598">IF(M598="","",
_xlfn.TEXTJOIN(", ",TRUE,
    _xlfn.MAP(_xlfn.TEXTSPLIT(M598,","),_xlfn.LAMBDA(_xlpm.x,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8" t="str">
        <f>'Audit Report'!F598</f>
        <v/>
      </c>
      <c r="S598" t="str">
        <f>'Audit Report'!Q598</f>
        <v/>
      </c>
    </row>
    <row r="599" spans="4:19">
      <c r="D599" t="str">
        <f>'Audit Report'!B599</f>
        <v>ITD-SHRXXX-XX598</v>
      </c>
      <c r="E599" t="str">
        <f>'Audit Report'!C599</f>
        <v/>
      </c>
      <c r="I599" t="str">
        <f>'Audit Report'!D599</f>
        <v/>
      </c>
      <c r="J599" t="str">
        <f>_xlfn.TEXTJOIN(" ",TRUE,'Audit Report'!G599,'Audit Report'!H599)</f>
        <v/>
      </c>
      <c r="L599" t="str">
        <f>_xlfn.TEXTJOIN(", ", TRUE, 'Audit Report'!K599,'Audit Report'!L599,'Audit Report'!M599)</f>
        <v/>
      </c>
      <c r="M599" t="str">
        <f>'Audit Report'!O599</f>
        <v/>
      </c>
      <c r="N599" t="str" cm="1">
        <f t="array" ref="N599">IF(M599="","",
_xlfn.TEXTJOIN(", ",TRUE,
    _xlfn.MAP(_xlfn.TEXTSPLIT(M599,","),_xlfn.LAMBDA(_xlpm.x,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9" t="str">
        <f>'Audit Report'!F599</f>
        <v/>
      </c>
      <c r="S599" t="str">
        <f>'Audit Report'!Q599</f>
        <v/>
      </c>
    </row>
    <row r="600" spans="4:19">
      <c r="D600" t="str">
        <f>'Audit Report'!B600</f>
        <v>ITD-SHRXXX-XX599</v>
      </c>
      <c r="E600" t="str">
        <f>'Audit Report'!C600</f>
        <v/>
      </c>
      <c r="I600" t="str">
        <f>'Audit Report'!D600</f>
        <v/>
      </c>
      <c r="J600" t="str">
        <f>_xlfn.TEXTJOIN(" ",TRUE,'Audit Report'!G600,'Audit Report'!H600)</f>
        <v/>
      </c>
      <c r="L600" t="str">
        <f>_xlfn.TEXTJOIN(", ", TRUE, 'Audit Report'!K600,'Audit Report'!L600,'Audit Report'!M600)</f>
        <v/>
      </c>
      <c r="M600" t="str">
        <f>'Audit Report'!O600</f>
        <v/>
      </c>
      <c r="N600" t="str" cm="1">
        <f t="array" ref="N600">IF(M600="","",
_xlfn.TEXTJOIN(", ",TRUE,
    _xlfn.MAP(_xlfn.TEXTSPLIT(M600,","),_xlfn.LAMBDA(_xlpm.x,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0" t="str">
        <f>'Audit Report'!F600</f>
        <v/>
      </c>
      <c r="S600" t="str">
        <f>'Audit Report'!Q600</f>
        <v/>
      </c>
    </row>
    <row r="601" spans="4:19">
      <c r="D601" t="str">
        <f>'Audit Report'!B601</f>
        <v>ITD-SHRXXX-XX600</v>
      </c>
      <c r="E601" t="str">
        <f>'Audit Report'!C601</f>
        <v/>
      </c>
      <c r="I601" t="str">
        <f>'Audit Report'!D601</f>
        <v/>
      </c>
      <c r="J601" t="str">
        <f>_xlfn.TEXTJOIN(" ",TRUE,'Audit Report'!G601,'Audit Report'!H601)</f>
        <v/>
      </c>
      <c r="L601" t="str">
        <f>_xlfn.TEXTJOIN(", ", TRUE, 'Audit Report'!K601,'Audit Report'!L601,'Audit Report'!M601)</f>
        <v/>
      </c>
      <c r="M601" t="str">
        <f>'Audit Report'!O601</f>
        <v/>
      </c>
      <c r="N601" t="str" cm="1">
        <f t="array" ref="N601">IF(M601="","",
_xlfn.TEXTJOIN(", ",TRUE,
    _xlfn.MAP(_xlfn.TEXTSPLIT(M601,","),_xlfn.LAMBDA(_xlpm.x,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1" t="str">
        <f>'Audit Report'!F601</f>
        <v/>
      </c>
      <c r="S601" t="str">
        <f>'Audit Report'!Q601</f>
        <v/>
      </c>
    </row>
    <row r="602" spans="4:19">
      <c r="D602" t="str">
        <f>'Audit Report'!B602</f>
        <v>ITD-SHRXXX-XX601</v>
      </c>
      <c r="E602" t="str">
        <f>'Audit Report'!C602</f>
        <v/>
      </c>
      <c r="I602" t="str">
        <f>'Audit Report'!D602</f>
        <v/>
      </c>
      <c r="J602" t="str">
        <f>_xlfn.TEXTJOIN(" ",TRUE,'Audit Report'!G602,'Audit Report'!H602)</f>
        <v/>
      </c>
      <c r="L602" t="str">
        <f>_xlfn.TEXTJOIN(", ", TRUE, 'Audit Report'!K602,'Audit Report'!L602,'Audit Report'!M602)</f>
        <v/>
      </c>
      <c r="M602" t="str">
        <f>'Audit Report'!O602</f>
        <v/>
      </c>
      <c r="N602" t="str" cm="1">
        <f t="array" ref="N602">IF(M602="","",
_xlfn.TEXTJOIN(", ",TRUE,
    _xlfn.MAP(_xlfn.TEXTSPLIT(M602,","),_xlfn.LAMBDA(_xlpm.x,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2" t="str">
        <f>'Audit Report'!F602</f>
        <v/>
      </c>
      <c r="S602" t="str">
        <f>'Audit Report'!Q602</f>
        <v/>
      </c>
    </row>
    <row r="603" spans="4:19">
      <c r="D603" t="str">
        <f>'Audit Report'!B603</f>
        <v>ITD-SHRXXX-XX602</v>
      </c>
      <c r="E603" t="str">
        <f>'Audit Report'!C603</f>
        <v/>
      </c>
      <c r="I603" t="str">
        <f>'Audit Report'!D603</f>
        <v/>
      </c>
      <c r="J603" t="str">
        <f>_xlfn.TEXTJOIN(" ",TRUE,'Audit Report'!G603,'Audit Report'!H603)</f>
        <v/>
      </c>
      <c r="L603" t="str">
        <f>_xlfn.TEXTJOIN(", ", TRUE, 'Audit Report'!K603,'Audit Report'!L603,'Audit Report'!M603)</f>
        <v/>
      </c>
      <c r="M603" t="str">
        <f>'Audit Report'!O603</f>
        <v/>
      </c>
      <c r="N603" t="str" cm="1">
        <f t="array" ref="N603">IF(M603="","",
_xlfn.TEXTJOIN(", ",TRUE,
    _xlfn.MAP(_xlfn.TEXTSPLIT(M603,","),_xlfn.LAMBDA(_xlpm.x,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3" t="str">
        <f>'Audit Report'!F603</f>
        <v/>
      </c>
      <c r="S603" t="str">
        <f>'Audit Report'!Q603</f>
        <v/>
      </c>
    </row>
    <row r="604" spans="4:19">
      <c r="D604" t="str">
        <f>'Audit Report'!B604</f>
        <v>ITD-SHRXXX-XX603</v>
      </c>
      <c r="E604" t="str">
        <f>'Audit Report'!C604</f>
        <v/>
      </c>
      <c r="I604" t="str">
        <f>'Audit Report'!D604</f>
        <v/>
      </c>
      <c r="J604" t="str">
        <f>_xlfn.TEXTJOIN(" ",TRUE,'Audit Report'!G604,'Audit Report'!H604)</f>
        <v/>
      </c>
      <c r="L604" t="str">
        <f>_xlfn.TEXTJOIN(", ", TRUE, 'Audit Report'!K604,'Audit Report'!L604,'Audit Report'!M604)</f>
        <v/>
      </c>
      <c r="M604" t="str">
        <f>'Audit Report'!O604</f>
        <v/>
      </c>
      <c r="N604" t="str" cm="1">
        <f t="array" ref="N604">IF(M604="","",
_xlfn.TEXTJOIN(", ",TRUE,
    _xlfn.MAP(_xlfn.TEXTSPLIT(M604,","),_xlfn.LAMBDA(_xlpm.x,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4" t="str">
        <f>'Audit Report'!F604</f>
        <v/>
      </c>
      <c r="S604" t="str">
        <f>'Audit Report'!Q604</f>
        <v/>
      </c>
    </row>
    <row r="605" spans="4:19">
      <c r="D605" t="str">
        <f>'Audit Report'!B605</f>
        <v>ITD-SHRXXX-XX604</v>
      </c>
      <c r="E605" t="str">
        <f>'Audit Report'!C605</f>
        <v/>
      </c>
      <c r="I605" t="str">
        <f>'Audit Report'!D605</f>
        <v/>
      </c>
      <c r="J605" t="str">
        <f>_xlfn.TEXTJOIN(" ",TRUE,'Audit Report'!G605,'Audit Report'!H605)</f>
        <v/>
      </c>
      <c r="L605" t="str">
        <f>_xlfn.TEXTJOIN(", ", TRUE, 'Audit Report'!K605,'Audit Report'!L605,'Audit Report'!M605)</f>
        <v/>
      </c>
      <c r="M605" t="str">
        <f>'Audit Report'!O605</f>
        <v/>
      </c>
      <c r="N605" t="str" cm="1">
        <f t="array" ref="N605">IF(M605="","",
_xlfn.TEXTJOIN(", ",TRUE,
    _xlfn.MAP(_xlfn.TEXTSPLIT(M605,","),_xlfn.LAMBDA(_xlpm.x,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5" t="str">
        <f>'Audit Report'!F605</f>
        <v/>
      </c>
      <c r="S605" t="str">
        <f>'Audit Report'!Q605</f>
        <v/>
      </c>
    </row>
    <row r="606" spans="4:19">
      <c r="D606" t="str">
        <f>'Audit Report'!B606</f>
        <v>ITD-SHRXXX-XX605</v>
      </c>
      <c r="E606" t="str">
        <f>'Audit Report'!C606</f>
        <v/>
      </c>
      <c r="I606" t="str">
        <f>'Audit Report'!D606</f>
        <v/>
      </c>
      <c r="J606" t="str">
        <f>_xlfn.TEXTJOIN(" ",TRUE,'Audit Report'!G606,'Audit Report'!H606)</f>
        <v/>
      </c>
      <c r="L606" t="str">
        <f>_xlfn.TEXTJOIN(", ", TRUE, 'Audit Report'!K606,'Audit Report'!L606,'Audit Report'!M606)</f>
        <v/>
      </c>
      <c r="M606" t="str">
        <f>'Audit Report'!O606</f>
        <v/>
      </c>
      <c r="N606" t="str" cm="1">
        <f t="array" ref="N606">IF(M606="","",
_xlfn.TEXTJOIN(", ",TRUE,
    _xlfn.MAP(_xlfn.TEXTSPLIT(M606,","),_xlfn.LAMBDA(_xlpm.x,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6" t="str">
        <f>'Audit Report'!F606</f>
        <v/>
      </c>
      <c r="S606" t="str">
        <f>'Audit Report'!Q606</f>
        <v/>
      </c>
    </row>
    <row r="607" spans="4:19">
      <c r="D607" t="str">
        <f>'Audit Report'!B607</f>
        <v>ITD-SHRXXX-XX606</v>
      </c>
      <c r="E607" t="str">
        <f>'Audit Report'!C607</f>
        <v/>
      </c>
      <c r="I607" t="str">
        <f>'Audit Report'!D607</f>
        <v/>
      </c>
      <c r="J607" t="str">
        <f>_xlfn.TEXTJOIN(" ",TRUE,'Audit Report'!G607,'Audit Report'!H607)</f>
        <v/>
      </c>
      <c r="L607" t="str">
        <f>_xlfn.TEXTJOIN(", ", TRUE, 'Audit Report'!K607,'Audit Report'!L607,'Audit Report'!M607)</f>
        <v/>
      </c>
      <c r="M607" t="str">
        <f>'Audit Report'!O607</f>
        <v/>
      </c>
      <c r="N607" t="str" cm="1">
        <f t="array" ref="N607">IF(M607="","",
_xlfn.TEXTJOIN(", ",TRUE,
    _xlfn.MAP(_xlfn.TEXTSPLIT(M607,","),_xlfn.LAMBDA(_xlpm.x,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7" t="str">
        <f>'Audit Report'!F607</f>
        <v/>
      </c>
      <c r="S607" t="str">
        <f>'Audit Report'!Q607</f>
        <v/>
      </c>
    </row>
    <row r="608" spans="4:19">
      <c r="D608" t="str">
        <f>'Audit Report'!B608</f>
        <v>ITD-SHRXXX-XX607</v>
      </c>
      <c r="E608" t="str">
        <f>'Audit Report'!C608</f>
        <v/>
      </c>
      <c r="I608" t="str">
        <f>'Audit Report'!D608</f>
        <v/>
      </c>
      <c r="J608" t="str">
        <f>_xlfn.TEXTJOIN(" ",TRUE,'Audit Report'!G608,'Audit Report'!H608)</f>
        <v/>
      </c>
      <c r="L608" t="str">
        <f>_xlfn.TEXTJOIN(", ", TRUE, 'Audit Report'!K608,'Audit Report'!L608,'Audit Report'!M608)</f>
        <v/>
      </c>
      <c r="M608" t="str">
        <f>'Audit Report'!O608</f>
        <v/>
      </c>
      <c r="N608" t="str" cm="1">
        <f t="array" ref="N608">IF(M608="","",
_xlfn.TEXTJOIN(", ",TRUE,
    _xlfn.MAP(_xlfn.TEXTSPLIT(M608,","),_xlfn.LAMBDA(_xlpm.x,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8" t="str">
        <f>'Audit Report'!F608</f>
        <v/>
      </c>
      <c r="S608" t="str">
        <f>'Audit Report'!Q608</f>
        <v/>
      </c>
    </row>
    <row r="609" spans="4:19">
      <c r="D609" t="str">
        <f>'Audit Report'!B609</f>
        <v>ITD-SHRXXX-XX608</v>
      </c>
      <c r="E609" t="str">
        <f>'Audit Report'!C609</f>
        <v/>
      </c>
      <c r="I609" t="str">
        <f>'Audit Report'!D609</f>
        <v/>
      </c>
      <c r="J609" t="str">
        <f>_xlfn.TEXTJOIN(" ",TRUE,'Audit Report'!G609,'Audit Report'!H609)</f>
        <v/>
      </c>
      <c r="L609" t="str">
        <f>_xlfn.TEXTJOIN(", ", TRUE, 'Audit Report'!K609,'Audit Report'!L609,'Audit Report'!M609)</f>
        <v/>
      </c>
      <c r="M609" t="str">
        <f>'Audit Report'!O609</f>
        <v/>
      </c>
      <c r="N609" t="str" cm="1">
        <f t="array" ref="N609">IF(M609="","",
_xlfn.TEXTJOIN(", ",TRUE,
    _xlfn.MAP(_xlfn.TEXTSPLIT(M609,","),_xlfn.LAMBDA(_xlpm.x,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9" t="str">
        <f>'Audit Report'!F609</f>
        <v/>
      </c>
      <c r="S609" t="str">
        <f>'Audit Report'!Q609</f>
        <v/>
      </c>
    </row>
    <row r="610" spans="4:19">
      <c r="D610" t="str">
        <f>'Audit Report'!B610</f>
        <v>ITD-SHRXXX-XX609</v>
      </c>
      <c r="E610" t="str">
        <f>'Audit Report'!C610</f>
        <v/>
      </c>
      <c r="I610" t="str">
        <f>'Audit Report'!D610</f>
        <v/>
      </c>
      <c r="J610" t="str">
        <f>_xlfn.TEXTJOIN(" ",TRUE,'Audit Report'!G610,'Audit Report'!H610)</f>
        <v/>
      </c>
      <c r="L610" t="str">
        <f>_xlfn.TEXTJOIN(", ", TRUE, 'Audit Report'!K610,'Audit Report'!L610,'Audit Report'!M610)</f>
        <v/>
      </c>
      <c r="M610" t="str">
        <f>'Audit Report'!O610</f>
        <v/>
      </c>
      <c r="N610" t="str" cm="1">
        <f t="array" ref="N610">IF(M610="","",
_xlfn.TEXTJOIN(", ",TRUE,
    _xlfn.MAP(_xlfn.TEXTSPLIT(M610,","),_xlfn.LAMBDA(_xlpm.x,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0" t="str">
        <f>'Audit Report'!F610</f>
        <v/>
      </c>
      <c r="S610" t="str">
        <f>'Audit Report'!Q610</f>
        <v/>
      </c>
    </row>
    <row r="611" spans="4:19">
      <c r="D611" t="str">
        <f>'Audit Report'!B611</f>
        <v>ITD-SHRXXX-XX610</v>
      </c>
      <c r="E611" t="str">
        <f>'Audit Report'!C611</f>
        <v/>
      </c>
      <c r="I611" t="str">
        <f>'Audit Report'!D611</f>
        <v/>
      </c>
      <c r="J611" t="str">
        <f>_xlfn.TEXTJOIN(" ",TRUE,'Audit Report'!G611,'Audit Report'!H611)</f>
        <v/>
      </c>
      <c r="L611" t="str">
        <f>_xlfn.TEXTJOIN(", ", TRUE, 'Audit Report'!K611,'Audit Report'!L611,'Audit Report'!M611)</f>
        <v/>
      </c>
      <c r="M611" t="str">
        <f>'Audit Report'!O611</f>
        <v/>
      </c>
      <c r="N611" t="str" cm="1">
        <f t="array" ref="N611">IF(M611="","",
_xlfn.TEXTJOIN(", ",TRUE,
    _xlfn.MAP(_xlfn.TEXTSPLIT(M611,","),_xlfn.LAMBDA(_xlpm.x,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1" t="str">
        <f>'Audit Report'!F611</f>
        <v/>
      </c>
      <c r="S611" t="str">
        <f>'Audit Report'!Q611</f>
        <v/>
      </c>
    </row>
    <row r="612" spans="4:19">
      <c r="D612" t="str">
        <f>'Audit Report'!B612</f>
        <v>ITD-SHRXXX-XX611</v>
      </c>
      <c r="E612" t="str">
        <f>'Audit Report'!C612</f>
        <v/>
      </c>
      <c r="I612" t="str">
        <f>'Audit Report'!D612</f>
        <v/>
      </c>
      <c r="J612" t="str">
        <f>_xlfn.TEXTJOIN(" ",TRUE,'Audit Report'!G612,'Audit Report'!H612)</f>
        <v/>
      </c>
      <c r="L612" t="str">
        <f>_xlfn.TEXTJOIN(", ", TRUE, 'Audit Report'!K612,'Audit Report'!L612,'Audit Report'!M612)</f>
        <v/>
      </c>
      <c r="M612" t="str">
        <f>'Audit Report'!O612</f>
        <v/>
      </c>
      <c r="N612" t="str" cm="1">
        <f t="array" ref="N612">IF(M612="","",
_xlfn.TEXTJOIN(", ",TRUE,
    _xlfn.MAP(_xlfn.TEXTSPLIT(M612,","),_xlfn.LAMBDA(_xlpm.x,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2" t="str">
        <f>'Audit Report'!F612</f>
        <v/>
      </c>
      <c r="S612" t="str">
        <f>'Audit Report'!Q612</f>
        <v/>
      </c>
    </row>
    <row r="613" spans="4:19">
      <c r="D613" t="str">
        <f>'Audit Report'!B613</f>
        <v>ITD-SHRXXX-XX612</v>
      </c>
      <c r="E613" t="str">
        <f>'Audit Report'!C613</f>
        <v/>
      </c>
      <c r="I613" t="str">
        <f>'Audit Report'!D613</f>
        <v/>
      </c>
      <c r="J613" t="str">
        <f>_xlfn.TEXTJOIN(" ",TRUE,'Audit Report'!G613,'Audit Report'!H613)</f>
        <v/>
      </c>
      <c r="L613" t="str">
        <f>_xlfn.TEXTJOIN(", ", TRUE, 'Audit Report'!K613,'Audit Report'!L613,'Audit Report'!M613)</f>
        <v/>
      </c>
      <c r="M613" t="str">
        <f>'Audit Report'!O613</f>
        <v/>
      </c>
      <c r="N613" t="str" cm="1">
        <f t="array" ref="N613">IF(M613="","",
_xlfn.TEXTJOIN(", ",TRUE,
    _xlfn.MAP(_xlfn.TEXTSPLIT(M613,","),_xlfn.LAMBDA(_xlpm.x,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3" t="str">
        <f>'Audit Report'!F613</f>
        <v/>
      </c>
      <c r="S613" t="str">
        <f>'Audit Report'!Q613</f>
        <v/>
      </c>
    </row>
    <row r="614" spans="4:19">
      <c r="D614" t="str">
        <f>'Audit Report'!B614</f>
        <v>ITD-SHRXXX-XX613</v>
      </c>
      <c r="E614" t="str">
        <f>'Audit Report'!C614</f>
        <v/>
      </c>
      <c r="I614" t="str">
        <f>'Audit Report'!D614</f>
        <v/>
      </c>
      <c r="J614" t="str">
        <f>_xlfn.TEXTJOIN(" ",TRUE,'Audit Report'!G614,'Audit Report'!H614)</f>
        <v/>
      </c>
      <c r="L614" t="str">
        <f>_xlfn.TEXTJOIN(", ", TRUE, 'Audit Report'!K614,'Audit Report'!L614,'Audit Report'!M614)</f>
        <v/>
      </c>
      <c r="M614" t="str">
        <f>'Audit Report'!O614</f>
        <v/>
      </c>
      <c r="N614" t="str" cm="1">
        <f t="array" ref="N614">IF(M614="","",
_xlfn.TEXTJOIN(", ",TRUE,
    _xlfn.MAP(_xlfn.TEXTSPLIT(M614,","),_xlfn.LAMBDA(_xlpm.x,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4" t="str">
        <f>'Audit Report'!F614</f>
        <v/>
      </c>
      <c r="S614" t="str">
        <f>'Audit Report'!Q614</f>
        <v/>
      </c>
    </row>
    <row r="615" spans="4:19">
      <c r="D615" t="str">
        <f>'Audit Report'!B615</f>
        <v>ITD-SHRXXX-XX614</v>
      </c>
      <c r="E615" t="str">
        <f>'Audit Report'!C615</f>
        <v/>
      </c>
      <c r="I615" t="str">
        <f>'Audit Report'!D615</f>
        <v/>
      </c>
      <c r="J615" t="str">
        <f>_xlfn.TEXTJOIN(" ",TRUE,'Audit Report'!G615,'Audit Report'!H615)</f>
        <v/>
      </c>
      <c r="L615" t="str">
        <f>_xlfn.TEXTJOIN(", ", TRUE, 'Audit Report'!K615,'Audit Report'!L615,'Audit Report'!M615)</f>
        <v/>
      </c>
      <c r="M615" t="str">
        <f>'Audit Report'!O615</f>
        <v/>
      </c>
      <c r="N615" t="str" cm="1">
        <f t="array" ref="N615">IF(M615="","",
_xlfn.TEXTJOIN(", ",TRUE,
    _xlfn.MAP(_xlfn.TEXTSPLIT(M615,","),_xlfn.LAMBDA(_xlpm.x,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5" t="str">
        <f>'Audit Report'!F615</f>
        <v/>
      </c>
      <c r="S615" t="str">
        <f>'Audit Report'!Q615</f>
        <v/>
      </c>
    </row>
    <row r="616" spans="4:19">
      <c r="D616" t="str">
        <f>'Audit Report'!B616</f>
        <v>ITD-SHRXXX-XX615</v>
      </c>
      <c r="E616" t="str">
        <f>'Audit Report'!C616</f>
        <v/>
      </c>
      <c r="I616" t="str">
        <f>'Audit Report'!D616</f>
        <v/>
      </c>
      <c r="J616" t="str">
        <f>_xlfn.TEXTJOIN(" ",TRUE,'Audit Report'!G616,'Audit Report'!H616)</f>
        <v/>
      </c>
      <c r="L616" t="str">
        <f>_xlfn.TEXTJOIN(", ", TRUE, 'Audit Report'!K616,'Audit Report'!L616,'Audit Report'!M616)</f>
        <v/>
      </c>
      <c r="M616" t="str">
        <f>'Audit Report'!O616</f>
        <v/>
      </c>
      <c r="N616" t="str" cm="1">
        <f t="array" ref="N616">IF(M616="","",
_xlfn.TEXTJOIN(", ",TRUE,
    _xlfn.MAP(_xlfn.TEXTSPLIT(M616,","),_xlfn.LAMBDA(_xlpm.x,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6" t="str">
        <f>'Audit Report'!F616</f>
        <v/>
      </c>
      <c r="S616" t="str">
        <f>'Audit Report'!Q616</f>
        <v/>
      </c>
    </row>
    <row r="617" spans="4:19">
      <c r="D617" t="str">
        <f>'Audit Report'!B617</f>
        <v>ITD-SHRXXX-XX616</v>
      </c>
      <c r="E617" t="str">
        <f>'Audit Report'!C617</f>
        <v/>
      </c>
      <c r="I617" t="str">
        <f>'Audit Report'!D617</f>
        <v/>
      </c>
      <c r="J617" t="str">
        <f>_xlfn.TEXTJOIN(" ",TRUE,'Audit Report'!G617,'Audit Report'!H617)</f>
        <v/>
      </c>
      <c r="L617" t="str">
        <f>_xlfn.TEXTJOIN(", ", TRUE, 'Audit Report'!K617,'Audit Report'!L617,'Audit Report'!M617)</f>
        <v/>
      </c>
      <c r="M617" t="str">
        <f>'Audit Report'!O617</f>
        <v/>
      </c>
      <c r="N617" t="str" cm="1">
        <f t="array" ref="N617">IF(M617="","",
_xlfn.TEXTJOIN(", ",TRUE,
    _xlfn.MAP(_xlfn.TEXTSPLIT(M617,","),_xlfn.LAMBDA(_xlpm.x,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7" t="str">
        <f>'Audit Report'!F617</f>
        <v/>
      </c>
      <c r="S617" t="str">
        <f>'Audit Report'!Q617</f>
        <v/>
      </c>
    </row>
    <row r="618" spans="4:19">
      <c r="D618" t="str">
        <f>'Audit Report'!B618</f>
        <v>ITD-SHRXXX-XX617</v>
      </c>
      <c r="E618" t="str">
        <f>'Audit Report'!C618</f>
        <v/>
      </c>
      <c r="I618" t="str">
        <f>'Audit Report'!D618</f>
        <v/>
      </c>
      <c r="J618" t="str">
        <f>_xlfn.TEXTJOIN(" ",TRUE,'Audit Report'!G618,'Audit Report'!H618)</f>
        <v/>
      </c>
      <c r="L618" t="str">
        <f>_xlfn.TEXTJOIN(", ", TRUE, 'Audit Report'!K618,'Audit Report'!L618,'Audit Report'!M618)</f>
        <v/>
      </c>
      <c r="M618" t="str">
        <f>'Audit Report'!O618</f>
        <v/>
      </c>
      <c r="N618" t="str" cm="1">
        <f t="array" ref="N618">IF(M618="","",
_xlfn.TEXTJOIN(", ",TRUE,
    _xlfn.MAP(_xlfn.TEXTSPLIT(M618,","),_xlfn.LAMBDA(_xlpm.x,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8" t="str">
        <f>'Audit Report'!F618</f>
        <v/>
      </c>
      <c r="S618" t="str">
        <f>'Audit Report'!Q618</f>
        <v/>
      </c>
    </row>
    <row r="619" spans="4:19">
      <c r="D619" t="str">
        <f>'Audit Report'!B619</f>
        <v>ITD-SHRXXX-XX618</v>
      </c>
      <c r="E619" t="str">
        <f>'Audit Report'!C619</f>
        <v/>
      </c>
      <c r="I619" t="str">
        <f>'Audit Report'!D619</f>
        <v/>
      </c>
      <c r="J619" t="str">
        <f>_xlfn.TEXTJOIN(" ",TRUE,'Audit Report'!G619,'Audit Report'!H619)</f>
        <v/>
      </c>
      <c r="L619" t="str">
        <f>_xlfn.TEXTJOIN(", ", TRUE, 'Audit Report'!K619,'Audit Report'!L619,'Audit Report'!M619)</f>
        <v/>
      </c>
      <c r="M619" t="str">
        <f>'Audit Report'!O619</f>
        <v/>
      </c>
      <c r="N619" t="str" cm="1">
        <f t="array" ref="N619">IF(M619="","",
_xlfn.TEXTJOIN(", ",TRUE,
    _xlfn.MAP(_xlfn.TEXTSPLIT(M619,","),_xlfn.LAMBDA(_xlpm.x,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9" t="str">
        <f>'Audit Report'!F619</f>
        <v/>
      </c>
      <c r="S619" t="str">
        <f>'Audit Report'!Q619</f>
        <v/>
      </c>
    </row>
    <row r="620" spans="4:19">
      <c r="D620" t="str">
        <f>'Audit Report'!B620</f>
        <v>ITD-SHRXXX-XX619</v>
      </c>
      <c r="E620" t="str">
        <f>'Audit Report'!C620</f>
        <v/>
      </c>
      <c r="I620" t="str">
        <f>'Audit Report'!D620</f>
        <v/>
      </c>
      <c r="J620" t="str">
        <f>_xlfn.TEXTJOIN(" ",TRUE,'Audit Report'!G620,'Audit Report'!H620)</f>
        <v/>
      </c>
      <c r="L620" t="str">
        <f>_xlfn.TEXTJOIN(", ", TRUE, 'Audit Report'!K620,'Audit Report'!L620,'Audit Report'!M620)</f>
        <v/>
      </c>
      <c r="M620" t="str">
        <f>'Audit Report'!O620</f>
        <v/>
      </c>
      <c r="N620" t="str" cm="1">
        <f t="array" ref="N620">IF(M620="","",
_xlfn.TEXTJOIN(", ",TRUE,
    _xlfn.MAP(_xlfn.TEXTSPLIT(M620,","),_xlfn.LAMBDA(_xlpm.x,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0" t="str">
        <f>'Audit Report'!F620</f>
        <v/>
      </c>
      <c r="S620" t="str">
        <f>'Audit Report'!Q620</f>
        <v/>
      </c>
    </row>
    <row r="621" spans="4:19">
      <c r="D621" t="str">
        <f>'Audit Report'!B621</f>
        <v>ITD-SHRXXX-XX620</v>
      </c>
      <c r="E621" t="str">
        <f>'Audit Report'!C621</f>
        <v/>
      </c>
      <c r="I621" t="str">
        <f>'Audit Report'!D621</f>
        <v/>
      </c>
      <c r="J621" t="str">
        <f>_xlfn.TEXTJOIN(" ",TRUE,'Audit Report'!G621,'Audit Report'!H621)</f>
        <v/>
      </c>
      <c r="L621" t="str">
        <f>_xlfn.TEXTJOIN(", ", TRUE, 'Audit Report'!K621,'Audit Report'!L621,'Audit Report'!M621)</f>
        <v/>
      </c>
      <c r="M621" t="str">
        <f>'Audit Report'!O621</f>
        <v/>
      </c>
      <c r="N621" t="str" cm="1">
        <f t="array" ref="N621">IF(M621="","",
_xlfn.TEXTJOIN(", ",TRUE,
    _xlfn.MAP(_xlfn.TEXTSPLIT(M621,","),_xlfn.LAMBDA(_xlpm.x,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1" t="str">
        <f>'Audit Report'!F621</f>
        <v/>
      </c>
      <c r="S621" t="str">
        <f>'Audit Report'!Q621</f>
        <v/>
      </c>
    </row>
    <row r="622" spans="4:19">
      <c r="D622" t="str">
        <f>'Audit Report'!B622</f>
        <v>ITD-SHRXXX-XX621</v>
      </c>
      <c r="E622" t="str">
        <f>'Audit Report'!C622</f>
        <v/>
      </c>
      <c r="I622" t="str">
        <f>'Audit Report'!D622</f>
        <v/>
      </c>
      <c r="J622" t="str">
        <f>_xlfn.TEXTJOIN(" ",TRUE,'Audit Report'!G622,'Audit Report'!H622)</f>
        <v/>
      </c>
      <c r="L622" t="str">
        <f>_xlfn.TEXTJOIN(", ", TRUE, 'Audit Report'!K622,'Audit Report'!L622,'Audit Report'!M622)</f>
        <v/>
      </c>
      <c r="M622" t="str">
        <f>'Audit Report'!O622</f>
        <v/>
      </c>
      <c r="N622" t="str" cm="1">
        <f t="array" ref="N622">IF(M622="","",
_xlfn.TEXTJOIN(", ",TRUE,
    _xlfn.MAP(_xlfn.TEXTSPLIT(M622,","),_xlfn.LAMBDA(_xlpm.x,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2" t="str">
        <f>'Audit Report'!F622</f>
        <v/>
      </c>
      <c r="S622" t="str">
        <f>'Audit Report'!Q622</f>
        <v/>
      </c>
    </row>
    <row r="623" spans="4:19">
      <c r="D623" t="str">
        <f>'Audit Report'!B623</f>
        <v>ITD-SHRXXX-XX622</v>
      </c>
      <c r="E623" t="str">
        <f>'Audit Report'!C623</f>
        <v/>
      </c>
      <c r="I623" t="str">
        <f>'Audit Report'!D623</f>
        <v/>
      </c>
      <c r="J623" t="str">
        <f>_xlfn.TEXTJOIN(" ",TRUE,'Audit Report'!G623,'Audit Report'!H623)</f>
        <v/>
      </c>
      <c r="L623" t="str">
        <f>_xlfn.TEXTJOIN(", ", TRUE, 'Audit Report'!K623,'Audit Report'!L623,'Audit Report'!M623)</f>
        <v/>
      </c>
      <c r="M623" t="str">
        <f>'Audit Report'!O623</f>
        <v/>
      </c>
      <c r="N623" t="str" cm="1">
        <f t="array" ref="N623">IF(M623="","",
_xlfn.TEXTJOIN(", ",TRUE,
    _xlfn.MAP(_xlfn.TEXTSPLIT(M623,","),_xlfn.LAMBDA(_xlpm.x,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3" t="str">
        <f>'Audit Report'!F623</f>
        <v/>
      </c>
      <c r="S623" t="str">
        <f>'Audit Report'!Q623</f>
        <v/>
      </c>
    </row>
    <row r="624" spans="4:19">
      <c r="D624" t="str">
        <f>'Audit Report'!B624</f>
        <v>ITD-SHRXXX-XX623</v>
      </c>
      <c r="E624" t="str">
        <f>'Audit Report'!C624</f>
        <v/>
      </c>
      <c r="I624" t="str">
        <f>'Audit Report'!D624</f>
        <v/>
      </c>
      <c r="J624" t="str">
        <f>_xlfn.TEXTJOIN(" ",TRUE,'Audit Report'!G624,'Audit Report'!H624)</f>
        <v/>
      </c>
      <c r="L624" t="str">
        <f>_xlfn.TEXTJOIN(", ", TRUE, 'Audit Report'!K624,'Audit Report'!L624,'Audit Report'!M624)</f>
        <v/>
      </c>
      <c r="M624" t="str">
        <f>'Audit Report'!O624</f>
        <v/>
      </c>
      <c r="N624" t="str" cm="1">
        <f t="array" ref="N624">IF(M624="","",
_xlfn.TEXTJOIN(", ",TRUE,
    _xlfn.MAP(_xlfn.TEXTSPLIT(M624,","),_xlfn.LAMBDA(_xlpm.x,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4" t="str">
        <f>'Audit Report'!F624</f>
        <v/>
      </c>
      <c r="S624" t="str">
        <f>'Audit Report'!Q624</f>
        <v/>
      </c>
    </row>
    <row r="625" spans="4:19">
      <c r="D625" t="str">
        <f>'Audit Report'!B625</f>
        <v>ITD-SHRXXX-XX624</v>
      </c>
      <c r="E625" t="str">
        <f>'Audit Report'!C625</f>
        <v/>
      </c>
      <c r="I625" t="str">
        <f>'Audit Report'!D625</f>
        <v/>
      </c>
      <c r="J625" t="str">
        <f>_xlfn.TEXTJOIN(" ",TRUE,'Audit Report'!G625,'Audit Report'!H625)</f>
        <v/>
      </c>
      <c r="L625" t="str">
        <f>_xlfn.TEXTJOIN(", ", TRUE, 'Audit Report'!K625,'Audit Report'!L625,'Audit Report'!M625)</f>
        <v/>
      </c>
      <c r="M625" t="str">
        <f>'Audit Report'!O625</f>
        <v/>
      </c>
      <c r="N625" t="str" cm="1">
        <f t="array" ref="N625">IF(M625="","",
_xlfn.TEXTJOIN(", ",TRUE,
    _xlfn.MAP(_xlfn.TEXTSPLIT(M625,","),_xlfn.LAMBDA(_xlpm.x,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5" t="str">
        <f>'Audit Report'!F625</f>
        <v/>
      </c>
      <c r="S625" t="str">
        <f>'Audit Report'!Q625</f>
        <v/>
      </c>
    </row>
    <row r="626" spans="4:19">
      <c r="D626" t="str">
        <f>'Audit Report'!B626</f>
        <v>ITD-SHRXXX-XX625</v>
      </c>
      <c r="E626" t="str">
        <f>'Audit Report'!C626</f>
        <v/>
      </c>
      <c r="I626" t="str">
        <f>'Audit Report'!D626</f>
        <v/>
      </c>
      <c r="J626" t="str">
        <f>_xlfn.TEXTJOIN(" ",TRUE,'Audit Report'!G626,'Audit Report'!H626)</f>
        <v/>
      </c>
      <c r="L626" t="str">
        <f>_xlfn.TEXTJOIN(", ", TRUE, 'Audit Report'!K626,'Audit Report'!L626,'Audit Report'!M626)</f>
        <v/>
      </c>
      <c r="M626" t="str">
        <f>'Audit Report'!O626</f>
        <v/>
      </c>
      <c r="N626" t="str" cm="1">
        <f t="array" ref="N626">IF(M626="","",
_xlfn.TEXTJOIN(", ",TRUE,
    _xlfn.MAP(_xlfn.TEXTSPLIT(M626,","),_xlfn.LAMBDA(_xlpm.x,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6" t="str">
        <f>'Audit Report'!F626</f>
        <v/>
      </c>
      <c r="S626" t="str">
        <f>'Audit Report'!Q626</f>
        <v/>
      </c>
    </row>
    <row r="627" spans="4:19">
      <c r="D627" t="str">
        <f>'Audit Report'!B627</f>
        <v>ITD-SHRXXX-XX626</v>
      </c>
      <c r="E627" t="str">
        <f>'Audit Report'!C627</f>
        <v/>
      </c>
      <c r="I627" t="str">
        <f>'Audit Report'!D627</f>
        <v/>
      </c>
      <c r="J627" t="str">
        <f>_xlfn.TEXTJOIN(" ",TRUE,'Audit Report'!G627,'Audit Report'!H627)</f>
        <v/>
      </c>
      <c r="L627" t="str">
        <f>_xlfn.TEXTJOIN(", ", TRUE, 'Audit Report'!K627,'Audit Report'!L627,'Audit Report'!M627)</f>
        <v/>
      </c>
      <c r="M627" t="str">
        <f>'Audit Report'!O627</f>
        <v/>
      </c>
      <c r="N627" t="str" cm="1">
        <f t="array" ref="N627">IF(M627="","",
_xlfn.TEXTJOIN(", ",TRUE,
    _xlfn.MAP(_xlfn.TEXTSPLIT(M627,","),_xlfn.LAMBDA(_xlpm.x,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7" t="str">
        <f>'Audit Report'!F627</f>
        <v/>
      </c>
      <c r="S627" t="str">
        <f>'Audit Report'!Q627</f>
        <v/>
      </c>
    </row>
    <row r="628" spans="4:19">
      <c r="D628" t="str">
        <f>'Audit Report'!B628</f>
        <v>ITD-SHRXXX-XX627</v>
      </c>
      <c r="E628" t="str">
        <f>'Audit Report'!C628</f>
        <v/>
      </c>
      <c r="I628" t="str">
        <f>'Audit Report'!D628</f>
        <v/>
      </c>
      <c r="J628" t="str">
        <f>_xlfn.TEXTJOIN(" ",TRUE,'Audit Report'!G628,'Audit Report'!H628)</f>
        <v/>
      </c>
      <c r="L628" t="str">
        <f>_xlfn.TEXTJOIN(", ", TRUE, 'Audit Report'!K628,'Audit Report'!L628,'Audit Report'!M628)</f>
        <v/>
      </c>
      <c r="M628" t="str">
        <f>'Audit Report'!O628</f>
        <v/>
      </c>
      <c r="N628" t="str" cm="1">
        <f t="array" ref="N628">IF(M628="","",
_xlfn.TEXTJOIN(", ",TRUE,
    _xlfn.MAP(_xlfn.TEXTSPLIT(M628,","),_xlfn.LAMBDA(_xlpm.x,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8" t="str">
        <f>'Audit Report'!F628</f>
        <v/>
      </c>
      <c r="S628" t="str">
        <f>'Audit Report'!Q628</f>
        <v/>
      </c>
    </row>
    <row r="629" spans="4:19">
      <c r="D629" t="str">
        <f>'Audit Report'!B629</f>
        <v>ITD-SHRXXX-XX628</v>
      </c>
      <c r="E629" t="str">
        <f>'Audit Report'!C629</f>
        <v/>
      </c>
      <c r="I629" t="str">
        <f>'Audit Report'!D629</f>
        <v/>
      </c>
      <c r="J629" t="str">
        <f>_xlfn.TEXTJOIN(" ",TRUE,'Audit Report'!G629,'Audit Report'!H629)</f>
        <v/>
      </c>
      <c r="L629" t="str">
        <f>_xlfn.TEXTJOIN(", ", TRUE, 'Audit Report'!K629,'Audit Report'!L629,'Audit Report'!M629)</f>
        <v/>
      </c>
      <c r="M629" t="str">
        <f>'Audit Report'!O629</f>
        <v/>
      </c>
      <c r="N629" t="str" cm="1">
        <f t="array" ref="N629">IF(M629="","",
_xlfn.TEXTJOIN(", ",TRUE,
    _xlfn.MAP(_xlfn.TEXTSPLIT(M629,","),_xlfn.LAMBDA(_xlpm.x,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9" t="str">
        <f>'Audit Report'!F629</f>
        <v/>
      </c>
      <c r="S629" t="str">
        <f>'Audit Report'!Q629</f>
        <v/>
      </c>
    </row>
    <row r="630" spans="4:19">
      <c r="D630" t="str">
        <f>'Audit Report'!B630</f>
        <v>ITD-SHRXXX-XX629</v>
      </c>
      <c r="E630" t="str">
        <f>'Audit Report'!C630</f>
        <v/>
      </c>
      <c r="I630" t="str">
        <f>'Audit Report'!D630</f>
        <v/>
      </c>
      <c r="J630" t="str">
        <f>_xlfn.TEXTJOIN(" ",TRUE,'Audit Report'!G630,'Audit Report'!H630)</f>
        <v/>
      </c>
      <c r="L630" t="str">
        <f>_xlfn.TEXTJOIN(", ", TRUE, 'Audit Report'!K630,'Audit Report'!L630,'Audit Report'!M630)</f>
        <v/>
      </c>
      <c r="M630" t="str">
        <f>'Audit Report'!O630</f>
        <v/>
      </c>
      <c r="N630" t="str" cm="1">
        <f t="array" ref="N630">IF(M630="","",
_xlfn.TEXTJOIN(", ",TRUE,
    _xlfn.MAP(_xlfn.TEXTSPLIT(M630,","),_xlfn.LAMBDA(_xlpm.x,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0" t="str">
        <f>'Audit Report'!F630</f>
        <v/>
      </c>
      <c r="S630" t="str">
        <f>'Audit Report'!Q630</f>
        <v/>
      </c>
    </row>
    <row r="631" spans="4:19">
      <c r="D631" t="str">
        <f>'Audit Report'!B631</f>
        <v>ITD-SHRXXX-XX630</v>
      </c>
      <c r="E631" t="str">
        <f>'Audit Report'!C631</f>
        <v/>
      </c>
      <c r="I631" t="str">
        <f>'Audit Report'!D631</f>
        <v/>
      </c>
      <c r="J631" t="str">
        <f>_xlfn.TEXTJOIN(" ",TRUE,'Audit Report'!G631,'Audit Report'!H631)</f>
        <v/>
      </c>
      <c r="L631" t="str">
        <f>_xlfn.TEXTJOIN(", ", TRUE, 'Audit Report'!K631,'Audit Report'!L631,'Audit Report'!M631)</f>
        <v/>
      </c>
      <c r="M631" t="str">
        <f>'Audit Report'!O631</f>
        <v/>
      </c>
      <c r="N631" t="str" cm="1">
        <f t="array" ref="N631">IF(M631="","",
_xlfn.TEXTJOIN(", ",TRUE,
    _xlfn.MAP(_xlfn.TEXTSPLIT(M631,","),_xlfn.LAMBDA(_xlpm.x,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1" t="str">
        <f>'Audit Report'!F631</f>
        <v/>
      </c>
      <c r="S631" t="str">
        <f>'Audit Report'!Q631</f>
        <v/>
      </c>
    </row>
    <row r="632" spans="4:19">
      <c r="D632" t="str">
        <f>'Audit Report'!B632</f>
        <v>ITD-SHRXXX-XX631</v>
      </c>
      <c r="E632" t="str">
        <f>'Audit Report'!C632</f>
        <v/>
      </c>
      <c r="I632" t="str">
        <f>'Audit Report'!D632</f>
        <v/>
      </c>
      <c r="J632" t="str">
        <f>_xlfn.TEXTJOIN(" ",TRUE,'Audit Report'!G632,'Audit Report'!H632)</f>
        <v/>
      </c>
      <c r="L632" t="str">
        <f>_xlfn.TEXTJOIN(", ", TRUE, 'Audit Report'!K632,'Audit Report'!L632,'Audit Report'!M632)</f>
        <v/>
      </c>
      <c r="M632" t="str">
        <f>'Audit Report'!O632</f>
        <v/>
      </c>
      <c r="N632" t="str" cm="1">
        <f t="array" ref="N632">IF(M632="","",
_xlfn.TEXTJOIN(", ",TRUE,
    _xlfn.MAP(_xlfn.TEXTSPLIT(M632,","),_xlfn.LAMBDA(_xlpm.x,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2" t="str">
        <f>'Audit Report'!F632</f>
        <v/>
      </c>
      <c r="S632" t="str">
        <f>'Audit Report'!Q632</f>
        <v/>
      </c>
    </row>
    <row r="633" spans="4:19">
      <c r="D633" t="str">
        <f>'Audit Report'!B633</f>
        <v>ITD-SHRXXX-XX632</v>
      </c>
      <c r="E633" t="str">
        <f>'Audit Report'!C633</f>
        <v/>
      </c>
      <c r="I633" t="str">
        <f>'Audit Report'!D633</f>
        <v/>
      </c>
      <c r="J633" t="str">
        <f>_xlfn.TEXTJOIN(" ",TRUE,'Audit Report'!G633,'Audit Report'!H633)</f>
        <v/>
      </c>
      <c r="L633" t="str">
        <f>_xlfn.TEXTJOIN(", ", TRUE, 'Audit Report'!K633,'Audit Report'!L633,'Audit Report'!M633)</f>
        <v/>
      </c>
      <c r="M633" t="str">
        <f>'Audit Report'!O633</f>
        <v/>
      </c>
      <c r="N633" t="str" cm="1">
        <f t="array" ref="N633">IF(M633="","",
_xlfn.TEXTJOIN(", ",TRUE,
    _xlfn.MAP(_xlfn.TEXTSPLIT(M633,","),_xlfn.LAMBDA(_xlpm.x,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3" t="str">
        <f>'Audit Report'!F633</f>
        <v/>
      </c>
      <c r="S633" t="str">
        <f>'Audit Report'!Q633</f>
        <v/>
      </c>
    </row>
    <row r="634" spans="4:19">
      <c r="D634" t="str">
        <f>'Audit Report'!B634</f>
        <v>ITD-SHRXXX-XX633</v>
      </c>
      <c r="E634" t="str">
        <f>'Audit Report'!C634</f>
        <v/>
      </c>
      <c r="I634" t="str">
        <f>'Audit Report'!D634</f>
        <v/>
      </c>
      <c r="J634" t="str">
        <f>_xlfn.TEXTJOIN(" ",TRUE,'Audit Report'!G634,'Audit Report'!H634)</f>
        <v/>
      </c>
      <c r="L634" t="str">
        <f>_xlfn.TEXTJOIN(", ", TRUE, 'Audit Report'!K634,'Audit Report'!L634,'Audit Report'!M634)</f>
        <v/>
      </c>
      <c r="M634" t="str">
        <f>'Audit Report'!O634</f>
        <v/>
      </c>
      <c r="N634" t="str" cm="1">
        <f t="array" ref="N634">IF(M634="","",
_xlfn.TEXTJOIN(", ",TRUE,
    _xlfn.MAP(_xlfn.TEXTSPLIT(M634,","),_xlfn.LAMBDA(_xlpm.x,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4" t="str">
        <f>'Audit Report'!F634</f>
        <v/>
      </c>
      <c r="S634" t="str">
        <f>'Audit Report'!Q634</f>
        <v/>
      </c>
    </row>
    <row r="635" spans="4:19">
      <c r="D635" t="str">
        <f>'Audit Report'!B635</f>
        <v>ITD-SHRXXX-XX634</v>
      </c>
      <c r="E635" t="str">
        <f>'Audit Report'!C635</f>
        <v/>
      </c>
      <c r="I635" t="str">
        <f>'Audit Report'!D635</f>
        <v/>
      </c>
      <c r="J635" t="str">
        <f>_xlfn.TEXTJOIN(" ",TRUE,'Audit Report'!G635,'Audit Report'!H635)</f>
        <v/>
      </c>
      <c r="L635" t="str">
        <f>_xlfn.TEXTJOIN(", ", TRUE, 'Audit Report'!K635,'Audit Report'!L635,'Audit Report'!M635)</f>
        <v/>
      </c>
      <c r="M635" t="str">
        <f>'Audit Report'!O635</f>
        <v/>
      </c>
      <c r="N635" t="str" cm="1">
        <f t="array" ref="N635">IF(M635="","",
_xlfn.TEXTJOIN(", ",TRUE,
    _xlfn.MAP(_xlfn.TEXTSPLIT(M635,","),_xlfn.LAMBDA(_xlpm.x,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5" t="str">
        <f>'Audit Report'!F635</f>
        <v/>
      </c>
      <c r="S635" t="str">
        <f>'Audit Report'!Q635</f>
        <v/>
      </c>
    </row>
    <row r="636" spans="4:19">
      <c r="D636" t="str">
        <f>'Audit Report'!B636</f>
        <v>ITD-SHRXXX-XX635</v>
      </c>
      <c r="E636" t="str">
        <f>'Audit Report'!C636</f>
        <v/>
      </c>
      <c r="I636" t="str">
        <f>'Audit Report'!D636</f>
        <v/>
      </c>
      <c r="J636" t="str">
        <f>_xlfn.TEXTJOIN(" ",TRUE,'Audit Report'!G636,'Audit Report'!H636)</f>
        <v/>
      </c>
      <c r="L636" t="str">
        <f>_xlfn.TEXTJOIN(", ", TRUE, 'Audit Report'!K636,'Audit Report'!L636,'Audit Report'!M636)</f>
        <v/>
      </c>
      <c r="M636" t="str">
        <f>'Audit Report'!O636</f>
        <v/>
      </c>
      <c r="N636" t="str" cm="1">
        <f t="array" ref="N636">IF(M636="","",
_xlfn.TEXTJOIN(", ",TRUE,
    _xlfn.MAP(_xlfn.TEXTSPLIT(M636,","),_xlfn.LAMBDA(_xlpm.x,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6" t="str">
        <f>'Audit Report'!F636</f>
        <v/>
      </c>
      <c r="S636" t="str">
        <f>'Audit Report'!Q636</f>
        <v/>
      </c>
    </row>
    <row r="637" spans="4:19">
      <c r="D637" t="str">
        <f>'Audit Report'!B637</f>
        <v>ITD-SHRXXX-XX636</v>
      </c>
      <c r="E637" t="str">
        <f>'Audit Report'!C637</f>
        <v/>
      </c>
      <c r="I637" t="str">
        <f>'Audit Report'!D637</f>
        <v/>
      </c>
      <c r="J637" t="str">
        <f>_xlfn.TEXTJOIN(" ",TRUE,'Audit Report'!G637,'Audit Report'!H637)</f>
        <v/>
      </c>
      <c r="L637" t="str">
        <f>_xlfn.TEXTJOIN(", ", TRUE, 'Audit Report'!K637,'Audit Report'!L637,'Audit Report'!M637)</f>
        <v/>
      </c>
      <c r="M637" t="str">
        <f>'Audit Report'!O637</f>
        <v/>
      </c>
      <c r="N637" t="str" cm="1">
        <f t="array" ref="N637">IF(M637="","",
_xlfn.TEXTJOIN(", ",TRUE,
    _xlfn.MAP(_xlfn.TEXTSPLIT(M637,","),_xlfn.LAMBDA(_xlpm.x,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7" t="str">
        <f>'Audit Report'!F637</f>
        <v/>
      </c>
      <c r="S637" t="str">
        <f>'Audit Report'!Q637</f>
        <v/>
      </c>
    </row>
    <row r="638" spans="4:19">
      <c r="D638" t="str">
        <f>'Audit Report'!B638</f>
        <v>ITD-SHRXXX-XX637</v>
      </c>
      <c r="E638" t="str">
        <f>'Audit Report'!C638</f>
        <v/>
      </c>
      <c r="I638" t="str">
        <f>'Audit Report'!D638</f>
        <v/>
      </c>
      <c r="J638" t="str">
        <f>_xlfn.TEXTJOIN(" ",TRUE,'Audit Report'!G638,'Audit Report'!H638)</f>
        <v/>
      </c>
      <c r="L638" t="str">
        <f>_xlfn.TEXTJOIN(", ", TRUE, 'Audit Report'!K638,'Audit Report'!L638,'Audit Report'!M638)</f>
        <v/>
      </c>
      <c r="M638" t="str">
        <f>'Audit Report'!O638</f>
        <v/>
      </c>
      <c r="N638" t="str" cm="1">
        <f t="array" ref="N638">IF(M638="","",
_xlfn.TEXTJOIN(", ",TRUE,
    _xlfn.MAP(_xlfn.TEXTSPLIT(M638,","),_xlfn.LAMBDA(_xlpm.x,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8" t="str">
        <f>'Audit Report'!F638</f>
        <v/>
      </c>
      <c r="S638" t="str">
        <f>'Audit Report'!Q638</f>
        <v/>
      </c>
    </row>
    <row r="639" spans="4:19">
      <c r="D639" t="str">
        <f>'Audit Report'!B639</f>
        <v>ITD-SHRXXX-XX638</v>
      </c>
      <c r="E639" t="str">
        <f>'Audit Report'!C639</f>
        <v/>
      </c>
      <c r="I639" t="str">
        <f>'Audit Report'!D639</f>
        <v/>
      </c>
      <c r="J639" t="str">
        <f>_xlfn.TEXTJOIN(" ",TRUE,'Audit Report'!G639,'Audit Report'!H639)</f>
        <v/>
      </c>
      <c r="L639" t="str">
        <f>_xlfn.TEXTJOIN(", ", TRUE, 'Audit Report'!K639,'Audit Report'!L639,'Audit Report'!M639)</f>
        <v/>
      </c>
      <c r="M639" t="str">
        <f>'Audit Report'!O639</f>
        <v/>
      </c>
      <c r="N639" t="str" cm="1">
        <f t="array" ref="N639">IF(M639="","",
_xlfn.TEXTJOIN(", ",TRUE,
    _xlfn.MAP(_xlfn.TEXTSPLIT(M639,","),_xlfn.LAMBDA(_xlpm.x,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9" t="str">
        <f>'Audit Report'!F639</f>
        <v/>
      </c>
      <c r="S639" t="str">
        <f>'Audit Report'!Q639</f>
        <v/>
      </c>
    </row>
    <row r="640" spans="4:19">
      <c r="D640" t="str">
        <f>'Audit Report'!B640</f>
        <v>ITD-SHRXXX-XX639</v>
      </c>
      <c r="E640" t="str">
        <f>'Audit Report'!C640</f>
        <v/>
      </c>
      <c r="I640" t="str">
        <f>'Audit Report'!D640</f>
        <v/>
      </c>
      <c r="J640" t="str">
        <f>_xlfn.TEXTJOIN(" ",TRUE,'Audit Report'!G640,'Audit Report'!H640)</f>
        <v/>
      </c>
      <c r="L640" t="str">
        <f>_xlfn.TEXTJOIN(", ", TRUE, 'Audit Report'!K640,'Audit Report'!L640,'Audit Report'!M640)</f>
        <v/>
      </c>
      <c r="M640" t="str">
        <f>'Audit Report'!O640</f>
        <v/>
      </c>
      <c r="N640" t="str" cm="1">
        <f t="array" ref="N640">IF(M640="","",
_xlfn.TEXTJOIN(", ",TRUE,
    _xlfn.MAP(_xlfn.TEXTSPLIT(M640,","),_xlfn.LAMBDA(_xlpm.x,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0" t="str">
        <f>'Audit Report'!F640</f>
        <v/>
      </c>
      <c r="S640" t="str">
        <f>'Audit Report'!Q640</f>
        <v/>
      </c>
    </row>
    <row r="641" spans="4:19">
      <c r="D641" t="str">
        <f>'Audit Report'!B641</f>
        <v>ITD-SHRXXX-XX640</v>
      </c>
      <c r="E641" t="str">
        <f>'Audit Report'!C641</f>
        <v/>
      </c>
      <c r="I641" t="str">
        <f>'Audit Report'!D641</f>
        <v/>
      </c>
      <c r="J641" t="str">
        <f>_xlfn.TEXTJOIN(" ",TRUE,'Audit Report'!G641,'Audit Report'!H641)</f>
        <v/>
      </c>
      <c r="L641" t="str">
        <f>_xlfn.TEXTJOIN(", ", TRUE, 'Audit Report'!K641,'Audit Report'!L641,'Audit Report'!M641)</f>
        <v/>
      </c>
      <c r="M641" t="str">
        <f>'Audit Report'!O641</f>
        <v/>
      </c>
      <c r="N641" t="str" cm="1">
        <f t="array" ref="N641">IF(M641="","",
_xlfn.TEXTJOIN(", ",TRUE,
    _xlfn.MAP(_xlfn.TEXTSPLIT(M641,","),_xlfn.LAMBDA(_xlpm.x,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1" t="str">
        <f>'Audit Report'!F641</f>
        <v/>
      </c>
      <c r="S641" t="str">
        <f>'Audit Report'!Q641</f>
        <v/>
      </c>
    </row>
    <row r="642" spans="4:19">
      <c r="D642" t="str">
        <f>'Audit Report'!B642</f>
        <v>ITD-SHRXXX-XX641</v>
      </c>
      <c r="E642" t="str">
        <f>'Audit Report'!C642</f>
        <v/>
      </c>
      <c r="I642" t="str">
        <f>'Audit Report'!D642</f>
        <v/>
      </c>
      <c r="J642" t="str">
        <f>_xlfn.TEXTJOIN(" ",TRUE,'Audit Report'!G642,'Audit Report'!H642)</f>
        <v/>
      </c>
      <c r="L642" t="str">
        <f>_xlfn.TEXTJOIN(", ", TRUE, 'Audit Report'!K642,'Audit Report'!L642,'Audit Report'!M642)</f>
        <v/>
      </c>
      <c r="M642" t="str">
        <f>'Audit Report'!O642</f>
        <v/>
      </c>
      <c r="N642" t="str" cm="1">
        <f t="array" ref="N642">IF(M642="","",
_xlfn.TEXTJOIN(", ",TRUE,
    _xlfn.MAP(_xlfn.TEXTSPLIT(M642,","),_xlfn.LAMBDA(_xlpm.x,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2" t="str">
        <f>'Audit Report'!F642</f>
        <v/>
      </c>
      <c r="S642" t="str">
        <f>'Audit Report'!Q642</f>
        <v/>
      </c>
    </row>
    <row r="643" spans="4:19">
      <c r="D643" t="str">
        <f>'Audit Report'!B643</f>
        <v>ITD-SHRXXX-XX642</v>
      </c>
      <c r="E643" t="str">
        <f>'Audit Report'!C643</f>
        <v/>
      </c>
      <c r="I643" t="str">
        <f>'Audit Report'!D643</f>
        <v/>
      </c>
      <c r="J643" t="str">
        <f>_xlfn.TEXTJOIN(" ",TRUE,'Audit Report'!G643,'Audit Report'!H643)</f>
        <v/>
      </c>
      <c r="L643" t="str">
        <f>_xlfn.TEXTJOIN(", ", TRUE, 'Audit Report'!K643,'Audit Report'!L643,'Audit Report'!M643)</f>
        <v/>
      </c>
      <c r="M643" t="str">
        <f>'Audit Report'!O643</f>
        <v/>
      </c>
      <c r="N643" t="str" cm="1">
        <f t="array" ref="N643">IF(M643="","",
_xlfn.TEXTJOIN(", ",TRUE,
    _xlfn.MAP(_xlfn.TEXTSPLIT(M643,","),_xlfn.LAMBDA(_xlpm.x,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3" t="str">
        <f>'Audit Report'!F643</f>
        <v/>
      </c>
      <c r="S643" t="str">
        <f>'Audit Report'!Q643</f>
        <v/>
      </c>
    </row>
    <row r="644" spans="4:19">
      <c r="D644" t="str">
        <f>'Audit Report'!B644</f>
        <v>ITD-SHRXXX-XX643</v>
      </c>
      <c r="E644" t="str">
        <f>'Audit Report'!C644</f>
        <v/>
      </c>
      <c r="I644" t="str">
        <f>'Audit Report'!D644</f>
        <v/>
      </c>
      <c r="J644" t="str">
        <f>_xlfn.TEXTJOIN(" ",TRUE,'Audit Report'!G644,'Audit Report'!H644)</f>
        <v/>
      </c>
      <c r="L644" t="str">
        <f>_xlfn.TEXTJOIN(", ", TRUE, 'Audit Report'!K644,'Audit Report'!L644,'Audit Report'!M644)</f>
        <v/>
      </c>
      <c r="M644" t="str">
        <f>'Audit Report'!O644</f>
        <v/>
      </c>
      <c r="N644" t="str" cm="1">
        <f t="array" ref="N644">IF(M644="","",
_xlfn.TEXTJOIN(", ",TRUE,
    _xlfn.MAP(_xlfn.TEXTSPLIT(M644,","),_xlfn.LAMBDA(_xlpm.x,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4" t="str">
        <f>'Audit Report'!F644</f>
        <v/>
      </c>
      <c r="S644" t="str">
        <f>'Audit Report'!Q644</f>
        <v/>
      </c>
    </row>
    <row r="645" spans="4:19">
      <c r="D645" t="str">
        <f>'Audit Report'!B645</f>
        <v>ITD-SHRXXX-XX644</v>
      </c>
      <c r="E645" t="str">
        <f>'Audit Report'!C645</f>
        <v/>
      </c>
      <c r="I645" t="str">
        <f>'Audit Report'!D645</f>
        <v/>
      </c>
      <c r="J645" t="str">
        <f>_xlfn.TEXTJOIN(" ",TRUE,'Audit Report'!G645,'Audit Report'!H645)</f>
        <v/>
      </c>
      <c r="L645" t="str">
        <f>_xlfn.TEXTJOIN(", ", TRUE, 'Audit Report'!K645,'Audit Report'!L645,'Audit Report'!M645)</f>
        <v/>
      </c>
      <c r="M645" t="str">
        <f>'Audit Report'!O645</f>
        <v/>
      </c>
      <c r="N645" t="str" cm="1">
        <f t="array" ref="N645">IF(M645="","",
_xlfn.TEXTJOIN(", ",TRUE,
    _xlfn.MAP(_xlfn.TEXTSPLIT(M645,","),_xlfn.LAMBDA(_xlpm.x,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5" t="str">
        <f>'Audit Report'!F645</f>
        <v/>
      </c>
      <c r="S645" t="str">
        <f>'Audit Report'!Q645</f>
        <v/>
      </c>
    </row>
    <row r="646" spans="4:19">
      <c r="D646" t="str">
        <f>'Audit Report'!B646</f>
        <v>ITD-SHRXXX-XX645</v>
      </c>
      <c r="E646" t="str">
        <f>'Audit Report'!C646</f>
        <v/>
      </c>
      <c r="I646" t="str">
        <f>'Audit Report'!D646</f>
        <v/>
      </c>
      <c r="J646" t="str">
        <f>_xlfn.TEXTJOIN(" ",TRUE,'Audit Report'!G646,'Audit Report'!H646)</f>
        <v/>
      </c>
      <c r="L646" t="str">
        <f>_xlfn.TEXTJOIN(", ", TRUE, 'Audit Report'!K646,'Audit Report'!L646,'Audit Report'!M646)</f>
        <v/>
      </c>
      <c r="M646" t="str">
        <f>'Audit Report'!O646</f>
        <v/>
      </c>
      <c r="N646" t="str" cm="1">
        <f t="array" ref="N646">IF(M646="","",
_xlfn.TEXTJOIN(", ",TRUE,
    _xlfn.MAP(_xlfn.TEXTSPLIT(M646,","),_xlfn.LAMBDA(_xlpm.x,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6" t="str">
        <f>'Audit Report'!F646</f>
        <v/>
      </c>
      <c r="S646" t="str">
        <f>'Audit Report'!Q646</f>
        <v/>
      </c>
    </row>
    <row r="647" spans="4:19">
      <c r="D647" t="str">
        <f>'Audit Report'!B647</f>
        <v>ITD-SHRXXX-XX646</v>
      </c>
      <c r="E647" t="str">
        <f>'Audit Report'!C647</f>
        <v/>
      </c>
      <c r="I647" t="str">
        <f>'Audit Report'!D647</f>
        <v/>
      </c>
      <c r="J647" t="str">
        <f>_xlfn.TEXTJOIN(" ",TRUE,'Audit Report'!G647,'Audit Report'!H647)</f>
        <v/>
      </c>
      <c r="L647" t="str">
        <f>_xlfn.TEXTJOIN(", ", TRUE, 'Audit Report'!K647,'Audit Report'!L647,'Audit Report'!M647)</f>
        <v/>
      </c>
      <c r="M647" t="str">
        <f>'Audit Report'!O647</f>
        <v/>
      </c>
      <c r="N647" t="str" cm="1">
        <f t="array" ref="N647">IF(M647="","",
_xlfn.TEXTJOIN(", ",TRUE,
    _xlfn.MAP(_xlfn.TEXTSPLIT(M647,","),_xlfn.LAMBDA(_xlpm.x,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7" t="str">
        <f>'Audit Report'!F647</f>
        <v/>
      </c>
      <c r="S647" t="str">
        <f>'Audit Report'!Q647</f>
        <v/>
      </c>
    </row>
    <row r="648" spans="4:19">
      <c r="D648" t="str">
        <f>'Audit Report'!B648</f>
        <v>ITD-SHRXXX-XX647</v>
      </c>
      <c r="E648" t="str">
        <f>'Audit Report'!C648</f>
        <v/>
      </c>
      <c r="I648" t="str">
        <f>'Audit Report'!D648</f>
        <v/>
      </c>
      <c r="J648" t="str">
        <f>_xlfn.TEXTJOIN(" ",TRUE,'Audit Report'!G648,'Audit Report'!H648)</f>
        <v/>
      </c>
      <c r="L648" t="str">
        <f>_xlfn.TEXTJOIN(", ", TRUE, 'Audit Report'!K648,'Audit Report'!L648,'Audit Report'!M648)</f>
        <v/>
      </c>
      <c r="M648" t="str">
        <f>'Audit Report'!O648</f>
        <v/>
      </c>
      <c r="N648" t="str" cm="1">
        <f t="array" ref="N648">IF(M648="","",
_xlfn.TEXTJOIN(", ",TRUE,
    _xlfn.MAP(_xlfn.TEXTSPLIT(M648,","),_xlfn.LAMBDA(_xlpm.x,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8" t="str">
        <f>'Audit Report'!F648</f>
        <v/>
      </c>
      <c r="S648" t="str">
        <f>'Audit Report'!Q648</f>
        <v/>
      </c>
    </row>
    <row r="649" spans="4:19">
      <c r="D649" t="str">
        <f>'Audit Report'!B649</f>
        <v>ITD-SHRXXX-XX648</v>
      </c>
      <c r="E649" t="str">
        <f>'Audit Report'!C649</f>
        <v/>
      </c>
      <c r="I649" t="str">
        <f>'Audit Report'!D649</f>
        <v/>
      </c>
      <c r="J649" t="str">
        <f>_xlfn.TEXTJOIN(" ",TRUE,'Audit Report'!G649,'Audit Report'!H649)</f>
        <v/>
      </c>
      <c r="L649" t="str">
        <f>_xlfn.TEXTJOIN(", ", TRUE, 'Audit Report'!K649,'Audit Report'!L649,'Audit Report'!M649)</f>
        <v/>
      </c>
      <c r="M649" t="str">
        <f>'Audit Report'!O649</f>
        <v/>
      </c>
      <c r="N649" t="str" cm="1">
        <f t="array" ref="N649">IF(M649="","",
_xlfn.TEXTJOIN(", ",TRUE,
    _xlfn.MAP(_xlfn.TEXTSPLIT(M649,","),_xlfn.LAMBDA(_xlpm.x,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9" t="str">
        <f>'Audit Report'!F649</f>
        <v/>
      </c>
      <c r="S649" t="str">
        <f>'Audit Report'!Q649</f>
        <v/>
      </c>
    </row>
    <row r="650" spans="4:19">
      <c r="D650" t="str">
        <f>'Audit Report'!B650</f>
        <v>ITD-SHRXXX-XX649</v>
      </c>
      <c r="E650" t="str">
        <f>'Audit Report'!C650</f>
        <v/>
      </c>
      <c r="I650" t="str">
        <f>'Audit Report'!D650</f>
        <v/>
      </c>
      <c r="J650" t="str">
        <f>_xlfn.TEXTJOIN(" ",TRUE,'Audit Report'!G650,'Audit Report'!H650)</f>
        <v/>
      </c>
      <c r="L650" t="str">
        <f>_xlfn.TEXTJOIN(", ", TRUE, 'Audit Report'!K650,'Audit Report'!L650,'Audit Report'!M650)</f>
        <v/>
      </c>
      <c r="M650" t="str">
        <f>'Audit Report'!O650</f>
        <v/>
      </c>
      <c r="N650" t="str" cm="1">
        <f t="array" ref="N650">IF(M650="","",
_xlfn.TEXTJOIN(", ",TRUE,
    _xlfn.MAP(_xlfn.TEXTSPLIT(M650,","),_xlfn.LAMBDA(_xlpm.x,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0" t="str">
        <f>'Audit Report'!F650</f>
        <v/>
      </c>
      <c r="S650" t="str">
        <f>'Audit Report'!Q650</f>
        <v/>
      </c>
    </row>
    <row r="651" spans="4:19">
      <c r="D651" t="str">
        <f>'Audit Report'!B651</f>
        <v>ITD-SHRXXX-XX650</v>
      </c>
      <c r="E651" t="str">
        <f>'Audit Report'!C651</f>
        <v/>
      </c>
      <c r="I651" t="str">
        <f>'Audit Report'!D651</f>
        <v/>
      </c>
      <c r="J651" t="str">
        <f>_xlfn.TEXTJOIN(" ",TRUE,'Audit Report'!G651,'Audit Report'!H651)</f>
        <v/>
      </c>
      <c r="L651" t="str">
        <f>_xlfn.TEXTJOIN(", ", TRUE, 'Audit Report'!K651,'Audit Report'!L651,'Audit Report'!M651)</f>
        <v/>
      </c>
      <c r="M651" t="str">
        <f>'Audit Report'!O651</f>
        <v/>
      </c>
      <c r="N651" t="str" cm="1">
        <f t="array" ref="N651">IF(M651="","",
_xlfn.TEXTJOIN(", ",TRUE,
    _xlfn.MAP(_xlfn.TEXTSPLIT(M651,","),_xlfn.LAMBDA(_xlpm.x,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1" t="str">
        <f>'Audit Report'!F651</f>
        <v/>
      </c>
      <c r="S651" t="str">
        <f>'Audit Report'!Q651</f>
        <v/>
      </c>
    </row>
    <row r="652" spans="4:19">
      <c r="D652" t="str">
        <f>'Audit Report'!B652</f>
        <v>ITD-SHRXXX-XX651</v>
      </c>
      <c r="E652" t="str">
        <f>'Audit Report'!C652</f>
        <v/>
      </c>
      <c r="I652" t="str">
        <f>'Audit Report'!D652</f>
        <v/>
      </c>
      <c r="J652" t="str">
        <f>_xlfn.TEXTJOIN(" ",TRUE,'Audit Report'!G652,'Audit Report'!H652)</f>
        <v/>
      </c>
      <c r="L652" t="str">
        <f>_xlfn.TEXTJOIN(", ", TRUE, 'Audit Report'!K652,'Audit Report'!L652,'Audit Report'!M652)</f>
        <v/>
      </c>
      <c r="M652" t="str">
        <f>'Audit Report'!O652</f>
        <v/>
      </c>
      <c r="N652" t="str" cm="1">
        <f t="array" ref="N652">IF(M652="","",
_xlfn.TEXTJOIN(", ",TRUE,
    _xlfn.MAP(_xlfn.TEXTSPLIT(M652,","),_xlfn.LAMBDA(_xlpm.x,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2" t="str">
        <f>'Audit Report'!F652</f>
        <v/>
      </c>
      <c r="S652" t="str">
        <f>'Audit Report'!Q652</f>
        <v/>
      </c>
    </row>
    <row r="653" spans="4:19">
      <c r="D653" t="str">
        <f>'Audit Report'!B653</f>
        <v>ITD-SHRXXX-XX652</v>
      </c>
      <c r="E653" t="str">
        <f>'Audit Report'!C653</f>
        <v/>
      </c>
      <c r="I653" t="str">
        <f>'Audit Report'!D653</f>
        <v/>
      </c>
      <c r="J653" t="str">
        <f>_xlfn.TEXTJOIN(" ",TRUE,'Audit Report'!G653,'Audit Report'!H653)</f>
        <v/>
      </c>
      <c r="L653" t="str">
        <f>_xlfn.TEXTJOIN(", ", TRUE, 'Audit Report'!K653,'Audit Report'!L653,'Audit Report'!M653)</f>
        <v/>
      </c>
      <c r="M653" t="str">
        <f>'Audit Report'!O653</f>
        <v/>
      </c>
      <c r="N653" t="str" cm="1">
        <f t="array" ref="N653">IF(M653="","",
_xlfn.TEXTJOIN(", ",TRUE,
    _xlfn.MAP(_xlfn.TEXTSPLIT(M653,","),_xlfn.LAMBDA(_xlpm.x,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3" t="str">
        <f>'Audit Report'!F653</f>
        <v/>
      </c>
      <c r="S653" t="str">
        <f>'Audit Report'!Q653</f>
        <v/>
      </c>
    </row>
    <row r="654" spans="4:19">
      <c r="D654" t="str">
        <f>'Audit Report'!B654</f>
        <v>ITD-SHRXXX-XX653</v>
      </c>
      <c r="E654" t="str">
        <f>'Audit Report'!C654</f>
        <v/>
      </c>
      <c r="I654" t="str">
        <f>'Audit Report'!D654</f>
        <v/>
      </c>
      <c r="J654" t="str">
        <f>_xlfn.TEXTJOIN(" ",TRUE,'Audit Report'!G654,'Audit Report'!H654)</f>
        <v/>
      </c>
      <c r="L654" t="str">
        <f>_xlfn.TEXTJOIN(", ", TRUE, 'Audit Report'!K654,'Audit Report'!L654,'Audit Report'!M654)</f>
        <v/>
      </c>
      <c r="M654" t="str">
        <f>'Audit Report'!O654</f>
        <v/>
      </c>
      <c r="N654" t="str" cm="1">
        <f t="array" ref="N654">IF(M654="","",
_xlfn.TEXTJOIN(", ",TRUE,
    _xlfn.MAP(_xlfn.TEXTSPLIT(M654,","),_xlfn.LAMBDA(_xlpm.x,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4" t="str">
        <f>'Audit Report'!F654</f>
        <v/>
      </c>
      <c r="S654" t="str">
        <f>'Audit Report'!Q654</f>
        <v/>
      </c>
    </row>
    <row r="655" spans="4:19">
      <c r="D655" t="str">
        <f>'Audit Report'!B655</f>
        <v>ITD-SHRXXX-XX654</v>
      </c>
      <c r="E655" t="str">
        <f>'Audit Report'!C655</f>
        <v/>
      </c>
      <c r="I655" t="str">
        <f>'Audit Report'!D655</f>
        <v/>
      </c>
      <c r="J655" t="str">
        <f>_xlfn.TEXTJOIN(" ",TRUE,'Audit Report'!G655,'Audit Report'!H655)</f>
        <v/>
      </c>
      <c r="L655" t="str">
        <f>_xlfn.TEXTJOIN(", ", TRUE, 'Audit Report'!K655,'Audit Report'!L655,'Audit Report'!M655)</f>
        <v/>
      </c>
      <c r="M655" t="str">
        <f>'Audit Report'!O655</f>
        <v/>
      </c>
      <c r="N655" t="str" cm="1">
        <f t="array" ref="N655">IF(M655="","",
_xlfn.TEXTJOIN(", ",TRUE,
    _xlfn.MAP(_xlfn.TEXTSPLIT(M655,","),_xlfn.LAMBDA(_xlpm.x,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5" t="str">
        <f>'Audit Report'!F655</f>
        <v/>
      </c>
      <c r="S655" t="str">
        <f>'Audit Report'!Q655</f>
        <v/>
      </c>
    </row>
    <row r="656" spans="4:19">
      <c r="D656" t="str">
        <f>'Audit Report'!B656</f>
        <v>ITD-SHRXXX-XX655</v>
      </c>
      <c r="E656" t="str">
        <f>'Audit Report'!C656</f>
        <v/>
      </c>
      <c r="I656" t="str">
        <f>'Audit Report'!D656</f>
        <v/>
      </c>
      <c r="J656" t="str">
        <f>_xlfn.TEXTJOIN(" ",TRUE,'Audit Report'!G656,'Audit Report'!H656)</f>
        <v/>
      </c>
      <c r="L656" t="str">
        <f>_xlfn.TEXTJOIN(", ", TRUE, 'Audit Report'!K656,'Audit Report'!L656,'Audit Report'!M656)</f>
        <v/>
      </c>
      <c r="M656" t="str">
        <f>'Audit Report'!O656</f>
        <v/>
      </c>
      <c r="N656" t="str" cm="1">
        <f t="array" ref="N656">IF(M656="","",
_xlfn.TEXTJOIN(", ",TRUE,
    _xlfn.MAP(_xlfn.TEXTSPLIT(M656,","),_xlfn.LAMBDA(_xlpm.x,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6" t="str">
        <f>'Audit Report'!F656</f>
        <v/>
      </c>
      <c r="S656" t="str">
        <f>'Audit Report'!Q656</f>
        <v/>
      </c>
    </row>
    <row r="657" spans="4:19">
      <c r="D657" t="str">
        <f>'Audit Report'!B657</f>
        <v>ITD-SHRXXX-XX656</v>
      </c>
      <c r="E657" t="str">
        <f>'Audit Report'!C657</f>
        <v/>
      </c>
      <c r="I657" t="str">
        <f>'Audit Report'!D657</f>
        <v/>
      </c>
      <c r="J657" t="str">
        <f>_xlfn.TEXTJOIN(" ",TRUE,'Audit Report'!G657,'Audit Report'!H657)</f>
        <v/>
      </c>
      <c r="L657" t="str">
        <f>_xlfn.TEXTJOIN(", ", TRUE, 'Audit Report'!K657,'Audit Report'!L657,'Audit Report'!M657)</f>
        <v/>
      </c>
      <c r="M657" t="str">
        <f>'Audit Report'!O657</f>
        <v/>
      </c>
      <c r="N657" t="str" cm="1">
        <f t="array" ref="N657">IF(M657="","",
_xlfn.TEXTJOIN(", ",TRUE,
    _xlfn.MAP(_xlfn.TEXTSPLIT(M657,","),_xlfn.LAMBDA(_xlpm.x,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7" t="str">
        <f>'Audit Report'!F657</f>
        <v/>
      </c>
      <c r="S657" t="str">
        <f>'Audit Report'!Q657</f>
        <v/>
      </c>
    </row>
    <row r="658" spans="4:19">
      <c r="D658" t="str">
        <f>'Audit Report'!B658</f>
        <v>ITD-SHRXXX-XX657</v>
      </c>
      <c r="E658" t="str">
        <f>'Audit Report'!C658</f>
        <v/>
      </c>
      <c r="I658" t="str">
        <f>'Audit Report'!D658</f>
        <v/>
      </c>
      <c r="J658" t="str">
        <f>_xlfn.TEXTJOIN(" ",TRUE,'Audit Report'!G658,'Audit Report'!H658)</f>
        <v/>
      </c>
      <c r="L658" t="str">
        <f>_xlfn.TEXTJOIN(", ", TRUE, 'Audit Report'!K658,'Audit Report'!L658,'Audit Report'!M658)</f>
        <v/>
      </c>
      <c r="M658" t="str">
        <f>'Audit Report'!O658</f>
        <v/>
      </c>
      <c r="N658" t="str" cm="1">
        <f t="array" ref="N658">IF(M658="","",
_xlfn.TEXTJOIN(", ",TRUE,
    _xlfn.MAP(_xlfn.TEXTSPLIT(M658,","),_xlfn.LAMBDA(_xlpm.x,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8" t="str">
        <f>'Audit Report'!F658</f>
        <v/>
      </c>
      <c r="S658" t="str">
        <f>'Audit Report'!Q658</f>
        <v/>
      </c>
    </row>
    <row r="659" spans="4:19">
      <c r="D659" t="str">
        <f>'Audit Report'!B659</f>
        <v>ITD-SHRXXX-XX658</v>
      </c>
      <c r="E659" t="str">
        <f>'Audit Report'!C659</f>
        <v/>
      </c>
      <c r="I659" t="str">
        <f>'Audit Report'!D659</f>
        <v/>
      </c>
      <c r="J659" t="str">
        <f>_xlfn.TEXTJOIN(" ",TRUE,'Audit Report'!G659,'Audit Report'!H659)</f>
        <v/>
      </c>
      <c r="L659" t="str">
        <f>_xlfn.TEXTJOIN(", ", TRUE, 'Audit Report'!K659,'Audit Report'!L659,'Audit Report'!M659)</f>
        <v/>
      </c>
      <c r="M659" t="str">
        <f>'Audit Report'!O659</f>
        <v/>
      </c>
      <c r="N659" t="str" cm="1">
        <f t="array" ref="N659">IF(M659="","",
_xlfn.TEXTJOIN(", ",TRUE,
    _xlfn.MAP(_xlfn.TEXTSPLIT(M659,","),_xlfn.LAMBDA(_xlpm.x,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9" t="str">
        <f>'Audit Report'!F659</f>
        <v/>
      </c>
      <c r="S659" t="str">
        <f>'Audit Report'!Q659</f>
        <v/>
      </c>
    </row>
    <row r="660" spans="4:19">
      <c r="D660" t="str">
        <f>'Audit Report'!B660</f>
        <v>ITD-SHRXXX-XX659</v>
      </c>
      <c r="E660" t="str">
        <f>'Audit Report'!C660</f>
        <v/>
      </c>
      <c r="I660" t="str">
        <f>'Audit Report'!D660</f>
        <v/>
      </c>
      <c r="J660" t="str">
        <f>_xlfn.TEXTJOIN(" ",TRUE,'Audit Report'!G660,'Audit Report'!H660)</f>
        <v/>
      </c>
      <c r="L660" t="str">
        <f>_xlfn.TEXTJOIN(", ", TRUE, 'Audit Report'!K660,'Audit Report'!L660,'Audit Report'!M660)</f>
        <v/>
      </c>
      <c r="M660" t="str">
        <f>'Audit Report'!O660</f>
        <v/>
      </c>
      <c r="N660" t="str" cm="1">
        <f t="array" ref="N660">IF(M660="","",
_xlfn.TEXTJOIN(", ",TRUE,
    _xlfn.MAP(_xlfn.TEXTSPLIT(M660,","),_xlfn.LAMBDA(_xlpm.x,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0" t="str">
        <f>'Audit Report'!F660</f>
        <v/>
      </c>
      <c r="S660" t="str">
        <f>'Audit Report'!Q660</f>
        <v/>
      </c>
    </row>
    <row r="661" spans="4:19">
      <c r="D661" t="str">
        <f>'Audit Report'!B661</f>
        <v>ITD-SHRXXX-XX660</v>
      </c>
      <c r="E661" t="str">
        <f>'Audit Report'!C661</f>
        <v/>
      </c>
      <c r="I661" t="str">
        <f>'Audit Report'!D661</f>
        <v/>
      </c>
      <c r="J661" t="str">
        <f>_xlfn.TEXTJOIN(" ",TRUE,'Audit Report'!G661,'Audit Report'!H661)</f>
        <v/>
      </c>
      <c r="L661" t="str">
        <f>_xlfn.TEXTJOIN(", ", TRUE, 'Audit Report'!K661,'Audit Report'!L661,'Audit Report'!M661)</f>
        <v/>
      </c>
      <c r="M661" t="str">
        <f>'Audit Report'!O661</f>
        <v/>
      </c>
      <c r="N661" t="str" cm="1">
        <f t="array" ref="N661">IF(M661="","",
_xlfn.TEXTJOIN(", ",TRUE,
    _xlfn.MAP(_xlfn.TEXTSPLIT(M661,","),_xlfn.LAMBDA(_xlpm.x,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1" t="str">
        <f>'Audit Report'!F661</f>
        <v/>
      </c>
      <c r="S661" t="str">
        <f>'Audit Report'!Q661</f>
        <v/>
      </c>
    </row>
    <row r="662" spans="4:19">
      <c r="D662" t="str">
        <f>'Audit Report'!B662</f>
        <v>ITD-SHRXXX-XX661</v>
      </c>
      <c r="E662" t="str">
        <f>'Audit Report'!C662</f>
        <v/>
      </c>
      <c r="I662" t="str">
        <f>'Audit Report'!D662</f>
        <v/>
      </c>
      <c r="J662" t="str">
        <f>_xlfn.TEXTJOIN(" ",TRUE,'Audit Report'!G662,'Audit Report'!H662)</f>
        <v/>
      </c>
      <c r="L662" t="str">
        <f>_xlfn.TEXTJOIN(", ", TRUE, 'Audit Report'!K662,'Audit Report'!L662,'Audit Report'!M662)</f>
        <v/>
      </c>
      <c r="M662" t="str">
        <f>'Audit Report'!O662</f>
        <v/>
      </c>
      <c r="N662" t="str" cm="1">
        <f t="array" ref="N662">IF(M662="","",
_xlfn.TEXTJOIN(", ",TRUE,
    _xlfn.MAP(_xlfn.TEXTSPLIT(M662,","),_xlfn.LAMBDA(_xlpm.x,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2" t="str">
        <f>'Audit Report'!F662</f>
        <v/>
      </c>
      <c r="S662" t="str">
        <f>'Audit Report'!Q662</f>
        <v/>
      </c>
    </row>
    <row r="663" spans="4:19">
      <c r="D663" t="str">
        <f>'Audit Report'!B663</f>
        <v>ITD-SHRXXX-XX662</v>
      </c>
      <c r="E663" t="str">
        <f>'Audit Report'!C663</f>
        <v/>
      </c>
      <c r="I663" t="str">
        <f>'Audit Report'!D663</f>
        <v/>
      </c>
      <c r="J663" t="str">
        <f>_xlfn.TEXTJOIN(" ",TRUE,'Audit Report'!G663,'Audit Report'!H663)</f>
        <v/>
      </c>
      <c r="L663" t="str">
        <f>_xlfn.TEXTJOIN(", ", TRUE, 'Audit Report'!K663,'Audit Report'!L663,'Audit Report'!M663)</f>
        <v/>
      </c>
      <c r="M663" t="str">
        <f>'Audit Report'!O663</f>
        <v/>
      </c>
      <c r="N663" t="str" cm="1">
        <f t="array" ref="N663">IF(M663="","",
_xlfn.TEXTJOIN(", ",TRUE,
    _xlfn.MAP(_xlfn.TEXTSPLIT(M663,","),_xlfn.LAMBDA(_xlpm.x,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3" t="str">
        <f>'Audit Report'!F663</f>
        <v/>
      </c>
      <c r="S663" t="str">
        <f>'Audit Report'!Q663</f>
        <v/>
      </c>
    </row>
    <row r="664" spans="4:19">
      <c r="D664" t="str">
        <f>'Audit Report'!B664</f>
        <v>ITD-SHRXXX-XX663</v>
      </c>
      <c r="E664" t="str">
        <f>'Audit Report'!C664</f>
        <v/>
      </c>
      <c r="I664" t="str">
        <f>'Audit Report'!D664</f>
        <v/>
      </c>
      <c r="J664" t="str">
        <f>_xlfn.TEXTJOIN(" ",TRUE,'Audit Report'!G664,'Audit Report'!H664)</f>
        <v/>
      </c>
      <c r="L664" t="str">
        <f>_xlfn.TEXTJOIN(", ", TRUE, 'Audit Report'!K664,'Audit Report'!L664,'Audit Report'!M664)</f>
        <v/>
      </c>
      <c r="M664" t="str">
        <f>'Audit Report'!O664</f>
        <v/>
      </c>
      <c r="N664" t="str" cm="1">
        <f t="array" ref="N664">IF(M664="","",
_xlfn.TEXTJOIN(", ",TRUE,
    _xlfn.MAP(_xlfn.TEXTSPLIT(M664,","),_xlfn.LAMBDA(_xlpm.x,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4" t="str">
        <f>'Audit Report'!F664</f>
        <v/>
      </c>
      <c r="S664" t="str">
        <f>'Audit Report'!Q664</f>
        <v/>
      </c>
    </row>
    <row r="665" spans="4:19">
      <c r="D665" t="str">
        <f>'Audit Report'!B665</f>
        <v>ITD-SHRXXX-XX664</v>
      </c>
      <c r="E665" t="str">
        <f>'Audit Report'!C665</f>
        <v/>
      </c>
      <c r="I665" t="str">
        <f>'Audit Report'!D665</f>
        <v/>
      </c>
      <c r="J665" t="str">
        <f>_xlfn.TEXTJOIN(" ",TRUE,'Audit Report'!G665,'Audit Report'!H665)</f>
        <v/>
      </c>
      <c r="L665" t="str">
        <f>_xlfn.TEXTJOIN(", ", TRUE, 'Audit Report'!K665,'Audit Report'!L665,'Audit Report'!M665)</f>
        <v/>
      </c>
      <c r="M665" t="str">
        <f>'Audit Report'!O665</f>
        <v/>
      </c>
      <c r="N665" t="str" cm="1">
        <f t="array" ref="N665">IF(M665="","",
_xlfn.TEXTJOIN(", ",TRUE,
    _xlfn.MAP(_xlfn.TEXTSPLIT(M665,","),_xlfn.LAMBDA(_xlpm.x,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5" t="str">
        <f>'Audit Report'!F665</f>
        <v/>
      </c>
      <c r="S665" t="str">
        <f>'Audit Report'!Q665</f>
        <v/>
      </c>
    </row>
    <row r="666" spans="4:19">
      <c r="D666" t="str">
        <f>'Audit Report'!B666</f>
        <v>ITD-SHRXXX-XX665</v>
      </c>
      <c r="E666" t="str">
        <f>'Audit Report'!C666</f>
        <v/>
      </c>
      <c r="I666" t="str">
        <f>'Audit Report'!D666</f>
        <v/>
      </c>
      <c r="J666" t="str">
        <f>_xlfn.TEXTJOIN(" ",TRUE,'Audit Report'!G666,'Audit Report'!H666)</f>
        <v/>
      </c>
      <c r="L666" t="str">
        <f>_xlfn.TEXTJOIN(", ", TRUE, 'Audit Report'!K666,'Audit Report'!L666,'Audit Report'!M666)</f>
        <v/>
      </c>
      <c r="M666" t="str">
        <f>'Audit Report'!O666</f>
        <v/>
      </c>
      <c r="N666" t="str" cm="1">
        <f t="array" ref="N666">IF(M666="","",
_xlfn.TEXTJOIN(", ",TRUE,
    _xlfn.MAP(_xlfn.TEXTSPLIT(M666,","),_xlfn.LAMBDA(_xlpm.x,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6" t="str">
        <f>'Audit Report'!F666</f>
        <v/>
      </c>
      <c r="S666" t="str">
        <f>'Audit Report'!Q666</f>
        <v/>
      </c>
    </row>
    <row r="667" spans="4:19">
      <c r="D667" t="str">
        <f>'Audit Report'!B667</f>
        <v>ITD-SHRXXX-XX666</v>
      </c>
      <c r="E667" t="str">
        <f>'Audit Report'!C667</f>
        <v/>
      </c>
      <c r="I667" t="str">
        <f>'Audit Report'!D667</f>
        <v/>
      </c>
      <c r="J667" t="str">
        <f>_xlfn.TEXTJOIN(" ",TRUE,'Audit Report'!G667,'Audit Report'!H667)</f>
        <v/>
      </c>
      <c r="L667" t="str">
        <f>_xlfn.TEXTJOIN(", ", TRUE, 'Audit Report'!K667,'Audit Report'!L667,'Audit Report'!M667)</f>
        <v/>
      </c>
      <c r="M667" t="str">
        <f>'Audit Report'!O667</f>
        <v/>
      </c>
      <c r="N667" t="str" cm="1">
        <f t="array" ref="N667">IF(M667="","",
_xlfn.TEXTJOIN(", ",TRUE,
    _xlfn.MAP(_xlfn.TEXTSPLIT(M667,","),_xlfn.LAMBDA(_xlpm.x,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7" t="str">
        <f>'Audit Report'!F667</f>
        <v/>
      </c>
      <c r="S667" t="str">
        <f>'Audit Report'!Q667</f>
        <v/>
      </c>
    </row>
    <row r="668" spans="4:19">
      <c r="D668" t="str">
        <f>'Audit Report'!B668</f>
        <v>ITD-SHRXXX-XX667</v>
      </c>
      <c r="E668" t="str">
        <f>'Audit Report'!C668</f>
        <v/>
      </c>
      <c r="I668" t="str">
        <f>'Audit Report'!D668</f>
        <v/>
      </c>
      <c r="J668" t="str">
        <f>_xlfn.TEXTJOIN(" ",TRUE,'Audit Report'!G668,'Audit Report'!H668)</f>
        <v/>
      </c>
      <c r="L668" t="str">
        <f>_xlfn.TEXTJOIN(", ", TRUE, 'Audit Report'!K668,'Audit Report'!L668,'Audit Report'!M668)</f>
        <v/>
      </c>
      <c r="M668" t="str">
        <f>'Audit Report'!O668</f>
        <v/>
      </c>
      <c r="N668" t="str" cm="1">
        <f t="array" ref="N668">IF(M668="","",
_xlfn.TEXTJOIN(", ",TRUE,
    _xlfn.MAP(_xlfn.TEXTSPLIT(M668,","),_xlfn.LAMBDA(_xlpm.x,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8" t="str">
        <f>'Audit Report'!F668</f>
        <v/>
      </c>
      <c r="S668" t="str">
        <f>'Audit Report'!Q668</f>
        <v/>
      </c>
    </row>
    <row r="669" spans="4:19">
      <c r="D669" t="str">
        <f>'Audit Report'!B669</f>
        <v>ITD-SHRXXX-XX668</v>
      </c>
      <c r="E669" t="str">
        <f>'Audit Report'!C669</f>
        <v/>
      </c>
      <c r="I669" t="str">
        <f>'Audit Report'!D669</f>
        <v/>
      </c>
      <c r="J669" t="str">
        <f>_xlfn.TEXTJOIN(" ",TRUE,'Audit Report'!G669,'Audit Report'!H669)</f>
        <v/>
      </c>
      <c r="L669" t="str">
        <f>_xlfn.TEXTJOIN(", ", TRUE, 'Audit Report'!K669,'Audit Report'!L669,'Audit Report'!M669)</f>
        <v/>
      </c>
      <c r="M669" t="str">
        <f>'Audit Report'!O669</f>
        <v/>
      </c>
      <c r="N669" t="str" cm="1">
        <f t="array" ref="N669">IF(M669="","",
_xlfn.TEXTJOIN(", ",TRUE,
    _xlfn.MAP(_xlfn.TEXTSPLIT(M669,","),_xlfn.LAMBDA(_xlpm.x,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9" t="str">
        <f>'Audit Report'!F669</f>
        <v/>
      </c>
      <c r="S669" t="str">
        <f>'Audit Report'!Q669</f>
        <v/>
      </c>
    </row>
    <row r="670" spans="4:19">
      <c r="D670" t="str">
        <f>'Audit Report'!B670</f>
        <v>ITD-SHRXXX-XX669</v>
      </c>
      <c r="E670" t="str">
        <f>'Audit Report'!C670</f>
        <v/>
      </c>
      <c r="I670" t="str">
        <f>'Audit Report'!D670</f>
        <v/>
      </c>
      <c r="J670" t="str">
        <f>_xlfn.TEXTJOIN(" ",TRUE,'Audit Report'!G670,'Audit Report'!H670)</f>
        <v/>
      </c>
      <c r="L670" t="str">
        <f>_xlfn.TEXTJOIN(", ", TRUE, 'Audit Report'!K670,'Audit Report'!L670,'Audit Report'!M670)</f>
        <v/>
      </c>
      <c r="M670" t="str">
        <f>'Audit Report'!O670</f>
        <v/>
      </c>
      <c r="N670" t="str" cm="1">
        <f t="array" ref="N670">IF(M670="","",
_xlfn.TEXTJOIN(", ",TRUE,
    _xlfn.MAP(_xlfn.TEXTSPLIT(M670,","),_xlfn.LAMBDA(_xlpm.x,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0" t="str">
        <f>'Audit Report'!F670</f>
        <v/>
      </c>
      <c r="S670" t="str">
        <f>'Audit Report'!Q670</f>
        <v/>
      </c>
    </row>
    <row r="671" spans="4:19">
      <c r="D671" t="str">
        <f>'Audit Report'!B671</f>
        <v>ITD-SHRXXX-XX670</v>
      </c>
      <c r="E671" t="str">
        <f>'Audit Report'!C671</f>
        <v/>
      </c>
      <c r="I671" t="str">
        <f>'Audit Report'!D671</f>
        <v/>
      </c>
      <c r="J671" t="str">
        <f>_xlfn.TEXTJOIN(" ",TRUE,'Audit Report'!G671,'Audit Report'!H671)</f>
        <v/>
      </c>
      <c r="L671" t="str">
        <f>_xlfn.TEXTJOIN(", ", TRUE, 'Audit Report'!K671,'Audit Report'!L671,'Audit Report'!M671)</f>
        <v/>
      </c>
      <c r="M671" t="str">
        <f>'Audit Report'!O671</f>
        <v/>
      </c>
      <c r="N671" t="str" cm="1">
        <f t="array" ref="N671">IF(M671="","",
_xlfn.TEXTJOIN(", ",TRUE,
    _xlfn.MAP(_xlfn.TEXTSPLIT(M671,","),_xlfn.LAMBDA(_xlpm.x,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1" t="str">
        <f>'Audit Report'!F671</f>
        <v/>
      </c>
      <c r="S671" t="str">
        <f>'Audit Report'!Q671</f>
        <v/>
      </c>
    </row>
    <row r="672" spans="4:19">
      <c r="D672" t="str">
        <f>'Audit Report'!B672</f>
        <v>ITD-SHRXXX-XX671</v>
      </c>
      <c r="E672" t="str">
        <f>'Audit Report'!C672</f>
        <v/>
      </c>
      <c r="I672" t="str">
        <f>'Audit Report'!D672</f>
        <v/>
      </c>
      <c r="J672" t="str">
        <f>_xlfn.TEXTJOIN(" ",TRUE,'Audit Report'!G672,'Audit Report'!H672)</f>
        <v/>
      </c>
      <c r="L672" t="str">
        <f>_xlfn.TEXTJOIN(", ", TRUE, 'Audit Report'!K672,'Audit Report'!L672,'Audit Report'!M672)</f>
        <v/>
      </c>
      <c r="M672" t="str">
        <f>'Audit Report'!O672</f>
        <v/>
      </c>
      <c r="N672" t="str" cm="1">
        <f t="array" ref="N672">IF(M672="","",
_xlfn.TEXTJOIN(", ",TRUE,
    _xlfn.MAP(_xlfn.TEXTSPLIT(M672,","),_xlfn.LAMBDA(_xlpm.x,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2" t="str">
        <f>'Audit Report'!F672</f>
        <v/>
      </c>
      <c r="S672" t="str">
        <f>'Audit Report'!Q672</f>
        <v/>
      </c>
    </row>
    <row r="673" spans="4:19">
      <c r="D673" t="str">
        <f>'Audit Report'!B673</f>
        <v>ITD-SHRXXX-XX672</v>
      </c>
      <c r="E673" t="str">
        <f>'Audit Report'!C673</f>
        <v/>
      </c>
      <c r="I673" t="str">
        <f>'Audit Report'!D673</f>
        <v/>
      </c>
      <c r="J673" t="str">
        <f>_xlfn.TEXTJOIN(" ",TRUE,'Audit Report'!G673,'Audit Report'!H673)</f>
        <v/>
      </c>
      <c r="L673" t="str">
        <f>_xlfn.TEXTJOIN(", ", TRUE, 'Audit Report'!K673,'Audit Report'!L673,'Audit Report'!M673)</f>
        <v/>
      </c>
      <c r="M673" t="str">
        <f>'Audit Report'!O673</f>
        <v/>
      </c>
      <c r="N673" t="str" cm="1">
        <f t="array" ref="N673">IF(M673="","",
_xlfn.TEXTJOIN(", ",TRUE,
    _xlfn.MAP(_xlfn.TEXTSPLIT(M673,","),_xlfn.LAMBDA(_xlpm.x,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3" t="str">
        <f>'Audit Report'!F673</f>
        <v/>
      </c>
      <c r="S673" t="str">
        <f>'Audit Report'!Q673</f>
        <v/>
      </c>
    </row>
    <row r="674" spans="4:19">
      <c r="D674" t="str">
        <f>'Audit Report'!B674</f>
        <v>ITD-SHRXXX-XX673</v>
      </c>
      <c r="E674" t="str">
        <f>'Audit Report'!C674</f>
        <v/>
      </c>
      <c r="I674" t="str">
        <f>'Audit Report'!D674</f>
        <v/>
      </c>
      <c r="J674" t="str">
        <f>_xlfn.TEXTJOIN(" ",TRUE,'Audit Report'!G674,'Audit Report'!H674)</f>
        <v/>
      </c>
      <c r="L674" t="str">
        <f>_xlfn.TEXTJOIN(", ", TRUE, 'Audit Report'!K674,'Audit Report'!L674,'Audit Report'!M674)</f>
        <v/>
      </c>
      <c r="M674" t="str">
        <f>'Audit Report'!O674</f>
        <v/>
      </c>
      <c r="N674" t="str" cm="1">
        <f t="array" ref="N674">IF(M674="","",
_xlfn.TEXTJOIN(", ",TRUE,
    _xlfn.MAP(_xlfn.TEXTSPLIT(M674,","),_xlfn.LAMBDA(_xlpm.x,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4" t="str">
        <f>'Audit Report'!F674</f>
        <v/>
      </c>
      <c r="S674" t="str">
        <f>'Audit Report'!Q674</f>
        <v/>
      </c>
    </row>
    <row r="675" spans="4:19">
      <c r="D675" t="str">
        <f>'Audit Report'!B675</f>
        <v>ITD-SHRXXX-XX674</v>
      </c>
      <c r="E675" t="str">
        <f>'Audit Report'!C675</f>
        <v/>
      </c>
      <c r="I675" t="str">
        <f>'Audit Report'!D675</f>
        <v/>
      </c>
      <c r="J675" t="str">
        <f>_xlfn.TEXTJOIN(" ",TRUE,'Audit Report'!G675,'Audit Report'!H675)</f>
        <v/>
      </c>
      <c r="L675" t="str">
        <f>_xlfn.TEXTJOIN(", ", TRUE, 'Audit Report'!K675,'Audit Report'!L675,'Audit Report'!M675)</f>
        <v/>
      </c>
      <c r="M675" t="str">
        <f>'Audit Report'!O675</f>
        <v/>
      </c>
      <c r="N675" t="str" cm="1">
        <f t="array" ref="N675">IF(M675="","",
_xlfn.TEXTJOIN(", ",TRUE,
    _xlfn.MAP(_xlfn.TEXTSPLIT(M675,","),_xlfn.LAMBDA(_xlpm.x,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5" t="str">
        <f>'Audit Report'!F675</f>
        <v/>
      </c>
      <c r="S675" t="str">
        <f>'Audit Report'!Q675</f>
        <v/>
      </c>
    </row>
    <row r="676" spans="4:19">
      <c r="D676" t="str">
        <f>'Audit Report'!B676</f>
        <v>ITD-SHRXXX-XX675</v>
      </c>
      <c r="E676" t="str">
        <f>'Audit Report'!C676</f>
        <v/>
      </c>
      <c r="I676" t="str">
        <f>'Audit Report'!D676</f>
        <v/>
      </c>
      <c r="J676" t="str">
        <f>_xlfn.TEXTJOIN(" ",TRUE,'Audit Report'!G676,'Audit Report'!H676)</f>
        <v/>
      </c>
      <c r="L676" t="str">
        <f>_xlfn.TEXTJOIN(", ", TRUE, 'Audit Report'!K676,'Audit Report'!L676,'Audit Report'!M676)</f>
        <v/>
      </c>
      <c r="M676" t="str">
        <f>'Audit Report'!O676</f>
        <v/>
      </c>
      <c r="N676" t="str" cm="1">
        <f t="array" ref="N676">IF(M676="","",
_xlfn.TEXTJOIN(", ",TRUE,
    _xlfn.MAP(_xlfn.TEXTSPLIT(M676,","),_xlfn.LAMBDA(_xlpm.x,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6" t="str">
        <f>'Audit Report'!F676</f>
        <v/>
      </c>
      <c r="S676" t="str">
        <f>'Audit Report'!Q676</f>
        <v/>
      </c>
    </row>
    <row r="677" spans="4:19">
      <c r="D677" t="str">
        <f>'Audit Report'!B677</f>
        <v>ITD-SHRXXX-XX676</v>
      </c>
      <c r="E677" t="str">
        <f>'Audit Report'!C677</f>
        <v/>
      </c>
      <c r="I677" t="str">
        <f>'Audit Report'!D677</f>
        <v/>
      </c>
      <c r="J677" t="str">
        <f>_xlfn.TEXTJOIN(" ",TRUE,'Audit Report'!G677,'Audit Report'!H677)</f>
        <v/>
      </c>
      <c r="L677" t="str">
        <f>_xlfn.TEXTJOIN(", ", TRUE, 'Audit Report'!K677,'Audit Report'!L677,'Audit Report'!M677)</f>
        <v/>
      </c>
      <c r="M677" t="str">
        <f>'Audit Report'!O677</f>
        <v/>
      </c>
      <c r="N677" t="str" cm="1">
        <f t="array" ref="N677">IF(M677="","",
_xlfn.TEXTJOIN(", ",TRUE,
    _xlfn.MAP(_xlfn.TEXTSPLIT(M677,","),_xlfn.LAMBDA(_xlpm.x,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7" t="str">
        <f>'Audit Report'!F677</f>
        <v/>
      </c>
      <c r="S677" t="str">
        <f>'Audit Report'!Q677</f>
        <v/>
      </c>
    </row>
    <row r="678" spans="4:19">
      <c r="D678" t="str">
        <f>'Audit Report'!B678</f>
        <v>ITD-SHRXXX-XX677</v>
      </c>
      <c r="E678" t="str">
        <f>'Audit Report'!C678</f>
        <v/>
      </c>
      <c r="I678" t="str">
        <f>'Audit Report'!D678</f>
        <v/>
      </c>
      <c r="J678" t="str">
        <f>_xlfn.TEXTJOIN(" ",TRUE,'Audit Report'!G678,'Audit Report'!H678)</f>
        <v/>
      </c>
      <c r="L678" t="str">
        <f>_xlfn.TEXTJOIN(", ", TRUE, 'Audit Report'!K678,'Audit Report'!L678,'Audit Report'!M678)</f>
        <v/>
      </c>
      <c r="M678" t="str">
        <f>'Audit Report'!O678</f>
        <v/>
      </c>
      <c r="N678" t="str" cm="1">
        <f t="array" ref="N678">IF(M678="","",
_xlfn.TEXTJOIN(", ",TRUE,
    _xlfn.MAP(_xlfn.TEXTSPLIT(M678,","),_xlfn.LAMBDA(_xlpm.x,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8" t="str">
        <f>'Audit Report'!F678</f>
        <v/>
      </c>
      <c r="S678" t="str">
        <f>'Audit Report'!Q678</f>
        <v/>
      </c>
    </row>
    <row r="679" spans="4:19">
      <c r="D679" t="str">
        <f>'Audit Report'!B679</f>
        <v>ITD-SHRXXX-XX678</v>
      </c>
      <c r="E679" t="str">
        <f>'Audit Report'!C679</f>
        <v/>
      </c>
      <c r="I679" t="str">
        <f>'Audit Report'!D679</f>
        <v/>
      </c>
      <c r="J679" t="str">
        <f>_xlfn.TEXTJOIN(" ",TRUE,'Audit Report'!G679,'Audit Report'!H679)</f>
        <v/>
      </c>
      <c r="L679" t="str">
        <f>_xlfn.TEXTJOIN(", ", TRUE, 'Audit Report'!K679,'Audit Report'!L679,'Audit Report'!M679)</f>
        <v/>
      </c>
      <c r="M679" t="str">
        <f>'Audit Report'!O679</f>
        <v/>
      </c>
      <c r="N679" t="str" cm="1">
        <f t="array" ref="N679">IF(M679="","",
_xlfn.TEXTJOIN(", ",TRUE,
    _xlfn.MAP(_xlfn.TEXTSPLIT(M679,","),_xlfn.LAMBDA(_xlpm.x,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9" t="str">
        <f>'Audit Report'!F679</f>
        <v/>
      </c>
      <c r="S679" t="str">
        <f>'Audit Report'!Q679</f>
        <v/>
      </c>
    </row>
    <row r="680" spans="4:19">
      <c r="D680" t="str">
        <f>'Audit Report'!B680</f>
        <v>ITD-SHRXXX-XX679</v>
      </c>
      <c r="E680" t="str">
        <f>'Audit Report'!C680</f>
        <v/>
      </c>
      <c r="I680" t="str">
        <f>'Audit Report'!D680</f>
        <v/>
      </c>
      <c r="J680" t="str">
        <f>_xlfn.TEXTJOIN(" ",TRUE,'Audit Report'!G680,'Audit Report'!H680)</f>
        <v/>
      </c>
      <c r="L680" t="str">
        <f>_xlfn.TEXTJOIN(", ", TRUE, 'Audit Report'!K680,'Audit Report'!L680,'Audit Report'!M680)</f>
        <v/>
      </c>
      <c r="M680" t="str">
        <f>'Audit Report'!O680</f>
        <v/>
      </c>
      <c r="N680" t="str" cm="1">
        <f t="array" ref="N680">IF(M680="","",
_xlfn.TEXTJOIN(", ",TRUE,
    _xlfn.MAP(_xlfn.TEXTSPLIT(M680,","),_xlfn.LAMBDA(_xlpm.x,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0" t="str">
        <f>'Audit Report'!F680</f>
        <v/>
      </c>
      <c r="S680" t="str">
        <f>'Audit Report'!Q680</f>
        <v/>
      </c>
    </row>
    <row r="681" spans="4:19">
      <c r="D681" t="str">
        <f>'Audit Report'!B681</f>
        <v>ITD-SHRXXX-XX680</v>
      </c>
      <c r="E681" t="str">
        <f>'Audit Report'!C681</f>
        <v/>
      </c>
      <c r="I681" t="str">
        <f>'Audit Report'!D681</f>
        <v/>
      </c>
      <c r="J681" t="str">
        <f>_xlfn.TEXTJOIN(" ",TRUE,'Audit Report'!G681,'Audit Report'!H681)</f>
        <v/>
      </c>
      <c r="L681" t="str">
        <f>_xlfn.TEXTJOIN(", ", TRUE, 'Audit Report'!K681,'Audit Report'!L681,'Audit Report'!M681)</f>
        <v/>
      </c>
      <c r="M681" t="str">
        <f>'Audit Report'!O681</f>
        <v/>
      </c>
      <c r="N681" t="str" cm="1">
        <f t="array" ref="N681">IF(M681="","",
_xlfn.TEXTJOIN(", ",TRUE,
    _xlfn.MAP(_xlfn.TEXTSPLIT(M681,","),_xlfn.LAMBDA(_xlpm.x,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1" t="str">
        <f>'Audit Report'!F681</f>
        <v/>
      </c>
      <c r="S681" t="str">
        <f>'Audit Report'!Q681</f>
        <v/>
      </c>
    </row>
    <row r="682" spans="4:19">
      <c r="D682" t="str">
        <f>'Audit Report'!B682</f>
        <v>ITD-SHRXXX-XX681</v>
      </c>
      <c r="E682" t="str">
        <f>'Audit Report'!C682</f>
        <v/>
      </c>
      <c r="I682" t="str">
        <f>'Audit Report'!D682</f>
        <v/>
      </c>
      <c r="J682" t="str">
        <f>_xlfn.TEXTJOIN(" ",TRUE,'Audit Report'!G682,'Audit Report'!H682)</f>
        <v/>
      </c>
      <c r="L682" t="str">
        <f>_xlfn.TEXTJOIN(", ", TRUE, 'Audit Report'!K682,'Audit Report'!L682,'Audit Report'!M682)</f>
        <v/>
      </c>
      <c r="M682" t="str">
        <f>'Audit Report'!O682</f>
        <v/>
      </c>
      <c r="N682" t="str" cm="1">
        <f t="array" ref="N682">IF(M682="","",
_xlfn.TEXTJOIN(", ",TRUE,
    _xlfn.MAP(_xlfn.TEXTSPLIT(M682,","),_xlfn.LAMBDA(_xlpm.x,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2" t="str">
        <f>'Audit Report'!F682</f>
        <v/>
      </c>
      <c r="S682" t="str">
        <f>'Audit Report'!Q682</f>
        <v/>
      </c>
    </row>
    <row r="683" spans="4:19">
      <c r="D683" t="str">
        <f>'Audit Report'!B683</f>
        <v>ITD-SHRXXX-XX682</v>
      </c>
      <c r="E683" t="str">
        <f>'Audit Report'!C683</f>
        <v/>
      </c>
      <c r="I683" t="str">
        <f>'Audit Report'!D683</f>
        <v/>
      </c>
      <c r="J683" t="str">
        <f>_xlfn.TEXTJOIN(" ",TRUE,'Audit Report'!G683,'Audit Report'!H683)</f>
        <v/>
      </c>
      <c r="L683" t="str">
        <f>_xlfn.TEXTJOIN(", ", TRUE, 'Audit Report'!K683,'Audit Report'!L683,'Audit Report'!M683)</f>
        <v/>
      </c>
      <c r="M683" t="str">
        <f>'Audit Report'!O683</f>
        <v/>
      </c>
      <c r="N683" t="str" cm="1">
        <f t="array" ref="N683">IF(M683="","",
_xlfn.TEXTJOIN(", ",TRUE,
    _xlfn.MAP(_xlfn.TEXTSPLIT(M683,","),_xlfn.LAMBDA(_xlpm.x,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3" t="str">
        <f>'Audit Report'!F683</f>
        <v/>
      </c>
      <c r="S683" t="str">
        <f>'Audit Report'!Q683</f>
        <v/>
      </c>
    </row>
    <row r="684" spans="4:19">
      <c r="D684" t="str">
        <f>'Audit Report'!B684</f>
        <v>ITD-SHRXXX-XX683</v>
      </c>
      <c r="E684" t="str">
        <f>'Audit Report'!C684</f>
        <v/>
      </c>
      <c r="I684" t="str">
        <f>'Audit Report'!D684</f>
        <v/>
      </c>
      <c r="J684" t="str">
        <f>_xlfn.TEXTJOIN(" ",TRUE,'Audit Report'!G684,'Audit Report'!H684)</f>
        <v/>
      </c>
      <c r="L684" t="str">
        <f>_xlfn.TEXTJOIN(", ", TRUE, 'Audit Report'!K684,'Audit Report'!L684,'Audit Report'!M684)</f>
        <v/>
      </c>
      <c r="M684" t="str">
        <f>'Audit Report'!O684</f>
        <v/>
      </c>
      <c r="N684" t="str" cm="1">
        <f t="array" ref="N684">IF(M684="","",
_xlfn.TEXTJOIN(", ",TRUE,
    _xlfn.MAP(_xlfn.TEXTSPLIT(M684,","),_xlfn.LAMBDA(_xlpm.x,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4" t="str">
        <f>'Audit Report'!F684</f>
        <v/>
      </c>
      <c r="S684" t="str">
        <f>'Audit Report'!Q684</f>
        <v/>
      </c>
    </row>
    <row r="685" spans="4:19">
      <c r="D685" t="str">
        <f>'Audit Report'!B685</f>
        <v>ITD-SHRXXX-XX684</v>
      </c>
      <c r="E685" t="str">
        <f>'Audit Report'!C685</f>
        <v/>
      </c>
      <c r="I685" t="str">
        <f>'Audit Report'!D685</f>
        <v/>
      </c>
      <c r="J685" t="str">
        <f>_xlfn.TEXTJOIN(" ",TRUE,'Audit Report'!G685,'Audit Report'!H685)</f>
        <v/>
      </c>
      <c r="L685" t="str">
        <f>_xlfn.TEXTJOIN(", ", TRUE, 'Audit Report'!K685,'Audit Report'!L685,'Audit Report'!M685)</f>
        <v/>
      </c>
      <c r="M685" t="str">
        <f>'Audit Report'!O685</f>
        <v/>
      </c>
      <c r="N685" t="str" cm="1">
        <f t="array" ref="N685">IF(M685="","",
_xlfn.TEXTJOIN(", ",TRUE,
    _xlfn.MAP(_xlfn.TEXTSPLIT(M685,","),_xlfn.LAMBDA(_xlpm.x,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5" t="str">
        <f>'Audit Report'!F685</f>
        <v/>
      </c>
      <c r="S685" t="str">
        <f>'Audit Report'!Q685</f>
        <v/>
      </c>
    </row>
    <row r="686" spans="4:19">
      <c r="D686" t="str">
        <f>'Audit Report'!B686</f>
        <v>ITD-SHRXXX-XX685</v>
      </c>
      <c r="E686" t="str">
        <f>'Audit Report'!C686</f>
        <v/>
      </c>
      <c r="I686" t="str">
        <f>'Audit Report'!D686</f>
        <v/>
      </c>
      <c r="J686" t="str">
        <f>_xlfn.TEXTJOIN(" ",TRUE,'Audit Report'!G686,'Audit Report'!H686)</f>
        <v/>
      </c>
      <c r="L686" t="str">
        <f>_xlfn.TEXTJOIN(", ", TRUE, 'Audit Report'!K686,'Audit Report'!L686,'Audit Report'!M686)</f>
        <v/>
      </c>
      <c r="M686" t="str">
        <f>'Audit Report'!O686</f>
        <v/>
      </c>
      <c r="N686" t="str" cm="1">
        <f t="array" ref="N686">IF(M686="","",
_xlfn.TEXTJOIN(", ",TRUE,
    _xlfn.MAP(_xlfn.TEXTSPLIT(M686,","),_xlfn.LAMBDA(_xlpm.x,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6" t="str">
        <f>'Audit Report'!F686</f>
        <v/>
      </c>
      <c r="S686" t="str">
        <f>'Audit Report'!Q686</f>
        <v/>
      </c>
    </row>
    <row r="687" spans="4:19">
      <c r="D687" t="str">
        <f>'Audit Report'!B687</f>
        <v>ITD-SHRXXX-XX686</v>
      </c>
      <c r="E687" t="str">
        <f>'Audit Report'!C687</f>
        <v/>
      </c>
      <c r="I687" t="str">
        <f>'Audit Report'!D687</f>
        <v/>
      </c>
      <c r="J687" t="str">
        <f>_xlfn.TEXTJOIN(" ",TRUE,'Audit Report'!G687,'Audit Report'!H687)</f>
        <v/>
      </c>
      <c r="L687" t="str">
        <f>_xlfn.TEXTJOIN(", ", TRUE, 'Audit Report'!K687,'Audit Report'!L687,'Audit Report'!M687)</f>
        <v/>
      </c>
      <c r="M687" t="str">
        <f>'Audit Report'!O687</f>
        <v/>
      </c>
      <c r="N687" t="str" cm="1">
        <f t="array" ref="N687">IF(M687="","",
_xlfn.TEXTJOIN(", ",TRUE,
    _xlfn.MAP(_xlfn.TEXTSPLIT(M687,","),_xlfn.LAMBDA(_xlpm.x,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7" t="str">
        <f>'Audit Report'!F687</f>
        <v/>
      </c>
      <c r="S687" t="str">
        <f>'Audit Report'!Q687</f>
        <v/>
      </c>
    </row>
    <row r="688" spans="4:19">
      <c r="D688" t="str">
        <f>'Audit Report'!B688</f>
        <v>ITD-SHRXXX-XX687</v>
      </c>
      <c r="E688" t="str">
        <f>'Audit Report'!C688</f>
        <v/>
      </c>
      <c r="I688" t="str">
        <f>'Audit Report'!D688</f>
        <v/>
      </c>
      <c r="J688" t="str">
        <f>_xlfn.TEXTJOIN(" ",TRUE,'Audit Report'!G688,'Audit Report'!H688)</f>
        <v/>
      </c>
      <c r="L688" t="str">
        <f>_xlfn.TEXTJOIN(", ", TRUE, 'Audit Report'!K688,'Audit Report'!L688,'Audit Report'!M688)</f>
        <v/>
      </c>
      <c r="M688" t="str">
        <f>'Audit Report'!O688</f>
        <v/>
      </c>
      <c r="N688" t="str" cm="1">
        <f t="array" ref="N688">IF(M688="","",
_xlfn.TEXTJOIN(", ",TRUE,
    _xlfn.MAP(_xlfn.TEXTSPLIT(M688,","),_xlfn.LAMBDA(_xlpm.x,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8" t="str">
        <f>'Audit Report'!F688</f>
        <v/>
      </c>
      <c r="S688" t="str">
        <f>'Audit Report'!Q688</f>
        <v/>
      </c>
    </row>
    <row r="689" spans="4:19">
      <c r="D689" t="str">
        <f>'Audit Report'!B689</f>
        <v>ITD-SHRXXX-XX688</v>
      </c>
      <c r="E689" t="str">
        <f>'Audit Report'!C689</f>
        <v/>
      </c>
      <c r="I689" t="str">
        <f>'Audit Report'!D689</f>
        <v/>
      </c>
      <c r="J689" t="str">
        <f>_xlfn.TEXTJOIN(" ",TRUE,'Audit Report'!G689,'Audit Report'!H689)</f>
        <v/>
      </c>
      <c r="L689" t="str">
        <f>_xlfn.TEXTJOIN(", ", TRUE, 'Audit Report'!K689,'Audit Report'!L689,'Audit Report'!M689)</f>
        <v/>
      </c>
      <c r="M689" t="str">
        <f>'Audit Report'!O689</f>
        <v/>
      </c>
      <c r="N689" t="str" cm="1">
        <f t="array" ref="N689">IF(M689="","",
_xlfn.TEXTJOIN(", ",TRUE,
    _xlfn.MAP(_xlfn.TEXTSPLIT(M689,","),_xlfn.LAMBDA(_xlpm.x,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9" t="str">
        <f>'Audit Report'!F689</f>
        <v/>
      </c>
      <c r="S689" t="str">
        <f>'Audit Report'!Q689</f>
        <v/>
      </c>
    </row>
    <row r="690" spans="4:19">
      <c r="D690" t="str">
        <f>'Audit Report'!B690</f>
        <v>ITD-SHRXXX-XX689</v>
      </c>
      <c r="E690" t="str">
        <f>'Audit Report'!C690</f>
        <v/>
      </c>
      <c r="I690" t="str">
        <f>'Audit Report'!D690</f>
        <v/>
      </c>
      <c r="J690" t="str">
        <f>_xlfn.TEXTJOIN(" ",TRUE,'Audit Report'!G690,'Audit Report'!H690)</f>
        <v/>
      </c>
      <c r="L690" t="str">
        <f>_xlfn.TEXTJOIN(", ", TRUE, 'Audit Report'!K690,'Audit Report'!L690,'Audit Report'!M690)</f>
        <v/>
      </c>
      <c r="M690" t="str">
        <f>'Audit Report'!O690</f>
        <v/>
      </c>
      <c r="N690" t="str" cm="1">
        <f t="array" ref="N690">IF(M690="","",
_xlfn.TEXTJOIN(", ",TRUE,
    _xlfn.MAP(_xlfn.TEXTSPLIT(M690,","),_xlfn.LAMBDA(_xlpm.x,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0" t="str">
        <f>'Audit Report'!F690</f>
        <v/>
      </c>
      <c r="S690" t="str">
        <f>'Audit Report'!Q690</f>
        <v/>
      </c>
    </row>
    <row r="691" spans="4:19">
      <c r="D691" t="str">
        <f>'Audit Report'!B691</f>
        <v>ITD-SHRXXX-XX690</v>
      </c>
      <c r="E691" t="str">
        <f>'Audit Report'!C691</f>
        <v/>
      </c>
      <c r="I691" t="str">
        <f>'Audit Report'!D691</f>
        <v/>
      </c>
      <c r="J691" t="str">
        <f>_xlfn.TEXTJOIN(" ",TRUE,'Audit Report'!G691,'Audit Report'!H691)</f>
        <v/>
      </c>
      <c r="L691" t="str">
        <f>_xlfn.TEXTJOIN(", ", TRUE, 'Audit Report'!K691,'Audit Report'!L691,'Audit Report'!M691)</f>
        <v/>
      </c>
      <c r="M691" t="str">
        <f>'Audit Report'!O691</f>
        <v/>
      </c>
      <c r="N691" t="str" cm="1">
        <f t="array" ref="N691">IF(M691="","",
_xlfn.TEXTJOIN(", ",TRUE,
    _xlfn.MAP(_xlfn.TEXTSPLIT(M691,","),_xlfn.LAMBDA(_xlpm.x,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1" t="str">
        <f>'Audit Report'!F691</f>
        <v/>
      </c>
      <c r="S691" t="str">
        <f>'Audit Report'!Q691</f>
        <v/>
      </c>
    </row>
    <row r="692" spans="4:19">
      <c r="D692" t="str">
        <f>'Audit Report'!B692</f>
        <v>ITD-SHRXXX-XX691</v>
      </c>
      <c r="E692" t="str">
        <f>'Audit Report'!C692</f>
        <v/>
      </c>
      <c r="I692" t="str">
        <f>'Audit Report'!D692</f>
        <v/>
      </c>
      <c r="J692" t="str">
        <f>_xlfn.TEXTJOIN(" ",TRUE,'Audit Report'!G692,'Audit Report'!H692)</f>
        <v/>
      </c>
      <c r="L692" t="str">
        <f>_xlfn.TEXTJOIN(", ", TRUE, 'Audit Report'!K692,'Audit Report'!L692,'Audit Report'!M692)</f>
        <v/>
      </c>
      <c r="M692" t="str">
        <f>'Audit Report'!O692</f>
        <v/>
      </c>
      <c r="N692" t="str" cm="1">
        <f t="array" ref="N692">IF(M692="","",
_xlfn.TEXTJOIN(", ",TRUE,
    _xlfn.MAP(_xlfn.TEXTSPLIT(M692,","),_xlfn.LAMBDA(_xlpm.x,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2" t="str">
        <f>'Audit Report'!F692</f>
        <v/>
      </c>
      <c r="S692" t="str">
        <f>'Audit Report'!Q692</f>
        <v/>
      </c>
    </row>
    <row r="693" spans="4:19">
      <c r="D693" t="str">
        <f>'Audit Report'!B693</f>
        <v>ITD-SHRXXX-XX692</v>
      </c>
      <c r="E693" t="str">
        <f>'Audit Report'!C693</f>
        <v/>
      </c>
      <c r="I693" t="str">
        <f>'Audit Report'!D693</f>
        <v/>
      </c>
      <c r="J693" t="str">
        <f>_xlfn.TEXTJOIN(" ",TRUE,'Audit Report'!G693,'Audit Report'!H693)</f>
        <v/>
      </c>
      <c r="L693" t="str">
        <f>_xlfn.TEXTJOIN(", ", TRUE, 'Audit Report'!K693,'Audit Report'!L693,'Audit Report'!M693)</f>
        <v/>
      </c>
      <c r="M693" t="str">
        <f>'Audit Report'!O693</f>
        <v/>
      </c>
      <c r="N693" t="str" cm="1">
        <f t="array" ref="N693">IF(M693="","",
_xlfn.TEXTJOIN(", ",TRUE,
    _xlfn.MAP(_xlfn.TEXTSPLIT(M693,","),_xlfn.LAMBDA(_xlpm.x,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3" t="str">
        <f>'Audit Report'!F693</f>
        <v/>
      </c>
      <c r="S693" t="str">
        <f>'Audit Report'!Q693</f>
        <v/>
      </c>
    </row>
    <row r="694" spans="4:19">
      <c r="D694" t="str">
        <f>'Audit Report'!B694</f>
        <v>ITD-SHRXXX-XX693</v>
      </c>
      <c r="E694" t="str">
        <f>'Audit Report'!C694</f>
        <v/>
      </c>
      <c r="I694" t="str">
        <f>'Audit Report'!D694</f>
        <v/>
      </c>
      <c r="J694" t="str">
        <f>_xlfn.TEXTJOIN(" ",TRUE,'Audit Report'!G694,'Audit Report'!H694)</f>
        <v/>
      </c>
      <c r="L694" t="str">
        <f>_xlfn.TEXTJOIN(", ", TRUE, 'Audit Report'!K694,'Audit Report'!L694,'Audit Report'!M694)</f>
        <v/>
      </c>
      <c r="M694" t="str">
        <f>'Audit Report'!O694</f>
        <v/>
      </c>
      <c r="N694" t="str" cm="1">
        <f t="array" ref="N694">IF(M694="","",
_xlfn.TEXTJOIN(", ",TRUE,
    _xlfn.MAP(_xlfn.TEXTSPLIT(M694,","),_xlfn.LAMBDA(_xlpm.x,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4" t="str">
        <f>'Audit Report'!F694</f>
        <v/>
      </c>
      <c r="S694" t="str">
        <f>'Audit Report'!Q694</f>
        <v/>
      </c>
    </row>
    <row r="695" spans="4:19">
      <c r="D695" t="str">
        <f>'Audit Report'!B695</f>
        <v>ITD-SHRXXX-XX694</v>
      </c>
      <c r="E695" t="str">
        <f>'Audit Report'!C695</f>
        <v/>
      </c>
      <c r="I695" t="str">
        <f>'Audit Report'!D695</f>
        <v/>
      </c>
      <c r="J695" t="str">
        <f>_xlfn.TEXTJOIN(" ",TRUE,'Audit Report'!G695,'Audit Report'!H695)</f>
        <v/>
      </c>
      <c r="L695" t="str">
        <f>_xlfn.TEXTJOIN(", ", TRUE, 'Audit Report'!K695,'Audit Report'!L695,'Audit Report'!M695)</f>
        <v/>
      </c>
      <c r="M695" t="str">
        <f>'Audit Report'!O695</f>
        <v/>
      </c>
      <c r="N695" t="str" cm="1">
        <f t="array" ref="N695">IF(M695="","",
_xlfn.TEXTJOIN(", ",TRUE,
    _xlfn.MAP(_xlfn.TEXTSPLIT(M695,","),_xlfn.LAMBDA(_xlpm.x,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5" t="str">
        <f>'Audit Report'!F695</f>
        <v/>
      </c>
      <c r="S695" t="str">
        <f>'Audit Report'!Q695</f>
        <v/>
      </c>
    </row>
    <row r="696" spans="4:19">
      <c r="D696" t="str">
        <f>'Audit Report'!B696</f>
        <v>ITD-SHRXXX-XX695</v>
      </c>
      <c r="E696" t="str">
        <f>'Audit Report'!C696</f>
        <v/>
      </c>
      <c r="I696" t="str">
        <f>'Audit Report'!D696</f>
        <v/>
      </c>
      <c r="J696" t="str">
        <f>_xlfn.TEXTJOIN(" ",TRUE,'Audit Report'!G696,'Audit Report'!H696)</f>
        <v/>
      </c>
      <c r="L696" t="str">
        <f>_xlfn.TEXTJOIN(", ", TRUE, 'Audit Report'!K696,'Audit Report'!L696,'Audit Report'!M696)</f>
        <v/>
      </c>
      <c r="M696" t="str">
        <f>'Audit Report'!O696</f>
        <v/>
      </c>
      <c r="N696" t="str" cm="1">
        <f t="array" ref="N696">IF(M696="","",
_xlfn.TEXTJOIN(", ",TRUE,
    _xlfn.MAP(_xlfn.TEXTSPLIT(M696,","),_xlfn.LAMBDA(_xlpm.x,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6" t="str">
        <f>'Audit Report'!F696</f>
        <v/>
      </c>
      <c r="S696" t="str">
        <f>'Audit Report'!Q696</f>
        <v/>
      </c>
    </row>
    <row r="697" spans="4:19">
      <c r="D697" t="str">
        <f>'Audit Report'!B697</f>
        <v>ITD-SHRXXX-XX696</v>
      </c>
      <c r="E697" t="str">
        <f>'Audit Report'!C697</f>
        <v/>
      </c>
      <c r="I697" t="str">
        <f>'Audit Report'!D697</f>
        <v/>
      </c>
      <c r="J697" t="str">
        <f>_xlfn.TEXTJOIN(" ",TRUE,'Audit Report'!G697,'Audit Report'!H697)</f>
        <v/>
      </c>
      <c r="L697" t="str">
        <f>_xlfn.TEXTJOIN(", ", TRUE, 'Audit Report'!K697,'Audit Report'!L697,'Audit Report'!M697)</f>
        <v/>
      </c>
      <c r="M697" t="str">
        <f>'Audit Report'!O697</f>
        <v/>
      </c>
      <c r="N697" t="str" cm="1">
        <f t="array" ref="N697">IF(M697="","",
_xlfn.TEXTJOIN(", ",TRUE,
    _xlfn.MAP(_xlfn.TEXTSPLIT(M697,","),_xlfn.LAMBDA(_xlpm.x,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7" t="str">
        <f>'Audit Report'!F697</f>
        <v/>
      </c>
      <c r="S697" t="str">
        <f>'Audit Report'!Q697</f>
        <v/>
      </c>
    </row>
    <row r="698" spans="4:19">
      <c r="D698" t="str">
        <f>'Audit Report'!B698</f>
        <v>ITD-SHRXXX-XX697</v>
      </c>
      <c r="E698" t="str">
        <f>'Audit Report'!C698</f>
        <v/>
      </c>
      <c r="I698" t="str">
        <f>'Audit Report'!D698</f>
        <v/>
      </c>
      <c r="J698" t="str">
        <f>_xlfn.TEXTJOIN(" ",TRUE,'Audit Report'!G698,'Audit Report'!H698)</f>
        <v/>
      </c>
      <c r="L698" t="str">
        <f>_xlfn.TEXTJOIN(", ", TRUE, 'Audit Report'!K698,'Audit Report'!L698,'Audit Report'!M698)</f>
        <v/>
      </c>
      <c r="M698" t="str">
        <f>'Audit Report'!O698</f>
        <v/>
      </c>
      <c r="N698" t="str" cm="1">
        <f t="array" ref="N698">IF(M698="","",
_xlfn.TEXTJOIN(", ",TRUE,
    _xlfn.MAP(_xlfn.TEXTSPLIT(M698,","),_xlfn.LAMBDA(_xlpm.x,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8" t="str">
        <f>'Audit Report'!F698</f>
        <v/>
      </c>
      <c r="S698" t="str">
        <f>'Audit Report'!Q698</f>
        <v/>
      </c>
    </row>
    <row r="699" spans="4:19">
      <c r="D699" t="str">
        <f>'Audit Report'!B699</f>
        <v>ITD-SHRXXX-XX698</v>
      </c>
      <c r="E699" t="str">
        <f>'Audit Report'!C699</f>
        <v/>
      </c>
      <c r="I699" t="str">
        <f>'Audit Report'!D699</f>
        <v/>
      </c>
      <c r="J699" t="str">
        <f>_xlfn.TEXTJOIN(" ",TRUE,'Audit Report'!G699,'Audit Report'!H699)</f>
        <v/>
      </c>
      <c r="L699" t="str">
        <f>_xlfn.TEXTJOIN(", ", TRUE, 'Audit Report'!K699,'Audit Report'!L699,'Audit Report'!M699)</f>
        <v/>
      </c>
      <c r="M699" t="str">
        <f>'Audit Report'!O699</f>
        <v/>
      </c>
      <c r="N699" t="str" cm="1">
        <f t="array" ref="N699">IF(M699="","",
_xlfn.TEXTJOIN(", ",TRUE,
    _xlfn.MAP(_xlfn.TEXTSPLIT(M699,","),_xlfn.LAMBDA(_xlpm.x,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9" t="str">
        <f>'Audit Report'!F699</f>
        <v/>
      </c>
      <c r="S699" t="str">
        <f>'Audit Report'!Q699</f>
        <v/>
      </c>
    </row>
    <row r="700" spans="4:19">
      <c r="D700" t="str">
        <f>'Audit Report'!B700</f>
        <v>ITD-SHRXXX-XX699</v>
      </c>
      <c r="E700" t="str">
        <f>'Audit Report'!C700</f>
        <v/>
      </c>
      <c r="I700" t="str">
        <f>'Audit Report'!D700</f>
        <v/>
      </c>
      <c r="J700" t="str">
        <f>_xlfn.TEXTJOIN(" ",TRUE,'Audit Report'!G700,'Audit Report'!H700)</f>
        <v/>
      </c>
      <c r="L700" t="str">
        <f>_xlfn.TEXTJOIN(", ", TRUE, 'Audit Report'!K700,'Audit Report'!L700,'Audit Report'!M700)</f>
        <v/>
      </c>
      <c r="M700" t="str">
        <f>'Audit Report'!O700</f>
        <v/>
      </c>
      <c r="N700" t="str" cm="1">
        <f t="array" ref="N700">IF(M700="","",
_xlfn.TEXTJOIN(", ",TRUE,
    _xlfn.MAP(_xlfn.TEXTSPLIT(M700,","),_xlfn.LAMBDA(_xlpm.x,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0" t="str">
        <f>'Audit Report'!F700</f>
        <v/>
      </c>
      <c r="S700" t="str">
        <f>'Audit Report'!Q700</f>
        <v/>
      </c>
    </row>
    <row r="701" spans="4:19">
      <c r="D701" t="str">
        <f>'Audit Report'!B701</f>
        <v>ITD-SHRXXX-XX700</v>
      </c>
      <c r="E701" t="str">
        <f>'Audit Report'!C701</f>
        <v/>
      </c>
      <c r="I701" t="str">
        <f>'Audit Report'!D701</f>
        <v/>
      </c>
      <c r="J701" t="str">
        <f>_xlfn.TEXTJOIN(" ",TRUE,'Audit Report'!G701,'Audit Report'!H701)</f>
        <v/>
      </c>
      <c r="L701" t="str">
        <f>_xlfn.TEXTJOIN(", ", TRUE, 'Audit Report'!K701,'Audit Report'!L701,'Audit Report'!M701)</f>
        <v/>
      </c>
      <c r="M701" t="str">
        <f>'Audit Report'!O701</f>
        <v/>
      </c>
      <c r="N701" t="str" cm="1">
        <f t="array" ref="N701">IF(M701="","",
_xlfn.TEXTJOIN(", ",TRUE,
    _xlfn.MAP(_xlfn.TEXTSPLIT(M701,","),_xlfn.LAMBDA(_xlpm.x,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1" t="str">
        <f>'Audit Report'!F701</f>
        <v/>
      </c>
      <c r="S701" t="str">
        <f>'Audit Report'!Q701</f>
        <v/>
      </c>
    </row>
    <row r="702" spans="4:19">
      <c r="D702" t="str">
        <f>'Audit Report'!B702</f>
        <v>ITD-SHRXXX-XX701</v>
      </c>
      <c r="E702" t="str">
        <f>'Audit Report'!C702</f>
        <v/>
      </c>
      <c r="I702" t="str">
        <f>'Audit Report'!D702</f>
        <v/>
      </c>
      <c r="J702" t="str">
        <f>_xlfn.TEXTJOIN(" ",TRUE,'Audit Report'!G702,'Audit Report'!H702)</f>
        <v/>
      </c>
      <c r="L702" t="str">
        <f>_xlfn.TEXTJOIN(", ", TRUE, 'Audit Report'!K702,'Audit Report'!L702,'Audit Report'!M702)</f>
        <v/>
      </c>
      <c r="M702" t="str">
        <f>'Audit Report'!O702</f>
        <v/>
      </c>
      <c r="N702" t="str" cm="1">
        <f t="array" ref="N702">IF(M702="","",
_xlfn.TEXTJOIN(", ",TRUE,
    _xlfn.MAP(_xlfn.TEXTSPLIT(M702,","),_xlfn.LAMBDA(_xlpm.x,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2" t="str">
        <f>'Audit Report'!F702</f>
        <v/>
      </c>
      <c r="S702" t="str">
        <f>'Audit Report'!Q702</f>
        <v/>
      </c>
    </row>
    <row r="703" spans="4:19">
      <c r="D703" t="str">
        <f>'Audit Report'!B703</f>
        <v>ITD-SHRXXX-XX702</v>
      </c>
      <c r="E703" t="str">
        <f>'Audit Report'!C703</f>
        <v/>
      </c>
      <c r="I703" t="str">
        <f>'Audit Report'!D703</f>
        <v/>
      </c>
      <c r="J703" t="str">
        <f>_xlfn.TEXTJOIN(" ",TRUE,'Audit Report'!G703,'Audit Report'!H703)</f>
        <v/>
      </c>
      <c r="L703" t="str">
        <f>_xlfn.TEXTJOIN(", ", TRUE, 'Audit Report'!K703,'Audit Report'!L703,'Audit Report'!M703)</f>
        <v/>
      </c>
      <c r="M703" t="str">
        <f>'Audit Report'!O703</f>
        <v/>
      </c>
      <c r="N703" t="str" cm="1">
        <f t="array" ref="N703">IF(M703="","",
_xlfn.TEXTJOIN(", ",TRUE,
    _xlfn.MAP(_xlfn.TEXTSPLIT(M703,","),_xlfn.LAMBDA(_xlpm.x,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3" t="str">
        <f>'Audit Report'!F703</f>
        <v/>
      </c>
      <c r="S703" t="str">
        <f>'Audit Report'!Q703</f>
        <v/>
      </c>
    </row>
    <row r="704" spans="4:19">
      <c r="D704" t="str">
        <f>'Audit Report'!B704</f>
        <v>ITD-SHRXXX-XX703</v>
      </c>
      <c r="E704" t="str">
        <f>'Audit Report'!C704</f>
        <v/>
      </c>
      <c r="I704" t="str">
        <f>'Audit Report'!D704</f>
        <v/>
      </c>
      <c r="J704" t="str">
        <f>_xlfn.TEXTJOIN(" ",TRUE,'Audit Report'!G704,'Audit Report'!H704)</f>
        <v/>
      </c>
      <c r="L704" t="str">
        <f>_xlfn.TEXTJOIN(", ", TRUE, 'Audit Report'!K704,'Audit Report'!L704,'Audit Report'!M704)</f>
        <v/>
      </c>
      <c r="M704" t="str">
        <f>'Audit Report'!O704</f>
        <v/>
      </c>
      <c r="N704" t="str" cm="1">
        <f t="array" ref="N704">IF(M704="","",
_xlfn.TEXTJOIN(", ",TRUE,
    _xlfn.MAP(_xlfn.TEXTSPLIT(M704,","),_xlfn.LAMBDA(_xlpm.x,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4" t="str">
        <f>'Audit Report'!F704</f>
        <v/>
      </c>
      <c r="S704" t="str">
        <f>'Audit Report'!Q704</f>
        <v/>
      </c>
    </row>
    <row r="705" spans="4:19">
      <c r="D705" t="str">
        <f>'Audit Report'!B705</f>
        <v>ITD-SHRXXX-XX704</v>
      </c>
      <c r="E705" t="str">
        <f>'Audit Report'!C705</f>
        <v/>
      </c>
      <c r="I705" t="str">
        <f>'Audit Report'!D705</f>
        <v/>
      </c>
      <c r="J705" t="str">
        <f>_xlfn.TEXTJOIN(" ",TRUE,'Audit Report'!G705,'Audit Report'!H705)</f>
        <v/>
      </c>
      <c r="L705" t="str">
        <f>_xlfn.TEXTJOIN(", ", TRUE, 'Audit Report'!K705,'Audit Report'!L705,'Audit Report'!M705)</f>
        <v/>
      </c>
      <c r="M705" t="str">
        <f>'Audit Report'!O705</f>
        <v/>
      </c>
      <c r="N705" t="str" cm="1">
        <f t="array" ref="N705">IF(M705="","",
_xlfn.TEXTJOIN(", ",TRUE,
    _xlfn.MAP(_xlfn.TEXTSPLIT(M705,","),_xlfn.LAMBDA(_xlpm.x,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5" t="str">
        <f>'Audit Report'!F705</f>
        <v/>
      </c>
      <c r="S705" t="str">
        <f>'Audit Report'!Q705</f>
        <v/>
      </c>
    </row>
    <row r="706" spans="4:19">
      <c r="D706" t="str">
        <f>'Audit Report'!B706</f>
        <v>ITD-SHRXXX-XX705</v>
      </c>
      <c r="E706" t="str">
        <f>'Audit Report'!C706</f>
        <v/>
      </c>
      <c r="I706" t="str">
        <f>'Audit Report'!D706</f>
        <v/>
      </c>
      <c r="J706" t="str">
        <f>_xlfn.TEXTJOIN(" ",TRUE,'Audit Report'!G706,'Audit Report'!H706)</f>
        <v/>
      </c>
      <c r="L706" t="str">
        <f>_xlfn.TEXTJOIN(", ", TRUE, 'Audit Report'!K706,'Audit Report'!L706,'Audit Report'!M706)</f>
        <v/>
      </c>
      <c r="M706" t="str">
        <f>'Audit Report'!O706</f>
        <v/>
      </c>
      <c r="N706" t="str" cm="1">
        <f t="array" ref="N706">IF(M706="","",
_xlfn.TEXTJOIN(", ",TRUE,
    _xlfn.MAP(_xlfn.TEXTSPLIT(M706,","),_xlfn.LAMBDA(_xlpm.x,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6" t="str">
        <f>'Audit Report'!F706</f>
        <v/>
      </c>
      <c r="S706" t="str">
        <f>'Audit Report'!Q706</f>
        <v/>
      </c>
    </row>
    <row r="707" spans="4:19">
      <c r="D707" t="str">
        <f>'Audit Report'!B707</f>
        <v>ITD-SHRXXX-XX706</v>
      </c>
      <c r="E707" t="str">
        <f>'Audit Report'!C707</f>
        <v/>
      </c>
      <c r="I707" t="str">
        <f>'Audit Report'!D707</f>
        <v/>
      </c>
      <c r="J707" t="str">
        <f>_xlfn.TEXTJOIN(" ",TRUE,'Audit Report'!G707,'Audit Report'!H707)</f>
        <v/>
      </c>
      <c r="L707" t="str">
        <f>_xlfn.TEXTJOIN(", ", TRUE, 'Audit Report'!K707,'Audit Report'!L707,'Audit Report'!M707)</f>
        <v/>
      </c>
      <c r="M707" t="str">
        <f>'Audit Report'!O707</f>
        <v/>
      </c>
      <c r="N707" t="str" cm="1">
        <f t="array" ref="N707">IF(M707="","",
_xlfn.TEXTJOIN(", ",TRUE,
    _xlfn.MAP(_xlfn.TEXTSPLIT(M707,","),_xlfn.LAMBDA(_xlpm.x,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7" t="str">
        <f>'Audit Report'!F707</f>
        <v/>
      </c>
      <c r="S707" t="str">
        <f>'Audit Report'!Q707</f>
        <v/>
      </c>
    </row>
    <row r="708" spans="4:19">
      <c r="D708" t="str">
        <f>'Audit Report'!B708</f>
        <v>ITD-SHRXXX-XX707</v>
      </c>
      <c r="E708" t="str">
        <f>'Audit Report'!C708</f>
        <v/>
      </c>
      <c r="I708" t="str">
        <f>'Audit Report'!D708</f>
        <v/>
      </c>
      <c r="J708" t="str">
        <f>_xlfn.TEXTJOIN(" ",TRUE,'Audit Report'!G708,'Audit Report'!H708)</f>
        <v/>
      </c>
      <c r="L708" t="str">
        <f>_xlfn.TEXTJOIN(", ", TRUE, 'Audit Report'!K708,'Audit Report'!L708,'Audit Report'!M708)</f>
        <v/>
      </c>
      <c r="M708" t="str">
        <f>'Audit Report'!O708</f>
        <v/>
      </c>
      <c r="N708" t="str" cm="1">
        <f t="array" ref="N708">IF(M708="","",
_xlfn.TEXTJOIN(", ",TRUE,
    _xlfn.MAP(_xlfn.TEXTSPLIT(M708,","),_xlfn.LAMBDA(_xlpm.x,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8" t="str">
        <f>'Audit Report'!F708</f>
        <v/>
      </c>
      <c r="S708" t="str">
        <f>'Audit Report'!Q708</f>
        <v/>
      </c>
    </row>
    <row r="709" spans="4:19">
      <c r="D709" t="str">
        <f>'Audit Report'!B709</f>
        <v>ITD-SHRXXX-XX708</v>
      </c>
      <c r="E709" t="str">
        <f>'Audit Report'!C709</f>
        <v/>
      </c>
      <c r="I709" t="str">
        <f>'Audit Report'!D709</f>
        <v/>
      </c>
      <c r="J709" t="str">
        <f>_xlfn.TEXTJOIN(" ",TRUE,'Audit Report'!G709,'Audit Report'!H709)</f>
        <v/>
      </c>
      <c r="L709" t="str">
        <f>_xlfn.TEXTJOIN(", ", TRUE, 'Audit Report'!K709,'Audit Report'!L709,'Audit Report'!M709)</f>
        <v/>
      </c>
      <c r="M709" t="str">
        <f>'Audit Report'!O709</f>
        <v/>
      </c>
      <c r="N709" t="str" cm="1">
        <f t="array" ref="N709">IF(M709="","",
_xlfn.TEXTJOIN(", ",TRUE,
    _xlfn.MAP(_xlfn.TEXTSPLIT(M709,","),_xlfn.LAMBDA(_xlpm.x,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9" t="str">
        <f>'Audit Report'!F709</f>
        <v/>
      </c>
      <c r="S709" t="str">
        <f>'Audit Report'!Q709</f>
        <v/>
      </c>
    </row>
    <row r="710" spans="4:19">
      <c r="D710" t="str">
        <f>'Audit Report'!B710</f>
        <v>ITD-SHRXXX-XX709</v>
      </c>
      <c r="E710" t="str">
        <f>'Audit Report'!C710</f>
        <v/>
      </c>
      <c r="I710" t="str">
        <f>'Audit Report'!D710</f>
        <v/>
      </c>
      <c r="J710" t="str">
        <f>_xlfn.TEXTJOIN(" ",TRUE,'Audit Report'!G710,'Audit Report'!H710)</f>
        <v/>
      </c>
      <c r="L710" t="str">
        <f>_xlfn.TEXTJOIN(", ", TRUE, 'Audit Report'!K710,'Audit Report'!L710,'Audit Report'!M710)</f>
        <v/>
      </c>
      <c r="M710" t="str">
        <f>'Audit Report'!O710</f>
        <v/>
      </c>
      <c r="N710" t="str" cm="1">
        <f t="array" ref="N710">IF(M710="","",
_xlfn.TEXTJOIN(", ",TRUE,
    _xlfn.MAP(_xlfn.TEXTSPLIT(M710,","),_xlfn.LAMBDA(_xlpm.x,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0" t="str">
        <f>'Audit Report'!F710</f>
        <v/>
      </c>
      <c r="S710" t="str">
        <f>'Audit Report'!Q710</f>
        <v/>
      </c>
    </row>
    <row r="711" spans="4:19">
      <c r="D711" t="str">
        <f>'Audit Report'!B711</f>
        <v>ITD-SHRXXX-XX710</v>
      </c>
      <c r="E711" t="str">
        <f>'Audit Report'!C711</f>
        <v/>
      </c>
      <c r="I711" t="str">
        <f>'Audit Report'!D711</f>
        <v/>
      </c>
      <c r="J711" t="str">
        <f>_xlfn.TEXTJOIN(" ",TRUE,'Audit Report'!G711,'Audit Report'!H711)</f>
        <v/>
      </c>
      <c r="L711" t="str">
        <f>_xlfn.TEXTJOIN(", ", TRUE, 'Audit Report'!K711,'Audit Report'!L711,'Audit Report'!M711)</f>
        <v/>
      </c>
      <c r="M711" t="str">
        <f>'Audit Report'!O711</f>
        <v/>
      </c>
      <c r="N711" t="str" cm="1">
        <f t="array" ref="N711">IF(M711="","",
_xlfn.TEXTJOIN(", ",TRUE,
    _xlfn.MAP(_xlfn.TEXTSPLIT(M711,","),_xlfn.LAMBDA(_xlpm.x,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1" t="str">
        <f>'Audit Report'!F711</f>
        <v/>
      </c>
      <c r="S711" t="str">
        <f>'Audit Report'!Q711</f>
        <v/>
      </c>
    </row>
    <row r="712" spans="4:19">
      <c r="D712">
        <f>'Audit Report'!B712</f>
        <v>0</v>
      </c>
      <c r="E712">
        <f>'Audit Report'!C712</f>
        <v>0</v>
      </c>
      <c r="I712">
        <f>'Audit Report'!D712</f>
        <v>0</v>
      </c>
      <c r="J712" t="str">
        <f>_xlfn.TEXTJOIN(" ",TRUE,'Audit Report'!G712,'Audit Report'!H712)</f>
        <v/>
      </c>
      <c r="L712" t="str">
        <f>_xlfn.TEXTJOIN(", ", TRUE, 'Audit Report'!K712,'Audit Report'!L712,'Audit Report'!M712)</f>
        <v/>
      </c>
      <c r="M712">
        <f>'Audit Report'!O712</f>
        <v>0</v>
      </c>
      <c r="N712" t="str" cm="1">
        <f t="array" ref="N712">IF(M712="","",
_xlfn.TEXTJOIN(", ",TRUE,
    _xlfn.MAP(_xlfn.TEXTSPLIT(M712,","),_xlfn.LAMBDA(_xlpm.x,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2">
        <f>'Audit Report'!F712</f>
        <v>0</v>
      </c>
      <c r="S712">
        <f>'Audit Report'!Q712</f>
        <v>0</v>
      </c>
    </row>
    <row r="713" spans="4:19">
      <c r="D713">
        <f>'Audit Report'!B713</f>
        <v>0</v>
      </c>
      <c r="E713">
        <f>'Audit Report'!C713</f>
        <v>0</v>
      </c>
      <c r="I713">
        <f>'Audit Report'!D713</f>
        <v>0</v>
      </c>
      <c r="J713" t="str">
        <f>_xlfn.TEXTJOIN(" ",TRUE,'Audit Report'!G713,'Audit Report'!H713)</f>
        <v/>
      </c>
      <c r="L713" t="str">
        <f>_xlfn.TEXTJOIN(", ", TRUE, 'Audit Report'!K713,'Audit Report'!L713,'Audit Report'!M713)</f>
        <v/>
      </c>
      <c r="M713">
        <f>'Audit Report'!O713</f>
        <v>0</v>
      </c>
      <c r="N713" t="str" cm="1">
        <f t="array" ref="N713">IF(M713="","",
_xlfn.TEXTJOIN(", ",TRUE,
    _xlfn.MAP(_xlfn.TEXTSPLIT(M713,","),_xlfn.LAMBDA(_xlpm.x,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3">
        <f>'Audit Report'!F713</f>
        <v>0</v>
      </c>
      <c r="S713">
        <f>'Audit Report'!Q713</f>
        <v>0</v>
      </c>
    </row>
    <row r="714" spans="4:19">
      <c r="D714">
        <f>'Audit Report'!B714</f>
        <v>0</v>
      </c>
      <c r="E714">
        <f>'Audit Report'!C714</f>
        <v>0</v>
      </c>
      <c r="I714">
        <f>'Audit Report'!D714</f>
        <v>0</v>
      </c>
      <c r="J714" t="str">
        <f>_xlfn.TEXTJOIN(" ",TRUE,'Audit Report'!G714,'Audit Report'!H714)</f>
        <v/>
      </c>
      <c r="L714" t="str">
        <f>_xlfn.TEXTJOIN(", ", TRUE, 'Audit Report'!K714,'Audit Report'!L714,'Audit Report'!M714)</f>
        <v/>
      </c>
      <c r="M714">
        <f>'Audit Report'!O714</f>
        <v>0</v>
      </c>
      <c r="N714" t="str" cm="1">
        <f t="array" ref="N714">IF(M714="","",
_xlfn.TEXTJOIN(", ",TRUE,
    _xlfn.MAP(_xlfn.TEXTSPLIT(M714,","),_xlfn.LAMBDA(_xlpm.x,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4">
        <f>'Audit Report'!F714</f>
        <v>0</v>
      </c>
      <c r="S714">
        <f>'Audit Report'!Q714</f>
        <v>0</v>
      </c>
    </row>
    <row r="715" spans="4:19">
      <c r="D715">
        <f>'Audit Report'!B715</f>
        <v>0</v>
      </c>
      <c r="E715">
        <f>'Audit Report'!C715</f>
        <v>0</v>
      </c>
      <c r="I715">
        <f>'Audit Report'!D715</f>
        <v>0</v>
      </c>
      <c r="J715" t="str">
        <f>_xlfn.TEXTJOIN(" ",TRUE,'Audit Report'!G715,'Audit Report'!H715)</f>
        <v/>
      </c>
      <c r="L715" t="str">
        <f>_xlfn.TEXTJOIN(", ", TRUE, 'Audit Report'!K715,'Audit Report'!L715,'Audit Report'!M715)</f>
        <v/>
      </c>
      <c r="M715">
        <f>'Audit Report'!O715</f>
        <v>0</v>
      </c>
      <c r="N715" t="str" cm="1">
        <f t="array" ref="N715">IF(M715="","",
_xlfn.TEXTJOIN(", ",TRUE,
    _xlfn.MAP(_xlfn.TEXTSPLIT(M715,","),_xlfn.LAMBDA(_xlpm.x,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5">
        <f>'Audit Report'!F715</f>
        <v>0</v>
      </c>
      <c r="S715">
        <f>'Audit Report'!Q715</f>
        <v>0</v>
      </c>
    </row>
    <row r="716" spans="4:19">
      <c r="D716">
        <f>'Audit Report'!B716</f>
        <v>0</v>
      </c>
      <c r="E716">
        <f>'Audit Report'!C716</f>
        <v>0</v>
      </c>
      <c r="I716">
        <f>'Audit Report'!D716</f>
        <v>0</v>
      </c>
      <c r="J716" t="str">
        <f>_xlfn.TEXTJOIN(" ",TRUE,'Audit Report'!G716,'Audit Report'!H716)</f>
        <v/>
      </c>
      <c r="L716" t="str">
        <f>_xlfn.TEXTJOIN(", ", TRUE, 'Audit Report'!K716,'Audit Report'!L716,'Audit Report'!M716)</f>
        <v/>
      </c>
      <c r="M716">
        <f>'Audit Report'!O716</f>
        <v>0</v>
      </c>
      <c r="N716" t="str" cm="1">
        <f t="array" ref="N716">IF(M716="","",
_xlfn.TEXTJOIN(", ",TRUE,
    _xlfn.MAP(_xlfn.TEXTSPLIT(M716,","),_xlfn.LAMBDA(_xlpm.x,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6">
        <f>'Audit Report'!F716</f>
        <v>0</v>
      </c>
      <c r="S716">
        <f>'Audit Report'!Q716</f>
        <v>0</v>
      </c>
    </row>
    <row r="717" spans="4:19">
      <c r="D717">
        <f>'Audit Report'!B717</f>
        <v>0</v>
      </c>
      <c r="E717">
        <f>'Audit Report'!C717</f>
        <v>0</v>
      </c>
      <c r="I717">
        <f>'Audit Report'!D717</f>
        <v>0</v>
      </c>
      <c r="J717" t="str">
        <f>_xlfn.TEXTJOIN(" ",TRUE,'Audit Report'!G717,'Audit Report'!H717)</f>
        <v/>
      </c>
      <c r="L717" t="str">
        <f>_xlfn.TEXTJOIN(", ", TRUE, 'Audit Report'!K717,'Audit Report'!L717,'Audit Report'!M717)</f>
        <v/>
      </c>
      <c r="M717">
        <f>'Audit Report'!O717</f>
        <v>0</v>
      </c>
      <c r="N717" t="str" cm="1">
        <f t="array" ref="N717">IF(M717="","",
_xlfn.TEXTJOIN(", ",TRUE,
    _xlfn.MAP(_xlfn.TEXTSPLIT(M717,","),_xlfn.LAMBDA(_xlpm.x,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7">
        <f>'Audit Report'!F717</f>
        <v>0</v>
      </c>
      <c r="S717">
        <f>'Audit Report'!Q717</f>
        <v>0</v>
      </c>
    </row>
    <row r="718" spans="4:19">
      <c r="D718">
        <f>'Audit Report'!B718</f>
        <v>0</v>
      </c>
      <c r="E718">
        <f>'Audit Report'!C718</f>
        <v>0</v>
      </c>
      <c r="I718">
        <f>'Audit Report'!D718</f>
        <v>0</v>
      </c>
      <c r="J718" t="str">
        <f>_xlfn.TEXTJOIN(" ",TRUE,'Audit Report'!G718,'Audit Report'!H718)</f>
        <v/>
      </c>
      <c r="L718" t="str">
        <f>_xlfn.TEXTJOIN(", ", TRUE, 'Audit Report'!K718,'Audit Report'!L718,'Audit Report'!M718)</f>
        <v/>
      </c>
      <c r="M718">
        <f>'Audit Report'!O718</f>
        <v>0</v>
      </c>
      <c r="N718" t="str" cm="1">
        <f t="array" ref="N718">IF(M718="","",
_xlfn.TEXTJOIN(", ",TRUE,
    _xlfn.MAP(_xlfn.TEXTSPLIT(M718,","),_xlfn.LAMBDA(_xlpm.x,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8">
        <f>'Audit Report'!F718</f>
        <v>0</v>
      </c>
      <c r="S718">
        <f>'Audit Report'!Q718</f>
        <v>0</v>
      </c>
    </row>
    <row r="719" spans="4:19">
      <c r="D719">
        <f>'Audit Report'!B719</f>
        <v>0</v>
      </c>
      <c r="E719">
        <f>'Audit Report'!C719</f>
        <v>0</v>
      </c>
      <c r="I719">
        <f>'Audit Report'!D719</f>
        <v>0</v>
      </c>
      <c r="J719" t="str">
        <f>_xlfn.TEXTJOIN(" ",TRUE,'Audit Report'!G719,'Audit Report'!H719)</f>
        <v/>
      </c>
      <c r="L719" t="str">
        <f>_xlfn.TEXTJOIN(", ", TRUE, 'Audit Report'!K719,'Audit Report'!L719,'Audit Report'!M719)</f>
        <v/>
      </c>
      <c r="M719">
        <f>'Audit Report'!O719</f>
        <v>0</v>
      </c>
      <c r="N719" t="str" cm="1">
        <f t="array" ref="N719">IF(M719="","",
_xlfn.TEXTJOIN(", ",TRUE,
    _xlfn.MAP(_xlfn.TEXTSPLIT(M719,","),_xlfn.LAMBDA(_xlpm.x,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9">
        <f>'Audit Report'!F719</f>
        <v>0</v>
      </c>
      <c r="S719">
        <f>'Audit Report'!Q719</f>
        <v>0</v>
      </c>
    </row>
    <row r="720" spans="4:19">
      <c r="D720">
        <f>'Audit Report'!B720</f>
        <v>0</v>
      </c>
      <c r="E720">
        <f>'Audit Report'!C720</f>
        <v>0</v>
      </c>
      <c r="I720">
        <f>'Audit Report'!D720</f>
        <v>0</v>
      </c>
      <c r="J720" t="str">
        <f>_xlfn.TEXTJOIN(" ",TRUE,'Audit Report'!G720,'Audit Report'!H720)</f>
        <v/>
      </c>
      <c r="L720" t="str">
        <f>_xlfn.TEXTJOIN(", ", TRUE, 'Audit Report'!K720,'Audit Report'!L720,'Audit Report'!M720)</f>
        <v/>
      </c>
      <c r="M720">
        <f>'Audit Report'!O720</f>
        <v>0</v>
      </c>
      <c r="N720" t="str" cm="1">
        <f t="array" ref="N720">IF(M720="","",
_xlfn.TEXTJOIN(", ",TRUE,
    _xlfn.MAP(_xlfn.TEXTSPLIT(M720,","),_xlfn.LAMBDA(_xlpm.x,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0">
        <f>'Audit Report'!F720</f>
        <v>0</v>
      </c>
      <c r="S720">
        <f>'Audit Report'!Q720</f>
        <v>0</v>
      </c>
    </row>
    <row r="721" spans="4:19">
      <c r="D721">
        <f>'Audit Report'!B721</f>
        <v>0</v>
      </c>
      <c r="E721">
        <f>'Audit Report'!C721</f>
        <v>0</v>
      </c>
      <c r="I721">
        <f>'Audit Report'!D721</f>
        <v>0</v>
      </c>
      <c r="J721" t="str">
        <f>_xlfn.TEXTJOIN(" ",TRUE,'Audit Report'!G721,'Audit Report'!H721)</f>
        <v/>
      </c>
      <c r="L721" t="str">
        <f>_xlfn.TEXTJOIN(", ", TRUE, 'Audit Report'!K721,'Audit Report'!L721,'Audit Report'!M721)</f>
        <v/>
      </c>
      <c r="M721">
        <f>'Audit Report'!O721</f>
        <v>0</v>
      </c>
      <c r="N721" t="str" cm="1">
        <f t="array" ref="N721">IF(M721="","",
_xlfn.TEXTJOIN(", ",TRUE,
    _xlfn.MAP(_xlfn.TEXTSPLIT(M721,","),_xlfn.LAMBDA(_xlpm.x,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1">
        <f>'Audit Report'!F721</f>
        <v>0</v>
      </c>
      <c r="S721">
        <f>'Audit Report'!Q721</f>
        <v>0</v>
      </c>
    </row>
    <row r="722" spans="4:19">
      <c r="D722">
        <f>'Audit Report'!B722</f>
        <v>0</v>
      </c>
      <c r="E722">
        <f>'Audit Report'!C722</f>
        <v>0</v>
      </c>
      <c r="I722">
        <f>'Audit Report'!D722</f>
        <v>0</v>
      </c>
      <c r="J722" t="str">
        <f>_xlfn.TEXTJOIN(" ",TRUE,'Audit Report'!G722,'Audit Report'!H722)</f>
        <v/>
      </c>
      <c r="L722" t="str">
        <f>_xlfn.TEXTJOIN(", ", TRUE, 'Audit Report'!K722,'Audit Report'!L722,'Audit Report'!M722)</f>
        <v/>
      </c>
      <c r="M722">
        <f>'Audit Report'!O722</f>
        <v>0</v>
      </c>
      <c r="N722" t="str" cm="1">
        <f t="array" ref="N722">IF(M722="","",
_xlfn.TEXTJOIN(", ",TRUE,
    _xlfn.MAP(_xlfn.TEXTSPLIT(M722,","),_xlfn.LAMBDA(_xlpm.x,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2">
        <f>'Audit Report'!F722</f>
        <v>0</v>
      </c>
      <c r="S722">
        <f>'Audit Report'!Q722</f>
        <v>0</v>
      </c>
    </row>
    <row r="723" spans="4:19">
      <c r="D723">
        <f>'Audit Report'!B723</f>
        <v>0</v>
      </c>
      <c r="E723">
        <f>'Audit Report'!C723</f>
        <v>0</v>
      </c>
      <c r="I723">
        <f>'Audit Report'!D723</f>
        <v>0</v>
      </c>
      <c r="J723" t="str">
        <f>_xlfn.TEXTJOIN(" ",TRUE,'Audit Report'!G723,'Audit Report'!H723)</f>
        <v/>
      </c>
      <c r="L723" t="str">
        <f>_xlfn.TEXTJOIN(", ", TRUE, 'Audit Report'!K723,'Audit Report'!L723,'Audit Report'!M723)</f>
        <v/>
      </c>
      <c r="M723">
        <f>'Audit Report'!O723</f>
        <v>0</v>
      </c>
      <c r="N723" t="str" cm="1">
        <f t="array" ref="N723">IF(M723="","",
_xlfn.TEXTJOIN(", ",TRUE,
    _xlfn.MAP(_xlfn.TEXTSPLIT(M723,","),_xlfn.LAMBDA(_xlpm.x,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3">
        <f>'Audit Report'!F723</f>
        <v>0</v>
      </c>
      <c r="S723">
        <f>'Audit Report'!Q723</f>
        <v>0</v>
      </c>
    </row>
    <row r="724" spans="4:19">
      <c r="D724">
        <f>'Audit Report'!B724</f>
        <v>0</v>
      </c>
      <c r="E724">
        <f>'Audit Report'!C724</f>
        <v>0</v>
      </c>
      <c r="I724">
        <f>'Audit Report'!D724</f>
        <v>0</v>
      </c>
      <c r="J724" t="str">
        <f>_xlfn.TEXTJOIN(" ",TRUE,'Audit Report'!G724,'Audit Report'!H724)</f>
        <v/>
      </c>
      <c r="L724" t="str">
        <f>_xlfn.TEXTJOIN(", ", TRUE, 'Audit Report'!K724,'Audit Report'!L724,'Audit Report'!M724)</f>
        <v/>
      </c>
      <c r="M724">
        <f>'Audit Report'!O724</f>
        <v>0</v>
      </c>
      <c r="N724" t="str" cm="1">
        <f t="array" ref="N724">IF(M724="","",
_xlfn.TEXTJOIN(", ",TRUE,
    _xlfn.MAP(_xlfn.TEXTSPLIT(M724,","),_xlfn.LAMBDA(_xlpm.x,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4">
        <f>'Audit Report'!F724</f>
        <v>0</v>
      </c>
      <c r="S724">
        <f>'Audit Report'!Q724</f>
        <v>0</v>
      </c>
    </row>
    <row r="725" spans="4:19">
      <c r="D725">
        <f>'Audit Report'!B725</f>
        <v>0</v>
      </c>
      <c r="E725">
        <f>'Audit Report'!C725</f>
        <v>0</v>
      </c>
      <c r="I725">
        <f>'Audit Report'!D725</f>
        <v>0</v>
      </c>
      <c r="J725" t="str">
        <f>_xlfn.TEXTJOIN(" ",TRUE,'Audit Report'!G725,'Audit Report'!H725)</f>
        <v/>
      </c>
      <c r="L725" t="str">
        <f>_xlfn.TEXTJOIN(", ", TRUE, 'Audit Report'!K725,'Audit Report'!L725,'Audit Report'!M725)</f>
        <v/>
      </c>
      <c r="M725">
        <f>'Audit Report'!O725</f>
        <v>0</v>
      </c>
      <c r="N725" t="str" cm="1">
        <f t="array" ref="N725">IF(M725="","",
_xlfn.TEXTJOIN(", ",TRUE,
    _xlfn.MAP(_xlfn.TEXTSPLIT(M725,","),_xlfn.LAMBDA(_xlpm.x,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5">
        <f>'Audit Report'!F725</f>
        <v>0</v>
      </c>
      <c r="S725">
        <f>'Audit Report'!Q725</f>
        <v>0</v>
      </c>
    </row>
    <row r="726" spans="4:19">
      <c r="D726">
        <f>'Audit Report'!B726</f>
        <v>0</v>
      </c>
      <c r="E726">
        <f>'Audit Report'!C726</f>
        <v>0</v>
      </c>
      <c r="I726">
        <f>'Audit Report'!D726</f>
        <v>0</v>
      </c>
      <c r="J726" t="str">
        <f>_xlfn.TEXTJOIN(" ",TRUE,'Audit Report'!G726,'Audit Report'!H726)</f>
        <v/>
      </c>
      <c r="L726" t="str">
        <f>_xlfn.TEXTJOIN(", ", TRUE, 'Audit Report'!K726,'Audit Report'!L726,'Audit Report'!M726)</f>
        <v/>
      </c>
      <c r="M726">
        <f>'Audit Report'!O726</f>
        <v>0</v>
      </c>
      <c r="N726" t="str" cm="1">
        <f t="array" ref="N726">IF(M726="","",
_xlfn.TEXTJOIN(", ",TRUE,
    _xlfn.MAP(_xlfn.TEXTSPLIT(M726,","),_xlfn.LAMBDA(_xlpm.x,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6">
        <f>'Audit Report'!F726</f>
        <v>0</v>
      </c>
      <c r="S726">
        <f>'Audit Report'!Q726</f>
        <v>0</v>
      </c>
    </row>
    <row r="727" spans="4:19">
      <c r="D727">
        <f>'Audit Report'!B727</f>
        <v>0</v>
      </c>
      <c r="E727">
        <f>'Audit Report'!C727</f>
        <v>0</v>
      </c>
      <c r="I727">
        <f>'Audit Report'!D727</f>
        <v>0</v>
      </c>
      <c r="J727" t="str">
        <f>_xlfn.TEXTJOIN(" ",TRUE,'Audit Report'!G727,'Audit Report'!H727)</f>
        <v/>
      </c>
      <c r="L727" t="str">
        <f>_xlfn.TEXTJOIN(", ", TRUE, 'Audit Report'!K727,'Audit Report'!L727,'Audit Report'!M727)</f>
        <v/>
      </c>
      <c r="M727">
        <f>'Audit Report'!O727</f>
        <v>0</v>
      </c>
      <c r="N727" t="str" cm="1">
        <f t="array" ref="N727">IF(M727="","",
_xlfn.TEXTJOIN(", ",TRUE,
    _xlfn.MAP(_xlfn.TEXTSPLIT(M727,","),_xlfn.LAMBDA(_xlpm.x,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7">
        <f>'Audit Report'!F727</f>
        <v>0</v>
      </c>
      <c r="S727">
        <f>'Audit Report'!Q727</f>
        <v>0</v>
      </c>
    </row>
    <row r="728" spans="4:19">
      <c r="D728">
        <f>'Audit Report'!B728</f>
        <v>0</v>
      </c>
      <c r="E728">
        <f>'Audit Report'!C728</f>
        <v>0</v>
      </c>
      <c r="I728">
        <f>'Audit Report'!D728</f>
        <v>0</v>
      </c>
      <c r="J728" t="str">
        <f>_xlfn.TEXTJOIN(" ",TRUE,'Audit Report'!G728,'Audit Report'!H728)</f>
        <v/>
      </c>
      <c r="L728" t="str">
        <f>_xlfn.TEXTJOIN(", ", TRUE, 'Audit Report'!K728,'Audit Report'!L728,'Audit Report'!M728)</f>
        <v/>
      </c>
      <c r="M728">
        <f>'Audit Report'!O728</f>
        <v>0</v>
      </c>
      <c r="N728" t="str" cm="1">
        <f t="array" ref="N728">IF(M728="","",
_xlfn.TEXTJOIN(", ",TRUE,
    _xlfn.MAP(_xlfn.TEXTSPLIT(M728,","),_xlfn.LAMBDA(_xlpm.x,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8">
        <f>'Audit Report'!F728</f>
        <v>0</v>
      </c>
      <c r="S728">
        <f>'Audit Report'!Q728</f>
        <v>0</v>
      </c>
    </row>
    <row r="729" spans="4:19">
      <c r="D729">
        <f>'Audit Report'!B729</f>
        <v>0</v>
      </c>
      <c r="E729">
        <f>'Audit Report'!C729</f>
        <v>0</v>
      </c>
      <c r="I729">
        <f>'Audit Report'!D729</f>
        <v>0</v>
      </c>
      <c r="J729" t="str">
        <f>_xlfn.TEXTJOIN(" ",TRUE,'Audit Report'!G729,'Audit Report'!H729)</f>
        <v/>
      </c>
      <c r="L729" t="str">
        <f>_xlfn.TEXTJOIN(", ", TRUE, 'Audit Report'!K729,'Audit Report'!L729,'Audit Report'!M729)</f>
        <v/>
      </c>
      <c r="M729">
        <f>'Audit Report'!O729</f>
        <v>0</v>
      </c>
      <c r="N729" t="str" cm="1">
        <f t="array" ref="N729">IF(M729="","",
_xlfn.TEXTJOIN(", ",TRUE,
    _xlfn.MAP(_xlfn.TEXTSPLIT(M729,","),_xlfn.LAMBDA(_xlpm.x,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9">
        <f>'Audit Report'!F729</f>
        <v>0</v>
      </c>
      <c r="S729">
        <f>'Audit Report'!Q729</f>
        <v>0</v>
      </c>
    </row>
    <row r="730" spans="4:19">
      <c r="D730">
        <f>'Audit Report'!B730</f>
        <v>0</v>
      </c>
      <c r="E730">
        <f>'Audit Report'!C730</f>
        <v>0</v>
      </c>
      <c r="I730">
        <f>'Audit Report'!D730</f>
        <v>0</v>
      </c>
      <c r="J730" t="str">
        <f>_xlfn.TEXTJOIN(" ",TRUE,'Audit Report'!G730,'Audit Report'!H730)</f>
        <v/>
      </c>
      <c r="L730" t="str">
        <f>_xlfn.TEXTJOIN(", ", TRUE, 'Audit Report'!K730,'Audit Report'!L730,'Audit Report'!M730)</f>
        <v/>
      </c>
      <c r="M730">
        <f>'Audit Report'!O730</f>
        <v>0</v>
      </c>
      <c r="N730" t="str" cm="1">
        <f t="array" ref="N730">IF(M730="","",
_xlfn.TEXTJOIN(", ",TRUE,
    _xlfn.MAP(_xlfn.TEXTSPLIT(M730,","),_xlfn.LAMBDA(_xlpm.x,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0">
        <f>'Audit Report'!F730</f>
        <v>0</v>
      </c>
      <c r="S730">
        <f>'Audit Report'!Q730</f>
        <v>0</v>
      </c>
    </row>
    <row r="731" spans="4:19">
      <c r="D731">
        <f>'Audit Report'!B731</f>
        <v>0</v>
      </c>
      <c r="E731">
        <f>'Audit Report'!C731</f>
        <v>0</v>
      </c>
      <c r="I731">
        <f>'Audit Report'!D731</f>
        <v>0</v>
      </c>
      <c r="J731" t="str">
        <f>_xlfn.TEXTJOIN(" ",TRUE,'Audit Report'!G731,'Audit Report'!H731)</f>
        <v/>
      </c>
      <c r="L731" t="str">
        <f>_xlfn.TEXTJOIN(", ", TRUE, 'Audit Report'!K731,'Audit Report'!L731,'Audit Report'!M731)</f>
        <v/>
      </c>
      <c r="M731">
        <f>'Audit Report'!O731</f>
        <v>0</v>
      </c>
      <c r="N731" t="str" cm="1">
        <f t="array" ref="N731">IF(M731="","",
_xlfn.TEXTJOIN(", ",TRUE,
    _xlfn.MAP(_xlfn.TEXTSPLIT(M731,","),_xlfn.LAMBDA(_xlpm.x,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1">
        <f>'Audit Report'!F731</f>
        <v>0</v>
      </c>
      <c r="S731">
        <f>'Audit Report'!Q731</f>
        <v>0</v>
      </c>
    </row>
    <row r="732" spans="4:19">
      <c r="D732">
        <f>'Audit Report'!B732</f>
        <v>0</v>
      </c>
      <c r="E732">
        <f>'Audit Report'!C732</f>
        <v>0</v>
      </c>
      <c r="I732">
        <f>'Audit Report'!D732</f>
        <v>0</v>
      </c>
      <c r="J732" t="str">
        <f>_xlfn.TEXTJOIN(" ",TRUE,'Audit Report'!G732,'Audit Report'!H732)</f>
        <v/>
      </c>
      <c r="L732" t="str">
        <f>_xlfn.TEXTJOIN(", ", TRUE, 'Audit Report'!K732,'Audit Report'!L732,'Audit Report'!M732)</f>
        <v/>
      </c>
      <c r="M732">
        <f>'Audit Report'!O732</f>
        <v>0</v>
      </c>
      <c r="N732" t="str" cm="1">
        <f t="array" ref="N732">IF(M732="","",
_xlfn.TEXTJOIN(", ",TRUE,
    _xlfn.MAP(_xlfn.TEXTSPLIT(M732,","),_xlfn.LAMBDA(_xlpm.x,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2">
        <f>'Audit Report'!F732</f>
        <v>0</v>
      </c>
      <c r="S732">
        <f>'Audit Report'!Q732</f>
        <v>0</v>
      </c>
    </row>
    <row r="733" spans="4:19">
      <c r="D733">
        <f>'Audit Report'!B733</f>
        <v>0</v>
      </c>
      <c r="E733">
        <f>'Audit Report'!C733</f>
        <v>0</v>
      </c>
      <c r="I733">
        <f>'Audit Report'!D733</f>
        <v>0</v>
      </c>
      <c r="J733" t="str">
        <f>_xlfn.TEXTJOIN(" ",TRUE,'Audit Report'!G733,'Audit Report'!H733)</f>
        <v/>
      </c>
      <c r="L733" t="str">
        <f>_xlfn.TEXTJOIN(", ", TRUE, 'Audit Report'!K733,'Audit Report'!L733,'Audit Report'!M733)</f>
        <v/>
      </c>
      <c r="M733">
        <f>'Audit Report'!O733</f>
        <v>0</v>
      </c>
      <c r="N733" t="str" cm="1">
        <f t="array" ref="N733">IF(M733="","",
_xlfn.TEXTJOIN(", ",TRUE,
    _xlfn.MAP(_xlfn.TEXTSPLIT(M733,","),_xlfn.LAMBDA(_xlpm.x,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3">
        <f>'Audit Report'!F733</f>
        <v>0</v>
      </c>
      <c r="S733">
        <f>'Audit Report'!Q733</f>
        <v>0</v>
      </c>
    </row>
    <row r="734" spans="4:19">
      <c r="D734">
        <f>'Audit Report'!B734</f>
        <v>0</v>
      </c>
      <c r="E734">
        <f>'Audit Report'!C734</f>
        <v>0</v>
      </c>
      <c r="I734">
        <f>'Audit Report'!D734</f>
        <v>0</v>
      </c>
      <c r="J734" t="str">
        <f>_xlfn.TEXTJOIN(" ",TRUE,'Audit Report'!G734,'Audit Report'!H734)</f>
        <v/>
      </c>
      <c r="L734" t="str">
        <f>_xlfn.TEXTJOIN(", ", TRUE, 'Audit Report'!K734,'Audit Report'!L734,'Audit Report'!M734)</f>
        <v/>
      </c>
      <c r="M734">
        <f>'Audit Report'!O734</f>
        <v>0</v>
      </c>
      <c r="N734" t="str" cm="1">
        <f t="array" ref="N734">IF(M734="","",
_xlfn.TEXTJOIN(", ",TRUE,
    _xlfn.MAP(_xlfn.TEXTSPLIT(M734,","),_xlfn.LAMBDA(_xlpm.x,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4">
        <f>'Audit Report'!F734</f>
        <v>0</v>
      </c>
      <c r="S734">
        <f>'Audit Report'!Q734</f>
        <v>0</v>
      </c>
    </row>
    <row r="735" spans="4:19">
      <c r="D735">
        <f>'Audit Report'!B735</f>
        <v>0</v>
      </c>
      <c r="E735">
        <f>'Audit Report'!C735</f>
        <v>0</v>
      </c>
      <c r="I735">
        <f>'Audit Report'!D735</f>
        <v>0</v>
      </c>
      <c r="J735" t="str">
        <f>_xlfn.TEXTJOIN(" ",TRUE,'Audit Report'!G735,'Audit Report'!H735)</f>
        <v/>
      </c>
      <c r="L735" t="str">
        <f>_xlfn.TEXTJOIN(", ", TRUE, 'Audit Report'!K735,'Audit Report'!L735,'Audit Report'!M735)</f>
        <v/>
      </c>
      <c r="M735">
        <f>'Audit Report'!O735</f>
        <v>0</v>
      </c>
      <c r="N735" t="str" cm="1">
        <f t="array" ref="N735">IF(M735="","",
_xlfn.TEXTJOIN(", ",TRUE,
    _xlfn.MAP(_xlfn.TEXTSPLIT(M735,","),_xlfn.LAMBDA(_xlpm.x,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5">
        <f>'Audit Report'!F735</f>
        <v>0</v>
      </c>
      <c r="S735">
        <f>'Audit Report'!Q735</f>
        <v>0</v>
      </c>
    </row>
    <row r="736" spans="4:19">
      <c r="D736">
        <f>'Audit Report'!B736</f>
        <v>0</v>
      </c>
      <c r="E736">
        <f>'Audit Report'!C736</f>
        <v>0</v>
      </c>
      <c r="I736">
        <f>'Audit Report'!D736</f>
        <v>0</v>
      </c>
      <c r="J736" t="str">
        <f>_xlfn.TEXTJOIN(" ",TRUE,'Audit Report'!G736,'Audit Report'!H736)</f>
        <v/>
      </c>
      <c r="L736" t="str">
        <f>_xlfn.TEXTJOIN(", ", TRUE, 'Audit Report'!K736,'Audit Report'!L736,'Audit Report'!M736)</f>
        <v/>
      </c>
      <c r="M736">
        <f>'Audit Report'!O736</f>
        <v>0</v>
      </c>
      <c r="N736" t="str" cm="1">
        <f t="array" ref="N736">IF(M736="","",
_xlfn.TEXTJOIN(", ",TRUE,
    _xlfn.MAP(_xlfn.TEXTSPLIT(M736,","),_xlfn.LAMBDA(_xlpm.x,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6">
        <f>'Audit Report'!F736</f>
        <v>0</v>
      </c>
      <c r="S736">
        <f>'Audit Report'!Q736</f>
        <v>0</v>
      </c>
    </row>
    <row r="737" spans="4:19">
      <c r="D737">
        <f>'Audit Report'!B737</f>
        <v>0</v>
      </c>
      <c r="E737">
        <f>'Audit Report'!C737</f>
        <v>0</v>
      </c>
      <c r="I737">
        <f>'Audit Report'!D737</f>
        <v>0</v>
      </c>
      <c r="J737" t="str">
        <f>_xlfn.TEXTJOIN(" ",TRUE,'Audit Report'!G737,'Audit Report'!H737)</f>
        <v/>
      </c>
      <c r="L737" t="str">
        <f>_xlfn.TEXTJOIN(", ", TRUE, 'Audit Report'!K737,'Audit Report'!L737,'Audit Report'!M737)</f>
        <v/>
      </c>
      <c r="M737">
        <f>'Audit Report'!O737</f>
        <v>0</v>
      </c>
      <c r="N737" t="str" cm="1">
        <f t="array" ref="N737">IF(M737="","",
_xlfn.TEXTJOIN(", ",TRUE,
    _xlfn.MAP(_xlfn.TEXTSPLIT(M737,","),_xlfn.LAMBDA(_xlpm.x,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7">
        <f>'Audit Report'!F737</f>
        <v>0</v>
      </c>
      <c r="S737">
        <f>'Audit Report'!Q737</f>
        <v>0</v>
      </c>
    </row>
    <row r="738" spans="4:19">
      <c r="D738">
        <f>'Audit Report'!B738</f>
        <v>0</v>
      </c>
      <c r="E738">
        <f>'Audit Report'!C738</f>
        <v>0</v>
      </c>
      <c r="I738">
        <f>'Audit Report'!D738</f>
        <v>0</v>
      </c>
      <c r="J738" t="str">
        <f>_xlfn.TEXTJOIN(" ",TRUE,'Audit Report'!G738,'Audit Report'!H738)</f>
        <v/>
      </c>
      <c r="L738" t="str">
        <f>_xlfn.TEXTJOIN(", ", TRUE, 'Audit Report'!K738,'Audit Report'!L738,'Audit Report'!M738)</f>
        <v/>
      </c>
      <c r="M738">
        <f>'Audit Report'!O738</f>
        <v>0</v>
      </c>
      <c r="N738" t="str" cm="1">
        <f t="array" ref="N738">IF(M738="","",
_xlfn.TEXTJOIN(", ",TRUE,
    _xlfn.MAP(_xlfn.TEXTSPLIT(M738,","),_xlfn.LAMBDA(_xlpm.x,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8">
        <f>'Audit Report'!F738</f>
        <v>0</v>
      </c>
      <c r="S738">
        <f>'Audit Report'!Q738</f>
        <v>0</v>
      </c>
    </row>
    <row r="739" spans="4:19">
      <c r="D739">
        <f>'Audit Report'!B739</f>
        <v>0</v>
      </c>
      <c r="E739">
        <f>'Audit Report'!C739</f>
        <v>0</v>
      </c>
      <c r="I739">
        <f>'Audit Report'!D739</f>
        <v>0</v>
      </c>
      <c r="J739" t="str">
        <f>_xlfn.TEXTJOIN(" ",TRUE,'Audit Report'!G739,'Audit Report'!H739)</f>
        <v/>
      </c>
      <c r="L739" t="str">
        <f>_xlfn.TEXTJOIN(", ", TRUE, 'Audit Report'!K739,'Audit Report'!L739,'Audit Report'!M739)</f>
        <v/>
      </c>
      <c r="M739">
        <f>'Audit Report'!O739</f>
        <v>0</v>
      </c>
      <c r="N739" t="str" cm="1">
        <f t="array" ref="N739">IF(M739="","",
_xlfn.TEXTJOIN(", ",TRUE,
    _xlfn.MAP(_xlfn.TEXTSPLIT(M739,","),_xlfn.LAMBDA(_xlpm.x,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9">
        <f>'Audit Report'!F739</f>
        <v>0</v>
      </c>
      <c r="S739">
        <f>'Audit Report'!Q739</f>
        <v>0</v>
      </c>
    </row>
    <row r="740" spans="4:19">
      <c r="D740">
        <f>'Audit Report'!B740</f>
        <v>0</v>
      </c>
      <c r="E740">
        <f>'Audit Report'!C740</f>
        <v>0</v>
      </c>
      <c r="I740">
        <f>'Audit Report'!D740</f>
        <v>0</v>
      </c>
      <c r="J740" t="str">
        <f>_xlfn.TEXTJOIN(" ",TRUE,'Audit Report'!G740,'Audit Report'!H740)</f>
        <v/>
      </c>
      <c r="L740" t="str">
        <f>_xlfn.TEXTJOIN(", ", TRUE, 'Audit Report'!K740,'Audit Report'!L740,'Audit Report'!M740)</f>
        <v/>
      </c>
      <c r="M740">
        <f>'Audit Report'!O740</f>
        <v>0</v>
      </c>
      <c r="N740" t="str" cm="1">
        <f t="array" ref="N740">IF(M740="","",
_xlfn.TEXTJOIN(", ",TRUE,
    _xlfn.MAP(_xlfn.TEXTSPLIT(M740,","),_xlfn.LAMBDA(_xlpm.x,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0">
        <f>'Audit Report'!F740</f>
        <v>0</v>
      </c>
      <c r="S740">
        <f>'Audit Report'!Q740</f>
        <v>0</v>
      </c>
    </row>
    <row r="741" spans="4:19">
      <c r="D741">
        <f>'Audit Report'!B741</f>
        <v>0</v>
      </c>
      <c r="E741">
        <f>'Audit Report'!C741</f>
        <v>0</v>
      </c>
      <c r="I741">
        <f>'Audit Report'!D741</f>
        <v>0</v>
      </c>
      <c r="J741" t="str">
        <f>_xlfn.TEXTJOIN(" ",TRUE,'Audit Report'!G741,'Audit Report'!H741)</f>
        <v/>
      </c>
      <c r="L741" t="str">
        <f>_xlfn.TEXTJOIN(", ", TRUE, 'Audit Report'!K741,'Audit Report'!L741,'Audit Report'!M741)</f>
        <v/>
      </c>
      <c r="M741">
        <f>'Audit Report'!O741</f>
        <v>0</v>
      </c>
      <c r="N741" t="str" cm="1">
        <f t="array" ref="N741">IF(M741="","",
_xlfn.TEXTJOIN(", ",TRUE,
    _xlfn.MAP(_xlfn.TEXTSPLIT(M741,","),_xlfn.LAMBDA(_xlpm.x,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1">
        <f>'Audit Report'!F741</f>
        <v>0</v>
      </c>
      <c r="S741">
        <f>'Audit Report'!Q741</f>
        <v>0</v>
      </c>
    </row>
    <row r="742" spans="4:19">
      <c r="D742">
        <f>'Audit Report'!B742</f>
        <v>0</v>
      </c>
      <c r="E742">
        <f>'Audit Report'!C742</f>
        <v>0</v>
      </c>
      <c r="I742">
        <f>'Audit Report'!D742</f>
        <v>0</v>
      </c>
      <c r="J742" t="str">
        <f>_xlfn.TEXTJOIN(" ",TRUE,'Audit Report'!G742,'Audit Report'!H742)</f>
        <v/>
      </c>
      <c r="L742" t="str">
        <f>_xlfn.TEXTJOIN(", ", TRUE, 'Audit Report'!K742,'Audit Report'!L742,'Audit Report'!M742)</f>
        <v/>
      </c>
      <c r="M742">
        <f>'Audit Report'!O742</f>
        <v>0</v>
      </c>
      <c r="N742" t="str" cm="1">
        <f t="array" ref="N742">IF(M742="","",
_xlfn.TEXTJOIN(", ",TRUE,
    _xlfn.MAP(_xlfn.TEXTSPLIT(M742,","),_xlfn.LAMBDA(_xlpm.x,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2">
        <f>'Audit Report'!F742</f>
        <v>0</v>
      </c>
      <c r="S742">
        <f>'Audit Report'!Q742</f>
        <v>0</v>
      </c>
    </row>
    <row r="743" spans="4:19">
      <c r="D743">
        <f>'Audit Report'!B743</f>
        <v>0</v>
      </c>
      <c r="E743">
        <f>'Audit Report'!C743</f>
        <v>0</v>
      </c>
      <c r="I743">
        <f>'Audit Report'!D743</f>
        <v>0</v>
      </c>
      <c r="J743" t="str">
        <f>_xlfn.TEXTJOIN(" ",TRUE,'Audit Report'!G743,'Audit Report'!H743)</f>
        <v/>
      </c>
      <c r="L743" t="str">
        <f>_xlfn.TEXTJOIN(", ", TRUE, 'Audit Report'!K743,'Audit Report'!L743,'Audit Report'!M743)</f>
        <v/>
      </c>
      <c r="M743">
        <f>'Audit Report'!O743</f>
        <v>0</v>
      </c>
      <c r="N743" t="str" cm="1">
        <f t="array" ref="N743">IF(M743="","",
_xlfn.TEXTJOIN(", ",TRUE,
    _xlfn.MAP(_xlfn.TEXTSPLIT(M743,","),_xlfn.LAMBDA(_xlpm.x,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3">
        <f>'Audit Report'!F743</f>
        <v>0</v>
      </c>
      <c r="S743">
        <f>'Audit Report'!Q743</f>
        <v>0</v>
      </c>
    </row>
    <row r="744" spans="4:19">
      <c r="D744">
        <f>'Audit Report'!B744</f>
        <v>0</v>
      </c>
      <c r="E744">
        <f>'Audit Report'!C744</f>
        <v>0</v>
      </c>
      <c r="I744">
        <f>'Audit Report'!D744</f>
        <v>0</v>
      </c>
      <c r="J744" t="str">
        <f>_xlfn.TEXTJOIN(" ",TRUE,'Audit Report'!G744,'Audit Report'!H744)</f>
        <v/>
      </c>
      <c r="L744" t="str">
        <f>_xlfn.TEXTJOIN(", ", TRUE, 'Audit Report'!K744,'Audit Report'!L744,'Audit Report'!M744)</f>
        <v/>
      </c>
      <c r="M744">
        <f>'Audit Report'!O744</f>
        <v>0</v>
      </c>
      <c r="N744" t="str" cm="1">
        <f t="array" ref="N744">IF(M744="","",
_xlfn.TEXTJOIN(", ",TRUE,
    _xlfn.MAP(_xlfn.TEXTSPLIT(M744,","),_xlfn.LAMBDA(_xlpm.x,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4">
        <f>'Audit Report'!F744</f>
        <v>0</v>
      </c>
      <c r="S744">
        <f>'Audit Report'!Q744</f>
        <v>0</v>
      </c>
    </row>
    <row r="745" spans="4:19">
      <c r="D745">
        <f>'Audit Report'!B745</f>
        <v>0</v>
      </c>
      <c r="E745">
        <f>'Audit Report'!C745</f>
        <v>0</v>
      </c>
      <c r="I745">
        <f>'Audit Report'!D745</f>
        <v>0</v>
      </c>
      <c r="J745" t="str">
        <f>_xlfn.TEXTJOIN(" ",TRUE,'Audit Report'!G745,'Audit Report'!H745)</f>
        <v/>
      </c>
      <c r="L745" t="str">
        <f>_xlfn.TEXTJOIN(", ", TRUE, 'Audit Report'!K745,'Audit Report'!L745,'Audit Report'!M745)</f>
        <v/>
      </c>
      <c r="M745">
        <f>'Audit Report'!O745</f>
        <v>0</v>
      </c>
      <c r="N745" t="str" cm="1">
        <f t="array" ref="N745">IF(M745="","",
_xlfn.TEXTJOIN(", ",TRUE,
    _xlfn.MAP(_xlfn.TEXTSPLIT(M745,","),_xlfn.LAMBDA(_xlpm.x,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5">
        <f>'Audit Report'!F745</f>
        <v>0</v>
      </c>
      <c r="S745">
        <f>'Audit Report'!Q745</f>
        <v>0</v>
      </c>
    </row>
    <row r="746" spans="4:19">
      <c r="D746">
        <f>'Audit Report'!B746</f>
        <v>0</v>
      </c>
      <c r="E746">
        <f>'Audit Report'!C746</f>
        <v>0</v>
      </c>
      <c r="I746">
        <f>'Audit Report'!D746</f>
        <v>0</v>
      </c>
      <c r="J746" t="str">
        <f>_xlfn.TEXTJOIN(" ",TRUE,'Audit Report'!G746,'Audit Report'!H746)</f>
        <v/>
      </c>
      <c r="L746" t="str">
        <f>_xlfn.TEXTJOIN(", ", TRUE, 'Audit Report'!K746,'Audit Report'!L746,'Audit Report'!M746)</f>
        <v/>
      </c>
      <c r="M746">
        <f>'Audit Report'!O746</f>
        <v>0</v>
      </c>
      <c r="N746" t="str" cm="1">
        <f t="array" ref="N746">IF(M746="","",
_xlfn.TEXTJOIN(", ",TRUE,
    _xlfn.MAP(_xlfn.TEXTSPLIT(M746,","),_xlfn.LAMBDA(_xlpm.x,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6">
        <f>'Audit Report'!F746</f>
        <v>0</v>
      </c>
      <c r="S746">
        <f>'Audit Report'!Q746</f>
        <v>0</v>
      </c>
    </row>
    <row r="747" spans="4:19">
      <c r="D747">
        <f>'Audit Report'!B747</f>
        <v>0</v>
      </c>
      <c r="E747">
        <f>'Audit Report'!C747</f>
        <v>0</v>
      </c>
      <c r="I747">
        <f>'Audit Report'!D747</f>
        <v>0</v>
      </c>
      <c r="J747" t="str">
        <f>_xlfn.TEXTJOIN(" ",TRUE,'Audit Report'!G747,'Audit Report'!H747)</f>
        <v/>
      </c>
      <c r="L747" t="str">
        <f>_xlfn.TEXTJOIN(", ", TRUE, 'Audit Report'!K747,'Audit Report'!L747,'Audit Report'!M747)</f>
        <v/>
      </c>
      <c r="M747">
        <f>'Audit Report'!O747</f>
        <v>0</v>
      </c>
      <c r="N747" t="str" cm="1">
        <f t="array" ref="N747">IF(M747="","",
_xlfn.TEXTJOIN(", ",TRUE,
    _xlfn.MAP(_xlfn.TEXTSPLIT(M747,","),_xlfn.LAMBDA(_xlpm.x,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7">
        <f>'Audit Report'!F747</f>
        <v>0</v>
      </c>
      <c r="S747">
        <f>'Audit Report'!Q747</f>
        <v>0</v>
      </c>
    </row>
    <row r="748" spans="4:19">
      <c r="D748">
        <f>'Audit Report'!B748</f>
        <v>0</v>
      </c>
      <c r="E748">
        <f>'Audit Report'!C748</f>
        <v>0</v>
      </c>
      <c r="I748">
        <f>'Audit Report'!D748</f>
        <v>0</v>
      </c>
      <c r="J748" t="str">
        <f>_xlfn.TEXTJOIN(" ",TRUE,'Audit Report'!G748,'Audit Report'!H748)</f>
        <v/>
      </c>
      <c r="L748" t="str">
        <f>_xlfn.TEXTJOIN(", ", TRUE, 'Audit Report'!K748,'Audit Report'!L748,'Audit Report'!M748)</f>
        <v/>
      </c>
      <c r="M748">
        <f>'Audit Report'!O748</f>
        <v>0</v>
      </c>
      <c r="N748" t="str" cm="1">
        <f t="array" ref="N748">IF(M748="","",
_xlfn.TEXTJOIN(", ",TRUE,
    _xlfn.MAP(_xlfn.TEXTSPLIT(M748,","),_xlfn.LAMBDA(_xlpm.x,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8">
        <f>'Audit Report'!F748</f>
        <v>0</v>
      </c>
      <c r="S748">
        <f>'Audit Report'!Q748</f>
        <v>0</v>
      </c>
    </row>
    <row r="749" spans="4:19">
      <c r="D749">
        <f>'Audit Report'!B749</f>
        <v>0</v>
      </c>
      <c r="E749">
        <f>'Audit Report'!C749</f>
        <v>0</v>
      </c>
      <c r="I749">
        <f>'Audit Report'!D749</f>
        <v>0</v>
      </c>
      <c r="J749" t="str">
        <f>_xlfn.TEXTJOIN(" ",TRUE,'Audit Report'!G749,'Audit Report'!H749)</f>
        <v/>
      </c>
      <c r="L749" t="str">
        <f>_xlfn.TEXTJOIN(", ", TRUE, 'Audit Report'!K749,'Audit Report'!L749,'Audit Report'!M749)</f>
        <v/>
      </c>
      <c r="M749">
        <f>'Audit Report'!O749</f>
        <v>0</v>
      </c>
      <c r="N749" t="str" cm="1">
        <f t="array" ref="N749">IF(M749="","",
_xlfn.TEXTJOIN(", ",TRUE,
    _xlfn.MAP(_xlfn.TEXTSPLIT(M749,","),_xlfn.LAMBDA(_xlpm.x,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9">
        <f>'Audit Report'!F749</f>
        <v>0</v>
      </c>
      <c r="S749">
        <f>'Audit Report'!Q749</f>
        <v>0</v>
      </c>
    </row>
    <row r="750" spans="4:19">
      <c r="D750">
        <f>'Audit Report'!B750</f>
        <v>0</v>
      </c>
      <c r="E750">
        <f>'Audit Report'!C750</f>
        <v>0</v>
      </c>
      <c r="I750">
        <f>'Audit Report'!D750</f>
        <v>0</v>
      </c>
      <c r="J750" t="str">
        <f>_xlfn.TEXTJOIN(" ",TRUE,'Audit Report'!G750,'Audit Report'!H750)</f>
        <v/>
      </c>
      <c r="L750" t="str">
        <f>_xlfn.TEXTJOIN(", ", TRUE, 'Audit Report'!K750,'Audit Report'!L750,'Audit Report'!M750)</f>
        <v/>
      </c>
      <c r="M750">
        <f>'Audit Report'!O750</f>
        <v>0</v>
      </c>
      <c r="N750" t="str" cm="1">
        <f t="array" ref="N750">IF(M750="","",
_xlfn.TEXTJOIN(", ",TRUE,
    _xlfn.MAP(_xlfn.TEXTSPLIT(M750,","),_xlfn.LAMBDA(_xlpm.x,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0">
        <f>'Audit Report'!F750</f>
        <v>0</v>
      </c>
      <c r="S750">
        <f>'Audit Report'!Q750</f>
        <v>0</v>
      </c>
    </row>
    <row r="751" spans="4:19">
      <c r="D751">
        <f>'Audit Report'!B751</f>
        <v>0</v>
      </c>
      <c r="E751">
        <f>'Audit Report'!C751</f>
        <v>0</v>
      </c>
      <c r="I751">
        <f>'Audit Report'!D751</f>
        <v>0</v>
      </c>
      <c r="J751" t="str">
        <f>_xlfn.TEXTJOIN(" ",TRUE,'Audit Report'!G751,'Audit Report'!H751)</f>
        <v/>
      </c>
      <c r="L751" t="str">
        <f>_xlfn.TEXTJOIN(", ", TRUE, 'Audit Report'!K751,'Audit Report'!L751,'Audit Report'!M751)</f>
        <v/>
      </c>
      <c r="M751">
        <f>'Audit Report'!O751</f>
        <v>0</v>
      </c>
      <c r="N751" t="str" cm="1">
        <f t="array" ref="N751">IF(M751="","",
_xlfn.TEXTJOIN(", ",TRUE,
    _xlfn.MAP(_xlfn.TEXTSPLIT(M751,","),_xlfn.LAMBDA(_xlpm.x,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1">
        <f>'Audit Report'!F751</f>
        <v>0</v>
      </c>
      <c r="S751">
        <f>'Audit Report'!Q751</f>
        <v>0</v>
      </c>
    </row>
    <row r="752" spans="4:19">
      <c r="D752">
        <f>'Audit Report'!B752</f>
        <v>0</v>
      </c>
      <c r="E752">
        <f>'Audit Report'!C752</f>
        <v>0</v>
      </c>
      <c r="I752">
        <f>'Audit Report'!D752</f>
        <v>0</v>
      </c>
      <c r="J752" t="str">
        <f>_xlfn.TEXTJOIN(" ",TRUE,'Audit Report'!G752,'Audit Report'!H752)</f>
        <v/>
      </c>
      <c r="L752" t="str">
        <f>_xlfn.TEXTJOIN(", ", TRUE, 'Audit Report'!K752,'Audit Report'!L752,'Audit Report'!M752)</f>
        <v/>
      </c>
      <c r="M752">
        <f>'Audit Report'!O752</f>
        <v>0</v>
      </c>
      <c r="N752" t="str" cm="1">
        <f t="array" ref="N752">IF(M752="","",
_xlfn.TEXTJOIN(", ",TRUE,
    _xlfn.MAP(_xlfn.TEXTSPLIT(M752,","),_xlfn.LAMBDA(_xlpm.x,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2">
        <f>'Audit Report'!F752</f>
        <v>0</v>
      </c>
      <c r="S752">
        <f>'Audit Report'!Q752</f>
        <v>0</v>
      </c>
    </row>
    <row r="753" spans="4:19">
      <c r="D753">
        <f>'Audit Report'!B753</f>
        <v>0</v>
      </c>
      <c r="E753">
        <f>'Audit Report'!C753</f>
        <v>0</v>
      </c>
      <c r="I753">
        <f>'Audit Report'!D753</f>
        <v>0</v>
      </c>
      <c r="J753" t="str">
        <f>_xlfn.TEXTJOIN(" ",TRUE,'Audit Report'!G753,'Audit Report'!H753)</f>
        <v/>
      </c>
      <c r="L753" t="str">
        <f>_xlfn.TEXTJOIN(", ", TRUE, 'Audit Report'!K753,'Audit Report'!L753,'Audit Report'!M753)</f>
        <v/>
      </c>
      <c r="M753">
        <f>'Audit Report'!O753</f>
        <v>0</v>
      </c>
      <c r="N753" t="str" cm="1">
        <f t="array" ref="N753">IF(M753="","",
_xlfn.TEXTJOIN(", ",TRUE,
    _xlfn.MAP(_xlfn.TEXTSPLIT(M753,","),_xlfn.LAMBDA(_xlpm.x,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3">
        <f>'Audit Report'!F753</f>
        <v>0</v>
      </c>
      <c r="S753">
        <f>'Audit Report'!Q753</f>
        <v>0</v>
      </c>
    </row>
    <row r="754" spans="4:19">
      <c r="D754">
        <f>'Audit Report'!B754</f>
        <v>0</v>
      </c>
      <c r="E754">
        <f>'Audit Report'!C754</f>
        <v>0</v>
      </c>
      <c r="I754">
        <f>'Audit Report'!D754</f>
        <v>0</v>
      </c>
      <c r="J754" t="str">
        <f>_xlfn.TEXTJOIN(" ",TRUE,'Audit Report'!G754,'Audit Report'!H754)</f>
        <v/>
      </c>
      <c r="L754" t="str">
        <f>_xlfn.TEXTJOIN(", ", TRUE, 'Audit Report'!K754,'Audit Report'!L754,'Audit Report'!M754)</f>
        <v/>
      </c>
      <c r="M754">
        <f>'Audit Report'!O754</f>
        <v>0</v>
      </c>
      <c r="N754" t="str" cm="1">
        <f t="array" ref="N754">IF(M754="","",
_xlfn.TEXTJOIN(", ",TRUE,
    _xlfn.MAP(_xlfn.TEXTSPLIT(M754,","),_xlfn.LAMBDA(_xlpm.x,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4">
        <f>'Audit Report'!F754</f>
        <v>0</v>
      </c>
      <c r="S754">
        <f>'Audit Report'!Q754</f>
        <v>0</v>
      </c>
    </row>
    <row r="755" spans="4:19">
      <c r="D755">
        <f>'Audit Report'!B755</f>
        <v>0</v>
      </c>
      <c r="E755">
        <f>'Audit Report'!C755</f>
        <v>0</v>
      </c>
      <c r="I755">
        <f>'Audit Report'!D755</f>
        <v>0</v>
      </c>
      <c r="J755" t="str">
        <f>_xlfn.TEXTJOIN(" ",TRUE,'Audit Report'!G755,'Audit Report'!H755)</f>
        <v/>
      </c>
      <c r="L755" t="str">
        <f>_xlfn.TEXTJOIN(", ", TRUE, 'Audit Report'!K755,'Audit Report'!L755,'Audit Report'!M755)</f>
        <v/>
      </c>
      <c r="M755">
        <f>'Audit Report'!O755</f>
        <v>0</v>
      </c>
      <c r="N755" t="str" cm="1">
        <f t="array" ref="N755">IF(M755="","",
_xlfn.TEXTJOIN(", ",TRUE,
    _xlfn.MAP(_xlfn.TEXTSPLIT(M755,","),_xlfn.LAMBDA(_xlpm.x,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5">
        <f>'Audit Report'!F755</f>
        <v>0</v>
      </c>
      <c r="S755">
        <f>'Audit Report'!Q755</f>
        <v>0</v>
      </c>
    </row>
    <row r="756" spans="4:19">
      <c r="D756">
        <f>'Audit Report'!B756</f>
        <v>0</v>
      </c>
      <c r="E756">
        <f>'Audit Report'!C756</f>
        <v>0</v>
      </c>
      <c r="I756">
        <f>'Audit Report'!D756</f>
        <v>0</v>
      </c>
      <c r="J756" t="str">
        <f>_xlfn.TEXTJOIN(" ",TRUE,'Audit Report'!G756,'Audit Report'!H756)</f>
        <v/>
      </c>
      <c r="L756" t="str">
        <f>_xlfn.TEXTJOIN(", ", TRUE, 'Audit Report'!K756,'Audit Report'!L756,'Audit Report'!M756)</f>
        <v/>
      </c>
      <c r="M756">
        <f>'Audit Report'!O756</f>
        <v>0</v>
      </c>
      <c r="N756" t="str" cm="1">
        <f t="array" ref="N756">IF(M756="","",
_xlfn.TEXTJOIN(", ",TRUE,
    _xlfn.MAP(_xlfn.TEXTSPLIT(M756,","),_xlfn.LAMBDA(_xlpm.x,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6">
        <f>'Audit Report'!F756</f>
        <v>0</v>
      </c>
      <c r="S756">
        <f>'Audit Report'!Q756</f>
        <v>0</v>
      </c>
    </row>
    <row r="757" spans="4:19">
      <c r="D757">
        <f>'Audit Report'!B757</f>
        <v>0</v>
      </c>
      <c r="E757">
        <f>'Audit Report'!C757</f>
        <v>0</v>
      </c>
      <c r="I757">
        <f>'Audit Report'!D757</f>
        <v>0</v>
      </c>
      <c r="J757" t="str">
        <f>_xlfn.TEXTJOIN(" ",TRUE,'Audit Report'!G757,'Audit Report'!H757)</f>
        <v/>
      </c>
      <c r="L757" t="str">
        <f>_xlfn.TEXTJOIN(", ", TRUE, 'Audit Report'!K757,'Audit Report'!L757,'Audit Report'!M757)</f>
        <v/>
      </c>
      <c r="M757">
        <f>'Audit Report'!O757</f>
        <v>0</v>
      </c>
      <c r="N757" t="str" cm="1">
        <f t="array" ref="N757">IF(M757="","",
_xlfn.TEXTJOIN(", ",TRUE,
    _xlfn.MAP(_xlfn.TEXTSPLIT(M757,","),_xlfn.LAMBDA(_xlpm.x,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7">
        <f>'Audit Report'!F757</f>
        <v>0</v>
      </c>
      <c r="S757">
        <f>'Audit Report'!Q757</f>
        <v>0</v>
      </c>
    </row>
    <row r="758" spans="4:19">
      <c r="D758">
        <f>'Audit Report'!B758</f>
        <v>0</v>
      </c>
      <c r="E758">
        <f>'Audit Report'!C758</f>
        <v>0</v>
      </c>
      <c r="I758">
        <f>'Audit Report'!D758</f>
        <v>0</v>
      </c>
      <c r="J758" t="str">
        <f>_xlfn.TEXTJOIN(" ",TRUE,'Audit Report'!G758,'Audit Report'!H758)</f>
        <v/>
      </c>
      <c r="L758" t="str">
        <f>_xlfn.TEXTJOIN(", ", TRUE, 'Audit Report'!K758,'Audit Report'!L758,'Audit Report'!M758)</f>
        <v/>
      </c>
      <c r="M758">
        <f>'Audit Report'!O758</f>
        <v>0</v>
      </c>
      <c r="N758" t="str" cm="1">
        <f t="array" ref="N758">IF(M758="","",
_xlfn.TEXTJOIN(", ",TRUE,
    _xlfn.MAP(_xlfn.TEXTSPLIT(M758,","),_xlfn.LAMBDA(_xlpm.x,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8">
        <f>'Audit Report'!F758</f>
        <v>0</v>
      </c>
      <c r="S758">
        <f>'Audit Report'!Q758</f>
        <v>0</v>
      </c>
    </row>
    <row r="759" spans="4:19">
      <c r="D759">
        <f>'Audit Report'!B759</f>
        <v>0</v>
      </c>
      <c r="E759">
        <f>'Audit Report'!C759</f>
        <v>0</v>
      </c>
      <c r="I759">
        <f>'Audit Report'!D759</f>
        <v>0</v>
      </c>
      <c r="J759" t="str">
        <f>_xlfn.TEXTJOIN(" ",TRUE,'Audit Report'!G759,'Audit Report'!H759)</f>
        <v/>
      </c>
      <c r="L759" t="str">
        <f>_xlfn.TEXTJOIN(", ", TRUE, 'Audit Report'!K759,'Audit Report'!L759,'Audit Report'!M759)</f>
        <v/>
      </c>
      <c r="M759">
        <f>'Audit Report'!O759</f>
        <v>0</v>
      </c>
      <c r="N759" t="str" cm="1">
        <f t="array" ref="N759">IF(M759="","",
_xlfn.TEXTJOIN(", ",TRUE,
    _xlfn.MAP(_xlfn.TEXTSPLIT(M759,","),_xlfn.LAMBDA(_xlpm.x,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9">
        <f>'Audit Report'!F759</f>
        <v>0</v>
      </c>
      <c r="S759">
        <f>'Audit Report'!Q759</f>
        <v>0</v>
      </c>
    </row>
    <row r="760" spans="4:19">
      <c r="D760">
        <f>'Audit Report'!B760</f>
        <v>0</v>
      </c>
      <c r="E760">
        <f>'Audit Report'!C760</f>
        <v>0</v>
      </c>
      <c r="I760">
        <f>'Audit Report'!D760</f>
        <v>0</v>
      </c>
      <c r="J760" t="str">
        <f>_xlfn.TEXTJOIN(" ",TRUE,'Audit Report'!G760,'Audit Report'!H760)</f>
        <v/>
      </c>
      <c r="L760" t="str">
        <f>_xlfn.TEXTJOIN(", ", TRUE, 'Audit Report'!K760,'Audit Report'!L760,'Audit Report'!M760)</f>
        <v/>
      </c>
      <c r="M760">
        <f>'Audit Report'!O760</f>
        <v>0</v>
      </c>
      <c r="N760" t="str" cm="1">
        <f t="array" ref="N760">IF(M760="","",
_xlfn.TEXTJOIN(", ",TRUE,
    _xlfn.MAP(_xlfn.TEXTSPLIT(M760,","),_xlfn.LAMBDA(_xlpm.x,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0">
        <f>'Audit Report'!F760</f>
        <v>0</v>
      </c>
      <c r="S760">
        <f>'Audit Report'!Q760</f>
        <v>0</v>
      </c>
    </row>
    <row r="761" spans="4:19">
      <c r="D761">
        <f>'Audit Report'!B761</f>
        <v>0</v>
      </c>
      <c r="E761">
        <f>'Audit Report'!C761</f>
        <v>0</v>
      </c>
      <c r="I761">
        <f>'Audit Report'!D761</f>
        <v>0</v>
      </c>
      <c r="J761" t="str">
        <f>_xlfn.TEXTJOIN(" ",TRUE,'Audit Report'!G761,'Audit Report'!H761)</f>
        <v/>
      </c>
      <c r="L761" t="str">
        <f>_xlfn.TEXTJOIN(", ", TRUE, 'Audit Report'!K761,'Audit Report'!L761,'Audit Report'!M761)</f>
        <v/>
      </c>
      <c r="M761">
        <f>'Audit Report'!O761</f>
        <v>0</v>
      </c>
      <c r="N761" t="str" cm="1">
        <f t="array" ref="N761">IF(M761="","",
_xlfn.TEXTJOIN(", ",TRUE,
    _xlfn.MAP(_xlfn.TEXTSPLIT(M761,","),_xlfn.LAMBDA(_xlpm.x,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1">
        <f>'Audit Report'!F761</f>
        <v>0</v>
      </c>
      <c r="S761">
        <f>'Audit Report'!Q761</f>
        <v>0</v>
      </c>
    </row>
    <row r="762" spans="4:19">
      <c r="D762">
        <f>'Audit Report'!B762</f>
        <v>0</v>
      </c>
      <c r="E762">
        <f>'Audit Report'!C762</f>
        <v>0</v>
      </c>
      <c r="I762">
        <f>'Audit Report'!D762</f>
        <v>0</v>
      </c>
      <c r="J762" t="str">
        <f>_xlfn.TEXTJOIN(" ",TRUE,'Audit Report'!G762,'Audit Report'!H762)</f>
        <v/>
      </c>
      <c r="L762" t="str">
        <f>_xlfn.TEXTJOIN(", ", TRUE, 'Audit Report'!K762,'Audit Report'!L762,'Audit Report'!M762)</f>
        <v/>
      </c>
      <c r="M762">
        <f>'Audit Report'!O762</f>
        <v>0</v>
      </c>
      <c r="N762" t="str" cm="1">
        <f t="array" ref="N762">IF(M762="","",
_xlfn.TEXTJOIN(", ",TRUE,
    _xlfn.MAP(_xlfn.TEXTSPLIT(M762,","),_xlfn.LAMBDA(_xlpm.x,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2">
        <f>'Audit Report'!F762</f>
        <v>0</v>
      </c>
      <c r="S762">
        <f>'Audit Report'!Q762</f>
        <v>0</v>
      </c>
    </row>
    <row r="763" spans="4:19">
      <c r="D763">
        <f>'Audit Report'!B763</f>
        <v>0</v>
      </c>
      <c r="E763">
        <f>'Audit Report'!C763</f>
        <v>0</v>
      </c>
      <c r="I763">
        <f>'Audit Report'!D763</f>
        <v>0</v>
      </c>
      <c r="J763" t="str">
        <f>_xlfn.TEXTJOIN(" ",TRUE,'Audit Report'!G763,'Audit Report'!H763)</f>
        <v/>
      </c>
      <c r="L763" t="str">
        <f>_xlfn.TEXTJOIN(", ", TRUE, 'Audit Report'!K763,'Audit Report'!L763,'Audit Report'!M763)</f>
        <v/>
      </c>
      <c r="M763">
        <f>'Audit Report'!O763</f>
        <v>0</v>
      </c>
      <c r="N763" t="str" cm="1">
        <f t="array" ref="N763">IF(M763="","",
_xlfn.TEXTJOIN(", ",TRUE,
    _xlfn.MAP(_xlfn.TEXTSPLIT(M763,","),_xlfn.LAMBDA(_xlpm.x,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3">
        <f>'Audit Report'!F763</f>
        <v>0</v>
      </c>
      <c r="S763">
        <f>'Audit Report'!Q763</f>
        <v>0</v>
      </c>
    </row>
    <row r="764" spans="4:19">
      <c r="D764">
        <f>'Audit Report'!B764</f>
        <v>0</v>
      </c>
      <c r="E764">
        <f>'Audit Report'!C764</f>
        <v>0</v>
      </c>
      <c r="I764">
        <f>'Audit Report'!D764</f>
        <v>0</v>
      </c>
      <c r="J764" t="str">
        <f>_xlfn.TEXTJOIN(" ",TRUE,'Audit Report'!G764,'Audit Report'!H764)</f>
        <v/>
      </c>
      <c r="L764" t="str">
        <f>_xlfn.TEXTJOIN(", ", TRUE, 'Audit Report'!K764,'Audit Report'!L764,'Audit Report'!M764)</f>
        <v/>
      </c>
      <c r="M764">
        <f>'Audit Report'!O764</f>
        <v>0</v>
      </c>
      <c r="N764" t="str" cm="1">
        <f t="array" ref="N764">IF(M764="","",
_xlfn.TEXTJOIN(", ",TRUE,
    _xlfn.MAP(_xlfn.TEXTSPLIT(M764,","),_xlfn.LAMBDA(_xlpm.x,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4">
        <f>'Audit Report'!F764</f>
        <v>0</v>
      </c>
      <c r="S764">
        <f>'Audit Report'!Q764</f>
        <v>0</v>
      </c>
    </row>
    <row r="765" spans="4:19">
      <c r="D765">
        <f>'Audit Report'!B765</f>
        <v>0</v>
      </c>
      <c r="E765">
        <f>'Audit Report'!C765</f>
        <v>0</v>
      </c>
      <c r="I765">
        <f>'Audit Report'!D765</f>
        <v>0</v>
      </c>
      <c r="J765" t="str">
        <f>_xlfn.TEXTJOIN(" ",TRUE,'Audit Report'!G765,'Audit Report'!H765)</f>
        <v/>
      </c>
      <c r="L765" t="str">
        <f>_xlfn.TEXTJOIN(", ", TRUE, 'Audit Report'!K765,'Audit Report'!L765,'Audit Report'!M765)</f>
        <v/>
      </c>
      <c r="M765">
        <f>'Audit Report'!O765</f>
        <v>0</v>
      </c>
      <c r="N765" t="str" cm="1">
        <f t="array" ref="N765">IF(M765="","",
_xlfn.TEXTJOIN(", ",TRUE,
    _xlfn.MAP(_xlfn.TEXTSPLIT(M765,","),_xlfn.LAMBDA(_xlpm.x,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5">
        <f>'Audit Report'!F765</f>
        <v>0</v>
      </c>
      <c r="S765">
        <f>'Audit Report'!Q765</f>
        <v>0</v>
      </c>
    </row>
    <row r="766" spans="4:19">
      <c r="D766">
        <f>'Audit Report'!B766</f>
        <v>0</v>
      </c>
      <c r="E766">
        <f>'Audit Report'!C766</f>
        <v>0</v>
      </c>
      <c r="I766">
        <f>'Audit Report'!D766</f>
        <v>0</v>
      </c>
      <c r="J766" t="str">
        <f>_xlfn.TEXTJOIN(" ",TRUE,'Audit Report'!G766,'Audit Report'!H766)</f>
        <v/>
      </c>
      <c r="L766" t="str">
        <f>_xlfn.TEXTJOIN(", ", TRUE, 'Audit Report'!K766,'Audit Report'!L766,'Audit Report'!M766)</f>
        <v/>
      </c>
      <c r="M766">
        <f>'Audit Report'!O766</f>
        <v>0</v>
      </c>
      <c r="N766" t="str" cm="1">
        <f t="array" ref="N766">IF(M766="","",
_xlfn.TEXTJOIN(", ",TRUE,
    _xlfn.MAP(_xlfn.TEXTSPLIT(M766,","),_xlfn.LAMBDA(_xlpm.x,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6">
        <f>'Audit Report'!F766</f>
        <v>0</v>
      </c>
      <c r="S766">
        <f>'Audit Report'!Q766</f>
        <v>0</v>
      </c>
    </row>
    <row r="767" spans="4:19">
      <c r="D767">
        <f>'Audit Report'!B767</f>
        <v>0</v>
      </c>
      <c r="E767">
        <f>'Audit Report'!C767</f>
        <v>0</v>
      </c>
      <c r="I767">
        <f>'Audit Report'!D767</f>
        <v>0</v>
      </c>
      <c r="J767" t="str">
        <f>_xlfn.TEXTJOIN(" ",TRUE,'Audit Report'!G767,'Audit Report'!H767)</f>
        <v/>
      </c>
      <c r="L767" t="str">
        <f>_xlfn.TEXTJOIN(", ", TRUE, 'Audit Report'!K767,'Audit Report'!L767,'Audit Report'!M767)</f>
        <v/>
      </c>
      <c r="M767">
        <f>'Audit Report'!O767</f>
        <v>0</v>
      </c>
      <c r="N767" t="str" cm="1">
        <f t="array" ref="N767">IF(M767="","",
_xlfn.TEXTJOIN(", ",TRUE,
    _xlfn.MAP(_xlfn.TEXTSPLIT(M767,","),_xlfn.LAMBDA(_xlpm.x,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7">
        <f>'Audit Report'!F767</f>
        <v>0</v>
      </c>
      <c r="S767">
        <f>'Audit Report'!Q767</f>
        <v>0</v>
      </c>
    </row>
    <row r="768" spans="4:19">
      <c r="D768">
        <f>'Audit Report'!B768</f>
        <v>0</v>
      </c>
      <c r="E768">
        <f>'Audit Report'!C768</f>
        <v>0</v>
      </c>
      <c r="I768">
        <f>'Audit Report'!D768</f>
        <v>0</v>
      </c>
      <c r="J768" t="str">
        <f>_xlfn.TEXTJOIN(" ",TRUE,'Audit Report'!G768,'Audit Report'!H768)</f>
        <v/>
      </c>
      <c r="L768" t="str">
        <f>_xlfn.TEXTJOIN(", ", TRUE, 'Audit Report'!K768,'Audit Report'!L768,'Audit Report'!M768)</f>
        <v/>
      </c>
      <c r="M768">
        <f>'Audit Report'!O768</f>
        <v>0</v>
      </c>
      <c r="N768" t="str" cm="1">
        <f t="array" ref="N768">IF(M768="","",
_xlfn.TEXTJOIN(", ",TRUE,
    _xlfn.MAP(_xlfn.TEXTSPLIT(M768,","),_xlfn.LAMBDA(_xlpm.x,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8">
        <f>'Audit Report'!F768</f>
        <v>0</v>
      </c>
      <c r="S768">
        <f>'Audit Report'!Q768</f>
        <v>0</v>
      </c>
    </row>
    <row r="769" spans="4:19">
      <c r="D769">
        <f>'Audit Report'!B769</f>
        <v>0</v>
      </c>
      <c r="E769">
        <f>'Audit Report'!C769</f>
        <v>0</v>
      </c>
      <c r="I769">
        <f>'Audit Report'!D769</f>
        <v>0</v>
      </c>
      <c r="J769" t="str">
        <f>_xlfn.TEXTJOIN(" ",TRUE,'Audit Report'!G769,'Audit Report'!H769)</f>
        <v/>
      </c>
      <c r="L769" t="str">
        <f>_xlfn.TEXTJOIN(", ", TRUE, 'Audit Report'!K769,'Audit Report'!L769,'Audit Report'!M769)</f>
        <v/>
      </c>
      <c r="M769">
        <f>'Audit Report'!O769</f>
        <v>0</v>
      </c>
      <c r="N769" t="str" cm="1">
        <f t="array" ref="N769">IF(M769="","",
_xlfn.TEXTJOIN(", ",TRUE,
    _xlfn.MAP(_xlfn.TEXTSPLIT(M769,","),_xlfn.LAMBDA(_xlpm.x,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9">
        <f>'Audit Report'!F769</f>
        <v>0</v>
      </c>
      <c r="S769">
        <f>'Audit Report'!Q769</f>
        <v>0</v>
      </c>
    </row>
    <row r="770" spans="4:19">
      <c r="D770">
        <f>'Audit Report'!B770</f>
        <v>0</v>
      </c>
      <c r="E770">
        <f>'Audit Report'!C770</f>
        <v>0</v>
      </c>
      <c r="I770">
        <f>'Audit Report'!D770</f>
        <v>0</v>
      </c>
      <c r="J770" t="str">
        <f>_xlfn.TEXTJOIN(" ",TRUE,'Audit Report'!G770,'Audit Report'!H770)</f>
        <v/>
      </c>
      <c r="L770" t="str">
        <f>_xlfn.TEXTJOIN(", ", TRUE, 'Audit Report'!K770,'Audit Report'!L770,'Audit Report'!M770)</f>
        <v/>
      </c>
      <c r="M770">
        <f>'Audit Report'!O770</f>
        <v>0</v>
      </c>
      <c r="N770" t="str" cm="1">
        <f t="array" ref="N770">IF(M770="","",
_xlfn.TEXTJOIN(", ",TRUE,
    _xlfn.MAP(_xlfn.TEXTSPLIT(M770,","),_xlfn.LAMBDA(_xlpm.x,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0">
        <f>'Audit Report'!F770</f>
        <v>0</v>
      </c>
      <c r="S770">
        <f>'Audit Report'!Q770</f>
        <v>0</v>
      </c>
    </row>
    <row r="771" spans="4:19">
      <c r="D771">
        <f>'Audit Report'!B771</f>
        <v>0</v>
      </c>
      <c r="E771">
        <f>'Audit Report'!C771</f>
        <v>0</v>
      </c>
      <c r="I771">
        <f>'Audit Report'!D771</f>
        <v>0</v>
      </c>
      <c r="J771" t="str">
        <f>_xlfn.TEXTJOIN(" ",TRUE,'Audit Report'!G771,'Audit Report'!H771)</f>
        <v/>
      </c>
      <c r="L771" t="str">
        <f>_xlfn.TEXTJOIN(", ", TRUE, 'Audit Report'!K771,'Audit Report'!L771,'Audit Report'!M771)</f>
        <v/>
      </c>
      <c r="M771">
        <f>'Audit Report'!O771</f>
        <v>0</v>
      </c>
      <c r="N771" t="str" cm="1">
        <f t="array" ref="N771">IF(M771="","",
_xlfn.TEXTJOIN(", ",TRUE,
    _xlfn.MAP(_xlfn.TEXTSPLIT(M771,","),_xlfn.LAMBDA(_xlpm.x,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1">
        <f>'Audit Report'!F771</f>
        <v>0</v>
      </c>
      <c r="S771">
        <f>'Audit Report'!Q771</f>
        <v>0</v>
      </c>
    </row>
    <row r="772" spans="4:19">
      <c r="D772">
        <f>'Audit Report'!B772</f>
        <v>0</v>
      </c>
      <c r="E772">
        <f>'Audit Report'!C772</f>
        <v>0</v>
      </c>
      <c r="I772">
        <f>'Audit Report'!D772</f>
        <v>0</v>
      </c>
      <c r="J772" t="str">
        <f>_xlfn.TEXTJOIN(" ",TRUE,'Audit Report'!G772,'Audit Report'!H772)</f>
        <v/>
      </c>
      <c r="L772" t="str">
        <f>_xlfn.TEXTJOIN(", ", TRUE, 'Audit Report'!K772,'Audit Report'!L772,'Audit Report'!M772)</f>
        <v/>
      </c>
      <c r="M772">
        <f>'Audit Report'!O772</f>
        <v>0</v>
      </c>
      <c r="N772" t="str" cm="1">
        <f t="array" ref="N772">IF(M772="","",
_xlfn.TEXTJOIN(", ",TRUE,
    _xlfn.MAP(_xlfn.TEXTSPLIT(M772,","),_xlfn.LAMBDA(_xlpm.x,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2">
        <f>'Audit Report'!F772</f>
        <v>0</v>
      </c>
      <c r="S772">
        <f>'Audit Report'!Q772</f>
        <v>0</v>
      </c>
    </row>
    <row r="773" spans="4:19">
      <c r="D773">
        <f>'Audit Report'!B773</f>
        <v>0</v>
      </c>
      <c r="E773">
        <f>'Audit Report'!C773</f>
        <v>0</v>
      </c>
      <c r="I773">
        <f>'Audit Report'!D773</f>
        <v>0</v>
      </c>
      <c r="J773" t="str">
        <f>_xlfn.TEXTJOIN(" ",TRUE,'Audit Report'!G773,'Audit Report'!H773)</f>
        <v/>
      </c>
      <c r="L773" t="str">
        <f>_xlfn.TEXTJOIN(", ", TRUE, 'Audit Report'!K773,'Audit Report'!L773,'Audit Report'!M773)</f>
        <v/>
      </c>
      <c r="M773">
        <f>'Audit Report'!O773</f>
        <v>0</v>
      </c>
      <c r="N773" t="str" cm="1">
        <f t="array" ref="N773">IF(M773="","",
_xlfn.TEXTJOIN(", ",TRUE,
    _xlfn.MAP(_xlfn.TEXTSPLIT(M773,","),_xlfn.LAMBDA(_xlpm.x,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3">
        <f>'Audit Report'!F773</f>
        <v>0</v>
      </c>
      <c r="S773">
        <f>'Audit Report'!Q773</f>
        <v>0</v>
      </c>
    </row>
    <row r="774" spans="4:19">
      <c r="D774">
        <f>'Audit Report'!B774</f>
        <v>0</v>
      </c>
      <c r="E774">
        <f>'Audit Report'!C774</f>
        <v>0</v>
      </c>
      <c r="I774">
        <f>'Audit Report'!D774</f>
        <v>0</v>
      </c>
      <c r="J774" t="str">
        <f>_xlfn.TEXTJOIN(" ",TRUE,'Audit Report'!G774,'Audit Report'!H774)</f>
        <v/>
      </c>
      <c r="L774" t="str">
        <f>_xlfn.TEXTJOIN(", ", TRUE, 'Audit Report'!K774,'Audit Report'!L774,'Audit Report'!M774)</f>
        <v/>
      </c>
      <c r="M774">
        <f>'Audit Report'!O774</f>
        <v>0</v>
      </c>
      <c r="N774" t="str" cm="1">
        <f t="array" ref="N774">IF(M774="","",
_xlfn.TEXTJOIN(", ",TRUE,
    _xlfn.MAP(_xlfn.TEXTSPLIT(M774,","),_xlfn.LAMBDA(_xlpm.x,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4">
        <f>'Audit Report'!F774</f>
        <v>0</v>
      </c>
      <c r="S774">
        <f>'Audit Report'!Q774</f>
        <v>0</v>
      </c>
    </row>
    <row r="775" spans="4:19">
      <c r="D775">
        <f>'Audit Report'!B775</f>
        <v>0</v>
      </c>
      <c r="E775">
        <f>'Audit Report'!C775</f>
        <v>0</v>
      </c>
      <c r="I775">
        <f>'Audit Report'!D775</f>
        <v>0</v>
      </c>
      <c r="J775" t="str">
        <f>_xlfn.TEXTJOIN(" ",TRUE,'Audit Report'!G775,'Audit Report'!H775)</f>
        <v/>
      </c>
      <c r="L775" t="str">
        <f>_xlfn.TEXTJOIN(", ", TRUE, 'Audit Report'!K775,'Audit Report'!L775,'Audit Report'!M775)</f>
        <v/>
      </c>
      <c r="M775">
        <f>'Audit Report'!O775</f>
        <v>0</v>
      </c>
      <c r="N775" t="str" cm="1">
        <f t="array" ref="N775">IF(M775="","",
_xlfn.TEXTJOIN(", ",TRUE,
    _xlfn.MAP(_xlfn.TEXTSPLIT(M775,","),_xlfn.LAMBDA(_xlpm.x,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5">
        <f>'Audit Report'!F775</f>
        <v>0</v>
      </c>
      <c r="S775">
        <f>'Audit Report'!Q775</f>
        <v>0</v>
      </c>
    </row>
    <row r="776" spans="4:19">
      <c r="D776">
        <f>'Audit Report'!B776</f>
        <v>0</v>
      </c>
      <c r="E776">
        <f>'Audit Report'!C776</f>
        <v>0</v>
      </c>
      <c r="I776">
        <f>'Audit Report'!D776</f>
        <v>0</v>
      </c>
      <c r="J776" t="str">
        <f>_xlfn.TEXTJOIN(" ",TRUE,'Audit Report'!G776,'Audit Report'!H776)</f>
        <v/>
      </c>
      <c r="L776" t="str">
        <f>_xlfn.TEXTJOIN(", ", TRUE, 'Audit Report'!K776,'Audit Report'!L776,'Audit Report'!M776)</f>
        <v/>
      </c>
      <c r="M776">
        <f>'Audit Report'!O776</f>
        <v>0</v>
      </c>
      <c r="N776" t="str" cm="1">
        <f t="array" ref="N776">IF(M776="","",
_xlfn.TEXTJOIN(", ",TRUE,
    _xlfn.MAP(_xlfn.TEXTSPLIT(M776,","),_xlfn.LAMBDA(_xlpm.x,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6">
        <f>'Audit Report'!F776</f>
        <v>0</v>
      </c>
      <c r="S776">
        <f>'Audit Report'!Q776</f>
        <v>0</v>
      </c>
    </row>
    <row r="777" spans="4:19">
      <c r="D777">
        <f>'Audit Report'!B777</f>
        <v>0</v>
      </c>
      <c r="E777">
        <f>'Audit Report'!C777</f>
        <v>0</v>
      </c>
      <c r="I777">
        <f>'Audit Report'!D777</f>
        <v>0</v>
      </c>
      <c r="J777" t="str">
        <f>_xlfn.TEXTJOIN(" ",TRUE,'Audit Report'!G777,'Audit Report'!H777)</f>
        <v/>
      </c>
      <c r="L777" t="str">
        <f>_xlfn.TEXTJOIN(", ", TRUE, 'Audit Report'!K777,'Audit Report'!L777,'Audit Report'!M777)</f>
        <v/>
      </c>
      <c r="M777">
        <f>'Audit Report'!O777</f>
        <v>0</v>
      </c>
      <c r="N777" t="str" cm="1">
        <f t="array" ref="N777">IF(M777="","",
_xlfn.TEXTJOIN(", ",TRUE,
    _xlfn.MAP(_xlfn.TEXTSPLIT(M777,","),_xlfn.LAMBDA(_xlpm.x,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7">
        <f>'Audit Report'!F777</f>
        <v>0</v>
      </c>
      <c r="S777">
        <f>'Audit Report'!Q777</f>
        <v>0</v>
      </c>
    </row>
    <row r="778" spans="4:19">
      <c r="D778">
        <f>'Audit Report'!B778</f>
        <v>0</v>
      </c>
      <c r="E778">
        <f>'Audit Report'!C778</f>
        <v>0</v>
      </c>
      <c r="I778">
        <f>'Audit Report'!D778</f>
        <v>0</v>
      </c>
      <c r="J778" t="str">
        <f>_xlfn.TEXTJOIN(" ",TRUE,'Audit Report'!G778,'Audit Report'!H778)</f>
        <v/>
      </c>
      <c r="L778" t="str">
        <f>_xlfn.TEXTJOIN(", ", TRUE, 'Audit Report'!K778,'Audit Report'!L778,'Audit Report'!M778)</f>
        <v/>
      </c>
      <c r="M778">
        <f>'Audit Report'!O778</f>
        <v>0</v>
      </c>
      <c r="N778" t="str" cm="1">
        <f t="array" ref="N778">IF(M778="","",
_xlfn.TEXTJOIN(", ",TRUE,
    _xlfn.MAP(_xlfn.TEXTSPLIT(M778,","),_xlfn.LAMBDA(_xlpm.x,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8">
        <f>'Audit Report'!F778</f>
        <v>0</v>
      </c>
      <c r="S778">
        <f>'Audit Report'!Q778</f>
        <v>0</v>
      </c>
    </row>
    <row r="779" spans="4:19">
      <c r="D779">
        <f>'Audit Report'!B779</f>
        <v>0</v>
      </c>
      <c r="E779">
        <f>'Audit Report'!C779</f>
        <v>0</v>
      </c>
      <c r="I779">
        <f>'Audit Report'!D779</f>
        <v>0</v>
      </c>
      <c r="J779" t="str">
        <f>_xlfn.TEXTJOIN(" ",TRUE,'Audit Report'!G779,'Audit Report'!H779)</f>
        <v/>
      </c>
      <c r="L779" t="str">
        <f>_xlfn.TEXTJOIN(", ", TRUE, 'Audit Report'!K779,'Audit Report'!L779,'Audit Report'!M779)</f>
        <v/>
      </c>
      <c r="M779">
        <f>'Audit Report'!O779</f>
        <v>0</v>
      </c>
      <c r="N779" t="str" cm="1">
        <f t="array" ref="N779">IF(M779="","",
_xlfn.TEXTJOIN(", ",TRUE,
    _xlfn.MAP(_xlfn.TEXTSPLIT(M779,","),_xlfn.LAMBDA(_xlpm.x,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9">
        <f>'Audit Report'!F779</f>
        <v>0</v>
      </c>
      <c r="S779">
        <f>'Audit Report'!Q779</f>
        <v>0</v>
      </c>
    </row>
    <row r="780" spans="4:19">
      <c r="D780">
        <f>'Audit Report'!B780</f>
        <v>0</v>
      </c>
      <c r="E780">
        <f>'Audit Report'!C780</f>
        <v>0</v>
      </c>
      <c r="I780">
        <f>'Audit Report'!D780</f>
        <v>0</v>
      </c>
      <c r="J780" t="str">
        <f>_xlfn.TEXTJOIN(" ",TRUE,'Audit Report'!G780,'Audit Report'!H780)</f>
        <v/>
      </c>
      <c r="L780" t="str">
        <f>_xlfn.TEXTJOIN(", ", TRUE, 'Audit Report'!K780,'Audit Report'!L780,'Audit Report'!M780)</f>
        <v/>
      </c>
      <c r="M780">
        <f>'Audit Report'!O780</f>
        <v>0</v>
      </c>
      <c r="N780" t="str" cm="1">
        <f t="array" ref="N780">IF(M780="","",
_xlfn.TEXTJOIN(", ",TRUE,
    _xlfn.MAP(_xlfn.TEXTSPLIT(M780,","),_xlfn.LAMBDA(_xlpm.x,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0">
        <f>'Audit Report'!F780</f>
        <v>0</v>
      </c>
      <c r="S780">
        <f>'Audit Report'!Q780</f>
        <v>0</v>
      </c>
    </row>
    <row r="781" spans="4:19">
      <c r="D781">
        <f>'Audit Report'!B781</f>
        <v>0</v>
      </c>
      <c r="E781">
        <f>'Audit Report'!C781</f>
        <v>0</v>
      </c>
      <c r="I781">
        <f>'Audit Report'!D781</f>
        <v>0</v>
      </c>
      <c r="J781" t="str">
        <f>_xlfn.TEXTJOIN(" ",TRUE,'Audit Report'!G781,'Audit Report'!H781)</f>
        <v/>
      </c>
      <c r="L781" t="str">
        <f>_xlfn.TEXTJOIN(", ", TRUE, 'Audit Report'!K781,'Audit Report'!L781,'Audit Report'!M781)</f>
        <v/>
      </c>
      <c r="M781">
        <f>'Audit Report'!O781</f>
        <v>0</v>
      </c>
      <c r="N781" t="str" cm="1">
        <f t="array" ref="N781">IF(M781="","",
_xlfn.TEXTJOIN(", ",TRUE,
    _xlfn.MAP(_xlfn.TEXTSPLIT(M781,","),_xlfn.LAMBDA(_xlpm.x,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1">
        <f>'Audit Report'!F781</f>
        <v>0</v>
      </c>
      <c r="S781">
        <f>'Audit Report'!Q781</f>
        <v>0</v>
      </c>
    </row>
    <row r="782" spans="4:19">
      <c r="D782">
        <f>'Audit Report'!B782</f>
        <v>0</v>
      </c>
      <c r="E782">
        <f>'Audit Report'!C782</f>
        <v>0</v>
      </c>
      <c r="I782">
        <f>'Audit Report'!D782</f>
        <v>0</v>
      </c>
      <c r="J782" t="str">
        <f>_xlfn.TEXTJOIN(" ",TRUE,'Audit Report'!G782,'Audit Report'!H782)</f>
        <v/>
      </c>
      <c r="L782" t="str">
        <f>_xlfn.TEXTJOIN(", ", TRUE, 'Audit Report'!K782,'Audit Report'!L782,'Audit Report'!M782)</f>
        <v/>
      </c>
      <c r="M782">
        <f>'Audit Report'!O782</f>
        <v>0</v>
      </c>
      <c r="N782" t="str" cm="1">
        <f t="array" ref="N782">IF(M782="","",
_xlfn.TEXTJOIN(", ",TRUE,
    _xlfn.MAP(_xlfn.TEXTSPLIT(M782,","),_xlfn.LAMBDA(_xlpm.x,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2">
        <f>'Audit Report'!F782</f>
        <v>0</v>
      </c>
      <c r="S782">
        <f>'Audit Report'!Q782</f>
        <v>0</v>
      </c>
    </row>
    <row r="783" spans="4:19">
      <c r="D783">
        <f>'Audit Report'!B783</f>
        <v>0</v>
      </c>
      <c r="E783">
        <f>'Audit Report'!C783</f>
        <v>0</v>
      </c>
      <c r="I783">
        <f>'Audit Report'!D783</f>
        <v>0</v>
      </c>
      <c r="J783" t="str">
        <f>_xlfn.TEXTJOIN(" ",TRUE,'Audit Report'!G783,'Audit Report'!H783)</f>
        <v/>
      </c>
      <c r="L783" t="str">
        <f>_xlfn.TEXTJOIN(", ", TRUE, 'Audit Report'!K783,'Audit Report'!L783,'Audit Report'!M783)</f>
        <v/>
      </c>
      <c r="M783">
        <f>'Audit Report'!O783</f>
        <v>0</v>
      </c>
      <c r="N783" t="str" cm="1">
        <f t="array" ref="N783">IF(M783="","",
_xlfn.TEXTJOIN(", ",TRUE,
    _xlfn.MAP(_xlfn.TEXTSPLIT(M783,","),_xlfn.LAMBDA(_xlpm.x,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3">
        <f>'Audit Report'!F783</f>
        <v>0</v>
      </c>
      <c r="S783">
        <f>'Audit Report'!Q783</f>
        <v>0</v>
      </c>
    </row>
    <row r="784" spans="4:19">
      <c r="D784">
        <f>'Audit Report'!B784</f>
        <v>0</v>
      </c>
      <c r="E784">
        <f>'Audit Report'!C784</f>
        <v>0</v>
      </c>
      <c r="I784">
        <f>'Audit Report'!D784</f>
        <v>0</v>
      </c>
      <c r="J784" t="str">
        <f>_xlfn.TEXTJOIN(" ",TRUE,'Audit Report'!G784,'Audit Report'!H784)</f>
        <v/>
      </c>
      <c r="L784" t="str">
        <f>_xlfn.TEXTJOIN(", ", TRUE, 'Audit Report'!K784,'Audit Report'!L784,'Audit Report'!M784)</f>
        <v/>
      </c>
      <c r="M784">
        <f>'Audit Report'!O784</f>
        <v>0</v>
      </c>
      <c r="N784" t="str" cm="1">
        <f t="array" ref="N784">IF(M784="","",
_xlfn.TEXTJOIN(", ",TRUE,
    _xlfn.MAP(_xlfn.TEXTSPLIT(M784,","),_xlfn.LAMBDA(_xlpm.x,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4">
        <f>'Audit Report'!F784</f>
        <v>0</v>
      </c>
      <c r="S784">
        <f>'Audit Report'!Q784</f>
        <v>0</v>
      </c>
    </row>
    <row r="785" spans="4:19">
      <c r="D785">
        <f>'Audit Report'!B785</f>
        <v>0</v>
      </c>
      <c r="E785">
        <f>'Audit Report'!C785</f>
        <v>0</v>
      </c>
      <c r="I785">
        <f>'Audit Report'!D785</f>
        <v>0</v>
      </c>
      <c r="J785" t="str">
        <f>_xlfn.TEXTJOIN(" ",TRUE,'Audit Report'!G785,'Audit Report'!H785)</f>
        <v/>
      </c>
      <c r="L785" t="str">
        <f>_xlfn.TEXTJOIN(", ", TRUE, 'Audit Report'!K785,'Audit Report'!L785,'Audit Report'!M785)</f>
        <v/>
      </c>
      <c r="M785">
        <f>'Audit Report'!O785</f>
        <v>0</v>
      </c>
      <c r="N785" t="str" cm="1">
        <f t="array" ref="N785">IF(M785="","",
_xlfn.TEXTJOIN(", ",TRUE,
    _xlfn.MAP(_xlfn.TEXTSPLIT(M785,","),_xlfn.LAMBDA(_xlpm.x,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5">
        <f>'Audit Report'!F785</f>
        <v>0</v>
      </c>
      <c r="S785">
        <f>'Audit Report'!Q785</f>
        <v>0</v>
      </c>
    </row>
    <row r="786" spans="4:19">
      <c r="D786">
        <f>'Audit Report'!B786</f>
        <v>0</v>
      </c>
      <c r="E786">
        <f>'Audit Report'!C786</f>
        <v>0</v>
      </c>
      <c r="I786">
        <f>'Audit Report'!D786</f>
        <v>0</v>
      </c>
      <c r="J786" t="str">
        <f>_xlfn.TEXTJOIN(" ",TRUE,'Audit Report'!G786,'Audit Report'!H786)</f>
        <v/>
      </c>
      <c r="L786" t="str">
        <f>_xlfn.TEXTJOIN(", ", TRUE, 'Audit Report'!K786,'Audit Report'!L786,'Audit Report'!M786)</f>
        <v/>
      </c>
      <c r="M786">
        <f>'Audit Report'!O786</f>
        <v>0</v>
      </c>
      <c r="N786" t="str" cm="1">
        <f t="array" ref="N786">IF(M786="","",
_xlfn.TEXTJOIN(", ",TRUE,
    _xlfn.MAP(_xlfn.TEXTSPLIT(M786,","),_xlfn.LAMBDA(_xlpm.x,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6">
        <f>'Audit Report'!F786</f>
        <v>0</v>
      </c>
      <c r="S786">
        <f>'Audit Report'!Q786</f>
        <v>0</v>
      </c>
    </row>
    <row r="787" spans="4:19">
      <c r="D787">
        <f>'Audit Report'!B787</f>
        <v>0</v>
      </c>
      <c r="E787">
        <f>'Audit Report'!C787</f>
        <v>0</v>
      </c>
      <c r="I787">
        <f>'Audit Report'!D787</f>
        <v>0</v>
      </c>
      <c r="J787" t="str">
        <f>_xlfn.TEXTJOIN(" ",TRUE,'Audit Report'!G787,'Audit Report'!H787)</f>
        <v/>
      </c>
      <c r="L787" t="str">
        <f>_xlfn.TEXTJOIN(", ", TRUE, 'Audit Report'!K787,'Audit Report'!L787,'Audit Report'!M787)</f>
        <v/>
      </c>
      <c r="M787">
        <f>'Audit Report'!O787</f>
        <v>0</v>
      </c>
      <c r="N787" t="str" cm="1">
        <f t="array" ref="N787">IF(M787="","",
_xlfn.TEXTJOIN(", ",TRUE,
    _xlfn.MAP(_xlfn.TEXTSPLIT(M787,","),_xlfn.LAMBDA(_xlpm.x,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7">
        <f>'Audit Report'!F787</f>
        <v>0</v>
      </c>
      <c r="S787">
        <f>'Audit Report'!Q787</f>
        <v>0</v>
      </c>
    </row>
    <row r="788" spans="4:19">
      <c r="D788">
        <f>'Audit Report'!B788</f>
        <v>0</v>
      </c>
      <c r="E788">
        <f>'Audit Report'!C788</f>
        <v>0</v>
      </c>
      <c r="I788">
        <f>'Audit Report'!D788</f>
        <v>0</v>
      </c>
      <c r="J788" t="str">
        <f>_xlfn.TEXTJOIN(" ",TRUE,'Audit Report'!G788,'Audit Report'!H788)</f>
        <v/>
      </c>
      <c r="L788" t="str">
        <f>_xlfn.TEXTJOIN(", ", TRUE, 'Audit Report'!K788,'Audit Report'!L788,'Audit Report'!M788)</f>
        <v/>
      </c>
      <c r="M788">
        <f>'Audit Report'!O788</f>
        <v>0</v>
      </c>
      <c r="N788" t="str" cm="1">
        <f t="array" ref="N788">IF(M788="","",
_xlfn.TEXTJOIN(", ",TRUE,
    _xlfn.MAP(_xlfn.TEXTSPLIT(M788,","),_xlfn.LAMBDA(_xlpm.x,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8">
        <f>'Audit Report'!F788</f>
        <v>0</v>
      </c>
      <c r="S788">
        <f>'Audit Report'!Q788</f>
        <v>0</v>
      </c>
    </row>
    <row r="789" spans="4:19">
      <c r="D789">
        <f>'Audit Report'!B789</f>
        <v>0</v>
      </c>
      <c r="E789">
        <f>'Audit Report'!C789</f>
        <v>0</v>
      </c>
      <c r="I789">
        <f>'Audit Report'!D789</f>
        <v>0</v>
      </c>
      <c r="J789" t="str">
        <f>_xlfn.TEXTJOIN(" ",TRUE,'Audit Report'!G789,'Audit Report'!H789)</f>
        <v/>
      </c>
      <c r="L789" t="str">
        <f>_xlfn.TEXTJOIN(", ", TRUE, 'Audit Report'!K789,'Audit Report'!L789,'Audit Report'!M789)</f>
        <v/>
      </c>
      <c r="M789">
        <f>'Audit Report'!O789</f>
        <v>0</v>
      </c>
      <c r="N789" t="str" cm="1">
        <f t="array" ref="N789">IF(M789="","",
_xlfn.TEXTJOIN(", ",TRUE,
    _xlfn.MAP(_xlfn.TEXTSPLIT(M789,","),_xlfn.LAMBDA(_xlpm.x,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9">
        <f>'Audit Report'!F789</f>
        <v>0</v>
      </c>
      <c r="S789">
        <f>'Audit Report'!Q789</f>
        <v>0</v>
      </c>
    </row>
    <row r="790" spans="4:19">
      <c r="D790">
        <f>'Audit Report'!B790</f>
        <v>0</v>
      </c>
      <c r="E790">
        <f>'Audit Report'!C790</f>
        <v>0</v>
      </c>
      <c r="I790">
        <f>'Audit Report'!D790</f>
        <v>0</v>
      </c>
      <c r="J790" t="str">
        <f>_xlfn.TEXTJOIN(" ",TRUE,'Audit Report'!G790,'Audit Report'!H790)</f>
        <v/>
      </c>
      <c r="L790" t="str">
        <f>_xlfn.TEXTJOIN(", ", TRUE, 'Audit Report'!K790,'Audit Report'!L790,'Audit Report'!M790)</f>
        <v/>
      </c>
      <c r="M790">
        <f>'Audit Report'!O790</f>
        <v>0</v>
      </c>
      <c r="N790" t="str" cm="1">
        <f t="array" ref="N790">IF(M790="","",
_xlfn.TEXTJOIN(", ",TRUE,
    _xlfn.MAP(_xlfn.TEXTSPLIT(M790,","),_xlfn.LAMBDA(_xlpm.x,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0">
        <f>'Audit Report'!F790</f>
        <v>0</v>
      </c>
      <c r="S790">
        <f>'Audit Report'!Q790</f>
        <v>0</v>
      </c>
    </row>
    <row r="791" spans="4:19">
      <c r="D791">
        <f>'Audit Report'!B791</f>
        <v>0</v>
      </c>
      <c r="E791">
        <f>'Audit Report'!C791</f>
        <v>0</v>
      </c>
      <c r="I791">
        <f>'Audit Report'!D791</f>
        <v>0</v>
      </c>
      <c r="J791" t="str">
        <f>_xlfn.TEXTJOIN(" ",TRUE,'Audit Report'!G791,'Audit Report'!H791)</f>
        <v/>
      </c>
      <c r="L791" t="str">
        <f>_xlfn.TEXTJOIN(", ", TRUE, 'Audit Report'!K791,'Audit Report'!L791,'Audit Report'!M791)</f>
        <v/>
      </c>
      <c r="M791">
        <f>'Audit Report'!O791</f>
        <v>0</v>
      </c>
      <c r="N791" t="str" cm="1">
        <f t="array" ref="N791">IF(M791="","",
_xlfn.TEXTJOIN(", ",TRUE,
    _xlfn.MAP(_xlfn.TEXTSPLIT(M791,","),_xlfn.LAMBDA(_xlpm.x,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1">
        <f>'Audit Report'!F791</f>
        <v>0</v>
      </c>
      <c r="S791">
        <f>'Audit Report'!Q791</f>
        <v>0</v>
      </c>
    </row>
    <row r="792" spans="4:19">
      <c r="D792">
        <f>'Audit Report'!B792</f>
        <v>0</v>
      </c>
      <c r="E792">
        <f>'Audit Report'!C792</f>
        <v>0</v>
      </c>
      <c r="I792">
        <f>'Audit Report'!D792</f>
        <v>0</v>
      </c>
      <c r="J792" t="str">
        <f>_xlfn.TEXTJOIN(" ",TRUE,'Audit Report'!G792,'Audit Report'!H792)</f>
        <v/>
      </c>
      <c r="L792" t="str">
        <f>_xlfn.TEXTJOIN(", ", TRUE, 'Audit Report'!K792,'Audit Report'!L792,'Audit Report'!M792)</f>
        <v/>
      </c>
      <c r="M792">
        <f>'Audit Report'!O792</f>
        <v>0</v>
      </c>
      <c r="N792" t="str" cm="1">
        <f t="array" ref="N792">IF(M792="","",
_xlfn.TEXTJOIN(", ",TRUE,
    _xlfn.MAP(_xlfn.TEXTSPLIT(M792,","),_xlfn.LAMBDA(_xlpm.x,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2">
        <f>'Audit Report'!F792</f>
        <v>0</v>
      </c>
      <c r="S792">
        <f>'Audit Report'!Q792</f>
        <v>0</v>
      </c>
    </row>
    <row r="793" spans="4:19">
      <c r="D793">
        <f>'Audit Report'!B793</f>
        <v>0</v>
      </c>
      <c r="E793">
        <f>'Audit Report'!C793</f>
        <v>0</v>
      </c>
      <c r="I793">
        <f>'Audit Report'!D793</f>
        <v>0</v>
      </c>
      <c r="J793" t="str">
        <f>_xlfn.TEXTJOIN(" ",TRUE,'Audit Report'!G793,'Audit Report'!H793)</f>
        <v/>
      </c>
      <c r="L793" t="str">
        <f>_xlfn.TEXTJOIN(", ", TRUE, 'Audit Report'!K793,'Audit Report'!L793,'Audit Report'!M793)</f>
        <v/>
      </c>
      <c r="M793">
        <f>'Audit Report'!O793</f>
        <v>0</v>
      </c>
      <c r="N793" t="str" cm="1">
        <f t="array" ref="N793">IF(M793="","",
_xlfn.TEXTJOIN(", ",TRUE,
    _xlfn.MAP(_xlfn.TEXTSPLIT(M793,","),_xlfn.LAMBDA(_xlpm.x,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3">
        <f>'Audit Report'!F793</f>
        <v>0</v>
      </c>
      <c r="S793">
        <f>'Audit Report'!Q793</f>
        <v>0</v>
      </c>
    </row>
    <row r="794" spans="4:19">
      <c r="D794">
        <f>'Audit Report'!B794</f>
        <v>0</v>
      </c>
      <c r="E794">
        <f>'Audit Report'!C794</f>
        <v>0</v>
      </c>
      <c r="I794">
        <f>'Audit Report'!D794</f>
        <v>0</v>
      </c>
      <c r="J794" t="str">
        <f>_xlfn.TEXTJOIN(" ",TRUE,'Audit Report'!G794,'Audit Report'!H794)</f>
        <v/>
      </c>
      <c r="L794" t="str">
        <f>_xlfn.TEXTJOIN(", ", TRUE, 'Audit Report'!K794,'Audit Report'!L794,'Audit Report'!M794)</f>
        <v/>
      </c>
      <c r="M794">
        <f>'Audit Report'!O794</f>
        <v>0</v>
      </c>
      <c r="N794" t="str" cm="1">
        <f t="array" ref="N794">IF(M794="","",
_xlfn.TEXTJOIN(", ",TRUE,
    _xlfn.MAP(_xlfn.TEXTSPLIT(M794,","),_xlfn.LAMBDA(_xlpm.x,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4">
        <f>'Audit Report'!F794</f>
        <v>0</v>
      </c>
      <c r="S794">
        <f>'Audit Report'!Q794</f>
        <v>0</v>
      </c>
    </row>
    <row r="795" spans="4:19">
      <c r="D795">
        <f>'Audit Report'!B795</f>
        <v>0</v>
      </c>
      <c r="E795">
        <f>'Audit Report'!C795</f>
        <v>0</v>
      </c>
      <c r="I795">
        <f>'Audit Report'!D795</f>
        <v>0</v>
      </c>
      <c r="J795" t="str">
        <f>_xlfn.TEXTJOIN(" ",TRUE,'Audit Report'!G795,'Audit Report'!H795)</f>
        <v/>
      </c>
      <c r="L795" t="str">
        <f>_xlfn.TEXTJOIN(", ", TRUE, 'Audit Report'!K795,'Audit Report'!L795,'Audit Report'!M795)</f>
        <v/>
      </c>
      <c r="M795">
        <f>'Audit Report'!O795</f>
        <v>0</v>
      </c>
      <c r="N795" t="str" cm="1">
        <f t="array" ref="N795">IF(M795="","",
_xlfn.TEXTJOIN(", ",TRUE,
    _xlfn.MAP(_xlfn.TEXTSPLIT(M795,","),_xlfn.LAMBDA(_xlpm.x,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5">
        <f>'Audit Report'!F795</f>
        <v>0</v>
      </c>
      <c r="S795">
        <f>'Audit Report'!Q795</f>
        <v>0</v>
      </c>
    </row>
    <row r="796" spans="4:19">
      <c r="D796">
        <f>'Audit Report'!B796</f>
        <v>0</v>
      </c>
      <c r="E796">
        <f>'Audit Report'!C796</f>
        <v>0</v>
      </c>
      <c r="I796">
        <f>'Audit Report'!D796</f>
        <v>0</v>
      </c>
      <c r="J796" t="str">
        <f>_xlfn.TEXTJOIN(" ",TRUE,'Audit Report'!G796,'Audit Report'!H796)</f>
        <v/>
      </c>
      <c r="L796" t="str">
        <f>_xlfn.TEXTJOIN(", ", TRUE, 'Audit Report'!K796,'Audit Report'!L796,'Audit Report'!M796)</f>
        <v/>
      </c>
      <c r="M796">
        <f>'Audit Report'!O796</f>
        <v>0</v>
      </c>
      <c r="N796" t="str" cm="1">
        <f t="array" ref="N796">IF(M796="","",
_xlfn.TEXTJOIN(", ",TRUE,
    _xlfn.MAP(_xlfn.TEXTSPLIT(M796,","),_xlfn.LAMBDA(_xlpm.x,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6">
        <f>'Audit Report'!F796</f>
        <v>0</v>
      </c>
      <c r="S796">
        <f>'Audit Report'!Q796</f>
        <v>0</v>
      </c>
    </row>
    <row r="797" spans="4:19">
      <c r="D797">
        <f>'Audit Report'!B797</f>
        <v>0</v>
      </c>
      <c r="E797">
        <f>'Audit Report'!C797</f>
        <v>0</v>
      </c>
      <c r="I797">
        <f>'Audit Report'!D797</f>
        <v>0</v>
      </c>
      <c r="J797" t="str">
        <f>_xlfn.TEXTJOIN(" ",TRUE,'Audit Report'!G797,'Audit Report'!H797)</f>
        <v/>
      </c>
      <c r="L797" t="str">
        <f>_xlfn.TEXTJOIN(", ", TRUE, 'Audit Report'!K797,'Audit Report'!L797,'Audit Report'!M797)</f>
        <v/>
      </c>
      <c r="M797">
        <f>'Audit Report'!O797</f>
        <v>0</v>
      </c>
      <c r="N797" t="str" cm="1">
        <f t="array" ref="N797">IF(M797="","",
_xlfn.TEXTJOIN(", ",TRUE,
    _xlfn.MAP(_xlfn.TEXTSPLIT(M797,","),_xlfn.LAMBDA(_xlpm.x,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7">
        <f>'Audit Report'!F797</f>
        <v>0</v>
      </c>
      <c r="S797">
        <f>'Audit Report'!Q797</f>
        <v>0</v>
      </c>
    </row>
    <row r="798" spans="4:19">
      <c r="D798">
        <f>'Audit Report'!B798</f>
        <v>0</v>
      </c>
      <c r="E798">
        <f>'Audit Report'!C798</f>
        <v>0</v>
      </c>
      <c r="I798">
        <f>'Audit Report'!D798</f>
        <v>0</v>
      </c>
      <c r="J798" t="str">
        <f>_xlfn.TEXTJOIN(" ",TRUE,'Audit Report'!G798,'Audit Report'!H798)</f>
        <v/>
      </c>
      <c r="L798" t="str">
        <f>_xlfn.TEXTJOIN(", ", TRUE, 'Audit Report'!K798,'Audit Report'!L798,'Audit Report'!M798)</f>
        <v/>
      </c>
      <c r="M798">
        <f>'Audit Report'!O798</f>
        <v>0</v>
      </c>
      <c r="N798" t="str" cm="1">
        <f t="array" ref="N798">IF(M798="","",
_xlfn.TEXTJOIN(", ",TRUE,
    _xlfn.MAP(_xlfn.TEXTSPLIT(M798,","),_xlfn.LAMBDA(_xlpm.x,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8">
        <f>'Audit Report'!F798</f>
        <v>0</v>
      </c>
      <c r="S798">
        <f>'Audit Report'!Q798</f>
        <v>0</v>
      </c>
    </row>
    <row r="799" spans="4:19">
      <c r="D799">
        <f>'Audit Report'!B799</f>
        <v>0</v>
      </c>
      <c r="E799">
        <f>'Audit Report'!C799</f>
        <v>0</v>
      </c>
      <c r="I799">
        <f>'Audit Report'!D799</f>
        <v>0</v>
      </c>
      <c r="J799" t="str">
        <f>_xlfn.TEXTJOIN(" ",TRUE,'Audit Report'!G799,'Audit Report'!H799)</f>
        <v/>
      </c>
      <c r="L799" t="str">
        <f>_xlfn.TEXTJOIN(", ", TRUE, 'Audit Report'!K799,'Audit Report'!L799,'Audit Report'!M799)</f>
        <v/>
      </c>
      <c r="M799">
        <f>'Audit Report'!O799</f>
        <v>0</v>
      </c>
      <c r="N799" t="str" cm="1">
        <f t="array" ref="N799">IF(M799="","",
_xlfn.TEXTJOIN(", ",TRUE,
    _xlfn.MAP(_xlfn.TEXTSPLIT(M799,","),_xlfn.LAMBDA(_xlpm.x,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9">
        <f>'Audit Report'!F799</f>
        <v>0</v>
      </c>
      <c r="S799">
        <f>'Audit Report'!Q799</f>
        <v>0</v>
      </c>
    </row>
    <row r="800" spans="4:19">
      <c r="D800">
        <f>'Audit Report'!B800</f>
        <v>0</v>
      </c>
      <c r="E800">
        <f>'Audit Report'!C800</f>
        <v>0</v>
      </c>
      <c r="I800">
        <f>'Audit Report'!D800</f>
        <v>0</v>
      </c>
      <c r="J800" t="str">
        <f>_xlfn.TEXTJOIN(" ",TRUE,'Audit Report'!G800,'Audit Report'!H800)</f>
        <v/>
      </c>
      <c r="L800" t="str">
        <f>_xlfn.TEXTJOIN(", ", TRUE, 'Audit Report'!K800,'Audit Report'!L800,'Audit Report'!M800)</f>
        <v/>
      </c>
      <c r="M800">
        <f>'Audit Report'!O800</f>
        <v>0</v>
      </c>
      <c r="N800" t="str" cm="1">
        <f t="array" ref="N800">IF(M800="","",
_xlfn.TEXTJOIN(", ",TRUE,
    _xlfn.MAP(_xlfn.TEXTSPLIT(M800,","),_xlfn.LAMBDA(_xlpm.x,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0">
        <f>'Audit Report'!F800</f>
        <v>0</v>
      </c>
      <c r="S800">
        <f>'Audit Report'!Q800</f>
        <v>0</v>
      </c>
    </row>
    <row r="801" spans="4:19">
      <c r="D801">
        <f>'Audit Report'!B801</f>
        <v>0</v>
      </c>
      <c r="E801">
        <f>'Audit Report'!C801</f>
        <v>0</v>
      </c>
      <c r="I801">
        <f>'Audit Report'!D801</f>
        <v>0</v>
      </c>
      <c r="J801" t="str">
        <f>_xlfn.TEXTJOIN(" ",TRUE,'Audit Report'!G801,'Audit Report'!H801)</f>
        <v/>
      </c>
      <c r="L801" t="str">
        <f>_xlfn.TEXTJOIN(", ", TRUE, 'Audit Report'!K801,'Audit Report'!L801,'Audit Report'!M801)</f>
        <v/>
      </c>
      <c r="M801">
        <f>'Audit Report'!O801</f>
        <v>0</v>
      </c>
      <c r="N801" t="str" cm="1">
        <f t="array" ref="N801">IF(M801="","",
_xlfn.TEXTJOIN(", ",TRUE,
    _xlfn.MAP(_xlfn.TEXTSPLIT(M801,","),_xlfn.LAMBDA(_xlpm.x,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1">
        <f>'Audit Report'!F801</f>
        <v>0</v>
      </c>
      <c r="S801">
        <f>'Audit Report'!Q801</f>
        <v>0</v>
      </c>
    </row>
    <row r="802" spans="4:19">
      <c r="D802">
        <f>'Audit Report'!B802</f>
        <v>0</v>
      </c>
      <c r="E802">
        <f>'Audit Report'!C802</f>
        <v>0</v>
      </c>
      <c r="I802">
        <f>'Audit Report'!D802</f>
        <v>0</v>
      </c>
      <c r="J802" t="str">
        <f>_xlfn.TEXTJOIN(" ",TRUE,'Audit Report'!G802,'Audit Report'!H802)</f>
        <v/>
      </c>
      <c r="L802" t="str">
        <f>_xlfn.TEXTJOIN(", ", TRUE, 'Audit Report'!K802,'Audit Report'!L802,'Audit Report'!M802)</f>
        <v/>
      </c>
      <c r="M802">
        <f>'Audit Report'!O802</f>
        <v>0</v>
      </c>
      <c r="N802" t="str" cm="1">
        <f t="array" ref="N802">IF(M802="","",
_xlfn.TEXTJOIN(", ",TRUE,
    _xlfn.MAP(_xlfn.TEXTSPLIT(M802,","),_xlfn.LAMBDA(_xlpm.x,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2">
        <f>'Audit Report'!F802</f>
        <v>0</v>
      </c>
      <c r="S802">
        <f>'Audit Report'!Q802</f>
        <v>0</v>
      </c>
    </row>
    <row r="803" spans="4:19">
      <c r="D803">
        <f>'Audit Report'!B803</f>
        <v>0</v>
      </c>
      <c r="E803">
        <f>'Audit Report'!C803</f>
        <v>0</v>
      </c>
      <c r="I803">
        <f>'Audit Report'!D803</f>
        <v>0</v>
      </c>
      <c r="J803" t="str">
        <f>_xlfn.TEXTJOIN(" ",TRUE,'Audit Report'!G803,'Audit Report'!H803)</f>
        <v/>
      </c>
      <c r="L803" t="str">
        <f>_xlfn.TEXTJOIN(", ", TRUE, 'Audit Report'!K803,'Audit Report'!L803,'Audit Report'!M803)</f>
        <v/>
      </c>
      <c r="M803">
        <f>'Audit Report'!O803</f>
        <v>0</v>
      </c>
      <c r="N803" t="str" cm="1">
        <f t="array" ref="N803">IF(M803="","",
_xlfn.TEXTJOIN(", ",TRUE,
    _xlfn.MAP(_xlfn.TEXTSPLIT(M803,","),_xlfn.LAMBDA(_xlpm.x,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3">
        <f>'Audit Report'!F803</f>
        <v>0</v>
      </c>
      <c r="S803">
        <f>'Audit Report'!Q803</f>
        <v>0</v>
      </c>
    </row>
    <row r="804" spans="4:19">
      <c r="D804">
        <f>'Audit Report'!B804</f>
        <v>0</v>
      </c>
      <c r="E804">
        <f>'Audit Report'!C804</f>
        <v>0</v>
      </c>
      <c r="I804">
        <f>'Audit Report'!D804</f>
        <v>0</v>
      </c>
      <c r="J804" t="str">
        <f>_xlfn.TEXTJOIN(" ",TRUE,'Audit Report'!G804,'Audit Report'!H804)</f>
        <v/>
      </c>
      <c r="L804" t="str">
        <f>_xlfn.TEXTJOIN(", ", TRUE, 'Audit Report'!K804,'Audit Report'!L804,'Audit Report'!M804)</f>
        <v/>
      </c>
      <c r="M804">
        <f>'Audit Report'!O804</f>
        <v>0</v>
      </c>
      <c r="N804" t="str" cm="1">
        <f t="array" ref="N804">IF(M804="","",
_xlfn.TEXTJOIN(", ",TRUE,
    _xlfn.MAP(_xlfn.TEXTSPLIT(M804,","),_xlfn.LAMBDA(_xlpm.x,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4">
        <f>'Audit Report'!F804</f>
        <v>0</v>
      </c>
      <c r="S804">
        <f>'Audit Report'!Q804</f>
        <v>0</v>
      </c>
    </row>
    <row r="805" spans="4:19">
      <c r="D805">
        <f>'Audit Report'!B805</f>
        <v>0</v>
      </c>
      <c r="E805">
        <f>'Audit Report'!C805</f>
        <v>0</v>
      </c>
      <c r="I805">
        <f>'Audit Report'!D805</f>
        <v>0</v>
      </c>
      <c r="J805" t="str">
        <f>_xlfn.TEXTJOIN(" ",TRUE,'Audit Report'!G805,'Audit Report'!H805)</f>
        <v/>
      </c>
      <c r="L805" t="str">
        <f>_xlfn.TEXTJOIN(", ", TRUE, 'Audit Report'!K805,'Audit Report'!L805,'Audit Report'!M805)</f>
        <v/>
      </c>
      <c r="M805">
        <f>'Audit Report'!O805</f>
        <v>0</v>
      </c>
      <c r="N805" t="str" cm="1">
        <f t="array" ref="N805">IF(M805="","",
_xlfn.TEXTJOIN(", ",TRUE,
    _xlfn.MAP(_xlfn.TEXTSPLIT(M805,","),_xlfn.LAMBDA(_xlpm.x,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5">
        <f>'Audit Report'!F805</f>
        <v>0</v>
      </c>
      <c r="S805">
        <f>'Audit Report'!Q805</f>
        <v>0</v>
      </c>
    </row>
    <row r="806" spans="4:19">
      <c r="D806">
        <f>'Audit Report'!B806</f>
        <v>0</v>
      </c>
      <c r="E806">
        <f>'Audit Report'!C806</f>
        <v>0</v>
      </c>
      <c r="I806">
        <f>'Audit Report'!D806</f>
        <v>0</v>
      </c>
      <c r="J806" t="str">
        <f>_xlfn.TEXTJOIN(" ",TRUE,'Audit Report'!G806,'Audit Report'!H806)</f>
        <v/>
      </c>
      <c r="L806" t="str">
        <f>_xlfn.TEXTJOIN(", ", TRUE, 'Audit Report'!K806,'Audit Report'!L806,'Audit Report'!M806)</f>
        <v/>
      </c>
      <c r="M806">
        <f>'Audit Report'!O806</f>
        <v>0</v>
      </c>
      <c r="N806" t="str" cm="1">
        <f t="array" ref="N806">IF(M806="","",
_xlfn.TEXTJOIN(", ",TRUE,
    _xlfn.MAP(_xlfn.TEXTSPLIT(M806,","),_xlfn.LAMBDA(_xlpm.x,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6">
        <f>'Audit Report'!F806</f>
        <v>0</v>
      </c>
      <c r="S806">
        <f>'Audit Report'!Q806</f>
        <v>0</v>
      </c>
    </row>
    <row r="807" spans="4:19">
      <c r="D807">
        <f>'Audit Report'!B807</f>
        <v>0</v>
      </c>
      <c r="E807">
        <f>'Audit Report'!C807</f>
        <v>0</v>
      </c>
      <c r="I807">
        <f>'Audit Report'!D807</f>
        <v>0</v>
      </c>
      <c r="J807" t="str">
        <f>_xlfn.TEXTJOIN(" ",TRUE,'Audit Report'!G807,'Audit Report'!H807)</f>
        <v/>
      </c>
      <c r="L807" t="str">
        <f>_xlfn.TEXTJOIN(", ", TRUE, 'Audit Report'!K807,'Audit Report'!L807,'Audit Report'!M807)</f>
        <v/>
      </c>
      <c r="M807">
        <f>'Audit Report'!O807</f>
        <v>0</v>
      </c>
      <c r="N807" t="str" cm="1">
        <f t="array" ref="N807">IF(M807="","",
_xlfn.TEXTJOIN(", ",TRUE,
    _xlfn.MAP(_xlfn.TEXTSPLIT(M807,","),_xlfn.LAMBDA(_xlpm.x,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7">
        <f>'Audit Report'!F807</f>
        <v>0</v>
      </c>
      <c r="S807">
        <f>'Audit Report'!Q807</f>
        <v>0</v>
      </c>
    </row>
    <row r="808" spans="4:19">
      <c r="D808">
        <f>'Audit Report'!B808</f>
        <v>0</v>
      </c>
      <c r="E808">
        <f>'Audit Report'!C808</f>
        <v>0</v>
      </c>
      <c r="I808">
        <f>'Audit Report'!D808</f>
        <v>0</v>
      </c>
      <c r="J808" t="str">
        <f>_xlfn.TEXTJOIN(" ",TRUE,'Audit Report'!G808,'Audit Report'!H808)</f>
        <v/>
      </c>
      <c r="L808" t="str">
        <f>_xlfn.TEXTJOIN(", ", TRUE, 'Audit Report'!K808,'Audit Report'!L808,'Audit Report'!M808)</f>
        <v/>
      </c>
      <c r="M808">
        <f>'Audit Report'!O808</f>
        <v>0</v>
      </c>
      <c r="N808" t="str" cm="1">
        <f t="array" ref="N808">IF(M808="","",
_xlfn.TEXTJOIN(", ",TRUE,
    _xlfn.MAP(_xlfn.TEXTSPLIT(M808,","),_xlfn.LAMBDA(_xlpm.x,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8">
        <f>'Audit Report'!F808</f>
        <v>0</v>
      </c>
      <c r="S808">
        <f>'Audit Report'!Q808</f>
        <v>0</v>
      </c>
    </row>
    <row r="809" spans="4:19">
      <c r="D809">
        <f>'Audit Report'!B809</f>
        <v>0</v>
      </c>
      <c r="E809">
        <f>'Audit Report'!C809</f>
        <v>0</v>
      </c>
      <c r="I809">
        <f>'Audit Report'!D809</f>
        <v>0</v>
      </c>
      <c r="J809" t="str">
        <f>_xlfn.TEXTJOIN(" ",TRUE,'Audit Report'!G809,'Audit Report'!H809)</f>
        <v/>
      </c>
      <c r="L809" t="str">
        <f>_xlfn.TEXTJOIN(", ", TRUE, 'Audit Report'!K809,'Audit Report'!L809,'Audit Report'!M809)</f>
        <v/>
      </c>
      <c r="M809">
        <f>'Audit Report'!O809</f>
        <v>0</v>
      </c>
      <c r="N809" t="str" cm="1">
        <f t="array" ref="N809">IF(M809="","",
_xlfn.TEXTJOIN(", ",TRUE,
    _xlfn.MAP(_xlfn.TEXTSPLIT(M809,","),_xlfn.LAMBDA(_xlpm.x,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9">
        <f>'Audit Report'!F809</f>
        <v>0</v>
      </c>
      <c r="S809">
        <f>'Audit Report'!Q809</f>
        <v>0</v>
      </c>
    </row>
    <row r="810" spans="4:19">
      <c r="D810">
        <f>'Audit Report'!B810</f>
        <v>0</v>
      </c>
      <c r="E810">
        <f>'Audit Report'!C810</f>
        <v>0</v>
      </c>
      <c r="I810">
        <f>'Audit Report'!D810</f>
        <v>0</v>
      </c>
      <c r="J810" t="str">
        <f>_xlfn.TEXTJOIN(" ",TRUE,'Audit Report'!G810,'Audit Report'!H810)</f>
        <v/>
      </c>
      <c r="L810" t="str">
        <f>_xlfn.TEXTJOIN(", ", TRUE, 'Audit Report'!K810,'Audit Report'!L810,'Audit Report'!M810)</f>
        <v/>
      </c>
      <c r="M810">
        <f>'Audit Report'!O810</f>
        <v>0</v>
      </c>
      <c r="N810" t="str" cm="1">
        <f t="array" ref="N810">IF(M810="","",
_xlfn.TEXTJOIN(", ",TRUE,
    _xlfn.MAP(_xlfn.TEXTSPLIT(M810,","),_xlfn.LAMBDA(_xlpm.x,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0">
        <f>'Audit Report'!F810</f>
        <v>0</v>
      </c>
      <c r="S810">
        <f>'Audit Report'!Q810</f>
        <v>0</v>
      </c>
    </row>
    <row r="811" spans="4:19">
      <c r="D811">
        <f>'Audit Report'!B811</f>
        <v>0</v>
      </c>
      <c r="E811">
        <f>'Audit Report'!C811</f>
        <v>0</v>
      </c>
      <c r="I811">
        <f>'Audit Report'!D811</f>
        <v>0</v>
      </c>
      <c r="J811" t="str">
        <f>_xlfn.TEXTJOIN(" ",TRUE,'Audit Report'!G811,'Audit Report'!H811)</f>
        <v/>
      </c>
      <c r="L811" t="str">
        <f>_xlfn.TEXTJOIN(", ", TRUE, 'Audit Report'!K811,'Audit Report'!L811,'Audit Report'!M811)</f>
        <v/>
      </c>
      <c r="M811">
        <f>'Audit Report'!O811</f>
        <v>0</v>
      </c>
      <c r="N811" t="str" cm="1">
        <f t="array" ref="N811">IF(M811="","",
_xlfn.TEXTJOIN(", ",TRUE,
    _xlfn.MAP(_xlfn.TEXTSPLIT(M811,","),_xlfn.LAMBDA(_xlpm.x,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1">
        <f>'Audit Report'!F811</f>
        <v>0</v>
      </c>
      <c r="S811">
        <f>'Audit Report'!Q811</f>
        <v>0</v>
      </c>
    </row>
    <row r="812" spans="4:19">
      <c r="D812">
        <f>'Audit Report'!B812</f>
        <v>0</v>
      </c>
      <c r="E812">
        <f>'Audit Report'!C812</f>
        <v>0</v>
      </c>
      <c r="I812">
        <f>'Audit Report'!D812</f>
        <v>0</v>
      </c>
      <c r="J812" t="str">
        <f>_xlfn.TEXTJOIN(" ",TRUE,'Audit Report'!G812,'Audit Report'!H812)</f>
        <v/>
      </c>
      <c r="L812" t="str">
        <f>_xlfn.TEXTJOIN(", ", TRUE, 'Audit Report'!K812,'Audit Report'!L812,'Audit Report'!M812)</f>
        <v/>
      </c>
      <c r="M812">
        <f>'Audit Report'!O812</f>
        <v>0</v>
      </c>
      <c r="N812" t="str" cm="1">
        <f t="array" ref="N812">IF(M812="","",
_xlfn.TEXTJOIN(", ",TRUE,
    _xlfn.MAP(_xlfn.TEXTSPLIT(M812,","),_xlfn.LAMBDA(_xlpm.x,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2">
        <f>'Audit Report'!F812</f>
        <v>0</v>
      </c>
      <c r="S812">
        <f>'Audit Report'!Q812</f>
        <v>0</v>
      </c>
    </row>
    <row r="813" spans="4:19">
      <c r="D813">
        <f>'Audit Report'!B813</f>
        <v>0</v>
      </c>
      <c r="E813">
        <f>'Audit Report'!C813</f>
        <v>0</v>
      </c>
      <c r="I813">
        <f>'Audit Report'!D813</f>
        <v>0</v>
      </c>
      <c r="J813" t="str">
        <f>_xlfn.TEXTJOIN(" ",TRUE,'Audit Report'!G813,'Audit Report'!H813)</f>
        <v/>
      </c>
      <c r="L813" t="str">
        <f>_xlfn.TEXTJOIN(", ", TRUE, 'Audit Report'!K813,'Audit Report'!L813,'Audit Report'!M813)</f>
        <v/>
      </c>
      <c r="M813">
        <f>'Audit Report'!O813</f>
        <v>0</v>
      </c>
      <c r="N813" t="str" cm="1">
        <f t="array" ref="N813">IF(M813="","",
_xlfn.TEXTJOIN(", ",TRUE,
    _xlfn.MAP(_xlfn.TEXTSPLIT(M813,","),_xlfn.LAMBDA(_xlpm.x,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3">
        <f>'Audit Report'!F813</f>
        <v>0</v>
      </c>
      <c r="S813">
        <f>'Audit Report'!Q813</f>
        <v>0</v>
      </c>
    </row>
    <row r="814" spans="4:19">
      <c r="D814">
        <f>'Audit Report'!B814</f>
        <v>0</v>
      </c>
      <c r="E814">
        <f>'Audit Report'!C814</f>
        <v>0</v>
      </c>
      <c r="I814">
        <f>'Audit Report'!D814</f>
        <v>0</v>
      </c>
      <c r="J814" t="str">
        <f>_xlfn.TEXTJOIN(" ",TRUE,'Audit Report'!G814,'Audit Report'!H814)</f>
        <v/>
      </c>
      <c r="L814" t="str">
        <f>_xlfn.TEXTJOIN(", ", TRUE, 'Audit Report'!K814,'Audit Report'!L814,'Audit Report'!M814)</f>
        <v/>
      </c>
      <c r="M814">
        <f>'Audit Report'!O814</f>
        <v>0</v>
      </c>
      <c r="N814" t="str" cm="1">
        <f t="array" ref="N814">IF(M814="","",
_xlfn.TEXTJOIN(", ",TRUE,
    _xlfn.MAP(_xlfn.TEXTSPLIT(M814,","),_xlfn.LAMBDA(_xlpm.x,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4">
        <f>'Audit Report'!F814</f>
        <v>0</v>
      </c>
      <c r="S814">
        <f>'Audit Report'!Q814</f>
        <v>0</v>
      </c>
    </row>
    <row r="815" spans="4:19">
      <c r="D815">
        <f>'Audit Report'!B815</f>
        <v>0</v>
      </c>
      <c r="E815">
        <f>'Audit Report'!C815</f>
        <v>0</v>
      </c>
      <c r="I815">
        <f>'Audit Report'!D815</f>
        <v>0</v>
      </c>
      <c r="J815" t="str">
        <f>_xlfn.TEXTJOIN(" ",TRUE,'Audit Report'!G815,'Audit Report'!H815)</f>
        <v/>
      </c>
      <c r="L815" t="str">
        <f>_xlfn.TEXTJOIN(", ", TRUE, 'Audit Report'!K815,'Audit Report'!L815,'Audit Report'!M815)</f>
        <v/>
      </c>
      <c r="M815">
        <f>'Audit Report'!O815</f>
        <v>0</v>
      </c>
      <c r="N815" t="str" cm="1">
        <f t="array" ref="N815">IF(M815="","",
_xlfn.TEXTJOIN(", ",TRUE,
    _xlfn.MAP(_xlfn.TEXTSPLIT(M815,","),_xlfn.LAMBDA(_xlpm.x,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5">
        <f>'Audit Report'!F815</f>
        <v>0</v>
      </c>
      <c r="S815">
        <f>'Audit Report'!Q815</f>
        <v>0</v>
      </c>
    </row>
    <row r="816" spans="4:19">
      <c r="D816">
        <f>'Audit Report'!B816</f>
        <v>0</v>
      </c>
      <c r="E816">
        <f>'Audit Report'!C816</f>
        <v>0</v>
      </c>
      <c r="I816">
        <f>'Audit Report'!D816</f>
        <v>0</v>
      </c>
      <c r="J816" t="str">
        <f>_xlfn.TEXTJOIN(" ",TRUE,'Audit Report'!G816,'Audit Report'!H816)</f>
        <v/>
      </c>
      <c r="L816" t="str">
        <f>_xlfn.TEXTJOIN(", ", TRUE, 'Audit Report'!K816,'Audit Report'!L816,'Audit Report'!M816)</f>
        <v/>
      </c>
      <c r="M816">
        <f>'Audit Report'!O816</f>
        <v>0</v>
      </c>
      <c r="N816" t="str" cm="1">
        <f t="array" ref="N816">IF(M816="","",
_xlfn.TEXTJOIN(", ",TRUE,
    _xlfn.MAP(_xlfn.TEXTSPLIT(M816,","),_xlfn.LAMBDA(_xlpm.x,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6">
        <f>'Audit Report'!F816</f>
        <v>0</v>
      </c>
      <c r="S816">
        <f>'Audit Report'!Q816</f>
        <v>0</v>
      </c>
    </row>
    <row r="817" spans="4:19">
      <c r="D817">
        <f>'Audit Report'!B817</f>
        <v>0</v>
      </c>
      <c r="E817">
        <f>'Audit Report'!C817</f>
        <v>0</v>
      </c>
      <c r="I817">
        <f>'Audit Report'!D817</f>
        <v>0</v>
      </c>
      <c r="J817" t="str">
        <f>_xlfn.TEXTJOIN(" ",TRUE,'Audit Report'!G817,'Audit Report'!H817)</f>
        <v/>
      </c>
      <c r="L817" t="str">
        <f>_xlfn.TEXTJOIN(", ", TRUE, 'Audit Report'!K817,'Audit Report'!L817,'Audit Report'!M817)</f>
        <v/>
      </c>
      <c r="M817">
        <f>'Audit Report'!O817</f>
        <v>0</v>
      </c>
      <c r="N817" t="str" cm="1">
        <f t="array" ref="N817">IF(M817="","",
_xlfn.TEXTJOIN(", ",TRUE,
    _xlfn.MAP(_xlfn.TEXTSPLIT(M817,","),_xlfn.LAMBDA(_xlpm.x,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7">
        <f>'Audit Report'!F817</f>
        <v>0</v>
      </c>
      <c r="S817">
        <f>'Audit Report'!Q817</f>
        <v>0</v>
      </c>
    </row>
    <row r="818" spans="4:19">
      <c r="D818">
        <f>'Audit Report'!B818</f>
        <v>0</v>
      </c>
      <c r="E818">
        <f>'Audit Report'!C818</f>
        <v>0</v>
      </c>
      <c r="I818">
        <f>'Audit Report'!D818</f>
        <v>0</v>
      </c>
      <c r="J818" t="str">
        <f>_xlfn.TEXTJOIN(" ",TRUE,'Audit Report'!G818,'Audit Report'!H818)</f>
        <v/>
      </c>
      <c r="L818" t="str">
        <f>_xlfn.TEXTJOIN(", ", TRUE, 'Audit Report'!K818,'Audit Report'!L818,'Audit Report'!M818)</f>
        <v/>
      </c>
      <c r="M818">
        <f>'Audit Report'!O818</f>
        <v>0</v>
      </c>
      <c r="N818" t="str" cm="1">
        <f t="array" ref="N818">IF(M818="","",
_xlfn.TEXTJOIN(", ",TRUE,
    _xlfn.MAP(_xlfn.TEXTSPLIT(M818,","),_xlfn.LAMBDA(_xlpm.x,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8">
        <f>'Audit Report'!F818</f>
        <v>0</v>
      </c>
      <c r="S818">
        <f>'Audit Report'!Q818</f>
        <v>0</v>
      </c>
    </row>
    <row r="819" spans="4:19">
      <c r="D819">
        <f>'Audit Report'!B819</f>
        <v>0</v>
      </c>
      <c r="E819">
        <f>'Audit Report'!C819</f>
        <v>0</v>
      </c>
      <c r="I819">
        <f>'Audit Report'!D819</f>
        <v>0</v>
      </c>
      <c r="J819" t="str">
        <f>_xlfn.TEXTJOIN(" ",TRUE,'Audit Report'!G819,'Audit Report'!H819)</f>
        <v/>
      </c>
      <c r="L819" t="str">
        <f>_xlfn.TEXTJOIN(", ", TRUE, 'Audit Report'!K819,'Audit Report'!L819,'Audit Report'!M819)</f>
        <v/>
      </c>
      <c r="M819">
        <f>'Audit Report'!O819</f>
        <v>0</v>
      </c>
      <c r="N819" t="str" cm="1">
        <f t="array" ref="N819">IF(M819="","",
_xlfn.TEXTJOIN(", ",TRUE,
    _xlfn.MAP(_xlfn.TEXTSPLIT(M819,","),_xlfn.LAMBDA(_xlpm.x,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9">
        <f>'Audit Report'!F819</f>
        <v>0</v>
      </c>
      <c r="S819">
        <f>'Audit Report'!Q819</f>
        <v>0</v>
      </c>
    </row>
    <row r="820" spans="4:19">
      <c r="D820">
        <f>'Audit Report'!B820</f>
        <v>0</v>
      </c>
      <c r="E820">
        <f>'Audit Report'!C820</f>
        <v>0</v>
      </c>
      <c r="I820">
        <f>'Audit Report'!D820</f>
        <v>0</v>
      </c>
      <c r="J820" t="str">
        <f>_xlfn.TEXTJOIN(" ",TRUE,'Audit Report'!G820,'Audit Report'!H820)</f>
        <v/>
      </c>
      <c r="L820" t="str">
        <f>_xlfn.TEXTJOIN(", ", TRUE, 'Audit Report'!K820,'Audit Report'!L820,'Audit Report'!M820)</f>
        <v/>
      </c>
      <c r="M820">
        <f>'Audit Report'!O820</f>
        <v>0</v>
      </c>
      <c r="N820" t="str" cm="1">
        <f t="array" ref="N820">IF(M820="","",
_xlfn.TEXTJOIN(", ",TRUE,
    _xlfn.MAP(_xlfn.TEXTSPLIT(M820,","),_xlfn.LAMBDA(_xlpm.x,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0">
        <f>'Audit Report'!F820</f>
        <v>0</v>
      </c>
      <c r="S820">
        <f>'Audit Report'!Q820</f>
        <v>0</v>
      </c>
    </row>
    <row r="821" spans="4:19">
      <c r="D821">
        <f>'Audit Report'!B821</f>
        <v>0</v>
      </c>
      <c r="E821">
        <f>'Audit Report'!C821</f>
        <v>0</v>
      </c>
      <c r="I821">
        <f>'Audit Report'!D821</f>
        <v>0</v>
      </c>
      <c r="J821" t="str">
        <f>_xlfn.TEXTJOIN(" ",TRUE,'Audit Report'!G821,'Audit Report'!H821)</f>
        <v/>
      </c>
      <c r="L821" t="str">
        <f>_xlfn.TEXTJOIN(", ", TRUE, 'Audit Report'!K821,'Audit Report'!L821,'Audit Report'!M821)</f>
        <v/>
      </c>
      <c r="M821">
        <f>'Audit Report'!O821</f>
        <v>0</v>
      </c>
      <c r="N821" t="str" cm="1">
        <f t="array" ref="N821">IF(M821="","",
_xlfn.TEXTJOIN(", ",TRUE,
    _xlfn.MAP(_xlfn.TEXTSPLIT(M821,","),_xlfn.LAMBDA(_xlpm.x,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1">
        <f>'Audit Report'!F821</f>
        <v>0</v>
      </c>
      <c r="S821">
        <f>'Audit Report'!Q821</f>
        <v>0</v>
      </c>
    </row>
    <row r="822" spans="4:19">
      <c r="D822">
        <f>'Audit Report'!B822</f>
        <v>0</v>
      </c>
      <c r="E822">
        <f>'Audit Report'!C822</f>
        <v>0</v>
      </c>
      <c r="I822">
        <f>'Audit Report'!D822</f>
        <v>0</v>
      </c>
      <c r="J822" t="str">
        <f>_xlfn.TEXTJOIN(" ",TRUE,'Audit Report'!G822,'Audit Report'!H822)</f>
        <v/>
      </c>
      <c r="L822" t="str">
        <f>_xlfn.TEXTJOIN(", ", TRUE, 'Audit Report'!K822,'Audit Report'!L822,'Audit Report'!M822)</f>
        <v/>
      </c>
      <c r="M822">
        <f>'Audit Report'!O822</f>
        <v>0</v>
      </c>
      <c r="N822" t="str" cm="1">
        <f t="array" ref="N822">IF(M822="","",
_xlfn.TEXTJOIN(", ",TRUE,
    _xlfn.MAP(_xlfn.TEXTSPLIT(M822,","),_xlfn.LAMBDA(_xlpm.x,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2">
        <f>'Audit Report'!F822</f>
        <v>0</v>
      </c>
      <c r="S822">
        <f>'Audit Report'!Q822</f>
        <v>0</v>
      </c>
    </row>
    <row r="823" spans="4:19">
      <c r="D823">
        <f>'Audit Report'!B823</f>
        <v>0</v>
      </c>
      <c r="E823">
        <f>'Audit Report'!C823</f>
        <v>0</v>
      </c>
      <c r="I823">
        <f>'Audit Report'!D823</f>
        <v>0</v>
      </c>
      <c r="J823" t="str">
        <f>_xlfn.TEXTJOIN(" ",TRUE,'Audit Report'!G823,'Audit Report'!H823)</f>
        <v/>
      </c>
      <c r="L823" t="str">
        <f>_xlfn.TEXTJOIN(", ", TRUE, 'Audit Report'!K823,'Audit Report'!L823,'Audit Report'!M823)</f>
        <v/>
      </c>
      <c r="M823">
        <f>'Audit Report'!O823</f>
        <v>0</v>
      </c>
      <c r="N823" t="str" cm="1">
        <f t="array" ref="N823">IF(M823="","",
_xlfn.TEXTJOIN(", ",TRUE,
    _xlfn.MAP(_xlfn.TEXTSPLIT(M823,","),_xlfn.LAMBDA(_xlpm.x,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3">
        <f>'Audit Report'!F823</f>
        <v>0</v>
      </c>
      <c r="S823">
        <f>'Audit Report'!Q823</f>
        <v>0</v>
      </c>
    </row>
    <row r="824" spans="4:19">
      <c r="D824">
        <f>'Audit Report'!B824</f>
        <v>0</v>
      </c>
      <c r="E824">
        <f>'Audit Report'!C824</f>
        <v>0</v>
      </c>
      <c r="I824">
        <f>'Audit Report'!D824</f>
        <v>0</v>
      </c>
      <c r="J824" t="str">
        <f>_xlfn.TEXTJOIN(" ",TRUE,'Audit Report'!G824,'Audit Report'!H824)</f>
        <v/>
      </c>
      <c r="L824" t="str">
        <f>_xlfn.TEXTJOIN(", ", TRUE, 'Audit Report'!K824,'Audit Report'!L824,'Audit Report'!M824)</f>
        <v/>
      </c>
      <c r="M824">
        <f>'Audit Report'!O824</f>
        <v>0</v>
      </c>
      <c r="N824" t="str" cm="1">
        <f t="array" ref="N824">IF(M824="","",
_xlfn.TEXTJOIN(", ",TRUE,
    _xlfn.MAP(_xlfn.TEXTSPLIT(M824,","),_xlfn.LAMBDA(_xlpm.x,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4">
        <f>'Audit Report'!F824</f>
        <v>0</v>
      </c>
      <c r="S824">
        <f>'Audit Report'!Q824</f>
        <v>0</v>
      </c>
    </row>
    <row r="825" spans="4:19">
      <c r="D825">
        <f>'Audit Report'!B825</f>
        <v>0</v>
      </c>
      <c r="E825">
        <f>'Audit Report'!C825</f>
        <v>0</v>
      </c>
      <c r="I825">
        <f>'Audit Report'!D825</f>
        <v>0</v>
      </c>
      <c r="J825" t="str">
        <f>_xlfn.TEXTJOIN(" ",TRUE,'Audit Report'!G825,'Audit Report'!H825)</f>
        <v/>
      </c>
      <c r="L825" t="str">
        <f>_xlfn.TEXTJOIN(", ", TRUE, 'Audit Report'!K825,'Audit Report'!L825,'Audit Report'!M825)</f>
        <v/>
      </c>
      <c r="M825">
        <f>'Audit Report'!O825</f>
        <v>0</v>
      </c>
      <c r="N825" t="str" cm="1">
        <f t="array" ref="N825">IF(M825="","",
_xlfn.TEXTJOIN(", ",TRUE,
    _xlfn.MAP(_xlfn.TEXTSPLIT(M825,","),_xlfn.LAMBDA(_xlpm.x,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5">
        <f>'Audit Report'!F825</f>
        <v>0</v>
      </c>
      <c r="S825">
        <f>'Audit Report'!Q825</f>
        <v>0</v>
      </c>
    </row>
    <row r="826" spans="4:19">
      <c r="D826">
        <f>'Audit Report'!B826</f>
        <v>0</v>
      </c>
      <c r="E826">
        <f>'Audit Report'!C826</f>
        <v>0</v>
      </c>
      <c r="I826">
        <f>'Audit Report'!D826</f>
        <v>0</v>
      </c>
      <c r="J826" t="str">
        <f>_xlfn.TEXTJOIN(" ",TRUE,'Audit Report'!G826,'Audit Report'!H826)</f>
        <v/>
      </c>
      <c r="L826" t="str">
        <f>_xlfn.TEXTJOIN(", ", TRUE, 'Audit Report'!K826,'Audit Report'!L826,'Audit Report'!M826)</f>
        <v/>
      </c>
      <c r="M826">
        <f>'Audit Report'!O826</f>
        <v>0</v>
      </c>
      <c r="N826" t="str" cm="1">
        <f t="array" ref="N826">IF(M826="","",
_xlfn.TEXTJOIN(", ",TRUE,
    _xlfn.MAP(_xlfn.TEXTSPLIT(M826,","),_xlfn.LAMBDA(_xlpm.x,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6">
        <f>'Audit Report'!F826</f>
        <v>0</v>
      </c>
      <c r="S826">
        <f>'Audit Report'!Q826</f>
        <v>0</v>
      </c>
    </row>
    <row r="827" spans="4:19">
      <c r="D827">
        <f>'Audit Report'!B827</f>
        <v>0</v>
      </c>
      <c r="E827">
        <f>'Audit Report'!C827</f>
        <v>0</v>
      </c>
      <c r="I827">
        <f>'Audit Report'!D827</f>
        <v>0</v>
      </c>
      <c r="J827" t="str">
        <f>_xlfn.TEXTJOIN(" ",TRUE,'Audit Report'!G827,'Audit Report'!H827)</f>
        <v/>
      </c>
      <c r="L827" t="str">
        <f>_xlfn.TEXTJOIN(", ", TRUE, 'Audit Report'!K827,'Audit Report'!L827,'Audit Report'!M827)</f>
        <v/>
      </c>
      <c r="M827">
        <f>'Audit Report'!O827</f>
        <v>0</v>
      </c>
      <c r="N827" t="str" cm="1">
        <f t="array" ref="N827">IF(M827="","",
_xlfn.TEXTJOIN(", ",TRUE,
    _xlfn.MAP(_xlfn.TEXTSPLIT(M827,","),_xlfn.LAMBDA(_xlpm.x,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7">
        <f>'Audit Report'!F827</f>
        <v>0</v>
      </c>
      <c r="S827">
        <f>'Audit Report'!Q827</f>
        <v>0</v>
      </c>
    </row>
    <row r="828" spans="4:19">
      <c r="D828">
        <f>'Audit Report'!B828</f>
        <v>0</v>
      </c>
      <c r="E828">
        <f>'Audit Report'!C828</f>
        <v>0</v>
      </c>
      <c r="I828">
        <f>'Audit Report'!D828</f>
        <v>0</v>
      </c>
      <c r="J828" t="str">
        <f>_xlfn.TEXTJOIN(" ",TRUE,'Audit Report'!G828,'Audit Report'!H828)</f>
        <v/>
      </c>
      <c r="L828" t="str">
        <f>_xlfn.TEXTJOIN(", ", TRUE, 'Audit Report'!K828,'Audit Report'!L828,'Audit Report'!M828)</f>
        <v/>
      </c>
      <c r="M828">
        <f>'Audit Report'!O828</f>
        <v>0</v>
      </c>
      <c r="N828" t="str" cm="1">
        <f t="array" ref="N828">IF(M828="","",
_xlfn.TEXTJOIN(", ",TRUE,
    _xlfn.MAP(_xlfn.TEXTSPLIT(M828,","),_xlfn.LAMBDA(_xlpm.x,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8">
        <f>'Audit Report'!F828</f>
        <v>0</v>
      </c>
      <c r="S828">
        <f>'Audit Report'!Q828</f>
        <v>0</v>
      </c>
    </row>
    <row r="829" spans="4:19">
      <c r="D829">
        <f>'Audit Report'!B829</f>
        <v>0</v>
      </c>
      <c r="E829">
        <f>'Audit Report'!C829</f>
        <v>0</v>
      </c>
      <c r="I829">
        <f>'Audit Report'!D829</f>
        <v>0</v>
      </c>
      <c r="J829" t="str">
        <f>_xlfn.TEXTJOIN(" ",TRUE,'Audit Report'!G829,'Audit Report'!H829)</f>
        <v/>
      </c>
      <c r="L829" t="str">
        <f>_xlfn.TEXTJOIN(", ", TRUE, 'Audit Report'!K829,'Audit Report'!L829,'Audit Report'!M829)</f>
        <v/>
      </c>
      <c r="M829">
        <f>'Audit Report'!O829</f>
        <v>0</v>
      </c>
      <c r="N829" t="str" cm="1">
        <f t="array" ref="N829">IF(M829="","",
_xlfn.TEXTJOIN(", ",TRUE,
    _xlfn.MAP(_xlfn.TEXTSPLIT(M829,","),_xlfn.LAMBDA(_xlpm.x,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9">
        <f>'Audit Report'!F829</f>
        <v>0</v>
      </c>
      <c r="S829">
        <f>'Audit Report'!Q829</f>
        <v>0</v>
      </c>
    </row>
    <row r="830" spans="4:19">
      <c r="D830">
        <f>'Audit Report'!B830</f>
        <v>0</v>
      </c>
      <c r="E830">
        <f>'Audit Report'!C830</f>
        <v>0</v>
      </c>
      <c r="I830">
        <f>'Audit Report'!D830</f>
        <v>0</v>
      </c>
      <c r="J830" t="str">
        <f>_xlfn.TEXTJOIN(" ",TRUE,'Audit Report'!G830,'Audit Report'!H830)</f>
        <v/>
      </c>
      <c r="L830" t="str">
        <f>_xlfn.TEXTJOIN(", ", TRUE, 'Audit Report'!K830,'Audit Report'!L830,'Audit Report'!M830)</f>
        <v/>
      </c>
      <c r="M830">
        <f>'Audit Report'!O830</f>
        <v>0</v>
      </c>
      <c r="N830" t="str" cm="1">
        <f t="array" ref="N830">IF(M830="","",
_xlfn.TEXTJOIN(", ",TRUE,
    _xlfn.MAP(_xlfn.TEXTSPLIT(M830,","),_xlfn.LAMBDA(_xlpm.x,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0">
        <f>'Audit Report'!F830</f>
        <v>0</v>
      </c>
      <c r="S830">
        <f>'Audit Report'!Q830</f>
        <v>0</v>
      </c>
    </row>
    <row r="831" spans="4:19">
      <c r="D831">
        <f>'Audit Report'!B831</f>
        <v>0</v>
      </c>
      <c r="E831">
        <f>'Audit Report'!C831</f>
        <v>0</v>
      </c>
      <c r="I831">
        <f>'Audit Report'!D831</f>
        <v>0</v>
      </c>
      <c r="J831" t="str">
        <f>_xlfn.TEXTJOIN(" ",TRUE,'Audit Report'!G831,'Audit Report'!H831)</f>
        <v/>
      </c>
      <c r="L831" t="str">
        <f>_xlfn.TEXTJOIN(", ", TRUE, 'Audit Report'!K831,'Audit Report'!L831,'Audit Report'!M831)</f>
        <v/>
      </c>
      <c r="M831">
        <f>'Audit Report'!O831</f>
        <v>0</v>
      </c>
      <c r="N831" t="str" cm="1">
        <f t="array" ref="N831">IF(M831="","",
_xlfn.TEXTJOIN(", ",TRUE,
    _xlfn.MAP(_xlfn.TEXTSPLIT(M831,","),_xlfn.LAMBDA(_xlpm.x,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1">
        <f>'Audit Report'!F831</f>
        <v>0</v>
      </c>
      <c r="S831">
        <f>'Audit Report'!Q831</f>
        <v>0</v>
      </c>
    </row>
    <row r="832" spans="4:19">
      <c r="D832">
        <f>'Audit Report'!B832</f>
        <v>0</v>
      </c>
      <c r="E832">
        <f>'Audit Report'!C832</f>
        <v>0</v>
      </c>
      <c r="I832">
        <f>'Audit Report'!D832</f>
        <v>0</v>
      </c>
      <c r="J832" t="str">
        <f>_xlfn.TEXTJOIN(" ",TRUE,'Audit Report'!G832,'Audit Report'!H832)</f>
        <v/>
      </c>
      <c r="L832" t="str">
        <f>_xlfn.TEXTJOIN(", ", TRUE, 'Audit Report'!K832,'Audit Report'!L832,'Audit Report'!M832)</f>
        <v/>
      </c>
      <c r="M832">
        <f>'Audit Report'!O832</f>
        <v>0</v>
      </c>
      <c r="N832" t="str" cm="1">
        <f t="array" ref="N832">IF(M832="","",
_xlfn.TEXTJOIN(", ",TRUE,
    _xlfn.MAP(_xlfn.TEXTSPLIT(M832,","),_xlfn.LAMBDA(_xlpm.x,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2">
        <f>'Audit Report'!F832</f>
        <v>0</v>
      </c>
      <c r="S832">
        <f>'Audit Report'!Q832</f>
        <v>0</v>
      </c>
    </row>
    <row r="833" spans="4:19">
      <c r="D833">
        <f>'Audit Report'!B833</f>
        <v>0</v>
      </c>
      <c r="E833">
        <f>'Audit Report'!C833</f>
        <v>0</v>
      </c>
      <c r="I833">
        <f>'Audit Report'!D833</f>
        <v>0</v>
      </c>
      <c r="J833" t="str">
        <f>_xlfn.TEXTJOIN(" ",TRUE,'Audit Report'!G833,'Audit Report'!H833)</f>
        <v/>
      </c>
      <c r="L833" t="str">
        <f>_xlfn.TEXTJOIN(", ", TRUE, 'Audit Report'!K833,'Audit Report'!L833,'Audit Report'!M833)</f>
        <v/>
      </c>
      <c r="M833">
        <f>'Audit Report'!O833</f>
        <v>0</v>
      </c>
      <c r="N833" t="str" cm="1">
        <f t="array" ref="N833">IF(M833="","",
_xlfn.TEXTJOIN(", ",TRUE,
    _xlfn.MAP(_xlfn.TEXTSPLIT(M833,","),_xlfn.LAMBDA(_xlpm.x,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3">
        <f>'Audit Report'!F833</f>
        <v>0</v>
      </c>
      <c r="S833">
        <f>'Audit Report'!Q833</f>
        <v>0</v>
      </c>
    </row>
    <row r="834" spans="4:19">
      <c r="D834">
        <f>'Audit Report'!B834</f>
        <v>0</v>
      </c>
      <c r="E834">
        <f>'Audit Report'!C834</f>
        <v>0</v>
      </c>
      <c r="I834">
        <f>'Audit Report'!D834</f>
        <v>0</v>
      </c>
      <c r="J834" t="str">
        <f>_xlfn.TEXTJOIN(" ",TRUE,'Audit Report'!G834,'Audit Report'!H834)</f>
        <v/>
      </c>
      <c r="L834" t="str">
        <f>_xlfn.TEXTJOIN(", ", TRUE, 'Audit Report'!K834,'Audit Report'!L834,'Audit Report'!M834)</f>
        <v/>
      </c>
      <c r="M834">
        <f>'Audit Report'!O834</f>
        <v>0</v>
      </c>
      <c r="N834" t="str" cm="1">
        <f t="array" ref="N834">IF(M834="","",
_xlfn.TEXTJOIN(", ",TRUE,
    _xlfn.MAP(_xlfn.TEXTSPLIT(M834,","),_xlfn.LAMBDA(_xlpm.x,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4">
        <f>'Audit Report'!F834</f>
        <v>0</v>
      </c>
      <c r="S834">
        <f>'Audit Report'!Q834</f>
        <v>0</v>
      </c>
    </row>
    <row r="835" spans="4:19">
      <c r="D835">
        <f>'Audit Report'!B835</f>
        <v>0</v>
      </c>
      <c r="E835">
        <f>'Audit Report'!C835</f>
        <v>0</v>
      </c>
      <c r="I835">
        <f>'Audit Report'!D835</f>
        <v>0</v>
      </c>
      <c r="J835" t="str">
        <f>_xlfn.TEXTJOIN(" ",TRUE,'Audit Report'!G835,'Audit Report'!H835)</f>
        <v/>
      </c>
      <c r="L835" t="str">
        <f>_xlfn.TEXTJOIN(", ", TRUE, 'Audit Report'!K835,'Audit Report'!L835,'Audit Report'!M835)</f>
        <v/>
      </c>
      <c r="M835">
        <f>'Audit Report'!O835</f>
        <v>0</v>
      </c>
      <c r="N835" t="str" cm="1">
        <f t="array" ref="N835">IF(M835="","",
_xlfn.TEXTJOIN(", ",TRUE,
    _xlfn.MAP(_xlfn.TEXTSPLIT(M835,","),_xlfn.LAMBDA(_xlpm.x,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5">
        <f>'Audit Report'!F835</f>
        <v>0</v>
      </c>
      <c r="S835">
        <f>'Audit Report'!Q835</f>
        <v>0</v>
      </c>
    </row>
    <row r="836" spans="4:19">
      <c r="D836">
        <f>'Audit Report'!B836</f>
        <v>0</v>
      </c>
      <c r="E836">
        <f>'Audit Report'!C836</f>
        <v>0</v>
      </c>
      <c r="I836">
        <f>'Audit Report'!D836</f>
        <v>0</v>
      </c>
      <c r="J836" t="str">
        <f>_xlfn.TEXTJOIN(" ",TRUE,'Audit Report'!G836,'Audit Report'!H836)</f>
        <v/>
      </c>
      <c r="L836" t="str">
        <f>_xlfn.TEXTJOIN(", ", TRUE, 'Audit Report'!K836,'Audit Report'!L836,'Audit Report'!M836)</f>
        <v/>
      </c>
      <c r="M836">
        <f>'Audit Report'!O836</f>
        <v>0</v>
      </c>
      <c r="N836" t="str" cm="1">
        <f t="array" ref="N836">IF(M836="","",
_xlfn.TEXTJOIN(", ",TRUE,
    _xlfn.MAP(_xlfn.TEXTSPLIT(M836,","),_xlfn.LAMBDA(_xlpm.x,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6">
        <f>'Audit Report'!F836</f>
        <v>0</v>
      </c>
      <c r="S836">
        <f>'Audit Report'!Q836</f>
        <v>0</v>
      </c>
    </row>
    <row r="837" spans="4:19">
      <c r="D837">
        <f>'Audit Report'!B837</f>
        <v>0</v>
      </c>
      <c r="E837">
        <f>'Audit Report'!C837</f>
        <v>0</v>
      </c>
      <c r="I837">
        <f>'Audit Report'!D837</f>
        <v>0</v>
      </c>
      <c r="J837" t="str">
        <f>_xlfn.TEXTJOIN(" ",TRUE,'Audit Report'!G837,'Audit Report'!H837)</f>
        <v/>
      </c>
      <c r="L837" t="str">
        <f>_xlfn.TEXTJOIN(", ", TRUE, 'Audit Report'!K837,'Audit Report'!L837,'Audit Report'!M837)</f>
        <v/>
      </c>
      <c r="M837">
        <f>'Audit Report'!O837</f>
        <v>0</v>
      </c>
      <c r="N837" t="str" cm="1">
        <f t="array" ref="N837">IF(M837="","",
_xlfn.TEXTJOIN(", ",TRUE,
    _xlfn.MAP(_xlfn.TEXTSPLIT(M837,","),_xlfn.LAMBDA(_xlpm.x,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7">
        <f>'Audit Report'!F837</f>
        <v>0</v>
      </c>
      <c r="S837">
        <f>'Audit Report'!Q837</f>
        <v>0</v>
      </c>
    </row>
    <row r="838" spans="4:19">
      <c r="D838">
        <f>'Audit Report'!B838</f>
        <v>0</v>
      </c>
      <c r="E838">
        <f>'Audit Report'!C838</f>
        <v>0</v>
      </c>
      <c r="I838">
        <f>'Audit Report'!D838</f>
        <v>0</v>
      </c>
      <c r="J838" t="str">
        <f>_xlfn.TEXTJOIN(" ",TRUE,'Audit Report'!G838,'Audit Report'!H838)</f>
        <v/>
      </c>
      <c r="L838" t="str">
        <f>_xlfn.TEXTJOIN(", ", TRUE, 'Audit Report'!K838,'Audit Report'!L838,'Audit Report'!M838)</f>
        <v/>
      </c>
      <c r="M838">
        <f>'Audit Report'!O838</f>
        <v>0</v>
      </c>
      <c r="N838" t="str" cm="1">
        <f t="array" ref="N838">IF(M838="","",
_xlfn.TEXTJOIN(", ",TRUE,
    _xlfn.MAP(_xlfn.TEXTSPLIT(M838,","),_xlfn.LAMBDA(_xlpm.x,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8">
        <f>'Audit Report'!F838</f>
        <v>0</v>
      </c>
      <c r="S838">
        <f>'Audit Report'!Q838</f>
        <v>0</v>
      </c>
    </row>
    <row r="839" spans="4:19">
      <c r="D839">
        <f>'Audit Report'!B839</f>
        <v>0</v>
      </c>
      <c r="E839">
        <f>'Audit Report'!C839</f>
        <v>0</v>
      </c>
      <c r="I839">
        <f>'Audit Report'!D839</f>
        <v>0</v>
      </c>
      <c r="J839" t="str">
        <f>_xlfn.TEXTJOIN(" ",TRUE,'Audit Report'!G839,'Audit Report'!H839)</f>
        <v/>
      </c>
      <c r="L839" t="str">
        <f>_xlfn.TEXTJOIN(", ", TRUE, 'Audit Report'!K839,'Audit Report'!L839,'Audit Report'!M839)</f>
        <v/>
      </c>
      <c r="M839">
        <f>'Audit Report'!O839</f>
        <v>0</v>
      </c>
      <c r="N839" t="str" cm="1">
        <f t="array" ref="N839">IF(M839="","",
_xlfn.TEXTJOIN(", ",TRUE,
    _xlfn.MAP(_xlfn.TEXTSPLIT(M839,","),_xlfn.LAMBDA(_xlpm.x,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9">
        <f>'Audit Report'!F839</f>
        <v>0</v>
      </c>
      <c r="S839">
        <f>'Audit Report'!Q839</f>
        <v>0</v>
      </c>
    </row>
    <row r="840" spans="4:19">
      <c r="D840">
        <f>'Audit Report'!B840</f>
        <v>0</v>
      </c>
      <c r="E840">
        <f>'Audit Report'!C840</f>
        <v>0</v>
      </c>
      <c r="I840">
        <f>'Audit Report'!D840</f>
        <v>0</v>
      </c>
      <c r="J840" t="str">
        <f>_xlfn.TEXTJOIN(" ",TRUE,'Audit Report'!G840,'Audit Report'!H840)</f>
        <v/>
      </c>
      <c r="L840" t="str">
        <f>_xlfn.TEXTJOIN(", ", TRUE, 'Audit Report'!K840,'Audit Report'!L840,'Audit Report'!M840)</f>
        <v/>
      </c>
      <c r="M840">
        <f>'Audit Report'!O840</f>
        <v>0</v>
      </c>
      <c r="N840" t="str" cm="1">
        <f t="array" ref="N840">IF(M840="","",
_xlfn.TEXTJOIN(", ",TRUE,
    _xlfn.MAP(_xlfn.TEXTSPLIT(M840,","),_xlfn.LAMBDA(_xlpm.x,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0">
        <f>'Audit Report'!F840</f>
        <v>0</v>
      </c>
      <c r="S840">
        <f>'Audit Report'!Q840</f>
        <v>0</v>
      </c>
    </row>
    <row r="841" spans="4:19">
      <c r="D841">
        <f>'Audit Report'!B841</f>
        <v>0</v>
      </c>
      <c r="E841">
        <f>'Audit Report'!C841</f>
        <v>0</v>
      </c>
      <c r="I841">
        <f>'Audit Report'!D841</f>
        <v>0</v>
      </c>
      <c r="J841" t="str">
        <f>_xlfn.TEXTJOIN(" ",TRUE,'Audit Report'!G841,'Audit Report'!H841)</f>
        <v/>
      </c>
      <c r="L841" t="str">
        <f>_xlfn.TEXTJOIN(", ", TRUE, 'Audit Report'!K841,'Audit Report'!L841,'Audit Report'!M841)</f>
        <v/>
      </c>
      <c r="M841">
        <f>'Audit Report'!O841</f>
        <v>0</v>
      </c>
      <c r="N841" t="str" cm="1">
        <f t="array" ref="N841">IF(M841="","",
_xlfn.TEXTJOIN(", ",TRUE,
    _xlfn.MAP(_xlfn.TEXTSPLIT(M841,","),_xlfn.LAMBDA(_xlpm.x,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1">
        <f>'Audit Report'!F841</f>
        <v>0</v>
      </c>
      <c r="S841">
        <f>'Audit Report'!Q841</f>
        <v>0</v>
      </c>
    </row>
    <row r="842" spans="4:19">
      <c r="D842">
        <f>'Audit Report'!B842</f>
        <v>0</v>
      </c>
      <c r="E842">
        <f>'Audit Report'!C842</f>
        <v>0</v>
      </c>
      <c r="I842">
        <f>'Audit Report'!D842</f>
        <v>0</v>
      </c>
      <c r="J842" t="str">
        <f>_xlfn.TEXTJOIN(" ",TRUE,'Audit Report'!G842,'Audit Report'!H842)</f>
        <v/>
      </c>
      <c r="L842" t="str">
        <f>_xlfn.TEXTJOIN(", ", TRUE, 'Audit Report'!K842,'Audit Report'!L842,'Audit Report'!M842)</f>
        <v/>
      </c>
      <c r="M842">
        <f>'Audit Report'!O842</f>
        <v>0</v>
      </c>
      <c r="N842" t="str" cm="1">
        <f t="array" ref="N842">IF(M842="","",
_xlfn.TEXTJOIN(", ",TRUE,
    _xlfn.MAP(_xlfn.TEXTSPLIT(M842,","),_xlfn.LAMBDA(_xlpm.x,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2">
        <f>'Audit Report'!F842</f>
        <v>0</v>
      </c>
      <c r="S842">
        <f>'Audit Report'!Q842</f>
        <v>0</v>
      </c>
    </row>
    <row r="843" spans="4:19">
      <c r="D843">
        <f>'Audit Report'!B843</f>
        <v>0</v>
      </c>
      <c r="E843">
        <f>'Audit Report'!C843</f>
        <v>0</v>
      </c>
      <c r="I843">
        <f>'Audit Report'!D843</f>
        <v>0</v>
      </c>
      <c r="J843" t="str">
        <f>_xlfn.TEXTJOIN(" ",TRUE,'Audit Report'!G843,'Audit Report'!H843)</f>
        <v/>
      </c>
      <c r="L843" t="str">
        <f>_xlfn.TEXTJOIN(", ", TRUE, 'Audit Report'!K843,'Audit Report'!L843,'Audit Report'!M843)</f>
        <v/>
      </c>
      <c r="M843">
        <f>'Audit Report'!O843</f>
        <v>0</v>
      </c>
      <c r="N843" t="str" cm="1">
        <f t="array" ref="N843">IF(M843="","",
_xlfn.TEXTJOIN(", ",TRUE,
    _xlfn.MAP(_xlfn.TEXTSPLIT(M843,","),_xlfn.LAMBDA(_xlpm.x,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3">
        <f>'Audit Report'!F843</f>
        <v>0</v>
      </c>
      <c r="S843">
        <f>'Audit Report'!Q843</f>
        <v>0</v>
      </c>
    </row>
    <row r="844" spans="4:19">
      <c r="D844">
        <f>'Audit Report'!B844</f>
        <v>0</v>
      </c>
      <c r="E844">
        <f>'Audit Report'!C844</f>
        <v>0</v>
      </c>
      <c r="I844">
        <f>'Audit Report'!D844</f>
        <v>0</v>
      </c>
      <c r="J844" t="str">
        <f>_xlfn.TEXTJOIN(" ",TRUE,'Audit Report'!G844,'Audit Report'!H844)</f>
        <v/>
      </c>
      <c r="L844" t="str">
        <f>_xlfn.TEXTJOIN(", ", TRUE, 'Audit Report'!K844,'Audit Report'!L844,'Audit Report'!M844)</f>
        <v/>
      </c>
      <c r="M844">
        <f>'Audit Report'!O844</f>
        <v>0</v>
      </c>
      <c r="N844" t="str" cm="1">
        <f t="array" ref="N844">IF(M844="","",
_xlfn.TEXTJOIN(", ",TRUE,
    _xlfn.MAP(_xlfn.TEXTSPLIT(M844,","),_xlfn.LAMBDA(_xlpm.x,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4">
        <f>'Audit Report'!F844</f>
        <v>0</v>
      </c>
      <c r="S844">
        <f>'Audit Report'!Q844</f>
        <v>0</v>
      </c>
    </row>
    <row r="845" spans="4:19">
      <c r="D845">
        <f>'Audit Report'!B845</f>
        <v>0</v>
      </c>
      <c r="E845">
        <f>'Audit Report'!C845</f>
        <v>0</v>
      </c>
      <c r="I845">
        <f>'Audit Report'!D845</f>
        <v>0</v>
      </c>
      <c r="J845" t="str">
        <f>_xlfn.TEXTJOIN(" ",TRUE,'Audit Report'!G845,'Audit Report'!H845)</f>
        <v/>
      </c>
      <c r="L845" t="str">
        <f>_xlfn.TEXTJOIN(", ", TRUE, 'Audit Report'!K845,'Audit Report'!L845,'Audit Report'!M845)</f>
        <v/>
      </c>
      <c r="M845">
        <f>'Audit Report'!O845</f>
        <v>0</v>
      </c>
      <c r="N845" t="str" cm="1">
        <f t="array" ref="N845">IF(M845="","",
_xlfn.TEXTJOIN(", ",TRUE,
    _xlfn.MAP(_xlfn.TEXTSPLIT(M845,","),_xlfn.LAMBDA(_xlpm.x,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5">
        <f>'Audit Report'!F845</f>
        <v>0</v>
      </c>
      <c r="S845">
        <f>'Audit Report'!Q845</f>
        <v>0</v>
      </c>
    </row>
    <row r="846" spans="4:19">
      <c r="D846">
        <f>'Audit Report'!B846</f>
        <v>0</v>
      </c>
      <c r="E846">
        <f>'Audit Report'!C846</f>
        <v>0</v>
      </c>
      <c r="I846">
        <f>'Audit Report'!D846</f>
        <v>0</v>
      </c>
      <c r="J846" t="str">
        <f>_xlfn.TEXTJOIN(" ",TRUE,'Audit Report'!G846,'Audit Report'!H846)</f>
        <v/>
      </c>
      <c r="L846" t="str">
        <f>_xlfn.TEXTJOIN(", ", TRUE, 'Audit Report'!K846,'Audit Report'!L846,'Audit Report'!M846)</f>
        <v/>
      </c>
      <c r="M846">
        <f>'Audit Report'!O846</f>
        <v>0</v>
      </c>
      <c r="N846" t="str" cm="1">
        <f t="array" ref="N846">IF(M846="","",
_xlfn.TEXTJOIN(", ",TRUE,
    _xlfn.MAP(_xlfn.TEXTSPLIT(M846,","),_xlfn.LAMBDA(_xlpm.x,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6">
        <f>'Audit Report'!F846</f>
        <v>0</v>
      </c>
      <c r="S846">
        <f>'Audit Report'!Q846</f>
        <v>0</v>
      </c>
    </row>
    <row r="847" spans="4:19">
      <c r="D847">
        <f>'Audit Report'!B847</f>
        <v>0</v>
      </c>
      <c r="E847">
        <f>'Audit Report'!C847</f>
        <v>0</v>
      </c>
      <c r="I847">
        <f>'Audit Report'!D847</f>
        <v>0</v>
      </c>
      <c r="J847" t="str">
        <f>_xlfn.TEXTJOIN(" ",TRUE,'Audit Report'!G847,'Audit Report'!H847)</f>
        <v/>
      </c>
      <c r="L847" t="str">
        <f>_xlfn.TEXTJOIN(", ", TRUE, 'Audit Report'!K847,'Audit Report'!L847,'Audit Report'!M847)</f>
        <v/>
      </c>
      <c r="M847">
        <f>'Audit Report'!O847</f>
        <v>0</v>
      </c>
      <c r="N847" t="str" cm="1">
        <f t="array" ref="N847">IF(M847="","",
_xlfn.TEXTJOIN(", ",TRUE,
    _xlfn.MAP(_xlfn.TEXTSPLIT(M847,","),_xlfn.LAMBDA(_xlpm.x,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7">
        <f>'Audit Report'!F847</f>
        <v>0</v>
      </c>
      <c r="S847">
        <f>'Audit Report'!Q847</f>
        <v>0</v>
      </c>
    </row>
    <row r="848" spans="4:19">
      <c r="D848">
        <f>'Audit Report'!B848</f>
        <v>0</v>
      </c>
      <c r="E848">
        <f>'Audit Report'!C848</f>
        <v>0</v>
      </c>
      <c r="I848">
        <f>'Audit Report'!D848</f>
        <v>0</v>
      </c>
      <c r="J848" t="str">
        <f>_xlfn.TEXTJOIN(" ",TRUE,'Audit Report'!G848,'Audit Report'!H848)</f>
        <v/>
      </c>
      <c r="L848" t="str">
        <f>_xlfn.TEXTJOIN(", ", TRUE, 'Audit Report'!K848,'Audit Report'!L848,'Audit Report'!M848)</f>
        <v/>
      </c>
      <c r="M848">
        <f>'Audit Report'!O848</f>
        <v>0</v>
      </c>
      <c r="N848" t="str" cm="1">
        <f t="array" ref="N848">IF(M848="","",
_xlfn.TEXTJOIN(", ",TRUE,
    _xlfn.MAP(_xlfn.TEXTSPLIT(M848,","),_xlfn.LAMBDA(_xlpm.x,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8">
        <f>'Audit Report'!F848</f>
        <v>0</v>
      </c>
      <c r="S848">
        <f>'Audit Report'!Q848</f>
        <v>0</v>
      </c>
    </row>
    <row r="849" spans="4:19">
      <c r="D849">
        <f>'Audit Report'!B849</f>
        <v>0</v>
      </c>
      <c r="E849">
        <f>'Audit Report'!C849</f>
        <v>0</v>
      </c>
      <c r="I849">
        <f>'Audit Report'!D849</f>
        <v>0</v>
      </c>
      <c r="J849" t="str">
        <f>_xlfn.TEXTJOIN(" ",TRUE,'Audit Report'!G849,'Audit Report'!H849)</f>
        <v/>
      </c>
      <c r="L849" t="str">
        <f>_xlfn.TEXTJOIN(", ", TRUE, 'Audit Report'!K849,'Audit Report'!L849,'Audit Report'!M849)</f>
        <v/>
      </c>
      <c r="M849">
        <f>'Audit Report'!O849</f>
        <v>0</v>
      </c>
      <c r="N849" t="str" cm="1">
        <f t="array" ref="N849">IF(M849="","",
_xlfn.TEXTJOIN(", ",TRUE,
    _xlfn.MAP(_xlfn.TEXTSPLIT(M849,","),_xlfn.LAMBDA(_xlpm.x,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9">
        <f>'Audit Report'!F849</f>
        <v>0</v>
      </c>
      <c r="S849">
        <f>'Audit Report'!Q849</f>
        <v>0</v>
      </c>
    </row>
    <row r="850" spans="4:19">
      <c r="D850">
        <f>'Audit Report'!B850</f>
        <v>0</v>
      </c>
      <c r="E850">
        <f>'Audit Report'!C850</f>
        <v>0</v>
      </c>
      <c r="I850">
        <f>'Audit Report'!D850</f>
        <v>0</v>
      </c>
      <c r="J850" t="str">
        <f>_xlfn.TEXTJOIN(" ",TRUE,'Audit Report'!G850,'Audit Report'!H850)</f>
        <v/>
      </c>
      <c r="L850" t="str">
        <f>_xlfn.TEXTJOIN(", ", TRUE, 'Audit Report'!K850,'Audit Report'!L850,'Audit Report'!M850)</f>
        <v/>
      </c>
      <c r="M850">
        <f>'Audit Report'!O850</f>
        <v>0</v>
      </c>
      <c r="N850" t="str" cm="1">
        <f t="array" ref="N850">IF(M850="","",
_xlfn.TEXTJOIN(", ",TRUE,
    _xlfn.MAP(_xlfn.TEXTSPLIT(M850,","),_xlfn.LAMBDA(_xlpm.x,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0">
        <f>'Audit Report'!F850</f>
        <v>0</v>
      </c>
      <c r="S850">
        <f>'Audit Report'!Q850</f>
        <v>0</v>
      </c>
    </row>
    <row r="851" spans="4:19">
      <c r="D851">
        <f>'Audit Report'!B851</f>
        <v>0</v>
      </c>
      <c r="E851">
        <f>'Audit Report'!C851</f>
        <v>0</v>
      </c>
      <c r="I851">
        <f>'Audit Report'!D851</f>
        <v>0</v>
      </c>
      <c r="J851" t="str">
        <f>_xlfn.TEXTJOIN(" ",TRUE,'Audit Report'!G851,'Audit Report'!H851)</f>
        <v/>
      </c>
      <c r="L851" t="str">
        <f>_xlfn.TEXTJOIN(", ", TRUE, 'Audit Report'!K851,'Audit Report'!L851,'Audit Report'!M851)</f>
        <v/>
      </c>
      <c r="M851">
        <f>'Audit Report'!O851</f>
        <v>0</v>
      </c>
      <c r="N851" t="str" cm="1">
        <f t="array" ref="N851">IF(M851="","",
_xlfn.TEXTJOIN(", ",TRUE,
    _xlfn.MAP(_xlfn.TEXTSPLIT(M851,","),_xlfn.LAMBDA(_xlpm.x,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1">
        <f>'Audit Report'!F851</f>
        <v>0</v>
      </c>
      <c r="S851">
        <f>'Audit Report'!Q851</f>
        <v>0</v>
      </c>
    </row>
    <row r="852" spans="4:19">
      <c r="D852">
        <f>'Audit Report'!B852</f>
        <v>0</v>
      </c>
      <c r="E852">
        <f>'Audit Report'!C852</f>
        <v>0</v>
      </c>
      <c r="I852">
        <f>'Audit Report'!D852</f>
        <v>0</v>
      </c>
      <c r="J852" t="str">
        <f>_xlfn.TEXTJOIN(" ",TRUE,'Audit Report'!G852,'Audit Report'!H852)</f>
        <v/>
      </c>
      <c r="L852" t="str">
        <f>_xlfn.TEXTJOIN(", ", TRUE, 'Audit Report'!K852,'Audit Report'!L852,'Audit Report'!M852)</f>
        <v/>
      </c>
      <c r="M852">
        <f>'Audit Report'!O852</f>
        <v>0</v>
      </c>
      <c r="N852" t="str" cm="1">
        <f t="array" ref="N852">IF(M852="","",
_xlfn.TEXTJOIN(", ",TRUE,
    _xlfn.MAP(_xlfn.TEXTSPLIT(M852,","),_xlfn.LAMBDA(_xlpm.x,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2">
        <f>'Audit Report'!F852</f>
        <v>0</v>
      </c>
      <c r="S852">
        <f>'Audit Report'!Q852</f>
        <v>0</v>
      </c>
    </row>
    <row r="853" spans="4:19">
      <c r="D853">
        <f>'Audit Report'!B853</f>
        <v>0</v>
      </c>
      <c r="E853">
        <f>'Audit Report'!C853</f>
        <v>0</v>
      </c>
      <c r="I853">
        <f>'Audit Report'!D853</f>
        <v>0</v>
      </c>
      <c r="J853" t="str">
        <f>_xlfn.TEXTJOIN(" ",TRUE,'Audit Report'!G853,'Audit Report'!H853)</f>
        <v/>
      </c>
      <c r="L853" t="str">
        <f>_xlfn.TEXTJOIN(", ", TRUE, 'Audit Report'!K853,'Audit Report'!L853,'Audit Report'!M853)</f>
        <v/>
      </c>
      <c r="M853">
        <f>'Audit Report'!O853</f>
        <v>0</v>
      </c>
      <c r="N853" t="str" cm="1">
        <f t="array" ref="N853">IF(M853="","",
_xlfn.TEXTJOIN(", ",TRUE,
    _xlfn.MAP(_xlfn.TEXTSPLIT(M853,","),_xlfn.LAMBDA(_xlpm.x,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3">
        <f>'Audit Report'!F853</f>
        <v>0</v>
      </c>
      <c r="S853">
        <f>'Audit Report'!Q853</f>
        <v>0</v>
      </c>
    </row>
    <row r="854" spans="4:19">
      <c r="D854">
        <f>'Audit Report'!B854</f>
        <v>0</v>
      </c>
      <c r="E854">
        <f>'Audit Report'!C854</f>
        <v>0</v>
      </c>
      <c r="I854">
        <f>'Audit Report'!D854</f>
        <v>0</v>
      </c>
      <c r="J854" t="str">
        <f>_xlfn.TEXTJOIN(" ",TRUE,'Audit Report'!G854,'Audit Report'!H854)</f>
        <v/>
      </c>
      <c r="L854" t="str">
        <f>_xlfn.TEXTJOIN(", ", TRUE, 'Audit Report'!K854,'Audit Report'!L854,'Audit Report'!M854)</f>
        <v/>
      </c>
      <c r="M854">
        <f>'Audit Report'!O854</f>
        <v>0</v>
      </c>
      <c r="N854" t="str" cm="1">
        <f t="array" ref="N854">IF(M854="","",
_xlfn.TEXTJOIN(", ",TRUE,
    _xlfn.MAP(_xlfn.TEXTSPLIT(M854,","),_xlfn.LAMBDA(_xlpm.x,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4">
        <f>'Audit Report'!F854</f>
        <v>0</v>
      </c>
      <c r="S854">
        <f>'Audit Report'!Q854</f>
        <v>0</v>
      </c>
    </row>
    <row r="855" spans="4:19">
      <c r="D855">
        <f>'Audit Report'!B855</f>
        <v>0</v>
      </c>
      <c r="E855">
        <f>'Audit Report'!C855</f>
        <v>0</v>
      </c>
      <c r="I855">
        <f>'Audit Report'!D855</f>
        <v>0</v>
      </c>
      <c r="J855" t="str">
        <f>_xlfn.TEXTJOIN(" ",TRUE,'Audit Report'!G855,'Audit Report'!H855)</f>
        <v/>
      </c>
      <c r="L855" t="str">
        <f>_xlfn.TEXTJOIN(", ", TRUE, 'Audit Report'!K855,'Audit Report'!L855,'Audit Report'!M855)</f>
        <v/>
      </c>
      <c r="M855">
        <f>'Audit Report'!O855</f>
        <v>0</v>
      </c>
      <c r="N855" t="str" cm="1">
        <f t="array" ref="N855">IF(M855="","",
_xlfn.TEXTJOIN(", ",TRUE,
    _xlfn.MAP(_xlfn.TEXTSPLIT(M855,","),_xlfn.LAMBDA(_xlpm.x,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5">
        <f>'Audit Report'!F855</f>
        <v>0</v>
      </c>
      <c r="S855">
        <f>'Audit Report'!Q855</f>
        <v>0</v>
      </c>
    </row>
    <row r="856" spans="4:19">
      <c r="D856">
        <f>'Audit Report'!B856</f>
        <v>0</v>
      </c>
      <c r="E856">
        <f>'Audit Report'!C856</f>
        <v>0</v>
      </c>
      <c r="I856">
        <f>'Audit Report'!D856</f>
        <v>0</v>
      </c>
      <c r="J856" t="str">
        <f>_xlfn.TEXTJOIN(" ",TRUE,'Audit Report'!G856,'Audit Report'!H856)</f>
        <v/>
      </c>
      <c r="L856" t="str">
        <f>_xlfn.TEXTJOIN(", ", TRUE, 'Audit Report'!K856,'Audit Report'!L856,'Audit Report'!M856)</f>
        <v/>
      </c>
      <c r="M856">
        <f>'Audit Report'!O856</f>
        <v>0</v>
      </c>
      <c r="N856" t="str" cm="1">
        <f t="array" ref="N856">IF(M856="","",
_xlfn.TEXTJOIN(", ",TRUE,
    _xlfn.MAP(_xlfn.TEXTSPLIT(M856,","),_xlfn.LAMBDA(_xlpm.x,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6">
        <f>'Audit Report'!F856</f>
        <v>0</v>
      </c>
      <c r="S856">
        <f>'Audit Report'!Q856</f>
        <v>0</v>
      </c>
    </row>
    <row r="857" spans="4:19">
      <c r="D857">
        <f>'Audit Report'!B857</f>
        <v>0</v>
      </c>
      <c r="E857">
        <f>'Audit Report'!C857</f>
        <v>0</v>
      </c>
      <c r="I857">
        <f>'Audit Report'!D857</f>
        <v>0</v>
      </c>
      <c r="J857" t="str">
        <f>_xlfn.TEXTJOIN(" ",TRUE,'Audit Report'!G857,'Audit Report'!H857)</f>
        <v/>
      </c>
      <c r="L857" t="str">
        <f>_xlfn.TEXTJOIN(", ", TRUE, 'Audit Report'!K857,'Audit Report'!L857,'Audit Report'!M857)</f>
        <v/>
      </c>
      <c r="M857">
        <f>'Audit Report'!O857</f>
        <v>0</v>
      </c>
      <c r="N857" t="str" cm="1">
        <f t="array" ref="N857">IF(M857="","",
_xlfn.TEXTJOIN(", ",TRUE,
    _xlfn.MAP(_xlfn.TEXTSPLIT(M857,","),_xlfn.LAMBDA(_xlpm.x,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7">
        <f>'Audit Report'!F857</f>
        <v>0</v>
      </c>
      <c r="S857">
        <f>'Audit Report'!Q857</f>
        <v>0</v>
      </c>
    </row>
    <row r="858" spans="4:19">
      <c r="D858">
        <f>'Audit Report'!B858</f>
        <v>0</v>
      </c>
      <c r="E858">
        <f>'Audit Report'!C858</f>
        <v>0</v>
      </c>
      <c r="I858">
        <f>'Audit Report'!D858</f>
        <v>0</v>
      </c>
      <c r="J858" t="str">
        <f>_xlfn.TEXTJOIN(" ",TRUE,'Audit Report'!G858,'Audit Report'!H858)</f>
        <v/>
      </c>
      <c r="L858" t="str">
        <f>_xlfn.TEXTJOIN(", ", TRUE, 'Audit Report'!K858,'Audit Report'!L858,'Audit Report'!M858)</f>
        <v/>
      </c>
      <c r="M858">
        <f>'Audit Report'!O858</f>
        <v>0</v>
      </c>
      <c r="N858" t="str" cm="1">
        <f t="array" ref="N858">IF(M858="","",
_xlfn.TEXTJOIN(", ",TRUE,
    _xlfn.MAP(_xlfn.TEXTSPLIT(M858,","),_xlfn.LAMBDA(_xlpm.x,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8">
        <f>'Audit Report'!F858</f>
        <v>0</v>
      </c>
      <c r="S858">
        <f>'Audit Report'!Q858</f>
        <v>0</v>
      </c>
    </row>
    <row r="859" spans="4:19">
      <c r="D859">
        <f>'Audit Report'!B859</f>
        <v>0</v>
      </c>
      <c r="E859">
        <f>'Audit Report'!C859</f>
        <v>0</v>
      </c>
      <c r="I859">
        <f>'Audit Report'!D859</f>
        <v>0</v>
      </c>
      <c r="J859" t="str">
        <f>_xlfn.TEXTJOIN(" ",TRUE,'Audit Report'!G859,'Audit Report'!H859)</f>
        <v/>
      </c>
      <c r="L859" t="str">
        <f>_xlfn.TEXTJOIN(", ", TRUE, 'Audit Report'!K859,'Audit Report'!L859,'Audit Report'!M859)</f>
        <v/>
      </c>
      <c r="M859">
        <f>'Audit Report'!O859</f>
        <v>0</v>
      </c>
      <c r="N859" t="str" cm="1">
        <f t="array" ref="N859">IF(M859="","",
_xlfn.TEXTJOIN(", ",TRUE,
    _xlfn.MAP(_xlfn.TEXTSPLIT(M859,","),_xlfn.LAMBDA(_xlpm.x,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9">
        <f>'Audit Report'!F859</f>
        <v>0</v>
      </c>
      <c r="S859">
        <f>'Audit Report'!Q859</f>
        <v>0</v>
      </c>
    </row>
    <row r="860" spans="4:19">
      <c r="D860">
        <f>'Audit Report'!B860</f>
        <v>0</v>
      </c>
      <c r="E860">
        <f>'Audit Report'!C860</f>
        <v>0</v>
      </c>
      <c r="I860">
        <f>'Audit Report'!D860</f>
        <v>0</v>
      </c>
      <c r="J860" t="str">
        <f>_xlfn.TEXTJOIN(" ",TRUE,'Audit Report'!G860,'Audit Report'!H860)</f>
        <v/>
      </c>
      <c r="L860" t="str">
        <f>_xlfn.TEXTJOIN(", ", TRUE, 'Audit Report'!K860,'Audit Report'!L860,'Audit Report'!M860)</f>
        <v/>
      </c>
      <c r="M860">
        <f>'Audit Report'!O860</f>
        <v>0</v>
      </c>
      <c r="N860" t="str" cm="1">
        <f t="array" ref="N860">IF(M860="","",
_xlfn.TEXTJOIN(", ",TRUE,
    _xlfn.MAP(_xlfn.TEXTSPLIT(M860,","),_xlfn.LAMBDA(_xlpm.x,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0">
        <f>'Audit Report'!F860</f>
        <v>0</v>
      </c>
      <c r="S860">
        <f>'Audit Report'!Q860</f>
        <v>0</v>
      </c>
    </row>
    <row r="861" spans="4:19">
      <c r="D861">
        <f>'Audit Report'!B861</f>
        <v>0</v>
      </c>
      <c r="E861">
        <f>'Audit Report'!C861</f>
        <v>0</v>
      </c>
      <c r="I861">
        <f>'Audit Report'!D861</f>
        <v>0</v>
      </c>
      <c r="J861" t="str">
        <f>_xlfn.TEXTJOIN(" ",TRUE,'Audit Report'!G861,'Audit Report'!H861)</f>
        <v/>
      </c>
      <c r="L861" t="str">
        <f>_xlfn.TEXTJOIN(", ", TRUE, 'Audit Report'!K861,'Audit Report'!L861,'Audit Report'!M861)</f>
        <v/>
      </c>
      <c r="M861">
        <f>'Audit Report'!O861</f>
        <v>0</v>
      </c>
      <c r="N861" t="str" cm="1">
        <f t="array" ref="N861">IF(M861="","",
_xlfn.TEXTJOIN(", ",TRUE,
    _xlfn.MAP(_xlfn.TEXTSPLIT(M861,","),_xlfn.LAMBDA(_xlpm.x,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1">
        <f>'Audit Report'!F861</f>
        <v>0</v>
      </c>
      <c r="S861">
        <f>'Audit Report'!Q861</f>
        <v>0</v>
      </c>
    </row>
    <row r="862" spans="4:19">
      <c r="D862">
        <f>'Audit Report'!B862</f>
        <v>0</v>
      </c>
      <c r="E862">
        <f>'Audit Report'!C862</f>
        <v>0</v>
      </c>
      <c r="I862">
        <f>'Audit Report'!D862</f>
        <v>0</v>
      </c>
      <c r="J862" t="str">
        <f>_xlfn.TEXTJOIN(" ",TRUE,'Audit Report'!G862,'Audit Report'!H862)</f>
        <v/>
      </c>
      <c r="L862" t="str">
        <f>_xlfn.TEXTJOIN(", ", TRUE, 'Audit Report'!K862,'Audit Report'!L862,'Audit Report'!M862)</f>
        <v/>
      </c>
      <c r="M862">
        <f>'Audit Report'!O862</f>
        <v>0</v>
      </c>
      <c r="N862" t="str" cm="1">
        <f t="array" ref="N862">IF(M862="","",
_xlfn.TEXTJOIN(", ",TRUE,
    _xlfn.MAP(_xlfn.TEXTSPLIT(M862,","),_xlfn.LAMBDA(_xlpm.x,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2">
        <f>'Audit Report'!F862</f>
        <v>0</v>
      </c>
      <c r="S862">
        <f>'Audit Report'!Q862</f>
        <v>0</v>
      </c>
    </row>
    <row r="863" spans="4:19">
      <c r="D863">
        <f>'Audit Report'!B863</f>
        <v>0</v>
      </c>
      <c r="E863">
        <f>'Audit Report'!C863</f>
        <v>0</v>
      </c>
      <c r="I863">
        <f>'Audit Report'!D863</f>
        <v>0</v>
      </c>
      <c r="J863" t="str">
        <f>_xlfn.TEXTJOIN(" ",TRUE,'Audit Report'!G863,'Audit Report'!H863)</f>
        <v/>
      </c>
      <c r="L863" t="str">
        <f>_xlfn.TEXTJOIN(", ", TRUE, 'Audit Report'!K863,'Audit Report'!L863,'Audit Report'!M863)</f>
        <v/>
      </c>
      <c r="M863">
        <f>'Audit Report'!O863</f>
        <v>0</v>
      </c>
      <c r="N863" t="str" cm="1">
        <f t="array" ref="N863">IF(M863="","",
_xlfn.TEXTJOIN(", ",TRUE,
    _xlfn.MAP(_xlfn.TEXTSPLIT(M863,","),_xlfn.LAMBDA(_xlpm.x,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3">
        <f>'Audit Report'!F863</f>
        <v>0</v>
      </c>
      <c r="S863">
        <f>'Audit Report'!Q863</f>
        <v>0</v>
      </c>
    </row>
    <row r="864" spans="4:19">
      <c r="D864">
        <f>'Audit Report'!B864</f>
        <v>0</v>
      </c>
      <c r="E864">
        <f>'Audit Report'!C864</f>
        <v>0</v>
      </c>
      <c r="I864">
        <f>'Audit Report'!D864</f>
        <v>0</v>
      </c>
      <c r="J864" t="str">
        <f>_xlfn.TEXTJOIN(" ",TRUE,'Audit Report'!G864,'Audit Report'!H864)</f>
        <v/>
      </c>
      <c r="L864" t="str">
        <f>_xlfn.TEXTJOIN(", ", TRUE, 'Audit Report'!K864,'Audit Report'!L864,'Audit Report'!M864)</f>
        <v/>
      </c>
      <c r="M864">
        <f>'Audit Report'!O864</f>
        <v>0</v>
      </c>
      <c r="N864" t="str" cm="1">
        <f t="array" ref="N864">IF(M864="","",
_xlfn.TEXTJOIN(", ",TRUE,
    _xlfn.MAP(_xlfn.TEXTSPLIT(M864,","),_xlfn.LAMBDA(_xlpm.x,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4">
        <f>'Audit Report'!F864</f>
        <v>0</v>
      </c>
      <c r="S864">
        <f>'Audit Report'!Q864</f>
        <v>0</v>
      </c>
    </row>
    <row r="865" spans="4:19">
      <c r="D865">
        <f>'Audit Report'!B865</f>
        <v>0</v>
      </c>
      <c r="E865">
        <f>'Audit Report'!C865</f>
        <v>0</v>
      </c>
      <c r="I865">
        <f>'Audit Report'!D865</f>
        <v>0</v>
      </c>
      <c r="J865" t="str">
        <f>_xlfn.TEXTJOIN(" ",TRUE,'Audit Report'!G865,'Audit Report'!H865)</f>
        <v/>
      </c>
      <c r="L865" t="str">
        <f>_xlfn.TEXTJOIN(", ", TRUE, 'Audit Report'!K865,'Audit Report'!L865,'Audit Report'!M865)</f>
        <v/>
      </c>
      <c r="M865">
        <f>'Audit Report'!O865</f>
        <v>0</v>
      </c>
      <c r="N865" t="str" cm="1">
        <f t="array" ref="N865">IF(M865="","",
_xlfn.TEXTJOIN(", ",TRUE,
    _xlfn.MAP(_xlfn.TEXTSPLIT(M865,","),_xlfn.LAMBDA(_xlpm.x,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5">
        <f>'Audit Report'!F865</f>
        <v>0</v>
      </c>
      <c r="S865">
        <f>'Audit Report'!Q865</f>
        <v>0</v>
      </c>
    </row>
    <row r="866" spans="4:19">
      <c r="D866">
        <f>'Audit Report'!B866</f>
        <v>0</v>
      </c>
      <c r="E866">
        <f>'Audit Report'!C866</f>
        <v>0</v>
      </c>
      <c r="I866">
        <f>'Audit Report'!D866</f>
        <v>0</v>
      </c>
      <c r="J866" t="str">
        <f>_xlfn.TEXTJOIN(" ",TRUE,'Audit Report'!G866,'Audit Report'!H866)</f>
        <v/>
      </c>
      <c r="L866" t="str">
        <f>_xlfn.TEXTJOIN(", ", TRUE, 'Audit Report'!K866,'Audit Report'!L866,'Audit Report'!M866)</f>
        <v/>
      </c>
      <c r="M866">
        <f>'Audit Report'!O866</f>
        <v>0</v>
      </c>
      <c r="N866" t="str" cm="1">
        <f t="array" ref="N866">IF(M866="","",
_xlfn.TEXTJOIN(", ",TRUE,
    _xlfn.MAP(_xlfn.TEXTSPLIT(M866,","),_xlfn.LAMBDA(_xlpm.x,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6">
        <f>'Audit Report'!F866</f>
        <v>0</v>
      </c>
      <c r="S866">
        <f>'Audit Report'!Q866</f>
        <v>0</v>
      </c>
    </row>
    <row r="867" spans="4:19">
      <c r="D867">
        <f>'Audit Report'!B867</f>
        <v>0</v>
      </c>
      <c r="E867">
        <f>'Audit Report'!C867</f>
        <v>0</v>
      </c>
      <c r="I867">
        <f>'Audit Report'!D867</f>
        <v>0</v>
      </c>
      <c r="J867" t="str">
        <f>_xlfn.TEXTJOIN(" ",TRUE,'Audit Report'!G867,'Audit Report'!H867)</f>
        <v/>
      </c>
      <c r="L867" t="str">
        <f>_xlfn.TEXTJOIN(", ", TRUE, 'Audit Report'!K867,'Audit Report'!L867,'Audit Report'!M867)</f>
        <v/>
      </c>
      <c r="M867">
        <f>'Audit Report'!O867</f>
        <v>0</v>
      </c>
      <c r="N867" t="str" cm="1">
        <f t="array" ref="N867">IF(M867="","",
_xlfn.TEXTJOIN(", ",TRUE,
    _xlfn.MAP(_xlfn.TEXTSPLIT(M867,","),_xlfn.LAMBDA(_xlpm.x,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7">
        <f>'Audit Report'!F867</f>
        <v>0</v>
      </c>
      <c r="S867">
        <f>'Audit Report'!Q867</f>
        <v>0</v>
      </c>
    </row>
    <row r="868" spans="4:19">
      <c r="D868">
        <f>'Audit Report'!B868</f>
        <v>0</v>
      </c>
      <c r="E868">
        <f>'Audit Report'!C868</f>
        <v>0</v>
      </c>
      <c r="I868">
        <f>'Audit Report'!D868</f>
        <v>0</v>
      </c>
      <c r="J868" t="str">
        <f>_xlfn.TEXTJOIN(" ",TRUE,'Audit Report'!G868,'Audit Report'!H868)</f>
        <v/>
      </c>
      <c r="L868" t="str">
        <f>_xlfn.TEXTJOIN(", ", TRUE, 'Audit Report'!K868,'Audit Report'!L868,'Audit Report'!M868)</f>
        <v/>
      </c>
      <c r="M868">
        <f>'Audit Report'!O868</f>
        <v>0</v>
      </c>
      <c r="N868" t="str" cm="1">
        <f t="array" ref="N868">IF(M868="","",
_xlfn.TEXTJOIN(", ",TRUE,
    _xlfn.MAP(_xlfn.TEXTSPLIT(M868,","),_xlfn.LAMBDA(_xlpm.x,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8">
        <f>'Audit Report'!F868</f>
        <v>0</v>
      </c>
      <c r="S868">
        <f>'Audit Report'!Q868</f>
        <v>0</v>
      </c>
    </row>
    <row r="869" spans="4:19">
      <c r="D869">
        <f>'Audit Report'!B869</f>
        <v>0</v>
      </c>
      <c r="E869">
        <f>'Audit Report'!C869</f>
        <v>0</v>
      </c>
      <c r="I869">
        <f>'Audit Report'!D869</f>
        <v>0</v>
      </c>
      <c r="J869" t="str">
        <f>_xlfn.TEXTJOIN(" ",TRUE,'Audit Report'!G869,'Audit Report'!H869)</f>
        <v/>
      </c>
      <c r="L869" t="str">
        <f>_xlfn.TEXTJOIN(", ", TRUE, 'Audit Report'!K869,'Audit Report'!L869,'Audit Report'!M869)</f>
        <v/>
      </c>
      <c r="M869">
        <f>'Audit Report'!O869</f>
        <v>0</v>
      </c>
      <c r="N869" t="str" cm="1">
        <f t="array" ref="N869">IF(M869="","",
_xlfn.TEXTJOIN(", ",TRUE,
    _xlfn.MAP(_xlfn.TEXTSPLIT(M869,","),_xlfn.LAMBDA(_xlpm.x,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9">
        <f>'Audit Report'!F869</f>
        <v>0</v>
      </c>
      <c r="S869">
        <f>'Audit Report'!Q869</f>
        <v>0</v>
      </c>
    </row>
    <row r="870" spans="4:19">
      <c r="D870">
        <f>'Audit Report'!B870</f>
        <v>0</v>
      </c>
      <c r="E870">
        <f>'Audit Report'!C870</f>
        <v>0</v>
      </c>
      <c r="I870">
        <f>'Audit Report'!D870</f>
        <v>0</v>
      </c>
      <c r="J870" t="str">
        <f>_xlfn.TEXTJOIN(" ",TRUE,'Audit Report'!G870,'Audit Report'!H870)</f>
        <v/>
      </c>
      <c r="L870" t="str">
        <f>_xlfn.TEXTJOIN(", ", TRUE, 'Audit Report'!K870,'Audit Report'!L870,'Audit Report'!M870)</f>
        <v/>
      </c>
      <c r="M870">
        <f>'Audit Report'!O870</f>
        <v>0</v>
      </c>
      <c r="N870" t="str" cm="1">
        <f t="array" ref="N870">IF(M870="","",
_xlfn.TEXTJOIN(", ",TRUE,
    _xlfn.MAP(_xlfn.TEXTSPLIT(M870,","),_xlfn.LAMBDA(_xlpm.x,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0">
        <f>'Audit Report'!F870</f>
        <v>0</v>
      </c>
      <c r="S870">
        <f>'Audit Report'!Q870</f>
        <v>0</v>
      </c>
    </row>
    <row r="871" spans="4:19">
      <c r="D871">
        <f>'Audit Report'!B871</f>
        <v>0</v>
      </c>
      <c r="E871">
        <f>'Audit Report'!C871</f>
        <v>0</v>
      </c>
      <c r="I871">
        <f>'Audit Report'!D871</f>
        <v>0</v>
      </c>
      <c r="J871" t="str">
        <f>_xlfn.TEXTJOIN(" ",TRUE,'Audit Report'!G871,'Audit Report'!H871)</f>
        <v/>
      </c>
      <c r="L871" t="str">
        <f>_xlfn.TEXTJOIN(", ", TRUE, 'Audit Report'!K871,'Audit Report'!L871,'Audit Report'!M871)</f>
        <v/>
      </c>
      <c r="M871">
        <f>'Audit Report'!O871</f>
        <v>0</v>
      </c>
      <c r="N871" t="str" cm="1">
        <f t="array" ref="N871">IF(M871="","",
_xlfn.TEXTJOIN(", ",TRUE,
    _xlfn.MAP(_xlfn.TEXTSPLIT(M871,","),_xlfn.LAMBDA(_xlpm.x,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1">
        <f>'Audit Report'!F871</f>
        <v>0</v>
      </c>
      <c r="S871">
        <f>'Audit Report'!Q871</f>
        <v>0</v>
      </c>
    </row>
    <row r="872" spans="4:19">
      <c r="D872">
        <f>'Audit Report'!B872</f>
        <v>0</v>
      </c>
      <c r="E872">
        <f>'Audit Report'!C872</f>
        <v>0</v>
      </c>
      <c r="I872">
        <f>'Audit Report'!D872</f>
        <v>0</v>
      </c>
      <c r="J872" t="str">
        <f>_xlfn.TEXTJOIN(" ",TRUE,'Audit Report'!G872,'Audit Report'!H872)</f>
        <v/>
      </c>
      <c r="L872" t="str">
        <f>_xlfn.TEXTJOIN(", ", TRUE, 'Audit Report'!K872,'Audit Report'!L872,'Audit Report'!M872)</f>
        <v/>
      </c>
      <c r="M872">
        <f>'Audit Report'!O872</f>
        <v>0</v>
      </c>
      <c r="N872" t="str" cm="1">
        <f t="array" ref="N872">IF(M872="","",
_xlfn.TEXTJOIN(", ",TRUE,
    _xlfn.MAP(_xlfn.TEXTSPLIT(M872,","),_xlfn.LAMBDA(_xlpm.x,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2">
        <f>'Audit Report'!F872</f>
        <v>0</v>
      </c>
      <c r="S872">
        <f>'Audit Report'!Q872</f>
        <v>0</v>
      </c>
    </row>
    <row r="873" spans="4:19">
      <c r="D873">
        <f>'Audit Report'!B873</f>
        <v>0</v>
      </c>
      <c r="E873">
        <f>'Audit Report'!C873</f>
        <v>0</v>
      </c>
      <c r="I873">
        <f>'Audit Report'!D873</f>
        <v>0</v>
      </c>
      <c r="J873" t="str">
        <f>_xlfn.TEXTJOIN(" ",TRUE,'Audit Report'!G873,'Audit Report'!H873)</f>
        <v/>
      </c>
      <c r="L873" t="str">
        <f>_xlfn.TEXTJOIN(", ", TRUE, 'Audit Report'!K873,'Audit Report'!L873,'Audit Report'!M873)</f>
        <v/>
      </c>
      <c r="M873">
        <f>'Audit Report'!O873</f>
        <v>0</v>
      </c>
      <c r="N873" t="str" cm="1">
        <f t="array" ref="N873">IF(M873="","",
_xlfn.TEXTJOIN(", ",TRUE,
    _xlfn.MAP(_xlfn.TEXTSPLIT(M873,","),_xlfn.LAMBDA(_xlpm.x,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3">
        <f>'Audit Report'!F873</f>
        <v>0</v>
      </c>
      <c r="S873">
        <f>'Audit Report'!Q873</f>
        <v>0</v>
      </c>
    </row>
    <row r="874" spans="4:19">
      <c r="D874">
        <f>'Audit Report'!B874</f>
        <v>0</v>
      </c>
      <c r="E874">
        <f>'Audit Report'!C874</f>
        <v>0</v>
      </c>
      <c r="I874">
        <f>'Audit Report'!D874</f>
        <v>0</v>
      </c>
      <c r="J874" t="str">
        <f>_xlfn.TEXTJOIN(" ",TRUE,'Audit Report'!G874,'Audit Report'!H874)</f>
        <v/>
      </c>
      <c r="L874" t="str">
        <f>_xlfn.TEXTJOIN(", ", TRUE, 'Audit Report'!K874,'Audit Report'!L874,'Audit Report'!M874)</f>
        <v/>
      </c>
      <c r="M874">
        <f>'Audit Report'!O874</f>
        <v>0</v>
      </c>
      <c r="N874" t="str" cm="1">
        <f t="array" ref="N874">IF(M874="","",
_xlfn.TEXTJOIN(", ",TRUE,
    _xlfn.MAP(_xlfn.TEXTSPLIT(M874,","),_xlfn.LAMBDA(_xlpm.x,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4">
        <f>'Audit Report'!F874</f>
        <v>0</v>
      </c>
      <c r="S874">
        <f>'Audit Report'!Q874</f>
        <v>0</v>
      </c>
    </row>
    <row r="875" spans="4:19">
      <c r="D875">
        <f>'Audit Report'!B875</f>
        <v>0</v>
      </c>
      <c r="E875">
        <f>'Audit Report'!C875</f>
        <v>0</v>
      </c>
      <c r="I875">
        <f>'Audit Report'!D875</f>
        <v>0</v>
      </c>
      <c r="J875" t="str">
        <f>_xlfn.TEXTJOIN(" ",TRUE,'Audit Report'!G875,'Audit Report'!H875)</f>
        <v/>
      </c>
      <c r="L875" t="str">
        <f>_xlfn.TEXTJOIN(", ", TRUE, 'Audit Report'!K875,'Audit Report'!L875,'Audit Report'!M875)</f>
        <v/>
      </c>
      <c r="M875">
        <f>'Audit Report'!O875</f>
        <v>0</v>
      </c>
      <c r="N875" t="str" cm="1">
        <f t="array" ref="N875">IF(M875="","",
_xlfn.TEXTJOIN(", ",TRUE,
    _xlfn.MAP(_xlfn.TEXTSPLIT(M875,","),_xlfn.LAMBDA(_xlpm.x,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5">
        <f>'Audit Report'!F875</f>
        <v>0</v>
      </c>
      <c r="S875">
        <f>'Audit Report'!Q875</f>
        <v>0</v>
      </c>
    </row>
    <row r="876" spans="4:19">
      <c r="D876">
        <f>'Audit Report'!B876</f>
        <v>0</v>
      </c>
      <c r="E876">
        <f>'Audit Report'!C876</f>
        <v>0</v>
      </c>
      <c r="I876">
        <f>'Audit Report'!D876</f>
        <v>0</v>
      </c>
      <c r="J876" t="str">
        <f>_xlfn.TEXTJOIN(" ",TRUE,'Audit Report'!G876,'Audit Report'!H876)</f>
        <v/>
      </c>
      <c r="L876" t="str">
        <f>_xlfn.TEXTJOIN(", ", TRUE, 'Audit Report'!K876,'Audit Report'!L876,'Audit Report'!M876)</f>
        <v/>
      </c>
      <c r="M876">
        <f>'Audit Report'!O876</f>
        <v>0</v>
      </c>
      <c r="N876" t="str" cm="1">
        <f t="array" ref="N876">IF(M876="","",
_xlfn.TEXTJOIN(", ",TRUE,
    _xlfn.MAP(_xlfn.TEXTSPLIT(M876,","),_xlfn.LAMBDA(_xlpm.x,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6">
        <f>'Audit Report'!F876</f>
        <v>0</v>
      </c>
      <c r="S876">
        <f>'Audit Report'!Q876</f>
        <v>0</v>
      </c>
    </row>
    <row r="877" spans="4:19">
      <c r="D877">
        <f>'Audit Report'!B877</f>
        <v>0</v>
      </c>
      <c r="E877">
        <f>'Audit Report'!C877</f>
        <v>0</v>
      </c>
      <c r="I877">
        <f>'Audit Report'!D877</f>
        <v>0</v>
      </c>
      <c r="J877" t="str">
        <f>_xlfn.TEXTJOIN(" ",TRUE,'Audit Report'!G877,'Audit Report'!H877)</f>
        <v/>
      </c>
      <c r="L877" t="str">
        <f>_xlfn.TEXTJOIN(", ", TRUE, 'Audit Report'!K877,'Audit Report'!L877,'Audit Report'!M877)</f>
        <v/>
      </c>
      <c r="M877">
        <f>'Audit Report'!O877</f>
        <v>0</v>
      </c>
      <c r="N877" t="str" cm="1">
        <f t="array" ref="N877">IF(M877="","",
_xlfn.TEXTJOIN(", ",TRUE,
    _xlfn.MAP(_xlfn.TEXTSPLIT(M877,","),_xlfn.LAMBDA(_xlpm.x,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7">
        <f>'Audit Report'!F877</f>
        <v>0</v>
      </c>
      <c r="S877">
        <f>'Audit Report'!Q877</f>
        <v>0</v>
      </c>
    </row>
    <row r="878" spans="4:19">
      <c r="D878">
        <f>'Audit Report'!B878</f>
        <v>0</v>
      </c>
      <c r="E878">
        <f>'Audit Report'!C878</f>
        <v>0</v>
      </c>
      <c r="I878">
        <f>'Audit Report'!D878</f>
        <v>0</v>
      </c>
      <c r="J878" t="str">
        <f>_xlfn.TEXTJOIN(" ",TRUE,'Audit Report'!G878,'Audit Report'!H878)</f>
        <v/>
      </c>
      <c r="L878" t="str">
        <f>_xlfn.TEXTJOIN(", ", TRUE, 'Audit Report'!K878,'Audit Report'!L878,'Audit Report'!M878)</f>
        <v/>
      </c>
      <c r="M878">
        <f>'Audit Report'!O878</f>
        <v>0</v>
      </c>
      <c r="N878" t="str" cm="1">
        <f t="array" ref="N878">IF(M878="","",
_xlfn.TEXTJOIN(", ",TRUE,
    _xlfn.MAP(_xlfn.TEXTSPLIT(M878,","),_xlfn.LAMBDA(_xlpm.x,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8">
        <f>'Audit Report'!F878</f>
        <v>0</v>
      </c>
      <c r="S878">
        <f>'Audit Report'!Q878</f>
        <v>0</v>
      </c>
    </row>
    <row r="879" spans="4:19">
      <c r="D879">
        <f>'Audit Report'!B879</f>
        <v>0</v>
      </c>
      <c r="E879">
        <f>'Audit Report'!C879</f>
        <v>0</v>
      </c>
      <c r="I879">
        <f>'Audit Report'!D879</f>
        <v>0</v>
      </c>
      <c r="J879" t="str">
        <f>_xlfn.TEXTJOIN(" ",TRUE,'Audit Report'!G879,'Audit Report'!H879)</f>
        <v/>
      </c>
      <c r="L879" t="str">
        <f>_xlfn.TEXTJOIN(", ", TRUE, 'Audit Report'!K879,'Audit Report'!L879,'Audit Report'!M879)</f>
        <v/>
      </c>
      <c r="M879">
        <f>'Audit Report'!O879</f>
        <v>0</v>
      </c>
      <c r="N879" t="str" cm="1">
        <f t="array" ref="N879">IF(M879="","",
_xlfn.TEXTJOIN(", ",TRUE,
    _xlfn.MAP(_xlfn.TEXTSPLIT(M879,","),_xlfn.LAMBDA(_xlpm.x,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9">
        <f>'Audit Report'!F879</f>
        <v>0</v>
      </c>
      <c r="S879">
        <f>'Audit Report'!Q879</f>
        <v>0</v>
      </c>
    </row>
    <row r="880" spans="4:19">
      <c r="D880">
        <f>'Audit Report'!B880</f>
        <v>0</v>
      </c>
      <c r="E880">
        <f>'Audit Report'!C880</f>
        <v>0</v>
      </c>
      <c r="I880">
        <f>'Audit Report'!D880</f>
        <v>0</v>
      </c>
      <c r="J880" t="str">
        <f>_xlfn.TEXTJOIN(" ",TRUE,'Audit Report'!G880,'Audit Report'!H880)</f>
        <v/>
      </c>
      <c r="L880" t="str">
        <f>_xlfn.TEXTJOIN(", ", TRUE, 'Audit Report'!K880,'Audit Report'!L880,'Audit Report'!M880)</f>
        <v/>
      </c>
      <c r="M880">
        <f>'Audit Report'!O880</f>
        <v>0</v>
      </c>
      <c r="N880" t="str" cm="1">
        <f t="array" ref="N880">IF(M880="","",
_xlfn.TEXTJOIN(", ",TRUE,
    _xlfn.MAP(_xlfn.TEXTSPLIT(M880,","),_xlfn.LAMBDA(_xlpm.x,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0">
        <f>'Audit Report'!F880</f>
        <v>0</v>
      </c>
      <c r="S880">
        <f>'Audit Report'!Q880</f>
        <v>0</v>
      </c>
    </row>
    <row r="881" spans="4:19">
      <c r="D881">
        <f>'Audit Report'!B881</f>
        <v>0</v>
      </c>
      <c r="E881">
        <f>'Audit Report'!C881</f>
        <v>0</v>
      </c>
      <c r="I881">
        <f>'Audit Report'!D881</f>
        <v>0</v>
      </c>
      <c r="J881" t="str">
        <f>_xlfn.TEXTJOIN(" ",TRUE,'Audit Report'!G881,'Audit Report'!H881)</f>
        <v/>
      </c>
      <c r="L881" t="str">
        <f>_xlfn.TEXTJOIN(", ", TRUE, 'Audit Report'!K881,'Audit Report'!L881,'Audit Report'!M881)</f>
        <v/>
      </c>
      <c r="M881">
        <f>'Audit Report'!O881</f>
        <v>0</v>
      </c>
      <c r="N881" t="str" cm="1">
        <f t="array" ref="N881">IF(M881="","",
_xlfn.TEXTJOIN(", ",TRUE,
    _xlfn.MAP(_xlfn.TEXTSPLIT(M881,","),_xlfn.LAMBDA(_xlpm.x,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1">
        <f>'Audit Report'!F881</f>
        <v>0</v>
      </c>
      <c r="S881">
        <f>'Audit Report'!Q881</f>
        <v>0</v>
      </c>
    </row>
    <row r="882" spans="4:19">
      <c r="D882">
        <f>'Audit Report'!B882</f>
        <v>0</v>
      </c>
      <c r="E882">
        <f>'Audit Report'!C882</f>
        <v>0</v>
      </c>
      <c r="I882">
        <f>'Audit Report'!D882</f>
        <v>0</v>
      </c>
      <c r="J882" t="str">
        <f>_xlfn.TEXTJOIN(" ",TRUE,'Audit Report'!G882,'Audit Report'!H882)</f>
        <v/>
      </c>
      <c r="L882" t="str">
        <f>_xlfn.TEXTJOIN(", ", TRUE, 'Audit Report'!K882,'Audit Report'!L882,'Audit Report'!M882)</f>
        <v/>
      </c>
      <c r="M882">
        <f>'Audit Report'!O882</f>
        <v>0</v>
      </c>
      <c r="N882" t="str" cm="1">
        <f t="array" ref="N882">IF(M882="","",
_xlfn.TEXTJOIN(", ",TRUE,
    _xlfn.MAP(_xlfn.TEXTSPLIT(M882,","),_xlfn.LAMBDA(_xlpm.x,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2">
        <f>'Audit Report'!F882</f>
        <v>0</v>
      </c>
      <c r="S882">
        <f>'Audit Report'!Q882</f>
        <v>0</v>
      </c>
    </row>
    <row r="883" spans="4:19">
      <c r="D883">
        <f>'Audit Report'!B883</f>
        <v>0</v>
      </c>
      <c r="E883">
        <f>'Audit Report'!C883</f>
        <v>0</v>
      </c>
      <c r="I883">
        <f>'Audit Report'!D883</f>
        <v>0</v>
      </c>
      <c r="J883" t="str">
        <f>_xlfn.TEXTJOIN(" ",TRUE,'Audit Report'!G883,'Audit Report'!H883)</f>
        <v/>
      </c>
      <c r="L883" t="str">
        <f>_xlfn.TEXTJOIN(", ", TRUE, 'Audit Report'!K883,'Audit Report'!L883,'Audit Report'!M883)</f>
        <v/>
      </c>
      <c r="M883">
        <f>'Audit Report'!O883</f>
        <v>0</v>
      </c>
      <c r="N883" t="str" cm="1">
        <f t="array" ref="N883">IF(M883="","",
_xlfn.TEXTJOIN(", ",TRUE,
    _xlfn.MAP(_xlfn.TEXTSPLIT(M883,","),_xlfn.LAMBDA(_xlpm.x,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3">
        <f>'Audit Report'!F883</f>
        <v>0</v>
      </c>
      <c r="S883">
        <f>'Audit Report'!Q883</f>
        <v>0</v>
      </c>
    </row>
    <row r="884" spans="4:19">
      <c r="D884">
        <f>'Audit Report'!B884</f>
        <v>0</v>
      </c>
      <c r="E884">
        <f>'Audit Report'!C884</f>
        <v>0</v>
      </c>
      <c r="I884">
        <f>'Audit Report'!D884</f>
        <v>0</v>
      </c>
      <c r="J884" t="str">
        <f>_xlfn.TEXTJOIN(" ",TRUE,'Audit Report'!G884,'Audit Report'!H884)</f>
        <v/>
      </c>
      <c r="L884" t="str">
        <f>_xlfn.TEXTJOIN(", ", TRUE, 'Audit Report'!K884,'Audit Report'!L884,'Audit Report'!M884)</f>
        <v/>
      </c>
      <c r="M884">
        <f>'Audit Report'!O884</f>
        <v>0</v>
      </c>
      <c r="N884" t="str" cm="1">
        <f t="array" ref="N884">IF(M884="","",
_xlfn.TEXTJOIN(", ",TRUE,
    _xlfn.MAP(_xlfn.TEXTSPLIT(M884,","),_xlfn.LAMBDA(_xlpm.x,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4">
        <f>'Audit Report'!F884</f>
        <v>0</v>
      </c>
      <c r="S884">
        <f>'Audit Report'!Q884</f>
        <v>0</v>
      </c>
    </row>
    <row r="885" spans="4:19">
      <c r="D885">
        <f>'Audit Report'!B885</f>
        <v>0</v>
      </c>
      <c r="E885">
        <f>'Audit Report'!C885</f>
        <v>0</v>
      </c>
      <c r="I885">
        <f>'Audit Report'!D885</f>
        <v>0</v>
      </c>
      <c r="J885" t="str">
        <f>_xlfn.TEXTJOIN(" ",TRUE,'Audit Report'!G885,'Audit Report'!H885)</f>
        <v/>
      </c>
      <c r="L885" t="str">
        <f>_xlfn.TEXTJOIN(", ", TRUE, 'Audit Report'!K885,'Audit Report'!L885,'Audit Report'!M885)</f>
        <v/>
      </c>
      <c r="M885">
        <f>'Audit Report'!O885</f>
        <v>0</v>
      </c>
      <c r="N885" t="str" cm="1">
        <f t="array" ref="N885">IF(M885="","",
_xlfn.TEXTJOIN(", ",TRUE,
    _xlfn.MAP(_xlfn.TEXTSPLIT(M885,","),_xlfn.LAMBDA(_xlpm.x,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5">
        <f>'Audit Report'!F885</f>
        <v>0</v>
      </c>
      <c r="S885">
        <f>'Audit Report'!Q885</f>
        <v>0</v>
      </c>
    </row>
    <row r="886" spans="4:19">
      <c r="D886">
        <f>'Audit Report'!B886</f>
        <v>0</v>
      </c>
      <c r="E886">
        <f>'Audit Report'!C886</f>
        <v>0</v>
      </c>
      <c r="I886">
        <f>'Audit Report'!D886</f>
        <v>0</v>
      </c>
      <c r="J886" t="str">
        <f>_xlfn.TEXTJOIN(" ",TRUE,'Audit Report'!G886,'Audit Report'!H886)</f>
        <v/>
      </c>
      <c r="L886" t="str">
        <f>_xlfn.TEXTJOIN(", ", TRUE, 'Audit Report'!K886,'Audit Report'!L886,'Audit Report'!M886)</f>
        <v/>
      </c>
      <c r="M886">
        <f>'Audit Report'!O886</f>
        <v>0</v>
      </c>
      <c r="N886" t="str" cm="1">
        <f t="array" ref="N886">IF(M886="","",
_xlfn.TEXTJOIN(", ",TRUE,
    _xlfn.MAP(_xlfn.TEXTSPLIT(M886,","),_xlfn.LAMBDA(_xlpm.x,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6">
        <f>'Audit Report'!F886</f>
        <v>0</v>
      </c>
      <c r="S886">
        <f>'Audit Report'!Q886</f>
        <v>0</v>
      </c>
    </row>
    <row r="887" spans="4:19">
      <c r="D887">
        <f>'Audit Report'!B887</f>
        <v>0</v>
      </c>
      <c r="E887">
        <f>'Audit Report'!C887</f>
        <v>0</v>
      </c>
      <c r="I887">
        <f>'Audit Report'!D887</f>
        <v>0</v>
      </c>
      <c r="J887" t="str">
        <f>_xlfn.TEXTJOIN(" ",TRUE,'Audit Report'!G887,'Audit Report'!H887)</f>
        <v/>
      </c>
      <c r="L887" t="str">
        <f>_xlfn.TEXTJOIN(", ", TRUE, 'Audit Report'!K887,'Audit Report'!L887,'Audit Report'!M887)</f>
        <v/>
      </c>
      <c r="M887">
        <f>'Audit Report'!O887</f>
        <v>0</v>
      </c>
      <c r="N887" t="str" cm="1">
        <f t="array" ref="N887">IF(M887="","",
_xlfn.TEXTJOIN(", ",TRUE,
    _xlfn.MAP(_xlfn.TEXTSPLIT(M887,","),_xlfn.LAMBDA(_xlpm.x,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7">
        <f>'Audit Report'!F887</f>
        <v>0</v>
      </c>
      <c r="S887">
        <f>'Audit Report'!Q887</f>
        <v>0</v>
      </c>
    </row>
    <row r="888" spans="4:19">
      <c r="D888">
        <f>'Audit Report'!B888</f>
        <v>0</v>
      </c>
      <c r="E888">
        <f>'Audit Report'!C888</f>
        <v>0</v>
      </c>
      <c r="I888">
        <f>'Audit Report'!D888</f>
        <v>0</v>
      </c>
      <c r="J888" t="str">
        <f>_xlfn.TEXTJOIN(" ",TRUE,'Audit Report'!G888,'Audit Report'!H888)</f>
        <v/>
      </c>
      <c r="L888" t="str">
        <f>_xlfn.TEXTJOIN(", ", TRUE, 'Audit Report'!K888,'Audit Report'!L888,'Audit Report'!M888)</f>
        <v/>
      </c>
      <c r="M888">
        <f>'Audit Report'!O888</f>
        <v>0</v>
      </c>
      <c r="N888" t="str" cm="1">
        <f t="array" ref="N888">IF(M888="","",
_xlfn.TEXTJOIN(", ",TRUE,
    _xlfn.MAP(_xlfn.TEXTSPLIT(M888,","),_xlfn.LAMBDA(_xlpm.x,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8">
        <f>'Audit Report'!F888</f>
        <v>0</v>
      </c>
      <c r="S888">
        <f>'Audit Report'!Q888</f>
        <v>0</v>
      </c>
    </row>
    <row r="889" spans="4:19">
      <c r="D889">
        <f>'Audit Report'!B889</f>
        <v>0</v>
      </c>
      <c r="E889">
        <f>'Audit Report'!C889</f>
        <v>0</v>
      </c>
      <c r="I889">
        <f>'Audit Report'!D889</f>
        <v>0</v>
      </c>
      <c r="J889" t="str">
        <f>_xlfn.TEXTJOIN(" ",TRUE,'Audit Report'!G889,'Audit Report'!H889)</f>
        <v/>
      </c>
      <c r="L889" t="str">
        <f>_xlfn.TEXTJOIN(", ", TRUE, 'Audit Report'!K889,'Audit Report'!L889,'Audit Report'!M889)</f>
        <v/>
      </c>
      <c r="M889">
        <f>'Audit Report'!O889</f>
        <v>0</v>
      </c>
      <c r="N889" t="str" cm="1">
        <f t="array" ref="N889">IF(M889="","",
_xlfn.TEXTJOIN(", ",TRUE,
    _xlfn.MAP(_xlfn.TEXTSPLIT(M889,","),_xlfn.LAMBDA(_xlpm.x,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9">
        <f>'Audit Report'!F889</f>
        <v>0</v>
      </c>
      <c r="S889">
        <f>'Audit Report'!Q889</f>
        <v>0</v>
      </c>
    </row>
    <row r="890" spans="4:19">
      <c r="D890">
        <f>'Audit Report'!B890</f>
        <v>0</v>
      </c>
      <c r="E890">
        <f>'Audit Report'!C890</f>
        <v>0</v>
      </c>
      <c r="I890">
        <f>'Audit Report'!D890</f>
        <v>0</v>
      </c>
      <c r="J890" t="str">
        <f>_xlfn.TEXTJOIN(" ",TRUE,'Audit Report'!G890,'Audit Report'!H890)</f>
        <v/>
      </c>
      <c r="L890" t="str">
        <f>_xlfn.TEXTJOIN(", ", TRUE, 'Audit Report'!K890,'Audit Report'!L890,'Audit Report'!M890)</f>
        <v/>
      </c>
      <c r="M890">
        <f>'Audit Report'!O890</f>
        <v>0</v>
      </c>
      <c r="N890" t="str" cm="1">
        <f t="array" ref="N890">IF(M890="","",
_xlfn.TEXTJOIN(", ",TRUE,
    _xlfn.MAP(_xlfn.TEXTSPLIT(M890,","),_xlfn.LAMBDA(_xlpm.x,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0">
        <f>'Audit Report'!F890</f>
        <v>0</v>
      </c>
      <c r="S890">
        <f>'Audit Report'!Q890</f>
        <v>0</v>
      </c>
    </row>
    <row r="891" spans="4:19">
      <c r="D891">
        <f>'Audit Report'!B891</f>
        <v>0</v>
      </c>
      <c r="E891">
        <f>'Audit Report'!C891</f>
        <v>0</v>
      </c>
      <c r="I891">
        <f>'Audit Report'!D891</f>
        <v>0</v>
      </c>
      <c r="J891" t="str">
        <f>_xlfn.TEXTJOIN(" ",TRUE,'Audit Report'!G891,'Audit Report'!H891)</f>
        <v/>
      </c>
      <c r="L891" t="str">
        <f>_xlfn.TEXTJOIN(", ", TRUE, 'Audit Report'!K891,'Audit Report'!L891,'Audit Report'!M891)</f>
        <v/>
      </c>
      <c r="M891">
        <f>'Audit Report'!O891</f>
        <v>0</v>
      </c>
      <c r="N891" t="str" cm="1">
        <f t="array" ref="N891">IF(M891="","",
_xlfn.TEXTJOIN(", ",TRUE,
    _xlfn.MAP(_xlfn.TEXTSPLIT(M891,","),_xlfn.LAMBDA(_xlpm.x,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1">
        <f>'Audit Report'!F891</f>
        <v>0</v>
      </c>
      <c r="S891">
        <f>'Audit Report'!Q891</f>
        <v>0</v>
      </c>
    </row>
    <row r="892" spans="4:19">
      <c r="D892">
        <f>'Audit Report'!B892</f>
        <v>0</v>
      </c>
      <c r="E892">
        <f>'Audit Report'!C892</f>
        <v>0</v>
      </c>
      <c r="I892">
        <f>'Audit Report'!D892</f>
        <v>0</v>
      </c>
      <c r="J892" t="str">
        <f>_xlfn.TEXTJOIN(" ",TRUE,'Audit Report'!G892,'Audit Report'!H892)</f>
        <v/>
      </c>
      <c r="L892" t="str">
        <f>_xlfn.TEXTJOIN(", ", TRUE, 'Audit Report'!K892,'Audit Report'!L892,'Audit Report'!M892)</f>
        <v/>
      </c>
      <c r="M892">
        <f>'Audit Report'!O892</f>
        <v>0</v>
      </c>
      <c r="N892" t="str" cm="1">
        <f t="array" ref="N892">IF(M892="","",
_xlfn.TEXTJOIN(", ",TRUE,
    _xlfn.MAP(_xlfn.TEXTSPLIT(M892,","),_xlfn.LAMBDA(_xlpm.x,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2">
        <f>'Audit Report'!F892</f>
        <v>0</v>
      </c>
      <c r="S892">
        <f>'Audit Report'!Q892</f>
        <v>0</v>
      </c>
    </row>
    <row r="893" spans="4:19">
      <c r="D893">
        <f>'Audit Report'!B893</f>
        <v>0</v>
      </c>
      <c r="E893">
        <f>'Audit Report'!C893</f>
        <v>0</v>
      </c>
      <c r="I893">
        <f>'Audit Report'!D893</f>
        <v>0</v>
      </c>
      <c r="J893" t="str">
        <f>_xlfn.TEXTJOIN(" ",TRUE,'Audit Report'!G893,'Audit Report'!H893)</f>
        <v/>
      </c>
      <c r="L893" t="str">
        <f>_xlfn.TEXTJOIN(", ", TRUE, 'Audit Report'!K893,'Audit Report'!L893,'Audit Report'!M893)</f>
        <v/>
      </c>
      <c r="M893">
        <f>'Audit Report'!O893</f>
        <v>0</v>
      </c>
      <c r="N893" t="str" cm="1">
        <f t="array" ref="N893">IF(M893="","",
_xlfn.TEXTJOIN(", ",TRUE,
    _xlfn.MAP(_xlfn.TEXTSPLIT(M893,","),_xlfn.LAMBDA(_xlpm.x,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3">
        <f>'Audit Report'!F893</f>
        <v>0</v>
      </c>
      <c r="S893">
        <f>'Audit Report'!Q893</f>
        <v>0</v>
      </c>
    </row>
    <row r="894" spans="4:19">
      <c r="D894">
        <f>'Audit Report'!B894</f>
        <v>0</v>
      </c>
      <c r="E894">
        <f>'Audit Report'!C894</f>
        <v>0</v>
      </c>
      <c r="I894">
        <f>'Audit Report'!D894</f>
        <v>0</v>
      </c>
      <c r="J894" t="str">
        <f>_xlfn.TEXTJOIN(" ",TRUE,'Audit Report'!G894,'Audit Report'!H894)</f>
        <v/>
      </c>
      <c r="L894" t="str">
        <f>_xlfn.TEXTJOIN(", ", TRUE, 'Audit Report'!K894,'Audit Report'!L894,'Audit Report'!M894)</f>
        <v/>
      </c>
      <c r="M894">
        <f>'Audit Report'!O894</f>
        <v>0</v>
      </c>
      <c r="N894" t="str" cm="1">
        <f t="array" ref="N894">IF(M894="","",
_xlfn.TEXTJOIN(", ",TRUE,
    _xlfn.MAP(_xlfn.TEXTSPLIT(M894,","),_xlfn.LAMBDA(_xlpm.x,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4">
        <f>'Audit Report'!F894</f>
        <v>0</v>
      </c>
      <c r="S894">
        <f>'Audit Report'!Q894</f>
        <v>0</v>
      </c>
    </row>
    <row r="895" spans="4:19">
      <c r="D895">
        <f>'Audit Report'!B895</f>
        <v>0</v>
      </c>
      <c r="E895">
        <f>'Audit Report'!C895</f>
        <v>0</v>
      </c>
      <c r="I895">
        <f>'Audit Report'!D895</f>
        <v>0</v>
      </c>
      <c r="J895" t="str">
        <f>_xlfn.TEXTJOIN(" ",TRUE,'Audit Report'!G895,'Audit Report'!H895)</f>
        <v/>
      </c>
      <c r="L895" t="str">
        <f>_xlfn.TEXTJOIN(", ", TRUE, 'Audit Report'!K895,'Audit Report'!L895,'Audit Report'!M895)</f>
        <v/>
      </c>
      <c r="M895">
        <f>'Audit Report'!O895</f>
        <v>0</v>
      </c>
      <c r="N895" t="str" cm="1">
        <f t="array" ref="N895">IF(M895="","",
_xlfn.TEXTJOIN(", ",TRUE,
    _xlfn.MAP(_xlfn.TEXTSPLIT(M895,","),_xlfn.LAMBDA(_xlpm.x,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5">
        <f>'Audit Report'!F895</f>
        <v>0</v>
      </c>
      <c r="S895">
        <f>'Audit Report'!Q895</f>
        <v>0</v>
      </c>
    </row>
    <row r="896" spans="4:19">
      <c r="D896">
        <f>'Audit Report'!B896</f>
        <v>0</v>
      </c>
      <c r="E896">
        <f>'Audit Report'!C896</f>
        <v>0</v>
      </c>
      <c r="I896">
        <f>'Audit Report'!D896</f>
        <v>0</v>
      </c>
      <c r="J896" t="str">
        <f>_xlfn.TEXTJOIN(" ",TRUE,'Audit Report'!G896,'Audit Report'!H896)</f>
        <v/>
      </c>
      <c r="L896" t="str">
        <f>_xlfn.TEXTJOIN(", ", TRUE, 'Audit Report'!K896,'Audit Report'!L896,'Audit Report'!M896)</f>
        <v/>
      </c>
      <c r="M896">
        <f>'Audit Report'!O896</f>
        <v>0</v>
      </c>
      <c r="N896" t="str" cm="1">
        <f t="array" ref="N896">IF(M896="","",
_xlfn.TEXTJOIN(", ",TRUE,
    _xlfn.MAP(_xlfn.TEXTSPLIT(M896,","),_xlfn.LAMBDA(_xlpm.x,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6">
        <f>'Audit Report'!F896</f>
        <v>0</v>
      </c>
      <c r="S896">
        <f>'Audit Report'!Q896</f>
        <v>0</v>
      </c>
    </row>
    <row r="897" spans="4:19">
      <c r="D897">
        <f>'Audit Report'!B897</f>
        <v>0</v>
      </c>
      <c r="E897">
        <f>'Audit Report'!C897</f>
        <v>0</v>
      </c>
      <c r="I897">
        <f>'Audit Report'!D897</f>
        <v>0</v>
      </c>
      <c r="J897" t="str">
        <f>_xlfn.TEXTJOIN(" ",TRUE,'Audit Report'!G897,'Audit Report'!H897)</f>
        <v/>
      </c>
      <c r="L897" t="str">
        <f>_xlfn.TEXTJOIN(", ", TRUE, 'Audit Report'!K897,'Audit Report'!L897,'Audit Report'!M897)</f>
        <v/>
      </c>
      <c r="M897">
        <f>'Audit Report'!O897</f>
        <v>0</v>
      </c>
      <c r="N897" t="str" cm="1">
        <f t="array" ref="N897">IF(M897="","",
_xlfn.TEXTJOIN(", ",TRUE,
    _xlfn.MAP(_xlfn.TEXTSPLIT(M897,","),_xlfn.LAMBDA(_xlpm.x,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7">
        <f>'Audit Report'!F897</f>
        <v>0</v>
      </c>
      <c r="S897">
        <f>'Audit Report'!Q897</f>
        <v>0</v>
      </c>
    </row>
    <row r="898" spans="4:19">
      <c r="D898">
        <f>'Audit Report'!B898</f>
        <v>0</v>
      </c>
      <c r="E898">
        <f>'Audit Report'!C898</f>
        <v>0</v>
      </c>
      <c r="I898">
        <f>'Audit Report'!D898</f>
        <v>0</v>
      </c>
      <c r="J898" t="str">
        <f>_xlfn.TEXTJOIN(" ",TRUE,'Audit Report'!G898,'Audit Report'!H898)</f>
        <v/>
      </c>
      <c r="L898" t="str">
        <f>_xlfn.TEXTJOIN(", ", TRUE, 'Audit Report'!K898,'Audit Report'!L898,'Audit Report'!M898)</f>
        <v/>
      </c>
      <c r="M898">
        <f>'Audit Report'!O898</f>
        <v>0</v>
      </c>
      <c r="N898" t="str" cm="1">
        <f t="array" ref="N898">IF(M898="","",
_xlfn.TEXTJOIN(", ",TRUE,
    _xlfn.MAP(_xlfn.TEXTSPLIT(M898,","),_xlfn.LAMBDA(_xlpm.x,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8">
        <f>'Audit Report'!F898</f>
        <v>0</v>
      </c>
      <c r="S898">
        <f>'Audit Report'!Q898</f>
        <v>0</v>
      </c>
    </row>
    <row r="899" spans="4:19">
      <c r="D899">
        <f>'Audit Report'!B899</f>
        <v>0</v>
      </c>
      <c r="E899">
        <f>'Audit Report'!C899</f>
        <v>0</v>
      </c>
      <c r="I899">
        <f>'Audit Report'!D899</f>
        <v>0</v>
      </c>
      <c r="J899" t="str">
        <f>_xlfn.TEXTJOIN(" ",TRUE,'Audit Report'!G899,'Audit Report'!H899)</f>
        <v/>
      </c>
      <c r="L899" t="str">
        <f>_xlfn.TEXTJOIN(", ", TRUE, 'Audit Report'!K899,'Audit Report'!L899,'Audit Report'!M899)</f>
        <v/>
      </c>
      <c r="M899">
        <f>'Audit Report'!O899</f>
        <v>0</v>
      </c>
      <c r="N899" t="str" cm="1">
        <f t="array" ref="N899">IF(M899="","",
_xlfn.TEXTJOIN(", ",TRUE,
    _xlfn.MAP(_xlfn.TEXTSPLIT(M899,","),_xlfn.LAMBDA(_xlpm.x,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9">
        <f>'Audit Report'!F899</f>
        <v>0</v>
      </c>
      <c r="S899">
        <f>'Audit Report'!Q899</f>
        <v>0</v>
      </c>
    </row>
    <row r="900" spans="4:19">
      <c r="D900">
        <f>'Audit Report'!B900</f>
        <v>0</v>
      </c>
      <c r="E900">
        <f>'Audit Report'!C900</f>
        <v>0</v>
      </c>
      <c r="I900">
        <f>'Audit Report'!D900</f>
        <v>0</v>
      </c>
      <c r="J900" t="str">
        <f>_xlfn.TEXTJOIN(" ",TRUE,'Audit Report'!G900,'Audit Report'!H900)</f>
        <v/>
      </c>
      <c r="L900" t="str">
        <f>_xlfn.TEXTJOIN(", ", TRUE, 'Audit Report'!K900,'Audit Report'!L900,'Audit Report'!M900)</f>
        <v/>
      </c>
      <c r="M900">
        <f>'Audit Report'!O900</f>
        <v>0</v>
      </c>
      <c r="N900" t="str" cm="1">
        <f t="array" ref="N900">IF(M900="","",
_xlfn.TEXTJOIN(", ",TRUE,
    _xlfn.MAP(_xlfn.TEXTSPLIT(M900,","),_xlfn.LAMBDA(_xlpm.x,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0">
        <f>'Audit Report'!F900</f>
        <v>0</v>
      </c>
      <c r="S900">
        <f>'Audit Report'!Q900</f>
        <v>0</v>
      </c>
    </row>
    <row r="901" spans="4:19">
      <c r="D901">
        <f>'Audit Report'!B901</f>
        <v>0</v>
      </c>
      <c r="E901">
        <f>'Audit Report'!C901</f>
        <v>0</v>
      </c>
      <c r="I901">
        <f>'Audit Report'!D901</f>
        <v>0</v>
      </c>
      <c r="J901" t="str">
        <f>_xlfn.TEXTJOIN(" ",TRUE,'Audit Report'!G901,'Audit Report'!H901)</f>
        <v/>
      </c>
      <c r="L901" t="str">
        <f>_xlfn.TEXTJOIN(", ", TRUE, 'Audit Report'!K901,'Audit Report'!L901,'Audit Report'!M901)</f>
        <v/>
      </c>
      <c r="M901">
        <f>'Audit Report'!O901</f>
        <v>0</v>
      </c>
      <c r="N901" t="str" cm="1">
        <f t="array" ref="N901">IF(M901="","",
_xlfn.TEXTJOIN(", ",TRUE,
    _xlfn.MAP(_xlfn.TEXTSPLIT(M901,","),_xlfn.LAMBDA(_xlpm.x,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1">
        <f>'Audit Report'!F901</f>
        <v>0</v>
      </c>
      <c r="S901">
        <f>'Audit Report'!Q901</f>
        <v>0</v>
      </c>
    </row>
    <row r="902" spans="4:19">
      <c r="D902">
        <f>'Audit Report'!B902</f>
        <v>0</v>
      </c>
      <c r="E902">
        <f>'Audit Report'!C902</f>
        <v>0</v>
      </c>
      <c r="I902">
        <f>'Audit Report'!D902</f>
        <v>0</v>
      </c>
      <c r="J902" t="str">
        <f>_xlfn.TEXTJOIN(" ",TRUE,'Audit Report'!G902,'Audit Report'!H902)</f>
        <v/>
      </c>
      <c r="L902" t="str">
        <f>_xlfn.TEXTJOIN(", ", TRUE, 'Audit Report'!K902,'Audit Report'!L902,'Audit Report'!M902)</f>
        <v/>
      </c>
      <c r="M902">
        <f>'Audit Report'!O902</f>
        <v>0</v>
      </c>
      <c r="N902" t="str" cm="1">
        <f t="array" ref="N902">IF(M902="","",
_xlfn.TEXTJOIN(", ",TRUE,
    _xlfn.MAP(_xlfn.TEXTSPLIT(M902,","),_xlfn.LAMBDA(_xlpm.x,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2">
        <f>'Audit Report'!F902</f>
        <v>0</v>
      </c>
      <c r="S902">
        <f>'Audit Report'!Q902</f>
        <v>0</v>
      </c>
    </row>
    <row r="903" spans="4:19">
      <c r="D903">
        <f>'Audit Report'!B903</f>
        <v>0</v>
      </c>
      <c r="E903">
        <f>'Audit Report'!C903</f>
        <v>0</v>
      </c>
      <c r="I903">
        <f>'Audit Report'!D903</f>
        <v>0</v>
      </c>
      <c r="J903" t="str">
        <f>_xlfn.TEXTJOIN(" ",TRUE,'Audit Report'!G903,'Audit Report'!H903)</f>
        <v/>
      </c>
      <c r="L903" t="str">
        <f>_xlfn.TEXTJOIN(", ", TRUE, 'Audit Report'!K903,'Audit Report'!L903,'Audit Report'!M903)</f>
        <v/>
      </c>
      <c r="M903">
        <f>'Audit Report'!O903</f>
        <v>0</v>
      </c>
      <c r="N903" t="str" cm="1">
        <f t="array" ref="N903">IF(M903="","",
_xlfn.TEXTJOIN(", ",TRUE,
    _xlfn.MAP(_xlfn.TEXTSPLIT(M903,","),_xlfn.LAMBDA(_xlpm.x,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3">
        <f>'Audit Report'!F903</f>
        <v>0</v>
      </c>
      <c r="S903">
        <f>'Audit Report'!Q903</f>
        <v>0</v>
      </c>
    </row>
    <row r="904" spans="4:19">
      <c r="D904">
        <f>'Audit Report'!B904</f>
        <v>0</v>
      </c>
      <c r="E904">
        <f>'Audit Report'!C904</f>
        <v>0</v>
      </c>
      <c r="I904">
        <f>'Audit Report'!D904</f>
        <v>0</v>
      </c>
      <c r="J904" t="str">
        <f>_xlfn.TEXTJOIN(" ",TRUE,'Audit Report'!G904,'Audit Report'!H904)</f>
        <v/>
      </c>
      <c r="L904" t="str">
        <f>_xlfn.TEXTJOIN(", ", TRUE, 'Audit Report'!K904,'Audit Report'!L904,'Audit Report'!M904)</f>
        <v/>
      </c>
      <c r="M904">
        <f>'Audit Report'!O904</f>
        <v>0</v>
      </c>
      <c r="N904" t="str" cm="1">
        <f t="array" ref="N904">IF(M904="","",
_xlfn.TEXTJOIN(", ",TRUE,
    _xlfn.MAP(_xlfn.TEXTSPLIT(M904,","),_xlfn.LAMBDA(_xlpm.x,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4">
        <f>'Audit Report'!F904</f>
        <v>0</v>
      </c>
      <c r="S904">
        <f>'Audit Report'!Q904</f>
        <v>0</v>
      </c>
    </row>
    <row r="905" spans="4:19">
      <c r="D905">
        <f>'Audit Report'!B905</f>
        <v>0</v>
      </c>
      <c r="E905">
        <f>'Audit Report'!C905</f>
        <v>0</v>
      </c>
      <c r="I905">
        <f>'Audit Report'!D905</f>
        <v>0</v>
      </c>
      <c r="J905" t="str">
        <f>_xlfn.TEXTJOIN(" ",TRUE,'Audit Report'!G905,'Audit Report'!H905)</f>
        <v/>
      </c>
      <c r="L905" t="str">
        <f>_xlfn.TEXTJOIN(", ", TRUE, 'Audit Report'!K905,'Audit Report'!L905,'Audit Report'!M905)</f>
        <v/>
      </c>
      <c r="M905">
        <f>'Audit Report'!O905</f>
        <v>0</v>
      </c>
      <c r="N905" t="str" cm="1">
        <f t="array" ref="N905">IF(M905="","",
_xlfn.TEXTJOIN(", ",TRUE,
    _xlfn.MAP(_xlfn.TEXTSPLIT(M905,","),_xlfn.LAMBDA(_xlpm.x,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5">
        <f>'Audit Report'!F905</f>
        <v>0</v>
      </c>
      <c r="S905">
        <f>'Audit Report'!Q905</f>
        <v>0</v>
      </c>
    </row>
    <row r="906" spans="4:19">
      <c r="D906">
        <f>'Audit Report'!B906</f>
        <v>0</v>
      </c>
      <c r="E906">
        <f>'Audit Report'!C906</f>
        <v>0</v>
      </c>
      <c r="I906">
        <f>'Audit Report'!D906</f>
        <v>0</v>
      </c>
      <c r="J906" t="str">
        <f>_xlfn.TEXTJOIN(" ",TRUE,'Audit Report'!G906,'Audit Report'!H906)</f>
        <v/>
      </c>
      <c r="L906" t="str">
        <f>_xlfn.TEXTJOIN(", ", TRUE, 'Audit Report'!K906,'Audit Report'!L906,'Audit Report'!M906)</f>
        <v/>
      </c>
      <c r="M906">
        <f>'Audit Report'!O906</f>
        <v>0</v>
      </c>
      <c r="N906" t="str" cm="1">
        <f t="array" ref="N906">IF(M906="","",
_xlfn.TEXTJOIN(", ",TRUE,
    _xlfn.MAP(_xlfn.TEXTSPLIT(M906,","),_xlfn.LAMBDA(_xlpm.x,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6">
        <f>'Audit Report'!F906</f>
        <v>0</v>
      </c>
      <c r="S906">
        <f>'Audit Report'!Q906</f>
        <v>0</v>
      </c>
    </row>
    <row r="907" spans="4:19">
      <c r="D907">
        <f>'Audit Report'!B907</f>
        <v>0</v>
      </c>
      <c r="E907">
        <f>'Audit Report'!C907</f>
        <v>0</v>
      </c>
      <c r="I907">
        <f>'Audit Report'!D907</f>
        <v>0</v>
      </c>
      <c r="J907" t="str">
        <f>_xlfn.TEXTJOIN(" ",TRUE,'Audit Report'!G907,'Audit Report'!H907)</f>
        <v/>
      </c>
      <c r="L907" t="str">
        <f>_xlfn.TEXTJOIN(", ", TRUE, 'Audit Report'!K907,'Audit Report'!L907,'Audit Report'!M907)</f>
        <v/>
      </c>
      <c r="M907">
        <f>'Audit Report'!O907</f>
        <v>0</v>
      </c>
      <c r="N907" t="str" cm="1">
        <f t="array" ref="N907">IF(M907="","",
_xlfn.TEXTJOIN(", ",TRUE,
    _xlfn.MAP(_xlfn.TEXTSPLIT(M907,","),_xlfn.LAMBDA(_xlpm.x,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7">
        <f>'Audit Report'!F907</f>
        <v>0</v>
      </c>
      <c r="S907">
        <f>'Audit Report'!Q907</f>
        <v>0</v>
      </c>
    </row>
    <row r="908" spans="4:19">
      <c r="D908">
        <f>'Audit Report'!B908</f>
        <v>0</v>
      </c>
      <c r="E908">
        <f>'Audit Report'!C908</f>
        <v>0</v>
      </c>
      <c r="I908">
        <f>'Audit Report'!D908</f>
        <v>0</v>
      </c>
      <c r="J908" t="str">
        <f>_xlfn.TEXTJOIN(" ",TRUE,'Audit Report'!G908,'Audit Report'!H908)</f>
        <v/>
      </c>
      <c r="L908" t="str">
        <f>_xlfn.TEXTJOIN(", ", TRUE, 'Audit Report'!K908,'Audit Report'!L908,'Audit Report'!M908)</f>
        <v/>
      </c>
      <c r="M908">
        <f>'Audit Report'!O908</f>
        <v>0</v>
      </c>
      <c r="N908" t="str" cm="1">
        <f t="array" ref="N908">IF(M908="","",
_xlfn.TEXTJOIN(", ",TRUE,
    _xlfn.MAP(_xlfn.TEXTSPLIT(M908,","),_xlfn.LAMBDA(_xlpm.x,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8">
        <f>'Audit Report'!F908</f>
        <v>0</v>
      </c>
      <c r="S908">
        <f>'Audit Report'!Q908</f>
        <v>0</v>
      </c>
    </row>
    <row r="909" spans="4:19">
      <c r="D909">
        <f>'Audit Report'!B909</f>
        <v>0</v>
      </c>
      <c r="E909">
        <f>'Audit Report'!C909</f>
        <v>0</v>
      </c>
      <c r="I909">
        <f>'Audit Report'!D909</f>
        <v>0</v>
      </c>
      <c r="J909" t="str">
        <f>_xlfn.TEXTJOIN(" ",TRUE,'Audit Report'!G909,'Audit Report'!H909)</f>
        <v/>
      </c>
      <c r="L909" t="str">
        <f>_xlfn.TEXTJOIN(", ", TRUE, 'Audit Report'!K909,'Audit Report'!L909,'Audit Report'!M909)</f>
        <v/>
      </c>
      <c r="M909">
        <f>'Audit Report'!O909</f>
        <v>0</v>
      </c>
      <c r="N909" t="str" cm="1">
        <f t="array" ref="N909">IF(M909="","",
_xlfn.TEXTJOIN(", ",TRUE,
    _xlfn.MAP(_xlfn.TEXTSPLIT(M909,","),_xlfn.LAMBDA(_xlpm.x,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9">
        <f>'Audit Report'!F909</f>
        <v>0</v>
      </c>
      <c r="S909">
        <f>'Audit Report'!Q909</f>
        <v>0</v>
      </c>
    </row>
    <row r="910" spans="4:19">
      <c r="D910">
        <f>'Audit Report'!B910</f>
        <v>0</v>
      </c>
      <c r="E910">
        <f>'Audit Report'!C910</f>
        <v>0</v>
      </c>
      <c r="I910">
        <f>'Audit Report'!D910</f>
        <v>0</v>
      </c>
      <c r="J910" t="str">
        <f>_xlfn.TEXTJOIN(" ",TRUE,'Audit Report'!G910,'Audit Report'!H910)</f>
        <v/>
      </c>
      <c r="L910" t="str">
        <f>_xlfn.TEXTJOIN(", ", TRUE, 'Audit Report'!K910,'Audit Report'!L910,'Audit Report'!M910)</f>
        <v/>
      </c>
      <c r="M910">
        <f>'Audit Report'!O910</f>
        <v>0</v>
      </c>
      <c r="N910" t="str" cm="1">
        <f t="array" ref="N910">IF(M910="","",
_xlfn.TEXTJOIN(", ",TRUE,
    _xlfn.MAP(_xlfn.TEXTSPLIT(M910,","),_xlfn.LAMBDA(_xlpm.x,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0">
        <f>'Audit Report'!F910</f>
        <v>0</v>
      </c>
      <c r="S910">
        <f>'Audit Report'!Q910</f>
        <v>0</v>
      </c>
    </row>
    <row r="911" spans="4:19">
      <c r="D911">
        <f>'Audit Report'!B911</f>
        <v>0</v>
      </c>
      <c r="E911">
        <f>'Audit Report'!C911</f>
        <v>0</v>
      </c>
      <c r="I911">
        <f>'Audit Report'!D911</f>
        <v>0</v>
      </c>
      <c r="J911" t="str">
        <f>_xlfn.TEXTJOIN(" ",TRUE,'Audit Report'!G911,'Audit Report'!H911)</f>
        <v/>
      </c>
      <c r="L911" t="str">
        <f>_xlfn.TEXTJOIN(", ", TRUE, 'Audit Report'!K911,'Audit Report'!L911,'Audit Report'!M911)</f>
        <v/>
      </c>
      <c r="M911">
        <f>'Audit Report'!O911</f>
        <v>0</v>
      </c>
      <c r="N911" t="str" cm="1">
        <f t="array" ref="N911">IF(M911="","",
_xlfn.TEXTJOIN(", ",TRUE,
    _xlfn.MAP(_xlfn.TEXTSPLIT(M911,","),_xlfn.LAMBDA(_xlpm.x,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1">
        <f>'Audit Report'!F911</f>
        <v>0</v>
      </c>
      <c r="S911">
        <f>'Audit Report'!Q911</f>
        <v>0</v>
      </c>
    </row>
    <row r="912" spans="4:19">
      <c r="D912">
        <f>'Audit Report'!B912</f>
        <v>0</v>
      </c>
      <c r="E912">
        <f>'Audit Report'!C912</f>
        <v>0</v>
      </c>
      <c r="I912">
        <f>'Audit Report'!D912</f>
        <v>0</v>
      </c>
      <c r="J912" t="str">
        <f>_xlfn.TEXTJOIN(" ",TRUE,'Audit Report'!G912,'Audit Report'!H912)</f>
        <v/>
      </c>
      <c r="L912" t="str">
        <f>_xlfn.TEXTJOIN(", ", TRUE, 'Audit Report'!K912,'Audit Report'!L912,'Audit Report'!M912)</f>
        <v/>
      </c>
      <c r="M912">
        <f>'Audit Report'!O912</f>
        <v>0</v>
      </c>
      <c r="N912" t="str" cm="1">
        <f t="array" ref="N912">IF(M912="","",
_xlfn.TEXTJOIN(", ",TRUE,
    _xlfn.MAP(_xlfn.TEXTSPLIT(M912,","),_xlfn.LAMBDA(_xlpm.x,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2">
        <f>'Audit Report'!F912</f>
        <v>0</v>
      </c>
      <c r="S912">
        <f>'Audit Report'!Q912</f>
        <v>0</v>
      </c>
    </row>
    <row r="913" spans="4:19">
      <c r="D913">
        <f>'Audit Report'!B913</f>
        <v>0</v>
      </c>
      <c r="E913">
        <f>'Audit Report'!C913</f>
        <v>0</v>
      </c>
      <c r="I913">
        <f>'Audit Report'!D913</f>
        <v>0</v>
      </c>
      <c r="J913" t="str">
        <f>_xlfn.TEXTJOIN(" ",TRUE,'Audit Report'!G913,'Audit Report'!H913)</f>
        <v/>
      </c>
      <c r="L913" t="str">
        <f>_xlfn.TEXTJOIN(", ", TRUE, 'Audit Report'!K913,'Audit Report'!L913,'Audit Report'!M913)</f>
        <v/>
      </c>
      <c r="M913">
        <f>'Audit Report'!O913</f>
        <v>0</v>
      </c>
      <c r="N913" t="str" cm="1">
        <f t="array" ref="N913">IF(M913="","",
_xlfn.TEXTJOIN(", ",TRUE,
    _xlfn.MAP(_xlfn.TEXTSPLIT(M913,","),_xlfn.LAMBDA(_xlpm.x,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3">
        <f>'Audit Report'!F913</f>
        <v>0</v>
      </c>
      <c r="S913">
        <f>'Audit Report'!Q913</f>
        <v>0</v>
      </c>
    </row>
    <row r="914" spans="4:19">
      <c r="D914">
        <f>'Audit Report'!B914</f>
        <v>0</v>
      </c>
      <c r="E914">
        <f>'Audit Report'!C914</f>
        <v>0</v>
      </c>
      <c r="I914">
        <f>'Audit Report'!D914</f>
        <v>0</v>
      </c>
      <c r="J914" t="str">
        <f>_xlfn.TEXTJOIN(" ",TRUE,'Audit Report'!G914,'Audit Report'!H914)</f>
        <v/>
      </c>
      <c r="L914" t="str">
        <f>_xlfn.TEXTJOIN(", ", TRUE, 'Audit Report'!K914,'Audit Report'!L914,'Audit Report'!M914)</f>
        <v/>
      </c>
      <c r="M914">
        <f>'Audit Report'!O914</f>
        <v>0</v>
      </c>
      <c r="N914" t="str" cm="1">
        <f t="array" ref="N914">IF(M914="","",
_xlfn.TEXTJOIN(", ",TRUE,
    _xlfn.MAP(_xlfn.TEXTSPLIT(M914,","),_xlfn.LAMBDA(_xlpm.x,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4">
        <f>'Audit Report'!F914</f>
        <v>0</v>
      </c>
      <c r="S914">
        <f>'Audit Report'!Q914</f>
        <v>0</v>
      </c>
    </row>
    <row r="915" spans="4:19">
      <c r="D915">
        <f>'Audit Report'!B915</f>
        <v>0</v>
      </c>
      <c r="E915">
        <f>'Audit Report'!C915</f>
        <v>0</v>
      </c>
      <c r="I915">
        <f>'Audit Report'!D915</f>
        <v>0</v>
      </c>
      <c r="J915" t="str">
        <f>_xlfn.TEXTJOIN(" ",TRUE,'Audit Report'!G915,'Audit Report'!H915)</f>
        <v/>
      </c>
      <c r="L915" t="str">
        <f>_xlfn.TEXTJOIN(", ", TRUE, 'Audit Report'!K915,'Audit Report'!L915,'Audit Report'!M915)</f>
        <v/>
      </c>
      <c r="M915">
        <f>'Audit Report'!O915</f>
        <v>0</v>
      </c>
      <c r="N915" t="str" cm="1">
        <f t="array" ref="N915">IF(M915="","",
_xlfn.TEXTJOIN(", ",TRUE,
    _xlfn.MAP(_xlfn.TEXTSPLIT(M915,","),_xlfn.LAMBDA(_xlpm.x,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5">
        <f>'Audit Report'!F915</f>
        <v>0</v>
      </c>
      <c r="S915">
        <f>'Audit Report'!Q915</f>
        <v>0</v>
      </c>
    </row>
    <row r="916" spans="4:19">
      <c r="D916">
        <f>'Audit Report'!B916</f>
        <v>0</v>
      </c>
      <c r="E916">
        <f>'Audit Report'!C916</f>
        <v>0</v>
      </c>
      <c r="I916">
        <f>'Audit Report'!D916</f>
        <v>0</v>
      </c>
      <c r="J916" t="str">
        <f>_xlfn.TEXTJOIN(" ",TRUE,'Audit Report'!G916,'Audit Report'!H916)</f>
        <v/>
      </c>
      <c r="L916" t="str">
        <f>_xlfn.TEXTJOIN(", ", TRUE, 'Audit Report'!K916,'Audit Report'!L916,'Audit Report'!M916)</f>
        <v/>
      </c>
      <c r="M916">
        <f>'Audit Report'!O916</f>
        <v>0</v>
      </c>
      <c r="N916" t="str" cm="1">
        <f t="array" ref="N916">IF(M916="","",
_xlfn.TEXTJOIN(", ",TRUE,
    _xlfn.MAP(_xlfn.TEXTSPLIT(M916,","),_xlfn.LAMBDA(_xlpm.x,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6">
        <f>'Audit Report'!F916</f>
        <v>0</v>
      </c>
      <c r="S916">
        <f>'Audit Report'!Q916</f>
        <v>0</v>
      </c>
    </row>
    <row r="917" spans="4:19">
      <c r="D917">
        <f>'Audit Report'!B917</f>
        <v>0</v>
      </c>
      <c r="E917">
        <f>'Audit Report'!C917</f>
        <v>0</v>
      </c>
      <c r="I917">
        <f>'Audit Report'!D917</f>
        <v>0</v>
      </c>
      <c r="J917" t="str">
        <f>_xlfn.TEXTJOIN(" ",TRUE,'Audit Report'!G917,'Audit Report'!H917)</f>
        <v/>
      </c>
      <c r="L917" t="str">
        <f>_xlfn.TEXTJOIN(", ", TRUE, 'Audit Report'!K917,'Audit Report'!L917,'Audit Report'!M917)</f>
        <v/>
      </c>
      <c r="M917">
        <f>'Audit Report'!O917</f>
        <v>0</v>
      </c>
      <c r="N917" t="str" cm="1">
        <f t="array" ref="N917">IF(M917="","",
_xlfn.TEXTJOIN(", ",TRUE,
    _xlfn.MAP(_xlfn.TEXTSPLIT(M917,","),_xlfn.LAMBDA(_xlpm.x,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7">
        <f>'Audit Report'!F917</f>
        <v>0</v>
      </c>
      <c r="S917">
        <f>'Audit Report'!Q917</f>
        <v>0</v>
      </c>
    </row>
    <row r="918" spans="4:19">
      <c r="D918">
        <f>'Audit Report'!B918</f>
        <v>0</v>
      </c>
      <c r="E918">
        <f>'Audit Report'!C918</f>
        <v>0</v>
      </c>
      <c r="I918">
        <f>'Audit Report'!D918</f>
        <v>0</v>
      </c>
      <c r="J918" t="str">
        <f>_xlfn.TEXTJOIN(" ",TRUE,'Audit Report'!G918,'Audit Report'!H918)</f>
        <v/>
      </c>
      <c r="L918" t="str">
        <f>_xlfn.TEXTJOIN(", ", TRUE, 'Audit Report'!K918,'Audit Report'!L918,'Audit Report'!M918)</f>
        <v/>
      </c>
      <c r="M918">
        <f>'Audit Report'!O918</f>
        <v>0</v>
      </c>
      <c r="N918" t="str" cm="1">
        <f t="array" ref="N918">IF(M918="","",
_xlfn.TEXTJOIN(", ",TRUE,
    _xlfn.MAP(_xlfn.TEXTSPLIT(M918,","),_xlfn.LAMBDA(_xlpm.x,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8">
        <f>'Audit Report'!F918</f>
        <v>0</v>
      </c>
      <c r="S918">
        <f>'Audit Report'!Q918</f>
        <v>0</v>
      </c>
    </row>
    <row r="919" spans="4:19">
      <c r="D919">
        <f>'Audit Report'!B919</f>
        <v>0</v>
      </c>
      <c r="E919">
        <f>'Audit Report'!C919</f>
        <v>0</v>
      </c>
      <c r="I919">
        <f>'Audit Report'!D919</f>
        <v>0</v>
      </c>
      <c r="J919" t="str">
        <f>_xlfn.TEXTJOIN(" ",TRUE,'Audit Report'!G919,'Audit Report'!H919)</f>
        <v/>
      </c>
      <c r="L919" t="str">
        <f>_xlfn.TEXTJOIN(", ", TRUE, 'Audit Report'!K919,'Audit Report'!L919,'Audit Report'!M919)</f>
        <v/>
      </c>
      <c r="M919">
        <f>'Audit Report'!O919</f>
        <v>0</v>
      </c>
      <c r="N919" t="str" cm="1">
        <f t="array" ref="N919">IF(M919="","",
_xlfn.TEXTJOIN(", ",TRUE,
    _xlfn.MAP(_xlfn.TEXTSPLIT(M919,","),_xlfn.LAMBDA(_xlpm.x,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9">
        <f>'Audit Report'!F919</f>
        <v>0</v>
      </c>
      <c r="S919">
        <f>'Audit Report'!Q919</f>
        <v>0</v>
      </c>
    </row>
    <row r="920" spans="4:19">
      <c r="D920">
        <f>'Audit Report'!B920</f>
        <v>0</v>
      </c>
      <c r="E920">
        <f>'Audit Report'!C920</f>
        <v>0</v>
      </c>
      <c r="I920">
        <f>'Audit Report'!D920</f>
        <v>0</v>
      </c>
      <c r="J920" t="str">
        <f>_xlfn.TEXTJOIN(" ",TRUE,'Audit Report'!G920,'Audit Report'!H920)</f>
        <v/>
      </c>
      <c r="L920" t="str">
        <f>_xlfn.TEXTJOIN(", ", TRUE, 'Audit Report'!K920,'Audit Report'!L920,'Audit Report'!M920)</f>
        <v/>
      </c>
      <c r="M920">
        <f>'Audit Report'!O920</f>
        <v>0</v>
      </c>
      <c r="N920" t="str" cm="1">
        <f t="array" ref="N920">IF(M920="","",
_xlfn.TEXTJOIN(", ",TRUE,
    _xlfn.MAP(_xlfn.TEXTSPLIT(M920,","),_xlfn.LAMBDA(_xlpm.x,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0">
        <f>'Audit Report'!F920</f>
        <v>0</v>
      </c>
      <c r="S920">
        <f>'Audit Report'!Q920</f>
        <v>0</v>
      </c>
    </row>
    <row r="921" spans="4:19">
      <c r="D921">
        <f>'Audit Report'!B921</f>
        <v>0</v>
      </c>
      <c r="E921">
        <f>'Audit Report'!C921</f>
        <v>0</v>
      </c>
      <c r="I921">
        <f>'Audit Report'!D921</f>
        <v>0</v>
      </c>
      <c r="J921" t="str">
        <f>_xlfn.TEXTJOIN(" ",TRUE,'Audit Report'!G921,'Audit Report'!H921)</f>
        <v/>
      </c>
      <c r="L921" t="str">
        <f>_xlfn.TEXTJOIN(", ", TRUE, 'Audit Report'!K921,'Audit Report'!L921,'Audit Report'!M921)</f>
        <v/>
      </c>
      <c r="M921">
        <f>'Audit Report'!O921</f>
        <v>0</v>
      </c>
      <c r="N921" t="str" cm="1">
        <f t="array" ref="N921">IF(M921="","",
_xlfn.TEXTJOIN(", ",TRUE,
    _xlfn.MAP(_xlfn.TEXTSPLIT(M921,","),_xlfn.LAMBDA(_xlpm.x,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1">
        <f>'Audit Report'!F921</f>
        <v>0</v>
      </c>
      <c r="S921">
        <f>'Audit Report'!Q921</f>
        <v>0</v>
      </c>
    </row>
    <row r="922" spans="4:19">
      <c r="D922">
        <f>'Audit Report'!B922</f>
        <v>0</v>
      </c>
      <c r="E922">
        <f>'Audit Report'!C922</f>
        <v>0</v>
      </c>
      <c r="I922">
        <f>'Audit Report'!D922</f>
        <v>0</v>
      </c>
      <c r="J922" t="str">
        <f>_xlfn.TEXTJOIN(" ",TRUE,'Audit Report'!G922,'Audit Report'!H922)</f>
        <v/>
      </c>
      <c r="L922" t="str">
        <f>_xlfn.TEXTJOIN(", ", TRUE, 'Audit Report'!K922,'Audit Report'!L922,'Audit Report'!M922)</f>
        <v/>
      </c>
      <c r="M922">
        <f>'Audit Report'!O922</f>
        <v>0</v>
      </c>
      <c r="N922" t="str" cm="1">
        <f t="array" ref="N922">IF(M922="","",
_xlfn.TEXTJOIN(", ",TRUE,
    _xlfn.MAP(_xlfn.TEXTSPLIT(M922,","),_xlfn.LAMBDA(_xlpm.x,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2">
        <f>'Audit Report'!F922</f>
        <v>0</v>
      </c>
      <c r="S922">
        <f>'Audit Report'!Q922</f>
        <v>0</v>
      </c>
    </row>
    <row r="923" spans="4:19">
      <c r="D923">
        <f>'Audit Report'!B923</f>
        <v>0</v>
      </c>
      <c r="E923">
        <f>'Audit Report'!C923</f>
        <v>0</v>
      </c>
      <c r="I923">
        <f>'Audit Report'!D923</f>
        <v>0</v>
      </c>
      <c r="J923" t="str">
        <f>_xlfn.TEXTJOIN(" ",TRUE,'Audit Report'!G923,'Audit Report'!H923)</f>
        <v/>
      </c>
      <c r="L923" t="str">
        <f>_xlfn.TEXTJOIN(", ", TRUE, 'Audit Report'!K923,'Audit Report'!L923,'Audit Report'!M923)</f>
        <v/>
      </c>
      <c r="M923">
        <f>'Audit Report'!O923</f>
        <v>0</v>
      </c>
      <c r="N923" t="str" cm="1">
        <f t="array" ref="N923">IF(M923="","",
_xlfn.TEXTJOIN(", ",TRUE,
    _xlfn.MAP(_xlfn.TEXTSPLIT(M923,","),_xlfn.LAMBDA(_xlpm.x,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3">
        <f>'Audit Report'!F923</f>
        <v>0</v>
      </c>
      <c r="S923">
        <f>'Audit Report'!Q923</f>
        <v>0</v>
      </c>
    </row>
    <row r="924" spans="4:19">
      <c r="D924">
        <f>'Audit Report'!B924</f>
        <v>0</v>
      </c>
      <c r="E924">
        <f>'Audit Report'!C924</f>
        <v>0</v>
      </c>
      <c r="I924">
        <f>'Audit Report'!D924</f>
        <v>0</v>
      </c>
      <c r="J924" t="str">
        <f>_xlfn.TEXTJOIN(" ",TRUE,'Audit Report'!G924,'Audit Report'!H924)</f>
        <v/>
      </c>
      <c r="L924" t="str">
        <f>_xlfn.TEXTJOIN(", ", TRUE, 'Audit Report'!K924,'Audit Report'!L924,'Audit Report'!M924)</f>
        <v/>
      </c>
      <c r="M924">
        <f>'Audit Report'!O924</f>
        <v>0</v>
      </c>
      <c r="N924" t="str" cm="1">
        <f t="array" ref="N924">IF(M924="","",
_xlfn.TEXTJOIN(", ",TRUE,
    _xlfn.MAP(_xlfn.TEXTSPLIT(M924,","),_xlfn.LAMBDA(_xlpm.x,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4">
        <f>'Audit Report'!F924</f>
        <v>0</v>
      </c>
      <c r="S924">
        <f>'Audit Report'!Q924</f>
        <v>0</v>
      </c>
    </row>
    <row r="925" spans="4:19">
      <c r="D925">
        <f>'Audit Report'!B925</f>
        <v>0</v>
      </c>
      <c r="E925">
        <f>'Audit Report'!C925</f>
        <v>0</v>
      </c>
      <c r="I925">
        <f>'Audit Report'!D925</f>
        <v>0</v>
      </c>
      <c r="J925" t="str">
        <f>_xlfn.TEXTJOIN(" ",TRUE,'Audit Report'!G925,'Audit Report'!H925)</f>
        <v/>
      </c>
      <c r="L925" t="str">
        <f>_xlfn.TEXTJOIN(", ", TRUE, 'Audit Report'!K925,'Audit Report'!L925,'Audit Report'!M925)</f>
        <v/>
      </c>
      <c r="M925">
        <f>'Audit Report'!O925</f>
        <v>0</v>
      </c>
      <c r="N925" t="str" cm="1">
        <f t="array" ref="N925">IF(M925="","",
_xlfn.TEXTJOIN(", ",TRUE,
    _xlfn.MAP(_xlfn.TEXTSPLIT(M925,","),_xlfn.LAMBDA(_xlpm.x,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5">
        <f>'Audit Report'!F925</f>
        <v>0</v>
      </c>
      <c r="S925">
        <f>'Audit Report'!Q925</f>
        <v>0</v>
      </c>
    </row>
    <row r="926" spans="4:19">
      <c r="D926">
        <f>'Audit Report'!B926</f>
        <v>0</v>
      </c>
      <c r="E926">
        <f>'Audit Report'!C926</f>
        <v>0</v>
      </c>
      <c r="I926">
        <f>'Audit Report'!D926</f>
        <v>0</v>
      </c>
      <c r="J926" t="str">
        <f>_xlfn.TEXTJOIN(" ",TRUE,'Audit Report'!G926,'Audit Report'!H926)</f>
        <v/>
      </c>
      <c r="L926" t="str">
        <f>_xlfn.TEXTJOIN(", ", TRUE, 'Audit Report'!K926,'Audit Report'!L926,'Audit Report'!M926)</f>
        <v/>
      </c>
      <c r="M926">
        <f>'Audit Report'!O926</f>
        <v>0</v>
      </c>
      <c r="N926" t="str" cm="1">
        <f t="array" ref="N926">IF(M926="","",
_xlfn.TEXTJOIN(", ",TRUE,
    _xlfn.MAP(_xlfn.TEXTSPLIT(M926,","),_xlfn.LAMBDA(_xlpm.x,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6">
        <f>'Audit Report'!F926</f>
        <v>0</v>
      </c>
      <c r="S926">
        <f>'Audit Report'!Q926</f>
        <v>0</v>
      </c>
    </row>
    <row r="927" spans="4:19">
      <c r="D927">
        <f>'Audit Report'!B927</f>
        <v>0</v>
      </c>
      <c r="E927">
        <f>'Audit Report'!C927</f>
        <v>0</v>
      </c>
      <c r="I927">
        <f>'Audit Report'!D927</f>
        <v>0</v>
      </c>
      <c r="J927" t="str">
        <f>_xlfn.TEXTJOIN(" ",TRUE,'Audit Report'!G927,'Audit Report'!H927)</f>
        <v/>
      </c>
      <c r="L927" t="str">
        <f>_xlfn.TEXTJOIN(", ", TRUE, 'Audit Report'!K927,'Audit Report'!L927,'Audit Report'!M927)</f>
        <v/>
      </c>
      <c r="M927">
        <f>'Audit Report'!O927</f>
        <v>0</v>
      </c>
      <c r="N927" t="str" cm="1">
        <f t="array" ref="N927">IF(M927="","",
_xlfn.TEXTJOIN(", ",TRUE,
    _xlfn.MAP(_xlfn.TEXTSPLIT(M927,","),_xlfn.LAMBDA(_xlpm.x,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7">
        <f>'Audit Report'!F927</f>
        <v>0</v>
      </c>
      <c r="S927">
        <f>'Audit Report'!Q927</f>
        <v>0</v>
      </c>
    </row>
    <row r="928" spans="4:19">
      <c r="D928">
        <f>'Audit Report'!B928</f>
        <v>0</v>
      </c>
      <c r="E928">
        <f>'Audit Report'!C928</f>
        <v>0</v>
      </c>
      <c r="I928">
        <f>'Audit Report'!D928</f>
        <v>0</v>
      </c>
      <c r="J928" t="str">
        <f>_xlfn.TEXTJOIN(" ",TRUE,'Audit Report'!G928,'Audit Report'!H928)</f>
        <v/>
      </c>
      <c r="L928" t="str">
        <f>_xlfn.TEXTJOIN(", ", TRUE, 'Audit Report'!K928,'Audit Report'!L928,'Audit Report'!M928)</f>
        <v/>
      </c>
      <c r="M928">
        <f>'Audit Report'!O928</f>
        <v>0</v>
      </c>
      <c r="N928" t="str" cm="1">
        <f t="array" ref="N928">IF(M928="","",
_xlfn.TEXTJOIN(", ",TRUE,
    _xlfn.MAP(_xlfn.TEXTSPLIT(M928,","),_xlfn.LAMBDA(_xlpm.x,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8">
        <f>'Audit Report'!F928</f>
        <v>0</v>
      </c>
      <c r="S928">
        <f>'Audit Report'!Q928</f>
        <v>0</v>
      </c>
    </row>
    <row r="929" spans="4:19">
      <c r="D929">
        <f>'Audit Report'!B929</f>
        <v>0</v>
      </c>
      <c r="E929">
        <f>'Audit Report'!C929</f>
        <v>0</v>
      </c>
      <c r="I929">
        <f>'Audit Report'!D929</f>
        <v>0</v>
      </c>
      <c r="J929" t="str">
        <f>_xlfn.TEXTJOIN(" ",TRUE,'Audit Report'!G929,'Audit Report'!H929)</f>
        <v/>
      </c>
      <c r="L929" t="str">
        <f>_xlfn.TEXTJOIN(", ", TRUE, 'Audit Report'!K929,'Audit Report'!L929,'Audit Report'!M929)</f>
        <v/>
      </c>
      <c r="M929">
        <f>'Audit Report'!O929</f>
        <v>0</v>
      </c>
      <c r="N929" t="str" cm="1">
        <f t="array" ref="N929">IF(M929="","",
_xlfn.TEXTJOIN(", ",TRUE,
    _xlfn.MAP(_xlfn.TEXTSPLIT(M929,","),_xlfn.LAMBDA(_xlpm.x,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9">
        <f>'Audit Report'!F929</f>
        <v>0</v>
      </c>
      <c r="S929">
        <f>'Audit Report'!Q929</f>
        <v>0</v>
      </c>
    </row>
    <row r="930" spans="4:19">
      <c r="D930">
        <f>'Audit Report'!B930</f>
        <v>0</v>
      </c>
      <c r="E930">
        <f>'Audit Report'!C930</f>
        <v>0</v>
      </c>
      <c r="I930">
        <f>'Audit Report'!D930</f>
        <v>0</v>
      </c>
      <c r="J930" t="str">
        <f>_xlfn.TEXTJOIN(" ",TRUE,'Audit Report'!G930,'Audit Report'!H930)</f>
        <v/>
      </c>
      <c r="L930" t="str">
        <f>_xlfn.TEXTJOIN(", ", TRUE, 'Audit Report'!K930,'Audit Report'!L930,'Audit Report'!M930)</f>
        <v/>
      </c>
      <c r="M930">
        <f>'Audit Report'!O930</f>
        <v>0</v>
      </c>
      <c r="N930" t="str" cm="1">
        <f t="array" ref="N930">IF(M930="","",
_xlfn.TEXTJOIN(", ",TRUE,
    _xlfn.MAP(_xlfn.TEXTSPLIT(M930,","),_xlfn.LAMBDA(_xlpm.x,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0">
        <f>'Audit Report'!F930</f>
        <v>0</v>
      </c>
      <c r="S930">
        <f>'Audit Report'!Q930</f>
        <v>0</v>
      </c>
    </row>
    <row r="931" spans="4:19">
      <c r="D931">
        <f>'Audit Report'!B931</f>
        <v>0</v>
      </c>
      <c r="E931">
        <f>'Audit Report'!C931</f>
        <v>0</v>
      </c>
      <c r="I931">
        <f>'Audit Report'!D931</f>
        <v>0</v>
      </c>
      <c r="J931" t="str">
        <f>_xlfn.TEXTJOIN(" ",TRUE,'Audit Report'!G931,'Audit Report'!H931)</f>
        <v/>
      </c>
      <c r="L931" t="str">
        <f>_xlfn.TEXTJOIN(", ", TRUE, 'Audit Report'!K931,'Audit Report'!L931,'Audit Report'!M931)</f>
        <v/>
      </c>
      <c r="M931">
        <f>'Audit Report'!O931</f>
        <v>0</v>
      </c>
      <c r="N931" t="str" cm="1">
        <f t="array" ref="N931">IF(M931="","",
_xlfn.TEXTJOIN(", ",TRUE,
    _xlfn.MAP(_xlfn.TEXTSPLIT(M931,","),_xlfn.LAMBDA(_xlpm.x,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1">
        <f>'Audit Report'!F931</f>
        <v>0</v>
      </c>
      <c r="S931">
        <f>'Audit Report'!Q931</f>
        <v>0</v>
      </c>
    </row>
    <row r="932" spans="4:19">
      <c r="D932">
        <f>'Audit Report'!B932</f>
        <v>0</v>
      </c>
      <c r="E932">
        <f>'Audit Report'!C932</f>
        <v>0</v>
      </c>
      <c r="I932">
        <f>'Audit Report'!D932</f>
        <v>0</v>
      </c>
      <c r="J932" t="str">
        <f>_xlfn.TEXTJOIN(" ",TRUE,'Audit Report'!G932,'Audit Report'!H932)</f>
        <v/>
      </c>
      <c r="L932" t="str">
        <f>_xlfn.TEXTJOIN(", ", TRUE, 'Audit Report'!K932,'Audit Report'!L932,'Audit Report'!M932)</f>
        <v/>
      </c>
      <c r="M932">
        <f>'Audit Report'!O932</f>
        <v>0</v>
      </c>
      <c r="N932" t="str" cm="1">
        <f t="array" ref="N932">IF(M932="","",
_xlfn.TEXTJOIN(", ",TRUE,
    _xlfn.MAP(_xlfn.TEXTSPLIT(M932,","),_xlfn.LAMBDA(_xlpm.x,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2">
        <f>'Audit Report'!F932</f>
        <v>0</v>
      </c>
      <c r="S932">
        <f>'Audit Report'!Q932</f>
        <v>0</v>
      </c>
    </row>
    <row r="933" spans="4:19">
      <c r="D933">
        <f>'Audit Report'!B933</f>
        <v>0</v>
      </c>
      <c r="E933">
        <f>'Audit Report'!C933</f>
        <v>0</v>
      </c>
      <c r="I933">
        <f>'Audit Report'!D933</f>
        <v>0</v>
      </c>
      <c r="J933" t="str">
        <f>_xlfn.TEXTJOIN(" ",TRUE,'Audit Report'!G933,'Audit Report'!H933)</f>
        <v/>
      </c>
      <c r="L933" t="str">
        <f>_xlfn.TEXTJOIN(", ", TRUE, 'Audit Report'!K933,'Audit Report'!L933,'Audit Report'!M933)</f>
        <v/>
      </c>
      <c r="M933">
        <f>'Audit Report'!O933</f>
        <v>0</v>
      </c>
      <c r="N933" t="str" cm="1">
        <f t="array" ref="N933">IF(M933="","",
_xlfn.TEXTJOIN(", ",TRUE,
    _xlfn.MAP(_xlfn.TEXTSPLIT(M933,","),_xlfn.LAMBDA(_xlpm.x,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3">
        <f>'Audit Report'!F933</f>
        <v>0</v>
      </c>
      <c r="S933">
        <f>'Audit Report'!Q933</f>
        <v>0</v>
      </c>
    </row>
    <row r="934" spans="4:19">
      <c r="D934">
        <f>'Audit Report'!B934</f>
        <v>0</v>
      </c>
      <c r="E934">
        <f>'Audit Report'!C934</f>
        <v>0</v>
      </c>
      <c r="I934">
        <f>'Audit Report'!D934</f>
        <v>0</v>
      </c>
      <c r="J934" t="str">
        <f>_xlfn.TEXTJOIN(" ",TRUE,'Audit Report'!G934,'Audit Report'!H934)</f>
        <v/>
      </c>
      <c r="L934" t="str">
        <f>_xlfn.TEXTJOIN(", ", TRUE, 'Audit Report'!K934,'Audit Report'!L934,'Audit Report'!M934)</f>
        <v/>
      </c>
      <c r="M934">
        <f>'Audit Report'!O934</f>
        <v>0</v>
      </c>
      <c r="N934" t="str" cm="1">
        <f t="array" ref="N934">IF(M934="","",
_xlfn.TEXTJOIN(", ",TRUE,
    _xlfn.MAP(_xlfn.TEXTSPLIT(M934,","),_xlfn.LAMBDA(_xlpm.x,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4">
        <f>'Audit Report'!F934</f>
        <v>0</v>
      </c>
      <c r="S934">
        <f>'Audit Report'!Q934</f>
        <v>0</v>
      </c>
    </row>
    <row r="935" spans="4:19">
      <c r="D935">
        <f>'Audit Report'!B935</f>
        <v>0</v>
      </c>
      <c r="E935">
        <f>'Audit Report'!C935</f>
        <v>0</v>
      </c>
      <c r="I935">
        <f>'Audit Report'!D935</f>
        <v>0</v>
      </c>
      <c r="J935" t="str">
        <f>_xlfn.TEXTJOIN(" ",TRUE,'Audit Report'!G935,'Audit Report'!H935)</f>
        <v/>
      </c>
      <c r="L935" t="str">
        <f>_xlfn.TEXTJOIN(", ", TRUE, 'Audit Report'!K935,'Audit Report'!L935,'Audit Report'!M935)</f>
        <v/>
      </c>
      <c r="M935">
        <f>'Audit Report'!O935</f>
        <v>0</v>
      </c>
      <c r="N935" t="str" cm="1">
        <f t="array" ref="N935">IF(M935="","",
_xlfn.TEXTJOIN(", ",TRUE,
    _xlfn.MAP(_xlfn.TEXTSPLIT(M935,","),_xlfn.LAMBDA(_xlpm.x,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5">
        <f>'Audit Report'!F935</f>
        <v>0</v>
      </c>
      <c r="S935">
        <f>'Audit Report'!Q935</f>
        <v>0</v>
      </c>
    </row>
    <row r="936" spans="4:19">
      <c r="D936">
        <f>'Audit Report'!B936</f>
        <v>0</v>
      </c>
      <c r="E936">
        <f>'Audit Report'!C936</f>
        <v>0</v>
      </c>
      <c r="I936">
        <f>'Audit Report'!D936</f>
        <v>0</v>
      </c>
      <c r="J936" t="str">
        <f>_xlfn.TEXTJOIN(" ",TRUE,'Audit Report'!G936,'Audit Report'!H936)</f>
        <v/>
      </c>
      <c r="L936" t="str">
        <f>_xlfn.TEXTJOIN(", ", TRUE, 'Audit Report'!K936,'Audit Report'!L936,'Audit Report'!M936)</f>
        <v/>
      </c>
      <c r="M936">
        <f>'Audit Report'!O936</f>
        <v>0</v>
      </c>
      <c r="N936" t="str" cm="1">
        <f t="array" ref="N936">IF(M936="","",
_xlfn.TEXTJOIN(", ",TRUE,
    _xlfn.MAP(_xlfn.TEXTSPLIT(M936,","),_xlfn.LAMBDA(_xlpm.x,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6">
        <f>'Audit Report'!F936</f>
        <v>0</v>
      </c>
      <c r="S936">
        <f>'Audit Report'!Q936</f>
        <v>0</v>
      </c>
    </row>
    <row r="937" spans="4:19">
      <c r="D937">
        <f>'Audit Report'!B937</f>
        <v>0</v>
      </c>
      <c r="E937">
        <f>'Audit Report'!C937</f>
        <v>0</v>
      </c>
      <c r="I937">
        <f>'Audit Report'!D937</f>
        <v>0</v>
      </c>
      <c r="J937" t="str">
        <f>_xlfn.TEXTJOIN(" ",TRUE,'Audit Report'!G937,'Audit Report'!H937)</f>
        <v/>
      </c>
      <c r="L937" t="str">
        <f>_xlfn.TEXTJOIN(", ", TRUE, 'Audit Report'!K937,'Audit Report'!L937,'Audit Report'!M937)</f>
        <v/>
      </c>
      <c r="M937">
        <f>'Audit Report'!O937</f>
        <v>0</v>
      </c>
      <c r="N937" t="str" cm="1">
        <f t="array" ref="N937">IF(M937="","",
_xlfn.TEXTJOIN(", ",TRUE,
    _xlfn.MAP(_xlfn.TEXTSPLIT(M937,","),_xlfn.LAMBDA(_xlpm.x,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7">
        <f>'Audit Report'!F937</f>
        <v>0</v>
      </c>
      <c r="S937">
        <f>'Audit Report'!Q937</f>
        <v>0</v>
      </c>
    </row>
    <row r="938" spans="4:19">
      <c r="D938">
        <f>'Audit Report'!B938</f>
        <v>0</v>
      </c>
      <c r="E938">
        <f>'Audit Report'!C938</f>
        <v>0</v>
      </c>
      <c r="I938">
        <f>'Audit Report'!D938</f>
        <v>0</v>
      </c>
      <c r="J938" t="str">
        <f>_xlfn.TEXTJOIN(" ",TRUE,'Audit Report'!G938,'Audit Report'!H938)</f>
        <v/>
      </c>
      <c r="L938" t="str">
        <f>_xlfn.TEXTJOIN(", ", TRUE, 'Audit Report'!K938,'Audit Report'!L938,'Audit Report'!M938)</f>
        <v/>
      </c>
      <c r="M938">
        <f>'Audit Report'!O938</f>
        <v>0</v>
      </c>
      <c r="N938" t="str" cm="1">
        <f t="array" ref="N938">IF(M938="","",
_xlfn.TEXTJOIN(", ",TRUE,
    _xlfn.MAP(_xlfn.TEXTSPLIT(M938,","),_xlfn.LAMBDA(_xlpm.x,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8">
        <f>'Audit Report'!F938</f>
        <v>0</v>
      </c>
      <c r="S938">
        <f>'Audit Report'!Q938</f>
        <v>0</v>
      </c>
    </row>
    <row r="939" spans="4:19">
      <c r="D939">
        <f>'Audit Report'!B939</f>
        <v>0</v>
      </c>
      <c r="E939">
        <f>'Audit Report'!C939</f>
        <v>0</v>
      </c>
      <c r="I939">
        <f>'Audit Report'!D939</f>
        <v>0</v>
      </c>
      <c r="J939" t="str">
        <f>_xlfn.TEXTJOIN(" ",TRUE,'Audit Report'!G939,'Audit Report'!H939)</f>
        <v/>
      </c>
      <c r="L939" t="str">
        <f>_xlfn.TEXTJOIN(", ", TRUE, 'Audit Report'!K939,'Audit Report'!L939,'Audit Report'!M939)</f>
        <v/>
      </c>
      <c r="M939">
        <f>'Audit Report'!O939</f>
        <v>0</v>
      </c>
      <c r="N939" t="str" cm="1">
        <f t="array" ref="N939">IF(M939="","",
_xlfn.TEXTJOIN(", ",TRUE,
    _xlfn.MAP(_xlfn.TEXTSPLIT(M939,","),_xlfn.LAMBDA(_xlpm.x,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9">
        <f>'Audit Report'!F939</f>
        <v>0</v>
      </c>
      <c r="S939">
        <f>'Audit Report'!Q939</f>
        <v>0</v>
      </c>
    </row>
    <row r="940" spans="4:19">
      <c r="D940">
        <f>'Audit Report'!B940</f>
        <v>0</v>
      </c>
      <c r="E940">
        <f>'Audit Report'!C940</f>
        <v>0</v>
      </c>
      <c r="I940">
        <f>'Audit Report'!D940</f>
        <v>0</v>
      </c>
      <c r="J940" t="str">
        <f>_xlfn.TEXTJOIN(" ",TRUE,'Audit Report'!G940,'Audit Report'!H940)</f>
        <v/>
      </c>
      <c r="L940" t="str">
        <f>_xlfn.TEXTJOIN(", ", TRUE, 'Audit Report'!K940,'Audit Report'!L940,'Audit Report'!M940)</f>
        <v/>
      </c>
      <c r="M940">
        <f>'Audit Report'!O940</f>
        <v>0</v>
      </c>
      <c r="N940" t="str" cm="1">
        <f t="array" ref="N940">IF(M940="","",
_xlfn.TEXTJOIN(", ",TRUE,
    _xlfn.MAP(_xlfn.TEXTSPLIT(M940,","),_xlfn.LAMBDA(_xlpm.x,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0">
        <f>'Audit Report'!F940</f>
        <v>0</v>
      </c>
      <c r="S940">
        <f>'Audit Report'!Q940</f>
        <v>0</v>
      </c>
    </row>
    <row r="941" spans="4:19">
      <c r="D941">
        <f>'Audit Report'!B941</f>
        <v>0</v>
      </c>
      <c r="E941">
        <f>'Audit Report'!C941</f>
        <v>0</v>
      </c>
      <c r="I941">
        <f>'Audit Report'!D941</f>
        <v>0</v>
      </c>
      <c r="J941" t="str">
        <f>_xlfn.TEXTJOIN(" ",TRUE,'Audit Report'!G941,'Audit Report'!H941)</f>
        <v/>
      </c>
      <c r="L941" t="str">
        <f>_xlfn.TEXTJOIN(", ", TRUE, 'Audit Report'!K941,'Audit Report'!L941,'Audit Report'!M941)</f>
        <v/>
      </c>
      <c r="M941">
        <f>'Audit Report'!O941</f>
        <v>0</v>
      </c>
      <c r="N941" t="str" cm="1">
        <f t="array" ref="N941">IF(M941="","",
_xlfn.TEXTJOIN(", ",TRUE,
    _xlfn.MAP(_xlfn.TEXTSPLIT(M941,","),_xlfn.LAMBDA(_xlpm.x,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1">
        <f>'Audit Report'!F941</f>
        <v>0</v>
      </c>
      <c r="S941">
        <f>'Audit Report'!Q941</f>
        <v>0</v>
      </c>
    </row>
    <row r="942" spans="4:19">
      <c r="D942">
        <f>'Audit Report'!B942</f>
        <v>0</v>
      </c>
      <c r="E942">
        <f>'Audit Report'!C942</f>
        <v>0</v>
      </c>
      <c r="I942">
        <f>'Audit Report'!D942</f>
        <v>0</v>
      </c>
      <c r="J942" t="str">
        <f>_xlfn.TEXTJOIN(" ",TRUE,'Audit Report'!G942,'Audit Report'!H942)</f>
        <v/>
      </c>
      <c r="L942" t="str">
        <f>_xlfn.TEXTJOIN(", ", TRUE, 'Audit Report'!K942,'Audit Report'!L942,'Audit Report'!M942)</f>
        <v/>
      </c>
      <c r="M942">
        <f>'Audit Report'!O942</f>
        <v>0</v>
      </c>
      <c r="N942" t="str" cm="1">
        <f t="array" ref="N942">IF(M942="","",
_xlfn.TEXTJOIN(", ",TRUE,
    _xlfn.MAP(_xlfn.TEXTSPLIT(M942,","),_xlfn.LAMBDA(_xlpm.x,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2">
        <f>'Audit Report'!F942</f>
        <v>0</v>
      </c>
      <c r="S942">
        <f>'Audit Report'!Q942</f>
        <v>0</v>
      </c>
    </row>
    <row r="943" spans="4:19">
      <c r="D943">
        <f>'Audit Report'!B943</f>
        <v>0</v>
      </c>
      <c r="E943">
        <f>'Audit Report'!C943</f>
        <v>0</v>
      </c>
      <c r="I943">
        <f>'Audit Report'!D943</f>
        <v>0</v>
      </c>
      <c r="J943" t="str">
        <f>_xlfn.TEXTJOIN(" ",TRUE,'Audit Report'!G943,'Audit Report'!H943)</f>
        <v/>
      </c>
      <c r="L943" t="str">
        <f>_xlfn.TEXTJOIN(", ", TRUE, 'Audit Report'!K943,'Audit Report'!L943,'Audit Report'!M943)</f>
        <v/>
      </c>
      <c r="M943">
        <f>'Audit Report'!O943</f>
        <v>0</v>
      </c>
      <c r="N943" t="str" cm="1">
        <f t="array" ref="N943">IF(M943="","",
_xlfn.TEXTJOIN(", ",TRUE,
    _xlfn.MAP(_xlfn.TEXTSPLIT(M943,","),_xlfn.LAMBDA(_xlpm.x,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3">
        <f>'Audit Report'!F943</f>
        <v>0</v>
      </c>
      <c r="S943">
        <f>'Audit Report'!Q943</f>
        <v>0</v>
      </c>
    </row>
    <row r="944" spans="4:19">
      <c r="D944">
        <f>'Audit Report'!B944</f>
        <v>0</v>
      </c>
      <c r="E944">
        <f>'Audit Report'!C944</f>
        <v>0</v>
      </c>
      <c r="I944">
        <f>'Audit Report'!D944</f>
        <v>0</v>
      </c>
      <c r="J944" t="str">
        <f>_xlfn.TEXTJOIN(" ",TRUE,'Audit Report'!G944,'Audit Report'!H944)</f>
        <v/>
      </c>
      <c r="L944" t="str">
        <f>_xlfn.TEXTJOIN(", ", TRUE, 'Audit Report'!K944,'Audit Report'!L944,'Audit Report'!M944)</f>
        <v/>
      </c>
      <c r="M944">
        <f>'Audit Report'!O944</f>
        <v>0</v>
      </c>
      <c r="N944" t="str" cm="1">
        <f t="array" ref="N944">IF(M944="","",
_xlfn.TEXTJOIN(", ",TRUE,
    _xlfn.MAP(_xlfn.TEXTSPLIT(M944,","),_xlfn.LAMBDA(_xlpm.x,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4">
        <f>'Audit Report'!F944</f>
        <v>0</v>
      </c>
      <c r="S944">
        <f>'Audit Report'!Q944</f>
        <v>0</v>
      </c>
    </row>
    <row r="945" spans="4:19">
      <c r="D945">
        <f>'Audit Report'!B945</f>
        <v>0</v>
      </c>
      <c r="E945">
        <f>'Audit Report'!C945</f>
        <v>0</v>
      </c>
      <c r="I945">
        <f>'Audit Report'!D945</f>
        <v>0</v>
      </c>
      <c r="J945" t="str">
        <f>_xlfn.TEXTJOIN(" ",TRUE,'Audit Report'!G945,'Audit Report'!H945)</f>
        <v/>
      </c>
      <c r="L945" t="str">
        <f>_xlfn.TEXTJOIN(", ", TRUE, 'Audit Report'!K945,'Audit Report'!L945,'Audit Report'!M945)</f>
        <v/>
      </c>
      <c r="M945">
        <f>'Audit Report'!O945</f>
        <v>0</v>
      </c>
      <c r="N945" t="str" cm="1">
        <f t="array" ref="N945">IF(M945="","",
_xlfn.TEXTJOIN(", ",TRUE,
    _xlfn.MAP(_xlfn.TEXTSPLIT(M945,","),_xlfn.LAMBDA(_xlpm.x,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5">
        <f>'Audit Report'!F945</f>
        <v>0</v>
      </c>
      <c r="S945">
        <f>'Audit Report'!Q945</f>
        <v>0</v>
      </c>
    </row>
    <row r="946" spans="4:19">
      <c r="D946">
        <f>'Audit Report'!B946</f>
        <v>0</v>
      </c>
      <c r="E946">
        <f>'Audit Report'!C946</f>
        <v>0</v>
      </c>
      <c r="I946">
        <f>'Audit Report'!D946</f>
        <v>0</v>
      </c>
      <c r="J946" t="str">
        <f>_xlfn.TEXTJOIN(" ",TRUE,'Audit Report'!G946,'Audit Report'!H946)</f>
        <v/>
      </c>
      <c r="L946" t="str">
        <f>_xlfn.TEXTJOIN(", ", TRUE, 'Audit Report'!K946,'Audit Report'!L946,'Audit Report'!M946)</f>
        <v/>
      </c>
      <c r="M946">
        <f>'Audit Report'!O946</f>
        <v>0</v>
      </c>
      <c r="N946" t="str" cm="1">
        <f t="array" ref="N946">IF(M946="","",
_xlfn.TEXTJOIN(", ",TRUE,
    _xlfn.MAP(_xlfn.TEXTSPLIT(M946,","),_xlfn.LAMBDA(_xlpm.x,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6">
        <f>'Audit Report'!F946</f>
        <v>0</v>
      </c>
      <c r="S946">
        <f>'Audit Report'!Q946</f>
        <v>0</v>
      </c>
    </row>
    <row r="947" spans="4:19">
      <c r="D947">
        <f>'Audit Report'!B947</f>
        <v>0</v>
      </c>
      <c r="E947">
        <f>'Audit Report'!C947</f>
        <v>0</v>
      </c>
      <c r="I947">
        <f>'Audit Report'!D947</f>
        <v>0</v>
      </c>
      <c r="J947" t="str">
        <f>_xlfn.TEXTJOIN(" ",TRUE,'Audit Report'!G947,'Audit Report'!H947)</f>
        <v/>
      </c>
      <c r="L947" t="str">
        <f>_xlfn.TEXTJOIN(", ", TRUE, 'Audit Report'!K947,'Audit Report'!L947,'Audit Report'!M947)</f>
        <v/>
      </c>
      <c r="M947">
        <f>'Audit Report'!O947</f>
        <v>0</v>
      </c>
      <c r="N947" t="str" cm="1">
        <f t="array" ref="N947">IF(M947="","",
_xlfn.TEXTJOIN(", ",TRUE,
    _xlfn.MAP(_xlfn.TEXTSPLIT(M947,","),_xlfn.LAMBDA(_xlpm.x,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7">
        <f>'Audit Report'!F947</f>
        <v>0</v>
      </c>
      <c r="S947">
        <f>'Audit Report'!Q947</f>
        <v>0</v>
      </c>
    </row>
    <row r="948" spans="4:19">
      <c r="D948">
        <f>'Audit Report'!B948</f>
        <v>0</v>
      </c>
      <c r="E948">
        <f>'Audit Report'!C948</f>
        <v>0</v>
      </c>
      <c r="I948">
        <f>'Audit Report'!D948</f>
        <v>0</v>
      </c>
      <c r="J948" t="str">
        <f>_xlfn.TEXTJOIN(" ",TRUE,'Audit Report'!G948,'Audit Report'!H948)</f>
        <v/>
      </c>
      <c r="L948" t="str">
        <f>_xlfn.TEXTJOIN(", ", TRUE, 'Audit Report'!K948,'Audit Report'!L948,'Audit Report'!M948)</f>
        <v/>
      </c>
      <c r="M948">
        <f>'Audit Report'!O948</f>
        <v>0</v>
      </c>
      <c r="N948" t="str" cm="1">
        <f t="array" ref="N948">IF(M948="","",
_xlfn.TEXTJOIN(", ",TRUE,
    _xlfn.MAP(_xlfn.TEXTSPLIT(M948,","),_xlfn.LAMBDA(_xlpm.x,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8">
        <f>'Audit Report'!F948</f>
        <v>0</v>
      </c>
      <c r="S948">
        <f>'Audit Report'!Q948</f>
        <v>0</v>
      </c>
    </row>
    <row r="949" spans="4:19">
      <c r="D949">
        <f>'Audit Report'!B949</f>
        <v>0</v>
      </c>
      <c r="E949">
        <f>'Audit Report'!C949</f>
        <v>0</v>
      </c>
      <c r="I949">
        <f>'Audit Report'!D949</f>
        <v>0</v>
      </c>
      <c r="J949" t="str">
        <f>_xlfn.TEXTJOIN(" ",TRUE,'Audit Report'!G949,'Audit Report'!H949)</f>
        <v/>
      </c>
      <c r="L949" t="str">
        <f>_xlfn.TEXTJOIN(", ", TRUE, 'Audit Report'!K949,'Audit Report'!L949,'Audit Report'!M949)</f>
        <v/>
      </c>
      <c r="M949">
        <f>'Audit Report'!O949</f>
        <v>0</v>
      </c>
      <c r="N949" t="str" cm="1">
        <f t="array" ref="N949">IF(M949="","",
_xlfn.TEXTJOIN(", ",TRUE,
    _xlfn.MAP(_xlfn.TEXTSPLIT(M949,","),_xlfn.LAMBDA(_xlpm.x,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9">
        <f>'Audit Report'!F949</f>
        <v>0</v>
      </c>
      <c r="S949">
        <f>'Audit Report'!Q949</f>
        <v>0</v>
      </c>
    </row>
    <row r="950" spans="4:19">
      <c r="D950">
        <f>'Audit Report'!B950</f>
        <v>0</v>
      </c>
      <c r="E950">
        <f>'Audit Report'!C950</f>
        <v>0</v>
      </c>
      <c r="I950">
        <f>'Audit Report'!D950</f>
        <v>0</v>
      </c>
      <c r="J950" t="str">
        <f>_xlfn.TEXTJOIN(" ",TRUE,'Audit Report'!G950,'Audit Report'!H950)</f>
        <v/>
      </c>
      <c r="L950" t="str">
        <f>_xlfn.TEXTJOIN(", ", TRUE, 'Audit Report'!K950,'Audit Report'!L950,'Audit Report'!M950)</f>
        <v/>
      </c>
      <c r="M950">
        <f>'Audit Report'!O950</f>
        <v>0</v>
      </c>
      <c r="N950" t="str" cm="1">
        <f t="array" ref="N950">IF(M950="","",
_xlfn.TEXTJOIN(", ",TRUE,
    _xlfn.MAP(_xlfn.TEXTSPLIT(M950,","),_xlfn.LAMBDA(_xlpm.x,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0">
        <f>'Audit Report'!F950</f>
        <v>0</v>
      </c>
      <c r="S950">
        <f>'Audit Report'!Q950</f>
        <v>0</v>
      </c>
    </row>
    <row r="951" spans="4:19">
      <c r="D951">
        <f>'Audit Report'!B951</f>
        <v>0</v>
      </c>
      <c r="E951">
        <f>'Audit Report'!C951</f>
        <v>0</v>
      </c>
      <c r="I951">
        <f>'Audit Report'!D951</f>
        <v>0</v>
      </c>
      <c r="J951" t="str">
        <f>_xlfn.TEXTJOIN(" ",TRUE,'Audit Report'!G951,'Audit Report'!H951)</f>
        <v/>
      </c>
      <c r="L951" t="str">
        <f>_xlfn.TEXTJOIN(", ", TRUE, 'Audit Report'!K951,'Audit Report'!L951,'Audit Report'!M951)</f>
        <v/>
      </c>
      <c r="M951">
        <f>'Audit Report'!O951</f>
        <v>0</v>
      </c>
      <c r="N951" t="str" cm="1">
        <f t="array" ref="N951">IF(M951="","",
_xlfn.TEXTJOIN(", ",TRUE,
    _xlfn.MAP(_xlfn.TEXTSPLIT(M951,","),_xlfn.LAMBDA(_xlpm.x,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1">
        <f>'Audit Report'!F951</f>
        <v>0</v>
      </c>
      <c r="S951">
        <f>'Audit Report'!Q951</f>
        <v>0</v>
      </c>
    </row>
    <row r="952" spans="4:19">
      <c r="D952">
        <f>'Audit Report'!B952</f>
        <v>0</v>
      </c>
      <c r="E952">
        <f>'Audit Report'!C952</f>
        <v>0</v>
      </c>
      <c r="I952">
        <f>'Audit Report'!D952</f>
        <v>0</v>
      </c>
      <c r="J952" t="str">
        <f>_xlfn.TEXTJOIN(" ",TRUE,'Audit Report'!G952,'Audit Report'!H952)</f>
        <v/>
      </c>
      <c r="L952" t="str">
        <f>_xlfn.TEXTJOIN(", ", TRUE, 'Audit Report'!K952,'Audit Report'!L952,'Audit Report'!M952)</f>
        <v/>
      </c>
      <c r="M952">
        <f>'Audit Report'!O952</f>
        <v>0</v>
      </c>
      <c r="N952" t="str" cm="1">
        <f t="array" ref="N952">IF(M952="","",
_xlfn.TEXTJOIN(", ",TRUE,
    _xlfn.MAP(_xlfn.TEXTSPLIT(M952,","),_xlfn.LAMBDA(_xlpm.x,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2">
        <f>'Audit Report'!F952</f>
        <v>0</v>
      </c>
      <c r="S952">
        <f>'Audit Report'!Q952</f>
        <v>0</v>
      </c>
    </row>
    <row r="953" spans="4:19">
      <c r="D953">
        <f>'Audit Report'!B953</f>
        <v>0</v>
      </c>
      <c r="E953">
        <f>'Audit Report'!C953</f>
        <v>0</v>
      </c>
      <c r="I953">
        <f>'Audit Report'!D953</f>
        <v>0</v>
      </c>
      <c r="J953" t="str">
        <f>_xlfn.TEXTJOIN(" ",TRUE,'Audit Report'!G953,'Audit Report'!H953)</f>
        <v/>
      </c>
      <c r="L953" t="str">
        <f>_xlfn.TEXTJOIN(", ", TRUE, 'Audit Report'!K953,'Audit Report'!L953,'Audit Report'!M953)</f>
        <v/>
      </c>
      <c r="M953">
        <f>'Audit Report'!O953</f>
        <v>0</v>
      </c>
      <c r="N953" t="str" cm="1">
        <f t="array" ref="N953">IF(M953="","",
_xlfn.TEXTJOIN(", ",TRUE,
    _xlfn.MAP(_xlfn.TEXTSPLIT(M953,","),_xlfn.LAMBDA(_xlpm.x,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3">
        <f>'Audit Report'!F953</f>
        <v>0</v>
      </c>
      <c r="S953">
        <f>'Audit Report'!Q953</f>
        <v>0</v>
      </c>
    </row>
    <row r="954" spans="4:19">
      <c r="D954">
        <f>'Audit Report'!B954</f>
        <v>0</v>
      </c>
      <c r="E954">
        <f>'Audit Report'!C954</f>
        <v>0</v>
      </c>
      <c r="I954">
        <f>'Audit Report'!D954</f>
        <v>0</v>
      </c>
      <c r="J954" t="str">
        <f>_xlfn.TEXTJOIN(" ",TRUE,'Audit Report'!G954,'Audit Report'!H954)</f>
        <v/>
      </c>
      <c r="L954" t="str">
        <f>_xlfn.TEXTJOIN(", ", TRUE, 'Audit Report'!K954,'Audit Report'!L954,'Audit Report'!M954)</f>
        <v/>
      </c>
      <c r="M954">
        <f>'Audit Report'!O954</f>
        <v>0</v>
      </c>
      <c r="N954" t="str" cm="1">
        <f t="array" ref="N954">IF(M954="","",
_xlfn.TEXTJOIN(", ",TRUE,
    _xlfn.MAP(_xlfn.TEXTSPLIT(M954,","),_xlfn.LAMBDA(_xlpm.x,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4">
        <f>'Audit Report'!F954</f>
        <v>0</v>
      </c>
      <c r="S954">
        <f>'Audit Report'!Q954</f>
        <v>0</v>
      </c>
    </row>
    <row r="955" spans="4:19">
      <c r="D955">
        <f>'Audit Report'!B955</f>
        <v>0</v>
      </c>
      <c r="E955">
        <f>'Audit Report'!C955</f>
        <v>0</v>
      </c>
      <c r="I955">
        <f>'Audit Report'!D955</f>
        <v>0</v>
      </c>
      <c r="J955" t="str">
        <f>_xlfn.TEXTJOIN(" ",TRUE,'Audit Report'!G955,'Audit Report'!H955)</f>
        <v/>
      </c>
      <c r="L955" t="str">
        <f>_xlfn.TEXTJOIN(", ", TRUE, 'Audit Report'!K955,'Audit Report'!L955,'Audit Report'!M955)</f>
        <v/>
      </c>
      <c r="M955">
        <f>'Audit Report'!O955</f>
        <v>0</v>
      </c>
      <c r="N955" t="str" cm="1">
        <f t="array" ref="N955">IF(M955="","",
_xlfn.TEXTJOIN(", ",TRUE,
    _xlfn.MAP(_xlfn.TEXTSPLIT(M955,","),_xlfn.LAMBDA(_xlpm.x,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5">
        <f>'Audit Report'!F955</f>
        <v>0</v>
      </c>
      <c r="S955">
        <f>'Audit Report'!Q955</f>
        <v>0</v>
      </c>
    </row>
    <row r="956" spans="4:19">
      <c r="D956">
        <f>'Audit Report'!B956</f>
        <v>0</v>
      </c>
      <c r="E956">
        <f>'Audit Report'!C956</f>
        <v>0</v>
      </c>
      <c r="I956">
        <f>'Audit Report'!D956</f>
        <v>0</v>
      </c>
      <c r="J956" t="str">
        <f>_xlfn.TEXTJOIN(" ",TRUE,'Audit Report'!G956,'Audit Report'!H956)</f>
        <v/>
      </c>
      <c r="L956" t="str">
        <f>_xlfn.TEXTJOIN(", ", TRUE, 'Audit Report'!K956,'Audit Report'!L956,'Audit Report'!M956)</f>
        <v/>
      </c>
      <c r="M956">
        <f>'Audit Report'!O956</f>
        <v>0</v>
      </c>
      <c r="N956" t="str" cm="1">
        <f t="array" ref="N956">IF(M956="","",
_xlfn.TEXTJOIN(", ",TRUE,
    _xlfn.MAP(_xlfn.TEXTSPLIT(M956,","),_xlfn.LAMBDA(_xlpm.x,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6">
        <f>'Audit Report'!F956</f>
        <v>0</v>
      </c>
      <c r="S956">
        <f>'Audit Report'!Q956</f>
        <v>0</v>
      </c>
    </row>
    <row r="957" spans="4:19">
      <c r="D957">
        <f>'Audit Report'!B957</f>
        <v>0</v>
      </c>
      <c r="E957">
        <f>'Audit Report'!C957</f>
        <v>0</v>
      </c>
      <c r="I957">
        <f>'Audit Report'!D957</f>
        <v>0</v>
      </c>
      <c r="J957" t="str">
        <f>_xlfn.TEXTJOIN(" ",TRUE,'Audit Report'!G957,'Audit Report'!H957)</f>
        <v/>
      </c>
      <c r="L957" t="str">
        <f>_xlfn.TEXTJOIN(", ", TRUE, 'Audit Report'!K957,'Audit Report'!L957,'Audit Report'!M957)</f>
        <v/>
      </c>
      <c r="M957">
        <f>'Audit Report'!O957</f>
        <v>0</v>
      </c>
      <c r="N957" t="str" cm="1">
        <f t="array" ref="N957">IF(M957="","",
_xlfn.TEXTJOIN(", ",TRUE,
    _xlfn.MAP(_xlfn.TEXTSPLIT(M957,","),_xlfn.LAMBDA(_xlpm.x,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7">
        <f>'Audit Report'!F957</f>
        <v>0</v>
      </c>
      <c r="S957">
        <f>'Audit Report'!Q957</f>
        <v>0</v>
      </c>
    </row>
    <row r="958" spans="4:19">
      <c r="D958">
        <f>'Audit Report'!B958</f>
        <v>0</v>
      </c>
      <c r="E958">
        <f>'Audit Report'!C958</f>
        <v>0</v>
      </c>
      <c r="I958">
        <f>'Audit Report'!D958</f>
        <v>0</v>
      </c>
      <c r="J958" t="str">
        <f>_xlfn.TEXTJOIN(" ",TRUE,'Audit Report'!G958,'Audit Report'!H958)</f>
        <v/>
      </c>
      <c r="L958" t="str">
        <f>_xlfn.TEXTJOIN(", ", TRUE, 'Audit Report'!K958,'Audit Report'!L958,'Audit Report'!M958)</f>
        <v/>
      </c>
      <c r="M958">
        <f>'Audit Report'!O958</f>
        <v>0</v>
      </c>
      <c r="N958" t="str" cm="1">
        <f t="array" ref="N958">IF(M958="","",
_xlfn.TEXTJOIN(", ",TRUE,
    _xlfn.MAP(_xlfn.TEXTSPLIT(M958,","),_xlfn.LAMBDA(_xlpm.x,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8">
        <f>'Audit Report'!F958</f>
        <v>0</v>
      </c>
      <c r="S958">
        <f>'Audit Report'!Q958</f>
        <v>0</v>
      </c>
    </row>
    <row r="959" spans="4:19">
      <c r="D959">
        <f>'Audit Report'!B959</f>
        <v>0</v>
      </c>
      <c r="E959">
        <f>'Audit Report'!C959</f>
        <v>0</v>
      </c>
      <c r="I959">
        <f>'Audit Report'!D959</f>
        <v>0</v>
      </c>
      <c r="J959" t="str">
        <f>_xlfn.TEXTJOIN(" ",TRUE,'Audit Report'!G959,'Audit Report'!H959)</f>
        <v/>
      </c>
      <c r="L959" t="str">
        <f>_xlfn.TEXTJOIN(", ", TRUE, 'Audit Report'!K959,'Audit Report'!L959,'Audit Report'!M959)</f>
        <v/>
      </c>
      <c r="M959">
        <f>'Audit Report'!O959</f>
        <v>0</v>
      </c>
      <c r="N959" t="str" cm="1">
        <f t="array" ref="N959">IF(M959="","",
_xlfn.TEXTJOIN(", ",TRUE,
    _xlfn.MAP(_xlfn.TEXTSPLIT(M959,","),_xlfn.LAMBDA(_xlpm.x,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9">
        <f>'Audit Report'!F959</f>
        <v>0</v>
      </c>
      <c r="S959">
        <f>'Audit Report'!Q959</f>
        <v>0</v>
      </c>
    </row>
    <row r="960" spans="4:19">
      <c r="D960">
        <f>'Audit Report'!B960</f>
        <v>0</v>
      </c>
      <c r="E960">
        <f>'Audit Report'!C960</f>
        <v>0</v>
      </c>
      <c r="I960">
        <f>'Audit Report'!D960</f>
        <v>0</v>
      </c>
      <c r="J960" t="str">
        <f>_xlfn.TEXTJOIN(" ",TRUE,'Audit Report'!G960,'Audit Report'!H960)</f>
        <v/>
      </c>
      <c r="L960" t="str">
        <f>_xlfn.TEXTJOIN(", ", TRUE, 'Audit Report'!K960,'Audit Report'!L960,'Audit Report'!M960)</f>
        <v/>
      </c>
      <c r="M960">
        <f>'Audit Report'!O960</f>
        <v>0</v>
      </c>
      <c r="N960" t="str" cm="1">
        <f t="array" ref="N960">IF(M960="","",
_xlfn.TEXTJOIN(", ",TRUE,
    _xlfn.MAP(_xlfn.TEXTSPLIT(M960,","),_xlfn.LAMBDA(_xlpm.x,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0">
        <f>'Audit Report'!F960</f>
        <v>0</v>
      </c>
      <c r="S960">
        <f>'Audit Report'!Q960</f>
        <v>0</v>
      </c>
    </row>
    <row r="961" spans="4:19">
      <c r="D961">
        <f>'Audit Report'!B961</f>
        <v>0</v>
      </c>
      <c r="E961">
        <f>'Audit Report'!C961</f>
        <v>0</v>
      </c>
      <c r="I961">
        <f>'Audit Report'!D961</f>
        <v>0</v>
      </c>
      <c r="J961" t="str">
        <f>_xlfn.TEXTJOIN(" ",TRUE,'Audit Report'!G961,'Audit Report'!H961)</f>
        <v/>
      </c>
      <c r="L961" t="str">
        <f>_xlfn.TEXTJOIN(", ", TRUE, 'Audit Report'!K961,'Audit Report'!L961,'Audit Report'!M961)</f>
        <v/>
      </c>
      <c r="M961">
        <f>'Audit Report'!O961</f>
        <v>0</v>
      </c>
      <c r="N961" t="str" cm="1">
        <f t="array" ref="N961">IF(M961="","",
_xlfn.TEXTJOIN(", ",TRUE,
    _xlfn.MAP(_xlfn.TEXTSPLIT(M961,","),_xlfn.LAMBDA(_xlpm.x,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1">
        <f>'Audit Report'!F961</f>
        <v>0</v>
      </c>
      <c r="S961">
        <f>'Audit Report'!Q961</f>
        <v>0</v>
      </c>
    </row>
    <row r="962" spans="4:19">
      <c r="D962">
        <f>'Audit Report'!B962</f>
        <v>0</v>
      </c>
      <c r="E962">
        <f>'Audit Report'!C962</f>
        <v>0</v>
      </c>
      <c r="I962">
        <f>'Audit Report'!D962</f>
        <v>0</v>
      </c>
      <c r="J962" t="str">
        <f>_xlfn.TEXTJOIN(" ",TRUE,'Audit Report'!G962,'Audit Report'!H962)</f>
        <v/>
      </c>
      <c r="L962" t="str">
        <f>_xlfn.TEXTJOIN(", ", TRUE, 'Audit Report'!K962,'Audit Report'!L962,'Audit Report'!M962)</f>
        <v/>
      </c>
      <c r="M962">
        <f>'Audit Report'!O962</f>
        <v>0</v>
      </c>
      <c r="N962" t="str" cm="1">
        <f t="array" ref="N962">IF(M962="","",
_xlfn.TEXTJOIN(", ",TRUE,
    _xlfn.MAP(_xlfn.TEXTSPLIT(M962,","),_xlfn.LAMBDA(_xlpm.x,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2">
        <f>'Audit Report'!F962</f>
        <v>0</v>
      </c>
      <c r="S962">
        <f>'Audit Report'!Q962</f>
        <v>0</v>
      </c>
    </row>
    <row r="963" spans="4:19">
      <c r="D963">
        <f>'Audit Report'!B963</f>
        <v>0</v>
      </c>
      <c r="E963">
        <f>'Audit Report'!C963</f>
        <v>0</v>
      </c>
      <c r="I963">
        <f>'Audit Report'!D963</f>
        <v>0</v>
      </c>
      <c r="J963" t="str">
        <f>_xlfn.TEXTJOIN(" ",TRUE,'Audit Report'!G963,'Audit Report'!H963)</f>
        <v/>
      </c>
      <c r="L963" t="str">
        <f>_xlfn.TEXTJOIN(", ", TRUE, 'Audit Report'!K963,'Audit Report'!L963,'Audit Report'!M963)</f>
        <v/>
      </c>
      <c r="M963">
        <f>'Audit Report'!O963</f>
        <v>0</v>
      </c>
      <c r="N963" t="str" cm="1">
        <f t="array" ref="N963">IF(M963="","",
_xlfn.TEXTJOIN(", ",TRUE,
    _xlfn.MAP(_xlfn.TEXTSPLIT(M963,","),_xlfn.LAMBDA(_xlpm.x,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3">
        <f>'Audit Report'!F963</f>
        <v>0</v>
      </c>
      <c r="S963">
        <f>'Audit Report'!Q963</f>
        <v>0</v>
      </c>
    </row>
    <row r="964" spans="4:19">
      <c r="D964">
        <f>'Audit Report'!B964</f>
        <v>0</v>
      </c>
      <c r="E964">
        <f>'Audit Report'!C964</f>
        <v>0</v>
      </c>
      <c r="I964">
        <f>'Audit Report'!D964</f>
        <v>0</v>
      </c>
      <c r="J964" t="str">
        <f>_xlfn.TEXTJOIN(" ",TRUE,'Audit Report'!G964,'Audit Report'!H964)</f>
        <v/>
      </c>
      <c r="L964" t="str">
        <f>_xlfn.TEXTJOIN(", ", TRUE, 'Audit Report'!K964,'Audit Report'!L964,'Audit Report'!M964)</f>
        <v/>
      </c>
      <c r="M964">
        <f>'Audit Report'!O964</f>
        <v>0</v>
      </c>
      <c r="N964" t="str" cm="1">
        <f t="array" ref="N964">IF(M964="","",
_xlfn.TEXTJOIN(", ",TRUE,
    _xlfn.MAP(_xlfn.TEXTSPLIT(M964,","),_xlfn.LAMBDA(_xlpm.x,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4">
        <f>'Audit Report'!F964</f>
        <v>0</v>
      </c>
      <c r="S964">
        <f>'Audit Report'!Q964</f>
        <v>0</v>
      </c>
    </row>
    <row r="965" spans="4:19">
      <c r="D965">
        <f>'Audit Report'!B965</f>
        <v>0</v>
      </c>
      <c r="E965">
        <f>'Audit Report'!C965</f>
        <v>0</v>
      </c>
      <c r="I965">
        <f>'Audit Report'!D965</f>
        <v>0</v>
      </c>
      <c r="J965" t="str">
        <f>_xlfn.TEXTJOIN(" ",TRUE,'Audit Report'!G965,'Audit Report'!H965)</f>
        <v/>
      </c>
      <c r="L965" t="str">
        <f>_xlfn.TEXTJOIN(", ", TRUE, 'Audit Report'!K965,'Audit Report'!L965,'Audit Report'!M965)</f>
        <v/>
      </c>
      <c r="M965">
        <f>'Audit Report'!O965</f>
        <v>0</v>
      </c>
      <c r="N965" t="str" cm="1">
        <f t="array" ref="N965">IF(M965="","",
_xlfn.TEXTJOIN(", ",TRUE,
    _xlfn.MAP(_xlfn.TEXTSPLIT(M965,","),_xlfn.LAMBDA(_xlpm.x,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5">
        <f>'Audit Report'!F965</f>
        <v>0</v>
      </c>
      <c r="S965">
        <f>'Audit Report'!Q965</f>
        <v>0</v>
      </c>
    </row>
    <row r="966" spans="4:19">
      <c r="D966">
        <f>'Audit Report'!B966</f>
        <v>0</v>
      </c>
      <c r="E966">
        <f>'Audit Report'!C966</f>
        <v>0</v>
      </c>
      <c r="I966">
        <f>'Audit Report'!D966</f>
        <v>0</v>
      </c>
      <c r="J966" t="str">
        <f>_xlfn.TEXTJOIN(" ",TRUE,'Audit Report'!G966,'Audit Report'!H966)</f>
        <v/>
      </c>
      <c r="L966" t="str">
        <f>_xlfn.TEXTJOIN(", ", TRUE, 'Audit Report'!K966,'Audit Report'!L966,'Audit Report'!M966)</f>
        <v/>
      </c>
      <c r="M966">
        <f>'Audit Report'!O966</f>
        <v>0</v>
      </c>
      <c r="N966" t="str" cm="1">
        <f t="array" ref="N966">IF(M966="","",
_xlfn.TEXTJOIN(", ",TRUE,
    _xlfn.MAP(_xlfn.TEXTSPLIT(M966,","),_xlfn.LAMBDA(_xlpm.x,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6">
        <f>'Audit Report'!F966</f>
        <v>0</v>
      </c>
      <c r="S966">
        <f>'Audit Report'!Q966</f>
        <v>0</v>
      </c>
    </row>
    <row r="967" spans="4:19">
      <c r="D967">
        <f>'Audit Report'!B967</f>
        <v>0</v>
      </c>
      <c r="E967">
        <f>'Audit Report'!C967</f>
        <v>0</v>
      </c>
      <c r="I967">
        <f>'Audit Report'!D967</f>
        <v>0</v>
      </c>
      <c r="J967" t="str">
        <f>_xlfn.TEXTJOIN(" ",TRUE,'Audit Report'!G967,'Audit Report'!H967)</f>
        <v/>
      </c>
      <c r="L967" t="str">
        <f>_xlfn.TEXTJOIN(", ", TRUE, 'Audit Report'!K967,'Audit Report'!L967,'Audit Report'!M967)</f>
        <v/>
      </c>
      <c r="M967">
        <f>'Audit Report'!O967</f>
        <v>0</v>
      </c>
      <c r="N967" t="str" cm="1">
        <f t="array" ref="N967">IF(M967="","",
_xlfn.TEXTJOIN(", ",TRUE,
    _xlfn.MAP(_xlfn.TEXTSPLIT(M967,","),_xlfn.LAMBDA(_xlpm.x,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7">
        <f>'Audit Report'!F967</f>
        <v>0</v>
      </c>
      <c r="S967">
        <f>'Audit Report'!Q967</f>
        <v>0</v>
      </c>
    </row>
    <row r="968" spans="4:19">
      <c r="D968">
        <f>'Audit Report'!B968</f>
        <v>0</v>
      </c>
      <c r="E968">
        <f>'Audit Report'!C968</f>
        <v>0</v>
      </c>
      <c r="I968">
        <f>'Audit Report'!D968</f>
        <v>0</v>
      </c>
      <c r="J968" t="str">
        <f>_xlfn.TEXTJOIN(" ",TRUE,'Audit Report'!G968,'Audit Report'!H968)</f>
        <v/>
      </c>
      <c r="L968" t="str">
        <f>_xlfn.TEXTJOIN(", ", TRUE, 'Audit Report'!K968,'Audit Report'!L968,'Audit Report'!M968)</f>
        <v/>
      </c>
      <c r="M968">
        <f>'Audit Report'!O968</f>
        <v>0</v>
      </c>
      <c r="N968" t="str" cm="1">
        <f t="array" ref="N968">IF(M968="","",
_xlfn.TEXTJOIN(", ",TRUE,
    _xlfn.MAP(_xlfn.TEXTSPLIT(M968,","),_xlfn.LAMBDA(_xlpm.x,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8">
        <f>'Audit Report'!F968</f>
        <v>0</v>
      </c>
      <c r="S968">
        <f>'Audit Report'!Q968</f>
        <v>0</v>
      </c>
    </row>
    <row r="969" spans="4:19">
      <c r="D969">
        <f>'Audit Report'!B969</f>
        <v>0</v>
      </c>
      <c r="E969">
        <f>'Audit Report'!C969</f>
        <v>0</v>
      </c>
      <c r="I969">
        <f>'Audit Report'!D969</f>
        <v>0</v>
      </c>
      <c r="J969" t="str">
        <f>_xlfn.TEXTJOIN(" ",TRUE,'Audit Report'!G969,'Audit Report'!H969)</f>
        <v/>
      </c>
      <c r="L969" t="str">
        <f>_xlfn.TEXTJOIN(", ", TRUE, 'Audit Report'!K969,'Audit Report'!L969,'Audit Report'!M969)</f>
        <v/>
      </c>
      <c r="M969">
        <f>'Audit Report'!O969</f>
        <v>0</v>
      </c>
      <c r="N969" t="str" cm="1">
        <f t="array" ref="N969">IF(M969="","",
_xlfn.TEXTJOIN(", ",TRUE,
    _xlfn.MAP(_xlfn.TEXTSPLIT(M969,","),_xlfn.LAMBDA(_xlpm.x,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9">
        <f>'Audit Report'!F969</f>
        <v>0</v>
      </c>
      <c r="S969">
        <f>'Audit Report'!Q969</f>
        <v>0</v>
      </c>
    </row>
    <row r="970" spans="4:19">
      <c r="D970">
        <f>'Audit Report'!B970</f>
        <v>0</v>
      </c>
      <c r="E970">
        <f>'Audit Report'!C970</f>
        <v>0</v>
      </c>
      <c r="I970">
        <f>'Audit Report'!D970</f>
        <v>0</v>
      </c>
      <c r="J970" t="str">
        <f>_xlfn.TEXTJOIN(" ",TRUE,'Audit Report'!G970,'Audit Report'!H970)</f>
        <v/>
      </c>
      <c r="L970" t="str">
        <f>_xlfn.TEXTJOIN(", ", TRUE, 'Audit Report'!K970,'Audit Report'!L970,'Audit Report'!M970)</f>
        <v/>
      </c>
      <c r="M970">
        <f>'Audit Report'!O970</f>
        <v>0</v>
      </c>
      <c r="N970" t="str" cm="1">
        <f t="array" ref="N970">IF(M970="","",
_xlfn.TEXTJOIN(", ",TRUE,
    _xlfn.MAP(_xlfn.TEXTSPLIT(M970,","),_xlfn.LAMBDA(_xlpm.x,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0">
        <f>'Audit Report'!F970</f>
        <v>0</v>
      </c>
      <c r="S970">
        <f>'Audit Report'!Q970</f>
        <v>0</v>
      </c>
    </row>
    <row r="971" spans="4:19">
      <c r="D971">
        <f>'Audit Report'!B971</f>
        <v>0</v>
      </c>
      <c r="E971">
        <f>'Audit Report'!C971</f>
        <v>0</v>
      </c>
      <c r="I971">
        <f>'Audit Report'!D971</f>
        <v>0</v>
      </c>
      <c r="J971" t="str">
        <f>_xlfn.TEXTJOIN(" ",TRUE,'Audit Report'!G971,'Audit Report'!H971)</f>
        <v/>
      </c>
      <c r="L971" t="str">
        <f>_xlfn.TEXTJOIN(", ", TRUE, 'Audit Report'!K971,'Audit Report'!L971,'Audit Report'!M971)</f>
        <v/>
      </c>
      <c r="M971">
        <f>'Audit Report'!O971</f>
        <v>0</v>
      </c>
      <c r="N971" t="str" cm="1">
        <f t="array" ref="N971">IF(M971="","",
_xlfn.TEXTJOIN(", ",TRUE,
    _xlfn.MAP(_xlfn.TEXTSPLIT(M971,","),_xlfn.LAMBDA(_xlpm.x,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1">
        <f>'Audit Report'!F971</f>
        <v>0</v>
      </c>
      <c r="S971">
        <f>'Audit Report'!Q971</f>
        <v>0</v>
      </c>
    </row>
    <row r="972" spans="4:19">
      <c r="D972">
        <f>'Audit Report'!B972</f>
        <v>0</v>
      </c>
      <c r="E972">
        <f>'Audit Report'!C972</f>
        <v>0</v>
      </c>
      <c r="I972">
        <f>'Audit Report'!D972</f>
        <v>0</v>
      </c>
      <c r="J972" t="str">
        <f>_xlfn.TEXTJOIN(" ",TRUE,'Audit Report'!G972,'Audit Report'!H972)</f>
        <v/>
      </c>
      <c r="L972" t="str">
        <f>_xlfn.TEXTJOIN(", ", TRUE, 'Audit Report'!K972,'Audit Report'!L972,'Audit Report'!M972)</f>
        <v/>
      </c>
      <c r="M972">
        <f>'Audit Report'!O972</f>
        <v>0</v>
      </c>
      <c r="N972" t="str" cm="1">
        <f t="array" ref="N972">IF(M972="","",
_xlfn.TEXTJOIN(", ",TRUE,
    _xlfn.MAP(_xlfn.TEXTSPLIT(M972,","),_xlfn.LAMBDA(_xlpm.x,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2">
        <f>'Audit Report'!F972</f>
        <v>0</v>
      </c>
      <c r="S972">
        <f>'Audit Report'!Q972</f>
        <v>0</v>
      </c>
    </row>
    <row r="973" spans="4:19">
      <c r="D973">
        <f>'Audit Report'!B973</f>
        <v>0</v>
      </c>
      <c r="E973">
        <f>'Audit Report'!C973</f>
        <v>0</v>
      </c>
      <c r="I973">
        <f>'Audit Report'!D973</f>
        <v>0</v>
      </c>
      <c r="J973" t="str">
        <f>_xlfn.TEXTJOIN(" ",TRUE,'Audit Report'!G973,'Audit Report'!H973)</f>
        <v/>
      </c>
      <c r="L973" t="str">
        <f>_xlfn.TEXTJOIN(", ", TRUE, 'Audit Report'!K973,'Audit Report'!L973,'Audit Report'!M973)</f>
        <v/>
      </c>
      <c r="M973">
        <f>'Audit Report'!O973</f>
        <v>0</v>
      </c>
      <c r="N973" t="str" cm="1">
        <f t="array" ref="N973">IF(M973="","",
_xlfn.TEXTJOIN(", ",TRUE,
    _xlfn.MAP(_xlfn.TEXTSPLIT(M973,","),_xlfn.LAMBDA(_xlpm.x,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3">
        <f>'Audit Report'!F973</f>
        <v>0</v>
      </c>
      <c r="S973">
        <f>'Audit Report'!Q973</f>
        <v>0</v>
      </c>
    </row>
    <row r="974" spans="4:19">
      <c r="D974">
        <f>'Audit Report'!B974</f>
        <v>0</v>
      </c>
      <c r="E974">
        <f>'Audit Report'!C974</f>
        <v>0</v>
      </c>
      <c r="I974">
        <f>'Audit Report'!D974</f>
        <v>0</v>
      </c>
      <c r="J974" t="str">
        <f>_xlfn.TEXTJOIN(" ",TRUE,'Audit Report'!G974,'Audit Report'!H974)</f>
        <v/>
      </c>
      <c r="L974" t="str">
        <f>_xlfn.TEXTJOIN(", ", TRUE, 'Audit Report'!K974,'Audit Report'!L974,'Audit Report'!M974)</f>
        <v/>
      </c>
      <c r="M974">
        <f>'Audit Report'!O974</f>
        <v>0</v>
      </c>
      <c r="N974" t="str" cm="1">
        <f t="array" ref="N974">IF(M974="","",
_xlfn.TEXTJOIN(", ",TRUE,
    _xlfn.MAP(_xlfn.TEXTSPLIT(M974,","),_xlfn.LAMBDA(_xlpm.x,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4">
        <f>'Audit Report'!F974</f>
        <v>0</v>
      </c>
      <c r="S974">
        <f>'Audit Report'!Q974</f>
        <v>0</v>
      </c>
    </row>
    <row r="975" spans="4:19">
      <c r="D975">
        <f>'Audit Report'!B975</f>
        <v>0</v>
      </c>
      <c r="E975">
        <f>'Audit Report'!C975</f>
        <v>0</v>
      </c>
      <c r="I975">
        <f>'Audit Report'!D975</f>
        <v>0</v>
      </c>
      <c r="J975" t="str">
        <f>_xlfn.TEXTJOIN(" ",TRUE,'Audit Report'!G975,'Audit Report'!H975)</f>
        <v/>
      </c>
      <c r="L975" t="str">
        <f>_xlfn.TEXTJOIN(", ", TRUE, 'Audit Report'!K975,'Audit Report'!L975,'Audit Report'!M975)</f>
        <v/>
      </c>
      <c r="M975">
        <f>'Audit Report'!O975</f>
        <v>0</v>
      </c>
      <c r="N975" t="str" cm="1">
        <f t="array" ref="N975">IF(M975="","",
_xlfn.TEXTJOIN(", ",TRUE,
    _xlfn.MAP(_xlfn.TEXTSPLIT(M975,","),_xlfn.LAMBDA(_xlpm.x,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5">
        <f>'Audit Report'!F975</f>
        <v>0</v>
      </c>
      <c r="S975">
        <f>'Audit Report'!Q975</f>
        <v>0</v>
      </c>
    </row>
    <row r="976" spans="4:19">
      <c r="D976">
        <f>'Audit Report'!B976</f>
        <v>0</v>
      </c>
      <c r="E976">
        <f>'Audit Report'!C976</f>
        <v>0</v>
      </c>
      <c r="I976">
        <f>'Audit Report'!D976</f>
        <v>0</v>
      </c>
      <c r="J976" t="str">
        <f>_xlfn.TEXTJOIN(" ",TRUE,'Audit Report'!G976,'Audit Report'!H976)</f>
        <v/>
      </c>
      <c r="L976" t="str">
        <f>_xlfn.TEXTJOIN(", ", TRUE, 'Audit Report'!K976,'Audit Report'!L976,'Audit Report'!M976)</f>
        <v/>
      </c>
      <c r="M976">
        <f>'Audit Report'!O976</f>
        <v>0</v>
      </c>
      <c r="N976" t="str" cm="1">
        <f t="array" ref="N976">IF(M976="","",
_xlfn.TEXTJOIN(", ",TRUE,
    _xlfn.MAP(_xlfn.TEXTSPLIT(M976,","),_xlfn.LAMBDA(_xlpm.x,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6">
        <f>'Audit Report'!F976</f>
        <v>0</v>
      </c>
      <c r="S976">
        <f>'Audit Report'!Q976</f>
        <v>0</v>
      </c>
    </row>
    <row r="977" spans="4:19">
      <c r="D977">
        <f>'Audit Report'!B977</f>
        <v>0</v>
      </c>
      <c r="E977">
        <f>'Audit Report'!C977</f>
        <v>0</v>
      </c>
      <c r="I977">
        <f>'Audit Report'!D977</f>
        <v>0</v>
      </c>
      <c r="J977" t="str">
        <f>_xlfn.TEXTJOIN(" ",TRUE,'Audit Report'!G977,'Audit Report'!H977)</f>
        <v/>
      </c>
      <c r="L977" t="str">
        <f>_xlfn.TEXTJOIN(", ", TRUE, 'Audit Report'!K977,'Audit Report'!L977,'Audit Report'!M977)</f>
        <v/>
      </c>
      <c r="M977">
        <f>'Audit Report'!O977</f>
        <v>0</v>
      </c>
      <c r="N977" t="str" cm="1">
        <f t="array" ref="N977">IF(M977="","",
_xlfn.TEXTJOIN(", ",TRUE,
    _xlfn.MAP(_xlfn.TEXTSPLIT(M977,","),_xlfn.LAMBDA(_xlpm.x,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7">
        <f>'Audit Report'!F977</f>
        <v>0</v>
      </c>
      <c r="S977">
        <f>'Audit Report'!Q977</f>
        <v>0</v>
      </c>
    </row>
    <row r="978" spans="4:19">
      <c r="D978">
        <f>'Audit Report'!B978</f>
        <v>0</v>
      </c>
      <c r="E978">
        <f>'Audit Report'!C978</f>
        <v>0</v>
      </c>
      <c r="I978">
        <f>'Audit Report'!D978</f>
        <v>0</v>
      </c>
      <c r="J978" t="str">
        <f>_xlfn.TEXTJOIN(" ",TRUE,'Audit Report'!G978,'Audit Report'!H978)</f>
        <v/>
      </c>
      <c r="L978" t="str">
        <f>_xlfn.TEXTJOIN(", ", TRUE, 'Audit Report'!K978,'Audit Report'!L978,'Audit Report'!M978)</f>
        <v/>
      </c>
      <c r="M978">
        <f>'Audit Report'!O978</f>
        <v>0</v>
      </c>
      <c r="N978" t="str" cm="1">
        <f t="array" ref="N978">IF(M978="","",
_xlfn.TEXTJOIN(", ",TRUE,
    _xlfn.MAP(_xlfn.TEXTSPLIT(M978,","),_xlfn.LAMBDA(_xlpm.x,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8">
        <f>'Audit Report'!F978</f>
        <v>0</v>
      </c>
      <c r="S978">
        <f>'Audit Report'!Q978</f>
        <v>0</v>
      </c>
    </row>
    <row r="979" spans="4:19">
      <c r="D979">
        <f>'Audit Report'!B979</f>
        <v>0</v>
      </c>
      <c r="E979">
        <f>'Audit Report'!C979</f>
        <v>0</v>
      </c>
      <c r="I979">
        <f>'Audit Report'!D979</f>
        <v>0</v>
      </c>
      <c r="J979" t="str">
        <f>_xlfn.TEXTJOIN(" ",TRUE,'Audit Report'!G979,'Audit Report'!H979)</f>
        <v/>
      </c>
      <c r="L979" t="str">
        <f>_xlfn.TEXTJOIN(", ", TRUE, 'Audit Report'!K979,'Audit Report'!L979,'Audit Report'!M979)</f>
        <v/>
      </c>
      <c r="M979">
        <f>'Audit Report'!O979</f>
        <v>0</v>
      </c>
      <c r="N979" t="str" cm="1">
        <f t="array" ref="N979">IF(M979="","",
_xlfn.TEXTJOIN(", ",TRUE,
    _xlfn.MAP(_xlfn.TEXTSPLIT(M979,","),_xlfn.LAMBDA(_xlpm.x,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9">
        <f>'Audit Report'!F979</f>
        <v>0</v>
      </c>
      <c r="S979">
        <f>'Audit Report'!Q979</f>
        <v>0</v>
      </c>
    </row>
    <row r="980" spans="4:19">
      <c r="D980">
        <f>'Audit Report'!B980</f>
        <v>0</v>
      </c>
      <c r="E980">
        <f>'Audit Report'!C980</f>
        <v>0</v>
      </c>
      <c r="I980">
        <f>'Audit Report'!D980</f>
        <v>0</v>
      </c>
      <c r="J980" t="str">
        <f>_xlfn.TEXTJOIN(" ",TRUE,'Audit Report'!G980,'Audit Report'!H980)</f>
        <v/>
      </c>
      <c r="L980" t="str">
        <f>_xlfn.TEXTJOIN(", ", TRUE, 'Audit Report'!K980,'Audit Report'!L980,'Audit Report'!M980)</f>
        <v/>
      </c>
      <c r="M980">
        <f>'Audit Report'!O980</f>
        <v>0</v>
      </c>
      <c r="N980" t="str" cm="1">
        <f t="array" ref="N980">IF(M980="","",
_xlfn.TEXTJOIN(", ",TRUE,
    _xlfn.MAP(_xlfn.TEXTSPLIT(M980,","),_xlfn.LAMBDA(_xlpm.x,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0">
        <f>'Audit Report'!F980</f>
        <v>0</v>
      </c>
      <c r="S980">
        <f>'Audit Report'!Q980</f>
        <v>0</v>
      </c>
    </row>
    <row r="981" spans="4:19">
      <c r="D981">
        <f>'Audit Report'!B981</f>
        <v>0</v>
      </c>
      <c r="E981">
        <f>'Audit Report'!C981</f>
        <v>0</v>
      </c>
      <c r="I981">
        <f>'Audit Report'!D981</f>
        <v>0</v>
      </c>
      <c r="J981" t="str">
        <f>_xlfn.TEXTJOIN(" ",TRUE,'Audit Report'!G981,'Audit Report'!H981)</f>
        <v/>
      </c>
      <c r="L981" t="str">
        <f>_xlfn.TEXTJOIN(", ", TRUE, 'Audit Report'!K981,'Audit Report'!L981,'Audit Report'!M981)</f>
        <v/>
      </c>
      <c r="M981">
        <f>'Audit Report'!O981</f>
        <v>0</v>
      </c>
      <c r="N981" t="str" cm="1">
        <f t="array" ref="N981">IF(M981="","",
_xlfn.TEXTJOIN(", ",TRUE,
    _xlfn.MAP(_xlfn.TEXTSPLIT(M981,","),_xlfn.LAMBDA(_xlpm.x,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1">
        <f>'Audit Report'!F981</f>
        <v>0</v>
      </c>
      <c r="S981">
        <f>'Audit Report'!Q981</f>
        <v>0</v>
      </c>
    </row>
    <row r="982" spans="4:19">
      <c r="D982">
        <f>'Audit Report'!B982</f>
        <v>0</v>
      </c>
      <c r="E982">
        <f>'Audit Report'!C982</f>
        <v>0</v>
      </c>
      <c r="I982">
        <f>'Audit Report'!D982</f>
        <v>0</v>
      </c>
      <c r="J982" t="str">
        <f>_xlfn.TEXTJOIN(" ",TRUE,'Audit Report'!G982,'Audit Report'!H982)</f>
        <v/>
      </c>
      <c r="L982" t="str">
        <f>_xlfn.TEXTJOIN(", ", TRUE, 'Audit Report'!K982,'Audit Report'!L982,'Audit Report'!M982)</f>
        <v/>
      </c>
      <c r="M982">
        <f>'Audit Report'!O982</f>
        <v>0</v>
      </c>
      <c r="N982" t="str" cm="1">
        <f t="array" ref="N982">IF(M982="","",
_xlfn.TEXTJOIN(", ",TRUE,
    _xlfn.MAP(_xlfn.TEXTSPLIT(M982,","),_xlfn.LAMBDA(_xlpm.x,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2">
        <f>'Audit Report'!F982</f>
        <v>0</v>
      </c>
      <c r="S982">
        <f>'Audit Report'!Q982</f>
        <v>0</v>
      </c>
    </row>
    <row r="983" spans="4:19">
      <c r="D983">
        <f>'Audit Report'!B983</f>
        <v>0</v>
      </c>
      <c r="E983">
        <f>'Audit Report'!C983</f>
        <v>0</v>
      </c>
      <c r="I983">
        <f>'Audit Report'!D983</f>
        <v>0</v>
      </c>
      <c r="J983" t="str">
        <f>_xlfn.TEXTJOIN(" ",TRUE,'Audit Report'!G983,'Audit Report'!H983)</f>
        <v/>
      </c>
      <c r="L983" t="str">
        <f>_xlfn.TEXTJOIN(", ", TRUE, 'Audit Report'!K983,'Audit Report'!L983,'Audit Report'!M983)</f>
        <v/>
      </c>
      <c r="M983">
        <f>'Audit Report'!O983</f>
        <v>0</v>
      </c>
      <c r="N983" t="str" cm="1">
        <f t="array" ref="N983">IF(M983="","",
_xlfn.TEXTJOIN(", ",TRUE,
    _xlfn.MAP(_xlfn.TEXTSPLIT(M983,","),_xlfn.LAMBDA(_xlpm.x,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3">
        <f>'Audit Report'!F983</f>
        <v>0</v>
      </c>
      <c r="S983">
        <f>'Audit Report'!Q983</f>
        <v>0</v>
      </c>
    </row>
    <row r="984" spans="4:19">
      <c r="D984">
        <f>'Audit Report'!B984</f>
        <v>0</v>
      </c>
      <c r="E984">
        <f>'Audit Report'!C984</f>
        <v>0</v>
      </c>
      <c r="I984">
        <f>'Audit Report'!D984</f>
        <v>0</v>
      </c>
      <c r="J984" t="str">
        <f>_xlfn.TEXTJOIN(" ",TRUE,'Audit Report'!G984,'Audit Report'!H984)</f>
        <v/>
      </c>
      <c r="L984" t="str">
        <f>_xlfn.TEXTJOIN(", ", TRUE, 'Audit Report'!K984,'Audit Report'!L984,'Audit Report'!M984)</f>
        <v/>
      </c>
      <c r="M984">
        <f>'Audit Report'!O984</f>
        <v>0</v>
      </c>
      <c r="N984" t="str" cm="1">
        <f t="array" ref="N984">IF(M984="","",
_xlfn.TEXTJOIN(", ",TRUE,
    _xlfn.MAP(_xlfn.TEXTSPLIT(M984,","),_xlfn.LAMBDA(_xlpm.x,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4">
        <f>'Audit Report'!F984</f>
        <v>0</v>
      </c>
      <c r="S984">
        <f>'Audit Report'!Q984</f>
        <v>0</v>
      </c>
    </row>
    <row r="985" spans="4:19">
      <c r="D985">
        <f>'Audit Report'!B985</f>
        <v>0</v>
      </c>
      <c r="E985">
        <f>'Audit Report'!C985</f>
        <v>0</v>
      </c>
      <c r="I985">
        <f>'Audit Report'!D985</f>
        <v>0</v>
      </c>
      <c r="J985" t="str">
        <f>_xlfn.TEXTJOIN(" ",TRUE,'Audit Report'!G985,'Audit Report'!H985)</f>
        <v/>
      </c>
      <c r="L985" t="str">
        <f>_xlfn.TEXTJOIN(", ", TRUE, 'Audit Report'!K985,'Audit Report'!L985,'Audit Report'!M985)</f>
        <v/>
      </c>
      <c r="M985">
        <f>'Audit Report'!O985</f>
        <v>0</v>
      </c>
      <c r="N985" t="str" cm="1">
        <f t="array" ref="N985">IF(M985="","",
_xlfn.TEXTJOIN(", ",TRUE,
    _xlfn.MAP(_xlfn.TEXTSPLIT(M985,","),_xlfn.LAMBDA(_xlpm.x,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5">
        <f>'Audit Report'!F985</f>
        <v>0</v>
      </c>
      <c r="S985">
        <f>'Audit Report'!Q985</f>
        <v>0</v>
      </c>
    </row>
    <row r="986" spans="4:19">
      <c r="D986">
        <f>'Audit Report'!B986</f>
        <v>0</v>
      </c>
      <c r="E986">
        <f>'Audit Report'!C986</f>
        <v>0</v>
      </c>
      <c r="I986">
        <f>'Audit Report'!D986</f>
        <v>0</v>
      </c>
      <c r="J986" t="str">
        <f>_xlfn.TEXTJOIN(" ",TRUE,'Audit Report'!G986,'Audit Report'!H986)</f>
        <v/>
      </c>
      <c r="L986" t="str">
        <f>_xlfn.TEXTJOIN(", ", TRUE, 'Audit Report'!K986,'Audit Report'!L986,'Audit Report'!M986)</f>
        <v/>
      </c>
      <c r="M986">
        <f>'Audit Report'!O986</f>
        <v>0</v>
      </c>
      <c r="N986" t="str" cm="1">
        <f t="array" ref="N986">IF(M986="","",
_xlfn.TEXTJOIN(", ",TRUE,
    _xlfn.MAP(_xlfn.TEXTSPLIT(M986,","),_xlfn.LAMBDA(_xlpm.x,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6">
        <f>'Audit Report'!F986</f>
        <v>0</v>
      </c>
      <c r="S986">
        <f>'Audit Report'!Q986</f>
        <v>0</v>
      </c>
    </row>
    <row r="987" spans="4:19">
      <c r="D987">
        <f>'Audit Report'!B987</f>
        <v>0</v>
      </c>
      <c r="E987">
        <f>'Audit Report'!C987</f>
        <v>0</v>
      </c>
      <c r="I987">
        <f>'Audit Report'!D987</f>
        <v>0</v>
      </c>
      <c r="J987" t="str">
        <f>_xlfn.TEXTJOIN(" ",TRUE,'Audit Report'!G987,'Audit Report'!H987)</f>
        <v/>
      </c>
      <c r="L987" t="str">
        <f>_xlfn.TEXTJOIN(", ", TRUE, 'Audit Report'!K987,'Audit Report'!L987,'Audit Report'!M987)</f>
        <v/>
      </c>
      <c r="M987">
        <f>'Audit Report'!O987</f>
        <v>0</v>
      </c>
      <c r="N987" t="str" cm="1">
        <f t="array" ref="N987">IF(M987="","",
_xlfn.TEXTJOIN(", ",TRUE,
    _xlfn.MAP(_xlfn.TEXTSPLIT(M987,","),_xlfn.LAMBDA(_xlpm.x,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7">
        <f>'Audit Report'!F987</f>
        <v>0</v>
      </c>
      <c r="S987">
        <f>'Audit Report'!Q987</f>
        <v>0</v>
      </c>
    </row>
    <row r="988" spans="4:19">
      <c r="D988">
        <f>'Audit Report'!B988</f>
        <v>0</v>
      </c>
      <c r="E988">
        <f>'Audit Report'!C988</f>
        <v>0</v>
      </c>
      <c r="I988">
        <f>'Audit Report'!D988</f>
        <v>0</v>
      </c>
      <c r="J988" t="str">
        <f>_xlfn.TEXTJOIN(" ",TRUE,'Audit Report'!G988,'Audit Report'!H988)</f>
        <v/>
      </c>
      <c r="L988" t="str">
        <f>_xlfn.TEXTJOIN(", ", TRUE, 'Audit Report'!K988,'Audit Report'!L988,'Audit Report'!M988)</f>
        <v/>
      </c>
      <c r="M988">
        <f>'Audit Report'!O988</f>
        <v>0</v>
      </c>
      <c r="N988" t="str" cm="1">
        <f t="array" ref="N988">IF(M988="","",
_xlfn.TEXTJOIN(", ",TRUE,
    _xlfn.MAP(_xlfn.TEXTSPLIT(M988,","),_xlfn.LAMBDA(_xlpm.x,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8">
        <f>'Audit Report'!F988</f>
        <v>0</v>
      </c>
      <c r="S988">
        <f>'Audit Report'!Q988</f>
        <v>0</v>
      </c>
    </row>
    <row r="989" spans="4:19">
      <c r="D989">
        <f>'Audit Report'!B989</f>
        <v>0</v>
      </c>
      <c r="E989">
        <f>'Audit Report'!C989</f>
        <v>0</v>
      </c>
      <c r="I989">
        <f>'Audit Report'!D989</f>
        <v>0</v>
      </c>
      <c r="J989" t="str">
        <f>_xlfn.TEXTJOIN(" ",TRUE,'Audit Report'!G989,'Audit Report'!H989)</f>
        <v/>
      </c>
      <c r="L989" t="str">
        <f>_xlfn.TEXTJOIN(", ", TRUE, 'Audit Report'!K989,'Audit Report'!L989,'Audit Report'!M989)</f>
        <v/>
      </c>
      <c r="M989">
        <f>'Audit Report'!O989</f>
        <v>0</v>
      </c>
      <c r="N989" t="str" cm="1">
        <f t="array" ref="N989">IF(M989="","",
_xlfn.TEXTJOIN(", ",TRUE,
    _xlfn.MAP(_xlfn.TEXTSPLIT(M989,","),_xlfn.LAMBDA(_xlpm.x,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9">
        <f>'Audit Report'!F989</f>
        <v>0</v>
      </c>
      <c r="S989">
        <f>'Audit Report'!Q989</f>
        <v>0</v>
      </c>
    </row>
    <row r="990" spans="4:19">
      <c r="D990">
        <f>'Audit Report'!B990</f>
        <v>0</v>
      </c>
      <c r="E990">
        <f>'Audit Report'!C990</f>
        <v>0</v>
      </c>
      <c r="I990">
        <f>'Audit Report'!D990</f>
        <v>0</v>
      </c>
      <c r="J990" t="str">
        <f>_xlfn.TEXTJOIN(" ",TRUE,'Audit Report'!G990,'Audit Report'!H990)</f>
        <v/>
      </c>
      <c r="L990" t="str">
        <f>_xlfn.TEXTJOIN(", ", TRUE, 'Audit Report'!K990,'Audit Report'!L990,'Audit Report'!M990)</f>
        <v/>
      </c>
      <c r="M990">
        <f>'Audit Report'!O990</f>
        <v>0</v>
      </c>
      <c r="N990" t="str" cm="1">
        <f t="array" ref="N990">IF(M990="","",
_xlfn.TEXTJOIN(", ",TRUE,
    _xlfn.MAP(_xlfn.TEXTSPLIT(M990,","),_xlfn.LAMBDA(_xlpm.x,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0">
        <f>'Audit Report'!F990</f>
        <v>0</v>
      </c>
      <c r="S990">
        <f>'Audit Report'!Q990</f>
        <v>0</v>
      </c>
    </row>
    <row r="991" spans="4:19">
      <c r="D991">
        <f>'Audit Report'!B991</f>
        <v>0</v>
      </c>
      <c r="E991">
        <f>'Audit Report'!C991</f>
        <v>0</v>
      </c>
      <c r="I991">
        <f>'Audit Report'!D991</f>
        <v>0</v>
      </c>
      <c r="J991" t="str">
        <f>_xlfn.TEXTJOIN(" ",TRUE,'Audit Report'!G991,'Audit Report'!H991)</f>
        <v/>
      </c>
      <c r="L991" t="str">
        <f>_xlfn.TEXTJOIN(", ", TRUE, 'Audit Report'!K991,'Audit Report'!L991,'Audit Report'!M991)</f>
        <v/>
      </c>
      <c r="M991">
        <f>'Audit Report'!O991</f>
        <v>0</v>
      </c>
      <c r="N991" t="str" cm="1">
        <f t="array" ref="N991">IF(M991="","",
_xlfn.TEXTJOIN(", ",TRUE,
    _xlfn.MAP(_xlfn.TEXTSPLIT(M991,","),_xlfn.LAMBDA(_xlpm.x,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1">
        <f>'Audit Report'!F991</f>
        <v>0</v>
      </c>
      <c r="S991">
        <f>'Audit Report'!Q991</f>
        <v>0</v>
      </c>
    </row>
    <row r="992" spans="4:19">
      <c r="D992">
        <f>'Audit Report'!B992</f>
        <v>0</v>
      </c>
      <c r="E992">
        <f>'Audit Report'!C992</f>
        <v>0</v>
      </c>
      <c r="I992">
        <f>'Audit Report'!D992</f>
        <v>0</v>
      </c>
      <c r="J992" t="str">
        <f>_xlfn.TEXTJOIN(" ",TRUE,'Audit Report'!G992,'Audit Report'!H992)</f>
        <v/>
      </c>
      <c r="L992" t="str">
        <f>_xlfn.TEXTJOIN(", ", TRUE, 'Audit Report'!K992,'Audit Report'!L992,'Audit Report'!M992)</f>
        <v/>
      </c>
      <c r="M992">
        <f>'Audit Report'!O992</f>
        <v>0</v>
      </c>
      <c r="N992" t="str" cm="1">
        <f t="array" ref="N992">IF(M992="","",
_xlfn.TEXTJOIN(", ",TRUE,
    _xlfn.MAP(_xlfn.TEXTSPLIT(M992,","),_xlfn.LAMBDA(_xlpm.x,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2">
        <f>'Audit Report'!F992</f>
        <v>0</v>
      </c>
      <c r="S992">
        <f>'Audit Report'!Q992</f>
        <v>0</v>
      </c>
    </row>
    <row r="993" spans="4:19">
      <c r="D993">
        <f>'Audit Report'!B993</f>
        <v>0</v>
      </c>
      <c r="E993">
        <f>'Audit Report'!C993</f>
        <v>0</v>
      </c>
      <c r="I993">
        <f>'Audit Report'!D993</f>
        <v>0</v>
      </c>
      <c r="J993" t="str">
        <f>_xlfn.TEXTJOIN(" ",TRUE,'Audit Report'!G993,'Audit Report'!H993)</f>
        <v/>
      </c>
      <c r="L993" t="str">
        <f>_xlfn.TEXTJOIN(", ", TRUE, 'Audit Report'!K993,'Audit Report'!L993,'Audit Report'!M993)</f>
        <v/>
      </c>
      <c r="M993">
        <f>'Audit Report'!O993</f>
        <v>0</v>
      </c>
      <c r="N993" t="str" cm="1">
        <f t="array" ref="N993">IF(M993="","",
_xlfn.TEXTJOIN(", ",TRUE,
    _xlfn.MAP(_xlfn.TEXTSPLIT(M993,","),_xlfn.LAMBDA(_xlpm.x,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3">
        <f>'Audit Report'!F993</f>
        <v>0</v>
      </c>
      <c r="S993">
        <f>'Audit Report'!Q993</f>
        <v>0</v>
      </c>
    </row>
    <row r="994" spans="4:19">
      <c r="D994">
        <f>'Audit Report'!B994</f>
        <v>0</v>
      </c>
      <c r="E994">
        <f>'Audit Report'!C994</f>
        <v>0</v>
      </c>
      <c r="I994">
        <f>'Audit Report'!D994</f>
        <v>0</v>
      </c>
      <c r="J994" t="str">
        <f>_xlfn.TEXTJOIN(" ",TRUE,'Audit Report'!G994,'Audit Report'!H994)</f>
        <v/>
      </c>
      <c r="L994" t="str">
        <f>_xlfn.TEXTJOIN(", ", TRUE, 'Audit Report'!K994,'Audit Report'!L994,'Audit Report'!M994)</f>
        <v/>
      </c>
      <c r="M994">
        <f>'Audit Report'!O994</f>
        <v>0</v>
      </c>
      <c r="N994" t="str" cm="1">
        <f t="array" ref="N994">IF(M994="","",
_xlfn.TEXTJOIN(", ",TRUE,
    _xlfn.MAP(_xlfn.TEXTSPLIT(M994,","),_xlfn.LAMBDA(_xlpm.x,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4">
        <f>'Audit Report'!F994</f>
        <v>0</v>
      </c>
      <c r="S994">
        <f>'Audit Report'!Q994</f>
        <v>0</v>
      </c>
    </row>
    <row r="995" spans="4:19">
      <c r="D995">
        <f>'Audit Report'!B995</f>
        <v>0</v>
      </c>
      <c r="E995">
        <f>'Audit Report'!C995</f>
        <v>0</v>
      </c>
      <c r="I995">
        <f>'Audit Report'!D995</f>
        <v>0</v>
      </c>
      <c r="J995" t="str">
        <f>_xlfn.TEXTJOIN(" ",TRUE,'Audit Report'!G995,'Audit Report'!H995)</f>
        <v/>
      </c>
      <c r="L995" t="str">
        <f>_xlfn.TEXTJOIN(", ", TRUE, 'Audit Report'!K995,'Audit Report'!L995,'Audit Report'!M995)</f>
        <v/>
      </c>
      <c r="M995">
        <f>'Audit Report'!O995</f>
        <v>0</v>
      </c>
      <c r="N995" t="str" cm="1">
        <f t="array" ref="N995">IF(M995="","",
_xlfn.TEXTJOIN(", ",TRUE,
    _xlfn.MAP(_xlfn.TEXTSPLIT(M995,","),_xlfn.LAMBDA(_xlpm.x,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5">
        <f>'Audit Report'!F995</f>
        <v>0</v>
      </c>
      <c r="S995">
        <f>'Audit Report'!Q995</f>
        <v>0</v>
      </c>
    </row>
    <row r="996" spans="4:19">
      <c r="D996">
        <f>'Audit Report'!B996</f>
        <v>0</v>
      </c>
      <c r="E996">
        <f>'Audit Report'!C996</f>
        <v>0</v>
      </c>
      <c r="I996">
        <f>'Audit Report'!D996</f>
        <v>0</v>
      </c>
      <c r="J996" t="str">
        <f>_xlfn.TEXTJOIN(" ",TRUE,'Audit Report'!G996,'Audit Report'!H996)</f>
        <v/>
      </c>
      <c r="L996" t="str">
        <f>_xlfn.TEXTJOIN(", ", TRUE, 'Audit Report'!K996,'Audit Report'!L996,'Audit Report'!M996)</f>
        <v/>
      </c>
      <c r="M996">
        <f>'Audit Report'!O996</f>
        <v>0</v>
      </c>
      <c r="N996" t="str" cm="1">
        <f t="array" ref="N996">IF(M996="","",
_xlfn.TEXTJOIN(", ",TRUE,
    _xlfn.MAP(_xlfn.TEXTSPLIT(M996,","),_xlfn.LAMBDA(_xlpm.x,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6">
        <f>'Audit Report'!F996</f>
        <v>0</v>
      </c>
      <c r="S996">
        <f>'Audit Report'!Q996</f>
        <v>0</v>
      </c>
    </row>
    <row r="997" spans="4:19">
      <c r="D997">
        <f>'Audit Report'!B997</f>
        <v>0</v>
      </c>
      <c r="E997">
        <f>'Audit Report'!C997</f>
        <v>0</v>
      </c>
      <c r="I997">
        <f>'Audit Report'!D997</f>
        <v>0</v>
      </c>
      <c r="J997" t="str">
        <f>_xlfn.TEXTJOIN(" ",TRUE,'Audit Report'!G997,'Audit Report'!H997)</f>
        <v/>
      </c>
      <c r="L997" t="str">
        <f>_xlfn.TEXTJOIN(", ", TRUE, 'Audit Report'!K997,'Audit Report'!L997,'Audit Report'!M997)</f>
        <v/>
      </c>
      <c r="M997">
        <f>'Audit Report'!O997</f>
        <v>0</v>
      </c>
      <c r="N997" t="str" cm="1">
        <f t="array" ref="N997">IF(M997="","",
_xlfn.TEXTJOIN(", ",TRUE,
    _xlfn.MAP(_xlfn.TEXTSPLIT(M997,","),_xlfn.LAMBDA(_xlpm.x,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7">
        <f>'Audit Report'!F997</f>
        <v>0</v>
      </c>
      <c r="S997">
        <f>'Audit Report'!Q997</f>
        <v>0</v>
      </c>
    </row>
    <row r="998" spans="4:19">
      <c r="D998">
        <f>'Audit Report'!B998</f>
        <v>0</v>
      </c>
      <c r="E998">
        <f>'Audit Report'!C998</f>
        <v>0</v>
      </c>
      <c r="I998">
        <f>'Audit Report'!D998</f>
        <v>0</v>
      </c>
      <c r="J998" t="str">
        <f>_xlfn.TEXTJOIN(" ",TRUE,'Audit Report'!G998,'Audit Report'!H998)</f>
        <v/>
      </c>
      <c r="L998" t="str">
        <f>_xlfn.TEXTJOIN(", ", TRUE, 'Audit Report'!K998,'Audit Report'!L998,'Audit Report'!M998)</f>
        <v/>
      </c>
      <c r="M998">
        <f>'Audit Report'!O998</f>
        <v>0</v>
      </c>
      <c r="N998" t="str" cm="1">
        <f t="array" ref="N998">IF(M998="","",
_xlfn.TEXTJOIN(", ",TRUE,
    _xlfn.MAP(_xlfn.TEXTSPLIT(M998,","),_xlfn.LAMBDA(_xlpm.x,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8">
        <f>'Audit Report'!F998</f>
        <v>0</v>
      </c>
      <c r="S998">
        <f>'Audit Report'!Q998</f>
        <v>0</v>
      </c>
    </row>
    <row r="999" spans="4:19">
      <c r="D999">
        <f>'Audit Report'!B999</f>
        <v>0</v>
      </c>
      <c r="E999">
        <f>'Audit Report'!C999</f>
        <v>0</v>
      </c>
      <c r="I999">
        <f>'Audit Report'!D999</f>
        <v>0</v>
      </c>
      <c r="J999" t="str">
        <f>_xlfn.TEXTJOIN(" ",TRUE,'Audit Report'!G999,'Audit Report'!H999)</f>
        <v/>
      </c>
      <c r="L999" t="str">
        <f>_xlfn.TEXTJOIN(", ", TRUE, 'Audit Report'!K999,'Audit Report'!L999,'Audit Report'!M999)</f>
        <v/>
      </c>
      <c r="M999">
        <f>'Audit Report'!O999</f>
        <v>0</v>
      </c>
      <c r="N999" t="str" cm="1">
        <f t="array" ref="N999">IF(M999="","",
_xlfn.TEXTJOIN(", ",TRUE,
    _xlfn.MAP(_xlfn.TEXTSPLIT(M999,","),_xlfn.LAMBDA(_xlpm.x,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9">
        <f>'Audit Report'!F999</f>
        <v>0</v>
      </c>
      <c r="S999">
        <f>'Audit Report'!Q999</f>
        <v>0</v>
      </c>
    </row>
    <row r="1000" spans="4:19">
      <c r="D1000">
        <f>'Audit Report'!B1000</f>
        <v>0</v>
      </c>
      <c r="E1000">
        <f>'Audit Report'!C1000</f>
        <v>0</v>
      </c>
      <c r="I1000">
        <f>'Audit Report'!D1000</f>
        <v>0</v>
      </c>
      <c r="J1000" t="str">
        <f>_xlfn.TEXTJOIN(" ",TRUE,'Audit Report'!G1000,'Audit Report'!H1000)</f>
        <v/>
      </c>
      <c r="L1000" t="str">
        <f>_xlfn.TEXTJOIN(", ", TRUE, 'Audit Report'!K1000,'Audit Report'!L1000,'Audit Report'!M1000)</f>
        <v/>
      </c>
      <c r="M1000">
        <f>'Audit Report'!O1000</f>
        <v>0</v>
      </c>
      <c r="N1000" t="str" cm="1">
        <f t="array" ref="N1000">IF(M1000="","",
_xlfn.TEXTJOIN(", ",TRUE,
    _xlfn.MAP(_xlfn.TEXTSPLIT(M1000,","),_xlfn.LAMBDA(_xlpm.x,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0">
        <f>'Audit Report'!F1000</f>
        <v>0</v>
      </c>
      <c r="S1000">
        <f>'Audit Report'!Q1000</f>
        <v>0</v>
      </c>
    </row>
    <row r="1001" spans="4:19">
      <c r="D1001">
        <f>'Audit Report'!B1001</f>
        <v>0</v>
      </c>
      <c r="E1001">
        <f>'Audit Report'!C1001</f>
        <v>0</v>
      </c>
      <c r="I1001">
        <f>'Audit Report'!D1001</f>
        <v>0</v>
      </c>
      <c r="J1001" t="str">
        <f>_xlfn.TEXTJOIN(" ",TRUE,'Audit Report'!G1001,'Audit Report'!H1001)</f>
        <v/>
      </c>
      <c r="L1001" t="str">
        <f>_xlfn.TEXTJOIN(", ", TRUE, 'Audit Report'!K1001,'Audit Report'!L1001,'Audit Report'!M1001)</f>
        <v/>
      </c>
      <c r="M1001">
        <f>'Audit Report'!O1001</f>
        <v>0</v>
      </c>
      <c r="N1001" t="str" cm="1">
        <f t="array" ref="N1001">IF(M1001="","",
_xlfn.TEXTJOIN(", ",TRUE,
    _xlfn.MAP(_xlfn.TEXTSPLIT(M1001,","),_xlfn.LAMBDA(_xlpm.x,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1">
        <f>'Audit Report'!F1001</f>
        <v>0</v>
      </c>
      <c r="S1001">
        <f>'Audit Report'!Q1001</f>
        <v>0</v>
      </c>
    </row>
    <row r="1002" spans="4:19">
      <c r="D1002">
        <f>'Audit Report'!B1002</f>
        <v>0</v>
      </c>
      <c r="E1002">
        <f>'Audit Report'!C1002</f>
        <v>0</v>
      </c>
      <c r="I1002">
        <f>'Audit Report'!D1002</f>
        <v>0</v>
      </c>
      <c r="J1002" t="str">
        <f>_xlfn.TEXTJOIN(" ",TRUE,'Audit Report'!G1002,'Audit Report'!H1002)</f>
        <v/>
      </c>
      <c r="L1002" t="str">
        <f>_xlfn.TEXTJOIN(", ", TRUE, 'Audit Report'!K1002,'Audit Report'!L1002,'Audit Report'!M1002)</f>
        <v/>
      </c>
      <c r="M1002">
        <f>'Audit Report'!O1002</f>
        <v>0</v>
      </c>
      <c r="N1002" t="str" cm="1">
        <f t="array" ref="N1002">IF(M1002="","",
_xlfn.TEXTJOIN(", ",TRUE,
    _xlfn.MAP(_xlfn.TEXTSPLIT(M1002,","),_xlfn.LAMBDA(_xlpm.x,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2">
        <f>'Audit Report'!F1002</f>
        <v>0</v>
      </c>
      <c r="S1002">
        <f>'Audit Report'!Q1002</f>
        <v>0</v>
      </c>
    </row>
    <row r="1003" spans="4:19">
      <c r="D1003">
        <f>'Audit Report'!B1003</f>
        <v>0</v>
      </c>
      <c r="E1003">
        <f>'Audit Report'!C1003</f>
        <v>0</v>
      </c>
      <c r="I1003">
        <f>'Audit Report'!D1003</f>
        <v>0</v>
      </c>
      <c r="J1003">
        <f>'Audit Report'!H1003</f>
        <v>0</v>
      </c>
      <c r="L1003" t="str">
        <f>_xlfn.TEXTJOIN(", ", TRUE, 'Audit Report'!K1003,'Audit Report'!L1003,'Audit Report'!M1003)</f>
        <v/>
      </c>
      <c r="M1003">
        <f>'Audit Report'!O1003</f>
        <v>0</v>
      </c>
      <c r="N1003" t="str" cm="1">
        <f t="array" ref="N1003">IF(M1003="","",
_xlfn.TEXTJOIN(", ",TRUE,
    _xlfn.MAP(_xlfn.TEXTSPLIT(M1003,","),_xlfn.LAMBDA(_xlpm.x,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3">
        <f>'Audit Report'!F1003</f>
        <v>0</v>
      </c>
      <c r="S1003">
        <f>'Audit Report'!Q1003</f>
        <v>0</v>
      </c>
    </row>
    <row r="1004" spans="4:19">
      <c r="D1004">
        <f>'Audit Report'!B1004</f>
        <v>0</v>
      </c>
      <c r="E1004">
        <f>'Audit Report'!C1004</f>
        <v>0</v>
      </c>
      <c r="I1004">
        <f>'Audit Report'!D1004</f>
        <v>0</v>
      </c>
      <c r="J1004">
        <f>'Audit Report'!H1004</f>
        <v>0</v>
      </c>
      <c r="L1004" t="str">
        <f>_xlfn.TEXTJOIN(", ", TRUE, 'Audit Report'!K1004,'Audit Report'!L1004,'Audit Report'!M1004)</f>
        <v/>
      </c>
      <c r="M1004">
        <f>'Audit Report'!O1004</f>
        <v>0</v>
      </c>
      <c r="N1004" t="str" cm="1">
        <f t="array" ref="N1004">IF(M1004="","",
_xlfn.TEXTJOIN(", ",TRUE,
    _xlfn.MAP(_xlfn.TEXTSPLIT(M1004,","),_xlfn.LAMBDA(_xlpm.x,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4">
        <f>'Audit Report'!F1004</f>
        <v>0</v>
      </c>
      <c r="S1004">
        <f>'Audit Report'!Q1004</f>
        <v>0</v>
      </c>
    </row>
    <row r="1005" spans="4:19">
      <c r="D1005">
        <f>'Audit Report'!B1005</f>
        <v>0</v>
      </c>
      <c r="E1005">
        <f>'Audit Report'!C1005</f>
        <v>0</v>
      </c>
      <c r="I1005">
        <f>'Audit Report'!D1005</f>
        <v>0</v>
      </c>
      <c r="J1005">
        <f>'Audit Report'!H1005</f>
        <v>0</v>
      </c>
      <c r="L1005" t="str">
        <f>_xlfn.TEXTJOIN(", ", TRUE, 'Audit Report'!K1005,'Audit Report'!L1005,'Audit Report'!M1005)</f>
        <v/>
      </c>
      <c r="M1005">
        <f>'Audit Report'!O1005</f>
        <v>0</v>
      </c>
      <c r="N1005" t="str" cm="1">
        <f t="array" ref="N1005">IF(M1005="","",
_xlfn.TEXTJOIN(", ",TRUE,
    _xlfn.MAP(_xlfn.TEXTSPLIT(M1005,","),_xlfn.LAMBDA(_xlpm.x,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5">
        <f>'Audit Report'!F1005</f>
        <v>0</v>
      </c>
      <c r="S1005">
        <f>'Audit Report'!Q1005</f>
        <v>0</v>
      </c>
    </row>
    <row r="1006" spans="4:19">
      <c r="D1006">
        <f>'Audit Report'!B1006</f>
        <v>0</v>
      </c>
      <c r="E1006">
        <f>'Audit Report'!C1006</f>
        <v>0</v>
      </c>
      <c r="I1006">
        <f>'Audit Report'!D1006</f>
        <v>0</v>
      </c>
      <c r="J1006">
        <f>'Audit Report'!H1006</f>
        <v>0</v>
      </c>
      <c r="L1006" t="str">
        <f>_xlfn.TEXTJOIN(", ", TRUE, 'Audit Report'!K1006,'Audit Report'!L1006,'Audit Report'!M1006)</f>
        <v/>
      </c>
      <c r="M1006">
        <f>'Audit Report'!O1006</f>
        <v>0</v>
      </c>
      <c r="N1006" t="str" cm="1">
        <f t="array" ref="N1006">IF(M1006="","",
_xlfn.TEXTJOIN(", ",TRUE,
    _xlfn.MAP(_xlfn.TEXTSPLIT(M1006,","),_xlfn.LAMBDA(_xlpm.x,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6">
        <f>'Audit Report'!F1006</f>
        <v>0</v>
      </c>
      <c r="S1006">
        <f>'Audit Report'!Q1006</f>
        <v>0</v>
      </c>
    </row>
    <row r="1007" spans="4:19">
      <c r="D1007">
        <f>'Audit Report'!B1007</f>
        <v>0</v>
      </c>
      <c r="E1007">
        <f>'Audit Report'!C1007</f>
        <v>0</v>
      </c>
      <c r="I1007">
        <f>'Audit Report'!D1007</f>
        <v>0</v>
      </c>
      <c r="J1007">
        <f>'Audit Report'!H1007</f>
        <v>0</v>
      </c>
      <c r="L1007" t="str">
        <f>_xlfn.TEXTJOIN(", ", TRUE, 'Audit Report'!K1007,'Audit Report'!L1007,'Audit Report'!M1007)</f>
        <v/>
      </c>
      <c r="M1007">
        <f>'Audit Report'!O1007</f>
        <v>0</v>
      </c>
      <c r="N1007" t="str" cm="1">
        <f t="array" ref="N1007">IF(M1007="","",
_xlfn.TEXTJOIN(", ",TRUE,
    _xlfn.MAP(_xlfn.TEXTSPLIT(M1007,","),_xlfn.LAMBDA(_xlpm.x,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7">
        <f>'Audit Report'!F1007</f>
        <v>0</v>
      </c>
      <c r="S1007">
        <f>'Audit Report'!Q1007</f>
        <v>0</v>
      </c>
    </row>
    <row r="1008" spans="4:19">
      <c r="D1008">
        <f>'Audit Report'!B1008</f>
        <v>0</v>
      </c>
      <c r="E1008">
        <f>'Audit Report'!C1008</f>
        <v>0</v>
      </c>
      <c r="I1008">
        <f>'Audit Report'!D1008</f>
        <v>0</v>
      </c>
      <c r="J1008">
        <f>'Audit Report'!H1008</f>
        <v>0</v>
      </c>
      <c r="L1008" t="str">
        <f>_xlfn.TEXTJOIN(", ", TRUE, 'Audit Report'!K1008,'Audit Report'!L1008,'Audit Report'!M1008)</f>
        <v/>
      </c>
      <c r="M1008">
        <f>'Audit Report'!O1008</f>
        <v>0</v>
      </c>
      <c r="N1008" t="str" cm="1">
        <f t="array" ref="N1008">IF(M1008="","",
_xlfn.TEXTJOIN(", ",TRUE,
    _xlfn.MAP(_xlfn.TEXTSPLIT(M1008,","),_xlfn.LAMBDA(_xlpm.x,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8">
        <f>'Audit Report'!F1008</f>
        <v>0</v>
      </c>
      <c r="S1008">
        <f>'Audit Report'!Q1008</f>
        <v>0</v>
      </c>
    </row>
    <row r="1009" spans="4:19">
      <c r="D1009">
        <f>'Audit Report'!B1009</f>
        <v>0</v>
      </c>
      <c r="E1009">
        <f>'Audit Report'!C1009</f>
        <v>0</v>
      </c>
      <c r="I1009">
        <f>'Audit Report'!D1009</f>
        <v>0</v>
      </c>
      <c r="J1009">
        <f>'Audit Report'!H1009</f>
        <v>0</v>
      </c>
      <c r="L1009" t="str">
        <f>_xlfn.TEXTJOIN(", ", TRUE, 'Audit Report'!K1009,'Audit Report'!L1009,'Audit Report'!M1009)</f>
        <v/>
      </c>
      <c r="M1009">
        <f>'Audit Report'!O1009</f>
        <v>0</v>
      </c>
      <c r="N1009" t="str" cm="1">
        <f t="array" ref="N1009">IF(M1009="","",
_xlfn.TEXTJOIN(", ",TRUE,
    _xlfn.MAP(_xlfn.TEXTSPLIT(M1009,","),_xlfn.LAMBDA(_xlpm.x,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9">
        <f>'Audit Report'!F1009</f>
        <v>0</v>
      </c>
      <c r="S1009">
        <f>'Audit Report'!Q1009</f>
        <v>0</v>
      </c>
    </row>
    <row r="1010" spans="4:19">
      <c r="D1010">
        <f>'Audit Report'!B1010</f>
        <v>0</v>
      </c>
      <c r="E1010">
        <f>'Audit Report'!C1010</f>
        <v>0</v>
      </c>
      <c r="I1010">
        <f>'Audit Report'!D1010</f>
        <v>0</v>
      </c>
      <c r="J1010">
        <f>'Audit Report'!H1010</f>
        <v>0</v>
      </c>
      <c r="L1010" t="str">
        <f>_xlfn.TEXTJOIN(", ", TRUE, 'Audit Report'!K1010,'Audit Report'!L1010,'Audit Report'!M1010)</f>
        <v/>
      </c>
      <c r="M1010">
        <f>'Audit Report'!O1010</f>
        <v>0</v>
      </c>
      <c r="N1010" t="str" cm="1">
        <f t="array" ref="N1010">IF(M1010="","",
_xlfn.TEXTJOIN(", ",TRUE,
    _xlfn.MAP(_xlfn.TEXTSPLIT(M1010,","),_xlfn.LAMBDA(_xlpm.x,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0">
        <f>'Audit Report'!F1010</f>
        <v>0</v>
      </c>
      <c r="S1010">
        <f>'Audit Report'!Q1010</f>
        <v>0</v>
      </c>
    </row>
    <row r="1011" spans="4:19">
      <c r="D1011">
        <f>'Audit Report'!B1011</f>
        <v>0</v>
      </c>
      <c r="E1011">
        <f>'Audit Report'!C1011</f>
        <v>0</v>
      </c>
      <c r="I1011">
        <f>'Audit Report'!D1011</f>
        <v>0</v>
      </c>
      <c r="J1011">
        <f>'Audit Report'!H1011</f>
        <v>0</v>
      </c>
      <c r="L1011" t="str">
        <f>_xlfn.TEXTJOIN(", ", TRUE, 'Audit Report'!K1011,'Audit Report'!L1011,'Audit Report'!M1011)</f>
        <v/>
      </c>
      <c r="M1011">
        <f>'Audit Report'!O1011</f>
        <v>0</v>
      </c>
      <c r="N1011" t="str" cm="1">
        <f t="array" ref="N1011">IF(M1011="","",
_xlfn.TEXTJOIN(", ",TRUE,
    _xlfn.MAP(_xlfn.TEXTSPLIT(M1011,","),_xlfn.LAMBDA(_xlpm.x,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1">
        <f>'Audit Report'!F1011</f>
        <v>0</v>
      </c>
      <c r="S1011">
        <f>'Audit Report'!Q1011</f>
        <v>0</v>
      </c>
    </row>
    <row r="1012" spans="4:19">
      <c r="D1012">
        <f>'Audit Report'!B1012</f>
        <v>0</v>
      </c>
      <c r="E1012">
        <f>'Audit Report'!C1012</f>
        <v>0</v>
      </c>
      <c r="I1012">
        <f>'Audit Report'!D1012</f>
        <v>0</v>
      </c>
      <c r="J1012">
        <f>'Audit Report'!H1012</f>
        <v>0</v>
      </c>
      <c r="L1012" t="str">
        <f>_xlfn.TEXTJOIN(", ", TRUE, 'Audit Report'!K1012,'Audit Report'!L1012,'Audit Report'!M1012)</f>
        <v/>
      </c>
      <c r="M1012">
        <f>'Audit Report'!O1012</f>
        <v>0</v>
      </c>
      <c r="N1012" t="str" cm="1">
        <f t="array" ref="N1012">IF(M1012="","",
_xlfn.TEXTJOIN(", ",TRUE,
    _xlfn.MAP(_xlfn.TEXTSPLIT(M1012,","),_xlfn.LAMBDA(_xlpm.x,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2">
        <f>'Audit Report'!F1012</f>
        <v>0</v>
      </c>
      <c r="S1012">
        <f>'Audit Report'!Q1012</f>
        <v>0</v>
      </c>
    </row>
    <row r="1013" spans="4:19">
      <c r="D1013">
        <f>'Audit Report'!B1013</f>
        <v>0</v>
      </c>
      <c r="E1013">
        <f>'Audit Report'!C1013</f>
        <v>0</v>
      </c>
      <c r="I1013">
        <f>'Audit Report'!D1013</f>
        <v>0</v>
      </c>
      <c r="J1013">
        <f>'Audit Report'!H1013</f>
        <v>0</v>
      </c>
      <c r="L1013" t="str">
        <f>_xlfn.TEXTJOIN(", ", TRUE, 'Audit Report'!K1013,'Audit Report'!L1013,'Audit Report'!M1013)</f>
        <v/>
      </c>
      <c r="M1013">
        <f>'Audit Report'!O1013</f>
        <v>0</v>
      </c>
      <c r="N1013" t="str" cm="1">
        <f t="array" ref="N1013">IF(M1013="","",
_xlfn.TEXTJOIN(", ",TRUE,
    _xlfn.MAP(_xlfn.TEXTSPLIT(M1013,","),_xlfn.LAMBDA(_xlpm.x,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3">
        <f>'Audit Report'!F1013</f>
        <v>0</v>
      </c>
      <c r="S1013">
        <f>'Audit Report'!Q1013</f>
        <v>0</v>
      </c>
    </row>
    <row r="1014" spans="4:19">
      <c r="D1014">
        <f>'Audit Report'!B1014</f>
        <v>0</v>
      </c>
      <c r="E1014">
        <f>'Audit Report'!C1014</f>
        <v>0</v>
      </c>
      <c r="I1014">
        <f>'Audit Report'!D1014</f>
        <v>0</v>
      </c>
      <c r="J1014">
        <f>'Audit Report'!H1014</f>
        <v>0</v>
      </c>
      <c r="L1014" t="str">
        <f>_xlfn.TEXTJOIN(", ", TRUE, 'Audit Report'!K1014,'Audit Report'!L1014,'Audit Report'!M1014)</f>
        <v/>
      </c>
      <c r="M1014">
        <f>'Audit Report'!O1014</f>
        <v>0</v>
      </c>
      <c r="N1014" t="str" cm="1">
        <f t="array" ref="N1014">IF(M1014="","",
_xlfn.TEXTJOIN(", ",TRUE,
    _xlfn.MAP(_xlfn.TEXTSPLIT(M1014,","),_xlfn.LAMBDA(_xlpm.x,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4">
        <f>'Audit Report'!F1014</f>
        <v>0</v>
      </c>
      <c r="S1014">
        <f>'Audit Report'!Q1014</f>
        <v>0</v>
      </c>
    </row>
    <row r="1015" spans="4:19">
      <c r="D1015">
        <f>'Audit Report'!B1015</f>
        <v>0</v>
      </c>
      <c r="E1015">
        <f>'Audit Report'!C1015</f>
        <v>0</v>
      </c>
      <c r="I1015">
        <f>'Audit Report'!D1015</f>
        <v>0</v>
      </c>
      <c r="J1015">
        <f>'Audit Report'!H1015</f>
        <v>0</v>
      </c>
      <c r="L1015" t="str">
        <f>_xlfn.TEXTJOIN(", ", TRUE, 'Audit Report'!K1015,'Audit Report'!L1015,'Audit Report'!M1015)</f>
        <v/>
      </c>
      <c r="M1015">
        <f>'Audit Report'!O1015</f>
        <v>0</v>
      </c>
      <c r="N1015" t="str" cm="1">
        <f t="array" ref="N1015">IF(M1015="","",
_xlfn.TEXTJOIN(", ",TRUE,
    _xlfn.MAP(_xlfn.TEXTSPLIT(M1015,","),_xlfn.LAMBDA(_xlpm.x,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5">
        <f>'Audit Report'!F1015</f>
        <v>0</v>
      </c>
      <c r="S1015">
        <f>'Audit Report'!Q1015</f>
        <v>0</v>
      </c>
    </row>
    <row r="1016" spans="4:19">
      <c r="D1016">
        <f>'Audit Report'!B1016</f>
        <v>0</v>
      </c>
      <c r="E1016">
        <f>'Audit Report'!C1016</f>
        <v>0</v>
      </c>
      <c r="I1016">
        <f>'Audit Report'!D1016</f>
        <v>0</v>
      </c>
      <c r="J1016">
        <f>'Audit Report'!H1016</f>
        <v>0</v>
      </c>
      <c r="L1016" t="str">
        <f>_xlfn.TEXTJOIN(", ", TRUE, 'Audit Report'!K1016,'Audit Report'!L1016,'Audit Report'!M1016)</f>
        <v/>
      </c>
      <c r="M1016">
        <f>'Audit Report'!O1016</f>
        <v>0</v>
      </c>
      <c r="N1016" t="str" cm="1">
        <f t="array" ref="N1016">IF(M1016="","",
_xlfn.TEXTJOIN(", ",TRUE,
    _xlfn.MAP(_xlfn.TEXTSPLIT(M1016,","),_xlfn.LAMBDA(_xlpm.x,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6">
        <f>'Audit Report'!F1016</f>
        <v>0</v>
      </c>
      <c r="S1016">
        <f>'Audit Report'!Q1016</f>
        <v>0</v>
      </c>
    </row>
    <row r="1017" spans="4:19">
      <c r="D1017">
        <f>'Audit Report'!B1017</f>
        <v>0</v>
      </c>
      <c r="E1017">
        <f>'Audit Report'!C1017</f>
        <v>0</v>
      </c>
      <c r="I1017">
        <f>'Audit Report'!D1017</f>
        <v>0</v>
      </c>
      <c r="J1017">
        <f>'Audit Report'!H1017</f>
        <v>0</v>
      </c>
      <c r="L1017" t="str">
        <f>_xlfn.TEXTJOIN(", ", TRUE, 'Audit Report'!K1017,'Audit Report'!L1017,'Audit Report'!M1017)</f>
        <v/>
      </c>
      <c r="M1017">
        <f>'Audit Report'!O1017</f>
        <v>0</v>
      </c>
      <c r="N1017" t="str" cm="1">
        <f t="array" ref="N1017">IF(M1017="","",
_xlfn.TEXTJOIN(", ",TRUE,
    _xlfn.MAP(_xlfn.TEXTSPLIT(M1017,","),_xlfn.LAMBDA(_xlpm.x,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7">
        <f>'Audit Report'!F1017</f>
        <v>0</v>
      </c>
      <c r="S1017">
        <f>'Audit Report'!Q1017</f>
        <v>0</v>
      </c>
    </row>
    <row r="1018" spans="4:19">
      <c r="D1018">
        <f>'Audit Report'!B1018</f>
        <v>0</v>
      </c>
      <c r="E1018">
        <f>'Audit Report'!C1018</f>
        <v>0</v>
      </c>
      <c r="I1018">
        <f>'Audit Report'!D1018</f>
        <v>0</v>
      </c>
      <c r="J1018">
        <f>'Audit Report'!H1018</f>
        <v>0</v>
      </c>
      <c r="L1018" t="str">
        <f>_xlfn.TEXTJOIN(", ", TRUE, 'Audit Report'!K1018,'Audit Report'!L1018,'Audit Report'!M1018)</f>
        <v/>
      </c>
      <c r="M1018">
        <f>'Audit Report'!O1018</f>
        <v>0</v>
      </c>
      <c r="N1018" t="str" cm="1">
        <f t="array" ref="N1018">IF(M1018="","",
_xlfn.TEXTJOIN(", ",TRUE,
    _xlfn.MAP(_xlfn.TEXTSPLIT(M1018,","),_xlfn.LAMBDA(_xlpm.x,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8">
        <f>'Audit Report'!F1018</f>
        <v>0</v>
      </c>
      <c r="S1018">
        <f>'Audit Report'!Q1018</f>
        <v>0</v>
      </c>
    </row>
    <row r="1019" spans="4:19">
      <c r="D1019">
        <f>'Audit Report'!B1019</f>
        <v>0</v>
      </c>
      <c r="E1019">
        <f>'Audit Report'!C1019</f>
        <v>0</v>
      </c>
      <c r="I1019">
        <f>'Audit Report'!D1019</f>
        <v>0</v>
      </c>
      <c r="J1019">
        <f>'Audit Report'!H1019</f>
        <v>0</v>
      </c>
      <c r="L1019" t="str">
        <f>_xlfn.TEXTJOIN(", ", TRUE, 'Audit Report'!K1019,'Audit Report'!L1019,'Audit Report'!M1019)</f>
        <v/>
      </c>
      <c r="M1019">
        <f>'Audit Report'!O1019</f>
        <v>0</v>
      </c>
      <c r="N1019" t="str" cm="1">
        <f t="array" ref="N1019">IF(M1019="","",
_xlfn.TEXTJOIN(", ",TRUE,
    _xlfn.MAP(_xlfn.TEXTSPLIT(M1019,","),_xlfn.LAMBDA(_xlpm.x,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9">
        <f>'Audit Report'!F1019</f>
        <v>0</v>
      </c>
      <c r="S1019">
        <f>'Audit Report'!Q1019</f>
        <v>0</v>
      </c>
    </row>
    <row r="1020" spans="4:19">
      <c r="D1020">
        <f>'Audit Report'!B1020</f>
        <v>0</v>
      </c>
      <c r="E1020">
        <f>'Audit Report'!C1020</f>
        <v>0</v>
      </c>
      <c r="I1020">
        <f>'Audit Report'!D1020</f>
        <v>0</v>
      </c>
      <c r="J1020">
        <f>'Audit Report'!H1020</f>
        <v>0</v>
      </c>
      <c r="L1020" t="str">
        <f>_xlfn.TEXTJOIN(", ", TRUE, 'Audit Report'!K1020,'Audit Report'!L1020,'Audit Report'!M1020)</f>
        <v/>
      </c>
      <c r="M1020">
        <f>'Audit Report'!O1020</f>
        <v>0</v>
      </c>
      <c r="N1020" t="str" cm="1">
        <f t="array" ref="N1020">IF(M1020="","",
_xlfn.TEXTJOIN(", ",TRUE,
    _xlfn.MAP(_xlfn.TEXTSPLIT(M1020,","),_xlfn.LAMBDA(_xlpm.x,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0">
        <f>'Audit Report'!F1020</f>
        <v>0</v>
      </c>
      <c r="S1020">
        <f>'Audit Report'!Q1020</f>
        <v>0</v>
      </c>
    </row>
    <row r="1021" spans="4:19">
      <c r="D1021">
        <f>'Audit Report'!B1021</f>
        <v>0</v>
      </c>
      <c r="E1021">
        <f>'Audit Report'!C1021</f>
        <v>0</v>
      </c>
      <c r="I1021">
        <f>'Audit Report'!D1021</f>
        <v>0</v>
      </c>
      <c r="J1021">
        <f>'Audit Report'!H1021</f>
        <v>0</v>
      </c>
      <c r="L1021" t="str">
        <f>_xlfn.TEXTJOIN(", ", TRUE, 'Audit Report'!K1021,'Audit Report'!L1021,'Audit Report'!M1021)</f>
        <v/>
      </c>
      <c r="M1021">
        <f>'Audit Report'!O1021</f>
        <v>0</v>
      </c>
      <c r="N1021" t="str" cm="1">
        <f t="array" ref="N1021">IF(M1021="","",
_xlfn.TEXTJOIN(", ",TRUE,
    _xlfn.MAP(_xlfn.TEXTSPLIT(M1021,","),_xlfn.LAMBDA(_xlpm.x,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1">
        <f>'Audit Report'!F1021</f>
        <v>0</v>
      </c>
      <c r="S1021">
        <f>'Audit Report'!Q1021</f>
        <v>0</v>
      </c>
    </row>
    <row r="1022" spans="4:19">
      <c r="D1022">
        <f>'Audit Report'!B1022</f>
        <v>0</v>
      </c>
      <c r="E1022">
        <f>'Audit Report'!C1022</f>
        <v>0</v>
      </c>
      <c r="I1022">
        <f>'Audit Report'!D1022</f>
        <v>0</v>
      </c>
      <c r="J1022">
        <f>'Audit Report'!H1022</f>
        <v>0</v>
      </c>
      <c r="L1022" t="str">
        <f>_xlfn.TEXTJOIN(", ", TRUE, 'Audit Report'!K1022,'Audit Report'!L1022,'Audit Report'!M1022)</f>
        <v/>
      </c>
      <c r="M1022">
        <f>'Audit Report'!O1022</f>
        <v>0</v>
      </c>
      <c r="N1022" t="str" cm="1">
        <f t="array" ref="N1022">IF(M1022="","",
_xlfn.TEXTJOIN(", ",TRUE,
    _xlfn.MAP(_xlfn.TEXTSPLIT(M1022,","),_xlfn.LAMBDA(_xlpm.x,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2">
        <f>'Audit Report'!F1022</f>
        <v>0</v>
      </c>
      <c r="S1022">
        <f>'Audit Report'!Q1022</f>
        <v>0</v>
      </c>
    </row>
    <row r="1023" spans="4:19">
      <c r="D1023">
        <f>'Audit Report'!B1023</f>
        <v>0</v>
      </c>
      <c r="E1023">
        <f>'Audit Report'!C1023</f>
        <v>0</v>
      </c>
      <c r="I1023">
        <f>'Audit Report'!D1023</f>
        <v>0</v>
      </c>
      <c r="J1023">
        <f>'Audit Report'!H1023</f>
        <v>0</v>
      </c>
      <c r="L1023" t="str">
        <f>_xlfn.TEXTJOIN(", ", TRUE, 'Audit Report'!K1023,'Audit Report'!L1023,'Audit Report'!M1023)</f>
        <v/>
      </c>
      <c r="M1023">
        <f>'Audit Report'!O1023</f>
        <v>0</v>
      </c>
      <c r="N1023" t="str" cm="1">
        <f t="array" ref="N1023">IF(M1023="","",
_xlfn.TEXTJOIN(", ",TRUE,
    _xlfn.MAP(_xlfn.TEXTSPLIT(M1023,","),_xlfn.LAMBDA(_xlpm.x,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3">
        <f>'Audit Report'!F1023</f>
        <v>0</v>
      </c>
      <c r="S1023">
        <f>'Audit Report'!Q1023</f>
        <v>0</v>
      </c>
    </row>
    <row r="1024" spans="4:19">
      <c r="D1024">
        <f>'Audit Report'!B1024</f>
        <v>0</v>
      </c>
      <c r="E1024">
        <f>'Audit Report'!C1024</f>
        <v>0</v>
      </c>
      <c r="I1024">
        <f>'Audit Report'!D1024</f>
        <v>0</v>
      </c>
      <c r="J1024">
        <f>'Audit Report'!H1024</f>
        <v>0</v>
      </c>
      <c r="L1024" t="str">
        <f>_xlfn.TEXTJOIN(", ", TRUE, 'Audit Report'!K1024,'Audit Report'!L1024,'Audit Report'!M1024)</f>
        <v/>
      </c>
      <c r="M1024">
        <f>'Audit Report'!O1024</f>
        <v>0</v>
      </c>
      <c r="N1024" t="str" cm="1">
        <f t="array" ref="N1024">IF(M1024="","",
_xlfn.TEXTJOIN(", ",TRUE,
    _xlfn.MAP(_xlfn.TEXTSPLIT(M1024,","),_xlfn.LAMBDA(_xlpm.x,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4">
        <f>'Audit Report'!F1024</f>
        <v>0</v>
      </c>
      <c r="S1024">
        <f>'Audit Report'!Q1024</f>
        <v>0</v>
      </c>
    </row>
    <row r="1025" spans="4:19">
      <c r="D1025">
        <f>'Audit Report'!B1025</f>
        <v>0</v>
      </c>
      <c r="E1025">
        <f>'Audit Report'!C1025</f>
        <v>0</v>
      </c>
      <c r="I1025">
        <f>'Audit Report'!D1025</f>
        <v>0</v>
      </c>
      <c r="J1025">
        <f>'Audit Report'!H1025</f>
        <v>0</v>
      </c>
      <c r="L1025" t="str">
        <f>_xlfn.TEXTJOIN(", ", TRUE, 'Audit Report'!K1025,'Audit Report'!L1025,'Audit Report'!M1025)</f>
        <v/>
      </c>
      <c r="M1025">
        <f>'Audit Report'!O1025</f>
        <v>0</v>
      </c>
      <c r="N1025" t="str" cm="1">
        <f t="array" ref="N1025">IF(M1025="","",
_xlfn.TEXTJOIN(", ",TRUE,
    _xlfn.MAP(_xlfn.TEXTSPLIT(M1025,","),_xlfn.LAMBDA(_xlpm.x,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5">
        <f>'Audit Report'!F1025</f>
        <v>0</v>
      </c>
      <c r="S1025">
        <f>'Audit Report'!Q1025</f>
        <v>0</v>
      </c>
    </row>
    <row r="1026" spans="4:19">
      <c r="D1026">
        <f>'Audit Report'!B1026</f>
        <v>0</v>
      </c>
      <c r="E1026">
        <f>'Audit Report'!C1026</f>
        <v>0</v>
      </c>
      <c r="I1026">
        <f>'Audit Report'!D1026</f>
        <v>0</v>
      </c>
      <c r="J1026">
        <f>'Audit Report'!H1026</f>
        <v>0</v>
      </c>
      <c r="L1026" t="str">
        <f>_xlfn.TEXTJOIN(", ", TRUE, 'Audit Report'!K1026,'Audit Report'!L1026,'Audit Report'!M1026)</f>
        <v/>
      </c>
      <c r="M1026">
        <f>'Audit Report'!O1026</f>
        <v>0</v>
      </c>
      <c r="N1026" t="str" cm="1">
        <f t="array" ref="N1026">IF(M1026="","",
_xlfn.TEXTJOIN(", ",TRUE,
    _xlfn.MAP(_xlfn.TEXTSPLIT(M1026,","),_xlfn.LAMBDA(_xlpm.x,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6">
        <f>'Audit Report'!F1026</f>
        <v>0</v>
      </c>
      <c r="S1026">
        <f>'Audit Report'!Q1026</f>
        <v>0</v>
      </c>
    </row>
    <row r="1027" spans="4:19">
      <c r="D1027">
        <f>'Audit Report'!B1027</f>
        <v>0</v>
      </c>
      <c r="E1027">
        <f>'Audit Report'!C1027</f>
        <v>0</v>
      </c>
      <c r="I1027">
        <f>'Audit Report'!D1027</f>
        <v>0</v>
      </c>
      <c r="J1027">
        <f>'Audit Report'!H1027</f>
        <v>0</v>
      </c>
      <c r="L1027" t="str">
        <f>_xlfn.TEXTJOIN(", ", TRUE, 'Audit Report'!K1027,'Audit Report'!L1027,'Audit Report'!M1027)</f>
        <v/>
      </c>
      <c r="M1027">
        <f>'Audit Report'!O1027</f>
        <v>0</v>
      </c>
      <c r="N1027" t="str" cm="1">
        <f t="array" ref="N1027">IF(M1027="","",
_xlfn.TEXTJOIN(", ",TRUE,
    _xlfn.MAP(_xlfn.TEXTSPLIT(M1027,","),_xlfn.LAMBDA(_xlpm.x,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7">
        <f>'Audit Report'!F1027</f>
        <v>0</v>
      </c>
      <c r="S1027">
        <f>'Audit Report'!Q1027</f>
        <v>0</v>
      </c>
    </row>
    <row r="1028" spans="4:19">
      <c r="D1028">
        <f>'Audit Report'!B1028</f>
        <v>0</v>
      </c>
      <c r="E1028">
        <f>'Audit Report'!C1028</f>
        <v>0</v>
      </c>
      <c r="I1028">
        <f>'Audit Report'!D1028</f>
        <v>0</v>
      </c>
      <c r="J1028">
        <f>'Audit Report'!H1028</f>
        <v>0</v>
      </c>
      <c r="L1028" t="str">
        <f>_xlfn.TEXTJOIN(", ", TRUE, 'Audit Report'!K1028,'Audit Report'!L1028,'Audit Report'!M1028)</f>
        <v/>
      </c>
      <c r="M1028">
        <f>'Audit Report'!O1028</f>
        <v>0</v>
      </c>
      <c r="N1028" t="str" cm="1">
        <f t="array" ref="N1028">IF(M1028="","",
_xlfn.TEXTJOIN(", ",TRUE,
    _xlfn.MAP(_xlfn.TEXTSPLIT(M1028,","),_xlfn.LAMBDA(_xlpm.x,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8">
        <f>'Audit Report'!F1028</f>
        <v>0</v>
      </c>
      <c r="S1028">
        <f>'Audit Report'!Q1028</f>
        <v>0</v>
      </c>
    </row>
    <row r="1029" spans="4:19">
      <c r="D1029">
        <f>'Audit Report'!B1029</f>
        <v>0</v>
      </c>
      <c r="E1029">
        <f>'Audit Report'!C1029</f>
        <v>0</v>
      </c>
      <c r="I1029">
        <f>'Audit Report'!D1029</f>
        <v>0</v>
      </c>
      <c r="J1029">
        <f>'Audit Report'!H1029</f>
        <v>0</v>
      </c>
      <c r="L1029" t="str">
        <f>_xlfn.TEXTJOIN(", ", TRUE, 'Audit Report'!K1029,'Audit Report'!L1029,'Audit Report'!M1029)</f>
        <v/>
      </c>
      <c r="M1029">
        <f>'Audit Report'!O1029</f>
        <v>0</v>
      </c>
      <c r="N1029" t="str" cm="1">
        <f t="array" ref="N1029">IF(M1029="","",
_xlfn.TEXTJOIN(", ",TRUE,
    _xlfn.MAP(_xlfn.TEXTSPLIT(M1029,","),_xlfn.LAMBDA(_xlpm.x,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9">
        <f>'Audit Report'!F1029</f>
        <v>0</v>
      </c>
      <c r="S1029">
        <f>'Audit Report'!Q1029</f>
        <v>0</v>
      </c>
    </row>
    <row r="1030" spans="4:19">
      <c r="D1030">
        <f>'Audit Report'!B1030</f>
        <v>0</v>
      </c>
      <c r="E1030">
        <f>'Audit Report'!C1030</f>
        <v>0</v>
      </c>
      <c r="I1030">
        <f>'Audit Report'!D1030</f>
        <v>0</v>
      </c>
      <c r="J1030">
        <f>'Audit Report'!H1030</f>
        <v>0</v>
      </c>
      <c r="L1030" t="str">
        <f>_xlfn.TEXTJOIN(", ", TRUE, 'Audit Report'!K1030,'Audit Report'!L1030,'Audit Report'!M1030)</f>
        <v/>
      </c>
      <c r="M1030">
        <f>'Audit Report'!O1030</f>
        <v>0</v>
      </c>
      <c r="N1030" t="str" cm="1">
        <f t="array" ref="N1030">IF(M1030="","",
_xlfn.TEXTJOIN(", ",TRUE,
    _xlfn.MAP(_xlfn.TEXTSPLIT(M1030,","),_xlfn.LAMBDA(_xlpm.x,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0">
        <f>'Audit Report'!F1030</f>
        <v>0</v>
      </c>
      <c r="S1030">
        <f>'Audit Report'!Q1030</f>
        <v>0</v>
      </c>
    </row>
    <row r="1031" spans="4:19">
      <c r="D1031">
        <f>'Audit Report'!B1031</f>
        <v>0</v>
      </c>
      <c r="E1031">
        <f>'Audit Report'!C1031</f>
        <v>0</v>
      </c>
      <c r="I1031">
        <f>'Audit Report'!D1031</f>
        <v>0</v>
      </c>
      <c r="J1031">
        <f>'Audit Report'!H1031</f>
        <v>0</v>
      </c>
      <c r="L1031" t="str">
        <f>_xlfn.TEXTJOIN(", ", TRUE, 'Audit Report'!K1031,'Audit Report'!L1031,'Audit Report'!M1031)</f>
        <v/>
      </c>
      <c r="M1031">
        <f>'Audit Report'!O1031</f>
        <v>0</v>
      </c>
      <c r="N1031" t="str" cm="1">
        <f t="array" ref="N1031">IF(M1031="","",
_xlfn.TEXTJOIN(", ",TRUE,
    _xlfn.MAP(_xlfn.TEXTSPLIT(M1031,","),_xlfn.LAMBDA(_xlpm.x,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1">
        <f>'Audit Report'!F1031</f>
        <v>0</v>
      </c>
      <c r="S1031">
        <f>'Audit Report'!Q1031</f>
        <v>0</v>
      </c>
    </row>
    <row r="1032" spans="4:19">
      <c r="D1032">
        <f>'Audit Report'!B1032</f>
        <v>0</v>
      </c>
      <c r="E1032">
        <f>'Audit Report'!C1032</f>
        <v>0</v>
      </c>
      <c r="I1032">
        <f>'Audit Report'!D1032</f>
        <v>0</v>
      </c>
      <c r="J1032">
        <f>'Audit Report'!H1032</f>
        <v>0</v>
      </c>
      <c r="L1032" t="str">
        <f>_xlfn.TEXTJOIN(", ", TRUE, 'Audit Report'!K1032,'Audit Report'!L1032,'Audit Report'!M1032)</f>
        <v/>
      </c>
      <c r="M1032">
        <f>'Audit Report'!O1032</f>
        <v>0</v>
      </c>
      <c r="N1032" t="str" cm="1">
        <f t="array" ref="N1032">IF(M1032="","",
_xlfn.TEXTJOIN(", ",TRUE,
    _xlfn.MAP(_xlfn.TEXTSPLIT(M1032,","),_xlfn.LAMBDA(_xlpm.x,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2">
        <f>'Audit Report'!F1032</f>
        <v>0</v>
      </c>
      <c r="S1032">
        <f>'Audit Report'!Q1032</f>
        <v>0</v>
      </c>
    </row>
    <row r="1033" spans="4:19">
      <c r="D1033">
        <f>'Audit Report'!B1033</f>
        <v>0</v>
      </c>
      <c r="E1033">
        <f>'Audit Report'!C1033</f>
        <v>0</v>
      </c>
      <c r="I1033">
        <f>'Audit Report'!D1033</f>
        <v>0</v>
      </c>
      <c r="J1033">
        <f>'Audit Report'!H1033</f>
        <v>0</v>
      </c>
      <c r="L1033" t="str">
        <f>_xlfn.TEXTJOIN(", ", TRUE, 'Audit Report'!K1033,'Audit Report'!L1033,'Audit Report'!M1033)</f>
        <v/>
      </c>
      <c r="M1033">
        <f>'Audit Report'!O1033</f>
        <v>0</v>
      </c>
      <c r="N1033" t="str" cm="1">
        <f t="array" ref="N1033">IF(M1033="","",
_xlfn.TEXTJOIN(", ",TRUE,
    _xlfn.MAP(_xlfn.TEXTSPLIT(M1033,","),_xlfn.LAMBDA(_xlpm.x,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3">
        <f>'Audit Report'!F1033</f>
        <v>0</v>
      </c>
      <c r="S1033">
        <f>'Audit Report'!Q1033</f>
        <v>0</v>
      </c>
    </row>
    <row r="1034" spans="4:19">
      <c r="D1034">
        <f>'Audit Report'!B1034</f>
        <v>0</v>
      </c>
      <c r="E1034">
        <f>'Audit Report'!C1034</f>
        <v>0</v>
      </c>
      <c r="I1034">
        <f>'Audit Report'!D1034</f>
        <v>0</v>
      </c>
      <c r="J1034">
        <f>'Audit Report'!H1034</f>
        <v>0</v>
      </c>
      <c r="L1034" t="str">
        <f>_xlfn.TEXTJOIN(", ", TRUE, 'Audit Report'!K1034,'Audit Report'!L1034,'Audit Report'!M1034)</f>
        <v/>
      </c>
      <c r="M1034">
        <f>'Audit Report'!O1034</f>
        <v>0</v>
      </c>
      <c r="N1034" t="str" cm="1">
        <f t="array" ref="N1034">IF(M1034="","",
_xlfn.TEXTJOIN(", ",TRUE,
    _xlfn.MAP(_xlfn.TEXTSPLIT(M1034,","),_xlfn.LAMBDA(_xlpm.x,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4">
        <f>'Audit Report'!F1034</f>
        <v>0</v>
      </c>
      <c r="S1034">
        <f>'Audit Report'!Q1034</f>
        <v>0</v>
      </c>
    </row>
    <row r="1035" spans="4:19">
      <c r="D1035">
        <f>'Audit Report'!B1035</f>
        <v>0</v>
      </c>
      <c r="E1035">
        <f>'Audit Report'!C1035</f>
        <v>0</v>
      </c>
      <c r="I1035">
        <f>'Audit Report'!D1035</f>
        <v>0</v>
      </c>
      <c r="J1035">
        <f>'Audit Report'!H1035</f>
        <v>0</v>
      </c>
      <c r="L1035" t="str">
        <f>_xlfn.TEXTJOIN(", ", TRUE, 'Audit Report'!K1035,'Audit Report'!L1035,'Audit Report'!M1035)</f>
        <v/>
      </c>
      <c r="M1035">
        <f>'Audit Report'!O1035</f>
        <v>0</v>
      </c>
      <c r="N1035" t="str" cm="1">
        <f t="array" ref="N1035">IF(M1035="","",
_xlfn.TEXTJOIN(", ",TRUE,
    _xlfn.MAP(_xlfn.TEXTSPLIT(M1035,","),_xlfn.LAMBDA(_xlpm.x,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5">
        <f>'Audit Report'!F1035</f>
        <v>0</v>
      </c>
      <c r="S1035">
        <f>'Audit Report'!Q1035</f>
        <v>0</v>
      </c>
    </row>
    <row r="1036" spans="4:19">
      <c r="D1036">
        <f>'Audit Report'!B1036</f>
        <v>0</v>
      </c>
      <c r="E1036">
        <f>'Audit Report'!C1036</f>
        <v>0</v>
      </c>
      <c r="I1036">
        <f>'Audit Report'!D1036</f>
        <v>0</v>
      </c>
      <c r="J1036">
        <f>'Audit Report'!H1036</f>
        <v>0</v>
      </c>
      <c r="L1036" t="str">
        <f>_xlfn.TEXTJOIN(", ", TRUE, 'Audit Report'!K1036,'Audit Report'!L1036,'Audit Report'!M1036)</f>
        <v/>
      </c>
      <c r="M1036">
        <f>'Audit Report'!O1036</f>
        <v>0</v>
      </c>
      <c r="N1036" t="str" cm="1">
        <f t="array" ref="N1036">IF(M1036="","",
_xlfn.TEXTJOIN(", ",TRUE,
    _xlfn.MAP(_xlfn.TEXTSPLIT(M1036,","),_xlfn.LAMBDA(_xlpm.x,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6">
        <f>'Audit Report'!F1036</f>
        <v>0</v>
      </c>
      <c r="S1036">
        <f>'Audit Report'!Q1036</f>
        <v>0</v>
      </c>
    </row>
    <row r="1037" spans="4:19">
      <c r="D1037">
        <f>'Audit Report'!B1037</f>
        <v>0</v>
      </c>
      <c r="E1037">
        <f>'Audit Report'!C1037</f>
        <v>0</v>
      </c>
      <c r="I1037">
        <f>'Audit Report'!D1037</f>
        <v>0</v>
      </c>
      <c r="J1037">
        <f>'Audit Report'!H1037</f>
        <v>0</v>
      </c>
      <c r="L1037" t="str">
        <f>_xlfn.TEXTJOIN(", ", TRUE, 'Audit Report'!K1037,'Audit Report'!L1037,'Audit Report'!M1037)</f>
        <v/>
      </c>
      <c r="M1037">
        <f>'Audit Report'!O1037</f>
        <v>0</v>
      </c>
      <c r="N1037" t="str" cm="1">
        <f t="array" ref="N1037">IF(M1037="","",
_xlfn.TEXTJOIN(", ",TRUE,
    _xlfn.MAP(_xlfn.TEXTSPLIT(M1037,","),_xlfn.LAMBDA(_xlpm.x,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7">
        <f>'Audit Report'!F1037</f>
        <v>0</v>
      </c>
      <c r="S1037">
        <f>'Audit Report'!Q1037</f>
        <v>0</v>
      </c>
    </row>
    <row r="1038" spans="4:19">
      <c r="D1038">
        <f>'Audit Report'!B1038</f>
        <v>0</v>
      </c>
      <c r="E1038">
        <f>'Audit Report'!C1038</f>
        <v>0</v>
      </c>
      <c r="I1038">
        <f>'Audit Report'!D1038</f>
        <v>0</v>
      </c>
      <c r="J1038">
        <f>'Audit Report'!H1038</f>
        <v>0</v>
      </c>
      <c r="L1038" t="str">
        <f>_xlfn.TEXTJOIN(", ", TRUE, 'Audit Report'!K1038,'Audit Report'!L1038,'Audit Report'!M1038)</f>
        <v/>
      </c>
      <c r="M1038">
        <f>'Audit Report'!O1038</f>
        <v>0</v>
      </c>
      <c r="N1038" t="str" cm="1">
        <f t="array" ref="N1038">IF(M1038="","",
_xlfn.TEXTJOIN(", ",TRUE,
    _xlfn.MAP(_xlfn.TEXTSPLIT(M1038,","),_xlfn.LAMBDA(_xlpm.x,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8">
        <f>'Audit Report'!F1038</f>
        <v>0</v>
      </c>
      <c r="S1038">
        <f>'Audit Report'!Q1038</f>
        <v>0</v>
      </c>
    </row>
    <row r="1039" spans="4:19">
      <c r="D1039">
        <f>'Audit Report'!B1039</f>
        <v>0</v>
      </c>
      <c r="E1039">
        <f>'Audit Report'!C1039</f>
        <v>0</v>
      </c>
      <c r="I1039">
        <f>'Audit Report'!D1039</f>
        <v>0</v>
      </c>
      <c r="J1039">
        <f>'Audit Report'!H1039</f>
        <v>0</v>
      </c>
      <c r="L1039" t="str">
        <f>_xlfn.TEXTJOIN(", ", TRUE, 'Audit Report'!K1039,'Audit Report'!L1039,'Audit Report'!M1039)</f>
        <v/>
      </c>
      <c r="M1039">
        <f>'Audit Report'!O1039</f>
        <v>0</v>
      </c>
      <c r="N1039" t="str" cm="1">
        <f t="array" ref="N1039">IF(M1039="","",
_xlfn.TEXTJOIN(", ",TRUE,
    _xlfn.MAP(_xlfn.TEXTSPLIT(M1039,","),_xlfn.LAMBDA(_xlpm.x,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9">
        <f>'Audit Report'!F1039</f>
        <v>0</v>
      </c>
      <c r="S1039">
        <f>'Audit Report'!Q1039</f>
        <v>0</v>
      </c>
    </row>
    <row r="1040" spans="4:19">
      <c r="D1040">
        <f>'Audit Report'!B1040</f>
        <v>0</v>
      </c>
      <c r="E1040">
        <f>'Audit Report'!C1040</f>
        <v>0</v>
      </c>
      <c r="I1040">
        <f>'Audit Report'!D1040</f>
        <v>0</v>
      </c>
      <c r="J1040">
        <f>'Audit Report'!H1040</f>
        <v>0</v>
      </c>
      <c r="L1040" t="str">
        <f>_xlfn.TEXTJOIN(", ", TRUE, 'Audit Report'!K1040,'Audit Report'!L1040,'Audit Report'!M1040)</f>
        <v/>
      </c>
      <c r="M1040">
        <f>'Audit Report'!O1040</f>
        <v>0</v>
      </c>
      <c r="N1040" t="str" cm="1">
        <f t="array" ref="N1040">IF(M1040="","",
_xlfn.TEXTJOIN(", ",TRUE,
    _xlfn.MAP(_xlfn.TEXTSPLIT(M1040,","),_xlfn.LAMBDA(_xlpm.x,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0">
        <f>'Audit Report'!F1040</f>
        <v>0</v>
      </c>
      <c r="S1040">
        <f>'Audit Report'!Q1040</f>
        <v>0</v>
      </c>
    </row>
    <row r="1041" spans="4:19">
      <c r="D1041">
        <f>'Audit Report'!B1041</f>
        <v>0</v>
      </c>
      <c r="E1041">
        <f>'Audit Report'!C1041</f>
        <v>0</v>
      </c>
      <c r="I1041">
        <f>'Audit Report'!D1041</f>
        <v>0</v>
      </c>
      <c r="J1041">
        <f>'Audit Report'!H1041</f>
        <v>0</v>
      </c>
      <c r="L1041" t="str">
        <f>_xlfn.TEXTJOIN(", ", TRUE, 'Audit Report'!K1041,'Audit Report'!L1041,'Audit Report'!M1041)</f>
        <v/>
      </c>
      <c r="M1041">
        <f>'Audit Report'!O1041</f>
        <v>0</v>
      </c>
      <c r="N1041" t="str" cm="1">
        <f t="array" ref="N1041">IF(M1041="","",
_xlfn.TEXTJOIN(", ",TRUE,
    _xlfn.MAP(_xlfn.TEXTSPLIT(M1041,","),_xlfn.LAMBDA(_xlpm.x,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1">
        <f>'Audit Report'!F1041</f>
        <v>0</v>
      </c>
      <c r="S1041">
        <f>'Audit Report'!Q1041</f>
        <v>0</v>
      </c>
    </row>
    <row r="1042" spans="4:19">
      <c r="D1042">
        <f>'Audit Report'!B1042</f>
        <v>0</v>
      </c>
      <c r="E1042">
        <f>'Audit Report'!C1042</f>
        <v>0</v>
      </c>
      <c r="I1042">
        <f>'Audit Report'!D1042</f>
        <v>0</v>
      </c>
      <c r="J1042">
        <f>'Audit Report'!H1042</f>
        <v>0</v>
      </c>
      <c r="L1042" t="str">
        <f>_xlfn.TEXTJOIN(", ", TRUE, 'Audit Report'!K1042,'Audit Report'!L1042,'Audit Report'!M1042)</f>
        <v/>
      </c>
      <c r="M1042">
        <f>'Audit Report'!O1042</f>
        <v>0</v>
      </c>
      <c r="N1042" t="str" cm="1">
        <f t="array" ref="N1042">IF(M1042="","",
_xlfn.TEXTJOIN(", ",TRUE,
    _xlfn.MAP(_xlfn.TEXTSPLIT(M1042,","),_xlfn.LAMBDA(_xlpm.x,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2">
        <f>'Audit Report'!F1042</f>
        <v>0</v>
      </c>
      <c r="S1042">
        <f>'Audit Report'!Q1042</f>
        <v>0</v>
      </c>
    </row>
    <row r="1043" spans="4:19">
      <c r="D1043">
        <f>'Audit Report'!B1043</f>
        <v>0</v>
      </c>
      <c r="E1043">
        <f>'Audit Report'!C1043</f>
        <v>0</v>
      </c>
      <c r="I1043">
        <f>'Audit Report'!D1043</f>
        <v>0</v>
      </c>
      <c r="J1043">
        <f>'Audit Report'!H1043</f>
        <v>0</v>
      </c>
      <c r="L1043" t="str">
        <f>_xlfn.TEXTJOIN(", ", TRUE, 'Audit Report'!K1043,'Audit Report'!L1043,'Audit Report'!M1043)</f>
        <v/>
      </c>
      <c r="M1043">
        <f>'Audit Report'!O1043</f>
        <v>0</v>
      </c>
      <c r="N1043" t="str" cm="1">
        <f t="array" ref="N1043">IF(M1043="","",
_xlfn.TEXTJOIN(", ",TRUE,
    _xlfn.MAP(_xlfn.TEXTSPLIT(M1043,","),_xlfn.LAMBDA(_xlpm.x,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3">
        <f>'Audit Report'!F1043</f>
        <v>0</v>
      </c>
      <c r="S1043">
        <f>'Audit Report'!Q1043</f>
        <v>0</v>
      </c>
    </row>
    <row r="1044" spans="4:19">
      <c r="D1044">
        <f>'Audit Report'!B1044</f>
        <v>0</v>
      </c>
      <c r="E1044">
        <f>'Audit Report'!C1044</f>
        <v>0</v>
      </c>
      <c r="I1044">
        <f>'Audit Report'!D1044</f>
        <v>0</v>
      </c>
      <c r="J1044">
        <f>'Audit Report'!H1044</f>
        <v>0</v>
      </c>
      <c r="L1044" t="str">
        <f>_xlfn.TEXTJOIN(", ", TRUE, 'Audit Report'!K1044,'Audit Report'!L1044,'Audit Report'!M1044)</f>
        <v/>
      </c>
      <c r="M1044">
        <f>'Audit Report'!O1044</f>
        <v>0</v>
      </c>
      <c r="N1044" t="str" cm="1">
        <f t="array" ref="N1044">IF(M1044="","",
_xlfn.TEXTJOIN(", ",TRUE,
    _xlfn.MAP(_xlfn.TEXTSPLIT(M1044,","),_xlfn.LAMBDA(_xlpm.x,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4">
        <f>'Audit Report'!F1044</f>
        <v>0</v>
      </c>
      <c r="S1044">
        <f>'Audit Report'!Q1044</f>
        <v>0</v>
      </c>
    </row>
    <row r="1045" spans="4:19">
      <c r="D1045">
        <f>'Audit Report'!B1045</f>
        <v>0</v>
      </c>
      <c r="E1045">
        <f>'Audit Report'!C1045</f>
        <v>0</v>
      </c>
      <c r="I1045">
        <f>'Audit Report'!D1045</f>
        <v>0</v>
      </c>
      <c r="J1045">
        <f>'Audit Report'!H1045</f>
        <v>0</v>
      </c>
      <c r="L1045" t="str">
        <f>_xlfn.TEXTJOIN(", ", TRUE, 'Audit Report'!K1045,'Audit Report'!L1045,'Audit Report'!M1045)</f>
        <v/>
      </c>
      <c r="M1045">
        <f>'Audit Report'!O1045</f>
        <v>0</v>
      </c>
      <c r="N1045" t="str" cm="1">
        <f t="array" ref="N1045">IF(M1045="","",
_xlfn.TEXTJOIN(", ",TRUE,
    _xlfn.MAP(_xlfn.TEXTSPLIT(M1045,","),_xlfn.LAMBDA(_xlpm.x,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5">
        <f>'Audit Report'!F1045</f>
        <v>0</v>
      </c>
      <c r="S1045">
        <f>'Audit Report'!Q1045</f>
        <v>0</v>
      </c>
    </row>
    <row r="1046" spans="4:19">
      <c r="D1046">
        <f>'Audit Report'!B1046</f>
        <v>0</v>
      </c>
      <c r="E1046">
        <f>'Audit Report'!C1046</f>
        <v>0</v>
      </c>
      <c r="I1046">
        <f>'Audit Report'!D1046</f>
        <v>0</v>
      </c>
      <c r="J1046">
        <f>'Audit Report'!H1046</f>
        <v>0</v>
      </c>
      <c r="L1046" t="str">
        <f>_xlfn.TEXTJOIN(", ", TRUE, 'Audit Report'!K1046,'Audit Report'!L1046,'Audit Report'!M1046)</f>
        <v/>
      </c>
      <c r="M1046">
        <f>'Audit Report'!O1046</f>
        <v>0</v>
      </c>
      <c r="N1046" t="str" cm="1">
        <f t="array" ref="N1046">IF(M1046="","",
_xlfn.TEXTJOIN(", ",TRUE,
    _xlfn.MAP(_xlfn.TEXTSPLIT(M1046,","),_xlfn.LAMBDA(_xlpm.x,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6">
        <f>'Audit Report'!F1046</f>
        <v>0</v>
      </c>
      <c r="S1046">
        <f>'Audit Report'!Q1046</f>
        <v>0</v>
      </c>
    </row>
    <row r="1047" spans="4:19">
      <c r="D1047">
        <f>'Audit Report'!B1047</f>
        <v>0</v>
      </c>
      <c r="E1047">
        <f>'Audit Report'!C1047</f>
        <v>0</v>
      </c>
      <c r="I1047">
        <f>'Audit Report'!D1047</f>
        <v>0</v>
      </c>
      <c r="J1047">
        <f>'Audit Report'!H1047</f>
        <v>0</v>
      </c>
      <c r="L1047" t="str">
        <f>_xlfn.TEXTJOIN(", ", TRUE, 'Audit Report'!K1047,'Audit Report'!L1047,'Audit Report'!M1047)</f>
        <v/>
      </c>
      <c r="M1047">
        <f>'Audit Report'!O1047</f>
        <v>0</v>
      </c>
      <c r="N1047" t="str" cm="1">
        <f t="array" ref="N1047">IF(M1047="","",
_xlfn.TEXTJOIN(", ",TRUE,
    _xlfn.MAP(_xlfn.TEXTSPLIT(M1047,","),_xlfn.LAMBDA(_xlpm.x,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7">
        <f>'Audit Report'!F1047</f>
        <v>0</v>
      </c>
      <c r="S1047">
        <f>'Audit Report'!Q1047</f>
        <v>0</v>
      </c>
    </row>
    <row r="1048" spans="4:19">
      <c r="D1048">
        <f>'Audit Report'!B1048</f>
        <v>0</v>
      </c>
      <c r="E1048">
        <f>'Audit Report'!C1048</f>
        <v>0</v>
      </c>
      <c r="I1048">
        <f>'Audit Report'!D1048</f>
        <v>0</v>
      </c>
      <c r="J1048">
        <f>'Audit Report'!H1048</f>
        <v>0</v>
      </c>
      <c r="L1048" t="str">
        <f>_xlfn.TEXTJOIN(", ", TRUE, 'Audit Report'!K1048,'Audit Report'!L1048,'Audit Report'!M1048)</f>
        <v/>
      </c>
      <c r="M1048">
        <f>'Audit Report'!O1048</f>
        <v>0</v>
      </c>
      <c r="N1048" t="str" cm="1">
        <f t="array" ref="N1048">IF(M1048="","",
_xlfn.TEXTJOIN(", ",TRUE,
    _xlfn.MAP(_xlfn.TEXTSPLIT(M1048,","),_xlfn.LAMBDA(_xlpm.x,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8">
        <f>'Audit Report'!F1048</f>
        <v>0</v>
      </c>
      <c r="S1048">
        <f>'Audit Report'!Q1048</f>
        <v>0</v>
      </c>
    </row>
    <row r="1049" spans="4:19">
      <c r="D1049">
        <f>'Audit Report'!B1049</f>
        <v>0</v>
      </c>
      <c r="E1049">
        <f>'Audit Report'!C1049</f>
        <v>0</v>
      </c>
      <c r="I1049">
        <f>'Audit Report'!D1049</f>
        <v>0</v>
      </c>
      <c r="J1049">
        <f>'Audit Report'!H1049</f>
        <v>0</v>
      </c>
      <c r="L1049" t="str">
        <f>_xlfn.TEXTJOIN(", ", TRUE, 'Audit Report'!K1049,'Audit Report'!L1049,'Audit Report'!M1049)</f>
        <v/>
      </c>
      <c r="M1049">
        <f>'Audit Report'!O1049</f>
        <v>0</v>
      </c>
      <c r="N1049" t="str" cm="1">
        <f t="array" ref="N1049">IF(M1049="","",
_xlfn.TEXTJOIN(", ",TRUE,
    _xlfn.MAP(_xlfn.TEXTSPLIT(M1049,","),_xlfn.LAMBDA(_xlpm.x,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9">
        <f>'Audit Report'!F1049</f>
        <v>0</v>
      </c>
      <c r="S1049">
        <f>'Audit Report'!Q1049</f>
        <v>0</v>
      </c>
    </row>
    <row r="1050" spans="4:19">
      <c r="D1050">
        <f>'Audit Report'!B1050</f>
        <v>0</v>
      </c>
      <c r="E1050">
        <f>'Audit Report'!C1050</f>
        <v>0</v>
      </c>
      <c r="I1050">
        <f>'Audit Report'!D1050</f>
        <v>0</v>
      </c>
      <c r="J1050">
        <f>'Audit Report'!H1050</f>
        <v>0</v>
      </c>
      <c r="L1050" t="str">
        <f>_xlfn.TEXTJOIN(", ", TRUE, 'Audit Report'!K1050,'Audit Report'!L1050,'Audit Report'!M1050)</f>
        <v/>
      </c>
      <c r="M1050">
        <f>'Audit Report'!O1050</f>
        <v>0</v>
      </c>
      <c r="N1050" t="str" cm="1">
        <f t="array" ref="N1050">IF(M1050="","",
_xlfn.TEXTJOIN(", ",TRUE,
    _xlfn.MAP(_xlfn.TEXTSPLIT(M1050,","),_xlfn.LAMBDA(_xlpm.x,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0">
        <f>'Audit Report'!F1050</f>
        <v>0</v>
      </c>
      <c r="S1050">
        <f>'Audit Report'!Q1050</f>
        <v>0</v>
      </c>
    </row>
    <row r="1051" spans="4:19">
      <c r="D1051">
        <f>'Audit Report'!B1051</f>
        <v>0</v>
      </c>
      <c r="E1051">
        <f>'Audit Report'!C1051</f>
        <v>0</v>
      </c>
      <c r="I1051">
        <f>'Audit Report'!D1051</f>
        <v>0</v>
      </c>
      <c r="J1051">
        <f>'Audit Report'!H1051</f>
        <v>0</v>
      </c>
      <c r="L1051" t="str">
        <f>_xlfn.TEXTJOIN(", ", TRUE, 'Audit Report'!K1051,'Audit Report'!L1051,'Audit Report'!M1051)</f>
        <v/>
      </c>
      <c r="M1051">
        <f>'Audit Report'!O1051</f>
        <v>0</v>
      </c>
      <c r="N1051" t="str" cm="1">
        <f t="array" ref="N1051">IF(M1051="","",
_xlfn.TEXTJOIN(", ",TRUE,
    _xlfn.MAP(_xlfn.TEXTSPLIT(M1051,","),_xlfn.LAMBDA(_xlpm.x,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1">
        <f>'Audit Report'!F1051</f>
        <v>0</v>
      </c>
      <c r="S1051">
        <f>'Audit Report'!Q1051</f>
        <v>0</v>
      </c>
    </row>
    <row r="1052" spans="4:19">
      <c r="D1052">
        <f>'Audit Report'!B1052</f>
        <v>0</v>
      </c>
      <c r="E1052">
        <f>'Audit Report'!C1052</f>
        <v>0</v>
      </c>
      <c r="I1052">
        <f>'Audit Report'!D1052</f>
        <v>0</v>
      </c>
      <c r="J1052">
        <f>'Audit Report'!H1052</f>
        <v>0</v>
      </c>
      <c r="L1052" t="str">
        <f>_xlfn.TEXTJOIN(", ", TRUE, 'Audit Report'!K1052,'Audit Report'!L1052,'Audit Report'!M1052)</f>
        <v/>
      </c>
      <c r="M1052">
        <f>'Audit Report'!O1052</f>
        <v>0</v>
      </c>
      <c r="N1052" t="str" cm="1">
        <f t="array" ref="N1052">IF(M1052="","",
_xlfn.TEXTJOIN(", ",TRUE,
    _xlfn.MAP(_xlfn.TEXTSPLIT(M1052,","),_xlfn.LAMBDA(_xlpm.x,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2">
        <f>'Audit Report'!F1052</f>
        <v>0</v>
      </c>
      <c r="S1052">
        <f>'Audit Report'!Q1052</f>
        <v>0</v>
      </c>
    </row>
    <row r="1053" spans="4:19">
      <c r="D1053">
        <f>'Audit Report'!B1053</f>
        <v>0</v>
      </c>
      <c r="E1053">
        <f>'Audit Report'!C1053</f>
        <v>0</v>
      </c>
      <c r="I1053">
        <f>'Audit Report'!D1053</f>
        <v>0</v>
      </c>
      <c r="J1053">
        <f>'Audit Report'!H1053</f>
        <v>0</v>
      </c>
      <c r="L1053" t="str">
        <f>_xlfn.TEXTJOIN(", ", TRUE, 'Audit Report'!K1053,'Audit Report'!L1053,'Audit Report'!M1053)</f>
        <v/>
      </c>
      <c r="M1053">
        <f>'Audit Report'!O1053</f>
        <v>0</v>
      </c>
      <c r="N1053" t="str" cm="1">
        <f t="array" ref="N1053">IF(M1053="","",
_xlfn.TEXTJOIN(", ",TRUE,
    _xlfn.MAP(_xlfn.TEXTSPLIT(M1053,","),_xlfn.LAMBDA(_xlpm.x,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3">
        <f>'Audit Report'!F1053</f>
        <v>0</v>
      </c>
      <c r="S1053">
        <f>'Audit Report'!Q1053</f>
        <v>0</v>
      </c>
    </row>
    <row r="1054" spans="4:19">
      <c r="D1054">
        <f>'Audit Report'!B1054</f>
        <v>0</v>
      </c>
      <c r="E1054">
        <f>'Audit Report'!C1054</f>
        <v>0</v>
      </c>
      <c r="I1054">
        <f>'Audit Report'!D1054</f>
        <v>0</v>
      </c>
      <c r="J1054">
        <f>'Audit Report'!H1054</f>
        <v>0</v>
      </c>
      <c r="L1054" t="str">
        <f>_xlfn.TEXTJOIN(", ", TRUE, 'Audit Report'!K1054,'Audit Report'!L1054,'Audit Report'!M1054)</f>
        <v/>
      </c>
      <c r="M1054">
        <f>'Audit Report'!O1054</f>
        <v>0</v>
      </c>
      <c r="N1054" t="str" cm="1">
        <f t="array" ref="N1054">IF(M1054="","",
_xlfn.TEXTJOIN(", ",TRUE,
    _xlfn.MAP(_xlfn.TEXTSPLIT(M1054,","),_xlfn.LAMBDA(_xlpm.x,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4">
        <f>'Audit Report'!F1054</f>
        <v>0</v>
      </c>
      <c r="S1054">
        <f>'Audit Report'!Q1054</f>
        <v>0</v>
      </c>
    </row>
    <row r="1055" spans="4:19">
      <c r="D1055">
        <f>'Audit Report'!B1055</f>
        <v>0</v>
      </c>
      <c r="E1055">
        <f>'Audit Report'!C1055</f>
        <v>0</v>
      </c>
      <c r="I1055">
        <f>'Audit Report'!D1055</f>
        <v>0</v>
      </c>
      <c r="J1055">
        <f>'Audit Report'!H1055</f>
        <v>0</v>
      </c>
      <c r="L1055" t="str">
        <f>_xlfn.TEXTJOIN(", ", TRUE, 'Audit Report'!K1055,'Audit Report'!L1055,'Audit Report'!M1055)</f>
        <v/>
      </c>
      <c r="M1055">
        <f>'Audit Report'!O1055</f>
        <v>0</v>
      </c>
      <c r="N1055" t="str" cm="1">
        <f t="array" ref="N1055">IF(M1055="","",
_xlfn.TEXTJOIN(", ",TRUE,
    _xlfn.MAP(_xlfn.TEXTSPLIT(M1055,","),_xlfn.LAMBDA(_xlpm.x,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5">
        <f>'Audit Report'!F1055</f>
        <v>0</v>
      </c>
      <c r="S1055">
        <f>'Audit Report'!Q1055</f>
        <v>0</v>
      </c>
    </row>
    <row r="1056" spans="4:19">
      <c r="D1056">
        <f>'Audit Report'!B1056</f>
        <v>0</v>
      </c>
      <c r="E1056">
        <f>'Audit Report'!C1056</f>
        <v>0</v>
      </c>
      <c r="I1056">
        <f>'Audit Report'!D1056</f>
        <v>0</v>
      </c>
      <c r="J1056">
        <f>'Audit Report'!H1056</f>
        <v>0</v>
      </c>
      <c r="L1056" t="str">
        <f>_xlfn.TEXTJOIN(", ", TRUE, 'Audit Report'!K1056,'Audit Report'!L1056,'Audit Report'!M1056)</f>
        <v/>
      </c>
      <c r="M1056">
        <f>'Audit Report'!O1056</f>
        <v>0</v>
      </c>
      <c r="N1056" t="str" cm="1">
        <f t="array" ref="N1056">IF(M1056="","",
_xlfn.TEXTJOIN(", ",TRUE,
    _xlfn.MAP(_xlfn.TEXTSPLIT(M1056,","),_xlfn.LAMBDA(_xlpm.x,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6">
        <f>'Audit Report'!F1056</f>
        <v>0</v>
      </c>
      <c r="S1056">
        <f>'Audit Report'!Q1056</f>
        <v>0</v>
      </c>
    </row>
    <row r="1057" spans="4:19">
      <c r="D1057">
        <f>'Audit Report'!B1057</f>
        <v>0</v>
      </c>
      <c r="E1057">
        <f>'Audit Report'!C1057</f>
        <v>0</v>
      </c>
      <c r="I1057">
        <f>'Audit Report'!D1057</f>
        <v>0</v>
      </c>
      <c r="J1057">
        <f>'Audit Report'!H1057</f>
        <v>0</v>
      </c>
      <c r="L1057" t="str">
        <f>_xlfn.TEXTJOIN(", ", TRUE, 'Audit Report'!K1057,'Audit Report'!L1057,'Audit Report'!M1057)</f>
        <v/>
      </c>
      <c r="M1057">
        <f>'Audit Report'!O1057</f>
        <v>0</v>
      </c>
      <c r="N1057" t="str" cm="1">
        <f t="array" ref="N1057">IF(M1057="","",
_xlfn.TEXTJOIN(", ",TRUE,
    _xlfn.MAP(_xlfn.TEXTSPLIT(M1057,","),_xlfn.LAMBDA(_xlpm.x,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7">
        <f>'Audit Report'!F1057</f>
        <v>0</v>
      </c>
      <c r="S1057">
        <f>'Audit Report'!Q1057</f>
        <v>0</v>
      </c>
    </row>
    <row r="1058" spans="4:19">
      <c r="D1058">
        <f>'Audit Report'!B1058</f>
        <v>0</v>
      </c>
      <c r="E1058">
        <f>'Audit Report'!C1058</f>
        <v>0</v>
      </c>
      <c r="I1058">
        <f>'Audit Report'!D1058</f>
        <v>0</v>
      </c>
      <c r="J1058">
        <f>'Audit Report'!H1058</f>
        <v>0</v>
      </c>
      <c r="L1058" t="str">
        <f>_xlfn.TEXTJOIN(", ", TRUE, 'Audit Report'!K1058,'Audit Report'!L1058,'Audit Report'!M1058)</f>
        <v/>
      </c>
      <c r="M1058">
        <f>'Audit Report'!O1058</f>
        <v>0</v>
      </c>
      <c r="N1058" t="str" cm="1">
        <f t="array" ref="N1058">IF(M1058="","",
_xlfn.TEXTJOIN(", ",TRUE,
    _xlfn.MAP(_xlfn.TEXTSPLIT(M1058,","),_xlfn.LAMBDA(_xlpm.x,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8">
        <f>'Audit Report'!F1058</f>
        <v>0</v>
      </c>
      <c r="S1058">
        <f>'Audit Report'!Q1058</f>
        <v>0</v>
      </c>
    </row>
    <row r="1059" spans="4:19">
      <c r="D1059">
        <f>'Audit Report'!B1059</f>
        <v>0</v>
      </c>
      <c r="E1059">
        <f>'Audit Report'!C1059</f>
        <v>0</v>
      </c>
      <c r="I1059">
        <f>'Audit Report'!D1059</f>
        <v>0</v>
      </c>
      <c r="J1059">
        <f>'Audit Report'!H1059</f>
        <v>0</v>
      </c>
      <c r="L1059" t="str">
        <f>_xlfn.TEXTJOIN(", ", TRUE, 'Audit Report'!K1059,'Audit Report'!L1059,'Audit Report'!M1059)</f>
        <v/>
      </c>
      <c r="M1059">
        <f>'Audit Report'!O1059</f>
        <v>0</v>
      </c>
      <c r="N1059" t="str" cm="1">
        <f t="array" ref="N1059">IF(M1059="","",
_xlfn.TEXTJOIN(", ",TRUE,
    _xlfn.MAP(_xlfn.TEXTSPLIT(M1059,","),_xlfn.LAMBDA(_xlpm.x,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9">
        <f>'Audit Report'!F1059</f>
        <v>0</v>
      </c>
      <c r="S1059">
        <f>'Audit Report'!Q1059</f>
        <v>0</v>
      </c>
    </row>
    <row r="1060" spans="4:19">
      <c r="D1060">
        <f>'Audit Report'!B1060</f>
        <v>0</v>
      </c>
      <c r="E1060">
        <f>'Audit Report'!C1060</f>
        <v>0</v>
      </c>
      <c r="I1060">
        <f>'Audit Report'!D1060</f>
        <v>0</v>
      </c>
      <c r="J1060">
        <f>'Audit Report'!H1060</f>
        <v>0</v>
      </c>
      <c r="L1060" t="str">
        <f>_xlfn.TEXTJOIN(", ", TRUE, 'Audit Report'!K1060,'Audit Report'!L1060,'Audit Report'!M1060)</f>
        <v/>
      </c>
      <c r="M1060">
        <f>'Audit Report'!O1060</f>
        <v>0</v>
      </c>
      <c r="N1060" t="str" cm="1">
        <f t="array" ref="N1060">IF(M1060="","",
_xlfn.TEXTJOIN(", ",TRUE,
    _xlfn.MAP(_xlfn.TEXTSPLIT(M1060,","),_xlfn.LAMBDA(_xlpm.x,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0">
        <f>'Audit Report'!F1060</f>
        <v>0</v>
      </c>
      <c r="S1060">
        <f>'Audit Report'!Q1060</f>
        <v>0</v>
      </c>
    </row>
    <row r="1061" spans="4:19">
      <c r="D1061">
        <f>'Audit Report'!B1061</f>
        <v>0</v>
      </c>
      <c r="E1061">
        <f>'Audit Report'!C1061</f>
        <v>0</v>
      </c>
      <c r="I1061">
        <f>'Audit Report'!D1061</f>
        <v>0</v>
      </c>
      <c r="J1061">
        <f>'Audit Report'!H1061</f>
        <v>0</v>
      </c>
      <c r="L1061" t="str">
        <f>_xlfn.TEXTJOIN(", ", TRUE, 'Audit Report'!K1061,'Audit Report'!L1061,'Audit Report'!M1061)</f>
        <v/>
      </c>
      <c r="M1061">
        <f>'Audit Report'!O1061</f>
        <v>0</v>
      </c>
      <c r="N1061" t="str" cm="1">
        <f t="array" ref="N1061">IF(M1061="","",
_xlfn.TEXTJOIN(", ",TRUE,
    _xlfn.MAP(_xlfn.TEXTSPLIT(M1061,","),_xlfn.LAMBDA(_xlpm.x,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1">
        <f>'Audit Report'!F1061</f>
        <v>0</v>
      </c>
      <c r="S1061">
        <f>'Audit Report'!Q1061</f>
        <v>0</v>
      </c>
    </row>
    <row r="1062" spans="4:19">
      <c r="D1062">
        <f>'Audit Report'!B1062</f>
        <v>0</v>
      </c>
      <c r="E1062">
        <f>'Audit Report'!C1062</f>
        <v>0</v>
      </c>
      <c r="I1062">
        <f>'Audit Report'!D1062</f>
        <v>0</v>
      </c>
      <c r="J1062">
        <f>'Audit Report'!H1062</f>
        <v>0</v>
      </c>
      <c r="L1062" t="str">
        <f>_xlfn.TEXTJOIN(", ", TRUE, 'Audit Report'!K1062,'Audit Report'!L1062,'Audit Report'!M1062)</f>
        <v/>
      </c>
      <c r="M1062">
        <f>'Audit Report'!O1062</f>
        <v>0</v>
      </c>
      <c r="N1062" t="str" cm="1">
        <f t="array" ref="N1062">IF(M1062="","",
_xlfn.TEXTJOIN(", ",TRUE,
    _xlfn.MAP(_xlfn.TEXTSPLIT(M1062,","),_xlfn.LAMBDA(_xlpm.x,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2">
        <f>'Audit Report'!F1062</f>
        <v>0</v>
      </c>
      <c r="S1062">
        <f>'Audit Report'!Q1062</f>
        <v>0</v>
      </c>
    </row>
    <row r="1063" spans="4:19">
      <c r="D1063">
        <f>'Audit Report'!B1063</f>
        <v>0</v>
      </c>
      <c r="E1063">
        <f>'Audit Report'!C1063</f>
        <v>0</v>
      </c>
      <c r="I1063">
        <f>'Audit Report'!D1063</f>
        <v>0</v>
      </c>
      <c r="J1063">
        <f>'Audit Report'!H1063</f>
        <v>0</v>
      </c>
      <c r="L1063" t="str">
        <f>_xlfn.TEXTJOIN(", ", TRUE, 'Audit Report'!K1063,'Audit Report'!L1063,'Audit Report'!M1063)</f>
        <v/>
      </c>
      <c r="M1063">
        <f>'Audit Report'!O1063</f>
        <v>0</v>
      </c>
      <c r="N1063" t="str" cm="1">
        <f t="array" ref="N1063">IF(M1063="","",
_xlfn.TEXTJOIN(", ",TRUE,
    _xlfn.MAP(_xlfn.TEXTSPLIT(M1063,","),_xlfn.LAMBDA(_xlpm.x,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3">
        <f>'Audit Report'!F1063</f>
        <v>0</v>
      </c>
      <c r="S1063">
        <f>'Audit Report'!Q1063</f>
        <v>0</v>
      </c>
    </row>
    <row r="1064" spans="4:19">
      <c r="D1064">
        <f>'Audit Report'!B1064</f>
        <v>0</v>
      </c>
      <c r="E1064">
        <f>'Audit Report'!C1064</f>
        <v>0</v>
      </c>
      <c r="I1064">
        <f>'Audit Report'!D1064</f>
        <v>0</v>
      </c>
      <c r="J1064">
        <f>'Audit Report'!H1064</f>
        <v>0</v>
      </c>
      <c r="L1064" t="str">
        <f>_xlfn.TEXTJOIN(", ", TRUE, 'Audit Report'!K1064,'Audit Report'!L1064,'Audit Report'!M1064)</f>
        <v/>
      </c>
      <c r="M1064">
        <f>'Audit Report'!O1064</f>
        <v>0</v>
      </c>
      <c r="N1064" t="str" cm="1">
        <f t="array" ref="N1064">IF(M1064="","",
_xlfn.TEXTJOIN(", ",TRUE,
    _xlfn.MAP(_xlfn.TEXTSPLIT(M1064,","),_xlfn.LAMBDA(_xlpm.x,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4">
        <f>'Audit Report'!F1064</f>
        <v>0</v>
      </c>
      <c r="S1064">
        <f>'Audit Report'!Q1064</f>
        <v>0</v>
      </c>
    </row>
    <row r="1065" spans="4:19">
      <c r="D1065">
        <f>'Audit Report'!B1065</f>
        <v>0</v>
      </c>
      <c r="E1065">
        <f>'Audit Report'!C1065</f>
        <v>0</v>
      </c>
      <c r="I1065">
        <f>'Audit Report'!D1065</f>
        <v>0</v>
      </c>
      <c r="J1065">
        <f>'Audit Report'!H1065</f>
        <v>0</v>
      </c>
      <c r="L1065" t="str">
        <f>_xlfn.TEXTJOIN(", ", TRUE, 'Audit Report'!K1065,'Audit Report'!L1065,'Audit Report'!M1065)</f>
        <v/>
      </c>
      <c r="M1065">
        <f>'Audit Report'!O1065</f>
        <v>0</v>
      </c>
      <c r="N1065" t="str" cm="1">
        <f t="array" ref="N1065">IF(M1065="","",
_xlfn.TEXTJOIN(", ",TRUE,
    _xlfn.MAP(_xlfn.TEXTSPLIT(M1065,","),_xlfn.LAMBDA(_xlpm.x,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5">
        <f>'Audit Report'!F1065</f>
        <v>0</v>
      </c>
      <c r="S1065">
        <f>'Audit Report'!Q1065</f>
        <v>0</v>
      </c>
    </row>
    <row r="1066" spans="4:19">
      <c r="D1066">
        <f>'Audit Report'!B1066</f>
        <v>0</v>
      </c>
      <c r="E1066">
        <f>'Audit Report'!C1066</f>
        <v>0</v>
      </c>
      <c r="I1066">
        <f>'Audit Report'!D1066</f>
        <v>0</v>
      </c>
      <c r="J1066">
        <f>'Audit Report'!H1066</f>
        <v>0</v>
      </c>
      <c r="L1066" t="str">
        <f>_xlfn.TEXTJOIN(", ", TRUE, 'Audit Report'!K1066,'Audit Report'!L1066,'Audit Report'!M1066)</f>
        <v/>
      </c>
      <c r="M1066">
        <f>'Audit Report'!O1066</f>
        <v>0</v>
      </c>
      <c r="N1066" t="str" cm="1">
        <f t="array" ref="N1066">IF(M1066="","",
_xlfn.TEXTJOIN(", ",TRUE,
    _xlfn.MAP(_xlfn.TEXTSPLIT(M1066,","),_xlfn.LAMBDA(_xlpm.x,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6">
        <f>'Audit Report'!F1066</f>
        <v>0</v>
      </c>
      <c r="S1066">
        <f>'Audit Report'!Q1066</f>
        <v>0</v>
      </c>
    </row>
    <row r="1067" spans="4:19">
      <c r="D1067">
        <f>'Audit Report'!B1067</f>
        <v>0</v>
      </c>
      <c r="E1067">
        <f>'Audit Report'!C1067</f>
        <v>0</v>
      </c>
      <c r="I1067">
        <f>'Audit Report'!D1067</f>
        <v>0</v>
      </c>
      <c r="J1067">
        <f>'Audit Report'!H1067</f>
        <v>0</v>
      </c>
      <c r="L1067" t="str">
        <f>_xlfn.TEXTJOIN(", ", TRUE, 'Audit Report'!K1067,'Audit Report'!L1067,'Audit Report'!M1067)</f>
        <v/>
      </c>
      <c r="M1067">
        <f>'Audit Report'!O1067</f>
        <v>0</v>
      </c>
      <c r="N1067" t="str" cm="1">
        <f t="array" ref="N1067">IF(M1067="","",
_xlfn.TEXTJOIN(", ",TRUE,
    _xlfn.MAP(_xlfn.TEXTSPLIT(M1067,","),_xlfn.LAMBDA(_xlpm.x,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7">
        <f>'Audit Report'!F1067</f>
        <v>0</v>
      </c>
      <c r="S1067">
        <f>'Audit Report'!Q1067</f>
        <v>0</v>
      </c>
    </row>
    <row r="1068" spans="4:19">
      <c r="D1068">
        <f>'Audit Report'!B1068</f>
        <v>0</v>
      </c>
      <c r="E1068">
        <f>'Audit Report'!C1068</f>
        <v>0</v>
      </c>
      <c r="I1068">
        <f>'Audit Report'!D1068</f>
        <v>0</v>
      </c>
      <c r="J1068">
        <f>'Audit Report'!H1068</f>
        <v>0</v>
      </c>
      <c r="L1068" t="str">
        <f>_xlfn.TEXTJOIN(", ", TRUE, 'Audit Report'!K1068,'Audit Report'!L1068,'Audit Report'!M1068)</f>
        <v/>
      </c>
      <c r="M1068">
        <f>'Audit Report'!O1068</f>
        <v>0</v>
      </c>
      <c r="N1068" t="str" cm="1">
        <f t="array" ref="N1068">IF(M1068="","",
_xlfn.TEXTJOIN(", ",TRUE,
    _xlfn.MAP(_xlfn.TEXTSPLIT(M1068,","),_xlfn.LAMBDA(_xlpm.x,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8">
        <f>'Audit Report'!F1068</f>
        <v>0</v>
      </c>
      <c r="S1068">
        <f>'Audit Report'!Q1068</f>
        <v>0</v>
      </c>
    </row>
    <row r="1069" spans="4:19">
      <c r="D1069">
        <f>'Audit Report'!B1069</f>
        <v>0</v>
      </c>
      <c r="E1069">
        <f>'Audit Report'!C1069</f>
        <v>0</v>
      </c>
      <c r="I1069">
        <f>'Audit Report'!D1069</f>
        <v>0</v>
      </c>
      <c r="J1069">
        <f>'Audit Report'!H1069</f>
        <v>0</v>
      </c>
      <c r="L1069" t="str">
        <f>_xlfn.TEXTJOIN(", ", TRUE, 'Audit Report'!K1069,'Audit Report'!L1069,'Audit Report'!M1069)</f>
        <v/>
      </c>
      <c r="M1069">
        <f>'Audit Report'!O1069</f>
        <v>0</v>
      </c>
      <c r="N1069" t="str" cm="1">
        <f t="array" ref="N1069">IF(M1069="","",
_xlfn.TEXTJOIN(", ",TRUE,
    _xlfn.MAP(_xlfn.TEXTSPLIT(M1069,","),_xlfn.LAMBDA(_xlpm.x,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9">
        <f>'Audit Report'!F1069</f>
        <v>0</v>
      </c>
      <c r="S1069">
        <f>'Audit Report'!Q1069</f>
        <v>0</v>
      </c>
    </row>
    <row r="1070" spans="4:19">
      <c r="D1070">
        <f>'Audit Report'!B1070</f>
        <v>0</v>
      </c>
      <c r="E1070">
        <f>'Audit Report'!C1070</f>
        <v>0</v>
      </c>
      <c r="I1070">
        <f>'Audit Report'!D1070</f>
        <v>0</v>
      </c>
      <c r="J1070">
        <f>'Audit Report'!H1070</f>
        <v>0</v>
      </c>
      <c r="L1070" t="str">
        <f>_xlfn.TEXTJOIN(", ", TRUE, 'Audit Report'!K1070,'Audit Report'!L1070,'Audit Report'!M1070)</f>
        <v/>
      </c>
      <c r="M1070">
        <f>'Audit Report'!O1070</f>
        <v>0</v>
      </c>
      <c r="N1070" t="str" cm="1">
        <f t="array" ref="N1070">IF(M1070="","",
_xlfn.TEXTJOIN(", ",TRUE,
    _xlfn.MAP(_xlfn.TEXTSPLIT(M1070,","),_xlfn.LAMBDA(_xlpm.x,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0">
        <f>'Audit Report'!F1070</f>
        <v>0</v>
      </c>
      <c r="S1070">
        <f>'Audit Report'!Q1070</f>
        <v>0</v>
      </c>
    </row>
    <row r="1071" spans="4:19">
      <c r="D1071">
        <f>'Audit Report'!B1071</f>
        <v>0</v>
      </c>
      <c r="E1071">
        <f>'Audit Report'!C1071</f>
        <v>0</v>
      </c>
      <c r="I1071">
        <f>'Audit Report'!D1071</f>
        <v>0</v>
      </c>
      <c r="J1071">
        <f>'Audit Report'!H1071</f>
        <v>0</v>
      </c>
      <c r="L1071" t="str">
        <f>_xlfn.TEXTJOIN(", ", TRUE, 'Audit Report'!K1071,'Audit Report'!L1071,'Audit Report'!M1071)</f>
        <v/>
      </c>
      <c r="M1071">
        <f>'Audit Report'!O1071</f>
        <v>0</v>
      </c>
      <c r="N1071" t="str" cm="1">
        <f t="array" ref="N1071">IF(M1071="","",
_xlfn.TEXTJOIN(", ",TRUE,
    _xlfn.MAP(_xlfn.TEXTSPLIT(M1071,","),_xlfn.LAMBDA(_xlpm.x,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1">
        <f>'Audit Report'!F1071</f>
        <v>0</v>
      </c>
      <c r="S1071">
        <f>'Audit Report'!Q1071</f>
        <v>0</v>
      </c>
    </row>
    <row r="1072" spans="4:19">
      <c r="D1072">
        <f>'Audit Report'!B1072</f>
        <v>0</v>
      </c>
      <c r="E1072">
        <f>'Audit Report'!C1072</f>
        <v>0</v>
      </c>
      <c r="I1072">
        <f>'Audit Report'!D1072</f>
        <v>0</v>
      </c>
      <c r="J1072">
        <f>'Audit Report'!H1072</f>
        <v>0</v>
      </c>
      <c r="L1072" t="str">
        <f>_xlfn.TEXTJOIN(", ", TRUE, 'Audit Report'!K1072,'Audit Report'!L1072,'Audit Report'!M1072)</f>
        <v/>
      </c>
      <c r="M1072">
        <f>'Audit Report'!O1072</f>
        <v>0</v>
      </c>
      <c r="N1072" t="str" cm="1">
        <f t="array" ref="N1072">IF(M1072="","",
_xlfn.TEXTJOIN(", ",TRUE,
    _xlfn.MAP(_xlfn.TEXTSPLIT(M1072,","),_xlfn.LAMBDA(_xlpm.x,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2">
        <f>'Audit Report'!F1072</f>
        <v>0</v>
      </c>
      <c r="S1072">
        <f>'Audit Report'!Q1072</f>
        <v>0</v>
      </c>
    </row>
    <row r="1073" spans="4:19">
      <c r="D1073">
        <f>'Audit Report'!B1073</f>
        <v>0</v>
      </c>
      <c r="E1073">
        <f>'Audit Report'!C1073</f>
        <v>0</v>
      </c>
      <c r="I1073">
        <f>'Audit Report'!D1073</f>
        <v>0</v>
      </c>
      <c r="J1073">
        <f>'Audit Report'!H1073</f>
        <v>0</v>
      </c>
      <c r="L1073" t="str">
        <f>_xlfn.TEXTJOIN(", ", TRUE, 'Audit Report'!K1073,'Audit Report'!L1073,'Audit Report'!M1073)</f>
        <v/>
      </c>
      <c r="M1073">
        <f>'Audit Report'!O1073</f>
        <v>0</v>
      </c>
      <c r="N1073" t="str" cm="1">
        <f t="array" ref="N1073">IF(M1073="","",
_xlfn.TEXTJOIN(", ",TRUE,
    _xlfn.MAP(_xlfn.TEXTSPLIT(M1073,","),_xlfn.LAMBDA(_xlpm.x,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3">
        <f>'Audit Report'!F1073</f>
        <v>0</v>
      </c>
      <c r="S1073">
        <f>'Audit Report'!Q1073</f>
        <v>0</v>
      </c>
    </row>
    <row r="1074" spans="4:19">
      <c r="D1074">
        <f>'Audit Report'!B1074</f>
        <v>0</v>
      </c>
      <c r="E1074">
        <f>'Audit Report'!C1074</f>
        <v>0</v>
      </c>
      <c r="I1074">
        <f>'Audit Report'!D1074</f>
        <v>0</v>
      </c>
      <c r="J1074">
        <f>'Audit Report'!H1074</f>
        <v>0</v>
      </c>
      <c r="L1074" t="str">
        <f>_xlfn.TEXTJOIN(", ", TRUE, 'Audit Report'!K1074,'Audit Report'!L1074,'Audit Report'!M1074)</f>
        <v/>
      </c>
      <c r="M1074">
        <f>'Audit Report'!O1074</f>
        <v>0</v>
      </c>
      <c r="N1074" t="str" cm="1">
        <f t="array" ref="N1074">IF(M1074="","",
_xlfn.TEXTJOIN(", ",TRUE,
    _xlfn.MAP(_xlfn.TEXTSPLIT(M1074,","),_xlfn.LAMBDA(_xlpm.x,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4">
        <f>'Audit Report'!F1074</f>
        <v>0</v>
      </c>
      <c r="S1074">
        <f>'Audit Report'!Q1074</f>
        <v>0</v>
      </c>
    </row>
    <row r="1075" spans="4:19">
      <c r="D1075">
        <f>'Audit Report'!B1075</f>
        <v>0</v>
      </c>
      <c r="E1075">
        <f>'Audit Report'!C1075</f>
        <v>0</v>
      </c>
      <c r="I1075">
        <f>'Audit Report'!D1075</f>
        <v>0</v>
      </c>
      <c r="J1075">
        <f>'Audit Report'!H1075</f>
        <v>0</v>
      </c>
      <c r="L1075" t="str">
        <f>_xlfn.TEXTJOIN(", ", TRUE, 'Audit Report'!K1075,'Audit Report'!L1075,'Audit Report'!M1075)</f>
        <v/>
      </c>
      <c r="M1075">
        <f>'Audit Report'!O1075</f>
        <v>0</v>
      </c>
      <c r="N1075" t="str" cm="1">
        <f t="array" ref="N1075">IF(M1075="","",
_xlfn.TEXTJOIN(", ",TRUE,
    _xlfn.MAP(_xlfn.TEXTSPLIT(M1075,","),_xlfn.LAMBDA(_xlpm.x,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5">
        <f>'Audit Report'!F1075</f>
        <v>0</v>
      </c>
      <c r="S1075">
        <f>'Audit Report'!Q1075</f>
        <v>0</v>
      </c>
    </row>
    <row r="1076" spans="4:19">
      <c r="D1076">
        <f>'Audit Report'!B1076</f>
        <v>0</v>
      </c>
      <c r="E1076">
        <f>'Audit Report'!C1076</f>
        <v>0</v>
      </c>
      <c r="I1076">
        <f>'Audit Report'!D1076</f>
        <v>0</v>
      </c>
      <c r="J1076">
        <f>'Audit Report'!H1076</f>
        <v>0</v>
      </c>
      <c r="L1076" t="str">
        <f>_xlfn.TEXTJOIN(", ", TRUE, 'Audit Report'!K1076,'Audit Report'!L1076,'Audit Report'!M1076)</f>
        <v/>
      </c>
      <c r="M1076">
        <f>'Audit Report'!O1076</f>
        <v>0</v>
      </c>
      <c r="N1076" t="str" cm="1">
        <f t="array" ref="N1076">IF(M1076="","",
_xlfn.TEXTJOIN(", ",TRUE,
    _xlfn.MAP(_xlfn.TEXTSPLIT(M1076,","),_xlfn.LAMBDA(_xlpm.x,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6">
        <f>'Audit Report'!F1076</f>
        <v>0</v>
      </c>
      <c r="S1076">
        <f>'Audit Report'!Q1076</f>
        <v>0</v>
      </c>
    </row>
    <row r="1077" spans="4:19">
      <c r="D1077">
        <f>'Audit Report'!B1077</f>
        <v>0</v>
      </c>
      <c r="E1077">
        <f>'Audit Report'!C1077</f>
        <v>0</v>
      </c>
      <c r="I1077">
        <f>'Audit Report'!D1077</f>
        <v>0</v>
      </c>
      <c r="J1077">
        <f>'Audit Report'!H1077</f>
        <v>0</v>
      </c>
      <c r="L1077" t="str">
        <f>_xlfn.TEXTJOIN(", ", TRUE, 'Audit Report'!K1077,'Audit Report'!L1077,'Audit Report'!M1077)</f>
        <v/>
      </c>
      <c r="M1077">
        <f>'Audit Report'!O1077</f>
        <v>0</v>
      </c>
      <c r="N1077" t="str" cm="1">
        <f t="array" ref="N1077">IF(M1077="","",
_xlfn.TEXTJOIN(", ",TRUE,
    _xlfn.MAP(_xlfn.TEXTSPLIT(M1077,","),_xlfn.LAMBDA(_xlpm.x,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7">
        <f>'Audit Report'!F1077</f>
        <v>0</v>
      </c>
      <c r="S1077">
        <f>'Audit Report'!Q1077</f>
        <v>0</v>
      </c>
    </row>
    <row r="1078" spans="4:19">
      <c r="D1078">
        <f>'Audit Report'!B1078</f>
        <v>0</v>
      </c>
      <c r="E1078">
        <f>'Audit Report'!C1078</f>
        <v>0</v>
      </c>
      <c r="I1078">
        <f>'Audit Report'!D1078</f>
        <v>0</v>
      </c>
      <c r="J1078">
        <f>'Audit Report'!H1078</f>
        <v>0</v>
      </c>
      <c r="L1078" t="str">
        <f>_xlfn.TEXTJOIN(", ", TRUE, 'Audit Report'!K1078,'Audit Report'!L1078,'Audit Report'!M1078)</f>
        <v/>
      </c>
      <c r="M1078">
        <f>'Audit Report'!O1078</f>
        <v>0</v>
      </c>
      <c r="N1078" t="str" cm="1">
        <f t="array" ref="N1078">IF(M1078="","",
_xlfn.TEXTJOIN(", ",TRUE,
    _xlfn.MAP(_xlfn.TEXTSPLIT(M1078,","),_xlfn.LAMBDA(_xlpm.x,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8">
        <f>'Audit Report'!F1078</f>
        <v>0</v>
      </c>
      <c r="S1078">
        <f>'Audit Report'!Q1078</f>
        <v>0</v>
      </c>
    </row>
    <row r="1079" spans="4:19">
      <c r="D1079">
        <f>'Audit Report'!B1079</f>
        <v>0</v>
      </c>
      <c r="E1079">
        <f>'Audit Report'!C1079</f>
        <v>0</v>
      </c>
      <c r="I1079">
        <f>'Audit Report'!D1079</f>
        <v>0</v>
      </c>
      <c r="J1079">
        <f>'Audit Report'!H1079</f>
        <v>0</v>
      </c>
      <c r="L1079" t="str">
        <f>_xlfn.TEXTJOIN(", ", TRUE, 'Audit Report'!K1079,'Audit Report'!L1079,'Audit Report'!M1079)</f>
        <v/>
      </c>
      <c r="M1079">
        <f>'Audit Report'!O1079</f>
        <v>0</v>
      </c>
      <c r="N1079" t="str" cm="1">
        <f t="array" ref="N1079">IF(M1079="","",
_xlfn.TEXTJOIN(", ",TRUE,
    _xlfn.MAP(_xlfn.TEXTSPLIT(M1079,","),_xlfn.LAMBDA(_xlpm.x,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9">
        <f>'Audit Report'!F1079</f>
        <v>0</v>
      </c>
      <c r="S1079">
        <f>'Audit Report'!Q1079</f>
        <v>0</v>
      </c>
    </row>
    <row r="1080" spans="4:19">
      <c r="D1080">
        <f>'Audit Report'!B1080</f>
        <v>0</v>
      </c>
      <c r="E1080">
        <f>'Audit Report'!C1080</f>
        <v>0</v>
      </c>
      <c r="I1080">
        <f>'Audit Report'!D1080</f>
        <v>0</v>
      </c>
      <c r="J1080">
        <f>'Audit Report'!H1080</f>
        <v>0</v>
      </c>
      <c r="L1080" t="str">
        <f>_xlfn.TEXTJOIN(", ", TRUE, 'Audit Report'!K1080,'Audit Report'!L1080,'Audit Report'!M1080)</f>
        <v/>
      </c>
      <c r="M1080">
        <f>'Audit Report'!O1080</f>
        <v>0</v>
      </c>
      <c r="N1080" t="str" cm="1">
        <f t="array" ref="N1080">IF(M1080="","",
_xlfn.TEXTJOIN(", ",TRUE,
    _xlfn.MAP(_xlfn.TEXTSPLIT(M1080,","),_xlfn.LAMBDA(_xlpm.x,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0">
        <f>'Audit Report'!F1080</f>
        <v>0</v>
      </c>
      <c r="S1080">
        <f>'Audit Report'!Q1080</f>
        <v>0</v>
      </c>
    </row>
    <row r="1081" spans="4:19">
      <c r="D1081">
        <f>'Audit Report'!B1081</f>
        <v>0</v>
      </c>
      <c r="E1081">
        <f>'Audit Report'!C1081</f>
        <v>0</v>
      </c>
      <c r="I1081">
        <f>'Audit Report'!D1081</f>
        <v>0</v>
      </c>
      <c r="J1081">
        <f>'Audit Report'!H1081</f>
        <v>0</v>
      </c>
      <c r="L1081" t="str">
        <f>_xlfn.TEXTJOIN(", ", TRUE, 'Audit Report'!K1081,'Audit Report'!L1081,'Audit Report'!M1081)</f>
        <v/>
      </c>
      <c r="M1081">
        <f>'Audit Report'!O1081</f>
        <v>0</v>
      </c>
      <c r="N1081" t="str" cm="1">
        <f t="array" ref="N1081">IF(M1081="","",
_xlfn.TEXTJOIN(", ",TRUE,
    _xlfn.MAP(_xlfn.TEXTSPLIT(M1081,","),_xlfn.LAMBDA(_xlpm.x,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1">
        <f>'Audit Report'!F1081</f>
        <v>0</v>
      </c>
      <c r="S1081">
        <f>'Audit Report'!Q1081</f>
        <v>0</v>
      </c>
    </row>
    <row r="1082" spans="4:19">
      <c r="D1082">
        <f>'Audit Report'!B1082</f>
        <v>0</v>
      </c>
      <c r="E1082">
        <f>'Audit Report'!C1082</f>
        <v>0</v>
      </c>
      <c r="I1082">
        <f>'Audit Report'!D1082</f>
        <v>0</v>
      </c>
      <c r="J1082">
        <f>'Audit Report'!H1082</f>
        <v>0</v>
      </c>
      <c r="L1082" t="str">
        <f>_xlfn.TEXTJOIN(", ", TRUE, 'Audit Report'!K1082,'Audit Report'!L1082,'Audit Report'!M1082)</f>
        <v/>
      </c>
      <c r="M1082">
        <f>'Audit Report'!O1082</f>
        <v>0</v>
      </c>
      <c r="N1082" t="str" cm="1">
        <f t="array" ref="N1082">IF(M1082="","",
_xlfn.TEXTJOIN(", ",TRUE,
    _xlfn.MAP(_xlfn.TEXTSPLIT(M1082,","),_xlfn.LAMBDA(_xlpm.x,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2">
        <f>'Audit Report'!F1082</f>
        <v>0</v>
      </c>
      <c r="S1082">
        <f>'Audit Report'!Q1082</f>
        <v>0</v>
      </c>
    </row>
    <row r="1083" spans="4:19">
      <c r="D1083">
        <f>'Audit Report'!B1083</f>
        <v>0</v>
      </c>
      <c r="E1083">
        <f>'Audit Report'!C1083</f>
        <v>0</v>
      </c>
      <c r="I1083">
        <f>'Audit Report'!D1083</f>
        <v>0</v>
      </c>
      <c r="J1083">
        <f>'Audit Report'!H1083</f>
        <v>0</v>
      </c>
      <c r="L1083" t="str">
        <f>_xlfn.TEXTJOIN(", ", TRUE, 'Audit Report'!K1083,'Audit Report'!L1083,'Audit Report'!M1083)</f>
        <v/>
      </c>
      <c r="M1083">
        <f>'Audit Report'!O1083</f>
        <v>0</v>
      </c>
      <c r="N1083" t="str" cm="1">
        <f t="array" ref="N1083">IF(M1083="","",
_xlfn.TEXTJOIN(", ",TRUE,
    _xlfn.MAP(_xlfn.TEXTSPLIT(M1083,","),_xlfn.LAMBDA(_xlpm.x,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3">
        <f>'Audit Report'!F1083</f>
        <v>0</v>
      </c>
      <c r="S1083">
        <f>'Audit Report'!Q1083</f>
        <v>0</v>
      </c>
    </row>
    <row r="1084" spans="4:19">
      <c r="D1084">
        <f>'Audit Report'!B1084</f>
        <v>0</v>
      </c>
      <c r="E1084">
        <f>'Audit Report'!C1084</f>
        <v>0</v>
      </c>
      <c r="I1084">
        <f>'Audit Report'!D1084</f>
        <v>0</v>
      </c>
      <c r="J1084">
        <f>'Audit Report'!H1084</f>
        <v>0</v>
      </c>
      <c r="L1084" t="str">
        <f>_xlfn.TEXTJOIN(", ", TRUE, 'Audit Report'!K1084,'Audit Report'!L1084,'Audit Report'!M1084)</f>
        <v/>
      </c>
      <c r="M1084">
        <f>'Audit Report'!O1084</f>
        <v>0</v>
      </c>
      <c r="N1084" t="str" cm="1">
        <f t="array" ref="N1084">IF(M1084="","",
_xlfn.TEXTJOIN(", ",TRUE,
    _xlfn.MAP(_xlfn.TEXTSPLIT(M1084,","),_xlfn.LAMBDA(_xlpm.x,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4">
        <f>'Audit Report'!F1084</f>
        <v>0</v>
      </c>
      <c r="S1084">
        <f>'Audit Report'!Q1084</f>
        <v>0</v>
      </c>
    </row>
    <row r="1085" spans="4:19">
      <c r="D1085">
        <f>'Audit Report'!B1085</f>
        <v>0</v>
      </c>
      <c r="E1085">
        <f>'Audit Report'!C1085</f>
        <v>0</v>
      </c>
      <c r="I1085">
        <f>'Audit Report'!D1085</f>
        <v>0</v>
      </c>
      <c r="J1085">
        <f>'Audit Report'!H1085</f>
        <v>0</v>
      </c>
      <c r="L1085" t="str">
        <f>_xlfn.TEXTJOIN(", ", TRUE, 'Audit Report'!K1085,'Audit Report'!L1085,'Audit Report'!M1085)</f>
        <v/>
      </c>
      <c r="M1085">
        <f>'Audit Report'!O1085</f>
        <v>0</v>
      </c>
      <c r="N1085" t="str" cm="1">
        <f t="array" ref="N1085">IF(M1085="","",
_xlfn.TEXTJOIN(", ",TRUE,
    _xlfn.MAP(_xlfn.TEXTSPLIT(M1085,","),_xlfn.LAMBDA(_xlpm.x,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5">
        <f>'Audit Report'!F1085</f>
        <v>0</v>
      </c>
      <c r="S1085">
        <f>'Audit Report'!Q1085</f>
        <v>0</v>
      </c>
    </row>
    <row r="1086" spans="4:19">
      <c r="D1086">
        <f>'Audit Report'!B1086</f>
        <v>0</v>
      </c>
      <c r="E1086">
        <f>'Audit Report'!C1086</f>
        <v>0</v>
      </c>
      <c r="I1086">
        <f>'Audit Report'!D1086</f>
        <v>0</v>
      </c>
      <c r="J1086">
        <f>'Audit Report'!H1086</f>
        <v>0</v>
      </c>
      <c r="L1086" t="str">
        <f>_xlfn.TEXTJOIN(", ", TRUE, 'Audit Report'!K1086,'Audit Report'!L1086,'Audit Report'!M1086)</f>
        <v/>
      </c>
      <c r="M1086">
        <f>'Audit Report'!O1086</f>
        <v>0</v>
      </c>
      <c r="N1086" t="str" cm="1">
        <f t="array" ref="N1086">IF(M1086="","",
_xlfn.TEXTJOIN(", ",TRUE,
    _xlfn.MAP(_xlfn.TEXTSPLIT(M1086,","),_xlfn.LAMBDA(_xlpm.x,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6">
        <f>'Audit Report'!F1086</f>
        <v>0</v>
      </c>
      <c r="S1086">
        <f>'Audit Report'!Q1086</f>
        <v>0</v>
      </c>
    </row>
    <row r="1087" spans="4:19">
      <c r="D1087">
        <f>'Audit Report'!B1087</f>
        <v>0</v>
      </c>
      <c r="E1087">
        <f>'Audit Report'!C1087</f>
        <v>0</v>
      </c>
      <c r="I1087">
        <f>'Audit Report'!D1087</f>
        <v>0</v>
      </c>
      <c r="J1087">
        <f>'Audit Report'!H1087</f>
        <v>0</v>
      </c>
      <c r="L1087" t="str">
        <f>_xlfn.TEXTJOIN(", ", TRUE, 'Audit Report'!K1087,'Audit Report'!L1087,'Audit Report'!M1087)</f>
        <v/>
      </c>
      <c r="M1087">
        <f>'Audit Report'!O1087</f>
        <v>0</v>
      </c>
      <c r="N1087" t="str" cm="1">
        <f t="array" ref="N1087">IF(M1087="","",
_xlfn.TEXTJOIN(", ",TRUE,
    _xlfn.MAP(_xlfn.TEXTSPLIT(M1087,","),_xlfn.LAMBDA(_xlpm.x,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7">
        <f>'Audit Report'!F1087</f>
        <v>0</v>
      </c>
      <c r="S1087">
        <f>'Audit Report'!Q1087</f>
        <v>0</v>
      </c>
    </row>
    <row r="1088" spans="4:19">
      <c r="D1088">
        <f>'Audit Report'!B1088</f>
        <v>0</v>
      </c>
      <c r="E1088">
        <f>'Audit Report'!C1088</f>
        <v>0</v>
      </c>
      <c r="I1088">
        <f>'Audit Report'!D1088</f>
        <v>0</v>
      </c>
      <c r="J1088">
        <f>'Audit Report'!H1088</f>
        <v>0</v>
      </c>
      <c r="L1088" t="str">
        <f>_xlfn.TEXTJOIN(", ", TRUE, 'Audit Report'!K1088,'Audit Report'!L1088,'Audit Report'!M1088)</f>
        <v/>
      </c>
      <c r="M1088">
        <f>'Audit Report'!O1088</f>
        <v>0</v>
      </c>
      <c r="N1088" t="str" cm="1">
        <f t="array" ref="N1088">IF(M1088="","",
_xlfn.TEXTJOIN(", ",TRUE,
    _xlfn.MAP(_xlfn.TEXTSPLIT(M1088,","),_xlfn.LAMBDA(_xlpm.x,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8">
        <f>'Audit Report'!F1088</f>
        <v>0</v>
      </c>
      <c r="S1088">
        <f>'Audit Report'!Q1088</f>
        <v>0</v>
      </c>
    </row>
    <row r="1089" spans="4:19">
      <c r="D1089">
        <f>'Audit Report'!B1089</f>
        <v>0</v>
      </c>
      <c r="E1089">
        <f>'Audit Report'!C1089</f>
        <v>0</v>
      </c>
      <c r="I1089">
        <f>'Audit Report'!D1089</f>
        <v>0</v>
      </c>
      <c r="J1089">
        <f>'Audit Report'!H1089</f>
        <v>0</v>
      </c>
      <c r="L1089" t="str">
        <f>_xlfn.TEXTJOIN(", ", TRUE, 'Audit Report'!K1089,'Audit Report'!L1089,'Audit Report'!M1089)</f>
        <v/>
      </c>
      <c r="M1089">
        <f>'Audit Report'!O1089</f>
        <v>0</v>
      </c>
      <c r="N1089" t="str" cm="1">
        <f t="array" ref="N1089">IF(M1089="","",
_xlfn.TEXTJOIN(", ",TRUE,
    _xlfn.MAP(_xlfn.TEXTSPLIT(M1089,","),_xlfn.LAMBDA(_xlpm.x,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9">
        <f>'Audit Report'!F1089</f>
        <v>0</v>
      </c>
      <c r="S1089">
        <f>'Audit Report'!Q1089</f>
        <v>0</v>
      </c>
    </row>
    <row r="1090" spans="4:19">
      <c r="D1090">
        <f>'Audit Report'!B1090</f>
        <v>0</v>
      </c>
      <c r="E1090">
        <f>'Audit Report'!C1090</f>
        <v>0</v>
      </c>
      <c r="I1090">
        <f>'Audit Report'!D1090</f>
        <v>0</v>
      </c>
      <c r="J1090">
        <f>'Audit Report'!H1090</f>
        <v>0</v>
      </c>
      <c r="L1090" t="str">
        <f>_xlfn.TEXTJOIN(", ", TRUE, 'Audit Report'!K1090,'Audit Report'!L1090,'Audit Report'!M1090)</f>
        <v/>
      </c>
      <c r="M1090">
        <f>'Audit Report'!O1090</f>
        <v>0</v>
      </c>
      <c r="N1090" t="str" cm="1">
        <f t="array" ref="N1090">IF(M1090="","",
_xlfn.TEXTJOIN(", ",TRUE,
    _xlfn.MAP(_xlfn.TEXTSPLIT(M1090,","),_xlfn.LAMBDA(_xlpm.x,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0">
        <f>'Audit Report'!F1090</f>
        <v>0</v>
      </c>
      <c r="S1090">
        <f>'Audit Report'!Q1090</f>
        <v>0</v>
      </c>
    </row>
    <row r="1091" spans="4:19">
      <c r="D1091">
        <f>'Audit Report'!B1091</f>
        <v>0</v>
      </c>
      <c r="E1091">
        <f>'Audit Report'!C1091</f>
        <v>0</v>
      </c>
      <c r="I1091">
        <f>'Audit Report'!D1091</f>
        <v>0</v>
      </c>
      <c r="J1091">
        <f>'Audit Report'!H1091</f>
        <v>0</v>
      </c>
      <c r="L1091" t="str">
        <f>_xlfn.TEXTJOIN(", ", TRUE, 'Audit Report'!K1091,'Audit Report'!L1091,'Audit Report'!M1091)</f>
        <v/>
      </c>
      <c r="M1091">
        <f>'Audit Report'!O1091</f>
        <v>0</v>
      </c>
      <c r="N1091" t="str" cm="1">
        <f t="array" ref="N1091">IF(M1091="","",
_xlfn.TEXTJOIN(", ",TRUE,
    _xlfn.MAP(_xlfn.TEXTSPLIT(M1091,","),_xlfn.LAMBDA(_xlpm.x,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1">
        <f>'Audit Report'!F1091</f>
        <v>0</v>
      </c>
      <c r="S1091">
        <f>'Audit Report'!Q1091</f>
        <v>0</v>
      </c>
    </row>
    <row r="1092" spans="4:19">
      <c r="D1092">
        <f>'Audit Report'!B1092</f>
        <v>0</v>
      </c>
      <c r="E1092">
        <f>'Audit Report'!C1092</f>
        <v>0</v>
      </c>
      <c r="I1092">
        <f>'Audit Report'!D1092</f>
        <v>0</v>
      </c>
      <c r="J1092">
        <f>'Audit Report'!H1092</f>
        <v>0</v>
      </c>
      <c r="L1092" t="str">
        <f>_xlfn.TEXTJOIN(", ", TRUE, 'Audit Report'!K1092,'Audit Report'!L1092,'Audit Report'!M1092)</f>
        <v/>
      </c>
      <c r="M1092">
        <f>'Audit Report'!O1092</f>
        <v>0</v>
      </c>
      <c r="N1092" t="str" cm="1">
        <f t="array" ref="N1092">IF(M1092="","",
_xlfn.TEXTJOIN(", ",TRUE,
    _xlfn.MAP(_xlfn.TEXTSPLIT(M1092,","),_xlfn.LAMBDA(_xlpm.x,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2">
        <f>'Audit Report'!F1092</f>
        <v>0</v>
      </c>
      <c r="S1092">
        <f>'Audit Report'!Q1092</f>
        <v>0</v>
      </c>
    </row>
    <row r="1093" spans="4:19">
      <c r="D1093">
        <f>'Audit Report'!B1093</f>
        <v>0</v>
      </c>
      <c r="E1093">
        <f>'Audit Report'!C1093</f>
        <v>0</v>
      </c>
      <c r="I1093">
        <f>'Audit Report'!D1093</f>
        <v>0</v>
      </c>
      <c r="J1093">
        <f>'Audit Report'!H1093</f>
        <v>0</v>
      </c>
      <c r="L1093" t="str">
        <f>_xlfn.TEXTJOIN(", ", TRUE, 'Audit Report'!K1093,'Audit Report'!L1093,'Audit Report'!M1093)</f>
        <v/>
      </c>
      <c r="M1093">
        <f>'Audit Report'!O1093</f>
        <v>0</v>
      </c>
      <c r="N1093" t="str" cm="1">
        <f t="array" ref="N1093">IF(M1093="","",
_xlfn.TEXTJOIN(", ",TRUE,
    _xlfn.MAP(_xlfn.TEXTSPLIT(M1093,","),_xlfn.LAMBDA(_xlpm.x,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3">
        <f>'Audit Report'!F1093</f>
        <v>0</v>
      </c>
      <c r="S1093">
        <f>'Audit Report'!Q1093</f>
        <v>0</v>
      </c>
    </row>
    <row r="1094" spans="4:19">
      <c r="D1094">
        <f>'Audit Report'!B1094</f>
        <v>0</v>
      </c>
      <c r="E1094">
        <f>'Audit Report'!C1094</f>
        <v>0</v>
      </c>
      <c r="I1094">
        <f>'Audit Report'!D1094</f>
        <v>0</v>
      </c>
      <c r="J1094">
        <f>'Audit Report'!H1094</f>
        <v>0</v>
      </c>
      <c r="L1094" t="str">
        <f>_xlfn.TEXTJOIN(", ", TRUE, 'Audit Report'!K1094,'Audit Report'!L1094,'Audit Report'!M1094)</f>
        <v/>
      </c>
      <c r="M1094">
        <f>'Audit Report'!O1094</f>
        <v>0</v>
      </c>
      <c r="N1094" t="str" cm="1">
        <f t="array" ref="N1094">IF(M1094="","",
_xlfn.TEXTJOIN(", ",TRUE,
    _xlfn.MAP(_xlfn.TEXTSPLIT(M1094,","),_xlfn.LAMBDA(_xlpm.x,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4">
        <f>'Audit Report'!F1094</f>
        <v>0</v>
      </c>
      <c r="S1094">
        <f>'Audit Report'!Q1094</f>
        <v>0</v>
      </c>
    </row>
    <row r="1095" spans="4:19">
      <c r="D1095">
        <f>'Audit Report'!B1095</f>
        <v>0</v>
      </c>
      <c r="E1095">
        <f>'Audit Report'!C1095</f>
        <v>0</v>
      </c>
      <c r="I1095">
        <f>'Audit Report'!D1095</f>
        <v>0</v>
      </c>
      <c r="J1095">
        <f>'Audit Report'!H1095</f>
        <v>0</v>
      </c>
      <c r="L1095" t="str">
        <f>_xlfn.TEXTJOIN(", ", TRUE, 'Audit Report'!K1095,'Audit Report'!L1095,'Audit Report'!M1095)</f>
        <v/>
      </c>
      <c r="M1095">
        <f>'Audit Report'!O1095</f>
        <v>0</v>
      </c>
      <c r="N1095" t="str" cm="1">
        <f t="array" ref="N1095">IF(M1095="","",
_xlfn.TEXTJOIN(", ",TRUE,
    _xlfn.MAP(_xlfn.TEXTSPLIT(M1095,","),_xlfn.LAMBDA(_xlpm.x,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5">
        <f>'Audit Report'!F1095</f>
        <v>0</v>
      </c>
      <c r="S1095">
        <f>'Audit Report'!Q1095</f>
        <v>0</v>
      </c>
    </row>
    <row r="1096" spans="4:19">
      <c r="D1096">
        <f>'Audit Report'!B1096</f>
        <v>0</v>
      </c>
      <c r="E1096">
        <f>'Audit Report'!C1096</f>
        <v>0</v>
      </c>
      <c r="I1096">
        <f>'Audit Report'!D1096</f>
        <v>0</v>
      </c>
      <c r="J1096">
        <f>'Audit Report'!H1096</f>
        <v>0</v>
      </c>
      <c r="L1096" t="str">
        <f>_xlfn.TEXTJOIN(", ", TRUE, 'Audit Report'!K1096,'Audit Report'!L1096,'Audit Report'!M1096)</f>
        <v/>
      </c>
      <c r="M1096">
        <f>'Audit Report'!O1096</f>
        <v>0</v>
      </c>
      <c r="N1096" t="str" cm="1">
        <f t="array" ref="N1096">IF(M1096="","",
_xlfn.TEXTJOIN(", ",TRUE,
    _xlfn.MAP(_xlfn.TEXTSPLIT(M1096,","),_xlfn.LAMBDA(_xlpm.x,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6">
        <f>'Audit Report'!F1096</f>
        <v>0</v>
      </c>
      <c r="S1096">
        <f>'Audit Report'!Q1096</f>
        <v>0</v>
      </c>
    </row>
    <row r="1097" spans="4:19">
      <c r="D1097">
        <f>'Audit Report'!B1097</f>
        <v>0</v>
      </c>
      <c r="E1097">
        <f>'Audit Report'!C1097</f>
        <v>0</v>
      </c>
      <c r="I1097">
        <f>'Audit Report'!D1097</f>
        <v>0</v>
      </c>
      <c r="J1097">
        <f>'Audit Report'!H1097</f>
        <v>0</v>
      </c>
      <c r="L1097" t="str">
        <f>_xlfn.TEXTJOIN(", ", TRUE, 'Audit Report'!K1097,'Audit Report'!L1097,'Audit Report'!M1097)</f>
        <v/>
      </c>
      <c r="M1097">
        <f>'Audit Report'!O1097</f>
        <v>0</v>
      </c>
      <c r="N1097" t="str" cm="1">
        <f t="array" ref="N1097">IF(M1097="","",
_xlfn.TEXTJOIN(", ",TRUE,
    _xlfn.MAP(_xlfn.TEXTSPLIT(M1097,","),_xlfn.LAMBDA(_xlpm.x,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7">
        <f>'Audit Report'!F1097</f>
        <v>0</v>
      </c>
      <c r="S1097">
        <f>'Audit Report'!Q1097</f>
        <v>0</v>
      </c>
    </row>
    <row r="1098" spans="4:19">
      <c r="D1098">
        <f>'Audit Report'!B1098</f>
        <v>0</v>
      </c>
      <c r="E1098">
        <f>'Audit Report'!C1098</f>
        <v>0</v>
      </c>
      <c r="I1098">
        <f>'Audit Report'!D1098</f>
        <v>0</v>
      </c>
      <c r="J1098">
        <f>'Audit Report'!H1098</f>
        <v>0</v>
      </c>
      <c r="L1098" t="str">
        <f>_xlfn.TEXTJOIN(", ", TRUE, 'Audit Report'!K1098,'Audit Report'!L1098,'Audit Report'!M1098)</f>
        <v/>
      </c>
      <c r="M1098">
        <f>'Audit Report'!O1098</f>
        <v>0</v>
      </c>
      <c r="N1098" t="str" cm="1">
        <f t="array" ref="N1098">IF(M1098="","",
_xlfn.TEXTJOIN(", ",TRUE,
    _xlfn.MAP(_xlfn.TEXTSPLIT(M1098,","),_xlfn.LAMBDA(_xlpm.x,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8">
        <f>'Audit Report'!F1098</f>
        <v>0</v>
      </c>
      <c r="S1098">
        <f>'Audit Report'!Q1098</f>
        <v>0</v>
      </c>
    </row>
    <row r="1099" spans="4:19">
      <c r="D1099">
        <f>'Audit Report'!B1099</f>
        <v>0</v>
      </c>
      <c r="E1099">
        <f>'Audit Report'!C1099</f>
        <v>0</v>
      </c>
      <c r="I1099">
        <f>'Audit Report'!D1099</f>
        <v>0</v>
      </c>
      <c r="J1099">
        <f>'Audit Report'!H1099</f>
        <v>0</v>
      </c>
      <c r="L1099" t="str">
        <f>_xlfn.TEXTJOIN(", ", TRUE, 'Audit Report'!K1099,'Audit Report'!L1099,'Audit Report'!M1099)</f>
        <v/>
      </c>
      <c r="M1099">
        <f>'Audit Report'!O1099</f>
        <v>0</v>
      </c>
      <c r="N1099" t="str" cm="1">
        <f t="array" ref="N1099">IF(M1099="","",
_xlfn.TEXTJOIN(", ",TRUE,
    _xlfn.MAP(_xlfn.TEXTSPLIT(M1099,","),_xlfn.LAMBDA(_xlpm.x,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9">
        <f>'Audit Report'!F1099</f>
        <v>0</v>
      </c>
      <c r="S1099">
        <f>'Audit Report'!Q1099</f>
        <v>0</v>
      </c>
    </row>
    <row r="1100" spans="4:19">
      <c r="D1100">
        <f>'Audit Report'!B1100</f>
        <v>0</v>
      </c>
      <c r="E1100">
        <f>'Audit Report'!C1100</f>
        <v>0</v>
      </c>
      <c r="I1100">
        <f>'Audit Report'!D1100</f>
        <v>0</v>
      </c>
      <c r="J1100">
        <f>'Audit Report'!H1100</f>
        <v>0</v>
      </c>
      <c r="L1100" t="str">
        <f>_xlfn.TEXTJOIN(", ", TRUE, 'Audit Report'!K1100,'Audit Report'!L1100,'Audit Report'!M1100)</f>
        <v/>
      </c>
      <c r="M1100">
        <f>'Audit Report'!O1100</f>
        <v>0</v>
      </c>
      <c r="N1100" t="str" cm="1">
        <f t="array" ref="N1100">IF(M1100="","",
_xlfn.TEXTJOIN(", ",TRUE,
    _xlfn.MAP(_xlfn.TEXTSPLIT(M1100,","),_xlfn.LAMBDA(_xlpm.x,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0">
        <f>'Audit Report'!F1100</f>
        <v>0</v>
      </c>
      <c r="S1100">
        <f>'Audit Report'!Q1100</f>
        <v>0</v>
      </c>
    </row>
    <row r="1101" spans="4:19">
      <c r="D1101">
        <f>'Audit Report'!B1101</f>
        <v>0</v>
      </c>
      <c r="E1101">
        <f>'Audit Report'!C1101</f>
        <v>0</v>
      </c>
      <c r="I1101">
        <f>'Audit Report'!D1101</f>
        <v>0</v>
      </c>
      <c r="J1101">
        <f>'Audit Report'!H1101</f>
        <v>0</v>
      </c>
      <c r="L1101" t="str">
        <f>_xlfn.TEXTJOIN(", ", TRUE, 'Audit Report'!K1101,'Audit Report'!L1101,'Audit Report'!M1101)</f>
        <v/>
      </c>
      <c r="M1101">
        <f>'Audit Report'!O1101</f>
        <v>0</v>
      </c>
      <c r="N1101" t="str" cm="1">
        <f t="array" ref="N1101">IF(M1101="","",
_xlfn.TEXTJOIN(", ",TRUE,
    _xlfn.MAP(_xlfn.TEXTSPLIT(M1101,","),_xlfn.LAMBDA(_xlpm.x,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1">
        <f>'Audit Report'!F1101</f>
        <v>0</v>
      </c>
      <c r="S1101">
        <f>'Audit Report'!Q1101</f>
        <v>0</v>
      </c>
    </row>
    <row r="1102" spans="4:19">
      <c r="D1102">
        <f>'Audit Report'!B1102</f>
        <v>0</v>
      </c>
      <c r="E1102">
        <f>'Audit Report'!C1102</f>
        <v>0</v>
      </c>
      <c r="I1102">
        <f>'Audit Report'!D1102</f>
        <v>0</v>
      </c>
      <c r="J1102">
        <f>'Audit Report'!H1102</f>
        <v>0</v>
      </c>
      <c r="L1102" t="str">
        <f>_xlfn.TEXTJOIN(", ", TRUE, 'Audit Report'!K1102,'Audit Report'!L1102,'Audit Report'!M1102)</f>
        <v/>
      </c>
      <c r="M1102">
        <f>'Audit Report'!O1102</f>
        <v>0</v>
      </c>
      <c r="N1102" t="str" cm="1">
        <f t="array" ref="N1102">IF(M1102="","",
_xlfn.TEXTJOIN(", ",TRUE,
    _xlfn.MAP(_xlfn.TEXTSPLIT(M1102,","),_xlfn.LAMBDA(_xlpm.x,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2">
        <f>'Audit Report'!F1102</f>
        <v>0</v>
      </c>
      <c r="S1102">
        <f>'Audit Report'!Q1102</f>
        <v>0</v>
      </c>
    </row>
    <row r="1103" spans="4:19">
      <c r="D1103">
        <f>'Audit Report'!B1103</f>
        <v>0</v>
      </c>
      <c r="E1103">
        <f>'Audit Report'!C1103</f>
        <v>0</v>
      </c>
      <c r="I1103">
        <f>'Audit Report'!D1103</f>
        <v>0</v>
      </c>
      <c r="J1103">
        <f>'Audit Report'!H1103</f>
        <v>0</v>
      </c>
      <c r="L1103" t="str">
        <f>_xlfn.TEXTJOIN(", ", TRUE, 'Audit Report'!K1103,'Audit Report'!L1103,'Audit Report'!M1103)</f>
        <v/>
      </c>
      <c r="M1103">
        <f>'Audit Report'!O1103</f>
        <v>0</v>
      </c>
      <c r="N1103" t="str" cm="1">
        <f t="array" ref="N1103">IF(M1103="","",
_xlfn.TEXTJOIN(", ",TRUE,
    _xlfn.MAP(_xlfn.TEXTSPLIT(M1103,","),_xlfn.LAMBDA(_xlpm.x,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3">
        <f>'Audit Report'!F1103</f>
        <v>0</v>
      </c>
      <c r="S1103">
        <f>'Audit Report'!Q1103</f>
        <v>0</v>
      </c>
    </row>
    <row r="1104" spans="4:19">
      <c r="D1104">
        <f>'Audit Report'!B1104</f>
        <v>0</v>
      </c>
      <c r="E1104">
        <f>'Audit Report'!C1104</f>
        <v>0</v>
      </c>
      <c r="I1104">
        <f>'Audit Report'!D1104</f>
        <v>0</v>
      </c>
      <c r="J1104">
        <f>'Audit Report'!H1104</f>
        <v>0</v>
      </c>
      <c r="L1104" t="str">
        <f>_xlfn.TEXTJOIN(", ", TRUE, 'Audit Report'!K1104,'Audit Report'!L1104,'Audit Report'!M1104)</f>
        <v/>
      </c>
      <c r="M1104">
        <f>'Audit Report'!O1104</f>
        <v>0</v>
      </c>
      <c r="N1104" t="str" cm="1">
        <f t="array" ref="N1104">IF(M1104="","",
_xlfn.TEXTJOIN(", ",TRUE,
    _xlfn.MAP(_xlfn.TEXTSPLIT(M1104,","),_xlfn.LAMBDA(_xlpm.x,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4">
        <f>'Audit Report'!F1104</f>
        <v>0</v>
      </c>
      <c r="S1104">
        <f>'Audit Report'!Q1104</f>
        <v>0</v>
      </c>
    </row>
    <row r="1105" spans="4:19">
      <c r="D1105">
        <f>'Audit Report'!B1105</f>
        <v>0</v>
      </c>
      <c r="E1105">
        <f>'Audit Report'!C1105</f>
        <v>0</v>
      </c>
      <c r="I1105">
        <f>'Audit Report'!D1105</f>
        <v>0</v>
      </c>
      <c r="J1105">
        <f>'Audit Report'!H1105</f>
        <v>0</v>
      </c>
      <c r="L1105" t="str">
        <f>_xlfn.TEXTJOIN(", ", TRUE, 'Audit Report'!K1105,'Audit Report'!L1105,'Audit Report'!M1105)</f>
        <v/>
      </c>
      <c r="M1105">
        <f>'Audit Report'!O1105</f>
        <v>0</v>
      </c>
      <c r="N1105" t="str" cm="1">
        <f t="array" ref="N1105">IF(M1105="","",
_xlfn.TEXTJOIN(", ",TRUE,
    _xlfn.MAP(_xlfn.TEXTSPLIT(M1105,","),_xlfn.LAMBDA(_xlpm.x,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5">
        <f>'Audit Report'!F1105</f>
        <v>0</v>
      </c>
      <c r="S1105">
        <f>'Audit Report'!Q1105</f>
        <v>0</v>
      </c>
    </row>
    <row r="1106" spans="4:19">
      <c r="D1106">
        <f>'Audit Report'!B1106</f>
        <v>0</v>
      </c>
      <c r="E1106">
        <f>'Audit Report'!C1106</f>
        <v>0</v>
      </c>
      <c r="I1106">
        <f>'Audit Report'!D1106</f>
        <v>0</v>
      </c>
      <c r="J1106">
        <f>'Audit Report'!H1106</f>
        <v>0</v>
      </c>
      <c r="L1106" t="str">
        <f>_xlfn.TEXTJOIN(", ", TRUE, 'Audit Report'!K1106,'Audit Report'!L1106,'Audit Report'!M1106)</f>
        <v/>
      </c>
      <c r="M1106">
        <f>'Audit Report'!O1106</f>
        <v>0</v>
      </c>
      <c r="N1106" t="str" cm="1">
        <f t="array" ref="N1106">IF(M1106="","",
_xlfn.TEXTJOIN(", ",TRUE,
    _xlfn.MAP(_xlfn.TEXTSPLIT(M1106,","),_xlfn.LAMBDA(_xlpm.x,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6">
        <f>'Audit Report'!F1106</f>
        <v>0</v>
      </c>
      <c r="S1106">
        <f>'Audit Report'!Q1106</f>
        <v>0</v>
      </c>
    </row>
    <row r="1107" spans="4:19">
      <c r="D1107">
        <f>'Audit Report'!B1107</f>
        <v>0</v>
      </c>
      <c r="E1107">
        <f>'Audit Report'!C1107</f>
        <v>0</v>
      </c>
      <c r="I1107">
        <f>'Audit Report'!D1107</f>
        <v>0</v>
      </c>
      <c r="J1107">
        <f>'Audit Report'!H1107</f>
        <v>0</v>
      </c>
      <c r="L1107" t="str">
        <f>_xlfn.TEXTJOIN(", ", TRUE, 'Audit Report'!K1107,'Audit Report'!L1107,'Audit Report'!M1107)</f>
        <v/>
      </c>
      <c r="M1107">
        <f>'Audit Report'!O1107</f>
        <v>0</v>
      </c>
      <c r="N1107" t="str" cm="1">
        <f t="array" ref="N1107">IF(M1107="","",
_xlfn.TEXTJOIN(", ",TRUE,
    _xlfn.MAP(_xlfn.TEXTSPLIT(M1107,","),_xlfn.LAMBDA(_xlpm.x,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7">
        <f>'Audit Report'!F1107</f>
        <v>0</v>
      </c>
      <c r="S1107">
        <f>'Audit Report'!Q1107</f>
        <v>0</v>
      </c>
    </row>
    <row r="1108" spans="4:19">
      <c r="D1108">
        <f>'Audit Report'!B1108</f>
        <v>0</v>
      </c>
      <c r="E1108">
        <f>'Audit Report'!C1108</f>
        <v>0</v>
      </c>
      <c r="I1108">
        <f>'Audit Report'!D1108</f>
        <v>0</v>
      </c>
      <c r="J1108">
        <f>'Audit Report'!H1108</f>
        <v>0</v>
      </c>
      <c r="L1108" t="str">
        <f>_xlfn.TEXTJOIN(", ", TRUE, 'Audit Report'!K1108,'Audit Report'!L1108,'Audit Report'!M1108)</f>
        <v/>
      </c>
      <c r="M1108">
        <f>'Audit Report'!O1108</f>
        <v>0</v>
      </c>
      <c r="N1108" t="str" cm="1">
        <f t="array" ref="N1108">IF(M1108="","",
_xlfn.TEXTJOIN(", ",TRUE,
    _xlfn.MAP(_xlfn.TEXTSPLIT(M1108,","),_xlfn.LAMBDA(_xlpm.x,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8">
        <f>'Audit Report'!F1108</f>
        <v>0</v>
      </c>
      <c r="S1108">
        <f>'Audit Report'!Q1108</f>
        <v>0</v>
      </c>
    </row>
    <row r="1109" spans="4:19">
      <c r="D1109">
        <f>'Audit Report'!B1109</f>
        <v>0</v>
      </c>
      <c r="E1109">
        <f>'Audit Report'!C1109</f>
        <v>0</v>
      </c>
      <c r="I1109">
        <f>'Audit Report'!D1109</f>
        <v>0</v>
      </c>
      <c r="J1109">
        <f>'Audit Report'!H1109</f>
        <v>0</v>
      </c>
      <c r="L1109" t="str">
        <f>_xlfn.TEXTJOIN(", ", TRUE, 'Audit Report'!K1109,'Audit Report'!L1109,'Audit Report'!M1109)</f>
        <v/>
      </c>
      <c r="M1109">
        <f>'Audit Report'!O1109</f>
        <v>0</v>
      </c>
      <c r="N1109" t="str" cm="1">
        <f t="array" ref="N1109">IF(M1109="","",
_xlfn.TEXTJOIN(", ",TRUE,
    _xlfn.MAP(_xlfn.TEXTSPLIT(M1109,","),_xlfn.LAMBDA(_xlpm.x,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9">
        <f>'Audit Report'!F1109</f>
        <v>0</v>
      </c>
      <c r="S1109">
        <f>'Audit Report'!Q1109</f>
        <v>0</v>
      </c>
    </row>
    <row r="1110" spans="4:19">
      <c r="D1110">
        <f>'Audit Report'!B1110</f>
        <v>0</v>
      </c>
      <c r="E1110">
        <f>'Audit Report'!C1110</f>
        <v>0</v>
      </c>
      <c r="I1110">
        <f>'Audit Report'!D1110</f>
        <v>0</v>
      </c>
      <c r="J1110">
        <f>'Audit Report'!H1110</f>
        <v>0</v>
      </c>
      <c r="L1110" t="str">
        <f>_xlfn.TEXTJOIN(", ", TRUE, 'Audit Report'!K1110,'Audit Report'!L1110,'Audit Report'!M1110)</f>
        <v/>
      </c>
      <c r="M1110">
        <f>'Audit Report'!O1110</f>
        <v>0</v>
      </c>
      <c r="N1110" t="str" cm="1">
        <f t="array" ref="N1110">IF(M1110="","",
_xlfn.TEXTJOIN(", ",TRUE,
    _xlfn.MAP(_xlfn.TEXTSPLIT(M1110,","),_xlfn.LAMBDA(_xlpm.x,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0">
        <f>'Audit Report'!F1110</f>
        <v>0</v>
      </c>
      <c r="S1110">
        <f>'Audit Report'!Q1110</f>
        <v>0</v>
      </c>
    </row>
    <row r="1111" spans="4:19">
      <c r="D1111">
        <f>'Audit Report'!B1111</f>
        <v>0</v>
      </c>
      <c r="E1111">
        <f>'Audit Report'!C1111</f>
        <v>0</v>
      </c>
      <c r="I1111">
        <f>'Audit Report'!D1111</f>
        <v>0</v>
      </c>
      <c r="J1111">
        <f>'Audit Report'!H1111</f>
        <v>0</v>
      </c>
      <c r="L1111" t="str">
        <f>_xlfn.TEXTJOIN(", ", TRUE, 'Audit Report'!K1111,'Audit Report'!L1111,'Audit Report'!M1111)</f>
        <v/>
      </c>
      <c r="M1111">
        <f>'Audit Report'!O1111</f>
        <v>0</v>
      </c>
      <c r="N1111" t="str" cm="1">
        <f t="array" ref="N1111">IF(M1111="","",
_xlfn.TEXTJOIN(", ",TRUE,
    _xlfn.MAP(_xlfn.TEXTSPLIT(M1111,","),_xlfn.LAMBDA(_xlpm.x,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1">
        <f>'Audit Report'!F1111</f>
        <v>0</v>
      </c>
      <c r="S1111">
        <f>'Audit Report'!Q1111</f>
        <v>0</v>
      </c>
    </row>
    <row r="1112" spans="4:19">
      <c r="D1112">
        <f>'Audit Report'!B1112</f>
        <v>0</v>
      </c>
      <c r="E1112">
        <f>'Audit Report'!C1112</f>
        <v>0</v>
      </c>
      <c r="I1112">
        <f>'Audit Report'!D1112</f>
        <v>0</v>
      </c>
      <c r="J1112">
        <f>'Audit Report'!H1112</f>
        <v>0</v>
      </c>
      <c r="L1112" t="str">
        <f>_xlfn.TEXTJOIN(", ", TRUE, 'Audit Report'!K1112,'Audit Report'!L1112,'Audit Report'!M1112)</f>
        <v/>
      </c>
      <c r="M1112">
        <f>'Audit Report'!O1112</f>
        <v>0</v>
      </c>
      <c r="N1112" t="str" cm="1">
        <f t="array" ref="N1112">IF(M1112="","",
_xlfn.TEXTJOIN(", ",TRUE,
    _xlfn.MAP(_xlfn.TEXTSPLIT(M1112,","),_xlfn.LAMBDA(_xlpm.x,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2">
        <f>'Audit Report'!F1112</f>
        <v>0</v>
      </c>
      <c r="S1112">
        <f>'Audit Report'!Q1112</f>
        <v>0</v>
      </c>
    </row>
    <row r="1113" spans="4:19">
      <c r="D1113">
        <f>'Audit Report'!B1113</f>
        <v>0</v>
      </c>
      <c r="E1113">
        <f>'Audit Report'!C1113</f>
        <v>0</v>
      </c>
      <c r="I1113">
        <f>'Audit Report'!D1113</f>
        <v>0</v>
      </c>
      <c r="J1113">
        <f>'Audit Report'!H1113</f>
        <v>0</v>
      </c>
      <c r="L1113" t="str">
        <f>_xlfn.TEXTJOIN(", ", TRUE, 'Audit Report'!K1113,'Audit Report'!L1113,'Audit Report'!M1113)</f>
        <v/>
      </c>
      <c r="M1113">
        <f>'Audit Report'!O1113</f>
        <v>0</v>
      </c>
      <c r="N1113" t="str" cm="1">
        <f t="array" ref="N1113">IF(M1113="","",
_xlfn.TEXTJOIN(", ",TRUE,
    _xlfn.MAP(_xlfn.TEXTSPLIT(M1113,","),_xlfn.LAMBDA(_xlpm.x,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3">
        <f>'Audit Report'!F1113</f>
        <v>0</v>
      </c>
      <c r="S1113">
        <f>'Audit Report'!Q1113</f>
        <v>0</v>
      </c>
    </row>
    <row r="1114" spans="4:19">
      <c r="D1114">
        <f>'Audit Report'!B1114</f>
        <v>0</v>
      </c>
      <c r="E1114">
        <f>'Audit Report'!C1114</f>
        <v>0</v>
      </c>
      <c r="I1114">
        <f>'Audit Report'!D1114</f>
        <v>0</v>
      </c>
      <c r="J1114">
        <f>'Audit Report'!H1114</f>
        <v>0</v>
      </c>
      <c r="L1114" t="str">
        <f>_xlfn.TEXTJOIN(", ", TRUE, 'Audit Report'!K1114,'Audit Report'!L1114,'Audit Report'!M1114)</f>
        <v/>
      </c>
      <c r="M1114">
        <f>'Audit Report'!O1114</f>
        <v>0</v>
      </c>
      <c r="N1114" t="str" cm="1">
        <f t="array" ref="N1114">IF(M1114="","",
_xlfn.TEXTJOIN(", ",TRUE,
    _xlfn.MAP(_xlfn.TEXTSPLIT(M1114,","),_xlfn.LAMBDA(_xlpm.x,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4">
        <f>'Audit Report'!F1114</f>
        <v>0</v>
      </c>
      <c r="S1114">
        <f>'Audit Report'!Q1114</f>
        <v>0</v>
      </c>
    </row>
    <row r="1115" spans="4:19">
      <c r="D1115">
        <f>'Audit Report'!B1115</f>
        <v>0</v>
      </c>
      <c r="E1115">
        <f>'Audit Report'!C1115</f>
        <v>0</v>
      </c>
      <c r="I1115">
        <f>'Audit Report'!D1115</f>
        <v>0</v>
      </c>
      <c r="J1115">
        <f>'Audit Report'!H1115</f>
        <v>0</v>
      </c>
      <c r="L1115" t="str">
        <f>_xlfn.TEXTJOIN(", ", TRUE, 'Audit Report'!K1115,'Audit Report'!L1115,'Audit Report'!M1115)</f>
        <v/>
      </c>
      <c r="M1115">
        <f>'Audit Report'!O1115</f>
        <v>0</v>
      </c>
      <c r="N1115" t="str" cm="1">
        <f t="array" ref="N1115">IF(M1115="","",
_xlfn.TEXTJOIN(", ",TRUE,
    _xlfn.MAP(_xlfn.TEXTSPLIT(M1115,","),_xlfn.LAMBDA(_xlpm.x,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5">
        <f>'Audit Report'!F1115</f>
        <v>0</v>
      </c>
      <c r="S1115">
        <f>'Audit Report'!Q1115</f>
        <v>0</v>
      </c>
    </row>
    <row r="1116" spans="4:19">
      <c r="D1116">
        <f>'Audit Report'!B1116</f>
        <v>0</v>
      </c>
      <c r="E1116">
        <f>'Audit Report'!C1116</f>
        <v>0</v>
      </c>
      <c r="I1116">
        <f>'Audit Report'!D1116</f>
        <v>0</v>
      </c>
      <c r="J1116">
        <f>'Audit Report'!H1116</f>
        <v>0</v>
      </c>
      <c r="L1116" t="str">
        <f>_xlfn.TEXTJOIN(", ", TRUE, 'Audit Report'!K1116,'Audit Report'!L1116,'Audit Report'!M1116)</f>
        <v/>
      </c>
      <c r="M1116">
        <f>'Audit Report'!O1116</f>
        <v>0</v>
      </c>
      <c r="N1116" t="str" cm="1">
        <f t="array" ref="N1116">IF(M1116="","",
_xlfn.TEXTJOIN(", ",TRUE,
    _xlfn.MAP(_xlfn.TEXTSPLIT(M1116,","),_xlfn.LAMBDA(_xlpm.x,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6">
        <f>'Audit Report'!F1116</f>
        <v>0</v>
      </c>
      <c r="S1116">
        <f>'Audit Report'!Q1116</f>
        <v>0</v>
      </c>
    </row>
    <row r="1117" spans="4:19">
      <c r="D1117">
        <f>'Audit Report'!B1117</f>
        <v>0</v>
      </c>
      <c r="E1117">
        <f>'Audit Report'!C1117</f>
        <v>0</v>
      </c>
      <c r="I1117">
        <f>'Audit Report'!D1117</f>
        <v>0</v>
      </c>
      <c r="J1117">
        <f>'Audit Report'!H1117</f>
        <v>0</v>
      </c>
      <c r="L1117" t="str">
        <f>_xlfn.TEXTJOIN(", ", TRUE, 'Audit Report'!K1117,'Audit Report'!L1117,'Audit Report'!M1117)</f>
        <v/>
      </c>
      <c r="M1117">
        <f>'Audit Report'!O1117</f>
        <v>0</v>
      </c>
      <c r="N1117" t="str" cm="1">
        <f t="array" ref="N1117">IF(M1117="","",
_xlfn.TEXTJOIN(", ",TRUE,
    _xlfn.MAP(_xlfn.TEXTSPLIT(M1117,","),_xlfn.LAMBDA(_xlpm.x,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7">
        <f>'Audit Report'!F1117</f>
        <v>0</v>
      </c>
      <c r="S1117">
        <f>'Audit Report'!Q1117</f>
        <v>0</v>
      </c>
    </row>
    <row r="1118" spans="4:19">
      <c r="D1118">
        <f>'Audit Report'!B1118</f>
        <v>0</v>
      </c>
      <c r="E1118">
        <f>'Audit Report'!C1118</f>
        <v>0</v>
      </c>
      <c r="I1118">
        <f>'Audit Report'!D1118</f>
        <v>0</v>
      </c>
      <c r="J1118">
        <f>'Audit Report'!H1118</f>
        <v>0</v>
      </c>
      <c r="L1118" t="str">
        <f>_xlfn.TEXTJOIN(", ", TRUE, 'Audit Report'!K1118,'Audit Report'!L1118,'Audit Report'!M1118)</f>
        <v/>
      </c>
      <c r="M1118">
        <f>'Audit Report'!O1118</f>
        <v>0</v>
      </c>
      <c r="N1118" t="str" cm="1">
        <f t="array" ref="N1118">IF(M1118="","",
_xlfn.TEXTJOIN(", ",TRUE,
    _xlfn.MAP(_xlfn.TEXTSPLIT(M1118,","),_xlfn.LAMBDA(_xlpm.x,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8">
        <f>'Audit Report'!F1118</f>
        <v>0</v>
      </c>
      <c r="S1118">
        <f>'Audit Report'!Q1118</f>
        <v>0</v>
      </c>
    </row>
    <row r="1119" spans="4:19">
      <c r="D1119">
        <f>'Audit Report'!B1119</f>
        <v>0</v>
      </c>
      <c r="E1119">
        <f>'Audit Report'!C1119</f>
        <v>0</v>
      </c>
      <c r="I1119">
        <f>'Audit Report'!D1119</f>
        <v>0</v>
      </c>
      <c r="J1119">
        <f>'Audit Report'!H1119</f>
        <v>0</v>
      </c>
      <c r="L1119" t="str">
        <f>_xlfn.TEXTJOIN(", ", TRUE, 'Audit Report'!K1119,'Audit Report'!L1119,'Audit Report'!M1119)</f>
        <v/>
      </c>
      <c r="M1119">
        <f>'Audit Report'!O1119</f>
        <v>0</v>
      </c>
      <c r="N1119" t="str" cm="1">
        <f t="array" ref="N1119">IF(M1119="","",
_xlfn.TEXTJOIN(", ",TRUE,
    _xlfn.MAP(_xlfn.TEXTSPLIT(M1119,","),_xlfn.LAMBDA(_xlpm.x,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9">
        <f>'Audit Report'!F1119</f>
        <v>0</v>
      </c>
      <c r="S1119">
        <f>'Audit Report'!Q1119</f>
        <v>0</v>
      </c>
    </row>
    <row r="1120" spans="4:19">
      <c r="D1120">
        <f>'Audit Report'!B1120</f>
        <v>0</v>
      </c>
      <c r="E1120">
        <f>'Audit Report'!C1120</f>
        <v>0</v>
      </c>
      <c r="I1120">
        <f>'Audit Report'!D1120</f>
        <v>0</v>
      </c>
      <c r="J1120">
        <f>'Audit Report'!H1120</f>
        <v>0</v>
      </c>
      <c r="L1120" t="str">
        <f>_xlfn.TEXTJOIN(", ", TRUE, 'Audit Report'!K1120,'Audit Report'!L1120,'Audit Report'!M1120)</f>
        <v/>
      </c>
      <c r="M1120">
        <f>'Audit Report'!O1120</f>
        <v>0</v>
      </c>
      <c r="N1120" t="str" cm="1">
        <f t="array" ref="N1120">IF(M1120="","",
_xlfn.TEXTJOIN(", ",TRUE,
    _xlfn.MAP(_xlfn.TEXTSPLIT(M1120,","),_xlfn.LAMBDA(_xlpm.x,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0">
        <f>'Audit Report'!F1120</f>
        <v>0</v>
      </c>
      <c r="S1120">
        <f>'Audit Report'!Q1120</f>
        <v>0</v>
      </c>
    </row>
    <row r="1121" spans="4:19">
      <c r="D1121">
        <f>'Audit Report'!B1121</f>
        <v>0</v>
      </c>
      <c r="E1121">
        <f>'Audit Report'!C1121</f>
        <v>0</v>
      </c>
      <c r="I1121">
        <f>'Audit Report'!D1121</f>
        <v>0</v>
      </c>
      <c r="J1121">
        <f>'Audit Report'!H1121</f>
        <v>0</v>
      </c>
      <c r="L1121" t="str">
        <f>_xlfn.TEXTJOIN(", ", TRUE, 'Audit Report'!K1121,'Audit Report'!L1121,'Audit Report'!M1121)</f>
        <v/>
      </c>
      <c r="M1121">
        <f>'Audit Report'!O1121</f>
        <v>0</v>
      </c>
      <c r="N1121" t="str" cm="1">
        <f t="array" ref="N1121">IF(M1121="","",
_xlfn.TEXTJOIN(", ",TRUE,
    _xlfn.MAP(_xlfn.TEXTSPLIT(M1121,","),_xlfn.LAMBDA(_xlpm.x,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1">
        <f>'Audit Report'!F1121</f>
        <v>0</v>
      </c>
      <c r="S1121">
        <f>'Audit Report'!Q1121</f>
        <v>0</v>
      </c>
    </row>
    <row r="1122" spans="4:19">
      <c r="D1122">
        <f>'Audit Report'!B1122</f>
        <v>0</v>
      </c>
      <c r="E1122">
        <f>'Audit Report'!C1122</f>
        <v>0</v>
      </c>
      <c r="I1122">
        <f>'Audit Report'!D1122</f>
        <v>0</v>
      </c>
      <c r="J1122">
        <f>'Audit Report'!H1122</f>
        <v>0</v>
      </c>
      <c r="L1122" t="str">
        <f>_xlfn.TEXTJOIN(", ", TRUE, 'Audit Report'!K1122,'Audit Report'!L1122,'Audit Report'!M1122)</f>
        <v/>
      </c>
      <c r="M1122">
        <f>'Audit Report'!O1122</f>
        <v>0</v>
      </c>
      <c r="N1122" t="str" cm="1">
        <f t="array" ref="N1122">IF(M1122="","",
_xlfn.TEXTJOIN(", ",TRUE,
    _xlfn.MAP(_xlfn.TEXTSPLIT(M1122,","),_xlfn.LAMBDA(_xlpm.x,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2">
        <f>'Audit Report'!F1122</f>
        <v>0</v>
      </c>
      <c r="S1122">
        <f>'Audit Report'!Q1122</f>
        <v>0</v>
      </c>
    </row>
    <row r="1123" spans="4:19">
      <c r="D1123">
        <f>'Audit Report'!B1123</f>
        <v>0</v>
      </c>
      <c r="E1123">
        <f>'Audit Report'!C1123</f>
        <v>0</v>
      </c>
      <c r="I1123">
        <f>'Audit Report'!D1123</f>
        <v>0</v>
      </c>
      <c r="J1123">
        <f>'Audit Report'!H1123</f>
        <v>0</v>
      </c>
      <c r="L1123" t="str">
        <f>_xlfn.TEXTJOIN(", ", TRUE, 'Audit Report'!K1123,'Audit Report'!L1123,'Audit Report'!M1123)</f>
        <v/>
      </c>
      <c r="M1123">
        <f>'Audit Report'!O1123</f>
        <v>0</v>
      </c>
      <c r="N1123" t="str" cm="1">
        <f t="array" ref="N1123">IF(M1123="","",
_xlfn.TEXTJOIN(", ",TRUE,
    _xlfn.MAP(_xlfn.TEXTSPLIT(M1123,","),_xlfn.LAMBDA(_xlpm.x,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3">
        <f>'Audit Report'!F1123</f>
        <v>0</v>
      </c>
      <c r="S1123">
        <f>'Audit Report'!Q1123</f>
        <v>0</v>
      </c>
    </row>
    <row r="1124" spans="4:19">
      <c r="D1124">
        <f>'Audit Report'!B1124</f>
        <v>0</v>
      </c>
      <c r="E1124">
        <f>'Audit Report'!C1124</f>
        <v>0</v>
      </c>
      <c r="I1124">
        <f>'Audit Report'!D1124</f>
        <v>0</v>
      </c>
      <c r="J1124">
        <f>'Audit Report'!H1124</f>
        <v>0</v>
      </c>
      <c r="L1124" t="str">
        <f>_xlfn.TEXTJOIN(", ", TRUE, 'Audit Report'!K1124,'Audit Report'!L1124,'Audit Report'!M1124)</f>
        <v/>
      </c>
      <c r="M1124">
        <f>'Audit Report'!O1124</f>
        <v>0</v>
      </c>
      <c r="N1124" t="str" cm="1">
        <f t="array" ref="N1124">IF(M1124="","",
_xlfn.TEXTJOIN(", ",TRUE,
    _xlfn.MAP(_xlfn.TEXTSPLIT(M1124,","),_xlfn.LAMBDA(_xlpm.x,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4">
        <f>'Audit Report'!F1124</f>
        <v>0</v>
      </c>
      <c r="S1124">
        <f>'Audit Report'!Q1124</f>
        <v>0</v>
      </c>
    </row>
    <row r="1125" spans="4:19">
      <c r="D1125">
        <f>'Audit Report'!B1125</f>
        <v>0</v>
      </c>
      <c r="E1125">
        <f>'Audit Report'!C1125</f>
        <v>0</v>
      </c>
      <c r="I1125">
        <f>'Audit Report'!D1125</f>
        <v>0</v>
      </c>
      <c r="J1125">
        <f>'Audit Report'!H1125</f>
        <v>0</v>
      </c>
      <c r="L1125" t="str">
        <f>_xlfn.TEXTJOIN(", ", TRUE, 'Audit Report'!K1125,'Audit Report'!L1125,'Audit Report'!M1125)</f>
        <v/>
      </c>
      <c r="M1125">
        <f>'Audit Report'!O1125</f>
        <v>0</v>
      </c>
      <c r="N1125" t="str" cm="1">
        <f t="array" ref="N1125">IF(M1125="","",
_xlfn.TEXTJOIN(", ",TRUE,
    _xlfn.MAP(_xlfn.TEXTSPLIT(M1125,","),_xlfn.LAMBDA(_xlpm.x,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5">
        <f>'Audit Report'!F1125</f>
        <v>0</v>
      </c>
      <c r="S1125">
        <f>'Audit Report'!Q1125</f>
        <v>0</v>
      </c>
    </row>
    <row r="1126" spans="4:19">
      <c r="D1126">
        <f>'Audit Report'!B1126</f>
        <v>0</v>
      </c>
      <c r="E1126">
        <f>'Audit Report'!C1126</f>
        <v>0</v>
      </c>
      <c r="I1126">
        <f>'Audit Report'!D1126</f>
        <v>0</v>
      </c>
      <c r="J1126">
        <f>'Audit Report'!H1126</f>
        <v>0</v>
      </c>
      <c r="L1126" t="str">
        <f>_xlfn.TEXTJOIN(", ", TRUE, 'Audit Report'!K1126,'Audit Report'!L1126,'Audit Report'!M1126)</f>
        <v/>
      </c>
      <c r="M1126">
        <f>'Audit Report'!O1126</f>
        <v>0</v>
      </c>
      <c r="N1126" t="str" cm="1">
        <f t="array" ref="N1126">IF(M1126="","",
_xlfn.TEXTJOIN(", ",TRUE,
    _xlfn.MAP(_xlfn.TEXTSPLIT(M1126,","),_xlfn.LAMBDA(_xlpm.x,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6">
        <f>'Audit Report'!F1126</f>
        <v>0</v>
      </c>
      <c r="S1126">
        <f>'Audit Report'!Q1126</f>
        <v>0</v>
      </c>
    </row>
    <row r="1127" spans="4:19">
      <c r="D1127">
        <f>'Audit Report'!B1127</f>
        <v>0</v>
      </c>
      <c r="E1127">
        <f>'Audit Report'!C1127</f>
        <v>0</v>
      </c>
      <c r="I1127">
        <f>'Audit Report'!D1127</f>
        <v>0</v>
      </c>
      <c r="J1127">
        <f>'Audit Report'!H1127</f>
        <v>0</v>
      </c>
      <c r="L1127" t="str">
        <f>_xlfn.TEXTJOIN(", ", TRUE, 'Audit Report'!K1127,'Audit Report'!L1127,'Audit Report'!M1127)</f>
        <v/>
      </c>
      <c r="M1127">
        <f>'Audit Report'!O1127</f>
        <v>0</v>
      </c>
      <c r="N1127" t="str" cm="1">
        <f t="array" ref="N1127">IF(M1127="","",
_xlfn.TEXTJOIN(", ",TRUE,
    _xlfn.MAP(_xlfn.TEXTSPLIT(M1127,","),_xlfn.LAMBDA(_xlpm.x,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7">
        <f>'Audit Report'!F1127</f>
        <v>0</v>
      </c>
      <c r="S1127">
        <f>'Audit Report'!Q1127</f>
        <v>0</v>
      </c>
    </row>
    <row r="1128" spans="4:19">
      <c r="D1128">
        <f>'Audit Report'!B1128</f>
        <v>0</v>
      </c>
      <c r="E1128">
        <f>'Audit Report'!C1128</f>
        <v>0</v>
      </c>
      <c r="I1128">
        <f>'Audit Report'!D1128</f>
        <v>0</v>
      </c>
      <c r="J1128">
        <f>'Audit Report'!H1128</f>
        <v>0</v>
      </c>
      <c r="L1128" t="str">
        <f>_xlfn.TEXTJOIN(", ", TRUE, 'Audit Report'!K1128,'Audit Report'!L1128,'Audit Report'!M1128)</f>
        <v/>
      </c>
      <c r="M1128">
        <f>'Audit Report'!O1128</f>
        <v>0</v>
      </c>
      <c r="N1128" t="str" cm="1">
        <f t="array" ref="N1128">IF(M1128="","",
_xlfn.TEXTJOIN(", ",TRUE,
    _xlfn.MAP(_xlfn.TEXTSPLIT(M1128,","),_xlfn.LAMBDA(_xlpm.x,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8">
        <f>'Audit Report'!F1128</f>
        <v>0</v>
      </c>
      <c r="S1128">
        <f>'Audit Report'!Q1128</f>
        <v>0</v>
      </c>
    </row>
    <row r="1129" spans="4:19">
      <c r="D1129">
        <f>'Audit Report'!B1129</f>
        <v>0</v>
      </c>
      <c r="E1129">
        <f>'Audit Report'!C1129</f>
        <v>0</v>
      </c>
      <c r="I1129">
        <f>'Audit Report'!D1129</f>
        <v>0</v>
      </c>
      <c r="J1129">
        <f>'Audit Report'!H1129</f>
        <v>0</v>
      </c>
      <c r="L1129" t="str">
        <f>_xlfn.TEXTJOIN(", ", TRUE, 'Audit Report'!K1129,'Audit Report'!L1129,'Audit Report'!M1129)</f>
        <v/>
      </c>
      <c r="M1129">
        <f>'Audit Report'!O1129</f>
        <v>0</v>
      </c>
      <c r="N1129" t="str" cm="1">
        <f t="array" ref="N1129">IF(M1129="","",
_xlfn.TEXTJOIN(", ",TRUE,
    _xlfn.MAP(_xlfn.TEXTSPLIT(M1129,","),_xlfn.LAMBDA(_xlpm.x,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9">
        <f>'Audit Report'!F1129</f>
        <v>0</v>
      </c>
      <c r="S1129">
        <f>'Audit Report'!Q1129</f>
        <v>0</v>
      </c>
    </row>
    <row r="1130" spans="4:19">
      <c r="D1130">
        <f>'Audit Report'!B1130</f>
        <v>0</v>
      </c>
      <c r="E1130">
        <f>'Audit Report'!C1130</f>
        <v>0</v>
      </c>
      <c r="I1130">
        <f>'Audit Report'!D1130</f>
        <v>0</v>
      </c>
      <c r="J1130">
        <f>'Audit Report'!H1130</f>
        <v>0</v>
      </c>
      <c r="L1130" t="str">
        <f>_xlfn.TEXTJOIN(", ", TRUE, 'Audit Report'!K1130,'Audit Report'!L1130,'Audit Report'!M1130)</f>
        <v/>
      </c>
      <c r="M1130">
        <f>'Audit Report'!O1130</f>
        <v>0</v>
      </c>
      <c r="N1130" t="str" cm="1">
        <f t="array" ref="N1130">IF(M1130="","",
_xlfn.TEXTJOIN(", ",TRUE,
    _xlfn.MAP(_xlfn.TEXTSPLIT(M1130,","),_xlfn.LAMBDA(_xlpm.x,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0">
        <f>'Audit Report'!F1130</f>
        <v>0</v>
      </c>
      <c r="S1130">
        <f>'Audit Report'!Q1130</f>
        <v>0</v>
      </c>
    </row>
    <row r="1131" spans="4:19">
      <c r="D1131">
        <f>'Audit Report'!B1131</f>
        <v>0</v>
      </c>
      <c r="E1131">
        <f>'Audit Report'!C1131</f>
        <v>0</v>
      </c>
      <c r="I1131">
        <f>'Audit Report'!D1131</f>
        <v>0</v>
      </c>
      <c r="J1131">
        <f>'Audit Report'!H1131</f>
        <v>0</v>
      </c>
      <c r="L1131" t="str">
        <f>_xlfn.TEXTJOIN(", ", TRUE, 'Audit Report'!K1131,'Audit Report'!L1131,'Audit Report'!M1131)</f>
        <v/>
      </c>
      <c r="M1131">
        <f>'Audit Report'!O1131</f>
        <v>0</v>
      </c>
      <c r="N1131" t="str" cm="1">
        <f t="array" ref="N1131">IF(M1131="","",
_xlfn.TEXTJOIN(", ",TRUE,
    _xlfn.MAP(_xlfn.TEXTSPLIT(M1131,","),_xlfn.LAMBDA(_xlpm.x,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1">
        <f>'Audit Report'!F1131</f>
        <v>0</v>
      </c>
      <c r="S1131">
        <f>'Audit Report'!Q1131</f>
        <v>0</v>
      </c>
    </row>
    <row r="1132" spans="4:19">
      <c r="D1132">
        <f>'Audit Report'!B1132</f>
        <v>0</v>
      </c>
      <c r="E1132">
        <f>'Audit Report'!C1132</f>
        <v>0</v>
      </c>
      <c r="I1132">
        <f>'Audit Report'!D1132</f>
        <v>0</v>
      </c>
      <c r="J1132">
        <f>'Audit Report'!H1132</f>
        <v>0</v>
      </c>
      <c r="L1132" t="str">
        <f>_xlfn.TEXTJOIN(", ", TRUE, 'Audit Report'!K1132,'Audit Report'!L1132,'Audit Report'!M1132)</f>
        <v/>
      </c>
      <c r="M1132">
        <f>'Audit Report'!O1132</f>
        <v>0</v>
      </c>
      <c r="N1132" t="str" cm="1">
        <f t="array" ref="N1132">IF(M1132="","",
_xlfn.TEXTJOIN(", ",TRUE,
    _xlfn.MAP(_xlfn.TEXTSPLIT(M1132,","),_xlfn.LAMBDA(_xlpm.x,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2">
        <f>'Audit Report'!F1132</f>
        <v>0</v>
      </c>
      <c r="S1132">
        <f>'Audit Report'!Q1132</f>
        <v>0</v>
      </c>
    </row>
    <row r="1133" spans="4:19">
      <c r="D1133">
        <f>'Audit Report'!B1133</f>
        <v>0</v>
      </c>
      <c r="E1133">
        <f>'Audit Report'!C1133</f>
        <v>0</v>
      </c>
      <c r="I1133">
        <f>'Audit Report'!D1133</f>
        <v>0</v>
      </c>
      <c r="J1133">
        <f>'Audit Report'!H1133</f>
        <v>0</v>
      </c>
      <c r="L1133" t="str">
        <f>_xlfn.TEXTJOIN(", ", TRUE, 'Audit Report'!K1133,'Audit Report'!L1133,'Audit Report'!M1133)</f>
        <v/>
      </c>
      <c r="M1133">
        <f>'Audit Report'!O1133</f>
        <v>0</v>
      </c>
      <c r="N1133" t="str" cm="1">
        <f t="array" ref="N1133">IF(M1133="","",
_xlfn.TEXTJOIN(", ",TRUE,
    _xlfn.MAP(_xlfn.TEXTSPLIT(M1133,","),_xlfn.LAMBDA(_xlpm.x,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3">
        <f>'Audit Report'!F1133</f>
        <v>0</v>
      </c>
      <c r="S1133">
        <f>'Audit Report'!Q1133</f>
        <v>0</v>
      </c>
    </row>
    <row r="1134" spans="4:19">
      <c r="D1134">
        <f>'Audit Report'!B1134</f>
        <v>0</v>
      </c>
      <c r="E1134">
        <f>'Audit Report'!C1134</f>
        <v>0</v>
      </c>
      <c r="I1134">
        <f>'Audit Report'!D1134</f>
        <v>0</v>
      </c>
      <c r="J1134">
        <f>'Audit Report'!H1134</f>
        <v>0</v>
      </c>
      <c r="L1134" t="str">
        <f>_xlfn.TEXTJOIN(", ", TRUE, 'Audit Report'!K1134,'Audit Report'!L1134,'Audit Report'!M1134)</f>
        <v/>
      </c>
      <c r="M1134">
        <f>'Audit Report'!O1134</f>
        <v>0</v>
      </c>
      <c r="N1134" t="str" cm="1">
        <f t="array" ref="N1134">IF(M1134="","",
_xlfn.TEXTJOIN(", ",TRUE,
    _xlfn.MAP(_xlfn.TEXTSPLIT(M1134,","),_xlfn.LAMBDA(_xlpm.x,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4">
        <f>'Audit Report'!F1134</f>
        <v>0</v>
      </c>
      <c r="S1134">
        <f>'Audit Report'!Q1134</f>
        <v>0</v>
      </c>
    </row>
    <row r="1135" spans="4:19">
      <c r="D1135">
        <f>'Audit Report'!B1135</f>
        <v>0</v>
      </c>
      <c r="E1135">
        <f>'Audit Report'!C1135</f>
        <v>0</v>
      </c>
      <c r="I1135">
        <f>'Audit Report'!D1135</f>
        <v>0</v>
      </c>
      <c r="J1135">
        <f>'Audit Report'!H1135</f>
        <v>0</v>
      </c>
      <c r="L1135" t="str">
        <f>_xlfn.TEXTJOIN(", ", TRUE, 'Audit Report'!K1135,'Audit Report'!L1135,'Audit Report'!M1135)</f>
        <v/>
      </c>
      <c r="M1135">
        <f>'Audit Report'!O1135</f>
        <v>0</v>
      </c>
      <c r="N1135" t="str" cm="1">
        <f t="array" ref="N1135">IF(M1135="","",
_xlfn.TEXTJOIN(", ",TRUE,
    _xlfn.MAP(_xlfn.TEXTSPLIT(M1135,","),_xlfn.LAMBDA(_xlpm.x,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5">
        <f>'Audit Report'!F1135</f>
        <v>0</v>
      </c>
      <c r="S1135">
        <f>'Audit Report'!Q1135</f>
        <v>0</v>
      </c>
    </row>
    <row r="1136" spans="4:19">
      <c r="D1136">
        <f>'Audit Report'!B1136</f>
        <v>0</v>
      </c>
      <c r="E1136">
        <f>'Audit Report'!C1136</f>
        <v>0</v>
      </c>
      <c r="I1136">
        <f>'Audit Report'!D1136</f>
        <v>0</v>
      </c>
      <c r="J1136">
        <f>'Audit Report'!H1136</f>
        <v>0</v>
      </c>
      <c r="L1136" t="str">
        <f>_xlfn.TEXTJOIN(", ", TRUE, 'Audit Report'!K1136,'Audit Report'!L1136,'Audit Report'!M1136)</f>
        <v/>
      </c>
      <c r="M1136">
        <f>'Audit Report'!O1136</f>
        <v>0</v>
      </c>
      <c r="N1136" t="str" cm="1">
        <f t="array" ref="N1136">IF(M1136="","",
_xlfn.TEXTJOIN(", ",TRUE,
    _xlfn.MAP(_xlfn.TEXTSPLIT(M1136,","),_xlfn.LAMBDA(_xlpm.x,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6">
        <f>'Audit Report'!F1136</f>
        <v>0</v>
      </c>
      <c r="S1136">
        <f>'Audit Report'!Q1136</f>
        <v>0</v>
      </c>
    </row>
    <row r="1137" spans="4:19">
      <c r="D1137">
        <f>'Audit Report'!B1137</f>
        <v>0</v>
      </c>
      <c r="E1137">
        <f>'Audit Report'!C1137</f>
        <v>0</v>
      </c>
      <c r="I1137">
        <f>'Audit Report'!D1137</f>
        <v>0</v>
      </c>
      <c r="J1137">
        <f>'Audit Report'!H1137</f>
        <v>0</v>
      </c>
      <c r="L1137" t="str">
        <f>_xlfn.TEXTJOIN(", ", TRUE, 'Audit Report'!K1137,'Audit Report'!L1137,'Audit Report'!M1137)</f>
        <v/>
      </c>
      <c r="M1137">
        <f>'Audit Report'!O1137</f>
        <v>0</v>
      </c>
      <c r="N1137" t="str" cm="1">
        <f t="array" ref="N1137">IF(M1137="","",
_xlfn.TEXTJOIN(", ",TRUE,
    _xlfn.MAP(_xlfn.TEXTSPLIT(M1137,","),_xlfn.LAMBDA(_xlpm.x,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7">
        <f>'Audit Report'!F1137</f>
        <v>0</v>
      </c>
      <c r="S1137">
        <f>'Audit Report'!Q1137</f>
        <v>0</v>
      </c>
    </row>
    <row r="1138" spans="4:19">
      <c r="D1138">
        <f>'Audit Report'!B1138</f>
        <v>0</v>
      </c>
      <c r="E1138">
        <f>'Audit Report'!C1138</f>
        <v>0</v>
      </c>
      <c r="I1138">
        <f>'Audit Report'!D1138</f>
        <v>0</v>
      </c>
      <c r="J1138">
        <f>'Audit Report'!H1138</f>
        <v>0</v>
      </c>
      <c r="L1138" t="str">
        <f>_xlfn.TEXTJOIN(", ", TRUE, 'Audit Report'!K1138,'Audit Report'!L1138,'Audit Report'!M1138)</f>
        <v/>
      </c>
      <c r="M1138">
        <f>'Audit Report'!O1138</f>
        <v>0</v>
      </c>
      <c r="N1138" t="str" cm="1">
        <f t="array" ref="N1138">IF(M1138="","",
_xlfn.TEXTJOIN(", ",TRUE,
    _xlfn.MAP(_xlfn.TEXTSPLIT(M1138,","),_xlfn.LAMBDA(_xlpm.x,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8">
        <f>'Audit Report'!F1138</f>
        <v>0</v>
      </c>
      <c r="S1138">
        <f>'Audit Report'!Q1138</f>
        <v>0</v>
      </c>
    </row>
    <row r="1139" spans="4:19">
      <c r="D1139">
        <f>'Audit Report'!B1139</f>
        <v>0</v>
      </c>
      <c r="E1139">
        <f>'Audit Report'!C1139</f>
        <v>0</v>
      </c>
      <c r="I1139">
        <f>'Audit Report'!D1139</f>
        <v>0</v>
      </c>
      <c r="J1139">
        <f>'Audit Report'!H1139</f>
        <v>0</v>
      </c>
      <c r="L1139" t="str">
        <f>_xlfn.TEXTJOIN(", ", TRUE, 'Audit Report'!K1139,'Audit Report'!L1139,'Audit Report'!M1139)</f>
        <v/>
      </c>
      <c r="M1139">
        <f>'Audit Report'!O1139</f>
        <v>0</v>
      </c>
      <c r="N1139" t="str" cm="1">
        <f t="array" ref="N1139">IF(M1139="","",
_xlfn.TEXTJOIN(", ",TRUE,
    _xlfn.MAP(_xlfn.TEXTSPLIT(M1139,","),_xlfn.LAMBDA(_xlpm.x,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9">
        <f>'Audit Report'!F1139</f>
        <v>0</v>
      </c>
      <c r="S1139">
        <f>'Audit Report'!Q1139</f>
        <v>0</v>
      </c>
    </row>
    <row r="1140" spans="4:19">
      <c r="D1140">
        <f>'Audit Report'!B1140</f>
        <v>0</v>
      </c>
      <c r="E1140">
        <f>'Audit Report'!C1140</f>
        <v>0</v>
      </c>
      <c r="I1140">
        <f>'Audit Report'!D1140</f>
        <v>0</v>
      </c>
      <c r="J1140">
        <f>'Audit Report'!H1140</f>
        <v>0</v>
      </c>
      <c r="L1140" t="str">
        <f>_xlfn.TEXTJOIN(", ", TRUE, 'Audit Report'!K1140,'Audit Report'!L1140,'Audit Report'!M1140)</f>
        <v/>
      </c>
      <c r="M1140">
        <f>'Audit Report'!O1140</f>
        <v>0</v>
      </c>
      <c r="N1140" t="str" cm="1">
        <f t="array" ref="N1140">IF(M1140="","",
_xlfn.TEXTJOIN(", ",TRUE,
    _xlfn.MAP(_xlfn.TEXTSPLIT(M1140,","),_xlfn.LAMBDA(_xlpm.x,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0">
        <f>'Audit Report'!F1140</f>
        <v>0</v>
      </c>
      <c r="S1140">
        <f>'Audit Report'!Q1140</f>
        <v>0</v>
      </c>
    </row>
    <row r="1141" spans="4:19">
      <c r="D1141">
        <f>'Audit Report'!B1141</f>
        <v>0</v>
      </c>
      <c r="E1141">
        <f>'Audit Report'!C1141</f>
        <v>0</v>
      </c>
      <c r="I1141">
        <f>'Audit Report'!D1141</f>
        <v>0</v>
      </c>
      <c r="J1141">
        <f>'Audit Report'!H1141</f>
        <v>0</v>
      </c>
      <c r="L1141" t="str">
        <f>_xlfn.TEXTJOIN(", ", TRUE, 'Audit Report'!K1141,'Audit Report'!L1141,'Audit Report'!M1141)</f>
        <v/>
      </c>
      <c r="M1141">
        <f>'Audit Report'!O1141</f>
        <v>0</v>
      </c>
      <c r="N1141" t="str" cm="1">
        <f t="array" ref="N1141">IF(M1141="","",
_xlfn.TEXTJOIN(", ",TRUE,
    _xlfn.MAP(_xlfn.TEXTSPLIT(M1141,","),_xlfn.LAMBDA(_xlpm.x,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1">
        <f>'Audit Report'!F1141</f>
        <v>0</v>
      </c>
      <c r="S1141">
        <f>'Audit Report'!Q1141</f>
        <v>0</v>
      </c>
    </row>
    <row r="1142" spans="4:19">
      <c r="D1142">
        <f>'Audit Report'!B1142</f>
        <v>0</v>
      </c>
      <c r="E1142">
        <f>'Audit Report'!C1142</f>
        <v>0</v>
      </c>
      <c r="I1142">
        <f>'Audit Report'!D1142</f>
        <v>0</v>
      </c>
      <c r="J1142">
        <f>'Audit Report'!H1142</f>
        <v>0</v>
      </c>
      <c r="L1142" t="str">
        <f>_xlfn.TEXTJOIN(", ", TRUE, 'Audit Report'!K1142,'Audit Report'!L1142,'Audit Report'!M1142)</f>
        <v/>
      </c>
      <c r="M1142">
        <f>'Audit Report'!O1142</f>
        <v>0</v>
      </c>
      <c r="N1142" t="str" cm="1">
        <f t="array" ref="N1142">IF(M1142="","",
_xlfn.TEXTJOIN(", ",TRUE,
    _xlfn.MAP(_xlfn.TEXTSPLIT(M1142,","),_xlfn.LAMBDA(_xlpm.x,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2">
        <f>'Audit Report'!F1142</f>
        <v>0</v>
      </c>
      <c r="S1142">
        <f>'Audit Report'!Q1142</f>
        <v>0</v>
      </c>
    </row>
    <row r="1143" spans="4:19">
      <c r="D1143">
        <f>'Audit Report'!B1143</f>
        <v>0</v>
      </c>
      <c r="E1143">
        <f>'Audit Report'!C1143</f>
        <v>0</v>
      </c>
      <c r="I1143">
        <f>'Audit Report'!D1143</f>
        <v>0</v>
      </c>
      <c r="J1143">
        <f>'Audit Report'!H1143</f>
        <v>0</v>
      </c>
      <c r="L1143" t="str">
        <f>_xlfn.TEXTJOIN(", ", TRUE, 'Audit Report'!K1143,'Audit Report'!L1143,'Audit Report'!M1143)</f>
        <v/>
      </c>
      <c r="M1143">
        <f>'Audit Report'!O1143</f>
        <v>0</v>
      </c>
      <c r="N1143" t="str" cm="1">
        <f t="array" ref="N1143">IF(M1143="","",
_xlfn.TEXTJOIN(", ",TRUE,
    _xlfn.MAP(_xlfn.TEXTSPLIT(M1143,","),_xlfn.LAMBDA(_xlpm.x,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3">
        <f>'Audit Report'!F1143</f>
        <v>0</v>
      </c>
      <c r="S1143">
        <f>'Audit Report'!Q1143</f>
        <v>0</v>
      </c>
    </row>
    <row r="1144" spans="4:19">
      <c r="D1144">
        <f>'Audit Report'!B1144</f>
        <v>0</v>
      </c>
      <c r="E1144">
        <f>'Audit Report'!C1144</f>
        <v>0</v>
      </c>
      <c r="I1144">
        <f>'Audit Report'!D1144</f>
        <v>0</v>
      </c>
      <c r="J1144">
        <f>'Audit Report'!H1144</f>
        <v>0</v>
      </c>
      <c r="L1144" t="str">
        <f>_xlfn.TEXTJOIN(", ", TRUE, 'Audit Report'!K1144,'Audit Report'!L1144,'Audit Report'!M1144)</f>
        <v/>
      </c>
      <c r="M1144">
        <f>'Audit Report'!O1144</f>
        <v>0</v>
      </c>
      <c r="N1144" t="str" cm="1">
        <f t="array" ref="N1144">IF(M1144="","",
_xlfn.TEXTJOIN(", ",TRUE,
    _xlfn.MAP(_xlfn.TEXTSPLIT(M1144,","),_xlfn.LAMBDA(_xlpm.x,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4">
        <f>'Audit Report'!F1144</f>
        <v>0</v>
      </c>
      <c r="S1144">
        <f>'Audit Report'!Q1144</f>
        <v>0</v>
      </c>
    </row>
    <row r="1145" spans="4:19">
      <c r="D1145">
        <f>'Audit Report'!B1145</f>
        <v>0</v>
      </c>
      <c r="E1145">
        <f>'Audit Report'!C1145</f>
        <v>0</v>
      </c>
      <c r="I1145">
        <f>'Audit Report'!D1145</f>
        <v>0</v>
      </c>
      <c r="J1145">
        <f>'Audit Report'!H1145</f>
        <v>0</v>
      </c>
      <c r="L1145" t="str">
        <f>_xlfn.TEXTJOIN(", ", TRUE, 'Audit Report'!K1145,'Audit Report'!L1145,'Audit Report'!M1145)</f>
        <v/>
      </c>
      <c r="M1145">
        <f>'Audit Report'!O1145</f>
        <v>0</v>
      </c>
      <c r="N1145" t="str" cm="1">
        <f t="array" ref="N1145">IF(M1145="","",
_xlfn.TEXTJOIN(", ",TRUE,
    _xlfn.MAP(_xlfn.TEXTSPLIT(M1145,","),_xlfn.LAMBDA(_xlpm.x,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5">
        <f>'Audit Report'!F1145</f>
        <v>0</v>
      </c>
      <c r="S1145">
        <f>'Audit Report'!Q1145</f>
        <v>0</v>
      </c>
    </row>
    <row r="1146" spans="4:19">
      <c r="D1146">
        <f>'Audit Report'!B1146</f>
        <v>0</v>
      </c>
      <c r="E1146">
        <f>'Audit Report'!C1146</f>
        <v>0</v>
      </c>
      <c r="I1146">
        <f>'Audit Report'!D1146</f>
        <v>0</v>
      </c>
      <c r="J1146">
        <f>'Audit Report'!H1146</f>
        <v>0</v>
      </c>
      <c r="L1146" t="str">
        <f>_xlfn.TEXTJOIN(", ", TRUE, 'Audit Report'!K1146,'Audit Report'!L1146,'Audit Report'!M1146)</f>
        <v/>
      </c>
      <c r="M1146">
        <f>'Audit Report'!O1146</f>
        <v>0</v>
      </c>
      <c r="N1146" t="str" cm="1">
        <f t="array" ref="N1146">IF(M1146="","",
_xlfn.TEXTJOIN(", ",TRUE,
    _xlfn.MAP(_xlfn.TEXTSPLIT(M1146,","),_xlfn.LAMBDA(_xlpm.x,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6">
        <f>'Audit Report'!F1146</f>
        <v>0</v>
      </c>
      <c r="S1146">
        <f>'Audit Report'!Q1146</f>
        <v>0</v>
      </c>
    </row>
    <row r="1147" spans="4:19">
      <c r="D1147">
        <f>'Audit Report'!B1147</f>
        <v>0</v>
      </c>
      <c r="E1147">
        <f>'Audit Report'!C1147</f>
        <v>0</v>
      </c>
      <c r="I1147">
        <f>'Audit Report'!D1147</f>
        <v>0</v>
      </c>
      <c r="J1147">
        <f>'Audit Report'!H1147</f>
        <v>0</v>
      </c>
      <c r="L1147" t="str">
        <f>_xlfn.TEXTJOIN(", ", TRUE, 'Audit Report'!K1147,'Audit Report'!L1147,'Audit Report'!M1147)</f>
        <v/>
      </c>
      <c r="M1147">
        <f>'Audit Report'!O1147</f>
        <v>0</v>
      </c>
      <c r="N1147" t="str" cm="1">
        <f t="array" ref="N1147">IF(M1147="","",
_xlfn.TEXTJOIN(", ",TRUE,
    _xlfn.MAP(_xlfn.TEXTSPLIT(M1147,","),_xlfn.LAMBDA(_xlpm.x,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7">
        <f>'Audit Report'!F1147</f>
        <v>0</v>
      </c>
      <c r="S1147">
        <f>'Audit Report'!Q1147</f>
        <v>0</v>
      </c>
    </row>
    <row r="1148" spans="4:19">
      <c r="D1148">
        <f>'Audit Report'!B1148</f>
        <v>0</v>
      </c>
      <c r="E1148">
        <f>'Audit Report'!C1148</f>
        <v>0</v>
      </c>
      <c r="I1148">
        <f>'Audit Report'!D1148</f>
        <v>0</v>
      </c>
      <c r="J1148">
        <f>'Audit Report'!H1148</f>
        <v>0</v>
      </c>
      <c r="L1148" t="str">
        <f>_xlfn.TEXTJOIN(", ", TRUE, 'Audit Report'!K1148,'Audit Report'!L1148,'Audit Report'!M1148)</f>
        <v/>
      </c>
      <c r="M1148">
        <f>'Audit Report'!O1148</f>
        <v>0</v>
      </c>
      <c r="N1148" t="str" cm="1">
        <f t="array" ref="N1148">IF(M1148="","",
_xlfn.TEXTJOIN(", ",TRUE,
    _xlfn.MAP(_xlfn.TEXTSPLIT(M1148,","),_xlfn.LAMBDA(_xlpm.x,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8">
        <f>'Audit Report'!F1148</f>
        <v>0</v>
      </c>
      <c r="S1148">
        <f>'Audit Report'!Q1148</f>
        <v>0</v>
      </c>
    </row>
    <row r="1149" spans="4:19">
      <c r="D1149">
        <f>'Audit Report'!B1149</f>
        <v>0</v>
      </c>
      <c r="E1149">
        <f>'Audit Report'!C1149</f>
        <v>0</v>
      </c>
      <c r="I1149">
        <f>'Audit Report'!D1149</f>
        <v>0</v>
      </c>
      <c r="J1149">
        <f>'Audit Report'!H1149</f>
        <v>0</v>
      </c>
      <c r="L1149" t="str">
        <f>_xlfn.TEXTJOIN(", ", TRUE, 'Audit Report'!K1149,'Audit Report'!L1149,'Audit Report'!M1149)</f>
        <v/>
      </c>
      <c r="M1149">
        <f>'Audit Report'!O1149</f>
        <v>0</v>
      </c>
      <c r="N1149" t="str" cm="1">
        <f t="array" ref="N1149">IF(M1149="","",
_xlfn.TEXTJOIN(", ",TRUE,
    _xlfn.MAP(_xlfn.TEXTSPLIT(M1149,","),_xlfn.LAMBDA(_xlpm.x,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9">
        <f>'Audit Report'!F1149</f>
        <v>0</v>
      </c>
      <c r="S1149">
        <f>'Audit Report'!Q1149</f>
        <v>0</v>
      </c>
    </row>
    <row r="1150" spans="4:19">
      <c r="D1150">
        <f>'Audit Report'!B1150</f>
        <v>0</v>
      </c>
      <c r="E1150">
        <f>'Audit Report'!C1150</f>
        <v>0</v>
      </c>
      <c r="I1150">
        <f>'Audit Report'!D1150</f>
        <v>0</v>
      </c>
      <c r="J1150">
        <f>'Audit Report'!H1150</f>
        <v>0</v>
      </c>
      <c r="L1150" t="str">
        <f>_xlfn.TEXTJOIN(", ", TRUE, 'Audit Report'!K1150,'Audit Report'!L1150,'Audit Report'!M1150)</f>
        <v/>
      </c>
      <c r="M1150">
        <f>'Audit Report'!O1150</f>
        <v>0</v>
      </c>
      <c r="N1150" t="str" cm="1">
        <f t="array" ref="N1150">IF(M1150="","",
_xlfn.TEXTJOIN(", ",TRUE,
    _xlfn.MAP(_xlfn.TEXTSPLIT(M1150,","),_xlfn.LAMBDA(_xlpm.x,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0">
        <f>'Audit Report'!F1150</f>
        <v>0</v>
      </c>
      <c r="S1150">
        <f>'Audit Report'!Q1150</f>
        <v>0</v>
      </c>
    </row>
    <row r="1151" spans="4:19">
      <c r="D1151">
        <f>'Audit Report'!B1151</f>
        <v>0</v>
      </c>
      <c r="E1151">
        <f>'Audit Report'!C1151</f>
        <v>0</v>
      </c>
      <c r="I1151">
        <f>'Audit Report'!D1151</f>
        <v>0</v>
      </c>
      <c r="J1151">
        <f>'Audit Report'!H1151</f>
        <v>0</v>
      </c>
      <c r="L1151" t="str">
        <f>_xlfn.TEXTJOIN(", ", TRUE, 'Audit Report'!K1151,'Audit Report'!L1151,'Audit Report'!M1151)</f>
        <v/>
      </c>
      <c r="M1151">
        <f>'Audit Report'!O1151</f>
        <v>0</v>
      </c>
      <c r="N1151" t="str" cm="1">
        <f t="array" ref="N1151">IF(M1151="","",
_xlfn.TEXTJOIN(", ",TRUE,
    _xlfn.MAP(_xlfn.TEXTSPLIT(M1151,","),_xlfn.LAMBDA(_xlpm.x,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1">
        <f>'Audit Report'!F1151</f>
        <v>0</v>
      </c>
      <c r="S1151">
        <f>'Audit Report'!Q1151</f>
        <v>0</v>
      </c>
    </row>
    <row r="1152" spans="4:19">
      <c r="D1152">
        <f>'Audit Report'!B1152</f>
        <v>0</v>
      </c>
      <c r="E1152">
        <f>'Audit Report'!C1152</f>
        <v>0</v>
      </c>
      <c r="I1152">
        <f>'Audit Report'!D1152</f>
        <v>0</v>
      </c>
      <c r="J1152">
        <f>'Audit Report'!H1152</f>
        <v>0</v>
      </c>
      <c r="L1152" t="str">
        <f>_xlfn.TEXTJOIN(", ", TRUE, 'Audit Report'!K1152,'Audit Report'!L1152,'Audit Report'!M1152)</f>
        <v/>
      </c>
      <c r="M1152">
        <f>'Audit Report'!O1152</f>
        <v>0</v>
      </c>
      <c r="N1152" t="str" cm="1">
        <f t="array" ref="N1152">IF(M1152="","",
_xlfn.TEXTJOIN(", ",TRUE,
    _xlfn.MAP(_xlfn.TEXTSPLIT(M1152,","),_xlfn.LAMBDA(_xlpm.x,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2">
        <f>'Audit Report'!F1152</f>
        <v>0</v>
      </c>
      <c r="S1152">
        <f>'Audit Report'!Q1152</f>
        <v>0</v>
      </c>
    </row>
    <row r="1153" spans="4:19">
      <c r="D1153">
        <f>'Audit Report'!B1153</f>
        <v>0</v>
      </c>
      <c r="E1153">
        <f>'Audit Report'!C1153</f>
        <v>0</v>
      </c>
      <c r="I1153">
        <f>'Audit Report'!D1153</f>
        <v>0</v>
      </c>
      <c r="J1153">
        <f>'Audit Report'!H1153</f>
        <v>0</v>
      </c>
      <c r="L1153" t="str">
        <f>_xlfn.TEXTJOIN(", ", TRUE, 'Audit Report'!K1153,'Audit Report'!L1153,'Audit Report'!M1153)</f>
        <v/>
      </c>
      <c r="M1153">
        <f>'Audit Report'!O1153</f>
        <v>0</v>
      </c>
      <c r="N1153" t="str" cm="1">
        <f t="array" ref="N1153">IF(M1153="","",
_xlfn.TEXTJOIN(", ",TRUE,
    _xlfn.MAP(_xlfn.TEXTSPLIT(M1153,","),_xlfn.LAMBDA(_xlpm.x,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3">
        <f>'Audit Report'!F1153</f>
        <v>0</v>
      </c>
      <c r="S1153">
        <f>'Audit Report'!Q1153</f>
        <v>0</v>
      </c>
    </row>
    <row r="1154" spans="4:19">
      <c r="D1154">
        <f>'Audit Report'!B1154</f>
        <v>0</v>
      </c>
      <c r="E1154">
        <f>'Audit Report'!C1154</f>
        <v>0</v>
      </c>
      <c r="I1154">
        <f>'Audit Report'!D1154</f>
        <v>0</v>
      </c>
      <c r="J1154">
        <f>'Audit Report'!H1154</f>
        <v>0</v>
      </c>
      <c r="L1154" t="str">
        <f>_xlfn.TEXTJOIN(", ", TRUE, 'Audit Report'!K1154,'Audit Report'!L1154,'Audit Report'!M1154)</f>
        <v/>
      </c>
      <c r="M1154">
        <f>'Audit Report'!O1154</f>
        <v>0</v>
      </c>
      <c r="N1154" t="str" cm="1">
        <f t="array" ref="N1154">IF(M1154="","",
_xlfn.TEXTJOIN(", ",TRUE,
    _xlfn.MAP(_xlfn.TEXTSPLIT(M1154,","),_xlfn.LAMBDA(_xlpm.x,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4">
        <f>'Audit Report'!F1154</f>
        <v>0</v>
      </c>
      <c r="S1154">
        <f>'Audit Report'!Q1154</f>
        <v>0</v>
      </c>
    </row>
    <row r="1155" spans="4:19">
      <c r="D1155">
        <f>'Audit Report'!B1155</f>
        <v>0</v>
      </c>
      <c r="E1155">
        <f>'Audit Report'!C1155</f>
        <v>0</v>
      </c>
      <c r="I1155">
        <f>'Audit Report'!D1155</f>
        <v>0</v>
      </c>
      <c r="J1155">
        <f>'Audit Report'!H1155</f>
        <v>0</v>
      </c>
      <c r="L1155" t="str">
        <f>_xlfn.TEXTJOIN(", ", TRUE, 'Audit Report'!K1155,'Audit Report'!L1155,'Audit Report'!M1155)</f>
        <v/>
      </c>
      <c r="M1155">
        <f>'Audit Report'!O1155</f>
        <v>0</v>
      </c>
      <c r="N1155" t="str" cm="1">
        <f t="array" ref="N1155">IF(M1155="","",
_xlfn.TEXTJOIN(", ",TRUE,
    _xlfn.MAP(_xlfn.TEXTSPLIT(M1155,","),_xlfn.LAMBDA(_xlpm.x,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5">
        <f>'Audit Report'!F1155</f>
        <v>0</v>
      </c>
      <c r="S1155">
        <f>'Audit Report'!Q1155</f>
        <v>0</v>
      </c>
    </row>
    <row r="1156" spans="4:19">
      <c r="D1156">
        <f>'Audit Report'!B1156</f>
        <v>0</v>
      </c>
      <c r="E1156">
        <f>'Audit Report'!C1156</f>
        <v>0</v>
      </c>
      <c r="I1156">
        <f>'Audit Report'!D1156</f>
        <v>0</v>
      </c>
      <c r="J1156">
        <f>'Audit Report'!H1156</f>
        <v>0</v>
      </c>
      <c r="L1156" t="str">
        <f>_xlfn.TEXTJOIN(", ", TRUE, 'Audit Report'!K1156,'Audit Report'!L1156,'Audit Report'!M1156)</f>
        <v/>
      </c>
      <c r="M1156">
        <f>'Audit Report'!O1156</f>
        <v>0</v>
      </c>
      <c r="N1156" t="str" cm="1">
        <f t="array" ref="N1156">IF(M1156="","",
_xlfn.TEXTJOIN(", ",TRUE,
    _xlfn.MAP(_xlfn.TEXTSPLIT(M1156,","),_xlfn.LAMBDA(_xlpm.x,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6">
        <f>'Audit Report'!F1156</f>
        <v>0</v>
      </c>
      <c r="S1156">
        <f>'Audit Report'!Q1156</f>
        <v>0</v>
      </c>
    </row>
    <row r="1157" spans="4:19">
      <c r="D1157">
        <f>'Audit Report'!B1157</f>
        <v>0</v>
      </c>
      <c r="E1157">
        <f>'Audit Report'!C1157</f>
        <v>0</v>
      </c>
      <c r="I1157">
        <f>'Audit Report'!D1157</f>
        <v>0</v>
      </c>
      <c r="J1157">
        <f>'Audit Report'!H1157</f>
        <v>0</v>
      </c>
      <c r="L1157" t="str">
        <f>_xlfn.TEXTJOIN(", ", TRUE, 'Audit Report'!K1157,'Audit Report'!L1157,'Audit Report'!M1157)</f>
        <v/>
      </c>
      <c r="M1157">
        <f>'Audit Report'!O1157</f>
        <v>0</v>
      </c>
      <c r="N1157" t="str" cm="1">
        <f t="array" ref="N1157">IF(M1157="","",
_xlfn.TEXTJOIN(", ",TRUE,
    _xlfn.MAP(_xlfn.TEXTSPLIT(M1157,","),_xlfn.LAMBDA(_xlpm.x,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7">
        <f>'Audit Report'!F1157</f>
        <v>0</v>
      </c>
      <c r="S1157">
        <f>'Audit Report'!Q1157</f>
        <v>0</v>
      </c>
    </row>
    <row r="1158" spans="4:19">
      <c r="D1158">
        <f>'Audit Report'!B1158</f>
        <v>0</v>
      </c>
      <c r="E1158">
        <f>'Audit Report'!C1158</f>
        <v>0</v>
      </c>
      <c r="I1158">
        <f>'Audit Report'!D1158</f>
        <v>0</v>
      </c>
      <c r="J1158">
        <f>'Audit Report'!H1158</f>
        <v>0</v>
      </c>
      <c r="L1158" t="str">
        <f>_xlfn.TEXTJOIN(", ", TRUE, 'Audit Report'!K1158,'Audit Report'!L1158,'Audit Report'!M1158)</f>
        <v/>
      </c>
      <c r="M1158">
        <f>'Audit Report'!O1158</f>
        <v>0</v>
      </c>
      <c r="N1158" t="str" cm="1">
        <f t="array" ref="N1158">IF(M1158="","",
_xlfn.TEXTJOIN(", ",TRUE,
    _xlfn.MAP(_xlfn.TEXTSPLIT(M1158,","),_xlfn.LAMBDA(_xlpm.x,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8">
        <f>'Audit Report'!F1158</f>
        <v>0</v>
      </c>
      <c r="S1158">
        <f>'Audit Report'!Q1158</f>
        <v>0</v>
      </c>
    </row>
    <row r="1159" spans="4:19">
      <c r="D1159">
        <f>'Audit Report'!B1159</f>
        <v>0</v>
      </c>
      <c r="E1159">
        <f>'Audit Report'!C1159</f>
        <v>0</v>
      </c>
      <c r="I1159">
        <f>'Audit Report'!D1159</f>
        <v>0</v>
      </c>
      <c r="J1159">
        <f>'Audit Report'!H1159</f>
        <v>0</v>
      </c>
      <c r="L1159" t="str">
        <f>_xlfn.TEXTJOIN(", ", TRUE, 'Audit Report'!K1159,'Audit Report'!L1159,'Audit Report'!M1159)</f>
        <v/>
      </c>
      <c r="M1159">
        <f>'Audit Report'!O1159</f>
        <v>0</v>
      </c>
      <c r="N1159" t="str" cm="1">
        <f t="array" ref="N1159">IF(M1159="","",
_xlfn.TEXTJOIN(", ",TRUE,
    _xlfn.MAP(_xlfn.TEXTSPLIT(M1159,","),_xlfn.LAMBDA(_xlpm.x,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9">
        <f>'Audit Report'!F1159</f>
        <v>0</v>
      </c>
      <c r="S1159">
        <f>'Audit Report'!Q1159</f>
        <v>0</v>
      </c>
    </row>
    <row r="1160" spans="4:19">
      <c r="D1160">
        <f>'Audit Report'!B1160</f>
        <v>0</v>
      </c>
      <c r="E1160">
        <f>'Audit Report'!C1160</f>
        <v>0</v>
      </c>
      <c r="I1160">
        <f>'Audit Report'!D1160</f>
        <v>0</v>
      </c>
      <c r="J1160">
        <f>'Audit Report'!H1160</f>
        <v>0</v>
      </c>
      <c r="L1160" t="str">
        <f>_xlfn.TEXTJOIN(", ", TRUE, 'Audit Report'!K1160,'Audit Report'!L1160,'Audit Report'!M1160)</f>
        <v/>
      </c>
      <c r="M1160">
        <f>'Audit Report'!O1160</f>
        <v>0</v>
      </c>
      <c r="N1160" t="str" cm="1">
        <f t="array" ref="N1160">IF(M1160="","",
_xlfn.TEXTJOIN(", ",TRUE,
    _xlfn.MAP(_xlfn.TEXTSPLIT(M1160,","),_xlfn.LAMBDA(_xlpm.x,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0">
        <f>'Audit Report'!F1160</f>
        <v>0</v>
      </c>
      <c r="S1160">
        <f>'Audit Report'!Q1160</f>
        <v>0</v>
      </c>
    </row>
    <row r="1161" spans="4:19">
      <c r="I1161">
        <f>'Audit Report'!D1161</f>
        <v>0</v>
      </c>
      <c r="J1161">
        <f>'Audit Report'!H1161</f>
        <v>0</v>
      </c>
      <c r="L1161" t="str">
        <f>_xlfn.TEXTJOIN(", ", TRUE, 'Audit Report'!K1161,'Audit Report'!L1161,'Audit Report'!M1161)</f>
        <v/>
      </c>
      <c r="M1161">
        <f>'Audit Report'!O1161</f>
        <v>0</v>
      </c>
      <c r="N1161" t="str" cm="1">
        <f t="array" ref="N1161">IF(M1161="","",
_xlfn.TEXTJOIN(", ",TRUE,
    _xlfn.MAP(_xlfn.TEXTSPLIT(M1161,","),_xlfn.LAMBDA(_xlpm.x,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1">
        <f>'Audit Report'!F1161</f>
        <v>0</v>
      </c>
      <c r="S1161">
        <f>'Audit Report'!Q1161</f>
        <v>0</v>
      </c>
    </row>
    <row r="1162" spans="4:19">
      <c r="I1162">
        <f>'Audit Report'!D1162</f>
        <v>0</v>
      </c>
      <c r="J1162">
        <f>'Audit Report'!H1162</f>
        <v>0</v>
      </c>
      <c r="L1162" t="str">
        <f>_xlfn.TEXTJOIN(", ", TRUE, 'Audit Report'!K1162,'Audit Report'!L1162,'Audit Report'!M1162)</f>
        <v/>
      </c>
      <c r="M1162">
        <f>'Audit Report'!O1162</f>
        <v>0</v>
      </c>
      <c r="N1162" t="str" cm="1">
        <f t="array" ref="N1162">IF(M1162="","",
_xlfn.TEXTJOIN(", ",TRUE,
    _xlfn.MAP(_xlfn.TEXTSPLIT(M1162,","),_xlfn.LAMBDA(_xlpm.x,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2">
        <f>'Audit Report'!F1162</f>
        <v>0</v>
      </c>
      <c r="S1162">
        <f>'Audit Report'!Q1162</f>
        <v>0</v>
      </c>
    </row>
    <row r="1163" spans="4:19">
      <c r="I1163">
        <f>'Audit Report'!D1163</f>
        <v>0</v>
      </c>
      <c r="J1163">
        <f>'Audit Report'!H1163</f>
        <v>0</v>
      </c>
      <c r="L1163" t="str">
        <f>_xlfn.TEXTJOIN(", ", TRUE, 'Audit Report'!K1163,'Audit Report'!L1163,'Audit Report'!M1163)</f>
        <v/>
      </c>
      <c r="M1163">
        <f>'Audit Report'!O1163</f>
        <v>0</v>
      </c>
      <c r="N1163" t="str" cm="1">
        <f t="array" ref="N1163">IF(M1163="","",
_xlfn.TEXTJOIN(", ",TRUE,
    _xlfn.MAP(_xlfn.TEXTSPLIT(M1163,","),_xlfn.LAMBDA(_xlpm.x,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3">
        <f>'Audit Report'!F1163</f>
        <v>0</v>
      </c>
      <c r="S1163">
        <f>'Audit Report'!Q1163</f>
        <v>0</v>
      </c>
    </row>
    <row r="1164" spans="4:19">
      <c r="I1164">
        <f>'Audit Report'!D1164</f>
        <v>0</v>
      </c>
      <c r="J1164">
        <f>'Audit Report'!H1164</f>
        <v>0</v>
      </c>
      <c r="L1164" t="str">
        <f>_xlfn.TEXTJOIN(", ", TRUE, 'Audit Report'!K1164,'Audit Report'!L1164,'Audit Report'!M1164)</f>
        <v/>
      </c>
      <c r="M1164">
        <f>'Audit Report'!O1164</f>
        <v>0</v>
      </c>
      <c r="N1164" t="str" cm="1">
        <f t="array" ref="N1164">IF(M1164="","",
_xlfn.TEXTJOIN(", ",TRUE,
    _xlfn.MAP(_xlfn.TEXTSPLIT(M1164,","),_xlfn.LAMBDA(_xlpm.x,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4">
        <f>'Audit Report'!F1164</f>
        <v>0</v>
      </c>
      <c r="S1164">
        <f>'Audit Report'!Q1164</f>
        <v>0</v>
      </c>
    </row>
    <row r="1165" spans="4:19">
      <c r="I1165">
        <f>'Audit Report'!D1165</f>
        <v>0</v>
      </c>
      <c r="J1165">
        <f>'Audit Report'!H1165</f>
        <v>0</v>
      </c>
      <c r="L1165" t="str">
        <f>_xlfn.TEXTJOIN(", ", TRUE, 'Audit Report'!K1165,'Audit Report'!L1165,'Audit Report'!M1165)</f>
        <v/>
      </c>
      <c r="M1165">
        <f>'Audit Report'!O1165</f>
        <v>0</v>
      </c>
      <c r="N1165" t="str" cm="1">
        <f t="array" ref="N1165">IF(M1165="","",
_xlfn.TEXTJOIN(", ",TRUE,
    _xlfn.MAP(_xlfn.TEXTSPLIT(M1165,","),_xlfn.LAMBDA(_xlpm.x,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5">
        <f>'Audit Report'!F1165</f>
        <v>0</v>
      </c>
      <c r="S1165">
        <f>'Audit Report'!Q1165</f>
        <v>0</v>
      </c>
    </row>
    <row r="1166" spans="4:19">
      <c r="I1166">
        <f>'Audit Report'!D1166</f>
        <v>0</v>
      </c>
      <c r="J1166">
        <f>'Audit Report'!H1166</f>
        <v>0</v>
      </c>
      <c r="L1166" t="str">
        <f>_xlfn.TEXTJOIN(", ", TRUE, 'Audit Report'!K1166,'Audit Report'!L1166,'Audit Report'!M1166)</f>
        <v/>
      </c>
      <c r="M1166">
        <f>'Audit Report'!O1166</f>
        <v>0</v>
      </c>
      <c r="N1166" t="str" cm="1">
        <f t="array" ref="N1166">IF(M1166="","",
_xlfn.TEXTJOIN(", ",TRUE,
    _xlfn.MAP(_xlfn.TEXTSPLIT(M1166,","),_xlfn.LAMBDA(_xlpm.x,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6">
        <f>'Audit Report'!F1166</f>
        <v>0</v>
      </c>
      <c r="S1166">
        <f>'Audit Report'!Q1166</f>
        <v>0</v>
      </c>
    </row>
    <row r="1167" spans="4:19">
      <c r="I1167">
        <f>'Audit Report'!D1167</f>
        <v>0</v>
      </c>
      <c r="J1167">
        <f>'Audit Report'!H1167</f>
        <v>0</v>
      </c>
      <c r="L1167" t="str">
        <f>_xlfn.TEXTJOIN(", ", TRUE, 'Audit Report'!K1167,'Audit Report'!L1167,'Audit Report'!M1167)</f>
        <v/>
      </c>
      <c r="M1167">
        <f>'Audit Report'!O1167</f>
        <v>0</v>
      </c>
      <c r="N1167" t="str" cm="1">
        <f t="array" ref="N1167">IF(M1167="","",
_xlfn.TEXTJOIN(", ",TRUE,
    _xlfn.MAP(_xlfn.TEXTSPLIT(M1167,","),_xlfn.LAMBDA(_xlpm.x,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7">
        <f>'Audit Report'!F1167</f>
        <v>0</v>
      </c>
      <c r="S1167">
        <f>'Audit Report'!Q1167</f>
        <v>0</v>
      </c>
    </row>
    <row r="1168" spans="4:19">
      <c r="I1168">
        <f>'Audit Report'!D1168</f>
        <v>0</v>
      </c>
      <c r="J1168">
        <f>'Audit Report'!H1168</f>
        <v>0</v>
      </c>
      <c r="L1168" t="str">
        <f>_xlfn.TEXTJOIN(", ", TRUE, 'Audit Report'!K1168,'Audit Report'!L1168,'Audit Report'!M1168)</f>
        <v/>
      </c>
      <c r="M1168">
        <f>'Audit Report'!O1168</f>
        <v>0</v>
      </c>
      <c r="N1168" t="str" cm="1">
        <f t="array" ref="N1168">IF(M1168="","",
_xlfn.TEXTJOIN(", ",TRUE,
    _xlfn.MAP(_xlfn.TEXTSPLIT(M1168,","),_xlfn.LAMBDA(_xlpm.x,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8">
        <f>'Audit Report'!F1168</f>
        <v>0</v>
      </c>
      <c r="S1168">
        <f>'Audit Report'!Q1168</f>
        <v>0</v>
      </c>
    </row>
    <row r="1169" spans="9:19">
      <c r="I1169">
        <f>'Audit Report'!D1169</f>
        <v>0</v>
      </c>
      <c r="J1169">
        <f>'Audit Report'!H1169</f>
        <v>0</v>
      </c>
      <c r="L1169" t="str">
        <f>_xlfn.TEXTJOIN(", ", TRUE, 'Audit Report'!K1169,'Audit Report'!L1169,'Audit Report'!M1169)</f>
        <v/>
      </c>
      <c r="M1169">
        <f>'Audit Report'!O1169</f>
        <v>0</v>
      </c>
      <c r="N1169" t="str" cm="1">
        <f t="array" ref="N1169">IF(M1169="","",
_xlfn.TEXTJOIN(", ",TRUE,
    _xlfn.MAP(_xlfn.TEXTSPLIT(M1169,","),_xlfn.LAMBDA(_xlpm.x,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9">
        <f>'Audit Report'!F1169</f>
        <v>0</v>
      </c>
      <c r="S1169">
        <f>'Audit Report'!Q1169</f>
        <v>0</v>
      </c>
    </row>
    <row r="1170" spans="9:19">
      <c r="I1170">
        <f>'Audit Report'!D1170</f>
        <v>0</v>
      </c>
      <c r="J1170">
        <f>'Audit Report'!H1170</f>
        <v>0</v>
      </c>
      <c r="L1170" t="str">
        <f>_xlfn.TEXTJOIN(", ", TRUE, 'Audit Report'!K1170,'Audit Report'!L1170,'Audit Report'!M1170)</f>
        <v/>
      </c>
      <c r="M1170">
        <f>'Audit Report'!O1170</f>
        <v>0</v>
      </c>
      <c r="N1170" t="str" cm="1">
        <f t="array" ref="N1170">IF(M1170="","",
_xlfn.TEXTJOIN(", ",TRUE,
    _xlfn.MAP(_xlfn.TEXTSPLIT(M1170,","),_xlfn.LAMBDA(_xlpm.x,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0">
        <f>'Audit Report'!F1170</f>
        <v>0</v>
      </c>
      <c r="S1170">
        <f>'Audit Report'!Q1170</f>
        <v>0</v>
      </c>
    </row>
    <row r="1171" spans="9:19">
      <c r="I1171">
        <f>'Audit Report'!D1171</f>
        <v>0</v>
      </c>
      <c r="J1171">
        <f>'Audit Report'!H1171</f>
        <v>0</v>
      </c>
      <c r="L1171" t="str">
        <f>_xlfn.TEXTJOIN(", ", TRUE, 'Audit Report'!K1171,'Audit Report'!L1171,'Audit Report'!M1171)</f>
        <v/>
      </c>
      <c r="M1171">
        <f>'Audit Report'!O1171</f>
        <v>0</v>
      </c>
      <c r="N1171" t="str" cm="1">
        <f t="array" ref="N1171">IF(M1171="","",
_xlfn.TEXTJOIN(", ",TRUE,
    _xlfn.MAP(_xlfn.TEXTSPLIT(M1171,","),_xlfn.LAMBDA(_xlpm.x,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1">
        <f>'Audit Report'!F1171</f>
        <v>0</v>
      </c>
      <c r="S1171">
        <f>'Audit Report'!Q1171</f>
        <v>0</v>
      </c>
    </row>
    <row r="1172" spans="9:19">
      <c r="I1172">
        <f>'Audit Report'!D1172</f>
        <v>0</v>
      </c>
      <c r="J1172">
        <f>'Audit Report'!H1172</f>
        <v>0</v>
      </c>
      <c r="L1172" t="str">
        <f>_xlfn.TEXTJOIN(", ", TRUE, 'Audit Report'!K1172,'Audit Report'!L1172,'Audit Report'!M1172)</f>
        <v/>
      </c>
      <c r="M1172">
        <f>'Audit Report'!O1172</f>
        <v>0</v>
      </c>
      <c r="N1172" t="str" cm="1">
        <f t="array" ref="N1172">IF(M1172="","",
_xlfn.TEXTJOIN(", ",TRUE,
    _xlfn.MAP(_xlfn.TEXTSPLIT(M1172,","),_xlfn.LAMBDA(_xlpm.x,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2">
        <f>'Audit Report'!F1172</f>
        <v>0</v>
      </c>
      <c r="S1172">
        <f>'Audit Report'!Q1172</f>
        <v>0</v>
      </c>
    </row>
    <row r="1173" spans="9:19">
      <c r="I1173">
        <f>'Audit Report'!D1173</f>
        <v>0</v>
      </c>
      <c r="J1173">
        <f>'Audit Report'!H1173</f>
        <v>0</v>
      </c>
      <c r="L1173" t="str">
        <f>_xlfn.TEXTJOIN(", ", TRUE, 'Audit Report'!K1173,'Audit Report'!L1173,'Audit Report'!M1173)</f>
        <v/>
      </c>
      <c r="M1173">
        <f>'Audit Report'!O1173</f>
        <v>0</v>
      </c>
      <c r="N1173" t="str" cm="1">
        <f t="array" ref="N1173">IF(M1173="","",
_xlfn.TEXTJOIN(", ",TRUE,
    _xlfn.MAP(_xlfn.TEXTSPLIT(M1173,","),_xlfn.LAMBDA(_xlpm.x,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3">
        <f>'Audit Report'!F1173</f>
        <v>0</v>
      </c>
      <c r="S1173">
        <f>'Audit Report'!Q1173</f>
        <v>0</v>
      </c>
    </row>
    <row r="1174" spans="9:19">
      <c r="I1174">
        <f>'Audit Report'!D1174</f>
        <v>0</v>
      </c>
      <c r="J1174">
        <f>'Audit Report'!H1174</f>
        <v>0</v>
      </c>
      <c r="L1174" t="str">
        <f>_xlfn.TEXTJOIN(", ", TRUE, 'Audit Report'!K1174,'Audit Report'!L1174,'Audit Report'!M1174)</f>
        <v/>
      </c>
      <c r="M1174">
        <f>'Audit Report'!O1174</f>
        <v>0</v>
      </c>
      <c r="N1174" t="str" cm="1">
        <f t="array" ref="N1174">IF(M1174="","",
_xlfn.TEXTJOIN(", ",TRUE,
    _xlfn.MAP(_xlfn.TEXTSPLIT(M1174,","),_xlfn.LAMBDA(_xlpm.x,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4">
        <f>'Audit Report'!F1174</f>
        <v>0</v>
      </c>
      <c r="S1174">
        <f>'Audit Report'!Q1174</f>
        <v>0</v>
      </c>
    </row>
    <row r="1175" spans="9:19">
      <c r="I1175">
        <f>'Audit Report'!D1175</f>
        <v>0</v>
      </c>
      <c r="J1175">
        <f>'Audit Report'!H1175</f>
        <v>0</v>
      </c>
      <c r="L1175" t="str">
        <f>_xlfn.TEXTJOIN(", ", TRUE, 'Audit Report'!K1175,'Audit Report'!L1175,'Audit Report'!M1175)</f>
        <v/>
      </c>
      <c r="M1175">
        <f>'Audit Report'!O1175</f>
        <v>0</v>
      </c>
      <c r="N1175" t="str" cm="1">
        <f t="array" ref="N1175">IF(M1175="","",
_xlfn.TEXTJOIN(", ",TRUE,
    _xlfn.MAP(_xlfn.TEXTSPLIT(M1175,","),_xlfn.LAMBDA(_xlpm.x,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5">
        <f>'Audit Report'!F1175</f>
        <v>0</v>
      </c>
      <c r="S1175">
        <f>'Audit Report'!Q1175</f>
        <v>0</v>
      </c>
    </row>
    <row r="1176" spans="9:19">
      <c r="I1176">
        <f>'Audit Report'!D1176</f>
        <v>0</v>
      </c>
      <c r="J1176">
        <f>'Audit Report'!H1176</f>
        <v>0</v>
      </c>
      <c r="L1176" t="str">
        <f>_xlfn.TEXTJOIN(", ", TRUE, 'Audit Report'!K1176,'Audit Report'!L1176,'Audit Report'!M1176)</f>
        <v/>
      </c>
      <c r="M1176">
        <f>'Audit Report'!O1176</f>
        <v>0</v>
      </c>
      <c r="N1176" t="str" cm="1">
        <f t="array" ref="N1176">IF(M1176="","",
_xlfn.TEXTJOIN(", ",TRUE,
    _xlfn.MAP(_xlfn.TEXTSPLIT(M1176,","),_xlfn.LAMBDA(_xlpm.x,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6">
        <f>'Audit Report'!F1176</f>
        <v>0</v>
      </c>
      <c r="S1176">
        <f>'Audit Report'!Q1176</f>
        <v>0</v>
      </c>
    </row>
    <row r="1177" spans="9:19">
      <c r="I1177">
        <f>'Audit Report'!D1177</f>
        <v>0</v>
      </c>
      <c r="J1177">
        <f>'Audit Report'!H1177</f>
        <v>0</v>
      </c>
      <c r="L1177" t="str">
        <f>_xlfn.TEXTJOIN(", ", TRUE, 'Audit Report'!K1177,'Audit Report'!L1177,'Audit Report'!M1177)</f>
        <v/>
      </c>
      <c r="M1177">
        <f>'Audit Report'!O1177</f>
        <v>0</v>
      </c>
      <c r="N1177" t="str" cm="1">
        <f t="array" ref="N1177">IF(M1177="","",
_xlfn.TEXTJOIN(", ",TRUE,
    _xlfn.MAP(_xlfn.TEXTSPLIT(M1177,","),_xlfn.LAMBDA(_xlpm.x,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7">
        <f>'Audit Report'!F1177</f>
        <v>0</v>
      </c>
      <c r="S1177">
        <f>'Audit Report'!Q1177</f>
        <v>0</v>
      </c>
    </row>
    <row r="1178" spans="9:19">
      <c r="I1178">
        <f>'Audit Report'!D1178</f>
        <v>0</v>
      </c>
      <c r="J1178">
        <f>'Audit Report'!H1178</f>
        <v>0</v>
      </c>
      <c r="L1178" t="str">
        <f>_xlfn.TEXTJOIN(", ", TRUE, 'Audit Report'!K1178,'Audit Report'!L1178,'Audit Report'!M1178)</f>
        <v/>
      </c>
      <c r="M1178">
        <f>'Audit Report'!O1178</f>
        <v>0</v>
      </c>
      <c r="N1178" t="str" cm="1">
        <f t="array" ref="N1178">IF(M1178="","",
_xlfn.TEXTJOIN(", ",TRUE,
    _xlfn.MAP(_xlfn.TEXTSPLIT(M1178,","),_xlfn.LAMBDA(_xlpm.x,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8">
        <f>'Audit Report'!F1178</f>
        <v>0</v>
      </c>
      <c r="S1178">
        <f>'Audit Report'!Q1178</f>
        <v>0</v>
      </c>
    </row>
    <row r="1179" spans="9:19">
      <c r="I1179">
        <f>'Audit Report'!D1179</f>
        <v>0</v>
      </c>
      <c r="J1179">
        <f>'Audit Report'!H1179</f>
        <v>0</v>
      </c>
      <c r="L1179" t="str">
        <f>_xlfn.TEXTJOIN(", ", TRUE, 'Audit Report'!K1179,'Audit Report'!L1179,'Audit Report'!M1179)</f>
        <v/>
      </c>
      <c r="M1179">
        <f>'Audit Report'!O1179</f>
        <v>0</v>
      </c>
      <c r="N1179" t="str" cm="1">
        <f t="array" ref="N1179">IF(M1179="","",
_xlfn.TEXTJOIN(", ",TRUE,
    _xlfn.MAP(_xlfn.TEXTSPLIT(M1179,","),_xlfn.LAMBDA(_xlpm.x,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9">
        <f>'Audit Report'!F1179</f>
        <v>0</v>
      </c>
      <c r="S1179">
        <f>'Audit Report'!Q1179</f>
        <v>0</v>
      </c>
    </row>
    <row r="1180" spans="9:19">
      <c r="I1180">
        <f>'Audit Report'!D1180</f>
        <v>0</v>
      </c>
      <c r="J1180">
        <f>'Audit Report'!H1180</f>
        <v>0</v>
      </c>
      <c r="L1180" t="str">
        <f>_xlfn.TEXTJOIN(", ", TRUE, 'Audit Report'!K1180,'Audit Report'!L1180,'Audit Report'!M1180)</f>
        <v/>
      </c>
      <c r="M1180">
        <f>'Audit Report'!O1180</f>
        <v>0</v>
      </c>
      <c r="N1180" t="str" cm="1">
        <f t="array" ref="N1180">IF(M1180="","",
_xlfn.TEXTJOIN(", ",TRUE,
    _xlfn.MAP(_xlfn.TEXTSPLIT(M1180,","),_xlfn.LAMBDA(_xlpm.x,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0">
        <f>'Audit Report'!F1180</f>
        <v>0</v>
      </c>
      <c r="S1180">
        <f>'Audit Report'!Q1180</f>
        <v>0</v>
      </c>
    </row>
    <row r="1181" spans="9:19">
      <c r="I1181">
        <f>'Audit Report'!D1181</f>
        <v>0</v>
      </c>
      <c r="J1181">
        <f>'Audit Report'!H1181</f>
        <v>0</v>
      </c>
      <c r="L1181" t="str">
        <f>_xlfn.TEXTJOIN(", ", TRUE, 'Audit Report'!K1181,'Audit Report'!L1181,'Audit Report'!M1181)</f>
        <v/>
      </c>
      <c r="M1181">
        <f>'Audit Report'!O1181</f>
        <v>0</v>
      </c>
      <c r="N1181" t="str" cm="1">
        <f t="array" ref="N1181">IF(M1181="","",
_xlfn.TEXTJOIN(", ",TRUE,
    _xlfn.MAP(_xlfn.TEXTSPLIT(M1181,","),_xlfn.LAMBDA(_xlpm.x,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1">
        <f>'Audit Report'!F1181</f>
        <v>0</v>
      </c>
      <c r="S1181">
        <f>'Audit Report'!Q1181</f>
        <v>0</v>
      </c>
    </row>
    <row r="1182" spans="9:19">
      <c r="I1182">
        <f>'Audit Report'!D1182</f>
        <v>0</v>
      </c>
      <c r="J1182">
        <f>'Audit Report'!H1182</f>
        <v>0</v>
      </c>
      <c r="L1182" t="str">
        <f>_xlfn.TEXTJOIN(", ", TRUE, 'Audit Report'!K1182,'Audit Report'!L1182,'Audit Report'!M1182)</f>
        <v/>
      </c>
      <c r="M1182">
        <f>'Audit Report'!O1182</f>
        <v>0</v>
      </c>
      <c r="N1182" t="str" cm="1">
        <f t="array" ref="N1182">IF(M1182="","",
_xlfn.TEXTJOIN(", ",TRUE,
    _xlfn.MAP(_xlfn.TEXTSPLIT(M1182,","),_xlfn.LAMBDA(_xlpm.x,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2">
        <f>'Audit Report'!F1182</f>
        <v>0</v>
      </c>
      <c r="S1182">
        <f>'Audit Report'!Q1182</f>
        <v>0</v>
      </c>
    </row>
    <row r="1183" spans="9:19">
      <c r="I1183">
        <f>'Audit Report'!D1183</f>
        <v>0</v>
      </c>
      <c r="J1183">
        <f>'Audit Report'!H1183</f>
        <v>0</v>
      </c>
      <c r="L1183" t="str">
        <f>_xlfn.TEXTJOIN(", ", TRUE, 'Audit Report'!K1183,'Audit Report'!L1183,'Audit Report'!M1183)</f>
        <v/>
      </c>
      <c r="M1183">
        <f>'Audit Report'!O1183</f>
        <v>0</v>
      </c>
      <c r="N1183" t="str" cm="1">
        <f t="array" ref="N1183">IF(M1183="","",
_xlfn.TEXTJOIN(", ",TRUE,
    _xlfn.MAP(_xlfn.TEXTSPLIT(M1183,","),_xlfn.LAMBDA(_xlpm.x,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3">
        <f>'Audit Report'!F1183</f>
        <v>0</v>
      </c>
      <c r="S1183">
        <f>'Audit Report'!Q1183</f>
        <v>0</v>
      </c>
    </row>
    <row r="1184" spans="9:19">
      <c r="I1184">
        <f>'Audit Report'!D1184</f>
        <v>0</v>
      </c>
      <c r="J1184">
        <f>'Audit Report'!H1184</f>
        <v>0</v>
      </c>
      <c r="L1184" t="str">
        <f>_xlfn.TEXTJOIN(", ", TRUE, 'Audit Report'!K1184,'Audit Report'!L1184,'Audit Report'!M1184)</f>
        <v/>
      </c>
      <c r="M1184">
        <f>'Audit Report'!O1184</f>
        <v>0</v>
      </c>
      <c r="N1184" t="str" cm="1">
        <f t="array" ref="N1184">IF(M1184="","",
_xlfn.TEXTJOIN(", ",TRUE,
    _xlfn.MAP(_xlfn.TEXTSPLIT(M1184,","),_xlfn.LAMBDA(_xlpm.x,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4">
        <f>'Audit Report'!F1184</f>
        <v>0</v>
      </c>
      <c r="S1184">
        <f>'Audit Report'!Q1184</f>
        <v>0</v>
      </c>
    </row>
    <row r="1185" spans="9:19">
      <c r="I1185">
        <f>'Audit Report'!D1185</f>
        <v>0</v>
      </c>
      <c r="J1185">
        <f>'Audit Report'!H1185</f>
        <v>0</v>
      </c>
      <c r="L1185" t="str">
        <f>_xlfn.TEXTJOIN(", ", TRUE, 'Audit Report'!K1185,'Audit Report'!L1185,'Audit Report'!M1185)</f>
        <v/>
      </c>
      <c r="M1185">
        <f>'Audit Report'!O1185</f>
        <v>0</v>
      </c>
      <c r="N1185" t="str" cm="1">
        <f t="array" ref="N1185">IF(M1185="","",
_xlfn.TEXTJOIN(", ",TRUE,
    _xlfn.MAP(_xlfn.TEXTSPLIT(M1185,","),_xlfn.LAMBDA(_xlpm.x,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5">
        <f>'Audit Report'!F1185</f>
        <v>0</v>
      </c>
      <c r="S1185">
        <f>'Audit Report'!Q1185</f>
        <v>0</v>
      </c>
    </row>
    <row r="1186" spans="9:19">
      <c r="I1186">
        <f>'Audit Report'!D1186</f>
        <v>0</v>
      </c>
      <c r="J1186">
        <f>'Audit Report'!H1186</f>
        <v>0</v>
      </c>
      <c r="L1186" t="str">
        <f>_xlfn.TEXTJOIN(", ", TRUE, 'Audit Report'!K1186,'Audit Report'!L1186,'Audit Report'!M1186)</f>
        <v/>
      </c>
      <c r="M1186">
        <f>'Audit Report'!O1186</f>
        <v>0</v>
      </c>
      <c r="N1186" t="str" cm="1">
        <f t="array" ref="N1186">IF(M1186="","",
_xlfn.TEXTJOIN(", ",TRUE,
    _xlfn.MAP(_xlfn.TEXTSPLIT(M1186,","),_xlfn.LAMBDA(_xlpm.x,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6">
        <f>'Audit Report'!F1186</f>
        <v>0</v>
      </c>
      <c r="S1186">
        <f>'Audit Report'!Q1186</f>
        <v>0</v>
      </c>
    </row>
    <row r="1187" spans="9:19">
      <c r="I1187">
        <f>'Audit Report'!D1187</f>
        <v>0</v>
      </c>
      <c r="J1187">
        <f>'Audit Report'!H1187</f>
        <v>0</v>
      </c>
      <c r="L1187" t="str">
        <f>_xlfn.TEXTJOIN(", ", TRUE, 'Audit Report'!K1187,'Audit Report'!L1187,'Audit Report'!M1187)</f>
        <v/>
      </c>
      <c r="M1187">
        <f>'Audit Report'!O1187</f>
        <v>0</v>
      </c>
      <c r="N1187" t="str" cm="1">
        <f t="array" ref="N1187">IF(M1187="","",
_xlfn.TEXTJOIN(", ",TRUE,
    _xlfn.MAP(_xlfn.TEXTSPLIT(M1187,","),_xlfn.LAMBDA(_xlpm.x,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7">
        <f>'Audit Report'!F1187</f>
        <v>0</v>
      </c>
      <c r="S1187">
        <f>'Audit Report'!Q1187</f>
        <v>0</v>
      </c>
    </row>
    <row r="1188" spans="9:19">
      <c r="I1188">
        <f>'Audit Report'!D1188</f>
        <v>0</v>
      </c>
      <c r="J1188">
        <f>'Audit Report'!H1188</f>
        <v>0</v>
      </c>
      <c r="L1188" t="str">
        <f>_xlfn.TEXTJOIN(", ", TRUE, 'Audit Report'!K1188,'Audit Report'!L1188,'Audit Report'!M1188)</f>
        <v/>
      </c>
      <c r="M1188">
        <f>'Audit Report'!O1188</f>
        <v>0</v>
      </c>
      <c r="N1188" t="str" cm="1">
        <f t="array" ref="N1188">IF(M1188="","",
_xlfn.TEXTJOIN(", ",TRUE,
    _xlfn.MAP(_xlfn.TEXTSPLIT(M1188,","),_xlfn.LAMBDA(_xlpm.x,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8">
        <f>'Audit Report'!F1188</f>
        <v>0</v>
      </c>
      <c r="S1188">
        <f>'Audit Report'!Q1188</f>
        <v>0</v>
      </c>
    </row>
    <row r="1189" spans="9:19">
      <c r="I1189">
        <f>'Audit Report'!D1189</f>
        <v>0</v>
      </c>
      <c r="J1189">
        <f>'Audit Report'!H1189</f>
        <v>0</v>
      </c>
      <c r="L1189" t="str">
        <f>_xlfn.TEXTJOIN(", ", TRUE, 'Audit Report'!K1189,'Audit Report'!L1189,'Audit Report'!M1189)</f>
        <v/>
      </c>
      <c r="M1189">
        <f>'Audit Report'!O1189</f>
        <v>0</v>
      </c>
      <c r="N1189" t="str" cm="1">
        <f t="array" ref="N1189">IF(M1189="","",
_xlfn.TEXTJOIN(", ",TRUE,
    _xlfn.MAP(_xlfn.TEXTSPLIT(M1189,","),_xlfn.LAMBDA(_xlpm.x,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9">
        <f>'Audit Report'!F1189</f>
        <v>0</v>
      </c>
      <c r="S1189">
        <f>'Audit Report'!Q1189</f>
        <v>0</v>
      </c>
    </row>
    <row r="1190" spans="9:19">
      <c r="I1190">
        <f>'Audit Report'!D1190</f>
        <v>0</v>
      </c>
      <c r="J1190">
        <f>'Audit Report'!H1190</f>
        <v>0</v>
      </c>
      <c r="L1190" t="str">
        <f>_xlfn.TEXTJOIN(", ", TRUE, 'Audit Report'!K1190,'Audit Report'!L1190,'Audit Report'!M1190)</f>
        <v/>
      </c>
      <c r="M1190">
        <f>'Audit Report'!O1190</f>
        <v>0</v>
      </c>
      <c r="N1190" t="str" cm="1">
        <f t="array" ref="N1190">IF(M1190="","",
_xlfn.TEXTJOIN(", ",TRUE,
    _xlfn.MAP(_xlfn.TEXTSPLIT(M1190,","),_xlfn.LAMBDA(_xlpm.x,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0">
        <f>'Audit Report'!F1190</f>
        <v>0</v>
      </c>
      <c r="S1190">
        <f>'Audit Report'!Q1190</f>
        <v>0</v>
      </c>
    </row>
    <row r="1191" spans="9:19">
      <c r="I1191">
        <f>'Audit Report'!D1191</f>
        <v>0</v>
      </c>
      <c r="J1191">
        <f>'Audit Report'!H1191</f>
        <v>0</v>
      </c>
      <c r="L1191" t="str">
        <f>_xlfn.TEXTJOIN(", ", TRUE, 'Audit Report'!K1191,'Audit Report'!L1191,'Audit Report'!M1191)</f>
        <v/>
      </c>
      <c r="M1191">
        <f>'Audit Report'!O1191</f>
        <v>0</v>
      </c>
      <c r="N1191" t="str" cm="1">
        <f t="array" ref="N1191">IF(M1191="","",
_xlfn.TEXTJOIN(", ",TRUE,
    _xlfn.MAP(_xlfn.TEXTSPLIT(M1191,","),_xlfn.LAMBDA(_xlpm.x,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1">
        <f>'Audit Report'!F1191</f>
        <v>0</v>
      </c>
      <c r="S1191">
        <f>'Audit Report'!Q1191</f>
        <v>0</v>
      </c>
    </row>
    <row r="1192" spans="9:19">
      <c r="I1192">
        <f>'Audit Report'!D1192</f>
        <v>0</v>
      </c>
      <c r="J1192">
        <f>'Audit Report'!H1192</f>
        <v>0</v>
      </c>
      <c r="L1192" t="str">
        <f>_xlfn.TEXTJOIN(", ", TRUE, 'Audit Report'!K1192,'Audit Report'!L1192,'Audit Report'!M1192)</f>
        <v/>
      </c>
      <c r="M1192">
        <f>'Audit Report'!O1192</f>
        <v>0</v>
      </c>
      <c r="N1192" t="str" cm="1">
        <f t="array" ref="N1192">IF(M1192="","",
_xlfn.TEXTJOIN(", ",TRUE,
    _xlfn.MAP(_xlfn.TEXTSPLIT(M1192,","),_xlfn.LAMBDA(_xlpm.x,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2">
        <f>'Audit Report'!F1192</f>
        <v>0</v>
      </c>
      <c r="S1192">
        <f>'Audit Report'!Q1192</f>
        <v>0</v>
      </c>
    </row>
    <row r="1193" spans="9:19">
      <c r="I1193">
        <f>'Audit Report'!D1193</f>
        <v>0</v>
      </c>
      <c r="J1193">
        <f>'Audit Report'!H1193</f>
        <v>0</v>
      </c>
      <c r="L1193" t="str">
        <f>_xlfn.TEXTJOIN(", ", TRUE, 'Audit Report'!K1193,'Audit Report'!L1193,'Audit Report'!M1193)</f>
        <v/>
      </c>
      <c r="M1193">
        <f>'Audit Report'!O1193</f>
        <v>0</v>
      </c>
      <c r="N1193" t="str" cm="1">
        <f t="array" ref="N1193">IF(M1193="","",
_xlfn.TEXTJOIN(", ",TRUE,
    _xlfn.MAP(_xlfn.TEXTSPLIT(M1193,","),_xlfn.LAMBDA(_xlpm.x,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3">
        <f>'Audit Report'!F1193</f>
        <v>0</v>
      </c>
      <c r="S1193">
        <f>'Audit Report'!Q1193</f>
        <v>0</v>
      </c>
    </row>
    <row r="1194" spans="9:19">
      <c r="I1194">
        <f>'Audit Report'!D1194</f>
        <v>0</v>
      </c>
      <c r="J1194">
        <f>'Audit Report'!H1194</f>
        <v>0</v>
      </c>
      <c r="L1194" t="str">
        <f>_xlfn.TEXTJOIN(", ", TRUE, 'Audit Report'!K1194,'Audit Report'!L1194,'Audit Report'!M1194)</f>
        <v/>
      </c>
      <c r="M1194">
        <f>'Audit Report'!O1194</f>
        <v>0</v>
      </c>
      <c r="N1194" t="str" cm="1">
        <f t="array" ref="N1194">IF(M1194="","",
_xlfn.TEXTJOIN(", ",TRUE,
    _xlfn.MAP(_xlfn.TEXTSPLIT(M1194,","),_xlfn.LAMBDA(_xlpm.x,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4">
        <f>'Audit Report'!F1194</f>
        <v>0</v>
      </c>
      <c r="S1194">
        <f>'Audit Report'!Q1194</f>
        <v>0</v>
      </c>
    </row>
    <row r="1195" spans="9:19">
      <c r="I1195">
        <f>'Audit Report'!D1195</f>
        <v>0</v>
      </c>
      <c r="J1195">
        <f>'Audit Report'!H1195</f>
        <v>0</v>
      </c>
      <c r="L1195" t="str">
        <f>_xlfn.TEXTJOIN(", ", TRUE, 'Audit Report'!K1195,'Audit Report'!L1195,'Audit Report'!M1195)</f>
        <v/>
      </c>
      <c r="M1195">
        <f>'Audit Report'!O1195</f>
        <v>0</v>
      </c>
      <c r="N1195" t="str" cm="1">
        <f t="array" ref="N1195">IF(M1195="","",
_xlfn.TEXTJOIN(", ",TRUE,
    _xlfn.MAP(_xlfn.TEXTSPLIT(M1195,","),_xlfn.LAMBDA(_xlpm.x,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5">
        <f>'Audit Report'!F1195</f>
        <v>0</v>
      </c>
      <c r="S1195">
        <f>'Audit Report'!Q1195</f>
        <v>0</v>
      </c>
    </row>
    <row r="1196" spans="9:19">
      <c r="I1196">
        <f>'Audit Report'!D1196</f>
        <v>0</v>
      </c>
      <c r="J1196">
        <f>'Audit Report'!H1196</f>
        <v>0</v>
      </c>
      <c r="L1196" t="str">
        <f>_xlfn.TEXTJOIN(", ", TRUE, 'Audit Report'!K1196,'Audit Report'!L1196,'Audit Report'!M1196)</f>
        <v/>
      </c>
      <c r="M1196">
        <f>'Audit Report'!O1196</f>
        <v>0</v>
      </c>
      <c r="N1196" t="str" cm="1">
        <f t="array" ref="N1196">IF(M1196="","",
_xlfn.TEXTJOIN(", ",TRUE,
    _xlfn.MAP(_xlfn.TEXTSPLIT(M1196,","),_xlfn.LAMBDA(_xlpm.x,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6">
        <f>'Audit Report'!F1196</f>
        <v>0</v>
      </c>
      <c r="S1196">
        <f>'Audit Report'!Q1196</f>
        <v>0</v>
      </c>
    </row>
    <row r="1197" spans="9:19">
      <c r="I1197">
        <f>'Audit Report'!D1197</f>
        <v>0</v>
      </c>
      <c r="J1197">
        <f>'Audit Report'!H1197</f>
        <v>0</v>
      </c>
      <c r="L1197" t="str">
        <f>_xlfn.TEXTJOIN(", ", TRUE, 'Audit Report'!K1197,'Audit Report'!L1197,'Audit Report'!M1197)</f>
        <v/>
      </c>
      <c r="M1197">
        <f>'Audit Report'!O1197</f>
        <v>0</v>
      </c>
      <c r="N1197" t="str" cm="1">
        <f t="array" ref="N1197">IF(M1197="","",
_xlfn.TEXTJOIN(", ",TRUE,
    _xlfn.MAP(_xlfn.TEXTSPLIT(M1197,","),_xlfn.LAMBDA(_xlpm.x,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7">
        <f>'Audit Report'!F1197</f>
        <v>0</v>
      </c>
      <c r="S1197">
        <f>'Audit Report'!Q1197</f>
        <v>0</v>
      </c>
    </row>
    <row r="1198" spans="9:19">
      <c r="I1198">
        <f>'Audit Report'!D1198</f>
        <v>0</v>
      </c>
      <c r="J1198">
        <f>'Audit Report'!H1198</f>
        <v>0</v>
      </c>
      <c r="L1198" t="str">
        <f>_xlfn.TEXTJOIN(", ", TRUE, 'Audit Report'!K1198,'Audit Report'!L1198,'Audit Report'!M1198)</f>
        <v/>
      </c>
      <c r="M1198">
        <f>'Audit Report'!O1198</f>
        <v>0</v>
      </c>
      <c r="N1198" t="str" cm="1">
        <f t="array" ref="N1198">IF(M1198="","",
_xlfn.TEXTJOIN(", ",TRUE,
    _xlfn.MAP(_xlfn.TEXTSPLIT(M1198,","),_xlfn.LAMBDA(_xlpm.x,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8">
        <f>'Audit Report'!F1198</f>
        <v>0</v>
      </c>
      <c r="S1198">
        <f>'Audit Report'!Q1198</f>
        <v>0</v>
      </c>
    </row>
    <row r="1199" spans="9:19">
      <c r="I1199">
        <f>'Audit Report'!D1199</f>
        <v>0</v>
      </c>
      <c r="J1199">
        <f>'Audit Report'!H1199</f>
        <v>0</v>
      </c>
      <c r="L1199" t="str">
        <f>_xlfn.TEXTJOIN(", ", TRUE, 'Audit Report'!K1199,'Audit Report'!L1199,'Audit Report'!M1199)</f>
        <v/>
      </c>
      <c r="M1199">
        <f>'Audit Report'!O1199</f>
        <v>0</v>
      </c>
      <c r="N1199" t="str" cm="1">
        <f t="array" ref="N1199">IF(M1199="","",
_xlfn.TEXTJOIN(", ",TRUE,
    _xlfn.MAP(_xlfn.TEXTSPLIT(M1199,","),_xlfn.LAMBDA(_xlpm.x,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9">
        <f>'Audit Report'!F1199</f>
        <v>0</v>
      </c>
      <c r="S1199">
        <f>'Audit Report'!Q1199</f>
        <v>0</v>
      </c>
    </row>
    <row r="1200" spans="9:19">
      <c r="I1200">
        <f>'Audit Report'!D1200</f>
        <v>0</v>
      </c>
      <c r="J1200">
        <f>'Audit Report'!H1200</f>
        <v>0</v>
      </c>
      <c r="L1200" t="str">
        <f>_xlfn.TEXTJOIN(", ", TRUE, 'Audit Report'!K1200,'Audit Report'!L1200,'Audit Report'!M1200)</f>
        <v/>
      </c>
      <c r="M1200">
        <f>'Audit Report'!O1200</f>
        <v>0</v>
      </c>
      <c r="N1200" t="str" cm="1">
        <f t="array" ref="N1200">IF(M1200="","",
_xlfn.TEXTJOIN(", ",TRUE,
    _xlfn.MAP(_xlfn.TEXTSPLIT(M1200,","),_xlfn.LAMBDA(_xlpm.x,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0">
        <f>'Audit Report'!F1200</f>
        <v>0</v>
      </c>
      <c r="S1200">
        <f>'Audit Report'!Q1200</f>
        <v>0</v>
      </c>
    </row>
    <row r="1201" spans="9:19">
      <c r="I1201">
        <f>'Audit Report'!D1201</f>
        <v>0</v>
      </c>
      <c r="J1201">
        <f>'Audit Report'!H1201</f>
        <v>0</v>
      </c>
      <c r="L1201" t="str">
        <f>_xlfn.TEXTJOIN(", ", TRUE, 'Audit Report'!K1201,'Audit Report'!L1201,'Audit Report'!M1201)</f>
        <v/>
      </c>
      <c r="M1201">
        <f>'Audit Report'!O1201</f>
        <v>0</v>
      </c>
      <c r="N1201" t="str" cm="1">
        <f t="array" ref="N1201">IF(M1201="","",
_xlfn.TEXTJOIN(", ",TRUE,
    _xlfn.MAP(_xlfn.TEXTSPLIT(M1201,","),_xlfn.LAMBDA(_xlpm.x,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1">
        <f>'Audit Report'!F1201</f>
        <v>0</v>
      </c>
      <c r="S1201">
        <f>'Audit Report'!Q1201</f>
        <v>0</v>
      </c>
    </row>
    <row r="1202" spans="9:19">
      <c r="I1202">
        <f>'Audit Report'!D1202</f>
        <v>0</v>
      </c>
      <c r="J1202">
        <f>'Audit Report'!H1202</f>
        <v>0</v>
      </c>
      <c r="L1202" t="str">
        <f>_xlfn.TEXTJOIN(", ", TRUE, 'Audit Report'!K1202,'Audit Report'!L1202,'Audit Report'!M1202)</f>
        <v/>
      </c>
      <c r="M1202">
        <f>'Audit Report'!O1202</f>
        <v>0</v>
      </c>
      <c r="N1202" t="str" cm="1">
        <f t="array" ref="N1202">IF(M1202="","",
_xlfn.TEXTJOIN(", ",TRUE,
    _xlfn.MAP(_xlfn.TEXTSPLIT(M1202,","),_xlfn.LAMBDA(_xlpm.x,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2">
        <f>'Audit Report'!F1202</f>
        <v>0</v>
      </c>
      <c r="S1202">
        <f>'Audit Report'!Q1202</f>
        <v>0</v>
      </c>
    </row>
    <row r="1203" spans="9:19">
      <c r="I1203">
        <f>'Audit Report'!D1203</f>
        <v>0</v>
      </c>
      <c r="J1203">
        <f>'Audit Report'!H1203</f>
        <v>0</v>
      </c>
      <c r="L1203" t="str">
        <f>_xlfn.TEXTJOIN(", ", TRUE, 'Audit Report'!K1203,'Audit Report'!L1203,'Audit Report'!M1203)</f>
        <v/>
      </c>
      <c r="M1203">
        <f>'Audit Report'!O1203</f>
        <v>0</v>
      </c>
      <c r="N1203" t="str" cm="1">
        <f t="array" ref="N1203">IF(M1203="","",
_xlfn.TEXTJOIN(", ",TRUE,
    _xlfn.MAP(_xlfn.TEXTSPLIT(M1203,","),_xlfn.LAMBDA(_xlpm.x,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3">
        <f>'Audit Report'!F1203</f>
        <v>0</v>
      </c>
      <c r="S1203">
        <f>'Audit Report'!Q1203</f>
        <v>0</v>
      </c>
    </row>
    <row r="1204" spans="9:19">
      <c r="I1204">
        <f>'Audit Report'!D1204</f>
        <v>0</v>
      </c>
      <c r="J1204">
        <f>'Audit Report'!H1204</f>
        <v>0</v>
      </c>
      <c r="L1204" t="str">
        <f>_xlfn.TEXTJOIN(", ", TRUE, 'Audit Report'!K1204,'Audit Report'!L1204,'Audit Report'!M1204)</f>
        <v/>
      </c>
      <c r="M1204">
        <f>'Audit Report'!O1204</f>
        <v>0</v>
      </c>
      <c r="N1204" t="str" cm="1">
        <f t="array" ref="N1204">IF(M1204="","",
_xlfn.TEXTJOIN(", ",TRUE,
    _xlfn.MAP(_xlfn.TEXTSPLIT(M1204,","),_xlfn.LAMBDA(_xlpm.x,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4">
        <f>'Audit Report'!F1204</f>
        <v>0</v>
      </c>
      <c r="S1204">
        <f>'Audit Report'!Q1204</f>
        <v>0</v>
      </c>
    </row>
    <row r="1205" spans="9:19">
      <c r="I1205">
        <f>'Audit Report'!D1205</f>
        <v>0</v>
      </c>
      <c r="J1205">
        <f>'Audit Report'!H1205</f>
        <v>0</v>
      </c>
      <c r="L1205" t="str">
        <f>_xlfn.TEXTJOIN(", ", TRUE, 'Audit Report'!K1205,'Audit Report'!L1205,'Audit Report'!M1205)</f>
        <v/>
      </c>
      <c r="M1205">
        <f>'Audit Report'!O1205</f>
        <v>0</v>
      </c>
      <c r="N1205" t="str" cm="1">
        <f t="array" ref="N1205">IF(M1205="","",
_xlfn.TEXTJOIN(", ",TRUE,
    _xlfn.MAP(_xlfn.TEXTSPLIT(M1205,","),_xlfn.LAMBDA(_xlpm.x,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5">
        <f>'Audit Report'!F1205</f>
        <v>0</v>
      </c>
      <c r="S1205">
        <f>'Audit Report'!Q1205</f>
        <v>0</v>
      </c>
    </row>
    <row r="1206" spans="9:19">
      <c r="I1206">
        <f>'Audit Report'!D1206</f>
        <v>0</v>
      </c>
      <c r="J1206">
        <f>'Audit Report'!H1206</f>
        <v>0</v>
      </c>
      <c r="L1206" t="str">
        <f>_xlfn.TEXTJOIN(", ", TRUE, 'Audit Report'!K1206,'Audit Report'!L1206,'Audit Report'!M1206)</f>
        <v/>
      </c>
      <c r="M1206">
        <f>'Audit Report'!O1206</f>
        <v>0</v>
      </c>
      <c r="N1206" t="str" cm="1">
        <f t="array" ref="N1206">IF(M1206="","",
_xlfn.TEXTJOIN(", ",TRUE,
    _xlfn.MAP(_xlfn.TEXTSPLIT(M1206,","),_xlfn.LAMBDA(_xlpm.x,
        _xlfn.LET(
            _xlpm.item,TRIM(_xlpm.x),
            _xlpm.descCode, _xlfn.XLOOKUP(_xlpm.item,'Diagnostics Codes'!C1206:C1404,'Diagnostics Codes'!B1206:B1404,""),
            _xlpm.itadCode, IFERROR(
                INDEX('Diagnostics Codes'!B1206:B1404,
                    MATCH(TRUE,
                        _xlfn.BYROW('Diagnostics Codes'!D1206:D1404,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6">
        <f>'Audit Report'!F1206</f>
        <v>0</v>
      </c>
      <c r="S1206">
        <f>'Audit Report'!Q1206</f>
        <v>0</v>
      </c>
    </row>
    <row r="1207" spans="9:19">
      <c r="I1207">
        <f>'Audit Report'!D1207</f>
        <v>0</v>
      </c>
      <c r="J1207">
        <f>'Audit Report'!H1207</f>
        <v>0</v>
      </c>
      <c r="L1207" t="str">
        <f>_xlfn.TEXTJOIN(", ", TRUE, 'Audit Report'!K1207,'Audit Report'!L1207,'Audit Report'!M1207)</f>
        <v/>
      </c>
      <c r="M1207">
        <f>'Audit Report'!O1207</f>
        <v>0</v>
      </c>
      <c r="N1207" t="str" cm="1">
        <f t="array" ref="N1207">IF(M1207="","",
_xlfn.TEXTJOIN(", ",TRUE,
    _xlfn.MAP(_xlfn.TEXTSPLIT(M1207,","),_xlfn.LAMBDA(_xlpm.x,
        _xlfn.LET(
            _xlpm.item,TRIM(_xlpm.x),
            _xlpm.descCode, _xlfn.XLOOKUP(_xlpm.item,'Diagnostics Codes'!C1207:C1405,'Diagnostics Codes'!B1207:B1405,""),
            _xlpm.itadCode, IFERROR(
                INDEX('Diagnostics Codes'!B1207:B1405,
                    MATCH(TRUE,
                        _xlfn.BYROW('Diagnostics Codes'!D1207:D1405,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7">
        <f>'Audit Report'!F1207</f>
        <v>0</v>
      </c>
      <c r="S1207">
        <f>'Audit Report'!Q1207</f>
        <v>0</v>
      </c>
    </row>
    <row r="1208" spans="9:19">
      <c r="I1208">
        <f>'Audit Report'!D1208</f>
        <v>0</v>
      </c>
      <c r="J1208">
        <f>'Audit Report'!H1208</f>
        <v>0</v>
      </c>
      <c r="L1208" t="str">
        <f>_xlfn.TEXTJOIN(", ", TRUE, 'Audit Report'!K1208,'Audit Report'!L1208,'Audit Report'!M1208)</f>
        <v/>
      </c>
      <c r="M1208">
        <f>'Audit Report'!O1208</f>
        <v>0</v>
      </c>
      <c r="N1208" t="str" cm="1">
        <f t="array" ref="N1208">IF(M1208="","",
_xlfn.TEXTJOIN(", ",TRUE,
    _xlfn.MAP(_xlfn.TEXTSPLIT(M1208,","),_xlfn.LAMBDA(_xlpm.x,
        _xlfn.LET(
            _xlpm.item,TRIM(_xlpm.x),
            _xlpm.descCode, _xlfn.XLOOKUP(_xlpm.item,'Diagnostics Codes'!C1208:C1406,'Diagnostics Codes'!B1208:B1406,""),
            _xlpm.itadCode, IFERROR(
                INDEX('Diagnostics Codes'!B1208:B1406,
                    MATCH(TRUE,
                        _xlfn.BYROW('Diagnostics Codes'!D1208:D1406,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8">
        <f>'Audit Report'!F1208</f>
        <v>0</v>
      </c>
      <c r="S1208">
        <f>'Audit Report'!Q1208</f>
        <v>0</v>
      </c>
    </row>
    <row r="1209" spans="9:19">
      <c r="I1209">
        <f>'Audit Report'!D1209</f>
        <v>0</v>
      </c>
      <c r="J1209">
        <f>'Audit Report'!H1209</f>
        <v>0</v>
      </c>
      <c r="L1209" t="str">
        <f>_xlfn.TEXTJOIN(", ", TRUE, 'Audit Report'!K1209,'Audit Report'!L1209,'Audit Report'!M1209)</f>
        <v/>
      </c>
      <c r="M1209">
        <f>'Audit Report'!O1209</f>
        <v>0</v>
      </c>
      <c r="N1209" t="str" cm="1">
        <f t="array" ref="N1209">IF(M1209="","",
_xlfn.TEXTJOIN(", ",TRUE,
    _xlfn.MAP(_xlfn.TEXTSPLIT(M1209,","),_xlfn.LAMBDA(_xlpm.x,
        _xlfn.LET(
            _xlpm.item,TRIM(_xlpm.x),
            _xlpm.descCode, _xlfn.XLOOKUP(_xlpm.item,'Diagnostics Codes'!C1209:C1407,'Diagnostics Codes'!B1209:B1407,""),
            _xlpm.itadCode, IFERROR(
                INDEX('Diagnostics Codes'!B1209:B1407,
                    MATCH(TRUE,
                        _xlfn.BYROW('Diagnostics Codes'!D1209:D1407,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9">
        <f>'Audit Report'!F1209</f>
        <v>0</v>
      </c>
      <c r="S1209">
        <f>'Audit Report'!Q1209</f>
        <v>0</v>
      </c>
    </row>
    <row r="1210" spans="9:19">
      <c r="I1210">
        <f>'Audit Report'!D1210</f>
        <v>0</v>
      </c>
      <c r="J1210">
        <f>'Audit Report'!H1210</f>
        <v>0</v>
      </c>
      <c r="L1210" t="str">
        <f>_xlfn.TEXTJOIN(", ", TRUE, 'Audit Report'!K1210,'Audit Report'!L1210,'Audit Report'!M1210)</f>
        <v/>
      </c>
      <c r="M1210">
        <f>'Audit Report'!O1210</f>
        <v>0</v>
      </c>
      <c r="N1210" t="str" cm="1">
        <f t="array" ref="N1210">IF(M1210="","",
_xlfn.TEXTJOIN(", ",TRUE,
    _xlfn.MAP(_xlfn.TEXTSPLIT(M1210,","),_xlfn.LAMBDA(_xlpm.x,
        _xlfn.LET(
            _xlpm.item,TRIM(_xlpm.x),
            _xlpm.descCode, _xlfn.XLOOKUP(_xlpm.item,'Diagnostics Codes'!C1210:C1408,'Diagnostics Codes'!B1210:B1408,""),
            _xlpm.itadCode, IFERROR(
                INDEX('Diagnostics Codes'!B1210:B1408,
                    MATCH(TRUE,
                        _xlfn.BYROW('Diagnostics Codes'!D1210:D1408,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0">
        <f>'Audit Report'!F1210</f>
        <v>0</v>
      </c>
      <c r="S1210">
        <f>'Audit Report'!Q1210</f>
        <v>0</v>
      </c>
    </row>
    <row r="1211" spans="9:19">
      <c r="I1211">
        <f>'Audit Report'!D1211</f>
        <v>0</v>
      </c>
      <c r="J1211">
        <f>'Audit Report'!H1211</f>
        <v>0</v>
      </c>
      <c r="L1211" t="str">
        <f>_xlfn.TEXTJOIN(", ", TRUE, 'Audit Report'!K1211,'Audit Report'!L1211,'Audit Report'!M1211)</f>
        <v/>
      </c>
      <c r="M1211">
        <f>'Audit Report'!O1211</f>
        <v>0</v>
      </c>
      <c r="N1211" t="str" cm="1">
        <f t="array" ref="N1211">IF(M1211="","",
_xlfn.TEXTJOIN(", ",TRUE,
    _xlfn.MAP(_xlfn.TEXTSPLIT(M1211,","),_xlfn.LAMBDA(_xlpm.x,
        _xlfn.LET(
            _xlpm.item,TRIM(_xlpm.x),
            _xlpm.descCode, _xlfn.XLOOKUP(_xlpm.item,'Diagnostics Codes'!C1211:C1409,'Diagnostics Codes'!B1211:B1409,""),
            _xlpm.itadCode, IFERROR(
                INDEX('Diagnostics Codes'!B1211:B1409,
                    MATCH(TRUE,
                        _xlfn.BYROW('Diagnostics Codes'!D1211:D1409,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1">
        <f>'Audit Report'!F1211</f>
        <v>0</v>
      </c>
      <c r="S1211">
        <f>'Audit Report'!Q1211</f>
        <v>0</v>
      </c>
    </row>
    <row r="1212" spans="9:19">
      <c r="I1212">
        <f>'Audit Report'!D1212</f>
        <v>0</v>
      </c>
      <c r="J1212">
        <f>'Audit Report'!H1212</f>
        <v>0</v>
      </c>
      <c r="L1212" t="str">
        <f>_xlfn.TEXTJOIN(", ", TRUE, 'Audit Report'!K1212,'Audit Report'!L1212,'Audit Report'!M1212)</f>
        <v/>
      </c>
      <c r="M1212">
        <f>'Audit Report'!O1212</f>
        <v>0</v>
      </c>
      <c r="N1212" t="str" cm="1">
        <f t="array" ref="N1212">IF(M1212="","",
_xlfn.TEXTJOIN(", ",TRUE,
    _xlfn.MAP(_xlfn.TEXTSPLIT(M1212,","),_xlfn.LAMBDA(_xlpm.x,
        _xlfn.LET(
            _xlpm.item,TRIM(_xlpm.x),
            _xlpm.descCode, _xlfn.XLOOKUP(_xlpm.item,'Diagnostics Codes'!C1212:C1410,'Diagnostics Codes'!B1212:B1410,""),
            _xlpm.itadCode, IFERROR(
                INDEX('Diagnostics Codes'!B1212:B1410,
                    MATCH(TRUE,
                        _xlfn.BYROW('Diagnostics Codes'!D1212:D1410,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2">
        <f>'Audit Report'!F1212</f>
        <v>0</v>
      </c>
      <c r="S1212">
        <f>'Audit Report'!Q1212</f>
        <v>0</v>
      </c>
    </row>
    <row r="1213" spans="9:19">
      <c r="I1213">
        <f>'Audit Report'!D1213</f>
        <v>0</v>
      </c>
      <c r="J1213">
        <f>'Audit Report'!H1213</f>
        <v>0</v>
      </c>
      <c r="L1213" t="str">
        <f>_xlfn.TEXTJOIN(", ", TRUE, 'Audit Report'!K1213,'Audit Report'!L1213,'Audit Report'!M1213)</f>
        <v/>
      </c>
      <c r="M1213">
        <f>'Audit Report'!O1213</f>
        <v>0</v>
      </c>
      <c r="N1213" t="str" cm="1">
        <f t="array" ref="N1213">IF(M1213="","",
_xlfn.TEXTJOIN(", ",TRUE,
    _xlfn.MAP(_xlfn.TEXTSPLIT(M1213,","),_xlfn.LAMBDA(_xlpm.x,
        _xlfn.LET(
            _xlpm.item,TRIM(_xlpm.x),
            _xlpm.descCode, _xlfn.XLOOKUP(_xlpm.item,'Diagnostics Codes'!C1213:C1411,'Diagnostics Codes'!B1213:B1411,""),
            _xlpm.itadCode, IFERROR(
                INDEX('Diagnostics Codes'!B1213:B1411,
                    MATCH(TRUE,
                        _xlfn.BYROW('Diagnostics Codes'!D1213:D1411,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3">
        <f>'Audit Report'!F1213</f>
        <v>0</v>
      </c>
      <c r="S1213">
        <f>'Audit Report'!Q1213</f>
        <v>0</v>
      </c>
    </row>
    <row r="1214" spans="9:19">
      <c r="I1214">
        <f>'Audit Report'!D1214</f>
        <v>0</v>
      </c>
      <c r="J1214">
        <f>'Audit Report'!H1214</f>
        <v>0</v>
      </c>
      <c r="L1214" t="str">
        <f>_xlfn.TEXTJOIN(", ", TRUE, 'Audit Report'!K1214,'Audit Report'!L1214,'Audit Report'!M1214)</f>
        <v/>
      </c>
      <c r="M1214">
        <f>'Audit Report'!O1214</f>
        <v>0</v>
      </c>
      <c r="N1214" t="str" cm="1">
        <f t="array" ref="N1214">IF(M1214="","",
_xlfn.TEXTJOIN(", ",TRUE,
    _xlfn.MAP(_xlfn.TEXTSPLIT(M1214,","),_xlfn.LAMBDA(_xlpm.x,
        _xlfn.LET(
            _xlpm.item,TRIM(_xlpm.x),
            _xlpm.descCode, _xlfn.XLOOKUP(_xlpm.item,'Diagnostics Codes'!C1214:C1412,'Diagnostics Codes'!B1214:B1412,""),
            _xlpm.itadCode, IFERROR(
                INDEX('Diagnostics Codes'!B1214:B1412,
                    MATCH(TRUE,
                        _xlfn.BYROW('Diagnostics Codes'!D1214:D1412,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4">
        <f>'Audit Report'!F1214</f>
        <v>0</v>
      </c>
      <c r="S1214">
        <f>'Audit Report'!Q1214</f>
        <v>0</v>
      </c>
    </row>
    <row r="1215" spans="9:19">
      <c r="I1215">
        <f>'Audit Report'!D1215</f>
        <v>0</v>
      </c>
      <c r="J1215">
        <f>'Audit Report'!H1215</f>
        <v>0</v>
      </c>
      <c r="L1215" t="str">
        <f>_xlfn.TEXTJOIN(", ", TRUE, 'Audit Report'!K1215,'Audit Report'!L1215,'Audit Report'!M1215)</f>
        <v/>
      </c>
      <c r="M1215">
        <f>'Audit Report'!O1215</f>
        <v>0</v>
      </c>
      <c r="N1215" t="str" cm="1">
        <f t="array" ref="N1215">IF(M1215="","",
_xlfn.TEXTJOIN(", ",TRUE,
    _xlfn.MAP(_xlfn.TEXTSPLIT(M1215,","),_xlfn.LAMBDA(_xlpm.x,
        _xlfn.LET(
            _xlpm.item,TRIM(_xlpm.x),
            _xlpm.descCode, _xlfn.XLOOKUP(_xlpm.item,'Diagnostics Codes'!C1215:C1413,'Diagnostics Codes'!B1215:B1413,""),
            _xlpm.itadCode, IFERROR(
                INDEX('Diagnostics Codes'!B1215:B1413,
                    MATCH(TRUE,
                        _xlfn.BYROW('Diagnostics Codes'!D1215:D1413,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5">
        <f>'Audit Report'!F1215</f>
        <v>0</v>
      </c>
      <c r="S1215">
        <f>'Audit Report'!Q1215</f>
        <v>0</v>
      </c>
    </row>
    <row r="1216" spans="9:19">
      <c r="I1216">
        <f>'Audit Report'!D1216</f>
        <v>0</v>
      </c>
      <c r="J1216">
        <f>'Audit Report'!H1216</f>
        <v>0</v>
      </c>
      <c r="L1216" t="str">
        <f>_xlfn.TEXTJOIN(", ", TRUE, 'Audit Report'!K1216,'Audit Report'!L1216,'Audit Report'!M1216)</f>
        <v/>
      </c>
      <c r="M1216">
        <f>'Audit Report'!O1216</f>
        <v>0</v>
      </c>
      <c r="N1216" t="str" cm="1">
        <f t="array" ref="N1216">IF(M1216="","",
_xlfn.TEXTJOIN(", ",TRUE,
    _xlfn.MAP(_xlfn.TEXTSPLIT(M1216,","),_xlfn.LAMBDA(_xlpm.x,
        _xlfn.LET(
            _xlpm.item,TRIM(_xlpm.x),
            _xlpm.descCode, _xlfn.XLOOKUP(_xlpm.item,'Diagnostics Codes'!C1216:C1414,'Diagnostics Codes'!B1216:B1414,""),
            _xlpm.itadCode, IFERROR(
                INDEX('Diagnostics Codes'!B1216:B1414,
                    MATCH(TRUE,
                        _xlfn.BYROW('Diagnostics Codes'!D1216:D1414,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6">
        <f>'Audit Report'!F1216</f>
        <v>0</v>
      </c>
      <c r="S1216">
        <f>'Audit Report'!Q1216</f>
        <v>0</v>
      </c>
    </row>
    <row r="1217" spans="9:19">
      <c r="I1217">
        <f>'Audit Report'!D1217</f>
        <v>0</v>
      </c>
      <c r="J1217">
        <f>'Audit Report'!H1217</f>
        <v>0</v>
      </c>
      <c r="L1217" t="str">
        <f>_xlfn.TEXTJOIN(", ", TRUE, 'Audit Report'!K1217,'Audit Report'!L1217,'Audit Report'!M1217)</f>
        <v/>
      </c>
      <c r="M1217">
        <f>'Audit Report'!O1217</f>
        <v>0</v>
      </c>
      <c r="N1217" t="str" cm="1">
        <f t="array" ref="N1217">IF(M1217="","",
_xlfn.TEXTJOIN(", ",TRUE,
    _xlfn.MAP(_xlfn.TEXTSPLIT(M1217,","),_xlfn.LAMBDA(_xlpm.x,
        _xlfn.LET(
            _xlpm.item,TRIM(_xlpm.x),
            _xlpm.descCode, _xlfn.XLOOKUP(_xlpm.item,'Diagnostics Codes'!C1217:C1415,'Diagnostics Codes'!B1217:B1415,""),
            _xlpm.itadCode, IFERROR(
                INDEX('Diagnostics Codes'!B1217:B1415,
                    MATCH(TRUE,
                        _xlfn.BYROW('Diagnostics Codes'!D1217:D1415,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7">
        <f>'Audit Report'!F1217</f>
        <v>0</v>
      </c>
      <c r="S1217">
        <f>'Audit Report'!Q1217</f>
        <v>0</v>
      </c>
    </row>
    <row r="1218" spans="9:19">
      <c r="I1218">
        <f>'Audit Report'!D1218</f>
        <v>0</v>
      </c>
      <c r="J1218">
        <f>'Audit Report'!H1218</f>
        <v>0</v>
      </c>
      <c r="L1218" t="str">
        <f>_xlfn.TEXTJOIN(", ", TRUE, 'Audit Report'!K1218,'Audit Report'!L1218,'Audit Report'!M1218)</f>
        <v/>
      </c>
      <c r="M1218">
        <f>'Audit Report'!O1218</f>
        <v>0</v>
      </c>
      <c r="N1218" t="str" cm="1">
        <f t="array" ref="N1218">IF(M1218="","",
_xlfn.TEXTJOIN(", ",TRUE,
    _xlfn.MAP(_xlfn.TEXTSPLIT(M1218,","),_xlfn.LAMBDA(_xlpm.x,
        _xlfn.LET(
            _xlpm.item,TRIM(_xlpm.x),
            _xlpm.descCode, _xlfn.XLOOKUP(_xlpm.item,'Diagnostics Codes'!C1218:C1416,'Diagnostics Codes'!B1218:B1416,""),
            _xlpm.itadCode, IFERROR(
                INDEX('Diagnostics Codes'!B1218:B1416,
                    MATCH(TRUE,
                        _xlfn.BYROW('Diagnostics Codes'!D1218:D1416,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8">
        <f>'Audit Report'!F1218</f>
        <v>0</v>
      </c>
      <c r="S1218">
        <f>'Audit Report'!Q1218</f>
        <v>0</v>
      </c>
    </row>
    <row r="1219" spans="9:19">
      <c r="I1219">
        <f>'Audit Report'!D1219</f>
        <v>0</v>
      </c>
      <c r="J1219">
        <f>'Audit Report'!H1219</f>
        <v>0</v>
      </c>
      <c r="L1219" t="str">
        <f>_xlfn.TEXTJOIN(", ", TRUE, 'Audit Report'!K1219,'Audit Report'!L1219,'Audit Report'!M1219)</f>
        <v/>
      </c>
      <c r="M1219">
        <f>'Audit Report'!O1219</f>
        <v>0</v>
      </c>
      <c r="N1219" t="str" cm="1">
        <f t="array" ref="N1219">IF(M1219="","",
_xlfn.TEXTJOIN(", ",TRUE,
    _xlfn.MAP(_xlfn.TEXTSPLIT(M1219,","),_xlfn.LAMBDA(_xlpm.x,
        _xlfn.LET(
            _xlpm.item,TRIM(_xlpm.x),
            _xlpm.descCode, _xlfn.XLOOKUP(_xlpm.item,'Diagnostics Codes'!C1219:C1417,'Diagnostics Codes'!B1219:B1417,""),
            _xlpm.itadCode, IFERROR(
                INDEX('Diagnostics Codes'!B1219:B1417,
                    MATCH(TRUE,
                        _xlfn.BYROW('Diagnostics Codes'!D1219:D1417,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9">
        <f>'Audit Report'!F1219</f>
        <v>0</v>
      </c>
      <c r="S1219">
        <f>'Audit Report'!Q1219</f>
        <v>0</v>
      </c>
    </row>
    <row r="1220" spans="9:19">
      <c r="I1220">
        <f>'Audit Report'!D1220</f>
        <v>0</v>
      </c>
      <c r="J1220">
        <f>'Audit Report'!H1220</f>
        <v>0</v>
      </c>
      <c r="L1220" t="str">
        <f>_xlfn.TEXTJOIN(", ", TRUE, 'Audit Report'!K1220,'Audit Report'!L1220,'Audit Report'!M1220)</f>
        <v/>
      </c>
      <c r="M1220">
        <f>'Audit Report'!O1220</f>
        <v>0</v>
      </c>
      <c r="N1220" t="str" cm="1">
        <f t="array" ref="N1220">IF(M1220="","",
_xlfn.TEXTJOIN(", ",TRUE,
    _xlfn.MAP(_xlfn.TEXTSPLIT(M1220,","),_xlfn.LAMBDA(_xlpm.x,
        _xlfn.LET(
            _xlpm.item,TRIM(_xlpm.x),
            _xlpm.descCode, _xlfn.XLOOKUP(_xlpm.item,'Diagnostics Codes'!C1220:C1418,'Diagnostics Codes'!B1220:B1418,""),
            _xlpm.itadCode, IFERROR(
                INDEX('Diagnostics Codes'!B1220:B1418,
                    MATCH(TRUE,
                        _xlfn.BYROW('Diagnostics Codes'!D1220:D1418,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0">
        <f>'Audit Report'!F1220</f>
        <v>0</v>
      </c>
      <c r="S1220">
        <f>'Audit Report'!Q1220</f>
        <v>0</v>
      </c>
    </row>
    <row r="1221" spans="9:19">
      <c r="I1221">
        <f>'Audit Report'!D1221</f>
        <v>0</v>
      </c>
      <c r="J1221">
        <f>'Audit Report'!H1221</f>
        <v>0</v>
      </c>
      <c r="L1221" t="str">
        <f>_xlfn.TEXTJOIN(", ", TRUE, 'Audit Report'!K1221,'Audit Report'!L1221,'Audit Report'!M1221)</f>
        <v/>
      </c>
      <c r="M1221">
        <f>'Audit Report'!O1221</f>
        <v>0</v>
      </c>
      <c r="N1221" t="str" cm="1">
        <f t="array" ref="N1221">IF(M1221="","",
_xlfn.TEXTJOIN(", ",TRUE,
    _xlfn.MAP(_xlfn.TEXTSPLIT(M1221,","),_xlfn.LAMBDA(_xlpm.x,
        _xlfn.LET(
            _xlpm.item,TRIM(_xlpm.x),
            _xlpm.descCode, _xlfn.XLOOKUP(_xlpm.item,'Diagnostics Codes'!C1221:C1419,'Diagnostics Codes'!B1221:B1419,""),
            _xlpm.itadCode, IFERROR(
                INDEX('Diagnostics Codes'!B1221:B1419,
                    MATCH(TRUE,
                        _xlfn.BYROW('Diagnostics Codes'!D1221:D1419,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1">
        <f>'Audit Report'!F1221</f>
        <v>0</v>
      </c>
      <c r="S1221">
        <f>'Audit Report'!Q1221</f>
        <v>0</v>
      </c>
    </row>
    <row r="1222" spans="9:19">
      <c r="I1222">
        <f>'Audit Report'!D1222</f>
        <v>0</v>
      </c>
      <c r="J1222">
        <f>'Audit Report'!H1222</f>
        <v>0</v>
      </c>
      <c r="L1222" t="str">
        <f>_xlfn.TEXTJOIN(", ", TRUE, 'Audit Report'!K1222,'Audit Report'!L1222,'Audit Report'!M1222)</f>
        <v/>
      </c>
      <c r="M1222">
        <f>'Audit Report'!O1222</f>
        <v>0</v>
      </c>
      <c r="N1222" t="str" cm="1">
        <f t="array" ref="N1222">IF(M1222="","",
_xlfn.TEXTJOIN(", ",TRUE,
    _xlfn.MAP(_xlfn.TEXTSPLIT(M1222,","),_xlfn.LAMBDA(_xlpm.x,
        _xlfn.LET(
            _xlpm.item,TRIM(_xlpm.x),
            _xlpm.descCode, _xlfn.XLOOKUP(_xlpm.item,'Diagnostics Codes'!C1222:C1420,'Diagnostics Codes'!B1222:B1420,""),
            _xlpm.itadCode, IFERROR(
                INDEX('Diagnostics Codes'!B1222:B1420,
                    MATCH(TRUE,
                        _xlfn.BYROW('Diagnostics Codes'!D1222:D1420,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2">
        <f>'Audit Report'!F1222</f>
        <v>0</v>
      </c>
      <c r="S1222">
        <f>'Audit Report'!Q1222</f>
        <v>0</v>
      </c>
    </row>
    <row r="1223" spans="9:19">
      <c r="I1223">
        <f>'Audit Report'!D1223</f>
        <v>0</v>
      </c>
      <c r="J1223">
        <f>'Audit Report'!H1223</f>
        <v>0</v>
      </c>
      <c r="L1223" t="str">
        <f>_xlfn.TEXTJOIN(", ", TRUE, 'Audit Report'!K1223,'Audit Report'!L1223,'Audit Report'!M1223)</f>
        <v/>
      </c>
      <c r="M1223">
        <f>'Audit Report'!O1223</f>
        <v>0</v>
      </c>
      <c r="N1223" t="str" cm="1">
        <f t="array" ref="N1223">IF(M1223="","",
_xlfn.TEXTJOIN(", ",TRUE,
    _xlfn.MAP(_xlfn.TEXTSPLIT(M1223,","),_xlfn.LAMBDA(_xlpm.x,
        _xlfn.LET(
            _xlpm.item,TRIM(_xlpm.x),
            _xlpm.descCode, _xlfn.XLOOKUP(_xlpm.item,'Diagnostics Codes'!C1223:C1421,'Diagnostics Codes'!B1223:B1421,""),
            _xlpm.itadCode, IFERROR(
                INDEX('Diagnostics Codes'!B1223:B1421,
                    MATCH(TRUE,
                        _xlfn.BYROW('Diagnostics Codes'!D1223:D1421,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3">
        <f>'Audit Report'!F1223</f>
        <v>0</v>
      </c>
      <c r="S1223">
        <f>'Audit Report'!Q1223</f>
        <v>0</v>
      </c>
    </row>
    <row r="1224" spans="9:19">
      <c r="I1224">
        <f>'Audit Report'!D1224</f>
        <v>0</v>
      </c>
      <c r="J1224">
        <f>'Audit Report'!H1224</f>
        <v>0</v>
      </c>
      <c r="L1224" t="str">
        <f>_xlfn.TEXTJOIN(", ", TRUE, 'Audit Report'!K1224,'Audit Report'!L1224,'Audit Report'!M1224)</f>
        <v/>
      </c>
      <c r="M1224">
        <f>'Audit Report'!O1224</f>
        <v>0</v>
      </c>
      <c r="N1224" t="str" cm="1">
        <f t="array" ref="N1224">IF(M1224="","",
_xlfn.TEXTJOIN(", ",TRUE,
    _xlfn.MAP(_xlfn.TEXTSPLIT(M1224,","),_xlfn.LAMBDA(_xlpm.x,
        _xlfn.LET(
            _xlpm.item,TRIM(_xlpm.x),
            _xlpm.descCode, _xlfn.XLOOKUP(_xlpm.item,'Diagnostics Codes'!C1224:C1422,'Diagnostics Codes'!B1224:B1422,""),
            _xlpm.itadCode, IFERROR(
                INDEX('Diagnostics Codes'!B1224:B1422,
                    MATCH(TRUE,
                        _xlfn.BYROW('Diagnostics Codes'!D1224:D1422,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4">
        <f>'Audit Report'!F1224</f>
        <v>0</v>
      </c>
      <c r="S1224">
        <f>'Audit Report'!Q1224</f>
        <v>0</v>
      </c>
    </row>
    <row r="1225" spans="9:19">
      <c r="I1225">
        <f>'Audit Report'!D1225</f>
        <v>0</v>
      </c>
      <c r="J1225">
        <f>'Audit Report'!H1225</f>
        <v>0</v>
      </c>
      <c r="L1225" t="str">
        <f>_xlfn.TEXTJOIN(", ", TRUE, 'Audit Report'!K1225,'Audit Report'!L1225,'Audit Report'!M1225)</f>
        <v/>
      </c>
      <c r="M1225">
        <f>'Audit Report'!O1225</f>
        <v>0</v>
      </c>
      <c r="N1225" t="str" cm="1">
        <f t="array" ref="N1225">IF(M1225="","",
_xlfn.TEXTJOIN(", ",TRUE,
    _xlfn.MAP(_xlfn.TEXTSPLIT(M1225,","),_xlfn.LAMBDA(_xlpm.x,
        _xlfn.LET(
            _xlpm.item,TRIM(_xlpm.x),
            _xlpm.descCode, _xlfn.XLOOKUP(_xlpm.item,'Diagnostics Codes'!C1225:C1423,'Diagnostics Codes'!B1225:B1423,""),
            _xlpm.itadCode, IFERROR(
                INDEX('Diagnostics Codes'!B1225:B1423,
                    MATCH(TRUE,
                        _xlfn.BYROW('Diagnostics Codes'!D1225:D1423,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5">
        <f>'Audit Report'!F1225</f>
        <v>0</v>
      </c>
      <c r="S1225">
        <f>'Audit Report'!Q1225</f>
        <v>0</v>
      </c>
    </row>
    <row r="1226" spans="9:19">
      <c r="I1226">
        <f>'Audit Report'!D1226</f>
        <v>0</v>
      </c>
      <c r="J1226">
        <f>'Audit Report'!H1226</f>
        <v>0</v>
      </c>
      <c r="L1226" t="str">
        <f>_xlfn.TEXTJOIN(", ", TRUE, 'Audit Report'!K1226,'Audit Report'!L1226,'Audit Report'!M1226)</f>
        <v/>
      </c>
      <c r="M1226">
        <f>'Audit Report'!O1226</f>
        <v>0</v>
      </c>
      <c r="N1226" t="str" cm="1">
        <f t="array" ref="N1226">IF(M1226="","",
_xlfn.TEXTJOIN(", ",TRUE,
    _xlfn.MAP(_xlfn.TEXTSPLIT(M1226,","),_xlfn.LAMBDA(_xlpm.x,
        _xlfn.LET(
            _xlpm.item,TRIM(_xlpm.x),
            _xlpm.descCode, _xlfn.XLOOKUP(_xlpm.item,'Diagnostics Codes'!C1226:C1424,'Diagnostics Codes'!B1226:B1424,""),
            _xlpm.itadCode, IFERROR(
                INDEX('Diagnostics Codes'!B1226:B1424,
                    MATCH(TRUE,
                        _xlfn.BYROW('Diagnostics Codes'!D1226:D1424,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6">
        <f>'Audit Report'!F1226</f>
        <v>0</v>
      </c>
      <c r="S1226">
        <f>'Audit Report'!Q1226</f>
        <v>0</v>
      </c>
    </row>
    <row r="1227" spans="9:19">
      <c r="I1227">
        <f>'Audit Report'!D1227</f>
        <v>0</v>
      </c>
      <c r="J1227">
        <f>'Audit Report'!H1227</f>
        <v>0</v>
      </c>
      <c r="L1227" t="str">
        <f>_xlfn.TEXTJOIN(", ", TRUE, 'Audit Report'!K1227,'Audit Report'!L1227,'Audit Report'!M1227)</f>
        <v/>
      </c>
      <c r="M1227">
        <f>'Audit Report'!O1227</f>
        <v>0</v>
      </c>
      <c r="N1227" t="str" cm="1">
        <f t="array" ref="N1227">IF(M1227="","",
_xlfn.TEXTJOIN(", ",TRUE,
    _xlfn.MAP(_xlfn.TEXTSPLIT(M1227,","),_xlfn.LAMBDA(_xlpm.x,
        _xlfn.LET(
            _xlpm.item,TRIM(_xlpm.x),
            _xlpm.descCode, _xlfn.XLOOKUP(_xlpm.item,'Diagnostics Codes'!C1227:C1425,'Diagnostics Codes'!B1227:B1425,""),
            _xlpm.itadCode, IFERROR(
                INDEX('Diagnostics Codes'!B1227:B1425,
                    MATCH(TRUE,
                        _xlfn.BYROW('Diagnostics Codes'!D1227:D1425,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7">
        <f>'Audit Report'!F1227</f>
        <v>0</v>
      </c>
      <c r="S1227">
        <f>'Audit Report'!Q1227</f>
        <v>0</v>
      </c>
    </row>
    <row r="1228" spans="9:19">
      <c r="I1228">
        <f>'Audit Report'!D1228</f>
        <v>0</v>
      </c>
      <c r="J1228">
        <f>'Audit Report'!H1228</f>
        <v>0</v>
      </c>
      <c r="L1228" t="str">
        <f>_xlfn.TEXTJOIN(", ", TRUE, 'Audit Report'!K1228,'Audit Report'!L1228,'Audit Report'!M1228)</f>
        <v/>
      </c>
      <c r="M1228">
        <f>'Audit Report'!O1228</f>
        <v>0</v>
      </c>
      <c r="N1228" t="str" cm="1">
        <f t="array" ref="N1228">IF(M1228="","",
_xlfn.TEXTJOIN(", ",TRUE,
    _xlfn.MAP(_xlfn.TEXTSPLIT(M1228,","),_xlfn.LAMBDA(_xlpm.x,
        _xlfn.LET(
            _xlpm.item,TRIM(_xlpm.x),
            _xlpm.descCode, _xlfn.XLOOKUP(_xlpm.item,'Diagnostics Codes'!C1228:C1426,'Diagnostics Codes'!B1228:B1426,""),
            _xlpm.itadCode, IFERROR(
                INDEX('Diagnostics Codes'!B1228:B1426,
                    MATCH(TRUE,
                        _xlfn.BYROW('Diagnostics Codes'!D1228:D1426,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8">
        <f>'Audit Report'!F1228</f>
        <v>0</v>
      </c>
      <c r="S1228">
        <f>'Audit Report'!Q1228</f>
        <v>0</v>
      </c>
    </row>
    <row r="1229" spans="9:19">
      <c r="I1229">
        <f>'Audit Report'!D1229</f>
        <v>0</v>
      </c>
      <c r="J1229">
        <f>'Audit Report'!H1229</f>
        <v>0</v>
      </c>
      <c r="L1229" t="str">
        <f>_xlfn.TEXTJOIN(", ", TRUE, 'Audit Report'!K1229,'Audit Report'!L1229,'Audit Report'!M1229)</f>
        <v/>
      </c>
      <c r="M1229">
        <f>'Audit Report'!O1229</f>
        <v>0</v>
      </c>
      <c r="N1229" t="str" cm="1">
        <f t="array" ref="N1229">IF(M1229="","",
_xlfn.TEXTJOIN(", ",TRUE,
    _xlfn.MAP(_xlfn.TEXTSPLIT(M1229,","),_xlfn.LAMBDA(_xlpm.x,
        _xlfn.LET(
            _xlpm.item,TRIM(_xlpm.x),
            _xlpm.descCode, _xlfn.XLOOKUP(_xlpm.item,'Diagnostics Codes'!C1229:C1427,'Diagnostics Codes'!B1229:B1427,""),
            _xlpm.itadCode, IFERROR(
                INDEX('Diagnostics Codes'!B1229:B1427,
                    MATCH(TRUE,
                        _xlfn.BYROW('Diagnostics Codes'!D1229:D1427,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9">
        <f>'Audit Report'!F1229</f>
        <v>0</v>
      </c>
      <c r="S1229">
        <f>'Audit Report'!Q1229</f>
        <v>0</v>
      </c>
    </row>
    <row r="1230" spans="9:19">
      <c r="I1230">
        <f>'Audit Report'!D1230</f>
        <v>0</v>
      </c>
      <c r="J1230">
        <f>'Audit Report'!H1230</f>
        <v>0</v>
      </c>
      <c r="L1230" t="str">
        <f>_xlfn.TEXTJOIN(", ", TRUE, 'Audit Report'!K1230,'Audit Report'!L1230,'Audit Report'!M1230)</f>
        <v/>
      </c>
      <c r="M1230">
        <f>'Audit Report'!O1230</f>
        <v>0</v>
      </c>
      <c r="N1230" t="str" cm="1">
        <f t="array" ref="N1230">IF(M1230="","",
_xlfn.TEXTJOIN(", ",TRUE,
    _xlfn.MAP(_xlfn.TEXTSPLIT(M1230,","),_xlfn.LAMBDA(_xlpm.x,
        _xlfn.LET(
            _xlpm.item,TRIM(_xlpm.x),
            _xlpm.descCode, _xlfn.XLOOKUP(_xlpm.item,'Diagnostics Codes'!C1230:C1428,'Diagnostics Codes'!B1230:B1428,""),
            _xlpm.itadCode, IFERROR(
                INDEX('Diagnostics Codes'!B1230:B1428,
                    MATCH(TRUE,
                        _xlfn.BYROW('Diagnostics Codes'!D1230:D1428,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30">
        <f>'Audit Report'!F1230</f>
        <v>0</v>
      </c>
      <c r="S1230">
        <f>'Audit Report'!Q1230</f>
        <v>0</v>
      </c>
    </row>
    <row r="1231" spans="9:19">
      <c r="I1231">
        <f>'Audit Report'!D1231</f>
        <v>0</v>
      </c>
      <c r="J1231">
        <f>'Audit Report'!H1231</f>
        <v>0</v>
      </c>
      <c r="L1231" t="str">
        <f>_xlfn.TEXTJOIN(", ", TRUE, 'Audit Report'!K1231,'Audit Report'!L1231,'Audit Report'!M1231)</f>
        <v/>
      </c>
      <c r="M1231">
        <f>'Audit Report'!O1231</f>
        <v>0</v>
      </c>
      <c r="R1231">
        <f>'Audit Report'!F1231</f>
        <v>0</v>
      </c>
      <c r="S1231">
        <f>'Audit Report'!Q1231</f>
        <v>0</v>
      </c>
    </row>
    <row r="1232" spans="9:19">
      <c r="I1232">
        <f>'Audit Report'!D1232</f>
        <v>0</v>
      </c>
      <c r="J1232">
        <f>'Audit Report'!H1232</f>
        <v>0</v>
      </c>
      <c r="L1232" t="str">
        <f>_xlfn.TEXTJOIN(", ", TRUE, 'Audit Report'!K1232,'Audit Report'!L1232,'Audit Report'!M1232)</f>
        <v/>
      </c>
      <c r="M1232">
        <f>'Audit Report'!O1232</f>
        <v>0</v>
      </c>
      <c r="R1232">
        <f>'Audit Report'!F1232</f>
        <v>0</v>
      </c>
      <c r="S1232">
        <f>'Audit Report'!Q1232</f>
        <v>0</v>
      </c>
    </row>
    <row r="1233" spans="9:19">
      <c r="I1233">
        <f>'Audit Report'!D1233</f>
        <v>0</v>
      </c>
      <c r="J1233">
        <f>'Audit Report'!H1233</f>
        <v>0</v>
      </c>
      <c r="L1233" t="str">
        <f>_xlfn.TEXTJOIN(", ", TRUE, 'Audit Report'!K1233,'Audit Report'!L1233,'Audit Report'!M1233)</f>
        <v/>
      </c>
      <c r="M1233">
        <f>'Audit Report'!O1233</f>
        <v>0</v>
      </c>
      <c r="R1233">
        <f>'Audit Report'!F1233</f>
        <v>0</v>
      </c>
      <c r="S1233">
        <f>'Audit Report'!Q1233</f>
        <v>0</v>
      </c>
    </row>
    <row r="1234" spans="9:19">
      <c r="I1234">
        <f>'Audit Report'!D1234</f>
        <v>0</v>
      </c>
      <c r="J1234">
        <f>'Audit Report'!H1234</f>
        <v>0</v>
      </c>
      <c r="L1234" t="str">
        <f>_xlfn.TEXTJOIN(", ", TRUE, 'Audit Report'!K1234,'Audit Report'!L1234,'Audit Report'!M1234)</f>
        <v/>
      </c>
      <c r="M1234">
        <f>'Audit Report'!O1234</f>
        <v>0</v>
      </c>
      <c r="R1234">
        <f>'Audit Report'!F1234</f>
        <v>0</v>
      </c>
      <c r="S1234">
        <f>'Audit Report'!Q1234</f>
        <v>0</v>
      </c>
    </row>
    <row r="1235" spans="9:19">
      <c r="I1235">
        <f>'Audit Report'!D1235</f>
        <v>0</v>
      </c>
      <c r="J1235">
        <f>'Audit Report'!H1235</f>
        <v>0</v>
      </c>
      <c r="L1235" t="str">
        <f>_xlfn.TEXTJOIN(", ", TRUE, 'Audit Report'!K1235,'Audit Report'!L1235,'Audit Report'!M1235)</f>
        <v/>
      </c>
      <c r="M1235">
        <f>'Audit Report'!O1235</f>
        <v>0</v>
      </c>
      <c r="R1235">
        <f>'Audit Report'!F1235</f>
        <v>0</v>
      </c>
      <c r="S1235">
        <f>'Audit Report'!Q1235</f>
        <v>0</v>
      </c>
    </row>
    <row r="1236" spans="9:19">
      <c r="I1236">
        <f>'Audit Report'!D1236</f>
        <v>0</v>
      </c>
      <c r="J1236">
        <f>'Audit Report'!H1236</f>
        <v>0</v>
      </c>
      <c r="L1236" t="str">
        <f>_xlfn.TEXTJOIN(", ", TRUE, 'Audit Report'!K1236,'Audit Report'!L1236,'Audit Report'!M1236)</f>
        <v/>
      </c>
      <c r="M1236">
        <f>'Audit Report'!O1236</f>
        <v>0</v>
      </c>
      <c r="R1236">
        <f>'Audit Report'!F1236</f>
        <v>0</v>
      </c>
      <c r="S1236">
        <f>'Audit Report'!Q1236</f>
        <v>0</v>
      </c>
    </row>
    <row r="1237" spans="9:19">
      <c r="I1237">
        <f>'Audit Report'!D1237</f>
        <v>0</v>
      </c>
      <c r="J1237">
        <f>'Audit Report'!H1237</f>
        <v>0</v>
      </c>
      <c r="L1237" t="str">
        <f>_xlfn.TEXTJOIN(", ", TRUE, 'Audit Report'!K1237,'Audit Report'!L1237,'Audit Report'!M1237)</f>
        <v/>
      </c>
      <c r="M1237">
        <f>'Audit Report'!O1237</f>
        <v>0</v>
      </c>
      <c r="R1237">
        <f>'Audit Report'!F1237</f>
        <v>0</v>
      </c>
      <c r="S1237">
        <f>'Audit Report'!Q1237</f>
        <v>0</v>
      </c>
    </row>
    <row r="1238" spans="9:19">
      <c r="I1238">
        <f>'Audit Report'!D1238</f>
        <v>0</v>
      </c>
      <c r="J1238">
        <f>'Audit Report'!H1238</f>
        <v>0</v>
      </c>
      <c r="L1238" t="str">
        <f>_xlfn.TEXTJOIN(", ", TRUE, 'Audit Report'!K1238,'Audit Report'!L1238,'Audit Report'!M1238)</f>
        <v/>
      </c>
      <c r="M1238">
        <f>'Audit Report'!O1238</f>
        <v>0</v>
      </c>
      <c r="R1238">
        <f>'Audit Report'!F1238</f>
        <v>0</v>
      </c>
      <c r="S1238">
        <f>'Audit Report'!Q1238</f>
        <v>0</v>
      </c>
    </row>
    <row r="1239" spans="9:19">
      <c r="I1239">
        <f>'Audit Report'!D1239</f>
        <v>0</v>
      </c>
      <c r="J1239">
        <f>'Audit Report'!H1239</f>
        <v>0</v>
      </c>
      <c r="L1239" t="str">
        <f>_xlfn.TEXTJOIN(", ", TRUE, 'Audit Report'!K1239,'Audit Report'!L1239,'Audit Report'!M1239)</f>
        <v/>
      </c>
      <c r="M1239">
        <f>'Audit Report'!O1239</f>
        <v>0</v>
      </c>
      <c r="R1239">
        <f>'Audit Report'!F1239</f>
        <v>0</v>
      </c>
      <c r="S1239">
        <f>'Audit Report'!Q1239</f>
        <v>0</v>
      </c>
    </row>
    <row r="1240" spans="9:19">
      <c r="I1240">
        <f>'Audit Report'!D1240</f>
        <v>0</v>
      </c>
      <c r="J1240">
        <f>'Audit Report'!H1240</f>
        <v>0</v>
      </c>
      <c r="L1240" t="str">
        <f>_xlfn.TEXTJOIN(", ", TRUE, 'Audit Report'!K1240,'Audit Report'!L1240,'Audit Report'!M1240)</f>
        <v/>
      </c>
      <c r="M1240">
        <f>'Audit Report'!O1240</f>
        <v>0</v>
      </c>
      <c r="R1240">
        <f>'Audit Report'!F1240</f>
        <v>0</v>
      </c>
      <c r="S1240">
        <f>'Audit Report'!Q1240</f>
        <v>0</v>
      </c>
    </row>
    <row r="1241" spans="9:19">
      <c r="I1241">
        <f>'Audit Report'!D1241</f>
        <v>0</v>
      </c>
      <c r="J1241">
        <f>'Audit Report'!H1241</f>
        <v>0</v>
      </c>
      <c r="L1241" t="str">
        <f>_xlfn.TEXTJOIN(", ", TRUE, 'Audit Report'!K1241,'Audit Report'!L1241,'Audit Report'!M1241)</f>
        <v/>
      </c>
      <c r="M1241">
        <f>'Audit Report'!O1241</f>
        <v>0</v>
      </c>
      <c r="R1241">
        <f>'Audit Report'!F1241</f>
        <v>0</v>
      </c>
      <c r="S1241">
        <f>'Audit Report'!Q1241</f>
        <v>0</v>
      </c>
    </row>
    <row r="1242" spans="9:19">
      <c r="I1242">
        <f>'Audit Report'!D1242</f>
        <v>0</v>
      </c>
      <c r="J1242">
        <f>'Audit Report'!H1242</f>
        <v>0</v>
      </c>
      <c r="L1242" t="str">
        <f>_xlfn.TEXTJOIN(", ", TRUE, 'Audit Report'!K1242,'Audit Report'!L1242,'Audit Report'!M1242)</f>
        <v/>
      </c>
      <c r="M1242">
        <f>'Audit Report'!O1242</f>
        <v>0</v>
      </c>
      <c r="R1242">
        <f>'Audit Report'!F1242</f>
        <v>0</v>
      </c>
      <c r="S1242">
        <f>'Audit Report'!Q1242</f>
        <v>0</v>
      </c>
    </row>
    <row r="1243" spans="9:19">
      <c r="I1243">
        <f>'Audit Report'!D1243</f>
        <v>0</v>
      </c>
      <c r="J1243">
        <f>'Audit Report'!H1243</f>
        <v>0</v>
      </c>
      <c r="L1243" t="str">
        <f>_xlfn.TEXTJOIN(", ", TRUE, 'Audit Report'!K1243,'Audit Report'!L1243,'Audit Report'!M1243)</f>
        <v/>
      </c>
      <c r="M1243">
        <f>'Audit Report'!O1243</f>
        <v>0</v>
      </c>
      <c r="R1243">
        <f>'Audit Report'!F1243</f>
        <v>0</v>
      </c>
      <c r="S1243">
        <f>'Audit Report'!Q1243</f>
        <v>0</v>
      </c>
    </row>
    <row r="1244" spans="9:19">
      <c r="I1244">
        <f>'Audit Report'!D1244</f>
        <v>0</v>
      </c>
      <c r="J1244">
        <f>'Audit Report'!H1244</f>
        <v>0</v>
      </c>
      <c r="L1244" t="str">
        <f>_xlfn.TEXTJOIN(", ", TRUE, 'Audit Report'!K1244,'Audit Report'!L1244,'Audit Report'!M1244)</f>
        <v/>
      </c>
      <c r="M1244">
        <f>'Audit Report'!O1244</f>
        <v>0</v>
      </c>
      <c r="R1244">
        <f>'Audit Report'!F1244</f>
        <v>0</v>
      </c>
      <c r="S1244">
        <f>'Audit Report'!Q1244</f>
        <v>0</v>
      </c>
    </row>
    <row r="1245" spans="9:19">
      <c r="I1245">
        <f>'Audit Report'!D1245</f>
        <v>0</v>
      </c>
      <c r="J1245">
        <f>'Audit Report'!H1245</f>
        <v>0</v>
      </c>
      <c r="L1245" t="str">
        <f>_xlfn.TEXTJOIN(", ", TRUE, 'Audit Report'!K1245,'Audit Report'!L1245,'Audit Report'!M1245)</f>
        <v/>
      </c>
      <c r="M1245">
        <f>'Audit Report'!O1245</f>
        <v>0</v>
      </c>
      <c r="R1245">
        <f>'Audit Report'!F1245</f>
        <v>0</v>
      </c>
      <c r="S1245">
        <f>'Audit Report'!Q1245</f>
        <v>0</v>
      </c>
    </row>
    <row r="1246" spans="9:19">
      <c r="I1246">
        <f>'Audit Report'!D1246</f>
        <v>0</v>
      </c>
      <c r="J1246">
        <f>'Audit Report'!H1246</f>
        <v>0</v>
      </c>
      <c r="L1246" t="str">
        <f>_xlfn.TEXTJOIN(", ", TRUE, 'Audit Report'!K1246,'Audit Report'!L1246,'Audit Report'!M1246)</f>
        <v/>
      </c>
      <c r="M1246">
        <f>'Audit Report'!O1246</f>
        <v>0</v>
      </c>
      <c r="R1246">
        <f>'Audit Report'!F1246</f>
        <v>0</v>
      </c>
      <c r="S1246">
        <f>'Audit Report'!Q1246</f>
        <v>0</v>
      </c>
    </row>
    <row r="1247" spans="9:19">
      <c r="I1247">
        <f>'Audit Report'!D1247</f>
        <v>0</v>
      </c>
      <c r="J1247">
        <f>'Audit Report'!H1247</f>
        <v>0</v>
      </c>
      <c r="L1247" t="str">
        <f>_xlfn.TEXTJOIN(", ", TRUE, 'Audit Report'!K1247,'Audit Report'!L1247,'Audit Report'!M1247)</f>
        <v/>
      </c>
      <c r="M1247">
        <f>'Audit Report'!O1247</f>
        <v>0</v>
      </c>
      <c r="R1247">
        <f>'Audit Report'!F1247</f>
        <v>0</v>
      </c>
      <c r="S1247">
        <f>'Audit Report'!Q1247</f>
        <v>0</v>
      </c>
    </row>
    <row r="1248" spans="9:19">
      <c r="I1248">
        <f>'Audit Report'!D1248</f>
        <v>0</v>
      </c>
      <c r="J1248">
        <f>'Audit Report'!H1248</f>
        <v>0</v>
      </c>
      <c r="L1248" t="str">
        <f>_xlfn.TEXTJOIN(", ", TRUE, 'Audit Report'!K1248,'Audit Report'!L1248,'Audit Report'!M1248)</f>
        <v/>
      </c>
      <c r="M1248">
        <f>'Audit Report'!O1248</f>
        <v>0</v>
      </c>
      <c r="R1248">
        <f>'Audit Report'!F1248</f>
        <v>0</v>
      </c>
      <c r="S1248">
        <f>'Audit Report'!Q1248</f>
        <v>0</v>
      </c>
    </row>
    <row r="1249" spans="9:19">
      <c r="I1249">
        <f>'Audit Report'!D1249</f>
        <v>0</v>
      </c>
      <c r="J1249">
        <f>'Audit Report'!H1249</f>
        <v>0</v>
      </c>
      <c r="L1249" t="str">
        <f>_xlfn.TEXTJOIN(", ", TRUE, 'Audit Report'!K1249,'Audit Report'!L1249,'Audit Report'!M1249)</f>
        <v/>
      </c>
      <c r="M1249">
        <f>'Audit Report'!O1249</f>
        <v>0</v>
      </c>
      <c r="R1249">
        <f>'Audit Report'!F1249</f>
        <v>0</v>
      </c>
      <c r="S1249">
        <f>'Audit Report'!Q1249</f>
        <v>0</v>
      </c>
    </row>
    <row r="1250" spans="9:19">
      <c r="I1250">
        <f>'Audit Report'!D1250</f>
        <v>0</v>
      </c>
      <c r="J1250">
        <f>'Audit Report'!H1250</f>
        <v>0</v>
      </c>
      <c r="L1250" t="str">
        <f>_xlfn.TEXTJOIN(", ", TRUE, 'Audit Report'!K1250,'Audit Report'!L1250,'Audit Report'!M1250)</f>
        <v/>
      </c>
      <c r="M1250">
        <f>'Audit Report'!O1250</f>
        <v>0</v>
      </c>
      <c r="R1250">
        <f>'Audit Report'!F1250</f>
        <v>0</v>
      </c>
      <c r="S1250">
        <f>'Audit Report'!Q1250</f>
        <v>0</v>
      </c>
    </row>
    <row r="1251" spans="9:19">
      <c r="I1251">
        <f>'Audit Report'!D1251</f>
        <v>0</v>
      </c>
      <c r="J1251">
        <f>'Audit Report'!H1251</f>
        <v>0</v>
      </c>
      <c r="L1251" t="str">
        <f>_xlfn.TEXTJOIN(", ", TRUE, 'Audit Report'!K1251,'Audit Report'!L1251,'Audit Report'!M1251)</f>
        <v/>
      </c>
      <c r="M1251">
        <f>'Audit Report'!O1251</f>
        <v>0</v>
      </c>
      <c r="R1251">
        <f>'Audit Report'!F1251</f>
        <v>0</v>
      </c>
      <c r="S1251">
        <f>'Audit Report'!Q1251</f>
        <v>0</v>
      </c>
    </row>
    <row r="1252" spans="9:19">
      <c r="I1252">
        <f>'Audit Report'!D1252</f>
        <v>0</v>
      </c>
      <c r="J1252">
        <f>'Audit Report'!H1252</f>
        <v>0</v>
      </c>
      <c r="L1252" t="str">
        <f>_xlfn.TEXTJOIN(", ", TRUE, 'Audit Report'!K1252,'Audit Report'!L1252,'Audit Report'!M1252)</f>
        <v/>
      </c>
      <c r="M1252">
        <f>'Audit Report'!O1252</f>
        <v>0</v>
      </c>
      <c r="R1252">
        <f>'Audit Report'!F1252</f>
        <v>0</v>
      </c>
      <c r="S1252">
        <f>'Audit Report'!Q1252</f>
        <v>0</v>
      </c>
    </row>
    <row r="1253" spans="9:19">
      <c r="I1253">
        <f>'Audit Report'!D1253</f>
        <v>0</v>
      </c>
      <c r="J1253">
        <f>'Audit Report'!H1253</f>
        <v>0</v>
      </c>
      <c r="L1253" t="str">
        <f>_xlfn.TEXTJOIN(", ", TRUE, 'Audit Report'!K1253,'Audit Report'!L1253,'Audit Report'!M1253)</f>
        <v/>
      </c>
      <c r="M1253">
        <f>'Audit Report'!O1253</f>
        <v>0</v>
      </c>
      <c r="R1253">
        <f>'Audit Report'!F1253</f>
        <v>0</v>
      </c>
      <c r="S1253">
        <f>'Audit Report'!Q1253</f>
        <v>0</v>
      </c>
    </row>
    <row r="1254" spans="9:19">
      <c r="I1254">
        <f>'Audit Report'!D1254</f>
        <v>0</v>
      </c>
      <c r="J1254">
        <f>'Audit Report'!H1254</f>
        <v>0</v>
      </c>
      <c r="L1254" t="str">
        <f>_xlfn.TEXTJOIN(", ", TRUE, 'Audit Report'!K1254,'Audit Report'!L1254,'Audit Report'!M1254)</f>
        <v/>
      </c>
      <c r="M1254">
        <f>'Audit Report'!O1254</f>
        <v>0</v>
      </c>
      <c r="R1254">
        <f>'Audit Report'!F1254</f>
        <v>0</v>
      </c>
      <c r="S1254">
        <f>'Audit Report'!Q1254</f>
        <v>0</v>
      </c>
    </row>
    <row r="1255" spans="9:19">
      <c r="I1255">
        <f>'Audit Report'!D1255</f>
        <v>0</v>
      </c>
      <c r="J1255">
        <f>'Audit Report'!H1255</f>
        <v>0</v>
      </c>
      <c r="L1255" t="str">
        <f>_xlfn.TEXTJOIN(", ", TRUE, 'Audit Report'!K1255,'Audit Report'!L1255,'Audit Report'!M1255)</f>
        <v/>
      </c>
      <c r="M1255">
        <f>'Audit Report'!O1255</f>
        <v>0</v>
      </c>
      <c r="R1255">
        <f>'Audit Report'!F1255</f>
        <v>0</v>
      </c>
      <c r="S1255">
        <f>'Audit Report'!Q1255</f>
        <v>0</v>
      </c>
    </row>
    <row r="1256" spans="9:19">
      <c r="I1256">
        <f>'Audit Report'!D1256</f>
        <v>0</v>
      </c>
      <c r="J1256">
        <f>'Audit Report'!H1256</f>
        <v>0</v>
      </c>
      <c r="L1256" t="str">
        <f>_xlfn.TEXTJOIN(", ", TRUE, 'Audit Report'!K1256,'Audit Report'!L1256,'Audit Report'!M1256)</f>
        <v/>
      </c>
      <c r="M1256">
        <f>'Audit Report'!O1256</f>
        <v>0</v>
      </c>
      <c r="R1256">
        <f>'Audit Report'!F1256</f>
        <v>0</v>
      </c>
      <c r="S1256">
        <f>'Audit Report'!Q1256</f>
        <v>0</v>
      </c>
    </row>
    <row r="1257" spans="9:19">
      <c r="I1257">
        <f>'Audit Report'!D1257</f>
        <v>0</v>
      </c>
      <c r="J1257">
        <f>'Audit Report'!H1257</f>
        <v>0</v>
      </c>
      <c r="L1257" t="str">
        <f>_xlfn.TEXTJOIN(", ", TRUE, 'Audit Report'!K1257,'Audit Report'!L1257,'Audit Report'!M1257)</f>
        <v/>
      </c>
      <c r="M1257">
        <f>'Audit Report'!O1257</f>
        <v>0</v>
      </c>
      <c r="R1257">
        <f>'Audit Report'!F1257</f>
        <v>0</v>
      </c>
      <c r="S1257">
        <f>'Audit Report'!Q1257</f>
        <v>0</v>
      </c>
    </row>
    <row r="1258" spans="9:19">
      <c r="I1258">
        <f>'Audit Report'!D1258</f>
        <v>0</v>
      </c>
      <c r="J1258">
        <f>'Audit Report'!H1258</f>
        <v>0</v>
      </c>
      <c r="L1258" t="str">
        <f>_xlfn.TEXTJOIN(", ", TRUE, 'Audit Report'!K1258,'Audit Report'!L1258,'Audit Report'!M1258)</f>
        <v/>
      </c>
      <c r="M1258">
        <f>'Audit Report'!O1258</f>
        <v>0</v>
      </c>
      <c r="R1258">
        <f>'Audit Report'!F1258</f>
        <v>0</v>
      </c>
      <c r="S1258">
        <f>'Audit Report'!Q1258</f>
        <v>0</v>
      </c>
    </row>
    <row r="1259" spans="9:19">
      <c r="I1259">
        <f>'Audit Report'!D1259</f>
        <v>0</v>
      </c>
      <c r="J1259">
        <f>'Audit Report'!H1259</f>
        <v>0</v>
      </c>
      <c r="L1259" t="str">
        <f>_xlfn.TEXTJOIN(", ", TRUE, 'Audit Report'!K1259,'Audit Report'!L1259,'Audit Report'!M1259)</f>
        <v/>
      </c>
      <c r="M1259">
        <f>'Audit Report'!O1259</f>
        <v>0</v>
      </c>
      <c r="R1259">
        <f>'Audit Report'!F1259</f>
        <v>0</v>
      </c>
      <c r="S1259">
        <f>'Audit Report'!Q1259</f>
        <v>0</v>
      </c>
    </row>
    <row r="1260" spans="9:19">
      <c r="I1260">
        <f>'Audit Report'!D1260</f>
        <v>0</v>
      </c>
      <c r="J1260">
        <f>'Audit Report'!H1260</f>
        <v>0</v>
      </c>
      <c r="L1260" t="str">
        <f>_xlfn.TEXTJOIN(", ", TRUE, 'Audit Report'!K1260,'Audit Report'!L1260,'Audit Report'!M1260)</f>
        <v/>
      </c>
      <c r="M1260">
        <f>'Audit Report'!O1260</f>
        <v>0</v>
      </c>
      <c r="R1260">
        <f>'Audit Report'!F1260</f>
        <v>0</v>
      </c>
      <c r="S1260">
        <f>'Audit Report'!Q1260</f>
        <v>0</v>
      </c>
    </row>
    <row r="1261" spans="9:19">
      <c r="I1261">
        <f>'Audit Report'!D1261</f>
        <v>0</v>
      </c>
      <c r="J1261">
        <f>'Audit Report'!H1261</f>
        <v>0</v>
      </c>
      <c r="L1261" t="str">
        <f>_xlfn.TEXTJOIN(", ", TRUE, 'Audit Report'!K1261,'Audit Report'!L1261,'Audit Report'!M1261)</f>
        <v/>
      </c>
      <c r="M1261">
        <f>'Audit Report'!O1261</f>
        <v>0</v>
      </c>
      <c r="R1261">
        <f>'Audit Report'!F1261</f>
        <v>0</v>
      </c>
      <c r="S1261">
        <f>'Audit Report'!Q1261</f>
        <v>0</v>
      </c>
    </row>
    <row r="1262" spans="9:19">
      <c r="I1262">
        <f>'Audit Report'!D1262</f>
        <v>0</v>
      </c>
      <c r="J1262">
        <f>'Audit Report'!H1262</f>
        <v>0</v>
      </c>
      <c r="L1262" t="str">
        <f>_xlfn.TEXTJOIN(", ", TRUE, 'Audit Report'!K1262,'Audit Report'!L1262,'Audit Report'!M1262)</f>
        <v/>
      </c>
      <c r="M1262">
        <f>'Audit Report'!O1262</f>
        <v>0</v>
      </c>
      <c r="R1262">
        <f>'Audit Report'!F1262</f>
        <v>0</v>
      </c>
      <c r="S1262">
        <f>'Audit Report'!Q1262</f>
        <v>0</v>
      </c>
    </row>
    <row r="1263" spans="9:19">
      <c r="I1263">
        <f>'Audit Report'!D1263</f>
        <v>0</v>
      </c>
      <c r="J1263">
        <f>'Audit Report'!H1263</f>
        <v>0</v>
      </c>
      <c r="L1263" t="str">
        <f>_xlfn.TEXTJOIN(", ", TRUE, 'Audit Report'!K1263,'Audit Report'!L1263,'Audit Report'!M1263)</f>
        <v/>
      </c>
      <c r="M1263">
        <f>'Audit Report'!O1263</f>
        <v>0</v>
      </c>
      <c r="R1263">
        <f>'Audit Report'!F1263</f>
        <v>0</v>
      </c>
      <c r="S1263">
        <f>'Audit Report'!Q1263</f>
        <v>0</v>
      </c>
    </row>
    <row r="1264" spans="9:19">
      <c r="I1264">
        <f>'Audit Report'!D1264</f>
        <v>0</v>
      </c>
      <c r="J1264">
        <f>'Audit Report'!H1264</f>
        <v>0</v>
      </c>
      <c r="L1264" t="str">
        <f>_xlfn.TEXTJOIN(", ", TRUE, 'Audit Report'!K1264,'Audit Report'!L1264,'Audit Report'!M1264)</f>
        <v/>
      </c>
      <c r="M1264">
        <f>'Audit Report'!O1264</f>
        <v>0</v>
      </c>
      <c r="R1264">
        <f>'Audit Report'!F1264</f>
        <v>0</v>
      </c>
      <c r="S1264">
        <f>'Audit Report'!Q1264</f>
        <v>0</v>
      </c>
    </row>
    <row r="1265" spans="9:19">
      <c r="I1265">
        <f>'Audit Report'!D1265</f>
        <v>0</v>
      </c>
      <c r="J1265">
        <f>'Audit Report'!H1265</f>
        <v>0</v>
      </c>
      <c r="L1265" t="str">
        <f>_xlfn.TEXTJOIN(", ", TRUE, 'Audit Report'!K1265,'Audit Report'!L1265,'Audit Report'!M1265)</f>
        <v/>
      </c>
      <c r="M1265">
        <f>'Audit Report'!O1265</f>
        <v>0</v>
      </c>
      <c r="R1265">
        <f>'Audit Report'!F1265</f>
        <v>0</v>
      </c>
      <c r="S1265">
        <f>'Audit Report'!Q1265</f>
        <v>0</v>
      </c>
    </row>
    <row r="1266" spans="9:19">
      <c r="I1266">
        <f>'Audit Report'!D1266</f>
        <v>0</v>
      </c>
      <c r="J1266">
        <f>'Audit Report'!H1266</f>
        <v>0</v>
      </c>
      <c r="L1266" t="str">
        <f>_xlfn.TEXTJOIN(", ", TRUE, 'Audit Report'!K1266,'Audit Report'!L1266,'Audit Report'!M1266)</f>
        <v/>
      </c>
      <c r="M1266">
        <f>'Audit Report'!O1266</f>
        <v>0</v>
      </c>
      <c r="R1266">
        <f>'Audit Report'!F1266</f>
        <v>0</v>
      </c>
      <c r="S1266">
        <f>'Audit Report'!Q1266</f>
        <v>0</v>
      </c>
    </row>
    <row r="1267" spans="9:19">
      <c r="I1267">
        <f>'Audit Report'!D1267</f>
        <v>0</v>
      </c>
      <c r="J1267">
        <f>'Audit Report'!H1267</f>
        <v>0</v>
      </c>
      <c r="L1267" t="str">
        <f>_xlfn.TEXTJOIN(", ", TRUE, 'Audit Report'!K1267,'Audit Report'!L1267,'Audit Report'!M1267)</f>
        <v/>
      </c>
      <c r="M1267">
        <f>'Audit Report'!O1267</f>
        <v>0</v>
      </c>
      <c r="R1267">
        <f>'Audit Report'!F1267</f>
        <v>0</v>
      </c>
      <c r="S1267">
        <f>'Audit Report'!Q1267</f>
        <v>0</v>
      </c>
    </row>
    <row r="1268" spans="9:19">
      <c r="I1268">
        <f>'Audit Report'!D1268</f>
        <v>0</v>
      </c>
      <c r="J1268">
        <f>'Audit Report'!H1268</f>
        <v>0</v>
      </c>
      <c r="L1268" t="str">
        <f>_xlfn.TEXTJOIN(", ", TRUE, 'Audit Report'!K1268,'Audit Report'!L1268,'Audit Report'!M1268)</f>
        <v/>
      </c>
      <c r="M1268">
        <f>'Audit Report'!O1268</f>
        <v>0</v>
      </c>
      <c r="R1268">
        <f>'Audit Report'!F1268</f>
        <v>0</v>
      </c>
      <c r="S1268">
        <f>'Audit Report'!Q1268</f>
        <v>0</v>
      </c>
    </row>
    <row r="1269" spans="9:19">
      <c r="I1269">
        <f>'Audit Report'!D1269</f>
        <v>0</v>
      </c>
      <c r="J1269">
        <f>'Audit Report'!H1269</f>
        <v>0</v>
      </c>
      <c r="L1269" t="str">
        <f>_xlfn.TEXTJOIN(", ", TRUE, 'Audit Report'!K1269,'Audit Report'!L1269,'Audit Report'!M1269)</f>
        <v/>
      </c>
      <c r="M1269">
        <f>'Audit Report'!O1269</f>
        <v>0</v>
      </c>
      <c r="R1269">
        <f>'Audit Report'!F1269</f>
        <v>0</v>
      </c>
      <c r="S1269">
        <f>'Audit Report'!Q1269</f>
        <v>0</v>
      </c>
    </row>
    <row r="1270" spans="9:19">
      <c r="I1270">
        <f>'Audit Report'!D1270</f>
        <v>0</v>
      </c>
      <c r="J1270">
        <f>'Audit Report'!H1270</f>
        <v>0</v>
      </c>
      <c r="L1270" t="str">
        <f>_xlfn.TEXTJOIN(", ", TRUE, 'Audit Report'!K1270,'Audit Report'!L1270,'Audit Report'!M1270)</f>
        <v/>
      </c>
      <c r="M1270">
        <f>'Audit Report'!O1270</f>
        <v>0</v>
      </c>
      <c r="R1270">
        <f>'Audit Report'!F1270</f>
        <v>0</v>
      </c>
      <c r="S1270">
        <f>'Audit Report'!Q1270</f>
        <v>0</v>
      </c>
    </row>
    <row r="1271" spans="9:19">
      <c r="I1271">
        <f>'Audit Report'!D1271</f>
        <v>0</v>
      </c>
      <c r="J1271">
        <f>'Audit Report'!H1271</f>
        <v>0</v>
      </c>
      <c r="L1271" t="str">
        <f>_xlfn.TEXTJOIN(", ", TRUE, 'Audit Report'!K1271,'Audit Report'!L1271,'Audit Report'!M1271)</f>
        <v/>
      </c>
      <c r="M1271">
        <f>'Audit Report'!O1271</f>
        <v>0</v>
      </c>
      <c r="R1271">
        <f>'Audit Report'!F1271</f>
        <v>0</v>
      </c>
      <c r="S1271">
        <f>'Audit Report'!Q1271</f>
        <v>0</v>
      </c>
    </row>
    <row r="1272" spans="9:19">
      <c r="I1272">
        <f>'Audit Report'!D1272</f>
        <v>0</v>
      </c>
      <c r="J1272">
        <f>'Audit Report'!H1272</f>
        <v>0</v>
      </c>
      <c r="L1272" t="str">
        <f>_xlfn.TEXTJOIN(", ", TRUE, 'Audit Report'!K1272,'Audit Report'!L1272,'Audit Report'!M1272)</f>
        <v/>
      </c>
      <c r="M1272">
        <f>'Audit Report'!O1272</f>
        <v>0</v>
      </c>
      <c r="R1272">
        <f>'Audit Report'!F1272</f>
        <v>0</v>
      </c>
      <c r="S1272">
        <f>'Audit Report'!Q1272</f>
        <v>0</v>
      </c>
    </row>
    <row r="1273" spans="9:19">
      <c r="I1273">
        <f>'Audit Report'!D1273</f>
        <v>0</v>
      </c>
      <c r="J1273">
        <f>'Audit Report'!H1273</f>
        <v>0</v>
      </c>
      <c r="L1273" t="str">
        <f>_xlfn.TEXTJOIN(", ", TRUE, 'Audit Report'!K1273,'Audit Report'!L1273,'Audit Report'!M1273)</f>
        <v/>
      </c>
      <c r="M1273">
        <f>'Audit Report'!O1273</f>
        <v>0</v>
      </c>
      <c r="R1273">
        <f>'Audit Report'!F1273</f>
        <v>0</v>
      </c>
      <c r="S1273">
        <f>'Audit Report'!Q1273</f>
        <v>0</v>
      </c>
    </row>
    <row r="1274" spans="9:19">
      <c r="I1274">
        <f>'Audit Report'!D1274</f>
        <v>0</v>
      </c>
      <c r="J1274">
        <f>'Audit Report'!H1274</f>
        <v>0</v>
      </c>
      <c r="L1274" t="str">
        <f>_xlfn.TEXTJOIN(", ", TRUE, 'Audit Report'!K1274,'Audit Report'!L1274,'Audit Report'!M1274)</f>
        <v/>
      </c>
      <c r="M1274">
        <f>'Audit Report'!O1274</f>
        <v>0</v>
      </c>
      <c r="R1274">
        <f>'Audit Report'!F1274</f>
        <v>0</v>
      </c>
      <c r="S1274">
        <f>'Audit Report'!Q1274</f>
        <v>0</v>
      </c>
    </row>
    <row r="1275" spans="9:19">
      <c r="I1275">
        <f>'Audit Report'!D1275</f>
        <v>0</v>
      </c>
      <c r="J1275">
        <f>'Audit Report'!H1275</f>
        <v>0</v>
      </c>
      <c r="L1275" t="str">
        <f>_xlfn.TEXTJOIN(", ", TRUE, 'Audit Report'!K1275,'Audit Report'!L1275,'Audit Report'!M1275)</f>
        <v/>
      </c>
      <c r="M1275">
        <f>'Audit Report'!O1275</f>
        <v>0</v>
      </c>
      <c r="R1275">
        <f>'Audit Report'!F1275</f>
        <v>0</v>
      </c>
      <c r="S1275">
        <f>'Audit Report'!Q1275</f>
        <v>0</v>
      </c>
    </row>
    <row r="1276" spans="9:19">
      <c r="I1276">
        <f>'Audit Report'!D1276</f>
        <v>0</v>
      </c>
      <c r="J1276">
        <f>'Audit Report'!H1276</f>
        <v>0</v>
      </c>
      <c r="L1276" t="str">
        <f>_xlfn.TEXTJOIN(", ", TRUE, 'Audit Report'!K1276,'Audit Report'!L1276,'Audit Report'!M1276)</f>
        <v/>
      </c>
      <c r="M1276">
        <f>'Audit Report'!O1276</f>
        <v>0</v>
      </c>
      <c r="R1276">
        <f>'Audit Report'!F1276</f>
        <v>0</v>
      </c>
      <c r="S1276">
        <f>'Audit Report'!Q1276</f>
        <v>0</v>
      </c>
    </row>
    <row r="1277" spans="9:19">
      <c r="I1277">
        <f>'Audit Report'!D1277</f>
        <v>0</v>
      </c>
      <c r="J1277">
        <f>'Audit Report'!H1277</f>
        <v>0</v>
      </c>
      <c r="L1277" t="str">
        <f>_xlfn.TEXTJOIN(", ", TRUE, 'Audit Report'!K1277,'Audit Report'!L1277,'Audit Report'!M1277)</f>
        <v/>
      </c>
      <c r="M1277">
        <f>'Audit Report'!O1277</f>
        <v>0</v>
      </c>
      <c r="R1277">
        <f>'Audit Report'!F1277</f>
        <v>0</v>
      </c>
      <c r="S1277">
        <f>'Audit Report'!Q1277</f>
        <v>0</v>
      </c>
    </row>
    <row r="1278" spans="9:19">
      <c r="I1278">
        <f>'Audit Report'!D1278</f>
        <v>0</v>
      </c>
      <c r="J1278">
        <f>'Audit Report'!H1278</f>
        <v>0</v>
      </c>
      <c r="L1278" t="str">
        <f>_xlfn.TEXTJOIN(", ", TRUE, 'Audit Report'!K1278,'Audit Report'!L1278,'Audit Report'!M1278)</f>
        <v/>
      </c>
      <c r="M1278">
        <f>'Audit Report'!O1278</f>
        <v>0</v>
      </c>
      <c r="R1278">
        <f>'Audit Report'!F1278</f>
        <v>0</v>
      </c>
      <c r="S1278">
        <f>'Audit Report'!Q1278</f>
        <v>0</v>
      </c>
    </row>
    <row r="1279" spans="9:19">
      <c r="I1279">
        <f>'Audit Report'!D1279</f>
        <v>0</v>
      </c>
      <c r="J1279">
        <f>'Audit Report'!H1279</f>
        <v>0</v>
      </c>
      <c r="L1279" t="str">
        <f>_xlfn.TEXTJOIN(", ", TRUE, 'Audit Report'!K1279,'Audit Report'!L1279,'Audit Report'!M1279)</f>
        <v/>
      </c>
      <c r="M1279">
        <f>'Audit Report'!O1279</f>
        <v>0</v>
      </c>
      <c r="R1279">
        <f>'Audit Report'!F1279</f>
        <v>0</v>
      </c>
      <c r="S1279">
        <f>'Audit Report'!Q1279</f>
        <v>0</v>
      </c>
    </row>
    <row r="1280" spans="9:19">
      <c r="I1280">
        <f>'Audit Report'!D1280</f>
        <v>0</v>
      </c>
      <c r="J1280">
        <f>'Audit Report'!H1280</f>
        <v>0</v>
      </c>
      <c r="L1280" t="str">
        <f>_xlfn.TEXTJOIN(", ", TRUE, 'Audit Report'!K1280,'Audit Report'!L1280,'Audit Report'!M1280)</f>
        <v/>
      </c>
      <c r="M1280">
        <f>'Audit Report'!O1280</f>
        <v>0</v>
      </c>
      <c r="R1280">
        <f>'Audit Report'!F1280</f>
        <v>0</v>
      </c>
      <c r="S1280">
        <f>'Audit Report'!Q1280</f>
        <v>0</v>
      </c>
    </row>
    <row r="1281" spans="9:19">
      <c r="I1281">
        <f>'Audit Report'!D1281</f>
        <v>0</v>
      </c>
      <c r="J1281">
        <f>'Audit Report'!H1281</f>
        <v>0</v>
      </c>
      <c r="L1281" t="str">
        <f>_xlfn.TEXTJOIN(", ", TRUE, 'Audit Report'!K1281,'Audit Report'!L1281,'Audit Report'!M1281)</f>
        <v/>
      </c>
      <c r="M1281">
        <f>'Audit Report'!O1281</f>
        <v>0</v>
      </c>
      <c r="R1281">
        <f>'Audit Report'!F1281</f>
        <v>0</v>
      </c>
      <c r="S1281">
        <f>'Audit Report'!Q1281</f>
        <v>0</v>
      </c>
    </row>
    <row r="1282" spans="9:19">
      <c r="I1282">
        <f>'Audit Report'!D1282</f>
        <v>0</v>
      </c>
      <c r="J1282">
        <f>'Audit Report'!H1282</f>
        <v>0</v>
      </c>
      <c r="L1282" t="str">
        <f>_xlfn.TEXTJOIN(", ", TRUE, 'Audit Report'!K1282,'Audit Report'!L1282,'Audit Report'!M1282)</f>
        <v/>
      </c>
      <c r="M1282">
        <f>'Audit Report'!O1282</f>
        <v>0</v>
      </c>
      <c r="R1282">
        <f>'Audit Report'!F1282</f>
        <v>0</v>
      </c>
      <c r="S1282">
        <f>'Audit Report'!Q1282</f>
        <v>0</v>
      </c>
    </row>
    <row r="1283" spans="9:19">
      <c r="I1283">
        <f>'Audit Report'!D1283</f>
        <v>0</v>
      </c>
      <c r="J1283">
        <f>'Audit Report'!H1283</f>
        <v>0</v>
      </c>
      <c r="L1283" t="str">
        <f>_xlfn.TEXTJOIN(", ", TRUE, 'Audit Report'!K1283,'Audit Report'!L1283,'Audit Report'!M1283)</f>
        <v/>
      </c>
      <c r="M1283">
        <f>'Audit Report'!O1283</f>
        <v>0</v>
      </c>
      <c r="R1283">
        <f>'Audit Report'!F1283</f>
        <v>0</v>
      </c>
      <c r="S1283">
        <f>'Audit Report'!Q1283</f>
        <v>0</v>
      </c>
    </row>
    <row r="1284" spans="9:19">
      <c r="I1284">
        <f>'Audit Report'!D1284</f>
        <v>0</v>
      </c>
      <c r="J1284">
        <f>'Audit Report'!H1284</f>
        <v>0</v>
      </c>
      <c r="L1284" t="str">
        <f>_xlfn.TEXTJOIN(", ", TRUE, 'Audit Report'!K1284,'Audit Report'!L1284,'Audit Report'!M1284)</f>
        <v/>
      </c>
      <c r="M1284">
        <f>'Audit Report'!O1284</f>
        <v>0</v>
      </c>
      <c r="R1284">
        <f>'Audit Report'!F1284</f>
        <v>0</v>
      </c>
      <c r="S1284">
        <f>'Audit Report'!Q1284</f>
        <v>0</v>
      </c>
    </row>
    <row r="1285" spans="9:19">
      <c r="I1285">
        <f>'Audit Report'!D1285</f>
        <v>0</v>
      </c>
      <c r="J1285">
        <f>'Audit Report'!H1285</f>
        <v>0</v>
      </c>
      <c r="L1285" t="str">
        <f>_xlfn.TEXTJOIN(", ", TRUE, 'Audit Report'!K1285,'Audit Report'!L1285,'Audit Report'!M1285)</f>
        <v/>
      </c>
      <c r="M1285">
        <f>'Audit Report'!O1285</f>
        <v>0</v>
      </c>
      <c r="R1285">
        <f>'Audit Report'!F1285</f>
        <v>0</v>
      </c>
      <c r="S1285">
        <f>'Audit Report'!Q1285</f>
        <v>0</v>
      </c>
    </row>
    <row r="1286" spans="9:19">
      <c r="I1286">
        <f>'Audit Report'!D1286</f>
        <v>0</v>
      </c>
      <c r="J1286">
        <f>'Audit Report'!H1286</f>
        <v>0</v>
      </c>
      <c r="L1286" t="str">
        <f>_xlfn.TEXTJOIN(", ", TRUE, 'Audit Report'!K1286,'Audit Report'!L1286,'Audit Report'!M1286)</f>
        <v/>
      </c>
      <c r="M1286">
        <f>'Audit Report'!O1286</f>
        <v>0</v>
      </c>
      <c r="R1286">
        <f>'Audit Report'!F1286</f>
        <v>0</v>
      </c>
      <c r="S1286">
        <f>'Audit Report'!Q1286</f>
        <v>0</v>
      </c>
    </row>
    <row r="1287" spans="9:19">
      <c r="I1287">
        <f>'Audit Report'!D1287</f>
        <v>0</v>
      </c>
      <c r="J1287">
        <f>'Audit Report'!H1287</f>
        <v>0</v>
      </c>
      <c r="L1287" t="str">
        <f>_xlfn.TEXTJOIN(", ", TRUE, 'Audit Report'!K1287,'Audit Report'!L1287,'Audit Report'!M1287)</f>
        <v/>
      </c>
      <c r="M1287">
        <f>'Audit Report'!O1287</f>
        <v>0</v>
      </c>
      <c r="R1287">
        <f>'Audit Report'!F1287</f>
        <v>0</v>
      </c>
      <c r="S1287">
        <f>'Audit Report'!Q1287</f>
        <v>0</v>
      </c>
    </row>
    <row r="1288" spans="9:19">
      <c r="I1288">
        <f>'Audit Report'!D1288</f>
        <v>0</v>
      </c>
      <c r="J1288">
        <f>'Audit Report'!H1288</f>
        <v>0</v>
      </c>
      <c r="L1288" t="str">
        <f>_xlfn.TEXTJOIN(", ", TRUE, 'Audit Report'!K1288,'Audit Report'!L1288,'Audit Report'!M1288)</f>
        <v/>
      </c>
      <c r="M1288">
        <f>'Audit Report'!O1288</f>
        <v>0</v>
      </c>
      <c r="R1288">
        <f>'Audit Report'!F1288</f>
        <v>0</v>
      </c>
      <c r="S1288">
        <f>'Audit Report'!Q1288</f>
        <v>0</v>
      </c>
    </row>
    <row r="1289" spans="9:19">
      <c r="I1289">
        <f>'Audit Report'!D1289</f>
        <v>0</v>
      </c>
      <c r="J1289">
        <f>'Audit Report'!H1289</f>
        <v>0</v>
      </c>
      <c r="L1289" t="str">
        <f>_xlfn.TEXTJOIN(", ", TRUE, 'Audit Report'!K1289,'Audit Report'!L1289,'Audit Report'!M1289)</f>
        <v/>
      </c>
      <c r="M1289">
        <f>'Audit Report'!O1289</f>
        <v>0</v>
      </c>
      <c r="R1289">
        <f>'Audit Report'!F1289</f>
        <v>0</v>
      </c>
      <c r="S1289">
        <f>'Audit Report'!Q1289</f>
        <v>0</v>
      </c>
    </row>
    <row r="1290" spans="9:19">
      <c r="I1290">
        <f>'Audit Report'!D1290</f>
        <v>0</v>
      </c>
      <c r="J1290">
        <f>'Audit Report'!H1290</f>
        <v>0</v>
      </c>
      <c r="L1290" t="str">
        <f>_xlfn.TEXTJOIN(", ", TRUE, 'Audit Report'!K1290,'Audit Report'!L1290,'Audit Report'!M1290)</f>
        <v/>
      </c>
      <c r="M1290">
        <f>'Audit Report'!O1290</f>
        <v>0</v>
      </c>
      <c r="R1290">
        <f>'Audit Report'!F1290</f>
        <v>0</v>
      </c>
      <c r="S1290">
        <f>'Audit Report'!Q1290</f>
        <v>0</v>
      </c>
    </row>
    <row r="1291" spans="9:19">
      <c r="I1291">
        <f>'Audit Report'!D1291</f>
        <v>0</v>
      </c>
      <c r="J1291">
        <f>'Audit Report'!H1291</f>
        <v>0</v>
      </c>
      <c r="L1291" t="str">
        <f>_xlfn.TEXTJOIN(", ", TRUE, 'Audit Report'!K1291,'Audit Report'!L1291,'Audit Report'!M1291)</f>
        <v/>
      </c>
      <c r="M1291">
        <f>'Audit Report'!O1291</f>
        <v>0</v>
      </c>
      <c r="R1291">
        <f>'Audit Report'!F1291</f>
        <v>0</v>
      </c>
      <c r="S1291">
        <f>'Audit Report'!Q1291</f>
        <v>0</v>
      </c>
    </row>
    <row r="1292" spans="9:19">
      <c r="I1292">
        <f>'Audit Report'!D1292</f>
        <v>0</v>
      </c>
      <c r="J1292">
        <f>'Audit Report'!H1292</f>
        <v>0</v>
      </c>
      <c r="L1292" t="str">
        <f>_xlfn.TEXTJOIN(", ", TRUE, 'Audit Report'!K1292,'Audit Report'!L1292,'Audit Report'!M1292)</f>
        <v/>
      </c>
      <c r="M1292">
        <f>'Audit Report'!O1292</f>
        <v>0</v>
      </c>
      <c r="R1292">
        <f>'Audit Report'!F1292</f>
        <v>0</v>
      </c>
      <c r="S1292">
        <f>'Audit Report'!Q1292</f>
        <v>0</v>
      </c>
    </row>
    <row r="1293" spans="9:19">
      <c r="I1293">
        <f>'Audit Report'!D1293</f>
        <v>0</v>
      </c>
      <c r="J1293">
        <f>'Audit Report'!H1293</f>
        <v>0</v>
      </c>
      <c r="L1293" t="str">
        <f>_xlfn.TEXTJOIN(", ", TRUE, 'Audit Report'!K1293,'Audit Report'!L1293,'Audit Report'!M1293)</f>
        <v/>
      </c>
      <c r="M1293">
        <f>'Audit Report'!O1293</f>
        <v>0</v>
      </c>
      <c r="R1293">
        <f>'Audit Report'!F1293</f>
        <v>0</v>
      </c>
      <c r="S1293">
        <f>'Audit Report'!Q1293</f>
        <v>0</v>
      </c>
    </row>
    <row r="1294" spans="9:19">
      <c r="I1294">
        <f>'Audit Report'!D1294</f>
        <v>0</v>
      </c>
      <c r="J1294">
        <f>'Audit Report'!H1294</f>
        <v>0</v>
      </c>
      <c r="L1294" t="str">
        <f>_xlfn.TEXTJOIN(", ", TRUE, 'Audit Report'!K1294,'Audit Report'!L1294,'Audit Report'!M1294)</f>
        <v/>
      </c>
      <c r="M1294">
        <f>'Audit Report'!O1294</f>
        <v>0</v>
      </c>
      <c r="R1294">
        <f>'Audit Report'!F1294</f>
        <v>0</v>
      </c>
      <c r="S1294">
        <f>'Audit Report'!Q1294</f>
        <v>0</v>
      </c>
    </row>
    <row r="1295" spans="9:19">
      <c r="I1295">
        <f>'Audit Report'!D1295</f>
        <v>0</v>
      </c>
      <c r="J1295">
        <f>'Audit Report'!H1295</f>
        <v>0</v>
      </c>
      <c r="L1295" t="str">
        <f>_xlfn.TEXTJOIN(", ", TRUE, 'Audit Report'!K1295,'Audit Report'!L1295,'Audit Report'!M1295)</f>
        <v/>
      </c>
      <c r="M1295">
        <f>'Audit Report'!O1295</f>
        <v>0</v>
      </c>
      <c r="R1295">
        <f>'Audit Report'!F1295</f>
        <v>0</v>
      </c>
      <c r="S1295">
        <f>'Audit Report'!Q1295</f>
        <v>0</v>
      </c>
    </row>
    <row r="1296" spans="9:19">
      <c r="I1296">
        <f>'Audit Report'!D1296</f>
        <v>0</v>
      </c>
      <c r="J1296">
        <f>'Audit Report'!H1296</f>
        <v>0</v>
      </c>
      <c r="L1296" t="str">
        <f>_xlfn.TEXTJOIN(", ", TRUE, 'Audit Report'!K1296,'Audit Report'!L1296,'Audit Report'!M1296)</f>
        <v/>
      </c>
      <c r="M1296">
        <f>'Audit Report'!O1296</f>
        <v>0</v>
      </c>
      <c r="R1296">
        <f>'Audit Report'!F1296</f>
        <v>0</v>
      </c>
      <c r="S1296">
        <f>'Audit Report'!Q1296</f>
        <v>0</v>
      </c>
    </row>
    <row r="1297" spans="9:19">
      <c r="I1297">
        <f>'Audit Report'!D1297</f>
        <v>0</v>
      </c>
      <c r="J1297">
        <f>'Audit Report'!H1297</f>
        <v>0</v>
      </c>
      <c r="L1297" t="str">
        <f>_xlfn.TEXTJOIN(", ", TRUE, 'Audit Report'!K1297,'Audit Report'!L1297,'Audit Report'!M1297)</f>
        <v/>
      </c>
      <c r="M1297">
        <f>'Audit Report'!O1297</f>
        <v>0</v>
      </c>
      <c r="R1297">
        <f>'Audit Report'!F1297</f>
        <v>0</v>
      </c>
      <c r="S1297">
        <f>'Audit Report'!Q1297</f>
        <v>0</v>
      </c>
    </row>
    <row r="1298" spans="9:19">
      <c r="I1298">
        <f>'Audit Report'!D1298</f>
        <v>0</v>
      </c>
      <c r="J1298">
        <f>'Audit Report'!H1298</f>
        <v>0</v>
      </c>
      <c r="L1298" t="str">
        <f>_xlfn.TEXTJOIN(", ", TRUE, 'Audit Report'!K1298,'Audit Report'!L1298,'Audit Report'!M1298)</f>
        <v/>
      </c>
      <c r="M1298">
        <f>'Audit Report'!O1298</f>
        <v>0</v>
      </c>
      <c r="R1298">
        <f>'Audit Report'!F1298</f>
        <v>0</v>
      </c>
      <c r="S1298">
        <f>'Audit Report'!Q1298</f>
        <v>0</v>
      </c>
    </row>
    <row r="1299" spans="9:19">
      <c r="I1299">
        <f>'Audit Report'!D1299</f>
        <v>0</v>
      </c>
      <c r="J1299">
        <f>'Audit Report'!H1299</f>
        <v>0</v>
      </c>
      <c r="L1299" t="str">
        <f>_xlfn.TEXTJOIN(", ", TRUE, 'Audit Report'!K1299,'Audit Report'!L1299,'Audit Report'!M1299)</f>
        <v/>
      </c>
      <c r="M1299">
        <f>'Audit Report'!O1299</f>
        <v>0</v>
      </c>
      <c r="R1299">
        <f>'Audit Report'!F1299</f>
        <v>0</v>
      </c>
      <c r="S1299">
        <f>'Audit Report'!Q1299</f>
        <v>0</v>
      </c>
    </row>
    <row r="1300" spans="9:19">
      <c r="I1300">
        <f>'Audit Report'!D1300</f>
        <v>0</v>
      </c>
      <c r="J1300">
        <f>'Audit Report'!H1300</f>
        <v>0</v>
      </c>
      <c r="L1300" t="str">
        <f>_xlfn.TEXTJOIN(", ", TRUE, 'Audit Report'!K1300,'Audit Report'!L1300,'Audit Report'!M1300)</f>
        <v/>
      </c>
      <c r="M1300">
        <f>'Audit Report'!O1300</f>
        <v>0</v>
      </c>
      <c r="R1300">
        <f>'Audit Report'!F1300</f>
        <v>0</v>
      </c>
      <c r="S1300">
        <f>'Audit Report'!Q1300</f>
        <v>0</v>
      </c>
    </row>
    <row r="1301" spans="9:19">
      <c r="I1301">
        <f>'Audit Report'!D1301</f>
        <v>0</v>
      </c>
      <c r="J1301">
        <f>'Audit Report'!H1301</f>
        <v>0</v>
      </c>
      <c r="L1301" t="str">
        <f>_xlfn.TEXTJOIN(", ", TRUE, 'Audit Report'!K1301,'Audit Report'!L1301,'Audit Report'!M1301)</f>
        <v/>
      </c>
      <c r="M1301">
        <f>'Audit Report'!O1301</f>
        <v>0</v>
      </c>
      <c r="R1301">
        <f>'Audit Report'!F1301</f>
        <v>0</v>
      </c>
      <c r="S1301">
        <f>'Audit Report'!Q1301</f>
        <v>0</v>
      </c>
    </row>
    <row r="1302" spans="9:19">
      <c r="I1302">
        <f>'Audit Report'!D1302</f>
        <v>0</v>
      </c>
      <c r="J1302">
        <f>'Audit Report'!H1302</f>
        <v>0</v>
      </c>
      <c r="L1302" t="str">
        <f>_xlfn.TEXTJOIN(", ", TRUE, 'Audit Report'!K1302,'Audit Report'!L1302,'Audit Report'!M1302)</f>
        <v/>
      </c>
      <c r="M1302">
        <f>'Audit Report'!O1302</f>
        <v>0</v>
      </c>
      <c r="R1302">
        <f>'Audit Report'!F1302</f>
        <v>0</v>
      </c>
      <c r="S1302">
        <f>'Audit Report'!Q1302</f>
        <v>0</v>
      </c>
    </row>
    <row r="1303" spans="9:19">
      <c r="I1303">
        <f>'Audit Report'!D1303</f>
        <v>0</v>
      </c>
      <c r="J1303">
        <f>'Audit Report'!H1303</f>
        <v>0</v>
      </c>
      <c r="L1303" t="str">
        <f>_xlfn.TEXTJOIN(", ", TRUE, 'Audit Report'!K1303,'Audit Report'!L1303,'Audit Report'!M1303)</f>
        <v/>
      </c>
      <c r="M1303">
        <f>'Audit Report'!O1303</f>
        <v>0</v>
      </c>
      <c r="R1303">
        <f>'Audit Report'!F1303</f>
        <v>0</v>
      </c>
      <c r="S1303">
        <f>'Audit Report'!Q1303</f>
        <v>0</v>
      </c>
    </row>
    <row r="1304" spans="9:19">
      <c r="I1304">
        <f>'Audit Report'!D1304</f>
        <v>0</v>
      </c>
      <c r="J1304">
        <f>'Audit Report'!H1304</f>
        <v>0</v>
      </c>
      <c r="L1304" t="str">
        <f>_xlfn.TEXTJOIN(", ", TRUE, 'Audit Report'!K1304,'Audit Report'!L1304,'Audit Report'!M1304)</f>
        <v/>
      </c>
      <c r="M1304">
        <f>'Audit Report'!O1304</f>
        <v>0</v>
      </c>
      <c r="R1304">
        <f>'Audit Report'!F1304</f>
        <v>0</v>
      </c>
      <c r="S1304">
        <f>'Audit Report'!Q1304</f>
        <v>0</v>
      </c>
    </row>
    <row r="1305" spans="9:19">
      <c r="I1305">
        <f>'Audit Report'!D1305</f>
        <v>0</v>
      </c>
      <c r="J1305">
        <f>'Audit Report'!H1305</f>
        <v>0</v>
      </c>
      <c r="L1305" t="str">
        <f>_xlfn.TEXTJOIN(", ", TRUE, 'Audit Report'!K1305,'Audit Report'!L1305,'Audit Report'!M1305)</f>
        <v/>
      </c>
      <c r="M1305">
        <f>'Audit Report'!O1305</f>
        <v>0</v>
      </c>
      <c r="R1305">
        <f>'Audit Report'!F1305</f>
        <v>0</v>
      </c>
      <c r="S1305">
        <f>'Audit Report'!Q1305</f>
        <v>0</v>
      </c>
    </row>
    <row r="1306" spans="9:19">
      <c r="I1306">
        <f>'Audit Report'!D1306</f>
        <v>0</v>
      </c>
      <c r="J1306">
        <f>'Audit Report'!H1306</f>
        <v>0</v>
      </c>
      <c r="L1306" t="str">
        <f>_xlfn.TEXTJOIN(", ", TRUE, 'Audit Report'!K1306,'Audit Report'!L1306,'Audit Report'!M1306)</f>
        <v/>
      </c>
      <c r="M1306">
        <f>'Audit Report'!O1306</f>
        <v>0</v>
      </c>
      <c r="R1306">
        <f>'Audit Report'!F1306</f>
        <v>0</v>
      </c>
      <c r="S1306">
        <f>'Audit Report'!Q1306</f>
        <v>0</v>
      </c>
    </row>
    <row r="1307" spans="9:19">
      <c r="I1307">
        <f>'Audit Report'!D1307</f>
        <v>0</v>
      </c>
      <c r="J1307">
        <f>'Audit Report'!H1307</f>
        <v>0</v>
      </c>
      <c r="L1307" t="str">
        <f>_xlfn.TEXTJOIN(", ", TRUE, 'Audit Report'!K1307,'Audit Report'!L1307,'Audit Report'!M1307)</f>
        <v/>
      </c>
      <c r="M1307">
        <f>'Audit Report'!O1307</f>
        <v>0</v>
      </c>
      <c r="R1307">
        <f>'Audit Report'!F1307</f>
        <v>0</v>
      </c>
      <c r="S1307">
        <f>'Audit Report'!Q1307</f>
        <v>0</v>
      </c>
    </row>
    <row r="1308" spans="9:19">
      <c r="I1308">
        <f>'Audit Report'!D1308</f>
        <v>0</v>
      </c>
      <c r="J1308">
        <f>'Audit Report'!H1308</f>
        <v>0</v>
      </c>
      <c r="L1308" t="str">
        <f>_xlfn.TEXTJOIN(", ", TRUE, 'Audit Report'!K1308,'Audit Report'!L1308,'Audit Report'!M1308)</f>
        <v/>
      </c>
      <c r="M1308">
        <f>'Audit Report'!O1308</f>
        <v>0</v>
      </c>
      <c r="R1308">
        <f>'Audit Report'!F1308</f>
        <v>0</v>
      </c>
      <c r="S1308">
        <f>'Audit Report'!Q1308</f>
        <v>0</v>
      </c>
    </row>
    <row r="1309" spans="9:19">
      <c r="I1309">
        <f>'Audit Report'!D1309</f>
        <v>0</v>
      </c>
      <c r="J1309">
        <f>'Audit Report'!H1309</f>
        <v>0</v>
      </c>
      <c r="L1309" t="str">
        <f>_xlfn.TEXTJOIN(", ", TRUE, 'Audit Report'!K1309,'Audit Report'!L1309,'Audit Report'!M1309)</f>
        <v/>
      </c>
      <c r="M1309">
        <f>'Audit Report'!O1309</f>
        <v>0</v>
      </c>
      <c r="R1309">
        <f>'Audit Report'!F1309</f>
        <v>0</v>
      </c>
      <c r="S1309">
        <f>'Audit Report'!Q1309</f>
        <v>0</v>
      </c>
    </row>
    <row r="1310" spans="9:19">
      <c r="I1310">
        <f>'Audit Report'!D1310</f>
        <v>0</v>
      </c>
      <c r="J1310">
        <f>'Audit Report'!H1310</f>
        <v>0</v>
      </c>
      <c r="L1310" t="str">
        <f>_xlfn.TEXTJOIN(", ", TRUE, 'Audit Report'!K1310,'Audit Report'!L1310,'Audit Report'!M1310)</f>
        <v/>
      </c>
      <c r="M1310">
        <f>'Audit Report'!O1310</f>
        <v>0</v>
      </c>
      <c r="R1310">
        <f>'Audit Report'!F1310</f>
        <v>0</v>
      </c>
      <c r="S1310">
        <f>'Audit Report'!Q1310</f>
        <v>0</v>
      </c>
    </row>
    <row r="1311" spans="9:19">
      <c r="I1311">
        <f>'Audit Report'!D1311</f>
        <v>0</v>
      </c>
      <c r="J1311">
        <f>'Audit Report'!H1311</f>
        <v>0</v>
      </c>
      <c r="L1311" t="str">
        <f>_xlfn.TEXTJOIN(", ", TRUE, 'Audit Report'!K1311,'Audit Report'!L1311,'Audit Report'!M1311)</f>
        <v/>
      </c>
      <c r="M1311">
        <f>'Audit Report'!O1311</f>
        <v>0</v>
      </c>
      <c r="R1311">
        <f>'Audit Report'!F1311</f>
        <v>0</v>
      </c>
      <c r="S1311">
        <f>'Audit Report'!Q1311</f>
        <v>0</v>
      </c>
    </row>
    <row r="1312" spans="9:19">
      <c r="I1312">
        <f>'Audit Report'!D1312</f>
        <v>0</v>
      </c>
      <c r="J1312">
        <f>'Audit Report'!H1312</f>
        <v>0</v>
      </c>
      <c r="L1312" t="str">
        <f>_xlfn.TEXTJOIN(", ", TRUE, 'Audit Report'!K1312,'Audit Report'!L1312,'Audit Report'!M1312)</f>
        <v/>
      </c>
      <c r="M1312">
        <f>'Audit Report'!O1312</f>
        <v>0</v>
      </c>
      <c r="R1312">
        <f>'Audit Report'!F1312</f>
        <v>0</v>
      </c>
      <c r="S1312">
        <f>'Audit Report'!Q1312</f>
        <v>0</v>
      </c>
    </row>
    <row r="1313" spans="9:19">
      <c r="I1313">
        <f>'Audit Report'!D1313</f>
        <v>0</v>
      </c>
      <c r="J1313">
        <f>'Audit Report'!H1313</f>
        <v>0</v>
      </c>
      <c r="L1313" t="str">
        <f>_xlfn.TEXTJOIN(", ", TRUE, 'Audit Report'!K1313,'Audit Report'!L1313,'Audit Report'!M1313)</f>
        <v/>
      </c>
      <c r="M1313">
        <f>'Audit Report'!O1313</f>
        <v>0</v>
      </c>
      <c r="R1313">
        <f>'Audit Report'!F1313</f>
        <v>0</v>
      </c>
      <c r="S1313">
        <f>'Audit Report'!Q1313</f>
        <v>0</v>
      </c>
    </row>
    <row r="1314" spans="9:19">
      <c r="I1314">
        <f>'Audit Report'!D1314</f>
        <v>0</v>
      </c>
      <c r="J1314">
        <f>'Audit Report'!H1314</f>
        <v>0</v>
      </c>
      <c r="L1314" t="str">
        <f>_xlfn.TEXTJOIN(", ", TRUE, 'Audit Report'!K1314,'Audit Report'!L1314,'Audit Report'!M1314)</f>
        <v/>
      </c>
      <c r="M1314">
        <f>'Audit Report'!O1314</f>
        <v>0</v>
      </c>
      <c r="R1314">
        <f>'Audit Report'!F1314</f>
        <v>0</v>
      </c>
      <c r="S1314">
        <f>'Audit Report'!Q1314</f>
        <v>0</v>
      </c>
    </row>
    <row r="1315" spans="9:19">
      <c r="I1315">
        <f>'Audit Report'!D1315</f>
        <v>0</v>
      </c>
      <c r="J1315">
        <f>'Audit Report'!H1315</f>
        <v>0</v>
      </c>
      <c r="L1315" t="str">
        <f>_xlfn.TEXTJOIN(", ", TRUE, 'Audit Report'!K1315,'Audit Report'!L1315,'Audit Report'!M1315)</f>
        <v/>
      </c>
      <c r="M1315">
        <f>'Audit Report'!O1315</f>
        <v>0</v>
      </c>
      <c r="R1315">
        <f>'Audit Report'!F1315</f>
        <v>0</v>
      </c>
      <c r="S1315">
        <f>'Audit Report'!Q1315</f>
        <v>0</v>
      </c>
    </row>
    <row r="1316" spans="9:19">
      <c r="I1316">
        <f>'Audit Report'!D1316</f>
        <v>0</v>
      </c>
      <c r="J1316">
        <f>'Audit Report'!H1316</f>
        <v>0</v>
      </c>
      <c r="L1316" t="str">
        <f>_xlfn.TEXTJOIN(", ", TRUE, 'Audit Report'!K1316,'Audit Report'!L1316,'Audit Report'!M1316)</f>
        <v/>
      </c>
      <c r="M1316">
        <f>'Audit Report'!O1316</f>
        <v>0</v>
      </c>
      <c r="R1316">
        <f>'Audit Report'!F1316</f>
        <v>0</v>
      </c>
      <c r="S1316">
        <f>'Audit Report'!Q1316</f>
        <v>0</v>
      </c>
    </row>
    <row r="1317" spans="9:19">
      <c r="I1317">
        <f>'Audit Report'!D1317</f>
        <v>0</v>
      </c>
      <c r="J1317">
        <f>'Audit Report'!H1317</f>
        <v>0</v>
      </c>
      <c r="L1317" t="str">
        <f>_xlfn.TEXTJOIN(", ", TRUE, 'Audit Report'!K1317,'Audit Report'!L1317,'Audit Report'!M1317)</f>
        <v/>
      </c>
      <c r="M1317">
        <f>'Audit Report'!O1317</f>
        <v>0</v>
      </c>
      <c r="R1317">
        <f>'Audit Report'!F1317</f>
        <v>0</v>
      </c>
      <c r="S1317">
        <f>'Audit Report'!Q1317</f>
        <v>0</v>
      </c>
    </row>
    <row r="1318" spans="9:19">
      <c r="I1318">
        <f>'Audit Report'!D1318</f>
        <v>0</v>
      </c>
      <c r="J1318">
        <f>'Audit Report'!H1318</f>
        <v>0</v>
      </c>
      <c r="L1318" t="str">
        <f>_xlfn.TEXTJOIN(", ", FALSE, 'Audit Report'!K1318,'Audit Report'!L1318,'Audit Report'!M1318)</f>
        <v xml:space="preserve">, , </v>
      </c>
      <c r="M1318">
        <f>'Audit Report'!O1318</f>
        <v>0</v>
      </c>
      <c r="R1318">
        <f>'Audit Report'!F1318</f>
        <v>0</v>
      </c>
      <c r="S1318">
        <f>'Audit Report'!Q1318</f>
        <v>0</v>
      </c>
    </row>
    <row r="1319" spans="9:19">
      <c r="I1319">
        <f>'Audit Report'!D1319</f>
        <v>0</v>
      </c>
      <c r="J1319">
        <f>'Audit Report'!H1319</f>
        <v>0</v>
      </c>
      <c r="L1319" t="str">
        <f>_xlfn.TEXTJOIN(", ", FALSE, 'Audit Report'!K1319,'Audit Report'!L1319,'Audit Report'!M1319)</f>
        <v xml:space="preserve">, , </v>
      </c>
      <c r="M1319">
        <f>'Audit Report'!O1319</f>
        <v>0</v>
      </c>
      <c r="R1319">
        <f>'Audit Report'!F1319</f>
        <v>0</v>
      </c>
      <c r="S1319">
        <f>'Audit Report'!Q1319</f>
        <v>0</v>
      </c>
    </row>
    <row r="1320" spans="9:19">
      <c r="I1320">
        <f>'Audit Report'!D1320</f>
        <v>0</v>
      </c>
      <c r="J1320">
        <f>'Audit Report'!H1320</f>
        <v>0</v>
      </c>
      <c r="L1320" t="str">
        <f>_xlfn.TEXTJOIN(", ", FALSE, 'Audit Report'!K1320,'Audit Report'!L1320,'Audit Report'!M1320)</f>
        <v xml:space="preserve">, , </v>
      </c>
      <c r="M1320">
        <f>'Audit Report'!O1320</f>
        <v>0</v>
      </c>
      <c r="R1320">
        <f>'Audit Report'!F1320</f>
        <v>0</v>
      </c>
      <c r="S1320">
        <f>'Audit Report'!Q1320</f>
        <v>0</v>
      </c>
    </row>
    <row r="1321" spans="9:19">
      <c r="I1321">
        <f>'Audit Report'!D1321</f>
        <v>0</v>
      </c>
      <c r="J1321">
        <f>'Audit Report'!H1321</f>
        <v>0</v>
      </c>
      <c r="L1321" t="str">
        <f>_xlfn.TEXTJOIN(", ", FALSE, 'Audit Report'!K1321,'Audit Report'!L1321,'Audit Report'!M1321)</f>
        <v xml:space="preserve">, , </v>
      </c>
      <c r="M1321">
        <f>'Audit Report'!O1321</f>
        <v>0</v>
      </c>
      <c r="R1321">
        <f>'Audit Report'!F1321</f>
        <v>0</v>
      </c>
      <c r="S1321">
        <f>'Audit Report'!Q1321</f>
        <v>0</v>
      </c>
    </row>
    <row r="1322" spans="9:19">
      <c r="I1322">
        <f>'Audit Report'!D1322</f>
        <v>0</v>
      </c>
      <c r="J1322">
        <f>'Audit Report'!H1322</f>
        <v>0</v>
      </c>
      <c r="L1322" t="str">
        <f>_xlfn.TEXTJOIN(", ", FALSE, 'Audit Report'!K1322,'Audit Report'!L1322,'Audit Report'!M1322)</f>
        <v xml:space="preserve">, , </v>
      </c>
      <c r="M1322">
        <f>'Audit Report'!O1322</f>
        <v>0</v>
      </c>
      <c r="R1322">
        <f>'Audit Report'!F1322</f>
        <v>0</v>
      </c>
      <c r="S1322">
        <f>'Audit Report'!Q1322</f>
        <v>0</v>
      </c>
    </row>
    <row r="1323" spans="9:19">
      <c r="L1323" t="str">
        <f>_xlfn.TEXTJOIN(", ", FALSE, 'Audit Report'!K1323,'Audit Report'!L1323,'Audit Report'!M1323)</f>
        <v xml:space="preserve">, , </v>
      </c>
    </row>
    <row r="1324" spans="9:19">
      <c r="L1324" t="str">
        <f>_xlfn.TEXTJOIN(", ", FALSE, 'Audit Report'!K1324,'Audit Report'!L1324,'Audit Report'!M1324)</f>
        <v xml:space="preserve">, , </v>
      </c>
    </row>
    <row r="1325" spans="9:19">
      <c r="L1325" t="str">
        <f>_xlfn.TEXTJOIN(", ", FALSE, 'Audit Report'!K1325,'Audit Report'!L1325,'Audit Report'!M1325)</f>
        <v xml:space="preserve">, , </v>
      </c>
    </row>
    <row r="1326" spans="9:19">
      <c r="L1326" t="str">
        <f>_xlfn.TEXTJOIN(", ", FALSE, 'Audit Report'!K1326,'Audit Report'!L1326,'Audit Report'!M1326)</f>
        <v xml:space="preserve">, , </v>
      </c>
    </row>
    <row r="1327" spans="9:19">
      <c r="L1327" t="str">
        <f>_xlfn.TEXTJOIN(", ", FALSE, 'Audit Report'!K1327,'Audit Report'!L1327,'Audit Report'!M1327)</f>
        <v xml:space="preserve">, , </v>
      </c>
    </row>
    <row r="1328" spans="9:19">
      <c r="L1328" t="str">
        <f>_xlfn.TEXTJOIN(", ", FALSE, 'Audit Report'!K1328,'Audit Report'!L1328,'Audit Report'!M1328)</f>
        <v xml:space="preserve">, , </v>
      </c>
    </row>
    <row r="1329" spans="12:12">
      <c r="L1329" t="str">
        <f>_xlfn.TEXTJOIN(", ", FALSE, 'Audit Report'!K1329,'Audit Report'!L1329,'Audit Report'!M1329)</f>
        <v xml:space="preserve">, , </v>
      </c>
    </row>
    <row r="1330" spans="12:12">
      <c r="L1330" t="str">
        <f>_xlfn.TEXTJOIN(", ", FALSE, 'Audit Report'!K1330,'Audit Report'!L1330,'Audit Report'!M1330)</f>
        <v xml:space="preserve">, , </v>
      </c>
    </row>
    <row r="1331" spans="12:12">
      <c r="L1331" t="str">
        <f>_xlfn.TEXTJOIN(", ", FALSE, 'Audit Report'!K1331,'Audit Report'!L1331,'Audit Report'!M1331)</f>
        <v xml:space="preserve">, , </v>
      </c>
    </row>
    <row r="1332" spans="12:12">
      <c r="L1332" t="str">
        <f>_xlfn.TEXTJOIN(", ", FALSE, 'Audit Report'!K1332,'Audit Report'!L1332,'Audit Report'!M1332)</f>
        <v xml:space="preserve">, , </v>
      </c>
    </row>
    <row r="1333" spans="12:12">
      <c r="L1333" t="str">
        <f>_xlfn.TEXTJOIN(", ", FALSE, 'Audit Report'!K1333,'Audit Report'!L1333,'Audit Report'!M1333)</f>
        <v xml:space="preserve">, , </v>
      </c>
    </row>
    <row r="1334" spans="12:12">
      <c r="L1334" t="str">
        <f>_xlfn.TEXTJOIN(", ", FALSE, 'Audit Report'!K1334,'Audit Report'!L1334,'Audit Report'!M1334)</f>
        <v xml:space="preserve">, , </v>
      </c>
    </row>
    <row r="1335" spans="12:12">
      <c r="L1335" t="str">
        <f>_xlfn.TEXTJOIN(", ", FALSE, 'Audit Report'!K1335,'Audit Report'!L1335,'Audit Report'!M1335)</f>
        <v xml:space="preserve">, , </v>
      </c>
    </row>
    <row r="1336" spans="12:12">
      <c r="L1336" t="str">
        <f>_xlfn.TEXTJOIN(", ", FALSE, 'Audit Report'!K1336,'Audit Report'!L1336,'Audit Report'!M1336)</f>
        <v xml:space="preserve">, , </v>
      </c>
    </row>
    <row r="1337" spans="12:12">
      <c r="L1337" t="str">
        <f>_xlfn.TEXTJOIN(", ", FALSE, 'Audit Report'!K1337,'Audit Report'!L1337,'Audit Report'!M1337)</f>
        <v xml:space="preserve">, , </v>
      </c>
    </row>
    <row r="1338" spans="12:12">
      <c r="L1338" t="str">
        <f>_xlfn.TEXTJOIN(", ", FALSE, 'Audit Report'!K1338,'Audit Report'!L1338,'Audit Report'!M1338)</f>
        <v xml:space="preserve">, , </v>
      </c>
    </row>
    <row r="1339" spans="12:12">
      <c r="L1339" t="str">
        <f>_xlfn.TEXTJOIN(", ", FALSE, 'Audit Report'!K1339,'Audit Report'!L1339,'Audit Report'!M1339)</f>
        <v xml:space="preserve">, , </v>
      </c>
    </row>
    <row r="1340" spans="12:12">
      <c r="L1340" t="str">
        <f>_xlfn.TEXTJOIN(", ", FALSE, 'Audit Report'!K1340,'Audit Report'!L1340,'Audit Report'!M1340)</f>
        <v xml:space="preserve">, , </v>
      </c>
    </row>
    <row r="1341" spans="12:12">
      <c r="L1341" t="str">
        <f>_xlfn.TEXTJOIN(", ", FALSE, 'Audit Report'!K1341,'Audit Report'!L1341,'Audit Report'!M1341)</f>
        <v xml:space="preserve">, , </v>
      </c>
    </row>
    <row r="1342" spans="12:12">
      <c r="L1342" t="str">
        <f>_xlfn.TEXTJOIN(", ", FALSE, 'Audit Report'!K1342,'Audit Report'!L1342,'Audit Report'!M1342)</f>
        <v xml:space="preserve">, , </v>
      </c>
    </row>
    <row r="1343" spans="12:12">
      <c r="L1343" t="str">
        <f>_xlfn.TEXTJOIN(", ", FALSE, 'Audit Report'!K1343,'Audit Report'!L1343,'Audit Report'!M1343)</f>
        <v xml:space="preserve">, , </v>
      </c>
    </row>
    <row r="1344" spans="12:12">
      <c r="L1344" t="str">
        <f>_xlfn.TEXTJOIN(", ", FALSE, 'Audit Report'!K1344,'Audit Report'!L1344,'Audit Report'!M1344)</f>
        <v xml:space="preserve">, , </v>
      </c>
    </row>
    <row r="1345" spans="12:12">
      <c r="L1345" t="str">
        <f>_xlfn.TEXTJOIN(", ", FALSE, 'Audit Report'!K1345,'Audit Report'!L1345,'Audit Report'!M1345)</f>
        <v xml:space="preserve">, , </v>
      </c>
    </row>
    <row r="1346" spans="12:12">
      <c r="L1346" t="str">
        <f>_xlfn.TEXTJOIN(", ", FALSE, 'Audit Report'!K1346,'Audit Report'!L1346,'Audit Report'!M1346)</f>
        <v xml:space="preserve">, , </v>
      </c>
    </row>
    <row r="1347" spans="12:12">
      <c r="L1347" t="str">
        <f>_xlfn.TEXTJOIN(", ", FALSE, 'Audit Report'!K1347,'Audit Report'!L1347,'Audit Report'!M1347)</f>
        <v xml:space="preserve">, , </v>
      </c>
    </row>
    <row r="1348" spans="12:12">
      <c r="L1348" t="str">
        <f>_xlfn.TEXTJOIN(", ", FALSE, 'Audit Report'!K1348,'Audit Report'!L1348,'Audit Report'!M1348)</f>
        <v xml:space="preserve">, , </v>
      </c>
    </row>
    <row r="1349" spans="12:12">
      <c r="L1349" t="str">
        <f>_xlfn.TEXTJOIN(", ", FALSE, 'Audit Report'!K1349,'Audit Report'!L1349,'Audit Report'!M1349)</f>
        <v xml:space="preserve">, , </v>
      </c>
    </row>
    <row r="1350" spans="12:12">
      <c r="L1350" t="str">
        <f>_xlfn.TEXTJOIN(", ", FALSE, 'Audit Report'!K1350,'Audit Report'!L1350,'Audit Report'!M1350)</f>
        <v xml:space="preserve">, , </v>
      </c>
    </row>
    <row r="1351" spans="12:12">
      <c r="L1351" t="str">
        <f>_xlfn.TEXTJOIN(", ", FALSE, 'Audit Report'!K1351,'Audit Report'!L1351,'Audit Report'!M1351)</f>
        <v xml:space="preserve">, , </v>
      </c>
    </row>
    <row r="1352" spans="12:12">
      <c r="L1352" t="str">
        <f>_xlfn.TEXTJOIN(", ", FALSE, 'Audit Report'!K1352,'Audit Report'!L1352,'Audit Report'!M1352)</f>
        <v xml:space="preserve">, , </v>
      </c>
    </row>
    <row r="1353" spans="12:12">
      <c r="L1353" t="str">
        <f>_xlfn.TEXTJOIN(", ", FALSE, 'Audit Report'!K1353,'Audit Report'!L1353,'Audit Report'!M1353)</f>
        <v xml:space="preserve">, , </v>
      </c>
    </row>
    <row r="1354" spans="12:12">
      <c r="L1354" t="str">
        <f>_xlfn.TEXTJOIN(", ", FALSE, 'Audit Report'!K1354,'Audit Report'!L1354,'Audit Report'!M1354)</f>
        <v xml:space="preserve">, , </v>
      </c>
    </row>
    <row r="1355" spans="12:12">
      <c r="L1355" t="str">
        <f>_xlfn.TEXTJOIN(", ", FALSE, 'Audit Report'!K1355,'Audit Report'!L1355,'Audit Report'!M1355)</f>
        <v xml:space="preserve">, , </v>
      </c>
    </row>
    <row r="1356" spans="12:12">
      <c r="L1356" t="str">
        <f>_xlfn.TEXTJOIN(", ", FALSE, 'Audit Report'!K1356,'Audit Report'!L1356,'Audit Report'!M1356)</f>
        <v xml:space="preserve">, , </v>
      </c>
    </row>
    <row r="1357" spans="12:12">
      <c r="L1357" t="str">
        <f>_xlfn.TEXTJOIN(", ", FALSE, 'Audit Report'!K1357,'Audit Report'!L1357,'Audit Report'!M1357)</f>
        <v xml:space="preserve">, , </v>
      </c>
    </row>
    <row r="1358" spans="12:12">
      <c r="L1358" t="str">
        <f>_xlfn.TEXTJOIN(", ", FALSE, 'Audit Report'!K1358,'Audit Report'!L1358,'Audit Report'!M1358)</f>
        <v xml:space="preserve">, , </v>
      </c>
    </row>
    <row r="1359" spans="12:12">
      <c r="L1359" t="str">
        <f>_xlfn.TEXTJOIN(", ", FALSE, 'Audit Report'!K1359,'Audit Report'!L1359,'Audit Report'!M1359)</f>
        <v xml:space="preserve">, , </v>
      </c>
    </row>
    <row r="1360" spans="12:12">
      <c r="L1360" t="str">
        <f>_xlfn.TEXTJOIN(", ", FALSE, 'Audit Report'!K1360,'Audit Report'!L1360,'Audit Report'!M1360)</f>
        <v xml:space="preserve">, , </v>
      </c>
    </row>
    <row r="1361" spans="12:12">
      <c r="L1361" t="str">
        <f>_xlfn.TEXTJOIN(", ", FALSE, 'Audit Report'!K1361,'Audit Report'!L1361,'Audit Report'!M1361)</f>
        <v xml:space="preserve">, , </v>
      </c>
    </row>
    <row r="1362" spans="12:12">
      <c r="L1362" t="str">
        <f>_xlfn.TEXTJOIN(", ", FALSE, 'Audit Report'!K1362,'Audit Report'!L1362,'Audit Report'!M1362)</f>
        <v xml:space="preserve">, , </v>
      </c>
    </row>
    <row r="1363" spans="12:12">
      <c r="L1363" t="str">
        <f>_xlfn.TEXTJOIN(", ", FALSE, 'Audit Report'!K1363,'Audit Report'!L1363,'Audit Report'!M1363)</f>
        <v xml:space="preserve">, , </v>
      </c>
    </row>
    <row r="1364" spans="12:12">
      <c r="L1364" t="str">
        <f>_xlfn.TEXTJOIN(", ", FALSE, 'Audit Report'!K1364,'Audit Report'!L1364,'Audit Report'!M1364)</f>
        <v xml:space="preserve">, , </v>
      </c>
    </row>
    <row r="1365" spans="12:12">
      <c r="L1365" t="str">
        <f>_xlfn.TEXTJOIN(", ", FALSE, 'Audit Report'!K1365,'Audit Report'!L1365,'Audit Report'!M1365)</f>
        <v xml:space="preserve">, , 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D2" sqref="D2:D5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5" t="s">
        <v>1</v>
      </c>
      <c r="B1" s="36" t="s">
        <v>2</v>
      </c>
      <c r="C1" s="36" t="s">
        <v>5</v>
      </c>
      <c r="D1" s="36" t="s">
        <v>6</v>
      </c>
      <c r="E1" s="36" t="s">
        <v>490</v>
      </c>
      <c r="F1" s="36" t="s">
        <v>491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>
        <f>_xlfn.XLOOKUP($A3,'Audit Report'!$C:$C,'Audit Report'!G:G)</f>
        <v>0</v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>
        <f>_xlfn.XLOOKUP($A4,'Audit Report'!$C:$C,'Audit Report'!G:G)</f>
        <v>0</v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>
        <f>_xlfn.XLOOKUP($A5,'Audit Report'!$C:$C,'Audit Report'!G:G)</f>
        <v>0</v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>
        <f>_xlfn.XLOOKUP($A6,'Audit Report'!$C:$C,'Audit Report'!G:G)</f>
        <v>0</v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>
        <f>_xlfn.XLOOKUP($A7,'Audit Report'!$C:$C,'Audit Report'!G:G)</f>
        <v>0</v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>
        <f>_xlfn.XLOOKUP($A8,'Audit Report'!$C:$C,'Audit Report'!G:G)</f>
        <v>0</v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>
        <f>_xlfn.XLOOKUP($A9,'Audit Report'!$C:$C,'Audit Report'!G:G)</f>
        <v>0</v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>
        <f>_xlfn.XLOOKUP($A10,'Audit Report'!$C:$C,'Audit Report'!G:G)</f>
        <v>0</v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>
        <f>_xlfn.XLOOKUP($A11,'Audit Report'!$C:$C,'Audit Report'!G:G)</f>
        <v>0</v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>
        <f>_xlfn.XLOOKUP($A12,'Audit Report'!$C:$C,'Audit Report'!G:G)</f>
        <v>0</v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>
        <f>_xlfn.XLOOKUP($A13,'Audit Report'!$C:$C,'Audit Report'!G:G)</f>
        <v>0</v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>
        <f>_xlfn.XLOOKUP($A14,'Audit Report'!$C:$C,'Audit Report'!G:G)</f>
        <v>0</v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>
        <f>_xlfn.XLOOKUP($A15,'Audit Report'!$C:$C,'Audit Report'!G:G)</f>
        <v>0</v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>
        <f>_xlfn.XLOOKUP($A16,'Audit Report'!$C:$C,'Audit Report'!G:G)</f>
        <v>0</v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>
        <f>_xlfn.XLOOKUP($A17,'Audit Report'!$C:$C,'Audit Report'!G:G)</f>
        <v>0</v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>
        <f>_xlfn.XLOOKUP($A18,'Audit Report'!$C:$C,'Audit Report'!G:G)</f>
        <v>0</v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>
        <f>_xlfn.XLOOKUP($A19,'Audit Report'!$C:$C,'Audit Report'!G:G)</f>
        <v>0</v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>
        <f>_xlfn.XLOOKUP($A20,'Audit Report'!$C:$C,'Audit Report'!G:G)</f>
        <v>0</v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>
        <f>_xlfn.XLOOKUP($A21,'Audit Report'!$C:$C,'Audit Report'!G:G)</f>
        <v>0</v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>
        <f>_xlfn.XLOOKUP($A22,'Audit Report'!$C:$C,'Audit Report'!G:G)</f>
        <v>0</v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>
        <f>_xlfn.XLOOKUP($A23,'Audit Report'!$C:$C,'Audit Report'!G:G)</f>
        <v>0</v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>
        <f>_xlfn.XLOOKUP($A24,'Audit Report'!$C:$C,'Audit Report'!G:G)</f>
        <v>0</v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>
        <f>_xlfn.XLOOKUP($A25,'Audit Report'!$C:$C,'Audit Report'!G:G)</f>
        <v>0</v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>
        <f>_xlfn.XLOOKUP($A26,'Audit Report'!$C:$C,'Audit Report'!G:G)</f>
        <v>0</v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>
        <f>_xlfn.XLOOKUP($A27,'Audit Report'!$C:$C,'Audit Report'!G:G)</f>
        <v>0</v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>
        <f>_xlfn.XLOOKUP($A28,'Audit Report'!$C:$C,'Audit Report'!G:G)</f>
        <v>0</v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>
        <f>_xlfn.XLOOKUP($A29,'Audit Report'!$C:$C,'Audit Report'!G:G)</f>
        <v>0</v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>
        <f>_xlfn.XLOOKUP($A30,'Audit Report'!$C:$C,'Audit Report'!G:G)</f>
        <v>0</v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>
        <f>_xlfn.XLOOKUP($A31,'Audit Report'!$C:$C,'Audit Report'!G:G)</f>
        <v>0</v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>
        <f>_xlfn.XLOOKUP($A32,'Audit Report'!$C:$C,'Audit Report'!G:G)</f>
        <v>0</v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>
        <f>_xlfn.XLOOKUP($A33,'Audit Report'!$C:$C,'Audit Report'!G:G)</f>
        <v>0</v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>
        <f>_xlfn.XLOOKUP($A34,'Audit Report'!$C:$C,'Audit Report'!G:G)</f>
        <v>0</v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>
        <f>_xlfn.XLOOKUP($A35,'Audit Report'!$C:$C,'Audit Report'!G:G)</f>
        <v>0</v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>
        <f>_xlfn.XLOOKUP($A36,'Audit Report'!$C:$C,'Audit Report'!G:G)</f>
        <v>0</v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>
        <f>_xlfn.XLOOKUP($A37,'Audit Report'!$C:$C,'Audit Report'!G:G)</f>
        <v>0</v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>
        <f>_xlfn.XLOOKUP($A38,'Audit Report'!$C:$C,'Audit Report'!G:G)</f>
        <v>0</v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>
        <f>_xlfn.XLOOKUP($A39,'Audit Report'!$C:$C,'Audit Report'!G:G)</f>
        <v>0</v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>
        <f>_xlfn.XLOOKUP($A40,'Audit Report'!$C:$C,'Audit Report'!G:G)</f>
        <v>0</v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>
        <f>_xlfn.XLOOKUP($A41,'Audit Report'!$C:$C,'Audit Report'!G:G)</f>
        <v>0</v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>
        <f>_xlfn.XLOOKUP($A42,'Audit Report'!$C:$C,'Audit Report'!G:G)</f>
        <v>0</v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>
        <f>_xlfn.XLOOKUP($A43,'Audit Report'!$C:$C,'Audit Report'!G:G)</f>
        <v>0</v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>
        <f>_xlfn.XLOOKUP($A44,'Audit Report'!$C:$C,'Audit Report'!G:G)</f>
        <v>0</v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>
        <f>_xlfn.XLOOKUP($A45,'Audit Report'!$C:$C,'Audit Report'!G:G)</f>
        <v>0</v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>
        <f>_xlfn.XLOOKUP($A46,'Audit Report'!$C:$C,'Audit Report'!G:G)</f>
        <v>0</v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>
        <f>_xlfn.XLOOKUP($A47,'Audit Report'!$C:$C,'Audit Report'!G:G)</f>
        <v>0</v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>
        <f>_xlfn.XLOOKUP($A48,'Audit Report'!$C:$C,'Audit Report'!G:G)</f>
        <v>0</v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>
        <f>_xlfn.XLOOKUP($A49,'Audit Report'!$C:$C,'Audit Report'!G:G)</f>
        <v>0</v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>
        <f>_xlfn.XLOOKUP($A50,'Audit Report'!$C:$C,'Audit Report'!G:G)</f>
        <v>0</v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>
        <f>_xlfn.XLOOKUP($A51,'Audit Report'!$C:$C,'Audit Report'!G:G)</f>
        <v>0</v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>
        <f>_xlfn.XLOOKUP($A52,'Audit Report'!$C:$C,'Audit Report'!G:G)</f>
        <v>0</v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>
        <f>_xlfn.XLOOKUP($A53,'Audit Report'!$C:$C,'Audit Report'!G:G)</f>
        <v>0</v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>
        <f>_xlfn.XLOOKUP($A54,'Audit Report'!$C:$C,'Audit Report'!G:G)</f>
        <v>0</v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>
        <f>_xlfn.XLOOKUP($A55,'Audit Report'!$C:$C,'Audit Report'!G:G)</f>
        <v>0</v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>
        <f>_xlfn.XLOOKUP($A56,'Audit Report'!$C:$C,'Audit Report'!G:G)</f>
        <v>0</v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>
        <f>_xlfn.XLOOKUP($A57,'Audit Report'!$C:$C,'Audit Report'!G:G)</f>
        <v>0</v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>
        <f>_xlfn.XLOOKUP($A58,'Audit Report'!$C:$C,'Audit Report'!G:G)</f>
        <v>0</v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>
        <f>_xlfn.XLOOKUP($A59,'Audit Report'!$C:$C,'Audit Report'!G:G)</f>
        <v>0</v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>
        <f>_xlfn.XLOOKUP($A60,'Audit Report'!$C:$C,'Audit Report'!G:G)</f>
        <v>0</v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>
        <f>_xlfn.XLOOKUP($A61,'Audit Report'!$C:$C,'Audit Report'!G:G)</f>
        <v>0</v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>
        <f>_xlfn.XLOOKUP($A62,'Audit Report'!$C:$C,'Audit Report'!G:G)</f>
        <v>0</v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>
        <f>_xlfn.XLOOKUP($A63,'Audit Report'!$C:$C,'Audit Report'!G:G)</f>
        <v>0</v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>
        <f>_xlfn.XLOOKUP($A64,'Audit Report'!$C:$C,'Audit Report'!G:G)</f>
        <v>0</v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>
        <f>_xlfn.XLOOKUP($A65,'Audit Report'!$C:$C,'Audit Report'!G:G)</f>
        <v>0</v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>
        <f>_xlfn.XLOOKUP($A66,'Audit Report'!$C:$C,'Audit Report'!G:G)</f>
        <v>0</v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>
        <f>_xlfn.XLOOKUP($A67,'Audit Report'!$C:$C,'Audit Report'!G:G)</f>
        <v>0</v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>
        <f>_xlfn.XLOOKUP($A68,'Audit Report'!$C:$C,'Audit Report'!G:G)</f>
        <v>0</v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>
        <f>_xlfn.XLOOKUP($A69,'Audit Report'!$C:$C,'Audit Report'!G:G)</f>
        <v>0</v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>
        <f>_xlfn.XLOOKUP($A70,'Audit Report'!$C:$C,'Audit Report'!G:G)</f>
        <v>0</v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>
        <f>_xlfn.XLOOKUP($A71,'Audit Report'!$C:$C,'Audit Report'!G:G)</f>
        <v>0</v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>
        <f>_xlfn.XLOOKUP($A72,'Audit Report'!$C:$C,'Audit Report'!G:G)</f>
        <v>0</v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>
        <f>_xlfn.XLOOKUP($A73,'Audit Report'!$C:$C,'Audit Report'!G:G)</f>
        <v>0</v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>
        <f>_xlfn.XLOOKUP($A74,'Audit Report'!$C:$C,'Audit Report'!G:G)</f>
        <v>0</v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>
        <f>_xlfn.XLOOKUP($A75,'Audit Report'!$C:$C,'Audit Report'!G:G)</f>
        <v>0</v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>
        <f>_xlfn.XLOOKUP($A76,'Audit Report'!$C:$C,'Audit Report'!G:G)</f>
        <v>0</v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>
        <f>_xlfn.XLOOKUP($A77,'Audit Report'!$C:$C,'Audit Report'!G:G)</f>
        <v>0</v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>
        <f>_xlfn.XLOOKUP($A78,'Audit Report'!$C:$C,'Audit Report'!G:G)</f>
        <v>0</v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>
        <f>_xlfn.XLOOKUP($A79,'Audit Report'!$C:$C,'Audit Report'!G:G)</f>
        <v>0</v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>
        <f>_xlfn.XLOOKUP($A80,'Audit Report'!$C:$C,'Audit Report'!G:G)</f>
        <v>0</v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>
        <f>_xlfn.XLOOKUP($A81,'Audit Report'!$C:$C,'Audit Report'!G:G)</f>
        <v>0</v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>
        <f>_xlfn.XLOOKUP($A82,'Audit Report'!$C:$C,'Audit Report'!G:G)</f>
        <v>0</v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workbookViewId="0">
      <pane ySplit="1" topLeftCell="A2" activePane="bottomLeft" state="frozen"/>
      <selection pane="bottomLeft" activeCell="M19" sqref="M19"/>
    </sheetView>
  </sheetViews>
  <sheetFormatPr defaultRowHeight="15"/>
  <cols>
    <col min="1" max="1" width="7" bestFit="1" customWidth="1"/>
    <col min="2" max="2" width="30.42578125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29.42578125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60.5703125" customWidth="1"/>
    <col min="16" max="16" width="16.42578125" hidden="1" customWidth="1"/>
    <col min="17" max="17" width="24.5703125" customWidth="1"/>
    <col min="18" max="18" width="14.7109375" bestFit="1" customWidth="1"/>
    <col min="19" max="19" width="39" style="18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7.25">
      <c r="A1" s="48" t="s">
        <v>0</v>
      </c>
      <c r="B1" s="48" t="s">
        <v>1</v>
      </c>
      <c r="C1" s="48" t="s">
        <v>2</v>
      </c>
      <c r="D1" s="48" t="s">
        <v>486</v>
      </c>
      <c r="E1" s="48" t="s">
        <v>4</v>
      </c>
      <c r="F1" s="48" t="s">
        <v>5</v>
      </c>
      <c r="G1" s="48" t="s">
        <v>6</v>
      </c>
      <c r="H1" s="48" t="s">
        <v>7</v>
      </c>
      <c r="I1" s="48" t="s">
        <v>8</v>
      </c>
      <c r="J1" s="48" t="s">
        <v>9</v>
      </c>
      <c r="K1" s="48" t="s">
        <v>10</v>
      </c>
      <c r="L1" s="48" t="s">
        <v>487</v>
      </c>
      <c r="M1" s="48" t="s">
        <v>12</v>
      </c>
      <c r="N1" s="48" t="s">
        <v>493</v>
      </c>
      <c r="O1" s="48" t="s">
        <v>13</v>
      </c>
      <c r="P1" s="39" t="str">
        <f t="shared" ref="P1:P64" si="0">_xlfn.TEXTJOIN(", ",TRUE,N1,O1)</f>
        <v>Locked or Faulty, Diagnostics</v>
      </c>
      <c r="Q1" s="48" t="s">
        <v>488</v>
      </c>
      <c r="R1" s="48" t="s">
        <v>489</v>
      </c>
      <c r="S1" s="52" t="s">
        <v>16</v>
      </c>
      <c r="T1" s="48" t="s">
        <v>17</v>
      </c>
      <c r="U1" s="48" t="s">
        <v>18</v>
      </c>
      <c r="V1" s="48" t="s">
        <v>19</v>
      </c>
      <c r="W1" s="48" t="s">
        <v>20</v>
      </c>
      <c r="X1" s="48" t="s">
        <v>21</v>
      </c>
    </row>
    <row r="2" spans="1:24">
      <c r="A2" s="39" t="str">
        <f>_xlfn.TEXTJOIN("",TRUE,Input!$B$2,"0",ROW(My_Audit!A1))</f>
        <v>XX01</v>
      </c>
      <c r="B2" s="39"/>
      <c r="C2" s="39"/>
      <c r="D2" s="4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 t="str">
        <f t="shared" si="0"/>
        <v/>
      </c>
      <c r="Q2" s="39"/>
      <c r="R2" s="39"/>
      <c r="S2" s="51"/>
      <c r="T2" s="39"/>
      <c r="U2" s="39"/>
      <c r="V2" s="39"/>
      <c r="W2" s="39"/>
      <c r="X2" s="39"/>
    </row>
    <row r="3" spans="1:24">
      <c r="A3" s="39" t="str">
        <f>_xlfn.TEXTJOIN("",TRUE,Input!$B$2,"0",ROW(My_Audit!A2))</f>
        <v>XX02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 t="str">
        <f t="shared" si="0"/>
        <v/>
      </c>
      <c r="Q3" s="39"/>
      <c r="R3" s="39"/>
      <c r="S3" s="51"/>
      <c r="T3" s="39"/>
      <c r="U3" s="39"/>
      <c r="V3" s="39"/>
      <c r="W3" s="39"/>
      <c r="X3" s="39"/>
    </row>
    <row r="4" spans="1:24">
      <c r="A4" s="39" t="str">
        <f>_xlfn.TEXTJOIN("",TRUE,Input!$B$2,"0",ROW(My_Audit!A3))</f>
        <v>XX03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 t="str">
        <f t="shared" si="0"/>
        <v/>
      </c>
      <c r="Q4" s="39"/>
      <c r="R4" s="39"/>
      <c r="S4" s="51"/>
      <c r="T4" s="39"/>
      <c r="U4" s="39"/>
      <c r="V4" s="39"/>
      <c r="W4" s="39"/>
      <c r="X4" s="39"/>
    </row>
    <row r="5" spans="1:24">
      <c r="A5" s="39" t="str">
        <f>_xlfn.TEXTJOIN("",TRUE,Input!$B$2,"0",ROW(My_Audit!A4))</f>
        <v>XX04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 t="str">
        <f t="shared" si="0"/>
        <v/>
      </c>
      <c r="Q5" s="39"/>
      <c r="R5" s="39"/>
      <c r="S5" s="51"/>
      <c r="T5" s="39"/>
      <c r="U5" s="39"/>
      <c r="V5" s="39"/>
      <c r="W5" s="39"/>
      <c r="X5" s="39"/>
    </row>
    <row r="6" spans="1:24">
      <c r="A6" s="39" t="str">
        <f>_xlfn.TEXTJOIN("",TRUE,Input!$B$2,"0",ROW(My_Audit!A5))</f>
        <v>XX05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 t="str">
        <f t="shared" si="0"/>
        <v/>
      </c>
      <c r="Q6" s="39"/>
      <c r="R6" s="39"/>
      <c r="S6" s="51"/>
      <c r="T6" s="39"/>
      <c r="U6" s="39"/>
      <c r="V6" s="39"/>
      <c r="W6" s="39"/>
      <c r="X6" s="39"/>
    </row>
    <row r="7" spans="1:24">
      <c r="A7" s="39" t="str">
        <f>_xlfn.TEXTJOIN("",TRUE,Input!$B$2,"0",ROW(My_Audit!A6))</f>
        <v>XX06</v>
      </c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 t="str">
        <f t="shared" si="0"/>
        <v/>
      </c>
      <c r="Q7" s="39"/>
      <c r="R7" s="39"/>
      <c r="S7" s="51"/>
      <c r="T7" s="39"/>
      <c r="U7" s="39"/>
      <c r="V7" s="39"/>
      <c r="W7" s="39"/>
      <c r="X7" s="39"/>
    </row>
    <row r="8" spans="1:24">
      <c r="A8" s="39" t="str">
        <f>_xlfn.TEXTJOIN("",TRUE,Input!$B$2,"0",ROW(My_Audit!A7))</f>
        <v>XX07</v>
      </c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 t="str">
        <f t="shared" si="0"/>
        <v/>
      </c>
      <c r="Q8" s="39"/>
      <c r="R8" s="39"/>
      <c r="S8" s="51"/>
      <c r="T8" s="39"/>
      <c r="U8" s="39"/>
      <c r="V8" s="39"/>
      <c r="W8" s="39"/>
      <c r="X8" s="39"/>
    </row>
    <row r="9" spans="1:24">
      <c r="A9" s="39" t="str">
        <f>_xlfn.TEXTJOIN("",TRUE,Input!$B$2,"0",ROW(My_Audit!A8))</f>
        <v>XX08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 t="str">
        <f t="shared" si="0"/>
        <v/>
      </c>
      <c r="Q9" s="39"/>
      <c r="R9" s="39"/>
      <c r="S9" s="51"/>
      <c r="T9" s="39"/>
      <c r="U9" s="39"/>
      <c r="V9" s="39"/>
      <c r="W9" s="39"/>
      <c r="X9" s="39"/>
    </row>
    <row r="10" spans="1:24">
      <c r="A10" s="39" t="str">
        <f>_xlfn.TEXTJOIN("",TRUE,Input!$B$2,"0",ROW(My_Audit!A9))</f>
        <v>XX09</v>
      </c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 t="str">
        <f t="shared" si="0"/>
        <v/>
      </c>
      <c r="Q10" s="39"/>
      <c r="R10" s="39"/>
      <c r="S10" s="51"/>
      <c r="T10" s="39"/>
      <c r="U10" s="39"/>
      <c r="V10" s="39"/>
      <c r="W10" s="39"/>
      <c r="X10" s="39"/>
    </row>
    <row r="11" spans="1:24">
      <c r="A11" s="39" t="str">
        <f>_xlfn.TEXTJOIN("",TRUE,Input!$B$2,ROW(My_Audit!A10))</f>
        <v>XX10</v>
      </c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 t="str">
        <f t="shared" si="0"/>
        <v/>
      </c>
      <c r="Q11" s="39"/>
      <c r="R11" s="39"/>
      <c r="S11" s="51"/>
      <c r="T11" s="39"/>
      <c r="U11" s="39"/>
      <c r="V11" s="39"/>
      <c r="W11" s="39"/>
      <c r="X11" s="39"/>
    </row>
    <row r="12" spans="1:24">
      <c r="A12" s="39" t="str">
        <f>_xlfn.TEXTJOIN("",TRUE,Input!$B$2,ROW(My_Audit!A11))</f>
        <v>XX11</v>
      </c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 t="str">
        <f t="shared" si="0"/>
        <v/>
      </c>
      <c r="Q12" s="39"/>
      <c r="R12" s="39"/>
      <c r="S12" s="51"/>
      <c r="T12" s="39"/>
      <c r="U12" s="39"/>
      <c r="V12" s="39"/>
      <c r="W12" s="39"/>
      <c r="X12" s="39"/>
    </row>
    <row r="13" spans="1:24">
      <c r="A13" s="39" t="str">
        <f>_xlfn.TEXTJOIN("",TRUE,Input!$B$2,ROW(My_Audit!A12))</f>
        <v>XX12</v>
      </c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 t="str">
        <f t="shared" si="0"/>
        <v/>
      </c>
      <c r="Q13" s="39"/>
      <c r="R13" s="39"/>
      <c r="S13" s="51"/>
      <c r="T13" s="39"/>
      <c r="U13" s="39"/>
      <c r="V13" s="39"/>
      <c r="W13" s="39"/>
      <c r="X13" s="39"/>
    </row>
    <row r="14" spans="1:24">
      <c r="A14" s="39" t="str">
        <f>_xlfn.TEXTJOIN("",TRUE,Input!$B$2,ROW(My_Audit!A13))</f>
        <v>XX13</v>
      </c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 t="str">
        <f t="shared" si="0"/>
        <v/>
      </c>
      <c r="Q14" s="39"/>
      <c r="R14" s="39"/>
      <c r="S14" s="51"/>
      <c r="T14" s="39"/>
      <c r="U14" s="39"/>
      <c r="V14" s="39"/>
      <c r="W14" s="39"/>
      <c r="X14" s="39"/>
    </row>
    <row r="15" spans="1:24">
      <c r="A15" s="39" t="str">
        <f>_xlfn.TEXTJOIN("",TRUE,Input!$B$2,ROW(My_Audit!A14))</f>
        <v>XX14</v>
      </c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 t="str">
        <f t="shared" si="0"/>
        <v/>
      </c>
      <c r="Q15" s="39"/>
      <c r="R15" s="39"/>
      <c r="S15" s="51"/>
      <c r="T15" s="39"/>
      <c r="U15" s="39"/>
      <c r="V15" s="39"/>
      <c r="W15" s="39"/>
      <c r="X15" s="39"/>
    </row>
    <row r="16" spans="1:24">
      <c r="A16" s="39" t="str">
        <f>_xlfn.TEXTJOIN("",TRUE,Input!$B$2,ROW(My_Audit!A15))</f>
        <v>XX15</v>
      </c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 t="str">
        <f t="shared" si="0"/>
        <v/>
      </c>
      <c r="Q16" s="39"/>
      <c r="R16" s="39"/>
      <c r="S16" s="51"/>
      <c r="T16" s="39"/>
      <c r="U16" s="39"/>
      <c r="V16" s="39"/>
      <c r="W16" s="39"/>
      <c r="X16" s="39"/>
    </row>
    <row r="17" spans="1:24">
      <c r="A17" s="39" t="str">
        <f>_xlfn.TEXTJOIN("",TRUE,Input!$B$2,ROW(My_Audit!A16))</f>
        <v>XX16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 t="str">
        <f t="shared" si="0"/>
        <v/>
      </c>
      <c r="Q17" s="39"/>
      <c r="R17" s="39"/>
      <c r="S17" s="51"/>
      <c r="T17" s="39"/>
      <c r="U17" s="39"/>
      <c r="V17" s="39"/>
      <c r="W17" s="39"/>
      <c r="X17" s="39"/>
    </row>
    <row r="18" spans="1:24">
      <c r="A18" s="39" t="str">
        <f>_xlfn.TEXTJOIN("",TRUE,Input!$B$2,ROW(My_Audit!A17))</f>
        <v>XX17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 t="str">
        <f t="shared" si="0"/>
        <v/>
      </c>
      <c r="Q18" s="39"/>
      <c r="R18" s="39"/>
      <c r="S18" s="51"/>
      <c r="T18" s="39"/>
      <c r="U18" s="39"/>
      <c r="V18" s="39"/>
      <c r="W18" s="39"/>
      <c r="X18" s="39"/>
    </row>
    <row r="19" spans="1:24">
      <c r="A19" s="39" t="str">
        <f>_xlfn.TEXTJOIN("",TRUE,Input!$B$2,ROW(My_Audit!A18))</f>
        <v>XX18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 t="str">
        <f t="shared" si="0"/>
        <v/>
      </c>
      <c r="Q19" s="39"/>
      <c r="R19" s="39"/>
      <c r="S19" s="51"/>
      <c r="T19" s="39"/>
      <c r="U19" s="39"/>
      <c r="V19" s="39"/>
      <c r="W19" s="39"/>
      <c r="X19" s="39"/>
    </row>
    <row r="20" spans="1:24">
      <c r="A20" s="39" t="str">
        <f>_xlfn.TEXTJOIN("",TRUE,Input!$B$2,ROW(My_Audit!A19))</f>
        <v>XX19</v>
      </c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 t="str">
        <f t="shared" si="0"/>
        <v/>
      </c>
      <c r="Q20" s="39"/>
      <c r="R20" s="39"/>
      <c r="S20" s="51"/>
      <c r="T20" s="39"/>
      <c r="U20" s="39"/>
      <c r="V20" s="39"/>
      <c r="W20" s="39"/>
      <c r="X20" s="39"/>
    </row>
    <row r="21" spans="1:24">
      <c r="A21" s="39" t="str">
        <f>_xlfn.TEXTJOIN("",TRUE,Input!$B$2,ROW(My_Audit!A20))</f>
        <v>XX20</v>
      </c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 t="str">
        <f t="shared" si="0"/>
        <v/>
      </c>
      <c r="Q21" s="39"/>
      <c r="R21" s="39"/>
      <c r="S21" s="51"/>
      <c r="T21" s="39"/>
      <c r="U21" s="39"/>
      <c r="V21" s="39"/>
      <c r="W21" s="39"/>
      <c r="X21" s="39"/>
    </row>
    <row r="22" spans="1:24">
      <c r="A22" s="39" t="str">
        <f>_xlfn.TEXTJOIN("",TRUE,Input!$B$2,ROW(My_Audit!A21))</f>
        <v>XX21</v>
      </c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 t="str">
        <f t="shared" si="0"/>
        <v/>
      </c>
      <c r="Q22" s="39"/>
      <c r="R22" s="39"/>
      <c r="S22" s="51"/>
      <c r="T22" s="39"/>
      <c r="U22" s="39"/>
      <c r="V22" s="39"/>
      <c r="W22" s="39"/>
      <c r="X22" s="39"/>
    </row>
    <row r="23" spans="1:24">
      <c r="A23" s="39" t="str">
        <f>_xlfn.TEXTJOIN("",TRUE,Input!$B$2,ROW(My_Audit!A22))</f>
        <v>XX22</v>
      </c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 t="str">
        <f t="shared" si="0"/>
        <v/>
      </c>
      <c r="Q23" s="39"/>
      <c r="R23" s="39"/>
      <c r="S23" s="51"/>
      <c r="T23" s="39"/>
      <c r="U23" s="39"/>
      <c r="V23" s="39"/>
      <c r="W23" s="39"/>
      <c r="X23" s="39"/>
    </row>
    <row r="24" spans="1:24">
      <c r="A24" s="39" t="str">
        <f>_xlfn.TEXTJOIN("",TRUE,Input!$B$2,ROW(My_Audit!A23))</f>
        <v>XX23</v>
      </c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 t="str">
        <f t="shared" si="0"/>
        <v/>
      </c>
      <c r="Q24" s="39"/>
      <c r="R24" s="39"/>
      <c r="S24" s="51"/>
      <c r="T24" s="39"/>
      <c r="U24" s="39"/>
      <c r="V24" s="39"/>
      <c r="W24" s="39"/>
      <c r="X24" s="39"/>
    </row>
    <row r="25" spans="1:24">
      <c r="A25" s="39" t="str">
        <f>_xlfn.TEXTJOIN("",TRUE,Input!$B$2,ROW(My_Audit!A24))</f>
        <v>XX24</v>
      </c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 t="str">
        <f t="shared" si="0"/>
        <v/>
      </c>
      <c r="Q25" s="39"/>
      <c r="R25" s="39"/>
      <c r="S25" s="51"/>
      <c r="T25" s="39"/>
      <c r="U25" s="39"/>
      <c r="V25" s="39"/>
      <c r="W25" s="39"/>
      <c r="X25" s="39"/>
    </row>
    <row r="26" spans="1:24">
      <c r="A26" s="39" t="str">
        <f>_xlfn.TEXTJOIN("",TRUE,Input!$B$2,ROW(My_Audit!A25))</f>
        <v>XX25</v>
      </c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 t="str">
        <f t="shared" si="0"/>
        <v/>
      </c>
      <c r="Q26" s="39"/>
      <c r="R26" s="39"/>
      <c r="S26" s="51"/>
      <c r="T26" s="39"/>
      <c r="U26" s="39"/>
      <c r="V26" s="39"/>
      <c r="W26" s="39"/>
      <c r="X26" s="39"/>
    </row>
    <row r="27" spans="1:24">
      <c r="A27" s="39" t="str">
        <f>_xlfn.TEXTJOIN("",TRUE,Input!$B$2,ROW(My_Audit!A26))</f>
        <v>XX26</v>
      </c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 t="str">
        <f t="shared" si="0"/>
        <v/>
      </c>
      <c r="Q27" s="39"/>
      <c r="R27" s="39"/>
      <c r="S27" s="51"/>
      <c r="T27" s="39"/>
      <c r="U27" s="39"/>
      <c r="V27" s="39"/>
      <c r="W27" s="39"/>
      <c r="X27" s="39"/>
    </row>
    <row r="28" spans="1:24">
      <c r="A28" s="39" t="str">
        <f>_xlfn.TEXTJOIN("",TRUE,Input!$B$2,ROW(My_Audit!A27))</f>
        <v>XX27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 t="str">
        <f t="shared" si="0"/>
        <v/>
      </c>
      <c r="Q28" s="39"/>
      <c r="R28" s="39"/>
      <c r="S28" s="51"/>
      <c r="T28" s="39"/>
      <c r="U28" s="39"/>
      <c r="V28" s="39"/>
      <c r="W28" s="39"/>
      <c r="X28" s="39"/>
    </row>
    <row r="29" spans="1:24">
      <c r="A29" s="39" t="str">
        <f>_xlfn.TEXTJOIN("",TRUE,Input!$B$2,ROW(My_Audit!A28))</f>
        <v>XX28</v>
      </c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 t="str">
        <f t="shared" si="0"/>
        <v/>
      </c>
      <c r="Q29" s="39"/>
      <c r="R29" s="39"/>
      <c r="S29" s="51"/>
      <c r="T29" s="39"/>
      <c r="U29" s="39"/>
      <c r="V29" s="39"/>
      <c r="W29" s="39"/>
      <c r="X29" s="39"/>
    </row>
    <row r="30" spans="1:24">
      <c r="A30" s="39" t="str">
        <f>_xlfn.TEXTJOIN("",TRUE,Input!$B$2,ROW(My_Audit!A29))</f>
        <v>XX29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 t="str">
        <f t="shared" si="0"/>
        <v/>
      </c>
      <c r="Q30" s="39"/>
      <c r="R30" s="39"/>
      <c r="S30" s="51"/>
      <c r="T30" s="39"/>
      <c r="U30" s="39"/>
      <c r="V30" s="39"/>
      <c r="W30" s="39"/>
      <c r="X30" s="39"/>
    </row>
    <row r="31" spans="1:24">
      <c r="A31" s="39" t="str">
        <f>_xlfn.TEXTJOIN("",TRUE,Input!$B$2,ROW(My_Audit!A30))</f>
        <v>XX30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 t="str">
        <f t="shared" si="0"/>
        <v/>
      </c>
      <c r="Q31" s="39"/>
      <c r="R31" s="39"/>
      <c r="S31" s="51"/>
      <c r="T31" s="39"/>
      <c r="U31" s="39"/>
      <c r="V31" s="39"/>
      <c r="W31" s="39"/>
      <c r="X31" s="39"/>
    </row>
    <row r="32" spans="1:24">
      <c r="A32" s="39" t="str">
        <f>_xlfn.TEXTJOIN("",TRUE,Input!$B$2,ROW(My_Audit!A31))</f>
        <v>XX31</v>
      </c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 t="str">
        <f t="shared" si="0"/>
        <v/>
      </c>
      <c r="Q32" s="39"/>
      <c r="R32" s="39"/>
      <c r="S32" s="51"/>
      <c r="T32" s="39"/>
      <c r="U32" s="39"/>
      <c r="V32" s="39"/>
      <c r="W32" s="39"/>
      <c r="X32" s="39"/>
    </row>
    <row r="33" spans="1:24">
      <c r="A33" s="39" t="str">
        <f>_xlfn.TEXTJOIN("",TRUE,Input!$B$2,ROW(My_Audit!A32))</f>
        <v>XX32</v>
      </c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 t="str">
        <f t="shared" si="0"/>
        <v/>
      </c>
      <c r="Q33" s="39"/>
      <c r="R33" s="39"/>
      <c r="S33" s="51"/>
      <c r="T33" s="39"/>
      <c r="U33" s="39"/>
      <c r="V33" s="39"/>
      <c r="W33" s="39"/>
      <c r="X33" s="39"/>
    </row>
    <row r="34" spans="1:24">
      <c r="A34" s="39" t="str">
        <f>_xlfn.TEXTJOIN("",TRUE,Input!$B$2,ROW(My_Audit!A33))</f>
        <v>XX33</v>
      </c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 t="str">
        <f t="shared" si="0"/>
        <v/>
      </c>
      <c r="Q34" s="39"/>
      <c r="R34" s="39"/>
      <c r="S34" s="51"/>
      <c r="T34" s="39"/>
      <c r="U34" s="39"/>
      <c r="V34" s="39"/>
      <c r="W34" s="39"/>
      <c r="X34" s="39"/>
    </row>
    <row r="35" spans="1:24">
      <c r="A35" s="39" t="str">
        <f>_xlfn.TEXTJOIN("",TRUE,Input!$B$2,ROW(My_Audit!A34))</f>
        <v>XX34</v>
      </c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 t="str">
        <f t="shared" si="0"/>
        <v/>
      </c>
      <c r="Q35" s="39"/>
      <c r="R35" s="39"/>
      <c r="S35" s="51"/>
      <c r="T35" s="39"/>
      <c r="U35" s="39"/>
      <c r="V35" s="39"/>
      <c r="W35" s="39"/>
      <c r="X35" s="39"/>
    </row>
    <row r="36" spans="1:24">
      <c r="A36" s="39" t="str">
        <f>_xlfn.TEXTJOIN("",TRUE,Input!$B$2,ROW(My_Audit!A35))</f>
        <v>XX35</v>
      </c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 t="str">
        <f t="shared" si="0"/>
        <v/>
      </c>
      <c r="Q36" s="39"/>
      <c r="R36" s="39"/>
      <c r="S36" s="51"/>
      <c r="T36" s="39"/>
      <c r="U36" s="39"/>
      <c r="V36" s="39"/>
      <c r="W36" s="39"/>
      <c r="X36" s="39"/>
    </row>
    <row r="37" spans="1:24">
      <c r="A37" s="39" t="str">
        <f>_xlfn.TEXTJOIN("",TRUE,Input!$B$2,ROW(My_Audit!A36))</f>
        <v>XX36</v>
      </c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 t="str">
        <f t="shared" si="0"/>
        <v/>
      </c>
      <c r="Q37" s="39"/>
      <c r="R37" s="39"/>
      <c r="S37" s="51"/>
      <c r="T37" s="39"/>
      <c r="U37" s="39"/>
      <c r="V37" s="39"/>
      <c r="W37" s="39"/>
      <c r="X37" s="39"/>
    </row>
    <row r="38" spans="1:24">
      <c r="A38" s="39" t="str">
        <f>_xlfn.TEXTJOIN("",TRUE,Input!$B$2,ROW(My_Audit!A37))</f>
        <v>XX37</v>
      </c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 t="str">
        <f t="shared" si="0"/>
        <v/>
      </c>
      <c r="Q38" s="39"/>
      <c r="R38" s="39"/>
      <c r="S38" s="51"/>
      <c r="T38" s="39"/>
      <c r="U38" s="39"/>
      <c r="V38" s="39"/>
      <c r="W38" s="39"/>
      <c r="X38" s="39"/>
    </row>
    <row r="39" spans="1:24">
      <c r="A39" s="39" t="str">
        <f>_xlfn.TEXTJOIN("",TRUE,Input!$B$2,ROW(My_Audit!A38))</f>
        <v>XX38</v>
      </c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 t="str">
        <f t="shared" si="0"/>
        <v/>
      </c>
      <c r="Q39" s="39"/>
      <c r="R39" s="39"/>
      <c r="S39" s="51"/>
      <c r="T39" s="39"/>
      <c r="U39" s="39"/>
      <c r="V39" s="39"/>
      <c r="W39" s="39"/>
      <c r="X39" s="39"/>
    </row>
    <row r="40" spans="1:24">
      <c r="A40" s="39" t="str">
        <f>_xlfn.TEXTJOIN("",TRUE,Input!$B$2,ROW(My_Audit!A39))</f>
        <v>XX39</v>
      </c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 t="str">
        <f t="shared" si="0"/>
        <v/>
      </c>
      <c r="Q40" s="39"/>
      <c r="R40" s="39"/>
      <c r="S40" s="51"/>
      <c r="T40" s="39"/>
      <c r="U40" s="39"/>
      <c r="V40" s="39"/>
      <c r="W40" s="39"/>
      <c r="X40" s="39"/>
    </row>
    <row r="41" spans="1:24">
      <c r="A41" s="39" t="str">
        <f>_xlfn.TEXTJOIN("",TRUE,Input!$B$2,ROW(My_Audit!A40))</f>
        <v>XX40</v>
      </c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 t="str">
        <f t="shared" si="0"/>
        <v/>
      </c>
      <c r="Q41" s="39"/>
      <c r="R41" s="39"/>
      <c r="S41" s="51"/>
      <c r="T41" s="39"/>
      <c r="U41" s="39"/>
      <c r="V41" s="39"/>
      <c r="W41" s="39"/>
      <c r="X41" s="39"/>
    </row>
    <row r="42" spans="1:24">
      <c r="A42" s="39" t="str">
        <f>_xlfn.TEXTJOIN("",TRUE,Input!$B$2,ROW(My_Audit!A41))</f>
        <v>XX41</v>
      </c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 t="str">
        <f t="shared" si="0"/>
        <v/>
      </c>
      <c r="Q42" s="39"/>
      <c r="R42" s="39"/>
      <c r="S42" s="51"/>
      <c r="T42" s="39"/>
      <c r="U42" s="39"/>
      <c r="V42" s="39"/>
      <c r="W42" s="39"/>
      <c r="X42" s="39"/>
    </row>
    <row r="43" spans="1:24">
      <c r="A43" s="39" t="str">
        <f>_xlfn.TEXTJOIN("",TRUE,Input!$B$2,ROW(My_Audit!A42))</f>
        <v>XX42</v>
      </c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 t="str">
        <f t="shared" si="0"/>
        <v/>
      </c>
      <c r="Q43" s="39"/>
      <c r="R43" s="39"/>
      <c r="S43" s="51"/>
      <c r="T43" s="39"/>
      <c r="U43" s="39"/>
      <c r="V43" s="39"/>
      <c r="W43" s="39"/>
      <c r="X43" s="39"/>
    </row>
    <row r="44" spans="1:24">
      <c r="A44" s="39" t="str">
        <f>_xlfn.TEXTJOIN("",TRUE,Input!$B$2,ROW(My_Audit!A43))</f>
        <v>XX43</v>
      </c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 t="str">
        <f t="shared" si="0"/>
        <v/>
      </c>
      <c r="Q44" s="39"/>
      <c r="R44" s="39"/>
      <c r="S44" s="51"/>
      <c r="T44" s="39"/>
      <c r="U44" s="39"/>
      <c r="V44" s="39"/>
      <c r="W44" s="39"/>
      <c r="X44" s="39"/>
    </row>
    <row r="45" spans="1:24">
      <c r="A45" s="39" t="str">
        <f>_xlfn.TEXTJOIN("",TRUE,Input!$B$2,ROW(My_Audit!A44))</f>
        <v>XX44</v>
      </c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 t="str">
        <f t="shared" si="0"/>
        <v/>
      </c>
      <c r="Q45" s="39"/>
      <c r="R45" s="39"/>
      <c r="S45" s="51"/>
      <c r="T45" s="39"/>
      <c r="U45" s="39"/>
      <c r="V45" s="39"/>
      <c r="W45" s="39"/>
      <c r="X45" s="39"/>
    </row>
    <row r="46" spans="1:24">
      <c r="A46" s="39" t="str">
        <f>_xlfn.TEXTJOIN("",TRUE,Input!$B$2,ROW(My_Audit!A45))</f>
        <v>XX45</v>
      </c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 t="str">
        <f t="shared" si="0"/>
        <v/>
      </c>
      <c r="Q46" s="39"/>
      <c r="R46" s="39"/>
      <c r="S46" s="51"/>
      <c r="T46" s="39"/>
      <c r="U46" s="39"/>
      <c r="V46" s="39"/>
      <c r="W46" s="39"/>
      <c r="X46" s="39"/>
    </row>
    <row r="47" spans="1:24">
      <c r="A47" s="39" t="str">
        <f>_xlfn.TEXTJOIN("",TRUE,Input!$B$2,ROW(My_Audit!A46))</f>
        <v>XX46</v>
      </c>
      <c r="B47" s="50"/>
      <c r="C47" s="50"/>
      <c r="D47" s="50"/>
      <c r="E47" s="50"/>
      <c r="F47" s="50"/>
      <c r="G47" s="50"/>
      <c r="H47" s="39"/>
      <c r="I47" s="39"/>
      <c r="J47" s="39"/>
      <c r="K47" s="39"/>
      <c r="L47" s="39"/>
      <c r="M47" s="39"/>
      <c r="N47" s="39"/>
      <c r="O47" s="39"/>
      <c r="P47" s="39" t="str">
        <f t="shared" si="0"/>
        <v/>
      </c>
      <c r="Q47" s="39"/>
      <c r="R47" s="39"/>
      <c r="S47" s="51"/>
      <c r="T47" s="39"/>
      <c r="U47" s="39"/>
      <c r="V47" s="39"/>
      <c r="W47" s="39"/>
      <c r="X47" s="39"/>
    </row>
    <row r="48" spans="1:24">
      <c r="A48" s="39" t="str">
        <f>_xlfn.TEXTJOIN("",TRUE,Input!$B$2,ROW(My_Audit!A47))</f>
        <v>XX47</v>
      </c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 t="str">
        <f t="shared" si="0"/>
        <v/>
      </c>
      <c r="Q48" s="39"/>
      <c r="R48" s="39"/>
      <c r="S48" s="51"/>
      <c r="T48" s="39"/>
      <c r="U48" s="39"/>
      <c r="V48" s="39"/>
      <c r="W48" s="39"/>
      <c r="X48" s="39"/>
    </row>
    <row r="49" spans="1:24">
      <c r="A49" s="39" t="str">
        <f>_xlfn.TEXTJOIN("",TRUE,Input!$B$2,ROW(My_Audit!A48))</f>
        <v>XX48</v>
      </c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 t="str">
        <f t="shared" si="0"/>
        <v/>
      </c>
      <c r="Q49" s="39"/>
      <c r="R49" s="39"/>
      <c r="S49" s="51"/>
      <c r="T49" s="39"/>
      <c r="U49" s="39"/>
      <c r="V49" s="39"/>
      <c r="W49" s="39"/>
      <c r="X49" s="39"/>
    </row>
    <row r="50" spans="1:24">
      <c r="A50" s="39" t="str">
        <f>_xlfn.TEXTJOIN("",TRUE,Input!$B$2,ROW(My_Audit!A49))</f>
        <v>XX49</v>
      </c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 t="str">
        <f t="shared" si="0"/>
        <v/>
      </c>
      <c r="Q50" s="39"/>
      <c r="R50" s="39"/>
      <c r="S50" s="51"/>
      <c r="T50" s="39"/>
      <c r="U50" s="39"/>
      <c r="V50" s="39"/>
      <c r="W50" s="39"/>
      <c r="X50" s="39"/>
    </row>
    <row r="51" spans="1:24">
      <c r="A51" s="39" t="str">
        <f>_xlfn.TEXTJOIN("",TRUE,Input!$B$2,ROW(My_Audit!A50))</f>
        <v>XX50</v>
      </c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 t="str">
        <f t="shared" si="0"/>
        <v/>
      </c>
      <c r="Q51" s="39"/>
      <c r="R51" s="39"/>
      <c r="S51" s="51"/>
      <c r="T51" s="39"/>
      <c r="U51" s="39"/>
      <c r="V51" s="39"/>
      <c r="W51" s="39"/>
      <c r="X51" s="39"/>
    </row>
    <row r="52" spans="1:24">
      <c r="A52" s="39" t="str">
        <f>_xlfn.TEXTJOIN("",TRUE,Input!$B$2,ROW(My_Audit!A51))</f>
        <v>XX51</v>
      </c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 t="str">
        <f t="shared" si="0"/>
        <v/>
      </c>
      <c r="Q52" s="39"/>
      <c r="R52" s="39"/>
      <c r="S52" s="51"/>
      <c r="T52" s="39"/>
      <c r="U52" s="39"/>
      <c r="V52" s="39"/>
      <c r="W52" s="39"/>
      <c r="X52" s="39"/>
    </row>
    <row r="53" spans="1:24">
      <c r="A53" s="39" t="str">
        <f>_xlfn.TEXTJOIN("",TRUE,Input!$B$2,ROW(My_Audit!A52))</f>
        <v>XX52</v>
      </c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 t="str">
        <f t="shared" si="0"/>
        <v/>
      </c>
      <c r="Q53" s="39"/>
      <c r="R53" s="39"/>
      <c r="S53" s="51"/>
      <c r="T53" s="39"/>
      <c r="U53" s="39"/>
      <c r="V53" s="39"/>
      <c r="W53" s="39"/>
      <c r="X53" s="39"/>
    </row>
    <row r="54" spans="1:24">
      <c r="A54" s="39" t="str">
        <f>_xlfn.TEXTJOIN("",TRUE,Input!$B$2,ROW(My_Audit!A53))</f>
        <v>XX53</v>
      </c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 t="str">
        <f t="shared" si="0"/>
        <v/>
      </c>
      <c r="Q54" s="39"/>
      <c r="R54" s="39"/>
      <c r="S54" s="51"/>
      <c r="T54" s="39"/>
      <c r="U54" s="39"/>
      <c r="V54" s="39"/>
      <c r="W54" s="39"/>
      <c r="X54" s="39"/>
    </row>
    <row r="55" spans="1:24">
      <c r="A55" s="39" t="str">
        <f>_xlfn.TEXTJOIN("",TRUE,Input!$B$2,ROW(My_Audit!A54))</f>
        <v>XX54</v>
      </c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 t="str">
        <f t="shared" si="0"/>
        <v/>
      </c>
      <c r="Q55" s="39"/>
      <c r="R55" s="39"/>
      <c r="S55" s="51"/>
      <c r="T55" s="39"/>
      <c r="U55" s="39"/>
      <c r="V55" s="39"/>
      <c r="W55" s="39"/>
      <c r="X55" s="39"/>
    </row>
    <row r="56" spans="1:24">
      <c r="A56" s="39" t="str">
        <f>_xlfn.TEXTJOIN("",TRUE,Input!$B$2,ROW(My_Audit!A55))</f>
        <v>XX55</v>
      </c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 t="str">
        <f t="shared" si="0"/>
        <v/>
      </c>
      <c r="Q56" s="39"/>
      <c r="R56" s="39"/>
      <c r="S56" s="51"/>
      <c r="T56" s="39"/>
      <c r="U56" s="39"/>
      <c r="V56" s="39"/>
      <c r="W56" s="39"/>
      <c r="X56" s="39"/>
    </row>
    <row r="57" spans="1:24">
      <c r="A57" s="39" t="str">
        <f>_xlfn.TEXTJOIN("",TRUE,Input!$B$2,ROW(My_Audit!A56))</f>
        <v>XX56</v>
      </c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 t="str">
        <f t="shared" si="0"/>
        <v/>
      </c>
      <c r="Q57" s="39"/>
      <c r="R57" s="39"/>
      <c r="S57" s="51"/>
      <c r="T57" s="39"/>
      <c r="U57" s="39"/>
      <c r="V57" s="39"/>
      <c r="W57" s="39"/>
      <c r="X57" s="39"/>
    </row>
    <row r="58" spans="1:24">
      <c r="A58" s="39" t="str">
        <f>_xlfn.TEXTJOIN("",TRUE,Input!$B$2,ROW(My_Audit!A57))</f>
        <v>XX57</v>
      </c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 t="str">
        <f t="shared" si="0"/>
        <v/>
      </c>
      <c r="Q58" s="39"/>
      <c r="R58" s="39"/>
      <c r="S58" s="51"/>
      <c r="T58" s="39"/>
      <c r="U58" s="39"/>
      <c r="V58" s="39"/>
      <c r="W58" s="39"/>
      <c r="X58" s="39"/>
    </row>
    <row r="59" spans="1:24">
      <c r="A59" s="39" t="str">
        <f>_xlfn.TEXTJOIN("",TRUE,Input!$B$2,ROW(My_Audit!A58))</f>
        <v>XX58</v>
      </c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 t="str">
        <f t="shared" si="0"/>
        <v/>
      </c>
      <c r="Q59" s="39"/>
      <c r="R59" s="39"/>
      <c r="S59" s="51"/>
      <c r="T59" s="39"/>
      <c r="U59" s="39"/>
      <c r="V59" s="39"/>
      <c r="W59" s="39"/>
      <c r="X59" s="39"/>
    </row>
    <row r="60" spans="1:24">
      <c r="A60" s="39" t="str">
        <f>_xlfn.TEXTJOIN("",TRUE,Input!$B$2,ROW(My_Audit!A59))</f>
        <v>XX59</v>
      </c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 t="str">
        <f t="shared" si="0"/>
        <v/>
      </c>
      <c r="Q60" s="39"/>
      <c r="R60" s="39"/>
      <c r="S60" s="51"/>
      <c r="T60" s="39"/>
      <c r="U60" s="39"/>
      <c r="V60" s="39"/>
      <c r="W60" s="39"/>
      <c r="X60" s="39"/>
    </row>
    <row r="61" spans="1:24">
      <c r="A61" s="39" t="str">
        <f>_xlfn.TEXTJOIN("",TRUE,Input!$B$2,ROW(My_Audit!A60))</f>
        <v>XX60</v>
      </c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 t="str">
        <f t="shared" si="0"/>
        <v/>
      </c>
      <c r="Q61" s="39"/>
      <c r="R61" s="39"/>
      <c r="S61" s="51"/>
      <c r="T61" s="39"/>
      <c r="U61" s="39"/>
      <c r="V61" s="39"/>
      <c r="W61" s="39"/>
      <c r="X61" s="39"/>
    </row>
    <row r="62" spans="1:24">
      <c r="A62" s="39" t="str">
        <f>_xlfn.TEXTJOIN("",TRUE,Input!$B$2,ROW(My_Audit!A61))</f>
        <v>XX61</v>
      </c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 t="str">
        <f t="shared" si="0"/>
        <v/>
      </c>
      <c r="Q62" s="39"/>
      <c r="R62" s="39"/>
      <c r="S62" s="51"/>
      <c r="T62" s="39"/>
      <c r="U62" s="39"/>
      <c r="V62" s="39"/>
      <c r="W62" s="39"/>
      <c r="X62" s="39"/>
    </row>
    <row r="63" spans="1:24">
      <c r="A63" s="39" t="str">
        <f>_xlfn.TEXTJOIN("",TRUE,Input!$B$2,ROW(My_Audit!A62))</f>
        <v>XX62</v>
      </c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 t="str">
        <f t="shared" si="0"/>
        <v/>
      </c>
      <c r="Q63" s="39"/>
      <c r="R63" s="39"/>
      <c r="S63" s="51"/>
      <c r="T63" s="39"/>
      <c r="U63" s="39"/>
      <c r="V63" s="39"/>
      <c r="W63" s="39"/>
      <c r="X63" s="39"/>
    </row>
    <row r="64" spans="1:24">
      <c r="A64" s="39" t="str">
        <f>_xlfn.TEXTJOIN("",TRUE,Input!$B$2,ROW(My_Audit!A63))</f>
        <v>XX63</v>
      </c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 t="str">
        <f t="shared" si="0"/>
        <v/>
      </c>
      <c r="Q64" s="39"/>
      <c r="R64" s="39"/>
      <c r="S64" s="51"/>
      <c r="T64" s="39"/>
      <c r="U64" s="39"/>
      <c r="V64" s="39"/>
      <c r="W64" s="39"/>
      <c r="X64" s="39"/>
    </row>
    <row r="65" spans="1:24">
      <c r="A65" s="39" t="str">
        <f>_xlfn.TEXTJOIN("",TRUE,Input!$B$2,ROW(My_Audit!A64))</f>
        <v>XX64</v>
      </c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 t="str">
        <f t="shared" ref="P65:P128" si="1">_xlfn.TEXTJOIN(", ",TRUE,N65,O65)</f>
        <v/>
      </c>
      <c r="Q65" s="39"/>
      <c r="R65" s="39"/>
      <c r="S65" s="51"/>
      <c r="T65" s="39"/>
      <c r="U65" s="39"/>
      <c r="V65" s="39"/>
      <c r="W65" s="39"/>
      <c r="X65" s="39"/>
    </row>
    <row r="66" spans="1:24">
      <c r="A66" s="39" t="str">
        <f>_xlfn.TEXTJOIN("",TRUE,Input!$B$2,ROW(My_Audit!A65))</f>
        <v>XX65</v>
      </c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 t="str">
        <f t="shared" si="1"/>
        <v/>
      </c>
      <c r="Q66" s="39"/>
      <c r="R66" s="39"/>
      <c r="S66" s="51"/>
      <c r="T66" s="39"/>
      <c r="U66" s="39"/>
      <c r="V66" s="39"/>
      <c r="W66" s="39"/>
      <c r="X66" s="39"/>
    </row>
    <row r="67" spans="1:24">
      <c r="A67" s="39" t="str">
        <f>_xlfn.TEXTJOIN("",TRUE,Input!$B$2,ROW(My_Audit!A66))</f>
        <v>XX66</v>
      </c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 t="str">
        <f t="shared" si="1"/>
        <v/>
      </c>
      <c r="Q67" s="39"/>
      <c r="R67" s="39"/>
      <c r="S67" s="51"/>
      <c r="T67" s="39"/>
      <c r="U67" s="39"/>
      <c r="V67" s="39"/>
      <c r="W67" s="39"/>
      <c r="X67" s="39"/>
    </row>
    <row r="68" spans="1:24">
      <c r="A68" s="39" t="str">
        <f>_xlfn.TEXTJOIN("",TRUE,Input!$B$2,ROW(My_Audit!A67))</f>
        <v>XX67</v>
      </c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 t="str">
        <f t="shared" si="1"/>
        <v/>
      </c>
      <c r="Q68" s="39"/>
      <c r="R68" s="39"/>
      <c r="S68" s="51"/>
      <c r="T68" s="39"/>
      <c r="U68" s="39"/>
      <c r="V68" s="39"/>
      <c r="W68" s="39"/>
      <c r="X68" s="39"/>
    </row>
    <row r="69" spans="1:24">
      <c r="A69" s="39" t="str">
        <f>_xlfn.TEXTJOIN("",TRUE,Input!$B$2,ROW(My_Audit!A68))</f>
        <v>XX68</v>
      </c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 t="str">
        <f t="shared" si="1"/>
        <v/>
      </c>
      <c r="Q69" s="39"/>
      <c r="R69" s="39"/>
      <c r="S69" s="51"/>
      <c r="T69" s="39"/>
      <c r="U69" s="39"/>
      <c r="V69" s="39"/>
      <c r="W69" s="39"/>
      <c r="X69" s="39"/>
    </row>
    <row r="70" spans="1:24">
      <c r="A70" s="39" t="str">
        <f>_xlfn.TEXTJOIN("",TRUE,Input!$B$2,ROW(My_Audit!A69))</f>
        <v>XX69</v>
      </c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 t="str">
        <f t="shared" si="1"/>
        <v/>
      </c>
      <c r="Q70" s="39"/>
      <c r="R70" s="39"/>
      <c r="S70" s="51"/>
      <c r="T70" s="39"/>
      <c r="U70" s="39"/>
      <c r="V70" s="39"/>
      <c r="W70" s="39"/>
      <c r="X70" s="39"/>
    </row>
    <row r="71" spans="1:24">
      <c r="A71" s="39" t="str">
        <f>_xlfn.TEXTJOIN("",TRUE,Input!$B$2,ROW(My_Audit!A70))</f>
        <v>XX70</v>
      </c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 t="str">
        <f t="shared" si="1"/>
        <v/>
      </c>
      <c r="Q71" s="39"/>
      <c r="R71" s="39"/>
      <c r="S71" s="51"/>
      <c r="T71" s="39"/>
      <c r="U71" s="39"/>
      <c r="V71" s="39"/>
      <c r="W71" s="39"/>
      <c r="X71" s="39"/>
    </row>
    <row r="72" spans="1:24">
      <c r="A72" s="39" t="str">
        <f>_xlfn.TEXTJOIN("",TRUE,Input!$B$2,ROW(My_Audit!A71))</f>
        <v>XX71</v>
      </c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 t="str">
        <f t="shared" si="1"/>
        <v/>
      </c>
      <c r="Q72" s="39"/>
      <c r="R72" s="39"/>
      <c r="S72" s="51"/>
      <c r="T72" s="39"/>
      <c r="U72" s="39"/>
      <c r="V72" s="39"/>
      <c r="W72" s="39"/>
      <c r="X72" s="39"/>
    </row>
    <row r="73" spans="1:24">
      <c r="A73" s="39" t="str">
        <f>_xlfn.TEXTJOIN("",TRUE,Input!$B$2,ROW(My_Audit!A72))</f>
        <v>XX72</v>
      </c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 t="str">
        <f t="shared" si="1"/>
        <v/>
      </c>
      <c r="Q73" s="39"/>
      <c r="R73" s="39"/>
      <c r="S73" s="51"/>
      <c r="T73" s="39"/>
      <c r="U73" s="39"/>
      <c r="V73" s="39"/>
      <c r="W73" s="39"/>
      <c r="X73" s="39"/>
    </row>
    <row r="74" spans="1:24">
      <c r="A74" s="39" t="str">
        <f>_xlfn.TEXTJOIN("",TRUE,Input!$B$2,ROW(My_Audit!A73))</f>
        <v>XX73</v>
      </c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 t="str">
        <f t="shared" si="1"/>
        <v/>
      </c>
      <c r="Q74" s="39"/>
      <c r="R74" s="39"/>
      <c r="S74" s="51"/>
      <c r="T74" s="39"/>
      <c r="U74" s="39"/>
      <c r="V74" s="39"/>
      <c r="W74" s="39"/>
      <c r="X74" s="39"/>
    </row>
    <row r="75" spans="1:24">
      <c r="A75" s="39" t="str">
        <f>_xlfn.TEXTJOIN("",TRUE,Input!$B$2,ROW(My_Audit!A74))</f>
        <v>XX74</v>
      </c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 t="str">
        <f t="shared" si="1"/>
        <v/>
      </c>
      <c r="Q75" s="39"/>
      <c r="R75" s="39"/>
      <c r="S75" s="51"/>
      <c r="T75" s="39"/>
      <c r="U75" s="39"/>
      <c r="V75" s="39"/>
      <c r="W75" s="39"/>
      <c r="X75" s="39"/>
    </row>
    <row r="76" spans="1:24">
      <c r="A76" s="39" t="str">
        <f>_xlfn.TEXTJOIN("",TRUE,Input!$B$2,ROW(My_Audit!A75))</f>
        <v>XX75</v>
      </c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 t="str">
        <f t="shared" si="1"/>
        <v/>
      </c>
      <c r="Q76" s="39"/>
      <c r="R76" s="39"/>
      <c r="S76" s="51"/>
      <c r="T76" s="39"/>
      <c r="U76" s="39"/>
      <c r="V76" s="39"/>
      <c r="W76" s="39"/>
      <c r="X76" s="39"/>
    </row>
    <row r="77" spans="1:24">
      <c r="A77" s="39" t="str">
        <f>_xlfn.TEXTJOIN("",TRUE,Input!$B$2,ROW(My_Audit!A76))</f>
        <v>XX76</v>
      </c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 t="str">
        <f t="shared" si="1"/>
        <v/>
      </c>
      <c r="Q77" s="39"/>
      <c r="R77" s="39"/>
      <c r="S77" s="51"/>
      <c r="T77" s="39"/>
      <c r="U77" s="39"/>
      <c r="V77" s="39"/>
      <c r="W77" s="39"/>
      <c r="X77" s="39"/>
    </row>
    <row r="78" spans="1:24">
      <c r="A78" s="39" t="str">
        <f>_xlfn.TEXTJOIN("",TRUE,Input!$B$2,ROW(My_Audit!A77))</f>
        <v>XX77</v>
      </c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 t="str">
        <f t="shared" si="1"/>
        <v/>
      </c>
      <c r="Q78" s="39"/>
      <c r="R78" s="39"/>
      <c r="S78" s="51"/>
      <c r="T78" s="39"/>
      <c r="U78" s="39"/>
      <c r="V78" s="39"/>
      <c r="W78" s="39"/>
      <c r="X78" s="39"/>
    </row>
    <row r="79" spans="1:24">
      <c r="A79" s="39" t="str">
        <f>_xlfn.TEXTJOIN("",TRUE,Input!$B$2,ROW(My_Audit!A78))</f>
        <v>XX78</v>
      </c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 t="str">
        <f t="shared" si="1"/>
        <v/>
      </c>
      <c r="Q79" s="39"/>
      <c r="R79" s="39"/>
      <c r="S79" s="51"/>
      <c r="T79" s="39"/>
      <c r="U79" s="39"/>
      <c r="V79" s="39"/>
      <c r="W79" s="39"/>
      <c r="X79" s="39"/>
    </row>
    <row r="80" spans="1:24">
      <c r="A80" s="39" t="str">
        <f>_xlfn.TEXTJOIN("",TRUE,Input!$B$2,ROW(My_Audit!A79))</f>
        <v>XX79</v>
      </c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 t="str">
        <f t="shared" si="1"/>
        <v/>
      </c>
      <c r="Q80" s="39"/>
      <c r="R80" s="39"/>
      <c r="S80" s="51"/>
      <c r="T80" s="39"/>
      <c r="U80" s="39"/>
      <c r="V80" s="39"/>
      <c r="W80" s="39"/>
      <c r="X80" s="39"/>
    </row>
    <row r="81" spans="1:24">
      <c r="A81" s="39" t="str">
        <f>_xlfn.TEXTJOIN("",TRUE,Input!$B$2,ROW(My_Audit!A80))</f>
        <v>XX80</v>
      </c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 t="str">
        <f t="shared" si="1"/>
        <v/>
      </c>
      <c r="Q81" s="39"/>
      <c r="R81" s="39"/>
      <c r="S81" s="51"/>
      <c r="T81" s="39"/>
      <c r="U81" s="39"/>
      <c r="V81" s="39"/>
      <c r="W81" s="39"/>
      <c r="X81" s="39"/>
    </row>
    <row r="82" spans="1:24">
      <c r="A82" s="39" t="str">
        <f>_xlfn.TEXTJOIN("",TRUE,Input!$B$2,ROW(My_Audit!A81))</f>
        <v>XX81</v>
      </c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 t="str">
        <f t="shared" si="1"/>
        <v/>
      </c>
      <c r="Q82" s="39"/>
      <c r="R82" s="39"/>
      <c r="S82" s="51"/>
      <c r="T82" s="39"/>
      <c r="U82" s="39"/>
      <c r="V82" s="39"/>
      <c r="W82" s="39"/>
      <c r="X82" s="39"/>
    </row>
    <row r="83" spans="1:24">
      <c r="A83" s="39" t="str">
        <f>_xlfn.TEXTJOIN("",TRUE,Input!$B$2,ROW(My_Audit!A82))</f>
        <v>XX82</v>
      </c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 t="str">
        <f t="shared" si="1"/>
        <v/>
      </c>
      <c r="Q83" s="39"/>
      <c r="R83" s="39"/>
      <c r="S83" s="51"/>
      <c r="T83" s="39"/>
      <c r="U83" s="39"/>
      <c r="V83" s="39"/>
      <c r="W83" s="39"/>
      <c r="X83" s="39"/>
    </row>
    <row r="84" spans="1:24">
      <c r="A84" s="39" t="str">
        <f>_xlfn.TEXTJOIN("",TRUE,Input!$B$2,ROW(My_Audit!A83))</f>
        <v>XX83</v>
      </c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 t="str">
        <f t="shared" si="1"/>
        <v/>
      </c>
      <c r="Q84" s="39"/>
      <c r="R84" s="39"/>
      <c r="S84" s="51"/>
      <c r="T84" s="39"/>
      <c r="U84" s="39"/>
      <c r="V84" s="39"/>
      <c r="W84" s="39"/>
      <c r="X84" s="39"/>
    </row>
    <row r="85" spans="1:24">
      <c r="A85" s="39" t="str">
        <f>_xlfn.TEXTJOIN("",TRUE,Input!$B$2,ROW(My_Audit!A84))</f>
        <v>XX84</v>
      </c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 t="str">
        <f t="shared" si="1"/>
        <v/>
      </c>
      <c r="Q85" s="39"/>
      <c r="R85" s="39"/>
      <c r="S85" s="51"/>
      <c r="T85" s="39"/>
      <c r="U85" s="39"/>
      <c r="V85" s="39"/>
      <c r="W85" s="39"/>
      <c r="X85" s="39"/>
    </row>
    <row r="86" spans="1:24">
      <c r="A86" s="39" t="str">
        <f>_xlfn.TEXTJOIN("",TRUE,Input!$B$2,ROW(My_Audit!A85))</f>
        <v>XX85</v>
      </c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 t="str">
        <f t="shared" si="1"/>
        <v/>
      </c>
      <c r="Q86" s="39"/>
      <c r="R86" s="39"/>
      <c r="S86" s="51"/>
      <c r="T86" s="39"/>
      <c r="U86" s="39"/>
      <c r="V86" s="39"/>
      <c r="W86" s="39"/>
      <c r="X86" s="39"/>
    </row>
    <row r="87" spans="1:24">
      <c r="A87" s="39" t="str">
        <f>_xlfn.TEXTJOIN("",TRUE,Input!$B$2,ROW(My_Audit!A86))</f>
        <v>XX86</v>
      </c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 t="str">
        <f t="shared" si="1"/>
        <v/>
      </c>
      <c r="Q87" s="39"/>
      <c r="R87" s="39"/>
      <c r="S87" s="51"/>
      <c r="T87" s="39"/>
      <c r="U87" s="39"/>
      <c r="V87" s="39"/>
      <c r="W87" s="39"/>
      <c r="X87" s="39"/>
    </row>
    <row r="88" spans="1:24">
      <c r="A88" s="39" t="str">
        <f>_xlfn.TEXTJOIN("",TRUE,Input!$B$2,ROW(My_Audit!A87))</f>
        <v>XX87</v>
      </c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 t="str">
        <f t="shared" si="1"/>
        <v/>
      </c>
      <c r="Q88" s="39"/>
      <c r="R88" s="39"/>
      <c r="S88" s="51"/>
      <c r="T88" s="39"/>
      <c r="U88" s="39"/>
      <c r="V88" s="39"/>
      <c r="W88" s="39"/>
      <c r="X88" s="39"/>
    </row>
    <row r="89" spans="1:24">
      <c r="A89" s="39" t="str">
        <f>_xlfn.TEXTJOIN("",TRUE,Input!$B$2,ROW(My_Audit!A88))</f>
        <v>XX88</v>
      </c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 t="str">
        <f t="shared" si="1"/>
        <v/>
      </c>
      <c r="Q89" s="39"/>
      <c r="R89" s="39"/>
      <c r="S89" s="51"/>
      <c r="T89" s="39"/>
      <c r="U89" s="39"/>
      <c r="V89" s="39"/>
      <c r="W89" s="39"/>
      <c r="X89" s="39"/>
    </row>
    <row r="90" spans="1:24">
      <c r="A90" s="39" t="str">
        <f>_xlfn.TEXTJOIN("",TRUE,Input!$B$2,ROW(My_Audit!A89))</f>
        <v>XX89</v>
      </c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 t="str">
        <f t="shared" si="1"/>
        <v/>
      </c>
      <c r="Q90" s="39"/>
      <c r="R90" s="39"/>
      <c r="S90" s="51"/>
      <c r="T90" s="39"/>
      <c r="U90" s="39"/>
      <c r="V90" s="39"/>
      <c r="W90" s="39"/>
      <c r="X90" s="39"/>
    </row>
    <row r="91" spans="1:24">
      <c r="A91" s="39" t="str">
        <f>_xlfn.TEXTJOIN("",TRUE,Input!$B$2,ROW(My_Audit!A90))</f>
        <v>XX90</v>
      </c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 t="str">
        <f t="shared" si="1"/>
        <v/>
      </c>
      <c r="Q91" s="39"/>
      <c r="R91" s="39"/>
      <c r="S91" s="51"/>
      <c r="T91" s="39"/>
      <c r="U91" s="39"/>
      <c r="V91" s="39"/>
      <c r="W91" s="39"/>
      <c r="X91" s="39"/>
    </row>
    <row r="92" spans="1:24">
      <c r="A92" s="39" t="str">
        <f>_xlfn.TEXTJOIN("",TRUE,Input!$B$2,ROW(My_Audit!A91))</f>
        <v>XX91</v>
      </c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 t="str">
        <f t="shared" si="1"/>
        <v/>
      </c>
      <c r="Q92" s="39"/>
      <c r="R92" s="39"/>
      <c r="S92" s="51"/>
      <c r="T92" s="39"/>
      <c r="U92" s="39"/>
      <c r="V92" s="39"/>
      <c r="W92" s="39"/>
      <c r="X92" s="39"/>
    </row>
    <row r="93" spans="1:24">
      <c r="A93" s="39" t="str">
        <f>_xlfn.TEXTJOIN("",TRUE,Input!$B$2,ROW(My_Audit!A92))</f>
        <v>XX92</v>
      </c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 t="str">
        <f t="shared" si="1"/>
        <v/>
      </c>
      <c r="Q93" s="39"/>
      <c r="R93" s="39"/>
      <c r="S93" s="51"/>
      <c r="T93" s="39"/>
      <c r="U93" s="39"/>
      <c r="V93" s="39"/>
      <c r="W93" s="39"/>
      <c r="X93" s="39"/>
    </row>
    <row r="94" spans="1:24">
      <c r="A94" s="39" t="str">
        <f>_xlfn.TEXTJOIN("",TRUE,Input!$B$2,ROW(My_Audit!A93))</f>
        <v>XX93</v>
      </c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 t="str">
        <f t="shared" si="1"/>
        <v/>
      </c>
      <c r="Q94" s="39"/>
      <c r="R94" s="39"/>
      <c r="S94" s="51"/>
      <c r="T94" s="39"/>
      <c r="U94" s="39"/>
      <c r="V94" s="39"/>
      <c r="W94" s="39"/>
      <c r="X94" s="39"/>
    </row>
    <row r="95" spans="1:24">
      <c r="A95" s="39" t="str">
        <f>_xlfn.TEXTJOIN("",TRUE,Input!$B$2,ROW(My_Audit!A94))</f>
        <v>XX94</v>
      </c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 t="str">
        <f t="shared" si="1"/>
        <v/>
      </c>
      <c r="Q95" s="39"/>
      <c r="R95" s="39"/>
      <c r="S95" s="51"/>
      <c r="T95" s="39"/>
      <c r="U95" s="39"/>
      <c r="V95" s="39"/>
      <c r="W95" s="39"/>
      <c r="X95" s="39"/>
    </row>
    <row r="96" spans="1:24">
      <c r="A96" s="39" t="str">
        <f>_xlfn.TEXTJOIN("",TRUE,Input!$B$2,ROW(My_Audit!A95))</f>
        <v>XX95</v>
      </c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 t="str">
        <f t="shared" si="1"/>
        <v/>
      </c>
      <c r="Q96" s="39"/>
      <c r="R96" s="39"/>
      <c r="S96" s="51"/>
      <c r="T96" s="39"/>
      <c r="U96" s="39"/>
      <c r="V96" s="39"/>
      <c r="W96" s="39"/>
      <c r="X96" s="39"/>
    </row>
    <row r="97" spans="1:24">
      <c r="A97" s="39" t="str">
        <f>_xlfn.TEXTJOIN("",TRUE,Input!$B$2,ROW(My_Audit!A96))</f>
        <v>XX96</v>
      </c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 t="str">
        <f t="shared" si="1"/>
        <v/>
      </c>
      <c r="Q97" s="39"/>
      <c r="R97" s="39"/>
      <c r="S97" s="51"/>
      <c r="T97" s="39"/>
      <c r="U97" s="39"/>
      <c r="V97" s="39"/>
      <c r="W97" s="39"/>
      <c r="X97" s="39"/>
    </row>
    <row r="98" spans="1:24">
      <c r="A98" s="39" t="str">
        <f>_xlfn.TEXTJOIN("",TRUE,Input!$B$2,ROW(My_Audit!A97))</f>
        <v>XX97</v>
      </c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 t="str">
        <f t="shared" si="1"/>
        <v/>
      </c>
      <c r="Q98" s="39"/>
      <c r="R98" s="39"/>
      <c r="S98" s="51"/>
      <c r="T98" s="39"/>
      <c r="U98" s="39"/>
      <c r="V98" s="39"/>
      <c r="W98" s="39"/>
      <c r="X98" s="39"/>
    </row>
    <row r="99" spans="1:24">
      <c r="A99" s="39" t="str">
        <f>_xlfn.TEXTJOIN("",TRUE,Input!$B$2,ROW(My_Audit!A98))</f>
        <v>XX98</v>
      </c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 t="str">
        <f t="shared" si="1"/>
        <v/>
      </c>
      <c r="Q99" s="39"/>
      <c r="R99" s="39"/>
      <c r="S99" s="51"/>
      <c r="T99" s="39"/>
      <c r="U99" s="39"/>
      <c r="V99" s="39"/>
      <c r="W99" s="39"/>
      <c r="X99" s="39"/>
    </row>
    <row r="100" spans="1:24">
      <c r="A100" s="39" t="str">
        <f>_xlfn.TEXTJOIN("",TRUE,Input!$B$2,ROW(My_Audit!A99))</f>
        <v>XX99</v>
      </c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 t="str">
        <f t="shared" si="1"/>
        <v/>
      </c>
      <c r="Q100" s="39"/>
      <c r="R100" s="39"/>
      <c r="S100" s="51"/>
      <c r="T100" s="39"/>
      <c r="U100" s="39"/>
      <c r="V100" s="39"/>
      <c r="W100" s="39"/>
      <c r="X100" s="39"/>
    </row>
    <row r="101" spans="1:24">
      <c r="A101" s="39" t="str">
        <f>_xlfn.TEXTJOIN("",TRUE,Input!$B$2,ROW(My_Audit!A100))</f>
        <v>XX100</v>
      </c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 t="str">
        <f t="shared" si="1"/>
        <v/>
      </c>
      <c r="Q101" s="39"/>
      <c r="R101" s="39"/>
      <c r="S101" s="51"/>
      <c r="T101" s="39"/>
      <c r="U101" s="39"/>
      <c r="V101" s="39"/>
      <c r="W101" s="39"/>
      <c r="X101" s="39"/>
    </row>
    <row r="102" spans="1:24">
      <c r="A102" s="39" t="str">
        <f>_xlfn.TEXTJOIN("",TRUE,Input!$B$2,ROW(My_Audit!A101))</f>
        <v>XX101</v>
      </c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 t="str">
        <f t="shared" si="1"/>
        <v/>
      </c>
      <c r="Q102" s="39"/>
      <c r="R102" s="39"/>
      <c r="S102" s="51"/>
      <c r="T102" s="39"/>
      <c r="U102" s="39"/>
      <c r="V102" s="39"/>
      <c r="W102" s="39"/>
      <c r="X102" s="39"/>
    </row>
    <row r="103" spans="1:24">
      <c r="A103" s="39" t="str">
        <f>_xlfn.TEXTJOIN("",TRUE,Input!$B$2,ROW(My_Audit!A102))</f>
        <v>XX102</v>
      </c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 t="str">
        <f t="shared" si="1"/>
        <v/>
      </c>
      <c r="Q103" s="39"/>
      <c r="R103" s="39"/>
      <c r="S103" s="51"/>
      <c r="T103" s="39"/>
      <c r="U103" s="39"/>
      <c r="V103" s="39"/>
      <c r="W103" s="39"/>
      <c r="X103" s="39"/>
    </row>
    <row r="104" spans="1:24">
      <c r="A104" s="39" t="str">
        <f>_xlfn.TEXTJOIN("",TRUE,Input!$B$2,ROW(My_Audit!A103))</f>
        <v>XX103</v>
      </c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 t="str">
        <f t="shared" si="1"/>
        <v/>
      </c>
      <c r="Q104" s="39"/>
      <c r="R104" s="39"/>
      <c r="S104" s="51"/>
      <c r="T104" s="39"/>
      <c r="U104" s="39"/>
      <c r="V104" s="39"/>
      <c r="W104" s="39"/>
      <c r="X104" s="39"/>
    </row>
    <row r="105" spans="1:24">
      <c r="A105" s="39" t="str">
        <f>_xlfn.TEXTJOIN("",TRUE,Input!$B$2,ROW(My_Audit!A104))</f>
        <v>XX104</v>
      </c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 t="str">
        <f t="shared" si="1"/>
        <v/>
      </c>
      <c r="Q105" s="39"/>
      <c r="R105" s="39"/>
      <c r="S105" s="51"/>
      <c r="T105" s="39"/>
      <c r="U105" s="39"/>
      <c r="V105" s="39"/>
      <c r="W105" s="39"/>
      <c r="X105" s="39"/>
    </row>
    <row r="106" spans="1:24">
      <c r="A106" s="39" t="str">
        <f>_xlfn.TEXTJOIN("",TRUE,Input!$B$2,ROW(My_Audit!A105))</f>
        <v>XX105</v>
      </c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 t="str">
        <f t="shared" si="1"/>
        <v/>
      </c>
      <c r="Q106" s="39"/>
      <c r="R106" s="39"/>
      <c r="S106" s="51"/>
      <c r="T106" s="39"/>
      <c r="U106" s="39"/>
      <c r="V106" s="39"/>
      <c r="W106" s="39"/>
      <c r="X106" s="39"/>
    </row>
    <row r="107" spans="1:24">
      <c r="A107" s="39" t="str">
        <f>_xlfn.TEXTJOIN("",TRUE,Input!$B$2,ROW(My_Audit!A106))</f>
        <v>XX106</v>
      </c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 t="str">
        <f t="shared" si="1"/>
        <v/>
      </c>
      <c r="Q107" s="39"/>
      <c r="R107" s="39"/>
      <c r="S107" s="51"/>
      <c r="T107" s="39"/>
      <c r="U107" s="39"/>
      <c r="V107" s="39"/>
      <c r="W107" s="39"/>
      <c r="X107" s="39"/>
    </row>
    <row r="108" spans="1:24">
      <c r="A108" s="39" t="str">
        <f>_xlfn.TEXTJOIN("",TRUE,Input!$B$2,ROW(My_Audit!A107))</f>
        <v>XX107</v>
      </c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 t="str">
        <f t="shared" si="1"/>
        <v/>
      </c>
      <c r="Q108" s="39"/>
      <c r="R108" s="39"/>
      <c r="S108" s="51"/>
      <c r="T108" s="39"/>
      <c r="U108" s="39"/>
      <c r="V108" s="39"/>
      <c r="W108" s="39"/>
      <c r="X108" s="39"/>
    </row>
    <row r="109" spans="1:24">
      <c r="A109" s="39" t="str">
        <f>_xlfn.TEXTJOIN("",TRUE,Input!$B$2,ROW(My_Audit!A108))</f>
        <v>XX108</v>
      </c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 t="str">
        <f t="shared" si="1"/>
        <v/>
      </c>
      <c r="Q109" s="39"/>
      <c r="R109" s="39"/>
      <c r="S109" s="51"/>
      <c r="T109" s="39"/>
      <c r="U109" s="39"/>
      <c r="V109" s="39"/>
      <c r="W109" s="39"/>
      <c r="X109" s="39"/>
    </row>
    <row r="110" spans="1:24">
      <c r="A110" s="39" t="str">
        <f>_xlfn.TEXTJOIN("",TRUE,Input!$B$2,ROW(My_Audit!A109))</f>
        <v>XX109</v>
      </c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 t="str">
        <f t="shared" si="1"/>
        <v/>
      </c>
      <c r="Q110" s="39"/>
      <c r="R110" s="39"/>
      <c r="S110" s="51"/>
      <c r="T110" s="39"/>
      <c r="U110" s="39"/>
      <c r="V110" s="39"/>
      <c r="W110" s="39"/>
      <c r="X110" s="39"/>
    </row>
    <row r="111" spans="1:24">
      <c r="A111" s="39" t="str">
        <f>_xlfn.TEXTJOIN("",TRUE,Input!$B$2,ROW(My_Audit!A110))</f>
        <v>XX110</v>
      </c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 t="str">
        <f t="shared" si="1"/>
        <v/>
      </c>
      <c r="Q111" s="39"/>
      <c r="R111" s="39"/>
      <c r="S111" s="51"/>
      <c r="T111" s="39"/>
      <c r="U111" s="39"/>
      <c r="V111" s="39"/>
      <c r="W111" s="39"/>
      <c r="X111" s="39"/>
    </row>
    <row r="112" spans="1:24">
      <c r="A112" s="39" t="str">
        <f>_xlfn.TEXTJOIN("",TRUE,Input!$B$2,ROW(My_Audit!A111))</f>
        <v>XX111</v>
      </c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 t="str">
        <f t="shared" si="1"/>
        <v/>
      </c>
      <c r="Q112" s="39"/>
      <c r="R112" s="39"/>
      <c r="S112" s="51"/>
      <c r="T112" s="39"/>
      <c r="U112" s="39"/>
      <c r="V112" s="39"/>
      <c r="W112" s="39"/>
      <c r="X112" s="39"/>
    </row>
    <row r="113" spans="1:24">
      <c r="A113" s="39" t="str">
        <f>_xlfn.TEXTJOIN("",TRUE,Input!$B$2,ROW(My_Audit!A112))</f>
        <v>XX112</v>
      </c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 t="str">
        <f t="shared" si="1"/>
        <v/>
      </c>
      <c r="Q113" s="39"/>
      <c r="R113" s="39"/>
      <c r="S113" s="51"/>
      <c r="T113" s="39"/>
      <c r="U113" s="39"/>
      <c r="V113" s="39"/>
      <c r="W113" s="39"/>
      <c r="X113" s="39"/>
    </row>
    <row r="114" spans="1:24">
      <c r="A114" s="39" t="str">
        <f>_xlfn.TEXTJOIN("",TRUE,Input!$B$2,ROW(My_Audit!A113))</f>
        <v>XX113</v>
      </c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 t="str">
        <f t="shared" si="1"/>
        <v/>
      </c>
      <c r="Q114" s="39"/>
      <c r="R114" s="39"/>
      <c r="S114" s="51"/>
      <c r="T114" s="39"/>
      <c r="U114" s="39"/>
      <c r="V114" s="39"/>
      <c r="W114" s="39"/>
      <c r="X114" s="39"/>
    </row>
    <row r="115" spans="1:24">
      <c r="A115" s="39" t="str">
        <f>_xlfn.TEXTJOIN("",TRUE,Input!$B$2,ROW(My_Audit!A114))</f>
        <v>XX114</v>
      </c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 t="str">
        <f t="shared" si="1"/>
        <v/>
      </c>
      <c r="Q115" s="39"/>
      <c r="R115" s="39"/>
      <c r="S115" s="51"/>
      <c r="T115" s="39"/>
      <c r="U115" s="39"/>
      <c r="V115" s="39"/>
      <c r="W115" s="39"/>
      <c r="X115" s="39"/>
    </row>
    <row r="116" spans="1:24">
      <c r="A116" s="39" t="str">
        <f>_xlfn.TEXTJOIN("",TRUE,Input!$B$2,ROW(My_Audit!A115))</f>
        <v>XX115</v>
      </c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 t="str">
        <f t="shared" si="1"/>
        <v/>
      </c>
      <c r="Q116" s="39"/>
      <c r="R116" s="39"/>
      <c r="S116" s="51"/>
      <c r="T116" s="39"/>
      <c r="U116" s="39"/>
      <c r="V116" s="39"/>
      <c r="W116" s="39"/>
      <c r="X116" s="39"/>
    </row>
    <row r="117" spans="1:24">
      <c r="A117" s="39" t="str">
        <f>_xlfn.TEXTJOIN("",TRUE,Input!$B$2,ROW(My_Audit!A116))</f>
        <v>XX116</v>
      </c>
      <c r="D117" s="39"/>
      <c r="E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 t="str">
        <f t="shared" si="1"/>
        <v/>
      </c>
      <c r="Q117" s="39"/>
      <c r="R117" s="39"/>
      <c r="S117" s="51"/>
      <c r="T117" s="39"/>
      <c r="U117" s="39"/>
      <c r="V117" s="39"/>
      <c r="W117" s="39"/>
      <c r="X117" s="39"/>
    </row>
    <row r="118" spans="1:24">
      <c r="A118" s="39" t="str">
        <f>_xlfn.TEXTJOIN("",TRUE,Input!$B$2,ROW(My_Audit!A117))</f>
        <v>XX117</v>
      </c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 t="str">
        <f t="shared" si="1"/>
        <v/>
      </c>
      <c r="Q118" s="39"/>
      <c r="R118" s="39"/>
      <c r="S118" s="51"/>
      <c r="T118" s="39"/>
      <c r="U118" s="39"/>
      <c r="V118" s="39"/>
      <c r="W118" s="39"/>
      <c r="X118" s="39"/>
    </row>
    <row r="119" spans="1:24">
      <c r="A119" s="39" t="str">
        <f>_xlfn.TEXTJOIN("",TRUE,Input!$B$2,ROW(My_Audit!A118))</f>
        <v>XX118</v>
      </c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 t="str">
        <f t="shared" si="1"/>
        <v/>
      </c>
      <c r="Q119" s="39"/>
      <c r="R119" s="39"/>
      <c r="S119" s="51"/>
      <c r="T119" s="39"/>
      <c r="U119" s="39"/>
      <c r="V119" s="39"/>
      <c r="W119" s="39"/>
      <c r="X119" s="39"/>
    </row>
    <row r="120" spans="1:24">
      <c r="A120" s="39" t="str">
        <f>_xlfn.TEXTJOIN("",TRUE,Input!$B$2,ROW(My_Audit!A119))</f>
        <v>XX119</v>
      </c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 t="str">
        <f t="shared" si="1"/>
        <v/>
      </c>
      <c r="Q120" s="39"/>
      <c r="R120" s="39"/>
      <c r="S120" s="51"/>
      <c r="T120" s="39"/>
      <c r="U120" s="39"/>
      <c r="V120" s="39"/>
      <c r="W120" s="39"/>
      <c r="X120" s="39"/>
    </row>
    <row r="121" spans="1:24">
      <c r="A121" s="39" t="str">
        <f>_xlfn.TEXTJOIN("",TRUE,Input!$B$2,ROW(My_Audit!A120))</f>
        <v>XX120</v>
      </c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 t="str">
        <f t="shared" si="1"/>
        <v/>
      </c>
      <c r="Q121" s="39"/>
      <c r="R121" s="39"/>
      <c r="S121" s="51"/>
      <c r="T121" s="39"/>
      <c r="U121" s="39"/>
      <c r="V121" s="39"/>
      <c r="W121" s="39"/>
      <c r="X121" s="39"/>
    </row>
    <row r="122" spans="1:24">
      <c r="A122" s="39" t="str">
        <f>_xlfn.TEXTJOIN("",TRUE,Input!$B$2,ROW(My_Audit!A121))</f>
        <v>XX121</v>
      </c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 t="str">
        <f t="shared" si="1"/>
        <v/>
      </c>
      <c r="Q122" s="39"/>
      <c r="R122" s="39"/>
      <c r="S122" s="51"/>
      <c r="T122" s="39"/>
      <c r="U122" s="39"/>
      <c r="V122" s="39"/>
      <c r="W122" s="39"/>
      <c r="X122" s="39"/>
    </row>
    <row r="123" spans="1:24">
      <c r="A123" s="39" t="str">
        <f>_xlfn.TEXTJOIN("",TRUE,Input!$B$2,ROW(My_Audit!A122))</f>
        <v>XX122</v>
      </c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 t="str">
        <f t="shared" si="1"/>
        <v/>
      </c>
      <c r="Q123" s="39"/>
      <c r="R123" s="39"/>
      <c r="S123" s="51"/>
      <c r="T123" s="39"/>
      <c r="U123" s="39"/>
      <c r="V123" s="39"/>
      <c r="W123" s="39"/>
      <c r="X123" s="39"/>
    </row>
    <row r="124" spans="1:24">
      <c r="A124" s="39" t="str">
        <f>_xlfn.TEXTJOIN("",TRUE,Input!$B$2,ROW(My_Audit!A123))</f>
        <v>XX123</v>
      </c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 t="str">
        <f t="shared" si="1"/>
        <v/>
      </c>
      <c r="Q124" s="39"/>
      <c r="R124" s="39"/>
      <c r="S124" s="51"/>
      <c r="T124" s="39"/>
      <c r="U124" s="39"/>
      <c r="V124" s="39"/>
      <c r="W124" s="39"/>
      <c r="X124" s="39"/>
    </row>
    <row r="125" spans="1:24">
      <c r="A125" s="39" t="str">
        <f>_xlfn.TEXTJOIN("",TRUE,Input!$B$2,ROW(My_Audit!A124))</f>
        <v>XX124</v>
      </c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 t="str">
        <f t="shared" si="1"/>
        <v/>
      </c>
      <c r="Q125" s="39"/>
      <c r="R125" s="39"/>
      <c r="S125" s="51"/>
      <c r="T125" s="39"/>
      <c r="U125" s="39"/>
      <c r="V125" s="39"/>
      <c r="W125" s="39"/>
      <c r="X125" s="39"/>
    </row>
    <row r="126" spans="1:24">
      <c r="A126" s="39" t="str">
        <f>_xlfn.TEXTJOIN("",TRUE,Input!$B$2,ROW(My_Audit!A125))</f>
        <v>XX125</v>
      </c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 t="str">
        <f t="shared" si="1"/>
        <v/>
      </c>
      <c r="Q126" s="39"/>
      <c r="R126" s="39"/>
      <c r="S126" s="51"/>
      <c r="T126" s="39"/>
      <c r="U126" s="39"/>
      <c r="V126" s="39"/>
      <c r="W126" s="39"/>
      <c r="X126" s="39"/>
    </row>
    <row r="127" spans="1:24">
      <c r="A127" s="39" t="str">
        <f>_xlfn.TEXTJOIN("",TRUE,Input!$B$2,ROW(My_Audit!A126))</f>
        <v>XX126</v>
      </c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 t="str">
        <f t="shared" si="1"/>
        <v/>
      </c>
      <c r="Q127" s="39"/>
      <c r="R127" s="39"/>
      <c r="S127" s="51"/>
      <c r="T127" s="39"/>
      <c r="U127" s="39"/>
      <c r="V127" s="39"/>
      <c r="W127" s="39"/>
      <c r="X127" s="39"/>
    </row>
    <row r="128" spans="1:24">
      <c r="A128" s="39" t="str">
        <f>_xlfn.TEXTJOIN("",TRUE,Input!$B$2,ROW(My_Audit!A127))</f>
        <v>XX127</v>
      </c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 t="str">
        <f t="shared" si="1"/>
        <v/>
      </c>
      <c r="Q128" s="39"/>
      <c r="R128" s="39"/>
      <c r="S128" s="51"/>
      <c r="T128" s="39"/>
      <c r="U128" s="39"/>
      <c r="V128" s="39"/>
      <c r="W128" s="39"/>
      <c r="X128" s="39"/>
    </row>
    <row r="129" spans="1:24">
      <c r="A129" s="39" t="str">
        <f>_xlfn.TEXTJOIN("",TRUE,Input!$B$2,ROW(My_Audit!A128))</f>
        <v>XX128</v>
      </c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 t="str">
        <f t="shared" ref="P129:P189" si="2">_xlfn.TEXTJOIN(", ",TRUE,N129,O129)</f>
        <v/>
      </c>
      <c r="Q129" s="39"/>
      <c r="R129" s="39"/>
      <c r="S129" s="51"/>
      <c r="T129" s="39"/>
      <c r="U129" s="39"/>
      <c r="V129" s="39"/>
      <c r="W129" s="39"/>
      <c r="X129" s="39"/>
    </row>
    <row r="130" spans="1:24">
      <c r="A130" s="39" t="str">
        <f>_xlfn.TEXTJOIN("",TRUE,Input!$B$2,ROW(My_Audit!A129))</f>
        <v>XX129</v>
      </c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 t="str">
        <f t="shared" si="2"/>
        <v/>
      </c>
      <c r="Q130" s="39"/>
      <c r="R130" s="39"/>
      <c r="S130" s="51"/>
      <c r="T130" s="39"/>
      <c r="U130" s="39"/>
      <c r="V130" s="39"/>
      <c r="W130" s="39"/>
      <c r="X130" s="39"/>
    </row>
    <row r="131" spans="1:24">
      <c r="A131" s="39" t="str">
        <f>_xlfn.TEXTJOIN("",TRUE,Input!$B$2,ROW(My_Audit!A130))</f>
        <v>XX130</v>
      </c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 t="str">
        <f t="shared" si="2"/>
        <v/>
      </c>
      <c r="Q131" s="39"/>
      <c r="R131" s="39"/>
      <c r="S131" s="51"/>
      <c r="T131" s="39"/>
      <c r="U131" s="39"/>
      <c r="V131" s="39"/>
      <c r="W131" s="39"/>
      <c r="X131" s="39"/>
    </row>
    <row r="132" spans="1:24">
      <c r="A132" s="39" t="str">
        <f>_xlfn.TEXTJOIN("",TRUE,Input!$B$2,ROW(My_Audit!A131))</f>
        <v>XX131</v>
      </c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 t="str">
        <f t="shared" si="2"/>
        <v/>
      </c>
      <c r="Q132" s="39"/>
      <c r="R132" s="39"/>
      <c r="S132" s="51"/>
      <c r="T132" s="39"/>
      <c r="U132" s="39"/>
      <c r="V132" s="39"/>
      <c r="W132" s="39"/>
      <c r="X132" s="39"/>
    </row>
    <row r="133" spans="1:24">
      <c r="A133" s="39" t="str">
        <f>_xlfn.TEXTJOIN("",TRUE,Input!$B$2,ROW(My_Audit!A132))</f>
        <v>XX132</v>
      </c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 t="str">
        <f t="shared" si="2"/>
        <v/>
      </c>
      <c r="Q133" s="39"/>
      <c r="R133" s="39"/>
      <c r="S133" s="51"/>
      <c r="T133" s="39"/>
      <c r="U133" s="39"/>
      <c r="V133" s="39"/>
      <c r="W133" s="39"/>
      <c r="X133" s="39"/>
    </row>
    <row r="134" spans="1:24">
      <c r="A134" s="39" t="str">
        <f>_xlfn.TEXTJOIN("",TRUE,Input!$B$2,ROW(My_Audit!A133))</f>
        <v>XX133</v>
      </c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 t="str">
        <f t="shared" si="2"/>
        <v/>
      </c>
      <c r="Q134" s="39"/>
      <c r="R134" s="39"/>
      <c r="S134" s="51"/>
      <c r="T134" s="39"/>
      <c r="U134" s="39"/>
      <c r="V134" s="39"/>
      <c r="W134" s="39"/>
      <c r="X134" s="39"/>
    </row>
    <row r="135" spans="1:24">
      <c r="A135" s="39" t="str">
        <f>_xlfn.TEXTJOIN("",TRUE,Input!$B$2,ROW(My_Audit!A134))</f>
        <v>XX134</v>
      </c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 t="str">
        <f t="shared" si="2"/>
        <v/>
      </c>
      <c r="Q135" s="39"/>
      <c r="R135" s="39"/>
      <c r="S135" s="51"/>
      <c r="T135" s="39"/>
      <c r="U135" s="39"/>
      <c r="V135" s="39"/>
      <c r="W135" s="39"/>
      <c r="X135" s="39"/>
    </row>
    <row r="136" spans="1:24">
      <c r="A136" s="39" t="str">
        <f>_xlfn.TEXTJOIN("",TRUE,Input!$B$2,ROW(My_Audit!A135))</f>
        <v>XX135</v>
      </c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 t="str">
        <f t="shared" si="2"/>
        <v/>
      </c>
      <c r="Q136" s="39"/>
      <c r="R136" s="39"/>
      <c r="S136" s="51"/>
      <c r="T136" s="39"/>
      <c r="U136" s="39"/>
      <c r="V136" s="39"/>
      <c r="W136" s="39"/>
      <c r="X136" s="39"/>
    </row>
    <row r="137" spans="1:24">
      <c r="A137" s="39" t="str">
        <f>_xlfn.TEXTJOIN("",TRUE,Input!$B$2,ROW(My_Audit!A136))</f>
        <v>XX136</v>
      </c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 t="str">
        <f t="shared" si="2"/>
        <v/>
      </c>
      <c r="Q137" s="39"/>
      <c r="R137" s="39"/>
      <c r="S137" s="51"/>
      <c r="T137" s="39"/>
      <c r="U137" s="39"/>
      <c r="V137" s="39"/>
      <c r="W137" s="39"/>
      <c r="X137" s="39"/>
    </row>
    <row r="138" spans="1:24">
      <c r="A138" s="39" t="str">
        <f>_xlfn.TEXTJOIN("",TRUE,Input!$B$2,ROW(My_Audit!A137))</f>
        <v>XX137</v>
      </c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 t="str">
        <f t="shared" si="2"/>
        <v/>
      </c>
      <c r="Q138" s="39"/>
      <c r="R138" s="39"/>
      <c r="S138" s="51"/>
      <c r="T138" s="39"/>
      <c r="U138" s="39"/>
      <c r="V138" s="39"/>
      <c r="W138" s="39"/>
      <c r="X138" s="39"/>
    </row>
    <row r="139" spans="1:24">
      <c r="A139" s="39" t="str">
        <f>_xlfn.TEXTJOIN("",TRUE,Input!$B$2,ROW(My_Audit!A138))</f>
        <v>XX138</v>
      </c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 t="str">
        <f t="shared" si="2"/>
        <v/>
      </c>
      <c r="Q139" s="39"/>
      <c r="R139" s="39"/>
      <c r="S139" s="51"/>
      <c r="T139" s="39"/>
      <c r="U139" s="39"/>
      <c r="V139" s="39"/>
      <c r="W139" s="39"/>
      <c r="X139" s="39"/>
    </row>
    <row r="140" spans="1:24">
      <c r="A140" s="39" t="str">
        <f>_xlfn.TEXTJOIN("",TRUE,Input!$B$2,ROW(My_Audit!A139))</f>
        <v>XX139</v>
      </c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 t="str">
        <f t="shared" si="2"/>
        <v/>
      </c>
      <c r="Q140" s="39"/>
      <c r="R140" s="39"/>
      <c r="S140" s="51"/>
      <c r="T140" s="39"/>
      <c r="U140" s="39"/>
      <c r="V140" s="39"/>
      <c r="W140" s="39"/>
      <c r="X140" s="39"/>
    </row>
    <row r="141" spans="1:24">
      <c r="A141" s="39" t="str">
        <f>_xlfn.TEXTJOIN("",TRUE,Input!$B$2,ROW(My_Audit!A140))</f>
        <v>XX140</v>
      </c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 t="str">
        <f t="shared" si="2"/>
        <v/>
      </c>
      <c r="Q141" s="39"/>
      <c r="R141" s="39"/>
      <c r="S141" s="51"/>
      <c r="T141" s="39"/>
      <c r="U141" s="39"/>
      <c r="V141" s="39"/>
      <c r="W141" s="39"/>
      <c r="X141" s="39"/>
    </row>
    <row r="142" spans="1:24">
      <c r="A142" s="39" t="str">
        <f>_xlfn.TEXTJOIN("",TRUE,Input!$B$2,ROW(My_Audit!A141))</f>
        <v>XX141</v>
      </c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 t="str">
        <f t="shared" si="2"/>
        <v/>
      </c>
      <c r="Q142" s="39"/>
      <c r="R142" s="39"/>
      <c r="S142" s="51"/>
      <c r="T142" s="39"/>
      <c r="U142" s="39"/>
      <c r="V142" s="39"/>
      <c r="W142" s="39"/>
      <c r="X142" s="39"/>
    </row>
    <row r="143" spans="1:24">
      <c r="A143" s="39" t="str">
        <f>_xlfn.TEXTJOIN("",TRUE,Input!$B$2,ROW(My_Audit!A142))</f>
        <v>XX142</v>
      </c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 t="str">
        <f t="shared" si="2"/>
        <v/>
      </c>
      <c r="Q143" s="39"/>
      <c r="R143" s="39"/>
      <c r="S143" s="51"/>
      <c r="T143" s="39"/>
      <c r="U143" s="39"/>
      <c r="V143" s="39"/>
      <c r="W143" s="39"/>
      <c r="X143" s="39"/>
    </row>
    <row r="144" spans="1:24">
      <c r="A144" s="39" t="str">
        <f>_xlfn.TEXTJOIN("",TRUE,Input!$B$2,ROW(My_Audit!A143))</f>
        <v>XX143</v>
      </c>
      <c r="B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 t="str">
        <f t="shared" si="2"/>
        <v/>
      </c>
      <c r="Q144" s="39"/>
      <c r="R144" s="39"/>
      <c r="S144" s="51"/>
      <c r="T144" s="39"/>
      <c r="U144" s="39"/>
      <c r="V144" s="39"/>
      <c r="W144" s="39"/>
      <c r="X144" s="39"/>
    </row>
    <row r="145" spans="1:24">
      <c r="A145" s="39" t="str">
        <f>_xlfn.TEXTJOIN("",TRUE,Input!$B$2,ROW(My_Audit!A144))</f>
        <v>XX144</v>
      </c>
      <c r="B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 t="str">
        <f t="shared" si="2"/>
        <v/>
      </c>
      <c r="Q145" s="39"/>
      <c r="R145" s="39"/>
      <c r="S145" s="51"/>
      <c r="T145" s="39"/>
      <c r="U145" s="39"/>
      <c r="V145" s="39"/>
      <c r="W145" s="39"/>
      <c r="X145" s="39"/>
    </row>
    <row r="146" spans="1:24">
      <c r="A146" s="39" t="str">
        <f>_xlfn.TEXTJOIN("",TRUE,Input!$B$2,ROW(My_Audit!A145))</f>
        <v>XX145</v>
      </c>
      <c r="B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 t="str">
        <f t="shared" si="2"/>
        <v/>
      </c>
      <c r="Q146" s="39"/>
      <c r="R146" s="39"/>
      <c r="S146" s="51"/>
      <c r="T146" s="39"/>
      <c r="U146" s="39"/>
      <c r="V146" s="39"/>
      <c r="W146" s="39"/>
      <c r="X146" s="39"/>
    </row>
    <row r="147" spans="1:24">
      <c r="A147" s="39" t="str">
        <f>_xlfn.TEXTJOIN("",TRUE,Input!$B$2,ROW(My_Audit!A146))</f>
        <v>XX146</v>
      </c>
      <c r="B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 t="str">
        <f t="shared" si="2"/>
        <v/>
      </c>
      <c r="Q147" s="39"/>
      <c r="R147" s="39"/>
      <c r="S147" s="51"/>
      <c r="T147" s="39"/>
      <c r="U147" s="39"/>
      <c r="V147" s="39"/>
      <c r="W147" s="39"/>
      <c r="X147" s="39"/>
    </row>
    <row r="148" spans="1:24">
      <c r="A148" s="39" t="str">
        <f>_xlfn.TEXTJOIN("",TRUE,Input!$B$2,ROW(My_Audit!A147))</f>
        <v>XX147</v>
      </c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 t="str">
        <f t="shared" si="2"/>
        <v/>
      </c>
      <c r="Q148" s="39"/>
      <c r="R148" s="39"/>
      <c r="S148" s="51"/>
      <c r="T148" s="39"/>
      <c r="U148" s="39"/>
      <c r="V148" s="39"/>
      <c r="W148" s="39"/>
      <c r="X148" s="39"/>
    </row>
    <row r="149" spans="1:24">
      <c r="A149" s="39" t="str">
        <f>_xlfn.TEXTJOIN("",TRUE,Input!$B$2,ROW(My_Audit!A148))</f>
        <v>XX148</v>
      </c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 t="str">
        <f t="shared" si="2"/>
        <v/>
      </c>
      <c r="Q149" s="39"/>
      <c r="R149" s="39"/>
      <c r="S149" s="51"/>
      <c r="T149" s="39"/>
      <c r="U149" s="39"/>
      <c r="V149" s="39"/>
      <c r="W149" s="39"/>
      <c r="X149" s="39"/>
    </row>
    <row r="150" spans="1:24">
      <c r="A150" s="39" t="str">
        <f>_xlfn.TEXTJOIN("",TRUE,Input!$B$2,ROW(My_Audit!A149))</f>
        <v>XX149</v>
      </c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 t="str">
        <f t="shared" si="2"/>
        <v/>
      </c>
      <c r="Q150" s="39"/>
      <c r="R150" s="39"/>
      <c r="S150" s="51"/>
      <c r="T150" s="39"/>
      <c r="U150" s="39"/>
      <c r="V150" s="39"/>
      <c r="W150" s="39"/>
      <c r="X150" s="39"/>
    </row>
    <row r="151" spans="1:24">
      <c r="A151" s="39" t="str">
        <f>_xlfn.TEXTJOIN("",TRUE,Input!$B$2,ROW(My_Audit!A150))</f>
        <v>XX150</v>
      </c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 t="str">
        <f t="shared" si="2"/>
        <v/>
      </c>
      <c r="Q151" s="39"/>
      <c r="R151" s="39"/>
      <c r="S151" s="51"/>
      <c r="T151" s="39"/>
      <c r="U151" s="39"/>
      <c r="V151" s="39"/>
      <c r="W151" s="39"/>
      <c r="X151" s="39"/>
    </row>
    <row r="152" spans="1:24">
      <c r="A152" s="39" t="str">
        <f>_xlfn.TEXTJOIN("",TRUE,Input!$B$2,ROW(My_Audit!A151))</f>
        <v>XX151</v>
      </c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 t="str">
        <f t="shared" si="2"/>
        <v/>
      </c>
      <c r="Q152" s="39"/>
      <c r="R152" s="39"/>
      <c r="S152" s="51"/>
      <c r="T152" s="39"/>
      <c r="U152" s="39"/>
      <c r="V152" s="39"/>
      <c r="W152" s="39"/>
      <c r="X152" s="39"/>
    </row>
    <row r="153" spans="1:24">
      <c r="A153" s="39" t="str">
        <f>_xlfn.TEXTJOIN("",TRUE,Input!$B$2,ROW(My_Audit!A152))</f>
        <v>XX152</v>
      </c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 t="str">
        <f t="shared" si="2"/>
        <v/>
      </c>
      <c r="Q153" s="39"/>
      <c r="R153" s="39"/>
      <c r="S153" s="51"/>
      <c r="T153" s="39"/>
      <c r="U153" s="39"/>
      <c r="V153" s="39"/>
      <c r="W153" s="39"/>
      <c r="X153" s="39"/>
    </row>
    <row r="154" spans="1:24">
      <c r="A154" s="39" t="str">
        <f>_xlfn.TEXTJOIN("",TRUE,Input!$B$2,ROW(My_Audit!A153))</f>
        <v>XX153</v>
      </c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 t="str">
        <f t="shared" si="2"/>
        <v/>
      </c>
      <c r="Q154" s="39"/>
      <c r="R154" s="39"/>
      <c r="S154" s="51"/>
      <c r="T154" s="39"/>
      <c r="U154" s="39"/>
      <c r="V154" s="39"/>
      <c r="W154" s="39"/>
      <c r="X154" s="39"/>
    </row>
    <row r="155" spans="1:24">
      <c r="A155" s="39" t="str">
        <f>_xlfn.TEXTJOIN("",TRUE,Input!$B$2,ROW(My_Audit!A154))</f>
        <v>XX154</v>
      </c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 t="str">
        <f t="shared" si="2"/>
        <v/>
      </c>
      <c r="Q155" s="39"/>
      <c r="R155" s="39"/>
      <c r="S155" s="51"/>
      <c r="T155" s="39"/>
      <c r="U155" s="39"/>
      <c r="V155" s="39"/>
      <c r="W155" s="39"/>
      <c r="X155" s="39"/>
    </row>
    <row r="156" spans="1:24">
      <c r="A156" s="39" t="str">
        <f>_xlfn.TEXTJOIN("",TRUE,Input!$B$2,ROW(My_Audit!A155))</f>
        <v>XX155</v>
      </c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 t="str">
        <f t="shared" si="2"/>
        <v/>
      </c>
      <c r="Q156" s="39"/>
      <c r="R156" s="39"/>
      <c r="S156" s="51"/>
      <c r="T156" s="39"/>
      <c r="U156" s="39"/>
      <c r="V156" s="39"/>
      <c r="W156" s="39"/>
      <c r="X156" s="39"/>
    </row>
    <row r="157" spans="1:24">
      <c r="A157" s="39" t="str">
        <f>_xlfn.TEXTJOIN("",TRUE,Input!$B$2,ROW(My_Audit!A156))</f>
        <v>XX156</v>
      </c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 t="str">
        <f t="shared" si="2"/>
        <v/>
      </c>
      <c r="Q157" s="39"/>
      <c r="R157" s="39"/>
      <c r="S157" s="51"/>
      <c r="T157" s="39"/>
      <c r="U157" s="39"/>
      <c r="V157" s="39"/>
      <c r="W157" s="39"/>
      <c r="X157" s="39"/>
    </row>
    <row r="158" spans="1:24">
      <c r="A158" s="39" t="str">
        <f>_xlfn.TEXTJOIN("",TRUE,Input!$B$2,ROW(My_Audit!A157))</f>
        <v>XX157</v>
      </c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 t="str">
        <f t="shared" si="2"/>
        <v/>
      </c>
      <c r="Q158" s="39"/>
      <c r="R158" s="39"/>
      <c r="S158" s="51"/>
      <c r="T158" s="39"/>
      <c r="U158" s="39"/>
      <c r="V158" s="39"/>
      <c r="W158" s="39"/>
      <c r="X158" s="39"/>
    </row>
    <row r="159" spans="1:24">
      <c r="A159" s="39" t="str">
        <f>_xlfn.TEXTJOIN("",TRUE,Input!$B$2,ROW(My_Audit!A158))</f>
        <v>XX158</v>
      </c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 t="str">
        <f t="shared" si="2"/>
        <v/>
      </c>
      <c r="Q159" s="39"/>
      <c r="R159" s="39"/>
      <c r="S159" s="51"/>
      <c r="T159" s="39"/>
      <c r="U159" s="39"/>
      <c r="V159" s="39"/>
      <c r="W159" s="39"/>
      <c r="X159" s="39"/>
    </row>
    <row r="160" spans="1:24">
      <c r="A160" s="39" t="str">
        <f>_xlfn.TEXTJOIN("",TRUE,Input!$B$2,ROW(My_Audit!A159))</f>
        <v>XX159</v>
      </c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 t="str">
        <f t="shared" si="2"/>
        <v/>
      </c>
      <c r="Q160" s="39"/>
      <c r="R160" s="39"/>
      <c r="S160" s="51"/>
      <c r="T160" s="39"/>
      <c r="U160" s="39"/>
      <c r="V160" s="39"/>
      <c r="W160" s="39"/>
      <c r="X160" s="39"/>
    </row>
    <row r="161" spans="1:24">
      <c r="A161" s="39" t="str">
        <f>_xlfn.TEXTJOIN("",TRUE,Input!$B$2,ROW(My_Audit!A160))</f>
        <v>XX160</v>
      </c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 t="str">
        <f t="shared" si="2"/>
        <v/>
      </c>
      <c r="Q161" s="39"/>
      <c r="R161" s="39"/>
      <c r="S161" s="51"/>
      <c r="T161" s="39"/>
      <c r="U161" s="39"/>
      <c r="V161" s="39"/>
      <c r="W161" s="39"/>
      <c r="X161" s="39"/>
    </row>
    <row r="162" spans="1:24">
      <c r="A162" s="39" t="str">
        <f>_xlfn.TEXTJOIN("",TRUE,Input!$B$2,ROW(My_Audit!A161))</f>
        <v>XX161</v>
      </c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 t="str">
        <f t="shared" si="2"/>
        <v/>
      </c>
      <c r="Q162" s="39"/>
      <c r="R162" s="39"/>
      <c r="S162" s="51"/>
      <c r="T162" s="39"/>
      <c r="U162" s="39"/>
      <c r="V162" s="39"/>
      <c r="W162" s="39"/>
      <c r="X162" s="39"/>
    </row>
    <row r="163" spans="1:24">
      <c r="A163" s="39" t="str">
        <f>_xlfn.TEXTJOIN("",TRUE,Input!$B$2,ROW(My_Audit!A162))</f>
        <v>XX162</v>
      </c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 t="str">
        <f t="shared" si="2"/>
        <v/>
      </c>
      <c r="Q163" s="39"/>
      <c r="R163" s="39"/>
      <c r="S163" s="51"/>
      <c r="T163" s="39"/>
      <c r="U163" s="39"/>
      <c r="V163" s="39"/>
      <c r="W163" s="39"/>
      <c r="X163" s="39"/>
    </row>
    <row r="164" spans="1:24">
      <c r="A164" s="39" t="str">
        <f>_xlfn.TEXTJOIN("",TRUE,Input!$B$2,ROW(My_Audit!A163))</f>
        <v>XX163</v>
      </c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 t="str">
        <f t="shared" si="2"/>
        <v/>
      </c>
      <c r="Q164" s="39"/>
      <c r="R164" s="39"/>
      <c r="S164" s="51"/>
      <c r="T164" s="39"/>
      <c r="U164" s="39"/>
      <c r="V164" s="39"/>
      <c r="W164" s="39"/>
      <c r="X164" s="39"/>
    </row>
    <row r="165" spans="1:24">
      <c r="A165" s="39" t="str">
        <f>_xlfn.TEXTJOIN("",TRUE,Input!$B$2,ROW(My_Audit!A164))</f>
        <v>XX164</v>
      </c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 t="str">
        <f t="shared" si="2"/>
        <v/>
      </c>
      <c r="Q165" s="39"/>
      <c r="R165" s="39"/>
      <c r="S165" s="51"/>
      <c r="T165" s="39"/>
      <c r="U165" s="39"/>
      <c r="V165" s="39"/>
      <c r="W165" s="39"/>
      <c r="X165" s="39"/>
    </row>
    <row r="166" spans="1:24">
      <c r="A166" s="39" t="str">
        <f>_xlfn.TEXTJOIN("",TRUE,Input!$B$2,ROW(My_Audit!A165))</f>
        <v>XX165</v>
      </c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 t="str">
        <f t="shared" si="2"/>
        <v/>
      </c>
      <c r="Q166" s="39"/>
      <c r="R166" s="39"/>
      <c r="S166" s="51"/>
      <c r="T166" s="39"/>
      <c r="U166" s="39"/>
      <c r="V166" s="39"/>
      <c r="W166" s="39"/>
      <c r="X166" s="39"/>
    </row>
    <row r="167" spans="1:24">
      <c r="A167" s="39" t="str">
        <f>_xlfn.TEXTJOIN("",TRUE,Input!$B$2,ROW(My_Audit!A166))</f>
        <v>XX166</v>
      </c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 t="str">
        <f t="shared" si="2"/>
        <v/>
      </c>
      <c r="Q167" s="39"/>
      <c r="R167" s="39"/>
      <c r="S167" s="51"/>
      <c r="T167" s="39"/>
      <c r="U167" s="39"/>
      <c r="V167" s="39"/>
      <c r="W167" s="39"/>
      <c r="X167" s="39"/>
    </row>
    <row r="168" spans="1:24">
      <c r="A168" s="39" t="str">
        <f>_xlfn.TEXTJOIN("",TRUE,Input!$B$2,ROW(My_Audit!A167))</f>
        <v>XX167</v>
      </c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 t="str">
        <f t="shared" si="2"/>
        <v/>
      </c>
      <c r="Q168" s="39"/>
      <c r="R168" s="39"/>
      <c r="S168" s="51"/>
      <c r="T168" s="39"/>
      <c r="U168" s="39"/>
      <c r="V168" s="39"/>
      <c r="W168" s="39"/>
      <c r="X168" s="39"/>
    </row>
    <row r="169" spans="1:24">
      <c r="A169" s="39" t="str">
        <f>_xlfn.TEXTJOIN("",TRUE,Input!$B$2,ROW(My_Audit!A168))</f>
        <v>XX168</v>
      </c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P169" s="39" t="str">
        <f t="shared" si="2"/>
        <v/>
      </c>
      <c r="Q169" s="39"/>
      <c r="R169" s="39"/>
      <c r="S169" s="51"/>
      <c r="T169" s="39"/>
      <c r="U169" s="39"/>
      <c r="V169" s="39"/>
      <c r="W169" s="39"/>
      <c r="X169" s="39"/>
    </row>
    <row r="170" spans="1:24">
      <c r="A170" s="39" t="str">
        <f>_xlfn.TEXTJOIN("",TRUE,Input!$B$2,ROW(My_Audit!A169))</f>
        <v>XX169</v>
      </c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 t="str">
        <f t="shared" si="2"/>
        <v/>
      </c>
      <c r="Q170" s="39"/>
      <c r="R170" s="39"/>
      <c r="S170" s="51"/>
      <c r="T170" s="39"/>
      <c r="U170" s="39"/>
      <c r="V170" s="39"/>
      <c r="W170" s="39"/>
      <c r="X170" s="39"/>
    </row>
    <row r="171" spans="1:24">
      <c r="A171" s="39" t="str">
        <f>_xlfn.TEXTJOIN("",TRUE,Input!$B$2,ROW(My_Audit!A170))</f>
        <v>XX170</v>
      </c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 t="str">
        <f t="shared" si="2"/>
        <v/>
      </c>
      <c r="Q171" s="39"/>
      <c r="R171" s="39"/>
      <c r="S171" s="51"/>
      <c r="T171" s="39"/>
      <c r="U171" s="39"/>
      <c r="V171" s="39"/>
      <c r="W171" s="39"/>
      <c r="X171" s="39"/>
    </row>
    <row r="172" spans="1:24">
      <c r="A172" s="39" t="str">
        <f>_xlfn.TEXTJOIN("",TRUE,Input!$B$2,ROW(My_Audit!A171))</f>
        <v>XX171</v>
      </c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 t="str">
        <f t="shared" si="2"/>
        <v/>
      </c>
      <c r="Q172" s="39"/>
      <c r="R172" s="39"/>
      <c r="S172" s="51"/>
      <c r="T172" s="39"/>
      <c r="U172" s="39"/>
      <c r="V172" s="39"/>
      <c r="W172" s="39"/>
      <c r="X172" s="39"/>
    </row>
    <row r="173" spans="1:24">
      <c r="A173" s="39" t="str">
        <f>_xlfn.TEXTJOIN("",TRUE,Input!$B$2,ROW(My_Audit!A172))</f>
        <v>XX172</v>
      </c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 t="str">
        <f t="shared" si="2"/>
        <v/>
      </c>
      <c r="Q173" s="39"/>
      <c r="R173" s="39"/>
      <c r="S173" s="51"/>
      <c r="T173" s="39"/>
      <c r="U173" s="39"/>
      <c r="V173" s="39"/>
      <c r="W173" s="39"/>
      <c r="X173" s="39"/>
    </row>
    <row r="174" spans="1:24">
      <c r="A174" s="39" t="str">
        <f>_xlfn.TEXTJOIN("",TRUE,Input!$B$2,ROW(My_Audit!A173))</f>
        <v>XX173</v>
      </c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 t="str">
        <f t="shared" si="2"/>
        <v/>
      </c>
      <c r="Q174" s="39"/>
      <c r="R174" s="39"/>
      <c r="S174" s="51"/>
      <c r="T174" s="39"/>
      <c r="U174" s="39"/>
      <c r="V174" s="39"/>
      <c r="W174" s="39"/>
      <c r="X174" s="39"/>
    </row>
    <row r="175" spans="1:24">
      <c r="A175" s="39" t="str">
        <f>_xlfn.TEXTJOIN("",TRUE,Input!$B$2,ROW(My_Audit!A174))</f>
        <v>XX174</v>
      </c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 t="str">
        <f t="shared" si="2"/>
        <v/>
      </c>
      <c r="Q175" s="39"/>
      <c r="R175" s="39"/>
      <c r="S175" s="51"/>
      <c r="T175" s="39"/>
      <c r="U175" s="39"/>
      <c r="V175" s="39"/>
      <c r="W175" s="39"/>
      <c r="X175" s="39"/>
    </row>
    <row r="176" spans="1:24">
      <c r="A176" s="39" t="str">
        <f>_xlfn.TEXTJOIN("",TRUE,Input!$B$2,ROW(My_Audit!A175))</f>
        <v>XX175</v>
      </c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 t="str">
        <f t="shared" si="2"/>
        <v/>
      </c>
      <c r="Q176" s="39"/>
      <c r="R176" s="39"/>
      <c r="S176" s="51"/>
      <c r="T176" s="39"/>
      <c r="U176" s="39"/>
      <c r="V176" s="39"/>
      <c r="W176" s="39"/>
      <c r="X176" s="39"/>
    </row>
    <row r="177" spans="1:24">
      <c r="A177" s="39" t="str">
        <f>_xlfn.TEXTJOIN("",TRUE,Input!$B$2,ROW(My_Audit!A176))</f>
        <v>XX176</v>
      </c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 t="str">
        <f t="shared" si="2"/>
        <v/>
      </c>
      <c r="Q177" s="39"/>
      <c r="R177" s="39"/>
      <c r="S177" s="51"/>
      <c r="T177" s="39"/>
      <c r="U177" s="39"/>
      <c r="V177" s="39"/>
      <c r="W177" s="39"/>
      <c r="X177" s="39"/>
    </row>
    <row r="178" spans="1:24">
      <c r="A178" s="39" t="str">
        <f>_xlfn.TEXTJOIN("",TRUE,Input!$B$2,ROW(My_Audit!A177))</f>
        <v>XX177</v>
      </c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 t="str">
        <f t="shared" si="2"/>
        <v/>
      </c>
      <c r="Q178" s="39"/>
      <c r="R178" s="39"/>
      <c r="S178" s="51"/>
      <c r="T178" s="39"/>
      <c r="U178" s="39"/>
      <c r="V178" s="39"/>
      <c r="W178" s="39"/>
      <c r="X178" s="39"/>
    </row>
    <row r="179" spans="1:24">
      <c r="A179" s="39" t="str">
        <f>_xlfn.TEXTJOIN("",TRUE,Input!$B$2,ROW(My_Audit!A178))</f>
        <v>XX178</v>
      </c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 t="str">
        <f t="shared" si="2"/>
        <v/>
      </c>
      <c r="Q179" s="39"/>
      <c r="R179" s="39"/>
      <c r="S179" s="51"/>
      <c r="T179" s="39"/>
      <c r="U179" s="39"/>
      <c r="V179" s="39"/>
      <c r="W179" s="39"/>
      <c r="X179" s="39"/>
    </row>
    <row r="180" spans="1:24">
      <c r="A180" s="39" t="str">
        <f>_xlfn.TEXTJOIN("",TRUE,Input!$B$2,ROW(My_Audit!A179))</f>
        <v>XX179</v>
      </c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 t="str">
        <f t="shared" si="2"/>
        <v/>
      </c>
      <c r="Q180" s="39"/>
      <c r="R180" s="39"/>
      <c r="S180" s="51"/>
      <c r="T180" s="39"/>
      <c r="U180" s="39"/>
      <c r="V180" s="39"/>
      <c r="W180" s="39"/>
      <c r="X180" s="39"/>
    </row>
    <row r="181" spans="1:24">
      <c r="A181" s="39" t="str">
        <f>_xlfn.TEXTJOIN("",TRUE,Input!$B$2,ROW(My_Audit!A180))</f>
        <v>XX180</v>
      </c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 t="str">
        <f t="shared" si="2"/>
        <v/>
      </c>
      <c r="Q181" s="39"/>
      <c r="R181" s="39"/>
      <c r="S181" s="51"/>
      <c r="T181" s="39"/>
      <c r="U181" s="39"/>
      <c r="V181" s="39"/>
      <c r="W181" s="39"/>
      <c r="X181" s="39"/>
    </row>
    <row r="182" spans="1:24">
      <c r="A182" s="39" t="str">
        <f>_xlfn.TEXTJOIN("",TRUE,Input!$B$2,ROW(My_Audit!A181))</f>
        <v>XX181</v>
      </c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 t="str">
        <f t="shared" si="2"/>
        <v/>
      </c>
      <c r="Q182" s="39"/>
      <c r="R182" s="39"/>
      <c r="S182" s="51"/>
      <c r="T182" s="39"/>
      <c r="U182" s="39"/>
      <c r="V182" s="39"/>
      <c r="W182" s="39"/>
      <c r="X182" s="39"/>
    </row>
    <row r="183" spans="1:24">
      <c r="A183" s="39" t="str">
        <f>_xlfn.TEXTJOIN("",TRUE,Input!$B$2,ROW(My_Audit!A182))</f>
        <v>XX182</v>
      </c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 t="str">
        <f t="shared" si="2"/>
        <v/>
      </c>
      <c r="Q183" s="39"/>
      <c r="R183" s="39"/>
      <c r="S183" s="51"/>
      <c r="T183" s="39"/>
      <c r="U183" s="39"/>
      <c r="V183" s="39"/>
      <c r="W183" s="39"/>
      <c r="X183" s="39"/>
    </row>
    <row r="184" spans="1:24">
      <c r="A184" s="39" t="str">
        <f>_xlfn.TEXTJOIN("",TRUE,Input!$B$2,ROW(My_Audit!A183))</f>
        <v>XX183</v>
      </c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 t="str">
        <f t="shared" si="2"/>
        <v/>
      </c>
      <c r="Q184" s="39"/>
      <c r="R184" s="39"/>
      <c r="S184" s="51"/>
      <c r="T184" s="39"/>
      <c r="U184" s="39"/>
      <c r="V184" s="39"/>
      <c r="W184" s="39"/>
      <c r="X184" s="39"/>
    </row>
    <row r="185" spans="1:24">
      <c r="A185" s="39" t="str">
        <f>_xlfn.TEXTJOIN("",TRUE,Input!$B$2,ROW(My_Audit!A184))</f>
        <v>XX184</v>
      </c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 t="str">
        <f t="shared" si="2"/>
        <v/>
      </c>
      <c r="Q185" s="39"/>
      <c r="R185" s="39"/>
      <c r="S185" s="51"/>
      <c r="T185" s="39"/>
      <c r="U185" s="39"/>
      <c r="V185" s="39"/>
      <c r="W185" s="39"/>
      <c r="X185" s="39"/>
    </row>
    <row r="186" spans="1:24">
      <c r="A186" s="39" t="str">
        <f>_xlfn.TEXTJOIN("",TRUE,Input!$B$2,ROW(My_Audit!A185))</f>
        <v>XX185</v>
      </c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 t="str">
        <f t="shared" si="2"/>
        <v/>
      </c>
      <c r="Q186" s="39"/>
      <c r="R186" s="39"/>
      <c r="S186" s="51"/>
      <c r="T186" s="39"/>
      <c r="U186" s="39"/>
      <c r="V186" s="39"/>
      <c r="W186" s="39"/>
      <c r="X186" s="39"/>
    </row>
    <row r="187" spans="1:24">
      <c r="A187" s="39" t="str">
        <f>_xlfn.TEXTJOIN("",TRUE,Input!$B$2,ROW(My_Audit!A186))</f>
        <v>XX186</v>
      </c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 t="str">
        <f t="shared" si="2"/>
        <v/>
      </c>
      <c r="Q187" s="39"/>
      <c r="R187" s="39"/>
      <c r="S187" s="51"/>
      <c r="T187" s="39"/>
      <c r="U187" s="39"/>
      <c r="V187" s="39"/>
      <c r="W187" s="39"/>
      <c r="X187" s="39"/>
    </row>
    <row r="188" spans="1:24">
      <c r="A188" s="39" t="str">
        <f>_xlfn.TEXTJOIN("",TRUE,Input!$B$2,ROW(My_Audit!A187))</f>
        <v>XX187</v>
      </c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 t="str">
        <f t="shared" si="2"/>
        <v/>
      </c>
      <c r="Q188" s="39"/>
      <c r="R188" s="39"/>
      <c r="S188" s="51"/>
      <c r="T188" s="39"/>
      <c r="U188" s="39"/>
      <c r="V188" s="39"/>
      <c r="W188" s="39"/>
      <c r="X188" s="39"/>
    </row>
    <row r="189" spans="1:24">
      <c r="A189" s="39" t="str">
        <f>_xlfn.TEXTJOIN("",TRUE,Input!$B$2,ROW(My_Audit!A188))</f>
        <v>XX188</v>
      </c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 t="str">
        <f t="shared" si="2"/>
        <v/>
      </c>
      <c r="Q189" s="39"/>
      <c r="R189" s="39"/>
      <c r="S189" s="51"/>
      <c r="T189" s="39"/>
      <c r="U189" s="39"/>
      <c r="V189" s="39"/>
      <c r="W189" s="39"/>
      <c r="X189" s="39"/>
    </row>
    <row r="190" spans="1:24">
      <c r="A190" s="39" t="str">
        <f>_xlfn.TEXTJOIN("",TRUE,Input!$B$2,ROW(My_Audit!A189))</f>
        <v>XX189</v>
      </c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51"/>
      <c r="T190" s="39"/>
      <c r="U190" s="39"/>
      <c r="V190" s="39"/>
      <c r="W190" s="39"/>
      <c r="X190" s="39"/>
    </row>
    <row r="191" spans="1:24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51"/>
      <c r="T191" s="39"/>
      <c r="U191" s="39"/>
      <c r="V191" s="39"/>
      <c r="W191" s="39"/>
      <c r="X191" s="39"/>
    </row>
    <row r="192" spans="1:24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51"/>
      <c r="T192" s="39"/>
      <c r="U192" s="39"/>
      <c r="V192" s="39"/>
      <c r="W192" s="39"/>
      <c r="X192" s="39"/>
    </row>
    <row r="193" spans="1:24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51"/>
      <c r="T193" s="39"/>
      <c r="U193" s="39"/>
      <c r="V193" s="39"/>
      <c r="W193" s="39"/>
      <c r="X193" s="39"/>
    </row>
    <row r="194" spans="1:24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51"/>
      <c r="T194" s="39"/>
      <c r="U194" s="39"/>
      <c r="V194" s="39"/>
      <c r="W194" s="39"/>
      <c r="X194" s="39"/>
    </row>
    <row r="195" spans="1:24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51"/>
      <c r="T195" s="39"/>
      <c r="U195" s="39"/>
      <c r="V195" s="39"/>
      <c r="W195" s="39"/>
      <c r="X195" s="39"/>
    </row>
    <row r="196" spans="1:24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51"/>
      <c r="T196" s="39"/>
      <c r="U196" s="39"/>
      <c r="V196" s="39"/>
      <c r="W196" s="39"/>
      <c r="X196" s="39"/>
    </row>
    <row r="197" spans="1:24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51"/>
      <c r="T197" s="39"/>
      <c r="U197" s="39"/>
      <c r="V197" s="39"/>
      <c r="W197" s="39"/>
      <c r="X197" s="39"/>
    </row>
    <row r="198" spans="1:24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51"/>
      <c r="T198" s="39"/>
      <c r="U198" s="39"/>
      <c r="V198" s="39"/>
      <c r="W198" s="39"/>
      <c r="X198" s="39"/>
    </row>
    <row r="199" spans="1:24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51"/>
      <c r="T199" s="39"/>
      <c r="U199" s="39"/>
      <c r="V199" s="39"/>
      <c r="W199" s="39"/>
      <c r="X199" s="39"/>
    </row>
    <row r="200" spans="1:24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51"/>
      <c r="T200" s="39"/>
      <c r="U200" s="39"/>
      <c r="V200" s="39"/>
      <c r="W200" s="39"/>
      <c r="X200" s="39"/>
    </row>
    <row r="201" spans="1:24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51"/>
      <c r="T201" s="39"/>
      <c r="U201" s="39"/>
      <c r="V201" s="39"/>
      <c r="W201" s="39"/>
      <c r="X201" s="39"/>
    </row>
    <row r="202" spans="1:24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51"/>
      <c r="T202" s="39"/>
      <c r="U202" s="39"/>
      <c r="V202" s="39"/>
      <c r="W202" s="39"/>
      <c r="X202" s="39"/>
    </row>
    <row r="203" spans="1:24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51"/>
      <c r="T203" s="39"/>
      <c r="U203" s="39"/>
      <c r="V203" s="39"/>
      <c r="W203" s="39"/>
      <c r="X203" s="39"/>
    </row>
    <row r="204" spans="1:24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51"/>
      <c r="T204" s="39"/>
      <c r="U204" s="39"/>
      <c r="V204" s="39"/>
      <c r="W204" s="39"/>
      <c r="X204" s="39"/>
    </row>
    <row r="205" spans="1:24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 t="str">
        <f t="shared" ref="P205:P258" si="3">_xlfn.TEXTJOIN(", ",TRUE,N205,O205)</f>
        <v/>
      </c>
      <c r="Q205" s="39"/>
      <c r="R205" s="39"/>
      <c r="S205" s="51"/>
      <c r="T205" s="39"/>
      <c r="U205" s="39"/>
      <c r="V205" s="39"/>
      <c r="W205" s="39"/>
      <c r="X205" s="39"/>
    </row>
    <row r="206" spans="1:24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 t="str">
        <f t="shared" si="3"/>
        <v/>
      </c>
      <c r="Q206" s="39"/>
      <c r="R206" s="39"/>
      <c r="S206" s="51"/>
      <c r="T206" s="39"/>
      <c r="U206" s="39"/>
      <c r="V206" s="39"/>
      <c r="W206" s="39"/>
      <c r="X206" s="39"/>
    </row>
    <row r="207" spans="1:24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 t="str">
        <f t="shared" si="3"/>
        <v/>
      </c>
      <c r="Q207" s="39"/>
      <c r="R207" s="39"/>
      <c r="S207" s="51"/>
      <c r="T207" s="39"/>
      <c r="U207" s="39"/>
      <c r="V207" s="39"/>
      <c r="W207" s="39"/>
      <c r="X207" s="39"/>
    </row>
    <row r="208" spans="1:24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 t="str">
        <f t="shared" si="3"/>
        <v/>
      </c>
      <c r="Q208" s="39"/>
      <c r="R208" s="39"/>
      <c r="S208" s="51"/>
      <c r="T208" s="39"/>
      <c r="U208" s="39"/>
      <c r="V208" s="39"/>
      <c r="W208" s="39"/>
      <c r="X208" s="39"/>
    </row>
    <row r="209" spans="1:24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 t="str">
        <f t="shared" si="3"/>
        <v/>
      </c>
      <c r="Q209" s="39"/>
      <c r="R209" s="39"/>
      <c r="S209" s="51"/>
      <c r="T209" s="39"/>
      <c r="U209" s="39"/>
      <c r="V209" s="39"/>
      <c r="W209" s="39"/>
      <c r="X209" s="39"/>
    </row>
    <row r="210" spans="1:24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 t="str">
        <f t="shared" si="3"/>
        <v/>
      </c>
      <c r="Q210" s="39"/>
      <c r="R210" s="39"/>
      <c r="S210" s="51"/>
      <c r="T210" s="39"/>
      <c r="U210" s="39"/>
      <c r="V210" s="39"/>
      <c r="W210" s="39"/>
      <c r="X210" s="39"/>
    </row>
    <row r="211" spans="1:24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 t="str">
        <f t="shared" si="3"/>
        <v/>
      </c>
      <c r="Q211" s="39"/>
      <c r="R211" s="39"/>
      <c r="S211" s="51"/>
      <c r="T211" s="39"/>
      <c r="U211" s="39"/>
      <c r="V211" s="39"/>
      <c r="W211" s="39"/>
      <c r="X211" s="39"/>
    </row>
    <row r="212" spans="1:24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 t="str">
        <f t="shared" si="3"/>
        <v/>
      </c>
      <c r="Q212" s="39"/>
      <c r="R212" s="39"/>
      <c r="S212" s="51"/>
      <c r="T212" s="39"/>
      <c r="U212" s="39"/>
      <c r="V212" s="39"/>
      <c r="W212" s="39"/>
      <c r="X212" s="39"/>
    </row>
    <row r="213" spans="1:24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 t="str">
        <f t="shared" si="3"/>
        <v/>
      </c>
      <c r="Q213" s="39"/>
      <c r="R213" s="39"/>
      <c r="S213" s="51"/>
      <c r="T213" s="39"/>
      <c r="U213" s="39"/>
      <c r="V213" s="39"/>
      <c r="W213" s="39"/>
      <c r="X213" s="39"/>
    </row>
    <row r="214" spans="1:24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 t="str">
        <f t="shared" si="3"/>
        <v/>
      </c>
      <c r="Q214" s="39"/>
      <c r="R214" s="39"/>
      <c r="S214" s="51"/>
      <c r="T214" s="39"/>
      <c r="U214" s="39"/>
      <c r="V214" s="39"/>
      <c r="W214" s="39"/>
      <c r="X214" s="39"/>
    </row>
    <row r="215" spans="1:24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 t="str">
        <f t="shared" si="3"/>
        <v/>
      </c>
      <c r="Q215" s="39"/>
      <c r="R215" s="39"/>
      <c r="S215" s="51"/>
      <c r="T215" s="39"/>
      <c r="U215" s="39"/>
      <c r="V215" s="39"/>
      <c r="W215" s="39"/>
      <c r="X215" s="39"/>
    </row>
    <row r="216" spans="1:24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 t="str">
        <f t="shared" si="3"/>
        <v/>
      </c>
      <c r="Q216" s="39"/>
      <c r="R216" s="39"/>
      <c r="S216" s="51"/>
      <c r="T216" s="39"/>
      <c r="U216" s="39"/>
      <c r="V216" s="39"/>
      <c r="W216" s="39"/>
      <c r="X216" s="39"/>
    </row>
    <row r="217" spans="1:24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 t="str">
        <f t="shared" si="3"/>
        <v/>
      </c>
      <c r="Q217" s="39"/>
      <c r="R217" s="39"/>
      <c r="S217" s="51"/>
      <c r="T217" s="39"/>
      <c r="U217" s="39"/>
      <c r="V217" s="39"/>
      <c r="W217" s="39"/>
      <c r="X217" s="39"/>
    </row>
    <row r="218" spans="1:24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 t="str">
        <f t="shared" si="3"/>
        <v/>
      </c>
      <c r="Q218" s="39"/>
      <c r="R218" s="39"/>
      <c r="S218" s="51"/>
      <c r="T218" s="39"/>
      <c r="U218" s="39"/>
      <c r="V218" s="39"/>
      <c r="W218" s="39"/>
      <c r="X218" s="39"/>
    </row>
    <row r="219" spans="1:24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 t="str">
        <f t="shared" si="3"/>
        <v/>
      </c>
      <c r="Q219" s="39"/>
      <c r="R219" s="39"/>
      <c r="S219" s="51"/>
      <c r="T219" s="39"/>
      <c r="U219" s="39"/>
      <c r="V219" s="39"/>
      <c r="W219" s="39"/>
      <c r="X219" s="39"/>
    </row>
    <row r="220" spans="1:24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 t="str">
        <f t="shared" si="3"/>
        <v/>
      </c>
      <c r="Q220" s="39"/>
      <c r="R220" s="39"/>
      <c r="S220" s="51"/>
      <c r="T220" s="39"/>
      <c r="U220" s="39"/>
      <c r="V220" s="39"/>
      <c r="W220" s="39"/>
      <c r="X220" s="39"/>
    </row>
    <row r="221" spans="1:24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 t="str">
        <f t="shared" si="3"/>
        <v/>
      </c>
      <c r="Q221" s="39"/>
      <c r="R221" s="39"/>
      <c r="S221" s="51"/>
      <c r="T221" s="39"/>
      <c r="U221" s="39"/>
      <c r="V221" s="39"/>
      <c r="W221" s="39"/>
      <c r="X221" s="39"/>
    </row>
    <row r="222" spans="1:24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 t="str">
        <f t="shared" si="3"/>
        <v/>
      </c>
      <c r="Q222" s="39"/>
      <c r="R222" s="39"/>
      <c r="S222" s="51"/>
      <c r="T222" s="39"/>
      <c r="U222" s="39"/>
      <c r="V222" s="39"/>
      <c r="W222" s="39"/>
      <c r="X222" s="39"/>
    </row>
    <row r="223" spans="1:24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 t="str">
        <f t="shared" si="3"/>
        <v/>
      </c>
      <c r="Q223" s="39"/>
      <c r="R223" s="39"/>
      <c r="S223" s="51"/>
      <c r="T223" s="39"/>
      <c r="U223" s="39"/>
      <c r="V223" s="39"/>
      <c r="W223" s="39"/>
      <c r="X223" s="39"/>
    </row>
    <row r="224" spans="1:24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 t="str">
        <f t="shared" si="3"/>
        <v/>
      </c>
      <c r="Q224" s="39"/>
      <c r="R224" s="39"/>
      <c r="S224" s="51"/>
      <c r="T224" s="39"/>
      <c r="U224" s="39"/>
      <c r="V224" s="39"/>
      <c r="W224" s="39"/>
      <c r="X224" s="39"/>
    </row>
    <row r="225" spans="1:24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 t="str">
        <f t="shared" si="3"/>
        <v/>
      </c>
      <c r="Q225" s="39"/>
      <c r="R225" s="39"/>
      <c r="S225" s="51"/>
      <c r="T225" s="39"/>
      <c r="U225" s="39"/>
      <c r="V225" s="39"/>
      <c r="W225" s="39"/>
      <c r="X225" s="39"/>
    </row>
    <row r="226" spans="1:24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 t="str">
        <f t="shared" si="3"/>
        <v/>
      </c>
      <c r="Q226" s="39"/>
      <c r="R226" s="39"/>
      <c r="S226" s="51"/>
      <c r="T226" s="39"/>
      <c r="U226" s="39"/>
      <c r="V226" s="39"/>
      <c r="W226" s="39"/>
      <c r="X226" s="39"/>
    </row>
    <row r="227" spans="1:24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 t="str">
        <f t="shared" si="3"/>
        <v/>
      </c>
      <c r="Q227" s="39"/>
      <c r="R227" s="39"/>
      <c r="S227" s="51"/>
      <c r="T227" s="39"/>
      <c r="U227" s="39"/>
      <c r="V227" s="39"/>
      <c r="W227" s="39"/>
      <c r="X227" s="39"/>
    </row>
    <row r="228" spans="1:24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 t="str">
        <f t="shared" si="3"/>
        <v/>
      </c>
      <c r="Q228" s="39"/>
      <c r="R228" s="39"/>
      <c r="S228" s="51"/>
      <c r="T228" s="39"/>
      <c r="U228" s="39"/>
      <c r="V228" s="39"/>
      <c r="W228" s="39"/>
      <c r="X228" s="39"/>
    </row>
    <row r="229" spans="1:24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 t="str">
        <f t="shared" si="3"/>
        <v/>
      </c>
      <c r="Q229" s="39"/>
      <c r="R229" s="39"/>
      <c r="S229" s="51"/>
      <c r="T229" s="39"/>
      <c r="U229" s="39"/>
      <c r="V229" s="39"/>
      <c r="W229" s="39"/>
      <c r="X229" s="39"/>
    </row>
    <row r="230" spans="1:24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 t="str">
        <f t="shared" si="3"/>
        <v/>
      </c>
      <c r="Q230" s="39"/>
      <c r="R230" s="39"/>
      <c r="S230" s="51"/>
      <c r="T230" s="39"/>
      <c r="U230" s="39"/>
      <c r="V230" s="39"/>
      <c r="W230" s="39"/>
      <c r="X230" s="39"/>
    </row>
    <row r="231" spans="1:24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 t="str">
        <f t="shared" si="3"/>
        <v/>
      </c>
      <c r="Q231" s="39"/>
      <c r="R231" s="39"/>
      <c r="S231" s="51"/>
      <c r="T231" s="39"/>
      <c r="U231" s="39"/>
      <c r="V231" s="39"/>
      <c r="W231" s="39"/>
      <c r="X231" s="39"/>
    </row>
    <row r="232" spans="1:24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 t="str">
        <f t="shared" si="3"/>
        <v/>
      </c>
      <c r="Q232" s="39"/>
      <c r="R232" s="39"/>
      <c r="S232" s="51"/>
      <c r="T232" s="39"/>
      <c r="U232" s="39"/>
      <c r="V232" s="39"/>
      <c r="W232" s="39"/>
      <c r="X232" s="39"/>
    </row>
    <row r="233" spans="1:24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 t="str">
        <f t="shared" si="3"/>
        <v/>
      </c>
      <c r="Q233" s="39"/>
      <c r="R233" s="39"/>
      <c r="S233" s="51"/>
      <c r="T233" s="39"/>
      <c r="U233" s="39"/>
      <c r="V233" s="39"/>
      <c r="W233" s="39"/>
      <c r="X233" s="39"/>
    </row>
    <row r="234" spans="1:24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 t="str">
        <f t="shared" si="3"/>
        <v/>
      </c>
      <c r="Q234" s="39"/>
      <c r="R234" s="39"/>
      <c r="S234" s="51"/>
      <c r="T234" s="39"/>
      <c r="U234" s="39"/>
      <c r="V234" s="39"/>
      <c r="W234" s="39"/>
      <c r="X234" s="39"/>
    </row>
    <row r="235" spans="1:24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 t="str">
        <f t="shared" si="3"/>
        <v/>
      </c>
      <c r="Q235" s="39"/>
      <c r="R235" s="39"/>
      <c r="S235" s="51"/>
      <c r="T235" s="39"/>
      <c r="U235" s="39"/>
      <c r="V235" s="39"/>
      <c r="W235" s="39"/>
      <c r="X235" s="39"/>
    </row>
    <row r="236" spans="1:24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 t="str">
        <f t="shared" si="3"/>
        <v/>
      </c>
      <c r="Q236" s="39"/>
      <c r="R236" s="39"/>
      <c r="S236" s="51"/>
      <c r="T236" s="39"/>
      <c r="U236" s="39"/>
      <c r="V236" s="39"/>
      <c r="W236" s="39"/>
      <c r="X236" s="39"/>
    </row>
    <row r="237" spans="1:24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 t="str">
        <f t="shared" si="3"/>
        <v/>
      </c>
      <c r="Q237" s="39"/>
      <c r="R237" s="39"/>
      <c r="S237" s="51"/>
      <c r="T237" s="39"/>
      <c r="U237" s="39"/>
      <c r="V237" s="39"/>
      <c r="W237" s="39"/>
      <c r="X237" s="39"/>
    </row>
    <row r="238" spans="1:24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 t="str">
        <f t="shared" si="3"/>
        <v/>
      </c>
      <c r="Q238" s="39"/>
      <c r="R238" s="39"/>
      <c r="S238" s="51"/>
      <c r="T238" s="39"/>
      <c r="U238" s="39"/>
      <c r="V238" s="39"/>
      <c r="W238" s="39"/>
      <c r="X238" s="39"/>
    </row>
    <row r="239" spans="1:24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 t="str">
        <f t="shared" si="3"/>
        <v/>
      </c>
      <c r="Q239" s="39"/>
      <c r="R239" s="39"/>
      <c r="S239" s="51"/>
      <c r="T239" s="39"/>
      <c r="U239" s="39"/>
      <c r="V239" s="39"/>
      <c r="W239" s="39"/>
      <c r="X239" s="39"/>
    </row>
    <row r="240" spans="1:24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 t="str">
        <f t="shared" si="3"/>
        <v/>
      </c>
      <c r="Q240" s="39"/>
      <c r="R240" s="39"/>
      <c r="S240" s="51"/>
      <c r="T240" s="39"/>
      <c r="U240" s="39"/>
      <c r="V240" s="39"/>
      <c r="W240" s="39"/>
      <c r="X240" s="39"/>
    </row>
    <row r="241" spans="1:24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 t="str">
        <f t="shared" si="3"/>
        <v/>
      </c>
      <c r="Q241" s="39"/>
      <c r="R241" s="39"/>
      <c r="S241" s="51"/>
      <c r="T241" s="39"/>
      <c r="U241" s="39"/>
      <c r="V241" s="39"/>
      <c r="W241" s="39"/>
      <c r="X241" s="39"/>
    </row>
    <row r="242" spans="1:24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 t="str">
        <f t="shared" si="3"/>
        <v/>
      </c>
      <c r="Q242" s="39"/>
      <c r="R242" s="39"/>
      <c r="S242" s="51"/>
      <c r="T242" s="39"/>
      <c r="U242" s="39"/>
      <c r="V242" s="39"/>
      <c r="W242" s="39"/>
      <c r="X242" s="39"/>
    </row>
    <row r="243" spans="1:24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 t="str">
        <f t="shared" si="3"/>
        <v/>
      </c>
      <c r="Q243" s="39"/>
      <c r="R243" s="39"/>
      <c r="S243" s="51"/>
      <c r="T243" s="39"/>
      <c r="U243" s="39"/>
      <c r="V243" s="39"/>
      <c r="W243" s="39"/>
      <c r="X243" s="39"/>
    </row>
    <row r="244" spans="1:24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 t="str">
        <f t="shared" si="3"/>
        <v/>
      </c>
      <c r="Q244" s="39"/>
      <c r="R244" s="39"/>
      <c r="S244" s="51"/>
      <c r="T244" s="39"/>
      <c r="U244" s="39"/>
      <c r="V244" s="39"/>
      <c r="W244" s="39"/>
      <c r="X244" s="39"/>
    </row>
    <row r="245" spans="1:24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 t="str">
        <f t="shared" si="3"/>
        <v/>
      </c>
      <c r="Q245" s="39"/>
      <c r="R245" s="39"/>
      <c r="S245" s="51"/>
      <c r="T245" s="39"/>
      <c r="U245" s="39"/>
      <c r="V245" s="39"/>
      <c r="W245" s="39"/>
      <c r="X245" s="39"/>
    </row>
    <row r="246" spans="1:24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 t="str">
        <f t="shared" si="3"/>
        <v/>
      </c>
      <c r="Q246" s="39"/>
      <c r="R246" s="39"/>
      <c r="S246" s="51"/>
      <c r="T246" s="39"/>
      <c r="U246" s="39"/>
      <c r="V246" s="39"/>
      <c r="W246" s="39"/>
      <c r="X246" s="39"/>
    </row>
    <row r="247" spans="1:24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 t="str">
        <f t="shared" si="3"/>
        <v/>
      </c>
      <c r="Q247" s="39"/>
      <c r="R247" s="39"/>
      <c r="S247" s="51"/>
      <c r="T247" s="39"/>
      <c r="U247" s="39"/>
      <c r="V247" s="39"/>
      <c r="W247" s="39"/>
      <c r="X247" s="39"/>
    </row>
    <row r="248" spans="1:24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 t="str">
        <f t="shared" si="3"/>
        <v/>
      </c>
      <c r="Q248" s="39"/>
      <c r="R248" s="39"/>
      <c r="S248" s="51"/>
      <c r="T248" s="39"/>
      <c r="U248" s="39"/>
      <c r="V248" s="39"/>
      <c r="W248" s="39"/>
      <c r="X248" s="39"/>
    </row>
    <row r="249" spans="1:24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 t="str">
        <f t="shared" si="3"/>
        <v/>
      </c>
      <c r="Q249" s="39"/>
      <c r="R249" s="39"/>
      <c r="S249" s="51"/>
      <c r="T249" s="39"/>
      <c r="U249" s="39"/>
      <c r="V249" s="39"/>
      <c r="W249" s="39"/>
      <c r="X249" s="39"/>
    </row>
    <row r="250" spans="1:24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 t="str">
        <f t="shared" si="3"/>
        <v/>
      </c>
      <c r="Q250" s="39"/>
      <c r="R250" s="39"/>
      <c r="S250" s="51"/>
      <c r="T250" s="39"/>
      <c r="U250" s="39"/>
      <c r="V250" s="39"/>
      <c r="W250" s="39"/>
      <c r="X250" s="39"/>
    </row>
    <row r="251" spans="1:24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 t="str">
        <f t="shared" si="3"/>
        <v/>
      </c>
      <c r="Q251" s="39"/>
      <c r="R251" s="39"/>
      <c r="S251" s="51"/>
      <c r="T251" s="39"/>
      <c r="U251" s="39"/>
      <c r="V251" s="39"/>
      <c r="W251" s="39"/>
      <c r="X251" s="39"/>
    </row>
    <row r="252" spans="1:24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 t="str">
        <f t="shared" si="3"/>
        <v/>
      </c>
      <c r="Q252" s="39"/>
      <c r="R252" s="39"/>
      <c r="S252" s="51"/>
      <c r="T252" s="39"/>
      <c r="U252" s="39"/>
      <c r="V252" s="39"/>
      <c r="W252" s="39"/>
      <c r="X252" s="39"/>
    </row>
    <row r="253" spans="1:24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 t="str">
        <f t="shared" si="3"/>
        <v/>
      </c>
      <c r="Q253" s="39"/>
      <c r="R253" s="39"/>
      <c r="S253" s="51"/>
      <c r="T253" s="39"/>
      <c r="U253" s="39"/>
      <c r="V253" s="39"/>
      <c r="W253" s="39"/>
      <c r="X253" s="39"/>
    </row>
    <row r="254" spans="1:24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 t="str">
        <f t="shared" si="3"/>
        <v/>
      </c>
      <c r="Q254" s="39"/>
      <c r="R254" s="39"/>
      <c r="S254" s="51"/>
      <c r="T254" s="39"/>
      <c r="U254" s="39"/>
      <c r="V254" s="39"/>
      <c r="W254" s="39"/>
      <c r="X254" s="39"/>
    </row>
    <row r="255" spans="1:24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 t="str">
        <f t="shared" si="3"/>
        <v/>
      </c>
      <c r="Q255" s="39"/>
      <c r="R255" s="39"/>
      <c r="S255" s="51"/>
      <c r="T255" s="39"/>
      <c r="U255" s="39"/>
      <c r="V255" s="39"/>
      <c r="W255" s="39"/>
      <c r="X255" s="39"/>
    </row>
    <row r="256" spans="1:24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 t="str">
        <f t="shared" si="3"/>
        <v/>
      </c>
      <c r="Q256" s="39"/>
      <c r="R256" s="39"/>
      <c r="S256" s="51"/>
      <c r="T256" s="39"/>
      <c r="U256" s="39"/>
      <c r="V256" s="39"/>
      <c r="W256" s="39"/>
      <c r="X256" s="39"/>
    </row>
    <row r="257" spans="1:24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 t="str">
        <f t="shared" si="3"/>
        <v/>
      </c>
      <c r="Q257" s="39"/>
      <c r="R257" s="39"/>
      <c r="S257" s="51"/>
      <c r="T257" s="39"/>
      <c r="U257" s="39"/>
      <c r="V257" s="39"/>
      <c r="W257" s="39"/>
      <c r="X257" s="39"/>
    </row>
    <row r="258" spans="1:24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 t="str">
        <f t="shared" si="3"/>
        <v/>
      </c>
      <c r="Q258" s="39"/>
      <c r="R258" s="39"/>
      <c r="S258" s="51"/>
      <c r="T258" s="39"/>
      <c r="U258" s="39"/>
      <c r="V258" s="39"/>
      <c r="W258" s="39"/>
      <c r="X258" s="39"/>
    </row>
    <row r="259" spans="1:24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 t="str">
        <f t="shared" ref="P259:P322" si="4">_xlfn.TEXTJOIN(", ",TRUE,N259,O259)</f>
        <v/>
      </c>
      <c r="Q259" s="39"/>
      <c r="R259" s="39"/>
      <c r="S259" s="51"/>
      <c r="T259" s="39"/>
      <c r="U259" s="39"/>
      <c r="V259" s="39"/>
      <c r="W259" s="39"/>
      <c r="X259" s="39"/>
    </row>
    <row r="260" spans="1:24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 t="str">
        <f t="shared" si="4"/>
        <v/>
      </c>
      <c r="Q260" s="39"/>
      <c r="R260" s="39"/>
      <c r="S260" s="51"/>
      <c r="T260" s="39"/>
      <c r="U260" s="39"/>
      <c r="V260" s="39"/>
      <c r="W260" s="39"/>
      <c r="X260" s="39"/>
    </row>
    <row r="261" spans="1:24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 t="str">
        <f t="shared" si="4"/>
        <v/>
      </c>
      <c r="Q261" s="39"/>
      <c r="R261" s="39"/>
      <c r="S261" s="51"/>
      <c r="T261" s="39"/>
      <c r="U261" s="39"/>
      <c r="V261" s="39"/>
      <c r="W261" s="39"/>
      <c r="X261" s="39"/>
    </row>
    <row r="262" spans="1:24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 t="str">
        <f t="shared" si="4"/>
        <v/>
      </c>
      <c r="Q262" s="39"/>
      <c r="R262" s="39"/>
      <c r="S262" s="51"/>
      <c r="T262" s="39"/>
      <c r="U262" s="39"/>
      <c r="V262" s="39"/>
      <c r="W262" s="39"/>
      <c r="X262" s="39"/>
    </row>
    <row r="263" spans="1:24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 t="str">
        <f t="shared" si="4"/>
        <v/>
      </c>
      <c r="Q263" s="39"/>
      <c r="R263" s="39"/>
      <c r="S263" s="51"/>
      <c r="T263" s="39"/>
      <c r="U263" s="39"/>
      <c r="V263" s="39"/>
      <c r="W263" s="39"/>
      <c r="X263" s="39"/>
    </row>
    <row r="264" spans="1:24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 t="str">
        <f t="shared" si="4"/>
        <v/>
      </c>
      <c r="Q264" s="39"/>
      <c r="R264" s="39"/>
      <c r="S264" s="51"/>
      <c r="T264" s="39"/>
      <c r="U264" s="39"/>
      <c r="V264" s="39"/>
      <c r="W264" s="39"/>
      <c r="X264" s="39"/>
    </row>
    <row r="265" spans="1:24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 t="str">
        <f t="shared" si="4"/>
        <v/>
      </c>
      <c r="Q265" s="39"/>
      <c r="R265" s="39"/>
      <c r="S265" s="51"/>
      <c r="T265" s="39"/>
      <c r="U265" s="39"/>
      <c r="V265" s="39"/>
      <c r="W265" s="39"/>
      <c r="X265" s="39"/>
    </row>
    <row r="266" spans="1:24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 t="str">
        <f t="shared" si="4"/>
        <v/>
      </c>
      <c r="Q266" s="39"/>
      <c r="R266" s="39"/>
      <c r="S266" s="51"/>
      <c r="T266" s="39"/>
      <c r="U266" s="39"/>
      <c r="V266" s="39"/>
      <c r="W266" s="39"/>
      <c r="X266" s="39"/>
    </row>
    <row r="267" spans="1:24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 t="str">
        <f t="shared" si="4"/>
        <v/>
      </c>
      <c r="Q267" s="39"/>
      <c r="R267" s="39"/>
      <c r="S267" s="51"/>
      <c r="T267" s="39"/>
      <c r="U267" s="39"/>
      <c r="V267" s="39"/>
      <c r="W267" s="39"/>
      <c r="X267" s="39"/>
    </row>
    <row r="268" spans="1:24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 t="str">
        <f t="shared" si="4"/>
        <v/>
      </c>
      <c r="Q268" s="39"/>
      <c r="R268" s="39"/>
      <c r="S268" s="51"/>
      <c r="T268" s="39"/>
      <c r="U268" s="39"/>
      <c r="V268" s="39"/>
      <c r="W268" s="39"/>
      <c r="X268" s="39"/>
    </row>
    <row r="269" spans="1:24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 t="str">
        <f t="shared" si="4"/>
        <v/>
      </c>
      <c r="Q269" s="39"/>
      <c r="R269" s="39"/>
      <c r="S269" s="51"/>
      <c r="T269" s="39"/>
      <c r="U269" s="39"/>
      <c r="V269" s="39"/>
      <c r="W269" s="39"/>
      <c r="X269" s="39"/>
    </row>
    <row r="270" spans="1:24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 t="str">
        <f t="shared" si="4"/>
        <v/>
      </c>
      <c r="Q270" s="39"/>
      <c r="R270" s="39"/>
      <c r="S270" s="51"/>
      <c r="T270" s="39"/>
      <c r="U270" s="39"/>
      <c r="V270" s="39"/>
      <c r="W270" s="39"/>
      <c r="X270" s="39"/>
    </row>
    <row r="271" spans="1:24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 t="str">
        <f t="shared" si="4"/>
        <v/>
      </c>
      <c r="Q271" s="39"/>
      <c r="R271" s="39"/>
      <c r="S271" s="51"/>
      <c r="T271" s="39"/>
      <c r="U271" s="39"/>
      <c r="V271" s="39"/>
      <c r="W271" s="39"/>
      <c r="X271" s="39"/>
    </row>
    <row r="272" spans="1:24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 t="str">
        <f t="shared" si="4"/>
        <v/>
      </c>
      <c r="Q272" s="39"/>
      <c r="R272" s="39"/>
      <c r="S272" s="51"/>
      <c r="T272" s="39"/>
      <c r="U272" s="39"/>
      <c r="V272" s="39"/>
      <c r="W272" s="39"/>
      <c r="X272" s="39"/>
    </row>
    <row r="273" spans="1:24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 t="str">
        <f t="shared" si="4"/>
        <v/>
      </c>
      <c r="Q273" s="39"/>
      <c r="R273" s="39"/>
      <c r="S273" s="51"/>
      <c r="T273" s="39"/>
      <c r="U273" s="39"/>
      <c r="V273" s="39"/>
      <c r="W273" s="39"/>
      <c r="X273" s="39"/>
    </row>
    <row r="274" spans="1:24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 t="str">
        <f t="shared" si="4"/>
        <v/>
      </c>
      <c r="Q274" s="39"/>
      <c r="R274" s="39"/>
      <c r="S274" s="51"/>
      <c r="T274" s="39"/>
      <c r="U274" s="39"/>
      <c r="V274" s="39"/>
      <c r="W274" s="39"/>
      <c r="X274" s="39"/>
    </row>
    <row r="275" spans="1:24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 t="str">
        <f t="shared" si="4"/>
        <v/>
      </c>
      <c r="Q275" s="39"/>
      <c r="R275" s="39"/>
      <c r="S275" s="51"/>
      <c r="T275" s="39"/>
      <c r="U275" s="39"/>
      <c r="V275" s="39"/>
      <c r="W275" s="39"/>
      <c r="X275" s="39"/>
    </row>
    <row r="276" spans="1:24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 t="str">
        <f t="shared" si="4"/>
        <v/>
      </c>
      <c r="Q276" s="39"/>
      <c r="R276" s="39"/>
      <c r="S276" s="51"/>
      <c r="T276" s="39"/>
      <c r="U276" s="39"/>
      <c r="V276" s="39"/>
      <c r="W276" s="39"/>
      <c r="X276" s="39"/>
    </row>
    <row r="277" spans="1:24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 t="str">
        <f t="shared" si="4"/>
        <v/>
      </c>
      <c r="Q277" s="39"/>
      <c r="R277" s="39"/>
      <c r="S277" s="51"/>
      <c r="T277" s="39"/>
      <c r="U277" s="39"/>
      <c r="V277" s="39"/>
      <c r="W277" s="39"/>
      <c r="X277" s="39"/>
    </row>
    <row r="278" spans="1:24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 t="str">
        <f t="shared" si="4"/>
        <v/>
      </c>
      <c r="Q278" s="39"/>
      <c r="R278" s="39"/>
      <c r="S278" s="51"/>
      <c r="T278" s="39"/>
      <c r="U278" s="39"/>
      <c r="V278" s="39"/>
      <c r="W278" s="39"/>
      <c r="X278" s="39"/>
    </row>
    <row r="279" spans="1:24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 t="str">
        <f t="shared" si="4"/>
        <v/>
      </c>
      <c r="Q279" s="39"/>
      <c r="R279" s="39"/>
      <c r="S279" s="51"/>
      <c r="T279" s="39"/>
      <c r="U279" s="39"/>
      <c r="V279" s="39"/>
      <c r="W279" s="39"/>
      <c r="X279" s="39"/>
    </row>
    <row r="280" spans="1:24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 t="str">
        <f t="shared" si="4"/>
        <v/>
      </c>
      <c r="Q280" s="39"/>
      <c r="R280" s="39"/>
      <c r="S280" s="51"/>
      <c r="T280" s="39"/>
      <c r="U280" s="39"/>
      <c r="V280" s="39"/>
      <c r="W280" s="39"/>
      <c r="X280" s="39"/>
    </row>
    <row r="281" spans="1:24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 t="str">
        <f t="shared" si="4"/>
        <v/>
      </c>
      <c r="Q281" s="39"/>
      <c r="R281" s="39"/>
      <c r="S281" s="51"/>
      <c r="T281" s="39"/>
      <c r="U281" s="39"/>
      <c r="V281" s="39"/>
      <c r="W281" s="39"/>
      <c r="X281" s="39"/>
    </row>
    <row r="282" spans="1:24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 t="str">
        <f t="shared" si="4"/>
        <v/>
      </c>
      <c r="Q282" s="39"/>
      <c r="R282" s="39"/>
      <c r="S282" s="51"/>
      <c r="T282" s="39"/>
      <c r="U282" s="39"/>
      <c r="V282" s="39"/>
      <c r="W282" s="39"/>
      <c r="X282" s="39"/>
    </row>
    <row r="283" spans="1:24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 t="str">
        <f t="shared" si="4"/>
        <v/>
      </c>
      <c r="Q283" s="39"/>
      <c r="R283" s="39"/>
      <c r="S283" s="51"/>
      <c r="T283" s="39"/>
      <c r="U283" s="39"/>
      <c r="V283" s="39"/>
      <c r="W283" s="39"/>
      <c r="X283" s="39"/>
    </row>
    <row r="284" spans="1:24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 t="str">
        <f t="shared" si="4"/>
        <v/>
      </c>
      <c r="Q284" s="39"/>
      <c r="R284" s="39"/>
      <c r="S284" s="51"/>
      <c r="T284" s="39"/>
      <c r="U284" s="39"/>
      <c r="V284" s="39"/>
      <c r="W284" s="39"/>
      <c r="X284" s="39"/>
    </row>
    <row r="285" spans="1:24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 t="str">
        <f t="shared" si="4"/>
        <v/>
      </c>
      <c r="Q285" s="39"/>
      <c r="R285" s="39"/>
      <c r="S285" s="51"/>
      <c r="T285" s="39"/>
      <c r="U285" s="39"/>
      <c r="V285" s="39"/>
      <c r="W285" s="39"/>
      <c r="X285" s="39"/>
    </row>
    <row r="286" spans="1:24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 t="str">
        <f t="shared" si="4"/>
        <v/>
      </c>
      <c r="Q286" s="39"/>
      <c r="R286" s="39"/>
      <c r="S286" s="51"/>
      <c r="T286" s="39"/>
      <c r="U286" s="39"/>
      <c r="V286" s="39"/>
      <c r="W286" s="39"/>
      <c r="X286" s="39"/>
    </row>
    <row r="287" spans="1:24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 t="str">
        <f t="shared" si="4"/>
        <v/>
      </c>
      <c r="Q287" s="39"/>
      <c r="R287" s="39"/>
      <c r="S287" s="51"/>
      <c r="T287" s="39"/>
      <c r="U287" s="39"/>
      <c r="V287" s="39"/>
      <c r="W287" s="39"/>
      <c r="X287" s="39"/>
    </row>
    <row r="288" spans="1:24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 t="str">
        <f t="shared" si="4"/>
        <v/>
      </c>
      <c r="Q288" s="39"/>
      <c r="R288" s="39"/>
      <c r="S288" s="51"/>
      <c r="T288" s="39"/>
      <c r="U288" s="39"/>
      <c r="V288" s="39"/>
      <c r="W288" s="39"/>
      <c r="X288" s="39"/>
    </row>
    <row r="289" spans="1:24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 t="str">
        <f t="shared" si="4"/>
        <v/>
      </c>
      <c r="Q289" s="39"/>
      <c r="R289" s="39"/>
      <c r="S289" s="51"/>
      <c r="T289" s="39"/>
      <c r="U289" s="39"/>
      <c r="V289" s="39"/>
      <c r="W289" s="39"/>
      <c r="X289" s="39"/>
    </row>
    <row r="290" spans="1:24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 t="str">
        <f t="shared" si="4"/>
        <v/>
      </c>
      <c r="Q290" s="39"/>
      <c r="R290" s="39"/>
      <c r="S290" s="51"/>
      <c r="T290" s="39"/>
      <c r="U290" s="39"/>
      <c r="V290" s="39"/>
      <c r="W290" s="39"/>
      <c r="X290" s="39"/>
    </row>
    <row r="291" spans="1:24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 t="str">
        <f t="shared" si="4"/>
        <v/>
      </c>
      <c r="Q291" s="39"/>
      <c r="R291" s="39"/>
      <c r="S291" s="51"/>
      <c r="T291" s="39"/>
      <c r="U291" s="39"/>
      <c r="V291" s="39"/>
      <c r="W291" s="39"/>
      <c r="X291" s="39"/>
    </row>
    <row r="292" spans="1:24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 t="str">
        <f t="shared" si="4"/>
        <v/>
      </c>
      <c r="Q292" s="39"/>
      <c r="R292" s="39"/>
      <c r="S292" s="51"/>
      <c r="T292" s="39"/>
      <c r="U292" s="39"/>
      <c r="V292" s="39"/>
      <c r="W292" s="39"/>
      <c r="X292" s="39"/>
    </row>
    <row r="293" spans="1:24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 t="str">
        <f t="shared" si="4"/>
        <v/>
      </c>
      <c r="Q293" s="39"/>
      <c r="R293" s="39"/>
      <c r="S293" s="51"/>
      <c r="T293" s="39"/>
      <c r="U293" s="39"/>
      <c r="V293" s="39"/>
      <c r="W293" s="39"/>
      <c r="X293" s="39"/>
    </row>
    <row r="294" spans="1:24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 t="str">
        <f t="shared" si="4"/>
        <v/>
      </c>
      <c r="Q294" s="39"/>
      <c r="R294" s="39"/>
      <c r="S294" s="51"/>
      <c r="T294" s="39"/>
      <c r="U294" s="39"/>
      <c r="V294" s="39"/>
      <c r="W294" s="39"/>
      <c r="X294" s="39"/>
    </row>
    <row r="295" spans="1:24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 t="str">
        <f t="shared" si="4"/>
        <v/>
      </c>
      <c r="Q295" s="39"/>
      <c r="R295" s="39"/>
      <c r="S295" s="51"/>
      <c r="T295" s="39"/>
      <c r="U295" s="39"/>
      <c r="V295" s="39"/>
      <c r="W295" s="39"/>
      <c r="X295" s="39"/>
    </row>
    <row r="296" spans="1:24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 t="str">
        <f t="shared" si="4"/>
        <v/>
      </c>
      <c r="Q296" s="39"/>
      <c r="R296" s="39"/>
      <c r="S296" s="51"/>
      <c r="T296" s="39"/>
      <c r="U296" s="39"/>
      <c r="V296" s="39"/>
      <c r="W296" s="39"/>
      <c r="X296" s="39"/>
    </row>
    <row r="297" spans="1:24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 t="str">
        <f t="shared" si="4"/>
        <v/>
      </c>
      <c r="Q297" s="39"/>
      <c r="R297" s="39"/>
      <c r="S297" s="51"/>
      <c r="T297" s="39"/>
      <c r="U297" s="39"/>
      <c r="V297" s="39"/>
      <c r="W297" s="39"/>
      <c r="X297" s="39"/>
    </row>
    <row r="298" spans="1:24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 t="str">
        <f t="shared" si="4"/>
        <v/>
      </c>
      <c r="Q298" s="39"/>
      <c r="R298" s="39"/>
      <c r="S298" s="51"/>
      <c r="T298" s="39"/>
      <c r="U298" s="39"/>
      <c r="V298" s="39"/>
      <c r="W298" s="39"/>
      <c r="X298" s="39"/>
    </row>
    <row r="299" spans="1:24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 t="str">
        <f t="shared" si="4"/>
        <v/>
      </c>
      <c r="Q299" s="39"/>
      <c r="R299" s="39"/>
      <c r="S299" s="51"/>
      <c r="T299" s="39"/>
      <c r="U299" s="39"/>
      <c r="V299" s="39"/>
      <c r="W299" s="39"/>
      <c r="X299" s="39"/>
    </row>
    <row r="300" spans="1:24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 t="str">
        <f t="shared" si="4"/>
        <v/>
      </c>
      <c r="Q300" s="39"/>
      <c r="R300" s="39"/>
      <c r="S300" s="51"/>
      <c r="T300" s="39"/>
      <c r="U300" s="39"/>
      <c r="V300" s="39"/>
      <c r="W300" s="39"/>
      <c r="X300" s="39"/>
    </row>
    <row r="301" spans="1:24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 t="str">
        <f t="shared" si="4"/>
        <v/>
      </c>
      <c r="Q301" s="39"/>
      <c r="R301" s="39"/>
      <c r="S301" s="51"/>
      <c r="T301" s="39"/>
      <c r="U301" s="39"/>
      <c r="V301" s="39"/>
      <c r="W301" s="39"/>
      <c r="X301" s="39"/>
    </row>
    <row r="302" spans="1:24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 t="str">
        <f t="shared" si="4"/>
        <v/>
      </c>
      <c r="Q302" s="39"/>
      <c r="R302" s="39"/>
      <c r="S302" s="51"/>
      <c r="T302" s="39"/>
      <c r="U302" s="39"/>
      <c r="V302" s="39"/>
      <c r="W302" s="39"/>
      <c r="X302" s="39"/>
    </row>
    <row r="303" spans="1:24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 t="str">
        <f t="shared" si="4"/>
        <v/>
      </c>
      <c r="Q303" s="39"/>
      <c r="R303" s="39"/>
      <c r="S303" s="51"/>
      <c r="T303" s="39"/>
      <c r="U303" s="39"/>
      <c r="V303" s="39"/>
      <c r="W303" s="39"/>
      <c r="X303" s="39"/>
    </row>
    <row r="304" spans="1:24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 t="str">
        <f t="shared" si="4"/>
        <v/>
      </c>
      <c r="Q304" s="39"/>
      <c r="R304" s="39"/>
      <c r="S304" s="51"/>
      <c r="T304" s="39"/>
      <c r="U304" s="39"/>
      <c r="V304" s="39"/>
      <c r="W304" s="39"/>
      <c r="X304" s="39"/>
    </row>
    <row r="305" spans="1:24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 t="str">
        <f t="shared" si="4"/>
        <v/>
      </c>
      <c r="Q305" s="39"/>
      <c r="R305" s="39"/>
      <c r="S305" s="51"/>
      <c r="T305" s="39"/>
      <c r="U305" s="39"/>
      <c r="V305" s="39"/>
      <c r="W305" s="39"/>
      <c r="X305" s="39"/>
    </row>
    <row r="306" spans="1:24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 t="str">
        <f t="shared" si="4"/>
        <v/>
      </c>
      <c r="Q306" s="39"/>
      <c r="R306" s="39"/>
      <c r="S306" s="51"/>
      <c r="T306" s="39"/>
      <c r="U306" s="39"/>
      <c r="V306" s="39"/>
      <c r="W306" s="39"/>
      <c r="X306" s="39"/>
    </row>
    <row r="307" spans="1:24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 t="str">
        <f t="shared" si="4"/>
        <v/>
      </c>
      <c r="Q307" s="39"/>
      <c r="R307" s="39"/>
      <c r="S307" s="51"/>
      <c r="T307" s="39"/>
      <c r="U307" s="39"/>
      <c r="V307" s="39"/>
      <c r="W307" s="39"/>
      <c r="X307" s="39"/>
    </row>
    <row r="308" spans="1:24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 t="str">
        <f t="shared" si="4"/>
        <v/>
      </c>
      <c r="Q308" s="39"/>
      <c r="R308" s="39"/>
      <c r="S308" s="51"/>
      <c r="T308" s="39"/>
      <c r="U308" s="39"/>
      <c r="V308" s="39"/>
      <c r="W308" s="39"/>
      <c r="X308" s="39"/>
    </row>
    <row r="309" spans="1:24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 t="str">
        <f t="shared" si="4"/>
        <v/>
      </c>
      <c r="Q309" s="39"/>
      <c r="R309" s="39"/>
      <c r="S309" s="51"/>
      <c r="T309" s="39"/>
      <c r="U309" s="39"/>
      <c r="V309" s="39"/>
      <c r="W309" s="39"/>
      <c r="X309" s="39"/>
    </row>
    <row r="310" spans="1:24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 t="str">
        <f t="shared" si="4"/>
        <v/>
      </c>
      <c r="Q310" s="39"/>
      <c r="R310" s="39"/>
      <c r="S310" s="51"/>
      <c r="T310" s="39"/>
      <c r="U310" s="39"/>
      <c r="V310" s="39"/>
      <c r="W310" s="39"/>
      <c r="X310" s="39"/>
    </row>
    <row r="311" spans="1:24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 t="str">
        <f t="shared" si="4"/>
        <v/>
      </c>
      <c r="Q311" s="39"/>
      <c r="R311" s="39"/>
      <c r="S311" s="51"/>
      <c r="T311" s="39"/>
      <c r="U311" s="39"/>
      <c r="V311" s="39"/>
      <c r="W311" s="39"/>
      <c r="X311" s="39"/>
    </row>
    <row r="312" spans="1:24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 t="str">
        <f t="shared" si="4"/>
        <v/>
      </c>
      <c r="Q312" s="39"/>
      <c r="R312" s="39"/>
      <c r="S312" s="51"/>
      <c r="T312" s="39"/>
      <c r="U312" s="39"/>
      <c r="V312" s="39"/>
      <c r="W312" s="39"/>
      <c r="X312" s="39"/>
    </row>
    <row r="313" spans="1:24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 t="str">
        <f t="shared" si="4"/>
        <v/>
      </c>
      <c r="Q313" s="39"/>
      <c r="R313" s="39"/>
      <c r="S313" s="51"/>
      <c r="T313" s="39"/>
      <c r="U313" s="39"/>
      <c r="V313" s="39"/>
      <c r="W313" s="39"/>
      <c r="X313" s="39"/>
    </row>
    <row r="314" spans="1:24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 t="str">
        <f t="shared" si="4"/>
        <v/>
      </c>
      <c r="Q314" s="39"/>
      <c r="R314" s="39"/>
      <c r="S314" s="51"/>
      <c r="T314" s="39"/>
      <c r="U314" s="39"/>
      <c r="V314" s="39"/>
      <c r="W314" s="39"/>
      <c r="X314" s="39"/>
    </row>
    <row r="315" spans="1:24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 t="str">
        <f t="shared" si="4"/>
        <v/>
      </c>
      <c r="Q315" s="39"/>
      <c r="R315" s="39"/>
      <c r="S315" s="51"/>
      <c r="T315" s="39"/>
      <c r="U315" s="39"/>
      <c r="V315" s="39"/>
      <c r="W315" s="39"/>
      <c r="X315" s="39"/>
    </row>
    <row r="316" spans="1:24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 t="str">
        <f t="shared" si="4"/>
        <v/>
      </c>
      <c r="Q316" s="39"/>
      <c r="R316" s="39"/>
      <c r="S316" s="51"/>
      <c r="T316" s="39"/>
      <c r="U316" s="39"/>
      <c r="V316" s="39"/>
      <c r="W316" s="39"/>
      <c r="X316" s="39"/>
    </row>
    <row r="317" spans="1:24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 t="str">
        <f t="shared" si="4"/>
        <v/>
      </c>
      <c r="Q317" s="39"/>
      <c r="R317" s="39"/>
      <c r="S317" s="51"/>
      <c r="T317" s="39"/>
      <c r="U317" s="39"/>
      <c r="V317" s="39"/>
      <c r="W317" s="39"/>
      <c r="X317" s="39"/>
    </row>
    <row r="318" spans="1:24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 t="str">
        <f t="shared" si="4"/>
        <v/>
      </c>
      <c r="Q318" s="39"/>
      <c r="R318" s="39"/>
      <c r="S318" s="51"/>
      <c r="T318" s="39"/>
      <c r="U318" s="39"/>
      <c r="V318" s="39"/>
      <c r="W318" s="39"/>
      <c r="X318" s="39"/>
    </row>
    <row r="319" spans="1:24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 t="str">
        <f t="shared" si="4"/>
        <v/>
      </c>
      <c r="Q319" s="39"/>
      <c r="R319" s="39"/>
      <c r="S319" s="51"/>
      <c r="T319" s="39"/>
      <c r="U319" s="39"/>
      <c r="V319" s="39"/>
      <c r="W319" s="39"/>
      <c r="X319" s="39"/>
    </row>
    <row r="320" spans="1:24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 t="str">
        <f t="shared" si="4"/>
        <v/>
      </c>
      <c r="Q320" s="39"/>
      <c r="R320" s="39"/>
      <c r="S320" s="51"/>
      <c r="T320" s="39"/>
      <c r="U320" s="39"/>
      <c r="V320" s="39"/>
      <c r="W320" s="39"/>
      <c r="X320" s="39"/>
    </row>
    <row r="321" spans="1:24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 t="str">
        <f t="shared" si="4"/>
        <v/>
      </c>
      <c r="Q321" s="39"/>
      <c r="R321" s="39"/>
      <c r="S321" s="51"/>
      <c r="T321" s="39"/>
      <c r="U321" s="39"/>
      <c r="V321" s="39"/>
      <c r="W321" s="39"/>
      <c r="X321" s="39"/>
    </row>
    <row r="322" spans="1:24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 t="str">
        <f t="shared" si="4"/>
        <v/>
      </c>
      <c r="Q322" s="39"/>
      <c r="R322" s="39"/>
      <c r="S322" s="51"/>
      <c r="T322" s="39"/>
      <c r="U322" s="39"/>
      <c r="V322" s="39"/>
      <c r="W322" s="39"/>
      <c r="X322" s="39"/>
    </row>
    <row r="323" spans="1:24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 t="str">
        <f t="shared" ref="P323:P386" si="5">_xlfn.TEXTJOIN(", ",TRUE,N323,O323)</f>
        <v/>
      </c>
      <c r="Q323" s="39"/>
      <c r="R323" s="39"/>
      <c r="S323" s="51"/>
      <c r="T323" s="39"/>
      <c r="U323" s="39"/>
      <c r="V323" s="39"/>
      <c r="W323" s="39"/>
      <c r="X323" s="39"/>
    </row>
    <row r="324" spans="1:24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 t="str">
        <f t="shared" si="5"/>
        <v/>
      </c>
      <c r="Q324" s="39"/>
      <c r="R324" s="39"/>
      <c r="S324" s="51"/>
      <c r="T324" s="39"/>
      <c r="U324" s="39"/>
      <c r="V324" s="39"/>
      <c r="W324" s="39"/>
      <c r="X324" s="39"/>
    </row>
    <row r="325" spans="1:24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 t="str">
        <f t="shared" si="5"/>
        <v/>
      </c>
      <c r="Q325" s="39"/>
      <c r="R325" s="39"/>
      <c r="S325" s="51"/>
      <c r="T325" s="39"/>
      <c r="U325" s="39"/>
      <c r="V325" s="39"/>
      <c r="W325" s="39"/>
      <c r="X325" s="39"/>
    </row>
    <row r="326" spans="1:24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 t="str">
        <f t="shared" si="5"/>
        <v/>
      </c>
      <c r="Q326" s="39"/>
      <c r="R326" s="39"/>
      <c r="S326" s="51"/>
      <c r="T326" s="39"/>
      <c r="U326" s="39"/>
      <c r="V326" s="39"/>
      <c r="W326" s="39"/>
      <c r="X326" s="39"/>
    </row>
    <row r="327" spans="1:24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 t="str">
        <f t="shared" si="5"/>
        <v/>
      </c>
      <c r="Q327" s="39"/>
      <c r="R327" s="39"/>
      <c r="S327" s="51"/>
      <c r="T327" s="39"/>
      <c r="U327" s="39"/>
      <c r="V327" s="39"/>
      <c r="W327" s="39"/>
      <c r="X327" s="39"/>
    </row>
    <row r="328" spans="1:24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 t="str">
        <f t="shared" si="5"/>
        <v/>
      </c>
      <c r="Q328" s="39"/>
      <c r="R328" s="39"/>
      <c r="S328" s="51"/>
      <c r="T328" s="39"/>
      <c r="U328" s="39"/>
      <c r="V328" s="39"/>
      <c r="W328" s="39"/>
      <c r="X328" s="39"/>
    </row>
    <row r="329" spans="1:24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 t="str">
        <f t="shared" si="5"/>
        <v/>
      </c>
      <c r="Q329" s="39"/>
      <c r="R329" s="39"/>
      <c r="S329" s="51"/>
      <c r="T329" s="39"/>
      <c r="U329" s="39"/>
      <c r="V329" s="39"/>
      <c r="W329" s="39"/>
      <c r="X329" s="39"/>
    </row>
    <row r="330" spans="1:24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 t="str">
        <f t="shared" si="5"/>
        <v/>
      </c>
      <c r="Q330" s="39"/>
      <c r="R330" s="39"/>
      <c r="S330" s="51"/>
      <c r="T330" s="39"/>
      <c r="U330" s="39"/>
      <c r="V330" s="39"/>
      <c r="W330" s="39"/>
      <c r="X330" s="39"/>
    </row>
    <row r="331" spans="1:24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 t="str">
        <f t="shared" si="5"/>
        <v/>
      </c>
      <c r="Q331" s="39"/>
      <c r="R331" s="39"/>
      <c r="S331" s="51"/>
      <c r="T331" s="39"/>
      <c r="U331" s="39"/>
      <c r="V331" s="39"/>
      <c r="W331" s="39"/>
      <c r="X331" s="39"/>
    </row>
    <row r="332" spans="1:24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 t="str">
        <f t="shared" si="5"/>
        <v/>
      </c>
      <c r="Q332" s="39"/>
      <c r="R332" s="39"/>
      <c r="S332" s="51"/>
      <c r="T332" s="39"/>
      <c r="U332" s="39"/>
      <c r="V332" s="39"/>
      <c r="W332" s="39"/>
      <c r="X332" s="39"/>
    </row>
    <row r="333" spans="1:24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 t="str">
        <f t="shared" si="5"/>
        <v/>
      </c>
      <c r="Q333" s="39"/>
      <c r="R333" s="39"/>
      <c r="S333" s="51"/>
      <c r="T333" s="39"/>
      <c r="U333" s="39"/>
      <c r="V333" s="39"/>
      <c r="W333" s="39"/>
      <c r="X333" s="39"/>
    </row>
    <row r="334" spans="1:24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 t="str">
        <f t="shared" si="5"/>
        <v/>
      </c>
      <c r="Q334" s="39"/>
      <c r="R334" s="39"/>
      <c r="S334" s="51"/>
      <c r="T334" s="39"/>
      <c r="U334" s="39"/>
      <c r="V334" s="39"/>
      <c r="W334" s="39"/>
      <c r="X334" s="39"/>
    </row>
    <row r="335" spans="1:24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 t="str">
        <f t="shared" si="5"/>
        <v/>
      </c>
      <c r="Q335" s="39"/>
      <c r="R335" s="39"/>
      <c r="S335" s="51"/>
      <c r="T335" s="39"/>
      <c r="U335" s="39"/>
      <c r="V335" s="39"/>
      <c r="W335" s="39"/>
      <c r="X335" s="39"/>
    </row>
    <row r="336" spans="1:24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 t="str">
        <f t="shared" si="5"/>
        <v/>
      </c>
      <c r="Q336" s="39"/>
      <c r="R336" s="39"/>
      <c r="S336" s="51"/>
      <c r="T336" s="39"/>
      <c r="U336" s="39"/>
      <c r="V336" s="39"/>
      <c r="W336" s="39"/>
      <c r="X336" s="39"/>
    </row>
    <row r="337" spans="1:24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 t="str">
        <f t="shared" si="5"/>
        <v/>
      </c>
      <c r="Q337" s="39"/>
      <c r="R337" s="39"/>
      <c r="S337" s="51"/>
      <c r="T337" s="39"/>
      <c r="U337" s="39"/>
      <c r="V337" s="39"/>
      <c r="W337" s="39"/>
      <c r="X337" s="39"/>
    </row>
    <row r="338" spans="1:24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 t="str">
        <f t="shared" si="5"/>
        <v/>
      </c>
      <c r="Q338" s="39"/>
      <c r="R338" s="39"/>
      <c r="S338" s="51"/>
      <c r="T338" s="39"/>
      <c r="U338" s="39"/>
      <c r="V338" s="39"/>
      <c r="W338" s="39"/>
      <c r="X338" s="39"/>
    </row>
    <row r="339" spans="1:24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 t="str">
        <f t="shared" si="5"/>
        <v/>
      </c>
      <c r="Q339" s="39"/>
      <c r="R339" s="39"/>
      <c r="S339" s="51"/>
      <c r="T339" s="39"/>
      <c r="U339" s="39"/>
      <c r="V339" s="39"/>
      <c r="W339" s="39"/>
      <c r="X339" s="39"/>
    </row>
    <row r="340" spans="1:24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 t="str">
        <f t="shared" si="5"/>
        <v/>
      </c>
      <c r="Q340" s="39"/>
      <c r="R340" s="39"/>
      <c r="S340" s="51"/>
      <c r="T340" s="39"/>
      <c r="U340" s="39"/>
      <c r="V340" s="39"/>
      <c r="W340" s="39"/>
      <c r="X340" s="39"/>
    </row>
    <row r="341" spans="1:24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 t="str">
        <f t="shared" si="5"/>
        <v/>
      </c>
      <c r="Q341" s="39"/>
      <c r="R341" s="39"/>
      <c r="S341" s="51"/>
      <c r="T341" s="39"/>
      <c r="U341" s="39"/>
      <c r="V341" s="39"/>
      <c r="W341" s="39"/>
      <c r="X341" s="39"/>
    </row>
    <row r="342" spans="1:24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 t="str">
        <f t="shared" si="5"/>
        <v/>
      </c>
      <c r="Q342" s="39"/>
      <c r="R342" s="39"/>
      <c r="S342" s="51"/>
      <c r="T342" s="39"/>
      <c r="U342" s="39"/>
      <c r="V342" s="39"/>
      <c r="W342" s="39"/>
      <c r="X342" s="39"/>
    </row>
    <row r="343" spans="1:24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 t="str">
        <f t="shared" si="5"/>
        <v/>
      </c>
      <c r="Q343" s="39"/>
      <c r="R343" s="39"/>
      <c r="S343" s="51"/>
      <c r="T343" s="39"/>
      <c r="U343" s="39"/>
      <c r="V343" s="39"/>
      <c r="W343" s="39"/>
      <c r="X343" s="39"/>
    </row>
    <row r="344" spans="1:24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 t="str">
        <f t="shared" si="5"/>
        <v/>
      </c>
      <c r="Q344" s="39"/>
      <c r="R344" s="39"/>
      <c r="S344" s="51"/>
      <c r="T344" s="39"/>
      <c r="U344" s="39"/>
      <c r="V344" s="39"/>
      <c r="W344" s="39"/>
      <c r="X344" s="39"/>
    </row>
    <row r="345" spans="1:24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 t="str">
        <f t="shared" si="5"/>
        <v/>
      </c>
      <c r="Q345" s="39"/>
      <c r="R345" s="39"/>
      <c r="S345" s="51"/>
      <c r="T345" s="39"/>
      <c r="U345" s="39"/>
      <c r="V345" s="39"/>
      <c r="W345" s="39"/>
      <c r="X345" s="39"/>
    </row>
    <row r="346" spans="1:24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 t="str">
        <f t="shared" si="5"/>
        <v/>
      </c>
      <c r="Q346" s="39"/>
      <c r="R346" s="39"/>
      <c r="S346" s="51"/>
      <c r="T346" s="39"/>
      <c r="U346" s="39"/>
      <c r="V346" s="39"/>
      <c r="W346" s="39"/>
      <c r="X346" s="39"/>
    </row>
    <row r="347" spans="1:24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 t="str">
        <f t="shared" si="5"/>
        <v/>
      </c>
      <c r="Q347" s="39"/>
      <c r="R347" s="39"/>
      <c r="S347" s="51"/>
      <c r="T347" s="39"/>
      <c r="U347" s="39"/>
      <c r="V347" s="39"/>
      <c r="W347" s="39"/>
      <c r="X347" s="39"/>
    </row>
    <row r="348" spans="1:24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 t="str">
        <f t="shared" si="5"/>
        <v/>
      </c>
      <c r="Q348" s="39"/>
      <c r="R348" s="39"/>
      <c r="S348" s="51"/>
      <c r="T348" s="39"/>
      <c r="U348" s="39"/>
      <c r="V348" s="39"/>
      <c r="W348" s="39"/>
      <c r="X348" s="39"/>
    </row>
    <row r="349" spans="1:24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 t="str">
        <f t="shared" si="5"/>
        <v/>
      </c>
      <c r="Q349" s="39"/>
      <c r="R349" s="39"/>
      <c r="S349" s="51"/>
      <c r="T349" s="39"/>
      <c r="U349" s="39"/>
      <c r="V349" s="39"/>
      <c r="W349" s="39"/>
      <c r="X349" s="39"/>
    </row>
    <row r="350" spans="1:24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 t="str">
        <f t="shared" si="5"/>
        <v/>
      </c>
      <c r="Q350" s="39"/>
      <c r="R350" s="39"/>
      <c r="S350" s="51"/>
      <c r="T350" s="39"/>
      <c r="U350" s="39"/>
      <c r="V350" s="39"/>
      <c r="W350" s="39"/>
      <c r="X350" s="39"/>
    </row>
    <row r="351" spans="1:24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 t="str">
        <f t="shared" si="5"/>
        <v/>
      </c>
      <c r="Q351" s="39"/>
      <c r="R351" s="39"/>
      <c r="S351" s="51"/>
      <c r="T351" s="39"/>
      <c r="U351" s="39"/>
      <c r="V351" s="39"/>
      <c r="W351" s="39"/>
      <c r="X351" s="39"/>
    </row>
    <row r="352" spans="1:24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 t="str">
        <f t="shared" si="5"/>
        <v/>
      </c>
      <c r="Q352" s="39"/>
      <c r="R352" s="39"/>
      <c r="S352" s="51"/>
      <c r="T352" s="39"/>
      <c r="U352" s="39"/>
      <c r="V352" s="39"/>
      <c r="W352" s="39"/>
      <c r="X352" s="39"/>
    </row>
    <row r="353" spans="1:24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 t="str">
        <f t="shared" si="5"/>
        <v/>
      </c>
      <c r="Q353" s="39"/>
      <c r="R353" s="39"/>
      <c r="S353" s="51"/>
      <c r="T353" s="39"/>
      <c r="U353" s="39"/>
      <c r="V353" s="39"/>
      <c r="W353" s="39"/>
      <c r="X353" s="39"/>
    </row>
    <row r="354" spans="1:24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 t="str">
        <f t="shared" si="5"/>
        <v/>
      </c>
      <c r="Q354" s="39"/>
      <c r="R354" s="39"/>
      <c r="S354" s="51"/>
      <c r="T354" s="39"/>
      <c r="U354" s="39"/>
      <c r="V354" s="39"/>
      <c r="W354" s="39"/>
      <c r="X354" s="39"/>
    </row>
    <row r="355" spans="1:24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 t="str">
        <f t="shared" si="5"/>
        <v/>
      </c>
      <c r="Q355" s="39"/>
      <c r="R355" s="39"/>
      <c r="S355" s="51"/>
      <c r="T355" s="39"/>
      <c r="U355" s="39"/>
      <c r="V355" s="39"/>
      <c r="W355" s="39"/>
      <c r="X355" s="39"/>
    </row>
    <row r="356" spans="1:24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 t="str">
        <f t="shared" si="5"/>
        <v/>
      </c>
      <c r="Q356" s="39"/>
      <c r="R356" s="39"/>
      <c r="S356" s="51"/>
      <c r="T356" s="39"/>
      <c r="U356" s="39"/>
      <c r="V356" s="39"/>
      <c r="W356" s="39"/>
      <c r="X356" s="39"/>
    </row>
    <row r="357" spans="1:24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 t="str">
        <f t="shared" si="5"/>
        <v/>
      </c>
      <c r="Q357" s="39"/>
      <c r="R357" s="39"/>
      <c r="S357" s="51"/>
      <c r="T357" s="39"/>
      <c r="U357" s="39"/>
      <c r="V357" s="39"/>
      <c r="W357" s="39"/>
      <c r="X357" s="39"/>
    </row>
    <row r="358" spans="1:24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 t="str">
        <f t="shared" si="5"/>
        <v/>
      </c>
      <c r="Q358" s="39"/>
      <c r="R358" s="39"/>
      <c r="S358" s="51"/>
      <c r="T358" s="39"/>
      <c r="U358" s="39"/>
      <c r="V358" s="39"/>
      <c r="W358" s="39"/>
      <c r="X358" s="39"/>
    </row>
    <row r="359" spans="1:24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 t="str">
        <f t="shared" si="5"/>
        <v/>
      </c>
      <c r="Q359" s="39"/>
      <c r="R359" s="39"/>
      <c r="S359" s="51"/>
      <c r="T359" s="39"/>
      <c r="U359" s="39"/>
      <c r="V359" s="39"/>
      <c r="W359" s="39"/>
      <c r="X359" s="39"/>
    </row>
    <row r="360" spans="1:24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 t="str">
        <f t="shared" si="5"/>
        <v/>
      </c>
      <c r="Q360" s="39"/>
      <c r="R360" s="39"/>
      <c r="S360" s="51"/>
      <c r="T360" s="39"/>
      <c r="U360" s="39"/>
      <c r="V360" s="39"/>
      <c r="W360" s="39"/>
      <c r="X360" s="39"/>
    </row>
    <row r="361" spans="1:24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 t="str">
        <f t="shared" si="5"/>
        <v/>
      </c>
      <c r="Q361" s="39"/>
      <c r="R361" s="39"/>
      <c r="S361" s="51"/>
      <c r="T361" s="39"/>
      <c r="U361" s="39"/>
      <c r="V361" s="39"/>
      <c r="W361" s="39"/>
      <c r="X361" s="39"/>
    </row>
    <row r="362" spans="1:24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 t="str">
        <f t="shared" si="5"/>
        <v/>
      </c>
      <c r="Q362" s="39"/>
      <c r="R362" s="39"/>
      <c r="S362" s="51"/>
      <c r="T362" s="39"/>
      <c r="U362" s="39"/>
      <c r="V362" s="39"/>
      <c r="W362" s="39"/>
      <c r="X362" s="39"/>
    </row>
    <row r="363" spans="1:24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 t="str">
        <f t="shared" si="5"/>
        <v/>
      </c>
      <c r="Q363" s="39"/>
      <c r="R363" s="39"/>
      <c r="S363" s="51"/>
      <c r="T363" s="39"/>
      <c r="U363" s="39"/>
      <c r="V363" s="39"/>
      <c r="W363" s="39"/>
      <c r="X363" s="39"/>
    </row>
    <row r="364" spans="1:24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 t="str">
        <f t="shared" si="5"/>
        <v/>
      </c>
      <c r="Q364" s="39"/>
      <c r="R364" s="39"/>
      <c r="S364" s="51"/>
      <c r="T364" s="39"/>
      <c r="U364" s="39"/>
      <c r="V364" s="39"/>
      <c r="W364" s="39"/>
      <c r="X364" s="39"/>
    </row>
    <row r="365" spans="1:24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 t="str">
        <f t="shared" si="5"/>
        <v/>
      </c>
      <c r="Q365" s="39"/>
      <c r="R365" s="39"/>
      <c r="S365" s="51"/>
      <c r="T365" s="39"/>
      <c r="U365" s="39"/>
      <c r="V365" s="39"/>
      <c r="W365" s="39"/>
      <c r="X365" s="39"/>
    </row>
    <row r="366" spans="1:24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 t="str">
        <f t="shared" si="5"/>
        <v/>
      </c>
      <c r="Q366" s="39"/>
      <c r="R366" s="39"/>
      <c r="S366" s="51"/>
      <c r="T366" s="39"/>
      <c r="U366" s="39"/>
      <c r="V366" s="39"/>
      <c r="W366" s="39"/>
      <c r="X366" s="39"/>
    </row>
    <row r="367" spans="1:24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 t="str">
        <f t="shared" si="5"/>
        <v/>
      </c>
      <c r="Q367" s="39"/>
      <c r="R367" s="39"/>
      <c r="S367" s="51"/>
      <c r="T367" s="39"/>
      <c r="U367" s="39"/>
      <c r="V367" s="39"/>
      <c r="W367" s="39"/>
      <c r="X367" s="39"/>
    </row>
    <row r="368" spans="1:24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 t="str">
        <f t="shared" si="5"/>
        <v/>
      </c>
      <c r="Q368" s="39"/>
      <c r="R368" s="39"/>
      <c r="S368" s="51"/>
      <c r="T368" s="39"/>
      <c r="U368" s="39"/>
      <c r="V368" s="39"/>
      <c r="W368" s="39"/>
      <c r="X368" s="39"/>
    </row>
    <row r="369" spans="1:24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 t="str">
        <f t="shared" si="5"/>
        <v/>
      </c>
      <c r="Q369" s="39"/>
      <c r="R369" s="39"/>
      <c r="S369" s="51"/>
      <c r="T369" s="39"/>
      <c r="U369" s="39"/>
      <c r="V369" s="39"/>
      <c r="W369" s="39"/>
      <c r="X369" s="39"/>
    </row>
    <row r="370" spans="1:24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 t="str">
        <f t="shared" si="5"/>
        <v/>
      </c>
      <c r="Q370" s="39"/>
      <c r="R370" s="39"/>
      <c r="S370" s="51"/>
      <c r="T370" s="39"/>
      <c r="U370" s="39"/>
      <c r="V370" s="39"/>
      <c r="W370" s="39"/>
      <c r="X370" s="39"/>
    </row>
    <row r="371" spans="1:24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 t="str">
        <f t="shared" si="5"/>
        <v/>
      </c>
      <c r="Q371" s="39"/>
      <c r="R371" s="39"/>
      <c r="S371" s="51"/>
      <c r="T371" s="39"/>
      <c r="U371" s="39"/>
      <c r="V371" s="39"/>
      <c r="W371" s="39"/>
      <c r="X371" s="39"/>
    </row>
    <row r="372" spans="1:24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 t="str">
        <f t="shared" si="5"/>
        <v/>
      </c>
      <c r="Q372" s="39"/>
      <c r="R372" s="39"/>
      <c r="S372" s="51"/>
      <c r="T372" s="39"/>
      <c r="U372" s="39"/>
      <c r="V372" s="39"/>
      <c r="W372" s="39"/>
      <c r="X372" s="39"/>
    </row>
    <row r="373" spans="1:24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 t="str">
        <f t="shared" si="5"/>
        <v/>
      </c>
      <c r="Q373" s="39"/>
      <c r="R373" s="39"/>
      <c r="S373" s="51"/>
      <c r="T373" s="39"/>
      <c r="U373" s="39"/>
      <c r="V373" s="39"/>
      <c r="W373" s="39"/>
      <c r="X373" s="39"/>
    </row>
    <row r="374" spans="1:24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 t="str">
        <f t="shared" si="5"/>
        <v/>
      </c>
      <c r="Q374" s="39"/>
      <c r="R374" s="39"/>
      <c r="S374" s="51"/>
      <c r="T374" s="39"/>
      <c r="U374" s="39"/>
      <c r="V374" s="39"/>
      <c r="W374" s="39"/>
      <c r="X374" s="39"/>
    </row>
    <row r="375" spans="1:24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 t="str">
        <f t="shared" si="5"/>
        <v/>
      </c>
      <c r="Q375" s="39"/>
      <c r="R375" s="39"/>
      <c r="S375" s="51"/>
      <c r="T375" s="39"/>
      <c r="U375" s="39"/>
      <c r="V375" s="39"/>
      <c r="W375" s="39"/>
      <c r="X375" s="39"/>
    </row>
    <row r="376" spans="1:24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 t="str">
        <f t="shared" si="5"/>
        <v/>
      </c>
      <c r="Q376" s="39"/>
      <c r="R376" s="39"/>
      <c r="S376" s="51"/>
      <c r="T376" s="39"/>
      <c r="U376" s="39"/>
      <c r="V376" s="39"/>
      <c r="W376" s="39"/>
      <c r="X376" s="39"/>
    </row>
    <row r="377" spans="1:24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 t="str">
        <f t="shared" si="5"/>
        <v/>
      </c>
      <c r="Q377" s="39"/>
      <c r="R377" s="39"/>
      <c r="S377" s="51"/>
      <c r="T377" s="39"/>
      <c r="U377" s="39"/>
      <c r="V377" s="39"/>
      <c r="W377" s="39"/>
      <c r="X377" s="39"/>
    </row>
    <row r="378" spans="1:24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 t="str">
        <f t="shared" si="5"/>
        <v/>
      </c>
      <c r="Q378" s="39"/>
      <c r="R378" s="39"/>
      <c r="S378" s="51"/>
      <c r="T378" s="39"/>
      <c r="U378" s="39"/>
      <c r="V378" s="39"/>
      <c r="W378" s="39"/>
      <c r="X378" s="39"/>
    </row>
    <row r="379" spans="1:24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 t="str">
        <f t="shared" si="5"/>
        <v/>
      </c>
      <c r="Q379" s="39"/>
      <c r="R379" s="39"/>
      <c r="S379" s="51"/>
      <c r="T379" s="39"/>
      <c r="U379" s="39"/>
      <c r="V379" s="39"/>
      <c r="W379" s="39"/>
      <c r="X379" s="39"/>
    </row>
    <row r="380" spans="1:24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 t="str">
        <f t="shared" si="5"/>
        <v/>
      </c>
      <c r="Q380" s="39"/>
      <c r="R380" s="39"/>
      <c r="S380" s="51"/>
      <c r="T380" s="39"/>
      <c r="U380" s="39"/>
      <c r="V380" s="39"/>
      <c r="W380" s="39"/>
      <c r="X380" s="39"/>
    </row>
    <row r="381" spans="1:24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 t="str">
        <f t="shared" si="5"/>
        <v/>
      </c>
      <c r="Q381" s="39"/>
      <c r="R381" s="39"/>
      <c r="S381" s="51"/>
      <c r="T381" s="39"/>
      <c r="U381" s="39"/>
      <c r="V381" s="39"/>
      <c r="W381" s="39"/>
      <c r="X381" s="39"/>
    </row>
    <row r="382" spans="1:24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 t="str">
        <f t="shared" si="5"/>
        <v/>
      </c>
      <c r="Q382" s="39"/>
      <c r="R382" s="39"/>
      <c r="S382" s="51"/>
      <c r="T382" s="39"/>
      <c r="U382" s="39"/>
      <c r="V382" s="39"/>
      <c r="W382" s="39"/>
      <c r="X382" s="39"/>
    </row>
    <row r="383" spans="1:24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 t="str">
        <f t="shared" si="5"/>
        <v/>
      </c>
      <c r="Q383" s="39"/>
      <c r="R383" s="39"/>
      <c r="S383" s="51"/>
      <c r="T383" s="39"/>
      <c r="U383" s="39"/>
      <c r="V383" s="39"/>
      <c r="W383" s="39"/>
      <c r="X383" s="39"/>
    </row>
    <row r="384" spans="1:24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 t="str">
        <f t="shared" si="5"/>
        <v/>
      </c>
      <c r="Q384" s="39"/>
      <c r="R384" s="39"/>
      <c r="S384" s="51"/>
      <c r="T384" s="39"/>
      <c r="U384" s="39"/>
      <c r="V384" s="39"/>
      <c r="W384" s="39"/>
      <c r="X384" s="39"/>
    </row>
    <row r="385" spans="1:24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 t="str">
        <f t="shared" si="5"/>
        <v/>
      </c>
      <c r="Q385" s="39"/>
      <c r="R385" s="39"/>
      <c r="S385" s="51"/>
      <c r="T385" s="39"/>
      <c r="U385" s="39"/>
      <c r="V385" s="39"/>
      <c r="W385" s="39"/>
      <c r="X385" s="39"/>
    </row>
    <row r="386" spans="1:24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 t="str">
        <f t="shared" si="5"/>
        <v/>
      </c>
      <c r="Q386" s="39"/>
      <c r="R386" s="39"/>
      <c r="S386" s="51"/>
      <c r="T386" s="39"/>
      <c r="U386" s="39"/>
      <c r="V386" s="39"/>
      <c r="W386" s="39"/>
      <c r="X386" s="39"/>
    </row>
    <row r="387" spans="1:24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 t="str">
        <f t="shared" ref="P387:P450" si="6">_xlfn.TEXTJOIN(", ",TRUE,N387,O387)</f>
        <v/>
      </c>
      <c r="Q387" s="39"/>
      <c r="R387" s="39"/>
      <c r="S387" s="51"/>
      <c r="T387" s="39"/>
      <c r="U387" s="39"/>
      <c r="V387" s="39"/>
      <c r="W387" s="39"/>
      <c r="X387" s="39"/>
    </row>
    <row r="388" spans="1:24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 t="str">
        <f t="shared" si="6"/>
        <v/>
      </c>
      <c r="Q388" s="39"/>
      <c r="R388" s="39"/>
      <c r="S388" s="51"/>
      <c r="T388" s="39"/>
      <c r="U388" s="39"/>
      <c r="V388" s="39"/>
      <c r="W388" s="39"/>
      <c r="X388" s="39"/>
    </row>
    <row r="389" spans="1:24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 t="str">
        <f t="shared" si="6"/>
        <v/>
      </c>
      <c r="Q389" s="39"/>
      <c r="R389" s="39"/>
      <c r="S389" s="51"/>
      <c r="T389" s="39"/>
      <c r="U389" s="39"/>
      <c r="V389" s="39"/>
      <c r="W389" s="39"/>
      <c r="X389" s="39"/>
    </row>
    <row r="390" spans="1:24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 t="str">
        <f t="shared" si="6"/>
        <v/>
      </c>
      <c r="Q390" s="39"/>
      <c r="R390" s="39"/>
      <c r="S390" s="51"/>
      <c r="T390" s="39"/>
      <c r="U390" s="39"/>
      <c r="V390" s="39"/>
      <c r="W390" s="39"/>
      <c r="X390" s="39"/>
    </row>
    <row r="391" spans="1:24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 t="str">
        <f t="shared" si="6"/>
        <v/>
      </c>
      <c r="Q391" s="39"/>
      <c r="R391" s="39"/>
      <c r="S391" s="51"/>
      <c r="T391" s="39"/>
      <c r="U391" s="39"/>
      <c r="V391" s="39"/>
      <c r="W391" s="39"/>
      <c r="X391" s="39"/>
    </row>
    <row r="392" spans="1:24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 t="str">
        <f t="shared" si="6"/>
        <v/>
      </c>
      <c r="Q392" s="39"/>
      <c r="R392" s="39"/>
      <c r="S392" s="51"/>
      <c r="T392" s="39"/>
      <c r="U392" s="39"/>
      <c r="V392" s="39"/>
      <c r="W392" s="39"/>
      <c r="X392" s="39"/>
    </row>
    <row r="393" spans="1:24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 t="str">
        <f t="shared" si="6"/>
        <v/>
      </c>
      <c r="Q393" s="39"/>
      <c r="R393" s="39"/>
      <c r="S393" s="51"/>
      <c r="T393" s="39"/>
      <c r="U393" s="39"/>
      <c r="V393" s="39"/>
      <c r="W393" s="39"/>
      <c r="X393" s="39"/>
    </row>
    <row r="394" spans="1:24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 t="str">
        <f t="shared" si="6"/>
        <v/>
      </c>
      <c r="Q394" s="39"/>
      <c r="R394" s="39"/>
      <c r="S394" s="51"/>
      <c r="T394" s="39"/>
      <c r="U394" s="39"/>
      <c r="V394" s="39"/>
      <c r="W394" s="39"/>
      <c r="X394" s="39"/>
    </row>
    <row r="395" spans="1:24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 t="str">
        <f t="shared" si="6"/>
        <v/>
      </c>
      <c r="Q395" s="39"/>
      <c r="R395" s="39"/>
      <c r="S395" s="51"/>
      <c r="T395" s="39"/>
      <c r="U395" s="39"/>
      <c r="V395" s="39"/>
      <c r="W395" s="39"/>
      <c r="X395" s="39"/>
    </row>
    <row r="396" spans="1:24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 t="str">
        <f t="shared" si="6"/>
        <v/>
      </c>
      <c r="Q396" s="39"/>
      <c r="R396" s="39"/>
      <c r="S396" s="51"/>
      <c r="T396" s="39"/>
      <c r="U396" s="39"/>
      <c r="V396" s="39"/>
      <c r="W396" s="39"/>
      <c r="X396" s="39"/>
    </row>
    <row r="397" spans="1:24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 t="str">
        <f t="shared" si="6"/>
        <v/>
      </c>
      <c r="Q397" s="39"/>
      <c r="R397" s="39"/>
      <c r="S397" s="51"/>
      <c r="T397" s="39"/>
      <c r="U397" s="39"/>
      <c r="V397" s="39"/>
      <c r="W397" s="39"/>
      <c r="X397" s="39"/>
    </row>
    <row r="398" spans="1:24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 t="str">
        <f t="shared" si="6"/>
        <v/>
      </c>
      <c r="Q398" s="39"/>
      <c r="R398" s="39"/>
      <c r="S398" s="51"/>
      <c r="T398" s="39"/>
      <c r="U398" s="39"/>
      <c r="V398" s="39"/>
      <c r="W398" s="39"/>
      <c r="X398" s="39"/>
    </row>
    <row r="399" spans="1:24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 t="str">
        <f t="shared" si="6"/>
        <v/>
      </c>
      <c r="Q399" s="39"/>
      <c r="R399" s="39"/>
      <c r="S399" s="51"/>
      <c r="T399" s="39"/>
      <c r="U399" s="39"/>
      <c r="V399" s="39"/>
      <c r="W399" s="39"/>
      <c r="X399" s="39"/>
    </row>
    <row r="400" spans="1:24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 t="str">
        <f t="shared" si="6"/>
        <v/>
      </c>
      <c r="Q400" s="39"/>
      <c r="R400" s="39"/>
      <c r="S400" s="51"/>
      <c r="T400" s="39"/>
      <c r="U400" s="39"/>
      <c r="V400" s="39"/>
      <c r="W400" s="39"/>
      <c r="X400" s="39"/>
    </row>
    <row r="401" spans="1:24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 t="str">
        <f t="shared" si="6"/>
        <v/>
      </c>
      <c r="Q401" s="39"/>
      <c r="R401" s="39"/>
      <c r="S401" s="51"/>
      <c r="T401" s="39"/>
      <c r="U401" s="39"/>
      <c r="V401" s="39"/>
      <c r="W401" s="39"/>
      <c r="X401" s="39"/>
    </row>
    <row r="402" spans="1:24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 t="str">
        <f t="shared" si="6"/>
        <v/>
      </c>
      <c r="Q402" s="39"/>
      <c r="R402" s="39"/>
      <c r="S402" s="51"/>
      <c r="T402" s="39"/>
      <c r="U402" s="39"/>
      <c r="V402" s="39"/>
      <c r="W402" s="39"/>
      <c r="X402" s="39"/>
    </row>
    <row r="403" spans="1:24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 t="str">
        <f t="shared" si="6"/>
        <v/>
      </c>
      <c r="Q403" s="39"/>
      <c r="R403" s="39"/>
      <c r="S403" s="51"/>
      <c r="T403" s="39"/>
      <c r="U403" s="39"/>
      <c r="V403" s="39"/>
      <c r="W403" s="39"/>
      <c r="X403" s="39"/>
    </row>
    <row r="404" spans="1:24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 t="str">
        <f t="shared" si="6"/>
        <v/>
      </c>
      <c r="Q404" s="39"/>
      <c r="R404" s="39"/>
      <c r="S404" s="51"/>
      <c r="T404" s="39"/>
      <c r="U404" s="39"/>
      <c r="V404" s="39"/>
      <c r="W404" s="39"/>
      <c r="X404" s="39"/>
    </row>
    <row r="405" spans="1:24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 t="str">
        <f t="shared" si="6"/>
        <v/>
      </c>
      <c r="Q405" s="39"/>
      <c r="R405" s="39"/>
      <c r="S405" s="51"/>
      <c r="T405" s="39"/>
      <c r="U405" s="39"/>
      <c r="V405" s="39"/>
      <c r="W405" s="39"/>
      <c r="X405" s="39"/>
    </row>
    <row r="406" spans="1:24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 t="str">
        <f t="shared" si="6"/>
        <v/>
      </c>
      <c r="Q406" s="39"/>
      <c r="R406" s="39"/>
      <c r="S406" s="51"/>
      <c r="T406" s="39"/>
      <c r="U406" s="39"/>
      <c r="V406" s="39"/>
      <c r="W406" s="39"/>
      <c r="X406" s="39"/>
    </row>
    <row r="407" spans="1:24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 t="str">
        <f t="shared" si="6"/>
        <v/>
      </c>
      <c r="Q407" s="39"/>
      <c r="R407" s="39"/>
      <c r="S407" s="51"/>
      <c r="T407" s="39"/>
      <c r="U407" s="39"/>
      <c r="V407" s="39"/>
      <c r="W407" s="39"/>
      <c r="X407" s="39"/>
    </row>
    <row r="408" spans="1:24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 t="str">
        <f t="shared" si="6"/>
        <v/>
      </c>
      <c r="Q408" s="39"/>
      <c r="R408" s="39"/>
      <c r="S408" s="51"/>
      <c r="T408" s="39"/>
      <c r="U408" s="39"/>
      <c r="V408" s="39"/>
      <c r="W408" s="39"/>
      <c r="X408" s="39"/>
    </row>
    <row r="409" spans="1:24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 t="str">
        <f t="shared" si="6"/>
        <v/>
      </c>
      <c r="Q409" s="39"/>
      <c r="R409" s="39"/>
      <c r="S409" s="51"/>
      <c r="T409" s="39"/>
      <c r="U409" s="39"/>
      <c r="V409" s="39"/>
      <c r="W409" s="39"/>
      <c r="X409" s="39"/>
    </row>
    <row r="410" spans="1:24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 t="str">
        <f t="shared" si="6"/>
        <v/>
      </c>
      <c r="Q410" s="39"/>
      <c r="R410" s="39"/>
      <c r="S410" s="51"/>
      <c r="T410" s="39"/>
      <c r="U410" s="39"/>
      <c r="V410" s="39"/>
      <c r="W410" s="39"/>
      <c r="X410" s="39"/>
    </row>
    <row r="411" spans="1:24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 t="str">
        <f t="shared" si="6"/>
        <v/>
      </c>
      <c r="Q411" s="39"/>
      <c r="R411" s="39"/>
      <c r="S411" s="51"/>
      <c r="T411" s="39"/>
      <c r="U411" s="39"/>
      <c r="V411" s="39"/>
      <c r="W411" s="39"/>
      <c r="X411" s="39"/>
    </row>
    <row r="412" spans="1:24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 t="str">
        <f t="shared" si="6"/>
        <v/>
      </c>
      <c r="Q412" s="39"/>
      <c r="R412" s="39"/>
      <c r="S412" s="51"/>
      <c r="T412" s="39"/>
      <c r="U412" s="39"/>
      <c r="V412" s="39"/>
      <c r="W412" s="39"/>
      <c r="X412" s="39"/>
    </row>
    <row r="413" spans="1:24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 t="str">
        <f t="shared" si="6"/>
        <v/>
      </c>
      <c r="Q413" s="39"/>
      <c r="R413" s="39"/>
      <c r="S413" s="51"/>
      <c r="T413" s="39"/>
      <c r="U413" s="39"/>
      <c r="V413" s="39"/>
      <c r="W413" s="39"/>
      <c r="X413" s="39"/>
    </row>
    <row r="414" spans="1:24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 t="str">
        <f t="shared" si="6"/>
        <v/>
      </c>
      <c r="Q414" s="39"/>
      <c r="R414" s="39"/>
      <c r="S414" s="51"/>
      <c r="T414" s="39"/>
      <c r="U414" s="39"/>
      <c r="V414" s="39"/>
      <c r="W414" s="39"/>
      <c r="X414" s="39"/>
    </row>
    <row r="415" spans="1:24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 t="str">
        <f t="shared" si="6"/>
        <v/>
      </c>
      <c r="Q415" s="39"/>
      <c r="R415" s="39"/>
      <c r="S415" s="51"/>
      <c r="T415" s="39"/>
      <c r="U415" s="39"/>
      <c r="V415" s="39"/>
      <c r="W415" s="39"/>
      <c r="X415" s="39"/>
    </row>
    <row r="416" spans="1:24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 t="str">
        <f t="shared" si="6"/>
        <v/>
      </c>
      <c r="Q416" s="39"/>
      <c r="R416" s="39"/>
      <c r="S416" s="51"/>
      <c r="T416" s="39"/>
      <c r="U416" s="39"/>
      <c r="V416" s="39"/>
      <c r="W416" s="39"/>
      <c r="X416" s="39"/>
    </row>
    <row r="417" spans="1:24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 t="str">
        <f t="shared" si="6"/>
        <v/>
      </c>
      <c r="Q417" s="39"/>
      <c r="R417" s="39"/>
      <c r="S417" s="51"/>
      <c r="T417" s="39"/>
      <c r="U417" s="39"/>
      <c r="V417" s="39"/>
      <c r="W417" s="39"/>
      <c r="X417" s="39"/>
    </row>
    <row r="418" spans="1:24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 t="str">
        <f t="shared" si="6"/>
        <v/>
      </c>
      <c r="Q418" s="39"/>
      <c r="R418" s="39"/>
      <c r="S418" s="51"/>
      <c r="T418" s="39"/>
      <c r="U418" s="39"/>
      <c r="V418" s="39"/>
      <c r="W418" s="39"/>
      <c r="X418" s="39"/>
    </row>
    <row r="419" spans="1:24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 t="str">
        <f t="shared" si="6"/>
        <v/>
      </c>
      <c r="Q419" s="39"/>
      <c r="R419" s="39"/>
      <c r="S419" s="51"/>
      <c r="T419" s="39"/>
      <c r="U419" s="39"/>
      <c r="V419" s="39"/>
      <c r="W419" s="39"/>
      <c r="X419" s="39"/>
    </row>
    <row r="420" spans="1:24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 t="str">
        <f t="shared" si="6"/>
        <v/>
      </c>
      <c r="Q420" s="39"/>
      <c r="R420" s="39"/>
      <c r="S420" s="51"/>
      <c r="T420" s="39"/>
      <c r="U420" s="39"/>
      <c r="V420" s="39"/>
      <c r="W420" s="39"/>
      <c r="X420" s="39"/>
    </row>
    <row r="421" spans="1:24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 t="str">
        <f t="shared" si="6"/>
        <v/>
      </c>
      <c r="Q421" s="39"/>
      <c r="R421" s="39"/>
      <c r="S421" s="51"/>
      <c r="T421" s="39"/>
      <c r="U421" s="39"/>
      <c r="V421" s="39"/>
      <c r="W421" s="39"/>
      <c r="X421" s="39"/>
    </row>
    <row r="422" spans="1:24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 t="str">
        <f t="shared" si="6"/>
        <v/>
      </c>
      <c r="Q422" s="39"/>
      <c r="R422" s="39"/>
      <c r="S422" s="51"/>
      <c r="T422" s="39"/>
      <c r="U422" s="39"/>
      <c r="V422" s="39"/>
      <c r="W422" s="39"/>
      <c r="X422" s="39"/>
    </row>
    <row r="423" spans="1:24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 t="str">
        <f t="shared" si="6"/>
        <v/>
      </c>
      <c r="Q423" s="39"/>
      <c r="R423" s="39"/>
      <c r="S423" s="51"/>
      <c r="T423" s="39"/>
      <c r="U423" s="39"/>
      <c r="V423" s="39"/>
      <c r="W423" s="39"/>
      <c r="X423" s="39"/>
    </row>
    <row r="424" spans="1:24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 t="str">
        <f t="shared" si="6"/>
        <v/>
      </c>
      <c r="Q424" s="39"/>
      <c r="R424" s="39"/>
      <c r="S424" s="51"/>
      <c r="T424" s="39"/>
      <c r="U424" s="39"/>
      <c r="V424" s="39"/>
      <c r="W424" s="39"/>
      <c r="X424" s="39"/>
    </row>
    <row r="425" spans="1:24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 t="str">
        <f t="shared" si="6"/>
        <v/>
      </c>
      <c r="Q425" s="39"/>
      <c r="R425" s="39"/>
      <c r="S425" s="51"/>
      <c r="T425" s="39"/>
      <c r="U425" s="39"/>
      <c r="V425" s="39"/>
      <c r="W425" s="39"/>
      <c r="X425" s="39"/>
    </row>
    <row r="426" spans="1:24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 t="str">
        <f t="shared" si="6"/>
        <v/>
      </c>
      <c r="Q426" s="39"/>
      <c r="R426" s="39"/>
      <c r="S426" s="51"/>
      <c r="T426" s="39"/>
      <c r="U426" s="39"/>
      <c r="V426" s="39"/>
      <c r="W426" s="39"/>
      <c r="X426" s="39"/>
    </row>
    <row r="427" spans="1:24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 t="str">
        <f t="shared" si="6"/>
        <v/>
      </c>
      <c r="Q427" s="39"/>
      <c r="R427" s="39"/>
      <c r="S427" s="51"/>
      <c r="T427" s="39"/>
      <c r="U427" s="39"/>
      <c r="V427" s="39"/>
      <c r="W427" s="39"/>
      <c r="X427" s="39"/>
    </row>
    <row r="428" spans="1:24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 t="str">
        <f t="shared" si="6"/>
        <v/>
      </c>
      <c r="Q428" s="39"/>
      <c r="R428" s="39"/>
      <c r="S428" s="51"/>
      <c r="T428" s="39"/>
      <c r="U428" s="39"/>
      <c r="V428" s="39"/>
      <c r="W428" s="39"/>
      <c r="X428" s="39"/>
    </row>
    <row r="429" spans="1:24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 t="str">
        <f t="shared" si="6"/>
        <v/>
      </c>
      <c r="Q429" s="39"/>
      <c r="R429" s="39"/>
      <c r="S429" s="51"/>
      <c r="T429" s="39"/>
      <c r="U429" s="39"/>
      <c r="V429" s="39"/>
      <c r="W429" s="39"/>
      <c r="X429" s="39"/>
    </row>
    <row r="430" spans="1:24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 t="str">
        <f t="shared" si="6"/>
        <v/>
      </c>
      <c r="Q430" s="39"/>
      <c r="R430" s="39"/>
      <c r="S430" s="51"/>
      <c r="T430" s="39"/>
      <c r="U430" s="39"/>
      <c r="V430" s="39"/>
      <c r="W430" s="39"/>
      <c r="X430" s="39"/>
    </row>
    <row r="431" spans="1:24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 t="str">
        <f t="shared" si="6"/>
        <v/>
      </c>
      <c r="Q431" s="39"/>
      <c r="R431" s="39"/>
      <c r="S431" s="51"/>
      <c r="T431" s="39"/>
      <c r="U431" s="39"/>
      <c r="V431" s="39"/>
      <c r="W431" s="39"/>
      <c r="X431" s="39"/>
    </row>
    <row r="432" spans="1:24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 t="str">
        <f t="shared" si="6"/>
        <v/>
      </c>
      <c r="Q432" s="39"/>
      <c r="R432" s="39"/>
      <c r="S432" s="51"/>
      <c r="T432" s="39"/>
      <c r="U432" s="39"/>
      <c r="V432" s="39"/>
      <c r="W432" s="39"/>
      <c r="X432" s="39"/>
    </row>
    <row r="433" spans="1:24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 t="str">
        <f t="shared" si="6"/>
        <v/>
      </c>
      <c r="Q433" s="39"/>
      <c r="R433" s="39"/>
      <c r="S433" s="51"/>
      <c r="T433" s="39"/>
      <c r="U433" s="39"/>
      <c r="V433" s="39"/>
      <c r="W433" s="39"/>
      <c r="X433" s="39"/>
    </row>
    <row r="434" spans="1:24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 t="str">
        <f t="shared" si="6"/>
        <v/>
      </c>
      <c r="Q434" s="39"/>
      <c r="R434" s="39"/>
      <c r="S434" s="51"/>
      <c r="T434" s="39"/>
      <c r="U434" s="39"/>
      <c r="V434" s="39"/>
      <c r="W434" s="39"/>
      <c r="X434" s="39"/>
    </row>
    <row r="435" spans="1:24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 t="str">
        <f t="shared" si="6"/>
        <v/>
      </c>
      <c r="Q435" s="39"/>
      <c r="R435" s="39"/>
      <c r="S435" s="51"/>
      <c r="T435" s="39"/>
      <c r="U435" s="39"/>
      <c r="V435" s="39"/>
      <c r="W435" s="39"/>
      <c r="X435" s="39"/>
    </row>
    <row r="436" spans="1:24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 t="str">
        <f t="shared" si="6"/>
        <v/>
      </c>
      <c r="Q436" s="39"/>
      <c r="R436" s="39"/>
      <c r="S436" s="51"/>
      <c r="T436" s="39"/>
      <c r="U436" s="39"/>
      <c r="V436" s="39"/>
      <c r="W436" s="39"/>
      <c r="X436" s="39"/>
    </row>
    <row r="437" spans="1:24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 t="str">
        <f t="shared" si="6"/>
        <v/>
      </c>
      <c r="Q437" s="39"/>
      <c r="R437" s="39"/>
      <c r="S437" s="51"/>
      <c r="T437" s="39"/>
      <c r="U437" s="39"/>
      <c r="V437" s="39"/>
      <c r="W437" s="39"/>
      <c r="X437" s="39"/>
    </row>
    <row r="438" spans="1:24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 t="str">
        <f t="shared" si="6"/>
        <v/>
      </c>
      <c r="Q438" s="39"/>
      <c r="R438" s="39"/>
      <c r="S438" s="51"/>
      <c r="T438" s="39"/>
      <c r="U438" s="39"/>
      <c r="V438" s="39"/>
      <c r="W438" s="39"/>
      <c r="X438" s="39"/>
    </row>
    <row r="439" spans="1:24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 t="str">
        <f t="shared" si="6"/>
        <v/>
      </c>
      <c r="Q439" s="39"/>
      <c r="R439" s="39"/>
      <c r="S439" s="51"/>
      <c r="T439" s="39"/>
      <c r="U439" s="39"/>
      <c r="V439" s="39"/>
      <c r="W439" s="39"/>
      <c r="X439" s="39"/>
    </row>
    <row r="440" spans="1:24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 t="str">
        <f t="shared" si="6"/>
        <v/>
      </c>
      <c r="Q440" s="39"/>
      <c r="R440" s="39"/>
      <c r="S440" s="51"/>
      <c r="T440" s="39"/>
      <c r="U440" s="39"/>
      <c r="V440" s="39"/>
      <c r="W440" s="39"/>
      <c r="X440" s="39"/>
    </row>
    <row r="441" spans="1:24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 t="str">
        <f t="shared" si="6"/>
        <v/>
      </c>
      <c r="Q441" s="39"/>
      <c r="R441" s="39"/>
      <c r="S441" s="51"/>
      <c r="T441" s="39"/>
      <c r="U441" s="39"/>
      <c r="V441" s="39"/>
      <c r="W441" s="39"/>
      <c r="X441" s="39"/>
    </row>
    <row r="442" spans="1:24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 t="str">
        <f t="shared" si="6"/>
        <v/>
      </c>
      <c r="Q442" s="39"/>
      <c r="R442" s="39"/>
      <c r="S442" s="51"/>
      <c r="T442" s="39"/>
      <c r="U442" s="39"/>
      <c r="V442" s="39"/>
      <c r="W442" s="39"/>
      <c r="X442" s="39"/>
    </row>
    <row r="443" spans="1:24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 t="str">
        <f t="shared" si="6"/>
        <v/>
      </c>
      <c r="Q443" s="39"/>
      <c r="R443" s="39"/>
      <c r="S443" s="51"/>
      <c r="T443" s="39"/>
      <c r="U443" s="39"/>
      <c r="V443" s="39"/>
      <c r="W443" s="39"/>
      <c r="X443" s="39"/>
    </row>
    <row r="444" spans="1:24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 t="str">
        <f t="shared" si="6"/>
        <v/>
      </c>
      <c r="Q444" s="39"/>
      <c r="R444" s="39"/>
      <c r="S444" s="51"/>
      <c r="T444" s="39"/>
      <c r="U444" s="39"/>
      <c r="V444" s="39"/>
      <c r="W444" s="39"/>
      <c r="X444" s="39"/>
    </row>
    <row r="445" spans="1:24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 t="str">
        <f t="shared" si="6"/>
        <v/>
      </c>
      <c r="Q445" s="39"/>
      <c r="R445" s="39"/>
      <c r="S445" s="51"/>
      <c r="T445" s="39"/>
      <c r="U445" s="39"/>
      <c r="V445" s="39"/>
      <c r="W445" s="39"/>
      <c r="X445" s="39"/>
    </row>
    <row r="446" spans="1:24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 t="str">
        <f t="shared" si="6"/>
        <v/>
      </c>
      <c r="Q446" s="39"/>
      <c r="R446" s="39"/>
      <c r="S446" s="51"/>
      <c r="T446" s="39"/>
      <c r="U446" s="39"/>
      <c r="V446" s="39"/>
      <c r="W446" s="39"/>
      <c r="X446" s="39"/>
    </row>
    <row r="447" spans="1:24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 t="str">
        <f t="shared" si="6"/>
        <v/>
      </c>
      <c r="Q447" s="39"/>
      <c r="R447" s="39"/>
      <c r="S447" s="51"/>
      <c r="T447" s="39"/>
      <c r="U447" s="39"/>
      <c r="V447" s="39"/>
      <c r="W447" s="39"/>
      <c r="X447" s="39"/>
    </row>
    <row r="448" spans="1:24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 t="str">
        <f t="shared" si="6"/>
        <v/>
      </c>
      <c r="Q448" s="39"/>
      <c r="R448" s="39"/>
      <c r="S448" s="51"/>
      <c r="T448" s="39"/>
      <c r="U448" s="39"/>
      <c r="V448" s="39"/>
      <c r="W448" s="39"/>
      <c r="X448" s="39"/>
    </row>
    <row r="449" spans="1:24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 t="str">
        <f t="shared" si="6"/>
        <v/>
      </c>
      <c r="Q449" s="39"/>
      <c r="R449" s="39"/>
      <c r="S449" s="51"/>
      <c r="T449" s="39"/>
      <c r="U449" s="39"/>
      <c r="V449" s="39"/>
      <c r="W449" s="39"/>
      <c r="X449" s="39"/>
    </row>
    <row r="450" spans="1:24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 t="str">
        <f t="shared" si="6"/>
        <v/>
      </c>
      <c r="Q450" s="39"/>
      <c r="R450" s="39"/>
      <c r="S450" s="51"/>
      <c r="T450" s="39"/>
      <c r="U450" s="39"/>
      <c r="V450" s="39"/>
      <c r="W450" s="39"/>
      <c r="X450" s="39"/>
    </row>
    <row r="451" spans="1:24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 t="str">
        <f t="shared" ref="P451:P453" si="7">_xlfn.TEXTJOIN(", ",TRUE,N451,O451)</f>
        <v/>
      </c>
      <c r="Q451" s="39"/>
      <c r="R451" s="39"/>
      <c r="S451" s="51"/>
      <c r="T451" s="39"/>
      <c r="U451" s="39"/>
      <c r="V451" s="39"/>
      <c r="W451" s="39"/>
      <c r="X451" s="39"/>
    </row>
    <row r="452" spans="1:24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 t="str">
        <f t="shared" si="7"/>
        <v/>
      </c>
      <c r="Q452" s="39"/>
      <c r="R452" s="39"/>
      <c r="S452" s="51"/>
      <c r="T452" s="39"/>
      <c r="U452" s="39"/>
      <c r="V452" s="39"/>
      <c r="W452" s="39"/>
      <c r="X452" s="39"/>
    </row>
    <row r="453" spans="1:24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 t="str">
        <f t="shared" si="7"/>
        <v/>
      </c>
      <c r="Q453" s="39"/>
      <c r="R453" s="39"/>
      <c r="S453" s="51"/>
      <c r="T453" s="39"/>
      <c r="U453" s="39"/>
      <c r="V453" s="39"/>
      <c r="W453" s="39"/>
      <c r="X453" s="39"/>
    </row>
    <row r="454" spans="1:24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 t="str">
        <f t="shared" ref="P454:P455" si="8">_xlfn.TEXTJOIN(", ",TRUE,N454,O454)</f>
        <v/>
      </c>
      <c r="Q454" s="39"/>
      <c r="R454" s="39"/>
      <c r="S454" s="51"/>
      <c r="T454" s="39"/>
      <c r="U454" s="39"/>
      <c r="V454" s="39"/>
      <c r="W454" s="39"/>
      <c r="X454" s="39"/>
    </row>
    <row r="455" spans="1:24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 t="str">
        <f t="shared" si="8"/>
        <v/>
      </c>
      <c r="Q455" s="39"/>
      <c r="R455" s="39"/>
      <c r="S455" s="51"/>
      <c r="T455" s="39"/>
      <c r="U455" s="39"/>
      <c r="V455" s="39"/>
      <c r="W455" s="39"/>
      <c r="X455" s="39"/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O101"/>
  <sheetViews>
    <sheetView workbookViewId="0">
      <selection activeCell="A3" sqref="A3"/>
    </sheetView>
  </sheetViews>
  <sheetFormatPr defaultRowHeight="15"/>
  <cols>
    <col min="1" max="1" width="177.855468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15" customWidth="1"/>
    <col min="23" max="23" width="20.140625" customWidth="1"/>
    <col min="24" max="24" width="24.7109375" style="18" bestFit="1" customWidth="1"/>
    <col min="25" max="25" width="34.5703125" bestFit="1" customWidth="1"/>
    <col min="26" max="26" width="49" bestFit="1" customWidth="1"/>
    <col min="27" max="27" width="17.42578125" customWidth="1"/>
    <col min="28" max="28" width="64.5703125" bestFit="1" customWidth="1"/>
    <col min="29" max="29" width="19.85546875" customWidth="1"/>
    <col min="30" max="30" width="38.28515625" bestFit="1" customWidth="1"/>
    <col min="32" max="32" width="38.7109375" bestFit="1" customWidth="1"/>
  </cols>
  <sheetData>
    <row r="1" spans="1:32">
      <c r="A1" s="34" t="s">
        <v>56</v>
      </c>
      <c r="B1" t="s">
        <v>57</v>
      </c>
      <c r="C1" s="34" t="s">
        <v>58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496</v>
      </c>
      <c r="N1" t="s">
        <v>497</v>
      </c>
      <c r="O1" t="s">
        <v>498</v>
      </c>
      <c r="P1" t="s">
        <v>499</v>
      </c>
      <c r="Q1" t="s">
        <v>500</v>
      </c>
      <c r="R1" t="s">
        <v>501</v>
      </c>
      <c r="S1" t="s">
        <v>502</v>
      </c>
      <c r="T1" t="s">
        <v>503</v>
      </c>
      <c r="U1" t="s">
        <v>504</v>
      </c>
      <c r="V1" t="s">
        <v>33</v>
      </c>
      <c r="W1" t="s">
        <v>34</v>
      </c>
      <c r="X1" t="s">
        <v>35</v>
      </c>
      <c r="Y1" t="s">
        <v>36</v>
      </c>
      <c r="Z1" t="s">
        <v>37</v>
      </c>
      <c r="AA1" t="s">
        <v>38</v>
      </c>
      <c r="AB1" t="s">
        <v>39</v>
      </c>
      <c r="AC1" t="s">
        <v>40</v>
      </c>
      <c r="AD1" t="s">
        <v>41</v>
      </c>
      <c r="AE1" t="s">
        <v>42</v>
      </c>
      <c r="AF1" t="s">
        <v>43</v>
      </c>
    </row>
    <row r="2" spans="1:32">
      <c r="A2" s="34" t="s">
        <v>768</v>
      </c>
      <c r="B2" s="34" t="s">
        <v>762</v>
      </c>
      <c r="C2" s="34" t="s">
        <v>505</v>
      </c>
      <c r="X2"/>
      <c r="AC2" s="3"/>
    </row>
    <row r="3" spans="1:32">
      <c r="B3" s="55" t="s">
        <v>22</v>
      </c>
      <c r="C3" s="56" t="s">
        <v>23</v>
      </c>
      <c r="X3"/>
      <c r="AC3" s="3"/>
    </row>
    <row r="4" spans="1:32">
      <c r="B4" s="55"/>
      <c r="C4" s="56"/>
      <c r="X4"/>
      <c r="AC4" s="3"/>
    </row>
    <row r="5" spans="1:32">
      <c r="B5" s="55"/>
      <c r="C5" s="56"/>
      <c r="X5"/>
    </row>
    <row r="6" spans="1:32">
      <c r="B6" s="55"/>
      <c r="C6" s="56"/>
      <c r="X6"/>
      <c r="AC6" s="3"/>
    </row>
    <row r="7" spans="1:32">
      <c r="B7" s="55"/>
      <c r="C7" s="56"/>
      <c r="X7"/>
      <c r="AC7" s="3"/>
    </row>
    <row r="8" spans="1:32">
      <c r="B8" s="55"/>
      <c r="C8" s="56"/>
      <c r="X8"/>
      <c r="AC8" s="3"/>
    </row>
    <row r="9" spans="1:32">
      <c r="B9" s="55"/>
      <c r="C9" s="56"/>
      <c r="X9"/>
      <c r="AC9" s="3"/>
    </row>
    <row r="10" spans="1:32">
      <c r="B10" s="55"/>
      <c r="C10" s="56"/>
      <c r="X10"/>
    </row>
    <row r="11" spans="1:32">
      <c r="B11" s="55"/>
      <c r="C11" s="56"/>
      <c r="X11"/>
      <c r="AC11" s="3"/>
    </row>
    <row r="12" spans="1:32">
      <c r="B12" s="55"/>
      <c r="C12" s="56"/>
      <c r="X12"/>
    </row>
    <row r="13" spans="1:32">
      <c r="B13" s="55"/>
      <c r="C13" s="56"/>
      <c r="X13"/>
      <c r="AF13" s="4"/>
    </row>
    <row r="14" spans="1:32">
      <c r="B14" s="55"/>
      <c r="C14" s="56"/>
      <c r="X14"/>
      <c r="AC14" s="3"/>
    </row>
    <row r="15" spans="1:32">
      <c r="B15" s="55"/>
      <c r="C15" s="56"/>
      <c r="X15"/>
    </row>
    <row r="16" spans="1:32">
      <c r="B16" s="55"/>
      <c r="C16" s="56"/>
      <c r="X16"/>
      <c r="AC16" s="3"/>
    </row>
    <row r="17" spans="2:37">
      <c r="B17" s="55"/>
      <c r="C17" s="56"/>
      <c r="X17"/>
    </row>
    <row r="18" spans="2:37">
      <c r="B18" s="55"/>
      <c r="C18" s="56"/>
      <c r="X18"/>
      <c r="AC18" s="3"/>
    </row>
    <row r="19" spans="2:37">
      <c r="B19" s="55"/>
      <c r="C19" s="56"/>
      <c r="X19"/>
      <c r="AC19" s="3"/>
    </row>
    <row r="20" spans="2:37">
      <c r="B20" s="55"/>
      <c r="C20" s="56"/>
      <c r="X20"/>
      <c r="AC20" s="3"/>
    </row>
    <row r="21" spans="2:37">
      <c r="B21" s="55"/>
      <c r="C21" s="56"/>
      <c r="X21"/>
      <c r="AC21" s="3"/>
    </row>
    <row r="22" spans="2:37">
      <c r="B22" s="55"/>
      <c r="C22" s="56"/>
      <c r="X22"/>
      <c r="AC22" s="3"/>
    </row>
    <row r="23" spans="2:37">
      <c r="B23" s="55"/>
      <c r="C23" s="56"/>
      <c r="X23"/>
      <c r="AC23" s="3"/>
    </row>
    <row r="24" spans="2:37">
      <c r="B24" s="55"/>
      <c r="C24" s="56"/>
      <c r="X24"/>
      <c r="AC24" s="3"/>
    </row>
    <row r="25" spans="2:37">
      <c r="B25" s="55"/>
      <c r="C25" s="56"/>
      <c r="X25"/>
      <c r="AC25" s="3"/>
      <c r="AK25" s="3"/>
    </row>
    <row r="26" spans="2:37">
      <c r="B26" s="55"/>
      <c r="C26" s="56"/>
      <c r="X26"/>
      <c r="AK26" s="3"/>
    </row>
    <row r="27" spans="2:37">
      <c r="B27" s="55"/>
      <c r="C27" s="56"/>
      <c r="X27"/>
      <c r="AK27" s="3"/>
    </row>
    <row r="28" spans="2:37">
      <c r="B28" s="55"/>
      <c r="C28" s="56"/>
      <c r="X28"/>
      <c r="AK28" s="3"/>
    </row>
    <row r="29" spans="2:37">
      <c r="B29" s="55"/>
      <c r="C29" s="56"/>
      <c r="X29"/>
      <c r="AK29" s="3"/>
    </row>
    <row r="30" spans="2:37">
      <c r="B30" s="55"/>
      <c r="C30" s="56"/>
      <c r="X30"/>
    </row>
    <row r="31" spans="2:37">
      <c r="B31" s="55"/>
      <c r="C31" s="56"/>
      <c r="X31"/>
      <c r="AK31" s="3"/>
    </row>
    <row r="32" spans="2:37">
      <c r="B32" s="55"/>
      <c r="C32" s="56"/>
      <c r="X32"/>
    </row>
    <row r="33" spans="2:41">
      <c r="B33" s="55"/>
      <c r="C33" s="56"/>
      <c r="X33"/>
      <c r="AK33" s="3"/>
    </row>
    <row r="34" spans="2:41">
      <c r="B34" s="55"/>
      <c r="C34" s="56"/>
      <c r="X34"/>
      <c r="AK34" s="3"/>
    </row>
    <row r="35" spans="2:41">
      <c r="B35" s="55"/>
      <c r="C35" s="56"/>
      <c r="X35"/>
      <c r="AK35" s="3"/>
    </row>
    <row r="36" spans="2:41">
      <c r="B36" s="55"/>
      <c r="C36" s="56"/>
      <c r="X36"/>
      <c r="AK36" s="3"/>
    </row>
    <row r="37" spans="2:41">
      <c r="B37" s="55"/>
      <c r="C37" s="56"/>
      <c r="X37"/>
    </row>
    <row r="38" spans="2:41">
      <c r="B38" s="55"/>
      <c r="C38" s="56"/>
      <c r="X38"/>
      <c r="AK38" s="3"/>
    </row>
    <row r="39" spans="2:41">
      <c r="B39" s="55"/>
      <c r="C39" s="56"/>
      <c r="X39"/>
      <c r="AK39" s="3"/>
    </row>
    <row r="40" spans="2:41">
      <c r="B40" s="55"/>
      <c r="C40" s="56"/>
      <c r="X40"/>
      <c r="AK40" s="3"/>
    </row>
    <row r="41" spans="2:41">
      <c r="B41" s="55"/>
      <c r="C41" s="56"/>
      <c r="X41"/>
      <c r="AK41" s="3"/>
    </row>
    <row r="42" spans="2:41">
      <c r="B42" s="55"/>
      <c r="C42" s="56"/>
      <c r="X42"/>
      <c r="AK42" s="3"/>
    </row>
    <row r="43" spans="2:41">
      <c r="B43" s="55"/>
      <c r="C43" s="56"/>
      <c r="X43"/>
      <c r="AO43" s="4"/>
    </row>
    <row r="44" spans="2:41">
      <c r="B44" s="55"/>
      <c r="C44" s="56"/>
      <c r="X44"/>
    </row>
    <row r="45" spans="2:41">
      <c r="B45" s="55"/>
      <c r="C45" s="56"/>
      <c r="X45"/>
      <c r="AK45" s="3"/>
    </row>
    <row r="46" spans="2:41">
      <c r="B46" s="55"/>
      <c r="C46" s="56"/>
      <c r="X46"/>
      <c r="AK46" s="3"/>
    </row>
    <row r="47" spans="2:41">
      <c r="B47" s="55"/>
      <c r="C47" s="56"/>
      <c r="X47"/>
      <c r="AK47" s="3"/>
    </row>
    <row r="48" spans="2:41">
      <c r="B48" s="55"/>
      <c r="C48" s="56"/>
      <c r="X48"/>
    </row>
    <row r="49" spans="2:37">
      <c r="B49" s="55"/>
      <c r="C49" s="56"/>
      <c r="X49"/>
      <c r="AK49" s="3"/>
    </row>
    <row r="50" spans="2:37">
      <c r="B50" s="55"/>
      <c r="C50" s="56"/>
      <c r="X50"/>
      <c r="AK50" s="3"/>
    </row>
    <row r="51" spans="2:37">
      <c r="B51" s="55"/>
      <c r="C51" s="56"/>
      <c r="X51"/>
      <c r="AK51" s="3"/>
    </row>
    <row r="52" spans="2:37">
      <c r="B52" s="55"/>
      <c r="C52" s="56"/>
      <c r="X52"/>
      <c r="AK52" s="3"/>
    </row>
    <row r="53" spans="2:37">
      <c r="B53" s="55"/>
      <c r="C53" s="56"/>
      <c r="X53"/>
    </row>
    <row r="54" spans="2:37">
      <c r="B54" s="55"/>
      <c r="C54" s="56"/>
      <c r="X54"/>
      <c r="AK54" s="3"/>
    </row>
    <row r="55" spans="2:37">
      <c r="B55" s="55"/>
      <c r="C55" s="56"/>
      <c r="U55" s="30"/>
    </row>
    <row r="56" spans="2:37">
      <c r="B56" s="55"/>
      <c r="C56" s="56"/>
      <c r="U56" s="30"/>
    </row>
    <row r="57" spans="2:37">
      <c r="B57" s="55"/>
      <c r="C57" s="56"/>
      <c r="U57" s="30"/>
    </row>
    <row r="58" spans="2:37">
      <c r="B58" s="55"/>
      <c r="C58" s="56"/>
      <c r="U58" s="30"/>
    </row>
    <row r="59" spans="2:37">
      <c r="B59" s="55"/>
      <c r="C59" s="56"/>
      <c r="U59" s="30"/>
    </row>
    <row r="60" spans="2:37">
      <c r="B60" s="55"/>
      <c r="C60" s="56"/>
      <c r="U60" s="30"/>
    </row>
    <row r="61" spans="2:37">
      <c r="B61" s="55"/>
      <c r="C61" s="56"/>
      <c r="U61" s="30"/>
    </row>
    <row r="62" spans="2:37">
      <c r="B62" s="55"/>
      <c r="C62" s="56"/>
      <c r="U62" s="30"/>
    </row>
    <row r="63" spans="2:37">
      <c r="B63" s="55"/>
      <c r="C63" s="56"/>
      <c r="U63" s="30"/>
    </row>
    <row r="64" spans="2:37">
      <c r="B64" s="55"/>
      <c r="C64" s="56"/>
      <c r="U64" s="30"/>
    </row>
    <row r="65" spans="2:26">
      <c r="B65" s="55"/>
      <c r="C65" s="56"/>
      <c r="U65" s="30"/>
    </row>
    <row r="66" spans="2:26">
      <c r="B66" s="55"/>
      <c r="C66" s="56"/>
      <c r="U66" s="30"/>
    </row>
    <row r="67" spans="2:26">
      <c r="B67" s="55"/>
      <c r="C67" s="56"/>
      <c r="U67" s="30"/>
    </row>
    <row r="68" spans="2:26">
      <c r="B68" s="55"/>
      <c r="C68" s="56"/>
      <c r="U68" s="30"/>
    </row>
    <row r="69" spans="2:26">
      <c r="B69" s="55"/>
      <c r="C69" s="56"/>
      <c r="U69" s="30"/>
    </row>
    <row r="70" spans="2:26">
      <c r="B70" s="55"/>
      <c r="C70" s="56"/>
      <c r="U70" s="30"/>
    </row>
    <row r="71" spans="2:26">
      <c r="B71" s="55"/>
      <c r="C71" s="56"/>
      <c r="U71" s="30"/>
    </row>
    <row r="72" spans="2:26">
      <c r="B72" s="55"/>
      <c r="C72" s="56"/>
      <c r="U72" s="30"/>
      <c r="Z72" s="3"/>
    </row>
    <row r="73" spans="2:26">
      <c r="B73" s="55"/>
      <c r="C73" s="56"/>
      <c r="U73" s="30"/>
    </row>
    <row r="74" spans="2:26">
      <c r="B74" s="55"/>
      <c r="C74" s="56"/>
      <c r="U74" s="30"/>
      <c r="Z74" s="3"/>
    </row>
    <row r="75" spans="2:26">
      <c r="B75" s="55"/>
      <c r="C75" s="56"/>
      <c r="U75" s="30"/>
    </row>
    <row r="76" spans="2:26">
      <c r="B76" s="55"/>
      <c r="C76" s="56"/>
      <c r="U76" s="30"/>
    </row>
    <row r="77" spans="2:26">
      <c r="B77" s="55"/>
      <c r="C77" s="56"/>
      <c r="U77" s="30"/>
      <c r="Z77" s="3"/>
    </row>
    <row r="78" spans="2:26">
      <c r="B78" s="55"/>
      <c r="C78" s="56"/>
      <c r="U78" s="30"/>
    </row>
    <row r="79" spans="2:26">
      <c r="B79" s="55"/>
      <c r="C79" s="56"/>
      <c r="U79" s="30"/>
    </row>
    <row r="80" spans="2:26">
      <c r="B80" s="55"/>
      <c r="C80" s="56"/>
      <c r="U80" s="30"/>
    </row>
    <row r="81" spans="2:26">
      <c r="B81" s="55"/>
      <c r="C81" s="56"/>
      <c r="U81" s="30"/>
    </row>
    <row r="82" spans="2:26">
      <c r="B82" s="55"/>
      <c r="C82" s="56"/>
      <c r="U82" s="30"/>
    </row>
    <row r="83" spans="2:26">
      <c r="B83" s="55"/>
      <c r="C83" s="56"/>
      <c r="U83" s="30"/>
    </row>
    <row r="84" spans="2:26">
      <c r="B84" s="55"/>
      <c r="C84" s="56"/>
      <c r="U84" s="30"/>
    </row>
    <row r="85" spans="2:26">
      <c r="B85" s="55"/>
      <c r="C85" s="56"/>
      <c r="U85" s="30"/>
    </row>
    <row r="86" spans="2:26">
      <c r="B86" s="55"/>
      <c r="C86" s="56"/>
      <c r="U86" s="30"/>
    </row>
    <row r="87" spans="2:26">
      <c r="B87" s="55"/>
      <c r="C87" s="56"/>
      <c r="U87" s="30"/>
    </row>
    <row r="88" spans="2:26">
      <c r="B88" s="55"/>
      <c r="C88" s="56"/>
      <c r="U88" s="30"/>
    </row>
    <row r="89" spans="2:26">
      <c r="B89" s="55"/>
      <c r="C89" s="56"/>
      <c r="U89" s="30"/>
    </row>
    <row r="90" spans="2:26">
      <c r="B90" s="55"/>
      <c r="C90" s="56"/>
      <c r="U90" s="30"/>
    </row>
    <row r="91" spans="2:26">
      <c r="B91" s="55"/>
      <c r="C91" s="56"/>
      <c r="U91" s="30"/>
    </row>
    <row r="92" spans="2:26">
      <c r="B92" s="55"/>
      <c r="C92" s="56"/>
      <c r="U92" s="30"/>
    </row>
    <row r="93" spans="2:26">
      <c r="B93" s="55"/>
      <c r="C93" s="56"/>
      <c r="U93" s="30"/>
      <c r="Z93" s="3"/>
    </row>
    <row r="94" spans="2:26">
      <c r="B94" s="55"/>
      <c r="C94" s="56"/>
      <c r="U94" s="30"/>
    </row>
    <row r="95" spans="2:26">
      <c r="B95" s="55"/>
      <c r="C95" s="56"/>
      <c r="U95" s="30"/>
    </row>
    <row r="96" spans="2:26">
      <c r="B96" s="55"/>
      <c r="C96" s="56"/>
      <c r="U96" s="30"/>
    </row>
    <row r="97" spans="2:21">
      <c r="B97" s="55"/>
      <c r="C97" s="56"/>
      <c r="U97" s="30"/>
    </row>
    <row r="98" spans="2:21">
      <c r="U98" s="30"/>
    </row>
    <row r="101" spans="2:21">
      <c r="U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75"/>
  <sheetViews>
    <sheetView workbookViewId="0">
      <selection activeCell="F40" sqref="F40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295</v>
      </c>
      <c r="B1" s="31" t="s">
        <v>294</v>
      </c>
      <c r="G1" s="33" t="s">
        <v>59</v>
      </c>
      <c r="H1" s="12" t="s">
        <v>291</v>
      </c>
      <c r="I1" s="1" t="s">
        <v>14</v>
      </c>
      <c r="J1" s="12" t="s">
        <v>296</v>
      </c>
      <c r="K1" s="12" t="s">
        <v>297</v>
      </c>
      <c r="L1" s="12" t="s">
        <v>298</v>
      </c>
      <c r="M1" s="12" t="s">
        <v>299</v>
      </c>
      <c r="N1" s="1" t="s">
        <v>15</v>
      </c>
    </row>
    <row r="2" spans="1:14" ht="15.75" thickTop="1">
      <c r="A2" s="31" t="s">
        <v>292</v>
      </c>
      <c r="B2" t="s">
        <v>755</v>
      </c>
      <c r="C2" t="s">
        <v>756</v>
      </c>
      <c r="D2" t="s">
        <v>293</v>
      </c>
      <c r="G2" cm="1">
        <f t="array" ref="G2">_xlfn.UNIQUE(Input!J2:J500)</f>
        <v>0</v>
      </c>
      <c r="H2" s="13">
        <f>IFERROR(GETPIVOTDATA("Successful / Failed",$A$1,"System serial",G2),0)</f>
        <v>2</v>
      </c>
      <c r="I2" t="str" cm="1">
        <f t="array" ref="I2">_xlfn.IFS(H2&lt;1,"No",H2=1,"Yes",H2&gt;1,_xlfn.TEXTJOIN("",TRUE,"Yes x",H2))</f>
        <v>Yes x2</v>
      </c>
      <c r="J2" s="13">
        <f>IFERROR(GETPIVOTDATA("Successful / Failed",$A$1,"System serial",G2,"Successful / Failed","Successful"),0)</f>
        <v>1</v>
      </c>
      <c r="K2" s="13">
        <f>IFERROR(GETPIVOTDATA("Successful / Failed",$A$1,"System serial",G2,"Successful / Failed","Failed"),0)</f>
        <v>1</v>
      </c>
      <c r="L2" s="13" t="str" cm="1">
        <f t="array" ref="L2">_xlfn.IFS(J2&lt;1,"",J2=1,"Pass",J2&gt;1,_xlfn.TEXTJOIN("",TRUE,"Pass x",J2))</f>
        <v>Pass</v>
      </c>
      <c r="M2" s="13" t="str" cm="1">
        <f t="array" ref="M2">_xlfn.IFS(K2&lt;1,"",K2=1,"Fail",K2&gt;1,_xlfn.TEXTJOIN("",TRUE,"Fail x",K2))</f>
        <v>Fail</v>
      </c>
      <c r="N2" t="str">
        <f>_xlfn.TEXTJOIN(", ",TRUE, L2, M2)</f>
        <v>Pass, Fail</v>
      </c>
    </row>
    <row r="3" spans="1:14">
      <c r="A3" s="32">
        <v>0</v>
      </c>
      <c r="B3" s="57">
        <v>1</v>
      </c>
      <c r="C3" s="57">
        <v>1</v>
      </c>
      <c r="D3" s="57">
        <v>2</v>
      </c>
      <c r="H3" s="13">
        <f t="shared" ref="H3:H66" si="0">IFERROR(GETPIVOTDATA("Successful / Failed",$A$1,"System serial",G3),0)</f>
        <v>2</v>
      </c>
      <c r="I3" t="str" cm="1">
        <f t="array" ref="I3">_xlfn.IFS(H3&lt;1,"No",H3=1,"Yes",H3&gt;1,_xlfn.TEXTJOIN("",TRUE,"Yes x",H3))</f>
        <v>Yes x2</v>
      </c>
      <c r="J3" s="13">
        <f t="shared" ref="J3:J66" si="1">IFERROR(GETPIVOTDATA("Successful / Failed",$A$1,"System serial",G3,"Successful / Failed","Successful"),0)</f>
        <v>1</v>
      </c>
      <c r="K3" s="13">
        <f t="shared" ref="K3:K66" si="2">IFERROR(GETPIVOTDATA("Successful / Failed",$A$1,"System serial",G3,"Successful / Failed","Failed"),0)</f>
        <v>1</v>
      </c>
      <c r="L3" s="13" t="str" cm="1">
        <f t="array" ref="L3">_xlfn.IFS(J3&lt;1,"",J3=1,"Pass",J3&gt;1,_xlfn.TEXTJOIN("",TRUE,"Pass x",J3))</f>
        <v>Pass</v>
      </c>
      <c r="M3" s="13" t="str" cm="1">
        <f t="array" ref="M3">_xlfn.IFS(K3&lt;1,"",K3=1,"Fail",K3&gt;1,_xlfn.TEXTJOIN("",TRUE,"Fail x",K3))</f>
        <v>Fail</v>
      </c>
      <c r="N3" t="str">
        <f t="shared" ref="N3:N66" si="3">_xlfn.TEXTJOIN(", ",TRUE, L3, M3)</f>
        <v>Pass, Fail</v>
      </c>
    </row>
    <row r="4" spans="1:14">
      <c r="A4" s="32" t="s">
        <v>293</v>
      </c>
      <c r="B4" s="57">
        <v>1</v>
      </c>
      <c r="C4" s="57">
        <v>1</v>
      </c>
      <c r="D4" s="57">
        <v>2</v>
      </c>
      <c r="H4" s="13">
        <f t="shared" si="0"/>
        <v>2</v>
      </c>
      <c r="I4" t="str" cm="1">
        <f t="array" ref="I4">_xlfn.IFS(H4&lt;1,"No",H4=1,"Yes",H4&gt;1,_xlfn.TEXTJOIN("",TRUE,"Yes x",H4))</f>
        <v>Yes x2</v>
      </c>
      <c r="J4" s="13">
        <f t="shared" si="1"/>
        <v>1</v>
      </c>
      <c r="K4" s="13">
        <f t="shared" si="2"/>
        <v>1</v>
      </c>
      <c r="L4" s="13" t="str" cm="1">
        <f t="array" ref="L4">_xlfn.IFS(J4&lt;1,"",J4=1,"Pass",J4&gt;1,_xlfn.TEXTJOIN("",TRUE,"Pass x",J4))</f>
        <v>Pass</v>
      </c>
      <c r="M4" s="13" t="str" cm="1">
        <f t="array" ref="M4">_xlfn.IFS(K4&lt;1,"",K4=1,"Fail",K4&gt;1,_xlfn.TEXTJOIN("",TRUE,"Fail x",K4))</f>
        <v>Fail</v>
      </c>
      <c r="N4" t="str">
        <f t="shared" si="3"/>
        <v>Pass, Fail</v>
      </c>
    </row>
    <row r="5" spans="1:14">
      <c r="H5" s="13">
        <f t="shared" si="0"/>
        <v>2</v>
      </c>
      <c r="I5" t="str" cm="1">
        <f t="array" ref="I5">_xlfn.IFS(H5&lt;1,"No",H5=1,"Yes",H5&gt;1,_xlfn.TEXTJOIN("",TRUE,"Yes x",H5))</f>
        <v>Yes x2</v>
      </c>
      <c r="J5" s="13">
        <f t="shared" si="1"/>
        <v>1</v>
      </c>
      <c r="K5" s="13">
        <f t="shared" si="2"/>
        <v>1</v>
      </c>
      <c r="L5" s="13" t="str" cm="1">
        <f t="array" ref="L5">_xlfn.IFS(J5&lt;1,"",J5=1,"Pass",J5&gt;1,_xlfn.TEXTJOIN("",TRUE,"Pass x",J5))</f>
        <v>Pass</v>
      </c>
      <c r="M5" s="13" t="str" cm="1">
        <f t="array" ref="M5">_xlfn.IFS(K5&lt;1,"",K5=1,"Fail",K5&gt;1,_xlfn.TEXTJOIN("",TRUE,"Fail x",K5))</f>
        <v>Fail</v>
      </c>
      <c r="N5" t="str">
        <f t="shared" si="3"/>
        <v>Pass, Fail</v>
      </c>
    </row>
    <row r="6" spans="1:14">
      <c r="H6" s="13">
        <f t="shared" si="0"/>
        <v>2</v>
      </c>
      <c r="I6" t="str" cm="1">
        <f t="array" ref="I6">_xlfn.IFS(H6&lt;1,"No",H6=1,"Yes",H6&gt;1,_xlfn.TEXTJOIN("",TRUE,"Yes x",H6))</f>
        <v>Yes x2</v>
      </c>
      <c r="J6" s="13">
        <f t="shared" si="1"/>
        <v>1</v>
      </c>
      <c r="K6" s="13">
        <f t="shared" si="2"/>
        <v>1</v>
      </c>
      <c r="L6" s="13" t="str" cm="1">
        <f t="array" ref="L6">_xlfn.IFS(J6&lt;1,"",J6=1,"Pass",J6&gt;1,_xlfn.TEXTJOIN("",TRUE,"Pass x",J6))</f>
        <v>Pass</v>
      </c>
      <c r="M6" s="13" t="str" cm="1">
        <f t="array" ref="M6">_xlfn.IFS(K6&lt;1,"",K6=1,"Fail",K6&gt;1,_xlfn.TEXTJOIN("",TRUE,"Fail x",K6))</f>
        <v>Fail</v>
      </c>
      <c r="N6" t="str">
        <f t="shared" si="3"/>
        <v>Pass, Fail</v>
      </c>
    </row>
    <row r="7" spans="1:14">
      <c r="H7" s="13">
        <f t="shared" si="0"/>
        <v>2</v>
      </c>
      <c r="I7" t="str" cm="1">
        <f t="array" ref="I7">_xlfn.IFS(H7&lt;1,"No",H7=1,"Yes",H7&gt;1,_xlfn.TEXTJOIN("",TRUE,"Yes x",H7))</f>
        <v>Yes x2</v>
      </c>
      <c r="J7" s="13">
        <f t="shared" si="1"/>
        <v>1</v>
      </c>
      <c r="K7" s="13">
        <f t="shared" si="2"/>
        <v>1</v>
      </c>
      <c r="L7" s="13" t="str" cm="1">
        <f t="array" ref="L7">_xlfn.IFS(J7&lt;1,"",J7=1,"Pass",J7&gt;1,_xlfn.TEXTJOIN("",TRUE,"Pass x",J7))</f>
        <v>Pass</v>
      </c>
      <c r="M7" s="13" t="str" cm="1">
        <f t="array" ref="M7">_xlfn.IFS(K7&lt;1,"",K7=1,"Fail",K7&gt;1,_xlfn.TEXTJOIN("",TRUE,"Fail x",K7))</f>
        <v>Fail</v>
      </c>
      <c r="N7" t="str">
        <f t="shared" si="3"/>
        <v>Pass, Fail</v>
      </c>
    </row>
    <row r="8" spans="1:14">
      <c r="H8" s="13">
        <f t="shared" si="0"/>
        <v>2</v>
      </c>
      <c r="I8" t="str" cm="1">
        <f t="array" ref="I8">_xlfn.IFS(H8&lt;1,"No",H8=1,"Yes",H8&gt;1,_xlfn.TEXTJOIN("",TRUE,"Yes x",H8))</f>
        <v>Yes x2</v>
      </c>
      <c r="J8" s="13">
        <f t="shared" si="1"/>
        <v>1</v>
      </c>
      <c r="K8" s="13">
        <f t="shared" si="2"/>
        <v>1</v>
      </c>
      <c r="L8" s="13" t="str" cm="1">
        <f t="array" ref="L8">_xlfn.IFS(J8&lt;1,"",J8=1,"Pass",J8&gt;1,_xlfn.TEXTJOIN("",TRUE,"Pass x",J8))</f>
        <v>Pass</v>
      </c>
      <c r="M8" s="13" t="str" cm="1">
        <f t="array" ref="M8">_xlfn.IFS(K8&lt;1,"",K8=1,"Fail",K8&gt;1,_xlfn.TEXTJOIN("",TRUE,"Fail x",K8))</f>
        <v>Fail</v>
      </c>
      <c r="N8" t="str">
        <f t="shared" si="3"/>
        <v>Pass, Fail</v>
      </c>
    </row>
    <row r="9" spans="1:14">
      <c r="H9" s="13">
        <f t="shared" si="0"/>
        <v>2</v>
      </c>
      <c r="I9" t="str" cm="1">
        <f t="array" ref="I9">_xlfn.IFS(H9&lt;1,"No",H9=1,"Yes",H9&gt;1,_xlfn.TEXTJOIN("",TRUE,"Yes x",H9))</f>
        <v>Yes x2</v>
      </c>
      <c r="J9" s="13">
        <f t="shared" si="1"/>
        <v>1</v>
      </c>
      <c r="K9" s="13">
        <f t="shared" si="2"/>
        <v>1</v>
      </c>
      <c r="L9" s="13" t="str" cm="1">
        <f t="array" ref="L9">_xlfn.IFS(J9&lt;1,"",J9=1,"Pass",J9&gt;1,_xlfn.TEXTJOIN("",TRUE,"Pass x",J9))</f>
        <v>Pass</v>
      </c>
      <c r="M9" s="13" t="str" cm="1">
        <f t="array" ref="M9">_xlfn.IFS(K9&lt;1,"",K9=1,"Fail",K9&gt;1,_xlfn.TEXTJOIN("",TRUE,"Fail x",K9))</f>
        <v>Fail</v>
      </c>
      <c r="N9" t="str">
        <f t="shared" si="3"/>
        <v>Pass, Fail</v>
      </c>
    </row>
    <row r="10" spans="1:14">
      <c r="H10" s="13">
        <f t="shared" si="0"/>
        <v>2</v>
      </c>
      <c r="I10" t="str" cm="1">
        <f t="array" ref="I10">_xlfn.IFS(H10&lt;1,"No",H10=1,"Yes",H10&gt;1,_xlfn.TEXTJOIN("",TRUE,"Yes x",H10))</f>
        <v>Yes x2</v>
      </c>
      <c r="J10" s="13">
        <f t="shared" si="1"/>
        <v>1</v>
      </c>
      <c r="K10" s="13">
        <f t="shared" si="2"/>
        <v>1</v>
      </c>
      <c r="L10" s="13" t="str" cm="1">
        <f t="array" ref="L10">_xlfn.IFS(J10&lt;1,"",J10=1,"Pass",J10&gt;1,_xlfn.TEXTJOIN("",TRUE,"Pass x",J10))</f>
        <v>Pass</v>
      </c>
      <c r="M10" s="13" t="str" cm="1">
        <f t="array" ref="M10">_xlfn.IFS(K10&lt;1,"",K10=1,"Fail",K10&gt;1,_xlfn.TEXTJOIN("",TRUE,"Fail x",K10))</f>
        <v>Fail</v>
      </c>
      <c r="N10" t="str">
        <f t="shared" si="3"/>
        <v>Pass, Fail</v>
      </c>
    </row>
    <row r="11" spans="1:14">
      <c r="H11" s="13">
        <f t="shared" si="0"/>
        <v>2</v>
      </c>
      <c r="I11" t="str" cm="1">
        <f t="array" ref="I11">_xlfn.IFS(H11&lt;1,"No",H11=1,"Yes",H11&gt;1,_xlfn.TEXTJOIN("",TRUE,"Yes x",H11))</f>
        <v>Yes x2</v>
      </c>
      <c r="J11" s="13">
        <f t="shared" si="1"/>
        <v>1</v>
      </c>
      <c r="K11" s="13">
        <f t="shared" si="2"/>
        <v>1</v>
      </c>
      <c r="L11" s="13" t="str" cm="1">
        <f t="array" ref="L11">_xlfn.IFS(J11&lt;1,"",J11=1,"Pass",J11&gt;1,_xlfn.TEXTJOIN("",TRUE,"Pass x",J11))</f>
        <v>Pass</v>
      </c>
      <c r="M11" s="13" t="str" cm="1">
        <f t="array" ref="M11">_xlfn.IFS(K11&lt;1,"",K11=1,"Fail",K11&gt;1,_xlfn.TEXTJOIN("",TRUE,"Fail x",K11))</f>
        <v>Fail</v>
      </c>
      <c r="N11" t="str">
        <f t="shared" si="3"/>
        <v>Pass, Fail</v>
      </c>
    </row>
    <row r="12" spans="1:14">
      <c r="H12" s="13">
        <f t="shared" si="0"/>
        <v>2</v>
      </c>
      <c r="I12" t="str" cm="1">
        <f t="array" ref="I12">_xlfn.IFS(H12&lt;1,"No",H12=1,"Yes",H12&gt;1,_xlfn.TEXTJOIN("",TRUE,"Yes x",H12))</f>
        <v>Yes x2</v>
      </c>
      <c r="J12" s="13">
        <f t="shared" si="1"/>
        <v>1</v>
      </c>
      <c r="K12" s="13">
        <f t="shared" si="2"/>
        <v>1</v>
      </c>
      <c r="L12" s="13" t="str" cm="1">
        <f t="array" ref="L12">_xlfn.IFS(J12&lt;1,"",J12=1,"Pass",J12&gt;1,_xlfn.TEXTJOIN("",TRUE,"Pass x",J12))</f>
        <v>Pass</v>
      </c>
      <c r="M12" s="13" t="str" cm="1">
        <f t="array" ref="M12">_xlfn.IFS(K12&lt;1,"",K12=1,"Fail",K12&gt;1,_xlfn.TEXTJOIN("",TRUE,"Fail x",K12))</f>
        <v>Fail</v>
      </c>
      <c r="N12" t="str">
        <f t="shared" si="3"/>
        <v>Pass, Fail</v>
      </c>
    </row>
    <row r="13" spans="1:14">
      <c r="H13" s="13">
        <f t="shared" si="0"/>
        <v>2</v>
      </c>
      <c r="I13" t="str" cm="1">
        <f t="array" ref="I13">_xlfn.IFS(H13&lt;1,"No",H13=1,"Yes",H13&gt;1,_xlfn.TEXTJOIN("",TRUE,"Yes x",H13))</f>
        <v>Yes x2</v>
      </c>
      <c r="J13" s="13">
        <f t="shared" si="1"/>
        <v>1</v>
      </c>
      <c r="K13" s="13">
        <f t="shared" si="2"/>
        <v>1</v>
      </c>
      <c r="L13" s="13" t="str" cm="1">
        <f t="array" ref="L13">_xlfn.IFS(J13&lt;1,"",J13=1,"Pass",J13&gt;1,_xlfn.TEXTJOIN("",TRUE,"Pass x",J13))</f>
        <v>Pass</v>
      </c>
      <c r="M13" s="13" t="str" cm="1">
        <f t="array" ref="M13">_xlfn.IFS(K13&lt;1,"",K13=1,"Fail",K13&gt;1,_xlfn.TEXTJOIN("",TRUE,"Fail x",K13))</f>
        <v>Fail</v>
      </c>
      <c r="N13" t="str">
        <f t="shared" si="3"/>
        <v>Pass, Fail</v>
      </c>
    </row>
    <row r="14" spans="1:14">
      <c r="H14" s="13">
        <f t="shared" si="0"/>
        <v>2</v>
      </c>
      <c r="I14" t="str" cm="1">
        <f t="array" ref="I14">_xlfn.IFS(H14&lt;1,"No",H14=1,"Yes",H14&gt;1,_xlfn.TEXTJOIN("",TRUE,"Yes x",H14))</f>
        <v>Yes x2</v>
      </c>
      <c r="J14" s="13">
        <f t="shared" si="1"/>
        <v>1</v>
      </c>
      <c r="K14" s="13">
        <f t="shared" si="2"/>
        <v>1</v>
      </c>
      <c r="L14" s="13" t="str" cm="1">
        <f t="array" ref="L14">_xlfn.IFS(J14&lt;1,"",J14=1,"Pass",J14&gt;1,_xlfn.TEXTJOIN("",TRUE,"Pass x",J14))</f>
        <v>Pass</v>
      </c>
      <c r="M14" s="13" t="str" cm="1">
        <f t="array" ref="M14">_xlfn.IFS(K14&lt;1,"",K14=1,"Fail",K14&gt;1,_xlfn.TEXTJOIN("",TRUE,"Fail x",K14))</f>
        <v>Fail</v>
      </c>
      <c r="N14" t="str">
        <f t="shared" si="3"/>
        <v>Pass, Fail</v>
      </c>
    </row>
    <row r="15" spans="1:14">
      <c r="H15" s="13">
        <f t="shared" si="0"/>
        <v>2</v>
      </c>
      <c r="I15" t="str" cm="1">
        <f t="array" ref="I15">_xlfn.IFS(H15&lt;1,"No",H15=1,"Yes",H15&gt;1,_xlfn.TEXTJOIN("",TRUE,"Yes x",H15))</f>
        <v>Yes x2</v>
      </c>
      <c r="J15" s="13">
        <f t="shared" si="1"/>
        <v>1</v>
      </c>
      <c r="K15" s="13">
        <f t="shared" si="2"/>
        <v>1</v>
      </c>
      <c r="L15" s="13" t="str" cm="1">
        <f t="array" ref="L15">_xlfn.IFS(J15&lt;1,"",J15=1,"Pass",J15&gt;1,_xlfn.TEXTJOIN("",TRUE,"Pass x",J15))</f>
        <v>Pass</v>
      </c>
      <c r="M15" s="13" t="str" cm="1">
        <f t="array" ref="M15">_xlfn.IFS(K15&lt;1,"",K15=1,"Fail",K15&gt;1,_xlfn.TEXTJOIN("",TRUE,"Fail x",K15))</f>
        <v>Fail</v>
      </c>
      <c r="N15" t="str">
        <f t="shared" si="3"/>
        <v>Pass, Fail</v>
      </c>
    </row>
    <row r="16" spans="1:14">
      <c r="H16" s="13">
        <f t="shared" si="0"/>
        <v>2</v>
      </c>
      <c r="I16" t="str" cm="1">
        <f t="array" ref="I16">_xlfn.IFS(H16&lt;1,"No",H16=1,"Yes",H16&gt;1,_xlfn.TEXTJOIN("",TRUE,"Yes x",H16))</f>
        <v>Yes x2</v>
      </c>
      <c r="J16" s="13">
        <f t="shared" si="1"/>
        <v>1</v>
      </c>
      <c r="K16" s="13">
        <f t="shared" si="2"/>
        <v>1</v>
      </c>
      <c r="L16" s="13" t="str" cm="1">
        <f t="array" ref="L16">_xlfn.IFS(J16&lt;1,"",J16=1,"Pass",J16&gt;1,_xlfn.TEXTJOIN("",TRUE,"Pass x",J16))</f>
        <v>Pass</v>
      </c>
      <c r="M16" s="13" t="str" cm="1">
        <f t="array" ref="M16">_xlfn.IFS(K16&lt;1,"",K16=1,"Fail",K16&gt;1,_xlfn.TEXTJOIN("",TRUE,"Fail x",K16))</f>
        <v>Fail</v>
      </c>
      <c r="N16" t="str">
        <f t="shared" si="3"/>
        <v>Pass, Fail</v>
      </c>
    </row>
    <row r="17" spans="8:14">
      <c r="H17" s="13">
        <f t="shared" si="0"/>
        <v>2</v>
      </c>
      <c r="I17" t="str" cm="1">
        <f t="array" ref="I17">_xlfn.IFS(H17&lt;1,"No",H17=1,"Yes",H17&gt;1,_xlfn.TEXTJOIN("",TRUE,"Yes x",H17))</f>
        <v>Yes x2</v>
      </c>
      <c r="J17" s="13">
        <f t="shared" si="1"/>
        <v>1</v>
      </c>
      <c r="K17" s="13">
        <f t="shared" si="2"/>
        <v>1</v>
      </c>
      <c r="L17" s="13" t="str" cm="1">
        <f t="array" ref="L17">_xlfn.IFS(J17&lt;1,"",J17=1,"Pass",J17&gt;1,_xlfn.TEXTJOIN("",TRUE,"Pass x",J17))</f>
        <v>Pass</v>
      </c>
      <c r="M17" s="13" t="str" cm="1">
        <f t="array" ref="M17">_xlfn.IFS(K17&lt;1,"",K17=1,"Fail",K17&gt;1,_xlfn.TEXTJOIN("",TRUE,"Fail x",K17))</f>
        <v>Fail</v>
      </c>
      <c r="N17" t="str">
        <f t="shared" si="3"/>
        <v>Pass, Fail</v>
      </c>
    </row>
    <row r="18" spans="8:14">
      <c r="H18" s="13">
        <f t="shared" si="0"/>
        <v>2</v>
      </c>
      <c r="I18" t="str" cm="1">
        <f t="array" ref="I18">_xlfn.IFS(H18&lt;1,"No",H18=1,"Yes",H18&gt;1,_xlfn.TEXTJOIN("",TRUE,"Yes x",H18))</f>
        <v>Yes x2</v>
      </c>
      <c r="J18" s="13">
        <f t="shared" si="1"/>
        <v>1</v>
      </c>
      <c r="K18" s="13">
        <f t="shared" si="2"/>
        <v>1</v>
      </c>
      <c r="L18" s="13" t="str" cm="1">
        <f t="array" ref="L18">_xlfn.IFS(J18&lt;1,"",J18=1,"Pass",J18&gt;1,_xlfn.TEXTJOIN("",TRUE,"Pass x",J18))</f>
        <v>Pass</v>
      </c>
      <c r="M18" s="13" t="str" cm="1">
        <f t="array" ref="M18">_xlfn.IFS(K18&lt;1,"",K18=1,"Fail",K18&gt;1,_xlfn.TEXTJOIN("",TRUE,"Fail x",K18))</f>
        <v>Fail</v>
      </c>
      <c r="N18" t="str">
        <f t="shared" si="3"/>
        <v>Pass, Fail</v>
      </c>
    </row>
    <row r="19" spans="8:14">
      <c r="H19" s="13">
        <f t="shared" si="0"/>
        <v>2</v>
      </c>
      <c r="I19" t="str" cm="1">
        <f t="array" ref="I19">_xlfn.IFS(H19&lt;1,"No",H19=1,"Yes",H19&gt;1,_xlfn.TEXTJOIN("",TRUE,"Yes x",H19))</f>
        <v>Yes x2</v>
      </c>
      <c r="J19" s="13">
        <f t="shared" si="1"/>
        <v>1</v>
      </c>
      <c r="K19" s="13">
        <f t="shared" si="2"/>
        <v>1</v>
      </c>
      <c r="L19" s="13" t="str" cm="1">
        <f t="array" ref="L19">_xlfn.IFS(J19&lt;1,"",J19=1,"Pass",J19&gt;1,_xlfn.TEXTJOIN("",TRUE,"Pass x",J19))</f>
        <v>Pass</v>
      </c>
      <c r="M19" s="13" t="str" cm="1">
        <f t="array" ref="M19">_xlfn.IFS(K19&lt;1,"",K19=1,"Fail",K19&gt;1,_xlfn.TEXTJOIN("",TRUE,"Fail x",K19))</f>
        <v>Fail</v>
      </c>
      <c r="N19" t="str">
        <f t="shared" si="3"/>
        <v>Pass, Fail</v>
      </c>
    </row>
    <row r="20" spans="8:14">
      <c r="H20" s="13">
        <f t="shared" si="0"/>
        <v>2</v>
      </c>
      <c r="I20" t="str" cm="1">
        <f t="array" ref="I20">_xlfn.IFS(H20&lt;1,"No",H20=1,"Yes",H20&gt;1,_xlfn.TEXTJOIN("",TRUE,"Yes x",H20))</f>
        <v>Yes x2</v>
      </c>
      <c r="J20" s="13">
        <f t="shared" si="1"/>
        <v>1</v>
      </c>
      <c r="K20" s="13">
        <f t="shared" si="2"/>
        <v>1</v>
      </c>
      <c r="L20" s="13" t="str" cm="1">
        <f t="array" ref="L20">_xlfn.IFS(J20&lt;1,"",J20=1,"Pass",J20&gt;1,_xlfn.TEXTJOIN("",TRUE,"Pass x",J20))</f>
        <v>Pass</v>
      </c>
      <c r="M20" s="13" t="str" cm="1">
        <f t="array" ref="M20">_xlfn.IFS(K20&lt;1,"",K20=1,"Fail",K20&gt;1,_xlfn.TEXTJOIN("",TRUE,"Fail x",K20))</f>
        <v>Fail</v>
      </c>
      <c r="N20" t="str">
        <f t="shared" si="3"/>
        <v>Pass, Fail</v>
      </c>
    </row>
    <row r="21" spans="8:14">
      <c r="H21" s="13">
        <f t="shared" si="0"/>
        <v>2</v>
      </c>
      <c r="I21" t="str" cm="1">
        <f t="array" ref="I21">_xlfn.IFS(H21&lt;1,"No",H21=1,"Yes",H21&gt;1,_xlfn.TEXTJOIN("",TRUE,"Yes x",H21))</f>
        <v>Yes x2</v>
      </c>
      <c r="J21" s="13">
        <f t="shared" si="1"/>
        <v>1</v>
      </c>
      <c r="K21" s="13">
        <f t="shared" si="2"/>
        <v>1</v>
      </c>
      <c r="L21" s="13" t="str" cm="1">
        <f t="array" ref="L21">_xlfn.IFS(J21&lt;1,"",J21=1,"Pass",J21&gt;1,_xlfn.TEXTJOIN("",TRUE,"Pass x",J21))</f>
        <v>Pass</v>
      </c>
      <c r="M21" s="13" t="str" cm="1">
        <f t="array" ref="M21">_xlfn.IFS(K21&lt;1,"",K21=1,"Fail",K21&gt;1,_xlfn.TEXTJOIN("",TRUE,"Fail x",K21))</f>
        <v>Fail</v>
      </c>
      <c r="N21" t="str">
        <f t="shared" si="3"/>
        <v>Pass, Fail</v>
      </c>
    </row>
    <row r="22" spans="8:14">
      <c r="H22" s="13">
        <f t="shared" si="0"/>
        <v>2</v>
      </c>
      <c r="I22" t="str" cm="1">
        <f t="array" ref="I22">_xlfn.IFS(H22&lt;1,"No",H22=1,"Yes",H22&gt;1,_xlfn.TEXTJOIN("",TRUE,"Yes x",H22))</f>
        <v>Yes x2</v>
      </c>
      <c r="J22" s="13">
        <f t="shared" si="1"/>
        <v>1</v>
      </c>
      <c r="K22" s="13">
        <f t="shared" si="2"/>
        <v>1</v>
      </c>
      <c r="L22" s="13" t="str" cm="1">
        <f t="array" ref="L22">_xlfn.IFS(J22&lt;1,"",J22=1,"Pass",J22&gt;1,_xlfn.TEXTJOIN("",TRUE,"Pass x",J22))</f>
        <v>Pass</v>
      </c>
      <c r="M22" s="13" t="str" cm="1">
        <f t="array" ref="M22">_xlfn.IFS(K22&lt;1,"",K22=1,"Fail",K22&gt;1,_xlfn.TEXTJOIN("",TRUE,"Fail x",K22))</f>
        <v>Fail</v>
      </c>
      <c r="N22" t="str">
        <f t="shared" si="3"/>
        <v>Pass, Fail</v>
      </c>
    </row>
    <row r="23" spans="8:14">
      <c r="H23" s="13">
        <f t="shared" si="0"/>
        <v>2</v>
      </c>
      <c r="I23" t="str" cm="1">
        <f t="array" ref="I23">_xlfn.IFS(H23&lt;1,"No",H23=1,"Yes",H23&gt;1,_xlfn.TEXTJOIN("",TRUE,"Yes x",H23))</f>
        <v>Yes x2</v>
      </c>
      <c r="J23" s="13">
        <f t="shared" si="1"/>
        <v>1</v>
      </c>
      <c r="K23" s="13">
        <f t="shared" si="2"/>
        <v>1</v>
      </c>
      <c r="L23" s="13" t="str" cm="1">
        <f t="array" ref="L23">_xlfn.IFS(J23&lt;1,"",J23=1,"Pass",J23&gt;1,_xlfn.TEXTJOIN("",TRUE,"Pass x",J23))</f>
        <v>Pass</v>
      </c>
      <c r="M23" s="13" t="str" cm="1">
        <f t="array" ref="M23">_xlfn.IFS(K23&lt;1,"",K23=1,"Fail",K23&gt;1,_xlfn.TEXTJOIN("",TRUE,"Fail x",K23))</f>
        <v>Fail</v>
      </c>
      <c r="N23" t="str">
        <f t="shared" si="3"/>
        <v>Pass, Fail</v>
      </c>
    </row>
    <row r="24" spans="8:14">
      <c r="H24" s="13">
        <f t="shared" si="0"/>
        <v>2</v>
      </c>
      <c r="I24" t="str" cm="1">
        <f t="array" ref="I24">_xlfn.IFS(H24&lt;1,"No",H24=1,"Yes",H24&gt;1,_xlfn.TEXTJOIN("",TRUE,"Yes x",H24))</f>
        <v>Yes x2</v>
      </c>
      <c r="J24" s="13">
        <f t="shared" si="1"/>
        <v>1</v>
      </c>
      <c r="K24" s="13">
        <f t="shared" si="2"/>
        <v>1</v>
      </c>
      <c r="L24" s="13" t="str" cm="1">
        <f t="array" ref="L24">_xlfn.IFS(J24&lt;1,"",J24=1,"Pass",J24&gt;1,_xlfn.TEXTJOIN("",TRUE,"Pass x",J24))</f>
        <v>Pass</v>
      </c>
      <c r="M24" s="13" t="str" cm="1">
        <f t="array" ref="M24">_xlfn.IFS(K24&lt;1,"",K24=1,"Fail",K24&gt;1,_xlfn.TEXTJOIN("",TRUE,"Fail x",K24))</f>
        <v>Fail</v>
      </c>
      <c r="N24" t="str">
        <f t="shared" si="3"/>
        <v>Pass, Fail</v>
      </c>
    </row>
    <row r="25" spans="8:14">
      <c r="H25" s="13">
        <f t="shared" si="0"/>
        <v>2</v>
      </c>
      <c r="I25" t="str" cm="1">
        <f t="array" ref="I25">_xlfn.IFS(H25&lt;1,"No",H25=1,"Yes",H25&gt;1,_xlfn.TEXTJOIN("",TRUE,"Yes x",H25))</f>
        <v>Yes x2</v>
      </c>
      <c r="J25" s="13">
        <f t="shared" si="1"/>
        <v>1</v>
      </c>
      <c r="K25" s="13">
        <f t="shared" si="2"/>
        <v>1</v>
      </c>
      <c r="L25" s="13" t="str" cm="1">
        <f t="array" ref="L25">_xlfn.IFS(J25&lt;1,"",J25=1,"Pass",J25&gt;1,_xlfn.TEXTJOIN("",TRUE,"Pass x",J25))</f>
        <v>Pass</v>
      </c>
      <c r="M25" s="13" t="str" cm="1">
        <f t="array" ref="M25">_xlfn.IFS(K25&lt;1,"",K25=1,"Fail",K25&gt;1,_xlfn.TEXTJOIN("",TRUE,"Fail x",K25))</f>
        <v>Fail</v>
      </c>
      <c r="N25" t="str">
        <f t="shared" si="3"/>
        <v>Pass, Fail</v>
      </c>
    </row>
    <row r="26" spans="8:14">
      <c r="H26" s="13">
        <f t="shared" si="0"/>
        <v>2</v>
      </c>
      <c r="I26" t="str" cm="1">
        <f t="array" ref="I26">_xlfn.IFS(H26&lt;1,"No",H26=1,"Yes",H26&gt;1,_xlfn.TEXTJOIN("",TRUE,"Yes x",H26))</f>
        <v>Yes x2</v>
      </c>
      <c r="J26" s="13">
        <f t="shared" si="1"/>
        <v>1</v>
      </c>
      <c r="K26" s="13">
        <f t="shared" si="2"/>
        <v>1</v>
      </c>
      <c r="L26" s="13" t="str" cm="1">
        <f t="array" ref="L26">_xlfn.IFS(J26&lt;1,"",J26=1,"Pass",J26&gt;1,_xlfn.TEXTJOIN("",TRUE,"Pass x",J26))</f>
        <v>Pass</v>
      </c>
      <c r="M26" s="13" t="str" cm="1">
        <f t="array" ref="M26">_xlfn.IFS(K26&lt;1,"",K26=1,"Fail",K26&gt;1,_xlfn.TEXTJOIN("",TRUE,"Fail x",K26))</f>
        <v>Fail</v>
      </c>
      <c r="N26" t="str">
        <f t="shared" si="3"/>
        <v>Pass, Fail</v>
      </c>
    </row>
    <row r="27" spans="8:14">
      <c r="H27" s="13">
        <f t="shared" si="0"/>
        <v>2</v>
      </c>
      <c r="I27" t="str" cm="1">
        <f t="array" ref="I27">_xlfn.IFS(H27&lt;1,"No",H27=1,"Yes",H27&gt;1,_xlfn.TEXTJOIN("",TRUE,"Yes x",H27))</f>
        <v>Yes x2</v>
      </c>
      <c r="J27" s="13">
        <f t="shared" si="1"/>
        <v>1</v>
      </c>
      <c r="K27" s="13">
        <f t="shared" si="2"/>
        <v>1</v>
      </c>
      <c r="L27" s="13" t="str" cm="1">
        <f t="array" ref="L27">_xlfn.IFS(J27&lt;1,"",J27=1,"Pass",J27&gt;1,_xlfn.TEXTJOIN("",TRUE,"Pass x",J27))</f>
        <v>Pass</v>
      </c>
      <c r="M27" s="13" t="str" cm="1">
        <f t="array" ref="M27">_xlfn.IFS(K27&lt;1,"",K27=1,"Fail",K27&gt;1,_xlfn.TEXTJOIN("",TRUE,"Fail x",K27))</f>
        <v>Fail</v>
      </c>
      <c r="N27" t="str">
        <f t="shared" si="3"/>
        <v>Pass, Fail</v>
      </c>
    </row>
    <row r="28" spans="8:14">
      <c r="H28" s="13">
        <f t="shared" si="0"/>
        <v>2</v>
      </c>
      <c r="I28" t="str" cm="1">
        <f t="array" ref="I28">_xlfn.IFS(H28&lt;1,"No",H28=1,"Yes",H28&gt;1,_xlfn.TEXTJOIN("",TRUE,"Yes x",H28))</f>
        <v>Yes x2</v>
      </c>
      <c r="J28" s="13">
        <f t="shared" si="1"/>
        <v>1</v>
      </c>
      <c r="K28" s="13">
        <f t="shared" si="2"/>
        <v>1</v>
      </c>
      <c r="L28" s="13" t="str" cm="1">
        <f t="array" ref="L28">_xlfn.IFS(J28&lt;1,"",J28=1,"Pass",J28&gt;1,_xlfn.TEXTJOIN("",TRUE,"Pass x",J28))</f>
        <v>Pass</v>
      </c>
      <c r="M28" s="13" t="str" cm="1">
        <f t="array" ref="M28">_xlfn.IFS(K28&lt;1,"",K28=1,"Fail",K28&gt;1,_xlfn.TEXTJOIN("",TRUE,"Fail x",K28))</f>
        <v>Fail</v>
      </c>
      <c r="N28" t="str">
        <f t="shared" si="3"/>
        <v>Pass, Fail</v>
      </c>
    </row>
    <row r="29" spans="8:14">
      <c r="H29" s="13">
        <f t="shared" si="0"/>
        <v>2</v>
      </c>
      <c r="I29" t="str" cm="1">
        <f t="array" ref="I29">_xlfn.IFS(H29&lt;1,"No",H29=1,"Yes",H29&gt;1,_xlfn.TEXTJOIN("",TRUE,"Yes x",H29))</f>
        <v>Yes x2</v>
      </c>
      <c r="J29" s="13">
        <f t="shared" si="1"/>
        <v>1</v>
      </c>
      <c r="K29" s="13">
        <f t="shared" si="2"/>
        <v>1</v>
      </c>
      <c r="L29" s="13" t="str" cm="1">
        <f t="array" ref="L29">_xlfn.IFS(J29&lt;1,"",J29=1,"Pass",J29&gt;1,_xlfn.TEXTJOIN("",TRUE,"Pass x",J29))</f>
        <v>Pass</v>
      </c>
      <c r="M29" s="13" t="str" cm="1">
        <f t="array" ref="M29">_xlfn.IFS(K29&lt;1,"",K29=1,"Fail",K29&gt;1,_xlfn.TEXTJOIN("",TRUE,"Fail x",K29))</f>
        <v>Fail</v>
      </c>
      <c r="N29" t="str">
        <f t="shared" si="3"/>
        <v>Pass, Fail</v>
      </c>
    </row>
    <row r="30" spans="8:14">
      <c r="H30" s="13">
        <f t="shared" si="0"/>
        <v>2</v>
      </c>
      <c r="I30" t="str" cm="1">
        <f t="array" ref="I30">_xlfn.IFS(H30&lt;1,"No",H30=1,"Yes",H30&gt;1,_xlfn.TEXTJOIN("",TRUE,"Yes x",H30))</f>
        <v>Yes x2</v>
      </c>
      <c r="J30" s="13">
        <f t="shared" si="1"/>
        <v>1</v>
      </c>
      <c r="K30" s="13">
        <f t="shared" si="2"/>
        <v>1</v>
      </c>
      <c r="L30" s="13" t="str" cm="1">
        <f t="array" ref="L30">_xlfn.IFS(J30&lt;1,"",J30=1,"Pass",J30&gt;1,_xlfn.TEXTJOIN("",TRUE,"Pass x",J30))</f>
        <v>Pass</v>
      </c>
      <c r="M30" s="13" t="str" cm="1">
        <f t="array" ref="M30">_xlfn.IFS(K30&lt;1,"",K30=1,"Fail",K30&gt;1,_xlfn.TEXTJOIN("",TRUE,"Fail x",K30))</f>
        <v>Fail</v>
      </c>
      <c r="N30" t="str">
        <f t="shared" si="3"/>
        <v>Pass, Fail</v>
      </c>
    </row>
    <row r="31" spans="8:14">
      <c r="H31" s="13">
        <f t="shared" si="0"/>
        <v>2</v>
      </c>
      <c r="I31" t="str" cm="1">
        <f t="array" ref="I31">_xlfn.IFS(H31&lt;1,"No",H31=1,"Yes",H31&gt;1,_xlfn.TEXTJOIN("",TRUE,"Yes x",H31))</f>
        <v>Yes x2</v>
      </c>
      <c r="J31" s="13">
        <f t="shared" si="1"/>
        <v>1</v>
      </c>
      <c r="K31" s="13">
        <f t="shared" si="2"/>
        <v>1</v>
      </c>
      <c r="L31" s="13" t="str" cm="1">
        <f t="array" ref="L31">_xlfn.IFS(J31&lt;1,"",J31=1,"Pass",J31&gt;1,_xlfn.TEXTJOIN("",TRUE,"Pass x",J31))</f>
        <v>Pass</v>
      </c>
      <c r="M31" s="13" t="str" cm="1">
        <f t="array" ref="M31">_xlfn.IFS(K31&lt;1,"",K31=1,"Fail",K31&gt;1,_xlfn.TEXTJOIN("",TRUE,"Fail x",K31))</f>
        <v>Fail</v>
      </c>
      <c r="N31" t="str">
        <f t="shared" si="3"/>
        <v>Pass, Fail</v>
      </c>
    </row>
    <row r="32" spans="8:14">
      <c r="H32" s="13">
        <f t="shared" si="0"/>
        <v>2</v>
      </c>
      <c r="I32" t="str" cm="1">
        <f t="array" ref="I32">_xlfn.IFS(H32&lt;1,"No",H32=1,"Yes",H32&gt;1,_xlfn.TEXTJOIN("",TRUE,"Yes x",H32))</f>
        <v>Yes x2</v>
      </c>
      <c r="J32" s="13">
        <f t="shared" si="1"/>
        <v>1</v>
      </c>
      <c r="K32" s="13">
        <f t="shared" si="2"/>
        <v>1</v>
      </c>
      <c r="L32" s="13" t="str" cm="1">
        <f t="array" ref="L32">_xlfn.IFS(J32&lt;1,"",J32=1,"Pass",J32&gt;1,_xlfn.TEXTJOIN("",TRUE,"Pass x",J32))</f>
        <v>Pass</v>
      </c>
      <c r="M32" s="13" t="str" cm="1">
        <f t="array" ref="M32">_xlfn.IFS(K32&lt;1,"",K32=1,"Fail",K32&gt;1,_xlfn.TEXTJOIN("",TRUE,"Fail x",K32))</f>
        <v>Fail</v>
      </c>
      <c r="N32" t="str">
        <f t="shared" si="3"/>
        <v>Pass, Fail</v>
      </c>
    </row>
    <row r="33" spans="8:14">
      <c r="H33" s="13">
        <f t="shared" si="0"/>
        <v>2</v>
      </c>
      <c r="I33" t="str" cm="1">
        <f t="array" ref="I33">_xlfn.IFS(H33&lt;1,"No",H33=1,"Yes",H33&gt;1,_xlfn.TEXTJOIN("",TRUE,"Yes x",H33))</f>
        <v>Yes x2</v>
      </c>
      <c r="J33" s="13">
        <f t="shared" si="1"/>
        <v>1</v>
      </c>
      <c r="K33" s="13">
        <f t="shared" si="2"/>
        <v>1</v>
      </c>
      <c r="L33" s="13" t="str" cm="1">
        <f t="array" ref="L33">_xlfn.IFS(J33&lt;1,"",J33=1,"Pass",J33&gt;1,_xlfn.TEXTJOIN("",TRUE,"Pass x",J33))</f>
        <v>Pass</v>
      </c>
      <c r="M33" s="13" t="str" cm="1">
        <f t="array" ref="M33">_xlfn.IFS(K33&lt;1,"",K33=1,"Fail",K33&gt;1,_xlfn.TEXTJOIN("",TRUE,"Fail x",K33))</f>
        <v>Fail</v>
      </c>
      <c r="N33" t="str">
        <f t="shared" si="3"/>
        <v>Pass, Fail</v>
      </c>
    </row>
    <row r="34" spans="8:14">
      <c r="H34" s="13">
        <f t="shared" si="0"/>
        <v>2</v>
      </c>
      <c r="I34" t="str" cm="1">
        <f t="array" ref="I34">_xlfn.IFS(H34&lt;1,"No",H34=1,"Yes",H34&gt;1,_xlfn.TEXTJOIN("",TRUE,"Yes x",H34))</f>
        <v>Yes x2</v>
      </c>
      <c r="J34" s="13">
        <f t="shared" si="1"/>
        <v>1</v>
      </c>
      <c r="K34" s="13">
        <f t="shared" si="2"/>
        <v>1</v>
      </c>
      <c r="L34" s="13" t="str" cm="1">
        <f t="array" ref="L34">_xlfn.IFS(J34&lt;1,"",J34=1,"Pass",J34&gt;1,_xlfn.TEXTJOIN("",TRUE,"Pass x",J34))</f>
        <v>Pass</v>
      </c>
      <c r="M34" s="13" t="str" cm="1">
        <f t="array" ref="M34">_xlfn.IFS(K34&lt;1,"",K34=1,"Fail",K34&gt;1,_xlfn.TEXTJOIN("",TRUE,"Fail x",K34))</f>
        <v>Fail</v>
      </c>
      <c r="N34" t="str">
        <f t="shared" si="3"/>
        <v>Pass, Fail</v>
      </c>
    </row>
    <row r="35" spans="8:14">
      <c r="H35" s="13">
        <f t="shared" si="0"/>
        <v>2</v>
      </c>
      <c r="I35" t="str" cm="1">
        <f t="array" ref="I35">_xlfn.IFS(H35&lt;1,"No",H35=1,"Yes",H35&gt;1,_xlfn.TEXTJOIN("",TRUE,"Yes x",H35))</f>
        <v>Yes x2</v>
      </c>
      <c r="J35" s="13">
        <f t="shared" si="1"/>
        <v>1</v>
      </c>
      <c r="K35" s="13">
        <f t="shared" si="2"/>
        <v>1</v>
      </c>
      <c r="L35" s="13" t="str" cm="1">
        <f t="array" ref="L35">_xlfn.IFS(J35&lt;1,"",J35=1,"Pass",J35&gt;1,_xlfn.TEXTJOIN("",TRUE,"Pass x",J35))</f>
        <v>Pass</v>
      </c>
      <c r="M35" s="13" t="str" cm="1">
        <f t="array" ref="M35">_xlfn.IFS(K35&lt;1,"",K35=1,"Fail",K35&gt;1,_xlfn.TEXTJOIN("",TRUE,"Fail x",K35))</f>
        <v>Fail</v>
      </c>
      <c r="N35" t="str">
        <f t="shared" si="3"/>
        <v>Pass, Fail</v>
      </c>
    </row>
    <row r="36" spans="8:14">
      <c r="H36" s="13">
        <f t="shared" si="0"/>
        <v>2</v>
      </c>
      <c r="I36" t="str" cm="1">
        <f t="array" ref="I36">_xlfn.IFS(H36&lt;1,"No",H36=1,"Yes",H36&gt;1,_xlfn.TEXTJOIN("",TRUE,"Yes x",H36))</f>
        <v>Yes x2</v>
      </c>
      <c r="J36" s="13">
        <f t="shared" si="1"/>
        <v>1</v>
      </c>
      <c r="K36" s="13">
        <f t="shared" si="2"/>
        <v>1</v>
      </c>
      <c r="L36" s="13" t="str" cm="1">
        <f t="array" ref="L36">_xlfn.IFS(J36&lt;1,"",J36=1,"Pass",J36&gt;1,_xlfn.TEXTJOIN("",TRUE,"Pass x",J36))</f>
        <v>Pass</v>
      </c>
      <c r="M36" s="13" t="str" cm="1">
        <f t="array" ref="M36">_xlfn.IFS(K36&lt;1,"",K36=1,"Fail",K36&gt;1,_xlfn.TEXTJOIN("",TRUE,"Fail x",K36))</f>
        <v>Fail</v>
      </c>
      <c r="N36" t="str">
        <f t="shared" si="3"/>
        <v>Pass, Fail</v>
      </c>
    </row>
    <row r="37" spans="8:14">
      <c r="H37" s="13">
        <f t="shared" si="0"/>
        <v>2</v>
      </c>
      <c r="I37" t="str" cm="1">
        <f t="array" ref="I37">_xlfn.IFS(H37&lt;1,"No",H37=1,"Yes",H37&gt;1,_xlfn.TEXTJOIN("",TRUE,"Yes x",H37))</f>
        <v>Yes x2</v>
      </c>
      <c r="J37" s="13">
        <f t="shared" si="1"/>
        <v>1</v>
      </c>
      <c r="K37" s="13">
        <f t="shared" si="2"/>
        <v>1</v>
      </c>
      <c r="L37" s="13" t="str" cm="1">
        <f t="array" ref="L37">_xlfn.IFS(J37&lt;1,"",J37=1,"Pass",J37&gt;1,_xlfn.TEXTJOIN("",TRUE,"Pass x",J37))</f>
        <v>Pass</v>
      </c>
      <c r="M37" s="13" t="str" cm="1">
        <f t="array" ref="M37">_xlfn.IFS(K37&lt;1,"",K37=1,"Fail",K37&gt;1,_xlfn.TEXTJOIN("",TRUE,"Fail x",K37))</f>
        <v>Fail</v>
      </c>
      <c r="N37" t="str">
        <f t="shared" si="3"/>
        <v>Pass, Fail</v>
      </c>
    </row>
    <row r="38" spans="8:14">
      <c r="H38" s="13">
        <f t="shared" si="0"/>
        <v>2</v>
      </c>
      <c r="I38" t="str" cm="1">
        <f t="array" ref="I38">_xlfn.IFS(H38&lt;1,"No",H38=1,"Yes",H38&gt;1,_xlfn.TEXTJOIN("",TRUE,"Yes x",H38))</f>
        <v>Yes x2</v>
      </c>
      <c r="J38" s="13">
        <f t="shared" si="1"/>
        <v>1</v>
      </c>
      <c r="K38" s="13">
        <f t="shared" si="2"/>
        <v>1</v>
      </c>
      <c r="L38" s="13" t="str" cm="1">
        <f t="array" ref="L38">_xlfn.IFS(J38&lt;1,"",J38=1,"Pass",J38&gt;1,_xlfn.TEXTJOIN("",TRUE,"Pass x",J38))</f>
        <v>Pass</v>
      </c>
      <c r="M38" s="13" t="str" cm="1">
        <f t="array" ref="M38">_xlfn.IFS(K38&lt;1,"",K38=1,"Fail",K38&gt;1,_xlfn.TEXTJOIN("",TRUE,"Fail x",K38))</f>
        <v>Fail</v>
      </c>
      <c r="N38" t="str">
        <f t="shared" si="3"/>
        <v>Pass, Fail</v>
      </c>
    </row>
    <row r="39" spans="8:14">
      <c r="H39" s="13">
        <f t="shared" si="0"/>
        <v>2</v>
      </c>
      <c r="I39" t="str" cm="1">
        <f t="array" ref="I39">_xlfn.IFS(H39&lt;1,"No",H39=1,"Yes",H39&gt;1,_xlfn.TEXTJOIN("",TRUE,"Yes x",H39))</f>
        <v>Yes x2</v>
      </c>
      <c r="J39" s="13">
        <f t="shared" si="1"/>
        <v>1</v>
      </c>
      <c r="K39" s="13">
        <f t="shared" si="2"/>
        <v>1</v>
      </c>
      <c r="L39" s="13" t="str" cm="1">
        <f t="array" ref="L39">_xlfn.IFS(J39&lt;1,"",J39=1,"Pass",J39&gt;1,_xlfn.TEXTJOIN("",TRUE,"Pass x",J39))</f>
        <v>Pass</v>
      </c>
      <c r="M39" s="13" t="str" cm="1">
        <f t="array" ref="M39">_xlfn.IFS(K39&lt;1,"",K39=1,"Fail",K39&gt;1,_xlfn.TEXTJOIN("",TRUE,"Fail x",K39))</f>
        <v>Fail</v>
      </c>
      <c r="N39" t="str">
        <f t="shared" si="3"/>
        <v>Pass, Fail</v>
      </c>
    </row>
    <row r="40" spans="8:14">
      <c r="H40" s="13">
        <f t="shared" si="0"/>
        <v>2</v>
      </c>
      <c r="I40" t="str" cm="1">
        <f t="array" ref="I40">_xlfn.IFS(H40&lt;1,"No",H40=1,"Yes",H40&gt;1,_xlfn.TEXTJOIN("",TRUE,"Yes x",H40))</f>
        <v>Yes x2</v>
      </c>
      <c r="J40" s="13">
        <f t="shared" si="1"/>
        <v>1</v>
      </c>
      <c r="K40" s="13">
        <f t="shared" si="2"/>
        <v>1</v>
      </c>
      <c r="L40" s="13" t="str" cm="1">
        <f t="array" ref="L40">_xlfn.IFS(J40&lt;1,"",J40=1,"Pass",J40&gt;1,_xlfn.TEXTJOIN("",TRUE,"Pass x",J40))</f>
        <v>Pass</v>
      </c>
      <c r="M40" s="13" t="str" cm="1">
        <f t="array" ref="M40">_xlfn.IFS(K40&lt;1,"",K40=1,"Fail",K40&gt;1,_xlfn.TEXTJOIN("",TRUE,"Fail x",K40))</f>
        <v>Fail</v>
      </c>
      <c r="N40" t="str">
        <f t="shared" si="3"/>
        <v>Pass, Fail</v>
      </c>
    </row>
    <row r="41" spans="8:14">
      <c r="H41" s="13">
        <f t="shared" si="0"/>
        <v>2</v>
      </c>
      <c r="I41" t="str" cm="1">
        <f t="array" ref="I41">_xlfn.IFS(H41&lt;1,"No",H41=1,"Yes",H41&gt;1,_xlfn.TEXTJOIN("",TRUE,"Yes x",H41))</f>
        <v>Yes x2</v>
      </c>
      <c r="J41" s="13">
        <f t="shared" si="1"/>
        <v>1</v>
      </c>
      <c r="K41" s="13">
        <f t="shared" si="2"/>
        <v>1</v>
      </c>
      <c r="L41" s="13" t="str" cm="1">
        <f t="array" ref="L41">_xlfn.IFS(J41&lt;1,"",J41=1,"Pass",J41&gt;1,_xlfn.TEXTJOIN("",TRUE,"Pass x",J41))</f>
        <v>Pass</v>
      </c>
      <c r="M41" s="13" t="str" cm="1">
        <f t="array" ref="M41">_xlfn.IFS(K41&lt;1,"",K41=1,"Fail",K41&gt;1,_xlfn.TEXTJOIN("",TRUE,"Fail x",K41))</f>
        <v>Fail</v>
      </c>
      <c r="N41" t="str">
        <f t="shared" si="3"/>
        <v>Pass, Fail</v>
      </c>
    </row>
    <row r="42" spans="8:14">
      <c r="H42" s="13">
        <f t="shared" si="0"/>
        <v>2</v>
      </c>
      <c r="I42" t="str" cm="1">
        <f t="array" ref="I42">_xlfn.IFS(H42&lt;1,"No",H42=1,"Yes",H42&gt;1,_xlfn.TEXTJOIN("",TRUE,"Yes x",H42))</f>
        <v>Yes x2</v>
      </c>
      <c r="J42" s="13">
        <f t="shared" si="1"/>
        <v>1</v>
      </c>
      <c r="K42" s="13">
        <f t="shared" si="2"/>
        <v>1</v>
      </c>
      <c r="L42" s="13" t="str" cm="1">
        <f t="array" ref="L42">_xlfn.IFS(J42&lt;1,"",J42=1,"Pass",J42&gt;1,_xlfn.TEXTJOIN("",TRUE,"Pass x",J42))</f>
        <v>Pass</v>
      </c>
      <c r="M42" s="13" t="str" cm="1">
        <f t="array" ref="M42">_xlfn.IFS(K42&lt;1,"",K42=1,"Fail",K42&gt;1,_xlfn.TEXTJOIN("",TRUE,"Fail x",K42))</f>
        <v>Fail</v>
      </c>
      <c r="N42" t="str">
        <f t="shared" si="3"/>
        <v>Pass, Fail</v>
      </c>
    </row>
    <row r="43" spans="8:14">
      <c r="H43" s="13">
        <f t="shared" si="0"/>
        <v>2</v>
      </c>
      <c r="I43" t="str" cm="1">
        <f t="array" ref="I43">_xlfn.IFS(H43&lt;1,"No",H43=1,"Yes",H43&gt;1,_xlfn.TEXTJOIN("",TRUE,"Yes x",H43))</f>
        <v>Yes x2</v>
      </c>
      <c r="J43" s="13">
        <f t="shared" si="1"/>
        <v>1</v>
      </c>
      <c r="K43" s="13">
        <f t="shared" si="2"/>
        <v>1</v>
      </c>
      <c r="L43" s="13" t="str" cm="1">
        <f t="array" ref="L43">_xlfn.IFS(J43&lt;1,"",J43=1,"Pass",J43&gt;1,_xlfn.TEXTJOIN("",TRUE,"Pass x",J43))</f>
        <v>Pass</v>
      </c>
      <c r="M43" s="13" t="str" cm="1">
        <f t="array" ref="M43">_xlfn.IFS(K43&lt;1,"",K43=1,"Fail",K43&gt;1,_xlfn.TEXTJOIN("",TRUE,"Fail x",K43))</f>
        <v>Fail</v>
      </c>
      <c r="N43" t="str">
        <f t="shared" si="3"/>
        <v>Pass, Fail</v>
      </c>
    </row>
    <row r="44" spans="8:14">
      <c r="H44" s="13">
        <f t="shared" si="0"/>
        <v>2</v>
      </c>
      <c r="I44" t="str" cm="1">
        <f t="array" ref="I44">_xlfn.IFS(H44&lt;1,"No",H44=1,"Yes",H44&gt;1,_xlfn.TEXTJOIN("",TRUE,"Yes x",H44))</f>
        <v>Yes x2</v>
      </c>
      <c r="J44" s="13">
        <f t="shared" si="1"/>
        <v>1</v>
      </c>
      <c r="K44" s="13">
        <f t="shared" si="2"/>
        <v>1</v>
      </c>
      <c r="L44" s="13" t="str" cm="1">
        <f t="array" ref="L44">_xlfn.IFS(J44&lt;1,"",J44=1,"Pass",J44&gt;1,_xlfn.TEXTJOIN("",TRUE,"Pass x",J44))</f>
        <v>Pass</v>
      </c>
      <c r="M44" s="13" t="str" cm="1">
        <f t="array" ref="M44">_xlfn.IFS(K44&lt;1,"",K44=1,"Fail",K44&gt;1,_xlfn.TEXTJOIN("",TRUE,"Fail x",K44))</f>
        <v>Fail</v>
      </c>
      <c r="N44" t="str">
        <f t="shared" si="3"/>
        <v>Pass, Fail</v>
      </c>
    </row>
    <row r="45" spans="8:14">
      <c r="H45" s="13">
        <f t="shared" si="0"/>
        <v>2</v>
      </c>
      <c r="I45" t="str" cm="1">
        <f t="array" ref="I45">_xlfn.IFS(H45&lt;1,"No",H45=1,"Yes",H45&gt;1,_xlfn.TEXTJOIN("",TRUE,"Yes x",H45))</f>
        <v>Yes x2</v>
      </c>
      <c r="J45" s="13">
        <f t="shared" si="1"/>
        <v>1</v>
      </c>
      <c r="K45" s="13">
        <f t="shared" si="2"/>
        <v>1</v>
      </c>
      <c r="L45" s="13" t="str" cm="1">
        <f t="array" ref="L45">_xlfn.IFS(J45&lt;1,"",J45=1,"Pass",J45&gt;1,_xlfn.TEXTJOIN("",TRUE,"Pass x",J45))</f>
        <v>Pass</v>
      </c>
      <c r="M45" s="13" t="str" cm="1">
        <f t="array" ref="M45">_xlfn.IFS(K45&lt;1,"",K45=1,"Fail",K45&gt;1,_xlfn.TEXTJOIN("",TRUE,"Fail x",K45))</f>
        <v>Fail</v>
      </c>
      <c r="N45" t="str">
        <f t="shared" si="3"/>
        <v>Pass, Fail</v>
      </c>
    </row>
    <row r="46" spans="8:14">
      <c r="H46" s="13">
        <f t="shared" si="0"/>
        <v>2</v>
      </c>
      <c r="I46" t="str" cm="1">
        <f t="array" ref="I46">_xlfn.IFS(H46&lt;1,"No",H46=1,"Yes",H46&gt;1,_xlfn.TEXTJOIN("",TRUE,"Yes x",H46))</f>
        <v>Yes x2</v>
      </c>
      <c r="J46" s="13">
        <f t="shared" si="1"/>
        <v>1</v>
      </c>
      <c r="K46" s="13">
        <f t="shared" si="2"/>
        <v>1</v>
      </c>
      <c r="L46" s="13" t="str" cm="1">
        <f t="array" ref="L46">_xlfn.IFS(J46&lt;1,"",J46=1,"Pass",J46&gt;1,_xlfn.TEXTJOIN("",TRUE,"Pass x",J46))</f>
        <v>Pass</v>
      </c>
      <c r="M46" s="13" t="str" cm="1">
        <f t="array" ref="M46">_xlfn.IFS(K46&lt;1,"",K46=1,"Fail",K46&gt;1,_xlfn.TEXTJOIN("",TRUE,"Fail x",K46))</f>
        <v>Fail</v>
      </c>
      <c r="N46" t="str">
        <f t="shared" si="3"/>
        <v>Pass, Fail</v>
      </c>
    </row>
    <row r="47" spans="8:14">
      <c r="H47" s="13">
        <f t="shared" si="0"/>
        <v>2</v>
      </c>
      <c r="I47" t="str" cm="1">
        <f t="array" ref="I47">_xlfn.IFS(H47&lt;1,"No",H47=1,"Yes",H47&gt;1,_xlfn.TEXTJOIN("",TRUE,"Yes x",H47))</f>
        <v>Yes x2</v>
      </c>
      <c r="J47" s="13">
        <f t="shared" si="1"/>
        <v>1</v>
      </c>
      <c r="K47" s="13">
        <f t="shared" si="2"/>
        <v>1</v>
      </c>
      <c r="L47" s="13" t="str" cm="1">
        <f t="array" ref="L47">_xlfn.IFS(J47&lt;1,"",J47=1,"Pass",J47&gt;1,_xlfn.TEXTJOIN("",TRUE,"Pass x",J47))</f>
        <v>Pass</v>
      </c>
      <c r="M47" s="13" t="str" cm="1">
        <f t="array" ref="M47">_xlfn.IFS(K47&lt;1,"",K47=1,"Fail",K47&gt;1,_xlfn.TEXTJOIN("",TRUE,"Fail x",K47))</f>
        <v>Fail</v>
      </c>
      <c r="N47" t="str">
        <f t="shared" si="3"/>
        <v>Pass, Fail</v>
      </c>
    </row>
    <row r="48" spans="8:14">
      <c r="H48" s="13">
        <f t="shared" si="0"/>
        <v>2</v>
      </c>
      <c r="I48" t="str" cm="1">
        <f t="array" ref="I48">_xlfn.IFS(H48&lt;1,"No",H48=1,"Yes",H48&gt;1,_xlfn.TEXTJOIN("",TRUE,"Yes x",H48))</f>
        <v>Yes x2</v>
      </c>
      <c r="J48" s="13">
        <f t="shared" si="1"/>
        <v>1</v>
      </c>
      <c r="K48" s="13">
        <f t="shared" si="2"/>
        <v>1</v>
      </c>
      <c r="L48" s="13" t="str" cm="1">
        <f t="array" ref="L48">_xlfn.IFS(J48&lt;1,"",J48=1,"Pass",J48&gt;1,_xlfn.TEXTJOIN("",TRUE,"Pass x",J48))</f>
        <v>Pass</v>
      </c>
      <c r="M48" s="13" t="str" cm="1">
        <f t="array" ref="M48">_xlfn.IFS(K48&lt;1,"",K48=1,"Fail",K48&gt;1,_xlfn.TEXTJOIN("",TRUE,"Fail x",K48))</f>
        <v>Fail</v>
      </c>
      <c r="N48" t="str">
        <f t="shared" si="3"/>
        <v>Pass, Fail</v>
      </c>
    </row>
    <row r="49" spans="8:14">
      <c r="H49" s="13">
        <f t="shared" si="0"/>
        <v>2</v>
      </c>
      <c r="I49" t="str" cm="1">
        <f t="array" ref="I49">_xlfn.IFS(H49&lt;1,"No",H49=1,"Yes",H49&gt;1,_xlfn.TEXTJOIN("",TRUE,"Yes x",H49))</f>
        <v>Yes x2</v>
      </c>
      <c r="J49" s="13">
        <f t="shared" si="1"/>
        <v>1</v>
      </c>
      <c r="K49" s="13">
        <f t="shared" si="2"/>
        <v>1</v>
      </c>
      <c r="L49" s="13" t="str" cm="1">
        <f t="array" ref="L49">_xlfn.IFS(J49&lt;1,"",J49=1,"Pass",J49&gt;1,_xlfn.TEXTJOIN("",TRUE,"Pass x",J49))</f>
        <v>Pass</v>
      </c>
      <c r="M49" s="13" t="str" cm="1">
        <f t="array" ref="M49">_xlfn.IFS(K49&lt;1,"",K49=1,"Fail",K49&gt;1,_xlfn.TEXTJOIN("",TRUE,"Fail x",K49))</f>
        <v>Fail</v>
      </c>
      <c r="N49" t="str">
        <f t="shared" si="3"/>
        <v>Pass, Fail</v>
      </c>
    </row>
    <row r="50" spans="8:14">
      <c r="H50" s="13">
        <f t="shared" si="0"/>
        <v>2</v>
      </c>
      <c r="I50" t="str" cm="1">
        <f t="array" ref="I50">_xlfn.IFS(H50&lt;1,"No",H50=1,"Yes",H50&gt;1,_xlfn.TEXTJOIN("",TRUE,"Yes x",H50))</f>
        <v>Yes x2</v>
      </c>
      <c r="J50" s="13">
        <f t="shared" si="1"/>
        <v>1</v>
      </c>
      <c r="K50" s="13">
        <f t="shared" si="2"/>
        <v>1</v>
      </c>
      <c r="L50" s="13" t="str" cm="1">
        <f t="array" ref="L50">_xlfn.IFS(J50&lt;1,"",J50=1,"Pass",J50&gt;1,_xlfn.TEXTJOIN("",TRUE,"Pass x",J50))</f>
        <v>Pass</v>
      </c>
      <c r="M50" s="13" t="str" cm="1">
        <f t="array" ref="M50">_xlfn.IFS(K50&lt;1,"",K50=1,"Fail",K50&gt;1,_xlfn.TEXTJOIN("",TRUE,"Fail x",K50))</f>
        <v>Fail</v>
      </c>
      <c r="N50" t="str">
        <f t="shared" si="3"/>
        <v>Pass, Fail</v>
      </c>
    </row>
    <row r="51" spans="8:14">
      <c r="H51" s="13">
        <f t="shared" si="0"/>
        <v>2</v>
      </c>
      <c r="I51" t="str" cm="1">
        <f t="array" ref="I51">_xlfn.IFS(H51&lt;1,"No",H51=1,"Yes",H51&gt;1,_xlfn.TEXTJOIN("",TRUE,"Yes x",H51))</f>
        <v>Yes x2</v>
      </c>
      <c r="J51" s="13">
        <f t="shared" si="1"/>
        <v>1</v>
      </c>
      <c r="K51" s="13">
        <f t="shared" si="2"/>
        <v>1</v>
      </c>
      <c r="L51" s="13" t="str" cm="1">
        <f t="array" ref="L51">_xlfn.IFS(J51&lt;1,"",J51=1,"Pass",J51&gt;1,_xlfn.TEXTJOIN("",TRUE,"Pass x",J51))</f>
        <v>Pass</v>
      </c>
      <c r="M51" s="13" t="str" cm="1">
        <f t="array" ref="M51">_xlfn.IFS(K51&lt;1,"",K51=1,"Fail",K51&gt;1,_xlfn.TEXTJOIN("",TRUE,"Fail x",K51))</f>
        <v>Fail</v>
      </c>
      <c r="N51" t="str">
        <f t="shared" si="3"/>
        <v>Pass, Fail</v>
      </c>
    </row>
    <row r="52" spans="8:14">
      <c r="H52" s="13">
        <f t="shared" si="0"/>
        <v>2</v>
      </c>
      <c r="I52" t="str" cm="1">
        <f t="array" ref="I52">_xlfn.IFS(H52&lt;1,"No",H52=1,"Yes",H52&gt;1,_xlfn.TEXTJOIN("",TRUE,"Yes x",H52))</f>
        <v>Yes x2</v>
      </c>
      <c r="J52" s="13">
        <f t="shared" si="1"/>
        <v>1</v>
      </c>
      <c r="K52" s="13">
        <f t="shared" si="2"/>
        <v>1</v>
      </c>
      <c r="L52" s="13" t="str" cm="1">
        <f t="array" ref="L52">_xlfn.IFS(J52&lt;1,"",J52=1,"Pass",J52&gt;1,_xlfn.TEXTJOIN("",TRUE,"Pass x",J52))</f>
        <v>Pass</v>
      </c>
      <c r="M52" s="13" t="str" cm="1">
        <f t="array" ref="M52">_xlfn.IFS(K52&lt;1,"",K52=1,"Fail",K52&gt;1,_xlfn.TEXTJOIN("",TRUE,"Fail x",K52))</f>
        <v>Fail</v>
      </c>
      <c r="N52" t="str">
        <f t="shared" si="3"/>
        <v>Pass, Fail</v>
      </c>
    </row>
    <row r="53" spans="8:14">
      <c r="H53" s="13">
        <f t="shared" si="0"/>
        <v>2</v>
      </c>
      <c r="I53" t="str" cm="1">
        <f t="array" ref="I53">_xlfn.IFS(H53&lt;1,"No",H53=1,"Yes",H53&gt;1,_xlfn.TEXTJOIN("",TRUE,"Yes x",H53))</f>
        <v>Yes x2</v>
      </c>
      <c r="J53" s="13">
        <f t="shared" si="1"/>
        <v>1</v>
      </c>
      <c r="K53" s="13">
        <f t="shared" si="2"/>
        <v>1</v>
      </c>
      <c r="L53" s="13" t="str" cm="1">
        <f t="array" ref="L53">_xlfn.IFS(J53&lt;1,"",J53=1,"Pass",J53&gt;1,_xlfn.TEXTJOIN("",TRUE,"Pass x",J53))</f>
        <v>Pass</v>
      </c>
      <c r="M53" s="13" t="str" cm="1">
        <f t="array" ref="M53">_xlfn.IFS(K53&lt;1,"",K53=1,"Fail",K53&gt;1,_xlfn.TEXTJOIN("",TRUE,"Fail x",K53))</f>
        <v>Fail</v>
      </c>
      <c r="N53" t="str">
        <f t="shared" si="3"/>
        <v>Pass, Fail</v>
      </c>
    </row>
    <row r="54" spans="8:14">
      <c r="H54" s="13">
        <f t="shared" si="0"/>
        <v>2</v>
      </c>
      <c r="I54" t="str" cm="1">
        <f t="array" ref="I54">_xlfn.IFS(H54&lt;1,"No",H54=1,"Yes",H54&gt;1,_xlfn.TEXTJOIN("",TRUE,"Yes x",H54))</f>
        <v>Yes x2</v>
      </c>
      <c r="J54" s="13">
        <f t="shared" si="1"/>
        <v>1</v>
      </c>
      <c r="K54" s="13">
        <f t="shared" si="2"/>
        <v>1</v>
      </c>
      <c r="L54" s="13" t="str" cm="1">
        <f t="array" ref="L54">_xlfn.IFS(J54&lt;1,"",J54=1,"Pass",J54&gt;1,_xlfn.TEXTJOIN("",TRUE,"Pass x",J54))</f>
        <v>Pass</v>
      </c>
      <c r="M54" s="13" t="str" cm="1">
        <f t="array" ref="M54">_xlfn.IFS(K54&lt;1,"",K54=1,"Fail",K54&gt;1,_xlfn.TEXTJOIN("",TRUE,"Fail x",K54))</f>
        <v>Fail</v>
      </c>
      <c r="N54" t="str">
        <f t="shared" si="3"/>
        <v>Pass, Fail</v>
      </c>
    </row>
    <row r="55" spans="8:14">
      <c r="H55" s="13">
        <f t="shared" si="0"/>
        <v>2</v>
      </c>
      <c r="I55" t="str" cm="1">
        <f t="array" ref="I55">_xlfn.IFS(H55&lt;1,"No",H55=1,"Yes",H55&gt;1,_xlfn.TEXTJOIN("",TRUE,"Yes x",H55))</f>
        <v>Yes x2</v>
      </c>
      <c r="J55" s="13">
        <f t="shared" si="1"/>
        <v>1</v>
      </c>
      <c r="K55" s="13">
        <f t="shared" si="2"/>
        <v>1</v>
      </c>
      <c r="L55" s="13" t="str" cm="1">
        <f t="array" ref="L55">_xlfn.IFS(J55&lt;1,"",J55=1,"Pass",J55&gt;1,_xlfn.TEXTJOIN("",TRUE,"Pass x",J55))</f>
        <v>Pass</v>
      </c>
      <c r="M55" s="13" t="str" cm="1">
        <f t="array" ref="M55">_xlfn.IFS(K55&lt;1,"",K55=1,"Fail",K55&gt;1,_xlfn.TEXTJOIN("",TRUE,"Fail x",K55))</f>
        <v>Fail</v>
      </c>
      <c r="N55" t="str">
        <f t="shared" si="3"/>
        <v>Pass, Fail</v>
      </c>
    </row>
    <row r="56" spans="8:14">
      <c r="H56" s="13">
        <f t="shared" si="0"/>
        <v>2</v>
      </c>
      <c r="I56" t="str" cm="1">
        <f t="array" ref="I56">_xlfn.IFS(H56&lt;1,"No",H56=1,"Yes",H56&gt;1,_xlfn.TEXTJOIN("",TRUE,"Yes x",H56))</f>
        <v>Yes x2</v>
      </c>
      <c r="J56" s="13">
        <f t="shared" si="1"/>
        <v>1</v>
      </c>
      <c r="K56" s="13">
        <f t="shared" si="2"/>
        <v>1</v>
      </c>
      <c r="L56" s="13" t="str" cm="1">
        <f t="array" ref="L56">_xlfn.IFS(J56&lt;1,"",J56=1,"Pass",J56&gt;1,_xlfn.TEXTJOIN("",TRUE,"Pass x",J56))</f>
        <v>Pass</v>
      </c>
      <c r="M56" s="13" t="str" cm="1">
        <f t="array" ref="M56">_xlfn.IFS(K56&lt;1,"",K56=1,"Fail",K56&gt;1,_xlfn.TEXTJOIN("",TRUE,"Fail x",K56))</f>
        <v>Fail</v>
      </c>
      <c r="N56" t="str">
        <f t="shared" si="3"/>
        <v>Pass, Fail</v>
      </c>
    </row>
    <row r="57" spans="8:14">
      <c r="H57" s="13">
        <f t="shared" si="0"/>
        <v>2</v>
      </c>
      <c r="I57" t="str" cm="1">
        <f t="array" ref="I57">_xlfn.IFS(H57&lt;1,"No",H57=1,"Yes",H57&gt;1,_xlfn.TEXTJOIN("",TRUE,"Yes x",H57))</f>
        <v>Yes x2</v>
      </c>
      <c r="J57" s="13">
        <f t="shared" si="1"/>
        <v>1</v>
      </c>
      <c r="K57" s="13">
        <f t="shared" si="2"/>
        <v>1</v>
      </c>
      <c r="L57" s="13" t="str" cm="1">
        <f t="array" ref="L57">_xlfn.IFS(J57&lt;1,"",J57=1,"Pass",J57&gt;1,_xlfn.TEXTJOIN("",TRUE,"Pass x",J57))</f>
        <v>Pass</v>
      </c>
      <c r="M57" s="13" t="str" cm="1">
        <f t="array" ref="M57">_xlfn.IFS(K57&lt;1,"",K57=1,"Fail",K57&gt;1,_xlfn.TEXTJOIN("",TRUE,"Fail x",K57))</f>
        <v>Fail</v>
      </c>
      <c r="N57" t="str">
        <f t="shared" si="3"/>
        <v>Pass, Fail</v>
      </c>
    </row>
    <row r="58" spans="8:14">
      <c r="H58" s="13">
        <f t="shared" si="0"/>
        <v>2</v>
      </c>
      <c r="I58" t="str" cm="1">
        <f t="array" ref="I58">_xlfn.IFS(H58&lt;1,"No",H58=1,"Yes",H58&gt;1,_xlfn.TEXTJOIN("",TRUE,"Yes x",H58))</f>
        <v>Yes x2</v>
      </c>
      <c r="J58" s="13">
        <f t="shared" si="1"/>
        <v>1</v>
      </c>
      <c r="K58" s="13">
        <f t="shared" si="2"/>
        <v>1</v>
      </c>
      <c r="L58" s="13" t="str" cm="1">
        <f t="array" ref="L58">_xlfn.IFS(J58&lt;1,"",J58=1,"Pass",J58&gt;1,_xlfn.TEXTJOIN("",TRUE,"Pass x",J58))</f>
        <v>Pass</v>
      </c>
      <c r="M58" s="13" t="str" cm="1">
        <f t="array" ref="M58">_xlfn.IFS(K58&lt;1,"",K58=1,"Fail",K58&gt;1,_xlfn.TEXTJOIN("",TRUE,"Fail x",K58))</f>
        <v>Fail</v>
      </c>
      <c r="N58" t="str">
        <f t="shared" si="3"/>
        <v>Pass, Fail</v>
      </c>
    </row>
    <row r="59" spans="8:14">
      <c r="H59" s="13">
        <f t="shared" si="0"/>
        <v>2</v>
      </c>
      <c r="I59" t="str" cm="1">
        <f t="array" ref="I59">_xlfn.IFS(H59&lt;1,"No",H59=1,"Yes",H59&gt;1,_xlfn.TEXTJOIN("",TRUE,"Yes x",H59))</f>
        <v>Yes x2</v>
      </c>
      <c r="J59" s="13">
        <f t="shared" si="1"/>
        <v>1</v>
      </c>
      <c r="K59" s="13">
        <f t="shared" si="2"/>
        <v>1</v>
      </c>
      <c r="L59" s="13" t="str" cm="1">
        <f t="array" ref="L59">_xlfn.IFS(J59&lt;1,"",J59=1,"Pass",J59&gt;1,_xlfn.TEXTJOIN("",TRUE,"Pass x",J59))</f>
        <v>Pass</v>
      </c>
      <c r="M59" s="13" t="str" cm="1">
        <f t="array" ref="M59">_xlfn.IFS(K59&lt;1,"",K59=1,"Fail",K59&gt;1,_xlfn.TEXTJOIN("",TRUE,"Fail x",K59))</f>
        <v>Fail</v>
      </c>
      <c r="N59" t="str">
        <f t="shared" si="3"/>
        <v>Pass, Fail</v>
      </c>
    </row>
    <row r="60" spans="8:14">
      <c r="H60" s="13">
        <f t="shared" si="0"/>
        <v>2</v>
      </c>
      <c r="I60" t="str" cm="1">
        <f t="array" ref="I60">_xlfn.IFS(H60&lt;1,"No",H60=1,"Yes",H60&gt;1,_xlfn.TEXTJOIN("",TRUE,"Yes x",H60))</f>
        <v>Yes x2</v>
      </c>
      <c r="J60" s="13">
        <f t="shared" si="1"/>
        <v>1</v>
      </c>
      <c r="K60" s="13">
        <f t="shared" si="2"/>
        <v>1</v>
      </c>
      <c r="L60" s="13" t="str" cm="1">
        <f t="array" ref="L60">_xlfn.IFS(J60&lt;1,"",J60=1,"Pass",J60&gt;1,_xlfn.TEXTJOIN("",TRUE,"Pass x",J60))</f>
        <v>Pass</v>
      </c>
      <c r="M60" s="13" t="str" cm="1">
        <f t="array" ref="M60">_xlfn.IFS(K60&lt;1,"",K60=1,"Fail",K60&gt;1,_xlfn.TEXTJOIN("",TRUE,"Fail x",K60))</f>
        <v>Fail</v>
      </c>
      <c r="N60" t="str">
        <f t="shared" si="3"/>
        <v>Pass, Fail</v>
      </c>
    </row>
    <row r="61" spans="8:14">
      <c r="H61" s="13">
        <f t="shared" si="0"/>
        <v>2</v>
      </c>
      <c r="I61" t="str" cm="1">
        <f t="array" ref="I61">_xlfn.IFS(H61&lt;1,"No",H61=1,"Yes",H61&gt;1,_xlfn.TEXTJOIN("",TRUE,"Yes x",H61))</f>
        <v>Yes x2</v>
      </c>
      <c r="J61" s="13">
        <f t="shared" si="1"/>
        <v>1</v>
      </c>
      <c r="K61" s="13">
        <f t="shared" si="2"/>
        <v>1</v>
      </c>
      <c r="L61" s="13" t="str" cm="1">
        <f t="array" ref="L61">_xlfn.IFS(J61&lt;1,"",J61=1,"Pass",J61&gt;1,_xlfn.TEXTJOIN("",TRUE,"Pass x",J61))</f>
        <v>Pass</v>
      </c>
      <c r="M61" s="13" t="str" cm="1">
        <f t="array" ref="M61">_xlfn.IFS(K61&lt;1,"",K61=1,"Fail",K61&gt;1,_xlfn.TEXTJOIN("",TRUE,"Fail x",K61))</f>
        <v>Fail</v>
      </c>
      <c r="N61" t="str">
        <f t="shared" si="3"/>
        <v>Pass, Fail</v>
      </c>
    </row>
    <row r="62" spans="8:14">
      <c r="H62" s="13">
        <f t="shared" si="0"/>
        <v>2</v>
      </c>
      <c r="I62" t="str" cm="1">
        <f t="array" ref="I62">_xlfn.IFS(H62&lt;1,"No",H62=1,"Yes",H62&gt;1,_xlfn.TEXTJOIN("",TRUE,"Yes x",H62))</f>
        <v>Yes x2</v>
      </c>
      <c r="J62" s="13">
        <f t="shared" si="1"/>
        <v>1</v>
      </c>
      <c r="K62" s="13">
        <f t="shared" si="2"/>
        <v>1</v>
      </c>
      <c r="L62" s="13" t="str" cm="1">
        <f t="array" ref="L62">_xlfn.IFS(J62&lt;1,"",J62=1,"Pass",J62&gt;1,_xlfn.TEXTJOIN("",TRUE,"Pass x",J62))</f>
        <v>Pass</v>
      </c>
      <c r="M62" s="13" t="str" cm="1">
        <f t="array" ref="M62">_xlfn.IFS(K62&lt;1,"",K62=1,"Fail",K62&gt;1,_xlfn.TEXTJOIN("",TRUE,"Fail x",K62))</f>
        <v>Fail</v>
      </c>
      <c r="N62" t="str">
        <f t="shared" si="3"/>
        <v>Pass, Fail</v>
      </c>
    </row>
    <row r="63" spans="8:14">
      <c r="H63" s="13">
        <f t="shared" si="0"/>
        <v>2</v>
      </c>
      <c r="I63" t="str" cm="1">
        <f t="array" ref="I63">_xlfn.IFS(H63&lt;1,"No",H63=1,"Yes",H63&gt;1,_xlfn.TEXTJOIN("",TRUE,"Yes x",H63))</f>
        <v>Yes x2</v>
      </c>
      <c r="J63" s="13">
        <f t="shared" si="1"/>
        <v>1</v>
      </c>
      <c r="K63" s="13">
        <f t="shared" si="2"/>
        <v>1</v>
      </c>
      <c r="L63" s="13" t="str" cm="1">
        <f t="array" ref="L63">_xlfn.IFS(J63&lt;1,"",J63=1,"Pass",J63&gt;1,_xlfn.TEXTJOIN("",TRUE,"Pass x",J63))</f>
        <v>Pass</v>
      </c>
      <c r="M63" s="13" t="str" cm="1">
        <f t="array" ref="M63">_xlfn.IFS(K63&lt;1,"",K63=1,"Fail",K63&gt;1,_xlfn.TEXTJOIN("",TRUE,"Fail x",K63))</f>
        <v>Fail</v>
      </c>
      <c r="N63" t="str">
        <f t="shared" si="3"/>
        <v>Pass, Fail</v>
      </c>
    </row>
    <row r="64" spans="8:14">
      <c r="H64" s="13">
        <f t="shared" si="0"/>
        <v>2</v>
      </c>
      <c r="I64" t="str" cm="1">
        <f t="array" ref="I64">_xlfn.IFS(H64&lt;1,"No",H64=1,"Yes",H64&gt;1,_xlfn.TEXTJOIN("",TRUE,"Yes x",H64))</f>
        <v>Yes x2</v>
      </c>
      <c r="J64" s="13">
        <f t="shared" si="1"/>
        <v>1</v>
      </c>
      <c r="K64" s="13">
        <f t="shared" si="2"/>
        <v>1</v>
      </c>
      <c r="L64" s="13" t="str" cm="1">
        <f t="array" ref="L64">_xlfn.IFS(J64&lt;1,"",J64=1,"Pass",J64&gt;1,_xlfn.TEXTJOIN("",TRUE,"Pass x",J64))</f>
        <v>Pass</v>
      </c>
      <c r="M64" s="13" t="str" cm="1">
        <f t="array" ref="M64">_xlfn.IFS(K64&lt;1,"",K64=1,"Fail",K64&gt;1,_xlfn.TEXTJOIN("",TRUE,"Fail x",K64))</f>
        <v>Fail</v>
      </c>
      <c r="N64" t="str">
        <f t="shared" si="3"/>
        <v>Pass, Fail</v>
      </c>
    </row>
    <row r="65" spans="8:14">
      <c r="H65" s="13">
        <f t="shared" si="0"/>
        <v>2</v>
      </c>
      <c r="I65" t="str" cm="1">
        <f t="array" ref="I65">_xlfn.IFS(H65&lt;1,"No",H65=1,"Yes",H65&gt;1,_xlfn.TEXTJOIN("",TRUE,"Yes x",H65))</f>
        <v>Yes x2</v>
      </c>
      <c r="J65" s="13">
        <f t="shared" si="1"/>
        <v>1</v>
      </c>
      <c r="K65" s="13">
        <f t="shared" si="2"/>
        <v>1</v>
      </c>
      <c r="L65" s="13" t="str" cm="1">
        <f t="array" ref="L65">_xlfn.IFS(J65&lt;1,"",J65=1,"Pass",J65&gt;1,_xlfn.TEXTJOIN("",TRUE,"Pass x",J65))</f>
        <v>Pass</v>
      </c>
      <c r="M65" s="13" t="str" cm="1">
        <f t="array" ref="M65">_xlfn.IFS(K65&lt;1,"",K65=1,"Fail",K65&gt;1,_xlfn.TEXTJOIN("",TRUE,"Fail x",K65))</f>
        <v>Fail</v>
      </c>
      <c r="N65" t="str">
        <f t="shared" si="3"/>
        <v>Pass, Fail</v>
      </c>
    </row>
    <row r="66" spans="8:14">
      <c r="H66" s="13">
        <f t="shared" si="0"/>
        <v>2</v>
      </c>
      <c r="I66" t="str" cm="1">
        <f t="array" ref="I66">_xlfn.IFS(H66&lt;1,"No",H66=1,"Yes",H66&gt;1,_xlfn.TEXTJOIN("",TRUE,"Yes x",H66))</f>
        <v>Yes x2</v>
      </c>
      <c r="J66" s="13">
        <f t="shared" si="1"/>
        <v>1</v>
      </c>
      <c r="K66" s="13">
        <f t="shared" si="2"/>
        <v>1</v>
      </c>
      <c r="L66" s="13" t="str" cm="1">
        <f t="array" ref="L66">_xlfn.IFS(J66&lt;1,"",J66=1,"Pass",J66&gt;1,_xlfn.TEXTJOIN("",TRUE,"Pass x",J66))</f>
        <v>Pass</v>
      </c>
      <c r="M66" s="13" t="str" cm="1">
        <f t="array" ref="M66">_xlfn.IFS(K66&lt;1,"",K66=1,"Fail",K66&gt;1,_xlfn.TEXTJOIN("",TRUE,"Fail x",K66))</f>
        <v>Fail</v>
      </c>
      <c r="N66" t="str">
        <f t="shared" si="3"/>
        <v>Pass, Fail</v>
      </c>
    </row>
    <row r="67" spans="8:14">
      <c r="H67" s="13">
        <f t="shared" ref="H67:H99" si="4">IFERROR(GETPIVOTDATA("Successful / Failed",$A$1,"System serial",G67),0)</f>
        <v>2</v>
      </c>
      <c r="I67" t="str" cm="1">
        <f t="array" ref="I67">_xlfn.IFS(H67&lt;1,"No",H67=1,"Yes",H67&gt;1,_xlfn.TEXTJOIN("",TRUE,"Yes x",H67))</f>
        <v>Yes x2</v>
      </c>
      <c r="J67" s="13">
        <f t="shared" ref="J67:J99" si="5">IFERROR(GETPIVOTDATA("Successful / Failed",$A$1,"System serial",G67,"Successful / Failed","Successful"),0)</f>
        <v>1</v>
      </c>
      <c r="K67" s="13">
        <f t="shared" ref="K67:K130" si="6">IFERROR(GETPIVOTDATA("Successful / Failed",$A$1,"System serial",G67,"Successful / Failed","Failed"),0)</f>
        <v>1</v>
      </c>
      <c r="L67" s="13" t="str" cm="1">
        <f t="array" ref="L67">_xlfn.IFS(J67&lt;1,"",J67=1,"Pass",J67&gt;1,_xlfn.TEXTJOIN("",TRUE,"Pass x",J67))</f>
        <v>Pass</v>
      </c>
      <c r="M67" s="13" t="str" cm="1">
        <f t="array" ref="M67">_xlfn.IFS(K67&lt;1,"",K67=1,"Fail",K67&gt;1,_xlfn.TEXTJOIN("",TRUE,"Fail x",K67))</f>
        <v>Fail</v>
      </c>
      <c r="N67" t="str">
        <f t="shared" ref="N67:N99" si="7">_xlfn.TEXTJOIN(", ",TRUE, L67, M67)</f>
        <v>Pass, Fail</v>
      </c>
    </row>
    <row r="68" spans="8:14">
      <c r="H68" s="13">
        <f t="shared" si="4"/>
        <v>2</v>
      </c>
      <c r="I68" t="str" cm="1">
        <f t="array" ref="I68">_xlfn.IFS(H68&lt;1,"No",H68=1,"Yes",H68&gt;1,_xlfn.TEXTJOIN("",TRUE,"Yes x",H68))</f>
        <v>Yes x2</v>
      </c>
      <c r="J68" s="13">
        <f t="shared" si="5"/>
        <v>1</v>
      </c>
      <c r="K68" s="13">
        <f t="shared" si="6"/>
        <v>1</v>
      </c>
      <c r="L68" s="13" t="str" cm="1">
        <f t="array" ref="L68">_xlfn.IFS(J68&lt;1,"",J68=1,"Pass",J68&gt;1,_xlfn.TEXTJOIN("",TRUE,"Pass x",J68))</f>
        <v>Pass</v>
      </c>
      <c r="M68" s="13" t="str" cm="1">
        <f t="array" ref="M68">_xlfn.IFS(K68&lt;1,"",K68=1,"Fail",K68&gt;1,_xlfn.TEXTJOIN("",TRUE,"Fail x",K68))</f>
        <v>Fail</v>
      </c>
      <c r="N68" t="str">
        <f t="shared" si="7"/>
        <v>Pass, Fail</v>
      </c>
    </row>
    <row r="69" spans="8:14">
      <c r="H69" s="13">
        <f t="shared" si="4"/>
        <v>2</v>
      </c>
      <c r="I69" t="str" cm="1">
        <f t="array" ref="I69">_xlfn.IFS(H69&lt;1,"No",H69=1,"Yes",H69&gt;1,_xlfn.TEXTJOIN("",TRUE,"Yes x",H69))</f>
        <v>Yes x2</v>
      </c>
      <c r="J69" s="13">
        <f t="shared" si="5"/>
        <v>1</v>
      </c>
      <c r="K69" s="13">
        <f t="shared" si="6"/>
        <v>1</v>
      </c>
      <c r="L69" s="13" t="str" cm="1">
        <f t="array" ref="L69">_xlfn.IFS(J69&lt;1,"",J69=1,"Pass",J69&gt;1,_xlfn.TEXTJOIN("",TRUE,"Pass x",J69))</f>
        <v>Pass</v>
      </c>
      <c r="M69" s="13" t="str" cm="1">
        <f t="array" ref="M69">_xlfn.IFS(K69&lt;1,"",K69=1,"Fail",K69&gt;1,_xlfn.TEXTJOIN("",TRUE,"Fail x",K69))</f>
        <v>Fail</v>
      </c>
      <c r="N69" t="str">
        <f t="shared" si="7"/>
        <v>Pass, Fail</v>
      </c>
    </row>
    <row r="70" spans="8:14">
      <c r="H70" s="13">
        <f t="shared" si="4"/>
        <v>2</v>
      </c>
      <c r="I70" t="str" cm="1">
        <f t="array" ref="I70">_xlfn.IFS(H70&lt;1,"No",H70=1,"Yes",H70&gt;1,_xlfn.TEXTJOIN("",TRUE,"Yes x",H70))</f>
        <v>Yes x2</v>
      </c>
      <c r="J70" s="13">
        <f t="shared" si="5"/>
        <v>1</v>
      </c>
      <c r="K70" s="13">
        <f t="shared" si="6"/>
        <v>1</v>
      </c>
      <c r="L70" s="13" t="str" cm="1">
        <f t="array" ref="L70">_xlfn.IFS(J70&lt;1,"",J70=1,"Pass",J70&gt;1,_xlfn.TEXTJOIN("",TRUE,"Pass x",J70))</f>
        <v>Pass</v>
      </c>
      <c r="M70" s="13" t="str" cm="1">
        <f t="array" ref="M70">_xlfn.IFS(K70&lt;1,"",K70=1,"Fail",K70&gt;1,_xlfn.TEXTJOIN("",TRUE,"Fail x",K70))</f>
        <v>Fail</v>
      </c>
      <c r="N70" t="str">
        <f t="shared" si="7"/>
        <v>Pass, Fail</v>
      </c>
    </row>
    <row r="71" spans="8:14">
      <c r="H71" s="13">
        <f t="shared" si="4"/>
        <v>2</v>
      </c>
      <c r="I71" t="str" cm="1">
        <f t="array" ref="I71">_xlfn.IFS(H71&lt;1,"No",H71=1,"Yes",H71&gt;1,_xlfn.TEXTJOIN("",TRUE,"Yes x",H71))</f>
        <v>Yes x2</v>
      </c>
      <c r="J71" s="13">
        <f t="shared" si="5"/>
        <v>1</v>
      </c>
      <c r="K71" s="13">
        <f t="shared" si="6"/>
        <v>1</v>
      </c>
      <c r="L71" s="13" t="str" cm="1">
        <f t="array" ref="L71">_xlfn.IFS(J71&lt;1,"",J71=1,"Pass",J71&gt;1,_xlfn.TEXTJOIN("",TRUE,"Pass x",J71))</f>
        <v>Pass</v>
      </c>
      <c r="M71" s="13" t="str" cm="1">
        <f t="array" ref="M71">_xlfn.IFS(K71&lt;1,"",K71=1,"Fail",K71&gt;1,_xlfn.TEXTJOIN("",TRUE,"Fail x",K71))</f>
        <v>Fail</v>
      </c>
      <c r="N71" t="str">
        <f t="shared" si="7"/>
        <v>Pass, Fail</v>
      </c>
    </row>
    <row r="72" spans="8:14">
      <c r="H72" s="13">
        <f t="shared" si="4"/>
        <v>2</v>
      </c>
      <c r="I72" t="str" cm="1">
        <f t="array" ref="I72">_xlfn.IFS(H72&lt;1,"No",H72=1,"Yes",H72&gt;1,_xlfn.TEXTJOIN("",TRUE,"Yes x",H72))</f>
        <v>Yes x2</v>
      </c>
      <c r="J72" s="13">
        <f t="shared" si="5"/>
        <v>1</v>
      </c>
      <c r="K72" s="13">
        <f t="shared" si="6"/>
        <v>1</v>
      </c>
      <c r="L72" s="13" t="str" cm="1">
        <f t="array" ref="L72">_xlfn.IFS(J72&lt;1,"",J72=1,"Pass",J72&gt;1,_xlfn.TEXTJOIN("",TRUE,"Pass x",J72))</f>
        <v>Pass</v>
      </c>
      <c r="M72" s="13" t="str" cm="1">
        <f t="array" ref="M72">_xlfn.IFS(K72&lt;1,"",K72=1,"Fail",K72&gt;1,_xlfn.TEXTJOIN("",TRUE,"Fail x",K72))</f>
        <v>Fail</v>
      </c>
      <c r="N72" t="str">
        <f t="shared" si="7"/>
        <v>Pass, Fail</v>
      </c>
    </row>
    <row r="73" spans="8:14">
      <c r="H73" s="13">
        <f t="shared" si="4"/>
        <v>2</v>
      </c>
      <c r="I73" t="str" cm="1">
        <f t="array" ref="I73">_xlfn.IFS(H73&lt;1,"No",H73=1,"Yes",H73&gt;1,_xlfn.TEXTJOIN("",TRUE,"Yes x",H73))</f>
        <v>Yes x2</v>
      </c>
      <c r="J73" s="13">
        <f t="shared" si="5"/>
        <v>1</v>
      </c>
      <c r="K73" s="13">
        <f t="shared" si="6"/>
        <v>1</v>
      </c>
      <c r="L73" s="13" t="str" cm="1">
        <f t="array" ref="L73">_xlfn.IFS(J73&lt;1,"",J73=1,"Pass",J73&gt;1,_xlfn.TEXTJOIN("",TRUE,"Pass x",J73))</f>
        <v>Pass</v>
      </c>
      <c r="M73" s="13" t="str" cm="1">
        <f t="array" ref="M73">_xlfn.IFS(K73&lt;1,"",K73=1,"Fail",K73&gt;1,_xlfn.TEXTJOIN("",TRUE,"Fail x",K73))</f>
        <v>Fail</v>
      </c>
      <c r="N73" t="str">
        <f t="shared" si="7"/>
        <v>Pass, Fail</v>
      </c>
    </row>
    <row r="74" spans="8:14">
      <c r="H74" s="13">
        <f t="shared" si="4"/>
        <v>2</v>
      </c>
      <c r="I74" t="str" cm="1">
        <f t="array" ref="I74">_xlfn.IFS(H74&lt;1,"No",H74=1,"Yes",H74&gt;1,_xlfn.TEXTJOIN("",TRUE,"Yes x",H74))</f>
        <v>Yes x2</v>
      </c>
      <c r="J74" s="13">
        <f t="shared" si="5"/>
        <v>1</v>
      </c>
      <c r="K74" s="13">
        <f t="shared" si="6"/>
        <v>1</v>
      </c>
      <c r="L74" s="13" t="str" cm="1">
        <f t="array" ref="L74">_xlfn.IFS(J74&lt;1,"",J74=1,"Pass",J74&gt;1,_xlfn.TEXTJOIN("",TRUE,"Pass x",J74))</f>
        <v>Pass</v>
      </c>
      <c r="M74" s="13" t="str" cm="1">
        <f t="array" ref="M74">_xlfn.IFS(K74&lt;1,"",K74=1,"Fail",K74&gt;1,_xlfn.TEXTJOIN("",TRUE,"Fail x",K74))</f>
        <v>Fail</v>
      </c>
      <c r="N74" t="str">
        <f t="shared" si="7"/>
        <v>Pass, Fail</v>
      </c>
    </row>
    <row r="75" spans="8:14">
      <c r="H75" s="13">
        <f t="shared" si="4"/>
        <v>2</v>
      </c>
      <c r="I75" t="str" cm="1">
        <f t="array" ref="I75">_xlfn.IFS(H75&lt;1,"No",H75=1,"Yes",H75&gt;1,_xlfn.TEXTJOIN("",TRUE,"Yes x",H75))</f>
        <v>Yes x2</v>
      </c>
      <c r="J75" s="13">
        <f t="shared" si="5"/>
        <v>1</v>
      </c>
      <c r="K75" s="13">
        <f t="shared" si="6"/>
        <v>1</v>
      </c>
      <c r="L75" s="13" t="str" cm="1">
        <f t="array" ref="L75">_xlfn.IFS(J75&lt;1,"",J75=1,"Pass",J75&gt;1,_xlfn.TEXTJOIN("",TRUE,"Pass x",J75))</f>
        <v>Pass</v>
      </c>
      <c r="M75" s="13" t="str" cm="1">
        <f t="array" ref="M75">_xlfn.IFS(K75&lt;1,"",K75=1,"Fail",K75&gt;1,_xlfn.TEXTJOIN("",TRUE,"Fail x",K75))</f>
        <v>Fail</v>
      </c>
      <c r="N75" t="str">
        <f t="shared" si="7"/>
        <v>Pass, Fail</v>
      </c>
    </row>
    <row r="76" spans="8:14">
      <c r="H76" s="13">
        <f t="shared" si="4"/>
        <v>2</v>
      </c>
      <c r="I76" t="str" cm="1">
        <f t="array" ref="I76">_xlfn.IFS(H76&lt;1,"No",H76=1,"Yes",H76&gt;1,_xlfn.TEXTJOIN("",TRUE,"Yes x",H76))</f>
        <v>Yes x2</v>
      </c>
      <c r="J76" s="13">
        <f t="shared" si="5"/>
        <v>1</v>
      </c>
      <c r="K76" s="13">
        <f t="shared" si="6"/>
        <v>1</v>
      </c>
      <c r="L76" s="13" t="str" cm="1">
        <f t="array" ref="L76">_xlfn.IFS(J76&lt;1,"",J76=1,"Pass",J76&gt;1,_xlfn.TEXTJOIN("",TRUE,"Pass x",J76))</f>
        <v>Pass</v>
      </c>
      <c r="M76" s="13" t="str" cm="1">
        <f t="array" ref="M76">_xlfn.IFS(K76&lt;1,"",K76=1,"Fail",K76&gt;1,_xlfn.TEXTJOIN("",TRUE,"Fail x",K76))</f>
        <v>Fail</v>
      </c>
      <c r="N76" t="str">
        <f t="shared" si="7"/>
        <v>Pass, Fail</v>
      </c>
    </row>
    <row r="77" spans="8:14">
      <c r="H77" s="13">
        <f t="shared" si="4"/>
        <v>2</v>
      </c>
      <c r="I77" t="str" cm="1">
        <f t="array" ref="I77">_xlfn.IFS(H77&lt;1,"No",H77=1,"Yes",H77&gt;1,_xlfn.TEXTJOIN("",TRUE,"Yes x",H77))</f>
        <v>Yes x2</v>
      </c>
      <c r="J77" s="13">
        <f t="shared" si="5"/>
        <v>1</v>
      </c>
      <c r="K77" s="13">
        <f t="shared" si="6"/>
        <v>1</v>
      </c>
      <c r="L77" s="13" t="str" cm="1">
        <f t="array" ref="L77">_xlfn.IFS(J77&lt;1,"",J77=1,"Pass",J77&gt;1,_xlfn.TEXTJOIN("",TRUE,"Pass x",J77))</f>
        <v>Pass</v>
      </c>
      <c r="M77" s="13" t="str" cm="1">
        <f t="array" ref="M77">_xlfn.IFS(K77&lt;1,"",K77=1,"Fail",K77&gt;1,_xlfn.TEXTJOIN("",TRUE,"Fail x",K77))</f>
        <v>Fail</v>
      </c>
      <c r="N77" t="str">
        <f t="shared" si="7"/>
        <v>Pass, Fail</v>
      </c>
    </row>
    <row r="78" spans="8:14">
      <c r="H78" s="13">
        <f t="shared" si="4"/>
        <v>2</v>
      </c>
      <c r="I78" t="str" cm="1">
        <f t="array" ref="I78">_xlfn.IFS(H78&lt;1,"No",H78=1,"Yes",H78&gt;1,_xlfn.TEXTJOIN("",TRUE,"Yes x",H78))</f>
        <v>Yes x2</v>
      </c>
      <c r="J78" s="13">
        <f t="shared" si="5"/>
        <v>1</v>
      </c>
      <c r="K78" s="13">
        <f t="shared" si="6"/>
        <v>1</v>
      </c>
      <c r="L78" s="13" t="str" cm="1">
        <f t="array" ref="L78">_xlfn.IFS(J78&lt;1,"",J78=1,"Pass",J78&gt;1,_xlfn.TEXTJOIN("",TRUE,"Pass x",J78))</f>
        <v>Pass</v>
      </c>
      <c r="M78" s="13" t="str" cm="1">
        <f t="array" ref="M78">_xlfn.IFS(K78&lt;1,"",K78=1,"Fail",K78&gt;1,_xlfn.TEXTJOIN("",TRUE,"Fail x",K78))</f>
        <v>Fail</v>
      </c>
      <c r="N78" t="str">
        <f t="shared" si="7"/>
        <v>Pass, Fail</v>
      </c>
    </row>
    <row r="79" spans="8:14">
      <c r="H79" s="13">
        <f t="shared" si="4"/>
        <v>2</v>
      </c>
      <c r="I79" t="str" cm="1">
        <f t="array" ref="I79">_xlfn.IFS(H79&lt;1,"No",H79=1,"Yes",H79&gt;1,_xlfn.TEXTJOIN("",TRUE,"Yes x",H79))</f>
        <v>Yes x2</v>
      </c>
      <c r="J79" s="13">
        <f t="shared" si="5"/>
        <v>1</v>
      </c>
      <c r="K79" s="13">
        <f t="shared" si="6"/>
        <v>1</v>
      </c>
      <c r="L79" s="13" t="str" cm="1">
        <f t="array" ref="L79">_xlfn.IFS(J79&lt;1,"",J79=1,"Pass",J79&gt;1,_xlfn.TEXTJOIN("",TRUE,"Pass x",J79))</f>
        <v>Pass</v>
      </c>
      <c r="M79" s="13" t="str" cm="1">
        <f t="array" ref="M79">_xlfn.IFS(K79&lt;1,"",K79=1,"Fail",K79&gt;1,_xlfn.TEXTJOIN("",TRUE,"Fail x",K79))</f>
        <v>Fail</v>
      </c>
      <c r="N79" t="str">
        <f t="shared" si="7"/>
        <v>Pass, Fail</v>
      </c>
    </row>
    <row r="80" spans="8:14">
      <c r="H80" s="13">
        <f t="shared" si="4"/>
        <v>2</v>
      </c>
      <c r="I80" t="str" cm="1">
        <f t="array" ref="I80">_xlfn.IFS(H80&lt;1,"No",H80=1,"Yes",H80&gt;1,_xlfn.TEXTJOIN("",TRUE,"Yes x",H80))</f>
        <v>Yes x2</v>
      </c>
      <c r="J80" s="13">
        <f t="shared" si="5"/>
        <v>1</v>
      </c>
      <c r="K80" s="13">
        <f t="shared" si="6"/>
        <v>1</v>
      </c>
      <c r="L80" s="13" t="str" cm="1">
        <f t="array" ref="L80">_xlfn.IFS(J80&lt;1,"",J80=1,"Pass",J80&gt;1,_xlfn.TEXTJOIN("",TRUE,"Pass x",J80))</f>
        <v>Pass</v>
      </c>
      <c r="M80" s="13" t="str" cm="1">
        <f t="array" ref="M80">_xlfn.IFS(K80&lt;1,"",K80=1,"Fail",K80&gt;1,_xlfn.TEXTJOIN("",TRUE,"Fail x",K80))</f>
        <v>Fail</v>
      </c>
      <c r="N80" t="str">
        <f t="shared" si="7"/>
        <v>Pass, Fail</v>
      </c>
    </row>
    <row r="81" spans="8:14">
      <c r="H81" s="13">
        <f t="shared" si="4"/>
        <v>2</v>
      </c>
      <c r="I81" t="str" cm="1">
        <f t="array" ref="I81">_xlfn.IFS(H81&lt;1,"No",H81=1,"Yes",H81&gt;1,_xlfn.TEXTJOIN("",TRUE,"Yes x",H81))</f>
        <v>Yes x2</v>
      </c>
      <c r="J81" s="13">
        <f t="shared" si="5"/>
        <v>1</v>
      </c>
      <c r="K81" s="13">
        <f t="shared" si="6"/>
        <v>1</v>
      </c>
      <c r="L81" s="13" t="str" cm="1">
        <f t="array" ref="L81">_xlfn.IFS(J81&lt;1,"",J81=1,"Pass",J81&gt;1,_xlfn.TEXTJOIN("",TRUE,"Pass x",J81))</f>
        <v>Pass</v>
      </c>
      <c r="M81" s="13" t="str" cm="1">
        <f t="array" ref="M81">_xlfn.IFS(K81&lt;1,"",K81=1,"Fail",K81&gt;1,_xlfn.TEXTJOIN("",TRUE,"Fail x",K81))</f>
        <v>Fail</v>
      </c>
      <c r="N81" t="str">
        <f t="shared" si="7"/>
        <v>Pass, Fail</v>
      </c>
    </row>
    <row r="82" spans="8:14">
      <c r="H82" s="13">
        <f t="shared" si="4"/>
        <v>2</v>
      </c>
      <c r="I82" t="str" cm="1">
        <f t="array" ref="I82">_xlfn.IFS(H82&lt;1,"No",H82=1,"Yes",H82&gt;1,_xlfn.TEXTJOIN("",TRUE,"Yes x",H82))</f>
        <v>Yes x2</v>
      </c>
      <c r="J82" s="13">
        <f t="shared" si="5"/>
        <v>1</v>
      </c>
      <c r="K82" s="13">
        <f t="shared" si="6"/>
        <v>1</v>
      </c>
      <c r="L82" s="13" t="str" cm="1">
        <f t="array" ref="L82">_xlfn.IFS(J82&lt;1,"",J82=1,"Pass",J82&gt;1,_xlfn.TEXTJOIN("",TRUE,"Pass x",J82))</f>
        <v>Pass</v>
      </c>
      <c r="M82" s="13" t="str" cm="1">
        <f t="array" ref="M82">_xlfn.IFS(K82&lt;1,"",K82=1,"Fail",K82&gt;1,_xlfn.TEXTJOIN("",TRUE,"Fail x",K82))</f>
        <v>Fail</v>
      </c>
      <c r="N82" t="str">
        <f t="shared" si="7"/>
        <v>Pass, Fail</v>
      </c>
    </row>
    <row r="83" spans="8:14">
      <c r="H83" s="13">
        <f t="shared" si="4"/>
        <v>2</v>
      </c>
      <c r="I83" t="str" cm="1">
        <f t="array" ref="I83">_xlfn.IFS(H83&lt;1,"No",H83=1,"Yes",H83&gt;1,_xlfn.TEXTJOIN("",TRUE,"Yes x",H83))</f>
        <v>Yes x2</v>
      </c>
      <c r="J83" s="13">
        <f t="shared" si="5"/>
        <v>1</v>
      </c>
      <c r="K83" s="13">
        <f t="shared" si="6"/>
        <v>1</v>
      </c>
      <c r="L83" s="13" t="str" cm="1">
        <f t="array" ref="L83">_xlfn.IFS(J83&lt;1,"",J83=1,"Pass",J83&gt;1,_xlfn.TEXTJOIN("",TRUE,"Pass x",J83))</f>
        <v>Pass</v>
      </c>
      <c r="M83" s="13" t="str" cm="1">
        <f t="array" ref="M83">_xlfn.IFS(K83&lt;1,"",K83=1,"Fail",K83&gt;1,_xlfn.TEXTJOIN("",TRUE,"Fail x",K83))</f>
        <v>Fail</v>
      </c>
      <c r="N83" t="str">
        <f t="shared" si="7"/>
        <v>Pass, Fail</v>
      </c>
    </row>
    <row r="84" spans="8:14">
      <c r="H84" s="13">
        <f t="shared" si="4"/>
        <v>2</v>
      </c>
      <c r="I84" t="str" cm="1">
        <f t="array" ref="I84">_xlfn.IFS(H84&lt;1,"No",H84=1,"Yes",H84&gt;1,_xlfn.TEXTJOIN("",TRUE,"Yes x",H84))</f>
        <v>Yes x2</v>
      </c>
      <c r="J84" s="13">
        <f t="shared" si="5"/>
        <v>1</v>
      </c>
      <c r="K84" s="13">
        <f t="shared" si="6"/>
        <v>1</v>
      </c>
      <c r="L84" s="13" t="str" cm="1">
        <f t="array" ref="L84">_xlfn.IFS(J84&lt;1,"",J84=1,"Pass",J84&gt;1,_xlfn.TEXTJOIN("",TRUE,"Pass x",J84))</f>
        <v>Pass</v>
      </c>
      <c r="M84" s="13" t="str" cm="1">
        <f t="array" ref="M84">_xlfn.IFS(K84&lt;1,"",K84=1,"Fail",K84&gt;1,_xlfn.TEXTJOIN("",TRUE,"Fail x",K84))</f>
        <v>Fail</v>
      </c>
      <c r="N84" t="str">
        <f t="shared" si="7"/>
        <v>Pass, Fail</v>
      </c>
    </row>
    <row r="85" spans="8:14">
      <c r="H85" s="13">
        <f t="shared" si="4"/>
        <v>2</v>
      </c>
      <c r="I85" t="str" cm="1">
        <f t="array" ref="I85">_xlfn.IFS(H85&lt;1,"No",H85=1,"Yes",H85&gt;1,_xlfn.TEXTJOIN("",TRUE,"Yes x",H85))</f>
        <v>Yes x2</v>
      </c>
      <c r="J85" s="13">
        <f t="shared" si="5"/>
        <v>1</v>
      </c>
      <c r="K85" s="13">
        <f t="shared" si="6"/>
        <v>1</v>
      </c>
      <c r="L85" s="13" t="str" cm="1">
        <f t="array" ref="L85">_xlfn.IFS(J85&lt;1,"",J85=1,"Pass",J85&gt;1,_xlfn.TEXTJOIN("",TRUE,"Pass x",J85))</f>
        <v>Pass</v>
      </c>
      <c r="M85" s="13" t="str" cm="1">
        <f t="array" ref="M85">_xlfn.IFS(K85&lt;1,"",K85=1,"Fail",K85&gt;1,_xlfn.TEXTJOIN("",TRUE,"Fail x",K85))</f>
        <v>Fail</v>
      </c>
      <c r="N85" t="str">
        <f t="shared" si="7"/>
        <v>Pass, Fail</v>
      </c>
    </row>
    <row r="86" spans="8:14">
      <c r="H86" s="13">
        <f t="shared" si="4"/>
        <v>2</v>
      </c>
      <c r="I86" t="str" cm="1">
        <f t="array" ref="I86">_xlfn.IFS(H86&lt;1,"No",H86=1,"Yes",H86&gt;1,_xlfn.TEXTJOIN("",TRUE,"Yes x",H86))</f>
        <v>Yes x2</v>
      </c>
      <c r="J86" s="13">
        <f t="shared" si="5"/>
        <v>1</v>
      </c>
      <c r="K86" s="13">
        <f t="shared" si="6"/>
        <v>1</v>
      </c>
      <c r="L86" s="13" t="str" cm="1">
        <f t="array" ref="L86">_xlfn.IFS(J86&lt;1,"",J86=1,"Pass",J86&gt;1,_xlfn.TEXTJOIN("",TRUE,"Pass x",J86))</f>
        <v>Pass</v>
      </c>
      <c r="M86" s="13" t="str" cm="1">
        <f t="array" ref="M86">_xlfn.IFS(K86&lt;1,"",K86=1,"Fail",K86&gt;1,_xlfn.TEXTJOIN("",TRUE,"Fail x",K86))</f>
        <v>Fail</v>
      </c>
      <c r="N86" t="str">
        <f t="shared" si="7"/>
        <v>Pass, Fail</v>
      </c>
    </row>
    <row r="87" spans="8:14">
      <c r="H87" s="13">
        <f t="shared" si="4"/>
        <v>2</v>
      </c>
      <c r="I87" t="str" cm="1">
        <f t="array" ref="I87">_xlfn.IFS(H87&lt;1,"No",H87=1,"Yes",H87&gt;1,_xlfn.TEXTJOIN("",TRUE,"Yes x",H87))</f>
        <v>Yes x2</v>
      </c>
      <c r="J87" s="13">
        <f t="shared" si="5"/>
        <v>1</v>
      </c>
      <c r="K87" s="13">
        <f t="shared" si="6"/>
        <v>1</v>
      </c>
      <c r="L87" s="13" t="str" cm="1">
        <f t="array" ref="L87">_xlfn.IFS(J87&lt;1,"",J87=1,"Pass",J87&gt;1,_xlfn.TEXTJOIN("",TRUE,"Pass x",J87))</f>
        <v>Pass</v>
      </c>
      <c r="M87" s="13" t="str" cm="1">
        <f t="array" ref="M87">_xlfn.IFS(K87&lt;1,"",K87=1,"Fail",K87&gt;1,_xlfn.TEXTJOIN("",TRUE,"Fail x",K87))</f>
        <v>Fail</v>
      </c>
      <c r="N87" t="str">
        <f t="shared" si="7"/>
        <v>Pass, Fail</v>
      </c>
    </row>
    <row r="88" spans="8:14">
      <c r="H88" s="13">
        <f t="shared" si="4"/>
        <v>2</v>
      </c>
      <c r="I88" t="str" cm="1">
        <f t="array" ref="I88">_xlfn.IFS(H88&lt;1,"No",H88=1,"Yes",H88&gt;1,_xlfn.TEXTJOIN("",TRUE,"Yes x",H88))</f>
        <v>Yes x2</v>
      </c>
      <c r="J88" s="13">
        <f t="shared" si="5"/>
        <v>1</v>
      </c>
      <c r="K88" s="13">
        <f t="shared" si="6"/>
        <v>1</v>
      </c>
      <c r="L88" s="13" t="str" cm="1">
        <f t="array" ref="L88">_xlfn.IFS(J88&lt;1,"",J88=1,"Pass",J88&gt;1,_xlfn.TEXTJOIN("",TRUE,"Pass x",J88))</f>
        <v>Pass</v>
      </c>
      <c r="M88" s="13" t="str" cm="1">
        <f t="array" ref="M88">_xlfn.IFS(K88&lt;1,"",K88=1,"Fail",K88&gt;1,_xlfn.TEXTJOIN("",TRUE,"Fail x",K88))</f>
        <v>Fail</v>
      </c>
      <c r="N88" t="str">
        <f t="shared" si="7"/>
        <v>Pass, Fail</v>
      </c>
    </row>
    <row r="89" spans="8:14">
      <c r="H89" s="13">
        <f t="shared" si="4"/>
        <v>2</v>
      </c>
      <c r="I89" t="str" cm="1">
        <f t="array" ref="I89">_xlfn.IFS(H89&lt;1,"No",H89=1,"Yes",H89&gt;1,_xlfn.TEXTJOIN("",TRUE,"Yes x",H89))</f>
        <v>Yes x2</v>
      </c>
      <c r="J89" s="13">
        <f t="shared" si="5"/>
        <v>1</v>
      </c>
      <c r="K89" s="13">
        <f t="shared" si="6"/>
        <v>1</v>
      </c>
      <c r="L89" s="13" t="str" cm="1">
        <f t="array" ref="L89">_xlfn.IFS(J89&lt;1,"",J89=1,"Pass",J89&gt;1,_xlfn.TEXTJOIN("",TRUE,"Pass x",J89))</f>
        <v>Pass</v>
      </c>
      <c r="M89" s="13" t="str" cm="1">
        <f t="array" ref="M89">_xlfn.IFS(K89&lt;1,"",K89=1,"Fail",K89&gt;1,_xlfn.TEXTJOIN("",TRUE,"Fail x",K89))</f>
        <v>Fail</v>
      </c>
      <c r="N89" t="str">
        <f t="shared" si="7"/>
        <v>Pass, Fail</v>
      </c>
    </row>
    <row r="90" spans="8:14">
      <c r="H90" s="13">
        <f t="shared" si="4"/>
        <v>2</v>
      </c>
      <c r="I90" t="str" cm="1">
        <f t="array" ref="I90">_xlfn.IFS(H90&lt;1,"No",H90=1,"Yes",H90&gt;1,_xlfn.TEXTJOIN("",TRUE,"Yes x",H90))</f>
        <v>Yes x2</v>
      </c>
      <c r="J90" s="13">
        <f t="shared" si="5"/>
        <v>1</v>
      </c>
      <c r="K90" s="13">
        <f t="shared" si="6"/>
        <v>1</v>
      </c>
      <c r="L90" s="13" t="str" cm="1">
        <f t="array" ref="L90">_xlfn.IFS(J90&lt;1,"",J90=1,"Pass",J90&gt;1,_xlfn.TEXTJOIN("",TRUE,"Pass x",J90))</f>
        <v>Pass</v>
      </c>
      <c r="M90" s="13" t="str" cm="1">
        <f t="array" ref="M90">_xlfn.IFS(K90&lt;1,"",K90=1,"Fail",K90&gt;1,_xlfn.TEXTJOIN("",TRUE,"Fail x",K90))</f>
        <v>Fail</v>
      </c>
      <c r="N90" t="str">
        <f t="shared" si="7"/>
        <v>Pass, Fail</v>
      </c>
    </row>
    <row r="91" spans="8:14">
      <c r="H91" s="13">
        <f t="shared" si="4"/>
        <v>2</v>
      </c>
      <c r="I91" t="str" cm="1">
        <f t="array" ref="I91">_xlfn.IFS(H91&lt;1,"No",H91=1,"Yes",H91&gt;1,_xlfn.TEXTJOIN("",TRUE,"Yes x",H91))</f>
        <v>Yes x2</v>
      </c>
      <c r="J91" s="13">
        <f t="shared" si="5"/>
        <v>1</v>
      </c>
      <c r="K91" s="13">
        <f t="shared" si="6"/>
        <v>1</v>
      </c>
      <c r="L91" s="13" t="str" cm="1">
        <f t="array" ref="L91">_xlfn.IFS(J91&lt;1,"",J91=1,"Pass",J91&gt;1,_xlfn.TEXTJOIN("",TRUE,"Pass x",J91))</f>
        <v>Pass</v>
      </c>
      <c r="M91" s="13" t="str" cm="1">
        <f t="array" ref="M91">_xlfn.IFS(K91&lt;1,"",K91=1,"Fail",K91&gt;1,_xlfn.TEXTJOIN("",TRUE,"Fail x",K91))</f>
        <v>Fail</v>
      </c>
      <c r="N91" t="str">
        <f t="shared" si="7"/>
        <v>Pass, Fail</v>
      </c>
    </row>
    <row r="92" spans="8:14">
      <c r="H92" s="13">
        <f t="shared" si="4"/>
        <v>2</v>
      </c>
      <c r="I92" t="str" cm="1">
        <f t="array" ref="I92">_xlfn.IFS(H92&lt;1,"No",H92=1,"Yes",H92&gt;1,_xlfn.TEXTJOIN("",TRUE,"Yes x",H92))</f>
        <v>Yes x2</v>
      </c>
      <c r="J92" s="13">
        <f t="shared" si="5"/>
        <v>1</v>
      </c>
      <c r="K92" s="13">
        <f t="shared" si="6"/>
        <v>1</v>
      </c>
      <c r="L92" s="13" t="str" cm="1">
        <f t="array" ref="L92">_xlfn.IFS(J92&lt;1,"",J92=1,"Pass",J92&gt;1,_xlfn.TEXTJOIN("",TRUE,"Pass x",J92))</f>
        <v>Pass</v>
      </c>
      <c r="M92" s="13" t="str" cm="1">
        <f t="array" ref="M92">_xlfn.IFS(K92&lt;1,"",K92=1,"Fail",K92&gt;1,_xlfn.TEXTJOIN("",TRUE,"Fail x",K92))</f>
        <v>Fail</v>
      </c>
      <c r="N92" t="str">
        <f t="shared" si="7"/>
        <v>Pass, Fail</v>
      </c>
    </row>
    <row r="93" spans="8:14">
      <c r="H93" s="13">
        <f t="shared" si="4"/>
        <v>2</v>
      </c>
      <c r="I93" t="str" cm="1">
        <f t="array" ref="I93">_xlfn.IFS(H93&lt;1,"No",H93=1,"Yes",H93&gt;1,_xlfn.TEXTJOIN("",TRUE,"Yes x",H93))</f>
        <v>Yes x2</v>
      </c>
      <c r="J93" s="13">
        <f t="shared" si="5"/>
        <v>1</v>
      </c>
      <c r="K93" s="13">
        <f t="shared" si="6"/>
        <v>1</v>
      </c>
      <c r="L93" s="13" t="str" cm="1">
        <f t="array" ref="L93">_xlfn.IFS(J93&lt;1,"",J93=1,"Pass",J93&gt;1,_xlfn.TEXTJOIN("",TRUE,"Pass x",J93))</f>
        <v>Pass</v>
      </c>
      <c r="M93" s="13" t="str" cm="1">
        <f t="array" ref="M93">_xlfn.IFS(K93&lt;1,"",K93=1,"Fail",K93&gt;1,_xlfn.TEXTJOIN("",TRUE,"Fail x",K93))</f>
        <v>Fail</v>
      </c>
      <c r="N93" t="str">
        <f t="shared" si="7"/>
        <v>Pass, Fail</v>
      </c>
    </row>
    <row r="94" spans="8:14">
      <c r="H94" s="13">
        <f t="shared" si="4"/>
        <v>2</v>
      </c>
      <c r="I94" t="str" cm="1">
        <f t="array" ref="I94">_xlfn.IFS(H94&lt;1,"No",H94=1,"Yes",H94&gt;1,_xlfn.TEXTJOIN("",TRUE,"Yes x",H94))</f>
        <v>Yes x2</v>
      </c>
      <c r="J94" s="13">
        <f t="shared" si="5"/>
        <v>1</v>
      </c>
      <c r="K94" s="13">
        <f t="shared" si="6"/>
        <v>1</v>
      </c>
      <c r="L94" s="13" t="str" cm="1">
        <f t="array" ref="L94">_xlfn.IFS(J94&lt;1,"",J94=1,"Pass",J94&gt;1,_xlfn.TEXTJOIN("",TRUE,"Pass x",J94))</f>
        <v>Pass</v>
      </c>
      <c r="M94" s="13" t="str" cm="1">
        <f t="array" ref="M94">_xlfn.IFS(K94&lt;1,"",K94=1,"Fail",K94&gt;1,_xlfn.TEXTJOIN("",TRUE,"Fail x",K94))</f>
        <v>Fail</v>
      </c>
      <c r="N94" t="str">
        <f t="shared" si="7"/>
        <v>Pass, Fail</v>
      </c>
    </row>
    <row r="95" spans="8:14">
      <c r="H95" s="13">
        <f t="shared" si="4"/>
        <v>2</v>
      </c>
      <c r="I95" t="str" cm="1">
        <f t="array" ref="I95">_xlfn.IFS(H95&lt;1,"No",H95=1,"Yes",H95&gt;1,_xlfn.TEXTJOIN("",TRUE,"Yes x",H95))</f>
        <v>Yes x2</v>
      </c>
      <c r="J95" s="13">
        <f t="shared" si="5"/>
        <v>1</v>
      </c>
      <c r="K95" s="13">
        <f t="shared" si="6"/>
        <v>1</v>
      </c>
      <c r="L95" s="13" t="str" cm="1">
        <f t="array" ref="L95">_xlfn.IFS(J95&lt;1,"",J95=1,"Pass",J95&gt;1,_xlfn.TEXTJOIN("",TRUE,"Pass x",J95))</f>
        <v>Pass</v>
      </c>
      <c r="M95" s="13" t="str" cm="1">
        <f t="array" ref="M95">_xlfn.IFS(K95&lt;1,"",K95=1,"Fail",K95&gt;1,_xlfn.TEXTJOIN("",TRUE,"Fail x",K95))</f>
        <v>Fail</v>
      </c>
      <c r="N95" t="str">
        <f t="shared" si="7"/>
        <v>Pass, Fail</v>
      </c>
    </row>
    <row r="96" spans="8:14">
      <c r="H96" s="13">
        <f t="shared" si="4"/>
        <v>2</v>
      </c>
      <c r="I96" t="str" cm="1">
        <f t="array" ref="I96">_xlfn.IFS(H96&lt;1,"No",H96=1,"Yes",H96&gt;1,_xlfn.TEXTJOIN("",TRUE,"Yes x",H96))</f>
        <v>Yes x2</v>
      </c>
      <c r="J96" s="13">
        <f t="shared" si="5"/>
        <v>1</v>
      </c>
      <c r="K96" s="13">
        <f t="shared" si="6"/>
        <v>1</v>
      </c>
      <c r="L96" s="13" t="str" cm="1">
        <f t="array" ref="L96">_xlfn.IFS(J96&lt;1,"",J96=1,"Pass",J96&gt;1,_xlfn.TEXTJOIN("",TRUE,"Pass x",J96))</f>
        <v>Pass</v>
      </c>
      <c r="M96" s="13" t="str" cm="1">
        <f t="array" ref="M96">_xlfn.IFS(K96&lt;1,"",K96=1,"Fail",K96&gt;1,_xlfn.TEXTJOIN("",TRUE,"Fail x",K96))</f>
        <v>Fail</v>
      </c>
      <c r="N96" t="str">
        <f t="shared" si="7"/>
        <v>Pass, Fail</v>
      </c>
    </row>
    <row r="97" spans="8:14">
      <c r="H97" s="13">
        <f t="shared" si="4"/>
        <v>2</v>
      </c>
      <c r="I97" t="str" cm="1">
        <f t="array" ref="I97">_xlfn.IFS(H97&lt;1,"No",H97=1,"Yes",H97&gt;1,_xlfn.TEXTJOIN("",TRUE,"Yes x",H97))</f>
        <v>Yes x2</v>
      </c>
      <c r="J97" s="13">
        <f t="shared" si="5"/>
        <v>1</v>
      </c>
      <c r="K97" s="13">
        <f t="shared" si="6"/>
        <v>1</v>
      </c>
      <c r="L97" s="13" t="str" cm="1">
        <f t="array" ref="L97">_xlfn.IFS(J97&lt;1,"",J97=1,"Pass",J97&gt;1,_xlfn.TEXTJOIN("",TRUE,"Pass x",J97))</f>
        <v>Pass</v>
      </c>
      <c r="M97" s="13" t="str" cm="1">
        <f t="array" ref="M97">_xlfn.IFS(K97&lt;1,"",K97=1,"Fail",K97&gt;1,_xlfn.TEXTJOIN("",TRUE,"Fail x",K97))</f>
        <v>Fail</v>
      </c>
      <c r="N97" t="str">
        <f t="shared" si="7"/>
        <v>Pass, Fail</v>
      </c>
    </row>
    <row r="98" spans="8:14">
      <c r="H98" s="13">
        <f t="shared" si="4"/>
        <v>2</v>
      </c>
      <c r="I98" t="str" cm="1">
        <f t="array" ref="I98">_xlfn.IFS(H98&lt;1,"No",H98=1,"Yes",H98&gt;1,_xlfn.TEXTJOIN("",TRUE,"Yes x",H98))</f>
        <v>Yes x2</v>
      </c>
      <c r="J98" s="13">
        <f t="shared" si="5"/>
        <v>1</v>
      </c>
      <c r="K98" s="13">
        <f t="shared" si="6"/>
        <v>1</v>
      </c>
      <c r="L98" s="13" t="str" cm="1">
        <f t="array" ref="L98">_xlfn.IFS(J98&lt;1,"",J98=1,"Pass",J98&gt;1,_xlfn.TEXTJOIN("",TRUE,"Pass x",J98))</f>
        <v>Pass</v>
      </c>
      <c r="M98" s="13" t="str" cm="1">
        <f t="array" ref="M98">_xlfn.IFS(K98&lt;1,"",K98=1,"Fail",K98&gt;1,_xlfn.TEXTJOIN("",TRUE,"Fail x",K98))</f>
        <v>Fail</v>
      </c>
      <c r="N98" t="str">
        <f t="shared" si="7"/>
        <v>Pass, Fail</v>
      </c>
    </row>
    <row r="99" spans="8:14">
      <c r="H99" s="13">
        <f t="shared" si="4"/>
        <v>2</v>
      </c>
      <c r="I99" t="str" cm="1">
        <f t="array" ref="I99">_xlfn.IFS(H99&lt;1,"No",H99=1,"Yes",H99&gt;1,_xlfn.TEXTJOIN("",TRUE,"Yes x",H99))</f>
        <v>Yes x2</v>
      </c>
      <c r="J99" s="13">
        <f t="shared" si="5"/>
        <v>1</v>
      </c>
      <c r="K99" s="13">
        <f t="shared" si="6"/>
        <v>1</v>
      </c>
      <c r="L99" s="13" t="str" cm="1">
        <f t="array" ref="L99">_xlfn.IFS(J99&lt;1,"",J99=1,"Pass",J99&gt;1,_xlfn.TEXTJOIN("",TRUE,"Pass x",J99))</f>
        <v>Pass</v>
      </c>
      <c r="M99" s="13" t="str" cm="1">
        <f t="array" ref="M99">_xlfn.IFS(K99&lt;1,"",K99=1,"Fail",K99&gt;1,_xlfn.TEXTJOIN("",TRUE,"Fail x",K99))</f>
        <v>Fail</v>
      </c>
      <c r="N99" t="str">
        <f t="shared" si="7"/>
        <v>Pass, Fail</v>
      </c>
    </row>
    <row r="100" spans="8:14">
      <c r="H100" s="13">
        <f t="shared" ref="H100:H163" si="8">IFERROR(GETPIVOTDATA("Successful / Failed",$A$1,"System serial",G100),0)</f>
        <v>2</v>
      </c>
      <c r="I100" t="str" cm="1">
        <f t="array" ref="I100">_xlfn.IFS(H100&lt;1,"No",H100=1,"Yes",H100&gt;1,_xlfn.TEXTJOIN("",TRUE,"Yes x",H100))</f>
        <v>Yes x2</v>
      </c>
      <c r="J100" s="13">
        <f t="shared" ref="J100:J163" si="9">IFERROR(GETPIVOTDATA("Successful / Failed",$A$1,"System serial",G100,"Successful / Failed","Successful"),0)</f>
        <v>1</v>
      </c>
      <c r="K100" s="13">
        <f t="shared" si="6"/>
        <v>1</v>
      </c>
      <c r="L100" s="13" t="str" cm="1">
        <f t="array" ref="L100">_xlfn.IFS(J100&lt;1,"",J100=1,"Pass",J100&gt;1,_xlfn.TEXTJOIN("",TRUE,"Pass x",J100))</f>
        <v>Pass</v>
      </c>
      <c r="M100" s="13" t="str" cm="1">
        <f t="array" ref="M100">_xlfn.IFS(K100&lt;1,"",K100=1,"Fail",K100&gt;1,_xlfn.TEXTJOIN("",TRUE,"Fail x",K100))</f>
        <v>Fail</v>
      </c>
      <c r="N100" t="str">
        <f t="shared" ref="N100:N163" si="10">_xlfn.TEXTJOIN(", ",TRUE, L100, M100)</f>
        <v>Pass, Fail</v>
      </c>
    </row>
    <row r="101" spans="8:14">
      <c r="H101" s="13">
        <f t="shared" si="8"/>
        <v>2</v>
      </c>
      <c r="I101" t="str" cm="1">
        <f t="array" ref="I101">_xlfn.IFS(H101&lt;1,"No",H101=1,"Yes",H101&gt;1,_xlfn.TEXTJOIN("",TRUE,"Yes x",H101))</f>
        <v>Yes x2</v>
      </c>
      <c r="J101" s="13">
        <f t="shared" si="9"/>
        <v>1</v>
      </c>
      <c r="K101" s="13">
        <f t="shared" si="6"/>
        <v>1</v>
      </c>
      <c r="L101" s="13" t="str" cm="1">
        <f t="array" ref="L101">_xlfn.IFS(J101&lt;1,"",J101=1,"Pass",J101&gt;1,_xlfn.TEXTJOIN("",TRUE,"Pass x",J101))</f>
        <v>Pass</v>
      </c>
      <c r="M101" s="13" t="str" cm="1">
        <f t="array" ref="M101">_xlfn.IFS(K101&lt;1,"",K101=1,"Fail",K101&gt;1,_xlfn.TEXTJOIN("",TRUE,"Fail x",K101))</f>
        <v>Fail</v>
      </c>
      <c r="N101" t="str">
        <f t="shared" si="10"/>
        <v>Pass, Fail</v>
      </c>
    </row>
    <row r="102" spans="8:14">
      <c r="H102" s="13">
        <f t="shared" si="8"/>
        <v>2</v>
      </c>
      <c r="I102" t="str" cm="1">
        <f t="array" ref="I102">_xlfn.IFS(H102&lt;1,"No",H102=1,"Yes",H102&gt;1,_xlfn.TEXTJOIN("",TRUE,"Yes x",H102))</f>
        <v>Yes x2</v>
      </c>
      <c r="J102" s="13">
        <f t="shared" si="9"/>
        <v>1</v>
      </c>
      <c r="K102" s="13">
        <f t="shared" si="6"/>
        <v>1</v>
      </c>
      <c r="L102" s="13" t="str" cm="1">
        <f t="array" ref="L102">_xlfn.IFS(J102&lt;1,"",J102=1,"Pass",J102&gt;1,_xlfn.TEXTJOIN("",TRUE,"Pass x",J102))</f>
        <v>Pass</v>
      </c>
      <c r="M102" s="13" t="str" cm="1">
        <f t="array" ref="M102">_xlfn.IFS(K102&lt;1,"",K102=1,"Fail",K102&gt;1,_xlfn.TEXTJOIN("",TRUE,"Fail x",K102))</f>
        <v>Fail</v>
      </c>
      <c r="N102" t="str">
        <f t="shared" si="10"/>
        <v>Pass, Fail</v>
      </c>
    </row>
    <row r="103" spans="8:14">
      <c r="H103" s="13">
        <f t="shared" si="8"/>
        <v>2</v>
      </c>
      <c r="I103" t="str" cm="1">
        <f t="array" ref="I103">_xlfn.IFS(H103&lt;1,"No",H103=1,"Yes",H103&gt;1,_xlfn.TEXTJOIN("",TRUE,"Yes x",H103))</f>
        <v>Yes x2</v>
      </c>
      <c r="J103" s="13">
        <f t="shared" si="9"/>
        <v>1</v>
      </c>
      <c r="K103" s="13">
        <f t="shared" si="6"/>
        <v>1</v>
      </c>
      <c r="L103" s="13" t="str" cm="1">
        <f t="array" ref="L103">_xlfn.IFS(J103&lt;1,"",J103=1,"Pass",J103&gt;1,_xlfn.TEXTJOIN("",TRUE,"Pass x",J103))</f>
        <v>Pass</v>
      </c>
      <c r="M103" s="13" t="str" cm="1">
        <f t="array" ref="M103">_xlfn.IFS(K103&lt;1,"",K103=1,"Fail",K103&gt;1,_xlfn.TEXTJOIN("",TRUE,"Fail x",K103))</f>
        <v>Fail</v>
      </c>
      <c r="N103" t="str">
        <f t="shared" si="10"/>
        <v>Pass, Fail</v>
      </c>
    </row>
    <row r="104" spans="8:14">
      <c r="H104" s="13">
        <f t="shared" si="8"/>
        <v>2</v>
      </c>
      <c r="I104" t="str" cm="1">
        <f t="array" ref="I104">_xlfn.IFS(H104&lt;1,"No",H104=1,"Yes",H104&gt;1,_xlfn.TEXTJOIN("",TRUE,"Yes x",H104))</f>
        <v>Yes x2</v>
      </c>
      <c r="J104" s="13">
        <f t="shared" si="9"/>
        <v>1</v>
      </c>
      <c r="K104" s="13">
        <f t="shared" si="6"/>
        <v>1</v>
      </c>
      <c r="L104" s="13" t="str" cm="1">
        <f t="array" ref="L104">_xlfn.IFS(J104&lt;1,"",J104=1,"Pass",J104&gt;1,_xlfn.TEXTJOIN("",TRUE,"Pass x",J104))</f>
        <v>Pass</v>
      </c>
      <c r="M104" s="13" t="str" cm="1">
        <f t="array" ref="M104">_xlfn.IFS(K104&lt;1,"",K104=1,"Fail",K104&gt;1,_xlfn.TEXTJOIN("",TRUE,"Fail x",K104))</f>
        <v>Fail</v>
      </c>
      <c r="N104" t="str">
        <f t="shared" si="10"/>
        <v>Pass, Fail</v>
      </c>
    </row>
    <row r="105" spans="8:14">
      <c r="H105" s="13">
        <f t="shared" si="8"/>
        <v>2</v>
      </c>
      <c r="I105" t="str" cm="1">
        <f t="array" ref="I105">_xlfn.IFS(H105&lt;1,"No",H105=1,"Yes",H105&gt;1,_xlfn.TEXTJOIN("",TRUE,"Yes x",H105))</f>
        <v>Yes x2</v>
      </c>
      <c r="J105" s="13">
        <f t="shared" si="9"/>
        <v>1</v>
      </c>
      <c r="K105" s="13">
        <f t="shared" si="6"/>
        <v>1</v>
      </c>
      <c r="L105" s="13" t="str" cm="1">
        <f t="array" ref="L105">_xlfn.IFS(J105&lt;1,"",J105=1,"Pass",J105&gt;1,_xlfn.TEXTJOIN("",TRUE,"Pass x",J105))</f>
        <v>Pass</v>
      </c>
      <c r="M105" s="13" t="str" cm="1">
        <f t="array" ref="M105">_xlfn.IFS(K105&lt;1,"",K105=1,"Fail",K105&gt;1,_xlfn.TEXTJOIN("",TRUE,"Fail x",K105))</f>
        <v>Fail</v>
      </c>
      <c r="N105" t="str">
        <f t="shared" si="10"/>
        <v>Pass, Fail</v>
      </c>
    </row>
    <row r="106" spans="8:14">
      <c r="H106" s="13">
        <f t="shared" si="8"/>
        <v>2</v>
      </c>
      <c r="I106" t="str" cm="1">
        <f t="array" ref="I106">_xlfn.IFS(H106&lt;1,"No",H106=1,"Yes",H106&gt;1,_xlfn.TEXTJOIN("",TRUE,"Yes x",H106))</f>
        <v>Yes x2</v>
      </c>
      <c r="J106" s="13">
        <f t="shared" si="9"/>
        <v>1</v>
      </c>
      <c r="K106" s="13">
        <f t="shared" si="6"/>
        <v>1</v>
      </c>
      <c r="L106" s="13" t="str" cm="1">
        <f t="array" ref="L106">_xlfn.IFS(J106&lt;1,"",J106=1,"Pass",J106&gt;1,_xlfn.TEXTJOIN("",TRUE,"Pass x",J106))</f>
        <v>Pass</v>
      </c>
      <c r="M106" s="13" t="str" cm="1">
        <f t="array" ref="M106">_xlfn.IFS(K106&lt;1,"",K106=1,"Fail",K106&gt;1,_xlfn.TEXTJOIN("",TRUE,"Fail x",K106))</f>
        <v>Fail</v>
      </c>
      <c r="N106" t="str">
        <f t="shared" si="10"/>
        <v>Pass, Fail</v>
      </c>
    </row>
    <row r="107" spans="8:14">
      <c r="H107" s="13">
        <f t="shared" si="8"/>
        <v>2</v>
      </c>
      <c r="I107" t="str" cm="1">
        <f t="array" ref="I107">_xlfn.IFS(H107&lt;1,"No",H107=1,"Yes",H107&gt;1,_xlfn.TEXTJOIN("",TRUE,"Yes x",H107))</f>
        <v>Yes x2</v>
      </c>
      <c r="J107" s="13">
        <f t="shared" si="9"/>
        <v>1</v>
      </c>
      <c r="K107" s="13">
        <f t="shared" si="6"/>
        <v>1</v>
      </c>
      <c r="L107" s="13" t="str" cm="1">
        <f t="array" ref="L107">_xlfn.IFS(J107&lt;1,"",J107=1,"Pass",J107&gt;1,_xlfn.TEXTJOIN("",TRUE,"Pass x",J107))</f>
        <v>Pass</v>
      </c>
      <c r="M107" s="13" t="str" cm="1">
        <f t="array" ref="M107">_xlfn.IFS(K107&lt;1,"",K107=1,"Fail",K107&gt;1,_xlfn.TEXTJOIN("",TRUE,"Fail x",K107))</f>
        <v>Fail</v>
      </c>
      <c r="N107" t="str">
        <f t="shared" si="10"/>
        <v>Pass, Fail</v>
      </c>
    </row>
    <row r="108" spans="8:14">
      <c r="H108" s="13">
        <f t="shared" si="8"/>
        <v>2</v>
      </c>
      <c r="I108" t="str" cm="1">
        <f t="array" ref="I108">_xlfn.IFS(H108&lt;1,"No",H108=1,"Yes",H108&gt;1,_xlfn.TEXTJOIN("",TRUE,"Yes x",H108))</f>
        <v>Yes x2</v>
      </c>
      <c r="J108" s="13">
        <f t="shared" si="9"/>
        <v>1</v>
      </c>
      <c r="K108" s="13">
        <f t="shared" si="6"/>
        <v>1</v>
      </c>
      <c r="L108" s="13" t="str" cm="1">
        <f t="array" ref="L108">_xlfn.IFS(J108&lt;1,"",J108=1,"Pass",J108&gt;1,_xlfn.TEXTJOIN("",TRUE,"Pass x",J108))</f>
        <v>Pass</v>
      </c>
      <c r="M108" s="13" t="str" cm="1">
        <f t="array" ref="M108">_xlfn.IFS(K108&lt;1,"",K108=1,"Fail",K108&gt;1,_xlfn.TEXTJOIN("",TRUE,"Fail x",K108))</f>
        <v>Fail</v>
      </c>
      <c r="N108" t="str">
        <f t="shared" si="10"/>
        <v>Pass, Fail</v>
      </c>
    </row>
    <row r="109" spans="8:14">
      <c r="H109" s="13">
        <f t="shared" si="8"/>
        <v>2</v>
      </c>
      <c r="I109" t="str" cm="1">
        <f t="array" ref="I109">_xlfn.IFS(H109&lt;1,"No",H109=1,"Yes",H109&gt;1,_xlfn.TEXTJOIN("",TRUE,"Yes x",H109))</f>
        <v>Yes x2</v>
      </c>
      <c r="J109" s="13">
        <f t="shared" si="9"/>
        <v>1</v>
      </c>
      <c r="K109" s="13">
        <f t="shared" si="6"/>
        <v>1</v>
      </c>
      <c r="L109" s="13" t="str" cm="1">
        <f t="array" ref="L109">_xlfn.IFS(J109&lt;1,"",J109=1,"Pass",J109&gt;1,_xlfn.TEXTJOIN("",TRUE,"Pass x",J109))</f>
        <v>Pass</v>
      </c>
      <c r="M109" s="13" t="str" cm="1">
        <f t="array" ref="M109">_xlfn.IFS(K109&lt;1,"",K109=1,"Fail",K109&gt;1,_xlfn.TEXTJOIN("",TRUE,"Fail x",K109))</f>
        <v>Fail</v>
      </c>
      <c r="N109" t="str">
        <f t="shared" si="10"/>
        <v>Pass, Fail</v>
      </c>
    </row>
    <row r="110" spans="8:14">
      <c r="H110" s="13">
        <f t="shared" si="8"/>
        <v>2</v>
      </c>
      <c r="I110" t="str" cm="1">
        <f t="array" ref="I110">_xlfn.IFS(H110&lt;1,"No",H110=1,"Yes",H110&gt;1,_xlfn.TEXTJOIN("",TRUE,"Yes x",H110))</f>
        <v>Yes x2</v>
      </c>
      <c r="J110" s="13">
        <f t="shared" si="9"/>
        <v>1</v>
      </c>
      <c r="K110" s="13">
        <f t="shared" si="6"/>
        <v>1</v>
      </c>
      <c r="L110" s="13" t="str" cm="1">
        <f t="array" ref="L110">_xlfn.IFS(J110&lt;1,"",J110=1,"Pass",J110&gt;1,_xlfn.TEXTJOIN("",TRUE,"Pass x",J110))</f>
        <v>Pass</v>
      </c>
      <c r="M110" s="13" t="str" cm="1">
        <f t="array" ref="M110">_xlfn.IFS(K110&lt;1,"",K110=1,"Fail",K110&gt;1,_xlfn.TEXTJOIN("",TRUE,"Fail x",K110))</f>
        <v>Fail</v>
      </c>
      <c r="N110" t="str">
        <f t="shared" si="10"/>
        <v>Pass, Fail</v>
      </c>
    </row>
    <row r="111" spans="8:14">
      <c r="H111" s="13">
        <f t="shared" si="8"/>
        <v>2</v>
      </c>
      <c r="I111" t="str" cm="1">
        <f t="array" ref="I111">_xlfn.IFS(H111&lt;1,"No",H111=1,"Yes",H111&gt;1,_xlfn.TEXTJOIN("",TRUE,"Yes x",H111))</f>
        <v>Yes x2</v>
      </c>
      <c r="J111" s="13">
        <f t="shared" si="9"/>
        <v>1</v>
      </c>
      <c r="K111" s="13">
        <f t="shared" si="6"/>
        <v>1</v>
      </c>
      <c r="L111" s="13" t="str" cm="1">
        <f t="array" ref="L111">_xlfn.IFS(J111&lt;1,"",J111=1,"Pass",J111&gt;1,_xlfn.TEXTJOIN("",TRUE,"Pass x",J111))</f>
        <v>Pass</v>
      </c>
      <c r="M111" s="13" t="str" cm="1">
        <f t="array" ref="M111">_xlfn.IFS(K111&lt;1,"",K111=1,"Fail",K111&gt;1,_xlfn.TEXTJOIN("",TRUE,"Fail x",K111))</f>
        <v>Fail</v>
      </c>
      <c r="N111" t="str">
        <f t="shared" si="10"/>
        <v>Pass, Fail</v>
      </c>
    </row>
    <row r="112" spans="8:14">
      <c r="H112" s="13">
        <f t="shared" si="8"/>
        <v>2</v>
      </c>
      <c r="I112" t="str" cm="1">
        <f t="array" ref="I112">_xlfn.IFS(H112&lt;1,"No",H112=1,"Yes",H112&gt;1,_xlfn.TEXTJOIN("",TRUE,"Yes x",H112))</f>
        <v>Yes x2</v>
      </c>
      <c r="J112" s="13">
        <f t="shared" si="9"/>
        <v>1</v>
      </c>
      <c r="K112" s="13">
        <f t="shared" si="6"/>
        <v>1</v>
      </c>
      <c r="L112" s="13" t="str" cm="1">
        <f t="array" ref="L112">_xlfn.IFS(J112&lt;1,"",J112=1,"Pass",J112&gt;1,_xlfn.TEXTJOIN("",TRUE,"Pass x",J112))</f>
        <v>Pass</v>
      </c>
      <c r="M112" s="13" t="str" cm="1">
        <f t="array" ref="M112">_xlfn.IFS(K112&lt;1,"",K112=1,"Fail",K112&gt;1,_xlfn.TEXTJOIN("",TRUE,"Fail x",K112))</f>
        <v>Fail</v>
      </c>
      <c r="N112" t="str">
        <f t="shared" si="10"/>
        <v>Pass, Fail</v>
      </c>
    </row>
    <row r="113" spans="8:14">
      <c r="H113" s="13">
        <f t="shared" si="8"/>
        <v>2</v>
      </c>
      <c r="I113" t="str" cm="1">
        <f t="array" ref="I113">_xlfn.IFS(H113&lt;1,"No",H113=1,"Yes",H113&gt;1,_xlfn.TEXTJOIN("",TRUE,"Yes x",H113))</f>
        <v>Yes x2</v>
      </c>
      <c r="J113" s="13">
        <f t="shared" si="9"/>
        <v>1</v>
      </c>
      <c r="K113" s="13">
        <f t="shared" si="6"/>
        <v>1</v>
      </c>
      <c r="L113" s="13" t="str" cm="1">
        <f t="array" ref="L113">_xlfn.IFS(J113&lt;1,"",J113=1,"Pass",J113&gt;1,_xlfn.TEXTJOIN("",TRUE,"Pass x",J113))</f>
        <v>Pass</v>
      </c>
      <c r="M113" s="13" t="str" cm="1">
        <f t="array" ref="M113">_xlfn.IFS(K113&lt;1,"",K113=1,"Fail",K113&gt;1,_xlfn.TEXTJOIN("",TRUE,"Fail x",K113))</f>
        <v>Fail</v>
      </c>
      <c r="N113" t="str">
        <f t="shared" si="10"/>
        <v>Pass, Fail</v>
      </c>
    </row>
    <row r="114" spans="8:14">
      <c r="H114" s="13">
        <f t="shared" si="8"/>
        <v>2</v>
      </c>
      <c r="I114" t="str" cm="1">
        <f t="array" ref="I114">_xlfn.IFS(H114&lt;1,"No",H114=1,"Yes",H114&gt;1,_xlfn.TEXTJOIN("",TRUE,"Yes x",H114))</f>
        <v>Yes x2</v>
      </c>
      <c r="J114" s="13">
        <f t="shared" si="9"/>
        <v>1</v>
      </c>
      <c r="K114" s="13">
        <f t="shared" si="6"/>
        <v>1</v>
      </c>
      <c r="L114" s="13" t="str" cm="1">
        <f t="array" ref="L114">_xlfn.IFS(J114&lt;1,"",J114=1,"Pass",J114&gt;1,_xlfn.TEXTJOIN("",TRUE,"Pass x",J114))</f>
        <v>Pass</v>
      </c>
      <c r="M114" s="13" t="str" cm="1">
        <f t="array" ref="M114">_xlfn.IFS(K114&lt;1,"",K114=1,"Fail",K114&gt;1,_xlfn.TEXTJOIN("",TRUE,"Fail x",K114))</f>
        <v>Fail</v>
      </c>
      <c r="N114" t="str">
        <f t="shared" si="10"/>
        <v>Pass, Fail</v>
      </c>
    </row>
    <row r="115" spans="8:14">
      <c r="H115" s="13">
        <f t="shared" si="8"/>
        <v>2</v>
      </c>
      <c r="I115" t="str" cm="1">
        <f t="array" ref="I115">_xlfn.IFS(H115&lt;1,"No",H115=1,"Yes",H115&gt;1,_xlfn.TEXTJOIN("",TRUE,"Yes x",H115))</f>
        <v>Yes x2</v>
      </c>
      <c r="J115" s="13">
        <f t="shared" si="9"/>
        <v>1</v>
      </c>
      <c r="K115" s="13">
        <f t="shared" si="6"/>
        <v>1</v>
      </c>
      <c r="L115" s="13" t="str" cm="1">
        <f t="array" ref="L115">_xlfn.IFS(J115&lt;1,"",J115=1,"Pass",J115&gt;1,_xlfn.TEXTJOIN("",TRUE,"Pass x",J115))</f>
        <v>Pass</v>
      </c>
      <c r="M115" s="13" t="str" cm="1">
        <f t="array" ref="M115">_xlfn.IFS(K115&lt;1,"",K115=1,"Fail",K115&gt;1,_xlfn.TEXTJOIN("",TRUE,"Fail x",K115))</f>
        <v>Fail</v>
      </c>
      <c r="N115" t="str">
        <f t="shared" si="10"/>
        <v>Pass, Fail</v>
      </c>
    </row>
    <row r="116" spans="8:14">
      <c r="H116" s="13">
        <f t="shared" si="8"/>
        <v>2</v>
      </c>
      <c r="I116" t="str" cm="1">
        <f t="array" ref="I116">_xlfn.IFS(H116&lt;1,"No",H116=1,"Yes",H116&gt;1,_xlfn.TEXTJOIN("",TRUE,"Yes x",H116))</f>
        <v>Yes x2</v>
      </c>
      <c r="J116" s="13">
        <f t="shared" si="9"/>
        <v>1</v>
      </c>
      <c r="K116" s="13">
        <f t="shared" si="6"/>
        <v>1</v>
      </c>
      <c r="L116" s="13" t="str" cm="1">
        <f t="array" ref="L116">_xlfn.IFS(J116&lt;1,"",J116=1,"Pass",J116&gt;1,_xlfn.TEXTJOIN("",TRUE,"Pass x",J116))</f>
        <v>Pass</v>
      </c>
      <c r="M116" s="13" t="str" cm="1">
        <f t="array" ref="M116">_xlfn.IFS(K116&lt;1,"",K116=1,"Fail",K116&gt;1,_xlfn.TEXTJOIN("",TRUE,"Fail x",K116))</f>
        <v>Fail</v>
      </c>
      <c r="N116" t="str">
        <f t="shared" si="10"/>
        <v>Pass, Fail</v>
      </c>
    </row>
    <row r="117" spans="8:14">
      <c r="H117" s="13">
        <f t="shared" si="8"/>
        <v>2</v>
      </c>
      <c r="I117" t="str" cm="1">
        <f t="array" ref="I117">_xlfn.IFS(H117&lt;1,"No",H117=1,"Yes",H117&gt;1,_xlfn.TEXTJOIN("",TRUE,"Yes x",H117))</f>
        <v>Yes x2</v>
      </c>
      <c r="J117" s="13">
        <f t="shared" si="9"/>
        <v>1</v>
      </c>
      <c r="K117" s="13">
        <f t="shared" si="6"/>
        <v>1</v>
      </c>
      <c r="L117" s="13" t="str" cm="1">
        <f t="array" ref="L117">_xlfn.IFS(J117&lt;1,"",J117=1,"Pass",J117&gt;1,_xlfn.TEXTJOIN("",TRUE,"Pass x",J117))</f>
        <v>Pass</v>
      </c>
      <c r="M117" s="13" t="str" cm="1">
        <f t="array" ref="M117">_xlfn.IFS(K117&lt;1,"",K117=1,"Fail",K117&gt;1,_xlfn.TEXTJOIN("",TRUE,"Fail x",K117))</f>
        <v>Fail</v>
      </c>
      <c r="N117" t="str">
        <f t="shared" si="10"/>
        <v>Pass, Fail</v>
      </c>
    </row>
    <row r="118" spans="8:14">
      <c r="H118" s="13">
        <f t="shared" si="8"/>
        <v>2</v>
      </c>
      <c r="I118" t="str" cm="1">
        <f t="array" ref="I118">_xlfn.IFS(H118&lt;1,"No",H118=1,"Yes",H118&gt;1,_xlfn.TEXTJOIN("",TRUE,"Yes x",H118))</f>
        <v>Yes x2</v>
      </c>
      <c r="J118" s="13">
        <f t="shared" si="9"/>
        <v>1</v>
      </c>
      <c r="K118" s="13">
        <f t="shared" si="6"/>
        <v>1</v>
      </c>
      <c r="L118" s="13" t="str" cm="1">
        <f t="array" ref="L118">_xlfn.IFS(J118&lt;1,"",J118=1,"Pass",J118&gt;1,_xlfn.TEXTJOIN("",TRUE,"Pass x",J118))</f>
        <v>Pass</v>
      </c>
      <c r="M118" s="13" t="str" cm="1">
        <f t="array" ref="M118">_xlfn.IFS(K118&lt;1,"",K118=1,"Fail",K118&gt;1,_xlfn.TEXTJOIN("",TRUE,"Fail x",K118))</f>
        <v>Fail</v>
      </c>
      <c r="N118" t="str">
        <f t="shared" si="10"/>
        <v>Pass, Fail</v>
      </c>
    </row>
    <row r="119" spans="8:14">
      <c r="H119" s="13">
        <f t="shared" si="8"/>
        <v>2</v>
      </c>
      <c r="I119" t="str" cm="1">
        <f t="array" ref="I119">_xlfn.IFS(H119&lt;1,"No",H119=1,"Yes",H119&gt;1,_xlfn.TEXTJOIN("",TRUE,"Yes x",H119))</f>
        <v>Yes x2</v>
      </c>
      <c r="J119" s="13">
        <f t="shared" si="9"/>
        <v>1</v>
      </c>
      <c r="K119" s="13">
        <f t="shared" si="6"/>
        <v>1</v>
      </c>
      <c r="L119" s="13" t="str" cm="1">
        <f t="array" ref="L119">_xlfn.IFS(J119&lt;1,"",J119=1,"Pass",J119&gt;1,_xlfn.TEXTJOIN("",TRUE,"Pass x",J119))</f>
        <v>Pass</v>
      </c>
      <c r="M119" s="13" t="str" cm="1">
        <f t="array" ref="M119">_xlfn.IFS(K119&lt;1,"",K119=1,"Fail",K119&gt;1,_xlfn.TEXTJOIN("",TRUE,"Fail x",K119))</f>
        <v>Fail</v>
      </c>
      <c r="N119" t="str">
        <f t="shared" si="10"/>
        <v>Pass, Fail</v>
      </c>
    </row>
    <row r="120" spans="8:14">
      <c r="H120" s="13">
        <f t="shared" si="8"/>
        <v>2</v>
      </c>
      <c r="I120" t="str" cm="1">
        <f t="array" ref="I120">_xlfn.IFS(H120&lt;1,"No",H120=1,"Yes",H120&gt;1,_xlfn.TEXTJOIN("",TRUE,"Yes x",H120))</f>
        <v>Yes x2</v>
      </c>
      <c r="J120" s="13">
        <f t="shared" si="9"/>
        <v>1</v>
      </c>
      <c r="K120" s="13">
        <f t="shared" si="6"/>
        <v>1</v>
      </c>
      <c r="L120" s="13" t="str" cm="1">
        <f t="array" ref="L120">_xlfn.IFS(J120&lt;1,"",J120=1,"Pass",J120&gt;1,_xlfn.TEXTJOIN("",TRUE,"Pass x",J120))</f>
        <v>Pass</v>
      </c>
      <c r="M120" s="13" t="str" cm="1">
        <f t="array" ref="M120">_xlfn.IFS(K120&lt;1,"",K120=1,"Fail",K120&gt;1,_xlfn.TEXTJOIN("",TRUE,"Fail x",K120))</f>
        <v>Fail</v>
      </c>
      <c r="N120" t="str">
        <f t="shared" si="10"/>
        <v>Pass, Fail</v>
      </c>
    </row>
    <row r="121" spans="8:14">
      <c r="H121" s="13">
        <f t="shared" si="8"/>
        <v>2</v>
      </c>
      <c r="I121" t="str" cm="1">
        <f t="array" ref="I121">_xlfn.IFS(H121&lt;1,"No",H121=1,"Yes",H121&gt;1,_xlfn.TEXTJOIN("",TRUE,"Yes x",H121))</f>
        <v>Yes x2</v>
      </c>
      <c r="J121" s="13">
        <f t="shared" si="9"/>
        <v>1</v>
      </c>
      <c r="K121" s="13">
        <f t="shared" si="6"/>
        <v>1</v>
      </c>
      <c r="L121" s="13" t="str" cm="1">
        <f t="array" ref="L121">_xlfn.IFS(J121&lt;1,"",J121=1,"Pass",J121&gt;1,_xlfn.TEXTJOIN("",TRUE,"Pass x",J121))</f>
        <v>Pass</v>
      </c>
      <c r="M121" s="13" t="str" cm="1">
        <f t="array" ref="M121">_xlfn.IFS(K121&lt;1,"",K121=1,"Fail",K121&gt;1,_xlfn.TEXTJOIN("",TRUE,"Fail x",K121))</f>
        <v>Fail</v>
      </c>
      <c r="N121" t="str">
        <f t="shared" si="10"/>
        <v>Pass, Fail</v>
      </c>
    </row>
    <row r="122" spans="8:14">
      <c r="H122" s="13">
        <f t="shared" si="8"/>
        <v>2</v>
      </c>
      <c r="I122" t="str" cm="1">
        <f t="array" ref="I122">_xlfn.IFS(H122&lt;1,"No",H122=1,"Yes",H122&gt;1,_xlfn.TEXTJOIN("",TRUE,"Yes x",H122))</f>
        <v>Yes x2</v>
      </c>
      <c r="J122" s="13">
        <f t="shared" si="9"/>
        <v>1</v>
      </c>
      <c r="K122" s="13">
        <f t="shared" si="6"/>
        <v>1</v>
      </c>
      <c r="L122" s="13" t="str" cm="1">
        <f t="array" ref="L122">_xlfn.IFS(J122&lt;1,"",J122=1,"Pass",J122&gt;1,_xlfn.TEXTJOIN("",TRUE,"Pass x",J122))</f>
        <v>Pass</v>
      </c>
      <c r="M122" s="13" t="str" cm="1">
        <f t="array" ref="M122">_xlfn.IFS(K122&lt;1,"",K122=1,"Fail",K122&gt;1,_xlfn.TEXTJOIN("",TRUE,"Fail x",K122))</f>
        <v>Fail</v>
      </c>
      <c r="N122" t="str">
        <f t="shared" si="10"/>
        <v>Pass, Fail</v>
      </c>
    </row>
    <row r="123" spans="8:14">
      <c r="H123" s="13">
        <f t="shared" si="8"/>
        <v>2</v>
      </c>
      <c r="I123" t="str" cm="1">
        <f t="array" ref="I123">_xlfn.IFS(H123&lt;1,"No",H123=1,"Yes",H123&gt;1,_xlfn.TEXTJOIN("",TRUE,"Yes x",H123))</f>
        <v>Yes x2</v>
      </c>
      <c r="J123" s="13">
        <f t="shared" si="9"/>
        <v>1</v>
      </c>
      <c r="K123" s="13">
        <f t="shared" si="6"/>
        <v>1</v>
      </c>
      <c r="L123" s="13" t="str" cm="1">
        <f t="array" ref="L123">_xlfn.IFS(J123&lt;1,"",J123=1,"Pass",J123&gt;1,_xlfn.TEXTJOIN("",TRUE,"Pass x",J123))</f>
        <v>Pass</v>
      </c>
      <c r="M123" s="13" t="str" cm="1">
        <f t="array" ref="M123">_xlfn.IFS(K123&lt;1,"",K123=1,"Fail",K123&gt;1,_xlfn.TEXTJOIN("",TRUE,"Fail x",K123))</f>
        <v>Fail</v>
      </c>
      <c r="N123" t="str">
        <f t="shared" si="10"/>
        <v>Pass, Fail</v>
      </c>
    </row>
    <row r="124" spans="8:14">
      <c r="H124" s="13">
        <f t="shared" si="8"/>
        <v>2</v>
      </c>
      <c r="I124" t="str" cm="1">
        <f t="array" ref="I124">_xlfn.IFS(H124&lt;1,"No",H124=1,"Yes",H124&gt;1,_xlfn.TEXTJOIN("",TRUE,"Yes x",H124))</f>
        <v>Yes x2</v>
      </c>
      <c r="J124" s="13">
        <f t="shared" si="9"/>
        <v>1</v>
      </c>
      <c r="K124" s="13">
        <f t="shared" si="6"/>
        <v>1</v>
      </c>
      <c r="L124" s="13" t="str" cm="1">
        <f t="array" ref="L124">_xlfn.IFS(J124&lt;1,"",J124=1,"Pass",J124&gt;1,_xlfn.TEXTJOIN("",TRUE,"Pass x",J124))</f>
        <v>Pass</v>
      </c>
      <c r="M124" s="13" t="str" cm="1">
        <f t="array" ref="M124">_xlfn.IFS(K124&lt;1,"",K124=1,"Fail",K124&gt;1,_xlfn.TEXTJOIN("",TRUE,"Fail x",K124))</f>
        <v>Fail</v>
      </c>
      <c r="N124" t="str">
        <f t="shared" si="10"/>
        <v>Pass, Fail</v>
      </c>
    </row>
    <row r="125" spans="8:14">
      <c r="H125" s="13">
        <f t="shared" si="8"/>
        <v>2</v>
      </c>
      <c r="I125" t="str" cm="1">
        <f t="array" ref="I125">_xlfn.IFS(H125&lt;1,"No",H125=1,"Yes",H125&gt;1,_xlfn.TEXTJOIN("",TRUE,"Yes x",H125))</f>
        <v>Yes x2</v>
      </c>
      <c r="J125" s="13">
        <f t="shared" si="9"/>
        <v>1</v>
      </c>
      <c r="K125" s="13">
        <f t="shared" si="6"/>
        <v>1</v>
      </c>
      <c r="L125" s="13" t="str" cm="1">
        <f t="array" ref="L125">_xlfn.IFS(J125&lt;1,"",J125=1,"Pass",J125&gt;1,_xlfn.TEXTJOIN("",TRUE,"Pass x",J125))</f>
        <v>Pass</v>
      </c>
      <c r="M125" s="13" t="str" cm="1">
        <f t="array" ref="M125">_xlfn.IFS(K125&lt;1,"",K125=1,"Fail",K125&gt;1,_xlfn.TEXTJOIN("",TRUE,"Fail x",K125))</f>
        <v>Fail</v>
      </c>
      <c r="N125" t="str">
        <f t="shared" si="10"/>
        <v>Pass, Fail</v>
      </c>
    </row>
    <row r="126" spans="8:14">
      <c r="H126" s="13">
        <f t="shared" si="8"/>
        <v>2</v>
      </c>
      <c r="I126" t="str" cm="1">
        <f t="array" ref="I126">_xlfn.IFS(H126&lt;1,"No",H126=1,"Yes",H126&gt;1,_xlfn.TEXTJOIN("",TRUE,"Yes x",H126))</f>
        <v>Yes x2</v>
      </c>
      <c r="J126" s="13">
        <f t="shared" si="9"/>
        <v>1</v>
      </c>
      <c r="K126" s="13">
        <f t="shared" si="6"/>
        <v>1</v>
      </c>
      <c r="L126" s="13" t="str" cm="1">
        <f t="array" ref="L126">_xlfn.IFS(J126&lt;1,"",J126=1,"Pass",J126&gt;1,_xlfn.TEXTJOIN("",TRUE,"Pass x",J126))</f>
        <v>Pass</v>
      </c>
      <c r="M126" s="13" t="str" cm="1">
        <f t="array" ref="M126">_xlfn.IFS(K126&lt;1,"",K126=1,"Fail",K126&gt;1,_xlfn.TEXTJOIN("",TRUE,"Fail x",K126))</f>
        <v>Fail</v>
      </c>
      <c r="N126" t="str">
        <f t="shared" si="10"/>
        <v>Pass, Fail</v>
      </c>
    </row>
    <row r="127" spans="8:14">
      <c r="H127" s="13">
        <f t="shared" si="8"/>
        <v>2</v>
      </c>
      <c r="I127" t="str" cm="1">
        <f t="array" ref="I127">_xlfn.IFS(H127&lt;1,"No",H127=1,"Yes",H127&gt;1,_xlfn.TEXTJOIN("",TRUE,"Yes x",H127))</f>
        <v>Yes x2</v>
      </c>
      <c r="J127" s="13">
        <f t="shared" si="9"/>
        <v>1</v>
      </c>
      <c r="K127" s="13">
        <f t="shared" si="6"/>
        <v>1</v>
      </c>
      <c r="L127" s="13" t="str" cm="1">
        <f t="array" ref="L127">_xlfn.IFS(J127&lt;1,"",J127=1,"Pass",J127&gt;1,_xlfn.TEXTJOIN("",TRUE,"Pass x",J127))</f>
        <v>Pass</v>
      </c>
      <c r="M127" s="13" t="str" cm="1">
        <f t="array" ref="M127">_xlfn.IFS(K127&lt;1,"",K127=1,"Fail",K127&gt;1,_xlfn.TEXTJOIN("",TRUE,"Fail x",K127))</f>
        <v>Fail</v>
      </c>
      <c r="N127" t="str">
        <f t="shared" si="10"/>
        <v>Pass, Fail</v>
      </c>
    </row>
    <row r="128" spans="8:14">
      <c r="H128" s="13">
        <f t="shared" si="8"/>
        <v>2</v>
      </c>
      <c r="I128" t="str" cm="1">
        <f t="array" ref="I128">_xlfn.IFS(H128&lt;1,"No",H128=1,"Yes",H128&gt;1,_xlfn.TEXTJOIN("",TRUE,"Yes x",H128))</f>
        <v>Yes x2</v>
      </c>
      <c r="J128" s="13">
        <f t="shared" si="9"/>
        <v>1</v>
      </c>
      <c r="K128" s="13">
        <f t="shared" si="6"/>
        <v>1</v>
      </c>
      <c r="L128" s="13" t="str" cm="1">
        <f t="array" ref="L128">_xlfn.IFS(J128&lt;1,"",J128=1,"Pass",J128&gt;1,_xlfn.TEXTJOIN("",TRUE,"Pass x",J128))</f>
        <v>Pass</v>
      </c>
      <c r="M128" s="13" t="str" cm="1">
        <f t="array" ref="M128">_xlfn.IFS(K128&lt;1,"",K128=1,"Fail",K128&gt;1,_xlfn.TEXTJOIN("",TRUE,"Fail x",K128))</f>
        <v>Fail</v>
      </c>
      <c r="N128" t="str">
        <f t="shared" si="10"/>
        <v>Pass, Fail</v>
      </c>
    </row>
    <row r="129" spans="8:14">
      <c r="H129" s="13">
        <f t="shared" si="8"/>
        <v>2</v>
      </c>
      <c r="I129" t="str" cm="1">
        <f t="array" ref="I129">_xlfn.IFS(H129&lt;1,"No",H129=1,"Yes",H129&gt;1,_xlfn.TEXTJOIN("",TRUE,"Yes x",H129))</f>
        <v>Yes x2</v>
      </c>
      <c r="J129" s="13">
        <f t="shared" si="9"/>
        <v>1</v>
      </c>
      <c r="K129" s="13">
        <f t="shared" si="6"/>
        <v>1</v>
      </c>
      <c r="L129" s="13" t="str" cm="1">
        <f t="array" ref="L129">_xlfn.IFS(J129&lt;1,"",J129=1,"Pass",J129&gt;1,_xlfn.TEXTJOIN("",TRUE,"Pass x",J129))</f>
        <v>Pass</v>
      </c>
      <c r="M129" s="13" t="str" cm="1">
        <f t="array" ref="M129">_xlfn.IFS(K129&lt;1,"",K129=1,"Fail",K129&gt;1,_xlfn.TEXTJOIN("",TRUE,"Fail x",K129))</f>
        <v>Fail</v>
      </c>
      <c r="N129" t="str">
        <f t="shared" si="10"/>
        <v>Pass, Fail</v>
      </c>
    </row>
    <row r="130" spans="8:14">
      <c r="H130" s="13">
        <f t="shared" si="8"/>
        <v>2</v>
      </c>
      <c r="I130" t="str" cm="1">
        <f t="array" ref="I130">_xlfn.IFS(H130&lt;1,"No",H130=1,"Yes",H130&gt;1,_xlfn.TEXTJOIN("",TRUE,"Yes x",H130))</f>
        <v>Yes x2</v>
      </c>
      <c r="J130" s="13">
        <f t="shared" si="9"/>
        <v>1</v>
      </c>
      <c r="K130" s="13">
        <f t="shared" si="6"/>
        <v>1</v>
      </c>
      <c r="L130" s="13" t="str" cm="1">
        <f t="array" ref="L130">_xlfn.IFS(J130&lt;1,"",J130=1,"Pass",J130&gt;1,_xlfn.TEXTJOIN("",TRUE,"Pass x",J130))</f>
        <v>Pass</v>
      </c>
      <c r="M130" s="13" t="str" cm="1">
        <f t="array" ref="M130">_xlfn.IFS(K130&lt;1,"",K130=1,"Fail",K130&gt;1,_xlfn.TEXTJOIN("",TRUE,"Fail x",K130))</f>
        <v>Fail</v>
      </c>
      <c r="N130" t="str">
        <f t="shared" si="10"/>
        <v>Pass, Fail</v>
      </c>
    </row>
    <row r="131" spans="8:14">
      <c r="H131" s="13">
        <f t="shared" si="8"/>
        <v>2</v>
      </c>
      <c r="I131" t="str" cm="1">
        <f t="array" ref="I131">_xlfn.IFS(H131&lt;1,"No",H131=1,"Yes",H131&gt;1,_xlfn.TEXTJOIN("",TRUE,"Yes x",H131))</f>
        <v>Yes x2</v>
      </c>
      <c r="J131" s="13">
        <f t="shared" si="9"/>
        <v>1</v>
      </c>
      <c r="K131" s="13">
        <f t="shared" ref="K131:K194" si="11">IFERROR(GETPIVOTDATA("Successful / Failed",$A$1,"System serial",G131,"Successful / Failed","Failed"),0)</f>
        <v>1</v>
      </c>
      <c r="L131" s="13" t="str" cm="1">
        <f t="array" ref="L131">_xlfn.IFS(J131&lt;1,"",J131=1,"Pass",J131&gt;1,_xlfn.TEXTJOIN("",TRUE,"Pass x",J131))</f>
        <v>Pass</v>
      </c>
      <c r="M131" s="13" t="str" cm="1">
        <f t="array" ref="M131">_xlfn.IFS(K131&lt;1,"",K131=1,"Fail",K131&gt;1,_xlfn.TEXTJOIN("",TRUE,"Fail x",K131))</f>
        <v>Fail</v>
      </c>
      <c r="N131" t="str">
        <f t="shared" si="10"/>
        <v>Pass, Fail</v>
      </c>
    </row>
    <row r="132" spans="8:14">
      <c r="H132" s="13">
        <f t="shared" si="8"/>
        <v>2</v>
      </c>
      <c r="I132" t="str" cm="1">
        <f t="array" ref="I132">_xlfn.IFS(H132&lt;1,"No",H132=1,"Yes",H132&gt;1,_xlfn.TEXTJOIN("",TRUE,"Yes x",H132))</f>
        <v>Yes x2</v>
      </c>
      <c r="J132" s="13">
        <f t="shared" si="9"/>
        <v>1</v>
      </c>
      <c r="K132" s="13">
        <f t="shared" si="11"/>
        <v>1</v>
      </c>
      <c r="L132" s="13" t="str" cm="1">
        <f t="array" ref="L132">_xlfn.IFS(J132&lt;1,"",J132=1,"Pass",J132&gt;1,_xlfn.TEXTJOIN("",TRUE,"Pass x",J132))</f>
        <v>Pass</v>
      </c>
      <c r="M132" s="13" t="str" cm="1">
        <f t="array" ref="M132">_xlfn.IFS(K132&lt;1,"",K132=1,"Fail",K132&gt;1,_xlfn.TEXTJOIN("",TRUE,"Fail x",K132))</f>
        <v>Fail</v>
      </c>
      <c r="N132" t="str">
        <f t="shared" si="10"/>
        <v>Pass, Fail</v>
      </c>
    </row>
    <row r="133" spans="8:14">
      <c r="H133" s="13">
        <f t="shared" si="8"/>
        <v>2</v>
      </c>
      <c r="I133" t="str" cm="1">
        <f t="array" ref="I133">_xlfn.IFS(H133&lt;1,"No",H133=1,"Yes",H133&gt;1,_xlfn.TEXTJOIN("",TRUE,"Yes x",H133))</f>
        <v>Yes x2</v>
      </c>
      <c r="J133" s="13">
        <f t="shared" si="9"/>
        <v>1</v>
      </c>
      <c r="K133" s="13">
        <f t="shared" si="11"/>
        <v>1</v>
      </c>
      <c r="L133" s="13" t="str" cm="1">
        <f t="array" ref="L133">_xlfn.IFS(J133&lt;1,"",J133=1,"Pass",J133&gt;1,_xlfn.TEXTJOIN("",TRUE,"Pass x",J133))</f>
        <v>Pass</v>
      </c>
      <c r="M133" s="13" t="str" cm="1">
        <f t="array" ref="M133">_xlfn.IFS(K133&lt;1,"",K133=1,"Fail",K133&gt;1,_xlfn.TEXTJOIN("",TRUE,"Fail x",K133))</f>
        <v>Fail</v>
      </c>
      <c r="N133" t="str">
        <f t="shared" si="10"/>
        <v>Pass, Fail</v>
      </c>
    </row>
    <row r="134" spans="8:14">
      <c r="H134" s="13">
        <f t="shared" si="8"/>
        <v>2</v>
      </c>
      <c r="I134" t="str" cm="1">
        <f t="array" ref="I134">_xlfn.IFS(H134&lt;1,"No",H134=1,"Yes",H134&gt;1,_xlfn.TEXTJOIN("",TRUE,"Yes x",H134))</f>
        <v>Yes x2</v>
      </c>
      <c r="J134" s="13">
        <f t="shared" si="9"/>
        <v>1</v>
      </c>
      <c r="K134" s="13">
        <f t="shared" si="11"/>
        <v>1</v>
      </c>
      <c r="L134" s="13" t="str" cm="1">
        <f t="array" ref="L134">_xlfn.IFS(J134&lt;1,"",J134=1,"Pass",J134&gt;1,_xlfn.TEXTJOIN("",TRUE,"Pass x",J134))</f>
        <v>Pass</v>
      </c>
      <c r="M134" s="13" t="str" cm="1">
        <f t="array" ref="M134">_xlfn.IFS(K134&lt;1,"",K134=1,"Fail",K134&gt;1,_xlfn.TEXTJOIN("",TRUE,"Fail x",K134))</f>
        <v>Fail</v>
      </c>
      <c r="N134" t="str">
        <f t="shared" si="10"/>
        <v>Pass, Fail</v>
      </c>
    </row>
    <row r="135" spans="8:14">
      <c r="H135" s="13">
        <f t="shared" si="8"/>
        <v>2</v>
      </c>
      <c r="I135" t="str" cm="1">
        <f t="array" ref="I135">_xlfn.IFS(H135&lt;1,"No",H135=1,"Yes",H135&gt;1,_xlfn.TEXTJOIN("",TRUE,"Yes x",H135))</f>
        <v>Yes x2</v>
      </c>
      <c r="J135" s="13">
        <f t="shared" si="9"/>
        <v>1</v>
      </c>
      <c r="K135" s="13">
        <f t="shared" si="11"/>
        <v>1</v>
      </c>
      <c r="L135" s="13" t="str" cm="1">
        <f t="array" ref="L135">_xlfn.IFS(J135&lt;1,"",J135=1,"Pass",J135&gt;1,_xlfn.TEXTJOIN("",TRUE,"Pass x",J135))</f>
        <v>Pass</v>
      </c>
      <c r="M135" s="13" t="str" cm="1">
        <f t="array" ref="M135">_xlfn.IFS(K135&lt;1,"",K135=1,"Fail",K135&gt;1,_xlfn.TEXTJOIN("",TRUE,"Fail x",K135))</f>
        <v>Fail</v>
      </c>
      <c r="N135" t="str">
        <f t="shared" si="10"/>
        <v>Pass, Fail</v>
      </c>
    </row>
    <row r="136" spans="8:14">
      <c r="H136" s="13">
        <f t="shared" si="8"/>
        <v>2</v>
      </c>
      <c r="I136" t="str" cm="1">
        <f t="array" ref="I136">_xlfn.IFS(H136&lt;1,"No",H136=1,"Yes",H136&gt;1,_xlfn.TEXTJOIN("",TRUE,"Yes x",H136))</f>
        <v>Yes x2</v>
      </c>
      <c r="J136" s="13">
        <f t="shared" si="9"/>
        <v>1</v>
      </c>
      <c r="K136" s="13">
        <f t="shared" si="11"/>
        <v>1</v>
      </c>
      <c r="L136" s="13" t="str" cm="1">
        <f t="array" ref="L136">_xlfn.IFS(J136&lt;1,"",J136=1,"Pass",J136&gt;1,_xlfn.TEXTJOIN("",TRUE,"Pass x",J136))</f>
        <v>Pass</v>
      </c>
      <c r="M136" s="13" t="str" cm="1">
        <f t="array" ref="M136">_xlfn.IFS(K136&lt;1,"",K136=1,"Fail",K136&gt;1,_xlfn.TEXTJOIN("",TRUE,"Fail x",K136))</f>
        <v>Fail</v>
      </c>
      <c r="N136" t="str">
        <f t="shared" si="10"/>
        <v>Pass, Fail</v>
      </c>
    </row>
    <row r="137" spans="8:14">
      <c r="H137" s="13">
        <f t="shared" si="8"/>
        <v>2</v>
      </c>
      <c r="I137" t="str" cm="1">
        <f t="array" ref="I137">_xlfn.IFS(H137&lt;1,"No",H137=1,"Yes",H137&gt;1,_xlfn.TEXTJOIN("",TRUE,"Yes x",H137))</f>
        <v>Yes x2</v>
      </c>
      <c r="J137" s="13">
        <f t="shared" si="9"/>
        <v>1</v>
      </c>
      <c r="K137" s="13">
        <f t="shared" si="11"/>
        <v>1</v>
      </c>
      <c r="L137" s="13" t="str" cm="1">
        <f t="array" ref="L137">_xlfn.IFS(J137&lt;1,"",J137=1,"Pass",J137&gt;1,_xlfn.TEXTJOIN("",TRUE,"Pass x",J137))</f>
        <v>Pass</v>
      </c>
      <c r="M137" s="13" t="str" cm="1">
        <f t="array" ref="M137">_xlfn.IFS(K137&lt;1,"",K137=1,"Fail",K137&gt;1,_xlfn.TEXTJOIN("",TRUE,"Fail x",K137))</f>
        <v>Fail</v>
      </c>
      <c r="N137" t="str">
        <f t="shared" si="10"/>
        <v>Pass, Fail</v>
      </c>
    </row>
    <row r="138" spans="8:14">
      <c r="H138" s="13">
        <f t="shared" si="8"/>
        <v>2</v>
      </c>
      <c r="I138" t="str" cm="1">
        <f t="array" ref="I138">_xlfn.IFS(H138&lt;1,"No",H138=1,"Yes",H138&gt;1,_xlfn.TEXTJOIN("",TRUE,"Yes x",H138))</f>
        <v>Yes x2</v>
      </c>
      <c r="J138" s="13">
        <f t="shared" si="9"/>
        <v>1</v>
      </c>
      <c r="K138" s="13">
        <f t="shared" si="11"/>
        <v>1</v>
      </c>
      <c r="L138" s="13" t="str" cm="1">
        <f t="array" ref="L138">_xlfn.IFS(J138&lt;1,"",J138=1,"Pass",J138&gt;1,_xlfn.TEXTJOIN("",TRUE,"Pass x",J138))</f>
        <v>Pass</v>
      </c>
      <c r="M138" s="13" t="str" cm="1">
        <f t="array" ref="M138">_xlfn.IFS(K138&lt;1,"",K138=1,"Fail",K138&gt;1,_xlfn.TEXTJOIN("",TRUE,"Fail x",K138))</f>
        <v>Fail</v>
      </c>
      <c r="N138" t="str">
        <f t="shared" si="10"/>
        <v>Pass, Fail</v>
      </c>
    </row>
    <row r="139" spans="8:14">
      <c r="H139" s="13">
        <f t="shared" si="8"/>
        <v>2</v>
      </c>
      <c r="I139" t="str" cm="1">
        <f t="array" ref="I139">_xlfn.IFS(H139&lt;1,"No",H139=1,"Yes",H139&gt;1,_xlfn.TEXTJOIN("",TRUE,"Yes x",H139))</f>
        <v>Yes x2</v>
      </c>
      <c r="J139" s="13">
        <f t="shared" si="9"/>
        <v>1</v>
      </c>
      <c r="K139" s="13">
        <f t="shared" si="11"/>
        <v>1</v>
      </c>
      <c r="L139" s="13" t="str" cm="1">
        <f t="array" ref="L139">_xlfn.IFS(J139&lt;1,"",J139=1,"Pass",J139&gt;1,_xlfn.TEXTJOIN("",TRUE,"Pass x",J139))</f>
        <v>Pass</v>
      </c>
      <c r="M139" s="13" t="str" cm="1">
        <f t="array" ref="M139">_xlfn.IFS(K139&lt;1,"",K139=1,"Fail",K139&gt;1,_xlfn.TEXTJOIN("",TRUE,"Fail x",K139))</f>
        <v>Fail</v>
      </c>
      <c r="N139" t="str">
        <f t="shared" si="10"/>
        <v>Pass, Fail</v>
      </c>
    </row>
    <row r="140" spans="8:14">
      <c r="H140" s="13">
        <f t="shared" si="8"/>
        <v>2</v>
      </c>
      <c r="I140" t="str" cm="1">
        <f t="array" ref="I140">_xlfn.IFS(H140&lt;1,"No",H140=1,"Yes",H140&gt;1,_xlfn.TEXTJOIN("",TRUE,"Yes x",H140))</f>
        <v>Yes x2</v>
      </c>
      <c r="J140" s="13">
        <f t="shared" si="9"/>
        <v>1</v>
      </c>
      <c r="K140" s="13">
        <f t="shared" si="11"/>
        <v>1</v>
      </c>
      <c r="L140" s="13" t="str" cm="1">
        <f t="array" ref="L140">_xlfn.IFS(J140&lt;1,"",J140=1,"Pass",J140&gt;1,_xlfn.TEXTJOIN("",TRUE,"Pass x",J140))</f>
        <v>Pass</v>
      </c>
      <c r="M140" s="13" t="str" cm="1">
        <f t="array" ref="M140">_xlfn.IFS(K140&lt;1,"",K140=1,"Fail",K140&gt;1,_xlfn.TEXTJOIN("",TRUE,"Fail x",K140))</f>
        <v>Fail</v>
      </c>
      <c r="N140" t="str">
        <f t="shared" si="10"/>
        <v>Pass, Fail</v>
      </c>
    </row>
    <row r="141" spans="8:14">
      <c r="H141" s="13">
        <f t="shared" si="8"/>
        <v>2</v>
      </c>
      <c r="I141" t="str" cm="1">
        <f t="array" ref="I141">_xlfn.IFS(H141&lt;1,"No",H141=1,"Yes",H141&gt;1,_xlfn.TEXTJOIN("",TRUE,"Yes x",H141))</f>
        <v>Yes x2</v>
      </c>
      <c r="J141" s="13">
        <f t="shared" si="9"/>
        <v>1</v>
      </c>
      <c r="K141" s="13">
        <f t="shared" si="11"/>
        <v>1</v>
      </c>
      <c r="L141" s="13" t="str" cm="1">
        <f t="array" ref="L141">_xlfn.IFS(J141&lt;1,"",J141=1,"Pass",J141&gt;1,_xlfn.TEXTJOIN("",TRUE,"Pass x",J141))</f>
        <v>Pass</v>
      </c>
      <c r="M141" s="13" t="str" cm="1">
        <f t="array" ref="M141">_xlfn.IFS(K141&lt;1,"",K141=1,"Fail",K141&gt;1,_xlfn.TEXTJOIN("",TRUE,"Fail x",K141))</f>
        <v>Fail</v>
      </c>
      <c r="N141" t="str">
        <f t="shared" si="10"/>
        <v>Pass, Fail</v>
      </c>
    </row>
    <row r="142" spans="8:14">
      <c r="H142" s="13">
        <f t="shared" si="8"/>
        <v>2</v>
      </c>
      <c r="I142" t="str" cm="1">
        <f t="array" ref="I142">_xlfn.IFS(H142&lt;1,"No",H142=1,"Yes",H142&gt;1,_xlfn.TEXTJOIN("",TRUE,"Yes x",H142))</f>
        <v>Yes x2</v>
      </c>
      <c r="J142" s="13">
        <f t="shared" si="9"/>
        <v>1</v>
      </c>
      <c r="K142" s="13">
        <f t="shared" si="11"/>
        <v>1</v>
      </c>
      <c r="L142" s="13" t="str" cm="1">
        <f t="array" ref="L142">_xlfn.IFS(J142&lt;1,"",J142=1,"Pass",J142&gt;1,_xlfn.TEXTJOIN("",TRUE,"Pass x",J142))</f>
        <v>Pass</v>
      </c>
      <c r="M142" s="13" t="str" cm="1">
        <f t="array" ref="M142">_xlfn.IFS(K142&lt;1,"",K142=1,"Fail",K142&gt;1,_xlfn.TEXTJOIN("",TRUE,"Fail x",K142))</f>
        <v>Fail</v>
      </c>
      <c r="N142" t="str">
        <f t="shared" si="10"/>
        <v>Pass, Fail</v>
      </c>
    </row>
    <row r="143" spans="8:14">
      <c r="H143" s="13">
        <f t="shared" si="8"/>
        <v>2</v>
      </c>
      <c r="I143" t="str" cm="1">
        <f t="array" ref="I143">_xlfn.IFS(H143&lt;1,"No",H143=1,"Yes",H143&gt;1,_xlfn.TEXTJOIN("",TRUE,"Yes x",H143))</f>
        <v>Yes x2</v>
      </c>
      <c r="J143" s="13">
        <f t="shared" si="9"/>
        <v>1</v>
      </c>
      <c r="K143" s="13">
        <f t="shared" si="11"/>
        <v>1</v>
      </c>
      <c r="L143" s="13" t="str" cm="1">
        <f t="array" ref="L143">_xlfn.IFS(J143&lt;1,"",J143=1,"Pass",J143&gt;1,_xlfn.TEXTJOIN("",TRUE,"Pass x",J143))</f>
        <v>Pass</v>
      </c>
      <c r="M143" s="13" t="str" cm="1">
        <f t="array" ref="M143">_xlfn.IFS(K143&lt;1,"",K143=1,"Fail",K143&gt;1,_xlfn.TEXTJOIN("",TRUE,"Fail x",K143))</f>
        <v>Fail</v>
      </c>
      <c r="N143" t="str">
        <f t="shared" si="10"/>
        <v>Pass, Fail</v>
      </c>
    </row>
    <row r="144" spans="8:14">
      <c r="H144" s="13">
        <f t="shared" si="8"/>
        <v>2</v>
      </c>
      <c r="I144" t="str" cm="1">
        <f t="array" ref="I144">_xlfn.IFS(H144&lt;1,"No",H144=1,"Yes",H144&gt;1,_xlfn.TEXTJOIN("",TRUE,"Yes x",H144))</f>
        <v>Yes x2</v>
      </c>
      <c r="J144" s="13">
        <f t="shared" si="9"/>
        <v>1</v>
      </c>
      <c r="K144" s="13">
        <f t="shared" si="11"/>
        <v>1</v>
      </c>
      <c r="L144" s="13" t="str" cm="1">
        <f t="array" ref="L144">_xlfn.IFS(J144&lt;1,"",J144=1,"Pass",J144&gt;1,_xlfn.TEXTJOIN("",TRUE,"Pass x",J144))</f>
        <v>Pass</v>
      </c>
      <c r="M144" s="13" t="str" cm="1">
        <f t="array" ref="M144">_xlfn.IFS(K144&lt;1,"",K144=1,"Fail",K144&gt;1,_xlfn.TEXTJOIN("",TRUE,"Fail x",K144))</f>
        <v>Fail</v>
      </c>
      <c r="N144" t="str">
        <f t="shared" si="10"/>
        <v>Pass, Fail</v>
      </c>
    </row>
    <row r="145" spans="8:14">
      <c r="H145" s="13">
        <f t="shared" si="8"/>
        <v>2</v>
      </c>
      <c r="I145" t="str" cm="1">
        <f t="array" ref="I145">_xlfn.IFS(H145&lt;1,"No",H145=1,"Yes",H145&gt;1,_xlfn.TEXTJOIN("",TRUE,"Yes x",H145))</f>
        <v>Yes x2</v>
      </c>
      <c r="J145" s="13">
        <f t="shared" si="9"/>
        <v>1</v>
      </c>
      <c r="K145" s="13">
        <f t="shared" si="11"/>
        <v>1</v>
      </c>
      <c r="L145" s="13" t="str" cm="1">
        <f t="array" ref="L145">_xlfn.IFS(J145&lt;1,"",J145=1,"Pass",J145&gt;1,_xlfn.TEXTJOIN("",TRUE,"Pass x",J145))</f>
        <v>Pass</v>
      </c>
      <c r="M145" s="13" t="str" cm="1">
        <f t="array" ref="M145">_xlfn.IFS(K145&lt;1,"",K145=1,"Fail",K145&gt;1,_xlfn.TEXTJOIN("",TRUE,"Fail x",K145))</f>
        <v>Fail</v>
      </c>
      <c r="N145" t="str">
        <f t="shared" si="10"/>
        <v>Pass, Fail</v>
      </c>
    </row>
    <row r="146" spans="8:14">
      <c r="H146" s="13">
        <f t="shared" si="8"/>
        <v>2</v>
      </c>
      <c r="I146" t="str" cm="1">
        <f t="array" ref="I146">_xlfn.IFS(H146&lt;1,"No",H146=1,"Yes",H146&gt;1,_xlfn.TEXTJOIN("",TRUE,"Yes x",H146))</f>
        <v>Yes x2</v>
      </c>
      <c r="J146" s="13">
        <f t="shared" si="9"/>
        <v>1</v>
      </c>
      <c r="K146" s="13">
        <f t="shared" si="11"/>
        <v>1</v>
      </c>
      <c r="L146" s="13" t="str" cm="1">
        <f t="array" ref="L146">_xlfn.IFS(J146&lt;1,"",J146=1,"Pass",J146&gt;1,_xlfn.TEXTJOIN("",TRUE,"Pass x",J146))</f>
        <v>Pass</v>
      </c>
      <c r="M146" s="13" t="str" cm="1">
        <f t="array" ref="M146">_xlfn.IFS(K146&lt;1,"",K146=1,"Fail",K146&gt;1,_xlfn.TEXTJOIN("",TRUE,"Fail x",K146))</f>
        <v>Fail</v>
      </c>
      <c r="N146" t="str">
        <f t="shared" si="10"/>
        <v>Pass, Fail</v>
      </c>
    </row>
    <row r="147" spans="8:14">
      <c r="H147" s="13">
        <f t="shared" si="8"/>
        <v>2</v>
      </c>
      <c r="I147" t="str" cm="1">
        <f t="array" ref="I147">_xlfn.IFS(H147&lt;1,"No",H147=1,"Yes",H147&gt;1,_xlfn.TEXTJOIN("",TRUE,"Yes x",H147))</f>
        <v>Yes x2</v>
      </c>
      <c r="J147" s="13">
        <f t="shared" si="9"/>
        <v>1</v>
      </c>
      <c r="K147" s="13">
        <f t="shared" si="11"/>
        <v>1</v>
      </c>
      <c r="L147" s="13" t="str" cm="1">
        <f t="array" ref="L147">_xlfn.IFS(J147&lt;1,"",J147=1,"Pass",J147&gt;1,_xlfn.TEXTJOIN("",TRUE,"Pass x",J147))</f>
        <v>Pass</v>
      </c>
      <c r="M147" s="13" t="str" cm="1">
        <f t="array" ref="M147">_xlfn.IFS(K147&lt;1,"",K147=1,"Fail",K147&gt;1,_xlfn.TEXTJOIN("",TRUE,"Fail x",K147))</f>
        <v>Fail</v>
      </c>
      <c r="N147" t="str">
        <f t="shared" si="10"/>
        <v>Pass, Fail</v>
      </c>
    </row>
    <row r="148" spans="8:14">
      <c r="H148" s="13">
        <f t="shared" si="8"/>
        <v>2</v>
      </c>
      <c r="I148" t="str" cm="1">
        <f t="array" ref="I148">_xlfn.IFS(H148&lt;1,"No",H148=1,"Yes",H148&gt;1,_xlfn.TEXTJOIN("",TRUE,"Yes x",H148))</f>
        <v>Yes x2</v>
      </c>
      <c r="J148" s="13">
        <f t="shared" si="9"/>
        <v>1</v>
      </c>
      <c r="K148" s="13">
        <f t="shared" si="11"/>
        <v>1</v>
      </c>
      <c r="L148" s="13" t="str" cm="1">
        <f t="array" ref="L148">_xlfn.IFS(J148&lt;1,"",J148=1,"Pass",J148&gt;1,_xlfn.TEXTJOIN("",TRUE,"Pass x",J148))</f>
        <v>Pass</v>
      </c>
      <c r="M148" s="13" t="str" cm="1">
        <f t="array" ref="M148">_xlfn.IFS(K148&lt;1,"",K148=1,"Fail",K148&gt;1,_xlfn.TEXTJOIN("",TRUE,"Fail x",K148))</f>
        <v>Fail</v>
      </c>
      <c r="N148" t="str">
        <f t="shared" si="10"/>
        <v>Pass, Fail</v>
      </c>
    </row>
    <row r="149" spans="8:14">
      <c r="H149" s="13">
        <f t="shared" si="8"/>
        <v>2</v>
      </c>
      <c r="I149" t="str" cm="1">
        <f t="array" ref="I149">_xlfn.IFS(H149&lt;1,"No",H149=1,"Yes",H149&gt;1,_xlfn.TEXTJOIN("",TRUE,"Yes x",H149))</f>
        <v>Yes x2</v>
      </c>
      <c r="J149" s="13">
        <f t="shared" si="9"/>
        <v>1</v>
      </c>
      <c r="K149" s="13">
        <f t="shared" si="11"/>
        <v>1</v>
      </c>
      <c r="L149" s="13" t="str" cm="1">
        <f t="array" ref="L149">_xlfn.IFS(J149&lt;1,"",J149=1,"Pass",J149&gt;1,_xlfn.TEXTJOIN("",TRUE,"Pass x",J149))</f>
        <v>Pass</v>
      </c>
      <c r="M149" s="13" t="str" cm="1">
        <f t="array" ref="M149">_xlfn.IFS(K149&lt;1,"",K149=1,"Fail",K149&gt;1,_xlfn.TEXTJOIN("",TRUE,"Fail x",K149))</f>
        <v>Fail</v>
      </c>
      <c r="N149" t="str">
        <f t="shared" si="10"/>
        <v>Pass, Fail</v>
      </c>
    </row>
    <row r="150" spans="8:14">
      <c r="H150" s="13">
        <f t="shared" si="8"/>
        <v>2</v>
      </c>
      <c r="I150" t="str" cm="1">
        <f t="array" ref="I150">_xlfn.IFS(H150&lt;1,"No",H150=1,"Yes",H150&gt;1,_xlfn.TEXTJOIN("",TRUE,"Yes x",H150))</f>
        <v>Yes x2</v>
      </c>
      <c r="J150" s="13">
        <f t="shared" si="9"/>
        <v>1</v>
      </c>
      <c r="K150" s="13">
        <f t="shared" si="11"/>
        <v>1</v>
      </c>
      <c r="L150" s="13" t="str" cm="1">
        <f t="array" ref="L150">_xlfn.IFS(J150&lt;1,"",J150=1,"Pass",J150&gt;1,_xlfn.TEXTJOIN("",TRUE,"Pass x",J150))</f>
        <v>Pass</v>
      </c>
      <c r="M150" s="13" t="str" cm="1">
        <f t="array" ref="M150">_xlfn.IFS(K150&lt;1,"",K150=1,"Fail",K150&gt;1,_xlfn.TEXTJOIN("",TRUE,"Fail x",K150))</f>
        <v>Fail</v>
      </c>
      <c r="N150" t="str">
        <f t="shared" si="10"/>
        <v>Pass, Fail</v>
      </c>
    </row>
    <row r="151" spans="8:14">
      <c r="H151" s="13">
        <f t="shared" si="8"/>
        <v>2</v>
      </c>
      <c r="I151" t="str" cm="1">
        <f t="array" ref="I151">_xlfn.IFS(H151&lt;1,"No",H151=1,"Yes",H151&gt;1,_xlfn.TEXTJOIN("",TRUE,"Yes x",H151))</f>
        <v>Yes x2</v>
      </c>
      <c r="J151" s="13">
        <f t="shared" si="9"/>
        <v>1</v>
      </c>
      <c r="K151" s="13">
        <f t="shared" si="11"/>
        <v>1</v>
      </c>
      <c r="L151" s="13" t="str" cm="1">
        <f t="array" ref="L151">_xlfn.IFS(J151&lt;1,"",J151=1,"Pass",J151&gt;1,_xlfn.TEXTJOIN("",TRUE,"Pass x",J151))</f>
        <v>Pass</v>
      </c>
      <c r="M151" s="13" t="str" cm="1">
        <f t="array" ref="M151">_xlfn.IFS(K151&lt;1,"",K151=1,"Fail",K151&gt;1,_xlfn.TEXTJOIN("",TRUE,"Fail x",K151))</f>
        <v>Fail</v>
      </c>
      <c r="N151" t="str">
        <f t="shared" si="10"/>
        <v>Pass, Fail</v>
      </c>
    </row>
    <row r="152" spans="8:14">
      <c r="H152" s="13">
        <f t="shared" si="8"/>
        <v>2</v>
      </c>
      <c r="I152" t="str" cm="1">
        <f t="array" ref="I152">_xlfn.IFS(H152&lt;1,"No",H152=1,"Yes",H152&gt;1,_xlfn.TEXTJOIN("",TRUE,"Yes x",H152))</f>
        <v>Yes x2</v>
      </c>
      <c r="J152" s="13">
        <f t="shared" si="9"/>
        <v>1</v>
      </c>
      <c r="K152" s="13">
        <f t="shared" si="11"/>
        <v>1</v>
      </c>
      <c r="L152" s="13" t="str" cm="1">
        <f t="array" ref="L152">_xlfn.IFS(J152&lt;1,"",J152=1,"Pass",J152&gt;1,_xlfn.TEXTJOIN("",TRUE,"Pass x",J152))</f>
        <v>Pass</v>
      </c>
      <c r="M152" s="13" t="str" cm="1">
        <f t="array" ref="M152">_xlfn.IFS(K152&lt;1,"",K152=1,"Fail",K152&gt;1,_xlfn.TEXTJOIN("",TRUE,"Fail x",K152))</f>
        <v>Fail</v>
      </c>
      <c r="N152" t="str">
        <f t="shared" si="10"/>
        <v>Pass, Fail</v>
      </c>
    </row>
    <row r="153" spans="8:14">
      <c r="H153" s="13">
        <f t="shared" si="8"/>
        <v>2</v>
      </c>
      <c r="I153" t="str" cm="1">
        <f t="array" ref="I153">_xlfn.IFS(H153&lt;1,"No",H153=1,"Yes",H153&gt;1,_xlfn.TEXTJOIN("",TRUE,"Yes x",H153))</f>
        <v>Yes x2</v>
      </c>
      <c r="J153" s="13">
        <f t="shared" si="9"/>
        <v>1</v>
      </c>
      <c r="K153" s="13">
        <f t="shared" si="11"/>
        <v>1</v>
      </c>
      <c r="L153" s="13" t="str" cm="1">
        <f t="array" ref="L153">_xlfn.IFS(J153&lt;1,"",J153=1,"Pass",J153&gt;1,_xlfn.TEXTJOIN("",TRUE,"Pass x",J153))</f>
        <v>Pass</v>
      </c>
      <c r="M153" s="13" t="str" cm="1">
        <f t="array" ref="M153">_xlfn.IFS(K153&lt;1,"",K153=1,"Fail",K153&gt;1,_xlfn.TEXTJOIN("",TRUE,"Fail x",K153))</f>
        <v>Fail</v>
      </c>
      <c r="N153" t="str">
        <f t="shared" si="10"/>
        <v>Pass, Fail</v>
      </c>
    </row>
    <row r="154" spans="8:14">
      <c r="H154" s="13">
        <f t="shared" si="8"/>
        <v>2</v>
      </c>
      <c r="I154" t="str" cm="1">
        <f t="array" ref="I154">_xlfn.IFS(H154&lt;1,"No",H154=1,"Yes",H154&gt;1,_xlfn.TEXTJOIN("",TRUE,"Yes x",H154))</f>
        <v>Yes x2</v>
      </c>
      <c r="J154" s="13">
        <f t="shared" si="9"/>
        <v>1</v>
      </c>
      <c r="K154" s="13">
        <f t="shared" si="11"/>
        <v>1</v>
      </c>
      <c r="L154" s="13" t="str" cm="1">
        <f t="array" ref="L154">_xlfn.IFS(J154&lt;1,"",J154=1,"Pass",J154&gt;1,_xlfn.TEXTJOIN("",TRUE,"Pass x",J154))</f>
        <v>Pass</v>
      </c>
      <c r="M154" s="13" t="str" cm="1">
        <f t="array" ref="M154">_xlfn.IFS(K154&lt;1,"",K154=1,"Fail",K154&gt;1,_xlfn.TEXTJOIN("",TRUE,"Fail x",K154))</f>
        <v>Fail</v>
      </c>
      <c r="N154" t="str">
        <f t="shared" si="10"/>
        <v>Pass, Fail</v>
      </c>
    </row>
    <row r="155" spans="8:14">
      <c r="H155" s="13">
        <f t="shared" si="8"/>
        <v>2</v>
      </c>
      <c r="I155" t="str" cm="1">
        <f t="array" ref="I155">_xlfn.IFS(H155&lt;1,"No",H155=1,"Yes",H155&gt;1,_xlfn.TEXTJOIN("",TRUE,"Yes x",H155))</f>
        <v>Yes x2</v>
      </c>
      <c r="J155" s="13">
        <f t="shared" si="9"/>
        <v>1</v>
      </c>
      <c r="K155" s="13">
        <f t="shared" si="11"/>
        <v>1</v>
      </c>
      <c r="L155" s="13" t="str" cm="1">
        <f t="array" ref="L155">_xlfn.IFS(J155&lt;1,"",J155=1,"Pass",J155&gt;1,_xlfn.TEXTJOIN("",TRUE,"Pass x",J155))</f>
        <v>Pass</v>
      </c>
      <c r="M155" s="13" t="str" cm="1">
        <f t="array" ref="M155">_xlfn.IFS(K155&lt;1,"",K155=1,"Fail",K155&gt;1,_xlfn.TEXTJOIN("",TRUE,"Fail x",K155))</f>
        <v>Fail</v>
      </c>
      <c r="N155" t="str">
        <f t="shared" si="10"/>
        <v>Pass, Fail</v>
      </c>
    </row>
    <row r="156" spans="8:14">
      <c r="H156" s="13">
        <f t="shared" si="8"/>
        <v>2</v>
      </c>
      <c r="I156" t="str" cm="1">
        <f t="array" ref="I156">_xlfn.IFS(H156&lt;1,"No",H156=1,"Yes",H156&gt;1,_xlfn.TEXTJOIN("",TRUE,"Yes x",H156))</f>
        <v>Yes x2</v>
      </c>
      <c r="J156" s="13">
        <f t="shared" si="9"/>
        <v>1</v>
      </c>
      <c r="K156" s="13">
        <f t="shared" si="11"/>
        <v>1</v>
      </c>
      <c r="L156" s="13" t="str" cm="1">
        <f t="array" ref="L156">_xlfn.IFS(J156&lt;1,"",J156=1,"Pass",J156&gt;1,_xlfn.TEXTJOIN("",TRUE,"Pass x",J156))</f>
        <v>Pass</v>
      </c>
      <c r="M156" s="13" t="str" cm="1">
        <f t="array" ref="M156">_xlfn.IFS(K156&lt;1,"",K156=1,"Fail",K156&gt;1,_xlfn.TEXTJOIN("",TRUE,"Fail x",K156))</f>
        <v>Fail</v>
      </c>
      <c r="N156" t="str">
        <f t="shared" si="10"/>
        <v>Pass, Fail</v>
      </c>
    </row>
    <row r="157" spans="8:14">
      <c r="H157" s="13">
        <f t="shared" si="8"/>
        <v>2</v>
      </c>
      <c r="I157" t="str" cm="1">
        <f t="array" ref="I157">_xlfn.IFS(H157&lt;1,"No",H157=1,"Yes",H157&gt;1,_xlfn.TEXTJOIN("",TRUE,"Yes x",H157))</f>
        <v>Yes x2</v>
      </c>
      <c r="J157" s="13">
        <f t="shared" si="9"/>
        <v>1</v>
      </c>
      <c r="K157" s="13">
        <f t="shared" si="11"/>
        <v>1</v>
      </c>
      <c r="L157" s="13" t="str" cm="1">
        <f t="array" ref="L157">_xlfn.IFS(J157&lt;1,"",J157=1,"Pass",J157&gt;1,_xlfn.TEXTJOIN("",TRUE,"Pass x",J157))</f>
        <v>Pass</v>
      </c>
      <c r="M157" s="13" t="str" cm="1">
        <f t="array" ref="M157">_xlfn.IFS(K157&lt;1,"",K157=1,"Fail",K157&gt;1,_xlfn.TEXTJOIN("",TRUE,"Fail x",K157))</f>
        <v>Fail</v>
      </c>
      <c r="N157" t="str">
        <f t="shared" si="10"/>
        <v>Pass, Fail</v>
      </c>
    </row>
    <row r="158" spans="8:14">
      <c r="H158" s="13">
        <f t="shared" si="8"/>
        <v>2</v>
      </c>
      <c r="I158" t="str" cm="1">
        <f t="array" ref="I158">_xlfn.IFS(H158&lt;1,"No",H158=1,"Yes",H158&gt;1,_xlfn.TEXTJOIN("",TRUE,"Yes x",H158))</f>
        <v>Yes x2</v>
      </c>
      <c r="J158" s="13">
        <f t="shared" si="9"/>
        <v>1</v>
      </c>
      <c r="K158" s="13">
        <f t="shared" si="11"/>
        <v>1</v>
      </c>
      <c r="L158" s="13" t="str" cm="1">
        <f t="array" ref="L158">_xlfn.IFS(J158&lt;1,"",J158=1,"Pass",J158&gt;1,_xlfn.TEXTJOIN("",TRUE,"Pass x",J158))</f>
        <v>Pass</v>
      </c>
      <c r="M158" s="13" t="str" cm="1">
        <f t="array" ref="M158">_xlfn.IFS(K158&lt;1,"",K158=1,"Fail",K158&gt;1,_xlfn.TEXTJOIN("",TRUE,"Fail x",K158))</f>
        <v>Fail</v>
      </c>
      <c r="N158" t="str">
        <f t="shared" si="10"/>
        <v>Pass, Fail</v>
      </c>
    </row>
    <row r="159" spans="8:14">
      <c r="H159" s="13">
        <f t="shared" si="8"/>
        <v>2</v>
      </c>
      <c r="I159" t="str" cm="1">
        <f t="array" ref="I159">_xlfn.IFS(H159&lt;1,"No",H159=1,"Yes",H159&gt;1,_xlfn.TEXTJOIN("",TRUE,"Yes x",H159))</f>
        <v>Yes x2</v>
      </c>
      <c r="J159" s="13">
        <f t="shared" si="9"/>
        <v>1</v>
      </c>
      <c r="K159" s="13">
        <f t="shared" si="11"/>
        <v>1</v>
      </c>
      <c r="L159" s="13" t="str" cm="1">
        <f t="array" ref="L159">_xlfn.IFS(J159&lt;1,"",J159=1,"Pass",J159&gt;1,_xlfn.TEXTJOIN("",TRUE,"Pass x",J159))</f>
        <v>Pass</v>
      </c>
      <c r="M159" s="13" t="str" cm="1">
        <f t="array" ref="M159">_xlfn.IFS(K159&lt;1,"",K159=1,"Fail",K159&gt;1,_xlfn.TEXTJOIN("",TRUE,"Fail x",K159))</f>
        <v>Fail</v>
      </c>
      <c r="N159" t="str">
        <f t="shared" si="10"/>
        <v>Pass, Fail</v>
      </c>
    </row>
    <row r="160" spans="8:14">
      <c r="H160" s="13">
        <f t="shared" si="8"/>
        <v>2</v>
      </c>
      <c r="I160" t="str" cm="1">
        <f t="array" ref="I160">_xlfn.IFS(H160&lt;1,"No",H160=1,"Yes",H160&gt;1,_xlfn.TEXTJOIN("",TRUE,"Yes x",H160))</f>
        <v>Yes x2</v>
      </c>
      <c r="J160" s="13">
        <f t="shared" si="9"/>
        <v>1</v>
      </c>
      <c r="K160" s="13">
        <f t="shared" si="11"/>
        <v>1</v>
      </c>
      <c r="L160" s="13" t="str" cm="1">
        <f t="array" ref="L160">_xlfn.IFS(J160&lt;1,"",J160=1,"Pass",J160&gt;1,_xlfn.TEXTJOIN("",TRUE,"Pass x",J160))</f>
        <v>Pass</v>
      </c>
      <c r="M160" s="13" t="str" cm="1">
        <f t="array" ref="M160">_xlfn.IFS(K160&lt;1,"",K160=1,"Fail",K160&gt;1,_xlfn.TEXTJOIN("",TRUE,"Fail x",K160))</f>
        <v>Fail</v>
      </c>
      <c r="N160" t="str">
        <f t="shared" si="10"/>
        <v>Pass, Fail</v>
      </c>
    </row>
    <row r="161" spans="8:14">
      <c r="H161" s="13">
        <f t="shared" si="8"/>
        <v>2</v>
      </c>
      <c r="I161" t="str" cm="1">
        <f t="array" ref="I161">_xlfn.IFS(H161&lt;1,"No",H161=1,"Yes",H161&gt;1,_xlfn.TEXTJOIN("",TRUE,"Yes x",H161))</f>
        <v>Yes x2</v>
      </c>
      <c r="J161" s="13">
        <f t="shared" si="9"/>
        <v>1</v>
      </c>
      <c r="K161" s="13">
        <f t="shared" si="11"/>
        <v>1</v>
      </c>
      <c r="L161" s="13" t="str" cm="1">
        <f t="array" ref="L161">_xlfn.IFS(J161&lt;1,"",J161=1,"Pass",J161&gt;1,_xlfn.TEXTJOIN("",TRUE,"Pass x",J161))</f>
        <v>Pass</v>
      </c>
      <c r="M161" s="13" t="str" cm="1">
        <f t="array" ref="M161">_xlfn.IFS(K161&lt;1,"",K161=1,"Fail",K161&gt;1,_xlfn.TEXTJOIN("",TRUE,"Fail x",K161))</f>
        <v>Fail</v>
      </c>
      <c r="N161" t="str">
        <f t="shared" si="10"/>
        <v>Pass, Fail</v>
      </c>
    </row>
    <row r="162" spans="8:14">
      <c r="H162" s="13">
        <f t="shared" si="8"/>
        <v>2</v>
      </c>
      <c r="I162" t="str" cm="1">
        <f t="array" ref="I162">_xlfn.IFS(H162&lt;1,"No",H162=1,"Yes",H162&gt;1,_xlfn.TEXTJOIN("",TRUE,"Yes x",H162))</f>
        <v>Yes x2</v>
      </c>
      <c r="J162" s="13">
        <f t="shared" si="9"/>
        <v>1</v>
      </c>
      <c r="K162" s="13">
        <f t="shared" si="11"/>
        <v>1</v>
      </c>
      <c r="L162" s="13" t="str" cm="1">
        <f t="array" ref="L162">_xlfn.IFS(J162&lt;1,"",J162=1,"Pass",J162&gt;1,_xlfn.TEXTJOIN("",TRUE,"Pass x",J162))</f>
        <v>Pass</v>
      </c>
      <c r="M162" s="13" t="str" cm="1">
        <f t="array" ref="M162">_xlfn.IFS(K162&lt;1,"",K162=1,"Fail",K162&gt;1,_xlfn.TEXTJOIN("",TRUE,"Fail x",K162))</f>
        <v>Fail</v>
      </c>
      <c r="N162" t="str">
        <f t="shared" si="10"/>
        <v>Pass, Fail</v>
      </c>
    </row>
    <row r="163" spans="8:14">
      <c r="H163" s="13">
        <f t="shared" si="8"/>
        <v>2</v>
      </c>
      <c r="I163" t="str" cm="1">
        <f t="array" ref="I163">_xlfn.IFS(H163&lt;1,"No",H163=1,"Yes",H163&gt;1,_xlfn.TEXTJOIN("",TRUE,"Yes x",H163))</f>
        <v>Yes x2</v>
      </c>
      <c r="J163" s="13">
        <f t="shared" si="9"/>
        <v>1</v>
      </c>
      <c r="K163" s="13">
        <f t="shared" si="11"/>
        <v>1</v>
      </c>
      <c r="L163" s="13" t="str" cm="1">
        <f t="array" ref="L163">_xlfn.IFS(J163&lt;1,"",J163=1,"Pass",J163&gt;1,_xlfn.TEXTJOIN("",TRUE,"Pass x",J163))</f>
        <v>Pass</v>
      </c>
      <c r="M163" s="13" t="str" cm="1">
        <f t="array" ref="M163">_xlfn.IFS(K163&lt;1,"",K163=1,"Fail",K163&gt;1,_xlfn.TEXTJOIN("",TRUE,"Fail x",K163))</f>
        <v>Fail</v>
      </c>
      <c r="N163" t="str">
        <f t="shared" si="10"/>
        <v>Pass, Fail</v>
      </c>
    </row>
    <row r="164" spans="8:14">
      <c r="H164" s="13">
        <f t="shared" ref="H164:H227" si="12">IFERROR(GETPIVOTDATA("Successful / Failed",$A$1,"System serial",G164),0)</f>
        <v>2</v>
      </c>
      <c r="I164" t="str" cm="1">
        <f t="array" ref="I164">_xlfn.IFS(H164&lt;1,"No",H164=1,"Yes",H164&gt;1,_xlfn.TEXTJOIN("",TRUE,"Yes x",H164))</f>
        <v>Yes x2</v>
      </c>
      <c r="J164" s="13">
        <f t="shared" ref="J164:J227" si="13">IFERROR(GETPIVOTDATA("Successful / Failed",$A$1,"System serial",G164,"Successful / Failed","Successful"),0)</f>
        <v>1</v>
      </c>
      <c r="K164" s="13">
        <f t="shared" si="11"/>
        <v>1</v>
      </c>
      <c r="L164" s="13" t="str" cm="1">
        <f t="array" ref="L164">_xlfn.IFS(J164&lt;1,"",J164=1,"Pass",J164&gt;1,_xlfn.TEXTJOIN("",TRUE,"Pass x",J164))</f>
        <v>Pass</v>
      </c>
      <c r="M164" s="13" t="str" cm="1">
        <f t="array" ref="M164">_xlfn.IFS(K164&lt;1,"",K164=1,"Fail",K164&gt;1,_xlfn.TEXTJOIN("",TRUE,"Fail x",K164))</f>
        <v>Fail</v>
      </c>
      <c r="N164" t="str">
        <f t="shared" ref="N164:N227" si="14">_xlfn.TEXTJOIN(", ",TRUE, L164, M164)</f>
        <v>Pass, Fail</v>
      </c>
    </row>
    <row r="165" spans="8:14">
      <c r="H165" s="13">
        <f t="shared" si="12"/>
        <v>2</v>
      </c>
      <c r="I165" t="str" cm="1">
        <f t="array" ref="I165">_xlfn.IFS(H165&lt;1,"No",H165=1,"Yes",H165&gt;1,_xlfn.TEXTJOIN("",TRUE,"Yes x",H165))</f>
        <v>Yes x2</v>
      </c>
      <c r="J165" s="13">
        <f t="shared" si="13"/>
        <v>1</v>
      </c>
      <c r="K165" s="13">
        <f t="shared" si="11"/>
        <v>1</v>
      </c>
      <c r="L165" s="13" t="str" cm="1">
        <f t="array" ref="L165">_xlfn.IFS(J165&lt;1,"",J165=1,"Pass",J165&gt;1,_xlfn.TEXTJOIN("",TRUE,"Pass x",J165))</f>
        <v>Pass</v>
      </c>
      <c r="M165" s="13" t="str" cm="1">
        <f t="array" ref="M165">_xlfn.IFS(K165&lt;1,"",K165=1,"Fail",K165&gt;1,_xlfn.TEXTJOIN("",TRUE,"Fail x",K165))</f>
        <v>Fail</v>
      </c>
      <c r="N165" t="str">
        <f t="shared" si="14"/>
        <v>Pass, Fail</v>
      </c>
    </row>
    <row r="166" spans="8:14">
      <c r="H166" s="13">
        <f t="shared" si="12"/>
        <v>2</v>
      </c>
      <c r="I166" t="str" cm="1">
        <f t="array" ref="I166">_xlfn.IFS(H166&lt;1,"No",H166=1,"Yes",H166&gt;1,_xlfn.TEXTJOIN("",TRUE,"Yes x",H166))</f>
        <v>Yes x2</v>
      </c>
      <c r="J166" s="13">
        <f t="shared" si="13"/>
        <v>1</v>
      </c>
      <c r="K166" s="13">
        <f t="shared" si="11"/>
        <v>1</v>
      </c>
      <c r="L166" s="13" t="str" cm="1">
        <f t="array" ref="L166">_xlfn.IFS(J166&lt;1,"",J166=1,"Pass",J166&gt;1,_xlfn.TEXTJOIN("",TRUE,"Pass x",J166))</f>
        <v>Pass</v>
      </c>
      <c r="M166" s="13" t="str" cm="1">
        <f t="array" ref="M166">_xlfn.IFS(K166&lt;1,"",K166=1,"Fail",K166&gt;1,_xlfn.TEXTJOIN("",TRUE,"Fail x",K166))</f>
        <v>Fail</v>
      </c>
      <c r="N166" t="str">
        <f t="shared" si="14"/>
        <v>Pass, Fail</v>
      </c>
    </row>
    <row r="167" spans="8:14">
      <c r="H167" s="13">
        <f t="shared" si="12"/>
        <v>2</v>
      </c>
      <c r="I167" t="str" cm="1">
        <f t="array" ref="I167">_xlfn.IFS(H167&lt;1,"No",H167=1,"Yes",H167&gt;1,_xlfn.TEXTJOIN("",TRUE,"Yes x",H167))</f>
        <v>Yes x2</v>
      </c>
      <c r="J167" s="13">
        <f t="shared" si="13"/>
        <v>1</v>
      </c>
      <c r="K167" s="13">
        <f t="shared" si="11"/>
        <v>1</v>
      </c>
      <c r="L167" s="13" t="str" cm="1">
        <f t="array" ref="L167">_xlfn.IFS(J167&lt;1,"",J167=1,"Pass",J167&gt;1,_xlfn.TEXTJOIN("",TRUE,"Pass x",J167))</f>
        <v>Pass</v>
      </c>
      <c r="M167" s="13" t="str" cm="1">
        <f t="array" ref="M167">_xlfn.IFS(K167&lt;1,"",K167=1,"Fail",K167&gt;1,_xlfn.TEXTJOIN("",TRUE,"Fail x",K167))</f>
        <v>Fail</v>
      </c>
      <c r="N167" t="str">
        <f t="shared" si="14"/>
        <v>Pass, Fail</v>
      </c>
    </row>
    <row r="168" spans="8:14">
      <c r="H168" s="13">
        <f t="shared" si="12"/>
        <v>2</v>
      </c>
      <c r="I168" t="str" cm="1">
        <f t="array" ref="I168">_xlfn.IFS(H168&lt;1,"No",H168=1,"Yes",H168&gt;1,_xlfn.TEXTJOIN("",TRUE,"Yes x",H168))</f>
        <v>Yes x2</v>
      </c>
      <c r="J168" s="13">
        <f t="shared" si="13"/>
        <v>1</v>
      </c>
      <c r="K168" s="13">
        <f t="shared" si="11"/>
        <v>1</v>
      </c>
      <c r="L168" s="13" t="str" cm="1">
        <f t="array" ref="L168">_xlfn.IFS(J168&lt;1,"",J168=1,"Pass",J168&gt;1,_xlfn.TEXTJOIN("",TRUE,"Pass x",J168))</f>
        <v>Pass</v>
      </c>
      <c r="M168" s="13" t="str" cm="1">
        <f t="array" ref="M168">_xlfn.IFS(K168&lt;1,"",K168=1,"Fail",K168&gt;1,_xlfn.TEXTJOIN("",TRUE,"Fail x",K168))</f>
        <v>Fail</v>
      </c>
      <c r="N168" t="str">
        <f t="shared" si="14"/>
        <v>Pass, Fail</v>
      </c>
    </row>
    <row r="169" spans="8:14">
      <c r="H169" s="13">
        <f t="shared" si="12"/>
        <v>2</v>
      </c>
      <c r="I169" t="str" cm="1">
        <f t="array" ref="I169">_xlfn.IFS(H169&lt;1,"No",H169=1,"Yes",H169&gt;1,_xlfn.TEXTJOIN("",TRUE,"Yes x",H169))</f>
        <v>Yes x2</v>
      </c>
      <c r="J169" s="13">
        <f t="shared" si="13"/>
        <v>1</v>
      </c>
      <c r="K169" s="13">
        <f t="shared" si="11"/>
        <v>1</v>
      </c>
      <c r="L169" s="13" t="str" cm="1">
        <f t="array" ref="L169">_xlfn.IFS(J169&lt;1,"",J169=1,"Pass",J169&gt;1,_xlfn.TEXTJOIN("",TRUE,"Pass x",J169))</f>
        <v>Pass</v>
      </c>
      <c r="M169" s="13" t="str" cm="1">
        <f t="array" ref="M169">_xlfn.IFS(K169&lt;1,"",K169=1,"Fail",K169&gt;1,_xlfn.TEXTJOIN("",TRUE,"Fail x",K169))</f>
        <v>Fail</v>
      </c>
      <c r="N169" t="str">
        <f t="shared" si="14"/>
        <v>Pass, Fail</v>
      </c>
    </row>
    <row r="170" spans="8:14">
      <c r="H170" s="13">
        <f t="shared" si="12"/>
        <v>2</v>
      </c>
      <c r="I170" t="str" cm="1">
        <f t="array" ref="I170">_xlfn.IFS(H170&lt;1,"No",H170=1,"Yes",H170&gt;1,_xlfn.TEXTJOIN("",TRUE,"Yes x",H170))</f>
        <v>Yes x2</v>
      </c>
      <c r="J170" s="13">
        <f t="shared" si="13"/>
        <v>1</v>
      </c>
      <c r="K170" s="13">
        <f t="shared" si="11"/>
        <v>1</v>
      </c>
      <c r="L170" s="13" t="str" cm="1">
        <f t="array" ref="L170">_xlfn.IFS(J170&lt;1,"",J170=1,"Pass",J170&gt;1,_xlfn.TEXTJOIN("",TRUE,"Pass x",J170))</f>
        <v>Pass</v>
      </c>
      <c r="M170" s="13" t="str" cm="1">
        <f t="array" ref="M170">_xlfn.IFS(K170&lt;1,"",K170=1,"Fail",K170&gt;1,_xlfn.TEXTJOIN("",TRUE,"Fail x",K170))</f>
        <v>Fail</v>
      </c>
      <c r="N170" t="str">
        <f t="shared" si="14"/>
        <v>Pass, Fail</v>
      </c>
    </row>
    <row r="171" spans="8:14">
      <c r="H171" s="13">
        <f t="shared" si="12"/>
        <v>2</v>
      </c>
      <c r="I171" t="str" cm="1">
        <f t="array" ref="I171">_xlfn.IFS(H171&lt;1,"No",H171=1,"Yes",H171&gt;1,_xlfn.TEXTJOIN("",TRUE,"Yes x",H171))</f>
        <v>Yes x2</v>
      </c>
      <c r="J171" s="13">
        <f t="shared" si="13"/>
        <v>1</v>
      </c>
      <c r="K171" s="13">
        <f t="shared" si="11"/>
        <v>1</v>
      </c>
      <c r="L171" s="13" t="str" cm="1">
        <f t="array" ref="L171">_xlfn.IFS(J171&lt;1,"",J171=1,"Pass",J171&gt;1,_xlfn.TEXTJOIN("",TRUE,"Pass x",J171))</f>
        <v>Pass</v>
      </c>
      <c r="M171" s="13" t="str" cm="1">
        <f t="array" ref="M171">_xlfn.IFS(K171&lt;1,"",K171=1,"Fail",K171&gt;1,_xlfn.TEXTJOIN("",TRUE,"Fail x",K171))</f>
        <v>Fail</v>
      </c>
      <c r="N171" t="str">
        <f t="shared" si="14"/>
        <v>Pass, Fail</v>
      </c>
    </row>
    <row r="172" spans="8:14">
      <c r="H172" s="13">
        <f t="shared" si="12"/>
        <v>2</v>
      </c>
      <c r="I172" t="str" cm="1">
        <f t="array" ref="I172">_xlfn.IFS(H172&lt;1,"No",H172=1,"Yes",H172&gt;1,_xlfn.TEXTJOIN("",TRUE,"Yes x",H172))</f>
        <v>Yes x2</v>
      </c>
      <c r="J172" s="13">
        <f t="shared" si="13"/>
        <v>1</v>
      </c>
      <c r="K172" s="13">
        <f t="shared" si="11"/>
        <v>1</v>
      </c>
      <c r="L172" s="13" t="str" cm="1">
        <f t="array" ref="L172">_xlfn.IFS(J172&lt;1,"",J172=1,"Pass",J172&gt;1,_xlfn.TEXTJOIN("",TRUE,"Pass x",J172))</f>
        <v>Pass</v>
      </c>
      <c r="M172" s="13" t="str" cm="1">
        <f t="array" ref="M172">_xlfn.IFS(K172&lt;1,"",K172=1,"Fail",K172&gt;1,_xlfn.TEXTJOIN("",TRUE,"Fail x",K172))</f>
        <v>Fail</v>
      </c>
      <c r="N172" t="str">
        <f t="shared" si="14"/>
        <v>Pass, Fail</v>
      </c>
    </row>
    <row r="173" spans="8:14">
      <c r="H173" s="13">
        <f t="shared" si="12"/>
        <v>2</v>
      </c>
      <c r="I173" t="str" cm="1">
        <f t="array" ref="I173">_xlfn.IFS(H173&lt;1,"No",H173=1,"Yes",H173&gt;1,_xlfn.TEXTJOIN("",TRUE,"Yes x",H173))</f>
        <v>Yes x2</v>
      </c>
      <c r="J173" s="13">
        <f t="shared" si="13"/>
        <v>1</v>
      </c>
      <c r="K173" s="13">
        <f t="shared" si="11"/>
        <v>1</v>
      </c>
      <c r="L173" s="13" t="str" cm="1">
        <f t="array" ref="L173">_xlfn.IFS(J173&lt;1,"",J173=1,"Pass",J173&gt;1,_xlfn.TEXTJOIN("",TRUE,"Pass x",J173))</f>
        <v>Pass</v>
      </c>
      <c r="M173" s="13" t="str" cm="1">
        <f t="array" ref="M173">_xlfn.IFS(K173&lt;1,"",K173=1,"Fail",K173&gt;1,_xlfn.TEXTJOIN("",TRUE,"Fail x",K173))</f>
        <v>Fail</v>
      </c>
      <c r="N173" t="str">
        <f t="shared" si="14"/>
        <v>Pass, Fail</v>
      </c>
    </row>
    <row r="174" spans="8:14">
      <c r="H174" s="13">
        <f t="shared" si="12"/>
        <v>2</v>
      </c>
      <c r="I174" t="str" cm="1">
        <f t="array" ref="I174">_xlfn.IFS(H174&lt;1,"No",H174=1,"Yes",H174&gt;1,_xlfn.TEXTJOIN("",TRUE,"Yes x",H174))</f>
        <v>Yes x2</v>
      </c>
      <c r="J174" s="13">
        <f t="shared" si="13"/>
        <v>1</v>
      </c>
      <c r="K174" s="13">
        <f t="shared" si="11"/>
        <v>1</v>
      </c>
      <c r="L174" s="13" t="str" cm="1">
        <f t="array" ref="L174">_xlfn.IFS(J174&lt;1,"",J174=1,"Pass",J174&gt;1,_xlfn.TEXTJOIN("",TRUE,"Pass x",J174))</f>
        <v>Pass</v>
      </c>
      <c r="M174" s="13" t="str" cm="1">
        <f t="array" ref="M174">_xlfn.IFS(K174&lt;1,"",K174=1,"Fail",K174&gt;1,_xlfn.TEXTJOIN("",TRUE,"Fail x",K174))</f>
        <v>Fail</v>
      </c>
      <c r="N174" t="str">
        <f t="shared" si="14"/>
        <v>Pass, Fail</v>
      </c>
    </row>
    <row r="175" spans="8:14">
      <c r="H175" s="13">
        <f t="shared" si="12"/>
        <v>2</v>
      </c>
      <c r="I175" t="str" cm="1">
        <f t="array" ref="I175">_xlfn.IFS(H175&lt;1,"No",H175=1,"Yes",H175&gt;1,_xlfn.TEXTJOIN("",TRUE,"Yes x",H175))</f>
        <v>Yes x2</v>
      </c>
      <c r="J175" s="13">
        <f t="shared" si="13"/>
        <v>1</v>
      </c>
      <c r="K175" s="13">
        <f t="shared" si="11"/>
        <v>1</v>
      </c>
      <c r="L175" s="13" t="str" cm="1">
        <f t="array" ref="L175">_xlfn.IFS(J175&lt;1,"",J175=1,"Pass",J175&gt;1,_xlfn.TEXTJOIN("",TRUE,"Pass x",J175))</f>
        <v>Pass</v>
      </c>
      <c r="M175" s="13" t="str" cm="1">
        <f t="array" ref="M175">_xlfn.IFS(K175&lt;1,"",K175=1,"Fail",K175&gt;1,_xlfn.TEXTJOIN("",TRUE,"Fail x",K175))</f>
        <v>Fail</v>
      </c>
      <c r="N175" t="str">
        <f t="shared" si="14"/>
        <v>Pass, Fail</v>
      </c>
    </row>
    <row r="176" spans="8:14">
      <c r="H176" s="13">
        <f t="shared" si="12"/>
        <v>2</v>
      </c>
      <c r="I176" t="str" cm="1">
        <f t="array" ref="I176">_xlfn.IFS(H176&lt;1,"No",H176=1,"Yes",H176&gt;1,_xlfn.TEXTJOIN("",TRUE,"Yes x",H176))</f>
        <v>Yes x2</v>
      </c>
      <c r="J176" s="13">
        <f t="shared" si="13"/>
        <v>1</v>
      </c>
      <c r="K176" s="13">
        <f t="shared" si="11"/>
        <v>1</v>
      </c>
      <c r="L176" s="13" t="str" cm="1">
        <f t="array" ref="L176">_xlfn.IFS(J176&lt;1,"",J176=1,"Pass",J176&gt;1,_xlfn.TEXTJOIN("",TRUE,"Pass x",J176))</f>
        <v>Pass</v>
      </c>
      <c r="M176" s="13" t="str" cm="1">
        <f t="array" ref="M176">_xlfn.IFS(K176&lt;1,"",K176=1,"Fail",K176&gt;1,_xlfn.TEXTJOIN("",TRUE,"Fail x",K176))</f>
        <v>Fail</v>
      </c>
      <c r="N176" t="str">
        <f t="shared" si="14"/>
        <v>Pass, Fail</v>
      </c>
    </row>
    <row r="177" spans="8:14">
      <c r="H177" s="13">
        <f t="shared" si="12"/>
        <v>2</v>
      </c>
      <c r="I177" t="str" cm="1">
        <f t="array" ref="I177">_xlfn.IFS(H177&lt;1,"No",H177=1,"Yes",H177&gt;1,_xlfn.TEXTJOIN("",TRUE,"Yes x",H177))</f>
        <v>Yes x2</v>
      </c>
      <c r="J177" s="13">
        <f t="shared" si="13"/>
        <v>1</v>
      </c>
      <c r="K177" s="13">
        <f t="shared" si="11"/>
        <v>1</v>
      </c>
      <c r="L177" s="13" t="str" cm="1">
        <f t="array" ref="L177">_xlfn.IFS(J177&lt;1,"",J177=1,"Pass",J177&gt;1,_xlfn.TEXTJOIN("",TRUE,"Pass x",J177))</f>
        <v>Pass</v>
      </c>
      <c r="M177" s="13" t="str" cm="1">
        <f t="array" ref="M177">_xlfn.IFS(K177&lt;1,"",K177=1,"Fail",K177&gt;1,_xlfn.TEXTJOIN("",TRUE,"Fail x",K177))</f>
        <v>Fail</v>
      </c>
      <c r="N177" t="str">
        <f t="shared" si="14"/>
        <v>Pass, Fail</v>
      </c>
    </row>
    <row r="178" spans="8:14">
      <c r="H178" s="13">
        <f t="shared" si="12"/>
        <v>2</v>
      </c>
      <c r="I178" t="str" cm="1">
        <f t="array" ref="I178">_xlfn.IFS(H178&lt;1,"No",H178=1,"Yes",H178&gt;1,_xlfn.TEXTJOIN("",TRUE,"Yes x",H178))</f>
        <v>Yes x2</v>
      </c>
      <c r="J178" s="13">
        <f t="shared" si="13"/>
        <v>1</v>
      </c>
      <c r="K178" s="13">
        <f t="shared" si="11"/>
        <v>1</v>
      </c>
      <c r="L178" s="13" t="str" cm="1">
        <f t="array" ref="L178">_xlfn.IFS(J178&lt;1,"",J178=1,"Pass",J178&gt;1,_xlfn.TEXTJOIN("",TRUE,"Pass x",J178))</f>
        <v>Pass</v>
      </c>
      <c r="M178" s="13" t="str" cm="1">
        <f t="array" ref="M178">_xlfn.IFS(K178&lt;1,"",K178=1,"Fail",K178&gt;1,_xlfn.TEXTJOIN("",TRUE,"Fail x",K178))</f>
        <v>Fail</v>
      </c>
      <c r="N178" t="str">
        <f t="shared" si="14"/>
        <v>Pass, Fail</v>
      </c>
    </row>
    <row r="179" spans="8:14">
      <c r="H179" s="13">
        <f t="shared" si="12"/>
        <v>2</v>
      </c>
      <c r="I179" t="str" cm="1">
        <f t="array" ref="I179">_xlfn.IFS(H179&lt;1,"No",H179=1,"Yes",H179&gt;1,_xlfn.TEXTJOIN("",TRUE,"Yes x",H179))</f>
        <v>Yes x2</v>
      </c>
      <c r="J179" s="13">
        <f t="shared" si="13"/>
        <v>1</v>
      </c>
      <c r="K179" s="13">
        <f t="shared" si="11"/>
        <v>1</v>
      </c>
      <c r="L179" s="13" t="str" cm="1">
        <f t="array" ref="L179">_xlfn.IFS(J179&lt;1,"",J179=1,"Pass",J179&gt;1,_xlfn.TEXTJOIN("",TRUE,"Pass x",J179))</f>
        <v>Pass</v>
      </c>
      <c r="M179" s="13" t="str" cm="1">
        <f t="array" ref="M179">_xlfn.IFS(K179&lt;1,"",K179=1,"Fail",K179&gt;1,_xlfn.TEXTJOIN("",TRUE,"Fail x",K179))</f>
        <v>Fail</v>
      </c>
      <c r="N179" t="str">
        <f t="shared" si="14"/>
        <v>Pass, Fail</v>
      </c>
    </row>
    <row r="180" spans="8:14">
      <c r="H180" s="13">
        <f t="shared" si="12"/>
        <v>2</v>
      </c>
      <c r="I180" t="str" cm="1">
        <f t="array" ref="I180">_xlfn.IFS(H180&lt;1,"No",H180=1,"Yes",H180&gt;1,_xlfn.TEXTJOIN("",TRUE,"Yes x",H180))</f>
        <v>Yes x2</v>
      </c>
      <c r="J180" s="13">
        <f t="shared" si="13"/>
        <v>1</v>
      </c>
      <c r="K180" s="13">
        <f t="shared" si="11"/>
        <v>1</v>
      </c>
      <c r="L180" s="13" t="str" cm="1">
        <f t="array" ref="L180">_xlfn.IFS(J180&lt;1,"",J180=1,"Pass",J180&gt;1,_xlfn.TEXTJOIN("",TRUE,"Pass x",J180))</f>
        <v>Pass</v>
      </c>
      <c r="M180" s="13" t="str" cm="1">
        <f t="array" ref="M180">_xlfn.IFS(K180&lt;1,"",K180=1,"Fail",K180&gt;1,_xlfn.TEXTJOIN("",TRUE,"Fail x",K180))</f>
        <v>Fail</v>
      </c>
      <c r="N180" t="str">
        <f t="shared" si="14"/>
        <v>Pass, Fail</v>
      </c>
    </row>
    <row r="181" spans="8:14">
      <c r="H181" s="13">
        <f t="shared" si="12"/>
        <v>2</v>
      </c>
      <c r="I181" t="str" cm="1">
        <f t="array" ref="I181">_xlfn.IFS(H181&lt;1,"No",H181=1,"Yes",H181&gt;1,_xlfn.TEXTJOIN("",TRUE,"Yes x",H181))</f>
        <v>Yes x2</v>
      </c>
      <c r="J181" s="13">
        <f t="shared" si="13"/>
        <v>1</v>
      </c>
      <c r="K181" s="13">
        <f t="shared" si="11"/>
        <v>1</v>
      </c>
      <c r="L181" s="13" t="str" cm="1">
        <f t="array" ref="L181">_xlfn.IFS(J181&lt;1,"",J181=1,"Pass",J181&gt;1,_xlfn.TEXTJOIN("",TRUE,"Pass x",J181))</f>
        <v>Pass</v>
      </c>
      <c r="M181" s="13" t="str" cm="1">
        <f t="array" ref="M181">_xlfn.IFS(K181&lt;1,"",K181=1,"Fail",K181&gt;1,_xlfn.TEXTJOIN("",TRUE,"Fail x",K181))</f>
        <v>Fail</v>
      </c>
      <c r="N181" t="str">
        <f t="shared" si="14"/>
        <v>Pass, Fail</v>
      </c>
    </row>
    <row r="182" spans="8:14">
      <c r="H182" s="13">
        <f t="shared" si="12"/>
        <v>2</v>
      </c>
      <c r="I182" t="str" cm="1">
        <f t="array" ref="I182">_xlfn.IFS(H182&lt;1,"No",H182=1,"Yes",H182&gt;1,_xlfn.TEXTJOIN("",TRUE,"Yes x",H182))</f>
        <v>Yes x2</v>
      </c>
      <c r="J182" s="13">
        <f t="shared" si="13"/>
        <v>1</v>
      </c>
      <c r="K182" s="13">
        <f t="shared" si="11"/>
        <v>1</v>
      </c>
      <c r="L182" s="13" t="str" cm="1">
        <f t="array" ref="L182">_xlfn.IFS(J182&lt;1,"",J182=1,"Pass",J182&gt;1,_xlfn.TEXTJOIN("",TRUE,"Pass x",J182))</f>
        <v>Pass</v>
      </c>
      <c r="M182" s="13" t="str" cm="1">
        <f t="array" ref="M182">_xlfn.IFS(K182&lt;1,"",K182=1,"Fail",K182&gt;1,_xlfn.TEXTJOIN("",TRUE,"Fail x",K182))</f>
        <v>Fail</v>
      </c>
      <c r="N182" t="str">
        <f t="shared" si="14"/>
        <v>Pass, Fail</v>
      </c>
    </row>
    <row r="183" spans="8:14">
      <c r="H183" s="13">
        <f t="shared" si="12"/>
        <v>2</v>
      </c>
      <c r="I183" t="str" cm="1">
        <f t="array" ref="I183">_xlfn.IFS(H183&lt;1,"No",H183=1,"Yes",H183&gt;1,_xlfn.TEXTJOIN("",TRUE,"Yes x",H183))</f>
        <v>Yes x2</v>
      </c>
      <c r="J183" s="13">
        <f t="shared" si="13"/>
        <v>1</v>
      </c>
      <c r="K183" s="13">
        <f t="shared" si="11"/>
        <v>1</v>
      </c>
      <c r="L183" s="13" t="str" cm="1">
        <f t="array" ref="L183">_xlfn.IFS(J183&lt;1,"",J183=1,"Pass",J183&gt;1,_xlfn.TEXTJOIN("",TRUE,"Pass x",J183))</f>
        <v>Pass</v>
      </c>
      <c r="M183" s="13" t="str" cm="1">
        <f t="array" ref="M183">_xlfn.IFS(K183&lt;1,"",K183=1,"Fail",K183&gt;1,_xlfn.TEXTJOIN("",TRUE,"Fail x",K183))</f>
        <v>Fail</v>
      </c>
      <c r="N183" t="str">
        <f t="shared" si="14"/>
        <v>Pass, Fail</v>
      </c>
    </row>
    <row r="184" spans="8:14">
      <c r="H184" s="13">
        <f t="shared" si="12"/>
        <v>2</v>
      </c>
      <c r="I184" t="str" cm="1">
        <f t="array" ref="I184">_xlfn.IFS(H184&lt;1,"No",H184=1,"Yes",H184&gt;1,_xlfn.TEXTJOIN("",TRUE,"Yes x",H184))</f>
        <v>Yes x2</v>
      </c>
      <c r="J184" s="13">
        <f t="shared" si="13"/>
        <v>1</v>
      </c>
      <c r="K184" s="13">
        <f t="shared" si="11"/>
        <v>1</v>
      </c>
      <c r="L184" s="13" t="str" cm="1">
        <f t="array" ref="L184">_xlfn.IFS(J184&lt;1,"",J184=1,"Pass",J184&gt;1,_xlfn.TEXTJOIN("",TRUE,"Pass x",J184))</f>
        <v>Pass</v>
      </c>
      <c r="M184" s="13" t="str" cm="1">
        <f t="array" ref="M184">_xlfn.IFS(K184&lt;1,"",K184=1,"Fail",K184&gt;1,_xlfn.TEXTJOIN("",TRUE,"Fail x",K184))</f>
        <v>Fail</v>
      </c>
      <c r="N184" t="str">
        <f t="shared" si="14"/>
        <v>Pass, Fail</v>
      </c>
    </row>
    <row r="185" spans="8:14">
      <c r="H185" s="13">
        <f t="shared" si="12"/>
        <v>2</v>
      </c>
      <c r="I185" t="str" cm="1">
        <f t="array" ref="I185">_xlfn.IFS(H185&lt;1,"No",H185=1,"Yes",H185&gt;1,_xlfn.TEXTJOIN("",TRUE,"Yes x",H185))</f>
        <v>Yes x2</v>
      </c>
      <c r="J185" s="13">
        <f t="shared" si="13"/>
        <v>1</v>
      </c>
      <c r="K185" s="13">
        <f t="shared" si="11"/>
        <v>1</v>
      </c>
      <c r="L185" s="13" t="str" cm="1">
        <f t="array" ref="L185">_xlfn.IFS(J185&lt;1,"",J185=1,"Pass",J185&gt;1,_xlfn.TEXTJOIN("",TRUE,"Pass x",J185))</f>
        <v>Pass</v>
      </c>
      <c r="M185" s="13" t="str" cm="1">
        <f t="array" ref="M185">_xlfn.IFS(K185&lt;1,"",K185=1,"Fail",K185&gt;1,_xlfn.TEXTJOIN("",TRUE,"Fail x",K185))</f>
        <v>Fail</v>
      </c>
      <c r="N185" t="str">
        <f t="shared" si="14"/>
        <v>Pass, Fail</v>
      </c>
    </row>
    <row r="186" spans="8:14">
      <c r="H186" s="13">
        <f t="shared" si="12"/>
        <v>2</v>
      </c>
      <c r="I186" t="str" cm="1">
        <f t="array" ref="I186">_xlfn.IFS(H186&lt;1,"No",H186=1,"Yes",H186&gt;1,_xlfn.TEXTJOIN("",TRUE,"Yes x",H186))</f>
        <v>Yes x2</v>
      </c>
      <c r="J186" s="13">
        <f t="shared" si="13"/>
        <v>1</v>
      </c>
      <c r="K186" s="13">
        <f t="shared" si="11"/>
        <v>1</v>
      </c>
      <c r="L186" s="13" t="str" cm="1">
        <f t="array" ref="L186">_xlfn.IFS(J186&lt;1,"",J186=1,"Pass",J186&gt;1,_xlfn.TEXTJOIN("",TRUE,"Pass x",J186))</f>
        <v>Pass</v>
      </c>
      <c r="M186" s="13" t="str" cm="1">
        <f t="array" ref="M186">_xlfn.IFS(K186&lt;1,"",K186=1,"Fail",K186&gt;1,_xlfn.TEXTJOIN("",TRUE,"Fail x",K186))</f>
        <v>Fail</v>
      </c>
      <c r="N186" t="str">
        <f t="shared" si="14"/>
        <v>Pass, Fail</v>
      </c>
    </row>
    <row r="187" spans="8:14">
      <c r="H187" s="13">
        <f t="shared" si="12"/>
        <v>2</v>
      </c>
      <c r="I187" t="str" cm="1">
        <f t="array" ref="I187">_xlfn.IFS(H187&lt;1,"No",H187=1,"Yes",H187&gt;1,_xlfn.TEXTJOIN("",TRUE,"Yes x",H187))</f>
        <v>Yes x2</v>
      </c>
      <c r="J187" s="13">
        <f t="shared" si="13"/>
        <v>1</v>
      </c>
      <c r="K187" s="13">
        <f t="shared" si="11"/>
        <v>1</v>
      </c>
      <c r="L187" s="13" t="str" cm="1">
        <f t="array" ref="L187">_xlfn.IFS(J187&lt;1,"",J187=1,"Pass",J187&gt;1,_xlfn.TEXTJOIN("",TRUE,"Pass x",J187))</f>
        <v>Pass</v>
      </c>
      <c r="M187" s="13" t="str" cm="1">
        <f t="array" ref="M187">_xlfn.IFS(K187&lt;1,"",K187=1,"Fail",K187&gt;1,_xlfn.TEXTJOIN("",TRUE,"Fail x",K187))</f>
        <v>Fail</v>
      </c>
      <c r="N187" t="str">
        <f t="shared" si="14"/>
        <v>Pass, Fail</v>
      </c>
    </row>
    <row r="188" spans="8:14">
      <c r="H188" s="13">
        <f t="shared" si="12"/>
        <v>2</v>
      </c>
      <c r="I188" t="str" cm="1">
        <f t="array" ref="I188">_xlfn.IFS(H188&lt;1,"No",H188=1,"Yes",H188&gt;1,_xlfn.TEXTJOIN("",TRUE,"Yes x",H188))</f>
        <v>Yes x2</v>
      </c>
      <c r="J188" s="13">
        <f t="shared" si="13"/>
        <v>1</v>
      </c>
      <c r="K188" s="13">
        <f t="shared" si="11"/>
        <v>1</v>
      </c>
      <c r="L188" s="13" t="str" cm="1">
        <f t="array" ref="L188">_xlfn.IFS(J188&lt;1,"",J188=1,"Pass",J188&gt;1,_xlfn.TEXTJOIN("",TRUE,"Pass x",J188))</f>
        <v>Pass</v>
      </c>
      <c r="M188" s="13" t="str" cm="1">
        <f t="array" ref="M188">_xlfn.IFS(K188&lt;1,"",K188=1,"Fail",K188&gt;1,_xlfn.TEXTJOIN("",TRUE,"Fail x",K188))</f>
        <v>Fail</v>
      </c>
      <c r="N188" t="str">
        <f t="shared" si="14"/>
        <v>Pass, Fail</v>
      </c>
    </row>
    <row r="189" spans="8:14">
      <c r="H189" s="13">
        <f t="shared" si="12"/>
        <v>2</v>
      </c>
      <c r="I189" t="str" cm="1">
        <f t="array" ref="I189">_xlfn.IFS(H189&lt;1,"No",H189=1,"Yes",H189&gt;1,_xlfn.TEXTJOIN("",TRUE,"Yes x",H189))</f>
        <v>Yes x2</v>
      </c>
      <c r="J189" s="13">
        <f t="shared" si="13"/>
        <v>1</v>
      </c>
      <c r="K189" s="13">
        <f t="shared" si="11"/>
        <v>1</v>
      </c>
      <c r="L189" s="13" t="str" cm="1">
        <f t="array" ref="L189">_xlfn.IFS(J189&lt;1,"",J189=1,"Pass",J189&gt;1,_xlfn.TEXTJOIN("",TRUE,"Pass x",J189))</f>
        <v>Pass</v>
      </c>
      <c r="M189" s="13" t="str" cm="1">
        <f t="array" ref="M189">_xlfn.IFS(K189&lt;1,"",K189=1,"Fail",K189&gt;1,_xlfn.TEXTJOIN("",TRUE,"Fail x",K189))</f>
        <v>Fail</v>
      </c>
      <c r="N189" t="str">
        <f t="shared" si="14"/>
        <v>Pass, Fail</v>
      </c>
    </row>
    <row r="190" spans="8:14">
      <c r="H190" s="13">
        <f t="shared" si="12"/>
        <v>2</v>
      </c>
      <c r="I190" t="str" cm="1">
        <f t="array" ref="I190">_xlfn.IFS(H190&lt;1,"No",H190=1,"Yes",H190&gt;1,_xlfn.TEXTJOIN("",TRUE,"Yes x",H190))</f>
        <v>Yes x2</v>
      </c>
      <c r="J190" s="13">
        <f t="shared" si="13"/>
        <v>1</v>
      </c>
      <c r="K190" s="13">
        <f t="shared" si="11"/>
        <v>1</v>
      </c>
      <c r="L190" s="13" t="str" cm="1">
        <f t="array" ref="L190">_xlfn.IFS(J190&lt;1,"",J190=1,"Pass",J190&gt;1,_xlfn.TEXTJOIN("",TRUE,"Pass x",J190))</f>
        <v>Pass</v>
      </c>
      <c r="M190" s="13" t="str" cm="1">
        <f t="array" ref="M190">_xlfn.IFS(K190&lt;1,"",K190=1,"Fail",K190&gt;1,_xlfn.TEXTJOIN("",TRUE,"Fail x",K190))</f>
        <v>Fail</v>
      </c>
      <c r="N190" t="str">
        <f t="shared" si="14"/>
        <v>Pass, Fail</v>
      </c>
    </row>
    <row r="191" spans="8:14">
      <c r="H191" s="13">
        <f t="shared" si="12"/>
        <v>2</v>
      </c>
      <c r="I191" t="str" cm="1">
        <f t="array" ref="I191">_xlfn.IFS(H191&lt;1,"No",H191=1,"Yes",H191&gt;1,_xlfn.TEXTJOIN("",TRUE,"Yes x",H191))</f>
        <v>Yes x2</v>
      </c>
      <c r="J191" s="13">
        <f t="shared" si="13"/>
        <v>1</v>
      </c>
      <c r="K191" s="13">
        <f t="shared" si="11"/>
        <v>1</v>
      </c>
      <c r="L191" s="13" t="str" cm="1">
        <f t="array" ref="L191">_xlfn.IFS(J191&lt;1,"",J191=1,"Pass",J191&gt;1,_xlfn.TEXTJOIN("",TRUE,"Pass x",J191))</f>
        <v>Pass</v>
      </c>
      <c r="M191" s="13" t="str" cm="1">
        <f t="array" ref="M191">_xlfn.IFS(K191&lt;1,"",K191=1,"Fail",K191&gt;1,_xlfn.TEXTJOIN("",TRUE,"Fail x",K191))</f>
        <v>Fail</v>
      </c>
      <c r="N191" t="str">
        <f t="shared" si="14"/>
        <v>Pass, Fail</v>
      </c>
    </row>
    <row r="192" spans="8:14">
      <c r="H192" s="13">
        <f t="shared" si="12"/>
        <v>2</v>
      </c>
      <c r="I192" t="str" cm="1">
        <f t="array" ref="I192">_xlfn.IFS(H192&lt;1,"No",H192=1,"Yes",H192&gt;1,_xlfn.TEXTJOIN("",TRUE,"Yes x",H192))</f>
        <v>Yes x2</v>
      </c>
      <c r="J192" s="13">
        <f t="shared" si="13"/>
        <v>1</v>
      </c>
      <c r="K192" s="13">
        <f t="shared" si="11"/>
        <v>1</v>
      </c>
      <c r="L192" s="13" t="str" cm="1">
        <f t="array" ref="L192">_xlfn.IFS(J192&lt;1,"",J192=1,"Pass",J192&gt;1,_xlfn.TEXTJOIN("",TRUE,"Pass x",J192))</f>
        <v>Pass</v>
      </c>
      <c r="M192" s="13" t="str" cm="1">
        <f t="array" ref="M192">_xlfn.IFS(K192&lt;1,"",K192=1,"Fail",K192&gt;1,_xlfn.TEXTJOIN("",TRUE,"Fail x",K192))</f>
        <v>Fail</v>
      </c>
      <c r="N192" t="str">
        <f t="shared" si="14"/>
        <v>Pass, Fail</v>
      </c>
    </row>
    <row r="193" spans="8:14">
      <c r="H193" s="13">
        <f t="shared" si="12"/>
        <v>2</v>
      </c>
      <c r="I193" t="str" cm="1">
        <f t="array" ref="I193">_xlfn.IFS(H193&lt;1,"No",H193=1,"Yes",H193&gt;1,_xlfn.TEXTJOIN("",TRUE,"Yes x",H193))</f>
        <v>Yes x2</v>
      </c>
      <c r="J193" s="13">
        <f t="shared" si="13"/>
        <v>1</v>
      </c>
      <c r="K193" s="13">
        <f t="shared" si="11"/>
        <v>1</v>
      </c>
      <c r="L193" s="13" t="str" cm="1">
        <f t="array" ref="L193">_xlfn.IFS(J193&lt;1,"",J193=1,"Pass",J193&gt;1,_xlfn.TEXTJOIN("",TRUE,"Pass x",J193))</f>
        <v>Pass</v>
      </c>
      <c r="M193" s="13" t="str" cm="1">
        <f t="array" ref="M193">_xlfn.IFS(K193&lt;1,"",K193=1,"Fail",K193&gt;1,_xlfn.TEXTJOIN("",TRUE,"Fail x",K193))</f>
        <v>Fail</v>
      </c>
      <c r="N193" t="str">
        <f t="shared" si="14"/>
        <v>Pass, Fail</v>
      </c>
    </row>
    <row r="194" spans="8:14">
      <c r="H194" s="13">
        <f t="shared" si="12"/>
        <v>2</v>
      </c>
      <c r="I194" t="str" cm="1">
        <f t="array" ref="I194">_xlfn.IFS(H194&lt;1,"No",H194=1,"Yes",H194&gt;1,_xlfn.TEXTJOIN("",TRUE,"Yes x",H194))</f>
        <v>Yes x2</v>
      </c>
      <c r="J194" s="13">
        <f t="shared" si="13"/>
        <v>1</v>
      </c>
      <c r="K194" s="13">
        <f t="shared" si="11"/>
        <v>1</v>
      </c>
      <c r="L194" s="13" t="str" cm="1">
        <f t="array" ref="L194">_xlfn.IFS(J194&lt;1,"",J194=1,"Pass",J194&gt;1,_xlfn.TEXTJOIN("",TRUE,"Pass x",J194))</f>
        <v>Pass</v>
      </c>
      <c r="M194" s="13" t="str" cm="1">
        <f t="array" ref="M194">_xlfn.IFS(K194&lt;1,"",K194=1,"Fail",K194&gt;1,_xlfn.TEXTJOIN("",TRUE,"Fail x",K194))</f>
        <v>Fail</v>
      </c>
      <c r="N194" t="str">
        <f t="shared" si="14"/>
        <v>Pass, Fail</v>
      </c>
    </row>
    <row r="195" spans="8:14">
      <c r="H195" s="13">
        <f t="shared" si="12"/>
        <v>2</v>
      </c>
      <c r="I195" t="str" cm="1">
        <f t="array" ref="I195">_xlfn.IFS(H195&lt;1,"No",H195=1,"Yes",H195&gt;1,_xlfn.TEXTJOIN("",TRUE,"Yes x",H195))</f>
        <v>Yes x2</v>
      </c>
      <c r="J195" s="13">
        <f t="shared" si="13"/>
        <v>1</v>
      </c>
      <c r="K195" s="13">
        <f t="shared" ref="K195:K258" si="15">IFERROR(GETPIVOTDATA("Successful / Failed",$A$1,"System serial",G195,"Successful / Failed","Failed"),0)</f>
        <v>1</v>
      </c>
      <c r="L195" s="13" t="str" cm="1">
        <f t="array" ref="L195">_xlfn.IFS(J195&lt;1,"",J195=1,"Pass",J195&gt;1,_xlfn.TEXTJOIN("",TRUE,"Pass x",J195))</f>
        <v>Pass</v>
      </c>
      <c r="M195" s="13" t="str" cm="1">
        <f t="array" ref="M195">_xlfn.IFS(K195&lt;1,"",K195=1,"Fail",K195&gt;1,_xlfn.TEXTJOIN("",TRUE,"Fail x",K195))</f>
        <v>Fail</v>
      </c>
      <c r="N195" t="str">
        <f t="shared" si="14"/>
        <v>Pass, Fail</v>
      </c>
    </row>
    <row r="196" spans="8:14">
      <c r="H196" s="13">
        <f t="shared" si="12"/>
        <v>2</v>
      </c>
      <c r="I196" t="str" cm="1">
        <f t="array" ref="I196">_xlfn.IFS(H196&lt;1,"No",H196=1,"Yes",H196&gt;1,_xlfn.TEXTJOIN("",TRUE,"Yes x",H196))</f>
        <v>Yes x2</v>
      </c>
      <c r="J196" s="13">
        <f t="shared" si="13"/>
        <v>1</v>
      </c>
      <c r="K196" s="13">
        <f t="shared" si="15"/>
        <v>1</v>
      </c>
      <c r="L196" s="13" t="str" cm="1">
        <f t="array" ref="L196">_xlfn.IFS(J196&lt;1,"",J196=1,"Pass",J196&gt;1,_xlfn.TEXTJOIN("",TRUE,"Pass x",J196))</f>
        <v>Pass</v>
      </c>
      <c r="M196" s="13" t="str" cm="1">
        <f t="array" ref="M196">_xlfn.IFS(K196&lt;1,"",K196=1,"Fail",K196&gt;1,_xlfn.TEXTJOIN("",TRUE,"Fail x",K196))</f>
        <v>Fail</v>
      </c>
      <c r="N196" t="str">
        <f t="shared" si="14"/>
        <v>Pass, Fail</v>
      </c>
    </row>
    <row r="197" spans="8:14">
      <c r="H197" s="13">
        <f t="shared" si="12"/>
        <v>2</v>
      </c>
      <c r="I197" t="str" cm="1">
        <f t="array" ref="I197">_xlfn.IFS(H197&lt;1,"No",H197=1,"Yes",H197&gt;1,_xlfn.TEXTJOIN("",TRUE,"Yes x",H197))</f>
        <v>Yes x2</v>
      </c>
      <c r="J197" s="13">
        <f t="shared" si="13"/>
        <v>1</v>
      </c>
      <c r="K197" s="13">
        <f t="shared" si="15"/>
        <v>1</v>
      </c>
      <c r="L197" s="13" t="str" cm="1">
        <f t="array" ref="L197">_xlfn.IFS(J197&lt;1,"",J197=1,"Pass",J197&gt;1,_xlfn.TEXTJOIN("",TRUE,"Pass x",J197))</f>
        <v>Pass</v>
      </c>
      <c r="M197" s="13" t="str" cm="1">
        <f t="array" ref="M197">_xlfn.IFS(K197&lt;1,"",K197=1,"Fail",K197&gt;1,_xlfn.TEXTJOIN("",TRUE,"Fail x",K197))</f>
        <v>Fail</v>
      </c>
      <c r="N197" t="str">
        <f t="shared" si="14"/>
        <v>Pass, Fail</v>
      </c>
    </row>
    <row r="198" spans="8:14">
      <c r="H198" s="13">
        <f t="shared" si="12"/>
        <v>2</v>
      </c>
      <c r="I198" t="str" cm="1">
        <f t="array" ref="I198">_xlfn.IFS(H198&lt;1,"No",H198=1,"Yes",H198&gt;1,_xlfn.TEXTJOIN("",TRUE,"Yes x",H198))</f>
        <v>Yes x2</v>
      </c>
      <c r="J198" s="13">
        <f t="shared" si="13"/>
        <v>1</v>
      </c>
      <c r="K198" s="13">
        <f t="shared" si="15"/>
        <v>1</v>
      </c>
      <c r="L198" s="13" t="str" cm="1">
        <f t="array" ref="L198">_xlfn.IFS(J198&lt;1,"",J198=1,"Pass",J198&gt;1,_xlfn.TEXTJOIN("",TRUE,"Pass x",J198))</f>
        <v>Pass</v>
      </c>
      <c r="M198" s="13" t="str" cm="1">
        <f t="array" ref="M198">_xlfn.IFS(K198&lt;1,"",K198=1,"Fail",K198&gt;1,_xlfn.TEXTJOIN("",TRUE,"Fail x",K198))</f>
        <v>Fail</v>
      </c>
      <c r="N198" t="str">
        <f t="shared" si="14"/>
        <v>Pass, Fail</v>
      </c>
    </row>
    <row r="199" spans="8:14">
      <c r="H199" s="13">
        <f t="shared" si="12"/>
        <v>2</v>
      </c>
      <c r="I199" t="str" cm="1">
        <f t="array" ref="I199">_xlfn.IFS(H199&lt;1,"No",H199=1,"Yes",H199&gt;1,_xlfn.TEXTJOIN("",TRUE,"Yes x",H199))</f>
        <v>Yes x2</v>
      </c>
      <c r="J199" s="13">
        <f t="shared" si="13"/>
        <v>1</v>
      </c>
      <c r="K199" s="13">
        <f t="shared" si="15"/>
        <v>1</v>
      </c>
      <c r="L199" s="13" t="str" cm="1">
        <f t="array" ref="L199">_xlfn.IFS(J199&lt;1,"",J199=1,"Pass",J199&gt;1,_xlfn.TEXTJOIN("",TRUE,"Pass x",J199))</f>
        <v>Pass</v>
      </c>
      <c r="M199" s="13" t="str" cm="1">
        <f t="array" ref="M199">_xlfn.IFS(K199&lt;1,"",K199=1,"Fail",K199&gt;1,_xlfn.TEXTJOIN("",TRUE,"Fail x",K199))</f>
        <v>Fail</v>
      </c>
      <c r="N199" t="str">
        <f t="shared" si="14"/>
        <v>Pass, Fail</v>
      </c>
    </row>
    <row r="200" spans="8:14">
      <c r="H200" s="13">
        <f t="shared" si="12"/>
        <v>2</v>
      </c>
      <c r="I200" t="str" cm="1">
        <f t="array" ref="I200">_xlfn.IFS(H200&lt;1,"No",H200=1,"Yes",H200&gt;1,_xlfn.TEXTJOIN("",TRUE,"Yes x",H200))</f>
        <v>Yes x2</v>
      </c>
      <c r="J200" s="13">
        <f t="shared" si="13"/>
        <v>1</v>
      </c>
      <c r="K200" s="13">
        <f t="shared" si="15"/>
        <v>1</v>
      </c>
      <c r="L200" s="13" t="str" cm="1">
        <f t="array" ref="L200">_xlfn.IFS(J200&lt;1,"",J200=1,"Pass",J200&gt;1,_xlfn.TEXTJOIN("",TRUE,"Pass x",J200))</f>
        <v>Pass</v>
      </c>
      <c r="M200" s="13" t="str" cm="1">
        <f t="array" ref="M200">_xlfn.IFS(K200&lt;1,"",K200=1,"Fail",K200&gt;1,_xlfn.TEXTJOIN("",TRUE,"Fail x",K200))</f>
        <v>Fail</v>
      </c>
      <c r="N200" t="str">
        <f t="shared" si="14"/>
        <v>Pass, Fail</v>
      </c>
    </row>
    <row r="201" spans="8:14">
      <c r="H201" s="13">
        <f t="shared" si="12"/>
        <v>2</v>
      </c>
      <c r="I201" t="str" cm="1">
        <f t="array" ref="I201">_xlfn.IFS(H201&lt;1,"No",H201=1,"Yes",H201&gt;1,_xlfn.TEXTJOIN("",TRUE,"Yes x",H201))</f>
        <v>Yes x2</v>
      </c>
      <c r="J201" s="13">
        <f t="shared" si="13"/>
        <v>1</v>
      </c>
      <c r="K201" s="13">
        <f t="shared" si="15"/>
        <v>1</v>
      </c>
      <c r="L201" s="13" t="str" cm="1">
        <f t="array" ref="L201">_xlfn.IFS(J201&lt;1,"",J201=1,"Pass",J201&gt;1,_xlfn.TEXTJOIN("",TRUE,"Pass x",J201))</f>
        <v>Pass</v>
      </c>
      <c r="M201" s="13" t="str" cm="1">
        <f t="array" ref="M201">_xlfn.IFS(K201&lt;1,"",K201=1,"Fail",K201&gt;1,_xlfn.TEXTJOIN("",TRUE,"Fail x",K201))</f>
        <v>Fail</v>
      </c>
      <c r="N201" t="str">
        <f t="shared" si="14"/>
        <v>Pass, Fail</v>
      </c>
    </row>
    <row r="202" spans="8:14">
      <c r="H202" s="13">
        <f t="shared" si="12"/>
        <v>2</v>
      </c>
      <c r="I202" t="str" cm="1">
        <f t="array" ref="I202">_xlfn.IFS(H202&lt;1,"No",H202=1,"Yes",H202&gt;1,_xlfn.TEXTJOIN("",TRUE,"Yes x",H202))</f>
        <v>Yes x2</v>
      </c>
      <c r="J202" s="13">
        <f t="shared" si="13"/>
        <v>1</v>
      </c>
      <c r="K202" s="13">
        <f t="shared" si="15"/>
        <v>1</v>
      </c>
      <c r="L202" s="13" t="str" cm="1">
        <f t="array" ref="L202">_xlfn.IFS(J202&lt;1,"",J202=1,"Pass",J202&gt;1,_xlfn.TEXTJOIN("",TRUE,"Pass x",J202))</f>
        <v>Pass</v>
      </c>
      <c r="M202" s="13" t="str" cm="1">
        <f t="array" ref="M202">_xlfn.IFS(K202&lt;1,"",K202=1,"Fail",K202&gt;1,_xlfn.TEXTJOIN("",TRUE,"Fail x",K202))</f>
        <v>Fail</v>
      </c>
      <c r="N202" t="str">
        <f t="shared" si="14"/>
        <v>Pass, Fail</v>
      </c>
    </row>
    <row r="203" spans="8:14">
      <c r="H203" s="13">
        <f t="shared" si="12"/>
        <v>2</v>
      </c>
      <c r="I203" t="str" cm="1">
        <f t="array" ref="I203">_xlfn.IFS(H203&lt;1,"No",H203=1,"Yes",H203&gt;1,_xlfn.TEXTJOIN("",TRUE,"Yes x",H203))</f>
        <v>Yes x2</v>
      </c>
      <c r="J203" s="13">
        <f t="shared" si="13"/>
        <v>1</v>
      </c>
      <c r="K203" s="13">
        <f t="shared" si="15"/>
        <v>1</v>
      </c>
      <c r="L203" s="13" t="str" cm="1">
        <f t="array" ref="L203">_xlfn.IFS(J203&lt;1,"",J203=1,"Pass",J203&gt;1,_xlfn.TEXTJOIN("",TRUE,"Pass x",J203))</f>
        <v>Pass</v>
      </c>
      <c r="M203" s="13" t="str" cm="1">
        <f t="array" ref="M203">_xlfn.IFS(K203&lt;1,"",K203=1,"Fail",K203&gt;1,_xlfn.TEXTJOIN("",TRUE,"Fail x",K203))</f>
        <v>Fail</v>
      </c>
      <c r="N203" t="str">
        <f t="shared" si="14"/>
        <v>Pass, Fail</v>
      </c>
    </row>
    <row r="204" spans="8:14">
      <c r="H204" s="13">
        <f t="shared" si="12"/>
        <v>2</v>
      </c>
      <c r="I204" t="str" cm="1">
        <f t="array" ref="I204">_xlfn.IFS(H204&lt;1,"No",H204=1,"Yes",H204&gt;1,_xlfn.TEXTJOIN("",TRUE,"Yes x",H204))</f>
        <v>Yes x2</v>
      </c>
      <c r="J204" s="13">
        <f t="shared" si="13"/>
        <v>1</v>
      </c>
      <c r="K204" s="13">
        <f t="shared" si="15"/>
        <v>1</v>
      </c>
      <c r="L204" s="13" t="str" cm="1">
        <f t="array" ref="L204">_xlfn.IFS(J204&lt;1,"",J204=1,"Pass",J204&gt;1,_xlfn.TEXTJOIN("",TRUE,"Pass x",J204))</f>
        <v>Pass</v>
      </c>
      <c r="M204" s="13" t="str" cm="1">
        <f t="array" ref="M204">_xlfn.IFS(K204&lt;1,"",K204=1,"Fail",K204&gt;1,_xlfn.TEXTJOIN("",TRUE,"Fail x",K204))</f>
        <v>Fail</v>
      </c>
      <c r="N204" t="str">
        <f t="shared" si="14"/>
        <v>Pass, Fail</v>
      </c>
    </row>
    <row r="205" spans="8:14">
      <c r="H205" s="13">
        <f t="shared" si="12"/>
        <v>2</v>
      </c>
      <c r="I205" t="str" cm="1">
        <f t="array" ref="I205">_xlfn.IFS(H205&lt;1,"No",H205=1,"Yes",H205&gt;1,_xlfn.TEXTJOIN("",TRUE,"Yes x",H205))</f>
        <v>Yes x2</v>
      </c>
      <c r="J205" s="13">
        <f t="shared" si="13"/>
        <v>1</v>
      </c>
      <c r="K205" s="13">
        <f t="shared" si="15"/>
        <v>1</v>
      </c>
      <c r="L205" s="13" t="str" cm="1">
        <f t="array" ref="L205">_xlfn.IFS(J205&lt;1,"",J205=1,"Pass",J205&gt;1,_xlfn.TEXTJOIN("",TRUE,"Pass x",J205))</f>
        <v>Pass</v>
      </c>
      <c r="M205" s="13" t="str" cm="1">
        <f t="array" ref="M205">_xlfn.IFS(K205&lt;1,"",K205=1,"Fail",K205&gt;1,_xlfn.TEXTJOIN("",TRUE,"Fail x",K205))</f>
        <v>Fail</v>
      </c>
      <c r="N205" t="str">
        <f t="shared" si="14"/>
        <v>Pass, Fail</v>
      </c>
    </row>
    <row r="206" spans="8:14">
      <c r="H206" s="13">
        <f t="shared" si="12"/>
        <v>2</v>
      </c>
      <c r="I206" t="str" cm="1">
        <f t="array" ref="I206">_xlfn.IFS(H206&lt;1,"No",H206=1,"Yes",H206&gt;1,_xlfn.TEXTJOIN("",TRUE,"Yes x",H206))</f>
        <v>Yes x2</v>
      </c>
      <c r="J206" s="13">
        <f t="shared" si="13"/>
        <v>1</v>
      </c>
      <c r="K206" s="13">
        <f t="shared" si="15"/>
        <v>1</v>
      </c>
      <c r="L206" s="13" t="str" cm="1">
        <f t="array" ref="L206">_xlfn.IFS(J206&lt;1,"",J206=1,"Pass",J206&gt;1,_xlfn.TEXTJOIN("",TRUE,"Pass x",J206))</f>
        <v>Pass</v>
      </c>
      <c r="M206" s="13" t="str" cm="1">
        <f t="array" ref="M206">_xlfn.IFS(K206&lt;1,"",K206=1,"Fail",K206&gt;1,_xlfn.TEXTJOIN("",TRUE,"Fail x",K206))</f>
        <v>Fail</v>
      </c>
      <c r="N206" t="str">
        <f t="shared" si="14"/>
        <v>Pass, Fail</v>
      </c>
    </row>
    <row r="207" spans="8:14">
      <c r="H207" s="13">
        <f t="shared" si="12"/>
        <v>2</v>
      </c>
      <c r="I207" t="str" cm="1">
        <f t="array" ref="I207">_xlfn.IFS(H207&lt;1,"No",H207=1,"Yes",H207&gt;1,_xlfn.TEXTJOIN("",TRUE,"Yes x",H207))</f>
        <v>Yes x2</v>
      </c>
      <c r="J207" s="13">
        <f t="shared" si="13"/>
        <v>1</v>
      </c>
      <c r="K207" s="13">
        <f t="shared" si="15"/>
        <v>1</v>
      </c>
      <c r="L207" s="13" t="str" cm="1">
        <f t="array" ref="L207">_xlfn.IFS(J207&lt;1,"",J207=1,"Pass",J207&gt;1,_xlfn.TEXTJOIN("",TRUE,"Pass x",J207))</f>
        <v>Pass</v>
      </c>
      <c r="M207" s="13" t="str" cm="1">
        <f t="array" ref="M207">_xlfn.IFS(K207&lt;1,"",K207=1,"Fail",K207&gt;1,_xlfn.TEXTJOIN("",TRUE,"Fail x",K207))</f>
        <v>Fail</v>
      </c>
      <c r="N207" t="str">
        <f t="shared" si="14"/>
        <v>Pass, Fail</v>
      </c>
    </row>
    <row r="208" spans="8:14">
      <c r="H208" s="13">
        <f t="shared" si="12"/>
        <v>2</v>
      </c>
      <c r="I208" t="str" cm="1">
        <f t="array" ref="I208">_xlfn.IFS(H208&lt;1,"No",H208=1,"Yes",H208&gt;1,_xlfn.TEXTJOIN("",TRUE,"Yes x",H208))</f>
        <v>Yes x2</v>
      </c>
      <c r="J208" s="13">
        <f t="shared" si="13"/>
        <v>1</v>
      </c>
      <c r="K208" s="13">
        <f t="shared" si="15"/>
        <v>1</v>
      </c>
      <c r="L208" s="13" t="str" cm="1">
        <f t="array" ref="L208">_xlfn.IFS(J208&lt;1,"",J208=1,"Pass",J208&gt;1,_xlfn.TEXTJOIN("",TRUE,"Pass x",J208))</f>
        <v>Pass</v>
      </c>
      <c r="M208" s="13" t="str" cm="1">
        <f t="array" ref="M208">_xlfn.IFS(K208&lt;1,"",K208=1,"Fail",K208&gt;1,_xlfn.TEXTJOIN("",TRUE,"Fail x",K208))</f>
        <v>Fail</v>
      </c>
      <c r="N208" t="str">
        <f t="shared" si="14"/>
        <v>Pass, Fail</v>
      </c>
    </row>
    <row r="209" spans="8:14">
      <c r="H209" s="13">
        <f t="shared" si="12"/>
        <v>2</v>
      </c>
      <c r="I209" t="str" cm="1">
        <f t="array" ref="I209">_xlfn.IFS(H209&lt;1,"No",H209=1,"Yes",H209&gt;1,_xlfn.TEXTJOIN("",TRUE,"Yes x",H209))</f>
        <v>Yes x2</v>
      </c>
      <c r="J209" s="13">
        <f t="shared" si="13"/>
        <v>1</v>
      </c>
      <c r="K209" s="13">
        <f t="shared" si="15"/>
        <v>1</v>
      </c>
      <c r="L209" s="13" t="str" cm="1">
        <f t="array" ref="L209">_xlfn.IFS(J209&lt;1,"",J209=1,"Pass",J209&gt;1,_xlfn.TEXTJOIN("",TRUE,"Pass x",J209))</f>
        <v>Pass</v>
      </c>
      <c r="M209" s="13" t="str" cm="1">
        <f t="array" ref="M209">_xlfn.IFS(K209&lt;1,"",K209=1,"Fail",K209&gt;1,_xlfn.TEXTJOIN("",TRUE,"Fail x",K209))</f>
        <v>Fail</v>
      </c>
      <c r="N209" t="str">
        <f t="shared" si="14"/>
        <v>Pass, Fail</v>
      </c>
    </row>
    <row r="210" spans="8:14">
      <c r="H210" s="13">
        <f t="shared" si="12"/>
        <v>2</v>
      </c>
      <c r="I210" t="str" cm="1">
        <f t="array" ref="I210">_xlfn.IFS(H210&lt;1,"No",H210=1,"Yes",H210&gt;1,_xlfn.TEXTJOIN("",TRUE,"Yes x",H210))</f>
        <v>Yes x2</v>
      </c>
      <c r="J210" s="13">
        <f t="shared" si="13"/>
        <v>1</v>
      </c>
      <c r="K210" s="13">
        <f t="shared" si="15"/>
        <v>1</v>
      </c>
      <c r="L210" s="13" t="str" cm="1">
        <f t="array" ref="L210">_xlfn.IFS(J210&lt;1,"",J210=1,"Pass",J210&gt;1,_xlfn.TEXTJOIN("",TRUE,"Pass x",J210))</f>
        <v>Pass</v>
      </c>
      <c r="M210" s="13" t="str" cm="1">
        <f t="array" ref="M210">_xlfn.IFS(K210&lt;1,"",K210=1,"Fail",K210&gt;1,_xlfn.TEXTJOIN("",TRUE,"Fail x",K210))</f>
        <v>Fail</v>
      </c>
      <c r="N210" t="str">
        <f t="shared" si="14"/>
        <v>Pass, Fail</v>
      </c>
    </row>
    <row r="211" spans="8:14">
      <c r="H211" s="13">
        <f t="shared" si="12"/>
        <v>2</v>
      </c>
      <c r="I211" t="str" cm="1">
        <f t="array" ref="I211">_xlfn.IFS(H211&lt;1,"No",H211=1,"Yes",H211&gt;1,_xlfn.TEXTJOIN("",TRUE,"Yes x",H211))</f>
        <v>Yes x2</v>
      </c>
      <c r="J211" s="13">
        <f t="shared" si="13"/>
        <v>1</v>
      </c>
      <c r="K211" s="13">
        <f t="shared" si="15"/>
        <v>1</v>
      </c>
      <c r="L211" s="13" t="str" cm="1">
        <f t="array" ref="L211">_xlfn.IFS(J211&lt;1,"",J211=1,"Pass",J211&gt;1,_xlfn.TEXTJOIN("",TRUE,"Pass x",J211))</f>
        <v>Pass</v>
      </c>
      <c r="M211" s="13" t="str" cm="1">
        <f t="array" ref="M211">_xlfn.IFS(K211&lt;1,"",K211=1,"Fail",K211&gt;1,_xlfn.TEXTJOIN("",TRUE,"Fail x",K211))</f>
        <v>Fail</v>
      </c>
      <c r="N211" t="str">
        <f t="shared" si="14"/>
        <v>Pass, Fail</v>
      </c>
    </row>
    <row r="212" spans="8:14">
      <c r="H212" s="13">
        <f t="shared" si="12"/>
        <v>2</v>
      </c>
      <c r="I212" t="str" cm="1">
        <f t="array" ref="I212">_xlfn.IFS(H212&lt;1,"No",H212=1,"Yes",H212&gt;1,_xlfn.TEXTJOIN("",TRUE,"Yes x",H212))</f>
        <v>Yes x2</v>
      </c>
      <c r="J212" s="13">
        <f t="shared" si="13"/>
        <v>1</v>
      </c>
      <c r="K212" s="13">
        <f t="shared" si="15"/>
        <v>1</v>
      </c>
      <c r="L212" s="13" t="str" cm="1">
        <f t="array" ref="L212">_xlfn.IFS(J212&lt;1,"",J212=1,"Pass",J212&gt;1,_xlfn.TEXTJOIN("",TRUE,"Pass x",J212))</f>
        <v>Pass</v>
      </c>
      <c r="M212" s="13" t="str" cm="1">
        <f t="array" ref="M212">_xlfn.IFS(K212&lt;1,"",K212=1,"Fail",K212&gt;1,_xlfn.TEXTJOIN("",TRUE,"Fail x",K212))</f>
        <v>Fail</v>
      </c>
      <c r="N212" t="str">
        <f t="shared" si="14"/>
        <v>Pass, Fail</v>
      </c>
    </row>
    <row r="213" spans="8:14">
      <c r="H213" s="13">
        <f t="shared" si="12"/>
        <v>2</v>
      </c>
      <c r="I213" t="str" cm="1">
        <f t="array" ref="I213">_xlfn.IFS(H213&lt;1,"No",H213=1,"Yes",H213&gt;1,_xlfn.TEXTJOIN("",TRUE,"Yes x",H213))</f>
        <v>Yes x2</v>
      </c>
      <c r="J213" s="13">
        <f t="shared" si="13"/>
        <v>1</v>
      </c>
      <c r="K213" s="13">
        <f t="shared" si="15"/>
        <v>1</v>
      </c>
      <c r="L213" s="13" t="str" cm="1">
        <f t="array" ref="L213">_xlfn.IFS(J213&lt;1,"",J213=1,"Pass",J213&gt;1,_xlfn.TEXTJOIN("",TRUE,"Pass x",J213))</f>
        <v>Pass</v>
      </c>
      <c r="M213" s="13" t="str" cm="1">
        <f t="array" ref="M213">_xlfn.IFS(K213&lt;1,"",K213=1,"Fail",K213&gt;1,_xlfn.TEXTJOIN("",TRUE,"Fail x",K213))</f>
        <v>Fail</v>
      </c>
      <c r="N213" t="str">
        <f t="shared" si="14"/>
        <v>Pass, Fail</v>
      </c>
    </row>
    <row r="214" spans="8:14">
      <c r="H214" s="13">
        <f t="shared" si="12"/>
        <v>2</v>
      </c>
      <c r="I214" t="str" cm="1">
        <f t="array" ref="I214">_xlfn.IFS(H214&lt;1,"No",H214=1,"Yes",H214&gt;1,_xlfn.TEXTJOIN("",TRUE,"Yes x",H214))</f>
        <v>Yes x2</v>
      </c>
      <c r="J214" s="13">
        <f t="shared" si="13"/>
        <v>1</v>
      </c>
      <c r="K214" s="13">
        <f t="shared" si="15"/>
        <v>1</v>
      </c>
      <c r="L214" s="13" t="str" cm="1">
        <f t="array" ref="L214">_xlfn.IFS(J214&lt;1,"",J214=1,"Pass",J214&gt;1,_xlfn.TEXTJOIN("",TRUE,"Pass x",J214))</f>
        <v>Pass</v>
      </c>
      <c r="M214" s="13" t="str" cm="1">
        <f t="array" ref="M214">_xlfn.IFS(K214&lt;1,"",K214=1,"Fail",K214&gt;1,_xlfn.TEXTJOIN("",TRUE,"Fail x",K214))</f>
        <v>Fail</v>
      </c>
      <c r="N214" t="str">
        <f t="shared" si="14"/>
        <v>Pass, Fail</v>
      </c>
    </row>
    <row r="215" spans="8:14">
      <c r="H215" s="13">
        <f t="shared" si="12"/>
        <v>2</v>
      </c>
      <c r="I215" t="str" cm="1">
        <f t="array" ref="I215">_xlfn.IFS(H215&lt;1,"No",H215=1,"Yes",H215&gt;1,_xlfn.TEXTJOIN("",TRUE,"Yes x",H215))</f>
        <v>Yes x2</v>
      </c>
      <c r="J215" s="13">
        <f t="shared" si="13"/>
        <v>1</v>
      </c>
      <c r="K215" s="13">
        <f t="shared" si="15"/>
        <v>1</v>
      </c>
      <c r="L215" s="13" t="str" cm="1">
        <f t="array" ref="L215">_xlfn.IFS(J215&lt;1,"",J215=1,"Pass",J215&gt;1,_xlfn.TEXTJOIN("",TRUE,"Pass x",J215))</f>
        <v>Pass</v>
      </c>
      <c r="M215" s="13" t="str" cm="1">
        <f t="array" ref="M215">_xlfn.IFS(K215&lt;1,"",K215=1,"Fail",K215&gt;1,_xlfn.TEXTJOIN("",TRUE,"Fail x",K215))</f>
        <v>Fail</v>
      </c>
      <c r="N215" t="str">
        <f t="shared" si="14"/>
        <v>Pass, Fail</v>
      </c>
    </row>
    <row r="216" spans="8:14">
      <c r="H216" s="13">
        <f t="shared" si="12"/>
        <v>2</v>
      </c>
      <c r="I216" t="str" cm="1">
        <f t="array" ref="I216">_xlfn.IFS(H216&lt;1,"No",H216=1,"Yes",H216&gt;1,_xlfn.TEXTJOIN("",TRUE,"Yes x",H216))</f>
        <v>Yes x2</v>
      </c>
      <c r="J216" s="13">
        <f t="shared" si="13"/>
        <v>1</v>
      </c>
      <c r="K216" s="13">
        <f t="shared" si="15"/>
        <v>1</v>
      </c>
      <c r="L216" s="13" t="str" cm="1">
        <f t="array" ref="L216">_xlfn.IFS(J216&lt;1,"",J216=1,"Pass",J216&gt;1,_xlfn.TEXTJOIN("",TRUE,"Pass x",J216))</f>
        <v>Pass</v>
      </c>
      <c r="M216" s="13" t="str" cm="1">
        <f t="array" ref="M216">_xlfn.IFS(K216&lt;1,"",K216=1,"Fail",K216&gt;1,_xlfn.TEXTJOIN("",TRUE,"Fail x",K216))</f>
        <v>Fail</v>
      </c>
      <c r="N216" t="str">
        <f t="shared" si="14"/>
        <v>Pass, Fail</v>
      </c>
    </row>
    <row r="217" spans="8:14">
      <c r="H217" s="13">
        <f t="shared" si="12"/>
        <v>2</v>
      </c>
      <c r="I217" t="str" cm="1">
        <f t="array" ref="I217">_xlfn.IFS(H217&lt;1,"No",H217=1,"Yes",H217&gt;1,_xlfn.TEXTJOIN("",TRUE,"Yes x",H217))</f>
        <v>Yes x2</v>
      </c>
      <c r="J217" s="13">
        <f t="shared" si="13"/>
        <v>1</v>
      </c>
      <c r="K217" s="13">
        <f t="shared" si="15"/>
        <v>1</v>
      </c>
      <c r="L217" s="13" t="str" cm="1">
        <f t="array" ref="L217">_xlfn.IFS(J217&lt;1,"",J217=1,"Pass",J217&gt;1,_xlfn.TEXTJOIN("",TRUE,"Pass x",J217))</f>
        <v>Pass</v>
      </c>
      <c r="M217" s="13" t="str" cm="1">
        <f t="array" ref="M217">_xlfn.IFS(K217&lt;1,"",K217=1,"Fail",K217&gt;1,_xlfn.TEXTJOIN("",TRUE,"Fail x",K217))</f>
        <v>Fail</v>
      </c>
      <c r="N217" t="str">
        <f t="shared" si="14"/>
        <v>Pass, Fail</v>
      </c>
    </row>
    <row r="218" spans="8:14">
      <c r="H218" s="13">
        <f t="shared" si="12"/>
        <v>2</v>
      </c>
      <c r="I218" t="str" cm="1">
        <f t="array" ref="I218">_xlfn.IFS(H218&lt;1,"No",H218=1,"Yes",H218&gt;1,_xlfn.TEXTJOIN("",TRUE,"Yes x",H218))</f>
        <v>Yes x2</v>
      </c>
      <c r="J218" s="13">
        <f t="shared" si="13"/>
        <v>1</v>
      </c>
      <c r="K218" s="13">
        <f t="shared" si="15"/>
        <v>1</v>
      </c>
      <c r="L218" s="13" t="str" cm="1">
        <f t="array" ref="L218">_xlfn.IFS(J218&lt;1,"",J218=1,"Pass",J218&gt;1,_xlfn.TEXTJOIN("",TRUE,"Pass x",J218))</f>
        <v>Pass</v>
      </c>
      <c r="M218" s="13" t="str" cm="1">
        <f t="array" ref="M218">_xlfn.IFS(K218&lt;1,"",K218=1,"Fail",K218&gt;1,_xlfn.TEXTJOIN("",TRUE,"Fail x",K218))</f>
        <v>Fail</v>
      </c>
      <c r="N218" t="str">
        <f t="shared" si="14"/>
        <v>Pass, Fail</v>
      </c>
    </row>
    <row r="219" spans="8:14">
      <c r="H219" s="13">
        <f t="shared" si="12"/>
        <v>2</v>
      </c>
      <c r="I219" t="str" cm="1">
        <f t="array" ref="I219">_xlfn.IFS(H219&lt;1,"No",H219=1,"Yes",H219&gt;1,_xlfn.TEXTJOIN("",TRUE,"Yes x",H219))</f>
        <v>Yes x2</v>
      </c>
      <c r="J219" s="13">
        <f t="shared" si="13"/>
        <v>1</v>
      </c>
      <c r="K219" s="13">
        <f t="shared" si="15"/>
        <v>1</v>
      </c>
      <c r="L219" s="13" t="str" cm="1">
        <f t="array" ref="L219">_xlfn.IFS(J219&lt;1,"",J219=1,"Pass",J219&gt;1,_xlfn.TEXTJOIN("",TRUE,"Pass x",J219))</f>
        <v>Pass</v>
      </c>
      <c r="M219" s="13" t="str" cm="1">
        <f t="array" ref="M219">_xlfn.IFS(K219&lt;1,"",K219=1,"Fail",K219&gt;1,_xlfn.TEXTJOIN("",TRUE,"Fail x",K219))</f>
        <v>Fail</v>
      </c>
      <c r="N219" t="str">
        <f t="shared" si="14"/>
        <v>Pass, Fail</v>
      </c>
    </row>
    <row r="220" spans="8:14">
      <c r="H220" s="13">
        <f t="shared" si="12"/>
        <v>2</v>
      </c>
      <c r="I220" t="str" cm="1">
        <f t="array" ref="I220">_xlfn.IFS(H220&lt;1,"No",H220=1,"Yes",H220&gt;1,_xlfn.TEXTJOIN("",TRUE,"Yes x",H220))</f>
        <v>Yes x2</v>
      </c>
      <c r="J220" s="13">
        <f t="shared" si="13"/>
        <v>1</v>
      </c>
      <c r="K220" s="13">
        <f t="shared" si="15"/>
        <v>1</v>
      </c>
      <c r="L220" s="13" t="str" cm="1">
        <f t="array" ref="L220">_xlfn.IFS(J220&lt;1,"",J220=1,"Pass",J220&gt;1,_xlfn.TEXTJOIN("",TRUE,"Pass x",J220))</f>
        <v>Pass</v>
      </c>
      <c r="M220" s="13" t="str" cm="1">
        <f t="array" ref="M220">_xlfn.IFS(K220&lt;1,"",K220=1,"Fail",K220&gt;1,_xlfn.TEXTJOIN("",TRUE,"Fail x",K220))</f>
        <v>Fail</v>
      </c>
      <c r="N220" t="str">
        <f t="shared" si="14"/>
        <v>Pass, Fail</v>
      </c>
    </row>
    <row r="221" spans="8:14">
      <c r="H221" s="13">
        <f t="shared" si="12"/>
        <v>2</v>
      </c>
      <c r="I221" t="str" cm="1">
        <f t="array" ref="I221">_xlfn.IFS(H221&lt;1,"No",H221=1,"Yes",H221&gt;1,_xlfn.TEXTJOIN("",TRUE,"Yes x",H221))</f>
        <v>Yes x2</v>
      </c>
      <c r="J221" s="13">
        <f t="shared" si="13"/>
        <v>1</v>
      </c>
      <c r="K221" s="13">
        <f t="shared" si="15"/>
        <v>1</v>
      </c>
      <c r="L221" s="13" t="str" cm="1">
        <f t="array" ref="L221">_xlfn.IFS(J221&lt;1,"",J221=1,"Pass",J221&gt;1,_xlfn.TEXTJOIN("",TRUE,"Pass x",J221))</f>
        <v>Pass</v>
      </c>
      <c r="M221" s="13" t="str" cm="1">
        <f t="array" ref="M221">_xlfn.IFS(K221&lt;1,"",K221=1,"Fail",K221&gt;1,_xlfn.TEXTJOIN("",TRUE,"Fail x",K221))</f>
        <v>Fail</v>
      </c>
      <c r="N221" t="str">
        <f t="shared" si="14"/>
        <v>Pass, Fail</v>
      </c>
    </row>
    <row r="222" spans="8:14">
      <c r="H222" s="13">
        <f t="shared" si="12"/>
        <v>2</v>
      </c>
      <c r="I222" t="str" cm="1">
        <f t="array" ref="I222">_xlfn.IFS(H222&lt;1,"No",H222=1,"Yes",H222&gt;1,_xlfn.TEXTJOIN("",TRUE,"Yes x",H222))</f>
        <v>Yes x2</v>
      </c>
      <c r="J222" s="13">
        <f t="shared" si="13"/>
        <v>1</v>
      </c>
      <c r="K222" s="13">
        <f t="shared" si="15"/>
        <v>1</v>
      </c>
      <c r="L222" s="13" t="str" cm="1">
        <f t="array" ref="L222">_xlfn.IFS(J222&lt;1,"",J222=1,"Pass",J222&gt;1,_xlfn.TEXTJOIN("",TRUE,"Pass x",J222))</f>
        <v>Pass</v>
      </c>
      <c r="M222" s="13" t="str" cm="1">
        <f t="array" ref="M222">_xlfn.IFS(K222&lt;1,"",K222=1,"Fail",K222&gt;1,_xlfn.TEXTJOIN("",TRUE,"Fail x",K222))</f>
        <v>Fail</v>
      </c>
      <c r="N222" t="str">
        <f t="shared" si="14"/>
        <v>Pass, Fail</v>
      </c>
    </row>
    <row r="223" spans="8:14">
      <c r="H223" s="13">
        <f t="shared" si="12"/>
        <v>2</v>
      </c>
      <c r="I223" t="str" cm="1">
        <f t="array" ref="I223">_xlfn.IFS(H223&lt;1,"No",H223=1,"Yes",H223&gt;1,_xlfn.TEXTJOIN("",TRUE,"Yes x",H223))</f>
        <v>Yes x2</v>
      </c>
      <c r="J223" s="13">
        <f t="shared" si="13"/>
        <v>1</v>
      </c>
      <c r="K223" s="13">
        <f t="shared" si="15"/>
        <v>1</v>
      </c>
      <c r="L223" s="13" t="str" cm="1">
        <f t="array" ref="L223">_xlfn.IFS(J223&lt;1,"",J223=1,"Pass",J223&gt;1,_xlfn.TEXTJOIN("",TRUE,"Pass x",J223))</f>
        <v>Pass</v>
      </c>
      <c r="M223" s="13" t="str" cm="1">
        <f t="array" ref="M223">_xlfn.IFS(K223&lt;1,"",K223=1,"Fail",K223&gt;1,_xlfn.TEXTJOIN("",TRUE,"Fail x",K223))</f>
        <v>Fail</v>
      </c>
      <c r="N223" t="str">
        <f t="shared" si="14"/>
        <v>Pass, Fail</v>
      </c>
    </row>
    <row r="224" spans="8:14">
      <c r="H224" s="13">
        <f t="shared" si="12"/>
        <v>2</v>
      </c>
      <c r="I224" t="str" cm="1">
        <f t="array" ref="I224">_xlfn.IFS(H224&lt;1,"No",H224=1,"Yes",H224&gt;1,_xlfn.TEXTJOIN("",TRUE,"Yes x",H224))</f>
        <v>Yes x2</v>
      </c>
      <c r="J224" s="13">
        <f t="shared" si="13"/>
        <v>1</v>
      </c>
      <c r="K224" s="13">
        <f t="shared" si="15"/>
        <v>1</v>
      </c>
      <c r="L224" s="13" t="str" cm="1">
        <f t="array" ref="L224">_xlfn.IFS(J224&lt;1,"",J224=1,"Pass",J224&gt;1,_xlfn.TEXTJOIN("",TRUE,"Pass x",J224))</f>
        <v>Pass</v>
      </c>
      <c r="M224" s="13" t="str" cm="1">
        <f t="array" ref="M224">_xlfn.IFS(K224&lt;1,"",K224=1,"Fail",K224&gt;1,_xlfn.TEXTJOIN("",TRUE,"Fail x",K224))</f>
        <v>Fail</v>
      </c>
      <c r="N224" t="str">
        <f t="shared" si="14"/>
        <v>Pass, Fail</v>
      </c>
    </row>
    <row r="225" spans="8:14">
      <c r="H225" s="13">
        <f t="shared" si="12"/>
        <v>2</v>
      </c>
      <c r="I225" t="str" cm="1">
        <f t="array" ref="I225">_xlfn.IFS(H225&lt;1,"No",H225=1,"Yes",H225&gt;1,_xlfn.TEXTJOIN("",TRUE,"Yes x",H225))</f>
        <v>Yes x2</v>
      </c>
      <c r="J225" s="13">
        <f t="shared" si="13"/>
        <v>1</v>
      </c>
      <c r="K225" s="13">
        <f t="shared" si="15"/>
        <v>1</v>
      </c>
      <c r="L225" s="13" t="str" cm="1">
        <f t="array" ref="L225">_xlfn.IFS(J225&lt;1,"",J225=1,"Pass",J225&gt;1,_xlfn.TEXTJOIN("",TRUE,"Pass x",J225))</f>
        <v>Pass</v>
      </c>
      <c r="M225" s="13" t="str" cm="1">
        <f t="array" ref="M225">_xlfn.IFS(K225&lt;1,"",K225=1,"Fail",K225&gt;1,_xlfn.TEXTJOIN("",TRUE,"Fail x",K225))</f>
        <v>Fail</v>
      </c>
      <c r="N225" t="str">
        <f t="shared" si="14"/>
        <v>Pass, Fail</v>
      </c>
    </row>
    <row r="226" spans="8:14">
      <c r="H226" s="13">
        <f t="shared" si="12"/>
        <v>2</v>
      </c>
      <c r="I226" t="str" cm="1">
        <f t="array" ref="I226">_xlfn.IFS(H226&lt;1,"No",H226=1,"Yes",H226&gt;1,_xlfn.TEXTJOIN("",TRUE,"Yes x",H226))</f>
        <v>Yes x2</v>
      </c>
      <c r="J226" s="13">
        <f t="shared" si="13"/>
        <v>1</v>
      </c>
      <c r="K226" s="13">
        <f t="shared" si="15"/>
        <v>1</v>
      </c>
      <c r="L226" s="13" t="str" cm="1">
        <f t="array" ref="L226">_xlfn.IFS(J226&lt;1,"",J226=1,"Pass",J226&gt;1,_xlfn.TEXTJOIN("",TRUE,"Pass x",J226))</f>
        <v>Pass</v>
      </c>
      <c r="M226" s="13" t="str" cm="1">
        <f t="array" ref="M226">_xlfn.IFS(K226&lt;1,"",K226=1,"Fail",K226&gt;1,_xlfn.TEXTJOIN("",TRUE,"Fail x",K226))</f>
        <v>Fail</v>
      </c>
      <c r="N226" t="str">
        <f t="shared" si="14"/>
        <v>Pass, Fail</v>
      </c>
    </row>
    <row r="227" spans="8:14">
      <c r="H227" s="13">
        <f t="shared" si="12"/>
        <v>2</v>
      </c>
      <c r="I227" t="str" cm="1">
        <f t="array" ref="I227">_xlfn.IFS(H227&lt;1,"No",H227=1,"Yes",H227&gt;1,_xlfn.TEXTJOIN("",TRUE,"Yes x",H227))</f>
        <v>Yes x2</v>
      </c>
      <c r="J227" s="13">
        <f t="shared" si="13"/>
        <v>1</v>
      </c>
      <c r="K227" s="13">
        <f t="shared" si="15"/>
        <v>1</v>
      </c>
      <c r="L227" s="13" t="str" cm="1">
        <f t="array" ref="L227">_xlfn.IFS(J227&lt;1,"",J227=1,"Pass",J227&gt;1,_xlfn.TEXTJOIN("",TRUE,"Pass x",J227))</f>
        <v>Pass</v>
      </c>
      <c r="M227" s="13" t="str" cm="1">
        <f t="array" ref="M227">_xlfn.IFS(K227&lt;1,"",K227=1,"Fail",K227&gt;1,_xlfn.TEXTJOIN("",TRUE,"Fail x",K227))</f>
        <v>Fail</v>
      </c>
      <c r="N227" t="str">
        <f t="shared" si="14"/>
        <v>Pass, Fail</v>
      </c>
    </row>
    <row r="228" spans="8:14">
      <c r="H228" s="13">
        <f t="shared" ref="H228:H291" si="16">IFERROR(GETPIVOTDATA("Successful / Failed",$A$1,"System serial",G228),0)</f>
        <v>2</v>
      </c>
      <c r="I228" t="str" cm="1">
        <f t="array" ref="I228">_xlfn.IFS(H228&lt;1,"No",H228=1,"Yes",H228&gt;1,_xlfn.TEXTJOIN("",TRUE,"Yes x",H228))</f>
        <v>Yes x2</v>
      </c>
      <c r="J228" s="13">
        <f t="shared" ref="J228:J291" si="17">IFERROR(GETPIVOTDATA("Successful / Failed",$A$1,"System serial",G228,"Successful / Failed","Successful"),0)</f>
        <v>1</v>
      </c>
      <c r="K228" s="13">
        <f t="shared" si="15"/>
        <v>1</v>
      </c>
      <c r="L228" s="13" t="str" cm="1">
        <f t="array" ref="L228">_xlfn.IFS(J228&lt;1,"",J228=1,"Pass",J228&gt;1,_xlfn.TEXTJOIN("",TRUE,"Pass x",J228))</f>
        <v>Pass</v>
      </c>
      <c r="M228" s="13" t="str" cm="1">
        <f t="array" ref="M228">_xlfn.IFS(K228&lt;1,"",K228=1,"Fail",K228&gt;1,_xlfn.TEXTJOIN("",TRUE,"Fail x",K228))</f>
        <v>Fail</v>
      </c>
      <c r="N228" t="str">
        <f t="shared" ref="N228:N291" si="18">_xlfn.TEXTJOIN(", ",TRUE, L228, M228)</f>
        <v>Pass, Fail</v>
      </c>
    </row>
    <row r="229" spans="8:14">
      <c r="H229" s="13">
        <f t="shared" si="16"/>
        <v>2</v>
      </c>
      <c r="I229" t="str" cm="1">
        <f t="array" ref="I229">_xlfn.IFS(H229&lt;1,"No",H229=1,"Yes",H229&gt;1,_xlfn.TEXTJOIN("",TRUE,"Yes x",H229))</f>
        <v>Yes x2</v>
      </c>
      <c r="J229" s="13">
        <f t="shared" si="17"/>
        <v>1</v>
      </c>
      <c r="K229" s="13">
        <f t="shared" si="15"/>
        <v>1</v>
      </c>
      <c r="L229" s="13" t="str" cm="1">
        <f t="array" ref="L229">_xlfn.IFS(J229&lt;1,"",J229=1,"Pass",J229&gt;1,_xlfn.TEXTJOIN("",TRUE,"Pass x",J229))</f>
        <v>Pass</v>
      </c>
      <c r="M229" s="13" t="str" cm="1">
        <f t="array" ref="M229">_xlfn.IFS(K229&lt;1,"",K229=1,"Fail",K229&gt;1,_xlfn.TEXTJOIN("",TRUE,"Fail x",K229))</f>
        <v>Fail</v>
      </c>
      <c r="N229" t="str">
        <f t="shared" si="18"/>
        <v>Pass, Fail</v>
      </c>
    </row>
    <row r="230" spans="8:14">
      <c r="H230" s="13">
        <f t="shared" si="16"/>
        <v>2</v>
      </c>
      <c r="I230" t="str" cm="1">
        <f t="array" ref="I230">_xlfn.IFS(H230&lt;1,"No",H230=1,"Yes",H230&gt;1,_xlfn.TEXTJOIN("",TRUE,"Yes x",H230))</f>
        <v>Yes x2</v>
      </c>
      <c r="J230" s="13">
        <f t="shared" si="17"/>
        <v>1</v>
      </c>
      <c r="K230" s="13">
        <f t="shared" si="15"/>
        <v>1</v>
      </c>
      <c r="L230" s="13" t="str" cm="1">
        <f t="array" ref="L230">_xlfn.IFS(J230&lt;1,"",J230=1,"Pass",J230&gt;1,_xlfn.TEXTJOIN("",TRUE,"Pass x",J230))</f>
        <v>Pass</v>
      </c>
      <c r="M230" s="13" t="str" cm="1">
        <f t="array" ref="M230">_xlfn.IFS(K230&lt;1,"",K230=1,"Fail",K230&gt;1,_xlfn.TEXTJOIN("",TRUE,"Fail x",K230))</f>
        <v>Fail</v>
      </c>
      <c r="N230" t="str">
        <f t="shared" si="18"/>
        <v>Pass, Fail</v>
      </c>
    </row>
    <row r="231" spans="8:14">
      <c r="H231" s="13">
        <f t="shared" si="16"/>
        <v>2</v>
      </c>
      <c r="I231" t="str" cm="1">
        <f t="array" ref="I231">_xlfn.IFS(H231&lt;1,"No",H231=1,"Yes",H231&gt;1,_xlfn.TEXTJOIN("",TRUE,"Yes x",H231))</f>
        <v>Yes x2</v>
      </c>
      <c r="J231" s="13">
        <f t="shared" si="17"/>
        <v>1</v>
      </c>
      <c r="K231" s="13">
        <f t="shared" si="15"/>
        <v>1</v>
      </c>
      <c r="L231" s="13" t="str" cm="1">
        <f t="array" ref="L231">_xlfn.IFS(J231&lt;1,"",J231=1,"Pass",J231&gt;1,_xlfn.TEXTJOIN("",TRUE,"Pass x",J231))</f>
        <v>Pass</v>
      </c>
      <c r="M231" s="13" t="str" cm="1">
        <f t="array" ref="M231">_xlfn.IFS(K231&lt;1,"",K231=1,"Fail",K231&gt;1,_xlfn.TEXTJOIN("",TRUE,"Fail x",K231))</f>
        <v>Fail</v>
      </c>
      <c r="N231" t="str">
        <f t="shared" si="18"/>
        <v>Pass, Fail</v>
      </c>
    </row>
    <row r="232" spans="8:14">
      <c r="H232" s="13">
        <f t="shared" si="16"/>
        <v>2</v>
      </c>
      <c r="I232" t="str" cm="1">
        <f t="array" ref="I232">_xlfn.IFS(H232&lt;1,"No",H232=1,"Yes",H232&gt;1,_xlfn.TEXTJOIN("",TRUE,"Yes x",H232))</f>
        <v>Yes x2</v>
      </c>
      <c r="J232" s="13">
        <f t="shared" si="17"/>
        <v>1</v>
      </c>
      <c r="K232" s="13">
        <f t="shared" si="15"/>
        <v>1</v>
      </c>
      <c r="L232" s="13" t="str" cm="1">
        <f t="array" ref="L232">_xlfn.IFS(J232&lt;1,"",J232=1,"Pass",J232&gt;1,_xlfn.TEXTJOIN("",TRUE,"Pass x",J232))</f>
        <v>Pass</v>
      </c>
      <c r="M232" s="13" t="str" cm="1">
        <f t="array" ref="M232">_xlfn.IFS(K232&lt;1,"",K232=1,"Fail",K232&gt;1,_xlfn.TEXTJOIN("",TRUE,"Fail x",K232))</f>
        <v>Fail</v>
      </c>
      <c r="N232" t="str">
        <f t="shared" si="18"/>
        <v>Pass, Fail</v>
      </c>
    </row>
    <row r="233" spans="8:14">
      <c r="H233" s="13">
        <f t="shared" si="16"/>
        <v>2</v>
      </c>
      <c r="I233" t="str" cm="1">
        <f t="array" ref="I233">_xlfn.IFS(H233&lt;1,"No",H233=1,"Yes",H233&gt;1,_xlfn.TEXTJOIN("",TRUE,"Yes x",H233))</f>
        <v>Yes x2</v>
      </c>
      <c r="J233" s="13">
        <f t="shared" si="17"/>
        <v>1</v>
      </c>
      <c r="K233" s="13">
        <f t="shared" si="15"/>
        <v>1</v>
      </c>
      <c r="L233" s="13" t="str" cm="1">
        <f t="array" ref="L233">_xlfn.IFS(J233&lt;1,"",J233=1,"Pass",J233&gt;1,_xlfn.TEXTJOIN("",TRUE,"Pass x",J233))</f>
        <v>Pass</v>
      </c>
      <c r="M233" s="13" t="str" cm="1">
        <f t="array" ref="M233">_xlfn.IFS(K233&lt;1,"",K233=1,"Fail",K233&gt;1,_xlfn.TEXTJOIN("",TRUE,"Fail x",K233))</f>
        <v>Fail</v>
      </c>
      <c r="N233" t="str">
        <f t="shared" si="18"/>
        <v>Pass, Fail</v>
      </c>
    </row>
    <row r="234" spans="8:14">
      <c r="H234" s="13">
        <f t="shared" si="16"/>
        <v>2</v>
      </c>
      <c r="I234" t="str" cm="1">
        <f t="array" ref="I234">_xlfn.IFS(H234&lt;1,"No",H234=1,"Yes",H234&gt;1,_xlfn.TEXTJOIN("",TRUE,"Yes x",H234))</f>
        <v>Yes x2</v>
      </c>
      <c r="J234" s="13">
        <f t="shared" si="17"/>
        <v>1</v>
      </c>
      <c r="K234" s="13">
        <f t="shared" si="15"/>
        <v>1</v>
      </c>
      <c r="L234" s="13" t="str" cm="1">
        <f t="array" ref="L234">_xlfn.IFS(J234&lt;1,"",J234=1,"Pass",J234&gt;1,_xlfn.TEXTJOIN("",TRUE,"Pass x",J234))</f>
        <v>Pass</v>
      </c>
      <c r="M234" s="13" t="str" cm="1">
        <f t="array" ref="M234">_xlfn.IFS(K234&lt;1,"",K234=1,"Fail",K234&gt;1,_xlfn.TEXTJOIN("",TRUE,"Fail x",K234))</f>
        <v>Fail</v>
      </c>
      <c r="N234" t="str">
        <f t="shared" si="18"/>
        <v>Pass, Fail</v>
      </c>
    </row>
    <row r="235" spans="8:14">
      <c r="H235" s="13">
        <f t="shared" si="16"/>
        <v>2</v>
      </c>
      <c r="I235" t="str" cm="1">
        <f t="array" ref="I235">_xlfn.IFS(H235&lt;1,"No",H235=1,"Yes",H235&gt;1,_xlfn.TEXTJOIN("",TRUE,"Yes x",H235))</f>
        <v>Yes x2</v>
      </c>
      <c r="J235" s="13">
        <f t="shared" si="17"/>
        <v>1</v>
      </c>
      <c r="K235" s="13">
        <f t="shared" si="15"/>
        <v>1</v>
      </c>
      <c r="L235" s="13" t="str" cm="1">
        <f t="array" ref="L235">_xlfn.IFS(J235&lt;1,"",J235=1,"Pass",J235&gt;1,_xlfn.TEXTJOIN("",TRUE,"Pass x",J235))</f>
        <v>Pass</v>
      </c>
      <c r="M235" s="13" t="str" cm="1">
        <f t="array" ref="M235">_xlfn.IFS(K235&lt;1,"",K235=1,"Fail",K235&gt;1,_xlfn.TEXTJOIN("",TRUE,"Fail x",K235))</f>
        <v>Fail</v>
      </c>
      <c r="N235" t="str">
        <f t="shared" si="18"/>
        <v>Pass, Fail</v>
      </c>
    </row>
    <row r="236" spans="8:14">
      <c r="H236" s="13">
        <f t="shared" si="16"/>
        <v>2</v>
      </c>
      <c r="I236" t="str" cm="1">
        <f t="array" ref="I236">_xlfn.IFS(H236&lt;1,"No",H236=1,"Yes",H236&gt;1,_xlfn.TEXTJOIN("",TRUE,"Yes x",H236))</f>
        <v>Yes x2</v>
      </c>
      <c r="J236" s="13">
        <f t="shared" si="17"/>
        <v>1</v>
      </c>
      <c r="K236" s="13">
        <f t="shared" si="15"/>
        <v>1</v>
      </c>
      <c r="L236" s="13" t="str" cm="1">
        <f t="array" ref="L236">_xlfn.IFS(J236&lt;1,"",J236=1,"Pass",J236&gt;1,_xlfn.TEXTJOIN("",TRUE,"Pass x",J236))</f>
        <v>Pass</v>
      </c>
      <c r="M236" s="13" t="str" cm="1">
        <f t="array" ref="M236">_xlfn.IFS(K236&lt;1,"",K236=1,"Fail",K236&gt;1,_xlfn.TEXTJOIN("",TRUE,"Fail x",K236))</f>
        <v>Fail</v>
      </c>
      <c r="N236" t="str">
        <f t="shared" si="18"/>
        <v>Pass, Fail</v>
      </c>
    </row>
    <row r="237" spans="8:14">
      <c r="H237" s="13">
        <f t="shared" si="16"/>
        <v>2</v>
      </c>
      <c r="I237" t="str" cm="1">
        <f t="array" ref="I237">_xlfn.IFS(H237&lt;1,"No",H237=1,"Yes",H237&gt;1,_xlfn.TEXTJOIN("",TRUE,"Yes x",H237))</f>
        <v>Yes x2</v>
      </c>
      <c r="J237" s="13">
        <f t="shared" si="17"/>
        <v>1</v>
      </c>
      <c r="K237" s="13">
        <f t="shared" si="15"/>
        <v>1</v>
      </c>
      <c r="L237" s="13" t="str" cm="1">
        <f t="array" ref="L237">_xlfn.IFS(J237&lt;1,"",J237=1,"Pass",J237&gt;1,_xlfn.TEXTJOIN("",TRUE,"Pass x",J237))</f>
        <v>Pass</v>
      </c>
      <c r="M237" s="13" t="str" cm="1">
        <f t="array" ref="M237">_xlfn.IFS(K237&lt;1,"",K237=1,"Fail",K237&gt;1,_xlfn.TEXTJOIN("",TRUE,"Fail x",K237))</f>
        <v>Fail</v>
      </c>
      <c r="N237" t="str">
        <f t="shared" si="18"/>
        <v>Pass, Fail</v>
      </c>
    </row>
    <row r="238" spans="8:14">
      <c r="H238" s="13">
        <f t="shared" si="16"/>
        <v>2</v>
      </c>
      <c r="I238" t="str" cm="1">
        <f t="array" ref="I238">_xlfn.IFS(H238&lt;1,"No",H238=1,"Yes",H238&gt;1,_xlfn.TEXTJOIN("",TRUE,"Yes x",H238))</f>
        <v>Yes x2</v>
      </c>
      <c r="J238" s="13">
        <f t="shared" si="17"/>
        <v>1</v>
      </c>
      <c r="K238" s="13">
        <f t="shared" si="15"/>
        <v>1</v>
      </c>
      <c r="L238" s="13" t="str" cm="1">
        <f t="array" ref="L238">_xlfn.IFS(J238&lt;1,"",J238=1,"Pass",J238&gt;1,_xlfn.TEXTJOIN("",TRUE,"Pass x",J238))</f>
        <v>Pass</v>
      </c>
      <c r="M238" s="13" t="str" cm="1">
        <f t="array" ref="M238">_xlfn.IFS(K238&lt;1,"",K238=1,"Fail",K238&gt;1,_xlfn.TEXTJOIN("",TRUE,"Fail x",K238))</f>
        <v>Fail</v>
      </c>
      <c r="N238" t="str">
        <f t="shared" si="18"/>
        <v>Pass, Fail</v>
      </c>
    </row>
    <row r="239" spans="8:14">
      <c r="H239" s="13">
        <f t="shared" si="16"/>
        <v>2</v>
      </c>
      <c r="I239" t="str" cm="1">
        <f t="array" ref="I239">_xlfn.IFS(H239&lt;1,"No",H239=1,"Yes",H239&gt;1,_xlfn.TEXTJOIN("",TRUE,"Yes x",H239))</f>
        <v>Yes x2</v>
      </c>
      <c r="J239" s="13">
        <f t="shared" si="17"/>
        <v>1</v>
      </c>
      <c r="K239" s="13">
        <f t="shared" si="15"/>
        <v>1</v>
      </c>
      <c r="L239" s="13" t="str" cm="1">
        <f t="array" ref="L239">_xlfn.IFS(J239&lt;1,"",J239=1,"Pass",J239&gt;1,_xlfn.TEXTJOIN("",TRUE,"Pass x",J239))</f>
        <v>Pass</v>
      </c>
      <c r="M239" s="13" t="str" cm="1">
        <f t="array" ref="M239">_xlfn.IFS(K239&lt;1,"",K239=1,"Fail",K239&gt;1,_xlfn.TEXTJOIN("",TRUE,"Fail x",K239))</f>
        <v>Fail</v>
      </c>
      <c r="N239" t="str">
        <f t="shared" si="18"/>
        <v>Pass, Fail</v>
      </c>
    </row>
    <row r="240" spans="8:14">
      <c r="H240" s="13">
        <f t="shared" si="16"/>
        <v>2</v>
      </c>
      <c r="I240" t="str" cm="1">
        <f t="array" ref="I240">_xlfn.IFS(H240&lt;1,"No",H240=1,"Yes",H240&gt;1,_xlfn.TEXTJOIN("",TRUE,"Yes x",H240))</f>
        <v>Yes x2</v>
      </c>
      <c r="J240" s="13">
        <f t="shared" si="17"/>
        <v>1</v>
      </c>
      <c r="K240" s="13">
        <f t="shared" si="15"/>
        <v>1</v>
      </c>
      <c r="L240" s="13" t="str" cm="1">
        <f t="array" ref="L240">_xlfn.IFS(J240&lt;1,"",J240=1,"Pass",J240&gt;1,_xlfn.TEXTJOIN("",TRUE,"Pass x",J240))</f>
        <v>Pass</v>
      </c>
      <c r="M240" s="13" t="str" cm="1">
        <f t="array" ref="M240">_xlfn.IFS(K240&lt;1,"",K240=1,"Fail",K240&gt;1,_xlfn.TEXTJOIN("",TRUE,"Fail x",K240))</f>
        <v>Fail</v>
      </c>
      <c r="N240" t="str">
        <f t="shared" si="18"/>
        <v>Pass, Fail</v>
      </c>
    </row>
    <row r="241" spans="8:14">
      <c r="H241" s="13">
        <f t="shared" si="16"/>
        <v>2</v>
      </c>
      <c r="I241" t="str" cm="1">
        <f t="array" ref="I241">_xlfn.IFS(H241&lt;1,"No",H241=1,"Yes",H241&gt;1,_xlfn.TEXTJOIN("",TRUE,"Yes x",H241))</f>
        <v>Yes x2</v>
      </c>
      <c r="J241" s="13">
        <f t="shared" si="17"/>
        <v>1</v>
      </c>
      <c r="K241" s="13">
        <f t="shared" si="15"/>
        <v>1</v>
      </c>
      <c r="L241" s="13" t="str" cm="1">
        <f t="array" ref="L241">_xlfn.IFS(J241&lt;1,"",J241=1,"Pass",J241&gt;1,_xlfn.TEXTJOIN("",TRUE,"Pass x",J241))</f>
        <v>Pass</v>
      </c>
      <c r="M241" s="13" t="str" cm="1">
        <f t="array" ref="M241">_xlfn.IFS(K241&lt;1,"",K241=1,"Fail",K241&gt;1,_xlfn.TEXTJOIN("",TRUE,"Fail x",K241))</f>
        <v>Fail</v>
      </c>
      <c r="N241" t="str">
        <f t="shared" si="18"/>
        <v>Pass, Fail</v>
      </c>
    </row>
    <row r="242" spans="8:14">
      <c r="H242" s="13">
        <f t="shared" si="16"/>
        <v>2</v>
      </c>
      <c r="I242" t="str" cm="1">
        <f t="array" ref="I242">_xlfn.IFS(H242&lt;1,"No",H242=1,"Yes",H242&gt;1,_xlfn.TEXTJOIN("",TRUE,"Yes x",H242))</f>
        <v>Yes x2</v>
      </c>
      <c r="J242" s="13">
        <f t="shared" si="17"/>
        <v>1</v>
      </c>
      <c r="K242" s="13">
        <f t="shared" si="15"/>
        <v>1</v>
      </c>
      <c r="L242" s="13" t="str" cm="1">
        <f t="array" ref="L242">_xlfn.IFS(J242&lt;1,"",J242=1,"Pass",J242&gt;1,_xlfn.TEXTJOIN("",TRUE,"Pass x",J242))</f>
        <v>Pass</v>
      </c>
      <c r="M242" s="13" t="str" cm="1">
        <f t="array" ref="M242">_xlfn.IFS(K242&lt;1,"",K242=1,"Fail",K242&gt;1,_xlfn.TEXTJOIN("",TRUE,"Fail x",K242))</f>
        <v>Fail</v>
      </c>
      <c r="N242" t="str">
        <f t="shared" si="18"/>
        <v>Pass, Fail</v>
      </c>
    </row>
    <row r="243" spans="8:14">
      <c r="H243" s="13">
        <f t="shared" si="16"/>
        <v>2</v>
      </c>
      <c r="I243" t="str" cm="1">
        <f t="array" ref="I243">_xlfn.IFS(H243&lt;1,"No",H243=1,"Yes",H243&gt;1,_xlfn.TEXTJOIN("",TRUE,"Yes x",H243))</f>
        <v>Yes x2</v>
      </c>
      <c r="J243" s="13">
        <f t="shared" si="17"/>
        <v>1</v>
      </c>
      <c r="K243" s="13">
        <f t="shared" si="15"/>
        <v>1</v>
      </c>
      <c r="L243" s="13" t="str" cm="1">
        <f t="array" ref="L243">_xlfn.IFS(J243&lt;1,"",J243=1,"Pass",J243&gt;1,_xlfn.TEXTJOIN("",TRUE,"Pass x",J243))</f>
        <v>Pass</v>
      </c>
      <c r="M243" s="13" t="str" cm="1">
        <f t="array" ref="M243">_xlfn.IFS(K243&lt;1,"",K243=1,"Fail",K243&gt;1,_xlfn.TEXTJOIN("",TRUE,"Fail x",K243))</f>
        <v>Fail</v>
      </c>
      <c r="N243" t="str">
        <f t="shared" si="18"/>
        <v>Pass, Fail</v>
      </c>
    </row>
    <row r="244" spans="8:14">
      <c r="H244" s="13">
        <f t="shared" si="16"/>
        <v>2</v>
      </c>
      <c r="I244" t="str" cm="1">
        <f t="array" ref="I244">_xlfn.IFS(H244&lt;1,"No",H244=1,"Yes",H244&gt;1,_xlfn.TEXTJOIN("",TRUE,"Yes x",H244))</f>
        <v>Yes x2</v>
      </c>
      <c r="J244" s="13">
        <f t="shared" si="17"/>
        <v>1</v>
      </c>
      <c r="K244" s="13">
        <f t="shared" si="15"/>
        <v>1</v>
      </c>
      <c r="L244" s="13" t="str" cm="1">
        <f t="array" ref="L244">_xlfn.IFS(J244&lt;1,"",J244=1,"Pass",J244&gt;1,_xlfn.TEXTJOIN("",TRUE,"Pass x",J244))</f>
        <v>Pass</v>
      </c>
      <c r="M244" s="13" t="str" cm="1">
        <f t="array" ref="M244">_xlfn.IFS(K244&lt;1,"",K244=1,"Fail",K244&gt;1,_xlfn.TEXTJOIN("",TRUE,"Fail x",K244))</f>
        <v>Fail</v>
      </c>
      <c r="N244" t="str">
        <f t="shared" si="18"/>
        <v>Pass, Fail</v>
      </c>
    </row>
    <row r="245" spans="8:14">
      <c r="H245" s="13">
        <f t="shared" si="16"/>
        <v>2</v>
      </c>
      <c r="I245" t="str" cm="1">
        <f t="array" ref="I245">_xlfn.IFS(H245&lt;1,"No",H245=1,"Yes",H245&gt;1,_xlfn.TEXTJOIN("",TRUE,"Yes x",H245))</f>
        <v>Yes x2</v>
      </c>
      <c r="J245" s="13">
        <f t="shared" si="17"/>
        <v>1</v>
      </c>
      <c r="K245" s="13">
        <f t="shared" si="15"/>
        <v>1</v>
      </c>
      <c r="L245" s="13" t="str" cm="1">
        <f t="array" ref="L245">_xlfn.IFS(J245&lt;1,"",J245=1,"Pass",J245&gt;1,_xlfn.TEXTJOIN("",TRUE,"Pass x",J245))</f>
        <v>Pass</v>
      </c>
      <c r="M245" s="13" t="str" cm="1">
        <f t="array" ref="M245">_xlfn.IFS(K245&lt;1,"",K245=1,"Fail",K245&gt;1,_xlfn.TEXTJOIN("",TRUE,"Fail x",K245))</f>
        <v>Fail</v>
      </c>
      <c r="N245" t="str">
        <f t="shared" si="18"/>
        <v>Pass, Fail</v>
      </c>
    </row>
    <row r="246" spans="8:14">
      <c r="H246" s="13">
        <f t="shared" si="16"/>
        <v>2</v>
      </c>
      <c r="I246" t="str" cm="1">
        <f t="array" ref="I246">_xlfn.IFS(H246&lt;1,"No",H246=1,"Yes",H246&gt;1,_xlfn.TEXTJOIN("",TRUE,"Yes x",H246))</f>
        <v>Yes x2</v>
      </c>
      <c r="J246" s="13">
        <f t="shared" si="17"/>
        <v>1</v>
      </c>
      <c r="K246" s="13">
        <f t="shared" si="15"/>
        <v>1</v>
      </c>
      <c r="L246" s="13" t="str" cm="1">
        <f t="array" ref="L246">_xlfn.IFS(J246&lt;1,"",J246=1,"Pass",J246&gt;1,_xlfn.TEXTJOIN("",TRUE,"Pass x",J246))</f>
        <v>Pass</v>
      </c>
      <c r="M246" s="13" t="str" cm="1">
        <f t="array" ref="M246">_xlfn.IFS(K246&lt;1,"",K246=1,"Fail",K246&gt;1,_xlfn.TEXTJOIN("",TRUE,"Fail x",K246))</f>
        <v>Fail</v>
      </c>
      <c r="N246" t="str">
        <f t="shared" si="18"/>
        <v>Pass, Fail</v>
      </c>
    </row>
    <row r="247" spans="8:14">
      <c r="H247" s="13">
        <f t="shared" si="16"/>
        <v>2</v>
      </c>
      <c r="I247" t="str" cm="1">
        <f t="array" ref="I247">_xlfn.IFS(H247&lt;1,"No",H247=1,"Yes",H247&gt;1,_xlfn.TEXTJOIN("",TRUE,"Yes x",H247))</f>
        <v>Yes x2</v>
      </c>
      <c r="J247" s="13">
        <f t="shared" si="17"/>
        <v>1</v>
      </c>
      <c r="K247" s="13">
        <f t="shared" si="15"/>
        <v>1</v>
      </c>
      <c r="L247" s="13" t="str" cm="1">
        <f t="array" ref="L247">_xlfn.IFS(J247&lt;1,"",J247=1,"Pass",J247&gt;1,_xlfn.TEXTJOIN("",TRUE,"Pass x",J247))</f>
        <v>Pass</v>
      </c>
      <c r="M247" s="13" t="str" cm="1">
        <f t="array" ref="M247">_xlfn.IFS(K247&lt;1,"",K247=1,"Fail",K247&gt;1,_xlfn.TEXTJOIN("",TRUE,"Fail x",K247))</f>
        <v>Fail</v>
      </c>
      <c r="N247" t="str">
        <f t="shared" si="18"/>
        <v>Pass, Fail</v>
      </c>
    </row>
    <row r="248" spans="8:14">
      <c r="H248" s="13">
        <f t="shared" si="16"/>
        <v>2</v>
      </c>
      <c r="I248" t="str" cm="1">
        <f t="array" ref="I248">_xlfn.IFS(H248&lt;1,"No",H248=1,"Yes",H248&gt;1,_xlfn.TEXTJOIN("",TRUE,"Yes x",H248))</f>
        <v>Yes x2</v>
      </c>
      <c r="J248" s="13">
        <f t="shared" si="17"/>
        <v>1</v>
      </c>
      <c r="K248" s="13">
        <f t="shared" si="15"/>
        <v>1</v>
      </c>
      <c r="L248" s="13" t="str" cm="1">
        <f t="array" ref="L248">_xlfn.IFS(J248&lt;1,"",J248=1,"Pass",J248&gt;1,_xlfn.TEXTJOIN("",TRUE,"Pass x",J248))</f>
        <v>Pass</v>
      </c>
      <c r="M248" s="13" t="str" cm="1">
        <f t="array" ref="M248">_xlfn.IFS(K248&lt;1,"",K248=1,"Fail",K248&gt;1,_xlfn.TEXTJOIN("",TRUE,"Fail x",K248))</f>
        <v>Fail</v>
      </c>
      <c r="N248" t="str">
        <f t="shared" si="18"/>
        <v>Pass, Fail</v>
      </c>
    </row>
    <row r="249" spans="8:14">
      <c r="H249" s="13">
        <f t="shared" si="16"/>
        <v>2</v>
      </c>
      <c r="I249" t="str" cm="1">
        <f t="array" ref="I249">_xlfn.IFS(H249&lt;1,"No",H249=1,"Yes",H249&gt;1,_xlfn.TEXTJOIN("",TRUE,"Yes x",H249))</f>
        <v>Yes x2</v>
      </c>
      <c r="J249" s="13">
        <f t="shared" si="17"/>
        <v>1</v>
      </c>
      <c r="K249" s="13">
        <f t="shared" si="15"/>
        <v>1</v>
      </c>
      <c r="L249" s="13" t="str" cm="1">
        <f t="array" ref="L249">_xlfn.IFS(J249&lt;1,"",J249=1,"Pass",J249&gt;1,_xlfn.TEXTJOIN("",TRUE,"Pass x",J249))</f>
        <v>Pass</v>
      </c>
      <c r="M249" s="13" t="str" cm="1">
        <f t="array" ref="M249">_xlfn.IFS(K249&lt;1,"",K249=1,"Fail",K249&gt;1,_xlfn.TEXTJOIN("",TRUE,"Fail x",K249))</f>
        <v>Fail</v>
      </c>
      <c r="N249" t="str">
        <f t="shared" si="18"/>
        <v>Pass, Fail</v>
      </c>
    </row>
    <row r="250" spans="8:14">
      <c r="H250" s="13">
        <f t="shared" si="16"/>
        <v>2</v>
      </c>
      <c r="I250" t="str" cm="1">
        <f t="array" ref="I250">_xlfn.IFS(H250&lt;1,"No",H250=1,"Yes",H250&gt;1,_xlfn.TEXTJOIN("",TRUE,"Yes x",H250))</f>
        <v>Yes x2</v>
      </c>
      <c r="J250" s="13">
        <f t="shared" si="17"/>
        <v>1</v>
      </c>
      <c r="K250" s="13">
        <f t="shared" si="15"/>
        <v>1</v>
      </c>
      <c r="L250" s="13" t="str" cm="1">
        <f t="array" ref="L250">_xlfn.IFS(J250&lt;1,"",J250=1,"Pass",J250&gt;1,_xlfn.TEXTJOIN("",TRUE,"Pass x",J250))</f>
        <v>Pass</v>
      </c>
      <c r="M250" s="13" t="str" cm="1">
        <f t="array" ref="M250">_xlfn.IFS(K250&lt;1,"",K250=1,"Fail",K250&gt;1,_xlfn.TEXTJOIN("",TRUE,"Fail x",K250))</f>
        <v>Fail</v>
      </c>
      <c r="N250" t="str">
        <f t="shared" si="18"/>
        <v>Pass, Fail</v>
      </c>
    </row>
    <row r="251" spans="8:14">
      <c r="H251" s="13">
        <f t="shared" si="16"/>
        <v>2</v>
      </c>
      <c r="I251" t="str" cm="1">
        <f t="array" ref="I251">_xlfn.IFS(H251&lt;1,"No",H251=1,"Yes",H251&gt;1,_xlfn.TEXTJOIN("",TRUE,"Yes x",H251))</f>
        <v>Yes x2</v>
      </c>
      <c r="J251" s="13">
        <f t="shared" si="17"/>
        <v>1</v>
      </c>
      <c r="K251" s="13">
        <f t="shared" si="15"/>
        <v>1</v>
      </c>
      <c r="L251" s="13" t="str" cm="1">
        <f t="array" ref="L251">_xlfn.IFS(J251&lt;1,"",J251=1,"Pass",J251&gt;1,_xlfn.TEXTJOIN("",TRUE,"Pass x",J251))</f>
        <v>Pass</v>
      </c>
      <c r="M251" s="13" t="str" cm="1">
        <f t="array" ref="M251">_xlfn.IFS(K251&lt;1,"",K251=1,"Fail",K251&gt;1,_xlfn.TEXTJOIN("",TRUE,"Fail x",K251))</f>
        <v>Fail</v>
      </c>
      <c r="N251" t="str">
        <f t="shared" si="18"/>
        <v>Pass, Fail</v>
      </c>
    </row>
    <row r="252" spans="8:14">
      <c r="H252" s="13">
        <f t="shared" si="16"/>
        <v>2</v>
      </c>
      <c r="I252" t="str" cm="1">
        <f t="array" ref="I252">_xlfn.IFS(H252&lt;1,"No",H252=1,"Yes",H252&gt;1,_xlfn.TEXTJOIN("",TRUE,"Yes x",H252))</f>
        <v>Yes x2</v>
      </c>
      <c r="J252" s="13">
        <f t="shared" si="17"/>
        <v>1</v>
      </c>
      <c r="K252" s="13">
        <f t="shared" si="15"/>
        <v>1</v>
      </c>
      <c r="L252" s="13" t="str" cm="1">
        <f t="array" ref="L252">_xlfn.IFS(J252&lt;1,"",J252=1,"Pass",J252&gt;1,_xlfn.TEXTJOIN("",TRUE,"Pass x",J252))</f>
        <v>Pass</v>
      </c>
      <c r="M252" s="13" t="str" cm="1">
        <f t="array" ref="M252">_xlfn.IFS(K252&lt;1,"",K252=1,"Fail",K252&gt;1,_xlfn.TEXTJOIN("",TRUE,"Fail x",K252))</f>
        <v>Fail</v>
      </c>
      <c r="N252" t="str">
        <f t="shared" si="18"/>
        <v>Pass, Fail</v>
      </c>
    </row>
    <row r="253" spans="8:14">
      <c r="H253" s="13">
        <f t="shared" si="16"/>
        <v>2</v>
      </c>
      <c r="I253" t="str" cm="1">
        <f t="array" ref="I253">_xlfn.IFS(H253&lt;1,"No",H253=1,"Yes",H253&gt;1,_xlfn.TEXTJOIN("",TRUE,"Yes x",H253))</f>
        <v>Yes x2</v>
      </c>
      <c r="J253" s="13">
        <f t="shared" si="17"/>
        <v>1</v>
      </c>
      <c r="K253" s="13">
        <f t="shared" si="15"/>
        <v>1</v>
      </c>
      <c r="L253" s="13" t="str" cm="1">
        <f t="array" ref="L253">_xlfn.IFS(J253&lt;1,"",J253=1,"Pass",J253&gt;1,_xlfn.TEXTJOIN("",TRUE,"Pass x",J253))</f>
        <v>Pass</v>
      </c>
      <c r="M253" s="13" t="str" cm="1">
        <f t="array" ref="M253">_xlfn.IFS(K253&lt;1,"",K253=1,"Fail",K253&gt;1,_xlfn.TEXTJOIN("",TRUE,"Fail x",K253))</f>
        <v>Fail</v>
      </c>
      <c r="N253" t="str">
        <f t="shared" si="18"/>
        <v>Pass, Fail</v>
      </c>
    </row>
    <row r="254" spans="8:14">
      <c r="H254" s="13">
        <f t="shared" si="16"/>
        <v>2</v>
      </c>
      <c r="I254" t="str" cm="1">
        <f t="array" ref="I254">_xlfn.IFS(H254&lt;1,"No",H254=1,"Yes",H254&gt;1,_xlfn.TEXTJOIN("",TRUE,"Yes x",H254))</f>
        <v>Yes x2</v>
      </c>
      <c r="J254" s="13">
        <f t="shared" si="17"/>
        <v>1</v>
      </c>
      <c r="K254" s="13">
        <f t="shared" si="15"/>
        <v>1</v>
      </c>
      <c r="L254" s="13" t="str" cm="1">
        <f t="array" ref="L254">_xlfn.IFS(J254&lt;1,"",J254=1,"Pass",J254&gt;1,_xlfn.TEXTJOIN("",TRUE,"Pass x",J254))</f>
        <v>Pass</v>
      </c>
      <c r="M254" s="13" t="str" cm="1">
        <f t="array" ref="M254">_xlfn.IFS(K254&lt;1,"",K254=1,"Fail",K254&gt;1,_xlfn.TEXTJOIN("",TRUE,"Fail x",K254))</f>
        <v>Fail</v>
      </c>
      <c r="N254" t="str">
        <f t="shared" si="18"/>
        <v>Pass, Fail</v>
      </c>
    </row>
    <row r="255" spans="8:14">
      <c r="H255" s="13">
        <f t="shared" si="16"/>
        <v>2</v>
      </c>
      <c r="I255" t="str" cm="1">
        <f t="array" ref="I255">_xlfn.IFS(H255&lt;1,"No",H255=1,"Yes",H255&gt;1,_xlfn.TEXTJOIN("",TRUE,"Yes x",H255))</f>
        <v>Yes x2</v>
      </c>
      <c r="J255" s="13">
        <f t="shared" si="17"/>
        <v>1</v>
      </c>
      <c r="K255" s="13">
        <f t="shared" si="15"/>
        <v>1</v>
      </c>
      <c r="L255" s="13" t="str" cm="1">
        <f t="array" ref="L255">_xlfn.IFS(J255&lt;1,"",J255=1,"Pass",J255&gt;1,_xlfn.TEXTJOIN("",TRUE,"Pass x",J255))</f>
        <v>Pass</v>
      </c>
      <c r="M255" s="13" t="str" cm="1">
        <f t="array" ref="M255">_xlfn.IFS(K255&lt;1,"",K255=1,"Fail",K255&gt;1,_xlfn.TEXTJOIN("",TRUE,"Fail x",K255))</f>
        <v>Fail</v>
      </c>
      <c r="N255" t="str">
        <f t="shared" si="18"/>
        <v>Pass, Fail</v>
      </c>
    </row>
    <row r="256" spans="8:14">
      <c r="H256" s="13">
        <f t="shared" si="16"/>
        <v>2</v>
      </c>
      <c r="I256" t="str" cm="1">
        <f t="array" ref="I256">_xlfn.IFS(H256&lt;1,"No",H256=1,"Yes",H256&gt;1,_xlfn.TEXTJOIN("",TRUE,"Yes x",H256))</f>
        <v>Yes x2</v>
      </c>
      <c r="J256" s="13">
        <f t="shared" si="17"/>
        <v>1</v>
      </c>
      <c r="K256" s="13">
        <f t="shared" si="15"/>
        <v>1</v>
      </c>
      <c r="L256" s="13" t="str" cm="1">
        <f t="array" ref="L256">_xlfn.IFS(J256&lt;1,"",J256=1,"Pass",J256&gt;1,_xlfn.TEXTJOIN("",TRUE,"Pass x",J256))</f>
        <v>Pass</v>
      </c>
      <c r="M256" s="13" t="str" cm="1">
        <f t="array" ref="M256">_xlfn.IFS(K256&lt;1,"",K256=1,"Fail",K256&gt;1,_xlfn.TEXTJOIN("",TRUE,"Fail x",K256))</f>
        <v>Fail</v>
      </c>
      <c r="N256" t="str">
        <f t="shared" si="18"/>
        <v>Pass, Fail</v>
      </c>
    </row>
    <row r="257" spans="8:14">
      <c r="H257" s="13">
        <f t="shared" si="16"/>
        <v>2</v>
      </c>
      <c r="I257" t="str" cm="1">
        <f t="array" ref="I257">_xlfn.IFS(H257&lt;1,"No",H257=1,"Yes",H257&gt;1,_xlfn.TEXTJOIN("",TRUE,"Yes x",H257))</f>
        <v>Yes x2</v>
      </c>
      <c r="J257" s="13">
        <f t="shared" si="17"/>
        <v>1</v>
      </c>
      <c r="K257" s="13">
        <f t="shared" si="15"/>
        <v>1</v>
      </c>
      <c r="L257" s="13" t="str" cm="1">
        <f t="array" ref="L257">_xlfn.IFS(J257&lt;1,"",J257=1,"Pass",J257&gt;1,_xlfn.TEXTJOIN("",TRUE,"Pass x",J257))</f>
        <v>Pass</v>
      </c>
      <c r="M257" s="13" t="str" cm="1">
        <f t="array" ref="M257">_xlfn.IFS(K257&lt;1,"",K257=1,"Fail",K257&gt;1,_xlfn.TEXTJOIN("",TRUE,"Fail x",K257))</f>
        <v>Fail</v>
      </c>
      <c r="N257" t="str">
        <f t="shared" si="18"/>
        <v>Pass, Fail</v>
      </c>
    </row>
    <row r="258" spans="8:14">
      <c r="H258" s="13">
        <f t="shared" si="16"/>
        <v>2</v>
      </c>
      <c r="I258" t="str" cm="1">
        <f t="array" ref="I258">_xlfn.IFS(H258&lt;1,"No",H258=1,"Yes",H258&gt;1,_xlfn.TEXTJOIN("",TRUE,"Yes x",H258))</f>
        <v>Yes x2</v>
      </c>
      <c r="J258" s="13">
        <f t="shared" si="17"/>
        <v>1</v>
      </c>
      <c r="K258" s="13">
        <f t="shared" si="15"/>
        <v>1</v>
      </c>
      <c r="L258" s="13" t="str" cm="1">
        <f t="array" ref="L258">_xlfn.IFS(J258&lt;1,"",J258=1,"Pass",J258&gt;1,_xlfn.TEXTJOIN("",TRUE,"Pass x",J258))</f>
        <v>Pass</v>
      </c>
      <c r="M258" s="13" t="str" cm="1">
        <f t="array" ref="M258">_xlfn.IFS(K258&lt;1,"",K258=1,"Fail",K258&gt;1,_xlfn.TEXTJOIN("",TRUE,"Fail x",K258))</f>
        <v>Fail</v>
      </c>
      <c r="N258" t="str">
        <f t="shared" si="18"/>
        <v>Pass, Fail</v>
      </c>
    </row>
    <row r="259" spans="8:14">
      <c r="H259" s="13">
        <f t="shared" si="16"/>
        <v>2</v>
      </c>
      <c r="I259" t="str" cm="1">
        <f t="array" ref="I259">_xlfn.IFS(H259&lt;1,"No",H259=1,"Yes",H259&gt;1,_xlfn.TEXTJOIN("",TRUE,"Yes x",H259))</f>
        <v>Yes x2</v>
      </c>
      <c r="J259" s="13">
        <f t="shared" si="17"/>
        <v>1</v>
      </c>
      <c r="K259" s="13">
        <f t="shared" ref="K259:K322" si="19">IFERROR(GETPIVOTDATA("Successful / Failed",$A$1,"System serial",G259,"Successful / Failed","Failed"),0)</f>
        <v>1</v>
      </c>
      <c r="L259" s="13" t="str" cm="1">
        <f t="array" ref="L259">_xlfn.IFS(J259&lt;1,"",J259=1,"Pass",J259&gt;1,_xlfn.TEXTJOIN("",TRUE,"Pass x",J259))</f>
        <v>Pass</v>
      </c>
      <c r="M259" s="13" t="str" cm="1">
        <f t="array" ref="M259">_xlfn.IFS(K259&lt;1,"",K259=1,"Fail",K259&gt;1,_xlfn.TEXTJOIN("",TRUE,"Fail x",K259))</f>
        <v>Fail</v>
      </c>
      <c r="N259" t="str">
        <f t="shared" si="18"/>
        <v>Pass, Fail</v>
      </c>
    </row>
    <row r="260" spans="8:14">
      <c r="H260" s="13">
        <f t="shared" si="16"/>
        <v>2</v>
      </c>
      <c r="I260" t="str" cm="1">
        <f t="array" ref="I260">_xlfn.IFS(H260&lt;1,"No",H260=1,"Yes",H260&gt;1,_xlfn.TEXTJOIN("",TRUE,"Yes x",H260))</f>
        <v>Yes x2</v>
      </c>
      <c r="J260" s="13">
        <f t="shared" si="17"/>
        <v>1</v>
      </c>
      <c r="K260" s="13">
        <f t="shared" si="19"/>
        <v>1</v>
      </c>
      <c r="L260" s="13" t="str" cm="1">
        <f t="array" ref="L260">_xlfn.IFS(J260&lt;1,"",J260=1,"Pass",J260&gt;1,_xlfn.TEXTJOIN("",TRUE,"Pass x",J260))</f>
        <v>Pass</v>
      </c>
      <c r="M260" s="13" t="str" cm="1">
        <f t="array" ref="M260">_xlfn.IFS(K260&lt;1,"",K260=1,"Fail",K260&gt;1,_xlfn.TEXTJOIN("",TRUE,"Fail x",K260))</f>
        <v>Fail</v>
      </c>
      <c r="N260" t="str">
        <f t="shared" si="18"/>
        <v>Pass, Fail</v>
      </c>
    </row>
    <row r="261" spans="8:14">
      <c r="H261" s="13">
        <f t="shared" si="16"/>
        <v>2</v>
      </c>
      <c r="I261" t="str" cm="1">
        <f t="array" ref="I261">_xlfn.IFS(H261&lt;1,"No",H261=1,"Yes",H261&gt;1,_xlfn.TEXTJOIN("",TRUE,"Yes x",H261))</f>
        <v>Yes x2</v>
      </c>
      <c r="J261" s="13">
        <f t="shared" si="17"/>
        <v>1</v>
      </c>
      <c r="K261" s="13">
        <f t="shared" si="19"/>
        <v>1</v>
      </c>
      <c r="L261" s="13" t="str" cm="1">
        <f t="array" ref="L261">_xlfn.IFS(J261&lt;1,"",J261=1,"Pass",J261&gt;1,_xlfn.TEXTJOIN("",TRUE,"Pass x",J261))</f>
        <v>Pass</v>
      </c>
      <c r="M261" s="13" t="str" cm="1">
        <f t="array" ref="M261">_xlfn.IFS(K261&lt;1,"",K261=1,"Fail",K261&gt;1,_xlfn.TEXTJOIN("",TRUE,"Fail x",K261))</f>
        <v>Fail</v>
      </c>
      <c r="N261" t="str">
        <f t="shared" si="18"/>
        <v>Pass, Fail</v>
      </c>
    </row>
    <row r="262" spans="8:14">
      <c r="H262" s="13">
        <f t="shared" si="16"/>
        <v>2</v>
      </c>
      <c r="I262" t="str" cm="1">
        <f t="array" ref="I262">_xlfn.IFS(H262&lt;1,"No",H262=1,"Yes",H262&gt;1,_xlfn.TEXTJOIN("",TRUE,"Yes x",H262))</f>
        <v>Yes x2</v>
      </c>
      <c r="J262" s="13">
        <f t="shared" si="17"/>
        <v>1</v>
      </c>
      <c r="K262" s="13">
        <f t="shared" si="19"/>
        <v>1</v>
      </c>
      <c r="L262" s="13" t="str" cm="1">
        <f t="array" ref="L262">_xlfn.IFS(J262&lt;1,"",J262=1,"Pass",J262&gt;1,_xlfn.TEXTJOIN("",TRUE,"Pass x",J262))</f>
        <v>Pass</v>
      </c>
      <c r="M262" s="13" t="str" cm="1">
        <f t="array" ref="M262">_xlfn.IFS(K262&lt;1,"",K262=1,"Fail",K262&gt;1,_xlfn.TEXTJOIN("",TRUE,"Fail x",K262))</f>
        <v>Fail</v>
      </c>
      <c r="N262" t="str">
        <f t="shared" si="18"/>
        <v>Pass, Fail</v>
      </c>
    </row>
    <row r="263" spans="8:14">
      <c r="H263" s="13">
        <f t="shared" si="16"/>
        <v>2</v>
      </c>
      <c r="I263" t="str" cm="1">
        <f t="array" ref="I263">_xlfn.IFS(H263&lt;1,"No",H263=1,"Yes",H263&gt;1,_xlfn.TEXTJOIN("",TRUE,"Yes x",H263))</f>
        <v>Yes x2</v>
      </c>
      <c r="J263" s="13">
        <f t="shared" si="17"/>
        <v>1</v>
      </c>
      <c r="K263" s="13">
        <f t="shared" si="19"/>
        <v>1</v>
      </c>
      <c r="L263" s="13" t="str" cm="1">
        <f t="array" ref="L263">_xlfn.IFS(J263&lt;1,"",J263=1,"Pass",J263&gt;1,_xlfn.TEXTJOIN("",TRUE,"Pass x",J263))</f>
        <v>Pass</v>
      </c>
      <c r="M263" s="13" t="str" cm="1">
        <f t="array" ref="M263">_xlfn.IFS(K263&lt;1,"",K263=1,"Fail",K263&gt;1,_xlfn.TEXTJOIN("",TRUE,"Fail x",K263))</f>
        <v>Fail</v>
      </c>
      <c r="N263" t="str">
        <f t="shared" si="18"/>
        <v>Pass, Fail</v>
      </c>
    </row>
    <row r="264" spans="8:14">
      <c r="H264" s="13">
        <f t="shared" si="16"/>
        <v>2</v>
      </c>
      <c r="I264" t="str" cm="1">
        <f t="array" ref="I264">_xlfn.IFS(H264&lt;1,"No",H264=1,"Yes",H264&gt;1,_xlfn.TEXTJOIN("",TRUE,"Yes x",H264))</f>
        <v>Yes x2</v>
      </c>
      <c r="J264" s="13">
        <f t="shared" si="17"/>
        <v>1</v>
      </c>
      <c r="K264" s="13">
        <f t="shared" si="19"/>
        <v>1</v>
      </c>
      <c r="L264" s="13" t="str" cm="1">
        <f t="array" ref="L264">_xlfn.IFS(J264&lt;1,"",J264=1,"Pass",J264&gt;1,_xlfn.TEXTJOIN("",TRUE,"Pass x",J264))</f>
        <v>Pass</v>
      </c>
      <c r="M264" s="13" t="str" cm="1">
        <f t="array" ref="M264">_xlfn.IFS(K264&lt;1,"",K264=1,"Fail",K264&gt;1,_xlfn.TEXTJOIN("",TRUE,"Fail x",K264))</f>
        <v>Fail</v>
      </c>
      <c r="N264" t="str">
        <f t="shared" si="18"/>
        <v>Pass, Fail</v>
      </c>
    </row>
    <row r="265" spans="8:14">
      <c r="H265" s="13">
        <f t="shared" si="16"/>
        <v>2</v>
      </c>
      <c r="I265" t="str" cm="1">
        <f t="array" ref="I265">_xlfn.IFS(H265&lt;1,"No",H265=1,"Yes",H265&gt;1,_xlfn.TEXTJOIN("",TRUE,"Yes x",H265))</f>
        <v>Yes x2</v>
      </c>
      <c r="J265" s="13">
        <f t="shared" si="17"/>
        <v>1</v>
      </c>
      <c r="K265" s="13">
        <f t="shared" si="19"/>
        <v>1</v>
      </c>
      <c r="L265" s="13" t="str" cm="1">
        <f t="array" ref="L265">_xlfn.IFS(J265&lt;1,"",J265=1,"Pass",J265&gt;1,_xlfn.TEXTJOIN("",TRUE,"Pass x",J265))</f>
        <v>Pass</v>
      </c>
      <c r="M265" s="13" t="str" cm="1">
        <f t="array" ref="M265">_xlfn.IFS(K265&lt;1,"",K265=1,"Fail",K265&gt;1,_xlfn.TEXTJOIN("",TRUE,"Fail x",K265))</f>
        <v>Fail</v>
      </c>
      <c r="N265" t="str">
        <f t="shared" si="18"/>
        <v>Pass, Fail</v>
      </c>
    </row>
    <row r="266" spans="8:14">
      <c r="H266" s="13">
        <f t="shared" si="16"/>
        <v>2</v>
      </c>
      <c r="I266" t="str" cm="1">
        <f t="array" ref="I266">_xlfn.IFS(H266&lt;1,"No",H266=1,"Yes",H266&gt;1,_xlfn.TEXTJOIN("",TRUE,"Yes x",H266))</f>
        <v>Yes x2</v>
      </c>
      <c r="J266" s="13">
        <f t="shared" si="17"/>
        <v>1</v>
      </c>
      <c r="K266" s="13">
        <f t="shared" si="19"/>
        <v>1</v>
      </c>
      <c r="L266" s="13" t="str" cm="1">
        <f t="array" ref="L266">_xlfn.IFS(J266&lt;1,"",J266=1,"Pass",J266&gt;1,_xlfn.TEXTJOIN("",TRUE,"Pass x",J266))</f>
        <v>Pass</v>
      </c>
      <c r="M266" s="13" t="str" cm="1">
        <f t="array" ref="M266">_xlfn.IFS(K266&lt;1,"",K266=1,"Fail",K266&gt;1,_xlfn.TEXTJOIN("",TRUE,"Fail x",K266))</f>
        <v>Fail</v>
      </c>
      <c r="N266" t="str">
        <f t="shared" si="18"/>
        <v>Pass, Fail</v>
      </c>
    </row>
    <row r="267" spans="8:14">
      <c r="H267" s="13">
        <f t="shared" si="16"/>
        <v>2</v>
      </c>
      <c r="I267" t="str" cm="1">
        <f t="array" ref="I267">_xlfn.IFS(H267&lt;1,"No",H267=1,"Yes",H267&gt;1,_xlfn.TEXTJOIN("",TRUE,"Yes x",H267))</f>
        <v>Yes x2</v>
      </c>
      <c r="J267" s="13">
        <f t="shared" si="17"/>
        <v>1</v>
      </c>
      <c r="K267" s="13">
        <f t="shared" si="19"/>
        <v>1</v>
      </c>
      <c r="L267" s="13" t="str" cm="1">
        <f t="array" ref="L267">_xlfn.IFS(J267&lt;1,"",J267=1,"Pass",J267&gt;1,_xlfn.TEXTJOIN("",TRUE,"Pass x",J267))</f>
        <v>Pass</v>
      </c>
      <c r="M267" s="13" t="str" cm="1">
        <f t="array" ref="M267">_xlfn.IFS(K267&lt;1,"",K267=1,"Fail",K267&gt;1,_xlfn.TEXTJOIN("",TRUE,"Fail x",K267))</f>
        <v>Fail</v>
      </c>
      <c r="N267" t="str">
        <f t="shared" si="18"/>
        <v>Pass, Fail</v>
      </c>
    </row>
    <row r="268" spans="8:14">
      <c r="H268" s="13">
        <f t="shared" si="16"/>
        <v>2</v>
      </c>
      <c r="I268" t="str" cm="1">
        <f t="array" ref="I268">_xlfn.IFS(H268&lt;1,"No",H268=1,"Yes",H268&gt;1,_xlfn.TEXTJOIN("",TRUE,"Yes x",H268))</f>
        <v>Yes x2</v>
      </c>
      <c r="J268" s="13">
        <f t="shared" si="17"/>
        <v>1</v>
      </c>
      <c r="K268" s="13">
        <f t="shared" si="19"/>
        <v>1</v>
      </c>
      <c r="L268" s="13" t="str" cm="1">
        <f t="array" ref="L268">_xlfn.IFS(J268&lt;1,"",J268=1,"Pass",J268&gt;1,_xlfn.TEXTJOIN("",TRUE,"Pass x",J268))</f>
        <v>Pass</v>
      </c>
      <c r="M268" s="13" t="str" cm="1">
        <f t="array" ref="M268">_xlfn.IFS(K268&lt;1,"",K268=1,"Fail",K268&gt;1,_xlfn.TEXTJOIN("",TRUE,"Fail x",K268))</f>
        <v>Fail</v>
      </c>
      <c r="N268" t="str">
        <f t="shared" si="18"/>
        <v>Pass, Fail</v>
      </c>
    </row>
    <row r="269" spans="8:14">
      <c r="H269" s="13">
        <f t="shared" si="16"/>
        <v>2</v>
      </c>
      <c r="I269" t="str" cm="1">
        <f t="array" ref="I269">_xlfn.IFS(H269&lt;1,"No",H269=1,"Yes",H269&gt;1,_xlfn.TEXTJOIN("",TRUE,"Yes x",H269))</f>
        <v>Yes x2</v>
      </c>
      <c r="J269" s="13">
        <f t="shared" si="17"/>
        <v>1</v>
      </c>
      <c r="K269" s="13">
        <f t="shared" si="19"/>
        <v>1</v>
      </c>
      <c r="L269" s="13" t="str" cm="1">
        <f t="array" ref="L269">_xlfn.IFS(J269&lt;1,"",J269=1,"Pass",J269&gt;1,_xlfn.TEXTJOIN("",TRUE,"Pass x",J269))</f>
        <v>Pass</v>
      </c>
      <c r="M269" s="13" t="str" cm="1">
        <f t="array" ref="M269">_xlfn.IFS(K269&lt;1,"",K269=1,"Fail",K269&gt;1,_xlfn.TEXTJOIN("",TRUE,"Fail x",K269))</f>
        <v>Fail</v>
      </c>
      <c r="N269" t="str">
        <f t="shared" si="18"/>
        <v>Pass, Fail</v>
      </c>
    </row>
    <row r="270" spans="8:14">
      <c r="H270" s="13">
        <f t="shared" si="16"/>
        <v>2</v>
      </c>
      <c r="I270" t="str" cm="1">
        <f t="array" ref="I270">_xlfn.IFS(H270&lt;1,"No",H270=1,"Yes",H270&gt;1,_xlfn.TEXTJOIN("",TRUE,"Yes x",H270))</f>
        <v>Yes x2</v>
      </c>
      <c r="J270" s="13">
        <f t="shared" si="17"/>
        <v>1</v>
      </c>
      <c r="K270" s="13">
        <f t="shared" si="19"/>
        <v>1</v>
      </c>
      <c r="L270" s="13" t="str" cm="1">
        <f t="array" ref="L270">_xlfn.IFS(J270&lt;1,"",J270=1,"Pass",J270&gt;1,_xlfn.TEXTJOIN("",TRUE,"Pass x",J270))</f>
        <v>Pass</v>
      </c>
      <c r="M270" s="13" t="str" cm="1">
        <f t="array" ref="M270">_xlfn.IFS(K270&lt;1,"",K270=1,"Fail",K270&gt;1,_xlfn.TEXTJOIN("",TRUE,"Fail x",K270))</f>
        <v>Fail</v>
      </c>
      <c r="N270" t="str">
        <f t="shared" si="18"/>
        <v>Pass, Fail</v>
      </c>
    </row>
    <row r="271" spans="8:14">
      <c r="H271" s="13">
        <f t="shared" si="16"/>
        <v>2</v>
      </c>
      <c r="I271" t="str" cm="1">
        <f t="array" ref="I271">_xlfn.IFS(H271&lt;1,"No",H271=1,"Yes",H271&gt;1,_xlfn.TEXTJOIN("",TRUE,"Yes x",H271))</f>
        <v>Yes x2</v>
      </c>
      <c r="J271" s="13">
        <f t="shared" si="17"/>
        <v>1</v>
      </c>
      <c r="K271" s="13">
        <f t="shared" si="19"/>
        <v>1</v>
      </c>
      <c r="L271" s="13" t="str" cm="1">
        <f t="array" ref="L271">_xlfn.IFS(J271&lt;1,"",J271=1,"Pass",J271&gt;1,_xlfn.TEXTJOIN("",TRUE,"Pass x",J271))</f>
        <v>Pass</v>
      </c>
      <c r="M271" s="13" t="str" cm="1">
        <f t="array" ref="M271">_xlfn.IFS(K271&lt;1,"",K271=1,"Fail",K271&gt;1,_xlfn.TEXTJOIN("",TRUE,"Fail x",K271))</f>
        <v>Fail</v>
      </c>
      <c r="N271" t="str">
        <f t="shared" si="18"/>
        <v>Pass, Fail</v>
      </c>
    </row>
    <row r="272" spans="8:14">
      <c r="H272" s="13">
        <f t="shared" si="16"/>
        <v>2</v>
      </c>
      <c r="I272" t="str" cm="1">
        <f t="array" ref="I272">_xlfn.IFS(H272&lt;1,"No",H272=1,"Yes",H272&gt;1,_xlfn.TEXTJOIN("",TRUE,"Yes x",H272))</f>
        <v>Yes x2</v>
      </c>
      <c r="J272" s="13">
        <f t="shared" si="17"/>
        <v>1</v>
      </c>
      <c r="K272" s="13">
        <f t="shared" si="19"/>
        <v>1</v>
      </c>
      <c r="L272" s="13" t="str" cm="1">
        <f t="array" ref="L272">_xlfn.IFS(J272&lt;1,"",J272=1,"Pass",J272&gt;1,_xlfn.TEXTJOIN("",TRUE,"Pass x",J272))</f>
        <v>Pass</v>
      </c>
      <c r="M272" s="13" t="str" cm="1">
        <f t="array" ref="M272">_xlfn.IFS(K272&lt;1,"",K272=1,"Fail",K272&gt;1,_xlfn.TEXTJOIN("",TRUE,"Fail x",K272))</f>
        <v>Fail</v>
      </c>
      <c r="N272" t="str">
        <f t="shared" si="18"/>
        <v>Pass, Fail</v>
      </c>
    </row>
    <row r="273" spans="8:14">
      <c r="H273" s="13">
        <f t="shared" si="16"/>
        <v>2</v>
      </c>
      <c r="I273" t="str" cm="1">
        <f t="array" ref="I273">_xlfn.IFS(H273&lt;1,"No",H273=1,"Yes",H273&gt;1,_xlfn.TEXTJOIN("",TRUE,"Yes x",H273))</f>
        <v>Yes x2</v>
      </c>
      <c r="J273" s="13">
        <f t="shared" si="17"/>
        <v>1</v>
      </c>
      <c r="K273" s="13">
        <f t="shared" si="19"/>
        <v>1</v>
      </c>
      <c r="L273" s="13" t="str" cm="1">
        <f t="array" ref="L273">_xlfn.IFS(J273&lt;1,"",J273=1,"Pass",J273&gt;1,_xlfn.TEXTJOIN("",TRUE,"Pass x",J273))</f>
        <v>Pass</v>
      </c>
      <c r="M273" s="13" t="str" cm="1">
        <f t="array" ref="M273">_xlfn.IFS(K273&lt;1,"",K273=1,"Fail",K273&gt;1,_xlfn.TEXTJOIN("",TRUE,"Fail x",K273))</f>
        <v>Fail</v>
      </c>
      <c r="N273" t="str">
        <f t="shared" si="18"/>
        <v>Pass, Fail</v>
      </c>
    </row>
    <row r="274" spans="8:14">
      <c r="H274" s="13">
        <f t="shared" si="16"/>
        <v>2</v>
      </c>
      <c r="I274" t="str" cm="1">
        <f t="array" ref="I274">_xlfn.IFS(H274&lt;1,"No",H274=1,"Yes",H274&gt;1,_xlfn.TEXTJOIN("",TRUE,"Yes x",H274))</f>
        <v>Yes x2</v>
      </c>
      <c r="J274" s="13">
        <f t="shared" si="17"/>
        <v>1</v>
      </c>
      <c r="K274" s="13">
        <f t="shared" si="19"/>
        <v>1</v>
      </c>
      <c r="L274" s="13" t="str" cm="1">
        <f t="array" ref="L274">_xlfn.IFS(J274&lt;1,"",J274=1,"Pass",J274&gt;1,_xlfn.TEXTJOIN("",TRUE,"Pass x",J274))</f>
        <v>Pass</v>
      </c>
      <c r="M274" s="13" t="str" cm="1">
        <f t="array" ref="M274">_xlfn.IFS(K274&lt;1,"",K274=1,"Fail",K274&gt;1,_xlfn.TEXTJOIN("",TRUE,"Fail x",K274))</f>
        <v>Fail</v>
      </c>
      <c r="N274" t="str">
        <f t="shared" si="18"/>
        <v>Pass, Fail</v>
      </c>
    </row>
    <row r="275" spans="8:14">
      <c r="H275" s="13">
        <f t="shared" si="16"/>
        <v>2</v>
      </c>
      <c r="I275" t="str" cm="1">
        <f t="array" ref="I275">_xlfn.IFS(H275&lt;1,"No",H275=1,"Yes",H275&gt;1,_xlfn.TEXTJOIN("",TRUE,"Yes x",H275))</f>
        <v>Yes x2</v>
      </c>
      <c r="J275" s="13">
        <f t="shared" si="17"/>
        <v>1</v>
      </c>
      <c r="K275" s="13">
        <f t="shared" si="19"/>
        <v>1</v>
      </c>
      <c r="L275" s="13" t="str" cm="1">
        <f t="array" ref="L275">_xlfn.IFS(J275&lt;1,"",J275=1,"Pass",J275&gt;1,_xlfn.TEXTJOIN("",TRUE,"Pass x",J275))</f>
        <v>Pass</v>
      </c>
      <c r="M275" s="13" t="str" cm="1">
        <f t="array" ref="M275">_xlfn.IFS(K275&lt;1,"",K275=1,"Fail",K275&gt;1,_xlfn.TEXTJOIN("",TRUE,"Fail x",K275))</f>
        <v>Fail</v>
      </c>
      <c r="N275" t="str">
        <f t="shared" si="18"/>
        <v>Pass, Fail</v>
      </c>
    </row>
    <row r="276" spans="8:14">
      <c r="H276" s="13">
        <f t="shared" si="16"/>
        <v>2</v>
      </c>
      <c r="I276" t="str" cm="1">
        <f t="array" ref="I276">_xlfn.IFS(H276&lt;1,"No",H276=1,"Yes",H276&gt;1,_xlfn.TEXTJOIN("",TRUE,"Yes x",H276))</f>
        <v>Yes x2</v>
      </c>
      <c r="J276" s="13">
        <f t="shared" si="17"/>
        <v>1</v>
      </c>
      <c r="K276" s="13">
        <f t="shared" si="19"/>
        <v>1</v>
      </c>
      <c r="L276" s="13" t="str" cm="1">
        <f t="array" ref="L276">_xlfn.IFS(J276&lt;1,"",J276=1,"Pass",J276&gt;1,_xlfn.TEXTJOIN("",TRUE,"Pass x",J276))</f>
        <v>Pass</v>
      </c>
      <c r="M276" s="13" t="str" cm="1">
        <f t="array" ref="M276">_xlfn.IFS(K276&lt;1,"",K276=1,"Fail",K276&gt;1,_xlfn.TEXTJOIN("",TRUE,"Fail x",K276))</f>
        <v>Fail</v>
      </c>
      <c r="N276" t="str">
        <f t="shared" si="18"/>
        <v>Pass, Fail</v>
      </c>
    </row>
    <row r="277" spans="8:14">
      <c r="H277" s="13">
        <f t="shared" si="16"/>
        <v>2</v>
      </c>
      <c r="I277" t="str" cm="1">
        <f t="array" ref="I277">_xlfn.IFS(H277&lt;1,"No",H277=1,"Yes",H277&gt;1,_xlfn.TEXTJOIN("",TRUE,"Yes x",H277))</f>
        <v>Yes x2</v>
      </c>
      <c r="J277" s="13">
        <f t="shared" si="17"/>
        <v>1</v>
      </c>
      <c r="K277" s="13">
        <f t="shared" si="19"/>
        <v>1</v>
      </c>
      <c r="L277" s="13" t="str" cm="1">
        <f t="array" ref="L277">_xlfn.IFS(J277&lt;1,"",J277=1,"Pass",J277&gt;1,_xlfn.TEXTJOIN("",TRUE,"Pass x",J277))</f>
        <v>Pass</v>
      </c>
      <c r="M277" s="13" t="str" cm="1">
        <f t="array" ref="M277">_xlfn.IFS(K277&lt;1,"",K277=1,"Fail",K277&gt;1,_xlfn.TEXTJOIN("",TRUE,"Fail x",K277))</f>
        <v>Fail</v>
      </c>
      <c r="N277" t="str">
        <f t="shared" si="18"/>
        <v>Pass, Fail</v>
      </c>
    </row>
    <row r="278" spans="8:14">
      <c r="H278" s="13">
        <f t="shared" si="16"/>
        <v>2</v>
      </c>
      <c r="I278" t="str" cm="1">
        <f t="array" ref="I278">_xlfn.IFS(H278&lt;1,"No",H278=1,"Yes",H278&gt;1,_xlfn.TEXTJOIN("",TRUE,"Yes x",H278))</f>
        <v>Yes x2</v>
      </c>
      <c r="J278" s="13">
        <f t="shared" si="17"/>
        <v>1</v>
      </c>
      <c r="K278" s="13">
        <f t="shared" si="19"/>
        <v>1</v>
      </c>
      <c r="L278" s="13" t="str" cm="1">
        <f t="array" ref="L278">_xlfn.IFS(J278&lt;1,"",J278=1,"Pass",J278&gt;1,_xlfn.TEXTJOIN("",TRUE,"Pass x",J278))</f>
        <v>Pass</v>
      </c>
      <c r="M278" s="13" t="str" cm="1">
        <f t="array" ref="M278">_xlfn.IFS(K278&lt;1,"",K278=1,"Fail",K278&gt;1,_xlfn.TEXTJOIN("",TRUE,"Fail x",K278))</f>
        <v>Fail</v>
      </c>
      <c r="N278" t="str">
        <f t="shared" si="18"/>
        <v>Pass, Fail</v>
      </c>
    </row>
    <row r="279" spans="8:14">
      <c r="H279" s="13">
        <f t="shared" si="16"/>
        <v>2</v>
      </c>
      <c r="I279" t="str" cm="1">
        <f t="array" ref="I279">_xlfn.IFS(H279&lt;1,"No",H279=1,"Yes",H279&gt;1,_xlfn.TEXTJOIN("",TRUE,"Yes x",H279))</f>
        <v>Yes x2</v>
      </c>
      <c r="J279" s="13">
        <f t="shared" si="17"/>
        <v>1</v>
      </c>
      <c r="K279" s="13">
        <f t="shared" si="19"/>
        <v>1</v>
      </c>
      <c r="L279" s="13" t="str" cm="1">
        <f t="array" ref="L279">_xlfn.IFS(J279&lt;1,"",J279=1,"Pass",J279&gt;1,_xlfn.TEXTJOIN("",TRUE,"Pass x",J279))</f>
        <v>Pass</v>
      </c>
      <c r="M279" s="13" t="str" cm="1">
        <f t="array" ref="M279">_xlfn.IFS(K279&lt;1,"",K279=1,"Fail",K279&gt;1,_xlfn.TEXTJOIN("",TRUE,"Fail x",K279))</f>
        <v>Fail</v>
      </c>
      <c r="N279" t="str">
        <f t="shared" si="18"/>
        <v>Pass, Fail</v>
      </c>
    </row>
    <row r="280" spans="8:14">
      <c r="H280" s="13">
        <f t="shared" si="16"/>
        <v>2</v>
      </c>
      <c r="I280" t="str" cm="1">
        <f t="array" ref="I280">_xlfn.IFS(H280&lt;1,"No",H280=1,"Yes",H280&gt;1,_xlfn.TEXTJOIN("",TRUE,"Yes x",H280))</f>
        <v>Yes x2</v>
      </c>
      <c r="J280" s="13">
        <f t="shared" si="17"/>
        <v>1</v>
      </c>
      <c r="K280" s="13">
        <f t="shared" si="19"/>
        <v>1</v>
      </c>
      <c r="L280" s="13" t="str" cm="1">
        <f t="array" ref="L280">_xlfn.IFS(J280&lt;1,"",J280=1,"Pass",J280&gt;1,_xlfn.TEXTJOIN("",TRUE,"Pass x",J280))</f>
        <v>Pass</v>
      </c>
      <c r="M280" s="13" t="str" cm="1">
        <f t="array" ref="M280">_xlfn.IFS(K280&lt;1,"",K280=1,"Fail",K280&gt;1,_xlfn.TEXTJOIN("",TRUE,"Fail x",K280))</f>
        <v>Fail</v>
      </c>
      <c r="N280" t="str">
        <f t="shared" si="18"/>
        <v>Pass, Fail</v>
      </c>
    </row>
    <row r="281" spans="8:14">
      <c r="H281" s="13">
        <f t="shared" si="16"/>
        <v>2</v>
      </c>
      <c r="I281" t="str" cm="1">
        <f t="array" ref="I281">_xlfn.IFS(H281&lt;1,"No",H281=1,"Yes",H281&gt;1,_xlfn.TEXTJOIN("",TRUE,"Yes x",H281))</f>
        <v>Yes x2</v>
      </c>
      <c r="J281" s="13">
        <f t="shared" si="17"/>
        <v>1</v>
      </c>
      <c r="K281" s="13">
        <f t="shared" si="19"/>
        <v>1</v>
      </c>
      <c r="L281" s="13" t="str" cm="1">
        <f t="array" ref="L281">_xlfn.IFS(J281&lt;1,"",J281=1,"Pass",J281&gt;1,_xlfn.TEXTJOIN("",TRUE,"Pass x",J281))</f>
        <v>Pass</v>
      </c>
      <c r="M281" s="13" t="str" cm="1">
        <f t="array" ref="M281">_xlfn.IFS(K281&lt;1,"",K281=1,"Fail",K281&gt;1,_xlfn.TEXTJOIN("",TRUE,"Fail x",K281))</f>
        <v>Fail</v>
      </c>
      <c r="N281" t="str">
        <f t="shared" si="18"/>
        <v>Pass, Fail</v>
      </c>
    </row>
    <row r="282" spans="8:14">
      <c r="H282" s="13">
        <f t="shared" si="16"/>
        <v>2</v>
      </c>
      <c r="I282" t="str" cm="1">
        <f t="array" ref="I282">_xlfn.IFS(H282&lt;1,"No",H282=1,"Yes",H282&gt;1,_xlfn.TEXTJOIN("",TRUE,"Yes x",H282))</f>
        <v>Yes x2</v>
      </c>
      <c r="J282" s="13">
        <f t="shared" si="17"/>
        <v>1</v>
      </c>
      <c r="K282" s="13">
        <f t="shared" si="19"/>
        <v>1</v>
      </c>
      <c r="L282" s="13" t="str" cm="1">
        <f t="array" ref="L282">_xlfn.IFS(J282&lt;1,"",J282=1,"Pass",J282&gt;1,_xlfn.TEXTJOIN("",TRUE,"Pass x",J282))</f>
        <v>Pass</v>
      </c>
      <c r="M282" s="13" t="str" cm="1">
        <f t="array" ref="M282">_xlfn.IFS(K282&lt;1,"",K282=1,"Fail",K282&gt;1,_xlfn.TEXTJOIN("",TRUE,"Fail x",K282))</f>
        <v>Fail</v>
      </c>
      <c r="N282" t="str">
        <f t="shared" si="18"/>
        <v>Pass, Fail</v>
      </c>
    </row>
    <row r="283" spans="8:14">
      <c r="H283" s="13">
        <f t="shared" si="16"/>
        <v>2</v>
      </c>
      <c r="I283" t="str" cm="1">
        <f t="array" ref="I283">_xlfn.IFS(H283&lt;1,"No",H283=1,"Yes",H283&gt;1,_xlfn.TEXTJOIN("",TRUE,"Yes x",H283))</f>
        <v>Yes x2</v>
      </c>
      <c r="J283" s="13">
        <f t="shared" si="17"/>
        <v>1</v>
      </c>
      <c r="K283" s="13">
        <f t="shared" si="19"/>
        <v>1</v>
      </c>
      <c r="L283" s="13" t="str" cm="1">
        <f t="array" ref="L283">_xlfn.IFS(J283&lt;1,"",J283=1,"Pass",J283&gt;1,_xlfn.TEXTJOIN("",TRUE,"Pass x",J283))</f>
        <v>Pass</v>
      </c>
      <c r="M283" s="13" t="str" cm="1">
        <f t="array" ref="M283">_xlfn.IFS(K283&lt;1,"",K283=1,"Fail",K283&gt;1,_xlfn.TEXTJOIN("",TRUE,"Fail x",K283))</f>
        <v>Fail</v>
      </c>
      <c r="N283" t="str">
        <f t="shared" si="18"/>
        <v>Pass, Fail</v>
      </c>
    </row>
    <row r="284" spans="8:14">
      <c r="H284" s="13">
        <f t="shared" si="16"/>
        <v>2</v>
      </c>
      <c r="I284" t="str" cm="1">
        <f t="array" ref="I284">_xlfn.IFS(H284&lt;1,"No",H284=1,"Yes",H284&gt;1,_xlfn.TEXTJOIN("",TRUE,"Yes x",H284))</f>
        <v>Yes x2</v>
      </c>
      <c r="J284" s="13">
        <f t="shared" si="17"/>
        <v>1</v>
      </c>
      <c r="K284" s="13">
        <f t="shared" si="19"/>
        <v>1</v>
      </c>
      <c r="L284" s="13" t="str" cm="1">
        <f t="array" ref="L284">_xlfn.IFS(J284&lt;1,"",J284=1,"Pass",J284&gt;1,_xlfn.TEXTJOIN("",TRUE,"Pass x",J284))</f>
        <v>Pass</v>
      </c>
      <c r="M284" s="13" t="str" cm="1">
        <f t="array" ref="M284">_xlfn.IFS(K284&lt;1,"",K284=1,"Fail",K284&gt;1,_xlfn.TEXTJOIN("",TRUE,"Fail x",K284))</f>
        <v>Fail</v>
      </c>
      <c r="N284" t="str">
        <f t="shared" si="18"/>
        <v>Pass, Fail</v>
      </c>
    </row>
    <row r="285" spans="8:14">
      <c r="H285" s="13">
        <f t="shared" si="16"/>
        <v>2</v>
      </c>
      <c r="I285" t="str" cm="1">
        <f t="array" ref="I285">_xlfn.IFS(H285&lt;1,"No",H285=1,"Yes",H285&gt;1,_xlfn.TEXTJOIN("",TRUE,"Yes x",H285))</f>
        <v>Yes x2</v>
      </c>
      <c r="J285" s="13">
        <f t="shared" si="17"/>
        <v>1</v>
      </c>
      <c r="K285" s="13">
        <f t="shared" si="19"/>
        <v>1</v>
      </c>
      <c r="L285" s="13" t="str" cm="1">
        <f t="array" ref="L285">_xlfn.IFS(J285&lt;1,"",J285=1,"Pass",J285&gt;1,_xlfn.TEXTJOIN("",TRUE,"Pass x",J285))</f>
        <v>Pass</v>
      </c>
      <c r="M285" s="13" t="str" cm="1">
        <f t="array" ref="M285">_xlfn.IFS(K285&lt;1,"",K285=1,"Fail",K285&gt;1,_xlfn.TEXTJOIN("",TRUE,"Fail x",K285))</f>
        <v>Fail</v>
      </c>
      <c r="N285" t="str">
        <f t="shared" si="18"/>
        <v>Pass, Fail</v>
      </c>
    </row>
    <row r="286" spans="8:14">
      <c r="H286" s="13">
        <f t="shared" si="16"/>
        <v>2</v>
      </c>
      <c r="I286" t="str" cm="1">
        <f t="array" ref="I286">_xlfn.IFS(H286&lt;1,"No",H286=1,"Yes",H286&gt;1,_xlfn.TEXTJOIN("",TRUE,"Yes x",H286))</f>
        <v>Yes x2</v>
      </c>
      <c r="J286" s="13">
        <f t="shared" si="17"/>
        <v>1</v>
      </c>
      <c r="K286" s="13">
        <f t="shared" si="19"/>
        <v>1</v>
      </c>
      <c r="L286" s="13" t="str" cm="1">
        <f t="array" ref="L286">_xlfn.IFS(J286&lt;1,"",J286=1,"Pass",J286&gt;1,_xlfn.TEXTJOIN("",TRUE,"Pass x",J286))</f>
        <v>Pass</v>
      </c>
      <c r="M286" s="13" t="str" cm="1">
        <f t="array" ref="M286">_xlfn.IFS(K286&lt;1,"",K286=1,"Fail",K286&gt;1,_xlfn.TEXTJOIN("",TRUE,"Fail x",K286))</f>
        <v>Fail</v>
      </c>
      <c r="N286" t="str">
        <f t="shared" si="18"/>
        <v>Pass, Fail</v>
      </c>
    </row>
    <row r="287" spans="8:14">
      <c r="H287" s="13">
        <f t="shared" si="16"/>
        <v>2</v>
      </c>
      <c r="I287" t="str" cm="1">
        <f t="array" ref="I287">_xlfn.IFS(H287&lt;1,"No",H287=1,"Yes",H287&gt;1,_xlfn.TEXTJOIN("",TRUE,"Yes x",H287))</f>
        <v>Yes x2</v>
      </c>
      <c r="J287" s="13">
        <f t="shared" si="17"/>
        <v>1</v>
      </c>
      <c r="K287" s="13">
        <f t="shared" si="19"/>
        <v>1</v>
      </c>
      <c r="L287" s="13" t="str" cm="1">
        <f t="array" ref="L287">_xlfn.IFS(J287&lt;1,"",J287=1,"Pass",J287&gt;1,_xlfn.TEXTJOIN("",TRUE,"Pass x",J287))</f>
        <v>Pass</v>
      </c>
      <c r="M287" s="13" t="str" cm="1">
        <f t="array" ref="M287">_xlfn.IFS(K287&lt;1,"",K287=1,"Fail",K287&gt;1,_xlfn.TEXTJOIN("",TRUE,"Fail x",K287))</f>
        <v>Fail</v>
      </c>
      <c r="N287" t="str">
        <f t="shared" si="18"/>
        <v>Pass, Fail</v>
      </c>
    </row>
    <row r="288" spans="8:14">
      <c r="H288" s="13">
        <f t="shared" si="16"/>
        <v>2</v>
      </c>
      <c r="I288" t="str" cm="1">
        <f t="array" ref="I288">_xlfn.IFS(H288&lt;1,"No",H288=1,"Yes",H288&gt;1,_xlfn.TEXTJOIN("",TRUE,"Yes x",H288))</f>
        <v>Yes x2</v>
      </c>
      <c r="J288" s="13">
        <f t="shared" si="17"/>
        <v>1</v>
      </c>
      <c r="K288" s="13">
        <f t="shared" si="19"/>
        <v>1</v>
      </c>
      <c r="L288" s="13" t="str" cm="1">
        <f t="array" ref="L288">_xlfn.IFS(J288&lt;1,"",J288=1,"Pass",J288&gt;1,_xlfn.TEXTJOIN("",TRUE,"Pass x",J288))</f>
        <v>Pass</v>
      </c>
      <c r="M288" s="13" t="str" cm="1">
        <f t="array" ref="M288">_xlfn.IFS(K288&lt;1,"",K288=1,"Fail",K288&gt;1,_xlfn.TEXTJOIN("",TRUE,"Fail x",K288))</f>
        <v>Fail</v>
      </c>
      <c r="N288" t="str">
        <f t="shared" si="18"/>
        <v>Pass, Fail</v>
      </c>
    </row>
    <row r="289" spans="8:14">
      <c r="H289" s="13">
        <f t="shared" si="16"/>
        <v>2</v>
      </c>
      <c r="I289" t="str" cm="1">
        <f t="array" ref="I289">_xlfn.IFS(H289&lt;1,"No",H289=1,"Yes",H289&gt;1,_xlfn.TEXTJOIN("",TRUE,"Yes x",H289))</f>
        <v>Yes x2</v>
      </c>
      <c r="J289" s="13">
        <f t="shared" si="17"/>
        <v>1</v>
      </c>
      <c r="K289" s="13">
        <f t="shared" si="19"/>
        <v>1</v>
      </c>
      <c r="L289" s="13" t="str" cm="1">
        <f t="array" ref="L289">_xlfn.IFS(J289&lt;1,"",J289=1,"Pass",J289&gt;1,_xlfn.TEXTJOIN("",TRUE,"Pass x",J289))</f>
        <v>Pass</v>
      </c>
      <c r="M289" s="13" t="str" cm="1">
        <f t="array" ref="M289">_xlfn.IFS(K289&lt;1,"",K289=1,"Fail",K289&gt;1,_xlfn.TEXTJOIN("",TRUE,"Fail x",K289))</f>
        <v>Fail</v>
      </c>
      <c r="N289" t="str">
        <f t="shared" si="18"/>
        <v>Pass, Fail</v>
      </c>
    </row>
    <row r="290" spans="8:14">
      <c r="H290" s="13">
        <f t="shared" si="16"/>
        <v>2</v>
      </c>
      <c r="I290" t="str" cm="1">
        <f t="array" ref="I290">_xlfn.IFS(H290&lt;1,"No",H290=1,"Yes",H290&gt;1,_xlfn.TEXTJOIN("",TRUE,"Yes x",H290))</f>
        <v>Yes x2</v>
      </c>
      <c r="J290" s="13">
        <f t="shared" si="17"/>
        <v>1</v>
      </c>
      <c r="K290" s="13">
        <f t="shared" si="19"/>
        <v>1</v>
      </c>
      <c r="L290" s="13" t="str" cm="1">
        <f t="array" ref="L290">_xlfn.IFS(J290&lt;1,"",J290=1,"Pass",J290&gt;1,_xlfn.TEXTJOIN("",TRUE,"Pass x",J290))</f>
        <v>Pass</v>
      </c>
      <c r="M290" s="13" t="str" cm="1">
        <f t="array" ref="M290">_xlfn.IFS(K290&lt;1,"",K290=1,"Fail",K290&gt;1,_xlfn.TEXTJOIN("",TRUE,"Fail x",K290))</f>
        <v>Fail</v>
      </c>
      <c r="N290" t="str">
        <f t="shared" si="18"/>
        <v>Pass, Fail</v>
      </c>
    </row>
    <row r="291" spans="8:14">
      <c r="H291" s="13">
        <f t="shared" si="16"/>
        <v>2</v>
      </c>
      <c r="I291" t="str" cm="1">
        <f t="array" ref="I291">_xlfn.IFS(H291&lt;1,"No",H291=1,"Yes",H291&gt;1,_xlfn.TEXTJOIN("",TRUE,"Yes x",H291))</f>
        <v>Yes x2</v>
      </c>
      <c r="J291" s="13">
        <f t="shared" si="17"/>
        <v>1</v>
      </c>
      <c r="K291" s="13">
        <f t="shared" si="19"/>
        <v>1</v>
      </c>
      <c r="L291" s="13" t="str" cm="1">
        <f t="array" ref="L291">_xlfn.IFS(J291&lt;1,"",J291=1,"Pass",J291&gt;1,_xlfn.TEXTJOIN("",TRUE,"Pass x",J291))</f>
        <v>Pass</v>
      </c>
      <c r="M291" s="13" t="str" cm="1">
        <f t="array" ref="M291">_xlfn.IFS(K291&lt;1,"",K291=1,"Fail",K291&gt;1,_xlfn.TEXTJOIN("",TRUE,"Fail x",K291))</f>
        <v>Fail</v>
      </c>
      <c r="N291" t="str">
        <f t="shared" si="18"/>
        <v>Pass, Fail</v>
      </c>
    </row>
    <row r="292" spans="8:14">
      <c r="H292" s="13">
        <f t="shared" ref="H292:H355" si="20">IFERROR(GETPIVOTDATA("Successful / Failed",$A$1,"System serial",G292),0)</f>
        <v>2</v>
      </c>
      <c r="I292" t="str" cm="1">
        <f t="array" ref="I292">_xlfn.IFS(H292&lt;1,"No",H292=1,"Yes",H292&gt;1,_xlfn.TEXTJOIN("",TRUE,"Yes x",H292))</f>
        <v>Yes x2</v>
      </c>
      <c r="J292" s="13">
        <f t="shared" ref="J292:J355" si="21">IFERROR(GETPIVOTDATA("Successful / Failed",$A$1,"System serial",G292,"Successful / Failed","Successful"),0)</f>
        <v>1</v>
      </c>
      <c r="K292" s="13">
        <f t="shared" si="19"/>
        <v>1</v>
      </c>
      <c r="L292" s="13" t="str" cm="1">
        <f t="array" ref="L292">_xlfn.IFS(J292&lt;1,"",J292=1,"Pass",J292&gt;1,_xlfn.TEXTJOIN("",TRUE,"Pass x",J292))</f>
        <v>Pass</v>
      </c>
      <c r="M292" s="13" t="str" cm="1">
        <f t="array" ref="M292">_xlfn.IFS(K292&lt;1,"",K292=1,"Fail",K292&gt;1,_xlfn.TEXTJOIN("",TRUE,"Fail x",K292))</f>
        <v>Fail</v>
      </c>
      <c r="N292" t="str">
        <f t="shared" ref="N292:N355" si="22">_xlfn.TEXTJOIN(", ",TRUE, L292, M292)</f>
        <v>Pass, Fail</v>
      </c>
    </row>
    <row r="293" spans="8:14">
      <c r="H293" s="13">
        <f t="shared" si="20"/>
        <v>2</v>
      </c>
      <c r="I293" t="str" cm="1">
        <f t="array" ref="I293">_xlfn.IFS(H293&lt;1,"No",H293=1,"Yes",H293&gt;1,_xlfn.TEXTJOIN("",TRUE,"Yes x",H293))</f>
        <v>Yes x2</v>
      </c>
      <c r="J293" s="13">
        <f t="shared" si="21"/>
        <v>1</v>
      </c>
      <c r="K293" s="13">
        <f t="shared" si="19"/>
        <v>1</v>
      </c>
      <c r="L293" s="13" t="str" cm="1">
        <f t="array" ref="L293">_xlfn.IFS(J293&lt;1,"",J293=1,"Pass",J293&gt;1,_xlfn.TEXTJOIN("",TRUE,"Pass x",J293))</f>
        <v>Pass</v>
      </c>
      <c r="M293" s="13" t="str" cm="1">
        <f t="array" ref="M293">_xlfn.IFS(K293&lt;1,"",K293=1,"Fail",K293&gt;1,_xlfn.TEXTJOIN("",TRUE,"Fail x",K293))</f>
        <v>Fail</v>
      </c>
      <c r="N293" t="str">
        <f t="shared" si="22"/>
        <v>Pass, Fail</v>
      </c>
    </row>
    <row r="294" spans="8:14">
      <c r="H294" s="13">
        <f t="shared" si="20"/>
        <v>2</v>
      </c>
      <c r="I294" t="str" cm="1">
        <f t="array" ref="I294">_xlfn.IFS(H294&lt;1,"No",H294=1,"Yes",H294&gt;1,_xlfn.TEXTJOIN("",TRUE,"Yes x",H294))</f>
        <v>Yes x2</v>
      </c>
      <c r="J294" s="13">
        <f t="shared" si="21"/>
        <v>1</v>
      </c>
      <c r="K294" s="13">
        <f t="shared" si="19"/>
        <v>1</v>
      </c>
      <c r="L294" s="13" t="str" cm="1">
        <f t="array" ref="L294">_xlfn.IFS(J294&lt;1,"",J294=1,"Pass",J294&gt;1,_xlfn.TEXTJOIN("",TRUE,"Pass x",J294))</f>
        <v>Pass</v>
      </c>
      <c r="M294" s="13" t="str" cm="1">
        <f t="array" ref="M294">_xlfn.IFS(K294&lt;1,"",K294=1,"Fail",K294&gt;1,_xlfn.TEXTJOIN("",TRUE,"Fail x",K294))</f>
        <v>Fail</v>
      </c>
      <c r="N294" t="str">
        <f t="shared" si="22"/>
        <v>Pass, Fail</v>
      </c>
    </row>
    <row r="295" spans="8:14">
      <c r="H295" s="13">
        <f t="shared" si="20"/>
        <v>2</v>
      </c>
      <c r="I295" t="str" cm="1">
        <f t="array" ref="I295">_xlfn.IFS(H295&lt;1,"No",H295=1,"Yes",H295&gt;1,_xlfn.TEXTJOIN("",TRUE,"Yes x",H295))</f>
        <v>Yes x2</v>
      </c>
      <c r="J295" s="13">
        <f t="shared" si="21"/>
        <v>1</v>
      </c>
      <c r="K295" s="13">
        <f t="shared" si="19"/>
        <v>1</v>
      </c>
      <c r="L295" s="13" t="str" cm="1">
        <f t="array" ref="L295">_xlfn.IFS(J295&lt;1,"",J295=1,"Pass",J295&gt;1,_xlfn.TEXTJOIN("",TRUE,"Pass x",J295))</f>
        <v>Pass</v>
      </c>
      <c r="M295" s="13" t="str" cm="1">
        <f t="array" ref="M295">_xlfn.IFS(K295&lt;1,"",K295=1,"Fail",K295&gt;1,_xlfn.TEXTJOIN("",TRUE,"Fail x",K295))</f>
        <v>Fail</v>
      </c>
      <c r="N295" t="str">
        <f t="shared" si="22"/>
        <v>Pass, Fail</v>
      </c>
    </row>
    <row r="296" spans="8:14">
      <c r="H296" s="13">
        <f t="shared" si="20"/>
        <v>2</v>
      </c>
      <c r="I296" t="str" cm="1">
        <f t="array" ref="I296">_xlfn.IFS(H296&lt;1,"No",H296=1,"Yes",H296&gt;1,_xlfn.TEXTJOIN("",TRUE,"Yes x",H296))</f>
        <v>Yes x2</v>
      </c>
      <c r="J296" s="13">
        <f t="shared" si="21"/>
        <v>1</v>
      </c>
      <c r="K296" s="13">
        <f t="shared" si="19"/>
        <v>1</v>
      </c>
      <c r="L296" s="13" t="str" cm="1">
        <f t="array" ref="L296">_xlfn.IFS(J296&lt;1,"",J296=1,"Pass",J296&gt;1,_xlfn.TEXTJOIN("",TRUE,"Pass x",J296))</f>
        <v>Pass</v>
      </c>
      <c r="M296" s="13" t="str" cm="1">
        <f t="array" ref="M296">_xlfn.IFS(K296&lt;1,"",K296=1,"Fail",K296&gt;1,_xlfn.TEXTJOIN("",TRUE,"Fail x",K296))</f>
        <v>Fail</v>
      </c>
      <c r="N296" t="str">
        <f t="shared" si="22"/>
        <v>Pass, Fail</v>
      </c>
    </row>
    <row r="297" spans="8:14">
      <c r="H297" s="13">
        <f t="shared" si="20"/>
        <v>2</v>
      </c>
      <c r="I297" t="str" cm="1">
        <f t="array" ref="I297">_xlfn.IFS(H297&lt;1,"No",H297=1,"Yes",H297&gt;1,_xlfn.TEXTJOIN("",TRUE,"Yes x",H297))</f>
        <v>Yes x2</v>
      </c>
      <c r="J297" s="13">
        <f t="shared" si="21"/>
        <v>1</v>
      </c>
      <c r="K297" s="13">
        <f t="shared" si="19"/>
        <v>1</v>
      </c>
      <c r="L297" s="13" t="str" cm="1">
        <f t="array" ref="L297">_xlfn.IFS(J297&lt;1,"",J297=1,"Pass",J297&gt;1,_xlfn.TEXTJOIN("",TRUE,"Pass x",J297))</f>
        <v>Pass</v>
      </c>
      <c r="M297" s="13" t="str" cm="1">
        <f t="array" ref="M297">_xlfn.IFS(K297&lt;1,"",K297=1,"Fail",K297&gt;1,_xlfn.TEXTJOIN("",TRUE,"Fail x",K297))</f>
        <v>Fail</v>
      </c>
      <c r="N297" t="str">
        <f t="shared" si="22"/>
        <v>Pass, Fail</v>
      </c>
    </row>
    <row r="298" spans="8:14">
      <c r="H298" s="13">
        <f t="shared" si="20"/>
        <v>2</v>
      </c>
      <c r="I298" t="str" cm="1">
        <f t="array" ref="I298">_xlfn.IFS(H298&lt;1,"No",H298=1,"Yes",H298&gt;1,_xlfn.TEXTJOIN("",TRUE,"Yes x",H298))</f>
        <v>Yes x2</v>
      </c>
      <c r="J298" s="13">
        <f t="shared" si="21"/>
        <v>1</v>
      </c>
      <c r="K298" s="13">
        <f t="shared" si="19"/>
        <v>1</v>
      </c>
      <c r="L298" s="13" t="str" cm="1">
        <f t="array" ref="L298">_xlfn.IFS(J298&lt;1,"",J298=1,"Pass",J298&gt;1,_xlfn.TEXTJOIN("",TRUE,"Pass x",J298))</f>
        <v>Pass</v>
      </c>
      <c r="M298" s="13" t="str" cm="1">
        <f t="array" ref="M298">_xlfn.IFS(K298&lt;1,"",K298=1,"Fail",K298&gt;1,_xlfn.TEXTJOIN("",TRUE,"Fail x",K298))</f>
        <v>Fail</v>
      </c>
      <c r="N298" t="str">
        <f t="shared" si="22"/>
        <v>Pass, Fail</v>
      </c>
    </row>
    <row r="299" spans="8:14">
      <c r="H299" s="13">
        <f t="shared" si="20"/>
        <v>2</v>
      </c>
      <c r="I299" t="str" cm="1">
        <f t="array" ref="I299">_xlfn.IFS(H299&lt;1,"No",H299=1,"Yes",H299&gt;1,_xlfn.TEXTJOIN("",TRUE,"Yes x",H299))</f>
        <v>Yes x2</v>
      </c>
      <c r="J299" s="13">
        <f t="shared" si="21"/>
        <v>1</v>
      </c>
      <c r="K299" s="13">
        <f t="shared" si="19"/>
        <v>1</v>
      </c>
      <c r="L299" s="13" t="str" cm="1">
        <f t="array" ref="L299">_xlfn.IFS(J299&lt;1,"",J299=1,"Pass",J299&gt;1,_xlfn.TEXTJOIN("",TRUE,"Pass x",J299))</f>
        <v>Pass</v>
      </c>
      <c r="M299" s="13" t="str" cm="1">
        <f t="array" ref="M299">_xlfn.IFS(K299&lt;1,"",K299=1,"Fail",K299&gt;1,_xlfn.TEXTJOIN("",TRUE,"Fail x",K299))</f>
        <v>Fail</v>
      </c>
      <c r="N299" t="str">
        <f t="shared" si="22"/>
        <v>Pass, Fail</v>
      </c>
    </row>
    <row r="300" spans="8:14">
      <c r="H300" s="13">
        <f t="shared" si="20"/>
        <v>2</v>
      </c>
      <c r="I300" t="str" cm="1">
        <f t="array" ref="I300">_xlfn.IFS(H300&lt;1,"No",H300=1,"Yes",H300&gt;1,_xlfn.TEXTJOIN("",TRUE,"Yes x",H300))</f>
        <v>Yes x2</v>
      </c>
      <c r="J300" s="13">
        <f t="shared" si="21"/>
        <v>1</v>
      </c>
      <c r="K300" s="13">
        <f t="shared" si="19"/>
        <v>1</v>
      </c>
      <c r="L300" s="13" t="str" cm="1">
        <f t="array" ref="L300">_xlfn.IFS(J300&lt;1,"",J300=1,"Pass",J300&gt;1,_xlfn.TEXTJOIN("",TRUE,"Pass x",J300))</f>
        <v>Pass</v>
      </c>
      <c r="M300" s="13" t="str" cm="1">
        <f t="array" ref="M300">_xlfn.IFS(K300&lt;1,"",K300=1,"Fail",K300&gt;1,_xlfn.TEXTJOIN("",TRUE,"Fail x",K300))</f>
        <v>Fail</v>
      </c>
      <c r="N300" t="str">
        <f t="shared" si="22"/>
        <v>Pass, Fail</v>
      </c>
    </row>
    <row r="301" spans="8:14">
      <c r="H301" s="13">
        <f t="shared" si="20"/>
        <v>2</v>
      </c>
      <c r="I301" t="str" cm="1">
        <f t="array" ref="I301">_xlfn.IFS(H301&lt;1,"No",H301=1,"Yes",H301&gt;1,_xlfn.TEXTJOIN("",TRUE,"Yes x",H301))</f>
        <v>Yes x2</v>
      </c>
      <c r="J301" s="13">
        <f t="shared" si="21"/>
        <v>1</v>
      </c>
      <c r="K301" s="13">
        <f t="shared" si="19"/>
        <v>1</v>
      </c>
      <c r="L301" s="13" t="str" cm="1">
        <f t="array" ref="L301">_xlfn.IFS(J301&lt;1,"",J301=1,"Pass",J301&gt;1,_xlfn.TEXTJOIN("",TRUE,"Pass x",J301))</f>
        <v>Pass</v>
      </c>
      <c r="M301" s="13" t="str" cm="1">
        <f t="array" ref="M301">_xlfn.IFS(K301&lt;1,"",K301=1,"Fail",K301&gt;1,_xlfn.TEXTJOIN("",TRUE,"Fail x",K301))</f>
        <v>Fail</v>
      </c>
      <c r="N301" t="str">
        <f t="shared" si="22"/>
        <v>Pass, Fail</v>
      </c>
    </row>
    <row r="302" spans="8:14">
      <c r="H302" s="13">
        <f t="shared" si="20"/>
        <v>2</v>
      </c>
      <c r="I302" t="str" cm="1">
        <f t="array" ref="I302">_xlfn.IFS(H302&lt;1,"No",H302=1,"Yes",H302&gt;1,_xlfn.TEXTJOIN("",TRUE,"Yes x",H302))</f>
        <v>Yes x2</v>
      </c>
      <c r="J302" s="13">
        <f t="shared" si="21"/>
        <v>1</v>
      </c>
      <c r="K302" s="13">
        <f t="shared" si="19"/>
        <v>1</v>
      </c>
      <c r="L302" s="13" t="str" cm="1">
        <f t="array" ref="L302">_xlfn.IFS(J302&lt;1,"",J302=1,"Pass",J302&gt;1,_xlfn.TEXTJOIN("",TRUE,"Pass x",J302))</f>
        <v>Pass</v>
      </c>
      <c r="M302" s="13" t="str" cm="1">
        <f t="array" ref="M302">_xlfn.IFS(K302&lt;1,"",K302=1,"Fail",K302&gt;1,_xlfn.TEXTJOIN("",TRUE,"Fail x",K302))</f>
        <v>Fail</v>
      </c>
      <c r="N302" t="str">
        <f t="shared" si="22"/>
        <v>Pass, Fail</v>
      </c>
    </row>
    <row r="303" spans="8:14">
      <c r="H303" s="13">
        <f t="shared" si="20"/>
        <v>2</v>
      </c>
      <c r="I303" t="str" cm="1">
        <f t="array" ref="I303">_xlfn.IFS(H303&lt;1,"No",H303=1,"Yes",H303&gt;1,_xlfn.TEXTJOIN("",TRUE,"Yes x",H303))</f>
        <v>Yes x2</v>
      </c>
      <c r="J303" s="13">
        <f t="shared" si="21"/>
        <v>1</v>
      </c>
      <c r="K303" s="13">
        <f t="shared" si="19"/>
        <v>1</v>
      </c>
      <c r="L303" s="13" t="str" cm="1">
        <f t="array" ref="L303">_xlfn.IFS(J303&lt;1,"",J303=1,"Pass",J303&gt;1,_xlfn.TEXTJOIN("",TRUE,"Pass x",J303))</f>
        <v>Pass</v>
      </c>
      <c r="M303" s="13" t="str" cm="1">
        <f t="array" ref="M303">_xlfn.IFS(K303&lt;1,"",K303=1,"Fail",K303&gt;1,_xlfn.TEXTJOIN("",TRUE,"Fail x",K303))</f>
        <v>Fail</v>
      </c>
      <c r="N303" t="str">
        <f t="shared" si="22"/>
        <v>Pass, Fail</v>
      </c>
    </row>
    <row r="304" spans="8:14">
      <c r="H304" s="13">
        <f t="shared" si="20"/>
        <v>2</v>
      </c>
      <c r="I304" t="str" cm="1">
        <f t="array" ref="I304">_xlfn.IFS(H304&lt;1,"No",H304=1,"Yes",H304&gt;1,_xlfn.TEXTJOIN("",TRUE,"Yes x",H304))</f>
        <v>Yes x2</v>
      </c>
      <c r="J304" s="13">
        <f t="shared" si="21"/>
        <v>1</v>
      </c>
      <c r="K304" s="13">
        <f t="shared" si="19"/>
        <v>1</v>
      </c>
      <c r="L304" s="13" t="str" cm="1">
        <f t="array" ref="L304">_xlfn.IFS(J304&lt;1,"",J304=1,"Pass",J304&gt;1,_xlfn.TEXTJOIN("",TRUE,"Pass x",J304))</f>
        <v>Pass</v>
      </c>
      <c r="M304" s="13" t="str" cm="1">
        <f t="array" ref="M304">_xlfn.IFS(K304&lt;1,"",K304=1,"Fail",K304&gt;1,_xlfn.TEXTJOIN("",TRUE,"Fail x",K304))</f>
        <v>Fail</v>
      </c>
      <c r="N304" t="str">
        <f t="shared" si="22"/>
        <v>Pass, Fail</v>
      </c>
    </row>
    <row r="305" spans="8:14">
      <c r="H305" s="13">
        <f t="shared" si="20"/>
        <v>2</v>
      </c>
      <c r="I305" t="str" cm="1">
        <f t="array" ref="I305">_xlfn.IFS(H305&lt;1,"No",H305=1,"Yes",H305&gt;1,_xlfn.TEXTJOIN("",TRUE,"Yes x",H305))</f>
        <v>Yes x2</v>
      </c>
      <c r="J305" s="13">
        <f t="shared" si="21"/>
        <v>1</v>
      </c>
      <c r="K305" s="13">
        <f t="shared" si="19"/>
        <v>1</v>
      </c>
      <c r="L305" s="13" t="str" cm="1">
        <f t="array" ref="L305">_xlfn.IFS(J305&lt;1,"",J305=1,"Pass",J305&gt;1,_xlfn.TEXTJOIN("",TRUE,"Pass x",J305))</f>
        <v>Pass</v>
      </c>
      <c r="M305" s="13" t="str" cm="1">
        <f t="array" ref="M305">_xlfn.IFS(K305&lt;1,"",K305=1,"Fail",K305&gt;1,_xlfn.TEXTJOIN("",TRUE,"Fail x",K305))</f>
        <v>Fail</v>
      </c>
      <c r="N305" t="str">
        <f t="shared" si="22"/>
        <v>Pass, Fail</v>
      </c>
    </row>
    <row r="306" spans="8:14">
      <c r="H306" s="13">
        <f t="shared" si="20"/>
        <v>2</v>
      </c>
      <c r="I306" t="str" cm="1">
        <f t="array" ref="I306">_xlfn.IFS(H306&lt;1,"No",H306=1,"Yes",H306&gt;1,_xlfn.TEXTJOIN("",TRUE,"Yes x",H306))</f>
        <v>Yes x2</v>
      </c>
      <c r="J306" s="13">
        <f t="shared" si="21"/>
        <v>1</v>
      </c>
      <c r="K306" s="13">
        <f t="shared" si="19"/>
        <v>1</v>
      </c>
      <c r="L306" s="13" t="str" cm="1">
        <f t="array" ref="L306">_xlfn.IFS(J306&lt;1,"",J306=1,"Pass",J306&gt;1,_xlfn.TEXTJOIN("",TRUE,"Pass x",J306))</f>
        <v>Pass</v>
      </c>
      <c r="M306" s="13" t="str" cm="1">
        <f t="array" ref="M306">_xlfn.IFS(K306&lt;1,"",K306=1,"Fail",K306&gt;1,_xlfn.TEXTJOIN("",TRUE,"Fail x",K306))</f>
        <v>Fail</v>
      </c>
      <c r="N306" t="str">
        <f t="shared" si="22"/>
        <v>Pass, Fail</v>
      </c>
    </row>
    <row r="307" spans="8:14">
      <c r="H307" s="13">
        <f t="shared" si="20"/>
        <v>2</v>
      </c>
      <c r="I307" t="str" cm="1">
        <f t="array" ref="I307">_xlfn.IFS(H307&lt;1,"No",H307=1,"Yes",H307&gt;1,_xlfn.TEXTJOIN("",TRUE,"Yes x",H307))</f>
        <v>Yes x2</v>
      </c>
      <c r="J307" s="13">
        <f t="shared" si="21"/>
        <v>1</v>
      </c>
      <c r="K307" s="13">
        <f t="shared" si="19"/>
        <v>1</v>
      </c>
      <c r="L307" s="13" t="str" cm="1">
        <f t="array" ref="L307">_xlfn.IFS(J307&lt;1,"",J307=1,"Pass",J307&gt;1,_xlfn.TEXTJOIN("",TRUE,"Pass x",J307))</f>
        <v>Pass</v>
      </c>
      <c r="M307" s="13" t="str" cm="1">
        <f t="array" ref="M307">_xlfn.IFS(K307&lt;1,"",K307=1,"Fail",K307&gt;1,_xlfn.TEXTJOIN("",TRUE,"Fail x",K307))</f>
        <v>Fail</v>
      </c>
      <c r="N307" t="str">
        <f t="shared" si="22"/>
        <v>Pass, Fail</v>
      </c>
    </row>
    <row r="308" spans="8:14">
      <c r="H308" s="13">
        <f t="shared" si="20"/>
        <v>2</v>
      </c>
      <c r="I308" t="str" cm="1">
        <f t="array" ref="I308">_xlfn.IFS(H308&lt;1,"No",H308=1,"Yes",H308&gt;1,_xlfn.TEXTJOIN("",TRUE,"Yes x",H308))</f>
        <v>Yes x2</v>
      </c>
      <c r="J308" s="13">
        <f t="shared" si="21"/>
        <v>1</v>
      </c>
      <c r="K308" s="13">
        <f t="shared" si="19"/>
        <v>1</v>
      </c>
      <c r="L308" s="13" t="str" cm="1">
        <f t="array" ref="L308">_xlfn.IFS(J308&lt;1,"",J308=1,"Pass",J308&gt;1,_xlfn.TEXTJOIN("",TRUE,"Pass x",J308))</f>
        <v>Pass</v>
      </c>
      <c r="M308" s="13" t="str" cm="1">
        <f t="array" ref="M308">_xlfn.IFS(K308&lt;1,"",K308=1,"Fail",K308&gt;1,_xlfn.TEXTJOIN("",TRUE,"Fail x",K308))</f>
        <v>Fail</v>
      </c>
      <c r="N308" t="str">
        <f t="shared" si="22"/>
        <v>Pass, Fail</v>
      </c>
    </row>
    <row r="309" spans="8:14">
      <c r="H309" s="13">
        <f t="shared" si="20"/>
        <v>2</v>
      </c>
      <c r="I309" t="str" cm="1">
        <f t="array" ref="I309">_xlfn.IFS(H309&lt;1,"No",H309=1,"Yes",H309&gt;1,_xlfn.TEXTJOIN("",TRUE,"Yes x",H309))</f>
        <v>Yes x2</v>
      </c>
      <c r="J309" s="13">
        <f t="shared" si="21"/>
        <v>1</v>
      </c>
      <c r="K309" s="13">
        <f t="shared" si="19"/>
        <v>1</v>
      </c>
      <c r="L309" s="13" t="str" cm="1">
        <f t="array" ref="L309">_xlfn.IFS(J309&lt;1,"",J309=1,"Pass",J309&gt;1,_xlfn.TEXTJOIN("",TRUE,"Pass x",J309))</f>
        <v>Pass</v>
      </c>
      <c r="M309" s="13" t="str" cm="1">
        <f t="array" ref="M309">_xlfn.IFS(K309&lt;1,"",K309=1,"Fail",K309&gt;1,_xlfn.TEXTJOIN("",TRUE,"Fail x",K309))</f>
        <v>Fail</v>
      </c>
      <c r="N309" t="str">
        <f t="shared" si="22"/>
        <v>Pass, Fail</v>
      </c>
    </row>
    <row r="310" spans="8:14">
      <c r="H310" s="13">
        <f t="shared" si="20"/>
        <v>2</v>
      </c>
      <c r="I310" t="str" cm="1">
        <f t="array" ref="I310">_xlfn.IFS(H310&lt;1,"No",H310=1,"Yes",H310&gt;1,_xlfn.TEXTJOIN("",TRUE,"Yes x",H310))</f>
        <v>Yes x2</v>
      </c>
      <c r="J310" s="13">
        <f t="shared" si="21"/>
        <v>1</v>
      </c>
      <c r="K310" s="13">
        <f t="shared" si="19"/>
        <v>1</v>
      </c>
      <c r="L310" s="13" t="str" cm="1">
        <f t="array" ref="L310">_xlfn.IFS(J310&lt;1,"",J310=1,"Pass",J310&gt;1,_xlfn.TEXTJOIN("",TRUE,"Pass x",J310))</f>
        <v>Pass</v>
      </c>
      <c r="M310" s="13" t="str" cm="1">
        <f t="array" ref="M310">_xlfn.IFS(K310&lt;1,"",K310=1,"Fail",K310&gt;1,_xlfn.TEXTJOIN("",TRUE,"Fail x",K310))</f>
        <v>Fail</v>
      </c>
      <c r="N310" t="str">
        <f t="shared" si="22"/>
        <v>Pass, Fail</v>
      </c>
    </row>
    <row r="311" spans="8:14">
      <c r="H311" s="13">
        <f t="shared" si="20"/>
        <v>2</v>
      </c>
      <c r="I311" t="str" cm="1">
        <f t="array" ref="I311">_xlfn.IFS(H311&lt;1,"No",H311=1,"Yes",H311&gt;1,_xlfn.TEXTJOIN("",TRUE,"Yes x",H311))</f>
        <v>Yes x2</v>
      </c>
      <c r="J311" s="13">
        <f t="shared" si="21"/>
        <v>1</v>
      </c>
      <c r="K311" s="13">
        <f t="shared" si="19"/>
        <v>1</v>
      </c>
      <c r="L311" s="13" t="str" cm="1">
        <f t="array" ref="L311">_xlfn.IFS(J311&lt;1,"",J311=1,"Pass",J311&gt;1,_xlfn.TEXTJOIN("",TRUE,"Pass x",J311))</f>
        <v>Pass</v>
      </c>
      <c r="M311" s="13" t="str" cm="1">
        <f t="array" ref="M311">_xlfn.IFS(K311&lt;1,"",K311=1,"Fail",K311&gt;1,_xlfn.TEXTJOIN("",TRUE,"Fail x",K311))</f>
        <v>Fail</v>
      </c>
      <c r="N311" t="str">
        <f t="shared" si="22"/>
        <v>Pass, Fail</v>
      </c>
    </row>
    <row r="312" spans="8:14">
      <c r="H312" s="13">
        <f t="shared" si="20"/>
        <v>2</v>
      </c>
      <c r="I312" t="str" cm="1">
        <f t="array" ref="I312">_xlfn.IFS(H312&lt;1,"No",H312=1,"Yes",H312&gt;1,_xlfn.TEXTJOIN("",TRUE,"Yes x",H312))</f>
        <v>Yes x2</v>
      </c>
      <c r="J312" s="13">
        <f t="shared" si="21"/>
        <v>1</v>
      </c>
      <c r="K312" s="13">
        <f t="shared" si="19"/>
        <v>1</v>
      </c>
      <c r="L312" s="13" t="str" cm="1">
        <f t="array" ref="L312">_xlfn.IFS(J312&lt;1,"",J312=1,"Pass",J312&gt;1,_xlfn.TEXTJOIN("",TRUE,"Pass x",J312))</f>
        <v>Pass</v>
      </c>
      <c r="M312" s="13" t="str" cm="1">
        <f t="array" ref="M312">_xlfn.IFS(K312&lt;1,"",K312=1,"Fail",K312&gt;1,_xlfn.TEXTJOIN("",TRUE,"Fail x",K312))</f>
        <v>Fail</v>
      </c>
      <c r="N312" t="str">
        <f t="shared" si="22"/>
        <v>Pass, Fail</v>
      </c>
    </row>
    <row r="313" spans="8:14">
      <c r="H313" s="13">
        <f t="shared" si="20"/>
        <v>2</v>
      </c>
      <c r="I313" t="str" cm="1">
        <f t="array" ref="I313">_xlfn.IFS(H313&lt;1,"No",H313=1,"Yes",H313&gt;1,_xlfn.TEXTJOIN("",TRUE,"Yes x",H313))</f>
        <v>Yes x2</v>
      </c>
      <c r="J313" s="13">
        <f t="shared" si="21"/>
        <v>1</v>
      </c>
      <c r="K313" s="13">
        <f t="shared" si="19"/>
        <v>1</v>
      </c>
      <c r="L313" s="13" t="str" cm="1">
        <f t="array" ref="L313">_xlfn.IFS(J313&lt;1,"",J313=1,"Pass",J313&gt;1,_xlfn.TEXTJOIN("",TRUE,"Pass x",J313))</f>
        <v>Pass</v>
      </c>
      <c r="M313" s="13" t="str" cm="1">
        <f t="array" ref="M313">_xlfn.IFS(K313&lt;1,"",K313=1,"Fail",K313&gt;1,_xlfn.TEXTJOIN("",TRUE,"Fail x",K313))</f>
        <v>Fail</v>
      </c>
      <c r="N313" t="str">
        <f t="shared" si="22"/>
        <v>Pass, Fail</v>
      </c>
    </row>
    <row r="314" spans="8:14">
      <c r="H314" s="13">
        <f t="shared" si="20"/>
        <v>2</v>
      </c>
      <c r="I314" t="str" cm="1">
        <f t="array" ref="I314">_xlfn.IFS(H314&lt;1,"No",H314=1,"Yes",H314&gt;1,_xlfn.TEXTJOIN("",TRUE,"Yes x",H314))</f>
        <v>Yes x2</v>
      </c>
      <c r="J314" s="13">
        <f t="shared" si="21"/>
        <v>1</v>
      </c>
      <c r="K314" s="13">
        <f t="shared" si="19"/>
        <v>1</v>
      </c>
      <c r="L314" s="13" t="str" cm="1">
        <f t="array" ref="L314">_xlfn.IFS(J314&lt;1,"",J314=1,"Pass",J314&gt;1,_xlfn.TEXTJOIN("",TRUE,"Pass x",J314))</f>
        <v>Pass</v>
      </c>
      <c r="M314" s="13" t="str" cm="1">
        <f t="array" ref="M314">_xlfn.IFS(K314&lt;1,"",K314=1,"Fail",K314&gt;1,_xlfn.TEXTJOIN("",TRUE,"Fail x",K314))</f>
        <v>Fail</v>
      </c>
      <c r="N314" t="str">
        <f t="shared" si="22"/>
        <v>Pass, Fail</v>
      </c>
    </row>
    <row r="315" spans="8:14">
      <c r="H315" s="13">
        <f t="shared" si="20"/>
        <v>2</v>
      </c>
      <c r="I315" t="str" cm="1">
        <f t="array" ref="I315">_xlfn.IFS(H315&lt;1,"No",H315=1,"Yes",H315&gt;1,_xlfn.TEXTJOIN("",TRUE,"Yes x",H315))</f>
        <v>Yes x2</v>
      </c>
      <c r="J315" s="13">
        <f t="shared" si="21"/>
        <v>1</v>
      </c>
      <c r="K315" s="13">
        <f t="shared" si="19"/>
        <v>1</v>
      </c>
      <c r="L315" s="13" t="str" cm="1">
        <f t="array" ref="L315">_xlfn.IFS(J315&lt;1,"",J315=1,"Pass",J315&gt;1,_xlfn.TEXTJOIN("",TRUE,"Pass x",J315))</f>
        <v>Pass</v>
      </c>
      <c r="M315" s="13" t="str" cm="1">
        <f t="array" ref="M315">_xlfn.IFS(K315&lt;1,"",K315=1,"Fail",K315&gt;1,_xlfn.TEXTJOIN("",TRUE,"Fail x",K315))</f>
        <v>Fail</v>
      </c>
      <c r="N315" t="str">
        <f t="shared" si="22"/>
        <v>Pass, Fail</v>
      </c>
    </row>
    <row r="316" spans="8:14">
      <c r="H316" s="13">
        <f t="shared" si="20"/>
        <v>2</v>
      </c>
      <c r="I316" t="str" cm="1">
        <f t="array" ref="I316">_xlfn.IFS(H316&lt;1,"No",H316=1,"Yes",H316&gt;1,_xlfn.TEXTJOIN("",TRUE,"Yes x",H316))</f>
        <v>Yes x2</v>
      </c>
      <c r="J316" s="13">
        <f t="shared" si="21"/>
        <v>1</v>
      </c>
      <c r="K316" s="13">
        <f t="shared" si="19"/>
        <v>1</v>
      </c>
      <c r="L316" s="13" t="str" cm="1">
        <f t="array" ref="L316">_xlfn.IFS(J316&lt;1,"",J316=1,"Pass",J316&gt;1,_xlfn.TEXTJOIN("",TRUE,"Pass x",J316))</f>
        <v>Pass</v>
      </c>
      <c r="M316" s="13" t="str" cm="1">
        <f t="array" ref="M316">_xlfn.IFS(K316&lt;1,"",K316=1,"Fail",K316&gt;1,_xlfn.TEXTJOIN("",TRUE,"Fail x",K316))</f>
        <v>Fail</v>
      </c>
      <c r="N316" t="str">
        <f t="shared" si="22"/>
        <v>Pass, Fail</v>
      </c>
    </row>
    <row r="317" spans="8:14">
      <c r="H317" s="13">
        <f t="shared" si="20"/>
        <v>2</v>
      </c>
      <c r="I317" t="str" cm="1">
        <f t="array" ref="I317">_xlfn.IFS(H317&lt;1,"No",H317=1,"Yes",H317&gt;1,_xlfn.TEXTJOIN("",TRUE,"Yes x",H317))</f>
        <v>Yes x2</v>
      </c>
      <c r="J317" s="13">
        <f t="shared" si="21"/>
        <v>1</v>
      </c>
      <c r="K317" s="13">
        <f t="shared" si="19"/>
        <v>1</v>
      </c>
      <c r="L317" s="13" t="str" cm="1">
        <f t="array" ref="L317">_xlfn.IFS(J317&lt;1,"",J317=1,"Pass",J317&gt;1,_xlfn.TEXTJOIN("",TRUE,"Pass x",J317))</f>
        <v>Pass</v>
      </c>
      <c r="M317" s="13" t="str" cm="1">
        <f t="array" ref="M317">_xlfn.IFS(K317&lt;1,"",K317=1,"Fail",K317&gt;1,_xlfn.TEXTJOIN("",TRUE,"Fail x",K317))</f>
        <v>Fail</v>
      </c>
      <c r="N317" t="str">
        <f t="shared" si="22"/>
        <v>Pass, Fail</v>
      </c>
    </row>
    <row r="318" spans="8:14">
      <c r="H318" s="13">
        <f t="shared" si="20"/>
        <v>2</v>
      </c>
      <c r="I318" t="str" cm="1">
        <f t="array" ref="I318">_xlfn.IFS(H318&lt;1,"No",H318=1,"Yes",H318&gt;1,_xlfn.TEXTJOIN("",TRUE,"Yes x",H318))</f>
        <v>Yes x2</v>
      </c>
      <c r="J318" s="13">
        <f t="shared" si="21"/>
        <v>1</v>
      </c>
      <c r="K318" s="13">
        <f t="shared" si="19"/>
        <v>1</v>
      </c>
      <c r="L318" s="13" t="str" cm="1">
        <f t="array" ref="L318">_xlfn.IFS(J318&lt;1,"",J318=1,"Pass",J318&gt;1,_xlfn.TEXTJOIN("",TRUE,"Pass x",J318))</f>
        <v>Pass</v>
      </c>
      <c r="M318" s="13" t="str" cm="1">
        <f t="array" ref="M318">_xlfn.IFS(K318&lt;1,"",K318=1,"Fail",K318&gt;1,_xlfn.TEXTJOIN("",TRUE,"Fail x",K318))</f>
        <v>Fail</v>
      </c>
      <c r="N318" t="str">
        <f t="shared" si="22"/>
        <v>Pass, Fail</v>
      </c>
    </row>
    <row r="319" spans="8:14">
      <c r="H319" s="13">
        <f t="shared" si="20"/>
        <v>2</v>
      </c>
      <c r="I319" t="str" cm="1">
        <f t="array" ref="I319">_xlfn.IFS(H319&lt;1,"No",H319=1,"Yes",H319&gt;1,_xlfn.TEXTJOIN("",TRUE,"Yes x",H319))</f>
        <v>Yes x2</v>
      </c>
      <c r="J319" s="13">
        <f t="shared" si="21"/>
        <v>1</v>
      </c>
      <c r="K319" s="13">
        <f t="shared" si="19"/>
        <v>1</v>
      </c>
      <c r="L319" s="13" t="str" cm="1">
        <f t="array" ref="L319">_xlfn.IFS(J319&lt;1,"",J319=1,"Pass",J319&gt;1,_xlfn.TEXTJOIN("",TRUE,"Pass x",J319))</f>
        <v>Pass</v>
      </c>
      <c r="M319" s="13" t="str" cm="1">
        <f t="array" ref="M319">_xlfn.IFS(K319&lt;1,"",K319=1,"Fail",K319&gt;1,_xlfn.TEXTJOIN("",TRUE,"Fail x",K319))</f>
        <v>Fail</v>
      </c>
      <c r="N319" t="str">
        <f t="shared" si="22"/>
        <v>Pass, Fail</v>
      </c>
    </row>
    <row r="320" spans="8:14">
      <c r="H320" s="13">
        <f t="shared" si="20"/>
        <v>2</v>
      </c>
      <c r="I320" t="str" cm="1">
        <f t="array" ref="I320">_xlfn.IFS(H320&lt;1,"No",H320=1,"Yes",H320&gt;1,_xlfn.TEXTJOIN("",TRUE,"Yes x",H320))</f>
        <v>Yes x2</v>
      </c>
      <c r="J320" s="13">
        <f t="shared" si="21"/>
        <v>1</v>
      </c>
      <c r="K320" s="13">
        <f t="shared" si="19"/>
        <v>1</v>
      </c>
      <c r="L320" s="13" t="str" cm="1">
        <f t="array" ref="L320">_xlfn.IFS(J320&lt;1,"",J320=1,"Pass",J320&gt;1,_xlfn.TEXTJOIN("",TRUE,"Pass x",J320))</f>
        <v>Pass</v>
      </c>
      <c r="M320" s="13" t="str" cm="1">
        <f t="array" ref="M320">_xlfn.IFS(K320&lt;1,"",K320=1,"Fail",K320&gt;1,_xlfn.TEXTJOIN("",TRUE,"Fail x",K320))</f>
        <v>Fail</v>
      </c>
      <c r="N320" t="str">
        <f t="shared" si="22"/>
        <v>Pass, Fail</v>
      </c>
    </row>
    <row r="321" spans="8:14">
      <c r="H321" s="13">
        <f t="shared" si="20"/>
        <v>2</v>
      </c>
      <c r="I321" t="str" cm="1">
        <f t="array" ref="I321">_xlfn.IFS(H321&lt;1,"No",H321=1,"Yes",H321&gt;1,_xlfn.TEXTJOIN("",TRUE,"Yes x",H321))</f>
        <v>Yes x2</v>
      </c>
      <c r="J321" s="13">
        <f t="shared" si="21"/>
        <v>1</v>
      </c>
      <c r="K321" s="13">
        <f t="shared" si="19"/>
        <v>1</v>
      </c>
      <c r="L321" s="13" t="str" cm="1">
        <f t="array" ref="L321">_xlfn.IFS(J321&lt;1,"",J321=1,"Pass",J321&gt;1,_xlfn.TEXTJOIN("",TRUE,"Pass x",J321))</f>
        <v>Pass</v>
      </c>
      <c r="M321" s="13" t="str" cm="1">
        <f t="array" ref="M321">_xlfn.IFS(K321&lt;1,"",K321=1,"Fail",K321&gt;1,_xlfn.TEXTJOIN("",TRUE,"Fail x",K321))</f>
        <v>Fail</v>
      </c>
      <c r="N321" t="str">
        <f t="shared" si="22"/>
        <v>Pass, Fail</v>
      </c>
    </row>
    <row r="322" spans="8:14">
      <c r="H322" s="13">
        <f t="shared" si="20"/>
        <v>2</v>
      </c>
      <c r="I322" t="str" cm="1">
        <f t="array" ref="I322">_xlfn.IFS(H322&lt;1,"No",H322=1,"Yes",H322&gt;1,_xlfn.TEXTJOIN("",TRUE,"Yes x",H322))</f>
        <v>Yes x2</v>
      </c>
      <c r="J322" s="13">
        <f t="shared" si="21"/>
        <v>1</v>
      </c>
      <c r="K322" s="13">
        <f t="shared" si="19"/>
        <v>1</v>
      </c>
      <c r="L322" s="13" t="str" cm="1">
        <f t="array" ref="L322">_xlfn.IFS(J322&lt;1,"",J322=1,"Pass",J322&gt;1,_xlfn.TEXTJOIN("",TRUE,"Pass x",J322))</f>
        <v>Pass</v>
      </c>
      <c r="M322" s="13" t="str" cm="1">
        <f t="array" ref="M322">_xlfn.IFS(K322&lt;1,"",K322=1,"Fail",K322&gt;1,_xlfn.TEXTJOIN("",TRUE,"Fail x",K322))</f>
        <v>Fail</v>
      </c>
      <c r="N322" t="str">
        <f t="shared" si="22"/>
        <v>Pass, Fail</v>
      </c>
    </row>
    <row r="323" spans="8:14">
      <c r="H323" s="13">
        <f t="shared" si="20"/>
        <v>2</v>
      </c>
      <c r="I323" t="str" cm="1">
        <f t="array" ref="I323">_xlfn.IFS(H323&lt;1,"No",H323=1,"Yes",H323&gt;1,_xlfn.TEXTJOIN("",TRUE,"Yes x",H323))</f>
        <v>Yes x2</v>
      </c>
      <c r="J323" s="13">
        <f t="shared" si="21"/>
        <v>1</v>
      </c>
      <c r="K323" s="13">
        <f t="shared" ref="K323:K386" si="23">IFERROR(GETPIVOTDATA("Successful / Failed",$A$1,"System serial",G323,"Successful / Failed","Failed"),0)</f>
        <v>1</v>
      </c>
      <c r="L323" s="13" t="str" cm="1">
        <f t="array" ref="L323">_xlfn.IFS(J323&lt;1,"",J323=1,"Pass",J323&gt;1,_xlfn.TEXTJOIN("",TRUE,"Pass x",J323))</f>
        <v>Pass</v>
      </c>
      <c r="M323" s="13" t="str" cm="1">
        <f t="array" ref="M323">_xlfn.IFS(K323&lt;1,"",K323=1,"Fail",K323&gt;1,_xlfn.TEXTJOIN("",TRUE,"Fail x",K323))</f>
        <v>Fail</v>
      </c>
      <c r="N323" t="str">
        <f t="shared" si="22"/>
        <v>Pass, Fail</v>
      </c>
    </row>
    <row r="324" spans="8:14">
      <c r="H324" s="13">
        <f t="shared" si="20"/>
        <v>2</v>
      </c>
      <c r="I324" t="str" cm="1">
        <f t="array" ref="I324">_xlfn.IFS(H324&lt;1,"No",H324=1,"Yes",H324&gt;1,_xlfn.TEXTJOIN("",TRUE,"Yes x",H324))</f>
        <v>Yes x2</v>
      </c>
      <c r="J324" s="13">
        <f t="shared" si="21"/>
        <v>1</v>
      </c>
      <c r="K324" s="13">
        <f t="shared" si="23"/>
        <v>1</v>
      </c>
      <c r="L324" s="13" t="str" cm="1">
        <f t="array" ref="L324">_xlfn.IFS(J324&lt;1,"",J324=1,"Pass",J324&gt;1,_xlfn.TEXTJOIN("",TRUE,"Pass x",J324))</f>
        <v>Pass</v>
      </c>
      <c r="M324" s="13" t="str" cm="1">
        <f t="array" ref="M324">_xlfn.IFS(K324&lt;1,"",K324=1,"Fail",K324&gt;1,_xlfn.TEXTJOIN("",TRUE,"Fail x",K324))</f>
        <v>Fail</v>
      </c>
      <c r="N324" t="str">
        <f t="shared" si="22"/>
        <v>Pass, Fail</v>
      </c>
    </row>
    <row r="325" spans="8:14">
      <c r="H325" s="13">
        <f t="shared" si="20"/>
        <v>2</v>
      </c>
      <c r="I325" t="str" cm="1">
        <f t="array" ref="I325">_xlfn.IFS(H325&lt;1,"No",H325=1,"Yes",H325&gt;1,_xlfn.TEXTJOIN("",TRUE,"Yes x",H325))</f>
        <v>Yes x2</v>
      </c>
      <c r="J325" s="13">
        <f t="shared" si="21"/>
        <v>1</v>
      </c>
      <c r="K325" s="13">
        <f t="shared" si="23"/>
        <v>1</v>
      </c>
      <c r="L325" s="13" t="str" cm="1">
        <f t="array" ref="L325">_xlfn.IFS(J325&lt;1,"",J325=1,"Pass",J325&gt;1,_xlfn.TEXTJOIN("",TRUE,"Pass x",J325))</f>
        <v>Pass</v>
      </c>
      <c r="M325" s="13" t="str" cm="1">
        <f t="array" ref="M325">_xlfn.IFS(K325&lt;1,"",K325=1,"Fail",K325&gt;1,_xlfn.TEXTJOIN("",TRUE,"Fail x",K325))</f>
        <v>Fail</v>
      </c>
      <c r="N325" t="str">
        <f t="shared" si="22"/>
        <v>Pass, Fail</v>
      </c>
    </row>
    <row r="326" spans="8:14">
      <c r="H326" s="13">
        <f t="shared" si="20"/>
        <v>2</v>
      </c>
      <c r="I326" t="str" cm="1">
        <f t="array" ref="I326">_xlfn.IFS(H326&lt;1,"No",H326=1,"Yes",H326&gt;1,_xlfn.TEXTJOIN("",TRUE,"Yes x",H326))</f>
        <v>Yes x2</v>
      </c>
      <c r="J326" s="13">
        <f t="shared" si="21"/>
        <v>1</v>
      </c>
      <c r="K326" s="13">
        <f t="shared" si="23"/>
        <v>1</v>
      </c>
      <c r="L326" s="13" t="str" cm="1">
        <f t="array" ref="L326">_xlfn.IFS(J326&lt;1,"",J326=1,"Pass",J326&gt;1,_xlfn.TEXTJOIN("",TRUE,"Pass x",J326))</f>
        <v>Pass</v>
      </c>
      <c r="M326" s="13" t="str" cm="1">
        <f t="array" ref="M326">_xlfn.IFS(K326&lt;1,"",K326=1,"Fail",K326&gt;1,_xlfn.TEXTJOIN("",TRUE,"Fail x",K326))</f>
        <v>Fail</v>
      </c>
      <c r="N326" t="str">
        <f t="shared" si="22"/>
        <v>Pass, Fail</v>
      </c>
    </row>
    <row r="327" spans="8:14">
      <c r="H327" s="13">
        <f t="shared" si="20"/>
        <v>2</v>
      </c>
      <c r="I327" t="str" cm="1">
        <f t="array" ref="I327">_xlfn.IFS(H327&lt;1,"No",H327=1,"Yes",H327&gt;1,_xlfn.TEXTJOIN("",TRUE,"Yes x",H327))</f>
        <v>Yes x2</v>
      </c>
      <c r="J327" s="13">
        <f t="shared" si="21"/>
        <v>1</v>
      </c>
      <c r="K327" s="13">
        <f t="shared" si="23"/>
        <v>1</v>
      </c>
      <c r="L327" s="13" t="str" cm="1">
        <f t="array" ref="L327">_xlfn.IFS(J327&lt;1,"",J327=1,"Pass",J327&gt;1,_xlfn.TEXTJOIN("",TRUE,"Pass x",J327))</f>
        <v>Pass</v>
      </c>
      <c r="M327" s="13" t="str" cm="1">
        <f t="array" ref="M327">_xlfn.IFS(K327&lt;1,"",K327=1,"Fail",K327&gt;1,_xlfn.TEXTJOIN("",TRUE,"Fail x",K327))</f>
        <v>Fail</v>
      </c>
      <c r="N327" t="str">
        <f t="shared" si="22"/>
        <v>Pass, Fail</v>
      </c>
    </row>
    <row r="328" spans="8:14">
      <c r="H328" s="13">
        <f t="shared" si="20"/>
        <v>2</v>
      </c>
      <c r="I328" t="str" cm="1">
        <f t="array" ref="I328">_xlfn.IFS(H328&lt;1,"No",H328=1,"Yes",H328&gt;1,_xlfn.TEXTJOIN("",TRUE,"Yes x",H328))</f>
        <v>Yes x2</v>
      </c>
      <c r="J328" s="13">
        <f t="shared" si="21"/>
        <v>1</v>
      </c>
      <c r="K328" s="13">
        <f t="shared" si="23"/>
        <v>1</v>
      </c>
      <c r="L328" s="13" t="str" cm="1">
        <f t="array" ref="L328">_xlfn.IFS(J328&lt;1,"",J328=1,"Pass",J328&gt;1,_xlfn.TEXTJOIN("",TRUE,"Pass x",J328))</f>
        <v>Pass</v>
      </c>
      <c r="M328" s="13" t="str" cm="1">
        <f t="array" ref="M328">_xlfn.IFS(K328&lt;1,"",K328=1,"Fail",K328&gt;1,_xlfn.TEXTJOIN("",TRUE,"Fail x",K328))</f>
        <v>Fail</v>
      </c>
      <c r="N328" t="str">
        <f t="shared" si="22"/>
        <v>Pass, Fail</v>
      </c>
    </row>
    <row r="329" spans="8:14">
      <c r="H329" s="13">
        <f t="shared" si="20"/>
        <v>2</v>
      </c>
      <c r="I329" t="str" cm="1">
        <f t="array" ref="I329">_xlfn.IFS(H329&lt;1,"No",H329=1,"Yes",H329&gt;1,_xlfn.TEXTJOIN("",TRUE,"Yes x",H329))</f>
        <v>Yes x2</v>
      </c>
      <c r="J329" s="13">
        <f t="shared" si="21"/>
        <v>1</v>
      </c>
      <c r="K329" s="13">
        <f t="shared" si="23"/>
        <v>1</v>
      </c>
      <c r="L329" s="13" t="str" cm="1">
        <f t="array" ref="L329">_xlfn.IFS(J329&lt;1,"",J329=1,"Pass",J329&gt;1,_xlfn.TEXTJOIN("",TRUE,"Pass x",J329))</f>
        <v>Pass</v>
      </c>
      <c r="M329" s="13" t="str" cm="1">
        <f t="array" ref="M329">_xlfn.IFS(K329&lt;1,"",K329=1,"Fail",K329&gt;1,_xlfn.TEXTJOIN("",TRUE,"Fail x",K329))</f>
        <v>Fail</v>
      </c>
      <c r="N329" t="str">
        <f t="shared" si="22"/>
        <v>Pass, Fail</v>
      </c>
    </row>
    <row r="330" spans="8:14">
      <c r="H330" s="13">
        <f t="shared" si="20"/>
        <v>2</v>
      </c>
      <c r="I330" t="str" cm="1">
        <f t="array" ref="I330">_xlfn.IFS(H330&lt;1,"No",H330=1,"Yes",H330&gt;1,_xlfn.TEXTJOIN("",TRUE,"Yes x",H330))</f>
        <v>Yes x2</v>
      </c>
      <c r="J330" s="13">
        <f t="shared" si="21"/>
        <v>1</v>
      </c>
      <c r="K330" s="13">
        <f t="shared" si="23"/>
        <v>1</v>
      </c>
      <c r="L330" s="13" t="str" cm="1">
        <f t="array" ref="L330">_xlfn.IFS(J330&lt;1,"",J330=1,"Pass",J330&gt;1,_xlfn.TEXTJOIN("",TRUE,"Pass x",J330))</f>
        <v>Pass</v>
      </c>
      <c r="M330" s="13" t="str" cm="1">
        <f t="array" ref="M330">_xlfn.IFS(K330&lt;1,"",K330=1,"Fail",K330&gt;1,_xlfn.TEXTJOIN("",TRUE,"Fail x",K330))</f>
        <v>Fail</v>
      </c>
      <c r="N330" t="str">
        <f t="shared" si="22"/>
        <v>Pass, Fail</v>
      </c>
    </row>
    <row r="331" spans="8:14">
      <c r="H331" s="13">
        <f t="shared" si="20"/>
        <v>2</v>
      </c>
      <c r="I331" t="str" cm="1">
        <f t="array" ref="I331">_xlfn.IFS(H331&lt;1,"No",H331=1,"Yes",H331&gt;1,_xlfn.TEXTJOIN("",TRUE,"Yes x",H331))</f>
        <v>Yes x2</v>
      </c>
      <c r="J331" s="13">
        <f t="shared" si="21"/>
        <v>1</v>
      </c>
      <c r="K331" s="13">
        <f t="shared" si="23"/>
        <v>1</v>
      </c>
      <c r="L331" s="13" t="str" cm="1">
        <f t="array" ref="L331">_xlfn.IFS(J331&lt;1,"",J331=1,"Pass",J331&gt;1,_xlfn.TEXTJOIN("",TRUE,"Pass x",J331))</f>
        <v>Pass</v>
      </c>
      <c r="M331" s="13" t="str" cm="1">
        <f t="array" ref="M331">_xlfn.IFS(K331&lt;1,"",K331=1,"Fail",K331&gt;1,_xlfn.TEXTJOIN("",TRUE,"Fail x",K331))</f>
        <v>Fail</v>
      </c>
      <c r="N331" t="str">
        <f t="shared" si="22"/>
        <v>Pass, Fail</v>
      </c>
    </row>
    <row r="332" spans="8:14">
      <c r="H332" s="13">
        <f t="shared" si="20"/>
        <v>2</v>
      </c>
      <c r="I332" t="str" cm="1">
        <f t="array" ref="I332">_xlfn.IFS(H332&lt;1,"No",H332=1,"Yes",H332&gt;1,_xlfn.TEXTJOIN("",TRUE,"Yes x",H332))</f>
        <v>Yes x2</v>
      </c>
      <c r="J332" s="13">
        <f t="shared" si="21"/>
        <v>1</v>
      </c>
      <c r="K332" s="13">
        <f t="shared" si="23"/>
        <v>1</v>
      </c>
      <c r="L332" s="13" t="str" cm="1">
        <f t="array" ref="L332">_xlfn.IFS(J332&lt;1,"",J332=1,"Pass",J332&gt;1,_xlfn.TEXTJOIN("",TRUE,"Pass x",J332))</f>
        <v>Pass</v>
      </c>
      <c r="M332" s="13" t="str" cm="1">
        <f t="array" ref="M332">_xlfn.IFS(K332&lt;1,"",K332=1,"Fail",K332&gt;1,_xlfn.TEXTJOIN("",TRUE,"Fail x",K332))</f>
        <v>Fail</v>
      </c>
      <c r="N332" t="str">
        <f t="shared" si="22"/>
        <v>Pass, Fail</v>
      </c>
    </row>
    <row r="333" spans="8:14">
      <c r="H333" s="13">
        <f t="shared" si="20"/>
        <v>2</v>
      </c>
      <c r="I333" t="str" cm="1">
        <f t="array" ref="I333">_xlfn.IFS(H333&lt;1,"No",H333=1,"Yes",H333&gt;1,_xlfn.TEXTJOIN("",TRUE,"Yes x",H333))</f>
        <v>Yes x2</v>
      </c>
      <c r="J333" s="13">
        <f t="shared" si="21"/>
        <v>1</v>
      </c>
      <c r="K333" s="13">
        <f t="shared" si="23"/>
        <v>1</v>
      </c>
      <c r="L333" s="13" t="str" cm="1">
        <f t="array" ref="L333">_xlfn.IFS(J333&lt;1,"",J333=1,"Pass",J333&gt;1,_xlfn.TEXTJOIN("",TRUE,"Pass x",J333))</f>
        <v>Pass</v>
      </c>
      <c r="M333" s="13" t="str" cm="1">
        <f t="array" ref="M333">_xlfn.IFS(K333&lt;1,"",K333=1,"Fail",K333&gt;1,_xlfn.TEXTJOIN("",TRUE,"Fail x",K333))</f>
        <v>Fail</v>
      </c>
      <c r="N333" t="str">
        <f t="shared" si="22"/>
        <v>Pass, Fail</v>
      </c>
    </row>
    <row r="334" spans="8:14">
      <c r="H334" s="13">
        <f t="shared" si="20"/>
        <v>2</v>
      </c>
      <c r="I334" t="str" cm="1">
        <f t="array" ref="I334">_xlfn.IFS(H334&lt;1,"No",H334=1,"Yes",H334&gt;1,_xlfn.TEXTJOIN("",TRUE,"Yes x",H334))</f>
        <v>Yes x2</v>
      </c>
      <c r="J334" s="13">
        <f t="shared" si="21"/>
        <v>1</v>
      </c>
      <c r="K334" s="13">
        <f t="shared" si="23"/>
        <v>1</v>
      </c>
      <c r="L334" s="13" t="str" cm="1">
        <f t="array" ref="L334">_xlfn.IFS(J334&lt;1,"",J334=1,"Pass",J334&gt;1,_xlfn.TEXTJOIN("",TRUE,"Pass x",J334))</f>
        <v>Pass</v>
      </c>
      <c r="M334" s="13" t="str" cm="1">
        <f t="array" ref="M334">_xlfn.IFS(K334&lt;1,"",K334=1,"Fail",K334&gt;1,_xlfn.TEXTJOIN("",TRUE,"Fail x",K334))</f>
        <v>Fail</v>
      </c>
      <c r="N334" t="str">
        <f t="shared" si="22"/>
        <v>Pass, Fail</v>
      </c>
    </row>
    <row r="335" spans="8:14">
      <c r="H335" s="13">
        <f t="shared" si="20"/>
        <v>2</v>
      </c>
      <c r="I335" t="str" cm="1">
        <f t="array" ref="I335">_xlfn.IFS(H335&lt;1,"No",H335=1,"Yes",H335&gt;1,_xlfn.TEXTJOIN("",TRUE,"Yes x",H335))</f>
        <v>Yes x2</v>
      </c>
      <c r="J335" s="13">
        <f t="shared" si="21"/>
        <v>1</v>
      </c>
      <c r="K335" s="13">
        <f t="shared" si="23"/>
        <v>1</v>
      </c>
      <c r="L335" s="13" t="str" cm="1">
        <f t="array" ref="L335">_xlfn.IFS(J335&lt;1,"",J335=1,"Pass",J335&gt;1,_xlfn.TEXTJOIN("",TRUE,"Pass x",J335))</f>
        <v>Pass</v>
      </c>
      <c r="M335" s="13" t="str" cm="1">
        <f t="array" ref="M335">_xlfn.IFS(K335&lt;1,"",K335=1,"Fail",K335&gt;1,_xlfn.TEXTJOIN("",TRUE,"Fail x",K335))</f>
        <v>Fail</v>
      </c>
      <c r="N335" t="str">
        <f t="shared" si="22"/>
        <v>Pass, Fail</v>
      </c>
    </row>
    <row r="336" spans="8:14">
      <c r="H336" s="13">
        <f t="shared" si="20"/>
        <v>2</v>
      </c>
      <c r="I336" t="str" cm="1">
        <f t="array" ref="I336">_xlfn.IFS(H336&lt;1,"No",H336=1,"Yes",H336&gt;1,_xlfn.TEXTJOIN("",TRUE,"Yes x",H336))</f>
        <v>Yes x2</v>
      </c>
      <c r="J336" s="13">
        <f t="shared" si="21"/>
        <v>1</v>
      </c>
      <c r="K336" s="13">
        <f t="shared" si="23"/>
        <v>1</v>
      </c>
      <c r="L336" s="13" t="str" cm="1">
        <f t="array" ref="L336">_xlfn.IFS(J336&lt;1,"",J336=1,"Pass",J336&gt;1,_xlfn.TEXTJOIN("",TRUE,"Pass x",J336))</f>
        <v>Pass</v>
      </c>
      <c r="M336" s="13" t="str" cm="1">
        <f t="array" ref="M336">_xlfn.IFS(K336&lt;1,"",K336=1,"Fail",K336&gt;1,_xlfn.TEXTJOIN("",TRUE,"Fail x",K336))</f>
        <v>Fail</v>
      </c>
      <c r="N336" t="str">
        <f t="shared" si="22"/>
        <v>Pass, Fail</v>
      </c>
    </row>
    <row r="337" spans="8:14">
      <c r="H337" s="13">
        <f t="shared" si="20"/>
        <v>2</v>
      </c>
      <c r="I337" t="str" cm="1">
        <f t="array" ref="I337">_xlfn.IFS(H337&lt;1,"No",H337=1,"Yes",H337&gt;1,_xlfn.TEXTJOIN("",TRUE,"Yes x",H337))</f>
        <v>Yes x2</v>
      </c>
      <c r="J337" s="13">
        <f t="shared" si="21"/>
        <v>1</v>
      </c>
      <c r="K337" s="13">
        <f t="shared" si="23"/>
        <v>1</v>
      </c>
      <c r="L337" s="13" t="str" cm="1">
        <f t="array" ref="L337">_xlfn.IFS(J337&lt;1,"",J337=1,"Pass",J337&gt;1,_xlfn.TEXTJOIN("",TRUE,"Pass x",J337))</f>
        <v>Pass</v>
      </c>
      <c r="M337" s="13" t="str" cm="1">
        <f t="array" ref="M337">_xlfn.IFS(K337&lt;1,"",K337=1,"Fail",K337&gt;1,_xlfn.TEXTJOIN("",TRUE,"Fail x",K337))</f>
        <v>Fail</v>
      </c>
      <c r="N337" t="str">
        <f t="shared" si="22"/>
        <v>Pass, Fail</v>
      </c>
    </row>
    <row r="338" spans="8:14">
      <c r="H338" s="13">
        <f t="shared" si="20"/>
        <v>2</v>
      </c>
      <c r="I338" t="str" cm="1">
        <f t="array" ref="I338">_xlfn.IFS(H338&lt;1,"No",H338=1,"Yes",H338&gt;1,_xlfn.TEXTJOIN("",TRUE,"Yes x",H338))</f>
        <v>Yes x2</v>
      </c>
      <c r="J338" s="13">
        <f t="shared" si="21"/>
        <v>1</v>
      </c>
      <c r="K338" s="13">
        <f t="shared" si="23"/>
        <v>1</v>
      </c>
      <c r="L338" s="13" t="str" cm="1">
        <f t="array" ref="L338">_xlfn.IFS(J338&lt;1,"",J338=1,"Pass",J338&gt;1,_xlfn.TEXTJOIN("",TRUE,"Pass x",J338))</f>
        <v>Pass</v>
      </c>
      <c r="M338" s="13" t="str" cm="1">
        <f t="array" ref="M338">_xlfn.IFS(K338&lt;1,"",K338=1,"Fail",K338&gt;1,_xlfn.TEXTJOIN("",TRUE,"Fail x",K338))</f>
        <v>Fail</v>
      </c>
      <c r="N338" t="str">
        <f t="shared" si="22"/>
        <v>Pass, Fail</v>
      </c>
    </row>
    <row r="339" spans="8:14">
      <c r="H339" s="13">
        <f t="shared" si="20"/>
        <v>2</v>
      </c>
      <c r="I339" t="str" cm="1">
        <f t="array" ref="I339">_xlfn.IFS(H339&lt;1,"No",H339=1,"Yes",H339&gt;1,_xlfn.TEXTJOIN("",TRUE,"Yes x",H339))</f>
        <v>Yes x2</v>
      </c>
      <c r="J339" s="13">
        <f t="shared" si="21"/>
        <v>1</v>
      </c>
      <c r="K339" s="13">
        <f t="shared" si="23"/>
        <v>1</v>
      </c>
      <c r="L339" s="13" t="str" cm="1">
        <f t="array" ref="L339">_xlfn.IFS(J339&lt;1,"",J339=1,"Pass",J339&gt;1,_xlfn.TEXTJOIN("",TRUE,"Pass x",J339))</f>
        <v>Pass</v>
      </c>
      <c r="M339" s="13" t="str" cm="1">
        <f t="array" ref="M339">_xlfn.IFS(K339&lt;1,"",K339=1,"Fail",K339&gt;1,_xlfn.TEXTJOIN("",TRUE,"Fail x",K339))</f>
        <v>Fail</v>
      </c>
      <c r="N339" t="str">
        <f t="shared" si="22"/>
        <v>Pass, Fail</v>
      </c>
    </row>
    <row r="340" spans="8:14">
      <c r="H340" s="13">
        <f t="shared" si="20"/>
        <v>2</v>
      </c>
      <c r="I340" t="str" cm="1">
        <f t="array" ref="I340">_xlfn.IFS(H340&lt;1,"No",H340=1,"Yes",H340&gt;1,_xlfn.TEXTJOIN("",TRUE,"Yes x",H340))</f>
        <v>Yes x2</v>
      </c>
      <c r="J340" s="13">
        <f t="shared" si="21"/>
        <v>1</v>
      </c>
      <c r="K340" s="13">
        <f t="shared" si="23"/>
        <v>1</v>
      </c>
      <c r="L340" s="13" t="str" cm="1">
        <f t="array" ref="L340">_xlfn.IFS(J340&lt;1,"",J340=1,"Pass",J340&gt;1,_xlfn.TEXTJOIN("",TRUE,"Pass x",J340))</f>
        <v>Pass</v>
      </c>
      <c r="M340" s="13" t="str" cm="1">
        <f t="array" ref="M340">_xlfn.IFS(K340&lt;1,"",K340=1,"Fail",K340&gt;1,_xlfn.TEXTJOIN("",TRUE,"Fail x",K340))</f>
        <v>Fail</v>
      </c>
      <c r="N340" t="str">
        <f t="shared" si="22"/>
        <v>Pass, Fail</v>
      </c>
    </row>
    <row r="341" spans="8:14">
      <c r="H341" s="13">
        <f t="shared" si="20"/>
        <v>2</v>
      </c>
      <c r="I341" t="str" cm="1">
        <f t="array" ref="I341">_xlfn.IFS(H341&lt;1,"No",H341=1,"Yes",H341&gt;1,_xlfn.TEXTJOIN("",TRUE,"Yes x",H341))</f>
        <v>Yes x2</v>
      </c>
      <c r="J341" s="13">
        <f t="shared" si="21"/>
        <v>1</v>
      </c>
      <c r="K341" s="13">
        <f t="shared" si="23"/>
        <v>1</v>
      </c>
      <c r="L341" s="13" t="str" cm="1">
        <f t="array" ref="L341">_xlfn.IFS(J341&lt;1,"",J341=1,"Pass",J341&gt;1,_xlfn.TEXTJOIN("",TRUE,"Pass x",J341))</f>
        <v>Pass</v>
      </c>
      <c r="M341" s="13" t="str" cm="1">
        <f t="array" ref="M341">_xlfn.IFS(K341&lt;1,"",K341=1,"Fail",K341&gt;1,_xlfn.TEXTJOIN("",TRUE,"Fail x",K341))</f>
        <v>Fail</v>
      </c>
      <c r="N341" t="str">
        <f t="shared" si="22"/>
        <v>Pass, Fail</v>
      </c>
    </row>
    <row r="342" spans="8:14">
      <c r="H342" s="13">
        <f t="shared" si="20"/>
        <v>2</v>
      </c>
      <c r="I342" t="str" cm="1">
        <f t="array" ref="I342">_xlfn.IFS(H342&lt;1,"No",H342=1,"Yes",H342&gt;1,_xlfn.TEXTJOIN("",TRUE,"Yes x",H342))</f>
        <v>Yes x2</v>
      </c>
      <c r="J342" s="13">
        <f t="shared" si="21"/>
        <v>1</v>
      </c>
      <c r="K342" s="13">
        <f t="shared" si="23"/>
        <v>1</v>
      </c>
      <c r="L342" s="13" t="str" cm="1">
        <f t="array" ref="L342">_xlfn.IFS(J342&lt;1,"",J342=1,"Pass",J342&gt;1,_xlfn.TEXTJOIN("",TRUE,"Pass x",J342))</f>
        <v>Pass</v>
      </c>
      <c r="M342" s="13" t="str" cm="1">
        <f t="array" ref="M342">_xlfn.IFS(K342&lt;1,"",K342=1,"Fail",K342&gt;1,_xlfn.TEXTJOIN("",TRUE,"Fail x",K342))</f>
        <v>Fail</v>
      </c>
      <c r="N342" t="str">
        <f t="shared" si="22"/>
        <v>Pass, Fail</v>
      </c>
    </row>
    <row r="343" spans="8:14">
      <c r="H343" s="13">
        <f t="shared" si="20"/>
        <v>2</v>
      </c>
      <c r="I343" t="str" cm="1">
        <f t="array" ref="I343">_xlfn.IFS(H343&lt;1,"No",H343=1,"Yes",H343&gt;1,_xlfn.TEXTJOIN("",TRUE,"Yes x",H343))</f>
        <v>Yes x2</v>
      </c>
      <c r="J343" s="13">
        <f t="shared" si="21"/>
        <v>1</v>
      </c>
      <c r="K343" s="13">
        <f t="shared" si="23"/>
        <v>1</v>
      </c>
      <c r="L343" s="13" t="str" cm="1">
        <f t="array" ref="L343">_xlfn.IFS(J343&lt;1,"",J343=1,"Pass",J343&gt;1,_xlfn.TEXTJOIN("",TRUE,"Pass x",J343))</f>
        <v>Pass</v>
      </c>
      <c r="M343" s="13" t="str" cm="1">
        <f t="array" ref="M343">_xlfn.IFS(K343&lt;1,"",K343=1,"Fail",K343&gt;1,_xlfn.TEXTJOIN("",TRUE,"Fail x",K343))</f>
        <v>Fail</v>
      </c>
      <c r="N343" t="str">
        <f t="shared" si="22"/>
        <v>Pass, Fail</v>
      </c>
    </row>
    <row r="344" spans="8:14">
      <c r="H344" s="13">
        <f t="shared" si="20"/>
        <v>2</v>
      </c>
      <c r="I344" t="str" cm="1">
        <f t="array" ref="I344">_xlfn.IFS(H344&lt;1,"No",H344=1,"Yes",H344&gt;1,_xlfn.TEXTJOIN("",TRUE,"Yes x",H344))</f>
        <v>Yes x2</v>
      </c>
      <c r="J344" s="13">
        <f t="shared" si="21"/>
        <v>1</v>
      </c>
      <c r="K344" s="13">
        <f t="shared" si="23"/>
        <v>1</v>
      </c>
      <c r="L344" s="13" t="str" cm="1">
        <f t="array" ref="L344">_xlfn.IFS(J344&lt;1,"",J344=1,"Pass",J344&gt;1,_xlfn.TEXTJOIN("",TRUE,"Pass x",J344))</f>
        <v>Pass</v>
      </c>
      <c r="M344" s="13" t="str" cm="1">
        <f t="array" ref="M344">_xlfn.IFS(K344&lt;1,"",K344=1,"Fail",K344&gt;1,_xlfn.TEXTJOIN("",TRUE,"Fail x",K344))</f>
        <v>Fail</v>
      </c>
      <c r="N344" t="str">
        <f t="shared" si="22"/>
        <v>Pass, Fail</v>
      </c>
    </row>
    <row r="345" spans="8:14">
      <c r="H345" s="13">
        <f t="shared" si="20"/>
        <v>2</v>
      </c>
      <c r="I345" t="str" cm="1">
        <f t="array" ref="I345">_xlfn.IFS(H345&lt;1,"No",H345=1,"Yes",H345&gt;1,_xlfn.TEXTJOIN("",TRUE,"Yes x",H345))</f>
        <v>Yes x2</v>
      </c>
      <c r="J345" s="13">
        <f t="shared" si="21"/>
        <v>1</v>
      </c>
      <c r="K345" s="13">
        <f t="shared" si="23"/>
        <v>1</v>
      </c>
      <c r="L345" s="13" t="str" cm="1">
        <f t="array" ref="L345">_xlfn.IFS(J345&lt;1,"",J345=1,"Pass",J345&gt;1,_xlfn.TEXTJOIN("",TRUE,"Pass x",J345))</f>
        <v>Pass</v>
      </c>
      <c r="M345" s="13" t="str" cm="1">
        <f t="array" ref="M345">_xlfn.IFS(K345&lt;1,"",K345=1,"Fail",K345&gt;1,_xlfn.TEXTJOIN("",TRUE,"Fail x",K345))</f>
        <v>Fail</v>
      </c>
      <c r="N345" t="str">
        <f t="shared" si="22"/>
        <v>Pass, Fail</v>
      </c>
    </row>
    <row r="346" spans="8:14">
      <c r="H346" s="13">
        <f t="shared" si="20"/>
        <v>2</v>
      </c>
      <c r="I346" t="str" cm="1">
        <f t="array" ref="I346">_xlfn.IFS(H346&lt;1,"No",H346=1,"Yes",H346&gt;1,_xlfn.TEXTJOIN("",TRUE,"Yes x",H346))</f>
        <v>Yes x2</v>
      </c>
      <c r="J346" s="13">
        <f t="shared" si="21"/>
        <v>1</v>
      </c>
      <c r="K346" s="13">
        <f t="shared" si="23"/>
        <v>1</v>
      </c>
      <c r="L346" s="13" t="str" cm="1">
        <f t="array" ref="L346">_xlfn.IFS(J346&lt;1,"",J346=1,"Pass",J346&gt;1,_xlfn.TEXTJOIN("",TRUE,"Pass x",J346))</f>
        <v>Pass</v>
      </c>
      <c r="M346" s="13" t="str" cm="1">
        <f t="array" ref="M346">_xlfn.IFS(K346&lt;1,"",K346=1,"Fail",K346&gt;1,_xlfn.TEXTJOIN("",TRUE,"Fail x",K346))</f>
        <v>Fail</v>
      </c>
      <c r="N346" t="str">
        <f t="shared" si="22"/>
        <v>Pass, Fail</v>
      </c>
    </row>
    <row r="347" spans="8:14">
      <c r="H347" s="13">
        <f t="shared" si="20"/>
        <v>2</v>
      </c>
      <c r="I347" t="str" cm="1">
        <f t="array" ref="I347">_xlfn.IFS(H347&lt;1,"No",H347=1,"Yes",H347&gt;1,_xlfn.TEXTJOIN("",TRUE,"Yes x",H347))</f>
        <v>Yes x2</v>
      </c>
      <c r="J347" s="13">
        <f t="shared" si="21"/>
        <v>1</v>
      </c>
      <c r="K347" s="13">
        <f t="shared" si="23"/>
        <v>1</v>
      </c>
      <c r="L347" s="13" t="str" cm="1">
        <f t="array" ref="L347">_xlfn.IFS(J347&lt;1,"",J347=1,"Pass",J347&gt;1,_xlfn.TEXTJOIN("",TRUE,"Pass x",J347))</f>
        <v>Pass</v>
      </c>
      <c r="M347" s="13" t="str" cm="1">
        <f t="array" ref="M347">_xlfn.IFS(K347&lt;1,"",K347=1,"Fail",K347&gt;1,_xlfn.TEXTJOIN("",TRUE,"Fail x",K347))</f>
        <v>Fail</v>
      </c>
      <c r="N347" t="str">
        <f t="shared" si="22"/>
        <v>Pass, Fail</v>
      </c>
    </row>
    <row r="348" spans="8:14">
      <c r="H348" s="13">
        <f t="shared" si="20"/>
        <v>2</v>
      </c>
      <c r="I348" t="str" cm="1">
        <f t="array" ref="I348">_xlfn.IFS(H348&lt;1,"No",H348=1,"Yes",H348&gt;1,_xlfn.TEXTJOIN("",TRUE,"Yes x",H348))</f>
        <v>Yes x2</v>
      </c>
      <c r="J348" s="13">
        <f t="shared" si="21"/>
        <v>1</v>
      </c>
      <c r="K348" s="13">
        <f t="shared" si="23"/>
        <v>1</v>
      </c>
      <c r="L348" s="13" t="str" cm="1">
        <f t="array" ref="L348">_xlfn.IFS(J348&lt;1,"",J348=1,"Pass",J348&gt;1,_xlfn.TEXTJOIN("",TRUE,"Pass x",J348))</f>
        <v>Pass</v>
      </c>
      <c r="M348" s="13" t="str" cm="1">
        <f t="array" ref="M348">_xlfn.IFS(K348&lt;1,"",K348=1,"Fail",K348&gt;1,_xlfn.TEXTJOIN("",TRUE,"Fail x",K348))</f>
        <v>Fail</v>
      </c>
      <c r="N348" t="str">
        <f t="shared" si="22"/>
        <v>Pass, Fail</v>
      </c>
    </row>
    <row r="349" spans="8:14">
      <c r="H349" s="13">
        <f t="shared" si="20"/>
        <v>2</v>
      </c>
      <c r="I349" t="str" cm="1">
        <f t="array" ref="I349">_xlfn.IFS(H349&lt;1,"No",H349=1,"Yes",H349&gt;1,_xlfn.TEXTJOIN("",TRUE,"Yes x",H349))</f>
        <v>Yes x2</v>
      </c>
      <c r="J349" s="13">
        <f t="shared" si="21"/>
        <v>1</v>
      </c>
      <c r="K349" s="13">
        <f t="shared" si="23"/>
        <v>1</v>
      </c>
      <c r="L349" s="13" t="str" cm="1">
        <f t="array" ref="L349">_xlfn.IFS(J349&lt;1,"",J349=1,"Pass",J349&gt;1,_xlfn.TEXTJOIN("",TRUE,"Pass x",J349))</f>
        <v>Pass</v>
      </c>
      <c r="M349" s="13" t="str" cm="1">
        <f t="array" ref="M349">_xlfn.IFS(K349&lt;1,"",K349=1,"Fail",K349&gt;1,_xlfn.TEXTJOIN("",TRUE,"Fail x",K349))</f>
        <v>Fail</v>
      </c>
      <c r="N349" t="str">
        <f t="shared" si="22"/>
        <v>Pass, Fail</v>
      </c>
    </row>
    <row r="350" spans="8:14">
      <c r="H350" s="13">
        <f t="shared" si="20"/>
        <v>2</v>
      </c>
      <c r="I350" t="str" cm="1">
        <f t="array" ref="I350">_xlfn.IFS(H350&lt;1,"No",H350=1,"Yes",H350&gt;1,_xlfn.TEXTJOIN("",TRUE,"Yes x",H350))</f>
        <v>Yes x2</v>
      </c>
      <c r="J350" s="13">
        <f t="shared" si="21"/>
        <v>1</v>
      </c>
      <c r="K350" s="13">
        <f t="shared" si="23"/>
        <v>1</v>
      </c>
      <c r="L350" s="13" t="str" cm="1">
        <f t="array" ref="L350">_xlfn.IFS(J350&lt;1,"",J350=1,"Pass",J350&gt;1,_xlfn.TEXTJOIN("",TRUE,"Pass x",J350))</f>
        <v>Pass</v>
      </c>
      <c r="M350" s="13" t="str" cm="1">
        <f t="array" ref="M350">_xlfn.IFS(K350&lt;1,"",K350=1,"Fail",K350&gt;1,_xlfn.TEXTJOIN("",TRUE,"Fail x",K350))</f>
        <v>Fail</v>
      </c>
      <c r="N350" t="str">
        <f t="shared" si="22"/>
        <v>Pass, Fail</v>
      </c>
    </row>
    <row r="351" spans="8:14">
      <c r="H351" s="13">
        <f t="shared" si="20"/>
        <v>2</v>
      </c>
      <c r="I351" t="str" cm="1">
        <f t="array" ref="I351">_xlfn.IFS(H351&lt;1,"No",H351=1,"Yes",H351&gt;1,_xlfn.TEXTJOIN("",TRUE,"Yes x",H351))</f>
        <v>Yes x2</v>
      </c>
      <c r="J351" s="13">
        <f t="shared" si="21"/>
        <v>1</v>
      </c>
      <c r="K351" s="13">
        <f t="shared" si="23"/>
        <v>1</v>
      </c>
      <c r="L351" s="13" t="str" cm="1">
        <f t="array" ref="L351">_xlfn.IFS(J351&lt;1,"",J351=1,"Pass",J351&gt;1,_xlfn.TEXTJOIN("",TRUE,"Pass x",J351))</f>
        <v>Pass</v>
      </c>
      <c r="M351" s="13" t="str" cm="1">
        <f t="array" ref="M351">_xlfn.IFS(K351&lt;1,"",K351=1,"Fail",K351&gt;1,_xlfn.TEXTJOIN("",TRUE,"Fail x",K351))</f>
        <v>Fail</v>
      </c>
      <c r="N351" t="str">
        <f t="shared" si="22"/>
        <v>Pass, Fail</v>
      </c>
    </row>
    <row r="352" spans="8:14">
      <c r="H352" s="13">
        <f t="shared" si="20"/>
        <v>2</v>
      </c>
      <c r="I352" t="str" cm="1">
        <f t="array" ref="I352">_xlfn.IFS(H352&lt;1,"No",H352=1,"Yes",H352&gt;1,_xlfn.TEXTJOIN("",TRUE,"Yes x",H352))</f>
        <v>Yes x2</v>
      </c>
      <c r="J352" s="13">
        <f t="shared" si="21"/>
        <v>1</v>
      </c>
      <c r="K352" s="13">
        <f t="shared" si="23"/>
        <v>1</v>
      </c>
      <c r="L352" s="13" t="str" cm="1">
        <f t="array" ref="L352">_xlfn.IFS(J352&lt;1,"",J352=1,"Pass",J352&gt;1,_xlfn.TEXTJOIN("",TRUE,"Pass x",J352))</f>
        <v>Pass</v>
      </c>
      <c r="M352" s="13" t="str" cm="1">
        <f t="array" ref="M352">_xlfn.IFS(K352&lt;1,"",K352=1,"Fail",K352&gt;1,_xlfn.TEXTJOIN("",TRUE,"Fail x",K352))</f>
        <v>Fail</v>
      </c>
      <c r="N352" t="str">
        <f t="shared" si="22"/>
        <v>Pass, Fail</v>
      </c>
    </row>
    <row r="353" spans="8:14">
      <c r="H353" s="13">
        <f t="shared" si="20"/>
        <v>2</v>
      </c>
      <c r="I353" t="str" cm="1">
        <f t="array" ref="I353">_xlfn.IFS(H353&lt;1,"No",H353=1,"Yes",H353&gt;1,_xlfn.TEXTJOIN("",TRUE,"Yes x",H353))</f>
        <v>Yes x2</v>
      </c>
      <c r="J353" s="13">
        <f t="shared" si="21"/>
        <v>1</v>
      </c>
      <c r="K353" s="13">
        <f t="shared" si="23"/>
        <v>1</v>
      </c>
      <c r="L353" s="13" t="str" cm="1">
        <f t="array" ref="L353">_xlfn.IFS(J353&lt;1,"",J353=1,"Pass",J353&gt;1,_xlfn.TEXTJOIN("",TRUE,"Pass x",J353))</f>
        <v>Pass</v>
      </c>
      <c r="M353" s="13" t="str" cm="1">
        <f t="array" ref="M353">_xlfn.IFS(K353&lt;1,"",K353=1,"Fail",K353&gt;1,_xlfn.TEXTJOIN("",TRUE,"Fail x",K353))</f>
        <v>Fail</v>
      </c>
      <c r="N353" t="str">
        <f t="shared" si="22"/>
        <v>Pass, Fail</v>
      </c>
    </row>
    <row r="354" spans="8:14">
      <c r="H354" s="13">
        <f t="shared" si="20"/>
        <v>2</v>
      </c>
      <c r="I354" t="str" cm="1">
        <f t="array" ref="I354">_xlfn.IFS(H354&lt;1,"No",H354=1,"Yes",H354&gt;1,_xlfn.TEXTJOIN("",TRUE,"Yes x",H354))</f>
        <v>Yes x2</v>
      </c>
      <c r="J354" s="13">
        <f t="shared" si="21"/>
        <v>1</v>
      </c>
      <c r="K354" s="13">
        <f t="shared" si="23"/>
        <v>1</v>
      </c>
      <c r="L354" s="13" t="str" cm="1">
        <f t="array" ref="L354">_xlfn.IFS(J354&lt;1,"",J354=1,"Pass",J354&gt;1,_xlfn.TEXTJOIN("",TRUE,"Pass x",J354))</f>
        <v>Pass</v>
      </c>
      <c r="M354" s="13" t="str" cm="1">
        <f t="array" ref="M354">_xlfn.IFS(K354&lt;1,"",K354=1,"Fail",K354&gt;1,_xlfn.TEXTJOIN("",TRUE,"Fail x",K354))</f>
        <v>Fail</v>
      </c>
      <c r="N354" t="str">
        <f t="shared" si="22"/>
        <v>Pass, Fail</v>
      </c>
    </row>
    <row r="355" spans="8:14">
      <c r="H355" s="13">
        <f t="shared" si="20"/>
        <v>2</v>
      </c>
      <c r="I355" t="str" cm="1">
        <f t="array" ref="I355">_xlfn.IFS(H355&lt;1,"No",H355=1,"Yes",H355&gt;1,_xlfn.TEXTJOIN("",TRUE,"Yes x",H355))</f>
        <v>Yes x2</v>
      </c>
      <c r="J355" s="13">
        <f t="shared" si="21"/>
        <v>1</v>
      </c>
      <c r="K355" s="13">
        <f t="shared" si="23"/>
        <v>1</v>
      </c>
      <c r="L355" s="13" t="str" cm="1">
        <f t="array" ref="L355">_xlfn.IFS(J355&lt;1,"",J355=1,"Pass",J355&gt;1,_xlfn.TEXTJOIN("",TRUE,"Pass x",J355))</f>
        <v>Pass</v>
      </c>
      <c r="M355" s="13" t="str" cm="1">
        <f t="array" ref="M355">_xlfn.IFS(K355&lt;1,"",K355=1,"Fail",K355&gt;1,_xlfn.TEXTJOIN("",TRUE,"Fail x",K355))</f>
        <v>Fail</v>
      </c>
      <c r="N355" t="str">
        <f t="shared" si="22"/>
        <v>Pass, Fail</v>
      </c>
    </row>
    <row r="356" spans="8:14">
      <c r="H356" s="13">
        <f t="shared" ref="H356:H419" si="24">IFERROR(GETPIVOTDATA("Successful / Failed",$A$1,"System serial",G356),0)</f>
        <v>2</v>
      </c>
      <c r="I356" t="str" cm="1">
        <f t="array" ref="I356">_xlfn.IFS(H356&lt;1,"No",H356=1,"Yes",H356&gt;1,_xlfn.TEXTJOIN("",TRUE,"Yes x",H356))</f>
        <v>Yes x2</v>
      </c>
      <c r="J356" s="13">
        <f t="shared" ref="J356:J419" si="25">IFERROR(GETPIVOTDATA("Successful / Failed",$A$1,"System serial",G356,"Successful / Failed","Successful"),0)</f>
        <v>1</v>
      </c>
      <c r="K356" s="13">
        <f t="shared" si="23"/>
        <v>1</v>
      </c>
      <c r="L356" s="13" t="str" cm="1">
        <f t="array" ref="L356">_xlfn.IFS(J356&lt;1,"",J356=1,"Pass",J356&gt;1,_xlfn.TEXTJOIN("",TRUE,"Pass x",J356))</f>
        <v>Pass</v>
      </c>
      <c r="M356" s="13" t="str" cm="1">
        <f t="array" ref="M356">_xlfn.IFS(K356&lt;1,"",K356=1,"Fail",K356&gt;1,_xlfn.TEXTJOIN("",TRUE,"Fail x",K356))</f>
        <v>Fail</v>
      </c>
      <c r="N356" t="str">
        <f t="shared" ref="N356:N419" si="26">_xlfn.TEXTJOIN(", ",TRUE, L356, M356)</f>
        <v>Pass, Fail</v>
      </c>
    </row>
    <row r="357" spans="8:14">
      <c r="H357" s="13">
        <f t="shared" si="24"/>
        <v>2</v>
      </c>
      <c r="I357" t="str" cm="1">
        <f t="array" ref="I357">_xlfn.IFS(H357&lt;1,"No",H357=1,"Yes",H357&gt;1,_xlfn.TEXTJOIN("",TRUE,"Yes x",H357))</f>
        <v>Yes x2</v>
      </c>
      <c r="J357" s="13">
        <f t="shared" si="25"/>
        <v>1</v>
      </c>
      <c r="K357" s="13">
        <f t="shared" si="23"/>
        <v>1</v>
      </c>
      <c r="L357" s="13" t="str" cm="1">
        <f t="array" ref="L357">_xlfn.IFS(J357&lt;1,"",J357=1,"Pass",J357&gt;1,_xlfn.TEXTJOIN("",TRUE,"Pass x",J357))</f>
        <v>Pass</v>
      </c>
      <c r="M357" s="13" t="str" cm="1">
        <f t="array" ref="M357">_xlfn.IFS(K357&lt;1,"",K357=1,"Fail",K357&gt;1,_xlfn.TEXTJOIN("",TRUE,"Fail x",K357))</f>
        <v>Fail</v>
      </c>
      <c r="N357" t="str">
        <f t="shared" si="26"/>
        <v>Pass, Fail</v>
      </c>
    </row>
    <row r="358" spans="8:14">
      <c r="H358" s="13">
        <f t="shared" si="24"/>
        <v>2</v>
      </c>
      <c r="I358" t="str" cm="1">
        <f t="array" ref="I358">_xlfn.IFS(H358&lt;1,"No",H358=1,"Yes",H358&gt;1,_xlfn.TEXTJOIN("",TRUE,"Yes x",H358))</f>
        <v>Yes x2</v>
      </c>
      <c r="J358" s="13">
        <f t="shared" si="25"/>
        <v>1</v>
      </c>
      <c r="K358" s="13">
        <f t="shared" si="23"/>
        <v>1</v>
      </c>
      <c r="L358" s="13" t="str" cm="1">
        <f t="array" ref="L358">_xlfn.IFS(J358&lt;1,"",J358=1,"Pass",J358&gt;1,_xlfn.TEXTJOIN("",TRUE,"Pass x",J358))</f>
        <v>Pass</v>
      </c>
      <c r="M358" s="13" t="str" cm="1">
        <f t="array" ref="M358">_xlfn.IFS(K358&lt;1,"",K358=1,"Fail",K358&gt;1,_xlfn.TEXTJOIN("",TRUE,"Fail x",K358))</f>
        <v>Fail</v>
      </c>
      <c r="N358" t="str">
        <f t="shared" si="26"/>
        <v>Pass, Fail</v>
      </c>
    </row>
    <row r="359" spans="8:14">
      <c r="H359" s="13">
        <f t="shared" si="24"/>
        <v>2</v>
      </c>
      <c r="I359" t="str" cm="1">
        <f t="array" ref="I359">_xlfn.IFS(H359&lt;1,"No",H359=1,"Yes",H359&gt;1,_xlfn.TEXTJOIN("",TRUE,"Yes x",H359))</f>
        <v>Yes x2</v>
      </c>
      <c r="J359" s="13">
        <f t="shared" si="25"/>
        <v>1</v>
      </c>
      <c r="K359" s="13">
        <f t="shared" si="23"/>
        <v>1</v>
      </c>
      <c r="L359" s="13" t="str" cm="1">
        <f t="array" ref="L359">_xlfn.IFS(J359&lt;1,"",J359=1,"Pass",J359&gt;1,_xlfn.TEXTJOIN("",TRUE,"Pass x",J359))</f>
        <v>Pass</v>
      </c>
      <c r="M359" s="13" t="str" cm="1">
        <f t="array" ref="M359">_xlfn.IFS(K359&lt;1,"",K359=1,"Fail",K359&gt;1,_xlfn.TEXTJOIN("",TRUE,"Fail x",K359))</f>
        <v>Fail</v>
      </c>
      <c r="N359" t="str">
        <f t="shared" si="26"/>
        <v>Pass, Fail</v>
      </c>
    </row>
    <row r="360" spans="8:14">
      <c r="H360" s="13">
        <f t="shared" si="24"/>
        <v>2</v>
      </c>
      <c r="I360" t="str" cm="1">
        <f t="array" ref="I360">_xlfn.IFS(H360&lt;1,"No",H360=1,"Yes",H360&gt;1,_xlfn.TEXTJOIN("",TRUE,"Yes x",H360))</f>
        <v>Yes x2</v>
      </c>
      <c r="J360" s="13">
        <f t="shared" si="25"/>
        <v>1</v>
      </c>
      <c r="K360" s="13">
        <f t="shared" si="23"/>
        <v>1</v>
      </c>
      <c r="L360" s="13" t="str" cm="1">
        <f t="array" ref="L360">_xlfn.IFS(J360&lt;1,"",J360=1,"Pass",J360&gt;1,_xlfn.TEXTJOIN("",TRUE,"Pass x",J360))</f>
        <v>Pass</v>
      </c>
      <c r="M360" s="13" t="str" cm="1">
        <f t="array" ref="M360">_xlfn.IFS(K360&lt;1,"",K360=1,"Fail",K360&gt;1,_xlfn.TEXTJOIN("",TRUE,"Fail x",K360))</f>
        <v>Fail</v>
      </c>
      <c r="N360" t="str">
        <f t="shared" si="26"/>
        <v>Pass, Fail</v>
      </c>
    </row>
    <row r="361" spans="8:14">
      <c r="H361" s="13">
        <f t="shared" si="24"/>
        <v>2</v>
      </c>
      <c r="I361" t="str" cm="1">
        <f t="array" ref="I361">_xlfn.IFS(H361&lt;1,"No",H361=1,"Yes",H361&gt;1,_xlfn.TEXTJOIN("",TRUE,"Yes x",H361))</f>
        <v>Yes x2</v>
      </c>
      <c r="J361" s="13">
        <f t="shared" si="25"/>
        <v>1</v>
      </c>
      <c r="K361" s="13">
        <f t="shared" si="23"/>
        <v>1</v>
      </c>
      <c r="L361" s="13" t="str" cm="1">
        <f t="array" ref="L361">_xlfn.IFS(J361&lt;1,"",J361=1,"Pass",J361&gt;1,_xlfn.TEXTJOIN("",TRUE,"Pass x",J361))</f>
        <v>Pass</v>
      </c>
      <c r="M361" s="13" t="str" cm="1">
        <f t="array" ref="M361">_xlfn.IFS(K361&lt;1,"",K361=1,"Fail",K361&gt;1,_xlfn.TEXTJOIN("",TRUE,"Fail x",K361))</f>
        <v>Fail</v>
      </c>
      <c r="N361" t="str">
        <f t="shared" si="26"/>
        <v>Pass, Fail</v>
      </c>
    </row>
    <row r="362" spans="8:14">
      <c r="H362" s="13">
        <f t="shared" si="24"/>
        <v>2</v>
      </c>
      <c r="I362" t="str" cm="1">
        <f t="array" ref="I362">_xlfn.IFS(H362&lt;1,"No",H362=1,"Yes",H362&gt;1,_xlfn.TEXTJOIN("",TRUE,"Yes x",H362))</f>
        <v>Yes x2</v>
      </c>
      <c r="J362" s="13">
        <f t="shared" si="25"/>
        <v>1</v>
      </c>
      <c r="K362" s="13">
        <f t="shared" si="23"/>
        <v>1</v>
      </c>
      <c r="L362" s="13" t="str" cm="1">
        <f t="array" ref="L362">_xlfn.IFS(J362&lt;1,"",J362=1,"Pass",J362&gt;1,_xlfn.TEXTJOIN("",TRUE,"Pass x",J362))</f>
        <v>Pass</v>
      </c>
      <c r="M362" s="13" t="str" cm="1">
        <f t="array" ref="M362">_xlfn.IFS(K362&lt;1,"",K362=1,"Fail",K362&gt;1,_xlfn.TEXTJOIN("",TRUE,"Fail x",K362))</f>
        <v>Fail</v>
      </c>
      <c r="N362" t="str">
        <f t="shared" si="26"/>
        <v>Pass, Fail</v>
      </c>
    </row>
    <row r="363" spans="8:14">
      <c r="H363" s="13">
        <f t="shared" si="24"/>
        <v>2</v>
      </c>
      <c r="I363" t="str" cm="1">
        <f t="array" ref="I363">_xlfn.IFS(H363&lt;1,"No",H363=1,"Yes",H363&gt;1,_xlfn.TEXTJOIN("",TRUE,"Yes x",H363))</f>
        <v>Yes x2</v>
      </c>
      <c r="J363" s="13">
        <f t="shared" si="25"/>
        <v>1</v>
      </c>
      <c r="K363" s="13">
        <f t="shared" si="23"/>
        <v>1</v>
      </c>
      <c r="L363" s="13" t="str" cm="1">
        <f t="array" ref="L363">_xlfn.IFS(J363&lt;1,"",J363=1,"Pass",J363&gt;1,_xlfn.TEXTJOIN("",TRUE,"Pass x",J363))</f>
        <v>Pass</v>
      </c>
      <c r="M363" s="13" t="str" cm="1">
        <f t="array" ref="M363">_xlfn.IFS(K363&lt;1,"",K363=1,"Fail",K363&gt;1,_xlfn.TEXTJOIN("",TRUE,"Fail x",K363))</f>
        <v>Fail</v>
      </c>
      <c r="N363" t="str">
        <f t="shared" si="26"/>
        <v>Pass, Fail</v>
      </c>
    </row>
    <row r="364" spans="8:14">
      <c r="H364" s="13">
        <f t="shared" si="24"/>
        <v>2</v>
      </c>
      <c r="I364" t="str" cm="1">
        <f t="array" ref="I364">_xlfn.IFS(H364&lt;1,"No",H364=1,"Yes",H364&gt;1,_xlfn.TEXTJOIN("",TRUE,"Yes x",H364))</f>
        <v>Yes x2</v>
      </c>
      <c r="J364" s="13">
        <f t="shared" si="25"/>
        <v>1</v>
      </c>
      <c r="K364" s="13">
        <f t="shared" si="23"/>
        <v>1</v>
      </c>
      <c r="L364" s="13" t="str" cm="1">
        <f t="array" ref="L364">_xlfn.IFS(J364&lt;1,"",J364=1,"Pass",J364&gt;1,_xlfn.TEXTJOIN("",TRUE,"Pass x",J364))</f>
        <v>Pass</v>
      </c>
      <c r="M364" s="13" t="str" cm="1">
        <f t="array" ref="M364">_xlfn.IFS(K364&lt;1,"",K364=1,"Fail",K364&gt;1,_xlfn.TEXTJOIN("",TRUE,"Fail x",K364))</f>
        <v>Fail</v>
      </c>
      <c r="N364" t="str">
        <f t="shared" si="26"/>
        <v>Pass, Fail</v>
      </c>
    </row>
    <row r="365" spans="8:14">
      <c r="H365" s="13">
        <f t="shared" si="24"/>
        <v>2</v>
      </c>
      <c r="I365" t="str" cm="1">
        <f t="array" ref="I365">_xlfn.IFS(H365&lt;1,"No",H365=1,"Yes",H365&gt;1,_xlfn.TEXTJOIN("",TRUE,"Yes x",H365))</f>
        <v>Yes x2</v>
      </c>
      <c r="J365" s="13">
        <f t="shared" si="25"/>
        <v>1</v>
      </c>
      <c r="K365" s="13">
        <f t="shared" si="23"/>
        <v>1</v>
      </c>
      <c r="L365" s="13" t="str" cm="1">
        <f t="array" ref="L365">_xlfn.IFS(J365&lt;1,"",J365=1,"Pass",J365&gt;1,_xlfn.TEXTJOIN("",TRUE,"Pass x",J365))</f>
        <v>Pass</v>
      </c>
      <c r="M365" s="13" t="str" cm="1">
        <f t="array" ref="M365">_xlfn.IFS(K365&lt;1,"",K365=1,"Fail",K365&gt;1,_xlfn.TEXTJOIN("",TRUE,"Fail x",K365))</f>
        <v>Fail</v>
      </c>
      <c r="N365" t="str">
        <f t="shared" si="26"/>
        <v>Pass, Fail</v>
      </c>
    </row>
    <row r="366" spans="8:14">
      <c r="H366" s="13">
        <f t="shared" si="24"/>
        <v>2</v>
      </c>
      <c r="I366" t="str" cm="1">
        <f t="array" ref="I366">_xlfn.IFS(H366&lt;1,"No",H366=1,"Yes",H366&gt;1,_xlfn.TEXTJOIN("",TRUE,"Yes x",H366))</f>
        <v>Yes x2</v>
      </c>
      <c r="J366" s="13">
        <f t="shared" si="25"/>
        <v>1</v>
      </c>
      <c r="K366" s="13">
        <f t="shared" si="23"/>
        <v>1</v>
      </c>
      <c r="L366" s="13" t="str" cm="1">
        <f t="array" ref="L366">_xlfn.IFS(J366&lt;1,"",J366=1,"Pass",J366&gt;1,_xlfn.TEXTJOIN("",TRUE,"Pass x",J366))</f>
        <v>Pass</v>
      </c>
      <c r="M366" s="13" t="str" cm="1">
        <f t="array" ref="M366">_xlfn.IFS(K366&lt;1,"",K366=1,"Fail",K366&gt;1,_xlfn.TEXTJOIN("",TRUE,"Fail x",K366))</f>
        <v>Fail</v>
      </c>
      <c r="N366" t="str">
        <f t="shared" si="26"/>
        <v>Pass, Fail</v>
      </c>
    </row>
    <row r="367" spans="8:14">
      <c r="H367" s="13">
        <f t="shared" si="24"/>
        <v>2</v>
      </c>
      <c r="I367" t="str" cm="1">
        <f t="array" ref="I367">_xlfn.IFS(H367&lt;1,"No",H367=1,"Yes",H367&gt;1,_xlfn.TEXTJOIN("",TRUE,"Yes x",H367))</f>
        <v>Yes x2</v>
      </c>
      <c r="J367" s="13">
        <f t="shared" si="25"/>
        <v>1</v>
      </c>
      <c r="K367" s="13">
        <f t="shared" si="23"/>
        <v>1</v>
      </c>
      <c r="L367" s="13" t="str" cm="1">
        <f t="array" ref="L367">_xlfn.IFS(J367&lt;1,"",J367=1,"Pass",J367&gt;1,_xlfn.TEXTJOIN("",TRUE,"Pass x",J367))</f>
        <v>Pass</v>
      </c>
      <c r="M367" s="13" t="str" cm="1">
        <f t="array" ref="M367">_xlfn.IFS(K367&lt;1,"",K367=1,"Fail",K367&gt;1,_xlfn.TEXTJOIN("",TRUE,"Fail x",K367))</f>
        <v>Fail</v>
      </c>
      <c r="N367" t="str">
        <f t="shared" si="26"/>
        <v>Pass, Fail</v>
      </c>
    </row>
    <row r="368" spans="8:14">
      <c r="H368" s="13">
        <f t="shared" si="24"/>
        <v>2</v>
      </c>
      <c r="I368" t="str" cm="1">
        <f t="array" ref="I368">_xlfn.IFS(H368&lt;1,"No",H368=1,"Yes",H368&gt;1,_xlfn.TEXTJOIN("",TRUE,"Yes x",H368))</f>
        <v>Yes x2</v>
      </c>
      <c r="J368" s="13">
        <f t="shared" si="25"/>
        <v>1</v>
      </c>
      <c r="K368" s="13">
        <f t="shared" si="23"/>
        <v>1</v>
      </c>
      <c r="L368" s="13" t="str" cm="1">
        <f t="array" ref="L368">_xlfn.IFS(J368&lt;1,"",J368=1,"Pass",J368&gt;1,_xlfn.TEXTJOIN("",TRUE,"Pass x",J368))</f>
        <v>Pass</v>
      </c>
      <c r="M368" s="13" t="str" cm="1">
        <f t="array" ref="M368">_xlfn.IFS(K368&lt;1,"",K368=1,"Fail",K368&gt;1,_xlfn.TEXTJOIN("",TRUE,"Fail x",K368))</f>
        <v>Fail</v>
      </c>
      <c r="N368" t="str">
        <f t="shared" si="26"/>
        <v>Pass, Fail</v>
      </c>
    </row>
    <row r="369" spans="8:14">
      <c r="H369" s="13">
        <f t="shared" si="24"/>
        <v>2</v>
      </c>
      <c r="I369" t="str" cm="1">
        <f t="array" ref="I369">_xlfn.IFS(H369&lt;1,"No",H369=1,"Yes",H369&gt;1,_xlfn.TEXTJOIN("",TRUE,"Yes x",H369))</f>
        <v>Yes x2</v>
      </c>
      <c r="J369" s="13">
        <f t="shared" si="25"/>
        <v>1</v>
      </c>
      <c r="K369" s="13">
        <f t="shared" si="23"/>
        <v>1</v>
      </c>
      <c r="L369" s="13" t="str" cm="1">
        <f t="array" ref="L369">_xlfn.IFS(J369&lt;1,"",J369=1,"Pass",J369&gt;1,_xlfn.TEXTJOIN("",TRUE,"Pass x",J369))</f>
        <v>Pass</v>
      </c>
      <c r="M369" s="13" t="str" cm="1">
        <f t="array" ref="M369">_xlfn.IFS(K369&lt;1,"",K369=1,"Fail",K369&gt;1,_xlfn.TEXTJOIN("",TRUE,"Fail x",K369))</f>
        <v>Fail</v>
      </c>
      <c r="N369" t="str">
        <f t="shared" si="26"/>
        <v>Pass, Fail</v>
      </c>
    </row>
    <row r="370" spans="8:14">
      <c r="H370" s="13">
        <f t="shared" si="24"/>
        <v>2</v>
      </c>
      <c r="I370" t="str" cm="1">
        <f t="array" ref="I370">_xlfn.IFS(H370&lt;1,"No",H370=1,"Yes",H370&gt;1,_xlfn.TEXTJOIN("",TRUE,"Yes x",H370))</f>
        <v>Yes x2</v>
      </c>
      <c r="J370" s="13">
        <f t="shared" si="25"/>
        <v>1</v>
      </c>
      <c r="K370" s="13">
        <f t="shared" si="23"/>
        <v>1</v>
      </c>
      <c r="L370" s="13" t="str" cm="1">
        <f t="array" ref="L370">_xlfn.IFS(J370&lt;1,"",J370=1,"Pass",J370&gt;1,_xlfn.TEXTJOIN("",TRUE,"Pass x",J370))</f>
        <v>Pass</v>
      </c>
      <c r="M370" s="13" t="str" cm="1">
        <f t="array" ref="M370">_xlfn.IFS(K370&lt;1,"",K370=1,"Fail",K370&gt;1,_xlfn.TEXTJOIN("",TRUE,"Fail x",K370))</f>
        <v>Fail</v>
      </c>
      <c r="N370" t="str">
        <f t="shared" si="26"/>
        <v>Pass, Fail</v>
      </c>
    </row>
    <row r="371" spans="8:14">
      <c r="H371" s="13">
        <f t="shared" si="24"/>
        <v>2</v>
      </c>
      <c r="I371" t="str" cm="1">
        <f t="array" ref="I371">_xlfn.IFS(H371&lt;1,"No",H371=1,"Yes",H371&gt;1,_xlfn.TEXTJOIN("",TRUE,"Yes x",H371))</f>
        <v>Yes x2</v>
      </c>
      <c r="J371" s="13">
        <f t="shared" si="25"/>
        <v>1</v>
      </c>
      <c r="K371" s="13">
        <f t="shared" si="23"/>
        <v>1</v>
      </c>
      <c r="L371" s="13" t="str" cm="1">
        <f t="array" ref="L371">_xlfn.IFS(J371&lt;1,"",J371=1,"Pass",J371&gt;1,_xlfn.TEXTJOIN("",TRUE,"Pass x",J371))</f>
        <v>Pass</v>
      </c>
      <c r="M371" s="13" t="str" cm="1">
        <f t="array" ref="M371">_xlfn.IFS(K371&lt;1,"",K371=1,"Fail",K371&gt;1,_xlfn.TEXTJOIN("",TRUE,"Fail x",K371))</f>
        <v>Fail</v>
      </c>
      <c r="N371" t="str">
        <f t="shared" si="26"/>
        <v>Pass, Fail</v>
      </c>
    </row>
    <row r="372" spans="8:14">
      <c r="H372" s="13">
        <f t="shared" si="24"/>
        <v>2</v>
      </c>
      <c r="I372" t="str" cm="1">
        <f t="array" ref="I372">_xlfn.IFS(H372&lt;1,"No",H372=1,"Yes",H372&gt;1,_xlfn.TEXTJOIN("",TRUE,"Yes x",H372))</f>
        <v>Yes x2</v>
      </c>
      <c r="J372" s="13">
        <f t="shared" si="25"/>
        <v>1</v>
      </c>
      <c r="K372" s="13">
        <f t="shared" si="23"/>
        <v>1</v>
      </c>
      <c r="L372" s="13" t="str" cm="1">
        <f t="array" ref="L372">_xlfn.IFS(J372&lt;1,"",J372=1,"Pass",J372&gt;1,_xlfn.TEXTJOIN("",TRUE,"Pass x",J372))</f>
        <v>Pass</v>
      </c>
      <c r="M372" s="13" t="str" cm="1">
        <f t="array" ref="M372">_xlfn.IFS(K372&lt;1,"",K372=1,"Fail",K372&gt;1,_xlfn.TEXTJOIN("",TRUE,"Fail x",K372))</f>
        <v>Fail</v>
      </c>
      <c r="N372" t="str">
        <f t="shared" si="26"/>
        <v>Pass, Fail</v>
      </c>
    </row>
    <row r="373" spans="8:14">
      <c r="H373" s="13">
        <f t="shared" si="24"/>
        <v>2</v>
      </c>
      <c r="I373" t="str" cm="1">
        <f t="array" ref="I373">_xlfn.IFS(H373&lt;1,"No",H373=1,"Yes",H373&gt;1,_xlfn.TEXTJOIN("",TRUE,"Yes x",H373))</f>
        <v>Yes x2</v>
      </c>
      <c r="J373" s="13">
        <f t="shared" si="25"/>
        <v>1</v>
      </c>
      <c r="K373" s="13">
        <f t="shared" si="23"/>
        <v>1</v>
      </c>
      <c r="L373" s="13" t="str" cm="1">
        <f t="array" ref="L373">_xlfn.IFS(J373&lt;1,"",J373=1,"Pass",J373&gt;1,_xlfn.TEXTJOIN("",TRUE,"Pass x",J373))</f>
        <v>Pass</v>
      </c>
      <c r="M373" s="13" t="str" cm="1">
        <f t="array" ref="M373">_xlfn.IFS(K373&lt;1,"",K373=1,"Fail",K373&gt;1,_xlfn.TEXTJOIN("",TRUE,"Fail x",K373))</f>
        <v>Fail</v>
      </c>
      <c r="N373" t="str">
        <f t="shared" si="26"/>
        <v>Pass, Fail</v>
      </c>
    </row>
    <row r="374" spans="8:14">
      <c r="H374" s="13">
        <f t="shared" si="24"/>
        <v>2</v>
      </c>
      <c r="I374" t="str" cm="1">
        <f t="array" ref="I374">_xlfn.IFS(H374&lt;1,"No",H374=1,"Yes",H374&gt;1,_xlfn.TEXTJOIN("",TRUE,"Yes x",H374))</f>
        <v>Yes x2</v>
      </c>
      <c r="J374" s="13">
        <f t="shared" si="25"/>
        <v>1</v>
      </c>
      <c r="K374" s="13">
        <f t="shared" si="23"/>
        <v>1</v>
      </c>
      <c r="L374" s="13" t="str" cm="1">
        <f t="array" ref="L374">_xlfn.IFS(J374&lt;1,"",J374=1,"Pass",J374&gt;1,_xlfn.TEXTJOIN("",TRUE,"Pass x",J374))</f>
        <v>Pass</v>
      </c>
      <c r="M374" s="13" t="str" cm="1">
        <f t="array" ref="M374">_xlfn.IFS(K374&lt;1,"",K374=1,"Fail",K374&gt;1,_xlfn.TEXTJOIN("",TRUE,"Fail x",K374))</f>
        <v>Fail</v>
      </c>
      <c r="N374" t="str">
        <f t="shared" si="26"/>
        <v>Pass, Fail</v>
      </c>
    </row>
    <row r="375" spans="8:14">
      <c r="H375" s="13">
        <f t="shared" si="24"/>
        <v>2</v>
      </c>
      <c r="I375" t="str" cm="1">
        <f t="array" ref="I375">_xlfn.IFS(H375&lt;1,"No",H375=1,"Yes",H375&gt;1,_xlfn.TEXTJOIN("",TRUE,"Yes x",H375))</f>
        <v>Yes x2</v>
      </c>
      <c r="J375" s="13">
        <f t="shared" si="25"/>
        <v>1</v>
      </c>
      <c r="K375" s="13">
        <f t="shared" si="23"/>
        <v>1</v>
      </c>
      <c r="L375" s="13" t="str" cm="1">
        <f t="array" ref="L375">_xlfn.IFS(J375&lt;1,"",J375=1,"Pass",J375&gt;1,_xlfn.TEXTJOIN("",TRUE,"Pass x",J375))</f>
        <v>Pass</v>
      </c>
      <c r="M375" s="13" t="str" cm="1">
        <f t="array" ref="M375">_xlfn.IFS(K375&lt;1,"",K375=1,"Fail",K375&gt;1,_xlfn.TEXTJOIN("",TRUE,"Fail x",K375))</f>
        <v>Fail</v>
      </c>
      <c r="N375" t="str">
        <f t="shared" si="26"/>
        <v>Pass, Fail</v>
      </c>
    </row>
    <row r="376" spans="8:14">
      <c r="H376" s="13">
        <f t="shared" si="24"/>
        <v>2</v>
      </c>
      <c r="I376" t="str" cm="1">
        <f t="array" ref="I376">_xlfn.IFS(H376&lt;1,"No",H376=1,"Yes",H376&gt;1,_xlfn.TEXTJOIN("",TRUE,"Yes x",H376))</f>
        <v>Yes x2</v>
      </c>
      <c r="J376" s="13">
        <f t="shared" si="25"/>
        <v>1</v>
      </c>
      <c r="K376" s="13">
        <f t="shared" si="23"/>
        <v>1</v>
      </c>
      <c r="L376" s="13" t="str" cm="1">
        <f t="array" ref="L376">_xlfn.IFS(J376&lt;1,"",J376=1,"Pass",J376&gt;1,_xlfn.TEXTJOIN("",TRUE,"Pass x",J376))</f>
        <v>Pass</v>
      </c>
      <c r="M376" s="13" t="str" cm="1">
        <f t="array" ref="M376">_xlfn.IFS(K376&lt;1,"",K376=1,"Fail",K376&gt;1,_xlfn.TEXTJOIN("",TRUE,"Fail x",K376))</f>
        <v>Fail</v>
      </c>
      <c r="N376" t="str">
        <f t="shared" si="26"/>
        <v>Pass, Fail</v>
      </c>
    </row>
    <row r="377" spans="8:14">
      <c r="H377" s="13">
        <f t="shared" si="24"/>
        <v>2</v>
      </c>
      <c r="I377" t="str" cm="1">
        <f t="array" ref="I377">_xlfn.IFS(H377&lt;1,"No",H377=1,"Yes",H377&gt;1,_xlfn.TEXTJOIN("",TRUE,"Yes x",H377))</f>
        <v>Yes x2</v>
      </c>
      <c r="J377" s="13">
        <f t="shared" si="25"/>
        <v>1</v>
      </c>
      <c r="K377" s="13">
        <f t="shared" si="23"/>
        <v>1</v>
      </c>
      <c r="L377" s="13" t="str" cm="1">
        <f t="array" ref="L377">_xlfn.IFS(J377&lt;1,"",J377=1,"Pass",J377&gt;1,_xlfn.TEXTJOIN("",TRUE,"Pass x",J377))</f>
        <v>Pass</v>
      </c>
      <c r="M377" s="13" t="str" cm="1">
        <f t="array" ref="M377">_xlfn.IFS(K377&lt;1,"",K377=1,"Fail",K377&gt;1,_xlfn.TEXTJOIN("",TRUE,"Fail x",K377))</f>
        <v>Fail</v>
      </c>
      <c r="N377" t="str">
        <f t="shared" si="26"/>
        <v>Pass, Fail</v>
      </c>
    </row>
    <row r="378" spans="8:14">
      <c r="H378" s="13">
        <f t="shared" si="24"/>
        <v>2</v>
      </c>
      <c r="I378" t="str" cm="1">
        <f t="array" ref="I378">_xlfn.IFS(H378&lt;1,"No",H378=1,"Yes",H378&gt;1,_xlfn.TEXTJOIN("",TRUE,"Yes x",H378))</f>
        <v>Yes x2</v>
      </c>
      <c r="J378" s="13">
        <f t="shared" si="25"/>
        <v>1</v>
      </c>
      <c r="K378" s="13">
        <f t="shared" si="23"/>
        <v>1</v>
      </c>
      <c r="L378" s="13" t="str" cm="1">
        <f t="array" ref="L378">_xlfn.IFS(J378&lt;1,"",J378=1,"Pass",J378&gt;1,_xlfn.TEXTJOIN("",TRUE,"Pass x",J378))</f>
        <v>Pass</v>
      </c>
      <c r="M378" s="13" t="str" cm="1">
        <f t="array" ref="M378">_xlfn.IFS(K378&lt;1,"",K378=1,"Fail",K378&gt;1,_xlfn.TEXTJOIN("",TRUE,"Fail x",K378))</f>
        <v>Fail</v>
      </c>
      <c r="N378" t="str">
        <f t="shared" si="26"/>
        <v>Pass, Fail</v>
      </c>
    </row>
    <row r="379" spans="8:14">
      <c r="H379" s="13">
        <f t="shared" si="24"/>
        <v>2</v>
      </c>
      <c r="I379" t="str" cm="1">
        <f t="array" ref="I379">_xlfn.IFS(H379&lt;1,"No",H379=1,"Yes",H379&gt;1,_xlfn.TEXTJOIN("",TRUE,"Yes x",H379))</f>
        <v>Yes x2</v>
      </c>
      <c r="J379" s="13">
        <f t="shared" si="25"/>
        <v>1</v>
      </c>
      <c r="K379" s="13">
        <f t="shared" si="23"/>
        <v>1</v>
      </c>
      <c r="L379" s="13" t="str" cm="1">
        <f t="array" ref="L379">_xlfn.IFS(J379&lt;1,"",J379=1,"Pass",J379&gt;1,_xlfn.TEXTJOIN("",TRUE,"Pass x",J379))</f>
        <v>Pass</v>
      </c>
      <c r="M379" s="13" t="str" cm="1">
        <f t="array" ref="M379">_xlfn.IFS(K379&lt;1,"",K379=1,"Fail",K379&gt;1,_xlfn.TEXTJOIN("",TRUE,"Fail x",K379))</f>
        <v>Fail</v>
      </c>
      <c r="N379" t="str">
        <f t="shared" si="26"/>
        <v>Pass, Fail</v>
      </c>
    </row>
    <row r="380" spans="8:14">
      <c r="H380" s="13">
        <f t="shared" si="24"/>
        <v>2</v>
      </c>
      <c r="I380" t="str" cm="1">
        <f t="array" ref="I380">_xlfn.IFS(H380&lt;1,"No",H380=1,"Yes",H380&gt;1,_xlfn.TEXTJOIN("",TRUE,"Yes x",H380))</f>
        <v>Yes x2</v>
      </c>
      <c r="J380" s="13">
        <f t="shared" si="25"/>
        <v>1</v>
      </c>
      <c r="K380" s="13">
        <f t="shared" si="23"/>
        <v>1</v>
      </c>
      <c r="L380" s="13" t="str" cm="1">
        <f t="array" ref="L380">_xlfn.IFS(J380&lt;1,"",J380=1,"Pass",J380&gt;1,_xlfn.TEXTJOIN("",TRUE,"Pass x",J380))</f>
        <v>Pass</v>
      </c>
      <c r="M380" s="13" t="str" cm="1">
        <f t="array" ref="M380">_xlfn.IFS(K380&lt;1,"",K380=1,"Fail",K380&gt;1,_xlfn.TEXTJOIN("",TRUE,"Fail x",K380))</f>
        <v>Fail</v>
      </c>
      <c r="N380" t="str">
        <f t="shared" si="26"/>
        <v>Pass, Fail</v>
      </c>
    </row>
    <row r="381" spans="8:14">
      <c r="H381" s="13">
        <f t="shared" si="24"/>
        <v>2</v>
      </c>
      <c r="I381" t="str" cm="1">
        <f t="array" ref="I381">_xlfn.IFS(H381&lt;1,"No",H381=1,"Yes",H381&gt;1,_xlfn.TEXTJOIN("",TRUE,"Yes x",H381))</f>
        <v>Yes x2</v>
      </c>
      <c r="J381" s="13">
        <f t="shared" si="25"/>
        <v>1</v>
      </c>
      <c r="K381" s="13">
        <f t="shared" si="23"/>
        <v>1</v>
      </c>
      <c r="L381" s="13" t="str" cm="1">
        <f t="array" ref="L381">_xlfn.IFS(J381&lt;1,"",J381=1,"Pass",J381&gt;1,_xlfn.TEXTJOIN("",TRUE,"Pass x",J381))</f>
        <v>Pass</v>
      </c>
      <c r="M381" s="13" t="str" cm="1">
        <f t="array" ref="M381">_xlfn.IFS(K381&lt;1,"",K381=1,"Fail",K381&gt;1,_xlfn.TEXTJOIN("",TRUE,"Fail x",K381))</f>
        <v>Fail</v>
      </c>
      <c r="N381" t="str">
        <f t="shared" si="26"/>
        <v>Pass, Fail</v>
      </c>
    </row>
    <row r="382" spans="8:14">
      <c r="H382" s="13">
        <f t="shared" si="24"/>
        <v>2</v>
      </c>
      <c r="I382" t="str" cm="1">
        <f t="array" ref="I382">_xlfn.IFS(H382&lt;1,"No",H382=1,"Yes",H382&gt;1,_xlfn.TEXTJOIN("",TRUE,"Yes x",H382))</f>
        <v>Yes x2</v>
      </c>
      <c r="J382" s="13">
        <f t="shared" si="25"/>
        <v>1</v>
      </c>
      <c r="K382" s="13">
        <f t="shared" si="23"/>
        <v>1</v>
      </c>
      <c r="L382" s="13" t="str" cm="1">
        <f t="array" ref="L382">_xlfn.IFS(J382&lt;1,"",J382=1,"Pass",J382&gt;1,_xlfn.TEXTJOIN("",TRUE,"Pass x",J382))</f>
        <v>Pass</v>
      </c>
      <c r="M382" s="13" t="str" cm="1">
        <f t="array" ref="M382">_xlfn.IFS(K382&lt;1,"",K382=1,"Fail",K382&gt;1,_xlfn.TEXTJOIN("",TRUE,"Fail x",K382))</f>
        <v>Fail</v>
      </c>
      <c r="N382" t="str">
        <f t="shared" si="26"/>
        <v>Pass, Fail</v>
      </c>
    </row>
    <row r="383" spans="8:14">
      <c r="H383" s="13">
        <f t="shared" si="24"/>
        <v>2</v>
      </c>
      <c r="I383" t="str" cm="1">
        <f t="array" ref="I383">_xlfn.IFS(H383&lt;1,"No",H383=1,"Yes",H383&gt;1,_xlfn.TEXTJOIN("",TRUE,"Yes x",H383))</f>
        <v>Yes x2</v>
      </c>
      <c r="J383" s="13">
        <f t="shared" si="25"/>
        <v>1</v>
      </c>
      <c r="K383" s="13">
        <f t="shared" si="23"/>
        <v>1</v>
      </c>
      <c r="L383" s="13" t="str" cm="1">
        <f t="array" ref="L383">_xlfn.IFS(J383&lt;1,"",J383=1,"Pass",J383&gt;1,_xlfn.TEXTJOIN("",TRUE,"Pass x",J383))</f>
        <v>Pass</v>
      </c>
      <c r="M383" s="13" t="str" cm="1">
        <f t="array" ref="M383">_xlfn.IFS(K383&lt;1,"",K383=1,"Fail",K383&gt;1,_xlfn.TEXTJOIN("",TRUE,"Fail x",K383))</f>
        <v>Fail</v>
      </c>
      <c r="N383" t="str">
        <f t="shared" si="26"/>
        <v>Pass, Fail</v>
      </c>
    </row>
    <row r="384" spans="8:14">
      <c r="H384" s="13">
        <f t="shared" si="24"/>
        <v>2</v>
      </c>
      <c r="I384" t="str" cm="1">
        <f t="array" ref="I384">_xlfn.IFS(H384&lt;1,"No",H384=1,"Yes",H384&gt;1,_xlfn.TEXTJOIN("",TRUE,"Yes x",H384))</f>
        <v>Yes x2</v>
      </c>
      <c r="J384" s="13">
        <f t="shared" si="25"/>
        <v>1</v>
      </c>
      <c r="K384" s="13">
        <f t="shared" si="23"/>
        <v>1</v>
      </c>
      <c r="L384" s="13" t="str" cm="1">
        <f t="array" ref="L384">_xlfn.IFS(J384&lt;1,"",J384=1,"Pass",J384&gt;1,_xlfn.TEXTJOIN("",TRUE,"Pass x",J384))</f>
        <v>Pass</v>
      </c>
      <c r="M384" s="13" t="str" cm="1">
        <f t="array" ref="M384">_xlfn.IFS(K384&lt;1,"",K384=1,"Fail",K384&gt;1,_xlfn.TEXTJOIN("",TRUE,"Fail x",K384))</f>
        <v>Fail</v>
      </c>
      <c r="N384" t="str">
        <f t="shared" si="26"/>
        <v>Pass, Fail</v>
      </c>
    </row>
    <row r="385" spans="8:14">
      <c r="H385" s="13">
        <f t="shared" si="24"/>
        <v>2</v>
      </c>
      <c r="I385" t="str" cm="1">
        <f t="array" ref="I385">_xlfn.IFS(H385&lt;1,"No",H385=1,"Yes",H385&gt;1,_xlfn.TEXTJOIN("",TRUE,"Yes x",H385))</f>
        <v>Yes x2</v>
      </c>
      <c r="J385" s="13">
        <f t="shared" si="25"/>
        <v>1</v>
      </c>
      <c r="K385" s="13">
        <f t="shared" si="23"/>
        <v>1</v>
      </c>
      <c r="L385" s="13" t="str" cm="1">
        <f t="array" ref="L385">_xlfn.IFS(J385&lt;1,"",J385=1,"Pass",J385&gt;1,_xlfn.TEXTJOIN("",TRUE,"Pass x",J385))</f>
        <v>Pass</v>
      </c>
      <c r="M385" s="13" t="str" cm="1">
        <f t="array" ref="M385">_xlfn.IFS(K385&lt;1,"",K385=1,"Fail",K385&gt;1,_xlfn.TEXTJOIN("",TRUE,"Fail x",K385))</f>
        <v>Fail</v>
      </c>
      <c r="N385" t="str">
        <f t="shared" si="26"/>
        <v>Pass, Fail</v>
      </c>
    </row>
    <row r="386" spans="8:14">
      <c r="H386" s="13">
        <f t="shared" si="24"/>
        <v>2</v>
      </c>
      <c r="I386" t="str" cm="1">
        <f t="array" ref="I386">_xlfn.IFS(H386&lt;1,"No",H386=1,"Yes",H386&gt;1,_xlfn.TEXTJOIN("",TRUE,"Yes x",H386))</f>
        <v>Yes x2</v>
      </c>
      <c r="J386" s="13">
        <f t="shared" si="25"/>
        <v>1</v>
      </c>
      <c r="K386" s="13">
        <f t="shared" si="23"/>
        <v>1</v>
      </c>
      <c r="L386" s="13" t="str" cm="1">
        <f t="array" ref="L386">_xlfn.IFS(J386&lt;1,"",J386=1,"Pass",J386&gt;1,_xlfn.TEXTJOIN("",TRUE,"Pass x",J386))</f>
        <v>Pass</v>
      </c>
      <c r="M386" s="13" t="str" cm="1">
        <f t="array" ref="M386">_xlfn.IFS(K386&lt;1,"",K386=1,"Fail",K386&gt;1,_xlfn.TEXTJOIN("",TRUE,"Fail x",K386))</f>
        <v>Fail</v>
      </c>
      <c r="N386" t="str">
        <f t="shared" si="26"/>
        <v>Pass, Fail</v>
      </c>
    </row>
    <row r="387" spans="8:14">
      <c r="H387" s="13">
        <f t="shared" si="24"/>
        <v>2</v>
      </c>
      <c r="I387" t="str" cm="1">
        <f t="array" ref="I387">_xlfn.IFS(H387&lt;1,"No",H387=1,"Yes",H387&gt;1,_xlfn.TEXTJOIN("",TRUE,"Yes x",H387))</f>
        <v>Yes x2</v>
      </c>
      <c r="J387" s="13">
        <f t="shared" si="25"/>
        <v>1</v>
      </c>
      <c r="K387" s="13">
        <f t="shared" ref="K387:K450" si="27">IFERROR(GETPIVOTDATA("Successful / Failed",$A$1,"System serial",G387,"Successful / Failed","Failed"),0)</f>
        <v>1</v>
      </c>
      <c r="L387" s="13" t="str" cm="1">
        <f t="array" ref="L387">_xlfn.IFS(J387&lt;1,"",J387=1,"Pass",J387&gt;1,_xlfn.TEXTJOIN("",TRUE,"Pass x",J387))</f>
        <v>Pass</v>
      </c>
      <c r="M387" s="13" t="str" cm="1">
        <f t="array" ref="M387">_xlfn.IFS(K387&lt;1,"",K387=1,"Fail",K387&gt;1,_xlfn.TEXTJOIN("",TRUE,"Fail x",K387))</f>
        <v>Fail</v>
      </c>
      <c r="N387" t="str">
        <f t="shared" si="26"/>
        <v>Pass, Fail</v>
      </c>
    </row>
    <row r="388" spans="8:14">
      <c r="H388" s="13">
        <f t="shared" si="24"/>
        <v>2</v>
      </c>
      <c r="I388" t="str" cm="1">
        <f t="array" ref="I388">_xlfn.IFS(H388&lt;1,"No",H388=1,"Yes",H388&gt;1,_xlfn.TEXTJOIN("",TRUE,"Yes x",H388))</f>
        <v>Yes x2</v>
      </c>
      <c r="J388" s="13">
        <f t="shared" si="25"/>
        <v>1</v>
      </c>
      <c r="K388" s="13">
        <f t="shared" si="27"/>
        <v>1</v>
      </c>
      <c r="L388" s="13" t="str" cm="1">
        <f t="array" ref="L388">_xlfn.IFS(J388&lt;1,"",J388=1,"Pass",J388&gt;1,_xlfn.TEXTJOIN("",TRUE,"Pass x",J388))</f>
        <v>Pass</v>
      </c>
      <c r="M388" s="13" t="str" cm="1">
        <f t="array" ref="M388">_xlfn.IFS(K388&lt;1,"",K388=1,"Fail",K388&gt;1,_xlfn.TEXTJOIN("",TRUE,"Fail x",K388))</f>
        <v>Fail</v>
      </c>
      <c r="N388" t="str">
        <f t="shared" si="26"/>
        <v>Pass, Fail</v>
      </c>
    </row>
    <row r="389" spans="8:14">
      <c r="H389" s="13">
        <f t="shared" si="24"/>
        <v>2</v>
      </c>
      <c r="I389" t="str" cm="1">
        <f t="array" ref="I389">_xlfn.IFS(H389&lt;1,"No",H389=1,"Yes",H389&gt;1,_xlfn.TEXTJOIN("",TRUE,"Yes x",H389))</f>
        <v>Yes x2</v>
      </c>
      <c r="J389" s="13">
        <f t="shared" si="25"/>
        <v>1</v>
      </c>
      <c r="K389" s="13">
        <f t="shared" si="27"/>
        <v>1</v>
      </c>
      <c r="L389" s="13" t="str" cm="1">
        <f t="array" ref="L389">_xlfn.IFS(J389&lt;1,"",J389=1,"Pass",J389&gt;1,_xlfn.TEXTJOIN("",TRUE,"Pass x",J389))</f>
        <v>Pass</v>
      </c>
      <c r="M389" s="13" t="str" cm="1">
        <f t="array" ref="M389">_xlfn.IFS(K389&lt;1,"",K389=1,"Fail",K389&gt;1,_xlfn.TEXTJOIN("",TRUE,"Fail x",K389))</f>
        <v>Fail</v>
      </c>
      <c r="N389" t="str">
        <f t="shared" si="26"/>
        <v>Pass, Fail</v>
      </c>
    </row>
    <row r="390" spans="8:14">
      <c r="H390" s="13">
        <f t="shared" si="24"/>
        <v>2</v>
      </c>
      <c r="I390" t="str" cm="1">
        <f t="array" ref="I390">_xlfn.IFS(H390&lt;1,"No",H390=1,"Yes",H390&gt;1,_xlfn.TEXTJOIN("",TRUE,"Yes x",H390))</f>
        <v>Yes x2</v>
      </c>
      <c r="J390" s="13">
        <f t="shared" si="25"/>
        <v>1</v>
      </c>
      <c r="K390" s="13">
        <f t="shared" si="27"/>
        <v>1</v>
      </c>
      <c r="L390" s="13" t="str" cm="1">
        <f t="array" ref="L390">_xlfn.IFS(J390&lt;1,"",J390=1,"Pass",J390&gt;1,_xlfn.TEXTJOIN("",TRUE,"Pass x",J390))</f>
        <v>Pass</v>
      </c>
      <c r="M390" s="13" t="str" cm="1">
        <f t="array" ref="M390">_xlfn.IFS(K390&lt;1,"",K390=1,"Fail",K390&gt;1,_xlfn.TEXTJOIN("",TRUE,"Fail x",K390))</f>
        <v>Fail</v>
      </c>
      <c r="N390" t="str">
        <f t="shared" si="26"/>
        <v>Pass, Fail</v>
      </c>
    </row>
    <row r="391" spans="8:14">
      <c r="H391" s="13">
        <f t="shared" si="24"/>
        <v>2</v>
      </c>
      <c r="I391" t="str" cm="1">
        <f t="array" ref="I391">_xlfn.IFS(H391&lt;1,"No",H391=1,"Yes",H391&gt;1,_xlfn.TEXTJOIN("",TRUE,"Yes x",H391))</f>
        <v>Yes x2</v>
      </c>
      <c r="J391" s="13">
        <f t="shared" si="25"/>
        <v>1</v>
      </c>
      <c r="K391" s="13">
        <f t="shared" si="27"/>
        <v>1</v>
      </c>
      <c r="L391" s="13" t="str" cm="1">
        <f t="array" ref="L391">_xlfn.IFS(J391&lt;1,"",J391=1,"Pass",J391&gt;1,_xlfn.TEXTJOIN("",TRUE,"Pass x",J391))</f>
        <v>Pass</v>
      </c>
      <c r="M391" s="13" t="str" cm="1">
        <f t="array" ref="M391">_xlfn.IFS(K391&lt;1,"",K391=1,"Fail",K391&gt;1,_xlfn.TEXTJOIN("",TRUE,"Fail x",K391))</f>
        <v>Fail</v>
      </c>
      <c r="N391" t="str">
        <f t="shared" si="26"/>
        <v>Pass, Fail</v>
      </c>
    </row>
    <row r="392" spans="8:14">
      <c r="H392" s="13">
        <f t="shared" si="24"/>
        <v>2</v>
      </c>
      <c r="I392" t="str" cm="1">
        <f t="array" ref="I392">_xlfn.IFS(H392&lt;1,"No",H392=1,"Yes",H392&gt;1,_xlfn.TEXTJOIN("",TRUE,"Yes x",H392))</f>
        <v>Yes x2</v>
      </c>
      <c r="J392" s="13">
        <f t="shared" si="25"/>
        <v>1</v>
      </c>
      <c r="K392" s="13">
        <f t="shared" si="27"/>
        <v>1</v>
      </c>
      <c r="L392" s="13" t="str" cm="1">
        <f t="array" ref="L392">_xlfn.IFS(J392&lt;1,"",J392=1,"Pass",J392&gt;1,_xlfn.TEXTJOIN("",TRUE,"Pass x",J392))</f>
        <v>Pass</v>
      </c>
      <c r="M392" s="13" t="str" cm="1">
        <f t="array" ref="M392">_xlfn.IFS(K392&lt;1,"",K392=1,"Fail",K392&gt;1,_xlfn.TEXTJOIN("",TRUE,"Fail x",K392))</f>
        <v>Fail</v>
      </c>
      <c r="N392" t="str">
        <f t="shared" si="26"/>
        <v>Pass, Fail</v>
      </c>
    </row>
    <row r="393" spans="8:14">
      <c r="H393" s="13">
        <f t="shared" si="24"/>
        <v>2</v>
      </c>
      <c r="I393" t="str" cm="1">
        <f t="array" ref="I393">_xlfn.IFS(H393&lt;1,"No",H393=1,"Yes",H393&gt;1,_xlfn.TEXTJOIN("",TRUE,"Yes x",H393))</f>
        <v>Yes x2</v>
      </c>
      <c r="J393" s="13">
        <f t="shared" si="25"/>
        <v>1</v>
      </c>
      <c r="K393" s="13">
        <f t="shared" si="27"/>
        <v>1</v>
      </c>
      <c r="L393" s="13" t="str" cm="1">
        <f t="array" ref="L393">_xlfn.IFS(J393&lt;1,"",J393=1,"Pass",J393&gt;1,_xlfn.TEXTJOIN("",TRUE,"Pass x",J393))</f>
        <v>Pass</v>
      </c>
      <c r="M393" s="13" t="str" cm="1">
        <f t="array" ref="M393">_xlfn.IFS(K393&lt;1,"",K393=1,"Fail",K393&gt;1,_xlfn.TEXTJOIN("",TRUE,"Fail x",K393))</f>
        <v>Fail</v>
      </c>
      <c r="N393" t="str">
        <f t="shared" si="26"/>
        <v>Pass, Fail</v>
      </c>
    </row>
    <row r="394" spans="8:14">
      <c r="H394" s="13">
        <f t="shared" si="24"/>
        <v>2</v>
      </c>
      <c r="I394" t="str" cm="1">
        <f t="array" ref="I394">_xlfn.IFS(H394&lt;1,"No",H394=1,"Yes",H394&gt;1,_xlfn.TEXTJOIN("",TRUE,"Yes x",H394))</f>
        <v>Yes x2</v>
      </c>
      <c r="J394" s="13">
        <f t="shared" si="25"/>
        <v>1</v>
      </c>
      <c r="K394" s="13">
        <f t="shared" si="27"/>
        <v>1</v>
      </c>
      <c r="L394" s="13" t="str" cm="1">
        <f t="array" ref="L394">_xlfn.IFS(J394&lt;1,"",J394=1,"Pass",J394&gt;1,_xlfn.TEXTJOIN("",TRUE,"Pass x",J394))</f>
        <v>Pass</v>
      </c>
      <c r="M394" s="13" t="str" cm="1">
        <f t="array" ref="M394">_xlfn.IFS(K394&lt;1,"",K394=1,"Fail",K394&gt;1,_xlfn.TEXTJOIN("",TRUE,"Fail x",K394))</f>
        <v>Fail</v>
      </c>
      <c r="N394" t="str">
        <f t="shared" si="26"/>
        <v>Pass, Fail</v>
      </c>
    </row>
    <row r="395" spans="8:14">
      <c r="H395" s="13">
        <f t="shared" si="24"/>
        <v>2</v>
      </c>
      <c r="I395" t="str" cm="1">
        <f t="array" ref="I395">_xlfn.IFS(H395&lt;1,"No",H395=1,"Yes",H395&gt;1,_xlfn.TEXTJOIN("",TRUE,"Yes x",H395))</f>
        <v>Yes x2</v>
      </c>
      <c r="J395" s="13">
        <f t="shared" si="25"/>
        <v>1</v>
      </c>
      <c r="K395" s="13">
        <f t="shared" si="27"/>
        <v>1</v>
      </c>
      <c r="L395" s="13" t="str" cm="1">
        <f t="array" ref="L395">_xlfn.IFS(J395&lt;1,"",J395=1,"Pass",J395&gt;1,_xlfn.TEXTJOIN("",TRUE,"Pass x",J395))</f>
        <v>Pass</v>
      </c>
      <c r="M395" s="13" t="str" cm="1">
        <f t="array" ref="M395">_xlfn.IFS(K395&lt;1,"",K395=1,"Fail",K395&gt;1,_xlfn.TEXTJOIN("",TRUE,"Fail x",K395))</f>
        <v>Fail</v>
      </c>
      <c r="N395" t="str">
        <f t="shared" si="26"/>
        <v>Pass, Fail</v>
      </c>
    </row>
    <row r="396" spans="8:14">
      <c r="H396" s="13">
        <f t="shared" si="24"/>
        <v>2</v>
      </c>
      <c r="I396" t="str" cm="1">
        <f t="array" ref="I396">_xlfn.IFS(H396&lt;1,"No",H396=1,"Yes",H396&gt;1,_xlfn.TEXTJOIN("",TRUE,"Yes x",H396))</f>
        <v>Yes x2</v>
      </c>
      <c r="J396" s="13">
        <f t="shared" si="25"/>
        <v>1</v>
      </c>
      <c r="K396" s="13">
        <f t="shared" si="27"/>
        <v>1</v>
      </c>
      <c r="L396" s="13" t="str" cm="1">
        <f t="array" ref="L396">_xlfn.IFS(J396&lt;1,"",J396=1,"Pass",J396&gt;1,_xlfn.TEXTJOIN("",TRUE,"Pass x",J396))</f>
        <v>Pass</v>
      </c>
      <c r="M396" s="13" t="str" cm="1">
        <f t="array" ref="M396">_xlfn.IFS(K396&lt;1,"",K396=1,"Fail",K396&gt;1,_xlfn.TEXTJOIN("",TRUE,"Fail x",K396))</f>
        <v>Fail</v>
      </c>
      <c r="N396" t="str">
        <f t="shared" si="26"/>
        <v>Pass, Fail</v>
      </c>
    </row>
    <row r="397" spans="8:14">
      <c r="H397" s="13">
        <f t="shared" si="24"/>
        <v>2</v>
      </c>
      <c r="I397" t="str" cm="1">
        <f t="array" ref="I397">_xlfn.IFS(H397&lt;1,"No",H397=1,"Yes",H397&gt;1,_xlfn.TEXTJOIN("",TRUE,"Yes x",H397))</f>
        <v>Yes x2</v>
      </c>
      <c r="J397" s="13">
        <f t="shared" si="25"/>
        <v>1</v>
      </c>
      <c r="K397" s="13">
        <f t="shared" si="27"/>
        <v>1</v>
      </c>
      <c r="L397" s="13" t="str" cm="1">
        <f t="array" ref="L397">_xlfn.IFS(J397&lt;1,"",J397=1,"Pass",J397&gt;1,_xlfn.TEXTJOIN("",TRUE,"Pass x",J397))</f>
        <v>Pass</v>
      </c>
      <c r="M397" s="13" t="str" cm="1">
        <f t="array" ref="M397">_xlfn.IFS(K397&lt;1,"",K397=1,"Fail",K397&gt;1,_xlfn.TEXTJOIN("",TRUE,"Fail x",K397))</f>
        <v>Fail</v>
      </c>
      <c r="N397" t="str">
        <f t="shared" si="26"/>
        <v>Pass, Fail</v>
      </c>
    </row>
    <row r="398" spans="8:14">
      <c r="H398" s="13">
        <f t="shared" si="24"/>
        <v>2</v>
      </c>
      <c r="I398" t="str" cm="1">
        <f t="array" ref="I398">_xlfn.IFS(H398&lt;1,"No",H398=1,"Yes",H398&gt;1,_xlfn.TEXTJOIN("",TRUE,"Yes x",H398))</f>
        <v>Yes x2</v>
      </c>
      <c r="J398" s="13">
        <f t="shared" si="25"/>
        <v>1</v>
      </c>
      <c r="K398" s="13">
        <f t="shared" si="27"/>
        <v>1</v>
      </c>
      <c r="L398" s="13" t="str" cm="1">
        <f t="array" ref="L398">_xlfn.IFS(J398&lt;1,"",J398=1,"Pass",J398&gt;1,_xlfn.TEXTJOIN("",TRUE,"Pass x",J398))</f>
        <v>Pass</v>
      </c>
      <c r="M398" s="13" t="str" cm="1">
        <f t="array" ref="M398">_xlfn.IFS(K398&lt;1,"",K398=1,"Fail",K398&gt;1,_xlfn.TEXTJOIN("",TRUE,"Fail x",K398))</f>
        <v>Fail</v>
      </c>
      <c r="N398" t="str">
        <f t="shared" si="26"/>
        <v>Pass, Fail</v>
      </c>
    </row>
    <row r="399" spans="8:14">
      <c r="H399" s="13">
        <f t="shared" si="24"/>
        <v>2</v>
      </c>
      <c r="I399" t="str" cm="1">
        <f t="array" ref="I399">_xlfn.IFS(H399&lt;1,"No",H399=1,"Yes",H399&gt;1,_xlfn.TEXTJOIN("",TRUE,"Yes x",H399))</f>
        <v>Yes x2</v>
      </c>
      <c r="J399" s="13">
        <f t="shared" si="25"/>
        <v>1</v>
      </c>
      <c r="K399" s="13">
        <f t="shared" si="27"/>
        <v>1</v>
      </c>
      <c r="L399" s="13" t="str" cm="1">
        <f t="array" ref="L399">_xlfn.IFS(J399&lt;1,"",J399=1,"Pass",J399&gt;1,_xlfn.TEXTJOIN("",TRUE,"Pass x",J399))</f>
        <v>Pass</v>
      </c>
      <c r="M399" s="13" t="str" cm="1">
        <f t="array" ref="M399">_xlfn.IFS(K399&lt;1,"",K399=1,"Fail",K399&gt;1,_xlfn.TEXTJOIN("",TRUE,"Fail x",K399))</f>
        <v>Fail</v>
      </c>
      <c r="N399" t="str">
        <f t="shared" si="26"/>
        <v>Pass, Fail</v>
      </c>
    </row>
    <row r="400" spans="8:14">
      <c r="H400" s="13">
        <f t="shared" si="24"/>
        <v>2</v>
      </c>
      <c r="I400" t="str" cm="1">
        <f t="array" ref="I400">_xlfn.IFS(H400&lt;1,"No",H400=1,"Yes",H400&gt;1,_xlfn.TEXTJOIN("",TRUE,"Yes x",H400))</f>
        <v>Yes x2</v>
      </c>
      <c r="J400" s="13">
        <f t="shared" si="25"/>
        <v>1</v>
      </c>
      <c r="K400" s="13">
        <f t="shared" si="27"/>
        <v>1</v>
      </c>
      <c r="L400" s="13" t="str" cm="1">
        <f t="array" ref="L400">_xlfn.IFS(J400&lt;1,"",J400=1,"Pass",J400&gt;1,_xlfn.TEXTJOIN("",TRUE,"Pass x",J400))</f>
        <v>Pass</v>
      </c>
      <c r="M400" s="13" t="str" cm="1">
        <f t="array" ref="M400">_xlfn.IFS(K400&lt;1,"",K400=1,"Fail",K400&gt;1,_xlfn.TEXTJOIN("",TRUE,"Fail x",K400))</f>
        <v>Fail</v>
      </c>
      <c r="N400" t="str">
        <f t="shared" si="26"/>
        <v>Pass, Fail</v>
      </c>
    </row>
    <row r="401" spans="8:14">
      <c r="H401" s="13">
        <f t="shared" si="24"/>
        <v>2</v>
      </c>
      <c r="I401" t="str" cm="1">
        <f t="array" ref="I401">_xlfn.IFS(H401&lt;1,"No",H401=1,"Yes",H401&gt;1,_xlfn.TEXTJOIN("",TRUE,"Yes x",H401))</f>
        <v>Yes x2</v>
      </c>
      <c r="J401" s="13">
        <f t="shared" si="25"/>
        <v>1</v>
      </c>
      <c r="K401" s="13">
        <f t="shared" si="27"/>
        <v>1</v>
      </c>
      <c r="L401" s="13" t="str" cm="1">
        <f t="array" ref="L401">_xlfn.IFS(J401&lt;1,"",J401=1,"Pass",J401&gt;1,_xlfn.TEXTJOIN("",TRUE,"Pass x",J401))</f>
        <v>Pass</v>
      </c>
      <c r="M401" s="13" t="str" cm="1">
        <f t="array" ref="M401">_xlfn.IFS(K401&lt;1,"",K401=1,"Fail",K401&gt;1,_xlfn.TEXTJOIN("",TRUE,"Fail x",K401))</f>
        <v>Fail</v>
      </c>
      <c r="N401" t="str">
        <f t="shared" si="26"/>
        <v>Pass, Fail</v>
      </c>
    </row>
    <row r="402" spans="8:14">
      <c r="H402" s="13">
        <f t="shared" si="24"/>
        <v>2</v>
      </c>
      <c r="I402" t="str" cm="1">
        <f t="array" ref="I402">_xlfn.IFS(H402&lt;1,"No",H402=1,"Yes",H402&gt;1,_xlfn.TEXTJOIN("",TRUE,"Yes x",H402))</f>
        <v>Yes x2</v>
      </c>
      <c r="J402" s="13">
        <f t="shared" si="25"/>
        <v>1</v>
      </c>
      <c r="K402" s="13">
        <f t="shared" si="27"/>
        <v>1</v>
      </c>
      <c r="L402" s="13" t="str" cm="1">
        <f t="array" ref="L402">_xlfn.IFS(J402&lt;1,"",J402=1,"Pass",J402&gt;1,_xlfn.TEXTJOIN("",TRUE,"Pass x",J402))</f>
        <v>Pass</v>
      </c>
      <c r="M402" s="13" t="str" cm="1">
        <f t="array" ref="M402">_xlfn.IFS(K402&lt;1,"",K402=1,"Fail",K402&gt;1,_xlfn.TEXTJOIN("",TRUE,"Fail x",K402))</f>
        <v>Fail</v>
      </c>
      <c r="N402" t="str">
        <f t="shared" si="26"/>
        <v>Pass, Fail</v>
      </c>
    </row>
    <row r="403" spans="8:14">
      <c r="H403" s="13">
        <f t="shared" si="24"/>
        <v>2</v>
      </c>
      <c r="I403" t="str" cm="1">
        <f t="array" ref="I403">_xlfn.IFS(H403&lt;1,"No",H403=1,"Yes",H403&gt;1,_xlfn.TEXTJOIN("",TRUE,"Yes x",H403))</f>
        <v>Yes x2</v>
      </c>
      <c r="J403" s="13">
        <f t="shared" si="25"/>
        <v>1</v>
      </c>
      <c r="K403" s="13">
        <f t="shared" si="27"/>
        <v>1</v>
      </c>
      <c r="L403" s="13" t="str" cm="1">
        <f t="array" ref="L403">_xlfn.IFS(J403&lt;1,"",J403=1,"Pass",J403&gt;1,_xlfn.TEXTJOIN("",TRUE,"Pass x",J403))</f>
        <v>Pass</v>
      </c>
      <c r="M403" s="13" t="str" cm="1">
        <f t="array" ref="M403">_xlfn.IFS(K403&lt;1,"",K403=1,"Fail",K403&gt;1,_xlfn.TEXTJOIN("",TRUE,"Fail x",K403))</f>
        <v>Fail</v>
      </c>
      <c r="N403" t="str">
        <f t="shared" si="26"/>
        <v>Pass, Fail</v>
      </c>
    </row>
    <row r="404" spans="8:14">
      <c r="H404" s="13">
        <f t="shared" si="24"/>
        <v>2</v>
      </c>
      <c r="I404" t="str" cm="1">
        <f t="array" ref="I404">_xlfn.IFS(H404&lt;1,"No",H404=1,"Yes",H404&gt;1,_xlfn.TEXTJOIN("",TRUE,"Yes x",H404))</f>
        <v>Yes x2</v>
      </c>
      <c r="J404" s="13">
        <f t="shared" si="25"/>
        <v>1</v>
      </c>
      <c r="K404" s="13">
        <f t="shared" si="27"/>
        <v>1</v>
      </c>
      <c r="L404" s="13" t="str" cm="1">
        <f t="array" ref="L404">_xlfn.IFS(J404&lt;1,"",J404=1,"Pass",J404&gt;1,_xlfn.TEXTJOIN("",TRUE,"Pass x",J404))</f>
        <v>Pass</v>
      </c>
      <c r="M404" s="13" t="str" cm="1">
        <f t="array" ref="M404">_xlfn.IFS(K404&lt;1,"",K404=1,"Fail",K404&gt;1,_xlfn.TEXTJOIN("",TRUE,"Fail x",K404))</f>
        <v>Fail</v>
      </c>
      <c r="N404" t="str">
        <f t="shared" si="26"/>
        <v>Pass, Fail</v>
      </c>
    </row>
    <row r="405" spans="8:14">
      <c r="H405" s="13">
        <f t="shared" si="24"/>
        <v>2</v>
      </c>
      <c r="I405" t="str" cm="1">
        <f t="array" ref="I405">_xlfn.IFS(H405&lt;1,"No",H405=1,"Yes",H405&gt;1,_xlfn.TEXTJOIN("",TRUE,"Yes x",H405))</f>
        <v>Yes x2</v>
      </c>
      <c r="J405" s="13">
        <f t="shared" si="25"/>
        <v>1</v>
      </c>
      <c r="K405" s="13">
        <f t="shared" si="27"/>
        <v>1</v>
      </c>
      <c r="L405" s="13" t="str" cm="1">
        <f t="array" ref="L405">_xlfn.IFS(J405&lt;1,"",J405=1,"Pass",J405&gt;1,_xlfn.TEXTJOIN("",TRUE,"Pass x",J405))</f>
        <v>Pass</v>
      </c>
      <c r="M405" s="13" t="str" cm="1">
        <f t="array" ref="M405">_xlfn.IFS(K405&lt;1,"",K405=1,"Fail",K405&gt;1,_xlfn.TEXTJOIN("",TRUE,"Fail x",K405))</f>
        <v>Fail</v>
      </c>
      <c r="N405" t="str">
        <f t="shared" si="26"/>
        <v>Pass, Fail</v>
      </c>
    </row>
    <row r="406" spans="8:14">
      <c r="H406" s="13">
        <f t="shared" si="24"/>
        <v>2</v>
      </c>
      <c r="I406" t="str" cm="1">
        <f t="array" ref="I406">_xlfn.IFS(H406&lt;1,"No",H406=1,"Yes",H406&gt;1,_xlfn.TEXTJOIN("",TRUE,"Yes x",H406))</f>
        <v>Yes x2</v>
      </c>
      <c r="J406" s="13">
        <f t="shared" si="25"/>
        <v>1</v>
      </c>
      <c r="K406" s="13">
        <f t="shared" si="27"/>
        <v>1</v>
      </c>
      <c r="L406" s="13" t="str" cm="1">
        <f t="array" ref="L406">_xlfn.IFS(J406&lt;1,"",J406=1,"Pass",J406&gt;1,_xlfn.TEXTJOIN("",TRUE,"Pass x",J406))</f>
        <v>Pass</v>
      </c>
      <c r="M406" s="13" t="str" cm="1">
        <f t="array" ref="M406">_xlfn.IFS(K406&lt;1,"",K406=1,"Fail",K406&gt;1,_xlfn.TEXTJOIN("",TRUE,"Fail x",K406))</f>
        <v>Fail</v>
      </c>
      <c r="N406" t="str">
        <f t="shared" si="26"/>
        <v>Pass, Fail</v>
      </c>
    </row>
    <row r="407" spans="8:14">
      <c r="H407" s="13">
        <f t="shared" si="24"/>
        <v>2</v>
      </c>
      <c r="I407" t="str" cm="1">
        <f t="array" ref="I407">_xlfn.IFS(H407&lt;1,"No",H407=1,"Yes",H407&gt;1,_xlfn.TEXTJOIN("",TRUE,"Yes x",H407))</f>
        <v>Yes x2</v>
      </c>
      <c r="J407" s="13">
        <f t="shared" si="25"/>
        <v>1</v>
      </c>
      <c r="K407" s="13">
        <f t="shared" si="27"/>
        <v>1</v>
      </c>
      <c r="L407" s="13" t="str" cm="1">
        <f t="array" ref="L407">_xlfn.IFS(J407&lt;1,"",J407=1,"Pass",J407&gt;1,_xlfn.TEXTJOIN("",TRUE,"Pass x",J407))</f>
        <v>Pass</v>
      </c>
      <c r="M407" s="13" t="str" cm="1">
        <f t="array" ref="M407">_xlfn.IFS(K407&lt;1,"",K407=1,"Fail",K407&gt;1,_xlfn.TEXTJOIN("",TRUE,"Fail x",K407))</f>
        <v>Fail</v>
      </c>
      <c r="N407" t="str">
        <f t="shared" si="26"/>
        <v>Pass, Fail</v>
      </c>
    </row>
    <row r="408" spans="8:14">
      <c r="H408" s="13">
        <f t="shared" si="24"/>
        <v>2</v>
      </c>
      <c r="I408" t="str" cm="1">
        <f t="array" ref="I408">_xlfn.IFS(H408&lt;1,"No",H408=1,"Yes",H408&gt;1,_xlfn.TEXTJOIN("",TRUE,"Yes x",H408))</f>
        <v>Yes x2</v>
      </c>
      <c r="J408" s="13">
        <f t="shared" si="25"/>
        <v>1</v>
      </c>
      <c r="K408" s="13">
        <f t="shared" si="27"/>
        <v>1</v>
      </c>
      <c r="L408" s="13" t="str" cm="1">
        <f t="array" ref="L408">_xlfn.IFS(J408&lt;1,"",J408=1,"Pass",J408&gt;1,_xlfn.TEXTJOIN("",TRUE,"Pass x",J408))</f>
        <v>Pass</v>
      </c>
      <c r="M408" s="13" t="str" cm="1">
        <f t="array" ref="M408">_xlfn.IFS(K408&lt;1,"",K408=1,"Fail",K408&gt;1,_xlfn.TEXTJOIN("",TRUE,"Fail x",K408))</f>
        <v>Fail</v>
      </c>
      <c r="N408" t="str">
        <f t="shared" si="26"/>
        <v>Pass, Fail</v>
      </c>
    </row>
    <row r="409" spans="8:14">
      <c r="H409" s="13">
        <f t="shared" si="24"/>
        <v>2</v>
      </c>
      <c r="I409" t="str" cm="1">
        <f t="array" ref="I409">_xlfn.IFS(H409&lt;1,"No",H409=1,"Yes",H409&gt;1,_xlfn.TEXTJOIN("",TRUE,"Yes x",H409))</f>
        <v>Yes x2</v>
      </c>
      <c r="J409" s="13">
        <f t="shared" si="25"/>
        <v>1</v>
      </c>
      <c r="K409" s="13">
        <f t="shared" si="27"/>
        <v>1</v>
      </c>
      <c r="L409" s="13" t="str" cm="1">
        <f t="array" ref="L409">_xlfn.IFS(J409&lt;1,"",J409=1,"Pass",J409&gt;1,_xlfn.TEXTJOIN("",TRUE,"Pass x",J409))</f>
        <v>Pass</v>
      </c>
      <c r="M409" s="13" t="str" cm="1">
        <f t="array" ref="M409">_xlfn.IFS(K409&lt;1,"",K409=1,"Fail",K409&gt;1,_xlfn.TEXTJOIN("",TRUE,"Fail x",K409))</f>
        <v>Fail</v>
      </c>
      <c r="N409" t="str">
        <f t="shared" si="26"/>
        <v>Pass, Fail</v>
      </c>
    </row>
    <row r="410" spans="8:14">
      <c r="H410" s="13">
        <f t="shared" si="24"/>
        <v>2</v>
      </c>
      <c r="I410" t="str" cm="1">
        <f t="array" ref="I410">_xlfn.IFS(H410&lt;1,"No",H410=1,"Yes",H410&gt;1,_xlfn.TEXTJOIN("",TRUE,"Yes x",H410))</f>
        <v>Yes x2</v>
      </c>
      <c r="J410" s="13">
        <f t="shared" si="25"/>
        <v>1</v>
      </c>
      <c r="K410" s="13">
        <f t="shared" si="27"/>
        <v>1</v>
      </c>
      <c r="L410" s="13" t="str" cm="1">
        <f t="array" ref="L410">_xlfn.IFS(J410&lt;1,"",J410=1,"Pass",J410&gt;1,_xlfn.TEXTJOIN("",TRUE,"Pass x",J410))</f>
        <v>Pass</v>
      </c>
      <c r="M410" s="13" t="str" cm="1">
        <f t="array" ref="M410">_xlfn.IFS(K410&lt;1,"",K410=1,"Fail",K410&gt;1,_xlfn.TEXTJOIN("",TRUE,"Fail x",K410))</f>
        <v>Fail</v>
      </c>
      <c r="N410" t="str">
        <f t="shared" si="26"/>
        <v>Pass, Fail</v>
      </c>
    </row>
    <row r="411" spans="8:14">
      <c r="H411" s="13">
        <f t="shared" si="24"/>
        <v>2</v>
      </c>
      <c r="I411" t="str" cm="1">
        <f t="array" ref="I411">_xlfn.IFS(H411&lt;1,"No",H411=1,"Yes",H411&gt;1,_xlfn.TEXTJOIN("",TRUE,"Yes x",H411))</f>
        <v>Yes x2</v>
      </c>
      <c r="J411" s="13">
        <f t="shared" si="25"/>
        <v>1</v>
      </c>
      <c r="K411" s="13">
        <f t="shared" si="27"/>
        <v>1</v>
      </c>
      <c r="L411" s="13" t="str" cm="1">
        <f t="array" ref="L411">_xlfn.IFS(J411&lt;1,"",J411=1,"Pass",J411&gt;1,_xlfn.TEXTJOIN("",TRUE,"Pass x",J411))</f>
        <v>Pass</v>
      </c>
      <c r="M411" s="13" t="str" cm="1">
        <f t="array" ref="M411">_xlfn.IFS(K411&lt;1,"",K411=1,"Fail",K411&gt;1,_xlfn.TEXTJOIN("",TRUE,"Fail x",K411))</f>
        <v>Fail</v>
      </c>
      <c r="N411" t="str">
        <f t="shared" si="26"/>
        <v>Pass, Fail</v>
      </c>
    </row>
    <row r="412" spans="8:14">
      <c r="H412" s="13">
        <f t="shared" si="24"/>
        <v>2</v>
      </c>
      <c r="I412" t="str" cm="1">
        <f t="array" ref="I412">_xlfn.IFS(H412&lt;1,"No",H412=1,"Yes",H412&gt;1,_xlfn.TEXTJOIN("",TRUE,"Yes x",H412))</f>
        <v>Yes x2</v>
      </c>
      <c r="J412" s="13">
        <f t="shared" si="25"/>
        <v>1</v>
      </c>
      <c r="K412" s="13">
        <f t="shared" si="27"/>
        <v>1</v>
      </c>
      <c r="L412" s="13" t="str" cm="1">
        <f t="array" ref="L412">_xlfn.IFS(J412&lt;1,"",J412=1,"Pass",J412&gt;1,_xlfn.TEXTJOIN("",TRUE,"Pass x",J412))</f>
        <v>Pass</v>
      </c>
      <c r="M412" s="13" t="str" cm="1">
        <f t="array" ref="M412">_xlfn.IFS(K412&lt;1,"",K412=1,"Fail",K412&gt;1,_xlfn.TEXTJOIN("",TRUE,"Fail x",K412))</f>
        <v>Fail</v>
      </c>
      <c r="N412" t="str">
        <f t="shared" si="26"/>
        <v>Pass, Fail</v>
      </c>
    </row>
    <row r="413" spans="8:14">
      <c r="H413" s="13">
        <f t="shared" si="24"/>
        <v>2</v>
      </c>
      <c r="I413" t="str" cm="1">
        <f t="array" ref="I413">_xlfn.IFS(H413&lt;1,"No",H413=1,"Yes",H413&gt;1,_xlfn.TEXTJOIN("",TRUE,"Yes x",H413))</f>
        <v>Yes x2</v>
      </c>
      <c r="J413" s="13">
        <f t="shared" si="25"/>
        <v>1</v>
      </c>
      <c r="K413" s="13">
        <f t="shared" si="27"/>
        <v>1</v>
      </c>
      <c r="L413" s="13" t="str" cm="1">
        <f t="array" ref="L413">_xlfn.IFS(J413&lt;1,"",J413=1,"Pass",J413&gt;1,_xlfn.TEXTJOIN("",TRUE,"Pass x",J413))</f>
        <v>Pass</v>
      </c>
      <c r="M413" s="13" t="str" cm="1">
        <f t="array" ref="M413">_xlfn.IFS(K413&lt;1,"",K413=1,"Fail",K413&gt;1,_xlfn.TEXTJOIN("",TRUE,"Fail x",K413))</f>
        <v>Fail</v>
      </c>
      <c r="N413" t="str">
        <f t="shared" si="26"/>
        <v>Pass, Fail</v>
      </c>
    </row>
    <row r="414" spans="8:14">
      <c r="H414" s="13">
        <f t="shared" si="24"/>
        <v>2</v>
      </c>
      <c r="I414" t="str" cm="1">
        <f t="array" ref="I414">_xlfn.IFS(H414&lt;1,"No",H414=1,"Yes",H414&gt;1,_xlfn.TEXTJOIN("",TRUE,"Yes x",H414))</f>
        <v>Yes x2</v>
      </c>
      <c r="J414" s="13">
        <f t="shared" si="25"/>
        <v>1</v>
      </c>
      <c r="K414" s="13">
        <f t="shared" si="27"/>
        <v>1</v>
      </c>
      <c r="L414" s="13" t="str" cm="1">
        <f t="array" ref="L414">_xlfn.IFS(J414&lt;1,"",J414=1,"Pass",J414&gt;1,_xlfn.TEXTJOIN("",TRUE,"Pass x",J414))</f>
        <v>Pass</v>
      </c>
      <c r="M414" s="13" t="str" cm="1">
        <f t="array" ref="M414">_xlfn.IFS(K414&lt;1,"",K414=1,"Fail",K414&gt;1,_xlfn.TEXTJOIN("",TRUE,"Fail x",K414))</f>
        <v>Fail</v>
      </c>
      <c r="N414" t="str">
        <f t="shared" si="26"/>
        <v>Pass, Fail</v>
      </c>
    </row>
    <row r="415" spans="8:14">
      <c r="H415" s="13">
        <f t="shared" si="24"/>
        <v>2</v>
      </c>
      <c r="I415" t="str" cm="1">
        <f t="array" ref="I415">_xlfn.IFS(H415&lt;1,"No",H415=1,"Yes",H415&gt;1,_xlfn.TEXTJOIN("",TRUE,"Yes x",H415))</f>
        <v>Yes x2</v>
      </c>
      <c r="J415" s="13">
        <f t="shared" si="25"/>
        <v>1</v>
      </c>
      <c r="K415" s="13">
        <f t="shared" si="27"/>
        <v>1</v>
      </c>
      <c r="L415" s="13" t="str" cm="1">
        <f t="array" ref="L415">_xlfn.IFS(J415&lt;1,"",J415=1,"Pass",J415&gt;1,_xlfn.TEXTJOIN("",TRUE,"Pass x",J415))</f>
        <v>Pass</v>
      </c>
      <c r="M415" s="13" t="str" cm="1">
        <f t="array" ref="M415">_xlfn.IFS(K415&lt;1,"",K415=1,"Fail",K415&gt;1,_xlfn.TEXTJOIN("",TRUE,"Fail x",K415))</f>
        <v>Fail</v>
      </c>
      <c r="N415" t="str">
        <f t="shared" si="26"/>
        <v>Pass, Fail</v>
      </c>
    </row>
    <row r="416" spans="8:14">
      <c r="H416" s="13">
        <f t="shared" si="24"/>
        <v>2</v>
      </c>
      <c r="I416" t="str" cm="1">
        <f t="array" ref="I416">_xlfn.IFS(H416&lt;1,"No",H416=1,"Yes",H416&gt;1,_xlfn.TEXTJOIN("",TRUE,"Yes x",H416))</f>
        <v>Yes x2</v>
      </c>
      <c r="J416" s="13">
        <f t="shared" si="25"/>
        <v>1</v>
      </c>
      <c r="K416" s="13">
        <f t="shared" si="27"/>
        <v>1</v>
      </c>
      <c r="L416" s="13" t="str" cm="1">
        <f t="array" ref="L416">_xlfn.IFS(J416&lt;1,"",J416=1,"Pass",J416&gt;1,_xlfn.TEXTJOIN("",TRUE,"Pass x",J416))</f>
        <v>Pass</v>
      </c>
      <c r="M416" s="13" t="str" cm="1">
        <f t="array" ref="M416">_xlfn.IFS(K416&lt;1,"",K416=1,"Fail",K416&gt;1,_xlfn.TEXTJOIN("",TRUE,"Fail x",K416))</f>
        <v>Fail</v>
      </c>
      <c r="N416" t="str">
        <f t="shared" si="26"/>
        <v>Pass, Fail</v>
      </c>
    </row>
    <row r="417" spans="8:14">
      <c r="H417" s="13">
        <f t="shared" si="24"/>
        <v>2</v>
      </c>
      <c r="I417" t="str" cm="1">
        <f t="array" ref="I417">_xlfn.IFS(H417&lt;1,"No",H417=1,"Yes",H417&gt;1,_xlfn.TEXTJOIN("",TRUE,"Yes x",H417))</f>
        <v>Yes x2</v>
      </c>
      <c r="J417" s="13">
        <f t="shared" si="25"/>
        <v>1</v>
      </c>
      <c r="K417" s="13">
        <f t="shared" si="27"/>
        <v>1</v>
      </c>
      <c r="L417" s="13" t="str" cm="1">
        <f t="array" ref="L417">_xlfn.IFS(J417&lt;1,"",J417=1,"Pass",J417&gt;1,_xlfn.TEXTJOIN("",TRUE,"Pass x",J417))</f>
        <v>Pass</v>
      </c>
      <c r="M417" s="13" t="str" cm="1">
        <f t="array" ref="M417">_xlfn.IFS(K417&lt;1,"",K417=1,"Fail",K417&gt;1,_xlfn.TEXTJOIN("",TRUE,"Fail x",K417))</f>
        <v>Fail</v>
      </c>
      <c r="N417" t="str">
        <f t="shared" si="26"/>
        <v>Pass, Fail</v>
      </c>
    </row>
    <row r="418" spans="8:14">
      <c r="H418" s="13">
        <f t="shared" si="24"/>
        <v>2</v>
      </c>
      <c r="I418" t="str" cm="1">
        <f t="array" ref="I418">_xlfn.IFS(H418&lt;1,"No",H418=1,"Yes",H418&gt;1,_xlfn.TEXTJOIN("",TRUE,"Yes x",H418))</f>
        <v>Yes x2</v>
      </c>
      <c r="J418" s="13">
        <f t="shared" si="25"/>
        <v>1</v>
      </c>
      <c r="K418" s="13">
        <f t="shared" si="27"/>
        <v>1</v>
      </c>
      <c r="L418" s="13" t="str" cm="1">
        <f t="array" ref="L418">_xlfn.IFS(J418&lt;1,"",J418=1,"Pass",J418&gt;1,_xlfn.TEXTJOIN("",TRUE,"Pass x",J418))</f>
        <v>Pass</v>
      </c>
      <c r="M418" s="13" t="str" cm="1">
        <f t="array" ref="M418">_xlfn.IFS(K418&lt;1,"",K418=1,"Fail",K418&gt;1,_xlfn.TEXTJOIN("",TRUE,"Fail x",K418))</f>
        <v>Fail</v>
      </c>
      <c r="N418" t="str">
        <f t="shared" si="26"/>
        <v>Pass, Fail</v>
      </c>
    </row>
    <row r="419" spans="8:14">
      <c r="H419" s="13">
        <f t="shared" si="24"/>
        <v>2</v>
      </c>
      <c r="I419" t="str" cm="1">
        <f t="array" ref="I419">_xlfn.IFS(H419&lt;1,"No",H419=1,"Yes",H419&gt;1,_xlfn.TEXTJOIN("",TRUE,"Yes x",H419))</f>
        <v>Yes x2</v>
      </c>
      <c r="J419" s="13">
        <f t="shared" si="25"/>
        <v>1</v>
      </c>
      <c r="K419" s="13">
        <f t="shared" si="27"/>
        <v>1</v>
      </c>
      <c r="L419" s="13" t="str" cm="1">
        <f t="array" ref="L419">_xlfn.IFS(J419&lt;1,"",J419=1,"Pass",J419&gt;1,_xlfn.TEXTJOIN("",TRUE,"Pass x",J419))</f>
        <v>Pass</v>
      </c>
      <c r="M419" s="13" t="str" cm="1">
        <f t="array" ref="M419">_xlfn.IFS(K419&lt;1,"",K419=1,"Fail",K419&gt;1,_xlfn.TEXTJOIN("",TRUE,"Fail x",K419))</f>
        <v>Fail</v>
      </c>
      <c r="N419" t="str">
        <f t="shared" si="26"/>
        <v>Pass, Fail</v>
      </c>
    </row>
    <row r="420" spans="8:14">
      <c r="H420" s="13">
        <f t="shared" ref="H420:H423" si="28">IFERROR(GETPIVOTDATA("Successful / Failed",$A$1,"System serial",G420),0)</f>
        <v>2</v>
      </c>
      <c r="I420" t="str" cm="1">
        <f t="array" ref="I420">_xlfn.IFS(H420&lt;1,"No",H420=1,"Yes",H420&gt;1,_xlfn.TEXTJOIN("",TRUE,"Yes x",H420))</f>
        <v>Yes x2</v>
      </c>
      <c r="J420" s="13">
        <f t="shared" ref="J420:J423" si="29">IFERROR(GETPIVOTDATA("Successful / Failed",$A$1,"System serial",G420,"Successful / Failed","Successful"),0)</f>
        <v>1</v>
      </c>
      <c r="K420" s="13">
        <f t="shared" si="27"/>
        <v>1</v>
      </c>
      <c r="L420" s="13" t="str" cm="1">
        <f t="array" ref="L420">_xlfn.IFS(J420&lt;1,"",J420=1,"Pass",J420&gt;1,_xlfn.TEXTJOIN("",TRUE,"Pass x",J420))</f>
        <v>Pass</v>
      </c>
      <c r="M420" s="13" t="str" cm="1">
        <f t="array" ref="M420">_xlfn.IFS(K420&lt;1,"",K420=1,"Fail",K420&gt;1,_xlfn.TEXTJOIN("",TRUE,"Fail x",K420))</f>
        <v>Fail</v>
      </c>
      <c r="N420" t="str">
        <f t="shared" ref="N420:N423" si="30">_xlfn.TEXTJOIN(", ",TRUE, L420, M420)</f>
        <v>Pass, Fail</v>
      </c>
    </row>
    <row r="421" spans="8:14">
      <c r="H421" s="13">
        <f t="shared" si="28"/>
        <v>2</v>
      </c>
      <c r="I421" t="str" cm="1">
        <f t="array" ref="I421">_xlfn.IFS(H421&lt;1,"No",H421=1,"Yes",H421&gt;1,_xlfn.TEXTJOIN("",TRUE,"Yes x",H421))</f>
        <v>Yes x2</v>
      </c>
      <c r="J421" s="13">
        <f t="shared" si="29"/>
        <v>1</v>
      </c>
      <c r="K421" s="13">
        <f t="shared" si="27"/>
        <v>1</v>
      </c>
      <c r="L421" s="13" t="str" cm="1">
        <f t="array" ref="L421">_xlfn.IFS(J421&lt;1,"",J421=1,"Pass",J421&gt;1,_xlfn.TEXTJOIN("",TRUE,"Pass x",J421))</f>
        <v>Pass</v>
      </c>
      <c r="M421" s="13" t="str" cm="1">
        <f t="array" ref="M421">_xlfn.IFS(K421&lt;1,"",K421=1,"Fail",K421&gt;1,_xlfn.TEXTJOIN("",TRUE,"Fail x",K421))</f>
        <v>Fail</v>
      </c>
      <c r="N421" t="str">
        <f t="shared" si="30"/>
        <v>Pass, Fail</v>
      </c>
    </row>
    <row r="422" spans="8:14">
      <c r="H422" s="13">
        <f t="shared" si="28"/>
        <v>2</v>
      </c>
      <c r="I422" t="str" cm="1">
        <f t="array" ref="I422">_xlfn.IFS(H422&lt;1,"No",H422=1,"Yes",H422&gt;1,_xlfn.TEXTJOIN("",TRUE,"Yes x",H422))</f>
        <v>Yes x2</v>
      </c>
      <c r="J422" s="13">
        <f t="shared" si="29"/>
        <v>1</v>
      </c>
      <c r="K422" s="13">
        <f t="shared" si="27"/>
        <v>1</v>
      </c>
      <c r="L422" s="13" t="str" cm="1">
        <f t="array" ref="L422">_xlfn.IFS(J422&lt;1,"",J422=1,"Pass",J422&gt;1,_xlfn.TEXTJOIN("",TRUE,"Pass x",J422))</f>
        <v>Pass</v>
      </c>
      <c r="M422" s="13" t="str" cm="1">
        <f t="array" ref="M422">_xlfn.IFS(K422&lt;1,"",K422=1,"Fail",K422&gt;1,_xlfn.TEXTJOIN("",TRUE,"Fail x",K422))</f>
        <v>Fail</v>
      </c>
      <c r="N422" t="str">
        <f t="shared" si="30"/>
        <v>Pass, Fail</v>
      </c>
    </row>
    <row r="423" spans="8:14">
      <c r="H423" s="13">
        <f t="shared" si="28"/>
        <v>2</v>
      </c>
      <c r="I423" t="str" cm="1">
        <f t="array" ref="I423">_xlfn.IFS(H423&lt;1,"No",H423=1,"Yes",H423&gt;1,_xlfn.TEXTJOIN("",TRUE,"Yes x",H423))</f>
        <v>Yes x2</v>
      </c>
      <c r="J423" s="13">
        <f t="shared" si="29"/>
        <v>1</v>
      </c>
      <c r="K423" s="13">
        <f t="shared" si="27"/>
        <v>1</v>
      </c>
      <c r="L423" s="13" t="str" cm="1">
        <f t="array" ref="L423">_xlfn.IFS(J423&lt;1,"",J423=1,"Pass",J423&gt;1,_xlfn.TEXTJOIN("",TRUE,"Pass x",J423))</f>
        <v>Pass</v>
      </c>
      <c r="M423" s="13" t="str" cm="1">
        <f t="array" ref="M423">_xlfn.IFS(K423&lt;1,"",K423=1,"Fail",K423&gt;1,_xlfn.TEXTJOIN("",TRUE,"Fail x",K423))</f>
        <v>Fail</v>
      </c>
      <c r="N423" t="str">
        <f t="shared" si="30"/>
        <v>Pass, Fail</v>
      </c>
    </row>
    <row r="424" spans="8:14">
      <c r="H424" s="13">
        <f t="shared" ref="H424:H436" si="31">IFERROR(GETPIVOTDATA("Successful / Failed",$A$1,"System serial",G424),0)</f>
        <v>2</v>
      </c>
      <c r="I424" t="str" cm="1">
        <f t="array" ref="I424">_xlfn.IFS(H424&lt;1,"No",H424=1,"Yes",H424&gt;1,_xlfn.TEXTJOIN("",TRUE,"Yes x",H424))</f>
        <v>Yes x2</v>
      </c>
      <c r="J424" s="13">
        <f t="shared" ref="J424:J446" si="32">IFERROR(GETPIVOTDATA("Successful / Failed",$A$1,"System serial",G424,"Successful / Failed","Successful"),0)</f>
        <v>1</v>
      </c>
      <c r="K424" s="13">
        <f t="shared" si="27"/>
        <v>1</v>
      </c>
      <c r="N424" t="str">
        <f t="shared" ref="N424:N437" si="33">_xlfn.TEXTJOIN(", ",TRUE, L424, M424)</f>
        <v/>
      </c>
    </row>
    <row r="425" spans="8:14">
      <c r="H425" s="13">
        <f t="shared" si="31"/>
        <v>2</v>
      </c>
      <c r="I425" t="str" cm="1">
        <f t="array" ref="I425">_xlfn.IFS(H425&lt;1,"No",H425=1,"Yes",H425&gt;1,_xlfn.TEXTJOIN("",TRUE,"Yes x",H425))</f>
        <v>Yes x2</v>
      </c>
      <c r="J425" s="13">
        <f t="shared" si="32"/>
        <v>1</v>
      </c>
      <c r="K425" s="13">
        <f t="shared" si="27"/>
        <v>1</v>
      </c>
      <c r="N425" t="str">
        <f t="shared" si="33"/>
        <v/>
      </c>
    </row>
    <row r="426" spans="8:14">
      <c r="H426" s="13">
        <f t="shared" si="31"/>
        <v>2</v>
      </c>
      <c r="I426" t="str" cm="1">
        <f t="array" ref="I426">_xlfn.IFS(H426&lt;1,"No",H426=1,"Yes",H426&gt;1,_xlfn.TEXTJOIN("",TRUE,"Yes x",H426))</f>
        <v>Yes x2</v>
      </c>
      <c r="J426" s="13">
        <f t="shared" si="32"/>
        <v>1</v>
      </c>
      <c r="K426" s="13">
        <f t="shared" si="27"/>
        <v>1</v>
      </c>
      <c r="N426" t="str">
        <f t="shared" si="33"/>
        <v/>
      </c>
    </row>
    <row r="427" spans="8:14">
      <c r="H427" s="13">
        <f t="shared" si="31"/>
        <v>2</v>
      </c>
      <c r="I427" t="str" cm="1">
        <f t="array" ref="I427">_xlfn.IFS(H427&lt;1,"No",H427=1,"Yes",H427&gt;1,_xlfn.TEXTJOIN("",TRUE,"Yes x",H427))</f>
        <v>Yes x2</v>
      </c>
      <c r="J427" s="13">
        <f t="shared" si="32"/>
        <v>1</v>
      </c>
      <c r="K427" s="13">
        <f t="shared" si="27"/>
        <v>1</v>
      </c>
      <c r="N427" t="str">
        <f t="shared" si="33"/>
        <v/>
      </c>
    </row>
    <row r="428" spans="8:14">
      <c r="H428" s="13">
        <f t="shared" si="31"/>
        <v>2</v>
      </c>
      <c r="I428" t="str" cm="1">
        <f t="array" ref="I428">_xlfn.IFS(H428&lt;1,"No",H428=1,"Yes",H428&gt;1,_xlfn.TEXTJOIN("",TRUE,"Yes x",H428))</f>
        <v>Yes x2</v>
      </c>
      <c r="J428" s="13">
        <f t="shared" si="32"/>
        <v>1</v>
      </c>
      <c r="K428" s="13">
        <f t="shared" si="27"/>
        <v>1</v>
      </c>
      <c r="N428" t="str">
        <f t="shared" si="33"/>
        <v/>
      </c>
    </row>
    <row r="429" spans="8:14">
      <c r="H429" s="13">
        <f t="shared" si="31"/>
        <v>2</v>
      </c>
      <c r="I429" t="str" cm="1">
        <f t="array" ref="I429">_xlfn.IFS(H429&lt;1,"No",H429=1,"Yes",H429&gt;1,_xlfn.TEXTJOIN("",TRUE,"Yes x",H429))</f>
        <v>Yes x2</v>
      </c>
      <c r="J429" s="13">
        <f t="shared" si="32"/>
        <v>1</v>
      </c>
      <c r="K429" s="13">
        <f t="shared" si="27"/>
        <v>1</v>
      </c>
      <c r="N429" t="str">
        <f t="shared" si="33"/>
        <v/>
      </c>
    </row>
    <row r="430" spans="8:14">
      <c r="H430" s="13">
        <f t="shared" si="31"/>
        <v>2</v>
      </c>
      <c r="I430" t="str" cm="1">
        <f t="array" ref="I430">_xlfn.IFS(H430&lt;1,"No",H430=1,"Yes",H430&gt;1,_xlfn.TEXTJOIN("",TRUE,"Yes x",H430))</f>
        <v>Yes x2</v>
      </c>
      <c r="J430" s="13">
        <f t="shared" si="32"/>
        <v>1</v>
      </c>
      <c r="K430" s="13">
        <f t="shared" si="27"/>
        <v>1</v>
      </c>
      <c r="N430" t="str">
        <f t="shared" si="33"/>
        <v/>
      </c>
    </row>
    <row r="431" spans="8:14">
      <c r="H431" s="13">
        <f t="shared" si="31"/>
        <v>2</v>
      </c>
      <c r="J431" s="13">
        <f t="shared" si="32"/>
        <v>1</v>
      </c>
      <c r="K431" s="13">
        <f t="shared" si="27"/>
        <v>1</v>
      </c>
      <c r="N431" t="str">
        <f t="shared" si="33"/>
        <v/>
      </c>
    </row>
    <row r="432" spans="8:14">
      <c r="H432" s="13">
        <f t="shared" si="31"/>
        <v>2</v>
      </c>
      <c r="J432" s="13">
        <f t="shared" si="32"/>
        <v>1</v>
      </c>
      <c r="K432" s="13">
        <f t="shared" si="27"/>
        <v>1</v>
      </c>
      <c r="N432" t="str">
        <f t="shared" si="33"/>
        <v/>
      </c>
    </row>
    <row r="433" spans="8:14">
      <c r="H433" s="13">
        <f t="shared" si="31"/>
        <v>2</v>
      </c>
      <c r="J433" s="13">
        <f t="shared" si="32"/>
        <v>1</v>
      </c>
      <c r="K433" s="13">
        <f t="shared" si="27"/>
        <v>1</v>
      </c>
      <c r="N433" t="str">
        <f t="shared" si="33"/>
        <v/>
      </c>
    </row>
    <row r="434" spans="8:14">
      <c r="H434" s="13">
        <f t="shared" si="31"/>
        <v>2</v>
      </c>
      <c r="J434" s="13">
        <f t="shared" si="32"/>
        <v>1</v>
      </c>
      <c r="K434" s="13">
        <f t="shared" si="27"/>
        <v>1</v>
      </c>
      <c r="N434" t="str">
        <f t="shared" si="33"/>
        <v/>
      </c>
    </row>
    <row r="435" spans="8:14">
      <c r="H435" s="13">
        <f t="shared" si="31"/>
        <v>2</v>
      </c>
      <c r="J435" s="13">
        <f t="shared" si="32"/>
        <v>1</v>
      </c>
      <c r="K435" s="13">
        <f t="shared" si="27"/>
        <v>1</v>
      </c>
      <c r="N435" t="str">
        <f t="shared" si="33"/>
        <v/>
      </c>
    </row>
    <row r="436" spans="8:14">
      <c r="H436" s="13">
        <f t="shared" si="31"/>
        <v>2</v>
      </c>
      <c r="J436" s="13">
        <f t="shared" si="32"/>
        <v>1</v>
      </c>
      <c r="K436" s="13">
        <f t="shared" si="27"/>
        <v>1</v>
      </c>
      <c r="N436" t="str">
        <f t="shared" si="33"/>
        <v/>
      </c>
    </row>
    <row r="437" spans="8:14">
      <c r="J437" s="13">
        <f t="shared" si="32"/>
        <v>1</v>
      </c>
      <c r="K437" s="13">
        <f t="shared" si="27"/>
        <v>1</v>
      </c>
      <c r="N437" t="str">
        <f t="shared" si="33"/>
        <v/>
      </c>
    </row>
    <row r="438" spans="8:14">
      <c r="J438" s="13">
        <f t="shared" si="32"/>
        <v>1</v>
      </c>
      <c r="K438" s="13">
        <f t="shared" si="27"/>
        <v>1</v>
      </c>
    </row>
    <row r="439" spans="8:14">
      <c r="J439" s="13">
        <f t="shared" si="32"/>
        <v>1</v>
      </c>
      <c r="K439" s="13">
        <f t="shared" si="27"/>
        <v>1</v>
      </c>
    </row>
    <row r="440" spans="8:14">
      <c r="J440" s="13">
        <f t="shared" si="32"/>
        <v>1</v>
      </c>
      <c r="K440" s="13">
        <f t="shared" si="27"/>
        <v>1</v>
      </c>
    </row>
    <row r="441" spans="8:14">
      <c r="J441" s="13">
        <f t="shared" si="32"/>
        <v>1</v>
      </c>
      <c r="K441" s="13">
        <f t="shared" si="27"/>
        <v>1</v>
      </c>
    </row>
    <row r="442" spans="8:14">
      <c r="J442" s="13">
        <f t="shared" si="32"/>
        <v>1</v>
      </c>
      <c r="K442" s="13">
        <f t="shared" si="27"/>
        <v>1</v>
      </c>
    </row>
    <row r="443" spans="8:14">
      <c r="J443" s="13">
        <f t="shared" si="32"/>
        <v>1</v>
      </c>
      <c r="K443" s="13">
        <f t="shared" si="27"/>
        <v>1</v>
      </c>
    </row>
    <row r="444" spans="8:14">
      <c r="J444" s="13">
        <f t="shared" si="32"/>
        <v>1</v>
      </c>
      <c r="K444" s="13">
        <f t="shared" si="27"/>
        <v>1</v>
      </c>
    </row>
    <row r="445" spans="8:14">
      <c r="J445" s="13">
        <f t="shared" si="32"/>
        <v>1</v>
      </c>
      <c r="K445" s="13">
        <f t="shared" si="27"/>
        <v>1</v>
      </c>
    </row>
    <row r="446" spans="8:14">
      <c r="J446" s="13">
        <f t="shared" si="32"/>
        <v>1</v>
      </c>
      <c r="K446" s="13">
        <f t="shared" si="27"/>
        <v>1</v>
      </c>
    </row>
    <row r="447" spans="8:14">
      <c r="K447" s="13">
        <f t="shared" si="27"/>
        <v>1</v>
      </c>
    </row>
    <row r="448" spans="8:14">
      <c r="K448" s="13">
        <f t="shared" si="27"/>
        <v>1</v>
      </c>
    </row>
    <row r="449" spans="11:11">
      <c r="K449" s="13">
        <f t="shared" si="27"/>
        <v>1</v>
      </c>
    </row>
    <row r="450" spans="11:11">
      <c r="K450" s="13">
        <f t="shared" si="27"/>
        <v>1</v>
      </c>
    </row>
    <row r="451" spans="11:11">
      <c r="K451" s="13">
        <f t="shared" ref="K451:K475" si="34">IFERROR(GETPIVOTDATA("Successful / Failed",$A$1,"System serial",G451,"Successful / Failed","Failed"),0)</f>
        <v>1</v>
      </c>
    </row>
    <row r="452" spans="11:11">
      <c r="K452" s="13">
        <f t="shared" si="34"/>
        <v>1</v>
      </c>
    </row>
    <row r="453" spans="11:11">
      <c r="K453" s="13">
        <f t="shared" si="34"/>
        <v>1</v>
      </c>
    </row>
    <row r="454" spans="11:11">
      <c r="K454" s="13">
        <f t="shared" si="34"/>
        <v>1</v>
      </c>
    </row>
    <row r="455" spans="11:11">
      <c r="K455" s="13">
        <f t="shared" si="34"/>
        <v>1</v>
      </c>
    </row>
    <row r="456" spans="11:11">
      <c r="K456" s="13">
        <f t="shared" si="34"/>
        <v>1</v>
      </c>
    </row>
    <row r="457" spans="11:11">
      <c r="K457" s="13">
        <f t="shared" si="34"/>
        <v>1</v>
      </c>
    </row>
    <row r="458" spans="11:11">
      <c r="K458" s="13">
        <f t="shared" si="34"/>
        <v>1</v>
      </c>
    </row>
    <row r="459" spans="11:11">
      <c r="K459" s="13">
        <f t="shared" si="34"/>
        <v>1</v>
      </c>
    </row>
    <row r="460" spans="11:11">
      <c r="K460" s="13">
        <f t="shared" si="34"/>
        <v>1</v>
      </c>
    </row>
    <row r="461" spans="11:11">
      <c r="K461" s="13">
        <f t="shared" si="34"/>
        <v>1</v>
      </c>
    </row>
    <row r="462" spans="11:11">
      <c r="K462" s="13">
        <f t="shared" si="34"/>
        <v>1</v>
      </c>
    </row>
    <row r="463" spans="11:11">
      <c r="K463" s="13">
        <f t="shared" si="34"/>
        <v>1</v>
      </c>
    </row>
    <row r="464" spans="11:11">
      <c r="K464" s="13">
        <f t="shared" si="34"/>
        <v>1</v>
      </c>
    </row>
    <row r="465" spans="11:11">
      <c r="K465" s="13">
        <f t="shared" si="34"/>
        <v>1</v>
      </c>
    </row>
    <row r="466" spans="11:11">
      <c r="K466" s="13">
        <f t="shared" si="34"/>
        <v>1</v>
      </c>
    </row>
    <row r="467" spans="11:11">
      <c r="K467" s="13">
        <f t="shared" si="34"/>
        <v>1</v>
      </c>
    </row>
    <row r="468" spans="11:11">
      <c r="K468" s="13">
        <f t="shared" si="34"/>
        <v>1</v>
      </c>
    </row>
    <row r="469" spans="11:11">
      <c r="K469" s="13">
        <f t="shared" si="34"/>
        <v>1</v>
      </c>
    </row>
    <row r="470" spans="11:11">
      <c r="K470" s="13">
        <f t="shared" si="34"/>
        <v>1</v>
      </c>
    </row>
    <row r="471" spans="11:11">
      <c r="K471" s="13">
        <f t="shared" si="34"/>
        <v>1</v>
      </c>
    </row>
    <row r="472" spans="11:11">
      <c r="K472" s="13">
        <f t="shared" si="34"/>
        <v>1</v>
      </c>
    </row>
    <row r="473" spans="11:11">
      <c r="K473" s="13">
        <f t="shared" si="34"/>
        <v>1</v>
      </c>
    </row>
    <row r="474" spans="11:11">
      <c r="K474" s="13">
        <f t="shared" si="34"/>
        <v>1</v>
      </c>
    </row>
    <row r="475" spans="11:11">
      <c r="K475" s="13">
        <f t="shared" si="34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topLeftCell="A148" workbookViewId="0">
      <selection activeCell="AB1000" sqref="AB1000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Input!D1:AD1000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Memory capacity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50</v>
      </c>
    </row>
    <row r="2" spans="1:28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f>IF(ISNUMBER(SEARCH("Successful",F2)),
   "Successful",
   IF(ISNUMBER(SEARCH("Failed",F2)),"Failed",""))</f>
        <v/>
      </c>
    </row>
    <row r="3" spans="1:28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t="str">
        <f t="shared" ref="AB3:AB66" si="0">IF(ISNUMBER(SEARCH("Successful",F3)),
   "Successful",
   IF(ISNUMBER(SEARCH("Failed",F3)),"Failed",""))</f>
        <v/>
      </c>
    </row>
    <row r="4" spans="1:28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tr">
        <f t="shared" si="0"/>
        <v/>
      </c>
    </row>
    <row r="5" spans="1:28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 t="str">
        <f t="shared" si="0"/>
        <v/>
      </c>
    </row>
    <row r="6" spans="1:28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tr">
        <f t="shared" si="0"/>
        <v/>
      </c>
    </row>
    <row r="7" spans="1:28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t="str">
        <f t="shared" si="0"/>
        <v/>
      </c>
    </row>
    <row r="8" spans="1:28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t="str">
        <f t="shared" si="0"/>
        <v/>
      </c>
    </row>
    <row r="9" spans="1:28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tr">
        <f t="shared" si="0"/>
        <v/>
      </c>
    </row>
    <row r="10" spans="1:28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tr">
        <f t="shared" si="0"/>
        <v/>
      </c>
    </row>
    <row r="11" spans="1:28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tr">
        <f t="shared" si="0"/>
        <v/>
      </c>
    </row>
    <row r="12" spans="1:28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tr">
        <f t="shared" si="0"/>
        <v/>
      </c>
    </row>
    <row r="13" spans="1:28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tr">
        <f t="shared" si="0"/>
        <v/>
      </c>
    </row>
    <row r="14" spans="1:28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tr">
        <f t="shared" si="0"/>
        <v/>
      </c>
    </row>
    <row r="15" spans="1:28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tr">
        <f t="shared" si="0"/>
        <v/>
      </c>
    </row>
    <row r="16" spans="1:28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tr">
        <f t="shared" si="0"/>
        <v/>
      </c>
    </row>
    <row r="17" spans="1:28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tr">
        <f t="shared" si="0"/>
        <v/>
      </c>
    </row>
    <row r="18" spans="1:28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tr">
        <f t="shared" si="0"/>
        <v/>
      </c>
    </row>
    <row r="19" spans="1:28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tr">
        <f t="shared" si="0"/>
        <v/>
      </c>
    </row>
    <row r="20" spans="1:28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tr">
        <f t="shared" si="0"/>
        <v/>
      </c>
    </row>
    <row r="21" spans="1:28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tr">
        <f t="shared" si="0"/>
        <v/>
      </c>
    </row>
    <row r="22" spans="1:28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tr">
        <f t="shared" si="0"/>
        <v/>
      </c>
    </row>
    <row r="23" spans="1:28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tr">
        <f t="shared" si="0"/>
        <v/>
      </c>
    </row>
    <row r="24" spans="1:28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tr">
        <f>IF(ISNUMBER(SEARCH("Successful",F24)),
   "Successful",
   IF(ISNUMBER(SEARCH("Failed",F24)),"Failed",""))</f>
        <v/>
      </c>
    </row>
    <row r="25" spans="1:28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tr">
        <f t="shared" si="0"/>
        <v/>
      </c>
    </row>
    <row r="26" spans="1:28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tr">
        <f t="shared" si="0"/>
        <v/>
      </c>
    </row>
    <row r="27" spans="1:28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tr">
        <f t="shared" si="0"/>
        <v/>
      </c>
    </row>
    <row r="28" spans="1:28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tr">
        <f t="shared" si="0"/>
        <v/>
      </c>
    </row>
    <row r="29" spans="1:28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tr">
        <f t="shared" si="0"/>
        <v/>
      </c>
    </row>
    <row r="30" spans="1:28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tr">
        <f t="shared" si="0"/>
        <v/>
      </c>
    </row>
    <row r="31" spans="1:28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tr">
        <f t="shared" si="0"/>
        <v/>
      </c>
    </row>
    <row r="32" spans="1:28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tr">
        <f t="shared" si="0"/>
        <v/>
      </c>
    </row>
    <row r="33" spans="1:28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tr">
        <f t="shared" si="0"/>
        <v/>
      </c>
    </row>
    <row r="34" spans="1:28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tr">
        <f t="shared" si="0"/>
        <v/>
      </c>
    </row>
    <row r="35" spans="1:28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tr">
        <f t="shared" si="0"/>
        <v/>
      </c>
    </row>
    <row r="36" spans="1:28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tr">
        <f t="shared" si="0"/>
        <v/>
      </c>
    </row>
    <row r="37" spans="1:28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tr">
        <f t="shared" si="0"/>
        <v/>
      </c>
    </row>
    <row r="38" spans="1:28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tr">
        <f t="shared" si="0"/>
        <v/>
      </c>
    </row>
    <row r="39" spans="1:28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tr">
        <f t="shared" si="0"/>
        <v/>
      </c>
    </row>
    <row r="40" spans="1:28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tr">
        <f t="shared" si="0"/>
        <v/>
      </c>
    </row>
    <row r="41" spans="1:28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tr">
        <f t="shared" si="0"/>
        <v/>
      </c>
    </row>
    <row r="42" spans="1:28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tr">
        <f t="shared" si="0"/>
        <v/>
      </c>
    </row>
    <row r="43" spans="1:28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tr">
        <f t="shared" si="0"/>
        <v/>
      </c>
    </row>
    <row r="44" spans="1:28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tr">
        <f t="shared" si="0"/>
        <v/>
      </c>
    </row>
    <row r="45" spans="1:28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tr">
        <f t="shared" si="0"/>
        <v/>
      </c>
    </row>
    <row r="46" spans="1:28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tr">
        <f t="shared" si="0"/>
        <v/>
      </c>
    </row>
    <row r="47" spans="1:28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tr">
        <f t="shared" si="0"/>
        <v/>
      </c>
    </row>
    <row r="48" spans="1:28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tr">
        <f t="shared" si="0"/>
        <v/>
      </c>
    </row>
    <row r="49" spans="1:28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tr">
        <f t="shared" si="0"/>
        <v/>
      </c>
    </row>
    <row r="50" spans="1:28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tr">
        <f t="shared" si="0"/>
        <v/>
      </c>
    </row>
    <row r="51" spans="1:28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tr">
        <f t="shared" si="0"/>
        <v/>
      </c>
    </row>
    <row r="52" spans="1:28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tr">
        <f t="shared" si="0"/>
        <v/>
      </c>
    </row>
    <row r="53" spans="1:28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tr">
        <f t="shared" si="0"/>
        <v/>
      </c>
    </row>
    <row r="54" spans="1:28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tr">
        <f t="shared" si="0"/>
        <v/>
      </c>
    </row>
    <row r="55" spans="1:28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tr">
        <f t="shared" si="0"/>
        <v/>
      </c>
    </row>
    <row r="56" spans="1:28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tr">
        <f t="shared" si="0"/>
        <v/>
      </c>
    </row>
    <row r="57" spans="1:28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tr">
        <f t="shared" si="0"/>
        <v/>
      </c>
    </row>
    <row r="58" spans="1:28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tr">
        <f t="shared" si="0"/>
        <v/>
      </c>
    </row>
    <row r="59" spans="1:28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tr">
        <f t="shared" si="0"/>
        <v/>
      </c>
    </row>
    <row r="60" spans="1:28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tr">
        <f t="shared" si="0"/>
        <v/>
      </c>
    </row>
    <row r="61" spans="1:28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tr">
        <f t="shared" si="0"/>
        <v/>
      </c>
    </row>
    <row r="62" spans="1:28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tr">
        <f t="shared" si="0"/>
        <v/>
      </c>
    </row>
    <row r="63" spans="1:28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tr">
        <f t="shared" si="0"/>
        <v/>
      </c>
    </row>
    <row r="64" spans="1:28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tr">
        <f t="shared" si="0"/>
        <v/>
      </c>
    </row>
    <row r="65" spans="1:28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tr">
        <f t="shared" si="0"/>
        <v/>
      </c>
    </row>
    <row r="66" spans="1:28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tr">
        <f t="shared" si="0"/>
        <v/>
      </c>
    </row>
    <row r="67" spans="1:28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tr">
        <f t="shared" ref="AB67:AB130" si="1">IF(ISNUMBER(SEARCH("Successful",F67)),
   "Successful",
   IF(ISNUMBER(SEARCH("Failed",F67)),"Failed",""))</f>
        <v/>
      </c>
    </row>
    <row r="68" spans="1:28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tr">
        <f t="shared" si="1"/>
        <v/>
      </c>
    </row>
    <row r="69" spans="1:28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tr">
        <f t="shared" si="1"/>
        <v/>
      </c>
    </row>
    <row r="70" spans="1:28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tr">
        <f t="shared" si="1"/>
        <v/>
      </c>
    </row>
    <row r="71" spans="1:28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tr">
        <f t="shared" si="1"/>
        <v/>
      </c>
    </row>
    <row r="72" spans="1:28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tr">
        <f t="shared" si="1"/>
        <v/>
      </c>
    </row>
    <row r="73" spans="1:28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tr">
        <f t="shared" si="1"/>
        <v/>
      </c>
    </row>
    <row r="74" spans="1:28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tr">
        <f t="shared" si="1"/>
        <v/>
      </c>
    </row>
    <row r="75" spans="1:28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tr">
        <f t="shared" si="1"/>
        <v/>
      </c>
    </row>
    <row r="76" spans="1:28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tr">
        <f t="shared" si="1"/>
        <v/>
      </c>
    </row>
    <row r="77" spans="1:28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tr">
        <f t="shared" si="1"/>
        <v/>
      </c>
    </row>
    <row r="78" spans="1:28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tr">
        <f t="shared" si="1"/>
        <v/>
      </c>
    </row>
    <row r="79" spans="1:28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tr">
        <f t="shared" si="1"/>
        <v/>
      </c>
    </row>
    <row r="80" spans="1:28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tr">
        <f t="shared" si="1"/>
        <v/>
      </c>
    </row>
    <row r="81" spans="1:28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tr">
        <f t="shared" si="1"/>
        <v/>
      </c>
    </row>
    <row r="82" spans="1:28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tr">
        <f t="shared" si="1"/>
        <v/>
      </c>
    </row>
    <row r="83" spans="1:28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tr">
        <f t="shared" si="1"/>
        <v/>
      </c>
    </row>
    <row r="84" spans="1:28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tr">
        <f t="shared" si="1"/>
        <v/>
      </c>
    </row>
    <row r="85" spans="1:28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tr">
        <f t="shared" si="1"/>
        <v/>
      </c>
    </row>
    <row r="86" spans="1:28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tr">
        <f t="shared" si="1"/>
        <v/>
      </c>
    </row>
    <row r="87" spans="1:28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tr">
        <f t="shared" si="1"/>
        <v/>
      </c>
    </row>
    <row r="88" spans="1:28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tr">
        <f t="shared" si="1"/>
        <v/>
      </c>
    </row>
    <row r="89" spans="1:28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tr">
        <f t="shared" si="1"/>
        <v/>
      </c>
    </row>
    <row r="90" spans="1:28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tr">
        <f t="shared" si="1"/>
        <v/>
      </c>
    </row>
    <row r="91" spans="1:28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tr">
        <f t="shared" si="1"/>
        <v/>
      </c>
    </row>
    <row r="92" spans="1:28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tr">
        <f t="shared" si="1"/>
        <v/>
      </c>
    </row>
    <row r="93" spans="1:28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tr">
        <f t="shared" si="1"/>
        <v/>
      </c>
    </row>
    <row r="94" spans="1:28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tr">
        <f t="shared" si="1"/>
        <v/>
      </c>
    </row>
    <row r="95" spans="1:28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tr">
        <f t="shared" si="1"/>
        <v/>
      </c>
    </row>
    <row r="96" spans="1:28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tr">
        <f t="shared" si="1"/>
        <v/>
      </c>
    </row>
    <row r="97" spans="1:28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tr">
        <f t="shared" si="1"/>
        <v/>
      </c>
    </row>
    <row r="98" spans="1:28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tr">
        <f t="shared" si="1"/>
        <v/>
      </c>
    </row>
    <row r="99" spans="1:28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tr">
        <f t="shared" si="1"/>
        <v/>
      </c>
    </row>
    <row r="100" spans="1:28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tr">
        <f t="shared" si="1"/>
        <v/>
      </c>
    </row>
    <row r="101" spans="1:28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tr">
        <f t="shared" si="1"/>
        <v/>
      </c>
    </row>
    <row r="102" spans="1:28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tr">
        <f t="shared" si="1"/>
        <v/>
      </c>
    </row>
    <row r="103" spans="1:28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tr">
        <f t="shared" si="1"/>
        <v/>
      </c>
    </row>
    <row r="104" spans="1:28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tr">
        <f t="shared" si="1"/>
        <v/>
      </c>
    </row>
    <row r="105" spans="1:28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tr">
        <f t="shared" si="1"/>
        <v/>
      </c>
    </row>
    <row r="106" spans="1:28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tr">
        <f t="shared" si="1"/>
        <v/>
      </c>
    </row>
    <row r="107" spans="1:28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tr">
        <f t="shared" si="1"/>
        <v/>
      </c>
    </row>
    <row r="108" spans="1:28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tr">
        <f t="shared" si="1"/>
        <v/>
      </c>
    </row>
    <row r="109" spans="1:28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tr">
        <f t="shared" si="1"/>
        <v/>
      </c>
    </row>
    <row r="110" spans="1:28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tr">
        <f t="shared" si="1"/>
        <v/>
      </c>
    </row>
    <row r="111" spans="1:28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tr">
        <f t="shared" si="1"/>
        <v/>
      </c>
    </row>
    <row r="112" spans="1:28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tr">
        <f t="shared" si="1"/>
        <v/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tr">
        <f t="shared" si="1"/>
        <v/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tr">
        <f t="shared" si="1"/>
        <v/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tr">
        <f t="shared" si="1"/>
        <v/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tr">
        <f t="shared" si="1"/>
        <v/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tr">
        <f t="shared" si="1"/>
        <v/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tr">
        <f t="shared" si="1"/>
        <v/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tr">
        <f t="shared" si="1"/>
        <v/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tr">
        <f t="shared" si="1"/>
        <v/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tr">
        <f t="shared" si="1"/>
        <v/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tr">
        <f t="shared" si="1"/>
        <v/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tr">
        <f t="shared" si="1"/>
        <v/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tr">
        <f t="shared" si="1"/>
        <v/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tr">
        <f t="shared" si="1"/>
        <v/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tr">
        <f t="shared" si="1"/>
        <v/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tr">
        <f t="shared" si="1"/>
        <v/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tr">
        <f t="shared" si="1"/>
        <v/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tr">
        <f t="shared" si="1"/>
        <v/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tr">
        <f t="shared" si="1"/>
        <v/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tr">
        <f t="shared" si="2"/>
        <v/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tr">
        <f t="shared" si="2"/>
        <v/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tr">
        <f t="shared" si="2"/>
        <v/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tr">
        <f t="shared" si="2"/>
        <v/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tr">
        <f t="shared" si="2"/>
        <v/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tr">
        <f t="shared" si="2"/>
        <v/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tr">
        <f t="shared" si="2"/>
        <v/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tr">
        <f t="shared" si="2"/>
        <v/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tr">
        <f t="shared" si="2"/>
        <v/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tr">
        <f t="shared" si="2"/>
        <v/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tr">
        <f t="shared" si="2"/>
        <v/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tr">
        <f t="shared" si="2"/>
        <v/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tr">
        <f t="shared" si="2"/>
        <v/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tr">
        <f t="shared" si="2"/>
        <v/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tr">
        <f t="shared" si="2"/>
        <v/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tr">
        <f t="shared" si="2"/>
        <v/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tr">
        <f t="shared" si="2"/>
        <v/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tr">
        <f t="shared" si="2"/>
        <v/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tr">
        <f t="shared" si="2"/>
        <v/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tr">
        <f t="shared" si="2"/>
        <v/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tr">
        <f t="shared" si="2"/>
        <v/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tr">
        <f t="shared" si="2"/>
        <v/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tr">
        <f t="shared" si="2"/>
        <v/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tr">
        <f t="shared" si="2"/>
        <v/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tr">
        <f t="shared" si="2"/>
        <v/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tr">
        <f t="shared" si="2"/>
        <v/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tr">
        <f t="shared" si="2"/>
        <v/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tr">
        <f t="shared" si="2"/>
        <v/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tr">
        <f t="shared" si="2"/>
        <v/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tr">
        <f t="shared" si="2"/>
        <v/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tr">
        <f t="shared" si="2"/>
        <v/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tr">
        <f t="shared" si="2"/>
        <v/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tr">
        <f t="shared" si="2"/>
        <v/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tr">
        <f t="shared" si="2"/>
        <v/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tr">
        <f t="shared" si="2"/>
        <v/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tr">
        <f t="shared" si="2"/>
        <v/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tr">
        <f t="shared" si="2"/>
        <v/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tr">
        <f t="shared" si="2"/>
        <v/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tr">
        <f t="shared" si="2"/>
        <v/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tr">
        <f t="shared" si="2"/>
        <v/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tr">
        <f t="shared" si="2"/>
        <v/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tr">
        <f t="shared" si="2"/>
        <v/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tr">
        <f t="shared" si="2"/>
        <v/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tr">
        <f t="shared" si="2"/>
        <v/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tr">
        <f t="shared" si="2"/>
        <v/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tr">
        <f t="shared" si="2"/>
        <v/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tr">
        <f t="shared" si="2"/>
        <v/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tr">
        <f t="shared" si="2"/>
        <v/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tr">
        <f t="shared" si="2"/>
        <v/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tr">
        <f t="shared" si="2"/>
        <v/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tr">
        <f t="shared" si="2"/>
        <v/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tr">
        <f t="shared" si="2"/>
        <v/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tr">
        <f t="shared" si="2"/>
        <v/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tr">
        <f t="shared" si="2"/>
        <v/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tr">
        <f t="shared" si="2"/>
        <v/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tr">
        <f t="shared" si="2"/>
        <v/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tr">
        <f t="shared" si="2"/>
        <v/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tr">
        <f t="shared" si="2"/>
        <v/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tr">
        <f t="shared" si="2"/>
        <v/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tr">
        <f t="shared" si="2"/>
        <v/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tr">
        <f t="shared" si="2"/>
        <v/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tr">
        <f t="shared" si="2"/>
        <v/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tr">
        <f t="shared" si="2"/>
        <v/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tr">
        <f t="shared" si="3"/>
        <v/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tr">
        <f t="shared" si="3"/>
        <v/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tr">
        <f t="shared" si="3"/>
        <v/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tr">
        <f t="shared" si="3"/>
        <v/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tr">
        <f t="shared" si="3"/>
        <v/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tr">
        <f t="shared" si="3"/>
        <v/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tr">
        <f t="shared" si="3"/>
        <v/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tr">
        <f t="shared" si="3"/>
        <v/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tr">
        <f t="shared" si="3"/>
        <v/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tr">
        <f t="shared" si="3"/>
        <v/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tr">
        <f t="shared" si="3"/>
        <v/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tr">
        <f t="shared" si="3"/>
        <v/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tr">
        <f t="shared" si="3"/>
        <v/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tr">
        <f t="shared" si="3"/>
        <v/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tr">
        <f t="shared" si="3"/>
        <v/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tr">
        <f t="shared" si="3"/>
        <v/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tr">
        <f t="shared" si="3"/>
        <v/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tr">
        <f t="shared" si="3"/>
        <v/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tr">
        <f t="shared" si="3"/>
        <v/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tr">
        <f t="shared" si="3"/>
        <v/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tr">
        <f t="shared" si="3"/>
        <v/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tr">
        <f t="shared" si="3"/>
        <v/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tr">
        <f t="shared" si="3"/>
        <v/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tr">
        <f t="shared" si="3"/>
        <v/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tr">
        <f t="shared" si="3"/>
        <v/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tr">
        <f t="shared" si="3"/>
        <v/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tr">
        <f t="shared" si="3"/>
        <v/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tr">
        <f t="shared" si="3"/>
        <v/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tr">
        <f t="shared" si="3"/>
        <v/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tr">
        <f t="shared" si="3"/>
        <v/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tr">
        <f t="shared" si="3"/>
        <v/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tr">
        <f t="shared" si="3"/>
        <v/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tr">
        <f t="shared" si="3"/>
        <v/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tr">
        <f t="shared" si="3"/>
        <v/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tr">
        <f t="shared" si="3"/>
        <v/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tr">
        <f t="shared" si="3"/>
        <v/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tr">
        <f t="shared" si="3"/>
        <v/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tr">
        <f t="shared" si="3"/>
        <v/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tr">
        <f t="shared" si="3"/>
        <v/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tr">
        <f t="shared" si="3"/>
        <v/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tr">
        <f t="shared" si="3"/>
        <v/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tr">
        <f t="shared" si="3"/>
        <v/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tr">
        <f t="shared" si="3"/>
        <v/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tr">
        <f t="shared" si="3"/>
        <v/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tr">
        <f t="shared" si="3"/>
        <v/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tr">
        <f t="shared" si="3"/>
        <v/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tr">
        <f t="shared" si="3"/>
        <v/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tr">
        <f t="shared" si="3"/>
        <v/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tr">
        <f t="shared" si="3"/>
        <v/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tr">
        <f t="shared" si="3"/>
        <v/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tr">
        <f t="shared" si="3"/>
        <v/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tr">
        <f t="shared" si="3"/>
        <v/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tr">
        <f t="shared" si="3"/>
        <v/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tr">
        <f t="shared" si="3"/>
        <v/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tr">
        <f t="shared" si="3"/>
        <v/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tr">
        <f t="shared" si="3"/>
        <v/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tr">
        <f t="shared" si="3"/>
        <v/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tr">
        <f t="shared" si="3"/>
        <v/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tr">
        <f t="shared" si="3"/>
        <v/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tr">
        <f t="shared" si="3"/>
        <v/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tr">
        <f t="shared" si="3"/>
        <v/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tr">
        <f t="shared" si="3"/>
        <v/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tr">
        <f t="shared" si="3"/>
        <v/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tr">
        <f t="shared" si="4"/>
        <v/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tr">
        <f t="shared" si="4"/>
        <v/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tr">
        <f t="shared" si="4"/>
        <v/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tr">
        <f t="shared" si="4"/>
        <v/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tr">
        <f t="shared" si="4"/>
        <v/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tr">
        <f t="shared" si="4"/>
        <v/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tr">
        <f t="shared" si="4"/>
        <v/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tr">
        <f t="shared" si="4"/>
        <v/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tr">
        <f t="shared" si="4"/>
        <v/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tr">
        <f t="shared" si="4"/>
        <v/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tr">
        <f t="shared" si="4"/>
        <v/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tr">
        <f t="shared" si="4"/>
        <v/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tr">
        <f t="shared" si="4"/>
        <v/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tr">
        <f t="shared" si="4"/>
        <v/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tr">
        <f t="shared" si="4"/>
        <v/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tr">
        <f t="shared" si="4"/>
        <v/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tr">
        <f t="shared" si="4"/>
        <v/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tr">
        <f t="shared" si="4"/>
        <v/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tr">
        <f t="shared" si="4"/>
        <v/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tr">
        <f t="shared" si="4"/>
        <v/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tr">
        <f t="shared" si="4"/>
        <v/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tr">
        <f t="shared" si="4"/>
        <v/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tr">
        <f t="shared" si="4"/>
        <v/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tr">
        <f t="shared" si="4"/>
        <v/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tr">
        <f t="shared" si="4"/>
        <v/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tr">
        <f t="shared" si="4"/>
        <v/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tr">
        <f t="shared" si="4"/>
        <v/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tr">
        <f t="shared" si="4"/>
        <v/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tr">
        <f t="shared" si="4"/>
        <v/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tr">
        <f t="shared" si="4"/>
        <v/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tr">
        <f t="shared" si="4"/>
        <v/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tr">
        <f t="shared" si="4"/>
        <v/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tr">
        <f t="shared" si="4"/>
        <v/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tr">
        <f t="shared" si="4"/>
        <v/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tr">
        <f t="shared" si="4"/>
        <v/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tr">
        <f t="shared" si="4"/>
        <v/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tr">
        <f t="shared" si="4"/>
        <v/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tr">
        <f t="shared" si="4"/>
        <v/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tr">
        <f t="shared" si="4"/>
        <v/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tr">
        <f t="shared" si="4"/>
        <v/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tr">
        <f t="shared" si="4"/>
        <v/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tr">
        <f t="shared" si="4"/>
        <v/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tr">
        <f t="shared" si="4"/>
        <v/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tr">
        <f t="shared" si="4"/>
        <v/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tr">
        <f t="shared" si="4"/>
        <v/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tr">
        <f t="shared" si="4"/>
        <v/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tr">
        <f t="shared" si="4"/>
        <v/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tr">
        <f t="shared" si="4"/>
        <v/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tr">
        <f t="shared" si="4"/>
        <v/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tr">
        <f t="shared" si="4"/>
        <v/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tr">
        <f t="shared" si="4"/>
        <v/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tr">
        <f t="shared" si="4"/>
        <v/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tr">
        <f t="shared" si="4"/>
        <v/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tr">
        <f t="shared" si="4"/>
        <v/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tr">
        <f t="shared" si="4"/>
        <v/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tr">
        <f t="shared" si="4"/>
        <v/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tr">
        <f t="shared" si="4"/>
        <v/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tr">
        <f t="shared" si="4"/>
        <v/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tr">
        <f t="shared" si="4"/>
        <v/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tr">
        <f t="shared" si="4"/>
        <v/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tr">
        <f t="shared" si="4"/>
        <v/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tr">
        <f t="shared" si="4"/>
        <v/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tr">
        <f t="shared" si="4"/>
        <v/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tr">
        <f t="shared" si="5"/>
        <v/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tr">
        <f t="shared" si="5"/>
        <v/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tr">
        <f t="shared" si="5"/>
        <v/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tr">
        <f t="shared" si="5"/>
        <v/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tr">
        <f t="shared" si="5"/>
        <v/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tr">
        <f t="shared" si="5"/>
        <v/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tr">
        <f t="shared" si="5"/>
        <v/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tr">
        <f t="shared" si="5"/>
        <v/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tr">
        <f t="shared" si="5"/>
        <v/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tr">
        <f t="shared" si="5"/>
        <v/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tr">
        <f t="shared" si="5"/>
        <v/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tr">
        <f t="shared" si="5"/>
        <v/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tr">
        <f t="shared" si="5"/>
        <v/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tr">
        <f t="shared" si="5"/>
        <v/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tr">
        <f t="shared" si="5"/>
        <v/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tr">
        <f t="shared" si="5"/>
        <v/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tr">
        <f t="shared" si="5"/>
        <v/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tr">
        <f t="shared" si="5"/>
        <v/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tr">
        <f t="shared" si="5"/>
        <v/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tr">
        <f t="shared" si="5"/>
        <v/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tr">
        <f t="shared" si="5"/>
        <v/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tr">
        <f t="shared" si="5"/>
        <v/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tr">
        <f t="shared" si="5"/>
        <v/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tr">
        <f t="shared" si="5"/>
        <v/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tr">
        <f t="shared" si="5"/>
        <v/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tr">
        <f t="shared" si="5"/>
        <v/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tr">
        <f t="shared" si="5"/>
        <v/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tr">
        <f t="shared" si="5"/>
        <v/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tr">
        <f t="shared" si="5"/>
        <v/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tr">
        <f t="shared" si="5"/>
        <v/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tr">
        <f t="shared" si="5"/>
        <v/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tr">
        <f t="shared" si="5"/>
        <v/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tr">
        <f t="shared" si="5"/>
        <v/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tr">
        <f t="shared" si="5"/>
        <v/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tr">
        <f t="shared" si="5"/>
        <v/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tr">
        <f t="shared" si="5"/>
        <v/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tr">
        <f t="shared" si="5"/>
        <v/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tr">
        <f t="shared" si="5"/>
        <v/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tr">
        <f t="shared" si="5"/>
        <v/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tr">
        <f t="shared" si="5"/>
        <v/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tr">
        <f t="shared" si="5"/>
        <v/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tr">
        <f t="shared" si="5"/>
        <v/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tr">
        <f t="shared" si="5"/>
        <v/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tr">
        <f t="shared" si="5"/>
        <v/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tr">
        <f t="shared" si="5"/>
        <v/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tr">
        <f t="shared" si="5"/>
        <v/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tr">
        <f t="shared" si="5"/>
        <v/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tr">
        <f t="shared" si="5"/>
        <v/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tr">
        <f t="shared" si="5"/>
        <v/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tr">
        <f t="shared" si="5"/>
        <v/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tr">
        <f t="shared" si="5"/>
        <v/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tr">
        <f t="shared" si="5"/>
        <v/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tr">
        <f t="shared" si="5"/>
        <v/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tr">
        <f t="shared" si="5"/>
        <v/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tr">
        <f t="shared" si="5"/>
        <v/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tr">
        <f t="shared" si="5"/>
        <v/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tr">
        <f t="shared" si="5"/>
        <v/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tr">
        <f t="shared" si="5"/>
        <v/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tr">
        <f t="shared" si="5"/>
        <v/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tr">
        <f t="shared" si="5"/>
        <v/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tr">
        <f t="shared" si="5"/>
        <v/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tr">
        <f t="shared" si="5"/>
        <v/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tr">
        <f t="shared" si="5"/>
        <v/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tr">
        <f t="shared" si="6"/>
        <v/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tr">
        <f t="shared" si="6"/>
        <v/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tr">
        <f t="shared" si="6"/>
        <v/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tr">
        <f t="shared" si="6"/>
        <v/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tr">
        <f t="shared" si="6"/>
        <v/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tr">
        <f t="shared" si="6"/>
        <v/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tr">
        <f t="shared" si="6"/>
        <v/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tr">
        <f t="shared" si="6"/>
        <v/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tr">
        <f t="shared" si="6"/>
        <v/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tr">
        <f t="shared" si="6"/>
        <v/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tr">
        <f t="shared" si="6"/>
        <v/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tr">
        <f t="shared" si="6"/>
        <v/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tr">
        <f t="shared" si="6"/>
        <v/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tr">
        <f t="shared" si="6"/>
        <v/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tr">
        <f t="shared" si="6"/>
        <v/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tr">
        <f t="shared" si="6"/>
        <v/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tr">
        <f t="shared" si="6"/>
        <v/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tr">
        <f t="shared" si="6"/>
        <v/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tr">
        <f t="shared" si="6"/>
        <v/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tr">
        <f t="shared" si="6"/>
        <v/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tr">
        <f t="shared" si="6"/>
        <v/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tr">
        <f t="shared" si="6"/>
        <v/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tr">
        <f t="shared" si="6"/>
        <v/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tr">
        <f t="shared" si="6"/>
        <v/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tr">
        <f t="shared" si="6"/>
        <v/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tr">
        <f t="shared" si="6"/>
        <v/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tr">
        <f t="shared" si="6"/>
        <v/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tr">
        <f t="shared" si="6"/>
        <v/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tr">
        <f t="shared" si="6"/>
        <v/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tr">
        <f t="shared" si="6"/>
        <v/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tr">
        <f t="shared" si="6"/>
        <v/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tr">
        <f t="shared" si="6"/>
        <v/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tr">
        <f t="shared" si="6"/>
        <v/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tr">
        <f t="shared" si="6"/>
        <v/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tr">
        <f t="shared" si="6"/>
        <v/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tr">
        <f t="shared" si="6"/>
        <v/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tr">
        <f t="shared" si="6"/>
        <v/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tr">
        <f t="shared" si="6"/>
        <v/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tr">
        <f t="shared" si="6"/>
        <v/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tr">
        <f t="shared" si="6"/>
        <v/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tr">
        <f t="shared" si="6"/>
        <v/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tr">
        <f t="shared" si="6"/>
        <v/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tr">
        <f t="shared" si="6"/>
        <v/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tr">
        <f t="shared" si="6"/>
        <v/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tr">
        <f t="shared" si="6"/>
        <v/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tr">
        <f t="shared" si="6"/>
        <v/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tr">
        <f t="shared" si="6"/>
        <v/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tr">
        <f t="shared" si="6"/>
        <v/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tr">
        <f t="shared" si="6"/>
        <v/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tr">
        <f t="shared" si="6"/>
        <v/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tr">
        <f t="shared" si="6"/>
        <v/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tr">
        <f t="shared" si="6"/>
        <v/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tr">
        <f t="shared" si="6"/>
        <v/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tr">
        <f t="shared" si="6"/>
        <v/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tr">
        <f t="shared" si="6"/>
        <v/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tr">
        <f t="shared" si="6"/>
        <v/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tr">
        <f t="shared" si="6"/>
        <v/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tr">
        <f t="shared" si="6"/>
        <v/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tr">
        <f t="shared" si="6"/>
        <v/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tr">
        <f t="shared" si="6"/>
        <v/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tr">
        <f t="shared" si="6"/>
        <v/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tr">
        <f t="shared" si="6"/>
        <v/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tr">
        <f t="shared" si="6"/>
        <v/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tr">
        <f t="shared" si="7"/>
        <v/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tr">
        <f t="shared" si="7"/>
        <v/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tr">
        <f t="shared" si="7"/>
        <v/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tr">
        <f t="shared" si="7"/>
        <v/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tr">
        <f t="shared" si="7"/>
        <v/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tr">
        <f t="shared" si="7"/>
        <v/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tr">
        <f t="shared" si="7"/>
        <v/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tr">
        <f t="shared" si="7"/>
        <v/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tr">
        <f t="shared" si="7"/>
        <v/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tr">
        <f t="shared" si="7"/>
        <v/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tr">
        <f t="shared" si="7"/>
        <v/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tr">
        <f t="shared" si="7"/>
        <v/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tr">
        <f t="shared" si="7"/>
        <v/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tr">
        <f t="shared" si="7"/>
        <v/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tr">
        <f t="shared" si="7"/>
        <v/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tr">
        <f t="shared" si="7"/>
        <v/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tr">
        <f t="shared" si="7"/>
        <v/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tr">
        <f t="shared" si="7"/>
        <v/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tr">
        <f t="shared" si="7"/>
        <v/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tr">
        <f t="shared" si="7"/>
        <v/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tr">
        <f t="shared" si="7"/>
        <v/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tr">
        <f t="shared" si="7"/>
        <v/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tr">
        <f t="shared" si="7"/>
        <v/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tr">
        <f t="shared" si="7"/>
        <v/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tr">
        <f t="shared" si="7"/>
        <v/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tr">
        <f t="shared" si="7"/>
        <v/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tr">
        <f t="shared" si="7"/>
        <v/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tr">
        <f t="shared" si="7"/>
        <v/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tr">
        <f t="shared" si="7"/>
        <v/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tr">
        <f t="shared" si="7"/>
        <v/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tr">
        <f t="shared" si="7"/>
        <v/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tr">
        <f t="shared" si="7"/>
        <v/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tr">
        <f t="shared" si="7"/>
        <v/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tr">
        <f t="shared" si="7"/>
        <v/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tr">
        <f t="shared" si="7"/>
        <v/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tr">
        <f t="shared" si="7"/>
        <v/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tr">
        <f t="shared" si="7"/>
        <v/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tr">
        <f t="shared" si="7"/>
        <v/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tr">
        <f t="shared" si="7"/>
        <v/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tr">
        <f t="shared" si="7"/>
        <v/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tr">
        <f t="shared" si="7"/>
        <v/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tr">
        <f t="shared" si="7"/>
        <v/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tr">
        <f t="shared" si="7"/>
        <v/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tr">
        <f t="shared" si="7"/>
        <v/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tr">
        <f t="shared" si="7"/>
        <v/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tr">
        <f t="shared" si="7"/>
        <v/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tr">
        <f t="shared" si="7"/>
        <v/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tr">
        <f t="shared" si="7"/>
        <v/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tr">
        <f t="shared" si="7"/>
        <v/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tr">
        <f t="shared" si="7"/>
        <v/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tr">
        <f t="shared" si="7"/>
        <v/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tr">
        <f t="shared" si="7"/>
        <v/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tr">
        <f t="shared" si="7"/>
        <v/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tr">
        <f t="shared" si="7"/>
        <v/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tr">
        <f t="shared" si="7"/>
        <v/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tr">
        <f t="shared" si="7"/>
        <v/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tr">
        <f t="shared" si="7"/>
        <v/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tr">
        <f t="shared" si="7"/>
        <v/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tr">
        <f t="shared" si="7"/>
        <v/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tr">
        <f t="shared" si="7"/>
        <v/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tr">
        <f t="shared" si="7"/>
        <v/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tr">
        <f t="shared" si="7"/>
        <v/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tr">
        <f t="shared" si="7"/>
        <v/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tr">
        <f t="shared" si="8"/>
        <v/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tr">
        <f t="shared" si="8"/>
        <v/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tr">
        <f t="shared" si="8"/>
        <v/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tr">
        <f t="shared" si="8"/>
        <v/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tr">
        <f t="shared" si="8"/>
        <v/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tr">
        <f t="shared" si="8"/>
        <v/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tr">
        <f t="shared" si="8"/>
        <v/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tr">
        <f t="shared" si="8"/>
        <v/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tr">
        <f t="shared" si="8"/>
        <v/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tr">
        <f t="shared" si="8"/>
        <v/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tr">
        <f t="shared" si="8"/>
        <v/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tr">
        <f t="shared" si="8"/>
        <v/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tr">
        <f t="shared" si="8"/>
        <v/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tr">
        <f t="shared" si="8"/>
        <v/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tr">
        <f t="shared" si="8"/>
        <v/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tr">
        <f t="shared" si="8"/>
        <v/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tr">
        <f t="shared" si="8"/>
        <v/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t="str">
        <f t="shared" si="8"/>
        <v/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tr">
        <f t="shared" si="8"/>
        <v/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 t="str">
        <f t="shared" si="8"/>
        <v/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t="str">
        <f t="shared" si="8"/>
        <v/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t="str">
        <f t="shared" si="8"/>
        <v/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tr">
        <f t="shared" si="8"/>
        <v/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t="str">
        <f t="shared" si="8"/>
        <v/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 t="str">
        <f t="shared" si="8"/>
        <v/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 t="str">
        <f t="shared" si="8"/>
        <v/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tr">
        <f t="shared" si="8"/>
        <v/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t="str">
        <f t="shared" si="8"/>
        <v/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 t="str">
        <f t="shared" si="8"/>
        <v/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t="str">
        <f t="shared" si="8"/>
        <v/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tr">
        <f t="shared" si="8"/>
        <v/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t="str">
        <f t="shared" si="8"/>
        <v/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t="str">
        <f t="shared" si="8"/>
        <v/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t="str">
        <f t="shared" si="8"/>
        <v/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tr">
        <f t="shared" si="8"/>
        <v/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t="str">
        <f t="shared" si="8"/>
        <v/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t="str">
        <f t="shared" si="8"/>
        <v/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 t="str">
        <f t="shared" si="8"/>
        <v/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tr">
        <f t="shared" si="8"/>
        <v/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t="str">
        <f t="shared" si="8"/>
        <v/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 t="str">
        <f t="shared" si="8"/>
        <v/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 t="str">
        <f t="shared" si="8"/>
        <v/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tr">
        <f t="shared" si="8"/>
        <v/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tr">
        <f t="shared" si="8"/>
        <v/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 t="str">
        <f t="shared" si="8"/>
        <v/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t="str">
        <f t="shared" si="8"/>
        <v/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tr">
        <f t="shared" si="8"/>
        <v/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tr">
        <f t="shared" si="8"/>
        <v/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t="str">
        <f t="shared" si="8"/>
        <v/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t="str">
        <f t="shared" si="8"/>
        <v/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tr">
        <f t="shared" si="8"/>
        <v/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tr">
        <f t="shared" si="8"/>
        <v/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t="str">
        <f t="shared" si="8"/>
        <v/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tr">
        <f t="shared" si="8"/>
        <v/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 t="str">
        <f t="shared" si="8"/>
        <v/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tr">
        <f t="shared" si="8"/>
        <v/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 t="str">
        <f t="shared" si="8"/>
        <v/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t="str">
        <f t="shared" si="8"/>
        <v/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 t="str">
        <f t="shared" si="8"/>
        <v/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 t="str">
        <f t="shared" si="8"/>
        <v/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tr">
        <f t="shared" si="8"/>
        <v/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t="str">
        <f t="shared" si="8"/>
        <v/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t="str">
        <f t="shared" si="8"/>
        <v/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t="str">
        <f t="shared" si="9"/>
        <v/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t="str">
        <f t="shared" si="9"/>
        <v/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t="str">
        <f t="shared" si="9"/>
        <v/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 t="str">
        <f t="shared" si="9"/>
        <v/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tr">
        <f t="shared" si="9"/>
        <v/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 t="str">
        <f t="shared" si="9"/>
        <v/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 t="str">
        <f t="shared" si="9"/>
        <v/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 t="str">
        <f t="shared" si="9"/>
        <v/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tr">
        <f t="shared" si="9"/>
        <v/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 t="str">
        <f t="shared" si="9"/>
        <v/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 t="str">
        <f t="shared" si="9"/>
        <v/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 t="str">
        <f t="shared" si="9"/>
        <v/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tr">
        <f t="shared" si="9"/>
        <v/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 t="str">
        <f t="shared" si="9"/>
        <v/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t="str">
        <f t="shared" si="9"/>
        <v/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 t="str">
        <f t="shared" si="9"/>
        <v/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 t="str">
        <f t="shared" si="9"/>
        <v/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 t="str">
        <f t="shared" si="9"/>
        <v/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 t="str">
        <f t="shared" si="9"/>
        <v/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 t="str">
        <f t="shared" si="9"/>
        <v/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t="str">
        <f t="shared" si="9"/>
        <v/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 t="str">
        <f t="shared" si="9"/>
        <v/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 t="str">
        <f t="shared" si="9"/>
        <v/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tr">
        <f t="shared" si="9"/>
        <v/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t="str">
        <f t="shared" si="9"/>
        <v/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tr">
        <f t="shared" si="9"/>
        <v/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 t="str">
        <f t="shared" si="9"/>
        <v/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 t="str">
        <f t="shared" si="9"/>
        <v/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t="str">
        <f t="shared" si="9"/>
        <v/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tr">
        <f t="shared" si="9"/>
        <v/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tr">
        <f t="shared" si="9"/>
        <v/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 t="str">
        <f t="shared" si="9"/>
        <v/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t="str">
        <f t="shared" si="9"/>
        <v/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tr">
        <f t="shared" si="9"/>
        <v/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t="str">
        <f t="shared" si="9"/>
        <v/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 t="str">
        <f t="shared" si="9"/>
        <v/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t="str">
        <f t="shared" si="9"/>
        <v/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tr">
        <f t="shared" si="9"/>
        <v/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tr">
        <f t="shared" si="9"/>
        <v/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 t="str">
        <f t="shared" si="9"/>
        <v/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 t="str">
        <f t="shared" si="9"/>
        <v/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 t="str">
        <f t="shared" si="9"/>
        <v/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tr">
        <f t="shared" si="9"/>
        <v/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t="str">
        <f t="shared" si="9"/>
        <v/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 t="str">
        <f t="shared" si="9"/>
        <v/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 t="str">
        <f t="shared" si="9"/>
        <v/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tr">
        <f t="shared" si="9"/>
        <v/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 t="str">
        <f t="shared" si="9"/>
        <v/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 t="str">
        <f t="shared" si="9"/>
        <v/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t="str">
        <f t="shared" si="9"/>
        <v/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tr">
        <f t="shared" si="9"/>
        <v/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 t="str">
        <f t="shared" si="9"/>
        <v/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tr">
        <f t="shared" si="9"/>
        <v/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tr">
        <f t="shared" si="9"/>
        <v/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tr">
        <f t="shared" si="9"/>
        <v/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t="str">
        <f t="shared" si="9"/>
        <v/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t="str">
        <f t="shared" si="9"/>
        <v/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t="str">
        <f t="shared" si="9"/>
        <v/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t="str">
        <f t="shared" si="9"/>
        <v/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t="str">
        <f t="shared" si="9"/>
        <v/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 t="str">
        <f t="shared" si="9"/>
        <v/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 t="str">
        <f t="shared" si="9"/>
        <v/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 t="str">
        <f t="shared" si="9"/>
        <v/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 t="str">
        <f t="shared" si="10"/>
        <v/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 t="str">
        <f t="shared" si="10"/>
        <v/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 t="str">
        <f t="shared" si="10"/>
        <v/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tr">
        <f t="shared" si="10"/>
        <v/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 t="str">
        <f t="shared" si="10"/>
        <v/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 t="str">
        <f t="shared" si="10"/>
        <v/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 t="str">
        <f t="shared" si="10"/>
        <v/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tr">
        <f t="shared" si="10"/>
        <v/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 t="str">
        <f t="shared" si="10"/>
        <v/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 t="str">
        <f t="shared" si="10"/>
        <v/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 t="str">
        <f t="shared" si="10"/>
        <v/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tr">
        <f t="shared" si="10"/>
        <v/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 t="str">
        <f t="shared" si="10"/>
        <v/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 t="str">
        <f t="shared" si="10"/>
        <v/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 t="str">
        <f t="shared" si="10"/>
        <v/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 t="str">
        <f t="shared" si="10"/>
        <v/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 t="str">
        <f t="shared" si="10"/>
        <v/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t="str">
        <f t="shared" si="10"/>
        <v/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 t="str">
        <f t="shared" si="10"/>
        <v/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 t="str">
        <f t="shared" si="10"/>
        <v/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 t="str">
        <f t="shared" si="10"/>
        <v/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 t="str">
        <f t="shared" si="10"/>
        <v/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 t="str">
        <f t="shared" si="10"/>
        <v/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 t="str">
        <f t="shared" si="10"/>
        <v/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tr">
        <f t="shared" si="10"/>
        <v/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t="str">
        <f t="shared" si="10"/>
        <v/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 t="str">
        <f t="shared" si="10"/>
        <v/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 t="str">
        <f t="shared" si="10"/>
        <v/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tr">
        <f t="shared" si="10"/>
        <v/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 t="str">
        <f t="shared" si="10"/>
        <v/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 t="str">
        <f t="shared" si="10"/>
        <v/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 t="str">
        <f t="shared" si="10"/>
        <v/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tr">
        <f t="shared" si="10"/>
        <v/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 t="str">
        <f t="shared" si="10"/>
        <v/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 t="str">
        <f t="shared" si="10"/>
        <v/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tr">
        <f t="shared" si="10"/>
        <v/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tr">
        <f t="shared" si="10"/>
        <v/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 t="str">
        <f t="shared" si="10"/>
        <v/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tr">
        <f t="shared" si="10"/>
        <v/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 t="str">
        <f t="shared" si="10"/>
        <v/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 t="str">
        <f t="shared" si="10"/>
        <v/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 t="str">
        <f t="shared" si="10"/>
        <v/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 t="str">
        <f t="shared" si="10"/>
        <v/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 t="str">
        <f t="shared" si="10"/>
        <v/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 t="str">
        <f t="shared" si="10"/>
        <v/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tr">
        <f t="shared" si="10"/>
        <v/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 t="str">
        <f t="shared" si="10"/>
        <v/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 t="str">
        <f t="shared" si="10"/>
        <v/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 t="str">
        <f t="shared" si="10"/>
        <v/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tr">
        <f t="shared" si="10"/>
        <v/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 t="str">
        <f t="shared" si="10"/>
        <v/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 t="str">
        <f t="shared" si="10"/>
        <v/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 t="str">
        <f t="shared" si="10"/>
        <v/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tr">
        <f t="shared" si="10"/>
        <v/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 t="str">
        <f t="shared" si="10"/>
        <v/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 t="str">
        <f t="shared" si="10"/>
        <v/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tr">
        <f t="shared" si="10"/>
        <v/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 t="str">
        <f t="shared" si="10"/>
        <v/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 t="str">
        <f t="shared" si="10"/>
        <v/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 t="str">
        <f t="shared" si="10"/>
        <v/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t="str">
        <f t="shared" si="10"/>
        <v/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t="str">
        <f t="shared" si="10"/>
        <v/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 t="str">
        <f t="shared" si="10"/>
        <v/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 t="str">
        <f t="shared" si="11"/>
        <v/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 t="str">
        <f t="shared" si="11"/>
        <v/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tr">
        <f t="shared" si="11"/>
        <v/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 t="str">
        <f t="shared" si="11"/>
        <v/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t="str">
        <f t="shared" si="11"/>
        <v/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tr">
        <f t="shared" si="11"/>
        <v/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tr">
        <f t="shared" si="11"/>
        <v/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 t="str">
        <f t="shared" si="11"/>
        <v/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 t="str">
        <f t="shared" si="11"/>
        <v/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 t="str">
        <f t="shared" si="11"/>
        <v/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tr">
        <f t="shared" si="11"/>
        <v/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 t="str">
        <f t="shared" si="11"/>
        <v/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 t="str">
        <f t="shared" si="11"/>
        <v/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 t="str">
        <f t="shared" si="11"/>
        <v/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 t="str">
        <f t="shared" si="11"/>
        <v/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 t="str">
        <f t="shared" si="11"/>
        <v/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 t="str">
        <f t="shared" si="11"/>
        <v/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 t="str">
        <f t="shared" si="11"/>
        <v/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 t="str">
        <f t="shared" si="11"/>
        <v/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 t="str">
        <f t="shared" si="11"/>
        <v/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t="str">
        <f t="shared" si="11"/>
        <v/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 t="str">
        <f t="shared" si="11"/>
        <v/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 t="str">
        <f t="shared" si="11"/>
        <v/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tr">
        <f t="shared" si="11"/>
        <v/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tr">
        <f t="shared" si="11"/>
        <v/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t="str">
        <f t="shared" si="11"/>
        <v/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 t="str">
        <f t="shared" si="11"/>
        <v/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tr">
        <f t="shared" si="11"/>
        <v/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t="str">
        <f t="shared" si="11"/>
        <v/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t="str">
        <f t="shared" si="11"/>
        <v/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 t="str">
        <f t="shared" si="11"/>
        <v/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tr">
        <f t="shared" si="11"/>
        <v/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 t="str">
        <f t="shared" si="11"/>
        <v/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 t="str">
        <f t="shared" si="11"/>
        <v/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t="str">
        <f t="shared" si="11"/>
        <v/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t="str">
        <f t="shared" si="11"/>
        <v/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t="str">
        <f t="shared" si="11"/>
        <v/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 t="str">
        <f t="shared" si="11"/>
        <v/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 t="str">
        <f t="shared" si="11"/>
        <v/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t="str">
        <f t="shared" si="11"/>
        <v/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t="str">
        <f t="shared" si="11"/>
        <v/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t="str">
        <f t="shared" si="11"/>
        <v/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tr">
        <f t="shared" si="11"/>
        <v/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t="str">
        <f t="shared" si="11"/>
        <v/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tr">
        <f t="shared" si="11"/>
        <v/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 t="str">
        <f t="shared" si="11"/>
        <v/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 t="str">
        <f t="shared" si="11"/>
        <v/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 t="str">
        <f t="shared" si="11"/>
        <v/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tr">
        <f t="shared" si="11"/>
        <v/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t="str">
        <f t="shared" si="11"/>
        <v/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 t="str">
        <f t="shared" si="11"/>
        <v/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t="str">
        <f t="shared" si="11"/>
        <v/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tr">
        <f t="shared" si="11"/>
        <v/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t="str">
        <f t="shared" si="11"/>
        <v/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t="str">
        <f t="shared" si="11"/>
        <v/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t="str">
        <f t="shared" si="11"/>
        <v/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 t="str">
        <f t="shared" si="11"/>
        <v/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t="str">
        <f t="shared" si="11"/>
        <v/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t="str">
        <f t="shared" si="11"/>
        <v/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 t="str">
        <f t="shared" si="11"/>
        <v/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 t="str">
        <f t="shared" si="11"/>
        <v/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 t="str">
        <f t="shared" si="11"/>
        <v/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t="str">
        <f t="shared" si="11"/>
        <v/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 t="str">
        <f t="shared" si="12"/>
        <v/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tr">
        <f t="shared" si="12"/>
        <v/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 t="str">
        <f t="shared" si="12"/>
        <v/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tr">
        <f t="shared" si="12"/>
        <v/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tr">
        <f t="shared" si="12"/>
        <v/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tr">
        <f t="shared" si="12"/>
        <v/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 t="str">
        <f t="shared" si="12"/>
        <v/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 t="str">
        <f t="shared" si="12"/>
        <v/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 t="str">
        <f t="shared" si="12"/>
        <v/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tr">
        <f t="shared" si="12"/>
        <v/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t="str">
        <f t="shared" si="12"/>
        <v/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 t="str">
        <f t="shared" si="12"/>
        <v/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 t="str">
        <f t="shared" si="12"/>
        <v/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 t="str">
        <f t="shared" si="12"/>
        <v/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 t="str">
        <f t="shared" si="12"/>
        <v/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 t="str">
        <f t="shared" si="12"/>
        <v/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 t="str">
        <f t="shared" si="12"/>
        <v/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 t="str">
        <f t="shared" si="12"/>
        <v/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t="str">
        <f t="shared" si="12"/>
        <v/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t="str">
        <f t="shared" si="12"/>
        <v/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 t="str">
        <f t="shared" si="12"/>
        <v/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t="str">
        <f t="shared" si="12"/>
        <v/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tr">
        <f t="shared" si="12"/>
        <v/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 t="str">
        <f t="shared" si="12"/>
        <v/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 t="str">
        <f t="shared" si="12"/>
        <v/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 t="str">
        <f t="shared" si="12"/>
        <v/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tr">
        <f t="shared" si="12"/>
        <v/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 t="str">
        <f t="shared" si="12"/>
        <v/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t="str">
        <f t="shared" si="12"/>
        <v/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t="str">
        <f t="shared" si="12"/>
        <v/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tr">
        <f t="shared" si="12"/>
        <v/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 t="str">
        <f t="shared" si="12"/>
        <v/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t="str">
        <f t="shared" si="12"/>
        <v/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 t="str">
        <f t="shared" si="12"/>
        <v/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t="str">
        <f t="shared" si="12"/>
        <v/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t="str">
        <f t="shared" si="12"/>
        <v/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t="str">
        <f t="shared" si="12"/>
        <v/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t="str">
        <f t="shared" si="12"/>
        <v/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 t="str">
        <f t="shared" si="12"/>
        <v/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t="str">
        <f t="shared" si="12"/>
        <v/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 t="str">
        <f t="shared" si="12"/>
        <v/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t="str">
        <f t="shared" si="12"/>
        <v/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 t="str">
        <f t="shared" si="12"/>
        <v/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tr">
        <f t="shared" si="12"/>
        <v/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 t="str">
        <f t="shared" si="12"/>
        <v/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t="str">
        <f t="shared" si="12"/>
        <v/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t="str">
        <f t="shared" si="12"/>
        <v/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tr">
        <f t="shared" si="12"/>
        <v/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tr">
        <f t="shared" si="12"/>
        <v/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 t="str">
        <f t="shared" si="12"/>
        <v/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t="str">
        <f t="shared" si="12"/>
        <v/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tr">
        <f t="shared" si="12"/>
        <v/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t="str">
        <f t="shared" si="12"/>
        <v/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t="str">
        <f t="shared" si="12"/>
        <v/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t="str">
        <f t="shared" si="12"/>
        <v/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t="str">
        <f t="shared" si="12"/>
        <v/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 t="str">
        <f t="shared" si="12"/>
        <v/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 t="str">
        <f t="shared" si="12"/>
        <v/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t="str">
        <f t="shared" si="12"/>
        <v/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 t="str">
        <f t="shared" si="12"/>
        <v/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t="str">
        <f t="shared" si="12"/>
        <v/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t="str">
        <f t="shared" si="12"/>
        <v/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 t="str">
        <f t="shared" si="12"/>
        <v/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tr">
        <f t="shared" si="13"/>
        <v/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 t="str">
        <f t="shared" si="13"/>
        <v/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t="str">
        <f t="shared" si="13"/>
        <v/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t="str">
        <f t="shared" si="13"/>
        <v/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tr">
        <f t="shared" si="13"/>
        <v/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 t="str">
        <f t="shared" si="13"/>
        <v/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t="str">
        <f t="shared" si="13"/>
        <v/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t="str">
        <f t="shared" si="13"/>
        <v/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tr">
        <f t="shared" si="13"/>
        <v/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t="str">
        <f t="shared" si="13"/>
        <v/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t="str">
        <f t="shared" si="13"/>
        <v/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 t="str">
        <f t="shared" si="13"/>
        <v/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 t="str">
        <f t="shared" si="13"/>
        <v/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t="str">
        <f t="shared" si="13"/>
        <v/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t="str">
        <f t="shared" si="13"/>
        <v/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t="str">
        <f t="shared" si="13"/>
        <v/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t="str">
        <f t="shared" si="13"/>
        <v/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t="str">
        <f t="shared" si="13"/>
        <v/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 t="str">
        <f t="shared" si="13"/>
        <v/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t="str">
        <f t="shared" si="13"/>
        <v/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 t="str">
        <f t="shared" si="13"/>
        <v/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tr">
        <f t="shared" si="13"/>
        <v/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t="str">
        <f t="shared" si="13"/>
        <v/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t="str">
        <f t="shared" si="13"/>
        <v/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t="str">
        <f t="shared" si="13"/>
        <v/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tr">
        <f t="shared" si="13"/>
        <v/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t="str">
        <f t="shared" si="13"/>
        <v/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tr">
        <f t="shared" si="13"/>
        <v/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tr">
        <f t="shared" si="13"/>
        <v/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tr">
        <f t="shared" si="13"/>
        <v/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 t="str">
        <f t="shared" si="13"/>
        <v/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t="str">
        <f t="shared" si="13"/>
        <v/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t="str">
        <f t="shared" si="13"/>
        <v/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t="str">
        <f t="shared" si="13"/>
        <v/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t="str">
        <f t="shared" si="13"/>
        <v/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 t="str">
        <f t="shared" si="13"/>
        <v/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t="str">
        <f t="shared" si="13"/>
        <v/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t="str">
        <f t="shared" si="13"/>
        <v/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 t="str">
        <f t="shared" si="13"/>
        <v/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t="str">
        <f t="shared" si="13"/>
        <v/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t="str">
        <f t="shared" si="13"/>
        <v/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t="str">
        <f t="shared" si="13"/>
        <v/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tr">
        <f t="shared" si="13"/>
        <v/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t="str">
        <f t="shared" si="13"/>
        <v/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t="str">
        <f t="shared" si="13"/>
        <v/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 t="str">
        <f t="shared" si="13"/>
        <v/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tr">
        <f t="shared" si="13"/>
        <v/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t="str">
        <f t="shared" si="13"/>
        <v/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t="str">
        <f t="shared" si="13"/>
        <v/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t="str">
        <f t="shared" si="13"/>
        <v/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tr">
        <f t="shared" si="13"/>
        <v/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t="str">
        <f t="shared" si="13"/>
        <v/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 t="str">
        <f t="shared" si="13"/>
        <v/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t="str">
        <f t="shared" si="13"/>
        <v/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t="str">
        <f t="shared" si="13"/>
        <v/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t="str">
        <f t="shared" si="13"/>
        <v/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t="str">
        <f t="shared" si="13"/>
        <v/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t="str">
        <f t="shared" si="13"/>
        <v/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t="str">
        <f t="shared" si="13"/>
        <v/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t="str">
        <f t="shared" si="13"/>
        <v/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 t="str">
        <f t="shared" si="13"/>
        <v/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 t="str">
        <f t="shared" si="13"/>
        <v/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t="str">
        <f t="shared" si="13"/>
        <v/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t="str">
        <f t="shared" si="14"/>
        <v/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tr">
        <f t="shared" si="14"/>
        <v/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 t="str">
        <f t="shared" si="14"/>
        <v/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tr">
        <f t="shared" si="14"/>
        <v/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t="str">
        <f t="shared" si="14"/>
        <v/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t="str">
        <f t="shared" si="14"/>
        <v/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t="str">
        <f t="shared" si="14"/>
        <v/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tr">
        <f t="shared" si="14"/>
        <v/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 t="str">
        <f t="shared" si="14"/>
        <v/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t="str">
        <f t="shared" si="14"/>
        <v/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t="str">
        <f t="shared" si="14"/>
        <v/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t="str">
        <f t="shared" si="14"/>
        <v/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 t="str">
        <f t="shared" si="14"/>
        <v/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t="str">
        <f t="shared" si="14"/>
        <v/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 t="str">
        <f t="shared" si="14"/>
        <v/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t="str">
        <f t="shared" si="14"/>
        <v/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tr">
        <f t="shared" si="14"/>
        <v/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t="str">
        <f t="shared" si="14"/>
        <v/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t="str">
        <f t="shared" si="14"/>
        <v/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 t="str">
        <f t="shared" si="14"/>
        <v/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tr">
        <f t="shared" si="14"/>
        <v/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 t="str">
        <f t="shared" si="14"/>
        <v/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t="str">
        <f t="shared" si="14"/>
        <v/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t="str">
        <f t="shared" si="14"/>
        <v/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tr">
        <f t="shared" si="14"/>
        <v/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t="str">
        <f t="shared" si="14"/>
        <v/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t="str">
        <f t="shared" si="14"/>
        <v/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 t="str">
        <f t="shared" si="14"/>
        <v/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tr">
        <f t="shared" si="14"/>
        <v/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 t="str">
        <f t="shared" si="14"/>
        <v/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 t="str">
        <f t="shared" si="14"/>
        <v/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 t="str">
        <f t="shared" si="14"/>
        <v/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t="str">
        <f t="shared" si="14"/>
        <v/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t="str">
        <f t="shared" si="14"/>
        <v/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t="str">
        <f t="shared" si="14"/>
        <v/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t="str">
        <f t="shared" si="14"/>
        <v/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t="str">
        <f t="shared" si="14"/>
        <v/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 t="str">
        <f t="shared" si="14"/>
        <v/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t="str">
        <f t="shared" si="14"/>
        <v/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t="str">
        <f t="shared" si="14"/>
        <v/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t="str">
        <f t="shared" si="14"/>
        <v/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tr">
        <f t="shared" si="14"/>
        <v/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t="str">
        <f t="shared" si="14"/>
        <v/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 t="str">
        <f t="shared" si="14"/>
        <v/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t="str">
        <f t="shared" si="14"/>
        <v/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tr">
        <f t="shared" si="14"/>
        <v/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t="str">
        <f t="shared" si="14"/>
        <v/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tr">
        <f t="shared" si="14"/>
        <v/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 t="str">
        <f t="shared" si="14"/>
        <v/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tr">
        <f t="shared" si="14"/>
        <v/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t="str">
        <f t="shared" si="14"/>
        <v/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t="str">
        <f t="shared" si="14"/>
        <v/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t="str">
        <f t="shared" si="14"/>
        <v/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t="str">
        <f t="shared" si="14"/>
        <v/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tr">
        <f t="shared" si="14"/>
        <v/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t="str">
        <f t="shared" si="14"/>
        <v/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tr">
        <f t="shared" si="14"/>
        <v/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t="str">
        <f t="shared" si="14"/>
        <v/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 t="str">
        <f t="shared" si="14"/>
        <v/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t="str">
        <f t="shared" si="14"/>
        <v/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t="str">
        <f t="shared" si="14"/>
        <v/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 t="str">
        <f t="shared" si="14"/>
        <v/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tr">
        <f t="shared" si="14"/>
        <v/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t="str">
        <f t="shared" si="15"/>
        <v/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t="str">
        <f t="shared" si="15"/>
        <v/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tr">
        <f t="shared" si="15"/>
        <v/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t="str">
        <f t="shared" si="15"/>
        <v/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t="str">
        <f t="shared" si="15"/>
        <v/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t="str">
        <f t="shared" si="15"/>
        <v/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tr">
        <f t="shared" si="15"/>
        <v/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 t="str">
        <f t="shared" si="15"/>
        <v/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 t="str">
        <f t="shared" si="15"/>
        <v/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 t="str">
        <f t="shared" si="15"/>
        <v/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t="str">
        <f t="shared" si="15"/>
        <v/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t="str">
        <f t="shared" si="15"/>
        <v/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 t="str">
        <f t="shared" si="15"/>
        <v/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t="str">
        <f t="shared" si="15"/>
        <v/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 t="str">
        <f t="shared" si="15"/>
        <v/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t="str">
        <f t="shared" si="15"/>
        <v/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t="str">
        <f t="shared" si="15"/>
        <v/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tr">
        <f t="shared" si="15"/>
        <v/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t="str">
        <f t="shared" si="15"/>
        <v/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tr">
        <f t="shared" si="15"/>
        <v/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 t="str">
        <f t="shared" si="15"/>
        <v/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 t="str">
        <f t="shared" si="15"/>
        <v/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 t="str">
        <f t="shared" si="15"/>
        <v/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tr">
        <f t="shared" si="15"/>
        <v/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 t="str">
        <f t="shared" si="15"/>
        <v/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t="str">
        <f t="shared" si="15"/>
        <v/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 t="str">
        <f t="shared" si="15"/>
        <v/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tr">
        <f t="shared" si="15"/>
        <v/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tr">
        <f t="shared" si="15"/>
        <v/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 t="str">
        <f t="shared" si="15"/>
        <v/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tr">
        <f t="shared" si="15"/>
        <v/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 t="str">
        <f t="shared" si="15"/>
        <v/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tr">
        <f t="shared" si="15"/>
        <v/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756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755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243"/>
  <sheetViews>
    <sheetView workbookViewId="0">
      <selection activeCell="M218" sqref="M218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59</v>
      </c>
      <c r="C1" t="s">
        <v>2</v>
      </c>
      <c r="D1" t="s">
        <v>5</v>
      </c>
      <c r="E1" t="s">
        <v>6</v>
      </c>
      <c r="F1" t="s">
        <v>9</v>
      </c>
      <c r="G1" t="s">
        <v>60</v>
      </c>
      <c r="H1" t="s">
        <v>11</v>
      </c>
      <c r="I1" t="s">
        <v>61</v>
      </c>
      <c r="J1" t="s">
        <v>62</v>
      </c>
      <c r="K1" t="s">
        <v>63</v>
      </c>
      <c r="L1" t="s">
        <v>64</v>
      </c>
      <c r="M1" s="14" t="s">
        <v>65</v>
      </c>
      <c r="N1" t="s">
        <v>66</v>
      </c>
      <c r="O1" t="s">
        <v>67</v>
      </c>
      <c r="P1" t="s">
        <v>13</v>
      </c>
      <c r="Q1" t="s">
        <v>68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  <row r="35" spans="1:17">
      <c r="A35" t="str" cm="1">
        <f t="array" ref="A35">IFERROR(_xlfn.TEXTSPLIT(Input!A36,"*"),"")</f>
        <v/>
      </c>
    </row>
    <row r="36" spans="1:17">
      <c r="A36" t="str" cm="1">
        <f t="array" ref="A36">IFERROR(_xlfn.TEXTSPLIT(Input!A37,"*"),"")</f>
        <v/>
      </c>
    </row>
    <row r="37" spans="1:17">
      <c r="A37" t="str" cm="1">
        <f t="array" ref="A37">IFERROR(_xlfn.TEXTSPLIT(Input!A38,"*"),"")</f>
        <v/>
      </c>
    </row>
    <row r="38" spans="1:17">
      <c r="A38" t="str" cm="1">
        <f t="array" ref="A38">IFERROR(_xlfn.TEXTSPLIT(Input!A39,"*"),"")</f>
        <v/>
      </c>
    </row>
    <row r="39" spans="1:17">
      <c r="A39" t="str" cm="1">
        <f t="array" ref="A39">IFERROR(_xlfn.TEXTSPLIT(Input!A40,"*"),"")</f>
        <v/>
      </c>
    </row>
    <row r="40" spans="1:17">
      <c r="A40" t="str" cm="1">
        <f t="array" ref="A40">IFERROR(_xlfn.TEXTSPLIT(Input!A41,"*"),"")</f>
        <v/>
      </c>
    </row>
    <row r="41" spans="1:17">
      <c r="A41" t="str" cm="1">
        <f t="array" ref="A41">IFERROR(_xlfn.TEXTSPLIT(Input!A42,"*"),"")</f>
        <v/>
      </c>
    </row>
    <row r="42" spans="1:17">
      <c r="A42" t="str" cm="1">
        <f t="array" ref="A42">IFERROR(_xlfn.TEXTSPLIT(Input!A43,"*"),"")</f>
        <v/>
      </c>
    </row>
    <row r="43" spans="1:17">
      <c r="A43" t="str" cm="1">
        <f t="array" ref="A43">IFERROR(_xlfn.TEXTSPLIT(Input!A44,"*"),"")</f>
        <v/>
      </c>
    </row>
    <row r="44" spans="1:17">
      <c r="A44" t="str" cm="1">
        <f t="array" ref="A44">IFERROR(_xlfn.TEXTSPLIT(Input!A45,"*"),"")</f>
        <v/>
      </c>
    </row>
    <row r="45" spans="1:17">
      <c r="A45" t="str" cm="1">
        <f t="array" ref="A45">IFERROR(_xlfn.TEXTSPLIT(Input!A46,"*"),"")</f>
        <v/>
      </c>
    </row>
    <row r="46" spans="1:17">
      <c r="A46" t="str" cm="1">
        <f t="array" ref="A46">IFERROR(_xlfn.TEXTSPLIT(Input!A47,"*"),"")</f>
        <v/>
      </c>
    </row>
    <row r="47" spans="1:17">
      <c r="A47" t="str" cm="1">
        <f t="array" ref="A47">IFERROR(_xlfn.TEXTSPLIT(Input!A48,"*"),"")</f>
        <v/>
      </c>
    </row>
    <row r="48" spans="1:17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N576"/>
  <sheetViews>
    <sheetView zoomScaleNormal="100" workbookViewId="0">
      <pane ySplit="1" topLeftCell="A2" activePane="bottomLeft" state="frozen"/>
      <selection activeCell="E1" sqref="E1"/>
      <selection pane="bottomLeft" activeCell="E44" sqref="E44"/>
    </sheetView>
  </sheetViews>
  <sheetFormatPr defaultRowHeight="15"/>
  <cols>
    <col min="1" max="1" width="15.85546875" customWidth="1"/>
    <col min="2" max="2" width="12.7109375" bestFit="1" customWidth="1"/>
    <col min="3" max="3" width="9.5703125" style="13" bestFit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3" width="15.140625" style="13" customWidth="1"/>
    <col min="24" max="24" width="54.85546875" style="13" bestFit="1" customWidth="1"/>
    <col min="25" max="25" width="15.140625" style="13" customWidth="1"/>
    <col min="26" max="26" width="24.28515625" style="13" customWidth="1"/>
    <col min="27" max="31" width="15.140625" style="13" customWidth="1"/>
    <col min="32" max="32" width="46.5703125" customWidth="1"/>
    <col min="33" max="33" width="17.28515625" bestFit="1" customWidth="1"/>
    <col min="34" max="34" width="15.85546875" bestFit="1" customWidth="1"/>
    <col min="35" max="35" width="18" bestFit="1" customWidth="1"/>
    <col min="36" max="36" width="17.140625" bestFit="1" customWidth="1"/>
    <col min="37" max="37" width="26.7109375" bestFit="1" customWidth="1"/>
    <col min="38" max="39" width="12.5703125" bestFit="1" customWidth="1"/>
    <col min="40" max="40" width="11.28515625" bestFit="1" customWidth="1"/>
  </cols>
  <sheetData>
    <row r="1" spans="1:40" s="34" customFormat="1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288</v>
      </c>
      <c r="N1" s="12" t="s">
        <v>289</v>
      </c>
      <c r="O1" s="12" t="s">
        <v>290</v>
      </c>
      <c r="P1" s="1" t="s">
        <v>10</v>
      </c>
      <c r="Q1" s="1" t="s">
        <v>11</v>
      </c>
      <c r="R1" s="1" t="s">
        <v>12</v>
      </c>
      <c r="S1" s="12" t="s">
        <v>300</v>
      </c>
      <c r="T1" s="12" t="s">
        <v>760</v>
      </c>
      <c r="U1" s="12" t="s">
        <v>761</v>
      </c>
      <c r="V1" s="12" t="s">
        <v>758</v>
      </c>
      <c r="W1" s="12" t="s">
        <v>759</v>
      </c>
      <c r="X1" s="54" t="s">
        <v>19</v>
      </c>
      <c r="Y1" s="54"/>
      <c r="Z1" s="54"/>
      <c r="AA1" s="54"/>
      <c r="AB1" s="54"/>
      <c r="AC1" s="54"/>
      <c r="AD1" s="12"/>
      <c r="AE1" s="12"/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  <c r="AN1" s="1" t="s">
        <v>21</v>
      </c>
    </row>
    <row r="2" spans="1:40" ht="15.75" thickTop="1">
      <c r="A2" s="32" t="str">
        <f>_xlfn.TEXTJOIN("",TRUE,_xlfn.XLOOKUP(B2,Input!J:J,Input!G:G,"",0,1),_xlfn.XLOOKUP(B2,Input!J:J,Input!H:H,"",0,1))</f>
        <v/>
      </c>
      <c r="B2" s="32" cm="1">
        <f t="array" ref="B2">_xlfn.UNIQUE(_xlfn._xlws.FILTER(Input!J2:J500,ISNA(MATCH(Input!J2:J500,MacReports!B:B,0))))</f>
        <v>0</v>
      </c>
      <c r="C2" s="53" t="e">
        <f>_xlfn.XLOOKUP(B2,Input!J:J,Input!F:F)</f>
        <v>#N/A</v>
      </c>
      <c r="D2" s="32" t="e">
        <f>_xlfn.XLOOKUP(C2,Models!H:H,Models!G:G,C2)</f>
        <v>#N/A</v>
      </c>
      <c r="E2" s="32"/>
      <c r="F2" s="32" t="e">
        <f>_xlfn.XLOOKUP(H2,Models!B:B,Models!F:F,"")</f>
        <v>#N/A</v>
      </c>
      <c r="G2" s="32" t="e">
        <f>_xlfn.XLOOKUP(B2,Input!J:J,Input!E:E)</f>
        <v>#N/A</v>
      </c>
      <c r="H2" s="32" t="e">
        <f>IF(G2="LENOVO",_xlfn.XLOOKUP(B2,Input!J:J,Input!K:K),_xlfn.XLOOKUP(B2,Input!J:J,Input!L:L))</f>
        <v>#N/A</v>
      </c>
      <c r="I2" s="32"/>
      <c r="J2" s="32"/>
      <c r="K2" s="32" t="str">
        <f>_xlfn.XLOOKUP(B2,CPU_Formula!A:A,CPU_Formula!I:I)</f>
        <v/>
      </c>
      <c r="L2" s="53" t="e">
        <f>INDEX(Input!$D$2:$AC$500,
       MATCH(B2, Input!$J$2:$J$500, 0),
       MATCH("Memory Capacity", Input!$D$1:$AC$1, 0))</f>
        <v>#N/A</v>
      </c>
      <c r="M2" s="53" t="e">
        <f>INDEX(Input!$D$2:$AC$500,
       MATCH(B2, Input!$J$2:$J$500, 0),
       MATCH("Memory Type", Input!$D$1:$AC$1, 0))</f>
        <v>#N/A</v>
      </c>
      <c r="N2" s="53" t="e">
        <f>IF(ISNUMBER(L2), L2, SUBSTITUTE(SUBSTITUTE(SUBSTITUTE(L2,"GiB","")," ",""),"/","+"))</f>
        <v>#N/A</v>
      </c>
      <c r="O2" s="53" t="str" cm="1">
        <f t="array" ref="O2">IFERROR(_xlfn.FILTERXML("&lt;t&gt;&lt;s&gt;" &amp; SUBSTITUTE(M2," / ","&lt;/s&gt;&lt;s&gt;") &amp; "&lt;/s&gt;&lt;/t&gt;","(//s[contains(.,'DDR')])[1]"),"")</f>
        <v/>
      </c>
      <c r="P2" s="32" t="e">
        <f>_xlfn.TEXTJOIN(" ",TRUE,N2,"GB",O2)</f>
        <v>#N/A</v>
      </c>
      <c r="Q2" s="32" t="e">
        <f>INDEX(Input!$D$2:$AC$500,
       MATCH(B2, Input!$J$2:$J$500, 0),
       MATCH("Disk Capacity", Input!$D$1:$AC$1, 0))</f>
        <v>#N/A</v>
      </c>
      <c r="R2" s="32"/>
      <c r="S2" s="53" t="e">
        <f>_xlfn.LET(_xlpm.Result,INDEX(Input!$D$2:$AC$500,
       MATCH(B2, Input!$J$2:$J$500, 0),
       MATCH("Capacity", Input!$D$1:$AC$1, 0)),IF(_xlpm.Result="","",_xlpm.Result))</f>
        <v>#N/A</v>
      </c>
      <c r="T2" s="53" t="e" cm="1">
        <f t="array" ref="T2">_xlfn.TEXTSPLIT(S2," / ", ,TRUE,0,)</f>
        <v>#N/A</v>
      </c>
      <c r="U2" s="53"/>
      <c r="V2" s="53" t="str" cm="1">
        <f t="array" ref="V2">IFERROR(_xlfn.IFS(
T2="","",
--T2&lt;55,"Battery Defect",
--T2&lt;=69,"Battery D",
--T2&lt;=80,"Battery C",
--T2&gt;80,""
),"")</f>
        <v/>
      </c>
      <c r="W2" s="53" t="str" cm="1">
        <f t="array" ref="W2">IFERROR(_xlfn.IFS(
U2="","",
--U2&lt;55,"Battery Defect",
--U2&lt;=69,"Battery D",
--U2&lt;=80,"Battery C",
--U2&gt;80,""
),"")</f>
        <v/>
      </c>
      <c r="X2" s="53" t="str" cm="1">
        <f t="array" ref="X2">IFERROR(IF(_xlfn.XLOOKUP(B2,Input!J:J,Input!N:U)=0,"",
          _xlfn.XLOOKUP(B2,Input!J:J,Input!N:U)),"")</f>
        <v/>
      </c>
      <c r="Y2" s="53"/>
      <c r="Z2" s="53"/>
      <c r="AA2" s="53"/>
      <c r="AB2" s="53"/>
      <c r="AC2" s="53"/>
      <c r="AD2" s="53"/>
      <c r="AE2" s="53"/>
      <c r="AF2" s="32" t="e">
        <f>IF(D2="Laptop",_xlfn.TEXTJOIN(", ",TRUE,V2,W2,X2,Y2,Z2,AA2,AB2,AC2), _xlfn.TEXTJOIN(", ",TRUE,X2,Y2,Z2,AA2,AB2,AC2))</f>
        <v>#N/A</v>
      </c>
      <c r="AG2" s="32" t="str">
        <f>_xlfn.XLOOKUP(B:B,Disk_Pivot!G:G,Disk_Pivot!I:I)</f>
        <v>Yes x2</v>
      </c>
      <c r="AH2" s="32" t="str">
        <f>_xlfn.XLOOKUP(B2,Disk_Pivot!G:G,Disk_Pivot!N:N)</f>
        <v>Pass, Fail</v>
      </c>
      <c r="AI2" s="32"/>
      <c r="AJ2" s="32"/>
      <c r="AK2" s="32"/>
      <c r="AL2" s="32"/>
      <c r="AM2" s="32"/>
      <c r="AN2" s="32"/>
    </row>
    <row r="3" spans="1:40">
      <c r="A3" s="32" t="str">
        <f>_xlfn.TEXTJOIN("",TRUE,_xlfn.XLOOKUP(B3,Input!J:J,Input!G:G,"",0,1),_xlfn.XLOOKUP(B3,Input!J:J,Input!H:H,"",0,1))</f>
        <v/>
      </c>
      <c r="B3" s="32"/>
      <c r="C3" s="53">
        <f>_xlfn.XLOOKUP(B3,Input!J:J,Input!F:F)</f>
        <v>0</v>
      </c>
      <c r="D3" s="32">
        <f>_xlfn.XLOOKUP(C3,Models!H:H,Models!G:G,C3)</f>
        <v>0</v>
      </c>
      <c r="E3" s="32"/>
      <c r="F3" s="32" t="str">
        <f>_xlfn.XLOOKUP(H3,Models!B:B,Models!F:F,"")</f>
        <v/>
      </c>
      <c r="G3" s="32">
        <f>_xlfn.XLOOKUP(B3,Input!J:J,Input!E:E)</f>
        <v>0</v>
      </c>
      <c r="H3" s="32">
        <f>IF(G3="LENOVO",_xlfn.XLOOKUP(B3,Input!J:J,Input!K:K),_xlfn.XLOOKUP(B3,Input!J:J,Input!L:L))</f>
        <v>0</v>
      </c>
      <c r="I3" s="32"/>
      <c r="J3" s="32"/>
      <c r="K3" s="32">
        <f>_xlfn.XLOOKUP(B3,CPU_Formula!A:A,CPU_Formula!I:I)</f>
        <v>0</v>
      </c>
      <c r="L3" s="53" t="e">
        <f>INDEX(Input!$D$2:$AC$500,
       MATCH(B3, Input!$J$2:$J$500, 0),
       MATCH("Memory Capacity", Input!$D$1:$AC$1, 0))</f>
        <v>#N/A</v>
      </c>
      <c r="M3" s="53" t="e">
        <f>INDEX(Input!$D$2:$AC$500,
       MATCH(B3, Input!$J$2:$J$500, 0),
       MATCH("Memory Type", Input!$D$1:$AC$1, 0))</f>
        <v>#N/A</v>
      </c>
      <c r="N3" s="53" t="e">
        <f t="shared" ref="N3:N66" si="0">IF(ISNUMBER(L3), L3, SUBSTITUTE(SUBSTITUTE(SUBSTITUTE(L3,"GiB","")," ",""),"/","+"))</f>
        <v>#N/A</v>
      </c>
      <c r="O3" s="53" t="str" cm="1">
        <f t="array" ref="O3">IFERROR(_xlfn.FILTERXML("&lt;t&gt;&lt;s&gt;" &amp; SUBSTITUTE(M3," / ","&lt;/s&gt;&lt;s&gt;") &amp; "&lt;/s&gt;&lt;/t&gt;","(//s[contains(.,'DDR')])[1]"),"")</f>
        <v/>
      </c>
      <c r="P3" s="32" t="e">
        <f t="shared" ref="P3:P66" si="1">_xlfn.TEXTJOIN(" ",TRUE,N3,"GB",O3)</f>
        <v>#N/A</v>
      </c>
      <c r="Q3" s="32" t="e">
        <f>INDEX(Input!$D$2:$AC$500,
       MATCH(B3, Input!$J$2:$J$500, 0),
       MATCH("Disk Capacity", Input!$D$1:$AC$1, 0))</f>
        <v>#N/A</v>
      </c>
      <c r="R3" s="32"/>
      <c r="S3" s="53" t="e">
        <f>_xlfn.LET(_xlpm.Result,INDEX(Input!$D$2:$AC$500,
       MATCH(B3, Input!$J$2:$J$500, 0),
       MATCH("Capacity", Input!$D$1:$AC$1, 0)),IF(_xlpm.Result="","",_xlpm.Result))</f>
        <v>#N/A</v>
      </c>
      <c r="T3" s="53" t="e" cm="1">
        <f t="array" ref="T3">_xlfn.TEXTSPLIT(S3," / ", ,TRUE,0,)</f>
        <v>#N/A</v>
      </c>
      <c r="U3" s="53"/>
      <c r="V3" s="53" t="str" cm="1">
        <f t="array" ref="V3">IFERROR(_xlfn.IFS(
T3="","",
--T3&lt;55,"Battery Defect",
--T3&lt;=69,"Battery D",
--T3&lt;=80,"Battery C",
--T3&gt;80,""
),"")</f>
        <v/>
      </c>
      <c r="W3" s="53" t="str" cm="1">
        <f t="array" ref="W3">IFERROR(_xlfn.IFS(
U3="","",
--U3&lt;55,"Battery Defect",
--U3&lt;=69,"Battery D",
--U3&lt;=80,"Battery C",
--U3&gt;80,""
),"")</f>
        <v/>
      </c>
      <c r="X3" s="53" t="str" cm="1">
        <f t="array" ref="X3:AE3">IFERROR(IF(_xlfn.XLOOKUP(B3,Input!J:J,Input!N:U)=0,"",
          _xlfn.XLOOKUP(B3,Input!J:J,Input!N:U)),"")</f>
        <v/>
      </c>
      <c r="Y3" s="53" t="str">
        <v/>
      </c>
      <c r="Z3" s="53" t="str">
        <v/>
      </c>
      <c r="AA3" s="53" t="str">
        <v/>
      </c>
      <c r="AB3" s="53" t="str">
        <v/>
      </c>
      <c r="AC3" s="53" t="str">
        <v/>
      </c>
      <c r="AD3" s="53" t="str">
        <v/>
      </c>
      <c r="AE3" s="53" t="str">
        <v/>
      </c>
      <c r="AF3" s="32" t="str">
        <f t="shared" ref="AF3:AF66" si="2">IF(D3="Laptop",_xlfn.TEXTJOIN(", ",TRUE,V3,W3,X3,Y3,Z3,AA3,AB3,AC3), _xlfn.TEXTJOIN(", ",TRUE,X3,Y3,Z3,AA3,AB3,AC3))</f>
        <v/>
      </c>
      <c r="AG3" s="32" t="str">
        <f>_xlfn.XLOOKUP(B:B,Disk_Pivot!G:G,Disk_Pivot!I:I)</f>
        <v>Yes x2</v>
      </c>
      <c r="AH3" s="32" t="str">
        <f>_xlfn.XLOOKUP(B3,Disk_Pivot!G:G,Disk_Pivot!N:N)</f>
        <v>Pass, Fail</v>
      </c>
      <c r="AI3" s="32"/>
      <c r="AJ3" s="32"/>
      <c r="AK3" s="32"/>
      <c r="AL3" s="32"/>
      <c r="AM3" s="32"/>
      <c r="AN3" s="32"/>
    </row>
    <row r="4" spans="1:40">
      <c r="A4" s="32" t="str">
        <f>_xlfn.TEXTJOIN("",TRUE,_xlfn.XLOOKUP(B4,Input!J:J,Input!G:G,"",0,1),_xlfn.XLOOKUP(B4,Input!J:J,Input!H:H,"",0,1))</f>
        <v/>
      </c>
      <c r="B4" s="32"/>
      <c r="C4" s="53">
        <f>_xlfn.XLOOKUP(B4,Input!J:J,Input!F:F)</f>
        <v>0</v>
      </c>
      <c r="D4" s="32">
        <f>_xlfn.XLOOKUP(C4,Models!H:H,Models!G:G,C4)</f>
        <v>0</v>
      </c>
      <c r="E4" s="32"/>
      <c r="F4" s="32" t="str">
        <f>_xlfn.XLOOKUP(H4,Models!B:B,Models!F:F,"")</f>
        <v/>
      </c>
      <c r="G4" s="32">
        <f>_xlfn.XLOOKUP(B4,Input!J:J,Input!E:E)</f>
        <v>0</v>
      </c>
      <c r="H4" s="32">
        <f>IF(G4="LENOVO",_xlfn.XLOOKUP(B4,Input!J:J,Input!K:K),_xlfn.XLOOKUP(B4,Input!J:J,Input!L:L))</f>
        <v>0</v>
      </c>
      <c r="I4" s="32"/>
      <c r="J4" s="32"/>
      <c r="K4" s="32">
        <f>_xlfn.XLOOKUP(B4,CPU_Formula!A:A,CPU_Formula!I:I)</f>
        <v>0</v>
      </c>
      <c r="L4" s="53" t="e">
        <f>INDEX(Input!$D$2:$AC$500,
       MATCH(B4, Input!$J$2:$J$500, 0),
       MATCH("Memory Capacity", Input!$D$1:$AC$1, 0))</f>
        <v>#N/A</v>
      </c>
      <c r="M4" s="53" t="e">
        <f>INDEX(Input!$D$2:$AC$500,
       MATCH(B4, Input!$J$2:$J$500, 0),
       MATCH("Memory Type", Input!$D$1:$AC$1, 0))</f>
        <v>#N/A</v>
      </c>
      <c r="N4" s="53" t="e">
        <f t="shared" si="0"/>
        <v>#N/A</v>
      </c>
      <c r="O4" s="53" t="str" cm="1">
        <f t="array" ref="O4">IFERROR(_xlfn.FILTERXML("&lt;t&gt;&lt;s&gt;" &amp; SUBSTITUTE(M4," / ","&lt;/s&gt;&lt;s&gt;") &amp; "&lt;/s&gt;&lt;/t&gt;","(//s[contains(.,'DDR')])[1]"),"")</f>
        <v/>
      </c>
      <c r="P4" s="32" t="e">
        <f t="shared" si="1"/>
        <v>#N/A</v>
      </c>
      <c r="Q4" s="32" t="e">
        <f>INDEX(Input!$D$2:$AC$500,
       MATCH(B4, Input!$J$2:$J$500, 0),
       MATCH("Disk Capacity", Input!$D$1:$AC$1, 0))</f>
        <v>#N/A</v>
      </c>
      <c r="R4" s="32"/>
      <c r="S4" s="53" t="e">
        <f>_xlfn.LET(_xlpm.Result,INDEX(Input!$D$2:$AC$500,
       MATCH(B4, Input!$J$2:$J$500, 0),
       MATCH("Capacity", Input!$D$1:$AC$1, 0)),IF(_xlpm.Result="","",_xlpm.Result))</f>
        <v>#N/A</v>
      </c>
      <c r="T4" s="53" t="e" cm="1">
        <f t="array" ref="T4">_xlfn.TEXTSPLIT(S4," / ", ,TRUE,0,)</f>
        <v>#N/A</v>
      </c>
      <c r="U4" s="53"/>
      <c r="V4" s="53" t="str" cm="1">
        <f t="array" ref="V4">IFERROR(_xlfn.IFS(
T4="","",
--T4&lt;55,"Battery Defect",
--T4&lt;=69,"Battery D",
--T4&lt;=80,"Battery C",
--T4&gt;80,""
),"")</f>
        <v/>
      </c>
      <c r="W4" s="53" t="str" cm="1">
        <f t="array" ref="W4">IFERROR(_xlfn.IFS(
U4="","",
--U4&lt;55,"Battery Defect",
--U4&lt;=69,"Battery D",
--U4&lt;=80,"Battery C",
--U4&gt;80,""
),"")</f>
        <v/>
      </c>
      <c r="X4" s="53" t="str" cm="1">
        <f t="array" ref="X4:AE4">IFERROR(IF(_xlfn.XLOOKUP(B4,Input!J:J,Input!N:U)=0,"",
          _xlfn.XLOOKUP(B4,Input!J:J,Input!N:U)),"")</f>
        <v/>
      </c>
      <c r="Y4" s="53" t="str">
        <v/>
      </c>
      <c r="Z4" s="53" t="str">
        <v/>
      </c>
      <c r="AA4" s="53" t="str">
        <v/>
      </c>
      <c r="AB4" s="53" t="str">
        <v/>
      </c>
      <c r="AC4" s="53" t="str">
        <v/>
      </c>
      <c r="AD4" s="53" t="str">
        <v/>
      </c>
      <c r="AE4" s="53" t="str">
        <v/>
      </c>
      <c r="AF4" s="32" t="str">
        <f t="shared" si="2"/>
        <v/>
      </c>
      <c r="AG4" s="32" t="str">
        <f>_xlfn.XLOOKUP(B:B,Disk_Pivot!G:G,Disk_Pivot!I:I)</f>
        <v>Yes x2</v>
      </c>
      <c r="AH4" s="32" t="str">
        <f>_xlfn.XLOOKUP(B4,Disk_Pivot!G:G,Disk_Pivot!N:N)</f>
        <v>Pass, Fail</v>
      </c>
      <c r="AI4" s="32"/>
      <c r="AJ4" s="32"/>
      <c r="AK4" s="32"/>
      <c r="AL4" s="32"/>
      <c r="AM4" s="32"/>
      <c r="AN4" s="32"/>
    </row>
    <row r="5" spans="1:40">
      <c r="A5" s="32" t="str">
        <f>_xlfn.TEXTJOIN("",TRUE,_xlfn.XLOOKUP(B5,Input!J:J,Input!G:G,"",0,1),_xlfn.XLOOKUP(B5,Input!J:J,Input!H:H,"",0,1))</f>
        <v/>
      </c>
      <c r="B5" s="32"/>
      <c r="C5" s="53">
        <f>_xlfn.XLOOKUP(B5,Input!J:J,Input!F:F)</f>
        <v>0</v>
      </c>
      <c r="D5" s="32">
        <f>_xlfn.XLOOKUP(C5,Models!H:H,Models!G:G,C5)</f>
        <v>0</v>
      </c>
      <c r="E5" s="32"/>
      <c r="F5" s="32" t="str">
        <f>_xlfn.XLOOKUP(H5,Models!B:B,Models!F:F,"")</f>
        <v/>
      </c>
      <c r="G5" s="32">
        <f>_xlfn.XLOOKUP(B5,Input!J:J,Input!E:E)</f>
        <v>0</v>
      </c>
      <c r="H5" s="32">
        <f>IF(G5="LENOVO",_xlfn.XLOOKUP(B5,Input!J:J,Input!K:K),_xlfn.XLOOKUP(B5,Input!J:J,Input!L:L))</f>
        <v>0</v>
      </c>
      <c r="I5" s="32"/>
      <c r="J5" s="32"/>
      <c r="K5" s="32">
        <f>_xlfn.XLOOKUP(B5,CPU_Formula!A:A,CPU_Formula!I:I)</f>
        <v>0</v>
      </c>
      <c r="L5" s="53" t="e">
        <f>INDEX(Input!$D$2:$AC$500,
       MATCH(B5, Input!$J$2:$J$500, 0),
       MATCH("Memory Capacity", Input!$D$1:$AC$1, 0))</f>
        <v>#N/A</v>
      </c>
      <c r="M5" s="53" t="e">
        <f>INDEX(Input!$D$2:$AC$500,
       MATCH(B5, Input!$J$2:$J$500, 0),
       MATCH("Memory Type", Input!$D$1:$AC$1, 0))</f>
        <v>#N/A</v>
      </c>
      <c r="N5" s="53" t="e">
        <f t="shared" si="0"/>
        <v>#N/A</v>
      </c>
      <c r="O5" s="53" t="str" cm="1">
        <f t="array" ref="O5">IFERROR(_xlfn.FILTERXML("&lt;t&gt;&lt;s&gt;" &amp; SUBSTITUTE(M5," / ","&lt;/s&gt;&lt;s&gt;") &amp; "&lt;/s&gt;&lt;/t&gt;","(//s[contains(.,'DDR')])[1]"),"")</f>
        <v/>
      </c>
      <c r="P5" s="32" t="e">
        <f t="shared" si="1"/>
        <v>#N/A</v>
      </c>
      <c r="Q5" s="32" t="e">
        <f>INDEX(Input!$D$2:$AC$500,
       MATCH(B5, Input!$J$2:$J$500, 0),
       MATCH("Disk Capacity", Input!$D$1:$AC$1, 0))</f>
        <v>#N/A</v>
      </c>
      <c r="R5" s="32"/>
      <c r="S5" s="53" t="e">
        <f>_xlfn.LET(_xlpm.Result,INDEX(Input!$D$2:$AC$500,
       MATCH(B5, Input!$J$2:$J$500, 0),
       MATCH("Capacity", Input!$D$1:$AC$1, 0)),IF(_xlpm.Result="","",_xlpm.Result))</f>
        <v>#N/A</v>
      </c>
      <c r="T5" s="53" t="e" cm="1">
        <f t="array" ref="T5">_xlfn.TEXTSPLIT(S5," / ", ,TRUE,0,)</f>
        <v>#N/A</v>
      </c>
      <c r="U5" s="53"/>
      <c r="V5" s="53" t="str" cm="1">
        <f t="array" ref="V5">IFERROR(_xlfn.IFS(
T5="","",
--T5&lt;55,"Battery Defect",
--T5&lt;=69,"Battery D",
--T5&lt;=80,"Battery C",
--T5&gt;80,""
),"")</f>
        <v/>
      </c>
      <c r="W5" s="53" t="str" cm="1">
        <f t="array" ref="W5">IFERROR(_xlfn.IFS(
U5="","",
--U5&lt;55,"Battery Defect",
--U5&lt;=69,"Battery D",
--U5&lt;=80,"Battery C",
--U5&gt;80,""
),"")</f>
        <v/>
      </c>
      <c r="X5" s="53" t="str" cm="1">
        <f t="array" ref="X5:AE5">IFERROR(IF(_xlfn.XLOOKUP(B5,Input!J:J,Input!N:U)=0,"",
          _xlfn.XLOOKUP(B5,Input!J:J,Input!N:U)),"")</f>
        <v/>
      </c>
      <c r="Y5" s="53" t="str">
        <v/>
      </c>
      <c r="Z5" s="53" t="str">
        <v/>
      </c>
      <c r="AA5" s="53" t="str">
        <v/>
      </c>
      <c r="AB5" s="53" t="str">
        <v/>
      </c>
      <c r="AC5" s="53" t="str">
        <v/>
      </c>
      <c r="AD5" s="53" t="str">
        <v/>
      </c>
      <c r="AE5" s="53" t="str">
        <v/>
      </c>
      <c r="AF5" s="32" t="str">
        <f t="shared" si="2"/>
        <v/>
      </c>
      <c r="AG5" s="32" t="str">
        <f>_xlfn.XLOOKUP(B:B,Disk_Pivot!G:G,Disk_Pivot!I:I)</f>
        <v>Yes x2</v>
      </c>
      <c r="AH5" s="32" t="str">
        <f>_xlfn.XLOOKUP(B5,Disk_Pivot!G:G,Disk_Pivot!N:N)</f>
        <v>Pass, Fail</v>
      </c>
      <c r="AI5" s="32"/>
      <c r="AJ5" s="32"/>
      <c r="AK5" s="32"/>
      <c r="AL5" s="32"/>
      <c r="AM5" s="32"/>
      <c r="AN5" s="32"/>
    </row>
    <row r="6" spans="1:40">
      <c r="A6" s="32" t="str">
        <f>_xlfn.TEXTJOIN("",TRUE,_xlfn.XLOOKUP(B6,Input!J:J,Input!G:G,"",0,1),_xlfn.XLOOKUP(B6,Input!J:J,Input!H:H,"",0,1))</f>
        <v/>
      </c>
      <c r="B6" s="32"/>
      <c r="C6" s="53">
        <f>_xlfn.XLOOKUP(B6,Input!J:J,Input!F:F)</f>
        <v>0</v>
      </c>
      <c r="D6" s="32">
        <f>_xlfn.XLOOKUP(C6,Models!H:H,Models!G:G,C6)</f>
        <v>0</v>
      </c>
      <c r="E6" s="32"/>
      <c r="F6" s="32" t="str">
        <f>_xlfn.XLOOKUP(H6,Models!B:B,Models!F:F,"")</f>
        <v/>
      </c>
      <c r="G6" s="32">
        <f>_xlfn.XLOOKUP(B6,Input!J:J,Input!E:E)</f>
        <v>0</v>
      </c>
      <c r="H6" s="32">
        <f>IF(G6="LENOVO",_xlfn.XLOOKUP(B6,Input!J:J,Input!K:K),_xlfn.XLOOKUP(B6,Input!J:J,Input!L:L))</f>
        <v>0</v>
      </c>
      <c r="I6" s="32"/>
      <c r="J6" s="32"/>
      <c r="K6" s="32">
        <f>_xlfn.XLOOKUP(B6,CPU_Formula!A:A,CPU_Formula!I:I)</f>
        <v>0</v>
      </c>
      <c r="L6" s="53" t="e">
        <f>INDEX(Input!$D$2:$AC$500,
       MATCH(B6, Input!$J$2:$J$500, 0),
       MATCH("Memory Capacity", Input!$D$1:$AC$1, 0))</f>
        <v>#N/A</v>
      </c>
      <c r="M6" s="53" t="e">
        <f>INDEX(Input!$D$2:$AC$500,
       MATCH(B6, Input!$J$2:$J$500, 0),
       MATCH("Memory Type", Input!$D$1:$AC$1, 0))</f>
        <v>#N/A</v>
      </c>
      <c r="N6" s="53" t="e">
        <f t="shared" si="0"/>
        <v>#N/A</v>
      </c>
      <c r="O6" s="53" t="str" cm="1">
        <f t="array" ref="O6">IFERROR(_xlfn.FILTERXML("&lt;t&gt;&lt;s&gt;" &amp; SUBSTITUTE(M6," / ","&lt;/s&gt;&lt;s&gt;") &amp; "&lt;/s&gt;&lt;/t&gt;","(//s[contains(.,'DDR')])[1]"),"")</f>
        <v/>
      </c>
      <c r="P6" s="32" t="e">
        <f t="shared" si="1"/>
        <v>#N/A</v>
      </c>
      <c r="Q6" s="32" t="e">
        <f>INDEX(Input!$D$2:$AC$500,
       MATCH(B6, Input!$J$2:$J$500, 0),
       MATCH("Disk Capacity", Input!$D$1:$AC$1, 0))</f>
        <v>#N/A</v>
      </c>
      <c r="R6" s="32"/>
      <c r="S6" s="53" t="e">
        <f>_xlfn.LET(_xlpm.Result,INDEX(Input!$D$2:$AC$500,
       MATCH(B6, Input!$J$2:$J$500, 0),
       MATCH("Capacity", Input!$D$1:$AC$1, 0)),IF(_xlpm.Result="","",_xlpm.Result))</f>
        <v>#N/A</v>
      </c>
      <c r="T6" s="53" t="e" cm="1">
        <f t="array" ref="T6">_xlfn.TEXTSPLIT(S6," / ", ,TRUE,0,)</f>
        <v>#N/A</v>
      </c>
      <c r="U6" s="53"/>
      <c r="V6" s="53" t="str" cm="1">
        <f t="array" ref="V6">IFERROR(_xlfn.IFS(
T6="","",
--T6&lt;55,"Battery Defect",
--T6&lt;=69,"Battery D",
--T6&lt;=80,"Battery C",
--T6&gt;80,""
),"")</f>
        <v/>
      </c>
      <c r="W6" s="53" t="str" cm="1">
        <f t="array" ref="W6">IFERROR(_xlfn.IFS(
U6="","",
--U6&lt;55,"Battery Defect",
--U6&lt;=69,"Battery D",
--U6&lt;=80,"Battery C",
--U6&gt;80,""
),"")</f>
        <v/>
      </c>
      <c r="X6" s="53" t="str" cm="1">
        <f t="array" ref="X6:AE6">IFERROR(IF(_xlfn.XLOOKUP(B6,Input!J:J,Input!N:U)=0,"",
          _xlfn.XLOOKUP(B6,Input!J:J,Input!N:U)),"")</f>
        <v/>
      </c>
      <c r="Y6" s="53" t="str">
        <v/>
      </c>
      <c r="Z6" s="53" t="str">
        <v/>
      </c>
      <c r="AA6" s="53" t="str">
        <v/>
      </c>
      <c r="AB6" s="53" t="str">
        <v/>
      </c>
      <c r="AC6" s="53" t="str">
        <v/>
      </c>
      <c r="AD6" s="53" t="str">
        <v/>
      </c>
      <c r="AE6" s="53" t="str">
        <v/>
      </c>
      <c r="AF6" s="32" t="str">
        <f t="shared" si="2"/>
        <v/>
      </c>
      <c r="AG6" s="32" t="str">
        <f>_xlfn.XLOOKUP(B:B,Disk_Pivot!G:G,Disk_Pivot!I:I)</f>
        <v>Yes x2</v>
      </c>
      <c r="AH6" s="32" t="str">
        <f>_xlfn.XLOOKUP(B6,Disk_Pivot!G:G,Disk_Pivot!N:N)</f>
        <v>Pass, Fail</v>
      </c>
      <c r="AI6" s="32"/>
      <c r="AJ6" s="32"/>
      <c r="AK6" s="32"/>
      <c r="AL6" s="32"/>
      <c r="AM6" s="32"/>
      <c r="AN6" s="32"/>
    </row>
    <row r="7" spans="1:40">
      <c r="A7" s="32" t="str">
        <f>_xlfn.TEXTJOIN("",TRUE,_xlfn.XLOOKUP(B7,Input!J:J,Input!G:G,"",0,1),_xlfn.XLOOKUP(B7,Input!J:J,Input!H:H,"",0,1))</f>
        <v/>
      </c>
      <c r="B7" s="32"/>
      <c r="C7" s="53">
        <f>_xlfn.XLOOKUP(B7,Input!J:J,Input!F:F)</f>
        <v>0</v>
      </c>
      <c r="D7" s="32">
        <f>_xlfn.XLOOKUP(C7,Models!H:H,Models!G:G,C7)</f>
        <v>0</v>
      </c>
      <c r="E7" s="32"/>
      <c r="F7" s="32" t="str">
        <f>_xlfn.XLOOKUP(H7,Models!B:B,Models!F:F,"")</f>
        <v/>
      </c>
      <c r="G7" s="32">
        <f>_xlfn.XLOOKUP(B7,Input!J:J,Input!E:E)</f>
        <v>0</v>
      </c>
      <c r="H7" s="32">
        <f>IF(G7="LENOVO",_xlfn.XLOOKUP(B7,Input!J:J,Input!K:K),_xlfn.XLOOKUP(B7,Input!J:J,Input!L:L))</f>
        <v>0</v>
      </c>
      <c r="I7" s="32"/>
      <c r="J7" s="32"/>
      <c r="K7" s="32">
        <f>_xlfn.XLOOKUP(B7,CPU_Formula!A:A,CPU_Formula!I:I)</f>
        <v>0</v>
      </c>
      <c r="L7" s="53" t="e">
        <f>INDEX(Input!$D$2:$AC$500,
       MATCH(B7, Input!$J$2:$J$500, 0),
       MATCH("Memory Capacity", Input!$D$1:$AC$1, 0))</f>
        <v>#N/A</v>
      </c>
      <c r="M7" s="53" t="e">
        <f>INDEX(Input!$D$2:$AC$500,
       MATCH(B7, Input!$J$2:$J$500, 0),
       MATCH("Memory Type", Input!$D$1:$AC$1, 0))</f>
        <v>#N/A</v>
      </c>
      <c r="N7" s="53" t="e">
        <f t="shared" si="0"/>
        <v>#N/A</v>
      </c>
      <c r="O7" s="53" t="str" cm="1">
        <f t="array" ref="O7">IFERROR(_xlfn.FILTERXML("&lt;t&gt;&lt;s&gt;" &amp; SUBSTITUTE(M7," / ","&lt;/s&gt;&lt;s&gt;") &amp; "&lt;/s&gt;&lt;/t&gt;","(//s[contains(.,'DDR')])[1]"),"")</f>
        <v/>
      </c>
      <c r="P7" s="32" t="e">
        <f t="shared" si="1"/>
        <v>#N/A</v>
      </c>
      <c r="Q7" s="32" t="e">
        <f>INDEX(Input!$D$2:$AC$500,
       MATCH(B7, Input!$J$2:$J$500, 0),
       MATCH("Disk Capacity", Input!$D$1:$AC$1, 0))</f>
        <v>#N/A</v>
      </c>
      <c r="R7" s="32"/>
      <c r="S7" s="53" t="e">
        <f>_xlfn.LET(_xlpm.Result,INDEX(Input!$D$2:$AC$500,
       MATCH(B7, Input!$J$2:$J$500, 0),
       MATCH("Capacity", Input!$D$1:$AC$1, 0)),IF(_xlpm.Result="","",_xlpm.Result))</f>
        <v>#N/A</v>
      </c>
      <c r="T7" s="53" t="e" cm="1">
        <f t="array" ref="T7">_xlfn.TEXTSPLIT(S7," / ", ,TRUE,0,)</f>
        <v>#N/A</v>
      </c>
      <c r="U7" s="53"/>
      <c r="V7" s="53" t="str" cm="1">
        <f t="array" ref="V7">IFERROR(_xlfn.IFS(
T7="","",
--T7&lt;55,"Battery Defect",
--T7&lt;=69,"Battery D",
--T7&lt;=80,"Battery C",
--T7&gt;80,""
),"")</f>
        <v/>
      </c>
      <c r="W7" s="53" t="str" cm="1">
        <f t="array" ref="W7">IFERROR(_xlfn.IFS(
U7="","",
--U7&lt;55,"Battery Defect",
--U7&lt;=69,"Battery D",
--U7&lt;=80,"Battery C",
--U7&gt;80,""
),"")</f>
        <v/>
      </c>
      <c r="X7" s="53" t="str" cm="1">
        <f t="array" ref="X7:AE7">IFERROR(IF(_xlfn.XLOOKUP(B7,Input!J:J,Input!N:U)=0,"",
          _xlfn.XLOOKUP(B7,Input!J:J,Input!N:U)),"")</f>
        <v/>
      </c>
      <c r="Y7" s="53" t="str">
        <v/>
      </c>
      <c r="Z7" s="53" t="str">
        <v/>
      </c>
      <c r="AA7" s="53" t="str">
        <v/>
      </c>
      <c r="AB7" s="53" t="str">
        <v/>
      </c>
      <c r="AC7" s="53" t="str">
        <v/>
      </c>
      <c r="AD7" s="53" t="str">
        <v/>
      </c>
      <c r="AE7" s="53" t="str">
        <v/>
      </c>
      <c r="AF7" s="32" t="str">
        <f t="shared" si="2"/>
        <v/>
      </c>
      <c r="AG7" s="32" t="str">
        <f>_xlfn.XLOOKUP(B:B,Disk_Pivot!G:G,Disk_Pivot!I:I)</f>
        <v>Yes x2</v>
      </c>
      <c r="AH7" s="32" t="str">
        <f>_xlfn.XLOOKUP(B7,Disk_Pivot!G:G,Disk_Pivot!N:N)</f>
        <v>Pass, Fail</v>
      </c>
      <c r="AI7" s="32"/>
      <c r="AJ7" s="32"/>
      <c r="AK7" s="32"/>
      <c r="AL7" s="32"/>
      <c r="AM7" s="32"/>
      <c r="AN7" s="32"/>
    </row>
    <row r="8" spans="1:40">
      <c r="A8" s="32" t="str">
        <f>_xlfn.TEXTJOIN("",TRUE,_xlfn.XLOOKUP(B8,Input!J:J,Input!G:G,"",0,1),_xlfn.XLOOKUP(B8,Input!J:J,Input!H:H,"",0,1))</f>
        <v/>
      </c>
      <c r="B8" s="32"/>
      <c r="C8" s="53">
        <f>_xlfn.XLOOKUP(B8,Input!J:J,Input!F:F)</f>
        <v>0</v>
      </c>
      <c r="D8" s="32">
        <f>_xlfn.XLOOKUP(C8,Models!H:H,Models!G:G,C8)</f>
        <v>0</v>
      </c>
      <c r="E8" s="32"/>
      <c r="F8" s="32" t="str">
        <f>_xlfn.XLOOKUP(H8,Models!B:B,Models!F:F,"")</f>
        <v/>
      </c>
      <c r="G8" s="32">
        <f>_xlfn.XLOOKUP(B8,Input!J:J,Input!E:E)</f>
        <v>0</v>
      </c>
      <c r="H8" s="32">
        <f>IF(G8="LENOVO",_xlfn.XLOOKUP(B8,Input!J:J,Input!K:K),_xlfn.XLOOKUP(B8,Input!J:J,Input!L:L))</f>
        <v>0</v>
      </c>
      <c r="I8" s="32"/>
      <c r="J8" s="32"/>
      <c r="K8" s="32">
        <f>_xlfn.XLOOKUP(B8,CPU_Formula!A:A,CPU_Formula!I:I)</f>
        <v>0</v>
      </c>
      <c r="L8" s="53" t="e">
        <f>INDEX(Input!$D$2:$AC$500,
       MATCH(B8, Input!$J$2:$J$500, 0),
       MATCH("Memory Capacity", Input!$D$1:$AC$1, 0))</f>
        <v>#N/A</v>
      </c>
      <c r="M8" s="53" t="e">
        <f>INDEX(Input!$D$2:$AC$500,
       MATCH(B8, Input!$J$2:$J$500, 0),
       MATCH("Memory Type", Input!$D$1:$AC$1, 0))</f>
        <v>#N/A</v>
      </c>
      <c r="N8" s="53" t="e">
        <f t="shared" si="0"/>
        <v>#N/A</v>
      </c>
      <c r="O8" s="53" t="str" cm="1">
        <f t="array" ref="O8">IFERROR(_xlfn.FILTERXML("&lt;t&gt;&lt;s&gt;" &amp; SUBSTITUTE(M8," / ","&lt;/s&gt;&lt;s&gt;") &amp; "&lt;/s&gt;&lt;/t&gt;","(//s[contains(.,'DDR')])[1]"),"")</f>
        <v/>
      </c>
      <c r="P8" s="32" t="e">
        <f t="shared" si="1"/>
        <v>#N/A</v>
      </c>
      <c r="Q8" s="32" t="e">
        <f>INDEX(Input!$D$2:$AC$500,
       MATCH(B8, Input!$J$2:$J$500, 0),
       MATCH("Disk Capacity", Input!$D$1:$AC$1, 0))</f>
        <v>#N/A</v>
      </c>
      <c r="R8" s="32"/>
      <c r="S8" s="53" t="e">
        <f>_xlfn.LET(_xlpm.Result,INDEX(Input!$D$2:$AC$500,
       MATCH(B8, Input!$J$2:$J$500, 0),
       MATCH("Capacity", Input!$D$1:$AC$1, 0)),IF(_xlpm.Result="","",_xlpm.Result))</f>
        <v>#N/A</v>
      </c>
      <c r="T8" s="53" t="e" cm="1">
        <f t="array" ref="T8">_xlfn.TEXTSPLIT(S8," / ", ,TRUE,0,)</f>
        <v>#N/A</v>
      </c>
      <c r="U8" s="53"/>
      <c r="V8" s="53" t="str" cm="1">
        <f t="array" ref="V8">IFERROR(_xlfn.IFS(
T8="","",
--T8&lt;55,"Battery Defect",
--T8&lt;=69,"Battery D",
--T8&lt;=80,"Battery C",
--T8&gt;80,""
),"")</f>
        <v/>
      </c>
      <c r="W8" s="53" t="str" cm="1">
        <f t="array" ref="W8">IFERROR(_xlfn.IFS(
U8="","",
--U8&lt;55,"Battery Defect",
--U8&lt;=69,"Battery D",
--U8&lt;=80,"Battery C",
--U8&gt;80,""
),"")</f>
        <v/>
      </c>
      <c r="X8" s="53" t="str" cm="1">
        <f t="array" ref="X8:AE8">IFERROR(IF(_xlfn.XLOOKUP(B8,Input!J:J,Input!N:U)=0,"",
          _xlfn.XLOOKUP(B8,Input!J:J,Input!N:U)),"")</f>
        <v/>
      </c>
      <c r="Y8" s="53" t="str">
        <v/>
      </c>
      <c r="Z8" s="53" t="str">
        <v/>
      </c>
      <c r="AA8" s="53" t="str">
        <v/>
      </c>
      <c r="AB8" s="53" t="str">
        <v/>
      </c>
      <c r="AC8" s="53" t="str">
        <v/>
      </c>
      <c r="AD8" s="53" t="str">
        <v/>
      </c>
      <c r="AE8" s="53" t="str">
        <v/>
      </c>
      <c r="AF8" s="32" t="str">
        <f t="shared" si="2"/>
        <v/>
      </c>
      <c r="AG8" s="32" t="str">
        <f>_xlfn.XLOOKUP(B:B,Disk_Pivot!G:G,Disk_Pivot!I:I)</f>
        <v>Yes x2</v>
      </c>
      <c r="AH8" s="32" t="str">
        <f>_xlfn.XLOOKUP(B8,Disk_Pivot!G:G,Disk_Pivot!N:N)</f>
        <v>Pass, Fail</v>
      </c>
      <c r="AI8" s="32"/>
      <c r="AJ8" s="32"/>
      <c r="AK8" s="32"/>
      <c r="AL8" s="32"/>
      <c r="AM8" s="32"/>
      <c r="AN8" s="32"/>
    </row>
    <row r="9" spans="1:40">
      <c r="A9" s="32" t="str">
        <f>_xlfn.TEXTJOIN("",TRUE,_xlfn.XLOOKUP(B9,Input!J:J,Input!G:G,"",0,1),_xlfn.XLOOKUP(B9,Input!J:J,Input!H:H,"",0,1))</f>
        <v/>
      </c>
      <c r="B9" s="32"/>
      <c r="C9" s="53">
        <f>_xlfn.XLOOKUP(B9,Input!J:J,Input!F:F)</f>
        <v>0</v>
      </c>
      <c r="D9" s="32">
        <f>_xlfn.XLOOKUP(C9,Models!H:H,Models!G:G,C9)</f>
        <v>0</v>
      </c>
      <c r="E9" s="32"/>
      <c r="F9" s="32" t="str">
        <f>_xlfn.XLOOKUP(H9,Models!B:B,Models!F:F,"")</f>
        <v/>
      </c>
      <c r="G9" s="32">
        <f>_xlfn.XLOOKUP(B9,Input!J:J,Input!E:E)</f>
        <v>0</v>
      </c>
      <c r="H9" s="32">
        <f>IF(G9="LENOVO",_xlfn.XLOOKUP(B9,Input!J:J,Input!K:K),_xlfn.XLOOKUP(B9,Input!J:J,Input!L:L))</f>
        <v>0</v>
      </c>
      <c r="I9" s="32"/>
      <c r="J9" s="32"/>
      <c r="K9" s="32">
        <f>_xlfn.XLOOKUP(B9,CPU_Formula!A:A,CPU_Formula!I:I)</f>
        <v>0</v>
      </c>
      <c r="L9" s="53" t="e">
        <f>INDEX(Input!$D$2:$AC$500,
       MATCH(B9, Input!$J$2:$J$500, 0),
       MATCH("Memory Capacity", Input!$D$1:$AC$1, 0))</f>
        <v>#N/A</v>
      </c>
      <c r="M9" s="53" t="e">
        <f>INDEX(Input!$D$2:$AC$500,
       MATCH(B9, Input!$J$2:$J$500, 0),
       MATCH("Memory Type", Input!$D$1:$AC$1, 0))</f>
        <v>#N/A</v>
      </c>
      <c r="N9" s="53" t="e">
        <f t="shared" si="0"/>
        <v>#N/A</v>
      </c>
      <c r="O9" s="53" t="str" cm="1">
        <f t="array" ref="O9">IFERROR(_xlfn.FILTERXML("&lt;t&gt;&lt;s&gt;" &amp; SUBSTITUTE(M9," / ","&lt;/s&gt;&lt;s&gt;") &amp; "&lt;/s&gt;&lt;/t&gt;","(//s[contains(.,'DDR')])[1]"),"")</f>
        <v/>
      </c>
      <c r="P9" s="32" t="e">
        <f t="shared" si="1"/>
        <v>#N/A</v>
      </c>
      <c r="Q9" s="32" t="e">
        <f>INDEX(Input!$D$2:$AC$500,
       MATCH(B9, Input!$J$2:$J$500, 0),
       MATCH("Disk Capacity", Input!$D$1:$AC$1, 0))</f>
        <v>#N/A</v>
      </c>
      <c r="R9" s="32"/>
      <c r="S9" s="53" t="e">
        <f>_xlfn.LET(_xlpm.Result,INDEX(Input!$D$2:$AC$500,
       MATCH(B9, Input!$J$2:$J$500, 0),
       MATCH("Capacity", Input!$D$1:$AC$1, 0)),IF(_xlpm.Result="","",_xlpm.Result))</f>
        <v>#N/A</v>
      </c>
      <c r="T9" s="53" t="e" cm="1">
        <f t="array" ref="T9">_xlfn.TEXTSPLIT(S9," / ", ,TRUE,0,)</f>
        <v>#N/A</v>
      </c>
      <c r="U9" s="53"/>
      <c r="V9" s="53" t="str" cm="1">
        <f t="array" ref="V9">IFERROR(_xlfn.IFS(
T9="","",
--T9&lt;55,"Battery Defect",
--T9&lt;=69,"Battery D",
--T9&lt;=80,"Battery C",
--T9&gt;80,""
),"")</f>
        <v/>
      </c>
      <c r="W9" s="53" t="str" cm="1">
        <f t="array" ref="W9">IFERROR(_xlfn.IFS(
U9="","",
--U9&lt;55,"Battery Defect",
--U9&lt;=69,"Battery D",
--U9&lt;=80,"Battery C",
--U9&gt;80,""
),"")</f>
        <v/>
      </c>
      <c r="X9" s="53" t="str" cm="1">
        <f t="array" ref="X9:AE9">IFERROR(IF(_xlfn.XLOOKUP(B9,Input!J:J,Input!N:U)=0,"",
          _xlfn.XLOOKUP(B9,Input!J:J,Input!N:U)),"")</f>
        <v/>
      </c>
      <c r="Y9" s="53" t="str">
        <v/>
      </c>
      <c r="Z9" s="53" t="str">
        <v/>
      </c>
      <c r="AA9" s="53" t="str">
        <v/>
      </c>
      <c r="AB9" s="53" t="str">
        <v/>
      </c>
      <c r="AC9" s="53" t="str">
        <v/>
      </c>
      <c r="AD9" s="53" t="str">
        <v/>
      </c>
      <c r="AE9" s="53" t="str">
        <v/>
      </c>
      <c r="AF9" s="32" t="str">
        <f t="shared" si="2"/>
        <v/>
      </c>
      <c r="AG9" s="32" t="str">
        <f>_xlfn.XLOOKUP(B:B,Disk_Pivot!G:G,Disk_Pivot!I:I)</f>
        <v>Yes x2</v>
      </c>
      <c r="AH9" s="32" t="str">
        <f>_xlfn.XLOOKUP(B9,Disk_Pivot!G:G,Disk_Pivot!N:N)</f>
        <v>Pass, Fail</v>
      </c>
      <c r="AI9" s="32"/>
      <c r="AJ9" s="32"/>
      <c r="AK9" s="32"/>
      <c r="AL9" s="32"/>
      <c r="AM9" s="32"/>
      <c r="AN9" s="32"/>
    </row>
    <row r="10" spans="1:40">
      <c r="A10" s="32" t="str">
        <f>_xlfn.TEXTJOIN("",TRUE,_xlfn.XLOOKUP(B10,Input!J:J,Input!G:G,"",0,1),_xlfn.XLOOKUP(B10,Input!J:J,Input!H:H,"",0,1))</f>
        <v/>
      </c>
      <c r="B10" s="32"/>
      <c r="C10" s="53">
        <f>_xlfn.XLOOKUP(B10,Input!J:J,Input!F:F)</f>
        <v>0</v>
      </c>
      <c r="D10" s="32">
        <f>_xlfn.XLOOKUP(C10,Models!H:H,Models!G:G,C10)</f>
        <v>0</v>
      </c>
      <c r="E10" s="32"/>
      <c r="F10" s="32" t="str">
        <f>_xlfn.XLOOKUP(H10,Models!B:B,Models!F:F,"")</f>
        <v/>
      </c>
      <c r="G10" s="32">
        <f>_xlfn.XLOOKUP(B10,Input!J:J,Input!E:E)</f>
        <v>0</v>
      </c>
      <c r="H10" s="32">
        <f>IF(G10="LENOVO",_xlfn.XLOOKUP(B10,Input!J:J,Input!K:K),_xlfn.XLOOKUP(B10,Input!J:J,Input!L:L))</f>
        <v>0</v>
      </c>
      <c r="I10" s="32"/>
      <c r="J10" s="32"/>
      <c r="K10" s="32">
        <f>_xlfn.XLOOKUP(B10,CPU_Formula!A:A,CPU_Formula!I:I)</f>
        <v>0</v>
      </c>
      <c r="L10" s="53" t="e">
        <f>INDEX(Input!$D$2:$AC$500,
       MATCH(B10, Input!$J$2:$J$500, 0),
       MATCH("Memory Capacity", Input!$D$1:$AC$1, 0))</f>
        <v>#N/A</v>
      </c>
      <c r="M10" s="53" t="e">
        <f>INDEX(Input!$D$2:$AC$500,
       MATCH(B10, Input!$J$2:$J$500, 0),
       MATCH("Memory Type", Input!$D$1:$AC$1, 0))</f>
        <v>#N/A</v>
      </c>
      <c r="N10" s="53" t="e">
        <f t="shared" si="0"/>
        <v>#N/A</v>
      </c>
      <c r="O10" s="53" t="str" cm="1">
        <f t="array" ref="O10">IFERROR(_xlfn.FILTERXML("&lt;t&gt;&lt;s&gt;" &amp; SUBSTITUTE(M10," / ","&lt;/s&gt;&lt;s&gt;") &amp; "&lt;/s&gt;&lt;/t&gt;","(//s[contains(.,'DDR')])[1]"),"")</f>
        <v/>
      </c>
      <c r="P10" s="32" t="e">
        <f t="shared" si="1"/>
        <v>#N/A</v>
      </c>
      <c r="Q10" s="32" t="e">
        <f>INDEX(Input!$D$2:$AC$500,
       MATCH(B10, Input!$J$2:$J$500, 0),
       MATCH("Disk Capacity", Input!$D$1:$AC$1, 0))</f>
        <v>#N/A</v>
      </c>
      <c r="R10" s="32"/>
      <c r="S10" s="53" t="e">
        <f>_xlfn.LET(_xlpm.Result,INDEX(Input!$D$2:$AC$500,
       MATCH(B10, Input!$J$2:$J$500, 0),
       MATCH("Capacity", Input!$D$1:$AC$1, 0)),IF(_xlpm.Result="","",_xlpm.Result))</f>
        <v>#N/A</v>
      </c>
      <c r="T10" s="53" t="e" cm="1">
        <f t="array" ref="T10">_xlfn.TEXTSPLIT(S10," / ", ,TRUE,0,)</f>
        <v>#N/A</v>
      </c>
      <c r="U10" s="53"/>
      <c r="V10" s="53" t="str" cm="1">
        <f t="array" ref="V10">IFERROR(_xlfn.IFS(
T10="","",
--T10&lt;55,"Battery Defect",
--T10&lt;=69,"Battery D",
--T10&lt;=80,"Battery C",
--T10&gt;80,""
),"")</f>
        <v/>
      </c>
      <c r="W10" s="53" t="str" cm="1">
        <f t="array" ref="W10">IFERROR(_xlfn.IFS(
U10="","",
--U10&lt;55,"Battery Defect",
--U10&lt;=69,"Battery D",
--U10&lt;=80,"Battery C",
--U10&gt;80,""
),"")</f>
        <v/>
      </c>
      <c r="X10" s="53" t="str" cm="1">
        <f t="array" ref="X10:AE10">IFERROR(IF(_xlfn.XLOOKUP(B10,Input!J:J,Input!N:U)=0,"",
          _xlfn.XLOOKUP(B10,Input!J:J,Input!N:U)),"")</f>
        <v/>
      </c>
      <c r="Y10" s="53" t="str">
        <v/>
      </c>
      <c r="Z10" s="53" t="str">
        <v/>
      </c>
      <c r="AA10" s="53" t="str">
        <v/>
      </c>
      <c r="AB10" s="53" t="str">
        <v/>
      </c>
      <c r="AC10" s="53" t="str">
        <v/>
      </c>
      <c r="AD10" s="53" t="str">
        <v/>
      </c>
      <c r="AE10" s="53" t="str">
        <v/>
      </c>
      <c r="AF10" s="32" t="str">
        <f t="shared" si="2"/>
        <v/>
      </c>
      <c r="AG10" s="32" t="str">
        <f>_xlfn.XLOOKUP(B:B,Disk_Pivot!G:G,Disk_Pivot!I:I)</f>
        <v>Yes x2</v>
      </c>
      <c r="AH10" s="32" t="str">
        <f>_xlfn.XLOOKUP(B10,Disk_Pivot!G:G,Disk_Pivot!N:N)</f>
        <v>Pass, Fail</v>
      </c>
      <c r="AI10" s="32"/>
      <c r="AJ10" s="32"/>
      <c r="AK10" s="32"/>
      <c r="AL10" s="32"/>
      <c r="AM10" s="32"/>
      <c r="AN10" s="32"/>
    </row>
    <row r="11" spans="1:40">
      <c r="A11" s="32" t="str">
        <f>_xlfn.TEXTJOIN("",TRUE,_xlfn.XLOOKUP(B11,Input!J:J,Input!G:G,"",0,1),_xlfn.XLOOKUP(B11,Input!J:J,Input!H:H,"",0,1))</f>
        <v/>
      </c>
      <c r="B11" s="32"/>
      <c r="C11" s="53">
        <f>_xlfn.XLOOKUP(B11,Input!J:J,Input!F:F)</f>
        <v>0</v>
      </c>
      <c r="D11" s="32">
        <f>_xlfn.XLOOKUP(C11,Models!H:H,Models!G:G,C11)</f>
        <v>0</v>
      </c>
      <c r="E11" s="32"/>
      <c r="F11" s="32" t="str">
        <f>_xlfn.XLOOKUP(H11,Models!B:B,Models!F:F,"")</f>
        <v/>
      </c>
      <c r="G11" s="32">
        <f>_xlfn.XLOOKUP(B11,Input!J:J,Input!E:E)</f>
        <v>0</v>
      </c>
      <c r="H11" s="32">
        <f>IF(G11="LENOVO",_xlfn.XLOOKUP(B11,Input!J:J,Input!K:K),_xlfn.XLOOKUP(B11,Input!J:J,Input!L:L))</f>
        <v>0</v>
      </c>
      <c r="I11" s="32"/>
      <c r="J11" s="32"/>
      <c r="K11" s="32">
        <f>_xlfn.XLOOKUP(B11,CPU_Formula!A:A,CPU_Formula!I:I)</f>
        <v>0</v>
      </c>
      <c r="L11" s="53" t="e">
        <f>INDEX(Input!$D$2:$AC$500,
       MATCH(B11, Input!$J$2:$J$500, 0),
       MATCH("Memory Capacity", Input!$D$1:$AC$1, 0))</f>
        <v>#N/A</v>
      </c>
      <c r="M11" s="53" t="e">
        <f>INDEX(Input!$D$2:$AC$500,
       MATCH(B11, Input!$J$2:$J$500, 0),
       MATCH("Memory Type", Input!$D$1:$AC$1, 0))</f>
        <v>#N/A</v>
      </c>
      <c r="N11" s="53" t="e">
        <f t="shared" si="0"/>
        <v>#N/A</v>
      </c>
      <c r="O11" s="53" t="str" cm="1">
        <f t="array" ref="O11">IFERROR(_xlfn.FILTERXML("&lt;t&gt;&lt;s&gt;" &amp; SUBSTITUTE(M11," / ","&lt;/s&gt;&lt;s&gt;") &amp; "&lt;/s&gt;&lt;/t&gt;","(//s[contains(.,'DDR')])[1]"),"")</f>
        <v/>
      </c>
      <c r="P11" s="32" t="e">
        <f t="shared" si="1"/>
        <v>#N/A</v>
      </c>
      <c r="Q11" s="32" t="e">
        <f>INDEX(Input!$D$2:$AC$500,
       MATCH(B11, Input!$J$2:$J$500, 0),
       MATCH("Disk Capacity", Input!$D$1:$AC$1, 0))</f>
        <v>#N/A</v>
      </c>
      <c r="R11" s="32"/>
      <c r="S11" s="53" t="e">
        <f>_xlfn.LET(_xlpm.Result,INDEX(Input!$D$2:$AC$500,
       MATCH(B11, Input!$J$2:$J$500, 0),
       MATCH("Capacity", Input!$D$1:$AC$1, 0)),IF(_xlpm.Result="","",_xlpm.Result))</f>
        <v>#N/A</v>
      </c>
      <c r="T11" s="53" t="e" cm="1">
        <f t="array" ref="T11">_xlfn.TEXTSPLIT(S11," / ", ,TRUE,0,)</f>
        <v>#N/A</v>
      </c>
      <c r="U11" s="53"/>
      <c r="V11" s="53" t="str" cm="1">
        <f t="array" ref="V11">IFERROR(_xlfn.IFS(
T11="","",
--T11&lt;55,"Battery Defect",
--T11&lt;=69,"Battery D",
--T11&lt;=80,"Battery C",
--T11&gt;80,""
),"")</f>
        <v/>
      </c>
      <c r="W11" s="53" t="str" cm="1">
        <f t="array" ref="W11">IFERROR(_xlfn.IFS(
U11="","",
--U11&lt;55,"Battery Defect",
--U11&lt;=69,"Battery D",
--U11&lt;=80,"Battery C",
--U11&gt;80,""
),"")</f>
        <v/>
      </c>
      <c r="X11" s="53" t="str" cm="1">
        <f t="array" ref="X11:AE11">IFERROR(IF(_xlfn.XLOOKUP(B11,Input!J:J,Input!N:U)=0,"",
          _xlfn.XLOOKUP(B11,Input!J:J,Input!N:U)),"")</f>
        <v/>
      </c>
      <c r="Y11" s="53" t="str">
        <v/>
      </c>
      <c r="Z11" s="53" t="str">
        <v/>
      </c>
      <c r="AA11" s="53" t="str">
        <v/>
      </c>
      <c r="AB11" s="53" t="str">
        <v/>
      </c>
      <c r="AC11" s="53" t="str">
        <v/>
      </c>
      <c r="AD11" s="53" t="str">
        <v/>
      </c>
      <c r="AE11" s="53" t="str">
        <v/>
      </c>
      <c r="AF11" s="32" t="str">
        <f t="shared" si="2"/>
        <v/>
      </c>
      <c r="AG11" s="32" t="str">
        <f>_xlfn.XLOOKUP(B:B,Disk_Pivot!G:G,Disk_Pivot!I:I)</f>
        <v>Yes x2</v>
      </c>
      <c r="AH11" s="32" t="str">
        <f>_xlfn.XLOOKUP(B11,Disk_Pivot!G:G,Disk_Pivot!N:N)</f>
        <v>Pass, Fail</v>
      </c>
      <c r="AI11" s="32"/>
      <c r="AJ11" s="32"/>
      <c r="AK11" s="32"/>
      <c r="AL11" s="32"/>
      <c r="AM11" s="32"/>
      <c r="AN11" s="32"/>
    </row>
    <row r="12" spans="1:40">
      <c r="A12" s="32" t="str">
        <f>_xlfn.TEXTJOIN("",TRUE,_xlfn.XLOOKUP(B12,Input!J:J,Input!G:G,"",0,1),_xlfn.XLOOKUP(B12,Input!J:J,Input!H:H,"",0,1))</f>
        <v/>
      </c>
      <c r="B12" s="32"/>
      <c r="C12" s="53">
        <f>_xlfn.XLOOKUP(B12,Input!J:J,Input!F:F)</f>
        <v>0</v>
      </c>
      <c r="D12" s="32">
        <f>_xlfn.XLOOKUP(C12,Models!H:H,Models!G:G,C12)</f>
        <v>0</v>
      </c>
      <c r="E12" s="32"/>
      <c r="F12" s="32" t="str">
        <f>_xlfn.XLOOKUP(H12,Models!B:B,Models!F:F,"")</f>
        <v/>
      </c>
      <c r="G12" s="32">
        <f>_xlfn.XLOOKUP(B12,Input!J:J,Input!E:E)</f>
        <v>0</v>
      </c>
      <c r="H12" s="32">
        <f>IF(G12="LENOVO",_xlfn.XLOOKUP(B12,Input!J:J,Input!K:K),_xlfn.XLOOKUP(B12,Input!J:J,Input!L:L))</f>
        <v>0</v>
      </c>
      <c r="I12" s="32"/>
      <c r="J12" s="32"/>
      <c r="K12" s="32">
        <f>_xlfn.XLOOKUP(B12,CPU_Formula!A:A,CPU_Formula!I:I)</f>
        <v>0</v>
      </c>
      <c r="L12" s="53" t="e">
        <f>INDEX(Input!$D$2:$AC$500,
       MATCH(B12, Input!$J$2:$J$500, 0),
       MATCH("Memory Capacity", Input!$D$1:$AC$1, 0))</f>
        <v>#N/A</v>
      </c>
      <c r="M12" s="53" t="e">
        <f>INDEX(Input!$D$2:$AC$500,
       MATCH(B12, Input!$J$2:$J$500, 0),
       MATCH("Memory Type", Input!$D$1:$AC$1, 0))</f>
        <v>#N/A</v>
      </c>
      <c r="N12" s="53" t="e">
        <f t="shared" si="0"/>
        <v>#N/A</v>
      </c>
      <c r="O12" s="53" t="str" cm="1">
        <f t="array" ref="O12">IFERROR(_xlfn.FILTERXML("&lt;t&gt;&lt;s&gt;" &amp; SUBSTITUTE(M12," / ","&lt;/s&gt;&lt;s&gt;") &amp; "&lt;/s&gt;&lt;/t&gt;","(//s[contains(.,'DDR')])[1]"),"")</f>
        <v/>
      </c>
      <c r="P12" s="32" t="e">
        <f t="shared" si="1"/>
        <v>#N/A</v>
      </c>
      <c r="Q12" s="32" t="e">
        <f>INDEX(Input!$D$2:$AC$500,
       MATCH(B12, Input!$J$2:$J$500, 0),
       MATCH("Disk Capacity", Input!$D$1:$AC$1, 0))</f>
        <v>#N/A</v>
      </c>
      <c r="R12" s="32"/>
      <c r="S12" s="53" t="e">
        <f>_xlfn.LET(_xlpm.Result,INDEX(Input!$D$2:$AC$500,
       MATCH(B12, Input!$J$2:$J$500, 0),
       MATCH("Capacity", Input!$D$1:$AC$1, 0)),IF(_xlpm.Result="","",_xlpm.Result))</f>
        <v>#N/A</v>
      </c>
      <c r="T12" s="53" t="e" cm="1">
        <f t="array" ref="T12">_xlfn.TEXTSPLIT(S12," / ", ,TRUE,0,)</f>
        <v>#N/A</v>
      </c>
      <c r="U12" s="53"/>
      <c r="V12" s="53" t="str" cm="1">
        <f t="array" ref="V12">IFERROR(_xlfn.IFS(
T12="","",
--T12&lt;55,"Battery Defect",
--T12&lt;=69,"Battery D",
--T12&lt;=80,"Battery C",
--T12&gt;80,""
),"")</f>
        <v/>
      </c>
      <c r="W12" s="53" t="str" cm="1">
        <f t="array" ref="W12">IFERROR(_xlfn.IFS(
U12="","",
--U12&lt;55,"Battery Defect",
--U12&lt;=69,"Battery D",
--U12&lt;=80,"Battery C",
--U12&gt;80,""
),"")</f>
        <v/>
      </c>
      <c r="X12" s="53" t="str" cm="1">
        <f t="array" ref="X12:AE12">IFERROR(IF(_xlfn.XLOOKUP(B12,Input!J:J,Input!N:U)=0,"",
          _xlfn.XLOOKUP(B12,Input!J:J,Input!N:U)),"")</f>
        <v/>
      </c>
      <c r="Y12" s="53" t="str">
        <v/>
      </c>
      <c r="Z12" s="53" t="str">
        <v/>
      </c>
      <c r="AA12" s="53" t="str">
        <v/>
      </c>
      <c r="AB12" s="53" t="str">
        <v/>
      </c>
      <c r="AC12" s="53" t="str">
        <v/>
      </c>
      <c r="AD12" s="53" t="str">
        <v/>
      </c>
      <c r="AE12" s="53" t="str">
        <v/>
      </c>
      <c r="AF12" s="32" t="str">
        <f t="shared" si="2"/>
        <v/>
      </c>
      <c r="AG12" s="32" t="str">
        <f>_xlfn.XLOOKUP(B:B,Disk_Pivot!G:G,Disk_Pivot!I:I)</f>
        <v>Yes x2</v>
      </c>
      <c r="AH12" s="32" t="str">
        <f>_xlfn.XLOOKUP(B12,Disk_Pivot!G:G,Disk_Pivot!N:N)</f>
        <v>Pass, Fail</v>
      </c>
      <c r="AI12" s="32"/>
      <c r="AJ12" s="32"/>
      <c r="AK12" s="32"/>
      <c r="AL12" s="32"/>
      <c r="AM12" s="32"/>
      <c r="AN12" s="32"/>
    </row>
    <row r="13" spans="1:40">
      <c r="A13" s="32" t="str">
        <f>_xlfn.TEXTJOIN("",TRUE,_xlfn.XLOOKUP(B13,Input!J:J,Input!G:G,"",0,1),_xlfn.XLOOKUP(B13,Input!J:J,Input!H:H,"",0,1))</f>
        <v/>
      </c>
      <c r="B13" s="32"/>
      <c r="C13" s="53">
        <f>_xlfn.XLOOKUP(B13,Input!J:J,Input!F:F)</f>
        <v>0</v>
      </c>
      <c r="D13" s="32">
        <f>_xlfn.XLOOKUP(C13,Models!H:H,Models!G:G,C13)</f>
        <v>0</v>
      </c>
      <c r="E13" s="32"/>
      <c r="F13" s="32" t="str">
        <f>_xlfn.XLOOKUP(H13,Models!B:B,Models!F:F,"")</f>
        <v/>
      </c>
      <c r="G13" s="32">
        <f>_xlfn.XLOOKUP(B13,Input!J:J,Input!E:E)</f>
        <v>0</v>
      </c>
      <c r="H13" s="32">
        <f>IF(G13="LENOVO",_xlfn.XLOOKUP(B13,Input!J:J,Input!K:K),_xlfn.XLOOKUP(B13,Input!J:J,Input!L:L))</f>
        <v>0</v>
      </c>
      <c r="I13" s="32"/>
      <c r="J13" s="32"/>
      <c r="K13" s="32">
        <f>_xlfn.XLOOKUP(B13,CPU_Formula!A:A,CPU_Formula!I:I)</f>
        <v>0</v>
      </c>
      <c r="L13" s="53" t="e">
        <f>INDEX(Input!$D$2:$AC$500,
       MATCH(B13, Input!$J$2:$J$500, 0),
       MATCH("Memory Capacity", Input!$D$1:$AC$1, 0))</f>
        <v>#N/A</v>
      </c>
      <c r="M13" s="53" t="e">
        <f>INDEX(Input!$D$2:$AC$500,
       MATCH(B13, Input!$J$2:$J$500, 0),
       MATCH("Memory Type", Input!$D$1:$AC$1, 0))</f>
        <v>#N/A</v>
      </c>
      <c r="N13" s="53" t="e">
        <f t="shared" si="0"/>
        <v>#N/A</v>
      </c>
      <c r="O13" s="53" t="str" cm="1">
        <f t="array" ref="O13">IFERROR(_xlfn.FILTERXML("&lt;t&gt;&lt;s&gt;" &amp; SUBSTITUTE(M13," / ","&lt;/s&gt;&lt;s&gt;") &amp; "&lt;/s&gt;&lt;/t&gt;","(//s[contains(.,'DDR')])[1]"),"")</f>
        <v/>
      </c>
      <c r="P13" s="32" t="e">
        <f t="shared" si="1"/>
        <v>#N/A</v>
      </c>
      <c r="Q13" s="32" t="e">
        <f>INDEX(Input!$D$2:$AC$500,
       MATCH(B13, Input!$J$2:$J$500, 0),
       MATCH("Disk Capacity", Input!$D$1:$AC$1, 0))</f>
        <v>#N/A</v>
      </c>
      <c r="R13" s="32"/>
      <c r="S13" s="53" t="e">
        <f>_xlfn.LET(_xlpm.Result,INDEX(Input!$D$2:$AC$500,
       MATCH(B13, Input!$J$2:$J$500, 0),
       MATCH("Capacity", Input!$D$1:$AC$1, 0)),IF(_xlpm.Result="","",_xlpm.Result))</f>
        <v>#N/A</v>
      </c>
      <c r="T13" s="53" t="e" cm="1">
        <f t="array" ref="T13">_xlfn.TEXTSPLIT(S13," / ", ,TRUE,0,)</f>
        <v>#N/A</v>
      </c>
      <c r="U13" s="53"/>
      <c r="V13" s="53" t="str" cm="1">
        <f t="array" ref="V13">IFERROR(_xlfn.IFS(
T13="","",
--T13&lt;55,"Battery Defect",
--T13&lt;=69,"Battery D",
--T13&lt;=80,"Battery C",
--T13&gt;80,""
),"")</f>
        <v/>
      </c>
      <c r="W13" s="53" t="str" cm="1">
        <f t="array" ref="W13">IFERROR(_xlfn.IFS(
U13="","",
--U13&lt;55,"Battery Defect",
--U13&lt;=69,"Battery D",
--U13&lt;=80,"Battery C",
--U13&gt;80,""
),"")</f>
        <v/>
      </c>
      <c r="X13" s="53" t="str" cm="1">
        <f t="array" ref="X13:AE13">IFERROR(IF(_xlfn.XLOOKUP(B13,Input!J:J,Input!N:U)=0,"",
          _xlfn.XLOOKUP(B13,Input!J:J,Input!N:U)),"")</f>
        <v/>
      </c>
      <c r="Y13" s="53" t="str">
        <v/>
      </c>
      <c r="Z13" s="53" t="str">
        <v/>
      </c>
      <c r="AA13" s="53" t="str">
        <v/>
      </c>
      <c r="AB13" s="53" t="str">
        <v/>
      </c>
      <c r="AC13" s="53" t="str">
        <v/>
      </c>
      <c r="AD13" s="53" t="str">
        <v/>
      </c>
      <c r="AE13" s="53" t="str">
        <v/>
      </c>
      <c r="AF13" s="32" t="str">
        <f t="shared" si="2"/>
        <v/>
      </c>
      <c r="AG13" s="32" t="str">
        <f>_xlfn.XLOOKUP(B:B,Disk_Pivot!G:G,Disk_Pivot!I:I)</f>
        <v>Yes x2</v>
      </c>
      <c r="AH13" s="32" t="str">
        <f>_xlfn.XLOOKUP(B13,Disk_Pivot!G:G,Disk_Pivot!N:N)</f>
        <v>Pass, Fail</v>
      </c>
      <c r="AI13" s="32"/>
      <c r="AJ13" s="32"/>
      <c r="AK13" s="32"/>
      <c r="AL13" s="32"/>
      <c r="AM13" s="32"/>
      <c r="AN13" s="32"/>
    </row>
    <row r="14" spans="1:40">
      <c r="A14" s="32" t="str">
        <f>_xlfn.TEXTJOIN("",TRUE,_xlfn.XLOOKUP(B14,Input!J:J,Input!G:G,"",0,1),_xlfn.XLOOKUP(B14,Input!J:J,Input!H:H,"",0,1))</f>
        <v/>
      </c>
      <c r="B14" s="32"/>
      <c r="C14" s="53">
        <f>_xlfn.XLOOKUP(B14,Input!J:J,Input!F:F)</f>
        <v>0</v>
      </c>
      <c r="D14" s="32">
        <f>_xlfn.XLOOKUP(C14,Models!H:H,Models!G:G,C14)</f>
        <v>0</v>
      </c>
      <c r="E14" s="32"/>
      <c r="F14" s="32" t="str">
        <f>_xlfn.XLOOKUP(H14,Models!B:B,Models!F:F,"")</f>
        <v/>
      </c>
      <c r="G14" s="32">
        <f>_xlfn.XLOOKUP(B14,Input!J:J,Input!E:E)</f>
        <v>0</v>
      </c>
      <c r="H14" s="32">
        <f>IF(G14="LENOVO",_xlfn.XLOOKUP(B14,Input!J:J,Input!K:K),_xlfn.XLOOKUP(B14,Input!J:J,Input!L:L))</f>
        <v>0</v>
      </c>
      <c r="I14" s="32"/>
      <c r="J14" s="32"/>
      <c r="K14" s="32">
        <f>_xlfn.XLOOKUP(B14,CPU_Formula!A:A,CPU_Formula!I:I)</f>
        <v>0</v>
      </c>
      <c r="L14" s="53" t="e">
        <f>INDEX(Input!$D$2:$AC$500,
       MATCH(B14, Input!$J$2:$J$500, 0),
       MATCH("Memory Capacity", Input!$D$1:$AC$1, 0))</f>
        <v>#N/A</v>
      </c>
      <c r="M14" s="53" t="e">
        <f>INDEX(Input!$D$2:$AC$500,
       MATCH(B14, Input!$J$2:$J$500, 0),
       MATCH("Memory Type", Input!$D$1:$AC$1, 0))</f>
        <v>#N/A</v>
      </c>
      <c r="N14" s="53" t="e">
        <f t="shared" si="0"/>
        <v>#N/A</v>
      </c>
      <c r="O14" s="53" t="str" cm="1">
        <f t="array" ref="O14">IFERROR(_xlfn.FILTERXML("&lt;t&gt;&lt;s&gt;" &amp; SUBSTITUTE(M14," / ","&lt;/s&gt;&lt;s&gt;") &amp; "&lt;/s&gt;&lt;/t&gt;","(//s[contains(.,'DDR')])[1]"),"")</f>
        <v/>
      </c>
      <c r="P14" s="32" t="e">
        <f t="shared" si="1"/>
        <v>#N/A</v>
      </c>
      <c r="Q14" s="32" t="e">
        <f>INDEX(Input!$D$2:$AC$500,
       MATCH(B14, Input!$J$2:$J$500, 0),
       MATCH("Disk Capacity", Input!$D$1:$AC$1, 0))</f>
        <v>#N/A</v>
      </c>
      <c r="R14" s="32"/>
      <c r="S14" s="53" t="e">
        <f>_xlfn.LET(_xlpm.Result,INDEX(Input!$D$2:$AC$500,
       MATCH(B14, Input!$J$2:$J$500, 0),
       MATCH("Capacity", Input!$D$1:$AC$1, 0)),IF(_xlpm.Result="","",_xlpm.Result))</f>
        <v>#N/A</v>
      </c>
      <c r="T14" s="53" t="e" cm="1">
        <f t="array" ref="T14">_xlfn.TEXTSPLIT(S14," / ", ,TRUE,0,)</f>
        <v>#N/A</v>
      </c>
      <c r="U14" s="53"/>
      <c r="V14" s="53" t="str" cm="1">
        <f t="array" ref="V14">IFERROR(_xlfn.IFS(
T14="","",
--T14&lt;55,"Battery Defect",
--T14&lt;=69,"Battery D",
--T14&lt;=80,"Battery C",
--T14&gt;80,""
),"")</f>
        <v/>
      </c>
      <c r="W14" s="53" t="str" cm="1">
        <f t="array" ref="W14">IFERROR(_xlfn.IFS(
U14="","",
--U14&lt;55,"Battery Defect",
--U14&lt;=69,"Battery D",
--U14&lt;=80,"Battery C",
--U14&gt;80,""
),"")</f>
        <v/>
      </c>
      <c r="X14" s="53" t="str" cm="1">
        <f t="array" ref="X14:AE14">IFERROR(IF(_xlfn.XLOOKUP(B14,Input!J:J,Input!N:U)=0,"",
          _xlfn.XLOOKUP(B14,Input!J:J,Input!N:U)),"")</f>
        <v/>
      </c>
      <c r="Y14" s="53" t="str">
        <v/>
      </c>
      <c r="Z14" s="53" t="str">
        <v/>
      </c>
      <c r="AA14" s="53" t="str">
        <v/>
      </c>
      <c r="AB14" s="53" t="str">
        <v/>
      </c>
      <c r="AC14" s="53" t="str">
        <v/>
      </c>
      <c r="AD14" s="53" t="str">
        <v/>
      </c>
      <c r="AE14" s="53" t="str">
        <v/>
      </c>
      <c r="AF14" s="32" t="str">
        <f t="shared" si="2"/>
        <v/>
      </c>
      <c r="AG14" s="32" t="str">
        <f>_xlfn.XLOOKUP(B:B,Disk_Pivot!G:G,Disk_Pivot!I:I)</f>
        <v>Yes x2</v>
      </c>
      <c r="AH14" s="32" t="str">
        <f>_xlfn.XLOOKUP(B14,Disk_Pivot!G:G,Disk_Pivot!N:N)</f>
        <v>Pass, Fail</v>
      </c>
      <c r="AI14" s="32"/>
      <c r="AJ14" s="32"/>
      <c r="AK14" s="32"/>
      <c r="AL14" s="32"/>
      <c r="AM14" s="32"/>
      <c r="AN14" s="32"/>
    </row>
    <row r="15" spans="1:40">
      <c r="A15" s="32" t="str">
        <f>_xlfn.TEXTJOIN("",TRUE,_xlfn.XLOOKUP(B15,Input!J:J,Input!G:G,"",0,1),_xlfn.XLOOKUP(B15,Input!J:J,Input!H:H,"",0,1))</f>
        <v/>
      </c>
      <c r="B15" s="32"/>
      <c r="C15" s="53">
        <f>_xlfn.XLOOKUP(B15,Input!J:J,Input!F:F)</f>
        <v>0</v>
      </c>
      <c r="D15" s="32">
        <f>_xlfn.XLOOKUP(C15,Models!H:H,Models!G:G,C15)</f>
        <v>0</v>
      </c>
      <c r="E15" s="32"/>
      <c r="F15" s="32" t="str">
        <f>_xlfn.XLOOKUP(H15,Models!B:B,Models!F:F,"")</f>
        <v/>
      </c>
      <c r="G15" s="32">
        <f>_xlfn.XLOOKUP(B15,Input!J:J,Input!E:E)</f>
        <v>0</v>
      </c>
      <c r="H15" s="32">
        <f>IF(G15="LENOVO",_xlfn.XLOOKUP(B15,Input!J:J,Input!K:K),_xlfn.XLOOKUP(B15,Input!J:J,Input!L:L))</f>
        <v>0</v>
      </c>
      <c r="I15" s="32"/>
      <c r="J15" s="32"/>
      <c r="K15" s="32">
        <f>_xlfn.XLOOKUP(B15,CPU_Formula!A:A,CPU_Formula!I:I)</f>
        <v>0</v>
      </c>
      <c r="L15" s="53" t="e">
        <f>INDEX(Input!$D$2:$AC$500,
       MATCH(B15, Input!$J$2:$J$500, 0),
       MATCH("Memory Capacity", Input!$D$1:$AC$1, 0))</f>
        <v>#N/A</v>
      </c>
      <c r="M15" s="53" t="e">
        <f>INDEX(Input!$D$2:$AC$500,
       MATCH(B15, Input!$J$2:$J$500, 0),
       MATCH("Memory Type", Input!$D$1:$AC$1, 0))</f>
        <v>#N/A</v>
      </c>
      <c r="N15" s="53" t="e">
        <f t="shared" si="0"/>
        <v>#N/A</v>
      </c>
      <c r="O15" s="53" t="str" cm="1">
        <f t="array" ref="O15">IFERROR(_xlfn.FILTERXML("&lt;t&gt;&lt;s&gt;" &amp; SUBSTITUTE(M15," / ","&lt;/s&gt;&lt;s&gt;") &amp; "&lt;/s&gt;&lt;/t&gt;","(//s[contains(.,'DDR')])[1]"),"")</f>
        <v/>
      </c>
      <c r="P15" s="32" t="e">
        <f t="shared" si="1"/>
        <v>#N/A</v>
      </c>
      <c r="Q15" s="32" t="e">
        <f>INDEX(Input!$D$2:$AC$500,
       MATCH(B15, Input!$J$2:$J$500, 0),
       MATCH("Disk Capacity", Input!$D$1:$AC$1, 0))</f>
        <v>#N/A</v>
      </c>
      <c r="R15" s="32"/>
      <c r="S15" s="53" t="e">
        <f>_xlfn.LET(_xlpm.Result,INDEX(Input!$D$2:$AC$500,
       MATCH(B15, Input!$J$2:$J$500, 0),
       MATCH("Capacity", Input!$D$1:$AC$1, 0)),IF(_xlpm.Result="","",_xlpm.Result))</f>
        <v>#N/A</v>
      </c>
      <c r="T15" s="53" t="e" cm="1">
        <f t="array" ref="T15">_xlfn.TEXTSPLIT(S15," / ", ,TRUE,0,)</f>
        <v>#N/A</v>
      </c>
      <c r="U15" s="53"/>
      <c r="V15" s="53" t="str" cm="1">
        <f t="array" ref="V15">IFERROR(_xlfn.IFS(
T15="","",
--T15&lt;55,"Battery Defect",
--T15&lt;=69,"Battery D",
--T15&lt;=80,"Battery C",
--T15&gt;80,""
),"")</f>
        <v/>
      </c>
      <c r="W15" s="53" t="str" cm="1">
        <f t="array" ref="W15">IFERROR(_xlfn.IFS(
U15="","",
--U15&lt;55,"Battery Defect",
--U15&lt;=69,"Battery D",
--U15&lt;=80,"Battery C",
--U15&gt;80,""
),"")</f>
        <v/>
      </c>
      <c r="X15" s="53" t="str" cm="1">
        <f t="array" ref="X15:AE15">IFERROR(IF(_xlfn.XLOOKUP(B15,Input!J:J,Input!N:U)=0,"",
          _xlfn.XLOOKUP(B15,Input!J:J,Input!N:U)),"")</f>
        <v/>
      </c>
      <c r="Y15" s="53" t="str">
        <v/>
      </c>
      <c r="Z15" s="53" t="str">
        <v/>
      </c>
      <c r="AA15" s="53" t="str">
        <v/>
      </c>
      <c r="AB15" s="53" t="str">
        <v/>
      </c>
      <c r="AC15" s="53" t="str">
        <v/>
      </c>
      <c r="AD15" s="53" t="str">
        <v/>
      </c>
      <c r="AE15" s="53" t="str">
        <v/>
      </c>
      <c r="AF15" s="32" t="str">
        <f t="shared" si="2"/>
        <v/>
      </c>
      <c r="AG15" s="32" t="str">
        <f>_xlfn.XLOOKUP(B:B,Disk_Pivot!G:G,Disk_Pivot!I:I)</f>
        <v>Yes x2</v>
      </c>
      <c r="AH15" s="32" t="str">
        <f>_xlfn.XLOOKUP(B15,Disk_Pivot!G:G,Disk_Pivot!N:N)</f>
        <v>Pass, Fail</v>
      </c>
      <c r="AI15" s="32"/>
      <c r="AJ15" s="32"/>
      <c r="AK15" s="32"/>
      <c r="AL15" s="32"/>
      <c r="AM15" s="32"/>
      <c r="AN15" s="32"/>
    </row>
    <row r="16" spans="1:40">
      <c r="A16" s="32" t="str">
        <f>_xlfn.TEXTJOIN("",TRUE,_xlfn.XLOOKUP(B16,Input!J:J,Input!G:G,"",0,1),_xlfn.XLOOKUP(B16,Input!J:J,Input!H:H,"",0,1))</f>
        <v/>
      </c>
      <c r="B16" s="32"/>
      <c r="C16" s="53">
        <f>_xlfn.XLOOKUP(B16,Input!J:J,Input!F:F)</f>
        <v>0</v>
      </c>
      <c r="D16" s="32">
        <f>_xlfn.XLOOKUP(C16,Models!H:H,Models!G:G,C16)</f>
        <v>0</v>
      </c>
      <c r="E16" s="32"/>
      <c r="F16" s="32" t="str">
        <f>_xlfn.XLOOKUP(H16,Models!B:B,Models!F:F,"")</f>
        <v/>
      </c>
      <c r="G16" s="32">
        <f>_xlfn.XLOOKUP(B16,Input!J:J,Input!E:E)</f>
        <v>0</v>
      </c>
      <c r="H16" s="32">
        <f>IF(G16="LENOVO",_xlfn.XLOOKUP(B16,Input!J:J,Input!K:K),_xlfn.XLOOKUP(B16,Input!J:J,Input!L:L))</f>
        <v>0</v>
      </c>
      <c r="I16" s="32"/>
      <c r="J16" s="32"/>
      <c r="K16" s="32">
        <f>_xlfn.XLOOKUP(B16,CPU_Formula!A:A,CPU_Formula!I:I)</f>
        <v>0</v>
      </c>
      <c r="L16" s="53" t="e">
        <f>INDEX(Input!$D$2:$AC$500,
       MATCH(B16, Input!$J$2:$J$500, 0),
       MATCH("Memory Capacity", Input!$D$1:$AC$1, 0))</f>
        <v>#N/A</v>
      </c>
      <c r="M16" s="53" t="e">
        <f>INDEX(Input!$D$2:$AC$500,
       MATCH(B16, Input!$J$2:$J$500, 0),
       MATCH("Memory Type", Input!$D$1:$AC$1, 0))</f>
        <v>#N/A</v>
      </c>
      <c r="N16" s="53" t="e">
        <f t="shared" si="0"/>
        <v>#N/A</v>
      </c>
      <c r="O16" s="53" t="str" cm="1">
        <f t="array" ref="O16">IFERROR(_xlfn.FILTERXML("&lt;t&gt;&lt;s&gt;" &amp; SUBSTITUTE(M16," / ","&lt;/s&gt;&lt;s&gt;") &amp; "&lt;/s&gt;&lt;/t&gt;","(//s[contains(.,'DDR')])[1]"),"")</f>
        <v/>
      </c>
      <c r="P16" s="32" t="e">
        <f t="shared" si="1"/>
        <v>#N/A</v>
      </c>
      <c r="Q16" s="32" t="e">
        <f>INDEX(Input!$D$2:$AC$500,
       MATCH(B16, Input!$J$2:$J$500, 0),
       MATCH("Disk Capacity", Input!$D$1:$AC$1, 0))</f>
        <v>#N/A</v>
      </c>
      <c r="R16" s="32"/>
      <c r="S16" s="53" t="e">
        <f>_xlfn.LET(_xlpm.Result,INDEX(Input!$D$2:$AC$500,
       MATCH(B16, Input!$J$2:$J$500, 0),
       MATCH("Capacity", Input!$D$1:$AC$1, 0)),IF(_xlpm.Result="","",_xlpm.Result))</f>
        <v>#N/A</v>
      </c>
      <c r="T16" s="53" t="e" cm="1">
        <f t="array" ref="T16">_xlfn.TEXTSPLIT(S16," / ", ,TRUE,0,)</f>
        <v>#N/A</v>
      </c>
      <c r="U16" s="53"/>
      <c r="V16" s="53" t="str" cm="1">
        <f t="array" ref="V16">IFERROR(_xlfn.IFS(
T16="","",
--T16&lt;55,"Battery Defect",
--T16&lt;=69,"Battery D",
--T16&lt;=80,"Battery C",
--T16&gt;80,""
),"")</f>
        <v/>
      </c>
      <c r="W16" s="53" t="str" cm="1">
        <f t="array" ref="W16">IFERROR(_xlfn.IFS(
U16="","",
--U16&lt;55,"Battery Defect",
--U16&lt;=69,"Battery D",
--U16&lt;=80,"Battery C",
--U16&gt;80,""
),"")</f>
        <v/>
      </c>
      <c r="X16" s="53" t="str" cm="1">
        <f t="array" ref="X16:AE16">IFERROR(IF(_xlfn.XLOOKUP(B16,Input!J:J,Input!N:U)=0,"",
          _xlfn.XLOOKUP(B16,Input!J:J,Input!N:U)),"")</f>
        <v/>
      </c>
      <c r="Y16" s="53" t="str">
        <v/>
      </c>
      <c r="Z16" s="53" t="str">
        <v/>
      </c>
      <c r="AA16" s="53" t="str">
        <v/>
      </c>
      <c r="AB16" s="53" t="str">
        <v/>
      </c>
      <c r="AC16" s="53" t="str">
        <v/>
      </c>
      <c r="AD16" s="53" t="str">
        <v/>
      </c>
      <c r="AE16" s="53" t="str">
        <v/>
      </c>
      <c r="AF16" s="32" t="str">
        <f t="shared" si="2"/>
        <v/>
      </c>
      <c r="AG16" s="32" t="str">
        <f>_xlfn.XLOOKUP(B:B,Disk_Pivot!G:G,Disk_Pivot!I:I)</f>
        <v>Yes x2</v>
      </c>
      <c r="AH16" s="32" t="str">
        <f>_xlfn.XLOOKUP(B16,Disk_Pivot!G:G,Disk_Pivot!N:N)</f>
        <v>Pass, Fail</v>
      </c>
      <c r="AI16" s="32"/>
      <c r="AJ16" s="32"/>
      <c r="AK16" s="32"/>
      <c r="AL16" s="32"/>
      <c r="AM16" s="32"/>
      <c r="AN16" s="32"/>
    </row>
    <row r="17" spans="1:40">
      <c r="A17" s="32" t="str">
        <f>_xlfn.TEXTJOIN("",TRUE,_xlfn.XLOOKUP(B17,Input!J:J,Input!G:G,"",0,1),_xlfn.XLOOKUP(B17,Input!J:J,Input!H:H,"",0,1))</f>
        <v/>
      </c>
      <c r="B17" s="32"/>
      <c r="C17" s="53">
        <f>_xlfn.XLOOKUP(B17,Input!J:J,Input!F:F)</f>
        <v>0</v>
      </c>
      <c r="D17" s="32">
        <f>_xlfn.XLOOKUP(C17,Models!H:H,Models!G:G,C17)</f>
        <v>0</v>
      </c>
      <c r="E17" s="32"/>
      <c r="F17" s="32" t="str">
        <f>_xlfn.XLOOKUP(H17,Models!B:B,Models!F:F,"")</f>
        <v/>
      </c>
      <c r="G17" s="32">
        <f>_xlfn.XLOOKUP(B17,Input!J:J,Input!E:E)</f>
        <v>0</v>
      </c>
      <c r="H17" s="32">
        <f>IF(G17="LENOVO",_xlfn.XLOOKUP(B17,Input!J:J,Input!K:K),_xlfn.XLOOKUP(B17,Input!J:J,Input!L:L))</f>
        <v>0</v>
      </c>
      <c r="I17" s="32"/>
      <c r="J17" s="32"/>
      <c r="K17" s="32">
        <f>_xlfn.XLOOKUP(B17,CPU_Formula!A:A,CPU_Formula!I:I)</f>
        <v>0</v>
      </c>
      <c r="L17" s="53" t="e">
        <f>INDEX(Input!$D$2:$AC$500,
       MATCH(B17, Input!$J$2:$J$500, 0),
       MATCH("Memory Capacity", Input!$D$1:$AC$1, 0))</f>
        <v>#N/A</v>
      </c>
      <c r="M17" s="53" t="e">
        <f>INDEX(Input!$D$2:$AC$500,
       MATCH(B17, Input!$J$2:$J$500, 0),
       MATCH("Memory Type", Input!$D$1:$AC$1, 0))</f>
        <v>#N/A</v>
      </c>
      <c r="N17" s="53" t="e">
        <f t="shared" si="0"/>
        <v>#N/A</v>
      </c>
      <c r="O17" s="53" t="str" cm="1">
        <f t="array" ref="O17">IFERROR(_xlfn.FILTERXML("&lt;t&gt;&lt;s&gt;" &amp; SUBSTITUTE(M17," / ","&lt;/s&gt;&lt;s&gt;") &amp; "&lt;/s&gt;&lt;/t&gt;","(//s[contains(.,'DDR')])[1]"),"")</f>
        <v/>
      </c>
      <c r="P17" s="32" t="e">
        <f t="shared" si="1"/>
        <v>#N/A</v>
      </c>
      <c r="Q17" s="32" t="e">
        <f>INDEX(Input!$D$2:$AC$500,
       MATCH(B17, Input!$J$2:$J$500, 0),
       MATCH("Disk Capacity", Input!$D$1:$AC$1, 0))</f>
        <v>#N/A</v>
      </c>
      <c r="R17" s="32"/>
      <c r="S17" s="53" t="e">
        <f>_xlfn.LET(_xlpm.Result,INDEX(Input!$D$2:$AC$500,
       MATCH(B17, Input!$J$2:$J$500, 0),
       MATCH("Capacity", Input!$D$1:$AC$1, 0)),IF(_xlpm.Result="","",_xlpm.Result))</f>
        <v>#N/A</v>
      </c>
      <c r="T17" s="53" t="e" cm="1">
        <f t="array" ref="T17">_xlfn.TEXTSPLIT(S17," / ", ,TRUE,0,)</f>
        <v>#N/A</v>
      </c>
      <c r="U17" s="53"/>
      <c r="V17" s="53" t="str" cm="1">
        <f t="array" ref="V17">IFERROR(_xlfn.IFS(
T17="","",
--T17&lt;55,"Battery Defect",
--T17&lt;=69,"Battery D",
--T17&lt;=80,"Battery C",
--T17&gt;80,""
),"")</f>
        <v/>
      </c>
      <c r="W17" s="53" t="str" cm="1">
        <f t="array" ref="W17">IFERROR(_xlfn.IFS(
U17="","",
--U17&lt;55,"Battery Defect",
--U17&lt;=69,"Battery D",
--U17&lt;=80,"Battery C",
--U17&gt;80,""
),"")</f>
        <v/>
      </c>
      <c r="X17" s="53" t="str" cm="1">
        <f t="array" ref="X17:AE17">IFERROR(IF(_xlfn.XLOOKUP(B17,Input!J:J,Input!N:U)=0,"",
          _xlfn.XLOOKUP(B17,Input!J:J,Input!N:U)),"")</f>
        <v/>
      </c>
      <c r="Y17" s="53" t="str">
        <v/>
      </c>
      <c r="Z17" s="53" t="str">
        <v/>
      </c>
      <c r="AA17" s="53" t="str">
        <v/>
      </c>
      <c r="AB17" s="53" t="str">
        <v/>
      </c>
      <c r="AC17" s="53" t="str">
        <v/>
      </c>
      <c r="AD17" s="53" t="str">
        <v/>
      </c>
      <c r="AE17" s="53" t="str">
        <v/>
      </c>
      <c r="AF17" s="32" t="str">
        <f t="shared" si="2"/>
        <v/>
      </c>
      <c r="AG17" s="32" t="str">
        <f>_xlfn.XLOOKUP(B:B,Disk_Pivot!G:G,Disk_Pivot!I:I)</f>
        <v>Yes x2</v>
      </c>
      <c r="AH17" s="32" t="str">
        <f>_xlfn.XLOOKUP(B17,Disk_Pivot!G:G,Disk_Pivot!N:N)</f>
        <v>Pass, Fail</v>
      </c>
      <c r="AI17" s="32"/>
      <c r="AJ17" s="32"/>
      <c r="AK17" s="32"/>
      <c r="AL17" s="32"/>
      <c r="AM17" s="32"/>
      <c r="AN17" s="32"/>
    </row>
    <row r="18" spans="1:40">
      <c r="A18" s="32" t="str">
        <f>_xlfn.TEXTJOIN("",TRUE,_xlfn.XLOOKUP(B18,Input!J:J,Input!G:G,"",0,1),_xlfn.XLOOKUP(B18,Input!J:J,Input!H:H,"",0,1))</f>
        <v/>
      </c>
      <c r="B18" s="32"/>
      <c r="C18" s="53">
        <f>_xlfn.XLOOKUP(B18,Input!J:J,Input!F:F)</f>
        <v>0</v>
      </c>
      <c r="D18" s="32">
        <f>_xlfn.XLOOKUP(C18,Models!H:H,Models!G:G,C18)</f>
        <v>0</v>
      </c>
      <c r="E18" s="32"/>
      <c r="F18" s="32" t="str">
        <f>_xlfn.XLOOKUP(H18,Models!B:B,Models!F:F,"")</f>
        <v/>
      </c>
      <c r="G18" s="32">
        <f>_xlfn.XLOOKUP(B18,Input!J:J,Input!E:E)</f>
        <v>0</v>
      </c>
      <c r="H18" s="32">
        <f>IF(G18="LENOVO",_xlfn.XLOOKUP(B18,Input!J:J,Input!K:K),_xlfn.XLOOKUP(B18,Input!J:J,Input!L:L))</f>
        <v>0</v>
      </c>
      <c r="I18" s="32"/>
      <c r="J18" s="32"/>
      <c r="K18" s="32">
        <f>_xlfn.XLOOKUP(B18,CPU_Formula!A:A,CPU_Formula!I:I)</f>
        <v>0</v>
      </c>
      <c r="L18" s="53" t="e">
        <f>INDEX(Input!$D$2:$AC$500,
       MATCH(B18, Input!$J$2:$J$500, 0),
       MATCH("Memory Capacity", Input!$D$1:$AC$1, 0))</f>
        <v>#N/A</v>
      </c>
      <c r="M18" s="53" t="e">
        <f>INDEX(Input!$D$2:$AC$500,
       MATCH(B18, Input!$J$2:$J$500, 0),
       MATCH("Memory Type", Input!$D$1:$AC$1, 0))</f>
        <v>#N/A</v>
      </c>
      <c r="N18" s="53" t="e">
        <f t="shared" si="0"/>
        <v>#N/A</v>
      </c>
      <c r="O18" s="53" t="str" cm="1">
        <f t="array" ref="O18">IFERROR(_xlfn.FILTERXML("&lt;t&gt;&lt;s&gt;" &amp; SUBSTITUTE(M18," / ","&lt;/s&gt;&lt;s&gt;") &amp; "&lt;/s&gt;&lt;/t&gt;","(//s[contains(.,'DDR')])[1]"),"")</f>
        <v/>
      </c>
      <c r="P18" s="32" t="e">
        <f t="shared" si="1"/>
        <v>#N/A</v>
      </c>
      <c r="Q18" s="32" t="e">
        <f>INDEX(Input!$D$2:$AC$500,
       MATCH(B18, Input!$J$2:$J$500, 0),
       MATCH("Disk Capacity", Input!$D$1:$AC$1, 0))</f>
        <v>#N/A</v>
      </c>
      <c r="R18" s="32"/>
      <c r="S18" s="53" t="e">
        <f>_xlfn.LET(_xlpm.Result,INDEX(Input!$D$2:$AC$500,
       MATCH(B18, Input!$J$2:$J$500, 0),
       MATCH("Capacity", Input!$D$1:$AC$1, 0)),IF(_xlpm.Result="","",_xlpm.Result))</f>
        <v>#N/A</v>
      </c>
      <c r="T18" s="53" t="e" cm="1">
        <f t="array" ref="T18">_xlfn.TEXTSPLIT(S18," / ", ,TRUE,0,)</f>
        <v>#N/A</v>
      </c>
      <c r="U18" s="53"/>
      <c r="V18" s="53" t="str" cm="1">
        <f t="array" ref="V18">IFERROR(_xlfn.IFS(
T18="","",
--T18&lt;55,"Battery Defect",
--T18&lt;=69,"Battery D",
--T18&lt;=80,"Battery C",
--T18&gt;80,""
),"")</f>
        <v/>
      </c>
      <c r="W18" s="53" t="str" cm="1">
        <f t="array" ref="W18">IFERROR(_xlfn.IFS(
U18="","",
--U18&lt;55,"Battery Defect",
--U18&lt;=69,"Battery D",
--U18&lt;=80,"Battery C",
--U18&gt;80,""
),"")</f>
        <v/>
      </c>
      <c r="X18" s="53" t="str" cm="1">
        <f t="array" ref="X18:AE18">IFERROR(IF(_xlfn.XLOOKUP(B18,Input!J:J,Input!N:U)=0,"",
          _xlfn.XLOOKUP(B18,Input!J:J,Input!N:U)),"")</f>
        <v/>
      </c>
      <c r="Y18" s="53" t="str">
        <v/>
      </c>
      <c r="Z18" s="53" t="str">
        <v/>
      </c>
      <c r="AA18" s="53" t="str">
        <v/>
      </c>
      <c r="AB18" s="53" t="str">
        <v/>
      </c>
      <c r="AC18" s="53" t="str">
        <v/>
      </c>
      <c r="AD18" s="53" t="str">
        <v/>
      </c>
      <c r="AE18" s="53" t="str">
        <v/>
      </c>
      <c r="AF18" s="32" t="str">
        <f t="shared" si="2"/>
        <v/>
      </c>
      <c r="AG18" s="32" t="str">
        <f>_xlfn.XLOOKUP(B:B,Disk_Pivot!G:G,Disk_Pivot!I:I)</f>
        <v>Yes x2</v>
      </c>
      <c r="AH18" s="32" t="str">
        <f>_xlfn.XLOOKUP(B18,Disk_Pivot!G:G,Disk_Pivot!N:N)</f>
        <v>Pass, Fail</v>
      </c>
      <c r="AI18" s="32"/>
      <c r="AJ18" s="32"/>
      <c r="AK18" s="32"/>
      <c r="AL18" s="32"/>
      <c r="AM18" s="32"/>
      <c r="AN18" s="32"/>
    </row>
    <row r="19" spans="1:40">
      <c r="A19" s="32" t="str">
        <f>_xlfn.TEXTJOIN("",TRUE,_xlfn.XLOOKUP(B19,Input!J:J,Input!G:G,"",0,1),_xlfn.XLOOKUP(B19,Input!J:J,Input!H:H,"",0,1))</f>
        <v/>
      </c>
      <c r="B19" s="32"/>
      <c r="C19" s="53">
        <f>_xlfn.XLOOKUP(B19,Input!J:J,Input!F:F)</f>
        <v>0</v>
      </c>
      <c r="D19" s="32">
        <f>_xlfn.XLOOKUP(C19,Models!H:H,Models!G:G,C19)</f>
        <v>0</v>
      </c>
      <c r="E19" s="32"/>
      <c r="F19" s="32" t="str">
        <f>_xlfn.XLOOKUP(H19,Models!B:B,Models!F:F,"")</f>
        <v/>
      </c>
      <c r="G19" s="32">
        <f>_xlfn.XLOOKUP(B19,Input!J:J,Input!E:E)</f>
        <v>0</v>
      </c>
      <c r="H19" s="32">
        <f>IF(G19="LENOVO",_xlfn.XLOOKUP(B19,Input!J:J,Input!K:K),_xlfn.XLOOKUP(B19,Input!J:J,Input!L:L))</f>
        <v>0</v>
      </c>
      <c r="I19" s="32"/>
      <c r="J19" s="32"/>
      <c r="K19" s="32">
        <f>_xlfn.XLOOKUP(B19,CPU_Formula!A:A,CPU_Formula!I:I)</f>
        <v>0</v>
      </c>
      <c r="L19" s="53" t="e">
        <f>INDEX(Input!$D$2:$AC$500,
       MATCH(B19, Input!$J$2:$J$500, 0),
       MATCH("Memory Capacity", Input!$D$1:$AC$1, 0))</f>
        <v>#N/A</v>
      </c>
      <c r="M19" s="53" t="e">
        <f>INDEX(Input!$D$2:$AC$500,
       MATCH(B19, Input!$J$2:$J$500, 0),
       MATCH("Memory Type", Input!$D$1:$AC$1, 0))</f>
        <v>#N/A</v>
      </c>
      <c r="N19" s="53" t="e">
        <f t="shared" si="0"/>
        <v>#N/A</v>
      </c>
      <c r="O19" s="53" t="str" cm="1">
        <f t="array" ref="O19">IFERROR(_xlfn.FILTERXML("&lt;t&gt;&lt;s&gt;" &amp; SUBSTITUTE(M19," / ","&lt;/s&gt;&lt;s&gt;") &amp; "&lt;/s&gt;&lt;/t&gt;","(//s[contains(.,'DDR')])[1]"),"")</f>
        <v/>
      </c>
      <c r="P19" s="32" t="e">
        <f t="shared" si="1"/>
        <v>#N/A</v>
      </c>
      <c r="Q19" s="32" t="e">
        <f>INDEX(Input!$D$2:$AC$500,
       MATCH(B19, Input!$J$2:$J$500, 0),
       MATCH("Disk Capacity", Input!$D$1:$AC$1, 0))</f>
        <v>#N/A</v>
      </c>
      <c r="R19" s="32"/>
      <c r="S19" s="53" t="e">
        <f>_xlfn.LET(_xlpm.Result,INDEX(Input!$D$2:$AC$500,
       MATCH(B19, Input!$J$2:$J$500, 0),
       MATCH("Capacity", Input!$D$1:$AC$1, 0)),IF(_xlpm.Result="","",_xlpm.Result))</f>
        <v>#N/A</v>
      </c>
      <c r="T19" s="53" t="e" cm="1">
        <f t="array" ref="T19">_xlfn.TEXTSPLIT(S19," / ", ,TRUE,0,)</f>
        <v>#N/A</v>
      </c>
      <c r="U19" s="53"/>
      <c r="V19" s="53" t="str" cm="1">
        <f t="array" ref="V19">IFERROR(_xlfn.IFS(
T19="","",
--T19&lt;55,"Battery Defect",
--T19&lt;=69,"Battery D",
--T19&lt;=80,"Battery C",
--T19&gt;80,""
),"")</f>
        <v/>
      </c>
      <c r="W19" s="53" t="str" cm="1">
        <f t="array" ref="W19">IFERROR(_xlfn.IFS(
U19="","",
--U19&lt;55,"Battery Defect",
--U19&lt;=69,"Battery D",
--U19&lt;=80,"Battery C",
--U19&gt;80,""
),"")</f>
        <v/>
      </c>
      <c r="X19" s="53" t="str" cm="1">
        <f t="array" ref="X19:AE19">IFERROR(IF(_xlfn.XLOOKUP(B19,Input!J:J,Input!N:U)=0,"",
          _xlfn.XLOOKUP(B19,Input!J:J,Input!N:U)),"")</f>
        <v/>
      </c>
      <c r="Y19" s="53" t="str">
        <v/>
      </c>
      <c r="Z19" s="53" t="str">
        <v/>
      </c>
      <c r="AA19" s="53" t="str">
        <v/>
      </c>
      <c r="AB19" s="53" t="str">
        <v/>
      </c>
      <c r="AC19" s="53" t="str">
        <v/>
      </c>
      <c r="AD19" s="53" t="str">
        <v/>
      </c>
      <c r="AE19" s="53" t="str">
        <v/>
      </c>
      <c r="AF19" s="32" t="str">
        <f t="shared" si="2"/>
        <v/>
      </c>
      <c r="AG19" s="32" t="str">
        <f>_xlfn.XLOOKUP(B:B,Disk_Pivot!G:G,Disk_Pivot!I:I)</f>
        <v>Yes x2</v>
      </c>
      <c r="AH19" s="32" t="str">
        <f>_xlfn.XLOOKUP(B19,Disk_Pivot!G:G,Disk_Pivot!N:N)</f>
        <v>Pass, Fail</v>
      </c>
      <c r="AI19" s="32"/>
      <c r="AJ19" s="32"/>
      <c r="AK19" s="32"/>
      <c r="AL19" s="32"/>
      <c r="AM19" s="32"/>
      <c r="AN19" s="32"/>
    </row>
    <row r="20" spans="1:40">
      <c r="A20" s="32" t="str">
        <f>_xlfn.TEXTJOIN("",TRUE,_xlfn.XLOOKUP(B20,Input!J:J,Input!G:G,"",0,1),_xlfn.XLOOKUP(B20,Input!J:J,Input!H:H,"",0,1))</f>
        <v/>
      </c>
      <c r="B20" s="32"/>
      <c r="C20" s="53">
        <f>_xlfn.XLOOKUP(B20,Input!J:J,Input!F:F)</f>
        <v>0</v>
      </c>
      <c r="D20" s="32">
        <f>_xlfn.XLOOKUP(C20,Models!H:H,Models!G:G,C20)</f>
        <v>0</v>
      </c>
      <c r="E20" s="32"/>
      <c r="F20" s="32" t="str">
        <f>_xlfn.XLOOKUP(H20,Models!B:B,Models!F:F,"")</f>
        <v/>
      </c>
      <c r="G20" s="32">
        <f>_xlfn.XLOOKUP(B20,Input!J:J,Input!E:E)</f>
        <v>0</v>
      </c>
      <c r="H20" s="32">
        <f>IF(G20="LENOVO",_xlfn.XLOOKUP(B20,Input!J:J,Input!K:K),_xlfn.XLOOKUP(B20,Input!J:J,Input!L:L))</f>
        <v>0</v>
      </c>
      <c r="I20" s="32"/>
      <c r="J20" s="32"/>
      <c r="K20" s="32">
        <f>_xlfn.XLOOKUP(B20,CPU_Formula!A:A,CPU_Formula!I:I)</f>
        <v>0</v>
      </c>
      <c r="L20" s="53" t="e">
        <f>INDEX(Input!$D$2:$AC$500,
       MATCH(B20, Input!$J$2:$J$500, 0),
       MATCH("Memory Capacity", Input!$D$1:$AC$1, 0))</f>
        <v>#N/A</v>
      </c>
      <c r="M20" s="53" t="e">
        <f>INDEX(Input!$D$2:$AC$500,
       MATCH(B20, Input!$J$2:$J$500, 0),
       MATCH("Memory Type", Input!$D$1:$AC$1, 0))</f>
        <v>#N/A</v>
      </c>
      <c r="N20" s="53" t="e">
        <f t="shared" si="0"/>
        <v>#N/A</v>
      </c>
      <c r="O20" s="53" t="str" cm="1">
        <f t="array" ref="O20">IFERROR(_xlfn.FILTERXML("&lt;t&gt;&lt;s&gt;" &amp; SUBSTITUTE(M20," / ","&lt;/s&gt;&lt;s&gt;") &amp; "&lt;/s&gt;&lt;/t&gt;","(//s[contains(.,'DDR')])[1]"),"")</f>
        <v/>
      </c>
      <c r="P20" s="32" t="e">
        <f t="shared" si="1"/>
        <v>#N/A</v>
      </c>
      <c r="Q20" s="32" t="e">
        <f>INDEX(Input!$D$2:$AC$500,
       MATCH(B20, Input!$J$2:$J$500, 0),
       MATCH("Disk Capacity", Input!$D$1:$AC$1, 0))</f>
        <v>#N/A</v>
      </c>
      <c r="R20" s="32"/>
      <c r="S20" s="53" t="e">
        <f>_xlfn.LET(_xlpm.Result,INDEX(Input!$D$2:$AC$500,
       MATCH(B20, Input!$J$2:$J$500, 0),
       MATCH("Capacity", Input!$D$1:$AC$1, 0)),IF(_xlpm.Result="","",_xlpm.Result))</f>
        <v>#N/A</v>
      </c>
      <c r="T20" s="53" t="e" cm="1">
        <f t="array" ref="T20">_xlfn.TEXTSPLIT(S20," / ", ,TRUE,0,)</f>
        <v>#N/A</v>
      </c>
      <c r="U20" s="53"/>
      <c r="V20" s="53" t="str" cm="1">
        <f t="array" ref="V20">IFERROR(_xlfn.IFS(
T20="","",
--T20&lt;55,"Battery Defect",
--T20&lt;=69,"Battery D",
--T20&lt;=80,"Battery C",
--T20&gt;80,""
),"")</f>
        <v/>
      </c>
      <c r="W20" s="53" t="str" cm="1">
        <f t="array" ref="W20">IFERROR(_xlfn.IFS(
U20="","",
--U20&lt;55,"Battery Defect",
--U20&lt;=69,"Battery D",
--U20&lt;=80,"Battery C",
--U20&gt;80,""
),"")</f>
        <v/>
      </c>
      <c r="X20" s="53" t="str" cm="1">
        <f t="array" ref="X20:AE20">IFERROR(IF(_xlfn.XLOOKUP(B20,Input!J:J,Input!N:U)=0,"",
          _xlfn.XLOOKUP(B20,Input!J:J,Input!N:U)),"")</f>
        <v/>
      </c>
      <c r="Y20" s="53" t="str">
        <v/>
      </c>
      <c r="Z20" s="53" t="str">
        <v/>
      </c>
      <c r="AA20" s="53" t="str">
        <v/>
      </c>
      <c r="AB20" s="53" t="str">
        <v/>
      </c>
      <c r="AC20" s="53" t="str">
        <v/>
      </c>
      <c r="AD20" s="53" t="str">
        <v/>
      </c>
      <c r="AE20" s="53" t="str">
        <v/>
      </c>
      <c r="AF20" s="32" t="str">
        <f t="shared" si="2"/>
        <v/>
      </c>
      <c r="AG20" s="32" t="str">
        <f>_xlfn.XLOOKUP(B:B,Disk_Pivot!G:G,Disk_Pivot!I:I)</f>
        <v>Yes x2</v>
      </c>
      <c r="AH20" s="32" t="str">
        <f>_xlfn.XLOOKUP(B20,Disk_Pivot!G:G,Disk_Pivot!N:N)</f>
        <v>Pass, Fail</v>
      </c>
      <c r="AI20" s="32"/>
      <c r="AJ20" s="32"/>
      <c r="AK20" s="32"/>
      <c r="AL20" s="32"/>
      <c r="AM20" s="32"/>
      <c r="AN20" s="32"/>
    </row>
    <row r="21" spans="1:40">
      <c r="A21" s="32" t="str">
        <f>_xlfn.TEXTJOIN("",TRUE,_xlfn.XLOOKUP(B21,Input!J:J,Input!G:G,"",0,1),_xlfn.XLOOKUP(B21,Input!J:J,Input!H:H,"",0,1))</f>
        <v/>
      </c>
      <c r="B21" s="32"/>
      <c r="C21" s="53">
        <f>_xlfn.XLOOKUP(B21,Input!J:J,Input!F:F)</f>
        <v>0</v>
      </c>
      <c r="D21" s="32">
        <f>_xlfn.XLOOKUP(C21,Models!H:H,Models!G:G,C21)</f>
        <v>0</v>
      </c>
      <c r="E21" s="32"/>
      <c r="F21" s="32" t="str">
        <f>_xlfn.XLOOKUP(H21,Models!B:B,Models!F:F,"")</f>
        <v/>
      </c>
      <c r="G21" s="32">
        <f>_xlfn.XLOOKUP(B21,Input!J:J,Input!E:E)</f>
        <v>0</v>
      </c>
      <c r="H21" s="32">
        <f>IF(G21="LENOVO",_xlfn.XLOOKUP(B21,Input!J:J,Input!K:K),_xlfn.XLOOKUP(B21,Input!J:J,Input!L:L))</f>
        <v>0</v>
      </c>
      <c r="I21" s="32"/>
      <c r="J21" s="32"/>
      <c r="K21" s="32">
        <f>_xlfn.XLOOKUP(B21,CPU_Formula!A:A,CPU_Formula!I:I)</f>
        <v>0</v>
      </c>
      <c r="L21" s="53" t="e">
        <f>INDEX(Input!$D$2:$AC$500,
       MATCH(B21, Input!$J$2:$J$500, 0),
       MATCH("Memory Capacity", Input!$D$1:$AC$1, 0))</f>
        <v>#N/A</v>
      </c>
      <c r="M21" s="53" t="e">
        <f>INDEX(Input!$D$2:$AC$500,
       MATCH(B21, Input!$J$2:$J$500, 0),
       MATCH("Memory Type", Input!$D$1:$AC$1, 0))</f>
        <v>#N/A</v>
      </c>
      <c r="N21" s="53" t="e">
        <f t="shared" si="0"/>
        <v>#N/A</v>
      </c>
      <c r="O21" s="53" t="str" cm="1">
        <f t="array" ref="O21">IFERROR(_xlfn.FILTERXML("&lt;t&gt;&lt;s&gt;" &amp; SUBSTITUTE(M21," / ","&lt;/s&gt;&lt;s&gt;") &amp; "&lt;/s&gt;&lt;/t&gt;","(//s[contains(.,'DDR')])[1]"),"")</f>
        <v/>
      </c>
      <c r="P21" s="32" t="e">
        <f t="shared" si="1"/>
        <v>#N/A</v>
      </c>
      <c r="Q21" s="32" t="e">
        <f>INDEX(Input!$D$2:$AC$500,
       MATCH(B21, Input!$J$2:$J$500, 0),
       MATCH("Disk Capacity", Input!$D$1:$AC$1, 0))</f>
        <v>#N/A</v>
      </c>
      <c r="R21" s="32"/>
      <c r="S21" s="53" t="e">
        <f>_xlfn.LET(_xlpm.Result,INDEX(Input!$D$2:$AC$500,
       MATCH(B21, Input!$J$2:$J$500, 0),
       MATCH("Capacity", Input!$D$1:$AC$1, 0)),IF(_xlpm.Result="","",_xlpm.Result))</f>
        <v>#N/A</v>
      </c>
      <c r="T21" s="53" t="e" cm="1">
        <f t="array" ref="T21">_xlfn.TEXTSPLIT(S21," / ", ,TRUE,0,)</f>
        <v>#N/A</v>
      </c>
      <c r="U21" s="53"/>
      <c r="V21" s="53" t="str" cm="1">
        <f t="array" ref="V21">IFERROR(_xlfn.IFS(
T21="","",
--T21&lt;55,"Battery Defect",
--T21&lt;=69,"Battery D",
--T21&lt;=80,"Battery C",
--T21&gt;80,""
),"")</f>
        <v/>
      </c>
      <c r="W21" s="53" t="str" cm="1">
        <f t="array" ref="W21">IFERROR(_xlfn.IFS(
U21="","",
--U21&lt;55,"Battery Defect",
--U21&lt;=69,"Battery D",
--U21&lt;=80,"Battery C",
--U21&gt;80,""
),"")</f>
        <v/>
      </c>
      <c r="X21" s="53" t="str" cm="1">
        <f t="array" ref="X21:AE21">IFERROR(IF(_xlfn.XLOOKUP(B21,Input!J:J,Input!N:U)=0,"",
          _xlfn.XLOOKUP(B21,Input!J:J,Input!N:U)),"")</f>
        <v/>
      </c>
      <c r="Y21" s="53" t="str">
        <v/>
      </c>
      <c r="Z21" s="53" t="str">
        <v/>
      </c>
      <c r="AA21" s="53" t="str">
        <v/>
      </c>
      <c r="AB21" s="53" t="str">
        <v/>
      </c>
      <c r="AC21" s="53" t="str">
        <v/>
      </c>
      <c r="AD21" s="53" t="str">
        <v/>
      </c>
      <c r="AE21" s="53" t="str">
        <v/>
      </c>
      <c r="AF21" s="32" t="str">
        <f t="shared" si="2"/>
        <v/>
      </c>
      <c r="AG21" s="32" t="str">
        <f>_xlfn.XLOOKUP(B:B,Disk_Pivot!G:G,Disk_Pivot!I:I)</f>
        <v>Yes x2</v>
      </c>
      <c r="AH21" s="32" t="str">
        <f>_xlfn.XLOOKUP(B21,Disk_Pivot!G:G,Disk_Pivot!N:N)</f>
        <v>Pass, Fail</v>
      </c>
      <c r="AI21" s="32"/>
      <c r="AJ21" s="32"/>
      <c r="AK21" s="32"/>
      <c r="AL21" s="32"/>
      <c r="AM21" s="32"/>
      <c r="AN21" s="32"/>
    </row>
    <row r="22" spans="1:40">
      <c r="A22" s="32" t="str">
        <f>_xlfn.TEXTJOIN("",TRUE,_xlfn.XLOOKUP(B22,Input!J:J,Input!G:G,"",0,1),_xlfn.XLOOKUP(B22,Input!J:J,Input!H:H,"",0,1))</f>
        <v/>
      </c>
      <c r="B22" s="32"/>
      <c r="C22" s="53">
        <f>_xlfn.XLOOKUP(B22,Input!J:J,Input!F:F)</f>
        <v>0</v>
      </c>
      <c r="D22" s="32">
        <f>_xlfn.XLOOKUP(C22,Models!H:H,Models!G:G,C22)</f>
        <v>0</v>
      </c>
      <c r="E22" s="32"/>
      <c r="F22" s="32" t="str">
        <f>_xlfn.XLOOKUP(H22,Models!B:B,Models!F:F,"")</f>
        <v/>
      </c>
      <c r="G22" s="32">
        <f>_xlfn.XLOOKUP(B22,Input!J:J,Input!E:E)</f>
        <v>0</v>
      </c>
      <c r="H22" s="32">
        <f>IF(G22="LENOVO",_xlfn.XLOOKUP(B22,Input!J:J,Input!K:K),_xlfn.XLOOKUP(B22,Input!J:J,Input!L:L))</f>
        <v>0</v>
      </c>
      <c r="I22" s="32"/>
      <c r="J22" s="32"/>
      <c r="K22" s="32">
        <f>_xlfn.XLOOKUP(B22,CPU_Formula!A:A,CPU_Formula!I:I)</f>
        <v>0</v>
      </c>
      <c r="L22" s="53" t="e">
        <f>INDEX(Input!$D$2:$AC$500,
       MATCH(B22, Input!$J$2:$J$500, 0),
       MATCH("Memory Capacity", Input!$D$1:$AC$1, 0))</f>
        <v>#N/A</v>
      </c>
      <c r="M22" s="53" t="e">
        <f>INDEX(Input!$D$2:$AC$500,
       MATCH(B22, Input!$J$2:$J$500, 0),
       MATCH("Memory Type", Input!$D$1:$AC$1, 0))</f>
        <v>#N/A</v>
      </c>
      <c r="N22" s="53" t="e">
        <f t="shared" si="0"/>
        <v>#N/A</v>
      </c>
      <c r="O22" s="53" t="str" cm="1">
        <f t="array" ref="O22">IFERROR(_xlfn.FILTERXML("&lt;t&gt;&lt;s&gt;" &amp; SUBSTITUTE(M22," / ","&lt;/s&gt;&lt;s&gt;") &amp; "&lt;/s&gt;&lt;/t&gt;","(//s[contains(.,'DDR')])[1]"),"")</f>
        <v/>
      </c>
      <c r="P22" s="32" t="e">
        <f t="shared" si="1"/>
        <v>#N/A</v>
      </c>
      <c r="Q22" s="32" t="e">
        <f>INDEX(Input!$D$2:$AC$500,
       MATCH(B22, Input!$J$2:$J$500, 0),
       MATCH("Disk Capacity", Input!$D$1:$AC$1, 0))</f>
        <v>#N/A</v>
      </c>
      <c r="R22" s="32"/>
      <c r="S22" s="53" t="e">
        <f>_xlfn.LET(_xlpm.Result,INDEX(Input!$D$2:$AC$500,
       MATCH(B22, Input!$J$2:$J$500, 0),
       MATCH("Capacity", Input!$D$1:$AC$1, 0)),IF(_xlpm.Result="","",_xlpm.Result))</f>
        <v>#N/A</v>
      </c>
      <c r="T22" s="53" t="e" cm="1">
        <f t="array" ref="T22">_xlfn.TEXTSPLIT(S22," / ", ,TRUE,0,)</f>
        <v>#N/A</v>
      </c>
      <c r="U22" s="53"/>
      <c r="V22" s="53" t="str" cm="1">
        <f t="array" ref="V22">IFERROR(_xlfn.IFS(
T22="","",
--T22&lt;55,"Battery Defect",
--T22&lt;=69,"Battery D",
--T22&lt;=80,"Battery C",
--T22&gt;80,""
),"")</f>
        <v/>
      </c>
      <c r="W22" s="53" t="str" cm="1">
        <f t="array" ref="W22">IFERROR(_xlfn.IFS(
U22="","",
--U22&lt;55,"Battery Defect",
--U22&lt;=69,"Battery D",
--U22&lt;=80,"Battery C",
--U22&gt;80,""
),"")</f>
        <v/>
      </c>
      <c r="X22" s="53" t="str" cm="1">
        <f t="array" ref="X22:AE22">IFERROR(IF(_xlfn.XLOOKUP(B22,Input!J:J,Input!N:U)=0,"",
          _xlfn.XLOOKUP(B22,Input!J:J,Input!N:U)),"")</f>
        <v/>
      </c>
      <c r="Y22" s="53" t="str">
        <v/>
      </c>
      <c r="Z22" s="53" t="str">
        <v/>
      </c>
      <c r="AA22" s="53" t="str">
        <v/>
      </c>
      <c r="AB22" s="53" t="str">
        <v/>
      </c>
      <c r="AC22" s="53" t="str">
        <v/>
      </c>
      <c r="AD22" s="53" t="str">
        <v/>
      </c>
      <c r="AE22" s="53" t="str">
        <v/>
      </c>
      <c r="AF22" s="32" t="str">
        <f t="shared" si="2"/>
        <v/>
      </c>
      <c r="AG22" s="32" t="str">
        <f>_xlfn.XLOOKUP(B:B,Disk_Pivot!G:G,Disk_Pivot!I:I)</f>
        <v>Yes x2</v>
      </c>
      <c r="AH22" s="32" t="str">
        <f>_xlfn.XLOOKUP(B22,Disk_Pivot!G:G,Disk_Pivot!N:N)</f>
        <v>Pass, Fail</v>
      </c>
      <c r="AI22" s="32"/>
      <c r="AJ22" s="32"/>
      <c r="AK22" s="32"/>
      <c r="AL22" s="32"/>
      <c r="AM22" s="32"/>
      <c r="AN22" s="32"/>
    </row>
    <row r="23" spans="1:40">
      <c r="A23" s="32" t="str">
        <f>_xlfn.TEXTJOIN("",TRUE,_xlfn.XLOOKUP(B23,Input!J:J,Input!G:G,"",0,1),_xlfn.XLOOKUP(B23,Input!J:J,Input!H:H,"",0,1))</f>
        <v/>
      </c>
      <c r="B23" s="32"/>
      <c r="C23" s="53">
        <f>_xlfn.XLOOKUP(B23,Input!J:J,Input!F:F)</f>
        <v>0</v>
      </c>
      <c r="D23" s="32">
        <f>_xlfn.XLOOKUP(C23,Models!H:H,Models!G:G,C23)</f>
        <v>0</v>
      </c>
      <c r="E23" s="32"/>
      <c r="F23" s="32" t="str">
        <f>_xlfn.XLOOKUP(H23,Models!B:B,Models!F:F,"")</f>
        <v/>
      </c>
      <c r="G23" s="32">
        <f>_xlfn.XLOOKUP(B23,Input!J:J,Input!E:E)</f>
        <v>0</v>
      </c>
      <c r="H23" s="32">
        <f>IF(G23="LENOVO",_xlfn.XLOOKUP(B23,Input!J:J,Input!K:K),_xlfn.XLOOKUP(B23,Input!J:J,Input!L:L))</f>
        <v>0</v>
      </c>
      <c r="I23" s="32"/>
      <c r="J23" s="32"/>
      <c r="K23" s="32">
        <f>_xlfn.XLOOKUP(B23,CPU_Formula!A:A,CPU_Formula!I:I)</f>
        <v>0</v>
      </c>
      <c r="L23" s="53" t="e">
        <f>INDEX(Input!$D$2:$AC$500,
       MATCH(B23, Input!$J$2:$J$500, 0),
       MATCH("Memory Capacity", Input!$D$1:$AC$1, 0))</f>
        <v>#N/A</v>
      </c>
      <c r="M23" s="53" t="e">
        <f>INDEX(Input!$D$2:$AC$500,
       MATCH(B23, Input!$J$2:$J$500, 0),
       MATCH("Memory Type", Input!$D$1:$AC$1, 0))</f>
        <v>#N/A</v>
      </c>
      <c r="N23" s="53" t="e">
        <f t="shared" si="0"/>
        <v>#N/A</v>
      </c>
      <c r="O23" s="53" t="str" cm="1">
        <f t="array" ref="O23">IFERROR(_xlfn.FILTERXML("&lt;t&gt;&lt;s&gt;" &amp; SUBSTITUTE(M23," / ","&lt;/s&gt;&lt;s&gt;") &amp; "&lt;/s&gt;&lt;/t&gt;","(//s[contains(.,'DDR')])[1]"),"")</f>
        <v/>
      </c>
      <c r="P23" s="32" t="e">
        <f t="shared" si="1"/>
        <v>#N/A</v>
      </c>
      <c r="Q23" s="32" t="e">
        <f>INDEX(Input!$D$2:$AC$500,
       MATCH(B23, Input!$J$2:$J$500, 0),
       MATCH("Disk Capacity", Input!$D$1:$AC$1, 0))</f>
        <v>#N/A</v>
      </c>
      <c r="R23" s="32"/>
      <c r="S23" s="53" t="e">
        <f>_xlfn.LET(_xlpm.Result,INDEX(Input!$D$2:$AC$500,
       MATCH(B23, Input!$J$2:$J$500, 0),
       MATCH("Capacity", Input!$D$1:$AC$1, 0)),IF(_xlpm.Result="","",_xlpm.Result))</f>
        <v>#N/A</v>
      </c>
      <c r="T23" s="53" t="e" cm="1">
        <f t="array" ref="T23">_xlfn.TEXTSPLIT(S23," / ", ,TRUE,0,)</f>
        <v>#N/A</v>
      </c>
      <c r="U23" s="53"/>
      <c r="V23" s="53" t="str" cm="1">
        <f t="array" ref="V23">IFERROR(_xlfn.IFS(
T23="","",
--T23&lt;55,"Battery Defect",
--T23&lt;=69,"Battery D",
--T23&lt;=80,"Battery C",
--T23&gt;80,""
),"")</f>
        <v/>
      </c>
      <c r="W23" s="53" t="str" cm="1">
        <f t="array" ref="W23">IFERROR(_xlfn.IFS(
U23="","",
--U23&lt;55,"Battery Defect",
--U23&lt;=69,"Battery D",
--U23&lt;=80,"Battery C",
--U23&gt;80,""
),"")</f>
        <v/>
      </c>
      <c r="X23" s="53" t="str" cm="1">
        <f t="array" ref="X23:AE23">IFERROR(IF(_xlfn.XLOOKUP(B23,Input!J:J,Input!N:U)=0,"",
          _xlfn.XLOOKUP(B23,Input!J:J,Input!N:U)),"")</f>
        <v/>
      </c>
      <c r="Y23" s="53" t="str">
        <v/>
      </c>
      <c r="Z23" s="53" t="str">
        <v/>
      </c>
      <c r="AA23" s="53" t="str">
        <v/>
      </c>
      <c r="AB23" s="53" t="str">
        <v/>
      </c>
      <c r="AC23" s="53" t="str">
        <v/>
      </c>
      <c r="AD23" s="53" t="str">
        <v/>
      </c>
      <c r="AE23" s="53" t="str">
        <v/>
      </c>
      <c r="AF23" s="32" t="str">
        <f t="shared" si="2"/>
        <v/>
      </c>
      <c r="AG23" s="32" t="str">
        <f>_xlfn.XLOOKUP(B:B,Disk_Pivot!G:G,Disk_Pivot!I:I)</f>
        <v>Yes x2</v>
      </c>
      <c r="AH23" s="32" t="str">
        <f>_xlfn.XLOOKUP(B23,Disk_Pivot!G:G,Disk_Pivot!N:N)</f>
        <v>Pass, Fail</v>
      </c>
      <c r="AI23" s="32"/>
      <c r="AJ23" s="32"/>
      <c r="AK23" s="32"/>
      <c r="AL23" s="32"/>
      <c r="AM23" s="32"/>
      <c r="AN23" s="32"/>
    </row>
    <row r="24" spans="1:40">
      <c r="A24" s="32" t="str">
        <f>_xlfn.TEXTJOIN("",TRUE,_xlfn.XLOOKUP(B24,Input!J:J,Input!G:G,"",0,1),_xlfn.XLOOKUP(B24,Input!J:J,Input!H:H,"",0,1))</f>
        <v/>
      </c>
      <c r="B24" s="32"/>
      <c r="C24" s="53">
        <f>_xlfn.XLOOKUP(B24,Input!J:J,Input!F:F)</f>
        <v>0</v>
      </c>
      <c r="D24" s="32">
        <f>_xlfn.XLOOKUP(C24,Models!H:H,Models!G:G,C24)</f>
        <v>0</v>
      </c>
      <c r="E24" s="32"/>
      <c r="F24" s="32" t="str">
        <f>_xlfn.XLOOKUP(H24,Models!B:B,Models!F:F,"")</f>
        <v/>
      </c>
      <c r="G24" s="32">
        <f>_xlfn.XLOOKUP(B24,Input!J:J,Input!E:E)</f>
        <v>0</v>
      </c>
      <c r="H24" s="32">
        <f>IF(G24="LENOVO",_xlfn.XLOOKUP(B24,Input!J:J,Input!K:K),_xlfn.XLOOKUP(B24,Input!J:J,Input!L:L))</f>
        <v>0</v>
      </c>
      <c r="I24" s="32"/>
      <c r="J24" s="32"/>
      <c r="K24" s="32">
        <f>_xlfn.XLOOKUP(B24,CPU_Formula!A:A,CPU_Formula!I:I)</f>
        <v>0</v>
      </c>
      <c r="L24" s="53" t="e">
        <f>INDEX(Input!$D$2:$AC$500,
       MATCH(B24, Input!$J$2:$J$500, 0),
       MATCH("Memory Capacity", Input!$D$1:$AC$1, 0))</f>
        <v>#N/A</v>
      </c>
      <c r="M24" s="53" t="e">
        <f>INDEX(Input!$D$2:$AC$500,
       MATCH(B24, Input!$J$2:$J$500, 0),
       MATCH("Memory Type", Input!$D$1:$AC$1, 0))</f>
        <v>#N/A</v>
      </c>
      <c r="N24" s="53" t="e">
        <f t="shared" si="0"/>
        <v>#N/A</v>
      </c>
      <c r="O24" s="53" t="str" cm="1">
        <f t="array" ref="O24">IFERROR(_xlfn.FILTERXML("&lt;t&gt;&lt;s&gt;" &amp; SUBSTITUTE(M24," / ","&lt;/s&gt;&lt;s&gt;") &amp; "&lt;/s&gt;&lt;/t&gt;","(//s[contains(.,'DDR')])[1]"),"")</f>
        <v/>
      </c>
      <c r="P24" s="32" t="e">
        <f t="shared" si="1"/>
        <v>#N/A</v>
      </c>
      <c r="Q24" s="32" t="e">
        <f>INDEX(Input!$D$2:$AC$500,
       MATCH(B24, Input!$J$2:$J$500, 0),
       MATCH("Disk Capacity", Input!$D$1:$AC$1, 0))</f>
        <v>#N/A</v>
      </c>
      <c r="R24" s="32"/>
      <c r="S24" s="53" t="e">
        <f>_xlfn.LET(_xlpm.Result,INDEX(Input!$D$2:$AC$500,
       MATCH(B24, Input!$J$2:$J$500, 0),
       MATCH("Capacity", Input!$D$1:$AC$1, 0)),IF(_xlpm.Result="","",_xlpm.Result))</f>
        <v>#N/A</v>
      </c>
      <c r="T24" s="53" t="e" cm="1">
        <f t="array" ref="T24">_xlfn.TEXTSPLIT(S24," / ", ,TRUE,0,)</f>
        <v>#N/A</v>
      </c>
      <c r="U24" s="53"/>
      <c r="V24" s="53" t="str" cm="1">
        <f t="array" ref="V24">IFERROR(_xlfn.IFS(
T24="","",
--T24&lt;55,"Battery Defect",
--T24&lt;=69,"Battery D",
--T24&lt;=80,"Battery C",
--T24&gt;80,""
),"")</f>
        <v/>
      </c>
      <c r="W24" s="53" t="str" cm="1">
        <f t="array" ref="W24">IFERROR(_xlfn.IFS(
U24="","",
--U24&lt;55,"Battery Defect",
--U24&lt;=69,"Battery D",
--U24&lt;=80,"Battery C",
--U24&gt;80,""
),"")</f>
        <v/>
      </c>
      <c r="X24" s="53" t="str" cm="1">
        <f t="array" ref="X24:AE24">IFERROR(IF(_xlfn.XLOOKUP(B24,Input!J:J,Input!N:U)=0,"",
          _xlfn.XLOOKUP(B24,Input!J:J,Input!N:U)),"")</f>
        <v/>
      </c>
      <c r="Y24" s="53" t="str">
        <v/>
      </c>
      <c r="Z24" s="53" t="str">
        <v/>
      </c>
      <c r="AA24" s="53" t="str">
        <v/>
      </c>
      <c r="AB24" s="53" t="str">
        <v/>
      </c>
      <c r="AC24" s="53" t="str">
        <v/>
      </c>
      <c r="AD24" s="53" t="str">
        <v/>
      </c>
      <c r="AE24" s="53" t="str">
        <v/>
      </c>
      <c r="AF24" s="32" t="str">
        <f t="shared" si="2"/>
        <v/>
      </c>
      <c r="AG24" s="32" t="str">
        <f>_xlfn.XLOOKUP(B:B,Disk_Pivot!G:G,Disk_Pivot!I:I)</f>
        <v>Yes x2</v>
      </c>
      <c r="AH24" s="32" t="str">
        <f>_xlfn.XLOOKUP(B24,Disk_Pivot!G:G,Disk_Pivot!N:N)</f>
        <v>Pass, Fail</v>
      </c>
      <c r="AI24" s="32"/>
      <c r="AJ24" s="32"/>
      <c r="AK24" s="32"/>
      <c r="AL24" s="32"/>
      <c r="AM24" s="32"/>
      <c r="AN24" s="32"/>
    </row>
    <row r="25" spans="1:40">
      <c r="A25" s="32" t="str">
        <f>_xlfn.TEXTJOIN("",TRUE,_xlfn.XLOOKUP(B25,Input!J:J,Input!G:G,"",0,1),_xlfn.XLOOKUP(B25,Input!J:J,Input!H:H,"",0,1))</f>
        <v/>
      </c>
      <c r="B25" s="32"/>
      <c r="C25" s="53">
        <f>_xlfn.XLOOKUP(B25,Input!J:J,Input!F:F)</f>
        <v>0</v>
      </c>
      <c r="D25" s="32">
        <f>_xlfn.XLOOKUP(C25,Models!H:H,Models!G:G,C25)</f>
        <v>0</v>
      </c>
      <c r="E25" s="32"/>
      <c r="F25" s="32" t="str">
        <f>_xlfn.XLOOKUP(H25,Models!B:B,Models!F:F,"")</f>
        <v/>
      </c>
      <c r="G25" s="32">
        <f>_xlfn.XLOOKUP(B25,Input!J:J,Input!E:E)</f>
        <v>0</v>
      </c>
      <c r="H25" s="32">
        <f>IF(G25="LENOVO",_xlfn.XLOOKUP(B25,Input!J:J,Input!K:K),_xlfn.XLOOKUP(B25,Input!J:J,Input!L:L))</f>
        <v>0</v>
      </c>
      <c r="I25" s="32"/>
      <c r="J25" s="32"/>
      <c r="K25" s="32">
        <f>_xlfn.XLOOKUP(B25,CPU_Formula!A:A,CPU_Formula!I:I)</f>
        <v>0</v>
      </c>
      <c r="L25" s="53" t="e">
        <f>INDEX(Input!$D$2:$AC$500,
       MATCH(B25, Input!$J$2:$J$500, 0),
       MATCH("Memory Capacity", Input!$D$1:$AC$1, 0))</f>
        <v>#N/A</v>
      </c>
      <c r="M25" s="53" t="e">
        <f>INDEX(Input!$D$2:$AC$500,
       MATCH(B25, Input!$J$2:$J$500, 0),
       MATCH("Memory Type", Input!$D$1:$AC$1, 0))</f>
        <v>#N/A</v>
      </c>
      <c r="N25" s="53" t="e">
        <f t="shared" si="0"/>
        <v>#N/A</v>
      </c>
      <c r="O25" s="53" t="str" cm="1">
        <f t="array" ref="O25">IFERROR(_xlfn.FILTERXML("&lt;t&gt;&lt;s&gt;" &amp; SUBSTITUTE(M25," / ","&lt;/s&gt;&lt;s&gt;") &amp; "&lt;/s&gt;&lt;/t&gt;","(//s[contains(.,'DDR')])[1]"),"")</f>
        <v/>
      </c>
      <c r="P25" s="32" t="e">
        <f t="shared" si="1"/>
        <v>#N/A</v>
      </c>
      <c r="Q25" s="32" t="e">
        <f>INDEX(Input!$D$2:$AC$500,
       MATCH(B25, Input!$J$2:$J$500, 0),
       MATCH("Disk Capacity", Input!$D$1:$AC$1, 0))</f>
        <v>#N/A</v>
      </c>
      <c r="R25" s="32"/>
      <c r="S25" s="53" t="e">
        <f>_xlfn.LET(_xlpm.Result,INDEX(Input!$D$2:$AC$500,
       MATCH(B25, Input!$J$2:$J$500, 0),
       MATCH("Capacity", Input!$D$1:$AC$1, 0)),IF(_xlpm.Result="","",_xlpm.Result))</f>
        <v>#N/A</v>
      </c>
      <c r="T25" s="53" t="e" cm="1">
        <f t="array" ref="T25">_xlfn.TEXTSPLIT(S25," / ", ,TRUE,0,)</f>
        <v>#N/A</v>
      </c>
      <c r="U25" s="53"/>
      <c r="V25" s="53" t="str" cm="1">
        <f t="array" ref="V25">IFERROR(_xlfn.IFS(
T25="","",
--T25&lt;55,"Battery Defect",
--T25&lt;=69,"Battery D",
--T25&lt;=80,"Battery C",
--T25&gt;80,""
),"")</f>
        <v/>
      </c>
      <c r="W25" s="53" t="str" cm="1">
        <f t="array" ref="W25">IFERROR(_xlfn.IFS(
U25="","",
--U25&lt;55,"Battery Defect",
--U25&lt;=69,"Battery D",
--U25&lt;=80,"Battery C",
--U25&gt;80,""
),"")</f>
        <v/>
      </c>
      <c r="X25" s="53" t="str" cm="1">
        <f t="array" ref="X25:AE25">IFERROR(IF(_xlfn.XLOOKUP(B25,Input!J:J,Input!N:U)=0,"",
          _xlfn.XLOOKUP(B25,Input!J:J,Input!N:U)),"")</f>
        <v/>
      </c>
      <c r="Y25" s="53" t="str">
        <v/>
      </c>
      <c r="Z25" s="53" t="str">
        <v/>
      </c>
      <c r="AA25" s="53" t="str">
        <v/>
      </c>
      <c r="AB25" s="53" t="str">
        <v/>
      </c>
      <c r="AC25" s="53" t="str">
        <v/>
      </c>
      <c r="AD25" s="53" t="str">
        <v/>
      </c>
      <c r="AE25" s="53" t="str">
        <v/>
      </c>
      <c r="AF25" s="32" t="str">
        <f t="shared" si="2"/>
        <v/>
      </c>
      <c r="AG25" s="32" t="str">
        <f>_xlfn.XLOOKUP(B:B,Disk_Pivot!G:G,Disk_Pivot!I:I)</f>
        <v>Yes x2</v>
      </c>
      <c r="AH25" s="32" t="str">
        <f>_xlfn.XLOOKUP(B25,Disk_Pivot!G:G,Disk_Pivot!N:N)</f>
        <v>Pass, Fail</v>
      </c>
      <c r="AI25" s="32"/>
      <c r="AJ25" s="32"/>
      <c r="AK25" s="32"/>
      <c r="AL25" s="32"/>
      <c r="AM25" s="32"/>
      <c r="AN25" s="32"/>
    </row>
    <row r="26" spans="1:40">
      <c r="A26" s="32" t="str">
        <f>_xlfn.TEXTJOIN("",TRUE,_xlfn.XLOOKUP(B26,Input!J:J,Input!G:G,"",0,1),_xlfn.XLOOKUP(B26,Input!J:J,Input!H:H,"",0,1))</f>
        <v/>
      </c>
      <c r="B26" s="32"/>
      <c r="C26" s="53">
        <f>_xlfn.XLOOKUP(B26,Input!J:J,Input!F:F)</f>
        <v>0</v>
      </c>
      <c r="D26" s="32">
        <f>_xlfn.XLOOKUP(C26,Models!H:H,Models!G:G,C26)</f>
        <v>0</v>
      </c>
      <c r="E26" s="32"/>
      <c r="F26" s="32" t="str">
        <f>_xlfn.XLOOKUP(H26,Models!B:B,Models!F:F,"")</f>
        <v/>
      </c>
      <c r="G26" s="32">
        <f>_xlfn.XLOOKUP(B26,Input!J:J,Input!E:E)</f>
        <v>0</v>
      </c>
      <c r="H26" s="32">
        <f>IF(G26="LENOVO",_xlfn.XLOOKUP(B26,Input!J:J,Input!K:K),_xlfn.XLOOKUP(B26,Input!J:J,Input!L:L))</f>
        <v>0</v>
      </c>
      <c r="I26" s="32"/>
      <c r="J26" s="32"/>
      <c r="K26" s="32">
        <f>_xlfn.XLOOKUP(B26,CPU_Formula!A:A,CPU_Formula!I:I)</f>
        <v>0</v>
      </c>
      <c r="L26" s="53" t="e">
        <f>INDEX(Input!$D$2:$AC$500,
       MATCH(B26, Input!$J$2:$J$500, 0),
       MATCH("Memory Capacity", Input!$D$1:$AC$1, 0))</f>
        <v>#N/A</v>
      </c>
      <c r="M26" s="53" t="e">
        <f>INDEX(Input!$D$2:$AC$500,
       MATCH(B26, Input!$J$2:$J$500, 0),
       MATCH("Memory Type", Input!$D$1:$AC$1, 0))</f>
        <v>#N/A</v>
      </c>
      <c r="N26" s="53" t="e">
        <f t="shared" si="0"/>
        <v>#N/A</v>
      </c>
      <c r="O26" s="53" t="str" cm="1">
        <f t="array" ref="O26">IFERROR(_xlfn.FILTERXML("&lt;t&gt;&lt;s&gt;" &amp; SUBSTITUTE(M26," / ","&lt;/s&gt;&lt;s&gt;") &amp; "&lt;/s&gt;&lt;/t&gt;","(//s[contains(.,'DDR')])[1]"),"")</f>
        <v/>
      </c>
      <c r="P26" s="32" t="e">
        <f t="shared" si="1"/>
        <v>#N/A</v>
      </c>
      <c r="Q26" s="32" t="e">
        <f>INDEX(Input!$D$2:$AC$500,
       MATCH(B26, Input!$J$2:$J$500, 0),
       MATCH("Disk Capacity", Input!$D$1:$AC$1, 0))</f>
        <v>#N/A</v>
      </c>
      <c r="R26" s="32"/>
      <c r="S26" s="53" t="e">
        <f>_xlfn.LET(_xlpm.Result,INDEX(Input!$D$2:$AC$500,
       MATCH(B26, Input!$J$2:$J$500, 0),
       MATCH("Capacity", Input!$D$1:$AC$1, 0)),IF(_xlpm.Result="","",_xlpm.Result))</f>
        <v>#N/A</v>
      </c>
      <c r="T26" s="53" t="e" cm="1">
        <f t="array" ref="T26">_xlfn.TEXTSPLIT(S26," / ", ,TRUE,0,)</f>
        <v>#N/A</v>
      </c>
      <c r="U26" s="53"/>
      <c r="V26" s="53" t="str" cm="1">
        <f t="array" ref="V26">IFERROR(_xlfn.IFS(
T26="","",
--T26&lt;55,"Battery Defect",
--T26&lt;=69,"Battery D",
--T26&lt;=80,"Battery C",
--T26&gt;80,""
),"")</f>
        <v/>
      </c>
      <c r="W26" s="53" t="str" cm="1">
        <f t="array" ref="W26">IFERROR(_xlfn.IFS(
U26="","",
--U26&lt;55,"Battery Defect",
--U26&lt;=69,"Battery D",
--U26&lt;=80,"Battery C",
--U26&gt;80,""
),"")</f>
        <v/>
      </c>
      <c r="X26" s="53" t="str" cm="1">
        <f t="array" ref="X26:AE26">IFERROR(IF(_xlfn.XLOOKUP(B26,Input!J:J,Input!N:U)=0,"",
          _xlfn.XLOOKUP(B26,Input!J:J,Input!N:U)),"")</f>
        <v/>
      </c>
      <c r="Y26" s="53" t="str">
        <v/>
      </c>
      <c r="Z26" s="53" t="str">
        <v/>
      </c>
      <c r="AA26" s="53" t="str">
        <v/>
      </c>
      <c r="AB26" s="53" t="str">
        <v/>
      </c>
      <c r="AC26" s="53" t="str">
        <v/>
      </c>
      <c r="AD26" s="53" t="str">
        <v/>
      </c>
      <c r="AE26" s="53" t="str">
        <v/>
      </c>
      <c r="AF26" s="32" t="str">
        <f t="shared" si="2"/>
        <v/>
      </c>
      <c r="AG26" s="32" t="str">
        <f>_xlfn.XLOOKUP(B:B,Disk_Pivot!G:G,Disk_Pivot!I:I)</f>
        <v>Yes x2</v>
      </c>
      <c r="AH26" s="32" t="str">
        <f>_xlfn.XLOOKUP(B26,Disk_Pivot!G:G,Disk_Pivot!N:N)</f>
        <v>Pass, Fail</v>
      </c>
      <c r="AI26" s="32"/>
      <c r="AJ26" s="32"/>
      <c r="AK26" s="32"/>
      <c r="AL26" s="32"/>
      <c r="AM26" s="32"/>
      <c r="AN26" s="32"/>
    </row>
    <row r="27" spans="1:40">
      <c r="A27" s="32" t="str">
        <f>_xlfn.TEXTJOIN("",TRUE,_xlfn.XLOOKUP(B27,Input!J:J,Input!G:G,"",0,1),_xlfn.XLOOKUP(B27,Input!J:J,Input!H:H,"",0,1))</f>
        <v/>
      </c>
      <c r="B27" s="32"/>
      <c r="C27" s="53">
        <f>_xlfn.XLOOKUP(B27,Input!J:J,Input!F:F)</f>
        <v>0</v>
      </c>
      <c r="D27" s="32">
        <f>_xlfn.XLOOKUP(C27,Models!H:H,Models!G:G,C27)</f>
        <v>0</v>
      </c>
      <c r="E27" s="32"/>
      <c r="F27" s="32" t="str">
        <f>_xlfn.XLOOKUP(H27,Models!B:B,Models!F:F,"")</f>
        <v/>
      </c>
      <c r="G27" s="32">
        <f>_xlfn.XLOOKUP(B27,Input!J:J,Input!E:E)</f>
        <v>0</v>
      </c>
      <c r="H27" s="32">
        <f>IF(G27="LENOVO",_xlfn.XLOOKUP(B27,Input!J:J,Input!K:K),_xlfn.XLOOKUP(B27,Input!J:J,Input!L:L))</f>
        <v>0</v>
      </c>
      <c r="I27" s="32"/>
      <c r="J27" s="32"/>
      <c r="K27" s="32">
        <f>_xlfn.XLOOKUP(B27,CPU_Formula!A:A,CPU_Formula!I:I)</f>
        <v>0</v>
      </c>
      <c r="L27" s="53" t="e">
        <f>INDEX(Input!$D$2:$AC$500,
       MATCH(B27, Input!$J$2:$J$500, 0),
       MATCH("Memory Capacity", Input!$D$1:$AC$1, 0))</f>
        <v>#N/A</v>
      </c>
      <c r="M27" s="53" t="e">
        <f>INDEX(Input!$D$2:$AC$500,
       MATCH(B27, Input!$J$2:$J$500, 0),
       MATCH("Memory Type", Input!$D$1:$AC$1, 0))</f>
        <v>#N/A</v>
      </c>
      <c r="N27" s="53" t="e">
        <f t="shared" si="0"/>
        <v>#N/A</v>
      </c>
      <c r="O27" s="53" t="str" cm="1">
        <f t="array" ref="O27">IFERROR(_xlfn.FILTERXML("&lt;t&gt;&lt;s&gt;" &amp; SUBSTITUTE(M27," / ","&lt;/s&gt;&lt;s&gt;") &amp; "&lt;/s&gt;&lt;/t&gt;","(//s[contains(.,'DDR')])[1]"),"")</f>
        <v/>
      </c>
      <c r="P27" s="32" t="e">
        <f t="shared" si="1"/>
        <v>#N/A</v>
      </c>
      <c r="Q27" s="32" t="e">
        <f>INDEX(Input!$D$2:$AC$500,
       MATCH(B27, Input!$J$2:$J$500, 0),
       MATCH("Disk Capacity", Input!$D$1:$AC$1, 0))</f>
        <v>#N/A</v>
      </c>
      <c r="R27" s="32"/>
      <c r="S27" s="53" t="e">
        <f>_xlfn.LET(_xlpm.Result,INDEX(Input!$D$2:$AC$500,
       MATCH(B27, Input!$J$2:$J$500, 0),
       MATCH("Capacity", Input!$D$1:$AC$1, 0)),IF(_xlpm.Result="","",_xlpm.Result))</f>
        <v>#N/A</v>
      </c>
      <c r="T27" s="53" t="e" cm="1">
        <f t="array" ref="T27">_xlfn.TEXTSPLIT(S27," / ", ,TRUE,0,)</f>
        <v>#N/A</v>
      </c>
      <c r="U27" s="53"/>
      <c r="V27" s="53" t="str" cm="1">
        <f t="array" ref="V27">IFERROR(_xlfn.IFS(
T27="","",
--T27&lt;55,"Battery Defect",
--T27&lt;=69,"Battery D",
--T27&lt;=80,"Battery C",
--T27&gt;80,""
),"")</f>
        <v/>
      </c>
      <c r="W27" s="53" t="str" cm="1">
        <f t="array" ref="W27">IFERROR(_xlfn.IFS(
U27="","",
--U27&lt;55,"Battery Defect",
--U27&lt;=69,"Battery D",
--U27&lt;=80,"Battery C",
--U27&gt;80,""
),"")</f>
        <v/>
      </c>
      <c r="X27" s="53" t="str" cm="1">
        <f t="array" ref="X27:AE27">IFERROR(IF(_xlfn.XLOOKUP(B27,Input!J:J,Input!N:U)=0,"",
          _xlfn.XLOOKUP(B27,Input!J:J,Input!N:U)),"")</f>
        <v/>
      </c>
      <c r="Y27" s="53" t="str">
        <v/>
      </c>
      <c r="Z27" s="53" t="str">
        <v/>
      </c>
      <c r="AA27" s="53" t="str">
        <v/>
      </c>
      <c r="AB27" s="53" t="str">
        <v/>
      </c>
      <c r="AC27" s="53" t="str">
        <v/>
      </c>
      <c r="AD27" s="53" t="str">
        <v/>
      </c>
      <c r="AE27" s="53" t="str">
        <v/>
      </c>
      <c r="AF27" s="32" t="str">
        <f t="shared" si="2"/>
        <v/>
      </c>
      <c r="AG27" s="32" t="str">
        <f>_xlfn.XLOOKUP(B:B,Disk_Pivot!G:G,Disk_Pivot!I:I)</f>
        <v>Yes x2</v>
      </c>
      <c r="AH27" s="32" t="str">
        <f>_xlfn.XLOOKUP(B27,Disk_Pivot!G:G,Disk_Pivot!N:N)</f>
        <v>Pass, Fail</v>
      </c>
      <c r="AI27" s="32"/>
      <c r="AJ27" s="32"/>
      <c r="AK27" s="32"/>
      <c r="AL27" s="32"/>
      <c r="AM27" s="32"/>
      <c r="AN27" s="32"/>
    </row>
    <row r="28" spans="1:40">
      <c r="A28" s="32" t="str">
        <f>_xlfn.TEXTJOIN("",TRUE,_xlfn.XLOOKUP(B28,Input!J:J,Input!G:G,"",0,1),_xlfn.XLOOKUP(B28,Input!J:J,Input!H:H,"",0,1))</f>
        <v/>
      </c>
      <c r="B28" s="32"/>
      <c r="C28" s="53">
        <f>_xlfn.XLOOKUP(B28,Input!J:J,Input!F:F)</f>
        <v>0</v>
      </c>
      <c r="D28" s="32">
        <f>_xlfn.XLOOKUP(C28,Models!H:H,Models!G:G,C28)</f>
        <v>0</v>
      </c>
      <c r="E28" s="32"/>
      <c r="F28" s="32" t="str">
        <f>_xlfn.XLOOKUP(H28,Models!B:B,Models!F:F,"")</f>
        <v/>
      </c>
      <c r="G28" s="32">
        <f>_xlfn.XLOOKUP(B28,Input!J:J,Input!E:E)</f>
        <v>0</v>
      </c>
      <c r="H28" s="32">
        <f>IF(G28="LENOVO",_xlfn.XLOOKUP(B28,Input!J:J,Input!K:K),_xlfn.XLOOKUP(B28,Input!J:J,Input!L:L))</f>
        <v>0</v>
      </c>
      <c r="I28" s="32"/>
      <c r="J28" s="32"/>
      <c r="K28" s="32">
        <f>_xlfn.XLOOKUP(B28,CPU_Formula!A:A,CPU_Formula!I:I)</f>
        <v>0</v>
      </c>
      <c r="L28" s="53" t="e">
        <f>INDEX(Input!$D$2:$AC$500,
       MATCH(B28, Input!$J$2:$J$500, 0),
       MATCH("Memory Capacity", Input!$D$1:$AC$1, 0))</f>
        <v>#N/A</v>
      </c>
      <c r="M28" s="53" t="e">
        <f>INDEX(Input!$D$2:$AC$500,
       MATCH(B28, Input!$J$2:$J$500, 0),
       MATCH("Memory Type", Input!$D$1:$AC$1, 0))</f>
        <v>#N/A</v>
      </c>
      <c r="N28" s="53" t="e">
        <f t="shared" si="0"/>
        <v>#N/A</v>
      </c>
      <c r="O28" s="53" t="str" cm="1">
        <f t="array" ref="O28">IFERROR(_xlfn.FILTERXML("&lt;t&gt;&lt;s&gt;" &amp; SUBSTITUTE(M28," / ","&lt;/s&gt;&lt;s&gt;") &amp; "&lt;/s&gt;&lt;/t&gt;","(//s[contains(.,'DDR')])[1]"),"")</f>
        <v/>
      </c>
      <c r="P28" s="32" t="e">
        <f t="shared" si="1"/>
        <v>#N/A</v>
      </c>
      <c r="Q28" s="32" t="e">
        <f>INDEX(Input!$D$2:$AC$500,
       MATCH(B28, Input!$J$2:$J$500, 0),
       MATCH("Disk Capacity", Input!$D$1:$AC$1, 0))</f>
        <v>#N/A</v>
      </c>
      <c r="R28" s="32"/>
      <c r="S28" s="53" t="e">
        <f>_xlfn.LET(_xlpm.Result,INDEX(Input!$D$2:$AC$500,
       MATCH(B28, Input!$J$2:$J$500, 0),
       MATCH("Capacity", Input!$D$1:$AC$1, 0)),IF(_xlpm.Result="","",_xlpm.Result))</f>
        <v>#N/A</v>
      </c>
      <c r="T28" s="53" t="e" cm="1">
        <f t="array" ref="T28">_xlfn.TEXTSPLIT(S28," / ", ,TRUE,0,)</f>
        <v>#N/A</v>
      </c>
      <c r="U28" s="53"/>
      <c r="V28" s="53" t="str" cm="1">
        <f t="array" ref="V28">IFERROR(_xlfn.IFS(
T28="","",
--T28&lt;55,"Battery Defect",
--T28&lt;=69,"Battery D",
--T28&lt;=80,"Battery C",
--T28&gt;80,""
),"")</f>
        <v/>
      </c>
      <c r="W28" s="53" t="str" cm="1">
        <f t="array" ref="W28">IFERROR(_xlfn.IFS(
U28="","",
--U28&lt;55,"Battery Defect",
--U28&lt;=69,"Battery D",
--U28&lt;=80,"Battery C",
--U28&gt;80,""
),"")</f>
        <v/>
      </c>
      <c r="X28" s="53" t="str" cm="1">
        <f t="array" ref="X28:AE28">IFERROR(IF(_xlfn.XLOOKUP(B28,Input!J:J,Input!N:U)=0,"",
          _xlfn.XLOOKUP(B28,Input!J:J,Input!N:U)),"")</f>
        <v/>
      </c>
      <c r="Y28" s="53" t="str">
        <v/>
      </c>
      <c r="Z28" s="53" t="str">
        <v/>
      </c>
      <c r="AA28" s="53" t="str">
        <v/>
      </c>
      <c r="AB28" s="53" t="str">
        <v/>
      </c>
      <c r="AC28" s="53" t="str">
        <v/>
      </c>
      <c r="AD28" s="53" t="str">
        <v/>
      </c>
      <c r="AE28" s="53" t="str">
        <v/>
      </c>
      <c r="AF28" s="32" t="str">
        <f t="shared" si="2"/>
        <v/>
      </c>
      <c r="AG28" s="32" t="str">
        <f>_xlfn.XLOOKUP(B:B,Disk_Pivot!G:G,Disk_Pivot!I:I)</f>
        <v>Yes x2</v>
      </c>
      <c r="AH28" s="32" t="str">
        <f>_xlfn.XLOOKUP(B28,Disk_Pivot!G:G,Disk_Pivot!N:N)</f>
        <v>Pass, Fail</v>
      </c>
      <c r="AI28" s="32"/>
      <c r="AJ28" s="32"/>
      <c r="AK28" s="32"/>
      <c r="AL28" s="32"/>
      <c r="AM28" s="32"/>
      <c r="AN28" s="32"/>
    </row>
    <row r="29" spans="1:40">
      <c r="A29" s="32" t="str">
        <f>_xlfn.TEXTJOIN("",TRUE,_xlfn.XLOOKUP(B29,Input!J:J,Input!G:G,"",0,1),_xlfn.XLOOKUP(B29,Input!J:J,Input!H:H,"",0,1))</f>
        <v/>
      </c>
      <c r="B29" s="32"/>
      <c r="C29" s="53">
        <f>_xlfn.XLOOKUP(B29,Input!J:J,Input!F:F)</f>
        <v>0</v>
      </c>
      <c r="D29" s="32">
        <f>_xlfn.XLOOKUP(C29,Models!H:H,Models!G:G,C29)</f>
        <v>0</v>
      </c>
      <c r="E29" s="32"/>
      <c r="F29" s="32" t="str">
        <f>_xlfn.XLOOKUP(H29,Models!B:B,Models!F:F,"")</f>
        <v/>
      </c>
      <c r="G29" s="32">
        <f>_xlfn.XLOOKUP(B29,Input!J:J,Input!E:E)</f>
        <v>0</v>
      </c>
      <c r="H29" s="32">
        <f>IF(G29="LENOVO",_xlfn.XLOOKUP(B29,Input!J:J,Input!K:K),_xlfn.XLOOKUP(B29,Input!J:J,Input!L:L))</f>
        <v>0</v>
      </c>
      <c r="I29" s="32"/>
      <c r="J29" s="32"/>
      <c r="K29" s="32">
        <f>_xlfn.XLOOKUP(B29,CPU_Formula!A:A,CPU_Formula!I:I)</f>
        <v>0</v>
      </c>
      <c r="L29" s="53" t="e">
        <f>INDEX(Input!$D$2:$AC$500,
       MATCH(B29, Input!$J$2:$J$500, 0),
       MATCH("Memory Capacity", Input!$D$1:$AC$1, 0))</f>
        <v>#N/A</v>
      </c>
      <c r="M29" s="53" t="e">
        <f>INDEX(Input!$D$2:$AC$500,
       MATCH(B29, Input!$J$2:$J$500, 0),
       MATCH("Memory Type", Input!$D$1:$AC$1, 0))</f>
        <v>#N/A</v>
      </c>
      <c r="N29" s="53" t="e">
        <f t="shared" si="0"/>
        <v>#N/A</v>
      </c>
      <c r="O29" s="53" t="str" cm="1">
        <f t="array" ref="O29">IFERROR(_xlfn.FILTERXML("&lt;t&gt;&lt;s&gt;" &amp; SUBSTITUTE(M29," / ","&lt;/s&gt;&lt;s&gt;") &amp; "&lt;/s&gt;&lt;/t&gt;","(//s[contains(.,'DDR')])[1]"),"")</f>
        <v/>
      </c>
      <c r="P29" s="32" t="e">
        <f t="shared" si="1"/>
        <v>#N/A</v>
      </c>
      <c r="Q29" s="32" t="e">
        <f>INDEX(Input!$D$2:$AC$500,
       MATCH(B29, Input!$J$2:$J$500, 0),
       MATCH("Disk Capacity", Input!$D$1:$AC$1, 0))</f>
        <v>#N/A</v>
      </c>
      <c r="R29" s="32"/>
      <c r="S29" s="53" t="e">
        <f>_xlfn.LET(_xlpm.Result,INDEX(Input!$D$2:$AC$500,
       MATCH(B29, Input!$J$2:$J$500, 0),
       MATCH("Capacity", Input!$D$1:$AC$1, 0)),IF(_xlpm.Result="","",_xlpm.Result))</f>
        <v>#N/A</v>
      </c>
      <c r="T29" s="53" t="e" cm="1">
        <f t="array" ref="T29">_xlfn.TEXTSPLIT(S29," / ", ,TRUE,0,)</f>
        <v>#N/A</v>
      </c>
      <c r="U29" s="53"/>
      <c r="V29" s="53" t="str" cm="1">
        <f t="array" ref="V29">IFERROR(_xlfn.IFS(
T29="","",
--T29&lt;55,"Battery Defect",
--T29&lt;=69,"Battery D",
--T29&lt;=80,"Battery C",
--T29&gt;80,""
),"")</f>
        <v/>
      </c>
      <c r="W29" s="53" t="str" cm="1">
        <f t="array" ref="W29">IFERROR(_xlfn.IFS(
U29="","",
--U29&lt;55,"Battery Defect",
--U29&lt;=69,"Battery D",
--U29&lt;=80,"Battery C",
--U29&gt;80,""
),"")</f>
        <v/>
      </c>
      <c r="X29" s="53" t="str" cm="1">
        <f t="array" ref="X29:AE29">IFERROR(IF(_xlfn.XLOOKUP(B29,Input!J:J,Input!N:U)=0,"",
          _xlfn.XLOOKUP(B29,Input!J:J,Input!N:U)),"")</f>
        <v/>
      </c>
      <c r="Y29" s="53" t="str">
        <v/>
      </c>
      <c r="Z29" s="53" t="str">
        <v/>
      </c>
      <c r="AA29" s="53" t="str">
        <v/>
      </c>
      <c r="AB29" s="53" t="str">
        <v/>
      </c>
      <c r="AC29" s="53" t="str">
        <v/>
      </c>
      <c r="AD29" s="53" t="str">
        <v/>
      </c>
      <c r="AE29" s="53" t="str">
        <v/>
      </c>
      <c r="AF29" s="32" t="str">
        <f t="shared" si="2"/>
        <v/>
      </c>
      <c r="AG29" s="32" t="str">
        <f>_xlfn.XLOOKUP(B:B,Disk_Pivot!G:G,Disk_Pivot!I:I)</f>
        <v>Yes x2</v>
      </c>
      <c r="AH29" s="32" t="str">
        <f>_xlfn.XLOOKUP(B29,Disk_Pivot!G:G,Disk_Pivot!N:N)</f>
        <v>Pass, Fail</v>
      </c>
      <c r="AI29" s="32"/>
      <c r="AJ29" s="32"/>
      <c r="AK29" s="32"/>
      <c r="AL29" s="32"/>
      <c r="AM29" s="32"/>
      <c r="AN29" s="32"/>
    </row>
    <row r="30" spans="1:40">
      <c r="A30" s="32" t="str">
        <f>_xlfn.TEXTJOIN("",TRUE,_xlfn.XLOOKUP(B30,Input!J:J,Input!G:G,"",0,1),_xlfn.XLOOKUP(B30,Input!J:J,Input!H:H,"",0,1))</f>
        <v/>
      </c>
      <c r="B30" s="32"/>
      <c r="C30" s="53">
        <f>_xlfn.XLOOKUP(B30,Input!J:J,Input!F:F)</f>
        <v>0</v>
      </c>
      <c r="D30" s="32">
        <f>_xlfn.XLOOKUP(C30,Models!H:H,Models!G:G,C30)</f>
        <v>0</v>
      </c>
      <c r="E30" s="32"/>
      <c r="F30" s="32" t="str">
        <f>_xlfn.XLOOKUP(H30,Models!B:B,Models!F:F,"")</f>
        <v/>
      </c>
      <c r="G30" s="32">
        <f>_xlfn.XLOOKUP(B30,Input!J:J,Input!E:E)</f>
        <v>0</v>
      </c>
      <c r="H30" s="32">
        <f>IF(G30="LENOVO",_xlfn.XLOOKUP(B30,Input!J:J,Input!K:K),_xlfn.XLOOKUP(B30,Input!J:J,Input!L:L))</f>
        <v>0</v>
      </c>
      <c r="I30" s="32"/>
      <c r="J30" s="32"/>
      <c r="K30" s="32">
        <f>_xlfn.XLOOKUP(B30,CPU_Formula!A:A,CPU_Formula!I:I)</f>
        <v>0</v>
      </c>
      <c r="L30" s="53" t="e">
        <f>INDEX(Input!$D$2:$AC$500,
       MATCH(B30, Input!$J$2:$J$500, 0),
       MATCH("Memory Capacity", Input!$D$1:$AC$1, 0))</f>
        <v>#N/A</v>
      </c>
      <c r="M30" s="53" t="e">
        <f>INDEX(Input!$D$2:$AC$500,
       MATCH(B30, Input!$J$2:$J$500, 0),
       MATCH("Memory Type", Input!$D$1:$AC$1, 0))</f>
        <v>#N/A</v>
      </c>
      <c r="N30" s="53" t="e">
        <f t="shared" si="0"/>
        <v>#N/A</v>
      </c>
      <c r="O30" s="53" t="str" cm="1">
        <f t="array" ref="O30">IFERROR(_xlfn.FILTERXML("&lt;t&gt;&lt;s&gt;" &amp; SUBSTITUTE(M30," / ","&lt;/s&gt;&lt;s&gt;") &amp; "&lt;/s&gt;&lt;/t&gt;","(//s[contains(.,'DDR')])[1]"),"")</f>
        <v/>
      </c>
      <c r="P30" s="32" t="e">
        <f t="shared" si="1"/>
        <v>#N/A</v>
      </c>
      <c r="Q30" s="32" t="e">
        <f>INDEX(Input!$D$2:$AC$500,
       MATCH(B30, Input!$J$2:$J$500, 0),
       MATCH("Disk Capacity", Input!$D$1:$AC$1, 0))</f>
        <v>#N/A</v>
      </c>
      <c r="R30" s="32"/>
      <c r="S30" s="53" t="e">
        <f>_xlfn.LET(_xlpm.Result,INDEX(Input!$D$2:$AC$500,
       MATCH(B30, Input!$J$2:$J$500, 0),
       MATCH("Capacity", Input!$D$1:$AC$1, 0)),IF(_xlpm.Result="","",_xlpm.Result))</f>
        <v>#N/A</v>
      </c>
      <c r="T30" s="53" t="e" cm="1">
        <f t="array" ref="T30">_xlfn.TEXTSPLIT(S30," / ", ,TRUE,0,)</f>
        <v>#N/A</v>
      </c>
      <c r="U30" s="53"/>
      <c r="V30" s="53" t="str" cm="1">
        <f t="array" ref="V30">IFERROR(_xlfn.IFS(
T30="","",
--T30&lt;55,"Battery Defect",
--T30&lt;=69,"Battery D",
--T30&lt;=80,"Battery C",
--T30&gt;80,""
),"")</f>
        <v/>
      </c>
      <c r="W30" s="53" t="str" cm="1">
        <f t="array" ref="W30">IFERROR(_xlfn.IFS(
U30="","",
--U30&lt;55,"Battery Defect",
--U30&lt;=69,"Battery D",
--U30&lt;=80,"Battery C",
--U30&gt;80,""
),"")</f>
        <v/>
      </c>
      <c r="X30" s="53" t="str" cm="1">
        <f t="array" ref="X30:AE30">IFERROR(IF(_xlfn.XLOOKUP(B30,Input!J:J,Input!N:U)=0,"",
          _xlfn.XLOOKUP(B30,Input!J:J,Input!N:U)),"")</f>
        <v/>
      </c>
      <c r="Y30" s="53" t="str">
        <v/>
      </c>
      <c r="Z30" s="53" t="str">
        <v/>
      </c>
      <c r="AA30" s="53" t="str">
        <v/>
      </c>
      <c r="AB30" s="53" t="str">
        <v/>
      </c>
      <c r="AC30" s="53" t="str">
        <v/>
      </c>
      <c r="AD30" s="53" t="str">
        <v/>
      </c>
      <c r="AE30" s="53" t="str">
        <v/>
      </c>
      <c r="AF30" s="32" t="str">
        <f t="shared" si="2"/>
        <v/>
      </c>
      <c r="AG30" s="32" t="str">
        <f>_xlfn.XLOOKUP(B:B,Disk_Pivot!G:G,Disk_Pivot!I:I)</f>
        <v>Yes x2</v>
      </c>
      <c r="AH30" s="32" t="str">
        <f>_xlfn.XLOOKUP(B30,Disk_Pivot!G:G,Disk_Pivot!N:N)</f>
        <v>Pass, Fail</v>
      </c>
      <c r="AI30" s="32"/>
      <c r="AJ30" s="32"/>
      <c r="AK30" s="32"/>
      <c r="AL30" s="32"/>
      <c r="AM30" s="32"/>
      <c r="AN30" s="32"/>
    </row>
    <row r="31" spans="1:40">
      <c r="A31" s="32" t="str">
        <f>_xlfn.TEXTJOIN("",TRUE,_xlfn.XLOOKUP(B31,Input!J:J,Input!G:G,"",0,1),_xlfn.XLOOKUP(B31,Input!J:J,Input!H:H,"",0,1))</f>
        <v/>
      </c>
      <c r="B31" s="32"/>
      <c r="C31" s="53">
        <f>_xlfn.XLOOKUP(B31,Input!J:J,Input!F:F)</f>
        <v>0</v>
      </c>
      <c r="D31" s="32">
        <f>_xlfn.XLOOKUP(C31,Models!H:H,Models!G:G,C31)</f>
        <v>0</v>
      </c>
      <c r="E31" s="32"/>
      <c r="F31" s="32" t="str">
        <f>_xlfn.XLOOKUP(H31,Models!B:B,Models!F:F,"")</f>
        <v/>
      </c>
      <c r="G31" s="32">
        <f>_xlfn.XLOOKUP(B31,Input!J:J,Input!E:E)</f>
        <v>0</v>
      </c>
      <c r="H31" s="32">
        <f>IF(G31="LENOVO",_xlfn.XLOOKUP(B31,Input!J:J,Input!K:K),_xlfn.XLOOKUP(B31,Input!J:J,Input!L:L))</f>
        <v>0</v>
      </c>
      <c r="I31" s="32"/>
      <c r="J31" s="32"/>
      <c r="K31" s="32">
        <f>_xlfn.XLOOKUP(B31,CPU_Formula!A:A,CPU_Formula!I:I)</f>
        <v>0</v>
      </c>
      <c r="L31" s="53" t="e">
        <f>INDEX(Input!$D$2:$AC$500,
       MATCH(B31, Input!$J$2:$J$500, 0),
       MATCH("Memory Capacity", Input!$D$1:$AC$1, 0))</f>
        <v>#N/A</v>
      </c>
      <c r="M31" s="53" t="e">
        <f>INDEX(Input!$D$2:$AC$500,
       MATCH(B31, Input!$J$2:$J$500, 0),
       MATCH("Memory Type", Input!$D$1:$AC$1, 0))</f>
        <v>#N/A</v>
      </c>
      <c r="N31" s="53" t="e">
        <f t="shared" si="0"/>
        <v>#N/A</v>
      </c>
      <c r="O31" s="53" t="str" cm="1">
        <f t="array" ref="O31">IFERROR(_xlfn.FILTERXML("&lt;t&gt;&lt;s&gt;" &amp; SUBSTITUTE(M31," / ","&lt;/s&gt;&lt;s&gt;") &amp; "&lt;/s&gt;&lt;/t&gt;","(//s[contains(.,'DDR')])[1]"),"")</f>
        <v/>
      </c>
      <c r="P31" s="32" t="e">
        <f t="shared" si="1"/>
        <v>#N/A</v>
      </c>
      <c r="Q31" s="32" t="e">
        <f>INDEX(Input!$D$2:$AC$500,
       MATCH(B31, Input!$J$2:$J$500, 0),
       MATCH("Disk Capacity", Input!$D$1:$AC$1, 0))</f>
        <v>#N/A</v>
      </c>
      <c r="R31" s="32"/>
      <c r="S31" s="53" t="e">
        <f>_xlfn.LET(_xlpm.Result,INDEX(Input!$D$2:$AC$500,
       MATCH(B31, Input!$J$2:$J$500, 0),
       MATCH("Capacity", Input!$D$1:$AC$1, 0)),IF(_xlpm.Result="","",_xlpm.Result))</f>
        <v>#N/A</v>
      </c>
      <c r="T31" s="53" t="e" cm="1">
        <f t="array" ref="T31">_xlfn.TEXTSPLIT(S31," / ", ,TRUE,0,)</f>
        <v>#N/A</v>
      </c>
      <c r="U31" s="53"/>
      <c r="V31" s="53" t="str" cm="1">
        <f t="array" ref="V31">IFERROR(_xlfn.IFS(
T31="","",
--T31&lt;55,"Battery Defect",
--T31&lt;=69,"Battery D",
--T31&lt;=80,"Battery C",
--T31&gt;80,""
),"")</f>
        <v/>
      </c>
      <c r="W31" s="53" t="str" cm="1">
        <f t="array" ref="W31">IFERROR(_xlfn.IFS(
U31="","",
--U31&lt;55,"Battery Defect",
--U31&lt;=69,"Battery D",
--U31&lt;=80,"Battery C",
--U31&gt;80,""
),"")</f>
        <v/>
      </c>
      <c r="X31" s="53" t="str" cm="1">
        <f t="array" ref="X31:AE31">IFERROR(IF(_xlfn.XLOOKUP(B31,Input!J:J,Input!N:U)=0,"",
          _xlfn.XLOOKUP(B31,Input!J:J,Input!N:U)),"")</f>
        <v/>
      </c>
      <c r="Y31" s="53" t="str">
        <v/>
      </c>
      <c r="Z31" s="53" t="str">
        <v/>
      </c>
      <c r="AA31" s="53" t="str">
        <v/>
      </c>
      <c r="AB31" s="53" t="str">
        <v/>
      </c>
      <c r="AC31" s="53" t="str">
        <v/>
      </c>
      <c r="AD31" s="53" t="str">
        <v/>
      </c>
      <c r="AE31" s="53" t="str">
        <v/>
      </c>
      <c r="AF31" s="32" t="str">
        <f t="shared" si="2"/>
        <v/>
      </c>
      <c r="AG31" s="32" t="str">
        <f>_xlfn.XLOOKUP(B:B,Disk_Pivot!G:G,Disk_Pivot!I:I)</f>
        <v>Yes x2</v>
      </c>
      <c r="AH31" s="32" t="str">
        <f>_xlfn.XLOOKUP(B31,Disk_Pivot!G:G,Disk_Pivot!N:N)</f>
        <v>Pass, Fail</v>
      </c>
      <c r="AI31" s="32"/>
      <c r="AJ31" s="32"/>
      <c r="AK31" s="32"/>
      <c r="AL31" s="32"/>
      <c r="AM31" s="32"/>
      <c r="AN31" s="32"/>
    </row>
    <row r="32" spans="1:40">
      <c r="A32" s="32" t="str">
        <f>_xlfn.TEXTJOIN("",TRUE,_xlfn.XLOOKUP(B32,Input!J:J,Input!G:G,"",0,1),_xlfn.XLOOKUP(B32,Input!J:J,Input!H:H,"",0,1))</f>
        <v/>
      </c>
      <c r="B32" s="32"/>
      <c r="C32" s="53">
        <f>_xlfn.XLOOKUP(B32,Input!J:J,Input!F:F)</f>
        <v>0</v>
      </c>
      <c r="D32" s="32">
        <f>_xlfn.XLOOKUP(C32,Models!H:H,Models!G:G,C32)</f>
        <v>0</v>
      </c>
      <c r="E32" s="32"/>
      <c r="F32" s="32" t="str">
        <f>_xlfn.XLOOKUP(H32,Models!B:B,Models!F:F,"")</f>
        <v/>
      </c>
      <c r="G32" s="32">
        <f>_xlfn.XLOOKUP(B32,Input!J:J,Input!E:E)</f>
        <v>0</v>
      </c>
      <c r="H32" s="32">
        <f>IF(G32="LENOVO",_xlfn.XLOOKUP(B32,Input!J:J,Input!K:K),_xlfn.XLOOKUP(B32,Input!J:J,Input!L:L))</f>
        <v>0</v>
      </c>
      <c r="I32" s="32"/>
      <c r="J32" s="32"/>
      <c r="K32" s="32">
        <f>_xlfn.XLOOKUP(B32,CPU_Formula!A:A,CPU_Formula!I:I)</f>
        <v>0</v>
      </c>
      <c r="L32" s="53" t="e">
        <f>INDEX(Input!$D$2:$AC$500,
       MATCH(B32, Input!$J$2:$J$500, 0),
       MATCH("Memory Capacity", Input!$D$1:$AC$1, 0))</f>
        <v>#N/A</v>
      </c>
      <c r="M32" s="53" t="e">
        <f>INDEX(Input!$D$2:$AC$500,
       MATCH(B32, Input!$J$2:$J$500, 0),
       MATCH("Memory Type", Input!$D$1:$AC$1, 0))</f>
        <v>#N/A</v>
      </c>
      <c r="N32" s="53" t="e">
        <f t="shared" si="0"/>
        <v>#N/A</v>
      </c>
      <c r="O32" s="53" t="str" cm="1">
        <f t="array" ref="O32">IFERROR(_xlfn.FILTERXML("&lt;t&gt;&lt;s&gt;" &amp; SUBSTITUTE(M32," / ","&lt;/s&gt;&lt;s&gt;") &amp; "&lt;/s&gt;&lt;/t&gt;","(//s[contains(.,'DDR')])[1]"),"")</f>
        <v/>
      </c>
      <c r="P32" s="32" t="e">
        <f t="shared" si="1"/>
        <v>#N/A</v>
      </c>
      <c r="Q32" s="32" t="e">
        <f>INDEX(Input!$D$2:$AC$500,
       MATCH(B32, Input!$J$2:$J$500, 0),
       MATCH("Disk Capacity", Input!$D$1:$AC$1, 0))</f>
        <v>#N/A</v>
      </c>
      <c r="R32" s="32"/>
      <c r="S32" s="53" t="e">
        <f>_xlfn.LET(_xlpm.Result,INDEX(Input!$D$2:$AC$500,
       MATCH(B32, Input!$J$2:$J$500, 0),
       MATCH("Capacity", Input!$D$1:$AC$1, 0)),IF(_xlpm.Result="","",_xlpm.Result))</f>
        <v>#N/A</v>
      </c>
      <c r="T32" s="53" t="e" cm="1">
        <f t="array" ref="T32">_xlfn.TEXTSPLIT(S32," / ", ,TRUE,0,)</f>
        <v>#N/A</v>
      </c>
      <c r="U32" s="53"/>
      <c r="V32" s="53" t="str" cm="1">
        <f t="array" ref="V32">IFERROR(_xlfn.IFS(
T32="","",
--T32&lt;55,"Battery Defect",
--T32&lt;=69,"Battery D",
--T32&lt;=80,"Battery C",
--T32&gt;80,""
),"")</f>
        <v/>
      </c>
      <c r="W32" s="53" t="str" cm="1">
        <f t="array" ref="W32">IFERROR(_xlfn.IFS(
U32="","",
--U32&lt;55,"Battery Defect",
--U32&lt;=69,"Battery D",
--U32&lt;=80,"Battery C",
--U32&gt;80,""
),"")</f>
        <v/>
      </c>
      <c r="X32" s="53" t="str" cm="1">
        <f t="array" ref="X32:AE32">IFERROR(IF(_xlfn.XLOOKUP(B32,Input!J:J,Input!N:U)=0,"",
          _xlfn.XLOOKUP(B32,Input!J:J,Input!N:U)),"")</f>
        <v/>
      </c>
      <c r="Y32" s="53" t="str">
        <v/>
      </c>
      <c r="Z32" s="53" t="str">
        <v/>
      </c>
      <c r="AA32" s="53" t="str">
        <v/>
      </c>
      <c r="AB32" s="53" t="str">
        <v/>
      </c>
      <c r="AC32" s="53" t="str">
        <v/>
      </c>
      <c r="AD32" s="53" t="str">
        <v/>
      </c>
      <c r="AE32" s="53" t="str">
        <v/>
      </c>
      <c r="AF32" s="32" t="str">
        <f t="shared" si="2"/>
        <v/>
      </c>
      <c r="AG32" s="32" t="str">
        <f>_xlfn.XLOOKUP(B:B,Disk_Pivot!G:G,Disk_Pivot!I:I)</f>
        <v>Yes x2</v>
      </c>
      <c r="AH32" s="32" t="str">
        <f>_xlfn.XLOOKUP(B32,Disk_Pivot!G:G,Disk_Pivot!N:N)</f>
        <v>Pass, Fail</v>
      </c>
      <c r="AI32" s="32"/>
      <c r="AJ32" s="32"/>
      <c r="AK32" s="32"/>
      <c r="AL32" s="32"/>
      <c r="AM32" s="32"/>
      <c r="AN32" s="32"/>
    </row>
    <row r="33" spans="1:40">
      <c r="A33" s="32" t="str">
        <f>_xlfn.TEXTJOIN("",TRUE,_xlfn.XLOOKUP(B33,Input!J:J,Input!G:G,"",0,1),_xlfn.XLOOKUP(B33,Input!J:J,Input!H:H,"",0,1))</f>
        <v/>
      </c>
      <c r="B33" s="32"/>
      <c r="C33" s="53">
        <f>_xlfn.XLOOKUP(B33,Input!J:J,Input!F:F)</f>
        <v>0</v>
      </c>
      <c r="D33" s="32">
        <f>_xlfn.XLOOKUP(C33,Models!H:H,Models!G:G,C33)</f>
        <v>0</v>
      </c>
      <c r="E33" s="32"/>
      <c r="F33" s="32" t="str">
        <f>_xlfn.XLOOKUP(H33,Models!B:B,Models!F:F,"")</f>
        <v/>
      </c>
      <c r="G33" s="32">
        <f>_xlfn.XLOOKUP(B33,Input!J:J,Input!E:E)</f>
        <v>0</v>
      </c>
      <c r="H33" s="32">
        <f>IF(G33="LENOVO",_xlfn.XLOOKUP(B33,Input!J:J,Input!K:K),_xlfn.XLOOKUP(B33,Input!J:J,Input!L:L))</f>
        <v>0</v>
      </c>
      <c r="I33" s="32"/>
      <c r="J33" s="32"/>
      <c r="K33" s="32">
        <f>_xlfn.XLOOKUP(B33,CPU_Formula!A:A,CPU_Formula!I:I)</f>
        <v>0</v>
      </c>
      <c r="L33" s="53" t="e">
        <f>INDEX(Input!$D$2:$AC$500,
       MATCH(B33, Input!$J$2:$J$500, 0),
       MATCH("Memory Capacity", Input!$D$1:$AC$1, 0))</f>
        <v>#N/A</v>
      </c>
      <c r="M33" s="53" t="e">
        <f>INDEX(Input!$D$2:$AC$500,
       MATCH(B33, Input!$J$2:$J$500, 0),
       MATCH("Memory Type", Input!$D$1:$AC$1, 0))</f>
        <v>#N/A</v>
      </c>
      <c r="N33" s="53" t="e">
        <f t="shared" si="0"/>
        <v>#N/A</v>
      </c>
      <c r="O33" s="53" t="str" cm="1">
        <f t="array" ref="O33">IFERROR(_xlfn.FILTERXML("&lt;t&gt;&lt;s&gt;" &amp; SUBSTITUTE(M33," / ","&lt;/s&gt;&lt;s&gt;") &amp; "&lt;/s&gt;&lt;/t&gt;","(//s[contains(.,'DDR')])[1]"),"")</f>
        <v/>
      </c>
      <c r="P33" s="32" t="e">
        <f t="shared" si="1"/>
        <v>#N/A</v>
      </c>
      <c r="Q33" s="32" t="e">
        <f>INDEX(Input!$D$2:$AC$500,
       MATCH(B33, Input!$J$2:$J$500, 0),
       MATCH("Disk Capacity", Input!$D$1:$AC$1, 0))</f>
        <v>#N/A</v>
      </c>
      <c r="R33" s="32"/>
      <c r="S33" s="53" t="e">
        <f>_xlfn.LET(_xlpm.Result,INDEX(Input!$D$2:$AC$500,
       MATCH(B33, Input!$J$2:$J$500, 0),
       MATCH("Capacity", Input!$D$1:$AC$1, 0)),IF(_xlpm.Result="","",_xlpm.Result))</f>
        <v>#N/A</v>
      </c>
      <c r="T33" s="53" t="e" cm="1">
        <f t="array" ref="T33">_xlfn.TEXTSPLIT(S33," / ", ,TRUE,0,)</f>
        <v>#N/A</v>
      </c>
      <c r="U33" s="53"/>
      <c r="V33" s="53" t="str" cm="1">
        <f t="array" ref="V33">IFERROR(_xlfn.IFS(
T33="","",
--T33&lt;55,"Battery Defect",
--T33&lt;=69,"Battery D",
--T33&lt;=80,"Battery C",
--T33&gt;80,""
),"")</f>
        <v/>
      </c>
      <c r="W33" s="53" t="str" cm="1">
        <f t="array" ref="W33">IFERROR(_xlfn.IFS(
U33="","",
--U33&lt;55,"Battery Defect",
--U33&lt;=69,"Battery D",
--U33&lt;=80,"Battery C",
--U33&gt;80,""
),"")</f>
        <v/>
      </c>
      <c r="X33" s="53" t="str" cm="1">
        <f t="array" ref="X33:AE33">IFERROR(IF(_xlfn.XLOOKUP(B33,Input!J:J,Input!N:U)=0,"",
          _xlfn.XLOOKUP(B33,Input!J:J,Input!N:U)),"")</f>
        <v/>
      </c>
      <c r="Y33" s="53" t="str">
        <v/>
      </c>
      <c r="Z33" s="53" t="str">
        <v/>
      </c>
      <c r="AA33" s="53" t="str">
        <v/>
      </c>
      <c r="AB33" s="53" t="str">
        <v/>
      </c>
      <c r="AC33" s="53" t="str">
        <v/>
      </c>
      <c r="AD33" s="53" t="str">
        <v/>
      </c>
      <c r="AE33" s="53" t="str">
        <v/>
      </c>
      <c r="AF33" s="32" t="str">
        <f t="shared" si="2"/>
        <v/>
      </c>
      <c r="AG33" s="32" t="str">
        <f>_xlfn.XLOOKUP(B:B,Disk_Pivot!G:G,Disk_Pivot!I:I)</f>
        <v>Yes x2</v>
      </c>
      <c r="AH33" s="32" t="str">
        <f>_xlfn.XLOOKUP(B33,Disk_Pivot!G:G,Disk_Pivot!N:N)</f>
        <v>Pass, Fail</v>
      </c>
      <c r="AI33" s="32"/>
      <c r="AJ33" s="32"/>
      <c r="AK33" s="32"/>
      <c r="AL33" s="32"/>
      <c r="AM33" s="32"/>
      <c r="AN33" s="32"/>
    </row>
    <row r="34" spans="1:40">
      <c r="A34" s="32" t="str">
        <f>_xlfn.TEXTJOIN("",TRUE,_xlfn.XLOOKUP(B34,Input!J:J,Input!G:G,"",0,1),_xlfn.XLOOKUP(B34,Input!J:J,Input!H:H,"",0,1))</f>
        <v/>
      </c>
      <c r="B34" s="32"/>
      <c r="C34" s="53">
        <f>_xlfn.XLOOKUP(B34,Input!J:J,Input!F:F)</f>
        <v>0</v>
      </c>
      <c r="D34" s="32">
        <f>_xlfn.XLOOKUP(C34,Models!H:H,Models!G:G,C34)</f>
        <v>0</v>
      </c>
      <c r="E34" s="32"/>
      <c r="F34" s="32" t="str">
        <f>_xlfn.XLOOKUP(H34,Models!B:B,Models!F:F,"")</f>
        <v/>
      </c>
      <c r="G34" s="32">
        <f>_xlfn.XLOOKUP(B34,Input!J:J,Input!E:E)</f>
        <v>0</v>
      </c>
      <c r="H34" s="32">
        <f>IF(G34="LENOVO",_xlfn.XLOOKUP(B34,Input!J:J,Input!K:K),_xlfn.XLOOKUP(B34,Input!J:J,Input!L:L))</f>
        <v>0</v>
      </c>
      <c r="I34" s="32"/>
      <c r="J34" s="32"/>
      <c r="K34" s="32">
        <f>_xlfn.XLOOKUP(B34,CPU_Formula!A:A,CPU_Formula!I:I)</f>
        <v>0</v>
      </c>
      <c r="L34" s="53" t="e">
        <f>INDEX(Input!$D$2:$AC$500,
       MATCH(B34, Input!$J$2:$J$500, 0),
       MATCH("Memory Capacity", Input!$D$1:$AC$1, 0))</f>
        <v>#N/A</v>
      </c>
      <c r="M34" s="53" t="e">
        <f>INDEX(Input!$D$2:$AC$500,
       MATCH(B34, Input!$J$2:$J$500, 0),
       MATCH("Memory Type", Input!$D$1:$AC$1, 0))</f>
        <v>#N/A</v>
      </c>
      <c r="N34" s="53" t="e">
        <f t="shared" si="0"/>
        <v>#N/A</v>
      </c>
      <c r="O34" s="53" t="str" cm="1">
        <f t="array" ref="O34">IFERROR(_xlfn.FILTERXML("&lt;t&gt;&lt;s&gt;" &amp; SUBSTITUTE(M34," / ","&lt;/s&gt;&lt;s&gt;") &amp; "&lt;/s&gt;&lt;/t&gt;","(//s[contains(.,'DDR')])[1]"),"")</f>
        <v/>
      </c>
      <c r="P34" s="32" t="e">
        <f t="shared" si="1"/>
        <v>#N/A</v>
      </c>
      <c r="Q34" s="32" t="e">
        <f>INDEX(Input!$D$2:$AC$500,
       MATCH(B34, Input!$J$2:$J$500, 0),
       MATCH("Disk Capacity", Input!$D$1:$AC$1, 0))</f>
        <v>#N/A</v>
      </c>
      <c r="R34" s="32"/>
      <c r="S34" s="53" t="e">
        <f>_xlfn.LET(_xlpm.Result,INDEX(Input!$D$2:$AC$500,
       MATCH(B34, Input!$J$2:$J$500, 0),
       MATCH("Capacity", Input!$D$1:$AC$1, 0)),IF(_xlpm.Result="","",_xlpm.Result))</f>
        <v>#N/A</v>
      </c>
      <c r="T34" s="53" t="e" cm="1">
        <f t="array" ref="T34">_xlfn.TEXTSPLIT(S34," / ", ,TRUE,0,)</f>
        <v>#N/A</v>
      </c>
      <c r="U34" s="53"/>
      <c r="V34" s="53" t="str" cm="1">
        <f t="array" ref="V34">IFERROR(_xlfn.IFS(
T34="","",
--T34&lt;55,"Battery Defect",
--T34&lt;=69,"Battery D",
--T34&lt;=80,"Battery C",
--T34&gt;80,""
),"")</f>
        <v/>
      </c>
      <c r="W34" s="53" t="str" cm="1">
        <f t="array" ref="W34">IFERROR(_xlfn.IFS(
U34="","",
--U34&lt;55,"Battery Defect",
--U34&lt;=69,"Battery D",
--U34&lt;=80,"Battery C",
--U34&gt;80,""
),"")</f>
        <v/>
      </c>
      <c r="X34" s="53" t="str" cm="1">
        <f t="array" ref="X34:AE34">IFERROR(IF(_xlfn.XLOOKUP(B34,Input!J:J,Input!N:U)=0,"",
          _xlfn.XLOOKUP(B34,Input!J:J,Input!N:U)),"")</f>
        <v/>
      </c>
      <c r="Y34" s="53" t="str">
        <v/>
      </c>
      <c r="Z34" s="53" t="str">
        <v/>
      </c>
      <c r="AA34" s="53" t="str">
        <v/>
      </c>
      <c r="AB34" s="53" t="str">
        <v/>
      </c>
      <c r="AC34" s="53" t="str">
        <v/>
      </c>
      <c r="AD34" s="53" t="str">
        <v/>
      </c>
      <c r="AE34" s="53" t="str">
        <v/>
      </c>
      <c r="AF34" s="32" t="str">
        <f t="shared" si="2"/>
        <v/>
      </c>
      <c r="AG34" s="32" t="str">
        <f>_xlfn.XLOOKUP(B:B,Disk_Pivot!G:G,Disk_Pivot!I:I)</f>
        <v>Yes x2</v>
      </c>
      <c r="AH34" s="32" t="str">
        <f>_xlfn.XLOOKUP(B34,Disk_Pivot!G:G,Disk_Pivot!N:N)</f>
        <v>Pass, Fail</v>
      </c>
      <c r="AI34" s="32"/>
      <c r="AJ34" s="32"/>
      <c r="AK34" s="32"/>
      <c r="AL34" s="32"/>
      <c r="AM34" s="32"/>
      <c r="AN34" s="32"/>
    </row>
    <row r="35" spans="1:40">
      <c r="A35" s="32" t="str">
        <f>_xlfn.TEXTJOIN("",TRUE,_xlfn.XLOOKUP(B35,Input!J:J,Input!G:G,"",0,1),_xlfn.XLOOKUP(B35,Input!J:J,Input!H:H,"",0,1))</f>
        <v/>
      </c>
      <c r="B35" s="32"/>
      <c r="C35" s="53">
        <f>_xlfn.XLOOKUP(B35,Input!J:J,Input!F:F)</f>
        <v>0</v>
      </c>
      <c r="D35" s="32">
        <f>_xlfn.XLOOKUP(C35,Models!H:H,Models!G:G,C35)</f>
        <v>0</v>
      </c>
      <c r="E35" s="32"/>
      <c r="F35" s="32" t="str">
        <f>_xlfn.XLOOKUP(H35,Models!B:B,Models!F:F,"")</f>
        <v/>
      </c>
      <c r="G35" s="32">
        <f>_xlfn.XLOOKUP(B35,Input!J:J,Input!E:E)</f>
        <v>0</v>
      </c>
      <c r="H35" s="32">
        <f>IF(G35="LENOVO",_xlfn.XLOOKUP(B35,Input!J:J,Input!K:K),_xlfn.XLOOKUP(B35,Input!J:J,Input!L:L))</f>
        <v>0</v>
      </c>
      <c r="I35" s="32"/>
      <c r="J35" s="32"/>
      <c r="K35" s="32">
        <f>_xlfn.XLOOKUP(B35,CPU_Formula!A:A,CPU_Formula!I:I)</f>
        <v>0</v>
      </c>
      <c r="L35" s="53" t="e">
        <f>INDEX(Input!$D$2:$AC$500,
       MATCH(B35, Input!$J$2:$J$500, 0),
       MATCH("Memory Capacity", Input!$D$1:$AC$1, 0))</f>
        <v>#N/A</v>
      </c>
      <c r="M35" s="53" t="e">
        <f>INDEX(Input!$D$2:$AC$500,
       MATCH(B35, Input!$J$2:$J$500, 0),
       MATCH("Memory Type", Input!$D$1:$AC$1, 0))</f>
        <v>#N/A</v>
      </c>
      <c r="N35" s="53" t="e">
        <f t="shared" si="0"/>
        <v>#N/A</v>
      </c>
      <c r="O35" s="53" t="str" cm="1">
        <f t="array" ref="O35">IFERROR(_xlfn.FILTERXML("&lt;t&gt;&lt;s&gt;" &amp; SUBSTITUTE(M35," / ","&lt;/s&gt;&lt;s&gt;") &amp; "&lt;/s&gt;&lt;/t&gt;","(//s[contains(.,'DDR')])[1]"),"")</f>
        <v/>
      </c>
      <c r="P35" s="32" t="e">
        <f t="shared" si="1"/>
        <v>#N/A</v>
      </c>
      <c r="Q35" s="32" t="e">
        <f>INDEX(Input!$D$2:$AC$500,
       MATCH(B35, Input!$J$2:$J$500, 0),
       MATCH("Disk Capacity", Input!$D$1:$AC$1, 0))</f>
        <v>#N/A</v>
      </c>
      <c r="R35" s="32"/>
      <c r="S35" s="53" t="e">
        <f>_xlfn.LET(_xlpm.Result,INDEX(Input!$D$2:$AC$500,
       MATCH(B35, Input!$J$2:$J$500, 0),
       MATCH("Capacity", Input!$D$1:$AC$1, 0)),IF(_xlpm.Result="","",_xlpm.Result))</f>
        <v>#N/A</v>
      </c>
      <c r="T35" s="53" t="e" cm="1">
        <f t="array" ref="T35">_xlfn.TEXTSPLIT(S35," / ", ,TRUE,0,)</f>
        <v>#N/A</v>
      </c>
      <c r="U35" s="53"/>
      <c r="V35" s="53" t="str" cm="1">
        <f t="array" ref="V35">IFERROR(_xlfn.IFS(
T35="","",
--T35&lt;55,"Battery Defect",
--T35&lt;=69,"Battery D",
--T35&lt;=80,"Battery C",
--T35&gt;80,""
),"")</f>
        <v/>
      </c>
      <c r="W35" s="53" t="str" cm="1">
        <f t="array" ref="W35">IFERROR(_xlfn.IFS(
U35="","",
--U35&lt;55,"Battery Defect",
--U35&lt;=69,"Battery D",
--U35&lt;=80,"Battery C",
--U35&gt;80,""
),"")</f>
        <v/>
      </c>
      <c r="X35" s="53" t="str" cm="1">
        <f t="array" ref="X35:AE35">IFERROR(IF(_xlfn.XLOOKUP(B35,Input!J:J,Input!N:U)=0,"",
          _xlfn.XLOOKUP(B35,Input!J:J,Input!N:U)),"")</f>
        <v/>
      </c>
      <c r="Y35" s="53" t="str">
        <v/>
      </c>
      <c r="Z35" s="53" t="str">
        <v/>
      </c>
      <c r="AA35" s="53" t="str">
        <v/>
      </c>
      <c r="AB35" s="53" t="str">
        <v/>
      </c>
      <c r="AC35" s="53" t="str">
        <v/>
      </c>
      <c r="AD35" s="53" t="str">
        <v/>
      </c>
      <c r="AE35" s="53" t="str">
        <v/>
      </c>
      <c r="AF35" s="32" t="str">
        <f t="shared" si="2"/>
        <v/>
      </c>
      <c r="AG35" s="32" t="str">
        <f>_xlfn.XLOOKUP(B:B,Disk_Pivot!G:G,Disk_Pivot!I:I)</f>
        <v>Yes x2</v>
      </c>
      <c r="AH35" s="32" t="str">
        <f>_xlfn.XLOOKUP(B35,Disk_Pivot!G:G,Disk_Pivot!N:N)</f>
        <v>Pass, Fail</v>
      </c>
      <c r="AI35" s="32"/>
      <c r="AJ35" s="32"/>
      <c r="AK35" s="32"/>
      <c r="AL35" s="32"/>
      <c r="AM35" s="32"/>
      <c r="AN35" s="32"/>
    </row>
    <row r="36" spans="1:40">
      <c r="A36" s="32" t="str">
        <f>_xlfn.TEXTJOIN("",TRUE,_xlfn.XLOOKUP(B36,Input!J:J,Input!G:G,"",0,1),_xlfn.XLOOKUP(B36,Input!J:J,Input!H:H,"",0,1))</f>
        <v/>
      </c>
      <c r="B36" s="32"/>
      <c r="C36" s="53">
        <f>_xlfn.XLOOKUP(B36,Input!J:J,Input!F:F)</f>
        <v>0</v>
      </c>
      <c r="D36" s="32">
        <f>_xlfn.XLOOKUP(C36,Models!H:H,Models!G:G,C36)</f>
        <v>0</v>
      </c>
      <c r="E36" s="32"/>
      <c r="F36" s="32" t="str">
        <f>_xlfn.XLOOKUP(H36,Models!B:B,Models!F:F,"")</f>
        <v/>
      </c>
      <c r="G36" s="32">
        <f>_xlfn.XLOOKUP(B36,Input!J:J,Input!E:E)</f>
        <v>0</v>
      </c>
      <c r="H36" s="32">
        <f>IF(G36="LENOVO",_xlfn.XLOOKUP(B36,Input!J:J,Input!K:K),_xlfn.XLOOKUP(B36,Input!J:J,Input!L:L))</f>
        <v>0</v>
      </c>
      <c r="I36" s="32"/>
      <c r="J36" s="32"/>
      <c r="K36" s="32">
        <f>_xlfn.XLOOKUP(B36,CPU_Formula!A:A,CPU_Formula!I:I)</f>
        <v>0</v>
      </c>
      <c r="L36" s="53" t="e">
        <f>INDEX(Input!$D$2:$AC$500,
       MATCH(B36, Input!$J$2:$J$500, 0),
       MATCH("Memory Capacity", Input!$D$1:$AC$1, 0))</f>
        <v>#N/A</v>
      </c>
      <c r="M36" s="53" t="e">
        <f>INDEX(Input!$D$2:$AC$500,
       MATCH(B36, Input!$J$2:$J$500, 0),
       MATCH("Memory Type", Input!$D$1:$AC$1, 0))</f>
        <v>#N/A</v>
      </c>
      <c r="N36" s="53" t="e">
        <f t="shared" si="0"/>
        <v>#N/A</v>
      </c>
      <c r="O36" s="53" t="str" cm="1">
        <f t="array" ref="O36">IFERROR(_xlfn.FILTERXML("&lt;t&gt;&lt;s&gt;" &amp; SUBSTITUTE(M36," / ","&lt;/s&gt;&lt;s&gt;") &amp; "&lt;/s&gt;&lt;/t&gt;","(//s[contains(.,'DDR')])[1]"),"")</f>
        <v/>
      </c>
      <c r="P36" s="32" t="e">
        <f t="shared" si="1"/>
        <v>#N/A</v>
      </c>
      <c r="Q36" s="32" t="e">
        <f>INDEX(Input!$D$2:$AC$500,
       MATCH(B36, Input!$J$2:$J$500, 0),
       MATCH("Disk Capacity", Input!$D$1:$AC$1, 0))</f>
        <v>#N/A</v>
      </c>
      <c r="R36" s="32"/>
      <c r="S36" s="53" t="e">
        <f>_xlfn.LET(_xlpm.Result,INDEX(Input!$D$2:$AC$500,
       MATCH(B36, Input!$J$2:$J$500, 0),
       MATCH("Capacity", Input!$D$1:$AC$1, 0)),IF(_xlpm.Result="","",_xlpm.Result))</f>
        <v>#N/A</v>
      </c>
      <c r="T36" s="53" t="e" cm="1">
        <f t="array" ref="T36">_xlfn.TEXTSPLIT(S36," / ", ,TRUE,0,)</f>
        <v>#N/A</v>
      </c>
      <c r="U36" s="53"/>
      <c r="V36" s="53" t="str" cm="1">
        <f t="array" ref="V36">IFERROR(_xlfn.IFS(
T36="","",
--T36&lt;55,"Battery Defect",
--T36&lt;=69,"Battery D",
--T36&lt;=80,"Battery C",
--T36&gt;80,""
),"")</f>
        <v/>
      </c>
      <c r="W36" s="53" t="str" cm="1">
        <f t="array" ref="W36">IFERROR(_xlfn.IFS(
U36="","",
--U36&lt;55,"Battery Defect",
--U36&lt;=69,"Battery D",
--U36&lt;=80,"Battery C",
--U36&gt;80,""
),"")</f>
        <v/>
      </c>
      <c r="X36" s="53" t="str" cm="1">
        <f t="array" ref="X36:AE36">IFERROR(IF(_xlfn.XLOOKUP(B36,Input!J:J,Input!N:U)=0,"",
          _xlfn.XLOOKUP(B36,Input!J:J,Input!N:U)),"")</f>
        <v/>
      </c>
      <c r="Y36" s="53" t="str">
        <v/>
      </c>
      <c r="Z36" s="53" t="str">
        <v/>
      </c>
      <c r="AA36" s="53" t="str">
        <v/>
      </c>
      <c r="AB36" s="53" t="str">
        <v/>
      </c>
      <c r="AC36" s="53" t="str">
        <v/>
      </c>
      <c r="AD36" s="53" t="str">
        <v/>
      </c>
      <c r="AE36" s="53" t="str">
        <v/>
      </c>
      <c r="AF36" s="32" t="str">
        <f t="shared" si="2"/>
        <v/>
      </c>
      <c r="AG36" s="32" t="str">
        <f>_xlfn.XLOOKUP(B:B,Disk_Pivot!G:G,Disk_Pivot!I:I)</f>
        <v>Yes x2</v>
      </c>
      <c r="AH36" s="32" t="str">
        <f>_xlfn.XLOOKUP(B36,Disk_Pivot!G:G,Disk_Pivot!N:N)</f>
        <v>Pass, Fail</v>
      </c>
      <c r="AI36" s="32"/>
      <c r="AJ36" s="32"/>
      <c r="AK36" s="32"/>
      <c r="AL36" s="32"/>
      <c r="AM36" s="32"/>
      <c r="AN36" s="32"/>
    </row>
    <row r="37" spans="1:40">
      <c r="A37" s="32" t="str">
        <f>_xlfn.TEXTJOIN("",TRUE,_xlfn.XLOOKUP(B37,Input!J:J,Input!G:G,"",0,1),_xlfn.XLOOKUP(B37,Input!J:J,Input!H:H,"",0,1))</f>
        <v/>
      </c>
      <c r="B37" s="32"/>
      <c r="C37" s="53">
        <f>_xlfn.XLOOKUP(B37,Input!J:J,Input!F:F)</f>
        <v>0</v>
      </c>
      <c r="D37" s="32">
        <f>_xlfn.XLOOKUP(C37,Models!H:H,Models!G:G,C37)</f>
        <v>0</v>
      </c>
      <c r="E37" s="32"/>
      <c r="F37" s="32" t="str">
        <f>_xlfn.XLOOKUP(H37,Models!B:B,Models!F:F,"")</f>
        <v/>
      </c>
      <c r="G37" s="32">
        <f>_xlfn.XLOOKUP(B37,Input!J:J,Input!E:E)</f>
        <v>0</v>
      </c>
      <c r="H37" s="32">
        <f>IF(G37="LENOVO",_xlfn.XLOOKUP(B37,Input!J:J,Input!K:K),_xlfn.XLOOKUP(B37,Input!J:J,Input!L:L))</f>
        <v>0</v>
      </c>
      <c r="I37" s="32"/>
      <c r="J37" s="32"/>
      <c r="K37" s="32">
        <f>_xlfn.XLOOKUP(B37,CPU_Formula!A:A,CPU_Formula!I:I)</f>
        <v>0</v>
      </c>
      <c r="L37" s="53" t="e">
        <f>INDEX(Input!$D$2:$AC$500,
       MATCH(B37, Input!$J$2:$J$500, 0),
       MATCH("Memory Capacity", Input!$D$1:$AC$1, 0))</f>
        <v>#N/A</v>
      </c>
      <c r="M37" s="53" t="e">
        <f>INDEX(Input!$D$2:$AC$500,
       MATCH(B37, Input!$J$2:$J$500, 0),
       MATCH("Memory Type", Input!$D$1:$AC$1, 0))</f>
        <v>#N/A</v>
      </c>
      <c r="N37" s="53" t="e">
        <f t="shared" si="0"/>
        <v>#N/A</v>
      </c>
      <c r="O37" s="53" t="str" cm="1">
        <f t="array" ref="O37">IFERROR(_xlfn.FILTERXML("&lt;t&gt;&lt;s&gt;" &amp; SUBSTITUTE(M37," / ","&lt;/s&gt;&lt;s&gt;") &amp; "&lt;/s&gt;&lt;/t&gt;","(//s[contains(.,'DDR')])[1]"),"")</f>
        <v/>
      </c>
      <c r="P37" s="32" t="e">
        <f t="shared" si="1"/>
        <v>#N/A</v>
      </c>
      <c r="Q37" s="32" t="e">
        <f>INDEX(Input!$D$2:$AC$500,
       MATCH(B37, Input!$J$2:$J$500, 0),
       MATCH("Disk Capacity", Input!$D$1:$AC$1, 0))</f>
        <v>#N/A</v>
      </c>
      <c r="R37" s="32"/>
      <c r="S37" s="53" t="e">
        <f>_xlfn.LET(_xlpm.Result,INDEX(Input!$D$2:$AC$500,
       MATCH(B37, Input!$J$2:$J$500, 0),
       MATCH("Capacity", Input!$D$1:$AC$1, 0)),IF(_xlpm.Result="","",_xlpm.Result))</f>
        <v>#N/A</v>
      </c>
      <c r="T37" s="53" t="e" cm="1">
        <f t="array" ref="T37">_xlfn.TEXTSPLIT(S37," / ", ,TRUE,0,)</f>
        <v>#N/A</v>
      </c>
      <c r="U37" s="53"/>
      <c r="V37" s="53" t="str" cm="1">
        <f t="array" ref="V37">IFERROR(_xlfn.IFS(
T37="","",
--T37&lt;55,"Battery Defect",
--T37&lt;=69,"Battery D",
--T37&lt;=80,"Battery C",
--T37&gt;80,""
),"")</f>
        <v/>
      </c>
      <c r="W37" s="53" t="str" cm="1">
        <f t="array" ref="W37">IFERROR(_xlfn.IFS(
U37="","",
--U37&lt;55,"Battery Defect",
--U37&lt;=69,"Battery D",
--U37&lt;=80,"Battery C",
--U37&gt;80,""
),"")</f>
        <v/>
      </c>
      <c r="X37" s="53" t="str" cm="1">
        <f t="array" ref="X37:AE37">IFERROR(IF(_xlfn.XLOOKUP(B37,Input!J:J,Input!N:U)=0,"",
          _xlfn.XLOOKUP(B37,Input!J:J,Input!N:U)),"")</f>
        <v/>
      </c>
      <c r="Y37" s="53" t="str">
        <v/>
      </c>
      <c r="Z37" s="53" t="str">
        <v/>
      </c>
      <c r="AA37" s="53" t="str">
        <v/>
      </c>
      <c r="AB37" s="53" t="str">
        <v/>
      </c>
      <c r="AC37" s="53" t="str">
        <v/>
      </c>
      <c r="AD37" s="53" t="str">
        <v/>
      </c>
      <c r="AE37" s="53" t="str">
        <v/>
      </c>
      <c r="AF37" s="32" t="str">
        <f t="shared" si="2"/>
        <v/>
      </c>
      <c r="AG37" s="32" t="str">
        <f>_xlfn.XLOOKUP(B:B,Disk_Pivot!G:G,Disk_Pivot!I:I)</f>
        <v>Yes x2</v>
      </c>
      <c r="AH37" s="32" t="str">
        <f>_xlfn.XLOOKUP(B37,Disk_Pivot!G:G,Disk_Pivot!N:N)</f>
        <v>Pass, Fail</v>
      </c>
      <c r="AI37" s="32"/>
      <c r="AJ37" s="32"/>
      <c r="AK37" s="32"/>
      <c r="AL37" s="32"/>
      <c r="AM37" s="32"/>
      <c r="AN37" s="32"/>
    </row>
    <row r="38" spans="1:40">
      <c r="A38" s="32" t="str">
        <f>_xlfn.TEXTJOIN("",TRUE,_xlfn.XLOOKUP(B38,Input!J:J,Input!G:G,"",0,1),_xlfn.XLOOKUP(B38,Input!J:J,Input!H:H,"",0,1))</f>
        <v/>
      </c>
      <c r="B38" s="32"/>
      <c r="C38" s="53">
        <f>_xlfn.XLOOKUP(B38,Input!J:J,Input!F:F)</f>
        <v>0</v>
      </c>
      <c r="D38" s="32">
        <f>_xlfn.XLOOKUP(C38,Models!H:H,Models!G:G,C38)</f>
        <v>0</v>
      </c>
      <c r="E38" s="32"/>
      <c r="F38" s="32" t="str">
        <f>_xlfn.XLOOKUP(H38,Models!B:B,Models!F:F,"")</f>
        <v/>
      </c>
      <c r="G38" s="32">
        <f>_xlfn.XLOOKUP(B38,Input!J:J,Input!E:E)</f>
        <v>0</v>
      </c>
      <c r="H38" s="32">
        <f>IF(G38="LENOVO",_xlfn.XLOOKUP(B38,Input!J:J,Input!K:K),_xlfn.XLOOKUP(B38,Input!J:J,Input!L:L))</f>
        <v>0</v>
      </c>
      <c r="I38" s="32"/>
      <c r="J38" s="32"/>
      <c r="K38" s="32">
        <f>_xlfn.XLOOKUP(B38,CPU_Formula!A:A,CPU_Formula!I:I)</f>
        <v>0</v>
      </c>
      <c r="L38" s="53" t="e">
        <f>INDEX(Input!$D$2:$AC$500,
       MATCH(B38, Input!$J$2:$J$500, 0),
       MATCH("Memory Capacity", Input!$D$1:$AC$1, 0))</f>
        <v>#N/A</v>
      </c>
      <c r="M38" s="53" t="e">
        <f>INDEX(Input!$D$2:$AC$500,
       MATCH(B38, Input!$J$2:$J$500, 0),
       MATCH("Memory Type", Input!$D$1:$AC$1, 0))</f>
        <v>#N/A</v>
      </c>
      <c r="N38" s="53" t="e">
        <f t="shared" si="0"/>
        <v>#N/A</v>
      </c>
      <c r="O38" s="53" t="str" cm="1">
        <f t="array" ref="O38">IFERROR(_xlfn.FILTERXML("&lt;t&gt;&lt;s&gt;" &amp; SUBSTITUTE(M38," / ","&lt;/s&gt;&lt;s&gt;") &amp; "&lt;/s&gt;&lt;/t&gt;","(//s[contains(.,'DDR')])[1]"),"")</f>
        <v/>
      </c>
      <c r="P38" s="32" t="e">
        <f t="shared" si="1"/>
        <v>#N/A</v>
      </c>
      <c r="Q38" s="32" t="e">
        <f>INDEX(Input!$D$2:$AC$500,
       MATCH(B38, Input!$J$2:$J$500, 0),
       MATCH("Disk Capacity", Input!$D$1:$AC$1, 0))</f>
        <v>#N/A</v>
      </c>
      <c r="R38" s="32"/>
      <c r="S38" s="53" t="e">
        <f>_xlfn.LET(_xlpm.Result,INDEX(Input!$D$2:$AC$500,
       MATCH(B38, Input!$J$2:$J$500, 0),
       MATCH("Capacity", Input!$D$1:$AC$1, 0)),IF(_xlpm.Result="","",_xlpm.Result))</f>
        <v>#N/A</v>
      </c>
      <c r="T38" s="53" t="e" cm="1">
        <f t="array" ref="T38">_xlfn.TEXTSPLIT(S38," / ", ,TRUE,0,)</f>
        <v>#N/A</v>
      </c>
      <c r="U38" s="53"/>
      <c r="V38" s="53" t="str" cm="1">
        <f t="array" ref="V38">IFERROR(_xlfn.IFS(
T38="","",
--T38&lt;55,"Battery Defect",
--T38&lt;=69,"Battery D",
--T38&lt;=80,"Battery C",
--T38&gt;80,""
),"")</f>
        <v/>
      </c>
      <c r="W38" s="53" t="str" cm="1">
        <f t="array" ref="W38">IFERROR(_xlfn.IFS(
U38="","",
--U38&lt;55,"Battery Defect",
--U38&lt;=69,"Battery D",
--U38&lt;=80,"Battery C",
--U38&gt;80,""
),"")</f>
        <v/>
      </c>
      <c r="X38" s="53" t="str" cm="1">
        <f t="array" ref="X38:AE38">IFERROR(IF(_xlfn.XLOOKUP(B38,Input!J:J,Input!N:U)=0,"",
          _xlfn.XLOOKUP(B38,Input!J:J,Input!N:U)),"")</f>
        <v/>
      </c>
      <c r="Y38" s="53" t="str">
        <v/>
      </c>
      <c r="Z38" s="53" t="str">
        <v/>
      </c>
      <c r="AA38" s="53" t="str">
        <v/>
      </c>
      <c r="AB38" s="53" t="str">
        <v/>
      </c>
      <c r="AC38" s="53" t="str">
        <v/>
      </c>
      <c r="AD38" s="53" t="str">
        <v/>
      </c>
      <c r="AE38" s="53" t="str">
        <v/>
      </c>
      <c r="AF38" s="32" t="str">
        <f t="shared" si="2"/>
        <v/>
      </c>
      <c r="AG38" s="32" t="str">
        <f>_xlfn.XLOOKUP(B:B,Disk_Pivot!G:G,Disk_Pivot!I:I)</f>
        <v>Yes x2</v>
      </c>
      <c r="AH38" s="32" t="str">
        <f>_xlfn.XLOOKUP(B38,Disk_Pivot!G:G,Disk_Pivot!N:N)</f>
        <v>Pass, Fail</v>
      </c>
      <c r="AI38" s="32"/>
      <c r="AJ38" s="32"/>
      <c r="AK38" s="32"/>
      <c r="AL38" s="32"/>
      <c r="AM38" s="32"/>
      <c r="AN38" s="32"/>
    </row>
    <row r="39" spans="1:40">
      <c r="A39" s="32" t="str">
        <f>_xlfn.TEXTJOIN("",TRUE,_xlfn.XLOOKUP(B39,Input!J:J,Input!G:G,"",0,1),_xlfn.XLOOKUP(B39,Input!J:J,Input!H:H,"",0,1))</f>
        <v/>
      </c>
      <c r="B39" s="32"/>
      <c r="C39" s="53">
        <f>_xlfn.XLOOKUP(B39,Input!J:J,Input!F:F)</f>
        <v>0</v>
      </c>
      <c r="D39" s="32">
        <f>_xlfn.XLOOKUP(C39,Models!H:H,Models!G:G,C39)</f>
        <v>0</v>
      </c>
      <c r="E39" s="32"/>
      <c r="F39" s="32" t="str">
        <f>_xlfn.XLOOKUP(H39,Models!B:B,Models!F:F,"")</f>
        <v/>
      </c>
      <c r="G39" s="32">
        <f>_xlfn.XLOOKUP(B39,Input!J:J,Input!E:E)</f>
        <v>0</v>
      </c>
      <c r="H39" s="32">
        <f>IF(G39="LENOVO",_xlfn.XLOOKUP(B39,Input!J:J,Input!K:K),_xlfn.XLOOKUP(B39,Input!J:J,Input!L:L))</f>
        <v>0</v>
      </c>
      <c r="I39" s="32"/>
      <c r="J39" s="32"/>
      <c r="K39" s="32">
        <f>_xlfn.XLOOKUP(B39,CPU_Formula!A:A,CPU_Formula!I:I)</f>
        <v>0</v>
      </c>
      <c r="L39" s="53" t="e">
        <f>INDEX(Input!$D$2:$AC$500,
       MATCH(B39, Input!$J$2:$J$500, 0),
       MATCH("Memory Capacity", Input!$D$1:$AC$1, 0))</f>
        <v>#N/A</v>
      </c>
      <c r="M39" s="53" t="e">
        <f>INDEX(Input!$D$2:$AC$500,
       MATCH(B39, Input!$J$2:$J$500, 0),
       MATCH("Memory Type", Input!$D$1:$AC$1, 0))</f>
        <v>#N/A</v>
      </c>
      <c r="N39" s="53" t="e">
        <f t="shared" si="0"/>
        <v>#N/A</v>
      </c>
      <c r="O39" s="53" t="str" cm="1">
        <f t="array" ref="O39">IFERROR(_xlfn.FILTERXML("&lt;t&gt;&lt;s&gt;" &amp; SUBSTITUTE(M39," / ","&lt;/s&gt;&lt;s&gt;") &amp; "&lt;/s&gt;&lt;/t&gt;","(//s[contains(.,'DDR')])[1]"),"")</f>
        <v/>
      </c>
      <c r="P39" s="32" t="e">
        <f t="shared" si="1"/>
        <v>#N/A</v>
      </c>
      <c r="Q39" s="32" t="e">
        <f>INDEX(Input!$D$2:$AC$500,
       MATCH(B39, Input!$J$2:$J$500, 0),
       MATCH("Disk Capacity", Input!$D$1:$AC$1, 0))</f>
        <v>#N/A</v>
      </c>
      <c r="R39" s="32"/>
      <c r="S39" s="53" t="e">
        <f>_xlfn.LET(_xlpm.Result,INDEX(Input!$D$2:$AC$500,
       MATCH(B39, Input!$J$2:$J$500, 0),
       MATCH("Capacity", Input!$D$1:$AC$1, 0)),IF(_xlpm.Result="","",_xlpm.Result))</f>
        <v>#N/A</v>
      </c>
      <c r="T39" s="53" t="e" cm="1">
        <f t="array" ref="T39">_xlfn.TEXTSPLIT(S39," / ", ,TRUE,0,)</f>
        <v>#N/A</v>
      </c>
      <c r="U39" s="53"/>
      <c r="V39" s="53" t="str" cm="1">
        <f t="array" ref="V39">IFERROR(_xlfn.IFS(
T39="","",
--T39&lt;55,"Battery Defect",
--T39&lt;=69,"Battery D",
--T39&lt;=80,"Battery C",
--T39&gt;80,""
),"")</f>
        <v/>
      </c>
      <c r="W39" s="53" t="str" cm="1">
        <f t="array" ref="W39">IFERROR(_xlfn.IFS(
U39="","",
--U39&lt;55,"Battery Defect",
--U39&lt;=69,"Battery D",
--U39&lt;=80,"Battery C",
--U39&gt;80,""
),"")</f>
        <v/>
      </c>
      <c r="X39" s="53" t="str" cm="1">
        <f t="array" ref="X39:AE39">IFERROR(IF(_xlfn.XLOOKUP(B39,Input!J:J,Input!N:U)=0,"",
          _xlfn.XLOOKUP(B39,Input!J:J,Input!N:U)),"")</f>
        <v/>
      </c>
      <c r="Y39" s="53" t="str">
        <v/>
      </c>
      <c r="Z39" s="53" t="str">
        <v/>
      </c>
      <c r="AA39" s="53" t="str">
        <v/>
      </c>
      <c r="AB39" s="53" t="str">
        <v/>
      </c>
      <c r="AC39" s="53" t="str">
        <v/>
      </c>
      <c r="AD39" s="53" t="str">
        <v/>
      </c>
      <c r="AE39" s="53" t="str">
        <v/>
      </c>
      <c r="AF39" s="32" t="str">
        <f t="shared" si="2"/>
        <v/>
      </c>
      <c r="AG39" s="32" t="str">
        <f>_xlfn.XLOOKUP(B:B,Disk_Pivot!G:G,Disk_Pivot!I:I)</f>
        <v>Yes x2</v>
      </c>
      <c r="AH39" s="32" t="str">
        <f>_xlfn.XLOOKUP(B39,Disk_Pivot!G:G,Disk_Pivot!N:N)</f>
        <v>Pass, Fail</v>
      </c>
      <c r="AI39" s="32"/>
      <c r="AJ39" s="32"/>
      <c r="AK39" s="32"/>
      <c r="AL39" s="32"/>
      <c r="AM39" s="32"/>
      <c r="AN39" s="32"/>
    </row>
    <row r="40" spans="1:40">
      <c r="A40" s="32" t="str">
        <f>_xlfn.TEXTJOIN("",TRUE,_xlfn.XLOOKUP(B40,Input!J:J,Input!G:G,"",0,1),_xlfn.XLOOKUP(B40,Input!J:J,Input!H:H,"",0,1))</f>
        <v/>
      </c>
      <c r="B40" s="32"/>
      <c r="C40" s="53">
        <f>_xlfn.XLOOKUP(B40,Input!J:J,Input!F:F)</f>
        <v>0</v>
      </c>
      <c r="D40" s="32">
        <f>_xlfn.XLOOKUP(C40,Models!H:H,Models!G:G,C40)</f>
        <v>0</v>
      </c>
      <c r="E40" s="32"/>
      <c r="F40" s="32" t="str">
        <f>_xlfn.XLOOKUP(H40,Models!B:B,Models!F:F,"")</f>
        <v/>
      </c>
      <c r="G40" s="32">
        <f>_xlfn.XLOOKUP(B40,Input!J:J,Input!E:E)</f>
        <v>0</v>
      </c>
      <c r="H40" s="32">
        <f>IF(G40="LENOVO",_xlfn.XLOOKUP(B40,Input!J:J,Input!K:K),_xlfn.XLOOKUP(B40,Input!J:J,Input!L:L))</f>
        <v>0</v>
      </c>
      <c r="I40" s="32"/>
      <c r="J40" s="32"/>
      <c r="K40" s="32">
        <f>_xlfn.XLOOKUP(B40,CPU_Formula!A:A,CPU_Formula!I:I)</f>
        <v>0</v>
      </c>
      <c r="L40" s="53" t="e">
        <f>INDEX(Input!$D$2:$AC$500,
       MATCH(B40, Input!$J$2:$J$500, 0),
       MATCH("Memory Capacity", Input!$D$1:$AC$1, 0))</f>
        <v>#N/A</v>
      </c>
      <c r="M40" s="53" t="e">
        <f>INDEX(Input!$D$2:$AC$500,
       MATCH(B40, Input!$J$2:$J$500, 0),
       MATCH("Memory Type", Input!$D$1:$AC$1, 0))</f>
        <v>#N/A</v>
      </c>
      <c r="N40" s="53" t="e">
        <f t="shared" si="0"/>
        <v>#N/A</v>
      </c>
      <c r="O40" s="53" t="str" cm="1">
        <f t="array" ref="O40">IFERROR(_xlfn.FILTERXML("&lt;t&gt;&lt;s&gt;" &amp; SUBSTITUTE(M40," / ","&lt;/s&gt;&lt;s&gt;") &amp; "&lt;/s&gt;&lt;/t&gt;","(//s[contains(.,'DDR')])[1]"),"")</f>
        <v/>
      </c>
      <c r="P40" s="32" t="e">
        <f t="shared" si="1"/>
        <v>#N/A</v>
      </c>
      <c r="Q40" s="32" t="e">
        <f>INDEX(Input!$D$2:$AC$500,
       MATCH(B40, Input!$J$2:$J$500, 0),
       MATCH("Disk Capacity", Input!$D$1:$AC$1, 0))</f>
        <v>#N/A</v>
      </c>
      <c r="R40" s="32"/>
      <c r="S40" s="53" t="e">
        <f>_xlfn.LET(_xlpm.Result,INDEX(Input!$D$2:$AC$500,
       MATCH(B40, Input!$J$2:$J$500, 0),
       MATCH("Capacity", Input!$D$1:$AC$1, 0)),IF(_xlpm.Result="","",_xlpm.Result))</f>
        <v>#N/A</v>
      </c>
      <c r="T40" s="53" t="e" cm="1">
        <f t="array" ref="T40">_xlfn.TEXTSPLIT(S40," / ", ,TRUE,0,)</f>
        <v>#N/A</v>
      </c>
      <c r="U40" s="53"/>
      <c r="V40" s="53" t="str" cm="1">
        <f t="array" ref="V40">IFERROR(_xlfn.IFS(
T40="","",
--T40&lt;55,"Battery Defect",
--T40&lt;=69,"Battery D",
--T40&lt;=80,"Battery C",
--T40&gt;80,""
),"")</f>
        <v/>
      </c>
      <c r="W40" s="53" t="str" cm="1">
        <f t="array" ref="W40">IFERROR(_xlfn.IFS(
U40="","",
--U40&lt;55,"Battery Defect",
--U40&lt;=69,"Battery D",
--U40&lt;=80,"Battery C",
--U40&gt;80,""
),"")</f>
        <v/>
      </c>
      <c r="X40" s="53" t="str" cm="1">
        <f t="array" ref="X40:AE40">IFERROR(IF(_xlfn.XLOOKUP(B40,Input!J:J,Input!N:U)=0,"",
          _xlfn.XLOOKUP(B40,Input!J:J,Input!N:U)),"")</f>
        <v/>
      </c>
      <c r="Y40" s="53" t="str">
        <v/>
      </c>
      <c r="Z40" s="53" t="str">
        <v/>
      </c>
      <c r="AA40" s="53" t="str">
        <v/>
      </c>
      <c r="AB40" s="53" t="str">
        <v/>
      </c>
      <c r="AC40" s="53" t="str">
        <v/>
      </c>
      <c r="AD40" s="53" t="str">
        <v/>
      </c>
      <c r="AE40" s="53" t="str">
        <v/>
      </c>
      <c r="AF40" s="32" t="str">
        <f t="shared" si="2"/>
        <v/>
      </c>
      <c r="AG40" s="32" t="str">
        <f>_xlfn.XLOOKUP(B:B,Disk_Pivot!G:G,Disk_Pivot!I:I)</f>
        <v>Yes x2</v>
      </c>
      <c r="AH40" s="32" t="str">
        <f>_xlfn.XLOOKUP(B40,Disk_Pivot!G:G,Disk_Pivot!N:N)</f>
        <v>Pass, Fail</v>
      </c>
      <c r="AI40" s="32"/>
      <c r="AJ40" s="32"/>
      <c r="AK40" s="32"/>
      <c r="AL40" s="32"/>
      <c r="AM40" s="32"/>
      <c r="AN40" s="32"/>
    </row>
    <row r="41" spans="1:40">
      <c r="A41" s="32" t="str">
        <f>_xlfn.TEXTJOIN("",TRUE,_xlfn.XLOOKUP(B41,Input!J:J,Input!G:G,"",0,1),_xlfn.XLOOKUP(B41,Input!J:J,Input!H:H,"",0,1))</f>
        <v/>
      </c>
      <c r="B41" s="32"/>
      <c r="C41" s="53">
        <f>_xlfn.XLOOKUP(B41,Input!J:J,Input!F:F)</f>
        <v>0</v>
      </c>
      <c r="D41" s="32">
        <f>_xlfn.XLOOKUP(C41,Models!H:H,Models!G:G,C41)</f>
        <v>0</v>
      </c>
      <c r="E41" s="32"/>
      <c r="F41" s="32" t="str">
        <f>_xlfn.XLOOKUP(H41,Models!B:B,Models!F:F,"")</f>
        <v/>
      </c>
      <c r="G41" s="32">
        <f>_xlfn.XLOOKUP(B41,Input!J:J,Input!E:E)</f>
        <v>0</v>
      </c>
      <c r="H41" s="32">
        <f>IF(G41="LENOVO",_xlfn.XLOOKUP(B41,Input!J:J,Input!K:K),_xlfn.XLOOKUP(B41,Input!J:J,Input!L:L))</f>
        <v>0</v>
      </c>
      <c r="I41" s="32"/>
      <c r="J41" s="32"/>
      <c r="K41" s="32">
        <f>_xlfn.XLOOKUP(B41,CPU_Formula!A:A,CPU_Formula!I:I)</f>
        <v>0</v>
      </c>
      <c r="L41" s="53" t="e">
        <f>INDEX(Input!$D$2:$AC$500,
       MATCH(B41, Input!$J$2:$J$500, 0),
       MATCH("Memory Capacity", Input!$D$1:$AC$1, 0))</f>
        <v>#N/A</v>
      </c>
      <c r="M41" s="53" t="e">
        <f>INDEX(Input!$D$2:$AC$500,
       MATCH(B41, Input!$J$2:$J$500, 0),
       MATCH("Memory Type", Input!$D$1:$AC$1, 0))</f>
        <v>#N/A</v>
      </c>
      <c r="N41" s="53" t="e">
        <f t="shared" si="0"/>
        <v>#N/A</v>
      </c>
      <c r="O41" s="53" t="str" cm="1">
        <f t="array" ref="O41">IFERROR(_xlfn.FILTERXML("&lt;t&gt;&lt;s&gt;" &amp; SUBSTITUTE(M41," / ","&lt;/s&gt;&lt;s&gt;") &amp; "&lt;/s&gt;&lt;/t&gt;","(//s[contains(.,'DDR')])[1]"),"")</f>
        <v/>
      </c>
      <c r="P41" s="32" t="e">
        <f t="shared" si="1"/>
        <v>#N/A</v>
      </c>
      <c r="Q41" s="32" t="e">
        <f>INDEX(Input!$D$2:$AC$500,
       MATCH(B41, Input!$J$2:$J$500, 0),
       MATCH("Disk Capacity", Input!$D$1:$AC$1, 0))</f>
        <v>#N/A</v>
      </c>
      <c r="R41" s="32"/>
      <c r="S41" s="53" t="e">
        <f>_xlfn.LET(_xlpm.Result,INDEX(Input!$D$2:$AC$500,
       MATCH(B41, Input!$J$2:$J$500, 0),
       MATCH("Capacity", Input!$D$1:$AC$1, 0)),IF(_xlpm.Result="","",_xlpm.Result))</f>
        <v>#N/A</v>
      </c>
      <c r="T41" s="53" t="e" cm="1">
        <f t="array" ref="T41">_xlfn.TEXTSPLIT(S41," / ", ,TRUE,0,)</f>
        <v>#N/A</v>
      </c>
      <c r="U41" s="53"/>
      <c r="V41" s="53" t="str" cm="1">
        <f t="array" ref="V41">IFERROR(_xlfn.IFS(
T41="","",
--T41&lt;55,"Battery Defect",
--T41&lt;=69,"Battery D",
--T41&lt;=80,"Battery C",
--T41&gt;80,""
),"")</f>
        <v/>
      </c>
      <c r="W41" s="53" t="str" cm="1">
        <f t="array" ref="W41">IFERROR(_xlfn.IFS(
U41="","",
--U41&lt;55,"Battery Defect",
--U41&lt;=69,"Battery D",
--U41&lt;=80,"Battery C",
--U41&gt;80,""
),"")</f>
        <v/>
      </c>
      <c r="X41" s="53" t="str" cm="1">
        <f t="array" ref="X41:AE41">IFERROR(IF(_xlfn.XLOOKUP(B41,Input!J:J,Input!N:U)=0,"",
          _xlfn.XLOOKUP(B41,Input!J:J,Input!N:U)),"")</f>
        <v/>
      </c>
      <c r="Y41" s="53" t="str">
        <v/>
      </c>
      <c r="Z41" s="53" t="str">
        <v/>
      </c>
      <c r="AA41" s="53" t="str">
        <v/>
      </c>
      <c r="AB41" s="53" t="str">
        <v/>
      </c>
      <c r="AC41" s="53" t="str">
        <v/>
      </c>
      <c r="AD41" s="53" t="str">
        <v/>
      </c>
      <c r="AE41" s="53" t="str">
        <v/>
      </c>
      <c r="AF41" s="32" t="str">
        <f t="shared" si="2"/>
        <v/>
      </c>
      <c r="AG41" s="32" t="str">
        <f>_xlfn.XLOOKUP(B:B,Disk_Pivot!G:G,Disk_Pivot!I:I)</f>
        <v>Yes x2</v>
      </c>
      <c r="AH41" s="32" t="str">
        <f>_xlfn.XLOOKUP(B41,Disk_Pivot!G:G,Disk_Pivot!N:N)</f>
        <v>Pass, Fail</v>
      </c>
      <c r="AI41" s="32"/>
      <c r="AJ41" s="32"/>
      <c r="AK41" s="32"/>
      <c r="AL41" s="32"/>
      <c r="AM41" s="32"/>
      <c r="AN41" s="32"/>
    </row>
    <row r="42" spans="1:40">
      <c r="A42" s="32" t="str">
        <f>_xlfn.TEXTJOIN("",TRUE,_xlfn.XLOOKUP(B42,Input!J:J,Input!G:G,"",0,1),_xlfn.XLOOKUP(B42,Input!J:J,Input!H:H,"",0,1))</f>
        <v/>
      </c>
      <c r="B42" s="32"/>
      <c r="C42" s="53">
        <f>_xlfn.XLOOKUP(B42,Input!J:J,Input!F:F)</f>
        <v>0</v>
      </c>
      <c r="D42" s="32">
        <f>_xlfn.XLOOKUP(C42,Models!H:H,Models!G:G,C42)</f>
        <v>0</v>
      </c>
      <c r="E42" s="32"/>
      <c r="F42" s="32" t="str">
        <f>_xlfn.XLOOKUP(H42,Models!B:B,Models!F:F,"")</f>
        <v/>
      </c>
      <c r="G42" s="32">
        <f>_xlfn.XLOOKUP(B42,Input!J:J,Input!E:E)</f>
        <v>0</v>
      </c>
      <c r="H42" s="32">
        <f>IF(G42="LENOVO",_xlfn.XLOOKUP(B42,Input!J:J,Input!K:K),_xlfn.XLOOKUP(B42,Input!J:J,Input!L:L))</f>
        <v>0</v>
      </c>
      <c r="I42" s="32"/>
      <c r="J42" s="32"/>
      <c r="K42" s="32">
        <f>_xlfn.XLOOKUP(B42,CPU_Formula!A:A,CPU_Formula!I:I)</f>
        <v>0</v>
      </c>
      <c r="L42" s="53" t="e">
        <f>INDEX(Input!$D$2:$AC$500,
       MATCH(B42, Input!$J$2:$J$500, 0),
       MATCH("Memory Capacity", Input!$D$1:$AC$1, 0))</f>
        <v>#N/A</v>
      </c>
      <c r="M42" s="53" t="e">
        <f>INDEX(Input!$D$2:$AC$500,
       MATCH(B42, Input!$J$2:$J$500, 0),
       MATCH("Memory Type", Input!$D$1:$AC$1, 0))</f>
        <v>#N/A</v>
      </c>
      <c r="N42" s="53" t="e">
        <f t="shared" si="0"/>
        <v>#N/A</v>
      </c>
      <c r="O42" s="53" t="str" cm="1">
        <f t="array" ref="O42">IFERROR(_xlfn.FILTERXML("&lt;t&gt;&lt;s&gt;" &amp; SUBSTITUTE(M42," / ","&lt;/s&gt;&lt;s&gt;") &amp; "&lt;/s&gt;&lt;/t&gt;","(//s[contains(.,'DDR')])[1]"),"")</f>
        <v/>
      </c>
      <c r="P42" s="32" t="e">
        <f t="shared" si="1"/>
        <v>#N/A</v>
      </c>
      <c r="Q42" s="32" t="e">
        <f>INDEX(Input!$D$2:$AC$500,
       MATCH(B42, Input!$J$2:$J$500, 0),
       MATCH("Disk Capacity", Input!$D$1:$AC$1, 0))</f>
        <v>#N/A</v>
      </c>
      <c r="R42" s="32"/>
      <c r="S42" s="53" t="e">
        <f>_xlfn.LET(_xlpm.Result,INDEX(Input!$D$2:$AC$500,
       MATCH(B42, Input!$J$2:$J$500, 0),
       MATCH("Capacity", Input!$D$1:$AC$1, 0)),IF(_xlpm.Result="","",_xlpm.Result))</f>
        <v>#N/A</v>
      </c>
      <c r="T42" s="53" t="e" cm="1">
        <f t="array" ref="T42">_xlfn.TEXTSPLIT(S42," / ", ,TRUE,0,)</f>
        <v>#N/A</v>
      </c>
      <c r="U42" s="53"/>
      <c r="V42" s="53" t="str" cm="1">
        <f t="array" ref="V42">IFERROR(_xlfn.IFS(
T42="","",
--T42&lt;55,"Battery Defect",
--T42&lt;=69,"Battery D",
--T42&lt;=80,"Battery C",
--T42&gt;80,""
),"")</f>
        <v/>
      </c>
      <c r="W42" s="53" t="str" cm="1">
        <f t="array" ref="W42">IFERROR(_xlfn.IFS(
U42="","",
--U42&lt;55,"Battery Defect",
--U42&lt;=69,"Battery D",
--U42&lt;=80,"Battery C",
--U42&gt;80,""
),"")</f>
        <v/>
      </c>
      <c r="X42" s="53" t="str" cm="1">
        <f t="array" ref="X42:AE42">IFERROR(IF(_xlfn.XLOOKUP(B42,Input!J:J,Input!N:U)=0,"",
          _xlfn.XLOOKUP(B42,Input!J:J,Input!N:U)),"")</f>
        <v/>
      </c>
      <c r="Y42" s="53" t="str">
        <v/>
      </c>
      <c r="Z42" s="53" t="str">
        <v/>
      </c>
      <c r="AA42" s="53" t="str">
        <v/>
      </c>
      <c r="AB42" s="53" t="str">
        <v/>
      </c>
      <c r="AC42" s="53" t="str">
        <v/>
      </c>
      <c r="AD42" s="53" t="str">
        <v/>
      </c>
      <c r="AE42" s="53" t="str">
        <v/>
      </c>
      <c r="AF42" s="32" t="str">
        <f t="shared" si="2"/>
        <v/>
      </c>
      <c r="AG42" s="32" t="str">
        <f>_xlfn.XLOOKUP(B:B,Disk_Pivot!G:G,Disk_Pivot!I:I)</f>
        <v>Yes x2</v>
      </c>
      <c r="AH42" s="32" t="str">
        <f>_xlfn.XLOOKUP(B42,Disk_Pivot!G:G,Disk_Pivot!N:N)</f>
        <v>Pass, Fail</v>
      </c>
      <c r="AI42" s="32"/>
      <c r="AJ42" s="32"/>
      <c r="AK42" s="32"/>
      <c r="AL42" s="32"/>
      <c r="AM42" s="32"/>
      <c r="AN42" s="32"/>
    </row>
    <row r="43" spans="1:40">
      <c r="A43" s="32" t="str">
        <f>_xlfn.TEXTJOIN("",TRUE,_xlfn.XLOOKUP(B43,Input!J:J,Input!G:G,"",0,1),_xlfn.XLOOKUP(B43,Input!J:J,Input!H:H,"",0,1))</f>
        <v/>
      </c>
      <c r="B43" s="32"/>
      <c r="C43" s="53">
        <f>_xlfn.XLOOKUP(B43,Input!J:J,Input!F:F)</f>
        <v>0</v>
      </c>
      <c r="D43" s="32">
        <f>_xlfn.XLOOKUP(C43,Models!H:H,Models!G:G,C43)</f>
        <v>0</v>
      </c>
      <c r="E43" s="32"/>
      <c r="F43" s="32" t="str">
        <f>_xlfn.XLOOKUP(H43,Models!B:B,Models!F:F,"")</f>
        <v/>
      </c>
      <c r="G43" s="32">
        <f>_xlfn.XLOOKUP(B43,Input!J:J,Input!E:E)</f>
        <v>0</v>
      </c>
      <c r="H43" s="32">
        <f>IF(G43="LENOVO",_xlfn.XLOOKUP(B43,Input!J:J,Input!K:K),_xlfn.XLOOKUP(B43,Input!J:J,Input!L:L))</f>
        <v>0</v>
      </c>
      <c r="I43" s="32"/>
      <c r="J43" s="32"/>
      <c r="K43" s="32">
        <f>_xlfn.XLOOKUP(B43,CPU_Formula!A:A,CPU_Formula!I:I)</f>
        <v>0</v>
      </c>
      <c r="L43" s="53" t="e">
        <f>INDEX(Input!$D$2:$AC$500,
       MATCH(B43, Input!$J$2:$J$500, 0),
       MATCH("Memory Capacity", Input!$D$1:$AC$1, 0))</f>
        <v>#N/A</v>
      </c>
      <c r="M43" s="53" t="e">
        <f>INDEX(Input!$D$2:$AC$500,
       MATCH(B43, Input!$J$2:$J$500, 0),
       MATCH("Memory Type", Input!$D$1:$AC$1, 0))</f>
        <v>#N/A</v>
      </c>
      <c r="N43" s="53" t="e">
        <f t="shared" si="0"/>
        <v>#N/A</v>
      </c>
      <c r="O43" s="53" t="str" cm="1">
        <f t="array" ref="O43">IFERROR(_xlfn.FILTERXML("&lt;t&gt;&lt;s&gt;" &amp; SUBSTITUTE(M43," / ","&lt;/s&gt;&lt;s&gt;") &amp; "&lt;/s&gt;&lt;/t&gt;","(//s[contains(.,'DDR')])[1]"),"")</f>
        <v/>
      </c>
      <c r="P43" s="32" t="e">
        <f t="shared" si="1"/>
        <v>#N/A</v>
      </c>
      <c r="Q43" s="32" t="e">
        <f>INDEX(Input!$D$2:$AC$500,
       MATCH(B43, Input!$J$2:$J$500, 0),
       MATCH("Disk Capacity", Input!$D$1:$AC$1, 0))</f>
        <v>#N/A</v>
      </c>
      <c r="R43" s="32"/>
      <c r="S43" s="53" t="e">
        <f>_xlfn.LET(_xlpm.Result,INDEX(Input!$D$2:$AC$500,
       MATCH(B43, Input!$J$2:$J$500, 0),
       MATCH("Capacity", Input!$D$1:$AC$1, 0)),IF(_xlpm.Result="","",_xlpm.Result))</f>
        <v>#N/A</v>
      </c>
      <c r="T43" s="53" t="e" cm="1">
        <f t="array" ref="T43">_xlfn.TEXTSPLIT(S43," / ", ,TRUE,0,)</f>
        <v>#N/A</v>
      </c>
      <c r="U43" s="53"/>
      <c r="V43" s="53" t="str" cm="1">
        <f t="array" ref="V43">IFERROR(_xlfn.IFS(
T43="","",
--T43&lt;55,"Battery Defect",
--T43&lt;=69,"Battery D",
--T43&lt;=80,"Battery C",
--T43&gt;80,""
),"")</f>
        <v/>
      </c>
      <c r="W43" s="53" t="str" cm="1">
        <f t="array" ref="W43">IFERROR(_xlfn.IFS(
U43="","",
--U43&lt;55,"Battery Defect",
--U43&lt;=69,"Battery D",
--U43&lt;=80,"Battery C",
--U43&gt;80,""
),"")</f>
        <v/>
      </c>
      <c r="X43" s="53" t="str" cm="1">
        <f t="array" ref="X43:AE43">IFERROR(IF(_xlfn.XLOOKUP(B43,Input!J:J,Input!N:U)=0,"",
          _xlfn.XLOOKUP(B43,Input!J:J,Input!N:U)),"")</f>
        <v/>
      </c>
      <c r="Y43" s="53" t="str">
        <v/>
      </c>
      <c r="Z43" s="53" t="str">
        <v/>
      </c>
      <c r="AA43" s="53" t="str">
        <v/>
      </c>
      <c r="AB43" s="53" t="str">
        <v/>
      </c>
      <c r="AC43" s="53" t="str">
        <v/>
      </c>
      <c r="AD43" s="53" t="str">
        <v/>
      </c>
      <c r="AE43" s="53" t="str">
        <v/>
      </c>
      <c r="AF43" s="32" t="str">
        <f t="shared" si="2"/>
        <v/>
      </c>
      <c r="AG43" s="32" t="str">
        <f>_xlfn.XLOOKUP(B:B,Disk_Pivot!G:G,Disk_Pivot!I:I)</f>
        <v>Yes x2</v>
      </c>
      <c r="AH43" s="32" t="str">
        <f>_xlfn.XLOOKUP(B43,Disk_Pivot!G:G,Disk_Pivot!N:N)</f>
        <v>Pass, Fail</v>
      </c>
      <c r="AI43" s="32"/>
      <c r="AJ43" s="32"/>
      <c r="AK43" s="32"/>
      <c r="AL43" s="32"/>
      <c r="AM43" s="32"/>
      <c r="AN43" s="32"/>
    </row>
    <row r="44" spans="1:40">
      <c r="A44" s="32" t="str">
        <f>_xlfn.TEXTJOIN("",TRUE,_xlfn.XLOOKUP(B44,Input!J:J,Input!G:G,"",0,1),_xlfn.XLOOKUP(B44,Input!J:J,Input!H:H,"",0,1))</f>
        <v/>
      </c>
      <c r="B44" s="32"/>
      <c r="C44" s="53">
        <f>_xlfn.XLOOKUP(B44,Input!J:J,Input!F:F)</f>
        <v>0</v>
      </c>
      <c r="D44" s="32">
        <f>_xlfn.XLOOKUP(C44,Models!H:H,Models!G:G,C44)</f>
        <v>0</v>
      </c>
      <c r="E44" s="32"/>
      <c r="F44" s="32" t="str">
        <f>_xlfn.XLOOKUP(H44,Models!B:B,Models!F:F,"")</f>
        <v/>
      </c>
      <c r="G44" s="32">
        <f>_xlfn.XLOOKUP(B44,Input!J:J,Input!E:E)</f>
        <v>0</v>
      </c>
      <c r="H44" s="32">
        <f>IF(G44="LENOVO",_xlfn.XLOOKUP(B44,Input!J:J,Input!K:K),_xlfn.XLOOKUP(B44,Input!J:J,Input!L:L))</f>
        <v>0</v>
      </c>
      <c r="I44" s="32"/>
      <c r="J44" s="32"/>
      <c r="K44" s="32">
        <f>_xlfn.XLOOKUP(B44,CPU_Formula!A:A,CPU_Formula!I:I)</f>
        <v>0</v>
      </c>
      <c r="L44" s="53" t="e">
        <f>INDEX(Input!$D$2:$AC$500,
       MATCH(B44, Input!$J$2:$J$500, 0),
       MATCH("Memory Capacity", Input!$D$1:$AC$1, 0))</f>
        <v>#N/A</v>
      </c>
      <c r="M44" s="53" t="e">
        <f>INDEX(Input!$D$2:$AC$500,
       MATCH(B44, Input!$J$2:$J$500, 0),
       MATCH("Memory Type", Input!$D$1:$AC$1, 0))</f>
        <v>#N/A</v>
      </c>
      <c r="N44" s="53" t="e">
        <f t="shared" si="0"/>
        <v>#N/A</v>
      </c>
      <c r="O44" s="53" t="str" cm="1">
        <f t="array" ref="O44">IFERROR(_xlfn.FILTERXML("&lt;t&gt;&lt;s&gt;" &amp; SUBSTITUTE(M44," / ","&lt;/s&gt;&lt;s&gt;") &amp; "&lt;/s&gt;&lt;/t&gt;","(//s[contains(.,'DDR')])[1]"),"")</f>
        <v/>
      </c>
      <c r="P44" s="32" t="e">
        <f t="shared" si="1"/>
        <v>#N/A</v>
      </c>
      <c r="Q44" s="32" t="e">
        <f>INDEX(Input!$D$2:$AC$500,
       MATCH(B44, Input!$J$2:$J$500, 0),
       MATCH("Disk Capacity", Input!$D$1:$AC$1, 0))</f>
        <v>#N/A</v>
      </c>
      <c r="R44" s="32"/>
      <c r="S44" s="53" t="e">
        <f>_xlfn.LET(_xlpm.Result,INDEX(Input!$D$2:$AC$500,
       MATCH(B44, Input!$J$2:$J$500, 0),
       MATCH("Capacity", Input!$D$1:$AC$1, 0)),IF(_xlpm.Result="","",_xlpm.Result))</f>
        <v>#N/A</v>
      </c>
      <c r="T44" s="53" t="e" cm="1">
        <f t="array" ref="T44">_xlfn.TEXTSPLIT(S44," / ", ,TRUE,0,)</f>
        <v>#N/A</v>
      </c>
      <c r="U44" s="53"/>
      <c r="V44" s="53" t="str" cm="1">
        <f t="array" ref="V44">IFERROR(_xlfn.IFS(
T44="","",
--T44&lt;55,"Battery Defect",
--T44&lt;=69,"Battery D",
--T44&lt;=80,"Battery C",
--T44&gt;80,""
),"")</f>
        <v/>
      </c>
      <c r="W44" s="53" t="str" cm="1">
        <f t="array" ref="W44">IFERROR(_xlfn.IFS(
U44="","",
--U44&lt;55,"Battery Defect",
--U44&lt;=69,"Battery D",
--U44&lt;=80,"Battery C",
--U44&gt;80,""
),"")</f>
        <v/>
      </c>
      <c r="X44" s="53" t="str" cm="1">
        <f t="array" ref="X44:AE44">IFERROR(IF(_xlfn.XLOOKUP(B44,Input!J:J,Input!N:U)=0,"",
          _xlfn.XLOOKUP(B44,Input!J:J,Input!N:U)),"")</f>
        <v/>
      </c>
      <c r="Y44" s="53" t="str">
        <v/>
      </c>
      <c r="Z44" s="53" t="str">
        <v/>
      </c>
      <c r="AA44" s="53" t="str">
        <v/>
      </c>
      <c r="AB44" s="53" t="str">
        <v/>
      </c>
      <c r="AC44" s="53" t="str">
        <v/>
      </c>
      <c r="AD44" s="53" t="str">
        <v/>
      </c>
      <c r="AE44" s="53" t="str">
        <v/>
      </c>
      <c r="AF44" s="32" t="str">
        <f t="shared" si="2"/>
        <v/>
      </c>
      <c r="AG44" s="32" t="str">
        <f>_xlfn.XLOOKUP(B:B,Disk_Pivot!G:G,Disk_Pivot!I:I)</f>
        <v>Yes x2</v>
      </c>
      <c r="AH44" s="32" t="str">
        <f>_xlfn.XLOOKUP(B44,Disk_Pivot!G:G,Disk_Pivot!N:N)</f>
        <v>Pass, Fail</v>
      </c>
      <c r="AI44" s="32"/>
      <c r="AJ44" s="32"/>
      <c r="AK44" s="32"/>
      <c r="AL44" s="32"/>
      <c r="AM44" s="32"/>
      <c r="AN44" s="32"/>
    </row>
    <row r="45" spans="1:40">
      <c r="A45" s="32" t="str">
        <f>_xlfn.TEXTJOIN("",TRUE,_xlfn.XLOOKUP(B45,Input!J:J,Input!G:G,"",0,1),_xlfn.XLOOKUP(B45,Input!J:J,Input!H:H,"",0,1))</f>
        <v/>
      </c>
      <c r="B45" s="32"/>
      <c r="C45" s="53">
        <f>_xlfn.XLOOKUP(B45,Input!J:J,Input!F:F)</f>
        <v>0</v>
      </c>
      <c r="D45" s="32">
        <f>_xlfn.XLOOKUP(C45,Models!H:H,Models!G:G,C45)</f>
        <v>0</v>
      </c>
      <c r="E45" s="32"/>
      <c r="F45" s="32" t="str">
        <f>_xlfn.XLOOKUP(H45,Models!B:B,Models!F:F,"")</f>
        <v/>
      </c>
      <c r="G45" s="32">
        <f>_xlfn.XLOOKUP(B45,Input!J:J,Input!E:E)</f>
        <v>0</v>
      </c>
      <c r="H45" s="32">
        <f>IF(G45="LENOVO",_xlfn.XLOOKUP(B45,Input!J:J,Input!K:K),_xlfn.XLOOKUP(B45,Input!J:J,Input!L:L))</f>
        <v>0</v>
      </c>
      <c r="I45" s="32"/>
      <c r="J45" s="32"/>
      <c r="K45" s="32">
        <f>_xlfn.XLOOKUP(B45,CPU_Formula!A:A,CPU_Formula!I:I)</f>
        <v>0</v>
      </c>
      <c r="L45" s="53" t="e">
        <f>INDEX(Input!$D$2:$AC$500,
       MATCH(B45, Input!$J$2:$J$500, 0),
       MATCH("Memory Capacity", Input!$D$1:$AC$1, 0))</f>
        <v>#N/A</v>
      </c>
      <c r="M45" s="53" t="e">
        <f>INDEX(Input!$D$2:$AC$500,
       MATCH(B45, Input!$J$2:$J$500, 0),
       MATCH("Memory Type", Input!$D$1:$AC$1, 0))</f>
        <v>#N/A</v>
      </c>
      <c r="N45" s="53" t="e">
        <f t="shared" si="0"/>
        <v>#N/A</v>
      </c>
      <c r="O45" s="53" t="str" cm="1">
        <f t="array" ref="O45">IFERROR(_xlfn.FILTERXML("&lt;t&gt;&lt;s&gt;" &amp; SUBSTITUTE(M45," / ","&lt;/s&gt;&lt;s&gt;") &amp; "&lt;/s&gt;&lt;/t&gt;","(//s[contains(.,'DDR')])[1]"),"")</f>
        <v/>
      </c>
      <c r="P45" s="32" t="e">
        <f t="shared" si="1"/>
        <v>#N/A</v>
      </c>
      <c r="Q45" s="32" t="e">
        <f>INDEX(Input!$D$2:$AC$500,
       MATCH(B45, Input!$J$2:$J$500, 0),
       MATCH("Disk Capacity", Input!$D$1:$AC$1, 0))</f>
        <v>#N/A</v>
      </c>
      <c r="R45" s="32"/>
      <c r="S45" s="53" t="e">
        <f>_xlfn.LET(_xlpm.Result,INDEX(Input!$D$2:$AC$500,
       MATCH(B45, Input!$J$2:$J$500, 0),
       MATCH("Capacity", Input!$D$1:$AC$1, 0)),IF(_xlpm.Result="","",_xlpm.Result))</f>
        <v>#N/A</v>
      </c>
      <c r="T45" s="53" t="e" cm="1">
        <f t="array" ref="T45">_xlfn.TEXTSPLIT(S45," / ", ,TRUE,0,)</f>
        <v>#N/A</v>
      </c>
      <c r="U45" s="53"/>
      <c r="V45" s="53" t="str" cm="1">
        <f t="array" ref="V45">IFERROR(_xlfn.IFS(
T45="","",
--T45&lt;55,"Battery Defect",
--T45&lt;=69,"Battery D",
--T45&lt;=80,"Battery C",
--T45&gt;80,""
),"")</f>
        <v/>
      </c>
      <c r="W45" s="53" t="str" cm="1">
        <f t="array" ref="W45">IFERROR(_xlfn.IFS(
U45="","",
--U45&lt;55,"Battery Defect",
--U45&lt;=69,"Battery D",
--U45&lt;=80,"Battery C",
--U45&gt;80,""
),"")</f>
        <v/>
      </c>
      <c r="X45" s="53" t="str" cm="1">
        <f t="array" ref="X45:AE45">IFERROR(IF(_xlfn.XLOOKUP(B45,Input!J:J,Input!N:U)=0,"",
          _xlfn.XLOOKUP(B45,Input!J:J,Input!N:U)),"")</f>
        <v/>
      </c>
      <c r="Y45" s="53" t="str">
        <v/>
      </c>
      <c r="Z45" s="53" t="str">
        <v/>
      </c>
      <c r="AA45" s="53" t="str">
        <v/>
      </c>
      <c r="AB45" s="53" t="str">
        <v/>
      </c>
      <c r="AC45" s="53" t="str">
        <v/>
      </c>
      <c r="AD45" s="53" t="str">
        <v/>
      </c>
      <c r="AE45" s="53" t="str">
        <v/>
      </c>
      <c r="AF45" s="32" t="str">
        <f t="shared" si="2"/>
        <v/>
      </c>
      <c r="AG45" s="32" t="str">
        <f>_xlfn.XLOOKUP(B:B,Disk_Pivot!G:G,Disk_Pivot!I:I)</f>
        <v>Yes x2</v>
      </c>
      <c r="AH45" s="32" t="str">
        <f>_xlfn.XLOOKUP(B45,Disk_Pivot!G:G,Disk_Pivot!N:N)</f>
        <v>Pass, Fail</v>
      </c>
      <c r="AI45" s="32"/>
      <c r="AJ45" s="32"/>
      <c r="AK45" s="32"/>
      <c r="AL45" s="32"/>
      <c r="AM45" s="32"/>
      <c r="AN45" s="32"/>
    </row>
    <row r="46" spans="1:40">
      <c r="A46" s="32" t="str">
        <f>_xlfn.TEXTJOIN("",TRUE,_xlfn.XLOOKUP(B46,Input!J:J,Input!G:G,"",0,1),_xlfn.XLOOKUP(B46,Input!J:J,Input!H:H,"",0,1))</f>
        <v/>
      </c>
      <c r="B46" s="32"/>
      <c r="C46" s="53">
        <f>_xlfn.XLOOKUP(B46,Input!J:J,Input!F:F)</f>
        <v>0</v>
      </c>
      <c r="D46" s="32">
        <f>_xlfn.XLOOKUP(C46,Models!H:H,Models!G:G,C46)</f>
        <v>0</v>
      </c>
      <c r="E46" s="32"/>
      <c r="F46" s="32" t="str">
        <f>_xlfn.XLOOKUP(H46,Models!B:B,Models!F:F,"")</f>
        <v/>
      </c>
      <c r="G46" s="32">
        <f>_xlfn.XLOOKUP(B46,Input!J:J,Input!E:E)</f>
        <v>0</v>
      </c>
      <c r="H46" s="32">
        <f>IF(G46="LENOVO",_xlfn.XLOOKUP(B46,Input!J:J,Input!K:K),_xlfn.XLOOKUP(B46,Input!J:J,Input!L:L))</f>
        <v>0</v>
      </c>
      <c r="I46" s="32"/>
      <c r="J46" s="32"/>
      <c r="K46" s="32">
        <f>_xlfn.XLOOKUP(B46,CPU_Formula!A:A,CPU_Formula!I:I)</f>
        <v>0</v>
      </c>
      <c r="L46" s="53" t="e">
        <f>INDEX(Input!$D$2:$AC$500,
       MATCH(B46, Input!$J$2:$J$500, 0),
       MATCH("Memory Capacity", Input!$D$1:$AC$1, 0))</f>
        <v>#N/A</v>
      </c>
      <c r="M46" s="53" t="e">
        <f>INDEX(Input!$D$2:$AC$500,
       MATCH(B46, Input!$J$2:$J$500, 0),
       MATCH("Memory Type", Input!$D$1:$AC$1, 0))</f>
        <v>#N/A</v>
      </c>
      <c r="N46" s="53" t="e">
        <f t="shared" si="0"/>
        <v>#N/A</v>
      </c>
      <c r="O46" s="53" t="str" cm="1">
        <f t="array" ref="O46">IFERROR(_xlfn.FILTERXML("&lt;t&gt;&lt;s&gt;" &amp; SUBSTITUTE(M46," / ","&lt;/s&gt;&lt;s&gt;") &amp; "&lt;/s&gt;&lt;/t&gt;","(//s[contains(.,'DDR')])[1]"),"")</f>
        <v/>
      </c>
      <c r="P46" s="32" t="e">
        <f t="shared" si="1"/>
        <v>#N/A</v>
      </c>
      <c r="Q46" s="32" t="e">
        <f>INDEX(Input!$D$2:$AC$500,
       MATCH(B46, Input!$J$2:$J$500, 0),
       MATCH("Disk Capacity", Input!$D$1:$AC$1, 0))</f>
        <v>#N/A</v>
      </c>
      <c r="R46" s="32"/>
      <c r="S46" s="53" t="e">
        <f>_xlfn.LET(_xlpm.Result,INDEX(Input!$D$2:$AC$500,
       MATCH(B46, Input!$J$2:$J$500, 0),
       MATCH("Capacity", Input!$D$1:$AC$1, 0)),IF(_xlpm.Result="","",_xlpm.Result))</f>
        <v>#N/A</v>
      </c>
      <c r="T46" s="53" t="e" cm="1">
        <f t="array" ref="T46">_xlfn.TEXTSPLIT(S46," / ", ,TRUE,0,)</f>
        <v>#N/A</v>
      </c>
      <c r="U46" s="53"/>
      <c r="V46" s="53" t="str" cm="1">
        <f t="array" ref="V46">IFERROR(_xlfn.IFS(
T46="","",
--T46&lt;55,"Battery Defect",
--T46&lt;=69,"Battery D",
--T46&lt;=80,"Battery C",
--T46&gt;80,""
),"")</f>
        <v/>
      </c>
      <c r="W46" s="53" t="str" cm="1">
        <f t="array" ref="W46">IFERROR(_xlfn.IFS(
U46="","",
--U46&lt;55,"Battery Defect",
--U46&lt;=69,"Battery D",
--U46&lt;=80,"Battery C",
--U46&gt;80,""
),"")</f>
        <v/>
      </c>
      <c r="X46" s="53" t="str" cm="1">
        <f t="array" ref="X46:AE46">IFERROR(IF(_xlfn.XLOOKUP(B46,Input!J:J,Input!N:U)=0,"",
          _xlfn.XLOOKUP(B46,Input!J:J,Input!N:U)),"")</f>
        <v/>
      </c>
      <c r="Y46" s="53" t="str">
        <v/>
      </c>
      <c r="Z46" s="53" t="str">
        <v/>
      </c>
      <c r="AA46" s="53" t="str">
        <v/>
      </c>
      <c r="AB46" s="53" t="str">
        <v/>
      </c>
      <c r="AC46" s="53" t="str">
        <v/>
      </c>
      <c r="AD46" s="53" t="str">
        <v/>
      </c>
      <c r="AE46" s="53" t="str">
        <v/>
      </c>
      <c r="AF46" s="32" t="str">
        <f t="shared" si="2"/>
        <v/>
      </c>
      <c r="AG46" s="32" t="str">
        <f>_xlfn.XLOOKUP(B:B,Disk_Pivot!G:G,Disk_Pivot!I:I)</f>
        <v>Yes x2</v>
      </c>
      <c r="AH46" s="32" t="str">
        <f>_xlfn.XLOOKUP(B46,Disk_Pivot!G:G,Disk_Pivot!N:N)</f>
        <v>Pass, Fail</v>
      </c>
      <c r="AI46" s="32"/>
      <c r="AJ46" s="32"/>
      <c r="AK46" s="32"/>
      <c r="AL46" s="32"/>
      <c r="AM46" s="32"/>
      <c r="AN46" s="32"/>
    </row>
    <row r="47" spans="1:40">
      <c r="A47" s="32" t="str">
        <f>_xlfn.TEXTJOIN("",TRUE,_xlfn.XLOOKUP(B47,Input!J:J,Input!G:G,"",0,1),_xlfn.XLOOKUP(B47,Input!J:J,Input!H:H,"",0,1))</f>
        <v/>
      </c>
      <c r="B47" s="32"/>
      <c r="C47" s="53">
        <f>_xlfn.XLOOKUP(B47,Input!J:J,Input!F:F)</f>
        <v>0</v>
      </c>
      <c r="D47" s="32">
        <f>_xlfn.XLOOKUP(C47,Models!H:H,Models!G:G,C47)</f>
        <v>0</v>
      </c>
      <c r="E47" s="32"/>
      <c r="F47" s="32" t="str">
        <f>_xlfn.XLOOKUP(H47,Models!B:B,Models!F:F,"")</f>
        <v/>
      </c>
      <c r="G47" s="32">
        <f>_xlfn.XLOOKUP(B47,Input!J:J,Input!E:E)</f>
        <v>0</v>
      </c>
      <c r="H47" s="32">
        <f>IF(G47="LENOVO",_xlfn.XLOOKUP(B47,Input!J:J,Input!K:K),_xlfn.XLOOKUP(B47,Input!J:J,Input!L:L))</f>
        <v>0</v>
      </c>
      <c r="I47" s="32"/>
      <c r="J47" s="32"/>
      <c r="K47" s="32">
        <f>_xlfn.XLOOKUP(B47,CPU_Formula!A:A,CPU_Formula!I:I)</f>
        <v>0</v>
      </c>
      <c r="L47" s="53" t="e">
        <f>INDEX(Input!$D$2:$AC$500,
       MATCH(B47, Input!$J$2:$J$500, 0),
       MATCH("Memory Capacity", Input!$D$1:$AC$1, 0))</f>
        <v>#N/A</v>
      </c>
      <c r="M47" s="53" t="e">
        <f>INDEX(Input!$D$2:$AC$500,
       MATCH(B47, Input!$J$2:$J$500, 0),
       MATCH("Memory Type", Input!$D$1:$AC$1, 0))</f>
        <v>#N/A</v>
      </c>
      <c r="N47" s="53" t="e">
        <f t="shared" si="0"/>
        <v>#N/A</v>
      </c>
      <c r="O47" s="53" t="str" cm="1">
        <f t="array" ref="O47">IFERROR(_xlfn.FILTERXML("&lt;t&gt;&lt;s&gt;" &amp; SUBSTITUTE(M47," / ","&lt;/s&gt;&lt;s&gt;") &amp; "&lt;/s&gt;&lt;/t&gt;","(//s[contains(.,'DDR')])[1]"),"")</f>
        <v/>
      </c>
      <c r="P47" s="32" t="e">
        <f t="shared" si="1"/>
        <v>#N/A</v>
      </c>
      <c r="Q47" s="32" t="e">
        <f>INDEX(Input!$D$2:$AC$500,
       MATCH(B47, Input!$J$2:$J$500, 0),
       MATCH("Disk Capacity", Input!$D$1:$AC$1, 0))</f>
        <v>#N/A</v>
      </c>
      <c r="R47" s="32"/>
      <c r="S47" s="53" t="e">
        <f>_xlfn.LET(_xlpm.Result,INDEX(Input!$D$2:$AC$500,
       MATCH(B47, Input!$J$2:$J$500, 0),
       MATCH("Capacity", Input!$D$1:$AC$1, 0)),IF(_xlpm.Result="","",_xlpm.Result))</f>
        <v>#N/A</v>
      </c>
      <c r="T47" s="53" t="e" cm="1">
        <f t="array" ref="T47">_xlfn.TEXTSPLIT(S47," / ", ,TRUE,0,)</f>
        <v>#N/A</v>
      </c>
      <c r="U47" s="53"/>
      <c r="V47" s="53" t="str" cm="1">
        <f t="array" ref="V47">IFERROR(_xlfn.IFS(
T47="","",
--T47&lt;55,"Battery Defect",
--T47&lt;=69,"Battery D",
--T47&lt;=80,"Battery C",
--T47&gt;80,""
),"")</f>
        <v/>
      </c>
      <c r="W47" s="53" t="str" cm="1">
        <f t="array" ref="W47">IFERROR(_xlfn.IFS(
U47="","",
--U47&lt;55,"Battery Defect",
--U47&lt;=69,"Battery D",
--U47&lt;=80,"Battery C",
--U47&gt;80,""
),"")</f>
        <v/>
      </c>
      <c r="X47" s="53" t="str" cm="1">
        <f t="array" ref="X47:AE47">IFERROR(IF(_xlfn.XLOOKUP(B47,Input!J:J,Input!N:U)=0,"",
          _xlfn.XLOOKUP(B47,Input!J:J,Input!N:U)),"")</f>
        <v/>
      </c>
      <c r="Y47" s="53" t="str">
        <v/>
      </c>
      <c r="Z47" s="53" t="str">
        <v/>
      </c>
      <c r="AA47" s="53" t="str">
        <v/>
      </c>
      <c r="AB47" s="53" t="str">
        <v/>
      </c>
      <c r="AC47" s="53" t="str">
        <v/>
      </c>
      <c r="AD47" s="53" t="str">
        <v/>
      </c>
      <c r="AE47" s="53" t="str">
        <v/>
      </c>
      <c r="AF47" s="32" t="str">
        <f t="shared" si="2"/>
        <v/>
      </c>
      <c r="AG47" s="32" t="str">
        <f>_xlfn.XLOOKUP(B:B,Disk_Pivot!G:G,Disk_Pivot!I:I)</f>
        <v>Yes x2</v>
      </c>
      <c r="AH47" s="32" t="str">
        <f>_xlfn.XLOOKUP(B47,Disk_Pivot!G:G,Disk_Pivot!N:N)</f>
        <v>Pass, Fail</v>
      </c>
      <c r="AI47" s="32"/>
      <c r="AJ47" s="32"/>
      <c r="AK47" s="32"/>
      <c r="AL47" s="32"/>
      <c r="AM47" s="32"/>
      <c r="AN47" s="32"/>
    </row>
    <row r="48" spans="1:40">
      <c r="A48" s="32" t="str">
        <f>_xlfn.TEXTJOIN("",TRUE,_xlfn.XLOOKUP(B48,Input!J:J,Input!G:G,"",0,1),_xlfn.XLOOKUP(B48,Input!J:J,Input!H:H,"",0,1))</f>
        <v/>
      </c>
      <c r="B48" s="32"/>
      <c r="C48" s="53">
        <f>_xlfn.XLOOKUP(B48,Input!J:J,Input!F:F)</f>
        <v>0</v>
      </c>
      <c r="D48" s="32">
        <f>_xlfn.XLOOKUP(C48,Models!H:H,Models!G:G,C48)</f>
        <v>0</v>
      </c>
      <c r="E48" s="32"/>
      <c r="F48" s="32" t="str">
        <f>_xlfn.XLOOKUP(H48,Models!B:B,Models!F:F,"")</f>
        <v/>
      </c>
      <c r="G48" s="32">
        <f>_xlfn.XLOOKUP(B48,Input!J:J,Input!E:E)</f>
        <v>0</v>
      </c>
      <c r="H48" s="32">
        <f>IF(G48="LENOVO",_xlfn.XLOOKUP(B48,Input!J:J,Input!K:K),_xlfn.XLOOKUP(B48,Input!J:J,Input!L:L))</f>
        <v>0</v>
      </c>
      <c r="I48" s="32"/>
      <c r="J48" s="32"/>
      <c r="K48" s="32">
        <f>_xlfn.XLOOKUP(B48,CPU_Formula!A:A,CPU_Formula!I:I)</f>
        <v>0</v>
      </c>
      <c r="L48" s="53" t="e">
        <f>INDEX(Input!$D$2:$AC$500,
       MATCH(B48, Input!$J$2:$J$500, 0),
       MATCH("Memory Capacity", Input!$D$1:$AC$1, 0))</f>
        <v>#N/A</v>
      </c>
      <c r="M48" s="53" t="e">
        <f>INDEX(Input!$D$2:$AC$500,
       MATCH(B48, Input!$J$2:$J$500, 0),
       MATCH("Memory Type", Input!$D$1:$AC$1, 0))</f>
        <v>#N/A</v>
      </c>
      <c r="N48" s="53" t="e">
        <f t="shared" si="0"/>
        <v>#N/A</v>
      </c>
      <c r="O48" s="53" t="str" cm="1">
        <f t="array" ref="O48">IFERROR(_xlfn.FILTERXML("&lt;t&gt;&lt;s&gt;" &amp; SUBSTITUTE(M48," / ","&lt;/s&gt;&lt;s&gt;") &amp; "&lt;/s&gt;&lt;/t&gt;","(//s[contains(.,'DDR')])[1]"),"")</f>
        <v/>
      </c>
      <c r="P48" s="32" t="e">
        <f t="shared" si="1"/>
        <v>#N/A</v>
      </c>
      <c r="Q48" s="32" t="e">
        <f>INDEX(Input!$D$2:$AC$500,
       MATCH(B48, Input!$J$2:$J$500, 0),
       MATCH("Disk Capacity", Input!$D$1:$AC$1, 0))</f>
        <v>#N/A</v>
      </c>
      <c r="R48" s="32"/>
      <c r="S48" s="53" t="e">
        <f>_xlfn.LET(_xlpm.Result,INDEX(Input!$D$2:$AC$500,
       MATCH(B48, Input!$J$2:$J$500, 0),
       MATCH("Capacity", Input!$D$1:$AC$1, 0)),IF(_xlpm.Result="","",_xlpm.Result))</f>
        <v>#N/A</v>
      </c>
      <c r="T48" s="53" t="e" cm="1">
        <f t="array" ref="T48">_xlfn.TEXTSPLIT(S48," / ", ,TRUE,0,)</f>
        <v>#N/A</v>
      </c>
      <c r="U48" s="53"/>
      <c r="V48" s="53" t="str" cm="1">
        <f t="array" ref="V48">IFERROR(_xlfn.IFS(
T48="","",
--T48&lt;55,"Battery Defect",
--T48&lt;=69,"Battery D",
--T48&lt;=80,"Battery C",
--T48&gt;80,""
),"")</f>
        <v/>
      </c>
      <c r="W48" s="53" t="str" cm="1">
        <f t="array" ref="W48">IFERROR(_xlfn.IFS(
U48="","",
--U48&lt;55,"Battery Defect",
--U48&lt;=69,"Battery D",
--U48&lt;=80,"Battery C",
--U48&gt;80,""
),"")</f>
        <v/>
      </c>
      <c r="X48" s="53" t="str" cm="1">
        <f t="array" ref="X48:AE48">IFERROR(IF(_xlfn.XLOOKUP(B48,Input!J:J,Input!N:U)=0,"",
          _xlfn.XLOOKUP(B48,Input!J:J,Input!N:U)),"")</f>
        <v/>
      </c>
      <c r="Y48" s="53" t="str">
        <v/>
      </c>
      <c r="Z48" s="53" t="str">
        <v/>
      </c>
      <c r="AA48" s="53" t="str">
        <v/>
      </c>
      <c r="AB48" s="53" t="str">
        <v/>
      </c>
      <c r="AC48" s="53" t="str">
        <v/>
      </c>
      <c r="AD48" s="53" t="str">
        <v/>
      </c>
      <c r="AE48" s="53" t="str">
        <v/>
      </c>
      <c r="AF48" s="32" t="str">
        <f t="shared" si="2"/>
        <v/>
      </c>
      <c r="AG48" s="32" t="str">
        <f>_xlfn.XLOOKUP(B:B,Disk_Pivot!G:G,Disk_Pivot!I:I)</f>
        <v>Yes x2</v>
      </c>
      <c r="AH48" s="32" t="str">
        <f>_xlfn.XLOOKUP(B48,Disk_Pivot!G:G,Disk_Pivot!N:N)</f>
        <v>Pass, Fail</v>
      </c>
      <c r="AI48" s="32"/>
      <c r="AJ48" s="32"/>
      <c r="AK48" s="32"/>
      <c r="AL48" s="32"/>
      <c r="AM48" s="32"/>
      <c r="AN48" s="32"/>
    </row>
    <row r="49" spans="1:40">
      <c r="A49" s="32" t="str">
        <f>_xlfn.TEXTJOIN("",TRUE,_xlfn.XLOOKUP(B49,Input!J:J,Input!G:G,"",0,1),_xlfn.XLOOKUP(B49,Input!J:J,Input!H:H,"",0,1))</f>
        <v/>
      </c>
      <c r="B49" s="32"/>
      <c r="C49" s="53">
        <f>_xlfn.XLOOKUP(B49,Input!J:J,Input!F:F)</f>
        <v>0</v>
      </c>
      <c r="D49" s="32">
        <f>_xlfn.XLOOKUP(C49,Models!H:H,Models!G:G,C49)</f>
        <v>0</v>
      </c>
      <c r="E49" s="32"/>
      <c r="F49" s="32" t="str">
        <f>_xlfn.XLOOKUP(H49,Models!B:B,Models!F:F,"")</f>
        <v/>
      </c>
      <c r="G49" s="32">
        <f>_xlfn.XLOOKUP(B49,Input!J:J,Input!E:E)</f>
        <v>0</v>
      </c>
      <c r="H49" s="32">
        <f>IF(G49="LENOVO",_xlfn.XLOOKUP(B49,Input!J:J,Input!K:K),_xlfn.XLOOKUP(B49,Input!J:J,Input!L:L))</f>
        <v>0</v>
      </c>
      <c r="I49" s="32"/>
      <c r="J49" s="32"/>
      <c r="K49" s="32">
        <f>_xlfn.XLOOKUP(B49,CPU_Formula!A:A,CPU_Formula!I:I)</f>
        <v>0</v>
      </c>
      <c r="L49" s="53" t="e">
        <f>INDEX(Input!$D$2:$AC$500,
       MATCH(B49, Input!$J$2:$J$500, 0),
       MATCH("Memory Capacity", Input!$D$1:$AC$1, 0))</f>
        <v>#N/A</v>
      </c>
      <c r="M49" s="53" t="e">
        <f>INDEX(Input!$D$2:$AC$500,
       MATCH(B49, Input!$J$2:$J$500, 0),
       MATCH("Memory Type", Input!$D$1:$AC$1, 0))</f>
        <v>#N/A</v>
      </c>
      <c r="N49" s="53" t="e">
        <f t="shared" si="0"/>
        <v>#N/A</v>
      </c>
      <c r="O49" s="53" t="str" cm="1">
        <f t="array" ref="O49">IFERROR(_xlfn.FILTERXML("&lt;t&gt;&lt;s&gt;" &amp; SUBSTITUTE(M49," / ","&lt;/s&gt;&lt;s&gt;") &amp; "&lt;/s&gt;&lt;/t&gt;","(//s[contains(.,'DDR')])[1]"),"")</f>
        <v/>
      </c>
      <c r="P49" s="32" t="e">
        <f t="shared" si="1"/>
        <v>#N/A</v>
      </c>
      <c r="Q49" s="32" t="e">
        <f>INDEX(Input!$D$2:$AC$500,
       MATCH(B49, Input!$J$2:$J$500, 0),
       MATCH("Disk Capacity", Input!$D$1:$AC$1, 0))</f>
        <v>#N/A</v>
      </c>
      <c r="R49" s="32"/>
      <c r="S49" s="53" t="e">
        <f>_xlfn.LET(_xlpm.Result,INDEX(Input!$D$2:$AC$500,
       MATCH(B49, Input!$J$2:$J$500, 0),
       MATCH("Capacity", Input!$D$1:$AC$1, 0)),IF(_xlpm.Result="","",_xlpm.Result))</f>
        <v>#N/A</v>
      </c>
      <c r="T49" s="53" t="e" cm="1">
        <f t="array" ref="T49">_xlfn.TEXTSPLIT(S49," / ", ,TRUE,0,)</f>
        <v>#N/A</v>
      </c>
      <c r="U49" s="53"/>
      <c r="V49" s="53" t="str" cm="1">
        <f t="array" ref="V49">IFERROR(_xlfn.IFS(
T49="","",
--T49&lt;55,"Battery Defect",
--T49&lt;=69,"Battery D",
--T49&lt;=80,"Battery C",
--T49&gt;80,""
),"")</f>
        <v/>
      </c>
      <c r="W49" s="53" t="str" cm="1">
        <f t="array" ref="W49">IFERROR(_xlfn.IFS(
U49="","",
--U49&lt;55,"Battery Defect",
--U49&lt;=69,"Battery D",
--U49&lt;=80,"Battery C",
--U49&gt;80,""
),"")</f>
        <v/>
      </c>
      <c r="X49" s="53" t="str" cm="1">
        <f t="array" ref="X49:AE49">IFERROR(IF(_xlfn.XLOOKUP(B49,Input!J:J,Input!N:U)=0,"",
          _xlfn.XLOOKUP(B49,Input!J:J,Input!N:U)),"")</f>
        <v/>
      </c>
      <c r="Y49" s="53" t="str">
        <v/>
      </c>
      <c r="Z49" s="53" t="str">
        <v/>
      </c>
      <c r="AA49" s="53" t="str">
        <v/>
      </c>
      <c r="AB49" s="53" t="str">
        <v/>
      </c>
      <c r="AC49" s="53" t="str">
        <v/>
      </c>
      <c r="AD49" s="53" t="str">
        <v/>
      </c>
      <c r="AE49" s="53" t="str">
        <v/>
      </c>
      <c r="AF49" s="32" t="str">
        <f t="shared" si="2"/>
        <v/>
      </c>
      <c r="AG49" s="32" t="str">
        <f>_xlfn.XLOOKUP(B:B,Disk_Pivot!G:G,Disk_Pivot!I:I)</f>
        <v>Yes x2</v>
      </c>
      <c r="AH49" s="32" t="str">
        <f>_xlfn.XLOOKUP(B49,Disk_Pivot!G:G,Disk_Pivot!N:N)</f>
        <v>Pass, Fail</v>
      </c>
      <c r="AI49" s="32"/>
      <c r="AJ49" s="32"/>
      <c r="AK49" s="32"/>
      <c r="AL49" s="32"/>
      <c r="AM49" s="32"/>
      <c r="AN49" s="32"/>
    </row>
    <row r="50" spans="1:40">
      <c r="A50" s="32" t="str">
        <f>_xlfn.TEXTJOIN("",TRUE,_xlfn.XLOOKUP(B50,Input!J:J,Input!G:G,"",0,1),_xlfn.XLOOKUP(B50,Input!J:J,Input!H:H,"",0,1))</f>
        <v/>
      </c>
      <c r="B50" s="32"/>
      <c r="C50" s="53">
        <f>_xlfn.XLOOKUP(B50,Input!J:J,Input!F:F)</f>
        <v>0</v>
      </c>
      <c r="D50" s="32">
        <f>_xlfn.XLOOKUP(C50,Models!H:H,Models!G:G,C50)</f>
        <v>0</v>
      </c>
      <c r="E50" s="32"/>
      <c r="F50" s="32" t="str">
        <f>_xlfn.XLOOKUP(H50,Models!B:B,Models!F:F,"")</f>
        <v/>
      </c>
      <c r="G50" s="32">
        <f>_xlfn.XLOOKUP(B50,Input!J:J,Input!E:E)</f>
        <v>0</v>
      </c>
      <c r="H50" s="32">
        <f>IF(G50="LENOVO",_xlfn.XLOOKUP(B50,Input!J:J,Input!K:K),_xlfn.XLOOKUP(B50,Input!J:J,Input!L:L))</f>
        <v>0</v>
      </c>
      <c r="I50" s="32"/>
      <c r="J50" s="32"/>
      <c r="K50" s="32">
        <f>_xlfn.XLOOKUP(B50,CPU_Formula!A:A,CPU_Formula!I:I)</f>
        <v>0</v>
      </c>
      <c r="L50" s="53" t="e">
        <f>INDEX(Input!$D$2:$AC$500,
       MATCH(B50, Input!$J$2:$J$500, 0),
       MATCH("Memory Capacity", Input!$D$1:$AC$1, 0))</f>
        <v>#N/A</v>
      </c>
      <c r="M50" s="53" t="e">
        <f>INDEX(Input!$D$2:$AC$500,
       MATCH(B50, Input!$J$2:$J$500, 0),
       MATCH("Memory Type", Input!$D$1:$AC$1, 0))</f>
        <v>#N/A</v>
      </c>
      <c r="N50" s="53" t="e">
        <f t="shared" si="0"/>
        <v>#N/A</v>
      </c>
      <c r="O50" s="53" t="str" cm="1">
        <f t="array" ref="O50">IFERROR(_xlfn.FILTERXML("&lt;t&gt;&lt;s&gt;" &amp; SUBSTITUTE(M50," / ","&lt;/s&gt;&lt;s&gt;") &amp; "&lt;/s&gt;&lt;/t&gt;","(//s[contains(.,'DDR')])[1]"),"")</f>
        <v/>
      </c>
      <c r="P50" s="32" t="e">
        <f t="shared" si="1"/>
        <v>#N/A</v>
      </c>
      <c r="Q50" s="32" t="e">
        <f>INDEX(Input!$D$2:$AC$500,
       MATCH(B50, Input!$J$2:$J$500, 0),
       MATCH("Disk Capacity", Input!$D$1:$AC$1, 0))</f>
        <v>#N/A</v>
      </c>
      <c r="R50" s="32"/>
      <c r="S50" s="53" t="e">
        <f>_xlfn.LET(_xlpm.Result,INDEX(Input!$D$2:$AC$500,
       MATCH(B50, Input!$J$2:$J$500, 0),
       MATCH("Capacity", Input!$D$1:$AC$1, 0)),IF(_xlpm.Result="","",_xlpm.Result))</f>
        <v>#N/A</v>
      </c>
      <c r="T50" s="53" t="e" cm="1">
        <f t="array" ref="T50">_xlfn.TEXTSPLIT(S50," / ", ,TRUE,0,)</f>
        <v>#N/A</v>
      </c>
      <c r="U50" s="53"/>
      <c r="V50" s="53" t="str" cm="1">
        <f t="array" ref="V50">IFERROR(_xlfn.IFS(
T50="","",
--T50&lt;55,"Battery Defect",
--T50&lt;=69,"Battery D",
--T50&lt;=80,"Battery C",
--T50&gt;80,""
),"")</f>
        <v/>
      </c>
      <c r="W50" s="53" t="str" cm="1">
        <f t="array" ref="W50">IFERROR(_xlfn.IFS(
U50="","",
--U50&lt;55,"Battery Defect",
--U50&lt;=69,"Battery D",
--U50&lt;=80,"Battery C",
--U50&gt;80,""
),"")</f>
        <v/>
      </c>
      <c r="X50" s="53" t="str" cm="1">
        <f t="array" ref="X50:AE50">IFERROR(IF(_xlfn.XLOOKUP(B50,Input!J:J,Input!N:U)=0,"",
          _xlfn.XLOOKUP(B50,Input!J:J,Input!N:U)),"")</f>
        <v/>
      </c>
      <c r="Y50" s="53" t="str">
        <v/>
      </c>
      <c r="Z50" s="53" t="str">
        <v/>
      </c>
      <c r="AA50" s="53" t="str">
        <v/>
      </c>
      <c r="AB50" s="53" t="str">
        <v/>
      </c>
      <c r="AC50" s="53" t="str">
        <v/>
      </c>
      <c r="AD50" s="53" t="str">
        <v/>
      </c>
      <c r="AE50" s="53" t="str">
        <v/>
      </c>
      <c r="AF50" s="32" t="str">
        <f t="shared" si="2"/>
        <v/>
      </c>
      <c r="AG50" s="32" t="str">
        <f>_xlfn.XLOOKUP(B:B,Disk_Pivot!G:G,Disk_Pivot!I:I)</f>
        <v>Yes x2</v>
      </c>
      <c r="AH50" s="32" t="str">
        <f>_xlfn.XLOOKUP(B50,Disk_Pivot!G:G,Disk_Pivot!N:N)</f>
        <v>Pass, Fail</v>
      </c>
      <c r="AI50" s="32"/>
      <c r="AJ50" s="32"/>
      <c r="AK50" s="32"/>
      <c r="AL50" s="32"/>
      <c r="AM50" s="32"/>
      <c r="AN50" s="32"/>
    </row>
    <row r="51" spans="1:40">
      <c r="A51" s="32" t="str">
        <f>_xlfn.TEXTJOIN("",TRUE,_xlfn.XLOOKUP(B51,Input!J:J,Input!G:G,"",0,1),_xlfn.XLOOKUP(B51,Input!J:J,Input!H:H,"",0,1))</f>
        <v/>
      </c>
      <c r="B51" s="32"/>
      <c r="C51" s="53">
        <f>_xlfn.XLOOKUP(B51,Input!J:J,Input!F:F)</f>
        <v>0</v>
      </c>
      <c r="D51" s="32">
        <f>_xlfn.XLOOKUP(C51,Models!H:H,Models!G:G,C51)</f>
        <v>0</v>
      </c>
      <c r="E51" s="32"/>
      <c r="F51" s="32" t="str">
        <f>_xlfn.XLOOKUP(H51,Models!B:B,Models!F:F,"")</f>
        <v/>
      </c>
      <c r="G51" s="32">
        <f>_xlfn.XLOOKUP(B51,Input!J:J,Input!E:E)</f>
        <v>0</v>
      </c>
      <c r="H51" s="32">
        <f>IF(G51="LENOVO",_xlfn.XLOOKUP(B51,Input!J:J,Input!K:K),_xlfn.XLOOKUP(B51,Input!J:J,Input!L:L))</f>
        <v>0</v>
      </c>
      <c r="I51" s="32"/>
      <c r="J51" s="32"/>
      <c r="K51" s="32">
        <f>_xlfn.XLOOKUP(B51,CPU_Formula!A:A,CPU_Formula!I:I)</f>
        <v>0</v>
      </c>
      <c r="L51" s="53" t="e">
        <f>INDEX(Input!$D$2:$AC$500,
       MATCH(B51, Input!$J$2:$J$500, 0),
       MATCH("Memory Capacity", Input!$D$1:$AC$1, 0))</f>
        <v>#N/A</v>
      </c>
      <c r="M51" s="53" t="e">
        <f>INDEX(Input!$D$2:$AC$500,
       MATCH(B51, Input!$J$2:$J$500, 0),
       MATCH("Memory Type", Input!$D$1:$AC$1, 0))</f>
        <v>#N/A</v>
      </c>
      <c r="N51" s="53" t="e">
        <f t="shared" si="0"/>
        <v>#N/A</v>
      </c>
      <c r="O51" s="53" t="str" cm="1">
        <f t="array" ref="O51">IFERROR(_xlfn.FILTERXML("&lt;t&gt;&lt;s&gt;" &amp; SUBSTITUTE(M51," / ","&lt;/s&gt;&lt;s&gt;") &amp; "&lt;/s&gt;&lt;/t&gt;","(//s[contains(.,'DDR')])[1]"),"")</f>
        <v/>
      </c>
      <c r="P51" s="32" t="e">
        <f t="shared" si="1"/>
        <v>#N/A</v>
      </c>
      <c r="Q51" s="32" t="e">
        <f>INDEX(Input!$D$2:$AC$500,
       MATCH(B51, Input!$J$2:$J$500, 0),
       MATCH("Disk Capacity", Input!$D$1:$AC$1, 0))</f>
        <v>#N/A</v>
      </c>
      <c r="R51" s="32"/>
      <c r="S51" s="53" t="e">
        <f>_xlfn.LET(_xlpm.Result,INDEX(Input!$D$2:$AC$500,
       MATCH(B51, Input!$J$2:$J$500, 0),
       MATCH("Capacity", Input!$D$1:$AC$1, 0)),IF(_xlpm.Result="","",_xlpm.Result))</f>
        <v>#N/A</v>
      </c>
      <c r="T51" s="53" t="e" cm="1">
        <f t="array" ref="T51">_xlfn.TEXTSPLIT(S51," / ", ,TRUE,0,)</f>
        <v>#N/A</v>
      </c>
      <c r="U51" s="53"/>
      <c r="V51" s="53" t="str" cm="1">
        <f t="array" ref="V51">IFERROR(_xlfn.IFS(
T51="","",
--T51&lt;55,"Battery Defect",
--T51&lt;=69,"Battery D",
--T51&lt;=80,"Battery C",
--T51&gt;80,""
),"")</f>
        <v/>
      </c>
      <c r="W51" s="53" t="str" cm="1">
        <f t="array" ref="W51">IFERROR(_xlfn.IFS(
U51="","",
--U51&lt;55,"Battery Defect",
--U51&lt;=69,"Battery D",
--U51&lt;=80,"Battery C",
--U51&gt;80,""
),"")</f>
        <v/>
      </c>
      <c r="X51" s="53" t="str" cm="1">
        <f t="array" ref="X51:AE51">IFERROR(IF(_xlfn.XLOOKUP(B51,Input!J:J,Input!N:U)=0,"",
          _xlfn.XLOOKUP(B51,Input!J:J,Input!N:U)),"")</f>
        <v/>
      </c>
      <c r="Y51" s="53" t="str">
        <v/>
      </c>
      <c r="Z51" s="53" t="str">
        <v/>
      </c>
      <c r="AA51" s="53" t="str">
        <v/>
      </c>
      <c r="AB51" s="53" t="str">
        <v/>
      </c>
      <c r="AC51" s="53" t="str">
        <v/>
      </c>
      <c r="AD51" s="53" t="str">
        <v/>
      </c>
      <c r="AE51" s="53" t="str">
        <v/>
      </c>
      <c r="AF51" s="32" t="str">
        <f t="shared" si="2"/>
        <v/>
      </c>
      <c r="AG51" s="32" t="str">
        <f>_xlfn.XLOOKUP(B:B,Disk_Pivot!G:G,Disk_Pivot!I:I)</f>
        <v>Yes x2</v>
      </c>
      <c r="AH51" s="32" t="str">
        <f>_xlfn.XLOOKUP(B51,Disk_Pivot!G:G,Disk_Pivot!N:N)</f>
        <v>Pass, Fail</v>
      </c>
      <c r="AI51" s="32"/>
      <c r="AJ51" s="32"/>
      <c r="AK51" s="32"/>
      <c r="AL51" s="32"/>
      <c r="AM51" s="32"/>
      <c r="AN51" s="32"/>
    </row>
    <row r="52" spans="1:40">
      <c r="A52" s="32" t="str">
        <f>_xlfn.TEXTJOIN("",TRUE,_xlfn.XLOOKUP(B52,Input!J:J,Input!G:G,"",0,1),_xlfn.XLOOKUP(B52,Input!J:J,Input!H:H,"",0,1))</f>
        <v/>
      </c>
      <c r="B52" s="32"/>
      <c r="C52" s="53">
        <f>_xlfn.XLOOKUP(B52,Input!J:J,Input!F:F)</f>
        <v>0</v>
      </c>
      <c r="D52" s="32">
        <f>_xlfn.XLOOKUP(C52,Models!H:H,Models!G:G,C52)</f>
        <v>0</v>
      </c>
      <c r="E52" s="32"/>
      <c r="F52" s="32" t="str">
        <f>_xlfn.XLOOKUP(H52,Models!B:B,Models!F:F,"")</f>
        <v/>
      </c>
      <c r="G52" s="32">
        <f>_xlfn.XLOOKUP(B52,Input!J:J,Input!E:E)</f>
        <v>0</v>
      </c>
      <c r="H52" s="32">
        <f>IF(G52="LENOVO",_xlfn.XLOOKUP(B52,Input!J:J,Input!K:K),_xlfn.XLOOKUP(B52,Input!J:J,Input!L:L))</f>
        <v>0</v>
      </c>
      <c r="I52" s="32"/>
      <c r="J52" s="32"/>
      <c r="K52" s="32">
        <f>_xlfn.XLOOKUP(B52,CPU_Formula!A:A,CPU_Formula!I:I)</f>
        <v>0</v>
      </c>
      <c r="L52" s="53" t="e">
        <f>INDEX(Input!$D$2:$AC$500,
       MATCH(B52, Input!$J$2:$J$500, 0),
       MATCH("Memory Capacity", Input!$D$1:$AC$1, 0))</f>
        <v>#N/A</v>
      </c>
      <c r="M52" s="53" t="e">
        <f>INDEX(Input!$D$2:$AC$500,
       MATCH(B52, Input!$J$2:$J$500, 0),
       MATCH("Memory Type", Input!$D$1:$AC$1, 0))</f>
        <v>#N/A</v>
      </c>
      <c r="N52" s="53" t="e">
        <f t="shared" si="0"/>
        <v>#N/A</v>
      </c>
      <c r="O52" s="53" t="str" cm="1">
        <f t="array" ref="O52">IFERROR(_xlfn.FILTERXML("&lt;t&gt;&lt;s&gt;" &amp; SUBSTITUTE(M52," / ","&lt;/s&gt;&lt;s&gt;") &amp; "&lt;/s&gt;&lt;/t&gt;","(//s[contains(.,'DDR')])[1]"),"")</f>
        <v/>
      </c>
      <c r="P52" s="32" t="e">
        <f t="shared" si="1"/>
        <v>#N/A</v>
      </c>
      <c r="Q52" s="32" t="e">
        <f>INDEX(Input!$D$2:$AC$500,
       MATCH(B52, Input!$J$2:$J$500, 0),
       MATCH("Disk Capacity", Input!$D$1:$AC$1, 0))</f>
        <v>#N/A</v>
      </c>
      <c r="R52" s="32"/>
      <c r="S52" s="53" t="e">
        <f>_xlfn.LET(_xlpm.Result,INDEX(Input!$D$2:$AC$500,
       MATCH(B52, Input!$J$2:$J$500, 0),
       MATCH("Capacity", Input!$D$1:$AC$1, 0)),IF(_xlpm.Result="","",_xlpm.Result))</f>
        <v>#N/A</v>
      </c>
      <c r="T52" s="53" t="e" cm="1">
        <f t="array" ref="T52">_xlfn.TEXTSPLIT(S52," / ", ,TRUE,0,)</f>
        <v>#N/A</v>
      </c>
      <c r="U52" s="53"/>
      <c r="V52" s="53" t="str" cm="1">
        <f t="array" ref="V52">IFERROR(_xlfn.IFS(
T52="","",
--T52&lt;55,"Battery Defect",
--T52&lt;=69,"Battery D",
--T52&lt;=80,"Battery C",
--T52&gt;80,""
),"")</f>
        <v/>
      </c>
      <c r="W52" s="53" t="str" cm="1">
        <f t="array" ref="W52">IFERROR(_xlfn.IFS(
U52="","",
--U52&lt;55,"Battery Defect",
--U52&lt;=69,"Battery D",
--U52&lt;=80,"Battery C",
--U52&gt;80,""
),"")</f>
        <v/>
      </c>
      <c r="X52" s="53" t="str" cm="1">
        <f t="array" ref="X52:AE52">IFERROR(IF(_xlfn.XLOOKUP(B52,Input!J:J,Input!N:U)=0,"",
          _xlfn.XLOOKUP(B52,Input!J:J,Input!N:U)),"")</f>
        <v/>
      </c>
      <c r="Y52" s="53" t="str">
        <v/>
      </c>
      <c r="Z52" s="53" t="str">
        <v/>
      </c>
      <c r="AA52" s="53" t="str">
        <v/>
      </c>
      <c r="AB52" s="53" t="str">
        <v/>
      </c>
      <c r="AC52" s="53" t="str">
        <v/>
      </c>
      <c r="AD52" s="53" t="str">
        <v/>
      </c>
      <c r="AE52" s="53" t="str">
        <v/>
      </c>
      <c r="AF52" s="32" t="str">
        <f t="shared" si="2"/>
        <v/>
      </c>
      <c r="AG52" s="32" t="str">
        <f>_xlfn.XLOOKUP(B:B,Disk_Pivot!G:G,Disk_Pivot!I:I)</f>
        <v>Yes x2</v>
      </c>
      <c r="AH52" s="32" t="str">
        <f>_xlfn.XLOOKUP(B52,Disk_Pivot!G:G,Disk_Pivot!N:N)</f>
        <v>Pass, Fail</v>
      </c>
      <c r="AI52" s="32"/>
      <c r="AJ52" s="32"/>
      <c r="AK52" s="32"/>
      <c r="AL52" s="32"/>
      <c r="AM52" s="32"/>
      <c r="AN52" s="32"/>
    </row>
    <row r="53" spans="1:40">
      <c r="A53" s="32" t="str">
        <f>_xlfn.TEXTJOIN("",TRUE,_xlfn.XLOOKUP(B53,Input!J:J,Input!G:G,"",0,1),_xlfn.XLOOKUP(B53,Input!J:J,Input!H:H,"",0,1))</f>
        <v/>
      </c>
      <c r="B53" s="32"/>
      <c r="C53" s="53">
        <f>_xlfn.XLOOKUP(B53,Input!J:J,Input!F:F)</f>
        <v>0</v>
      </c>
      <c r="D53" s="32">
        <f>_xlfn.XLOOKUP(C53,Models!H:H,Models!G:G,C53)</f>
        <v>0</v>
      </c>
      <c r="E53" s="32"/>
      <c r="F53" s="32" t="str">
        <f>_xlfn.XLOOKUP(H53,Models!B:B,Models!F:F,"")</f>
        <v/>
      </c>
      <c r="G53" s="32">
        <f>_xlfn.XLOOKUP(B53,Input!J:J,Input!E:E)</f>
        <v>0</v>
      </c>
      <c r="H53" s="32">
        <f>IF(G53="LENOVO",_xlfn.XLOOKUP(B53,Input!J:J,Input!K:K),_xlfn.XLOOKUP(B53,Input!J:J,Input!L:L))</f>
        <v>0</v>
      </c>
      <c r="I53" s="32"/>
      <c r="J53" s="32"/>
      <c r="K53" s="32">
        <f>_xlfn.XLOOKUP(B53,CPU_Formula!A:A,CPU_Formula!I:I)</f>
        <v>0</v>
      </c>
      <c r="L53" s="53" t="e">
        <f>INDEX(Input!$D$2:$AC$500,
       MATCH(B53, Input!$J$2:$J$500, 0),
       MATCH("Memory Capacity", Input!$D$1:$AC$1, 0))</f>
        <v>#N/A</v>
      </c>
      <c r="M53" s="53" t="e">
        <f>INDEX(Input!$D$2:$AC$500,
       MATCH(B53, Input!$J$2:$J$500, 0),
       MATCH("Memory Type", Input!$D$1:$AC$1, 0))</f>
        <v>#N/A</v>
      </c>
      <c r="N53" s="53" t="e">
        <f t="shared" si="0"/>
        <v>#N/A</v>
      </c>
      <c r="O53" s="53" t="str" cm="1">
        <f t="array" ref="O53">IFERROR(_xlfn.FILTERXML("&lt;t&gt;&lt;s&gt;" &amp; SUBSTITUTE(M53," / ","&lt;/s&gt;&lt;s&gt;") &amp; "&lt;/s&gt;&lt;/t&gt;","(//s[contains(.,'DDR')])[1]"),"")</f>
        <v/>
      </c>
      <c r="P53" s="32" t="e">
        <f t="shared" si="1"/>
        <v>#N/A</v>
      </c>
      <c r="Q53" s="32" t="e">
        <f>INDEX(Input!$D$2:$AC$500,
       MATCH(B53, Input!$J$2:$J$500, 0),
       MATCH("Disk Capacity", Input!$D$1:$AC$1, 0))</f>
        <v>#N/A</v>
      </c>
      <c r="R53" s="32"/>
      <c r="S53" s="53" t="e">
        <f>_xlfn.LET(_xlpm.Result,INDEX(Input!$D$2:$AC$500,
       MATCH(B53, Input!$J$2:$J$500, 0),
       MATCH("Capacity", Input!$D$1:$AC$1, 0)),IF(_xlpm.Result="","",_xlpm.Result))</f>
        <v>#N/A</v>
      </c>
      <c r="T53" s="53" t="e" cm="1">
        <f t="array" ref="T53">_xlfn.TEXTSPLIT(S53," / ", ,TRUE,0,)</f>
        <v>#N/A</v>
      </c>
      <c r="U53" s="53"/>
      <c r="V53" s="53" t="str" cm="1">
        <f t="array" ref="V53">IFERROR(_xlfn.IFS(
T53="","",
--T53&lt;55,"Battery Defect",
--T53&lt;=69,"Battery D",
--T53&lt;=80,"Battery C",
--T53&gt;80,""
),"")</f>
        <v/>
      </c>
      <c r="W53" s="53" t="str" cm="1">
        <f t="array" ref="W53">IFERROR(_xlfn.IFS(
U53="","",
--U53&lt;55,"Battery Defect",
--U53&lt;=69,"Battery D",
--U53&lt;=80,"Battery C",
--U53&gt;80,""
),"")</f>
        <v/>
      </c>
      <c r="X53" s="53" t="str" cm="1">
        <f t="array" ref="X53:AE53">IFERROR(IF(_xlfn.XLOOKUP(B53,Input!J:J,Input!N:U)=0,"",
          _xlfn.XLOOKUP(B53,Input!J:J,Input!N:U)),"")</f>
        <v/>
      </c>
      <c r="Y53" s="53" t="str">
        <v/>
      </c>
      <c r="Z53" s="53" t="str">
        <v/>
      </c>
      <c r="AA53" s="53" t="str">
        <v/>
      </c>
      <c r="AB53" s="53" t="str">
        <v/>
      </c>
      <c r="AC53" s="53" t="str">
        <v/>
      </c>
      <c r="AD53" s="53" t="str">
        <v/>
      </c>
      <c r="AE53" s="53" t="str">
        <v/>
      </c>
      <c r="AF53" s="32" t="str">
        <f t="shared" si="2"/>
        <v/>
      </c>
      <c r="AG53" s="32" t="str">
        <f>_xlfn.XLOOKUP(B:B,Disk_Pivot!G:G,Disk_Pivot!I:I)</f>
        <v>Yes x2</v>
      </c>
      <c r="AH53" s="32" t="str">
        <f>_xlfn.XLOOKUP(B53,Disk_Pivot!G:G,Disk_Pivot!N:N)</f>
        <v>Pass, Fail</v>
      </c>
      <c r="AI53" s="32"/>
      <c r="AJ53" s="32"/>
      <c r="AK53" s="32"/>
      <c r="AL53" s="32"/>
      <c r="AM53" s="32"/>
      <c r="AN53" s="32"/>
    </row>
    <row r="54" spans="1:40">
      <c r="A54" s="32" t="str">
        <f>_xlfn.TEXTJOIN("",TRUE,_xlfn.XLOOKUP(B54,Input!J:J,Input!G:G,"",0,1),_xlfn.XLOOKUP(B54,Input!J:J,Input!H:H,"",0,1))</f>
        <v/>
      </c>
      <c r="B54" s="32"/>
      <c r="C54" s="53">
        <f>_xlfn.XLOOKUP(B54,Input!J:J,Input!F:F)</f>
        <v>0</v>
      </c>
      <c r="D54" s="32">
        <f>_xlfn.XLOOKUP(C54,Models!H:H,Models!G:G,C54)</f>
        <v>0</v>
      </c>
      <c r="E54" s="32"/>
      <c r="F54" s="32" t="str">
        <f>_xlfn.XLOOKUP(H54,Models!B:B,Models!F:F,"")</f>
        <v/>
      </c>
      <c r="G54" s="32">
        <f>_xlfn.XLOOKUP(B54,Input!J:J,Input!E:E)</f>
        <v>0</v>
      </c>
      <c r="H54" s="32">
        <f>IF(G54="LENOVO",_xlfn.XLOOKUP(B54,Input!J:J,Input!K:K),_xlfn.XLOOKUP(B54,Input!J:J,Input!L:L))</f>
        <v>0</v>
      </c>
      <c r="I54" s="32"/>
      <c r="J54" s="32"/>
      <c r="K54" s="32">
        <f>_xlfn.XLOOKUP(B54,CPU_Formula!A:A,CPU_Formula!I:I)</f>
        <v>0</v>
      </c>
      <c r="L54" s="53" t="e">
        <f>INDEX(Input!$D$2:$AC$500,
       MATCH(B54, Input!$J$2:$J$500, 0),
       MATCH("Memory Capacity", Input!$D$1:$AC$1, 0))</f>
        <v>#N/A</v>
      </c>
      <c r="M54" s="53" t="e">
        <f>INDEX(Input!$D$2:$AC$500,
       MATCH(B54, Input!$J$2:$J$500, 0),
       MATCH("Memory Type", Input!$D$1:$AC$1, 0))</f>
        <v>#N/A</v>
      </c>
      <c r="N54" s="53" t="e">
        <f t="shared" si="0"/>
        <v>#N/A</v>
      </c>
      <c r="O54" s="53" t="str" cm="1">
        <f t="array" ref="O54">IFERROR(_xlfn.FILTERXML("&lt;t&gt;&lt;s&gt;" &amp; SUBSTITUTE(M54," / ","&lt;/s&gt;&lt;s&gt;") &amp; "&lt;/s&gt;&lt;/t&gt;","(//s[contains(.,'DDR')])[1]"),"")</f>
        <v/>
      </c>
      <c r="P54" s="32" t="e">
        <f t="shared" si="1"/>
        <v>#N/A</v>
      </c>
      <c r="Q54" s="32" t="e">
        <f>INDEX(Input!$D$2:$AC$500,
       MATCH(B54, Input!$J$2:$J$500, 0),
       MATCH("Disk Capacity", Input!$D$1:$AC$1, 0))</f>
        <v>#N/A</v>
      </c>
      <c r="R54" s="32"/>
      <c r="S54" s="53" t="e">
        <f>_xlfn.LET(_xlpm.Result,INDEX(Input!$D$2:$AC$500,
       MATCH(B54, Input!$J$2:$J$500, 0),
       MATCH("Capacity", Input!$D$1:$AC$1, 0)),IF(_xlpm.Result="","",_xlpm.Result))</f>
        <v>#N/A</v>
      </c>
      <c r="T54" s="53" t="e" cm="1">
        <f t="array" ref="T54">_xlfn.TEXTSPLIT(S54," / ", ,TRUE,0,)</f>
        <v>#N/A</v>
      </c>
      <c r="U54" s="53"/>
      <c r="V54" s="53" t="str" cm="1">
        <f t="array" ref="V54">IFERROR(_xlfn.IFS(
T54="","",
--T54&lt;55,"Battery Defect",
--T54&lt;=69,"Battery D",
--T54&lt;=80,"Battery C",
--T54&gt;80,""
),"")</f>
        <v/>
      </c>
      <c r="W54" s="53" t="str" cm="1">
        <f t="array" ref="W54">IFERROR(_xlfn.IFS(
U54="","",
--U54&lt;55,"Battery Defect",
--U54&lt;=69,"Battery D",
--U54&lt;=80,"Battery C",
--U54&gt;80,""
),"")</f>
        <v/>
      </c>
      <c r="X54" s="53" t="str" cm="1">
        <f t="array" ref="X54:AE54">IFERROR(IF(_xlfn.XLOOKUP(B54,Input!J:J,Input!N:U)=0,"",
          _xlfn.XLOOKUP(B54,Input!J:J,Input!N:U)),"")</f>
        <v/>
      </c>
      <c r="Y54" s="53" t="str">
        <v/>
      </c>
      <c r="Z54" s="53" t="str">
        <v/>
      </c>
      <c r="AA54" s="53" t="str">
        <v/>
      </c>
      <c r="AB54" s="53" t="str">
        <v/>
      </c>
      <c r="AC54" s="53" t="str">
        <v/>
      </c>
      <c r="AD54" s="53" t="str">
        <v/>
      </c>
      <c r="AE54" s="53" t="str">
        <v/>
      </c>
      <c r="AF54" s="32" t="str">
        <f t="shared" si="2"/>
        <v/>
      </c>
      <c r="AG54" s="32" t="str">
        <f>_xlfn.XLOOKUP(B:B,Disk_Pivot!G:G,Disk_Pivot!I:I)</f>
        <v>Yes x2</v>
      </c>
      <c r="AH54" s="32" t="str">
        <f>_xlfn.XLOOKUP(B54,Disk_Pivot!G:G,Disk_Pivot!N:N)</f>
        <v>Pass, Fail</v>
      </c>
      <c r="AI54" s="32"/>
      <c r="AJ54" s="32"/>
      <c r="AK54" s="32"/>
      <c r="AL54" s="32"/>
      <c r="AM54" s="32"/>
      <c r="AN54" s="32"/>
    </row>
    <row r="55" spans="1:40">
      <c r="A55" s="32" t="str">
        <f>_xlfn.TEXTJOIN("",TRUE,_xlfn.XLOOKUP(B55,Input!J:J,Input!G:G,"",0,1),_xlfn.XLOOKUP(B55,Input!J:J,Input!H:H,"",0,1))</f>
        <v/>
      </c>
      <c r="B55" s="32"/>
      <c r="C55" s="53">
        <f>_xlfn.XLOOKUP(B55,Input!J:J,Input!F:F)</f>
        <v>0</v>
      </c>
      <c r="D55" s="32">
        <f>_xlfn.XLOOKUP(C55,Models!H:H,Models!G:G,C55)</f>
        <v>0</v>
      </c>
      <c r="E55" s="32"/>
      <c r="F55" s="32" t="str">
        <f>_xlfn.XLOOKUP(H55,Models!B:B,Models!F:F,"")</f>
        <v/>
      </c>
      <c r="G55" s="32">
        <f>_xlfn.XLOOKUP(B55,Input!J:J,Input!E:E)</f>
        <v>0</v>
      </c>
      <c r="H55" s="32">
        <f>IF(G55="LENOVO",_xlfn.XLOOKUP(B55,Input!J:J,Input!K:K),_xlfn.XLOOKUP(B55,Input!J:J,Input!L:L))</f>
        <v>0</v>
      </c>
      <c r="I55" s="32"/>
      <c r="J55" s="32"/>
      <c r="K55" s="32">
        <f>_xlfn.XLOOKUP(B55,CPU_Formula!A:A,CPU_Formula!I:I)</f>
        <v>0</v>
      </c>
      <c r="L55" s="53" t="e">
        <f>INDEX(Input!$D$2:$AC$500,
       MATCH(B55, Input!$J$2:$J$500, 0),
       MATCH("Memory Capacity", Input!$D$1:$AC$1, 0))</f>
        <v>#N/A</v>
      </c>
      <c r="M55" s="53" t="e">
        <f>INDEX(Input!$D$2:$AC$500,
       MATCH(B55, Input!$J$2:$J$500, 0),
       MATCH("Memory Type", Input!$D$1:$AC$1, 0))</f>
        <v>#N/A</v>
      </c>
      <c r="N55" s="53" t="e">
        <f t="shared" si="0"/>
        <v>#N/A</v>
      </c>
      <c r="O55" s="53" t="str" cm="1">
        <f t="array" ref="O55">IFERROR(_xlfn.FILTERXML("&lt;t&gt;&lt;s&gt;" &amp; SUBSTITUTE(M55," / ","&lt;/s&gt;&lt;s&gt;") &amp; "&lt;/s&gt;&lt;/t&gt;","(//s[contains(.,'DDR')])[1]"),"")</f>
        <v/>
      </c>
      <c r="P55" s="32" t="e">
        <f t="shared" si="1"/>
        <v>#N/A</v>
      </c>
      <c r="Q55" s="32" t="e">
        <f>INDEX(Input!$D$2:$AC$500,
       MATCH(B55, Input!$J$2:$J$500, 0),
       MATCH("Disk Capacity", Input!$D$1:$AC$1, 0))</f>
        <v>#N/A</v>
      </c>
      <c r="R55" s="32"/>
      <c r="S55" s="53" t="e">
        <f>_xlfn.LET(_xlpm.Result,INDEX(Input!$D$2:$AC$500,
       MATCH(B55, Input!$J$2:$J$500, 0),
       MATCH("Capacity", Input!$D$1:$AC$1, 0)),IF(_xlpm.Result="","",_xlpm.Result))</f>
        <v>#N/A</v>
      </c>
      <c r="T55" s="53" t="e" cm="1">
        <f t="array" ref="T55">_xlfn.TEXTSPLIT(S55," / ", ,TRUE,0,)</f>
        <v>#N/A</v>
      </c>
      <c r="U55" s="53"/>
      <c r="V55" s="53" t="str" cm="1">
        <f t="array" ref="V55">IFERROR(_xlfn.IFS(
T55="","",
--T55&lt;55,"Battery Defect",
--T55&lt;=69,"Battery D",
--T55&lt;=80,"Battery C",
--T55&gt;80,""
),"")</f>
        <v/>
      </c>
      <c r="W55" s="53" t="str" cm="1">
        <f t="array" ref="W55">IFERROR(_xlfn.IFS(
U55="","",
--U55&lt;55,"Battery Defect",
--U55&lt;=69,"Battery D",
--U55&lt;=80,"Battery C",
--U55&gt;80,""
),"")</f>
        <v/>
      </c>
      <c r="X55" s="53" t="str" cm="1">
        <f t="array" ref="X55:AE55">IFERROR(IF(_xlfn.XLOOKUP(B55,Input!J:J,Input!N:U)=0,"",
          _xlfn.XLOOKUP(B55,Input!J:J,Input!N:U)),"")</f>
        <v/>
      </c>
      <c r="Y55" s="53" t="str">
        <v/>
      </c>
      <c r="Z55" s="53" t="str">
        <v/>
      </c>
      <c r="AA55" s="53" t="str">
        <v/>
      </c>
      <c r="AB55" s="53" t="str">
        <v/>
      </c>
      <c r="AC55" s="53" t="str">
        <v/>
      </c>
      <c r="AD55" s="53" t="str">
        <v/>
      </c>
      <c r="AE55" s="53" t="str">
        <v/>
      </c>
      <c r="AF55" s="32" t="str">
        <f t="shared" si="2"/>
        <v/>
      </c>
      <c r="AG55" s="32" t="str">
        <f>_xlfn.XLOOKUP(B:B,Disk_Pivot!G:G,Disk_Pivot!I:I)</f>
        <v>Yes x2</v>
      </c>
      <c r="AH55" s="32" t="str">
        <f>_xlfn.XLOOKUP(B55,Disk_Pivot!G:G,Disk_Pivot!N:N)</f>
        <v>Pass, Fail</v>
      </c>
      <c r="AI55" s="32"/>
      <c r="AJ55" s="32"/>
      <c r="AK55" s="32"/>
      <c r="AL55" s="32"/>
      <c r="AM55" s="32"/>
      <c r="AN55" s="32"/>
    </row>
    <row r="56" spans="1:40">
      <c r="A56" s="32" t="str">
        <f>_xlfn.TEXTJOIN("",TRUE,_xlfn.XLOOKUP(B56,Input!J:J,Input!G:G,"",0,1),_xlfn.XLOOKUP(B56,Input!J:J,Input!H:H,"",0,1))</f>
        <v/>
      </c>
      <c r="B56" s="32"/>
      <c r="C56" s="53">
        <f>_xlfn.XLOOKUP(B56,Input!J:J,Input!F:F)</f>
        <v>0</v>
      </c>
      <c r="D56" s="32">
        <f>_xlfn.XLOOKUP(C56,Models!H:H,Models!G:G,C56)</f>
        <v>0</v>
      </c>
      <c r="E56" s="32"/>
      <c r="F56" s="32" t="str">
        <f>_xlfn.XLOOKUP(H56,Models!B:B,Models!F:F,"")</f>
        <v/>
      </c>
      <c r="G56" s="32">
        <f>_xlfn.XLOOKUP(B56,Input!J:J,Input!E:E)</f>
        <v>0</v>
      </c>
      <c r="H56" s="32">
        <f>IF(G56="LENOVO",_xlfn.XLOOKUP(B56,Input!J:J,Input!K:K),_xlfn.XLOOKUP(B56,Input!J:J,Input!L:L))</f>
        <v>0</v>
      </c>
      <c r="I56" s="32"/>
      <c r="J56" s="32"/>
      <c r="K56" s="32">
        <f>_xlfn.XLOOKUP(B56,CPU_Formula!A:A,CPU_Formula!I:I)</f>
        <v>0</v>
      </c>
      <c r="L56" s="53" t="e">
        <f>INDEX(Input!$D$2:$AC$500,
       MATCH(B56, Input!$J$2:$J$500, 0),
       MATCH("Memory Capacity", Input!$D$1:$AC$1, 0))</f>
        <v>#N/A</v>
      </c>
      <c r="M56" s="53" t="e">
        <f>INDEX(Input!$D$2:$AC$500,
       MATCH(B56, Input!$J$2:$J$500, 0),
       MATCH("Memory Type", Input!$D$1:$AC$1, 0))</f>
        <v>#N/A</v>
      </c>
      <c r="N56" s="53" t="e">
        <f t="shared" si="0"/>
        <v>#N/A</v>
      </c>
      <c r="O56" s="53" t="str" cm="1">
        <f t="array" ref="O56">IFERROR(_xlfn.FILTERXML("&lt;t&gt;&lt;s&gt;" &amp; SUBSTITUTE(M56," / ","&lt;/s&gt;&lt;s&gt;") &amp; "&lt;/s&gt;&lt;/t&gt;","(//s[contains(.,'DDR')])[1]"),"")</f>
        <v/>
      </c>
      <c r="P56" s="32" t="e">
        <f t="shared" si="1"/>
        <v>#N/A</v>
      </c>
      <c r="Q56" s="32" t="e">
        <f>INDEX(Input!$D$2:$AC$500,
       MATCH(B56, Input!$J$2:$J$500, 0),
       MATCH("Disk Capacity", Input!$D$1:$AC$1, 0))</f>
        <v>#N/A</v>
      </c>
      <c r="R56" s="32"/>
      <c r="S56" s="53" t="e">
        <f>_xlfn.LET(_xlpm.Result,INDEX(Input!$D$2:$AC$500,
       MATCH(B56, Input!$J$2:$J$500, 0),
       MATCH("Capacity", Input!$D$1:$AC$1, 0)),IF(_xlpm.Result="","",_xlpm.Result))</f>
        <v>#N/A</v>
      </c>
      <c r="T56" s="53" t="e" cm="1">
        <f t="array" ref="T56">_xlfn.TEXTSPLIT(S56," / ", ,TRUE,0,)</f>
        <v>#N/A</v>
      </c>
      <c r="U56" s="53"/>
      <c r="V56" s="53" t="str" cm="1">
        <f t="array" ref="V56">IFERROR(_xlfn.IFS(
T56="","",
--T56&lt;55,"Battery Defect",
--T56&lt;=69,"Battery D",
--T56&lt;=80,"Battery C",
--T56&gt;80,""
),"")</f>
        <v/>
      </c>
      <c r="W56" s="53" t="str" cm="1">
        <f t="array" ref="W56">IFERROR(_xlfn.IFS(
U56="","",
--U56&lt;55,"Battery Defect",
--U56&lt;=69,"Battery D",
--U56&lt;=80,"Battery C",
--U56&gt;80,""
),"")</f>
        <v/>
      </c>
      <c r="X56" s="53" t="str" cm="1">
        <f t="array" ref="X56:AE56">IFERROR(IF(_xlfn.XLOOKUP(B56,Input!J:J,Input!N:U)=0,"",
          _xlfn.XLOOKUP(B56,Input!J:J,Input!N:U)),"")</f>
        <v/>
      </c>
      <c r="Y56" s="53" t="str">
        <v/>
      </c>
      <c r="Z56" s="53" t="str">
        <v/>
      </c>
      <c r="AA56" s="53" t="str">
        <v/>
      </c>
      <c r="AB56" s="53" t="str">
        <v/>
      </c>
      <c r="AC56" s="53" t="str">
        <v/>
      </c>
      <c r="AD56" s="53" t="str">
        <v/>
      </c>
      <c r="AE56" s="53" t="str">
        <v/>
      </c>
      <c r="AF56" s="32" t="str">
        <f t="shared" si="2"/>
        <v/>
      </c>
      <c r="AG56" s="32" t="str">
        <f>_xlfn.XLOOKUP(B:B,Disk_Pivot!G:G,Disk_Pivot!I:I)</f>
        <v>Yes x2</v>
      </c>
      <c r="AH56" s="32" t="str">
        <f>_xlfn.XLOOKUP(B56,Disk_Pivot!G:G,Disk_Pivot!N:N)</f>
        <v>Pass, Fail</v>
      </c>
      <c r="AI56" s="32"/>
      <c r="AJ56" s="32"/>
      <c r="AK56" s="32"/>
      <c r="AL56" s="32"/>
      <c r="AM56" s="32"/>
      <c r="AN56" s="32"/>
    </row>
    <row r="57" spans="1:40">
      <c r="A57" s="32" t="str">
        <f>_xlfn.TEXTJOIN("",TRUE,_xlfn.XLOOKUP(B57,Input!J:J,Input!G:G,"",0,1),_xlfn.XLOOKUP(B57,Input!J:J,Input!H:H,"",0,1))</f>
        <v/>
      </c>
      <c r="B57" s="32"/>
      <c r="C57" s="53">
        <f>_xlfn.XLOOKUP(B57,Input!J:J,Input!F:F)</f>
        <v>0</v>
      </c>
      <c r="D57" s="32">
        <f>_xlfn.XLOOKUP(C57,Models!H:H,Models!G:G,C57)</f>
        <v>0</v>
      </c>
      <c r="E57" s="32"/>
      <c r="F57" s="32" t="str">
        <f>_xlfn.XLOOKUP(H57,Models!B:B,Models!F:F,"")</f>
        <v/>
      </c>
      <c r="G57" s="32">
        <f>_xlfn.XLOOKUP(B57,Input!J:J,Input!E:E)</f>
        <v>0</v>
      </c>
      <c r="H57" s="32">
        <f>IF(G57="LENOVO",_xlfn.XLOOKUP(B57,Input!J:J,Input!K:K),_xlfn.XLOOKUP(B57,Input!J:J,Input!L:L))</f>
        <v>0</v>
      </c>
      <c r="I57" s="32"/>
      <c r="J57" s="32"/>
      <c r="K57" s="32">
        <f>_xlfn.XLOOKUP(B57,CPU_Formula!A:A,CPU_Formula!I:I)</f>
        <v>0</v>
      </c>
      <c r="L57" s="53" t="e">
        <f>INDEX(Input!$D$2:$AC$500,
       MATCH(B57, Input!$J$2:$J$500, 0),
       MATCH("Memory Capacity", Input!$D$1:$AC$1, 0))</f>
        <v>#N/A</v>
      </c>
      <c r="M57" s="53" t="e">
        <f>INDEX(Input!$D$2:$AC$500,
       MATCH(B57, Input!$J$2:$J$500, 0),
       MATCH("Memory Type", Input!$D$1:$AC$1, 0))</f>
        <v>#N/A</v>
      </c>
      <c r="N57" s="53" t="e">
        <f t="shared" si="0"/>
        <v>#N/A</v>
      </c>
      <c r="O57" s="53" t="str" cm="1">
        <f t="array" ref="O57">IFERROR(_xlfn.FILTERXML("&lt;t&gt;&lt;s&gt;" &amp; SUBSTITUTE(M57," / ","&lt;/s&gt;&lt;s&gt;") &amp; "&lt;/s&gt;&lt;/t&gt;","(//s[contains(.,'DDR')])[1]"),"")</f>
        <v/>
      </c>
      <c r="P57" s="32" t="e">
        <f t="shared" si="1"/>
        <v>#N/A</v>
      </c>
      <c r="Q57" s="32" t="e">
        <f>INDEX(Input!$D$2:$AC$500,
       MATCH(B57, Input!$J$2:$J$500, 0),
       MATCH("Disk Capacity", Input!$D$1:$AC$1, 0))</f>
        <v>#N/A</v>
      </c>
      <c r="R57" s="32"/>
      <c r="S57" s="53" t="e">
        <f>_xlfn.LET(_xlpm.Result,INDEX(Input!$D$2:$AC$500,
       MATCH(B57, Input!$J$2:$J$500, 0),
       MATCH("Capacity", Input!$D$1:$AC$1, 0)),IF(_xlpm.Result="","",_xlpm.Result))</f>
        <v>#N/A</v>
      </c>
      <c r="T57" s="53" t="e" cm="1">
        <f t="array" ref="T57">_xlfn.TEXTSPLIT(S57," / ", ,TRUE,0,)</f>
        <v>#N/A</v>
      </c>
      <c r="U57" s="53"/>
      <c r="V57" s="53" t="str" cm="1">
        <f t="array" ref="V57">IFERROR(_xlfn.IFS(
T57="","",
--T57&lt;55,"Battery Defect",
--T57&lt;=69,"Battery D",
--T57&lt;=80,"Battery C",
--T57&gt;80,""
),"")</f>
        <v/>
      </c>
      <c r="W57" s="53" t="str" cm="1">
        <f t="array" ref="W57">IFERROR(_xlfn.IFS(
U57="","",
--U57&lt;55,"Battery Defect",
--U57&lt;=69,"Battery D",
--U57&lt;=80,"Battery C",
--U57&gt;80,""
),"")</f>
        <v/>
      </c>
      <c r="X57" s="53" t="str" cm="1">
        <f t="array" ref="X57:AE57">IFERROR(IF(_xlfn.XLOOKUP(B57,Input!J:J,Input!N:U)=0,"",
          _xlfn.XLOOKUP(B57,Input!J:J,Input!N:U)),"")</f>
        <v/>
      </c>
      <c r="Y57" s="53" t="str">
        <v/>
      </c>
      <c r="Z57" s="53" t="str">
        <v/>
      </c>
      <c r="AA57" s="53" t="str">
        <v/>
      </c>
      <c r="AB57" s="53" t="str">
        <v/>
      </c>
      <c r="AC57" s="53" t="str">
        <v/>
      </c>
      <c r="AD57" s="53" t="str">
        <v/>
      </c>
      <c r="AE57" s="53" t="str">
        <v/>
      </c>
      <c r="AF57" s="32" t="str">
        <f t="shared" si="2"/>
        <v/>
      </c>
      <c r="AG57" s="32" t="str">
        <f>_xlfn.XLOOKUP(B:B,Disk_Pivot!G:G,Disk_Pivot!I:I)</f>
        <v>Yes x2</v>
      </c>
      <c r="AH57" s="32" t="str">
        <f>_xlfn.XLOOKUP(B57,Disk_Pivot!G:G,Disk_Pivot!N:N)</f>
        <v>Pass, Fail</v>
      </c>
      <c r="AI57" s="32"/>
      <c r="AJ57" s="32"/>
      <c r="AK57" s="32"/>
      <c r="AL57" s="32"/>
      <c r="AM57" s="32"/>
      <c r="AN57" s="32"/>
    </row>
    <row r="58" spans="1:40">
      <c r="A58" s="32" t="str">
        <f>_xlfn.TEXTJOIN("",TRUE,_xlfn.XLOOKUP(B58,Input!J:J,Input!G:G,"",0,1),_xlfn.XLOOKUP(B58,Input!J:J,Input!H:H,"",0,1))</f>
        <v/>
      </c>
      <c r="B58" s="32"/>
      <c r="C58" s="53">
        <f>_xlfn.XLOOKUP(B58,Input!J:J,Input!F:F)</f>
        <v>0</v>
      </c>
      <c r="D58" s="32">
        <f>_xlfn.XLOOKUP(C58,Models!H:H,Models!G:G,C58)</f>
        <v>0</v>
      </c>
      <c r="E58" s="32"/>
      <c r="F58" s="32" t="str">
        <f>_xlfn.XLOOKUP(H58,Models!B:B,Models!F:F,"")</f>
        <v/>
      </c>
      <c r="G58" s="32">
        <f>_xlfn.XLOOKUP(B58,Input!J:J,Input!E:E)</f>
        <v>0</v>
      </c>
      <c r="H58" s="32">
        <f>IF(G58="LENOVO",_xlfn.XLOOKUP(B58,Input!J:J,Input!K:K),_xlfn.XLOOKUP(B58,Input!J:J,Input!L:L))</f>
        <v>0</v>
      </c>
      <c r="I58" s="32"/>
      <c r="J58" s="32"/>
      <c r="K58" s="32">
        <f>_xlfn.XLOOKUP(B58,CPU_Formula!A:A,CPU_Formula!I:I)</f>
        <v>0</v>
      </c>
      <c r="L58" s="53" t="e">
        <f>INDEX(Input!$D$2:$AC$500,
       MATCH(B58, Input!$J$2:$J$500, 0),
       MATCH("Memory Capacity", Input!$D$1:$AC$1, 0))</f>
        <v>#N/A</v>
      </c>
      <c r="M58" s="53" t="e">
        <f>INDEX(Input!$D$2:$AC$500,
       MATCH(B58, Input!$J$2:$J$500, 0),
       MATCH("Memory Type", Input!$D$1:$AC$1, 0))</f>
        <v>#N/A</v>
      </c>
      <c r="N58" s="53" t="e">
        <f t="shared" si="0"/>
        <v>#N/A</v>
      </c>
      <c r="O58" s="53" t="str" cm="1">
        <f t="array" ref="O58">IFERROR(_xlfn.FILTERXML("&lt;t&gt;&lt;s&gt;" &amp; SUBSTITUTE(M58," / ","&lt;/s&gt;&lt;s&gt;") &amp; "&lt;/s&gt;&lt;/t&gt;","(//s[contains(.,'DDR')])[1]"),"")</f>
        <v/>
      </c>
      <c r="P58" s="32" t="e">
        <f t="shared" si="1"/>
        <v>#N/A</v>
      </c>
      <c r="Q58" s="32" t="e">
        <f>INDEX(Input!$D$2:$AC$500,
       MATCH(B58, Input!$J$2:$J$500, 0),
       MATCH("Disk Capacity", Input!$D$1:$AC$1, 0))</f>
        <v>#N/A</v>
      </c>
      <c r="R58" s="32"/>
      <c r="S58" s="53" t="e">
        <f>_xlfn.LET(_xlpm.Result,INDEX(Input!$D$2:$AC$500,
       MATCH(B58, Input!$J$2:$J$500, 0),
       MATCH("Capacity", Input!$D$1:$AC$1, 0)),IF(_xlpm.Result="","",_xlpm.Result))</f>
        <v>#N/A</v>
      </c>
      <c r="T58" s="53" t="e" cm="1">
        <f t="array" ref="T58">_xlfn.TEXTSPLIT(S58," / ", ,TRUE,0,)</f>
        <v>#N/A</v>
      </c>
      <c r="U58" s="53"/>
      <c r="V58" s="53" t="str" cm="1">
        <f t="array" ref="V58">IFERROR(_xlfn.IFS(
T58="","",
--T58&lt;55,"Battery Defect",
--T58&lt;=69,"Battery D",
--T58&lt;=80,"Battery C",
--T58&gt;80,""
),"")</f>
        <v/>
      </c>
      <c r="W58" s="53" t="str" cm="1">
        <f t="array" ref="W58">IFERROR(_xlfn.IFS(
U58="","",
--U58&lt;55,"Battery Defect",
--U58&lt;=69,"Battery D",
--U58&lt;=80,"Battery C",
--U58&gt;80,""
),"")</f>
        <v/>
      </c>
      <c r="X58" s="53" t="str" cm="1">
        <f t="array" ref="X58:AE58">IFERROR(IF(_xlfn.XLOOKUP(B58,Input!J:J,Input!N:U)=0,"",
          _xlfn.XLOOKUP(B58,Input!J:J,Input!N:U)),"")</f>
        <v/>
      </c>
      <c r="Y58" s="53" t="str">
        <v/>
      </c>
      <c r="Z58" s="53" t="str">
        <v/>
      </c>
      <c r="AA58" s="53" t="str">
        <v/>
      </c>
      <c r="AB58" s="53" t="str">
        <v/>
      </c>
      <c r="AC58" s="53" t="str">
        <v/>
      </c>
      <c r="AD58" s="53" t="str">
        <v/>
      </c>
      <c r="AE58" s="53" t="str">
        <v/>
      </c>
      <c r="AF58" s="32" t="str">
        <f t="shared" si="2"/>
        <v/>
      </c>
      <c r="AG58" s="32" t="str">
        <f>_xlfn.XLOOKUP(B:B,Disk_Pivot!G:G,Disk_Pivot!I:I)</f>
        <v>Yes x2</v>
      </c>
      <c r="AH58" s="32" t="str">
        <f>_xlfn.XLOOKUP(B58,Disk_Pivot!G:G,Disk_Pivot!N:N)</f>
        <v>Pass, Fail</v>
      </c>
      <c r="AI58" s="32"/>
      <c r="AJ58" s="32"/>
      <c r="AK58" s="32"/>
      <c r="AL58" s="32"/>
      <c r="AM58" s="32"/>
      <c r="AN58" s="32"/>
    </row>
    <row r="59" spans="1:40">
      <c r="A59" s="32" t="str">
        <f>_xlfn.TEXTJOIN("",TRUE,_xlfn.XLOOKUP(B59,Input!J:J,Input!G:G,"",0,1),_xlfn.XLOOKUP(B59,Input!J:J,Input!H:H,"",0,1))</f>
        <v/>
      </c>
      <c r="B59" s="32"/>
      <c r="C59" s="53">
        <f>_xlfn.XLOOKUP(B59,Input!J:J,Input!F:F)</f>
        <v>0</v>
      </c>
      <c r="D59" s="32">
        <f>_xlfn.XLOOKUP(C59,Models!H:H,Models!G:G,C59)</f>
        <v>0</v>
      </c>
      <c r="E59" s="32"/>
      <c r="F59" s="32" t="str">
        <f>_xlfn.XLOOKUP(H59,Models!B:B,Models!F:F,"")</f>
        <v/>
      </c>
      <c r="G59" s="32">
        <f>_xlfn.XLOOKUP(B59,Input!J:J,Input!E:E)</f>
        <v>0</v>
      </c>
      <c r="H59" s="32">
        <f>IF(G59="LENOVO",_xlfn.XLOOKUP(B59,Input!J:J,Input!K:K),_xlfn.XLOOKUP(B59,Input!J:J,Input!L:L))</f>
        <v>0</v>
      </c>
      <c r="I59" s="32"/>
      <c r="J59" s="32"/>
      <c r="K59" s="32">
        <f>_xlfn.XLOOKUP(B59,CPU_Formula!A:A,CPU_Formula!I:I)</f>
        <v>0</v>
      </c>
      <c r="L59" s="53" t="e">
        <f>INDEX(Input!$D$2:$AC$500,
       MATCH(B59, Input!$J$2:$J$500, 0),
       MATCH("Memory Capacity", Input!$D$1:$AC$1, 0))</f>
        <v>#N/A</v>
      </c>
      <c r="M59" s="53" t="e">
        <f>INDEX(Input!$D$2:$AC$500,
       MATCH(B59, Input!$J$2:$J$500, 0),
       MATCH("Memory Type", Input!$D$1:$AC$1, 0))</f>
        <v>#N/A</v>
      </c>
      <c r="N59" s="53" t="e">
        <f t="shared" si="0"/>
        <v>#N/A</v>
      </c>
      <c r="O59" s="53" t="str" cm="1">
        <f t="array" ref="O59">IFERROR(_xlfn.FILTERXML("&lt;t&gt;&lt;s&gt;" &amp; SUBSTITUTE(M59," / ","&lt;/s&gt;&lt;s&gt;") &amp; "&lt;/s&gt;&lt;/t&gt;","(//s[contains(.,'DDR')])[1]"),"")</f>
        <v/>
      </c>
      <c r="P59" s="32" t="e">
        <f t="shared" si="1"/>
        <v>#N/A</v>
      </c>
      <c r="Q59" s="32" t="e">
        <f>INDEX(Input!$D$2:$AC$500,
       MATCH(B59, Input!$J$2:$J$500, 0),
       MATCH("Disk Capacity", Input!$D$1:$AC$1, 0))</f>
        <v>#N/A</v>
      </c>
      <c r="R59" s="32"/>
      <c r="S59" s="53" t="e">
        <f>_xlfn.LET(_xlpm.Result,INDEX(Input!$D$2:$AC$500,
       MATCH(B59, Input!$J$2:$J$500, 0),
       MATCH("Capacity", Input!$D$1:$AC$1, 0)),IF(_xlpm.Result="","",_xlpm.Result))</f>
        <v>#N/A</v>
      </c>
      <c r="T59" s="53" t="e" cm="1">
        <f t="array" ref="T59">_xlfn.TEXTSPLIT(S59," / ", ,TRUE,0,)</f>
        <v>#N/A</v>
      </c>
      <c r="U59" s="53"/>
      <c r="V59" s="53" t="str" cm="1">
        <f t="array" ref="V59">IFERROR(_xlfn.IFS(
T59="","",
--T59&lt;55,"Battery Defect",
--T59&lt;=69,"Battery D",
--T59&lt;=80,"Battery C",
--T59&gt;80,""
),"")</f>
        <v/>
      </c>
      <c r="W59" s="53" t="str" cm="1">
        <f t="array" ref="W59">IFERROR(_xlfn.IFS(
U59="","",
--U59&lt;55,"Battery Defect",
--U59&lt;=69,"Battery D",
--U59&lt;=80,"Battery C",
--U59&gt;80,""
),"")</f>
        <v/>
      </c>
      <c r="X59" s="53" t="str" cm="1">
        <f t="array" ref="X59:AE59">IFERROR(IF(_xlfn.XLOOKUP(B59,Input!J:J,Input!N:U)=0,"",
          _xlfn.XLOOKUP(B59,Input!J:J,Input!N:U)),"")</f>
        <v/>
      </c>
      <c r="Y59" s="53" t="str">
        <v/>
      </c>
      <c r="Z59" s="53" t="str">
        <v/>
      </c>
      <c r="AA59" s="53" t="str">
        <v/>
      </c>
      <c r="AB59" s="53" t="str">
        <v/>
      </c>
      <c r="AC59" s="53" t="str">
        <v/>
      </c>
      <c r="AD59" s="53" t="str">
        <v/>
      </c>
      <c r="AE59" s="53" t="str">
        <v/>
      </c>
      <c r="AF59" s="32" t="str">
        <f t="shared" si="2"/>
        <v/>
      </c>
      <c r="AG59" s="32" t="str">
        <f>_xlfn.XLOOKUP(B:B,Disk_Pivot!G:G,Disk_Pivot!I:I)</f>
        <v>Yes x2</v>
      </c>
      <c r="AH59" s="32" t="str">
        <f>_xlfn.XLOOKUP(B59,Disk_Pivot!G:G,Disk_Pivot!N:N)</f>
        <v>Pass, Fail</v>
      </c>
      <c r="AI59" s="32"/>
      <c r="AJ59" s="32"/>
      <c r="AK59" s="32"/>
      <c r="AL59" s="32"/>
      <c r="AM59" s="32"/>
      <c r="AN59" s="32"/>
    </row>
    <row r="60" spans="1:40">
      <c r="A60" s="32" t="str">
        <f>_xlfn.TEXTJOIN("",TRUE,_xlfn.XLOOKUP(B60,Input!J:J,Input!G:G,"",0,1),_xlfn.XLOOKUP(B60,Input!J:J,Input!H:H,"",0,1))</f>
        <v/>
      </c>
      <c r="B60" s="32"/>
      <c r="C60" s="53">
        <f>_xlfn.XLOOKUP(B60,Input!J:J,Input!F:F)</f>
        <v>0</v>
      </c>
      <c r="D60" s="32">
        <f>_xlfn.XLOOKUP(C60,Models!H:H,Models!G:G,C60)</f>
        <v>0</v>
      </c>
      <c r="E60" s="32"/>
      <c r="F60" s="32" t="str">
        <f>_xlfn.XLOOKUP(H60,Models!B:B,Models!F:F,"")</f>
        <v/>
      </c>
      <c r="G60" s="32">
        <f>_xlfn.XLOOKUP(B60,Input!J:J,Input!E:E)</f>
        <v>0</v>
      </c>
      <c r="H60" s="32">
        <f>IF(G60="LENOVO",_xlfn.XLOOKUP(B60,Input!J:J,Input!K:K),_xlfn.XLOOKUP(B60,Input!J:J,Input!L:L))</f>
        <v>0</v>
      </c>
      <c r="I60" s="32"/>
      <c r="J60" s="32"/>
      <c r="K60" s="32">
        <f>_xlfn.XLOOKUP(B60,CPU_Formula!A:A,CPU_Formula!I:I)</f>
        <v>0</v>
      </c>
      <c r="L60" s="53" t="e">
        <f>INDEX(Input!$D$2:$AC$500,
       MATCH(B60, Input!$J$2:$J$500, 0),
       MATCH("Memory Capacity", Input!$D$1:$AC$1, 0))</f>
        <v>#N/A</v>
      </c>
      <c r="M60" s="53" t="e">
        <f>INDEX(Input!$D$2:$AC$500,
       MATCH(B60, Input!$J$2:$J$500, 0),
       MATCH("Memory Type", Input!$D$1:$AC$1, 0))</f>
        <v>#N/A</v>
      </c>
      <c r="N60" s="53" t="e">
        <f t="shared" si="0"/>
        <v>#N/A</v>
      </c>
      <c r="O60" s="53" t="str" cm="1">
        <f t="array" ref="O60">IFERROR(_xlfn.FILTERXML("&lt;t&gt;&lt;s&gt;" &amp; SUBSTITUTE(M60," / ","&lt;/s&gt;&lt;s&gt;") &amp; "&lt;/s&gt;&lt;/t&gt;","(//s[contains(.,'DDR')])[1]"),"")</f>
        <v/>
      </c>
      <c r="P60" s="32" t="e">
        <f t="shared" si="1"/>
        <v>#N/A</v>
      </c>
      <c r="Q60" s="32" t="e">
        <f>INDEX(Input!$D$2:$AC$500,
       MATCH(B60, Input!$J$2:$J$500, 0),
       MATCH("Disk Capacity", Input!$D$1:$AC$1, 0))</f>
        <v>#N/A</v>
      </c>
      <c r="R60" s="32"/>
      <c r="S60" s="53" t="e">
        <f>_xlfn.LET(_xlpm.Result,INDEX(Input!$D$2:$AC$500,
       MATCH(B60, Input!$J$2:$J$500, 0),
       MATCH("Capacity", Input!$D$1:$AC$1, 0)),IF(_xlpm.Result="","",_xlpm.Result))</f>
        <v>#N/A</v>
      </c>
      <c r="T60" s="53" t="e" cm="1">
        <f t="array" ref="T60">_xlfn.TEXTSPLIT(S60," / ", ,TRUE,0,)</f>
        <v>#N/A</v>
      </c>
      <c r="U60" s="53"/>
      <c r="V60" s="53" t="str" cm="1">
        <f t="array" ref="V60">IFERROR(_xlfn.IFS(
T60="","",
--T60&lt;55,"Battery Defect",
--T60&lt;=69,"Battery D",
--T60&lt;=80,"Battery C",
--T60&gt;80,""
),"")</f>
        <v/>
      </c>
      <c r="W60" s="53" t="str" cm="1">
        <f t="array" ref="W60">IFERROR(_xlfn.IFS(
U60="","",
--U60&lt;55,"Battery Defect",
--U60&lt;=69,"Battery D",
--U60&lt;=80,"Battery C",
--U60&gt;80,""
),"")</f>
        <v/>
      </c>
      <c r="X60" s="53" t="str" cm="1">
        <f t="array" ref="X60:AE60">IFERROR(IF(_xlfn.XLOOKUP(B60,Input!J:J,Input!N:U)=0,"",
          _xlfn.XLOOKUP(B60,Input!J:J,Input!N:U)),"")</f>
        <v/>
      </c>
      <c r="Y60" s="53" t="str">
        <v/>
      </c>
      <c r="Z60" s="53" t="str">
        <v/>
      </c>
      <c r="AA60" s="53" t="str">
        <v/>
      </c>
      <c r="AB60" s="53" t="str">
        <v/>
      </c>
      <c r="AC60" s="53" t="str">
        <v/>
      </c>
      <c r="AD60" s="53" t="str">
        <v/>
      </c>
      <c r="AE60" s="53" t="str">
        <v/>
      </c>
      <c r="AF60" s="32" t="str">
        <f t="shared" si="2"/>
        <v/>
      </c>
      <c r="AG60" s="32" t="str">
        <f>_xlfn.XLOOKUP(B:B,Disk_Pivot!G:G,Disk_Pivot!I:I)</f>
        <v>Yes x2</v>
      </c>
      <c r="AH60" s="32" t="str">
        <f>_xlfn.XLOOKUP(B60,Disk_Pivot!G:G,Disk_Pivot!N:N)</f>
        <v>Pass, Fail</v>
      </c>
      <c r="AI60" s="32"/>
      <c r="AJ60" s="32"/>
      <c r="AK60" s="32"/>
      <c r="AL60" s="32"/>
      <c r="AM60" s="32"/>
      <c r="AN60" s="32"/>
    </row>
    <row r="61" spans="1:40">
      <c r="A61" s="32" t="str">
        <f>_xlfn.TEXTJOIN("",TRUE,_xlfn.XLOOKUP(B61,Input!J:J,Input!G:G,"",0,1),_xlfn.XLOOKUP(B61,Input!J:J,Input!H:H,"",0,1))</f>
        <v/>
      </c>
      <c r="B61" s="32"/>
      <c r="C61" s="53">
        <f>_xlfn.XLOOKUP(B61,Input!J:J,Input!F:F)</f>
        <v>0</v>
      </c>
      <c r="D61" s="32">
        <f>_xlfn.XLOOKUP(C61,Models!H:H,Models!G:G,C61)</f>
        <v>0</v>
      </c>
      <c r="E61" s="32"/>
      <c r="F61" s="32" t="str">
        <f>_xlfn.XLOOKUP(H61,Models!B:B,Models!F:F,"")</f>
        <v/>
      </c>
      <c r="G61" s="32">
        <f>_xlfn.XLOOKUP(B61,Input!J:J,Input!E:E)</f>
        <v>0</v>
      </c>
      <c r="H61" s="32">
        <f>IF(G61="LENOVO",_xlfn.XLOOKUP(B61,Input!J:J,Input!K:K),_xlfn.XLOOKUP(B61,Input!J:J,Input!L:L))</f>
        <v>0</v>
      </c>
      <c r="I61" s="32"/>
      <c r="J61" s="32"/>
      <c r="K61" s="32">
        <f>_xlfn.XLOOKUP(B61,CPU_Formula!A:A,CPU_Formula!I:I)</f>
        <v>0</v>
      </c>
      <c r="L61" s="53" t="e">
        <f>INDEX(Input!$D$2:$AC$500,
       MATCH(B61, Input!$J$2:$J$500, 0),
       MATCH("Memory Capacity", Input!$D$1:$AC$1, 0))</f>
        <v>#N/A</v>
      </c>
      <c r="M61" s="53" t="e">
        <f>INDEX(Input!$D$2:$AC$500,
       MATCH(B61, Input!$J$2:$J$500, 0),
       MATCH("Memory Type", Input!$D$1:$AC$1, 0))</f>
        <v>#N/A</v>
      </c>
      <c r="N61" s="53" t="e">
        <f t="shared" si="0"/>
        <v>#N/A</v>
      </c>
      <c r="O61" s="53" t="str" cm="1">
        <f t="array" ref="O61">IFERROR(_xlfn.FILTERXML("&lt;t&gt;&lt;s&gt;" &amp; SUBSTITUTE(M61," / ","&lt;/s&gt;&lt;s&gt;") &amp; "&lt;/s&gt;&lt;/t&gt;","(//s[contains(.,'DDR')])[1]"),"")</f>
        <v/>
      </c>
      <c r="P61" s="32" t="e">
        <f t="shared" si="1"/>
        <v>#N/A</v>
      </c>
      <c r="Q61" s="32" t="e">
        <f>INDEX(Input!$D$2:$AC$500,
       MATCH(B61, Input!$J$2:$J$500, 0),
       MATCH("Disk Capacity", Input!$D$1:$AC$1, 0))</f>
        <v>#N/A</v>
      </c>
      <c r="R61" s="32"/>
      <c r="S61" s="53" t="e">
        <f>_xlfn.LET(_xlpm.Result,INDEX(Input!$D$2:$AC$500,
       MATCH(B61, Input!$J$2:$J$500, 0),
       MATCH("Capacity", Input!$D$1:$AC$1, 0)),IF(_xlpm.Result="","",_xlpm.Result))</f>
        <v>#N/A</v>
      </c>
      <c r="T61" s="53" t="e" cm="1">
        <f t="array" ref="T61">_xlfn.TEXTSPLIT(S61," / ", ,TRUE,0,)</f>
        <v>#N/A</v>
      </c>
      <c r="U61" s="53"/>
      <c r="V61" s="53" t="str" cm="1">
        <f t="array" ref="V61">IFERROR(_xlfn.IFS(
T61="","",
--T61&lt;55,"Battery Defect",
--T61&lt;=69,"Battery D",
--T61&lt;=80,"Battery C",
--T61&gt;80,""
),"")</f>
        <v/>
      </c>
      <c r="W61" s="53" t="str" cm="1">
        <f t="array" ref="W61">IFERROR(_xlfn.IFS(
U61="","",
--U61&lt;55,"Battery Defect",
--U61&lt;=69,"Battery D",
--U61&lt;=80,"Battery C",
--U61&gt;80,""
),"")</f>
        <v/>
      </c>
      <c r="X61" s="53" t="str" cm="1">
        <f t="array" ref="X61:AE61">IFERROR(IF(_xlfn.XLOOKUP(B61,Input!J:J,Input!N:U)=0,"",
          _xlfn.XLOOKUP(B61,Input!J:J,Input!N:U)),"")</f>
        <v/>
      </c>
      <c r="Y61" s="53" t="str">
        <v/>
      </c>
      <c r="Z61" s="53" t="str">
        <v/>
      </c>
      <c r="AA61" s="53" t="str">
        <v/>
      </c>
      <c r="AB61" s="53" t="str">
        <v/>
      </c>
      <c r="AC61" s="53" t="str">
        <v/>
      </c>
      <c r="AD61" s="53" t="str">
        <v/>
      </c>
      <c r="AE61" s="53" t="str">
        <v/>
      </c>
      <c r="AF61" s="32" t="str">
        <f t="shared" si="2"/>
        <v/>
      </c>
      <c r="AG61" s="32" t="str">
        <f>_xlfn.XLOOKUP(B:B,Disk_Pivot!G:G,Disk_Pivot!I:I)</f>
        <v>Yes x2</v>
      </c>
      <c r="AH61" s="32" t="str">
        <f>_xlfn.XLOOKUP(B61,Disk_Pivot!G:G,Disk_Pivot!N:N)</f>
        <v>Pass, Fail</v>
      </c>
      <c r="AI61" s="32"/>
      <c r="AJ61" s="32"/>
      <c r="AK61" s="32"/>
      <c r="AL61" s="32"/>
      <c r="AM61" s="32"/>
      <c r="AN61" s="32"/>
    </row>
    <row r="62" spans="1:40">
      <c r="A62" s="32" t="str">
        <f>_xlfn.TEXTJOIN("",TRUE,_xlfn.XLOOKUP(B62,Input!J:J,Input!G:G,"",0,1),_xlfn.XLOOKUP(B62,Input!J:J,Input!H:H,"",0,1))</f>
        <v/>
      </c>
      <c r="B62" s="32"/>
      <c r="C62" s="53">
        <f>_xlfn.XLOOKUP(B62,Input!J:J,Input!F:F)</f>
        <v>0</v>
      </c>
      <c r="D62" s="32">
        <f>_xlfn.XLOOKUP(C62,Models!H:H,Models!G:G,C62)</f>
        <v>0</v>
      </c>
      <c r="E62" s="32"/>
      <c r="F62" s="32" t="str">
        <f>_xlfn.XLOOKUP(H62,Models!B:B,Models!F:F,"")</f>
        <v/>
      </c>
      <c r="G62" s="32">
        <f>_xlfn.XLOOKUP(B62,Input!J:J,Input!E:E)</f>
        <v>0</v>
      </c>
      <c r="H62" s="32">
        <f>IF(G62="LENOVO",_xlfn.XLOOKUP(B62,Input!J:J,Input!K:K),_xlfn.XLOOKUP(B62,Input!J:J,Input!L:L))</f>
        <v>0</v>
      </c>
      <c r="I62" s="32"/>
      <c r="J62" s="32"/>
      <c r="K62" s="32">
        <f>_xlfn.XLOOKUP(B62,CPU_Formula!A:A,CPU_Formula!I:I)</f>
        <v>0</v>
      </c>
      <c r="L62" s="53" t="e">
        <f>INDEX(Input!$D$2:$AC$500,
       MATCH(B62, Input!$J$2:$J$500, 0),
       MATCH("Memory Capacity", Input!$D$1:$AC$1, 0))</f>
        <v>#N/A</v>
      </c>
      <c r="M62" s="53" t="e">
        <f>INDEX(Input!$D$2:$AC$500,
       MATCH(B62, Input!$J$2:$J$500, 0),
       MATCH("Memory Type", Input!$D$1:$AC$1, 0))</f>
        <v>#N/A</v>
      </c>
      <c r="N62" s="53" t="e">
        <f t="shared" si="0"/>
        <v>#N/A</v>
      </c>
      <c r="O62" s="53" t="str" cm="1">
        <f t="array" ref="O62">IFERROR(_xlfn.FILTERXML("&lt;t&gt;&lt;s&gt;" &amp; SUBSTITUTE(M62," / ","&lt;/s&gt;&lt;s&gt;") &amp; "&lt;/s&gt;&lt;/t&gt;","(//s[contains(.,'DDR')])[1]"),"")</f>
        <v/>
      </c>
      <c r="P62" s="32" t="e">
        <f t="shared" si="1"/>
        <v>#N/A</v>
      </c>
      <c r="Q62" s="32" t="e">
        <f>INDEX(Input!$D$2:$AC$500,
       MATCH(B62, Input!$J$2:$J$500, 0),
       MATCH("Disk Capacity", Input!$D$1:$AC$1, 0))</f>
        <v>#N/A</v>
      </c>
      <c r="R62" s="32"/>
      <c r="S62" s="53" t="e">
        <f>_xlfn.LET(_xlpm.Result,INDEX(Input!$D$2:$AC$500,
       MATCH(B62, Input!$J$2:$J$500, 0),
       MATCH("Capacity", Input!$D$1:$AC$1, 0)),IF(_xlpm.Result="","",_xlpm.Result))</f>
        <v>#N/A</v>
      </c>
      <c r="T62" s="53" t="e" cm="1">
        <f t="array" ref="T62">_xlfn.TEXTSPLIT(S62," / ", ,TRUE,0,)</f>
        <v>#N/A</v>
      </c>
      <c r="U62" s="53"/>
      <c r="V62" s="53" t="str" cm="1">
        <f t="array" ref="V62">IFERROR(_xlfn.IFS(
T62="","",
--T62&lt;55,"Battery Defect",
--T62&lt;=69,"Battery D",
--T62&lt;=80,"Battery C",
--T62&gt;80,""
),"")</f>
        <v/>
      </c>
      <c r="W62" s="53" t="str" cm="1">
        <f t="array" ref="W62">IFERROR(_xlfn.IFS(
U62="","",
--U62&lt;55,"Battery Defect",
--U62&lt;=69,"Battery D",
--U62&lt;=80,"Battery C",
--U62&gt;80,""
),"")</f>
        <v/>
      </c>
      <c r="X62" s="53" t="str" cm="1">
        <f t="array" ref="X62:AE62">IFERROR(IF(_xlfn.XLOOKUP(B62,Input!J:J,Input!N:U)=0,"",
          _xlfn.XLOOKUP(B62,Input!J:J,Input!N:U)),"")</f>
        <v/>
      </c>
      <c r="Y62" s="53" t="str">
        <v/>
      </c>
      <c r="Z62" s="53" t="str">
        <v/>
      </c>
      <c r="AA62" s="53" t="str">
        <v/>
      </c>
      <c r="AB62" s="53" t="str">
        <v/>
      </c>
      <c r="AC62" s="53" t="str">
        <v/>
      </c>
      <c r="AD62" s="53" t="str">
        <v/>
      </c>
      <c r="AE62" s="53" t="str">
        <v/>
      </c>
      <c r="AF62" s="32" t="str">
        <f t="shared" si="2"/>
        <v/>
      </c>
      <c r="AG62" s="32" t="str">
        <f>_xlfn.XLOOKUP(B:B,Disk_Pivot!G:G,Disk_Pivot!I:I)</f>
        <v>Yes x2</v>
      </c>
      <c r="AH62" s="32" t="str">
        <f>_xlfn.XLOOKUP(B62,Disk_Pivot!G:G,Disk_Pivot!N:N)</f>
        <v>Pass, Fail</v>
      </c>
      <c r="AI62" s="32"/>
      <c r="AJ62" s="32"/>
      <c r="AK62" s="32"/>
      <c r="AL62" s="32"/>
      <c r="AM62" s="32"/>
      <c r="AN62" s="32"/>
    </row>
    <row r="63" spans="1:40">
      <c r="A63" s="32" t="str">
        <f>_xlfn.TEXTJOIN("",TRUE,_xlfn.XLOOKUP(B63,Input!J:J,Input!G:G,"",0,1),_xlfn.XLOOKUP(B63,Input!J:J,Input!H:H,"",0,1))</f>
        <v/>
      </c>
      <c r="B63" s="32"/>
      <c r="C63" s="53">
        <f>_xlfn.XLOOKUP(B63,Input!J:J,Input!F:F)</f>
        <v>0</v>
      </c>
      <c r="D63" s="32">
        <f>_xlfn.XLOOKUP(C63,Models!H:H,Models!G:G,C63)</f>
        <v>0</v>
      </c>
      <c r="E63" s="32"/>
      <c r="F63" s="32" t="str">
        <f>_xlfn.XLOOKUP(H63,Models!B:B,Models!F:F,"")</f>
        <v/>
      </c>
      <c r="G63" s="32">
        <f>_xlfn.XLOOKUP(B63,Input!J:J,Input!E:E)</f>
        <v>0</v>
      </c>
      <c r="H63" s="32">
        <f>IF(G63="LENOVO",_xlfn.XLOOKUP(B63,Input!J:J,Input!K:K),_xlfn.XLOOKUP(B63,Input!J:J,Input!L:L))</f>
        <v>0</v>
      </c>
      <c r="I63" s="32"/>
      <c r="J63" s="32"/>
      <c r="K63" s="32">
        <f>_xlfn.XLOOKUP(B63,CPU_Formula!A:A,CPU_Formula!I:I)</f>
        <v>0</v>
      </c>
      <c r="L63" s="53" t="e">
        <f>INDEX(Input!$D$2:$AC$500,
       MATCH(B63, Input!$J$2:$J$500, 0),
       MATCH("Memory Capacity", Input!$D$1:$AC$1, 0))</f>
        <v>#N/A</v>
      </c>
      <c r="M63" s="53" t="e">
        <f>INDEX(Input!$D$2:$AC$500,
       MATCH(B63, Input!$J$2:$J$500, 0),
       MATCH("Memory Type", Input!$D$1:$AC$1, 0))</f>
        <v>#N/A</v>
      </c>
      <c r="N63" s="53" t="e">
        <f t="shared" si="0"/>
        <v>#N/A</v>
      </c>
      <c r="O63" s="53" t="str" cm="1">
        <f t="array" ref="O63">IFERROR(_xlfn.FILTERXML("&lt;t&gt;&lt;s&gt;" &amp; SUBSTITUTE(M63," / ","&lt;/s&gt;&lt;s&gt;") &amp; "&lt;/s&gt;&lt;/t&gt;","(//s[contains(.,'DDR')])[1]"),"")</f>
        <v/>
      </c>
      <c r="P63" s="32" t="e">
        <f t="shared" si="1"/>
        <v>#N/A</v>
      </c>
      <c r="Q63" s="32" t="e">
        <f>INDEX(Input!$D$2:$AC$500,
       MATCH(B63, Input!$J$2:$J$500, 0),
       MATCH("Disk Capacity", Input!$D$1:$AC$1, 0))</f>
        <v>#N/A</v>
      </c>
      <c r="R63" s="32"/>
      <c r="S63" s="53" t="e">
        <f>_xlfn.LET(_xlpm.Result,INDEX(Input!$D$2:$AC$500,
       MATCH(B63, Input!$J$2:$J$500, 0),
       MATCH("Capacity", Input!$D$1:$AC$1, 0)),IF(_xlpm.Result="","",_xlpm.Result))</f>
        <v>#N/A</v>
      </c>
      <c r="T63" s="53" t="e" cm="1">
        <f t="array" ref="T63">_xlfn.TEXTSPLIT(S63," / ", ,TRUE,0,)</f>
        <v>#N/A</v>
      </c>
      <c r="U63" s="53"/>
      <c r="V63" s="53" t="str" cm="1">
        <f t="array" ref="V63">IFERROR(_xlfn.IFS(
T63="","",
--T63&lt;55,"Battery Defect",
--T63&lt;=69,"Battery D",
--T63&lt;=80,"Battery C",
--T63&gt;80,""
),"")</f>
        <v/>
      </c>
      <c r="W63" s="53" t="str" cm="1">
        <f t="array" ref="W63">IFERROR(_xlfn.IFS(
U63="","",
--U63&lt;55,"Battery Defect",
--U63&lt;=69,"Battery D",
--U63&lt;=80,"Battery C",
--U63&gt;80,""
),"")</f>
        <v/>
      </c>
      <c r="X63" s="53" t="str" cm="1">
        <f t="array" ref="X63:AE63">IFERROR(IF(_xlfn.XLOOKUP(B63,Input!J:J,Input!N:U)=0,"",
          _xlfn.XLOOKUP(B63,Input!J:J,Input!N:U)),"")</f>
        <v/>
      </c>
      <c r="Y63" s="53" t="str">
        <v/>
      </c>
      <c r="Z63" s="53" t="str">
        <v/>
      </c>
      <c r="AA63" s="53" t="str">
        <v/>
      </c>
      <c r="AB63" s="53" t="str">
        <v/>
      </c>
      <c r="AC63" s="53" t="str">
        <v/>
      </c>
      <c r="AD63" s="53" t="str">
        <v/>
      </c>
      <c r="AE63" s="53" t="str">
        <v/>
      </c>
      <c r="AF63" s="32" t="str">
        <f t="shared" si="2"/>
        <v/>
      </c>
      <c r="AG63" s="32" t="str">
        <f>_xlfn.XLOOKUP(B:B,Disk_Pivot!G:G,Disk_Pivot!I:I)</f>
        <v>Yes x2</v>
      </c>
      <c r="AH63" s="32" t="str">
        <f>_xlfn.XLOOKUP(B63,Disk_Pivot!G:G,Disk_Pivot!N:N)</f>
        <v>Pass, Fail</v>
      </c>
      <c r="AI63" s="32"/>
      <c r="AJ63" s="32"/>
      <c r="AK63" s="32"/>
      <c r="AL63" s="32"/>
      <c r="AM63" s="32"/>
      <c r="AN63" s="32"/>
    </row>
    <row r="64" spans="1:40">
      <c r="A64" s="32" t="str">
        <f>_xlfn.TEXTJOIN("",TRUE,_xlfn.XLOOKUP(B64,Input!J:J,Input!G:G,"",0,1),_xlfn.XLOOKUP(B64,Input!J:J,Input!H:H,"",0,1))</f>
        <v/>
      </c>
      <c r="B64" s="32"/>
      <c r="C64" s="53">
        <f>_xlfn.XLOOKUP(B64,Input!J:J,Input!F:F)</f>
        <v>0</v>
      </c>
      <c r="D64" s="32">
        <f>_xlfn.XLOOKUP(C64,Models!H:H,Models!G:G,C64)</f>
        <v>0</v>
      </c>
      <c r="E64" s="32"/>
      <c r="F64" s="32" t="str">
        <f>_xlfn.XLOOKUP(H64,Models!B:B,Models!F:F,"")</f>
        <v/>
      </c>
      <c r="G64" s="32">
        <f>_xlfn.XLOOKUP(B64,Input!J:J,Input!E:E)</f>
        <v>0</v>
      </c>
      <c r="H64" s="32">
        <f>IF(G64="LENOVO",_xlfn.XLOOKUP(B64,Input!J:J,Input!K:K),_xlfn.XLOOKUP(B64,Input!J:J,Input!L:L))</f>
        <v>0</v>
      </c>
      <c r="I64" s="32"/>
      <c r="J64" s="32"/>
      <c r="K64" s="32">
        <f>_xlfn.XLOOKUP(B64,CPU_Formula!A:A,CPU_Formula!I:I)</f>
        <v>0</v>
      </c>
      <c r="L64" s="53" t="e">
        <f>INDEX(Input!$D$2:$AC$500,
       MATCH(B64, Input!$J$2:$J$500, 0),
       MATCH("Memory Capacity", Input!$D$1:$AC$1, 0))</f>
        <v>#N/A</v>
      </c>
      <c r="M64" s="53" t="e">
        <f>INDEX(Input!$D$2:$AC$500,
       MATCH(B64, Input!$J$2:$J$500, 0),
       MATCH("Memory Type", Input!$D$1:$AC$1, 0))</f>
        <v>#N/A</v>
      </c>
      <c r="N64" s="53" t="e">
        <f t="shared" si="0"/>
        <v>#N/A</v>
      </c>
      <c r="O64" s="53" t="str" cm="1">
        <f t="array" ref="O64">IFERROR(_xlfn.FILTERXML("&lt;t&gt;&lt;s&gt;" &amp; SUBSTITUTE(M64," / ","&lt;/s&gt;&lt;s&gt;") &amp; "&lt;/s&gt;&lt;/t&gt;","(//s[contains(.,'DDR')])[1]"),"")</f>
        <v/>
      </c>
      <c r="P64" s="32" t="e">
        <f t="shared" si="1"/>
        <v>#N/A</v>
      </c>
      <c r="Q64" s="32" t="e">
        <f>INDEX(Input!$D$2:$AC$500,
       MATCH(B64, Input!$J$2:$J$500, 0),
       MATCH("Disk Capacity", Input!$D$1:$AC$1, 0))</f>
        <v>#N/A</v>
      </c>
      <c r="R64" s="32"/>
      <c r="S64" s="53" t="e">
        <f>_xlfn.LET(_xlpm.Result,INDEX(Input!$D$2:$AC$500,
       MATCH(B64, Input!$J$2:$J$500, 0),
       MATCH("Capacity", Input!$D$1:$AC$1, 0)),IF(_xlpm.Result="","",_xlpm.Result))</f>
        <v>#N/A</v>
      </c>
      <c r="T64" s="53" t="e" cm="1">
        <f t="array" ref="T64">_xlfn.TEXTSPLIT(S64," / ", ,TRUE,0,)</f>
        <v>#N/A</v>
      </c>
      <c r="U64" s="53"/>
      <c r="V64" s="53" t="str" cm="1">
        <f t="array" ref="V64">IFERROR(_xlfn.IFS(
T64="","",
--T64&lt;55,"Battery Defect",
--T64&lt;=69,"Battery D",
--T64&lt;=80,"Battery C",
--T64&gt;80,""
),"")</f>
        <v/>
      </c>
      <c r="W64" s="53" t="str" cm="1">
        <f t="array" ref="W64">IFERROR(_xlfn.IFS(
U64="","",
--U64&lt;55,"Battery Defect",
--U64&lt;=69,"Battery D",
--U64&lt;=80,"Battery C",
--U64&gt;80,""
),"")</f>
        <v/>
      </c>
      <c r="X64" s="53" t="str" cm="1">
        <f t="array" ref="X64:AE64">IFERROR(IF(_xlfn.XLOOKUP(B64,Input!J:J,Input!N:U)=0,"",
          _xlfn.XLOOKUP(B64,Input!J:J,Input!N:U)),"")</f>
        <v/>
      </c>
      <c r="Y64" s="53" t="str">
        <v/>
      </c>
      <c r="Z64" s="53" t="str">
        <v/>
      </c>
      <c r="AA64" s="53" t="str">
        <v/>
      </c>
      <c r="AB64" s="53" t="str">
        <v/>
      </c>
      <c r="AC64" s="53" t="str">
        <v/>
      </c>
      <c r="AD64" s="53" t="str">
        <v/>
      </c>
      <c r="AE64" s="53" t="str">
        <v/>
      </c>
      <c r="AF64" s="32" t="str">
        <f t="shared" si="2"/>
        <v/>
      </c>
      <c r="AG64" s="32" t="str">
        <f>_xlfn.XLOOKUP(B:B,Disk_Pivot!G:G,Disk_Pivot!I:I)</f>
        <v>Yes x2</v>
      </c>
      <c r="AH64" s="32" t="str">
        <f>_xlfn.XLOOKUP(B64,Disk_Pivot!G:G,Disk_Pivot!N:N)</f>
        <v>Pass, Fail</v>
      </c>
      <c r="AI64" s="32"/>
      <c r="AJ64" s="32"/>
      <c r="AK64" s="32"/>
      <c r="AL64" s="32"/>
      <c r="AM64" s="32"/>
      <c r="AN64" s="32"/>
    </row>
    <row r="65" spans="1:40">
      <c r="A65" s="32" t="str">
        <f>_xlfn.TEXTJOIN("",TRUE,_xlfn.XLOOKUP(B65,Input!J:J,Input!G:G,"",0,1),_xlfn.XLOOKUP(B65,Input!J:J,Input!H:H,"",0,1))</f>
        <v/>
      </c>
      <c r="B65" s="32"/>
      <c r="C65" s="53">
        <f>_xlfn.XLOOKUP(B65,Input!J:J,Input!F:F)</f>
        <v>0</v>
      </c>
      <c r="D65" s="32">
        <f>_xlfn.XLOOKUP(C65,Models!H:H,Models!G:G,C65)</f>
        <v>0</v>
      </c>
      <c r="E65" s="32"/>
      <c r="F65" s="32" t="str">
        <f>_xlfn.XLOOKUP(H65,Models!B:B,Models!F:F,"")</f>
        <v/>
      </c>
      <c r="G65" s="32">
        <f>_xlfn.XLOOKUP(B65,Input!J:J,Input!E:E)</f>
        <v>0</v>
      </c>
      <c r="H65" s="32">
        <f>IF(G65="LENOVO",_xlfn.XLOOKUP(B65,Input!J:J,Input!K:K),_xlfn.XLOOKUP(B65,Input!J:J,Input!L:L))</f>
        <v>0</v>
      </c>
      <c r="I65" s="32"/>
      <c r="J65" s="32"/>
      <c r="K65" s="32">
        <f>_xlfn.XLOOKUP(B65,CPU_Formula!A:A,CPU_Formula!I:I)</f>
        <v>0</v>
      </c>
      <c r="L65" s="53" t="e">
        <f>INDEX(Input!$D$2:$AC$500,
       MATCH(B65, Input!$J$2:$J$500, 0),
       MATCH("Memory Capacity", Input!$D$1:$AC$1, 0))</f>
        <v>#N/A</v>
      </c>
      <c r="M65" s="53" t="e">
        <f>INDEX(Input!$D$2:$AC$500,
       MATCH(B65, Input!$J$2:$J$500, 0),
       MATCH("Memory Type", Input!$D$1:$AC$1, 0))</f>
        <v>#N/A</v>
      </c>
      <c r="N65" s="53" t="e">
        <f t="shared" si="0"/>
        <v>#N/A</v>
      </c>
      <c r="O65" s="53" t="str" cm="1">
        <f t="array" ref="O65">IFERROR(_xlfn.FILTERXML("&lt;t&gt;&lt;s&gt;" &amp; SUBSTITUTE(M65," / ","&lt;/s&gt;&lt;s&gt;") &amp; "&lt;/s&gt;&lt;/t&gt;","(//s[contains(.,'DDR')])[1]"),"")</f>
        <v/>
      </c>
      <c r="P65" s="32" t="e">
        <f t="shared" si="1"/>
        <v>#N/A</v>
      </c>
      <c r="Q65" s="32" t="e">
        <f>INDEX(Input!$D$2:$AC$500,
       MATCH(B65, Input!$J$2:$J$500, 0),
       MATCH("Disk Capacity", Input!$D$1:$AC$1, 0))</f>
        <v>#N/A</v>
      </c>
      <c r="R65" s="32"/>
      <c r="S65" s="53" t="e">
        <f>_xlfn.LET(_xlpm.Result,INDEX(Input!$D$2:$AC$500,
       MATCH(B65, Input!$J$2:$J$500, 0),
       MATCH("Capacity", Input!$D$1:$AC$1, 0)),IF(_xlpm.Result="","",_xlpm.Result))</f>
        <v>#N/A</v>
      </c>
      <c r="T65" s="53" t="e" cm="1">
        <f t="array" ref="T65">_xlfn.TEXTSPLIT(S65," / ", ,TRUE,0,)</f>
        <v>#N/A</v>
      </c>
      <c r="U65" s="53"/>
      <c r="V65" s="53" t="str" cm="1">
        <f t="array" ref="V65">IFERROR(_xlfn.IFS(
T65="","",
--T65&lt;55,"Battery Defect",
--T65&lt;=69,"Battery D",
--T65&lt;=80,"Battery C",
--T65&gt;80,""
),"")</f>
        <v/>
      </c>
      <c r="W65" s="53" t="str" cm="1">
        <f t="array" ref="W65">IFERROR(_xlfn.IFS(
U65="","",
--U65&lt;55,"Battery Defect",
--U65&lt;=69,"Battery D",
--U65&lt;=80,"Battery C",
--U65&gt;80,""
),"")</f>
        <v/>
      </c>
      <c r="X65" s="53" t="str" cm="1">
        <f t="array" ref="X65:AE65">IFERROR(IF(_xlfn.XLOOKUP(B65,Input!J:J,Input!N:U)=0,"",
          _xlfn.XLOOKUP(B65,Input!J:J,Input!N:U)),"")</f>
        <v/>
      </c>
      <c r="Y65" s="53" t="str">
        <v/>
      </c>
      <c r="Z65" s="53" t="str">
        <v/>
      </c>
      <c r="AA65" s="53" t="str">
        <v/>
      </c>
      <c r="AB65" s="53" t="str">
        <v/>
      </c>
      <c r="AC65" s="53" t="str">
        <v/>
      </c>
      <c r="AD65" s="53" t="str">
        <v/>
      </c>
      <c r="AE65" s="53" t="str">
        <v/>
      </c>
      <c r="AF65" s="32" t="str">
        <f t="shared" si="2"/>
        <v/>
      </c>
      <c r="AG65" s="32" t="str">
        <f>_xlfn.XLOOKUP(B:B,Disk_Pivot!G:G,Disk_Pivot!I:I)</f>
        <v>Yes x2</v>
      </c>
      <c r="AH65" s="32" t="str">
        <f>_xlfn.XLOOKUP(B65,Disk_Pivot!G:G,Disk_Pivot!N:N)</f>
        <v>Pass, Fail</v>
      </c>
      <c r="AI65" s="32"/>
      <c r="AJ65" s="32"/>
      <c r="AK65" s="32"/>
      <c r="AL65" s="32"/>
      <c r="AM65" s="32"/>
      <c r="AN65" s="32"/>
    </row>
    <row r="66" spans="1:40">
      <c r="A66" s="32" t="str">
        <f>_xlfn.TEXTJOIN("",TRUE,_xlfn.XLOOKUP(B66,Input!J:J,Input!G:G,"",0,1),_xlfn.XLOOKUP(B66,Input!J:J,Input!H:H,"",0,1))</f>
        <v/>
      </c>
      <c r="B66" s="32"/>
      <c r="C66" s="53">
        <f>_xlfn.XLOOKUP(B66,Input!J:J,Input!F:F)</f>
        <v>0</v>
      </c>
      <c r="D66" s="32">
        <f>_xlfn.XLOOKUP(C66,Models!H:H,Models!G:G,C66)</f>
        <v>0</v>
      </c>
      <c r="E66" s="32"/>
      <c r="F66" s="32" t="str">
        <f>_xlfn.XLOOKUP(H66,Models!B:B,Models!F:F,"")</f>
        <v/>
      </c>
      <c r="G66" s="32">
        <f>_xlfn.XLOOKUP(B66,Input!J:J,Input!E:E)</f>
        <v>0</v>
      </c>
      <c r="H66" s="32">
        <f>IF(G66="LENOVO",_xlfn.XLOOKUP(B66,Input!J:J,Input!K:K),_xlfn.XLOOKUP(B66,Input!J:J,Input!L:L))</f>
        <v>0</v>
      </c>
      <c r="I66" s="32"/>
      <c r="J66" s="32"/>
      <c r="K66" s="32">
        <f>_xlfn.XLOOKUP(B66,CPU_Formula!A:A,CPU_Formula!I:I)</f>
        <v>0</v>
      </c>
      <c r="L66" s="53" t="e">
        <f>INDEX(Input!$D$2:$AC$500,
       MATCH(B66, Input!$J$2:$J$500, 0),
       MATCH("Memory Capacity", Input!$D$1:$AC$1, 0))</f>
        <v>#N/A</v>
      </c>
      <c r="M66" s="53" t="e">
        <f>INDEX(Input!$D$2:$AC$500,
       MATCH(B66, Input!$J$2:$J$500, 0),
       MATCH("Memory Type", Input!$D$1:$AC$1, 0))</f>
        <v>#N/A</v>
      </c>
      <c r="N66" s="53" t="e">
        <f t="shared" si="0"/>
        <v>#N/A</v>
      </c>
      <c r="O66" s="53" t="str" cm="1">
        <f t="array" ref="O66">IFERROR(_xlfn.FILTERXML("&lt;t&gt;&lt;s&gt;" &amp; SUBSTITUTE(M66," / ","&lt;/s&gt;&lt;s&gt;") &amp; "&lt;/s&gt;&lt;/t&gt;","(//s[contains(.,'DDR')])[1]"),"")</f>
        <v/>
      </c>
      <c r="P66" s="32" t="e">
        <f t="shared" si="1"/>
        <v>#N/A</v>
      </c>
      <c r="Q66" s="32" t="e">
        <f>INDEX(Input!$D$2:$AC$500,
       MATCH(B66, Input!$J$2:$J$500, 0),
       MATCH("Disk Capacity", Input!$D$1:$AC$1, 0))</f>
        <v>#N/A</v>
      </c>
      <c r="R66" s="32"/>
      <c r="S66" s="53" t="e">
        <f>_xlfn.LET(_xlpm.Result,INDEX(Input!$D$2:$AC$500,
       MATCH(B66, Input!$J$2:$J$500, 0),
       MATCH("Capacity", Input!$D$1:$AC$1, 0)),IF(_xlpm.Result="","",_xlpm.Result))</f>
        <v>#N/A</v>
      </c>
      <c r="T66" s="53" t="e" cm="1">
        <f t="array" ref="T66">_xlfn.TEXTSPLIT(S66," / ", ,TRUE,0,)</f>
        <v>#N/A</v>
      </c>
      <c r="U66" s="53"/>
      <c r="V66" s="53" t="str" cm="1">
        <f t="array" ref="V66">IFERROR(_xlfn.IFS(
T66="","",
--T66&lt;55,"Battery Defect",
--T66&lt;=69,"Battery D",
--T66&lt;=80,"Battery C",
--T66&gt;80,""
),"")</f>
        <v/>
      </c>
      <c r="W66" s="53" t="str" cm="1">
        <f t="array" ref="W66">IFERROR(_xlfn.IFS(
U66="","",
--U66&lt;55,"Battery Defect",
--U66&lt;=69,"Battery D",
--U66&lt;=80,"Battery C",
--U66&gt;80,""
),"")</f>
        <v/>
      </c>
      <c r="X66" s="53" t="str" cm="1">
        <f t="array" ref="X66:AE66">IFERROR(IF(_xlfn.XLOOKUP(B66,Input!J:J,Input!N:U)=0,"",
          _xlfn.XLOOKUP(B66,Input!J:J,Input!N:U)),"")</f>
        <v/>
      </c>
      <c r="Y66" s="53" t="str">
        <v/>
      </c>
      <c r="Z66" s="53" t="str">
        <v/>
      </c>
      <c r="AA66" s="53" t="str">
        <v/>
      </c>
      <c r="AB66" s="53" t="str">
        <v/>
      </c>
      <c r="AC66" s="53" t="str">
        <v/>
      </c>
      <c r="AD66" s="53" t="str">
        <v/>
      </c>
      <c r="AE66" s="53" t="str">
        <v/>
      </c>
      <c r="AF66" s="32" t="str">
        <f t="shared" si="2"/>
        <v/>
      </c>
      <c r="AG66" s="32" t="str">
        <f>_xlfn.XLOOKUP(B:B,Disk_Pivot!G:G,Disk_Pivot!I:I)</f>
        <v>Yes x2</v>
      </c>
      <c r="AH66" s="32" t="str">
        <f>_xlfn.XLOOKUP(B66,Disk_Pivot!G:G,Disk_Pivot!N:N)</f>
        <v>Pass, Fail</v>
      </c>
      <c r="AI66" s="32"/>
      <c r="AJ66" s="32"/>
      <c r="AK66" s="32"/>
      <c r="AL66" s="32"/>
      <c r="AM66" s="32"/>
      <c r="AN66" s="32"/>
    </row>
    <row r="67" spans="1:40">
      <c r="A67" s="32" t="str">
        <f>_xlfn.TEXTJOIN("",TRUE,_xlfn.XLOOKUP(B67,Input!J:J,Input!G:G,"",0,1),_xlfn.XLOOKUP(B67,Input!J:J,Input!H:H,"",0,1))</f>
        <v/>
      </c>
      <c r="B67" s="32"/>
      <c r="C67" s="53">
        <f>_xlfn.XLOOKUP(B67,Input!J:J,Input!F:F)</f>
        <v>0</v>
      </c>
      <c r="D67" s="32">
        <f>_xlfn.XLOOKUP(C67,Models!H:H,Models!G:G,C67)</f>
        <v>0</v>
      </c>
      <c r="E67" s="32"/>
      <c r="F67" s="32" t="str">
        <f>_xlfn.XLOOKUP(H67,Models!B:B,Models!F:F,"")</f>
        <v/>
      </c>
      <c r="G67" s="32">
        <f>_xlfn.XLOOKUP(B67,Input!J:J,Input!E:E)</f>
        <v>0</v>
      </c>
      <c r="H67" s="32">
        <f>IF(G67="LENOVO",_xlfn.XLOOKUP(B67,Input!J:J,Input!K:K),_xlfn.XLOOKUP(B67,Input!J:J,Input!L:L))</f>
        <v>0</v>
      </c>
      <c r="I67" s="32"/>
      <c r="J67" s="32"/>
      <c r="K67" s="32">
        <f>_xlfn.XLOOKUP(B67,CPU_Formula!A:A,CPU_Formula!I:I)</f>
        <v>0</v>
      </c>
      <c r="L67" s="53" t="e">
        <f>INDEX(Input!$D$2:$AC$500,
       MATCH(B67, Input!$J$2:$J$500, 0),
       MATCH("Memory Capacity", Input!$D$1:$AC$1, 0))</f>
        <v>#N/A</v>
      </c>
      <c r="M67" s="53" t="e">
        <f>INDEX(Input!$D$2:$AC$500,
       MATCH(B67, Input!$J$2:$J$500, 0),
       MATCH("Memory Type", Input!$D$1:$AC$1, 0))</f>
        <v>#N/A</v>
      </c>
      <c r="N67" s="53" t="e">
        <f t="shared" ref="N67:N130" si="3">IF(ISNUMBER(L67), L67, SUBSTITUTE(SUBSTITUTE(SUBSTITUTE(L67,"GiB","")," ",""),"/","+"))</f>
        <v>#N/A</v>
      </c>
      <c r="O67" s="53" t="str" cm="1">
        <f t="array" ref="O67">IFERROR(_xlfn.FILTERXML("&lt;t&gt;&lt;s&gt;" &amp; SUBSTITUTE(M67," / ","&lt;/s&gt;&lt;s&gt;") &amp; "&lt;/s&gt;&lt;/t&gt;","(//s[contains(.,'DDR')])[1]"),"")</f>
        <v/>
      </c>
      <c r="P67" s="32" t="e">
        <f t="shared" ref="P67:P87" si="4">_xlfn.TEXTJOIN(" ",TRUE,N67,"GB",O67)</f>
        <v>#N/A</v>
      </c>
      <c r="Q67" s="32" t="e">
        <f>INDEX(Input!$D$2:$AC$500,
       MATCH(B67, Input!$J$2:$J$500, 0),
       MATCH("Disk Capacity", Input!$D$1:$AC$1, 0))</f>
        <v>#N/A</v>
      </c>
      <c r="R67" s="32"/>
      <c r="S67" s="53" t="e">
        <f>_xlfn.LET(_xlpm.Result,INDEX(Input!$D$2:$AC$500,
       MATCH(B67, Input!$J$2:$J$500, 0),
       MATCH("Capacity", Input!$D$1:$AC$1, 0)),IF(_xlpm.Result="","",_xlpm.Result))</f>
        <v>#N/A</v>
      </c>
      <c r="T67" s="53" t="e" cm="1">
        <f t="array" ref="T67">_xlfn.TEXTSPLIT(S67," / ", ,TRUE,0,)</f>
        <v>#N/A</v>
      </c>
      <c r="U67" s="53"/>
      <c r="V67" s="53" t="str" cm="1">
        <f t="array" ref="V67">IFERROR(_xlfn.IFS(
T67="","",
--T67&lt;55,"Battery Defect",
--T67&lt;=69,"Battery D",
--T67&lt;=80,"Battery C",
--T67&gt;80,""
),"")</f>
        <v/>
      </c>
      <c r="W67" s="53" t="str" cm="1">
        <f t="array" ref="W67">IFERROR(_xlfn.IFS(
U67="","",
--U67&lt;55,"Battery Defect",
--U67&lt;=69,"Battery D",
--U67&lt;=80,"Battery C",
--U67&gt;80,""
),"")</f>
        <v/>
      </c>
      <c r="X67" s="53" t="str" cm="1">
        <f t="array" ref="X67:AE67">IFERROR(IF(_xlfn.XLOOKUP(B67,Input!J:J,Input!N:U)=0,"",
          _xlfn.XLOOKUP(B67,Input!J:J,Input!N:U)),"")</f>
        <v/>
      </c>
      <c r="Y67" s="53" t="str">
        <v/>
      </c>
      <c r="Z67" s="53" t="str">
        <v/>
      </c>
      <c r="AA67" s="53" t="str">
        <v/>
      </c>
      <c r="AB67" s="53" t="str">
        <v/>
      </c>
      <c r="AC67" s="53" t="str">
        <v/>
      </c>
      <c r="AD67" s="53" t="str">
        <v/>
      </c>
      <c r="AE67" s="53" t="str">
        <v/>
      </c>
      <c r="AF67" s="32" t="str">
        <f t="shared" ref="AF67:AF130" si="5">IF(D67="Laptop",_xlfn.TEXTJOIN(", ",TRUE,V67,W67,X67,Y67,Z67,AA67,AB67,AC67), _xlfn.TEXTJOIN(", ",TRUE,X67,Y67,Z67,AA67,AB67,AC67))</f>
        <v/>
      </c>
      <c r="AG67" s="32" t="str">
        <f>_xlfn.XLOOKUP(B:B,Disk_Pivot!G:G,Disk_Pivot!I:I)</f>
        <v>Yes x2</v>
      </c>
      <c r="AH67" s="32" t="str">
        <f>_xlfn.XLOOKUP(B67,Disk_Pivot!G:G,Disk_Pivot!N:N)</f>
        <v>Pass, Fail</v>
      </c>
      <c r="AI67" s="32"/>
      <c r="AJ67" s="32"/>
      <c r="AK67" s="32"/>
      <c r="AL67" s="32"/>
      <c r="AM67" s="32"/>
      <c r="AN67" s="32"/>
    </row>
    <row r="68" spans="1:40">
      <c r="A68" s="32" t="str">
        <f>_xlfn.TEXTJOIN("",TRUE,_xlfn.XLOOKUP(B68,Input!J:J,Input!G:G,"",0,1),_xlfn.XLOOKUP(B68,Input!J:J,Input!H:H,"",0,1))</f>
        <v/>
      </c>
      <c r="B68" s="32"/>
      <c r="C68" s="53">
        <f>_xlfn.XLOOKUP(B68,Input!J:J,Input!F:F)</f>
        <v>0</v>
      </c>
      <c r="D68" s="32">
        <f>_xlfn.XLOOKUP(C68,Models!H:H,Models!G:G,C68)</f>
        <v>0</v>
      </c>
      <c r="E68" s="32"/>
      <c r="F68" s="32" t="str">
        <f>_xlfn.XLOOKUP(H68,Models!B:B,Models!F:F,"")</f>
        <v/>
      </c>
      <c r="G68" s="32">
        <f>_xlfn.XLOOKUP(B68,Input!J:J,Input!E:E)</f>
        <v>0</v>
      </c>
      <c r="H68" s="32">
        <f>IF(G68="LENOVO",_xlfn.XLOOKUP(B68,Input!J:J,Input!K:K),_xlfn.XLOOKUP(B68,Input!J:J,Input!L:L))</f>
        <v>0</v>
      </c>
      <c r="I68" s="32"/>
      <c r="J68" s="32"/>
      <c r="K68" s="32">
        <f>_xlfn.XLOOKUP(B68,CPU_Formula!A:A,CPU_Formula!I:I)</f>
        <v>0</v>
      </c>
      <c r="L68" s="53" t="e">
        <f>INDEX(Input!$D$2:$AC$500,
       MATCH(B68, Input!$J$2:$J$500, 0),
       MATCH("Memory Capacity", Input!$D$1:$AC$1, 0))</f>
        <v>#N/A</v>
      </c>
      <c r="M68" s="53" t="e">
        <f>INDEX(Input!$D$2:$AC$500,
       MATCH(B68, Input!$J$2:$J$500, 0),
       MATCH("Memory Type", Input!$D$1:$AC$1, 0))</f>
        <v>#N/A</v>
      </c>
      <c r="N68" s="53" t="e">
        <f t="shared" si="3"/>
        <v>#N/A</v>
      </c>
      <c r="O68" s="53" t="str" cm="1">
        <f t="array" ref="O68">IFERROR(_xlfn.FILTERXML("&lt;t&gt;&lt;s&gt;" &amp; SUBSTITUTE(M68," / ","&lt;/s&gt;&lt;s&gt;") &amp; "&lt;/s&gt;&lt;/t&gt;","(//s[contains(.,'DDR')])[1]"),"")</f>
        <v/>
      </c>
      <c r="P68" s="32" t="e">
        <f t="shared" si="4"/>
        <v>#N/A</v>
      </c>
      <c r="Q68" s="32" t="e">
        <f>INDEX(Input!$D$2:$AC$500,
       MATCH(B68, Input!$J$2:$J$500, 0),
       MATCH("Disk Capacity", Input!$D$1:$AC$1, 0))</f>
        <v>#N/A</v>
      </c>
      <c r="R68" s="32"/>
      <c r="S68" s="53" t="e">
        <f>_xlfn.LET(_xlpm.Result,INDEX(Input!$D$2:$AC$500,
       MATCH(B68, Input!$J$2:$J$500, 0),
       MATCH("Capacity", Input!$D$1:$AC$1, 0)),IF(_xlpm.Result="","",_xlpm.Result))</f>
        <v>#N/A</v>
      </c>
      <c r="T68" s="53" t="e" cm="1">
        <f t="array" ref="T68">_xlfn.TEXTSPLIT(S68," / ", ,TRUE,0,)</f>
        <v>#N/A</v>
      </c>
      <c r="U68" s="53"/>
      <c r="V68" s="53" t="str" cm="1">
        <f t="array" ref="V68">IFERROR(_xlfn.IFS(
T68="","",
--T68&lt;55,"Battery Defect",
--T68&lt;=69,"Battery D",
--T68&lt;=80,"Battery C",
--T68&gt;80,""
),"")</f>
        <v/>
      </c>
      <c r="W68" s="53" t="str" cm="1">
        <f t="array" ref="W68">IFERROR(_xlfn.IFS(
U68="","",
--U68&lt;55,"Battery Defect",
--U68&lt;=69,"Battery D",
--U68&lt;=80,"Battery C",
--U68&gt;80,""
),"")</f>
        <v/>
      </c>
      <c r="X68" s="53" t="str" cm="1">
        <f t="array" ref="X68:AE68">IFERROR(IF(_xlfn.XLOOKUP(B68,Input!J:J,Input!N:U)=0,"",
          _xlfn.XLOOKUP(B68,Input!J:J,Input!N:U)),"")</f>
        <v/>
      </c>
      <c r="Y68" s="53" t="str">
        <v/>
      </c>
      <c r="Z68" s="53" t="str">
        <v/>
      </c>
      <c r="AA68" s="53" t="str">
        <v/>
      </c>
      <c r="AB68" s="53" t="str">
        <v/>
      </c>
      <c r="AC68" s="53" t="str">
        <v/>
      </c>
      <c r="AD68" s="53" t="str">
        <v/>
      </c>
      <c r="AE68" s="53" t="str">
        <v/>
      </c>
      <c r="AF68" s="32" t="str">
        <f t="shared" si="5"/>
        <v/>
      </c>
      <c r="AG68" s="32" t="str">
        <f>_xlfn.XLOOKUP(B:B,Disk_Pivot!G:G,Disk_Pivot!I:I)</f>
        <v>Yes x2</v>
      </c>
      <c r="AH68" s="32" t="str">
        <f>_xlfn.XLOOKUP(B68,Disk_Pivot!G:G,Disk_Pivot!N:N)</f>
        <v>Pass, Fail</v>
      </c>
      <c r="AI68" s="32"/>
      <c r="AJ68" s="32"/>
      <c r="AK68" s="32"/>
      <c r="AL68" s="32"/>
      <c r="AM68" s="32"/>
      <c r="AN68" s="32"/>
    </row>
    <row r="69" spans="1:40">
      <c r="A69" s="32" t="str">
        <f>_xlfn.TEXTJOIN("",TRUE,_xlfn.XLOOKUP(B69,Input!J:J,Input!G:G,"",0,1),_xlfn.XLOOKUP(B69,Input!J:J,Input!H:H,"",0,1))</f>
        <v/>
      </c>
      <c r="B69" s="32"/>
      <c r="C69" s="53">
        <f>_xlfn.XLOOKUP(B69,Input!J:J,Input!F:F)</f>
        <v>0</v>
      </c>
      <c r="D69" s="32">
        <f>_xlfn.XLOOKUP(C69,Models!H:H,Models!G:G,C69)</f>
        <v>0</v>
      </c>
      <c r="E69" s="32"/>
      <c r="F69" s="32" t="str">
        <f>_xlfn.XLOOKUP(H69,Models!B:B,Models!F:F,"")</f>
        <v/>
      </c>
      <c r="G69" s="32">
        <f>_xlfn.XLOOKUP(B69,Input!J:J,Input!E:E)</f>
        <v>0</v>
      </c>
      <c r="H69" s="32">
        <f>IF(G69="LENOVO",_xlfn.XLOOKUP(B69,Input!J:J,Input!K:K),_xlfn.XLOOKUP(B69,Input!J:J,Input!L:L))</f>
        <v>0</v>
      </c>
      <c r="I69" s="32"/>
      <c r="J69" s="32"/>
      <c r="K69" s="32">
        <f>_xlfn.XLOOKUP(B69,CPU_Formula!A:A,CPU_Formula!I:I)</f>
        <v>0</v>
      </c>
      <c r="L69" s="53" t="e">
        <f>INDEX(Input!$D$2:$AC$500,
       MATCH(B69, Input!$J$2:$J$500, 0),
       MATCH("Memory Capacity", Input!$D$1:$AC$1, 0))</f>
        <v>#N/A</v>
      </c>
      <c r="M69" s="53" t="e">
        <f>INDEX(Input!$D$2:$AC$500,
       MATCH(B69, Input!$J$2:$J$500, 0),
       MATCH("Memory Type", Input!$D$1:$AC$1, 0))</f>
        <v>#N/A</v>
      </c>
      <c r="N69" s="53" t="e">
        <f t="shared" si="3"/>
        <v>#N/A</v>
      </c>
      <c r="O69" s="53" t="str" cm="1">
        <f t="array" ref="O69">IFERROR(_xlfn.FILTERXML("&lt;t&gt;&lt;s&gt;" &amp; SUBSTITUTE(M69," / ","&lt;/s&gt;&lt;s&gt;") &amp; "&lt;/s&gt;&lt;/t&gt;","(//s[contains(.,'DDR')])[1]"),"")</f>
        <v/>
      </c>
      <c r="P69" s="32" t="e">
        <f t="shared" si="4"/>
        <v>#N/A</v>
      </c>
      <c r="Q69" s="32" t="e">
        <f>INDEX(Input!$D$2:$AC$500,
       MATCH(B69, Input!$J$2:$J$500, 0),
       MATCH("Disk Capacity", Input!$D$1:$AC$1, 0))</f>
        <v>#N/A</v>
      </c>
      <c r="R69" s="32"/>
      <c r="S69" s="53" t="e">
        <f>_xlfn.LET(_xlpm.Result,INDEX(Input!$D$2:$AC$500,
       MATCH(B69, Input!$J$2:$J$500, 0),
       MATCH("Capacity", Input!$D$1:$AC$1, 0)),IF(_xlpm.Result="","",_xlpm.Result))</f>
        <v>#N/A</v>
      </c>
      <c r="T69" s="53" t="e" cm="1">
        <f t="array" ref="T69">_xlfn.TEXTSPLIT(S69," / ", ,TRUE,0,)</f>
        <v>#N/A</v>
      </c>
      <c r="U69" s="53"/>
      <c r="V69" s="53" t="str" cm="1">
        <f t="array" ref="V69">IFERROR(_xlfn.IFS(
T69="","",
--T69&lt;55,"Battery Defect",
--T69&lt;=69,"Battery D",
--T69&lt;=80,"Battery C",
--T69&gt;80,""
),"")</f>
        <v/>
      </c>
      <c r="W69" s="53" t="str" cm="1">
        <f t="array" ref="W69">IFERROR(_xlfn.IFS(
U69="","",
--U69&lt;55,"Battery Defect",
--U69&lt;=69,"Battery D",
--U69&lt;=80,"Battery C",
--U69&gt;80,""
),"")</f>
        <v/>
      </c>
      <c r="X69" s="53" t="str" cm="1">
        <f t="array" ref="X69:AE69">IFERROR(IF(_xlfn.XLOOKUP(B69,Input!J:J,Input!N:U)=0,"",
          _xlfn.XLOOKUP(B69,Input!J:J,Input!N:U)),"")</f>
        <v/>
      </c>
      <c r="Y69" s="53" t="str">
        <v/>
      </c>
      <c r="Z69" s="53" t="str">
        <v/>
      </c>
      <c r="AA69" s="53" t="str">
        <v/>
      </c>
      <c r="AB69" s="53" t="str">
        <v/>
      </c>
      <c r="AC69" s="53" t="str">
        <v/>
      </c>
      <c r="AD69" s="53" t="str">
        <v/>
      </c>
      <c r="AE69" s="53" t="str">
        <v/>
      </c>
      <c r="AF69" s="32" t="str">
        <f t="shared" si="5"/>
        <v/>
      </c>
      <c r="AG69" s="32" t="str">
        <f>_xlfn.XLOOKUP(B:B,Disk_Pivot!G:G,Disk_Pivot!I:I)</f>
        <v>Yes x2</v>
      </c>
      <c r="AH69" s="32" t="str">
        <f>_xlfn.XLOOKUP(B69,Disk_Pivot!G:G,Disk_Pivot!N:N)</f>
        <v>Pass, Fail</v>
      </c>
      <c r="AI69" s="32"/>
      <c r="AJ69" s="32"/>
      <c r="AK69" s="32"/>
      <c r="AL69" s="32"/>
      <c r="AM69" s="32"/>
      <c r="AN69" s="32"/>
    </row>
    <row r="70" spans="1:40">
      <c r="A70" s="32" t="str">
        <f>_xlfn.TEXTJOIN("",TRUE,_xlfn.XLOOKUP(B70,Input!J:J,Input!G:G,"",0,1),_xlfn.XLOOKUP(B70,Input!J:J,Input!H:H,"",0,1))</f>
        <v/>
      </c>
      <c r="B70" s="32"/>
      <c r="C70" s="53">
        <f>_xlfn.XLOOKUP(B70,Input!J:J,Input!F:F)</f>
        <v>0</v>
      </c>
      <c r="D70" s="32">
        <f>_xlfn.XLOOKUP(C70,Models!H:H,Models!G:G,C70)</f>
        <v>0</v>
      </c>
      <c r="E70" s="32"/>
      <c r="F70" s="32" t="str">
        <f>_xlfn.XLOOKUP(H70,Models!B:B,Models!F:F,"")</f>
        <v/>
      </c>
      <c r="G70" s="32">
        <f>_xlfn.XLOOKUP(B70,Input!J:J,Input!E:E)</f>
        <v>0</v>
      </c>
      <c r="H70" s="32">
        <f>IF(G70="LENOVO",_xlfn.XLOOKUP(B70,Input!J:J,Input!K:K),_xlfn.XLOOKUP(B70,Input!J:J,Input!L:L))</f>
        <v>0</v>
      </c>
      <c r="I70" s="32"/>
      <c r="J70" s="32"/>
      <c r="K70" s="32">
        <f>_xlfn.XLOOKUP(B70,CPU_Formula!A:A,CPU_Formula!I:I)</f>
        <v>0</v>
      </c>
      <c r="L70" s="53" t="e">
        <f>INDEX(Input!$D$2:$AC$500,
       MATCH(B70, Input!$J$2:$J$500, 0),
       MATCH("Memory Capacity", Input!$D$1:$AC$1, 0))</f>
        <v>#N/A</v>
      </c>
      <c r="M70" s="53" t="e">
        <f>INDEX(Input!$D$2:$AC$500,
       MATCH(B70, Input!$J$2:$J$500, 0),
       MATCH("Memory Type", Input!$D$1:$AC$1, 0))</f>
        <v>#N/A</v>
      </c>
      <c r="N70" s="53" t="e">
        <f t="shared" si="3"/>
        <v>#N/A</v>
      </c>
      <c r="O70" s="53" t="str" cm="1">
        <f t="array" ref="O70">IFERROR(_xlfn.FILTERXML("&lt;t&gt;&lt;s&gt;" &amp; SUBSTITUTE(M70," / ","&lt;/s&gt;&lt;s&gt;") &amp; "&lt;/s&gt;&lt;/t&gt;","(//s[contains(.,'DDR')])[1]"),"")</f>
        <v/>
      </c>
      <c r="P70" s="32" t="e">
        <f t="shared" si="4"/>
        <v>#N/A</v>
      </c>
      <c r="Q70" s="32" t="e">
        <f>INDEX(Input!$D$2:$AC$500,
       MATCH(B70, Input!$J$2:$J$500, 0),
       MATCH("Disk Capacity", Input!$D$1:$AC$1, 0))</f>
        <v>#N/A</v>
      </c>
      <c r="R70" s="32"/>
      <c r="S70" s="53" t="e">
        <f>_xlfn.LET(_xlpm.Result,INDEX(Input!$D$2:$AC$500,
       MATCH(B70, Input!$J$2:$J$500, 0),
       MATCH("Capacity", Input!$D$1:$AC$1, 0)),IF(_xlpm.Result="","",_xlpm.Result))</f>
        <v>#N/A</v>
      </c>
      <c r="T70" s="53" t="e" cm="1">
        <f t="array" ref="T70">_xlfn.TEXTSPLIT(S70," / ", ,TRUE,0,)</f>
        <v>#N/A</v>
      </c>
      <c r="U70" s="53"/>
      <c r="V70" s="53" t="str" cm="1">
        <f t="array" ref="V70">IFERROR(_xlfn.IFS(
T70="","",
--T70&lt;55,"Battery Defect",
--T70&lt;=69,"Battery D",
--T70&lt;=80,"Battery C",
--T70&gt;80,""
),"")</f>
        <v/>
      </c>
      <c r="W70" s="53" t="str" cm="1">
        <f t="array" ref="W70">IFERROR(_xlfn.IFS(
U70="","",
--U70&lt;55,"Battery Defect",
--U70&lt;=69,"Battery D",
--U70&lt;=80,"Battery C",
--U70&gt;80,""
),"")</f>
        <v/>
      </c>
      <c r="X70" s="53" t="str" cm="1">
        <f t="array" ref="X70:AE70">IFERROR(IF(_xlfn.XLOOKUP(B70,Input!J:J,Input!N:U)=0,"",
          _xlfn.XLOOKUP(B70,Input!J:J,Input!N:U)),"")</f>
        <v/>
      </c>
      <c r="Y70" s="53" t="str">
        <v/>
      </c>
      <c r="Z70" s="53" t="str">
        <v/>
      </c>
      <c r="AA70" s="53" t="str">
        <v/>
      </c>
      <c r="AB70" s="53" t="str">
        <v/>
      </c>
      <c r="AC70" s="53" t="str">
        <v/>
      </c>
      <c r="AD70" s="53" t="str">
        <v/>
      </c>
      <c r="AE70" s="53" t="str">
        <v/>
      </c>
      <c r="AF70" s="32" t="str">
        <f t="shared" si="5"/>
        <v/>
      </c>
      <c r="AG70" s="32" t="str">
        <f>_xlfn.XLOOKUP(B:B,Disk_Pivot!G:G,Disk_Pivot!I:I)</f>
        <v>Yes x2</v>
      </c>
      <c r="AH70" s="32" t="str">
        <f>_xlfn.XLOOKUP(B70,Disk_Pivot!G:G,Disk_Pivot!N:N)</f>
        <v>Pass, Fail</v>
      </c>
      <c r="AI70" s="32"/>
      <c r="AJ70" s="32"/>
      <c r="AK70" s="32"/>
      <c r="AL70" s="32"/>
      <c r="AM70" s="32"/>
      <c r="AN70" s="32"/>
    </row>
    <row r="71" spans="1:40">
      <c r="A71" s="32" t="str">
        <f>_xlfn.TEXTJOIN("",TRUE,_xlfn.XLOOKUP(B71,Input!J:J,Input!G:G,"",0,1),_xlfn.XLOOKUP(B71,Input!J:J,Input!H:H,"",0,1))</f>
        <v/>
      </c>
      <c r="B71" s="32"/>
      <c r="C71" s="53">
        <f>_xlfn.XLOOKUP(B71,Input!J:J,Input!F:F)</f>
        <v>0</v>
      </c>
      <c r="D71" s="32">
        <f>_xlfn.XLOOKUP(C71,Models!H:H,Models!G:G,C71)</f>
        <v>0</v>
      </c>
      <c r="E71" s="32"/>
      <c r="F71" s="32" t="str">
        <f>_xlfn.XLOOKUP(H71,Models!B:B,Models!F:F,"")</f>
        <v/>
      </c>
      <c r="G71" s="32">
        <f>_xlfn.XLOOKUP(B71,Input!J:J,Input!E:E)</f>
        <v>0</v>
      </c>
      <c r="H71" s="32">
        <f>IF(G71="LENOVO",_xlfn.XLOOKUP(B71,Input!J:J,Input!K:K),_xlfn.XLOOKUP(B71,Input!J:J,Input!L:L))</f>
        <v>0</v>
      </c>
      <c r="I71" s="32"/>
      <c r="J71" s="32"/>
      <c r="K71" s="32">
        <f>_xlfn.XLOOKUP(B71,CPU_Formula!A:A,CPU_Formula!I:I)</f>
        <v>0</v>
      </c>
      <c r="L71" s="53" t="e">
        <f>INDEX(Input!$D$2:$AC$500,
       MATCH(B71, Input!$J$2:$J$500, 0),
       MATCH("Memory Capacity", Input!$D$1:$AC$1, 0))</f>
        <v>#N/A</v>
      </c>
      <c r="M71" s="53" t="e">
        <f>INDEX(Input!$D$2:$AC$500,
       MATCH(B71, Input!$J$2:$J$500, 0),
       MATCH("Memory Type", Input!$D$1:$AC$1, 0))</f>
        <v>#N/A</v>
      </c>
      <c r="N71" s="53" t="e">
        <f t="shared" si="3"/>
        <v>#N/A</v>
      </c>
      <c r="O71" s="53" t="str" cm="1">
        <f t="array" ref="O71">IFERROR(_xlfn.FILTERXML("&lt;t&gt;&lt;s&gt;" &amp; SUBSTITUTE(M71," / ","&lt;/s&gt;&lt;s&gt;") &amp; "&lt;/s&gt;&lt;/t&gt;","(//s[contains(.,'DDR')])[1]"),"")</f>
        <v/>
      </c>
      <c r="P71" s="32" t="e">
        <f t="shared" si="4"/>
        <v>#N/A</v>
      </c>
      <c r="Q71" s="32" t="e">
        <f>INDEX(Input!$D$2:$AC$500,
       MATCH(B71, Input!$J$2:$J$500, 0),
       MATCH("Disk Capacity", Input!$D$1:$AC$1, 0))</f>
        <v>#N/A</v>
      </c>
      <c r="R71" s="32"/>
      <c r="S71" s="53" t="e">
        <f>_xlfn.LET(_xlpm.Result,INDEX(Input!$D$2:$AC$500,
       MATCH(B71, Input!$J$2:$J$500, 0),
       MATCH("Capacity", Input!$D$1:$AC$1, 0)),IF(_xlpm.Result="","",_xlpm.Result))</f>
        <v>#N/A</v>
      </c>
      <c r="T71" s="53" t="e" cm="1">
        <f t="array" ref="T71">_xlfn.TEXTSPLIT(S71," / ", ,TRUE,0,)</f>
        <v>#N/A</v>
      </c>
      <c r="U71" s="53"/>
      <c r="V71" s="53" t="str" cm="1">
        <f t="array" ref="V71">IFERROR(_xlfn.IFS(
T71="","",
--T71&lt;55,"Battery Defect",
--T71&lt;=69,"Battery D",
--T71&lt;=80,"Battery C",
--T71&gt;80,""
),"")</f>
        <v/>
      </c>
      <c r="W71" s="53" t="str" cm="1">
        <f t="array" ref="W71">IFERROR(_xlfn.IFS(
U71="","",
--U71&lt;55,"Battery Defect",
--U71&lt;=69,"Battery D",
--U71&lt;=80,"Battery C",
--U71&gt;80,""
),"")</f>
        <v/>
      </c>
      <c r="X71" s="53" t="str" cm="1">
        <f t="array" ref="X71:AE71">IFERROR(IF(_xlfn.XLOOKUP(B71,Input!J:J,Input!N:U)=0,"",
          _xlfn.XLOOKUP(B71,Input!J:J,Input!N:U)),"")</f>
        <v/>
      </c>
      <c r="Y71" s="53" t="str">
        <v/>
      </c>
      <c r="Z71" s="53" t="str">
        <v/>
      </c>
      <c r="AA71" s="53" t="str">
        <v/>
      </c>
      <c r="AB71" s="53" t="str">
        <v/>
      </c>
      <c r="AC71" s="53" t="str">
        <v/>
      </c>
      <c r="AD71" s="53" t="str">
        <v/>
      </c>
      <c r="AE71" s="53" t="str">
        <v/>
      </c>
      <c r="AF71" s="32" t="str">
        <f t="shared" si="5"/>
        <v/>
      </c>
      <c r="AG71" s="32" t="str">
        <f>_xlfn.XLOOKUP(B:B,Disk_Pivot!G:G,Disk_Pivot!I:I)</f>
        <v>Yes x2</v>
      </c>
      <c r="AH71" s="32" t="str">
        <f>_xlfn.XLOOKUP(B71,Disk_Pivot!G:G,Disk_Pivot!N:N)</f>
        <v>Pass, Fail</v>
      </c>
      <c r="AI71" s="32"/>
      <c r="AJ71" s="32"/>
      <c r="AK71" s="32"/>
      <c r="AL71" s="32"/>
      <c r="AM71" s="32"/>
      <c r="AN71" s="32"/>
    </row>
    <row r="72" spans="1:40">
      <c r="A72" s="32" t="str">
        <f>_xlfn.TEXTJOIN("",TRUE,_xlfn.XLOOKUP(B72,Input!J:J,Input!G:G,"",0,1),_xlfn.XLOOKUP(B72,Input!J:J,Input!H:H,"",0,1))</f>
        <v/>
      </c>
      <c r="B72" s="32"/>
      <c r="C72" s="53">
        <f>_xlfn.XLOOKUP(B72,Input!J:J,Input!F:F)</f>
        <v>0</v>
      </c>
      <c r="D72" s="32">
        <f>_xlfn.XLOOKUP(C72,Models!H:H,Models!G:G,C72)</f>
        <v>0</v>
      </c>
      <c r="E72" s="32"/>
      <c r="F72" s="32" t="str">
        <f>_xlfn.XLOOKUP(H72,Models!B:B,Models!F:F,"")</f>
        <v/>
      </c>
      <c r="G72" s="32">
        <f>_xlfn.XLOOKUP(B72,Input!J:J,Input!E:E)</f>
        <v>0</v>
      </c>
      <c r="H72" s="32">
        <f>IF(G72="LENOVO",_xlfn.XLOOKUP(B72,Input!J:J,Input!K:K),_xlfn.XLOOKUP(B72,Input!J:J,Input!L:L))</f>
        <v>0</v>
      </c>
      <c r="I72" s="32"/>
      <c r="J72" s="32"/>
      <c r="K72" s="32">
        <f>_xlfn.XLOOKUP(B72,CPU_Formula!A:A,CPU_Formula!I:I)</f>
        <v>0</v>
      </c>
      <c r="L72" s="53" t="e">
        <f>INDEX(Input!$D$2:$AC$500,
       MATCH(B72, Input!$J$2:$J$500, 0),
       MATCH("Memory Capacity", Input!$D$1:$AC$1, 0))</f>
        <v>#N/A</v>
      </c>
      <c r="M72" s="53" t="e">
        <f>INDEX(Input!$D$2:$AC$500,
       MATCH(B72, Input!$J$2:$J$500, 0),
       MATCH("Memory Type", Input!$D$1:$AC$1, 0))</f>
        <v>#N/A</v>
      </c>
      <c r="N72" s="53" t="e">
        <f t="shared" si="3"/>
        <v>#N/A</v>
      </c>
      <c r="O72" s="53" t="str" cm="1">
        <f t="array" ref="O72">IFERROR(_xlfn.FILTERXML("&lt;t&gt;&lt;s&gt;" &amp; SUBSTITUTE(M72," / ","&lt;/s&gt;&lt;s&gt;") &amp; "&lt;/s&gt;&lt;/t&gt;","(//s[contains(.,'DDR')])[1]"),"")</f>
        <v/>
      </c>
      <c r="P72" s="32" t="e">
        <f t="shared" si="4"/>
        <v>#N/A</v>
      </c>
      <c r="Q72" s="32" t="e">
        <f>INDEX(Input!$D$2:$AC$500,
       MATCH(B72, Input!$J$2:$J$500, 0),
       MATCH("Disk Capacity", Input!$D$1:$AC$1, 0))</f>
        <v>#N/A</v>
      </c>
      <c r="R72" s="32"/>
      <c r="S72" s="53" t="e">
        <f>_xlfn.LET(_xlpm.Result,INDEX(Input!$D$2:$AC$500,
       MATCH(B72, Input!$J$2:$J$500, 0),
       MATCH("Capacity", Input!$D$1:$AC$1, 0)),IF(_xlpm.Result="","",_xlpm.Result))</f>
        <v>#N/A</v>
      </c>
      <c r="T72" s="53" t="e" cm="1">
        <f t="array" ref="T72">_xlfn.TEXTSPLIT(S72," / ", ,TRUE,0,)</f>
        <v>#N/A</v>
      </c>
      <c r="U72" s="53"/>
      <c r="V72" s="53" t="str" cm="1">
        <f t="array" ref="V72">IFERROR(_xlfn.IFS(
T72="","",
--T72&lt;55,"Battery Defect",
--T72&lt;=69,"Battery D",
--T72&lt;=80,"Battery C",
--T72&gt;80,""
),"")</f>
        <v/>
      </c>
      <c r="W72" s="53" t="str" cm="1">
        <f t="array" ref="W72">IFERROR(_xlfn.IFS(
U72="","",
--U72&lt;55,"Battery Defect",
--U72&lt;=69,"Battery D",
--U72&lt;=80,"Battery C",
--U72&gt;80,""
),"")</f>
        <v/>
      </c>
      <c r="X72" s="53" t="str" cm="1">
        <f t="array" ref="X72:AE72">IFERROR(IF(_xlfn.XLOOKUP(B72,Input!J:J,Input!N:U)=0,"",
          _xlfn.XLOOKUP(B72,Input!J:J,Input!N:U)),"")</f>
        <v/>
      </c>
      <c r="Y72" s="53" t="str">
        <v/>
      </c>
      <c r="Z72" s="53" t="str">
        <v/>
      </c>
      <c r="AA72" s="53" t="str">
        <v/>
      </c>
      <c r="AB72" s="53" t="str">
        <v/>
      </c>
      <c r="AC72" s="53" t="str">
        <v/>
      </c>
      <c r="AD72" s="53" t="str">
        <v/>
      </c>
      <c r="AE72" s="53" t="str">
        <v/>
      </c>
      <c r="AF72" s="32" t="str">
        <f t="shared" si="5"/>
        <v/>
      </c>
      <c r="AG72" s="32" t="str">
        <f>_xlfn.XLOOKUP(B:B,Disk_Pivot!G:G,Disk_Pivot!I:I)</f>
        <v>Yes x2</v>
      </c>
      <c r="AH72" s="32" t="str">
        <f>_xlfn.XLOOKUP(B72,Disk_Pivot!G:G,Disk_Pivot!N:N)</f>
        <v>Pass, Fail</v>
      </c>
      <c r="AI72" s="32"/>
      <c r="AJ72" s="32"/>
      <c r="AK72" s="32"/>
      <c r="AL72" s="32"/>
      <c r="AM72" s="32"/>
      <c r="AN72" s="32"/>
    </row>
    <row r="73" spans="1:40">
      <c r="A73" s="32" t="str">
        <f>_xlfn.TEXTJOIN("",TRUE,_xlfn.XLOOKUP(B73,Input!J:J,Input!G:G,"",0,1),_xlfn.XLOOKUP(B73,Input!J:J,Input!H:H,"",0,1))</f>
        <v/>
      </c>
      <c r="B73" s="32"/>
      <c r="C73" s="53">
        <f>_xlfn.XLOOKUP(B73,Input!J:J,Input!F:F)</f>
        <v>0</v>
      </c>
      <c r="D73" s="32">
        <f>_xlfn.XLOOKUP(C73,Models!H:H,Models!G:G,C73)</f>
        <v>0</v>
      </c>
      <c r="E73" s="32"/>
      <c r="F73" s="32" t="str">
        <f>_xlfn.XLOOKUP(H73,Models!B:B,Models!F:F,"")</f>
        <v/>
      </c>
      <c r="G73" s="32">
        <f>_xlfn.XLOOKUP(B73,Input!J:J,Input!E:E)</f>
        <v>0</v>
      </c>
      <c r="H73" s="32">
        <f>IF(G73="LENOVO",_xlfn.XLOOKUP(B73,Input!J:J,Input!K:K),_xlfn.XLOOKUP(B73,Input!J:J,Input!L:L))</f>
        <v>0</v>
      </c>
      <c r="I73" s="32"/>
      <c r="J73" s="32"/>
      <c r="K73" s="32">
        <f>_xlfn.XLOOKUP(B73,CPU_Formula!A:A,CPU_Formula!I:I)</f>
        <v>0</v>
      </c>
      <c r="L73" s="53" t="e">
        <f>INDEX(Input!$D$2:$AC$500,
       MATCH(B73, Input!$J$2:$J$500, 0),
       MATCH("Memory Capacity", Input!$D$1:$AC$1, 0))</f>
        <v>#N/A</v>
      </c>
      <c r="M73" s="53" t="e">
        <f>INDEX(Input!$D$2:$AC$500,
       MATCH(B73, Input!$J$2:$J$500, 0),
       MATCH("Memory Type", Input!$D$1:$AC$1, 0))</f>
        <v>#N/A</v>
      </c>
      <c r="N73" s="53" t="e">
        <f t="shared" si="3"/>
        <v>#N/A</v>
      </c>
      <c r="O73" s="53" t="str" cm="1">
        <f t="array" ref="O73">IFERROR(_xlfn.FILTERXML("&lt;t&gt;&lt;s&gt;" &amp; SUBSTITUTE(M73," / ","&lt;/s&gt;&lt;s&gt;") &amp; "&lt;/s&gt;&lt;/t&gt;","(//s[contains(.,'DDR')])[1]"),"")</f>
        <v/>
      </c>
      <c r="P73" s="32" t="e">
        <f t="shared" si="4"/>
        <v>#N/A</v>
      </c>
      <c r="Q73" s="32" t="e">
        <f>INDEX(Input!$D$2:$AC$500,
       MATCH(B73, Input!$J$2:$J$500, 0),
       MATCH("Disk Capacity", Input!$D$1:$AC$1, 0))</f>
        <v>#N/A</v>
      </c>
      <c r="R73" s="32"/>
      <c r="S73" s="53" t="e">
        <f>_xlfn.LET(_xlpm.Result,INDEX(Input!$D$2:$AC$500,
       MATCH(B73, Input!$J$2:$J$500, 0),
       MATCH("Capacity", Input!$D$1:$AC$1, 0)),IF(_xlpm.Result="","",_xlpm.Result))</f>
        <v>#N/A</v>
      </c>
      <c r="T73" s="53" t="e" cm="1">
        <f t="array" ref="T73">_xlfn.TEXTSPLIT(S73," / ", ,TRUE,0,)</f>
        <v>#N/A</v>
      </c>
      <c r="U73" s="53"/>
      <c r="V73" s="53" t="str" cm="1">
        <f t="array" ref="V73">IFERROR(_xlfn.IFS(
T73="","",
--T73&lt;55,"Battery Defect",
--T73&lt;=69,"Battery D",
--T73&lt;=80,"Battery C",
--T73&gt;80,""
),"")</f>
        <v/>
      </c>
      <c r="W73" s="53" t="str" cm="1">
        <f t="array" ref="W73">IFERROR(_xlfn.IFS(
U73="","",
--U73&lt;55,"Battery Defect",
--U73&lt;=69,"Battery D",
--U73&lt;=80,"Battery C",
--U73&gt;80,""
),"")</f>
        <v/>
      </c>
      <c r="X73" s="53" t="str" cm="1">
        <f t="array" ref="X73:AE73">IFERROR(IF(_xlfn.XLOOKUP(B73,Input!J:J,Input!N:U)=0,"",
          _xlfn.XLOOKUP(B73,Input!J:J,Input!N:U)),"")</f>
        <v/>
      </c>
      <c r="Y73" s="53" t="str">
        <v/>
      </c>
      <c r="Z73" s="53" t="str">
        <v/>
      </c>
      <c r="AA73" s="53" t="str">
        <v/>
      </c>
      <c r="AB73" s="53" t="str">
        <v/>
      </c>
      <c r="AC73" s="53" t="str">
        <v/>
      </c>
      <c r="AD73" s="53" t="str">
        <v/>
      </c>
      <c r="AE73" s="53" t="str">
        <v/>
      </c>
      <c r="AF73" s="32" t="str">
        <f t="shared" si="5"/>
        <v/>
      </c>
      <c r="AG73" s="32" t="str">
        <f>_xlfn.XLOOKUP(B:B,Disk_Pivot!G:G,Disk_Pivot!I:I)</f>
        <v>Yes x2</v>
      </c>
      <c r="AH73" s="32" t="str">
        <f>_xlfn.XLOOKUP(B73,Disk_Pivot!G:G,Disk_Pivot!N:N)</f>
        <v>Pass, Fail</v>
      </c>
      <c r="AI73" s="32"/>
      <c r="AJ73" s="32"/>
      <c r="AK73" s="32"/>
      <c r="AL73" s="32"/>
      <c r="AM73" s="32"/>
      <c r="AN73" s="32"/>
    </row>
    <row r="74" spans="1:40">
      <c r="A74" s="32" t="str">
        <f>_xlfn.TEXTJOIN("",TRUE,_xlfn.XLOOKUP(B74,Input!J:J,Input!G:G,"",0,1),_xlfn.XLOOKUP(B74,Input!J:J,Input!H:H,"",0,1))</f>
        <v/>
      </c>
      <c r="B74" s="32"/>
      <c r="C74" s="53">
        <f>_xlfn.XLOOKUP(B74,Input!J:J,Input!F:F)</f>
        <v>0</v>
      </c>
      <c r="D74" s="32">
        <f>_xlfn.XLOOKUP(C74,Models!H:H,Models!G:G,C74)</f>
        <v>0</v>
      </c>
      <c r="E74" s="32"/>
      <c r="F74" s="32" t="str">
        <f>_xlfn.XLOOKUP(H74,Models!B:B,Models!F:F,"")</f>
        <v/>
      </c>
      <c r="G74" s="32">
        <f>_xlfn.XLOOKUP(B74,Input!J:J,Input!E:E)</f>
        <v>0</v>
      </c>
      <c r="H74" s="32">
        <f>IF(G74="LENOVO",_xlfn.XLOOKUP(B74,Input!J:J,Input!K:K),_xlfn.XLOOKUP(B74,Input!J:J,Input!L:L))</f>
        <v>0</v>
      </c>
      <c r="I74" s="32"/>
      <c r="J74" s="32"/>
      <c r="K74" s="32">
        <f>_xlfn.XLOOKUP(B74,CPU_Formula!A:A,CPU_Formula!I:I)</f>
        <v>0</v>
      </c>
      <c r="L74" s="53" t="e">
        <f>INDEX(Input!$D$2:$AC$500,
       MATCH(B74, Input!$J$2:$J$500, 0),
       MATCH("Memory Capacity", Input!$D$1:$AC$1, 0))</f>
        <v>#N/A</v>
      </c>
      <c r="M74" s="53" t="e">
        <f>INDEX(Input!$D$2:$AC$500,
       MATCH(B74, Input!$J$2:$J$500, 0),
       MATCH("Memory Type", Input!$D$1:$AC$1, 0))</f>
        <v>#N/A</v>
      </c>
      <c r="N74" s="53" t="e">
        <f t="shared" si="3"/>
        <v>#N/A</v>
      </c>
      <c r="O74" s="53" t="str" cm="1">
        <f t="array" ref="O74">IFERROR(_xlfn.FILTERXML("&lt;t&gt;&lt;s&gt;" &amp; SUBSTITUTE(M74," / ","&lt;/s&gt;&lt;s&gt;") &amp; "&lt;/s&gt;&lt;/t&gt;","(//s[contains(.,'DDR')])[1]"),"")</f>
        <v/>
      </c>
      <c r="P74" s="32" t="e">
        <f t="shared" si="4"/>
        <v>#N/A</v>
      </c>
      <c r="Q74" s="32" t="e">
        <f>INDEX(Input!$D$2:$AC$500,
       MATCH(B74, Input!$J$2:$J$500, 0),
       MATCH("Disk Capacity", Input!$D$1:$AC$1, 0))</f>
        <v>#N/A</v>
      </c>
      <c r="R74" s="32"/>
      <c r="S74" s="53" t="e">
        <f>_xlfn.LET(_xlpm.Result,INDEX(Input!$D$2:$AC$500,
       MATCH(B74, Input!$J$2:$J$500, 0),
       MATCH("Capacity", Input!$D$1:$AC$1, 0)),IF(_xlpm.Result="","",_xlpm.Result))</f>
        <v>#N/A</v>
      </c>
      <c r="T74" s="53" t="e" cm="1">
        <f t="array" ref="T74">_xlfn.TEXTSPLIT(S74," / ", ,TRUE,0,)</f>
        <v>#N/A</v>
      </c>
      <c r="U74" s="53"/>
      <c r="V74" s="53" t="str" cm="1">
        <f t="array" ref="V74">IFERROR(_xlfn.IFS(
T74="","",
--T74&lt;55,"Battery Defect",
--T74&lt;=69,"Battery D",
--T74&lt;=80,"Battery C",
--T74&gt;80,""
),"")</f>
        <v/>
      </c>
      <c r="W74" s="53" t="str" cm="1">
        <f t="array" ref="W74">IFERROR(_xlfn.IFS(
U74="","",
--U74&lt;55,"Battery Defect",
--U74&lt;=69,"Battery D",
--U74&lt;=80,"Battery C",
--U74&gt;80,""
),"")</f>
        <v/>
      </c>
      <c r="X74" s="53" t="str" cm="1">
        <f t="array" ref="X74:AE74">IFERROR(IF(_xlfn.XLOOKUP(B74,Input!J:J,Input!N:U)=0,"",
          _xlfn.XLOOKUP(B74,Input!J:J,Input!N:U)),"")</f>
        <v/>
      </c>
      <c r="Y74" s="53" t="str">
        <v/>
      </c>
      <c r="Z74" s="53" t="str">
        <v/>
      </c>
      <c r="AA74" s="53" t="str">
        <v/>
      </c>
      <c r="AB74" s="53" t="str">
        <v/>
      </c>
      <c r="AC74" s="53" t="str">
        <v/>
      </c>
      <c r="AD74" s="53" t="str">
        <v/>
      </c>
      <c r="AE74" s="53" t="str">
        <v/>
      </c>
      <c r="AF74" s="32" t="str">
        <f t="shared" si="5"/>
        <v/>
      </c>
      <c r="AG74" s="32" t="str">
        <f>_xlfn.XLOOKUP(B:B,Disk_Pivot!G:G,Disk_Pivot!I:I)</f>
        <v>Yes x2</v>
      </c>
      <c r="AH74" s="32" t="str">
        <f>_xlfn.XLOOKUP(B74,Disk_Pivot!G:G,Disk_Pivot!N:N)</f>
        <v>Pass, Fail</v>
      </c>
      <c r="AI74" s="32"/>
      <c r="AJ74" s="32"/>
      <c r="AK74" s="32"/>
      <c r="AL74" s="32"/>
      <c r="AM74" s="32"/>
      <c r="AN74" s="32"/>
    </row>
    <row r="75" spans="1:40">
      <c r="A75" s="32" t="str">
        <f>_xlfn.TEXTJOIN("",TRUE,_xlfn.XLOOKUP(B75,Input!J:J,Input!G:G,"",0,1),_xlfn.XLOOKUP(B75,Input!J:J,Input!H:H,"",0,1))</f>
        <v/>
      </c>
      <c r="B75" s="32"/>
      <c r="C75" s="53">
        <f>_xlfn.XLOOKUP(B75,Input!J:J,Input!F:F)</f>
        <v>0</v>
      </c>
      <c r="D75" s="32">
        <f>_xlfn.XLOOKUP(C75,Models!H:H,Models!G:G,C75)</f>
        <v>0</v>
      </c>
      <c r="E75" s="32"/>
      <c r="F75" s="32" t="str">
        <f>_xlfn.XLOOKUP(H75,Models!B:B,Models!F:F,"")</f>
        <v/>
      </c>
      <c r="G75" s="32">
        <f>_xlfn.XLOOKUP(B75,Input!J:J,Input!E:E)</f>
        <v>0</v>
      </c>
      <c r="H75" s="32">
        <f>IF(G75="LENOVO",_xlfn.XLOOKUP(B75,Input!J:J,Input!K:K),_xlfn.XLOOKUP(B75,Input!J:J,Input!L:L))</f>
        <v>0</v>
      </c>
      <c r="I75" s="32"/>
      <c r="J75" s="32"/>
      <c r="K75" s="32">
        <f>_xlfn.XLOOKUP(B75,CPU_Formula!A:A,CPU_Formula!I:I)</f>
        <v>0</v>
      </c>
      <c r="L75" s="53" t="e">
        <f>INDEX(Input!$D$2:$AC$500,
       MATCH(B75, Input!$J$2:$J$500, 0),
       MATCH("Memory Capacity", Input!$D$1:$AC$1, 0))</f>
        <v>#N/A</v>
      </c>
      <c r="M75" s="53" t="e">
        <f>INDEX(Input!$D$2:$AC$500,
       MATCH(B75, Input!$J$2:$J$500, 0),
       MATCH("Memory Type", Input!$D$1:$AC$1, 0))</f>
        <v>#N/A</v>
      </c>
      <c r="N75" s="53" t="e">
        <f t="shared" si="3"/>
        <v>#N/A</v>
      </c>
      <c r="O75" s="53" t="str" cm="1">
        <f t="array" ref="O75">IFERROR(_xlfn.FILTERXML("&lt;t&gt;&lt;s&gt;" &amp; SUBSTITUTE(M75," / ","&lt;/s&gt;&lt;s&gt;") &amp; "&lt;/s&gt;&lt;/t&gt;","(//s[contains(.,'DDR')])[1]"),"")</f>
        <v/>
      </c>
      <c r="P75" s="32" t="e">
        <f t="shared" si="4"/>
        <v>#N/A</v>
      </c>
      <c r="Q75" s="32" t="e">
        <f>INDEX(Input!$D$2:$AC$500,
       MATCH(B75, Input!$J$2:$J$500, 0),
       MATCH("Disk Capacity", Input!$D$1:$AC$1, 0))</f>
        <v>#N/A</v>
      </c>
      <c r="R75" s="32"/>
      <c r="S75" s="53" t="e">
        <f>_xlfn.LET(_xlpm.Result,INDEX(Input!$D$2:$AC$500,
       MATCH(B75, Input!$J$2:$J$500, 0),
       MATCH("Capacity", Input!$D$1:$AC$1, 0)),IF(_xlpm.Result="","",_xlpm.Result))</f>
        <v>#N/A</v>
      </c>
      <c r="T75" s="53" t="e" cm="1">
        <f t="array" ref="T75">_xlfn.TEXTSPLIT(S75," / ", ,TRUE,0,)</f>
        <v>#N/A</v>
      </c>
      <c r="U75" s="53"/>
      <c r="V75" s="53" t="str" cm="1">
        <f t="array" ref="V75">IFERROR(_xlfn.IFS(
T75="","",
--T75&lt;55,"Battery Defect",
--T75&lt;=69,"Battery D",
--T75&lt;=80,"Battery C",
--T75&gt;80,""
),"")</f>
        <v/>
      </c>
      <c r="W75" s="53" t="str" cm="1">
        <f t="array" ref="W75">IFERROR(_xlfn.IFS(
U75="","",
--U75&lt;55,"Battery Defect",
--U75&lt;=69,"Battery D",
--U75&lt;=80,"Battery C",
--U75&gt;80,""
),"")</f>
        <v/>
      </c>
      <c r="X75" s="53" t="str" cm="1">
        <f t="array" ref="X75:AE75">IFERROR(IF(_xlfn.XLOOKUP(B75,Input!J:J,Input!N:U)=0,"",
          _xlfn.XLOOKUP(B75,Input!J:J,Input!N:U)),"")</f>
        <v/>
      </c>
      <c r="Y75" s="53" t="str">
        <v/>
      </c>
      <c r="Z75" s="53" t="str">
        <v/>
      </c>
      <c r="AA75" s="53" t="str">
        <v/>
      </c>
      <c r="AB75" s="53" t="str">
        <v/>
      </c>
      <c r="AC75" s="53" t="str">
        <v/>
      </c>
      <c r="AD75" s="53" t="str">
        <v/>
      </c>
      <c r="AE75" s="53" t="str">
        <v/>
      </c>
      <c r="AF75" s="32" t="str">
        <f t="shared" si="5"/>
        <v/>
      </c>
      <c r="AG75" s="32" t="str">
        <f>_xlfn.XLOOKUP(B:B,Disk_Pivot!G:G,Disk_Pivot!I:I)</f>
        <v>Yes x2</v>
      </c>
      <c r="AH75" s="32" t="str">
        <f>_xlfn.XLOOKUP(B75,Disk_Pivot!G:G,Disk_Pivot!N:N)</f>
        <v>Pass, Fail</v>
      </c>
      <c r="AI75" s="32"/>
      <c r="AJ75" s="32"/>
      <c r="AK75" s="32"/>
      <c r="AL75" s="32"/>
      <c r="AM75" s="32"/>
      <c r="AN75" s="32"/>
    </row>
    <row r="76" spans="1:40">
      <c r="A76" s="32" t="str">
        <f>_xlfn.TEXTJOIN("",TRUE,_xlfn.XLOOKUP(B76,Input!J:J,Input!G:G,"",0,1),_xlfn.XLOOKUP(B76,Input!J:J,Input!H:H,"",0,1))</f>
        <v/>
      </c>
      <c r="B76" s="32"/>
      <c r="C76" s="53">
        <f>_xlfn.XLOOKUP(B76,Input!J:J,Input!F:F)</f>
        <v>0</v>
      </c>
      <c r="D76" s="32">
        <f>_xlfn.XLOOKUP(C76,Models!H:H,Models!G:G,C76)</f>
        <v>0</v>
      </c>
      <c r="E76" s="32"/>
      <c r="F76" s="32" t="str">
        <f>_xlfn.XLOOKUP(H76,Models!B:B,Models!F:F,"")</f>
        <v/>
      </c>
      <c r="G76" s="32">
        <f>_xlfn.XLOOKUP(B76,Input!J:J,Input!E:E)</f>
        <v>0</v>
      </c>
      <c r="H76" s="32">
        <f>IF(G76="LENOVO",_xlfn.XLOOKUP(B76,Input!J:J,Input!K:K),_xlfn.XLOOKUP(B76,Input!J:J,Input!L:L))</f>
        <v>0</v>
      </c>
      <c r="I76" s="32"/>
      <c r="J76" s="32"/>
      <c r="K76" s="32">
        <f>_xlfn.XLOOKUP(B76,CPU_Formula!A:A,CPU_Formula!I:I)</f>
        <v>0</v>
      </c>
      <c r="L76" s="53" t="e">
        <f>INDEX(Input!$D$2:$AC$500,
       MATCH(B76, Input!$J$2:$J$500, 0),
       MATCH("Memory Capacity", Input!$D$1:$AC$1, 0))</f>
        <v>#N/A</v>
      </c>
      <c r="M76" s="53" t="e">
        <f>INDEX(Input!$D$2:$AC$500,
       MATCH(B76, Input!$J$2:$J$500, 0),
       MATCH("Memory Type", Input!$D$1:$AC$1, 0))</f>
        <v>#N/A</v>
      </c>
      <c r="N76" s="53" t="e">
        <f t="shared" si="3"/>
        <v>#N/A</v>
      </c>
      <c r="O76" s="53" t="str" cm="1">
        <f t="array" ref="O76">IFERROR(_xlfn.FILTERXML("&lt;t&gt;&lt;s&gt;" &amp; SUBSTITUTE(M76," / ","&lt;/s&gt;&lt;s&gt;") &amp; "&lt;/s&gt;&lt;/t&gt;","(//s[contains(.,'DDR')])[1]"),"")</f>
        <v/>
      </c>
      <c r="P76" s="32" t="e">
        <f t="shared" si="4"/>
        <v>#N/A</v>
      </c>
      <c r="Q76" s="32" t="e">
        <f>INDEX(Input!$D$2:$AC$500,
       MATCH(B76, Input!$J$2:$J$500, 0),
       MATCH("Disk Capacity", Input!$D$1:$AC$1, 0))</f>
        <v>#N/A</v>
      </c>
      <c r="R76" s="32"/>
      <c r="S76" s="53" t="e">
        <f>_xlfn.LET(_xlpm.Result,INDEX(Input!$D$2:$AC$500,
       MATCH(B76, Input!$J$2:$J$500, 0),
       MATCH("Capacity", Input!$D$1:$AC$1, 0)),IF(_xlpm.Result="","",_xlpm.Result))</f>
        <v>#N/A</v>
      </c>
      <c r="T76" s="53" t="e" cm="1">
        <f t="array" ref="T76">_xlfn.TEXTSPLIT(S76," / ", ,TRUE,0,)</f>
        <v>#N/A</v>
      </c>
      <c r="U76" s="53"/>
      <c r="V76" s="53" t="str" cm="1">
        <f t="array" ref="V76">IFERROR(_xlfn.IFS(
T76="","",
--T76&lt;55,"Battery Defect",
--T76&lt;=69,"Battery D",
--T76&lt;=80,"Battery C",
--T76&gt;80,""
),"")</f>
        <v/>
      </c>
      <c r="W76" s="53" t="str" cm="1">
        <f t="array" ref="W76">IFERROR(_xlfn.IFS(
U76="","",
--U76&lt;55,"Battery Defect",
--U76&lt;=69,"Battery D",
--U76&lt;=80,"Battery C",
--U76&gt;80,""
),"")</f>
        <v/>
      </c>
      <c r="X76" s="53" t="str" cm="1">
        <f t="array" ref="X76:AE76">IFERROR(IF(_xlfn.XLOOKUP(B76,Input!J:J,Input!N:U)=0,"",
          _xlfn.XLOOKUP(B76,Input!J:J,Input!N:U)),"")</f>
        <v/>
      </c>
      <c r="Y76" s="53" t="str">
        <v/>
      </c>
      <c r="Z76" s="53" t="str">
        <v/>
      </c>
      <c r="AA76" s="53" t="str">
        <v/>
      </c>
      <c r="AB76" s="53" t="str">
        <v/>
      </c>
      <c r="AC76" s="53" t="str">
        <v/>
      </c>
      <c r="AD76" s="53" t="str">
        <v/>
      </c>
      <c r="AE76" s="53" t="str">
        <v/>
      </c>
      <c r="AF76" s="32" t="str">
        <f t="shared" si="5"/>
        <v/>
      </c>
      <c r="AG76" s="32" t="str">
        <f>_xlfn.XLOOKUP(B:B,Disk_Pivot!G:G,Disk_Pivot!I:I)</f>
        <v>Yes x2</v>
      </c>
      <c r="AH76" s="32" t="str">
        <f>_xlfn.XLOOKUP(B76,Disk_Pivot!G:G,Disk_Pivot!N:N)</f>
        <v>Pass, Fail</v>
      </c>
      <c r="AI76" s="32"/>
      <c r="AJ76" s="32"/>
      <c r="AK76" s="32"/>
      <c r="AL76" s="32"/>
      <c r="AM76" s="32"/>
      <c r="AN76" s="32"/>
    </row>
    <row r="77" spans="1:40">
      <c r="A77" s="32" t="str">
        <f>_xlfn.TEXTJOIN("",TRUE,_xlfn.XLOOKUP(B77,Input!J:J,Input!G:G,"",0,1),_xlfn.XLOOKUP(B77,Input!J:J,Input!H:H,"",0,1))</f>
        <v/>
      </c>
      <c r="B77" s="32"/>
      <c r="C77" s="53">
        <f>_xlfn.XLOOKUP(B77,Input!J:J,Input!F:F)</f>
        <v>0</v>
      </c>
      <c r="D77" s="32">
        <f>_xlfn.XLOOKUP(C77,Models!H:H,Models!G:G,C77)</f>
        <v>0</v>
      </c>
      <c r="E77" s="32"/>
      <c r="F77" s="32" t="str">
        <f>_xlfn.XLOOKUP(H77,Models!B:B,Models!F:F,"")</f>
        <v/>
      </c>
      <c r="G77" s="32">
        <f>_xlfn.XLOOKUP(B77,Input!J:J,Input!E:E)</f>
        <v>0</v>
      </c>
      <c r="H77" s="32">
        <f>IF(G77="LENOVO",_xlfn.XLOOKUP(B77,Input!J:J,Input!K:K),_xlfn.XLOOKUP(B77,Input!J:J,Input!L:L))</f>
        <v>0</v>
      </c>
      <c r="I77" s="32"/>
      <c r="J77" s="32"/>
      <c r="K77" s="32">
        <f>_xlfn.XLOOKUP(B77,CPU_Formula!A:A,CPU_Formula!I:I)</f>
        <v>0</v>
      </c>
      <c r="L77" s="53" t="e">
        <f>INDEX(Input!$D$2:$AC$500,
       MATCH(B77, Input!$J$2:$J$500, 0),
       MATCH("Memory Capacity", Input!$D$1:$AC$1, 0))</f>
        <v>#N/A</v>
      </c>
      <c r="M77" s="53" t="e">
        <f>INDEX(Input!$D$2:$AC$500,
       MATCH(B77, Input!$J$2:$J$500, 0),
       MATCH("Memory Type", Input!$D$1:$AC$1, 0))</f>
        <v>#N/A</v>
      </c>
      <c r="N77" s="53" t="e">
        <f t="shared" si="3"/>
        <v>#N/A</v>
      </c>
      <c r="O77" s="53" t="str" cm="1">
        <f t="array" ref="O77">IFERROR(_xlfn.FILTERXML("&lt;t&gt;&lt;s&gt;" &amp; SUBSTITUTE(M77," / ","&lt;/s&gt;&lt;s&gt;") &amp; "&lt;/s&gt;&lt;/t&gt;","(//s[contains(.,'DDR')])[1]"),"")</f>
        <v/>
      </c>
      <c r="P77" s="32" t="e">
        <f t="shared" si="4"/>
        <v>#N/A</v>
      </c>
      <c r="Q77" s="32" t="e">
        <f>INDEX(Input!$D$2:$AC$500,
       MATCH(B77, Input!$J$2:$J$500, 0),
       MATCH("Disk Capacity", Input!$D$1:$AC$1, 0))</f>
        <v>#N/A</v>
      </c>
      <c r="R77" s="32"/>
      <c r="S77" s="53" t="e">
        <f>_xlfn.LET(_xlpm.Result,INDEX(Input!$D$2:$AC$500,
       MATCH(B77, Input!$J$2:$J$500, 0),
       MATCH("Capacity", Input!$D$1:$AC$1, 0)),IF(_xlpm.Result="","",_xlpm.Result))</f>
        <v>#N/A</v>
      </c>
      <c r="T77" s="53" t="e" cm="1">
        <f t="array" ref="T77">_xlfn.TEXTSPLIT(S77," / ", ,TRUE,0,)</f>
        <v>#N/A</v>
      </c>
      <c r="U77" s="53"/>
      <c r="V77" s="53" t="str" cm="1">
        <f t="array" ref="V77">IFERROR(_xlfn.IFS(
T77="","",
--T77&lt;55,"Battery Defect",
--T77&lt;=69,"Battery D",
--T77&lt;=80,"Battery C",
--T77&gt;80,""
),"")</f>
        <v/>
      </c>
      <c r="W77" s="53" t="str" cm="1">
        <f t="array" ref="W77">IFERROR(_xlfn.IFS(
U77="","",
--U77&lt;55,"Battery Defect",
--U77&lt;=69,"Battery D",
--U77&lt;=80,"Battery C",
--U77&gt;80,""
),"")</f>
        <v/>
      </c>
      <c r="X77" s="53" t="str" cm="1">
        <f t="array" ref="X77:AE77">IFERROR(IF(_xlfn.XLOOKUP(B77,Input!J:J,Input!N:U)=0,"",
          _xlfn.XLOOKUP(B77,Input!J:J,Input!N:U)),"")</f>
        <v/>
      </c>
      <c r="Y77" s="53" t="str">
        <v/>
      </c>
      <c r="Z77" s="53" t="str">
        <v/>
      </c>
      <c r="AA77" s="53" t="str">
        <v/>
      </c>
      <c r="AB77" s="53" t="str">
        <v/>
      </c>
      <c r="AC77" s="53" t="str">
        <v/>
      </c>
      <c r="AD77" s="53" t="str">
        <v/>
      </c>
      <c r="AE77" s="53" t="str">
        <v/>
      </c>
      <c r="AF77" s="32" t="str">
        <f t="shared" si="5"/>
        <v/>
      </c>
      <c r="AG77" s="32" t="str">
        <f>_xlfn.XLOOKUP(B:B,Disk_Pivot!G:G,Disk_Pivot!I:I)</f>
        <v>Yes x2</v>
      </c>
      <c r="AH77" s="32" t="str">
        <f>_xlfn.XLOOKUP(B77,Disk_Pivot!G:G,Disk_Pivot!N:N)</f>
        <v>Pass, Fail</v>
      </c>
      <c r="AI77" s="32"/>
      <c r="AJ77" s="32"/>
      <c r="AK77" s="32"/>
      <c r="AL77" s="32"/>
      <c r="AM77" s="32"/>
      <c r="AN77" s="32"/>
    </row>
    <row r="78" spans="1:40">
      <c r="A78" s="32" t="str">
        <f>_xlfn.TEXTJOIN("",TRUE,_xlfn.XLOOKUP(B78,Input!J:J,Input!G:G,"",0,1),_xlfn.XLOOKUP(B78,Input!J:J,Input!H:H,"",0,1))</f>
        <v/>
      </c>
      <c r="B78" s="32"/>
      <c r="C78" s="53">
        <f>_xlfn.XLOOKUP(B78,Input!J:J,Input!F:F)</f>
        <v>0</v>
      </c>
      <c r="D78" s="32">
        <f>_xlfn.XLOOKUP(C78,Models!H:H,Models!G:G,C78)</f>
        <v>0</v>
      </c>
      <c r="E78" s="32"/>
      <c r="F78" s="32" t="str">
        <f>_xlfn.XLOOKUP(H78,Models!B:B,Models!F:F,"")</f>
        <v/>
      </c>
      <c r="G78" s="32">
        <f>_xlfn.XLOOKUP(B78,Input!J:J,Input!E:E)</f>
        <v>0</v>
      </c>
      <c r="H78" s="32">
        <f>IF(G78="LENOVO",_xlfn.XLOOKUP(B78,Input!J:J,Input!K:K),_xlfn.XLOOKUP(B78,Input!J:J,Input!L:L))</f>
        <v>0</v>
      </c>
      <c r="I78" s="32"/>
      <c r="J78" s="32"/>
      <c r="K78" s="32">
        <f>_xlfn.XLOOKUP(B78,CPU_Formula!A:A,CPU_Formula!I:I)</f>
        <v>0</v>
      </c>
      <c r="L78" s="53" t="e">
        <f>INDEX(Input!$D$2:$AC$500,
       MATCH(B78, Input!$J$2:$J$500, 0),
       MATCH("Memory Capacity", Input!$D$1:$AC$1, 0))</f>
        <v>#N/A</v>
      </c>
      <c r="M78" s="53" t="e">
        <f>INDEX(Input!$D$2:$AC$500,
       MATCH(B78, Input!$J$2:$J$500, 0),
       MATCH("Memory Type", Input!$D$1:$AC$1, 0))</f>
        <v>#N/A</v>
      </c>
      <c r="N78" s="53" t="e">
        <f t="shared" si="3"/>
        <v>#N/A</v>
      </c>
      <c r="O78" s="53" t="str" cm="1">
        <f t="array" ref="O78">IFERROR(_xlfn.FILTERXML("&lt;t&gt;&lt;s&gt;" &amp; SUBSTITUTE(M78," / ","&lt;/s&gt;&lt;s&gt;") &amp; "&lt;/s&gt;&lt;/t&gt;","(//s[contains(.,'DDR')])[1]"),"")</f>
        <v/>
      </c>
      <c r="P78" s="32" t="e">
        <f t="shared" si="4"/>
        <v>#N/A</v>
      </c>
      <c r="Q78" s="32" t="e">
        <f>INDEX(Input!$D$2:$AC$500,
       MATCH(B78, Input!$J$2:$J$500, 0),
       MATCH("Disk Capacity", Input!$D$1:$AC$1, 0))</f>
        <v>#N/A</v>
      </c>
      <c r="R78" s="32"/>
      <c r="S78" s="53" t="e">
        <f>_xlfn.LET(_xlpm.Result,INDEX(Input!$D$2:$AC$500,
       MATCH(B78, Input!$J$2:$J$500, 0),
       MATCH("Capacity", Input!$D$1:$AC$1, 0)),IF(_xlpm.Result="","",_xlpm.Result))</f>
        <v>#N/A</v>
      </c>
      <c r="T78" s="53" t="e" cm="1">
        <f t="array" ref="T78">_xlfn.TEXTSPLIT(S78," / ", ,TRUE,0,)</f>
        <v>#N/A</v>
      </c>
      <c r="U78" s="53"/>
      <c r="V78" s="53" t="str" cm="1">
        <f t="array" ref="V78">IFERROR(_xlfn.IFS(
T78="","",
--T78&lt;55,"Battery Defect",
--T78&lt;=69,"Battery D",
--T78&lt;=80,"Battery C",
--T78&gt;80,""
),"")</f>
        <v/>
      </c>
      <c r="W78" s="53" t="str" cm="1">
        <f t="array" ref="W78">IFERROR(_xlfn.IFS(
U78="","",
--U78&lt;55,"Battery Defect",
--U78&lt;=69,"Battery D",
--U78&lt;=80,"Battery C",
--U78&gt;80,""
),"")</f>
        <v/>
      </c>
      <c r="X78" s="53" t="str" cm="1">
        <f t="array" ref="X78:AE78">IFERROR(IF(_xlfn.XLOOKUP(B78,Input!J:J,Input!N:U)=0,"",
          _xlfn.XLOOKUP(B78,Input!J:J,Input!N:U)),"")</f>
        <v/>
      </c>
      <c r="Y78" s="53" t="str">
        <v/>
      </c>
      <c r="Z78" s="53" t="str">
        <v/>
      </c>
      <c r="AA78" s="53" t="str">
        <v/>
      </c>
      <c r="AB78" s="53" t="str">
        <v/>
      </c>
      <c r="AC78" s="53" t="str">
        <v/>
      </c>
      <c r="AD78" s="53" t="str">
        <v/>
      </c>
      <c r="AE78" s="53" t="str">
        <v/>
      </c>
      <c r="AF78" s="32" t="str">
        <f t="shared" si="5"/>
        <v/>
      </c>
      <c r="AG78" s="32" t="str">
        <f>_xlfn.XLOOKUP(B:B,Disk_Pivot!G:G,Disk_Pivot!I:I)</f>
        <v>Yes x2</v>
      </c>
      <c r="AH78" s="32" t="str">
        <f>_xlfn.XLOOKUP(B78,Disk_Pivot!G:G,Disk_Pivot!N:N)</f>
        <v>Pass, Fail</v>
      </c>
      <c r="AI78" s="32"/>
      <c r="AJ78" s="32"/>
      <c r="AK78" s="32"/>
      <c r="AL78" s="32"/>
      <c r="AM78" s="32"/>
      <c r="AN78" s="32"/>
    </row>
    <row r="79" spans="1:40">
      <c r="A79" s="32" t="str">
        <f>_xlfn.TEXTJOIN("",TRUE,_xlfn.XLOOKUP(B79,Input!J:J,Input!G:G,"",0,1),_xlfn.XLOOKUP(B79,Input!J:J,Input!H:H,"",0,1))</f>
        <v/>
      </c>
      <c r="B79" s="32"/>
      <c r="C79" s="53">
        <f>_xlfn.XLOOKUP(B79,Input!J:J,Input!F:F)</f>
        <v>0</v>
      </c>
      <c r="D79" s="32">
        <f>_xlfn.XLOOKUP(C79,Models!H:H,Models!G:G,C79)</f>
        <v>0</v>
      </c>
      <c r="E79" s="32"/>
      <c r="F79" s="32" t="str">
        <f>_xlfn.XLOOKUP(H79,Models!B:B,Models!F:F,"")</f>
        <v/>
      </c>
      <c r="G79" s="32">
        <f>_xlfn.XLOOKUP(B79,Input!J:J,Input!E:E)</f>
        <v>0</v>
      </c>
      <c r="H79" s="32">
        <f>IF(G79="LENOVO",_xlfn.XLOOKUP(B79,Input!J:J,Input!K:K),_xlfn.XLOOKUP(B79,Input!J:J,Input!L:L))</f>
        <v>0</v>
      </c>
      <c r="I79" s="32"/>
      <c r="J79" s="32"/>
      <c r="K79" s="32">
        <f>_xlfn.XLOOKUP(B79,CPU_Formula!A:A,CPU_Formula!I:I)</f>
        <v>0</v>
      </c>
      <c r="L79" s="53" t="e">
        <f>INDEX(Input!$D$2:$AC$500,
       MATCH(B79, Input!$J$2:$J$500, 0),
       MATCH("Memory Capacity", Input!$D$1:$AC$1, 0))</f>
        <v>#N/A</v>
      </c>
      <c r="M79" s="53" t="e">
        <f>INDEX(Input!$D$2:$AC$500,
       MATCH(B79, Input!$J$2:$J$500, 0),
       MATCH("Memory Type", Input!$D$1:$AC$1, 0))</f>
        <v>#N/A</v>
      </c>
      <c r="N79" s="53" t="e">
        <f t="shared" si="3"/>
        <v>#N/A</v>
      </c>
      <c r="O79" s="53" t="str" cm="1">
        <f t="array" ref="O79">IFERROR(_xlfn.FILTERXML("&lt;t&gt;&lt;s&gt;" &amp; SUBSTITUTE(M79," / ","&lt;/s&gt;&lt;s&gt;") &amp; "&lt;/s&gt;&lt;/t&gt;","(//s[contains(.,'DDR')])[1]"),"")</f>
        <v/>
      </c>
      <c r="P79" s="32" t="e">
        <f t="shared" si="4"/>
        <v>#N/A</v>
      </c>
      <c r="Q79" s="32" t="e">
        <f>INDEX(Input!$D$2:$AC$500,
       MATCH(B79, Input!$J$2:$J$500, 0),
       MATCH("Disk Capacity", Input!$D$1:$AC$1, 0))</f>
        <v>#N/A</v>
      </c>
      <c r="R79" s="32"/>
      <c r="S79" s="53" t="e">
        <f>_xlfn.LET(_xlpm.Result,INDEX(Input!$D$2:$AC$500,
       MATCH(B79, Input!$J$2:$J$500, 0),
       MATCH("Capacity", Input!$D$1:$AC$1, 0)),IF(_xlpm.Result="","",_xlpm.Result))</f>
        <v>#N/A</v>
      </c>
      <c r="T79" s="53" t="e" cm="1">
        <f t="array" ref="T79">_xlfn.TEXTSPLIT(S79," / ", ,TRUE,0,)</f>
        <v>#N/A</v>
      </c>
      <c r="U79" s="53"/>
      <c r="V79" s="53" t="str" cm="1">
        <f t="array" ref="V79">IFERROR(_xlfn.IFS(
T79="","",
--T79&lt;55,"Battery Defect",
--T79&lt;=69,"Battery D",
--T79&lt;=80,"Battery C",
--T79&gt;80,""
),"")</f>
        <v/>
      </c>
      <c r="W79" s="53" t="str" cm="1">
        <f t="array" ref="W79">IFERROR(_xlfn.IFS(
U79="","",
--U79&lt;55,"Battery Defect",
--U79&lt;=69,"Battery D",
--U79&lt;=80,"Battery C",
--U79&gt;80,""
),"")</f>
        <v/>
      </c>
      <c r="X79" s="53" t="str" cm="1">
        <f t="array" ref="X79:AE79">IFERROR(IF(_xlfn.XLOOKUP(B79,Input!J:J,Input!N:U)=0,"",
          _xlfn.XLOOKUP(B79,Input!J:J,Input!N:U)),"")</f>
        <v/>
      </c>
      <c r="Y79" s="53" t="str">
        <v/>
      </c>
      <c r="Z79" s="53" t="str">
        <v/>
      </c>
      <c r="AA79" s="53" t="str">
        <v/>
      </c>
      <c r="AB79" s="53" t="str">
        <v/>
      </c>
      <c r="AC79" s="53" t="str">
        <v/>
      </c>
      <c r="AD79" s="53" t="str">
        <v/>
      </c>
      <c r="AE79" s="53" t="str">
        <v/>
      </c>
      <c r="AF79" s="32" t="str">
        <f t="shared" si="5"/>
        <v/>
      </c>
      <c r="AG79" s="32" t="str">
        <f>_xlfn.XLOOKUP(B:B,Disk_Pivot!G:G,Disk_Pivot!I:I)</f>
        <v>Yes x2</v>
      </c>
      <c r="AH79" s="32" t="str">
        <f>_xlfn.XLOOKUP(B79,Disk_Pivot!G:G,Disk_Pivot!N:N)</f>
        <v>Pass, Fail</v>
      </c>
      <c r="AI79" s="32"/>
      <c r="AJ79" s="32"/>
      <c r="AK79" s="32"/>
      <c r="AL79" s="32"/>
      <c r="AM79" s="32"/>
      <c r="AN79" s="32"/>
    </row>
    <row r="80" spans="1:40">
      <c r="A80" s="32" t="str">
        <f>_xlfn.TEXTJOIN("",TRUE,_xlfn.XLOOKUP(B80,Input!J:J,Input!G:G,"",0,1),_xlfn.XLOOKUP(B80,Input!J:J,Input!H:H,"",0,1))</f>
        <v/>
      </c>
      <c r="B80" s="32"/>
      <c r="C80" s="53">
        <f>_xlfn.XLOOKUP(B80,Input!J:J,Input!F:F)</f>
        <v>0</v>
      </c>
      <c r="D80" s="32">
        <f>_xlfn.XLOOKUP(C80,Models!H:H,Models!G:G,C80)</f>
        <v>0</v>
      </c>
      <c r="E80" s="32"/>
      <c r="F80" s="32" t="str">
        <f>_xlfn.XLOOKUP(H80,Models!B:B,Models!F:F,"")</f>
        <v/>
      </c>
      <c r="G80" s="32">
        <f>_xlfn.XLOOKUP(B80,Input!J:J,Input!E:E)</f>
        <v>0</v>
      </c>
      <c r="H80" s="32">
        <f>IF(G80="LENOVO",_xlfn.XLOOKUP(B80,Input!J:J,Input!K:K),_xlfn.XLOOKUP(B80,Input!J:J,Input!L:L))</f>
        <v>0</v>
      </c>
      <c r="I80" s="32"/>
      <c r="J80" s="32"/>
      <c r="K80" s="32">
        <f>_xlfn.XLOOKUP(B80,CPU_Formula!A:A,CPU_Formula!I:I)</f>
        <v>0</v>
      </c>
      <c r="L80" s="53" t="e">
        <f>INDEX(Input!$D$2:$AC$500,
       MATCH(B80, Input!$J$2:$J$500, 0),
       MATCH("Memory Capacity", Input!$D$1:$AC$1, 0))</f>
        <v>#N/A</v>
      </c>
      <c r="M80" s="53" t="e">
        <f>INDEX(Input!$D$2:$AC$500,
       MATCH(B80, Input!$J$2:$J$500, 0),
       MATCH("Memory Type", Input!$D$1:$AC$1, 0))</f>
        <v>#N/A</v>
      </c>
      <c r="N80" s="53" t="e">
        <f t="shared" si="3"/>
        <v>#N/A</v>
      </c>
      <c r="O80" s="53" t="str" cm="1">
        <f t="array" ref="O80">IFERROR(_xlfn.FILTERXML("&lt;t&gt;&lt;s&gt;" &amp; SUBSTITUTE(M80," / ","&lt;/s&gt;&lt;s&gt;") &amp; "&lt;/s&gt;&lt;/t&gt;","(//s[contains(.,'DDR')])[1]"),"")</f>
        <v/>
      </c>
      <c r="P80" s="32" t="e">
        <f t="shared" si="4"/>
        <v>#N/A</v>
      </c>
      <c r="Q80" s="32" t="e">
        <f>INDEX(Input!$D$2:$AC$500,
       MATCH(B80, Input!$J$2:$J$500, 0),
       MATCH("Disk Capacity", Input!$D$1:$AC$1, 0))</f>
        <v>#N/A</v>
      </c>
      <c r="R80" s="32"/>
      <c r="S80" s="53" t="e">
        <f>_xlfn.LET(_xlpm.Result,INDEX(Input!$D$2:$AC$500,
       MATCH(B80, Input!$J$2:$J$500, 0),
       MATCH("Capacity", Input!$D$1:$AC$1, 0)),IF(_xlpm.Result="","",_xlpm.Result))</f>
        <v>#N/A</v>
      </c>
      <c r="T80" s="53" t="e" cm="1">
        <f t="array" ref="T80">_xlfn.TEXTSPLIT(S80," / ", ,TRUE,0,)</f>
        <v>#N/A</v>
      </c>
      <c r="U80" s="53"/>
      <c r="V80" s="53" t="str" cm="1">
        <f t="array" ref="V80">IFERROR(_xlfn.IFS(
T80="","",
--T80&lt;55,"Battery Defect",
--T80&lt;=69,"Battery D",
--T80&lt;=80,"Battery C",
--T80&gt;80,""
),"")</f>
        <v/>
      </c>
      <c r="W80" s="53" t="str" cm="1">
        <f t="array" ref="W80">IFERROR(_xlfn.IFS(
U80="","",
--U80&lt;55,"Battery Defect",
--U80&lt;=69,"Battery D",
--U80&lt;=80,"Battery C",
--U80&gt;80,""
),"")</f>
        <v/>
      </c>
      <c r="X80" s="53" t="str" cm="1">
        <f t="array" ref="X80:AE80">IFERROR(IF(_xlfn.XLOOKUP(B80,Input!J:J,Input!N:U)=0,"",
          _xlfn.XLOOKUP(B80,Input!J:J,Input!N:U)),"")</f>
        <v/>
      </c>
      <c r="Y80" s="53" t="str">
        <v/>
      </c>
      <c r="Z80" s="53" t="str">
        <v/>
      </c>
      <c r="AA80" s="53" t="str">
        <v/>
      </c>
      <c r="AB80" s="53" t="str">
        <v/>
      </c>
      <c r="AC80" s="53" t="str">
        <v/>
      </c>
      <c r="AD80" s="53" t="str">
        <v/>
      </c>
      <c r="AE80" s="53" t="str">
        <v/>
      </c>
      <c r="AF80" s="32" t="str">
        <f t="shared" si="5"/>
        <v/>
      </c>
      <c r="AG80" s="32" t="str">
        <f>_xlfn.XLOOKUP(B:B,Disk_Pivot!G:G,Disk_Pivot!I:I)</f>
        <v>Yes x2</v>
      </c>
      <c r="AH80" s="32" t="str">
        <f>_xlfn.XLOOKUP(B80,Disk_Pivot!G:G,Disk_Pivot!N:N)</f>
        <v>Pass, Fail</v>
      </c>
      <c r="AI80" s="32"/>
      <c r="AJ80" s="32"/>
      <c r="AK80" s="32"/>
      <c r="AL80" s="32"/>
      <c r="AM80" s="32"/>
      <c r="AN80" s="32"/>
    </row>
    <row r="81" spans="1:40">
      <c r="A81" s="32" t="str">
        <f>_xlfn.TEXTJOIN("",TRUE,_xlfn.XLOOKUP(B81,Input!J:J,Input!G:G,"",0,1),_xlfn.XLOOKUP(B81,Input!J:J,Input!H:H,"",0,1))</f>
        <v/>
      </c>
      <c r="B81" s="32"/>
      <c r="C81" s="53">
        <f>_xlfn.XLOOKUP(B81,Input!J:J,Input!F:F)</f>
        <v>0</v>
      </c>
      <c r="D81" s="32">
        <f>_xlfn.XLOOKUP(C81,Models!H:H,Models!G:G,C81)</f>
        <v>0</v>
      </c>
      <c r="E81" s="32"/>
      <c r="F81" s="32" t="str">
        <f>_xlfn.XLOOKUP(H81,Models!B:B,Models!F:F,"")</f>
        <v/>
      </c>
      <c r="G81" s="32">
        <f>_xlfn.XLOOKUP(B81,Input!J:J,Input!E:E)</f>
        <v>0</v>
      </c>
      <c r="H81" s="32">
        <f>IF(G81="LENOVO",_xlfn.XLOOKUP(B81,Input!J:J,Input!K:K),_xlfn.XLOOKUP(B81,Input!J:J,Input!L:L))</f>
        <v>0</v>
      </c>
      <c r="I81" s="32"/>
      <c r="J81" s="32"/>
      <c r="K81" s="32">
        <f>_xlfn.XLOOKUP(B81,CPU_Formula!A:A,CPU_Formula!I:I)</f>
        <v>0</v>
      </c>
      <c r="L81" s="53" t="e">
        <f>INDEX(Input!$D$2:$AC$500,
       MATCH(B81, Input!$J$2:$J$500, 0),
       MATCH("Memory Capacity", Input!$D$1:$AC$1, 0))</f>
        <v>#N/A</v>
      </c>
      <c r="M81" s="53" t="e">
        <f>INDEX(Input!$D$2:$AC$500,
       MATCH(B81, Input!$J$2:$J$500, 0),
       MATCH("Memory Type", Input!$D$1:$AC$1, 0))</f>
        <v>#N/A</v>
      </c>
      <c r="N81" s="53" t="e">
        <f t="shared" si="3"/>
        <v>#N/A</v>
      </c>
      <c r="O81" s="53" t="str" cm="1">
        <f t="array" ref="O81">IFERROR(_xlfn.FILTERXML("&lt;t&gt;&lt;s&gt;" &amp; SUBSTITUTE(M81," / ","&lt;/s&gt;&lt;s&gt;") &amp; "&lt;/s&gt;&lt;/t&gt;","(//s[contains(.,'DDR')])[1]"),"")</f>
        <v/>
      </c>
      <c r="P81" s="32" t="e">
        <f t="shared" si="4"/>
        <v>#N/A</v>
      </c>
      <c r="Q81" s="32" t="e">
        <f>INDEX(Input!$D$2:$AC$500,
       MATCH(B81, Input!$J$2:$J$500, 0),
       MATCH("Disk Capacity", Input!$D$1:$AC$1, 0))</f>
        <v>#N/A</v>
      </c>
      <c r="R81" s="32"/>
      <c r="S81" s="53" t="e">
        <f>_xlfn.LET(_xlpm.Result,INDEX(Input!$D$2:$AC$500,
       MATCH(B81, Input!$J$2:$J$500, 0),
       MATCH("Capacity", Input!$D$1:$AC$1, 0)),IF(_xlpm.Result="","",_xlpm.Result))</f>
        <v>#N/A</v>
      </c>
      <c r="T81" s="53" t="e" cm="1">
        <f t="array" ref="T81">_xlfn.TEXTSPLIT(S81," / ", ,TRUE,0,)</f>
        <v>#N/A</v>
      </c>
      <c r="U81" s="53"/>
      <c r="V81" s="53" t="str" cm="1">
        <f t="array" ref="V81">IFERROR(_xlfn.IFS(
T81="","",
--T81&lt;55,"Battery Defect",
--T81&lt;=69,"Battery D",
--T81&lt;=80,"Battery C",
--T81&gt;80,""
),"")</f>
        <v/>
      </c>
      <c r="W81" s="53" t="str" cm="1">
        <f t="array" ref="W81">IFERROR(_xlfn.IFS(
U81="","",
--U81&lt;55,"Battery Defect",
--U81&lt;=69,"Battery D",
--U81&lt;=80,"Battery C",
--U81&gt;80,""
),"")</f>
        <v/>
      </c>
      <c r="X81" s="53" t="str" cm="1">
        <f t="array" ref="X81:AE81">IFERROR(IF(_xlfn.XLOOKUP(B81,Input!J:J,Input!N:U)=0,"",
          _xlfn.XLOOKUP(B81,Input!J:J,Input!N:U)),"")</f>
        <v/>
      </c>
      <c r="Y81" s="53" t="str">
        <v/>
      </c>
      <c r="Z81" s="53" t="str">
        <v/>
      </c>
      <c r="AA81" s="53" t="str">
        <v/>
      </c>
      <c r="AB81" s="53" t="str">
        <v/>
      </c>
      <c r="AC81" s="53" t="str">
        <v/>
      </c>
      <c r="AD81" s="53" t="str">
        <v/>
      </c>
      <c r="AE81" s="53" t="str">
        <v/>
      </c>
      <c r="AF81" s="32" t="str">
        <f t="shared" si="5"/>
        <v/>
      </c>
      <c r="AG81" s="32" t="str">
        <f>_xlfn.XLOOKUP(B:B,Disk_Pivot!G:G,Disk_Pivot!I:I)</f>
        <v>Yes x2</v>
      </c>
      <c r="AH81" s="32" t="str">
        <f>_xlfn.XLOOKUP(B81,Disk_Pivot!G:G,Disk_Pivot!N:N)</f>
        <v>Pass, Fail</v>
      </c>
      <c r="AI81" s="32"/>
      <c r="AJ81" s="32"/>
      <c r="AK81" s="32"/>
      <c r="AL81" s="32"/>
      <c r="AM81" s="32"/>
      <c r="AN81" s="32"/>
    </row>
    <row r="82" spans="1:40">
      <c r="A82" s="32" t="str">
        <f>_xlfn.TEXTJOIN("",TRUE,_xlfn.XLOOKUP(B82,Input!J:J,Input!G:G,"",0,1),_xlfn.XLOOKUP(B82,Input!J:J,Input!H:H,"",0,1))</f>
        <v/>
      </c>
      <c r="B82" s="32"/>
      <c r="C82" s="53">
        <f>_xlfn.XLOOKUP(B82,Input!J:J,Input!F:F)</f>
        <v>0</v>
      </c>
      <c r="D82" s="32">
        <f>_xlfn.XLOOKUP(C82,Models!H:H,Models!G:G,C82)</f>
        <v>0</v>
      </c>
      <c r="E82" s="32"/>
      <c r="F82" s="32" t="str">
        <f>_xlfn.XLOOKUP(H82,Models!B:B,Models!F:F,"")</f>
        <v/>
      </c>
      <c r="G82" s="32">
        <f>_xlfn.XLOOKUP(B82,Input!J:J,Input!E:E)</f>
        <v>0</v>
      </c>
      <c r="H82" s="32">
        <f>IF(G82="LENOVO",_xlfn.XLOOKUP(B82,Input!J:J,Input!K:K),_xlfn.XLOOKUP(B82,Input!J:J,Input!L:L))</f>
        <v>0</v>
      </c>
      <c r="I82" s="32"/>
      <c r="J82" s="32"/>
      <c r="K82" s="32">
        <f>_xlfn.XLOOKUP(B82,CPU_Formula!A:A,CPU_Formula!I:I)</f>
        <v>0</v>
      </c>
      <c r="L82" s="53" t="e">
        <f>INDEX(Input!$D$2:$AC$500,
       MATCH(B82, Input!$J$2:$J$500, 0),
       MATCH("Memory Capacity", Input!$D$1:$AC$1, 0))</f>
        <v>#N/A</v>
      </c>
      <c r="M82" s="53" t="e">
        <f>INDEX(Input!$D$2:$AC$500,
       MATCH(B82, Input!$J$2:$J$500, 0),
       MATCH("Memory Type", Input!$D$1:$AC$1, 0))</f>
        <v>#N/A</v>
      </c>
      <c r="N82" s="53" t="e">
        <f t="shared" si="3"/>
        <v>#N/A</v>
      </c>
      <c r="O82" s="53" t="str" cm="1">
        <f t="array" ref="O82">IFERROR(_xlfn.FILTERXML("&lt;t&gt;&lt;s&gt;" &amp; SUBSTITUTE(M82," / ","&lt;/s&gt;&lt;s&gt;") &amp; "&lt;/s&gt;&lt;/t&gt;","(//s[contains(.,'DDR')])[1]"),"")</f>
        <v/>
      </c>
      <c r="P82" s="32" t="e">
        <f t="shared" si="4"/>
        <v>#N/A</v>
      </c>
      <c r="Q82" s="32" t="e">
        <f>INDEX(Input!$D$2:$AC$500,
       MATCH(B82, Input!$J$2:$J$500, 0),
       MATCH("Disk Capacity", Input!$D$1:$AC$1, 0))</f>
        <v>#N/A</v>
      </c>
      <c r="R82" s="32"/>
      <c r="S82" s="53" t="e">
        <f>_xlfn.LET(_xlpm.Result,INDEX(Input!$D$2:$AC$500,
       MATCH(B82, Input!$J$2:$J$500, 0),
       MATCH("Capacity", Input!$D$1:$AC$1, 0)),IF(_xlpm.Result="","",_xlpm.Result))</f>
        <v>#N/A</v>
      </c>
      <c r="T82" s="53" t="e" cm="1">
        <f t="array" ref="T82">_xlfn.TEXTSPLIT(S82," / ", ,TRUE,0,)</f>
        <v>#N/A</v>
      </c>
      <c r="U82" s="53"/>
      <c r="V82" s="53" t="str" cm="1">
        <f t="array" ref="V82">IFERROR(_xlfn.IFS(
T82="","",
--T82&lt;55,"Battery Defect",
--T82&lt;=69,"Battery D",
--T82&lt;=80,"Battery C",
--T82&gt;80,""
),"")</f>
        <v/>
      </c>
      <c r="W82" s="53" t="str" cm="1">
        <f t="array" ref="W82">IFERROR(_xlfn.IFS(
U82="","",
--U82&lt;55,"Battery Defect",
--U82&lt;=69,"Battery D",
--U82&lt;=80,"Battery C",
--U82&gt;80,""
),"")</f>
        <v/>
      </c>
      <c r="X82" s="53" t="str" cm="1">
        <f t="array" ref="X82:AE82">IFERROR(IF(_xlfn.XLOOKUP(B82,Input!J:J,Input!N:U)=0,"",
          _xlfn.XLOOKUP(B82,Input!J:J,Input!N:U)),"")</f>
        <v/>
      </c>
      <c r="Y82" s="53" t="str">
        <v/>
      </c>
      <c r="Z82" s="53" t="str">
        <v/>
      </c>
      <c r="AA82" s="53" t="str">
        <v/>
      </c>
      <c r="AB82" s="53" t="str">
        <v/>
      </c>
      <c r="AC82" s="53" t="str">
        <v/>
      </c>
      <c r="AD82" s="53" t="str">
        <v/>
      </c>
      <c r="AE82" s="53" t="str">
        <v/>
      </c>
      <c r="AF82" s="32" t="str">
        <f t="shared" si="5"/>
        <v/>
      </c>
      <c r="AG82" s="32" t="str">
        <f>_xlfn.XLOOKUP(B:B,Disk_Pivot!G:G,Disk_Pivot!I:I)</f>
        <v>Yes x2</v>
      </c>
      <c r="AH82" s="32" t="str">
        <f>_xlfn.XLOOKUP(B82,Disk_Pivot!G:G,Disk_Pivot!N:N)</f>
        <v>Pass, Fail</v>
      </c>
      <c r="AI82" s="32"/>
      <c r="AJ82" s="32"/>
      <c r="AK82" s="32"/>
      <c r="AL82" s="32"/>
      <c r="AM82" s="32"/>
      <c r="AN82" s="32"/>
    </row>
    <row r="83" spans="1:40">
      <c r="A83" s="32" t="str">
        <f>_xlfn.TEXTJOIN("",TRUE,_xlfn.XLOOKUP(B83,Input!J:J,Input!G:G,"",0,1),_xlfn.XLOOKUP(B83,Input!J:J,Input!H:H,"",0,1))</f>
        <v/>
      </c>
      <c r="B83" s="32"/>
      <c r="C83" s="53">
        <f>_xlfn.XLOOKUP(B83,Input!J:J,Input!F:F)</f>
        <v>0</v>
      </c>
      <c r="D83" s="32">
        <f>_xlfn.XLOOKUP(C83,Models!H:H,Models!G:G,C83)</f>
        <v>0</v>
      </c>
      <c r="E83" s="32"/>
      <c r="F83" s="32" t="str">
        <f>_xlfn.XLOOKUP(H83,Models!B:B,Models!F:F,"")</f>
        <v/>
      </c>
      <c r="G83" s="32">
        <f>_xlfn.XLOOKUP(B83,Input!J:J,Input!E:E)</f>
        <v>0</v>
      </c>
      <c r="H83" s="32">
        <f>IF(G83="LENOVO",_xlfn.XLOOKUP(B83,Input!J:J,Input!K:K),_xlfn.XLOOKUP(B83,Input!J:J,Input!L:L))</f>
        <v>0</v>
      </c>
      <c r="I83" s="32"/>
      <c r="J83" s="32"/>
      <c r="K83" s="32">
        <f>_xlfn.XLOOKUP(B83,CPU_Formula!A:A,CPU_Formula!I:I)</f>
        <v>0</v>
      </c>
      <c r="L83" s="53" t="e">
        <f>INDEX(Input!$D$2:$AC$500,
       MATCH(B83, Input!$J$2:$J$500, 0),
       MATCH("Memory Capacity", Input!$D$1:$AC$1, 0))</f>
        <v>#N/A</v>
      </c>
      <c r="M83" s="53" t="e">
        <f>INDEX(Input!$D$2:$AC$500,
       MATCH(B83, Input!$J$2:$J$500, 0),
       MATCH("Memory Type", Input!$D$1:$AC$1, 0))</f>
        <v>#N/A</v>
      </c>
      <c r="N83" s="53" t="e">
        <f t="shared" si="3"/>
        <v>#N/A</v>
      </c>
      <c r="O83" s="53" t="str" cm="1">
        <f t="array" ref="O83">IFERROR(_xlfn.FILTERXML("&lt;t&gt;&lt;s&gt;" &amp; SUBSTITUTE(M83," / ","&lt;/s&gt;&lt;s&gt;") &amp; "&lt;/s&gt;&lt;/t&gt;","(//s[contains(.,'DDR')])[1]"),"")</f>
        <v/>
      </c>
      <c r="P83" s="32" t="e">
        <f t="shared" si="4"/>
        <v>#N/A</v>
      </c>
      <c r="Q83" s="32" t="e">
        <f>INDEX(Input!$D$2:$AC$500,
       MATCH(B83, Input!$J$2:$J$500, 0),
       MATCH("Disk Capacity", Input!$D$1:$AC$1, 0))</f>
        <v>#N/A</v>
      </c>
      <c r="R83" s="32"/>
      <c r="S83" s="53" t="e">
        <f>_xlfn.LET(_xlpm.Result,INDEX(Input!$D$2:$AC$500,
       MATCH(B83, Input!$J$2:$J$500, 0),
       MATCH("Capacity", Input!$D$1:$AC$1, 0)),IF(_xlpm.Result="","",_xlpm.Result))</f>
        <v>#N/A</v>
      </c>
      <c r="T83" s="53" t="e" cm="1">
        <f t="array" ref="T83">_xlfn.TEXTSPLIT(S83," / ", ,TRUE,0,)</f>
        <v>#N/A</v>
      </c>
      <c r="U83" s="53"/>
      <c r="V83" s="53" t="str" cm="1">
        <f t="array" ref="V83">IFERROR(_xlfn.IFS(
T83="","",
--T83&lt;55,"Battery Defect",
--T83&lt;=69,"Battery D",
--T83&lt;=80,"Battery C",
--T83&gt;80,""
),"")</f>
        <v/>
      </c>
      <c r="W83" s="53" t="str" cm="1">
        <f t="array" ref="W83">IFERROR(_xlfn.IFS(
U83="","",
--U83&lt;55,"Battery Defect",
--U83&lt;=69,"Battery D",
--U83&lt;=80,"Battery C",
--U83&gt;80,""
),"")</f>
        <v/>
      </c>
      <c r="X83" s="53" t="str" cm="1">
        <f t="array" ref="X83:AE83">IFERROR(IF(_xlfn.XLOOKUP(B83,Input!J:J,Input!N:U)=0,"",
          _xlfn.XLOOKUP(B83,Input!J:J,Input!N:U)),"")</f>
        <v/>
      </c>
      <c r="Y83" s="53" t="str">
        <v/>
      </c>
      <c r="Z83" s="53" t="str">
        <v/>
      </c>
      <c r="AA83" s="53" t="str">
        <v/>
      </c>
      <c r="AB83" s="53" t="str">
        <v/>
      </c>
      <c r="AC83" s="53" t="str">
        <v/>
      </c>
      <c r="AD83" s="53" t="str">
        <v/>
      </c>
      <c r="AE83" s="53" t="str">
        <v/>
      </c>
      <c r="AF83" s="32" t="str">
        <f t="shared" si="5"/>
        <v/>
      </c>
      <c r="AG83" s="32" t="str">
        <f>_xlfn.XLOOKUP(B:B,Disk_Pivot!G:G,Disk_Pivot!I:I)</f>
        <v>Yes x2</v>
      </c>
      <c r="AH83" s="32" t="str">
        <f>_xlfn.XLOOKUP(B83,Disk_Pivot!G:G,Disk_Pivot!N:N)</f>
        <v>Pass, Fail</v>
      </c>
      <c r="AI83" s="32"/>
      <c r="AJ83" s="32"/>
      <c r="AK83" s="32"/>
      <c r="AL83" s="32"/>
      <c r="AM83" s="32"/>
      <c r="AN83" s="32"/>
    </row>
    <row r="84" spans="1:40">
      <c r="A84" s="32" t="str">
        <f>_xlfn.TEXTJOIN("",TRUE,_xlfn.XLOOKUP(B84,Input!J:J,Input!G:G,"",0,1),_xlfn.XLOOKUP(B84,Input!J:J,Input!H:H,"",0,1))</f>
        <v/>
      </c>
      <c r="B84" s="32"/>
      <c r="C84" s="53">
        <f>_xlfn.XLOOKUP(B84,Input!J:J,Input!F:F)</f>
        <v>0</v>
      </c>
      <c r="D84" s="32">
        <f>_xlfn.XLOOKUP(C84,Models!H:H,Models!G:G,C84)</f>
        <v>0</v>
      </c>
      <c r="E84" s="32"/>
      <c r="F84" s="32" t="str">
        <f>_xlfn.XLOOKUP(H84,Models!B:B,Models!F:F,"")</f>
        <v/>
      </c>
      <c r="G84" s="32">
        <f>_xlfn.XLOOKUP(B84,Input!J:J,Input!E:E)</f>
        <v>0</v>
      </c>
      <c r="H84" s="32">
        <f>IF(G84="LENOVO",_xlfn.XLOOKUP(B84,Input!J:J,Input!K:K),_xlfn.XLOOKUP(B84,Input!J:J,Input!L:L))</f>
        <v>0</v>
      </c>
      <c r="I84" s="32"/>
      <c r="J84" s="32"/>
      <c r="K84" s="32">
        <f>_xlfn.XLOOKUP(B84,CPU_Formula!A:A,CPU_Formula!I:I)</f>
        <v>0</v>
      </c>
      <c r="L84" s="53" t="e">
        <f>INDEX(Input!$D$2:$AC$500,
       MATCH(B84, Input!$J$2:$J$500, 0),
       MATCH("Memory Capacity", Input!$D$1:$AC$1, 0))</f>
        <v>#N/A</v>
      </c>
      <c r="M84" s="53" t="e">
        <f>INDEX(Input!$D$2:$AC$500,
       MATCH(B84, Input!$J$2:$J$500, 0),
       MATCH("Memory Type", Input!$D$1:$AC$1, 0))</f>
        <v>#N/A</v>
      </c>
      <c r="N84" s="53" t="e">
        <f t="shared" si="3"/>
        <v>#N/A</v>
      </c>
      <c r="O84" s="53" t="str" cm="1">
        <f t="array" ref="O84">IFERROR(_xlfn.FILTERXML("&lt;t&gt;&lt;s&gt;" &amp; SUBSTITUTE(M84," / ","&lt;/s&gt;&lt;s&gt;") &amp; "&lt;/s&gt;&lt;/t&gt;","(//s[contains(.,'DDR')])[1]"),"")</f>
        <v/>
      </c>
      <c r="P84" s="32" t="e">
        <f t="shared" si="4"/>
        <v>#N/A</v>
      </c>
      <c r="Q84" s="32" t="e">
        <f>INDEX(Input!$D$2:$AC$500,
       MATCH(B84, Input!$J$2:$J$500, 0),
       MATCH("Disk Capacity", Input!$D$1:$AC$1, 0))</f>
        <v>#N/A</v>
      </c>
      <c r="R84" s="32"/>
      <c r="S84" s="53" t="e">
        <f>_xlfn.LET(_xlpm.Result,INDEX(Input!$D$2:$AC$500,
       MATCH(B84, Input!$J$2:$J$500, 0),
       MATCH("Capacity", Input!$D$1:$AC$1, 0)),IF(_xlpm.Result="","",_xlpm.Result))</f>
        <v>#N/A</v>
      </c>
      <c r="T84" s="53" t="e" cm="1">
        <f t="array" ref="T84">_xlfn.TEXTSPLIT(S84," / ", ,TRUE,0,)</f>
        <v>#N/A</v>
      </c>
      <c r="U84" s="53"/>
      <c r="V84" s="53" t="str" cm="1">
        <f t="array" ref="V84">IFERROR(_xlfn.IFS(
T84="","",
--T84&lt;55,"Battery Defect",
--T84&lt;=69,"Battery D",
--T84&lt;=80,"Battery C",
--T84&gt;80,""
),"")</f>
        <v/>
      </c>
      <c r="W84" s="53" t="str" cm="1">
        <f t="array" ref="W84">IFERROR(_xlfn.IFS(
U84="","",
--U84&lt;55,"Battery Defect",
--U84&lt;=69,"Battery D",
--U84&lt;=80,"Battery C",
--U84&gt;80,""
),"")</f>
        <v/>
      </c>
      <c r="X84" s="53" t="str" cm="1">
        <f t="array" ref="X84:AE84">IFERROR(IF(_xlfn.XLOOKUP(B84,Input!J:J,Input!N:U)=0,"",
          _xlfn.XLOOKUP(B84,Input!J:J,Input!N:U)),"")</f>
        <v/>
      </c>
      <c r="Y84" s="53" t="str">
        <v/>
      </c>
      <c r="Z84" s="53" t="str">
        <v/>
      </c>
      <c r="AA84" s="53" t="str">
        <v/>
      </c>
      <c r="AB84" s="53" t="str">
        <v/>
      </c>
      <c r="AC84" s="53" t="str">
        <v/>
      </c>
      <c r="AD84" s="53" t="str">
        <v/>
      </c>
      <c r="AE84" s="53" t="str">
        <v/>
      </c>
      <c r="AF84" s="32" t="str">
        <f t="shared" si="5"/>
        <v/>
      </c>
      <c r="AG84" s="32" t="str">
        <f>_xlfn.XLOOKUP(B:B,Disk_Pivot!G:G,Disk_Pivot!I:I)</f>
        <v>Yes x2</v>
      </c>
      <c r="AH84" s="32" t="str">
        <f>_xlfn.XLOOKUP(B84,Disk_Pivot!G:G,Disk_Pivot!N:N)</f>
        <v>Pass, Fail</v>
      </c>
      <c r="AI84" s="32"/>
      <c r="AJ84" s="32"/>
      <c r="AK84" s="32"/>
      <c r="AL84" s="32"/>
      <c r="AM84" s="32"/>
      <c r="AN84" s="32"/>
    </row>
    <row r="85" spans="1:40">
      <c r="A85" s="32" t="str">
        <f>_xlfn.TEXTJOIN("",TRUE,_xlfn.XLOOKUP(B85,Input!J:J,Input!G:G,"",0,1),_xlfn.XLOOKUP(B85,Input!J:J,Input!H:H,"",0,1))</f>
        <v/>
      </c>
      <c r="B85" s="32"/>
      <c r="C85" s="53">
        <f>_xlfn.XLOOKUP(B85,Input!J:J,Input!F:F)</f>
        <v>0</v>
      </c>
      <c r="D85" s="32">
        <f>_xlfn.XLOOKUP(C85,Models!H:H,Models!G:G,C85)</f>
        <v>0</v>
      </c>
      <c r="E85" s="32"/>
      <c r="F85" s="32" t="str">
        <f>_xlfn.XLOOKUP(H85,Models!B:B,Models!F:F,"")</f>
        <v/>
      </c>
      <c r="G85" s="32">
        <f>_xlfn.XLOOKUP(B85,Input!J:J,Input!E:E)</f>
        <v>0</v>
      </c>
      <c r="H85" s="32">
        <f>IF(G85="LENOVO",_xlfn.XLOOKUP(B85,Input!J:J,Input!K:K),_xlfn.XLOOKUP(B85,Input!J:J,Input!L:L))</f>
        <v>0</v>
      </c>
      <c r="I85" s="32"/>
      <c r="J85" s="32"/>
      <c r="K85" s="32">
        <f>_xlfn.XLOOKUP(B85,CPU_Formula!A:A,CPU_Formula!I:I)</f>
        <v>0</v>
      </c>
      <c r="L85" s="53" t="e">
        <f>INDEX(Input!$D$2:$AC$500,
       MATCH(B85, Input!$J$2:$J$500, 0),
       MATCH("Memory Capacity", Input!$D$1:$AC$1, 0))</f>
        <v>#N/A</v>
      </c>
      <c r="M85" s="53" t="e">
        <f>INDEX(Input!$D$2:$AC$500,
       MATCH(B85, Input!$J$2:$J$500, 0),
       MATCH("Memory Type", Input!$D$1:$AC$1, 0))</f>
        <v>#N/A</v>
      </c>
      <c r="N85" s="53" t="e">
        <f t="shared" si="3"/>
        <v>#N/A</v>
      </c>
      <c r="O85" s="53" t="str" cm="1">
        <f t="array" ref="O85">IFERROR(_xlfn.FILTERXML("&lt;t&gt;&lt;s&gt;" &amp; SUBSTITUTE(M85," / ","&lt;/s&gt;&lt;s&gt;") &amp; "&lt;/s&gt;&lt;/t&gt;","(//s[contains(.,'DDR')])[1]"),"")</f>
        <v/>
      </c>
      <c r="P85" s="32" t="e">
        <f t="shared" si="4"/>
        <v>#N/A</v>
      </c>
      <c r="Q85" s="32" t="e">
        <f>INDEX(Input!$D$2:$AC$500,
       MATCH(B85, Input!$J$2:$J$500, 0),
       MATCH("Disk Capacity", Input!$D$1:$AC$1, 0))</f>
        <v>#N/A</v>
      </c>
      <c r="R85" s="32"/>
      <c r="S85" s="53" t="e">
        <f>_xlfn.LET(_xlpm.Result,INDEX(Input!$D$2:$AC$500,
       MATCH(B85, Input!$J$2:$J$500, 0),
       MATCH("Capacity", Input!$D$1:$AC$1, 0)),IF(_xlpm.Result="","",_xlpm.Result))</f>
        <v>#N/A</v>
      </c>
      <c r="T85" s="53" t="e" cm="1">
        <f t="array" ref="T85">_xlfn.TEXTSPLIT(S85," / ", ,TRUE,0,)</f>
        <v>#N/A</v>
      </c>
      <c r="U85" s="53"/>
      <c r="V85" s="53" t="str" cm="1">
        <f t="array" ref="V85">IFERROR(_xlfn.IFS(
T85="","",
--T85&lt;55,"Battery Defect",
--T85&lt;=69,"Battery D",
--T85&lt;=80,"Battery C",
--T85&gt;80,""
),"")</f>
        <v/>
      </c>
      <c r="W85" s="53" t="str" cm="1">
        <f t="array" ref="W85">IFERROR(_xlfn.IFS(
U85="","",
--U85&lt;55,"Battery Defect",
--U85&lt;=69,"Battery D",
--U85&lt;=80,"Battery C",
--U85&gt;80,""
),"")</f>
        <v/>
      </c>
      <c r="X85" s="53" t="str" cm="1">
        <f t="array" ref="X85:AE85">IFERROR(IF(_xlfn.XLOOKUP(B85,Input!J:J,Input!N:U)=0,"",
          _xlfn.XLOOKUP(B85,Input!J:J,Input!N:U)),"")</f>
        <v/>
      </c>
      <c r="Y85" s="53" t="str">
        <v/>
      </c>
      <c r="Z85" s="53" t="str">
        <v/>
      </c>
      <c r="AA85" s="53" t="str">
        <v/>
      </c>
      <c r="AB85" s="53" t="str">
        <v/>
      </c>
      <c r="AC85" s="53" t="str">
        <v/>
      </c>
      <c r="AD85" s="53" t="str">
        <v/>
      </c>
      <c r="AE85" s="53" t="str">
        <v/>
      </c>
      <c r="AF85" s="32" t="str">
        <f t="shared" si="5"/>
        <v/>
      </c>
      <c r="AG85" s="32" t="str">
        <f>_xlfn.XLOOKUP(B:B,Disk_Pivot!G:G,Disk_Pivot!I:I)</f>
        <v>Yes x2</v>
      </c>
      <c r="AH85" s="32" t="str">
        <f>_xlfn.XLOOKUP(B85,Disk_Pivot!G:G,Disk_Pivot!N:N)</f>
        <v>Pass, Fail</v>
      </c>
      <c r="AI85" s="32"/>
      <c r="AJ85" s="32"/>
      <c r="AK85" s="32"/>
      <c r="AL85" s="32"/>
      <c r="AM85" s="32"/>
      <c r="AN85" s="32"/>
    </row>
    <row r="86" spans="1:40">
      <c r="A86" s="32" t="str">
        <f>_xlfn.TEXTJOIN("",TRUE,_xlfn.XLOOKUP(B86,Input!J:J,Input!G:G,"",0,1),_xlfn.XLOOKUP(B86,Input!J:J,Input!H:H,"",0,1))</f>
        <v/>
      </c>
      <c r="B86" s="32"/>
      <c r="C86" s="53">
        <f>_xlfn.XLOOKUP(B86,Input!J:J,Input!F:F)</f>
        <v>0</v>
      </c>
      <c r="D86" s="32">
        <f>_xlfn.XLOOKUP(C86,Models!H:H,Models!G:G,C86)</f>
        <v>0</v>
      </c>
      <c r="E86" s="32"/>
      <c r="F86" s="32" t="str">
        <f>_xlfn.XLOOKUP(H86,Models!B:B,Models!F:F,"")</f>
        <v/>
      </c>
      <c r="G86" s="32">
        <f>_xlfn.XLOOKUP(B86,Input!J:J,Input!E:E)</f>
        <v>0</v>
      </c>
      <c r="H86" s="32">
        <f>IF(G86="LENOVO",_xlfn.XLOOKUP(B86,Input!J:J,Input!K:K),_xlfn.XLOOKUP(B86,Input!J:J,Input!L:L))</f>
        <v>0</v>
      </c>
      <c r="I86" s="32"/>
      <c r="J86" s="32"/>
      <c r="K86" s="32">
        <f>_xlfn.XLOOKUP(B86,CPU_Formula!A:A,CPU_Formula!I:I)</f>
        <v>0</v>
      </c>
      <c r="L86" s="53" t="e">
        <f>INDEX(Input!$D$2:$AC$500,
       MATCH(B86, Input!$J$2:$J$500, 0),
       MATCH("Memory Capacity", Input!$D$1:$AC$1, 0))</f>
        <v>#N/A</v>
      </c>
      <c r="M86" s="53" t="e">
        <f>INDEX(Input!$D$2:$AC$500,
       MATCH(B86, Input!$J$2:$J$500, 0),
       MATCH("Memory Type", Input!$D$1:$AC$1, 0))</f>
        <v>#N/A</v>
      </c>
      <c r="N86" s="53" t="e">
        <f t="shared" si="3"/>
        <v>#N/A</v>
      </c>
      <c r="O86" s="53" t="str" cm="1">
        <f t="array" ref="O86">IFERROR(_xlfn.FILTERXML("&lt;t&gt;&lt;s&gt;" &amp; SUBSTITUTE(M86," / ","&lt;/s&gt;&lt;s&gt;") &amp; "&lt;/s&gt;&lt;/t&gt;","(//s[contains(.,'DDR')])[1]"),"")</f>
        <v/>
      </c>
      <c r="P86" s="32" t="e">
        <f t="shared" si="4"/>
        <v>#N/A</v>
      </c>
      <c r="Q86" s="32" t="e">
        <f>INDEX(Input!$D$2:$AC$500,
       MATCH(B86, Input!$J$2:$J$500, 0),
       MATCH("Disk Capacity", Input!$D$1:$AC$1, 0))</f>
        <v>#N/A</v>
      </c>
      <c r="R86" s="32"/>
      <c r="S86" s="53" t="e">
        <f>_xlfn.LET(_xlpm.Result,INDEX(Input!$D$2:$AC$500,
       MATCH(B86, Input!$J$2:$J$500, 0),
       MATCH("Capacity", Input!$D$1:$AC$1, 0)),IF(_xlpm.Result="","",_xlpm.Result))</f>
        <v>#N/A</v>
      </c>
      <c r="T86" s="53" t="e" cm="1">
        <f t="array" ref="T86">_xlfn.TEXTSPLIT(S86," / ", ,TRUE,0,)</f>
        <v>#N/A</v>
      </c>
      <c r="U86" s="53"/>
      <c r="V86" s="53" t="str" cm="1">
        <f t="array" ref="V86">IFERROR(_xlfn.IFS(
T86="","",
--T86&lt;55,"Battery Defect",
--T86&lt;=69,"Battery D",
--T86&lt;=80,"Battery C",
--T86&gt;80,""
),"")</f>
        <v/>
      </c>
      <c r="W86" s="53" t="str" cm="1">
        <f t="array" ref="W86">IFERROR(_xlfn.IFS(
U86="","",
--U86&lt;55,"Battery Defect",
--U86&lt;=69,"Battery D",
--U86&lt;=80,"Battery C",
--U86&gt;80,""
),"")</f>
        <v/>
      </c>
      <c r="X86" s="53" t="str" cm="1">
        <f t="array" ref="X86:AE86">IFERROR(IF(_xlfn.XLOOKUP(B86,Input!J:J,Input!N:U)=0,"",
          _xlfn.XLOOKUP(B86,Input!J:J,Input!N:U)),"")</f>
        <v/>
      </c>
      <c r="Y86" s="53" t="str">
        <v/>
      </c>
      <c r="Z86" s="53" t="str">
        <v/>
      </c>
      <c r="AA86" s="53" t="str">
        <v/>
      </c>
      <c r="AB86" s="53" t="str">
        <v/>
      </c>
      <c r="AC86" s="53" t="str">
        <v/>
      </c>
      <c r="AD86" s="53" t="str">
        <v/>
      </c>
      <c r="AE86" s="53" t="str">
        <v/>
      </c>
      <c r="AF86" s="32" t="str">
        <f t="shared" si="5"/>
        <v/>
      </c>
      <c r="AG86" s="32" t="str">
        <f>_xlfn.XLOOKUP(B:B,Disk_Pivot!G:G,Disk_Pivot!I:I)</f>
        <v>Yes x2</v>
      </c>
      <c r="AH86" s="32" t="str">
        <f>_xlfn.XLOOKUP(B86,Disk_Pivot!G:G,Disk_Pivot!N:N)</f>
        <v>Pass, Fail</v>
      </c>
      <c r="AI86" s="32"/>
      <c r="AJ86" s="32"/>
      <c r="AK86" s="32"/>
      <c r="AL86" s="32"/>
      <c r="AM86" s="32"/>
      <c r="AN86" s="32"/>
    </row>
    <row r="87" spans="1:40">
      <c r="A87" s="32" t="str">
        <f>_xlfn.TEXTJOIN("",TRUE,_xlfn.XLOOKUP(B87,Input!J:J,Input!G:G,"",0,1),_xlfn.XLOOKUP(B87,Input!J:J,Input!H:H,"",0,1))</f>
        <v/>
      </c>
      <c r="B87" s="32"/>
      <c r="C87" s="53">
        <f>_xlfn.XLOOKUP(B87,Input!J:J,Input!F:F)</f>
        <v>0</v>
      </c>
      <c r="D87" s="32">
        <f>_xlfn.XLOOKUP(C87,Models!H:H,Models!G:G,C87)</f>
        <v>0</v>
      </c>
      <c r="E87" s="32"/>
      <c r="F87" s="32" t="str">
        <f>_xlfn.XLOOKUP(H87,Models!B:B,Models!F:F,"")</f>
        <v/>
      </c>
      <c r="G87" s="32">
        <f>_xlfn.XLOOKUP(B87,Input!J:J,Input!E:E)</f>
        <v>0</v>
      </c>
      <c r="H87" s="32">
        <f>IF(G87="LENOVO",_xlfn.XLOOKUP(B87,Input!J:J,Input!K:K),_xlfn.XLOOKUP(B87,Input!J:J,Input!L:L))</f>
        <v>0</v>
      </c>
      <c r="I87" s="32"/>
      <c r="J87" s="32"/>
      <c r="K87" s="32">
        <f>_xlfn.XLOOKUP(B87,CPU_Formula!A:A,CPU_Formula!I:I)</f>
        <v>0</v>
      </c>
      <c r="L87" s="53" t="e">
        <f>INDEX(Input!$D$2:$AC$500,
       MATCH(B87, Input!$J$2:$J$500, 0),
       MATCH("Memory Capacity", Input!$D$1:$AC$1, 0))</f>
        <v>#N/A</v>
      </c>
      <c r="M87" s="53" t="e">
        <f>INDEX(Input!$D$2:$AC$500,
       MATCH(B87, Input!$J$2:$J$500, 0),
       MATCH("Memory Type", Input!$D$1:$AC$1, 0))</f>
        <v>#N/A</v>
      </c>
      <c r="N87" s="53" t="e">
        <f t="shared" si="3"/>
        <v>#N/A</v>
      </c>
      <c r="O87" s="53" t="str" cm="1">
        <f t="array" ref="O87">IFERROR(_xlfn.FILTERXML("&lt;t&gt;&lt;s&gt;" &amp; SUBSTITUTE(M87," / ","&lt;/s&gt;&lt;s&gt;") &amp; "&lt;/s&gt;&lt;/t&gt;","(//s[contains(.,'DDR')])[1]"),"")</f>
        <v/>
      </c>
      <c r="P87" s="32" t="e">
        <f t="shared" si="4"/>
        <v>#N/A</v>
      </c>
      <c r="Q87" s="32" t="e">
        <f>INDEX(Input!$D$2:$AC$500,
       MATCH(B87, Input!$J$2:$J$500, 0),
       MATCH("Disk Capacity", Input!$D$1:$AC$1, 0))</f>
        <v>#N/A</v>
      </c>
      <c r="R87" s="32"/>
      <c r="S87" s="53" t="e">
        <f>_xlfn.LET(_xlpm.Result,INDEX(Input!$D$2:$AC$500,
       MATCH(B87, Input!$J$2:$J$500, 0),
       MATCH("Capacity", Input!$D$1:$AC$1, 0)),IF(_xlpm.Result="","",_xlpm.Result))</f>
        <v>#N/A</v>
      </c>
      <c r="T87" s="53" t="e" cm="1">
        <f t="array" ref="T87">_xlfn.TEXTSPLIT(S87," / ", ,TRUE,0,)</f>
        <v>#N/A</v>
      </c>
      <c r="U87" s="53"/>
      <c r="V87" s="53" t="str" cm="1">
        <f t="array" ref="V87">IFERROR(_xlfn.IFS(
T87="","",
--T87&lt;55,"Battery Defect",
--T87&lt;=69,"Battery D",
--T87&lt;=80,"Battery C",
--T87&gt;80,""
),"")</f>
        <v/>
      </c>
      <c r="W87" s="53" t="str" cm="1">
        <f t="array" ref="W87">IFERROR(_xlfn.IFS(
U87="","",
--U87&lt;55,"Battery Defect",
--U87&lt;=69,"Battery D",
--U87&lt;=80,"Battery C",
--U87&gt;80,""
),"")</f>
        <v/>
      </c>
      <c r="X87" s="53" t="str" cm="1">
        <f t="array" ref="X87:AE87">IFERROR(IF(_xlfn.XLOOKUP(B87,Input!J:J,Input!N:U)=0,"",
          _xlfn.XLOOKUP(B87,Input!J:J,Input!N:U)),"")</f>
        <v/>
      </c>
      <c r="Y87" s="53" t="str">
        <v/>
      </c>
      <c r="Z87" s="53" t="str">
        <v/>
      </c>
      <c r="AA87" s="53" t="str">
        <v/>
      </c>
      <c r="AB87" s="53" t="str">
        <v/>
      </c>
      <c r="AC87" s="53" t="str">
        <v/>
      </c>
      <c r="AD87" s="53" t="str">
        <v/>
      </c>
      <c r="AE87" s="53" t="str">
        <v/>
      </c>
      <c r="AF87" s="32" t="str">
        <f t="shared" si="5"/>
        <v/>
      </c>
      <c r="AG87" s="32" t="str">
        <f>_xlfn.XLOOKUP(B:B,Disk_Pivot!G:G,Disk_Pivot!I:I)</f>
        <v>Yes x2</v>
      </c>
      <c r="AH87" s="32" t="str">
        <f>_xlfn.XLOOKUP(B87,Disk_Pivot!G:G,Disk_Pivot!N:N)</f>
        <v>Pass, Fail</v>
      </c>
      <c r="AI87" s="32"/>
      <c r="AJ87" s="32"/>
      <c r="AK87" s="32"/>
      <c r="AL87" s="32"/>
      <c r="AM87" s="32"/>
      <c r="AN87" s="32"/>
    </row>
    <row r="88" spans="1:40">
      <c r="A88" s="32" t="str">
        <f>_xlfn.TEXTJOIN("",TRUE,_xlfn.XLOOKUP(B88,Input!J:J,Input!G:G,"",0,1),_xlfn.XLOOKUP(B88,Input!J:J,Input!H:H,"",0,1))</f>
        <v/>
      </c>
      <c r="B88" s="32"/>
      <c r="C88" s="53">
        <f>_xlfn.XLOOKUP(B88,Input!J:J,Input!F:F)</f>
        <v>0</v>
      </c>
      <c r="D88" s="32">
        <f>_xlfn.XLOOKUP(C88,Models!H:H,Models!G:G,C88)</f>
        <v>0</v>
      </c>
      <c r="E88" s="32"/>
      <c r="F88" s="32" t="str">
        <f>_xlfn.XLOOKUP(H88,Models!B:B,Models!F:F,"")</f>
        <v/>
      </c>
      <c r="G88" s="32">
        <f>_xlfn.XLOOKUP(B88,Input!J:J,Input!E:E)</f>
        <v>0</v>
      </c>
      <c r="H88" s="32">
        <f>IF(G88="LENOVO",_xlfn.XLOOKUP(B88,Input!J:J,Input!K:K),_xlfn.XLOOKUP(B88,Input!J:J,Input!L:L))</f>
        <v>0</v>
      </c>
      <c r="I88" s="32"/>
      <c r="J88" s="32"/>
      <c r="K88" s="32">
        <f>_xlfn.XLOOKUP(B88,CPU_Formula!A:A,CPU_Formula!I:I)</f>
        <v>0</v>
      </c>
      <c r="L88" s="53" t="e">
        <f>INDEX(Input!$D$2:$AC$500,
       MATCH(B88, Input!$J$2:$J$500, 0),
       MATCH("Memory Capacity", Input!$D$1:$AC$1, 0))</f>
        <v>#N/A</v>
      </c>
      <c r="M88" s="53" t="e">
        <f>INDEX(Input!$D$2:$AC$500,
       MATCH(B88, Input!$J$2:$J$500, 0),
       MATCH("Memory Type", Input!$D$1:$AC$1, 0))</f>
        <v>#N/A</v>
      </c>
      <c r="N88" s="53" t="e">
        <f t="shared" si="3"/>
        <v>#N/A</v>
      </c>
      <c r="O88" s="53" t="str" cm="1">
        <f t="array" ref="O88">IFERROR(_xlfn.FILTERXML("&lt;t&gt;&lt;s&gt;" &amp; SUBSTITUTE(M88," / ","&lt;/s&gt;&lt;s&gt;") &amp; "&lt;/s&gt;&lt;/t&gt;","(//s[contains(.,'DDR')])[1]"),"")</f>
        <v/>
      </c>
      <c r="P88" s="32" t="e">
        <f t="shared" ref="P88" si="6">_xlfn.TEXTJOIN(" ",TRUE,N88,"GB",O88)</f>
        <v>#N/A</v>
      </c>
      <c r="Q88" s="32" t="e">
        <f>INDEX(Input!$D$2:$AC$500,
       MATCH(B88, Input!$J$2:$J$500, 0),
       MATCH("Disk Capacity", Input!$D$1:$AC$1, 0))</f>
        <v>#N/A</v>
      </c>
      <c r="R88" s="32"/>
      <c r="S88" s="53" t="e">
        <f>_xlfn.LET(_xlpm.Result,INDEX(Input!$D$2:$AC$500,
       MATCH(B88, Input!$J$2:$J$500, 0),
       MATCH("Capacity", Input!$D$1:$AC$1, 0)),IF(_xlpm.Result="","",_xlpm.Result))</f>
        <v>#N/A</v>
      </c>
      <c r="T88" s="53" t="e" cm="1">
        <f t="array" ref="T88">_xlfn.TEXTSPLIT(S88," / ", ,TRUE,0,)</f>
        <v>#N/A</v>
      </c>
      <c r="U88" s="53"/>
      <c r="V88" s="53" t="str" cm="1">
        <f t="array" ref="V88">IFERROR(_xlfn.IFS(
T88="","",
--T88&lt;55,"Battery Defect",
--T88&lt;=69,"Battery D",
--T88&lt;=80,"Battery C",
--T88&gt;80,""
),"")</f>
        <v/>
      </c>
      <c r="W88" s="53" t="str" cm="1">
        <f t="array" ref="W88">IFERROR(_xlfn.IFS(
U88="","",
--U88&lt;55,"Battery Defect",
--U88&lt;=69,"Battery D",
--U88&lt;=80,"Battery C",
--U88&gt;80,""
),"")</f>
        <v/>
      </c>
      <c r="X88" s="53" t="str" cm="1">
        <f t="array" ref="X88:AE88">IFERROR(IF(_xlfn.XLOOKUP(B88,Input!J:J,Input!N:U)=0,"",
          _xlfn.XLOOKUP(B88,Input!J:J,Input!N:U)),"")</f>
        <v/>
      </c>
      <c r="Y88" s="53" t="str">
        <v/>
      </c>
      <c r="Z88" s="53" t="str">
        <v/>
      </c>
      <c r="AA88" s="53" t="str">
        <v/>
      </c>
      <c r="AB88" s="53" t="str">
        <v/>
      </c>
      <c r="AC88" s="53" t="str">
        <v/>
      </c>
      <c r="AD88" s="53" t="str">
        <v/>
      </c>
      <c r="AE88" s="53" t="str">
        <v/>
      </c>
      <c r="AF88" s="32" t="str">
        <f t="shared" si="5"/>
        <v/>
      </c>
      <c r="AG88" s="32" t="str">
        <f>_xlfn.XLOOKUP(B:B,Disk_Pivot!G:G,Disk_Pivot!I:I)</f>
        <v>Yes x2</v>
      </c>
      <c r="AH88" s="32" t="str">
        <f>_xlfn.XLOOKUP(B88,Disk_Pivot!G:G,Disk_Pivot!N:N)</f>
        <v>Pass, Fail</v>
      </c>
      <c r="AI88" s="32"/>
      <c r="AJ88" s="32"/>
      <c r="AK88" s="32"/>
      <c r="AL88" s="32"/>
      <c r="AM88" s="32"/>
      <c r="AN88" s="32"/>
    </row>
    <row r="89" spans="1:40">
      <c r="A89" s="32" t="str">
        <f>_xlfn.TEXTJOIN("",TRUE,_xlfn.XLOOKUP(B89,Input!J:J,Input!G:G,"",0,1),_xlfn.XLOOKUP(B89,Input!J:J,Input!H:H,"",0,1))</f>
        <v/>
      </c>
      <c r="B89" s="32"/>
      <c r="C89" s="53">
        <f>_xlfn.XLOOKUP(B89,Input!J:J,Input!F:F)</f>
        <v>0</v>
      </c>
      <c r="D89" s="32">
        <f>_xlfn.XLOOKUP(C89,Models!H:H,Models!G:G,C89)</f>
        <v>0</v>
      </c>
      <c r="E89" s="32"/>
      <c r="F89" s="32" t="str">
        <f>_xlfn.XLOOKUP(H89,Models!B:B,Models!F:F,"")</f>
        <v/>
      </c>
      <c r="G89" s="32">
        <f>_xlfn.XLOOKUP(B89,Input!J:J,Input!E:E)</f>
        <v>0</v>
      </c>
      <c r="H89" s="32">
        <f>IF(G89="LENOVO",_xlfn.XLOOKUP(B89,Input!J:J,Input!K:K),_xlfn.XLOOKUP(B89,Input!J:J,Input!L:L))</f>
        <v>0</v>
      </c>
      <c r="I89" s="32"/>
      <c r="J89" s="32"/>
      <c r="K89" s="32"/>
      <c r="L89" s="53" t="e">
        <f>INDEX(Input!$D$2:$AC$500,
       MATCH(B89, Input!$J$2:$J$500, 0),
       MATCH("Memory Capacity", Input!$D$1:$AC$1, 0))</f>
        <v>#N/A</v>
      </c>
      <c r="M89" s="53" t="e">
        <f>INDEX(Input!$D$2:$AC$500,
       MATCH(B89, Input!$J$2:$J$500, 0),
       MATCH("Memory Type", Input!$D$1:$AC$1, 0))</f>
        <v>#N/A</v>
      </c>
      <c r="N89" s="53" t="e">
        <f t="shared" si="3"/>
        <v>#N/A</v>
      </c>
      <c r="O89" s="53" t="str" cm="1">
        <f t="array" ref="O89">IFERROR(_xlfn.FILTERXML("&lt;t&gt;&lt;s&gt;" &amp; SUBSTITUTE(M89," / ","&lt;/s&gt;&lt;s&gt;") &amp; "&lt;/s&gt;&lt;/t&gt;","(//s[contains(.,'DDR')])[1]"),"")</f>
        <v/>
      </c>
      <c r="P89" s="32" t="e">
        <f t="shared" ref="P89:P152" si="7">_xlfn.TEXTJOIN(" ",TRUE,N89,"GB",O89)</f>
        <v>#N/A</v>
      </c>
      <c r="Q89" s="32" t="e">
        <f>INDEX(Input!$D$2:$AC$500,
       MATCH(B89, Input!$J$2:$J$500, 0),
       MATCH("Disk Capacity", Input!$D$1:$AC$1, 0))</f>
        <v>#N/A</v>
      </c>
      <c r="R89" s="32"/>
      <c r="S89" s="53" t="e">
        <f>_xlfn.LET(_xlpm.Result,INDEX(Input!$D$2:$AC$500,
       MATCH(B89, Input!$J$2:$J$500, 0),
       MATCH("Capacity", Input!$D$1:$AC$1, 0)),IF(_xlpm.Result="","",_xlpm.Result))</f>
        <v>#N/A</v>
      </c>
      <c r="T89" s="53" t="e" cm="1">
        <f t="array" ref="T89">_xlfn.TEXTSPLIT(S89," / ", ,TRUE,0,)</f>
        <v>#N/A</v>
      </c>
      <c r="U89" s="53"/>
      <c r="V89" s="53" t="str" cm="1">
        <f t="array" ref="V89">IFERROR(_xlfn.IFS(
T89="","",
--T89&lt;55,"Battery Defect",
--T89&lt;=69,"Battery D",
--T89&lt;=80,"Battery C",
--T89&gt;80,""
),"")</f>
        <v/>
      </c>
      <c r="W89" s="53" t="str" cm="1">
        <f t="array" ref="W89">IFERROR(_xlfn.IFS(
U89="","",
--U89&lt;55,"Battery Defect",
--U89&lt;=69,"Battery D",
--U89&lt;=80,"Battery C",
--U89&gt;80,""
),"")</f>
        <v/>
      </c>
      <c r="X89" s="53" t="str" cm="1">
        <f t="array" ref="X89:AE89">IFERROR(IF(_xlfn.XLOOKUP(B89,Input!J:J,Input!N:U)=0,"",
          _xlfn.XLOOKUP(B89,Input!J:J,Input!N:U)),"")</f>
        <v/>
      </c>
      <c r="Y89" s="53" t="str">
        <v/>
      </c>
      <c r="Z89" s="53" t="str">
        <v/>
      </c>
      <c r="AA89" s="53" t="str">
        <v/>
      </c>
      <c r="AB89" s="53" t="str">
        <v/>
      </c>
      <c r="AC89" s="53" t="str">
        <v/>
      </c>
      <c r="AD89" s="53" t="str">
        <v/>
      </c>
      <c r="AE89" s="53" t="str">
        <v/>
      </c>
      <c r="AF89" s="32" t="str">
        <f t="shared" si="5"/>
        <v/>
      </c>
      <c r="AG89" s="32" t="str">
        <f>_xlfn.XLOOKUP(B:B,Disk_Pivot!G:G,Disk_Pivot!I:I)</f>
        <v>Yes x2</v>
      </c>
      <c r="AH89" s="32" t="str">
        <f>_xlfn.XLOOKUP(B89,Disk_Pivot!G:G,Disk_Pivot!N:N)</f>
        <v>Pass, Fail</v>
      </c>
      <c r="AI89" s="32"/>
      <c r="AJ89" s="32"/>
      <c r="AK89" s="32"/>
      <c r="AL89" s="32"/>
      <c r="AM89" s="32"/>
      <c r="AN89" s="32"/>
    </row>
    <row r="90" spans="1:40">
      <c r="A90" s="32" t="str">
        <f>_xlfn.TEXTJOIN("",TRUE,_xlfn.XLOOKUP(B90,Input!J:J,Input!G:G,"",0,1),_xlfn.XLOOKUP(B90,Input!J:J,Input!H:H,"",0,1))</f>
        <v/>
      </c>
      <c r="B90" s="32"/>
      <c r="C90" s="53">
        <f>_xlfn.XLOOKUP(B90,Input!J:J,Input!F:F)</f>
        <v>0</v>
      </c>
      <c r="D90" s="32">
        <f>_xlfn.XLOOKUP(C90,Models!H:H,Models!G:G,C90)</f>
        <v>0</v>
      </c>
      <c r="E90" s="32"/>
      <c r="F90" s="32" t="str">
        <f>_xlfn.XLOOKUP(H90,Models!B:B,Models!F:F,"")</f>
        <v/>
      </c>
      <c r="G90" s="32">
        <f>_xlfn.XLOOKUP(B90,Input!J:J,Input!E:E)</f>
        <v>0</v>
      </c>
      <c r="H90" s="32">
        <f>IF(G90="LENOVO",_xlfn.XLOOKUP(B90,Input!J:J,Input!K:K),_xlfn.XLOOKUP(B90,Input!J:J,Input!L:L))</f>
        <v>0</v>
      </c>
      <c r="I90" s="32"/>
      <c r="J90" s="32"/>
      <c r="K90" s="32">
        <f>_xlfn.XLOOKUP(B90,CPU_Formula!A:A,CPU_Formula!I:I)</f>
        <v>0</v>
      </c>
      <c r="L90" s="53" t="e">
        <f>INDEX(Input!$D$2:$AC$500,
       MATCH(B90, Input!$J$2:$J$500, 0),
       MATCH("Memory Capacity", Input!$D$1:$AC$1, 0))</f>
        <v>#N/A</v>
      </c>
      <c r="M90" s="53" t="e">
        <f>INDEX(Input!$D$2:$AC$500,
       MATCH(B90, Input!$J$2:$J$500, 0),
       MATCH("Memory Type", Input!$D$1:$AC$1, 0))</f>
        <v>#N/A</v>
      </c>
      <c r="N90" s="53" t="e">
        <f t="shared" si="3"/>
        <v>#N/A</v>
      </c>
      <c r="O90" s="53" t="str" cm="1">
        <f t="array" ref="O90">IFERROR(_xlfn.FILTERXML("&lt;t&gt;&lt;s&gt;" &amp; SUBSTITUTE(M90," / ","&lt;/s&gt;&lt;s&gt;") &amp; "&lt;/s&gt;&lt;/t&gt;","(//s[contains(.,'DDR')])[1]"),"")</f>
        <v/>
      </c>
      <c r="P90" s="32" t="e">
        <f t="shared" si="7"/>
        <v>#N/A</v>
      </c>
      <c r="Q90" s="32" t="e">
        <f>INDEX(Input!$D$2:$AC$500,
       MATCH(B90, Input!$J$2:$J$500, 0),
       MATCH("Disk Capacity", Input!$D$1:$AC$1, 0))</f>
        <v>#N/A</v>
      </c>
      <c r="R90" s="32"/>
      <c r="S90" s="53" t="e">
        <f>_xlfn.LET(_xlpm.Result,INDEX(Input!$D$2:$AC$500,
       MATCH(B90, Input!$J$2:$J$500, 0),
       MATCH("Capacity", Input!$D$1:$AC$1, 0)),IF(_xlpm.Result="","",_xlpm.Result))</f>
        <v>#N/A</v>
      </c>
      <c r="T90" s="53" t="e" cm="1">
        <f t="array" ref="T90">_xlfn.TEXTSPLIT(S90," / ", ,TRUE,0,)</f>
        <v>#N/A</v>
      </c>
      <c r="U90" s="53"/>
      <c r="V90" s="53" t="str" cm="1">
        <f t="array" ref="V90">IFERROR(_xlfn.IFS(
T90="","",
--T90&lt;55,"Battery Defect",
--T90&lt;=69,"Battery D",
--T90&lt;=80,"Battery C",
--T90&gt;80,""
),"")</f>
        <v/>
      </c>
      <c r="W90" s="53" t="str" cm="1">
        <f t="array" ref="W90">IFERROR(_xlfn.IFS(
U90="","",
--U90&lt;55,"Battery Defect",
--U90&lt;=69,"Battery D",
--U90&lt;=80,"Battery C",
--U90&gt;80,""
),"")</f>
        <v/>
      </c>
      <c r="X90" s="53" t="str" cm="1">
        <f t="array" ref="X90:AE90">IFERROR(IF(_xlfn.XLOOKUP(B90,Input!J:J,Input!N:U)=0,"",
          _xlfn.XLOOKUP(B90,Input!J:J,Input!N:U)),"")</f>
        <v/>
      </c>
      <c r="Y90" s="53" t="str">
        <v/>
      </c>
      <c r="Z90" s="53" t="str">
        <v/>
      </c>
      <c r="AA90" s="53" t="str">
        <v/>
      </c>
      <c r="AB90" s="53" t="str">
        <v/>
      </c>
      <c r="AC90" s="53" t="str">
        <v/>
      </c>
      <c r="AD90" s="53" t="str">
        <v/>
      </c>
      <c r="AE90" s="53" t="str">
        <v/>
      </c>
      <c r="AF90" s="32" t="str">
        <f t="shared" si="5"/>
        <v/>
      </c>
      <c r="AG90" s="32" t="str">
        <f>_xlfn.XLOOKUP(B:B,Disk_Pivot!G:G,Disk_Pivot!I:I)</f>
        <v>Yes x2</v>
      </c>
      <c r="AH90" s="32" t="str">
        <f>_xlfn.XLOOKUP(B90,Disk_Pivot!G:G,Disk_Pivot!N:N)</f>
        <v>Pass, Fail</v>
      </c>
      <c r="AI90" s="32"/>
      <c r="AJ90" s="32"/>
      <c r="AK90" s="32"/>
      <c r="AL90" s="32"/>
      <c r="AM90" s="32"/>
      <c r="AN90" s="32"/>
    </row>
    <row r="91" spans="1:40">
      <c r="A91" s="32" t="str">
        <f>_xlfn.TEXTJOIN("",TRUE,_xlfn.XLOOKUP(B91,Input!J:J,Input!G:G,"",0,1),_xlfn.XLOOKUP(B91,Input!J:J,Input!H:H,"",0,1))</f>
        <v/>
      </c>
      <c r="B91" s="32"/>
      <c r="C91" s="53">
        <f>_xlfn.XLOOKUP(B91,Input!J:J,Input!F:F)</f>
        <v>0</v>
      </c>
      <c r="D91" s="32">
        <f>_xlfn.XLOOKUP(C91,Models!H:H,Models!G:G,C91)</f>
        <v>0</v>
      </c>
      <c r="E91" s="32"/>
      <c r="F91" s="32" t="str">
        <f>_xlfn.XLOOKUP(H91,Models!B:B,Models!F:F,"")</f>
        <v/>
      </c>
      <c r="G91" s="32">
        <f>_xlfn.XLOOKUP(B91,Input!J:J,Input!E:E)</f>
        <v>0</v>
      </c>
      <c r="H91" s="32">
        <f>IF(G91="LENOVO",_xlfn.XLOOKUP(B91,Input!J:J,Input!K:K),_xlfn.XLOOKUP(B91,Input!J:J,Input!L:L))</f>
        <v>0</v>
      </c>
      <c r="I91" s="32"/>
      <c r="J91" s="32"/>
      <c r="K91" s="32">
        <f>_xlfn.XLOOKUP(B91,CPU_Formula!A:A,CPU_Formula!I:I)</f>
        <v>0</v>
      </c>
      <c r="L91" s="53" t="e">
        <f>INDEX(Input!$D$2:$AC$500,
       MATCH(B91, Input!$J$2:$J$500, 0),
       MATCH("Memory Capacity", Input!$D$1:$AC$1, 0))</f>
        <v>#N/A</v>
      </c>
      <c r="M91" s="53" t="e">
        <f>INDEX(Input!$D$2:$AC$500,
       MATCH(B91, Input!$J$2:$J$500, 0),
       MATCH("Memory Type", Input!$D$1:$AC$1, 0))</f>
        <v>#N/A</v>
      </c>
      <c r="N91" s="53" t="e">
        <f t="shared" si="3"/>
        <v>#N/A</v>
      </c>
      <c r="O91" s="53" t="str" cm="1">
        <f t="array" ref="O91">IFERROR(_xlfn.FILTERXML("&lt;t&gt;&lt;s&gt;" &amp; SUBSTITUTE(M91," / ","&lt;/s&gt;&lt;s&gt;") &amp; "&lt;/s&gt;&lt;/t&gt;","(//s[contains(.,'DDR')])[1]"),"")</f>
        <v/>
      </c>
      <c r="P91" s="32" t="e">
        <f t="shared" si="7"/>
        <v>#N/A</v>
      </c>
      <c r="Q91" s="32" t="e">
        <f>INDEX(Input!$D$2:$AC$500,
       MATCH(B91, Input!$J$2:$J$500, 0),
       MATCH("Disk Capacity", Input!$D$1:$AC$1, 0))</f>
        <v>#N/A</v>
      </c>
      <c r="R91" s="32"/>
      <c r="S91" s="53" t="e">
        <f>_xlfn.LET(_xlpm.Result,INDEX(Input!$D$2:$AC$500,
       MATCH(B91, Input!$J$2:$J$500, 0),
       MATCH("Capacity", Input!$D$1:$AC$1, 0)),IF(_xlpm.Result="","",_xlpm.Result))</f>
        <v>#N/A</v>
      </c>
      <c r="T91" s="53" t="e" cm="1">
        <f t="array" ref="T91">_xlfn.TEXTSPLIT(S91," / ", ,TRUE,0,)</f>
        <v>#N/A</v>
      </c>
      <c r="U91" s="53"/>
      <c r="V91" s="53" t="str" cm="1">
        <f t="array" ref="V91">IFERROR(_xlfn.IFS(
T91="","",
--T91&lt;55,"Battery Defect",
--T91&lt;=69,"Battery D",
--T91&lt;=80,"Battery C",
--T91&gt;80,""
),"")</f>
        <v/>
      </c>
      <c r="W91" s="53" t="str" cm="1">
        <f t="array" ref="W91">IFERROR(_xlfn.IFS(
U91="","",
--U91&lt;55,"Battery Defect",
--U91&lt;=69,"Battery D",
--U91&lt;=80,"Battery C",
--U91&gt;80,""
),"")</f>
        <v/>
      </c>
      <c r="X91" s="53" t="str" cm="1">
        <f t="array" ref="X91:AE91">IFERROR(IF(_xlfn.XLOOKUP(B91,Input!J:J,Input!N:U)=0,"",
          _xlfn.XLOOKUP(B91,Input!J:J,Input!N:U)),"")</f>
        <v/>
      </c>
      <c r="Y91" s="53" t="str">
        <v/>
      </c>
      <c r="Z91" s="53" t="str">
        <v/>
      </c>
      <c r="AA91" s="53" t="str">
        <v/>
      </c>
      <c r="AB91" s="53" t="str">
        <v/>
      </c>
      <c r="AC91" s="53" t="str">
        <v/>
      </c>
      <c r="AD91" s="53" t="str">
        <v/>
      </c>
      <c r="AE91" s="53" t="str">
        <v/>
      </c>
      <c r="AF91" s="32" t="str">
        <f t="shared" si="5"/>
        <v/>
      </c>
      <c r="AG91" s="32" t="str">
        <f>_xlfn.XLOOKUP(B:B,Disk_Pivot!G:G,Disk_Pivot!I:I)</f>
        <v>Yes x2</v>
      </c>
      <c r="AH91" s="32" t="str">
        <f>_xlfn.XLOOKUP(B91,Disk_Pivot!G:G,Disk_Pivot!N:N)</f>
        <v>Pass, Fail</v>
      </c>
      <c r="AI91" s="32"/>
      <c r="AJ91" s="32"/>
      <c r="AK91" s="32"/>
      <c r="AL91" s="32"/>
      <c r="AM91" s="32"/>
      <c r="AN91" s="32"/>
    </row>
    <row r="92" spans="1:40">
      <c r="A92" s="32" t="str">
        <f>_xlfn.TEXTJOIN("",TRUE,_xlfn.XLOOKUP(B92,Input!J:J,Input!G:G,"",0,1),_xlfn.XLOOKUP(B92,Input!J:J,Input!H:H,"",0,1))</f>
        <v/>
      </c>
      <c r="B92" s="32"/>
      <c r="C92" s="53">
        <f>_xlfn.XLOOKUP(B92,Input!J:J,Input!F:F)</f>
        <v>0</v>
      </c>
      <c r="D92" s="32">
        <f>_xlfn.XLOOKUP(C92,Models!H:H,Models!G:G,C92)</f>
        <v>0</v>
      </c>
      <c r="E92" s="32"/>
      <c r="F92" s="32" t="str">
        <f>_xlfn.XLOOKUP(H92,Models!B:B,Models!F:F,"")</f>
        <v/>
      </c>
      <c r="G92" s="32">
        <f>_xlfn.XLOOKUP(B92,Input!J:J,Input!E:E)</f>
        <v>0</v>
      </c>
      <c r="H92" s="32">
        <f>IF(G92="LENOVO",_xlfn.XLOOKUP(B92,Input!J:J,Input!K:K),_xlfn.XLOOKUP(B92,Input!J:J,Input!L:L))</f>
        <v>0</v>
      </c>
      <c r="I92" s="32"/>
      <c r="J92" s="32"/>
      <c r="K92" s="32">
        <f>_xlfn.XLOOKUP(B92,CPU_Formula!A:A,CPU_Formula!I:I)</f>
        <v>0</v>
      </c>
      <c r="L92" s="53" t="e">
        <f>INDEX(Input!$D$2:$AC$500,
       MATCH(B92, Input!$J$2:$J$500, 0),
       MATCH("Memory Capacity", Input!$D$1:$AC$1, 0))</f>
        <v>#N/A</v>
      </c>
      <c r="M92" s="53" t="e">
        <f>INDEX(Input!$D$2:$AC$500,
       MATCH(B92, Input!$J$2:$J$500, 0),
       MATCH("Memory Type", Input!$D$1:$AC$1, 0))</f>
        <v>#N/A</v>
      </c>
      <c r="N92" s="53" t="e">
        <f t="shared" si="3"/>
        <v>#N/A</v>
      </c>
      <c r="O92" s="53" t="str" cm="1">
        <f t="array" ref="O92">IFERROR(_xlfn.FILTERXML("&lt;t&gt;&lt;s&gt;" &amp; SUBSTITUTE(M92," / ","&lt;/s&gt;&lt;s&gt;") &amp; "&lt;/s&gt;&lt;/t&gt;","(//s[contains(.,'DDR')])[1]"),"")</f>
        <v/>
      </c>
      <c r="P92" s="32" t="e">
        <f t="shared" si="7"/>
        <v>#N/A</v>
      </c>
      <c r="Q92" s="32" t="e">
        <f>INDEX(Input!$D$2:$AC$500,
       MATCH(B92, Input!$J$2:$J$500, 0),
       MATCH("Disk Capacity", Input!$D$1:$AC$1, 0))</f>
        <v>#N/A</v>
      </c>
      <c r="R92" s="32"/>
      <c r="S92" s="53" t="e">
        <f>_xlfn.LET(_xlpm.Result,INDEX(Input!$D$2:$AC$500,
       MATCH(B92, Input!$J$2:$J$500, 0),
       MATCH("Capacity", Input!$D$1:$AC$1, 0)),IF(_xlpm.Result="","",_xlpm.Result))</f>
        <v>#N/A</v>
      </c>
      <c r="T92" s="53" t="e" cm="1">
        <f t="array" ref="T92">_xlfn.TEXTSPLIT(S92," / ", ,TRUE,0,)</f>
        <v>#N/A</v>
      </c>
      <c r="U92" s="53"/>
      <c r="V92" s="53" t="str" cm="1">
        <f t="array" ref="V92">IFERROR(_xlfn.IFS(
T92="","",
--T92&lt;55,"Battery Defect",
--T92&lt;=69,"Battery D",
--T92&lt;=80,"Battery C",
--T92&gt;80,""
),"")</f>
        <v/>
      </c>
      <c r="W92" s="53" t="str" cm="1">
        <f t="array" ref="W92">IFERROR(_xlfn.IFS(
U92="","",
--U92&lt;55,"Battery Defect",
--U92&lt;=69,"Battery D",
--U92&lt;=80,"Battery C",
--U92&gt;80,""
),"")</f>
        <v/>
      </c>
      <c r="X92" s="53" t="str" cm="1">
        <f t="array" ref="X92:AE92">IFERROR(IF(_xlfn.XLOOKUP(B92,Input!J:J,Input!N:U)=0,"",
          _xlfn.XLOOKUP(B92,Input!J:J,Input!N:U)),"")</f>
        <v/>
      </c>
      <c r="Y92" s="53" t="str">
        <v/>
      </c>
      <c r="Z92" s="53" t="str">
        <v/>
      </c>
      <c r="AA92" s="53" t="str">
        <v/>
      </c>
      <c r="AB92" s="53" t="str">
        <v/>
      </c>
      <c r="AC92" s="53" t="str">
        <v/>
      </c>
      <c r="AD92" s="53" t="str">
        <v/>
      </c>
      <c r="AE92" s="53" t="str">
        <v/>
      </c>
      <c r="AF92" s="32" t="str">
        <f t="shared" si="5"/>
        <v/>
      </c>
      <c r="AG92" s="32" t="str">
        <f>_xlfn.XLOOKUP(B:B,Disk_Pivot!G:G,Disk_Pivot!I:I)</f>
        <v>Yes x2</v>
      </c>
      <c r="AH92" s="32" t="str">
        <f>_xlfn.XLOOKUP(B92,Disk_Pivot!G:G,Disk_Pivot!N:N)</f>
        <v>Pass, Fail</v>
      </c>
      <c r="AI92" s="32"/>
      <c r="AJ92" s="32"/>
      <c r="AK92" s="32"/>
      <c r="AL92" s="32"/>
      <c r="AM92" s="32"/>
      <c r="AN92" s="32"/>
    </row>
    <row r="93" spans="1:40">
      <c r="A93" s="32" t="str">
        <f>_xlfn.TEXTJOIN("",TRUE,_xlfn.XLOOKUP(B93,Input!J:J,Input!G:G,"",0,1),_xlfn.XLOOKUP(B93,Input!J:J,Input!H:H,"",0,1))</f>
        <v/>
      </c>
      <c r="B93" s="32"/>
      <c r="C93" s="53">
        <f>_xlfn.XLOOKUP(B93,Input!J:J,Input!F:F)</f>
        <v>0</v>
      </c>
      <c r="D93" s="32">
        <f>_xlfn.XLOOKUP(C93,Models!H:H,Models!G:G,C93)</f>
        <v>0</v>
      </c>
      <c r="E93" s="32"/>
      <c r="F93" s="32" t="str">
        <f>_xlfn.XLOOKUP(H93,Models!B:B,Models!F:F,"")</f>
        <v/>
      </c>
      <c r="G93" s="32">
        <f>_xlfn.XLOOKUP(B93,Input!J:J,Input!E:E)</f>
        <v>0</v>
      </c>
      <c r="H93" s="32">
        <f>IF(G93="LENOVO",_xlfn.XLOOKUP(B93,Input!J:J,Input!K:K),_xlfn.XLOOKUP(B93,Input!J:J,Input!L:L))</f>
        <v>0</v>
      </c>
      <c r="I93" s="32"/>
      <c r="J93" s="32"/>
      <c r="K93" s="32">
        <f>_xlfn.XLOOKUP(B93,CPU_Formula!A:A,CPU_Formula!I:I)</f>
        <v>0</v>
      </c>
      <c r="L93" s="53" t="e">
        <f>INDEX(Input!$D$2:$AC$500,
       MATCH(B93, Input!$J$2:$J$500, 0),
       MATCH("Memory Capacity", Input!$D$1:$AC$1, 0))</f>
        <v>#N/A</v>
      </c>
      <c r="M93" s="53" t="e">
        <f>INDEX(Input!$D$2:$AC$500,
       MATCH(B93, Input!$J$2:$J$500, 0),
       MATCH("Memory Type", Input!$D$1:$AC$1, 0))</f>
        <v>#N/A</v>
      </c>
      <c r="N93" s="53" t="e">
        <f t="shared" si="3"/>
        <v>#N/A</v>
      </c>
      <c r="O93" s="53" t="str" cm="1">
        <f t="array" ref="O93">IFERROR(_xlfn.FILTERXML("&lt;t&gt;&lt;s&gt;" &amp; SUBSTITUTE(M93," / ","&lt;/s&gt;&lt;s&gt;") &amp; "&lt;/s&gt;&lt;/t&gt;","(//s[contains(.,'DDR')])[1]"),"")</f>
        <v/>
      </c>
      <c r="P93" s="32" t="e">
        <f t="shared" si="7"/>
        <v>#N/A</v>
      </c>
      <c r="Q93" s="32" t="e">
        <f>INDEX(Input!$D$2:$AC$500,
       MATCH(B93, Input!$J$2:$J$500, 0),
       MATCH("Disk Capacity", Input!$D$1:$AC$1, 0))</f>
        <v>#N/A</v>
      </c>
      <c r="R93" s="32"/>
      <c r="S93" s="53" t="e">
        <f>_xlfn.LET(_xlpm.Result,INDEX(Input!$D$2:$AC$500,
       MATCH(B93, Input!$J$2:$J$500, 0),
       MATCH("Capacity", Input!$D$1:$AC$1, 0)),IF(_xlpm.Result="","",_xlpm.Result))</f>
        <v>#N/A</v>
      </c>
      <c r="T93" s="53" t="e" cm="1">
        <f t="array" ref="T93">_xlfn.TEXTSPLIT(S93," / ", ,TRUE,0,)</f>
        <v>#N/A</v>
      </c>
      <c r="U93" s="53"/>
      <c r="V93" s="53" t="str" cm="1">
        <f t="array" ref="V93">IFERROR(_xlfn.IFS(
T93="","",
--T93&lt;55,"Battery Defect",
--T93&lt;=69,"Battery D",
--T93&lt;=80,"Battery C",
--T93&gt;80,""
),"")</f>
        <v/>
      </c>
      <c r="W93" s="53" t="str" cm="1">
        <f t="array" ref="W93">IFERROR(_xlfn.IFS(
U93="","",
--U93&lt;55,"Battery Defect",
--U93&lt;=69,"Battery D",
--U93&lt;=80,"Battery C",
--U93&gt;80,""
),"")</f>
        <v/>
      </c>
      <c r="X93" s="53" t="str" cm="1">
        <f t="array" ref="X93:AE93">IFERROR(IF(_xlfn.XLOOKUP(B93,Input!J:J,Input!N:U)=0,"",
          _xlfn.XLOOKUP(B93,Input!J:J,Input!N:U)),"")</f>
        <v/>
      </c>
      <c r="Y93" s="53" t="str">
        <v/>
      </c>
      <c r="Z93" s="53" t="str">
        <v/>
      </c>
      <c r="AA93" s="53" t="str">
        <v/>
      </c>
      <c r="AB93" s="53" t="str">
        <v/>
      </c>
      <c r="AC93" s="53" t="str">
        <v/>
      </c>
      <c r="AD93" s="53" t="str">
        <v/>
      </c>
      <c r="AE93" s="53" t="str">
        <v/>
      </c>
      <c r="AF93" s="32" t="str">
        <f t="shared" si="5"/>
        <v/>
      </c>
      <c r="AG93" s="32" t="str">
        <f>_xlfn.XLOOKUP(B:B,Disk_Pivot!G:G,Disk_Pivot!I:I)</f>
        <v>Yes x2</v>
      </c>
      <c r="AH93" s="32" t="str">
        <f>_xlfn.XLOOKUP(B93,Disk_Pivot!G:G,Disk_Pivot!N:N)</f>
        <v>Pass, Fail</v>
      </c>
      <c r="AI93" s="32"/>
      <c r="AJ93" s="32"/>
      <c r="AK93" s="32"/>
      <c r="AL93" s="32"/>
      <c r="AM93" s="32"/>
      <c r="AN93" s="32"/>
    </row>
    <row r="94" spans="1:40">
      <c r="A94" s="32" t="str">
        <f>_xlfn.TEXTJOIN("",TRUE,_xlfn.XLOOKUP(B94,Input!J:J,Input!G:G,"",0,1),_xlfn.XLOOKUP(B94,Input!J:J,Input!H:H,"",0,1))</f>
        <v/>
      </c>
      <c r="B94" s="32"/>
      <c r="C94" s="53">
        <f>_xlfn.XLOOKUP(B94,Input!J:J,Input!F:F)</f>
        <v>0</v>
      </c>
      <c r="D94" s="32">
        <f>_xlfn.XLOOKUP(C94,Models!H:H,Models!G:G,C94)</f>
        <v>0</v>
      </c>
      <c r="E94" s="32"/>
      <c r="F94" s="32" t="str">
        <f>_xlfn.XLOOKUP(H94,Models!B:B,Models!F:F,"")</f>
        <v/>
      </c>
      <c r="G94" s="32">
        <f>_xlfn.XLOOKUP(B94,Input!J:J,Input!E:E)</f>
        <v>0</v>
      </c>
      <c r="H94" s="32">
        <f>IF(G94="LENOVO",_xlfn.XLOOKUP(B94,Input!J:J,Input!K:K),_xlfn.XLOOKUP(B94,Input!J:J,Input!L:L))</f>
        <v>0</v>
      </c>
      <c r="I94" s="32"/>
      <c r="J94" s="32"/>
      <c r="K94" s="32">
        <f>_xlfn.XLOOKUP(B94,CPU_Formula!A:A,CPU_Formula!I:I)</f>
        <v>0</v>
      </c>
      <c r="L94" s="53" t="e">
        <f>INDEX(Input!$D$2:$AC$500,
       MATCH(B94, Input!$J$2:$J$500, 0),
       MATCH("Memory Capacity", Input!$D$1:$AC$1, 0))</f>
        <v>#N/A</v>
      </c>
      <c r="M94" s="53" t="e">
        <f>INDEX(Input!$D$2:$AC$500,
       MATCH(B94, Input!$J$2:$J$500, 0),
       MATCH("Memory Type", Input!$D$1:$AC$1, 0))</f>
        <v>#N/A</v>
      </c>
      <c r="N94" s="53" t="e">
        <f t="shared" si="3"/>
        <v>#N/A</v>
      </c>
      <c r="O94" s="53" t="str" cm="1">
        <f t="array" ref="O94">IFERROR(_xlfn.FILTERXML("&lt;t&gt;&lt;s&gt;" &amp; SUBSTITUTE(M94," / ","&lt;/s&gt;&lt;s&gt;") &amp; "&lt;/s&gt;&lt;/t&gt;","(//s[contains(.,'DDR')])[1]"),"")</f>
        <v/>
      </c>
      <c r="P94" s="32" t="e">
        <f t="shared" si="7"/>
        <v>#N/A</v>
      </c>
      <c r="Q94" s="32" t="e">
        <f>INDEX(Input!$D$2:$AC$500,
       MATCH(B94, Input!$J$2:$J$500, 0),
       MATCH("Disk Capacity", Input!$D$1:$AC$1, 0))</f>
        <v>#N/A</v>
      </c>
      <c r="R94" s="32"/>
      <c r="S94" s="53" t="e">
        <f>_xlfn.LET(_xlpm.Result,INDEX(Input!$D$2:$AC$500,
       MATCH(B94, Input!$J$2:$J$500, 0),
       MATCH("Capacity", Input!$D$1:$AC$1, 0)),IF(_xlpm.Result="","",_xlpm.Result))</f>
        <v>#N/A</v>
      </c>
      <c r="T94" s="53" t="e" cm="1">
        <f t="array" ref="T94">_xlfn.TEXTSPLIT(S94," / ", ,TRUE,0,)</f>
        <v>#N/A</v>
      </c>
      <c r="U94" s="53"/>
      <c r="V94" s="53" t="str" cm="1">
        <f t="array" ref="V94">IFERROR(_xlfn.IFS(
T94="","",
--T94&lt;55,"Battery Defect",
--T94&lt;=69,"Battery D",
--T94&lt;=80,"Battery C",
--T94&gt;80,""
),"")</f>
        <v/>
      </c>
      <c r="W94" s="53" t="str" cm="1">
        <f t="array" ref="W94">IFERROR(_xlfn.IFS(
U94="","",
--U94&lt;55,"Battery Defect",
--U94&lt;=69,"Battery D",
--U94&lt;=80,"Battery C",
--U94&gt;80,""
),"")</f>
        <v/>
      </c>
      <c r="X94" s="53" t="str" cm="1">
        <f t="array" ref="X94:AE94">IFERROR(IF(_xlfn.XLOOKUP(B94,Input!J:J,Input!N:U)=0,"",
          _xlfn.XLOOKUP(B94,Input!J:J,Input!N:U)),"")</f>
        <v/>
      </c>
      <c r="Y94" s="53" t="str">
        <v/>
      </c>
      <c r="Z94" s="53" t="str">
        <v/>
      </c>
      <c r="AA94" s="53" t="str">
        <v/>
      </c>
      <c r="AB94" s="53" t="str">
        <v/>
      </c>
      <c r="AC94" s="53" t="str">
        <v/>
      </c>
      <c r="AD94" s="53" t="str">
        <v/>
      </c>
      <c r="AE94" s="53" t="str">
        <v/>
      </c>
      <c r="AF94" s="32" t="str">
        <f t="shared" si="5"/>
        <v/>
      </c>
      <c r="AG94" s="32" t="str">
        <f>_xlfn.XLOOKUP(B:B,Disk_Pivot!G:G,Disk_Pivot!I:I)</f>
        <v>Yes x2</v>
      </c>
      <c r="AH94" s="32" t="str">
        <f>_xlfn.XLOOKUP(B94,Disk_Pivot!G:G,Disk_Pivot!N:N)</f>
        <v>Pass, Fail</v>
      </c>
      <c r="AI94" s="32"/>
      <c r="AJ94" s="32"/>
      <c r="AK94" s="32"/>
      <c r="AL94" s="32"/>
      <c r="AM94" s="32"/>
      <c r="AN94" s="32"/>
    </row>
    <row r="95" spans="1:40">
      <c r="A95" s="32" t="str">
        <f>_xlfn.TEXTJOIN("",TRUE,_xlfn.XLOOKUP(B95,Input!J:J,Input!G:G,"",0,1),_xlfn.XLOOKUP(B95,Input!J:J,Input!H:H,"",0,1))</f>
        <v/>
      </c>
      <c r="B95" s="32"/>
      <c r="C95" s="53">
        <f>_xlfn.XLOOKUP(B95,Input!J:J,Input!F:F)</f>
        <v>0</v>
      </c>
      <c r="D95" s="32">
        <f>_xlfn.XLOOKUP(C95,Models!H:H,Models!G:G,C95)</f>
        <v>0</v>
      </c>
      <c r="E95" s="32"/>
      <c r="F95" s="32" t="str">
        <f>_xlfn.XLOOKUP(H95,Models!B:B,Models!F:F,"")</f>
        <v/>
      </c>
      <c r="G95" s="32">
        <f>_xlfn.XLOOKUP(B95,Input!J:J,Input!E:E)</f>
        <v>0</v>
      </c>
      <c r="H95" s="32">
        <f>IF(G95="LENOVO",_xlfn.XLOOKUP(B95,Input!J:J,Input!K:K),_xlfn.XLOOKUP(B95,Input!J:J,Input!L:L))</f>
        <v>0</v>
      </c>
      <c r="I95" s="32"/>
      <c r="J95" s="32"/>
      <c r="K95" s="32">
        <f>_xlfn.XLOOKUP(B95,CPU_Formula!A:A,CPU_Formula!I:I)</f>
        <v>0</v>
      </c>
      <c r="L95" s="53" t="e">
        <f>INDEX(Input!$D$2:$AC$500,
       MATCH(B95, Input!$J$2:$J$500, 0),
       MATCH("Memory Capacity", Input!$D$1:$AC$1, 0))</f>
        <v>#N/A</v>
      </c>
      <c r="M95" s="53" t="e">
        <f>INDEX(Input!$D$2:$AC$500,
       MATCH(B95, Input!$J$2:$J$500, 0),
       MATCH("Memory Type", Input!$D$1:$AC$1, 0))</f>
        <v>#N/A</v>
      </c>
      <c r="N95" s="53" t="e">
        <f t="shared" si="3"/>
        <v>#N/A</v>
      </c>
      <c r="O95" s="53" t="str" cm="1">
        <f t="array" ref="O95">IFERROR(_xlfn.FILTERXML("&lt;t&gt;&lt;s&gt;" &amp; SUBSTITUTE(M95," / ","&lt;/s&gt;&lt;s&gt;") &amp; "&lt;/s&gt;&lt;/t&gt;","(//s[contains(.,'DDR')])[1]"),"")</f>
        <v/>
      </c>
      <c r="P95" s="32" t="e">
        <f t="shared" si="7"/>
        <v>#N/A</v>
      </c>
      <c r="Q95" s="32" t="e">
        <f>INDEX(Input!$D$2:$AC$500,
       MATCH(B95, Input!$J$2:$J$500, 0),
       MATCH("Disk Capacity", Input!$D$1:$AC$1, 0))</f>
        <v>#N/A</v>
      </c>
      <c r="R95" s="32"/>
      <c r="S95" s="53" t="e">
        <f>_xlfn.LET(_xlpm.Result,INDEX(Input!$D$2:$AC$500,
       MATCH(B95, Input!$J$2:$J$500, 0),
       MATCH("Capacity", Input!$D$1:$AC$1, 0)),IF(_xlpm.Result="","",_xlpm.Result))</f>
        <v>#N/A</v>
      </c>
      <c r="T95" s="53" t="e" cm="1">
        <f t="array" ref="T95">_xlfn.TEXTSPLIT(S95," / ", ,TRUE,0,)</f>
        <v>#N/A</v>
      </c>
      <c r="U95" s="53"/>
      <c r="V95" s="53" t="str" cm="1">
        <f t="array" ref="V95">IFERROR(_xlfn.IFS(
T95="","",
--T95&lt;55,"Battery Defect",
--T95&lt;=69,"Battery D",
--T95&lt;=80,"Battery C",
--T95&gt;80,""
),"")</f>
        <v/>
      </c>
      <c r="W95" s="53" t="str" cm="1">
        <f t="array" ref="W95">IFERROR(_xlfn.IFS(
U95="","",
--U95&lt;55,"Battery Defect",
--U95&lt;=69,"Battery D",
--U95&lt;=80,"Battery C",
--U95&gt;80,""
),"")</f>
        <v/>
      </c>
      <c r="X95" s="53" t="str" cm="1">
        <f t="array" ref="X95:AE95">IFERROR(IF(_xlfn.XLOOKUP(B95,Input!J:J,Input!N:U)=0,"",
          _xlfn.XLOOKUP(B95,Input!J:J,Input!N:U)),"")</f>
        <v/>
      </c>
      <c r="Y95" s="53" t="str">
        <v/>
      </c>
      <c r="Z95" s="53" t="str">
        <v/>
      </c>
      <c r="AA95" s="53" t="str">
        <v/>
      </c>
      <c r="AB95" s="53" t="str">
        <v/>
      </c>
      <c r="AC95" s="53" t="str">
        <v/>
      </c>
      <c r="AD95" s="53" t="str">
        <v/>
      </c>
      <c r="AE95" s="53" t="str">
        <v/>
      </c>
      <c r="AF95" s="32" t="str">
        <f t="shared" si="5"/>
        <v/>
      </c>
      <c r="AG95" s="32" t="str">
        <f>_xlfn.XLOOKUP(B:B,Disk_Pivot!G:G,Disk_Pivot!I:I)</f>
        <v>Yes x2</v>
      </c>
      <c r="AH95" s="32" t="str">
        <f>_xlfn.XLOOKUP(B95,Disk_Pivot!G:G,Disk_Pivot!N:N)</f>
        <v>Pass, Fail</v>
      </c>
      <c r="AI95" s="32"/>
      <c r="AJ95" s="32"/>
      <c r="AK95" s="32"/>
      <c r="AL95" s="32"/>
      <c r="AM95" s="32"/>
      <c r="AN95" s="32"/>
    </row>
    <row r="96" spans="1:40">
      <c r="A96" s="32" t="str">
        <f>_xlfn.TEXTJOIN("",TRUE,_xlfn.XLOOKUP(B96,Input!J:J,Input!G:G,"",0,1),_xlfn.XLOOKUP(B96,Input!J:J,Input!H:H,"",0,1))</f>
        <v/>
      </c>
      <c r="B96" s="32"/>
      <c r="C96" s="53">
        <f>_xlfn.XLOOKUP(B96,Input!J:J,Input!F:F)</f>
        <v>0</v>
      </c>
      <c r="D96" s="32">
        <f>_xlfn.XLOOKUP(C96,Models!H:H,Models!G:G,C96)</f>
        <v>0</v>
      </c>
      <c r="E96" s="32"/>
      <c r="F96" s="32" t="str">
        <f>_xlfn.XLOOKUP(H96,Models!B:B,Models!F:F,"")</f>
        <v/>
      </c>
      <c r="G96" s="32">
        <f>_xlfn.XLOOKUP(B96,Input!J:J,Input!E:E)</f>
        <v>0</v>
      </c>
      <c r="H96" s="32">
        <f>IF(G96="LENOVO",_xlfn.XLOOKUP(B96,Input!J:J,Input!K:K),_xlfn.XLOOKUP(B96,Input!J:J,Input!L:L))</f>
        <v>0</v>
      </c>
      <c r="I96" s="32"/>
      <c r="J96" s="32"/>
      <c r="K96" s="32">
        <f>_xlfn.XLOOKUP(B96,CPU_Formula!A:A,CPU_Formula!I:I)</f>
        <v>0</v>
      </c>
      <c r="L96" s="53" t="e">
        <f>INDEX(Input!$D$2:$AC$500,
       MATCH(B96, Input!$J$2:$J$500, 0),
       MATCH("Memory Capacity", Input!$D$1:$AC$1, 0))</f>
        <v>#N/A</v>
      </c>
      <c r="M96" s="53" t="e">
        <f>INDEX(Input!$D$2:$AC$500,
       MATCH(B96, Input!$J$2:$J$500, 0),
       MATCH("Memory Type", Input!$D$1:$AC$1, 0))</f>
        <v>#N/A</v>
      </c>
      <c r="N96" s="53" t="e">
        <f t="shared" si="3"/>
        <v>#N/A</v>
      </c>
      <c r="O96" s="53" t="str" cm="1">
        <f t="array" ref="O96">IFERROR(_xlfn.FILTERXML("&lt;t&gt;&lt;s&gt;" &amp; SUBSTITUTE(M96," / ","&lt;/s&gt;&lt;s&gt;") &amp; "&lt;/s&gt;&lt;/t&gt;","(//s[contains(.,'DDR')])[1]"),"")</f>
        <v/>
      </c>
      <c r="P96" s="32" t="e">
        <f t="shared" si="7"/>
        <v>#N/A</v>
      </c>
      <c r="Q96" s="32" t="e">
        <f>INDEX(Input!$D$2:$AC$500,
       MATCH(B96, Input!$J$2:$J$500, 0),
       MATCH("Disk Capacity", Input!$D$1:$AC$1, 0))</f>
        <v>#N/A</v>
      </c>
      <c r="R96" s="32"/>
      <c r="S96" s="53" t="e">
        <f>_xlfn.LET(_xlpm.Result,INDEX(Input!$D$2:$AC$500,
       MATCH(B96, Input!$J$2:$J$500, 0),
       MATCH("Capacity", Input!$D$1:$AC$1, 0)),IF(_xlpm.Result="","",_xlpm.Result))</f>
        <v>#N/A</v>
      </c>
      <c r="T96" s="53" t="e" cm="1">
        <f t="array" ref="T96">_xlfn.TEXTSPLIT(S96," / ", ,TRUE,0,)</f>
        <v>#N/A</v>
      </c>
      <c r="U96" s="53"/>
      <c r="V96" s="53" t="str" cm="1">
        <f t="array" ref="V96">IFERROR(_xlfn.IFS(
T96="","",
--T96&lt;55,"Battery Defect",
--T96&lt;=69,"Battery D",
--T96&lt;=80,"Battery C",
--T96&gt;80,""
),"")</f>
        <v/>
      </c>
      <c r="W96" s="53" t="str" cm="1">
        <f t="array" ref="W96">IFERROR(_xlfn.IFS(
U96="","",
--U96&lt;55,"Battery Defect",
--U96&lt;=69,"Battery D",
--U96&lt;=80,"Battery C",
--U96&gt;80,""
),"")</f>
        <v/>
      </c>
      <c r="X96" s="53" t="str" cm="1">
        <f t="array" ref="X96:AE96">IFERROR(IF(_xlfn.XLOOKUP(B96,Input!J:J,Input!N:U)=0,"",
          _xlfn.XLOOKUP(B96,Input!J:J,Input!N:U)),"")</f>
        <v/>
      </c>
      <c r="Y96" s="53" t="str">
        <v/>
      </c>
      <c r="Z96" s="53" t="str">
        <v/>
      </c>
      <c r="AA96" s="53" t="str">
        <v/>
      </c>
      <c r="AB96" s="53" t="str">
        <v/>
      </c>
      <c r="AC96" s="53" t="str">
        <v/>
      </c>
      <c r="AD96" s="53" t="str">
        <v/>
      </c>
      <c r="AE96" s="53" t="str">
        <v/>
      </c>
      <c r="AF96" s="32" t="str">
        <f t="shared" si="5"/>
        <v/>
      </c>
      <c r="AG96" s="32" t="str">
        <f>_xlfn.XLOOKUP(B:B,Disk_Pivot!G:G,Disk_Pivot!I:I)</f>
        <v>Yes x2</v>
      </c>
      <c r="AH96" s="32" t="str">
        <f>_xlfn.XLOOKUP(B96,Disk_Pivot!G:G,Disk_Pivot!N:N)</f>
        <v>Pass, Fail</v>
      </c>
      <c r="AI96" s="32"/>
      <c r="AJ96" s="32"/>
      <c r="AK96" s="32"/>
      <c r="AL96" s="32"/>
      <c r="AM96" s="32"/>
      <c r="AN96" s="32"/>
    </row>
    <row r="97" spans="1:40">
      <c r="A97" s="32" t="str">
        <f>_xlfn.TEXTJOIN("",TRUE,_xlfn.XLOOKUP(B97,Input!J:J,Input!G:G,"",0,1),_xlfn.XLOOKUP(B97,Input!J:J,Input!H:H,"",0,1))</f>
        <v/>
      </c>
      <c r="B97" s="32"/>
      <c r="C97" s="53">
        <f>_xlfn.XLOOKUP(B97,Input!J:J,Input!F:F)</f>
        <v>0</v>
      </c>
      <c r="D97" s="32">
        <f>_xlfn.XLOOKUP(C97,Models!H:H,Models!G:G,C97)</f>
        <v>0</v>
      </c>
      <c r="E97" s="32"/>
      <c r="F97" s="32" t="str">
        <f>_xlfn.XLOOKUP(H97,Models!B:B,Models!F:F,"")</f>
        <v/>
      </c>
      <c r="G97" s="32">
        <f>_xlfn.XLOOKUP(B97,Input!J:J,Input!E:E)</f>
        <v>0</v>
      </c>
      <c r="H97" s="32">
        <f>IF(G97="LENOVO",_xlfn.XLOOKUP(B97,Input!J:J,Input!K:K),_xlfn.XLOOKUP(B97,Input!J:J,Input!L:L))</f>
        <v>0</v>
      </c>
      <c r="I97" s="32"/>
      <c r="J97" s="32"/>
      <c r="K97" s="32">
        <f>_xlfn.XLOOKUP(B97,CPU_Formula!A:A,CPU_Formula!I:I)</f>
        <v>0</v>
      </c>
      <c r="L97" s="53" t="e">
        <f>INDEX(Input!$D$2:$AC$500,
       MATCH(B97, Input!$J$2:$J$500, 0),
       MATCH("Memory Capacity", Input!$D$1:$AC$1, 0))</f>
        <v>#N/A</v>
      </c>
      <c r="M97" s="53" t="e">
        <f>INDEX(Input!$D$2:$AC$500,
       MATCH(B97, Input!$J$2:$J$500, 0),
       MATCH("Memory Type", Input!$D$1:$AC$1, 0))</f>
        <v>#N/A</v>
      </c>
      <c r="N97" s="53" t="e">
        <f t="shared" si="3"/>
        <v>#N/A</v>
      </c>
      <c r="O97" s="53" t="str" cm="1">
        <f t="array" ref="O97">IFERROR(_xlfn.FILTERXML("&lt;t&gt;&lt;s&gt;" &amp; SUBSTITUTE(M97," / ","&lt;/s&gt;&lt;s&gt;") &amp; "&lt;/s&gt;&lt;/t&gt;","(//s[contains(.,'DDR')])[1]"),"")</f>
        <v/>
      </c>
      <c r="P97" s="32" t="e">
        <f t="shared" si="7"/>
        <v>#N/A</v>
      </c>
      <c r="Q97" s="32" t="e">
        <f>INDEX(Input!$D$2:$AC$500,
       MATCH(B97, Input!$J$2:$J$500, 0),
       MATCH("Disk Capacity", Input!$D$1:$AC$1, 0))</f>
        <v>#N/A</v>
      </c>
      <c r="R97" s="32"/>
      <c r="S97" s="53" t="e">
        <f>_xlfn.LET(_xlpm.Result,INDEX(Input!$D$2:$AC$500,
       MATCH(B97, Input!$J$2:$J$500, 0),
       MATCH("Capacity", Input!$D$1:$AC$1, 0)),IF(_xlpm.Result="","",_xlpm.Result))</f>
        <v>#N/A</v>
      </c>
      <c r="T97" s="53" t="e" cm="1">
        <f t="array" ref="T97">_xlfn.TEXTSPLIT(S97," / ", ,TRUE,0,)</f>
        <v>#N/A</v>
      </c>
      <c r="U97" s="53"/>
      <c r="V97" s="53" t="str" cm="1">
        <f t="array" ref="V97">IFERROR(_xlfn.IFS(
T97="","",
--T97&lt;55,"Battery Defect",
--T97&lt;=69,"Battery D",
--T97&lt;=80,"Battery C",
--T97&gt;80,""
),"")</f>
        <v/>
      </c>
      <c r="W97" s="53" t="str" cm="1">
        <f t="array" ref="W97">IFERROR(_xlfn.IFS(
U97="","",
--U97&lt;55,"Battery Defect",
--U97&lt;=69,"Battery D",
--U97&lt;=80,"Battery C",
--U97&gt;80,""
),"")</f>
        <v/>
      </c>
      <c r="X97" s="53" t="str" cm="1">
        <f t="array" ref="X97:AE97">IFERROR(IF(_xlfn.XLOOKUP(B97,Input!J:J,Input!N:U)=0,"",
          _xlfn.XLOOKUP(B97,Input!J:J,Input!N:U)),"")</f>
        <v/>
      </c>
      <c r="Y97" s="53" t="str">
        <v/>
      </c>
      <c r="Z97" s="53" t="str">
        <v/>
      </c>
      <c r="AA97" s="53" t="str">
        <v/>
      </c>
      <c r="AB97" s="53" t="str">
        <v/>
      </c>
      <c r="AC97" s="53" t="str">
        <v/>
      </c>
      <c r="AD97" s="53" t="str">
        <v/>
      </c>
      <c r="AE97" s="53" t="str">
        <v/>
      </c>
      <c r="AF97" s="32" t="str">
        <f t="shared" si="5"/>
        <v/>
      </c>
      <c r="AG97" s="32" t="str">
        <f>_xlfn.XLOOKUP(B:B,Disk_Pivot!G:G,Disk_Pivot!I:I)</f>
        <v>Yes x2</v>
      </c>
      <c r="AH97" s="32" t="str">
        <f>_xlfn.XLOOKUP(B97,Disk_Pivot!G:G,Disk_Pivot!N:N)</f>
        <v>Pass, Fail</v>
      </c>
      <c r="AI97" s="32"/>
      <c r="AJ97" s="32"/>
      <c r="AK97" s="32"/>
      <c r="AL97" s="32"/>
      <c r="AM97" s="32"/>
      <c r="AN97" s="32"/>
    </row>
    <row r="98" spans="1:40">
      <c r="A98" s="32" t="str">
        <f>_xlfn.TEXTJOIN("",TRUE,_xlfn.XLOOKUP(B98,Input!J:J,Input!G:G,"",0,1),_xlfn.XLOOKUP(B98,Input!J:J,Input!H:H,"",0,1))</f>
        <v/>
      </c>
      <c r="B98" s="32"/>
      <c r="C98" s="53">
        <f>_xlfn.XLOOKUP(B98,Input!J:J,Input!F:F)</f>
        <v>0</v>
      </c>
      <c r="D98" s="32">
        <f>_xlfn.XLOOKUP(C98,Models!H:H,Models!G:G,C98)</f>
        <v>0</v>
      </c>
      <c r="E98" s="32"/>
      <c r="F98" s="32" t="str">
        <f>_xlfn.XLOOKUP(H98,Models!B:B,Models!F:F,"")</f>
        <v/>
      </c>
      <c r="G98" s="32">
        <f>_xlfn.XLOOKUP(B98,Input!J:J,Input!E:E)</f>
        <v>0</v>
      </c>
      <c r="H98" s="32">
        <f>IF(G98="LENOVO",_xlfn.XLOOKUP(B98,Input!J:J,Input!K:K),_xlfn.XLOOKUP(B98,Input!J:J,Input!L:L))</f>
        <v>0</v>
      </c>
      <c r="I98" s="32"/>
      <c r="J98" s="32"/>
      <c r="K98" s="32">
        <f>_xlfn.XLOOKUP(B98,CPU_Formula!A:A,CPU_Formula!I:I)</f>
        <v>0</v>
      </c>
      <c r="L98" s="53" t="e">
        <f>INDEX(Input!$D$2:$AC$500,
       MATCH(B98, Input!$J$2:$J$500, 0),
       MATCH("Memory Capacity", Input!$D$1:$AC$1, 0))</f>
        <v>#N/A</v>
      </c>
      <c r="M98" s="53" t="e">
        <f>INDEX(Input!$D$2:$AC$500,
       MATCH(B98, Input!$J$2:$J$500, 0),
       MATCH("Memory Type", Input!$D$1:$AC$1, 0))</f>
        <v>#N/A</v>
      </c>
      <c r="N98" s="53" t="e">
        <f t="shared" si="3"/>
        <v>#N/A</v>
      </c>
      <c r="O98" s="53" t="str" cm="1">
        <f t="array" ref="O98">IFERROR(_xlfn.FILTERXML("&lt;t&gt;&lt;s&gt;" &amp; SUBSTITUTE(M98," / ","&lt;/s&gt;&lt;s&gt;") &amp; "&lt;/s&gt;&lt;/t&gt;","(//s[contains(.,'DDR')])[1]"),"")</f>
        <v/>
      </c>
      <c r="P98" s="32" t="e">
        <f t="shared" si="7"/>
        <v>#N/A</v>
      </c>
      <c r="Q98" s="32" t="e">
        <f>INDEX(Input!$D$2:$AC$500,
       MATCH(B98, Input!$J$2:$J$500, 0),
       MATCH("Disk Capacity", Input!$D$1:$AC$1, 0))</f>
        <v>#N/A</v>
      </c>
      <c r="R98" s="32"/>
      <c r="S98" s="53" t="e">
        <f>_xlfn.LET(_xlpm.Result,INDEX(Input!$D$2:$AC$500,
       MATCH(B98, Input!$J$2:$J$500, 0),
       MATCH("Capacity", Input!$D$1:$AC$1, 0)),IF(_xlpm.Result="","",_xlpm.Result))</f>
        <v>#N/A</v>
      </c>
      <c r="T98" s="53" t="e" cm="1">
        <f t="array" ref="T98">_xlfn.TEXTSPLIT(S98," / ", ,TRUE,0,)</f>
        <v>#N/A</v>
      </c>
      <c r="U98" s="53"/>
      <c r="V98" s="53" t="str" cm="1">
        <f t="array" ref="V98">IFERROR(_xlfn.IFS(
T98="","",
--T98&lt;55,"Battery Defect",
--T98&lt;=69,"Battery D",
--T98&lt;=80,"Battery C",
--T98&gt;80,""
),"")</f>
        <v/>
      </c>
      <c r="W98" s="53" t="str" cm="1">
        <f t="array" ref="W98">IFERROR(_xlfn.IFS(
U98="","",
--U98&lt;55,"Battery Defect",
--U98&lt;=69,"Battery D",
--U98&lt;=80,"Battery C",
--U98&gt;80,""
),"")</f>
        <v/>
      </c>
      <c r="X98" s="53" t="str" cm="1">
        <f t="array" ref="X98:AE98">IFERROR(IF(_xlfn.XLOOKUP(B98,Input!J:J,Input!N:U)=0,"",
          _xlfn.XLOOKUP(B98,Input!J:J,Input!N:U)),"")</f>
        <v/>
      </c>
      <c r="Y98" s="53" t="str">
        <v/>
      </c>
      <c r="Z98" s="53" t="str">
        <v/>
      </c>
      <c r="AA98" s="53" t="str">
        <v/>
      </c>
      <c r="AB98" s="53" t="str">
        <v/>
      </c>
      <c r="AC98" s="53" t="str">
        <v/>
      </c>
      <c r="AD98" s="53" t="str">
        <v/>
      </c>
      <c r="AE98" s="53" t="str">
        <v/>
      </c>
      <c r="AF98" s="32" t="str">
        <f t="shared" si="5"/>
        <v/>
      </c>
      <c r="AG98" s="32" t="str">
        <f>_xlfn.XLOOKUP(B:B,Disk_Pivot!G:G,Disk_Pivot!I:I)</f>
        <v>Yes x2</v>
      </c>
      <c r="AH98" s="32" t="str">
        <f>_xlfn.XLOOKUP(B98,Disk_Pivot!G:G,Disk_Pivot!N:N)</f>
        <v>Pass, Fail</v>
      </c>
      <c r="AI98" s="32"/>
      <c r="AJ98" s="32"/>
      <c r="AK98" s="32"/>
      <c r="AL98" s="32"/>
      <c r="AM98" s="32"/>
      <c r="AN98" s="32"/>
    </row>
    <row r="99" spans="1:40">
      <c r="A99" s="32" t="str">
        <f>_xlfn.TEXTJOIN("",TRUE,_xlfn.XLOOKUP(B99,Input!J:J,Input!G:G,"",0,1),_xlfn.XLOOKUP(B99,Input!J:J,Input!H:H,"",0,1))</f>
        <v/>
      </c>
      <c r="B99" s="32"/>
      <c r="C99" s="53">
        <f>_xlfn.XLOOKUP(B99,Input!J:J,Input!F:F)</f>
        <v>0</v>
      </c>
      <c r="D99" s="32">
        <f>_xlfn.XLOOKUP(C99,Models!H:H,Models!G:G,C99)</f>
        <v>0</v>
      </c>
      <c r="E99" s="32"/>
      <c r="F99" s="32" t="str">
        <f>_xlfn.XLOOKUP(H99,Models!B:B,Models!F:F,"")</f>
        <v/>
      </c>
      <c r="G99" s="32">
        <f>_xlfn.XLOOKUP(B99,Input!J:J,Input!E:E)</f>
        <v>0</v>
      </c>
      <c r="H99" s="32">
        <f>IF(G99="LENOVO",_xlfn.XLOOKUP(B99,Input!J:J,Input!K:K),_xlfn.XLOOKUP(B99,Input!J:J,Input!L:L))</f>
        <v>0</v>
      </c>
      <c r="I99" s="32"/>
      <c r="J99" s="32"/>
      <c r="K99" s="32">
        <f>_xlfn.XLOOKUP(B99,CPU_Formula!A:A,CPU_Formula!I:I)</f>
        <v>0</v>
      </c>
      <c r="L99" s="53" t="e">
        <f>INDEX(Input!$D$2:$AC$500,
       MATCH(B99, Input!$J$2:$J$500, 0),
       MATCH("Memory Capacity", Input!$D$1:$AC$1, 0))</f>
        <v>#N/A</v>
      </c>
      <c r="M99" s="53" t="e">
        <f>INDEX(Input!$D$2:$AC$500,
       MATCH(B99, Input!$J$2:$J$500, 0),
       MATCH("Memory Type", Input!$D$1:$AC$1, 0))</f>
        <v>#N/A</v>
      </c>
      <c r="N99" s="53" t="e">
        <f t="shared" si="3"/>
        <v>#N/A</v>
      </c>
      <c r="O99" s="53" t="str" cm="1">
        <f t="array" ref="O99">IFERROR(_xlfn.FILTERXML("&lt;t&gt;&lt;s&gt;" &amp; SUBSTITUTE(M99," / ","&lt;/s&gt;&lt;s&gt;") &amp; "&lt;/s&gt;&lt;/t&gt;","(//s[contains(.,'DDR')])[1]"),"")</f>
        <v/>
      </c>
      <c r="P99" s="32" t="e">
        <f t="shared" si="7"/>
        <v>#N/A</v>
      </c>
      <c r="Q99" s="32" t="e">
        <f>INDEX(Input!$D$2:$AC$500,
       MATCH(B99, Input!$J$2:$J$500, 0),
       MATCH("Disk Capacity", Input!$D$1:$AC$1, 0))</f>
        <v>#N/A</v>
      </c>
      <c r="R99" s="32"/>
      <c r="S99" s="53" t="e">
        <f>_xlfn.LET(_xlpm.Result,INDEX(Input!$D$2:$AC$500,
       MATCH(B99, Input!$J$2:$J$500, 0),
       MATCH("Capacity", Input!$D$1:$AC$1, 0)),IF(_xlpm.Result="","",_xlpm.Result))</f>
        <v>#N/A</v>
      </c>
      <c r="T99" s="53" t="e" cm="1">
        <f t="array" ref="T99">_xlfn.TEXTSPLIT(S99," / ", ,TRUE,0,)</f>
        <v>#N/A</v>
      </c>
      <c r="U99" s="53"/>
      <c r="V99" s="53" t="str" cm="1">
        <f t="array" ref="V99">IFERROR(_xlfn.IFS(
T99="","",
--T99&lt;55,"Battery Defect",
--T99&lt;=69,"Battery D",
--T99&lt;=80,"Battery C",
--T99&gt;80,""
),"")</f>
        <v/>
      </c>
      <c r="W99" s="53" t="str" cm="1">
        <f t="array" ref="W99">IFERROR(_xlfn.IFS(
U99="","",
--U99&lt;55,"Battery Defect",
--U99&lt;=69,"Battery D",
--U99&lt;=80,"Battery C",
--U99&gt;80,""
),"")</f>
        <v/>
      </c>
      <c r="X99" s="53" t="str" cm="1">
        <f t="array" ref="X99:AE99">IFERROR(IF(_xlfn.XLOOKUP(B99,Input!J:J,Input!N:U)=0,"",
          _xlfn.XLOOKUP(B99,Input!J:J,Input!N:U)),"")</f>
        <v/>
      </c>
      <c r="Y99" s="53" t="str">
        <v/>
      </c>
      <c r="Z99" s="53" t="str">
        <v/>
      </c>
      <c r="AA99" s="53" t="str">
        <v/>
      </c>
      <c r="AB99" s="53" t="str">
        <v/>
      </c>
      <c r="AC99" s="53" t="str">
        <v/>
      </c>
      <c r="AD99" s="53" t="str">
        <v/>
      </c>
      <c r="AE99" s="53" t="str">
        <v/>
      </c>
      <c r="AF99" s="32" t="str">
        <f t="shared" si="5"/>
        <v/>
      </c>
      <c r="AG99" s="32" t="str">
        <f>_xlfn.XLOOKUP(B:B,Disk_Pivot!G:G,Disk_Pivot!I:I)</f>
        <v>Yes x2</v>
      </c>
      <c r="AH99" s="32" t="str">
        <f>_xlfn.XLOOKUP(B99,Disk_Pivot!G:G,Disk_Pivot!N:N)</f>
        <v>Pass, Fail</v>
      </c>
      <c r="AI99" s="32"/>
      <c r="AJ99" s="32"/>
      <c r="AK99" s="32"/>
      <c r="AL99" s="32"/>
      <c r="AM99" s="32"/>
      <c r="AN99" s="32"/>
    </row>
    <row r="100" spans="1:40">
      <c r="A100" s="32" t="str">
        <f>_xlfn.TEXTJOIN("",TRUE,_xlfn.XLOOKUP(B100,Input!J:J,Input!G:G,"",0,1),_xlfn.XLOOKUP(B100,Input!J:J,Input!H:H,"",0,1))</f>
        <v/>
      </c>
      <c r="B100" s="32"/>
      <c r="C100" s="53">
        <f>_xlfn.XLOOKUP(B100,Input!J:J,Input!F:F)</f>
        <v>0</v>
      </c>
      <c r="D100" s="32">
        <f>_xlfn.XLOOKUP(C100,Models!H:H,Models!G:G,C100)</f>
        <v>0</v>
      </c>
      <c r="E100" s="32"/>
      <c r="F100" s="32" t="str">
        <f>_xlfn.XLOOKUP(H100,Models!B:B,Models!F:F,"")</f>
        <v/>
      </c>
      <c r="G100" s="32">
        <f>_xlfn.XLOOKUP(B100,Input!J:J,Input!E:E)</f>
        <v>0</v>
      </c>
      <c r="H100" s="32">
        <f>IF(G100="LENOVO",_xlfn.XLOOKUP(B100,Input!J:J,Input!K:K),_xlfn.XLOOKUP(B100,Input!J:J,Input!L:L))</f>
        <v>0</v>
      </c>
      <c r="I100" s="32"/>
      <c r="J100" s="32"/>
      <c r="K100" s="32">
        <f>_xlfn.XLOOKUP(B100,CPU_Formula!A:A,CPU_Formula!I:I)</f>
        <v>0</v>
      </c>
      <c r="L100" s="53" t="e">
        <f>INDEX(Input!$D$2:$AC$500,
       MATCH(B100, Input!$J$2:$J$500, 0),
       MATCH("Memory Capacity", Input!$D$1:$AC$1, 0))</f>
        <v>#N/A</v>
      </c>
      <c r="M100" s="53" t="e">
        <f>INDEX(Input!$D$2:$AC$500,
       MATCH(B100, Input!$J$2:$J$500, 0),
       MATCH("Memory Type", Input!$D$1:$AC$1, 0))</f>
        <v>#N/A</v>
      </c>
      <c r="N100" s="53" t="e">
        <f t="shared" si="3"/>
        <v>#N/A</v>
      </c>
      <c r="O100" s="53" t="str" cm="1">
        <f t="array" ref="O100">IFERROR(_xlfn.FILTERXML("&lt;t&gt;&lt;s&gt;" &amp; SUBSTITUTE(M100," / ","&lt;/s&gt;&lt;s&gt;") &amp; "&lt;/s&gt;&lt;/t&gt;","(//s[contains(.,'DDR')])[1]"),"")</f>
        <v/>
      </c>
      <c r="P100" s="32" t="e">
        <f t="shared" si="7"/>
        <v>#N/A</v>
      </c>
      <c r="Q100" s="32" t="e">
        <f>INDEX(Input!$D$2:$AC$500,
       MATCH(B100, Input!$J$2:$J$500, 0),
       MATCH("Disk Capacity", Input!$D$1:$AC$1, 0))</f>
        <v>#N/A</v>
      </c>
      <c r="R100" s="32"/>
      <c r="S100" s="53" t="e">
        <f>_xlfn.LET(_xlpm.Result,INDEX(Input!$D$2:$AC$500,
       MATCH(B100, Input!$J$2:$J$500, 0),
       MATCH("Capacity", Input!$D$1:$AC$1, 0)),IF(_xlpm.Result="","",_xlpm.Result))</f>
        <v>#N/A</v>
      </c>
      <c r="T100" s="53" t="e" cm="1">
        <f t="array" ref="T100">_xlfn.TEXTSPLIT(S100," / ", ,TRUE,0,)</f>
        <v>#N/A</v>
      </c>
      <c r="U100" s="53"/>
      <c r="V100" s="53" t="str" cm="1">
        <f t="array" ref="V100">IFERROR(_xlfn.IFS(
T100="","",
--T100&lt;55,"Battery Defect",
--T100&lt;=69,"Battery D",
--T100&lt;=80,"Battery C",
--T100&gt;80,""
),"")</f>
        <v/>
      </c>
      <c r="W100" s="53" t="str" cm="1">
        <f t="array" ref="W100">IFERROR(_xlfn.IFS(
U100="","",
--U100&lt;55,"Battery Defect",
--U100&lt;=69,"Battery D",
--U100&lt;=80,"Battery C",
--U100&gt;80,""
),"")</f>
        <v/>
      </c>
      <c r="X100" s="53" t="str" cm="1">
        <f t="array" ref="X100:AE100">IFERROR(IF(_xlfn.XLOOKUP(B100,Input!J:J,Input!N:U)=0,"",
          _xlfn.XLOOKUP(B100,Input!J:J,Input!N:U)),"")</f>
        <v/>
      </c>
      <c r="Y100" s="53" t="str">
        <v/>
      </c>
      <c r="Z100" s="53" t="str">
        <v/>
      </c>
      <c r="AA100" s="53" t="str">
        <v/>
      </c>
      <c r="AB100" s="53" t="str">
        <v/>
      </c>
      <c r="AC100" s="53" t="str">
        <v/>
      </c>
      <c r="AD100" s="53" t="str">
        <v/>
      </c>
      <c r="AE100" s="53" t="str">
        <v/>
      </c>
      <c r="AF100" s="32" t="str">
        <f t="shared" si="5"/>
        <v/>
      </c>
      <c r="AG100" s="32" t="str">
        <f>_xlfn.XLOOKUP(B:B,Disk_Pivot!G:G,Disk_Pivot!I:I)</f>
        <v>Yes x2</v>
      </c>
      <c r="AH100" s="32" t="str">
        <f>_xlfn.XLOOKUP(B100,Disk_Pivot!G:G,Disk_Pivot!N:N)</f>
        <v>Pass, Fail</v>
      </c>
      <c r="AI100" s="32"/>
      <c r="AJ100" s="32"/>
      <c r="AK100" s="32"/>
      <c r="AL100" s="32"/>
      <c r="AM100" s="32"/>
      <c r="AN100" s="32"/>
    </row>
    <row r="101" spans="1:40">
      <c r="A101" s="32" t="str">
        <f>_xlfn.TEXTJOIN("",TRUE,_xlfn.XLOOKUP(B101,Input!J:J,Input!G:G,"",0,1),_xlfn.XLOOKUP(B101,Input!J:J,Input!H:H,"",0,1))</f>
        <v/>
      </c>
      <c r="B101" s="32"/>
      <c r="C101" s="53">
        <f>_xlfn.XLOOKUP(B101,Input!J:J,Input!F:F)</f>
        <v>0</v>
      </c>
      <c r="D101" s="32">
        <f>_xlfn.XLOOKUP(C101,Models!H:H,Models!G:G,C101)</f>
        <v>0</v>
      </c>
      <c r="E101" s="32"/>
      <c r="F101" s="32" t="str">
        <f>_xlfn.XLOOKUP(H101,Models!B:B,Models!F:F,"")</f>
        <v/>
      </c>
      <c r="G101" s="32">
        <f>_xlfn.XLOOKUP(B101,Input!J:J,Input!E:E)</f>
        <v>0</v>
      </c>
      <c r="H101" s="32">
        <f>IF(G101="LENOVO",_xlfn.XLOOKUP(B101,Input!J:J,Input!K:K),_xlfn.XLOOKUP(B101,Input!J:J,Input!L:L))</f>
        <v>0</v>
      </c>
      <c r="I101" s="32"/>
      <c r="J101" s="32"/>
      <c r="K101" s="32">
        <f>_xlfn.XLOOKUP(B101,CPU_Formula!A:A,CPU_Formula!I:I)</f>
        <v>0</v>
      </c>
      <c r="L101" s="53" t="e">
        <f>INDEX(Input!$D$2:$AC$500,
       MATCH(B101, Input!$J$2:$J$500, 0),
       MATCH("Memory Capacity", Input!$D$1:$AC$1, 0))</f>
        <v>#N/A</v>
      </c>
      <c r="M101" s="53" t="e">
        <f>INDEX(Input!$D$2:$AC$500,
       MATCH(B101, Input!$J$2:$J$500, 0),
       MATCH("Memory Type", Input!$D$1:$AC$1, 0))</f>
        <v>#N/A</v>
      </c>
      <c r="N101" s="53" t="e">
        <f t="shared" si="3"/>
        <v>#N/A</v>
      </c>
      <c r="O101" s="53" t="str" cm="1">
        <f t="array" ref="O101">IFERROR(_xlfn.FILTERXML("&lt;t&gt;&lt;s&gt;" &amp; SUBSTITUTE(M101," / ","&lt;/s&gt;&lt;s&gt;") &amp; "&lt;/s&gt;&lt;/t&gt;","(//s[contains(.,'DDR')])[1]"),"")</f>
        <v/>
      </c>
      <c r="P101" s="32" t="e">
        <f t="shared" si="7"/>
        <v>#N/A</v>
      </c>
      <c r="Q101" s="32" t="e">
        <f>INDEX(Input!$D$2:$AC$500,
       MATCH(B101, Input!$J$2:$J$500, 0),
       MATCH("Disk Capacity", Input!$D$1:$AC$1, 0))</f>
        <v>#N/A</v>
      </c>
      <c r="R101" s="32"/>
      <c r="S101" s="53" t="e">
        <f>_xlfn.LET(_xlpm.Result,INDEX(Input!$D$2:$AC$500,
       MATCH(B101, Input!$J$2:$J$500, 0),
       MATCH("Capacity", Input!$D$1:$AC$1, 0)),IF(_xlpm.Result="","",_xlpm.Result))</f>
        <v>#N/A</v>
      </c>
      <c r="T101" s="53" t="e" cm="1">
        <f t="array" ref="T101">_xlfn.TEXTSPLIT(S101," / ", ,TRUE,0,)</f>
        <v>#N/A</v>
      </c>
      <c r="U101" s="53"/>
      <c r="V101" s="53" t="str" cm="1">
        <f t="array" ref="V101">IFERROR(_xlfn.IFS(
T101="","",
--T101&lt;55,"Battery Defect",
--T101&lt;=69,"Battery D",
--T101&lt;=80,"Battery C",
--T101&gt;80,""
),"")</f>
        <v/>
      </c>
      <c r="W101" s="53" t="str" cm="1">
        <f t="array" ref="W101">IFERROR(_xlfn.IFS(
U101="","",
--U101&lt;55,"Battery Defect",
--U101&lt;=69,"Battery D",
--U101&lt;=80,"Battery C",
--U101&gt;80,""
),"")</f>
        <v/>
      </c>
      <c r="X101" s="53" t="str" cm="1">
        <f t="array" ref="X101:AE101">IFERROR(IF(_xlfn.XLOOKUP(B101,Input!J:J,Input!N:U)=0,"",
          _xlfn.XLOOKUP(B101,Input!J:J,Input!N:U)),"")</f>
        <v/>
      </c>
      <c r="Y101" s="53" t="str">
        <v/>
      </c>
      <c r="Z101" s="53" t="str">
        <v/>
      </c>
      <c r="AA101" s="53" t="str">
        <v/>
      </c>
      <c r="AB101" s="53" t="str">
        <v/>
      </c>
      <c r="AC101" s="53" t="str">
        <v/>
      </c>
      <c r="AD101" s="53" t="str">
        <v/>
      </c>
      <c r="AE101" s="53" t="str">
        <v/>
      </c>
      <c r="AF101" s="32" t="str">
        <f t="shared" si="5"/>
        <v/>
      </c>
      <c r="AG101" s="32" t="str">
        <f>_xlfn.XLOOKUP(B:B,Disk_Pivot!G:G,Disk_Pivot!I:I)</f>
        <v>Yes x2</v>
      </c>
      <c r="AH101" s="32" t="str">
        <f>_xlfn.XLOOKUP(B101,Disk_Pivot!G:G,Disk_Pivot!N:N)</f>
        <v>Pass, Fail</v>
      </c>
      <c r="AI101" s="32"/>
      <c r="AJ101" s="32"/>
      <c r="AK101" s="32"/>
      <c r="AL101" s="32"/>
      <c r="AM101" s="32"/>
      <c r="AN101" s="32"/>
    </row>
    <row r="102" spans="1:40">
      <c r="A102" s="32" t="str">
        <f>_xlfn.TEXTJOIN("",TRUE,_xlfn.XLOOKUP(B102,Input!J:J,Input!G:G,"",0,1),_xlfn.XLOOKUP(B102,Input!J:J,Input!H:H,"",0,1))</f>
        <v/>
      </c>
      <c r="B102" s="32"/>
      <c r="C102" s="53">
        <f>_xlfn.XLOOKUP(B102,Input!J:J,Input!F:F)</f>
        <v>0</v>
      </c>
      <c r="D102" s="32">
        <f>_xlfn.XLOOKUP(C102,Models!H:H,Models!G:G,C102)</f>
        <v>0</v>
      </c>
      <c r="E102" s="32"/>
      <c r="F102" s="32" t="str">
        <f>_xlfn.XLOOKUP(H102,Models!B:B,Models!F:F,"")</f>
        <v/>
      </c>
      <c r="G102" s="32">
        <f>_xlfn.XLOOKUP(B102,Input!J:J,Input!E:E)</f>
        <v>0</v>
      </c>
      <c r="H102" s="32">
        <f>IF(G102="LENOVO",_xlfn.XLOOKUP(B102,Input!J:J,Input!K:K),_xlfn.XLOOKUP(B102,Input!J:J,Input!L:L))</f>
        <v>0</v>
      </c>
      <c r="I102" s="32"/>
      <c r="J102" s="32"/>
      <c r="K102" s="32">
        <f>_xlfn.XLOOKUP(B102,CPU_Formula!A:A,CPU_Formula!I:I)</f>
        <v>0</v>
      </c>
      <c r="L102" s="53" t="e">
        <f>INDEX(Input!$D$2:$AC$500,
       MATCH(B102, Input!$J$2:$J$500, 0),
       MATCH("Memory Capacity", Input!$D$1:$AC$1, 0))</f>
        <v>#N/A</v>
      </c>
      <c r="M102" s="53" t="e">
        <f>INDEX(Input!$D$2:$AC$500,
       MATCH(B102, Input!$J$2:$J$500, 0),
       MATCH("Memory Type", Input!$D$1:$AC$1, 0))</f>
        <v>#N/A</v>
      </c>
      <c r="N102" s="53" t="e">
        <f t="shared" si="3"/>
        <v>#N/A</v>
      </c>
      <c r="O102" s="53" t="str" cm="1">
        <f t="array" ref="O102">IFERROR(_xlfn.FILTERXML("&lt;t&gt;&lt;s&gt;" &amp; SUBSTITUTE(M102," / ","&lt;/s&gt;&lt;s&gt;") &amp; "&lt;/s&gt;&lt;/t&gt;","(//s[contains(.,'DDR')])[1]"),"")</f>
        <v/>
      </c>
      <c r="P102" s="32" t="e">
        <f t="shared" si="7"/>
        <v>#N/A</v>
      </c>
      <c r="Q102" s="32" t="e">
        <f>INDEX(Input!$D$2:$AC$500,
       MATCH(B102, Input!$J$2:$J$500, 0),
       MATCH("Disk Capacity", Input!$D$1:$AC$1, 0))</f>
        <v>#N/A</v>
      </c>
      <c r="R102" s="32"/>
      <c r="S102" s="53" t="e">
        <f>_xlfn.LET(_xlpm.Result,INDEX(Input!$D$2:$AC$500,
       MATCH(B102, Input!$J$2:$J$500, 0),
       MATCH("Capacity", Input!$D$1:$AC$1, 0)),IF(_xlpm.Result="","",_xlpm.Result))</f>
        <v>#N/A</v>
      </c>
      <c r="T102" s="53" t="e" cm="1">
        <f t="array" ref="T102">_xlfn.TEXTSPLIT(S102," / ", ,TRUE,0,)</f>
        <v>#N/A</v>
      </c>
      <c r="U102" s="53"/>
      <c r="V102" s="53" t="str" cm="1">
        <f t="array" ref="V102">IFERROR(_xlfn.IFS(
T102="","",
--T102&lt;55,"Battery Defect",
--T102&lt;=69,"Battery D",
--T102&lt;=80,"Battery C",
--T102&gt;80,""
),"")</f>
        <v/>
      </c>
      <c r="W102" s="53" t="str" cm="1">
        <f t="array" ref="W102">IFERROR(_xlfn.IFS(
U102="","",
--U102&lt;55,"Battery Defect",
--U102&lt;=69,"Battery D",
--U102&lt;=80,"Battery C",
--U102&gt;80,""
),"")</f>
        <v/>
      </c>
      <c r="X102" s="53" t="str" cm="1">
        <f t="array" ref="X102:AE102">IFERROR(IF(_xlfn.XLOOKUP(B102,Input!J:J,Input!N:U)=0,"",
          _xlfn.XLOOKUP(B102,Input!J:J,Input!N:U)),"")</f>
        <v/>
      </c>
      <c r="Y102" s="53" t="str">
        <v/>
      </c>
      <c r="Z102" s="53" t="str">
        <v/>
      </c>
      <c r="AA102" s="53" t="str">
        <v/>
      </c>
      <c r="AB102" s="53" t="str">
        <v/>
      </c>
      <c r="AC102" s="53" t="str">
        <v/>
      </c>
      <c r="AD102" s="53" t="str">
        <v/>
      </c>
      <c r="AE102" s="53" t="str">
        <v/>
      </c>
      <c r="AF102" s="32" t="str">
        <f t="shared" si="5"/>
        <v/>
      </c>
      <c r="AG102" s="32" t="str">
        <f>_xlfn.XLOOKUP(B:B,Disk_Pivot!G:G,Disk_Pivot!I:I)</f>
        <v>Yes x2</v>
      </c>
      <c r="AH102" s="32" t="str">
        <f>_xlfn.XLOOKUP(B102,Disk_Pivot!G:G,Disk_Pivot!N:N)</f>
        <v>Pass, Fail</v>
      </c>
      <c r="AI102" s="32"/>
      <c r="AJ102" s="32"/>
      <c r="AK102" s="32"/>
      <c r="AL102" s="32"/>
      <c r="AM102" s="32"/>
      <c r="AN102" s="32"/>
    </row>
    <row r="103" spans="1:40">
      <c r="A103" s="32" t="str">
        <f>_xlfn.TEXTJOIN("",TRUE,_xlfn.XLOOKUP(B103,Input!J:J,Input!G:G,"",0,1),_xlfn.XLOOKUP(B103,Input!J:J,Input!H:H,"",0,1))</f>
        <v/>
      </c>
      <c r="B103" s="32"/>
      <c r="C103" s="53">
        <f>_xlfn.XLOOKUP(B103,Input!J:J,Input!F:F)</f>
        <v>0</v>
      </c>
      <c r="D103" s="32">
        <f>_xlfn.XLOOKUP(C103,Models!H:H,Models!G:G,C103)</f>
        <v>0</v>
      </c>
      <c r="E103" s="32"/>
      <c r="F103" s="32" t="str">
        <f>_xlfn.XLOOKUP(H103,Models!B:B,Models!F:F,"")</f>
        <v/>
      </c>
      <c r="G103" s="32">
        <f>_xlfn.XLOOKUP(B103,Input!J:J,Input!E:E)</f>
        <v>0</v>
      </c>
      <c r="H103" s="32">
        <f>IF(G103="LENOVO",_xlfn.XLOOKUP(B103,Input!J:J,Input!K:K),_xlfn.XLOOKUP(B103,Input!J:J,Input!L:L))</f>
        <v>0</v>
      </c>
      <c r="I103" s="32"/>
      <c r="J103" s="32"/>
      <c r="K103" s="32">
        <f>_xlfn.XLOOKUP(B103,CPU_Formula!A:A,CPU_Formula!I:I)</f>
        <v>0</v>
      </c>
      <c r="L103" s="53" t="e">
        <f>INDEX(Input!$D$2:$AC$500,
       MATCH(B103, Input!$J$2:$J$500, 0),
       MATCH("Memory Capacity", Input!$D$1:$AC$1, 0))</f>
        <v>#N/A</v>
      </c>
      <c r="M103" s="53" t="e">
        <f>INDEX(Input!$D$2:$AC$500,
       MATCH(B103, Input!$J$2:$J$500, 0),
       MATCH("Memory Type", Input!$D$1:$AC$1, 0))</f>
        <v>#N/A</v>
      </c>
      <c r="N103" s="53" t="e">
        <f t="shared" si="3"/>
        <v>#N/A</v>
      </c>
      <c r="O103" s="53" t="str" cm="1">
        <f t="array" ref="O103">IFERROR(_xlfn.FILTERXML("&lt;t&gt;&lt;s&gt;" &amp; SUBSTITUTE(M103," / ","&lt;/s&gt;&lt;s&gt;") &amp; "&lt;/s&gt;&lt;/t&gt;","(//s[contains(.,'DDR')])[1]"),"")</f>
        <v/>
      </c>
      <c r="P103" s="32" t="e">
        <f t="shared" si="7"/>
        <v>#N/A</v>
      </c>
      <c r="Q103" s="32" t="e">
        <f>INDEX(Input!$D$2:$AC$500,
       MATCH(B103, Input!$J$2:$J$500, 0),
       MATCH("Disk Capacity", Input!$D$1:$AC$1, 0))</f>
        <v>#N/A</v>
      </c>
      <c r="R103" s="32"/>
      <c r="S103" s="53" t="e">
        <f>_xlfn.LET(_xlpm.Result,INDEX(Input!$D$2:$AC$500,
       MATCH(B103, Input!$J$2:$J$500, 0),
       MATCH("Capacity", Input!$D$1:$AC$1, 0)),IF(_xlpm.Result="","",_xlpm.Result))</f>
        <v>#N/A</v>
      </c>
      <c r="T103" s="53" t="e" cm="1">
        <f t="array" ref="T103">_xlfn.TEXTSPLIT(S103," / ", ,TRUE,0,)</f>
        <v>#N/A</v>
      </c>
      <c r="U103" s="53"/>
      <c r="V103" s="53" t="str" cm="1">
        <f t="array" ref="V103">IFERROR(_xlfn.IFS(
T103="","",
--T103&lt;55,"Battery Defect",
--T103&lt;=69,"Battery D",
--T103&lt;=80,"Battery C",
--T103&gt;80,""
),"")</f>
        <v/>
      </c>
      <c r="W103" s="53" t="str" cm="1">
        <f t="array" ref="W103">IFERROR(_xlfn.IFS(
U103="","",
--U103&lt;55,"Battery Defect",
--U103&lt;=69,"Battery D",
--U103&lt;=80,"Battery C",
--U103&gt;80,""
),"")</f>
        <v/>
      </c>
      <c r="X103" s="53" t="str" cm="1">
        <f t="array" ref="X103:AE103">IFERROR(IF(_xlfn.XLOOKUP(B103,Input!J:J,Input!N:U)=0,"",
          _xlfn.XLOOKUP(B103,Input!J:J,Input!N:U)),"")</f>
        <v/>
      </c>
      <c r="Y103" s="53" t="str">
        <v/>
      </c>
      <c r="Z103" s="53" t="str">
        <v/>
      </c>
      <c r="AA103" s="53" t="str">
        <v/>
      </c>
      <c r="AB103" s="53" t="str">
        <v/>
      </c>
      <c r="AC103" s="53" t="str">
        <v/>
      </c>
      <c r="AD103" s="53" t="str">
        <v/>
      </c>
      <c r="AE103" s="53" t="str">
        <v/>
      </c>
      <c r="AF103" s="32" t="str">
        <f t="shared" si="5"/>
        <v/>
      </c>
      <c r="AG103" s="32" t="str">
        <f>_xlfn.XLOOKUP(B:B,Disk_Pivot!G:G,Disk_Pivot!I:I)</f>
        <v>Yes x2</v>
      </c>
      <c r="AH103" s="32" t="str">
        <f>_xlfn.XLOOKUP(B103,Disk_Pivot!G:G,Disk_Pivot!N:N)</f>
        <v>Pass, Fail</v>
      </c>
      <c r="AI103" s="32"/>
      <c r="AJ103" s="32"/>
      <c r="AK103" s="32"/>
      <c r="AL103" s="32"/>
      <c r="AM103" s="32"/>
      <c r="AN103" s="32"/>
    </row>
    <row r="104" spans="1:40">
      <c r="A104" s="32" t="str">
        <f>_xlfn.TEXTJOIN("",TRUE,_xlfn.XLOOKUP(B104,Input!J:J,Input!G:G,"",0,1),_xlfn.XLOOKUP(B104,Input!J:J,Input!H:H,"",0,1))</f>
        <v/>
      </c>
      <c r="B104" s="32"/>
      <c r="C104" s="53">
        <f>_xlfn.XLOOKUP(B104,Input!J:J,Input!F:F)</f>
        <v>0</v>
      </c>
      <c r="D104" s="32">
        <f>_xlfn.XLOOKUP(C104,Models!H:H,Models!G:G,C104)</f>
        <v>0</v>
      </c>
      <c r="E104" s="32"/>
      <c r="F104" s="32" t="str">
        <f>_xlfn.XLOOKUP(H104,Models!B:B,Models!F:F,"")</f>
        <v/>
      </c>
      <c r="G104" s="32">
        <f>_xlfn.XLOOKUP(B104,Input!J:J,Input!E:E)</f>
        <v>0</v>
      </c>
      <c r="H104" s="32">
        <f>IF(G104="LENOVO",_xlfn.XLOOKUP(B104,Input!J:J,Input!K:K),_xlfn.XLOOKUP(B104,Input!J:J,Input!L:L))</f>
        <v>0</v>
      </c>
      <c r="I104" s="32"/>
      <c r="J104" s="32"/>
      <c r="K104" s="32">
        <f>_xlfn.XLOOKUP(B104,CPU_Formula!A:A,CPU_Formula!I:I)</f>
        <v>0</v>
      </c>
      <c r="L104" s="53" t="e">
        <f>INDEX(Input!$D$2:$AC$500,
       MATCH(B104, Input!$J$2:$J$500, 0),
       MATCH("Memory Capacity", Input!$D$1:$AC$1, 0))</f>
        <v>#N/A</v>
      </c>
      <c r="M104" s="53" t="e">
        <f>INDEX(Input!$D$2:$AC$500,
       MATCH(B104, Input!$J$2:$J$500, 0),
       MATCH("Memory Type", Input!$D$1:$AC$1, 0))</f>
        <v>#N/A</v>
      </c>
      <c r="N104" s="53" t="e">
        <f t="shared" si="3"/>
        <v>#N/A</v>
      </c>
      <c r="O104" s="53" t="str" cm="1">
        <f t="array" ref="O104">IFERROR(_xlfn.FILTERXML("&lt;t&gt;&lt;s&gt;" &amp; SUBSTITUTE(M104," / ","&lt;/s&gt;&lt;s&gt;") &amp; "&lt;/s&gt;&lt;/t&gt;","(//s[contains(.,'DDR')])[1]"),"")</f>
        <v/>
      </c>
      <c r="P104" s="32" t="e">
        <f t="shared" si="7"/>
        <v>#N/A</v>
      </c>
      <c r="Q104" s="32" t="e">
        <f>INDEX(Input!$D$2:$AC$500,
       MATCH(B104, Input!$J$2:$J$500, 0),
       MATCH("Disk Capacity", Input!$D$1:$AC$1, 0))</f>
        <v>#N/A</v>
      </c>
      <c r="R104" s="32"/>
      <c r="S104" s="53" t="e">
        <f>_xlfn.LET(_xlpm.Result,INDEX(Input!$D$2:$AC$500,
       MATCH(B104, Input!$J$2:$J$500, 0),
       MATCH("Capacity", Input!$D$1:$AC$1, 0)),IF(_xlpm.Result="","",_xlpm.Result))</f>
        <v>#N/A</v>
      </c>
      <c r="T104" s="53" t="e" cm="1">
        <f t="array" ref="T104">_xlfn.TEXTSPLIT(S104," / ", ,TRUE,0,)</f>
        <v>#N/A</v>
      </c>
      <c r="U104" s="53"/>
      <c r="V104" s="53" t="str" cm="1">
        <f t="array" ref="V104">IFERROR(_xlfn.IFS(
T104="","",
--T104&lt;55,"Battery Defect",
--T104&lt;=69,"Battery D",
--T104&lt;=80,"Battery C",
--T104&gt;80,""
),"")</f>
        <v/>
      </c>
      <c r="W104" s="53" t="str" cm="1">
        <f t="array" ref="W104">IFERROR(_xlfn.IFS(
U104="","",
--U104&lt;55,"Battery Defect",
--U104&lt;=69,"Battery D",
--U104&lt;=80,"Battery C",
--U104&gt;80,""
),"")</f>
        <v/>
      </c>
      <c r="X104" s="53" t="str" cm="1">
        <f t="array" ref="X104:AE104">IFERROR(IF(_xlfn.XLOOKUP(B104,Input!J:J,Input!N:U)=0,"",
          _xlfn.XLOOKUP(B104,Input!J:J,Input!N:U)),"")</f>
        <v/>
      </c>
      <c r="Y104" s="53" t="str">
        <v/>
      </c>
      <c r="Z104" s="53" t="str">
        <v/>
      </c>
      <c r="AA104" s="53" t="str">
        <v/>
      </c>
      <c r="AB104" s="53" t="str">
        <v/>
      </c>
      <c r="AC104" s="53" t="str">
        <v/>
      </c>
      <c r="AD104" s="53" t="str">
        <v/>
      </c>
      <c r="AE104" s="53" t="str">
        <v/>
      </c>
      <c r="AF104" s="32" t="str">
        <f t="shared" si="5"/>
        <v/>
      </c>
      <c r="AG104" s="32" t="str">
        <f>_xlfn.XLOOKUP(B:B,Disk_Pivot!G:G,Disk_Pivot!I:I)</f>
        <v>Yes x2</v>
      </c>
      <c r="AH104" s="32" t="str">
        <f>_xlfn.XLOOKUP(B104,Disk_Pivot!G:G,Disk_Pivot!N:N)</f>
        <v>Pass, Fail</v>
      </c>
      <c r="AI104" s="32"/>
      <c r="AJ104" s="32"/>
      <c r="AK104" s="32"/>
      <c r="AL104" s="32"/>
      <c r="AM104" s="32"/>
      <c r="AN104" s="32"/>
    </row>
    <row r="105" spans="1:40">
      <c r="A105" s="32" t="str">
        <f>_xlfn.TEXTJOIN("",TRUE,_xlfn.XLOOKUP(B105,Input!J:J,Input!G:G,"",0,1),_xlfn.XLOOKUP(B105,Input!J:J,Input!H:H,"",0,1))</f>
        <v/>
      </c>
      <c r="B105" s="32"/>
      <c r="C105" s="53">
        <f>_xlfn.XLOOKUP(B105,Input!J:J,Input!F:F)</f>
        <v>0</v>
      </c>
      <c r="D105" s="32">
        <f>_xlfn.XLOOKUP(C105,Models!H:H,Models!G:G,C105)</f>
        <v>0</v>
      </c>
      <c r="E105" s="32"/>
      <c r="F105" s="32" t="str">
        <f>_xlfn.XLOOKUP(H105,Models!B:B,Models!F:F,"")</f>
        <v/>
      </c>
      <c r="G105" s="32">
        <f>_xlfn.XLOOKUP(B105,Input!J:J,Input!E:E)</f>
        <v>0</v>
      </c>
      <c r="H105" s="32">
        <f>IF(G105="LENOVO",_xlfn.XLOOKUP(B105,Input!J:J,Input!K:K),_xlfn.XLOOKUP(B105,Input!J:J,Input!L:L))</f>
        <v>0</v>
      </c>
      <c r="I105" s="32"/>
      <c r="J105" s="32"/>
      <c r="K105" s="32">
        <f>_xlfn.XLOOKUP(B105,CPU_Formula!A:A,CPU_Formula!I:I)</f>
        <v>0</v>
      </c>
      <c r="L105" s="53" t="e">
        <f>INDEX(Input!$D$2:$AC$500,
       MATCH(B105, Input!$J$2:$J$500, 0),
       MATCH("Memory Capacity", Input!$D$1:$AC$1, 0))</f>
        <v>#N/A</v>
      </c>
      <c r="M105" s="53" t="e">
        <f>INDEX(Input!$D$2:$AC$500,
       MATCH(B105, Input!$J$2:$J$500, 0),
       MATCH("Memory Type", Input!$D$1:$AC$1, 0))</f>
        <v>#N/A</v>
      </c>
      <c r="N105" s="53" t="e">
        <f t="shared" si="3"/>
        <v>#N/A</v>
      </c>
      <c r="O105" s="53" t="str" cm="1">
        <f t="array" ref="O105">IFERROR(_xlfn.FILTERXML("&lt;t&gt;&lt;s&gt;" &amp; SUBSTITUTE(M105," / ","&lt;/s&gt;&lt;s&gt;") &amp; "&lt;/s&gt;&lt;/t&gt;","(//s[contains(.,'DDR')])[1]"),"")</f>
        <v/>
      </c>
      <c r="P105" s="32" t="e">
        <f t="shared" si="7"/>
        <v>#N/A</v>
      </c>
      <c r="Q105" s="32" t="e">
        <f>INDEX(Input!$D$2:$AC$500,
       MATCH(B105, Input!$J$2:$J$500, 0),
       MATCH("Disk Capacity", Input!$D$1:$AC$1, 0))</f>
        <v>#N/A</v>
      </c>
      <c r="R105" s="32"/>
      <c r="S105" s="53" t="e">
        <f>_xlfn.LET(_xlpm.Result,INDEX(Input!$D$2:$AC$500,
       MATCH(B105, Input!$J$2:$J$500, 0),
       MATCH("Capacity", Input!$D$1:$AC$1, 0)),IF(_xlpm.Result="","",_xlpm.Result))</f>
        <v>#N/A</v>
      </c>
      <c r="T105" s="53" t="e" cm="1">
        <f t="array" ref="T105">_xlfn.TEXTSPLIT(S105," / ", ,TRUE,0,)</f>
        <v>#N/A</v>
      </c>
      <c r="U105" s="53"/>
      <c r="V105" s="53" t="str" cm="1">
        <f t="array" ref="V105">IFERROR(_xlfn.IFS(
T105="","",
--T105&lt;55,"Battery Defect",
--T105&lt;=69,"Battery D",
--T105&lt;=80,"Battery C",
--T105&gt;80,""
),"")</f>
        <v/>
      </c>
      <c r="W105" s="53" t="str" cm="1">
        <f t="array" ref="W105">IFERROR(_xlfn.IFS(
U105="","",
--U105&lt;55,"Battery Defect",
--U105&lt;=69,"Battery D",
--U105&lt;=80,"Battery C",
--U105&gt;80,""
),"")</f>
        <v/>
      </c>
      <c r="X105" s="53" t="str" cm="1">
        <f t="array" ref="X105:AE105">IFERROR(IF(_xlfn.XLOOKUP(B105,Input!J:J,Input!N:U)=0,"",
          _xlfn.XLOOKUP(B105,Input!J:J,Input!N:U)),"")</f>
        <v/>
      </c>
      <c r="Y105" s="53" t="str">
        <v/>
      </c>
      <c r="Z105" s="53" t="str">
        <v/>
      </c>
      <c r="AA105" s="53" t="str">
        <v/>
      </c>
      <c r="AB105" s="53" t="str">
        <v/>
      </c>
      <c r="AC105" s="53" t="str">
        <v/>
      </c>
      <c r="AD105" s="53" t="str">
        <v/>
      </c>
      <c r="AE105" s="53" t="str">
        <v/>
      </c>
      <c r="AF105" s="32" t="str">
        <f t="shared" si="5"/>
        <v/>
      </c>
      <c r="AG105" s="32" t="str">
        <f>_xlfn.XLOOKUP(B:B,Disk_Pivot!G:G,Disk_Pivot!I:I)</f>
        <v>Yes x2</v>
      </c>
      <c r="AH105" s="32" t="str">
        <f>_xlfn.XLOOKUP(B105,Disk_Pivot!G:G,Disk_Pivot!N:N)</f>
        <v>Pass, Fail</v>
      </c>
      <c r="AI105" s="32"/>
      <c r="AJ105" s="32"/>
      <c r="AK105" s="32"/>
      <c r="AL105" s="32"/>
      <c r="AM105" s="32"/>
      <c r="AN105" s="32"/>
    </row>
    <row r="106" spans="1:40">
      <c r="A106" s="32" t="str">
        <f>_xlfn.TEXTJOIN("",TRUE,_xlfn.XLOOKUP(B106,Input!J:J,Input!G:G,"",0,1),_xlfn.XLOOKUP(B106,Input!J:J,Input!H:H,"",0,1))</f>
        <v/>
      </c>
      <c r="B106" s="32"/>
      <c r="C106" s="53">
        <f>_xlfn.XLOOKUP(B106,Input!J:J,Input!F:F)</f>
        <v>0</v>
      </c>
      <c r="D106" s="32">
        <f>_xlfn.XLOOKUP(C106,Models!H:H,Models!G:G,C106)</f>
        <v>0</v>
      </c>
      <c r="E106" s="32"/>
      <c r="F106" s="32" t="str">
        <f>_xlfn.XLOOKUP(H106,Models!B:B,Models!F:F,"")</f>
        <v/>
      </c>
      <c r="G106" s="32">
        <f>_xlfn.XLOOKUP(B106,Input!J:J,Input!E:E)</f>
        <v>0</v>
      </c>
      <c r="H106" s="32">
        <f>IF(G106="LENOVO",_xlfn.XLOOKUP(B106,Input!J:J,Input!K:K),_xlfn.XLOOKUP(B106,Input!J:J,Input!L:L))</f>
        <v>0</v>
      </c>
      <c r="I106" s="32"/>
      <c r="J106" s="32"/>
      <c r="K106" s="32">
        <f>_xlfn.XLOOKUP(B106,CPU_Formula!A:A,CPU_Formula!I:I)</f>
        <v>0</v>
      </c>
      <c r="L106" s="53" t="e">
        <f>INDEX(Input!$D$2:$AC$500,
       MATCH(B106, Input!$J$2:$J$500, 0),
       MATCH("Memory Capacity", Input!$D$1:$AC$1, 0))</f>
        <v>#N/A</v>
      </c>
      <c r="M106" s="53" t="e">
        <f>INDEX(Input!$D$2:$AC$500,
       MATCH(B106, Input!$J$2:$J$500, 0),
       MATCH("Memory Type", Input!$D$1:$AC$1, 0))</f>
        <v>#N/A</v>
      </c>
      <c r="N106" s="53" t="e">
        <f t="shared" si="3"/>
        <v>#N/A</v>
      </c>
      <c r="O106" s="53" t="str" cm="1">
        <f t="array" ref="O106">IFERROR(_xlfn.FILTERXML("&lt;t&gt;&lt;s&gt;" &amp; SUBSTITUTE(M106," / ","&lt;/s&gt;&lt;s&gt;") &amp; "&lt;/s&gt;&lt;/t&gt;","(//s[contains(.,'DDR')])[1]"),"")</f>
        <v/>
      </c>
      <c r="P106" s="32" t="e">
        <f t="shared" si="7"/>
        <v>#N/A</v>
      </c>
      <c r="Q106" s="32" t="e">
        <f>INDEX(Input!$D$2:$AC$500,
       MATCH(B106, Input!$J$2:$J$500, 0),
       MATCH("Disk Capacity", Input!$D$1:$AC$1, 0))</f>
        <v>#N/A</v>
      </c>
      <c r="R106" s="32"/>
      <c r="S106" s="53" t="e">
        <f>_xlfn.LET(_xlpm.Result,INDEX(Input!$D$2:$AC$500,
       MATCH(B106, Input!$J$2:$J$500, 0),
       MATCH("Capacity", Input!$D$1:$AC$1, 0)),IF(_xlpm.Result="","",_xlpm.Result))</f>
        <v>#N/A</v>
      </c>
      <c r="T106" s="53" t="e" cm="1">
        <f t="array" ref="T106">_xlfn.TEXTSPLIT(S106," / ", ,TRUE,0,)</f>
        <v>#N/A</v>
      </c>
      <c r="U106" s="53"/>
      <c r="V106" s="53" t="str" cm="1">
        <f t="array" ref="V106">IFERROR(_xlfn.IFS(
T106="","",
--T106&lt;55,"Battery Defect",
--T106&lt;=69,"Battery D",
--T106&lt;=80,"Battery C",
--T106&gt;80,""
),"")</f>
        <v/>
      </c>
      <c r="W106" s="53" t="str" cm="1">
        <f t="array" ref="W106">IFERROR(_xlfn.IFS(
U106="","",
--U106&lt;55,"Battery Defect",
--U106&lt;=69,"Battery D",
--U106&lt;=80,"Battery C",
--U106&gt;80,""
),"")</f>
        <v/>
      </c>
      <c r="X106" s="53" t="str" cm="1">
        <f t="array" ref="X106:AE106">IFERROR(IF(_xlfn.XLOOKUP(B106,Input!J:J,Input!N:U)=0,"",
          _xlfn.XLOOKUP(B106,Input!J:J,Input!N:U)),"")</f>
        <v/>
      </c>
      <c r="Y106" s="53" t="str">
        <v/>
      </c>
      <c r="Z106" s="53" t="str">
        <v/>
      </c>
      <c r="AA106" s="53" t="str">
        <v/>
      </c>
      <c r="AB106" s="53" t="str">
        <v/>
      </c>
      <c r="AC106" s="53" t="str">
        <v/>
      </c>
      <c r="AD106" s="53" t="str">
        <v/>
      </c>
      <c r="AE106" s="53" t="str">
        <v/>
      </c>
      <c r="AF106" s="32" t="str">
        <f t="shared" si="5"/>
        <v/>
      </c>
      <c r="AG106" s="32" t="str">
        <f>_xlfn.XLOOKUP(B:B,Disk_Pivot!G:G,Disk_Pivot!I:I)</f>
        <v>Yes x2</v>
      </c>
      <c r="AH106" s="32" t="str">
        <f>_xlfn.XLOOKUP(B106,Disk_Pivot!G:G,Disk_Pivot!N:N)</f>
        <v>Pass, Fail</v>
      </c>
      <c r="AI106" s="32"/>
      <c r="AJ106" s="32"/>
      <c r="AK106" s="32"/>
      <c r="AL106" s="32"/>
      <c r="AM106" s="32"/>
      <c r="AN106" s="32"/>
    </row>
    <row r="107" spans="1:40">
      <c r="A107" s="32" t="str">
        <f>_xlfn.TEXTJOIN("",TRUE,_xlfn.XLOOKUP(B107,Input!J:J,Input!G:G,"",0,1),_xlfn.XLOOKUP(B107,Input!J:J,Input!H:H,"",0,1))</f>
        <v/>
      </c>
      <c r="B107" s="32"/>
      <c r="C107" s="53">
        <f>_xlfn.XLOOKUP(B107,Input!J:J,Input!F:F)</f>
        <v>0</v>
      </c>
      <c r="D107" s="32">
        <f>_xlfn.XLOOKUP(C107,Models!H:H,Models!G:G,C107)</f>
        <v>0</v>
      </c>
      <c r="E107" s="32"/>
      <c r="F107" s="32" t="str">
        <f>_xlfn.XLOOKUP(H107,Models!B:B,Models!F:F,"")</f>
        <v/>
      </c>
      <c r="G107" s="32">
        <f>_xlfn.XLOOKUP(B107,Input!J:J,Input!E:E)</f>
        <v>0</v>
      </c>
      <c r="H107" s="32">
        <f>IF(G107="LENOVO",_xlfn.XLOOKUP(B107,Input!J:J,Input!K:K),_xlfn.XLOOKUP(B107,Input!J:J,Input!L:L))</f>
        <v>0</v>
      </c>
      <c r="I107" s="32"/>
      <c r="J107" s="32"/>
      <c r="K107" s="32">
        <f>_xlfn.XLOOKUP(B107,CPU_Formula!A:A,CPU_Formula!I:I)</f>
        <v>0</v>
      </c>
      <c r="L107" s="53" t="e">
        <f>INDEX(Input!$D$2:$AC$500,
       MATCH(B107, Input!$J$2:$J$500, 0),
       MATCH("Memory Capacity", Input!$D$1:$AC$1, 0))</f>
        <v>#N/A</v>
      </c>
      <c r="M107" s="53" t="e">
        <f>INDEX(Input!$D$2:$AC$500,
       MATCH(B107, Input!$J$2:$J$500, 0),
       MATCH("Memory Type", Input!$D$1:$AC$1, 0))</f>
        <v>#N/A</v>
      </c>
      <c r="N107" s="53" t="e">
        <f t="shared" si="3"/>
        <v>#N/A</v>
      </c>
      <c r="O107" s="53" t="str" cm="1">
        <f t="array" ref="O107">IFERROR(_xlfn.FILTERXML("&lt;t&gt;&lt;s&gt;" &amp; SUBSTITUTE(M107," / ","&lt;/s&gt;&lt;s&gt;") &amp; "&lt;/s&gt;&lt;/t&gt;","(//s[contains(.,'DDR')])[1]"),"")</f>
        <v/>
      </c>
      <c r="P107" s="32" t="e">
        <f t="shared" si="7"/>
        <v>#N/A</v>
      </c>
      <c r="Q107" s="32" t="e">
        <f>INDEX(Input!$D$2:$AC$500,
       MATCH(B107, Input!$J$2:$J$500, 0),
       MATCH("Disk Capacity", Input!$D$1:$AC$1, 0))</f>
        <v>#N/A</v>
      </c>
      <c r="R107" s="32"/>
      <c r="S107" s="53" t="e">
        <f>_xlfn.LET(_xlpm.Result,INDEX(Input!$D$2:$AC$500,
       MATCH(B107, Input!$J$2:$J$500, 0),
       MATCH("Capacity", Input!$D$1:$AC$1, 0)),IF(_xlpm.Result="","",_xlpm.Result))</f>
        <v>#N/A</v>
      </c>
      <c r="T107" s="53" t="e" cm="1">
        <f t="array" ref="T107">_xlfn.TEXTSPLIT(S107," / ", ,TRUE,0,)</f>
        <v>#N/A</v>
      </c>
      <c r="U107" s="53"/>
      <c r="V107" s="53" t="str" cm="1">
        <f t="array" ref="V107">IFERROR(_xlfn.IFS(
T107="","",
--T107&lt;55,"Battery Defect",
--T107&lt;=69,"Battery D",
--T107&lt;=80,"Battery C",
--T107&gt;80,""
),"")</f>
        <v/>
      </c>
      <c r="W107" s="53" t="str" cm="1">
        <f t="array" ref="W107">IFERROR(_xlfn.IFS(
U107="","",
--U107&lt;55,"Battery Defect",
--U107&lt;=69,"Battery D",
--U107&lt;=80,"Battery C",
--U107&gt;80,""
),"")</f>
        <v/>
      </c>
      <c r="X107" s="53" t="str" cm="1">
        <f t="array" ref="X107:AE107">IFERROR(IF(_xlfn.XLOOKUP(B107,Input!J:J,Input!N:U)=0,"",
          _xlfn.XLOOKUP(B107,Input!J:J,Input!N:U)),"")</f>
        <v/>
      </c>
      <c r="Y107" s="53" t="str">
        <v/>
      </c>
      <c r="Z107" s="53" t="str">
        <v/>
      </c>
      <c r="AA107" s="53" t="str">
        <v/>
      </c>
      <c r="AB107" s="53" t="str">
        <v/>
      </c>
      <c r="AC107" s="53" t="str">
        <v/>
      </c>
      <c r="AD107" s="53" t="str">
        <v/>
      </c>
      <c r="AE107" s="53" t="str">
        <v/>
      </c>
      <c r="AF107" s="32" t="str">
        <f t="shared" si="5"/>
        <v/>
      </c>
      <c r="AG107" s="32" t="str">
        <f>_xlfn.XLOOKUP(B:B,Disk_Pivot!G:G,Disk_Pivot!I:I)</f>
        <v>Yes x2</v>
      </c>
      <c r="AH107" s="32" t="str">
        <f>_xlfn.XLOOKUP(B107,Disk_Pivot!G:G,Disk_Pivot!N:N)</f>
        <v>Pass, Fail</v>
      </c>
      <c r="AI107" s="32"/>
      <c r="AJ107" s="32"/>
      <c r="AK107" s="32"/>
      <c r="AL107" s="32"/>
      <c r="AM107" s="32"/>
      <c r="AN107" s="32"/>
    </row>
    <row r="108" spans="1:40">
      <c r="A108" s="32" t="str">
        <f>_xlfn.TEXTJOIN("",TRUE,_xlfn.XLOOKUP(B108,Input!J:J,Input!G:G,"",0,1),_xlfn.XLOOKUP(B108,Input!J:J,Input!H:H,"",0,1))</f>
        <v/>
      </c>
      <c r="B108" s="32"/>
      <c r="C108" s="53">
        <f>_xlfn.XLOOKUP(B108,Input!J:J,Input!F:F)</f>
        <v>0</v>
      </c>
      <c r="D108" s="32">
        <f>_xlfn.XLOOKUP(C108,Models!H:H,Models!G:G,C108)</f>
        <v>0</v>
      </c>
      <c r="E108" s="32"/>
      <c r="F108" s="32" t="str">
        <f>_xlfn.XLOOKUP(H108,Models!B:B,Models!F:F,"")</f>
        <v/>
      </c>
      <c r="G108" s="32">
        <f>_xlfn.XLOOKUP(B108,Input!J:J,Input!E:E)</f>
        <v>0</v>
      </c>
      <c r="H108" s="32">
        <f>IF(G108="LENOVO",_xlfn.XLOOKUP(B108,Input!J:J,Input!K:K),_xlfn.XLOOKUP(B108,Input!J:J,Input!L:L))</f>
        <v>0</v>
      </c>
      <c r="I108" s="32"/>
      <c r="J108" s="32"/>
      <c r="K108" s="32">
        <f>_xlfn.XLOOKUP(B108,CPU_Formula!A:A,CPU_Formula!I:I)</f>
        <v>0</v>
      </c>
      <c r="L108" s="53" t="e">
        <f>INDEX(Input!$D$2:$AC$500,
       MATCH(B108, Input!$J$2:$J$500, 0),
       MATCH("Memory Capacity", Input!$D$1:$AC$1, 0))</f>
        <v>#N/A</v>
      </c>
      <c r="M108" s="53" t="e">
        <f>INDEX(Input!$D$2:$AC$500,
       MATCH(B108, Input!$J$2:$J$500, 0),
       MATCH("Memory Type", Input!$D$1:$AC$1, 0))</f>
        <v>#N/A</v>
      </c>
      <c r="N108" s="53" t="e">
        <f t="shared" si="3"/>
        <v>#N/A</v>
      </c>
      <c r="O108" s="53" t="str" cm="1">
        <f t="array" ref="O108">IFERROR(_xlfn.FILTERXML("&lt;t&gt;&lt;s&gt;" &amp; SUBSTITUTE(M108," / ","&lt;/s&gt;&lt;s&gt;") &amp; "&lt;/s&gt;&lt;/t&gt;","(//s[contains(.,'DDR')])[1]"),"")</f>
        <v/>
      </c>
      <c r="P108" s="32" t="e">
        <f t="shared" si="7"/>
        <v>#N/A</v>
      </c>
      <c r="Q108" s="32" t="e">
        <f>INDEX(Input!$D$2:$AC$500,
       MATCH(B108, Input!$J$2:$J$500, 0),
       MATCH("Disk Capacity", Input!$D$1:$AC$1, 0))</f>
        <v>#N/A</v>
      </c>
      <c r="R108" s="32"/>
      <c r="S108" s="53" t="e">
        <f>_xlfn.LET(_xlpm.Result,INDEX(Input!$D$2:$AC$500,
       MATCH(B108, Input!$J$2:$J$500, 0),
       MATCH("Capacity", Input!$D$1:$AC$1, 0)),IF(_xlpm.Result="","",_xlpm.Result))</f>
        <v>#N/A</v>
      </c>
      <c r="T108" s="53" t="e" cm="1">
        <f t="array" ref="T108">_xlfn.TEXTSPLIT(S108," / ", ,TRUE,0,)</f>
        <v>#N/A</v>
      </c>
      <c r="U108" s="53"/>
      <c r="V108" s="53" t="str" cm="1">
        <f t="array" ref="V108">IFERROR(_xlfn.IFS(
T108="","",
--T108&lt;55,"Battery Defect",
--T108&lt;=69,"Battery D",
--T108&lt;=80,"Battery C",
--T108&gt;80,""
),"")</f>
        <v/>
      </c>
      <c r="W108" s="53" t="str" cm="1">
        <f t="array" ref="W108">IFERROR(_xlfn.IFS(
U108="","",
--U108&lt;55,"Battery Defect",
--U108&lt;=69,"Battery D",
--U108&lt;=80,"Battery C",
--U108&gt;80,""
),"")</f>
        <v/>
      </c>
      <c r="X108" s="53" t="str" cm="1">
        <f t="array" ref="X108:AE108">IFERROR(IF(_xlfn.XLOOKUP(B108,Input!J:J,Input!N:U)=0,"",
          _xlfn.XLOOKUP(B108,Input!J:J,Input!N:U)),"")</f>
        <v/>
      </c>
      <c r="Y108" s="53" t="str">
        <v/>
      </c>
      <c r="Z108" s="53" t="str">
        <v/>
      </c>
      <c r="AA108" s="53" t="str">
        <v/>
      </c>
      <c r="AB108" s="53" t="str">
        <v/>
      </c>
      <c r="AC108" s="53" t="str">
        <v/>
      </c>
      <c r="AD108" s="53" t="str">
        <v/>
      </c>
      <c r="AE108" s="53" t="str">
        <v/>
      </c>
      <c r="AF108" s="32" t="str">
        <f t="shared" si="5"/>
        <v/>
      </c>
      <c r="AG108" s="32" t="str">
        <f>_xlfn.XLOOKUP(B:B,Disk_Pivot!G:G,Disk_Pivot!I:I)</f>
        <v>Yes x2</v>
      </c>
      <c r="AH108" s="32" t="str">
        <f>_xlfn.XLOOKUP(B108,Disk_Pivot!G:G,Disk_Pivot!N:N)</f>
        <v>Pass, Fail</v>
      </c>
      <c r="AI108" s="32"/>
      <c r="AJ108" s="32"/>
      <c r="AK108" s="32"/>
      <c r="AL108" s="32"/>
      <c r="AM108" s="32"/>
      <c r="AN108" s="32"/>
    </row>
    <row r="109" spans="1:40">
      <c r="A109" s="32" t="str">
        <f>_xlfn.TEXTJOIN("",TRUE,_xlfn.XLOOKUP(B109,Input!J:J,Input!G:G,"",0,1),_xlfn.XLOOKUP(B109,Input!J:J,Input!H:H,"",0,1))</f>
        <v/>
      </c>
      <c r="B109" s="32"/>
      <c r="C109" s="53">
        <f>_xlfn.XLOOKUP(B109,Input!J:J,Input!F:F)</f>
        <v>0</v>
      </c>
      <c r="D109" s="32">
        <f>_xlfn.XLOOKUP(C109,Models!H:H,Models!G:G,C109)</f>
        <v>0</v>
      </c>
      <c r="E109" s="32"/>
      <c r="F109" s="32" t="str">
        <f>_xlfn.XLOOKUP(H109,Models!B:B,Models!F:F,"")</f>
        <v/>
      </c>
      <c r="G109" s="32">
        <f>_xlfn.XLOOKUP(B109,Input!J:J,Input!E:E)</f>
        <v>0</v>
      </c>
      <c r="H109" s="32">
        <f>IF(G109="LENOVO",_xlfn.XLOOKUP(B109,Input!J:J,Input!K:K),_xlfn.XLOOKUP(B109,Input!J:J,Input!L:L))</f>
        <v>0</v>
      </c>
      <c r="I109" s="32"/>
      <c r="J109" s="32"/>
      <c r="K109" s="32">
        <f>_xlfn.XLOOKUP(B109,CPU_Formula!A:A,CPU_Formula!I:I)</f>
        <v>0</v>
      </c>
      <c r="L109" s="53" t="e">
        <f>INDEX(Input!$D$2:$AC$500,
       MATCH(B109, Input!$J$2:$J$500, 0),
       MATCH("Memory Capacity", Input!$D$1:$AC$1, 0))</f>
        <v>#N/A</v>
      </c>
      <c r="M109" s="53" t="e">
        <f>INDEX(Input!$D$2:$AC$500,
       MATCH(B109, Input!$J$2:$J$500, 0),
       MATCH("Memory Type", Input!$D$1:$AC$1, 0))</f>
        <v>#N/A</v>
      </c>
      <c r="N109" s="53" t="e">
        <f t="shared" si="3"/>
        <v>#N/A</v>
      </c>
      <c r="O109" s="53" t="str" cm="1">
        <f t="array" ref="O109">IFERROR(_xlfn.FILTERXML("&lt;t&gt;&lt;s&gt;" &amp; SUBSTITUTE(M109," / ","&lt;/s&gt;&lt;s&gt;") &amp; "&lt;/s&gt;&lt;/t&gt;","(//s[contains(.,'DDR')])[1]"),"")</f>
        <v/>
      </c>
      <c r="P109" s="32" t="e">
        <f t="shared" si="7"/>
        <v>#N/A</v>
      </c>
      <c r="Q109" s="32" t="e">
        <f>INDEX(Input!$D$2:$AC$500,
       MATCH(B109, Input!$J$2:$J$500, 0),
       MATCH("Disk Capacity", Input!$D$1:$AC$1, 0))</f>
        <v>#N/A</v>
      </c>
      <c r="R109" s="32"/>
      <c r="S109" s="53" t="e">
        <f>_xlfn.LET(_xlpm.Result,INDEX(Input!$D$2:$AC$500,
       MATCH(B109, Input!$J$2:$J$500, 0),
       MATCH("Capacity", Input!$D$1:$AC$1, 0)),IF(_xlpm.Result="","",_xlpm.Result))</f>
        <v>#N/A</v>
      </c>
      <c r="T109" s="53" t="e" cm="1">
        <f t="array" ref="T109">_xlfn.TEXTSPLIT(S109," / ", ,TRUE,0,)</f>
        <v>#N/A</v>
      </c>
      <c r="U109" s="53"/>
      <c r="V109" s="53" t="str" cm="1">
        <f t="array" ref="V109">IFERROR(_xlfn.IFS(
T109="","",
--T109&lt;55,"Battery Defect",
--T109&lt;=69,"Battery D",
--T109&lt;=80,"Battery C",
--T109&gt;80,""
),"")</f>
        <v/>
      </c>
      <c r="W109" s="53" t="str" cm="1">
        <f t="array" ref="W109">IFERROR(_xlfn.IFS(
U109="","",
--U109&lt;55,"Battery Defect",
--U109&lt;=69,"Battery D",
--U109&lt;=80,"Battery C",
--U109&gt;80,""
),"")</f>
        <v/>
      </c>
      <c r="X109" s="53" t="str" cm="1">
        <f t="array" ref="X109:AE109">IFERROR(IF(_xlfn.XLOOKUP(B109,Input!J:J,Input!N:U)=0,"",
          _xlfn.XLOOKUP(B109,Input!J:J,Input!N:U)),"")</f>
        <v/>
      </c>
      <c r="Y109" s="53" t="str">
        <v/>
      </c>
      <c r="Z109" s="53" t="str">
        <v/>
      </c>
      <c r="AA109" s="53" t="str">
        <v/>
      </c>
      <c r="AB109" s="53" t="str">
        <v/>
      </c>
      <c r="AC109" s="53" t="str">
        <v/>
      </c>
      <c r="AD109" s="53" t="str">
        <v/>
      </c>
      <c r="AE109" s="53" t="str">
        <v/>
      </c>
      <c r="AF109" s="32" t="str">
        <f t="shared" si="5"/>
        <v/>
      </c>
      <c r="AG109" s="32" t="str">
        <f>_xlfn.XLOOKUP(B:B,Disk_Pivot!G:G,Disk_Pivot!I:I)</f>
        <v>Yes x2</v>
      </c>
      <c r="AH109" s="32" t="str">
        <f>_xlfn.XLOOKUP(B109,Disk_Pivot!G:G,Disk_Pivot!N:N)</f>
        <v>Pass, Fail</v>
      </c>
      <c r="AI109" s="32"/>
      <c r="AJ109" s="32"/>
      <c r="AK109" s="32"/>
      <c r="AL109" s="32"/>
      <c r="AM109" s="32"/>
      <c r="AN109" s="32"/>
    </row>
    <row r="110" spans="1:40">
      <c r="A110" s="32" t="str">
        <f>_xlfn.TEXTJOIN("",TRUE,_xlfn.XLOOKUP(B110,Input!J:J,Input!G:G,"",0,1),_xlfn.XLOOKUP(B110,Input!J:J,Input!H:H,"",0,1))</f>
        <v/>
      </c>
      <c r="B110" s="32"/>
      <c r="C110" s="53">
        <f>_xlfn.XLOOKUP(B110,Input!J:J,Input!F:F)</f>
        <v>0</v>
      </c>
      <c r="D110" s="32">
        <f>_xlfn.XLOOKUP(C110,Models!H:H,Models!G:G,C110)</f>
        <v>0</v>
      </c>
      <c r="E110" s="32"/>
      <c r="F110" s="32" t="str">
        <f>_xlfn.XLOOKUP(H110,Models!B:B,Models!F:F,"")</f>
        <v/>
      </c>
      <c r="G110" s="32">
        <f>_xlfn.XLOOKUP(B110,Input!J:J,Input!E:E)</f>
        <v>0</v>
      </c>
      <c r="H110" s="32">
        <f>IF(G110="LENOVO",_xlfn.XLOOKUP(B110,Input!J:J,Input!K:K),_xlfn.XLOOKUP(B110,Input!J:J,Input!L:L))</f>
        <v>0</v>
      </c>
      <c r="I110" s="32"/>
      <c r="J110" s="32"/>
      <c r="K110" s="32">
        <f>_xlfn.XLOOKUP(B110,CPU_Formula!A:A,CPU_Formula!I:I)</f>
        <v>0</v>
      </c>
      <c r="L110" s="53" t="e">
        <f>INDEX(Input!$D$2:$AC$500,
       MATCH(B110, Input!$J$2:$J$500, 0),
       MATCH("Memory Capacity", Input!$D$1:$AC$1, 0))</f>
        <v>#N/A</v>
      </c>
      <c r="M110" s="53" t="e">
        <f>INDEX(Input!$D$2:$AC$500,
       MATCH(B110, Input!$J$2:$J$500, 0),
       MATCH("Memory Type", Input!$D$1:$AC$1, 0))</f>
        <v>#N/A</v>
      </c>
      <c r="N110" s="53" t="e">
        <f t="shared" si="3"/>
        <v>#N/A</v>
      </c>
      <c r="O110" s="53" t="str" cm="1">
        <f t="array" ref="O110">IFERROR(_xlfn.FILTERXML("&lt;t&gt;&lt;s&gt;" &amp; SUBSTITUTE(M110," / ","&lt;/s&gt;&lt;s&gt;") &amp; "&lt;/s&gt;&lt;/t&gt;","(//s[contains(.,'DDR')])[1]"),"")</f>
        <v/>
      </c>
      <c r="P110" s="32" t="e">
        <f t="shared" si="7"/>
        <v>#N/A</v>
      </c>
      <c r="Q110" s="32" t="e">
        <f>INDEX(Input!$D$2:$AC$500,
       MATCH(B110, Input!$J$2:$J$500, 0),
       MATCH("Disk Capacity", Input!$D$1:$AC$1, 0))</f>
        <v>#N/A</v>
      </c>
      <c r="R110" s="32"/>
      <c r="S110" s="53" t="e">
        <f>_xlfn.LET(_xlpm.Result,INDEX(Input!$D$2:$AC$500,
       MATCH(B110, Input!$J$2:$J$500, 0),
       MATCH("Capacity", Input!$D$1:$AC$1, 0)),IF(_xlpm.Result="","",_xlpm.Result))</f>
        <v>#N/A</v>
      </c>
      <c r="T110" s="53" t="e" cm="1">
        <f t="array" ref="T110">_xlfn.TEXTSPLIT(S110," / ", ,TRUE,0,)</f>
        <v>#N/A</v>
      </c>
      <c r="U110" s="53"/>
      <c r="V110" s="53" t="str" cm="1">
        <f t="array" ref="V110">IFERROR(_xlfn.IFS(
T110="","",
--T110&lt;55,"Battery Defect",
--T110&lt;=69,"Battery D",
--T110&lt;=80,"Battery C",
--T110&gt;80,""
),"")</f>
        <v/>
      </c>
      <c r="W110" s="53" t="str" cm="1">
        <f t="array" ref="W110">IFERROR(_xlfn.IFS(
U110="","",
--U110&lt;55,"Battery Defect",
--U110&lt;=69,"Battery D",
--U110&lt;=80,"Battery C",
--U110&gt;80,""
),"")</f>
        <v/>
      </c>
      <c r="X110" s="53" t="str" cm="1">
        <f t="array" ref="X110:AE110">IFERROR(IF(_xlfn.XLOOKUP(B110,Input!J:J,Input!N:U)=0,"",
          _xlfn.XLOOKUP(B110,Input!J:J,Input!N:U)),"")</f>
        <v/>
      </c>
      <c r="Y110" s="53" t="str">
        <v/>
      </c>
      <c r="Z110" s="53" t="str">
        <v/>
      </c>
      <c r="AA110" s="53" t="str">
        <v/>
      </c>
      <c r="AB110" s="53" t="str">
        <v/>
      </c>
      <c r="AC110" s="53" t="str">
        <v/>
      </c>
      <c r="AD110" s="53" t="str">
        <v/>
      </c>
      <c r="AE110" s="53" t="str">
        <v/>
      </c>
      <c r="AF110" s="32" t="str">
        <f t="shared" si="5"/>
        <v/>
      </c>
      <c r="AG110" s="32" t="str">
        <f>_xlfn.XLOOKUP(B:B,Disk_Pivot!G:G,Disk_Pivot!I:I)</f>
        <v>Yes x2</v>
      </c>
      <c r="AH110" s="32" t="str">
        <f>_xlfn.XLOOKUP(B110,Disk_Pivot!G:G,Disk_Pivot!N:N)</f>
        <v>Pass, Fail</v>
      </c>
      <c r="AI110" s="32"/>
      <c r="AJ110" s="32"/>
      <c r="AK110" s="32"/>
      <c r="AL110" s="32"/>
      <c r="AM110" s="32"/>
      <c r="AN110" s="32"/>
    </row>
    <row r="111" spans="1:40">
      <c r="A111" s="32" t="str">
        <f>_xlfn.TEXTJOIN("",TRUE,_xlfn.XLOOKUP(B111,Input!J:J,Input!G:G,"",0,1),_xlfn.XLOOKUP(B111,Input!J:J,Input!H:H,"",0,1))</f>
        <v/>
      </c>
      <c r="B111" s="32"/>
      <c r="C111" s="53">
        <f>_xlfn.XLOOKUP(B111,Input!J:J,Input!F:F)</f>
        <v>0</v>
      </c>
      <c r="D111" s="32">
        <f>_xlfn.XLOOKUP(C111,Models!H:H,Models!G:G,C111)</f>
        <v>0</v>
      </c>
      <c r="E111" s="32"/>
      <c r="F111" s="32" t="str">
        <f>_xlfn.XLOOKUP(H111,Models!B:B,Models!F:F,"")</f>
        <v/>
      </c>
      <c r="G111" s="32">
        <f>_xlfn.XLOOKUP(B111,Input!J:J,Input!E:E)</f>
        <v>0</v>
      </c>
      <c r="H111" s="32">
        <f>IF(G111="LENOVO",_xlfn.XLOOKUP(B111,Input!J:J,Input!K:K),_xlfn.XLOOKUP(B111,Input!J:J,Input!L:L))</f>
        <v>0</v>
      </c>
      <c r="I111" s="32"/>
      <c r="J111" s="32"/>
      <c r="K111" s="32">
        <f>_xlfn.XLOOKUP(B111,CPU_Formula!A:A,CPU_Formula!I:I)</f>
        <v>0</v>
      </c>
      <c r="L111" s="53" t="e">
        <f>INDEX(Input!$D$2:$AC$500,
       MATCH(B111, Input!$J$2:$J$500, 0),
       MATCH("Memory Capacity", Input!$D$1:$AC$1, 0))</f>
        <v>#N/A</v>
      </c>
      <c r="M111" s="53" t="e">
        <f>INDEX(Input!$D$2:$AC$500,
       MATCH(B111, Input!$J$2:$J$500, 0),
       MATCH("Memory Type", Input!$D$1:$AC$1, 0))</f>
        <v>#N/A</v>
      </c>
      <c r="N111" s="53" t="e">
        <f t="shared" si="3"/>
        <v>#N/A</v>
      </c>
      <c r="O111" s="53" t="str" cm="1">
        <f t="array" ref="O111">IFERROR(_xlfn.FILTERXML("&lt;t&gt;&lt;s&gt;" &amp; SUBSTITUTE(M111," / ","&lt;/s&gt;&lt;s&gt;") &amp; "&lt;/s&gt;&lt;/t&gt;","(//s[contains(.,'DDR')])[1]"),"")</f>
        <v/>
      </c>
      <c r="P111" s="32" t="e">
        <f t="shared" si="7"/>
        <v>#N/A</v>
      </c>
      <c r="Q111" s="32" t="e">
        <f>INDEX(Input!$D$2:$AC$500,
       MATCH(B111, Input!$J$2:$J$500, 0),
       MATCH("Disk Capacity", Input!$D$1:$AC$1, 0))</f>
        <v>#N/A</v>
      </c>
      <c r="R111" s="32"/>
      <c r="S111" s="53" t="e">
        <f>_xlfn.LET(_xlpm.Result,INDEX(Input!$D$2:$AC$500,
       MATCH(B111, Input!$J$2:$J$500, 0),
       MATCH("Capacity", Input!$D$1:$AC$1, 0)),IF(_xlpm.Result="","",_xlpm.Result))</f>
        <v>#N/A</v>
      </c>
      <c r="T111" s="53" t="e" cm="1">
        <f t="array" ref="T111">_xlfn.TEXTSPLIT(S111," / ", ,TRUE,0,)</f>
        <v>#N/A</v>
      </c>
      <c r="U111" s="53"/>
      <c r="V111" s="53" t="str" cm="1">
        <f t="array" ref="V111">IFERROR(_xlfn.IFS(
T111="","",
--T111&lt;55,"Battery Defect",
--T111&lt;=69,"Battery D",
--T111&lt;=80,"Battery C",
--T111&gt;80,""
),"")</f>
        <v/>
      </c>
      <c r="W111" s="53" t="str" cm="1">
        <f t="array" ref="W111">IFERROR(_xlfn.IFS(
U111="","",
--U111&lt;55,"Battery Defect",
--U111&lt;=69,"Battery D",
--U111&lt;=80,"Battery C",
--U111&gt;80,""
),"")</f>
        <v/>
      </c>
      <c r="X111" s="53" t="str" cm="1">
        <f t="array" ref="X111:AE111">IFERROR(IF(_xlfn.XLOOKUP(B111,Input!J:J,Input!N:U)=0,"",
          _xlfn.XLOOKUP(B111,Input!J:J,Input!N:U)),"")</f>
        <v/>
      </c>
      <c r="Y111" s="53" t="str">
        <v/>
      </c>
      <c r="Z111" s="53" t="str">
        <v/>
      </c>
      <c r="AA111" s="53" t="str">
        <v/>
      </c>
      <c r="AB111" s="53" t="str">
        <v/>
      </c>
      <c r="AC111" s="53" t="str">
        <v/>
      </c>
      <c r="AD111" s="53" t="str">
        <v/>
      </c>
      <c r="AE111" s="53" t="str">
        <v/>
      </c>
      <c r="AF111" s="32" t="str">
        <f t="shared" si="5"/>
        <v/>
      </c>
      <c r="AG111" s="32" t="str">
        <f>_xlfn.XLOOKUP(B:B,Disk_Pivot!G:G,Disk_Pivot!I:I)</f>
        <v>Yes x2</v>
      </c>
      <c r="AH111" s="32" t="str">
        <f>_xlfn.XLOOKUP(B111,Disk_Pivot!G:G,Disk_Pivot!N:N)</f>
        <v>Pass, Fail</v>
      </c>
      <c r="AI111" s="32"/>
      <c r="AJ111" s="32"/>
      <c r="AK111" s="32"/>
      <c r="AL111" s="32"/>
      <c r="AM111" s="32"/>
      <c r="AN111" s="32"/>
    </row>
    <row r="112" spans="1:40">
      <c r="A112" s="32" t="str">
        <f>_xlfn.TEXTJOIN("",TRUE,_xlfn.XLOOKUP(B112,Input!J:J,Input!G:G,"",0,1),_xlfn.XLOOKUP(B112,Input!J:J,Input!H:H,"",0,1))</f>
        <v/>
      </c>
      <c r="B112" s="32"/>
      <c r="C112" s="53">
        <f>_xlfn.XLOOKUP(B112,Input!J:J,Input!F:F)</f>
        <v>0</v>
      </c>
      <c r="D112" s="32">
        <f>_xlfn.XLOOKUP(C112,Models!H:H,Models!G:G,C112)</f>
        <v>0</v>
      </c>
      <c r="E112" s="32"/>
      <c r="F112" s="32" t="str">
        <f>_xlfn.XLOOKUP(H112,Models!B:B,Models!F:F,"")</f>
        <v/>
      </c>
      <c r="G112" s="32">
        <f>_xlfn.XLOOKUP(B112,Input!J:J,Input!E:E)</f>
        <v>0</v>
      </c>
      <c r="H112" s="32">
        <f>IF(G112="LENOVO",_xlfn.XLOOKUP(B112,Input!J:J,Input!K:K),_xlfn.XLOOKUP(B112,Input!J:J,Input!L:L))</f>
        <v>0</v>
      </c>
      <c r="I112" s="32"/>
      <c r="J112" s="32"/>
      <c r="K112" s="32">
        <f>_xlfn.XLOOKUP(B112,CPU_Formula!A:A,CPU_Formula!I:I)</f>
        <v>0</v>
      </c>
      <c r="L112" s="53" t="e">
        <f>INDEX(Input!$D$2:$AC$500,
       MATCH(B112, Input!$J$2:$J$500, 0),
       MATCH("Memory Capacity", Input!$D$1:$AC$1, 0))</f>
        <v>#N/A</v>
      </c>
      <c r="M112" s="53" t="e">
        <f>INDEX(Input!$D$2:$AC$500,
       MATCH(B112, Input!$J$2:$J$500, 0),
       MATCH("Memory Type", Input!$D$1:$AC$1, 0))</f>
        <v>#N/A</v>
      </c>
      <c r="N112" s="53" t="e">
        <f t="shared" si="3"/>
        <v>#N/A</v>
      </c>
      <c r="O112" s="53" t="str" cm="1">
        <f t="array" ref="O112">IFERROR(_xlfn.FILTERXML("&lt;t&gt;&lt;s&gt;" &amp; SUBSTITUTE(M112," / ","&lt;/s&gt;&lt;s&gt;") &amp; "&lt;/s&gt;&lt;/t&gt;","(//s[contains(.,'DDR')])[1]"),"")</f>
        <v/>
      </c>
      <c r="P112" s="32" t="e">
        <f t="shared" si="7"/>
        <v>#N/A</v>
      </c>
      <c r="Q112" s="32" t="e">
        <f>INDEX(Input!$D$2:$AC$500,
       MATCH(B112, Input!$J$2:$J$500, 0),
       MATCH("Disk Capacity", Input!$D$1:$AC$1, 0))</f>
        <v>#N/A</v>
      </c>
      <c r="R112" s="32"/>
      <c r="S112" s="53" t="e">
        <f>_xlfn.LET(_xlpm.Result,INDEX(Input!$D$2:$AC$500,
       MATCH(B112, Input!$J$2:$J$500, 0),
       MATCH("Capacity", Input!$D$1:$AC$1, 0)),IF(_xlpm.Result="","",_xlpm.Result))</f>
        <v>#N/A</v>
      </c>
      <c r="T112" s="53" t="e" cm="1">
        <f t="array" ref="T112">_xlfn.TEXTSPLIT(S112," / ", ,TRUE,0,)</f>
        <v>#N/A</v>
      </c>
      <c r="U112" s="53"/>
      <c r="V112" s="53" t="str" cm="1">
        <f t="array" ref="V112">IFERROR(_xlfn.IFS(
T112="","",
--T112&lt;55,"Battery Defect",
--T112&lt;=69,"Battery D",
--T112&lt;=80,"Battery C",
--T112&gt;80,""
),"")</f>
        <v/>
      </c>
      <c r="W112" s="53" t="str" cm="1">
        <f t="array" ref="W112">IFERROR(_xlfn.IFS(
U112="","",
--U112&lt;55,"Battery Defect",
--U112&lt;=69,"Battery D",
--U112&lt;=80,"Battery C",
--U112&gt;80,""
),"")</f>
        <v/>
      </c>
      <c r="X112" s="53" t="str" cm="1">
        <f t="array" ref="X112:AE112">IFERROR(IF(_xlfn.XLOOKUP(B112,Input!J:J,Input!N:U)=0,"",
          _xlfn.XLOOKUP(B112,Input!J:J,Input!N:U)),"")</f>
        <v/>
      </c>
      <c r="Y112" s="53" t="str">
        <v/>
      </c>
      <c r="Z112" s="53" t="str">
        <v/>
      </c>
      <c r="AA112" s="53" t="str">
        <v/>
      </c>
      <c r="AB112" s="53" t="str">
        <v/>
      </c>
      <c r="AC112" s="53" t="str">
        <v/>
      </c>
      <c r="AD112" s="53" t="str">
        <v/>
      </c>
      <c r="AE112" s="53" t="str">
        <v/>
      </c>
      <c r="AF112" s="32" t="str">
        <f t="shared" si="5"/>
        <v/>
      </c>
      <c r="AG112" s="32" t="str">
        <f>_xlfn.XLOOKUP(B:B,Disk_Pivot!G:G,Disk_Pivot!I:I)</f>
        <v>Yes x2</v>
      </c>
      <c r="AH112" s="32" t="str">
        <f>_xlfn.XLOOKUP(B112,Disk_Pivot!G:G,Disk_Pivot!N:N)</f>
        <v>Pass, Fail</v>
      </c>
      <c r="AI112" s="32"/>
      <c r="AJ112" s="32"/>
      <c r="AK112" s="32"/>
      <c r="AL112" s="32"/>
      <c r="AM112" s="32"/>
      <c r="AN112" s="32"/>
    </row>
    <row r="113" spans="1:40">
      <c r="A113" s="32" t="str">
        <f>_xlfn.TEXTJOIN("",TRUE,_xlfn.XLOOKUP(B113,Input!J:J,Input!G:G,"",0,1),_xlfn.XLOOKUP(B113,Input!J:J,Input!H:H,"",0,1))</f>
        <v/>
      </c>
      <c r="B113" s="32"/>
      <c r="C113" s="53">
        <f>_xlfn.XLOOKUP(B113,Input!J:J,Input!F:F)</f>
        <v>0</v>
      </c>
      <c r="D113" s="32">
        <f>_xlfn.XLOOKUP(C113,Models!H:H,Models!G:G,C113)</f>
        <v>0</v>
      </c>
      <c r="E113" s="32"/>
      <c r="F113" s="32" t="str">
        <f>_xlfn.XLOOKUP(H113,Models!B:B,Models!F:F,"")</f>
        <v/>
      </c>
      <c r="G113" s="32">
        <f>_xlfn.XLOOKUP(B113,Input!J:J,Input!E:E)</f>
        <v>0</v>
      </c>
      <c r="H113" s="32">
        <f>IF(G113="LENOVO",_xlfn.XLOOKUP(B113,Input!J:J,Input!K:K),_xlfn.XLOOKUP(B113,Input!J:J,Input!L:L))</f>
        <v>0</v>
      </c>
      <c r="I113" s="32"/>
      <c r="J113" s="32"/>
      <c r="K113" s="32">
        <f>_xlfn.XLOOKUP(B113,CPU_Formula!A:A,CPU_Formula!I:I)</f>
        <v>0</v>
      </c>
      <c r="L113" s="53" t="e">
        <f>INDEX(Input!$D$2:$AC$500,
       MATCH(B113, Input!$J$2:$J$500, 0),
       MATCH("Memory Capacity", Input!$D$1:$AC$1, 0))</f>
        <v>#N/A</v>
      </c>
      <c r="M113" s="53" t="e">
        <f>INDEX(Input!$D$2:$AC$500,
       MATCH(B113, Input!$J$2:$J$500, 0),
       MATCH("Memory Type", Input!$D$1:$AC$1, 0))</f>
        <v>#N/A</v>
      </c>
      <c r="N113" s="53" t="e">
        <f t="shared" si="3"/>
        <v>#N/A</v>
      </c>
      <c r="O113" s="53" t="str" cm="1">
        <f t="array" ref="O113">IFERROR(_xlfn.FILTERXML("&lt;t&gt;&lt;s&gt;" &amp; SUBSTITUTE(M113," / ","&lt;/s&gt;&lt;s&gt;") &amp; "&lt;/s&gt;&lt;/t&gt;","(//s[contains(.,'DDR')])[1]"),"")</f>
        <v/>
      </c>
      <c r="P113" s="32" t="e">
        <f t="shared" si="7"/>
        <v>#N/A</v>
      </c>
      <c r="Q113" s="32" t="e">
        <f>INDEX(Input!$D$2:$AC$500,
       MATCH(B113, Input!$J$2:$J$500, 0),
       MATCH("Disk Capacity", Input!$D$1:$AC$1, 0))</f>
        <v>#N/A</v>
      </c>
      <c r="R113" s="32"/>
      <c r="S113" s="53" t="e">
        <f>_xlfn.LET(_xlpm.Result,INDEX(Input!$D$2:$AC$500,
       MATCH(B113, Input!$J$2:$J$500, 0),
       MATCH("Capacity", Input!$D$1:$AC$1, 0)),IF(_xlpm.Result="","",_xlpm.Result))</f>
        <v>#N/A</v>
      </c>
      <c r="T113" s="53" t="e" cm="1">
        <f t="array" ref="T113">_xlfn.TEXTSPLIT(S113," / ", ,TRUE,0,)</f>
        <v>#N/A</v>
      </c>
      <c r="U113" s="53"/>
      <c r="V113" s="53" t="str" cm="1">
        <f t="array" ref="V113">IFERROR(_xlfn.IFS(
T113="","",
--T113&lt;55,"Battery Defect",
--T113&lt;=69,"Battery D",
--T113&lt;=80,"Battery C",
--T113&gt;80,""
),"")</f>
        <v/>
      </c>
      <c r="W113" s="53" t="str" cm="1">
        <f t="array" ref="W113">IFERROR(_xlfn.IFS(
U113="","",
--U113&lt;55,"Battery Defect",
--U113&lt;=69,"Battery D",
--U113&lt;=80,"Battery C",
--U113&gt;80,""
),"")</f>
        <v/>
      </c>
      <c r="X113" s="53" t="str" cm="1">
        <f t="array" ref="X113:AE113">IFERROR(IF(_xlfn.XLOOKUP(B113,Input!J:J,Input!N:U)=0,"",
          _xlfn.XLOOKUP(B113,Input!J:J,Input!N:U)),"")</f>
        <v/>
      </c>
      <c r="Y113" s="53" t="str">
        <v/>
      </c>
      <c r="Z113" s="53" t="str">
        <v/>
      </c>
      <c r="AA113" s="53" t="str">
        <v/>
      </c>
      <c r="AB113" s="53" t="str">
        <v/>
      </c>
      <c r="AC113" s="53" t="str">
        <v/>
      </c>
      <c r="AD113" s="53" t="str">
        <v/>
      </c>
      <c r="AE113" s="53" t="str">
        <v/>
      </c>
      <c r="AF113" s="32" t="str">
        <f t="shared" si="5"/>
        <v/>
      </c>
      <c r="AG113" s="32" t="str">
        <f>_xlfn.XLOOKUP(B:B,Disk_Pivot!G:G,Disk_Pivot!I:I)</f>
        <v>Yes x2</v>
      </c>
      <c r="AH113" s="32" t="str">
        <f>_xlfn.XLOOKUP(B113,Disk_Pivot!G:G,Disk_Pivot!N:N)</f>
        <v>Pass, Fail</v>
      </c>
      <c r="AI113" s="32"/>
      <c r="AJ113" s="32"/>
      <c r="AK113" s="32"/>
      <c r="AL113" s="32"/>
      <c r="AM113" s="32"/>
      <c r="AN113" s="32"/>
    </row>
    <row r="114" spans="1:40">
      <c r="A114" s="32" t="str">
        <f>_xlfn.TEXTJOIN("",TRUE,_xlfn.XLOOKUP(B114,Input!J:J,Input!G:G,"",0,1),_xlfn.XLOOKUP(B114,Input!J:J,Input!H:H,"",0,1))</f>
        <v/>
      </c>
      <c r="B114" s="32"/>
      <c r="C114" s="53">
        <f>_xlfn.XLOOKUP(B114,Input!J:J,Input!F:F)</f>
        <v>0</v>
      </c>
      <c r="D114" s="32">
        <f>_xlfn.XLOOKUP(C114,Models!H:H,Models!G:G,C114)</f>
        <v>0</v>
      </c>
      <c r="E114" s="32"/>
      <c r="F114" s="32" t="str">
        <f>_xlfn.XLOOKUP(H114,Models!B:B,Models!F:F,"")</f>
        <v/>
      </c>
      <c r="G114" s="32">
        <f>_xlfn.XLOOKUP(B114,Input!J:J,Input!E:E)</f>
        <v>0</v>
      </c>
      <c r="H114" s="32">
        <f>IF(G114="LENOVO",_xlfn.XLOOKUP(B114,Input!J:J,Input!K:K),_xlfn.XLOOKUP(B114,Input!J:J,Input!L:L))</f>
        <v>0</v>
      </c>
      <c r="I114" s="32"/>
      <c r="J114" s="32"/>
      <c r="K114" s="32">
        <f>_xlfn.XLOOKUP(B114,CPU_Formula!A:A,CPU_Formula!I:I)</f>
        <v>0</v>
      </c>
      <c r="L114" s="53" t="e">
        <f>INDEX(Input!$D$2:$AC$500,
       MATCH(B114, Input!$J$2:$J$500, 0),
       MATCH("Memory Capacity", Input!$D$1:$AC$1, 0))</f>
        <v>#N/A</v>
      </c>
      <c r="M114" s="53" t="e">
        <f>INDEX(Input!$D$2:$AC$500,
       MATCH(B114, Input!$J$2:$J$500, 0),
       MATCH("Memory Type", Input!$D$1:$AC$1, 0))</f>
        <v>#N/A</v>
      </c>
      <c r="N114" s="53" t="e">
        <f t="shared" si="3"/>
        <v>#N/A</v>
      </c>
      <c r="O114" s="53" t="str" cm="1">
        <f t="array" ref="O114">IFERROR(_xlfn.FILTERXML("&lt;t&gt;&lt;s&gt;" &amp; SUBSTITUTE(M114," / ","&lt;/s&gt;&lt;s&gt;") &amp; "&lt;/s&gt;&lt;/t&gt;","(//s[contains(.,'DDR')])[1]"),"")</f>
        <v/>
      </c>
      <c r="P114" s="32" t="e">
        <f t="shared" si="7"/>
        <v>#N/A</v>
      </c>
      <c r="Q114" s="32" t="e">
        <f>INDEX(Input!$D$2:$AC$500,
       MATCH(B114, Input!$J$2:$J$500, 0),
       MATCH("Disk Capacity", Input!$D$1:$AC$1, 0))</f>
        <v>#N/A</v>
      </c>
      <c r="R114" s="32"/>
      <c r="S114" s="53" t="e">
        <f>_xlfn.LET(_xlpm.Result,INDEX(Input!$D$2:$AC$500,
       MATCH(B114, Input!$J$2:$J$500, 0),
       MATCH("Capacity", Input!$D$1:$AC$1, 0)),IF(_xlpm.Result="","",_xlpm.Result))</f>
        <v>#N/A</v>
      </c>
      <c r="T114" s="53" t="e" cm="1">
        <f t="array" ref="T114">_xlfn.TEXTSPLIT(S114," / ", ,TRUE,0,)</f>
        <v>#N/A</v>
      </c>
      <c r="U114" s="53"/>
      <c r="V114" s="53" t="str" cm="1">
        <f t="array" ref="V114">IFERROR(_xlfn.IFS(
T114="","",
--T114&lt;55,"Battery Defect",
--T114&lt;=69,"Battery D",
--T114&lt;=80,"Battery C",
--T114&gt;80,""
),"")</f>
        <v/>
      </c>
      <c r="W114" s="53" t="str" cm="1">
        <f t="array" ref="W114">IFERROR(_xlfn.IFS(
U114="","",
--U114&lt;55,"Battery Defect",
--U114&lt;=69,"Battery D",
--U114&lt;=80,"Battery C",
--U114&gt;80,""
),"")</f>
        <v/>
      </c>
      <c r="X114" s="53" t="str" cm="1">
        <f t="array" ref="X114:AE114">IFERROR(IF(_xlfn.XLOOKUP(B114,Input!J:J,Input!N:U)=0,"",
          _xlfn.XLOOKUP(B114,Input!J:J,Input!N:U)),"")</f>
        <v/>
      </c>
      <c r="Y114" s="53" t="str">
        <v/>
      </c>
      <c r="Z114" s="53" t="str">
        <v/>
      </c>
      <c r="AA114" s="53" t="str">
        <v/>
      </c>
      <c r="AB114" s="53" t="str">
        <v/>
      </c>
      <c r="AC114" s="53" t="str">
        <v/>
      </c>
      <c r="AD114" s="53" t="str">
        <v/>
      </c>
      <c r="AE114" s="53" t="str">
        <v/>
      </c>
      <c r="AF114" s="32" t="str">
        <f t="shared" si="5"/>
        <v/>
      </c>
      <c r="AG114" s="32" t="str">
        <f>_xlfn.XLOOKUP(B:B,Disk_Pivot!G:G,Disk_Pivot!I:I)</f>
        <v>Yes x2</v>
      </c>
      <c r="AH114" s="32" t="str">
        <f>_xlfn.XLOOKUP(B114,Disk_Pivot!G:G,Disk_Pivot!N:N)</f>
        <v>Pass, Fail</v>
      </c>
      <c r="AI114" s="32"/>
      <c r="AJ114" s="32"/>
      <c r="AK114" s="32"/>
      <c r="AL114" s="32"/>
      <c r="AM114" s="32"/>
      <c r="AN114" s="32"/>
    </row>
    <row r="115" spans="1:40">
      <c r="A115" s="32" t="str">
        <f>_xlfn.TEXTJOIN("",TRUE,_xlfn.XLOOKUP(B115,Input!J:J,Input!G:G,"",0,1),_xlfn.XLOOKUP(B115,Input!J:J,Input!H:H,"",0,1))</f>
        <v/>
      </c>
      <c r="B115" s="32"/>
      <c r="C115" s="53">
        <f>_xlfn.XLOOKUP(B115,Input!J:J,Input!F:F)</f>
        <v>0</v>
      </c>
      <c r="D115" s="32">
        <f>_xlfn.XLOOKUP(C115,Models!H:H,Models!G:G,C115)</f>
        <v>0</v>
      </c>
      <c r="E115" s="32"/>
      <c r="F115" s="32" t="str">
        <f>_xlfn.XLOOKUP(H115,Models!B:B,Models!F:F,"")</f>
        <v/>
      </c>
      <c r="G115" s="32">
        <f>_xlfn.XLOOKUP(B115,Input!J:J,Input!E:E)</f>
        <v>0</v>
      </c>
      <c r="H115" s="32">
        <f>IF(G115="LENOVO",_xlfn.XLOOKUP(B115,Input!J:J,Input!K:K),_xlfn.XLOOKUP(B115,Input!J:J,Input!L:L))</f>
        <v>0</v>
      </c>
      <c r="I115" s="32"/>
      <c r="J115" s="32"/>
      <c r="K115" s="32">
        <f>_xlfn.XLOOKUP(B115,CPU_Formula!A:A,CPU_Formula!I:I)</f>
        <v>0</v>
      </c>
      <c r="L115" s="53" t="e">
        <f>INDEX(Input!$D$2:$AC$500,
       MATCH(B115, Input!$J$2:$J$500, 0),
       MATCH("Memory Capacity", Input!$D$1:$AC$1, 0))</f>
        <v>#N/A</v>
      </c>
      <c r="M115" s="53" t="e">
        <f>INDEX(Input!$D$2:$AC$500,
       MATCH(B115, Input!$J$2:$J$500, 0),
       MATCH("Memory Type", Input!$D$1:$AC$1, 0))</f>
        <v>#N/A</v>
      </c>
      <c r="N115" s="53" t="e">
        <f t="shared" si="3"/>
        <v>#N/A</v>
      </c>
      <c r="O115" s="53" t="str" cm="1">
        <f t="array" ref="O115">IFERROR(_xlfn.FILTERXML("&lt;t&gt;&lt;s&gt;" &amp; SUBSTITUTE(M115," / ","&lt;/s&gt;&lt;s&gt;") &amp; "&lt;/s&gt;&lt;/t&gt;","(//s[contains(.,'DDR')])[1]"),"")</f>
        <v/>
      </c>
      <c r="P115" s="32" t="e">
        <f t="shared" si="7"/>
        <v>#N/A</v>
      </c>
      <c r="Q115" s="32" t="e">
        <f>INDEX(Input!$D$2:$AC$500,
       MATCH(B115, Input!$J$2:$J$500, 0),
       MATCH("Disk Capacity", Input!$D$1:$AC$1, 0))</f>
        <v>#N/A</v>
      </c>
      <c r="R115" s="32"/>
      <c r="S115" s="53" t="e">
        <f>_xlfn.LET(_xlpm.Result,INDEX(Input!$D$2:$AC$500,
       MATCH(B115, Input!$J$2:$J$500, 0),
       MATCH("Capacity", Input!$D$1:$AC$1, 0)),IF(_xlpm.Result="","",_xlpm.Result))</f>
        <v>#N/A</v>
      </c>
      <c r="T115" s="53" t="e" cm="1">
        <f t="array" ref="T115">_xlfn.TEXTSPLIT(S115," / ", ,TRUE,0,)</f>
        <v>#N/A</v>
      </c>
      <c r="U115" s="53"/>
      <c r="V115" s="53" t="str" cm="1">
        <f t="array" ref="V115">IFERROR(_xlfn.IFS(
T115="","",
--T115&lt;55,"Battery Defect",
--T115&lt;=69,"Battery D",
--T115&lt;=80,"Battery C",
--T115&gt;80,""
),"")</f>
        <v/>
      </c>
      <c r="W115" s="53" t="str" cm="1">
        <f t="array" ref="W115">IFERROR(_xlfn.IFS(
U115="","",
--U115&lt;55,"Battery Defect",
--U115&lt;=69,"Battery D",
--U115&lt;=80,"Battery C",
--U115&gt;80,""
),"")</f>
        <v/>
      </c>
      <c r="X115" s="53" t="str" cm="1">
        <f t="array" ref="X115:AE115">IFERROR(IF(_xlfn.XLOOKUP(B115,Input!J:J,Input!N:U)=0,"",
          _xlfn.XLOOKUP(B115,Input!J:J,Input!N:U)),"")</f>
        <v/>
      </c>
      <c r="Y115" s="53" t="str">
        <v/>
      </c>
      <c r="Z115" s="53" t="str">
        <v/>
      </c>
      <c r="AA115" s="53" t="str">
        <v/>
      </c>
      <c r="AB115" s="53" t="str">
        <v/>
      </c>
      <c r="AC115" s="53" t="str">
        <v/>
      </c>
      <c r="AD115" s="53" t="str">
        <v/>
      </c>
      <c r="AE115" s="53" t="str">
        <v/>
      </c>
      <c r="AF115" s="32" t="str">
        <f t="shared" si="5"/>
        <v/>
      </c>
      <c r="AG115" s="32" t="str">
        <f>_xlfn.XLOOKUP(B:B,Disk_Pivot!G:G,Disk_Pivot!I:I)</f>
        <v>Yes x2</v>
      </c>
      <c r="AH115" s="32" t="str">
        <f>_xlfn.XLOOKUP(B115,Disk_Pivot!G:G,Disk_Pivot!N:N)</f>
        <v>Pass, Fail</v>
      </c>
      <c r="AI115" s="32"/>
      <c r="AJ115" s="32"/>
      <c r="AK115" s="32"/>
      <c r="AL115" s="32"/>
      <c r="AM115" s="32"/>
      <c r="AN115" s="32"/>
    </row>
    <row r="116" spans="1:40">
      <c r="A116" s="32" t="str">
        <f>_xlfn.TEXTJOIN("",TRUE,_xlfn.XLOOKUP(B116,Input!J:J,Input!G:G,"",0,1),_xlfn.XLOOKUP(B116,Input!J:J,Input!H:H,"",0,1))</f>
        <v/>
      </c>
      <c r="B116" s="32"/>
      <c r="C116" s="53">
        <f>_xlfn.XLOOKUP(B116,Input!J:J,Input!F:F)</f>
        <v>0</v>
      </c>
      <c r="D116" s="32">
        <f>_xlfn.XLOOKUP(C116,Models!H:H,Models!G:G,C116)</f>
        <v>0</v>
      </c>
      <c r="E116" s="32"/>
      <c r="F116" s="32" t="str">
        <f>_xlfn.XLOOKUP(H116,Models!B:B,Models!F:F,"")</f>
        <v/>
      </c>
      <c r="G116" s="32">
        <f>_xlfn.XLOOKUP(B116,Input!J:J,Input!E:E)</f>
        <v>0</v>
      </c>
      <c r="H116" s="32">
        <f>IF(G116="LENOVO",_xlfn.XLOOKUP(B116,Input!J:J,Input!K:K),_xlfn.XLOOKUP(B116,Input!J:J,Input!L:L))</f>
        <v>0</v>
      </c>
      <c r="I116" s="32"/>
      <c r="J116" s="32"/>
      <c r="K116" s="32">
        <f>_xlfn.XLOOKUP(B116,CPU_Formula!A:A,CPU_Formula!I:I)</f>
        <v>0</v>
      </c>
      <c r="L116" s="53" t="e">
        <f>INDEX(Input!$D$2:$AC$500,
       MATCH(B116, Input!$J$2:$J$500, 0),
       MATCH("Memory Capacity", Input!$D$1:$AC$1, 0))</f>
        <v>#N/A</v>
      </c>
      <c r="M116" s="53" t="e">
        <f>INDEX(Input!$D$2:$AC$500,
       MATCH(B116, Input!$J$2:$J$500, 0),
       MATCH("Memory Type", Input!$D$1:$AC$1, 0))</f>
        <v>#N/A</v>
      </c>
      <c r="N116" s="53" t="e">
        <f t="shared" si="3"/>
        <v>#N/A</v>
      </c>
      <c r="O116" s="53" t="str" cm="1">
        <f t="array" ref="O116">IFERROR(_xlfn.FILTERXML("&lt;t&gt;&lt;s&gt;" &amp; SUBSTITUTE(M116," / ","&lt;/s&gt;&lt;s&gt;") &amp; "&lt;/s&gt;&lt;/t&gt;","(//s[contains(.,'DDR')])[1]"),"")</f>
        <v/>
      </c>
      <c r="P116" s="32" t="e">
        <f t="shared" si="7"/>
        <v>#N/A</v>
      </c>
      <c r="Q116" s="32" t="e">
        <f>INDEX(Input!$D$2:$AC$500,
       MATCH(B116, Input!$J$2:$J$500, 0),
       MATCH("Disk Capacity", Input!$D$1:$AC$1, 0))</f>
        <v>#N/A</v>
      </c>
      <c r="R116" s="32"/>
      <c r="S116" s="53" t="e">
        <f>_xlfn.LET(_xlpm.Result,INDEX(Input!$D$2:$AC$500,
       MATCH(B116, Input!$J$2:$J$500, 0),
       MATCH("Capacity", Input!$D$1:$AC$1, 0)),IF(_xlpm.Result="","",_xlpm.Result))</f>
        <v>#N/A</v>
      </c>
      <c r="T116" s="53" t="e" cm="1">
        <f t="array" ref="T116">_xlfn.TEXTSPLIT(S116," / ", ,TRUE,0,)</f>
        <v>#N/A</v>
      </c>
      <c r="U116" s="53"/>
      <c r="V116" s="53" t="str" cm="1">
        <f t="array" ref="V116">IFERROR(_xlfn.IFS(
T116="","",
--T116&lt;55,"Battery Defect",
--T116&lt;=69,"Battery D",
--T116&lt;=80,"Battery C",
--T116&gt;80,""
),"")</f>
        <v/>
      </c>
      <c r="W116" s="53" t="str" cm="1">
        <f t="array" ref="W116">IFERROR(_xlfn.IFS(
U116="","",
--U116&lt;55,"Battery Defect",
--U116&lt;=69,"Battery D",
--U116&lt;=80,"Battery C",
--U116&gt;80,""
),"")</f>
        <v/>
      </c>
      <c r="X116" s="53" t="str" cm="1">
        <f t="array" ref="X116:AE116">IFERROR(IF(_xlfn.XLOOKUP(B116,Input!J:J,Input!N:U)=0,"",
          _xlfn.XLOOKUP(B116,Input!J:J,Input!N:U)),"")</f>
        <v/>
      </c>
      <c r="Y116" s="53" t="str">
        <v/>
      </c>
      <c r="Z116" s="53" t="str">
        <v/>
      </c>
      <c r="AA116" s="53" t="str">
        <v/>
      </c>
      <c r="AB116" s="53" t="str">
        <v/>
      </c>
      <c r="AC116" s="53" t="str">
        <v/>
      </c>
      <c r="AD116" s="53" t="str">
        <v/>
      </c>
      <c r="AE116" s="53" t="str">
        <v/>
      </c>
      <c r="AF116" s="32" t="str">
        <f t="shared" si="5"/>
        <v/>
      </c>
      <c r="AG116" s="32" t="str">
        <f>_xlfn.XLOOKUP(B:B,Disk_Pivot!G:G,Disk_Pivot!I:I)</f>
        <v>Yes x2</v>
      </c>
      <c r="AH116" s="32" t="str">
        <f>_xlfn.XLOOKUP(B116,Disk_Pivot!G:G,Disk_Pivot!N:N)</f>
        <v>Pass, Fail</v>
      </c>
      <c r="AI116" s="32"/>
      <c r="AJ116" s="32"/>
      <c r="AK116" s="32"/>
      <c r="AL116" s="32"/>
      <c r="AM116" s="32"/>
      <c r="AN116" s="32"/>
    </row>
    <row r="117" spans="1:40">
      <c r="A117" s="32" t="str">
        <f>_xlfn.TEXTJOIN("",TRUE,_xlfn.XLOOKUP(B117,Input!J:J,Input!G:G,"",0,1),_xlfn.XLOOKUP(B117,Input!J:J,Input!H:H,"",0,1))</f>
        <v/>
      </c>
      <c r="B117" s="32"/>
      <c r="C117" s="53">
        <f>_xlfn.XLOOKUP(B117,Input!J:J,Input!F:F)</f>
        <v>0</v>
      </c>
      <c r="D117" s="32">
        <f>_xlfn.XLOOKUP(C117,Models!H:H,Models!G:G,C117)</f>
        <v>0</v>
      </c>
      <c r="E117" s="32"/>
      <c r="F117" s="32" t="str">
        <f>_xlfn.XLOOKUP(H117,Models!B:B,Models!F:F,"")</f>
        <v/>
      </c>
      <c r="G117" s="32">
        <f>_xlfn.XLOOKUP(B117,Input!J:J,Input!E:E)</f>
        <v>0</v>
      </c>
      <c r="H117" s="32">
        <f>IF(G117="LENOVO",_xlfn.XLOOKUP(B117,Input!J:J,Input!K:K),_xlfn.XLOOKUP(B117,Input!J:J,Input!L:L))</f>
        <v>0</v>
      </c>
      <c r="I117" s="32"/>
      <c r="J117" s="32"/>
      <c r="K117" s="32">
        <f>_xlfn.XLOOKUP(B117,CPU_Formula!A:A,CPU_Formula!I:I)</f>
        <v>0</v>
      </c>
      <c r="L117" s="53" t="e">
        <f>INDEX(Input!$D$2:$AC$500,
       MATCH(B117, Input!$J$2:$J$500, 0),
       MATCH("Memory Capacity", Input!$D$1:$AC$1, 0))</f>
        <v>#N/A</v>
      </c>
      <c r="M117" s="53" t="e">
        <f>INDEX(Input!$D$2:$AC$500,
       MATCH(B117, Input!$J$2:$J$500, 0),
       MATCH("Memory Type", Input!$D$1:$AC$1, 0))</f>
        <v>#N/A</v>
      </c>
      <c r="N117" s="53" t="e">
        <f t="shared" si="3"/>
        <v>#N/A</v>
      </c>
      <c r="O117" s="53" t="str" cm="1">
        <f t="array" ref="O117">IFERROR(_xlfn.FILTERXML("&lt;t&gt;&lt;s&gt;" &amp; SUBSTITUTE(M117," / ","&lt;/s&gt;&lt;s&gt;") &amp; "&lt;/s&gt;&lt;/t&gt;","(//s[contains(.,'DDR')])[1]"),"")</f>
        <v/>
      </c>
      <c r="P117" s="32" t="e">
        <f t="shared" si="7"/>
        <v>#N/A</v>
      </c>
      <c r="Q117" s="32" t="e">
        <f>INDEX(Input!$D$2:$AC$500,
       MATCH(B117, Input!$J$2:$J$500, 0),
       MATCH("Disk Capacity", Input!$D$1:$AC$1, 0))</f>
        <v>#N/A</v>
      </c>
      <c r="R117" s="32"/>
      <c r="S117" s="53" t="e">
        <f>_xlfn.LET(_xlpm.Result,INDEX(Input!$D$2:$AC$500,
       MATCH(B117, Input!$J$2:$J$500, 0),
       MATCH("Capacity", Input!$D$1:$AC$1, 0)),IF(_xlpm.Result="","",_xlpm.Result))</f>
        <v>#N/A</v>
      </c>
      <c r="T117" s="53" t="e" cm="1">
        <f t="array" ref="T117">_xlfn.TEXTSPLIT(S117," / ", ,TRUE,0,)</f>
        <v>#N/A</v>
      </c>
      <c r="U117" s="53"/>
      <c r="V117" s="53" t="str" cm="1">
        <f t="array" ref="V117">IFERROR(_xlfn.IFS(
T117="","",
--T117&lt;55,"Battery Defect",
--T117&lt;=69,"Battery D",
--T117&lt;=80,"Battery C",
--T117&gt;80,""
),"")</f>
        <v/>
      </c>
      <c r="W117" s="53" t="str" cm="1">
        <f t="array" ref="W117">IFERROR(_xlfn.IFS(
U117="","",
--U117&lt;55,"Battery Defect",
--U117&lt;=69,"Battery D",
--U117&lt;=80,"Battery C",
--U117&gt;80,""
),"")</f>
        <v/>
      </c>
      <c r="X117" s="53" t="str" cm="1">
        <f t="array" ref="X117:AE117">IFERROR(IF(_xlfn.XLOOKUP(B117,Input!J:J,Input!N:U)=0,"",
          _xlfn.XLOOKUP(B117,Input!J:J,Input!N:U)),"")</f>
        <v/>
      </c>
      <c r="Y117" s="53" t="str">
        <v/>
      </c>
      <c r="Z117" s="53" t="str">
        <v/>
      </c>
      <c r="AA117" s="53" t="str">
        <v/>
      </c>
      <c r="AB117" s="53" t="str">
        <v/>
      </c>
      <c r="AC117" s="53" t="str">
        <v/>
      </c>
      <c r="AD117" s="53" t="str">
        <v/>
      </c>
      <c r="AE117" s="53" t="str">
        <v/>
      </c>
      <c r="AF117" s="32" t="str">
        <f t="shared" si="5"/>
        <v/>
      </c>
      <c r="AG117" s="32" t="str">
        <f>_xlfn.XLOOKUP(B:B,Disk_Pivot!G:G,Disk_Pivot!I:I)</f>
        <v>Yes x2</v>
      </c>
      <c r="AH117" s="32" t="str">
        <f>_xlfn.XLOOKUP(B117,Disk_Pivot!G:G,Disk_Pivot!N:N)</f>
        <v>Pass, Fail</v>
      </c>
      <c r="AI117" s="32"/>
      <c r="AJ117" s="32"/>
      <c r="AK117" s="32"/>
      <c r="AL117" s="32"/>
      <c r="AM117" s="32"/>
      <c r="AN117" s="32"/>
    </row>
    <row r="118" spans="1:40">
      <c r="A118" s="32" t="str">
        <f>_xlfn.TEXTJOIN("",TRUE,_xlfn.XLOOKUP(B118,Input!J:J,Input!G:G,"",0,1),_xlfn.XLOOKUP(B118,Input!J:J,Input!H:H,"",0,1))</f>
        <v/>
      </c>
      <c r="B118" s="32"/>
      <c r="C118" s="53">
        <f>_xlfn.XLOOKUP(B118,Input!J:J,Input!F:F)</f>
        <v>0</v>
      </c>
      <c r="D118" s="32">
        <f>_xlfn.XLOOKUP(C118,Models!H:H,Models!G:G,C118)</f>
        <v>0</v>
      </c>
      <c r="E118" s="32"/>
      <c r="F118" s="32" t="str">
        <f>_xlfn.XLOOKUP(H118,Models!B:B,Models!F:F,"")</f>
        <v/>
      </c>
      <c r="G118" s="32">
        <f>_xlfn.XLOOKUP(B118,Input!J:J,Input!E:E)</f>
        <v>0</v>
      </c>
      <c r="H118" s="32">
        <f>IF(G118="LENOVO",_xlfn.XLOOKUP(B118,Input!J:J,Input!K:K),_xlfn.XLOOKUP(B118,Input!J:J,Input!L:L))</f>
        <v>0</v>
      </c>
      <c r="I118" s="32"/>
      <c r="J118" s="32"/>
      <c r="K118" s="32">
        <f>_xlfn.XLOOKUP(B118,CPU_Formula!A:A,CPU_Formula!I:I)</f>
        <v>0</v>
      </c>
      <c r="L118" s="53" t="e">
        <f>INDEX(Input!$D$2:$AC$500,
       MATCH(B118, Input!$J$2:$J$500, 0),
       MATCH("Memory Capacity", Input!$D$1:$AC$1, 0))</f>
        <v>#N/A</v>
      </c>
      <c r="M118" s="53" t="e">
        <f>INDEX(Input!$D$2:$AC$500,
       MATCH(B118, Input!$J$2:$J$500, 0),
       MATCH("Memory Type", Input!$D$1:$AC$1, 0))</f>
        <v>#N/A</v>
      </c>
      <c r="N118" s="53" t="e">
        <f t="shared" si="3"/>
        <v>#N/A</v>
      </c>
      <c r="O118" s="53" t="str" cm="1">
        <f t="array" ref="O118">IFERROR(_xlfn.FILTERXML("&lt;t&gt;&lt;s&gt;" &amp; SUBSTITUTE(M118," / ","&lt;/s&gt;&lt;s&gt;") &amp; "&lt;/s&gt;&lt;/t&gt;","(//s[contains(.,'DDR')])[1]"),"")</f>
        <v/>
      </c>
      <c r="P118" s="32" t="e">
        <f t="shared" si="7"/>
        <v>#N/A</v>
      </c>
      <c r="Q118" s="32" t="e">
        <f>INDEX(Input!$D$2:$AC$500,
       MATCH(B118, Input!$J$2:$J$500, 0),
       MATCH("Disk Capacity", Input!$D$1:$AC$1, 0))</f>
        <v>#N/A</v>
      </c>
      <c r="R118" s="32"/>
      <c r="S118" s="53" t="e">
        <f>_xlfn.LET(_xlpm.Result,INDEX(Input!$D$2:$AC$500,
       MATCH(B118, Input!$J$2:$J$500, 0),
       MATCH("Capacity", Input!$D$1:$AC$1, 0)),IF(_xlpm.Result="","",_xlpm.Result))</f>
        <v>#N/A</v>
      </c>
      <c r="T118" s="53" t="e" cm="1">
        <f t="array" ref="T118">_xlfn.TEXTSPLIT(S118," / ", ,TRUE,0,)</f>
        <v>#N/A</v>
      </c>
      <c r="U118" s="53"/>
      <c r="V118" s="53" t="str" cm="1">
        <f t="array" ref="V118">IFERROR(_xlfn.IFS(
T118="","",
--T118&lt;55,"Battery Defect",
--T118&lt;=69,"Battery D",
--T118&lt;=80,"Battery C",
--T118&gt;80,""
),"")</f>
        <v/>
      </c>
      <c r="W118" s="53" t="str" cm="1">
        <f t="array" ref="W118">IFERROR(_xlfn.IFS(
U118="","",
--U118&lt;55,"Battery Defect",
--U118&lt;=69,"Battery D",
--U118&lt;=80,"Battery C",
--U118&gt;80,""
),"")</f>
        <v/>
      </c>
      <c r="X118" s="53" t="str" cm="1">
        <f t="array" ref="X118:AE118">IFERROR(IF(_xlfn.XLOOKUP(B118,Input!J:J,Input!N:U)=0,"",
          _xlfn.XLOOKUP(B118,Input!J:J,Input!N:U)),"")</f>
        <v/>
      </c>
      <c r="Y118" s="53" t="str">
        <v/>
      </c>
      <c r="Z118" s="53" t="str">
        <v/>
      </c>
      <c r="AA118" s="53" t="str">
        <v/>
      </c>
      <c r="AB118" s="53" t="str">
        <v/>
      </c>
      <c r="AC118" s="53" t="str">
        <v/>
      </c>
      <c r="AD118" s="53" t="str">
        <v/>
      </c>
      <c r="AE118" s="53" t="str">
        <v/>
      </c>
      <c r="AF118" s="32" t="str">
        <f t="shared" si="5"/>
        <v/>
      </c>
      <c r="AG118" s="32" t="str">
        <f>_xlfn.XLOOKUP(B:B,Disk_Pivot!G:G,Disk_Pivot!I:I)</f>
        <v>Yes x2</v>
      </c>
      <c r="AH118" s="32" t="str">
        <f>_xlfn.XLOOKUP(B118,Disk_Pivot!G:G,Disk_Pivot!N:N)</f>
        <v>Pass, Fail</v>
      </c>
      <c r="AI118" s="32"/>
      <c r="AJ118" s="32"/>
      <c r="AK118" s="32"/>
      <c r="AL118" s="32"/>
      <c r="AM118" s="32"/>
      <c r="AN118" s="32"/>
    </row>
    <row r="119" spans="1:40">
      <c r="A119" s="32" t="str">
        <f>_xlfn.TEXTJOIN("",TRUE,_xlfn.XLOOKUP(B119,Input!J:J,Input!G:G,"",0,1),_xlfn.XLOOKUP(B119,Input!J:J,Input!H:H,"",0,1))</f>
        <v/>
      </c>
      <c r="B119" s="32"/>
      <c r="C119" s="53">
        <f>_xlfn.XLOOKUP(B119,Input!J:J,Input!F:F)</f>
        <v>0</v>
      </c>
      <c r="D119" s="32">
        <f>_xlfn.XLOOKUP(C119,Models!H:H,Models!G:G,C119)</f>
        <v>0</v>
      </c>
      <c r="E119" s="32"/>
      <c r="F119" s="32" t="str">
        <f>_xlfn.XLOOKUP(H119,Models!B:B,Models!F:F,"")</f>
        <v/>
      </c>
      <c r="G119" s="32">
        <f>_xlfn.XLOOKUP(B119,Input!J:J,Input!E:E)</f>
        <v>0</v>
      </c>
      <c r="H119" s="32">
        <f>IF(G119="LENOVO",_xlfn.XLOOKUP(B119,Input!J:J,Input!K:K),_xlfn.XLOOKUP(B119,Input!J:J,Input!L:L))</f>
        <v>0</v>
      </c>
      <c r="I119" s="32"/>
      <c r="J119" s="32"/>
      <c r="K119" s="32">
        <f>_xlfn.XLOOKUP(B119,CPU_Formula!A:A,CPU_Formula!I:I)</f>
        <v>0</v>
      </c>
      <c r="L119" s="53" t="e">
        <f>INDEX(Input!$D$2:$AC$500,
       MATCH(B119, Input!$J$2:$J$500, 0),
       MATCH("Memory Capacity", Input!$D$1:$AC$1, 0))</f>
        <v>#N/A</v>
      </c>
      <c r="M119" s="53" t="e">
        <f>INDEX(Input!$D$2:$AC$500,
       MATCH(B119, Input!$J$2:$J$500, 0),
       MATCH("Memory Type", Input!$D$1:$AC$1, 0))</f>
        <v>#N/A</v>
      </c>
      <c r="N119" s="53" t="e">
        <f t="shared" si="3"/>
        <v>#N/A</v>
      </c>
      <c r="O119" s="53" t="str" cm="1">
        <f t="array" ref="O119">IFERROR(_xlfn.FILTERXML("&lt;t&gt;&lt;s&gt;" &amp; SUBSTITUTE(M119," / ","&lt;/s&gt;&lt;s&gt;") &amp; "&lt;/s&gt;&lt;/t&gt;","(//s[contains(.,'DDR')])[1]"),"")</f>
        <v/>
      </c>
      <c r="P119" s="32" t="e">
        <f t="shared" si="7"/>
        <v>#N/A</v>
      </c>
      <c r="Q119" s="32" t="e">
        <f>INDEX(Input!$D$2:$AC$500,
       MATCH(B119, Input!$J$2:$J$500, 0),
       MATCH("Disk Capacity", Input!$D$1:$AC$1, 0))</f>
        <v>#N/A</v>
      </c>
      <c r="R119" s="32"/>
      <c r="S119" s="53" t="e">
        <f>_xlfn.LET(_xlpm.Result,INDEX(Input!$D$2:$AC$500,
       MATCH(B119, Input!$J$2:$J$500, 0),
       MATCH("Capacity", Input!$D$1:$AC$1, 0)),IF(_xlpm.Result="","",_xlpm.Result))</f>
        <v>#N/A</v>
      </c>
      <c r="T119" s="53" t="e" cm="1">
        <f t="array" ref="T119">_xlfn.TEXTSPLIT(S119," / ", ,TRUE,0,)</f>
        <v>#N/A</v>
      </c>
      <c r="U119" s="53"/>
      <c r="V119" s="53" t="str" cm="1">
        <f t="array" ref="V119">IFERROR(_xlfn.IFS(
T119="","",
--T119&lt;55,"Battery Defect",
--T119&lt;=69,"Battery D",
--T119&lt;=80,"Battery C",
--T119&gt;80,""
),"")</f>
        <v/>
      </c>
      <c r="W119" s="53" t="str" cm="1">
        <f t="array" ref="W119">IFERROR(_xlfn.IFS(
U119="","",
--U119&lt;55,"Battery Defect",
--U119&lt;=69,"Battery D",
--U119&lt;=80,"Battery C",
--U119&gt;80,""
),"")</f>
        <v/>
      </c>
      <c r="X119" s="53" t="str" cm="1">
        <f t="array" ref="X119:AE119">IFERROR(IF(_xlfn.XLOOKUP(B119,Input!J:J,Input!N:U)=0,"",
          _xlfn.XLOOKUP(B119,Input!J:J,Input!N:U)),"")</f>
        <v/>
      </c>
      <c r="Y119" s="53" t="str">
        <v/>
      </c>
      <c r="Z119" s="53" t="str">
        <v/>
      </c>
      <c r="AA119" s="53" t="str">
        <v/>
      </c>
      <c r="AB119" s="53" t="str">
        <v/>
      </c>
      <c r="AC119" s="53" t="str">
        <v/>
      </c>
      <c r="AD119" s="53" t="str">
        <v/>
      </c>
      <c r="AE119" s="53" t="str">
        <v/>
      </c>
      <c r="AF119" s="32" t="str">
        <f t="shared" si="5"/>
        <v/>
      </c>
      <c r="AG119" s="32" t="str">
        <f>_xlfn.XLOOKUP(B:B,Disk_Pivot!G:G,Disk_Pivot!I:I)</f>
        <v>Yes x2</v>
      </c>
      <c r="AH119" s="32" t="str">
        <f>_xlfn.XLOOKUP(B119,Disk_Pivot!G:G,Disk_Pivot!N:N)</f>
        <v>Pass, Fail</v>
      </c>
      <c r="AI119" s="32"/>
      <c r="AJ119" s="32"/>
      <c r="AK119" s="32"/>
      <c r="AL119" s="32"/>
      <c r="AM119" s="32"/>
      <c r="AN119" s="32"/>
    </row>
    <row r="120" spans="1:40">
      <c r="A120" s="32" t="str">
        <f>_xlfn.TEXTJOIN("",TRUE,_xlfn.XLOOKUP(B120,Input!J:J,Input!G:G,"",0,1),_xlfn.XLOOKUP(B120,Input!J:J,Input!H:H,"",0,1))</f>
        <v/>
      </c>
      <c r="B120" s="32"/>
      <c r="C120" s="53">
        <f>_xlfn.XLOOKUP(B120,Input!J:J,Input!F:F)</f>
        <v>0</v>
      </c>
      <c r="D120" s="32">
        <f>_xlfn.XLOOKUP(C120,Models!H:H,Models!G:G,C120)</f>
        <v>0</v>
      </c>
      <c r="E120" s="32"/>
      <c r="F120" s="32" t="str">
        <f>_xlfn.XLOOKUP(H120,Models!B:B,Models!F:F,"")</f>
        <v/>
      </c>
      <c r="G120" s="32">
        <f>_xlfn.XLOOKUP(B120,Input!J:J,Input!E:E)</f>
        <v>0</v>
      </c>
      <c r="H120" s="32">
        <f>IF(G120="LENOVO",_xlfn.XLOOKUP(B120,Input!J:J,Input!K:K),_xlfn.XLOOKUP(B120,Input!J:J,Input!L:L))</f>
        <v>0</v>
      </c>
      <c r="I120" s="32"/>
      <c r="J120" s="32"/>
      <c r="K120" s="32">
        <f>_xlfn.XLOOKUP(B120,CPU_Formula!A:A,CPU_Formula!I:I)</f>
        <v>0</v>
      </c>
      <c r="L120" s="53" t="e">
        <f>INDEX(Input!$D$2:$AC$500,
       MATCH(B120, Input!$J$2:$J$500, 0),
       MATCH("Memory Capacity", Input!$D$1:$AC$1, 0))</f>
        <v>#N/A</v>
      </c>
      <c r="M120" s="53" t="e">
        <f>INDEX(Input!$D$2:$AC$500,
       MATCH(B120, Input!$J$2:$J$500, 0),
       MATCH("Memory Type", Input!$D$1:$AC$1, 0))</f>
        <v>#N/A</v>
      </c>
      <c r="N120" s="53" t="e">
        <f t="shared" si="3"/>
        <v>#N/A</v>
      </c>
      <c r="O120" s="53" t="str" cm="1">
        <f t="array" ref="O120">IFERROR(_xlfn.FILTERXML("&lt;t&gt;&lt;s&gt;" &amp; SUBSTITUTE(M120," / ","&lt;/s&gt;&lt;s&gt;") &amp; "&lt;/s&gt;&lt;/t&gt;","(//s[contains(.,'DDR')])[1]"),"")</f>
        <v/>
      </c>
      <c r="P120" s="32" t="e">
        <f t="shared" si="7"/>
        <v>#N/A</v>
      </c>
      <c r="Q120" s="32" t="e">
        <f>INDEX(Input!$D$2:$AC$500,
       MATCH(B120, Input!$J$2:$J$500, 0),
       MATCH("Disk Capacity", Input!$D$1:$AC$1, 0))</f>
        <v>#N/A</v>
      </c>
      <c r="R120" s="32"/>
      <c r="S120" s="53" t="e">
        <f>_xlfn.LET(_xlpm.Result,INDEX(Input!$D$2:$AC$500,
       MATCH(B120, Input!$J$2:$J$500, 0),
       MATCH("Capacity", Input!$D$1:$AC$1, 0)),IF(_xlpm.Result="","",_xlpm.Result))</f>
        <v>#N/A</v>
      </c>
      <c r="T120" s="53" t="e" cm="1">
        <f t="array" ref="T120">_xlfn.TEXTSPLIT(S120," / ", ,TRUE,0,)</f>
        <v>#N/A</v>
      </c>
      <c r="U120" s="53"/>
      <c r="V120" s="53" t="str" cm="1">
        <f t="array" ref="V120">IFERROR(_xlfn.IFS(
T120="","",
--T120&lt;55,"Battery Defect",
--T120&lt;=69,"Battery D",
--T120&lt;=80,"Battery C",
--T120&gt;80,""
),"")</f>
        <v/>
      </c>
      <c r="W120" s="53" t="str" cm="1">
        <f t="array" ref="W120">IFERROR(_xlfn.IFS(
U120="","",
--U120&lt;55,"Battery Defect",
--U120&lt;=69,"Battery D",
--U120&lt;=80,"Battery C",
--U120&gt;80,""
),"")</f>
        <v/>
      </c>
      <c r="X120" s="53" t="str" cm="1">
        <f t="array" ref="X120:AE120">IFERROR(IF(_xlfn.XLOOKUP(B120,Input!J:J,Input!N:U)=0,"",
          _xlfn.XLOOKUP(B120,Input!J:J,Input!N:U)),"")</f>
        <v/>
      </c>
      <c r="Y120" s="53" t="str">
        <v/>
      </c>
      <c r="Z120" s="53" t="str">
        <v/>
      </c>
      <c r="AA120" s="53" t="str">
        <v/>
      </c>
      <c r="AB120" s="53" t="str">
        <v/>
      </c>
      <c r="AC120" s="53" t="str">
        <v/>
      </c>
      <c r="AD120" s="53" t="str">
        <v/>
      </c>
      <c r="AE120" s="53" t="str">
        <v/>
      </c>
      <c r="AF120" s="32" t="str">
        <f t="shared" si="5"/>
        <v/>
      </c>
      <c r="AG120" s="32" t="str">
        <f>_xlfn.XLOOKUP(B:B,Disk_Pivot!G:G,Disk_Pivot!I:I)</f>
        <v>Yes x2</v>
      </c>
      <c r="AH120" s="32" t="str">
        <f>_xlfn.XLOOKUP(B120,Disk_Pivot!G:G,Disk_Pivot!N:N)</f>
        <v>Pass, Fail</v>
      </c>
      <c r="AI120" s="32"/>
      <c r="AJ120" s="32"/>
      <c r="AK120" s="32"/>
      <c r="AL120" s="32"/>
      <c r="AM120" s="32"/>
      <c r="AN120" s="32"/>
    </row>
    <row r="121" spans="1:40">
      <c r="A121" s="32" t="str">
        <f>_xlfn.TEXTJOIN("",TRUE,_xlfn.XLOOKUP(B121,Input!J:J,Input!G:G,"",0,1),_xlfn.XLOOKUP(B121,Input!J:J,Input!H:H,"",0,1))</f>
        <v/>
      </c>
      <c r="B121" s="32"/>
      <c r="C121" s="53">
        <f>_xlfn.XLOOKUP(B121,Input!J:J,Input!F:F)</f>
        <v>0</v>
      </c>
      <c r="D121" s="32">
        <f>_xlfn.XLOOKUP(C121,Models!H:H,Models!G:G,C121)</f>
        <v>0</v>
      </c>
      <c r="E121" s="32"/>
      <c r="F121" s="32" t="str">
        <f>_xlfn.XLOOKUP(H121,Models!B:B,Models!F:F,"")</f>
        <v/>
      </c>
      <c r="G121" s="32">
        <f>_xlfn.XLOOKUP(B121,Input!J:J,Input!E:E)</f>
        <v>0</v>
      </c>
      <c r="H121" s="32">
        <f>IF(G121="LENOVO",_xlfn.XLOOKUP(B121,Input!J:J,Input!K:K),_xlfn.XLOOKUP(B121,Input!J:J,Input!L:L))</f>
        <v>0</v>
      </c>
      <c r="I121" s="32"/>
      <c r="J121" s="32"/>
      <c r="K121" s="32">
        <f>_xlfn.XLOOKUP(B121,CPU_Formula!A:A,CPU_Formula!I:I)</f>
        <v>0</v>
      </c>
      <c r="L121" s="53" t="e">
        <f>INDEX(Input!$D$2:$AC$500,
       MATCH(B121, Input!$J$2:$J$500, 0),
       MATCH("Memory Capacity", Input!$D$1:$AC$1, 0))</f>
        <v>#N/A</v>
      </c>
      <c r="M121" s="53" t="e">
        <f>INDEX(Input!$D$2:$AC$500,
       MATCH(B121, Input!$J$2:$J$500, 0),
       MATCH("Memory Type", Input!$D$1:$AC$1, 0))</f>
        <v>#N/A</v>
      </c>
      <c r="N121" s="53" t="e">
        <f t="shared" si="3"/>
        <v>#N/A</v>
      </c>
      <c r="O121" s="53" t="str" cm="1">
        <f t="array" ref="O121">IFERROR(_xlfn.FILTERXML("&lt;t&gt;&lt;s&gt;" &amp; SUBSTITUTE(M121," / ","&lt;/s&gt;&lt;s&gt;") &amp; "&lt;/s&gt;&lt;/t&gt;","(//s[contains(.,'DDR')])[1]"),"")</f>
        <v/>
      </c>
      <c r="P121" s="32" t="e">
        <f t="shared" si="7"/>
        <v>#N/A</v>
      </c>
      <c r="Q121" s="32" t="e">
        <f>INDEX(Input!$D$2:$AC$500,
       MATCH(B121, Input!$J$2:$J$500, 0),
       MATCH("Disk Capacity", Input!$D$1:$AC$1, 0))</f>
        <v>#N/A</v>
      </c>
      <c r="R121" s="32"/>
      <c r="S121" s="53" t="e">
        <f>_xlfn.LET(_xlpm.Result,INDEX(Input!$D$2:$AC$500,
       MATCH(B121, Input!$J$2:$J$500, 0),
       MATCH("Capacity", Input!$D$1:$AC$1, 0)),IF(_xlpm.Result="","",_xlpm.Result))</f>
        <v>#N/A</v>
      </c>
      <c r="T121" s="53" t="e" cm="1">
        <f t="array" ref="T121">_xlfn.TEXTSPLIT(S121," / ", ,TRUE,0,)</f>
        <v>#N/A</v>
      </c>
      <c r="U121" s="53"/>
      <c r="V121" s="53" t="str" cm="1">
        <f t="array" ref="V121">IFERROR(_xlfn.IFS(
T121="","",
--T121&lt;55,"Battery Defect",
--T121&lt;=69,"Battery D",
--T121&lt;=80,"Battery C",
--T121&gt;80,""
),"")</f>
        <v/>
      </c>
      <c r="W121" s="53" t="str" cm="1">
        <f t="array" ref="W121">IFERROR(_xlfn.IFS(
U121="","",
--U121&lt;55,"Battery Defect",
--U121&lt;=69,"Battery D",
--U121&lt;=80,"Battery C",
--U121&gt;80,""
),"")</f>
        <v/>
      </c>
      <c r="X121" s="53" t="str" cm="1">
        <f t="array" ref="X121:AE121">IFERROR(IF(_xlfn.XLOOKUP(B121,Input!J:J,Input!N:U)=0,"",
          _xlfn.XLOOKUP(B121,Input!J:J,Input!N:U)),"")</f>
        <v/>
      </c>
      <c r="Y121" s="53" t="str">
        <v/>
      </c>
      <c r="Z121" s="53" t="str">
        <v/>
      </c>
      <c r="AA121" s="53" t="str">
        <v/>
      </c>
      <c r="AB121" s="53" t="str">
        <v/>
      </c>
      <c r="AC121" s="53" t="str">
        <v/>
      </c>
      <c r="AD121" s="53" t="str">
        <v/>
      </c>
      <c r="AE121" s="53" t="str">
        <v/>
      </c>
      <c r="AF121" s="32" t="str">
        <f t="shared" si="5"/>
        <v/>
      </c>
      <c r="AG121" s="32" t="str">
        <f>_xlfn.XLOOKUP(B:B,Disk_Pivot!G:G,Disk_Pivot!I:I)</f>
        <v>Yes x2</v>
      </c>
      <c r="AH121" s="32" t="str">
        <f>_xlfn.XLOOKUP(B121,Disk_Pivot!G:G,Disk_Pivot!N:N)</f>
        <v>Pass, Fail</v>
      </c>
      <c r="AI121" s="32"/>
      <c r="AJ121" s="32"/>
      <c r="AK121" s="32"/>
      <c r="AL121" s="32"/>
      <c r="AM121" s="32"/>
      <c r="AN121" s="32"/>
    </row>
    <row r="122" spans="1:40">
      <c r="A122" s="32" t="str">
        <f>_xlfn.TEXTJOIN("",TRUE,_xlfn.XLOOKUP(B122,Input!J:J,Input!G:G,"",0,1),_xlfn.XLOOKUP(B122,Input!J:J,Input!H:H,"",0,1))</f>
        <v/>
      </c>
      <c r="B122" s="32"/>
      <c r="C122" s="53">
        <f>_xlfn.XLOOKUP(B122,Input!J:J,Input!F:F)</f>
        <v>0</v>
      </c>
      <c r="D122" s="32">
        <f>_xlfn.XLOOKUP(C122,Models!H:H,Models!G:G,C122)</f>
        <v>0</v>
      </c>
      <c r="E122" s="32"/>
      <c r="F122" s="32" t="str">
        <f>_xlfn.XLOOKUP(H122,Models!B:B,Models!F:F,"")</f>
        <v/>
      </c>
      <c r="G122" s="32">
        <f>_xlfn.XLOOKUP(B122,Input!J:J,Input!E:E)</f>
        <v>0</v>
      </c>
      <c r="H122" s="32">
        <f>IF(G122="LENOVO",_xlfn.XLOOKUP(B122,Input!J:J,Input!K:K),_xlfn.XLOOKUP(B122,Input!J:J,Input!L:L))</f>
        <v>0</v>
      </c>
      <c r="I122" s="32"/>
      <c r="J122" s="32"/>
      <c r="K122" s="32">
        <f>_xlfn.XLOOKUP(B122,CPU_Formula!A:A,CPU_Formula!I:I)</f>
        <v>0</v>
      </c>
      <c r="L122" s="53" t="e">
        <f>INDEX(Input!$D$2:$AC$500,
       MATCH(B122, Input!$J$2:$J$500, 0),
       MATCH("Memory Capacity", Input!$D$1:$AC$1, 0))</f>
        <v>#N/A</v>
      </c>
      <c r="M122" s="53" t="e">
        <f>INDEX(Input!$D$2:$AC$500,
       MATCH(B122, Input!$J$2:$J$500, 0),
       MATCH("Memory Type", Input!$D$1:$AC$1, 0))</f>
        <v>#N/A</v>
      </c>
      <c r="N122" s="53" t="e">
        <f t="shared" si="3"/>
        <v>#N/A</v>
      </c>
      <c r="O122" s="53" t="str" cm="1">
        <f t="array" ref="O122">IFERROR(_xlfn.FILTERXML("&lt;t&gt;&lt;s&gt;" &amp; SUBSTITUTE(M122," / ","&lt;/s&gt;&lt;s&gt;") &amp; "&lt;/s&gt;&lt;/t&gt;","(//s[contains(.,'DDR')])[1]"),"")</f>
        <v/>
      </c>
      <c r="P122" s="32" t="e">
        <f t="shared" si="7"/>
        <v>#N/A</v>
      </c>
      <c r="Q122" s="32" t="e">
        <f>INDEX(Input!$D$2:$AC$500,
       MATCH(B122, Input!$J$2:$J$500, 0),
       MATCH("Disk Capacity", Input!$D$1:$AC$1, 0))</f>
        <v>#N/A</v>
      </c>
      <c r="R122" s="32"/>
      <c r="S122" s="53" t="e">
        <f>_xlfn.LET(_xlpm.Result,INDEX(Input!$D$2:$AC$500,
       MATCH(B122, Input!$J$2:$J$500, 0),
       MATCH("Capacity", Input!$D$1:$AC$1, 0)),IF(_xlpm.Result="","",_xlpm.Result))</f>
        <v>#N/A</v>
      </c>
      <c r="T122" s="53" t="e" cm="1">
        <f t="array" ref="T122">_xlfn.TEXTSPLIT(S122," / ", ,TRUE,0,)</f>
        <v>#N/A</v>
      </c>
      <c r="U122" s="53"/>
      <c r="V122" s="53" t="str" cm="1">
        <f t="array" ref="V122">IFERROR(_xlfn.IFS(
T122="","",
--T122&lt;55,"Battery Defect",
--T122&lt;=69,"Battery D",
--T122&lt;=80,"Battery C",
--T122&gt;80,""
),"")</f>
        <v/>
      </c>
      <c r="W122" s="53" t="str" cm="1">
        <f t="array" ref="W122">IFERROR(_xlfn.IFS(
U122="","",
--U122&lt;55,"Battery Defect",
--U122&lt;=69,"Battery D",
--U122&lt;=80,"Battery C",
--U122&gt;80,""
),"")</f>
        <v/>
      </c>
      <c r="X122" s="53" t="str" cm="1">
        <f t="array" ref="X122:AE122">IFERROR(IF(_xlfn.XLOOKUP(B122,Input!J:J,Input!N:U)=0,"",
          _xlfn.XLOOKUP(B122,Input!J:J,Input!N:U)),"")</f>
        <v/>
      </c>
      <c r="Y122" s="53" t="str">
        <v/>
      </c>
      <c r="Z122" s="53" t="str">
        <v/>
      </c>
      <c r="AA122" s="53" t="str">
        <v/>
      </c>
      <c r="AB122" s="53" t="str">
        <v/>
      </c>
      <c r="AC122" s="53" t="str">
        <v/>
      </c>
      <c r="AD122" s="53" t="str">
        <v/>
      </c>
      <c r="AE122" s="53" t="str">
        <v/>
      </c>
      <c r="AF122" s="32" t="str">
        <f t="shared" si="5"/>
        <v/>
      </c>
      <c r="AG122" s="32" t="str">
        <f>_xlfn.XLOOKUP(B:B,Disk_Pivot!G:G,Disk_Pivot!I:I)</f>
        <v>Yes x2</v>
      </c>
      <c r="AH122" s="32" t="str">
        <f>_xlfn.XLOOKUP(B122,Disk_Pivot!G:G,Disk_Pivot!N:N)</f>
        <v>Pass, Fail</v>
      </c>
      <c r="AI122" s="32"/>
      <c r="AJ122" s="32"/>
      <c r="AK122" s="32"/>
      <c r="AL122" s="32"/>
      <c r="AM122" s="32"/>
      <c r="AN122" s="32"/>
    </row>
    <row r="123" spans="1:40">
      <c r="A123" s="32" t="str">
        <f>_xlfn.TEXTJOIN("",TRUE,_xlfn.XLOOKUP(B123,Input!J:J,Input!G:G,"",0,1),_xlfn.XLOOKUP(B123,Input!J:J,Input!H:H,"",0,1))</f>
        <v/>
      </c>
      <c r="B123" s="32"/>
      <c r="C123" s="53">
        <f>_xlfn.XLOOKUP(B123,Input!J:J,Input!F:F)</f>
        <v>0</v>
      </c>
      <c r="D123" s="32">
        <f>_xlfn.XLOOKUP(C123,Models!H:H,Models!G:G,C123)</f>
        <v>0</v>
      </c>
      <c r="E123" s="32"/>
      <c r="F123" s="32" t="str">
        <f>_xlfn.XLOOKUP(H123,Models!B:B,Models!F:F,"")</f>
        <v/>
      </c>
      <c r="G123" s="32">
        <f>_xlfn.XLOOKUP(B123,Input!J:J,Input!E:E)</f>
        <v>0</v>
      </c>
      <c r="H123" s="32">
        <f>IF(G123="LENOVO",_xlfn.XLOOKUP(B123,Input!J:J,Input!K:K),_xlfn.XLOOKUP(B123,Input!J:J,Input!L:L))</f>
        <v>0</v>
      </c>
      <c r="I123" s="32"/>
      <c r="J123" s="32"/>
      <c r="K123" s="32">
        <f>_xlfn.XLOOKUP(B123,CPU_Formula!A:A,CPU_Formula!I:I)</f>
        <v>0</v>
      </c>
      <c r="L123" s="53" t="e">
        <f>INDEX(Input!$D$2:$AC$500,
       MATCH(B123, Input!$J$2:$J$500, 0),
       MATCH("Memory Capacity", Input!$D$1:$AC$1, 0))</f>
        <v>#N/A</v>
      </c>
      <c r="M123" s="53" t="e">
        <f>INDEX(Input!$D$2:$AC$500,
       MATCH(B123, Input!$J$2:$J$500, 0),
       MATCH("Memory Type", Input!$D$1:$AC$1, 0))</f>
        <v>#N/A</v>
      </c>
      <c r="N123" s="53" t="e">
        <f t="shared" si="3"/>
        <v>#N/A</v>
      </c>
      <c r="O123" s="53" t="str" cm="1">
        <f t="array" ref="O123">IFERROR(_xlfn.FILTERXML("&lt;t&gt;&lt;s&gt;" &amp; SUBSTITUTE(M123," / ","&lt;/s&gt;&lt;s&gt;") &amp; "&lt;/s&gt;&lt;/t&gt;","(//s[contains(.,'DDR')])[1]"),"")</f>
        <v/>
      </c>
      <c r="P123" s="32" t="e">
        <f t="shared" si="7"/>
        <v>#N/A</v>
      </c>
      <c r="Q123" s="32" t="e">
        <f>INDEX(Input!$D$2:$AC$500,
       MATCH(B123, Input!$J$2:$J$500, 0),
       MATCH("Disk Capacity", Input!$D$1:$AC$1, 0))</f>
        <v>#N/A</v>
      </c>
      <c r="R123" s="32"/>
      <c r="S123" s="53" t="e">
        <f>_xlfn.LET(_xlpm.Result,INDEX(Input!$D$2:$AC$500,
       MATCH(B123, Input!$J$2:$J$500, 0),
       MATCH("Capacity", Input!$D$1:$AC$1, 0)),IF(_xlpm.Result="","",_xlpm.Result))</f>
        <v>#N/A</v>
      </c>
      <c r="T123" s="53" t="e" cm="1">
        <f t="array" ref="T123">_xlfn.TEXTSPLIT(S123," / ", ,TRUE,0,)</f>
        <v>#N/A</v>
      </c>
      <c r="U123" s="53"/>
      <c r="V123" s="53" t="str" cm="1">
        <f t="array" ref="V123">IFERROR(_xlfn.IFS(
T123="","",
--T123&lt;55,"Battery Defect",
--T123&lt;=69,"Battery D",
--T123&lt;=80,"Battery C",
--T123&gt;80,""
),"")</f>
        <v/>
      </c>
      <c r="W123" s="53" t="str" cm="1">
        <f t="array" ref="W123">IFERROR(_xlfn.IFS(
U123="","",
--U123&lt;55,"Battery Defect",
--U123&lt;=69,"Battery D",
--U123&lt;=80,"Battery C",
--U123&gt;80,""
),"")</f>
        <v/>
      </c>
      <c r="X123" s="53" t="str" cm="1">
        <f t="array" ref="X123:AE123">IFERROR(IF(_xlfn.XLOOKUP(B123,Input!J:J,Input!N:U)=0,"",
          _xlfn.XLOOKUP(B123,Input!J:J,Input!N:U)),"")</f>
        <v/>
      </c>
      <c r="Y123" s="53" t="str">
        <v/>
      </c>
      <c r="Z123" s="53" t="str">
        <v/>
      </c>
      <c r="AA123" s="53" t="str">
        <v/>
      </c>
      <c r="AB123" s="53" t="str">
        <v/>
      </c>
      <c r="AC123" s="53" t="str">
        <v/>
      </c>
      <c r="AD123" s="53" t="str">
        <v/>
      </c>
      <c r="AE123" s="53" t="str">
        <v/>
      </c>
      <c r="AF123" s="32" t="str">
        <f t="shared" si="5"/>
        <v/>
      </c>
      <c r="AG123" s="32" t="str">
        <f>_xlfn.XLOOKUP(B:B,Disk_Pivot!G:G,Disk_Pivot!I:I)</f>
        <v>Yes x2</v>
      </c>
      <c r="AH123" s="32" t="str">
        <f>_xlfn.XLOOKUP(B123,Disk_Pivot!G:G,Disk_Pivot!N:N)</f>
        <v>Pass, Fail</v>
      </c>
      <c r="AI123" s="32"/>
      <c r="AJ123" s="32"/>
      <c r="AK123" s="32"/>
      <c r="AL123" s="32"/>
      <c r="AM123" s="32"/>
      <c r="AN123" s="32"/>
    </row>
    <row r="124" spans="1:40">
      <c r="A124" s="32" t="str">
        <f>_xlfn.TEXTJOIN("",TRUE,_xlfn.XLOOKUP(B124,Input!J:J,Input!G:G,"",0,1),_xlfn.XLOOKUP(B124,Input!J:J,Input!H:H,"",0,1))</f>
        <v/>
      </c>
      <c r="B124" s="32"/>
      <c r="C124" s="53">
        <f>_xlfn.XLOOKUP(B124,Input!J:J,Input!F:F)</f>
        <v>0</v>
      </c>
      <c r="D124" s="32">
        <f>_xlfn.XLOOKUP(C124,Models!H:H,Models!G:G,C124)</f>
        <v>0</v>
      </c>
      <c r="E124" s="32"/>
      <c r="F124" s="32" t="str">
        <f>_xlfn.XLOOKUP(H124,Models!B:B,Models!F:F,"")</f>
        <v/>
      </c>
      <c r="G124" s="32">
        <f>_xlfn.XLOOKUP(B124,Input!J:J,Input!E:E)</f>
        <v>0</v>
      </c>
      <c r="H124" s="32">
        <f>IF(G124="LENOVO",_xlfn.XLOOKUP(B124,Input!J:J,Input!K:K),_xlfn.XLOOKUP(B124,Input!J:J,Input!L:L))</f>
        <v>0</v>
      </c>
      <c r="I124" s="32"/>
      <c r="J124" s="32"/>
      <c r="K124" s="32">
        <f>_xlfn.XLOOKUP(B124,CPU_Formula!A:A,CPU_Formula!I:I)</f>
        <v>0</v>
      </c>
      <c r="L124" s="53" t="e">
        <f>INDEX(Input!$D$2:$AC$500,
       MATCH(B124, Input!$J$2:$J$500, 0),
       MATCH("Memory Capacity", Input!$D$1:$AC$1, 0))</f>
        <v>#N/A</v>
      </c>
      <c r="M124" s="53" t="e">
        <f>INDEX(Input!$D$2:$AC$500,
       MATCH(B124, Input!$J$2:$J$500, 0),
       MATCH("Memory Type", Input!$D$1:$AC$1, 0))</f>
        <v>#N/A</v>
      </c>
      <c r="N124" s="53" t="e">
        <f t="shared" si="3"/>
        <v>#N/A</v>
      </c>
      <c r="O124" s="53" t="str" cm="1">
        <f t="array" ref="O124">IFERROR(_xlfn.FILTERXML("&lt;t&gt;&lt;s&gt;" &amp; SUBSTITUTE(M124," / ","&lt;/s&gt;&lt;s&gt;") &amp; "&lt;/s&gt;&lt;/t&gt;","(//s[contains(.,'DDR')])[1]"),"")</f>
        <v/>
      </c>
      <c r="P124" s="32" t="e">
        <f t="shared" si="7"/>
        <v>#N/A</v>
      </c>
      <c r="Q124" s="32" t="e">
        <f>INDEX(Input!$D$2:$AC$500,
       MATCH(B124, Input!$J$2:$J$500, 0),
       MATCH("Disk Capacity", Input!$D$1:$AC$1, 0))</f>
        <v>#N/A</v>
      </c>
      <c r="R124" s="32"/>
      <c r="S124" s="53" t="e">
        <f>_xlfn.LET(_xlpm.Result,INDEX(Input!$D$2:$AC$500,
       MATCH(B124, Input!$J$2:$J$500, 0),
       MATCH("Capacity", Input!$D$1:$AC$1, 0)),IF(_xlpm.Result="","",_xlpm.Result))</f>
        <v>#N/A</v>
      </c>
      <c r="T124" s="53" t="e" cm="1">
        <f t="array" ref="T124">_xlfn.TEXTSPLIT(S124," / ", ,TRUE,0,)</f>
        <v>#N/A</v>
      </c>
      <c r="U124" s="53"/>
      <c r="V124" s="53" t="str" cm="1">
        <f t="array" ref="V124">IFERROR(_xlfn.IFS(
T124="","",
--T124&lt;55,"Battery Defect",
--T124&lt;=69,"Battery D",
--T124&lt;=80,"Battery C",
--T124&gt;80,""
),"")</f>
        <v/>
      </c>
      <c r="W124" s="53" t="str" cm="1">
        <f t="array" ref="W124">IFERROR(_xlfn.IFS(
U124="","",
--U124&lt;55,"Battery Defect",
--U124&lt;=69,"Battery D",
--U124&lt;=80,"Battery C",
--U124&gt;80,""
),"")</f>
        <v/>
      </c>
      <c r="X124" s="53" t="str" cm="1">
        <f t="array" ref="X124:AE124">IFERROR(IF(_xlfn.XLOOKUP(B124,Input!J:J,Input!N:U)=0,"",
          _xlfn.XLOOKUP(B124,Input!J:J,Input!N:U)),"")</f>
        <v/>
      </c>
      <c r="Y124" s="53" t="str">
        <v/>
      </c>
      <c r="Z124" s="53" t="str">
        <v/>
      </c>
      <c r="AA124" s="53" t="str">
        <v/>
      </c>
      <c r="AB124" s="53" t="str">
        <v/>
      </c>
      <c r="AC124" s="53" t="str">
        <v/>
      </c>
      <c r="AD124" s="53" t="str">
        <v/>
      </c>
      <c r="AE124" s="53" t="str">
        <v/>
      </c>
      <c r="AF124" s="32" t="str">
        <f t="shared" si="5"/>
        <v/>
      </c>
      <c r="AG124" s="32" t="str">
        <f>_xlfn.XLOOKUP(B:B,Disk_Pivot!G:G,Disk_Pivot!I:I)</f>
        <v>Yes x2</v>
      </c>
      <c r="AH124" s="32" t="str">
        <f>_xlfn.XLOOKUP(B124,Disk_Pivot!G:G,Disk_Pivot!N:N)</f>
        <v>Pass, Fail</v>
      </c>
      <c r="AI124" s="32"/>
      <c r="AJ124" s="32"/>
      <c r="AK124" s="32"/>
      <c r="AL124" s="32"/>
      <c r="AM124" s="32"/>
      <c r="AN124" s="32"/>
    </row>
    <row r="125" spans="1:40">
      <c r="A125" s="32" t="str">
        <f>_xlfn.TEXTJOIN("",TRUE,_xlfn.XLOOKUP(B125,Input!J:J,Input!G:G,"",0,1),_xlfn.XLOOKUP(B125,Input!J:J,Input!H:H,"",0,1))</f>
        <v/>
      </c>
      <c r="B125" s="32"/>
      <c r="C125" s="53">
        <f>_xlfn.XLOOKUP(B125,Input!J:J,Input!F:F)</f>
        <v>0</v>
      </c>
      <c r="D125" s="32">
        <f>_xlfn.XLOOKUP(C125,Models!H:H,Models!G:G,C125)</f>
        <v>0</v>
      </c>
      <c r="E125" s="32"/>
      <c r="F125" s="32" t="str">
        <f>_xlfn.XLOOKUP(H125,Models!B:B,Models!F:F,"")</f>
        <v/>
      </c>
      <c r="G125" s="32">
        <f>_xlfn.XLOOKUP(B125,Input!J:J,Input!E:E)</f>
        <v>0</v>
      </c>
      <c r="H125" s="32">
        <f>IF(G125="LENOVO",_xlfn.XLOOKUP(B125,Input!J:J,Input!K:K),_xlfn.XLOOKUP(B125,Input!J:J,Input!L:L))</f>
        <v>0</v>
      </c>
      <c r="I125" s="32"/>
      <c r="J125" s="32"/>
      <c r="K125" s="32">
        <f>_xlfn.XLOOKUP(B125,CPU_Formula!A:A,CPU_Formula!I:I)</f>
        <v>0</v>
      </c>
      <c r="L125" s="53" t="e">
        <f>INDEX(Input!$D$2:$AC$500,
       MATCH(B125, Input!$J$2:$J$500, 0),
       MATCH("Memory Capacity", Input!$D$1:$AC$1, 0))</f>
        <v>#N/A</v>
      </c>
      <c r="M125" s="53" t="e">
        <f>INDEX(Input!$D$2:$AC$500,
       MATCH(B125, Input!$J$2:$J$500, 0),
       MATCH("Memory Type", Input!$D$1:$AC$1, 0))</f>
        <v>#N/A</v>
      </c>
      <c r="N125" s="53" t="e">
        <f t="shared" si="3"/>
        <v>#N/A</v>
      </c>
      <c r="O125" s="53" t="str" cm="1">
        <f t="array" ref="O125">IFERROR(_xlfn.FILTERXML("&lt;t&gt;&lt;s&gt;" &amp; SUBSTITUTE(M125," / ","&lt;/s&gt;&lt;s&gt;") &amp; "&lt;/s&gt;&lt;/t&gt;","(//s[contains(.,'DDR')])[1]"),"")</f>
        <v/>
      </c>
      <c r="P125" s="32" t="e">
        <f t="shared" si="7"/>
        <v>#N/A</v>
      </c>
      <c r="Q125" s="32" t="e">
        <f>INDEX(Input!$D$2:$AC$500,
       MATCH(B125, Input!$J$2:$J$500, 0),
       MATCH("Disk Capacity", Input!$D$1:$AC$1, 0))</f>
        <v>#N/A</v>
      </c>
      <c r="R125" s="32"/>
      <c r="S125" s="53" t="e">
        <f>_xlfn.LET(_xlpm.Result,INDEX(Input!$D$2:$AC$500,
       MATCH(B125, Input!$J$2:$J$500, 0),
       MATCH("Capacity", Input!$D$1:$AC$1, 0)),IF(_xlpm.Result="","",_xlpm.Result))</f>
        <v>#N/A</v>
      </c>
      <c r="T125" s="53" t="e" cm="1">
        <f t="array" ref="T125">_xlfn.TEXTSPLIT(S125," / ", ,TRUE,0,)</f>
        <v>#N/A</v>
      </c>
      <c r="U125" s="53"/>
      <c r="V125" s="53" t="str" cm="1">
        <f t="array" ref="V125">IFERROR(_xlfn.IFS(
T125="","",
--T125&lt;55,"Battery Defect",
--T125&lt;=69,"Battery D",
--T125&lt;=80,"Battery C",
--T125&gt;80,""
),"")</f>
        <v/>
      </c>
      <c r="W125" s="53" t="str" cm="1">
        <f t="array" ref="W125">IFERROR(_xlfn.IFS(
U125="","",
--U125&lt;55,"Battery Defect",
--U125&lt;=69,"Battery D",
--U125&lt;=80,"Battery C",
--U125&gt;80,""
),"")</f>
        <v/>
      </c>
      <c r="X125" s="53" t="str" cm="1">
        <f t="array" ref="X125:AE125">IFERROR(IF(_xlfn.XLOOKUP(B125,Input!J:J,Input!N:U)=0,"",
          _xlfn.XLOOKUP(B125,Input!J:J,Input!N:U)),"")</f>
        <v/>
      </c>
      <c r="Y125" s="53" t="str">
        <v/>
      </c>
      <c r="Z125" s="53" t="str">
        <v/>
      </c>
      <c r="AA125" s="53" t="str">
        <v/>
      </c>
      <c r="AB125" s="53" t="str">
        <v/>
      </c>
      <c r="AC125" s="53" t="str">
        <v/>
      </c>
      <c r="AD125" s="53" t="str">
        <v/>
      </c>
      <c r="AE125" s="53" t="str">
        <v/>
      </c>
      <c r="AF125" s="32" t="str">
        <f t="shared" si="5"/>
        <v/>
      </c>
      <c r="AG125" s="32" t="str">
        <f>_xlfn.XLOOKUP(B:B,Disk_Pivot!G:G,Disk_Pivot!I:I)</f>
        <v>Yes x2</v>
      </c>
      <c r="AH125" s="32" t="str">
        <f>_xlfn.XLOOKUP(B125,Disk_Pivot!G:G,Disk_Pivot!N:N)</f>
        <v>Pass, Fail</v>
      </c>
      <c r="AI125" s="32"/>
      <c r="AJ125" s="32"/>
      <c r="AK125" s="32"/>
      <c r="AL125" s="32"/>
      <c r="AM125" s="32"/>
      <c r="AN125" s="32"/>
    </row>
    <row r="126" spans="1:40">
      <c r="A126" s="32" t="str">
        <f>_xlfn.TEXTJOIN("",TRUE,_xlfn.XLOOKUP(B126,Input!J:J,Input!G:G,"",0,1),_xlfn.XLOOKUP(B126,Input!J:J,Input!H:H,"",0,1))</f>
        <v/>
      </c>
      <c r="B126" s="32"/>
      <c r="C126" s="53">
        <f>_xlfn.XLOOKUP(B126,Input!J:J,Input!F:F)</f>
        <v>0</v>
      </c>
      <c r="D126" s="32">
        <f>_xlfn.XLOOKUP(C126,Models!H:H,Models!G:G,C126)</f>
        <v>0</v>
      </c>
      <c r="E126" s="32"/>
      <c r="F126" s="32" t="str">
        <f>_xlfn.XLOOKUP(H126,Models!B:B,Models!F:F,"")</f>
        <v/>
      </c>
      <c r="G126" s="32">
        <f>_xlfn.XLOOKUP(B126,Input!J:J,Input!E:E)</f>
        <v>0</v>
      </c>
      <c r="H126" s="32">
        <f>IF(G126="LENOVO",_xlfn.XLOOKUP(B126,Input!J:J,Input!K:K),_xlfn.XLOOKUP(B126,Input!J:J,Input!L:L))</f>
        <v>0</v>
      </c>
      <c r="I126" s="32"/>
      <c r="J126" s="32"/>
      <c r="K126" s="32">
        <f>_xlfn.XLOOKUP(B126,CPU_Formula!A:A,CPU_Formula!I:I)</f>
        <v>0</v>
      </c>
      <c r="L126" s="53" t="e">
        <f>INDEX(Input!$D$2:$AC$500,
       MATCH(B126, Input!$J$2:$J$500, 0),
       MATCH("Memory Capacity", Input!$D$1:$AC$1, 0))</f>
        <v>#N/A</v>
      </c>
      <c r="M126" s="53" t="e">
        <f>INDEX(Input!$D$2:$AC$500,
       MATCH(B126, Input!$J$2:$J$500, 0),
       MATCH("Memory Type", Input!$D$1:$AC$1, 0))</f>
        <v>#N/A</v>
      </c>
      <c r="N126" s="53" t="e">
        <f t="shared" si="3"/>
        <v>#N/A</v>
      </c>
      <c r="O126" s="53" t="str" cm="1">
        <f t="array" ref="O126">IFERROR(_xlfn.FILTERXML("&lt;t&gt;&lt;s&gt;" &amp; SUBSTITUTE(M126," / ","&lt;/s&gt;&lt;s&gt;") &amp; "&lt;/s&gt;&lt;/t&gt;","(//s[contains(.,'DDR')])[1]"),"")</f>
        <v/>
      </c>
      <c r="P126" s="32" t="e">
        <f t="shared" si="7"/>
        <v>#N/A</v>
      </c>
      <c r="Q126" s="32" t="e">
        <f>INDEX(Input!$D$2:$AC$500,
       MATCH(B126, Input!$J$2:$J$500, 0),
       MATCH("Disk Capacity", Input!$D$1:$AC$1, 0))</f>
        <v>#N/A</v>
      </c>
      <c r="R126" s="32"/>
      <c r="S126" s="53" t="e">
        <f>_xlfn.LET(_xlpm.Result,INDEX(Input!$D$2:$AC$500,
       MATCH(B126, Input!$J$2:$J$500, 0),
       MATCH("Capacity", Input!$D$1:$AC$1, 0)),IF(_xlpm.Result="","",_xlpm.Result))</f>
        <v>#N/A</v>
      </c>
      <c r="T126" s="53" t="e" cm="1">
        <f t="array" ref="T126">_xlfn.TEXTSPLIT(S126," / ", ,TRUE,0,)</f>
        <v>#N/A</v>
      </c>
      <c r="U126" s="53"/>
      <c r="V126" s="53" t="str" cm="1">
        <f t="array" ref="V126">IFERROR(_xlfn.IFS(
T126="","",
--T126&lt;55,"Battery Defect",
--T126&lt;=69,"Battery D",
--T126&lt;=80,"Battery C",
--T126&gt;80,""
),"")</f>
        <v/>
      </c>
      <c r="W126" s="53" t="str" cm="1">
        <f t="array" ref="W126">IFERROR(_xlfn.IFS(
U126="","",
--U126&lt;55,"Battery Defect",
--U126&lt;=69,"Battery D",
--U126&lt;=80,"Battery C",
--U126&gt;80,""
),"")</f>
        <v/>
      </c>
      <c r="X126" s="53" t="str" cm="1">
        <f t="array" ref="X126:AE126">IFERROR(IF(_xlfn.XLOOKUP(B126,Input!J:J,Input!N:U)=0,"",
          _xlfn.XLOOKUP(B126,Input!J:J,Input!N:U)),"")</f>
        <v/>
      </c>
      <c r="Y126" s="53" t="str">
        <v/>
      </c>
      <c r="Z126" s="53" t="str">
        <v/>
      </c>
      <c r="AA126" s="53" t="str">
        <v/>
      </c>
      <c r="AB126" s="53" t="str">
        <v/>
      </c>
      <c r="AC126" s="53" t="str">
        <v/>
      </c>
      <c r="AD126" s="53" t="str">
        <v/>
      </c>
      <c r="AE126" s="53" t="str">
        <v/>
      </c>
      <c r="AF126" s="32" t="str">
        <f t="shared" si="5"/>
        <v/>
      </c>
      <c r="AG126" s="32" t="str">
        <f>_xlfn.XLOOKUP(B:B,Disk_Pivot!G:G,Disk_Pivot!I:I)</f>
        <v>Yes x2</v>
      </c>
      <c r="AH126" s="32" t="str">
        <f>_xlfn.XLOOKUP(B126,Disk_Pivot!G:G,Disk_Pivot!N:N)</f>
        <v>Pass, Fail</v>
      </c>
      <c r="AI126" s="32"/>
      <c r="AJ126" s="32"/>
      <c r="AK126" s="32"/>
      <c r="AL126" s="32"/>
      <c r="AM126" s="32"/>
      <c r="AN126" s="32"/>
    </row>
    <row r="127" spans="1:40">
      <c r="A127" s="32" t="str">
        <f>_xlfn.TEXTJOIN("",TRUE,_xlfn.XLOOKUP(B127,Input!J:J,Input!G:G,"",0,1),_xlfn.XLOOKUP(B127,Input!J:J,Input!H:H,"",0,1))</f>
        <v/>
      </c>
      <c r="B127" s="32"/>
      <c r="C127" s="53">
        <f>_xlfn.XLOOKUP(B127,Input!J:J,Input!F:F)</f>
        <v>0</v>
      </c>
      <c r="D127" s="32">
        <f>_xlfn.XLOOKUP(C127,Models!H:H,Models!G:G,C127)</f>
        <v>0</v>
      </c>
      <c r="E127" s="32"/>
      <c r="F127" s="32" t="str">
        <f>_xlfn.XLOOKUP(H127,Models!B:B,Models!F:F,"")</f>
        <v/>
      </c>
      <c r="G127" s="32">
        <f>_xlfn.XLOOKUP(B127,Input!J:J,Input!E:E)</f>
        <v>0</v>
      </c>
      <c r="H127" s="32">
        <f>IF(G127="LENOVO",_xlfn.XLOOKUP(B127,Input!J:J,Input!K:K),_xlfn.XLOOKUP(B127,Input!J:J,Input!L:L))</f>
        <v>0</v>
      </c>
      <c r="I127" s="32"/>
      <c r="J127" s="32"/>
      <c r="K127" s="32">
        <f>_xlfn.XLOOKUP(B127,CPU_Formula!A:A,CPU_Formula!I:I)</f>
        <v>0</v>
      </c>
      <c r="L127" s="53" t="e">
        <f>INDEX(Input!$D$2:$AC$500,
       MATCH(B127, Input!$J$2:$J$500, 0),
       MATCH("Memory Capacity", Input!$D$1:$AC$1, 0))</f>
        <v>#N/A</v>
      </c>
      <c r="M127" s="53" t="e">
        <f>INDEX(Input!$D$2:$AC$500,
       MATCH(B127, Input!$J$2:$J$500, 0),
       MATCH("Memory Type", Input!$D$1:$AC$1, 0))</f>
        <v>#N/A</v>
      </c>
      <c r="N127" s="53" t="e">
        <f t="shared" si="3"/>
        <v>#N/A</v>
      </c>
      <c r="O127" s="53" t="str" cm="1">
        <f t="array" ref="O127">IFERROR(_xlfn.FILTERXML("&lt;t&gt;&lt;s&gt;" &amp; SUBSTITUTE(M127," / ","&lt;/s&gt;&lt;s&gt;") &amp; "&lt;/s&gt;&lt;/t&gt;","(//s[contains(.,'DDR')])[1]"),"")</f>
        <v/>
      </c>
      <c r="P127" s="32" t="e">
        <f t="shared" si="7"/>
        <v>#N/A</v>
      </c>
      <c r="Q127" s="32" t="e">
        <f>INDEX(Input!$D$2:$AC$500,
       MATCH(B127, Input!$J$2:$J$500, 0),
       MATCH("Disk Capacity", Input!$D$1:$AC$1, 0))</f>
        <v>#N/A</v>
      </c>
      <c r="R127" s="32"/>
      <c r="S127" s="53" t="e">
        <f>_xlfn.LET(_xlpm.Result,INDEX(Input!$D$2:$AC$500,
       MATCH(B127, Input!$J$2:$J$500, 0),
       MATCH("Capacity", Input!$D$1:$AC$1, 0)),IF(_xlpm.Result="","",_xlpm.Result))</f>
        <v>#N/A</v>
      </c>
      <c r="T127" s="53" t="e" cm="1">
        <f t="array" ref="T127">_xlfn.TEXTSPLIT(S127," / ", ,TRUE,0,)</f>
        <v>#N/A</v>
      </c>
      <c r="U127" s="53"/>
      <c r="V127" s="53" t="str" cm="1">
        <f t="array" ref="V127">IFERROR(_xlfn.IFS(
T127="","",
--T127&lt;55,"Battery Defect",
--T127&lt;=69,"Battery D",
--T127&lt;=80,"Battery C",
--T127&gt;80,""
),"")</f>
        <v/>
      </c>
      <c r="W127" s="53" t="str" cm="1">
        <f t="array" ref="W127">IFERROR(_xlfn.IFS(
U127="","",
--U127&lt;55,"Battery Defect",
--U127&lt;=69,"Battery D",
--U127&lt;=80,"Battery C",
--U127&gt;80,""
),"")</f>
        <v/>
      </c>
      <c r="X127" s="53" t="str" cm="1">
        <f t="array" ref="X127:AE127">IFERROR(IF(_xlfn.XLOOKUP(B127,Input!J:J,Input!N:U)=0,"",
          _xlfn.XLOOKUP(B127,Input!J:J,Input!N:U)),"")</f>
        <v/>
      </c>
      <c r="Y127" s="53" t="str">
        <v/>
      </c>
      <c r="Z127" s="53" t="str">
        <v/>
      </c>
      <c r="AA127" s="53" t="str">
        <v/>
      </c>
      <c r="AB127" s="53" t="str">
        <v/>
      </c>
      <c r="AC127" s="53" t="str">
        <v/>
      </c>
      <c r="AD127" s="53" t="str">
        <v/>
      </c>
      <c r="AE127" s="53" t="str">
        <v/>
      </c>
      <c r="AF127" s="32" t="str">
        <f t="shared" si="5"/>
        <v/>
      </c>
      <c r="AG127" s="32" t="str">
        <f>_xlfn.XLOOKUP(B:B,Disk_Pivot!G:G,Disk_Pivot!I:I)</f>
        <v>Yes x2</v>
      </c>
      <c r="AH127" s="32" t="str">
        <f>_xlfn.XLOOKUP(B127,Disk_Pivot!G:G,Disk_Pivot!N:N)</f>
        <v>Pass, Fail</v>
      </c>
      <c r="AI127" s="32"/>
      <c r="AJ127" s="32"/>
      <c r="AK127" s="32"/>
      <c r="AL127" s="32"/>
      <c r="AM127" s="32"/>
      <c r="AN127" s="32"/>
    </row>
    <row r="128" spans="1:40">
      <c r="A128" s="32" t="str">
        <f>_xlfn.TEXTJOIN("",TRUE,_xlfn.XLOOKUP(B128,Input!J:J,Input!G:G,"",0,1),_xlfn.XLOOKUP(B128,Input!J:J,Input!H:H,"",0,1))</f>
        <v/>
      </c>
      <c r="B128" s="32"/>
      <c r="C128" s="53">
        <f>_xlfn.XLOOKUP(B128,Input!J:J,Input!F:F)</f>
        <v>0</v>
      </c>
      <c r="D128" s="32">
        <f>_xlfn.XLOOKUP(C128,Models!H:H,Models!G:G,C128)</f>
        <v>0</v>
      </c>
      <c r="E128" s="32"/>
      <c r="F128" s="32" t="str">
        <f>_xlfn.XLOOKUP(H128,Models!B:B,Models!F:F,"")</f>
        <v/>
      </c>
      <c r="G128" s="32">
        <f>_xlfn.XLOOKUP(B128,Input!J:J,Input!E:E)</f>
        <v>0</v>
      </c>
      <c r="H128" s="32">
        <f>IF(G128="LENOVO",_xlfn.XLOOKUP(B128,Input!J:J,Input!K:K),_xlfn.XLOOKUP(B128,Input!J:J,Input!L:L))</f>
        <v>0</v>
      </c>
      <c r="I128" s="32"/>
      <c r="J128" s="32"/>
      <c r="K128" s="32">
        <f>_xlfn.XLOOKUP(B128,CPU_Formula!A:A,CPU_Formula!I:I)</f>
        <v>0</v>
      </c>
      <c r="L128" s="53" t="e">
        <f>INDEX(Input!$D$2:$AC$500,
       MATCH(B128, Input!$J$2:$J$500, 0),
       MATCH("Memory Capacity", Input!$D$1:$AC$1, 0))</f>
        <v>#N/A</v>
      </c>
      <c r="M128" s="53" t="e">
        <f>INDEX(Input!$D$2:$AC$500,
       MATCH(B128, Input!$J$2:$J$500, 0),
       MATCH("Memory Type", Input!$D$1:$AC$1, 0))</f>
        <v>#N/A</v>
      </c>
      <c r="N128" s="53" t="e">
        <f t="shared" si="3"/>
        <v>#N/A</v>
      </c>
      <c r="O128" s="53" t="str" cm="1">
        <f t="array" ref="O128">IFERROR(_xlfn.FILTERXML("&lt;t&gt;&lt;s&gt;" &amp; SUBSTITUTE(M128," / ","&lt;/s&gt;&lt;s&gt;") &amp; "&lt;/s&gt;&lt;/t&gt;","(//s[contains(.,'DDR')])[1]"),"")</f>
        <v/>
      </c>
      <c r="P128" s="32" t="e">
        <f t="shared" si="7"/>
        <v>#N/A</v>
      </c>
      <c r="Q128" s="32" t="e">
        <f>INDEX(Input!$D$2:$AC$500,
       MATCH(B128, Input!$J$2:$J$500, 0),
       MATCH("Disk Capacity", Input!$D$1:$AC$1, 0))</f>
        <v>#N/A</v>
      </c>
      <c r="R128" s="32"/>
      <c r="S128" s="53" t="e">
        <f>_xlfn.LET(_xlpm.Result,INDEX(Input!$D$2:$AC$500,
       MATCH(B128, Input!$J$2:$J$500, 0),
       MATCH("Capacity", Input!$D$1:$AC$1, 0)),IF(_xlpm.Result="","",_xlpm.Result))</f>
        <v>#N/A</v>
      </c>
      <c r="T128" s="53" t="e" cm="1">
        <f t="array" ref="T128">_xlfn.TEXTSPLIT(S128," / ", ,TRUE,0,)</f>
        <v>#N/A</v>
      </c>
      <c r="U128" s="53"/>
      <c r="V128" s="53" t="str" cm="1">
        <f t="array" ref="V128">IFERROR(_xlfn.IFS(
T128="","",
--T128&lt;55,"Battery Defect",
--T128&lt;=69,"Battery D",
--T128&lt;=80,"Battery C",
--T128&gt;80,""
),"")</f>
        <v/>
      </c>
      <c r="W128" s="53" t="str" cm="1">
        <f t="array" ref="W128">IFERROR(_xlfn.IFS(
U128="","",
--U128&lt;55,"Battery Defect",
--U128&lt;=69,"Battery D",
--U128&lt;=80,"Battery C",
--U128&gt;80,""
),"")</f>
        <v/>
      </c>
      <c r="X128" s="53" t="str" cm="1">
        <f t="array" ref="X128:AE128">IFERROR(IF(_xlfn.XLOOKUP(B128,Input!J:J,Input!N:U)=0,"",
          _xlfn.XLOOKUP(B128,Input!J:J,Input!N:U)),"")</f>
        <v/>
      </c>
      <c r="Y128" s="53" t="str">
        <v/>
      </c>
      <c r="Z128" s="53" t="str">
        <v/>
      </c>
      <c r="AA128" s="53" t="str">
        <v/>
      </c>
      <c r="AB128" s="53" t="str">
        <v/>
      </c>
      <c r="AC128" s="53" t="str">
        <v/>
      </c>
      <c r="AD128" s="53" t="str">
        <v/>
      </c>
      <c r="AE128" s="53" t="str">
        <v/>
      </c>
      <c r="AF128" s="32" t="str">
        <f t="shared" si="5"/>
        <v/>
      </c>
      <c r="AG128" s="32" t="str">
        <f>_xlfn.XLOOKUP(B:B,Disk_Pivot!G:G,Disk_Pivot!I:I)</f>
        <v>Yes x2</v>
      </c>
      <c r="AH128" s="32" t="str">
        <f>_xlfn.XLOOKUP(B128,Disk_Pivot!G:G,Disk_Pivot!N:N)</f>
        <v>Pass, Fail</v>
      </c>
      <c r="AI128" s="32"/>
      <c r="AJ128" s="32"/>
      <c r="AK128" s="32"/>
      <c r="AL128" s="32"/>
      <c r="AM128" s="32"/>
      <c r="AN128" s="32"/>
    </row>
    <row r="129" spans="1:40">
      <c r="A129" s="32" t="str">
        <f>_xlfn.TEXTJOIN("",TRUE,_xlfn.XLOOKUP(B129,Input!J:J,Input!G:G,"",0,1),_xlfn.XLOOKUP(B129,Input!J:J,Input!H:H,"",0,1))</f>
        <v/>
      </c>
      <c r="B129" s="32"/>
      <c r="C129" s="53">
        <f>_xlfn.XLOOKUP(B129,Input!J:J,Input!F:F)</f>
        <v>0</v>
      </c>
      <c r="D129" s="32">
        <f>_xlfn.XLOOKUP(C129,Models!H:H,Models!G:G,C129)</f>
        <v>0</v>
      </c>
      <c r="E129" s="32"/>
      <c r="F129" s="32" t="str">
        <f>_xlfn.XLOOKUP(H129,Models!B:B,Models!F:F,"")</f>
        <v/>
      </c>
      <c r="G129" s="32">
        <f>_xlfn.XLOOKUP(B129,Input!J:J,Input!E:E)</f>
        <v>0</v>
      </c>
      <c r="H129" s="32">
        <f>IF(G129="LENOVO",_xlfn.XLOOKUP(B129,Input!J:J,Input!K:K),_xlfn.XLOOKUP(B129,Input!J:J,Input!L:L))</f>
        <v>0</v>
      </c>
      <c r="I129" s="32"/>
      <c r="J129" s="32"/>
      <c r="K129" s="32">
        <f>_xlfn.XLOOKUP(B129,CPU_Formula!A:A,CPU_Formula!I:I)</f>
        <v>0</v>
      </c>
      <c r="L129" s="53" t="e">
        <f>INDEX(Input!$D$2:$AC$500,
       MATCH(B129, Input!$J$2:$J$500, 0),
       MATCH("Memory Capacity", Input!$D$1:$AC$1, 0))</f>
        <v>#N/A</v>
      </c>
      <c r="M129" s="53" t="e">
        <f>INDEX(Input!$D$2:$AC$500,
       MATCH(B129, Input!$J$2:$J$500, 0),
       MATCH("Memory Type", Input!$D$1:$AC$1, 0))</f>
        <v>#N/A</v>
      </c>
      <c r="N129" s="53" t="e">
        <f t="shared" si="3"/>
        <v>#N/A</v>
      </c>
      <c r="O129" s="53" t="str" cm="1">
        <f t="array" ref="O129">IFERROR(_xlfn.FILTERXML("&lt;t&gt;&lt;s&gt;" &amp; SUBSTITUTE(M129," / ","&lt;/s&gt;&lt;s&gt;") &amp; "&lt;/s&gt;&lt;/t&gt;","(//s[contains(.,'DDR')])[1]"),"")</f>
        <v/>
      </c>
      <c r="P129" s="32" t="e">
        <f t="shared" si="7"/>
        <v>#N/A</v>
      </c>
      <c r="Q129" s="32" t="e">
        <f>INDEX(Input!$D$2:$AC$500,
       MATCH(B129, Input!$J$2:$J$500, 0),
       MATCH("Disk Capacity", Input!$D$1:$AC$1, 0))</f>
        <v>#N/A</v>
      </c>
      <c r="R129" s="32"/>
      <c r="S129" s="53" t="e">
        <f>_xlfn.LET(_xlpm.Result,INDEX(Input!$D$2:$AC$500,
       MATCH(B129, Input!$J$2:$J$500, 0),
       MATCH("Capacity", Input!$D$1:$AC$1, 0)),IF(_xlpm.Result="","",_xlpm.Result))</f>
        <v>#N/A</v>
      </c>
      <c r="T129" s="53" t="e" cm="1">
        <f t="array" ref="T129">_xlfn.TEXTSPLIT(S129," / ", ,TRUE,0,)</f>
        <v>#N/A</v>
      </c>
      <c r="U129" s="53"/>
      <c r="V129" s="53" t="str" cm="1">
        <f t="array" ref="V129">IFERROR(_xlfn.IFS(
T129="","",
--T129&lt;55,"Battery Defect",
--T129&lt;=69,"Battery D",
--T129&lt;=80,"Battery C",
--T129&gt;80,""
),"")</f>
        <v/>
      </c>
      <c r="W129" s="53" t="str" cm="1">
        <f t="array" ref="W129">IFERROR(_xlfn.IFS(
U129="","",
--U129&lt;55,"Battery Defect",
--U129&lt;=69,"Battery D",
--U129&lt;=80,"Battery C",
--U129&gt;80,""
),"")</f>
        <v/>
      </c>
      <c r="X129" s="53" t="str" cm="1">
        <f t="array" ref="X129:AE129">IFERROR(IF(_xlfn.XLOOKUP(B129,Input!J:J,Input!N:U)=0,"",
          _xlfn.XLOOKUP(B129,Input!J:J,Input!N:U)),"")</f>
        <v/>
      </c>
      <c r="Y129" s="53" t="str">
        <v/>
      </c>
      <c r="Z129" s="53" t="str">
        <v/>
      </c>
      <c r="AA129" s="53" t="str">
        <v/>
      </c>
      <c r="AB129" s="53" t="str">
        <v/>
      </c>
      <c r="AC129" s="53" t="str">
        <v/>
      </c>
      <c r="AD129" s="53" t="str">
        <v/>
      </c>
      <c r="AE129" s="53" t="str">
        <v/>
      </c>
      <c r="AF129" s="32" t="str">
        <f t="shared" si="5"/>
        <v/>
      </c>
      <c r="AG129" s="32" t="str">
        <f>_xlfn.XLOOKUP(B:B,Disk_Pivot!G:G,Disk_Pivot!I:I)</f>
        <v>Yes x2</v>
      </c>
      <c r="AH129" s="32" t="str">
        <f>_xlfn.XLOOKUP(B129,Disk_Pivot!G:G,Disk_Pivot!N:N)</f>
        <v>Pass, Fail</v>
      </c>
      <c r="AI129" s="32"/>
      <c r="AJ129" s="32"/>
      <c r="AK129" s="32"/>
      <c r="AL129" s="32"/>
      <c r="AM129" s="32"/>
      <c r="AN129" s="32"/>
    </row>
    <row r="130" spans="1:40">
      <c r="A130" s="32" t="str">
        <f>_xlfn.TEXTJOIN("",TRUE,_xlfn.XLOOKUP(B130,Input!J:J,Input!G:G,"",0,1),_xlfn.XLOOKUP(B130,Input!J:J,Input!H:H,"",0,1))</f>
        <v/>
      </c>
      <c r="B130" s="32"/>
      <c r="C130" s="53">
        <f>_xlfn.XLOOKUP(B130,Input!J:J,Input!F:F)</f>
        <v>0</v>
      </c>
      <c r="D130" s="32">
        <f>_xlfn.XLOOKUP(C130,Models!H:H,Models!G:G,C130)</f>
        <v>0</v>
      </c>
      <c r="E130" s="32"/>
      <c r="F130" s="32" t="str">
        <f>_xlfn.XLOOKUP(H130,Models!B:B,Models!F:F,"")</f>
        <v/>
      </c>
      <c r="G130" s="32">
        <f>_xlfn.XLOOKUP(B130,Input!J:J,Input!E:E)</f>
        <v>0</v>
      </c>
      <c r="H130" s="32">
        <f>IF(G130="LENOVO",_xlfn.XLOOKUP(B130,Input!J:J,Input!K:K),_xlfn.XLOOKUP(B130,Input!J:J,Input!L:L))</f>
        <v>0</v>
      </c>
      <c r="I130" s="32"/>
      <c r="J130" s="32"/>
      <c r="K130" s="32">
        <f>_xlfn.XLOOKUP(B130,CPU_Formula!A:A,CPU_Formula!I:I)</f>
        <v>0</v>
      </c>
      <c r="L130" s="53" t="e">
        <f>INDEX(Input!$D$2:$AC$500,
       MATCH(B130, Input!$J$2:$J$500, 0),
       MATCH("Memory Capacity", Input!$D$1:$AC$1, 0))</f>
        <v>#N/A</v>
      </c>
      <c r="M130" s="53" t="e">
        <f>INDEX(Input!$D$2:$AC$500,
       MATCH(B130, Input!$J$2:$J$500, 0),
       MATCH("Memory Type", Input!$D$1:$AC$1, 0))</f>
        <v>#N/A</v>
      </c>
      <c r="N130" s="53" t="e">
        <f t="shared" si="3"/>
        <v>#N/A</v>
      </c>
      <c r="O130" s="53" t="str" cm="1">
        <f t="array" ref="O130">IFERROR(_xlfn.FILTERXML("&lt;t&gt;&lt;s&gt;" &amp; SUBSTITUTE(M130," / ","&lt;/s&gt;&lt;s&gt;") &amp; "&lt;/s&gt;&lt;/t&gt;","(//s[contains(.,'DDR')])[1]"),"")</f>
        <v/>
      </c>
      <c r="P130" s="32" t="e">
        <f t="shared" si="7"/>
        <v>#N/A</v>
      </c>
      <c r="Q130" s="32" t="e">
        <f>INDEX(Input!$D$2:$AC$500,
       MATCH(B130, Input!$J$2:$J$500, 0),
       MATCH("Disk Capacity", Input!$D$1:$AC$1, 0))</f>
        <v>#N/A</v>
      </c>
      <c r="R130" s="32"/>
      <c r="S130" s="53" t="e">
        <f>_xlfn.LET(_xlpm.Result,INDEX(Input!$D$2:$AC$500,
       MATCH(B130, Input!$J$2:$J$500, 0),
       MATCH("Capacity", Input!$D$1:$AC$1, 0)),IF(_xlpm.Result="","",_xlpm.Result))</f>
        <v>#N/A</v>
      </c>
      <c r="T130" s="53" t="e" cm="1">
        <f t="array" ref="T130">_xlfn.TEXTSPLIT(S130," / ", ,TRUE,0,)</f>
        <v>#N/A</v>
      </c>
      <c r="U130" s="53"/>
      <c r="V130" s="53" t="str" cm="1">
        <f t="array" ref="V130">IFERROR(_xlfn.IFS(
T130="","",
--T130&lt;55,"Battery Defect",
--T130&lt;=69,"Battery D",
--T130&lt;=80,"Battery C",
--T130&gt;80,""
),"")</f>
        <v/>
      </c>
      <c r="W130" s="53" t="str" cm="1">
        <f t="array" ref="W130">IFERROR(_xlfn.IFS(
U130="","",
--U130&lt;55,"Battery Defect",
--U130&lt;=69,"Battery D",
--U130&lt;=80,"Battery C",
--U130&gt;80,""
),"")</f>
        <v/>
      </c>
      <c r="X130" s="53" t="str" cm="1">
        <f t="array" ref="X130:AE130">IFERROR(IF(_xlfn.XLOOKUP(B130,Input!J:J,Input!N:U)=0,"",
          _xlfn.XLOOKUP(B130,Input!J:J,Input!N:U)),"")</f>
        <v/>
      </c>
      <c r="Y130" s="53" t="str">
        <v/>
      </c>
      <c r="Z130" s="53" t="str">
        <v/>
      </c>
      <c r="AA130" s="53" t="str">
        <v/>
      </c>
      <c r="AB130" s="53" t="str">
        <v/>
      </c>
      <c r="AC130" s="53" t="str">
        <v/>
      </c>
      <c r="AD130" s="53" t="str">
        <v/>
      </c>
      <c r="AE130" s="53" t="str">
        <v/>
      </c>
      <c r="AF130" s="32" t="str">
        <f t="shared" si="5"/>
        <v/>
      </c>
      <c r="AG130" s="32" t="str">
        <f>_xlfn.XLOOKUP(B:B,Disk_Pivot!G:G,Disk_Pivot!I:I)</f>
        <v>Yes x2</v>
      </c>
      <c r="AH130" s="32" t="str">
        <f>_xlfn.XLOOKUP(B130,Disk_Pivot!G:G,Disk_Pivot!N:N)</f>
        <v>Pass, Fail</v>
      </c>
      <c r="AI130" s="32"/>
      <c r="AJ130" s="32"/>
      <c r="AK130" s="32"/>
      <c r="AL130" s="32"/>
      <c r="AM130" s="32"/>
      <c r="AN130" s="32"/>
    </row>
    <row r="131" spans="1:40">
      <c r="A131" s="32" t="str">
        <f>_xlfn.TEXTJOIN("",TRUE,_xlfn.XLOOKUP(B131,Input!J:J,Input!G:G,"",0,1),_xlfn.XLOOKUP(B131,Input!J:J,Input!H:H,"",0,1))</f>
        <v/>
      </c>
      <c r="B131" s="32"/>
      <c r="C131" s="53">
        <f>_xlfn.XLOOKUP(B131,Input!J:J,Input!F:F)</f>
        <v>0</v>
      </c>
      <c r="D131" s="32">
        <f>_xlfn.XLOOKUP(C131,Models!H:H,Models!G:G,C131)</f>
        <v>0</v>
      </c>
      <c r="E131" s="32"/>
      <c r="F131" s="32" t="str">
        <f>_xlfn.XLOOKUP(H131,Models!B:B,Models!F:F,"")</f>
        <v/>
      </c>
      <c r="G131" s="32">
        <f>_xlfn.XLOOKUP(B131,Input!J:J,Input!E:E)</f>
        <v>0</v>
      </c>
      <c r="H131" s="32">
        <f>IF(G131="LENOVO",_xlfn.XLOOKUP(B131,Input!J:J,Input!K:K),_xlfn.XLOOKUP(B131,Input!J:J,Input!L:L))</f>
        <v>0</v>
      </c>
      <c r="I131" s="32"/>
      <c r="J131" s="32"/>
      <c r="K131" s="32">
        <f>_xlfn.XLOOKUP(B131,CPU_Formula!A:A,CPU_Formula!I:I)</f>
        <v>0</v>
      </c>
      <c r="L131" s="53" t="e">
        <f>INDEX(Input!$D$2:$AC$500,
       MATCH(B131, Input!$J$2:$J$500, 0),
       MATCH("Memory Capacity", Input!$D$1:$AC$1, 0))</f>
        <v>#N/A</v>
      </c>
      <c r="M131" s="53" t="e">
        <f>INDEX(Input!$D$2:$AC$500,
       MATCH(B131, Input!$J$2:$J$500, 0),
       MATCH("Memory Type", Input!$D$1:$AC$1, 0))</f>
        <v>#N/A</v>
      </c>
      <c r="N131" s="53" t="e">
        <f t="shared" ref="N131:N194" si="8">IF(ISNUMBER(L131), L131, SUBSTITUTE(SUBSTITUTE(SUBSTITUTE(L131,"GiB","")," ",""),"/","+"))</f>
        <v>#N/A</v>
      </c>
      <c r="O131" s="53" t="str" cm="1">
        <f t="array" ref="O131">IFERROR(_xlfn.FILTERXML("&lt;t&gt;&lt;s&gt;" &amp; SUBSTITUTE(M131," / ","&lt;/s&gt;&lt;s&gt;") &amp; "&lt;/s&gt;&lt;/t&gt;","(//s[contains(.,'DDR')])[1]"),"")</f>
        <v/>
      </c>
      <c r="P131" s="32" t="e">
        <f t="shared" si="7"/>
        <v>#N/A</v>
      </c>
      <c r="Q131" s="32" t="e">
        <f>INDEX(Input!$D$2:$AC$500,
       MATCH(B131, Input!$J$2:$J$500, 0),
       MATCH("Disk Capacity", Input!$D$1:$AC$1, 0))</f>
        <v>#N/A</v>
      </c>
      <c r="R131" s="32"/>
      <c r="S131" s="53" t="e">
        <f>_xlfn.LET(_xlpm.Result,INDEX(Input!$D$2:$AC$500,
       MATCH(B131, Input!$J$2:$J$500, 0),
       MATCH("Capacity", Input!$D$1:$AC$1, 0)),IF(_xlpm.Result="","",_xlpm.Result))</f>
        <v>#N/A</v>
      </c>
      <c r="T131" s="53" t="e" cm="1">
        <f t="array" ref="T131">_xlfn.TEXTSPLIT(S131," / ", ,TRUE,0,)</f>
        <v>#N/A</v>
      </c>
      <c r="U131" s="53"/>
      <c r="V131" s="53" t="str" cm="1">
        <f t="array" ref="V131">IFERROR(_xlfn.IFS(
T131="","",
--T131&lt;55,"Battery Defect",
--T131&lt;=69,"Battery D",
--T131&lt;=80,"Battery C",
--T131&gt;80,""
),"")</f>
        <v/>
      </c>
      <c r="W131" s="53" t="str" cm="1">
        <f t="array" ref="W131">IFERROR(_xlfn.IFS(
U131="","",
--U131&lt;55,"Battery Defect",
--U131&lt;=69,"Battery D",
--U131&lt;=80,"Battery C",
--U131&gt;80,""
),"")</f>
        <v/>
      </c>
      <c r="X131" s="53" t="str" cm="1">
        <f t="array" ref="X131:AE131">IFERROR(IF(_xlfn.XLOOKUP(B131,Input!J:J,Input!N:U)=0,"",
          _xlfn.XLOOKUP(B131,Input!J:J,Input!N:U)),"")</f>
        <v/>
      </c>
      <c r="Y131" s="53" t="str">
        <v/>
      </c>
      <c r="Z131" s="53" t="str">
        <v/>
      </c>
      <c r="AA131" s="53" t="str">
        <v/>
      </c>
      <c r="AB131" s="53" t="str">
        <v/>
      </c>
      <c r="AC131" s="53" t="str">
        <v/>
      </c>
      <c r="AD131" s="53" t="str">
        <v/>
      </c>
      <c r="AE131" s="53" t="str">
        <v/>
      </c>
      <c r="AF131" s="32" t="str">
        <f t="shared" ref="AF131:AF194" si="9">IF(D131="Laptop",_xlfn.TEXTJOIN(", ",TRUE,V131,W131,X131,Y131,Z131,AA131,AB131,AC131), _xlfn.TEXTJOIN(", ",TRUE,X131,Y131,Z131,AA131,AB131,AC131))</f>
        <v/>
      </c>
      <c r="AG131" s="32" t="str">
        <f>_xlfn.XLOOKUP(B:B,Disk_Pivot!G:G,Disk_Pivot!I:I)</f>
        <v>Yes x2</v>
      </c>
      <c r="AH131" s="32" t="str">
        <f>_xlfn.XLOOKUP(B131,Disk_Pivot!G:G,Disk_Pivot!N:N)</f>
        <v>Pass, Fail</v>
      </c>
      <c r="AI131" s="32"/>
      <c r="AJ131" s="32"/>
      <c r="AK131" s="32"/>
      <c r="AL131" s="32"/>
      <c r="AM131" s="32"/>
      <c r="AN131" s="32"/>
    </row>
    <row r="132" spans="1:40">
      <c r="A132" s="32" t="str">
        <f>_xlfn.TEXTJOIN("",TRUE,_xlfn.XLOOKUP(B132,Input!J:J,Input!G:G,"",0,1),_xlfn.XLOOKUP(B132,Input!J:J,Input!H:H,"",0,1))</f>
        <v/>
      </c>
      <c r="B132" s="32"/>
      <c r="C132" s="53">
        <f>_xlfn.XLOOKUP(B132,Input!J:J,Input!F:F)</f>
        <v>0</v>
      </c>
      <c r="D132" s="32">
        <f>_xlfn.XLOOKUP(C132,Models!H:H,Models!G:G,C132)</f>
        <v>0</v>
      </c>
      <c r="E132" s="32"/>
      <c r="F132" s="32" t="str">
        <f>_xlfn.XLOOKUP(H132,Models!B:B,Models!F:F,"")</f>
        <v/>
      </c>
      <c r="G132" s="32">
        <f>_xlfn.XLOOKUP(B132,Input!J:J,Input!E:E)</f>
        <v>0</v>
      </c>
      <c r="H132" s="32">
        <f>IF(G132="LENOVO",_xlfn.XLOOKUP(B132,Input!J:J,Input!K:K),_xlfn.XLOOKUP(B132,Input!J:J,Input!L:L))</f>
        <v>0</v>
      </c>
      <c r="I132" s="32"/>
      <c r="J132" s="32"/>
      <c r="K132" s="32">
        <f>_xlfn.XLOOKUP(B132,CPU_Formula!A:A,CPU_Formula!I:I)</f>
        <v>0</v>
      </c>
      <c r="L132" s="53" t="e">
        <f>INDEX(Input!$D$2:$AC$500,
       MATCH(B132, Input!$J$2:$J$500, 0),
       MATCH("Memory Capacity", Input!$D$1:$AC$1, 0))</f>
        <v>#N/A</v>
      </c>
      <c r="M132" s="53" t="e">
        <f>INDEX(Input!$D$2:$AC$500,
       MATCH(B132, Input!$J$2:$J$500, 0),
       MATCH("Memory Type", Input!$D$1:$AC$1, 0))</f>
        <v>#N/A</v>
      </c>
      <c r="N132" s="53" t="e">
        <f t="shared" si="8"/>
        <v>#N/A</v>
      </c>
      <c r="O132" s="53" t="str" cm="1">
        <f t="array" ref="O132">IFERROR(_xlfn.FILTERXML("&lt;t&gt;&lt;s&gt;" &amp; SUBSTITUTE(M132," / ","&lt;/s&gt;&lt;s&gt;") &amp; "&lt;/s&gt;&lt;/t&gt;","(//s[contains(.,'DDR')])[1]"),"")</f>
        <v/>
      </c>
      <c r="P132" s="32" t="e">
        <f t="shared" si="7"/>
        <v>#N/A</v>
      </c>
      <c r="Q132" s="32" t="e">
        <f>INDEX(Input!$D$2:$AC$500,
       MATCH(B132, Input!$J$2:$J$500, 0),
       MATCH("Disk Capacity", Input!$D$1:$AC$1, 0))</f>
        <v>#N/A</v>
      </c>
      <c r="R132" s="32"/>
      <c r="S132" s="53" t="e">
        <f>_xlfn.LET(_xlpm.Result,INDEX(Input!$D$2:$AC$500,
       MATCH(B132, Input!$J$2:$J$500, 0),
       MATCH("Capacity", Input!$D$1:$AC$1, 0)),IF(_xlpm.Result="","",_xlpm.Result))</f>
        <v>#N/A</v>
      </c>
      <c r="T132" s="53" t="e" cm="1">
        <f t="array" ref="T132">_xlfn.TEXTSPLIT(S132," / ", ,TRUE,0,)</f>
        <v>#N/A</v>
      </c>
      <c r="U132" s="53"/>
      <c r="V132" s="53" t="str" cm="1">
        <f t="array" ref="V132">IFERROR(_xlfn.IFS(
T132="","",
--T132&lt;55,"Battery Defect",
--T132&lt;=69,"Battery D",
--T132&lt;=80,"Battery C",
--T132&gt;80,""
),"")</f>
        <v/>
      </c>
      <c r="W132" s="53" t="str" cm="1">
        <f t="array" ref="W132">IFERROR(_xlfn.IFS(
U132="","",
--U132&lt;55,"Battery Defect",
--U132&lt;=69,"Battery D",
--U132&lt;=80,"Battery C",
--U132&gt;80,""
),"")</f>
        <v/>
      </c>
      <c r="X132" s="53" t="str" cm="1">
        <f t="array" ref="X132:AE132">IFERROR(IF(_xlfn.XLOOKUP(B132,Input!J:J,Input!N:U)=0,"",
          _xlfn.XLOOKUP(B132,Input!J:J,Input!N:U)),"")</f>
        <v/>
      </c>
      <c r="Y132" s="53" t="str">
        <v/>
      </c>
      <c r="Z132" s="53" t="str">
        <v/>
      </c>
      <c r="AA132" s="53" t="str">
        <v/>
      </c>
      <c r="AB132" s="53" t="str">
        <v/>
      </c>
      <c r="AC132" s="53" t="str">
        <v/>
      </c>
      <c r="AD132" s="53" t="str">
        <v/>
      </c>
      <c r="AE132" s="53" t="str">
        <v/>
      </c>
      <c r="AF132" s="32" t="str">
        <f t="shared" si="9"/>
        <v/>
      </c>
      <c r="AG132" s="32" t="str">
        <f>_xlfn.XLOOKUP(B:B,Disk_Pivot!G:G,Disk_Pivot!I:I)</f>
        <v>Yes x2</v>
      </c>
      <c r="AH132" s="32" t="str">
        <f>_xlfn.XLOOKUP(B132,Disk_Pivot!G:G,Disk_Pivot!N:N)</f>
        <v>Pass, Fail</v>
      </c>
      <c r="AI132" s="32"/>
      <c r="AJ132" s="32"/>
      <c r="AK132" s="32"/>
      <c r="AL132" s="32"/>
      <c r="AM132" s="32"/>
      <c r="AN132" s="32"/>
    </row>
    <row r="133" spans="1:40">
      <c r="A133" s="32" t="str">
        <f>_xlfn.TEXTJOIN("",TRUE,_xlfn.XLOOKUP(B133,Input!J:J,Input!G:G,"",0,1),_xlfn.XLOOKUP(B133,Input!J:J,Input!H:H,"",0,1))</f>
        <v/>
      </c>
      <c r="B133" s="32"/>
      <c r="C133" s="53">
        <f>_xlfn.XLOOKUP(B133,Input!J:J,Input!F:F)</f>
        <v>0</v>
      </c>
      <c r="D133" s="32">
        <f>_xlfn.XLOOKUP(C133,Models!H:H,Models!G:G,C133)</f>
        <v>0</v>
      </c>
      <c r="E133" s="32"/>
      <c r="F133" s="32" t="str">
        <f>_xlfn.XLOOKUP(H133,Models!B:B,Models!F:F,"")</f>
        <v/>
      </c>
      <c r="G133" s="32">
        <f>_xlfn.XLOOKUP(B133,Input!J:J,Input!E:E)</f>
        <v>0</v>
      </c>
      <c r="H133" s="32">
        <f>IF(G133="LENOVO",_xlfn.XLOOKUP(B133,Input!J:J,Input!K:K),_xlfn.XLOOKUP(B133,Input!J:J,Input!L:L))</f>
        <v>0</v>
      </c>
      <c r="I133" s="32"/>
      <c r="J133" s="32"/>
      <c r="K133" s="32">
        <f>_xlfn.XLOOKUP(B133,CPU_Formula!A:A,CPU_Formula!I:I)</f>
        <v>0</v>
      </c>
      <c r="L133" s="53" t="e">
        <f>INDEX(Input!$D$2:$AC$500,
       MATCH(B133, Input!$J$2:$J$500, 0),
       MATCH("Memory Capacity", Input!$D$1:$AC$1, 0))</f>
        <v>#N/A</v>
      </c>
      <c r="M133" s="53" t="e">
        <f>INDEX(Input!$D$2:$AC$500,
       MATCH(B133, Input!$J$2:$J$500, 0),
       MATCH("Memory Type", Input!$D$1:$AC$1, 0))</f>
        <v>#N/A</v>
      </c>
      <c r="N133" s="53" t="e">
        <f t="shared" si="8"/>
        <v>#N/A</v>
      </c>
      <c r="O133" s="53" t="str" cm="1">
        <f t="array" ref="O133">IFERROR(_xlfn.FILTERXML("&lt;t&gt;&lt;s&gt;" &amp; SUBSTITUTE(M133," / ","&lt;/s&gt;&lt;s&gt;") &amp; "&lt;/s&gt;&lt;/t&gt;","(//s[contains(.,'DDR')])[1]"),"")</f>
        <v/>
      </c>
      <c r="P133" s="32" t="e">
        <f t="shared" si="7"/>
        <v>#N/A</v>
      </c>
      <c r="Q133" s="32" t="e">
        <f>INDEX(Input!$D$2:$AC$500,
       MATCH(B133, Input!$J$2:$J$500, 0),
       MATCH("Disk Capacity", Input!$D$1:$AC$1, 0))</f>
        <v>#N/A</v>
      </c>
      <c r="R133" s="32"/>
      <c r="S133" s="53" t="e">
        <f>_xlfn.LET(_xlpm.Result,INDEX(Input!$D$2:$AC$500,
       MATCH(B133, Input!$J$2:$J$500, 0),
       MATCH("Capacity", Input!$D$1:$AC$1, 0)),IF(_xlpm.Result="","",_xlpm.Result))</f>
        <v>#N/A</v>
      </c>
      <c r="T133" s="53" t="e" cm="1">
        <f t="array" ref="T133">_xlfn.TEXTSPLIT(S133," / ", ,TRUE,0,)</f>
        <v>#N/A</v>
      </c>
      <c r="U133" s="53"/>
      <c r="V133" s="53" t="str" cm="1">
        <f t="array" ref="V133">IFERROR(_xlfn.IFS(
T133="","",
--T133&lt;55,"Battery Defect",
--T133&lt;=69,"Battery D",
--T133&lt;=80,"Battery C",
--T133&gt;80,""
),"")</f>
        <v/>
      </c>
      <c r="W133" s="53" t="str" cm="1">
        <f t="array" ref="W133">IFERROR(_xlfn.IFS(
U133="","",
--U133&lt;55,"Battery Defect",
--U133&lt;=69,"Battery D",
--U133&lt;=80,"Battery C",
--U133&gt;80,""
),"")</f>
        <v/>
      </c>
      <c r="X133" s="53" t="str" cm="1">
        <f t="array" ref="X133:AE133">IFERROR(IF(_xlfn.XLOOKUP(B133,Input!J:J,Input!N:U)=0,"",
          _xlfn.XLOOKUP(B133,Input!J:J,Input!N:U)),"")</f>
        <v/>
      </c>
      <c r="Y133" s="53" t="str">
        <v/>
      </c>
      <c r="Z133" s="53" t="str">
        <v/>
      </c>
      <c r="AA133" s="53" t="str">
        <v/>
      </c>
      <c r="AB133" s="53" t="str">
        <v/>
      </c>
      <c r="AC133" s="53" t="str">
        <v/>
      </c>
      <c r="AD133" s="53" t="str">
        <v/>
      </c>
      <c r="AE133" s="53" t="str">
        <v/>
      </c>
      <c r="AF133" s="32" t="str">
        <f t="shared" si="9"/>
        <v/>
      </c>
      <c r="AG133" s="32" t="str">
        <f>_xlfn.XLOOKUP(B:B,Disk_Pivot!G:G,Disk_Pivot!I:I)</f>
        <v>Yes x2</v>
      </c>
      <c r="AH133" s="32" t="str">
        <f>_xlfn.XLOOKUP(B133,Disk_Pivot!G:G,Disk_Pivot!N:N)</f>
        <v>Pass, Fail</v>
      </c>
      <c r="AI133" s="32"/>
      <c r="AJ133" s="32"/>
      <c r="AK133" s="32"/>
      <c r="AL133" s="32"/>
      <c r="AM133" s="32"/>
      <c r="AN133" s="32"/>
    </row>
    <row r="134" spans="1:40">
      <c r="A134" s="32" t="str">
        <f>_xlfn.TEXTJOIN("",TRUE,_xlfn.XLOOKUP(B134,Input!J:J,Input!G:G,"",0,1),_xlfn.XLOOKUP(B134,Input!J:J,Input!H:H,"",0,1))</f>
        <v/>
      </c>
      <c r="B134" s="32"/>
      <c r="C134" s="53">
        <f>_xlfn.XLOOKUP(B134,Input!J:J,Input!F:F)</f>
        <v>0</v>
      </c>
      <c r="D134" s="32">
        <f>_xlfn.XLOOKUP(C134,Models!H:H,Models!G:G,C134)</f>
        <v>0</v>
      </c>
      <c r="E134" s="32"/>
      <c r="F134" s="32" t="str">
        <f>_xlfn.XLOOKUP(H134,Models!B:B,Models!F:F,"")</f>
        <v/>
      </c>
      <c r="G134" s="32">
        <f>_xlfn.XLOOKUP(B134,Input!J:J,Input!E:E)</f>
        <v>0</v>
      </c>
      <c r="H134" s="32">
        <f>IF(G134="LENOVO",_xlfn.XLOOKUP(B134,Input!J:J,Input!K:K),_xlfn.XLOOKUP(B134,Input!J:J,Input!L:L))</f>
        <v>0</v>
      </c>
      <c r="I134" s="32"/>
      <c r="J134" s="32"/>
      <c r="K134" s="32">
        <f>_xlfn.XLOOKUP(B134,CPU_Formula!A:A,CPU_Formula!I:I)</f>
        <v>0</v>
      </c>
      <c r="L134" s="53" t="e">
        <f>INDEX(Input!$D$2:$AC$500,
       MATCH(B134, Input!$J$2:$J$500, 0),
       MATCH("Memory Capacity", Input!$D$1:$AC$1, 0))</f>
        <v>#N/A</v>
      </c>
      <c r="M134" s="53" t="e">
        <f>INDEX(Input!$D$2:$AC$500,
       MATCH(B134, Input!$J$2:$J$500, 0),
       MATCH("Memory Type", Input!$D$1:$AC$1, 0))</f>
        <v>#N/A</v>
      </c>
      <c r="N134" s="53" t="e">
        <f t="shared" si="8"/>
        <v>#N/A</v>
      </c>
      <c r="O134" s="53" t="str" cm="1">
        <f t="array" ref="O134">IFERROR(_xlfn.FILTERXML("&lt;t&gt;&lt;s&gt;" &amp; SUBSTITUTE(M134," / ","&lt;/s&gt;&lt;s&gt;") &amp; "&lt;/s&gt;&lt;/t&gt;","(//s[contains(.,'DDR')])[1]"),"")</f>
        <v/>
      </c>
      <c r="P134" s="32" t="e">
        <f t="shared" si="7"/>
        <v>#N/A</v>
      </c>
      <c r="Q134" s="32" t="e">
        <f>INDEX(Input!$D$2:$AC$500,
       MATCH(B134, Input!$J$2:$J$500, 0),
       MATCH("Disk Capacity", Input!$D$1:$AC$1, 0))</f>
        <v>#N/A</v>
      </c>
      <c r="R134" s="32"/>
      <c r="S134" s="53" t="e">
        <f>_xlfn.LET(_xlpm.Result,INDEX(Input!$D$2:$AC$500,
       MATCH(B134, Input!$J$2:$J$500, 0),
       MATCH("Capacity", Input!$D$1:$AC$1, 0)),IF(_xlpm.Result="","",_xlpm.Result))</f>
        <v>#N/A</v>
      </c>
      <c r="T134" s="53" t="e" cm="1">
        <f t="array" ref="T134">_xlfn.TEXTSPLIT(S134," / ", ,TRUE,0,)</f>
        <v>#N/A</v>
      </c>
      <c r="U134" s="53"/>
      <c r="V134" s="53" t="str" cm="1">
        <f t="array" ref="V134">IFERROR(_xlfn.IFS(
T134="","",
--T134&lt;55,"Battery Defect",
--T134&lt;=69,"Battery D",
--T134&lt;=80,"Battery C",
--T134&gt;80,""
),"")</f>
        <v/>
      </c>
      <c r="W134" s="53" t="str" cm="1">
        <f t="array" ref="W134">IFERROR(_xlfn.IFS(
U134="","",
--U134&lt;55,"Battery Defect",
--U134&lt;=69,"Battery D",
--U134&lt;=80,"Battery C",
--U134&gt;80,""
),"")</f>
        <v/>
      </c>
      <c r="X134" s="53" t="str" cm="1">
        <f t="array" ref="X134:AE134">IFERROR(IF(_xlfn.XLOOKUP(B134,Input!J:J,Input!N:U)=0,"",
          _xlfn.XLOOKUP(B134,Input!J:J,Input!N:U)),"")</f>
        <v/>
      </c>
      <c r="Y134" s="53" t="str">
        <v/>
      </c>
      <c r="Z134" s="53" t="str">
        <v/>
      </c>
      <c r="AA134" s="53" t="str">
        <v/>
      </c>
      <c r="AB134" s="53" t="str">
        <v/>
      </c>
      <c r="AC134" s="53" t="str">
        <v/>
      </c>
      <c r="AD134" s="53" t="str">
        <v/>
      </c>
      <c r="AE134" s="53" t="str">
        <v/>
      </c>
      <c r="AF134" s="32" t="str">
        <f t="shared" si="9"/>
        <v/>
      </c>
      <c r="AG134" s="32" t="str">
        <f>_xlfn.XLOOKUP(B:B,Disk_Pivot!G:G,Disk_Pivot!I:I)</f>
        <v>Yes x2</v>
      </c>
      <c r="AH134" s="32" t="str">
        <f>_xlfn.XLOOKUP(B134,Disk_Pivot!G:G,Disk_Pivot!N:N)</f>
        <v>Pass, Fail</v>
      </c>
      <c r="AI134" s="32"/>
      <c r="AJ134" s="32"/>
      <c r="AK134" s="32"/>
      <c r="AL134" s="32"/>
      <c r="AM134" s="32"/>
      <c r="AN134" s="32"/>
    </row>
    <row r="135" spans="1:40">
      <c r="A135" s="32" t="str">
        <f>_xlfn.TEXTJOIN("",TRUE,_xlfn.XLOOKUP(B135,Input!J:J,Input!G:G,"",0,1),_xlfn.XLOOKUP(B135,Input!J:J,Input!H:H,"",0,1))</f>
        <v/>
      </c>
      <c r="B135" s="32"/>
      <c r="C135" s="53">
        <f>_xlfn.XLOOKUP(B135,Input!J:J,Input!F:F)</f>
        <v>0</v>
      </c>
      <c r="D135" s="32">
        <f>_xlfn.XLOOKUP(C135,Models!H:H,Models!G:G,C135)</f>
        <v>0</v>
      </c>
      <c r="E135" s="32"/>
      <c r="F135" s="32" t="str">
        <f>_xlfn.XLOOKUP(H135,Models!B:B,Models!F:F,"")</f>
        <v/>
      </c>
      <c r="G135" s="32">
        <f>_xlfn.XLOOKUP(B135,Input!J:J,Input!E:E)</f>
        <v>0</v>
      </c>
      <c r="H135" s="32">
        <f>IF(G135="LENOVO",_xlfn.XLOOKUP(B135,Input!J:J,Input!K:K),_xlfn.XLOOKUP(B135,Input!J:J,Input!L:L))</f>
        <v>0</v>
      </c>
      <c r="I135" s="32"/>
      <c r="J135" s="32"/>
      <c r="K135" s="32">
        <f>_xlfn.XLOOKUP(B135,CPU_Formula!A:A,CPU_Formula!I:I)</f>
        <v>0</v>
      </c>
      <c r="L135" s="53" t="e">
        <f>INDEX(Input!$D$2:$AC$500,
       MATCH(B135, Input!$J$2:$J$500, 0),
       MATCH("Memory Capacity", Input!$D$1:$AC$1, 0))</f>
        <v>#N/A</v>
      </c>
      <c r="M135" s="53" t="e">
        <f>INDEX(Input!$D$2:$AC$500,
       MATCH(B135, Input!$J$2:$J$500, 0),
       MATCH("Memory Type", Input!$D$1:$AC$1, 0))</f>
        <v>#N/A</v>
      </c>
      <c r="N135" s="53" t="e">
        <f t="shared" si="8"/>
        <v>#N/A</v>
      </c>
      <c r="O135" s="53" t="str" cm="1">
        <f t="array" ref="O135">IFERROR(_xlfn.FILTERXML("&lt;t&gt;&lt;s&gt;" &amp; SUBSTITUTE(M135," / ","&lt;/s&gt;&lt;s&gt;") &amp; "&lt;/s&gt;&lt;/t&gt;","(//s[contains(.,'DDR')])[1]"),"")</f>
        <v/>
      </c>
      <c r="P135" s="32" t="e">
        <f t="shared" si="7"/>
        <v>#N/A</v>
      </c>
      <c r="Q135" s="32" t="e">
        <f>INDEX(Input!$D$2:$AC$500,
       MATCH(B135, Input!$J$2:$J$500, 0),
       MATCH("Disk Capacity", Input!$D$1:$AC$1, 0))</f>
        <v>#N/A</v>
      </c>
      <c r="R135" s="32"/>
      <c r="S135" s="53" t="e">
        <f>_xlfn.LET(_xlpm.Result,INDEX(Input!$D$2:$AC$500,
       MATCH(B135, Input!$J$2:$J$500, 0),
       MATCH("Capacity", Input!$D$1:$AC$1, 0)),IF(_xlpm.Result="","",_xlpm.Result))</f>
        <v>#N/A</v>
      </c>
      <c r="T135" s="53" t="e" cm="1">
        <f t="array" ref="T135">_xlfn.TEXTSPLIT(S135," / ", ,TRUE,0,)</f>
        <v>#N/A</v>
      </c>
      <c r="U135" s="53"/>
      <c r="V135" s="53" t="str" cm="1">
        <f t="array" ref="V135">IFERROR(_xlfn.IFS(
T135="","",
--T135&lt;55,"Battery Defect",
--T135&lt;=69,"Battery D",
--T135&lt;=80,"Battery C",
--T135&gt;80,""
),"")</f>
        <v/>
      </c>
      <c r="W135" s="53" t="str" cm="1">
        <f t="array" ref="W135">IFERROR(_xlfn.IFS(
U135="","",
--U135&lt;55,"Battery Defect",
--U135&lt;=69,"Battery D",
--U135&lt;=80,"Battery C",
--U135&gt;80,""
),"")</f>
        <v/>
      </c>
      <c r="X135" s="53" t="str" cm="1">
        <f t="array" ref="X135:AE135">IFERROR(IF(_xlfn.XLOOKUP(B135,Input!J:J,Input!N:U)=0,"",
          _xlfn.XLOOKUP(B135,Input!J:J,Input!N:U)),"")</f>
        <v/>
      </c>
      <c r="Y135" s="53" t="str">
        <v/>
      </c>
      <c r="Z135" s="53" t="str">
        <v/>
      </c>
      <c r="AA135" s="53" t="str">
        <v/>
      </c>
      <c r="AB135" s="53" t="str">
        <v/>
      </c>
      <c r="AC135" s="53" t="str">
        <v/>
      </c>
      <c r="AD135" s="53" t="str">
        <v/>
      </c>
      <c r="AE135" s="53" t="str">
        <v/>
      </c>
      <c r="AF135" s="32" t="str">
        <f t="shared" si="9"/>
        <v/>
      </c>
      <c r="AG135" s="32" t="str">
        <f>_xlfn.XLOOKUP(B:B,Disk_Pivot!G:G,Disk_Pivot!I:I)</f>
        <v>Yes x2</v>
      </c>
      <c r="AH135" s="32" t="str">
        <f>_xlfn.XLOOKUP(B135,Disk_Pivot!G:G,Disk_Pivot!N:N)</f>
        <v>Pass, Fail</v>
      </c>
      <c r="AI135" s="32"/>
      <c r="AJ135" s="32"/>
      <c r="AK135" s="32"/>
      <c r="AL135" s="32"/>
      <c r="AM135" s="32"/>
      <c r="AN135" s="32"/>
    </row>
    <row r="136" spans="1:40">
      <c r="A136" s="32" t="str">
        <f>_xlfn.TEXTJOIN("",TRUE,_xlfn.XLOOKUP(B136,Input!J:J,Input!G:G,"",0,1),_xlfn.XLOOKUP(B136,Input!J:J,Input!H:H,"",0,1))</f>
        <v/>
      </c>
      <c r="B136" s="32"/>
      <c r="C136" s="53">
        <f>_xlfn.XLOOKUP(B136,Input!J:J,Input!F:F)</f>
        <v>0</v>
      </c>
      <c r="D136" s="32">
        <f>_xlfn.XLOOKUP(C136,Models!H:H,Models!G:G,C136)</f>
        <v>0</v>
      </c>
      <c r="E136" s="32"/>
      <c r="F136" s="32" t="str">
        <f>_xlfn.XLOOKUP(H136,Models!B:B,Models!F:F,"")</f>
        <v/>
      </c>
      <c r="G136" s="32">
        <f>_xlfn.XLOOKUP(B136,Input!J:J,Input!E:E)</f>
        <v>0</v>
      </c>
      <c r="H136" s="32">
        <f>IF(G136="LENOVO",_xlfn.XLOOKUP(B136,Input!J:J,Input!K:K),_xlfn.XLOOKUP(B136,Input!J:J,Input!L:L))</f>
        <v>0</v>
      </c>
      <c r="I136" s="32"/>
      <c r="J136" s="32"/>
      <c r="K136" s="32">
        <f>_xlfn.XLOOKUP(B136,CPU_Formula!A:A,CPU_Formula!I:I)</f>
        <v>0</v>
      </c>
      <c r="L136" s="53" t="e">
        <f>INDEX(Input!$D$2:$AC$500,
       MATCH(B136, Input!$J$2:$J$500, 0),
       MATCH("Memory Capacity", Input!$D$1:$AC$1, 0))</f>
        <v>#N/A</v>
      </c>
      <c r="M136" s="53" t="e">
        <f>INDEX(Input!$D$2:$AC$500,
       MATCH(B136, Input!$J$2:$J$500, 0),
       MATCH("Memory Type", Input!$D$1:$AC$1, 0))</f>
        <v>#N/A</v>
      </c>
      <c r="N136" s="53" t="e">
        <f t="shared" si="8"/>
        <v>#N/A</v>
      </c>
      <c r="O136" s="53" t="str" cm="1">
        <f t="array" ref="O136">IFERROR(_xlfn.FILTERXML("&lt;t&gt;&lt;s&gt;" &amp; SUBSTITUTE(M136," / ","&lt;/s&gt;&lt;s&gt;") &amp; "&lt;/s&gt;&lt;/t&gt;","(//s[contains(.,'DDR')])[1]"),"")</f>
        <v/>
      </c>
      <c r="P136" s="32" t="e">
        <f t="shared" si="7"/>
        <v>#N/A</v>
      </c>
      <c r="Q136" s="32" t="e">
        <f>INDEX(Input!$D$2:$AC$500,
       MATCH(B136, Input!$J$2:$J$500, 0),
       MATCH("Disk Capacity", Input!$D$1:$AC$1, 0))</f>
        <v>#N/A</v>
      </c>
      <c r="R136" s="32"/>
      <c r="S136" s="53" t="e">
        <f>_xlfn.LET(_xlpm.Result,INDEX(Input!$D$2:$AC$500,
       MATCH(B136, Input!$J$2:$J$500, 0),
       MATCH("Capacity", Input!$D$1:$AC$1, 0)),IF(_xlpm.Result="","",_xlpm.Result))</f>
        <v>#N/A</v>
      </c>
      <c r="T136" s="53" t="e" cm="1">
        <f t="array" ref="T136">_xlfn.TEXTSPLIT(S136," / ", ,TRUE,0,)</f>
        <v>#N/A</v>
      </c>
      <c r="U136" s="53"/>
      <c r="V136" s="53" t="str" cm="1">
        <f t="array" ref="V136">IFERROR(_xlfn.IFS(
T136="","",
--T136&lt;55,"Battery Defect",
--T136&lt;=69,"Battery D",
--T136&lt;=80,"Battery C",
--T136&gt;80,""
),"")</f>
        <v/>
      </c>
      <c r="W136" s="53" t="str" cm="1">
        <f t="array" ref="W136">IFERROR(_xlfn.IFS(
U136="","",
--U136&lt;55,"Battery Defect",
--U136&lt;=69,"Battery D",
--U136&lt;=80,"Battery C",
--U136&gt;80,""
),"")</f>
        <v/>
      </c>
      <c r="X136" s="53" t="str" cm="1">
        <f t="array" ref="X136:AE136">IFERROR(IF(_xlfn.XLOOKUP(B136,Input!J:J,Input!N:U)=0,"",
          _xlfn.XLOOKUP(B136,Input!J:J,Input!N:U)),"")</f>
        <v/>
      </c>
      <c r="Y136" s="53" t="str">
        <v/>
      </c>
      <c r="Z136" s="53" t="str">
        <v/>
      </c>
      <c r="AA136" s="53" t="str">
        <v/>
      </c>
      <c r="AB136" s="53" t="str">
        <v/>
      </c>
      <c r="AC136" s="53" t="str">
        <v/>
      </c>
      <c r="AD136" s="53" t="str">
        <v/>
      </c>
      <c r="AE136" s="53" t="str">
        <v/>
      </c>
      <c r="AF136" s="32" t="str">
        <f t="shared" si="9"/>
        <v/>
      </c>
      <c r="AG136" s="32" t="str">
        <f>_xlfn.XLOOKUP(B:B,Disk_Pivot!G:G,Disk_Pivot!I:I)</f>
        <v>Yes x2</v>
      </c>
      <c r="AH136" s="32" t="str">
        <f>_xlfn.XLOOKUP(B136,Disk_Pivot!G:G,Disk_Pivot!N:N)</f>
        <v>Pass, Fail</v>
      </c>
      <c r="AI136" s="32"/>
      <c r="AJ136" s="32"/>
      <c r="AK136" s="32"/>
      <c r="AL136" s="32"/>
      <c r="AM136" s="32"/>
      <c r="AN136" s="32"/>
    </row>
    <row r="137" spans="1:40">
      <c r="A137" s="32" t="str">
        <f>_xlfn.TEXTJOIN("",TRUE,_xlfn.XLOOKUP(B137,Input!J:J,Input!G:G,"",0,1),_xlfn.XLOOKUP(B137,Input!J:J,Input!H:H,"",0,1))</f>
        <v/>
      </c>
      <c r="B137" s="32"/>
      <c r="C137" s="53">
        <f>_xlfn.XLOOKUP(B137,Input!J:J,Input!F:F)</f>
        <v>0</v>
      </c>
      <c r="D137" s="32">
        <f>_xlfn.XLOOKUP(C137,Models!H:H,Models!G:G,C137)</f>
        <v>0</v>
      </c>
      <c r="E137" s="32"/>
      <c r="F137" s="32" t="str">
        <f>_xlfn.XLOOKUP(H137,Models!B:B,Models!F:F,"")</f>
        <v/>
      </c>
      <c r="G137" s="32">
        <f>_xlfn.XLOOKUP(B137,Input!J:J,Input!E:E)</f>
        <v>0</v>
      </c>
      <c r="H137" s="32">
        <f>IF(G137="LENOVO",_xlfn.XLOOKUP(B137,Input!J:J,Input!K:K),_xlfn.XLOOKUP(B137,Input!J:J,Input!L:L))</f>
        <v>0</v>
      </c>
      <c r="I137" s="32"/>
      <c r="J137" s="32"/>
      <c r="K137" s="32">
        <f>_xlfn.XLOOKUP(B137,CPU_Formula!A:A,CPU_Formula!I:I)</f>
        <v>0</v>
      </c>
      <c r="L137" s="53" t="e">
        <f>INDEX(Input!$D$2:$AC$500,
       MATCH(B137, Input!$J$2:$J$500, 0),
       MATCH("Memory Capacity", Input!$D$1:$AC$1, 0))</f>
        <v>#N/A</v>
      </c>
      <c r="M137" s="53" t="e">
        <f>INDEX(Input!$D$2:$AC$500,
       MATCH(B137, Input!$J$2:$J$500, 0),
       MATCH("Memory Type", Input!$D$1:$AC$1, 0))</f>
        <v>#N/A</v>
      </c>
      <c r="N137" s="53" t="e">
        <f t="shared" si="8"/>
        <v>#N/A</v>
      </c>
      <c r="O137" s="53" t="str" cm="1">
        <f t="array" ref="O137">IFERROR(_xlfn.FILTERXML("&lt;t&gt;&lt;s&gt;" &amp; SUBSTITUTE(M137," / ","&lt;/s&gt;&lt;s&gt;") &amp; "&lt;/s&gt;&lt;/t&gt;","(//s[contains(.,'DDR')])[1]"),"")</f>
        <v/>
      </c>
      <c r="P137" s="32" t="e">
        <f t="shared" si="7"/>
        <v>#N/A</v>
      </c>
      <c r="Q137" s="32" t="e">
        <f>INDEX(Input!$D$2:$AC$500,
       MATCH(B137, Input!$J$2:$J$500, 0),
       MATCH("Disk Capacity", Input!$D$1:$AC$1, 0))</f>
        <v>#N/A</v>
      </c>
      <c r="R137" s="32"/>
      <c r="S137" s="53" t="e">
        <f>_xlfn.LET(_xlpm.Result,INDEX(Input!$D$2:$AC$500,
       MATCH(B137, Input!$J$2:$J$500, 0),
       MATCH("Capacity", Input!$D$1:$AC$1, 0)),IF(_xlpm.Result="","",_xlpm.Result))</f>
        <v>#N/A</v>
      </c>
      <c r="T137" s="53" t="e" cm="1">
        <f t="array" ref="T137">_xlfn.TEXTSPLIT(S137," / ", ,TRUE,0,)</f>
        <v>#N/A</v>
      </c>
      <c r="U137" s="53"/>
      <c r="V137" s="53" t="str" cm="1">
        <f t="array" ref="V137">IFERROR(_xlfn.IFS(
T137="","",
--T137&lt;55,"Battery Defect",
--T137&lt;=69,"Battery D",
--T137&lt;=80,"Battery C",
--T137&gt;80,""
),"")</f>
        <v/>
      </c>
      <c r="W137" s="53" t="str" cm="1">
        <f t="array" ref="W137">IFERROR(_xlfn.IFS(
U137="","",
--U137&lt;55,"Battery Defect",
--U137&lt;=69,"Battery D",
--U137&lt;=80,"Battery C",
--U137&gt;80,""
),"")</f>
        <v/>
      </c>
      <c r="X137" s="53" t="str" cm="1">
        <f t="array" ref="X137:AE137">IFERROR(IF(_xlfn.XLOOKUP(B137,Input!J:J,Input!N:U)=0,"",
          _xlfn.XLOOKUP(B137,Input!J:J,Input!N:U)),"")</f>
        <v/>
      </c>
      <c r="Y137" s="53" t="str">
        <v/>
      </c>
      <c r="Z137" s="53" t="str">
        <v/>
      </c>
      <c r="AA137" s="53" t="str">
        <v/>
      </c>
      <c r="AB137" s="53" t="str">
        <v/>
      </c>
      <c r="AC137" s="53" t="str">
        <v/>
      </c>
      <c r="AD137" s="53" t="str">
        <v/>
      </c>
      <c r="AE137" s="53" t="str">
        <v/>
      </c>
      <c r="AF137" s="32" t="str">
        <f t="shared" si="9"/>
        <v/>
      </c>
      <c r="AG137" s="32" t="str">
        <f>_xlfn.XLOOKUP(B:B,Disk_Pivot!G:G,Disk_Pivot!I:I)</f>
        <v>Yes x2</v>
      </c>
      <c r="AH137" s="32" t="str">
        <f>_xlfn.XLOOKUP(B137,Disk_Pivot!G:G,Disk_Pivot!N:N)</f>
        <v>Pass, Fail</v>
      </c>
      <c r="AI137" s="32"/>
      <c r="AJ137" s="32"/>
      <c r="AK137" s="32"/>
      <c r="AL137" s="32"/>
      <c r="AM137" s="32"/>
      <c r="AN137" s="32"/>
    </row>
    <row r="138" spans="1:40">
      <c r="A138" s="32" t="str">
        <f>_xlfn.TEXTJOIN("",TRUE,_xlfn.XLOOKUP(B138,Input!J:J,Input!G:G,"",0,1),_xlfn.XLOOKUP(B138,Input!J:J,Input!H:H,"",0,1))</f>
        <v/>
      </c>
      <c r="B138" s="32"/>
      <c r="C138" s="53">
        <f>_xlfn.XLOOKUP(B138,Input!J:J,Input!F:F)</f>
        <v>0</v>
      </c>
      <c r="D138" s="32">
        <f>_xlfn.XLOOKUP(C138,Models!H:H,Models!G:G,C138)</f>
        <v>0</v>
      </c>
      <c r="E138" s="32"/>
      <c r="F138" s="32" t="str">
        <f>_xlfn.XLOOKUP(H138,Models!B:B,Models!F:F,"")</f>
        <v/>
      </c>
      <c r="G138" s="32">
        <f>_xlfn.XLOOKUP(B138,Input!J:J,Input!E:E)</f>
        <v>0</v>
      </c>
      <c r="H138" s="32">
        <f>IF(G138="LENOVO",_xlfn.XLOOKUP(B138,Input!J:J,Input!K:K),_xlfn.XLOOKUP(B138,Input!J:J,Input!L:L))</f>
        <v>0</v>
      </c>
      <c r="I138" s="32"/>
      <c r="J138" s="32"/>
      <c r="K138" s="32">
        <f>_xlfn.XLOOKUP(B138,CPU_Formula!A:A,CPU_Formula!I:I)</f>
        <v>0</v>
      </c>
      <c r="L138" s="53" t="e">
        <f>INDEX(Input!$D$2:$AC$500,
       MATCH(B138, Input!$J$2:$J$500, 0),
       MATCH("Memory Capacity", Input!$D$1:$AC$1, 0))</f>
        <v>#N/A</v>
      </c>
      <c r="M138" s="53" t="e">
        <f>INDEX(Input!$D$2:$AC$500,
       MATCH(B138, Input!$J$2:$J$500, 0),
       MATCH("Memory Type", Input!$D$1:$AC$1, 0))</f>
        <v>#N/A</v>
      </c>
      <c r="N138" s="53" t="e">
        <f t="shared" si="8"/>
        <v>#N/A</v>
      </c>
      <c r="O138" s="53" t="str" cm="1">
        <f t="array" ref="O138">IFERROR(_xlfn.FILTERXML("&lt;t&gt;&lt;s&gt;" &amp; SUBSTITUTE(M138," / ","&lt;/s&gt;&lt;s&gt;") &amp; "&lt;/s&gt;&lt;/t&gt;","(//s[contains(.,'DDR')])[1]"),"")</f>
        <v/>
      </c>
      <c r="P138" s="32" t="e">
        <f t="shared" si="7"/>
        <v>#N/A</v>
      </c>
      <c r="Q138" s="32" t="e">
        <f>INDEX(Input!$D$2:$AC$500,
       MATCH(B138, Input!$J$2:$J$500, 0),
       MATCH("Disk Capacity", Input!$D$1:$AC$1, 0))</f>
        <v>#N/A</v>
      </c>
      <c r="R138" s="32"/>
      <c r="S138" s="53" t="e">
        <f>_xlfn.LET(_xlpm.Result,INDEX(Input!$D$2:$AC$500,
       MATCH(B138, Input!$J$2:$J$500, 0),
       MATCH("Capacity", Input!$D$1:$AC$1, 0)),IF(_xlpm.Result="","",_xlpm.Result))</f>
        <v>#N/A</v>
      </c>
      <c r="T138" s="53" t="e" cm="1">
        <f t="array" ref="T138">_xlfn.TEXTSPLIT(S138," / ", ,TRUE,0,)</f>
        <v>#N/A</v>
      </c>
      <c r="U138" s="53"/>
      <c r="V138" s="53" t="str" cm="1">
        <f t="array" ref="V138">IFERROR(_xlfn.IFS(
T138="","",
--T138&lt;55,"Battery Defect",
--T138&lt;=69,"Battery D",
--T138&lt;=80,"Battery C",
--T138&gt;80,""
),"")</f>
        <v/>
      </c>
      <c r="W138" s="53" t="str" cm="1">
        <f t="array" ref="W138">IFERROR(_xlfn.IFS(
U138="","",
--U138&lt;55,"Battery Defect",
--U138&lt;=69,"Battery D",
--U138&lt;=80,"Battery C",
--U138&gt;80,""
),"")</f>
        <v/>
      </c>
      <c r="X138" s="53" t="str" cm="1">
        <f t="array" ref="X138:AE138">IFERROR(IF(_xlfn.XLOOKUP(B138,Input!J:J,Input!N:U)=0,"",
          _xlfn.XLOOKUP(B138,Input!J:J,Input!N:U)),"")</f>
        <v/>
      </c>
      <c r="Y138" s="53" t="str">
        <v/>
      </c>
      <c r="Z138" s="53" t="str">
        <v/>
      </c>
      <c r="AA138" s="53" t="str">
        <v/>
      </c>
      <c r="AB138" s="53" t="str">
        <v/>
      </c>
      <c r="AC138" s="53" t="str">
        <v/>
      </c>
      <c r="AD138" s="53" t="str">
        <v/>
      </c>
      <c r="AE138" s="53" t="str">
        <v/>
      </c>
      <c r="AF138" s="32" t="str">
        <f t="shared" si="9"/>
        <v/>
      </c>
      <c r="AG138" s="32" t="str">
        <f>_xlfn.XLOOKUP(B:B,Disk_Pivot!G:G,Disk_Pivot!I:I)</f>
        <v>Yes x2</v>
      </c>
      <c r="AH138" s="32" t="str">
        <f>_xlfn.XLOOKUP(B138,Disk_Pivot!G:G,Disk_Pivot!N:N)</f>
        <v>Pass, Fail</v>
      </c>
      <c r="AI138" s="32"/>
      <c r="AJ138" s="32"/>
      <c r="AK138" s="32"/>
      <c r="AL138" s="32"/>
      <c r="AM138" s="32"/>
      <c r="AN138" s="32"/>
    </row>
    <row r="139" spans="1:40">
      <c r="A139" s="32" t="str">
        <f>_xlfn.TEXTJOIN("",TRUE,_xlfn.XLOOKUP(B139,Input!J:J,Input!G:G,"",0,1),_xlfn.XLOOKUP(B139,Input!J:J,Input!H:H,"",0,1))</f>
        <v/>
      </c>
      <c r="B139" s="32"/>
      <c r="C139" s="53">
        <f>_xlfn.XLOOKUP(B139,Input!J:J,Input!F:F)</f>
        <v>0</v>
      </c>
      <c r="D139" s="32">
        <f>_xlfn.XLOOKUP(C139,Models!H:H,Models!G:G,C139)</f>
        <v>0</v>
      </c>
      <c r="E139" s="32"/>
      <c r="F139" s="32" t="str">
        <f>_xlfn.XLOOKUP(H139,Models!B:B,Models!F:F,"")</f>
        <v/>
      </c>
      <c r="G139" s="32">
        <f>_xlfn.XLOOKUP(B139,Input!J:J,Input!E:E)</f>
        <v>0</v>
      </c>
      <c r="H139" s="32">
        <f>IF(G139="LENOVO",_xlfn.XLOOKUP(B139,Input!J:J,Input!K:K),_xlfn.XLOOKUP(B139,Input!J:J,Input!L:L))</f>
        <v>0</v>
      </c>
      <c r="I139" s="32"/>
      <c r="J139" s="32"/>
      <c r="K139" s="32">
        <f>_xlfn.XLOOKUP(B139,CPU_Formula!A:A,CPU_Formula!I:I)</f>
        <v>0</v>
      </c>
      <c r="L139" s="53" t="e">
        <f>INDEX(Input!$D$2:$AC$500,
       MATCH(B139, Input!$J$2:$J$500, 0),
       MATCH("Memory Capacity", Input!$D$1:$AC$1, 0))</f>
        <v>#N/A</v>
      </c>
      <c r="M139" s="53" t="e">
        <f>INDEX(Input!$D$2:$AC$500,
       MATCH(B139, Input!$J$2:$J$500, 0),
       MATCH("Memory Type", Input!$D$1:$AC$1, 0))</f>
        <v>#N/A</v>
      </c>
      <c r="N139" s="53" t="e">
        <f t="shared" si="8"/>
        <v>#N/A</v>
      </c>
      <c r="O139" s="53" t="str" cm="1">
        <f t="array" ref="O139">IFERROR(_xlfn.FILTERXML("&lt;t&gt;&lt;s&gt;" &amp; SUBSTITUTE(M139," / ","&lt;/s&gt;&lt;s&gt;") &amp; "&lt;/s&gt;&lt;/t&gt;","(//s[contains(.,'DDR')])[1]"),"")</f>
        <v/>
      </c>
      <c r="P139" s="32" t="e">
        <f t="shared" si="7"/>
        <v>#N/A</v>
      </c>
      <c r="Q139" s="32" t="e">
        <f>INDEX(Input!$D$2:$AC$500,
       MATCH(B139, Input!$J$2:$J$500, 0),
       MATCH("Disk Capacity", Input!$D$1:$AC$1, 0))</f>
        <v>#N/A</v>
      </c>
      <c r="R139" s="32"/>
      <c r="S139" s="53" t="e">
        <f>_xlfn.LET(_xlpm.Result,INDEX(Input!$D$2:$AC$500,
       MATCH(B139, Input!$J$2:$J$500, 0),
       MATCH("Capacity", Input!$D$1:$AC$1, 0)),IF(_xlpm.Result="","",_xlpm.Result))</f>
        <v>#N/A</v>
      </c>
      <c r="T139" s="53" t="e" cm="1">
        <f t="array" ref="T139">_xlfn.TEXTSPLIT(S139," / ", ,TRUE,0,)</f>
        <v>#N/A</v>
      </c>
      <c r="U139" s="53"/>
      <c r="V139" s="53" t="str" cm="1">
        <f t="array" ref="V139">IFERROR(_xlfn.IFS(
T139="","",
--T139&lt;55,"Battery Defect",
--T139&lt;=69,"Battery D",
--T139&lt;=80,"Battery C",
--T139&gt;80,""
),"")</f>
        <v/>
      </c>
      <c r="W139" s="53" t="str" cm="1">
        <f t="array" ref="W139">IFERROR(_xlfn.IFS(
U139="","",
--U139&lt;55,"Battery Defect",
--U139&lt;=69,"Battery D",
--U139&lt;=80,"Battery C",
--U139&gt;80,""
),"")</f>
        <v/>
      </c>
      <c r="X139" s="53" t="str" cm="1">
        <f t="array" ref="X139:AE139">IFERROR(IF(_xlfn.XLOOKUP(B139,Input!J:J,Input!N:U)=0,"",
          _xlfn.XLOOKUP(B139,Input!J:J,Input!N:U)),"")</f>
        <v/>
      </c>
      <c r="Y139" s="53" t="str">
        <v/>
      </c>
      <c r="Z139" s="53" t="str">
        <v/>
      </c>
      <c r="AA139" s="53" t="str">
        <v/>
      </c>
      <c r="AB139" s="53" t="str">
        <v/>
      </c>
      <c r="AC139" s="53" t="str">
        <v/>
      </c>
      <c r="AD139" s="53" t="str">
        <v/>
      </c>
      <c r="AE139" s="53" t="str">
        <v/>
      </c>
      <c r="AF139" s="32" t="str">
        <f t="shared" si="9"/>
        <v/>
      </c>
      <c r="AG139" s="32" t="str">
        <f>_xlfn.XLOOKUP(B:B,Disk_Pivot!G:G,Disk_Pivot!I:I)</f>
        <v>Yes x2</v>
      </c>
      <c r="AH139" s="32" t="str">
        <f>_xlfn.XLOOKUP(B139,Disk_Pivot!G:G,Disk_Pivot!N:N)</f>
        <v>Pass, Fail</v>
      </c>
      <c r="AI139" s="32"/>
      <c r="AJ139" s="32"/>
      <c r="AK139" s="32"/>
      <c r="AL139" s="32"/>
      <c r="AM139" s="32"/>
      <c r="AN139" s="32"/>
    </row>
    <row r="140" spans="1:40">
      <c r="A140" s="32" t="str">
        <f>_xlfn.TEXTJOIN("",TRUE,_xlfn.XLOOKUP(B140,Input!J:J,Input!G:G,"",0,1),_xlfn.XLOOKUP(B140,Input!J:J,Input!H:H,"",0,1))</f>
        <v/>
      </c>
      <c r="B140" s="32"/>
      <c r="C140" s="53">
        <f>_xlfn.XLOOKUP(B140,Input!J:J,Input!F:F)</f>
        <v>0</v>
      </c>
      <c r="D140" s="32">
        <f>_xlfn.XLOOKUP(C140,Models!H:H,Models!G:G,C140)</f>
        <v>0</v>
      </c>
      <c r="E140" s="32"/>
      <c r="F140" s="32" t="str">
        <f>_xlfn.XLOOKUP(H140,Models!B:B,Models!F:F,"")</f>
        <v/>
      </c>
      <c r="G140" s="32">
        <f>_xlfn.XLOOKUP(B140,Input!J:J,Input!E:E)</f>
        <v>0</v>
      </c>
      <c r="H140" s="32">
        <f>IF(G140="LENOVO",_xlfn.XLOOKUP(B140,Input!J:J,Input!K:K),_xlfn.XLOOKUP(B140,Input!J:J,Input!L:L))</f>
        <v>0</v>
      </c>
      <c r="I140" s="32"/>
      <c r="J140" s="32"/>
      <c r="K140" s="32">
        <f>_xlfn.XLOOKUP(B140,CPU_Formula!A:A,CPU_Formula!I:I)</f>
        <v>0</v>
      </c>
      <c r="L140" s="53" t="e">
        <f>INDEX(Input!$D$2:$AC$500,
       MATCH(B140, Input!$J$2:$J$500, 0),
       MATCH("Memory Capacity", Input!$D$1:$AC$1, 0))</f>
        <v>#N/A</v>
      </c>
      <c r="M140" s="53" t="e">
        <f>INDEX(Input!$D$2:$AC$500,
       MATCH(B140, Input!$J$2:$J$500, 0),
       MATCH("Memory Type", Input!$D$1:$AC$1, 0))</f>
        <v>#N/A</v>
      </c>
      <c r="N140" s="53" t="e">
        <f t="shared" si="8"/>
        <v>#N/A</v>
      </c>
      <c r="O140" s="53" t="str" cm="1">
        <f t="array" ref="O140">IFERROR(_xlfn.FILTERXML("&lt;t&gt;&lt;s&gt;" &amp; SUBSTITUTE(M140," / ","&lt;/s&gt;&lt;s&gt;") &amp; "&lt;/s&gt;&lt;/t&gt;","(//s[contains(.,'DDR')])[1]"),"")</f>
        <v/>
      </c>
      <c r="P140" s="32" t="e">
        <f t="shared" si="7"/>
        <v>#N/A</v>
      </c>
      <c r="Q140" s="32" t="e">
        <f>INDEX(Input!$D$2:$AC$500,
       MATCH(B140, Input!$J$2:$J$500, 0),
       MATCH("Disk Capacity", Input!$D$1:$AC$1, 0))</f>
        <v>#N/A</v>
      </c>
      <c r="R140" s="32"/>
      <c r="S140" s="53" t="e">
        <f>_xlfn.LET(_xlpm.Result,INDEX(Input!$D$2:$AC$500,
       MATCH(B140, Input!$J$2:$J$500, 0),
       MATCH("Capacity", Input!$D$1:$AC$1, 0)),IF(_xlpm.Result="","",_xlpm.Result))</f>
        <v>#N/A</v>
      </c>
      <c r="T140" s="53" t="e" cm="1">
        <f t="array" ref="T140">_xlfn.TEXTSPLIT(S140," / ", ,TRUE,0,)</f>
        <v>#N/A</v>
      </c>
      <c r="U140" s="53"/>
      <c r="V140" s="53" t="str" cm="1">
        <f t="array" ref="V140">IFERROR(_xlfn.IFS(
T140="","",
--T140&lt;55,"Battery Defect",
--T140&lt;=69,"Battery D",
--T140&lt;=80,"Battery C",
--T140&gt;80,""
),"")</f>
        <v/>
      </c>
      <c r="W140" s="53" t="str" cm="1">
        <f t="array" ref="W140">IFERROR(_xlfn.IFS(
U140="","",
--U140&lt;55,"Battery Defect",
--U140&lt;=69,"Battery D",
--U140&lt;=80,"Battery C",
--U140&gt;80,""
),"")</f>
        <v/>
      </c>
      <c r="X140" s="53" t="str" cm="1">
        <f t="array" ref="X140:AE140">IFERROR(IF(_xlfn.XLOOKUP(B140,Input!J:J,Input!N:U)=0,"",
          _xlfn.XLOOKUP(B140,Input!J:J,Input!N:U)),"")</f>
        <v/>
      </c>
      <c r="Y140" s="53" t="str">
        <v/>
      </c>
      <c r="Z140" s="53" t="str">
        <v/>
      </c>
      <c r="AA140" s="53" t="str">
        <v/>
      </c>
      <c r="AB140" s="53" t="str">
        <v/>
      </c>
      <c r="AC140" s="53" t="str">
        <v/>
      </c>
      <c r="AD140" s="53" t="str">
        <v/>
      </c>
      <c r="AE140" s="53" t="str">
        <v/>
      </c>
      <c r="AF140" s="32" t="str">
        <f t="shared" si="9"/>
        <v/>
      </c>
      <c r="AG140" s="32" t="str">
        <f>_xlfn.XLOOKUP(B:B,Disk_Pivot!G:G,Disk_Pivot!I:I)</f>
        <v>Yes x2</v>
      </c>
      <c r="AH140" s="32" t="str">
        <f>_xlfn.XLOOKUP(B140,Disk_Pivot!G:G,Disk_Pivot!N:N)</f>
        <v>Pass, Fail</v>
      </c>
      <c r="AI140" s="32"/>
      <c r="AJ140" s="32"/>
      <c r="AK140" s="32"/>
      <c r="AL140" s="32"/>
      <c r="AM140" s="32"/>
      <c r="AN140" s="32"/>
    </row>
    <row r="141" spans="1:40">
      <c r="A141" s="32" t="str">
        <f>_xlfn.TEXTJOIN("",TRUE,_xlfn.XLOOKUP(B141,Input!J:J,Input!G:G,"",0,1),_xlfn.XLOOKUP(B141,Input!J:J,Input!H:H,"",0,1))</f>
        <v/>
      </c>
      <c r="B141" s="32"/>
      <c r="C141" s="53">
        <f>_xlfn.XLOOKUP(B141,Input!J:J,Input!F:F)</f>
        <v>0</v>
      </c>
      <c r="D141" s="32">
        <f>_xlfn.XLOOKUP(C141,Models!H:H,Models!G:G,C141)</f>
        <v>0</v>
      </c>
      <c r="E141" s="32"/>
      <c r="F141" s="32" t="str">
        <f>_xlfn.XLOOKUP(H141,Models!B:B,Models!F:F,"")</f>
        <v/>
      </c>
      <c r="G141" s="32">
        <f>_xlfn.XLOOKUP(B141,Input!J:J,Input!E:E)</f>
        <v>0</v>
      </c>
      <c r="H141" s="32">
        <f>IF(G141="LENOVO",_xlfn.XLOOKUP(B141,Input!J:J,Input!K:K),_xlfn.XLOOKUP(B141,Input!J:J,Input!L:L))</f>
        <v>0</v>
      </c>
      <c r="I141" s="32"/>
      <c r="J141" s="32"/>
      <c r="K141" s="32">
        <f>_xlfn.XLOOKUP(B141,CPU_Formula!A:A,CPU_Formula!I:I)</f>
        <v>0</v>
      </c>
      <c r="L141" s="53" t="e">
        <f>INDEX(Input!$D$2:$AC$500,
       MATCH(B141, Input!$J$2:$J$500, 0),
       MATCH("Memory Capacity", Input!$D$1:$AC$1, 0))</f>
        <v>#N/A</v>
      </c>
      <c r="M141" s="53" t="e">
        <f>INDEX(Input!$D$2:$AC$500,
       MATCH(B141, Input!$J$2:$J$500, 0),
       MATCH("Memory Type", Input!$D$1:$AC$1, 0))</f>
        <v>#N/A</v>
      </c>
      <c r="N141" s="53" t="e">
        <f t="shared" si="8"/>
        <v>#N/A</v>
      </c>
      <c r="O141" s="53" t="str" cm="1">
        <f t="array" ref="O141">IFERROR(_xlfn.FILTERXML("&lt;t&gt;&lt;s&gt;" &amp; SUBSTITUTE(M141," / ","&lt;/s&gt;&lt;s&gt;") &amp; "&lt;/s&gt;&lt;/t&gt;","(//s[contains(.,'DDR')])[1]"),"")</f>
        <v/>
      </c>
      <c r="P141" s="32" t="e">
        <f t="shared" si="7"/>
        <v>#N/A</v>
      </c>
      <c r="Q141" s="32" t="e">
        <f>INDEX(Input!$D$2:$AC$500,
       MATCH(B141, Input!$J$2:$J$500, 0),
       MATCH("Disk Capacity", Input!$D$1:$AC$1, 0))</f>
        <v>#N/A</v>
      </c>
      <c r="R141" s="32"/>
      <c r="S141" s="53" t="e">
        <f>_xlfn.LET(_xlpm.Result,INDEX(Input!$D$2:$AC$500,
       MATCH(B141, Input!$J$2:$J$500, 0),
       MATCH("Capacity", Input!$D$1:$AC$1, 0)),IF(_xlpm.Result="","",_xlpm.Result))</f>
        <v>#N/A</v>
      </c>
      <c r="T141" s="53" t="e" cm="1">
        <f t="array" ref="T141">_xlfn.TEXTSPLIT(S141," / ", ,TRUE,0,)</f>
        <v>#N/A</v>
      </c>
      <c r="U141" s="53"/>
      <c r="V141" s="53" t="str" cm="1">
        <f t="array" ref="V141">IFERROR(_xlfn.IFS(
T141="","",
--T141&lt;55,"Battery Defect",
--T141&lt;=69,"Battery D",
--T141&lt;=80,"Battery C",
--T141&gt;80,""
),"")</f>
        <v/>
      </c>
      <c r="W141" s="53" t="str" cm="1">
        <f t="array" ref="W141">IFERROR(_xlfn.IFS(
U141="","",
--U141&lt;55,"Battery Defect",
--U141&lt;=69,"Battery D",
--U141&lt;=80,"Battery C",
--U141&gt;80,""
),"")</f>
        <v/>
      </c>
      <c r="X141" s="53" t="str" cm="1">
        <f t="array" ref="X141:AE141">IFERROR(IF(_xlfn.XLOOKUP(B141,Input!J:J,Input!N:U)=0,"",
          _xlfn.XLOOKUP(B141,Input!J:J,Input!N:U)),"")</f>
        <v/>
      </c>
      <c r="Y141" s="53" t="str">
        <v/>
      </c>
      <c r="Z141" s="53" t="str">
        <v/>
      </c>
      <c r="AA141" s="53" t="str">
        <v/>
      </c>
      <c r="AB141" s="53" t="str">
        <v/>
      </c>
      <c r="AC141" s="53" t="str">
        <v/>
      </c>
      <c r="AD141" s="53" t="str">
        <v/>
      </c>
      <c r="AE141" s="53" t="str">
        <v/>
      </c>
      <c r="AF141" s="32" t="str">
        <f t="shared" si="9"/>
        <v/>
      </c>
      <c r="AG141" s="32" t="str">
        <f>_xlfn.XLOOKUP(B:B,Disk_Pivot!G:G,Disk_Pivot!I:I)</f>
        <v>Yes x2</v>
      </c>
      <c r="AH141" s="32" t="str">
        <f>_xlfn.XLOOKUP(B141,Disk_Pivot!G:G,Disk_Pivot!N:N)</f>
        <v>Pass, Fail</v>
      </c>
      <c r="AI141" s="32"/>
      <c r="AJ141" s="32"/>
      <c r="AK141" s="32"/>
      <c r="AL141" s="32"/>
      <c r="AM141" s="32"/>
      <c r="AN141" s="32"/>
    </row>
    <row r="142" spans="1:40">
      <c r="A142" s="32" t="str">
        <f>_xlfn.TEXTJOIN("",TRUE,_xlfn.XLOOKUP(B142,Input!J:J,Input!G:G,"",0,1),_xlfn.XLOOKUP(B142,Input!J:J,Input!H:H,"",0,1))</f>
        <v/>
      </c>
      <c r="B142" s="32"/>
      <c r="C142" s="53">
        <f>_xlfn.XLOOKUP(B142,Input!J:J,Input!F:F)</f>
        <v>0</v>
      </c>
      <c r="D142" s="32">
        <f>_xlfn.XLOOKUP(C142,Models!H:H,Models!G:G,C142)</f>
        <v>0</v>
      </c>
      <c r="E142" s="32"/>
      <c r="F142" s="32" t="str">
        <f>_xlfn.XLOOKUP(H142,Models!B:B,Models!F:F,"")</f>
        <v/>
      </c>
      <c r="G142" s="32">
        <f>_xlfn.XLOOKUP(B142,Input!J:J,Input!E:E)</f>
        <v>0</v>
      </c>
      <c r="H142" s="32">
        <f>IF(G142="LENOVO",_xlfn.XLOOKUP(B142,Input!J:J,Input!K:K),_xlfn.XLOOKUP(B142,Input!J:J,Input!L:L))</f>
        <v>0</v>
      </c>
      <c r="I142" s="32"/>
      <c r="J142" s="32"/>
      <c r="K142" s="32">
        <f>_xlfn.XLOOKUP(B142,CPU_Formula!A:A,CPU_Formula!I:I)</f>
        <v>0</v>
      </c>
      <c r="L142" s="53" t="e">
        <f>INDEX(Input!$D$2:$AC$500,
       MATCH(B142, Input!$J$2:$J$500, 0),
       MATCH("Memory Capacity", Input!$D$1:$AC$1, 0))</f>
        <v>#N/A</v>
      </c>
      <c r="M142" s="53" t="e">
        <f>INDEX(Input!$D$2:$AC$500,
       MATCH(B142, Input!$J$2:$J$500, 0),
       MATCH("Memory Type", Input!$D$1:$AC$1, 0))</f>
        <v>#N/A</v>
      </c>
      <c r="N142" s="53" t="e">
        <f t="shared" si="8"/>
        <v>#N/A</v>
      </c>
      <c r="O142" s="53" t="str" cm="1">
        <f t="array" ref="O142">IFERROR(_xlfn.FILTERXML("&lt;t&gt;&lt;s&gt;" &amp; SUBSTITUTE(M142," / ","&lt;/s&gt;&lt;s&gt;") &amp; "&lt;/s&gt;&lt;/t&gt;","(//s[contains(.,'DDR')])[1]"),"")</f>
        <v/>
      </c>
      <c r="P142" s="32" t="e">
        <f t="shared" si="7"/>
        <v>#N/A</v>
      </c>
      <c r="Q142" s="32" t="e">
        <f>INDEX(Input!$D$2:$AC$500,
       MATCH(B142, Input!$J$2:$J$500, 0),
       MATCH("Disk Capacity", Input!$D$1:$AC$1, 0))</f>
        <v>#N/A</v>
      </c>
      <c r="R142" s="32"/>
      <c r="S142" s="53" t="e">
        <f>_xlfn.LET(_xlpm.Result,INDEX(Input!$D$2:$AC$500,
       MATCH(B142, Input!$J$2:$J$500, 0),
       MATCH("Capacity", Input!$D$1:$AC$1, 0)),IF(_xlpm.Result="","",_xlpm.Result))</f>
        <v>#N/A</v>
      </c>
      <c r="T142" s="53" t="e" cm="1">
        <f t="array" ref="T142">_xlfn.TEXTSPLIT(S142," / ", ,TRUE,0,)</f>
        <v>#N/A</v>
      </c>
      <c r="U142" s="53"/>
      <c r="V142" s="53" t="str" cm="1">
        <f t="array" ref="V142">IFERROR(_xlfn.IFS(
T142="","",
--T142&lt;55,"Battery Defect",
--T142&lt;=69,"Battery D",
--T142&lt;=80,"Battery C",
--T142&gt;80,""
),"")</f>
        <v/>
      </c>
      <c r="W142" s="53" t="str" cm="1">
        <f t="array" ref="W142">IFERROR(_xlfn.IFS(
U142="","",
--U142&lt;55,"Battery Defect",
--U142&lt;=69,"Battery D",
--U142&lt;=80,"Battery C",
--U142&gt;80,""
),"")</f>
        <v/>
      </c>
      <c r="X142" s="53" t="str" cm="1">
        <f t="array" ref="X142:AE142">IFERROR(IF(_xlfn.XLOOKUP(B142,Input!J:J,Input!N:U)=0,"",
          _xlfn.XLOOKUP(B142,Input!J:J,Input!N:U)),"")</f>
        <v/>
      </c>
      <c r="Y142" s="53" t="str">
        <v/>
      </c>
      <c r="Z142" s="53" t="str">
        <v/>
      </c>
      <c r="AA142" s="53" t="str">
        <v/>
      </c>
      <c r="AB142" s="53" t="str">
        <v/>
      </c>
      <c r="AC142" s="53" t="str">
        <v/>
      </c>
      <c r="AD142" s="53" t="str">
        <v/>
      </c>
      <c r="AE142" s="53" t="str">
        <v/>
      </c>
      <c r="AF142" s="32" t="str">
        <f t="shared" si="9"/>
        <v/>
      </c>
      <c r="AG142" s="32" t="str">
        <f>_xlfn.XLOOKUP(B:B,Disk_Pivot!G:G,Disk_Pivot!I:I)</f>
        <v>Yes x2</v>
      </c>
      <c r="AH142" s="32" t="str">
        <f>_xlfn.XLOOKUP(B142,Disk_Pivot!G:G,Disk_Pivot!N:N)</f>
        <v>Pass, Fail</v>
      </c>
      <c r="AI142" s="32"/>
      <c r="AJ142" s="32"/>
      <c r="AK142" s="32"/>
      <c r="AL142" s="32"/>
      <c r="AM142" s="32"/>
      <c r="AN142" s="32"/>
    </row>
    <row r="143" spans="1:40">
      <c r="A143" s="32" t="str">
        <f>_xlfn.TEXTJOIN("",TRUE,_xlfn.XLOOKUP(B143,Input!J:J,Input!G:G,"",0,1),_xlfn.XLOOKUP(B143,Input!J:J,Input!H:H,"",0,1))</f>
        <v/>
      </c>
      <c r="B143" s="32"/>
      <c r="C143" s="53">
        <f>_xlfn.XLOOKUP(B143,Input!J:J,Input!F:F)</f>
        <v>0</v>
      </c>
      <c r="D143" s="32">
        <f>_xlfn.XLOOKUP(C143,Models!H:H,Models!G:G,C143)</f>
        <v>0</v>
      </c>
      <c r="E143" s="32"/>
      <c r="F143" s="32" t="str">
        <f>_xlfn.XLOOKUP(H143,Models!B:B,Models!F:F,"")</f>
        <v/>
      </c>
      <c r="G143" s="32">
        <f>_xlfn.XLOOKUP(B143,Input!J:J,Input!E:E)</f>
        <v>0</v>
      </c>
      <c r="H143" s="32">
        <f>IF(G143="LENOVO",_xlfn.XLOOKUP(B143,Input!J:J,Input!K:K),_xlfn.XLOOKUP(B143,Input!J:J,Input!L:L))</f>
        <v>0</v>
      </c>
      <c r="I143" s="32"/>
      <c r="J143" s="32"/>
      <c r="K143" s="32">
        <f>_xlfn.XLOOKUP(B143,CPU_Formula!A:A,CPU_Formula!I:I)</f>
        <v>0</v>
      </c>
      <c r="L143" s="53" t="e">
        <f>INDEX(Input!$D$2:$AC$500,
       MATCH(B143, Input!$J$2:$J$500, 0),
       MATCH("Memory Capacity", Input!$D$1:$AC$1, 0))</f>
        <v>#N/A</v>
      </c>
      <c r="M143" s="53" t="e">
        <f>INDEX(Input!$D$2:$AC$500,
       MATCH(B143, Input!$J$2:$J$500, 0),
       MATCH("Memory Type", Input!$D$1:$AC$1, 0))</f>
        <v>#N/A</v>
      </c>
      <c r="N143" s="53" t="e">
        <f t="shared" si="8"/>
        <v>#N/A</v>
      </c>
      <c r="O143" s="53" t="str" cm="1">
        <f t="array" ref="O143">IFERROR(_xlfn.FILTERXML("&lt;t&gt;&lt;s&gt;" &amp; SUBSTITUTE(M143," / ","&lt;/s&gt;&lt;s&gt;") &amp; "&lt;/s&gt;&lt;/t&gt;","(//s[contains(.,'DDR')])[1]"),"")</f>
        <v/>
      </c>
      <c r="P143" s="32" t="e">
        <f t="shared" si="7"/>
        <v>#N/A</v>
      </c>
      <c r="Q143" s="32" t="e">
        <f>INDEX(Input!$D$2:$AC$500,
       MATCH(B143, Input!$J$2:$J$500, 0),
       MATCH("Disk Capacity", Input!$D$1:$AC$1, 0))</f>
        <v>#N/A</v>
      </c>
      <c r="R143" s="32"/>
      <c r="S143" s="53" t="e">
        <f>_xlfn.LET(_xlpm.Result,INDEX(Input!$D$2:$AC$500,
       MATCH(B143, Input!$J$2:$J$500, 0),
       MATCH("Capacity", Input!$D$1:$AC$1, 0)),IF(_xlpm.Result="","",_xlpm.Result))</f>
        <v>#N/A</v>
      </c>
      <c r="T143" s="53" t="e" cm="1">
        <f t="array" ref="T143">_xlfn.TEXTSPLIT(S143," / ", ,TRUE,0,)</f>
        <v>#N/A</v>
      </c>
      <c r="U143" s="53"/>
      <c r="V143" s="53" t="str" cm="1">
        <f t="array" ref="V143">IFERROR(_xlfn.IFS(
T143="","",
--T143&lt;55,"Battery Defect",
--T143&lt;=69,"Battery D",
--T143&lt;=80,"Battery C",
--T143&gt;80,""
),"")</f>
        <v/>
      </c>
      <c r="W143" s="53" t="str" cm="1">
        <f t="array" ref="W143">IFERROR(_xlfn.IFS(
U143="","",
--U143&lt;55,"Battery Defect",
--U143&lt;=69,"Battery D",
--U143&lt;=80,"Battery C",
--U143&gt;80,""
),"")</f>
        <v/>
      </c>
      <c r="X143" s="53" t="str" cm="1">
        <f t="array" ref="X143:AE143">IFERROR(IF(_xlfn.XLOOKUP(B143,Input!J:J,Input!N:U)=0,"",
          _xlfn.XLOOKUP(B143,Input!J:J,Input!N:U)),"")</f>
        <v/>
      </c>
      <c r="Y143" s="53" t="str">
        <v/>
      </c>
      <c r="Z143" s="53" t="str">
        <v/>
      </c>
      <c r="AA143" s="53" t="str">
        <v/>
      </c>
      <c r="AB143" s="53" t="str">
        <v/>
      </c>
      <c r="AC143" s="53" t="str">
        <v/>
      </c>
      <c r="AD143" s="53" t="str">
        <v/>
      </c>
      <c r="AE143" s="53" t="str">
        <v/>
      </c>
      <c r="AF143" s="32" t="str">
        <f t="shared" si="9"/>
        <v/>
      </c>
      <c r="AG143" s="32" t="str">
        <f>_xlfn.XLOOKUP(B:B,Disk_Pivot!G:G,Disk_Pivot!I:I)</f>
        <v>Yes x2</v>
      </c>
      <c r="AH143" s="32" t="str">
        <f>_xlfn.XLOOKUP(B143,Disk_Pivot!G:G,Disk_Pivot!N:N)</f>
        <v>Pass, Fail</v>
      </c>
      <c r="AI143" s="32"/>
      <c r="AJ143" s="32"/>
      <c r="AK143" s="32"/>
      <c r="AL143" s="32"/>
      <c r="AM143" s="32"/>
      <c r="AN143" s="32"/>
    </row>
    <row r="144" spans="1:40">
      <c r="A144" s="32" t="str">
        <f>_xlfn.TEXTJOIN("",TRUE,_xlfn.XLOOKUP(B144,Input!J:J,Input!G:G,"",0,1),_xlfn.XLOOKUP(B144,Input!J:J,Input!H:H,"",0,1))</f>
        <v/>
      </c>
      <c r="B144" s="32"/>
      <c r="C144" s="53">
        <f>_xlfn.XLOOKUP(B144,Input!J:J,Input!F:F)</f>
        <v>0</v>
      </c>
      <c r="D144" s="32">
        <f>_xlfn.XLOOKUP(C144,Models!H:H,Models!G:G,C144)</f>
        <v>0</v>
      </c>
      <c r="E144" s="32"/>
      <c r="F144" s="32" t="str">
        <f>_xlfn.XLOOKUP(H144,Models!B:B,Models!F:F,"")</f>
        <v/>
      </c>
      <c r="G144" s="32">
        <f>_xlfn.XLOOKUP(B144,Input!J:J,Input!E:E)</f>
        <v>0</v>
      </c>
      <c r="H144" s="32">
        <f>IF(G144="LENOVO",_xlfn.XLOOKUP(B144,Input!J:J,Input!K:K),_xlfn.XLOOKUP(B144,Input!J:J,Input!L:L))</f>
        <v>0</v>
      </c>
      <c r="I144" s="32"/>
      <c r="J144" s="32"/>
      <c r="K144" s="32">
        <f>_xlfn.XLOOKUP(B144,CPU_Formula!A:A,CPU_Formula!I:I)</f>
        <v>0</v>
      </c>
      <c r="L144" s="53" t="e">
        <f>INDEX(Input!$D$2:$AC$500,
       MATCH(B144, Input!$J$2:$J$500, 0),
       MATCH("Memory Capacity", Input!$D$1:$AC$1, 0))</f>
        <v>#N/A</v>
      </c>
      <c r="M144" s="53" t="e">
        <f>INDEX(Input!$D$2:$AC$500,
       MATCH(B144, Input!$J$2:$J$500, 0),
       MATCH("Memory Type", Input!$D$1:$AC$1, 0))</f>
        <v>#N/A</v>
      </c>
      <c r="N144" s="53" t="e">
        <f t="shared" si="8"/>
        <v>#N/A</v>
      </c>
      <c r="O144" s="53" t="str" cm="1">
        <f t="array" ref="O144">IFERROR(_xlfn.FILTERXML("&lt;t&gt;&lt;s&gt;" &amp; SUBSTITUTE(M144," / ","&lt;/s&gt;&lt;s&gt;") &amp; "&lt;/s&gt;&lt;/t&gt;","(//s[contains(.,'DDR')])[1]"),"")</f>
        <v/>
      </c>
      <c r="P144" s="32" t="e">
        <f t="shared" si="7"/>
        <v>#N/A</v>
      </c>
      <c r="Q144" s="32" t="e">
        <f>INDEX(Input!$D$2:$AC$500,
       MATCH(B144, Input!$J$2:$J$500, 0),
       MATCH("Disk Capacity", Input!$D$1:$AC$1, 0))</f>
        <v>#N/A</v>
      </c>
      <c r="R144" s="32"/>
      <c r="S144" s="53" t="e">
        <f>_xlfn.LET(_xlpm.Result,INDEX(Input!$D$2:$AC$500,
       MATCH(B144, Input!$J$2:$J$500, 0),
       MATCH("Capacity", Input!$D$1:$AC$1, 0)),IF(_xlpm.Result="","",_xlpm.Result))</f>
        <v>#N/A</v>
      </c>
      <c r="T144" s="53" t="e" cm="1">
        <f t="array" ref="T144">_xlfn.TEXTSPLIT(S144," / ", ,TRUE,0,)</f>
        <v>#N/A</v>
      </c>
      <c r="U144" s="53"/>
      <c r="V144" s="53" t="str" cm="1">
        <f t="array" ref="V144">IFERROR(_xlfn.IFS(
T144="","",
--T144&lt;55,"Battery Defect",
--T144&lt;=69,"Battery D",
--T144&lt;=80,"Battery C",
--T144&gt;80,""
),"")</f>
        <v/>
      </c>
      <c r="W144" s="53" t="str" cm="1">
        <f t="array" ref="W144">IFERROR(_xlfn.IFS(
U144="","",
--U144&lt;55,"Battery Defect",
--U144&lt;=69,"Battery D",
--U144&lt;=80,"Battery C",
--U144&gt;80,""
),"")</f>
        <v/>
      </c>
      <c r="X144" s="53" t="str" cm="1">
        <f t="array" ref="X144:AE144">IFERROR(IF(_xlfn.XLOOKUP(B144,Input!J:J,Input!N:U)=0,"",
          _xlfn.XLOOKUP(B144,Input!J:J,Input!N:U)),"")</f>
        <v/>
      </c>
      <c r="Y144" s="53" t="str">
        <v/>
      </c>
      <c r="Z144" s="53" t="str">
        <v/>
      </c>
      <c r="AA144" s="53" t="str">
        <v/>
      </c>
      <c r="AB144" s="53" t="str">
        <v/>
      </c>
      <c r="AC144" s="53" t="str">
        <v/>
      </c>
      <c r="AD144" s="53" t="str">
        <v/>
      </c>
      <c r="AE144" s="53" t="str">
        <v/>
      </c>
      <c r="AF144" s="32" t="str">
        <f t="shared" si="9"/>
        <v/>
      </c>
      <c r="AG144" s="32" t="str">
        <f>_xlfn.XLOOKUP(B:B,Disk_Pivot!G:G,Disk_Pivot!I:I)</f>
        <v>Yes x2</v>
      </c>
      <c r="AH144" s="32" t="str">
        <f>_xlfn.XLOOKUP(B144,Disk_Pivot!G:G,Disk_Pivot!N:N)</f>
        <v>Pass, Fail</v>
      </c>
      <c r="AI144" s="32"/>
      <c r="AJ144" s="32"/>
      <c r="AK144" s="32"/>
      <c r="AL144" s="32"/>
      <c r="AM144" s="32"/>
      <c r="AN144" s="32"/>
    </row>
    <row r="145" spans="1:40">
      <c r="A145" s="32" t="str">
        <f>_xlfn.TEXTJOIN("",TRUE,_xlfn.XLOOKUP(B145,Input!J:J,Input!G:G,"",0,1),_xlfn.XLOOKUP(B145,Input!J:J,Input!H:H,"",0,1))</f>
        <v/>
      </c>
      <c r="B145" s="32"/>
      <c r="C145" s="53">
        <f>_xlfn.XLOOKUP(B145,Input!J:J,Input!F:F)</f>
        <v>0</v>
      </c>
      <c r="D145" s="32">
        <f>_xlfn.XLOOKUP(C145,Models!H:H,Models!G:G,C145)</f>
        <v>0</v>
      </c>
      <c r="E145" s="32"/>
      <c r="F145" s="32" t="str">
        <f>_xlfn.XLOOKUP(H145,Models!B:B,Models!F:F,"")</f>
        <v/>
      </c>
      <c r="G145" s="32">
        <f>_xlfn.XLOOKUP(B145,Input!J:J,Input!E:E)</f>
        <v>0</v>
      </c>
      <c r="H145" s="32">
        <f>IF(G145="LENOVO",_xlfn.XLOOKUP(B145,Input!J:J,Input!K:K),_xlfn.XLOOKUP(B145,Input!J:J,Input!L:L))</f>
        <v>0</v>
      </c>
      <c r="I145" s="32"/>
      <c r="J145" s="32"/>
      <c r="K145" s="32">
        <f>_xlfn.XLOOKUP(B145,CPU_Formula!A:A,CPU_Formula!I:I)</f>
        <v>0</v>
      </c>
      <c r="L145" s="53" t="e">
        <f>INDEX(Input!$D$2:$AC$500,
       MATCH(B145, Input!$J$2:$J$500, 0),
       MATCH("Memory Capacity", Input!$D$1:$AC$1, 0))</f>
        <v>#N/A</v>
      </c>
      <c r="M145" s="53" t="e">
        <f>INDEX(Input!$D$2:$AC$500,
       MATCH(B145, Input!$J$2:$J$500, 0),
       MATCH("Memory Type", Input!$D$1:$AC$1, 0))</f>
        <v>#N/A</v>
      </c>
      <c r="N145" s="53" t="e">
        <f t="shared" si="8"/>
        <v>#N/A</v>
      </c>
      <c r="O145" s="53" t="str" cm="1">
        <f t="array" ref="O145">IFERROR(_xlfn.FILTERXML("&lt;t&gt;&lt;s&gt;" &amp; SUBSTITUTE(M145," / ","&lt;/s&gt;&lt;s&gt;") &amp; "&lt;/s&gt;&lt;/t&gt;","(//s[contains(.,'DDR')])[1]"),"")</f>
        <v/>
      </c>
      <c r="P145" s="32" t="e">
        <f t="shared" si="7"/>
        <v>#N/A</v>
      </c>
      <c r="Q145" s="32" t="e">
        <f>INDEX(Input!$D$2:$AC$500,
       MATCH(B145, Input!$J$2:$J$500, 0),
       MATCH("Disk Capacity", Input!$D$1:$AC$1, 0))</f>
        <v>#N/A</v>
      </c>
      <c r="R145" s="32"/>
      <c r="S145" s="53" t="e">
        <f>_xlfn.LET(_xlpm.Result,INDEX(Input!$D$2:$AC$500,
       MATCH(B145, Input!$J$2:$J$500, 0),
       MATCH("Capacity", Input!$D$1:$AC$1, 0)),IF(_xlpm.Result="","",_xlpm.Result))</f>
        <v>#N/A</v>
      </c>
      <c r="T145" s="53" t="e" cm="1">
        <f t="array" ref="T145">_xlfn.TEXTSPLIT(S145," / ", ,TRUE,0,)</f>
        <v>#N/A</v>
      </c>
      <c r="U145" s="53"/>
      <c r="V145" s="53" t="str" cm="1">
        <f t="array" ref="V145">IFERROR(_xlfn.IFS(
T145="","",
--T145&lt;55,"Battery Defect",
--T145&lt;=69,"Battery D",
--T145&lt;=80,"Battery C",
--T145&gt;80,""
),"")</f>
        <v/>
      </c>
      <c r="W145" s="53" t="str" cm="1">
        <f t="array" ref="W145">IFERROR(_xlfn.IFS(
U145="","",
--U145&lt;55,"Battery Defect",
--U145&lt;=69,"Battery D",
--U145&lt;=80,"Battery C",
--U145&gt;80,""
),"")</f>
        <v/>
      </c>
      <c r="X145" s="53" t="str" cm="1">
        <f t="array" ref="X145:AE145">IFERROR(IF(_xlfn.XLOOKUP(B145,Input!J:J,Input!N:U)=0,"",
          _xlfn.XLOOKUP(B145,Input!J:J,Input!N:U)),"")</f>
        <v/>
      </c>
      <c r="Y145" s="53" t="str">
        <v/>
      </c>
      <c r="Z145" s="53" t="str">
        <v/>
      </c>
      <c r="AA145" s="53" t="str">
        <v/>
      </c>
      <c r="AB145" s="53" t="str">
        <v/>
      </c>
      <c r="AC145" s="53" t="str">
        <v/>
      </c>
      <c r="AD145" s="53" t="str">
        <v/>
      </c>
      <c r="AE145" s="53" t="str">
        <v/>
      </c>
      <c r="AF145" s="32" t="str">
        <f t="shared" si="9"/>
        <v/>
      </c>
      <c r="AG145" s="32" t="str">
        <f>_xlfn.XLOOKUP(B:B,Disk_Pivot!G:G,Disk_Pivot!I:I)</f>
        <v>Yes x2</v>
      </c>
      <c r="AH145" s="32" t="str">
        <f>_xlfn.XLOOKUP(B145,Disk_Pivot!G:G,Disk_Pivot!N:N)</f>
        <v>Pass, Fail</v>
      </c>
      <c r="AI145" s="32"/>
      <c r="AJ145" s="32"/>
      <c r="AK145" s="32"/>
      <c r="AL145" s="32"/>
      <c r="AM145" s="32"/>
      <c r="AN145" s="32"/>
    </row>
    <row r="146" spans="1:40">
      <c r="A146" s="32" t="str">
        <f>_xlfn.TEXTJOIN("",TRUE,_xlfn.XLOOKUP(B146,Input!J:J,Input!G:G,"",0,1),_xlfn.XLOOKUP(B146,Input!J:J,Input!H:H,"",0,1))</f>
        <v/>
      </c>
      <c r="B146" s="32"/>
      <c r="C146" s="53">
        <f>_xlfn.XLOOKUP(B146,Input!J:J,Input!F:F)</f>
        <v>0</v>
      </c>
      <c r="D146" s="32">
        <f>_xlfn.XLOOKUP(C146,Models!H:H,Models!G:G,C146)</f>
        <v>0</v>
      </c>
      <c r="E146" s="32"/>
      <c r="F146" s="32" t="str">
        <f>_xlfn.XLOOKUP(H146,Models!B:B,Models!F:F,"")</f>
        <v/>
      </c>
      <c r="G146" s="32">
        <f>_xlfn.XLOOKUP(B146,Input!J:J,Input!E:E)</f>
        <v>0</v>
      </c>
      <c r="H146" s="32">
        <f>IF(G146="LENOVO",_xlfn.XLOOKUP(B146,Input!J:J,Input!K:K),_xlfn.XLOOKUP(B146,Input!J:J,Input!L:L))</f>
        <v>0</v>
      </c>
      <c r="I146" s="32"/>
      <c r="J146" s="32"/>
      <c r="K146" s="32">
        <f>_xlfn.XLOOKUP(B146,CPU_Formula!A:A,CPU_Formula!I:I)</f>
        <v>0</v>
      </c>
      <c r="L146" s="53" t="e">
        <f>INDEX(Input!$D$2:$AC$500,
       MATCH(B146, Input!$J$2:$J$500, 0),
       MATCH("Memory Capacity", Input!$D$1:$AC$1, 0))</f>
        <v>#N/A</v>
      </c>
      <c r="M146" s="53" t="e">
        <f>INDEX(Input!$D$2:$AC$500,
       MATCH(B146, Input!$J$2:$J$500, 0),
       MATCH("Memory Type", Input!$D$1:$AC$1, 0))</f>
        <v>#N/A</v>
      </c>
      <c r="N146" s="53" t="e">
        <f t="shared" si="8"/>
        <v>#N/A</v>
      </c>
      <c r="O146" s="53" t="str" cm="1">
        <f t="array" ref="O146">IFERROR(_xlfn.FILTERXML("&lt;t&gt;&lt;s&gt;" &amp; SUBSTITUTE(M146," / ","&lt;/s&gt;&lt;s&gt;") &amp; "&lt;/s&gt;&lt;/t&gt;","(//s[contains(.,'DDR')])[1]"),"")</f>
        <v/>
      </c>
      <c r="P146" s="32" t="e">
        <f t="shared" si="7"/>
        <v>#N/A</v>
      </c>
      <c r="Q146" s="32" t="e">
        <f>INDEX(Input!$D$2:$AC$500,
       MATCH(B146, Input!$J$2:$J$500, 0),
       MATCH("Disk Capacity", Input!$D$1:$AC$1, 0))</f>
        <v>#N/A</v>
      </c>
      <c r="R146" s="32"/>
      <c r="S146" s="53" t="e">
        <f>_xlfn.LET(_xlpm.Result,INDEX(Input!$D$2:$AC$500,
       MATCH(B146, Input!$J$2:$J$500, 0),
       MATCH("Capacity", Input!$D$1:$AC$1, 0)),IF(_xlpm.Result="","",_xlpm.Result))</f>
        <v>#N/A</v>
      </c>
      <c r="T146" s="53" t="e" cm="1">
        <f t="array" ref="T146">_xlfn.TEXTSPLIT(S146," / ", ,TRUE,0,)</f>
        <v>#N/A</v>
      </c>
      <c r="U146" s="53"/>
      <c r="V146" s="53" t="str" cm="1">
        <f t="array" ref="V146">IFERROR(_xlfn.IFS(
T146="","",
--T146&lt;55,"Battery Defect",
--T146&lt;=69,"Battery D",
--T146&lt;=80,"Battery C",
--T146&gt;80,""
),"")</f>
        <v/>
      </c>
      <c r="W146" s="53" t="str" cm="1">
        <f t="array" ref="W146">IFERROR(_xlfn.IFS(
U146="","",
--U146&lt;55,"Battery Defect",
--U146&lt;=69,"Battery D",
--U146&lt;=80,"Battery C",
--U146&gt;80,""
),"")</f>
        <v/>
      </c>
      <c r="X146" s="53" t="str" cm="1">
        <f t="array" ref="X146:AE146">IFERROR(IF(_xlfn.XLOOKUP(B146,Input!J:J,Input!N:U)=0,"",
          _xlfn.XLOOKUP(B146,Input!J:J,Input!N:U)),"")</f>
        <v/>
      </c>
      <c r="Y146" s="53" t="str">
        <v/>
      </c>
      <c r="Z146" s="53" t="str">
        <v/>
      </c>
      <c r="AA146" s="53" t="str">
        <v/>
      </c>
      <c r="AB146" s="53" t="str">
        <v/>
      </c>
      <c r="AC146" s="53" t="str">
        <v/>
      </c>
      <c r="AD146" s="53" t="str">
        <v/>
      </c>
      <c r="AE146" s="53" t="str">
        <v/>
      </c>
      <c r="AF146" s="32" t="str">
        <f t="shared" si="9"/>
        <v/>
      </c>
      <c r="AG146" s="32" t="str">
        <f>_xlfn.XLOOKUP(B:B,Disk_Pivot!G:G,Disk_Pivot!I:I)</f>
        <v>Yes x2</v>
      </c>
      <c r="AH146" s="32" t="str">
        <f>_xlfn.XLOOKUP(B146,Disk_Pivot!G:G,Disk_Pivot!N:N)</f>
        <v>Pass, Fail</v>
      </c>
      <c r="AI146" s="32"/>
      <c r="AJ146" s="32"/>
      <c r="AK146" s="32"/>
      <c r="AL146" s="32"/>
      <c r="AM146" s="32"/>
      <c r="AN146" s="32"/>
    </row>
    <row r="147" spans="1:40">
      <c r="A147" s="32" t="str">
        <f>_xlfn.TEXTJOIN("",TRUE,_xlfn.XLOOKUP(B147,Input!J:J,Input!G:G,"",0,1),_xlfn.XLOOKUP(B147,Input!J:J,Input!H:H,"",0,1))</f>
        <v/>
      </c>
      <c r="B147" s="32"/>
      <c r="C147" s="53">
        <f>_xlfn.XLOOKUP(B147,Input!J:J,Input!F:F)</f>
        <v>0</v>
      </c>
      <c r="D147" s="32">
        <f>_xlfn.XLOOKUP(C147,Models!H:H,Models!G:G,C147)</f>
        <v>0</v>
      </c>
      <c r="E147" s="32"/>
      <c r="F147" s="32" t="str">
        <f>_xlfn.XLOOKUP(H147,Models!B:B,Models!F:F,"")</f>
        <v/>
      </c>
      <c r="G147" s="32">
        <f>_xlfn.XLOOKUP(B147,Input!J:J,Input!E:E)</f>
        <v>0</v>
      </c>
      <c r="H147" s="32">
        <f>IF(G147="LENOVO",_xlfn.XLOOKUP(B147,Input!J:J,Input!K:K),_xlfn.XLOOKUP(B147,Input!J:J,Input!L:L))</f>
        <v>0</v>
      </c>
      <c r="I147" s="32"/>
      <c r="J147" s="32"/>
      <c r="K147" s="32">
        <f>_xlfn.XLOOKUP(B147,CPU_Formula!A:A,CPU_Formula!I:I)</f>
        <v>0</v>
      </c>
      <c r="L147" s="53" t="e">
        <f>INDEX(Input!$D$2:$AC$500,
       MATCH(B147, Input!$J$2:$J$500, 0),
       MATCH("Memory Capacity", Input!$D$1:$AC$1, 0))</f>
        <v>#N/A</v>
      </c>
      <c r="M147" s="53" t="e">
        <f>INDEX(Input!$D$2:$AC$500,
       MATCH(B147, Input!$J$2:$J$500, 0),
       MATCH("Memory Type", Input!$D$1:$AC$1, 0))</f>
        <v>#N/A</v>
      </c>
      <c r="N147" s="53" t="e">
        <f t="shared" si="8"/>
        <v>#N/A</v>
      </c>
      <c r="O147" s="53" t="str" cm="1">
        <f t="array" ref="O147">IFERROR(_xlfn.FILTERXML("&lt;t&gt;&lt;s&gt;" &amp; SUBSTITUTE(M147," / ","&lt;/s&gt;&lt;s&gt;") &amp; "&lt;/s&gt;&lt;/t&gt;","(//s[contains(.,'DDR')])[1]"),"")</f>
        <v/>
      </c>
      <c r="P147" s="32" t="e">
        <f t="shared" si="7"/>
        <v>#N/A</v>
      </c>
      <c r="Q147" s="32" t="e">
        <f>INDEX(Input!$D$2:$AC$500,
       MATCH(B147, Input!$J$2:$J$500, 0),
       MATCH("Disk Capacity", Input!$D$1:$AC$1, 0))</f>
        <v>#N/A</v>
      </c>
      <c r="R147" s="32"/>
      <c r="S147" s="53" t="e">
        <f>_xlfn.LET(_xlpm.Result,INDEX(Input!$D$2:$AC$500,
       MATCH(B147, Input!$J$2:$J$500, 0),
       MATCH("Capacity", Input!$D$1:$AC$1, 0)),IF(_xlpm.Result="","",_xlpm.Result))</f>
        <v>#N/A</v>
      </c>
      <c r="T147" s="53" t="e" cm="1">
        <f t="array" ref="T147">_xlfn.TEXTSPLIT(S147," / ", ,TRUE,0,)</f>
        <v>#N/A</v>
      </c>
      <c r="U147" s="53"/>
      <c r="V147" s="53" t="str" cm="1">
        <f t="array" ref="V147">IFERROR(_xlfn.IFS(
T147="","",
--T147&lt;55,"Battery Defect",
--T147&lt;=69,"Battery D",
--T147&lt;=80,"Battery C",
--T147&gt;80,""
),"")</f>
        <v/>
      </c>
      <c r="W147" s="53" t="str" cm="1">
        <f t="array" ref="W147">IFERROR(_xlfn.IFS(
U147="","",
--U147&lt;55,"Battery Defect",
--U147&lt;=69,"Battery D",
--U147&lt;=80,"Battery C",
--U147&gt;80,""
),"")</f>
        <v/>
      </c>
      <c r="X147" s="53" t="str" cm="1">
        <f t="array" ref="X147:AE147">IFERROR(IF(_xlfn.XLOOKUP(B147,Input!J:J,Input!N:U)=0,"",
          _xlfn.XLOOKUP(B147,Input!J:J,Input!N:U)),"")</f>
        <v/>
      </c>
      <c r="Y147" s="53" t="str">
        <v/>
      </c>
      <c r="Z147" s="53" t="str">
        <v/>
      </c>
      <c r="AA147" s="53" t="str">
        <v/>
      </c>
      <c r="AB147" s="53" t="str">
        <v/>
      </c>
      <c r="AC147" s="53" t="str">
        <v/>
      </c>
      <c r="AD147" s="53" t="str">
        <v/>
      </c>
      <c r="AE147" s="53" t="str">
        <v/>
      </c>
      <c r="AF147" s="32" t="str">
        <f t="shared" si="9"/>
        <v/>
      </c>
      <c r="AG147" s="32" t="str">
        <f>_xlfn.XLOOKUP(B:B,Disk_Pivot!G:G,Disk_Pivot!I:I)</f>
        <v>Yes x2</v>
      </c>
      <c r="AH147" s="32" t="str">
        <f>_xlfn.XLOOKUP(B147,Disk_Pivot!G:G,Disk_Pivot!N:N)</f>
        <v>Pass, Fail</v>
      </c>
      <c r="AI147" s="32"/>
      <c r="AJ147" s="32"/>
      <c r="AK147" s="32"/>
      <c r="AL147" s="32"/>
      <c r="AM147" s="32"/>
      <c r="AN147" s="32"/>
    </row>
    <row r="148" spans="1:40">
      <c r="A148" s="32" t="str">
        <f>_xlfn.TEXTJOIN("",TRUE,_xlfn.XLOOKUP(B148,Input!J:J,Input!G:G,"",0,1),_xlfn.XLOOKUP(B148,Input!J:J,Input!H:H,"",0,1))</f>
        <v/>
      </c>
      <c r="B148" s="32"/>
      <c r="C148" s="53">
        <f>_xlfn.XLOOKUP(B148,Input!J:J,Input!F:F)</f>
        <v>0</v>
      </c>
      <c r="D148" s="32">
        <f>_xlfn.XLOOKUP(C148,Models!H:H,Models!G:G,C148)</f>
        <v>0</v>
      </c>
      <c r="E148" s="32"/>
      <c r="F148" s="32" t="str">
        <f>_xlfn.XLOOKUP(H148,Models!B:B,Models!F:F,"")</f>
        <v/>
      </c>
      <c r="G148" s="32">
        <f>_xlfn.XLOOKUP(B148,Input!J:J,Input!E:E)</f>
        <v>0</v>
      </c>
      <c r="H148" s="32">
        <f>IF(G148="LENOVO",_xlfn.XLOOKUP(B148,Input!J:J,Input!K:K),_xlfn.XLOOKUP(B148,Input!J:J,Input!L:L))</f>
        <v>0</v>
      </c>
      <c r="I148" s="32"/>
      <c r="J148" s="32"/>
      <c r="K148" s="32">
        <f>_xlfn.XLOOKUP(B148,CPU_Formula!A:A,CPU_Formula!I:I)</f>
        <v>0</v>
      </c>
      <c r="L148" s="53" t="e">
        <f>INDEX(Input!$D$2:$AC$500,
       MATCH(B148, Input!$J$2:$J$500, 0),
       MATCH("Memory Capacity", Input!$D$1:$AC$1, 0))</f>
        <v>#N/A</v>
      </c>
      <c r="M148" s="53" t="e">
        <f>INDEX(Input!$D$2:$AC$500,
       MATCH(B148, Input!$J$2:$J$500, 0),
       MATCH("Memory Type", Input!$D$1:$AC$1, 0))</f>
        <v>#N/A</v>
      </c>
      <c r="N148" s="53" t="e">
        <f t="shared" si="8"/>
        <v>#N/A</v>
      </c>
      <c r="O148" s="53" t="str" cm="1">
        <f t="array" ref="O148">IFERROR(_xlfn.FILTERXML("&lt;t&gt;&lt;s&gt;" &amp; SUBSTITUTE(M148," / ","&lt;/s&gt;&lt;s&gt;") &amp; "&lt;/s&gt;&lt;/t&gt;","(//s[contains(.,'DDR')])[1]"),"")</f>
        <v/>
      </c>
      <c r="P148" s="32" t="e">
        <f t="shared" si="7"/>
        <v>#N/A</v>
      </c>
      <c r="Q148" s="32" t="e">
        <f>INDEX(Input!$D$2:$AC$500,
       MATCH(B148, Input!$J$2:$J$500, 0),
       MATCH("Disk Capacity", Input!$D$1:$AC$1, 0))</f>
        <v>#N/A</v>
      </c>
      <c r="R148" s="32"/>
      <c r="S148" s="53" t="e">
        <f>_xlfn.LET(_xlpm.Result,INDEX(Input!$D$2:$AC$500,
       MATCH(B148, Input!$J$2:$J$500, 0),
       MATCH("Capacity", Input!$D$1:$AC$1, 0)),IF(_xlpm.Result="","",_xlpm.Result))</f>
        <v>#N/A</v>
      </c>
      <c r="T148" s="53" t="e" cm="1">
        <f t="array" ref="T148">_xlfn.TEXTSPLIT(S148," / ", ,TRUE,0,)</f>
        <v>#N/A</v>
      </c>
      <c r="U148" s="53"/>
      <c r="V148" s="53" t="str" cm="1">
        <f t="array" ref="V148">IFERROR(_xlfn.IFS(
T148="","",
--T148&lt;55,"Battery Defect",
--T148&lt;=69,"Battery D",
--T148&lt;=80,"Battery C",
--T148&gt;80,""
),"")</f>
        <v/>
      </c>
      <c r="W148" s="53" t="str" cm="1">
        <f t="array" ref="W148">IFERROR(_xlfn.IFS(
U148="","",
--U148&lt;55,"Battery Defect",
--U148&lt;=69,"Battery D",
--U148&lt;=80,"Battery C",
--U148&gt;80,""
),"")</f>
        <v/>
      </c>
      <c r="X148" s="53" t="str" cm="1">
        <f t="array" ref="X148:AE148">IFERROR(IF(_xlfn.XLOOKUP(B148,Input!J:J,Input!N:U)=0,"",
          _xlfn.XLOOKUP(B148,Input!J:J,Input!N:U)),"")</f>
        <v/>
      </c>
      <c r="Y148" s="53" t="str">
        <v/>
      </c>
      <c r="Z148" s="53" t="str">
        <v/>
      </c>
      <c r="AA148" s="53" t="str">
        <v/>
      </c>
      <c r="AB148" s="53" t="str">
        <v/>
      </c>
      <c r="AC148" s="53" t="str">
        <v/>
      </c>
      <c r="AD148" s="53" t="str">
        <v/>
      </c>
      <c r="AE148" s="53" t="str">
        <v/>
      </c>
      <c r="AF148" s="32" t="str">
        <f t="shared" si="9"/>
        <v/>
      </c>
      <c r="AG148" s="32" t="str">
        <f>_xlfn.XLOOKUP(B:B,Disk_Pivot!G:G,Disk_Pivot!I:I)</f>
        <v>Yes x2</v>
      </c>
      <c r="AH148" s="32" t="str">
        <f>_xlfn.XLOOKUP(B148,Disk_Pivot!G:G,Disk_Pivot!N:N)</f>
        <v>Pass, Fail</v>
      </c>
      <c r="AI148" s="32"/>
      <c r="AJ148" s="32"/>
      <c r="AK148" s="32"/>
      <c r="AL148" s="32"/>
      <c r="AM148" s="32"/>
      <c r="AN148" s="32"/>
    </row>
    <row r="149" spans="1:40">
      <c r="A149" s="32" t="str">
        <f>_xlfn.TEXTJOIN("",TRUE,_xlfn.XLOOKUP(B149,Input!J:J,Input!G:G,"",0,1),_xlfn.XLOOKUP(B149,Input!J:J,Input!H:H,"",0,1))</f>
        <v/>
      </c>
      <c r="B149" s="32"/>
      <c r="C149" s="53">
        <f>_xlfn.XLOOKUP(B149,Input!J:J,Input!F:F)</f>
        <v>0</v>
      </c>
      <c r="D149" s="32">
        <f>_xlfn.XLOOKUP(C149,Models!H:H,Models!G:G,C149)</f>
        <v>0</v>
      </c>
      <c r="E149" s="32"/>
      <c r="F149" s="32" t="str">
        <f>_xlfn.XLOOKUP(H149,Models!B:B,Models!F:F,"")</f>
        <v/>
      </c>
      <c r="G149" s="32">
        <f>_xlfn.XLOOKUP(B149,Input!J:J,Input!E:E)</f>
        <v>0</v>
      </c>
      <c r="H149" s="32">
        <f>IF(G149="LENOVO",_xlfn.XLOOKUP(B149,Input!J:J,Input!K:K),_xlfn.XLOOKUP(B149,Input!J:J,Input!L:L))</f>
        <v>0</v>
      </c>
      <c r="I149" s="32"/>
      <c r="J149" s="32"/>
      <c r="K149" s="32">
        <f>_xlfn.XLOOKUP(B149,CPU_Formula!A:A,CPU_Formula!I:I)</f>
        <v>0</v>
      </c>
      <c r="L149" s="53" t="e">
        <f>INDEX(Input!$D$2:$AC$500,
       MATCH(B149, Input!$J$2:$J$500, 0),
       MATCH("Memory Capacity", Input!$D$1:$AC$1, 0))</f>
        <v>#N/A</v>
      </c>
      <c r="M149" s="53" t="e">
        <f>INDEX(Input!$D$2:$AC$500,
       MATCH(B149, Input!$J$2:$J$500, 0),
       MATCH("Memory Type", Input!$D$1:$AC$1, 0))</f>
        <v>#N/A</v>
      </c>
      <c r="N149" s="53" t="e">
        <f t="shared" si="8"/>
        <v>#N/A</v>
      </c>
      <c r="O149" s="53" t="str" cm="1">
        <f t="array" ref="O149">IFERROR(_xlfn.FILTERXML("&lt;t&gt;&lt;s&gt;" &amp; SUBSTITUTE(M149," / ","&lt;/s&gt;&lt;s&gt;") &amp; "&lt;/s&gt;&lt;/t&gt;","(//s[contains(.,'DDR')])[1]"),"")</f>
        <v/>
      </c>
      <c r="P149" s="32" t="e">
        <f t="shared" si="7"/>
        <v>#N/A</v>
      </c>
      <c r="Q149" s="32" t="e">
        <f>INDEX(Input!$D$2:$AC$500,
       MATCH(B149, Input!$J$2:$J$500, 0),
       MATCH("Disk Capacity", Input!$D$1:$AC$1, 0))</f>
        <v>#N/A</v>
      </c>
      <c r="R149" s="32"/>
      <c r="S149" s="53" t="e">
        <f>_xlfn.LET(_xlpm.Result,INDEX(Input!$D$2:$AC$500,
       MATCH(B149, Input!$J$2:$J$500, 0),
       MATCH("Capacity", Input!$D$1:$AC$1, 0)),IF(_xlpm.Result="","",_xlpm.Result))</f>
        <v>#N/A</v>
      </c>
      <c r="T149" s="53" t="e" cm="1">
        <f t="array" ref="T149">_xlfn.TEXTSPLIT(S149," / ", ,TRUE,0,)</f>
        <v>#N/A</v>
      </c>
      <c r="U149" s="53"/>
      <c r="V149" s="53" t="str" cm="1">
        <f t="array" ref="V149">IFERROR(_xlfn.IFS(
T149="","",
--T149&lt;55,"Battery Defect",
--T149&lt;=69,"Battery D",
--T149&lt;=80,"Battery C",
--T149&gt;80,""
),"")</f>
        <v/>
      </c>
      <c r="W149" s="53" t="str" cm="1">
        <f t="array" ref="W149">IFERROR(_xlfn.IFS(
U149="","",
--U149&lt;55,"Battery Defect",
--U149&lt;=69,"Battery D",
--U149&lt;=80,"Battery C",
--U149&gt;80,""
),"")</f>
        <v/>
      </c>
      <c r="X149" s="53" t="str" cm="1">
        <f t="array" ref="X149:AE149">IFERROR(IF(_xlfn.XLOOKUP(B149,Input!J:J,Input!N:U)=0,"",
          _xlfn.XLOOKUP(B149,Input!J:J,Input!N:U)),"")</f>
        <v/>
      </c>
      <c r="Y149" s="53" t="str">
        <v/>
      </c>
      <c r="Z149" s="53" t="str">
        <v/>
      </c>
      <c r="AA149" s="53" t="str">
        <v/>
      </c>
      <c r="AB149" s="53" t="str">
        <v/>
      </c>
      <c r="AC149" s="53" t="str">
        <v/>
      </c>
      <c r="AD149" s="53" t="str">
        <v/>
      </c>
      <c r="AE149" s="53" t="str">
        <v/>
      </c>
      <c r="AF149" s="32" t="str">
        <f t="shared" si="9"/>
        <v/>
      </c>
      <c r="AG149" s="32" t="str">
        <f>_xlfn.XLOOKUP(B:B,Disk_Pivot!G:G,Disk_Pivot!I:I)</f>
        <v>Yes x2</v>
      </c>
      <c r="AH149" s="32" t="str">
        <f>_xlfn.XLOOKUP(B149,Disk_Pivot!G:G,Disk_Pivot!N:N)</f>
        <v>Pass, Fail</v>
      </c>
      <c r="AI149" s="32"/>
      <c r="AJ149" s="32"/>
      <c r="AK149" s="32"/>
      <c r="AL149" s="32"/>
      <c r="AM149" s="32"/>
      <c r="AN149" s="32"/>
    </row>
    <row r="150" spans="1:40">
      <c r="A150" s="32" t="str">
        <f>_xlfn.TEXTJOIN("",TRUE,_xlfn.XLOOKUP(B150,Input!J:J,Input!G:G,"",0,1),_xlfn.XLOOKUP(B150,Input!J:J,Input!H:H,"",0,1))</f>
        <v/>
      </c>
      <c r="B150" s="32"/>
      <c r="C150" s="53">
        <f>_xlfn.XLOOKUP(B150,Input!J:J,Input!F:F)</f>
        <v>0</v>
      </c>
      <c r="D150" s="32">
        <f>_xlfn.XLOOKUP(C150,Models!H:H,Models!G:G,C150)</f>
        <v>0</v>
      </c>
      <c r="E150" s="32"/>
      <c r="F150" s="32" t="str">
        <f>_xlfn.XLOOKUP(H150,Models!B:B,Models!F:F,"")</f>
        <v/>
      </c>
      <c r="G150" s="32">
        <f>_xlfn.XLOOKUP(B150,Input!J:J,Input!E:E)</f>
        <v>0</v>
      </c>
      <c r="H150" s="32">
        <f>IF(G150="LENOVO",_xlfn.XLOOKUP(B150,Input!J:J,Input!K:K),_xlfn.XLOOKUP(B150,Input!J:J,Input!L:L))</f>
        <v>0</v>
      </c>
      <c r="I150" s="32"/>
      <c r="J150" s="32"/>
      <c r="K150" s="32">
        <f>_xlfn.XLOOKUP(B150,CPU_Formula!A:A,CPU_Formula!I:I)</f>
        <v>0</v>
      </c>
      <c r="L150" s="53" t="e">
        <f>INDEX(Input!$D$2:$AC$500,
       MATCH(B150, Input!$J$2:$J$500, 0),
       MATCH("Memory Capacity", Input!$D$1:$AC$1, 0))</f>
        <v>#N/A</v>
      </c>
      <c r="M150" s="53" t="e">
        <f>INDEX(Input!$D$2:$AC$500,
       MATCH(B150, Input!$J$2:$J$500, 0),
       MATCH("Memory Type", Input!$D$1:$AC$1, 0))</f>
        <v>#N/A</v>
      </c>
      <c r="N150" s="53" t="e">
        <f t="shared" si="8"/>
        <v>#N/A</v>
      </c>
      <c r="O150" s="53" t="str" cm="1">
        <f t="array" ref="O150">IFERROR(_xlfn.FILTERXML("&lt;t&gt;&lt;s&gt;" &amp; SUBSTITUTE(M150," / ","&lt;/s&gt;&lt;s&gt;") &amp; "&lt;/s&gt;&lt;/t&gt;","(//s[contains(.,'DDR')])[1]"),"")</f>
        <v/>
      </c>
      <c r="P150" s="32" t="e">
        <f t="shared" si="7"/>
        <v>#N/A</v>
      </c>
      <c r="Q150" s="32" t="e">
        <f>INDEX(Input!$D$2:$AC$500,
       MATCH(B150, Input!$J$2:$J$500, 0),
       MATCH("Disk Capacity", Input!$D$1:$AC$1, 0))</f>
        <v>#N/A</v>
      </c>
      <c r="R150" s="32"/>
      <c r="S150" s="53" t="e">
        <f>_xlfn.LET(_xlpm.Result,INDEX(Input!$D$2:$AC$500,
       MATCH(B150, Input!$J$2:$J$500, 0),
       MATCH("Capacity", Input!$D$1:$AC$1, 0)),IF(_xlpm.Result="","",_xlpm.Result))</f>
        <v>#N/A</v>
      </c>
      <c r="T150" s="53" t="e" cm="1">
        <f t="array" ref="T150">_xlfn.TEXTSPLIT(S150," / ", ,TRUE,0,)</f>
        <v>#N/A</v>
      </c>
      <c r="U150" s="53"/>
      <c r="V150" s="53" t="str" cm="1">
        <f t="array" ref="V150">IFERROR(_xlfn.IFS(
T150="","",
--T150&lt;55,"Battery Defect",
--T150&lt;=69,"Battery D",
--T150&lt;=80,"Battery C",
--T150&gt;80,""
),"")</f>
        <v/>
      </c>
      <c r="W150" s="53" t="str" cm="1">
        <f t="array" ref="W150">IFERROR(_xlfn.IFS(
U150="","",
--U150&lt;55,"Battery Defect",
--U150&lt;=69,"Battery D",
--U150&lt;=80,"Battery C",
--U150&gt;80,""
),"")</f>
        <v/>
      </c>
      <c r="X150" s="53" t="str" cm="1">
        <f t="array" ref="X150:AE150">IFERROR(IF(_xlfn.XLOOKUP(B150,Input!J:J,Input!N:U)=0,"",
          _xlfn.XLOOKUP(B150,Input!J:J,Input!N:U)),"")</f>
        <v/>
      </c>
      <c r="Y150" s="53" t="str">
        <v/>
      </c>
      <c r="Z150" s="53" t="str">
        <v/>
      </c>
      <c r="AA150" s="53" t="str">
        <v/>
      </c>
      <c r="AB150" s="53" t="str">
        <v/>
      </c>
      <c r="AC150" s="53" t="str">
        <v/>
      </c>
      <c r="AD150" s="53" t="str">
        <v/>
      </c>
      <c r="AE150" s="53" t="str">
        <v/>
      </c>
      <c r="AF150" s="32" t="str">
        <f t="shared" si="9"/>
        <v/>
      </c>
      <c r="AG150" s="32" t="str">
        <f>_xlfn.XLOOKUP(B:B,Disk_Pivot!G:G,Disk_Pivot!I:I)</f>
        <v>Yes x2</v>
      </c>
      <c r="AH150" s="32" t="str">
        <f>_xlfn.XLOOKUP(B150,Disk_Pivot!G:G,Disk_Pivot!N:N)</f>
        <v>Pass, Fail</v>
      </c>
      <c r="AI150" s="32"/>
      <c r="AJ150" s="32"/>
      <c r="AK150" s="32"/>
      <c r="AL150" s="32"/>
      <c r="AM150" s="32"/>
      <c r="AN150" s="32"/>
    </row>
    <row r="151" spans="1:40">
      <c r="A151" s="32" t="str">
        <f>_xlfn.TEXTJOIN("",TRUE,_xlfn.XLOOKUP(B151,Input!J:J,Input!G:G,"",0,1),_xlfn.XLOOKUP(B151,Input!J:J,Input!H:H,"",0,1))</f>
        <v/>
      </c>
      <c r="B151" s="32"/>
      <c r="C151" s="53">
        <f>_xlfn.XLOOKUP(B151,Input!J:J,Input!F:F)</f>
        <v>0</v>
      </c>
      <c r="D151" s="32">
        <f>_xlfn.XLOOKUP(C151,Models!H:H,Models!G:G,C151)</f>
        <v>0</v>
      </c>
      <c r="E151" s="32"/>
      <c r="F151" s="32" t="str">
        <f>_xlfn.XLOOKUP(H151,Models!B:B,Models!F:F,"")</f>
        <v/>
      </c>
      <c r="G151" s="32">
        <f>_xlfn.XLOOKUP(B151,Input!J:J,Input!E:E)</f>
        <v>0</v>
      </c>
      <c r="H151" s="32">
        <f>IF(G151="LENOVO",_xlfn.XLOOKUP(B151,Input!J:J,Input!K:K),_xlfn.XLOOKUP(B151,Input!J:J,Input!L:L))</f>
        <v>0</v>
      </c>
      <c r="I151" s="32"/>
      <c r="J151" s="32"/>
      <c r="K151" s="32">
        <f>_xlfn.XLOOKUP(B151,CPU_Formula!A:A,CPU_Formula!I:I)</f>
        <v>0</v>
      </c>
      <c r="L151" s="53" t="e">
        <f>INDEX(Input!$D$2:$AC$500,
       MATCH(B151, Input!$J$2:$J$500, 0),
       MATCH("Memory Capacity", Input!$D$1:$AC$1, 0))</f>
        <v>#N/A</v>
      </c>
      <c r="M151" s="53" t="e">
        <f>INDEX(Input!$D$2:$AC$500,
       MATCH(B151, Input!$J$2:$J$500, 0),
       MATCH("Memory Type", Input!$D$1:$AC$1, 0))</f>
        <v>#N/A</v>
      </c>
      <c r="N151" s="53" t="e">
        <f t="shared" si="8"/>
        <v>#N/A</v>
      </c>
      <c r="O151" s="53" t="str" cm="1">
        <f t="array" ref="O151">IFERROR(_xlfn.FILTERXML("&lt;t&gt;&lt;s&gt;" &amp; SUBSTITUTE(M151," / ","&lt;/s&gt;&lt;s&gt;") &amp; "&lt;/s&gt;&lt;/t&gt;","(//s[contains(.,'DDR')])[1]"),"")</f>
        <v/>
      </c>
      <c r="P151" s="32" t="e">
        <f t="shared" si="7"/>
        <v>#N/A</v>
      </c>
      <c r="Q151" s="32" t="e">
        <f>INDEX(Input!$D$2:$AC$500,
       MATCH(B151, Input!$J$2:$J$500, 0),
       MATCH("Disk Capacity", Input!$D$1:$AC$1, 0))</f>
        <v>#N/A</v>
      </c>
      <c r="R151" s="32"/>
      <c r="S151" s="53" t="e">
        <f>_xlfn.LET(_xlpm.Result,INDEX(Input!$D$2:$AC$500,
       MATCH(B151, Input!$J$2:$J$500, 0),
       MATCH("Capacity", Input!$D$1:$AC$1, 0)),IF(_xlpm.Result="","",_xlpm.Result))</f>
        <v>#N/A</v>
      </c>
      <c r="T151" s="53" t="e" cm="1">
        <f t="array" ref="T151">_xlfn.TEXTSPLIT(S151," / ", ,TRUE,0,)</f>
        <v>#N/A</v>
      </c>
      <c r="U151" s="53"/>
      <c r="V151" s="53" t="str" cm="1">
        <f t="array" ref="V151">IFERROR(_xlfn.IFS(
T151="","",
--T151&lt;55,"Battery Defect",
--T151&lt;=69,"Battery D",
--T151&lt;=80,"Battery C",
--T151&gt;80,""
),"")</f>
        <v/>
      </c>
      <c r="W151" s="53" t="str" cm="1">
        <f t="array" ref="W151">IFERROR(_xlfn.IFS(
U151="","",
--U151&lt;55,"Battery Defect",
--U151&lt;=69,"Battery D",
--U151&lt;=80,"Battery C",
--U151&gt;80,""
),"")</f>
        <v/>
      </c>
      <c r="X151" s="53" t="str" cm="1">
        <f t="array" ref="X151:AE151">IFERROR(IF(_xlfn.XLOOKUP(B151,Input!J:J,Input!N:U)=0,"",
          _xlfn.XLOOKUP(B151,Input!J:J,Input!N:U)),"")</f>
        <v/>
      </c>
      <c r="Y151" s="53" t="str">
        <v/>
      </c>
      <c r="Z151" s="53" t="str">
        <v/>
      </c>
      <c r="AA151" s="53" t="str">
        <v/>
      </c>
      <c r="AB151" s="53" t="str">
        <v/>
      </c>
      <c r="AC151" s="53" t="str">
        <v/>
      </c>
      <c r="AD151" s="53" t="str">
        <v/>
      </c>
      <c r="AE151" s="53" t="str">
        <v/>
      </c>
      <c r="AF151" s="32" t="str">
        <f t="shared" si="9"/>
        <v/>
      </c>
      <c r="AG151" s="32" t="str">
        <f>_xlfn.XLOOKUP(B:B,Disk_Pivot!G:G,Disk_Pivot!I:I)</f>
        <v>Yes x2</v>
      </c>
      <c r="AH151" s="32" t="str">
        <f>_xlfn.XLOOKUP(B151,Disk_Pivot!G:G,Disk_Pivot!N:N)</f>
        <v>Pass, Fail</v>
      </c>
      <c r="AI151" s="32"/>
      <c r="AJ151" s="32"/>
      <c r="AK151" s="32"/>
      <c r="AL151" s="32"/>
      <c r="AM151" s="32"/>
      <c r="AN151" s="32"/>
    </row>
    <row r="152" spans="1:40">
      <c r="A152" s="32" t="str">
        <f>_xlfn.TEXTJOIN("",TRUE,_xlfn.XLOOKUP(B152,Input!J:J,Input!G:G,"",0,1),_xlfn.XLOOKUP(B152,Input!J:J,Input!H:H,"",0,1))</f>
        <v/>
      </c>
      <c r="B152" s="32"/>
      <c r="C152" s="53">
        <f>_xlfn.XLOOKUP(B152,Input!J:J,Input!F:F)</f>
        <v>0</v>
      </c>
      <c r="D152" s="32">
        <f>_xlfn.XLOOKUP(C152,Models!H:H,Models!G:G,C152)</f>
        <v>0</v>
      </c>
      <c r="E152" s="32"/>
      <c r="F152" s="32" t="str">
        <f>_xlfn.XLOOKUP(H152,Models!B:B,Models!F:F,"")</f>
        <v/>
      </c>
      <c r="G152" s="32">
        <f>_xlfn.XLOOKUP(B152,Input!J:J,Input!E:E)</f>
        <v>0</v>
      </c>
      <c r="H152" s="32">
        <f>IF(G152="LENOVO",_xlfn.XLOOKUP(B152,Input!J:J,Input!K:K),_xlfn.XLOOKUP(B152,Input!J:J,Input!L:L))</f>
        <v>0</v>
      </c>
      <c r="I152" s="32"/>
      <c r="J152" s="32"/>
      <c r="K152" s="32">
        <f>_xlfn.XLOOKUP(B152,CPU_Formula!A:A,CPU_Formula!I:I)</f>
        <v>0</v>
      </c>
      <c r="L152" s="53" t="e">
        <f>INDEX(Input!$D$2:$AC$500,
       MATCH(B152, Input!$J$2:$J$500, 0),
       MATCH("Memory Capacity", Input!$D$1:$AC$1, 0))</f>
        <v>#N/A</v>
      </c>
      <c r="M152" s="53" t="e">
        <f>INDEX(Input!$D$2:$AC$500,
       MATCH(B152, Input!$J$2:$J$500, 0),
       MATCH("Memory Type", Input!$D$1:$AC$1, 0))</f>
        <v>#N/A</v>
      </c>
      <c r="N152" s="53" t="e">
        <f t="shared" si="8"/>
        <v>#N/A</v>
      </c>
      <c r="O152" s="53" t="str" cm="1">
        <f t="array" ref="O152">IFERROR(_xlfn.FILTERXML("&lt;t&gt;&lt;s&gt;" &amp; SUBSTITUTE(M152," / ","&lt;/s&gt;&lt;s&gt;") &amp; "&lt;/s&gt;&lt;/t&gt;","(//s[contains(.,'DDR')])[1]"),"")</f>
        <v/>
      </c>
      <c r="P152" s="32" t="e">
        <f t="shared" si="7"/>
        <v>#N/A</v>
      </c>
      <c r="Q152" s="32" t="e">
        <f>INDEX(Input!$D$2:$AC$500,
       MATCH(B152, Input!$J$2:$J$500, 0),
       MATCH("Disk Capacity", Input!$D$1:$AC$1, 0))</f>
        <v>#N/A</v>
      </c>
      <c r="R152" s="32"/>
      <c r="S152" s="53" t="e">
        <f>_xlfn.LET(_xlpm.Result,INDEX(Input!$D$2:$AC$500,
       MATCH(B152, Input!$J$2:$J$500, 0),
       MATCH("Capacity", Input!$D$1:$AC$1, 0)),IF(_xlpm.Result="","",_xlpm.Result))</f>
        <v>#N/A</v>
      </c>
      <c r="T152" s="53" t="e" cm="1">
        <f t="array" ref="T152">_xlfn.TEXTSPLIT(S152," / ", ,TRUE,0,)</f>
        <v>#N/A</v>
      </c>
      <c r="U152" s="53"/>
      <c r="V152" s="53" t="str" cm="1">
        <f t="array" ref="V152">IFERROR(_xlfn.IFS(
T152="","",
--T152&lt;55,"Battery Defect",
--T152&lt;=69,"Battery D",
--T152&lt;=80,"Battery C",
--T152&gt;80,""
),"")</f>
        <v/>
      </c>
      <c r="W152" s="53" t="str" cm="1">
        <f t="array" ref="W152">IFERROR(_xlfn.IFS(
U152="","",
--U152&lt;55,"Battery Defect",
--U152&lt;=69,"Battery D",
--U152&lt;=80,"Battery C",
--U152&gt;80,""
),"")</f>
        <v/>
      </c>
      <c r="X152" s="53" t="str" cm="1">
        <f t="array" ref="X152:AE152">IFERROR(IF(_xlfn.XLOOKUP(B152,Input!J:J,Input!N:U)=0,"",
          _xlfn.XLOOKUP(B152,Input!J:J,Input!N:U)),"")</f>
        <v/>
      </c>
      <c r="Y152" s="53" t="str">
        <v/>
      </c>
      <c r="Z152" s="53" t="str">
        <v/>
      </c>
      <c r="AA152" s="53" t="str">
        <v/>
      </c>
      <c r="AB152" s="53" t="str">
        <v/>
      </c>
      <c r="AC152" s="53" t="str">
        <v/>
      </c>
      <c r="AD152" s="53" t="str">
        <v/>
      </c>
      <c r="AE152" s="53" t="str">
        <v/>
      </c>
      <c r="AF152" s="32" t="str">
        <f t="shared" si="9"/>
        <v/>
      </c>
      <c r="AG152" s="32" t="str">
        <f>_xlfn.XLOOKUP(B:B,Disk_Pivot!G:G,Disk_Pivot!I:I)</f>
        <v>Yes x2</v>
      </c>
      <c r="AH152" s="32" t="str">
        <f>_xlfn.XLOOKUP(B152,Disk_Pivot!G:G,Disk_Pivot!N:N)</f>
        <v>Pass, Fail</v>
      </c>
      <c r="AI152" s="32"/>
      <c r="AJ152" s="32"/>
      <c r="AK152" s="32"/>
      <c r="AL152" s="32"/>
      <c r="AM152" s="32"/>
      <c r="AN152" s="32"/>
    </row>
    <row r="153" spans="1:40">
      <c r="A153" s="32" t="str">
        <f>_xlfn.TEXTJOIN("",TRUE,_xlfn.XLOOKUP(B153,Input!J:J,Input!G:G,"",0,1),_xlfn.XLOOKUP(B153,Input!J:J,Input!H:H,"",0,1))</f>
        <v/>
      </c>
      <c r="B153" s="32"/>
      <c r="C153" s="53">
        <f>_xlfn.XLOOKUP(B153,Input!J:J,Input!F:F)</f>
        <v>0</v>
      </c>
      <c r="D153" s="32">
        <f>_xlfn.XLOOKUP(C153,Models!H:H,Models!G:G,C153)</f>
        <v>0</v>
      </c>
      <c r="E153" s="32"/>
      <c r="F153" s="32" t="str">
        <f>_xlfn.XLOOKUP(H153,Models!B:B,Models!F:F,"")</f>
        <v/>
      </c>
      <c r="G153" s="32">
        <f>_xlfn.XLOOKUP(B153,Input!J:J,Input!E:E)</f>
        <v>0</v>
      </c>
      <c r="H153" s="32">
        <f>IF(G153="LENOVO",_xlfn.XLOOKUP(B153,Input!J:J,Input!K:K),_xlfn.XLOOKUP(B153,Input!J:J,Input!L:L))</f>
        <v>0</v>
      </c>
      <c r="I153" s="32"/>
      <c r="J153" s="32"/>
      <c r="K153" s="32">
        <f>_xlfn.XLOOKUP(B153,CPU_Formula!A:A,CPU_Formula!I:I)</f>
        <v>0</v>
      </c>
      <c r="L153" s="53" t="e">
        <f>INDEX(Input!$D$2:$AC$500,
       MATCH(B153, Input!$J$2:$J$500, 0),
       MATCH("Memory Capacity", Input!$D$1:$AC$1, 0))</f>
        <v>#N/A</v>
      </c>
      <c r="M153" s="53" t="e">
        <f>INDEX(Input!$D$2:$AC$500,
       MATCH(B153, Input!$J$2:$J$500, 0),
       MATCH("Memory Type", Input!$D$1:$AC$1, 0))</f>
        <v>#N/A</v>
      </c>
      <c r="N153" s="53" t="e">
        <f t="shared" si="8"/>
        <v>#N/A</v>
      </c>
      <c r="O153" s="53" t="str" cm="1">
        <f t="array" ref="O153">IFERROR(_xlfn.FILTERXML("&lt;t&gt;&lt;s&gt;" &amp; SUBSTITUTE(M153," / ","&lt;/s&gt;&lt;s&gt;") &amp; "&lt;/s&gt;&lt;/t&gt;","(//s[contains(.,'DDR')])[1]"),"")</f>
        <v/>
      </c>
      <c r="P153" s="32" t="e">
        <f t="shared" ref="P153:P216" si="10">_xlfn.TEXTJOIN(" ",TRUE,N153,"GB",O153)</f>
        <v>#N/A</v>
      </c>
      <c r="Q153" s="32" t="e">
        <f>INDEX(Input!$D$2:$AC$500,
       MATCH(B153, Input!$J$2:$J$500, 0),
       MATCH("Disk Capacity", Input!$D$1:$AC$1, 0))</f>
        <v>#N/A</v>
      </c>
      <c r="R153" s="32"/>
      <c r="S153" s="53" t="e">
        <f>_xlfn.LET(_xlpm.Result,INDEX(Input!$D$2:$AC$500,
       MATCH(B153, Input!$J$2:$J$500, 0),
       MATCH("Capacity", Input!$D$1:$AC$1, 0)),IF(_xlpm.Result="","",_xlpm.Result))</f>
        <v>#N/A</v>
      </c>
      <c r="T153" s="53" t="e" cm="1">
        <f t="array" ref="T153">_xlfn.TEXTSPLIT(S153," / ", ,TRUE,0,)</f>
        <v>#N/A</v>
      </c>
      <c r="U153" s="53"/>
      <c r="V153" s="53" t="str" cm="1">
        <f t="array" ref="V153">IFERROR(_xlfn.IFS(
T153="","",
--T153&lt;55,"Battery Defect",
--T153&lt;=69,"Battery D",
--T153&lt;=80,"Battery C",
--T153&gt;80,""
),"")</f>
        <v/>
      </c>
      <c r="W153" s="53" t="str" cm="1">
        <f t="array" ref="W153">IFERROR(_xlfn.IFS(
U153="","",
--U153&lt;55,"Battery Defect",
--U153&lt;=69,"Battery D",
--U153&lt;=80,"Battery C",
--U153&gt;80,""
),"")</f>
        <v/>
      </c>
      <c r="X153" s="53" t="str" cm="1">
        <f t="array" ref="X153:AE153">IFERROR(IF(_xlfn.XLOOKUP(B153,Input!J:J,Input!N:U)=0,"",
          _xlfn.XLOOKUP(B153,Input!J:J,Input!N:U)),"")</f>
        <v/>
      </c>
      <c r="Y153" s="53" t="str">
        <v/>
      </c>
      <c r="Z153" s="53" t="str">
        <v/>
      </c>
      <c r="AA153" s="53" t="str">
        <v/>
      </c>
      <c r="AB153" s="53" t="str">
        <v/>
      </c>
      <c r="AC153" s="53" t="str">
        <v/>
      </c>
      <c r="AD153" s="53" t="str">
        <v/>
      </c>
      <c r="AE153" s="53" t="str">
        <v/>
      </c>
      <c r="AF153" s="32" t="str">
        <f t="shared" si="9"/>
        <v/>
      </c>
      <c r="AG153" s="32" t="str">
        <f>_xlfn.XLOOKUP(B:B,Disk_Pivot!G:G,Disk_Pivot!I:I)</f>
        <v>Yes x2</v>
      </c>
      <c r="AH153" s="32" t="str">
        <f>_xlfn.XLOOKUP(B153,Disk_Pivot!G:G,Disk_Pivot!N:N)</f>
        <v>Pass, Fail</v>
      </c>
      <c r="AI153" s="32"/>
      <c r="AJ153" s="32"/>
      <c r="AK153" s="32"/>
      <c r="AL153" s="32"/>
      <c r="AM153" s="32"/>
      <c r="AN153" s="32"/>
    </row>
    <row r="154" spans="1:40">
      <c r="A154" s="32" t="str">
        <f>_xlfn.TEXTJOIN("",TRUE,_xlfn.XLOOKUP(B154,Input!J:J,Input!G:G,"",0,1),_xlfn.XLOOKUP(B154,Input!J:J,Input!H:H,"",0,1))</f>
        <v/>
      </c>
      <c r="B154" s="32"/>
      <c r="C154" s="53">
        <f>_xlfn.XLOOKUP(B154,Input!J:J,Input!F:F)</f>
        <v>0</v>
      </c>
      <c r="D154" s="32">
        <f>_xlfn.XLOOKUP(C154,Models!H:H,Models!G:G,C154)</f>
        <v>0</v>
      </c>
      <c r="E154" s="32"/>
      <c r="F154" s="32" t="str">
        <f>_xlfn.XLOOKUP(H154,Models!B:B,Models!F:F,"")</f>
        <v/>
      </c>
      <c r="G154" s="32">
        <f>_xlfn.XLOOKUP(B154,Input!J:J,Input!E:E)</f>
        <v>0</v>
      </c>
      <c r="H154" s="32">
        <f>IF(G154="LENOVO",_xlfn.XLOOKUP(B154,Input!J:J,Input!K:K),_xlfn.XLOOKUP(B154,Input!J:J,Input!L:L))</f>
        <v>0</v>
      </c>
      <c r="I154" s="32"/>
      <c r="J154" s="32"/>
      <c r="K154" s="32">
        <f>_xlfn.XLOOKUP(B154,CPU_Formula!A:A,CPU_Formula!I:I)</f>
        <v>0</v>
      </c>
      <c r="L154" s="53" t="e">
        <f>INDEX(Input!$D$2:$AC$500,
       MATCH(B154, Input!$J$2:$J$500, 0),
       MATCH("Memory Capacity", Input!$D$1:$AC$1, 0))</f>
        <v>#N/A</v>
      </c>
      <c r="M154" s="53" t="e">
        <f>INDEX(Input!$D$2:$AC$500,
       MATCH(B154, Input!$J$2:$J$500, 0),
       MATCH("Memory Type", Input!$D$1:$AC$1, 0))</f>
        <v>#N/A</v>
      </c>
      <c r="N154" s="53" t="e">
        <f t="shared" si="8"/>
        <v>#N/A</v>
      </c>
      <c r="O154" s="53" t="str" cm="1">
        <f t="array" ref="O154">IFERROR(_xlfn.FILTERXML("&lt;t&gt;&lt;s&gt;" &amp; SUBSTITUTE(M154," / ","&lt;/s&gt;&lt;s&gt;") &amp; "&lt;/s&gt;&lt;/t&gt;","(//s[contains(.,'DDR')])[1]"),"")</f>
        <v/>
      </c>
      <c r="P154" s="32" t="e">
        <f t="shared" si="10"/>
        <v>#N/A</v>
      </c>
      <c r="Q154" s="32" t="e">
        <f>INDEX(Input!$D$2:$AC$500,
       MATCH(B154, Input!$J$2:$J$500, 0),
       MATCH("Disk Capacity", Input!$D$1:$AC$1, 0))</f>
        <v>#N/A</v>
      </c>
      <c r="R154" s="32"/>
      <c r="S154" s="53" t="e">
        <f>_xlfn.LET(_xlpm.Result,INDEX(Input!$D$2:$AC$500,
       MATCH(B154, Input!$J$2:$J$500, 0),
       MATCH("Capacity", Input!$D$1:$AC$1, 0)),IF(_xlpm.Result="","",_xlpm.Result))</f>
        <v>#N/A</v>
      </c>
      <c r="T154" s="53" t="e" cm="1">
        <f t="array" ref="T154">_xlfn.TEXTSPLIT(S154," / ", ,TRUE,0,)</f>
        <v>#N/A</v>
      </c>
      <c r="U154" s="53"/>
      <c r="V154" s="53" t="str" cm="1">
        <f t="array" ref="V154">IFERROR(_xlfn.IFS(
T154="","",
--T154&lt;55,"Battery Defect",
--T154&lt;=69,"Battery D",
--T154&lt;=80,"Battery C",
--T154&gt;80,""
),"")</f>
        <v/>
      </c>
      <c r="W154" s="53" t="str" cm="1">
        <f t="array" ref="W154">IFERROR(_xlfn.IFS(
U154="","",
--U154&lt;55,"Battery Defect",
--U154&lt;=69,"Battery D",
--U154&lt;=80,"Battery C",
--U154&gt;80,""
),"")</f>
        <v/>
      </c>
      <c r="X154" s="53" t="str" cm="1">
        <f t="array" ref="X154:AE154">IFERROR(IF(_xlfn.XLOOKUP(B154,Input!J:J,Input!N:U)=0,"",
          _xlfn.XLOOKUP(B154,Input!J:J,Input!N:U)),"")</f>
        <v/>
      </c>
      <c r="Y154" s="53" t="str">
        <v/>
      </c>
      <c r="Z154" s="53" t="str">
        <v/>
      </c>
      <c r="AA154" s="53" t="str">
        <v/>
      </c>
      <c r="AB154" s="53" t="str">
        <v/>
      </c>
      <c r="AC154" s="53" t="str">
        <v/>
      </c>
      <c r="AD154" s="53" t="str">
        <v/>
      </c>
      <c r="AE154" s="53" t="str">
        <v/>
      </c>
      <c r="AF154" s="32" t="str">
        <f t="shared" si="9"/>
        <v/>
      </c>
      <c r="AG154" s="32" t="str">
        <f>_xlfn.XLOOKUP(B:B,Disk_Pivot!G:G,Disk_Pivot!I:I)</f>
        <v>Yes x2</v>
      </c>
      <c r="AH154" s="32" t="str">
        <f>_xlfn.XLOOKUP(B154,Disk_Pivot!G:G,Disk_Pivot!N:N)</f>
        <v>Pass, Fail</v>
      </c>
      <c r="AI154" s="32"/>
      <c r="AJ154" s="32"/>
      <c r="AK154" s="32"/>
      <c r="AL154" s="32"/>
      <c r="AM154" s="32"/>
      <c r="AN154" s="32"/>
    </row>
    <row r="155" spans="1:40">
      <c r="A155" s="32" t="str">
        <f>_xlfn.TEXTJOIN("",TRUE,_xlfn.XLOOKUP(B155,Input!J:J,Input!G:G,"",0,1),_xlfn.XLOOKUP(B155,Input!J:J,Input!H:H,"",0,1))</f>
        <v/>
      </c>
      <c r="B155" s="32"/>
      <c r="C155" s="53">
        <f>_xlfn.XLOOKUP(B155,Input!J:J,Input!F:F)</f>
        <v>0</v>
      </c>
      <c r="D155" s="32">
        <f>_xlfn.XLOOKUP(C155,Models!H:H,Models!G:G,C155)</f>
        <v>0</v>
      </c>
      <c r="E155" s="32"/>
      <c r="F155" s="32" t="str">
        <f>_xlfn.XLOOKUP(H155,Models!B:B,Models!F:F,"")</f>
        <v/>
      </c>
      <c r="G155" s="32">
        <f>_xlfn.XLOOKUP(B155,Input!J:J,Input!E:E)</f>
        <v>0</v>
      </c>
      <c r="H155" s="32">
        <f>IF(G155="LENOVO",_xlfn.XLOOKUP(B155,Input!J:J,Input!K:K),_xlfn.XLOOKUP(B155,Input!J:J,Input!L:L))</f>
        <v>0</v>
      </c>
      <c r="I155" s="32"/>
      <c r="J155" s="32"/>
      <c r="K155" s="32">
        <f>_xlfn.XLOOKUP(B155,CPU_Formula!A:A,CPU_Formula!I:I)</f>
        <v>0</v>
      </c>
      <c r="L155" s="53" t="e">
        <f>INDEX(Input!$D$2:$AC$500,
       MATCH(B155, Input!$J$2:$J$500, 0),
       MATCH("Memory Capacity", Input!$D$1:$AC$1, 0))</f>
        <v>#N/A</v>
      </c>
      <c r="M155" s="53" t="e">
        <f>INDEX(Input!$D$2:$AC$500,
       MATCH(B155, Input!$J$2:$J$500, 0),
       MATCH("Memory Type", Input!$D$1:$AC$1, 0))</f>
        <v>#N/A</v>
      </c>
      <c r="N155" s="53" t="e">
        <f t="shared" si="8"/>
        <v>#N/A</v>
      </c>
      <c r="O155" s="53" t="str" cm="1">
        <f t="array" ref="O155">IFERROR(_xlfn.FILTERXML("&lt;t&gt;&lt;s&gt;" &amp; SUBSTITUTE(M155," / ","&lt;/s&gt;&lt;s&gt;") &amp; "&lt;/s&gt;&lt;/t&gt;","(//s[contains(.,'DDR')])[1]"),"")</f>
        <v/>
      </c>
      <c r="P155" s="32" t="e">
        <f t="shared" si="10"/>
        <v>#N/A</v>
      </c>
      <c r="Q155" s="32" t="e">
        <f>INDEX(Input!$D$2:$AC$500,
       MATCH(B155, Input!$J$2:$J$500, 0),
       MATCH("Disk Capacity", Input!$D$1:$AC$1, 0))</f>
        <v>#N/A</v>
      </c>
      <c r="R155" s="32"/>
      <c r="S155" s="53" t="e">
        <f>_xlfn.LET(_xlpm.Result,INDEX(Input!$D$2:$AC$500,
       MATCH(B155, Input!$J$2:$J$500, 0),
       MATCH("Capacity", Input!$D$1:$AC$1, 0)),IF(_xlpm.Result="","",_xlpm.Result))</f>
        <v>#N/A</v>
      </c>
      <c r="T155" s="53" t="e" cm="1">
        <f t="array" ref="T155">_xlfn.TEXTSPLIT(S155," / ", ,TRUE,0,)</f>
        <v>#N/A</v>
      </c>
      <c r="U155" s="53"/>
      <c r="V155" s="53" t="str" cm="1">
        <f t="array" ref="V155">IFERROR(_xlfn.IFS(
T155="","",
--T155&lt;55,"Battery Defect",
--T155&lt;=69,"Battery D",
--T155&lt;=80,"Battery C",
--T155&gt;80,""
),"")</f>
        <v/>
      </c>
      <c r="W155" s="53" t="str" cm="1">
        <f t="array" ref="W155">IFERROR(_xlfn.IFS(
U155="","",
--U155&lt;55,"Battery Defect",
--U155&lt;=69,"Battery D",
--U155&lt;=80,"Battery C",
--U155&gt;80,""
),"")</f>
        <v/>
      </c>
      <c r="X155" s="53" t="str" cm="1">
        <f t="array" ref="X155:AE155">IFERROR(IF(_xlfn.XLOOKUP(B155,Input!J:J,Input!N:U)=0,"",
          _xlfn.XLOOKUP(B155,Input!J:J,Input!N:U)),"")</f>
        <v/>
      </c>
      <c r="Y155" s="53" t="str">
        <v/>
      </c>
      <c r="Z155" s="53" t="str">
        <v/>
      </c>
      <c r="AA155" s="53" t="str">
        <v/>
      </c>
      <c r="AB155" s="53" t="str">
        <v/>
      </c>
      <c r="AC155" s="53" t="str">
        <v/>
      </c>
      <c r="AD155" s="53" t="str">
        <v/>
      </c>
      <c r="AE155" s="53" t="str">
        <v/>
      </c>
      <c r="AF155" s="32" t="str">
        <f t="shared" si="9"/>
        <v/>
      </c>
      <c r="AG155" s="32" t="str">
        <f>_xlfn.XLOOKUP(B:B,Disk_Pivot!G:G,Disk_Pivot!I:I)</f>
        <v>Yes x2</v>
      </c>
      <c r="AH155" s="32" t="str">
        <f>_xlfn.XLOOKUP(B155,Disk_Pivot!G:G,Disk_Pivot!N:N)</f>
        <v>Pass, Fail</v>
      </c>
      <c r="AI155" s="32"/>
      <c r="AJ155" s="32"/>
      <c r="AK155" s="32"/>
      <c r="AL155" s="32"/>
      <c r="AM155" s="32"/>
      <c r="AN155" s="32"/>
    </row>
    <row r="156" spans="1:40">
      <c r="A156" s="32" t="str">
        <f>_xlfn.TEXTJOIN("",TRUE,_xlfn.XLOOKUP(B156,Input!J:J,Input!G:G,"",0,1),_xlfn.XLOOKUP(B156,Input!J:J,Input!H:H,"",0,1))</f>
        <v/>
      </c>
      <c r="B156" s="32"/>
      <c r="C156" s="53">
        <f>_xlfn.XLOOKUP(B156,Input!J:J,Input!F:F)</f>
        <v>0</v>
      </c>
      <c r="D156" s="32">
        <f>_xlfn.XLOOKUP(C156,Models!H:H,Models!G:G,C156)</f>
        <v>0</v>
      </c>
      <c r="E156" s="32"/>
      <c r="F156" s="32" t="str">
        <f>_xlfn.XLOOKUP(H156,Models!B:B,Models!F:F,"")</f>
        <v/>
      </c>
      <c r="G156" s="32">
        <f>_xlfn.XLOOKUP(B156,Input!J:J,Input!E:E)</f>
        <v>0</v>
      </c>
      <c r="H156" s="32">
        <f>IF(G156="LENOVO",_xlfn.XLOOKUP(B156,Input!J:J,Input!K:K),_xlfn.XLOOKUP(B156,Input!J:J,Input!L:L))</f>
        <v>0</v>
      </c>
      <c r="I156" s="32"/>
      <c r="J156" s="32"/>
      <c r="K156" s="32">
        <f>_xlfn.XLOOKUP(B156,CPU_Formula!A:A,CPU_Formula!I:I)</f>
        <v>0</v>
      </c>
      <c r="L156" s="53" t="e">
        <f>INDEX(Input!$D$2:$AC$500,
       MATCH(B156, Input!$J$2:$J$500, 0),
       MATCH("Memory Capacity", Input!$D$1:$AC$1, 0))</f>
        <v>#N/A</v>
      </c>
      <c r="M156" s="53" t="e">
        <f>INDEX(Input!$D$2:$AC$500,
       MATCH(B156, Input!$J$2:$J$500, 0),
       MATCH("Memory Type", Input!$D$1:$AC$1, 0))</f>
        <v>#N/A</v>
      </c>
      <c r="N156" s="53" t="e">
        <f t="shared" si="8"/>
        <v>#N/A</v>
      </c>
      <c r="O156" s="53" t="str" cm="1">
        <f t="array" ref="O156">IFERROR(_xlfn.FILTERXML("&lt;t&gt;&lt;s&gt;" &amp; SUBSTITUTE(M156," / ","&lt;/s&gt;&lt;s&gt;") &amp; "&lt;/s&gt;&lt;/t&gt;","(//s[contains(.,'DDR')])[1]"),"")</f>
        <v/>
      </c>
      <c r="P156" s="32" t="e">
        <f t="shared" si="10"/>
        <v>#N/A</v>
      </c>
      <c r="Q156" s="32" t="e">
        <f>INDEX(Input!$D$2:$AC$500,
       MATCH(B156, Input!$J$2:$J$500, 0),
       MATCH("Disk Capacity", Input!$D$1:$AC$1, 0))</f>
        <v>#N/A</v>
      </c>
      <c r="R156" s="32"/>
      <c r="S156" s="53" t="e">
        <f>_xlfn.LET(_xlpm.Result,INDEX(Input!$D$2:$AC$500,
       MATCH(B156, Input!$J$2:$J$500, 0),
       MATCH("Capacity", Input!$D$1:$AC$1, 0)),IF(_xlpm.Result="","",_xlpm.Result))</f>
        <v>#N/A</v>
      </c>
      <c r="T156" s="53" t="e" cm="1">
        <f t="array" ref="T156">_xlfn.TEXTSPLIT(S156," / ", ,TRUE,0,)</f>
        <v>#N/A</v>
      </c>
      <c r="U156" s="53"/>
      <c r="V156" s="53" t="str" cm="1">
        <f t="array" ref="V156">IFERROR(_xlfn.IFS(
T156="","",
--T156&lt;55,"Battery Defect",
--T156&lt;=69,"Battery D",
--T156&lt;=80,"Battery C",
--T156&gt;80,""
),"")</f>
        <v/>
      </c>
      <c r="W156" s="53" t="str" cm="1">
        <f t="array" ref="W156">IFERROR(_xlfn.IFS(
U156="","",
--U156&lt;55,"Battery Defect",
--U156&lt;=69,"Battery D",
--U156&lt;=80,"Battery C",
--U156&gt;80,""
),"")</f>
        <v/>
      </c>
      <c r="X156" s="53" t="str" cm="1">
        <f t="array" ref="X156:AE156">IFERROR(IF(_xlfn.XLOOKUP(B156,Input!J:J,Input!N:U)=0,"",
          _xlfn.XLOOKUP(B156,Input!J:J,Input!N:U)),"")</f>
        <v/>
      </c>
      <c r="Y156" s="53" t="str">
        <v/>
      </c>
      <c r="Z156" s="53" t="str">
        <v/>
      </c>
      <c r="AA156" s="53" t="str">
        <v/>
      </c>
      <c r="AB156" s="53" t="str">
        <v/>
      </c>
      <c r="AC156" s="53" t="str">
        <v/>
      </c>
      <c r="AD156" s="53" t="str">
        <v/>
      </c>
      <c r="AE156" s="53" t="str">
        <v/>
      </c>
      <c r="AF156" s="32" t="str">
        <f t="shared" si="9"/>
        <v/>
      </c>
      <c r="AG156" s="32" t="str">
        <f>_xlfn.XLOOKUP(B:B,Disk_Pivot!G:G,Disk_Pivot!I:I)</f>
        <v>Yes x2</v>
      </c>
      <c r="AH156" s="32" t="str">
        <f>_xlfn.XLOOKUP(B156,Disk_Pivot!G:G,Disk_Pivot!N:N)</f>
        <v>Pass, Fail</v>
      </c>
      <c r="AI156" s="32"/>
      <c r="AJ156" s="32"/>
      <c r="AK156" s="32"/>
      <c r="AL156" s="32"/>
      <c r="AM156" s="32"/>
      <c r="AN156" s="32"/>
    </row>
    <row r="157" spans="1:40">
      <c r="A157" s="32" t="str">
        <f>_xlfn.TEXTJOIN("",TRUE,_xlfn.XLOOKUP(B157,Input!J:J,Input!G:G,"",0,1),_xlfn.XLOOKUP(B157,Input!J:J,Input!H:H,"",0,1))</f>
        <v/>
      </c>
      <c r="B157" s="32"/>
      <c r="C157" s="53">
        <f>_xlfn.XLOOKUP(B157,Input!J:J,Input!F:F)</f>
        <v>0</v>
      </c>
      <c r="D157" s="32">
        <f>_xlfn.XLOOKUP(C157,Models!H:H,Models!G:G,C157)</f>
        <v>0</v>
      </c>
      <c r="E157" s="32"/>
      <c r="F157" s="32" t="str">
        <f>_xlfn.XLOOKUP(H157,Models!B:B,Models!F:F,"")</f>
        <v/>
      </c>
      <c r="G157" s="32">
        <f>_xlfn.XLOOKUP(B157,Input!J:J,Input!E:E)</f>
        <v>0</v>
      </c>
      <c r="H157" s="32">
        <f>IF(G157="LENOVO",_xlfn.XLOOKUP(B157,Input!J:J,Input!K:K),_xlfn.XLOOKUP(B157,Input!J:J,Input!L:L))</f>
        <v>0</v>
      </c>
      <c r="I157" s="32"/>
      <c r="J157" s="32"/>
      <c r="K157" s="32">
        <f>_xlfn.XLOOKUP(B157,CPU_Formula!A:A,CPU_Formula!I:I)</f>
        <v>0</v>
      </c>
      <c r="L157" s="53" t="e">
        <f>INDEX(Input!$D$2:$AC$500,
       MATCH(B157, Input!$J$2:$J$500, 0),
       MATCH("Memory Capacity", Input!$D$1:$AC$1, 0))</f>
        <v>#N/A</v>
      </c>
      <c r="M157" s="53" t="e">
        <f>INDEX(Input!$D$2:$AC$500,
       MATCH(B157, Input!$J$2:$J$500, 0),
       MATCH("Memory Type", Input!$D$1:$AC$1, 0))</f>
        <v>#N/A</v>
      </c>
      <c r="N157" s="53" t="e">
        <f t="shared" si="8"/>
        <v>#N/A</v>
      </c>
      <c r="O157" s="53" t="str" cm="1">
        <f t="array" ref="O157">IFERROR(_xlfn.FILTERXML("&lt;t&gt;&lt;s&gt;" &amp; SUBSTITUTE(M157," / ","&lt;/s&gt;&lt;s&gt;") &amp; "&lt;/s&gt;&lt;/t&gt;","(//s[contains(.,'DDR')])[1]"),"")</f>
        <v/>
      </c>
      <c r="P157" s="32" t="e">
        <f t="shared" si="10"/>
        <v>#N/A</v>
      </c>
      <c r="Q157" s="32" t="e">
        <f>INDEX(Input!$D$2:$AC$500,
       MATCH(B157, Input!$J$2:$J$500, 0),
       MATCH("Disk Capacity", Input!$D$1:$AC$1, 0))</f>
        <v>#N/A</v>
      </c>
      <c r="R157" s="32"/>
      <c r="S157" s="53" t="e">
        <f>_xlfn.LET(_xlpm.Result,INDEX(Input!$D$2:$AC$500,
       MATCH(B157, Input!$J$2:$J$500, 0),
       MATCH("Capacity", Input!$D$1:$AC$1, 0)),IF(_xlpm.Result="","",_xlpm.Result))</f>
        <v>#N/A</v>
      </c>
      <c r="T157" s="53" t="e" cm="1">
        <f t="array" ref="T157">_xlfn.TEXTSPLIT(S157," / ", ,TRUE,0,)</f>
        <v>#N/A</v>
      </c>
      <c r="U157" s="53"/>
      <c r="V157" s="53" t="str" cm="1">
        <f t="array" ref="V157">IFERROR(_xlfn.IFS(
T157="","",
--T157&lt;55,"Battery Defect",
--T157&lt;=69,"Battery D",
--T157&lt;=80,"Battery C",
--T157&gt;80,""
),"")</f>
        <v/>
      </c>
      <c r="W157" s="53" t="str" cm="1">
        <f t="array" ref="W157">IFERROR(_xlfn.IFS(
U157="","",
--U157&lt;55,"Battery Defect",
--U157&lt;=69,"Battery D",
--U157&lt;=80,"Battery C",
--U157&gt;80,""
),"")</f>
        <v/>
      </c>
      <c r="X157" s="53" t="str" cm="1">
        <f t="array" ref="X157:AE157">IFERROR(IF(_xlfn.XLOOKUP(B157,Input!J:J,Input!N:U)=0,"",
          _xlfn.XLOOKUP(B157,Input!J:J,Input!N:U)),"")</f>
        <v/>
      </c>
      <c r="Y157" s="53" t="str">
        <v/>
      </c>
      <c r="Z157" s="53" t="str">
        <v/>
      </c>
      <c r="AA157" s="53" t="str">
        <v/>
      </c>
      <c r="AB157" s="53" t="str">
        <v/>
      </c>
      <c r="AC157" s="53" t="str">
        <v/>
      </c>
      <c r="AD157" s="53" t="str">
        <v/>
      </c>
      <c r="AE157" s="53" t="str">
        <v/>
      </c>
      <c r="AF157" s="32" t="str">
        <f t="shared" si="9"/>
        <v/>
      </c>
      <c r="AG157" s="32" t="str">
        <f>_xlfn.XLOOKUP(B:B,Disk_Pivot!G:G,Disk_Pivot!I:I)</f>
        <v>Yes x2</v>
      </c>
      <c r="AH157" s="32" t="str">
        <f>_xlfn.XLOOKUP(B157,Disk_Pivot!G:G,Disk_Pivot!N:N)</f>
        <v>Pass, Fail</v>
      </c>
      <c r="AI157" s="32"/>
      <c r="AJ157" s="32"/>
      <c r="AK157" s="32"/>
      <c r="AL157" s="32"/>
      <c r="AM157" s="32"/>
      <c r="AN157" s="32"/>
    </row>
    <row r="158" spans="1:40">
      <c r="A158" s="32" t="str">
        <f>_xlfn.TEXTJOIN("",TRUE,_xlfn.XLOOKUP(B158,Input!J:J,Input!G:G,"",0,1),_xlfn.XLOOKUP(B158,Input!J:J,Input!H:H,"",0,1))</f>
        <v/>
      </c>
      <c r="B158" s="32"/>
      <c r="C158" s="53">
        <f>_xlfn.XLOOKUP(B158,Input!J:J,Input!F:F)</f>
        <v>0</v>
      </c>
      <c r="D158" s="32">
        <f>_xlfn.XLOOKUP(C158,Models!H:H,Models!G:G,C158)</f>
        <v>0</v>
      </c>
      <c r="E158" s="32"/>
      <c r="F158" s="32" t="str">
        <f>_xlfn.XLOOKUP(H158,Models!B:B,Models!F:F,"")</f>
        <v/>
      </c>
      <c r="G158" s="32">
        <f>_xlfn.XLOOKUP(B158,Input!J:J,Input!E:E)</f>
        <v>0</v>
      </c>
      <c r="H158" s="32">
        <f>IF(G158="LENOVO",_xlfn.XLOOKUP(B158,Input!J:J,Input!K:K),_xlfn.XLOOKUP(B158,Input!J:J,Input!L:L))</f>
        <v>0</v>
      </c>
      <c r="I158" s="32"/>
      <c r="J158" s="32"/>
      <c r="K158" s="32">
        <f>_xlfn.XLOOKUP(B158,CPU_Formula!A:A,CPU_Formula!I:I)</f>
        <v>0</v>
      </c>
      <c r="L158" s="53" t="e">
        <f>INDEX(Input!$D$2:$AC$500,
       MATCH(B158, Input!$J$2:$J$500, 0),
       MATCH("Memory Capacity", Input!$D$1:$AC$1, 0))</f>
        <v>#N/A</v>
      </c>
      <c r="M158" s="53" t="e">
        <f>INDEX(Input!$D$2:$AC$500,
       MATCH(B158, Input!$J$2:$J$500, 0),
       MATCH("Memory Type", Input!$D$1:$AC$1, 0))</f>
        <v>#N/A</v>
      </c>
      <c r="N158" s="53" t="e">
        <f t="shared" si="8"/>
        <v>#N/A</v>
      </c>
      <c r="O158" s="53" t="str" cm="1">
        <f t="array" ref="O158">IFERROR(_xlfn.FILTERXML("&lt;t&gt;&lt;s&gt;" &amp; SUBSTITUTE(M158," / ","&lt;/s&gt;&lt;s&gt;") &amp; "&lt;/s&gt;&lt;/t&gt;","(//s[contains(.,'DDR')])[1]"),"")</f>
        <v/>
      </c>
      <c r="P158" s="32" t="e">
        <f t="shared" si="10"/>
        <v>#N/A</v>
      </c>
      <c r="Q158" s="32" t="e">
        <f>INDEX(Input!$D$2:$AC$500,
       MATCH(B158, Input!$J$2:$J$500, 0),
       MATCH("Disk Capacity", Input!$D$1:$AC$1, 0))</f>
        <v>#N/A</v>
      </c>
      <c r="R158" s="32"/>
      <c r="S158" s="53" t="e">
        <f>_xlfn.LET(_xlpm.Result,INDEX(Input!$D$2:$AC$500,
       MATCH(B158, Input!$J$2:$J$500, 0),
       MATCH("Capacity", Input!$D$1:$AC$1, 0)),IF(_xlpm.Result="","",_xlpm.Result))</f>
        <v>#N/A</v>
      </c>
      <c r="T158" s="53" t="e" cm="1">
        <f t="array" ref="T158">_xlfn.TEXTSPLIT(S158," / ", ,TRUE,0,)</f>
        <v>#N/A</v>
      </c>
      <c r="U158" s="53"/>
      <c r="V158" s="53" t="str" cm="1">
        <f t="array" ref="V158">IFERROR(_xlfn.IFS(
T158="","",
--T158&lt;55,"Battery Defect",
--T158&lt;=69,"Battery D",
--T158&lt;=80,"Battery C",
--T158&gt;80,""
),"")</f>
        <v/>
      </c>
      <c r="W158" s="53" t="str" cm="1">
        <f t="array" ref="W158">IFERROR(_xlfn.IFS(
U158="","",
--U158&lt;55,"Battery Defect",
--U158&lt;=69,"Battery D",
--U158&lt;=80,"Battery C",
--U158&gt;80,""
),"")</f>
        <v/>
      </c>
      <c r="X158" s="53" t="str" cm="1">
        <f t="array" ref="X158:AE158">IFERROR(IF(_xlfn.XLOOKUP(B158,Input!J:J,Input!N:U)=0,"",
          _xlfn.XLOOKUP(B158,Input!J:J,Input!N:U)),"")</f>
        <v/>
      </c>
      <c r="Y158" s="53" t="str">
        <v/>
      </c>
      <c r="Z158" s="53" t="str">
        <v/>
      </c>
      <c r="AA158" s="53" t="str">
        <v/>
      </c>
      <c r="AB158" s="53" t="str">
        <v/>
      </c>
      <c r="AC158" s="53" t="str">
        <v/>
      </c>
      <c r="AD158" s="53" t="str">
        <v/>
      </c>
      <c r="AE158" s="53" t="str">
        <v/>
      </c>
      <c r="AF158" s="32" t="str">
        <f t="shared" si="9"/>
        <v/>
      </c>
      <c r="AG158" s="32" t="str">
        <f>_xlfn.XLOOKUP(B:B,Disk_Pivot!G:G,Disk_Pivot!I:I)</f>
        <v>Yes x2</v>
      </c>
      <c r="AH158" s="32" t="str">
        <f>_xlfn.XLOOKUP(B158,Disk_Pivot!G:G,Disk_Pivot!N:N)</f>
        <v>Pass, Fail</v>
      </c>
      <c r="AI158" s="32"/>
      <c r="AJ158" s="32"/>
      <c r="AK158" s="32"/>
      <c r="AL158" s="32"/>
      <c r="AM158" s="32"/>
      <c r="AN158" s="32"/>
    </row>
    <row r="159" spans="1:40">
      <c r="A159" s="32" t="str">
        <f>_xlfn.TEXTJOIN("",TRUE,_xlfn.XLOOKUP(B159,Input!J:J,Input!G:G,"",0,1),_xlfn.XLOOKUP(B159,Input!J:J,Input!H:H,"",0,1))</f>
        <v/>
      </c>
      <c r="B159" s="32"/>
      <c r="C159" s="53">
        <f>_xlfn.XLOOKUP(B159,Input!J:J,Input!F:F)</f>
        <v>0</v>
      </c>
      <c r="D159" s="32">
        <f>_xlfn.XLOOKUP(C159,Models!H:H,Models!G:G,C159)</f>
        <v>0</v>
      </c>
      <c r="E159" s="32"/>
      <c r="F159" s="32" t="str">
        <f>_xlfn.XLOOKUP(H159,Models!B:B,Models!F:F,"")</f>
        <v/>
      </c>
      <c r="G159" s="32">
        <f>_xlfn.XLOOKUP(B159,Input!J:J,Input!E:E)</f>
        <v>0</v>
      </c>
      <c r="H159" s="32">
        <f>IF(G159="LENOVO",_xlfn.XLOOKUP(B159,Input!J:J,Input!K:K),_xlfn.XLOOKUP(B159,Input!J:J,Input!L:L))</f>
        <v>0</v>
      </c>
      <c r="I159" s="32"/>
      <c r="J159" s="32"/>
      <c r="K159" s="32">
        <f>_xlfn.XLOOKUP(B159,CPU_Formula!A:A,CPU_Formula!I:I)</f>
        <v>0</v>
      </c>
      <c r="L159" s="53" t="e">
        <f>INDEX(Input!$D$2:$AC$500,
       MATCH(B159, Input!$J$2:$J$500, 0),
       MATCH("Memory Capacity", Input!$D$1:$AC$1, 0))</f>
        <v>#N/A</v>
      </c>
      <c r="M159" s="53" t="e">
        <f>INDEX(Input!$D$2:$AC$500,
       MATCH(B159, Input!$J$2:$J$500, 0),
       MATCH("Memory Type", Input!$D$1:$AC$1, 0))</f>
        <v>#N/A</v>
      </c>
      <c r="N159" s="53" t="e">
        <f t="shared" si="8"/>
        <v>#N/A</v>
      </c>
      <c r="O159" s="53" t="str" cm="1">
        <f t="array" ref="O159">IFERROR(_xlfn.FILTERXML("&lt;t&gt;&lt;s&gt;" &amp; SUBSTITUTE(M159," / ","&lt;/s&gt;&lt;s&gt;") &amp; "&lt;/s&gt;&lt;/t&gt;","(//s[contains(.,'DDR')])[1]"),"")</f>
        <v/>
      </c>
      <c r="P159" s="32" t="e">
        <f t="shared" si="10"/>
        <v>#N/A</v>
      </c>
      <c r="Q159" s="32" t="e">
        <f>INDEX(Input!$D$2:$AC$500,
       MATCH(B159, Input!$J$2:$J$500, 0),
       MATCH("Disk Capacity", Input!$D$1:$AC$1, 0))</f>
        <v>#N/A</v>
      </c>
      <c r="R159" s="32"/>
      <c r="S159" s="53" t="e">
        <f>_xlfn.LET(_xlpm.Result,INDEX(Input!$D$2:$AC$500,
       MATCH(B159, Input!$J$2:$J$500, 0),
       MATCH("Capacity", Input!$D$1:$AC$1, 0)),IF(_xlpm.Result="","",_xlpm.Result))</f>
        <v>#N/A</v>
      </c>
      <c r="T159" s="53" t="e" cm="1">
        <f t="array" ref="T159">_xlfn.TEXTSPLIT(S159," / ", ,TRUE,0,)</f>
        <v>#N/A</v>
      </c>
      <c r="U159" s="53"/>
      <c r="V159" s="53" t="str" cm="1">
        <f t="array" ref="V159">IFERROR(_xlfn.IFS(
T159="","",
--T159&lt;55,"Battery Defect",
--T159&lt;=69,"Battery D",
--T159&lt;=80,"Battery C",
--T159&gt;80,""
),"")</f>
        <v/>
      </c>
      <c r="W159" s="53" t="str" cm="1">
        <f t="array" ref="W159">IFERROR(_xlfn.IFS(
U159="","",
--U159&lt;55,"Battery Defect",
--U159&lt;=69,"Battery D",
--U159&lt;=80,"Battery C",
--U159&gt;80,""
),"")</f>
        <v/>
      </c>
      <c r="X159" s="53" t="str" cm="1">
        <f t="array" ref="X159:AE159">IFERROR(IF(_xlfn.XLOOKUP(B159,Input!J:J,Input!N:U)=0,"",
          _xlfn.XLOOKUP(B159,Input!J:J,Input!N:U)),"")</f>
        <v/>
      </c>
      <c r="Y159" s="53" t="str">
        <v/>
      </c>
      <c r="Z159" s="53" t="str">
        <v/>
      </c>
      <c r="AA159" s="53" t="str">
        <v/>
      </c>
      <c r="AB159" s="53" t="str">
        <v/>
      </c>
      <c r="AC159" s="53" t="str">
        <v/>
      </c>
      <c r="AD159" s="53" t="str">
        <v/>
      </c>
      <c r="AE159" s="53" t="str">
        <v/>
      </c>
      <c r="AF159" s="32" t="str">
        <f t="shared" si="9"/>
        <v/>
      </c>
      <c r="AG159" s="32" t="str">
        <f>_xlfn.XLOOKUP(B:B,Disk_Pivot!G:G,Disk_Pivot!I:I)</f>
        <v>Yes x2</v>
      </c>
      <c r="AH159" s="32" t="str">
        <f>_xlfn.XLOOKUP(B159,Disk_Pivot!G:G,Disk_Pivot!N:N)</f>
        <v>Pass, Fail</v>
      </c>
      <c r="AI159" s="32"/>
      <c r="AJ159" s="32"/>
      <c r="AK159" s="32"/>
      <c r="AL159" s="32"/>
      <c r="AM159" s="32"/>
      <c r="AN159" s="32"/>
    </row>
    <row r="160" spans="1:40">
      <c r="A160" s="32" t="str">
        <f>_xlfn.TEXTJOIN("",TRUE,_xlfn.XLOOKUP(B160,Input!J:J,Input!G:G,"",0,1),_xlfn.XLOOKUP(B160,Input!J:J,Input!H:H,"",0,1))</f>
        <v/>
      </c>
      <c r="B160" s="32"/>
      <c r="C160" s="53">
        <f>_xlfn.XLOOKUP(B160,Input!J:J,Input!F:F)</f>
        <v>0</v>
      </c>
      <c r="D160" s="32">
        <f>_xlfn.XLOOKUP(C160,Models!H:H,Models!G:G,C160)</f>
        <v>0</v>
      </c>
      <c r="E160" s="32"/>
      <c r="F160" s="32" t="str">
        <f>_xlfn.XLOOKUP(H160,Models!B:B,Models!F:F,"")</f>
        <v/>
      </c>
      <c r="G160" s="32">
        <f>_xlfn.XLOOKUP(B160,Input!J:J,Input!E:E)</f>
        <v>0</v>
      </c>
      <c r="H160" s="32">
        <f>IF(G160="LENOVO",_xlfn.XLOOKUP(B160,Input!J:J,Input!K:K),_xlfn.XLOOKUP(B160,Input!J:J,Input!L:L))</f>
        <v>0</v>
      </c>
      <c r="I160" s="32"/>
      <c r="J160" s="32"/>
      <c r="K160" s="32">
        <f>_xlfn.XLOOKUP(B160,CPU_Formula!A:A,CPU_Formula!I:I)</f>
        <v>0</v>
      </c>
      <c r="L160" s="53" t="e">
        <f>INDEX(Input!$D$2:$AC$500,
       MATCH(B160, Input!$J$2:$J$500, 0),
       MATCH("Memory Capacity", Input!$D$1:$AC$1, 0))</f>
        <v>#N/A</v>
      </c>
      <c r="M160" s="53" t="e">
        <f>INDEX(Input!$D$2:$AC$500,
       MATCH(B160, Input!$J$2:$J$500, 0),
       MATCH("Memory Type", Input!$D$1:$AC$1, 0))</f>
        <v>#N/A</v>
      </c>
      <c r="N160" s="53" t="e">
        <f t="shared" si="8"/>
        <v>#N/A</v>
      </c>
      <c r="O160" s="53" t="str" cm="1">
        <f t="array" ref="O160">IFERROR(_xlfn.FILTERXML("&lt;t&gt;&lt;s&gt;" &amp; SUBSTITUTE(M160," / ","&lt;/s&gt;&lt;s&gt;") &amp; "&lt;/s&gt;&lt;/t&gt;","(//s[contains(.,'DDR')])[1]"),"")</f>
        <v/>
      </c>
      <c r="P160" s="32" t="e">
        <f t="shared" si="10"/>
        <v>#N/A</v>
      </c>
      <c r="Q160" s="32" t="e">
        <f>INDEX(Input!$D$2:$AC$500,
       MATCH(B160, Input!$J$2:$J$500, 0),
       MATCH("Disk Capacity", Input!$D$1:$AC$1, 0))</f>
        <v>#N/A</v>
      </c>
      <c r="R160" s="32"/>
      <c r="S160" s="53" t="e">
        <f>_xlfn.LET(_xlpm.Result,INDEX(Input!$D$2:$AC$500,
       MATCH(B160, Input!$J$2:$J$500, 0),
       MATCH("Capacity", Input!$D$1:$AC$1, 0)),IF(_xlpm.Result="","",_xlpm.Result))</f>
        <v>#N/A</v>
      </c>
      <c r="T160" s="53" t="e" cm="1">
        <f t="array" ref="T160">_xlfn.TEXTSPLIT(S160," / ", ,TRUE,0,)</f>
        <v>#N/A</v>
      </c>
      <c r="U160" s="53"/>
      <c r="V160" s="53" t="str" cm="1">
        <f t="array" ref="V160">IFERROR(_xlfn.IFS(
T160="","",
--T160&lt;55,"Battery Defect",
--T160&lt;=69,"Battery D",
--T160&lt;=80,"Battery C",
--T160&gt;80,""
),"")</f>
        <v/>
      </c>
      <c r="W160" s="53" t="str" cm="1">
        <f t="array" ref="W160">IFERROR(_xlfn.IFS(
U160="","",
--U160&lt;55,"Battery Defect",
--U160&lt;=69,"Battery D",
--U160&lt;=80,"Battery C",
--U160&gt;80,""
),"")</f>
        <v/>
      </c>
      <c r="X160" s="53" t="str" cm="1">
        <f t="array" ref="X160:AE160">IFERROR(IF(_xlfn.XLOOKUP(B160,Input!J:J,Input!N:U)=0,"",
          _xlfn.XLOOKUP(B160,Input!J:J,Input!N:U)),"")</f>
        <v/>
      </c>
      <c r="Y160" s="53" t="str">
        <v/>
      </c>
      <c r="Z160" s="53" t="str">
        <v/>
      </c>
      <c r="AA160" s="53" t="str">
        <v/>
      </c>
      <c r="AB160" s="53" t="str">
        <v/>
      </c>
      <c r="AC160" s="53" t="str">
        <v/>
      </c>
      <c r="AD160" s="53" t="str">
        <v/>
      </c>
      <c r="AE160" s="53" t="str">
        <v/>
      </c>
      <c r="AF160" s="32" t="str">
        <f t="shared" si="9"/>
        <v/>
      </c>
      <c r="AG160" s="32" t="str">
        <f>_xlfn.XLOOKUP(B:B,Disk_Pivot!G:G,Disk_Pivot!I:I)</f>
        <v>Yes x2</v>
      </c>
      <c r="AH160" s="32" t="str">
        <f>_xlfn.XLOOKUP(B160,Disk_Pivot!G:G,Disk_Pivot!N:N)</f>
        <v>Pass, Fail</v>
      </c>
      <c r="AI160" s="32"/>
      <c r="AJ160" s="32"/>
      <c r="AK160" s="32"/>
      <c r="AL160" s="32"/>
      <c r="AM160" s="32"/>
      <c r="AN160" s="32"/>
    </row>
    <row r="161" spans="1:40">
      <c r="A161" s="32" t="str">
        <f>_xlfn.TEXTJOIN("",TRUE,_xlfn.XLOOKUP(B161,Input!J:J,Input!G:G,"",0,1),_xlfn.XLOOKUP(B161,Input!J:J,Input!H:H,"",0,1))</f>
        <v/>
      </c>
      <c r="B161" s="32"/>
      <c r="C161" s="53">
        <f>_xlfn.XLOOKUP(B161,Input!J:J,Input!F:F)</f>
        <v>0</v>
      </c>
      <c r="D161" s="32">
        <f>_xlfn.XLOOKUP(C161,Models!H:H,Models!G:G,C161)</f>
        <v>0</v>
      </c>
      <c r="E161" s="32"/>
      <c r="F161" s="32" t="str">
        <f>_xlfn.XLOOKUP(H161,Models!B:B,Models!F:F,"")</f>
        <v/>
      </c>
      <c r="G161" s="32">
        <f>_xlfn.XLOOKUP(B161,Input!J:J,Input!E:E)</f>
        <v>0</v>
      </c>
      <c r="H161" s="32">
        <f>IF(G161="LENOVO",_xlfn.XLOOKUP(B161,Input!J:J,Input!K:K),_xlfn.XLOOKUP(B161,Input!J:J,Input!L:L))</f>
        <v>0</v>
      </c>
      <c r="I161" s="32"/>
      <c r="J161" s="32"/>
      <c r="K161" s="32">
        <f>_xlfn.XLOOKUP(B161,CPU_Formula!A:A,CPU_Formula!I:I)</f>
        <v>0</v>
      </c>
      <c r="L161" s="53" t="e">
        <f>INDEX(Input!$D$2:$AC$500,
       MATCH(B161, Input!$J$2:$J$500, 0),
       MATCH("Memory Capacity", Input!$D$1:$AC$1, 0))</f>
        <v>#N/A</v>
      </c>
      <c r="M161" s="53" t="e">
        <f>INDEX(Input!$D$2:$AC$500,
       MATCH(B161, Input!$J$2:$J$500, 0),
       MATCH("Memory Type", Input!$D$1:$AC$1, 0))</f>
        <v>#N/A</v>
      </c>
      <c r="N161" s="53" t="e">
        <f t="shared" si="8"/>
        <v>#N/A</v>
      </c>
      <c r="O161" s="53" t="str" cm="1">
        <f t="array" ref="O161">IFERROR(_xlfn.FILTERXML("&lt;t&gt;&lt;s&gt;" &amp; SUBSTITUTE(M161," / ","&lt;/s&gt;&lt;s&gt;") &amp; "&lt;/s&gt;&lt;/t&gt;","(//s[contains(.,'DDR')])[1]"),"")</f>
        <v/>
      </c>
      <c r="P161" s="32" t="e">
        <f t="shared" si="10"/>
        <v>#N/A</v>
      </c>
      <c r="Q161" s="32" t="e">
        <f>INDEX(Input!$D$2:$AC$500,
       MATCH(B161, Input!$J$2:$J$500, 0),
       MATCH("Disk Capacity", Input!$D$1:$AC$1, 0))</f>
        <v>#N/A</v>
      </c>
      <c r="R161" s="32"/>
      <c r="S161" s="53" t="e">
        <f>_xlfn.LET(_xlpm.Result,INDEX(Input!$D$2:$AC$500,
       MATCH(B161, Input!$J$2:$J$500, 0),
       MATCH("Capacity", Input!$D$1:$AC$1, 0)),IF(_xlpm.Result="","",_xlpm.Result))</f>
        <v>#N/A</v>
      </c>
      <c r="T161" s="53" t="e" cm="1">
        <f t="array" ref="T161">_xlfn.TEXTSPLIT(S161," / ", ,TRUE,0,)</f>
        <v>#N/A</v>
      </c>
      <c r="U161" s="53"/>
      <c r="V161" s="53" t="str" cm="1">
        <f t="array" ref="V161">IFERROR(_xlfn.IFS(
T161="","",
--T161&lt;55,"Battery Defect",
--T161&lt;=69,"Battery D",
--T161&lt;=80,"Battery C",
--T161&gt;80,""
),"")</f>
        <v/>
      </c>
      <c r="W161" s="53" t="str" cm="1">
        <f t="array" ref="W161">IFERROR(_xlfn.IFS(
U161="","",
--U161&lt;55,"Battery Defect",
--U161&lt;=69,"Battery D",
--U161&lt;=80,"Battery C",
--U161&gt;80,""
),"")</f>
        <v/>
      </c>
      <c r="X161" s="53" t="str" cm="1">
        <f t="array" ref="X161:AE161">IFERROR(IF(_xlfn.XLOOKUP(B161,Input!J:J,Input!N:U)=0,"",
          _xlfn.XLOOKUP(B161,Input!J:J,Input!N:U)),"")</f>
        <v/>
      </c>
      <c r="Y161" s="53" t="str">
        <v/>
      </c>
      <c r="Z161" s="53" t="str">
        <v/>
      </c>
      <c r="AA161" s="53" t="str">
        <v/>
      </c>
      <c r="AB161" s="53" t="str">
        <v/>
      </c>
      <c r="AC161" s="53" t="str">
        <v/>
      </c>
      <c r="AD161" s="53" t="str">
        <v/>
      </c>
      <c r="AE161" s="53" t="str">
        <v/>
      </c>
      <c r="AF161" s="32" t="str">
        <f t="shared" si="9"/>
        <v/>
      </c>
      <c r="AG161" s="32" t="str">
        <f>_xlfn.XLOOKUP(B:B,Disk_Pivot!G:G,Disk_Pivot!I:I)</f>
        <v>Yes x2</v>
      </c>
      <c r="AH161" s="32" t="str">
        <f>_xlfn.XLOOKUP(B161,Disk_Pivot!G:G,Disk_Pivot!N:N)</f>
        <v>Pass, Fail</v>
      </c>
      <c r="AI161" s="32"/>
      <c r="AJ161" s="32"/>
      <c r="AK161" s="32"/>
      <c r="AL161" s="32"/>
      <c r="AM161" s="32"/>
      <c r="AN161" s="32"/>
    </row>
    <row r="162" spans="1:40">
      <c r="A162" s="32" t="str">
        <f>_xlfn.TEXTJOIN("",TRUE,_xlfn.XLOOKUP(B162,Input!J:J,Input!G:G,"",0,1),_xlfn.XLOOKUP(B162,Input!J:J,Input!H:H,"",0,1))</f>
        <v/>
      </c>
      <c r="B162" s="32"/>
      <c r="C162" s="53">
        <f>_xlfn.XLOOKUP(B162,Input!J:J,Input!F:F)</f>
        <v>0</v>
      </c>
      <c r="D162" s="32">
        <f>_xlfn.XLOOKUP(C162,Models!H:H,Models!G:G,C162)</f>
        <v>0</v>
      </c>
      <c r="E162" s="32"/>
      <c r="F162" s="32" t="str">
        <f>_xlfn.XLOOKUP(H162,Models!B:B,Models!F:F,"")</f>
        <v/>
      </c>
      <c r="G162" s="32">
        <f>_xlfn.XLOOKUP(B162,Input!J:J,Input!E:E)</f>
        <v>0</v>
      </c>
      <c r="H162" s="32">
        <f>IF(G162="LENOVO",_xlfn.XLOOKUP(B162,Input!J:J,Input!K:K),_xlfn.XLOOKUP(B162,Input!J:J,Input!L:L))</f>
        <v>0</v>
      </c>
      <c r="I162" s="32"/>
      <c r="J162" s="32"/>
      <c r="K162" s="32">
        <f>_xlfn.XLOOKUP(B162,CPU_Formula!A:A,CPU_Formula!I:I)</f>
        <v>0</v>
      </c>
      <c r="L162" s="53" t="e">
        <f>INDEX(Input!$D$2:$AC$500,
       MATCH(B162, Input!$J$2:$J$500, 0),
       MATCH("Memory Capacity", Input!$D$1:$AC$1, 0))</f>
        <v>#N/A</v>
      </c>
      <c r="M162" s="53" t="e">
        <f>INDEX(Input!$D$2:$AC$500,
       MATCH(B162, Input!$J$2:$J$500, 0),
       MATCH("Memory Type", Input!$D$1:$AC$1, 0))</f>
        <v>#N/A</v>
      </c>
      <c r="N162" s="53" t="e">
        <f t="shared" si="8"/>
        <v>#N/A</v>
      </c>
      <c r="O162" s="53" t="str" cm="1">
        <f t="array" ref="O162">IFERROR(_xlfn.FILTERXML("&lt;t&gt;&lt;s&gt;" &amp; SUBSTITUTE(M162," / ","&lt;/s&gt;&lt;s&gt;") &amp; "&lt;/s&gt;&lt;/t&gt;","(//s[contains(.,'DDR')])[1]"),"")</f>
        <v/>
      </c>
      <c r="P162" s="32" t="e">
        <f t="shared" si="10"/>
        <v>#N/A</v>
      </c>
      <c r="Q162" s="32" t="e">
        <f>INDEX(Input!$D$2:$AC$500,
       MATCH(B162, Input!$J$2:$J$500, 0),
       MATCH("Disk Capacity", Input!$D$1:$AC$1, 0))</f>
        <v>#N/A</v>
      </c>
      <c r="R162" s="32"/>
      <c r="S162" s="53" t="e">
        <f>_xlfn.LET(_xlpm.Result,INDEX(Input!$D$2:$AC$500,
       MATCH(B162, Input!$J$2:$J$500, 0),
       MATCH("Capacity", Input!$D$1:$AC$1, 0)),IF(_xlpm.Result="","",_xlpm.Result))</f>
        <v>#N/A</v>
      </c>
      <c r="T162" s="53" t="e" cm="1">
        <f t="array" ref="T162">_xlfn.TEXTSPLIT(S162," / ", ,TRUE,0,)</f>
        <v>#N/A</v>
      </c>
      <c r="U162" s="53"/>
      <c r="V162" s="53" t="str" cm="1">
        <f t="array" ref="V162">IFERROR(_xlfn.IFS(
T162="","",
--T162&lt;55,"Battery Defect",
--T162&lt;=69,"Battery D",
--T162&lt;=80,"Battery C",
--T162&gt;80,""
),"")</f>
        <v/>
      </c>
      <c r="W162" s="53" t="str" cm="1">
        <f t="array" ref="W162">IFERROR(_xlfn.IFS(
U162="","",
--U162&lt;55,"Battery Defect",
--U162&lt;=69,"Battery D",
--U162&lt;=80,"Battery C",
--U162&gt;80,""
),"")</f>
        <v/>
      </c>
      <c r="X162" s="53" t="str" cm="1">
        <f t="array" ref="X162:AE162">IFERROR(IF(_xlfn.XLOOKUP(B162,Input!J:J,Input!N:U)=0,"",
          _xlfn.XLOOKUP(B162,Input!J:J,Input!N:U)),"")</f>
        <v/>
      </c>
      <c r="Y162" s="53" t="str">
        <v/>
      </c>
      <c r="Z162" s="53" t="str">
        <v/>
      </c>
      <c r="AA162" s="53" t="str">
        <v/>
      </c>
      <c r="AB162" s="53" t="str">
        <v/>
      </c>
      <c r="AC162" s="53" t="str">
        <v/>
      </c>
      <c r="AD162" s="53" t="str">
        <v/>
      </c>
      <c r="AE162" s="53" t="str">
        <v/>
      </c>
      <c r="AF162" s="32" t="str">
        <f t="shared" si="9"/>
        <v/>
      </c>
      <c r="AG162" s="32" t="str">
        <f>_xlfn.XLOOKUP(B:B,Disk_Pivot!G:G,Disk_Pivot!I:I)</f>
        <v>Yes x2</v>
      </c>
      <c r="AH162" s="32" t="str">
        <f>_xlfn.XLOOKUP(B162,Disk_Pivot!G:G,Disk_Pivot!N:N)</f>
        <v>Pass, Fail</v>
      </c>
      <c r="AI162" s="32"/>
      <c r="AJ162" s="32"/>
      <c r="AK162" s="32"/>
      <c r="AL162" s="32"/>
      <c r="AM162" s="32"/>
      <c r="AN162" s="32"/>
    </row>
    <row r="163" spans="1:40">
      <c r="A163" s="32" t="str">
        <f>_xlfn.TEXTJOIN("",TRUE,_xlfn.XLOOKUP(B163,Input!J:J,Input!G:G,"",0,1),_xlfn.XLOOKUP(B163,Input!J:J,Input!H:H,"",0,1))</f>
        <v/>
      </c>
      <c r="B163" s="32"/>
      <c r="C163" s="53">
        <f>_xlfn.XLOOKUP(B163,Input!J:J,Input!F:F)</f>
        <v>0</v>
      </c>
      <c r="D163" s="32">
        <f>_xlfn.XLOOKUP(C163,Models!H:H,Models!G:G,C163)</f>
        <v>0</v>
      </c>
      <c r="E163" s="32"/>
      <c r="F163" s="32" t="str">
        <f>_xlfn.XLOOKUP(H163,Models!B:B,Models!F:F,"")</f>
        <v/>
      </c>
      <c r="G163" s="32">
        <f>_xlfn.XLOOKUP(B163,Input!J:J,Input!E:E)</f>
        <v>0</v>
      </c>
      <c r="H163" s="32">
        <f>IF(G163="LENOVO",_xlfn.XLOOKUP(B163,Input!J:J,Input!K:K),_xlfn.XLOOKUP(B163,Input!J:J,Input!L:L))</f>
        <v>0</v>
      </c>
      <c r="I163" s="32"/>
      <c r="J163" s="32"/>
      <c r="K163" s="32">
        <f>_xlfn.XLOOKUP(B163,CPU_Formula!A:A,CPU_Formula!I:I)</f>
        <v>0</v>
      </c>
      <c r="L163" s="53" t="e">
        <f>INDEX(Input!$D$2:$AC$500,
       MATCH(B163, Input!$J$2:$J$500, 0),
       MATCH("Memory Capacity", Input!$D$1:$AC$1, 0))</f>
        <v>#N/A</v>
      </c>
      <c r="M163" s="53" t="e">
        <f>INDEX(Input!$D$2:$AC$500,
       MATCH(B163, Input!$J$2:$J$500, 0),
       MATCH("Memory Type", Input!$D$1:$AC$1, 0))</f>
        <v>#N/A</v>
      </c>
      <c r="N163" s="53" t="e">
        <f t="shared" si="8"/>
        <v>#N/A</v>
      </c>
      <c r="O163" s="53" t="str" cm="1">
        <f t="array" ref="O163">IFERROR(_xlfn.FILTERXML("&lt;t&gt;&lt;s&gt;" &amp; SUBSTITUTE(M163," / ","&lt;/s&gt;&lt;s&gt;") &amp; "&lt;/s&gt;&lt;/t&gt;","(//s[contains(.,'DDR')])[1]"),"")</f>
        <v/>
      </c>
      <c r="P163" s="32" t="e">
        <f t="shared" si="10"/>
        <v>#N/A</v>
      </c>
      <c r="Q163" s="32"/>
      <c r="R163" s="32"/>
      <c r="S163" s="53" t="e">
        <f>_xlfn.LET(_xlpm.Result,INDEX(Input!$D$2:$AC$500,
       MATCH(B163, Input!$J$2:$J$500, 0),
       MATCH("Capacity", Input!$D$1:$AC$1, 0)),IF(_xlpm.Result="","",_xlpm.Result))</f>
        <v>#N/A</v>
      </c>
      <c r="T163" s="53" t="e" cm="1">
        <f t="array" ref="T163">_xlfn.TEXTSPLIT(S163," / ", ,TRUE,0,)</f>
        <v>#N/A</v>
      </c>
      <c r="U163" s="53"/>
      <c r="V163" s="53" t="str" cm="1">
        <f t="array" ref="V163">IFERROR(_xlfn.IFS(
T163="","",
--T163&lt;55,"Battery Defect",
--T163&lt;=69,"Battery D",
--T163&lt;=80,"Battery C",
--T163&gt;80,""
),"")</f>
        <v/>
      </c>
      <c r="W163" s="53" t="str" cm="1">
        <f t="array" ref="W163">IFERROR(_xlfn.IFS(
U163="","",
--U163&lt;55,"Battery Defect",
--U163&lt;=69,"Battery D",
--U163&lt;=80,"Battery C",
--U163&gt;80,""
),"")</f>
        <v/>
      </c>
      <c r="X163" s="53" t="str" cm="1">
        <f t="array" ref="X163:AE163">IFERROR(IF(_xlfn.XLOOKUP(B163,Input!J:J,Input!N:U)=0,"",
          _xlfn.XLOOKUP(B163,Input!J:J,Input!N:U)),"")</f>
        <v/>
      </c>
      <c r="Y163" s="53" t="str">
        <v/>
      </c>
      <c r="Z163" s="53" t="str">
        <v/>
      </c>
      <c r="AA163" s="53" t="str">
        <v/>
      </c>
      <c r="AB163" s="53" t="str">
        <v/>
      </c>
      <c r="AC163" s="53" t="str">
        <v/>
      </c>
      <c r="AD163" s="53" t="str">
        <v/>
      </c>
      <c r="AE163" s="53" t="str">
        <v/>
      </c>
      <c r="AF163" s="32" t="str">
        <f t="shared" si="9"/>
        <v/>
      </c>
      <c r="AG163" s="32" t="str">
        <f>_xlfn.XLOOKUP(B:B,Disk_Pivot!G:G,Disk_Pivot!I:I)</f>
        <v>Yes x2</v>
      </c>
      <c r="AH163" s="32" t="str">
        <f>_xlfn.XLOOKUP(B163,Disk_Pivot!G:G,Disk_Pivot!N:N)</f>
        <v>Pass, Fail</v>
      </c>
      <c r="AI163" s="32"/>
      <c r="AJ163" s="32"/>
      <c r="AK163" s="32"/>
      <c r="AL163" s="32"/>
      <c r="AM163" s="32"/>
      <c r="AN163" s="32"/>
    </row>
    <row r="164" spans="1:40">
      <c r="A164" s="32" t="str">
        <f>_xlfn.TEXTJOIN("",TRUE,_xlfn.XLOOKUP(B164,Input!J:J,Input!G:G,"",0,1),_xlfn.XLOOKUP(B164,Input!J:J,Input!H:H,"",0,1))</f>
        <v/>
      </c>
      <c r="B164" s="32"/>
      <c r="C164" s="53">
        <f>_xlfn.XLOOKUP(B164,Input!J:J,Input!F:F)</f>
        <v>0</v>
      </c>
      <c r="D164" s="32">
        <f>_xlfn.XLOOKUP(C164,Models!H:H,Models!G:G,C164)</f>
        <v>0</v>
      </c>
      <c r="E164" s="32"/>
      <c r="F164" s="32" t="str">
        <f>_xlfn.XLOOKUP(H164,Models!B:B,Models!F:F,"")</f>
        <v/>
      </c>
      <c r="G164" s="32">
        <f>_xlfn.XLOOKUP(B164,Input!J:J,Input!E:E)</f>
        <v>0</v>
      </c>
      <c r="H164" s="32">
        <f>IF(G164="LENOVO",_xlfn.XLOOKUP(B164,Input!J:J,Input!K:K),_xlfn.XLOOKUP(B164,Input!J:J,Input!L:L))</f>
        <v>0</v>
      </c>
      <c r="I164" s="32"/>
      <c r="J164" s="32"/>
      <c r="K164" s="32">
        <f>_xlfn.XLOOKUP(B164,CPU_Formula!A:A,CPU_Formula!I:I)</f>
        <v>0</v>
      </c>
      <c r="L164" s="53" t="e">
        <f>INDEX(Input!$D$2:$AC$500,
       MATCH(B164, Input!$J$2:$J$500, 0),
       MATCH("Memory Capacity", Input!$D$1:$AC$1, 0))</f>
        <v>#N/A</v>
      </c>
      <c r="M164" s="53" t="e">
        <f>INDEX(Input!$D$2:$AC$500,
       MATCH(B164, Input!$J$2:$J$500, 0),
       MATCH("Memory Type", Input!$D$1:$AC$1, 0))</f>
        <v>#N/A</v>
      </c>
      <c r="N164" s="53" t="e">
        <f t="shared" si="8"/>
        <v>#N/A</v>
      </c>
      <c r="O164" s="53" t="str" cm="1">
        <f t="array" ref="O164">IFERROR(_xlfn.FILTERXML("&lt;t&gt;&lt;s&gt;" &amp; SUBSTITUTE(M164," / ","&lt;/s&gt;&lt;s&gt;") &amp; "&lt;/s&gt;&lt;/t&gt;","(//s[contains(.,'DDR')])[1]"),"")</f>
        <v/>
      </c>
      <c r="P164" s="32" t="e">
        <f t="shared" si="10"/>
        <v>#N/A</v>
      </c>
      <c r="Q164" s="32"/>
      <c r="R164" s="32"/>
      <c r="S164" s="53" t="e">
        <f>_xlfn.LET(_xlpm.Result,INDEX(Input!$D$2:$AC$500,
       MATCH(B164, Input!$J$2:$J$500, 0),
       MATCH("Capacity", Input!$D$1:$AC$1, 0)),IF(_xlpm.Result="","",_xlpm.Result))</f>
        <v>#N/A</v>
      </c>
      <c r="T164" s="53" t="e" cm="1">
        <f t="array" ref="T164">_xlfn.TEXTSPLIT(S164," / ", ,TRUE,0,)</f>
        <v>#N/A</v>
      </c>
      <c r="U164" s="53"/>
      <c r="V164" s="53" t="str" cm="1">
        <f t="array" ref="V164">IFERROR(_xlfn.IFS(
T164="","",
--T164&lt;55,"Battery Defect",
--T164&lt;=69,"Battery D",
--T164&lt;=80,"Battery C",
--T164&gt;80,""
),"")</f>
        <v/>
      </c>
      <c r="W164" s="53" t="str" cm="1">
        <f t="array" ref="W164">IFERROR(_xlfn.IFS(
U164="","",
--U164&lt;55,"Battery Defect",
--U164&lt;=69,"Battery D",
--U164&lt;=80,"Battery C",
--U164&gt;80,""
),"")</f>
        <v/>
      </c>
      <c r="X164" s="53" t="str" cm="1">
        <f t="array" ref="X164:AE164">IFERROR(IF(_xlfn.XLOOKUP(B164,Input!J:J,Input!N:U)=0,"",
          _xlfn.XLOOKUP(B164,Input!J:J,Input!N:U)),"")</f>
        <v/>
      </c>
      <c r="Y164" s="53" t="str">
        <v/>
      </c>
      <c r="Z164" s="53" t="str">
        <v/>
      </c>
      <c r="AA164" s="53" t="str">
        <v/>
      </c>
      <c r="AB164" s="53" t="str">
        <v/>
      </c>
      <c r="AC164" s="53" t="str">
        <v/>
      </c>
      <c r="AD164" s="53" t="str">
        <v/>
      </c>
      <c r="AE164" s="53" t="str">
        <v/>
      </c>
      <c r="AF164" s="32" t="str">
        <f t="shared" si="9"/>
        <v/>
      </c>
      <c r="AG164" s="32" t="str">
        <f>_xlfn.XLOOKUP(B:B,Disk_Pivot!G:G,Disk_Pivot!I:I)</f>
        <v>Yes x2</v>
      </c>
      <c r="AH164" s="32" t="str">
        <f>_xlfn.XLOOKUP(B164,Disk_Pivot!G:G,Disk_Pivot!N:N)</f>
        <v>Pass, Fail</v>
      </c>
      <c r="AI164" s="32"/>
      <c r="AJ164" s="32"/>
      <c r="AK164" s="32"/>
      <c r="AL164" s="32"/>
      <c r="AM164" s="32"/>
      <c r="AN164" s="32"/>
    </row>
    <row r="165" spans="1:40">
      <c r="A165" s="32" t="str">
        <f>_xlfn.TEXTJOIN("",TRUE,_xlfn.XLOOKUP(B165,Input!J:J,Input!G:G,"",0,1),_xlfn.XLOOKUP(B165,Input!J:J,Input!H:H,"",0,1))</f>
        <v/>
      </c>
      <c r="B165" s="32"/>
      <c r="C165" s="53">
        <f>_xlfn.XLOOKUP(B165,Input!J:J,Input!F:F)</f>
        <v>0</v>
      </c>
      <c r="D165" s="32">
        <f>_xlfn.XLOOKUP(C165,Models!H:H,Models!G:G,C165)</f>
        <v>0</v>
      </c>
      <c r="E165" s="32"/>
      <c r="F165" s="32" t="str">
        <f>_xlfn.XLOOKUP(H165,Models!B:B,Models!F:F,"")</f>
        <v/>
      </c>
      <c r="G165" s="32">
        <f>_xlfn.XLOOKUP(B165,Input!J:J,Input!E:E)</f>
        <v>0</v>
      </c>
      <c r="H165" s="32">
        <f>IF(G165="LENOVO",_xlfn.XLOOKUP(B165,Input!J:J,Input!K:K),_xlfn.XLOOKUP(B165,Input!J:J,Input!L:L))</f>
        <v>0</v>
      </c>
      <c r="I165" s="32"/>
      <c r="J165" s="32"/>
      <c r="K165" s="32">
        <f>_xlfn.XLOOKUP(B165,CPU_Formula!A:A,CPU_Formula!I:I)</f>
        <v>0</v>
      </c>
      <c r="L165" s="53" t="e">
        <f>INDEX(Input!$D$2:$AC$500,
       MATCH(B165, Input!$J$2:$J$500, 0),
       MATCH("Memory Capacity", Input!$D$1:$AC$1, 0))</f>
        <v>#N/A</v>
      </c>
      <c r="M165" s="53" t="e">
        <f>INDEX(Input!$D$2:$AC$500,
       MATCH(B165, Input!$J$2:$J$500, 0),
       MATCH("Memory Type", Input!$D$1:$AC$1, 0))</f>
        <v>#N/A</v>
      </c>
      <c r="N165" s="53" t="e">
        <f t="shared" si="8"/>
        <v>#N/A</v>
      </c>
      <c r="O165" s="53" t="str" cm="1">
        <f t="array" ref="O165">IFERROR(_xlfn.FILTERXML("&lt;t&gt;&lt;s&gt;" &amp; SUBSTITUTE(M165," / ","&lt;/s&gt;&lt;s&gt;") &amp; "&lt;/s&gt;&lt;/t&gt;","(//s[contains(.,'DDR')])[1]"),"")</f>
        <v/>
      </c>
      <c r="P165" s="32" t="e">
        <f t="shared" si="10"/>
        <v>#N/A</v>
      </c>
      <c r="Q165" s="32"/>
      <c r="R165" s="32"/>
      <c r="S165" s="53" t="e">
        <f>_xlfn.LET(_xlpm.Result,INDEX(Input!$D$2:$AC$500,
       MATCH(B165, Input!$J$2:$J$500, 0),
       MATCH("Capacity", Input!$D$1:$AC$1, 0)),IF(_xlpm.Result="","",_xlpm.Result))</f>
        <v>#N/A</v>
      </c>
      <c r="T165" s="53" t="e" cm="1">
        <f t="array" ref="T165">_xlfn.TEXTSPLIT(S165," / ", ,TRUE,0,)</f>
        <v>#N/A</v>
      </c>
      <c r="U165" s="53"/>
      <c r="V165" s="53" t="str" cm="1">
        <f t="array" ref="V165">IFERROR(_xlfn.IFS(
T165="","",
--T165&lt;55,"Battery Defect",
--T165&lt;=69,"Battery D",
--T165&lt;=80,"Battery C",
--T165&gt;80,""
),"")</f>
        <v/>
      </c>
      <c r="W165" s="53" t="str" cm="1">
        <f t="array" ref="W165">IFERROR(_xlfn.IFS(
U165="","",
--U165&lt;55,"Battery Defect",
--U165&lt;=69,"Battery D",
--U165&lt;=80,"Battery C",
--U165&gt;80,""
),"")</f>
        <v/>
      </c>
      <c r="X165" s="53" t="str" cm="1">
        <f t="array" ref="X165:AE165">IFERROR(IF(_xlfn.XLOOKUP(B165,Input!J:J,Input!N:U)=0,"",
          _xlfn.XLOOKUP(B165,Input!J:J,Input!N:U)),"")</f>
        <v/>
      </c>
      <c r="Y165" s="53" t="str">
        <v/>
      </c>
      <c r="Z165" s="53" t="str">
        <v/>
      </c>
      <c r="AA165" s="53" t="str">
        <v/>
      </c>
      <c r="AB165" s="53" t="str">
        <v/>
      </c>
      <c r="AC165" s="53" t="str">
        <v/>
      </c>
      <c r="AD165" s="53" t="str">
        <v/>
      </c>
      <c r="AE165" s="53" t="str">
        <v/>
      </c>
      <c r="AF165" s="32" t="str">
        <f t="shared" si="9"/>
        <v/>
      </c>
      <c r="AG165" s="32" t="str">
        <f>_xlfn.XLOOKUP(B:B,Disk_Pivot!G:G,Disk_Pivot!I:I)</f>
        <v>Yes x2</v>
      </c>
      <c r="AH165" s="32" t="str">
        <f>_xlfn.XLOOKUP(B165,Disk_Pivot!G:G,Disk_Pivot!N:N)</f>
        <v>Pass, Fail</v>
      </c>
      <c r="AI165" s="32"/>
      <c r="AJ165" s="32"/>
      <c r="AK165" s="32"/>
      <c r="AL165" s="32"/>
      <c r="AM165" s="32"/>
      <c r="AN165" s="32"/>
    </row>
    <row r="166" spans="1:40">
      <c r="A166" s="32" t="str">
        <f>_xlfn.TEXTJOIN("",TRUE,_xlfn.XLOOKUP(B166,Input!J:J,Input!G:G,"",0,1),_xlfn.XLOOKUP(B166,Input!J:J,Input!H:H,"",0,1))</f>
        <v/>
      </c>
      <c r="B166" s="32"/>
      <c r="C166" s="53">
        <f>_xlfn.XLOOKUP(B166,Input!J:J,Input!F:F)</f>
        <v>0</v>
      </c>
      <c r="D166" s="32">
        <f>_xlfn.XLOOKUP(C166,Models!H:H,Models!G:G,C166)</f>
        <v>0</v>
      </c>
      <c r="E166" s="32"/>
      <c r="F166" s="32" t="str">
        <f>_xlfn.XLOOKUP(H166,Models!B:B,Models!F:F,"")</f>
        <v/>
      </c>
      <c r="G166" s="32">
        <f>_xlfn.XLOOKUP(B166,Input!J:J,Input!E:E)</f>
        <v>0</v>
      </c>
      <c r="H166" s="32">
        <f>IF(G166="LENOVO",_xlfn.XLOOKUP(B166,Input!J:J,Input!K:K),_xlfn.XLOOKUP(B166,Input!J:J,Input!L:L))</f>
        <v>0</v>
      </c>
      <c r="I166" s="32"/>
      <c r="J166" s="32"/>
      <c r="K166" s="32">
        <f>_xlfn.XLOOKUP(B166,CPU_Formula!A:A,CPU_Formula!I:I)</f>
        <v>0</v>
      </c>
      <c r="L166" s="53" t="e">
        <f>INDEX(Input!$D$2:$AC$500,
       MATCH(B166, Input!$J$2:$J$500, 0),
       MATCH("Memory Capacity", Input!$D$1:$AC$1, 0))</f>
        <v>#N/A</v>
      </c>
      <c r="M166" s="53" t="e">
        <f>INDEX(Input!$D$2:$AC$500,
       MATCH(B166, Input!$J$2:$J$500, 0),
       MATCH("Memory Type", Input!$D$1:$AC$1, 0))</f>
        <v>#N/A</v>
      </c>
      <c r="N166" s="53" t="e">
        <f t="shared" si="8"/>
        <v>#N/A</v>
      </c>
      <c r="O166" s="53" t="str" cm="1">
        <f t="array" ref="O166">IFERROR(_xlfn.FILTERXML("&lt;t&gt;&lt;s&gt;" &amp; SUBSTITUTE(M166," / ","&lt;/s&gt;&lt;s&gt;") &amp; "&lt;/s&gt;&lt;/t&gt;","(//s[contains(.,'DDR')])[1]"),"")</f>
        <v/>
      </c>
      <c r="P166" s="32" t="e">
        <f t="shared" si="10"/>
        <v>#N/A</v>
      </c>
      <c r="Q166" s="32"/>
      <c r="R166" s="32"/>
      <c r="S166" s="53" t="e">
        <f>_xlfn.LET(_xlpm.Result,INDEX(Input!$D$2:$AC$500,
       MATCH(B166, Input!$J$2:$J$500, 0),
       MATCH("Capacity", Input!$D$1:$AC$1, 0)),IF(_xlpm.Result="","",_xlpm.Result))</f>
        <v>#N/A</v>
      </c>
      <c r="T166" s="53" t="e" cm="1">
        <f t="array" ref="T166">_xlfn.TEXTSPLIT(S166," / ", ,TRUE,0,)</f>
        <v>#N/A</v>
      </c>
      <c r="U166" s="53"/>
      <c r="V166" s="53" t="str" cm="1">
        <f t="array" ref="V166">IFERROR(_xlfn.IFS(
T166="","",
--T166&lt;55,"Battery Defect",
--T166&lt;=69,"Battery D",
--T166&lt;=80,"Battery C",
--T166&gt;80,""
),"")</f>
        <v/>
      </c>
      <c r="W166" s="53" t="str" cm="1">
        <f t="array" ref="W166">IFERROR(_xlfn.IFS(
U166="","",
--U166&lt;55,"Battery Defect",
--U166&lt;=69,"Battery D",
--U166&lt;=80,"Battery C",
--U166&gt;80,""
),"")</f>
        <v/>
      </c>
      <c r="X166" s="53" t="str" cm="1">
        <f t="array" ref="X166:AE166">IFERROR(IF(_xlfn.XLOOKUP(B166,Input!J:J,Input!N:U)=0,"",
          _xlfn.XLOOKUP(B166,Input!J:J,Input!N:U)),"")</f>
        <v/>
      </c>
      <c r="Y166" s="53" t="str">
        <v/>
      </c>
      <c r="Z166" s="53" t="str">
        <v/>
      </c>
      <c r="AA166" s="53" t="str">
        <v/>
      </c>
      <c r="AB166" s="53" t="str">
        <v/>
      </c>
      <c r="AC166" s="53" t="str">
        <v/>
      </c>
      <c r="AD166" s="53" t="str">
        <v/>
      </c>
      <c r="AE166" s="53" t="str">
        <v/>
      </c>
      <c r="AF166" s="32" t="str">
        <f t="shared" si="9"/>
        <v/>
      </c>
      <c r="AG166" s="32" t="str">
        <f>_xlfn.XLOOKUP(B:B,Disk_Pivot!G:G,Disk_Pivot!I:I)</f>
        <v>Yes x2</v>
      </c>
      <c r="AH166" s="32" t="str">
        <f>_xlfn.XLOOKUP(B166,Disk_Pivot!G:G,Disk_Pivot!N:N)</f>
        <v>Pass, Fail</v>
      </c>
      <c r="AI166" s="32"/>
      <c r="AJ166" s="32"/>
      <c r="AK166" s="32"/>
      <c r="AL166" s="32"/>
      <c r="AM166" s="32"/>
      <c r="AN166" s="32"/>
    </row>
    <row r="167" spans="1:40">
      <c r="A167" s="32" t="str">
        <f>_xlfn.TEXTJOIN("",TRUE,_xlfn.XLOOKUP(B167,Input!J:J,Input!G:G,"",0,1),_xlfn.XLOOKUP(B167,Input!J:J,Input!H:H,"",0,1))</f>
        <v/>
      </c>
      <c r="B167" s="32"/>
      <c r="C167" s="53">
        <f>_xlfn.XLOOKUP(B167,Input!J:J,Input!F:F)</f>
        <v>0</v>
      </c>
      <c r="D167" s="32">
        <f>_xlfn.XLOOKUP(C167,Models!H:H,Models!G:G,C167)</f>
        <v>0</v>
      </c>
      <c r="E167" s="32"/>
      <c r="F167" s="32" t="str">
        <f>_xlfn.XLOOKUP(H167,Models!B:B,Models!F:F,"")</f>
        <v/>
      </c>
      <c r="G167" s="32">
        <f>_xlfn.XLOOKUP(B167,Input!J:J,Input!E:E)</f>
        <v>0</v>
      </c>
      <c r="H167" s="32">
        <f>IF(G167="LENOVO",_xlfn.XLOOKUP(B167,Input!J:J,Input!K:K),_xlfn.XLOOKUP(B167,Input!J:J,Input!L:L))</f>
        <v>0</v>
      </c>
      <c r="I167" s="32"/>
      <c r="J167" s="32"/>
      <c r="K167" s="32">
        <f>_xlfn.XLOOKUP(B167,CPU_Formula!A:A,CPU_Formula!I:I)</f>
        <v>0</v>
      </c>
      <c r="L167" s="53" t="e">
        <f>INDEX(Input!$D$2:$AC$500,
       MATCH(B167, Input!$J$2:$J$500, 0),
       MATCH("Memory Capacity", Input!$D$1:$AC$1, 0))</f>
        <v>#N/A</v>
      </c>
      <c r="M167" s="53" t="e">
        <f>INDEX(Input!$D$2:$AC$500,
       MATCH(B167, Input!$J$2:$J$500, 0),
       MATCH("Memory Type", Input!$D$1:$AC$1, 0))</f>
        <v>#N/A</v>
      </c>
      <c r="N167" s="53" t="e">
        <f t="shared" si="8"/>
        <v>#N/A</v>
      </c>
      <c r="O167" s="53" t="str" cm="1">
        <f t="array" ref="O167">IFERROR(_xlfn.FILTERXML("&lt;t&gt;&lt;s&gt;" &amp; SUBSTITUTE(M167," / ","&lt;/s&gt;&lt;s&gt;") &amp; "&lt;/s&gt;&lt;/t&gt;","(//s[contains(.,'DDR')])[1]"),"")</f>
        <v/>
      </c>
      <c r="P167" s="32" t="e">
        <f t="shared" si="10"/>
        <v>#N/A</v>
      </c>
      <c r="Q167" s="32"/>
      <c r="R167" s="32"/>
      <c r="S167" s="53" t="e">
        <f>_xlfn.LET(_xlpm.Result,INDEX(Input!$D$2:$AC$500,
       MATCH(B167, Input!$J$2:$J$500, 0),
       MATCH("Capacity", Input!$D$1:$AC$1, 0)),IF(_xlpm.Result="","",_xlpm.Result))</f>
        <v>#N/A</v>
      </c>
      <c r="T167" s="53" t="e" cm="1">
        <f t="array" ref="T167">_xlfn.TEXTSPLIT(S167," / ", ,TRUE,0,)</f>
        <v>#N/A</v>
      </c>
      <c r="U167" s="53"/>
      <c r="V167" s="53" t="str" cm="1">
        <f t="array" ref="V167">IFERROR(_xlfn.IFS(
T167="","",
--T167&lt;55,"Battery Defect",
--T167&lt;=69,"Battery D",
--T167&lt;=80,"Battery C",
--T167&gt;80,""
),"")</f>
        <v/>
      </c>
      <c r="W167" s="53" t="str" cm="1">
        <f t="array" ref="W167">IFERROR(_xlfn.IFS(
U167="","",
--U167&lt;55,"Battery Defect",
--U167&lt;=69,"Battery D",
--U167&lt;=80,"Battery C",
--U167&gt;80,""
),"")</f>
        <v/>
      </c>
      <c r="X167" s="53" t="str" cm="1">
        <f t="array" ref="X167:AE167">IFERROR(IF(_xlfn.XLOOKUP(B167,Input!J:J,Input!N:U)=0,"",
          _xlfn.XLOOKUP(B167,Input!J:J,Input!N:U)),"")</f>
        <v/>
      </c>
      <c r="Y167" s="53" t="str">
        <v/>
      </c>
      <c r="Z167" s="53" t="str">
        <v/>
      </c>
      <c r="AA167" s="53" t="str">
        <v/>
      </c>
      <c r="AB167" s="53" t="str">
        <v/>
      </c>
      <c r="AC167" s="53" t="str">
        <v/>
      </c>
      <c r="AD167" s="53" t="str">
        <v/>
      </c>
      <c r="AE167" s="53" t="str">
        <v/>
      </c>
      <c r="AF167" s="32" t="str">
        <f t="shared" si="9"/>
        <v/>
      </c>
      <c r="AG167" s="32" t="str">
        <f>_xlfn.XLOOKUP(B:B,Disk_Pivot!G:G,Disk_Pivot!I:I)</f>
        <v>Yes x2</v>
      </c>
      <c r="AH167" s="32" t="str">
        <f>_xlfn.XLOOKUP(B167,Disk_Pivot!G:G,Disk_Pivot!N:N)</f>
        <v>Pass, Fail</v>
      </c>
      <c r="AI167" s="32"/>
      <c r="AJ167" s="32"/>
      <c r="AK167" s="32"/>
      <c r="AL167" s="32"/>
      <c r="AM167" s="32"/>
      <c r="AN167" s="32"/>
    </row>
    <row r="168" spans="1:40">
      <c r="A168" s="32" t="str">
        <f>_xlfn.TEXTJOIN("",TRUE,_xlfn.XLOOKUP(B168,Input!J:J,Input!G:G,"",0,1),_xlfn.XLOOKUP(B168,Input!J:J,Input!H:H,"",0,1))</f>
        <v/>
      </c>
      <c r="B168" s="32"/>
      <c r="C168" s="53">
        <f>_xlfn.XLOOKUP(B168,Input!J:J,Input!F:F)</f>
        <v>0</v>
      </c>
      <c r="D168" s="32">
        <f>_xlfn.XLOOKUP(C168,Models!H:H,Models!G:G,C168)</f>
        <v>0</v>
      </c>
      <c r="E168" s="32"/>
      <c r="F168" s="32" t="str">
        <f>_xlfn.XLOOKUP(H168,Models!B:B,Models!F:F,"")</f>
        <v/>
      </c>
      <c r="G168" s="32">
        <f>_xlfn.XLOOKUP(B168,Input!J:J,Input!E:E)</f>
        <v>0</v>
      </c>
      <c r="H168" s="32">
        <f>IF(G168="LENOVO",_xlfn.XLOOKUP(B168,Input!J:J,Input!K:K),_xlfn.XLOOKUP(B168,Input!J:J,Input!L:L))</f>
        <v>0</v>
      </c>
      <c r="I168" s="32"/>
      <c r="J168" s="32"/>
      <c r="K168" s="32">
        <f>_xlfn.XLOOKUP(B168,CPU_Formula!A:A,CPU_Formula!I:I)</f>
        <v>0</v>
      </c>
      <c r="L168" s="53" t="e">
        <f>INDEX(Input!$D$2:$AC$500,
       MATCH(B168, Input!$J$2:$J$500, 0),
       MATCH("Memory Capacity", Input!$D$1:$AC$1, 0))</f>
        <v>#N/A</v>
      </c>
      <c r="M168" s="53" t="e">
        <f>INDEX(Input!$D$2:$AC$500,
       MATCH(B168, Input!$J$2:$J$500, 0),
       MATCH("Memory Type", Input!$D$1:$AC$1, 0))</f>
        <v>#N/A</v>
      </c>
      <c r="N168" s="53" t="e">
        <f t="shared" si="8"/>
        <v>#N/A</v>
      </c>
      <c r="O168" s="53" t="str" cm="1">
        <f t="array" ref="O168">IFERROR(_xlfn.FILTERXML("&lt;t&gt;&lt;s&gt;" &amp; SUBSTITUTE(M168," / ","&lt;/s&gt;&lt;s&gt;") &amp; "&lt;/s&gt;&lt;/t&gt;","(//s[contains(.,'DDR')])[1]"),"")</f>
        <v/>
      </c>
      <c r="P168" s="32" t="e">
        <f t="shared" si="10"/>
        <v>#N/A</v>
      </c>
      <c r="Q168" s="32"/>
      <c r="R168" s="32"/>
      <c r="S168" s="53" t="e">
        <f>_xlfn.LET(_xlpm.Result,INDEX(Input!$D$2:$AC$500,
       MATCH(B168, Input!$J$2:$J$500, 0),
       MATCH("Capacity", Input!$D$1:$AC$1, 0)),IF(_xlpm.Result="","",_xlpm.Result))</f>
        <v>#N/A</v>
      </c>
      <c r="T168" s="53" t="e" cm="1">
        <f t="array" ref="T168">_xlfn.TEXTSPLIT(S168," / ", ,TRUE,0,)</f>
        <v>#N/A</v>
      </c>
      <c r="U168" s="53"/>
      <c r="V168" s="53" t="str" cm="1">
        <f t="array" ref="V168">IFERROR(_xlfn.IFS(
T168="","",
--T168&lt;55,"Battery Defect",
--T168&lt;=69,"Battery D",
--T168&lt;=80,"Battery C",
--T168&gt;80,""
),"")</f>
        <v/>
      </c>
      <c r="W168" s="53" t="str" cm="1">
        <f t="array" ref="W168">IFERROR(_xlfn.IFS(
U168="","",
--U168&lt;55,"Battery Defect",
--U168&lt;=69,"Battery D",
--U168&lt;=80,"Battery C",
--U168&gt;80,""
),"")</f>
        <v/>
      </c>
      <c r="X168" s="53" t="str" cm="1">
        <f t="array" ref="X168:AE168">IFERROR(IF(_xlfn.XLOOKUP(B168,Input!J:J,Input!N:U)=0,"",
          _xlfn.XLOOKUP(B168,Input!J:J,Input!N:U)),"")</f>
        <v/>
      </c>
      <c r="Y168" s="53" t="str">
        <v/>
      </c>
      <c r="Z168" s="53" t="str">
        <v/>
      </c>
      <c r="AA168" s="53" t="str">
        <v/>
      </c>
      <c r="AB168" s="53" t="str">
        <v/>
      </c>
      <c r="AC168" s="53" t="str">
        <v/>
      </c>
      <c r="AD168" s="53" t="str">
        <v/>
      </c>
      <c r="AE168" s="53" t="str">
        <v/>
      </c>
      <c r="AF168" s="32" t="str">
        <f t="shared" si="9"/>
        <v/>
      </c>
      <c r="AG168" s="32" t="str">
        <f>_xlfn.XLOOKUP(B:B,Disk_Pivot!G:G,Disk_Pivot!I:I)</f>
        <v>Yes x2</v>
      </c>
      <c r="AH168" s="32" t="str">
        <f>_xlfn.XLOOKUP(B168,Disk_Pivot!G:G,Disk_Pivot!N:N)</f>
        <v>Pass, Fail</v>
      </c>
      <c r="AI168" s="32"/>
      <c r="AJ168" s="32"/>
      <c r="AK168" s="32"/>
      <c r="AL168" s="32"/>
      <c r="AM168" s="32"/>
      <c r="AN168" s="32"/>
    </row>
    <row r="169" spans="1:40">
      <c r="A169" s="32" t="str">
        <f>_xlfn.TEXTJOIN("",TRUE,_xlfn.XLOOKUP(B169,Input!J:J,Input!G:G,"",0,1),_xlfn.XLOOKUP(B169,Input!J:J,Input!H:H,"",0,1))</f>
        <v/>
      </c>
      <c r="B169" s="32"/>
      <c r="C169" s="53">
        <f>_xlfn.XLOOKUP(B169,Input!J:J,Input!F:F)</f>
        <v>0</v>
      </c>
      <c r="D169" s="32">
        <f>_xlfn.XLOOKUP(C169,Models!H:H,Models!G:G,C169)</f>
        <v>0</v>
      </c>
      <c r="E169" s="32"/>
      <c r="F169" s="32" t="str">
        <f>_xlfn.XLOOKUP(H169,Models!B:B,Models!F:F,"")</f>
        <v/>
      </c>
      <c r="G169" s="32">
        <f>_xlfn.XLOOKUP(B169,Input!J:J,Input!E:E)</f>
        <v>0</v>
      </c>
      <c r="H169" s="32">
        <f>IF(G169="LENOVO",_xlfn.XLOOKUP(B169,Input!J:J,Input!K:K),_xlfn.XLOOKUP(B169,Input!J:J,Input!L:L))</f>
        <v>0</v>
      </c>
      <c r="I169" s="32"/>
      <c r="J169" s="32"/>
      <c r="K169" s="32">
        <f>_xlfn.XLOOKUP(B169,CPU_Formula!A:A,CPU_Formula!I:I)</f>
        <v>0</v>
      </c>
      <c r="L169" s="53" t="e">
        <f>INDEX(Input!$D$2:$AC$500,
       MATCH(B169, Input!$J$2:$J$500, 0),
       MATCH("Memory Capacity", Input!$D$1:$AC$1, 0))</f>
        <v>#N/A</v>
      </c>
      <c r="M169" s="53" t="e">
        <f>INDEX(Input!$D$2:$AC$500,
       MATCH(B169, Input!$J$2:$J$500, 0),
       MATCH("Memory Type", Input!$D$1:$AC$1, 0))</f>
        <v>#N/A</v>
      </c>
      <c r="N169" s="53" t="e">
        <f t="shared" si="8"/>
        <v>#N/A</v>
      </c>
      <c r="O169" s="53" t="str" cm="1">
        <f t="array" ref="O169">IFERROR(_xlfn.FILTERXML("&lt;t&gt;&lt;s&gt;" &amp; SUBSTITUTE(M169," / ","&lt;/s&gt;&lt;s&gt;") &amp; "&lt;/s&gt;&lt;/t&gt;","(//s[contains(.,'DDR')])[1]"),"")</f>
        <v/>
      </c>
      <c r="P169" s="32" t="e">
        <f t="shared" si="10"/>
        <v>#N/A</v>
      </c>
      <c r="Q169" s="32"/>
      <c r="R169" s="32"/>
      <c r="S169" s="53" t="e">
        <f>_xlfn.LET(_xlpm.Result,INDEX(Input!$D$2:$AC$500,
       MATCH(B169, Input!$J$2:$J$500, 0),
       MATCH("Capacity", Input!$D$1:$AC$1, 0)),IF(_xlpm.Result="","",_xlpm.Result))</f>
        <v>#N/A</v>
      </c>
      <c r="T169" s="53" t="e" cm="1">
        <f t="array" ref="T169">_xlfn.TEXTSPLIT(S169," / ", ,TRUE,0,)</f>
        <v>#N/A</v>
      </c>
      <c r="U169" s="53"/>
      <c r="V169" s="53" t="str" cm="1">
        <f t="array" ref="V169">IFERROR(_xlfn.IFS(
T169="","",
--T169&lt;55,"Battery Defect",
--T169&lt;=69,"Battery D",
--T169&lt;=80,"Battery C",
--T169&gt;80,""
),"")</f>
        <v/>
      </c>
      <c r="W169" s="53" t="str" cm="1">
        <f t="array" ref="W169">IFERROR(_xlfn.IFS(
U169="","",
--U169&lt;55,"Battery Defect",
--U169&lt;=69,"Battery D",
--U169&lt;=80,"Battery C",
--U169&gt;80,""
),"")</f>
        <v/>
      </c>
      <c r="X169" s="53" t="str" cm="1">
        <f t="array" ref="X169:AE169">IFERROR(IF(_xlfn.XLOOKUP(B169,Input!J:J,Input!N:U)=0,"",
          _xlfn.XLOOKUP(B169,Input!J:J,Input!N:U)),"")</f>
        <v/>
      </c>
      <c r="Y169" s="53" t="str">
        <v/>
      </c>
      <c r="Z169" s="53" t="str">
        <v/>
      </c>
      <c r="AA169" s="53" t="str">
        <v/>
      </c>
      <c r="AB169" s="53" t="str">
        <v/>
      </c>
      <c r="AC169" s="53" t="str">
        <v/>
      </c>
      <c r="AD169" s="53" t="str">
        <v/>
      </c>
      <c r="AE169" s="53" t="str">
        <v/>
      </c>
      <c r="AF169" s="32" t="str">
        <f t="shared" si="9"/>
        <v/>
      </c>
      <c r="AG169" s="32" t="str">
        <f>_xlfn.XLOOKUP(B:B,Disk_Pivot!G:G,Disk_Pivot!I:I)</f>
        <v>Yes x2</v>
      </c>
      <c r="AH169" s="32" t="str">
        <f>_xlfn.XLOOKUP(B169,Disk_Pivot!G:G,Disk_Pivot!N:N)</f>
        <v>Pass, Fail</v>
      </c>
      <c r="AI169" s="32"/>
      <c r="AJ169" s="32"/>
      <c r="AK169" s="32"/>
      <c r="AL169" s="32"/>
      <c r="AM169" s="32"/>
      <c r="AN169" s="32"/>
    </row>
    <row r="170" spans="1:40">
      <c r="A170" s="32" t="str">
        <f>_xlfn.TEXTJOIN("",TRUE,_xlfn.XLOOKUP(B170,Input!J:J,Input!G:G,"",0,1),_xlfn.XLOOKUP(B170,Input!J:J,Input!H:H,"",0,1))</f>
        <v/>
      </c>
      <c r="B170" s="32"/>
      <c r="C170" s="53">
        <f>_xlfn.XLOOKUP(B170,Input!J:J,Input!F:F)</f>
        <v>0</v>
      </c>
      <c r="D170" s="32">
        <f>_xlfn.XLOOKUP(C170,Models!H:H,Models!G:G,C170)</f>
        <v>0</v>
      </c>
      <c r="E170" s="32"/>
      <c r="F170" s="32" t="str">
        <f>_xlfn.XLOOKUP(H170,Models!B:B,Models!F:F,"")</f>
        <v/>
      </c>
      <c r="G170" s="32">
        <f>_xlfn.XLOOKUP(B170,Input!J:J,Input!E:E)</f>
        <v>0</v>
      </c>
      <c r="H170" s="32">
        <f>IF(G170="LENOVO",_xlfn.XLOOKUP(B170,Input!J:J,Input!K:K),_xlfn.XLOOKUP(B170,Input!J:J,Input!L:L))</f>
        <v>0</v>
      </c>
      <c r="I170" s="32"/>
      <c r="J170" s="32"/>
      <c r="K170" s="32">
        <f>_xlfn.XLOOKUP(B170,CPU_Formula!A:A,CPU_Formula!I:I)</f>
        <v>0</v>
      </c>
      <c r="L170" s="53" t="e">
        <f>INDEX(Input!$D$2:$AC$500,
       MATCH(B170, Input!$J$2:$J$500, 0),
       MATCH("Memory Capacity", Input!$D$1:$AC$1, 0))</f>
        <v>#N/A</v>
      </c>
      <c r="M170" s="53" t="e">
        <f>INDEX(Input!$D$2:$AC$500,
       MATCH(B170, Input!$J$2:$J$500, 0),
       MATCH("Memory Type", Input!$D$1:$AC$1, 0))</f>
        <v>#N/A</v>
      </c>
      <c r="N170" s="53" t="e">
        <f t="shared" si="8"/>
        <v>#N/A</v>
      </c>
      <c r="O170" s="53" t="str" cm="1">
        <f t="array" ref="O170">IFERROR(_xlfn.FILTERXML("&lt;t&gt;&lt;s&gt;" &amp; SUBSTITUTE(M170," / ","&lt;/s&gt;&lt;s&gt;") &amp; "&lt;/s&gt;&lt;/t&gt;","(//s[contains(.,'DDR')])[1]"),"")</f>
        <v/>
      </c>
      <c r="P170" s="32" t="e">
        <f t="shared" si="10"/>
        <v>#N/A</v>
      </c>
      <c r="Q170" s="32"/>
      <c r="R170" s="32"/>
      <c r="S170" s="53" t="e">
        <f>_xlfn.LET(_xlpm.Result,INDEX(Input!$D$2:$AC$500,
       MATCH(B170, Input!$J$2:$J$500, 0),
       MATCH("Capacity", Input!$D$1:$AC$1, 0)),IF(_xlpm.Result="","",_xlpm.Result))</f>
        <v>#N/A</v>
      </c>
      <c r="T170" s="53" t="e" cm="1">
        <f t="array" ref="T170">_xlfn.TEXTSPLIT(S170," / ", ,TRUE,0,)</f>
        <v>#N/A</v>
      </c>
      <c r="U170" s="53"/>
      <c r="V170" s="53" t="str" cm="1">
        <f t="array" ref="V170">IFERROR(_xlfn.IFS(
T170="","",
--T170&lt;55,"Battery Defect",
--T170&lt;=69,"Battery D",
--T170&lt;=80,"Battery C",
--T170&gt;80,""
),"")</f>
        <v/>
      </c>
      <c r="W170" s="53" t="str" cm="1">
        <f t="array" ref="W170">IFERROR(_xlfn.IFS(
U170="","",
--U170&lt;55,"Battery Defect",
--U170&lt;=69,"Battery D",
--U170&lt;=80,"Battery C",
--U170&gt;80,""
),"")</f>
        <v/>
      </c>
      <c r="X170" s="53" t="str" cm="1">
        <f t="array" ref="X170:AE170">IFERROR(IF(_xlfn.XLOOKUP(B170,Input!J:J,Input!N:U)=0,"",
          _xlfn.XLOOKUP(B170,Input!J:J,Input!N:U)),"")</f>
        <v/>
      </c>
      <c r="Y170" s="53" t="str">
        <v/>
      </c>
      <c r="Z170" s="53" t="str">
        <v/>
      </c>
      <c r="AA170" s="53" t="str">
        <v/>
      </c>
      <c r="AB170" s="53" t="str">
        <v/>
      </c>
      <c r="AC170" s="53" t="str">
        <v/>
      </c>
      <c r="AD170" s="53" t="str">
        <v/>
      </c>
      <c r="AE170" s="53" t="str">
        <v/>
      </c>
      <c r="AF170" s="32" t="str">
        <f t="shared" si="9"/>
        <v/>
      </c>
      <c r="AG170" s="32" t="str">
        <f>_xlfn.XLOOKUP(B:B,Disk_Pivot!G:G,Disk_Pivot!I:I)</f>
        <v>Yes x2</v>
      </c>
      <c r="AH170" s="32" t="str">
        <f>_xlfn.XLOOKUP(B170,Disk_Pivot!G:G,Disk_Pivot!N:N)</f>
        <v>Pass, Fail</v>
      </c>
      <c r="AI170" s="32"/>
      <c r="AJ170" s="32"/>
      <c r="AK170" s="32"/>
      <c r="AL170" s="32"/>
      <c r="AM170" s="32"/>
      <c r="AN170" s="32"/>
    </row>
    <row r="171" spans="1:40">
      <c r="A171" s="32" t="str">
        <f>_xlfn.TEXTJOIN("",TRUE,_xlfn.XLOOKUP(B171,Input!J:J,Input!G:G,"",0,1),_xlfn.XLOOKUP(B171,Input!J:J,Input!H:H,"",0,1))</f>
        <v/>
      </c>
      <c r="B171" s="32"/>
      <c r="C171" s="53">
        <f>_xlfn.XLOOKUP(B171,Input!J:J,Input!F:F)</f>
        <v>0</v>
      </c>
      <c r="D171" s="32">
        <f>_xlfn.XLOOKUP(C171,Models!H:H,Models!G:G,C171)</f>
        <v>0</v>
      </c>
      <c r="E171" s="32"/>
      <c r="F171" s="32" t="str">
        <f>_xlfn.XLOOKUP(H171,Models!B:B,Models!F:F,"")</f>
        <v/>
      </c>
      <c r="G171" s="32">
        <f>_xlfn.XLOOKUP(B171,Input!J:J,Input!E:E)</f>
        <v>0</v>
      </c>
      <c r="H171" s="32">
        <f>IF(G171="LENOVO",_xlfn.XLOOKUP(B171,Input!J:J,Input!K:K),_xlfn.XLOOKUP(B171,Input!J:J,Input!L:L))</f>
        <v>0</v>
      </c>
      <c r="I171" s="32"/>
      <c r="J171" s="32"/>
      <c r="K171" s="32">
        <f>_xlfn.XLOOKUP(B171,CPU_Formula!A:A,CPU_Formula!I:I)</f>
        <v>0</v>
      </c>
      <c r="L171" s="53" t="e">
        <f>INDEX(Input!$D$2:$AC$500,
       MATCH(B171, Input!$J$2:$J$500, 0),
       MATCH("Memory Capacity", Input!$D$1:$AC$1, 0))</f>
        <v>#N/A</v>
      </c>
      <c r="M171" s="53" t="e">
        <f>INDEX(Input!$D$2:$AC$500,
       MATCH(B171, Input!$J$2:$J$500, 0),
       MATCH("Memory Type", Input!$D$1:$AC$1, 0))</f>
        <v>#N/A</v>
      </c>
      <c r="N171" s="53" t="e">
        <f t="shared" si="8"/>
        <v>#N/A</v>
      </c>
      <c r="O171" s="53" t="str" cm="1">
        <f t="array" ref="O171">IFERROR(_xlfn.FILTERXML("&lt;t&gt;&lt;s&gt;" &amp; SUBSTITUTE(M171," / ","&lt;/s&gt;&lt;s&gt;") &amp; "&lt;/s&gt;&lt;/t&gt;","(//s[contains(.,'DDR')])[1]"),"")</f>
        <v/>
      </c>
      <c r="P171" s="32" t="e">
        <f t="shared" si="10"/>
        <v>#N/A</v>
      </c>
      <c r="Q171" s="32"/>
      <c r="R171" s="32"/>
      <c r="S171" s="53" t="e">
        <f>_xlfn.LET(_xlpm.Result,INDEX(Input!$D$2:$AC$500,
       MATCH(B171, Input!$J$2:$J$500, 0),
       MATCH("Capacity", Input!$D$1:$AC$1, 0)),IF(_xlpm.Result="","",_xlpm.Result))</f>
        <v>#N/A</v>
      </c>
      <c r="T171" s="53" t="e" cm="1">
        <f t="array" ref="T171">_xlfn.TEXTSPLIT(S171," / ", ,TRUE,0,)</f>
        <v>#N/A</v>
      </c>
      <c r="U171" s="53"/>
      <c r="V171" s="53" t="str" cm="1">
        <f t="array" ref="V171">IFERROR(_xlfn.IFS(
T171="","",
--T171&lt;55,"Battery Defect",
--T171&lt;=69,"Battery D",
--T171&lt;=80,"Battery C",
--T171&gt;80,""
),"")</f>
        <v/>
      </c>
      <c r="W171" s="53" t="str" cm="1">
        <f t="array" ref="W171">IFERROR(_xlfn.IFS(
U171="","",
--U171&lt;55,"Battery Defect",
--U171&lt;=69,"Battery D",
--U171&lt;=80,"Battery C",
--U171&gt;80,""
),"")</f>
        <v/>
      </c>
      <c r="X171" s="53" t="str" cm="1">
        <f t="array" ref="X171:AE171">IFERROR(IF(_xlfn.XLOOKUP(B171,Input!J:J,Input!N:U)=0,"",
          _xlfn.XLOOKUP(B171,Input!J:J,Input!N:U)),"")</f>
        <v/>
      </c>
      <c r="Y171" s="53" t="str">
        <v/>
      </c>
      <c r="Z171" s="53" t="str">
        <v/>
      </c>
      <c r="AA171" s="53" t="str">
        <v/>
      </c>
      <c r="AB171" s="53" t="str">
        <v/>
      </c>
      <c r="AC171" s="53" t="str">
        <v/>
      </c>
      <c r="AD171" s="53" t="str">
        <v/>
      </c>
      <c r="AE171" s="53" t="str">
        <v/>
      </c>
      <c r="AF171" s="32" t="str">
        <f t="shared" si="9"/>
        <v/>
      </c>
      <c r="AG171" s="32" t="str">
        <f>_xlfn.XLOOKUP(B:B,Disk_Pivot!G:G,Disk_Pivot!I:I)</f>
        <v>Yes x2</v>
      </c>
      <c r="AH171" s="32" t="str">
        <f>_xlfn.XLOOKUP(B171,Disk_Pivot!G:G,Disk_Pivot!N:N)</f>
        <v>Pass, Fail</v>
      </c>
      <c r="AI171" s="32"/>
      <c r="AJ171" s="32"/>
      <c r="AK171" s="32"/>
      <c r="AL171" s="32"/>
      <c r="AM171" s="32"/>
      <c r="AN171" s="32"/>
    </row>
    <row r="172" spans="1:40">
      <c r="A172" s="32" t="str">
        <f>_xlfn.TEXTJOIN("",TRUE,_xlfn.XLOOKUP(B172,Input!J:J,Input!G:G,"",0,1),_xlfn.XLOOKUP(B172,Input!J:J,Input!H:H,"",0,1))</f>
        <v/>
      </c>
      <c r="B172" s="32"/>
      <c r="C172" s="53">
        <f>_xlfn.XLOOKUP(B172,Input!J:J,Input!F:F)</f>
        <v>0</v>
      </c>
      <c r="D172" s="32">
        <f>_xlfn.XLOOKUP(C172,Models!H:H,Models!G:G,C172)</f>
        <v>0</v>
      </c>
      <c r="E172" s="32"/>
      <c r="F172" s="32" t="str">
        <f>_xlfn.XLOOKUP(H172,Models!B:B,Models!F:F,"")</f>
        <v/>
      </c>
      <c r="G172" s="32">
        <f>_xlfn.XLOOKUP(B172,Input!J:J,Input!E:E)</f>
        <v>0</v>
      </c>
      <c r="H172" s="32">
        <f>IF(G172="LENOVO",_xlfn.XLOOKUP(B172,Input!J:J,Input!K:K),_xlfn.XLOOKUP(B172,Input!J:J,Input!L:L))</f>
        <v>0</v>
      </c>
      <c r="I172" s="32"/>
      <c r="J172" s="32"/>
      <c r="K172" s="32">
        <f>_xlfn.XLOOKUP(B172,CPU_Formula!A:A,CPU_Formula!I:I)</f>
        <v>0</v>
      </c>
      <c r="L172" s="53" t="e">
        <f>INDEX(Input!$D$2:$AC$500,
       MATCH(B172, Input!$J$2:$J$500, 0),
       MATCH("Memory Capacity", Input!$D$1:$AC$1, 0))</f>
        <v>#N/A</v>
      </c>
      <c r="M172" s="53" t="e">
        <f>INDEX(Input!$D$2:$AC$500,
       MATCH(B172, Input!$J$2:$J$500, 0),
       MATCH("Memory Type", Input!$D$1:$AC$1, 0))</f>
        <v>#N/A</v>
      </c>
      <c r="N172" s="53" t="e">
        <f t="shared" si="8"/>
        <v>#N/A</v>
      </c>
      <c r="O172" s="53" t="str" cm="1">
        <f t="array" ref="O172">IFERROR(_xlfn.FILTERXML("&lt;t&gt;&lt;s&gt;" &amp; SUBSTITUTE(M172," / ","&lt;/s&gt;&lt;s&gt;") &amp; "&lt;/s&gt;&lt;/t&gt;","(//s[contains(.,'DDR')])[1]"),"")</f>
        <v/>
      </c>
      <c r="P172" s="32" t="e">
        <f t="shared" si="10"/>
        <v>#N/A</v>
      </c>
      <c r="Q172" s="32"/>
      <c r="R172" s="32"/>
      <c r="S172" s="53" t="e">
        <f>_xlfn.LET(_xlpm.Result,INDEX(Input!$D$2:$AC$500,
       MATCH(B172, Input!$J$2:$J$500, 0),
       MATCH("Capacity", Input!$D$1:$AC$1, 0)),IF(_xlpm.Result="","",_xlpm.Result))</f>
        <v>#N/A</v>
      </c>
      <c r="T172" s="53" t="e" cm="1">
        <f t="array" ref="T172">_xlfn.TEXTSPLIT(S172," / ", ,TRUE,0,)</f>
        <v>#N/A</v>
      </c>
      <c r="U172" s="53"/>
      <c r="V172" s="53" t="str" cm="1">
        <f t="array" ref="V172">IFERROR(_xlfn.IFS(
T172="","",
--T172&lt;55,"Battery Defect",
--T172&lt;=69,"Battery D",
--T172&lt;=80,"Battery C",
--T172&gt;80,""
),"")</f>
        <v/>
      </c>
      <c r="W172" s="53" t="str" cm="1">
        <f t="array" ref="W172">IFERROR(_xlfn.IFS(
U172="","",
--U172&lt;55,"Battery Defect",
--U172&lt;=69,"Battery D",
--U172&lt;=80,"Battery C",
--U172&gt;80,""
),"")</f>
        <v/>
      </c>
      <c r="X172" s="53" t="str" cm="1">
        <f t="array" ref="X172:AE172">IFERROR(IF(_xlfn.XLOOKUP(B172,Input!J:J,Input!N:U)=0,"",
          _xlfn.XLOOKUP(B172,Input!J:J,Input!N:U)),"")</f>
        <v/>
      </c>
      <c r="Y172" s="53" t="str">
        <v/>
      </c>
      <c r="Z172" s="53" t="str">
        <v/>
      </c>
      <c r="AA172" s="53" t="str">
        <v/>
      </c>
      <c r="AB172" s="53" t="str">
        <v/>
      </c>
      <c r="AC172" s="53" t="str">
        <v/>
      </c>
      <c r="AD172" s="53" t="str">
        <v/>
      </c>
      <c r="AE172" s="53" t="str">
        <v/>
      </c>
      <c r="AF172" s="32" t="str">
        <f t="shared" si="9"/>
        <v/>
      </c>
      <c r="AG172" s="32" t="str">
        <f>_xlfn.XLOOKUP(B:B,Disk_Pivot!G:G,Disk_Pivot!I:I)</f>
        <v>Yes x2</v>
      </c>
      <c r="AH172" s="32" t="str">
        <f>_xlfn.XLOOKUP(B172,Disk_Pivot!G:G,Disk_Pivot!N:N)</f>
        <v>Pass, Fail</v>
      </c>
      <c r="AI172" s="32"/>
      <c r="AJ172" s="32"/>
      <c r="AK172" s="32"/>
      <c r="AL172" s="32"/>
      <c r="AM172" s="32"/>
      <c r="AN172" s="32"/>
    </row>
    <row r="173" spans="1:40">
      <c r="A173" s="32" t="str">
        <f>_xlfn.TEXTJOIN("",TRUE,_xlfn.XLOOKUP(B173,Input!J:J,Input!G:G,"",0,1),_xlfn.XLOOKUP(B173,Input!J:J,Input!H:H,"",0,1))</f>
        <v/>
      </c>
      <c r="B173" s="32"/>
      <c r="C173" s="53">
        <f>_xlfn.XLOOKUP(B173,Input!J:J,Input!F:F)</f>
        <v>0</v>
      </c>
      <c r="D173" s="32">
        <f>_xlfn.XLOOKUP(C173,Models!H:H,Models!G:G,C173)</f>
        <v>0</v>
      </c>
      <c r="E173" s="32"/>
      <c r="F173" s="32" t="str">
        <f>_xlfn.XLOOKUP(H173,Models!B:B,Models!F:F,"")</f>
        <v/>
      </c>
      <c r="G173" s="32">
        <f>_xlfn.XLOOKUP(B173,Input!J:J,Input!E:E)</f>
        <v>0</v>
      </c>
      <c r="H173" s="32">
        <f>IF(G173="LENOVO",_xlfn.XLOOKUP(B173,Input!J:J,Input!K:K),_xlfn.XLOOKUP(B173,Input!J:J,Input!L:L))</f>
        <v>0</v>
      </c>
      <c r="I173" s="32"/>
      <c r="J173" s="32"/>
      <c r="K173" s="32">
        <f>_xlfn.XLOOKUP(B173,CPU_Formula!A:A,CPU_Formula!I:I)</f>
        <v>0</v>
      </c>
      <c r="L173" s="53" t="e">
        <f>INDEX(Input!$D$2:$AC$500,
       MATCH(B173, Input!$J$2:$J$500, 0),
       MATCH("Memory Capacity", Input!$D$1:$AC$1, 0))</f>
        <v>#N/A</v>
      </c>
      <c r="M173" s="53" t="e">
        <f>INDEX(Input!$D$2:$AC$500,
       MATCH(B173, Input!$J$2:$J$500, 0),
       MATCH("Memory Type", Input!$D$1:$AC$1, 0))</f>
        <v>#N/A</v>
      </c>
      <c r="N173" s="53" t="e">
        <f t="shared" si="8"/>
        <v>#N/A</v>
      </c>
      <c r="O173" s="53" t="str" cm="1">
        <f t="array" ref="O173">IFERROR(_xlfn.FILTERXML("&lt;t&gt;&lt;s&gt;" &amp; SUBSTITUTE(M173," / ","&lt;/s&gt;&lt;s&gt;") &amp; "&lt;/s&gt;&lt;/t&gt;","(//s[contains(.,'DDR')])[1]"),"")</f>
        <v/>
      </c>
      <c r="P173" s="32" t="e">
        <f t="shared" si="10"/>
        <v>#N/A</v>
      </c>
      <c r="Q173" s="32"/>
      <c r="R173" s="32"/>
      <c r="S173" s="53" t="e">
        <f>_xlfn.LET(_xlpm.Result,INDEX(Input!$D$2:$AC$500,
       MATCH(B173, Input!$J$2:$J$500, 0),
       MATCH("Capacity", Input!$D$1:$AC$1, 0)),IF(_xlpm.Result="","",_xlpm.Result))</f>
        <v>#N/A</v>
      </c>
      <c r="T173" s="53" t="e" cm="1">
        <f t="array" ref="T173">_xlfn.TEXTSPLIT(S173," / ", ,TRUE,0,)</f>
        <v>#N/A</v>
      </c>
      <c r="U173" s="53"/>
      <c r="V173" s="53" t="str" cm="1">
        <f t="array" ref="V173">IFERROR(_xlfn.IFS(
T173="","",
--T173&lt;55,"Battery Defect",
--T173&lt;=69,"Battery D",
--T173&lt;=80,"Battery C",
--T173&gt;80,""
),"")</f>
        <v/>
      </c>
      <c r="W173" s="53" t="str" cm="1">
        <f t="array" ref="W173">IFERROR(_xlfn.IFS(
U173="","",
--U173&lt;55,"Battery Defect",
--U173&lt;=69,"Battery D",
--U173&lt;=80,"Battery C",
--U173&gt;80,""
),"")</f>
        <v/>
      </c>
      <c r="X173" s="53" t="str" cm="1">
        <f t="array" ref="X173:AE173">IFERROR(IF(_xlfn.XLOOKUP(B173,Input!J:J,Input!N:U)=0,"",
          _xlfn.XLOOKUP(B173,Input!J:J,Input!N:U)),"")</f>
        <v/>
      </c>
      <c r="Y173" s="53" t="str">
        <v/>
      </c>
      <c r="Z173" s="53" t="str">
        <v/>
      </c>
      <c r="AA173" s="53" t="str">
        <v/>
      </c>
      <c r="AB173" s="53" t="str">
        <v/>
      </c>
      <c r="AC173" s="53" t="str">
        <v/>
      </c>
      <c r="AD173" s="53" t="str">
        <v/>
      </c>
      <c r="AE173" s="53" t="str">
        <v/>
      </c>
      <c r="AF173" s="32" t="str">
        <f t="shared" si="9"/>
        <v/>
      </c>
      <c r="AG173" s="32" t="str">
        <f>_xlfn.XLOOKUP(B:B,Disk_Pivot!G:G,Disk_Pivot!I:I)</f>
        <v>Yes x2</v>
      </c>
      <c r="AH173" s="32" t="str">
        <f>_xlfn.XLOOKUP(B173,Disk_Pivot!G:G,Disk_Pivot!N:N)</f>
        <v>Pass, Fail</v>
      </c>
      <c r="AI173" s="32"/>
      <c r="AJ173" s="32"/>
      <c r="AK173" s="32"/>
      <c r="AL173" s="32"/>
      <c r="AM173" s="32"/>
      <c r="AN173" s="32"/>
    </row>
    <row r="174" spans="1:40">
      <c r="A174" s="32" t="str">
        <f>_xlfn.TEXTJOIN("",TRUE,_xlfn.XLOOKUP(B174,Input!J:J,Input!G:G,"",0,1),_xlfn.XLOOKUP(B174,Input!J:J,Input!H:H,"",0,1))</f>
        <v/>
      </c>
      <c r="B174" s="32"/>
      <c r="C174" s="53">
        <f>_xlfn.XLOOKUP(B174,Input!J:J,Input!F:F)</f>
        <v>0</v>
      </c>
      <c r="D174" s="32">
        <f>_xlfn.XLOOKUP(C174,Models!H:H,Models!G:G,C174)</f>
        <v>0</v>
      </c>
      <c r="E174" s="32"/>
      <c r="F174" s="32" t="str">
        <f>_xlfn.XLOOKUP(H174,Models!B:B,Models!F:F,"")</f>
        <v/>
      </c>
      <c r="G174" s="32">
        <f>_xlfn.XLOOKUP(B174,Input!J:J,Input!E:E)</f>
        <v>0</v>
      </c>
      <c r="H174" s="32">
        <f>IF(G174="LENOVO",_xlfn.XLOOKUP(B174,Input!J:J,Input!K:K),_xlfn.XLOOKUP(B174,Input!J:J,Input!L:L))</f>
        <v>0</v>
      </c>
      <c r="I174" s="32"/>
      <c r="J174" s="32"/>
      <c r="K174" s="32">
        <f>_xlfn.XLOOKUP(B174,CPU_Formula!A:A,CPU_Formula!I:I)</f>
        <v>0</v>
      </c>
      <c r="L174" s="53" t="e">
        <f>INDEX(Input!$D$2:$AC$500,
       MATCH(B174, Input!$J$2:$J$500, 0),
       MATCH("Memory Capacity", Input!$D$1:$AC$1, 0))</f>
        <v>#N/A</v>
      </c>
      <c r="M174" s="53" t="e">
        <f>INDEX(Input!$D$2:$AC$500,
       MATCH(B174, Input!$J$2:$J$500, 0),
       MATCH("Memory Type", Input!$D$1:$AC$1, 0))</f>
        <v>#N/A</v>
      </c>
      <c r="N174" s="53" t="e">
        <f t="shared" si="8"/>
        <v>#N/A</v>
      </c>
      <c r="O174" s="53" t="str" cm="1">
        <f t="array" ref="O174">IFERROR(_xlfn.FILTERXML("&lt;t&gt;&lt;s&gt;" &amp; SUBSTITUTE(M174," / ","&lt;/s&gt;&lt;s&gt;") &amp; "&lt;/s&gt;&lt;/t&gt;","(//s[contains(.,'DDR')])[1]"),"")</f>
        <v/>
      </c>
      <c r="P174" s="32" t="e">
        <f t="shared" si="10"/>
        <v>#N/A</v>
      </c>
      <c r="Q174" s="32"/>
      <c r="R174" s="32"/>
      <c r="S174" s="53" t="e">
        <f>_xlfn.LET(_xlpm.Result,INDEX(Input!$D$2:$AC$500,
       MATCH(B174, Input!$J$2:$J$500, 0),
       MATCH("Capacity", Input!$D$1:$AC$1, 0)),IF(_xlpm.Result="","",_xlpm.Result))</f>
        <v>#N/A</v>
      </c>
      <c r="T174" s="53" t="e" cm="1">
        <f t="array" ref="T174">_xlfn.TEXTSPLIT(S174," / ", ,TRUE,0,)</f>
        <v>#N/A</v>
      </c>
      <c r="U174" s="53"/>
      <c r="V174" s="53" t="str" cm="1">
        <f t="array" ref="V174">IFERROR(_xlfn.IFS(
T174="","",
--T174&lt;55,"Battery Defect",
--T174&lt;=69,"Battery D",
--T174&lt;=80,"Battery C",
--T174&gt;80,""
),"")</f>
        <v/>
      </c>
      <c r="W174" s="53" t="str" cm="1">
        <f t="array" ref="W174">IFERROR(_xlfn.IFS(
U174="","",
--U174&lt;55,"Battery Defect",
--U174&lt;=69,"Battery D",
--U174&lt;=80,"Battery C",
--U174&gt;80,""
),"")</f>
        <v/>
      </c>
      <c r="X174" s="53" t="str" cm="1">
        <f t="array" ref="X174:AE174">IFERROR(IF(_xlfn.XLOOKUP(B174,Input!J:J,Input!N:U)=0,"",
          _xlfn.XLOOKUP(B174,Input!J:J,Input!N:U)),"")</f>
        <v/>
      </c>
      <c r="Y174" s="53" t="str">
        <v/>
      </c>
      <c r="Z174" s="53" t="str">
        <v/>
      </c>
      <c r="AA174" s="53" t="str">
        <v/>
      </c>
      <c r="AB174" s="53" t="str">
        <v/>
      </c>
      <c r="AC174" s="53" t="str">
        <v/>
      </c>
      <c r="AD174" s="53" t="str">
        <v/>
      </c>
      <c r="AE174" s="53" t="str">
        <v/>
      </c>
      <c r="AF174" s="32" t="str">
        <f t="shared" si="9"/>
        <v/>
      </c>
      <c r="AG174" s="32" t="str">
        <f>_xlfn.XLOOKUP(B:B,Disk_Pivot!G:G,Disk_Pivot!I:I)</f>
        <v>Yes x2</v>
      </c>
      <c r="AH174" s="32" t="str">
        <f>_xlfn.XLOOKUP(B174,Disk_Pivot!G:G,Disk_Pivot!N:N)</f>
        <v>Pass, Fail</v>
      </c>
      <c r="AI174" s="32"/>
      <c r="AJ174" s="32"/>
      <c r="AK174" s="32"/>
      <c r="AL174" s="32"/>
      <c r="AM174" s="32"/>
      <c r="AN174" s="32"/>
    </row>
    <row r="175" spans="1:40">
      <c r="A175" s="32" t="str">
        <f>_xlfn.TEXTJOIN("",TRUE,_xlfn.XLOOKUP(B175,Input!J:J,Input!G:G,"",0,1),_xlfn.XLOOKUP(B175,Input!J:J,Input!H:H,"",0,1))</f>
        <v/>
      </c>
      <c r="B175" s="32"/>
      <c r="C175" s="53">
        <f>_xlfn.XLOOKUP(B175,Input!J:J,Input!F:F)</f>
        <v>0</v>
      </c>
      <c r="D175" s="32">
        <f>_xlfn.XLOOKUP(C175,Models!H:H,Models!G:G,C175)</f>
        <v>0</v>
      </c>
      <c r="E175" s="32"/>
      <c r="F175" s="32" t="str">
        <f>_xlfn.XLOOKUP(H175,Models!B:B,Models!F:F,"")</f>
        <v/>
      </c>
      <c r="G175" s="32">
        <f>_xlfn.XLOOKUP(B175,Input!J:J,Input!E:E)</f>
        <v>0</v>
      </c>
      <c r="H175" s="32">
        <f>IF(G175="LENOVO",_xlfn.XLOOKUP(B175,Input!J:J,Input!K:K),_xlfn.XLOOKUP(B175,Input!J:J,Input!L:L))</f>
        <v>0</v>
      </c>
      <c r="I175" s="32"/>
      <c r="J175" s="32"/>
      <c r="K175" s="32">
        <f>_xlfn.XLOOKUP(B175,CPU_Formula!A:A,CPU_Formula!I:I)</f>
        <v>0</v>
      </c>
      <c r="L175" s="53" t="e">
        <f>INDEX(Input!$D$2:$AC$500,
       MATCH(B175, Input!$J$2:$J$500, 0),
       MATCH("Memory Capacity", Input!$D$1:$AC$1, 0))</f>
        <v>#N/A</v>
      </c>
      <c r="M175" s="53" t="e">
        <f>INDEX(Input!$D$2:$AC$500,
       MATCH(B175, Input!$J$2:$J$500, 0),
       MATCH("Memory Type", Input!$D$1:$AC$1, 0))</f>
        <v>#N/A</v>
      </c>
      <c r="N175" s="53" t="e">
        <f t="shared" si="8"/>
        <v>#N/A</v>
      </c>
      <c r="O175" s="53" t="str" cm="1">
        <f t="array" ref="O175">IFERROR(_xlfn.FILTERXML("&lt;t&gt;&lt;s&gt;" &amp; SUBSTITUTE(M175," / ","&lt;/s&gt;&lt;s&gt;") &amp; "&lt;/s&gt;&lt;/t&gt;","(//s[contains(.,'DDR')])[1]"),"")</f>
        <v/>
      </c>
      <c r="P175" s="32" t="e">
        <f t="shared" si="10"/>
        <v>#N/A</v>
      </c>
      <c r="Q175" s="32"/>
      <c r="R175" s="32"/>
      <c r="S175" s="53" t="e">
        <f>_xlfn.LET(_xlpm.Result,INDEX(Input!$D$2:$AC$500,
       MATCH(B175, Input!$J$2:$J$500, 0),
       MATCH("Capacity", Input!$D$1:$AC$1, 0)),IF(_xlpm.Result="","",_xlpm.Result))</f>
        <v>#N/A</v>
      </c>
      <c r="T175" s="53" t="e" cm="1">
        <f t="array" ref="T175">_xlfn.TEXTSPLIT(S175," / ", ,TRUE,0,)</f>
        <v>#N/A</v>
      </c>
      <c r="U175" s="53"/>
      <c r="V175" s="53" t="str" cm="1">
        <f t="array" ref="V175">IFERROR(_xlfn.IFS(
T175="","",
--T175&lt;55,"Battery Defect",
--T175&lt;=69,"Battery D",
--T175&lt;=80,"Battery C",
--T175&gt;80,""
),"")</f>
        <v/>
      </c>
      <c r="W175" s="53" t="str" cm="1">
        <f t="array" ref="W175">IFERROR(_xlfn.IFS(
U175="","",
--U175&lt;55,"Battery Defect",
--U175&lt;=69,"Battery D",
--U175&lt;=80,"Battery C",
--U175&gt;80,""
),"")</f>
        <v/>
      </c>
      <c r="X175" s="53" t="str" cm="1">
        <f t="array" ref="X175:AE175">IFERROR(IF(_xlfn.XLOOKUP(B175,Input!J:J,Input!N:U)=0,"",
          _xlfn.XLOOKUP(B175,Input!J:J,Input!N:U)),"")</f>
        <v/>
      </c>
      <c r="Y175" s="53" t="str">
        <v/>
      </c>
      <c r="Z175" s="53" t="str">
        <v/>
      </c>
      <c r="AA175" s="53" t="str">
        <v/>
      </c>
      <c r="AB175" s="53" t="str">
        <v/>
      </c>
      <c r="AC175" s="53" t="str">
        <v/>
      </c>
      <c r="AD175" s="53" t="str">
        <v/>
      </c>
      <c r="AE175" s="53" t="str">
        <v/>
      </c>
      <c r="AF175" s="32" t="str">
        <f t="shared" si="9"/>
        <v/>
      </c>
      <c r="AG175" s="32" t="str">
        <f>_xlfn.XLOOKUP(B:B,Disk_Pivot!G:G,Disk_Pivot!I:I)</f>
        <v>Yes x2</v>
      </c>
      <c r="AH175" s="32" t="str">
        <f>_xlfn.XLOOKUP(B175,Disk_Pivot!G:G,Disk_Pivot!N:N)</f>
        <v>Pass, Fail</v>
      </c>
      <c r="AI175" s="32"/>
      <c r="AJ175" s="32"/>
      <c r="AK175" s="32"/>
      <c r="AL175" s="32"/>
      <c r="AM175" s="32"/>
      <c r="AN175" s="32"/>
    </row>
    <row r="176" spans="1:40">
      <c r="A176" s="32" t="str">
        <f>_xlfn.TEXTJOIN("",TRUE,_xlfn.XLOOKUP(B176,Input!J:J,Input!G:G,"",0,1),_xlfn.XLOOKUP(B176,Input!J:J,Input!H:H,"",0,1))</f>
        <v/>
      </c>
      <c r="B176" s="32"/>
      <c r="C176" s="53">
        <f>_xlfn.XLOOKUP(B176,Input!J:J,Input!F:F)</f>
        <v>0</v>
      </c>
      <c r="D176" s="32">
        <f>_xlfn.XLOOKUP(C176,Models!H:H,Models!G:G,C176)</f>
        <v>0</v>
      </c>
      <c r="E176" s="32"/>
      <c r="F176" s="32" t="str">
        <f>_xlfn.XLOOKUP(H176,Models!B:B,Models!F:F,"")</f>
        <v/>
      </c>
      <c r="G176" s="32">
        <f>_xlfn.XLOOKUP(B176,Input!J:J,Input!E:E)</f>
        <v>0</v>
      </c>
      <c r="H176" s="32">
        <f>IF(G176="LENOVO",_xlfn.XLOOKUP(B176,Input!J:J,Input!K:K),_xlfn.XLOOKUP(B176,Input!J:J,Input!L:L))</f>
        <v>0</v>
      </c>
      <c r="I176" s="32"/>
      <c r="J176" s="32"/>
      <c r="K176" s="32">
        <f>_xlfn.XLOOKUP(B176,CPU_Formula!A:A,CPU_Formula!I:I)</f>
        <v>0</v>
      </c>
      <c r="L176" s="53" t="e">
        <f>INDEX(Input!$D$2:$AC$500,
       MATCH(B176, Input!$J$2:$J$500, 0),
       MATCH("Memory Capacity", Input!$D$1:$AC$1, 0))</f>
        <v>#N/A</v>
      </c>
      <c r="M176" s="53" t="e">
        <f>INDEX(Input!$D$2:$AC$500,
       MATCH(B176, Input!$J$2:$J$500, 0),
       MATCH("Memory Type", Input!$D$1:$AC$1, 0))</f>
        <v>#N/A</v>
      </c>
      <c r="N176" s="53" t="e">
        <f t="shared" si="8"/>
        <v>#N/A</v>
      </c>
      <c r="O176" s="53" t="str" cm="1">
        <f t="array" ref="O176">IFERROR(_xlfn.FILTERXML("&lt;t&gt;&lt;s&gt;" &amp; SUBSTITUTE(M176," / ","&lt;/s&gt;&lt;s&gt;") &amp; "&lt;/s&gt;&lt;/t&gt;","(//s[contains(.,'DDR')])[1]"),"")</f>
        <v/>
      </c>
      <c r="P176" s="32" t="e">
        <f t="shared" si="10"/>
        <v>#N/A</v>
      </c>
      <c r="Q176" s="32"/>
      <c r="R176" s="32"/>
      <c r="S176" s="53" t="e">
        <f>_xlfn.LET(_xlpm.Result,INDEX(Input!$D$2:$AC$500,
       MATCH(B176, Input!$J$2:$J$500, 0),
       MATCH("Capacity", Input!$D$1:$AC$1, 0)),IF(_xlpm.Result="","",_xlpm.Result))</f>
        <v>#N/A</v>
      </c>
      <c r="T176" s="53" t="e" cm="1">
        <f t="array" ref="T176">_xlfn.TEXTSPLIT(S176," / ", ,TRUE,0,)</f>
        <v>#N/A</v>
      </c>
      <c r="U176" s="53"/>
      <c r="V176" s="53" t="str" cm="1">
        <f t="array" ref="V176">IFERROR(_xlfn.IFS(
T176="","",
--T176&lt;55,"Battery Defect",
--T176&lt;=69,"Battery D",
--T176&lt;=80,"Battery C",
--T176&gt;80,""
),"")</f>
        <v/>
      </c>
      <c r="W176" s="53" t="str" cm="1">
        <f t="array" ref="W176">IFERROR(_xlfn.IFS(
U176="","",
--U176&lt;55,"Battery Defect",
--U176&lt;=69,"Battery D",
--U176&lt;=80,"Battery C",
--U176&gt;80,""
),"")</f>
        <v/>
      </c>
      <c r="X176" s="53" t="str" cm="1">
        <f t="array" ref="X176:AE176">IFERROR(IF(_xlfn.XLOOKUP(B176,Input!J:J,Input!N:U)=0,"",
          _xlfn.XLOOKUP(B176,Input!J:J,Input!N:U)),"")</f>
        <v/>
      </c>
      <c r="Y176" s="53" t="str">
        <v/>
      </c>
      <c r="Z176" s="53" t="str">
        <v/>
      </c>
      <c r="AA176" s="53" t="str">
        <v/>
      </c>
      <c r="AB176" s="53" t="str">
        <v/>
      </c>
      <c r="AC176" s="53" t="str">
        <v/>
      </c>
      <c r="AD176" s="53" t="str">
        <v/>
      </c>
      <c r="AE176" s="53" t="str">
        <v/>
      </c>
      <c r="AF176" s="32" t="str">
        <f t="shared" si="9"/>
        <v/>
      </c>
      <c r="AG176" s="32" t="str">
        <f>_xlfn.XLOOKUP(B:B,Disk_Pivot!G:G,Disk_Pivot!I:I)</f>
        <v>Yes x2</v>
      </c>
      <c r="AH176" s="32" t="str">
        <f>_xlfn.XLOOKUP(B176,Disk_Pivot!G:G,Disk_Pivot!N:N)</f>
        <v>Pass, Fail</v>
      </c>
      <c r="AI176" s="32"/>
      <c r="AJ176" s="32"/>
      <c r="AK176" s="32"/>
      <c r="AL176" s="32"/>
      <c r="AM176" s="32"/>
      <c r="AN176" s="32"/>
    </row>
    <row r="177" spans="1:40">
      <c r="A177" s="32" t="str">
        <f>_xlfn.TEXTJOIN("",TRUE,_xlfn.XLOOKUP(B177,Input!J:J,Input!G:G,"",0,1),_xlfn.XLOOKUP(B177,Input!J:J,Input!H:H,"",0,1))</f>
        <v/>
      </c>
      <c r="B177" s="32"/>
      <c r="C177" s="53">
        <f>_xlfn.XLOOKUP(B177,Input!J:J,Input!F:F)</f>
        <v>0</v>
      </c>
      <c r="D177" s="32">
        <f>_xlfn.XLOOKUP(C177,Models!H:H,Models!G:G,C177)</f>
        <v>0</v>
      </c>
      <c r="E177" s="32"/>
      <c r="F177" s="32" t="str">
        <f>_xlfn.XLOOKUP(H177,Models!B:B,Models!F:F,"")</f>
        <v/>
      </c>
      <c r="G177" s="32">
        <f>_xlfn.XLOOKUP(B177,Input!J:J,Input!E:E)</f>
        <v>0</v>
      </c>
      <c r="H177" s="32">
        <f>IF(G177="LENOVO",_xlfn.XLOOKUP(B177,Input!J:J,Input!K:K),_xlfn.XLOOKUP(B177,Input!J:J,Input!L:L))</f>
        <v>0</v>
      </c>
      <c r="I177" s="32"/>
      <c r="J177" s="32"/>
      <c r="K177" s="32">
        <f>_xlfn.XLOOKUP(B177,CPU_Formula!A:A,CPU_Formula!I:I)</f>
        <v>0</v>
      </c>
      <c r="L177" s="53" t="e">
        <f>INDEX(Input!$D$2:$AC$500,
       MATCH(B177, Input!$J$2:$J$500, 0),
       MATCH("Memory Capacity", Input!$D$1:$AC$1, 0))</f>
        <v>#N/A</v>
      </c>
      <c r="M177" s="53" t="e">
        <f>INDEX(Input!$D$2:$AC$500,
       MATCH(B177, Input!$J$2:$J$500, 0),
       MATCH("Memory Type", Input!$D$1:$AC$1, 0))</f>
        <v>#N/A</v>
      </c>
      <c r="N177" s="53" t="e">
        <f t="shared" si="8"/>
        <v>#N/A</v>
      </c>
      <c r="O177" s="53" t="str" cm="1">
        <f t="array" ref="O177">IFERROR(_xlfn.FILTERXML("&lt;t&gt;&lt;s&gt;" &amp; SUBSTITUTE(M177," / ","&lt;/s&gt;&lt;s&gt;") &amp; "&lt;/s&gt;&lt;/t&gt;","(//s[contains(.,'DDR')])[1]"),"")</f>
        <v/>
      </c>
      <c r="P177" s="32" t="e">
        <f t="shared" si="10"/>
        <v>#N/A</v>
      </c>
      <c r="Q177" s="32"/>
      <c r="R177" s="32"/>
      <c r="S177" s="53" t="e">
        <f>_xlfn.LET(_xlpm.Result,INDEX(Input!$D$2:$AC$500,
       MATCH(B177, Input!$J$2:$J$500, 0),
       MATCH("Capacity", Input!$D$1:$AC$1, 0)),IF(_xlpm.Result="","",_xlpm.Result))</f>
        <v>#N/A</v>
      </c>
      <c r="T177" s="53" t="e" cm="1">
        <f t="array" ref="T177">_xlfn.TEXTSPLIT(S177," / ", ,TRUE,0,)</f>
        <v>#N/A</v>
      </c>
      <c r="U177" s="53"/>
      <c r="V177" s="53" t="str" cm="1">
        <f t="array" ref="V177">IFERROR(_xlfn.IFS(
T177="","",
--T177&lt;55,"Battery Defect",
--T177&lt;=69,"Battery D",
--T177&lt;=80,"Battery C",
--T177&gt;80,""
),"")</f>
        <v/>
      </c>
      <c r="W177" s="53" t="str" cm="1">
        <f t="array" ref="W177">IFERROR(_xlfn.IFS(
U177="","",
--U177&lt;55,"Battery Defect",
--U177&lt;=69,"Battery D",
--U177&lt;=80,"Battery C",
--U177&gt;80,""
),"")</f>
        <v/>
      </c>
      <c r="X177" s="53" t="str" cm="1">
        <f t="array" ref="X177:AE177">IFERROR(IF(_xlfn.XLOOKUP(B177,Input!J:J,Input!N:U)=0,"",
          _xlfn.XLOOKUP(B177,Input!J:J,Input!N:U)),"")</f>
        <v/>
      </c>
      <c r="Y177" s="53" t="str">
        <v/>
      </c>
      <c r="Z177" s="53" t="str">
        <v/>
      </c>
      <c r="AA177" s="53" t="str">
        <v/>
      </c>
      <c r="AB177" s="53" t="str">
        <v/>
      </c>
      <c r="AC177" s="53" t="str">
        <v/>
      </c>
      <c r="AD177" s="53" t="str">
        <v/>
      </c>
      <c r="AE177" s="53" t="str">
        <v/>
      </c>
      <c r="AF177" s="32" t="str">
        <f t="shared" si="9"/>
        <v/>
      </c>
      <c r="AG177" s="32" t="str">
        <f>_xlfn.XLOOKUP(B:B,Disk_Pivot!G:G,Disk_Pivot!I:I)</f>
        <v>Yes x2</v>
      </c>
      <c r="AH177" s="32" t="str">
        <f>_xlfn.XLOOKUP(B177,Disk_Pivot!G:G,Disk_Pivot!N:N)</f>
        <v>Pass, Fail</v>
      </c>
      <c r="AI177" s="32"/>
      <c r="AJ177" s="32"/>
      <c r="AK177" s="32"/>
      <c r="AL177" s="32"/>
      <c r="AM177" s="32"/>
      <c r="AN177" s="32"/>
    </row>
    <row r="178" spans="1:40">
      <c r="A178" s="32" t="str">
        <f>_xlfn.TEXTJOIN("",TRUE,_xlfn.XLOOKUP(B178,Input!J:J,Input!G:G,"",0,1),_xlfn.XLOOKUP(B178,Input!J:J,Input!H:H,"",0,1))</f>
        <v/>
      </c>
      <c r="B178" s="32"/>
      <c r="C178" s="53">
        <f>_xlfn.XLOOKUP(B178,Input!J:J,Input!F:F)</f>
        <v>0</v>
      </c>
      <c r="D178" s="32">
        <f>_xlfn.XLOOKUP(C178,Models!H:H,Models!G:G,C178)</f>
        <v>0</v>
      </c>
      <c r="E178" s="32"/>
      <c r="F178" s="32" t="str">
        <f>_xlfn.XLOOKUP(H178,Models!B:B,Models!F:F,"")</f>
        <v/>
      </c>
      <c r="G178" s="32">
        <f>_xlfn.XLOOKUP(B178,Input!J:J,Input!E:E)</f>
        <v>0</v>
      </c>
      <c r="H178" s="32">
        <f>IF(G178="LENOVO",_xlfn.XLOOKUP(B178,Input!J:J,Input!K:K),_xlfn.XLOOKUP(B178,Input!J:J,Input!L:L))</f>
        <v>0</v>
      </c>
      <c r="I178" s="32"/>
      <c r="J178" s="32"/>
      <c r="K178" s="32">
        <f>_xlfn.XLOOKUP(B178,CPU_Formula!A:A,CPU_Formula!I:I)</f>
        <v>0</v>
      </c>
      <c r="L178" s="53" t="e">
        <f>INDEX(Input!$D$2:$AC$500,
       MATCH(B178, Input!$J$2:$J$500, 0),
       MATCH("Memory Capacity", Input!$D$1:$AC$1, 0))</f>
        <v>#N/A</v>
      </c>
      <c r="M178" s="53" t="e">
        <f>INDEX(Input!$D$2:$AC$500,
       MATCH(B178, Input!$J$2:$J$500, 0),
       MATCH("Memory Type", Input!$D$1:$AC$1, 0))</f>
        <v>#N/A</v>
      </c>
      <c r="N178" s="53" t="e">
        <f t="shared" si="8"/>
        <v>#N/A</v>
      </c>
      <c r="O178" s="53" t="str" cm="1">
        <f t="array" ref="O178">IFERROR(_xlfn.FILTERXML("&lt;t&gt;&lt;s&gt;" &amp; SUBSTITUTE(M178," / ","&lt;/s&gt;&lt;s&gt;") &amp; "&lt;/s&gt;&lt;/t&gt;","(//s[contains(.,'DDR')])[1]"),"")</f>
        <v/>
      </c>
      <c r="P178" s="32" t="e">
        <f t="shared" si="10"/>
        <v>#N/A</v>
      </c>
      <c r="Q178" s="32"/>
      <c r="R178" s="32"/>
      <c r="S178" s="53" t="e">
        <f>_xlfn.LET(_xlpm.Result,INDEX(Input!$D$2:$AC$500,
       MATCH(B178, Input!$J$2:$J$500, 0),
       MATCH("Capacity", Input!$D$1:$AC$1, 0)),IF(_xlpm.Result="","",_xlpm.Result))</f>
        <v>#N/A</v>
      </c>
      <c r="T178" s="53" t="e" cm="1">
        <f t="array" ref="T178">_xlfn.TEXTSPLIT(S178," / ", ,TRUE,0,)</f>
        <v>#N/A</v>
      </c>
      <c r="U178" s="53"/>
      <c r="V178" s="53" t="str" cm="1">
        <f t="array" ref="V178">IFERROR(_xlfn.IFS(
T178="","",
--T178&lt;55,"Battery Defect",
--T178&lt;=69,"Battery D",
--T178&lt;=80,"Battery C",
--T178&gt;80,""
),"")</f>
        <v/>
      </c>
      <c r="W178" s="53" t="str" cm="1">
        <f t="array" ref="W178">IFERROR(_xlfn.IFS(
U178="","",
--U178&lt;55,"Battery Defect",
--U178&lt;=69,"Battery D",
--U178&lt;=80,"Battery C",
--U178&gt;80,""
),"")</f>
        <v/>
      </c>
      <c r="X178" s="53" t="str" cm="1">
        <f t="array" ref="X178:AE178">IFERROR(IF(_xlfn.XLOOKUP(B178,Input!J:J,Input!N:U)=0,"",
          _xlfn.XLOOKUP(B178,Input!J:J,Input!N:U)),"")</f>
        <v/>
      </c>
      <c r="Y178" s="53" t="str">
        <v/>
      </c>
      <c r="Z178" s="53" t="str">
        <v/>
      </c>
      <c r="AA178" s="53" t="str">
        <v/>
      </c>
      <c r="AB178" s="53" t="str">
        <v/>
      </c>
      <c r="AC178" s="53" t="str">
        <v/>
      </c>
      <c r="AD178" s="53" t="str">
        <v/>
      </c>
      <c r="AE178" s="53" t="str">
        <v/>
      </c>
      <c r="AF178" s="32" t="str">
        <f t="shared" si="9"/>
        <v/>
      </c>
      <c r="AG178" s="32" t="str">
        <f>_xlfn.XLOOKUP(B:B,Disk_Pivot!G:G,Disk_Pivot!I:I)</f>
        <v>Yes x2</v>
      </c>
      <c r="AH178" s="32" t="str">
        <f>_xlfn.XLOOKUP(B178,Disk_Pivot!G:G,Disk_Pivot!N:N)</f>
        <v>Pass, Fail</v>
      </c>
      <c r="AI178" s="32"/>
      <c r="AJ178" s="32"/>
      <c r="AK178" s="32"/>
      <c r="AL178" s="32"/>
      <c r="AM178" s="32"/>
      <c r="AN178" s="32"/>
    </row>
    <row r="179" spans="1:40">
      <c r="A179" s="32" t="str">
        <f>_xlfn.TEXTJOIN("",TRUE,_xlfn.XLOOKUP(B179,Input!J:J,Input!G:G,"",0,1),_xlfn.XLOOKUP(B179,Input!J:J,Input!H:H,"",0,1))</f>
        <v/>
      </c>
      <c r="B179" s="32"/>
      <c r="C179" s="53">
        <f>_xlfn.XLOOKUP(B179,Input!J:J,Input!F:F)</f>
        <v>0</v>
      </c>
      <c r="D179" s="32">
        <f>_xlfn.XLOOKUP(C179,Models!H:H,Models!G:G,C179)</f>
        <v>0</v>
      </c>
      <c r="E179" s="32"/>
      <c r="F179" s="32" t="str">
        <f>_xlfn.XLOOKUP(H179,Models!B:B,Models!F:F,"")</f>
        <v/>
      </c>
      <c r="G179" s="32">
        <f>_xlfn.XLOOKUP(B179,Input!J:J,Input!E:E)</f>
        <v>0</v>
      </c>
      <c r="H179" s="32">
        <f>IF(G179="LENOVO",_xlfn.XLOOKUP(B179,Input!J:J,Input!K:K),_xlfn.XLOOKUP(B179,Input!J:J,Input!L:L))</f>
        <v>0</v>
      </c>
      <c r="I179" s="32"/>
      <c r="J179" s="32"/>
      <c r="K179" s="32">
        <f>_xlfn.XLOOKUP(B179,CPU_Formula!A:A,CPU_Formula!I:I)</f>
        <v>0</v>
      </c>
      <c r="L179" s="53" t="e">
        <f>INDEX(Input!$D$2:$AC$500,
       MATCH(B179, Input!$J$2:$J$500, 0),
       MATCH("Memory Capacity", Input!$D$1:$AC$1, 0))</f>
        <v>#N/A</v>
      </c>
      <c r="M179" s="53" t="e">
        <f>INDEX(Input!$D$2:$AC$500,
       MATCH(B179, Input!$J$2:$J$500, 0),
       MATCH("Memory Type", Input!$D$1:$AC$1, 0))</f>
        <v>#N/A</v>
      </c>
      <c r="N179" s="53" t="e">
        <f t="shared" si="8"/>
        <v>#N/A</v>
      </c>
      <c r="O179" s="53" t="str" cm="1">
        <f t="array" ref="O179">IFERROR(_xlfn.FILTERXML("&lt;t&gt;&lt;s&gt;" &amp; SUBSTITUTE(M179," / ","&lt;/s&gt;&lt;s&gt;") &amp; "&lt;/s&gt;&lt;/t&gt;","(//s[contains(.,'DDR')])[1]"),"")</f>
        <v/>
      </c>
      <c r="P179" s="32" t="e">
        <f t="shared" si="10"/>
        <v>#N/A</v>
      </c>
      <c r="Q179" s="32"/>
      <c r="R179" s="32"/>
      <c r="S179" s="53" t="e">
        <f>_xlfn.LET(_xlpm.Result,INDEX(Input!$D$2:$AC$500,
       MATCH(B179, Input!$J$2:$J$500, 0),
       MATCH("Capacity", Input!$D$1:$AC$1, 0)),IF(_xlpm.Result="","",_xlpm.Result))</f>
        <v>#N/A</v>
      </c>
      <c r="T179" s="53" t="e" cm="1">
        <f t="array" ref="T179">_xlfn.TEXTSPLIT(S179," / ", ,TRUE,0,)</f>
        <v>#N/A</v>
      </c>
      <c r="U179" s="53"/>
      <c r="V179" s="53" t="str" cm="1">
        <f t="array" ref="V179">IFERROR(_xlfn.IFS(
T179="","",
--T179&lt;55,"Battery Defect",
--T179&lt;=69,"Battery D",
--T179&lt;=80,"Battery C",
--T179&gt;80,""
),"")</f>
        <v/>
      </c>
      <c r="W179" s="53" t="str" cm="1">
        <f t="array" ref="W179">IFERROR(_xlfn.IFS(
U179="","",
--U179&lt;55,"Battery Defect",
--U179&lt;=69,"Battery D",
--U179&lt;=80,"Battery C",
--U179&gt;80,""
),"")</f>
        <v/>
      </c>
      <c r="X179" s="53" t="str" cm="1">
        <f t="array" ref="X179:AE179">IFERROR(IF(_xlfn.XLOOKUP(B179,Input!J:J,Input!N:U)=0,"",
          _xlfn.XLOOKUP(B179,Input!J:J,Input!N:U)),"")</f>
        <v/>
      </c>
      <c r="Y179" s="53" t="str">
        <v/>
      </c>
      <c r="Z179" s="53" t="str">
        <v/>
      </c>
      <c r="AA179" s="53" t="str">
        <v/>
      </c>
      <c r="AB179" s="53" t="str">
        <v/>
      </c>
      <c r="AC179" s="53" t="str">
        <v/>
      </c>
      <c r="AD179" s="53" t="str">
        <v/>
      </c>
      <c r="AE179" s="53" t="str">
        <v/>
      </c>
      <c r="AF179" s="32" t="str">
        <f t="shared" si="9"/>
        <v/>
      </c>
      <c r="AG179" s="32" t="str">
        <f>_xlfn.XLOOKUP(B:B,Disk_Pivot!G:G,Disk_Pivot!I:I)</f>
        <v>Yes x2</v>
      </c>
      <c r="AH179" s="32" t="str">
        <f>_xlfn.XLOOKUP(B179,Disk_Pivot!G:G,Disk_Pivot!N:N)</f>
        <v>Pass, Fail</v>
      </c>
      <c r="AI179" s="32"/>
      <c r="AJ179" s="32"/>
      <c r="AK179" s="32"/>
      <c r="AL179" s="32"/>
      <c r="AM179" s="32"/>
      <c r="AN179" s="32"/>
    </row>
    <row r="180" spans="1:40">
      <c r="A180" s="32" t="str">
        <f>_xlfn.TEXTJOIN("",TRUE,_xlfn.XLOOKUP(B180,Input!J:J,Input!G:G,"",0,1),_xlfn.XLOOKUP(B180,Input!J:J,Input!H:H,"",0,1))</f>
        <v/>
      </c>
      <c r="B180" s="32"/>
      <c r="C180" s="53">
        <f>_xlfn.XLOOKUP(B180,Input!J:J,Input!F:F)</f>
        <v>0</v>
      </c>
      <c r="D180" s="32">
        <f>_xlfn.XLOOKUP(C180,Models!H:H,Models!G:G,C180)</f>
        <v>0</v>
      </c>
      <c r="E180" s="32"/>
      <c r="F180" s="32" t="str">
        <f>_xlfn.XLOOKUP(H180,Models!B:B,Models!F:F,"")</f>
        <v/>
      </c>
      <c r="G180" s="32">
        <f>_xlfn.XLOOKUP(B180,Input!J:J,Input!E:E)</f>
        <v>0</v>
      </c>
      <c r="H180" s="32">
        <f>IF(G180="LENOVO",_xlfn.XLOOKUP(B180,Input!J:J,Input!K:K),_xlfn.XLOOKUP(B180,Input!J:J,Input!L:L))</f>
        <v>0</v>
      </c>
      <c r="I180" s="32"/>
      <c r="J180" s="32"/>
      <c r="K180" s="32">
        <f>_xlfn.XLOOKUP(B180,CPU_Formula!A:A,CPU_Formula!I:I)</f>
        <v>0</v>
      </c>
      <c r="L180" s="53" t="e">
        <f>INDEX(Input!$D$2:$AC$500,
       MATCH(B180, Input!$J$2:$J$500, 0),
       MATCH("Memory Capacity", Input!$D$1:$AC$1, 0))</f>
        <v>#N/A</v>
      </c>
      <c r="M180" s="53" t="e">
        <f>INDEX(Input!$D$2:$AC$500,
       MATCH(B180, Input!$J$2:$J$500, 0),
       MATCH("Memory Type", Input!$D$1:$AC$1, 0))</f>
        <v>#N/A</v>
      </c>
      <c r="N180" s="53" t="e">
        <f t="shared" si="8"/>
        <v>#N/A</v>
      </c>
      <c r="O180" s="53" t="str" cm="1">
        <f t="array" ref="O180">IFERROR(_xlfn.FILTERXML("&lt;t&gt;&lt;s&gt;" &amp; SUBSTITUTE(M180," / ","&lt;/s&gt;&lt;s&gt;") &amp; "&lt;/s&gt;&lt;/t&gt;","(//s[contains(.,'DDR')])[1]"),"")</f>
        <v/>
      </c>
      <c r="P180" s="32" t="e">
        <f t="shared" si="10"/>
        <v>#N/A</v>
      </c>
      <c r="Q180" s="32"/>
      <c r="R180" s="32"/>
      <c r="S180" s="53" t="e">
        <f>_xlfn.LET(_xlpm.Result,INDEX(Input!$D$2:$AC$500,
       MATCH(B180, Input!$J$2:$J$500, 0),
       MATCH("Capacity", Input!$D$1:$AC$1, 0)),IF(_xlpm.Result="","",_xlpm.Result))</f>
        <v>#N/A</v>
      </c>
      <c r="T180" s="53" t="e" cm="1">
        <f t="array" ref="T180">_xlfn.TEXTSPLIT(S180," / ", ,TRUE,0,)</f>
        <v>#N/A</v>
      </c>
      <c r="U180" s="53"/>
      <c r="V180" s="53" t="str" cm="1">
        <f t="array" ref="V180">IFERROR(_xlfn.IFS(
T180="","",
--T180&lt;55,"Battery Defect",
--T180&lt;=69,"Battery D",
--T180&lt;=80,"Battery C",
--T180&gt;80,""
),"")</f>
        <v/>
      </c>
      <c r="W180" s="53" t="str" cm="1">
        <f t="array" ref="W180">IFERROR(_xlfn.IFS(
U180="","",
--U180&lt;55,"Battery Defect",
--U180&lt;=69,"Battery D",
--U180&lt;=80,"Battery C",
--U180&gt;80,""
),"")</f>
        <v/>
      </c>
      <c r="X180" s="53" t="str" cm="1">
        <f t="array" ref="X180:AE180">IFERROR(IF(_xlfn.XLOOKUP(B180,Input!J:J,Input!N:U)=0,"",
          _xlfn.XLOOKUP(B180,Input!J:J,Input!N:U)),"")</f>
        <v/>
      </c>
      <c r="Y180" s="53" t="str">
        <v/>
      </c>
      <c r="Z180" s="53" t="str">
        <v/>
      </c>
      <c r="AA180" s="53" t="str">
        <v/>
      </c>
      <c r="AB180" s="53" t="str">
        <v/>
      </c>
      <c r="AC180" s="53" t="str">
        <v/>
      </c>
      <c r="AD180" s="53" t="str">
        <v/>
      </c>
      <c r="AE180" s="53" t="str">
        <v/>
      </c>
      <c r="AF180" s="32" t="str">
        <f t="shared" si="9"/>
        <v/>
      </c>
      <c r="AG180" s="32" t="str">
        <f>_xlfn.XLOOKUP(B:B,Disk_Pivot!G:G,Disk_Pivot!I:I)</f>
        <v>Yes x2</v>
      </c>
      <c r="AH180" s="32" t="str">
        <f>_xlfn.XLOOKUP(B180,Disk_Pivot!G:G,Disk_Pivot!N:N)</f>
        <v>Pass, Fail</v>
      </c>
      <c r="AI180" s="32"/>
      <c r="AJ180" s="32"/>
      <c r="AK180" s="32"/>
      <c r="AL180" s="32"/>
      <c r="AM180" s="32"/>
      <c r="AN180" s="32"/>
    </row>
    <row r="181" spans="1:40">
      <c r="A181" s="32" t="str">
        <f>_xlfn.TEXTJOIN("",TRUE,_xlfn.XLOOKUP(B181,Input!J:J,Input!G:G,"",0,1),_xlfn.XLOOKUP(B181,Input!J:J,Input!H:H,"",0,1))</f>
        <v/>
      </c>
      <c r="B181" s="32"/>
      <c r="C181" s="53">
        <f>_xlfn.XLOOKUP(B181,Input!J:J,Input!F:F)</f>
        <v>0</v>
      </c>
      <c r="D181" s="32">
        <f>_xlfn.XLOOKUP(C181,Models!H:H,Models!G:G,C181)</f>
        <v>0</v>
      </c>
      <c r="E181" s="32"/>
      <c r="F181" s="32" t="str">
        <f>_xlfn.XLOOKUP(H181,Models!B:B,Models!F:F,"")</f>
        <v/>
      </c>
      <c r="G181" s="32">
        <f>_xlfn.XLOOKUP(B181,Input!J:J,Input!E:E)</f>
        <v>0</v>
      </c>
      <c r="H181" s="32">
        <f>IF(G181="LENOVO",_xlfn.XLOOKUP(B181,Input!J:J,Input!K:K),_xlfn.XLOOKUP(B181,Input!J:J,Input!L:L))</f>
        <v>0</v>
      </c>
      <c r="I181" s="32"/>
      <c r="J181" s="32"/>
      <c r="K181" s="32">
        <f>_xlfn.XLOOKUP(B181,CPU_Formula!A:A,CPU_Formula!I:I)</f>
        <v>0</v>
      </c>
      <c r="L181" s="53" t="e">
        <f>INDEX(Input!$D$2:$AC$500,
       MATCH(B181, Input!$J$2:$J$500, 0),
       MATCH("Memory Capacity", Input!$D$1:$AC$1, 0))</f>
        <v>#N/A</v>
      </c>
      <c r="M181" s="53" t="e">
        <f>INDEX(Input!$D$2:$AC$500,
       MATCH(B181, Input!$J$2:$J$500, 0),
       MATCH("Memory Type", Input!$D$1:$AC$1, 0))</f>
        <v>#N/A</v>
      </c>
      <c r="N181" s="53" t="e">
        <f t="shared" si="8"/>
        <v>#N/A</v>
      </c>
      <c r="O181" s="53" t="str" cm="1">
        <f t="array" ref="O181">IFERROR(_xlfn.FILTERXML("&lt;t&gt;&lt;s&gt;" &amp; SUBSTITUTE(M181," / ","&lt;/s&gt;&lt;s&gt;") &amp; "&lt;/s&gt;&lt;/t&gt;","(//s[contains(.,'DDR')])[1]"),"")</f>
        <v/>
      </c>
      <c r="P181" s="32" t="e">
        <f t="shared" si="10"/>
        <v>#N/A</v>
      </c>
      <c r="Q181" s="32"/>
      <c r="R181" s="32"/>
      <c r="S181" s="53" t="e">
        <f>_xlfn.LET(_xlpm.Result,INDEX(Input!$D$2:$AC$500,
       MATCH(B181, Input!$J$2:$J$500, 0),
       MATCH("Capacity", Input!$D$1:$AC$1, 0)),IF(_xlpm.Result="","",_xlpm.Result))</f>
        <v>#N/A</v>
      </c>
      <c r="T181" s="53" t="e" cm="1">
        <f t="array" ref="T181">_xlfn.TEXTSPLIT(S181," / ", ,TRUE,0,)</f>
        <v>#N/A</v>
      </c>
      <c r="U181" s="53"/>
      <c r="V181" s="53" t="str" cm="1">
        <f t="array" ref="V181">IFERROR(_xlfn.IFS(
T181="","",
--T181&lt;55,"Battery Defect",
--T181&lt;=69,"Battery D",
--T181&lt;=80,"Battery C",
--T181&gt;80,""
),"")</f>
        <v/>
      </c>
      <c r="W181" s="53" t="str" cm="1">
        <f t="array" ref="W181">IFERROR(_xlfn.IFS(
U181="","",
--U181&lt;55,"Battery Defect",
--U181&lt;=69,"Battery D",
--U181&lt;=80,"Battery C",
--U181&gt;80,""
),"")</f>
        <v/>
      </c>
      <c r="X181" s="53" t="str" cm="1">
        <f t="array" ref="X181:AE181">IFERROR(IF(_xlfn.XLOOKUP(B181,Input!J:J,Input!N:U)=0,"",
          _xlfn.XLOOKUP(B181,Input!J:J,Input!N:U)),"")</f>
        <v/>
      </c>
      <c r="Y181" s="53" t="str">
        <v/>
      </c>
      <c r="Z181" s="53" t="str">
        <v/>
      </c>
      <c r="AA181" s="53" t="str">
        <v/>
      </c>
      <c r="AB181" s="53" t="str">
        <v/>
      </c>
      <c r="AC181" s="53" t="str">
        <v/>
      </c>
      <c r="AD181" s="53" t="str">
        <v/>
      </c>
      <c r="AE181" s="53" t="str">
        <v/>
      </c>
      <c r="AF181" s="32" t="str">
        <f t="shared" si="9"/>
        <v/>
      </c>
      <c r="AG181" s="32" t="str">
        <f>_xlfn.XLOOKUP(B:B,Disk_Pivot!G:G,Disk_Pivot!I:I)</f>
        <v>Yes x2</v>
      </c>
      <c r="AH181" s="32" t="str">
        <f>_xlfn.XLOOKUP(B181,Disk_Pivot!G:G,Disk_Pivot!N:N)</f>
        <v>Pass, Fail</v>
      </c>
      <c r="AI181" s="32"/>
      <c r="AJ181" s="32"/>
      <c r="AK181" s="32"/>
      <c r="AL181" s="32"/>
      <c r="AM181" s="32"/>
      <c r="AN181" s="32"/>
    </row>
    <row r="182" spans="1:40">
      <c r="A182" s="32" t="str">
        <f>_xlfn.TEXTJOIN("",TRUE,_xlfn.XLOOKUP(B182,Input!J:J,Input!G:G,"",0,1),_xlfn.XLOOKUP(B182,Input!J:J,Input!H:H,"",0,1))</f>
        <v/>
      </c>
      <c r="B182" s="32"/>
      <c r="C182" s="53">
        <f>_xlfn.XLOOKUP(B182,Input!J:J,Input!F:F)</f>
        <v>0</v>
      </c>
      <c r="D182" s="32">
        <f>_xlfn.XLOOKUP(C182,Models!H:H,Models!G:G,C182)</f>
        <v>0</v>
      </c>
      <c r="E182" s="32"/>
      <c r="F182" s="32" t="str">
        <f>_xlfn.XLOOKUP(H182,Models!B:B,Models!F:F,"")</f>
        <v/>
      </c>
      <c r="G182" s="32">
        <f>_xlfn.XLOOKUP(B182,Input!J:J,Input!E:E)</f>
        <v>0</v>
      </c>
      <c r="H182" s="32">
        <f>IF(G182="LENOVO",_xlfn.XLOOKUP(B182,Input!J:J,Input!K:K),_xlfn.XLOOKUP(B182,Input!J:J,Input!L:L))</f>
        <v>0</v>
      </c>
      <c r="I182" s="32"/>
      <c r="J182" s="32"/>
      <c r="K182" s="32">
        <f>_xlfn.XLOOKUP(B182,CPU_Formula!A:A,CPU_Formula!I:I)</f>
        <v>0</v>
      </c>
      <c r="L182" s="53" t="e">
        <f>INDEX(Input!$D$2:$AC$500,
       MATCH(B182, Input!$J$2:$J$500, 0),
       MATCH("Memory Capacity", Input!$D$1:$AC$1, 0))</f>
        <v>#N/A</v>
      </c>
      <c r="M182" s="53" t="e">
        <f>INDEX(Input!$D$2:$AC$500,
       MATCH(B182, Input!$J$2:$J$500, 0),
       MATCH("Memory Type", Input!$D$1:$AC$1, 0))</f>
        <v>#N/A</v>
      </c>
      <c r="N182" s="53" t="e">
        <f t="shared" si="8"/>
        <v>#N/A</v>
      </c>
      <c r="O182" s="53" t="str" cm="1">
        <f t="array" ref="O182">IFERROR(_xlfn.FILTERXML("&lt;t&gt;&lt;s&gt;" &amp; SUBSTITUTE(M182," / ","&lt;/s&gt;&lt;s&gt;") &amp; "&lt;/s&gt;&lt;/t&gt;","(//s[contains(.,'DDR')])[1]"),"")</f>
        <v/>
      </c>
      <c r="P182" s="32" t="e">
        <f t="shared" si="10"/>
        <v>#N/A</v>
      </c>
      <c r="Q182" s="32"/>
      <c r="R182" s="32"/>
      <c r="S182" s="53" t="e">
        <f>_xlfn.LET(_xlpm.Result,INDEX(Input!$D$2:$AC$500,
       MATCH(B182, Input!$J$2:$J$500, 0),
       MATCH("Capacity", Input!$D$1:$AC$1, 0)),IF(_xlpm.Result="","",_xlpm.Result))</f>
        <v>#N/A</v>
      </c>
      <c r="T182" s="53" t="e" cm="1">
        <f t="array" ref="T182">_xlfn.TEXTSPLIT(S182," / ", ,TRUE,0,)</f>
        <v>#N/A</v>
      </c>
      <c r="U182" s="53"/>
      <c r="V182" s="53" t="str" cm="1">
        <f t="array" ref="V182">IFERROR(_xlfn.IFS(
T182="","",
--T182&lt;55,"Battery Defect",
--T182&lt;=69,"Battery D",
--T182&lt;=80,"Battery C",
--T182&gt;80,""
),"")</f>
        <v/>
      </c>
      <c r="W182" s="53" t="str" cm="1">
        <f t="array" ref="W182">IFERROR(_xlfn.IFS(
U182="","",
--U182&lt;55,"Battery Defect",
--U182&lt;=69,"Battery D",
--U182&lt;=80,"Battery C",
--U182&gt;80,""
),"")</f>
        <v/>
      </c>
      <c r="X182" s="53" t="str" cm="1">
        <f t="array" ref="X182:AE182">IFERROR(IF(_xlfn.XLOOKUP(B182,Input!J:J,Input!N:U)=0,"",
          _xlfn.XLOOKUP(B182,Input!J:J,Input!N:U)),"")</f>
        <v/>
      </c>
      <c r="Y182" s="53" t="str">
        <v/>
      </c>
      <c r="Z182" s="53" t="str">
        <v/>
      </c>
      <c r="AA182" s="53" t="str">
        <v/>
      </c>
      <c r="AB182" s="53" t="str">
        <v/>
      </c>
      <c r="AC182" s="53" t="str">
        <v/>
      </c>
      <c r="AD182" s="53" t="str">
        <v/>
      </c>
      <c r="AE182" s="53" t="str">
        <v/>
      </c>
      <c r="AF182" s="32" t="str">
        <f t="shared" si="9"/>
        <v/>
      </c>
      <c r="AG182" s="32" t="str">
        <f>_xlfn.XLOOKUP(B:B,Disk_Pivot!G:G,Disk_Pivot!I:I)</f>
        <v>Yes x2</v>
      </c>
      <c r="AH182" s="32" t="str">
        <f>_xlfn.XLOOKUP(B182,Disk_Pivot!G:G,Disk_Pivot!N:N)</f>
        <v>Pass, Fail</v>
      </c>
      <c r="AI182" s="32"/>
      <c r="AJ182" s="32"/>
      <c r="AK182" s="32"/>
      <c r="AL182" s="32"/>
      <c r="AM182" s="32"/>
      <c r="AN182" s="32"/>
    </row>
    <row r="183" spans="1:40">
      <c r="A183" s="32" t="str">
        <f>_xlfn.TEXTJOIN("",TRUE,_xlfn.XLOOKUP(B183,Input!J:J,Input!G:G,"",0,1),_xlfn.XLOOKUP(B183,Input!J:J,Input!H:H,"",0,1))</f>
        <v/>
      </c>
      <c r="B183" s="32"/>
      <c r="C183" s="53">
        <f>_xlfn.XLOOKUP(B183,Input!J:J,Input!F:F)</f>
        <v>0</v>
      </c>
      <c r="D183" s="32">
        <f>_xlfn.XLOOKUP(C183,Models!H:H,Models!G:G,C183)</f>
        <v>0</v>
      </c>
      <c r="E183" s="32"/>
      <c r="F183" s="32" t="str">
        <f>_xlfn.XLOOKUP(H183,Models!B:B,Models!F:F,"")</f>
        <v/>
      </c>
      <c r="G183" s="32">
        <f>_xlfn.XLOOKUP(B183,Input!J:J,Input!E:E)</f>
        <v>0</v>
      </c>
      <c r="H183" s="32">
        <f>IF(G183="LENOVO",_xlfn.XLOOKUP(B183,Input!J:J,Input!K:K),_xlfn.XLOOKUP(B183,Input!J:J,Input!L:L))</f>
        <v>0</v>
      </c>
      <c r="I183" s="32"/>
      <c r="J183" s="32"/>
      <c r="K183" s="32">
        <f>_xlfn.XLOOKUP(B183,CPU_Formula!A:A,CPU_Formula!I:I)</f>
        <v>0</v>
      </c>
      <c r="L183" s="53" t="e">
        <f>INDEX(Input!$D$2:$AC$500,
       MATCH(B183, Input!$J$2:$J$500, 0),
       MATCH("Memory Capacity", Input!$D$1:$AC$1, 0))</f>
        <v>#N/A</v>
      </c>
      <c r="M183" s="53" t="e">
        <f>INDEX(Input!$D$2:$AC$500,
       MATCH(B183, Input!$J$2:$J$500, 0),
       MATCH("Memory Type", Input!$D$1:$AC$1, 0))</f>
        <v>#N/A</v>
      </c>
      <c r="N183" s="53" t="e">
        <f t="shared" si="8"/>
        <v>#N/A</v>
      </c>
      <c r="O183" s="53" t="str" cm="1">
        <f t="array" ref="O183">IFERROR(_xlfn.FILTERXML("&lt;t&gt;&lt;s&gt;" &amp; SUBSTITUTE(M183," / ","&lt;/s&gt;&lt;s&gt;") &amp; "&lt;/s&gt;&lt;/t&gt;","(//s[contains(.,'DDR')])[1]"),"")</f>
        <v/>
      </c>
      <c r="P183" s="32" t="e">
        <f t="shared" si="10"/>
        <v>#N/A</v>
      </c>
      <c r="Q183" s="32"/>
      <c r="R183" s="32"/>
      <c r="S183" s="53" t="e">
        <f>_xlfn.LET(_xlpm.Result,INDEX(Input!$D$2:$AC$500,
       MATCH(B183, Input!$J$2:$J$500, 0),
       MATCH("Capacity", Input!$D$1:$AC$1, 0)),IF(_xlpm.Result="","",_xlpm.Result))</f>
        <v>#N/A</v>
      </c>
      <c r="T183" s="53" t="e" cm="1">
        <f t="array" ref="T183">_xlfn.TEXTSPLIT(S183," / ", ,TRUE,0,)</f>
        <v>#N/A</v>
      </c>
      <c r="U183" s="53"/>
      <c r="V183" s="53" t="str" cm="1">
        <f t="array" ref="V183">IFERROR(_xlfn.IFS(
T183="","",
--T183&lt;55,"Battery Defect",
--T183&lt;=69,"Battery D",
--T183&lt;=80,"Battery C",
--T183&gt;80,""
),"")</f>
        <v/>
      </c>
      <c r="W183" s="53" t="str" cm="1">
        <f t="array" ref="W183">IFERROR(_xlfn.IFS(
U183="","",
--U183&lt;55,"Battery Defect",
--U183&lt;=69,"Battery D",
--U183&lt;=80,"Battery C",
--U183&gt;80,""
),"")</f>
        <v/>
      </c>
      <c r="X183" s="53" t="str" cm="1">
        <f t="array" ref="X183:AE183">IFERROR(IF(_xlfn.XLOOKUP(B183,Input!J:J,Input!N:U)=0,"",
          _xlfn.XLOOKUP(B183,Input!J:J,Input!N:U)),"")</f>
        <v/>
      </c>
      <c r="Y183" s="53" t="str">
        <v/>
      </c>
      <c r="Z183" s="53" t="str">
        <v/>
      </c>
      <c r="AA183" s="53" t="str">
        <v/>
      </c>
      <c r="AB183" s="53" t="str">
        <v/>
      </c>
      <c r="AC183" s="53" t="str">
        <v/>
      </c>
      <c r="AD183" s="53" t="str">
        <v/>
      </c>
      <c r="AE183" s="53" t="str">
        <v/>
      </c>
      <c r="AF183" s="32" t="str">
        <f t="shared" si="9"/>
        <v/>
      </c>
      <c r="AG183" s="32" t="str">
        <f>_xlfn.XLOOKUP(B:B,Disk_Pivot!G:G,Disk_Pivot!I:I)</f>
        <v>Yes x2</v>
      </c>
      <c r="AH183" s="32" t="str">
        <f>_xlfn.XLOOKUP(B183,Disk_Pivot!G:G,Disk_Pivot!N:N)</f>
        <v>Pass, Fail</v>
      </c>
      <c r="AI183" s="32"/>
      <c r="AJ183" s="32"/>
      <c r="AK183" s="32"/>
      <c r="AL183" s="32"/>
      <c r="AM183" s="32"/>
      <c r="AN183" s="32"/>
    </row>
    <row r="184" spans="1:40">
      <c r="A184" s="32" t="str">
        <f>_xlfn.TEXTJOIN("",TRUE,_xlfn.XLOOKUP(B184,Input!J:J,Input!G:G,"",0,1),_xlfn.XLOOKUP(B184,Input!J:J,Input!H:H,"",0,1))</f>
        <v/>
      </c>
      <c r="B184" s="32"/>
      <c r="C184" s="53">
        <f>_xlfn.XLOOKUP(B184,Input!J:J,Input!F:F)</f>
        <v>0</v>
      </c>
      <c r="D184" s="32">
        <f>_xlfn.XLOOKUP(C184,Models!H:H,Models!G:G,C184)</f>
        <v>0</v>
      </c>
      <c r="E184" s="32"/>
      <c r="F184" s="32" t="str">
        <f>_xlfn.XLOOKUP(H184,Models!B:B,Models!F:F,"")</f>
        <v/>
      </c>
      <c r="G184" s="32">
        <f>_xlfn.XLOOKUP(B184,Input!J:J,Input!E:E)</f>
        <v>0</v>
      </c>
      <c r="H184" s="32">
        <f>IF(G184="LENOVO",_xlfn.XLOOKUP(B184,Input!J:J,Input!K:K),_xlfn.XLOOKUP(B184,Input!J:J,Input!L:L))</f>
        <v>0</v>
      </c>
      <c r="I184" s="32"/>
      <c r="J184" s="32"/>
      <c r="K184" s="32">
        <f>_xlfn.XLOOKUP(B184,CPU_Formula!A:A,CPU_Formula!I:I)</f>
        <v>0</v>
      </c>
      <c r="L184" s="53" t="e">
        <f>INDEX(Input!$D$2:$AC$500,
       MATCH(B184, Input!$J$2:$J$500, 0),
       MATCH("Memory Capacity", Input!$D$1:$AC$1, 0))</f>
        <v>#N/A</v>
      </c>
      <c r="M184" s="53" t="e">
        <f>INDEX(Input!$D$2:$AC$500,
       MATCH(B184, Input!$J$2:$J$500, 0),
       MATCH("Memory Type", Input!$D$1:$AC$1, 0))</f>
        <v>#N/A</v>
      </c>
      <c r="N184" s="53" t="e">
        <f t="shared" si="8"/>
        <v>#N/A</v>
      </c>
      <c r="O184" s="53" t="str" cm="1">
        <f t="array" ref="O184">IFERROR(_xlfn.FILTERXML("&lt;t&gt;&lt;s&gt;" &amp; SUBSTITUTE(M184," / ","&lt;/s&gt;&lt;s&gt;") &amp; "&lt;/s&gt;&lt;/t&gt;","(//s[contains(.,'DDR')])[1]"),"")</f>
        <v/>
      </c>
      <c r="P184" s="32" t="e">
        <f t="shared" si="10"/>
        <v>#N/A</v>
      </c>
      <c r="Q184" s="32"/>
      <c r="R184" s="32"/>
      <c r="S184" s="53" t="e">
        <f>_xlfn.LET(_xlpm.Result,INDEX(Input!$D$2:$AC$500,
       MATCH(B184, Input!$J$2:$J$500, 0),
       MATCH("Capacity", Input!$D$1:$AC$1, 0)),IF(_xlpm.Result="","",_xlpm.Result))</f>
        <v>#N/A</v>
      </c>
      <c r="T184" s="53" t="e" cm="1">
        <f t="array" ref="T184">_xlfn.TEXTSPLIT(S184," / ", ,TRUE,0,)</f>
        <v>#N/A</v>
      </c>
      <c r="U184" s="53"/>
      <c r="V184" s="53" t="str" cm="1">
        <f t="array" ref="V184">IFERROR(_xlfn.IFS(
T184="","",
--T184&lt;55,"Battery Defect",
--T184&lt;=69,"Battery D",
--T184&lt;=80,"Battery C",
--T184&gt;80,""
),"")</f>
        <v/>
      </c>
      <c r="W184" s="53" t="str" cm="1">
        <f t="array" ref="W184">IFERROR(_xlfn.IFS(
U184="","",
--U184&lt;55,"Battery Defect",
--U184&lt;=69,"Battery D",
--U184&lt;=80,"Battery C",
--U184&gt;80,""
),"")</f>
        <v/>
      </c>
      <c r="X184" s="53" t="str" cm="1">
        <f t="array" ref="X184:AE184">IFERROR(IF(_xlfn.XLOOKUP(B184,Input!J:J,Input!N:U)=0,"",
          _xlfn.XLOOKUP(B184,Input!J:J,Input!N:U)),"")</f>
        <v/>
      </c>
      <c r="Y184" s="53" t="str">
        <v/>
      </c>
      <c r="Z184" s="53" t="str">
        <v/>
      </c>
      <c r="AA184" s="53" t="str">
        <v/>
      </c>
      <c r="AB184" s="53" t="str">
        <v/>
      </c>
      <c r="AC184" s="53" t="str">
        <v/>
      </c>
      <c r="AD184" s="53" t="str">
        <v/>
      </c>
      <c r="AE184" s="53" t="str">
        <v/>
      </c>
      <c r="AF184" s="32" t="str">
        <f t="shared" si="9"/>
        <v/>
      </c>
      <c r="AG184" s="32" t="str">
        <f>_xlfn.XLOOKUP(B:B,Disk_Pivot!G:G,Disk_Pivot!I:I)</f>
        <v>Yes x2</v>
      </c>
      <c r="AH184" s="32" t="str">
        <f>_xlfn.XLOOKUP(B184,Disk_Pivot!G:G,Disk_Pivot!N:N)</f>
        <v>Pass, Fail</v>
      </c>
      <c r="AI184" s="32"/>
      <c r="AJ184" s="32"/>
      <c r="AK184" s="32"/>
      <c r="AL184" s="32"/>
      <c r="AM184" s="32"/>
      <c r="AN184" s="32"/>
    </row>
    <row r="185" spans="1:40">
      <c r="A185" s="32" t="str">
        <f>_xlfn.TEXTJOIN("",TRUE,_xlfn.XLOOKUP(B185,Input!J:J,Input!G:G,"",0,1),_xlfn.XLOOKUP(B185,Input!J:J,Input!H:H,"",0,1))</f>
        <v/>
      </c>
      <c r="B185" s="32"/>
      <c r="C185" s="53">
        <f>_xlfn.XLOOKUP(B185,Input!J:J,Input!F:F)</f>
        <v>0</v>
      </c>
      <c r="D185" s="32">
        <f>_xlfn.XLOOKUP(C185,Models!H:H,Models!G:G,C185)</f>
        <v>0</v>
      </c>
      <c r="E185" s="32"/>
      <c r="F185" s="32" t="str">
        <f>_xlfn.XLOOKUP(H185,Models!B:B,Models!F:F,"")</f>
        <v/>
      </c>
      <c r="G185" s="32">
        <f>_xlfn.XLOOKUP(B185,Input!J:J,Input!E:E)</f>
        <v>0</v>
      </c>
      <c r="H185" s="32">
        <f>IF(G185="LENOVO",_xlfn.XLOOKUP(B185,Input!J:J,Input!K:K),_xlfn.XLOOKUP(B185,Input!J:J,Input!L:L))</f>
        <v>0</v>
      </c>
      <c r="I185" s="32"/>
      <c r="J185" s="32"/>
      <c r="K185" s="32">
        <f>_xlfn.XLOOKUP(B185,CPU_Formula!A:A,CPU_Formula!I:I)</f>
        <v>0</v>
      </c>
      <c r="L185" s="53" t="e">
        <f>INDEX(Input!$D$2:$AC$500,
       MATCH(B185, Input!$J$2:$J$500, 0),
       MATCH("Memory Capacity", Input!$D$1:$AC$1, 0))</f>
        <v>#N/A</v>
      </c>
      <c r="M185" s="53" t="e">
        <f>INDEX(Input!$D$2:$AC$500,
       MATCH(B185, Input!$J$2:$J$500, 0),
       MATCH("Memory Type", Input!$D$1:$AC$1, 0))</f>
        <v>#N/A</v>
      </c>
      <c r="N185" s="53" t="e">
        <f t="shared" si="8"/>
        <v>#N/A</v>
      </c>
      <c r="O185" s="53" t="str" cm="1">
        <f t="array" ref="O185">IFERROR(_xlfn.FILTERXML("&lt;t&gt;&lt;s&gt;" &amp; SUBSTITUTE(M185," / ","&lt;/s&gt;&lt;s&gt;") &amp; "&lt;/s&gt;&lt;/t&gt;","(//s[contains(.,'DDR')])[1]"),"")</f>
        <v/>
      </c>
      <c r="P185" s="32" t="e">
        <f t="shared" si="10"/>
        <v>#N/A</v>
      </c>
      <c r="Q185" s="32"/>
      <c r="R185" s="32"/>
      <c r="S185" s="53" t="e">
        <f>_xlfn.LET(_xlpm.Result,INDEX(Input!$D$2:$AC$500,
       MATCH(B185, Input!$J$2:$J$500, 0),
       MATCH("Capacity", Input!$D$1:$AC$1, 0)),IF(_xlpm.Result="","",_xlpm.Result))</f>
        <v>#N/A</v>
      </c>
      <c r="T185" s="53" t="e" cm="1">
        <f t="array" ref="T185">_xlfn.TEXTSPLIT(S185," / ", ,TRUE,0,)</f>
        <v>#N/A</v>
      </c>
      <c r="U185" s="53"/>
      <c r="V185" s="53" t="str" cm="1">
        <f t="array" ref="V185">IFERROR(_xlfn.IFS(
T185="","",
--T185&lt;55,"Battery Defect",
--T185&lt;=69,"Battery D",
--T185&lt;=80,"Battery C",
--T185&gt;80,""
),"")</f>
        <v/>
      </c>
      <c r="W185" s="53" t="str" cm="1">
        <f t="array" ref="W185">IFERROR(_xlfn.IFS(
U185="","",
--U185&lt;55,"Battery Defect",
--U185&lt;=69,"Battery D",
--U185&lt;=80,"Battery C",
--U185&gt;80,""
),"")</f>
        <v/>
      </c>
      <c r="X185" s="53" t="str" cm="1">
        <f t="array" ref="X185:AE185">IFERROR(IF(_xlfn.XLOOKUP(B185,Input!J:J,Input!N:U)=0,"",
          _xlfn.XLOOKUP(B185,Input!J:J,Input!N:U)),"")</f>
        <v/>
      </c>
      <c r="Y185" s="53" t="str">
        <v/>
      </c>
      <c r="Z185" s="53" t="str">
        <v/>
      </c>
      <c r="AA185" s="53" t="str">
        <v/>
      </c>
      <c r="AB185" s="53" t="str">
        <v/>
      </c>
      <c r="AC185" s="53" t="str">
        <v/>
      </c>
      <c r="AD185" s="53" t="str">
        <v/>
      </c>
      <c r="AE185" s="53" t="str">
        <v/>
      </c>
      <c r="AF185" s="32" t="str">
        <f t="shared" si="9"/>
        <v/>
      </c>
      <c r="AG185" s="32" t="str">
        <f>_xlfn.XLOOKUP(B:B,Disk_Pivot!G:G,Disk_Pivot!I:I)</f>
        <v>Yes x2</v>
      </c>
      <c r="AH185" s="32" t="str">
        <f>_xlfn.XLOOKUP(B185,Disk_Pivot!G:G,Disk_Pivot!N:N)</f>
        <v>Pass, Fail</v>
      </c>
      <c r="AI185" s="32"/>
      <c r="AJ185" s="32"/>
      <c r="AK185" s="32"/>
      <c r="AL185" s="32"/>
      <c r="AM185" s="32"/>
      <c r="AN185" s="32"/>
    </row>
    <row r="186" spans="1:40">
      <c r="A186" s="32" t="str">
        <f>_xlfn.TEXTJOIN("",TRUE,_xlfn.XLOOKUP(B186,Input!J:J,Input!G:G,"",0,1),_xlfn.XLOOKUP(B186,Input!J:J,Input!H:H,"",0,1))</f>
        <v/>
      </c>
      <c r="B186" s="32"/>
      <c r="C186" s="53">
        <f>_xlfn.XLOOKUP(B186,Input!J:J,Input!F:F)</f>
        <v>0</v>
      </c>
      <c r="D186" s="32">
        <f>_xlfn.XLOOKUP(C186,Models!H:H,Models!G:G,C186)</f>
        <v>0</v>
      </c>
      <c r="E186" s="32"/>
      <c r="F186" s="32" t="str">
        <f>_xlfn.XLOOKUP(H186,Models!B:B,Models!F:F,"")</f>
        <v/>
      </c>
      <c r="G186" s="32">
        <f>_xlfn.XLOOKUP(B186,Input!J:J,Input!E:E)</f>
        <v>0</v>
      </c>
      <c r="H186" s="32">
        <f>IF(G186="LENOVO",_xlfn.XLOOKUP(B186,Input!J:J,Input!K:K),_xlfn.XLOOKUP(B186,Input!J:J,Input!L:L))</f>
        <v>0</v>
      </c>
      <c r="I186" s="32"/>
      <c r="J186" s="32"/>
      <c r="K186" s="32">
        <f>_xlfn.XLOOKUP(B186,CPU_Formula!A:A,CPU_Formula!I:I)</f>
        <v>0</v>
      </c>
      <c r="L186" s="53" t="e">
        <f>INDEX(Input!$D$2:$AC$500,
       MATCH(B186, Input!$J$2:$J$500, 0),
       MATCH("Memory Capacity", Input!$D$1:$AC$1, 0))</f>
        <v>#N/A</v>
      </c>
      <c r="M186" s="53" t="e">
        <f>INDEX(Input!$D$2:$AC$500,
       MATCH(B186, Input!$J$2:$J$500, 0),
       MATCH("Memory Type", Input!$D$1:$AC$1, 0))</f>
        <v>#N/A</v>
      </c>
      <c r="N186" s="53" t="e">
        <f t="shared" si="8"/>
        <v>#N/A</v>
      </c>
      <c r="O186" s="53" t="str" cm="1">
        <f t="array" ref="O186">IFERROR(_xlfn.FILTERXML("&lt;t&gt;&lt;s&gt;" &amp; SUBSTITUTE(M186," / ","&lt;/s&gt;&lt;s&gt;") &amp; "&lt;/s&gt;&lt;/t&gt;","(//s[contains(.,'DDR')])[1]"),"")</f>
        <v/>
      </c>
      <c r="P186" s="32" t="e">
        <f t="shared" si="10"/>
        <v>#N/A</v>
      </c>
      <c r="Q186" s="32"/>
      <c r="R186" s="32"/>
      <c r="S186" s="53" t="e">
        <f>_xlfn.LET(_xlpm.Result,INDEX(Input!$D$2:$AC$500,
       MATCH(B186, Input!$J$2:$J$500, 0),
       MATCH("Capacity", Input!$D$1:$AC$1, 0)),IF(_xlpm.Result="","",_xlpm.Result))</f>
        <v>#N/A</v>
      </c>
      <c r="T186" s="53" t="e" cm="1">
        <f t="array" ref="T186">_xlfn.TEXTSPLIT(S186," / ", ,TRUE,0,)</f>
        <v>#N/A</v>
      </c>
      <c r="U186" s="53"/>
      <c r="V186" s="53" t="str" cm="1">
        <f t="array" ref="V186">IFERROR(_xlfn.IFS(
T186="","",
--T186&lt;55,"Battery Defect",
--T186&lt;=69,"Battery D",
--T186&lt;=80,"Battery C",
--T186&gt;80,""
),"")</f>
        <v/>
      </c>
      <c r="W186" s="53" t="str" cm="1">
        <f t="array" ref="W186">IFERROR(_xlfn.IFS(
U186="","",
--U186&lt;55,"Battery Defect",
--U186&lt;=69,"Battery D",
--U186&lt;=80,"Battery C",
--U186&gt;80,""
),"")</f>
        <v/>
      </c>
      <c r="X186" s="53" t="str" cm="1">
        <f t="array" ref="X186:AE186">IFERROR(IF(_xlfn.XLOOKUP(B186,Input!J:J,Input!N:U)=0,"",
          _xlfn.XLOOKUP(B186,Input!J:J,Input!N:U)),"")</f>
        <v/>
      </c>
      <c r="Y186" s="53" t="str">
        <v/>
      </c>
      <c r="Z186" s="53" t="str">
        <v/>
      </c>
      <c r="AA186" s="53" t="str">
        <v/>
      </c>
      <c r="AB186" s="53" t="str">
        <v/>
      </c>
      <c r="AC186" s="53" t="str">
        <v/>
      </c>
      <c r="AD186" s="53" t="str">
        <v/>
      </c>
      <c r="AE186" s="53" t="str">
        <v/>
      </c>
      <c r="AF186" s="32" t="str">
        <f t="shared" si="9"/>
        <v/>
      </c>
      <c r="AG186" s="32" t="str">
        <f>_xlfn.XLOOKUP(B:B,Disk_Pivot!G:G,Disk_Pivot!I:I)</f>
        <v>Yes x2</v>
      </c>
      <c r="AH186" s="32" t="str">
        <f>_xlfn.XLOOKUP(B186,Disk_Pivot!G:G,Disk_Pivot!N:N)</f>
        <v>Pass, Fail</v>
      </c>
      <c r="AI186" s="32"/>
      <c r="AJ186" s="32"/>
      <c r="AK186" s="32"/>
      <c r="AL186" s="32"/>
      <c r="AM186" s="32"/>
      <c r="AN186" s="32"/>
    </row>
    <row r="187" spans="1:40">
      <c r="A187" s="32" t="str">
        <f>_xlfn.TEXTJOIN("",TRUE,_xlfn.XLOOKUP(B187,Input!J:J,Input!G:G,"",0,1),_xlfn.XLOOKUP(B187,Input!J:J,Input!H:H,"",0,1))</f>
        <v/>
      </c>
      <c r="B187" s="32"/>
      <c r="C187" s="53">
        <f>_xlfn.XLOOKUP(B187,Input!J:J,Input!F:F)</f>
        <v>0</v>
      </c>
      <c r="D187" s="32">
        <f>_xlfn.XLOOKUP(C187,Models!H:H,Models!G:G,C187)</f>
        <v>0</v>
      </c>
      <c r="E187" s="32"/>
      <c r="F187" s="32" t="str">
        <f>_xlfn.XLOOKUP(H187,Models!B:B,Models!F:F,"")</f>
        <v/>
      </c>
      <c r="G187" s="32">
        <f>_xlfn.XLOOKUP(B187,Input!J:J,Input!E:E)</f>
        <v>0</v>
      </c>
      <c r="H187" s="32">
        <f>IF(G187="LENOVO",_xlfn.XLOOKUP(B187,Input!J:J,Input!K:K),_xlfn.XLOOKUP(B187,Input!J:J,Input!L:L))</f>
        <v>0</v>
      </c>
      <c r="I187" s="32"/>
      <c r="J187" s="32"/>
      <c r="K187" s="32">
        <f>_xlfn.XLOOKUP(B187,CPU_Formula!A:A,CPU_Formula!I:I)</f>
        <v>0</v>
      </c>
      <c r="L187" s="53" t="e">
        <f>INDEX(Input!$D$2:$AC$500,
       MATCH(B187, Input!$J$2:$J$500, 0),
       MATCH("Memory Capacity", Input!$D$1:$AC$1, 0))</f>
        <v>#N/A</v>
      </c>
      <c r="M187" s="53" t="e">
        <f>INDEX(Input!$D$2:$AC$500,
       MATCH(B187, Input!$J$2:$J$500, 0),
       MATCH("Memory Type", Input!$D$1:$AC$1, 0))</f>
        <v>#N/A</v>
      </c>
      <c r="N187" s="53" t="e">
        <f t="shared" si="8"/>
        <v>#N/A</v>
      </c>
      <c r="O187" s="53" t="str" cm="1">
        <f t="array" ref="O187">IFERROR(_xlfn.FILTERXML("&lt;t&gt;&lt;s&gt;" &amp; SUBSTITUTE(M187," / ","&lt;/s&gt;&lt;s&gt;") &amp; "&lt;/s&gt;&lt;/t&gt;","(//s[contains(.,'DDR')])[1]"),"")</f>
        <v/>
      </c>
      <c r="P187" s="32" t="e">
        <f t="shared" si="10"/>
        <v>#N/A</v>
      </c>
      <c r="Q187" s="32"/>
      <c r="R187" s="32"/>
      <c r="S187" s="53" t="e">
        <f>_xlfn.LET(_xlpm.Result,INDEX(Input!$D$2:$AC$500,
       MATCH(B187, Input!$J$2:$J$500, 0),
       MATCH("Capacity", Input!$D$1:$AC$1, 0)),IF(_xlpm.Result="","",_xlpm.Result))</f>
        <v>#N/A</v>
      </c>
      <c r="T187" s="53" t="e" cm="1">
        <f t="array" ref="T187">_xlfn.TEXTSPLIT(S187," / ", ,TRUE,0,)</f>
        <v>#N/A</v>
      </c>
      <c r="U187" s="53"/>
      <c r="V187" s="53" t="str" cm="1">
        <f t="array" ref="V187">IFERROR(_xlfn.IFS(
T187="","",
--T187&lt;55,"Battery Defect",
--T187&lt;=69,"Battery D",
--T187&lt;=80,"Battery C",
--T187&gt;80,""
),"")</f>
        <v/>
      </c>
      <c r="W187" s="53" t="str" cm="1">
        <f t="array" ref="W187">IFERROR(_xlfn.IFS(
U187="","",
--U187&lt;55,"Battery Defect",
--U187&lt;=69,"Battery D",
--U187&lt;=80,"Battery C",
--U187&gt;80,""
),"")</f>
        <v/>
      </c>
      <c r="X187" s="53" t="str" cm="1">
        <f t="array" ref="X187:AE187">IFERROR(IF(_xlfn.XLOOKUP(B187,Input!J:J,Input!N:U)=0,"",
          _xlfn.XLOOKUP(B187,Input!J:J,Input!N:U)),"")</f>
        <v/>
      </c>
      <c r="Y187" s="53" t="str">
        <v/>
      </c>
      <c r="Z187" s="53" t="str">
        <v/>
      </c>
      <c r="AA187" s="53" t="str">
        <v/>
      </c>
      <c r="AB187" s="53" t="str">
        <v/>
      </c>
      <c r="AC187" s="53" t="str">
        <v/>
      </c>
      <c r="AD187" s="53" t="str">
        <v/>
      </c>
      <c r="AE187" s="53" t="str">
        <v/>
      </c>
      <c r="AF187" s="32" t="str">
        <f t="shared" si="9"/>
        <v/>
      </c>
      <c r="AG187" s="32" t="str">
        <f>_xlfn.XLOOKUP(B:B,Disk_Pivot!G:G,Disk_Pivot!I:I)</f>
        <v>Yes x2</v>
      </c>
      <c r="AH187" s="32" t="str">
        <f>_xlfn.XLOOKUP(B187,Disk_Pivot!G:G,Disk_Pivot!N:N)</f>
        <v>Pass, Fail</v>
      </c>
      <c r="AI187" s="32"/>
      <c r="AJ187" s="32"/>
      <c r="AK187" s="32"/>
      <c r="AL187" s="32"/>
      <c r="AM187" s="32"/>
      <c r="AN187" s="32"/>
    </row>
    <row r="188" spans="1:40">
      <c r="A188" s="32" t="str">
        <f>_xlfn.TEXTJOIN("",TRUE,_xlfn.XLOOKUP(B188,Input!J:J,Input!G:G,"",0,1),_xlfn.XLOOKUP(B188,Input!J:J,Input!H:H,"",0,1))</f>
        <v/>
      </c>
      <c r="B188" s="32"/>
      <c r="C188" s="53">
        <f>_xlfn.XLOOKUP(B188,Input!J:J,Input!F:F)</f>
        <v>0</v>
      </c>
      <c r="D188" s="32">
        <f>_xlfn.XLOOKUP(C188,Models!H:H,Models!G:G,C188)</f>
        <v>0</v>
      </c>
      <c r="E188" s="32"/>
      <c r="F188" s="32" t="str">
        <f>_xlfn.XLOOKUP(H188,Models!B:B,Models!F:F,"")</f>
        <v/>
      </c>
      <c r="G188" s="32">
        <f>_xlfn.XLOOKUP(B188,Input!J:J,Input!E:E)</f>
        <v>0</v>
      </c>
      <c r="H188" s="32">
        <f>IF(G188="LENOVO",_xlfn.XLOOKUP(B188,Input!J:J,Input!K:K),_xlfn.XLOOKUP(B188,Input!J:J,Input!L:L))</f>
        <v>0</v>
      </c>
      <c r="I188" s="32"/>
      <c r="J188" s="32"/>
      <c r="K188" s="32">
        <f>_xlfn.XLOOKUP(B188,CPU_Formula!A:A,CPU_Formula!I:I)</f>
        <v>0</v>
      </c>
      <c r="L188" s="53" t="e">
        <f>INDEX(Input!$D$2:$AC$500,
       MATCH(B188, Input!$J$2:$J$500, 0),
       MATCH("Memory Capacity", Input!$D$1:$AC$1, 0))</f>
        <v>#N/A</v>
      </c>
      <c r="M188" s="53" t="e">
        <f>INDEX(Input!$D$2:$AC$500,
       MATCH(B188, Input!$J$2:$J$500, 0),
       MATCH("Memory Type", Input!$D$1:$AC$1, 0))</f>
        <v>#N/A</v>
      </c>
      <c r="N188" s="53" t="e">
        <f t="shared" si="8"/>
        <v>#N/A</v>
      </c>
      <c r="O188" s="53" t="str" cm="1">
        <f t="array" ref="O188">IFERROR(_xlfn.FILTERXML("&lt;t&gt;&lt;s&gt;" &amp; SUBSTITUTE(M188," / ","&lt;/s&gt;&lt;s&gt;") &amp; "&lt;/s&gt;&lt;/t&gt;","(//s[contains(.,'DDR')])[1]"),"")</f>
        <v/>
      </c>
      <c r="P188" s="32" t="e">
        <f t="shared" si="10"/>
        <v>#N/A</v>
      </c>
      <c r="Q188" s="32"/>
      <c r="R188" s="32"/>
      <c r="S188" s="53" t="e">
        <f>_xlfn.LET(_xlpm.Result,INDEX(Input!$D$2:$AC$500,
       MATCH(B188, Input!$J$2:$J$500, 0),
       MATCH("Capacity", Input!$D$1:$AC$1, 0)),IF(_xlpm.Result="","",_xlpm.Result))</f>
        <v>#N/A</v>
      </c>
      <c r="T188" s="53" t="e" cm="1">
        <f t="array" ref="T188">_xlfn.TEXTSPLIT(S188," / ", ,TRUE,0,)</f>
        <v>#N/A</v>
      </c>
      <c r="U188" s="53"/>
      <c r="V188" s="53" t="str" cm="1">
        <f t="array" ref="V188">IFERROR(_xlfn.IFS(
T188="","",
--T188&lt;55,"Battery Defect",
--T188&lt;=69,"Battery D",
--T188&lt;=80,"Battery C",
--T188&gt;80,""
),"")</f>
        <v/>
      </c>
      <c r="W188" s="53" t="str" cm="1">
        <f t="array" ref="W188">IFERROR(_xlfn.IFS(
U188="","",
--U188&lt;55,"Battery Defect",
--U188&lt;=69,"Battery D",
--U188&lt;=80,"Battery C",
--U188&gt;80,""
),"")</f>
        <v/>
      </c>
      <c r="X188" s="53" t="str" cm="1">
        <f t="array" ref="X188:AE188">IFERROR(IF(_xlfn.XLOOKUP(B188,Input!J:J,Input!N:U)=0,"",
          _xlfn.XLOOKUP(B188,Input!J:J,Input!N:U)),"")</f>
        <v/>
      </c>
      <c r="Y188" s="53" t="str">
        <v/>
      </c>
      <c r="Z188" s="53" t="str">
        <v/>
      </c>
      <c r="AA188" s="53" t="str">
        <v/>
      </c>
      <c r="AB188" s="53" t="str">
        <v/>
      </c>
      <c r="AC188" s="53" t="str">
        <v/>
      </c>
      <c r="AD188" s="53" t="str">
        <v/>
      </c>
      <c r="AE188" s="53" t="str">
        <v/>
      </c>
      <c r="AF188" s="32" t="str">
        <f t="shared" si="9"/>
        <v/>
      </c>
      <c r="AG188" s="32" t="str">
        <f>_xlfn.XLOOKUP(B:B,Disk_Pivot!G:G,Disk_Pivot!I:I)</f>
        <v>Yes x2</v>
      </c>
      <c r="AH188" s="32" t="str">
        <f>_xlfn.XLOOKUP(B188,Disk_Pivot!G:G,Disk_Pivot!N:N)</f>
        <v>Pass, Fail</v>
      </c>
      <c r="AI188" s="32"/>
      <c r="AJ188" s="32"/>
      <c r="AK188" s="32"/>
      <c r="AL188" s="32"/>
      <c r="AM188" s="32"/>
      <c r="AN188" s="32"/>
    </row>
    <row r="189" spans="1:40">
      <c r="A189" s="32" t="str">
        <f>_xlfn.TEXTJOIN("",TRUE,_xlfn.XLOOKUP(B189,Input!J:J,Input!G:G,"",0,1),_xlfn.XLOOKUP(B189,Input!J:J,Input!H:H,"",0,1))</f>
        <v/>
      </c>
      <c r="B189" s="32"/>
      <c r="C189" s="53">
        <f>_xlfn.XLOOKUP(B189,Input!J:J,Input!F:F)</f>
        <v>0</v>
      </c>
      <c r="D189" s="32">
        <f>_xlfn.XLOOKUP(C189,Models!H:H,Models!G:G,C189)</f>
        <v>0</v>
      </c>
      <c r="E189" s="32"/>
      <c r="F189" s="32" t="str">
        <f>_xlfn.XLOOKUP(H189,Models!B:B,Models!F:F,"")</f>
        <v/>
      </c>
      <c r="G189" s="32">
        <f>_xlfn.XLOOKUP(B189,Input!J:J,Input!E:E)</f>
        <v>0</v>
      </c>
      <c r="H189" s="32">
        <f>IF(G189="LENOVO",_xlfn.XLOOKUP(B189,Input!J:J,Input!K:K),_xlfn.XLOOKUP(B189,Input!J:J,Input!L:L))</f>
        <v>0</v>
      </c>
      <c r="I189" s="32"/>
      <c r="J189" s="32"/>
      <c r="K189" s="32">
        <f>_xlfn.XLOOKUP(B189,CPU_Formula!A:A,CPU_Formula!I:I)</f>
        <v>0</v>
      </c>
      <c r="L189" s="53" t="e">
        <f>INDEX(Input!$D$2:$AC$500,
       MATCH(B189, Input!$J$2:$J$500, 0),
       MATCH("Memory Capacity", Input!$D$1:$AC$1, 0))</f>
        <v>#N/A</v>
      </c>
      <c r="M189" s="53" t="e">
        <f>INDEX(Input!$D$2:$AC$500,
       MATCH(B189, Input!$J$2:$J$500, 0),
       MATCH("Memory Type", Input!$D$1:$AC$1, 0))</f>
        <v>#N/A</v>
      </c>
      <c r="N189" s="53" t="e">
        <f t="shared" si="8"/>
        <v>#N/A</v>
      </c>
      <c r="O189" s="53" t="str" cm="1">
        <f t="array" ref="O189">IFERROR(_xlfn.FILTERXML("&lt;t&gt;&lt;s&gt;" &amp; SUBSTITUTE(M189," / ","&lt;/s&gt;&lt;s&gt;") &amp; "&lt;/s&gt;&lt;/t&gt;","(//s[contains(.,'DDR')])[1]"),"")</f>
        <v/>
      </c>
      <c r="P189" s="32" t="e">
        <f t="shared" si="10"/>
        <v>#N/A</v>
      </c>
      <c r="Q189" s="32"/>
      <c r="R189" s="32"/>
      <c r="S189" s="53" t="e">
        <f>_xlfn.LET(_xlpm.Result,INDEX(Input!$D$2:$AC$500,
       MATCH(B189, Input!$J$2:$J$500, 0),
       MATCH("Capacity", Input!$D$1:$AC$1, 0)),IF(_xlpm.Result="","",_xlpm.Result))</f>
        <v>#N/A</v>
      </c>
      <c r="T189" s="53" t="e" cm="1">
        <f t="array" ref="T189">_xlfn.TEXTSPLIT(S189," / ", ,TRUE,0,)</f>
        <v>#N/A</v>
      </c>
      <c r="U189" s="53"/>
      <c r="V189" s="53" t="str" cm="1">
        <f t="array" ref="V189">IFERROR(_xlfn.IFS(
T189="","",
--T189&lt;55,"Battery Defect",
--T189&lt;=69,"Battery D",
--T189&lt;=80,"Battery C",
--T189&gt;80,""
),"")</f>
        <v/>
      </c>
      <c r="W189" s="53" t="str" cm="1">
        <f t="array" ref="W189">IFERROR(_xlfn.IFS(
U189="","",
--U189&lt;55,"Battery Defect",
--U189&lt;=69,"Battery D",
--U189&lt;=80,"Battery C",
--U189&gt;80,""
),"")</f>
        <v/>
      </c>
      <c r="X189" s="53" t="str" cm="1">
        <f t="array" ref="X189:AE189">IFERROR(IF(_xlfn.XLOOKUP(B189,Input!J:J,Input!N:U)=0,"",
          _xlfn.XLOOKUP(B189,Input!J:J,Input!N:U)),"")</f>
        <v/>
      </c>
      <c r="Y189" s="53" t="str">
        <v/>
      </c>
      <c r="Z189" s="53" t="str">
        <v/>
      </c>
      <c r="AA189" s="53" t="str">
        <v/>
      </c>
      <c r="AB189" s="53" t="str">
        <v/>
      </c>
      <c r="AC189" s="53" t="str">
        <v/>
      </c>
      <c r="AD189" s="53" t="str">
        <v/>
      </c>
      <c r="AE189" s="53" t="str">
        <v/>
      </c>
      <c r="AF189" s="32" t="str">
        <f t="shared" si="9"/>
        <v/>
      </c>
      <c r="AG189" s="32" t="str">
        <f>_xlfn.XLOOKUP(B:B,Disk_Pivot!G:G,Disk_Pivot!I:I)</f>
        <v>Yes x2</v>
      </c>
      <c r="AH189" s="32" t="str">
        <f>_xlfn.XLOOKUP(B189,Disk_Pivot!G:G,Disk_Pivot!N:N)</f>
        <v>Pass, Fail</v>
      </c>
      <c r="AI189" s="32"/>
      <c r="AJ189" s="32"/>
      <c r="AK189" s="32"/>
      <c r="AL189" s="32"/>
      <c r="AM189" s="32"/>
      <c r="AN189" s="32"/>
    </row>
    <row r="190" spans="1:40">
      <c r="A190" s="32" t="str">
        <f>_xlfn.TEXTJOIN("",TRUE,_xlfn.XLOOKUP(B190,Input!J:J,Input!G:G,"",0,1),_xlfn.XLOOKUP(B190,Input!J:J,Input!H:H,"",0,1))</f>
        <v/>
      </c>
      <c r="B190" s="32"/>
      <c r="C190" s="53">
        <f>_xlfn.XLOOKUP(B190,Input!J:J,Input!F:F)</f>
        <v>0</v>
      </c>
      <c r="D190" s="32">
        <f>_xlfn.XLOOKUP(C190,Models!H:H,Models!G:G,C190)</f>
        <v>0</v>
      </c>
      <c r="E190" s="32"/>
      <c r="F190" s="32" t="str">
        <f>_xlfn.XLOOKUP(H190,Models!B:B,Models!F:F,"")</f>
        <v/>
      </c>
      <c r="G190" s="32">
        <f>_xlfn.XLOOKUP(B190,Input!J:J,Input!E:E)</f>
        <v>0</v>
      </c>
      <c r="H190" s="32">
        <f>IF(G190="LENOVO",_xlfn.XLOOKUP(B190,Input!J:J,Input!K:K),_xlfn.XLOOKUP(B190,Input!J:J,Input!L:L))</f>
        <v>0</v>
      </c>
      <c r="I190" s="32"/>
      <c r="J190" s="32"/>
      <c r="K190" s="32">
        <f>_xlfn.XLOOKUP(B190,CPU_Formula!A:A,CPU_Formula!I:I)</f>
        <v>0</v>
      </c>
      <c r="L190" s="53" t="e">
        <f>INDEX(Input!$D$2:$AC$500,
       MATCH(B190, Input!$J$2:$J$500, 0),
       MATCH("Memory Capacity", Input!$D$1:$AC$1, 0))</f>
        <v>#N/A</v>
      </c>
      <c r="M190" s="53" t="e">
        <f>INDEX(Input!$D$2:$AC$500,
       MATCH(B190, Input!$J$2:$J$500, 0),
       MATCH("Memory Type", Input!$D$1:$AC$1, 0))</f>
        <v>#N/A</v>
      </c>
      <c r="N190" s="53" t="e">
        <f t="shared" si="8"/>
        <v>#N/A</v>
      </c>
      <c r="O190" s="53" t="str" cm="1">
        <f t="array" ref="O190">IFERROR(_xlfn.FILTERXML("&lt;t&gt;&lt;s&gt;" &amp; SUBSTITUTE(M190," / ","&lt;/s&gt;&lt;s&gt;") &amp; "&lt;/s&gt;&lt;/t&gt;","(//s[contains(.,'DDR')])[1]"),"")</f>
        <v/>
      </c>
      <c r="P190" s="32" t="e">
        <f t="shared" si="10"/>
        <v>#N/A</v>
      </c>
      <c r="Q190" s="32"/>
      <c r="R190" s="32"/>
      <c r="S190" s="53" t="e">
        <f>_xlfn.LET(_xlpm.Result,INDEX(Input!$D$2:$AC$500,
       MATCH(B190, Input!$J$2:$J$500, 0),
       MATCH("Capacity", Input!$D$1:$AC$1, 0)),IF(_xlpm.Result="","",_xlpm.Result))</f>
        <v>#N/A</v>
      </c>
      <c r="T190" s="53" t="e" cm="1">
        <f t="array" ref="T190">_xlfn.TEXTSPLIT(S190," / ", ,TRUE,0,)</f>
        <v>#N/A</v>
      </c>
      <c r="U190" s="53"/>
      <c r="V190" s="53" t="str" cm="1">
        <f t="array" ref="V190">IFERROR(_xlfn.IFS(
T190="","",
--T190&lt;55,"Battery Defect",
--T190&lt;=69,"Battery D",
--T190&lt;=80,"Battery C",
--T190&gt;80,""
),"")</f>
        <v/>
      </c>
      <c r="W190" s="53" t="str" cm="1">
        <f t="array" ref="W190">IFERROR(_xlfn.IFS(
U190="","",
--U190&lt;55,"Battery Defect",
--U190&lt;=69,"Battery D",
--U190&lt;=80,"Battery C",
--U190&gt;80,""
),"")</f>
        <v/>
      </c>
      <c r="X190" s="53" t="str" cm="1">
        <f t="array" ref="X190:AE190">IFERROR(IF(_xlfn.XLOOKUP(B190,Input!J:J,Input!N:U)=0,"",
          _xlfn.XLOOKUP(B190,Input!J:J,Input!N:U)),"")</f>
        <v/>
      </c>
      <c r="Y190" s="53" t="str">
        <v/>
      </c>
      <c r="Z190" s="53" t="str">
        <v/>
      </c>
      <c r="AA190" s="53" t="str">
        <v/>
      </c>
      <c r="AB190" s="53" t="str">
        <v/>
      </c>
      <c r="AC190" s="53" t="str">
        <v/>
      </c>
      <c r="AD190" s="53" t="str">
        <v/>
      </c>
      <c r="AE190" s="53" t="str">
        <v/>
      </c>
      <c r="AF190" s="32" t="str">
        <f t="shared" si="9"/>
        <v/>
      </c>
      <c r="AG190" s="32" t="str">
        <f>_xlfn.XLOOKUP(B:B,Disk_Pivot!G:G,Disk_Pivot!I:I)</f>
        <v>Yes x2</v>
      </c>
      <c r="AH190" s="32" t="str">
        <f>_xlfn.XLOOKUP(B190,Disk_Pivot!G:G,Disk_Pivot!N:N)</f>
        <v>Pass, Fail</v>
      </c>
      <c r="AI190" s="32"/>
      <c r="AJ190" s="32"/>
      <c r="AK190" s="32"/>
      <c r="AL190" s="32"/>
      <c r="AM190" s="32"/>
      <c r="AN190" s="32"/>
    </row>
    <row r="191" spans="1:40">
      <c r="A191" s="32" t="str">
        <f>_xlfn.TEXTJOIN("",TRUE,_xlfn.XLOOKUP(B191,Input!J:J,Input!G:G,"",0,1),_xlfn.XLOOKUP(B191,Input!J:J,Input!H:H,"",0,1))</f>
        <v/>
      </c>
      <c r="B191" s="32"/>
      <c r="C191" s="53">
        <f>_xlfn.XLOOKUP(B191,Input!J:J,Input!F:F)</f>
        <v>0</v>
      </c>
      <c r="D191" s="32">
        <f>_xlfn.XLOOKUP(C191,Models!H:H,Models!G:G,C191)</f>
        <v>0</v>
      </c>
      <c r="E191" s="32"/>
      <c r="F191" s="32" t="str">
        <f>_xlfn.XLOOKUP(H191,Models!B:B,Models!F:F,"")</f>
        <v/>
      </c>
      <c r="G191" s="32">
        <f>_xlfn.XLOOKUP(B191,Input!J:J,Input!E:E)</f>
        <v>0</v>
      </c>
      <c r="H191" s="32">
        <f>IF(G191="LENOVO",_xlfn.XLOOKUP(B191,Input!J:J,Input!K:K),_xlfn.XLOOKUP(B191,Input!J:J,Input!L:L))</f>
        <v>0</v>
      </c>
      <c r="I191" s="32"/>
      <c r="J191" s="32"/>
      <c r="K191" s="32">
        <f>_xlfn.XLOOKUP(B191,CPU_Formula!A:A,CPU_Formula!I:I)</f>
        <v>0</v>
      </c>
      <c r="L191" s="53" t="e">
        <f>INDEX(Input!$D$2:$AC$500,
       MATCH(B191, Input!$J$2:$J$500, 0),
       MATCH("Memory Capacity", Input!$D$1:$AC$1, 0))</f>
        <v>#N/A</v>
      </c>
      <c r="M191" s="53" t="e">
        <f>INDEX(Input!$D$2:$AC$500,
       MATCH(B191, Input!$J$2:$J$500, 0),
       MATCH("Memory Type", Input!$D$1:$AC$1, 0))</f>
        <v>#N/A</v>
      </c>
      <c r="N191" s="53" t="e">
        <f t="shared" si="8"/>
        <v>#N/A</v>
      </c>
      <c r="O191" s="53" t="str" cm="1">
        <f t="array" ref="O191">IFERROR(_xlfn.FILTERXML("&lt;t&gt;&lt;s&gt;" &amp; SUBSTITUTE(M191," / ","&lt;/s&gt;&lt;s&gt;") &amp; "&lt;/s&gt;&lt;/t&gt;","(//s[contains(.,'DDR')])[1]"),"")</f>
        <v/>
      </c>
      <c r="P191" s="32" t="e">
        <f t="shared" si="10"/>
        <v>#N/A</v>
      </c>
      <c r="Q191" s="32"/>
      <c r="R191" s="32"/>
      <c r="S191" s="53" t="e">
        <f>_xlfn.LET(_xlpm.Result,INDEX(Input!$D$2:$AC$500,
       MATCH(B191, Input!$J$2:$J$500, 0),
       MATCH("Capacity", Input!$D$1:$AC$1, 0)),IF(_xlpm.Result="","",_xlpm.Result))</f>
        <v>#N/A</v>
      </c>
      <c r="T191" s="53" t="e" cm="1">
        <f t="array" ref="T191">_xlfn.TEXTSPLIT(S191," / ", ,TRUE,0,)</f>
        <v>#N/A</v>
      </c>
      <c r="U191" s="53"/>
      <c r="V191" s="53" t="str" cm="1">
        <f t="array" ref="V191">IFERROR(_xlfn.IFS(
T191="","",
--T191&lt;55,"Battery Defect",
--T191&lt;=69,"Battery D",
--T191&lt;=80,"Battery C",
--T191&gt;80,""
),"")</f>
        <v/>
      </c>
      <c r="W191" s="53" t="str" cm="1">
        <f t="array" ref="W191">IFERROR(_xlfn.IFS(
U191="","",
--U191&lt;55,"Battery Defect",
--U191&lt;=69,"Battery D",
--U191&lt;=80,"Battery C",
--U191&gt;80,""
),"")</f>
        <v/>
      </c>
      <c r="X191" s="53" t="str" cm="1">
        <f t="array" ref="X191:AE191">IFERROR(IF(_xlfn.XLOOKUP(B191,Input!J:J,Input!N:U)=0,"",
          _xlfn.XLOOKUP(B191,Input!J:J,Input!N:U)),"")</f>
        <v/>
      </c>
      <c r="Y191" s="53" t="str">
        <v/>
      </c>
      <c r="Z191" s="53" t="str">
        <v/>
      </c>
      <c r="AA191" s="53" t="str">
        <v/>
      </c>
      <c r="AB191" s="53" t="str">
        <v/>
      </c>
      <c r="AC191" s="53" t="str">
        <v/>
      </c>
      <c r="AD191" s="53" t="str">
        <v/>
      </c>
      <c r="AE191" s="53" t="str">
        <v/>
      </c>
      <c r="AF191" s="32" t="str">
        <f t="shared" si="9"/>
        <v/>
      </c>
      <c r="AG191" s="32" t="str">
        <f>_xlfn.XLOOKUP(B:B,Disk_Pivot!G:G,Disk_Pivot!I:I)</f>
        <v>Yes x2</v>
      </c>
      <c r="AH191" s="32" t="str">
        <f>_xlfn.XLOOKUP(B191,Disk_Pivot!G:G,Disk_Pivot!N:N)</f>
        <v>Pass, Fail</v>
      </c>
      <c r="AI191" s="32"/>
      <c r="AJ191" s="32"/>
      <c r="AK191" s="32"/>
      <c r="AL191" s="32"/>
      <c r="AM191" s="32"/>
      <c r="AN191" s="32"/>
    </row>
    <row r="192" spans="1:40">
      <c r="A192" s="32" t="str">
        <f>_xlfn.TEXTJOIN("",TRUE,_xlfn.XLOOKUP(B192,Input!J:J,Input!G:G,"",0,1),_xlfn.XLOOKUP(B192,Input!J:J,Input!H:H,"",0,1))</f>
        <v/>
      </c>
      <c r="B192" s="32"/>
      <c r="C192" s="53">
        <f>_xlfn.XLOOKUP(B192,Input!J:J,Input!F:F)</f>
        <v>0</v>
      </c>
      <c r="D192" s="32">
        <f>_xlfn.XLOOKUP(C192,Models!H:H,Models!G:G,C192)</f>
        <v>0</v>
      </c>
      <c r="E192" s="32"/>
      <c r="F192" s="32" t="str">
        <f>_xlfn.XLOOKUP(H192,Models!B:B,Models!F:F,"")</f>
        <v/>
      </c>
      <c r="G192" s="32">
        <f>_xlfn.XLOOKUP(B192,Input!J:J,Input!E:E)</f>
        <v>0</v>
      </c>
      <c r="H192" s="32">
        <f>IF(G192="LENOVO",_xlfn.XLOOKUP(B192,Input!J:J,Input!K:K),_xlfn.XLOOKUP(B192,Input!J:J,Input!L:L))</f>
        <v>0</v>
      </c>
      <c r="I192" s="32"/>
      <c r="J192" s="32"/>
      <c r="K192" s="32">
        <f>_xlfn.XLOOKUP(B192,CPU_Formula!A:A,CPU_Formula!I:I)</f>
        <v>0</v>
      </c>
      <c r="L192" s="53" t="e">
        <f>INDEX(Input!$D$2:$AC$500,
       MATCH(B192, Input!$J$2:$J$500, 0),
       MATCH("Memory Capacity", Input!$D$1:$AC$1, 0))</f>
        <v>#N/A</v>
      </c>
      <c r="M192" s="53" t="e">
        <f>INDEX(Input!$D$2:$AC$500,
       MATCH(B192, Input!$J$2:$J$500, 0),
       MATCH("Memory Type", Input!$D$1:$AC$1, 0))</f>
        <v>#N/A</v>
      </c>
      <c r="N192" s="53" t="e">
        <f t="shared" si="8"/>
        <v>#N/A</v>
      </c>
      <c r="O192" s="53" t="str" cm="1">
        <f t="array" ref="O192">IFERROR(_xlfn.FILTERXML("&lt;t&gt;&lt;s&gt;" &amp; SUBSTITUTE(M192," / ","&lt;/s&gt;&lt;s&gt;") &amp; "&lt;/s&gt;&lt;/t&gt;","(//s[contains(.,'DDR')])[1]"),"")</f>
        <v/>
      </c>
      <c r="P192" s="32" t="e">
        <f t="shared" si="10"/>
        <v>#N/A</v>
      </c>
      <c r="Q192" s="32"/>
      <c r="R192" s="32"/>
      <c r="S192" s="53" t="e">
        <f>_xlfn.LET(_xlpm.Result,INDEX(Input!$D$2:$AC$500,
       MATCH(B192, Input!$J$2:$J$500, 0),
       MATCH("Capacity", Input!$D$1:$AC$1, 0)),IF(_xlpm.Result="","",_xlpm.Result))</f>
        <v>#N/A</v>
      </c>
      <c r="T192" s="53" t="e" cm="1">
        <f t="array" ref="T192">_xlfn.TEXTSPLIT(S192," / ", ,TRUE,0,)</f>
        <v>#N/A</v>
      </c>
      <c r="U192" s="53"/>
      <c r="V192" s="53" t="str" cm="1">
        <f t="array" ref="V192">IFERROR(_xlfn.IFS(
T192="","",
--T192&lt;55,"Battery Defect",
--T192&lt;=69,"Battery D",
--T192&lt;=80,"Battery C",
--T192&gt;80,""
),"")</f>
        <v/>
      </c>
      <c r="W192" s="53" t="str" cm="1">
        <f t="array" ref="W192">IFERROR(_xlfn.IFS(
U192="","",
--U192&lt;55,"Battery Defect",
--U192&lt;=69,"Battery D",
--U192&lt;=80,"Battery C",
--U192&gt;80,""
),"")</f>
        <v/>
      </c>
      <c r="X192" s="53" t="str" cm="1">
        <f t="array" ref="X192:AE192">IFERROR(IF(_xlfn.XLOOKUP(B192,Input!J:J,Input!N:U)=0,"",
          _xlfn.XLOOKUP(B192,Input!J:J,Input!N:U)),"")</f>
        <v/>
      </c>
      <c r="Y192" s="53" t="str">
        <v/>
      </c>
      <c r="Z192" s="53" t="str">
        <v/>
      </c>
      <c r="AA192" s="53" t="str">
        <v/>
      </c>
      <c r="AB192" s="53" t="str">
        <v/>
      </c>
      <c r="AC192" s="53" t="str">
        <v/>
      </c>
      <c r="AD192" s="53" t="str">
        <v/>
      </c>
      <c r="AE192" s="53" t="str">
        <v/>
      </c>
      <c r="AF192" s="32" t="str">
        <f t="shared" si="9"/>
        <v/>
      </c>
      <c r="AG192" s="32" t="str">
        <f>_xlfn.XLOOKUP(B:B,Disk_Pivot!G:G,Disk_Pivot!I:I)</f>
        <v>Yes x2</v>
      </c>
      <c r="AH192" s="32" t="str">
        <f>_xlfn.XLOOKUP(B192,Disk_Pivot!G:G,Disk_Pivot!N:N)</f>
        <v>Pass, Fail</v>
      </c>
      <c r="AI192" s="32"/>
      <c r="AJ192" s="32"/>
      <c r="AK192" s="32"/>
      <c r="AL192" s="32"/>
      <c r="AM192" s="32"/>
      <c r="AN192" s="32"/>
    </row>
    <row r="193" spans="1:40">
      <c r="A193" s="32" t="str">
        <f>_xlfn.TEXTJOIN("",TRUE,_xlfn.XLOOKUP(B193,Input!J:J,Input!G:G,"",0,1),_xlfn.XLOOKUP(B193,Input!J:J,Input!H:H,"",0,1))</f>
        <v/>
      </c>
      <c r="B193" s="32"/>
      <c r="C193" s="53">
        <f>_xlfn.XLOOKUP(B193,Input!J:J,Input!F:F)</f>
        <v>0</v>
      </c>
      <c r="D193" s="32">
        <f>_xlfn.XLOOKUP(C193,Models!H:H,Models!G:G,C193)</f>
        <v>0</v>
      </c>
      <c r="E193" s="32"/>
      <c r="F193" s="32" t="str">
        <f>_xlfn.XLOOKUP(H193,Models!B:B,Models!F:F,"")</f>
        <v/>
      </c>
      <c r="G193" s="32">
        <f>_xlfn.XLOOKUP(B193,Input!J:J,Input!E:E)</f>
        <v>0</v>
      </c>
      <c r="H193" s="32">
        <f>IF(G193="LENOVO",_xlfn.XLOOKUP(B193,Input!J:J,Input!K:K),_xlfn.XLOOKUP(B193,Input!J:J,Input!L:L))</f>
        <v>0</v>
      </c>
      <c r="I193" s="32"/>
      <c r="J193" s="32"/>
      <c r="K193" s="32">
        <f>_xlfn.XLOOKUP(B193,CPU_Formula!A:A,CPU_Formula!I:I)</f>
        <v>0</v>
      </c>
      <c r="L193" s="53" t="e">
        <f>INDEX(Input!$D$2:$AC$500,
       MATCH(B193, Input!$J$2:$J$500, 0),
       MATCH("Memory Capacity", Input!$D$1:$AC$1, 0))</f>
        <v>#N/A</v>
      </c>
      <c r="M193" s="53" t="e">
        <f>INDEX(Input!$D$2:$AC$500,
       MATCH(B193, Input!$J$2:$J$500, 0),
       MATCH("Memory Type", Input!$D$1:$AC$1, 0))</f>
        <v>#N/A</v>
      </c>
      <c r="N193" s="53" t="e">
        <f t="shared" si="8"/>
        <v>#N/A</v>
      </c>
      <c r="O193" s="53" t="str" cm="1">
        <f t="array" ref="O193">IFERROR(_xlfn.FILTERXML("&lt;t&gt;&lt;s&gt;" &amp; SUBSTITUTE(M193," / ","&lt;/s&gt;&lt;s&gt;") &amp; "&lt;/s&gt;&lt;/t&gt;","(//s[contains(.,'DDR')])[1]"),"")</f>
        <v/>
      </c>
      <c r="P193" s="32" t="e">
        <f t="shared" si="10"/>
        <v>#N/A</v>
      </c>
      <c r="Q193" s="32"/>
      <c r="R193" s="32"/>
      <c r="S193" s="53" t="e">
        <f>_xlfn.LET(_xlpm.Result,INDEX(Input!$D$2:$AC$500,
       MATCH(B193, Input!$J$2:$J$500, 0),
       MATCH("Capacity", Input!$D$1:$AC$1, 0)),IF(_xlpm.Result="","",_xlpm.Result))</f>
        <v>#N/A</v>
      </c>
      <c r="T193" s="53" t="e" cm="1">
        <f t="array" ref="T193">_xlfn.TEXTSPLIT(S193," / ", ,TRUE,0,)</f>
        <v>#N/A</v>
      </c>
      <c r="U193" s="53"/>
      <c r="V193" s="53" t="str" cm="1">
        <f t="array" ref="V193">IFERROR(_xlfn.IFS(
T193="","",
--T193&lt;55,"Battery Defect",
--T193&lt;=69,"Battery D",
--T193&lt;=80,"Battery C",
--T193&gt;80,""
),"")</f>
        <v/>
      </c>
      <c r="W193" s="53" t="str" cm="1">
        <f t="array" ref="W193">IFERROR(_xlfn.IFS(
U193="","",
--U193&lt;55,"Battery Defect",
--U193&lt;=69,"Battery D",
--U193&lt;=80,"Battery C",
--U193&gt;80,""
),"")</f>
        <v/>
      </c>
      <c r="X193" s="53" t="str" cm="1">
        <f t="array" ref="X193:AE193">IFERROR(IF(_xlfn.XLOOKUP(B193,Input!J:J,Input!N:U)=0,"",
          _xlfn.XLOOKUP(B193,Input!J:J,Input!N:U)),"")</f>
        <v/>
      </c>
      <c r="Y193" s="53" t="str">
        <v/>
      </c>
      <c r="Z193" s="53" t="str">
        <v/>
      </c>
      <c r="AA193" s="53" t="str">
        <v/>
      </c>
      <c r="AB193" s="53" t="str">
        <v/>
      </c>
      <c r="AC193" s="53" t="str">
        <v/>
      </c>
      <c r="AD193" s="53" t="str">
        <v/>
      </c>
      <c r="AE193" s="53" t="str">
        <v/>
      </c>
      <c r="AF193" s="32" t="str">
        <f t="shared" si="9"/>
        <v/>
      </c>
      <c r="AG193" s="32" t="str">
        <f>_xlfn.XLOOKUP(B:B,Disk_Pivot!G:G,Disk_Pivot!I:I)</f>
        <v>Yes x2</v>
      </c>
      <c r="AH193" s="32" t="str">
        <f>_xlfn.XLOOKUP(B193,Disk_Pivot!G:G,Disk_Pivot!N:N)</f>
        <v>Pass, Fail</v>
      </c>
      <c r="AI193" s="32"/>
      <c r="AJ193" s="32"/>
      <c r="AK193" s="32"/>
      <c r="AL193" s="32"/>
      <c r="AM193" s="32"/>
      <c r="AN193" s="32"/>
    </row>
    <row r="194" spans="1:40">
      <c r="A194" s="32" t="str">
        <f>_xlfn.TEXTJOIN("",TRUE,_xlfn.XLOOKUP(B194,Input!J:J,Input!G:G,"",0,1),_xlfn.XLOOKUP(B194,Input!J:J,Input!H:H,"",0,1))</f>
        <v/>
      </c>
      <c r="B194" s="32"/>
      <c r="C194" s="53">
        <f>_xlfn.XLOOKUP(B194,Input!J:J,Input!F:F)</f>
        <v>0</v>
      </c>
      <c r="D194" s="32">
        <f>_xlfn.XLOOKUP(C194,Models!H:H,Models!G:G,C194)</f>
        <v>0</v>
      </c>
      <c r="E194" s="32"/>
      <c r="F194" s="32" t="str">
        <f>_xlfn.XLOOKUP(H194,Models!B:B,Models!F:F,"")</f>
        <v/>
      </c>
      <c r="G194" s="32">
        <f>_xlfn.XLOOKUP(B194,Input!J:J,Input!E:E)</f>
        <v>0</v>
      </c>
      <c r="H194" s="32">
        <f>IF(G194="LENOVO",_xlfn.XLOOKUP(B194,Input!J:J,Input!K:K),_xlfn.XLOOKUP(B194,Input!J:J,Input!L:L))</f>
        <v>0</v>
      </c>
      <c r="I194" s="32"/>
      <c r="J194" s="32"/>
      <c r="K194" s="32">
        <f>_xlfn.XLOOKUP(B194,CPU_Formula!A:A,CPU_Formula!I:I)</f>
        <v>0</v>
      </c>
      <c r="L194" s="53" t="e">
        <f>INDEX(Input!$D$2:$AC$500,
       MATCH(B194, Input!$J$2:$J$500, 0),
       MATCH("Memory Capacity", Input!$D$1:$AC$1, 0))</f>
        <v>#N/A</v>
      </c>
      <c r="M194" s="53" t="e">
        <f>INDEX(Input!$D$2:$AC$500,
       MATCH(B194, Input!$J$2:$J$500, 0),
       MATCH("Memory Type", Input!$D$1:$AC$1, 0))</f>
        <v>#N/A</v>
      </c>
      <c r="N194" s="53" t="e">
        <f t="shared" si="8"/>
        <v>#N/A</v>
      </c>
      <c r="O194" s="53" t="str" cm="1">
        <f t="array" ref="O194">IFERROR(_xlfn.FILTERXML("&lt;t&gt;&lt;s&gt;" &amp; SUBSTITUTE(M194," / ","&lt;/s&gt;&lt;s&gt;") &amp; "&lt;/s&gt;&lt;/t&gt;","(//s[contains(.,'DDR')])[1]"),"")</f>
        <v/>
      </c>
      <c r="P194" s="32" t="e">
        <f t="shared" si="10"/>
        <v>#N/A</v>
      </c>
      <c r="Q194" s="32"/>
      <c r="R194" s="32"/>
      <c r="S194" s="53" t="e">
        <f>_xlfn.LET(_xlpm.Result,INDEX(Input!$D$2:$AC$500,
       MATCH(B194, Input!$J$2:$J$500, 0),
       MATCH("Capacity", Input!$D$1:$AC$1, 0)),IF(_xlpm.Result="","",_xlpm.Result))</f>
        <v>#N/A</v>
      </c>
      <c r="T194" s="53" t="e" cm="1">
        <f t="array" ref="T194">_xlfn.TEXTSPLIT(S194," / ", ,TRUE,0,)</f>
        <v>#N/A</v>
      </c>
      <c r="U194" s="53"/>
      <c r="V194" s="53" t="str" cm="1">
        <f t="array" ref="V194">IFERROR(_xlfn.IFS(
T194="","",
--T194&lt;55,"Battery Defect",
--T194&lt;=69,"Battery D",
--T194&lt;=80,"Battery C",
--T194&gt;80,""
),"")</f>
        <v/>
      </c>
      <c r="W194" s="53" t="str" cm="1">
        <f t="array" ref="W194">IFERROR(_xlfn.IFS(
U194="","",
--U194&lt;55,"Battery Defect",
--U194&lt;=69,"Battery D",
--U194&lt;=80,"Battery C",
--U194&gt;80,""
),"")</f>
        <v/>
      </c>
      <c r="X194" s="53" t="str" cm="1">
        <f t="array" ref="X194:AE194">IFERROR(IF(_xlfn.XLOOKUP(B194,Input!J:J,Input!N:U)=0,"",
          _xlfn.XLOOKUP(B194,Input!J:J,Input!N:U)),"")</f>
        <v/>
      </c>
      <c r="Y194" s="53" t="str">
        <v/>
      </c>
      <c r="Z194" s="53" t="str">
        <v/>
      </c>
      <c r="AA194" s="53" t="str">
        <v/>
      </c>
      <c r="AB194" s="53" t="str">
        <v/>
      </c>
      <c r="AC194" s="53" t="str">
        <v/>
      </c>
      <c r="AD194" s="53" t="str">
        <v/>
      </c>
      <c r="AE194" s="53" t="str">
        <v/>
      </c>
      <c r="AF194" s="32" t="str">
        <f t="shared" si="9"/>
        <v/>
      </c>
      <c r="AG194" s="32" t="str">
        <f>_xlfn.XLOOKUP(B:B,Disk_Pivot!G:G,Disk_Pivot!I:I)</f>
        <v>Yes x2</v>
      </c>
      <c r="AH194" s="32" t="str">
        <f>_xlfn.XLOOKUP(B194,Disk_Pivot!G:G,Disk_Pivot!N:N)</f>
        <v>Pass, Fail</v>
      </c>
      <c r="AI194" s="32"/>
      <c r="AJ194" s="32"/>
      <c r="AK194" s="32"/>
      <c r="AL194" s="32"/>
      <c r="AM194" s="32"/>
      <c r="AN194" s="32"/>
    </row>
    <row r="195" spans="1:40">
      <c r="A195" s="32" t="str">
        <f>_xlfn.TEXTJOIN("",TRUE,_xlfn.XLOOKUP(B195,Input!J:J,Input!G:G,"",0,1),_xlfn.XLOOKUP(B195,Input!J:J,Input!H:H,"",0,1))</f>
        <v/>
      </c>
      <c r="B195" s="32"/>
      <c r="C195" s="53">
        <f>_xlfn.XLOOKUP(B195,Input!J:J,Input!F:F)</f>
        <v>0</v>
      </c>
      <c r="D195" s="32">
        <f>_xlfn.XLOOKUP(C195,Models!H:H,Models!G:G,C195)</f>
        <v>0</v>
      </c>
      <c r="E195" s="32"/>
      <c r="F195" s="32" t="str">
        <f>_xlfn.XLOOKUP(H195,Models!B:B,Models!F:F,"")</f>
        <v/>
      </c>
      <c r="G195" s="32">
        <f>_xlfn.XLOOKUP(B195,Input!J:J,Input!E:E)</f>
        <v>0</v>
      </c>
      <c r="H195" s="32">
        <f>IF(G195="LENOVO",_xlfn.XLOOKUP(B195,Input!J:J,Input!K:K),_xlfn.XLOOKUP(B195,Input!J:J,Input!L:L))</f>
        <v>0</v>
      </c>
      <c r="I195" s="32"/>
      <c r="J195" s="32"/>
      <c r="K195" s="32">
        <f>_xlfn.XLOOKUP(B195,CPU_Formula!A:A,CPU_Formula!I:I)</f>
        <v>0</v>
      </c>
      <c r="L195" s="53" t="e">
        <f>INDEX(Input!$D$2:$AC$500,
       MATCH(B195, Input!$J$2:$J$500, 0),
       MATCH("Memory Capacity", Input!$D$1:$AC$1, 0))</f>
        <v>#N/A</v>
      </c>
      <c r="M195" s="53" t="e">
        <f>INDEX(Input!$D$2:$AC$500,
       MATCH(B195, Input!$J$2:$J$500, 0),
       MATCH("Memory Type", Input!$D$1:$AC$1, 0))</f>
        <v>#N/A</v>
      </c>
      <c r="N195" s="53" t="e">
        <f t="shared" ref="N195:N254" si="11">IF(ISNUMBER(L195), L195, SUBSTITUTE(SUBSTITUTE(SUBSTITUTE(L195,"GiB","")," ",""),"/","+"))</f>
        <v>#N/A</v>
      </c>
      <c r="O195" s="53" t="str" cm="1">
        <f t="array" ref="O195">IFERROR(_xlfn.FILTERXML("&lt;t&gt;&lt;s&gt;" &amp; SUBSTITUTE(M195," / ","&lt;/s&gt;&lt;s&gt;") &amp; "&lt;/s&gt;&lt;/t&gt;","(//s[contains(.,'DDR')])[1]"),"")</f>
        <v/>
      </c>
      <c r="P195" s="32" t="e">
        <f t="shared" si="10"/>
        <v>#N/A</v>
      </c>
      <c r="Q195" s="32"/>
      <c r="R195" s="32"/>
      <c r="S195" s="53" t="e">
        <f>_xlfn.LET(_xlpm.Result,INDEX(Input!$D$2:$AC$500,
       MATCH(B195, Input!$J$2:$J$500, 0),
       MATCH("Capacity", Input!$D$1:$AC$1, 0)),IF(_xlpm.Result="","",_xlpm.Result))</f>
        <v>#N/A</v>
      </c>
      <c r="T195" s="53" t="e" cm="1">
        <f t="array" ref="T195">_xlfn.TEXTSPLIT(S195," / ", ,TRUE,0,)</f>
        <v>#N/A</v>
      </c>
      <c r="U195" s="53"/>
      <c r="V195" s="53" t="str" cm="1">
        <f t="array" ref="V195">IFERROR(_xlfn.IFS(
T195="","",
--T195&lt;55,"Battery Defect",
--T195&lt;=69,"Battery D",
--T195&lt;=80,"Battery C",
--T195&gt;80,""
),"")</f>
        <v/>
      </c>
      <c r="W195" s="53" t="str" cm="1">
        <f t="array" ref="W195">IFERROR(_xlfn.IFS(
U195="","",
--U195&lt;55,"Battery Defect",
--U195&lt;=69,"Battery D",
--U195&lt;=80,"Battery C",
--U195&gt;80,""
),"")</f>
        <v/>
      </c>
      <c r="X195" s="53" t="str" cm="1">
        <f t="array" ref="X195:AE195">IFERROR(IF(_xlfn.XLOOKUP(B195,Input!J:J,Input!N:U)=0,"",
          _xlfn.XLOOKUP(B195,Input!J:J,Input!N:U)),"")</f>
        <v/>
      </c>
      <c r="Y195" s="53" t="str">
        <v/>
      </c>
      <c r="Z195" s="53" t="str">
        <v/>
      </c>
      <c r="AA195" s="53" t="str">
        <v/>
      </c>
      <c r="AB195" s="53" t="str">
        <v/>
      </c>
      <c r="AC195" s="53" t="str">
        <v/>
      </c>
      <c r="AD195" s="53" t="str">
        <v/>
      </c>
      <c r="AE195" s="53" t="str">
        <v/>
      </c>
      <c r="AF195" s="32" t="str">
        <f t="shared" ref="AF195:AF258" si="12">IF(D195="Laptop",_xlfn.TEXTJOIN(", ",TRUE,V195,W195,X195,Y195,Z195,AA195,AB195,AC195), _xlfn.TEXTJOIN(", ",TRUE,X195,Y195,Z195,AA195,AB195,AC195))</f>
        <v/>
      </c>
      <c r="AG195" s="32" t="str">
        <f>_xlfn.XLOOKUP(B:B,Disk_Pivot!G:G,Disk_Pivot!I:I)</f>
        <v>Yes x2</v>
      </c>
      <c r="AH195" s="32" t="str">
        <f>_xlfn.XLOOKUP(B195,Disk_Pivot!G:G,Disk_Pivot!N:N)</f>
        <v>Pass, Fail</v>
      </c>
      <c r="AI195" s="32"/>
      <c r="AJ195" s="32"/>
      <c r="AK195" s="32"/>
      <c r="AL195" s="32"/>
      <c r="AM195" s="32"/>
      <c r="AN195" s="32"/>
    </row>
    <row r="196" spans="1:40">
      <c r="A196" s="32" t="str">
        <f>_xlfn.TEXTJOIN("",TRUE,_xlfn.XLOOKUP(B196,Input!J:J,Input!G:G,"",0,1),_xlfn.XLOOKUP(B196,Input!J:J,Input!H:H,"",0,1))</f>
        <v/>
      </c>
      <c r="B196" s="32"/>
      <c r="C196" s="53">
        <f>_xlfn.XLOOKUP(B196,Input!J:J,Input!F:F)</f>
        <v>0</v>
      </c>
      <c r="D196" s="32">
        <f>_xlfn.XLOOKUP(C196,Models!H:H,Models!G:G,C196)</f>
        <v>0</v>
      </c>
      <c r="E196" s="32"/>
      <c r="F196" s="32" t="str">
        <f>_xlfn.XLOOKUP(H196,Models!B:B,Models!F:F,"")</f>
        <v/>
      </c>
      <c r="G196" s="32">
        <f>_xlfn.XLOOKUP(B196,Input!J:J,Input!E:E)</f>
        <v>0</v>
      </c>
      <c r="H196" s="32">
        <f>IF(G196="LENOVO",_xlfn.XLOOKUP(B196,Input!J:J,Input!K:K),_xlfn.XLOOKUP(B196,Input!J:J,Input!L:L))</f>
        <v>0</v>
      </c>
      <c r="I196" s="32"/>
      <c r="J196" s="32"/>
      <c r="K196" s="32">
        <f>_xlfn.XLOOKUP(B196,CPU_Formula!A:A,CPU_Formula!I:I)</f>
        <v>0</v>
      </c>
      <c r="L196" s="53" t="e">
        <f>INDEX(Input!$D$2:$AC$500,
       MATCH(B196, Input!$J$2:$J$500, 0),
       MATCH("Memory Capacity", Input!$D$1:$AC$1, 0))</f>
        <v>#N/A</v>
      </c>
      <c r="M196" s="53" t="e">
        <f>INDEX(Input!$D$2:$AC$500,
       MATCH(B196, Input!$J$2:$J$500, 0),
       MATCH("Memory Type", Input!$D$1:$AC$1, 0))</f>
        <v>#N/A</v>
      </c>
      <c r="N196" s="53" t="e">
        <f t="shared" si="11"/>
        <v>#N/A</v>
      </c>
      <c r="O196" s="53" t="str" cm="1">
        <f t="array" ref="O196">IFERROR(_xlfn.FILTERXML("&lt;t&gt;&lt;s&gt;" &amp; SUBSTITUTE(M196," / ","&lt;/s&gt;&lt;s&gt;") &amp; "&lt;/s&gt;&lt;/t&gt;","(//s[contains(.,'DDR')])[1]"),"")</f>
        <v/>
      </c>
      <c r="P196" s="32" t="e">
        <f t="shared" si="10"/>
        <v>#N/A</v>
      </c>
      <c r="Q196" s="32"/>
      <c r="R196" s="32"/>
      <c r="S196" s="53" t="e">
        <f>_xlfn.LET(_xlpm.Result,INDEX(Input!$D$2:$AC$500,
       MATCH(B196, Input!$J$2:$J$500, 0),
       MATCH("Capacity", Input!$D$1:$AC$1, 0)),IF(_xlpm.Result="","",_xlpm.Result))</f>
        <v>#N/A</v>
      </c>
      <c r="T196" s="53" t="e" cm="1">
        <f t="array" ref="T196">_xlfn.TEXTSPLIT(S196," / ", ,TRUE,0,)</f>
        <v>#N/A</v>
      </c>
      <c r="U196" s="53"/>
      <c r="V196" s="53" t="str" cm="1">
        <f t="array" ref="V196">IFERROR(_xlfn.IFS(
T196="","",
--T196&lt;55,"Battery Defect",
--T196&lt;=69,"Battery D",
--T196&lt;=80,"Battery C",
--T196&gt;80,""
),"")</f>
        <v/>
      </c>
      <c r="W196" s="53" t="str" cm="1">
        <f t="array" ref="W196">IFERROR(_xlfn.IFS(
U196="","",
--U196&lt;55,"Battery Defect",
--U196&lt;=69,"Battery D",
--U196&lt;=80,"Battery C",
--U196&gt;80,""
),"")</f>
        <v/>
      </c>
      <c r="X196" s="53" t="str" cm="1">
        <f t="array" ref="X196:AE196">IFERROR(IF(_xlfn.XLOOKUP(B196,Input!J:J,Input!N:U)=0,"",
          _xlfn.XLOOKUP(B196,Input!J:J,Input!N:U)),"")</f>
        <v/>
      </c>
      <c r="Y196" s="53" t="str">
        <v/>
      </c>
      <c r="Z196" s="53" t="str">
        <v/>
      </c>
      <c r="AA196" s="53" t="str">
        <v/>
      </c>
      <c r="AB196" s="53" t="str">
        <v/>
      </c>
      <c r="AC196" s="53" t="str">
        <v/>
      </c>
      <c r="AD196" s="53" t="str">
        <v/>
      </c>
      <c r="AE196" s="53" t="str">
        <v/>
      </c>
      <c r="AF196" s="32" t="str">
        <f t="shared" si="12"/>
        <v/>
      </c>
      <c r="AG196" s="32" t="str">
        <f>_xlfn.XLOOKUP(B:B,Disk_Pivot!G:G,Disk_Pivot!I:I)</f>
        <v>Yes x2</v>
      </c>
      <c r="AH196" s="32" t="str">
        <f>_xlfn.XLOOKUP(B196,Disk_Pivot!G:G,Disk_Pivot!N:N)</f>
        <v>Pass, Fail</v>
      </c>
      <c r="AI196" s="32"/>
      <c r="AJ196" s="32"/>
      <c r="AK196" s="32"/>
      <c r="AL196" s="32"/>
      <c r="AM196" s="32"/>
      <c r="AN196" s="32"/>
    </row>
    <row r="197" spans="1:40">
      <c r="A197" s="32" t="str">
        <f>_xlfn.TEXTJOIN("",TRUE,_xlfn.XLOOKUP(B197,Input!J:J,Input!G:G,"",0,1),_xlfn.XLOOKUP(B197,Input!J:J,Input!H:H,"",0,1))</f>
        <v/>
      </c>
      <c r="B197" s="32"/>
      <c r="C197" s="53">
        <f>_xlfn.XLOOKUP(B197,Input!J:J,Input!F:F)</f>
        <v>0</v>
      </c>
      <c r="D197" s="32">
        <f>_xlfn.XLOOKUP(C197,Models!H:H,Models!G:G,C197)</f>
        <v>0</v>
      </c>
      <c r="E197" s="32"/>
      <c r="F197" s="32" t="str">
        <f>_xlfn.XLOOKUP(H197,Models!B:B,Models!F:F,"")</f>
        <v/>
      </c>
      <c r="G197" s="32">
        <f>_xlfn.XLOOKUP(B197,Input!J:J,Input!E:E)</f>
        <v>0</v>
      </c>
      <c r="H197" s="32">
        <f>IF(G197="LENOVO",_xlfn.XLOOKUP(B197,Input!J:J,Input!K:K),_xlfn.XLOOKUP(B197,Input!J:J,Input!L:L))</f>
        <v>0</v>
      </c>
      <c r="I197" s="32"/>
      <c r="J197" s="32"/>
      <c r="K197" s="32">
        <f>_xlfn.XLOOKUP(B197,CPU_Formula!A:A,CPU_Formula!I:I)</f>
        <v>0</v>
      </c>
      <c r="L197" s="53" t="e">
        <f>INDEX(Input!$D$2:$AC$500,
       MATCH(B197, Input!$J$2:$J$500, 0),
       MATCH("Memory Capacity", Input!$D$1:$AC$1, 0))</f>
        <v>#N/A</v>
      </c>
      <c r="M197" s="53" t="e">
        <f>INDEX(Input!$D$2:$AC$500,
       MATCH(B197, Input!$J$2:$J$500, 0),
       MATCH("Memory Type", Input!$D$1:$AC$1, 0))</f>
        <v>#N/A</v>
      </c>
      <c r="N197" s="53" t="e">
        <f t="shared" si="11"/>
        <v>#N/A</v>
      </c>
      <c r="O197" s="53" t="str" cm="1">
        <f t="array" ref="O197">IFERROR(_xlfn.FILTERXML("&lt;t&gt;&lt;s&gt;" &amp; SUBSTITUTE(M197," / ","&lt;/s&gt;&lt;s&gt;") &amp; "&lt;/s&gt;&lt;/t&gt;","(//s[contains(.,'DDR')])[1]"),"")</f>
        <v/>
      </c>
      <c r="P197" s="32" t="e">
        <f t="shared" si="10"/>
        <v>#N/A</v>
      </c>
      <c r="Q197" s="32"/>
      <c r="R197" s="32"/>
      <c r="S197" s="53" t="e">
        <f>_xlfn.LET(_xlpm.Result,INDEX(Input!$D$2:$AC$500,
       MATCH(B197, Input!$J$2:$J$500, 0),
       MATCH("Capacity", Input!$D$1:$AC$1, 0)),IF(_xlpm.Result="","",_xlpm.Result))</f>
        <v>#N/A</v>
      </c>
      <c r="T197" s="53" t="e" cm="1">
        <f t="array" ref="T197">_xlfn.TEXTSPLIT(S197," / ", ,TRUE,0,)</f>
        <v>#N/A</v>
      </c>
      <c r="U197" s="53"/>
      <c r="V197" s="53" t="str" cm="1">
        <f t="array" ref="V197">IFERROR(_xlfn.IFS(
T197="","",
--T197&lt;55,"Battery Defect",
--T197&lt;=69,"Battery D",
--T197&lt;=80,"Battery C",
--T197&gt;80,""
),"")</f>
        <v/>
      </c>
      <c r="W197" s="53" t="str" cm="1">
        <f t="array" ref="W197">IFERROR(_xlfn.IFS(
U197="","",
--U197&lt;55,"Battery Defect",
--U197&lt;=69,"Battery D",
--U197&lt;=80,"Battery C",
--U197&gt;80,""
),"")</f>
        <v/>
      </c>
      <c r="X197" s="53" t="str" cm="1">
        <f t="array" ref="X197:AE197">IFERROR(IF(_xlfn.XLOOKUP(B197,Input!J:J,Input!N:U)=0,"",
          _xlfn.XLOOKUP(B197,Input!J:J,Input!N:U)),"")</f>
        <v/>
      </c>
      <c r="Y197" s="53" t="str">
        <v/>
      </c>
      <c r="Z197" s="53" t="str">
        <v/>
      </c>
      <c r="AA197" s="53" t="str">
        <v/>
      </c>
      <c r="AB197" s="53" t="str">
        <v/>
      </c>
      <c r="AC197" s="53" t="str">
        <v/>
      </c>
      <c r="AD197" s="53" t="str">
        <v/>
      </c>
      <c r="AE197" s="53" t="str">
        <v/>
      </c>
      <c r="AF197" s="32" t="str">
        <f t="shared" si="12"/>
        <v/>
      </c>
      <c r="AG197" s="32" t="str">
        <f>_xlfn.XLOOKUP(B:B,Disk_Pivot!G:G,Disk_Pivot!I:I)</f>
        <v>Yes x2</v>
      </c>
      <c r="AH197" s="32" t="str">
        <f>_xlfn.XLOOKUP(B197,Disk_Pivot!G:G,Disk_Pivot!N:N)</f>
        <v>Pass, Fail</v>
      </c>
      <c r="AI197" s="32"/>
      <c r="AJ197" s="32"/>
      <c r="AK197" s="32"/>
      <c r="AL197" s="32"/>
      <c r="AM197" s="32"/>
      <c r="AN197" s="32"/>
    </row>
    <row r="198" spans="1:40">
      <c r="A198" s="32" t="str">
        <f>_xlfn.TEXTJOIN("",TRUE,_xlfn.XLOOKUP(B198,Input!J:J,Input!G:G,"",0,1),_xlfn.XLOOKUP(B198,Input!J:J,Input!H:H,"",0,1))</f>
        <v/>
      </c>
      <c r="B198" s="32"/>
      <c r="C198" s="53">
        <f>_xlfn.XLOOKUP(B198,Input!J:J,Input!F:F)</f>
        <v>0</v>
      </c>
      <c r="D198" s="32">
        <f>_xlfn.XLOOKUP(C198,Models!H:H,Models!G:G,C198)</f>
        <v>0</v>
      </c>
      <c r="E198" s="32"/>
      <c r="F198" s="32" t="str">
        <f>_xlfn.XLOOKUP(H198,Models!B:B,Models!F:F,"")</f>
        <v/>
      </c>
      <c r="G198" s="32">
        <f>_xlfn.XLOOKUP(B198,Input!J:J,Input!E:E)</f>
        <v>0</v>
      </c>
      <c r="H198" s="32">
        <f>IF(G198="LENOVO",_xlfn.XLOOKUP(B198,Input!J:J,Input!K:K),_xlfn.XLOOKUP(B198,Input!J:J,Input!L:L))</f>
        <v>0</v>
      </c>
      <c r="I198" s="32"/>
      <c r="J198" s="32"/>
      <c r="K198" s="32">
        <f>_xlfn.XLOOKUP(B198,CPU_Formula!A:A,CPU_Formula!I:I)</f>
        <v>0</v>
      </c>
      <c r="L198" s="53" t="e">
        <f>INDEX(Input!$D$2:$AC$500,
       MATCH(B198, Input!$J$2:$J$500, 0),
       MATCH("Memory Capacity", Input!$D$1:$AC$1, 0))</f>
        <v>#N/A</v>
      </c>
      <c r="M198" s="53" t="e">
        <f>INDEX(Input!$D$2:$AC$500,
       MATCH(B198, Input!$J$2:$J$500, 0),
       MATCH("Memory Type", Input!$D$1:$AC$1, 0))</f>
        <v>#N/A</v>
      </c>
      <c r="N198" s="53" t="e">
        <f t="shared" si="11"/>
        <v>#N/A</v>
      </c>
      <c r="O198" s="53" t="str" cm="1">
        <f t="array" ref="O198">IFERROR(_xlfn.FILTERXML("&lt;t&gt;&lt;s&gt;" &amp; SUBSTITUTE(M198," / ","&lt;/s&gt;&lt;s&gt;") &amp; "&lt;/s&gt;&lt;/t&gt;","(//s[contains(.,'DDR')])[1]"),"")</f>
        <v/>
      </c>
      <c r="P198" s="32" t="e">
        <f t="shared" si="10"/>
        <v>#N/A</v>
      </c>
      <c r="Q198" s="32"/>
      <c r="R198" s="32"/>
      <c r="S198" s="53" t="e">
        <f>_xlfn.LET(_xlpm.Result,INDEX(Input!$D$2:$AC$500,
       MATCH(B198, Input!$J$2:$J$500, 0),
       MATCH("Capacity", Input!$D$1:$AC$1, 0)),IF(_xlpm.Result="","",_xlpm.Result))</f>
        <v>#N/A</v>
      </c>
      <c r="T198" s="53" t="e" cm="1">
        <f t="array" ref="T198">_xlfn.TEXTSPLIT(S198," / ", ,TRUE,0,)</f>
        <v>#N/A</v>
      </c>
      <c r="U198" s="53"/>
      <c r="V198" s="53" t="str" cm="1">
        <f t="array" ref="V198">IFERROR(_xlfn.IFS(
T198="","",
--T198&lt;55,"Battery Defect",
--T198&lt;=69,"Battery D",
--T198&lt;=80,"Battery C",
--T198&gt;80,""
),"")</f>
        <v/>
      </c>
      <c r="W198" s="53" t="str" cm="1">
        <f t="array" ref="W198">IFERROR(_xlfn.IFS(
U198="","",
--U198&lt;55,"Battery Defect",
--U198&lt;=69,"Battery D",
--U198&lt;=80,"Battery C",
--U198&gt;80,""
),"")</f>
        <v/>
      </c>
      <c r="X198" s="53" t="str" cm="1">
        <f t="array" ref="X198:AE198">IFERROR(IF(_xlfn.XLOOKUP(B198,Input!J:J,Input!N:U)=0,"",
          _xlfn.XLOOKUP(B198,Input!J:J,Input!N:U)),"")</f>
        <v/>
      </c>
      <c r="Y198" s="53" t="str">
        <v/>
      </c>
      <c r="Z198" s="53" t="str">
        <v/>
      </c>
      <c r="AA198" s="53" t="str">
        <v/>
      </c>
      <c r="AB198" s="53" t="str">
        <v/>
      </c>
      <c r="AC198" s="53" t="str">
        <v/>
      </c>
      <c r="AD198" s="53" t="str">
        <v/>
      </c>
      <c r="AE198" s="53" t="str">
        <v/>
      </c>
      <c r="AF198" s="32" t="str">
        <f t="shared" si="12"/>
        <v/>
      </c>
      <c r="AG198" s="32" t="str">
        <f>_xlfn.XLOOKUP(B:B,Disk_Pivot!G:G,Disk_Pivot!I:I)</f>
        <v>Yes x2</v>
      </c>
      <c r="AH198" s="32" t="str">
        <f>_xlfn.XLOOKUP(B198,Disk_Pivot!G:G,Disk_Pivot!N:N)</f>
        <v>Pass, Fail</v>
      </c>
      <c r="AI198" s="32"/>
      <c r="AJ198" s="32"/>
      <c r="AK198" s="32"/>
      <c r="AL198" s="32"/>
      <c r="AM198" s="32"/>
      <c r="AN198" s="32"/>
    </row>
    <row r="199" spans="1:40">
      <c r="A199" s="32" t="str">
        <f>_xlfn.TEXTJOIN("",TRUE,_xlfn.XLOOKUP(B199,Input!J:J,Input!G:G,"",0,1),_xlfn.XLOOKUP(B199,Input!J:J,Input!H:H,"",0,1))</f>
        <v/>
      </c>
      <c r="B199" s="32"/>
      <c r="C199" s="53">
        <f>_xlfn.XLOOKUP(B199,Input!J:J,Input!F:F)</f>
        <v>0</v>
      </c>
      <c r="D199" s="32">
        <f>_xlfn.XLOOKUP(C199,Models!H:H,Models!G:G,C199)</f>
        <v>0</v>
      </c>
      <c r="E199" s="32"/>
      <c r="F199" s="32" t="str">
        <f>_xlfn.XLOOKUP(H199,Models!B:B,Models!F:F,"")</f>
        <v/>
      </c>
      <c r="G199" s="32">
        <f>_xlfn.XLOOKUP(B199,Input!J:J,Input!E:E)</f>
        <v>0</v>
      </c>
      <c r="H199" s="32">
        <f>IF(G199="LENOVO",_xlfn.XLOOKUP(B199,Input!J:J,Input!K:K),_xlfn.XLOOKUP(B199,Input!J:J,Input!L:L))</f>
        <v>0</v>
      </c>
      <c r="I199" s="32"/>
      <c r="J199" s="32"/>
      <c r="K199" s="32">
        <f>_xlfn.XLOOKUP(B199,CPU_Formula!A:A,CPU_Formula!I:I)</f>
        <v>0</v>
      </c>
      <c r="L199" s="53" t="e">
        <f>INDEX(Input!$D$2:$AC$500,
       MATCH(B199, Input!$J$2:$J$500, 0),
       MATCH("Memory Capacity", Input!$D$1:$AC$1, 0))</f>
        <v>#N/A</v>
      </c>
      <c r="M199" s="53" t="e">
        <f>INDEX(Input!$D$2:$AC$500,
       MATCH(B199, Input!$J$2:$J$500, 0),
       MATCH("Memory Type", Input!$D$1:$AC$1, 0))</f>
        <v>#N/A</v>
      </c>
      <c r="N199" s="53" t="e">
        <f t="shared" si="11"/>
        <v>#N/A</v>
      </c>
      <c r="O199" s="53" t="str" cm="1">
        <f t="array" ref="O199">IFERROR(_xlfn.FILTERXML("&lt;t&gt;&lt;s&gt;" &amp; SUBSTITUTE(M199," / ","&lt;/s&gt;&lt;s&gt;") &amp; "&lt;/s&gt;&lt;/t&gt;","(//s[contains(.,'DDR')])[1]"),"")</f>
        <v/>
      </c>
      <c r="P199" s="32" t="e">
        <f t="shared" si="10"/>
        <v>#N/A</v>
      </c>
      <c r="Q199" s="32"/>
      <c r="R199" s="32"/>
      <c r="S199" s="53" t="e">
        <f>_xlfn.LET(_xlpm.Result,INDEX(Input!$D$2:$AC$500,
       MATCH(B199, Input!$J$2:$J$500, 0),
       MATCH("Capacity", Input!$D$1:$AC$1, 0)),IF(_xlpm.Result="","",_xlpm.Result))</f>
        <v>#N/A</v>
      </c>
      <c r="T199" s="53" t="e" cm="1">
        <f t="array" ref="T199">_xlfn.TEXTSPLIT(S199," / ", ,TRUE,0,)</f>
        <v>#N/A</v>
      </c>
      <c r="U199" s="53"/>
      <c r="V199" s="53" t="str" cm="1">
        <f t="array" ref="V199">IFERROR(_xlfn.IFS(
T199="","",
--T199&lt;55,"Battery Defect",
--T199&lt;=69,"Battery D",
--T199&lt;=80,"Battery C",
--T199&gt;80,""
),"")</f>
        <v/>
      </c>
      <c r="W199" s="53" t="str" cm="1">
        <f t="array" ref="W199">IFERROR(_xlfn.IFS(
U199="","",
--U199&lt;55,"Battery Defect",
--U199&lt;=69,"Battery D",
--U199&lt;=80,"Battery C",
--U199&gt;80,""
),"")</f>
        <v/>
      </c>
      <c r="X199" s="53" t="str" cm="1">
        <f t="array" ref="X199:AE199">IFERROR(IF(_xlfn.XLOOKUP(B199,Input!J:J,Input!N:U)=0,"",
          _xlfn.XLOOKUP(B199,Input!J:J,Input!N:U)),"")</f>
        <v/>
      </c>
      <c r="Y199" s="53" t="str">
        <v/>
      </c>
      <c r="Z199" s="53" t="str">
        <v/>
      </c>
      <c r="AA199" s="53" t="str">
        <v/>
      </c>
      <c r="AB199" s="53" t="str">
        <v/>
      </c>
      <c r="AC199" s="53" t="str">
        <v/>
      </c>
      <c r="AD199" s="53" t="str">
        <v/>
      </c>
      <c r="AE199" s="53" t="str">
        <v/>
      </c>
      <c r="AF199" s="32" t="str">
        <f t="shared" si="12"/>
        <v/>
      </c>
      <c r="AG199" s="32" t="str">
        <f>_xlfn.XLOOKUP(B:B,Disk_Pivot!G:G,Disk_Pivot!I:I)</f>
        <v>Yes x2</v>
      </c>
      <c r="AH199" s="32" t="str">
        <f>_xlfn.XLOOKUP(B199,Disk_Pivot!G:G,Disk_Pivot!N:N)</f>
        <v>Pass, Fail</v>
      </c>
      <c r="AI199" s="32"/>
      <c r="AJ199" s="32"/>
      <c r="AK199" s="32"/>
      <c r="AL199" s="32"/>
      <c r="AM199" s="32"/>
      <c r="AN199" s="32"/>
    </row>
    <row r="200" spans="1:40">
      <c r="A200" s="32" t="str">
        <f>_xlfn.TEXTJOIN("",TRUE,_xlfn.XLOOKUP(B200,Input!J:J,Input!G:G,"",0,1),_xlfn.XLOOKUP(B200,Input!J:J,Input!H:H,"",0,1))</f>
        <v/>
      </c>
      <c r="B200" s="32"/>
      <c r="C200" s="53">
        <f>_xlfn.XLOOKUP(B200,Input!J:J,Input!F:F)</f>
        <v>0</v>
      </c>
      <c r="D200" s="32">
        <f>_xlfn.XLOOKUP(C200,Models!H:H,Models!G:G,C200)</f>
        <v>0</v>
      </c>
      <c r="E200" s="32"/>
      <c r="F200" s="32" t="str">
        <f>_xlfn.XLOOKUP(H200,Models!B:B,Models!F:F,"")</f>
        <v/>
      </c>
      <c r="G200" s="32">
        <f>_xlfn.XLOOKUP(B200,Input!J:J,Input!E:E)</f>
        <v>0</v>
      </c>
      <c r="H200" s="32">
        <f>IF(G200="LENOVO",_xlfn.XLOOKUP(B200,Input!J:J,Input!K:K),_xlfn.XLOOKUP(B200,Input!J:J,Input!L:L))</f>
        <v>0</v>
      </c>
      <c r="I200" s="32"/>
      <c r="J200" s="32"/>
      <c r="K200" s="32">
        <f>_xlfn.XLOOKUP(B200,CPU_Formula!A:A,CPU_Formula!I:I)</f>
        <v>0</v>
      </c>
      <c r="L200" s="53" t="e">
        <f>INDEX(Input!$D$2:$AC$500,
       MATCH(B200, Input!$J$2:$J$500, 0),
       MATCH("Memory Capacity", Input!$D$1:$AC$1, 0))</f>
        <v>#N/A</v>
      </c>
      <c r="M200" s="53" t="e">
        <f>INDEX(Input!$D$2:$AC$500,
       MATCH(B200, Input!$J$2:$J$500, 0),
       MATCH("Memory Type", Input!$D$1:$AC$1, 0))</f>
        <v>#N/A</v>
      </c>
      <c r="N200" s="53" t="e">
        <f t="shared" si="11"/>
        <v>#N/A</v>
      </c>
      <c r="O200" s="53" t="str" cm="1">
        <f t="array" ref="O200">IFERROR(_xlfn.FILTERXML("&lt;t&gt;&lt;s&gt;" &amp; SUBSTITUTE(M200," / ","&lt;/s&gt;&lt;s&gt;") &amp; "&lt;/s&gt;&lt;/t&gt;","(//s[contains(.,'DDR')])[1]"),"")</f>
        <v/>
      </c>
      <c r="P200" s="32" t="e">
        <f t="shared" si="10"/>
        <v>#N/A</v>
      </c>
      <c r="Q200" s="32"/>
      <c r="R200" s="32"/>
      <c r="S200" s="53" t="e">
        <f>_xlfn.LET(_xlpm.Result,INDEX(Input!$D$2:$AC$500,
       MATCH(B200, Input!$J$2:$J$500, 0),
       MATCH("Capacity", Input!$D$1:$AC$1, 0)),IF(_xlpm.Result="","",_xlpm.Result))</f>
        <v>#N/A</v>
      </c>
      <c r="T200" s="53" t="e" cm="1">
        <f t="array" ref="T200">_xlfn.TEXTSPLIT(S200," / ", ,TRUE,0,)</f>
        <v>#N/A</v>
      </c>
      <c r="U200" s="53"/>
      <c r="V200" s="53" t="str" cm="1">
        <f t="array" ref="V200">IFERROR(_xlfn.IFS(
T200="","",
--T200&lt;55,"Battery Defect",
--T200&lt;=69,"Battery D",
--T200&lt;=80,"Battery C",
--T200&gt;80,""
),"")</f>
        <v/>
      </c>
      <c r="W200" s="53" t="str" cm="1">
        <f t="array" ref="W200">IFERROR(_xlfn.IFS(
U200="","",
--U200&lt;55,"Battery Defect",
--U200&lt;=69,"Battery D",
--U200&lt;=80,"Battery C",
--U200&gt;80,""
),"")</f>
        <v/>
      </c>
      <c r="X200" s="53" t="str" cm="1">
        <f t="array" ref="X200:AE200">IFERROR(IF(_xlfn.XLOOKUP(B200,Input!J:J,Input!N:U)=0,"",
          _xlfn.XLOOKUP(B200,Input!J:J,Input!N:U)),"")</f>
        <v/>
      </c>
      <c r="Y200" s="53" t="str">
        <v/>
      </c>
      <c r="Z200" s="53" t="str">
        <v/>
      </c>
      <c r="AA200" s="53" t="str">
        <v/>
      </c>
      <c r="AB200" s="53" t="str">
        <v/>
      </c>
      <c r="AC200" s="53" t="str">
        <v/>
      </c>
      <c r="AD200" s="53" t="str">
        <v/>
      </c>
      <c r="AE200" s="53" t="str">
        <v/>
      </c>
      <c r="AF200" s="32" t="str">
        <f t="shared" si="12"/>
        <v/>
      </c>
      <c r="AG200" s="32" t="str">
        <f>_xlfn.XLOOKUP(B:B,Disk_Pivot!G:G,Disk_Pivot!I:I)</f>
        <v>Yes x2</v>
      </c>
      <c r="AH200" s="32" t="str">
        <f>_xlfn.XLOOKUP(B200,Disk_Pivot!G:G,Disk_Pivot!N:N)</f>
        <v>Pass, Fail</v>
      </c>
      <c r="AI200" s="32"/>
      <c r="AJ200" s="32"/>
      <c r="AK200" s="32"/>
      <c r="AL200" s="32"/>
      <c r="AM200" s="32"/>
      <c r="AN200" s="32"/>
    </row>
    <row r="201" spans="1:40">
      <c r="A201" s="32" t="str">
        <f>_xlfn.TEXTJOIN("",TRUE,_xlfn.XLOOKUP(B201,Input!J:J,Input!G:G,"",0,1),_xlfn.XLOOKUP(B201,Input!J:J,Input!H:H,"",0,1))</f>
        <v/>
      </c>
      <c r="B201" s="32"/>
      <c r="C201" s="53">
        <f>_xlfn.XLOOKUP(B201,Input!J:J,Input!F:F)</f>
        <v>0</v>
      </c>
      <c r="D201" s="32">
        <f>_xlfn.XLOOKUP(C201,Models!H:H,Models!G:G,C201)</f>
        <v>0</v>
      </c>
      <c r="E201" s="32"/>
      <c r="F201" s="32" t="str">
        <f>_xlfn.XLOOKUP(H201,Models!B:B,Models!F:F,"")</f>
        <v/>
      </c>
      <c r="G201" s="32">
        <f>_xlfn.XLOOKUP(B201,Input!J:J,Input!E:E)</f>
        <v>0</v>
      </c>
      <c r="H201" s="32">
        <f>IF(G201="LENOVO",_xlfn.XLOOKUP(B201,Input!J:J,Input!K:K),_xlfn.XLOOKUP(B201,Input!J:J,Input!L:L))</f>
        <v>0</v>
      </c>
      <c r="I201" s="32"/>
      <c r="J201" s="32"/>
      <c r="K201" s="32">
        <f>_xlfn.XLOOKUP(B201,CPU_Formula!A:A,CPU_Formula!I:I)</f>
        <v>0</v>
      </c>
      <c r="L201" s="53" t="e">
        <f>INDEX(Input!$D$2:$AC$500,
       MATCH(B201, Input!$J$2:$J$500, 0),
       MATCH("Memory Capacity", Input!$D$1:$AC$1, 0))</f>
        <v>#N/A</v>
      </c>
      <c r="M201" s="53" t="e">
        <f>INDEX(Input!$D$2:$AC$500,
       MATCH(B201, Input!$J$2:$J$500, 0),
       MATCH("Memory Type", Input!$D$1:$AC$1, 0))</f>
        <v>#N/A</v>
      </c>
      <c r="N201" s="53" t="e">
        <f t="shared" si="11"/>
        <v>#N/A</v>
      </c>
      <c r="O201" s="53" t="str" cm="1">
        <f t="array" ref="O201">IFERROR(_xlfn.FILTERXML("&lt;t&gt;&lt;s&gt;" &amp; SUBSTITUTE(M201," / ","&lt;/s&gt;&lt;s&gt;") &amp; "&lt;/s&gt;&lt;/t&gt;","(//s[contains(.,'DDR')])[1]"),"")</f>
        <v/>
      </c>
      <c r="P201" s="32" t="e">
        <f t="shared" si="10"/>
        <v>#N/A</v>
      </c>
      <c r="Q201" s="32"/>
      <c r="R201" s="32"/>
      <c r="S201" s="53" t="e">
        <f>_xlfn.LET(_xlpm.Result,INDEX(Input!$D$2:$AC$500,
       MATCH(B201, Input!$J$2:$J$500, 0),
       MATCH("Capacity", Input!$D$1:$AC$1, 0)),IF(_xlpm.Result="","",_xlpm.Result))</f>
        <v>#N/A</v>
      </c>
      <c r="T201" s="53" t="e" cm="1">
        <f t="array" ref="T201">_xlfn.TEXTSPLIT(S201," / ", ,TRUE,0,)</f>
        <v>#N/A</v>
      </c>
      <c r="U201" s="53"/>
      <c r="V201" s="53" t="str" cm="1">
        <f t="array" ref="V201">IFERROR(_xlfn.IFS(
T201="","",
--T201&lt;55,"Battery Defect",
--T201&lt;=69,"Battery D",
--T201&lt;=80,"Battery C",
--T201&gt;80,""
),"")</f>
        <v/>
      </c>
      <c r="W201" s="53" t="str" cm="1">
        <f t="array" ref="W201">IFERROR(_xlfn.IFS(
U201="","",
--U201&lt;55,"Battery Defect",
--U201&lt;=69,"Battery D",
--U201&lt;=80,"Battery C",
--U201&gt;80,""
),"")</f>
        <v/>
      </c>
      <c r="X201" s="53" t="str" cm="1">
        <f t="array" ref="X201:AE201">IFERROR(IF(_xlfn.XLOOKUP(B201,Input!J:J,Input!N:U)=0,"",
          _xlfn.XLOOKUP(B201,Input!J:J,Input!N:U)),"")</f>
        <v/>
      </c>
      <c r="Y201" s="53" t="str">
        <v/>
      </c>
      <c r="Z201" s="53" t="str">
        <v/>
      </c>
      <c r="AA201" s="53" t="str">
        <v/>
      </c>
      <c r="AB201" s="53" t="str">
        <v/>
      </c>
      <c r="AC201" s="53" t="str">
        <v/>
      </c>
      <c r="AD201" s="53" t="str">
        <v/>
      </c>
      <c r="AE201" s="53" t="str">
        <v/>
      </c>
      <c r="AF201" s="32" t="str">
        <f t="shared" si="12"/>
        <v/>
      </c>
      <c r="AG201" s="32" t="str">
        <f>_xlfn.XLOOKUP(B:B,Disk_Pivot!G:G,Disk_Pivot!I:I)</f>
        <v>Yes x2</v>
      </c>
      <c r="AH201" s="32" t="str">
        <f>_xlfn.XLOOKUP(B201,Disk_Pivot!G:G,Disk_Pivot!N:N)</f>
        <v>Pass, Fail</v>
      </c>
      <c r="AI201" s="32"/>
      <c r="AJ201" s="32"/>
      <c r="AK201" s="32"/>
      <c r="AL201" s="32"/>
      <c r="AM201" s="32"/>
      <c r="AN201" s="32"/>
    </row>
    <row r="202" spans="1:40">
      <c r="A202" s="32" t="str">
        <f>_xlfn.TEXTJOIN("",TRUE,_xlfn.XLOOKUP(B202,Input!J:J,Input!G:G,"",0,1),_xlfn.XLOOKUP(B202,Input!J:J,Input!H:H,"",0,1))</f>
        <v/>
      </c>
      <c r="B202" s="32"/>
      <c r="C202" s="53">
        <f>_xlfn.XLOOKUP(B202,Input!J:J,Input!F:F)</f>
        <v>0</v>
      </c>
      <c r="D202" s="32">
        <f>_xlfn.XLOOKUP(C202,Models!H:H,Models!G:G,C202)</f>
        <v>0</v>
      </c>
      <c r="E202" s="32"/>
      <c r="F202" s="32" t="str">
        <f>_xlfn.XLOOKUP(H202,Models!B:B,Models!F:F,"")</f>
        <v/>
      </c>
      <c r="G202" s="32">
        <f>_xlfn.XLOOKUP(B202,Input!J:J,Input!E:E)</f>
        <v>0</v>
      </c>
      <c r="H202" s="32">
        <f>IF(G202="LENOVO",_xlfn.XLOOKUP(B202,Input!J:J,Input!K:K),_xlfn.XLOOKUP(B202,Input!J:J,Input!L:L))</f>
        <v>0</v>
      </c>
      <c r="I202" s="32"/>
      <c r="J202" s="32"/>
      <c r="K202" s="32">
        <f>_xlfn.XLOOKUP(B202,CPU_Formula!A:A,CPU_Formula!I:I)</f>
        <v>0</v>
      </c>
      <c r="L202" s="53" t="e">
        <f>INDEX(Input!$D$2:$AC$500,
       MATCH(B202, Input!$J$2:$J$500, 0),
       MATCH("Memory Capacity", Input!$D$1:$AC$1, 0))</f>
        <v>#N/A</v>
      </c>
      <c r="M202" s="53" t="e">
        <f>INDEX(Input!$D$2:$AC$500,
       MATCH(B202, Input!$J$2:$J$500, 0),
       MATCH("Memory Type", Input!$D$1:$AC$1, 0))</f>
        <v>#N/A</v>
      </c>
      <c r="N202" s="53" t="e">
        <f t="shared" si="11"/>
        <v>#N/A</v>
      </c>
      <c r="O202" s="53" t="str" cm="1">
        <f t="array" ref="O202">IFERROR(_xlfn.FILTERXML("&lt;t&gt;&lt;s&gt;" &amp; SUBSTITUTE(M202," / ","&lt;/s&gt;&lt;s&gt;") &amp; "&lt;/s&gt;&lt;/t&gt;","(//s[contains(.,'DDR')])[1]"),"")</f>
        <v/>
      </c>
      <c r="P202" s="32" t="e">
        <f t="shared" si="10"/>
        <v>#N/A</v>
      </c>
      <c r="Q202" s="32"/>
      <c r="R202" s="32"/>
      <c r="S202" s="53" t="e">
        <f>_xlfn.LET(_xlpm.Result,INDEX(Input!$D$2:$AC$500,
       MATCH(B202, Input!$J$2:$J$500, 0),
       MATCH("Capacity", Input!$D$1:$AC$1, 0)),IF(_xlpm.Result="","",_xlpm.Result))</f>
        <v>#N/A</v>
      </c>
      <c r="T202" s="53" t="e" cm="1">
        <f t="array" ref="T202">_xlfn.TEXTSPLIT(S202," / ", ,TRUE,0,)</f>
        <v>#N/A</v>
      </c>
      <c r="U202" s="53"/>
      <c r="V202" s="53" t="str" cm="1">
        <f t="array" ref="V202">IFERROR(_xlfn.IFS(
T202="","",
--T202&lt;55,"Battery Defect",
--T202&lt;=69,"Battery D",
--T202&lt;=80,"Battery C",
--T202&gt;80,""
),"")</f>
        <v/>
      </c>
      <c r="W202" s="53" t="str" cm="1">
        <f t="array" ref="W202">IFERROR(_xlfn.IFS(
U202="","",
--U202&lt;55,"Battery Defect",
--U202&lt;=69,"Battery D",
--U202&lt;=80,"Battery C",
--U202&gt;80,""
),"")</f>
        <v/>
      </c>
      <c r="X202" s="53" t="str" cm="1">
        <f t="array" ref="X202:AE202">IFERROR(IF(_xlfn.XLOOKUP(B202,Input!J:J,Input!N:U)=0,"",
          _xlfn.XLOOKUP(B202,Input!J:J,Input!N:U)),"")</f>
        <v/>
      </c>
      <c r="Y202" s="53" t="str">
        <v/>
      </c>
      <c r="Z202" s="53" t="str">
        <v/>
      </c>
      <c r="AA202" s="53" t="str">
        <v/>
      </c>
      <c r="AB202" s="53" t="str">
        <v/>
      </c>
      <c r="AC202" s="53" t="str">
        <v/>
      </c>
      <c r="AD202" s="53" t="str">
        <v/>
      </c>
      <c r="AE202" s="53" t="str">
        <v/>
      </c>
      <c r="AF202" s="32" t="str">
        <f t="shared" si="12"/>
        <v/>
      </c>
      <c r="AG202" s="32" t="str">
        <f>_xlfn.XLOOKUP(B:B,Disk_Pivot!G:G,Disk_Pivot!I:I)</f>
        <v>Yes x2</v>
      </c>
      <c r="AH202" s="32" t="str">
        <f>_xlfn.XLOOKUP(B202,Disk_Pivot!G:G,Disk_Pivot!N:N)</f>
        <v>Pass, Fail</v>
      </c>
      <c r="AI202" s="32"/>
      <c r="AJ202" s="32"/>
      <c r="AK202" s="32"/>
      <c r="AL202" s="32"/>
      <c r="AM202" s="32"/>
      <c r="AN202" s="32"/>
    </row>
    <row r="203" spans="1:40">
      <c r="A203" s="32" t="str">
        <f>_xlfn.TEXTJOIN("",TRUE,_xlfn.XLOOKUP(B203,Input!J:J,Input!G:G,"",0,1),_xlfn.XLOOKUP(B203,Input!J:J,Input!H:H,"",0,1))</f>
        <v/>
      </c>
      <c r="B203" s="32"/>
      <c r="C203" s="53">
        <f>_xlfn.XLOOKUP(B203,Input!J:J,Input!F:F)</f>
        <v>0</v>
      </c>
      <c r="D203" s="32">
        <f>_xlfn.XLOOKUP(C203,Models!H:H,Models!G:G,C203)</f>
        <v>0</v>
      </c>
      <c r="E203" s="32"/>
      <c r="F203" s="32" t="str">
        <f>_xlfn.XLOOKUP(H203,Models!B:B,Models!F:F,"")</f>
        <v/>
      </c>
      <c r="G203" s="32">
        <f>_xlfn.XLOOKUP(B203,Input!J:J,Input!E:E)</f>
        <v>0</v>
      </c>
      <c r="H203" s="32">
        <f>IF(G203="LENOVO",_xlfn.XLOOKUP(B203,Input!J:J,Input!K:K),_xlfn.XLOOKUP(B203,Input!J:J,Input!L:L))</f>
        <v>0</v>
      </c>
      <c r="I203" s="32"/>
      <c r="J203" s="32"/>
      <c r="K203" s="32">
        <f>_xlfn.XLOOKUP(B203,CPU_Formula!A:A,CPU_Formula!I:I)</f>
        <v>0</v>
      </c>
      <c r="L203" s="53" t="e">
        <f>INDEX(Input!$D$2:$AC$500,
       MATCH(B203, Input!$J$2:$J$500, 0),
       MATCH("Memory Capacity", Input!$D$1:$AC$1, 0))</f>
        <v>#N/A</v>
      </c>
      <c r="M203" s="53" t="e">
        <f>INDEX(Input!$D$2:$AC$500,
       MATCH(B203, Input!$J$2:$J$500, 0),
       MATCH("Memory Type", Input!$D$1:$AC$1, 0))</f>
        <v>#N/A</v>
      </c>
      <c r="N203" s="53" t="e">
        <f t="shared" si="11"/>
        <v>#N/A</v>
      </c>
      <c r="O203" s="53" t="str" cm="1">
        <f t="array" ref="O203">IFERROR(_xlfn.FILTERXML("&lt;t&gt;&lt;s&gt;" &amp; SUBSTITUTE(M203," / ","&lt;/s&gt;&lt;s&gt;") &amp; "&lt;/s&gt;&lt;/t&gt;","(//s[contains(.,'DDR')])[1]"),"")</f>
        <v/>
      </c>
      <c r="P203" s="32" t="e">
        <f t="shared" si="10"/>
        <v>#N/A</v>
      </c>
      <c r="Q203" s="32"/>
      <c r="R203" s="32"/>
      <c r="S203" s="53" t="e">
        <f>_xlfn.LET(_xlpm.Result,INDEX(Input!$D$2:$AC$500,
       MATCH(B203, Input!$J$2:$J$500, 0),
       MATCH("Capacity", Input!$D$1:$AC$1, 0)),IF(_xlpm.Result="","",_xlpm.Result))</f>
        <v>#N/A</v>
      </c>
      <c r="T203" s="53" t="e" cm="1">
        <f t="array" ref="T203">_xlfn.TEXTSPLIT(S203," / ", ,TRUE,0,)</f>
        <v>#N/A</v>
      </c>
      <c r="U203" s="53"/>
      <c r="V203" s="53" t="str" cm="1">
        <f t="array" ref="V203">IFERROR(_xlfn.IFS(
T203="","",
--T203&lt;55,"Battery Defect",
--T203&lt;=69,"Battery D",
--T203&lt;=80,"Battery C",
--T203&gt;80,""
),"")</f>
        <v/>
      </c>
      <c r="W203" s="53" t="str" cm="1">
        <f t="array" ref="W203">IFERROR(_xlfn.IFS(
U203="","",
--U203&lt;55,"Battery Defect",
--U203&lt;=69,"Battery D",
--U203&lt;=80,"Battery C",
--U203&gt;80,""
),"")</f>
        <v/>
      </c>
      <c r="X203" s="53" t="str" cm="1">
        <f t="array" ref="X203:AE203">IFERROR(IF(_xlfn.XLOOKUP(B203,Input!J:J,Input!N:U)=0,"",
          _xlfn.XLOOKUP(B203,Input!J:J,Input!N:U)),"")</f>
        <v/>
      </c>
      <c r="Y203" s="53" t="str">
        <v/>
      </c>
      <c r="Z203" s="53" t="str">
        <v/>
      </c>
      <c r="AA203" s="53" t="str">
        <v/>
      </c>
      <c r="AB203" s="53" t="str">
        <v/>
      </c>
      <c r="AC203" s="53" t="str">
        <v/>
      </c>
      <c r="AD203" s="53" t="str">
        <v/>
      </c>
      <c r="AE203" s="53" t="str">
        <v/>
      </c>
      <c r="AF203" s="32" t="str">
        <f t="shared" si="12"/>
        <v/>
      </c>
      <c r="AG203" s="32" t="str">
        <f>_xlfn.XLOOKUP(B:B,Disk_Pivot!G:G,Disk_Pivot!I:I)</f>
        <v>Yes x2</v>
      </c>
      <c r="AH203" s="32" t="str">
        <f>_xlfn.XLOOKUP(B203,Disk_Pivot!G:G,Disk_Pivot!N:N)</f>
        <v>Pass, Fail</v>
      </c>
      <c r="AI203" s="32"/>
      <c r="AJ203" s="32"/>
      <c r="AK203" s="32"/>
      <c r="AL203" s="32"/>
      <c r="AM203" s="32"/>
      <c r="AN203" s="32"/>
    </row>
    <row r="204" spans="1:40">
      <c r="A204" s="32" t="str">
        <f>_xlfn.TEXTJOIN("",TRUE,_xlfn.XLOOKUP(B204,Input!J:J,Input!G:G,"",0,1),_xlfn.XLOOKUP(B204,Input!J:J,Input!H:H,"",0,1))</f>
        <v/>
      </c>
      <c r="B204" s="32"/>
      <c r="C204" s="53">
        <f>_xlfn.XLOOKUP(B204,Input!J:J,Input!F:F)</f>
        <v>0</v>
      </c>
      <c r="D204" s="32">
        <f>_xlfn.XLOOKUP(C204,Models!H:H,Models!G:G,C204)</f>
        <v>0</v>
      </c>
      <c r="E204" s="32"/>
      <c r="F204" s="32" t="str">
        <f>_xlfn.XLOOKUP(H204,Models!B:B,Models!F:F,"")</f>
        <v/>
      </c>
      <c r="G204" s="32">
        <f>_xlfn.XLOOKUP(B204,Input!J:J,Input!E:E)</f>
        <v>0</v>
      </c>
      <c r="H204" s="32">
        <f>IF(G204="LENOVO",_xlfn.XLOOKUP(B204,Input!J:J,Input!K:K),_xlfn.XLOOKUP(B204,Input!J:J,Input!L:L))</f>
        <v>0</v>
      </c>
      <c r="I204" s="32"/>
      <c r="J204" s="32"/>
      <c r="K204" s="32">
        <f>_xlfn.XLOOKUP(B204,CPU_Formula!A:A,CPU_Formula!I:I)</f>
        <v>0</v>
      </c>
      <c r="L204" s="53" t="e">
        <f>INDEX(Input!$D$2:$AC$500,
       MATCH(B204, Input!$J$2:$J$500, 0),
       MATCH("Memory Capacity", Input!$D$1:$AC$1, 0))</f>
        <v>#N/A</v>
      </c>
      <c r="M204" s="53" t="e">
        <f>INDEX(Input!$D$2:$AC$500,
       MATCH(B204, Input!$J$2:$J$500, 0),
       MATCH("Memory Type", Input!$D$1:$AC$1, 0))</f>
        <v>#N/A</v>
      </c>
      <c r="N204" s="53" t="e">
        <f t="shared" si="11"/>
        <v>#N/A</v>
      </c>
      <c r="O204" s="53" t="str" cm="1">
        <f t="array" ref="O204">IFERROR(_xlfn.FILTERXML("&lt;t&gt;&lt;s&gt;" &amp; SUBSTITUTE(M204," / ","&lt;/s&gt;&lt;s&gt;") &amp; "&lt;/s&gt;&lt;/t&gt;","(//s[contains(.,'DDR')])[1]"),"")</f>
        <v/>
      </c>
      <c r="P204" s="32" t="e">
        <f t="shared" si="10"/>
        <v>#N/A</v>
      </c>
      <c r="Q204" s="32"/>
      <c r="R204" s="32"/>
      <c r="S204" s="53" t="e">
        <f>_xlfn.LET(_xlpm.Result,INDEX(Input!$D$2:$AC$500,
       MATCH(B204, Input!$J$2:$J$500, 0),
       MATCH("Capacity", Input!$D$1:$AC$1, 0)),IF(_xlpm.Result="","",_xlpm.Result))</f>
        <v>#N/A</v>
      </c>
      <c r="T204" s="53" t="e" cm="1">
        <f t="array" ref="T204">_xlfn.TEXTSPLIT(S204," / ", ,TRUE,0,)</f>
        <v>#N/A</v>
      </c>
      <c r="U204" s="53"/>
      <c r="V204" s="53" t="str" cm="1">
        <f t="array" ref="V204">IFERROR(_xlfn.IFS(
T204="","",
--T204&lt;55,"Battery Defect",
--T204&lt;=69,"Battery D",
--T204&lt;=80,"Battery C",
--T204&gt;80,""
),"")</f>
        <v/>
      </c>
      <c r="W204" s="53" t="str" cm="1">
        <f t="array" ref="W204">IFERROR(_xlfn.IFS(
U204="","",
--U204&lt;55,"Battery Defect",
--U204&lt;=69,"Battery D",
--U204&lt;=80,"Battery C",
--U204&gt;80,""
),"")</f>
        <v/>
      </c>
      <c r="X204" s="53" t="str" cm="1">
        <f t="array" ref="X204:AE204">IFERROR(IF(_xlfn.XLOOKUP(B204,Input!J:J,Input!N:U)=0,"",
          _xlfn.XLOOKUP(B204,Input!J:J,Input!N:U)),"")</f>
        <v/>
      </c>
      <c r="Y204" s="53" t="str">
        <v/>
      </c>
      <c r="Z204" s="53" t="str">
        <v/>
      </c>
      <c r="AA204" s="53" t="str">
        <v/>
      </c>
      <c r="AB204" s="53" t="str">
        <v/>
      </c>
      <c r="AC204" s="53" t="str">
        <v/>
      </c>
      <c r="AD204" s="53" t="str">
        <v/>
      </c>
      <c r="AE204" s="53" t="str">
        <v/>
      </c>
      <c r="AF204" s="32" t="str">
        <f t="shared" si="12"/>
        <v/>
      </c>
      <c r="AG204" s="32" t="str">
        <f>_xlfn.XLOOKUP(B:B,Disk_Pivot!G:G,Disk_Pivot!I:I)</f>
        <v>Yes x2</v>
      </c>
      <c r="AH204" s="32" t="str">
        <f>_xlfn.XLOOKUP(B204,Disk_Pivot!G:G,Disk_Pivot!N:N)</f>
        <v>Pass, Fail</v>
      </c>
      <c r="AI204" s="32"/>
      <c r="AJ204" s="32"/>
      <c r="AK204" s="32"/>
      <c r="AL204" s="32"/>
      <c r="AM204" s="32"/>
      <c r="AN204" s="32"/>
    </row>
    <row r="205" spans="1:40">
      <c r="A205" s="32" t="str">
        <f>_xlfn.TEXTJOIN("",TRUE,_xlfn.XLOOKUP(B205,Input!J:J,Input!G:G,"",0,1),_xlfn.XLOOKUP(B205,Input!J:J,Input!H:H,"",0,1))</f>
        <v/>
      </c>
      <c r="B205" s="32"/>
      <c r="C205" s="53">
        <f>_xlfn.XLOOKUP(B205,Input!J:J,Input!F:F)</f>
        <v>0</v>
      </c>
      <c r="D205" s="32">
        <f>_xlfn.XLOOKUP(C205,Models!H:H,Models!G:G,C205)</f>
        <v>0</v>
      </c>
      <c r="E205" s="32"/>
      <c r="F205" s="32" t="str">
        <f>_xlfn.XLOOKUP(H205,Models!B:B,Models!F:F,"")</f>
        <v/>
      </c>
      <c r="G205" s="32">
        <f>_xlfn.XLOOKUP(B205,Input!J:J,Input!E:E)</f>
        <v>0</v>
      </c>
      <c r="H205" s="32">
        <f>IF(G205="LENOVO",_xlfn.XLOOKUP(B205,Input!J:J,Input!K:K),_xlfn.XLOOKUP(B205,Input!J:J,Input!L:L))</f>
        <v>0</v>
      </c>
      <c r="I205" s="32"/>
      <c r="J205" s="32"/>
      <c r="K205" s="32">
        <f>_xlfn.XLOOKUP(B205,CPU_Formula!A:A,CPU_Formula!I:I)</f>
        <v>0</v>
      </c>
      <c r="L205" s="53" t="e">
        <f>INDEX(Input!$D$2:$AC$500,
       MATCH(B205, Input!$J$2:$J$500, 0),
       MATCH("Memory Capacity", Input!$D$1:$AC$1, 0))</f>
        <v>#N/A</v>
      </c>
      <c r="M205" s="53" t="e">
        <f>INDEX(Input!$D$2:$AC$500,
       MATCH(B205, Input!$J$2:$J$500, 0),
       MATCH("Memory Type", Input!$D$1:$AC$1, 0))</f>
        <v>#N/A</v>
      </c>
      <c r="N205" s="53" t="e">
        <f t="shared" si="11"/>
        <v>#N/A</v>
      </c>
      <c r="O205" s="53" t="str" cm="1">
        <f t="array" ref="O205">IFERROR(_xlfn.FILTERXML("&lt;t&gt;&lt;s&gt;" &amp; SUBSTITUTE(M205," / ","&lt;/s&gt;&lt;s&gt;") &amp; "&lt;/s&gt;&lt;/t&gt;","(//s[contains(.,'DDR')])[1]"),"")</f>
        <v/>
      </c>
      <c r="P205" s="32" t="e">
        <f t="shared" si="10"/>
        <v>#N/A</v>
      </c>
      <c r="Q205" s="32"/>
      <c r="R205" s="32"/>
      <c r="S205" s="53" t="e">
        <f>_xlfn.LET(_xlpm.Result,INDEX(Input!$D$2:$AC$500,
       MATCH(B205, Input!$J$2:$J$500, 0),
       MATCH("Capacity", Input!$D$1:$AC$1, 0)),IF(_xlpm.Result="","",_xlpm.Result))</f>
        <v>#N/A</v>
      </c>
      <c r="T205" s="53" t="e" cm="1">
        <f t="array" ref="T205">_xlfn.TEXTSPLIT(S205," / ", ,TRUE,0,)</f>
        <v>#N/A</v>
      </c>
      <c r="U205" s="53"/>
      <c r="V205" s="53" t="str" cm="1">
        <f t="array" ref="V205">IFERROR(_xlfn.IFS(
T205="","",
--T205&lt;55,"Battery Defect",
--T205&lt;=69,"Battery D",
--T205&lt;=80,"Battery C",
--T205&gt;80,""
),"")</f>
        <v/>
      </c>
      <c r="W205" s="53" t="str" cm="1">
        <f t="array" ref="W205">IFERROR(_xlfn.IFS(
U205="","",
--U205&lt;55,"Battery Defect",
--U205&lt;=69,"Battery D",
--U205&lt;=80,"Battery C",
--U205&gt;80,""
),"")</f>
        <v/>
      </c>
      <c r="X205" s="53" t="str" cm="1">
        <f t="array" ref="X205:AE205">IFERROR(IF(_xlfn.XLOOKUP(B205,Input!J:J,Input!N:U)=0,"",
          _xlfn.XLOOKUP(B205,Input!J:J,Input!N:U)),"")</f>
        <v/>
      </c>
      <c r="Y205" s="53" t="str">
        <v/>
      </c>
      <c r="Z205" s="53" t="str">
        <v/>
      </c>
      <c r="AA205" s="53" t="str">
        <v/>
      </c>
      <c r="AB205" s="53" t="str">
        <v/>
      </c>
      <c r="AC205" s="53" t="str">
        <v/>
      </c>
      <c r="AD205" s="53" t="str">
        <v/>
      </c>
      <c r="AE205" s="53" t="str">
        <v/>
      </c>
      <c r="AF205" s="32" t="str">
        <f t="shared" si="12"/>
        <v/>
      </c>
      <c r="AG205" s="32" t="str">
        <f>_xlfn.XLOOKUP(B:B,Disk_Pivot!G:G,Disk_Pivot!I:I)</f>
        <v>Yes x2</v>
      </c>
      <c r="AH205" s="32" t="str">
        <f>_xlfn.XLOOKUP(B205,Disk_Pivot!G:G,Disk_Pivot!N:N)</f>
        <v>Pass, Fail</v>
      </c>
      <c r="AI205" s="32"/>
      <c r="AJ205" s="32"/>
      <c r="AK205" s="32"/>
      <c r="AL205" s="32"/>
      <c r="AM205" s="32"/>
      <c r="AN205" s="32"/>
    </row>
    <row r="206" spans="1:40">
      <c r="A206" s="32" t="str">
        <f>_xlfn.TEXTJOIN("",TRUE,_xlfn.XLOOKUP(B206,Input!J:J,Input!G:G,"",0,1),_xlfn.XLOOKUP(B206,Input!J:J,Input!H:H,"",0,1))</f>
        <v/>
      </c>
      <c r="B206" s="32"/>
      <c r="C206" s="53">
        <f>_xlfn.XLOOKUP(B206,Input!J:J,Input!F:F)</f>
        <v>0</v>
      </c>
      <c r="D206" s="32">
        <f>_xlfn.XLOOKUP(C206,Models!H:H,Models!G:G,C206)</f>
        <v>0</v>
      </c>
      <c r="E206" s="32"/>
      <c r="F206" s="32" t="str">
        <f>_xlfn.XLOOKUP(H206,Models!B:B,Models!F:F,"")</f>
        <v/>
      </c>
      <c r="G206" s="32">
        <f>_xlfn.XLOOKUP(B206,Input!J:J,Input!E:E)</f>
        <v>0</v>
      </c>
      <c r="H206" s="32">
        <f>IF(G206="LENOVO",_xlfn.XLOOKUP(B206,Input!J:J,Input!K:K),_xlfn.XLOOKUP(B206,Input!J:J,Input!L:L))</f>
        <v>0</v>
      </c>
      <c r="I206" s="32"/>
      <c r="J206" s="32"/>
      <c r="K206" s="32">
        <f>_xlfn.XLOOKUP(B206,CPU_Formula!A:A,CPU_Formula!I:I)</f>
        <v>0</v>
      </c>
      <c r="L206" s="53" t="e">
        <f>INDEX(Input!$D$2:$AC$500,
       MATCH(B206, Input!$J$2:$J$500, 0),
       MATCH("Memory Capacity", Input!$D$1:$AC$1, 0))</f>
        <v>#N/A</v>
      </c>
      <c r="M206" s="53" t="e">
        <f>INDEX(Input!$D$2:$AC$500,
       MATCH(B206, Input!$J$2:$J$500, 0),
       MATCH("Memory Type", Input!$D$1:$AC$1, 0))</f>
        <v>#N/A</v>
      </c>
      <c r="N206" s="53" t="e">
        <f t="shared" si="11"/>
        <v>#N/A</v>
      </c>
      <c r="O206" s="53" t="str" cm="1">
        <f t="array" ref="O206">IFERROR(_xlfn.FILTERXML("&lt;t&gt;&lt;s&gt;" &amp; SUBSTITUTE(M206," / ","&lt;/s&gt;&lt;s&gt;") &amp; "&lt;/s&gt;&lt;/t&gt;","(//s[contains(.,'DDR')])[1]"),"")</f>
        <v/>
      </c>
      <c r="P206" s="32" t="e">
        <f t="shared" si="10"/>
        <v>#N/A</v>
      </c>
      <c r="Q206" s="32"/>
      <c r="R206" s="32"/>
      <c r="S206" s="53" t="e">
        <f>_xlfn.LET(_xlpm.Result,INDEX(Input!$D$2:$AC$500,
       MATCH(B206, Input!$J$2:$J$500, 0),
       MATCH("Capacity", Input!$D$1:$AC$1, 0)),IF(_xlpm.Result="","",_xlpm.Result))</f>
        <v>#N/A</v>
      </c>
      <c r="T206" s="53" t="e" cm="1">
        <f t="array" ref="T206">_xlfn.TEXTSPLIT(S206," / ", ,TRUE,0,)</f>
        <v>#N/A</v>
      </c>
      <c r="U206" s="53"/>
      <c r="V206" s="53" t="str" cm="1">
        <f t="array" ref="V206">IFERROR(_xlfn.IFS(
T206="","",
--T206&lt;55,"Battery Defect",
--T206&lt;=69,"Battery D",
--T206&lt;=80,"Battery C",
--T206&gt;80,""
),"")</f>
        <v/>
      </c>
      <c r="W206" s="53" t="str" cm="1">
        <f t="array" ref="W206">IFERROR(_xlfn.IFS(
U206="","",
--U206&lt;55,"Battery Defect",
--U206&lt;=69,"Battery D",
--U206&lt;=80,"Battery C",
--U206&gt;80,""
),"")</f>
        <v/>
      </c>
      <c r="X206" s="53" t="str" cm="1">
        <f t="array" ref="X206:AE206">IFERROR(IF(_xlfn.XLOOKUP(B206,Input!J:J,Input!N:U)=0,"",
          _xlfn.XLOOKUP(B206,Input!J:J,Input!N:U)),"")</f>
        <v/>
      </c>
      <c r="Y206" s="53" t="str">
        <v/>
      </c>
      <c r="Z206" s="53" t="str">
        <v/>
      </c>
      <c r="AA206" s="53" t="str">
        <v/>
      </c>
      <c r="AB206" s="53" t="str">
        <v/>
      </c>
      <c r="AC206" s="53" t="str">
        <v/>
      </c>
      <c r="AD206" s="53" t="str">
        <v/>
      </c>
      <c r="AE206" s="53" t="str">
        <v/>
      </c>
      <c r="AF206" s="32" t="str">
        <f t="shared" si="12"/>
        <v/>
      </c>
      <c r="AG206" s="32" t="str">
        <f>_xlfn.XLOOKUP(B:B,Disk_Pivot!G:G,Disk_Pivot!I:I)</f>
        <v>Yes x2</v>
      </c>
      <c r="AH206" s="32" t="str">
        <f>_xlfn.XLOOKUP(B206,Disk_Pivot!G:G,Disk_Pivot!N:N)</f>
        <v>Pass, Fail</v>
      </c>
      <c r="AI206" s="32"/>
      <c r="AJ206" s="32"/>
      <c r="AK206" s="32"/>
      <c r="AL206" s="32"/>
      <c r="AM206" s="32"/>
      <c r="AN206" s="32"/>
    </row>
    <row r="207" spans="1:40">
      <c r="A207" s="32" t="str">
        <f>_xlfn.TEXTJOIN("",TRUE,_xlfn.XLOOKUP(B207,Input!J:J,Input!G:G,"",0,1),_xlfn.XLOOKUP(B207,Input!J:J,Input!H:H,"",0,1))</f>
        <v/>
      </c>
      <c r="B207" s="32"/>
      <c r="C207" s="53">
        <f>_xlfn.XLOOKUP(B207,Input!J:J,Input!F:F)</f>
        <v>0</v>
      </c>
      <c r="D207" s="32">
        <f>_xlfn.XLOOKUP(C207,Models!H:H,Models!G:G,C207)</f>
        <v>0</v>
      </c>
      <c r="E207" s="32"/>
      <c r="F207" s="32" t="str">
        <f>_xlfn.XLOOKUP(H207,Models!B:B,Models!F:F,"")</f>
        <v/>
      </c>
      <c r="G207" s="32">
        <f>_xlfn.XLOOKUP(B207,Input!J:J,Input!E:E)</f>
        <v>0</v>
      </c>
      <c r="H207" s="32">
        <f>IF(G207="LENOVO",_xlfn.XLOOKUP(B207,Input!J:J,Input!K:K),_xlfn.XLOOKUP(B207,Input!J:J,Input!L:L))</f>
        <v>0</v>
      </c>
      <c r="I207" s="32"/>
      <c r="J207" s="32"/>
      <c r="K207" s="32">
        <f>_xlfn.XLOOKUP(B207,CPU_Formula!A:A,CPU_Formula!I:I)</f>
        <v>0</v>
      </c>
      <c r="L207" s="53" t="e">
        <f>INDEX(Input!$D$2:$AC$500,
       MATCH(B207, Input!$J$2:$J$500, 0),
       MATCH("Memory Capacity", Input!$D$1:$AC$1, 0))</f>
        <v>#N/A</v>
      </c>
      <c r="M207" s="53" t="e">
        <f>INDEX(Input!$D$2:$AC$500,
       MATCH(B207, Input!$J$2:$J$500, 0),
       MATCH("Memory Type", Input!$D$1:$AC$1, 0))</f>
        <v>#N/A</v>
      </c>
      <c r="N207" s="53" t="e">
        <f t="shared" si="11"/>
        <v>#N/A</v>
      </c>
      <c r="O207" s="53" t="str" cm="1">
        <f t="array" ref="O207">IFERROR(_xlfn.FILTERXML("&lt;t&gt;&lt;s&gt;" &amp; SUBSTITUTE(M207," / ","&lt;/s&gt;&lt;s&gt;") &amp; "&lt;/s&gt;&lt;/t&gt;","(//s[contains(.,'DDR')])[1]"),"")</f>
        <v/>
      </c>
      <c r="P207" s="32" t="e">
        <f t="shared" si="10"/>
        <v>#N/A</v>
      </c>
      <c r="Q207" s="32"/>
      <c r="R207" s="32"/>
      <c r="S207" s="53" t="e">
        <f>_xlfn.LET(_xlpm.Result,INDEX(Input!$D$2:$AC$500,
       MATCH(B207, Input!$J$2:$J$500, 0),
       MATCH("Capacity", Input!$D$1:$AC$1, 0)),IF(_xlpm.Result="","",_xlpm.Result))</f>
        <v>#N/A</v>
      </c>
      <c r="T207" s="53" t="e" cm="1">
        <f t="array" ref="T207">_xlfn.TEXTSPLIT(S207," / ", ,TRUE,0,)</f>
        <v>#N/A</v>
      </c>
      <c r="U207" s="53"/>
      <c r="V207" s="53" t="str" cm="1">
        <f t="array" ref="V207">IFERROR(_xlfn.IFS(
T207="","",
--T207&lt;55,"Battery Defect",
--T207&lt;=69,"Battery D",
--T207&lt;=80,"Battery C",
--T207&gt;80,""
),"")</f>
        <v/>
      </c>
      <c r="W207" s="53" t="str" cm="1">
        <f t="array" ref="W207">IFERROR(_xlfn.IFS(
U207="","",
--U207&lt;55,"Battery Defect",
--U207&lt;=69,"Battery D",
--U207&lt;=80,"Battery C",
--U207&gt;80,""
),"")</f>
        <v/>
      </c>
      <c r="X207" s="53" t="str" cm="1">
        <f t="array" ref="X207:AE207">IFERROR(IF(_xlfn.XLOOKUP(B207,Input!J:J,Input!N:U)=0,"",
          _xlfn.XLOOKUP(B207,Input!J:J,Input!N:U)),"")</f>
        <v/>
      </c>
      <c r="Y207" s="53" t="str">
        <v/>
      </c>
      <c r="Z207" s="53" t="str">
        <v/>
      </c>
      <c r="AA207" s="53" t="str">
        <v/>
      </c>
      <c r="AB207" s="53" t="str">
        <v/>
      </c>
      <c r="AC207" s="53" t="str">
        <v/>
      </c>
      <c r="AD207" s="53" t="str">
        <v/>
      </c>
      <c r="AE207" s="53" t="str">
        <v/>
      </c>
      <c r="AF207" s="32" t="str">
        <f t="shared" si="12"/>
        <v/>
      </c>
      <c r="AG207" s="32" t="str">
        <f>_xlfn.XLOOKUP(B:B,Disk_Pivot!G:G,Disk_Pivot!I:I)</f>
        <v>Yes x2</v>
      </c>
      <c r="AH207" s="32" t="str">
        <f>_xlfn.XLOOKUP(B207,Disk_Pivot!G:G,Disk_Pivot!N:N)</f>
        <v>Pass, Fail</v>
      </c>
      <c r="AI207" s="32"/>
      <c r="AJ207" s="32"/>
      <c r="AK207" s="32"/>
      <c r="AL207" s="32"/>
      <c r="AM207" s="32"/>
      <c r="AN207" s="32"/>
    </row>
    <row r="208" spans="1:40">
      <c r="A208" s="32" t="str">
        <f>_xlfn.TEXTJOIN("",TRUE,_xlfn.XLOOKUP(B208,Input!J:J,Input!G:G,"",0,1),_xlfn.XLOOKUP(B208,Input!J:J,Input!H:H,"",0,1))</f>
        <v/>
      </c>
      <c r="B208" s="32"/>
      <c r="C208" s="53">
        <f>_xlfn.XLOOKUP(B208,Input!J:J,Input!F:F)</f>
        <v>0</v>
      </c>
      <c r="D208" s="32">
        <f>_xlfn.XLOOKUP(C208,Models!H:H,Models!G:G,C208)</f>
        <v>0</v>
      </c>
      <c r="E208" s="32"/>
      <c r="F208" s="32" t="str">
        <f>_xlfn.XLOOKUP(H208,Models!B:B,Models!F:F,"")</f>
        <v/>
      </c>
      <c r="G208" s="32">
        <f>_xlfn.XLOOKUP(B208,Input!J:J,Input!E:E)</f>
        <v>0</v>
      </c>
      <c r="H208" s="32">
        <f>IF(G208="LENOVO",_xlfn.XLOOKUP(B208,Input!J:J,Input!K:K),_xlfn.XLOOKUP(B208,Input!J:J,Input!L:L))</f>
        <v>0</v>
      </c>
      <c r="I208" s="32"/>
      <c r="J208" s="32"/>
      <c r="K208" s="32">
        <f>_xlfn.XLOOKUP(B208,CPU_Formula!A:A,CPU_Formula!I:I)</f>
        <v>0</v>
      </c>
      <c r="L208" s="53" t="e">
        <f>INDEX(Input!$D$2:$AC$500,
       MATCH(B208, Input!$J$2:$J$500, 0),
       MATCH("Memory Capacity", Input!$D$1:$AC$1, 0))</f>
        <v>#N/A</v>
      </c>
      <c r="M208" s="53" t="e">
        <f>INDEX(Input!$D$2:$AC$500,
       MATCH(B208, Input!$J$2:$J$500, 0),
       MATCH("Memory Type", Input!$D$1:$AC$1, 0))</f>
        <v>#N/A</v>
      </c>
      <c r="N208" s="53" t="e">
        <f t="shared" si="11"/>
        <v>#N/A</v>
      </c>
      <c r="O208" s="53" t="str" cm="1">
        <f t="array" ref="O208">IFERROR(_xlfn.FILTERXML("&lt;t&gt;&lt;s&gt;" &amp; SUBSTITUTE(M208," / ","&lt;/s&gt;&lt;s&gt;") &amp; "&lt;/s&gt;&lt;/t&gt;","(//s[contains(.,'DDR')])[1]"),"")</f>
        <v/>
      </c>
      <c r="P208" s="32" t="e">
        <f t="shared" si="10"/>
        <v>#N/A</v>
      </c>
      <c r="Q208" s="32"/>
      <c r="R208" s="32"/>
      <c r="S208" s="53" t="e">
        <f>_xlfn.LET(_xlpm.Result,INDEX(Input!$D$2:$AC$500,
       MATCH(B208, Input!$J$2:$J$500, 0),
       MATCH("Capacity", Input!$D$1:$AC$1, 0)),IF(_xlpm.Result="","",_xlpm.Result))</f>
        <v>#N/A</v>
      </c>
      <c r="T208" s="53" t="e" cm="1">
        <f t="array" ref="T208">_xlfn.TEXTSPLIT(S208," / ", ,TRUE,0,)</f>
        <v>#N/A</v>
      </c>
      <c r="U208" s="53"/>
      <c r="V208" s="53" t="str" cm="1">
        <f t="array" ref="V208">IFERROR(_xlfn.IFS(
T208="","",
--T208&lt;55,"Battery Defect",
--T208&lt;=69,"Battery D",
--T208&lt;=80,"Battery C",
--T208&gt;80,""
),"")</f>
        <v/>
      </c>
      <c r="W208" s="53" t="str" cm="1">
        <f t="array" ref="W208">IFERROR(_xlfn.IFS(
U208="","",
--U208&lt;55,"Battery Defect",
--U208&lt;=69,"Battery D",
--U208&lt;=80,"Battery C",
--U208&gt;80,""
),"")</f>
        <v/>
      </c>
      <c r="X208" s="53" t="str" cm="1">
        <f t="array" ref="X208:AE208">IFERROR(IF(_xlfn.XLOOKUP(B208,Input!J:J,Input!N:U)=0,"",
          _xlfn.XLOOKUP(B208,Input!J:J,Input!N:U)),"")</f>
        <v/>
      </c>
      <c r="Y208" s="53" t="str">
        <v/>
      </c>
      <c r="Z208" s="53" t="str">
        <v/>
      </c>
      <c r="AA208" s="53" t="str">
        <v/>
      </c>
      <c r="AB208" s="53" t="str">
        <v/>
      </c>
      <c r="AC208" s="53" t="str">
        <v/>
      </c>
      <c r="AD208" s="53" t="str">
        <v/>
      </c>
      <c r="AE208" s="53" t="str">
        <v/>
      </c>
      <c r="AF208" s="32" t="str">
        <f t="shared" si="12"/>
        <v/>
      </c>
      <c r="AG208" s="32" t="str">
        <f>_xlfn.XLOOKUP(B:B,Disk_Pivot!G:G,Disk_Pivot!I:I)</f>
        <v>Yes x2</v>
      </c>
      <c r="AH208" s="32" t="str">
        <f>_xlfn.XLOOKUP(B208,Disk_Pivot!G:G,Disk_Pivot!N:N)</f>
        <v>Pass, Fail</v>
      </c>
      <c r="AI208" s="32"/>
      <c r="AJ208" s="32"/>
      <c r="AK208" s="32"/>
      <c r="AL208" s="32"/>
      <c r="AM208" s="32"/>
      <c r="AN208" s="32"/>
    </row>
    <row r="209" spans="1:40">
      <c r="A209" s="32" t="str">
        <f>_xlfn.TEXTJOIN("",TRUE,_xlfn.XLOOKUP(B209,Input!J:J,Input!G:G,"",0,1),_xlfn.XLOOKUP(B209,Input!J:J,Input!H:H,"",0,1))</f>
        <v/>
      </c>
      <c r="B209" s="32"/>
      <c r="C209" s="53">
        <f>_xlfn.XLOOKUP(B209,Input!J:J,Input!F:F)</f>
        <v>0</v>
      </c>
      <c r="D209" s="32">
        <f>_xlfn.XLOOKUP(C209,Models!H:H,Models!G:G,C209)</f>
        <v>0</v>
      </c>
      <c r="E209" s="32"/>
      <c r="F209" s="32" t="str">
        <f>_xlfn.XLOOKUP(H209,Models!B:B,Models!F:F,"")</f>
        <v/>
      </c>
      <c r="G209" s="32">
        <f>_xlfn.XLOOKUP(B209,Input!J:J,Input!E:E)</f>
        <v>0</v>
      </c>
      <c r="H209" s="32">
        <f>IF(G209="LENOVO",_xlfn.XLOOKUP(B209,Input!J:J,Input!K:K),_xlfn.XLOOKUP(B209,Input!J:J,Input!L:L))</f>
        <v>0</v>
      </c>
      <c r="I209" s="32"/>
      <c r="J209" s="32"/>
      <c r="K209" s="32">
        <f>_xlfn.XLOOKUP(B209,CPU_Formula!A:A,CPU_Formula!I:I)</f>
        <v>0</v>
      </c>
      <c r="L209" s="53" t="e">
        <f>INDEX(Input!$D$2:$AC$500,
       MATCH(B209, Input!$J$2:$J$500, 0),
       MATCH("Memory Capacity", Input!$D$1:$AC$1, 0))</f>
        <v>#N/A</v>
      </c>
      <c r="M209" s="53" t="e">
        <f>INDEX(Input!$D$2:$AC$500,
       MATCH(B209, Input!$J$2:$J$500, 0),
       MATCH("Memory Type", Input!$D$1:$AC$1, 0))</f>
        <v>#N/A</v>
      </c>
      <c r="N209" s="53" t="e">
        <f t="shared" si="11"/>
        <v>#N/A</v>
      </c>
      <c r="O209" s="53" t="str" cm="1">
        <f t="array" ref="O209">IFERROR(_xlfn.FILTERXML("&lt;t&gt;&lt;s&gt;" &amp; SUBSTITUTE(M209," / ","&lt;/s&gt;&lt;s&gt;") &amp; "&lt;/s&gt;&lt;/t&gt;","(//s[contains(.,'DDR')])[1]"),"")</f>
        <v/>
      </c>
      <c r="P209" s="32" t="e">
        <f t="shared" si="10"/>
        <v>#N/A</v>
      </c>
      <c r="Q209" s="32"/>
      <c r="R209" s="32"/>
      <c r="S209" s="53" t="e">
        <f>_xlfn.LET(_xlpm.Result,INDEX(Input!$D$2:$AC$500,
       MATCH(B209, Input!$J$2:$J$500, 0),
       MATCH("Capacity", Input!$D$1:$AC$1, 0)),IF(_xlpm.Result="","",_xlpm.Result))</f>
        <v>#N/A</v>
      </c>
      <c r="T209" s="53" t="e" cm="1">
        <f t="array" ref="T209">_xlfn.TEXTSPLIT(S209," / ", ,TRUE,0,)</f>
        <v>#N/A</v>
      </c>
      <c r="U209" s="53"/>
      <c r="V209" s="53" t="str" cm="1">
        <f t="array" ref="V209">IFERROR(_xlfn.IFS(
T209="","",
--T209&lt;55,"Battery Defect",
--T209&lt;=69,"Battery D",
--T209&lt;=80,"Battery C",
--T209&gt;80,""
),"")</f>
        <v/>
      </c>
      <c r="W209" s="53" t="str" cm="1">
        <f t="array" ref="W209">IFERROR(_xlfn.IFS(
U209="","",
--U209&lt;55,"Battery Defect",
--U209&lt;=69,"Battery D",
--U209&lt;=80,"Battery C",
--U209&gt;80,""
),"")</f>
        <v/>
      </c>
      <c r="X209" s="53" t="str" cm="1">
        <f t="array" ref="X209:AE209">IFERROR(IF(_xlfn.XLOOKUP(B209,Input!J:J,Input!N:U)=0,"",
          _xlfn.XLOOKUP(B209,Input!J:J,Input!N:U)),"")</f>
        <v/>
      </c>
      <c r="Y209" s="53" t="str">
        <v/>
      </c>
      <c r="Z209" s="53" t="str">
        <v/>
      </c>
      <c r="AA209" s="53" t="str">
        <v/>
      </c>
      <c r="AB209" s="53" t="str">
        <v/>
      </c>
      <c r="AC209" s="53" t="str">
        <v/>
      </c>
      <c r="AD209" s="53" t="str">
        <v/>
      </c>
      <c r="AE209" s="53" t="str">
        <v/>
      </c>
      <c r="AF209" s="32" t="str">
        <f t="shared" si="12"/>
        <v/>
      </c>
      <c r="AG209" s="32" t="str">
        <f>_xlfn.XLOOKUP(B:B,Disk_Pivot!G:G,Disk_Pivot!I:I)</f>
        <v>Yes x2</v>
      </c>
      <c r="AH209" s="32" t="str">
        <f>_xlfn.XLOOKUP(B209,Disk_Pivot!G:G,Disk_Pivot!N:N)</f>
        <v>Pass, Fail</v>
      </c>
      <c r="AI209" s="32"/>
      <c r="AJ209" s="32"/>
      <c r="AK209" s="32"/>
      <c r="AL209" s="32"/>
      <c r="AM209" s="32"/>
      <c r="AN209" s="32"/>
    </row>
    <row r="210" spans="1:40">
      <c r="A210" s="32" t="str">
        <f>_xlfn.TEXTJOIN("",TRUE,_xlfn.XLOOKUP(B210,Input!J:J,Input!G:G,"",0,1),_xlfn.XLOOKUP(B210,Input!J:J,Input!H:H,"",0,1))</f>
        <v/>
      </c>
      <c r="B210" s="32"/>
      <c r="C210" s="53">
        <f>_xlfn.XLOOKUP(B210,Input!J:J,Input!F:F)</f>
        <v>0</v>
      </c>
      <c r="D210" s="32">
        <f>_xlfn.XLOOKUP(C210,Models!H:H,Models!G:G,C210)</f>
        <v>0</v>
      </c>
      <c r="E210" s="32"/>
      <c r="F210" s="32" t="str">
        <f>_xlfn.XLOOKUP(H210,Models!B:B,Models!F:F,"")</f>
        <v/>
      </c>
      <c r="G210" s="32">
        <f>_xlfn.XLOOKUP(B210,Input!J:J,Input!E:E)</f>
        <v>0</v>
      </c>
      <c r="H210" s="32">
        <f>IF(G210="LENOVO",_xlfn.XLOOKUP(B210,Input!J:J,Input!K:K),_xlfn.XLOOKUP(B210,Input!J:J,Input!L:L))</f>
        <v>0</v>
      </c>
      <c r="I210" s="32"/>
      <c r="J210" s="32"/>
      <c r="K210" s="32">
        <f>_xlfn.XLOOKUP(B210,CPU_Formula!A:A,CPU_Formula!I:I)</f>
        <v>0</v>
      </c>
      <c r="L210" s="53" t="e">
        <f>INDEX(Input!$D$2:$AC$500,
       MATCH(B210, Input!$J$2:$J$500, 0),
       MATCH("Memory Capacity", Input!$D$1:$AC$1, 0))</f>
        <v>#N/A</v>
      </c>
      <c r="M210" s="53" t="e">
        <f>INDEX(Input!$D$2:$AC$500,
       MATCH(B210, Input!$J$2:$J$500, 0),
       MATCH("Memory Type", Input!$D$1:$AC$1, 0))</f>
        <v>#N/A</v>
      </c>
      <c r="N210" s="53" t="e">
        <f t="shared" si="11"/>
        <v>#N/A</v>
      </c>
      <c r="O210" s="53" t="str" cm="1">
        <f t="array" ref="O210">IFERROR(_xlfn.FILTERXML("&lt;t&gt;&lt;s&gt;" &amp; SUBSTITUTE(M210," / ","&lt;/s&gt;&lt;s&gt;") &amp; "&lt;/s&gt;&lt;/t&gt;","(//s[contains(.,'DDR')])[1]"),"")</f>
        <v/>
      </c>
      <c r="P210" s="32" t="e">
        <f t="shared" si="10"/>
        <v>#N/A</v>
      </c>
      <c r="Q210" s="32"/>
      <c r="R210" s="32"/>
      <c r="S210" s="53" t="e">
        <f>_xlfn.LET(_xlpm.Result,INDEX(Input!$D$2:$AC$500,
       MATCH(B210, Input!$J$2:$J$500, 0),
       MATCH("Capacity", Input!$D$1:$AC$1, 0)),IF(_xlpm.Result="","",_xlpm.Result))</f>
        <v>#N/A</v>
      </c>
      <c r="T210" s="53" t="e" cm="1">
        <f t="array" ref="T210">_xlfn.TEXTSPLIT(S210," / ", ,TRUE,0,)</f>
        <v>#N/A</v>
      </c>
      <c r="U210" s="53"/>
      <c r="V210" s="53" t="str" cm="1">
        <f t="array" ref="V210">IFERROR(_xlfn.IFS(
T210="","",
--T210&lt;55,"Battery Defect",
--T210&lt;=69,"Battery D",
--T210&lt;=80,"Battery C",
--T210&gt;80,""
),"")</f>
        <v/>
      </c>
      <c r="W210" s="53" t="str" cm="1">
        <f t="array" ref="W210">IFERROR(_xlfn.IFS(
U210="","",
--U210&lt;55,"Battery Defect",
--U210&lt;=69,"Battery D",
--U210&lt;=80,"Battery C",
--U210&gt;80,""
),"")</f>
        <v/>
      </c>
      <c r="X210" s="53" t="str" cm="1">
        <f t="array" ref="X210:AE210">IFERROR(IF(_xlfn.XLOOKUP(B210,Input!J:J,Input!N:U)=0,"",
          _xlfn.XLOOKUP(B210,Input!J:J,Input!N:U)),"")</f>
        <v/>
      </c>
      <c r="Y210" s="53" t="str">
        <v/>
      </c>
      <c r="Z210" s="53" t="str">
        <v/>
      </c>
      <c r="AA210" s="53" t="str">
        <v/>
      </c>
      <c r="AB210" s="53" t="str">
        <v/>
      </c>
      <c r="AC210" s="53" t="str">
        <v/>
      </c>
      <c r="AD210" s="53" t="str">
        <v/>
      </c>
      <c r="AE210" s="53" t="str">
        <v/>
      </c>
      <c r="AF210" s="32" t="str">
        <f t="shared" si="12"/>
        <v/>
      </c>
      <c r="AG210" s="32" t="str">
        <f>_xlfn.XLOOKUP(B:B,Disk_Pivot!G:G,Disk_Pivot!I:I)</f>
        <v>Yes x2</v>
      </c>
      <c r="AH210" s="32" t="str">
        <f>_xlfn.XLOOKUP(B210,Disk_Pivot!G:G,Disk_Pivot!N:N)</f>
        <v>Pass, Fail</v>
      </c>
      <c r="AI210" s="32"/>
      <c r="AJ210" s="32"/>
      <c r="AK210" s="32"/>
      <c r="AL210" s="32"/>
      <c r="AM210" s="32"/>
      <c r="AN210" s="32"/>
    </row>
    <row r="211" spans="1:40">
      <c r="A211" s="32" t="str">
        <f>_xlfn.TEXTJOIN("",TRUE,_xlfn.XLOOKUP(B211,Input!J:J,Input!G:G,"",0,1),_xlfn.XLOOKUP(B211,Input!J:J,Input!H:H,"",0,1))</f>
        <v/>
      </c>
      <c r="B211" s="32"/>
      <c r="C211" s="53">
        <f>_xlfn.XLOOKUP(B211,Input!J:J,Input!F:F)</f>
        <v>0</v>
      </c>
      <c r="D211" s="32">
        <f>_xlfn.XLOOKUP(C211,Models!H:H,Models!G:G,C211)</f>
        <v>0</v>
      </c>
      <c r="E211" s="32"/>
      <c r="F211" s="32" t="str">
        <f>_xlfn.XLOOKUP(H211,Models!B:B,Models!F:F,"")</f>
        <v/>
      </c>
      <c r="G211" s="32">
        <f>_xlfn.XLOOKUP(B211,Input!J:J,Input!E:E)</f>
        <v>0</v>
      </c>
      <c r="H211" s="32">
        <f>IF(G211="LENOVO",_xlfn.XLOOKUP(B211,Input!J:J,Input!K:K),_xlfn.XLOOKUP(B211,Input!J:J,Input!L:L))</f>
        <v>0</v>
      </c>
      <c r="I211" s="32"/>
      <c r="J211" s="32"/>
      <c r="K211" s="32">
        <f>_xlfn.XLOOKUP(B211,CPU_Formula!A:A,CPU_Formula!I:I)</f>
        <v>0</v>
      </c>
      <c r="L211" s="53" t="e">
        <f>INDEX(Input!$D$2:$AC$500,
       MATCH(B211, Input!$J$2:$J$500, 0),
       MATCH("Memory Capacity", Input!$D$1:$AC$1, 0))</f>
        <v>#N/A</v>
      </c>
      <c r="M211" s="53" t="e">
        <f>INDEX(Input!$D$2:$AC$500,
       MATCH(B211, Input!$J$2:$J$500, 0),
       MATCH("Memory Type", Input!$D$1:$AC$1, 0))</f>
        <v>#N/A</v>
      </c>
      <c r="N211" s="53" t="e">
        <f t="shared" si="11"/>
        <v>#N/A</v>
      </c>
      <c r="O211" s="53" t="str" cm="1">
        <f t="array" ref="O211">IFERROR(_xlfn.FILTERXML("&lt;t&gt;&lt;s&gt;" &amp; SUBSTITUTE(M211," / ","&lt;/s&gt;&lt;s&gt;") &amp; "&lt;/s&gt;&lt;/t&gt;","(//s[contains(.,'DDR')])[1]"),"")</f>
        <v/>
      </c>
      <c r="P211" s="32" t="e">
        <f t="shared" si="10"/>
        <v>#N/A</v>
      </c>
      <c r="Q211" s="32"/>
      <c r="R211" s="32"/>
      <c r="S211" s="53" t="e">
        <f>_xlfn.LET(_xlpm.Result,INDEX(Input!$D$2:$AC$500,
       MATCH(B211, Input!$J$2:$J$500, 0),
       MATCH("Capacity", Input!$D$1:$AC$1, 0)),IF(_xlpm.Result="","",_xlpm.Result))</f>
        <v>#N/A</v>
      </c>
      <c r="T211" s="53" t="e" cm="1">
        <f t="array" ref="T211">_xlfn.TEXTSPLIT(S211," / ", ,TRUE,0,)</f>
        <v>#N/A</v>
      </c>
      <c r="U211" s="53"/>
      <c r="V211" s="53" t="str" cm="1">
        <f t="array" ref="V211">IFERROR(_xlfn.IFS(
T211="","",
--T211&lt;55,"Battery Defect",
--T211&lt;=69,"Battery D",
--T211&lt;=80,"Battery C",
--T211&gt;80,""
),"")</f>
        <v/>
      </c>
      <c r="W211" s="53" t="str" cm="1">
        <f t="array" ref="W211">IFERROR(_xlfn.IFS(
U211="","",
--U211&lt;55,"Battery Defect",
--U211&lt;=69,"Battery D",
--U211&lt;=80,"Battery C",
--U211&gt;80,""
),"")</f>
        <v/>
      </c>
      <c r="X211" s="53" t="str" cm="1">
        <f t="array" ref="X211:AE211">IFERROR(IF(_xlfn.XLOOKUP(B211,Input!J:J,Input!N:U)=0,"",
          _xlfn.XLOOKUP(B211,Input!J:J,Input!N:U)),"")</f>
        <v/>
      </c>
      <c r="Y211" s="53" t="str">
        <v/>
      </c>
      <c r="Z211" s="53" t="str">
        <v/>
      </c>
      <c r="AA211" s="53" t="str">
        <v/>
      </c>
      <c r="AB211" s="53" t="str">
        <v/>
      </c>
      <c r="AC211" s="53" t="str">
        <v/>
      </c>
      <c r="AD211" s="53" t="str">
        <v/>
      </c>
      <c r="AE211" s="53" t="str">
        <v/>
      </c>
      <c r="AF211" s="32" t="str">
        <f t="shared" si="12"/>
        <v/>
      </c>
      <c r="AG211" s="32" t="str">
        <f>_xlfn.XLOOKUP(B:B,Disk_Pivot!G:G,Disk_Pivot!I:I)</f>
        <v>Yes x2</v>
      </c>
      <c r="AH211" s="32" t="str">
        <f>_xlfn.XLOOKUP(B211,Disk_Pivot!G:G,Disk_Pivot!N:N)</f>
        <v>Pass, Fail</v>
      </c>
      <c r="AI211" s="32"/>
      <c r="AJ211" s="32"/>
      <c r="AK211" s="32"/>
      <c r="AL211" s="32"/>
      <c r="AM211" s="32"/>
      <c r="AN211" s="32"/>
    </row>
    <row r="212" spans="1:40">
      <c r="A212" s="32" t="str">
        <f>_xlfn.TEXTJOIN("",TRUE,_xlfn.XLOOKUP(B212,Input!J:J,Input!G:G,"",0,1),_xlfn.XLOOKUP(B212,Input!J:J,Input!H:H,"",0,1))</f>
        <v/>
      </c>
      <c r="B212" s="32"/>
      <c r="C212" s="53">
        <f>_xlfn.XLOOKUP(B212,Input!J:J,Input!F:F)</f>
        <v>0</v>
      </c>
      <c r="D212" s="32">
        <f>_xlfn.XLOOKUP(C212,Models!H:H,Models!G:G,C212)</f>
        <v>0</v>
      </c>
      <c r="E212" s="32"/>
      <c r="F212" s="32" t="str">
        <f>_xlfn.XLOOKUP(H212,Models!B:B,Models!F:F,"")</f>
        <v/>
      </c>
      <c r="G212" s="32">
        <f>_xlfn.XLOOKUP(B212,Input!J:J,Input!E:E)</f>
        <v>0</v>
      </c>
      <c r="H212" s="32">
        <f>IF(G212="LENOVO",_xlfn.XLOOKUP(B212,Input!J:J,Input!K:K),_xlfn.XLOOKUP(B212,Input!J:J,Input!L:L))</f>
        <v>0</v>
      </c>
      <c r="I212" s="32"/>
      <c r="J212" s="32"/>
      <c r="K212" s="32">
        <f>_xlfn.XLOOKUP(B212,CPU_Formula!A:A,CPU_Formula!I:I)</f>
        <v>0</v>
      </c>
      <c r="L212" s="53" t="e">
        <f>INDEX(Input!$D$2:$AC$500,
       MATCH(B212, Input!$J$2:$J$500, 0),
       MATCH("Memory Capacity", Input!$D$1:$AC$1, 0))</f>
        <v>#N/A</v>
      </c>
      <c r="M212" s="53" t="e">
        <f>INDEX(Input!$D$2:$AC$500,
       MATCH(B212, Input!$J$2:$J$500, 0),
       MATCH("Memory Type", Input!$D$1:$AC$1, 0))</f>
        <v>#N/A</v>
      </c>
      <c r="N212" s="53" t="e">
        <f t="shared" si="11"/>
        <v>#N/A</v>
      </c>
      <c r="O212" s="53" t="str" cm="1">
        <f t="array" ref="O212">IFERROR(_xlfn.FILTERXML("&lt;t&gt;&lt;s&gt;" &amp; SUBSTITUTE(M212," / ","&lt;/s&gt;&lt;s&gt;") &amp; "&lt;/s&gt;&lt;/t&gt;","(//s[contains(.,'DDR')])[1]"),"")</f>
        <v/>
      </c>
      <c r="P212" s="32" t="e">
        <f t="shared" si="10"/>
        <v>#N/A</v>
      </c>
      <c r="Q212" s="32"/>
      <c r="R212" s="32"/>
      <c r="S212" s="53" t="e">
        <f>_xlfn.LET(_xlpm.Result,INDEX(Input!$D$2:$AC$500,
       MATCH(B212, Input!$J$2:$J$500, 0),
       MATCH("Capacity", Input!$D$1:$AC$1, 0)),IF(_xlpm.Result="","",_xlpm.Result))</f>
        <v>#N/A</v>
      </c>
      <c r="T212" s="53" t="e" cm="1">
        <f t="array" ref="T212">_xlfn.TEXTSPLIT(S212," / ", ,TRUE,0,)</f>
        <v>#N/A</v>
      </c>
      <c r="U212" s="53"/>
      <c r="V212" s="53" t="str" cm="1">
        <f t="array" ref="V212">IFERROR(_xlfn.IFS(
T212="","",
--T212&lt;55,"Battery Defect",
--T212&lt;=69,"Battery D",
--T212&lt;=80,"Battery C",
--T212&gt;80,""
),"")</f>
        <v/>
      </c>
      <c r="W212" s="53" t="str" cm="1">
        <f t="array" ref="W212">IFERROR(_xlfn.IFS(
U212="","",
--U212&lt;55,"Battery Defect",
--U212&lt;=69,"Battery D",
--U212&lt;=80,"Battery C",
--U212&gt;80,""
),"")</f>
        <v/>
      </c>
      <c r="X212" s="53" t="str" cm="1">
        <f t="array" ref="X212:AE212">IFERROR(IF(_xlfn.XLOOKUP(B212,Input!J:J,Input!N:U)=0,"",
          _xlfn.XLOOKUP(B212,Input!J:J,Input!N:U)),"")</f>
        <v/>
      </c>
      <c r="Y212" s="53" t="str">
        <v/>
      </c>
      <c r="Z212" s="53" t="str">
        <v/>
      </c>
      <c r="AA212" s="53" t="str">
        <v/>
      </c>
      <c r="AB212" s="53" t="str">
        <v/>
      </c>
      <c r="AC212" s="53" t="str">
        <v/>
      </c>
      <c r="AD212" s="53" t="str">
        <v/>
      </c>
      <c r="AE212" s="53" t="str">
        <v/>
      </c>
      <c r="AF212" s="32" t="str">
        <f t="shared" si="12"/>
        <v/>
      </c>
      <c r="AG212" s="32" t="str">
        <f>_xlfn.XLOOKUP(B:B,Disk_Pivot!G:G,Disk_Pivot!I:I)</f>
        <v>Yes x2</v>
      </c>
      <c r="AH212" s="32" t="str">
        <f>_xlfn.XLOOKUP(B212,Disk_Pivot!G:G,Disk_Pivot!N:N)</f>
        <v>Pass, Fail</v>
      </c>
      <c r="AI212" s="32"/>
      <c r="AJ212" s="32"/>
      <c r="AK212" s="32"/>
      <c r="AL212" s="32"/>
      <c r="AM212" s="32"/>
      <c r="AN212" s="32"/>
    </row>
    <row r="213" spans="1:40">
      <c r="A213" s="32" t="str">
        <f>_xlfn.TEXTJOIN("",TRUE,_xlfn.XLOOKUP(B213,Input!J:J,Input!G:G,"",0,1),_xlfn.XLOOKUP(B213,Input!J:J,Input!H:H,"",0,1))</f>
        <v/>
      </c>
      <c r="B213" s="32"/>
      <c r="C213" s="53">
        <f>_xlfn.XLOOKUP(B213,Input!J:J,Input!F:F)</f>
        <v>0</v>
      </c>
      <c r="D213" s="32">
        <f>_xlfn.XLOOKUP(C213,Models!H:H,Models!G:G,C213)</f>
        <v>0</v>
      </c>
      <c r="E213" s="32"/>
      <c r="F213" s="32" t="str">
        <f>_xlfn.XLOOKUP(H213,Models!B:B,Models!F:F,"")</f>
        <v/>
      </c>
      <c r="G213" s="32">
        <f>_xlfn.XLOOKUP(B213,Input!J:J,Input!E:E)</f>
        <v>0</v>
      </c>
      <c r="H213" s="32">
        <f>IF(G213="LENOVO",_xlfn.XLOOKUP(B213,Input!J:J,Input!K:K),_xlfn.XLOOKUP(B213,Input!J:J,Input!L:L))</f>
        <v>0</v>
      </c>
      <c r="I213" s="32"/>
      <c r="J213" s="32"/>
      <c r="K213" s="32">
        <f>_xlfn.XLOOKUP(B213,CPU_Formula!A:A,CPU_Formula!I:I)</f>
        <v>0</v>
      </c>
      <c r="L213" s="53" t="e">
        <f>INDEX(Input!$D$2:$AC$500,
       MATCH(B213, Input!$J$2:$J$500, 0),
       MATCH("Memory Capacity", Input!$D$1:$AC$1, 0))</f>
        <v>#N/A</v>
      </c>
      <c r="M213" s="53" t="e">
        <f>INDEX(Input!$D$2:$AC$500,
       MATCH(B213, Input!$J$2:$J$500, 0),
       MATCH("Memory Type", Input!$D$1:$AC$1, 0))</f>
        <v>#N/A</v>
      </c>
      <c r="N213" s="53" t="e">
        <f t="shared" si="11"/>
        <v>#N/A</v>
      </c>
      <c r="O213" s="53" t="str" cm="1">
        <f t="array" ref="O213">IFERROR(_xlfn.FILTERXML("&lt;t&gt;&lt;s&gt;" &amp; SUBSTITUTE(M213," / ","&lt;/s&gt;&lt;s&gt;") &amp; "&lt;/s&gt;&lt;/t&gt;","(//s[contains(.,'DDR')])[1]"),"")</f>
        <v/>
      </c>
      <c r="P213" s="32" t="e">
        <f t="shared" si="10"/>
        <v>#N/A</v>
      </c>
      <c r="Q213" s="32"/>
      <c r="R213" s="32"/>
      <c r="S213" s="53" t="e">
        <f>_xlfn.LET(_xlpm.Result,INDEX(Input!$D$2:$AC$500,
       MATCH(B213, Input!$J$2:$J$500, 0),
       MATCH("Capacity", Input!$D$1:$AC$1, 0)),IF(_xlpm.Result="","",_xlpm.Result))</f>
        <v>#N/A</v>
      </c>
      <c r="T213" s="53" t="e" cm="1">
        <f t="array" ref="T213">_xlfn.TEXTSPLIT(S213," / ", ,TRUE,0,)</f>
        <v>#N/A</v>
      </c>
      <c r="U213" s="53"/>
      <c r="V213" s="53" t="str" cm="1">
        <f t="array" ref="V213">IFERROR(_xlfn.IFS(
T213="","",
--T213&lt;55,"Battery Defect",
--T213&lt;=69,"Battery D",
--T213&lt;=80,"Battery C",
--T213&gt;80,""
),"")</f>
        <v/>
      </c>
      <c r="W213" s="53" t="str" cm="1">
        <f t="array" ref="W213">IFERROR(_xlfn.IFS(
U213="","",
--U213&lt;55,"Battery Defect",
--U213&lt;=69,"Battery D",
--U213&lt;=80,"Battery C",
--U213&gt;80,""
),"")</f>
        <v/>
      </c>
      <c r="X213" s="53" t="str" cm="1">
        <f t="array" ref="X213:AE213">IFERROR(IF(_xlfn.XLOOKUP(B213,Input!J:J,Input!N:U)=0,"",
          _xlfn.XLOOKUP(B213,Input!J:J,Input!N:U)),"")</f>
        <v/>
      </c>
      <c r="Y213" s="53" t="str">
        <v/>
      </c>
      <c r="Z213" s="53" t="str">
        <v/>
      </c>
      <c r="AA213" s="53" t="str">
        <v/>
      </c>
      <c r="AB213" s="53" t="str">
        <v/>
      </c>
      <c r="AC213" s="53" t="str">
        <v/>
      </c>
      <c r="AD213" s="53" t="str">
        <v/>
      </c>
      <c r="AE213" s="53" t="str">
        <v/>
      </c>
      <c r="AF213" s="32" t="str">
        <f t="shared" si="12"/>
        <v/>
      </c>
      <c r="AG213" s="32" t="str">
        <f>_xlfn.XLOOKUP(B:B,Disk_Pivot!G:G,Disk_Pivot!I:I)</f>
        <v>Yes x2</v>
      </c>
      <c r="AH213" s="32" t="str">
        <f>_xlfn.XLOOKUP(B213,Disk_Pivot!G:G,Disk_Pivot!N:N)</f>
        <v>Pass, Fail</v>
      </c>
      <c r="AI213" s="32"/>
      <c r="AJ213" s="32"/>
      <c r="AK213" s="32"/>
      <c r="AL213" s="32"/>
      <c r="AM213" s="32"/>
      <c r="AN213" s="32"/>
    </row>
    <row r="214" spans="1:40">
      <c r="A214" s="32" t="str">
        <f>_xlfn.TEXTJOIN("",TRUE,_xlfn.XLOOKUP(B214,Input!J:J,Input!G:G,"",0,1),_xlfn.XLOOKUP(B214,Input!J:J,Input!H:H,"",0,1))</f>
        <v/>
      </c>
      <c r="B214" s="32"/>
      <c r="C214" s="53">
        <f>_xlfn.XLOOKUP(B214,Input!J:J,Input!F:F)</f>
        <v>0</v>
      </c>
      <c r="D214" s="32">
        <f>_xlfn.XLOOKUP(C214,Models!H:H,Models!G:G,C214)</f>
        <v>0</v>
      </c>
      <c r="E214" s="32"/>
      <c r="F214" s="32" t="str">
        <f>_xlfn.XLOOKUP(H214,Models!B:B,Models!F:F,"")</f>
        <v/>
      </c>
      <c r="G214" s="32">
        <f>_xlfn.XLOOKUP(B214,Input!J:J,Input!E:E)</f>
        <v>0</v>
      </c>
      <c r="H214" s="32">
        <f>IF(G214="LENOVO",_xlfn.XLOOKUP(B214,Input!J:J,Input!K:K),_xlfn.XLOOKUP(B214,Input!J:J,Input!L:L))</f>
        <v>0</v>
      </c>
      <c r="I214" s="32"/>
      <c r="J214" s="32"/>
      <c r="K214" s="32">
        <f>_xlfn.XLOOKUP(B214,CPU_Formula!A:A,CPU_Formula!I:I)</f>
        <v>0</v>
      </c>
      <c r="L214" s="53" t="e">
        <f>INDEX(Input!$D$2:$AC$500,
       MATCH(B214, Input!$J$2:$J$500, 0),
       MATCH("Memory Capacity", Input!$D$1:$AC$1, 0))</f>
        <v>#N/A</v>
      </c>
      <c r="M214" s="53" t="e">
        <f>INDEX(Input!$D$2:$AC$500,
       MATCH(B214, Input!$J$2:$J$500, 0),
       MATCH("Memory Type", Input!$D$1:$AC$1, 0))</f>
        <v>#N/A</v>
      </c>
      <c r="N214" s="53" t="e">
        <f t="shared" si="11"/>
        <v>#N/A</v>
      </c>
      <c r="O214" s="53" t="str" cm="1">
        <f t="array" ref="O214">IFERROR(_xlfn.FILTERXML("&lt;t&gt;&lt;s&gt;" &amp; SUBSTITUTE(M214," / ","&lt;/s&gt;&lt;s&gt;") &amp; "&lt;/s&gt;&lt;/t&gt;","(//s[contains(.,'DDR')])[1]"),"")</f>
        <v/>
      </c>
      <c r="P214" s="32" t="e">
        <f t="shared" si="10"/>
        <v>#N/A</v>
      </c>
      <c r="Q214" s="32"/>
      <c r="R214" s="32"/>
      <c r="S214" s="53" t="e">
        <f>_xlfn.LET(_xlpm.Result,INDEX(Input!$D$2:$AC$500,
       MATCH(B214, Input!$J$2:$J$500, 0),
       MATCH("Capacity", Input!$D$1:$AC$1, 0)),IF(_xlpm.Result="","",_xlpm.Result))</f>
        <v>#N/A</v>
      </c>
      <c r="T214" s="53" t="e" cm="1">
        <f t="array" ref="T214">_xlfn.TEXTSPLIT(S214," / ", ,TRUE,0,)</f>
        <v>#N/A</v>
      </c>
      <c r="U214" s="53"/>
      <c r="V214" s="53" t="str" cm="1">
        <f t="array" ref="V214">IFERROR(_xlfn.IFS(
T214="","",
--T214&lt;55,"Battery Defect",
--T214&lt;=69,"Battery D",
--T214&lt;=80,"Battery C",
--T214&gt;80,""
),"")</f>
        <v/>
      </c>
      <c r="W214" s="53" t="str" cm="1">
        <f t="array" ref="W214">IFERROR(_xlfn.IFS(
U214="","",
--U214&lt;55,"Battery Defect",
--U214&lt;=69,"Battery D",
--U214&lt;=80,"Battery C",
--U214&gt;80,""
),"")</f>
        <v/>
      </c>
      <c r="X214" s="53" t="str" cm="1">
        <f t="array" ref="X214:AE214">IFERROR(IF(_xlfn.XLOOKUP(B214,Input!J:J,Input!N:U)=0,"",
          _xlfn.XLOOKUP(B214,Input!J:J,Input!N:U)),"")</f>
        <v/>
      </c>
      <c r="Y214" s="53" t="str">
        <v/>
      </c>
      <c r="Z214" s="53" t="str">
        <v/>
      </c>
      <c r="AA214" s="53" t="str">
        <v/>
      </c>
      <c r="AB214" s="53" t="str">
        <v/>
      </c>
      <c r="AC214" s="53" t="str">
        <v/>
      </c>
      <c r="AD214" s="53" t="str">
        <v/>
      </c>
      <c r="AE214" s="53" t="str">
        <v/>
      </c>
      <c r="AF214" s="32" t="str">
        <f t="shared" si="12"/>
        <v/>
      </c>
      <c r="AG214" s="32" t="str">
        <f>_xlfn.XLOOKUP(B:B,Disk_Pivot!G:G,Disk_Pivot!I:I)</f>
        <v>Yes x2</v>
      </c>
      <c r="AH214" s="32" t="str">
        <f>_xlfn.XLOOKUP(B214,Disk_Pivot!G:G,Disk_Pivot!N:N)</f>
        <v>Pass, Fail</v>
      </c>
      <c r="AI214" s="32"/>
      <c r="AJ214" s="32"/>
      <c r="AK214" s="32"/>
      <c r="AL214" s="32"/>
      <c r="AM214" s="32"/>
      <c r="AN214" s="32"/>
    </row>
    <row r="215" spans="1:40">
      <c r="A215" s="32" t="str">
        <f>_xlfn.TEXTJOIN("",TRUE,_xlfn.XLOOKUP(B215,Input!J:J,Input!G:G,"",0,1),_xlfn.XLOOKUP(B215,Input!J:J,Input!H:H,"",0,1))</f>
        <v/>
      </c>
      <c r="B215" s="32"/>
      <c r="C215" s="53">
        <f>_xlfn.XLOOKUP(B215,Input!J:J,Input!F:F)</f>
        <v>0</v>
      </c>
      <c r="D215" s="32">
        <f>_xlfn.XLOOKUP(C215,Models!H:H,Models!G:G,C215)</f>
        <v>0</v>
      </c>
      <c r="E215" s="32"/>
      <c r="F215" s="32" t="str">
        <f>_xlfn.XLOOKUP(H215,Models!B:B,Models!F:F,"")</f>
        <v/>
      </c>
      <c r="G215" s="32">
        <f>_xlfn.XLOOKUP(B215,Input!J:J,Input!E:E)</f>
        <v>0</v>
      </c>
      <c r="H215" s="32">
        <f>IF(G215="LENOVO",_xlfn.XLOOKUP(B215,Input!J:J,Input!K:K),_xlfn.XLOOKUP(B215,Input!J:J,Input!L:L))</f>
        <v>0</v>
      </c>
      <c r="I215" s="32"/>
      <c r="J215" s="32"/>
      <c r="K215" s="32">
        <f>_xlfn.XLOOKUP(B215,CPU_Formula!A:A,CPU_Formula!I:I)</f>
        <v>0</v>
      </c>
      <c r="L215" s="53" t="e">
        <f>INDEX(Input!$D$2:$AC$500,
       MATCH(B215, Input!$J$2:$J$500, 0),
       MATCH("Memory Capacity", Input!$D$1:$AC$1, 0))</f>
        <v>#N/A</v>
      </c>
      <c r="M215" s="53" t="e">
        <f>INDEX(Input!$D$2:$AC$500,
       MATCH(B215, Input!$J$2:$J$500, 0),
       MATCH("Memory Type", Input!$D$1:$AC$1, 0))</f>
        <v>#N/A</v>
      </c>
      <c r="N215" s="53" t="e">
        <f t="shared" si="11"/>
        <v>#N/A</v>
      </c>
      <c r="O215" s="53" t="str" cm="1">
        <f t="array" ref="O215">IFERROR(_xlfn.FILTERXML("&lt;t&gt;&lt;s&gt;" &amp; SUBSTITUTE(M215," / ","&lt;/s&gt;&lt;s&gt;") &amp; "&lt;/s&gt;&lt;/t&gt;","(//s[contains(.,'DDR')])[1]"),"")</f>
        <v/>
      </c>
      <c r="P215" s="32" t="e">
        <f t="shared" si="10"/>
        <v>#N/A</v>
      </c>
      <c r="Q215" s="32"/>
      <c r="R215" s="32"/>
      <c r="S215" s="53" t="e">
        <f>_xlfn.LET(_xlpm.Result,INDEX(Input!$D$2:$AC$500,
       MATCH(B215, Input!$J$2:$J$500, 0),
       MATCH("Capacity", Input!$D$1:$AC$1, 0)),IF(_xlpm.Result="","",_xlpm.Result))</f>
        <v>#N/A</v>
      </c>
      <c r="T215" s="53" t="e" cm="1">
        <f t="array" ref="T215">_xlfn.TEXTSPLIT(S215," / ", ,TRUE,0,)</f>
        <v>#N/A</v>
      </c>
      <c r="U215" s="53"/>
      <c r="V215" s="53" t="str" cm="1">
        <f t="array" ref="V215">IFERROR(_xlfn.IFS(
T215="","",
--T215&lt;55,"Battery Defect",
--T215&lt;=69,"Battery D",
--T215&lt;=80,"Battery C",
--T215&gt;80,""
),"")</f>
        <v/>
      </c>
      <c r="W215" s="53" t="str" cm="1">
        <f t="array" ref="W215">IFERROR(_xlfn.IFS(
U215="","",
--U215&lt;55,"Battery Defect",
--U215&lt;=69,"Battery D",
--U215&lt;=80,"Battery C",
--U215&gt;80,""
),"")</f>
        <v/>
      </c>
      <c r="X215" s="53" t="str" cm="1">
        <f t="array" ref="X215:AE215">IFERROR(IF(_xlfn.XLOOKUP(B215,Input!J:J,Input!N:U)=0,"",
          _xlfn.XLOOKUP(B215,Input!J:J,Input!N:U)),"")</f>
        <v/>
      </c>
      <c r="Y215" s="53" t="str">
        <v/>
      </c>
      <c r="Z215" s="53" t="str">
        <v/>
      </c>
      <c r="AA215" s="53" t="str">
        <v/>
      </c>
      <c r="AB215" s="53" t="str">
        <v/>
      </c>
      <c r="AC215" s="53" t="str">
        <v/>
      </c>
      <c r="AD215" s="53" t="str">
        <v/>
      </c>
      <c r="AE215" s="53" t="str">
        <v/>
      </c>
      <c r="AF215" s="32" t="str">
        <f t="shared" si="12"/>
        <v/>
      </c>
      <c r="AG215" s="32" t="str">
        <f>_xlfn.XLOOKUP(B:B,Disk_Pivot!G:G,Disk_Pivot!I:I)</f>
        <v>Yes x2</v>
      </c>
      <c r="AH215" s="32" t="str">
        <f>_xlfn.XLOOKUP(B215,Disk_Pivot!G:G,Disk_Pivot!N:N)</f>
        <v>Pass, Fail</v>
      </c>
      <c r="AI215" s="32"/>
      <c r="AJ215" s="32"/>
      <c r="AK215" s="32"/>
      <c r="AL215" s="32"/>
      <c r="AM215" s="32"/>
      <c r="AN215" s="32"/>
    </row>
    <row r="216" spans="1:40">
      <c r="A216" s="32" t="str">
        <f>_xlfn.TEXTJOIN("",TRUE,_xlfn.XLOOKUP(B216,Input!J:J,Input!G:G,"",0,1),_xlfn.XLOOKUP(B216,Input!J:J,Input!H:H,"",0,1))</f>
        <v/>
      </c>
      <c r="B216" s="32"/>
      <c r="C216" s="53">
        <f>_xlfn.XLOOKUP(B216,Input!J:J,Input!F:F)</f>
        <v>0</v>
      </c>
      <c r="D216" s="32">
        <f>_xlfn.XLOOKUP(C216,Models!H:H,Models!G:G,C216)</f>
        <v>0</v>
      </c>
      <c r="E216" s="32"/>
      <c r="F216" s="32" t="str">
        <f>_xlfn.XLOOKUP(H216,Models!B:B,Models!F:F,"")</f>
        <v/>
      </c>
      <c r="G216" s="32">
        <f>_xlfn.XLOOKUP(B216,Input!J:J,Input!E:E)</f>
        <v>0</v>
      </c>
      <c r="H216" s="32">
        <f>IF(G216="LENOVO",_xlfn.XLOOKUP(B216,Input!J:J,Input!K:K),_xlfn.XLOOKUP(B216,Input!J:J,Input!L:L))</f>
        <v>0</v>
      </c>
      <c r="I216" s="32"/>
      <c r="J216" s="32"/>
      <c r="K216" s="32">
        <f>_xlfn.XLOOKUP(B216,CPU_Formula!A:A,CPU_Formula!I:I)</f>
        <v>0</v>
      </c>
      <c r="L216" s="53" t="e">
        <f>INDEX(Input!$D$2:$AC$500,
       MATCH(B216, Input!$J$2:$J$500, 0),
       MATCH("Memory Capacity", Input!$D$1:$AC$1, 0))</f>
        <v>#N/A</v>
      </c>
      <c r="M216" s="53" t="e">
        <f>INDEX(Input!$D$2:$AC$500,
       MATCH(B216, Input!$J$2:$J$500, 0),
       MATCH("Memory Type", Input!$D$1:$AC$1, 0))</f>
        <v>#N/A</v>
      </c>
      <c r="N216" s="53" t="e">
        <f t="shared" si="11"/>
        <v>#N/A</v>
      </c>
      <c r="O216" s="53" t="str" cm="1">
        <f t="array" ref="O216">IFERROR(_xlfn.FILTERXML("&lt;t&gt;&lt;s&gt;" &amp; SUBSTITUTE(M216," / ","&lt;/s&gt;&lt;s&gt;") &amp; "&lt;/s&gt;&lt;/t&gt;","(//s[contains(.,'DDR')])[1]"),"")</f>
        <v/>
      </c>
      <c r="P216" s="32" t="e">
        <f t="shared" si="10"/>
        <v>#N/A</v>
      </c>
      <c r="Q216" s="32"/>
      <c r="R216" s="32"/>
      <c r="S216" s="53" t="e">
        <f>_xlfn.LET(_xlpm.Result,INDEX(Input!$D$2:$AC$500,
       MATCH(B216, Input!$J$2:$J$500, 0),
       MATCH("Capacity", Input!$D$1:$AC$1, 0)),IF(_xlpm.Result="","",_xlpm.Result))</f>
        <v>#N/A</v>
      </c>
      <c r="T216" s="53" t="e" cm="1">
        <f t="array" ref="T216">_xlfn.TEXTSPLIT(S216," / ", ,TRUE,0,)</f>
        <v>#N/A</v>
      </c>
      <c r="U216" s="53"/>
      <c r="V216" s="53" t="str" cm="1">
        <f t="array" ref="V216">IFERROR(_xlfn.IFS(
T216="","",
--T216&lt;55,"Battery Defect",
--T216&lt;=69,"Battery D",
--T216&lt;=80,"Battery C",
--T216&gt;80,""
),"")</f>
        <v/>
      </c>
      <c r="W216" s="53" t="str" cm="1">
        <f t="array" ref="W216">IFERROR(_xlfn.IFS(
U216="","",
--U216&lt;55,"Battery Defect",
--U216&lt;=69,"Battery D",
--U216&lt;=80,"Battery C",
--U216&gt;80,""
),"")</f>
        <v/>
      </c>
      <c r="X216" s="53" t="str" cm="1">
        <f t="array" ref="X216:AE216">IFERROR(IF(_xlfn.XLOOKUP(B216,Input!J:J,Input!N:U)=0,"",
          _xlfn.XLOOKUP(B216,Input!J:J,Input!N:U)),"")</f>
        <v/>
      </c>
      <c r="Y216" s="53" t="str">
        <v/>
      </c>
      <c r="Z216" s="53" t="str">
        <v/>
      </c>
      <c r="AA216" s="53" t="str">
        <v/>
      </c>
      <c r="AB216" s="53" t="str">
        <v/>
      </c>
      <c r="AC216" s="53" t="str">
        <v/>
      </c>
      <c r="AD216" s="53" t="str">
        <v/>
      </c>
      <c r="AE216" s="53" t="str">
        <v/>
      </c>
      <c r="AF216" s="32" t="str">
        <f t="shared" si="12"/>
        <v/>
      </c>
      <c r="AG216" s="32" t="str">
        <f>_xlfn.XLOOKUP(B:B,Disk_Pivot!G:G,Disk_Pivot!I:I)</f>
        <v>Yes x2</v>
      </c>
      <c r="AH216" s="32" t="str">
        <f>_xlfn.XLOOKUP(B216,Disk_Pivot!G:G,Disk_Pivot!N:N)</f>
        <v>Pass, Fail</v>
      </c>
      <c r="AI216" s="32"/>
      <c r="AJ216" s="32"/>
      <c r="AK216" s="32"/>
      <c r="AL216" s="32"/>
      <c r="AM216" s="32"/>
      <c r="AN216" s="32"/>
    </row>
    <row r="217" spans="1:40">
      <c r="A217" s="32" t="str">
        <f>_xlfn.TEXTJOIN("",TRUE,_xlfn.XLOOKUP(B217,Input!J:J,Input!G:G,"",0,1),_xlfn.XLOOKUP(B217,Input!J:J,Input!H:H,"",0,1))</f>
        <v/>
      </c>
      <c r="B217" s="32"/>
      <c r="C217" s="53">
        <f>_xlfn.XLOOKUP(B217,Input!J:J,Input!F:F)</f>
        <v>0</v>
      </c>
      <c r="D217" s="32">
        <f>_xlfn.XLOOKUP(C217,Models!H:H,Models!G:G,C217)</f>
        <v>0</v>
      </c>
      <c r="E217" s="32"/>
      <c r="F217" s="32" t="str">
        <f>_xlfn.XLOOKUP(H217,Models!B:B,Models!F:F,"")</f>
        <v/>
      </c>
      <c r="G217" s="32">
        <f>_xlfn.XLOOKUP(B217,Input!J:J,Input!E:E)</f>
        <v>0</v>
      </c>
      <c r="H217" s="32">
        <f>IF(G217="LENOVO",_xlfn.XLOOKUP(B217,Input!J:J,Input!K:K),_xlfn.XLOOKUP(B217,Input!J:J,Input!L:L))</f>
        <v>0</v>
      </c>
      <c r="I217" s="32"/>
      <c r="J217" s="32"/>
      <c r="K217" s="32">
        <f>_xlfn.XLOOKUP(B217,CPU_Formula!A:A,CPU_Formula!I:I)</f>
        <v>0</v>
      </c>
      <c r="L217" s="53" t="e">
        <f>INDEX(Input!$D$2:$AC$500,
       MATCH(B217, Input!$J$2:$J$500, 0),
       MATCH("Memory Capacity", Input!$D$1:$AC$1, 0))</f>
        <v>#N/A</v>
      </c>
      <c r="M217" s="53" t="e">
        <f>INDEX(Input!$D$2:$AC$500,
       MATCH(B217, Input!$J$2:$J$500, 0),
       MATCH("Memory Type", Input!$D$1:$AC$1, 0))</f>
        <v>#N/A</v>
      </c>
      <c r="N217" s="53" t="e">
        <f t="shared" si="11"/>
        <v>#N/A</v>
      </c>
      <c r="O217" s="53" t="str" cm="1">
        <f t="array" ref="O217">IFERROR(_xlfn.FILTERXML("&lt;t&gt;&lt;s&gt;" &amp; SUBSTITUTE(M217," / ","&lt;/s&gt;&lt;s&gt;") &amp; "&lt;/s&gt;&lt;/t&gt;","(//s[contains(.,'DDR')])[1]"),"")</f>
        <v/>
      </c>
      <c r="P217" s="32" t="e">
        <f t="shared" ref="P217:P280" si="13">_xlfn.TEXTJOIN(" ",TRUE,N217,"GB",O217)</f>
        <v>#N/A</v>
      </c>
      <c r="Q217" s="32"/>
      <c r="R217" s="32"/>
      <c r="S217" s="53" t="e">
        <f>_xlfn.LET(_xlpm.Result,INDEX(Input!$D$2:$AC$500,
       MATCH(B217, Input!$J$2:$J$500, 0),
       MATCH("Capacity", Input!$D$1:$AC$1, 0)),IF(_xlpm.Result="","",_xlpm.Result))</f>
        <v>#N/A</v>
      </c>
      <c r="T217" s="53" t="e" cm="1">
        <f t="array" ref="T217">_xlfn.TEXTSPLIT(S217," / ", ,TRUE,0,)</f>
        <v>#N/A</v>
      </c>
      <c r="U217" s="53"/>
      <c r="V217" s="53" t="str" cm="1">
        <f t="array" ref="V217">IFERROR(_xlfn.IFS(
T217="","",
--T217&lt;55,"Battery Defect",
--T217&lt;=69,"Battery D",
--T217&lt;=80,"Battery C",
--T217&gt;80,""
),"")</f>
        <v/>
      </c>
      <c r="W217" s="53" t="str" cm="1">
        <f t="array" ref="W217">IFERROR(_xlfn.IFS(
U217="","",
--U217&lt;55,"Battery Defect",
--U217&lt;=69,"Battery D",
--U217&lt;=80,"Battery C",
--U217&gt;80,""
),"")</f>
        <v/>
      </c>
      <c r="X217" s="53" t="str" cm="1">
        <f t="array" ref="X217:AE217">IFERROR(IF(_xlfn.XLOOKUP(B217,Input!J:J,Input!N:U)=0,"",
          _xlfn.XLOOKUP(B217,Input!J:J,Input!N:U)),"")</f>
        <v/>
      </c>
      <c r="Y217" s="53" t="str">
        <v/>
      </c>
      <c r="Z217" s="53" t="str">
        <v/>
      </c>
      <c r="AA217" s="53" t="str">
        <v/>
      </c>
      <c r="AB217" s="53" t="str">
        <v/>
      </c>
      <c r="AC217" s="53" t="str">
        <v/>
      </c>
      <c r="AD217" s="53" t="str">
        <v/>
      </c>
      <c r="AE217" s="53" t="str">
        <v/>
      </c>
      <c r="AF217" s="32" t="str">
        <f t="shared" si="12"/>
        <v/>
      </c>
      <c r="AG217" s="32" t="str">
        <f>_xlfn.XLOOKUP(B:B,Disk_Pivot!G:G,Disk_Pivot!I:I)</f>
        <v>Yes x2</v>
      </c>
      <c r="AH217" s="32" t="str">
        <f>_xlfn.XLOOKUP(B217,Disk_Pivot!G:G,Disk_Pivot!N:N)</f>
        <v>Pass, Fail</v>
      </c>
      <c r="AI217" s="32"/>
      <c r="AJ217" s="32"/>
      <c r="AK217" s="32"/>
      <c r="AL217" s="32"/>
      <c r="AM217" s="32"/>
      <c r="AN217" s="32"/>
    </row>
    <row r="218" spans="1:40">
      <c r="A218" s="32" t="str">
        <f>_xlfn.TEXTJOIN("",TRUE,_xlfn.XLOOKUP(B218,Input!J:J,Input!G:G,"",0,1),_xlfn.XLOOKUP(B218,Input!J:J,Input!H:H,"",0,1))</f>
        <v/>
      </c>
      <c r="B218" s="32"/>
      <c r="C218" s="53">
        <f>_xlfn.XLOOKUP(B218,Input!J:J,Input!F:F)</f>
        <v>0</v>
      </c>
      <c r="D218" s="32">
        <f>_xlfn.XLOOKUP(C218,Models!H:H,Models!G:G,C218)</f>
        <v>0</v>
      </c>
      <c r="E218" s="32"/>
      <c r="F218" s="32" t="str">
        <f>_xlfn.XLOOKUP(H218,Models!B:B,Models!F:F,"")</f>
        <v/>
      </c>
      <c r="G218" s="32">
        <f>_xlfn.XLOOKUP(B218,Input!J:J,Input!E:E)</f>
        <v>0</v>
      </c>
      <c r="H218" s="32">
        <f>IF(G218="LENOVO",_xlfn.XLOOKUP(B218,Input!J:J,Input!K:K),_xlfn.XLOOKUP(B218,Input!J:J,Input!L:L))</f>
        <v>0</v>
      </c>
      <c r="I218" s="32"/>
      <c r="J218" s="32"/>
      <c r="K218" s="32">
        <f>_xlfn.XLOOKUP(B218,CPU_Formula!A:A,CPU_Formula!I:I)</f>
        <v>0</v>
      </c>
      <c r="L218" s="53" t="e">
        <f>INDEX(Input!$D$2:$AC$500,
       MATCH(B218, Input!$J$2:$J$500, 0),
       MATCH("Memory Capacity", Input!$D$1:$AC$1, 0))</f>
        <v>#N/A</v>
      </c>
      <c r="M218" s="53" t="e">
        <f>INDEX(Input!$D$2:$AC$500,
       MATCH(B218, Input!$J$2:$J$500, 0),
       MATCH("Memory Type", Input!$D$1:$AC$1, 0))</f>
        <v>#N/A</v>
      </c>
      <c r="N218" s="53" t="e">
        <f t="shared" si="11"/>
        <v>#N/A</v>
      </c>
      <c r="O218" s="53" t="str" cm="1">
        <f t="array" ref="O218">IFERROR(_xlfn.FILTERXML("&lt;t&gt;&lt;s&gt;" &amp; SUBSTITUTE(M218," / ","&lt;/s&gt;&lt;s&gt;") &amp; "&lt;/s&gt;&lt;/t&gt;","(//s[contains(.,'DDR')])[1]"),"")</f>
        <v/>
      </c>
      <c r="P218" s="32" t="e">
        <f t="shared" si="13"/>
        <v>#N/A</v>
      </c>
      <c r="Q218" s="32"/>
      <c r="R218" s="32"/>
      <c r="S218" s="53" t="e">
        <f>_xlfn.LET(_xlpm.Result,INDEX(Input!$D$2:$AC$500,
       MATCH(B218, Input!$J$2:$J$500, 0),
       MATCH("Capacity", Input!$D$1:$AC$1, 0)),IF(_xlpm.Result="","",_xlpm.Result))</f>
        <v>#N/A</v>
      </c>
      <c r="T218" s="53" t="e" cm="1">
        <f t="array" ref="T218">_xlfn.TEXTSPLIT(S218," / ", ,TRUE,0,)</f>
        <v>#N/A</v>
      </c>
      <c r="U218" s="53"/>
      <c r="V218" s="53" t="str" cm="1">
        <f t="array" ref="V218">IFERROR(_xlfn.IFS(
T218="","",
--T218&lt;55,"Battery Defect",
--T218&lt;=69,"Battery D",
--T218&lt;=80,"Battery C",
--T218&gt;80,""
),"")</f>
        <v/>
      </c>
      <c r="W218" s="53" t="str" cm="1">
        <f t="array" ref="W218">IFERROR(_xlfn.IFS(
U218="","",
--U218&lt;55,"Battery Defect",
--U218&lt;=69,"Battery D",
--U218&lt;=80,"Battery C",
--U218&gt;80,""
),"")</f>
        <v/>
      </c>
      <c r="X218" s="53" t="str" cm="1">
        <f t="array" ref="X218:AE218">IFERROR(IF(_xlfn.XLOOKUP(B218,Input!J:J,Input!N:U)=0,"",
          _xlfn.XLOOKUP(B218,Input!J:J,Input!N:U)),"")</f>
        <v/>
      </c>
      <c r="Y218" s="53" t="str">
        <v/>
      </c>
      <c r="Z218" s="53" t="str">
        <v/>
      </c>
      <c r="AA218" s="53" t="str">
        <v/>
      </c>
      <c r="AB218" s="53" t="str">
        <v/>
      </c>
      <c r="AC218" s="53" t="str">
        <v/>
      </c>
      <c r="AD218" s="53" t="str">
        <v/>
      </c>
      <c r="AE218" s="53" t="str">
        <v/>
      </c>
      <c r="AF218" s="32" t="str">
        <f t="shared" si="12"/>
        <v/>
      </c>
      <c r="AG218" s="32" t="str">
        <f>_xlfn.XLOOKUP(B:B,Disk_Pivot!G:G,Disk_Pivot!I:I)</f>
        <v>Yes x2</v>
      </c>
      <c r="AH218" s="32" t="str">
        <f>_xlfn.XLOOKUP(B218,Disk_Pivot!G:G,Disk_Pivot!N:N)</f>
        <v>Pass, Fail</v>
      </c>
      <c r="AI218" s="32"/>
      <c r="AJ218" s="32"/>
      <c r="AK218" s="32"/>
      <c r="AL218" s="32"/>
      <c r="AM218" s="32"/>
      <c r="AN218" s="32"/>
    </row>
    <row r="219" spans="1:40">
      <c r="A219" s="32" t="str">
        <f>_xlfn.TEXTJOIN("",TRUE,_xlfn.XLOOKUP(B219,Input!J:J,Input!G:G,"",0,1),_xlfn.XLOOKUP(B219,Input!J:J,Input!H:H,"",0,1))</f>
        <v/>
      </c>
      <c r="B219" s="32"/>
      <c r="C219" s="53">
        <f>_xlfn.XLOOKUP(B219,Input!J:J,Input!F:F)</f>
        <v>0</v>
      </c>
      <c r="D219" s="32">
        <f>_xlfn.XLOOKUP(C219,Models!H:H,Models!G:G,C219)</f>
        <v>0</v>
      </c>
      <c r="E219" s="32"/>
      <c r="F219" s="32" t="str">
        <f>_xlfn.XLOOKUP(H219,Models!B:B,Models!F:F,"")</f>
        <v/>
      </c>
      <c r="G219" s="32">
        <f>_xlfn.XLOOKUP(B219,Input!J:J,Input!E:E)</f>
        <v>0</v>
      </c>
      <c r="H219" s="32">
        <f>IF(G219="LENOVO",_xlfn.XLOOKUP(B219,Input!J:J,Input!K:K),_xlfn.XLOOKUP(B219,Input!J:J,Input!L:L))</f>
        <v>0</v>
      </c>
      <c r="I219" s="32"/>
      <c r="J219" s="32"/>
      <c r="K219" s="32">
        <f>_xlfn.XLOOKUP(B219,CPU_Formula!A:A,CPU_Formula!I:I)</f>
        <v>0</v>
      </c>
      <c r="L219" s="53" t="e">
        <f>INDEX(Input!$D$2:$AC$500,
       MATCH(B219, Input!$J$2:$J$500, 0),
       MATCH("Memory Capacity", Input!$D$1:$AC$1, 0))</f>
        <v>#N/A</v>
      </c>
      <c r="M219" s="53" t="e">
        <f>INDEX(Input!$D$2:$AC$500,
       MATCH(B219, Input!$J$2:$J$500, 0),
       MATCH("Memory Type", Input!$D$1:$AC$1, 0))</f>
        <v>#N/A</v>
      </c>
      <c r="N219" s="53" t="e">
        <f t="shared" si="11"/>
        <v>#N/A</v>
      </c>
      <c r="O219" s="53" t="str" cm="1">
        <f t="array" ref="O219">IFERROR(_xlfn.FILTERXML("&lt;t&gt;&lt;s&gt;" &amp; SUBSTITUTE(M219," / ","&lt;/s&gt;&lt;s&gt;") &amp; "&lt;/s&gt;&lt;/t&gt;","(//s[contains(.,'DDR')])[1]"),"")</f>
        <v/>
      </c>
      <c r="P219" s="32" t="e">
        <f t="shared" si="13"/>
        <v>#N/A</v>
      </c>
      <c r="Q219" s="32"/>
      <c r="R219" s="32"/>
      <c r="S219" s="53" t="e">
        <f>_xlfn.LET(_xlpm.Result,INDEX(Input!$D$2:$AC$500,
       MATCH(B219, Input!$J$2:$J$500, 0),
       MATCH("Capacity", Input!$D$1:$AC$1, 0)),IF(_xlpm.Result="","",_xlpm.Result))</f>
        <v>#N/A</v>
      </c>
      <c r="T219" s="53" t="e" cm="1">
        <f t="array" ref="T219">_xlfn.TEXTSPLIT(S219," / ", ,TRUE,0,)</f>
        <v>#N/A</v>
      </c>
      <c r="U219" s="53"/>
      <c r="V219" s="53" t="str" cm="1">
        <f t="array" ref="V219">IFERROR(_xlfn.IFS(
T219="","",
--T219&lt;55,"Battery Defect",
--T219&lt;=69,"Battery D",
--T219&lt;=80,"Battery C",
--T219&gt;80,""
),"")</f>
        <v/>
      </c>
      <c r="W219" s="53" t="str" cm="1">
        <f t="array" ref="W219">IFERROR(_xlfn.IFS(
U219="","",
--U219&lt;55,"Battery Defect",
--U219&lt;=69,"Battery D",
--U219&lt;=80,"Battery C",
--U219&gt;80,""
),"")</f>
        <v/>
      </c>
      <c r="X219" s="53" t="str" cm="1">
        <f t="array" ref="X219:AE219">IFERROR(IF(_xlfn.XLOOKUP(B219,Input!J:J,Input!N:U)=0,"",
          _xlfn.XLOOKUP(B219,Input!J:J,Input!N:U)),"")</f>
        <v/>
      </c>
      <c r="Y219" s="53" t="str">
        <v/>
      </c>
      <c r="Z219" s="53" t="str">
        <v/>
      </c>
      <c r="AA219" s="53" t="str">
        <v/>
      </c>
      <c r="AB219" s="53" t="str">
        <v/>
      </c>
      <c r="AC219" s="53" t="str">
        <v/>
      </c>
      <c r="AD219" s="53" t="str">
        <v/>
      </c>
      <c r="AE219" s="53" t="str">
        <v/>
      </c>
      <c r="AF219" s="32" t="str">
        <f t="shared" si="12"/>
        <v/>
      </c>
      <c r="AG219" s="32" t="str">
        <f>_xlfn.XLOOKUP(B:B,Disk_Pivot!G:G,Disk_Pivot!I:I)</f>
        <v>Yes x2</v>
      </c>
      <c r="AH219" s="32" t="str">
        <f>_xlfn.XLOOKUP(B219,Disk_Pivot!G:G,Disk_Pivot!N:N)</f>
        <v>Pass, Fail</v>
      </c>
      <c r="AI219" s="32"/>
      <c r="AJ219" s="32"/>
      <c r="AK219" s="32"/>
      <c r="AL219" s="32"/>
      <c r="AM219" s="32"/>
      <c r="AN219" s="32"/>
    </row>
    <row r="220" spans="1:40">
      <c r="A220" s="32" t="str">
        <f>_xlfn.TEXTJOIN("",TRUE,_xlfn.XLOOKUP(B220,Input!J:J,Input!G:G,"",0,1),_xlfn.XLOOKUP(B220,Input!J:J,Input!H:H,"",0,1))</f>
        <v/>
      </c>
      <c r="B220" s="32"/>
      <c r="C220" s="53">
        <f>_xlfn.XLOOKUP(B220,Input!J:J,Input!F:F)</f>
        <v>0</v>
      </c>
      <c r="D220" s="32">
        <f>_xlfn.XLOOKUP(C220,Models!H:H,Models!G:G,C220)</f>
        <v>0</v>
      </c>
      <c r="E220" s="32"/>
      <c r="F220" s="32" t="str">
        <f>_xlfn.XLOOKUP(H220,Models!B:B,Models!F:F,"")</f>
        <v/>
      </c>
      <c r="G220" s="32">
        <f>_xlfn.XLOOKUP(B220,Input!J:J,Input!E:E)</f>
        <v>0</v>
      </c>
      <c r="H220" s="32">
        <f>IF(G220="LENOVO",_xlfn.XLOOKUP(B220,Input!J:J,Input!K:K),_xlfn.XLOOKUP(B220,Input!J:J,Input!L:L))</f>
        <v>0</v>
      </c>
      <c r="I220" s="32"/>
      <c r="J220" s="32"/>
      <c r="K220" s="32">
        <f>_xlfn.XLOOKUP(B220,CPU_Formula!A:A,CPU_Formula!I:I)</f>
        <v>0</v>
      </c>
      <c r="L220" s="53" t="e">
        <f>INDEX(Input!$D$2:$AC$500,
       MATCH(B220, Input!$J$2:$J$500, 0),
       MATCH("Memory Capacity", Input!$D$1:$AC$1, 0))</f>
        <v>#N/A</v>
      </c>
      <c r="M220" s="53" t="e">
        <f>INDEX(Input!$D$2:$AC$500,
       MATCH(B220, Input!$J$2:$J$500, 0),
       MATCH("Memory Type", Input!$D$1:$AC$1, 0))</f>
        <v>#N/A</v>
      </c>
      <c r="N220" s="53" t="e">
        <f t="shared" si="11"/>
        <v>#N/A</v>
      </c>
      <c r="O220" s="53" t="str" cm="1">
        <f t="array" ref="O220">IFERROR(_xlfn.FILTERXML("&lt;t&gt;&lt;s&gt;" &amp; SUBSTITUTE(M220," / ","&lt;/s&gt;&lt;s&gt;") &amp; "&lt;/s&gt;&lt;/t&gt;","(//s[contains(.,'DDR')])[1]"),"")</f>
        <v/>
      </c>
      <c r="P220" s="32" t="e">
        <f t="shared" si="13"/>
        <v>#N/A</v>
      </c>
      <c r="Q220" s="32"/>
      <c r="R220" s="32"/>
      <c r="S220" s="53" t="e">
        <f>_xlfn.LET(_xlpm.Result,INDEX(Input!$D$2:$AC$500,
       MATCH(B220, Input!$J$2:$J$500, 0),
       MATCH("Capacity", Input!$D$1:$AC$1, 0)),IF(_xlpm.Result="","",_xlpm.Result))</f>
        <v>#N/A</v>
      </c>
      <c r="T220" s="53" t="e" cm="1">
        <f t="array" ref="T220">_xlfn.TEXTSPLIT(S220," / ", ,TRUE,0,)</f>
        <v>#N/A</v>
      </c>
      <c r="U220" s="53"/>
      <c r="V220" s="53" t="str" cm="1">
        <f t="array" ref="V220">IFERROR(_xlfn.IFS(
T220="","",
--T220&lt;55,"Battery Defect",
--T220&lt;=69,"Battery D",
--T220&lt;=80,"Battery C",
--T220&gt;80,""
),"")</f>
        <v/>
      </c>
      <c r="W220" s="53" t="str" cm="1">
        <f t="array" ref="W220">IFERROR(_xlfn.IFS(
U220="","",
--U220&lt;55,"Battery Defect",
--U220&lt;=69,"Battery D",
--U220&lt;=80,"Battery C",
--U220&gt;80,""
),"")</f>
        <v/>
      </c>
      <c r="X220" s="53" t="str" cm="1">
        <f t="array" ref="X220:AE220">IFERROR(IF(_xlfn.XLOOKUP(B220,Input!J:J,Input!N:U)=0,"",
          _xlfn.XLOOKUP(B220,Input!J:J,Input!N:U)),"")</f>
        <v/>
      </c>
      <c r="Y220" s="53" t="str">
        <v/>
      </c>
      <c r="Z220" s="53" t="str">
        <v/>
      </c>
      <c r="AA220" s="53" t="str">
        <v/>
      </c>
      <c r="AB220" s="53" t="str">
        <v/>
      </c>
      <c r="AC220" s="53" t="str">
        <v/>
      </c>
      <c r="AD220" s="53" t="str">
        <v/>
      </c>
      <c r="AE220" s="53" t="str">
        <v/>
      </c>
      <c r="AF220" s="32" t="str">
        <f t="shared" si="12"/>
        <v/>
      </c>
      <c r="AG220" s="32" t="str">
        <f>_xlfn.XLOOKUP(B:B,Disk_Pivot!G:G,Disk_Pivot!I:I)</f>
        <v>Yes x2</v>
      </c>
      <c r="AH220" s="32" t="str">
        <f>_xlfn.XLOOKUP(B220,Disk_Pivot!G:G,Disk_Pivot!N:N)</f>
        <v>Pass, Fail</v>
      </c>
      <c r="AI220" s="32"/>
      <c r="AJ220" s="32"/>
      <c r="AK220" s="32"/>
      <c r="AL220" s="32"/>
      <c r="AM220" s="32"/>
      <c r="AN220" s="32"/>
    </row>
    <row r="221" spans="1:40">
      <c r="A221" s="32" t="str">
        <f>_xlfn.TEXTJOIN("",TRUE,_xlfn.XLOOKUP(B221,Input!J:J,Input!G:G,"",0,1),_xlfn.XLOOKUP(B221,Input!J:J,Input!H:H,"",0,1))</f>
        <v/>
      </c>
      <c r="B221" s="32"/>
      <c r="C221" s="53">
        <f>_xlfn.XLOOKUP(B221,Input!J:J,Input!F:F)</f>
        <v>0</v>
      </c>
      <c r="D221" s="32">
        <f>_xlfn.XLOOKUP(C221,Models!H:H,Models!G:G,C221)</f>
        <v>0</v>
      </c>
      <c r="E221" s="32"/>
      <c r="F221" s="32" t="str">
        <f>_xlfn.XLOOKUP(H221,Models!B:B,Models!F:F,"")</f>
        <v/>
      </c>
      <c r="G221" s="32">
        <f>_xlfn.XLOOKUP(B221,Input!J:J,Input!E:E)</f>
        <v>0</v>
      </c>
      <c r="H221" s="32">
        <f>IF(G221="LENOVO",_xlfn.XLOOKUP(B221,Input!J:J,Input!K:K),_xlfn.XLOOKUP(B221,Input!J:J,Input!L:L))</f>
        <v>0</v>
      </c>
      <c r="I221" s="32"/>
      <c r="J221" s="32"/>
      <c r="K221" s="32">
        <f>_xlfn.XLOOKUP(B221,CPU_Formula!A:A,CPU_Formula!I:I)</f>
        <v>0</v>
      </c>
      <c r="L221" s="53" t="e">
        <f>INDEX(Input!$D$2:$AC$500,
       MATCH(B221, Input!$J$2:$J$500, 0),
       MATCH("Memory Capacity", Input!$D$1:$AC$1, 0))</f>
        <v>#N/A</v>
      </c>
      <c r="M221" s="53" t="e">
        <f>INDEX(Input!$D$2:$AC$500,
       MATCH(B221, Input!$J$2:$J$500, 0),
       MATCH("Memory Type", Input!$D$1:$AC$1, 0))</f>
        <v>#N/A</v>
      </c>
      <c r="N221" s="53" t="e">
        <f t="shared" si="11"/>
        <v>#N/A</v>
      </c>
      <c r="O221" s="53" t="str" cm="1">
        <f t="array" ref="O221">IFERROR(_xlfn.FILTERXML("&lt;t&gt;&lt;s&gt;" &amp; SUBSTITUTE(M221," / ","&lt;/s&gt;&lt;s&gt;") &amp; "&lt;/s&gt;&lt;/t&gt;","(//s[contains(.,'DDR')])[1]"),"")</f>
        <v/>
      </c>
      <c r="P221" s="32" t="e">
        <f t="shared" si="13"/>
        <v>#N/A</v>
      </c>
      <c r="Q221" s="32"/>
      <c r="R221" s="32"/>
      <c r="S221" s="53" t="e">
        <f>_xlfn.LET(_xlpm.Result,INDEX(Input!$D$2:$AC$500,
       MATCH(B221, Input!$J$2:$J$500, 0),
       MATCH("Capacity", Input!$D$1:$AC$1, 0)),IF(_xlpm.Result="","",_xlpm.Result))</f>
        <v>#N/A</v>
      </c>
      <c r="T221" s="53" t="e" cm="1">
        <f t="array" ref="T221">_xlfn.TEXTSPLIT(S221," / ", ,TRUE,0,)</f>
        <v>#N/A</v>
      </c>
      <c r="U221" s="53"/>
      <c r="V221" s="53" t="str" cm="1">
        <f t="array" ref="V221">IFERROR(_xlfn.IFS(
T221="","",
--T221&lt;55,"Battery Defect",
--T221&lt;=69,"Battery D",
--T221&lt;=80,"Battery C",
--T221&gt;80,""
),"")</f>
        <v/>
      </c>
      <c r="W221" s="53" t="str" cm="1">
        <f t="array" ref="W221">IFERROR(_xlfn.IFS(
U221="","",
--U221&lt;55,"Battery Defect",
--U221&lt;=69,"Battery D",
--U221&lt;=80,"Battery C",
--U221&gt;80,""
),"")</f>
        <v/>
      </c>
      <c r="X221" s="53" t="str" cm="1">
        <f t="array" ref="X221:AE221">IFERROR(IF(_xlfn.XLOOKUP(B221,Input!J:J,Input!N:U)=0,"",
          _xlfn.XLOOKUP(B221,Input!J:J,Input!N:U)),"")</f>
        <v/>
      </c>
      <c r="Y221" s="53" t="str">
        <v/>
      </c>
      <c r="Z221" s="53" t="str">
        <v/>
      </c>
      <c r="AA221" s="53" t="str">
        <v/>
      </c>
      <c r="AB221" s="53" t="str">
        <v/>
      </c>
      <c r="AC221" s="53" t="str">
        <v/>
      </c>
      <c r="AD221" s="53" t="str">
        <v/>
      </c>
      <c r="AE221" s="53" t="str">
        <v/>
      </c>
      <c r="AF221" s="32" t="str">
        <f t="shared" si="12"/>
        <v/>
      </c>
      <c r="AG221" s="32" t="str">
        <f>_xlfn.XLOOKUP(B:B,Disk_Pivot!G:G,Disk_Pivot!I:I)</f>
        <v>Yes x2</v>
      </c>
      <c r="AH221" s="32" t="str">
        <f>_xlfn.XLOOKUP(B221,Disk_Pivot!G:G,Disk_Pivot!N:N)</f>
        <v>Pass, Fail</v>
      </c>
      <c r="AI221" s="32"/>
      <c r="AJ221" s="32"/>
      <c r="AK221" s="32"/>
      <c r="AL221" s="32"/>
      <c r="AM221" s="32"/>
      <c r="AN221" s="32"/>
    </row>
    <row r="222" spans="1:40">
      <c r="A222" s="32" t="str">
        <f>_xlfn.TEXTJOIN("",TRUE,_xlfn.XLOOKUP(B222,Input!J:J,Input!G:G,"",0,1),_xlfn.XLOOKUP(B222,Input!J:J,Input!H:H,"",0,1))</f>
        <v/>
      </c>
      <c r="B222" s="32"/>
      <c r="C222" s="53">
        <f>_xlfn.XLOOKUP(B222,Input!J:J,Input!F:F)</f>
        <v>0</v>
      </c>
      <c r="D222" s="32">
        <f>_xlfn.XLOOKUP(C222,Models!H:H,Models!G:G,C222)</f>
        <v>0</v>
      </c>
      <c r="E222" s="32"/>
      <c r="F222" s="32" t="str">
        <f>_xlfn.XLOOKUP(H222,Models!B:B,Models!F:F,"")</f>
        <v/>
      </c>
      <c r="G222" s="32">
        <f>_xlfn.XLOOKUP(B222,Input!J:J,Input!E:E)</f>
        <v>0</v>
      </c>
      <c r="H222" s="32">
        <f>IF(G222="LENOVO",_xlfn.XLOOKUP(B222,Input!J:J,Input!K:K),_xlfn.XLOOKUP(B222,Input!J:J,Input!L:L))</f>
        <v>0</v>
      </c>
      <c r="I222" s="32"/>
      <c r="J222" s="32"/>
      <c r="K222" s="32">
        <f>_xlfn.XLOOKUP(B222,CPU_Formula!A:A,CPU_Formula!I:I)</f>
        <v>0</v>
      </c>
      <c r="L222" s="53" t="e">
        <f>INDEX(Input!$D$2:$AC$500,
       MATCH(B222, Input!$J$2:$J$500, 0),
       MATCH("Memory Capacity", Input!$D$1:$AC$1, 0))</f>
        <v>#N/A</v>
      </c>
      <c r="M222" s="53" t="e">
        <f>INDEX(Input!$D$2:$AC$500,
       MATCH(B222, Input!$J$2:$J$500, 0),
       MATCH("Memory Type", Input!$D$1:$AC$1, 0))</f>
        <v>#N/A</v>
      </c>
      <c r="N222" s="53" t="e">
        <f t="shared" si="11"/>
        <v>#N/A</v>
      </c>
      <c r="O222" s="53" t="str" cm="1">
        <f t="array" ref="O222">IFERROR(_xlfn.FILTERXML("&lt;t&gt;&lt;s&gt;" &amp; SUBSTITUTE(M222," / ","&lt;/s&gt;&lt;s&gt;") &amp; "&lt;/s&gt;&lt;/t&gt;","(//s[contains(.,'DDR')])[1]"),"")</f>
        <v/>
      </c>
      <c r="P222" s="32" t="e">
        <f t="shared" si="13"/>
        <v>#N/A</v>
      </c>
      <c r="Q222" s="32"/>
      <c r="R222" s="32"/>
      <c r="S222" s="53" t="e">
        <f>_xlfn.LET(_xlpm.Result,INDEX(Input!$D$2:$AC$500,
       MATCH(B222, Input!$J$2:$J$500, 0),
       MATCH("Capacity", Input!$D$1:$AC$1, 0)),IF(_xlpm.Result="","",_xlpm.Result))</f>
        <v>#N/A</v>
      </c>
      <c r="T222" s="53" t="e" cm="1">
        <f t="array" ref="T222">_xlfn.TEXTSPLIT(S222," / ", ,TRUE,0,)</f>
        <v>#N/A</v>
      </c>
      <c r="U222" s="53"/>
      <c r="V222" s="53" t="str" cm="1">
        <f t="array" ref="V222">IFERROR(_xlfn.IFS(
T222="","",
--T222&lt;55,"Battery Defect",
--T222&lt;=69,"Battery D",
--T222&lt;=80,"Battery C",
--T222&gt;80,""
),"")</f>
        <v/>
      </c>
      <c r="W222" s="53" t="str" cm="1">
        <f t="array" ref="W222">IFERROR(_xlfn.IFS(
U222="","",
--U222&lt;55,"Battery Defect",
--U222&lt;=69,"Battery D",
--U222&lt;=80,"Battery C",
--U222&gt;80,""
),"")</f>
        <v/>
      </c>
      <c r="X222" s="53" t="str" cm="1">
        <f t="array" ref="X222:AE222">IFERROR(IF(_xlfn.XLOOKUP(B222,Input!J:J,Input!N:U)=0,"",
          _xlfn.XLOOKUP(B222,Input!J:J,Input!N:U)),"")</f>
        <v/>
      </c>
      <c r="Y222" s="53" t="str">
        <v/>
      </c>
      <c r="Z222" s="53" t="str">
        <v/>
      </c>
      <c r="AA222" s="53" t="str">
        <v/>
      </c>
      <c r="AB222" s="53" t="str">
        <v/>
      </c>
      <c r="AC222" s="53" t="str">
        <v/>
      </c>
      <c r="AD222" s="53" t="str">
        <v/>
      </c>
      <c r="AE222" s="53" t="str">
        <v/>
      </c>
      <c r="AF222" s="32" t="str">
        <f t="shared" si="12"/>
        <v/>
      </c>
      <c r="AG222" s="32" t="str">
        <f>_xlfn.XLOOKUP(B:B,Disk_Pivot!G:G,Disk_Pivot!I:I)</f>
        <v>Yes x2</v>
      </c>
      <c r="AH222" s="32" t="str">
        <f>_xlfn.XLOOKUP(B222,Disk_Pivot!G:G,Disk_Pivot!N:N)</f>
        <v>Pass, Fail</v>
      </c>
      <c r="AI222" s="32"/>
      <c r="AJ222" s="32"/>
      <c r="AK222" s="32"/>
      <c r="AL222" s="32"/>
      <c r="AM222" s="32"/>
      <c r="AN222" s="32"/>
    </row>
    <row r="223" spans="1:40">
      <c r="A223" s="32" t="str">
        <f>_xlfn.TEXTJOIN("",TRUE,_xlfn.XLOOKUP(B223,Input!J:J,Input!G:G,"",0,1),_xlfn.XLOOKUP(B223,Input!J:J,Input!H:H,"",0,1))</f>
        <v/>
      </c>
      <c r="B223" s="32"/>
      <c r="C223" s="53">
        <f>_xlfn.XLOOKUP(B223,Input!J:J,Input!F:F)</f>
        <v>0</v>
      </c>
      <c r="D223" s="32">
        <f>_xlfn.XLOOKUP(C223,Models!H:H,Models!G:G,C223)</f>
        <v>0</v>
      </c>
      <c r="E223" s="32"/>
      <c r="F223" s="32" t="str">
        <f>_xlfn.XLOOKUP(H223,Models!B:B,Models!F:F,"")</f>
        <v/>
      </c>
      <c r="G223" s="32">
        <f>_xlfn.XLOOKUP(B223,Input!J:J,Input!E:E)</f>
        <v>0</v>
      </c>
      <c r="H223" s="32">
        <f>IF(G223="LENOVO",_xlfn.XLOOKUP(B223,Input!J:J,Input!K:K),_xlfn.XLOOKUP(B223,Input!J:J,Input!L:L))</f>
        <v>0</v>
      </c>
      <c r="I223" s="32"/>
      <c r="J223" s="32"/>
      <c r="K223" s="32">
        <f>_xlfn.XLOOKUP(B223,CPU_Formula!A:A,CPU_Formula!I:I)</f>
        <v>0</v>
      </c>
      <c r="L223" s="53" t="e">
        <f>INDEX(Input!$D$2:$AC$500,
       MATCH(B223, Input!$J$2:$J$500, 0),
       MATCH("Memory Capacity", Input!$D$1:$AC$1, 0))</f>
        <v>#N/A</v>
      </c>
      <c r="M223" s="53" t="e">
        <f>INDEX(Input!$D$2:$AC$500,
       MATCH(B223, Input!$J$2:$J$500, 0),
       MATCH("Memory Type", Input!$D$1:$AC$1, 0))</f>
        <v>#N/A</v>
      </c>
      <c r="N223" s="53" t="e">
        <f t="shared" si="11"/>
        <v>#N/A</v>
      </c>
      <c r="O223" s="53" t="str" cm="1">
        <f t="array" ref="O223">IFERROR(_xlfn.FILTERXML("&lt;t&gt;&lt;s&gt;" &amp; SUBSTITUTE(M223," / ","&lt;/s&gt;&lt;s&gt;") &amp; "&lt;/s&gt;&lt;/t&gt;","(//s[contains(.,'DDR')])[1]"),"")</f>
        <v/>
      </c>
      <c r="P223" s="32" t="e">
        <f t="shared" si="13"/>
        <v>#N/A</v>
      </c>
      <c r="Q223" s="32"/>
      <c r="R223" s="32"/>
      <c r="S223" s="53" t="e">
        <f>_xlfn.LET(_xlpm.Result,INDEX(Input!$D$2:$AC$500,
       MATCH(B223, Input!$J$2:$J$500, 0),
       MATCH("Capacity", Input!$D$1:$AC$1, 0)),IF(_xlpm.Result="","",_xlpm.Result))</f>
        <v>#N/A</v>
      </c>
      <c r="T223" s="53" t="e" cm="1">
        <f t="array" ref="T223">_xlfn.TEXTSPLIT(S223," / ", ,TRUE,0,)</f>
        <v>#N/A</v>
      </c>
      <c r="U223" s="53"/>
      <c r="V223" s="53" t="str" cm="1">
        <f t="array" ref="V223">IFERROR(_xlfn.IFS(
T223="","",
--T223&lt;55,"Battery Defect",
--T223&lt;=69,"Battery D",
--T223&lt;=80,"Battery C",
--T223&gt;80,""
),"")</f>
        <v/>
      </c>
      <c r="W223" s="53" t="str" cm="1">
        <f t="array" ref="W223">IFERROR(_xlfn.IFS(
U223="","",
--U223&lt;55,"Battery Defect",
--U223&lt;=69,"Battery D",
--U223&lt;=80,"Battery C",
--U223&gt;80,""
),"")</f>
        <v/>
      </c>
      <c r="X223" s="53" t="str" cm="1">
        <f t="array" ref="X223:AE223">IFERROR(IF(_xlfn.XLOOKUP(B223,Input!J:J,Input!N:U)=0,"",
          _xlfn.XLOOKUP(B223,Input!J:J,Input!N:U)),"")</f>
        <v/>
      </c>
      <c r="Y223" s="53" t="str">
        <v/>
      </c>
      <c r="Z223" s="53" t="str">
        <v/>
      </c>
      <c r="AA223" s="53" t="str">
        <v/>
      </c>
      <c r="AB223" s="53" t="str">
        <v/>
      </c>
      <c r="AC223" s="53" t="str">
        <v/>
      </c>
      <c r="AD223" s="53" t="str">
        <v/>
      </c>
      <c r="AE223" s="53" t="str">
        <v/>
      </c>
      <c r="AF223" s="32" t="str">
        <f t="shared" si="12"/>
        <v/>
      </c>
      <c r="AG223" s="32" t="str">
        <f>_xlfn.XLOOKUP(B:B,Disk_Pivot!G:G,Disk_Pivot!I:I)</f>
        <v>Yes x2</v>
      </c>
      <c r="AH223" s="32" t="str">
        <f>_xlfn.XLOOKUP(B223,Disk_Pivot!G:G,Disk_Pivot!N:N)</f>
        <v>Pass, Fail</v>
      </c>
      <c r="AI223" s="32"/>
      <c r="AJ223" s="32"/>
      <c r="AK223" s="32"/>
      <c r="AL223" s="32"/>
      <c r="AM223" s="32"/>
      <c r="AN223" s="32"/>
    </row>
    <row r="224" spans="1:40">
      <c r="A224" s="32" t="str">
        <f>_xlfn.TEXTJOIN("",TRUE,_xlfn.XLOOKUP(B224,Input!J:J,Input!G:G,"",0,1),_xlfn.XLOOKUP(B224,Input!J:J,Input!H:H,"",0,1))</f>
        <v/>
      </c>
      <c r="B224" s="32"/>
      <c r="C224" s="53">
        <f>_xlfn.XLOOKUP(B224,Input!J:J,Input!F:F)</f>
        <v>0</v>
      </c>
      <c r="D224" s="32">
        <f>_xlfn.XLOOKUP(C224,Models!H:H,Models!G:G,C224)</f>
        <v>0</v>
      </c>
      <c r="E224" s="32"/>
      <c r="F224" s="32" t="str">
        <f>_xlfn.XLOOKUP(H224,Models!B:B,Models!F:F,"")</f>
        <v/>
      </c>
      <c r="G224" s="32">
        <f>_xlfn.XLOOKUP(B224,Input!J:J,Input!E:E)</f>
        <v>0</v>
      </c>
      <c r="H224" s="32">
        <f>IF(G224="LENOVO",_xlfn.XLOOKUP(B224,Input!J:J,Input!K:K),_xlfn.XLOOKUP(B224,Input!J:J,Input!L:L))</f>
        <v>0</v>
      </c>
      <c r="I224" s="32"/>
      <c r="J224" s="32"/>
      <c r="K224" s="32">
        <f>_xlfn.XLOOKUP(B224,CPU_Formula!A:A,CPU_Formula!I:I)</f>
        <v>0</v>
      </c>
      <c r="L224" s="53" t="e">
        <f>INDEX(Input!$D$2:$AC$500,
       MATCH(B224, Input!$J$2:$J$500, 0),
       MATCH("Memory Capacity", Input!$D$1:$AC$1, 0))</f>
        <v>#N/A</v>
      </c>
      <c r="M224" s="53" t="e">
        <f>INDEX(Input!$D$2:$AC$500,
       MATCH(B224, Input!$J$2:$J$500, 0),
       MATCH("Memory Type", Input!$D$1:$AC$1, 0))</f>
        <v>#N/A</v>
      </c>
      <c r="N224" s="53" t="e">
        <f t="shared" si="11"/>
        <v>#N/A</v>
      </c>
      <c r="O224" s="53" t="str" cm="1">
        <f t="array" ref="O224">IFERROR(_xlfn.FILTERXML("&lt;t&gt;&lt;s&gt;" &amp; SUBSTITUTE(M224," / ","&lt;/s&gt;&lt;s&gt;") &amp; "&lt;/s&gt;&lt;/t&gt;","(//s[contains(.,'DDR')])[1]"),"")</f>
        <v/>
      </c>
      <c r="P224" s="32" t="e">
        <f t="shared" si="13"/>
        <v>#N/A</v>
      </c>
      <c r="Q224" s="32"/>
      <c r="R224" s="32"/>
      <c r="S224" s="53" t="e">
        <f>_xlfn.LET(_xlpm.Result,INDEX(Input!$D$2:$AC$500,
       MATCH(B224, Input!$J$2:$J$500, 0),
       MATCH("Capacity", Input!$D$1:$AC$1, 0)),IF(_xlpm.Result="","",_xlpm.Result))</f>
        <v>#N/A</v>
      </c>
      <c r="T224" s="53" t="e" cm="1">
        <f t="array" ref="T224">_xlfn.TEXTSPLIT(S224," / ", ,TRUE,0,)</f>
        <v>#N/A</v>
      </c>
      <c r="U224" s="53"/>
      <c r="V224" s="53" t="str" cm="1">
        <f t="array" ref="V224">IFERROR(_xlfn.IFS(
T224="","",
--T224&lt;55,"Battery Defect",
--T224&lt;=69,"Battery D",
--T224&lt;=80,"Battery C",
--T224&gt;80,""
),"")</f>
        <v/>
      </c>
      <c r="W224" s="53" t="str" cm="1">
        <f t="array" ref="W224">IFERROR(_xlfn.IFS(
U224="","",
--U224&lt;55,"Battery Defect",
--U224&lt;=69,"Battery D",
--U224&lt;=80,"Battery C",
--U224&gt;80,""
),"")</f>
        <v/>
      </c>
      <c r="X224" s="53" t="str" cm="1">
        <f t="array" ref="X224:AE224">IFERROR(IF(_xlfn.XLOOKUP(B224,Input!J:J,Input!N:U)=0,"",
          _xlfn.XLOOKUP(B224,Input!J:J,Input!N:U)),"")</f>
        <v/>
      </c>
      <c r="Y224" s="53" t="str">
        <v/>
      </c>
      <c r="Z224" s="53" t="str">
        <v/>
      </c>
      <c r="AA224" s="53" t="str">
        <v/>
      </c>
      <c r="AB224" s="53" t="str">
        <v/>
      </c>
      <c r="AC224" s="53" t="str">
        <v/>
      </c>
      <c r="AD224" s="53" t="str">
        <v/>
      </c>
      <c r="AE224" s="53" t="str">
        <v/>
      </c>
      <c r="AF224" s="32" t="str">
        <f t="shared" si="12"/>
        <v/>
      </c>
      <c r="AG224" s="32" t="str">
        <f>_xlfn.XLOOKUP(B:B,Disk_Pivot!G:G,Disk_Pivot!I:I)</f>
        <v>Yes x2</v>
      </c>
      <c r="AH224" s="32" t="str">
        <f>_xlfn.XLOOKUP(B224,Disk_Pivot!G:G,Disk_Pivot!N:N)</f>
        <v>Pass, Fail</v>
      </c>
      <c r="AI224" s="32"/>
      <c r="AJ224" s="32"/>
      <c r="AK224" s="32"/>
      <c r="AL224" s="32"/>
      <c r="AM224" s="32"/>
      <c r="AN224" s="32"/>
    </row>
    <row r="225" spans="1:40">
      <c r="A225" s="32" t="str">
        <f>_xlfn.TEXTJOIN("",TRUE,_xlfn.XLOOKUP(B225,Input!J:J,Input!G:G,"",0,1),_xlfn.XLOOKUP(B225,Input!J:J,Input!H:H,"",0,1))</f>
        <v/>
      </c>
      <c r="B225" s="32"/>
      <c r="C225" s="53">
        <f>_xlfn.XLOOKUP(B225,Input!J:J,Input!F:F)</f>
        <v>0</v>
      </c>
      <c r="D225" s="32">
        <f>_xlfn.XLOOKUP(C225,Models!H:H,Models!G:G,C225)</f>
        <v>0</v>
      </c>
      <c r="E225" s="32"/>
      <c r="F225" s="32" t="str">
        <f>_xlfn.XLOOKUP(H225,Models!B:B,Models!F:F,"")</f>
        <v/>
      </c>
      <c r="G225" s="32">
        <f>_xlfn.XLOOKUP(B225,Input!J:J,Input!E:E)</f>
        <v>0</v>
      </c>
      <c r="H225" s="32">
        <f>IF(G225="LENOVO",_xlfn.XLOOKUP(B225,Input!J:J,Input!K:K),_xlfn.XLOOKUP(B225,Input!J:J,Input!L:L))</f>
        <v>0</v>
      </c>
      <c r="I225" s="32"/>
      <c r="J225" s="32"/>
      <c r="K225" s="32">
        <f>_xlfn.XLOOKUP(B225,CPU_Formula!A:A,CPU_Formula!I:I)</f>
        <v>0</v>
      </c>
      <c r="L225" s="53" t="e">
        <f>INDEX(Input!$D$2:$AC$500,
       MATCH(B225, Input!$J$2:$J$500, 0),
       MATCH("Memory Capacity", Input!$D$1:$AC$1, 0))</f>
        <v>#N/A</v>
      </c>
      <c r="M225" s="53" t="e">
        <f>INDEX(Input!$D$2:$AC$500,
       MATCH(B225, Input!$J$2:$J$500, 0),
       MATCH("Memory Type", Input!$D$1:$AC$1, 0))</f>
        <v>#N/A</v>
      </c>
      <c r="N225" s="53" t="e">
        <f t="shared" si="11"/>
        <v>#N/A</v>
      </c>
      <c r="O225" s="53" t="str" cm="1">
        <f t="array" ref="O225">IFERROR(_xlfn.FILTERXML("&lt;t&gt;&lt;s&gt;" &amp; SUBSTITUTE(M225," / ","&lt;/s&gt;&lt;s&gt;") &amp; "&lt;/s&gt;&lt;/t&gt;","(//s[contains(.,'DDR')])[1]"),"")</f>
        <v/>
      </c>
      <c r="P225" s="32" t="e">
        <f t="shared" si="13"/>
        <v>#N/A</v>
      </c>
      <c r="Q225" s="32"/>
      <c r="R225" s="32"/>
      <c r="S225" s="53" t="e">
        <f>_xlfn.LET(_xlpm.Result,INDEX(Input!$D$2:$AC$500,
       MATCH(B225, Input!$J$2:$J$500, 0),
       MATCH("Capacity", Input!$D$1:$AC$1, 0)),IF(_xlpm.Result="","",_xlpm.Result))</f>
        <v>#N/A</v>
      </c>
      <c r="T225" s="53" t="e" cm="1">
        <f t="array" ref="T225">_xlfn.TEXTSPLIT(S225," / ", ,TRUE,0,)</f>
        <v>#N/A</v>
      </c>
      <c r="U225" s="53"/>
      <c r="V225" s="53" t="str" cm="1">
        <f t="array" ref="V225">IFERROR(_xlfn.IFS(
T225="","",
--T225&lt;55,"Battery Defect",
--T225&lt;=69,"Battery D",
--T225&lt;=80,"Battery C",
--T225&gt;80,""
),"")</f>
        <v/>
      </c>
      <c r="W225" s="53" t="str" cm="1">
        <f t="array" ref="W225">IFERROR(_xlfn.IFS(
U225="","",
--U225&lt;55,"Battery Defect",
--U225&lt;=69,"Battery D",
--U225&lt;=80,"Battery C",
--U225&gt;80,""
),"")</f>
        <v/>
      </c>
      <c r="X225" s="53" t="str" cm="1">
        <f t="array" ref="X225:AE225">IFERROR(IF(_xlfn.XLOOKUP(B225,Input!J:J,Input!N:U)=0,"",
          _xlfn.XLOOKUP(B225,Input!J:J,Input!N:U)),"")</f>
        <v/>
      </c>
      <c r="Y225" s="53" t="str">
        <v/>
      </c>
      <c r="Z225" s="53" t="str">
        <v/>
      </c>
      <c r="AA225" s="53" t="str">
        <v/>
      </c>
      <c r="AB225" s="53" t="str">
        <v/>
      </c>
      <c r="AC225" s="53" t="str">
        <v/>
      </c>
      <c r="AD225" s="53" t="str">
        <v/>
      </c>
      <c r="AE225" s="53" t="str">
        <v/>
      </c>
      <c r="AF225" s="32" t="str">
        <f t="shared" si="12"/>
        <v/>
      </c>
      <c r="AG225" s="32" t="str">
        <f>_xlfn.XLOOKUP(B:B,Disk_Pivot!G:G,Disk_Pivot!I:I)</f>
        <v>Yes x2</v>
      </c>
      <c r="AH225" s="32" t="str">
        <f>_xlfn.XLOOKUP(B225,Disk_Pivot!G:G,Disk_Pivot!N:N)</f>
        <v>Pass, Fail</v>
      </c>
      <c r="AI225" s="32"/>
      <c r="AJ225" s="32"/>
      <c r="AK225" s="32"/>
      <c r="AL225" s="32"/>
      <c r="AM225" s="32"/>
      <c r="AN225" s="32"/>
    </row>
    <row r="226" spans="1:40">
      <c r="A226" s="32" t="str">
        <f>_xlfn.TEXTJOIN("",TRUE,_xlfn.XLOOKUP(B226,Input!J:J,Input!G:G,"",0,1),_xlfn.XLOOKUP(B226,Input!J:J,Input!H:H,"",0,1))</f>
        <v/>
      </c>
      <c r="B226" s="32"/>
      <c r="C226" s="53">
        <f>_xlfn.XLOOKUP(B226,Input!J:J,Input!F:F)</f>
        <v>0</v>
      </c>
      <c r="D226" s="32">
        <f>_xlfn.XLOOKUP(C226,Models!H:H,Models!G:G,C226)</f>
        <v>0</v>
      </c>
      <c r="E226" s="32"/>
      <c r="F226" s="32" t="str">
        <f>_xlfn.XLOOKUP(H226,Models!B:B,Models!F:F,"")</f>
        <v/>
      </c>
      <c r="G226" s="32">
        <f>_xlfn.XLOOKUP(B226,Input!J:J,Input!E:E)</f>
        <v>0</v>
      </c>
      <c r="H226" s="32">
        <f>IF(G226="LENOVO",_xlfn.XLOOKUP(B226,Input!J:J,Input!K:K),_xlfn.XLOOKUP(B226,Input!J:J,Input!L:L))</f>
        <v>0</v>
      </c>
      <c r="I226" s="32"/>
      <c r="J226" s="32"/>
      <c r="K226" s="32">
        <f>_xlfn.XLOOKUP(B226,CPU_Formula!A:A,CPU_Formula!I:I)</f>
        <v>0</v>
      </c>
      <c r="L226" s="53" t="e">
        <f>INDEX(Input!$D$2:$AC$500,
       MATCH(B226, Input!$J$2:$J$500, 0),
       MATCH("Memory Capacity", Input!$D$1:$AC$1, 0))</f>
        <v>#N/A</v>
      </c>
      <c r="M226" s="53" t="e">
        <f>INDEX(Input!$D$2:$AC$500,
       MATCH(B226, Input!$J$2:$J$500, 0),
       MATCH("Memory Type", Input!$D$1:$AC$1, 0))</f>
        <v>#N/A</v>
      </c>
      <c r="N226" s="53" t="e">
        <f t="shared" si="11"/>
        <v>#N/A</v>
      </c>
      <c r="O226" s="53" t="str" cm="1">
        <f t="array" ref="O226">IFERROR(_xlfn.FILTERXML("&lt;t&gt;&lt;s&gt;" &amp; SUBSTITUTE(M226," / ","&lt;/s&gt;&lt;s&gt;") &amp; "&lt;/s&gt;&lt;/t&gt;","(//s[contains(.,'DDR')])[1]"),"")</f>
        <v/>
      </c>
      <c r="P226" s="32" t="e">
        <f t="shared" si="13"/>
        <v>#N/A</v>
      </c>
      <c r="Q226" s="32"/>
      <c r="R226" s="32"/>
      <c r="S226" s="53" t="e">
        <f>_xlfn.LET(_xlpm.Result,INDEX(Input!$D$2:$AC$500,
       MATCH(B226, Input!$J$2:$J$500, 0),
       MATCH("Capacity", Input!$D$1:$AC$1, 0)),IF(_xlpm.Result="","",_xlpm.Result))</f>
        <v>#N/A</v>
      </c>
      <c r="T226" s="53" t="e" cm="1">
        <f t="array" ref="T226">_xlfn.TEXTSPLIT(S226," / ", ,TRUE,0,)</f>
        <v>#N/A</v>
      </c>
      <c r="U226" s="53"/>
      <c r="V226" s="53" t="str" cm="1">
        <f t="array" ref="V226">IFERROR(_xlfn.IFS(
T226="","",
--T226&lt;55,"Battery Defect",
--T226&lt;=69,"Battery D",
--T226&lt;=80,"Battery C",
--T226&gt;80,""
),"")</f>
        <v/>
      </c>
      <c r="W226" s="53" t="str" cm="1">
        <f t="array" ref="W226">IFERROR(_xlfn.IFS(
U226="","",
--U226&lt;55,"Battery Defect",
--U226&lt;=69,"Battery D",
--U226&lt;=80,"Battery C",
--U226&gt;80,""
),"")</f>
        <v/>
      </c>
      <c r="X226" s="53" t="str" cm="1">
        <f t="array" ref="X226:AE226">IFERROR(IF(_xlfn.XLOOKUP(B226,Input!J:J,Input!N:U)=0,"",
          _xlfn.XLOOKUP(B226,Input!J:J,Input!N:U)),"")</f>
        <v/>
      </c>
      <c r="Y226" s="53" t="str">
        <v/>
      </c>
      <c r="Z226" s="53" t="str">
        <v/>
      </c>
      <c r="AA226" s="53" t="str">
        <v/>
      </c>
      <c r="AB226" s="53" t="str">
        <v/>
      </c>
      <c r="AC226" s="53" t="str">
        <v/>
      </c>
      <c r="AD226" s="53" t="str">
        <v/>
      </c>
      <c r="AE226" s="53" t="str">
        <v/>
      </c>
      <c r="AF226" s="32" t="str">
        <f t="shared" si="12"/>
        <v/>
      </c>
      <c r="AG226" s="32" t="str">
        <f>_xlfn.XLOOKUP(B:B,Disk_Pivot!G:G,Disk_Pivot!I:I)</f>
        <v>Yes x2</v>
      </c>
      <c r="AH226" s="32" t="str">
        <f>_xlfn.XLOOKUP(B226,Disk_Pivot!G:G,Disk_Pivot!N:N)</f>
        <v>Pass, Fail</v>
      </c>
      <c r="AI226" s="32"/>
      <c r="AJ226" s="32"/>
      <c r="AK226" s="32"/>
      <c r="AL226" s="32"/>
      <c r="AM226" s="32"/>
      <c r="AN226" s="32"/>
    </row>
    <row r="227" spans="1:40">
      <c r="A227" s="32" t="str">
        <f>_xlfn.TEXTJOIN("",TRUE,_xlfn.XLOOKUP(B227,Input!J:J,Input!G:G,"",0,1),_xlfn.XLOOKUP(B227,Input!J:J,Input!H:H,"",0,1))</f>
        <v/>
      </c>
      <c r="B227" s="32"/>
      <c r="C227" s="53">
        <f>_xlfn.XLOOKUP(B227,Input!J:J,Input!F:F)</f>
        <v>0</v>
      </c>
      <c r="D227" s="32">
        <f>_xlfn.XLOOKUP(C227,Models!H:H,Models!G:G,C227)</f>
        <v>0</v>
      </c>
      <c r="E227" s="32"/>
      <c r="F227" s="32" t="str">
        <f>_xlfn.XLOOKUP(H227,Models!B:B,Models!F:F,"")</f>
        <v/>
      </c>
      <c r="G227" s="32">
        <f>_xlfn.XLOOKUP(B227,Input!J:J,Input!E:E)</f>
        <v>0</v>
      </c>
      <c r="H227" s="32">
        <f>IF(G227="LENOVO",_xlfn.XLOOKUP(B227,Input!J:J,Input!K:K),_xlfn.XLOOKUP(B227,Input!J:J,Input!L:L))</f>
        <v>0</v>
      </c>
      <c r="I227" s="32"/>
      <c r="J227" s="32"/>
      <c r="K227" s="32">
        <f>_xlfn.XLOOKUP(B227,CPU_Formula!A:A,CPU_Formula!I:I)</f>
        <v>0</v>
      </c>
      <c r="L227" s="53" t="e">
        <f>INDEX(Input!$D$2:$AC$500,
       MATCH(B227, Input!$J$2:$J$500, 0),
       MATCH("Memory Capacity", Input!$D$1:$AC$1, 0))</f>
        <v>#N/A</v>
      </c>
      <c r="M227" s="53" t="e">
        <f>INDEX(Input!$D$2:$AC$500,
       MATCH(B227, Input!$J$2:$J$500, 0),
       MATCH("Memory Type", Input!$D$1:$AC$1, 0))</f>
        <v>#N/A</v>
      </c>
      <c r="N227" s="53" t="e">
        <f t="shared" si="11"/>
        <v>#N/A</v>
      </c>
      <c r="O227" s="53" t="str" cm="1">
        <f t="array" ref="O227">IFERROR(_xlfn.FILTERXML("&lt;t&gt;&lt;s&gt;" &amp; SUBSTITUTE(M227," / ","&lt;/s&gt;&lt;s&gt;") &amp; "&lt;/s&gt;&lt;/t&gt;","(//s[contains(.,'DDR')])[1]"),"")</f>
        <v/>
      </c>
      <c r="P227" s="32" t="e">
        <f t="shared" si="13"/>
        <v>#N/A</v>
      </c>
      <c r="Q227" s="32"/>
      <c r="R227" s="32"/>
      <c r="S227" s="53" t="e">
        <f>_xlfn.LET(_xlpm.Result,INDEX(Input!$D$2:$AC$500,
       MATCH(B227, Input!$J$2:$J$500, 0),
       MATCH("Capacity", Input!$D$1:$AC$1, 0)),IF(_xlpm.Result="","",_xlpm.Result))</f>
        <v>#N/A</v>
      </c>
      <c r="T227" s="53" t="e" cm="1">
        <f t="array" ref="T227">_xlfn.TEXTSPLIT(S227," / ", ,TRUE,0,)</f>
        <v>#N/A</v>
      </c>
      <c r="U227" s="53"/>
      <c r="V227" s="53" t="str" cm="1">
        <f t="array" ref="V227">IFERROR(_xlfn.IFS(
T227="","",
--T227&lt;55,"Battery Defect",
--T227&lt;=69,"Battery D",
--T227&lt;=80,"Battery C",
--T227&gt;80,""
),"")</f>
        <v/>
      </c>
      <c r="W227" s="53" t="str" cm="1">
        <f t="array" ref="W227">IFERROR(_xlfn.IFS(
U227="","",
--U227&lt;55,"Battery Defect",
--U227&lt;=69,"Battery D",
--U227&lt;=80,"Battery C",
--U227&gt;80,""
),"")</f>
        <v/>
      </c>
      <c r="X227" s="53" t="str" cm="1">
        <f t="array" ref="X227:AE227">IFERROR(IF(_xlfn.XLOOKUP(B227,Input!J:J,Input!N:U)=0,"",
          _xlfn.XLOOKUP(B227,Input!J:J,Input!N:U)),"")</f>
        <v/>
      </c>
      <c r="Y227" s="53" t="str">
        <v/>
      </c>
      <c r="Z227" s="53" t="str">
        <v/>
      </c>
      <c r="AA227" s="53" t="str">
        <v/>
      </c>
      <c r="AB227" s="53" t="str">
        <v/>
      </c>
      <c r="AC227" s="53" t="str">
        <v/>
      </c>
      <c r="AD227" s="53" t="str">
        <v/>
      </c>
      <c r="AE227" s="53" t="str">
        <v/>
      </c>
      <c r="AF227" s="32" t="str">
        <f t="shared" si="12"/>
        <v/>
      </c>
      <c r="AG227" s="32" t="str">
        <f>_xlfn.XLOOKUP(B:B,Disk_Pivot!G:G,Disk_Pivot!I:I)</f>
        <v>Yes x2</v>
      </c>
      <c r="AH227" s="32" t="str">
        <f>_xlfn.XLOOKUP(B227,Disk_Pivot!G:G,Disk_Pivot!N:N)</f>
        <v>Pass, Fail</v>
      </c>
      <c r="AI227" s="32"/>
      <c r="AJ227" s="32"/>
      <c r="AK227" s="32"/>
      <c r="AL227" s="32"/>
      <c r="AM227" s="32"/>
      <c r="AN227" s="32"/>
    </row>
    <row r="228" spans="1:40">
      <c r="A228" s="32" t="str">
        <f>_xlfn.TEXTJOIN("",TRUE,_xlfn.XLOOKUP(B228,Input!J:J,Input!G:G,"",0,1),_xlfn.XLOOKUP(B228,Input!J:J,Input!H:H,"",0,1))</f>
        <v/>
      </c>
      <c r="B228" s="32"/>
      <c r="C228" s="53">
        <f>_xlfn.XLOOKUP(B228,Input!J:J,Input!F:F)</f>
        <v>0</v>
      </c>
      <c r="D228" s="32">
        <f>_xlfn.XLOOKUP(C228,Models!H:H,Models!G:G,C228)</f>
        <v>0</v>
      </c>
      <c r="E228" s="32"/>
      <c r="F228" s="32" t="str">
        <f>_xlfn.XLOOKUP(H228,Models!B:B,Models!F:F,"")</f>
        <v/>
      </c>
      <c r="G228" s="32">
        <f>_xlfn.XLOOKUP(B228,Input!J:J,Input!E:E)</f>
        <v>0</v>
      </c>
      <c r="H228" s="32">
        <f>IF(G228="LENOVO",_xlfn.XLOOKUP(B228,Input!J:J,Input!K:K),_xlfn.XLOOKUP(B228,Input!J:J,Input!L:L))</f>
        <v>0</v>
      </c>
      <c r="I228" s="32"/>
      <c r="J228" s="32"/>
      <c r="K228" s="32">
        <f>_xlfn.XLOOKUP(B228,CPU_Formula!A:A,CPU_Formula!I:I)</f>
        <v>0</v>
      </c>
      <c r="L228" s="53" t="e">
        <f>INDEX(Input!$D$2:$AC$500,
       MATCH(B228, Input!$J$2:$J$500, 0),
       MATCH("Memory Capacity", Input!$D$1:$AC$1, 0))</f>
        <v>#N/A</v>
      </c>
      <c r="M228" s="53" t="e">
        <f>INDEX(Input!$D$2:$AC$500,
       MATCH(B228, Input!$J$2:$J$500, 0),
       MATCH("Memory Type", Input!$D$1:$AC$1, 0))</f>
        <v>#N/A</v>
      </c>
      <c r="N228" s="53" t="e">
        <f t="shared" si="11"/>
        <v>#N/A</v>
      </c>
      <c r="O228" s="53" t="str" cm="1">
        <f t="array" ref="O228">IFERROR(_xlfn.FILTERXML("&lt;t&gt;&lt;s&gt;" &amp; SUBSTITUTE(M228," / ","&lt;/s&gt;&lt;s&gt;") &amp; "&lt;/s&gt;&lt;/t&gt;","(//s[contains(.,'DDR')])[1]"),"")</f>
        <v/>
      </c>
      <c r="P228" s="32" t="e">
        <f t="shared" si="13"/>
        <v>#N/A</v>
      </c>
      <c r="Q228" s="32"/>
      <c r="R228" s="32"/>
      <c r="S228" s="53" t="e">
        <f>_xlfn.LET(_xlpm.Result,INDEX(Input!$D$2:$AC$500,
       MATCH(B228, Input!$J$2:$J$500, 0),
       MATCH("Capacity", Input!$D$1:$AC$1, 0)),IF(_xlpm.Result="","",_xlpm.Result))</f>
        <v>#N/A</v>
      </c>
      <c r="T228" s="53" t="e" cm="1">
        <f t="array" ref="T228">_xlfn.TEXTSPLIT(S228," / ", ,TRUE,0,)</f>
        <v>#N/A</v>
      </c>
      <c r="U228" s="53"/>
      <c r="V228" s="53" t="str" cm="1">
        <f t="array" ref="V228">IFERROR(_xlfn.IFS(
T228="","",
--T228&lt;55,"Battery Defect",
--T228&lt;=69,"Battery D",
--T228&lt;=80,"Battery C",
--T228&gt;80,""
),"")</f>
        <v/>
      </c>
      <c r="W228" s="53" t="str" cm="1">
        <f t="array" ref="W228">IFERROR(_xlfn.IFS(
U228="","",
--U228&lt;55,"Battery Defect",
--U228&lt;=69,"Battery D",
--U228&lt;=80,"Battery C",
--U228&gt;80,""
),"")</f>
        <v/>
      </c>
      <c r="X228" s="53" t="str" cm="1">
        <f t="array" ref="X228:AE228">IFERROR(IF(_xlfn.XLOOKUP(B228,Input!J:J,Input!N:U)=0,"",
          _xlfn.XLOOKUP(B228,Input!J:J,Input!N:U)),"")</f>
        <v/>
      </c>
      <c r="Y228" s="53" t="str">
        <v/>
      </c>
      <c r="Z228" s="53" t="str">
        <v/>
      </c>
      <c r="AA228" s="53" t="str">
        <v/>
      </c>
      <c r="AB228" s="53" t="str">
        <v/>
      </c>
      <c r="AC228" s="53" t="str">
        <v/>
      </c>
      <c r="AD228" s="53" t="str">
        <v/>
      </c>
      <c r="AE228" s="53" t="str">
        <v/>
      </c>
      <c r="AF228" s="32" t="str">
        <f t="shared" si="12"/>
        <v/>
      </c>
      <c r="AG228" s="32" t="str">
        <f>_xlfn.XLOOKUP(B:B,Disk_Pivot!G:G,Disk_Pivot!I:I)</f>
        <v>Yes x2</v>
      </c>
      <c r="AH228" s="32" t="str">
        <f>_xlfn.XLOOKUP(B228,Disk_Pivot!G:G,Disk_Pivot!N:N)</f>
        <v>Pass, Fail</v>
      </c>
      <c r="AI228" s="32"/>
      <c r="AJ228" s="32"/>
      <c r="AK228" s="32"/>
      <c r="AL228" s="32"/>
      <c r="AM228" s="32"/>
      <c r="AN228" s="32"/>
    </row>
    <row r="229" spans="1:40">
      <c r="A229" s="32" t="str">
        <f>_xlfn.TEXTJOIN("",TRUE,_xlfn.XLOOKUP(B229,Input!J:J,Input!G:G,"",0,1),_xlfn.XLOOKUP(B229,Input!J:J,Input!H:H,"",0,1))</f>
        <v/>
      </c>
      <c r="B229" s="32"/>
      <c r="C229" s="53">
        <f>_xlfn.XLOOKUP(B229,Input!J:J,Input!F:F)</f>
        <v>0</v>
      </c>
      <c r="D229" s="32">
        <f>_xlfn.XLOOKUP(C229,Models!H:H,Models!G:G,C229)</f>
        <v>0</v>
      </c>
      <c r="E229" s="32"/>
      <c r="F229" s="32" t="str">
        <f>_xlfn.XLOOKUP(H229,Models!B:B,Models!F:F,"")</f>
        <v/>
      </c>
      <c r="G229" s="32">
        <f>_xlfn.XLOOKUP(B229,Input!J:J,Input!E:E)</f>
        <v>0</v>
      </c>
      <c r="H229" s="32">
        <f>IF(G229="LENOVO",_xlfn.XLOOKUP(B229,Input!J:J,Input!K:K),_xlfn.XLOOKUP(B229,Input!J:J,Input!L:L))</f>
        <v>0</v>
      </c>
      <c r="I229" s="32"/>
      <c r="J229" s="32"/>
      <c r="K229" s="32">
        <f>_xlfn.XLOOKUP(B229,CPU_Formula!A:A,CPU_Formula!I:I)</f>
        <v>0</v>
      </c>
      <c r="L229" s="53" t="e">
        <f>INDEX(Input!$D$2:$AC$500,
       MATCH(B229, Input!$J$2:$J$500, 0),
       MATCH("Memory Capacity", Input!$D$1:$AC$1, 0))</f>
        <v>#N/A</v>
      </c>
      <c r="M229" s="53" t="e">
        <f>INDEX(Input!$D$2:$AC$500,
       MATCH(B229, Input!$J$2:$J$500, 0),
       MATCH("Memory Type", Input!$D$1:$AC$1, 0))</f>
        <v>#N/A</v>
      </c>
      <c r="N229" s="53" t="e">
        <f t="shared" si="11"/>
        <v>#N/A</v>
      </c>
      <c r="O229" s="53" t="str" cm="1">
        <f t="array" ref="O229">IFERROR(_xlfn.FILTERXML("&lt;t&gt;&lt;s&gt;" &amp; SUBSTITUTE(M229," / ","&lt;/s&gt;&lt;s&gt;") &amp; "&lt;/s&gt;&lt;/t&gt;","(//s[contains(.,'DDR')])[1]"),"")</f>
        <v/>
      </c>
      <c r="P229" s="32" t="e">
        <f t="shared" si="13"/>
        <v>#N/A</v>
      </c>
      <c r="Q229" s="32"/>
      <c r="R229" s="32"/>
      <c r="S229" s="53" t="e">
        <f>_xlfn.LET(_xlpm.Result,INDEX(Input!$D$2:$AC$500,
       MATCH(B229, Input!$J$2:$J$500, 0),
       MATCH("Capacity", Input!$D$1:$AC$1, 0)),IF(_xlpm.Result="","",_xlpm.Result))</f>
        <v>#N/A</v>
      </c>
      <c r="T229" s="53" t="e" cm="1">
        <f t="array" ref="T229">_xlfn.TEXTSPLIT(S229," / ", ,TRUE,0,)</f>
        <v>#N/A</v>
      </c>
      <c r="U229" s="53"/>
      <c r="V229" s="53" t="str" cm="1">
        <f t="array" ref="V229">IFERROR(_xlfn.IFS(
T229="","",
--T229&lt;55,"Battery Defect",
--T229&lt;=69,"Battery D",
--T229&lt;=80,"Battery C",
--T229&gt;80,""
),"")</f>
        <v/>
      </c>
      <c r="W229" s="53" t="str" cm="1">
        <f t="array" ref="W229">IFERROR(_xlfn.IFS(
U229="","",
--U229&lt;55,"Battery Defect",
--U229&lt;=69,"Battery D",
--U229&lt;=80,"Battery C",
--U229&gt;80,""
),"")</f>
        <v/>
      </c>
      <c r="X229" s="53" t="str" cm="1">
        <f t="array" ref="X229:AE229">IFERROR(IF(_xlfn.XLOOKUP(B229,Input!J:J,Input!N:U)=0,"",
          _xlfn.XLOOKUP(B229,Input!J:J,Input!N:U)),"")</f>
        <v/>
      </c>
      <c r="Y229" s="53" t="str">
        <v/>
      </c>
      <c r="Z229" s="53" t="str">
        <v/>
      </c>
      <c r="AA229" s="53" t="str">
        <v/>
      </c>
      <c r="AB229" s="53" t="str">
        <v/>
      </c>
      <c r="AC229" s="53" t="str">
        <v/>
      </c>
      <c r="AD229" s="53" t="str">
        <v/>
      </c>
      <c r="AE229" s="53" t="str">
        <v/>
      </c>
      <c r="AF229" s="32" t="str">
        <f t="shared" si="12"/>
        <v/>
      </c>
      <c r="AG229" s="32" t="str">
        <f>_xlfn.XLOOKUP(B:B,Disk_Pivot!G:G,Disk_Pivot!I:I)</f>
        <v>Yes x2</v>
      </c>
      <c r="AH229" s="32" t="str">
        <f>_xlfn.XLOOKUP(B229,Disk_Pivot!G:G,Disk_Pivot!N:N)</f>
        <v>Pass, Fail</v>
      </c>
      <c r="AI229" s="32"/>
      <c r="AJ229" s="32"/>
      <c r="AK229" s="32"/>
      <c r="AL229" s="32"/>
      <c r="AM229" s="32"/>
      <c r="AN229" s="32"/>
    </row>
    <row r="230" spans="1:40">
      <c r="A230" s="32" t="str">
        <f>_xlfn.TEXTJOIN("",TRUE,_xlfn.XLOOKUP(B230,Input!J:J,Input!G:G,"",0,1),_xlfn.XLOOKUP(B230,Input!J:J,Input!H:H,"",0,1))</f>
        <v/>
      </c>
      <c r="B230" s="32"/>
      <c r="C230" s="53">
        <f>_xlfn.XLOOKUP(B230,Input!J:J,Input!F:F)</f>
        <v>0</v>
      </c>
      <c r="D230" s="32">
        <f>_xlfn.XLOOKUP(C230,Models!H:H,Models!G:G,C230)</f>
        <v>0</v>
      </c>
      <c r="E230" s="32"/>
      <c r="F230" s="32" t="str">
        <f>_xlfn.XLOOKUP(H230,Models!B:B,Models!F:F,"")</f>
        <v/>
      </c>
      <c r="G230" s="32">
        <f>_xlfn.XLOOKUP(B230,Input!J:J,Input!E:E)</f>
        <v>0</v>
      </c>
      <c r="H230" s="32">
        <f>IF(G230="LENOVO",_xlfn.XLOOKUP(B230,Input!J:J,Input!K:K),_xlfn.XLOOKUP(B230,Input!J:J,Input!L:L))</f>
        <v>0</v>
      </c>
      <c r="I230" s="32"/>
      <c r="J230" s="32"/>
      <c r="K230" s="32">
        <f>_xlfn.XLOOKUP(B230,CPU_Formula!A:A,CPU_Formula!I:I)</f>
        <v>0</v>
      </c>
      <c r="L230" s="53" t="e">
        <f>INDEX(Input!$D$2:$AC$500,
       MATCH(B230, Input!$J$2:$J$500, 0),
       MATCH("Memory Capacity", Input!$D$1:$AC$1, 0))</f>
        <v>#N/A</v>
      </c>
      <c r="M230" s="53" t="e">
        <f>INDEX(Input!$D$2:$AC$500,
       MATCH(B230, Input!$J$2:$J$500, 0),
       MATCH("Memory Type", Input!$D$1:$AC$1, 0))</f>
        <v>#N/A</v>
      </c>
      <c r="N230" s="53" t="e">
        <f t="shared" si="11"/>
        <v>#N/A</v>
      </c>
      <c r="O230" s="53" t="str" cm="1">
        <f t="array" ref="O230">IFERROR(_xlfn.FILTERXML("&lt;t&gt;&lt;s&gt;" &amp; SUBSTITUTE(M230," / ","&lt;/s&gt;&lt;s&gt;") &amp; "&lt;/s&gt;&lt;/t&gt;","(//s[contains(.,'DDR')])[1]"),"")</f>
        <v/>
      </c>
      <c r="P230" s="32" t="e">
        <f t="shared" si="13"/>
        <v>#N/A</v>
      </c>
      <c r="Q230" s="32"/>
      <c r="R230" s="32"/>
      <c r="S230" s="53" t="e">
        <f>_xlfn.LET(_xlpm.Result,INDEX(Input!$D$2:$AC$500,
       MATCH(B230, Input!$J$2:$J$500, 0),
       MATCH("Capacity", Input!$D$1:$AC$1, 0)),IF(_xlpm.Result="","",_xlpm.Result))</f>
        <v>#N/A</v>
      </c>
      <c r="T230" s="53" t="e" cm="1">
        <f t="array" ref="T230">_xlfn.TEXTSPLIT(S230," / ", ,TRUE,0,)</f>
        <v>#N/A</v>
      </c>
      <c r="U230" s="53"/>
      <c r="V230" s="53" t="str" cm="1">
        <f t="array" ref="V230">IFERROR(_xlfn.IFS(
T230="","",
--T230&lt;55,"Battery Defect",
--T230&lt;=69,"Battery D",
--T230&lt;=80,"Battery C",
--T230&gt;80,""
),"")</f>
        <v/>
      </c>
      <c r="W230" s="53" t="str" cm="1">
        <f t="array" ref="W230">IFERROR(_xlfn.IFS(
U230="","",
--U230&lt;55,"Battery Defect",
--U230&lt;=69,"Battery D",
--U230&lt;=80,"Battery C",
--U230&gt;80,""
),"")</f>
        <v/>
      </c>
      <c r="X230" s="53" t="str" cm="1">
        <f t="array" ref="X230:AE230">IFERROR(IF(_xlfn.XLOOKUP(B230,Input!J:J,Input!N:U)=0,"",
          _xlfn.XLOOKUP(B230,Input!J:J,Input!N:U)),"")</f>
        <v/>
      </c>
      <c r="Y230" s="53" t="str">
        <v/>
      </c>
      <c r="Z230" s="53" t="str">
        <v/>
      </c>
      <c r="AA230" s="53" t="str">
        <v/>
      </c>
      <c r="AB230" s="53" t="str">
        <v/>
      </c>
      <c r="AC230" s="53" t="str">
        <v/>
      </c>
      <c r="AD230" s="53" t="str">
        <v/>
      </c>
      <c r="AE230" s="53" t="str">
        <v/>
      </c>
      <c r="AF230" s="32" t="str">
        <f t="shared" si="12"/>
        <v/>
      </c>
      <c r="AG230" s="32" t="str">
        <f>_xlfn.XLOOKUP(B:B,Disk_Pivot!G:G,Disk_Pivot!I:I)</f>
        <v>Yes x2</v>
      </c>
      <c r="AH230" s="32" t="str">
        <f>_xlfn.XLOOKUP(B230,Disk_Pivot!G:G,Disk_Pivot!N:N)</f>
        <v>Pass, Fail</v>
      </c>
      <c r="AI230" s="32"/>
      <c r="AJ230" s="32"/>
      <c r="AK230" s="32"/>
      <c r="AL230" s="32"/>
      <c r="AM230" s="32"/>
      <c r="AN230" s="32"/>
    </row>
    <row r="231" spans="1:40">
      <c r="A231" s="32" t="str">
        <f>_xlfn.TEXTJOIN("",TRUE,_xlfn.XLOOKUP(B231,Input!J:J,Input!G:G,"",0,1),_xlfn.XLOOKUP(B231,Input!J:J,Input!H:H,"",0,1))</f>
        <v/>
      </c>
      <c r="B231" s="32"/>
      <c r="C231" s="53">
        <f>_xlfn.XLOOKUP(B231,Input!J:J,Input!F:F)</f>
        <v>0</v>
      </c>
      <c r="D231" s="32">
        <f>_xlfn.XLOOKUP(C231,Models!H:H,Models!G:G,C231)</f>
        <v>0</v>
      </c>
      <c r="E231" s="32"/>
      <c r="F231" s="32" t="str">
        <f>_xlfn.XLOOKUP(H231,Models!B:B,Models!F:F,"")</f>
        <v/>
      </c>
      <c r="G231" s="32">
        <f>_xlfn.XLOOKUP(B231,Input!J:J,Input!E:E)</f>
        <v>0</v>
      </c>
      <c r="H231" s="32">
        <f>IF(G231="LENOVO",_xlfn.XLOOKUP(B231,Input!J:J,Input!K:K),_xlfn.XLOOKUP(B231,Input!J:J,Input!L:L))</f>
        <v>0</v>
      </c>
      <c r="I231" s="32"/>
      <c r="J231" s="32"/>
      <c r="K231" s="32">
        <f>_xlfn.XLOOKUP(B231,CPU_Formula!A:A,CPU_Formula!I:I)</f>
        <v>0</v>
      </c>
      <c r="L231" s="53" t="e">
        <f>INDEX(Input!$D$2:$AC$500,
       MATCH(B231, Input!$J$2:$J$500, 0),
       MATCH("Memory Capacity", Input!$D$1:$AC$1, 0))</f>
        <v>#N/A</v>
      </c>
      <c r="M231" s="53" t="e">
        <f>INDEX(Input!$D$2:$AC$500,
       MATCH(B231, Input!$J$2:$J$500, 0),
       MATCH("Memory Type", Input!$D$1:$AC$1, 0))</f>
        <v>#N/A</v>
      </c>
      <c r="N231" s="53" t="e">
        <f t="shared" si="11"/>
        <v>#N/A</v>
      </c>
      <c r="O231" s="53" t="str" cm="1">
        <f t="array" ref="O231">IFERROR(_xlfn.FILTERXML("&lt;t&gt;&lt;s&gt;" &amp; SUBSTITUTE(M231," / ","&lt;/s&gt;&lt;s&gt;") &amp; "&lt;/s&gt;&lt;/t&gt;","(//s[contains(.,'DDR')])[1]"),"")</f>
        <v/>
      </c>
      <c r="P231" s="32" t="e">
        <f t="shared" si="13"/>
        <v>#N/A</v>
      </c>
      <c r="Q231" s="32"/>
      <c r="R231" s="32"/>
      <c r="S231" s="53" t="e">
        <f>_xlfn.LET(_xlpm.Result,INDEX(Input!$D$2:$AC$500,
       MATCH(B231, Input!$J$2:$J$500, 0),
       MATCH("Capacity", Input!$D$1:$AC$1, 0)),IF(_xlpm.Result="","",_xlpm.Result))</f>
        <v>#N/A</v>
      </c>
      <c r="T231" s="53" t="e" cm="1">
        <f t="array" ref="T231">_xlfn.TEXTSPLIT(S231," / ", ,TRUE,0,)</f>
        <v>#N/A</v>
      </c>
      <c r="U231" s="53"/>
      <c r="V231" s="53" t="str" cm="1">
        <f t="array" ref="V231">IFERROR(_xlfn.IFS(
T231="","",
--T231&lt;55,"Battery Defect",
--T231&lt;=69,"Battery D",
--T231&lt;=80,"Battery C",
--T231&gt;80,""
),"")</f>
        <v/>
      </c>
      <c r="W231" s="53" t="str" cm="1">
        <f t="array" ref="W231">IFERROR(_xlfn.IFS(
U231="","",
--U231&lt;55,"Battery Defect",
--U231&lt;=69,"Battery D",
--U231&lt;=80,"Battery C",
--U231&gt;80,""
),"")</f>
        <v/>
      </c>
      <c r="X231" s="53" t="str" cm="1">
        <f t="array" ref="X231:AE231">IFERROR(IF(_xlfn.XLOOKUP(B231,Input!J:J,Input!N:U)=0,"",
          _xlfn.XLOOKUP(B231,Input!J:J,Input!N:U)),"")</f>
        <v/>
      </c>
      <c r="Y231" s="53" t="str">
        <v/>
      </c>
      <c r="Z231" s="53" t="str">
        <v/>
      </c>
      <c r="AA231" s="53" t="str">
        <v/>
      </c>
      <c r="AB231" s="53" t="str">
        <v/>
      </c>
      <c r="AC231" s="53" t="str">
        <v/>
      </c>
      <c r="AD231" s="53" t="str">
        <v/>
      </c>
      <c r="AE231" s="53" t="str">
        <v/>
      </c>
      <c r="AF231" s="32" t="str">
        <f t="shared" si="12"/>
        <v/>
      </c>
      <c r="AG231" s="32" t="str">
        <f>_xlfn.XLOOKUP(B:B,Disk_Pivot!G:G,Disk_Pivot!I:I)</f>
        <v>Yes x2</v>
      </c>
      <c r="AH231" s="32" t="str">
        <f>_xlfn.XLOOKUP(B231,Disk_Pivot!G:G,Disk_Pivot!N:N)</f>
        <v>Pass, Fail</v>
      </c>
      <c r="AI231" s="32"/>
      <c r="AJ231" s="32"/>
      <c r="AK231" s="32"/>
      <c r="AL231" s="32"/>
      <c r="AM231" s="32"/>
      <c r="AN231" s="32"/>
    </row>
    <row r="232" spans="1:40">
      <c r="A232" s="32" t="str">
        <f>_xlfn.TEXTJOIN("",TRUE,_xlfn.XLOOKUP(B232,Input!J:J,Input!G:G,"",0,1),_xlfn.XLOOKUP(B232,Input!J:J,Input!H:H,"",0,1))</f>
        <v/>
      </c>
      <c r="B232" s="32"/>
      <c r="C232" s="53">
        <f>_xlfn.XLOOKUP(B232,Input!J:J,Input!F:F)</f>
        <v>0</v>
      </c>
      <c r="D232" s="32">
        <f>_xlfn.XLOOKUP(C232,Models!H:H,Models!G:G,C232)</f>
        <v>0</v>
      </c>
      <c r="E232" s="32"/>
      <c r="F232" s="32" t="str">
        <f>_xlfn.XLOOKUP(H232,Models!B:B,Models!F:F,"")</f>
        <v/>
      </c>
      <c r="G232" s="32">
        <f>_xlfn.XLOOKUP(B232,Input!J:J,Input!E:E)</f>
        <v>0</v>
      </c>
      <c r="H232" s="32">
        <f>IF(G232="LENOVO",_xlfn.XLOOKUP(B232,Input!J:J,Input!K:K),_xlfn.XLOOKUP(B232,Input!J:J,Input!L:L))</f>
        <v>0</v>
      </c>
      <c r="I232" s="32"/>
      <c r="J232" s="32"/>
      <c r="K232" s="32">
        <f>_xlfn.XLOOKUP(B232,CPU_Formula!A:A,CPU_Formula!I:I)</f>
        <v>0</v>
      </c>
      <c r="L232" s="53" t="e">
        <f>INDEX(Input!$D$2:$AC$500,
       MATCH(B232, Input!$J$2:$J$500, 0),
       MATCH("Memory Capacity", Input!$D$1:$AC$1, 0))</f>
        <v>#N/A</v>
      </c>
      <c r="M232" s="53" t="e">
        <f>INDEX(Input!$D$2:$AC$500,
       MATCH(B232, Input!$J$2:$J$500, 0),
       MATCH("Memory Type", Input!$D$1:$AC$1, 0))</f>
        <v>#N/A</v>
      </c>
      <c r="N232" s="53" t="e">
        <f t="shared" si="11"/>
        <v>#N/A</v>
      </c>
      <c r="O232" s="53" t="str" cm="1">
        <f t="array" ref="O232">IFERROR(_xlfn.FILTERXML("&lt;t&gt;&lt;s&gt;" &amp; SUBSTITUTE(M232," / ","&lt;/s&gt;&lt;s&gt;") &amp; "&lt;/s&gt;&lt;/t&gt;","(//s[contains(.,'DDR')])[1]"),"")</f>
        <v/>
      </c>
      <c r="P232" s="32" t="e">
        <f t="shared" si="13"/>
        <v>#N/A</v>
      </c>
      <c r="Q232" s="32"/>
      <c r="R232" s="32"/>
      <c r="S232" s="53" t="e">
        <f>_xlfn.LET(_xlpm.Result,INDEX(Input!$D$2:$AC$500,
       MATCH(B232, Input!$J$2:$J$500, 0),
       MATCH("Capacity", Input!$D$1:$AC$1, 0)),IF(_xlpm.Result="","",_xlpm.Result))</f>
        <v>#N/A</v>
      </c>
      <c r="T232" s="53" t="e" cm="1">
        <f t="array" ref="T232">_xlfn.TEXTSPLIT(S232," / ", ,TRUE,0,)</f>
        <v>#N/A</v>
      </c>
      <c r="U232" s="53"/>
      <c r="V232" s="53" t="str" cm="1">
        <f t="array" ref="V232">IFERROR(_xlfn.IFS(
T232="","",
--T232&lt;55,"Battery Defect",
--T232&lt;=69,"Battery D",
--T232&lt;=80,"Battery C",
--T232&gt;80,""
),"")</f>
        <v/>
      </c>
      <c r="W232" s="53" t="str" cm="1">
        <f t="array" ref="W232">IFERROR(_xlfn.IFS(
U232="","",
--U232&lt;55,"Battery Defect",
--U232&lt;=69,"Battery D",
--U232&lt;=80,"Battery C",
--U232&gt;80,""
),"")</f>
        <v/>
      </c>
      <c r="X232" s="53" t="str" cm="1">
        <f t="array" ref="X232:AE232">IFERROR(IF(_xlfn.XLOOKUP(B232,Input!J:J,Input!N:U)=0,"",
          _xlfn.XLOOKUP(B232,Input!J:J,Input!N:U)),"")</f>
        <v/>
      </c>
      <c r="Y232" s="53" t="str">
        <v/>
      </c>
      <c r="Z232" s="53" t="str">
        <v/>
      </c>
      <c r="AA232" s="53" t="str">
        <v/>
      </c>
      <c r="AB232" s="53" t="str">
        <v/>
      </c>
      <c r="AC232" s="53" t="str">
        <v/>
      </c>
      <c r="AD232" s="53" t="str">
        <v/>
      </c>
      <c r="AE232" s="53" t="str">
        <v/>
      </c>
      <c r="AF232" s="32" t="str">
        <f t="shared" si="12"/>
        <v/>
      </c>
      <c r="AG232" s="32" t="str">
        <f>_xlfn.XLOOKUP(B:B,Disk_Pivot!G:G,Disk_Pivot!I:I)</f>
        <v>Yes x2</v>
      </c>
      <c r="AH232" s="32" t="str">
        <f>_xlfn.XLOOKUP(B232,Disk_Pivot!G:G,Disk_Pivot!N:N)</f>
        <v>Pass, Fail</v>
      </c>
      <c r="AI232" s="32"/>
      <c r="AJ232" s="32"/>
      <c r="AK232" s="32"/>
      <c r="AL232" s="32"/>
      <c r="AM232" s="32"/>
      <c r="AN232" s="32"/>
    </row>
    <row r="233" spans="1:40">
      <c r="A233" s="32" t="str">
        <f>_xlfn.TEXTJOIN("",TRUE,_xlfn.XLOOKUP(B233,Input!J:J,Input!G:G,"",0,1),_xlfn.XLOOKUP(B233,Input!J:J,Input!H:H,"",0,1))</f>
        <v/>
      </c>
      <c r="B233" s="32"/>
      <c r="C233" s="53">
        <f>_xlfn.XLOOKUP(B233,Input!J:J,Input!F:F)</f>
        <v>0</v>
      </c>
      <c r="D233" s="32">
        <f>_xlfn.XLOOKUP(C233,Models!H:H,Models!G:G,C233)</f>
        <v>0</v>
      </c>
      <c r="E233" s="32"/>
      <c r="F233" s="32" t="str">
        <f>_xlfn.XLOOKUP(H233,Models!B:B,Models!F:F,"")</f>
        <v/>
      </c>
      <c r="G233" s="32">
        <f>_xlfn.XLOOKUP(B233,Input!J:J,Input!E:E)</f>
        <v>0</v>
      </c>
      <c r="H233" s="32">
        <f>IF(G233="LENOVO",_xlfn.XLOOKUP(B233,Input!J:J,Input!K:K),_xlfn.XLOOKUP(B233,Input!J:J,Input!L:L))</f>
        <v>0</v>
      </c>
      <c r="I233" s="32"/>
      <c r="J233" s="32"/>
      <c r="K233" s="32">
        <f>_xlfn.XLOOKUP(B233,CPU_Formula!A:A,CPU_Formula!I:I)</f>
        <v>0</v>
      </c>
      <c r="L233" s="53" t="e">
        <f>INDEX(Input!$D$2:$AC$500,
       MATCH(B233, Input!$J$2:$J$500, 0),
       MATCH("Memory Capacity", Input!$D$1:$AC$1, 0))</f>
        <v>#N/A</v>
      </c>
      <c r="M233" s="53" t="e">
        <f>INDEX(Input!$D$2:$AC$500,
       MATCH(B233, Input!$J$2:$J$500, 0),
       MATCH("Memory Type", Input!$D$1:$AC$1, 0))</f>
        <v>#N/A</v>
      </c>
      <c r="N233" s="53" t="e">
        <f t="shared" si="11"/>
        <v>#N/A</v>
      </c>
      <c r="O233" s="53" t="str" cm="1">
        <f t="array" ref="O233">IFERROR(_xlfn.FILTERXML("&lt;t&gt;&lt;s&gt;" &amp; SUBSTITUTE(M233," / ","&lt;/s&gt;&lt;s&gt;") &amp; "&lt;/s&gt;&lt;/t&gt;","(//s[contains(.,'DDR')])[1]"),"")</f>
        <v/>
      </c>
      <c r="P233" s="32" t="e">
        <f t="shared" si="13"/>
        <v>#N/A</v>
      </c>
      <c r="Q233" s="32"/>
      <c r="R233" s="32"/>
      <c r="S233" s="53" t="e">
        <f>_xlfn.LET(_xlpm.Result,INDEX(Input!$D$2:$AC$500,
       MATCH(B233, Input!$J$2:$J$500, 0),
       MATCH("Capacity", Input!$D$1:$AC$1, 0)),IF(_xlpm.Result="","",_xlpm.Result))</f>
        <v>#N/A</v>
      </c>
      <c r="T233" s="53" t="e" cm="1">
        <f t="array" ref="T233">_xlfn.TEXTSPLIT(S233," / ", ,TRUE,0,)</f>
        <v>#N/A</v>
      </c>
      <c r="U233" s="53"/>
      <c r="V233" s="53" t="str" cm="1">
        <f t="array" ref="V233">IFERROR(_xlfn.IFS(
T233="","",
--T233&lt;55,"Battery Defect",
--T233&lt;=69,"Battery D",
--T233&lt;=80,"Battery C",
--T233&gt;80,""
),"")</f>
        <v/>
      </c>
      <c r="W233" s="53" t="str" cm="1">
        <f t="array" ref="W233">IFERROR(_xlfn.IFS(
U233="","",
--U233&lt;55,"Battery Defect",
--U233&lt;=69,"Battery D",
--U233&lt;=80,"Battery C",
--U233&gt;80,""
),"")</f>
        <v/>
      </c>
      <c r="X233" s="53" t="str" cm="1">
        <f t="array" ref="X233:AE233">IFERROR(IF(_xlfn.XLOOKUP(B233,Input!J:J,Input!N:U)=0,"",
          _xlfn.XLOOKUP(B233,Input!J:J,Input!N:U)),"")</f>
        <v/>
      </c>
      <c r="Y233" s="53" t="str">
        <v/>
      </c>
      <c r="Z233" s="53" t="str">
        <v/>
      </c>
      <c r="AA233" s="53" t="str">
        <v/>
      </c>
      <c r="AB233" s="53" t="str">
        <v/>
      </c>
      <c r="AC233" s="53" t="str">
        <v/>
      </c>
      <c r="AD233" s="53" t="str">
        <v/>
      </c>
      <c r="AE233" s="53" t="str">
        <v/>
      </c>
      <c r="AF233" s="32" t="str">
        <f t="shared" si="12"/>
        <v/>
      </c>
      <c r="AG233" s="32" t="str">
        <f>_xlfn.XLOOKUP(B:B,Disk_Pivot!G:G,Disk_Pivot!I:I)</f>
        <v>Yes x2</v>
      </c>
      <c r="AH233" s="32" t="str">
        <f>_xlfn.XLOOKUP(B233,Disk_Pivot!G:G,Disk_Pivot!N:N)</f>
        <v>Pass, Fail</v>
      </c>
      <c r="AI233" s="32"/>
      <c r="AJ233" s="32"/>
      <c r="AK233" s="32"/>
      <c r="AL233" s="32"/>
      <c r="AM233" s="32"/>
      <c r="AN233" s="32"/>
    </row>
    <row r="234" spans="1:40">
      <c r="A234" s="32" t="str">
        <f>_xlfn.TEXTJOIN("",TRUE,_xlfn.XLOOKUP(B234,Input!J:J,Input!G:G,"",0,1),_xlfn.XLOOKUP(B234,Input!J:J,Input!H:H,"",0,1))</f>
        <v/>
      </c>
      <c r="B234" s="32"/>
      <c r="C234" s="53">
        <f>_xlfn.XLOOKUP(B234,Input!J:J,Input!F:F)</f>
        <v>0</v>
      </c>
      <c r="D234" s="32">
        <f>_xlfn.XLOOKUP(C234,Models!H:H,Models!G:G,C234)</f>
        <v>0</v>
      </c>
      <c r="E234" s="32"/>
      <c r="F234" s="32" t="str">
        <f>_xlfn.XLOOKUP(H234,Models!B:B,Models!F:F,"")</f>
        <v/>
      </c>
      <c r="G234" s="32">
        <f>_xlfn.XLOOKUP(B234,Input!J:J,Input!E:E)</f>
        <v>0</v>
      </c>
      <c r="H234" s="32">
        <f>IF(G234="LENOVO",_xlfn.XLOOKUP(B234,Input!J:J,Input!K:K),_xlfn.XLOOKUP(B234,Input!J:J,Input!L:L))</f>
        <v>0</v>
      </c>
      <c r="I234" s="32"/>
      <c r="J234" s="32"/>
      <c r="K234" s="32">
        <f>_xlfn.XLOOKUP(B234,CPU_Formula!A:A,CPU_Formula!I:I)</f>
        <v>0</v>
      </c>
      <c r="L234" s="53" t="e">
        <f>INDEX(Input!$D$2:$AC$500,
       MATCH(B234, Input!$J$2:$J$500, 0),
       MATCH("Memory Capacity", Input!$D$1:$AC$1, 0))</f>
        <v>#N/A</v>
      </c>
      <c r="M234" s="53" t="e">
        <f>INDEX(Input!$D$2:$AC$500,
       MATCH(B234, Input!$J$2:$J$500, 0),
       MATCH("Memory Type", Input!$D$1:$AC$1, 0))</f>
        <v>#N/A</v>
      </c>
      <c r="N234" s="53" t="e">
        <f t="shared" si="11"/>
        <v>#N/A</v>
      </c>
      <c r="O234" s="53" t="str" cm="1">
        <f t="array" ref="O234">IFERROR(_xlfn.FILTERXML("&lt;t&gt;&lt;s&gt;" &amp; SUBSTITUTE(M234," / ","&lt;/s&gt;&lt;s&gt;") &amp; "&lt;/s&gt;&lt;/t&gt;","(//s[contains(.,'DDR')])[1]"),"")</f>
        <v/>
      </c>
      <c r="P234" s="32" t="e">
        <f t="shared" si="13"/>
        <v>#N/A</v>
      </c>
      <c r="Q234" s="32"/>
      <c r="R234" s="32"/>
      <c r="S234" s="53" t="e">
        <f>_xlfn.LET(_xlpm.Result,INDEX(Input!$D$2:$AC$500,
       MATCH(B234, Input!$J$2:$J$500, 0),
       MATCH("Capacity", Input!$D$1:$AC$1, 0)),IF(_xlpm.Result="","",_xlpm.Result))</f>
        <v>#N/A</v>
      </c>
      <c r="T234" s="53" t="e" cm="1">
        <f t="array" ref="T234">_xlfn.TEXTSPLIT(S234," / ", ,TRUE,0,)</f>
        <v>#N/A</v>
      </c>
      <c r="U234" s="53"/>
      <c r="V234" s="53" t="str" cm="1">
        <f t="array" ref="V234">IFERROR(_xlfn.IFS(
T234="","",
--T234&lt;55,"Battery Defect",
--T234&lt;=69,"Battery D",
--T234&lt;=80,"Battery C",
--T234&gt;80,""
),"")</f>
        <v/>
      </c>
      <c r="W234" s="53" t="str" cm="1">
        <f t="array" ref="W234">IFERROR(_xlfn.IFS(
U234="","",
--U234&lt;55,"Battery Defect",
--U234&lt;=69,"Battery D",
--U234&lt;=80,"Battery C",
--U234&gt;80,""
),"")</f>
        <v/>
      </c>
      <c r="X234" s="53" t="str" cm="1">
        <f t="array" ref="X234:AE234">IFERROR(IF(_xlfn.XLOOKUP(B234,Input!J:J,Input!N:U)=0,"",
          _xlfn.XLOOKUP(B234,Input!J:J,Input!N:U)),"")</f>
        <v/>
      </c>
      <c r="Y234" s="53" t="str">
        <v/>
      </c>
      <c r="Z234" s="53" t="str">
        <v/>
      </c>
      <c r="AA234" s="53" t="str">
        <v/>
      </c>
      <c r="AB234" s="53" t="str">
        <v/>
      </c>
      <c r="AC234" s="53" t="str">
        <v/>
      </c>
      <c r="AD234" s="53" t="str">
        <v/>
      </c>
      <c r="AE234" s="53" t="str">
        <v/>
      </c>
      <c r="AF234" s="32" t="str">
        <f t="shared" si="12"/>
        <v/>
      </c>
      <c r="AG234" s="32" t="str">
        <f>_xlfn.XLOOKUP(B:B,Disk_Pivot!G:G,Disk_Pivot!I:I)</f>
        <v>Yes x2</v>
      </c>
      <c r="AH234" s="32" t="str">
        <f>_xlfn.XLOOKUP(B234,Disk_Pivot!G:G,Disk_Pivot!N:N)</f>
        <v>Pass, Fail</v>
      </c>
      <c r="AI234" s="32"/>
      <c r="AJ234" s="32"/>
      <c r="AK234" s="32"/>
      <c r="AL234" s="32"/>
      <c r="AM234" s="32"/>
      <c r="AN234" s="32"/>
    </row>
    <row r="235" spans="1:40">
      <c r="A235" s="32" t="str">
        <f>_xlfn.TEXTJOIN("",TRUE,_xlfn.XLOOKUP(B235,Input!J:J,Input!G:G,"",0,1),_xlfn.XLOOKUP(B235,Input!J:J,Input!H:H,"",0,1))</f>
        <v/>
      </c>
      <c r="B235" s="32"/>
      <c r="C235" s="53">
        <f>_xlfn.XLOOKUP(B235,Input!J:J,Input!F:F)</f>
        <v>0</v>
      </c>
      <c r="D235" s="32">
        <f>_xlfn.XLOOKUP(C235,Models!H:H,Models!G:G,C235)</f>
        <v>0</v>
      </c>
      <c r="E235" s="32"/>
      <c r="F235" s="32" t="str">
        <f>_xlfn.XLOOKUP(H235,Models!B:B,Models!F:F,"")</f>
        <v/>
      </c>
      <c r="G235" s="32">
        <f>_xlfn.XLOOKUP(B235,Input!J:J,Input!E:E)</f>
        <v>0</v>
      </c>
      <c r="H235" s="32">
        <f>IF(G235="LENOVO",_xlfn.XLOOKUP(B235,Input!J:J,Input!K:K),_xlfn.XLOOKUP(B235,Input!J:J,Input!L:L))</f>
        <v>0</v>
      </c>
      <c r="I235" s="32"/>
      <c r="J235" s="32"/>
      <c r="K235" s="32">
        <f>_xlfn.XLOOKUP(B235,CPU_Formula!A:A,CPU_Formula!I:I)</f>
        <v>0</v>
      </c>
      <c r="L235" s="53" t="e">
        <f>INDEX(Input!$D$2:$AC$500,
       MATCH(B235, Input!$J$2:$J$500, 0),
       MATCH("Memory Capacity", Input!$D$1:$AC$1, 0))</f>
        <v>#N/A</v>
      </c>
      <c r="M235" s="53" t="e">
        <f>INDEX(Input!$D$2:$AC$500,
       MATCH(B235, Input!$J$2:$J$500, 0),
       MATCH("Memory Type", Input!$D$1:$AC$1, 0))</f>
        <v>#N/A</v>
      </c>
      <c r="N235" s="53" t="e">
        <f t="shared" si="11"/>
        <v>#N/A</v>
      </c>
      <c r="O235" s="53" t="str" cm="1">
        <f t="array" ref="O235">IFERROR(_xlfn.FILTERXML("&lt;t&gt;&lt;s&gt;" &amp; SUBSTITUTE(M235," / ","&lt;/s&gt;&lt;s&gt;") &amp; "&lt;/s&gt;&lt;/t&gt;","(//s[contains(.,'DDR')])[1]"),"")</f>
        <v/>
      </c>
      <c r="P235" s="32" t="e">
        <f t="shared" si="13"/>
        <v>#N/A</v>
      </c>
      <c r="Q235" s="32"/>
      <c r="R235" s="32"/>
      <c r="S235" s="53" t="e">
        <f>_xlfn.LET(_xlpm.Result,INDEX(Input!$D$2:$AC$500,
       MATCH(B235, Input!$J$2:$J$500, 0),
       MATCH("Capacity", Input!$D$1:$AC$1, 0)),IF(_xlpm.Result="","",_xlpm.Result))</f>
        <v>#N/A</v>
      </c>
      <c r="T235" s="53" t="e" cm="1">
        <f t="array" ref="T235">_xlfn.TEXTSPLIT(S235," / ", ,TRUE,0,)</f>
        <v>#N/A</v>
      </c>
      <c r="U235" s="53"/>
      <c r="V235" s="53" t="str" cm="1">
        <f t="array" ref="V235">IFERROR(_xlfn.IFS(
T235="","",
--T235&lt;55,"Battery Defect",
--T235&lt;=69,"Battery D",
--T235&lt;=80,"Battery C",
--T235&gt;80,""
),"")</f>
        <v/>
      </c>
      <c r="W235" s="53" t="str" cm="1">
        <f t="array" ref="W235">IFERROR(_xlfn.IFS(
U235="","",
--U235&lt;55,"Battery Defect",
--U235&lt;=69,"Battery D",
--U235&lt;=80,"Battery C",
--U235&gt;80,""
),"")</f>
        <v/>
      </c>
      <c r="X235" s="53" t="str" cm="1">
        <f t="array" ref="X235:AE235">IFERROR(IF(_xlfn.XLOOKUP(B235,Input!J:J,Input!N:U)=0,"",
          _xlfn.XLOOKUP(B235,Input!J:J,Input!N:U)),"")</f>
        <v/>
      </c>
      <c r="Y235" s="53" t="str">
        <v/>
      </c>
      <c r="Z235" s="53" t="str">
        <v/>
      </c>
      <c r="AA235" s="53" t="str">
        <v/>
      </c>
      <c r="AB235" s="53" t="str">
        <v/>
      </c>
      <c r="AC235" s="53" t="str">
        <v/>
      </c>
      <c r="AD235" s="53" t="str">
        <v/>
      </c>
      <c r="AE235" s="53" t="str">
        <v/>
      </c>
      <c r="AF235" s="32" t="str">
        <f t="shared" si="12"/>
        <v/>
      </c>
      <c r="AG235" s="32" t="str">
        <f>_xlfn.XLOOKUP(B:B,Disk_Pivot!G:G,Disk_Pivot!I:I)</f>
        <v>Yes x2</v>
      </c>
      <c r="AH235" s="32" t="str">
        <f>_xlfn.XLOOKUP(B235,Disk_Pivot!G:G,Disk_Pivot!N:N)</f>
        <v>Pass, Fail</v>
      </c>
      <c r="AI235" s="32"/>
      <c r="AJ235" s="32"/>
      <c r="AK235" s="32"/>
      <c r="AL235" s="32"/>
      <c r="AM235" s="32"/>
      <c r="AN235" s="32"/>
    </row>
    <row r="236" spans="1:40">
      <c r="A236" s="32" t="str">
        <f>_xlfn.TEXTJOIN("",TRUE,_xlfn.XLOOKUP(B236,Input!J:J,Input!G:G,"",0,1),_xlfn.XLOOKUP(B236,Input!J:J,Input!H:H,"",0,1))</f>
        <v/>
      </c>
      <c r="B236" s="32"/>
      <c r="C236" s="53">
        <f>_xlfn.XLOOKUP(B236,Input!J:J,Input!F:F)</f>
        <v>0</v>
      </c>
      <c r="D236" s="32">
        <f>_xlfn.XLOOKUP(C236,Models!H:H,Models!G:G,C236)</f>
        <v>0</v>
      </c>
      <c r="E236" s="32"/>
      <c r="F236" s="32" t="str">
        <f>_xlfn.XLOOKUP(H236,Models!B:B,Models!F:F,"")</f>
        <v/>
      </c>
      <c r="G236" s="32">
        <f>_xlfn.XLOOKUP(B236,Input!J:J,Input!E:E)</f>
        <v>0</v>
      </c>
      <c r="H236" s="32">
        <f>IF(G236="LENOVO",_xlfn.XLOOKUP(B236,Input!J:J,Input!K:K),_xlfn.XLOOKUP(B236,Input!J:J,Input!L:L))</f>
        <v>0</v>
      </c>
      <c r="I236" s="32"/>
      <c r="J236" s="32"/>
      <c r="K236" s="32">
        <f>_xlfn.XLOOKUP(B236,CPU_Formula!A:A,CPU_Formula!I:I)</f>
        <v>0</v>
      </c>
      <c r="L236" s="53" t="e">
        <f>INDEX(Input!$D$2:$AC$500,
       MATCH(B236, Input!$J$2:$J$500, 0),
       MATCH("Memory Capacity", Input!$D$1:$AC$1, 0))</f>
        <v>#N/A</v>
      </c>
      <c r="M236" s="53" t="e">
        <f>INDEX(Input!$D$2:$AC$500,
       MATCH(B236, Input!$J$2:$J$500, 0),
       MATCH("Memory Type", Input!$D$1:$AC$1, 0))</f>
        <v>#N/A</v>
      </c>
      <c r="N236" s="53" t="e">
        <f t="shared" si="11"/>
        <v>#N/A</v>
      </c>
      <c r="O236" s="53" t="str" cm="1">
        <f t="array" ref="O236">IFERROR(_xlfn.FILTERXML("&lt;t&gt;&lt;s&gt;" &amp; SUBSTITUTE(M236," / ","&lt;/s&gt;&lt;s&gt;") &amp; "&lt;/s&gt;&lt;/t&gt;","(//s[contains(.,'DDR')])[1]"),"")</f>
        <v/>
      </c>
      <c r="P236" s="32" t="e">
        <f t="shared" si="13"/>
        <v>#N/A</v>
      </c>
      <c r="Q236" s="32"/>
      <c r="R236" s="32"/>
      <c r="S236" s="53" t="e">
        <f>_xlfn.LET(_xlpm.Result,INDEX(Input!$D$2:$AC$500,
       MATCH(B236, Input!$J$2:$J$500, 0),
       MATCH("Capacity", Input!$D$1:$AC$1, 0)),IF(_xlpm.Result="","",_xlpm.Result))</f>
        <v>#N/A</v>
      </c>
      <c r="T236" s="53" t="e" cm="1">
        <f t="array" ref="T236">_xlfn.TEXTSPLIT(S236," / ", ,TRUE,0,)</f>
        <v>#N/A</v>
      </c>
      <c r="U236" s="53"/>
      <c r="V236" s="53" t="str" cm="1">
        <f t="array" ref="V236">IFERROR(_xlfn.IFS(
T236="","",
--T236&lt;55,"Battery Defect",
--T236&lt;=69,"Battery D",
--T236&lt;=80,"Battery C",
--T236&gt;80,""
),"")</f>
        <v/>
      </c>
      <c r="W236" s="53" t="str" cm="1">
        <f t="array" ref="W236">IFERROR(_xlfn.IFS(
U236="","",
--U236&lt;55,"Battery Defect",
--U236&lt;=69,"Battery D",
--U236&lt;=80,"Battery C",
--U236&gt;80,""
),"")</f>
        <v/>
      </c>
      <c r="X236" s="53" t="str" cm="1">
        <f t="array" ref="X236:AE236">IFERROR(IF(_xlfn.XLOOKUP(B236,Input!J:J,Input!N:U)=0,"",
          _xlfn.XLOOKUP(B236,Input!J:J,Input!N:U)),"")</f>
        <v/>
      </c>
      <c r="Y236" s="53" t="str">
        <v/>
      </c>
      <c r="Z236" s="53" t="str">
        <v/>
      </c>
      <c r="AA236" s="53" t="str">
        <v/>
      </c>
      <c r="AB236" s="53" t="str">
        <v/>
      </c>
      <c r="AC236" s="53" t="str">
        <v/>
      </c>
      <c r="AD236" s="53" t="str">
        <v/>
      </c>
      <c r="AE236" s="53" t="str">
        <v/>
      </c>
      <c r="AF236" s="32" t="str">
        <f t="shared" si="12"/>
        <v/>
      </c>
      <c r="AG236" s="32" t="str">
        <f>_xlfn.XLOOKUP(B:B,Disk_Pivot!G:G,Disk_Pivot!I:I)</f>
        <v>Yes x2</v>
      </c>
      <c r="AH236" s="32" t="str">
        <f>_xlfn.XLOOKUP(B236,Disk_Pivot!G:G,Disk_Pivot!N:N)</f>
        <v>Pass, Fail</v>
      </c>
      <c r="AI236" s="32"/>
      <c r="AJ236" s="32"/>
      <c r="AK236" s="32"/>
      <c r="AL236" s="32"/>
      <c r="AM236" s="32"/>
      <c r="AN236" s="32"/>
    </row>
    <row r="237" spans="1:40">
      <c r="A237" s="32" t="str">
        <f>_xlfn.TEXTJOIN("",TRUE,_xlfn.XLOOKUP(B237,Input!J:J,Input!G:G,"",0,1),_xlfn.XLOOKUP(B237,Input!J:J,Input!H:H,"",0,1))</f>
        <v/>
      </c>
      <c r="B237" s="32"/>
      <c r="C237" s="53">
        <f>_xlfn.XLOOKUP(B237,Input!J:J,Input!F:F)</f>
        <v>0</v>
      </c>
      <c r="D237" s="32">
        <f>_xlfn.XLOOKUP(C237,Models!H:H,Models!G:G,C237)</f>
        <v>0</v>
      </c>
      <c r="E237" s="32"/>
      <c r="F237" s="32" t="str">
        <f>_xlfn.XLOOKUP(H237,Models!B:B,Models!F:F,"")</f>
        <v/>
      </c>
      <c r="G237" s="32">
        <f>_xlfn.XLOOKUP(B237,Input!J:J,Input!E:E)</f>
        <v>0</v>
      </c>
      <c r="H237" s="32">
        <f>IF(G237="LENOVO",_xlfn.XLOOKUP(B237,Input!J:J,Input!K:K),_xlfn.XLOOKUP(B237,Input!J:J,Input!L:L))</f>
        <v>0</v>
      </c>
      <c r="I237" s="32"/>
      <c r="J237" s="32"/>
      <c r="K237" s="32">
        <f>_xlfn.XLOOKUP(B237,CPU_Formula!A:A,CPU_Formula!I:I)</f>
        <v>0</v>
      </c>
      <c r="L237" s="53" t="e">
        <f>INDEX(Input!$D$2:$AC$500,
       MATCH(B237, Input!$J$2:$J$500, 0),
       MATCH("Memory Capacity", Input!$D$1:$AC$1, 0))</f>
        <v>#N/A</v>
      </c>
      <c r="M237" s="53" t="e">
        <f>INDEX(Input!$D$2:$AC$500,
       MATCH(B237, Input!$J$2:$J$500, 0),
       MATCH("Memory Type", Input!$D$1:$AC$1, 0))</f>
        <v>#N/A</v>
      </c>
      <c r="N237" s="53" t="e">
        <f t="shared" si="11"/>
        <v>#N/A</v>
      </c>
      <c r="O237" s="53" t="str" cm="1">
        <f t="array" ref="O237">IFERROR(_xlfn.FILTERXML("&lt;t&gt;&lt;s&gt;" &amp; SUBSTITUTE(M237," / ","&lt;/s&gt;&lt;s&gt;") &amp; "&lt;/s&gt;&lt;/t&gt;","(//s[contains(.,'DDR')])[1]"),"")</f>
        <v/>
      </c>
      <c r="P237" s="32" t="e">
        <f t="shared" si="13"/>
        <v>#N/A</v>
      </c>
      <c r="Q237" s="32"/>
      <c r="R237" s="32"/>
      <c r="S237" s="53" t="e">
        <f>_xlfn.LET(_xlpm.Result,INDEX(Input!$D$2:$AC$500,
       MATCH(B237, Input!$J$2:$J$500, 0),
       MATCH("Capacity", Input!$D$1:$AC$1, 0)),IF(_xlpm.Result="","",_xlpm.Result))</f>
        <v>#N/A</v>
      </c>
      <c r="T237" s="53" t="e" cm="1">
        <f t="array" ref="T237">_xlfn.TEXTSPLIT(S237," / ", ,TRUE,0,)</f>
        <v>#N/A</v>
      </c>
      <c r="U237" s="53"/>
      <c r="V237" s="53" t="str" cm="1">
        <f t="array" ref="V237">IFERROR(_xlfn.IFS(
T237="","",
--T237&lt;55,"Battery Defect",
--T237&lt;=69,"Battery D",
--T237&lt;=80,"Battery C",
--T237&gt;80,""
),"")</f>
        <v/>
      </c>
      <c r="W237" s="53" t="str" cm="1">
        <f t="array" ref="W237">IFERROR(_xlfn.IFS(
U237="","",
--U237&lt;55,"Battery Defect",
--U237&lt;=69,"Battery D",
--U237&lt;=80,"Battery C",
--U237&gt;80,""
),"")</f>
        <v/>
      </c>
      <c r="X237" s="53" t="str" cm="1">
        <f t="array" ref="X237:AE237">IFERROR(IF(_xlfn.XLOOKUP(B237,Input!J:J,Input!N:U)=0,"",
          _xlfn.XLOOKUP(B237,Input!J:J,Input!N:U)),"")</f>
        <v/>
      </c>
      <c r="Y237" s="53" t="str">
        <v/>
      </c>
      <c r="Z237" s="53" t="str">
        <v/>
      </c>
      <c r="AA237" s="53" t="str">
        <v/>
      </c>
      <c r="AB237" s="53" t="str">
        <v/>
      </c>
      <c r="AC237" s="53" t="str">
        <v/>
      </c>
      <c r="AD237" s="53" t="str">
        <v/>
      </c>
      <c r="AE237" s="53" t="str">
        <v/>
      </c>
      <c r="AF237" s="32" t="str">
        <f t="shared" si="12"/>
        <v/>
      </c>
      <c r="AG237" s="32" t="str">
        <f>_xlfn.XLOOKUP(B:B,Disk_Pivot!G:G,Disk_Pivot!I:I)</f>
        <v>Yes x2</v>
      </c>
      <c r="AH237" s="32" t="str">
        <f>_xlfn.XLOOKUP(B237,Disk_Pivot!G:G,Disk_Pivot!N:N)</f>
        <v>Pass, Fail</v>
      </c>
      <c r="AI237" s="32"/>
      <c r="AJ237" s="32"/>
      <c r="AK237" s="32"/>
      <c r="AL237" s="32"/>
      <c r="AM237" s="32"/>
      <c r="AN237" s="32"/>
    </row>
    <row r="238" spans="1:40">
      <c r="A238" s="32" t="str">
        <f>_xlfn.TEXTJOIN("",TRUE,_xlfn.XLOOKUP(B238,Input!J:J,Input!G:G,"",0,1),_xlfn.XLOOKUP(B238,Input!J:J,Input!H:H,"",0,1))</f>
        <v/>
      </c>
      <c r="B238" s="32"/>
      <c r="C238" s="53">
        <f>_xlfn.XLOOKUP(B238,Input!J:J,Input!F:F)</f>
        <v>0</v>
      </c>
      <c r="D238" s="32">
        <f>_xlfn.XLOOKUP(C238,Models!H:H,Models!G:G,C238)</f>
        <v>0</v>
      </c>
      <c r="E238" s="32"/>
      <c r="F238" s="32" t="str">
        <f>_xlfn.XLOOKUP(H238,Models!B:B,Models!F:F,"")</f>
        <v/>
      </c>
      <c r="G238" s="32">
        <f>_xlfn.XLOOKUP(B238,Input!J:J,Input!E:E)</f>
        <v>0</v>
      </c>
      <c r="H238" s="32">
        <f>IF(G238="LENOVO",_xlfn.XLOOKUP(B238,Input!J:J,Input!K:K),_xlfn.XLOOKUP(B238,Input!J:J,Input!L:L))</f>
        <v>0</v>
      </c>
      <c r="I238" s="32"/>
      <c r="J238" s="32"/>
      <c r="K238" s="32">
        <f>_xlfn.XLOOKUP(B238,CPU_Formula!A:A,CPU_Formula!I:I)</f>
        <v>0</v>
      </c>
      <c r="L238" s="53" t="e">
        <f>INDEX(Input!$D$2:$AC$500,
       MATCH(B238, Input!$J$2:$J$500, 0),
       MATCH("Memory Capacity", Input!$D$1:$AC$1, 0))</f>
        <v>#N/A</v>
      </c>
      <c r="M238" s="53" t="e">
        <f>INDEX(Input!$D$2:$AC$500,
       MATCH(B238, Input!$J$2:$J$500, 0),
       MATCH("Memory Type", Input!$D$1:$AC$1, 0))</f>
        <v>#N/A</v>
      </c>
      <c r="N238" s="53" t="e">
        <f t="shared" si="11"/>
        <v>#N/A</v>
      </c>
      <c r="O238" s="53" t="str" cm="1">
        <f t="array" ref="O238">IFERROR(_xlfn.FILTERXML("&lt;t&gt;&lt;s&gt;" &amp; SUBSTITUTE(M238," / ","&lt;/s&gt;&lt;s&gt;") &amp; "&lt;/s&gt;&lt;/t&gt;","(//s[contains(.,'DDR')])[1]"),"")</f>
        <v/>
      </c>
      <c r="P238" s="32" t="e">
        <f t="shared" si="13"/>
        <v>#N/A</v>
      </c>
      <c r="Q238" s="32"/>
      <c r="R238" s="32"/>
      <c r="S238" s="53" t="e">
        <f>_xlfn.LET(_xlpm.Result,INDEX(Input!$D$2:$AC$500,
       MATCH(B238, Input!$J$2:$J$500, 0),
       MATCH("Capacity", Input!$D$1:$AC$1, 0)),IF(_xlpm.Result="","",_xlpm.Result))</f>
        <v>#N/A</v>
      </c>
      <c r="T238" s="53" t="e" cm="1">
        <f t="array" ref="T238">_xlfn.TEXTSPLIT(S238," / ", ,TRUE,0,)</f>
        <v>#N/A</v>
      </c>
      <c r="U238" s="53"/>
      <c r="V238" s="53" t="str" cm="1">
        <f t="array" ref="V238">IFERROR(_xlfn.IFS(
T238="","",
--T238&lt;55,"Battery Defect",
--T238&lt;=69,"Battery D",
--T238&lt;=80,"Battery C",
--T238&gt;80,""
),"")</f>
        <v/>
      </c>
      <c r="W238" s="53" t="str" cm="1">
        <f t="array" ref="W238">IFERROR(_xlfn.IFS(
U238="","",
--U238&lt;55,"Battery Defect",
--U238&lt;=69,"Battery D",
--U238&lt;=80,"Battery C",
--U238&gt;80,""
),"")</f>
        <v/>
      </c>
      <c r="X238" s="53" t="str" cm="1">
        <f t="array" ref="X238:AE238">IFERROR(IF(_xlfn.XLOOKUP(B238,Input!J:J,Input!N:U)=0,"",
          _xlfn.XLOOKUP(B238,Input!J:J,Input!N:U)),"")</f>
        <v/>
      </c>
      <c r="Y238" s="53" t="str">
        <v/>
      </c>
      <c r="Z238" s="53" t="str">
        <v/>
      </c>
      <c r="AA238" s="53" t="str">
        <v/>
      </c>
      <c r="AB238" s="53" t="str">
        <v/>
      </c>
      <c r="AC238" s="53" t="str">
        <v/>
      </c>
      <c r="AD238" s="53" t="str">
        <v/>
      </c>
      <c r="AE238" s="53" t="str">
        <v/>
      </c>
      <c r="AF238" s="32" t="str">
        <f t="shared" si="12"/>
        <v/>
      </c>
      <c r="AG238" s="32" t="str">
        <f>_xlfn.XLOOKUP(B:B,Disk_Pivot!G:G,Disk_Pivot!I:I)</f>
        <v>Yes x2</v>
      </c>
      <c r="AH238" s="32" t="str">
        <f>_xlfn.XLOOKUP(B238,Disk_Pivot!G:G,Disk_Pivot!N:N)</f>
        <v>Pass, Fail</v>
      </c>
      <c r="AI238" s="32"/>
      <c r="AJ238" s="32"/>
      <c r="AK238" s="32"/>
      <c r="AL238" s="32"/>
      <c r="AM238" s="32"/>
      <c r="AN238" s="32"/>
    </row>
    <row r="239" spans="1:40">
      <c r="A239" s="32" t="str">
        <f>_xlfn.TEXTJOIN("",TRUE,_xlfn.XLOOKUP(B239,Input!J:J,Input!G:G,"",0,1),_xlfn.XLOOKUP(B239,Input!J:J,Input!H:H,"",0,1))</f>
        <v/>
      </c>
      <c r="B239" s="32"/>
      <c r="C239" s="53">
        <f>_xlfn.XLOOKUP(B239,Input!J:J,Input!F:F)</f>
        <v>0</v>
      </c>
      <c r="D239" s="32">
        <f>_xlfn.XLOOKUP(C239,Models!H:H,Models!G:G,C239)</f>
        <v>0</v>
      </c>
      <c r="E239" s="32"/>
      <c r="F239" s="32" t="str">
        <f>_xlfn.XLOOKUP(H239,Models!B:B,Models!F:F,"")</f>
        <v/>
      </c>
      <c r="G239" s="32">
        <f>_xlfn.XLOOKUP(B239,Input!J:J,Input!E:E)</f>
        <v>0</v>
      </c>
      <c r="H239" s="32">
        <f>IF(G239="LENOVO",_xlfn.XLOOKUP(B239,Input!J:J,Input!K:K),_xlfn.XLOOKUP(B239,Input!J:J,Input!L:L))</f>
        <v>0</v>
      </c>
      <c r="I239" s="32"/>
      <c r="J239" s="32"/>
      <c r="K239" s="32">
        <f>_xlfn.XLOOKUP(B239,CPU_Formula!A:A,CPU_Formula!I:I)</f>
        <v>0</v>
      </c>
      <c r="L239" s="53" t="e">
        <f>INDEX(Input!$D$2:$AC$500,
       MATCH(B239, Input!$J$2:$J$500, 0),
       MATCH("Memory Capacity", Input!$D$1:$AC$1, 0))</f>
        <v>#N/A</v>
      </c>
      <c r="M239" s="53" t="e">
        <f>INDEX(Input!$D$2:$AC$500,
       MATCH(B239, Input!$J$2:$J$500, 0),
       MATCH("Memory Type", Input!$D$1:$AC$1, 0))</f>
        <v>#N/A</v>
      </c>
      <c r="N239" s="53" t="e">
        <f t="shared" si="11"/>
        <v>#N/A</v>
      </c>
      <c r="O239" s="53" t="str" cm="1">
        <f t="array" ref="O239">IFERROR(_xlfn.FILTERXML("&lt;t&gt;&lt;s&gt;" &amp; SUBSTITUTE(M239," / ","&lt;/s&gt;&lt;s&gt;") &amp; "&lt;/s&gt;&lt;/t&gt;","(//s[contains(.,'DDR')])[1]"),"")</f>
        <v/>
      </c>
      <c r="P239" s="32" t="e">
        <f t="shared" si="13"/>
        <v>#N/A</v>
      </c>
      <c r="Q239" s="32"/>
      <c r="R239" s="32"/>
      <c r="S239" s="53" t="e">
        <f>_xlfn.LET(_xlpm.Result,INDEX(Input!$D$2:$AC$500,
       MATCH(B239, Input!$J$2:$J$500, 0),
       MATCH("Capacity", Input!$D$1:$AC$1, 0)),IF(_xlpm.Result="","",_xlpm.Result))</f>
        <v>#N/A</v>
      </c>
      <c r="T239" s="53" t="e" cm="1">
        <f t="array" ref="T239">_xlfn.TEXTSPLIT(S239," / ", ,TRUE,0,)</f>
        <v>#N/A</v>
      </c>
      <c r="U239" s="53"/>
      <c r="V239" s="53" t="str" cm="1">
        <f t="array" ref="V239">IFERROR(_xlfn.IFS(
T239="","",
--T239&lt;55,"Battery Defect",
--T239&lt;=69,"Battery D",
--T239&lt;=80,"Battery C",
--T239&gt;80,""
),"")</f>
        <v/>
      </c>
      <c r="W239" s="53" t="str" cm="1">
        <f t="array" ref="W239">IFERROR(_xlfn.IFS(
U239="","",
--U239&lt;55,"Battery Defect",
--U239&lt;=69,"Battery D",
--U239&lt;=80,"Battery C",
--U239&gt;80,""
),"")</f>
        <v/>
      </c>
      <c r="X239" s="53" t="str" cm="1">
        <f t="array" ref="X239:AE239">IFERROR(IF(_xlfn.XLOOKUP(B239,Input!J:J,Input!N:U)=0,"",
          _xlfn.XLOOKUP(B239,Input!J:J,Input!N:U)),"")</f>
        <v/>
      </c>
      <c r="Y239" s="53" t="str">
        <v/>
      </c>
      <c r="Z239" s="53" t="str">
        <v/>
      </c>
      <c r="AA239" s="53" t="str">
        <v/>
      </c>
      <c r="AB239" s="53" t="str">
        <v/>
      </c>
      <c r="AC239" s="53" t="str">
        <v/>
      </c>
      <c r="AD239" s="53" t="str">
        <v/>
      </c>
      <c r="AE239" s="53" t="str">
        <v/>
      </c>
      <c r="AF239" s="32" t="str">
        <f t="shared" si="12"/>
        <v/>
      </c>
      <c r="AG239" s="32" t="str">
        <f>_xlfn.XLOOKUP(B:B,Disk_Pivot!G:G,Disk_Pivot!I:I)</f>
        <v>Yes x2</v>
      </c>
      <c r="AH239" s="32" t="str">
        <f>_xlfn.XLOOKUP(B239,Disk_Pivot!G:G,Disk_Pivot!N:N)</f>
        <v>Pass, Fail</v>
      </c>
      <c r="AI239" s="32"/>
      <c r="AJ239" s="32"/>
      <c r="AK239" s="32"/>
      <c r="AL239" s="32"/>
      <c r="AM239" s="32"/>
      <c r="AN239" s="32"/>
    </row>
    <row r="240" spans="1:40">
      <c r="A240" s="32" t="str">
        <f>_xlfn.TEXTJOIN("",TRUE,_xlfn.XLOOKUP(B240,Input!J:J,Input!G:G,"",0,1),_xlfn.XLOOKUP(B240,Input!J:J,Input!H:H,"",0,1))</f>
        <v/>
      </c>
      <c r="B240" s="32"/>
      <c r="C240" s="53">
        <f>_xlfn.XLOOKUP(B240,Input!J:J,Input!F:F)</f>
        <v>0</v>
      </c>
      <c r="D240" s="32">
        <f>_xlfn.XLOOKUP(C240,Models!H:H,Models!G:G,C240)</f>
        <v>0</v>
      </c>
      <c r="E240" s="32"/>
      <c r="F240" s="32" t="str">
        <f>_xlfn.XLOOKUP(H240,Models!B:B,Models!F:F,"")</f>
        <v/>
      </c>
      <c r="G240" s="32">
        <f>_xlfn.XLOOKUP(B240,Input!J:J,Input!E:E)</f>
        <v>0</v>
      </c>
      <c r="H240" s="32">
        <f>IF(G240="LENOVO",_xlfn.XLOOKUP(B240,Input!J:J,Input!K:K),_xlfn.XLOOKUP(B240,Input!J:J,Input!L:L))</f>
        <v>0</v>
      </c>
      <c r="I240" s="32"/>
      <c r="J240" s="32"/>
      <c r="K240" s="32">
        <f>_xlfn.XLOOKUP(B240,CPU_Formula!A:A,CPU_Formula!I:I)</f>
        <v>0</v>
      </c>
      <c r="L240" s="53" t="e">
        <f>INDEX(Input!$D$2:$AC$500,
       MATCH(B240, Input!$J$2:$J$500, 0),
       MATCH("Memory Capacity", Input!$D$1:$AC$1, 0))</f>
        <v>#N/A</v>
      </c>
      <c r="M240" s="53" t="e">
        <f>INDEX(Input!$D$2:$AC$500,
       MATCH(B240, Input!$J$2:$J$500, 0),
       MATCH("Memory Type", Input!$D$1:$AC$1, 0))</f>
        <v>#N/A</v>
      </c>
      <c r="N240" s="53" t="e">
        <f t="shared" si="11"/>
        <v>#N/A</v>
      </c>
      <c r="O240" s="53" t="str" cm="1">
        <f t="array" ref="O240">IFERROR(_xlfn.FILTERXML("&lt;t&gt;&lt;s&gt;" &amp; SUBSTITUTE(M240," / ","&lt;/s&gt;&lt;s&gt;") &amp; "&lt;/s&gt;&lt;/t&gt;","(//s[contains(.,'DDR')])[1]"),"")</f>
        <v/>
      </c>
      <c r="P240" s="32" t="e">
        <f t="shared" si="13"/>
        <v>#N/A</v>
      </c>
      <c r="Q240" s="32"/>
      <c r="R240" s="32"/>
      <c r="S240" s="53" t="e">
        <f>_xlfn.LET(_xlpm.Result,INDEX(Input!$D$2:$AC$500,
       MATCH(B240, Input!$J$2:$J$500, 0),
       MATCH("Capacity", Input!$D$1:$AC$1, 0)),IF(_xlpm.Result="","",_xlpm.Result))</f>
        <v>#N/A</v>
      </c>
      <c r="T240" s="53" t="e" cm="1">
        <f t="array" ref="T240">_xlfn.TEXTSPLIT(S240," / ", ,TRUE,0,)</f>
        <v>#N/A</v>
      </c>
      <c r="U240" s="53"/>
      <c r="V240" s="53" t="str" cm="1">
        <f t="array" ref="V240">IFERROR(_xlfn.IFS(
T240="","",
--T240&lt;55,"Battery Defect",
--T240&lt;=69,"Battery D",
--T240&lt;=80,"Battery C",
--T240&gt;80,""
),"")</f>
        <v/>
      </c>
      <c r="W240" s="53" t="str" cm="1">
        <f t="array" ref="W240">IFERROR(_xlfn.IFS(
U240="","",
--U240&lt;55,"Battery Defect",
--U240&lt;=69,"Battery D",
--U240&lt;=80,"Battery C",
--U240&gt;80,""
),"")</f>
        <v/>
      </c>
      <c r="X240" s="53" t="str" cm="1">
        <f t="array" ref="X240:AE240">IFERROR(IF(_xlfn.XLOOKUP(B240,Input!J:J,Input!N:U)=0,"",
          _xlfn.XLOOKUP(B240,Input!J:J,Input!N:U)),"")</f>
        <v/>
      </c>
      <c r="Y240" s="53" t="str">
        <v/>
      </c>
      <c r="Z240" s="53" t="str">
        <v/>
      </c>
      <c r="AA240" s="53" t="str">
        <v/>
      </c>
      <c r="AB240" s="53" t="str">
        <v/>
      </c>
      <c r="AC240" s="53" t="str">
        <v/>
      </c>
      <c r="AD240" s="53" t="str">
        <v/>
      </c>
      <c r="AE240" s="53" t="str">
        <v/>
      </c>
      <c r="AF240" s="32" t="str">
        <f t="shared" si="12"/>
        <v/>
      </c>
      <c r="AG240" s="32" t="str">
        <f>_xlfn.XLOOKUP(B:B,Disk_Pivot!G:G,Disk_Pivot!I:I)</f>
        <v>Yes x2</v>
      </c>
      <c r="AH240" s="32" t="str">
        <f>_xlfn.XLOOKUP(B240,Disk_Pivot!G:G,Disk_Pivot!N:N)</f>
        <v>Pass, Fail</v>
      </c>
      <c r="AI240" s="32"/>
      <c r="AJ240" s="32"/>
      <c r="AK240" s="32"/>
      <c r="AL240" s="32"/>
      <c r="AM240" s="32"/>
      <c r="AN240" s="32"/>
    </row>
    <row r="241" spans="1:40">
      <c r="A241" s="32" t="str">
        <f>_xlfn.TEXTJOIN("",TRUE,_xlfn.XLOOKUP(B241,Input!J:J,Input!G:G,"",0,1),_xlfn.XLOOKUP(B241,Input!J:J,Input!H:H,"",0,1))</f>
        <v/>
      </c>
      <c r="B241" s="32"/>
      <c r="C241" s="53">
        <f>_xlfn.XLOOKUP(B241,Input!J:J,Input!F:F)</f>
        <v>0</v>
      </c>
      <c r="D241" s="32">
        <f>_xlfn.XLOOKUP(C241,Models!H:H,Models!G:G,C241)</f>
        <v>0</v>
      </c>
      <c r="E241" s="32"/>
      <c r="F241" s="32" t="str">
        <f>_xlfn.XLOOKUP(H241,Models!B:B,Models!F:F,"")</f>
        <v/>
      </c>
      <c r="G241" s="32">
        <f>_xlfn.XLOOKUP(B241,Input!J:J,Input!E:E)</f>
        <v>0</v>
      </c>
      <c r="H241" s="32">
        <f>IF(G241="LENOVO",_xlfn.XLOOKUP(B241,Input!J:J,Input!K:K),_xlfn.XLOOKUP(B241,Input!J:J,Input!L:L))</f>
        <v>0</v>
      </c>
      <c r="I241" s="32"/>
      <c r="J241" s="32"/>
      <c r="K241" s="32">
        <f>_xlfn.XLOOKUP(B241,CPU_Formula!A:A,CPU_Formula!I:I)</f>
        <v>0</v>
      </c>
      <c r="L241" s="53" t="e">
        <f>INDEX(Input!$D$2:$AC$500,
       MATCH(B241, Input!$J$2:$J$500, 0),
       MATCH("Memory Capacity", Input!$D$1:$AC$1, 0))</f>
        <v>#N/A</v>
      </c>
      <c r="M241" s="53" t="e">
        <f>INDEX(Input!$D$2:$AC$500,
       MATCH(B241, Input!$J$2:$J$500, 0),
       MATCH("Memory Type", Input!$D$1:$AC$1, 0))</f>
        <v>#N/A</v>
      </c>
      <c r="N241" s="53" t="e">
        <f t="shared" si="11"/>
        <v>#N/A</v>
      </c>
      <c r="O241" s="53" t="str" cm="1">
        <f t="array" ref="O241">IFERROR(_xlfn.FILTERXML("&lt;t&gt;&lt;s&gt;" &amp; SUBSTITUTE(M241," / ","&lt;/s&gt;&lt;s&gt;") &amp; "&lt;/s&gt;&lt;/t&gt;","(//s[contains(.,'DDR')])[1]"),"")</f>
        <v/>
      </c>
      <c r="P241" s="32" t="e">
        <f t="shared" si="13"/>
        <v>#N/A</v>
      </c>
      <c r="Q241" s="32"/>
      <c r="R241" s="32"/>
      <c r="S241" s="53" t="e">
        <f>_xlfn.LET(_xlpm.Result,INDEX(Input!$D$2:$AC$500,
       MATCH(B241, Input!$J$2:$J$500, 0),
       MATCH("Capacity", Input!$D$1:$AC$1, 0)),IF(_xlpm.Result="","",_xlpm.Result))</f>
        <v>#N/A</v>
      </c>
      <c r="T241" s="53" t="e" cm="1">
        <f t="array" ref="T241">_xlfn.TEXTSPLIT(S241," / ", ,TRUE,0,)</f>
        <v>#N/A</v>
      </c>
      <c r="U241" s="53"/>
      <c r="V241" s="53" t="str" cm="1">
        <f t="array" ref="V241">IFERROR(_xlfn.IFS(
T241="","",
--T241&lt;55,"Battery Defect",
--T241&lt;=69,"Battery D",
--T241&lt;=80,"Battery C",
--T241&gt;80,""
),"")</f>
        <v/>
      </c>
      <c r="W241" s="53" t="str" cm="1">
        <f t="array" ref="W241">IFERROR(_xlfn.IFS(
U241="","",
--U241&lt;55,"Battery Defect",
--U241&lt;=69,"Battery D",
--U241&lt;=80,"Battery C",
--U241&gt;80,""
),"")</f>
        <v/>
      </c>
      <c r="X241" s="53" t="str" cm="1">
        <f t="array" ref="X241:AE241">IFERROR(IF(_xlfn.XLOOKUP(B241,Input!J:J,Input!N:U)=0,"",
          _xlfn.XLOOKUP(B241,Input!J:J,Input!N:U)),"")</f>
        <v/>
      </c>
      <c r="Y241" s="53" t="str">
        <v/>
      </c>
      <c r="Z241" s="53" t="str">
        <v/>
      </c>
      <c r="AA241" s="53" t="str">
        <v/>
      </c>
      <c r="AB241" s="53" t="str">
        <v/>
      </c>
      <c r="AC241" s="53" t="str">
        <v/>
      </c>
      <c r="AD241" s="53" t="str">
        <v/>
      </c>
      <c r="AE241" s="53" t="str">
        <v/>
      </c>
      <c r="AF241" s="32" t="str">
        <f t="shared" si="12"/>
        <v/>
      </c>
      <c r="AG241" s="32" t="str">
        <f>_xlfn.XLOOKUP(B:B,Disk_Pivot!G:G,Disk_Pivot!I:I)</f>
        <v>Yes x2</v>
      </c>
      <c r="AH241" s="32" t="str">
        <f>_xlfn.XLOOKUP(B241,Disk_Pivot!G:G,Disk_Pivot!N:N)</f>
        <v>Pass, Fail</v>
      </c>
      <c r="AI241" s="32"/>
      <c r="AJ241" s="32"/>
      <c r="AK241" s="32"/>
      <c r="AL241" s="32"/>
      <c r="AM241" s="32"/>
      <c r="AN241" s="32"/>
    </row>
    <row r="242" spans="1:40">
      <c r="A242" s="32" t="str">
        <f>_xlfn.TEXTJOIN("",TRUE,_xlfn.XLOOKUP(B242,Input!J:J,Input!G:G,"",0,1),_xlfn.XLOOKUP(B242,Input!J:J,Input!H:H,"",0,1))</f>
        <v/>
      </c>
      <c r="B242" s="32"/>
      <c r="C242" s="53">
        <f>_xlfn.XLOOKUP(B242,Input!J:J,Input!F:F)</f>
        <v>0</v>
      </c>
      <c r="D242" s="32">
        <f>_xlfn.XLOOKUP(C242,Models!H:H,Models!G:G,C242)</f>
        <v>0</v>
      </c>
      <c r="E242" s="32"/>
      <c r="F242" s="32" t="str">
        <f>_xlfn.XLOOKUP(H242,Models!B:B,Models!F:F,"")</f>
        <v/>
      </c>
      <c r="G242" s="32">
        <f>_xlfn.XLOOKUP(B242,Input!J:J,Input!E:E)</f>
        <v>0</v>
      </c>
      <c r="H242" s="32">
        <f>IF(G242="LENOVO",_xlfn.XLOOKUP(B242,Input!J:J,Input!K:K),_xlfn.XLOOKUP(B242,Input!J:J,Input!L:L))</f>
        <v>0</v>
      </c>
      <c r="I242" s="32"/>
      <c r="J242" s="32"/>
      <c r="K242" s="32">
        <f>_xlfn.XLOOKUP(B242,CPU_Formula!A:A,CPU_Formula!I:I)</f>
        <v>0</v>
      </c>
      <c r="L242" s="53" t="e">
        <f>INDEX(Input!$D$2:$AC$500,
       MATCH(B242, Input!$J$2:$J$500, 0),
       MATCH("Memory Capacity", Input!$D$1:$AC$1, 0))</f>
        <v>#N/A</v>
      </c>
      <c r="M242" s="53" t="e">
        <f>INDEX(Input!$D$2:$AC$500,
       MATCH(B242, Input!$J$2:$J$500, 0),
       MATCH("Memory Type", Input!$D$1:$AC$1, 0))</f>
        <v>#N/A</v>
      </c>
      <c r="N242" s="53" t="e">
        <f t="shared" si="11"/>
        <v>#N/A</v>
      </c>
      <c r="O242" s="53" t="str" cm="1">
        <f t="array" ref="O242">IFERROR(_xlfn.FILTERXML("&lt;t&gt;&lt;s&gt;" &amp; SUBSTITUTE(M242," / ","&lt;/s&gt;&lt;s&gt;") &amp; "&lt;/s&gt;&lt;/t&gt;","(//s[contains(.,'DDR')])[1]"),"")</f>
        <v/>
      </c>
      <c r="P242" s="32" t="e">
        <f t="shared" si="13"/>
        <v>#N/A</v>
      </c>
      <c r="Q242" s="32"/>
      <c r="R242" s="32"/>
      <c r="S242" s="53" t="e">
        <f>_xlfn.LET(_xlpm.Result,INDEX(Input!$D$2:$AC$500,
       MATCH(B242, Input!$J$2:$J$500, 0),
       MATCH("Capacity", Input!$D$1:$AC$1, 0)),IF(_xlpm.Result="","",_xlpm.Result))</f>
        <v>#N/A</v>
      </c>
      <c r="T242" s="53" t="e" cm="1">
        <f t="array" ref="T242">_xlfn.TEXTSPLIT(S242," / ", ,TRUE,0,)</f>
        <v>#N/A</v>
      </c>
      <c r="U242" s="53"/>
      <c r="V242" s="53" t="str" cm="1">
        <f t="array" ref="V242">IFERROR(_xlfn.IFS(
T242="","",
--T242&lt;55,"Battery Defect",
--T242&lt;=69,"Battery D",
--T242&lt;=80,"Battery C",
--T242&gt;80,""
),"")</f>
        <v/>
      </c>
      <c r="W242" s="53" t="str" cm="1">
        <f t="array" ref="W242">IFERROR(_xlfn.IFS(
U242="","",
--U242&lt;55,"Battery Defect",
--U242&lt;=69,"Battery D",
--U242&lt;=80,"Battery C",
--U242&gt;80,""
),"")</f>
        <v/>
      </c>
      <c r="X242" s="53" t="str" cm="1">
        <f t="array" ref="X242:AE242">IFERROR(IF(_xlfn.XLOOKUP(B242,Input!J:J,Input!N:U)=0,"",
          _xlfn.XLOOKUP(B242,Input!J:J,Input!N:U)),"")</f>
        <v/>
      </c>
      <c r="Y242" s="53" t="str">
        <v/>
      </c>
      <c r="Z242" s="53" t="str">
        <v/>
      </c>
      <c r="AA242" s="53" t="str">
        <v/>
      </c>
      <c r="AB242" s="53" t="str">
        <v/>
      </c>
      <c r="AC242" s="53" t="str">
        <v/>
      </c>
      <c r="AD242" s="53" t="str">
        <v/>
      </c>
      <c r="AE242" s="53" t="str">
        <v/>
      </c>
      <c r="AF242" s="32" t="str">
        <f t="shared" si="12"/>
        <v/>
      </c>
      <c r="AG242" s="32" t="str">
        <f>_xlfn.XLOOKUP(B:B,Disk_Pivot!G:G,Disk_Pivot!I:I)</f>
        <v>Yes x2</v>
      </c>
      <c r="AH242" s="32" t="str">
        <f>_xlfn.XLOOKUP(B242,Disk_Pivot!G:G,Disk_Pivot!N:N)</f>
        <v>Pass, Fail</v>
      </c>
      <c r="AI242" s="32"/>
      <c r="AJ242" s="32"/>
      <c r="AK242" s="32"/>
      <c r="AL242" s="32"/>
      <c r="AM242" s="32"/>
      <c r="AN242" s="32"/>
    </row>
    <row r="243" spans="1:40">
      <c r="A243" s="32" t="str">
        <f>_xlfn.TEXTJOIN("",TRUE,_xlfn.XLOOKUP(B243,Input!J:J,Input!G:G,"",0,1),_xlfn.XLOOKUP(B243,Input!J:J,Input!H:H,"",0,1))</f>
        <v/>
      </c>
      <c r="B243" s="32"/>
      <c r="C243" s="53">
        <f>_xlfn.XLOOKUP(B243,Input!J:J,Input!F:F)</f>
        <v>0</v>
      </c>
      <c r="D243" s="32">
        <f>_xlfn.XLOOKUP(C243,Models!H:H,Models!G:G,C243)</f>
        <v>0</v>
      </c>
      <c r="E243" s="32"/>
      <c r="F243" s="32" t="str">
        <f>_xlfn.XLOOKUP(H243,Models!B:B,Models!F:F,"")</f>
        <v/>
      </c>
      <c r="G243" s="32">
        <f>_xlfn.XLOOKUP(B243,Input!J:J,Input!E:E)</f>
        <v>0</v>
      </c>
      <c r="H243" s="32">
        <f>IF(G243="LENOVO",_xlfn.XLOOKUP(B243,Input!J:J,Input!K:K),_xlfn.XLOOKUP(B243,Input!J:J,Input!L:L))</f>
        <v>0</v>
      </c>
      <c r="I243" s="32"/>
      <c r="J243" s="32"/>
      <c r="K243" s="32">
        <f>_xlfn.XLOOKUP(B243,CPU_Formula!A:A,CPU_Formula!I:I)</f>
        <v>0</v>
      </c>
      <c r="L243" s="53" t="e">
        <f>INDEX(Input!$D$2:$AC$500,
       MATCH(B243, Input!$J$2:$J$500, 0),
       MATCH("Memory Capacity", Input!$D$1:$AC$1, 0))</f>
        <v>#N/A</v>
      </c>
      <c r="M243" s="53" t="e">
        <f>INDEX(Input!$D$2:$AC$500,
       MATCH(B243, Input!$J$2:$J$500, 0),
       MATCH("Memory Type", Input!$D$1:$AC$1, 0))</f>
        <v>#N/A</v>
      </c>
      <c r="N243" s="53" t="e">
        <f t="shared" si="11"/>
        <v>#N/A</v>
      </c>
      <c r="O243" s="53" t="str" cm="1">
        <f t="array" ref="O243">IFERROR(_xlfn.FILTERXML("&lt;t&gt;&lt;s&gt;" &amp; SUBSTITUTE(M243," / ","&lt;/s&gt;&lt;s&gt;") &amp; "&lt;/s&gt;&lt;/t&gt;","(//s[contains(.,'DDR')])[1]"),"")</f>
        <v/>
      </c>
      <c r="P243" s="32" t="e">
        <f t="shared" si="13"/>
        <v>#N/A</v>
      </c>
      <c r="Q243" s="32"/>
      <c r="R243" s="32"/>
      <c r="S243" s="53" t="e">
        <f>_xlfn.LET(_xlpm.Result,INDEX(Input!$D$2:$AC$500,
       MATCH(B243, Input!$J$2:$J$500, 0),
       MATCH("Capacity", Input!$D$1:$AC$1, 0)),IF(_xlpm.Result="","",_xlpm.Result))</f>
        <v>#N/A</v>
      </c>
      <c r="T243" s="53" t="e" cm="1">
        <f t="array" ref="T243">_xlfn.TEXTSPLIT(S243," / ", ,TRUE,0,)</f>
        <v>#N/A</v>
      </c>
      <c r="U243" s="53"/>
      <c r="V243" s="53" t="str" cm="1">
        <f t="array" ref="V243">IFERROR(_xlfn.IFS(
T243="","",
--T243&lt;55,"Battery Defect",
--T243&lt;=69,"Battery D",
--T243&lt;=80,"Battery C",
--T243&gt;80,""
),"")</f>
        <v/>
      </c>
      <c r="W243" s="53" t="str" cm="1">
        <f t="array" ref="W243">IFERROR(_xlfn.IFS(
U243="","",
--U243&lt;55,"Battery Defect",
--U243&lt;=69,"Battery D",
--U243&lt;=80,"Battery C",
--U243&gt;80,""
),"")</f>
        <v/>
      </c>
      <c r="X243" s="53" t="str" cm="1">
        <f t="array" ref="X243:AE243">IFERROR(IF(_xlfn.XLOOKUP(B243,Input!J:J,Input!N:U)=0,"",
          _xlfn.XLOOKUP(B243,Input!J:J,Input!N:U)),"")</f>
        <v/>
      </c>
      <c r="Y243" s="53" t="str">
        <v/>
      </c>
      <c r="Z243" s="53" t="str">
        <v/>
      </c>
      <c r="AA243" s="53" t="str">
        <v/>
      </c>
      <c r="AB243" s="53" t="str">
        <v/>
      </c>
      <c r="AC243" s="53" t="str">
        <v/>
      </c>
      <c r="AD243" s="53" t="str">
        <v/>
      </c>
      <c r="AE243" s="53" t="str">
        <v/>
      </c>
      <c r="AF243" s="32" t="str">
        <f t="shared" si="12"/>
        <v/>
      </c>
      <c r="AG243" s="32" t="str">
        <f>_xlfn.XLOOKUP(B:B,Disk_Pivot!G:G,Disk_Pivot!I:I)</f>
        <v>Yes x2</v>
      </c>
      <c r="AH243" s="32" t="str">
        <f>_xlfn.XLOOKUP(B243,Disk_Pivot!G:G,Disk_Pivot!N:N)</f>
        <v>Pass, Fail</v>
      </c>
      <c r="AI243" s="32"/>
      <c r="AJ243" s="32"/>
      <c r="AK243" s="32"/>
      <c r="AL243" s="32"/>
      <c r="AM243" s="32"/>
      <c r="AN243" s="32"/>
    </row>
    <row r="244" spans="1:40">
      <c r="A244" s="32" t="str">
        <f>_xlfn.TEXTJOIN("",TRUE,_xlfn.XLOOKUP(B244,Input!J:J,Input!G:G,"",0,1),_xlfn.XLOOKUP(B244,Input!J:J,Input!H:H,"",0,1))</f>
        <v/>
      </c>
      <c r="B244" s="32"/>
      <c r="C244" s="53">
        <f>_xlfn.XLOOKUP(B244,Input!J:J,Input!F:F)</f>
        <v>0</v>
      </c>
      <c r="D244" s="32">
        <f>_xlfn.XLOOKUP(C244,Models!H:H,Models!G:G,C244)</f>
        <v>0</v>
      </c>
      <c r="E244" s="32"/>
      <c r="F244" s="32" t="str">
        <f>_xlfn.XLOOKUP(H244,Models!B:B,Models!F:F,"")</f>
        <v/>
      </c>
      <c r="G244" s="32">
        <f>_xlfn.XLOOKUP(B244,Input!J:J,Input!E:E)</f>
        <v>0</v>
      </c>
      <c r="H244" s="32">
        <f>IF(G244="LENOVO",_xlfn.XLOOKUP(B244,Input!J:J,Input!K:K),_xlfn.XLOOKUP(B244,Input!J:J,Input!L:L))</f>
        <v>0</v>
      </c>
      <c r="I244" s="32"/>
      <c r="J244" s="32"/>
      <c r="K244" s="32">
        <f>_xlfn.XLOOKUP(B244,CPU_Formula!A:A,CPU_Formula!I:I)</f>
        <v>0</v>
      </c>
      <c r="L244" s="53" t="e">
        <f>INDEX(Input!$D$2:$AC$500,
       MATCH(B244, Input!$J$2:$J$500, 0),
       MATCH("Memory Capacity", Input!$D$1:$AC$1, 0))</f>
        <v>#N/A</v>
      </c>
      <c r="M244" s="53" t="e">
        <f>INDEX(Input!$D$2:$AC$500,
       MATCH(B244, Input!$J$2:$J$500, 0),
       MATCH("Memory Type", Input!$D$1:$AC$1, 0))</f>
        <v>#N/A</v>
      </c>
      <c r="N244" s="53" t="e">
        <f t="shared" si="11"/>
        <v>#N/A</v>
      </c>
      <c r="O244" s="53" t="str" cm="1">
        <f t="array" ref="O244">IFERROR(_xlfn.FILTERXML("&lt;t&gt;&lt;s&gt;" &amp; SUBSTITUTE(M244," / ","&lt;/s&gt;&lt;s&gt;") &amp; "&lt;/s&gt;&lt;/t&gt;","(//s[contains(.,'DDR')])[1]"),"")</f>
        <v/>
      </c>
      <c r="P244" s="32" t="e">
        <f t="shared" si="13"/>
        <v>#N/A</v>
      </c>
      <c r="Q244" s="32"/>
      <c r="R244" s="32"/>
      <c r="S244" s="53" t="e">
        <f>_xlfn.LET(_xlpm.Result,INDEX(Input!$D$2:$AC$500,
       MATCH(B244, Input!$J$2:$J$500, 0),
       MATCH("Capacity", Input!$D$1:$AC$1, 0)),IF(_xlpm.Result="","",_xlpm.Result))</f>
        <v>#N/A</v>
      </c>
      <c r="T244" s="53" t="e" cm="1">
        <f t="array" ref="T244">_xlfn.TEXTSPLIT(S244," / ", ,TRUE,0,)</f>
        <v>#N/A</v>
      </c>
      <c r="U244" s="53"/>
      <c r="V244" s="53" t="str" cm="1">
        <f t="array" ref="V244">IFERROR(_xlfn.IFS(
T244="","",
--T244&lt;55,"Battery Defect",
--T244&lt;=69,"Battery D",
--T244&lt;=80,"Battery C",
--T244&gt;80,""
),"")</f>
        <v/>
      </c>
      <c r="W244" s="53" t="str" cm="1">
        <f t="array" ref="W244">IFERROR(_xlfn.IFS(
U244="","",
--U244&lt;55,"Battery Defect",
--U244&lt;=69,"Battery D",
--U244&lt;=80,"Battery C",
--U244&gt;80,""
),"")</f>
        <v/>
      </c>
      <c r="X244" s="53" t="str" cm="1">
        <f t="array" ref="X244:AE244">IFERROR(IF(_xlfn.XLOOKUP(B244,Input!J:J,Input!N:U)=0,"",
          _xlfn.XLOOKUP(B244,Input!J:J,Input!N:U)),"")</f>
        <v/>
      </c>
      <c r="Y244" s="53" t="str">
        <v/>
      </c>
      <c r="Z244" s="53" t="str">
        <v/>
      </c>
      <c r="AA244" s="53" t="str">
        <v/>
      </c>
      <c r="AB244" s="53" t="str">
        <v/>
      </c>
      <c r="AC244" s="53" t="str">
        <v/>
      </c>
      <c r="AD244" s="53" t="str">
        <v/>
      </c>
      <c r="AE244" s="53" t="str">
        <v/>
      </c>
      <c r="AF244" s="32" t="str">
        <f t="shared" si="12"/>
        <v/>
      </c>
      <c r="AG244" s="32" t="str">
        <f>_xlfn.XLOOKUP(B:B,Disk_Pivot!G:G,Disk_Pivot!I:I)</f>
        <v>Yes x2</v>
      </c>
      <c r="AH244" s="32" t="str">
        <f>_xlfn.XLOOKUP(B244,Disk_Pivot!G:G,Disk_Pivot!N:N)</f>
        <v>Pass, Fail</v>
      </c>
      <c r="AI244" s="32"/>
      <c r="AJ244" s="32"/>
      <c r="AK244" s="32"/>
      <c r="AL244" s="32"/>
      <c r="AM244" s="32"/>
      <c r="AN244" s="32"/>
    </row>
    <row r="245" spans="1:40">
      <c r="A245" s="32" t="str">
        <f>_xlfn.TEXTJOIN("",TRUE,_xlfn.XLOOKUP(B245,Input!J:J,Input!G:G,"",0,1),_xlfn.XLOOKUP(B245,Input!J:J,Input!H:H,"",0,1))</f>
        <v/>
      </c>
      <c r="B245" s="32"/>
      <c r="C245" s="53">
        <f>_xlfn.XLOOKUP(B245,Input!J:J,Input!F:F)</f>
        <v>0</v>
      </c>
      <c r="D245" s="32">
        <f>_xlfn.XLOOKUP(C245,Models!H:H,Models!G:G,C245)</f>
        <v>0</v>
      </c>
      <c r="E245" s="32"/>
      <c r="F245" s="32" t="str">
        <f>_xlfn.XLOOKUP(H245,Models!B:B,Models!F:F,"")</f>
        <v/>
      </c>
      <c r="G245" s="32">
        <f>_xlfn.XLOOKUP(B245,Input!J:J,Input!E:E)</f>
        <v>0</v>
      </c>
      <c r="H245" s="32">
        <f>IF(G245="LENOVO",_xlfn.XLOOKUP(B245,Input!J:J,Input!K:K),_xlfn.XLOOKUP(B245,Input!J:J,Input!L:L))</f>
        <v>0</v>
      </c>
      <c r="I245" s="32"/>
      <c r="J245" s="32"/>
      <c r="K245" s="32">
        <f>_xlfn.XLOOKUP(B245,CPU_Formula!A:A,CPU_Formula!I:I)</f>
        <v>0</v>
      </c>
      <c r="L245" s="53" t="e">
        <f>INDEX(Input!$D$2:$AC$500,
       MATCH(B245, Input!$J$2:$J$500, 0),
       MATCH("Memory Capacity", Input!$D$1:$AC$1, 0))</f>
        <v>#N/A</v>
      </c>
      <c r="M245" s="53" t="e">
        <f>INDEX(Input!$D$2:$AC$500,
       MATCH(B245, Input!$J$2:$J$500, 0),
       MATCH("Memory Type", Input!$D$1:$AC$1, 0))</f>
        <v>#N/A</v>
      </c>
      <c r="N245" s="53" t="e">
        <f t="shared" si="11"/>
        <v>#N/A</v>
      </c>
      <c r="O245" s="53" t="str" cm="1">
        <f t="array" ref="O245">IFERROR(_xlfn.FILTERXML("&lt;t&gt;&lt;s&gt;" &amp; SUBSTITUTE(M245," / ","&lt;/s&gt;&lt;s&gt;") &amp; "&lt;/s&gt;&lt;/t&gt;","(//s[contains(.,'DDR')])[1]"),"")</f>
        <v/>
      </c>
      <c r="P245" s="32" t="e">
        <f t="shared" si="13"/>
        <v>#N/A</v>
      </c>
      <c r="Q245" s="32"/>
      <c r="R245" s="32"/>
      <c r="S245" s="53" t="e">
        <f>_xlfn.LET(_xlpm.Result,INDEX(Input!$D$2:$AC$500,
       MATCH(B245, Input!$J$2:$J$500, 0),
       MATCH("Capacity", Input!$D$1:$AC$1, 0)),IF(_xlpm.Result="","",_xlpm.Result))</f>
        <v>#N/A</v>
      </c>
      <c r="T245" s="53" t="e" cm="1">
        <f t="array" ref="T245">_xlfn.TEXTSPLIT(S245," / ", ,TRUE,0,)</f>
        <v>#N/A</v>
      </c>
      <c r="U245" s="53"/>
      <c r="V245" s="53" t="str" cm="1">
        <f t="array" ref="V245">IFERROR(_xlfn.IFS(
T245="","",
--T245&lt;55,"Battery Defect",
--T245&lt;=69,"Battery D",
--T245&lt;=80,"Battery C",
--T245&gt;80,""
),"")</f>
        <v/>
      </c>
      <c r="W245" s="53" t="str" cm="1">
        <f t="array" ref="W245">IFERROR(_xlfn.IFS(
U245="","",
--U245&lt;55,"Battery Defect",
--U245&lt;=69,"Battery D",
--U245&lt;=80,"Battery C",
--U245&gt;80,""
),"")</f>
        <v/>
      </c>
      <c r="X245" s="53" t="str" cm="1">
        <f t="array" ref="X245:AE245">IFERROR(IF(_xlfn.XLOOKUP(B245,Input!J:J,Input!N:U)=0,"",
          _xlfn.XLOOKUP(B245,Input!J:J,Input!N:U)),"")</f>
        <v/>
      </c>
      <c r="Y245" s="53" t="str">
        <v/>
      </c>
      <c r="Z245" s="53" t="str">
        <v/>
      </c>
      <c r="AA245" s="53" t="str">
        <v/>
      </c>
      <c r="AB245" s="53" t="str">
        <v/>
      </c>
      <c r="AC245" s="53" t="str">
        <v/>
      </c>
      <c r="AD245" s="53" t="str">
        <v/>
      </c>
      <c r="AE245" s="53" t="str">
        <v/>
      </c>
      <c r="AF245" s="32" t="str">
        <f t="shared" si="12"/>
        <v/>
      </c>
      <c r="AG245" s="32" t="str">
        <f>_xlfn.XLOOKUP(B:B,Disk_Pivot!G:G,Disk_Pivot!I:I)</f>
        <v>Yes x2</v>
      </c>
      <c r="AH245" s="32" t="str">
        <f>_xlfn.XLOOKUP(B245,Disk_Pivot!G:G,Disk_Pivot!N:N)</f>
        <v>Pass, Fail</v>
      </c>
      <c r="AI245" s="32"/>
      <c r="AJ245" s="32"/>
      <c r="AK245" s="32"/>
      <c r="AL245" s="32"/>
      <c r="AM245" s="32"/>
      <c r="AN245" s="32"/>
    </row>
    <row r="246" spans="1:40">
      <c r="A246" s="32" t="str">
        <f>_xlfn.TEXTJOIN("",TRUE,_xlfn.XLOOKUP(B246,Input!J:J,Input!G:G,"",0,1),_xlfn.XLOOKUP(B246,Input!J:J,Input!H:H,"",0,1))</f>
        <v/>
      </c>
      <c r="B246" s="32"/>
      <c r="C246" s="53">
        <f>_xlfn.XLOOKUP(B246,Input!J:J,Input!F:F)</f>
        <v>0</v>
      </c>
      <c r="D246" s="32">
        <f>_xlfn.XLOOKUP(C246,Models!H:H,Models!G:G,C246)</f>
        <v>0</v>
      </c>
      <c r="E246" s="32"/>
      <c r="F246" s="32" t="str">
        <f>_xlfn.XLOOKUP(H246,Models!B:B,Models!F:F,"")</f>
        <v/>
      </c>
      <c r="G246" s="32">
        <f>_xlfn.XLOOKUP(B246,Input!J:J,Input!E:E)</f>
        <v>0</v>
      </c>
      <c r="H246" s="32">
        <f>IF(G246="LENOVO",_xlfn.XLOOKUP(B246,Input!J:J,Input!K:K),_xlfn.XLOOKUP(B246,Input!J:J,Input!L:L))</f>
        <v>0</v>
      </c>
      <c r="I246" s="32"/>
      <c r="J246" s="32"/>
      <c r="K246" s="32">
        <f>_xlfn.XLOOKUP(B246,CPU_Formula!A:A,CPU_Formula!I:I)</f>
        <v>0</v>
      </c>
      <c r="L246" s="53" t="e">
        <f>INDEX(Input!$D$2:$AC$500,
       MATCH(B246, Input!$J$2:$J$500, 0),
       MATCH("Memory Capacity", Input!$D$1:$AC$1, 0))</f>
        <v>#N/A</v>
      </c>
      <c r="M246" s="53" t="e">
        <f>INDEX(Input!$D$2:$AC$500,
       MATCH(B246, Input!$J$2:$J$500, 0),
       MATCH("Memory Type", Input!$D$1:$AC$1, 0))</f>
        <v>#N/A</v>
      </c>
      <c r="N246" s="53" t="e">
        <f t="shared" si="11"/>
        <v>#N/A</v>
      </c>
      <c r="O246" s="53" t="str" cm="1">
        <f t="array" ref="O246">IFERROR(_xlfn.FILTERXML("&lt;t&gt;&lt;s&gt;" &amp; SUBSTITUTE(M246," / ","&lt;/s&gt;&lt;s&gt;") &amp; "&lt;/s&gt;&lt;/t&gt;","(//s[contains(.,'DDR')])[1]"),"")</f>
        <v/>
      </c>
      <c r="P246" s="32" t="e">
        <f t="shared" si="13"/>
        <v>#N/A</v>
      </c>
      <c r="Q246" s="32"/>
      <c r="R246" s="32"/>
      <c r="S246" s="53" t="e">
        <f>_xlfn.LET(_xlpm.Result,INDEX(Input!$D$2:$AC$500,
       MATCH(B246, Input!$J$2:$J$500, 0),
       MATCH("Capacity", Input!$D$1:$AC$1, 0)),IF(_xlpm.Result="","",_xlpm.Result))</f>
        <v>#N/A</v>
      </c>
      <c r="T246" s="53" t="e" cm="1">
        <f t="array" ref="T246">_xlfn.TEXTSPLIT(S246," / ", ,TRUE,0,)</f>
        <v>#N/A</v>
      </c>
      <c r="U246" s="53"/>
      <c r="V246" s="53" t="str" cm="1">
        <f t="array" ref="V246">IFERROR(_xlfn.IFS(
T246="","",
--T246&lt;55,"Battery Defect",
--T246&lt;=69,"Battery D",
--T246&lt;=80,"Battery C",
--T246&gt;80,""
),"")</f>
        <v/>
      </c>
      <c r="W246" s="53" t="str" cm="1">
        <f t="array" ref="W246">IFERROR(_xlfn.IFS(
U246="","",
--U246&lt;55,"Battery Defect",
--U246&lt;=69,"Battery D",
--U246&lt;=80,"Battery C",
--U246&gt;80,""
),"")</f>
        <v/>
      </c>
      <c r="X246" s="53" t="str" cm="1">
        <f t="array" ref="X246:AE246">IFERROR(IF(_xlfn.XLOOKUP(B246,Input!J:J,Input!N:U)=0,"",
          _xlfn.XLOOKUP(B246,Input!J:J,Input!N:U)),"")</f>
        <v/>
      </c>
      <c r="Y246" s="53" t="str">
        <v/>
      </c>
      <c r="Z246" s="53" t="str">
        <v/>
      </c>
      <c r="AA246" s="53" t="str">
        <v/>
      </c>
      <c r="AB246" s="53" t="str">
        <v/>
      </c>
      <c r="AC246" s="53" t="str">
        <v/>
      </c>
      <c r="AD246" s="53" t="str">
        <v/>
      </c>
      <c r="AE246" s="53" t="str">
        <v/>
      </c>
      <c r="AF246" s="32" t="str">
        <f t="shared" si="12"/>
        <v/>
      </c>
      <c r="AG246" s="32" t="str">
        <f>_xlfn.XLOOKUP(B:B,Disk_Pivot!G:G,Disk_Pivot!I:I)</f>
        <v>Yes x2</v>
      </c>
      <c r="AH246" s="32" t="str">
        <f>_xlfn.XLOOKUP(B246,Disk_Pivot!G:G,Disk_Pivot!N:N)</f>
        <v>Pass, Fail</v>
      </c>
      <c r="AI246" s="32"/>
      <c r="AJ246" s="32"/>
      <c r="AK246" s="32"/>
      <c r="AL246" s="32"/>
      <c r="AM246" s="32"/>
      <c r="AN246" s="32"/>
    </row>
    <row r="247" spans="1:40">
      <c r="A247" s="32" t="str">
        <f>_xlfn.TEXTJOIN("",TRUE,_xlfn.XLOOKUP(B247,Input!J:J,Input!G:G,"",0,1),_xlfn.XLOOKUP(B247,Input!J:J,Input!H:H,"",0,1))</f>
        <v/>
      </c>
      <c r="B247" s="32"/>
      <c r="C247" s="53">
        <f>_xlfn.XLOOKUP(B247,Input!J:J,Input!F:F)</f>
        <v>0</v>
      </c>
      <c r="D247" s="32">
        <f>_xlfn.XLOOKUP(C247,Models!H:H,Models!G:G,C247)</f>
        <v>0</v>
      </c>
      <c r="E247" s="32"/>
      <c r="F247" s="32" t="str">
        <f>_xlfn.XLOOKUP(H247,Models!B:B,Models!F:F,"")</f>
        <v/>
      </c>
      <c r="G247" s="32">
        <f>_xlfn.XLOOKUP(B247,Input!J:J,Input!E:E)</f>
        <v>0</v>
      </c>
      <c r="H247" s="32">
        <f>IF(G247="LENOVO",_xlfn.XLOOKUP(B247,Input!J:J,Input!K:K),_xlfn.XLOOKUP(B247,Input!J:J,Input!L:L))</f>
        <v>0</v>
      </c>
      <c r="I247" s="32"/>
      <c r="J247" s="32"/>
      <c r="K247" s="32">
        <f>_xlfn.XLOOKUP(B247,CPU_Formula!A:A,CPU_Formula!I:I)</f>
        <v>0</v>
      </c>
      <c r="L247" s="53" t="e">
        <f>INDEX(Input!$D$2:$AC$500,
       MATCH(B247, Input!$J$2:$J$500, 0),
       MATCH("Memory Capacity", Input!$D$1:$AC$1, 0))</f>
        <v>#N/A</v>
      </c>
      <c r="M247" s="53" t="e">
        <f>INDEX(Input!$D$2:$AC$500,
       MATCH(B247, Input!$J$2:$J$500, 0),
       MATCH("Memory Type", Input!$D$1:$AC$1, 0))</f>
        <v>#N/A</v>
      </c>
      <c r="N247" s="53" t="e">
        <f t="shared" si="11"/>
        <v>#N/A</v>
      </c>
      <c r="O247" s="53" t="str" cm="1">
        <f t="array" ref="O247">IFERROR(_xlfn.FILTERXML("&lt;t&gt;&lt;s&gt;" &amp; SUBSTITUTE(M247," / ","&lt;/s&gt;&lt;s&gt;") &amp; "&lt;/s&gt;&lt;/t&gt;","(//s[contains(.,'DDR')])[1]"),"")</f>
        <v/>
      </c>
      <c r="P247" s="32" t="e">
        <f t="shared" si="13"/>
        <v>#N/A</v>
      </c>
      <c r="Q247" s="32"/>
      <c r="R247" s="32"/>
      <c r="S247" s="53" t="e">
        <f>_xlfn.LET(_xlpm.Result,INDEX(Input!$D$2:$AC$500,
       MATCH(B247, Input!$J$2:$J$500, 0),
       MATCH("Capacity", Input!$D$1:$AC$1, 0)),IF(_xlpm.Result="","",_xlpm.Result))</f>
        <v>#N/A</v>
      </c>
      <c r="T247" s="53" t="e" cm="1">
        <f t="array" ref="T247">_xlfn.TEXTSPLIT(S247," / ", ,TRUE,0,)</f>
        <v>#N/A</v>
      </c>
      <c r="U247" s="53"/>
      <c r="V247" s="53" t="str" cm="1">
        <f t="array" ref="V247">IFERROR(_xlfn.IFS(
T247="","",
--T247&lt;55,"Battery Defect",
--T247&lt;=69,"Battery D",
--T247&lt;=80,"Battery C",
--T247&gt;80,""
),"")</f>
        <v/>
      </c>
      <c r="W247" s="53" t="str" cm="1">
        <f t="array" ref="W247">IFERROR(_xlfn.IFS(
U247="","",
--U247&lt;55,"Battery Defect",
--U247&lt;=69,"Battery D",
--U247&lt;=80,"Battery C",
--U247&gt;80,""
),"")</f>
        <v/>
      </c>
      <c r="X247" s="53" t="str" cm="1">
        <f t="array" ref="X247:AE247">IFERROR(IF(_xlfn.XLOOKUP(B247,Input!J:J,Input!N:U)=0,"",
          _xlfn.XLOOKUP(B247,Input!J:J,Input!N:U)),"")</f>
        <v/>
      </c>
      <c r="Y247" s="53" t="str">
        <v/>
      </c>
      <c r="Z247" s="53" t="str">
        <v/>
      </c>
      <c r="AA247" s="53" t="str">
        <v/>
      </c>
      <c r="AB247" s="53" t="str">
        <v/>
      </c>
      <c r="AC247" s="53" t="str">
        <v/>
      </c>
      <c r="AD247" s="53" t="str">
        <v/>
      </c>
      <c r="AE247" s="53" t="str">
        <v/>
      </c>
      <c r="AF247" s="32" t="str">
        <f t="shared" si="12"/>
        <v/>
      </c>
      <c r="AG247" s="32" t="str">
        <f>_xlfn.XLOOKUP(B:B,Disk_Pivot!G:G,Disk_Pivot!I:I)</f>
        <v>Yes x2</v>
      </c>
      <c r="AH247" s="32" t="str">
        <f>_xlfn.XLOOKUP(B247,Disk_Pivot!G:G,Disk_Pivot!N:N)</f>
        <v>Pass, Fail</v>
      </c>
      <c r="AI247" s="32"/>
      <c r="AJ247" s="32"/>
      <c r="AK247" s="32"/>
      <c r="AL247" s="32"/>
      <c r="AM247" s="32"/>
      <c r="AN247" s="32"/>
    </row>
    <row r="248" spans="1:40">
      <c r="A248" s="32" t="str">
        <f>_xlfn.TEXTJOIN("",TRUE,_xlfn.XLOOKUP(B248,Input!J:J,Input!G:G,"",0,1),_xlfn.XLOOKUP(B248,Input!J:J,Input!H:H,"",0,1))</f>
        <v/>
      </c>
      <c r="B248" s="32"/>
      <c r="C248" s="53">
        <f>_xlfn.XLOOKUP(B248,Input!J:J,Input!F:F)</f>
        <v>0</v>
      </c>
      <c r="D248" s="32">
        <f>_xlfn.XLOOKUP(C248,Models!H:H,Models!G:G,C248)</f>
        <v>0</v>
      </c>
      <c r="E248" s="32"/>
      <c r="F248" s="32" t="str">
        <f>_xlfn.XLOOKUP(H248,Models!B:B,Models!F:F,"")</f>
        <v/>
      </c>
      <c r="G248" s="32">
        <f>_xlfn.XLOOKUP(B248,Input!J:J,Input!E:E)</f>
        <v>0</v>
      </c>
      <c r="H248" s="32">
        <f>IF(G248="LENOVO",_xlfn.XLOOKUP(B248,Input!J:J,Input!K:K),_xlfn.XLOOKUP(B248,Input!J:J,Input!L:L))</f>
        <v>0</v>
      </c>
      <c r="I248" s="32"/>
      <c r="J248" s="32"/>
      <c r="K248" s="32">
        <f>_xlfn.XLOOKUP(B248,CPU_Formula!A:A,CPU_Formula!I:I)</f>
        <v>0</v>
      </c>
      <c r="L248" s="53" t="e">
        <f>INDEX(Input!$D$2:$AC$500,
       MATCH(B248, Input!$J$2:$J$500, 0),
       MATCH("Memory Capacity", Input!$D$1:$AC$1, 0))</f>
        <v>#N/A</v>
      </c>
      <c r="M248" s="53" t="e">
        <f>INDEX(Input!$D$2:$AC$500,
       MATCH(B248, Input!$J$2:$J$500, 0),
       MATCH("Memory Type", Input!$D$1:$AC$1, 0))</f>
        <v>#N/A</v>
      </c>
      <c r="N248" s="53" t="e">
        <f t="shared" si="11"/>
        <v>#N/A</v>
      </c>
      <c r="O248" s="53" t="str" cm="1">
        <f t="array" ref="O248">IFERROR(_xlfn.FILTERXML("&lt;t&gt;&lt;s&gt;" &amp; SUBSTITUTE(M248," / ","&lt;/s&gt;&lt;s&gt;") &amp; "&lt;/s&gt;&lt;/t&gt;","(//s[contains(.,'DDR')])[1]"),"")</f>
        <v/>
      </c>
      <c r="P248" s="32" t="e">
        <f t="shared" si="13"/>
        <v>#N/A</v>
      </c>
      <c r="Q248" s="32"/>
      <c r="R248" s="32"/>
      <c r="S248" s="53" t="e">
        <f>_xlfn.LET(_xlpm.Result,INDEX(Input!$D$2:$AC$500,
       MATCH(B248, Input!$J$2:$J$500, 0),
       MATCH("Capacity", Input!$D$1:$AC$1, 0)),IF(_xlpm.Result="","",_xlpm.Result))</f>
        <v>#N/A</v>
      </c>
      <c r="T248" s="53" t="e" cm="1">
        <f t="array" ref="T248">_xlfn.TEXTSPLIT(S248," / ", ,TRUE,0,)</f>
        <v>#N/A</v>
      </c>
      <c r="U248" s="53"/>
      <c r="V248" s="53" t="str" cm="1">
        <f t="array" ref="V248">IFERROR(_xlfn.IFS(
T248="","",
--T248&lt;55,"Battery Defect",
--T248&lt;=69,"Battery D",
--T248&lt;=80,"Battery C",
--T248&gt;80,""
),"")</f>
        <v/>
      </c>
      <c r="W248" s="53" t="str" cm="1">
        <f t="array" ref="W248">IFERROR(_xlfn.IFS(
U248="","",
--U248&lt;55,"Battery Defect",
--U248&lt;=69,"Battery D",
--U248&lt;=80,"Battery C",
--U248&gt;80,""
),"")</f>
        <v/>
      </c>
      <c r="X248" s="53" t="str" cm="1">
        <f t="array" ref="X248:AE248">IFERROR(IF(_xlfn.XLOOKUP(B248,Input!J:J,Input!N:U)=0,"",
          _xlfn.XLOOKUP(B248,Input!J:J,Input!N:U)),"")</f>
        <v/>
      </c>
      <c r="Y248" s="53" t="str">
        <v/>
      </c>
      <c r="Z248" s="53" t="str">
        <v/>
      </c>
      <c r="AA248" s="53" t="str">
        <v/>
      </c>
      <c r="AB248" s="53" t="str">
        <v/>
      </c>
      <c r="AC248" s="53" t="str">
        <v/>
      </c>
      <c r="AD248" s="53" t="str">
        <v/>
      </c>
      <c r="AE248" s="53" t="str">
        <v/>
      </c>
      <c r="AF248" s="32" t="str">
        <f t="shared" si="12"/>
        <v/>
      </c>
      <c r="AG248" s="32" t="str">
        <f>_xlfn.XLOOKUP(B:B,Disk_Pivot!G:G,Disk_Pivot!I:I)</f>
        <v>Yes x2</v>
      </c>
      <c r="AH248" s="32" t="str">
        <f>_xlfn.XLOOKUP(B248,Disk_Pivot!G:G,Disk_Pivot!N:N)</f>
        <v>Pass, Fail</v>
      </c>
      <c r="AI248" s="32"/>
      <c r="AJ248" s="32"/>
      <c r="AK248" s="32"/>
      <c r="AL248" s="32"/>
      <c r="AM248" s="32"/>
      <c r="AN248" s="32"/>
    </row>
    <row r="249" spans="1:40">
      <c r="A249" s="32" t="str">
        <f>_xlfn.TEXTJOIN("",TRUE,_xlfn.XLOOKUP(B249,Input!J:J,Input!G:G,"",0,1),_xlfn.XLOOKUP(B249,Input!J:J,Input!H:H,"",0,1))</f>
        <v/>
      </c>
      <c r="B249" s="32"/>
      <c r="C249" s="53">
        <f>_xlfn.XLOOKUP(B249,Input!J:J,Input!F:F)</f>
        <v>0</v>
      </c>
      <c r="D249" s="32">
        <f>_xlfn.XLOOKUP(C249,Models!H:H,Models!G:G,C249)</f>
        <v>0</v>
      </c>
      <c r="E249" s="32"/>
      <c r="F249" s="32" t="str">
        <f>_xlfn.XLOOKUP(H249,Models!B:B,Models!F:F,"")</f>
        <v/>
      </c>
      <c r="G249" s="32">
        <f>_xlfn.XLOOKUP(B249,Input!J:J,Input!E:E)</f>
        <v>0</v>
      </c>
      <c r="H249" s="32">
        <f>IF(G249="LENOVO",_xlfn.XLOOKUP(B249,Input!J:J,Input!K:K),_xlfn.XLOOKUP(B249,Input!J:J,Input!L:L))</f>
        <v>0</v>
      </c>
      <c r="I249" s="32"/>
      <c r="J249" s="32"/>
      <c r="K249" s="32">
        <f>_xlfn.XLOOKUP(B249,CPU_Formula!A:A,CPU_Formula!I:I)</f>
        <v>0</v>
      </c>
      <c r="L249" s="53" t="e">
        <f>INDEX(Input!$D$2:$AC$500,
       MATCH(B249, Input!$J$2:$J$500, 0),
       MATCH("Memory Capacity", Input!$D$1:$AC$1, 0))</f>
        <v>#N/A</v>
      </c>
      <c r="M249" s="53" t="e">
        <f>INDEX(Input!$D$2:$AC$500,
       MATCH(B249, Input!$J$2:$J$500, 0),
       MATCH("Memory Type", Input!$D$1:$AC$1, 0))</f>
        <v>#N/A</v>
      </c>
      <c r="N249" s="53" t="e">
        <f t="shared" si="11"/>
        <v>#N/A</v>
      </c>
      <c r="O249" s="53" t="str" cm="1">
        <f t="array" ref="O249">IFERROR(_xlfn.FILTERXML("&lt;t&gt;&lt;s&gt;" &amp; SUBSTITUTE(M249," / ","&lt;/s&gt;&lt;s&gt;") &amp; "&lt;/s&gt;&lt;/t&gt;","(//s[contains(.,'DDR')])[1]"),"")</f>
        <v/>
      </c>
      <c r="P249" s="32" t="e">
        <f t="shared" si="13"/>
        <v>#N/A</v>
      </c>
      <c r="Q249" s="32"/>
      <c r="R249" s="32"/>
      <c r="S249" s="53" t="e">
        <f>_xlfn.LET(_xlpm.Result,INDEX(Input!$D$2:$AC$500,
       MATCH(B249, Input!$J$2:$J$500, 0),
       MATCH("Capacity", Input!$D$1:$AC$1, 0)),IF(_xlpm.Result="","",_xlpm.Result))</f>
        <v>#N/A</v>
      </c>
      <c r="T249" s="53" t="e" cm="1">
        <f t="array" ref="T249">_xlfn.TEXTSPLIT(S249," / ", ,TRUE,0,)</f>
        <v>#N/A</v>
      </c>
      <c r="U249" s="53"/>
      <c r="V249" s="53" t="str" cm="1">
        <f t="array" ref="V249">IFERROR(_xlfn.IFS(
T249="","",
--T249&lt;55,"Battery Defect",
--T249&lt;=69,"Battery D",
--T249&lt;=80,"Battery C",
--T249&gt;80,""
),"")</f>
        <v/>
      </c>
      <c r="W249" s="53" t="str" cm="1">
        <f t="array" ref="W249">IFERROR(_xlfn.IFS(
U249="","",
--U249&lt;55,"Battery Defect",
--U249&lt;=69,"Battery D",
--U249&lt;=80,"Battery C",
--U249&gt;80,""
),"")</f>
        <v/>
      </c>
      <c r="X249" s="53" t="str" cm="1">
        <f t="array" ref="X249:AE249">IFERROR(IF(_xlfn.XLOOKUP(B249,Input!J:J,Input!N:U)=0,"",
          _xlfn.XLOOKUP(B249,Input!J:J,Input!N:U)),"")</f>
        <v/>
      </c>
      <c r="Y249" s="53" t="str">
        <v/>
      </c>
      <c r="Z249" s="53" t="str">
        <v/>
      </c>
      <c r="AA249" s="53" t="str">
        <v/>
      </c>
      <c r="AB249" s="53" t="str">
        <v/>
      </c>
      <c r="AC249" s="53" t="str">
        <v/>
      </c>
      <c r="AD249" s="53" t="str">
        <v/>
      </c>
      <c r="AE249" s="53" t="str">
        <v/>
      </c>
      <c r="AF249" s="32" t="str">
        <f t="shared" si="12"/>
        <v/>
      </c>
      <c r="AG249" s="32" t="str">
        <f>_xlfn.XLOOKUP(B:B,Disk_Pivot!G:G,Disk_Pivot!I:I)</f>
        <v>Yes x2</v>
      </c>
      <c r="AH249" s="32" t="str">
        <f>_xlfn.XLOOKUP(B249,Disk_Pivot!G:G,Disk_Pivot!N:N)</f>
        <v>Pass, Fail</v>
      </c>
      <c r="AI249" s="32"/>
      <c r="AJ249" s="32"/>
      <c r="AK249" s="32"/>
      <c r="AL249" s="32"/>
      <c r="AM249" s="32"/>
      <c r="AN249" s="32"/>
    </row>
    <row r="250" spans="1:40">
      <c r="A250" s="32" t="str">
        <f>_xlfn.TEXTJOIN("",TRUE,_xlfn.XLOOKUP(B250,Input!J:J,Input!G:G,"",0,1),_xlfn.XLOOKUP(B250,Input!J:J,Input!H:H,"",0,1))</f>
        <v/>
      </c>
      <c r="B250" s="32"/>
      <c r="C250" s="53">
        <f>_xlfn.XLOOKUP(B250,Input!J:J,Input!F:F)</f>
        <v>0</v>
      </c>
      <c r="D250" s="32">
        <f>_xlfn.XLOOKUP(C250,Models!H:H,Models!G:G,C250)</f>
        <v>0</v>
      </c>
      <c r="E250" s="32"/>
      <c r="F250" s="32" t="str">
        <f>_xlfn.XLOOKUP(H250,Models!B:B,Models!F:F,"")</f>
        <v/>
      </c>
      <c r="G250" s="32">
        <f>_xlfn.XLOOKUP(B250,Input!J:J,Input!E:E)</f>
        <v>0</v>
      </c>
      <c r="H250" s="32">
        <f>IF(G250="LENOVO",_xlfn.XLOOKUP(B250,Input!J:J,Input!K:K),_xlfn.XLOOKUP(B250,Input!J:J,Input!L:L))</f>
        <v>0</v>
      </c>
      <c r="I250" s="32"/>
      <c r="J250" s="32"/>
      <c r="K250" s="32">
        <f>_xlfn.XLOOKUP(B250,CPU_Formula!A:A,CPU_Formula!I:I)</f>
        <v>0</v>
      </c>
      <c r="L250" s="53" t="e">
        <f>INDEX(Input!$D$2:$AC$500,
       MATCH(B250, Input!$J$2:$J$500, 0),
       MATCH("Memory Capacity", Input!$D$1:$AC$1, 0))</f>
        <v>#N/A</v>
      </c>
      <c r="M250" s="53" t="e">
        <f>INDEX(Input!$D$2:$AC$500,
       MATCH(B250, Input!$J$2:$J$500, 0),
       MATCH("Memory Type", Input!$D$1:$AC$1, 0))</f>
        <v>#N/A</v>
      </c>
      <c r="N250" s="53" t="e">
        <f t="shared" si="11"/>
        <v>#N/A</v>
      </c>
      <c r="O250" s="53" t="str" cm="1">
        <f t="array" ref="O250">IFERROR(_xlfn.FILTERXML("&lt;t&gt;&lt;s&gt;" &amp; SUBSTITUTE(M250," / ","&lt;/s&gt;&lt;s&gt;") &amp; "&lt;/s&gt;&lt;/t&gt;","(//s[contains(.,'DDR')])[1]"),"")</f>
        <v/>
      </c>
      <c r="P250" s="32" t="e">
        <f t="shared" si="13"/>
        <v>#N/A</v>
      </c>
      <c r="Q250" s="32"/>
      <c r="R250" s="32"/>
      <c r="S250" s="53" t="e">
        <f>_xlfn.LET(_xlpm.Result,INDEX(Input!$D$2:$AC$500,
       MATCH(B250, Input!$J$2:$J$500, 0),
       MATCH("Capacity", Input!$D$1:$AC$1, 0)),IF(_xlpm.Result="","",_xlpm.Result))</f>
        <v>#N/A</v>
      </c>
      <c r="T250" s="53" t="e" cm="1">
        <f t="array" ref="T250">_xlfn.TEXTSPLIT(S250," / ", ,TRUE,0,)</f>
        <v>#N/A</v>
      </c>
      <c r="U250" s="53"/>
      <c r="V250" s="53" t="str" cm="1">
        <f t="array" ref="V250">IFERROR(_xlfn.IFS(
T250="","",
--T250&lt;55,"Battery Defect",
--T250&lt;=69,"Battery D",
--T250&lt;=80,"Battery C",
--T250&gt;80,""
),"")</f>
        <v/>
      </c>
      <c r="W250" s="53" t="str" cm="1">
        <f t="array" ref="W250">IFERROR(_xlfn.IFS(
U250="","",
--U250&lt;55,"Battery Defect",
--U250&lt;=69,"Battery D",
--U250&lt;=80,"Battery C",
--U250&gt;80,""
),"")</f>
        <v/>
      </c>
      <c r="X250" s="53" t="str" cm="1">
        <f t="array" ref="X250:AE250">IFERROR(IF(_xlfn.XLOOKUP(B250,Input!J:J,Input!N:U)=0,"",
          _xlfn.XLOOKUP(B250,Input!J:J,Input!N:U)),"")</f>
        <v/>
      </c>
      <c r="Y250" s="53" t="str">
        <v/>
      </c>
      <c r="Z250" s="53" t="str">
        <v/>
      </c>
      <c r="AA250" s="53" t="str">
        <v/>
      </c>
      <c r="AB250" s="53" t="str">
        <v/>
      </c>
      <c r="AC250" s="53" t="str">
        <v/>
      </c>
      <c r="AD250" s="53" t="str">
        <v/>
      </c>
      <c r="AE250" s="53" t="str">
        <v/>
      </c>
      <c r="AF250" s="32" t="str">
        <f t="shared" si="12"/>
        <v/>
      </c>
      <c r="AG250" s="32" t="str">
        <f>_xlfn.XLOOKUP(B:B,Disk_Pivot!G:G,Disk_Pivot!I:I)</f>
        <v>Yes x2</v>
      </c>
      <c r="AH250" s="32" t="str">
        <f>_xlfn.XLOOKUP(B250,Disk_Pivot!G:G,Disk_Pivot!N:N)</f>
        <v>Pass, Fail</v>
      </c>
      <c r="AI250" s="32"/>
      <c r="AJ250" s="32"/>
      <c r="AK250" s="32"/>
      <c r="AL250" s="32"/>
      <c r="AM250" s="32"/>
      <c r="AN250" s="32"/>
    </row>
    <row r="251" spans="1:40">
      <c r="A251" s="32" t="str">
        <f>_xlfn.TEXTJOIN("",TRUE,_xlfn.XLOOKUP(B251,Input!J:J,Input!G:G,"",0,1),_xlfn.XLOOKUP(B251,Input!J:J,Input!H:H,"",0,1))</f>
        <v/>
      </c>
      <c r="B251" s="32"/>
      <c r="C251" s="53">
        <f>_xlfn.XLOOKUP(B251,Input!J:J,Input!F:F)</f>
        <v>0</v>
      </c>
      <c r="D251" s="32">
        <f>_xlfn.XLOOKUP(C251,Models!H:H,Models!G:G,C251)</f>
        <v>0</v>
      </c>
      <c r="E251" s="32"/>
      <c r="F251" s="32" t="str">
        <f>_xlfn.XLOOKUP(H251,Models!B:B,Models!F:F,"")</f>
        <v/>
      </c>
      <c r="G251" s="32">
        <f>_xlfn.XLOOKUP(B251,Input!J:J,Input!E:E)</f>
        <v>0</v>
      </c>
      <c r="H251" s="32">
        <f>IF(G251="LENOVO",_xlfn.XLOOKUP(B251,Input!J:J,Input!K:K),_xlfn.XLOOKUP(B251,Input!J:J,Input!L:L))</f>
        <v>0</v>
      </c>
      <c r="I251" s="32"/>
      <c r="J251" s="32"/>
      <c r="K251" s="32">
        <f>_xlfn.XLOOKUP(B251,CPU_Formula!A:A,CPU_Formula!I:I)</f>
        <v>0</v>
      </c>
      <c r="L251" s="53" t="e">
        <f>INDEX(Input!$D$2:$AC$500,
       MATCH(B251, Input!$J$2:$J$500, 0),
       MATCH("Memory Capacity", Input!$D$1:$AC$1, 0))</f>
        <v>#N/A</v>
      </c>
      <c r="M251" s="53" t="e">
        <f>INDEX(Input!$D$2:$AC$500,
       MATCH(B251, Input!$J$2:$J$500, 0),
       MATCH("Memory Type", Input!$D$1:$AC$1, 0))</f>
        <v>#N/A</v>
      </c>
      <c r="N251" s="53" t="e">
        <f t="shared" si="11"/>
        <v>#N/A</v>
      </c>
      <c r="O251" s="53" t="str" cm="1">
        <f t="array" ref="O251">IFERROR(_xlfn.FILTERXML("&lt;t&gt;&lt;s&gt;" &amp; SUBSTITUTE(M251," / ","&lt;/s&gt;&lt;s&gt;") &amp; "&lt;/s&gt;&lt;/t&gt;","(//s[contains(.,'DDR')])[1]"),"")</f>
        <v/>
      </c>
      <c r="P251" s="32" t="e">
        <f t="shared" si="13"/>
        <v>#N/A</v>
      </c>
      <c r="Q251" s="32"/>
      <c r="R251" s="32"/>
      <c r="S251" s="53" t="e">
        <f>_xlfn.LET(_xlpm.Result,INDEX(Input!$D$2:$AC$500,
       MATCH(B251, Input!$J$2:$J$500, 0),
       MATCH("Capacity", Input!$D$1:$AC$1, 0)),IF(_xlpm.Result="","",_xlpm.Result))</f>
        <v>#N/A</v>
      </c>
      <c r="T251" s="53" t="e" cm="1">
        <f t="array" ref="T251">_xlfn.TEXTSPLIT(S251," / ", ,TRUE,0,)</f>
        <v>#N/A</v>
      </c>
      <c r="U251" s="53"/>
      <c r="V251" s="53" t="str" cm="1">
        <f t="array" ref="V251">IFERROR(_xlfn.IFS(
T251="","",
--T251&lt;55,"Battery Defect",
--T251&lt;=69,"Battery D",
--T251&lt;=80,"Battery C",
--T251&gt;80,""
),"")</f>
        <v/>
      </c>
      <c r="W251" s="53" t="str" cm="1">
        <f t="array" ref="W251">IFERROR(_xlfn.IFS(
U251="","",
--U251&lt;55,"Battery Defect",
--U251&lt;=69,"Battery D",
--U251&lt;=80,"Battery C",
--U251&gt;80,""
),"")</f>
        <v/>
      </c>
      <c r="X251" s="53" t="str" cm="1">
        <f t="array" ref="X251:AE251">IFERROR(IF(_xlfn.XLOOKUP(B251,Input!J:J,Input!N:U)=0,"",
          _xlfn.XLOOKUP(B251,Input!J:J,Input!N:U)),"")</f>
        <v/>
      </c>
      <c r="Y251" s="53" t="str">
        <v/>
      </c>
      <c r="Z251" s="53" t="str">
        <v/>
      </c>
      <c r="AA251" s="53" t="str">
        <v/>
      </c>
      <c r="AB251" s="53" t="str">
        <v/>
      </c>
      <c r="AC251" s="53" t="str">
        <v/>
      </c>
      <c r="AD251" s="53" t="str">
        <v/>
      </c>
      <c r="AE251" s="53" t="str">
        <v/>
      </c>
      <c r="AF251" s="32" t="str">
        <f t="shared" si="12"/>
        <v/>
      </c>
      <c r="AG251" s="32" t="str">
        <f>_xlfn.XLOOKUP(B:B,Disk_Pivot!G:G,Disk_Pivot!I:I)</f>
        <v>Yes x2</v>
      </c>
      <c r="AH251" s="32" t="str">
        <f>_xlfn.XLOOKUP(B251,Disk_Pivot!G:G,Disk_Pivot!N:N)</f>
        <v>Pass, Fail</v>
      </c>
      <c r="AI251" s="32"/>
      <c r="AJ251" s="32"/>
      <c r="AK251" s="32"/>
      <c r="AL251" s="32"/>
      <c r="AM251" s="32"/>
      <c r="AN251" s="32"/>
    </row>
    <row r="252" spans="1:40">
      <c r="A252" s="32" t="str">
        <f>_xlfn.TEXTJOIN("",TRUE,_xlfn.XLOOKUP(B252,Input!J:J,Input!G:G,"",0,1),_xlfn.XLOOKUP(B252,Input!J:J,Input!H:H,"",0,1))</f>
        <v/>
      </c>
      <c r="B252" s="32"/>
      <c r="C252" s="53">
        <f>_xlfn.XLOOKUP(B252,Input!J:J,Input!F:F)</f>
        <v>0</v>
      </c>
      <c r="D252" s="32">
        <f>_xlfn.XLOOKUP(C252,Models!H:H,Models!G:G,C252)</f>
        <v>0</v>
      </c>
      <c r="E252" s="32"/>
      <c r="F252" s="32" t="str">
        <f>_xlfn.XLOOKUP(H252,Models!B:B,Models!F:F,"")</f>
        <v/>
      </c>
      <c r="G252" s="32">
        <f>_xlfn.XLOOKUP(B252,Input!J:J,Input!E:E)</f>
        <v>0</v>
      </c>
      <c r="H252" s="32">
        <f>IF(G252="LENOVO",_xlfn.XLOOKUP(B252,Input!J:J,Input!K:K),_xlfn.XLOOKUP(B252,Input!J:J,Input!L:L))</f>
        <v>0</v>
      </c>
      <c r="I252" s="32"/>
      <c r="J252" s="32"/>
      <c r="K252" s="32">
        <f>_xlfn.XLOOKUP(B252,CPU_Formula!A:A,CPU_Formula!I:I)</f>
        <v>0</v>
      </c>
      <c r="L252" s="53" t="e">
        <f>INDEX(Input!$D$2:$AC$500,
       MATCH(B252, Input!$J$2:$J$500, 0),
       MATCH("Memory Capacity", Input!$D$1:$AC$1, 0))</f>
        <v>#N/A</v>
      </c>
      <c r="M252" s="53" t="e">
        <f>INDEX(Input!$D$2:$AC$500,
       MATCH(B252, Input!$J$2:$J$500, 0),
       MATCH("Memory Type", Input!$D$1:$AC$1, 0))</f>
        <v>#N/A</v>
      </c>
      <c r="N252" s="53" t="e">
        <f t="shared" si="11"/>
        <v>#N/A</v>
      </c>
      <c r="O252" s="53" t="str" cm="1">
        <f t="array" ref="O252">IFERROR(_xlfn.FILTERXML("&lt;t&gt;&lt;s&gt;" &amp; SUBSTITUTE(M252," / ","&lt;/s&gt;&lt;s&gt;") &amp; "&lt;/s&gt;&lt;/t&gt;","(//s[contains(.,'DDR')])[1]"),"")</f>
        <v/>
      </c>
      <c r="P252" s="32" t="e">
        <f t="shared" si="13"/>
        <v>#N/A</v>
      </c>
      <c r="Q252" s="32"/>
      <c r="R252" s="32"/>
      <c r="S252" s="53" t="e">
        <f>_xlfn.LET(_xlpm.Result,INDEX(Input!$D$2:$AC$500,
       MATCH(B252, Input!$J$2:$J$500, 0),
       MATCH("Capacity", Input!$D$1:$AC$1, 0)),IF(_xlpm.Result="","",_xlpm.Result))</f>
        <v>#N/A</v>
      </c>
      <c r="T252" s="53" t="e" cm="1">
        <f t="array" ref="T252">_xlfn.TEXTSPLIT(S252," / ", ,TRUE,0,)</f>
        <v>#N/A</v>
      </c>
      <c r="U252" s="53"/>
      <c r="V252" s="53" t="str" cm="1">
        <f t="array" ref="V252">IFERROR(_xlfn.IFS(
T252="","",
--T252&lt;55,"Battery Defect",
--T252&lt;=69,"Battery D",
--T252&lt;=80,"Battery C",
--T252&gt;80,""
),"")</f>
        <v/>
      </c>
      <c r="W252" s="53" t="str" cm="1">
        <f t="array" ref="W252">IFERROR(_xlfn.IFS(
U252="","",
--U252&lt;55,"Battery Defect",
--U252&lt;=69,"Battery D",
--U252&lt;=80,"Battery C",
--U252&gt;80,""
),"")</f>
        <v/>
      </c>
      <c r="X252" s="53" t="str" cm="1">
        <f t="array" ref="X252:AE252">IFERROR(IF(_xlfn.XLOOKUP(B252,Input!J:J,Input!N:U)=0,"",
          _xlfn.XLOOKUP(B252,Input!J:J,Input!N:U)),"")</f>
        <v/>
      </c>
      <c r="Y252" s="53" t="str">
        <v/>
      </c>
      <c r="Z252" s="53" t="str">
        <v/>
      </c>
      <c r="AA252" s="53" t="str">
        <v/>
      </c>
      <c r="AB252" s="53" t="str">
        <v/>
      </c>
      <c r="AC252" s="53" t="str">
        <v/>
      </c>
      <c r="AD252" s="53" t="str">
        <v/>
      </c>
      <c r="AE252" s="53" t="str">
        <v/>
      </c>
      <c r="AF252" s="32" t="str">
        <f t="shared" si="12"/>
        <v/>
      </c>
      <c r="AG252" s="32" t="str">
        <f>_xlfn.XLOOKUP(B:B,Disk_Pivot!G:G,Disk_Pivot!I:I)</f>
        <v>Yes x2</v>
      </c>
      <c r="AH252" s="32" t="str">
        <f>_xlfn.XLOOKUP(B252,Disk_Pivot!G:G,Disk_Pivot!N:N)</f>
        <v>Pass, Fail</v>
      </c>
      <c r="AI252" s="32"/>
      <c r="AJ252" s="32"/>
      <c r="AK252" s="32"/>
      <c r="AL252" s="32"/>
      <c r="AM252" s="32"/>
      <c r="AN252" s="32"/>
    </row>
    <row r="253" spans="1:40">
      <c r="A253" s="32" t="str">
        <f>_xlfn.TEXTJOIN("",TRUE,_xlfn.XLOOKUP(B253,Input!J:J,Input!G:G,"",0,1),_xlfn.XLOOKUP(B253,Input!J:J,Input!H:H,"",0,1))</f>
        <v/>
      </c>
      <c r="B253" s="32"/>
      <c r="C253" s="53">
        <f>_xlfn.XLOOKUP(B253,Input!J:J,Input!F:F)</f>
        <v>0</v>
      </c>
      <c r="D253" s="32">
        <f>_xlfn.XLOOKUP(C253,Models!H:H,Models!G:G,C253)</f>
        <v>0</v>
      </c>
      <c r="E253" s="32"/>
      <c r="F253" s="32" t="str">
        <f>_xlfn.XLOOKUP(H253,Models!B:B,Models!F:F,"")</f>
        <v/>
      </c>
      <c r="G253" s="32">
        <f>_xlfn.XLOOKUP(B253,Input!J:J,Input!E:E)</f>
        <v>0</v>
      </c>
      <c r="H253" s="32">
        <f>IF(G253="LENOVO",_xlfn.XLOOKUP(B253,Input!J:J,Input!K:K),_xlfn.XLOOKUP(B253,Input!J:J,Input!L:L))</f>
        <v>0</v>
      </c>
      <c r="I253" s="32"/>
      <c r="J253" s="32"/>
      <c r="K253" s="32">
        <f>_xlfn.XLOOKUP(B253,CPU_Formula!A:A,CPU_Formula!I:I)</f>
        <v>0</v>
      </c>
      <c r="L253" s="53" t="e">
        <f>INDEX(Input!$D$2:$AC$500,
       MATCH(B253, Input!$J$2:$J$500, 0),
       MATCH("Memory Capacity", Input!$D$1:$AC$1, 0))</f>
        <v>#N/A</v>
      </c>
      <c r="M253" s="53" t="e">
        <f>INDEX(Input!$D$2:$AC$500,
       MATCH(B253, Input!$J$2:$J$500, 0),
       MATCH("Memory Type", Input!$D$1:$AC$1, 0))</f>
        <v>#N/A</v>
      </c>
      <c r="N253" s="53" t="e">
        <f t="shared" si="11"/>
        <v>#N/A</v>
      </c>
      <c r="O253" s="53" t="str" cm="1">
        <f t="array" ref="O253">IFERROR(_xlfn.FILTERXML("&lt;t&gt;&lt;s&gt;" &amp; SUBSTITUTE(M253," / ","&lt;/s&gt;&lt;s&gt;") &amp; "&lt;/s&gt;&lt;/t&gt;","(//s[contains(.,'DDR')])[1]"),"")</f>
        <v/>
      </c>
      <c r="P253" s="32" t="e">
        <f t="shared" si="13"/>
        <v>#N/A</v>
      </c>
      <c r="Q253" s="32"/>
      <c r="R253" s="32"/>
      <c r="S253" s="53" t="e">
        <f>_xlfn.LET(_xlpm.Result,INDEX(Input!$D$2:$AC$500,
       MATCH(B253, Input!$J$2:$J$500, 0),
       MATCH("Capacity", Input!$D$1:$AC$1, 0)),IF(_xlpm.Result="","",_xlpm.Result))</f>
        <v>#N/A</v>
      </c>
      <c r="T253" s="53" t="e" cm="1">
        <f t="array" ref="T253">_xlfn.TEXTSPLIT(S253," / ", ,TRUE,0,)</f>
        <v>#N/A</v>
      </c>
      <c r="U253" s="53"/>
      <c r="V253" s="53" t="str" cm="1">
        <f t="array" ref="V253">IFERROR(_xlfn.IFS(
T253="","",
--T253&lt;55,"Battery Defect",
--T253&lt;=69,"Battery D",
--T253&lt;=80,"Battery C",
--T253&gt;80,""
),"")</f>
        <v/>
      </c>
      <c r="W253" s="53" t="str" cm="1">
        <f t="array" ref="W253">IFERROR(_xlfn.IFS(
U253="","",
--U253&lt;55,"Battery Defect",
--U253&lt;=69,"Battery D",
--U253&lt;=80,"Battery C",
--U253&gt;80,""
),"")</f>
        <v/>
      </c>
      <c r="X253" s="53" t="str" cm="1">
        <f t="array" ref="X253:AC253">IFERROR(IF(_xlfn.XLOOKUP(B254,Input!J:J,Input!N:S)=0,"",
          _xlfn.XLOOKUP(B254,Input!J:J,Input!N:S)),"")</f>
        <v/>
      </c>
      <c r="Y253" s="53" t="str">
        <v/>
      </c>
      <c r="Z253" s="53" t="str">
        <v/>
      </c>
      <c r="AA253" s="53" t="str">
        <v/>
      </c>
      <c r="AB253" s="53" t="str">
        <v/>
      </c>
      <c r="AC253" s="53" t="str">
        <v/>
      </c>
      <c r="AD253" s="53"/>
      <c r="AE253" s="53"/>
      <c r="AF253" s="32" t="str">
        <f t="shared" si="12"/>
        <v/>
      </c>
      <c r="AG253" s="32"/>
      <c r="AH253" s="32"/>
      <c r="AI253" s="32"/>
      <c r="AJ253" s="32"/>
      <c r="AK253" s="32"/>
      <c r="AL253" s="32"/>
      <c r="AM253" s="32"/>
      <c r="AN253" s="32"/>
    </row>
    <row r="254" spans="1:40">
      <c r="A254" s="32" t="str">
        <f>_xlfn.TEXTJOIN("",TRUE,_xlfn.XLOOKUP(B254,Input!J:J,Input!G:G,"",0,1),_xlfn.XLOOKUP(B254,Input!J:J,Input!H:H,"",0,1))</f>
        <v/>
      </c>
      <c r="B254" s="32"/>
      <c r="C254" s="53">
        <f>_xlfn.XLOOKUP(B254,Input!J:J,Input!F:F)</f>
        <v>0</v>
      </c>
      <c r="D254" s="32">
        <f>_xlfn.XLOOKUP(C254,Models!H:H,Models!G:G,C254)</f>
        <v>0</v>
      </c>
      <c r="E254" s="32"/>
      <c r="F254" s="32" t="str">
        <f>_xlfn.XLOOKUP(H254,Models!B:B,Models!F:F,"")</f>
        <v/>
      </c>
      <c r="G254" s="32">
        <f>_xlfn.XLOOKUP(B254,Input!J:J,Input!E:E)</f>
        <v>0</v>
      </c>
      <c r="H254" s="32">
        <f>IF(G254="LENOVO",_xlfn.XLOOKUP(B254,Input!J:J,Input!K:K),_xlfn.XLOOKUP(B254,Input!J:J,Input!L:L))</f>
        <v>0</v>
      </c>
      <c r="I254" s="32"/>
      <c r="J254" s="32"/>
      <c r="K254" s="32">
        <f>_xlfn.XLOOKUP(B254,CPU_Formula!A:A,CPU_Formula!I:I)</f>
        <v>0</v>
      </c>
      <c r="L254" s="53" t="e">
        <f>INDEX(Input!$D$2:$AC$500,
       MATCH(B254, Input!$J$2:$J$500, 0),
       MATCH("Memory Capacity", Input!$D$1:$AC$1, 0))</f>
        <v>#N/A</v>
      </c>
      <c r="M254" s="53" t="e">
        <f>INDEX(Input!$D$2:$AC$500,
       MATCH(B254, Input!$J$2:$J$500, 0),
       MATCH("Memory Type", Input!$D$1:$AC$1, 0))</f>
        <v>#N/A</v>
      </c>
      <c r="N254" s="53" t="e">
        <f t="shared" si="11"/>
        <v>#N/A</v>
      </c>
      <c r="O254" s="53" t="str" cm="1">
        <f t="array" ref="O254">IFERROR(_xlfn.FILTERXML("&lt;t&gt;&lt;s&gt;" &amp; SUBSTITUTE(M254," / ","&lt;/s&gt;&lt;s&gt;") &amp; "&lt;/s&gt;&lt;/t&gt;","(//s[contains(.,'DDR')])[1]"),"")</f>
        <v/>
      </c>
      <c r="P254" s="32" t="e">
        <f t="shared" si="13"/>
        <v>#N/A</v>
      </c>
      <c r="Q254" s="32"/>
      <c r="R254" s="32"/>
      <c r="S254" s="53" t="e">
        <f>_xlfn.LET(_xlpm.Result,INDEX(Input!$D$2:$AC$500,
       MATCH(B254, Input!$J$2:$J$500, 0),
       MATCH("Capacity", Input!$D$1:$AC$1, 0)),IF(_xlpm.Result="","",_xlpm.Result))</f>
        <v>#N/A</v>
      </c>
      <c r="T254" s="53" t="e" cm="1">
        <f t="array" ref="T254">_xlfn.TEXTSPLIT(S254," / ", ,TRUE,0,)</f>
        <v>#N/A</v>
      </c>
      <c r="U254" s="53"/>
      <c r="V254" s="53" t="str" cm="1">
        <f t="array" ref="V254">IFERROR(_xlfn.IFS(
T254="","",
--T254&lt;55,"Battery Defect",
--T254&lt;=69,"Battery D",
--T254&lt;=80,"Battery C",
--T254&gt;80,""
),"")</f>
        <v/>
      </c>
      <c r="W254" s="53" t="str" cm="1">
        <f t="array" ref="W254">IFERROR(_xlfn.IFS(
U254="","",
--U254&lt;55,"Battery Defect",
--U254&lt;=69,"Battery D",
--U254&lt;=80,"Battery C",
--U254&gt;80,""
),"")</f>
        <v/>
      </c>
      <c r="X254" s="53" t="str" cm="1">
        <f t="array" ref="X254:AC254">IFERROR(IF(_xlfn.XLOOKUP(B255,Input!J:J,Input!N:S)=0,"",
          _xlfn.XLOOKUP(B255,Input!J:J,Input!N:S)),"")</f>
        <v/>
      </c>
      <c r="Y254" s="53" t="str">
        <v/>
      </c>
      <c r="Z254" s="53" t="str">
        <v/>
      </c>
      <c r="AA254" s="53" t="str">
        <v/>
      </c>
      <c r="AB254" s="53" t="str">
        <v/>
      </c>
      <c r="AC254" s="53" t="str">
        <v/>
      </c>
      <c r="AD254" s="53"/>
      <c r="AE254" s="53"/>
      <c r="AF254" s="32" t="str">
        <f t="shared" si="12"/>
        <v/>
      </c>
      <c r="AG254" s="32"/>
      <c r="AH254" s="32"/>
      <c r="AI254" s="32"/>
      <c r="AJ254" s="32"/>
      <c r="AK254" s="32"/>
      <c r="AL254" s="32"/>
      <c r="AM254" s="32"/>
      <c r="AN254" s="32"/>
    </row>
    <row r="255" spans="1:40">
      <c r="A255" s="32" t="str">
        <f>_xlfn.TEXTJOIN("",TRUE,_xlfn.XLOOKUP(B255,Input!J:J,Input!G:G,"",0,1),_xlfn.XLOOKUP(B255,Input!J:J,Input!H:H,"",0,1))</f>
        <v/>
      </c>
      <c r="B255" s="32"/>
      <c r="C255" s="53">
        <f>_xlfn.XLOOKUP(B255,Input!J:J,Input!F:F)</f>
        <v>0</v>
      </c>
      <c r="D255" s="32">
        <f>_xlfn.XLOOKUP(C255,Models!H:H,Models!G:G,C255)</f>
        <v>0</v>
      </c>
      <c r="E255" s="32"/>
      <c r="F255" s="32" t="str">
        <f>_xlfn.XLOOKUP(H255,Models!B:B,Models!F:F,"")</f>
        <v/>
      </c>
      <c r="G255" s="32">
        <f>_xlfn.XLOOKUP(B255,Input!J:J,Input!E:E)</f>
        <v>0</v>
      </c>
      <c r="H255" s="32">
        <f>IF(G255="LENOVO",_xlfn.XLOOKUP(B255,Input!J:J,Input!K:K),_xlfn.XLOOKUP(B255,Input!J:J,Input!L:L))</f>
        <v>0</v>
      </c>
      <c r="I255" s="32"/>
      <c r="J255" s="32"/>
      <c r="K255" s="32">
        <f>_xlfn.XLOOKUP(B255,CPU_Formula!A:A,CPU_Formula!I:I)</f>
        <v>0</v>
      </c>
      <c r="L255" s="53"/>
      <c r="M255" s="53"/>
      <c r="N255" s="53"/>
      <c r="O255" s="53" t="str" cm="1">
        <f t="array" ref="O255">IFERROR(_xlfn.FILTERXML("&lt;t&gt;&lt;s&gt;" &amp; SUBSTITUTE(M255," / ","&lt;/s&gt;&lt;s&gt;") &amp; "&lt;/s&gt;&lt;/t&gt;","(//s[contains(.,'DDR')])[1]"),"")</f>
        <v/>
      </c>
      <c r="P255" s="32" t="str">
        <f t="shared" si="13"/>
        <v>GB</v>
      </c>
      <c r="Q255" s="32"/>
      <c r="R255" s="32"/>
      <c r="S255" s="53" t="e">
        <f>_xlfn.LET(_xlpm.Result,INDEX(Input!$D$2:$AC$500,
       MATCH(B255, Input!$J$2:$J$500, 0),
       MATCH("Capacity", Input!$D$1:$AC$1, 0)),IF(_xlpm.Result="","",_xlpm.Result))</f>
        <v>#N/A</v>
      </c>
      <c r="T255" s="53" t="e" cm="1">
        <f t="array" ref="T255">_xlfn.TEXTSPLIT(S255," / ", ,TRUE,0,)</f>
        <v>#N/A</v>
      </c>
      <c r="U255" s="53"/>
      <c r="V255" s="53" t="str" cm="1">
        <f t="array" ref="V255">IFERROR(_xlfn.IFS(
T255="","",
--T255&lt;55,"Battery Defect",
--T255&lt;=69,"Battery D",
--T255&lt;=80,"Battery C",
--T255&gt;80,""
),"")</f>
        <v/>
      </c>
      <c r="W255" s="53" t="str" cm="1">
        <f t="array" ref="W255">IFERROR(_xlfn.IFS(
U255="","",
--U255&lt;55,"Battery Defect",
--U255&lt;=69,"Battery D",
--U255&lt;=80,"Battery C",
--U255&gt;80,""
),"")</f>
        <v/>
      </c>
      <c r="X255" s="53" t="str" cm="1">
        <f t="array" ref="X255:AC255">IFERROR(IF(_xlfn.XLOOKUP(B256,Input!J:J,Input!N:S)=0,"",
          _xlfn.XLOOKUP(B256,Input!J:J,Input!N:S)),"")</f>
        <v/>
      </c>
      <c r="Y255" s="53" t="str">
        <v/>
      </c>
      <c r="Z255" s="53" t="str">
        <v/>
      </c>
      <c r="AA255" s="53" t="str">
        <v/>
      </c>
      <c r="AB255" s="53" t="str">
        <v/>
      </c>
      <c r="AC255" s="53" t="str">
        <v/>
      </c>
      <c r="AD255" s="53"/>
      <c r="AE255" s="53"/>
      <c r="AF255" s="32" t="str">
        <f t="shared" si="12"/>
        <v/>
      </c>
      <c r="AG255" s="32"/>
      <c r="AH255" s="32"/>
      <c r="AI255" s="32"/>
      <c r="AJ255" s="32"/>
      <c r="AK255" s="32"/>
      <c r="AL255" s="32"/>
      <c r="AM255" s="32"/>
      <c r="AN255" s="32"/>
    </row>
    <row r="256" spans="1:40">
      <c r="A256" s="32" t="str">
        <f>_xlfn.TEXTJOIN("",TRUE,_xlfn.XLOOKUP(B256,Input!J:J,Input!G:G,"",0,1),_xlfn.XLOOKUP(B256,Input!J:J,Input!H:H,"",0,1))</f>
        <v/>
      </c>
      <c r="B256" s="32"/>
      <c r="C256" s="53">
        <f>_xlfn.XLOOKUP(B256,Input!J:J,Input!F:F)</f>
        <v>0</v>
      </c>
      <c r="D256" s="32">
        <f>_xlfn.XLOOKUP(C256,Models!H:H,Models!G:G,C256)</f>
        <v>0</v>
      </c>
      <c r="E256" s="32"/>
      <c r="F256" s="32" t="str">
        <f>_xlfn.XLOOKUP(H256,Models!B:B,Models!F:F,"")</f>
        <v/>
      </c>
      <c r="G256" s="32">
        <f>_xlfn.XLOOKUP(B256,Input!J:J,Input!E:E)</f>
        <v>0</v>
      </c>
      <c r="H256" s="32">
        <f>IF(G256="LENOVO",_xlfn.XLOOKUP(B256,Input!J:J,Input!K:K),_xlfn.XLOOKUP(B256,Input!J:J,Input!L:L))</f>
        <v>0</v>
      </c>
      <c r="I256" s="32"/>
      <c r="J256" s="32"/>
      <c r="K256" s="32">
        <f>_xlfn.XLOOKUP(B256,CPU_Formula!A:A,CPU_Formula!I:I)</f>
        <v>0</v>
      </c>
      <c r="L256" s="53"/>
      <c r="M256" s="53"/>
      <c r="N256" s="53"/>
      <c r="O256" s="53" t="str" cm="1">
        <f t="array" ref="O256">IFERROR(_xlfn.FILTERXML("&lt;t&gt;&lt;s&gt;" &amp; SUBSTITUTE(M256," / ","&lt;/s&gt;&lt;s&gt;") &amp; "&lt;/s&gt;&lt;/t&gt;","(//s[contains(.,'DDR')])[1]"),"")</f>
        <v/>
      </c>
      <c r="P256" s="32" t="str">
        <f t="shared" si="13"/>
        <v>GB</v>
      </c>
      <c r="Q256" s="32"/>
      <c r="R256" s="32"/>
      <c r="S256" s="53" t="e">
        <f>_xlfn.LET(_xlpm.Result,INDEX(Input!$D$2:$AC$500,
       MATCH(B256, Input!$J$2:$J$500, 0),
       MATCH("Capacity", Input!$D$1:$AC$1, 0)),IF(_xlpm.Result="","",_xlpm.Result))</f>
        <v>#N/A</v>
      </c>
      <c r="T256" s="53" t="e" cm="1">
        <f t="array" ref="T256">_xlfn.TEXTSPLIT(S256," / ", ,TRUE,0,)</f>
        <v>#N/A</v>
      </c>
      <c r="U256" s="53"/>
      <c r="V256" s="53" t="str" cm="1">
        <f t="array" ref="V256">IFERROR(_xlfn.IFS(
T256="","",
--T256&lt;55,"Battery Defect",
--T256&lt;=69,"Battery D",
--T256&lt;=80,"Battery C",
--T256&gt;80,""
),"")</f>
        <v/>
      </c>
      <c r="W256" s="53" t="str" cm="1">
        <f t="array" ref="W256">IFERROR(_xlfn.IFS(
U256="","",
--U256&lt;55,"Battery Defect",
--U256&lt;=69,"Battery D",
--U256&lt;=80,"Battery C",
--U256&gt;80,""
),"")</f>
        <v/>
      </c>
      <c r="X256" s="53" t="str" cm="1">
        <f t="array" ref="X256:AC256">IFERROR(IF(_xlfn.XLOOKUP(B257,Input!J:J,Input!N:S)=0,"",
          _xlfn.XLOOKUP(B257,Input!J:J,Input!N:S)),"")</f>
        <v/>
      </c>
      <c r="Y256" s="53" t="str">
        <v/>
      </c>
      <c r="Z256" s="53" t="str">
        <v/>
      </c>
      <c r="AA256" s="53" t="str">
        <v/>
      </c>
      <c r="AB256" s="53" t="str">
        <v/>
      </c>
      <c r="AC256" s="53" t="str">
        <v/>
      </c>
      <c r="AD256" s="53"/>
      <c r="AE256" s="53"/>
      <c r="AF256" s="32" t="str">
        <f t="shared" si="12"/>
        <v/>
      </c>
      <c r="AG256" s="32"/>
      <c r="AH256" s="32"/>
      <c r="AI256" s="32"/>
      <c r="AJ256" s="32"/>
      <c r="AK256" s="32"/>
      <c r="AL256" s="32"/>
      <c r="AM256" s="32"/>
      <c r="AN256" s="32"/>
    </row>
    <row r="257" spans="1:40">
      <c r="A257" s="32" t="str">
        <f>_xlfn.TEXTJOIN("",TRUE,_xlfn.XLOOKUP(B257,Input!J:J,Input!G:G,"",0,1),_xlfn.XLOOKUP(B257,Input!J:J,Input!H:H,"",0,1))</f>
        <v/>
      </c>
      <c r="B257" s="32"/>
      <c r="C257" s="53">
        <f>_xlfn.XLOOKUP(B257,Input!J:J,Input!F:F)</f>
        <v>0</v>
      </c>
      <c r="D257" s="32">
        <f>_xlfn.XLOOKUP(C257,Models!H:H,Models!G:G,C257)</f>
        <v>0</v>
      </c>
      <c r="E257" s="32"/>
      <c r="F257" s="32" t="str">
        <f>_xlfn.XLOOKUP(H257,Models!B:B,Models!F:F,"")</f>
        <v/>
      </c>
      <c r="G257" s="32">
        <f>_xlfn.XLOOKUP(B257,Input!J:J,Input!E:E)</f>
        <v>0</v>
      </c>
      <c r="H257" s="32">
        <f>IF(G257="LENOVO",_xlfn.XLOOKUP(B257,Input!J:J,Input!K:K),_xlfn.XLOOKUP(B257,Input!J:J,Input!L:L))</f>
        <v>0</v>
      </c>
      <c r="I257" s="32"/>
      <c r="J257" s="32"/>
      <c r="K257" s="32">
        <f>_xlfn.XLOOKUP(B257,CPU_Formula!A:A,CPU_Formula!I:I)</f>
        <v>0</v>
      </c>
      <c r="L257" s="53"/>
      <c r="M257" s="53"/>
      <c r="N257" s="53"/>
      <c r="O257" s="53" t="str" cm="1">
        <f t="array" ref="O257">IFERROR(_xlfn.FILTERXML("&lt;t&gt;&lt;s&gt;" &amp; SUBSTITUTE(M257," / ","&lt;/s&gt;&lt;s&gt;") &amp; "&lt;/s&gt;&lt;/t&gt;","(//s[contains(.,'DDR')])[1]"),"")</f>
        <v/>
      </c>
      <c r="P257" s="32" t="str">
        <f t="shared" si="13"/>
        <v>GB</v>
      </c>
      <c r="Q257" s="32"/>
      <c r="R257" s="32"/>
      <c r="S257" s="53" t="e">
        <f>_xlfn.LET(_xlpm.Result,INDEX(Input!$D$2:$AC$500,
       MATCH(B257, Input!$J$2:$J$500, 0),
       MATCH("Capacity", Input!$D$1:$AC$1, 0)),IF(_xlpm.Result="","",_xlpm.Result))</f>
        <v>#N/A</v>
      </c>
      <c r="T257" s="53" t="e" cm="1">
        <f t="array" ref="T257">_xlfn.TEXTSPLIT(S257," / ", ,TRUE,0,)</f>
        <v>#N/A</v>
      </c>
      <c r="U257" s="53"/>
      <c r="V257" s="53" t="str" cm="1">
        <f t="array" ref="V257">IFERROR(_xlfn.IFS(
T257="","",
--T257&lt;55,"Battery Defect",
--T257&lt;=69,"Battery D",
--T257&lt;=80,"Battery C",
--T257&gt;80,""
),"")</f>
        <v/>
      </c>
      <c r="W257" s="53" t="str" cm="1">
        <f t="array" ref="W257">IFERROR(_xlfn.IFS(
U257="","",
--U257&lt;55,"Battery Defect",
--U257&lt;=69,"Battery D",
--U257&lt;=80,"Battery C",
--U257&gt;80,""
),"")</f>
        <v/>
      </c>
      <c r="X257" s="53" t="str" cm="1">
        <f t="array" ref="X257:AC257">IFERROR(IF(_xlfn.XLOOKUP(B258,Input!J:J,Input!N:S)=0,"",
          _xlfn.XLOOKUP(B258,Input!J:J,Input!N:S)),"")</f>
        <v/>
      </c>
      <c r="Y257" s="53" t="str">
        <v/>
      </c>
      <c r="Z257" s="53" t="str">
        <v/>
      </c>
      <c r="AA257" s="53" t="str">
        <v/>
      </c>
      <c r="AB257" s="53" t="str">
        <v/>
      </c>
      <c r="AC257" s="53" t="str">
        <v/>
      </c>
      <c r="AD257" s="53"/>
      <c r="AE257" s="53"/>
      <c r="AF257" s="32" t="str">
        <f t="shared" si="12"/>
        <v/>
      </c>
      <c r="AG257" s="32"/>
      <c r="AH257" s="32"/>
      <c r="AI257" s="32"/>
      <c r="AJ257" s="32"/>
      <c r="AK257" s="32"/>
      <c r="AL257" s="32"/>
      <c r="AM257" s="32"/>
      <c r="AN257" s="32"/>
    </row>
    <row r="258" spans="1:40">
      <c r="A258" s="32" t="str">
        <f>_xlfn.TEXTJOIN("",TRUE,_xlfn.XLOOKUP(B258,Input!J:J,Input!G:G,"",0,1),_xlfn.XLOOKUP(B258,Input!J:J,Input!H:H,"",0,1))</f>
        <v/>
      </c>
      <c r="B258" s="32"/>
      <c r="C258" s="53">
        <f>_xlfn.XLOOKUP(B258,Input!J:J,Input!F:F)</f>
        <v>0</v>
      </c>
      <c r="D258" s="32">
        <f>_xlfn.XLOOKUP(C258,Models!H:H,Models!G:G,C258)</f>
        <v>0</v>
      </c>
      <c r="E258" s="32"/>
      <c r="F258" s="32" t="str">
        <f>_xlfn.XLOOKUP(H258,Models!B:B,Models!F:F,"")</f>
        <v/>
      </c>
      <c r="G258" s="32">
        <f>_xlfn.XLOOKUP(B258,Input!J:J,Input!E:E)</f>
        <v>0</v>
      </c>
      <c r="H258" s="32">
        <f>IF(G258="LENOVO",_xlfn.XLOOKUP(B258,Input!J:J,Input!K:K),_xlfn.XLOOKUP(B258,Input!J:J,Input!L:L))</f>
        <v>0</v>
      </c>
      <c r="I258" s="32"/>
      <c r="J258" s="32"/>
      <c r="K258" s="32">
        <f>_xlfn.XLOOKUP(B258,CPU_Formula!A:A,CPU_Formula!I:I)</f>
        <v>0</v>
      </c>
      <c r="L258" s="53"/>
      <c r="M258" s="53"/>
      <c r="N258" s="53"/>
      <c r="O258" s="53" t="str" cm="1">
        <f t="array" ref="O258">IFERROR(_xlfn.FILTERXML("&lt;t&gt;&lt;s&gt;" &amp; SUBSTITUTE(M258," / ","&lt;/s&gt;&lt;s&gt;") &amp; "&lt;/s&gt;&lt;/t&gt;","(//s[contains(.,'DDR')])[1]"),"")</f>
        <v/>
      </c>
      <c r="P258" s="32" t="str">
        <f t="shared" si="13"/>
        <v>GB</v>
      </c>
      <c r="Q258" s="32"/>
      <c r="R258" s="32"/>
      <c r="S258" s="53" t="e">
        <f>_xlfn.LET(_xlpm.Result,INDEX(Input!$D$2:$AC$500,
       MATCH(B258, Input!$J$2:$J$500, 0),
       MATCH("Capacity", Input!$D$1:$AC$1, 0)),IF(_xlpm.Result="","",_xlpm.Result))</f>
        <v>#N/A</v>
      </c>
      <c r="T258" s="53" t="e" cm="1">
        <f t="array" ref="T258">_xlfn.TEXTSPLIT(S258," / ", ,TRUE,0,)</f>
        <v>#N/A</v>
      </c>
      <c r="U258" s="53"/>
      <c r="V258" s="53" t="str" cm="1">
        <f t="array" ref="V258">IFERROR(_xlfn.IFS(
T258="","",
--T258&lt;55,"Battery Defect",
--T258&lt;=69,"Battery D",
--T258&lt;=80,"Battery C",
--T258&gt;80,""
),"")</f>
        <v/>
      </c>
      <c r="W258" s="53" t="str" cm="1">
        <f t="array" ref="W258">IFERROR(_xlfn.IFS(
U258="","",
--U258&lt;55,"Battery Defect",
--U258&lt;=69,"Battery D",
--U258&lt;=80,"Battery C",
--U258&gt;80,""
),"")</f>
        <v/>
      </c>
      <c r="X258" s="53" t="str" cm="1">
        <f t="array" ref="X258:AC258">IFERROR(IF(_xlfn.XLOOKUP(B259,Input!J:J,Input!N:S)=0,"",
          _xlfn.XLOOKUP(B259,Input!J:J,Input!N:S)),"")</f>
        <v/>
      </c>
      <c r="Y258" s="53" t="str">
        <v/>
      </c>
      <c r="Z258" s="53" t="str">
        <v/>
      </c>
      <c r="AA258" s="53" t="str">
        <v/>
      </c>
      <c r="AB258" s="53" t="str">
        <v/>
      </c>
      <c r="AC258" s="53" t="str">
        <v/>
      </c>
      <c r="AD258" s="53"/>
      <c r="AE258" s="53"/>
      <c r="AF258" s="32" t="str">
        <f t="shared" si="12"/>
        <v/>
      </c>
      <c r="AG258" s="32"/>
      <c r="AH258" s="32"/>
      <c r="AI258" s="32"/>
      <c r="AJ258" s="32"/>
      <c r="AK258" s="32"/>
      <c r="AL258" s="32"/>
      <c r="AM258" s="32"/>
      <c r="AN258" s="32"/>
    </row>
    <row r="259" spans="1:40">
      <c r="A259" s="32" t="str">
        <f>_xlfn.TEXTJOIN("",TRUE,_xlfn.XLOOKUP(B259,Input!J:J,Input!G:G,"",0,1),_xlfn.XLOOKUP(B259,Input!J:J,Input!H:H,"",0,1))</f>
        <v/>
      </c>
      <c r="B259" s="32"/>
      <c r="C259" s="53">
        <f>_xlfn.XLOOKUP(B259,Input!J:J,Input!F:F)</f>
        <v>0</v>
      </c>
      <c r="D259" s="32">
        <f>_xlfn.XLOOKUP(C259,Models!H:H,Models!G:G,C259)</f>
        <v>0</v>
      </c>
      <c r="E259" s="32"/>
      <c r="F259" s="32" t="str">
        <f>_xlfn.XLOOKUP(H259,Models!B:B,Models!F:F,"")</f>
        <v/>
      </c>
      <c r="G259" s="32">
        <f>_xlfn.XLOOKUP(B259,Input!J:J,Input!E:E)</f>
        <v>0</v>
      </c>
      <c r="H259" s="32">
        <f>IF(G259="LENOVO",_xlfn.XLOOKUP(B259,Input!J:J,Input!K:K),_xlfn.XLOOKUP(B259,Input!J:J,Input!L:L))</f>
        <v>0</v>
      </c>
      <c r="I259" s="32"/>
      <c r="J259" s="32"/>
      <c r="K259" s="32">
        <f>_xlfn.XLOOKUP(B259,CPU_Formula!A:A,CPU_Formula!I:I)</f>
        <v>0</v>
      </c>
      <c r="L259" s="53"/>
      <c r="M259" s="53"/>
      <c r="N259" s="53"/>
      <c r="O259" s="53" t="str" cm="1">
        <f t="array" ref="O259">IFERROR(_xlfn.FILTERXML("&lt;t&gt;&lt;s&gt;" &amp; SUBSTITUTE(M259," / ","&lt;/s&gt;&lt;s&gt;") &amp; "&lt;/s&gt;&lt;/t&gt;","(//s[contains(.,'DDR')])[1]"),"")</f>
        <v/>
      </c>
      <c r="P259" s="32" t="str">
        <f t="shared" si="13"/>
        <v>GB</v>
      </c>
      <c r="Q259" s="32"/>
      <c r="R259" s="32"/>
      <c r="S259" s="53" t="e">
        <f>_xlfn.LET(_xlpm.Result,INDEX(Input!$D$2:$AC$500,
       MATCH(B259, Input!$J$2:$J$500, 0),
       MATCH("Capacity", Input!$D$1:$AC$1, 0)),IF(_xlpm.Result="","",_xlpm.Result))</f>
        <v>#N/A</v>
      </c>
      <c r="T259" s="53" t="e" cm="1">
        <f t="array" ref="T259">_xlfn.TEXTSPLIT(S259," / ", ,TRUE,0,)</f>
        <v>#N/A</v>
      </c>
      <c r="U259" s="53"/>
      <c r="V259" s="53" t="str" cm="1">
        <f t="array" ref="V259">IFERROR(_xlfn.IFS(
T259="","",
--T259&lt;55,"Battery Defect",
--T259&lt;=69,"Battery D",
--T259&lt;=80,"Battery C",
--T259&gt;80,""
),"")</f>
        <v/>
      </c>
      <c r="W259" s="53" t="str" cm="1">
        <f t="array" ref="W259">IFERROR(_xlfn.IFS(
U259="","",
--U259&lt;55,"Battery Defect",
--U259&lt;=69,"Battery D",
--U259&lt;=80,"Battery C",
--U259&gt;80,""
),"")</f>
        <v/>
      </c>
      <c r="X259" s="53" t="str" cm="1">
        <f t="array" ref="X259:AC259">IFERROR(IF(_xlfn.XLOOKUP(B260,Input!J:J,Input!N:S)=0,"",
          _xlfn.XLOOKUP(B260,Input!J:J,Input!N:S)),"")</f>
        <v/>
      </c>
      <c r="Y259" s="53" t="str">
        <v/>
      </c>
      <c r="Z259" s="53" t="str">
        <v/>
      </c>
      <c r="AA259" s="53" t="str">
        <v/>
      </c>
      <c r="AB259" s="53" t="str">
        <v/>
      </c>
      <c r="AC259" s="53" t="str">
        <v/>
      </c>
      <c r="AD259" s="53"/>
      <c r="AE259" s="53"/>
      <c r="AF259" s="32" t="str">
        <f t="shared" ref="AF259:AF322" si="14">IF(D259="Laptop",_xlfn.TEXTJOIN(", ",TRUE,V259,W259,X259,Y259,Z259,AA259,AB259,AC259), _xlfn.TEXTJOIN(", ",TRUE,X259,Y259,Z259,AA259,AB259,AC259))</f>
        <v/>
      </c>
      <c r="AG259" s="32"/>
      <c r="AH259" s="32"/>
      <c r="AI259" s="32"/>
      <c r="AJ259" s="32"/>
      <c r="AK259" s="32"/>
      <c r="AL259" s="32"/>
      <c r="AM259" s="32"/>
      <c r="AN259" s="32"/>
    </row>
    <row r="260" spans="1:40">
      <c r="A260" s="32" t="str">
        <f>_xlfn.TEXTJOIN("",TRUE,_xlfn.XLOOKUP(B260,Input!J:J,Input!G:G,"",0,1),_xlfn.XLOOKUP(B260,Input!J:J,Input!H:H,"",0,1))</f>
        <v/>
      </c>
      <c r="B260" s="32"/>
      <c r="C260" s="53">
        <f>_xlfn.XLOOKUP(B260,Input!J:J,Input!F:F)</f>
        <v>0</v>
      </c>
      <c r="D260" s="32">
        <f>_xlfn.XLOOKUP(C260,Models!H:H,Models!G:G,C260)</f>
        <v>0</v>
      </c>
      <c r="E260" s="32"/>
      <c r="F260" s="32" t="str">
        <f>_xlfn.XLOOKUP(H260,Models!B:B,Models!F:F,"")</f>
        <v/>
      </c>
      <c r="G260" s="32">
        <f>_xlfn.XLOOKUP(B260,Input!J:J,Input!E:E)</f>
        <v>0</v>
      </c>
      <c r="H260" s="32">
        <f>IF(G260="LENOVO",_xlfn.XLOOKUP(B260,Input!J:J,Input!K:K),_xlfn.XLOOKUP(B260,Input!J:J,Input!L:L))</f>
        <v>0</v>
      </c>
      <c r="I260" s="32"/>
      <c r="J260" s="32"/>
      <c r="K260" s="32">
        <f>_xlfn.XLOOKUP(B260,CPU_Formula!A:A,CPU_Formula!I:I)</f>
        <v>0</v>
      </c>
      <c r="L260" s="53"/>
      <c r="M260" s="53"/>
      <c r="N260" s="53"/>
      <c r="O260" s="53" t="str" cm="1">
        <f t="array" ref="O260">IFERROR(_xlfn.FILTERXML("&lt;t&gt;&lt;s&gt;" &amp; SUBSTITUTE(M260," / ","&lt;/s&gt;&lt;s&gt;") &amp; "&lt;/s&gt;&lt;/t&gt;","(//s[contains(.,'DDR')])[1]"),"")</f>
        <v/>
      </c>
      <c r="P260" s="32" t="str">
        <f t="shared" si="13"/>
        <v>GB</v>
      </c>
      <c r="Q260" s="32"/>
      <c r="R260" s="32"/>
      <c r="S260" s="53" t="e">
        <f>_xlfn.LET(_xlpm.Result,INDEX(Input!$D$2:$AC$500,
       MATCH(B260, Input!$J$2:$J$500, 0),
       MATCH("Capacity", Input!$D$1:$AC$1, 0)),IF(_xlpm.Result="","",_xlpm.Result))</f>
        <v>#N/A</v>
      </c>
      <c r="T260" s="53" t="e" cm="1">
        <f t="array" ref="T260">_xlfn.TEXTSPLIT(S260," / ", ,TRUE,0,)</f>
        <v>#N/A</v>
      </c>
      <c r="U260" s="53"/>
      <c r="V260" s="53" t="str" cm="1">
        <f t="array" ref="V260">IFERROR(_xlfn.IFS(
T260="","",
--T260&lt;55,"Battery Defect",
--T260&lt;=69,"Battery D",
--T260&lt;=80,"Battery C",
--T260&gt;80,""
),"")</f>
        <v/>
      </c>
      <c r="W260" s="53" t="str" cm="1">
        <f t="array" ref="W260">IFERROR(_xlfn.IFS(
U260="","",
--U260&lt;55,"Battery Defect",
--U260&lt;=69,"Battery D",
--U260&lt;=80,"Battery C",
--U260&gt;80,""
),"")</f>
        <v/>
      </c>
      <c r="X260" s="53"/>
      <c r="Y260" s="53"/>
      <c r="Z260" s="53"/>
      <c r="AA260" s="53"/>
      <c r="AB260" s="53"/>
      <c r="AC260" s="53"/>
      <c r="AD260" s="53"/>
      <c r="AE260" s="53"/>
      <c r="AF260" s="32" t="str">
        <f t="shared" si="14"/>
        <v/>
      </c>
      <c r="AG260" s="32"/>
      <c r="AH260" s="32"/>
      <c r="AI260" s="32"/>
      <c r="AJ260" s="32"/>
      <c r="AK260" s="32"/>
      <c r="AL260" s="32"/>
      <c r="AM260" s="32"/>
      <c r="AN260" s="32"/>
    </row>
    <row r="261" spans="1:40">
      <c r="A261" s="32" t="str">
        <f>_xlfn.TEXTJOIN("",TRUE,_xlfn.XLOOKUP(B261,Input!J:J,Input!G:G,"",0,1),_xlfn.XLOOKUP(B261,Input!J:J,Input!H:H,"",0,1))</f>
        <v/>
      </c>
      <c r="B261" s="32"/>
      <c r="C261" s="53">
        <f>_xlfn.XLOOKUP(B261,Input!J:J,Input!F:F)</f>
        <v>0</v>
      </c>
      <c r="D261" s="32">
        <f>_xlfn.XLOOKUP(C261,Models!H:H,Models!G:G,C261)</f>
        <v>0</v>
      </c>
      <c r="E261" s="32"/>
      <c r="F261" s="32" t="str">
        <f>_xlfn.XLOOKUP(H261,Models!B:B,Models!F:F,"")</f>
        <v/>
      </c>
      <c r="G261" s="32">
        <f>_xlfn.XLOOKUP(B261,Input!J:J,Input!E:E)</f>
        <v>0</v>
      </c>
      <c r="H261" s="32">
        <f>IF(G261="LENOVO",_xlfn.XLOOKUP(B261,Input!J:J,Input!K:K),_xlfn.XLOOKUP(B261,Input!J:J,Input!L:L))</f>
        <v>0</v>
      </c>
      <c r="I261" s="32"/>
      <c r="J261" s="32"/>
      <c r="K261" s="32"/>
      <c r="L261" s="53"/>
      <c r="M261" s="53"/>
      <c r="N261" s="53"/>
      <c r="O261" s="53" t="str" cm="1">
        <f t="array" ref="O261">IFERROR(_xlfn.FILTERXML("&lt;t&gt;&lt;s&gt;" &amp; SUBSTITUTE(M261," / ","&lt;/s&gt;&lt;s&gt;") &amp; "&lt;/s&gt;&lt;/t&gt;","(//s[contains(.,'DDR')])[1]"),"")</f>
        <v/>
      </c>
      <c r="P261" s="32" t="str">
        <f t="shared" si="13"/>
        <v>GB</v>
      </c>
      <c r="Q261" s="32"/>
      <c r="R261" s="32"/>
      <c r="S261" s="53" t="e">
        <f>_xlfn.LET(_xlpm.Result,INDEX(Input!$D$2:$AC$500,
       MATCH(B261, Input!$J$2:$J$500, 0),
       MATCH("Capacity", Input!$D$1:$AC$1, 0)),IF(_xlpm.Result="","",_xlpm.Result))</f>
        <v>#N/A</v>
      </c>
      <c r="T261" s="53" t="e" cm="1">
        <f t="array" ref="T261">_xlfn.TEXTSPLIT(S261," / ", ,TRUE,0,)</f>
        <v>#N/A</v>
      </c>
      <c r="U261" s="53"/>
      <c r="V261" s="53" t="str" cm="1">
        <f t="array" ref="V261">IFERROR(_xlfn.IFS(
T261="","",
--T261&lt;55,"Battery Defect",
--T261&lt;=69,"Battery D",
--T261&lt;=80,"Battery C",
--T261&gt;80,""
),"")</f>
        <v/>
      </c>
      <c r="W261" s="53" t="str" cm="1">
        <f t="array" ref="W261">IFERROR(_xlfn.IFS(
U261="","",
--U261&lt;55,"Battery Defect",
--U261&lt;=69,"Battery D",
--U261&lt;=80,"Battery C",
--U261&gt;80,""
),"")</f>
        <v/>
      </c>
      <c r="X261" s="53"/>
      <c r="Y261" s="53"/>
      <c r="Z261" s="53"/>
      <c r="AA261" s="53"/>
      <c r="AB261" s="53"/>
      <c r="AC261" s="53"/>
      <c r="AD261" s="53"/>
      <c r="AE261" s="53"/>
      <c r="AF261" s="32" t="str">
        <f t="shared" si="14"/>
        <v/>
      </c>
      <c r="AG261" s="32"/>
      <c r="AH261" s="32"/>
      <c r="AI261" s="32"/>
      <c r="AJ261" s="32"/>
      <c r="AK261" s="32"/>
      <c r="AL261" s="32"/>
      <c r="AM261" s="32"/>
      <c r="AN261" s="32"/>
    </row>
    <row r="262" spans="1:40">
      <c r="A262" s="32" t="str">
        <f>_xlfn.TEXTJOIN("",TRUE,_xlfn.XLOOKUP(B262,Input!J:J,Input!G:G,"",0,1),_xlfn.XLOOKUP(B262,Input!J:J,Input!H:H,"",0,1))</f>
        <v/>
      </c>
      <c r="B262" s="32"/>
      <c r="C262" s="53">
        <f>_xlfn.XLOOKUP(B262,Input!J:J,Input!F:F)</f>
        <v>0</v>
      </c>
      <c r="D262" s="32">
        <f>_xlfn.XLOOKUP(C262,Models!H:H,Models!G:G,C262)</f>
        <v>0</v>
      </c>
      <c r="E262" s="32"/>
      <c r="F262" s="32" t="str">
        <f>_xlfn.XLOOKUP(H262,Models!B:B,Models!F:F,"")</f>
        <v/>
      </c>
      <c r="G262" s="32">
        <f>_xlfn.XLOOKUP(B262,Input!J:J,Input!E:E)</f>
        <v>0</v>
      </c>
      <c r="H262" s="32">
        <f>IF(G262="LENOVO",_xlfn.XLOOKUP(B262,Input!J:J,Input!K:K),_xlfn.XLOOKUP(B262,Input!J:J,Input!L:L))</f>
        <v>0</v>
      </c>
      <c r="I262" s="32"/>
      <c r="J262" s="32"/>
      <c r="K262" s="32"/>
      <c r="L262" s="53"/>
      <c r="M262" s="53"/>
      <c r="N262" s="53"/>
      <c r="O262" s="53" t="str" cm="1">
        <f t="array" ref="O262">IFERROR(_xlfn.FILTERXML("&lt;t&gt;&lt;s&gt;" &amp; SUBSTITUTE(M262," / ","&lt;/s&gt;&lt;s&gt;") &amp; "&lt;/s&gt;&lt;/t&gt;","(//s[contains(.,'DDR')])[1]"),"")</f>
        <v/>
      </c>
      <c r="P262" s="32" t="str">
        <f t="shared" si="13"/>
        <v>GB</v>
      </c>
      <c r="Q262" s="32"/>
      <c r="R262" s="32"/>
      <c r="S262" s="53" t="e">
        <f>_xlfn.LET(_xlpm.Result,INDEX(Input!$D$2:$AC$500,
       MATCH(B262, Input!$J$2:$J$500, 0),
       MATCH("Capacity", Input!$D$1:$AC$1, 0)),IF(_xlpm.Result="","",_xlpm.Result))</f>
        <v>#N/A</v>
      </c>
      <c r="T262" s="53" t="e" cm="1">
        <f t="array" ref="T262">_xlfn.TEXTSPLIT(S262," / ", ,TRUE,0,)</f>
        <v>#N/A</v>
      </c>
      <c r="U262" s="53"/>
      <c r="V262" s="53" t="str" cm="1">
        <f t="array" ref="V262">IFERROR(_xlfn.IFS(
T262="","",
--T262&lt;55,"Battery Defect",
--T262&lt;=69,"Battery D",
--T262&lt;=80,"Battery C",
--T262&gt;80,""
),"")</f>
        <v/>
      </c>
      <c r="W262" s="53" t="str" cm="1">
        <f t="array" ref="W262">IFERROR(_xlfn.IFS(
U262="","",
--U262&lt;55,"Battery Defect",
--U262&lt;=69,"Battery D",
--U262&lt;=80,"Battery C",
--U262&gt;80,""
),"")</f>
        <v/>
      </c>
      <c r="X262" s="53"/>
      <c r="Y262" s="53"/>
      <c r="Z262" s="53"/>
      <c r="AA262" s="53"/>
      <c r="AB262" s="53"/>
      <c r="AC262" s="53"/>
      <c r="AD262" s="53"/>
      <c r="AE262" s="53"/>
      <c r="AF262" s="32" t="str">
        <f t="shared" si="14"/>
        <v/>
      </c>
      <c r="AG262" s="32"/>
      <c r="AH262" s="32"/>
      <c r="AI262" s="32"/>
      <c r="AJ262" s="32"/>
      <c r="AK262" s="32"/>
      <c r="AL262" s="32"/>
      <c r="AM262" s="32"/>
      <c r="AN262" s="32"/>
    </row>
    <row r="263" spans="1:40">
      <c r="A263" s="32" t="str">
        <f>_xlfn.TEXTJOIN("",TRUE,_xlfn.XLOOKUP(B263,Input!J:J,Input!G:G,"",0,1),_xlfn.XLOOKUP(B263,Input!J:J,Input!H:H,"",0,1))</f>
        <v/>
      </c>
      <c r="B263" s="32"/>
      <c r="C263" s="53">
        <f>_xlfn.XLOOKUP(B263,Input!J:J,Input!F:F)</f>
        <v>0</v>
      </c>
      <c r="D263" s="32">
        <f>_xlfn.XLOOKUP(C263,Models!H:H,Models!G:G,C263)</f>
        <v>0</v>
      </c>
      <c r="E263" s="32"/>
      <c r="F263" s="32" t="str">
        <f>_xlfn.XLOOKUP(H263,Models!B:B,Models!F:F,"")</f>
        <v/>
      </c>
      <c r="G263" s="32">
        <f>_xlfn.XLOOKUP(B263,Input!J:J,Input!E:E)</f>
        <v>0</v>
      </c>
      <c r="H263" s="32">
        <f>IF(G263="LENOVO",_xlfn.XLOOKUP(B263,Input!J:J,Input!K:K),_xlfn.XLOOKUP(B263,Input!J:J,Input!L:L))</f>
        <v>0</v>
      </c>
      <c r="I263" s="32"/>
      <c r="J263" s="32"/>
      <c r="K263" s="32"/>
      <c r="L263" s="53"/>
      <c r="M263" s="53"/>
      <c r="N263" s="53"/>
      <c r="O263" s="53" t="str" cm="1">
        <f t="array" ref="O263">IFERROR(_xlfn.FILTERXML("&lt;t&gt;&lt;s&gt;" &amp; SUBSTITUTE(M263," / ","&lt;/s&gt;&lt;s&gt;") &amp; "&lt;/s&gt;&lt;/t&gt;","(//s[contains(.,'DDR')])[1]"),"")</f>
        <v/>
      </c>
      <c r="P263" s="32" t="str">
        <f t="shared" si="13"/>
        <v>GB</v>
      </c>
      <c r="Q263" s="32"/>
      <c r="R263" s="32"/>
      <c r="S263" s="53" t="e">
        <f>_xlfn.LET(_xlpm.Result,INDEX(Input!$D$2:$AC$500,
       MATCH(B263, Input!$J$2:$J$500, 0),
       MATCH("Capacity", Input!$D$1:$AC$1, 0)),IF(_xlpm.Result="","",_xlpm.Result))</f>
        <v>#N/A</v>
      </c>
      <c r="T263" s="53" t="e" cm="1">
        <f t="array" ref="T263">_xlfn.TEXTSPLIT(S263," / ", ,TRUE,0,)</f>
        <v>#N/A</v>
      </c>
      <c r="U263" s="53"/>
      <c r="V263" s="53" t="str" cm="1">
        <f t="array" ref="V263">IFERROR(_xlfn.IFS(
T263="","",
--T263&lt;55,"Battery Defect",
--T263&lt;=69,"Battery D",
--T263&lt;=80,"Battery C",
--T263&gt;80,""
),"")</f>
        <v/>
      </c>
      <c r="W263" s="53" t="str" cm="1">
        <f t="array" ref="W263">IFERROR(_xlfn.IFS(
U263="","",
--U263&lt;55,"Battery Defect",
--U263&lt;=69,"Battery D",
--U263&lt;=80,"Battery C",
--U263&gt;80,""
),"")</f>
        <v/>
      </c>
      <c r="X263" s="53"/>
      <c r="Y263" s="53"/>
      <c r="Z263" s="53"/>
      <c r="AA263" s="53"/>
      <c r="AB263" s="53"/>
      <c r="AC263" s="53"/>
      <c r="AD263" s="53"/>
      <c r="AE263" s="53"/>
      <c r="AF263" s="32" t="str">
        <f t="shared" si="14"/>
        <v/>
      </c>
      <c r="AG263" s="32"/>
      <c r="AH263" s="32"/>
      <c r="AI263" s="32"/>
      <c r="AJ263" s="32"/>
      <c r="AK263" s="32"/>
      <c r="AL263" s="32"/>
      <c r="AM263" s="32"/>
      <c r="AN263" s="32"/>
    </row>
    <row r="264" spans="1:40">
      <c r="A264" s="32" t="str">
        <f>_xlfn.TEXTJOIN("",TRUE,_xlfn.XLOOKUP(B264,Input!J:J,Input!G:G,"",0,1),_xlfn.XLOOKUP(B264,Input!J:J,Input!H:H,"",0,1))</f>
        <v/>
      </c>
      <c r="B264" s="32"/>
      <c r="C264" s="53">
        <f>_xlfn.XLOOKUP(B264,Input!J:J,Input!F:F)</f>
        <v>0</v>
      </c>
      <c r="D264" s="32">
        <f>_xlfn.XLOOKUP(C264,Models!H:H,Models!G:G,C264)</f>
        <v>0</v>
      </c>
      <c r="E264" s="32"/>
      <c r="F264" s="32" t="str">
        <f>_xlfn.XLOOKUP(H264,Models!B:B,Models!F:F,"")</f>
        <v/>
      </c>
      <c r="G264" s="32">
        <f>_xlfn.XLOOKUP(B264,Input!J:J,Input!E:E)</f>
        <v>0</v>
      </c>
      <c r="H264" s="32">
        <f>IF(G264="LENOVO",_xlfn.XLOOKUP(B264,Input!J:J,Input!K:K),_xlfn.XLOOKUP(B264,Input!J:J,Input!L:L))</f>
        <v>0</v>
      </c>
      <c r="I264" s="32"/>
      <c r="J264" s="32"/>
      <c r="K264" s="32"/>
      <c r="L264" s="53"/>
      <c r="M264" s="53"/>
      <c r="N264" s="53"/>
      <c r="O264" s="53" t="str" cm="1">
        <f t="array" ref="O264">IFERROR(_xlfn.FILTERXML("&lt;t&gt;&lt;s&gt;" &amp; SUBSTITUTE(M264," / ","&lt;/s&gt;&lt;s&gt;") &amp; "&lt;/s&gt;&lt;/t&gt;","(//s[contains(.,'DDR')])[1]"),"")</f>
        <v/>
      </c>
      <c r="P264" s="32" t="str">
        <f t="shared" si="13"/>
        <v>GB</v>
      </c>
      <c r="Q264" s="32"/>
      <c r="R264" s="32"/>
      <c r="S264" s="53" t="e">
        <f>_xlfn.LET(_xlpm.Result,INDEX(Input!$D$2:$AC$500,
       MATCH(B264, Input!$J$2:$J$500, 0),
       MATCH("Capacity", Input!$D$1:$AC$1, 0)),IF(_xlpm.Result="","",_xlpm.Result))</f>
        <v>#N/A</v>
      </c>
      <c r="T264" s="53" t="e" cm="1">
        <f t="array" ref="T264">_xlfn.TEXTSPLIT(S264," / ", ,TRUE,0,)</f>
        <v>#N/A</v>
      </c>
      <c r="U264" s="53"/>
      <c r="V264" s="53" t="str" cm="1">
        <f t="array" ref="V264">IFERROR(_xlfn.IFS(
T264="","",
--T264&lt;55,"Battery Defect",
--T264&lt;=69,"Battery D",
--T264&lt;=80,"Battery C",
--T264&gt;80,""
),"")</f>
        <v/>
      </c>
      <c r="W264" s="53" t="str" cm="1">
        <f t="array" ref="W264">IFERROR(_xlfn.IFS(
U264="","",
--U264&lt;55,"Battery Defect",
--U264&lt;=69,"Battery D",
--U264&lt;=80,"Battery C",
--U264&gt;80,""
),"")</f>
        <v/>
      </c>
      <c r="X264" s="53"/>
      <c r="Y264" s="53"/>
      <c r="Z264" s="53"/>
      <c r="AA264" s="53"/>
      <c r="AB264" s="53"/>
      <c r="AC264" s="53"/>
      <c r="AD264" s="53"/>
      <c r="AE264" s="53"/>
      <c r="AF264" s="32" t="str">
        <f t="shared" si="14"/>
        <v/>
      </c>
      <c r="AG264" s="32"/>
      <c r="AH264" s="32"/>
      <c r="AI264" s="32"/>
      <c r="AJ264" s="32"/>
      <c r="AK264" s="32"/>
      <c r="AL264" s="32"/>
      <c r="AM264" s="32"/>
      <c r="AN264" s="32"/>
    </row>
    <row r="265" spans="1:40">
      <c r="A265" s="32" t="str">
        <f>_xlfn.TEXTJOIN("",TRUE,_xlfn.XLOOKUP(B265,Input!J:J,Input!G:G,"",0,1),_xlfn.XLOOKUP(B265,Input!J:J,Input!H:H,"",0,1))</f>
        <v/>
      </c>
      <c r="B265" s="32"/>
      <c r="C265" s="53">
        <f>_xlfn.XLOOKUP(B265,Input!J:J,Input!F:F)</f>
        <v>0</v>
      </c>
      <c r="D265" s="32">
        <f>_xlfn.XLOOKUP(C265,Models!H:H,Models!G:G,C265)</f>
        <v>0</v>
      </c>
      <c r="E265" s="32"/>
      <c r="F265" s="32" t="str">
        <f>_xlfn.XLOOKUP(H265,Models!B:B,Models!F:F,"")</f>
        <v/>
      </c>
      <c r="G265" s="32">
        <f>_xlfn.XLOOKUP(B265,Input!J:J,Input!E:E)</f>
        <v>0</v>
      </c>
      <c r="H265" s="32">
        <f>IF(G265="LENOVO",_xlfn.XLOOKUP(B265,Input!J:J,Input!K:K),_xlfn.XLOOKUP(B265,Input!J:J,Input!L:L))</f>
        <v>0</v>
      </c>
      <c r="I265" s="32"/>
      <c r="J265" s="32"/>
      <c r="K265" s="32"/>
      <c r="L265" s="53"/>
      <c r="M265" s="53"/>
      <c r="N265" s="53"/>
      <c r="O265" s="53" t="str" cm="1">
        <f t="array" ref="O265">IFERROR(_xlfn.FILTERXML("&lt;t&gt;&lt;s&gt;" &amp; SUBSTITUTE(M265," / ","&lt;/s&gt;&lt;s&gt;") &amp; "&lt;/s&gt;&lt;/t&gt;","(//s[contains(.,'DDR')])[1]"),"")</f>
        <v/>
      </c>
      <c r="P265" s="32" t="str">
        <f t="shared" si="13"/>
        <v>GB</v>
      </c>
      <c r="Q265" s="32"/>
      <c r="R265" s="32"/>
      <c r="S265" s="53" t="e">
        <f>_xlfn.LET(_xlpm.Result,INDEX(Input!$D$2:$AC$500,
       MATCH(B265, Input!$J$2:$J$500, 0),
       MATCH("Capacity", Input!$D$1:$AC$1, 0)),IF(_xlpm.Result="","",_xlpm.Result))</f>
        <v>#N/A</v>
      </c>
      <c r="T265" s="53" t="e" cm="1">
        <f t="array" ref="T265">_xlfn.TEXTSPLIT(S265," / ", ,TRUE,0,)</f>
        <v>#N/A</v>
      </c>
      <c r="U265" s="53"/>
      <c r="V265" s="53" t="str" cm="1">
        <f t="array" ref="V265">IFERROR(_xlfn.IFS(
T265="","",
--T265&lt;55,"Battery Defect",
--T265&lt;=69,"Battery D",
--T265&lt;=80,"Battery C",
--T265&gt;80,""
),"")</f>
        <v/>
      </c>
      <c r="W265" s="53" t="str" cm="1">
        <f t="array" ref="W265">IFERROR(_xlfn.IFS(
U265="","",
--U265&lt;55,"Battery Defect",
--U265&lt;=69,"Battery D",
--U265&lt;=80,"Battery C",
--U265&gt;80,""
),"")</f>
        <v/>
      </c>
      <c r="X265" s="53"/>
      <c r="Y265" s="53"/>
      <c r="Z265" s="53"/>
      <c r="AA265" s="53"/>
      <c r="AB265" s="53"/>
      <c r="AC265" s="53"/>
      <c r="AD265" s="53"/>
      <c r="AE265" s="53"/>
      <c r="AF265" s="32" t="str">
        <f t="shared" si="14"/>
        <v/>
      </c>
      <c r="AG265" s="32"/>
      <c r="AH265" s="32"/>
      <c r="AI265" s="32"/>
      <c r="AJ265" s="32"/>
      <c r="AK265" s="32"/>
      <c r="AL265" s="32"/>
      <c r="AM265" s="32"/>
      <c r="AN265" s="32"/>
    </row>
    <row r="266" spans="1:40">
      <c r="A266" s="32" t="str">
        <f>_xlfn.TEXTJOIN("",TRUE,_xlfn.XLOOKUP(B266,Input!J:J,Input!G:G,"",0,1),_xlfn.XLOOKUP(B266,Input!J:J,Input!H:H,"",0,1))</f>
        <v/>
      </c>
      <c r="B266" s="32"/>
      <c r="C266" s="53">
        <f>_xlfn.XLOOKUP(B266,Input!J:J,Input!F:F)</f>
        <v>0</v>
      </c>
      <c r="D266" s="32">
        <f>_xlfn.XLOOKUP(C266,Models!H:H,Models!G:G,C266)</f>
        <v>0</v>
      </c>
      <c r="E266" s="32"/>
      <c r="F266" s="32" t="str">
        <f>_xlfn.XLOOKUP(H266,Models!B:B,Models!F:F,"")</f>
        <v/>
      </c>
      <c r="G266" s="32">
        <f>_xlfn.XLOOKUP(B266,Input!J:J,Input!E:E)</f>
        <v>0</v>
      </c>
      <c r="H266" s="32">
        <f>IF(G266="LENOVO",_xlfn.XLOOKUP(B266,Input!J:J,Input!K:K),_xlfn.XLOOKUP(B266,Input!J:J,Input!L:L))</f>
        <v>0</v>
      </c>
      <c r="I266" s="32"/>
      <c r="J266" s="32"/>
      <c r="K266" s="32"/>
      <c r="L266" s="53"/>
      <c r="M266" s="53"/>
      <c r="N266" s="53"/>
      <c r="O266" s="53" t="str" cm="1">
        <f t="array" ref="O266">IFERROR(_xlfn.FILTERXML("&lt;t&gt;&lt;s&gt;" &amp; SUBSTITUTE(M266," / ","&lt;/s&gt;&lt;s&gt;") &amp; "&lt;/s&gt;&lt;/t&gt;","(//s[contains(.,'DDR')])[1]"),"")</f>
        <v/>
      </c>
      <c r="P266" s="32" t="str">
        <f t="shared" si="13"/>
        <v>GB</v>
      </c>
      <c r="Q266" s="32"/>
      <c r="R266" s="32"/>
      <c r="S266" s="53" t="e">
        <f>_xlfn.LET(_xlpm.Result,INDEX(Input!$D$2:$AC$500,
       MATCH(B266, Input!$J$2:$J$500, 0),
       MATCH("Capacity", Input!$D$1:$AC$1, 0)),IF(_xlpm.Result="","",_xlpm.Result))</f>
        <v>#N/A</v>
      </c>
      <c r="T266" s="53" t="e" cm="1">
        <f t="array" ref="T266">_xlfn.TEXTSPLIT(S266," / ", ,TRUE,0,)</f>
        <v>#N/A</v>
      </c>
      <c r="U266" s="53"/>
      <c r="V266" s="53" t="str" cm="1">
        <f t="array" ref="V266">IFERROR(_xlfn.IFS(
T266="","",
--T266&lt;55,"Battery Defect",
--T266&lt;=69,"Battery D",
--T266&lt;=80,"Battery C",
--T266&gt;80,""
),"")</f>
        <v/>
      </c>
      <c r="W266" s="53" t="str" cm="1">
        <f t="array" ref="W266">IFERROR(_xlfn.IFS(
U266="","",
--U266&lt;55,"Battery Defect",
--U266&lt;=69,"Battery D",
--U266&lt;=80,"Battery C",
--U266&gt;80,""
),"")</f>
        <v/>
      </c>
      <c r="X266" s="53"/>
      <c r="Y266" s="53"/>
      <c r="Z266" s="53"/>
      <c r="AA266" s="53"/>
      <c r="AB266" s="53"/>
      <c r="AC266" s="53"/>
      <c r="AD266" s="53"/>
      <c r="AE266" s="53"/>
      <c r="AF266" s="32" t="str">
        <f t="shared" si="14"/>
        <v/>
      </c>
      <c r="AG266" s="32"/>
      <c r="AH266" s="32"/>
      <c r="AI266" s="32"/>
      <c r="AJ266" s="32"/>
      <c r="AK266" s="32"/>
      <c r="AL266" s="32"/>
      <c r="AM266" s="32"/>
      <c r="AN266" s="32"/>
    </row>
    <row r="267" spans="1:40">
      <c r="A267" s="32" t="str">
        <f>_xlfn.TEXTJOIN("",TRUE,_xlfn.XLOOKUP(B267,Input!J:J,Input!G:G,"",0,1),_xlfn.XLOOKUP(B267,Input!J:J,Input!H:H,"",0,1))</f>
        <v/>
      </c>
      <c r="B267" s="32"/>
      <c r="C267" s="53">
        <f>_xlfn.XLOOKUP(B267,Input!J:J,Input!F:F)</f>
        <v>0</v>
      </c>
      <c r="D267" s="32">
        <f>_xlfn.XLOOKUP(C267,Models!H:H,Models!G:G,C267)</f>
        <v>0</v>
      </c>
      <c r="E267" s="32"/>
      <c r="F267" s="32" t="str">
        <f>_xlfn.XLOOKUP(H267,Models!B:B,Models!F:F,"")</f>
        <v/>
      </c>
      <c r="G267" s="32">
        <f>_xlfn.XLOOKUP(B267,Input!J:J,Input!E:E)</f>
        <v>0</v>
      </c>
      <c r="H267" s="32">
        <f>IF(G267="LENOVO",_xlfn.XLOOKUP(B267,Input!J:J,Input!K:K),_xlfn.XLOOKUP(B267,Input!J:J,Input!L:L))</f>
        <v>0</v>
      </c>
      <c r="I267" s="32"/>
      <c r="J267" s="32"/>
      <c r="K267" s="32"/>
      <c r="L267" s="53"/>
      <c r="M267" s="53"/>
      <c r="N267" s="53"/>
      <c r="O267" s="53" t="str" cm="1">
        <f t="array" ref="O267">IFERROR(_xlfn.FILTERXML("&lt;t&gt;&lt;s&gt;" &amp; SUBSTITUTE(M267," / ","&lt;/s&gt;&lt;s&gt;") &amp; "&lt;/s&gt;&lt;/t&gt;","(//s[contains(.,'DDR')])[1]"),"")</f>
        <v/>
      </c>
      <c r="P267" s="32" t="str">
        <f t="shared" si="13"/>
        <v>GB</v>
      </c>
      <c r="Q267" s="32"/>
      <c r="R267" s="32"/>
      <c r="S267" s="53" t="e">
        <f>_xlfn.LET(_xlpm.Result,INDEX(Input!$D$2:$AC$500,
       MATCH(B267, Input!$J$2:$J$500, 0),
       MATCH("Capacity", Input!$D$1:$AC$1, 0)),IF(_xlpm.Result="","",_xlpm.Result))</f>
        <v>#N/A</v>
      </c>
      <c r="T267" s="53" t="e" cm="1">
        <f t="array" ref="T267">_xlfn.TEXTSPLIT(S267," / ", ,TRUE,0,)</f>
        <v>#N/A</v>
      </c>
      <c r="U267" s="53"/>
      <c r="V267" s="53" t="str" cm="1">
        <f t="array" ref="V267">IFERROR(_xlfn.IFS(
T267="","",
--T267&lt;55,"Battery Defect",
--T267&lt;=69,"Battery D",
--T267&lt;=80,"Battery C",
--T267&gt;80,""
),"")</f>
        <v/>
      </c>
      <c r="W267" s="53" t="str" cm="1">
        <f t="array" ref="W267">IFERROR(_xlfn.IFS(
U267="","",
--U267&lt;55,"Battery Defect",
--U267&lt;=69,"Battery D",
--U267&lt;=80,"Battery C",
--U267&gt;80,""
),"")</f>
        <v/>
      </c>
      <c r="X267" s="53"/>
      <c r="Y267" s="53"/>
      <c r="Z267" s="53"/>
      <c r="AA267" s="53"/>
      <c r="AB267" s="53"/>
      <c r="AC267" s="53"/>
      <c r="AD267" s="53"/>
      <c r="AE267" s="53"/>
      <c r="AF267" s="32" t="str">
        <f t="shared" si="14"/>
        <v/>
      </c>
      <c r="AG267" s="32"/>
      <c r="AH267" s="32"/>
      <c r="AI267" s="32"/>
      <c r="AJ267" s="32"/>
      <c r="AK267" s="32"/>
      <c r="AL267" s="32"/>
      <c r="AM267" s="32"/>
      <c r="AN267" s="32"/>
    </row>
    <row r="268" spans="1:40">
      <c r="A268" s="32" t="str">
        <f>_xlfn.TEXTJOIN("",TRUE,_xlfn.XLOOKUP(B268,Input!J:J,Input!G:G,"",0,1),_xlfn.XLOOKUP(B268,Input!J:J,Input!H:H,"",0,1))</f>
        <v/>
      </c>
      <c r="B268" s="32"/>
      <c r="C268" s="53">
        <f>_xlfn.XLOOKUP(B268,Input!J:J,Input!F:F)</f>
        <v>0</v>
      </c>
      <c r="D268" s="32">
        <f>_xlfn.XLOOKUP(C268,Models!H:H,Models!G:G,C268)</f>
        <v>0</v>
      </c>
      <c r="E268" s="32"/>
      <c r="F268" s="32" t="str">
        <f>_xlfn.XLOOKUP(H268,Models!B:B,Models!F:F,"")</f>
        <v/>
      </c>
      <c r="G268" s="32">
        <f>_xlfn.XLOOKUP(B268,Input!J:J,Input!E:E)</f>
        <v>0</v>
      </c>
      <c r="H268" s="32">
        <f>IF(G268="LENOVO",_xlfn.XLOOKUP(B268,Input!J:J,Input!K:K),_xlfn.XLOOKUP(B268,Input!J:J,Input!L:L))</f>
        <v>0</v>
      </c>
      <c r="I268" s="32"/>
      <c r="J268" s="32"/>
      <c r="K268" s="32"/>
      <c r="L268" s="53"/>
      <c r="M268" s="53"/>
      <c r="N268" s="53"/>
      <c r="O268" s="53" t="str" cm="1">
        <f t="array" ref="O268">IFERROR(_xlfn.FILTERXML("&lt;t&gt;&lt;s&gt;" &amp; SUBSTITUTE(M268," / ","&lt;/s&gt;&lt;s&gt;") &amp; "&lt;/s&gt;&lt;/t&gt;","(//s[contains(.,'DDR')])[1]"),"")</f>
        <v/>
      </c>
      <c r="P268" s="32" t="str">
        <f t="shared" si="13"/>
        <v>GB</v>
      </c>
      <c r="Q268" s="32"/>
      <c r="R268" s="32"/>
      <c r="S268" s="53" t="e">
        <f>_xlfn.LET(_xlpm.Result,INDEX(Input!$D$2:$AC$500,
       MATCH(B268, Input!$J$2:$J$500, 0),
       MATCH("Capacity", Input!$D$1:$AC$1, 0)),IF(_xlpm.Result="","",_xlpm.Result))</f>
        <v>#N/A</v>
      </c>
      <c r="T268" s="53" t="e" cm="1">
        <f t="array" ref="T268">_xlfn.TEXTSPLIT(S268," / ", ,TRUE,0,)</f>
        <v>#N/A</v>
      </c>
      <c r="U268" s="53"/>
      <c r="V268" s="53" t="str" cm="1">
        <f t="array" ref="V268">IFERROR(_xlfn.IFS(
T268="","",
--T268&lt;55,"Battery Defect",
--T268&lt;=69,"Battery D",
--T268&lt;=80,"Battery C",
--T268&gt;80,""
),"")</f>
        <v/>
      </c>
      <c r="W268" s="53" t="str" cm="1">
        <f t="array" ref="W268">IFERROR(_xlfn.IFS(
U268="","",
--U268&lt;55,"Battery Defect",
--U268&lt;=69,"Battery D",
--U268&lt;=80,"Battery C",
--U268&gt;80,""
),"")</f>
        <v/>
      </c>
      <c r="X268" s="53"/>
      <c r="Y268" s="53"/>
      <c r="Z268" s="53"/>
      <c r="AA268" s="53"/>
      <c r="AB268" s="53"/>
      <c r="AC268" s="53"/>
      <c r="AD268" s="53"/>
      <c r="AE268" s="53"/>
      <c r="AF268" s="32" t="str">
        <f t="shared" si="14"/>
        <v/>
      </c>
      <c r="AG268" s="32"/>
      <c r="AH268" s="32"/>
      <c r="AI268" s="32"/>
      <c r="AJ268" s="32"/>
      <c r="AK268" s="32"/>
      <c r="AL268" s="32"/>
      <c r="AM268" s="32"/>
      <c r="AN268" s="32"/>
    </row>
    <row r="269" spans="1:40">
      <c r="A269" s="32" t="str">
        <f>_xlfn.TEXTJOIN("",TRUE,_xlfn.XLOOKUP(B269,Input!J:J,Input!G:G,"",0,1),_xlfn.XLOOKUP(B269,Input!J:J,Input!H:H,"",0,1))</f>
        <v/>
      </c>
      <c r="B269" s="32"/>
      <c r="C269" s="53">
        <f>_xlfn.XLOOKUP(B269,Input!J:J,Input!F:F)</f>
        <v>0</v>
      </c>
      <c r="D269" s="32">
        <f>_xlfn.XLOOKUP(C269,Models!H:H,Models!G:G,C269)</f>
        <v>0</v>
      </c>
      <c r="E269" s="32"/>
      <c r="F269" s="32" t="str">
        <f>_xlfn.XLOOKUP(H269,Models!B:B,Models!F:F,"")</f>
        <v/>
      </c>
      <c r="G269" s="32">
        <f>_xlfn.XLOOKUP(B269,Input!J:J,Input!E:E)</f>
        <v>0</v>
      </c>
      <c r="H269" s="32">
        <f>IF(G269="LENOVO",_xlfn.XLOOKUP(B269,Input!J:J,Input!K:K),_xlfn.XLOOKUP(B269,Input!J:J,Input!L:L))</f>
        <v>0</v>
      </c>
      <c r="I269" s="32"/>
      <c r="J269" s="32"/>
      <c r="K269" s="32"/>
      <c r="L269" s="53"/>
      <c r="M269" s="53"/>
      <c r="N269" s="53"/>
      <c r="O269" s="53" t="str" cm="1">
        <f t="array" ref="O269">IFERROR(_xlfn.FILTERXML("&lt;t&gt;&lt;s&gt;" &amp; SUBSTITUTE(M269," / ","&lt;/s&gt;&lt;s&gt;") &amp; "&lt;/s&gt;&lt;/t&gt;","(//s[contains(.,'DDR')])[1]"),"")</f>
        <v/>
      </c>
      <c r="P269" s="32" t="str">
        <f t="shared" si="13"/>
        <v>GB</v>
      </c>
      <c r="Q269" s="32"/>
      <c r="R269" s="32"/>
      <c r="S269" s="53" t="e">
        <f>_xlfn.LET(_xlpm.Result,INDEX(Input!$D$2:$AC$500,
       MATCH(B269, Input!$J$2:$J$500, 0),
       MATCH("Capacity", Input!$D$1:$AC$1, 0)),IF(_xlpm.Result="","",_xlpm.Result))</f>
        <v>#N/A</v>
      </c>
      <c r="T269" s="53" t="e" cm="1">
        <f t="array" ref="T269">_xlfn.TEXTSPLIT(S269," / ", ,TRUE,0,)</f>
        <v>#N/A</v>
      </c>
      <c r="U269" s="53"/>
      <c r="V269" s="53" t="str" cm="1">
        <f t="array" ref="V269">IFERROR(_xlfn.IFS(
T269="","",
--T269&lt;55,"Battery Defect",
--T269&lt;=69,"Battery D",
--T269&lt;=80,"Battery C",
--T269&gt;80,""
),"")</f>
        <v/>
      </c>
      <c r="W269" s="53" t="str" cm="1">
        <f t="array" ref="W269">IFERROR(_xlfn.IFS(
U269="","",
--U269&lt;55,"Battery Defect",
--U269&lt;=69,"Battery D",
--U269&lt;=80,"Battery C",
--U269&gt;80,""
),"")</f>
        <v/>
      </c>
      <c r="X269" s="53"/>
      <c r="Y269" s="53"/>
      <c r="Z269" s="53"/>
      <c r="AA269" s="53"/>
      <c r="AB269" s="53"/>
      <c r="AC269" s="53"/>
      <c r="AD269" s="53"/>
      <c r="AE269" s="53"/>
      <c r="AF269" s="32" t="str">
        <f t="shared" si="14"/>
        <v/>
      </c>
      <c r="AG269" s="32"/>
      <c r="AH269" s="32"/>
      <c r="AI269" s="32"/>
      <c r="AJ269" s="32"/>
      <c r="AK269" s="32"/>
      <c r="AL269" s="32"/>
      <c r="AM269" s="32"/>
      <c r="AN269" s="32"/>
    </row>
    <row r="270" spans="1:40">
      <c r="A270" s="32" t="str">
        <f>_xlfn.TEXTJOIN("",TRUE,_xlfn.XLOOKUP(B270,Input!J:J,Input!G:G,"",0,1),_xlfn.XLOOKUP(B270,Input!J:J,Input!H:H,"",0,1))</f>
        <v/>
      </c>
      <c r="B270" s="32"/>
      <c r="C270" s="53">
        <f>_xlfn.XLOOKUP(B270,Input!J:J,Input!F:F)</f>
        <v>0</v>
      </c>
      <c r="D270" s="32">
        <f>_xlfn.XLOOKUP(C270,Models!H:H,Models!G:G,C270)</f>
        <v>0</v>
      </c>
      <c r="E270" s="32"/>
      <c r="F270" s="32" t="str">
        <f>_xlfn.XLOOKUP(H270,Models!B:B,Models!F:F,"")</f>
        <v/>
      </c>
      <c r="G270" s="32">
        <f>_xlfn.XLOOKUP(B270,Input!J:J,Input!E:E)</f>
        <v>0</v>
      </c>
      <c r="H270" s="32">
        <f>IF(G270="LENOVO",_xlfn.XLOOKUP(B270,Input!J:J,Input!K:K),_xlfn.XLOOKUP(B270,Input!J:J,Input!L:L))</f>
        <v>0</v>
      </c>
      <c r="I270" s="32"/>
      <c r="J270" s="32"/>
      <c r="K270" s="32"/>
      <c r="L270" s="53"/>
      <c r="M270" s="53"/>
      <c r="N270" s="53"/>
      <c r="O270" s="53" t="str" cm="1">
        <f t="array" ref="O270">IFERROR(_xlfn.FILTERXML("&lt;t&gt;&lt;s&gt;" &amp; SUBSTITUTE(M270," / ","&lt;/s&gt;&lt;s&gt;") &amp; "&lt;/s&gt;&lt;/t&gt;","(//s[contains(.,'DDR')])[1]"),"")</f>
        <v/>
      </c>
      <c r="P270" s="32" t="str">
        <f t="shared" si="13"/>
        <v>GB</v>
      </c>
      <c r="Q270" s="32"/>
      <c r="R270" s="32"/>
      <c r="S270" s="53" t="e">
        <f>_xlfn.LET(_xlpm.Result,INDEX(Input!$D$2:$AC$500,
       MATCH(B270, Input!$J$2:$J$500, 0),
       MATCH("Capacity", Input!$D$1:$AC$1, 0)),IF(_xlpm.Result="","",_xlpm.Result))</f>
        <v>#N/A</v>
      </c>
      <c r="T270" s="53" t="e" cm="1">
        <f t="array" ref="T270">_xlfn.TEXTSPLIT(S270," / ", ,TRUE,0,)</f>
        <v>#N/A</v>
      </c>
      <c r="U270" s="53"/>
      <c r="V270" s="53" t="str" cm="1">
        <f t="array" ref="V270">IFERROR(_xlfn.IFS(
T270="","",
--T270&lt;55,"Battery Defect",
--T270&lt;=69,"Battery D",
--T270&lt;=80,"Battery C",
--T270&gt;80,""
),"")</f>
        <v/>
      </c>
      <c r="W270" s="53" t="str" cm="1">
        <f t="array" ref="W270">IFERROR(_xlfn.IFS(
U270="","",
--U270&lt;55,"Battery Defect",
--U270&lt;=69,"Battery D",
--U270&lt;=80,"Battery C",
--U270&gt;80,""
),"")</f>
        <v/>
      </c>
      <c r="X270" s="53"/>
      <c r="Y270" s="53"/>
      <c r="Z270" s="53"/>
      <c r="AA270" s="53"/>
      <c r="AB270" s="53"/>
      <c r="AC270" s="53"/>
      <c r="AD270" s="53"/>
      <c r="AE270" s="53"/>
      <c r="AF270" s="32" t="str">
        <f t="shared" si="14"/>
        <v/>
      </c>
      <c r="AG270" s="32"/>
      <c r="AH270" s="32"/>
      <c r="AI270" s="32"/>
      <c r="AJ270" s="32"/>
      <c r="AK270" s="32"/>
      <c r="AL270" s="32"/>
      <c r="AM270" s="32"/>
      <c r="AN270" s="32"/>
    </row>
    <row r="271" spans="1:40">
      <c r="A271" s="32" t="str">
        <f>_xlfn.TEXTJOIN("",TRUE,_xlfn.XLOOKUP(B271,Input!J:J,Input!G:G,"",0,1),_xlfn.XLOOKUP(B271,Input!J:J,Input!H:H,"",0,1))</f>
        <v/>
      </c>
      <c r="B271" s="32"/>
      <c r="C271" s="53">
        <f>_xlfn.XLOOKUP(B271,Input!J:J,Input!F:F)</f>
        <v>0</v>
      </c>
      <c r="D271" s="32">
        <f>_xlfn.XLOOKUP(C271,Models!H:H,Models!G:G,C271)</f>
        <v>0</v>
      </c>
      <c r="E271" s="32"/>
      <c r="F271" s="32" t="str">
        <f>_xlfn.XLOOKUP(H271,Models!B:B,Models!F:F,"")</f>
        <v/>
      </c>
      <c r="G271" s="32">
        <f>_xlfn.XLOOKUP(B271,Input!J:J,Input!E:E)</f>
        <v>0</v>
      </c>
      <c r="H271" s="32">
        <f>IF(G271="LENOVO",_xlfn.XLOOKUP(B271,Input!J:J,Input!K:K),_xlfn.XLOOKUP(B271,Input!J:J,Input!L:L))</f>
        <v>0</v>
      </c>
      <c r="I271" s="32"/>
      <c r="J271" s="32"/>
      <c r="K271" s="32"/>
      <c r="L271" s="53"/>
      <c r="M271" s="53"/>
      <c r="N271" s="53"/>
      <c r="O271" s="53" t="str" cm="1">
        <f t="array" ref="O271">IFERROR(_xlfn.FILTERXML("&lt;t&gt;&lt;s&gt;" &amp; SUBSTITUTE(M271," / ","&lt;/s&gt;&lt;s&gt;") &amp; "&lt;/s&gt;&lt;/t&gt;","(//s[contains(.,'DDR')])[1]"),"")</f>
        <v/>
      </c>
      <c r="P271" s="32" t="str">
        <f t="shared" si="13"/>
        <v>GB</v>
      </c>
      <c r="Q271" s="32"/>
      <c r="R271" s="32"/>
      <c r="S271" s="53" t="e">
        <f>_xlfn.LET(_xlpm.Result,INDEX(Input!$D$2:$AC$500,
       MATCH(B271, Input!$J$2:$J$500, 0),
       MATCH("Capacity", Input!$D$1:$AC$1, 0)),IF(_xlpm.Result="","",_xlpm.Result))</f>
        <v>#N/A</v>
      </c>
      <c r="T271" s="53" t="e" cm="1">
        <f t="array" ref="T271">_xlfn.TEXTSPLIT(S271," / ", ,TRUE,0,)</f>
        <v>#N/A</v>
      </c>
      <c r="U271" s="53"/>
      <c r="V271" s="53" t="str" cm="1">
        <f t="array" ref="V271">IFERROR(_xlfn.IFS(
T271="","",
--T271&lt;55,"Battery Defect",
--T271&lt;=69,"Battery D",
--T271&lt;=80,"Battery C",
--T271&gt;80,""
),"")</f>
        <v/>
      </c>
      <c r="W271" s="53" t="str" cm="1">
        <f t="array" ref="W271">IFERROR(_xlfn.IFS(
U271="","",
--U271&lt;55,"Battery Defect",
--U271&lt;=69,"Battery D",
--U271&lt;=80,"Battery C",
--U271&gt;80,""
),"")</f>
        <v/>
      </c>
      <c r="X271" s="53"/>
      <c r="Y271" s="53"/>
      <c r="Z271" s="53"/>
      <c r="AA271" s="53"/>
      <c r="AB271" s="53"/>
      <c r="AC271" s="53"/>
      <c r="AD271" s="53"/>
      <c r="AE271" s="53"/>
      <c r="AF271" s="32" t="str">
        <f t="shared" si="14"/>
        <v/>
      </c>
      <c r="AG271" s="32"/>
      <c r="AH271" s="32"/>
      <c r="AI271" s="32"/>
      <c r="AJ271" s="32"/>
      <c r="AK271" s="32"/>
      <c r="AL271" s="32"/>
      <c r="AM271" s="32"/>
      <c r="AN271" s="32"/>
    </row>
    <row r="272" spans="1:40">
      <c r="A272" s="32" t="str">
        <f>_xlfn.TEXTJOIN("",TRUE,_xlfn.XLOOKUP(B272,Input!J:J,Input!G:G,"",0,1),_xlfn.XLOOKUP(B272,Input!J:J,Input!H:H,"",0,1))</f>
        <v/>
      </c>
      <c r="B272" s="32"/>
      <c r="C272" s="53">
        <f>_xlfn.XLOOKUP(B272,Input!J:J,Input!F:F)</f>
        <v>0</v>
      </c>
      <c r="D272" s="32">
        <f>_xlfn.XLOOKUP(C272,Models!H:H,Models!G:G,C272)</f>
        <v>0</v>
      </c>
      <c r="E272" s="32"/>
      <c r="F272" s="32" t="str">
        <f>_xlfn.XLOOKUP(H272,Models!B:B,Models!F:F,"")</f>
        <v/>
      </c>
      <c r="G272" s="32">
        <f>_xlfn.XLOOKUP(B272,Input!J:J,Input!E:E)</f>
        <v>0</v>
      </c>
      <c r="H272" s="32">
        <f>IF(G272="LENOVO",_xlfn.XLOOKUP(B272,Input!J:J,Input!K:K),_xlfn.XLOOKUP(B272,Input!J:J,Input!L:L))</f>
        <v>0</v>
      </c>
      <c r="I272" s="32"/>
      <c r="J272" s="32"/>
      <c r="K272" s="32"/>
      <c r="L272" s="53"/>
      <c r="M272" s="53"/>
      <c r="N272" s="53"/>
      <c r="O272" s="53" t="str" cm="1">
        <f t="array" ref="O272">IFERROR(_xlfn.FILTERXML("&lt;t&gt;&lt;s&gt;" &amp; SUBSTITUTE(M272," / ","&lt;/s&gt;&lt;s&gt;") &amp; "&lt;/s&gt;&lt;/t&gt;","(//s[contains(.,'DDR')])[1]"),"")</f>
        <v/>
      </c>
      <c r="P272" s="32" t="str">
        <f t="shared" si="13"/>
        <v>GB</v>
      </c>
      <c r="Q272" s="32"/>
      <c r="R272" s="32"/>
      <c r="S272" s="53" t="e">
        <f>_xlfn.LET(_xlpm.Result,INDEX(Input!$D$2:$AC$500,
       MATCH(B272, Input!$J$2:$J$500, 0),
       MATCH("Capacity", Input!$D$1:$AC$1, 0)),IF(_xlpm.Result="","",_xlpm.Result))</f>
        <v>#N/A</v>
      </c>
      <c r="T272" s="53" t="e" cm="1">
        <f t="array" ref="T272">_xlfn.TEXTSPLIT(S272," / ", ,TRUE,0,)</f>
        <v>#N/A</v>
      </c>
      <c r="U272" s="53"/>
      <c r="V272" s="53" t="str" cm="1">
        <f t="array" ref="V272">IFERROR(_xlfn.IFS(
T272="","",
--T272&lt;55,"Battery Defect",
--T272&lt;=69,"Battery D",
--T272&lt;=80,"Battery C",
--T272&gt;80,""
),"")</f>
        <v/>
      </c>
      <c r="W272" s="53" t="str" cm="1">
        <f t="array" ref="W272">IFERROR(_xlfn.IFS(
U272="","",
--U272&lt;55,"Battery Defect",
--U272&lt;=69,"Battery D",
--U272&lt;=80,"Battery C",
--U272&gt;80,""
),"")</f>
        <v/>
      </c>
      <c r="X272" s="53"/>
      <c r="Y272" s="53"/>
      <c r="Z272" s="53"/>
      <c r="AA272" s="53"/>
      <c r="AB272" s="53"/>
      <c r="AC272" s="53"/>
      <c r="AD272" s="53"/>
      <c r="AE272" s="53"/>
      <c r="AF272" s="32" t="str">
        <f t="shared" si="14"/>
        <v/>
      </c>
      <c r="AG272" s="32"/>
      <c r="AH272" s="32"/>
      <c r="AI272" s="32"/>
      <c r="AJ272" s="32"/>
      <c r="AK272" s="32"/>
      <c r="AL272" s="32"/>
      <c r="AM272" s="32"/>
      <c r="AN272" s="32"/>
    </row>
    <row r="273" spans="1:40">
      <c r="A273" s="32" t="str">
        <f>_xlfn.TEXTJOIN("",TRUE,_xlfn.XLOOKUP(B273,Input!J:J,Input!G:G,"",0,1),_xlfn.XLOOKUP(B273,Input!J:J,Input!H:H,"",0,1))</f>
        <v/>
      </c>
      <c r="B273" s="32"/>
      <c r="C273" s="53">
        <f>_xlfn.XLOOKUP(B273,Input!J:J,Input!F:F)</f>
        <v>0</v>
      </c>
      <c r="D273" s="32">
        <f>_xlfn.XLOOKUP(C273,Models!H:H,Models!G:G,C273)</f>
        <v>0</v>
      </c>
      <c r="E273" s="32"/>
      <c r="F273" s="32" t="str">
        <f>_xlfn.XLOOKUP(H273,Models!B:B,Models!F:F,"")</f>
        <v/>
      </c>
      <c r="G273" s="32">
        <f>_xlfn.XLOOKUP(B273,Input!J:J,Input!E:E)</f>
        <v>0</v>
      </c>
      <c r="H273" s="32">
        <f>IF(G273="LENOVO",_xlfn.XLOOKUP(B273,Input!J:J,Input!K:K),_xlfn.XLOOKUP(B273,Input!J:J,Input!L:L))</f>
        <v>0</v>
      </c>
      <c r="I273" s="32"/>
      <c r="J273" s="32"/>
      <c r="K273" s="32"/>
      <c r="L273" s="53"/>
      <c r="M273" s="53"/>
      <c r="N273" s="53"/>
      <c r="O273" s="53" t="str" cm="1">
        <f t="array" ref="O273">IFERROR(_xlfn.FILTERXML("&lt;t&gt;&lt;s&gt;" &amp; SUBSTITUTE(M273," / ","&lt;/s&gt;&lt;s&gt;") &amp; "&lt;/s&gt;&lt;/t&gt;","(//s[contains(.,'DDR')])[1]"),"")</f>
        <v/>
      </c>
      <c r="P273" s="32" t="str">
        <f t="shared" si="13"/>
        <v>GB</v>
      </c>
      <c r="Q273" s="32"/>
      <c r="R273" s="32"/>
      <c r="S273" s="53" t="e">
        <f>_xlfn.LET(_xlpm.Result,INDEX(Input!$D$2:$AC$500,
       MATCH(B273, Input!$J$2:$J$500, 0),
       MATCH("Capacity", Input!$D$1:$AC$1, 0)),IF(_xlpm.Result="","",_xlpm.Result))</f>
        <v>#N/A</v>
      </c>
      <c r="T273" s="53" t="e" cm="1">
        <f t="array" ref="T273">_xlfn.TEXTSPLIT(S273," / ", ,TRUE,0,)</f>
        <v>#N/A</v>
      </c>
      <c r="U273" s="53"/>
      <c r="V273" s="53" t="str" cm="1">
        <f t="array" ref="V273">IFERROR(_xlfn.IFS(
T273="","",
--T273&lt;55,"Battery Defect",
--T273&lt;=69,"Battery D",
--T273&lt;=80,"Battery C",
--T273&gt;80,""
),"")</f>
        <v/>
      </c>
      <c r="W273" s="53" t="str" cm="1">
        <f t="array" ref="W273">IFERROR(_xlfn.IFS(
U273="","",
--U273&lt;55,"Battery Defect",
--U273&lt;=69,"Battery D",
--U273&lt;=80,"Battery C",
--U273&gt;80,""
),"")</f>
        <v/>
      </c>
      <c r="X273" s="53"/>
      <c r="Y273" s="53"/>
      <c r="Z273" s="53"/>
      <c r="AA273" s="53"/>
      <c r="AB273" s="53"/>
      <c r="AC273" s="53"/>
      <c r="AD273" s="53"/>
      <c r="AE273" s="53"/>
      <c r="AF273" s="32" t="str">
        <f t="shared" si="14"/>
        <v/>
      </c>
      <c r="AG273" s="32"/>
      <c r="AH273" s="32"/>
      <c r="AI273" s="32"/>
      <c r="AJ273" s="32"/>
      <c r="AK273" s="32"/>
      <c r="AL273" s="32"/>
      <c r="AM273" s="32"/>
      <c r="AN273" s="32"/>
    </row>
    <row r="274" spans="1:40">
      <c r="A274" s="32" t="str">
        <f>_xlfn.TEXTJOIN("",TRUE,_xlfn.XLOOKUP(B274,Input!J:J,Input!G:G,"",0,1),_xlfn.XLOOKUP(B274,Input!J:J,Input!H:H,"",0,1))</f>
        <v/>
      </c>
      <c r="B274" s="32"/>
      <c r="C274" s="53">
        <f>_xlfn.XLOOKUP(B274,Input!J:J,Input!F:F)</f>
        <v>0</v>
      </c>
      <c r="D274" s="32">
        <f>_xlfn.XLOOKUP(C274,Models!H:H,Models!G:G,C274)</f>
        <v>0</v>
      </c>
      <c r="E274" s="32"/>
      <c r="F274" s="32" t="str">
        <f>_xlfn.XLOOKUP(H274,Models!B:B,Models!F:F,"")</f>
        <v/>
      </c>
      <c r="G274" s="32">
        <f>_xlfn.XLOOKUP(B274,Input!J:J,Input!E:E)</f>
        <v>0</v>
      </c>
      <c r="H274" s="32">
        <f>IF(G274="LENOVO",_xlfn.XLOOKUP(B274,Input!J:J,Input!K:K),_xlfn.XLOOKUP(B274,Input!J:J,Input!L:L))</f>
        <v>0</v>
      </c>
      <c r="I274" s="32"/>
      <c r="J274" s="32"/>
      <c r="K274" s="32"/>
      <c r="L274" s="53"/>
      <c r="M274" s="53"/>
      <c r="N274" s="53"/>
      <c r="O274" s="53" t="str" cm="1">
        <f t="array" ref="O274">IFERROR(_xlfn.FILTERXML("&lt;t&gt;&lt;s&gt;" &amp; SUBSTITUTE(M274," / ","&lt;/s&gt;&lt;s&gt;") &amp; "&lt;/s&gt;&lt;/t&gt;","(//s[contains(.,'DDR')])[1]"),"")</f>
        <v/>
      </c>
      <c r="P274" s="32" t="str">
        <f t="shared" si="13"/>
        <v>GB</v>
      </c>
      <c r="Q274" s="32"/>
      <c r="R274" s="32"/>
      <c r="S274" s="53" t="e">
        <f>_xlfn.LET(_xlpm.Result,INDEX(Input!$D$2:$AC$500,
       MATCH(B274, Input!$J$2:$J$500, 0),
       MATCH("Capacity", Input!$D$1:$AC$1, 0)),IF(_xlpm.Result="","",_xlpm.Result))</f>
        <v>#N/A</v>
      </c>
      <c r="T274" s="53" t="e" cm="1">
        <f t="array" ref="T274">_xlfn.TEXTSPLIT(S274," / ", ,TRUE,0,)</f>
        <v>#N/A</v>
      </c>
      <c r="U274" s="53"/>
      <c r="V274" s="53" t="str" cm="1">
        <f t="array" ref="V274">IFERROR(_xlfn.IFS(
T274="","",
--T274&lt;55,"Battery Defect",
--T274&lt;=69,"Battery D",
--T274&lt;=80,"Battery C",
--T274&gt;80,""
),"")</f>
        <v/>
      </c>
      <c r="W274" s="53" t="str" cm="1">
        <f t="array" ref="W274">IFERROR(_xlfn.IFS(
U274="","",
--U274&lt;55,"Battery Defect",
--U274&lt;=69,"Battery D",
--U274&lt;=80,"Battery C",
--U274&gt;80,""
),"")</f>
        <v/>
      </c>
      <c r="X274" s="53"/>
      <c r="Y274" s="53"/>
      <c r="Z274" s="53"/>
      <c r="AA274" s="53"/>
      <c r="AB274" s="53"/>
      <c r="AC274" s="53"/>
      <c r="AD274" s="53"/>
      <c r="AE274" s="53"/>
      <c r="AF274" s="32" t="str">
        <f t="shared" si="14"/>
        <v/>
      </c>
      <c r="AG274" s="32"/>
      <c r="AH274" s="32"/>
      <c r="AI274" s="32"/>
      <c r="AJ274" s="32"/>
      <c r="AK274" s="32"/>
      <c r="AL274" s="32"/>
      <c r="AM274" s="32"/>
      <c r="AN274" s="32"/>
    </row>
    <row r="275" spans="1:40">
      <c r="A275" s="32" t="str">
        <f>_xlfn.TEXTJOIN("",TRUE,_xlfn.XLOOKUP(B275,Input!J:J,Input!G:G,"",0,1),_xlfn.XLOOKUP(B275,Input!J:J,Input!H:H,"",0,1))</f>
        <v/>
      </c>
      <c r="B275" s="32"/>
      <c r="C275" s="53">
        <f>_xlfn.XLOOKUP(B275,Input!J:J,Input!F:F)</f>
        <v>0</v>
      </c>
      <c r="D275" s="32">
        <f>_xlfn.XLOOKUP(C275,Models!H:H,Models!G:G,C275)</f>
        <v>0</v>
      </c>
      <c r="E275" s="32"/>
      <c r="F275" s="32" t="str">
        <f>_xlfn.XLOOKUP(H275,Models!B:B,Models!F:F,"")</f>
        <v/>
      </c>
      <c r="G275" s="32">
        <f>_xlfn.XLOOKUP(B275,Input!J:J,Input!E:E)</f>
        <v>0</v>
      </c>
      <c r="H275" s="32">
        <f>IF(G275="LENOVO",_xlfn.XLOOKUP(B275,Input!J:J,Input!K:K),_xlfn.XLOOKUP(B275,Input!J:J,Input!L:L))</f>
        <v>0</v>
      </c>
      <c r="I275" s="32"/>
      <c r="J275" s="32"/>
      <c r="K275" s="32"/>
      <c r="L275" s="53"/>
      <c r="M275" s="53"/>
      <c r="N275" s="53"/>
      <c r="O275" s="53" t="str" cm="1">
        <f t="array" ref="O275">IFERROR(_xlfn.FILTERXML("&lt;t&gt;&lt;s&gt;" &amp; SUBSTITUTE(M275," / ","&lt;/s&gt;&lt;s&gt;") &amp; "&lt;/s&gt;&lt;/t&gt;","(//s[contains(.,'DDR')])[1]"),"")</f>
        <v/>
      </c>
      <c r="P275" s="32" t="str">
        <f t="shared" si="13"/>
        <v>GB</v>
      </c>
      <c r="Q275" s="32"/>
      <c r="R275" s="32"/>
      <c r="S275" s="53" t="e">
        <f>_xlfn.LET(_xlpm.Result,INDEX(Input!$D$2:$AC$500,
       MATCH(B275, Input!$J$2:$J$500, 0),
       MATCH("Capacity", Input!$D$1:$AC$1, 0)),IF(_xlpm.Result="","",_xlpm.Result))</f>
        <v>#N/A</v>
      </c>
      <c r="T275" s="53" t="e" cm="1">
        <f t="array" ref="T275">_xlfn.TEXTSPLIT(S275," / ", ,TRUE,0,)</f>
        <v>#N/A</v>
      </c>
      <c r="U275" s="53"/>
      <c r="V275" s="53" t="str" cm="1">
        <f t="array" ref="V275">IFERROR(_xlfn.IFS(
T275="","",
--T275&lt;55,"Battery Defect",
--T275&lt;=69,"Battery D",
--T275&lt;=80,"Battery C",
--T275&gt;80,""
),"")</f>
        <v/>
      </c>
      <c r="W275" s="53" t="str" cm="1">
        <f t="array" ref="W275">IFERROR(_xlfn.IFS(
U275="","",
--U275&lt;55,"Battery Defect",
--U275&lt;=69,"Battery D",
--U275&lt;=80,"Battery C",
--U275&gt;80,""
),"")</f>
        <v/>
      </c>
      <c r="X275" s="53"/>
      <c r="Y275" s="53"/>
      <c r="Z275" s="53"/>
      <c r="AA275" s="53"/>
      <c r="AB275" s="53"/>
      <c r="AC275" s="53"/>
      <c r="AD275" s="53"/>
      <c r="AE275" s="53"/>
      <c r="AF275" s="32" t="str">
        <f t="shared" si="14"/>
        <v/>
      </c>
      <c r="AG275" s="32"/>
      <c r="AH275" s="32"/>
      <c r="AI275" s="32"/>
      <c r="AJ275" s="32"/>
      <c r="AK275" s="32"/>
      <c r="AL275" s="32"/>
      <c r="AM275" s="32"/>
      <c r="AN275" s="32"/>
    </row>
    <row r="276" spans="1:40">
      <c r="A276" s="32" t="str">
        <f>_xlfn.TEXTJOIN("",TRUE,_xlfn.XLOOKUP(B276,Input!J:J,Input!G:G,"",0,1),_xlfn.XLOOKUP(B276,Input!J:J,Input!H:H,"",0,1))</f>
        <v/>
      </c>
      <c r="B276" s="32"/>
      <c r="C276" s="53">
        <f>_xlfn.XLOOKUP(B276,Input!J:J,Input!F:F)</f>
        <v>0</v>
      </c>
      <c r="D276" s="32">
        <f>_xlfn.XLOOKUP(C276,Models!H:H,Models!G:G,C276)</f>
        <v>0</v>
      </c>
      <c r="E276" s="32"/>
      <c r="F276" s="32" t="str">
        <f>_xlfn.XLOOKUP(H276,Models!B:B,Models!F:F,"")</f>
        <v/>
      </c>
      <c r="G276" s="32">
        <f>_xlfn.XLOOKUP(B276,Input!J:J,Input!E:E)</f>
        <v>0</v>
      </c>
      <c r="H276" s="32">
        <f>IF(G276="LENOVO",_xlfn.XLOOKUP(B276,Input!J:J,Input!K:K),_xlfn.XLOOKUP(B276,Input!J:J,Input!L:L))</f>
        <v>0</v>
      </c>
      <c r="I276" s="32"/>
      <c r="J276" s="32"/>
      <c r="K276" s="32"/>
      <c r="L276" s="53"/>
      <c r="M276" s="53"/>
      <c r="N276" s="53"/>
      <c r="O276" s="53" t="str" cm="1">
        <f t="array" ref="O276">IFERROR(_xlfn.FILTERXML("&lt;t&gt;&lt;s&gt;" &amp; SUBSTITUTE(M276," / ","&lt;/s&gt;&lt;s&gt;") &amp; "&lt;/s&gt;&lt;/t&gt;","(//s[contains(.,'DDR')])[1]"),"")</f>
        <v/>
      </c>
      <c r="P276" s="32" t="str">
        <f t="shared" si="13"/>
        <v>GB</v>
      </c>
      <c r="Q276" s="32"/>
      <c r="R276" s="32"/>
      <c r="S276" s="53" t="e">
        <f>_xlfn.LET(_xlpm.Result,INDEX(Input!$D$2:$AC$500,
       MATCH(B276, Input!$J$2:$J$500, 0),
       MATCH("Capacity", Input!$D$1:$AC$1, 0)),IF(_xlpm.Result="","",_xlpm.Result))</f>
        <v>#N/A</v>
      </c>
      <c r="T276" s="53" t="e" cm="1">
        <f t="array" ref="T276">_xlfn.TEXTSPLIT(S276," / ", ,TRUE,0,)</f>
        <v>#N/A</v>
      </c>
      <c r="U276" s="53"/>
      <c r="V276" s="53" t="str" cm="1">
        <f t="array" ref="V276">IFERROR(_xlfn.IFS(
T276="","",
--T276&lt;55,"Battery Defect",
--T276&lt;=69,"Battery D",
--T276&lt;=80,"Battery C",
--T276&gt;80,""
),"")</f>
        <v/>
      </c>
      <c r="W276" s="53" t="str" cm="1">
        <f t="array" ref="W276">IFERROR(_xlfn.IFS(
U276="","",
--U276&lt;55,"Battery Defect",
--U276&lt;=69,"Battery D",
--U276&lt;=80,"Battery C",
--U276&gt;80,""
),"")</f>
        <v/>
      </c>
      <c r="X276" s="53"/>
      <c r="Y276" s="53"/>
      <c r="Z276" s="53"/>
      <c r="AA276" s="53"/>
      <c r="AB276" s="53"/>
      <c r="AC276" s="53"/>
      <c r="AD276" s="53"/>
      <c r="AE276" s="53"/>
      <c r="AF276" s="32" t="str">
        <f t="shared" si="14"/>
        <v/>
      </c>
      <c r="AG276" s="32"/>
      <c r="AH276" s="32"/>
      <c r="AI276" s="32"/>
      <c r="AJ276" s="32"/>
      <c r="AK276" s="32"/>
      <c r="AL276" s="32"/>
      <c r="AM276" s="32"/>
      <c r="AN276" s="32"/>
    </row>
    <row r="277" spans="1:40">
      <c r="A277" s="32" t="str">
        <f>_xlfn.TEXTJOIN("",TRUE,_xlfn.XLOOKUP(B277,Input!J:J,Input!G:G,"",0,1),_xlfn.XLOOKUP(B277,Input!J:J,Input!H:H,"",0,1))</f>
        <v/>
      </c>
      <c r="B277" s="32"/>
      <c r="C277" s="53">
        <f>_xlfn.XLOOKUP(B277,Input!J:J,Input!F:F)</f>
        <v>0</v>
      </c>
      <c r="D277" s="32">
        <f>_xlfn.XLOOKUP(C277,Models!H:H,Models!G:G,C277)</f>
        <v>0</v>
      </c>
      <c r="E277" s="32"/>
      <c r="F277" s="32" t="str">
        <f>_xlfn.XLOOKUP(H277,Models!B:B,Models!F:F,"")</f>
        <v/>
      </c>
      <c r="G277" s="32">
        <f>_xlfn.XLOOKUP(B277,Input!J:J,Input!E:E)</f>
        <v>0</v>
      </c>
      <c r="H277" s="32">
        <f>IF(G277="LENOVO",_xlfn.XLOOKUP(B277,Input!J:J,Input!K:K),_xlfn.XLOOKUP(B277,Input!J:J,Input!L:L))</f>
        <v>0</v>
      </c>
      <c r="I277" s="32"/>
      <c r="J277" s="32"/>
      <c r="K277" s="32"/>
      <c r="L277" s="53"/>
      <c r="M277" s="53"/>
      <c r="N277" s="53"/>
      <c r="O277" s="53" t="str" cm="1">
        <f t="array" ref="O277">IFERROR(_xlfn.FILTERXML("&lt;t&gt;&lt;s&gt;" &amp; SUBSTITUTE(M277," / ","&lt;/s&gt;&lt;s&gt;") &amp; "&lt;/s&gt;&lt;/t&gt;","(//s[contains(.,'DDR')])[1]"),"")</f>
        <v/>
      </c>
      <c r="P277" s="32" t="str">
        <f t="shared" si="13"/>
        <v>GB</v>
      </c>
      <c r="Q277" s="32"/>
      <c r="R277" s="32"/>
      <c r="S277" s="53" t="e">
        <f>_xlfn.LET(_xlpm.Result,INDEX(Input!$D$2:$AC$500,
       MATCH(B277, Input!$J$2:$J$500, 0),
       MATCH("Capacity", Input!$D$1:$AC$1, 0)),IF(_xlpm.Result="","",_xlpm.Result))</f>
        <v>#N/A</v>
      </c>
      <c r="T277" s="53" t="e" cm="1">
        <f t="array" ref="T277">_xlfn.TEXTSPLIT(S277," / ", ,TRUE,0,)</f>
        <v>#N/A</v>
      </c>
      <c r="U277" s="53"/>
      <c r="V277" s="53" t="str" cm="1">
        <f t="array" ref="V277">IFERROR(_xlfn.IFS(
T277="","",
--T277&lt;55,"Battery Defect",
--T277&lt;=69,"Battery D",
--T277&lt;=80,"Battery C",
--T277&gt;80,""
),"")</f>
        <v/>
      </c>
      <c r="W277" s="53" t="str" cm="1">
        <f t="array" ref="W277">IFERROR(_xlfn.IFS(
U277="","",
--U277&lt;55,"Battery Defect",
--U277&lt;=69,"Battery D",
--U277&lt;=80,"Battery C",
--U277&gt;80,""
),"")</f>
        <v/>
      </c>
      <c r="X277" s="53"/>
      <c r="Y277" s="53"/>
      <c r="Z277" s="53"/>
      <c r="AA277" s="53"/>
      <c r="AB277" s="53"/>
      <c r="AC277" s="53"/>
      <c r="AD277" s="53"/>
      <c r="AE277" s="53"/>
      <c r="AF277" s="32" t="str">
        <f t="shared" si="14"/>
        <v/>
      </c>
      <c r="AG277" s="32"/>
      <c r="AH277" s="32"/>
      <c r="AI277" s="32"/>
      <c r="AJ277" s="32"/>
      <c r="AK277" s="32"/>
      <c r="AL277" s="32"/>
      <c r="AM277" s="32"/>
      <c r="AN277" s="32"/>
    </row>
    <row r="278" spans="1:40">
      <c r="A278" s="32" t="str">
        <f>_xlfn.TEXTJOIN("",TRUE,_xlfn.XLOOKUP(B278,Input!J:J,Input!G:G,"",0,1),_xlfn.XLOOKUP(B278,Input!J:J,Input!H:H,"",0,1))</f>
        <v/>
      </c>
      <c r="B278" s="32"/>
      <c r="C278" s="53">
        <f>_xlfn.XLOOKUP(B278,Input!J:J,Input!F:F)</f>
        <v>0</v>
      </c>
      <c r="D278" s="32">
        <f>_xlfn.XLOOKUP(C278,Models!H:H,Models!G:G,C278)</f>
        <v>0</v>
      </c>
      <c r="E278" s="32"/>
      <c r="F278" s="32" t="str">
        <f>_xlfn.XLOOKUP(H278,Models!B:B,Models!F:F,"")</f>
        <v/>
      </c>
      <c r="G278" s="32">
        <f>_xlfn.XLOOKUP(B278,Input!J:J,Input!E:E)</f>
        <v>0</v>
      </c>
      <c r="H278" s="32">
        <f>IF(G278="LENOVO",_xlfn.XLOOKUP(B278,Input!J:J,Input!K:K),_xlfn.XLOOKUP(B278,Input!J:J,Input!L:L))</f>
        <v>0</v>
      </c>
      <c r="I278" s="32"/>
      <c r="J278" s="32"/>
      <c r="K278" s="32"/>
      <c r="L278" s="53"/>
      <c r="M278" s="53"/>
      <c r="N278" s="53"/>
      <c r="O278" s="53" t="str" cm="1">
        <f t="array" ref="O278">IFERROR(_xlfn.FILTERXML("&lt;t&gt;&lt;s&gt;" &amp; SUBSTITUTE(M278," / ","&lt;/s&gt;&lt;s&gt;") &amp; "&lt;/s&gt;&lt;/t&gt;","(//s[contains(.,'DDR')])[1]"),"")</f>
        <v/>
      </c>
      <c r="P278" s="32" t="str">
        <f t="shared" si="13"/>
        <v>GB</v>
      </c>
      <c r="Q278" s="32"/>
      <c r="R278" s="32"/>
      <c r="S278" s="53" t="e">
        <f>_xlfn.LET(_xlpm.Result,INDEX(Input!$D$2:$AC$500,
       MATCH(B278, Input!$J$2:$J$500, 0),
       MATCH("Capacity", Input!$D$1:$AC$1, 0)),IF(_xlpm.Result="","",_xlpm.Result))</f>
        <v>#N/A</v>
      </c>
      <c r="T278" s="53" t="e" cm="1">
        <f t="array" ref="T278">_xlfn.TEXTSPLIT(S278," / ", ,TRUE,0,)</f>
        <v>#N/A</v>
      </c>
      <c r="U278" s="53"/>
      <c r="V278" s="53" t="str" cm="1">
        <f t="array" ref="V278">IFERROR(_xlfn.IFS(
T278="","",
--T278&lt;55,"Battery Defect",
--T278&lt;=69,"Battery D",
--T278&lt;=80,"Battery C",
--T278&gt;80,""
),"")</f>
        <v/>
      </c>
      <c r="W278" s="53" t="str" cm="1">
        <f t="array" ref="W278">IFERROR(_xlfn.IFS(
U278="","",
--U278&lt;55,"Battery Defect",
--U278&lt;=69,"Battery D",
--U278&lt;=80,"Battery C",
--U278&gt;80,""
),"")</f>
        <v/>
      </c>
      <c r="X278" s="53"/>
      <c r="Y278" s="53"/>
      <c r="Z278" s="53"/>
      <c r="AA278" s="53"/>
      <c r="AB278" s="53"/>
      <c r="AC278" s="53"/>
      <c r="AD278" s="53"/>
      <c r="AE278" s="53"/>
      <c r="AF278" s="32" t="str">
        <f t="shared" si="14"/>
        <v/>
      </c>
      <c r="AG278" s="32"/>
      <c r="AH278" s="32"/>
      <c r="AI278" s="32"/>
      <c r="AJ278" s="32"/>
      <c r="AK278" s="32"/>
      <c r="AL278" s="32"/>
      <c r="AM278" s="32"/>
      <c r="AN278" s="32"/>
    </row>
    <row r="279" spans="1:40">
      <c r="A279" s="32" t="str">
        <f>_xlfn.TEXTJOIN("",TRUE,_xlfn.XLOOKUP(B279,Input!J:J,Input!G:G,"",0,1),_xlfn.XLOOKUP(B279,Input!J:J,Input!H:H,"",0,1))</f>
        <v/>
      </c>
      <c r="B279" s="32"/>
      <c r="C279" s="53">
        <f>_xlfn.XLOOKUP(B279,Input!J:J,Input!F:F)</f>
        <v>0</v>
      </c>
      <c r="D279" s="32">
        <f>_xlfn.XLOOKUP(C279,Models!H:H,Models!G:G,C279)</f>
        <v>0</v>
      </c>
      <c r="E279" s="32"/>
      <c r="F279" s="32" t="str">
        <f>_xlfn.XLOOKUP(H279,Models!B:B,Models!F:F,"")</f>
        <v/>
      </c>
      <c r="G279" s="32">
        <f>_xlfn.XLOOKUP(B279,Input!J:J,Input!E:E)</f>
        <v>0</v>
      </c>
      <c r="H279" s="32">
        <f>IF(G279="LENOVO",_xlfn.XLOOKUP(B279,Input!J:J,Input!K:K),_xlfn.XLOOKUP(B279,Input!J:J,Input!L:L))</f>
        <v>0</v>
      </c>
      <c r="I279" s="32"/>
      <c r="J279" s="32"/>
      <c r="K279" s="32"/>
      <c r="L279" s="53"/>
      <c r="M279" s="53"/>
      <c r="N279" s="53"/>
      <c r="O279" s="53" t="str" cm="1">
        <f t="array" ref="O279">IFERROR(_xlfn.FILTERXML("&lt;t&gt;&lt;s&gt;" &amp; SUBSTITUTE(M279," / ","&lt;/s&gt;&lt;s&gt;") &amp; "&lt;/s&gt;&lt;/t&gt;","(//s[contains(.,'DDR')])[1]"),"")</f>
        <v/>
      </c>
      <c r="P279" s="32" t="str">
        <f t="shared" si="13"/>
        <v>GB</v>
      </c>
      <c r="Q279" s="32"/>
      <c r="R279" s="32"/>
      <c r="S279" s="53" t="e">
        <f>_xlfn.LET(_xlpm.Result,INDEX(Input!$D$2:$AC$500,
       MATCH(B279, Input!$J$2:$J$500, 0),
       MATCH("Capacity", Input!$D$1:$AC$1, 0)),IF(_xlpm.Result="","",_xlpm.Result))</f>
        <v>#N/A</v>
      </c>
      <c r="T279" s="53" t="e" cm="1">
        <f t="array" ref="T279">_xlfn.TEXTSPLIT(S279," / ", ,TRUE,0,)</f>
        <v>#N/A</v>
      </c>
      <c r="U279" s="53"/>
      <c r="V279" s="53" t="str" cm="1">
        <f t="array" ref="V279">IFERROR(_xlfn.IFS(
T279="","",
--T279&lt;55,"Battery Defect",
--T279&lt;=69,"Battery D",
--T279&lt;=80,"Battery C",
--T279&gt;80,""
),"")</f>
        <v/>
      </c>
      <c r="W279" s="53" t="str" cm="1">
        <f t="array" ref="W279">IFERROR(_xlfn.IFS(
U279="","",
--U279&lt;55,"Battery Defect",
--U279&lt;=69,"Battery D",
--U279&lt;=80,"Battery C",
--U279&gt;80,""
),"")</f>
        <v/>
      </c>
      <c r="X279" s="53"/>
      <c r="Y279" s="53"/>
      <c r="Z279" s="53"/>
      <c r="AA279" s="53"/>
      <c r="AB279" s="53"/>
      <c r="AC279" s="53"/>
      <c r="AD279" s="53"/>
      <c r="AE279" s="53"/>
      <c r="AF279" s="32" t="str">
        <f t="shared" si="14"/>
        <v/>
      </c>
      <c r="AG279" s="32"/>
      <c r="AH279" s="32"/>
      <c r="AI279" s="32"/>
      <c r="AJ279" s="32"/>
      <c r="AK279" s="32"/>
      <c r="AL279" s="32"/>
      <c r="AM279" s="32"/>
      <c r="AN279" s="32"/>
    </row>
    <row r="280" spans="1:40">
      <c r="A280" s="32" t="str">
        <f>_xlfn.TEXTJOIN("",TRUE,_xlfn.XLOOKUP(B280,Input!J:J,Input!G:G,"",0,1),_xlfn.XLOOKUP(B280,Input!J:J,Input!H:H,"",0,1))</f>
        <v/>
      </c>
      <c r="B280" s="32"/>
      <c r="C280" s="53">
        <f>_xlfn.XLOOKUP(B280,Input!J:J,Input!F:F)</f>
        <v>0</v>
      </c>
      <c r="D280" s="32">
        <f>_xlfn.XLOOKUP(C280,Models!H:H,Models!G:G,C280)</f>
        <v>0</v>
      </c>
      <c r="E280" s="32"/>
      <c r="F280" s="32" t="str">
        <f>_xlfn.XLOOKUP(H280,Models!B:B,Models!F:F,"")</f>
        <v/>
      </c>
      <c r="G280" s="32">
        <f>_xlfn.XLOOKUP(B280,Input!J:J,Input!E:E)</f>
        <v>0</v>
      </c>
      <c r="H280" s="32">
        <f>IF(G280="LENOVO",_xlfn.XLOOKUP(B280,Input!J:J,Input!K:K),_xlfn.XLOOKUP(B280,Input!J:J,Input!L:L))</f>
        <v>0</v>
      </c>
      <c r="I280" s="32"/>
      <c r="J280" s="32"/>
      <c r="K280" s="32"/>
      <c r="L280" s="53"/>
      <c r="M280" s="53"/>
      <c r="N280" s="53"/>
      <c r="O280" s="53" t="str" cm="1">
        <f t="array" ref="O280">IFERROR(_xlfn.FILTERXML("&lt;t&gt;&lt;s&gt;" &amp; SUBSTITUTE(M280," / ","&lt;/s&gt;&lt;s&gt;") &amp; "&lt;/s&gt;&lt;/t&gt;","(//s[contains(.,'DDR')])[1]"),"")</f>
        <v/>
      </c>
      <c r="P280" s="32" t="str">
        <f t="shared" si="13"/>
        <v>GB</v>
      </c>
      <c r="Q280" s="32"/>
      <c r="R280" s="32"/>
      <c r="S280" s="53" t="e">
        <f>_xlfn.LET(_xlpm.Result,INDEX(Input!$D$2:$AC$500,
       MATCH(B280, Input!$J$2:$J$500, 0),
       MATCH("Capacity", Input!$D$1:$AC$1, 0)),IF(_xlpm.Result="","",_xlpm.Result))</f>
        <v>#N/A</v>
      </c>
      <c r="T280" s="53" t="e" cm="1">
        <f t="array" ref="T280">_xlfn.TEXTSPLIT(S280," / ", ,TRUE,0,)</f>
        <v>#N/A</v>
      </c>
      <c r="U280" s="53"/>
      <c r="V280" s="53" t="str" cm="1">
        <f t="array" ref="V280">IFERROR(_xlfn.IFS(
T280="","",
--T280&lt;55,"Battery Defect",
--T280&lt;=69,"Battery D",
--T280&lt;=80,"Battery C",
--T280&gt;80,""
),"")</f>
        <v/>
      </c>
      <c r="W280" s="53" t="str" cm="1">
        <f t="array" ref="W280">IFERROR(_xlfn.IFS(
U280="","",
--U280&lt;55,"Battery Defect",
--U280&lt;=69,"Battery D",
--U280&lt;=80,"Battery C",
--U280&gt;80,""
),"")</f>
        <v/>
      </c>
      <c r="X280" s="53"/>
      <c r="Y280" s="53"/>
      <c r="Z280" s="53"/>
      <c r="AA280" s="53"/>
      <c r="AB280" s="53"/>
      <c r="AC280" s="53"/>
      <c r="AD280" s="53"/>
      <c r="AE280" s="53"/>
      <c r="AF280" s="32" t="str">
        <f t="shared" si="14"/>
        <v/>
      </c>
      <c r="AG280" s="32"/>
      <c r="AH280" s="32"/>
      <c r="AI280" s="32"/>
      <c r="AJ280" s="32"/>
      <c r="AK280" s="32"/>
      <c r="AL280" s="32"/>
      <c r="AM280" s="32"/>
      <c r="AN280" s="32"/>
    </row>
    <row r="281" spans="1:40">
      <c r="A281" s="32" t="str">
        <f>_xlfn.TEXTJOIN("",TRUE,_xlfn.XLOOKUP(B281,Input!J:J,Input!G:G,"",0,1),_xlfn.XLOOKUP(B281,Input!J:J,Input!H:H,"",0,1))</f>
        <v/>
      </c>
      <c r="B281" s="32"/>
      <c r="C281" s="53">
        <f>_xlfn.XLOOKUP(B281,Input!J:J,Input!F:F)</f>
        <v>0</v>
      </c>
      <c r="D281" s="32">
        <f>_xlfn.XLOOKUP(C281,Models!H:H,Models!G:G,C281)</f>
        <v>0</v>
      </c>
      <c r="E281" s="32"/>
      <c r="F281" s="32" t="str">
        <f>_xlfn.XLOOKUP(H281,Models!B:B,Models!F:F,"")</f>
        <v/>
      </c>
      <c r="G281" s="32">
        <f>_xlfn.XLOOKUP(B281,Input!J:J,Input!E:E)</f>
        <v>0</v>
      </c>
      <c r="H281" s="32">
        <f>IF(G281="LENOVO",_xlfn.XLOOKUP(B281,Input!J:J,Input!K:K),_xlfn.XLOOKUP(B281,Input!J:J,Input!L:L))</f>
        <v>0</v>
      </c>
      <c r="I281" s="32"/>
      <c r="J281" s="32"/>
      <c r="K281" s="32"/>
      <c r="L281" s="53"/>
      <c r="M281" s="53"/>
      <c r="N281" s="53"/>
      <c r="O281" s="53" t="str" cm="1">
        <f t="array" ref="O281">IFERROR(_xlfn.FILTERXML("&lt;t&gt;&lt;s&gt;" &amp; SUBSTITUTE(M281," / ","&lt;/s&gt;&lt;s&gt;") &amp; "&lt;/s&gt;&lt;/t&gt;","(//s[contains(.,'DDR')])[1]"),"")</f>
        <v/>
      </c>
      <c r="P281" s="32" t="str">
        <f t="shared" ref="P281:P344" si="15">_xlfn.TEXTJOIN(" ",TRUE,N281,"GB",O281)</f>
        <v>GB</v>
      </c>
      <c r="Q281" s="32"/>
      <c r="R281" s="32"/>
      <c r="S281" s="53" t="e">
        <f>_xlfn.LET(_xlpm.Result,INDEX(Input!$D$2:$AC$500,
       MATCH(B281, Input!$J$2:$J$500, 0),
       MATCH("Capacity", Input!$D$1:$AC$1, 0)),IF(_xlpm.Result="","",_xlpm.Result))</f>
        <v>#N/A</v>
      </c>
      <c r="T281" s="53" t="e" cm="1">
        <f t="array" ref="T281">_xlfn.TEXTSPLIT(S281," / ", ,TRUE,0,)</f>
        <v>#N/A</v>
      </c>
      <c r="U281" s="53"/>
      <c r="V281" s="53" t="str" cm="1">
        <f t="array" ref="V281">IFERROR(_xlfn.IFS(
T281="","",
--T281&lt;55,"Battery Defect",
--T281&lt;=69,"Battery D",
--T281&lt;=80,"Battery C",
--T281&gt;80,""
),"")</f>
        <v/>
      </c>
      <c r="W281" s="53" t="str" cm="1">
        <f t="array" ref="W281">IFERROR(_xlfn.IFS(
U281="","",
--U281&lt;55,"Battery Defect",
--U281&lt;=69,"Battery D",
--U281&lt;=80,"Battery C",
--U281&gt;80,""
),"")</f>
        <v/>
      </c>
      <c r="X281" s="53"/>
      <c r="Y281" s="53"/>
      <c r="Z281" s="53"/>
      <c r="AA281" s="53"/>
      <c r="AB281" s="53"/>
      <c r="AC281" s="53"/>
      <c r="AD281" s="53"/>
      <c r="AE281" s="53"/>
      <c r="AF281" s="32" t="str">
        <f t="shared" si="14"/>
        <v/>
      </c>
      <c r="AG281" s="32"/>
      <c r="AH281" s="32"/>
      <c r="AI281" s="32"/>
      <c r="AJ281" s="32"/>
      <c r="AK281" s="32"/>
      <c r="AL281" s="32"/>
      <c r="AM281" s="32"/>
      <c r="AN281" s="32"/>
    </row>
    <row r="282" spans="1:40">
      <c r="A282" s="32" t="str">
        <f>_xlfn.TEXTJOIN("",TRUE,_xlfn.XLOOKUP(B282,Input!J:J,Input!G:G,"",0,1),_xlfn.XLOOKUP(B282,Input!J:J,Input!H:H,"",0,1))</f>
        <v/>
      </c>
      <c r="B282" s="32"/>
      <c r="C282" s="53">
        <f>_xlfn.XLOOKUP(B282,Input!J:J,Input!F:F)</f>
        <v>0</v>
      </c>
      <c r="D282" s="32">
        <f>_xlfn.XLOOKUP(C282,Models!H:H,Models!G:G,C282)</f>
        <v>0</v>
      </c>
      <c r="E282" s="32"/>
      <c r="F282" s="32" t="str">
        <f>_xlfn.XLOOKUP(H282,Models!B:B,Models!F:F,"")</f>
        <v/>
      </c>
      <c r="G282" s="32">
        <f>_xlfn.XLOOKUP(B282,Input!J:J,Input!E:E)</f>
        <v>0</v>
      </c>
      <c r="H282" s="32">
        <f>IF(G282="LENOVO",_xlfn.XLOOKUP(B282,Input!J:J,Input!K:K),_xlfn.XLOOKUP(B282,Input!J:J,Input!L:L))</f>
        <v>0</v>
      </c>
      <c r="I282" s="32"/>
      <c r="J282" s="32"/>
      <c r="K282" s="32"/>
      <c r="L282" s="53"/>
      <c r="M282" s="53"/>
      <c r="N282" s="53"/>
      <c r="O282" s="53" t="str" cm="1">
        <f t="array" ref="O282">IFERROR(_xlfn.FILTERXML("&lt;t&gt;&lt;s&gt;" &amp; SUBSTITUTE(M282," / ","&lt;/s&gt;&lt;s&gt;") &amp; "&lt;/s&gt;&lt;/t&gt;","(//s[contains(.,'DDR')])[1]"),"")</f>
        <v/>
      </c>
      <c r="P282" s="32" t="str">
        <f t="shared" si="15"/>
        <v>GB</v>
      </c>
      <c r="Q282" s="32"/>
      <c r="R282" s="32"/>
      <c r="S282" s="53" t="e">
        <f>_xlfn.LET(_xlpm.Result,INDEX(Input!$D$2:$AC$500,
       MATCH(B282, Input!$J$2:$J$500, 0),
       MATCH("Capacity", Input!$D$1:$AC$1, 0)),IF(_xlpm.Result="","",_xlpm.Result))</f>
        <v>#N/A</v>
      </c>
      <c r="T282" s="53" t="e" cm="1">
        <f t="array" ref="T282">_xlfn.TEXTSPLIT(S282," / ", ,TRUE,0,)</f>
        <v>#N/A</v>
      </c>
      <c r="U282" s="53"/>
      <c r="V282" s="53" t="str" cm="1">
        <f t="array" ref="V282">IFERROR(_xlfn.IFS(
T282="","",
--T282&lt;55,"Battery Defect",
--T282&lt;=69,"Battery D",
--T282&lt;=80,"Battery C",
--T282&gt;80,""
),"")</f>
        <v/>
      </c>
      <c r="W282" s="53" t="str" cm="1">
        <f t="array" ref="W282">IFERROR(_xlfn.IFS(
U282="","",
--U282&lt;55,"Battery Defect",
--U282&lt;=69,"Battery D",
--U282&lt;=80,"Battery C",
--U282&gt;80,""
),"")</f>
        <v/>
      </c>
      <c r="X282" s="53"/>
      <c r="Y282" s="53"/>
      <c r="Z282" s="53"/>
      <c r="AA282" s="53"/>
      <c r="AB282" s="53"/>
      <c r="AC282" s="53"/>
      <c r="AD282" s="53"/>
      <c r="AE282" s="53"/>
      <c r="AF282" s="32" t="str">
        <f t="shared" si="14"/>
        <v/>
      </c>
      <c r="AG282" s="32"/>
      <c r="AH282" s="32"/>
      <c r="AI282" s="32"/>
      <c r="AJ282" s="32"/>
      <c r="AK282" s="32"/>
      <c r="AL282" s="32"/>
      <c r="AM282" s="32"/>
      <c r="AN282" s="32"/>
    </row>
    <row r="283" spans="1:40">
      <c r="A283" s="32" t="str">
        <f>_xlfn.TEXTJOIN("",TRUE,_xlfn.XLOOKUP(B283,Input!J:J,Input!G:G,"",0,1),_xlfn.XLOOKUP(B283,Input!J:J,Input!H:H,"",0,1))</f>
        <v/>
      </c>
      <c r="B283" s="32"/>
      <c r="C283" s="53">
        <f>_xlfn.XLOOKUP(B283,Input!J:J,Input!F:F)</f>
        <v>0</v>
      </c>
      <c r="D283" s="32">
        <f>_xlfn.XLOOKUP(C283,Models!H:H,Models!G:G,C283)</f>
        <v>0</v>
      </c>
      <c r="E283" s="32"/>
      <c r="F283" s="32" t="str">
        <f>_xlfn.XLOOKUP(H283,Models!B:B,Models!F:F,"")</f>
        <v/>
      </c>
      <c r="G283" s="32">
        <f>_xlfn.XLOOKUP(B283,Input!J:J,Input!E:E)</f>
        <v>0</v>
      </c>
      <c r="H283" s="32">
        <f>IF(G283="LENOVO",_xlfn.XLOOKUP(B283,Input!J:J,Input!K:K),_xlfn.XLOOKUP(B283,Input!J:J,Input!L:L))</f>
        <v>0</v>
      </c>
      <c r="I283" s="32"/>
      <c r="J283" s="32"/>
      <c r="K283" s="32"/>
      <c r="L283" s="53"/>
      <c r="M283" s="53"/>
      <c r="N283" s="53"/>
      <c r="O283" s="53" t="str" cm="1">
        <f t="array" ref="O283">IFERROR(_xlfn.FILTERXML("&lt;t&gt;&lt;s&gt;" &amp; SUBSTITUTE(M283," / ","&lt;/s&gt;&lt;s&gt;") &amp; "&lt;/s&gt;&lt;/t&gt;","(//s[contains(.,'DDR')])[1]"),"")</f>
        <v/>
      </c>
      <c r="P283" s="32" t="str">
        <f t="shared" si="15"/>
        <v>GB</v>
      </c>
      <c r="Q283" s="32"/>
      <c r="R283" s="32"/>
      <c r="S283" s="53" t="e">
        <f>_xlfn.LET(_xlpm.Result,INDEX(Input!$D$2:$AC$500,
       MATCH(B283, Input!$J$2:$J$500, 0),
       MATCH("Capacity", Input!$D$1:$AC$1, 0)),IF(_xlpm.Result="","",_xlpm.Result))</f>
        <v>#N/A</v>
      </c>
      <c r="T283" s="53" t="e" cm="1">
        <f t="array" ref="T283">_xlfn.TEXTSPLIT(S283," / ", ,TRUE,0,)</f>
        <v>#N/A</v>
      </c>
      <c r="U283" s="53"/>
      <c r="V283" s="53" t="str" cm="1">
        <f t="array" ref="V283">IFERROR(_xlfn.IFS(
T283="","",
--T283&lt;55,"Battery Defect",
--T283&lt;=69,"Battery D",
--T283&lt;=80,"Battery C",
--T283&gt;80,""
),"")</f>
        <v/>
      </c>
      <c r="W283" s="53" t="str" cm="1">
        <f t="array" ref="W283">IFERROR(_xlfn.IFS(
U283="","",
--U283&lt;55,"Battery Defect",
--U283&lt;=69,"Battery D",
--U283&lt;=80,"Battery C",
--U283&gt;80,""
),"")</f>
        <v/>
      </c>
      <c r="X283" s="53"/>
      <c r="Y283" s="53"/>
      <c r="Z283" s="53"/>
      <c r="AA283" s="53"/>
      <c r="AB283" s="53"/>
      <c r="AC283" s="53"/>
      <c r="AD283" s="53"/>
      <c r="AE283" s="53"/>
      <c r="AF283" s="32" t="str">
        <f t="shared" si="14"/>
        <v/>
      </c>
      <c r="AG283" s="32"/>
      <c r="AH283" s="32"/>
      <c r="AI283" s="32"/>
      <c r="AJ283" s="32"/>
      <c r="AK283" s="32"/>
      <c r="AL283" s="32"/>
      <c r="AM283" s="32"/>
      <c r="AN283" s="32"/>
    </row>
    <row r="284" spans="1:40">
      <c r="A284" s="32" t="str">
        <f>_xlfn.TEXTJOIN("",TRUE,_xlfn.XLOOKUP(B284,Input!J:J,Input!G:G,"",0,1),_xlfn.XLOOKUP(B284,Input!J:J,Input!H:H,"",0,1))</f>
        <v/>
      </c>
      <c r="B284" s="32"/>
      <c r="C284" s="53">
        <f>_xlfn.XLOOKUP(B284,Input!J:J,Input!F:F)</f>
        <v>0</v>
      </c>
      <c r="D284" s="32">
        <f>_xlfn.XLOOKUP(C284,Models!H:H,Models!G:G,C284)</f>
        <v>0</v>
      </c>
      <c r="E284" s="32"/>
      <c r="F284" s="32" t="str">
        <f>_xlfn.XLOOKUP(H284,Models!B:B,Models!F:F,"")</f>
        <v/>
      </c>
      <c r="G284" s="32">
        <f>_xlfn.XLOOKUP(B284,Input!J:J,Input!E:E)</f>
        <v>0</v>
      </c>
      <c r="H284" s="32">
        <f>IF(G284="LENOVO",_xlfn.XLOOKUP(B284,Input!J:J,Input!K:K),_xlfn.XLOOKUP(B284,Input!J:J,Input!L:L))</f>
        <v>0</v>
      </c>
      <c r="I284" s="32"/>
      <c r="J284" s="32"/>
      <c r="K284" s="32"/>
      <c r="L284" s="53"/>
      <c r="M284" s="53"/>
      <c r="N284" s="53"/>
      <c r="O284" s="53" t="str" cm="1">
        <f t="array" ref="O284">IFERROR(_xlfn.FILTERXML("&lt;t&gt;&lt;s&gt;" &amp; SUBSTITUTE(M284," / ","&lt;/s&gt;&lt;s&gt;") &amp; "&lt;/s&gt;&lt;/t&gt;","(//s[contains(.,'DDR')])[1]"),"")</f>
        <v/>
      </c>
      <c r="P284" s="32" t="str">
        <f t="shared" si="15"/>
        <v>GB</v>
      </c>
      <c r="Q284" s="32"/>
      <c r="R284" s="32"/>
      <c r="S284" s="53" t="e">
        <f>_xlfn.LET(_xlpm.Result,INDEX(Input!$D$2:$AC$500,
       MATCH(B284, Input!$J$2:$J$500, 0),
       MATCH("Capacity", Input!$D$1:$AC$1, 0)),IF(_xlpm.Result="","",_xlpm.Result))</f>
        <v>#N/A</v>
      </c>
      <c r="T284" s="53" t="e" cm="1">
        <f t="array" ref="T284">_xlfn.TEXTSPLIT(S284," / ", ,TRUE,0,)</f>
        <v>#N/A</v>
      </c>
      <c r="U284" s="53"/>
      <c r="V284" s="53" t="str" cm="1">
        <f t="array" ref="V284">IFERROR(_xlfn.IFS(
T284="","",
--T284&lt;55,"Battery Defect",
--T284&lt;=69,"Battery D",
--T284&lt;=80,"Battery C",
--T284&gt;80,""
),"")</f>
        <v/>
      </c>
      <c r="W284" s="53" t="str" cm="1">
        <f t="array" ref="W284">IFERROR(_xlfn.IFS(
U284="","",
--U284&lt;55,"Battery Defect",
--U284&lt;=69,"Battery D",
--U284&lt;=80,"Battery C",
--U284&gt;80,""
),"")</f>
        <v/>
      </c>
      <c r="X284" s="53"/>
      <c r="Y284" s="53"/>
      <c r="Z284" s="53"/>
      <c r="AA284" s="53"/>
      <c r="AB284" s="53"/>
      <c r="AC284" s="53"/>
      <c r="AD284" s="53"/>
      <c r="AE284" s="53"/>
      <c r="AF284" s="32" t="str">
        <f t="shared" si="14"/>
        <v/>
      </c>
      <c r="AG284" s="32"/>
      <c r="AH284" s="32"/>
      <c r="AI284" s="32"/>
      <c r="AJ284" s="32"/>
      <c r="AK284" s="32"/>
      <c r="AL284" s="32"/>
      <c r="AM284" s="32"/>
      <c r="AN284" s="32"/>
    </row>
    <row r="285" spans="1:40">
      <c r="A285" s="32" t="str">
        <f>_xlfn.TEXTJOIN("",TRUE,_xlfn.XLOOKUP(B285,Input!J:J,Input!G:G,"",0,1),_xlfn.XLOOKUP(B285,Input!J:J,Input!H:H,"",0,1))</f>
        <v/>
      </c>
      <c r="B285" s="32"/>
      <c r="C285" s="53">
        <f>_xlfn.XLOOKUP(B285,Input!J:J,Input!F:F)</f>
        <v>0</v>
      </c>
      <c r="D285" s="32">
        <f>_xlfn.XLOOKUP(C285,Models!H:H,Models!G:G,C285)</f>
        <v>0</v>
      </c>
      <c r="E285" s="32"/>
      <c r="F285" s="32" t="str">
        <f>_xlfn.XLOOKUP(H285,Models!B:B,Models!F:F,"")</f>
        <v/>
      </c>
      <c r="G285" s="32">
        <f>_xlfn.XLOOKUP(B285,Input!J:J,Input!E:E)</f>
        <v>0</v>
      </c>
      <c r="H285" s="32">
        <f>IF(G285="LENOVO",_xlfn.XLOOKUP(B285,Input!J:J,Input!K:K),_xlfn.XLOOKUP(B285,Input!J:J,Input!L:L))</f>
        <v>0</v>
      </c>
      <c r="I285" s="32"/>
      <c r="J285" s="32"/>
      <c r="K285" s="32"/>
      <c r="L285" s="53"/>
      <c r="M285" s="53"/>
      <c r="N285" s="53"/>
      <c r="O285" s="53" t="str" cm="1">
        <f t="array" ref="O285">IFERROR(_xlfn.FILTERXML("&lt;t&gt;&lt;s&gt;" &amp; SUBSTITUTE(M285," / ","&lt;/s&gt;&lt;s&gt;") &amp; "&lt;/s&gt;&lt;/t&gt;","(//s[contains(.,'DDR')])[1]"),"")</f>
        <v/>
      </c>
      <c r="P285" s="32" t="str">
        <f t="shared" si="15"/>
        <v>GB</v>
      </c>
      <c r="Q285" s="32"/>
      <c r="R285" s="32"/>
      <c r="S285" s="53" t="e">
        <f>_xlfn.LET(_xlpm.Result,INDEX(Input!$D$2:$AC$500,
       MATCH(B285, Input!$J$2:$J$500, 0),
       MATCH("Capacity", Input!$D$1:$AC$1, 0)),IF(_xlpm.Result="","",_xlpm.Result))</f>
        <v>#N/A</v>
      </c>
      <c r="T285" s="53" t="e" cm="1">
        <f t="array" ref="T285">_xlfn.TEXTSPLIT(S285," / ", ,TRUE,0,)</f>
        <v>#N/A</v>
      </c>
      <c r="U285" s="53"/>
      <c r="V285" s="53" t="str" cm="1">
        <f t="array" ref="V285">IFERROR(_xlfn.IFS(
T285="","",
--T285&lt;55,"Battery Defect",
--T285&lt;=69,"Battery D",
--T285&lt;=80,"Battery C",
--T285&gt;80,""
),"")</f>
        <v/>
      </c>
      <c r="W285" s="53" t="str" cm="1">
        <f t="array" ref="W285">IFERROR(_xlfn.IFS(
U285="","",
--U285&lt;55,"Battery Defect",
--U285&lt;=69,"Battery D",
--U285&lt;=80,"Battery C",
--U285&gt;80,""
),"")</f>
        <v/>
      </c>
      <c r="X285" s="53"/>
      <c r="Y285" s="53"/>
      <c r="Z285" s="53"/>
      <c r="AA285" s="53"/>
      <c r="AB285" s="53"/>
      <c r="AC285" s="53"/>
      <c r="AD285" s="53"/>
      <c r="AE285" s="53"/>
      <c r="AF285" s="32" t="str">
        <f t="shared" si="14"/>
        <v/>
      </c>
      <c r="AG285" s="32"/>
      <c r="AH285" s="32"/>
      <c r="AI285" s="32"/>
      <c r="AJ285" s="32"/>
      <c r="AK285" s="32"/>
      <c r="AL285" s="32"/>
      <c r="AM285" s="32"/>
      <c r="AN285" s="32"/>
    </row>
    <row r="286" spans="1:40">
      <c r="A286" s="32" t="str">
        <f>_xlfn.TEXTJOIN("",TRUE,_xlfn.XLOOKUP(B286,Input!J:J,Input!G:G,"",0,1),_xlfn.XLOOKUP(B286,Input!J:J,Input!H:H,"",0,1))</f>
        <v/>
      </c>
      <c r="B286" s="32"/>
      <c r="C286" s="53">
        <f>_xlfn.XLOOKUP(B286,Input!J:J,Input!F:F)</f>
        <v>0</v>
      </c>
      <c r="D286" s="32">
        <f>_xlfn.XLOOKUP(C286,Models!H:H,Models!G:G,C286)</f>
        <v>0</v>
      </c>
      <c r="E286" s="32"/>
      <c r="F286" s="32" t="str">
        <f>_xlfn.XLOOKUP(H286,Models!B:B,Models!F:F,"")</f>
        <v/>
      </c>
      <c r="G286" s="32">
        <f>_xlfn.XLOOKUP(B286,Input!J:J,Input!E:E)</f>
        <v>0</v>
      </c>
      <c r="H286" s="32">
        <f>IF(G286="LENOVO",_xlfn.XLOOKUP(B286,Input!J:J,Input!K:K),_xlfn.XLOOKUP(B286,Input!J:J,Input!L:L))</f>
        <v>0</v>
      </c>
      <c r="I286" s="32"/>
      <c r="J286" s="32"/>
      <c r="K286" s="32"/>
      <c r="L286" s="53"/>
      <c r="M286" s="53"/>
      <c r="N286" s="53"/>
      <c r="O286" s="53" t="str" cm="1">
        <f t="array" ref="O286">IFERROR(_xlfn.FILTERXML("&lt;t&gt;&lt;s&gt;" &amp; SUBSTITUTE(M286," / ","&lt;/s&gt;&lt;s&gt;") &amp; "&lt;/s&gt;&lt;/t&gt;","(//s[contains(.,'DDR')])[1]"),"")</f>
        <v/>
      </c>
      <c r="P286" s="32" t="str">
        <f t="shared" si="15"/>
        <v>GB</v>
      </c>
      <c r="Q286" s="32"/>
      <c r="R286" s="32"/>
      <c r="S286" s="53" t="e">
        <f>_xlfn.LET(_xlpm.Result,INDEX(Input!$D$2:$AC$500,
       MATCH(B286, Input!$J$2:$J$500, 0),
       MATCH("Capacity", Input!$D$1:$AC$1, 0)),IF(_xlpm.Result="","",_xlpm.Result))</f>
        <v>#N/A</v>
      </c>
      <c r="T286" s="53" t="e" cm="1">
        <f t="array" ref="T286">_xlfn.TEXTSPLIT(S286," / ", ,TRUE,0,)</f>
        <v>#N/A</v>
      </c>
      <c r="U286" s="53"/>
      <c r="V286" s="53" t="str" cm="1">
        <f t="array" ref="V286">IFERROR(_xlfn.IFS(
T286="","",
--T286&lt;55,"Battery Defect",
--T286&lt;=69,"Battery D",
--T286&lt;=80,"Battery C",
--T286&gt;80,""
),"")</f>
        <v/>
      </c>
      <c r="W286" s="53" t="str" cm="1">
        <f t="array" ref="W286">IFERROR(_xlfn.IFS(
U286="","",
--U286&lt;55,"Battery Defect",
--U286&lt;=69,"Battery D",
--U286&lt;=80,"Battery C",
--U286&gt;80,""
),"")</f>
        <v/>
      </c>
      <c r="X286" s="53"/>
      <c r="Y286" s="53"/>
      <c r="Z286" s="53"/>
      <c r="AA286" s="53"/>
      <c r="AB286" s="53"/>
      <c r="AC286" s="53"/>
      <c r="AD286" s="53"/>
      <c r="AE286" s="53"/>
      <c r="AF286" s="32" t="str">
        <f t="shared" si="14"/>
        <v/>
      </c>
      <c r="AG286" s="32"/>
      <c r="AH286" s="32"/>
      <c r="AI286" s="32"/>
      <c r="AJ286" s="32"/>
      <c r="AK286" s="32"/>
      <c r="AL286" s="32"/>
      <c r="AM286" s="32"/>
      <c r="AN286" s="32"/>
    </row>
    <row r="287" spans="1:40">
      <c r="A287" s="32" t="str">
        <f>_xlfn.TEXTJOIN("",TRUE,_xlfn.XLOOKUP(B287,Input!J:J,Input!G:G,"",0,1),_xlfn.XLOOKUP(B287,Input!J:J,Input!H:H,"",0,1))</f>
        <v/>
      </c>
      <c r="B287" s="32"/>
      <c r="C287" s="53">
        <f>_xlfn.XLOOKUP(B287,Input!J:J,Input!F:F)</f>
        <v>0</v>
      </c>
      <c r="D287" s="32">
        <f>_xlfn.XLOOKUP(C287,Models!H:H,Models!G:G,C287)</f>
        <v>0</v>
      </c>
      <c r="E287" s="32"/>
      <c r="F287" s="32" t="str">
        <f>_xlfn.XLOOKUP(H287,Models!B:B,Models!F:F,"")</f>
        <v/>
      </c>
      <c r="G287" s="32">
        <f>_xlfn.XLOOKUP(B287,Input!J:J,Input!E:E)</f>
        <v>0</v>
      </c>
      <c r="H287" s="32">
        <f>IF(G287="LENOVO",_xlfn.XLOOKUP(B287,Input!J:J,Input!K:K),_xlfn.XLOOKUP(B287,Input!J:J,Input!L:L))</f>
        <v>0</v>
      </c>
      <c r="I287" s="32"/>
      <c r="J287" s="32"/>
      <c r="K287" s="32"/>
      <c r="L287" s="53"/>
      <c r="M287" s="53"/>
      <c r="N287" s="53"/>
      <c r="O287" s="53" t="str" cm="1">
        <f t="array" ref="O287">IFERROR(_xlfn.FILTERXML("&lt;t&gt;&lt;s&gt;" &amp; SUBSTITUTE(M287," / ","&lt;/s&gt;&lt;s&gt;") &amp; "&lt;/s&gt;&lt;/t&gt;","(//s[contains(.,'DDR')])[1]"),"")</f>
        <v/>
      </c>
      <c r="P287" s="32" t="str">
        <f t="shared" si="15"/>
        <v>GB</v>
      </c>
      <c r="Q287" s="32"/>
      <c r="R287" s="32"/>
      <c r="S287" s="53" t="e">
        <f>_xlfn.LET(_xlpm.Result,INDEX(Input!$D$2:$AC$500,
       MATCH(B287, Input!$J$2:$J$500, 0),
       MATCH("Capacity", Input!$D$1:$AC$1, 0)),IF(_xlpm.Result="","",_xlpm.Result))</f>
        <v>#N/A</v>
      </c>
      <c r="T287" s="53" t="e" cm="1">
        <f t="array" ref="T287">_xlfn.TEXTSPLIT(S287," / ", ,TRUE,0,)</f>
        <v>#N/A</v>
      </c>
      <c r="U287" s="53"/>
      <c r="V287" s="53" t="str" cm="1">
        <f t="array" ref="V287">IFERROR(_xlfn.IFS(
T287="","",
--T287&lt;55,"Battery Defect",
--T287&lt;=69,"Battery D",
--T287&lt;=80,"Battery C",
--T287&gt;80,""
),"")</f>
        <v/>
      </c>
      <c r="W287" s="53" t="str" cm="1">
        <f t="array" ref="W287">IFERROR(_xlfn.IFS(
U287="","",
--U287&lt;55,"Battery Defect",
--U287&lt;=69,"Battery D",
--U287&lt;=80,"Battery C",
--U287&gt;80,""
),"")</f>
        <v/>
      </c>
      <c r="X287" s="53"/>
      <c r="Y287" s="53"/>
      <c r="Z287" s="53"/>
      <c r="AA287" s="53"/>
      <c r="AB287" s="53"/>
      <c r="AC287" s="53"/>
      <c r="AD287" s="53"/>
      <c r="AE287" s="53"/>
      <c r="AF287" s="32" t="str">
        <f t="shared" si="14"/>
        <v/>
      </c>
      <c r="AG287" s="32"/>
      <c r="AH287" s="32"/>
      <c r="AI287" s="32"/>
      <c r="AJ287" s="32"/>
      <c r="AK287" s="32"/>
      <c r="AL287" s="32"/>
      <c r="AM287" s="32"/>
      <c r="AN287" s="32"/>
    </row>
    <row r="288" spans="1:40">
      <c r="A288" s="32" t="str">
        <f>_xlfn.TEXTJOIN("",TRUE,_xlfn.XLOOKUP(B288,Input!J:J,Input!G:G,"",0,1),_xlfn.XLOOKUP(B288,Input!J:J,Input!H:H,"",0,1))</f>
        <v/>
      </c>
      <c r="B288" s="32"/>
      <c r="C288" s="53">
        <f>_xlfn.XLOOKUP(B288,Input!J:J,Input!F:F)</f>
        <v>0</v>
      </c>
      <c r="D288" s="32">
        <f>_xlfn.XLOOKUP(C288,Models!H:H,Models!G:G,C288)</f>
        <v>0</v>
      </c>
      <c r="E288" s="32"/>
      <c r="F288" s="32" t="str">
        <f>_xlfn.XLOOKUP(H288,Models!B:B,Models!F:F,"")</f>
        <v/>
      </c>
      <c r="G288" s="32">
        <f>_xlfn.XLOOKUP(B288,Input!J:J,Input!E:E)</f>
        <v>0</v>
      </c>
      <c r="H288" s="32">
        <f>IF(G288="LENOVO",_xlfn.XLOOKUP(B288,Input!J:J,Input!K:K),_xlfn.XLOOKUP(B288,Input!J:J,Input!L:L))</f>
        <v>0</v>
      </c>
      <c r="I288" s="32"/>
      <c r="J288" s="32"/>
      <c r="K288" s="32"/>
      <c r="L288" s="53"/>
      <c r="M288" s="53"/>
      <c r="N288" s="53"/>
      <c r="O288" s="53" t="str" cm="1">
        <f t="array" ref="O288">IFERROR(_xlfn.FILTERXML("&lt;t&gt;&lt;s&gt;" &amp; SUBSTITUTE(M288," / ","&lt;/s&gt;&lt;s&gt;") &amp; "&lt;/s&gt;&lt;/t&gt;","(//s[contains(.,'DDR')])[1]"),"")</f>
        <v/>
      </c>
      <c r="P288" s="32" t="str">
        <f t="shared" si="15"/>
        <v>GB</v>
      </c>
      <c r="Q288" s="32"/>
      <c r="R288" s="32"/>
      <c r="S288" s="53" t="e">
        <f>_xlfn.LET(_xlpm.Result,INDEX(Input!$D$2:$AC$500,
       MATCH(B288, Input!$J$2:$J$500, 0),
       MATCH("Capacity", Input!$D$1:$AC$1, 0)),IF(_xlpm.Result="","",_xlpm.Result))</f>
        <v>#N/A</v>
      </c>
      <c r="T288" s="53" t="e" cm="1">
        <f t="array" ref="T288">_xlfn.TEXTSPLIT(S288," / ", ,TRUE,0,)</f>
        <v>#N/A</v>
      </c>
      <c r="U288" s="53"/>
      <c r="V288" s="53" t="str" cm="1">
        <f t="array" ref="V288">IFERROR(_xlfn.IFS(
T288="","",
--T288&lt;55,"Battery Defect",
--T288&lt;=69,"Battery D",
--T288&lt;=80,"Battery C",
--T288&gt;80,""
),"")</f>
        <v/>
      </c>
      <c r="W288" s="53" t="str" cm="1">
        <f t="array" ref="W288">IFERROR(_xlfn.IFS(
U288="","",
--U288&lt;55,"Battery Defect",
--U288&lt;=69,"Battery D",
--U288&lt;=80,"Battery C",
--U288&gt;80,""
),"")</f>
        <v/>
      </c>
      <c r="X288" s="53"/>
      <c r="Y288" s="53"/>
      <c r="Z288" s="53"/>
      <c r="AA288" s="53"/>
      <c r="AB288" s="53"/>
      <c r="AC288" s="53"/>
      <c r="AD288" s="53"/>
      <c r="AE288" s="53"/>
      <c r="AF288" s="32" t="str">
        <f t="shared" si="14"/>
        <v/>
      </c>
      <c r="AG288" s="32"/>
      <c r="AH288" s="32"/>
      <c r="AI288" s="32"/>
      <c r="AJ288" s="32"/>
      <c r="AK288" s="32"/>
      <c r="AL288" s="32"/>
      <c r="AM288" s="32"/>
      <c r="AN288" s="32"/>
    </row>
    <row r="289" spans="1:40">
      <c r="A289" s="32" t="str">
        <f>_xlfn.TEXTJOIN("",TRUE,_xlfn.XLOOKUP(B289,Input!J:J,Input!G:G,"",0,1),_xlfn.XLOOKUP(B289,Input!J:J,Input!H:H,"",0,1))</f>
        <v/>
      </c>
      <c r="B289" s="32"/>
      <c r="C289" s="53">
        <f>_xlfn.XLOOKUP(B289,Input!J:J,Input!F:F)</f>
        <v>0</v>
      </c>
      <c r="D289" s="32">
        <f>_xlfn.XLOOKUP(C289,Models!H:H,Models!G:G,C289)</f>
        <v>0</v>
      </c>
      <c r="E289" s="32"/>
      <c r="F289" s="32" t="str">
        <f>_xlfn.XLOOKUP(H289,Models!B:B,Models!F:F,"")</f>
        <v/>
      </c>
      <c r="G289" s="32">
        <f>_xlfn.XLOOKUP(B289,Input!J:J,Input!E:E)</f>
        <v>0</v>
      </c>
      <c r="H289" s="32">
        <f>IF(G289="LENOVO",_xlfn.XLOOKUP(B289,Input!J:J,Input!K:K),_xlfn.XLOOKUP(B289,Input!J:J,Input!L:L))</f>
        <v>0</v>
      </c>
      <c r="I289" s="32"/>
      <c r="J289" s="32"/>
      <c r="K289" s="32"/>
      <c r="L289" s="53"/>
      <c r="M289" s="53"/>
      <c r="N289" s="53"/>
      <c r="O289" s="53" t="str" cm="1">
        <f t="array" ref="O289">IFERROR(_xlfn.FILTERXML("&lt;t&gt;&lt;s&gt;" &amp; SUBSTITUTE(M289," / ","&lt;/s&gt;&lt;s&gt;") &amp; "&lt;/s&gt;&lt;/t&gt;","(//s[contains(.,'DDR')])[1]"),"")</f>
        <v/>
      </c>
      <c r="P289" s="32" t="str">
        <f t="shared" si="15"/>
        <v>GB</v>
      </c>
      <c r="Q289" s="32"/>
      <c r="R289" s="32"/>
      <c r="S289" s="53" t="e">
        <f>_xlfn.LET(_xlpm.Result,INDEX(Input!$D$2:$AC$500,
       MATCH(B289, Input!$J$2:$J$500, 0),
       MATCH("Capacity", Input!$D$1:$AC$1, 0)),IF(_xlpm.Result="","",_xlpm.Result))</f>
        <v>#N/A</v>
      </c>
      <c r="T289" s="53" t="e" cm="1">
        <f t="array" ref="T289">_xlfn.TEXTSPLIT(S289," / ", ,TRUE,0,)</f>
        <v>#N/A</v>
      </c>
      <c r="U289" s="53"/>
      <c r="V289" s="53" t="str" cm="1">
        <f t="array" ref="V289">IFERROR(_xlfn.IFS(
T289="","",
--T289&lt;55,"Battery Defect",
--T289&lt;=69,"Battery D",
--T289&lt;=80,"Battery C",
--T289&gt;80,""
),"")</f>
        <v/>
      </c>
      <c r="W289" s="53" t="str" cm="1">
        <f t="array" ref="W289">IFERROR(_xlfn.IFS(
U289="","",
--U289&lt;55,"Battery Defect",
--U289&lt;=69,"Battery D",
--U289&lt;=80,"Battery C",
--U289&gt;80,""
),"")</f>
        <v/>
      </c>
      <c r="X289" s="53"/>
      <c r="Y289" s="53"/>
      <c r="Z289" s="53"/>
      <c r="AA289" s="53"/>
      <c r="AB289" s="53"/>
      <c r="AC289" s="53"/>
      <c r="AD289" s="53"/>
      <c r="AE289" s="53"/>
      <c r="AF289" s="32" t="str">
        <f t="shared" si="14"/>
        <v/>
      </c>
      <c r="AG289" s="32"/>
      <c r="AH289" s="32"/>
      <c r="AI289" s="32"/>
      <c r="AJ289" s="32"/>
      <c r="AK289" s="32"/>
      <c r="AL289" s="32"/>
      <c r="AM289" s="32"/>
      <c r="AN289" s="32"/>
    </row>
    <row r="290" spans="1:40">
      <c r="A290" s="32" t="str">
        <f>_xlfn.TEXTJOIN("",TRUE,_xlfn.XLOOKUP(B290,Input!J:J,Input!G:G,"",0,1),_xlfn.XLOOKUP(B290,Input!J:J,Input!H:H,"",0,1))</f>
        <v/>
      </c>
      <c r="B290" s="32"/>
      <c r="C290" s="53">
        <f>_xlfn.XLOOKUP(B290,Input!J:J,Input!F:F)</f>
        <v>0</v>
      </c>
      <c r="D290" s="32">
        <f>_xlfn.XLOOKUP(C290,Models!H:H,Models!G:G,C290)</f>
        <v>0</v>
      </c>
      <c r="E290" s="32"/>
      <c r="F290" s="32" t="str">
        <f>_xlfn.XLOOKUP(H290,Models!B:B,Models!F:F,"")</f>
        <v/>
      </c>
      <c r="G290" s="32">
        <f>_xlfn.XLOOKUP(B290,Input!J:J,Input!E:E)</f>
        <v>0</v>
      </c>
      <c r="H290" s="32">
        <f>IF(G290="LENOVO",_xlfn.XLOOKUP(B290,Input!J:J,Input!K:K),_xlfn.XLOOKUP(B290,Input!J:J,Input!L:L))</f>
        <v>0</v>
      </c>
      <c r="I290" s="32"/>
      <c r="J290" s="32"/>
      <c r="K290" s="32"/>
      <c r="L290" s="53"/>
      <c r="M290" s="53"/>
      <c r="N290" s="53"/>
      <c r="O290" s="53" t="str" cm="1">
        <f t="array" ref="O290">IFERROR(_xlfn.FILTERXML("&lt;t&gt;&lt;s&gt;" &amp; SUBSTITUTE(M290," / ","&lt;/s&gt;&lt;s&gt;") &amp; "&lt;/s&gt;&lt;/t&gt;","(//s[contains(.,'DDR')])[1]"),"")</f>
        <v/>
      </c>
      <c r="P290" s="32" t="str">
        <f t="shared" si="15"/>
        <v>GB</v>
      </c>
      <c r="Q290" s="32"/>
      <c r="R290" s="32"/>
      <c r="S290" s="53" t="e">
        <f>_xlfn.LET(_xlpm.Result,INDEX(Input!$D$2:$AC$500,
       MATCH(B290, Input!$J$2:$J$500, 0),
       MATCH("Capacity", Input!$D$1:$AC$1, 0)),IF(_xlpm.Result="","",_xlpm.Result))</f>
        <v>#N/A</v>
      </c>
      <c r="T290" s="53" t="e" cm="1">
        <f t="array" ref="T290">_xlfn.TEXTSPLIT(S290," / ", ,TRUE,0,)</f>
        <v>#N/A</v>
      </c>
      <c r="U290" s="53"/>
      <c r="V290" s="53" t="str" cm="1">
        <f t="array" ref="V290">IFERROR(_xlfn.IFS(
T290="","",
--T290&lt;55,"Battery Defect",
--T290&lt;=69,"Battery D",
--T290&lt;=80,"Battery C",
--T290&gt;80,""
),"")</f>
        <v/>
      </c>
      <c r="W290" s="53" t="str" cm="1">
        <f t="array" ref="W290">IFERROR(_xlfn.IFS(
U290="","",
--U290&lt;55,"Battery Defect",
--U290&lt;=69,"Battery D",
--U290&lt;=80,"Battery C",
--U290&gt;80,""
),"")</f>
        <v/>
      </c>
      <c r="X290" s="53"/>
      <c r="Y290" s="53"/>
      <c r="Z290" s="53"/>
      <c r="AA290" s="53"/>
      <c r="AB290" s="53"/>
      <c r="AC290" s="53"/>
      <c r="AD290" s="53"/>
      <c r="AE290" s="53"/>
      <c r="AF290" s="32" t="str">
        <f t="shared" si="14"/>
        <v/>
      </c>
      <c r="AG290" s="32"/>
      <c r="AH290" s="32"/>
      <c r="AI290" s="32"/>
      <c r="AJ290" s="32"/>
      <c r="AK290" s="32"/>
      <c r="AL290" s="32"/>
      <c r="AM290" s="32"/>
      <c r="AN290" s="32"/>
    </row>
    <row r="291" spans="1:40">
      <c r="A291" s="32" t="str">
        <f>_xlfn.TEXTJOIN("",TRUE,_xlfn.XLOOKUP(B291,Input!J:J,Input!G:G,"",0,1),_xlfn.XLOOKUP(B291,Input!J:J,Input!H:H,"",0,1))</f>
        <v/>
      </c>
      <c r="B291" s="32"/>
      <c r="C291" s="53">
        <f>_xlfn.XLOOKUP(B291,Input!J:J,Input!F:F)</f>
        <v>0</v>
      </c>
      <c r="D291" s="32">
        <f>_xlfn.XLOOKUP(C291,Models!H:H,Models!G:G,C291)</f>
        <v>0</v>
      </c>
      <c r="E291" s="32"/>
      <c r="F291" s="32" t="str">
        <f>_xlfn.XLOOKUP(H291,Models!B:B,Models!F:F,"")</f>
        <v/>
      </c>
      <c r="G291" s="32">
        <f>_xlfn.XLOOKUP(B291,Input!J:J,Input!E:E)</f>
        <v>0</v>
      </c>
      <c r="H291" s="32">
        <f>IF(G291="LENOVO",_xlfn.XLOOKUP(B291,Input!J:J,Input!K:K),_xlfn.XLOOKUP(B291,Input!J:J,Input!L:L))</f>
        <v>0</v>
      </c>
      <c r="I291" s="32"/>
      <c r="J291" s="32"/>
      <c r="K291" s="32"/>
      <c r="L291" s="53"/>
      <c r="M291" s="53"/>
      <c r="N291" s="53"/>
      <c r="O291" s="53" t="str" cm="1">
        <f t="array" ref="O291">IFERROR(_xlfn.FILTERXML("&lt;t&gt;&lt;s&gt;" &amp; SUBSTITUTE(M291," / ","&lt;/s&gt;&lt;s&gt;") &amp; "&lt;/s&gt;&lt;/t&gt;","(//s[contains(.,'DDR')])[1]"),"")</f>
        <v/>
      </c>
      <c r="P291" s="32" t="str">
        <f t="shared" si="15"/>
        <v>GB</v>
      </c>
      <c r="Q291" s="32"/>
      <c r="R291" s="32"/>
      <c r="S291" s="53" t="e">
        <f>_xlfn.LET(_xlpm.Result,INDEX(Input!$D$2:$AC$500,
       MATCH(B291, Input!$J$2:$J$500, 0),
       MATCH("Capacity", Input!$D$1:$AC$1, 0)),IF(_xlpm.Result="","",_xlpm.Result))</f>
        <v>#N/A</v>
      </c>
      <c r="T291" s="53" t="e" cm="1">
        <f t="array" ref="T291">_xlfn.TEXTSPLIT(S291," / ", ,TRUE,0,)</f>
        <v>#N/A</v>
      </c>
      <c r="U291" s="53"/>
      <c r="V291" s="53" t="str" cm="1">
        <f t="array" ref="V291">IFERROR(_xlfn.IFS(
T291="","",
--T291&lt;55,"Battery Defect",
--T291&lt;=69,"Battery D",
--T291&lt;=80,"Battery C",
--T291&gt;80,""
),"")</f>
        <v/>
      </c>
      <c r="W291" s="53" t="str" cm="1">
        <f t="array" ref="W291">IFERROR(_xlfn.IFS(
U291="","",
--U291&lt;55,"Battery Defect",
--U291&lt;=69,"Battery D",
--U291&lt;=80,"Battery C",
--U291&gt;80,""
),"")</f>
        <v/>
      </c>
      <c r="X291" s="53"/>
      <c r="Y291" s="53"/>
      <c r="Z291" s="53"/>
      <c r="AA291" s="53"/>
      <c r="AB291" s="53"/>
      <c r="AC291" s="53"/>
      <c r="AD291" s="53"/>
      <c r="AE291" s="53"/>
      <c r="AF291" s="32" t="str">
        <f t="shared" si="14"/>
        <v/>
      </c>
      <c r="AG291" s="32"/>
      <c r="AH291" s="32"/>
      <c r="AI291" s="32"/>
      <c r="AJ291" s="32"/>
      <c r="AK291" s="32"/>
      <c r="AL291" s="32"/>
      <c r="AM291" s="32"/>
      <c r="AN291" s="32"/>
    </row>
    <row r="292" spans="1:40">
      <c r="A292" s="32" t="str">
        <f>_xlfn.TEXTJOIN("",TRUE,_xlfn.XLOOKUP(B292,Input!J:J,Input!G:G,"",0,1),_xlfn.XLOOKUP(B292,Input!J:J,Input!H:H,"",0,1))</f>
        <v/>
      </c>
      <c r="B292" s="32"/>
      <c r="C292" s="53">
        <f>_xlfn.XLOOKUP(B292,Input!J:J,Input!F:F)</f>
        <v>0</v>
      </c>
      <c r="D292" s="32">
        <f>_xlfn.XLOOKUP(C292,Models!H:H,Models!G:G,C292)</f>
        <v>0</v>
      </c>
      <c r="E292" s="32"/>
      <c r="F292" s="32" t="str">
        <f>_xlfn.XLOOKUP(H292,Models!B:B,Models!F:F,"")</f>
        <v/>
      </c>
      <c r="G292" s="32">
        <f>_xlfn.XLOOKUP(B292,Input!J:J,Input!E:E)</f>
        <v>0</v>
      </c>
      <c r="H292" s="32">
        <f>IF(G292="LENOVO",_xlfn.XLOOKUP(B292,Input!J:J,Input!K:K),_xlfn.XLOOKUP(B292,Input!J:J,Input!L:L))</f>
        <v>0</v>
      </c>
      <c r="I292" s="32"/>
      <c r="J292" s="32"/>
      <c r="K292" s="32"/>
      <c r="L292" s="53"/>
      <c r="M292" s="53"/>
      <c r="N292" s="53"/>
      <c r="O292" s="53" t="str" cm="1">
        <f t="array" ref="O292">IFERROR(_xlfn.FILTERXML("&lt;t&gt;&lt;s&gt;" &amp; SUBSTITUTE(M292," / ","&lt;/s&gt;&lt;s&gt;") &amp; "&lt;/s&gt;&lt;/t&gt;","(//s[contains(.,'DDR')])[1]"),"")</f>
        <v/>
      </c>
      <c r="P292" s="32" t="str">
        <f t="shared" si="15"/>
        <v>GB</v>
      </c>
      <c r="Q292" s="32"/>
      <c r="R292" s="32"/>
      <c r="S292" s="53" t="e">
        <f>_xlfn.LET(_xlpm.Result,INDEX(Input!$D$2:$AC$500,
       MATCH(B292, Input!$J$2:$J$500, 0),
       MATCH("Capacity", Input!$D$1:$AC$1, 0)),IF(_xlpm.Result="","",_xlpm.Result))</f>
        <v>#N/A</v>
      </c>
      <c r="T292" s="53" t="e" cm="1">
        <f t="array" ref="T292">_xlfn.TEXTSPLIT(S292," / ", ,TRUE,0,)</f>
        <v>#N/A</v>
      </c>
      <c r="U292" s="53"/>
      <c r="V292" s="53" t="str" cm="1">
        <f t="array" ref="V292">IFERROR(_xlfn.IFS(
T292="","",
--T292&lt;55,"Battery Defect",
--T292&lt;=69,"Battery D",
--T292&lt;=80,"Battery C",
--T292&gt;80,""
),"")</f>
        <v/>
      </c>
      <c r="W292" s="53" t="str" cm="1">
        <f t="array" ref="W292">IFERROR(_xlfn.IFS(
U292="","",
--U292&lt;55,"Battery Defect",
--U292&lt;=69,"Battery D",
--U292&lt;=80,"Battery C",
--U292&gt;80,""
),"")</f>
        <v/>
      </c>
      <c r="X292" s="53"/>
      <c r="Y292" s="53"/>
      <c r="Z292" s="53"/>
      <c r="AA292" s="53"/>
      <c r="AB292" s="53"/>
      <c r="AC292" s="53"/>
      <c r="AD292" s="53"/>
      <c r="AE292" s="53"/>
      <c r="AF292" s="32" t="str">
        <f t="shared" si="14"/>
        <v/>
      </c>
      <c r="AG292" s="32"/>
      <c r="AH292" s="32"/>
      <c r="AI292" s="32"/>
      <c r="AJ292" s="32"/>
      <c r="AK292" s="32"/>
      <c r="AL292" s="32"/>
      <c r="AM292" s="32"/>
      <c r="AN292" s="32"/>
    </row>
    <row r="293" spans="1:40">
      <c r="A293" s="32" t="str">
        <f>_xlfn.TEXTJOIN("",TRUE,_xlfn.XLOOKUP(B293,Input!J:J,Input!G:G,"",0,1),_xlfn.XLOOKUP(B293,Input!J:J,Input!H:H,"",0,1))</f>
        <v/>
      </c>
      <c r="B293" s="32"/>
      <c r="C293" s="53">
        <f>_xlfn.XLOOKUP(B293,Input!J:J,Input!F:F)</f>
        <v>0</v>
      </c>
      <c r="D293" s="32">
        <f>_xlfn.XLOOKUP(C293,Models!H:H,Models!G:G,C293)</f>
        <v>0</v>
      </c>
      <c r="E293" s="32"/>
      <c r="F293" s="32" t="str">
        <f>_xlfn.XLOOKUP(H293,Models!B:B,Models!F:F,"")</f>
        <v/>
      </c>
      <c r="G293" s="32">
        <f>_xlfn.XLOOKUP(B293,Input!J:J,Input!E:E)</f>
        <v>0</v>
      </c>
      <c r="H293" s="32">
        <f>IF(G293="LENOVO",_xlfn.XLOOKUP(B293,Input!J:J,Input!K:K),_xlfn.XLOOKUP(B293,Input!J:J,Input!L:L))</f>
        <v>0</v>
      </c>
      <c r="I293" s="32"/>
      <c r="J293" s="32"/>
      <c r="K293" s="32"/>
      <c r="L293" s="53"/>
      <c r="M293" s="53"/>
      <c r="N293" s="53"/>
      <c r="O293" s="53" t="str" cm="1">
        <f t="array" ref="O293">IFERROR(_xlfn.FILTERXML("&lt;t&gt;&lt;s&gt;" &amp; SUBSTITUTE(M293," / ","&lt;/s&gt;&lt;s&gt;") &amp; "&lt;/s&gt;&lt;/t&gt;","(//s[contains(.,'DDR')])[1]"),"")</f>
        <v/>
      </c>
      <c r="P293" s="32" t="str">
        <f t="shared" si="15"/>
        <v>GB</v>
      </c>
      <c r="Q293" s="32"/>
      <c r="R293" s="32"/>
      <c r="S293" s="53" t="e">
        <f>_xlfn.LET(_xlpm.Result,INDEX(Input!$D$2:$AC$500,
       MATCH(B293, Input!$J$2:$J$500, 0),
       MATCH("Capacity", Input!$D$1:$AC$1, 0)),IF(_xlpm.Result="","",_xlpm.Result))</f>
        <v>#N/A</v>
      </c>
      <c r="T293" s="53" t="e" cm="1">
        <f t="array" ref="T293">_xlfn.TEXTSPLIT(S293," / ", ,TRUE,0,)</f>
        <v>#N/A</v>
      </c>
      <c r="U293" s="53"/>
      <c r="V293" s="53" t="str" cm="1">
        <f t="array" ref="V293">IFERROR(_xlfn.IFS(
T293="","",
--T293&lt;55,"Battery Defect",
--T293&lt;=69,"Battery D",
--T293&lt;=80,"Battery C",
--T293&gt;80,""
),"")</f>
        <v/>
      </c>
      <c r="W293" s="53" t="str" cm="1">
        <f t="array" ref="W293">IFERROR(_xlfn.IFS(
U293="","",
--U293&lt;55,"Battery Defect",
--U293&lt;=69,"Battery D",
--U293&lt;=80,"Battery C",
--U293&gt;80,""
),"")</f>
        <v/>
      </c>
      <c r="X293" s="53"/>
      <c r="Y293" s="53"/>
      <c r="Z293" s="53"/>
      <c r="AA293" s="53"/>
      <c r="AB293" s="53"/>
      <c r="AC293" s="53"/>
      <c r="AD293" s="53"/>
      <c r="AE293" s="53"/>
      <c r="AF293" s="32" t="str">
        <f t="shared" si="14"/>
        <v/>
      </c>
      <c r="AG293" s="32"/>
      <c r="AH293" s="32"/>
      <c r="AI293" s="32"/>
      <c r="AJ293" s="32"/>
      <c r="AK293" s="32"/>
      <c r="AL293" s="32"/>
      <c r="AM293" s="32"/>
      <c r="AN293" s="32"/>
    </row>
    <row r="294" spans="1:40">
      <c r="A294" s="32" t="str">
        <f>_xlfn.TEXTJOIN("",TRUE,_xlfn.XLOOKUP(B294,Input!J:J,Input!G:G,"",0,1),_xlfn.XLOOKUP(B294,Input!J:J,Input!H:H,"",0,1))</f>
        <v/>
      </c>
      <c r="B294" s="32"/>
      <c r="C294" s="53">
        <f>_xlfn.XLOOKUP(B294,Input!J:J,Input!F:F)</f>
        <v>0</v>
      </c>
      <c r="D294" s="32">
        <f>_xlfn.XLOOKUP(C294,Models!H:H,Models!G:G,C294)</f>
        <v>0</v>
      </c>
      <c r="E294" s="32"/>
      <c r="F294" s="32" t="str">
        <f>_xlfn.XLOOKUP(H294,Models!B:B,Models!F:F,"")</f>
        <v/>
      </c>
      <c r="G294" s="32">
        <f>_xlfn.XLOOKUP(B294,Input!J:J,Input!E:E)</f>
        <v>0</v>
      </c>
      <c r="H294" s="32">
        <f>IF(G294="LENOVO",_xlfn.XLOOKUP(B294,Input!J:J,Input!K:K),_xlfn.XLOOKUP(B294,Input!J:J,Input!L:L))</f>
        <v>0</v>
      </c>
      <c r="I294" s="32"/>
      <c r="J294" s="32"/>
      <c r="K294" s="32"/>
      <c r="L294" s="53"/>
      <c r="M294" s="53"/>
      <c r="N294" s="53"/>
      <c r="O294" s="53" t="str" cm="1">
        <f t="array" ref="O294">IFERROR(_xlfn.FILTERXML("&lt;t&gt;&lt;s&gt;" &amp; SUBSTITUTE(M294," / ","&lt;/s&gt;&lt;s&gt;") &amp; "&lt;/s&gt;&lt;/t&gt;","(//s[contains(.,'DDR')])[1]"),"")</f>
        <v/>
      </c>
      <c r="P294" s="32" t="str">
        <f t="shared" si="15"/>
        <v>GB</v>
      </c>
      <c r="Q294" s="32"/>
      <c r="R294" s="32"/>
      <c r="S294" s="53" t="e">
        <f>_xlfn.LET(_xlpm.Result,INDEX(Input!$D$2:$AC$500,
       MATCH(B294, Input!$J$2:$J$500, 0),
       MATCH("Capacity", Input!$D$1:$AC$1, 0)),IF(_xlpm.Result="","",_xlpm.Result))</f>
        <v>#N/A</v>
      </c>
      <c r="T294" s="53" t="e" cm="1">
        <f t="array" ref="T294">_xlfn.TEXTSPLIT(S294," / ", ,TRUE,0,)</f>
        <v>#N/A</v>
      </c>
      <c r="U294" s="53"/>
      <c r="V294" s="53" t="str" cm="1">
        <f t="array" ref="V294">IFERROR(_xlfn.IFS(
T294="","",
--T294&lt;55,"Battery Defect",
--T294&lt;=69,"Battery D",
--T294&lt;=80,"Battery C",
--T294&gt;80,""
),"")</f>
        <v/>
      </c>
      <c r="W294" s="53" t="str" cm="1">
        <f t="array" ref="W294">IFERROR(_xlfn.IFS(
U294="","",
--U294&lt;55,"Battery Defect",
--U294&lt;=69,"Battery D",
--U294&lt;=80,"Battery C",
--U294&gt;80,""
),"")</f>
        <v/>
      </c>
      <c r="X294" s="53"/>
      <c r="Y294" s="53"/>
      <c r="Z294" s="53"/>
      <c r="AA294" s="53"/>
      <c r="AB294" s="53"/>
      <c r="AC294" s="53"/>
      <c r="AD294" s="53"/>
      <c r="AE294" s="53"/>
      <c r="AF294" s="32" t="str">
        <f t="shared" si="14"/>
        <v/>
      </c>
      <c r="AG294" s="32"/>
      <c r="AH294" s="32"/>
      <c r="AI294" s="32"/>
      <c r="AJ294" s="32"/>
      <c r="AK294" s="32"/>
      <c r="AL294" s="32"/>
      <c r="AM294" s="32"/>
      <c r="AN294" s="32"/>
    </row>
    <row r="295" spans="1:40">
      <c r="A295" s="32" t="str">
        <f>_xlfn.TEXTJOIN("",TRUE,_xlfn.XLOOKUP(B295,Input!J:J,Input!G:G,"",0,1),_xlfn.XLOOKUP(B295,Input!J:J,Input!H:H,"",0,1))</f>
        <v/>
      </c>
      <c r="B295" s="32"/>
      <c r="C295" s="53">
        <f>_xlfn.XLOOKUP(B295,Input!J:J,Input!F:F)</f>
        <v>0</v>
      </c>
      <c r="D295" s="32">
        <f>_xlfn.XLOOKUP(C295,Models!H:H,Models!G:G,C295)</f>
        <v>0</v>
      </c>
      <c r="E295" s="32"/>
      <c r="F295" s="32" t="str">
        <f>_xlfn.XLOOKUP(H295,Models!B:B,Models!F:F,"")</f>
        <v/>
      </c>
      <c r="G295" s="32">
        <f>_xlfn.XLOOKUP(B295,Input!J:J,Input!E:E)</f>
        <v>0</v>
      </c>
      <c r="H295" s="32">
        <f>IF(G295="LENOVO",_xlfn.XLOOKUP(B295,Input!J:J,Input!K:K),_xlfn.XLOOKUP(B295,Input!J:J,Input!L:L))</f>
        <v>0</v>
      </c>
      <c r="I295" s="32"/>
      <c r="J295" s="32"/>
      <c r="K295" s="32"/>
      <c r="L295" s="53"/>
      <c r="M295" s="53"/>
      <c r="N295" s="53"/>
      <c r="O295" s="53" t="str" cm="1">
        <f t="array" ref="O295">IFERROR(_xlfn.FILTERXML("&lt;t&gt;&lt;s&gt;" &amp; SUBSTITUTE(M295," / ","&lt;/s&gt;&lt;s&gt;") &amp; "&lt;/s&gt;&lt;/t&gt;","(//s[contains(.,'DDR')])[1]"),"")</f>
        <v/>
      </c>
      <c r="P295" s="32" t="str">
        <f t="shared" si="15"/>
        <v>GB</v>
      </c>
      <c r="Q295" s="32"/>
      <c r="R295" s="32"/>
      <c r="S295" s="53" t="e">
        <f>_xlfn.LET(_xlpm.Result,INDEX(Input!$D$2:$AC$500,
       MATCH(B295, Input!$J$2:$J$500, 0),
       MATCH("Capacity", Input!$D$1:$AC$1, 0)),IF(_xlpm.Result="","",_xlpm.Result))</f>
        <v>#N/A</v>
      </c>
      <c r="T295" s="53" t="e" cm="1">
        <f t="array" ref="T295">_xlfn.TEXTSPLIT(S295," / ", ,TRUE,0,)</f>
        <v>#N/A</v>
      </c>
      <c r="U295" s="53"/>
      <c r="V295" s="53" t="str" cm="1">
        <f t="array" ref="V295">IFERROR(_xlfn.IFS(
T295="","",
--T295&lt;55,"Battery Defect",
--T295&lt;=69,"Battery D",
--T295&lt;=80,"Battery C",
--T295&gt;80,""
),"")</f>
        <v/>
      </c>
      <c r="W295" s="53" t="str" cm="1">
        <f t="array" ref="W295">IFERROR(_xlfn.IFS(
U295="","",
--U295&lt;55,"Battery Defect",
--U295&lt;=69,"Battery D",
--U295&lt;=80,"Battery C",
--U295&gt;80,""
),"")</f>
        <v/>
      </c>
      <c r="X295" s="53"/>
      <c r="Y295" s="53"/>
      <c r="Z295" s="53"/>
      <c r="AA295" s="53"/>
      <c r="AB295" s="53"/>
      <c r="AC295" s="53"/>
      <c r="AD295" s="53"/>
      <c r="AE295" s="53"/>
      <c r="AF295" s="32" t="str">
        <f t="shared" si="14"/>
        <v/>
      </c>
      <c r="AG295" s="32"/>
      <c r="AH295" s="32"/>
      <c r="AI295" s="32"/>
      <c r="AJ295" s="32"/>
      <c r="AK295" s="32"/>
      <c r="AL295" s="32"/>
      <c r="AM295" s="32"/>
      <c r="AN295" s="32"/>
    </row>
    <row r="296" spans="1:40">
      <c r="A296" s="32" t="str">
        <f>_xlfn.TEXTJOIN("",TRUE,_xlfn.XLOOKUP(B296,Input!J:J,Input!G:G,"",0,1),_xlfn.XLOOKUP(B296,Input!J:J,Input!H:H,"",0,1))</f>
        <v/>
      </c>
      <c r="B296" s="32"/>
      <c r="C296" s="53">
        <f>_xlfn.XLOOKUP(B296,Input!J:J,Input!F:F)</f>
        <v>0</v>
      </c>
      <c r="D296" s="32">
        <f>_xlfn.XLOOKUP(C296,Models!H:H,Models!G:G,C296)</f>
        <v>0</v>
      </c>
      <c r="E296" s="32"/>
      <c r="F296" s="32" t="str">
        <f>_xlfn.XLOOKUP(H296,Models!B:B,Models!F:F,"")</f>
        <v/>
      </c>
      <c r="G296" s="32">
        <f>_xlfn.XLOOKUP(B296,Input!J:J,Input!E:E)</f>
        <v>0</v>
      </c>
      <c r="H296" s="32">
        <f>IF(G296="LENOVO",_xlfn.XLOOKUP(B296,Input!J:J,Input!K:K),_xlfn.XLOOKUP(B296,Input!J:J,Input!L:L))</f>
        <v>0</v>
      </c>
      <c r="I296" s="32"/>
      <c r="J296" s="32"/>
      <c r="K296" s="32"/>
      <c r="L296" s="53"/>
      <c r="M296" s="53"/>
      <c r="N296" s="53"/>
      <c r="O296" s="53" t="str" cm="1">
        <f t="array" ref="O296">IFERROR(_xlfn.FILTERXML("&lt;t&gt;&lt;s&gt;" &amp; SUBSTITUTE(M296," / ","&lt;/s&gt;&lt;s&gt;") &amp; "&lt;/s&gt;&lt;/t&gt;","(//s[contains(.,'DDR')])[1]"),"")</f>
        <v/>
      </c>
      <c r="P296" s="32" t="str">
        <f t="shared" si="15"/>
        <v>GB</v>
      </c>
      <c r="Q296" s="32"/>
      <c r="R296" s="32"/>
      <c r="S296" s="53" t="e">
        <f>_xlfn.LET(_xlpm.Result,INDEX(Input!$D$2:$AC$500,
       MATCH(B296, Input!$J$2:$J$500, 0),
       MATCH("Capacity", Input!$D$1:$AC$1, 0)),IF(_xlpm.Result="","",_xlpm.Result))</f>
        <v>#N/A</v>
      </c>
      <c r="T296" s="53" t="e" cm="1">
        <f t="array" ref="T296">_xlfn.TEXTSPLIT(S296," / ", ,TRUE,0,)</f>
        <v>#N/A</v>
      </c>
      <c r="U296" s="53"/>
      <c r="V296" s="53" t="str" cm="1">
        <f t="array" ref="V296">IFERROR(_xlfn.IFS(
T296="","",
--T296&lt;55,"Battery Defect",
--T296&lt;=69,"Battery D",
--T296&lt;=80,"Battery C",
--T296&gt;80,""
),"")</f>
        <v/>
      </c>
      <c r="W296" s="53" t="str" cm="1">
        <f t="array" ref="W296">IFERROR(_xlfn.IFS(
U296="","",
--U296&lt;55,"Battery Defect",
--U296&lt;=69,"Battery D",
--U296&lt;=80,"Battery C",
--U296&gt;80,""
),"")</f>
        <v/>
      </c>
      <c r="X296" s="53"/>
      <c r="Y296" s="53"/>
      <c r="Z296" s="53"/>
      <c r="AA296" s="53"/>
      <c r="AB296" s="53"/>
      <c r="AC296" s="53"/>
      <c r="AD296" s="53"/>
      <c r="AE296" s="53"/>
      <c r="AF296" s="32" t="str">
        <f t="shared" si="14"/>
        <v/>
      </c>
      <c r="AG296" s="32"/>
      <c r="AH296" s="32"/>
      <c r="AI296" s="32"/>
      <c r="AJ296" s="32"/>
      <c r="AK296" s="32"/>
      <c r="AL296" s="32"/>
      <c r="AM296" s="32"/>
      <c r="AN296" s="32"/>
    </row>
    <row r="297" spans="1:40">
      <c r="A297" s="32" t="str">
        <f>_xlfn.TEXTJOIN("",TRUE,_xlfn.XLOOKUP(B297,Input!J:J,Input!G:G,"",0,1),_xlfn.XLOOKUP(B297,Input!J:J,Input!H:H,"",0,1))</f>
        <v/>
      </c>
      <c r="B297" s="32"/>
      <c r="C297" s="53">
        <f>_xlfn.XLOOKUP(B297,Input!J:J,Input!F:F)</f>
        <v>0</v>
      </c>
      <c r="D297" s="32">
        <f>_xlfn.XLOOKUP(C297,Models!H:H,Models!G:G,C297)</f>
        <v>0</v>
      </c>
      <c r="E297" s="32"/>
      <c r="F297" s="32" t="str">
        <f>_xlfn.XLOOKUP(H297,Models!B:B,Models!F:F,"")</f>
        <v/>
      </c>
      <c r="G297" s="32">
        <f>_xlfn.XLOOKUP(B297,Input!J:J,Input!E:E)</f>
        <v>0</v>
      </c>
      <c r="H297" s="32">
        <f>IF(G297="LENOVO",_xlfn.XLOOKUP(B297,Input!J:J,Input!K:K),_xlfn.XLOOKUP(B297,Input!J:J,Input!L:L))</f>
        <v>0</v>
      </c>
      <c r="I297" s="32"/>
      <c r="J297" s="32"/>
      <c r="K297" s="32"/>
      <c r="L297" s="53"/>
      <c r="M297" s="53"/>
      <c r="N297" s="53"/>
      <c r="O297" s="53" t="str" cm="1">
        <f t="array" ref="O297">IFERROR(_xlfn.FILTERXML("&lt;t&gt;&lt;s&gt;" &amp; SUBSTITUTE(M297," / ","&lt;/s&gt;&lt;s&gt;") &amp; "&lt;/s&gt;&lt;/t&gt;","(//s[contains(.,'DDR')])[1]"),"")</f>
        <v/>
      </c>
      <c r="P297" s="32" t="str">
        <f t="shared" si="15"/>
        <v>GB</v>
      </c>
      <c r="Q297" s="32"/>
      <c r="R297" s="32"/>
      <c r="S297" s="53" t="e">
        <f>_xlfn.LET(_xlpm.Result,INDEX(Input!$D$2:$AC$500,
       MATCH(B297, Input!$J$2:$J$500, 0),
       MATCH("Capacity", Input!$D$1:$AC$1, 0)),IF(_xlpm.Result="","",_xlpm.Result))</f>
        <v>#N/A</v>
      </c>
      <c r="T297" s="53" t="e" cm="1">
        <f t="array" ref="T297">_xlfn.TEXTSPLIT(S297," / ", ,TRUE,0,)</f>
        <v>#N/A</v>
      </c>
      <c r="U297" s="53"/>
      <c r="V297" s="53" t="str" cm="1">
        <f t="array" ref="V297">IFERROR(_xlfn.IFS(
T297="","",
--T297&lt;55,"Battery Defect",
--T297&lt;=69,"Battery D",
--T297&lt;=80,"Battery C",
--T297&gt;80,""
),"")</f>
        <v/>
      </c>
      <c r="W297" s="53" t="str" cm="1">
        <f t="array" ref="W297">IFERROR(_xlfn.IFS(
U297="","",
--U297&lt;55,"Battery Defect",
--U297&lt;=69,"Battery D",
--U297&lt;=80,"Battery C",
--U297&gt;80,""
),"")</f>
        <v/>
      </c>
      <c r="X297" s="53"/>
      <c r="Y297" s="53"/>
      <c r="Z297" s="53"/>
      <c r="AA297" s="53"/>
      <c r="AB297" s="53"/>
      <c r="AC297" s="53"/>
      <c r="AD297" s="53"/>
      <c r="AE297" s="53"/>
      <c r="AF297" s="32" t="str">
        <f t="shared" si="14"/>
        <v/>
      </c>
      <c r="AG297" s="32"/>
      <c r="AH297" s="32"/>
      <c r="AI297" s="32"/>
      <c r="AJ297" s="32"/>
      <c r="AK297" s="32"/>
      <c r="AL297" s="32"/>
      <c r="AM297" s="32"/>
      <c r="AN297" s="32"/>
    </row>
    <row r="298" spans="1:40">
      <c r="A298" s="32" t="str">
        <f>_xlfn.TEXTJOIN("",TRUE,_xlfn.XLOOKUP(B298,Input!J:J,Input!G:G,"",0,1),_xlfn.XLOOKUP(B298,Input!J:J,Input!H:H,"",0,1))</f>
        <v/>
      </c>
      <c r="B298" s="32"/>
      <c r="C298" s="53">
        <f>_xlfn.XLOOKUP(B298,Input!J:J,Input!F:F)</f>
        <v>0</v>
      </c>
      <c r="D298" s="32">
        <f>_xlfn.XLOOKUP(C298,Models!H:H,Models!G:G,C298)</f>
        <v>0</v>
      </c>
      <c r="E298" s="32"/>
      <c r="F298" s="32" t="str">
        <f>_xlfn.XLOOKUP(H298,Models!B:B,Models!F:F,"")</f>
        <v/>
      </c>
      <c r="G298" s="32">
        <f>_xlfn.XLOOKUP(B298,Input!J:J,Input!E:E)</f>
        <v>0</v>
      </c>
      <c r="H298" s="32">
        <f>IF(G298="LENOVO",_xlfn.XLOOKUP(B298,Input!J:J,Input!K:K),_xlfn.XLOOKUP(B298,Input!J:J,Input!L:L))</f>
        <v>0</v>
      </c>
      <c r="I298" s="32"/>
      <c r="J298" s="32"/>
      <c r="K298" s="32"/>
      <c r="L298" s="53"/>
      <c r="M298" s="53"/>
      <c r="N298" s="53"/>
      <c r="O298" s="53" t="str" cm="1">
        <f t="array" ref="O298">IFERROR(_xlfn.FILTERXML("&lt;t&gt;&lt;s&gt;" &amp; SUBSTITUTE(M298," / ","&lt;/s&gt;&lt;s&gt;") &amp; "&lt;/s&gt;&lt;/t&gt;","(//s[contains(.,'DDR')])[1]"),"")</f>
        <v/>
      </c>
      <c r="P298" s="32" t="str">
        <f t="shared" si="15"/>
        <v>GB</v>
      </c>
      <c r="Q298" s="32"/>
      <c r="R298" s="32"/>
      <c r="S298" s="53" t="e">
        <f>_xlfn.LET(_xlpm.Result,INDEX(Input!$D$2:$AC$500,
       MATCH(B298, Input!$J$2:$J$500, 0),
       MATCH("Capacity", Input!$D$1:$AC$1, 0)),IF(_xlpm.Result="","",_xlpm.Result))</f>
        <v>#N/A</v>
      </c>
      <c r="T298" s="53" t="e" cm="1">
        <f t="array" ref="T298">_xlfn.TEXTSPLIT(S298," / ", ,TRUE,0,)</f>
        <v>#N/A</v>
      </c>
      <c r="U298" s="53"/>
      <c r="V298" s="53" t="str" cm="1">
        <f t="array" ref="V298">IFERROR(_xlfn.IFS(
T298="","",
--T298&lt;55,"Battery Defect",
--T298&lt;=69,"Battery D",
--T298&lt;=80,"Battery C",
--T298&gt;80,""
),"")</f>
        <v/>
      </c>
      <c r="W298" s="53" t="str" cm="1">
        <f t="array" ref="W298">IFERROR(_xlfn.IFS(
U298="","",
--U298&lt;55,"Battery Defect",
--U298&lt;=69,"Battery D",
--U298&lt;=80,"Battery C",
--U298&gt;80,""
),"")</f>
        <v/>
      </c>
      <c r="X298" s="53"/>
      <c r="Y298" s="53"/>
      <c r="Z298" s="53"/>
      <c r="AA298" s="53"/>
      <c r="AB298" s="53"/>
      <c r="AC298" s="53"/>
      <c r="AD298" s="53"/>
      <c r="AE298" s="53"/>
      <c r="AF298" s="32" t="str">
        <f t="shared" si="14"/>
        <v/>
      </c>
      <c r="AG298" s="32"/>
      <c r="AH298" s="32"/>
      <c r="AI298" s="32"/>
      <c r="AJ298" s="32"/>
      <c r="AK298" s="32"/>
      <c r="AL298" s="32"/>
      <c r="AM298" s="32"/>
      <c r="AN298" s="32"/>
    </row>
    <row r="299" spans="1:40">
      <c r="A299" s="32" t="str">
        <f>_xlfn.TEXTJOIN("",TRUE,_xlfn.XLOOKUP(B299,Input!J:J,Input!G:G,"",0,1),_xlfn.XLOOKUP(B299,Input!J:J,Input!H:H,"",0,1))</f>
        <v/>
      </c>
      <c r="B299" s="32"/>
      <c r="C299" s="53">
        <f>_xlfn.XLOOKUP(B299,Input!J:J,Input!F:F)</f>
        <v>0</v>
      </c>
      <c r="D299" s="32">
        <f>_xlfn.XLOOKUP(C299,Models!H:H,Models!G:G,C299)</f>
        <v>0</v>
      </c>
      <c r="E299" s="32"/>
      <c r="F299" s="32" t="str">
        <f>_xlfn.XLOOKUP(H299,Models!B:B,Models!F:F,"")</f>
        <v/>
      </c>
      <c r="G299" s="32">
        <f>_xlfn.XLOOKUP(B299,Input!J:J,Input!E:E)</f>
        <v>0</v>
      </c>
      <c r="H299" s="32">
        <f>IF(G299="LENOVO",_xlfn.XLOOKUP(B299,Input!J:J,Input!K:K),_xlfn.XLOOKUP(B299,Input!J:J,Input!L:L))</f>
        <v>0</v>
      </c>
      <c r="I299" s="32"/>
      <c r="J299" s="32"/>
      <c r="K299" s="32"/>
      <c r="L299" s="53"/>
      <c r="M299" s="53"/>
      <c r="N299" s="53"/>
      <c r="O299" s="53" t="str" cm="1">
        <f t="array" ref="O299">IFERROR(_xlfn.FILTERXML("&lt;t&gt;&lt;s&gt;" &amp; SUBSTITUTE(M299," / ","&lt;/s&gt;&lt;s&gt;") &amp; "&lt;/s&gt;&lt;/t&gt;","(//s[contains(.,'DDR')])[1]"),"")</f>
        <v/>
      </c>
      <c r="P299" s="32" t="str">
        <f t="shared" si="15"/>
        <v>GB</v>
      </c>
      <c r="Q299" s="32"/>
      <c r="R299" s="32"/>
      <c r="S299" s="53" t="e">
        <f>_xlfn.LET(_xlpm.Result,INDEX(Input!$D$2:$AC$500,
       MATCH(B299, Input!$J$2:$J$500, 0),
       MATCH("Capacity", Input!$D$1:$AC$1, 0)),IF(_xlpm.Result="","",_xlpm.Result))</f>
        <v>#N/A</v>
      </c>
      <c r="T299" s="53" t="e" cm="1">
        <f t="array" ref="T299">_xlfn.TEXTSPLIT(S299," / ", ,TRUE,0,)</f>
        <v>#N/A</v>
      </c>
      <c r="U299" s="53"/>
      <c r="V299" s="53" t="str" cm="1">
        <f t="array" ref="V299">IFERROR(_xlfn.IFS(
T299="","",
--T299&lt;55,"Battery Defect",
--T299&lt;=69,"Battery D",
--T299&lt;=80,"Battery C",
--T299&gt;80,""
),"")</f>
        <v/>
      </c>
      <c r="W299" s="53" t="str" cm="1">
        <f t="array" ref="W299">IFERROR(_xlfn.IFS(
U299="","",
--U299&lt;55,"Battery Defect",
--U299&lt;=69,"Battery D",
--U299&lt;=80,"Battery C",
--U299&gt;80,""
),"")</f>
        <v/>
      </c>
      <c r="X299" s="53"/>
      <c r="Y299" s="53"/>
      <c r="Z299" s="53"/>
      <c r="AA299" s="53"/>
      <c r="AB299" s="53"/>
      <c r="AC299" s="53"/>
      <c r="AD299" s="53"/>
      <c r="AE299" s="53"/>
      <c r="AF299" s="32" t="str">
        <f t="shared" si="14"/>
        <v/>
      </c>
      <c r="AG299" s="32"/>
      <c r="AH299" s="32"/>
      <c r="AI299" s="32"/>
      <c r="AJ299" s="32"/>
      <c r="AK299" s="32"/>
      <c r="AL299" s="32"/>
      <c r="AM299" s="32"/>
      <c r="AN299" s="32"/>
    </row>
    <row r="300" spans="1:40">
      <c r="A300" s="32" t="str">
        <f>_xlfn.TEXTJOIN("",TRUE,_xlfn.XLOOKUP(B300,Input!J:J,Input!G:G,"",0,1),_xlfn.XLOOKUP(B300,Input!J:J,Input!H:H,"",0,1))</f>
        <v/>
      </c>
      <c r="B300" s="32"/>
      <c r="C300" s="53">
        <f>_xlfn.XLOOKUP(B300,Input!J:J,Input!F:F)</f>
        <v>0</v>
      </c>
      <c r="D300" s="32">
        <f>_xlfn.XLOOKUP(C300,Models!H:H,Models!G:G,C300)</f>
        <v>0</v>
      </c>
      <c r="E300" s="32"/>
      <c r="F300" s="32" t="str">
        <f>_xlfn.XLOOKUP(H300,Models!B:B,Models!F:F,"")</f>
        <v/>
      </c>
      <c r="G300" s="32">
        <f>_xlfn.XLOOKUP(B300,Input!J:J,Input!E:E)</f>
        <v>0</v>
      </c>
      <c r="H300" s="32">
        <f>IF(G300="LENOVO",_xlfn.XLOOKUP(B300,Input!J:J,Input!K:K),_xlfn.XLOOKUP(B300,Input!J:J,Input!L:L))</f>
        <v>0</v>
      </c>
      <c r="I300" s="32"/>
      <c r="J300" s="32"/>
      <c r="K300" s="32"/>
      <c r="L300" s="53"/>
      <c r="M300" s="53"/>
      <c r="N300" s="53"/>
      <c r="O300" s="53" t="str" cm="1">
        <f t="array" ref="O300">IFERROR(_xlfn.FILTERXML("&lt;t&gt;&lt;s&gt;" &amp; SUBSTITUTE(M300," / ","&lt;/s&gt;&lt;s&gt;") &amp; "&lt;/s&gt;&lt;/t&gt;","(//s[contains(.,'DDR')])[1]"),"")</f>
        <v/>
      </c>
      <c r="P300" s="32" t="str">
        <f t="shared" si="15"/>
        <v>GB</v>
      </c>
      <c r="Q300" s="32"/>
      <c r="R300" s="32"/>
      <c r="S300" s="53" t="e">
        <f>_xlfn.LET(_xlpm.Result,INDEX(Input!$D$2:$AC$500,
       MATCH(B300, Input!$J$2:$J$500, 0),
       MATCH("Capacity", Input!$D$1:$AC$1, 0)),IF(_xlpm.Result="","",_xlpm.Result))</f>
        <v>#N/A</v>
      </c>
      <c r="T300" s="53" t="e" cm="1">
        <f t="array" ref="T300">_xlfn.TEXTSPLIT(S300," / ", ,TRUE,0,)</f>
        <v>#N/A</v>
      </c>
      <c r="U300" s="53"/>
      <c r="V300" s="53" t="str" cm="1">
        <f t="array" ref="V300">IFERROR(_xlfn.IFS(
T300="","",
--T300&lt;55,"Battery Defect",
--T300&lt;=69,"Battery D",
--T300&lt;=80,"Battery C",
--T300&gt;80,""
),"")</f>
        <v/>
      </c>
      <c r="W300" s="53" t="str" cm="1">
        <f t="array" ref="W300">IFERROR(_xlfn.IFS(
U300="","",
--U300&lt;55,"Battery Defect",
--U300&lt;=69,"Battery D",
--U300&lt;=80,"Battery C",
--U300&gt;80,""
),"")</f>
        <v/>
      </c>
      <c r="X300" s="53"/>
      <c r="Y300" s="53"/>
      <c r="Z300" s="53"/>
      <c r="AA300" s="53"/>
      <c r="AB300" s="53"/>
      <c r="AC300" s="53"/>
      <c r="AD300" s="53"/>
      <c r="AE300" s="53"/>
      <c r="AF300" s="32" t="str">
        <f t="shared" si="14"/>
        <v/>
      </c>
      <c r="AG300" s="32"/>
      <c r="AH300" s="32"/>
      <c r="AI300" s="32"/>
      <c r="AJ300" s="32"/>
      <c r="AK300" s="32"/>
      <c r="AL300" s="32"/>
      <c r="AM300" s="32"/>
      <c r="AN300" s="32"/>
    </row>
    <row r="301" spans="1:40">
      <c r="A301" s="32" t="str">
        <f>_xlfn.TEXTJOIN("",TRUE,_xlfn.XLOOKUP(B301,Input!J:J,Input!G:G,"",0,1),_xlfn.XLOOKUP(B301,Input!J:J,Input!H:H,"",0,1))</f>
        <v/>
      </c>
      <c r="B301" s="32"/>
      <c r="C301" s="53">
        <f>_xlfn.XLOOKUP(B301,Input!J:J,Input!F:F)</f>
        <v>0</v>
      </c>
      <c r="D301" s="32">
        <f>_xlfn.XLOOKUP(C301,Models!H:H,Models!G:G,C301)</f>
        <v>0</v>
      </c>
      <c r="E301" s="32"/>
      <c r="F301" s="32" t="str">
        <f>_xlfn.XLOOKUP(H301,Models!B:B,Models!F:F,"")</f>
        <v/>
      </c>
      <c r="G301" s="32">
        <f>_xlfn.XLOOKUP(B301,Input!J:J,Input!E:E)</f>
        <v>0</v>
      </c>
      <c r="H301" s="32">
        <f>IF(G301="LENOVO",_xlfn.XLOOKUP(B301,Input!J:J,Input!K:K),_xlfn.XLOOKUP(B301,Input!J:J,Input!L:L))</f>
        <v>0</v>
      </c>
      <c r="I301" s="32"/>
      <c r="J301" s="32"/>
      <c r="K301" s="32"/>
      <c r="L301" s="53"/>
      <c r="M301" s="53"/>
      <c r="N301" s="53"/>
      <c r="O301" s="53" t="str" cm="1">
        <f t="array" ref="O301">IFERROR(_xlfn.FILTERXML("&lt;t&gt;&lt;s&gt;" &amp; SUBSTITUTE(M301," / ","&lt;/s&gt;&lt;s&gt;") &amp; "&lt;/s&gt;&lt;/t&gt;","(//s[contains(.,'DDR')])[1]"),"")</f>
        <v/>
      </c>
      <c r="P301" s="32" t="str">
        <f t="shared" si="15"/>
        <v>GB</v>
      </c>
      <c r="Q301" s="32"/>
      <c r="R301" s="32"/>
      <c r="S301" s="53" t="e">
        <f>_xlfn.LET(_xlpm.Result,INDEX(Input!$D$2:$AC$500,
       MATCH(B301, Input!$J$2:$J$500, 0),
       MATCH("Capacity", Input!$D$1:$AC$1, 0)),IF(_xlpm.Result="","",_xlpm.Result))</f>
        <v>#N/A</v>
      </c>
      <c r="T301" s="53" t="e" cm="1">
        <f t="array" ref="T301">_xlfn.TEXTSPLIT(S301," / ", ,TRUE,0,)</f>
        <v>#N/A</v>
      </c>
      <c r="U301" s="53"/>
      <c r="V301" s="53" t="str" cm="1">
        <f t="array" ref="V301">IFERROR(_xlfn.IFS(
T301="","",
--T301&lt;55,"Battery Defect",
--T301&lt;=69,"Battery D",
--T301&lt;=80,"Battery C",
--T301&gt;80,""
),"")</f>
        <v/>
      </c>
      <c r="W301" s="53" t="str" cm="1">
        <f t="array" ref="W301">IFERROR(_xlfn.IFS(
U301="","",
--U301&lt;55,"Battery Defect",
--U301&lt;=69,"Battery D",
--U301&lt;=80,"Battery C",
--U301&gt;80,""
),"")</f>
        <v/>
      </c>
      <c r="X301" s="53"/>
      <c r="Y301" s="53"/>
      <c r="Z301" s="53"/>
      <c r="AA301" s="53"/>
      <c r="AB301" s="53"/>
      <c r="AC301" s="53"/>
      <c r="AD301" s="53"/>
      <c r="AE301" s="53"/>
      <c r="AF301" s="32" t="str">
        <f t="shared" si="14"/>
        <v/>
      </c>
      <c r="AG301" s="32"/>
      <c r="AH301" s="32"/>
      <c r="AI301" s="32"/>
      <c r="AJ301" s="32"/>
      <c r="AK301" s="32"/>
      <c r="AL301" s="32"/>
      <c r="AM301" s="32"/>
      <c r="AN301" s="32"/>
    </row>
    <row r="302" spans="1:40">
      <c r="A302" s="32" t="str">
        <f>_xlfn.TEXTJOIN("",TRUE,_xlfn.XLOOKUP(B302,Input!J:J,Input!G:G,"",0,1),_xlfn.XLOOKUP(B302,Input!J:J,Input!H:H,"",0,1))</f>
        <v/>
      </c>
      <c r="B302" s="32"/>
      <c r="C302" s="53">
        <f>_xlfn.XLOOKUP(B302,Input!J:J,Input!F:F)</f>
        <v>0</v>
      </c>
      <c r="D302" s="32">
        <f>_xlfn.XLOOKUP(C302,Models!H:H,Models!G:G,C302)</f>
        <v>0</v>
      </c>
      <c r="E302" s="32"/>
      <c r="F302" s="32" t="str">
        <f>_xlfn.XLOOKUP(H302,Models!B:B,Models!F:F,"")</f>
        <v/>
      </c>
      <c r="G302" s="32">
        <f>_xlfn.XLOOKUP(B302,Input!J:J,Input!E:E)</f>
        <v>0</v>
      </c>
      <c r="H302" s="32">
        <f>IF(G302="LENOVO",_xlfn.XLOOKUP(B302,Input!J:J,Input!K:K),_xlfn.XLOOKUP(B302,Input!J:J,Input!L:L))</f>
        <v>0</v>
      </c>
      <c r="I302" s="32"/>
      <c r="J302" s="32"/>
      <c r="K302" s="32"/>
      <c r="L302" s="53"/>
      <c r="M302" s="53"/>
      <c r="N302" s="53"/>
      <c r="O302" s="53" t="str" cm="1">
        <f t="array" ref="O302">IFERROR(_xlfn.FILTERXML("&lt;t&gt;&lt;s&gt;" &amp; SUBSTITUTE(M302," / ","&lt;/s&gt;&lt;s&gt;") &amp; "&lt;/s&gt;&lt;/t&gt;","(//s[contains(.,'DDR')])[1]"),"")</f>
        <v/>
      </c>
      <c r="P302" s="32" t="str">
        <f t="shared" si="15"/>
        <v>GB</v>
      </c>
      <c r="Q302" s="32"/>
      <c r="R302" s="32"/>
      <c r="S302" s="53" t="e">
        <f>_xlfn.LET(_xlpm.Result,INDEX(Input!$D$2:$AC$500,
       MATCH(B302, Input!$J$2:$J$500, 0),
       MATCH("Capacity", Input!$D$1:$AC$1, 0)),IF(_xlpm.Result="","",_xlpm.Result))</f>
        <v>#N/A</v>
      </c>
      <c r="T302" s="53" t="e" cm="1">
        <f t="array" ref="T302">_xlfn.TEXTSPLIT(S302," / ", ,TRUE,0,)</f>
        <v>#N/A</v>
      </c>
      <c r="U302" s="53"/>
      <c r="V302" s="53" t="str" cm="1">
        <f t="array" ref="V302">IFERROR(_xlfn.IFS(
T302="","",
--T302&lt;55,"Battery Defect",
--T302&lt;=69,"Battery D",
--T302&lt;=80,"Battery C",
--T302&gt;80,""
),"")</f>
        <v/>
      </c>
      <c r="W302" s="53" t="str" cm="1">
        <f t="array" ref="W302">IFERROR(_xlfn.IFS(
U302="","",
--U302&lt;55,"Battery Defect",
--U302&lt;=69,"Battery D",
--U302&lt;=80,"Battery C",
--U302&gt;80,""
),"")</f>
        <v/>
      </c>
      <c r="X302" s="53"/>
      <c r="Y302" s="53"/>
      <c r="Z302" s="53"/>
      <c r="AA302" s="53"/>
      <c r="AB302" s="53"/>
      <c r="AC302" s="53"/>
      <c r="AD302" s="53"/>
      <c r="AE302" s="53"/>
      <c r="AF302" s="32" t="str">
        <f t="shared" si="14"/>
        <v/>
      </c>
      <c r="AG302" s="32"/>
      <c r="AH302" s="32"/>
      <c r="AI302" s="32"/>
      <c r="AJ302" s="32"/>
      <c r="AK302" s="32"/>
      <c r="AL302" s="32"/>
      <c r="AM302" s="32"/>
      <c r="AN302" s="32"/>
    </row>
    <row r="303" spans="1:40">
      <c r="A303" s="32" t="str">
        <f>_xlfn.TEXTJOIN("",TRUE,_xlfn.XLOOKUP(B303,Input!J:J,Input!G:G,"",0,1),_xlfn.XLOOKUP(B303,Input!J:J,Input!H:H,"",0,1))</f>
        <v/>
      </c>
      <c r="B303" s="32"/>
      <c r="C303" s="53">
        <f>_xlfn.XLOOKUP(B303,Input!J:J,Input!F:F)</f>
        <v>0</v>
      </c>
      <c r="D303" s="32">
        <f>_xlfn.XLOOKUP(C303,Models!H:H,Models!G:G,C303)</f>
        <v>0</v>
      </c>
      <c r="E303" s="32"/>
      <c r="F303" s="32" t="str">
        <f>_xlfn.XLOOKUP(H303,Models!B:B,Models!F:F,"")</f>
        <v/>
      </c>
      <c r="G303" s="32">
        <f>_xlfn.XLOOKUP(B303,Input!J:J,Input!E:E)</f>
        <v>0</v>
      </c>
      <c r="H303" s="32">
        <f>IF(G303="LENOVO",_xlfn.XLOOKUP(B303,Input!J:J,Input!K:K),_xlfn.XLOOKUP(B303,Input!J:J,Input!L:L))</f>
        <v>0</v>
      </c>
      <c r="I303" s="32"/>
      <c r="J303" s="32"/>
      <c r="K303" s="32"/>
      <c r="L303" s="53"/>
      <c r="M303" s="53"/>
      <c r="N303" s="53"/>
      <c r="O303" s="53" t="str" cm="1">
        <f t="array" ref="O303">IFERROR(_xlfn.FILTERXML("&lt;t&gt;&lt;s&gt;" &amp; SUBSTITUTE(M303," / ","&lt;/s&gt;&lt;s&gt;") &amp; "&lt;/s&gt;&lt;/t&gt;","(//s[contains(.,'DDR')])[1]"),"")</f>
        <v/>
      </c>
      <c r="P303" s="32" t="str">
        <f t="shared" si="15"/>
        <v>GB</v>
      </c>
      <c r="Q303" s="32"/>
      <c r="R303" s="32"/>
      <c r="S303" s="53" t="e">
        <f>_xlfn.LET(_xlpm.Result,INDEX(Input!$D$2:$AC$500,
       MATCH(B303, Input!$J$2:$J$500, 0),
       MATCH("Capacity", Input!$D$1:$AC$1, 0)),IF(_xlpm.Result="","",_xlpm.Result))</f>
        <v>#N/A</v>
      </c>
      <c r="T303" s="53" t="e" cm="1">
        <f t="array" ref="T303">_xlfn.TEXTSPLIT(S303," / ", ,TRUE,0,)</f>
        <v>#N/A</v>
      </c>
      <c r="U303" s="53"/>
      <c r="V303" s="53" t="str" cm="1">
        <f t="array" ref="V303">IFERROR(_xlfn.IFS(
T303="","",
--T303&lt;55,"Battery Defect",
--T303&lt;=69,"Battery D",
--T303&lt;=80,"Battery C",
--T303&gt;80,""
),"")</f>
        <v/>
      </c>
      <c r="W303" s="53" t="str" cm="1">
        <f t="array" ref="W303">IFERROR(_xlfn.IFS(
U303="","",
--U303&lt;55,"Battery Defect",
--U303&lt;=69,"Battery D",
--U303&lt;=80,"Battery C",
--U303&gt;80,""
),"")</f>
        <v/>
      </c>
      <c r="X303" s="53"/>
      <c r="Y303" s="53"/>
      <c r="Z303" s="53"/>
      <c r="AA303" s="53"/>
      <c r="AB303" s="53"/>
      <c r="AC303" s="53"/>
      <c r="AD303" s="53"/>
      <c r="AE303" s="53"/>
      <c r="AF303" s="32" t="str">
        <f t="shared" si="14"/>
        <v/>
      </c>
      <c r="AG303" s="32"/>
      <c r="AH303" s="32"/>
      <c r="AI303" s="32"/>
      <c r="AJ303" s="32"/>
      <c r="AK303" s="32"/>
      <c r="AL303" s="32"/>
      <c r="AM303" s="32"/>
      <c r="AN303" s="32"/>
    </row>
    <row r="304" spans="1:40">
      <c r="A304" s="32" t="str">
        <f>_xlfn.TEXTJOIN("",TRUE,_xlfn.XLOOKUP(B304,Input!J:J,Input!G:G,"",0,1),_xlfn.XLOOKUP(B304,Input!J:J,Input!H:H,"",0,1))</f>
        <v/>
      </c>
      <c r="B304" s="32"/>
      <c r="C304" s="53">
        <f>_xlfn.XLOOKUP(B304,Input!J:J,Input!F:F)</f>
        <v>0</v>
      </c>
      <c r="D304" s="32">
        <f>_xlfn.XLOOKUP(C304,Models!H:H,Models!G:G,C304)</f>
        <v>0</v>
      </c>
      <c r="E304" s="32"/>
      <c r="F304" s="32" t="str">
        <f>_xlfn.XLOOKUP(H304,Models!B:B,Models!F:F,"")</f>
        <v/>
      </c>
      <c r="G304" s="32">
        <f>_xlfn.XLOOKUP(B304,Input!J:J,Input!E:E)</f>
        <v>0</v>
      </c>
      <c r="H304" s="32">
        <f>IF(G304="LENOVO",_xlfn.XLOOKUP(B304,Input!J:J,Input!K:K),_xlfn.XLOOKUP(B304,Input!J:J,Input!L:L))</f>
        <v>0</v>
      </c>
      <c r="I304" s="32"/>
      <c r="J304" s="32"/>
      <c r="K304" s="32"/>
      <c r="L304" s="53"/>
      <c r="M304" s="53"/>
      <c r="N304" s="53"/>
      <c r="O304" s="53" t="str" cm="1">
        <f t="array" ref="O304">IFERROR(_xlfn.FILTERXML("&lt;t&gt;&lt;s&gt;" &amp; SUBSTITUTE(M304," / ","&lt;/s&gt;&lt;s&gt;") &amp; "&lt;/s&gt;&lt;/t&gt;","(//s[contains(.,'DDR')])[1]"),"")</f>
        <v/>
      </c>
      <c r="P304" s="32" t="str">
        <f t="shared" si="15"/>
        <v>GB</v>
      </c>
      <c r="Q304" s="32"/>
      <c r="R304" s="32"/>
      <c r="S304" s="53" t="e">
        <f>_xlfn.LET(_xlpm.Result,INDEX(Input!$D$2:$AC$500,
       MATCH(B304, Input!$J$2:$J$500, 0),
       MATCH("Capacity", Input!$D$1:$AC$1, 0)),IF(_xlpm.Result="","",_xlpm.Result))</f>
        <v>#N/A</v>
      </c>
      <c r="T304" s="53" t="e" cm="1">
        <f t="array" ref="T304">_xlfn.TEXTSPLIT(S304," / ", ,TRUE,0,)</f>
        <v>#N/A</v>
      </c>
      <c r="U304" s="53"/>
      <c r="V304" s="53" t="str" cm="1">
        <f t="array" ref="V304">IFERROR(_xlfn.IFS(
T304="","",
--T304&lt;55,"Battery Defect",
--T304&lt;=69,"Battery D",
--T304&lt;=80,"Battery C",
--T304&gt;80,""
),"")</f>
        <v/>
      </c>
      <c r="W304" s="53" t="str" cm="1">
        <f t="array" ref="W304">IFERROR(_xlfn.IFS(
U304="","",
--U304&lt;55,"Battery Defect",
--U304&lt;=69,"Battery D",
--U304&lt;=80,"Battery C",
--U304&gt;80,""
),"")</f>
        <v/>
      </c>
      <c r="X304" s="53"/>
      <c r="Y304" s="53"/>
      <c r="Z304" s="53"/>
      <c r="AA304" s="53"/>
      <c r="AB304" s="53"/>
      <c r="AC304" s="53"/>
      <c r="AD304" s="53"/>
      <c r="AE304" s="53"/>
      <c r="AF304" s="32" t="str">
        <f t="shared" si="14"/>
        <v/>
      </c>
      <c r="AG304" s="32"/>
      <c r="AH304" s="32"/>
      <c r="AI304" s="32"/>
      <c r="AJ304" s="32"/>
      <c r="AK304" s="32"/>
      <c r="AL304" s="32"/>
      <c r="AM304" s="32"/>
      <c r="AN304" s="32"/>
    </row>
    <row r="305" spans="1:40">
      <c r="A305" s="32" t="str">
        <f>_xlfn.TEXTJOIN("",TRUE,_xlfn.XLOOKUP(B305,Input!J:J,Input!G:G,"",0,1),_xlfn.XLOOKUP(B305,Input!J:J,Input!H:H,"",0,1))</f>
        <v/>
      </c>
      <c r="B305" s="32"/>
      <c r="C305" s="53">
        <f>_xlfn.XLOOKUP(B305,Input!J:J,Input!F:F)</f>
        <v>0</v>
      </c>
      <c r="D305" s="32">
        <f>_xlfn.XLOOKUP(C305,Models!H:H,Models!G:G,C305)</f>
        <v>0</v>
      </c>
      <c r="E305" s="32"/>
      <c r="F305" s="32" t="str">
        <f>_xlfn.XLOOKUP(H305,Models!B:B,Models!F:F,"")</f>
        <v/>
      </c>
      <c r="G305" s="32">
        <f>_xlfn.XLOOKUP(B305,Input!J:J,Input!E:E)</f>
        <v>0</v>
      </c>
      <c r="H305" s="32">
        <f>IF(G305="LENOVO",_xlfn.XLOOKUP(B305,Input!J:J,Input!K:K),_xlfn.XLOOKUP(B305,Input!J:J,Input!L:L))</f>
        <v>0</v>
      </c>
      <c r="I305" s="32"/>
      <c r="J305" s="32"/>
      <c r="K305" s="32"/>
      <c r="L305" s="53"/>
      <c r="M305" s="53"/>
      <c r="N305" s="53"/>
      <c r="O305" s="53" t="str" cm="1">
        <f t="array" ref="O305">IFERROR(_xlfn.FILTERXML("&lt;t&gt;&lt;s&gt;" &amp; SUBSTITUTE(M305," / ","&lt;/s&gt;&lt;s&gt;") &amp; "&lt;/s&gt;&lt;/t&gt;","(//s[contains(.,'DDR')])[1]"),"")</f>
        <v/>
      </c>
      <c r="P305" s="32" t="str">
        <f t="shared" si="15"/>
        <v>GB</v>
      </c>
      <c r="Q305" s="32"/>
      <c r="R305" s="32"/>
      <c r="S305" s="53" t="e">
        <f>_xlfn.LET(_xlpm.Result,INDEX(Input!$D$2:$AC$500,
       MATCH(B305, Input!$J$2:$J$500, 0),
       MATCH("Capacity", Input!$D$1:$AC$1, 0)),IF(_xlpm.Result="","",_xlpm.Result))</f>
        <v>#N/A</v>
      </c>
      <c r="T305" s="53" t="e" cm="1">
        <f t="array" ref="T305">_xlfn.TEXTSPLIT(S305," / ", ,TRUE,0,)</f>
        <v>#N/A</v>
      </c>
      <c r="U305" s="53"/>
      <c r="V305" s="53" t="str" cm="1">
        <f t="array" ref="V305">IFERROR(_xlfn.IFS(
T305="","",
--T305&lt;55,"Battery Defect",
--T305&lt;=69,"Battery D",
--T305&lt;=80,"Battery C",
--T305&gt;80,""
),"")</f>
        <v/>
      </c>
      <c r="W305" s="53" t="str" cm="1">
        <f t="array" ref="W305">IFERROR(_xlfn.IFS(
U305="","",
--U305&lt;55,"Battery Defect",
--U305&lt;=69,"Battery D",
--U305&lt;=80,"Battery C",
--U305&gt;80,""
),"")</f>
        <v/>
      </c>
      <c r="X305" s="53"/>
      <c r="Y305" s="53"/>
      <c r="Z305" s="53"/>
      <c r="AA305" s="53"/>
      <c r="AB305" s="53"/>
      <c r="AC305" s="53"/>
      <c r="AD305" s="53"/>
      <c r="AE305" s="53"/>
      <c r="AF305" s="32" t="str">
        <f t="shared" si="14"/>
        <v/>
      </c>
      <c r="AG305" s="32"/>
      <c r="AH305" s="32"/>
      <c r="AI305" s="32"/>
      <c r="AJ305" s="32"/>
      <c r="AK305" s="32"/>
      <c r="AL305" s="32"/>
      <c r="AM305" s="32"/>
      <c r="AN305" s="32"/>
    </row>
    <row r="306" spans="1:40">
      <c r="A306" s="32" t="str">
        <f>_xlfn.TEXTJOIN("",TRUE,_xlfn.XLOOKUP(B306,Input!J:J,Input!G:G,"",0,1),_xlfn.XLOOKUP(B306,Input!J:J,Input!H:H,"",0,1))</f>
        <v/>
      </c>
      <c r="B306" s="32"/>
      <c r="C306" s="53">
        <f>_xlfn.XLOOKUP(B306,Input!J:J,Input!F:F)</f>
        <v>0</v>
      </c>
      <c r="D306" s="32">
        <f>_xlfn.XLOOKUP(C306,Models!H:H,Models!G:G,C306)</f>
        <v>0</v>
      </c>
      <c r="E306" s="32"/>
      <c r="F306" s="32" t="str">
        <f>_xlfn.XLOOKUP(H306,Models!B:B,Models!F:F,"")</f>
        <v/>
      </c>
      <c r="G306" s="32">
        <f>_xlfn.XLOOKUP(B306,Input!J:J,Input!E:E)</f>
        <v>0</v>
      </c>
      <c r="H306" s="32">
        <f>IF(G306="LENOVO",_xlfn.XLOOKUP(B306,Input!J:J,Input!K:K),_xlfn.XLOOKUP(B306,Input!J:J,Input!L:L))</f>
        <v>0</v>
      </c>
      <c r="I306" s="32"/>
      <c r="J306" s="32"/>
      <c r="K306" s="32"/>
      <c r="L306" s="53"/>
      <c r="M306" s="53"/>
      <c r="N306" s="53"/>
      <c r="O306" s="53" t="str" cm="1">
        <f t="array" ref="O306">IFERROR(_xlfn.FILTERXML("&lt;t&gt;&lt;s&gt;" &amp; SUBSTITUTE(M306," / ","&lt;/s&gt;&lt;s&gt;") &amp; "&lt;/s&gt;&lt;/t&gt;","(//s[contains(.,'DDR')])[1]"),"")</f>
        <v/>
      </c>
      <c r="P306" s="32" t="str">
        <f t="shared" si="15"/>
        <v>GB</v>
      </c>
      <c r="Q306" s="32"/>
      <c r="R306" s="32"/>
      <c r="S306" s="53" t="e">
        <f>_xlfn.LET(_xlpm.Result,INDEX(Input!$D$2:$AC$500,
       MATCH(B306, Input!$J$2:$J$500, 0),
       MATCH("Capacity", Input!$D$1:$AC$1, 0)),IF(_xlpm.Result="","",_xlpm.Result))</f>
        <v>#N/A</v>
      </c>
      <c r="T306" s="53" t="e" cm="1">
        <f t="array" ref="T306">_xlfn.TEXTSPLIT(S306," / ", ,TRUE,0,)</f>
        <v>#N/A</v>
      </c>
      <c r="U306" s="53"/>
      <c r="V306" s="53" t="str" cm="1">
        <f t="array" ref="V306">IFERROR(_xlfn.IFS(
T306="","",
--T306&lt;55,"Battery Defect",
--T306&lt;=69,"Battery D",
--T306&lt;=80,"Battery C",
--T306&gt;80,""
),"")</f>
        <v/>
      </c>
      <c r="W306" s="53" t="str" cm="1">
        <f t="array" ref="W306">IFERROR(_xlfn.IFS(
U306="","",
--U306&lt;55,"Battery Defect",
--U306&lt;=69,"Battery D",
--U306&lt;=80,"Battery C",
--U306&gt;80,""
),"")</f>
        <v/>
      </c>
      <c r="X306" s="53"/>
      <c r="Y306" s="53"/>
      <c r="Z306" s="53"/>
      <c r="AA306" s="53"/>
      <c r="AB306" s="53"/>
      <c r="AC306" s="53"/>
      <c r="AD306" s="53"/>
      <c r="AE306" s="53"/>
      <c r="AF306" s="32" t="str">
        <f t="shared" si="14"/>
        <v/>
      </c>
      <c r="AG306" s="32"/>
      <c r="AH306" s="32"/>
      <c r="AI306" s="32"/>
      <c r="AJ306" s="32"/>
      <c r="AK306" s="32"/>
      <c r="AL306" s="32"/>
      <c r="AM306" s="32"/>
      <c r="AN306" s="32"/>
    </row>
    <row r="307" spans="1:40">
      <c r="A307" s="32" t="str">
        <f>_xlfn.TEXTJOIN("",TRUE,_xlfn.XLOOKUP(B307,Input!J:J,Input!G:G,"",0,1),_xlfn.XLOOKUP(B307,Input!J:J,Input!H:H,"",0,1))</f>
        <v/>
      </c>
      <c r="B307" s="32"/>
      <c r="C307" s="53">
        <f>_xlfn.XLOOKUP(B307,Input!J:J,Input!F:F)</f>
        <v>0</v>
      </c>
      <c r="D307" s="32">
        <f>_xlfn.XLOOKUP(C307,Models!H:H,Models!G:G,C307)</f>
        <v>0</v>
      </c>
      <c r="E307" s="32"/>
      <c r="F307" s="32" t="str">
        <f>_xlfn.XLOOKUP(H307,Models!B:B,Models!F:F,"")</f>
        <v/>
      </c>
      <c r="G307" s="32">
        <f>_xlfn.XLOOKUP(B307,Input!J:J,Input!E:E)</f>
        <v>0</v>
      </c>
      <c r="H307" s="32">
        <f>IF(G307="LENOVO",_xlfn.XLOOKUP(B307,Input!J:J,Input!K:K),_xlfn.XLOOKUP(B307,Input!J:J,Input!L:L))</f>
        <v>0</v>
      </c>
      <c r="I307" s="32"/>
      <c r="J307" s="32"/>
      <c r="K307" s="32"/>
      <c r="L307" s="53"/>
      <c r="M307" s="53"/>
      <c r="N307" s="53"/>
      <c r="O307" s="53" t="str" cm="1">
        <f t="array" ref="O307">IFERROR(_xlfn.FILTERXML("&lt;t&gt;&lt;s&gt;" &amp; SUBSTITUTE(M307," / ","&lt;/s&gt;&lt;s&gt;") &amp; "&lt;/s&gt;&lt;/t&gt;","(//s[contains(.,'DDR')])[1]"),"")</f>
        <v/>
      </c>
      <c r="P307" s="32" t="str">
        <f t="shared" si="15"/>
        <v>GB</v>
      </c>
      <c r="Q307" s="32"/>
      <c r="R307" s="32"/>
      <c r="S307" s="53" t="e">
        <f>_xlfn.LET(_xlpm.Result,INDEX(Input!$D$2:$AC$500,
       MATCH(B307, Input!$J$2:$J$500, 0),
       MATCH("Capacity", Input!$D$1:$AC$1, 0)),IF(_xlpm.Result="","",_xlpm.Result))</f>
        <v>#N/A</v>
      </c>
      <c r="T307" s="53" t="e" cm="1">
        <f t="array" ref="T307">_xlfn.TEXTSPLIT(S307," / ", ,TRUE,0,)</f>
        <v>#N/A</v>
      </c>
      <c r="U307" s="53"/>
      <c r="V307" s="53" t="str" cm="1">
        <f t="array" ref="V307">IFERROR(_xlfn.IFS(
T307="","",
--T307&lt;55,"Battery Defect",
--T307&lt;=69,"Battery D",
--T307&lt;=80,"Battery C",
--T307&gt;80,""
),"")</f>
        <v/>
      </c>
      <c r="W307" s="53" t="str" cm="1">
        <f t="array" ref="W307">IFERROR(_xlfn.IFS(
U307="","",
--U307&lt;55,"Battery Defect",
--U307&lt;=69,"Battery D",
--U307&lt;=80,"Battery C",
--U307&gt;80,""
),"")</f>
        <v/>
      </c>
      <c r="X307" s="53"/>
      <c r="Y307" s="53"/>
      <c r="Z307" s="53"/>
      <c r="AA307" s="53"/>
      <c r="AB307" s="53"/>
      <c r="AC307" s="53"/>
      <c r="AD307" s="53"/>
      <c r="AE307" s="53"/>
      <c r="AF307" s="32" t="str">
        <f t="shared" si="14"/>
        <v/>
      </c>
      <c r="AG307" s="32"/>
      <c r="AH307" s="32"/>
      <c r="AI307" s="32"/>
      <c r="AJ307" s="32"/>
      <c r="AK307" s="32"/>
      <c r="AL307" s="32"/>
      <c r="AM307" s="32"/>
      <c r="AN307" s="32"/>
    </row>
    <row r="308" spans="1:40">
      <c r="A308" s="32" t="str">
        <f>_xlfn.TEXTJOIN("",TRUE,_xlfn.XLOOKUP(B308,Input!J:J,Input!G:G,"",0,1),_xlfn.XLOOKUP(B308,Input!J:J,Input!H:H,"",0,1))</f>
        <v/>
      </c>
      <c r="B308" s="32"/>
      <c r="C308" s="53">
        <f>_xlfn.XLOOKUP(B308,Input!J:J,Input!F:F)</f>
        <v>0</v>
      </c>
      <c r="D308" s="32">
        <f>_xlfn.XLOOKUP(C308,Models!H:H,Models!G:G,C308)</f>
        <v>0</v>
      </c>
      <c r="E308" s="32"/>
      <c r="F308" s="32" t="str">
        <f>_xlfn.XLOOKUP(H308,Models!B:B,Models!F:F,"")</f>
        <v/>
      </c>
      <c r="G308" s="32">
        <f>_xlfn.XLOOKUP(B308,Input!J:J,Input!E:E)</f>
        <v>0</v>
      </c>
      <c r="H308" s="32">
        <f>IF(G308="LENOVO",_xlfn.XLOOKUP(B308,Input!J:J,Input!K:K),_xlfn.XLOOKUP(B308,Input!J:J,Input!L:L))</f>
        <v>0</v>
      </c>
      <c r="I308" s="32"/>
      <c r="J308" s="32"/>
      <c r="K308" s="32"/>
      <c r="L308" s="53"/>
      <c r="M308" s="53"/>
      <c r="N308" s="53"/>
      <c r="O308" s="53" t="str" cm="1">
        <f t="array" ref="O308">IFERROR(_xlfn.FILTERXML("&lt;t&gt;&lt;s&gt;" &amp; SUBSTITUTE(M308," / ","&lt;/s&gt;&lt;s&gt;") &amp; "&lt;/s&gt;&lt;/t&gt;","(//s[contains(.,'DDR')])[1]"),"")</f>
        <v/>
      </c>
      <c r="P308" s="32" t="str">
        <f t="shared" si="15"/>
        <v>GB</v>
      </c>
      <c r="Q308" s="32"/>
      <c r="R308" s="32"/>
      <c r="S308" s="53" t="e">
        <f>_xlfn.LET(_xlpm.Result,INDEX(Input!$D$2:$AC$500,
       MATCH(B308, Input!$J$2:$J$500, 0),
       MATCH("Capacity", Input!$D$1:$AC$1, 0)),IF(_xlpm.Result="","",_xlpm.Result))</f>
        <v>#N/A</v>
      </c>
      <c r="T308" s="53" t="e" cm="1">
        <f t="array" ref="T308">_xlfn.TEXTSPLIT(S308," / ", ,TRUE,0,)</f>
        <v>#N/A</v>
      </c>
      <c r="U308" s="53"/>
      <c r="V308" s="53" t="str" cm="1">
        <f t="array" ref="V308">IFERROR(_xlfn.IFS(
T308="","",
--T308&lt;55,"Battery Defect",
--T308&lt;=69,"Battery D",
--T308&lt;=80,"Battery C",
--T308&gt;80,""
),"")</f>
        <v/>
      </c>
      <c r="W308" s="53" t="str" cm="1">
        <f t="array" ref="W308">IFERROR(_xlfn.IFS(
U308="","",
--U308&lt;55,"Battery Defect",
--U308&lt;=69,"Battery D",
--U308&lt;=80,"Battery C",
--U308&gt;80,""
),"")</f>
        <v/>
      </c>
      <c r="X308" s="53"/>
      <c r="Y308" s="53"/>
      <c r="Z308" s="53"/>
      <c r="AA308" s="53"/>
      <c r="AB308" s="53"/>
      <c r="AC308" s="53"/>
      <c r="AD308" s="53"/>
      <c r="AE308" s="53"/>
      <c r="AF308" s="32" t="str">
        <f t="shared" si="14"/>
        <v/>
      </c>
      <c r="AG308" s="32"/>
      <c r="AH308" s="32"/>
      <c r="AI308" s="32"/>
      <c r="AJ308" s="32"/>
      <c r="AK308" s="32"/>
      <c r="AL308" s="32"/>
      <c r="AM308" s="32"/>
      <c r="AN308" s="32"/>
    </row>
    <row r="309" spans="1:40">
      <c r="A309" s="32" t="str">
        <f>_xlfn.TEXTJOIN("",TRUE,_xlfn.XLOOKUP(B309,Input!J:J,Input!G:G,"",0,1),_xlfn.XLOOKUP(B309,Input!J:J,Input!H:H,"",0,1))</f>
        <v/>
      </c>
      <c r="B309" s="32"/>
      <c r="C309" s="53">
        <f>_xlfn.XLOOKUP(B309,Input!J:J,Input!F:F)</f>
        <v>0</v>
      </c>
      <c r="D309" s="32">
        <f>_xlfn.XLOOKUP(C309,Models!H:H,Models!G:G,C309)</f>
        <v>0</v>
      </c>
      <c r="E309" s="32"/>
      <c r="F309" s="32" t="str">
        <f>_xlfn.XLOOKUP(H309,Models!B:B,Models!F:F,"")</f>
        <v/>
      </c>
      <c r="G309" s="32">
        <f>_xlfn.XLOOKUP(B309,Input!J:J,Input!E:E)</f>
        <v>0</v>
      </c>
      <c r="H309" s="32">
        <f>IF(G309="LENOVO",_xlfn.XLOOKUP(B309,Input!J:J,Input!K:K),_xlfn.XLOOKUP(B309,Input!J:J,Input!L:L))</f>
        <v>0</v>
      </c>
      <c r="I309" s="32"/>
      <c r="J309" s="32"/>
      <c r="K309" s="32"/>
      <c r="L309" s="53"/>
      <c r="M309" s="53"/>
      <c r="N309" s="53"/>
      <c r="O309" s="53" t="str" cm="1">
        <f t="array" ref="O309">IFERROR(_xlfn.FILTERXML("&lt;t&gt;&lt;s&gt;" &amp; SUBSTITUTE(M309," / ","&lt;/s&gt;&lt;s&gt;") &amp; "&lt;/s&gt;&lt;/t&gt;","(//s[contains(.,'DDR')])[1]"),"")</f>
        <v/>
      </c>
      <c r="P309" s="32" t="str">
        <f t="shared" si="15"/>
        <v>GB</v>
      </c>
      <c r="Q309" s="32"/>
      <c r="R309" s="32"/>
      <c r="S309" s="53" t="e">
        <f>_xlfn.LET(_xlpm.Result,INDEX(Input!$D$2:$AC$500,
       MATCH(B309, Input!$J$2:$J$500, 0),
       MATCH("Capacity", Input!$D$1:$AC$1, 0)),IF(_xlpm.Result="","",_xlpm.Result))</f>
        <v>#N/A</v>
      </c>
      <c r="T309" s="53" t="e" cm="1">
        <f t="array" ref="T309">_xlfn.TEXTSPLIT(S309," / ", ,TRUE,0,)</f>
        <v>#N/A</v>
      </c>
      <c r="U309" s="53"/>
      <c r="V309" s="53" t="str" cm="1">
        <f t="array" ref="V309">IFERROR(_xlfn.IFS(
T309="","",
--T309&lt;55,"Battery Defect",
--T309&lt;=69,"Battery D",
--T309&lt;=80,"Battery C",
--T309&gt;80,""
),"")</f>
        <v/>
      </c>
      <c r="W309" s="53" t="str" cm="1">
        <f t="array" ref="W309">IFERROR(_xlfn.IFS(
U309="","",
--U309&lt;55,"Battery Defect",
--U309&lt;=69,"Battery D",
--U309&lt;=80,"Battery C",
--U309&gt;80,""
),"")</f>
        <v/>
      </c>
      <c r="X309" s="53"/>
      <c r="Y309" s="53"/>
      <c r="Z309" s="53"/>
      <c r="AA309" s="53"/>
      <c r="AB309" s="53"/>
      <c r="AC309" s="53"/>
      <c r="AD309" s="53"/>
      <c r="AE309" s="53"/>
      <c r="AF309" s="32" t="str">
        <f t="shared" si="14"/>
        <v/>
      </c>
      <c r="AG309" s="32"/>
      <c r="AH309" s="32"/>
      <c r="AI309" s="32"/>
      <c r="AJ309" s="32"/>
      <c r="AK309" s="32"/>
      <c r="AL309" s="32"/>
      <c r="AM309" s="32"/>
      <c r="AN309" s="32"/>
    </row>
    <row r="310" spans="1:40">
      <c r="A310" s="32" t="str">
        <f>_xlfn.TEXTJOIN("",TRUE,_xlfn.XLOOKUP(B310,Input!J:J,Input!G:G,"",0,1),_xlfn.XLOOKUP(B310,Input!J:J,Input!H:H,"",0,1))</f>
        <v/>
      </c>
      <c r="B310" s="32"/>
      <c r="C310" s="53">
        <f>_xlfn.XLOOKUP(B310,Input!J:J,Input!F:F)</f>
        <v>0</v>
      </c>
      <c r="D310" s="32">
        <f>_xlfn.XLOOKUP(C310,Models!H:H,Models!G:G,C310)</f>
        <v>0</v>
      </c>
      <c r="E310" s="32"/>
      <c r="F310" s="32" t="str">
        <f>_xlfn.XLOOKUP(H310,Models!B:B,Models!F:F,"")</f>
        <v/>
      </c>
      <c r="G310" s="32">
        <f>_xlfn.XLOOKUP(B310,Input!J:J,Input!E:E)</f>
        <v>0</v>
      </c>
      <c r="H310" s="32">
        <f>IF(G310="LENOVO",_xlfn.XLOOKUP(B310,Input!J:J,Input!K:K),_xlfn.XLOOKUP(B310,Input!J:J,Input!L:L))</f>
        <v>0</v>
      </c>
      <c r="I310" s="32"/>
      <c r="J310" s="32"/>
      <c r="K310" s="32"/>
      <c r="L310" s="53"/>
      <c r="M310" s="53"/>
      <c r="N310" s="53"/>
      <c r="O310" s="53" t="str" cm="1">
        <f t="array" ref="O310">IFERROR(_xlfn.FILTERXML("&lt;t&gt;&lt;s&gt;" &amp; SUBSTITUTE(M310," / ","&lt;/s&gt;&lt;s&gt;") &amp; "&lt;/s&gt;&lt;/t&gt;","(//s[contains(.,'DDR')])[1]"),"")</f>
        <v/>
      </c>
      <c r="P310" s="32" t="str">
        <f t="shared" si="15"/>
        <v>GB</v>
      </c>
      <c r="Q310" s="32"/>
      <c r="R310" s="32"/>
      <c r="S310" s="53" t="e">
        <f>_xlfn.LET(_xlpm.Result,INDEX(Input!$D$2:$AC$500,
       MATCH(B310, Input!$J$2:$J$500, 0),
       MATCH("Capacity", Input!$D$1:$AC$1, 0)),IF(_xlpm.Result="","",_xlpm.Result))</f>
        <v>#N/A</v>
      </c>
      <c r="T310" s="53" t="e" cm="1">
        <f t="array" ref="T310">_xlfn.TEXTSPLIT(S310," / ", ,TRUE,0,)</f>
        <v>#N/A</v>
      </c>
      <c r="U310" s="53"/>
      <c r="V310" s="53" t="str" cm="1">
        <f t="array" ref="V310">IFERROR(_xlfn.IFS(
T310="","",
--T310&lt;55,"Battery Defect",
--T310&lt;=69,"Battery D",
--T310&lt;=80,"Battery C",
--T310&gt;80,""
),"")</f>
        <v/>
      </c>
      <c r="W310" s="53" t="str" cm="1">
        <f t="array" ref="W310">IFERROR(_xlfn.IFS(
U310="","",
--U310&lt;55,"Battery Defect",
--U310&lt;=69,"Battery D",
--U310&lt;=80,"Battery C",
--U310&gt;80,""
),"")</f>
        <v/>
      </c>
      <c r="X310" s="53"/>
      <c r="Y310" s="53"/>
      <c r="Z310" s="53"/>
      <c r="AA310" s="53"/>
      <c r="AB310" s="53"/>
      <c r="AC310" s="53"/>
      <c r="AD310" s="53"/>
      <c r="AE310" s="53"/>
      <c r="AF310" s="32" t="str">
        <f t="shared" si="14"/>
        <v/>
      </c>
      <c r="AG310" s="32"/>
      <c r="AH310" s="32"/>
      <c r="AI310" s="32"/>
      <c r="AJ310" s="32"/>
      <c r="AK310" s="32"/>
      <c r="AL310" s="32"/>
      <c r="AM310" s="32"/>
      <c r="AN310" s="32"/>
    </row>
    <row r="311" spans="1:40">
      <c r="A311" s="32" t="str">
        <f>_xlfn.TEXTJOIN("",TRUE,_xlfn.XLOOKUP(B311,Input!J:J,Input!G:G,"",0,1),_xlfn.XLOOKUP(B311,Input!J:J,Input!H:H,"",0,1))</f>
        <v/>
      </c>
      <c r="B311" s="32"/>
      <c r="C311" s="53">
        <f>_xlfn.XLOOKUP(B311,Input!J:J,Input!F:F)</f>
        <v>0</v>
      </c>
      <c r="D311" s="32">
        <f>_xlfn.XLOOKUP(C311,Models!H:H,Models!G:G,C311)</f>
        <v>0</v>
      </c>
      <c r="E311" s="32"/>
      <c r="F311" s="32" t="str">
        <f>_xlfn.XLOOKUP(H311,Models!B:B,Models!F:F,"")</f>
        <v/>
      </c>
      <c r="G311" s="32">
        <f>_xlfn.XLOOKUP(B311,Input!J:J,Input!E:E)</f>
        <v>0</v>
      </c>
      <c r="H311" s="32">
        <f>IF(G311="LENOVO",_xlfn.XLOOKUP(B311,Input!J:J,Input!K:K),_xlfn.XLOOKUP(B311,Input!J:J,Input!L:L))</f>
        <v>0</v>
      </c>
      <c r="I311" s="32"/>
      <c r="J311" s="32"/>
      <c r="K311" s="32"/>
      <c r="L311" s="53"/>
      <c r="M311" s="53"/>
      <c r="N311" s="53"/>
      <c r="O311" s="53" t="str" cm="1">
        <f t="array" ref="O311">IFERROR(_xlfn.FILTERXML("&lt;t&gt;&lt;s&gt;" &amp; SUBSTITUTE(M311," / ","&lt;/s&gt;&lt;s&gt;") &amp; "&lt;/s&gt;&lt;/t&gt;","(//s[contains(.,'DDR')])[1]"),"")</f>
        <v/>
      </c>
      <c r="P311" s="32" t="str">
        <f t="shared" si="15"/>
        <v>GB</v>
      </c>
      <c r="Q311" s="32"/>
      <c r="R311" s="32"/>
      <c r="S311" s="53" t="e">
        <f>_xlfn.LET(_xlpm.Result,INDEX(Input!$D$2:$AC$500,
       MATCH(B311, Input!$J$2:$J$500, 0),
       MATCH("Capacity", Input!$D$1:$AC$1, 0)),IF(_xlpm.Result="","",_xlpm.Result))</f>
        <v>#N/A</v>
      </c>
      <c r="T311" s="53" t="e" cm="1">
        <f t="array" ref="T311">_xlfn.TEXTSPLIT(S311," / ", ,TRUE,0,)</f>
        <v>#N/A</v>
      </c>
      <c r="U311" s="53"/>
      <c r="V311" s="53" t="str" cm="1">
        <f t="array" ref="V311">IFERROR(_xlfn.IFS(
T311="","",
--T311&lt;55,"Battery Defect",
--T311&lt;=69,"Battery D",
--T311&lt;=80,"Battery C",
--T311&gt;80,""
),"")</f>
        <v/>
      </c>
      <c r="W311" s="53" t="str" cm="1">
        <f t="array" ref="W311">IFERROR(_xlfn.IFS(
U311="","",
--U311&lt;55,"Battery Defect",
--U311&lt;=69,"Battery D",
--U311&lt;=80,"Battery C",
--U311&gt;80,""
),"")</f>
        <v/>
      </c>
      <c r="X311" s="53"/>
      <c r="Y311" s="53"/>
      <c r="Z311" s="53"/>
      <c r="AA311" s="53"/>
      <c r="AB311" s="53"/>
      <c r="AC311" s="53"/>
      <c r="AD311" s="53"/>
      <c r="AE311" s="53"/>
      <c r="AF311" s="32" t="str">
        <f t="shared" si="14"/>
        <v/>
      </c>
      <c r="AG311" s="32"/>
      <c r="AH311" s="32"/>
      <c r="AI311" s="32"/>
      <c r="AJ311" s="32"/>
      <c r="AK311" s="32"/>
      <c r="AL311" s="32"/>
      <c r="AM311" s="32"/>
      <c r="AN311" s="32"/>
    </row>
    <row r="312" spans="1:40">
      <c r="A312" s="32" t="str">
        <f>_xlfn.TEXTJOIN("",TRUE,_xlfn.XLOOKUP(B312,Input!J:J,Input!G:G,"",0,1),_xlfn.XLOOKUP(B312,Input!J:J,Input!H:H,"",0,1))</f>
        <v/>
      </c>
      <c r="B312" s="32"/>
      <c r="C312" s="53">
        <f>_xlfn.XLOOKUP(B312,Input!J:J,Input!F:F)</f>
        <v>0</v>
      </c>
      <c r="D312" s="32">
        <f>_xlfn.XLOOKUP(C312,Models!H:H,Models!G:G,C312)</f>
        <v>0</v>
      </c>
      <c r="E312" s="32"/>
      <c r="F312" s="32" t="str">
        <f>_xlfn.XLOOKUP(H312,Models!B:B,Models!F:F,"")</f>
        <v/>
      </c>
      <c r="G312" s="32">
        <f>_xlfn.XLOOKUP(B312,Input!J:J,Input!E:E)</f>
        <v>0</v>
      </c>
      <c r="H312" s="32">
        <f>IF(G312="LENOVO",_xlfn.XLOOKUP(B312,Input!J:J,Input!K:K),_xlfn.XLOOKUP(B312,Input!J:J,Input!L:L))</f>
        <v>0</v>
      </c>
      <c r="I312" s="32"/>
      <c r="J312" s="32"/>
      <c r="K312" s="32"/>
      <c r="L312" s="53"/>
      <c r="M312" s="53"/>
      <c r="N312" s="53"/>
      <c r="O312" s="53" t="str" cm="1">
        <f t="array" ref="O312">IFERROR(_xlfn.FILTERXML("&lt;t&gt;&lt;s&gt;" &amp; SUBSTITUTE(M312," / ","&lt;/s&gt;&lt;s&gt;") &amp; "&lt;/s&gt;&lt;/t&gt;","(//s[contains(.,'DDR')])[1]"),"")</f>
        <v/>
      </c>
      <c r="P312" s="32" t="str">
        <f t="shared" si="15"/>
        <v>GB</v>
      </c>
      <c r="Q312" s="32"/>
      <c r="R312" s="32"/>
      <c r="S312" s="53" t="e">
        <f>_xlfn.LET(_xlpm.Result,INDEX(Input!$D$2:$AC$500,
       MATCH(B312, Input!$J$2:$J$500, 0),
       MATCH("Capacity", Input!$D$1:$AC$1, 0)),IF(_xlpm.Result="","",_xlpm.Result))</f>
        <v>#N/A</v>
      </c>
      <c r="T312" s="53" t="e" cm="1">
        <f t="array" ref="T312">_xlfn.TEXTSPLIT(S312," / ", ,TRUE,0,)</f>
        <v>#N/A</v>
      </c>
      <c r="U312" s="53"/>
      <c r="V312" s="53" t="str" cm="1">
        <f t="array" ref="V312">IFERROR(_xlfn.IFS(
T312="","",
--T312&lt;55,"Battery Defect",
--T312&lt;=69,"Battery D",
--T312&lt;=80,"Battery C",
--T312&gt;80,""
),"")</f>
        <v/>
      </c>
      <c r="W312" s="53" t="str" cm="1">
        <f t="array" ref="W312">IFERROR(_xlfn.IFS(
U312="","",
--U312&lt;55,"Battery Defect",
--U312&lt;=69,"Battery D",
--U312&lt;=80,"Battery C",
--U312&gt;80,""
),"")</f>
        <v/>
      </c>
      <c r="X312" s="53"/>
      <c r="Y312" s="53"/>
      <c r="Z312" s="53"/>
      <c r="AA312" s="53"/>
      <c r="AB312" s="53"/>
      <c r="AC312" s="53"/>
      <c r="AD312" s="53"/>
      <c r="AE312" s="53"/>
      <c r="AF312" s="32" t="str">
        <f t="shared" si="14"/>
        <v/>
      </c>
      <c r="AG312" s="32"/>
      <c r="AH312" s="32"/>
      <c r="AI312" s="32"/>
      <c r="AJ312" s="32"/>
      <c r="AK312" s="32"/>
      <c r="AL312" s="32"/>
      <c r="AM312" s="32"/>
      <c r="AN312" s="32"/>
    </row>
    <row r="313" spans="1:40">
      <c r="A313" s="32" t="str">
        <f>_xlfn.TEXTJOIN("",TRUE,_xlfn.XLOOKUP(B313,Input!J:J,Input!G:G,"",0,1),_xlfn.XLOOKUP(B313,Input!J:J,Input!H:H,"",0,1))</f>
        <v/>
      </c>
      <c r="B313" s="32"/>
      <c r="C313" s="53">
        <f>_xlfn.XLOOKUP(B313,Input!J:J,Input!F:F)</f>
        <v>0</v>
      </c>
      <c r="D313" s="32">
        <f>_xlfn.XLOOKUP(C313,Models!H:H,Models!G:G,C313)</f>
        <v>0</v>
      </c>
      <c r="E313" s="32"/>
      <c r="F313" s="32" t="str">
        <f>_xlfn.XLOOKUP(H313,Models!B:B,Models!F:F,"")</f>
        <v/>
      </c>
      <c r="G313" s="32">
        <f>_xlfn.XLOOKUP(B313,Input!J:J,Input!E:E)</f>
        <v>0</v>
      </c>
      <c r="H313" s="32">
        <f>IF(G313="LENOVO",_xlfn.XLOOKUP(B313,Input!J:J,Input!K:K),_xlfn.XLOOKUP(B313,Input!J:J,Input!L:L))</f>
        <v>0</v>
      </c>
      <c r="I313" s="32"/>
      <c r="J313" s="32"/>
      <c r="K313" s="32"/>
      <c r="L313" s="53"/>
      <c r="M313" s="53"/>
      <c r="N313" s="53"/>
      <c r="O313" s="53" t="str" cm="1">
        <f t="array" ref="O313">IFERROR(_xlfn.FILTERXML("&lt;t&gt;&lt;s&gt;" &amp; SUBSTITUTE(M313," / ","&lt;/s&gt;&lt;s&gt;") &amp; "&lt;/s&gt;&lt;/t&gt;","(//s[contains(.,'DDR')])[1]"),"")</f>
        <v/>
      </c>
      <c r="P313" s="32" t="str">
        <f t="shared" si="15"/>
        <v>GB</v>
      </c>
      <c r="Q313" s="32"/>
      <c r="R313" s="32"/>
      <c r="S313" s="53" t="e">
        <f>_xlfn.LET(_xlpm.Result,INDEX(Input!$D$2:$AC$500,
       MATCH(B313, Input!$J$2:$J$500, 0),
       MATCH("Capacity", Input!$D$1:$AC$1, 0)),IF(_xlpm.Result="","",_xlpm.Result))</f>
        <v>#N/A</v>
      </c>
      <c r="T313" s="53" t="e" cm="1">
        <f t="array" ref="T313">_xlfn.TEXTSPLIT(S313," / ", ,TRUE,0,)</f>
        <v>#N/A</v>
      </c>
      <c r="U313" s="53"/>
      <c r="V313" s="53" t="str" cm="1">
        <f t="array" ref="V313">IFERROR(_xlfn.IFS(
T313="","",
--T313&lt;55,"Battery Defect",
--T313&lt;=69,"Battery D",
--T313&lt;=80,"Battery C",
--T313&gt;80,""
),"")</f>
        <v/>
      </c>
      <c r="W313" s="53" t="str" cm="1">
        <f t="array" ref="W313">IFERROR(_xlfn.IFS(
U313="","",
--U313&lt;55,"Battery Defect",
--U313&lt;=69,"Battery D",
--U313&lt;=80,"Battery C",
--U313&gt;80,""
),"")</f>
        <v/>
      </c>
      <c r="X313" s="53"/>
      <c r="Y313" s="53"/>
      <c r="Z313" s="53"/>
      <c r="AA313" s="53"/>
      <c r="AB313" s="53"/>
      <c r="AC313" s="53"/>
      <c r="AD313" s="53"/>
      <c r="AE313" s="53"/>
      <c r="AF313" s="32" t="str">
        <f t="shared" si="14"/>
        <v/>
      </c>
      <c r="AG313" s="32"/>
      <c r="AH313" s="32"/>
      <c r="AI313" s="32"/>
      <c r="AJ313" s="32"/>
      <c r="AK313" s="32"/>
      <c r="AL313" s="32"/>
      <c r="AM313" s="32"/>
      <c r="AN313" s="32"/>
    </row>
    <row r="314" spans="1:40">
      <c r="A314" s="32" t="str">
        <f>_xlfn.TEXTJOIN("",TRUE,_xlfn.XLOOKUP(B314,Input!J:J,Input!G:G,"",0,1),_xlfn.XLOOKUP(B314,Input!J:J,Input!H:H,"",0,1))</f>
        <v/>
      </c>
      <c r="B314" s="32"/>
      <c r="C314" s="53">
        <f>_xlfn.XLOOKUP(B314,Input!J:J,Input!F:F)</f>
        <v>0</v>
      </c>
      <c r="D314" s="32">
        <f>_xlfn.XLOOKUP(C314,Models!H:H,Models!G:G,C314)</f>
        <v>0</v>
      </c>
      <c r="E314" s="32"/>
      <c r="F314" s="32" t="str">
        <f>_xlfn.XLOOKUP(H314,Models!B:B,Models!F:F,"")</f>
        <v/>
      </c>
      <c r="G314" s="32">
        <f>_xlfn.XLOOKUP(B314,Input!J:J,Input!E:E)</f>
        <v>0</v>
      </c>
      <c r="H314" s="32">
        <f>IF(G314="LENOVO",_xlfn.XLOOKUP(B314,Input!J:J,Input!K:K),_xlfn.XLOOKUP(B314,Input!J:J,Input!L:L))</f>
        <v>0</v>
      </c>
      <c r="I314" s="32"/>
      <c r="J314" s="32"/>
      <c r="K314" s="32"/>
      <c r="L314" s="53"/>
      <c r="M314" s="53"/>
      <c r="N314" s="53"/>
      <c r="O314" s="53" t="str" cm="1">
        <f t="array" ref="O314">IFERROR(_xlfn.FILTERXML("&lt;t&gt;&lt;s&gt;" &amp; SUBSTITUTE(M314," / ","&lt;/s&gt;&lt;s&gt;") &amp; "&lt;/s&gt;&lt;/t&gt;","(//s[contains(.,'DDR')])[1]"),"")</f>
        <v/>
      </c>
      <c r="P314" s="32" t="str">
        <f t="shared" si="15"/>
        <v>GB</v>
      </c>
      <c r="Q314" s="32"/>
      <c r="R314" s="32"/>
      <c r="S314" s="53" t="e">
        <f>_xlfn.LET(_xlpm.Result,INDEX(Input!$D$2:$AC$500,
       MATCH(B314, Input!$J$2:$J$500, 0),
       MATCH("Capacity", Input!$D$1:$AC$1, 0)),IF(_xlpm.Result="","",_xlpm.Result))</f>
        <v>#N/A</v>
      </c>
      <c r="T314" s="53" t="e" cm="1">
        <f t="array" ref="T314">_xlfn.TEXTSPLIT(S314," / ", ,TRUE,0,)</f>
        <v>#N/A</v>
      </c>
      <c r="U314" s="53"/>
      <c r="V314" s="53" t="str" cm="1">
        <f t="array" ref="V314">IFERROR(_xlfn.IFS(
T314="","",
--T314&lt;55,"Battery Defect",
--T314&lt;=69,"Battery D",
--T314&lt;=80,"Battery C",
--T314&gt;80,""
),"")</f>
        <v/>
      </c>
      <c r="W314" s="53" t="str" cm="1">
        <f t="array" ref="W314">IFERROR(_xlfn.IFS(
U314="","",
--U314&lt;55,"Battery Defect",
--U314&lt;=69,"Battery D",
--U314&lt;=80,"Battery C",
--U314&gt;80,""
),"")</f>
        <v/>
      </c>
      <c r="X314" s="53"/>
      <c r="Y314" s="53"/>
      <c r="Z314" s="53"/>
      <c r="AA314" s="53"/>
      <c r="AB314" s="53"/>
      <c r="AC314" s="53"/>
      <c r="AD314" s="53"/>
      <c r="AE314" s="53"/>
      <c r="AF314" s="32" t="str">
        <f t="shared" si="14"/>
        <v/>
      </c>
      <c r="AG314" s="32"/>
      <c r="AH314" s="32"/>
      <c r="AI314" s="32"/>
      <c r="AJ314" s="32"/>
      <c r="AK314" s="32"/>
      <c r="AL314" s="32"/>
      <c r="AM314" s="32"/>
      <c r="AN314" s="32"/>
    </row>
    <row r="315" spans="1:40">
      <c r="A315" s="32" t="str">
        <f>_xlfn.TEXTJOIN("",TRUE,_xlfn.XLOOKUP(B315,Input!J:J,Input!G:G,"",0,1),_xlfn.XLOOKUP(B315,Input!J:J,Input!H:H,"",0,1))</f>
        <v/>
      </c>
      <c r="B315" s="32"/>
      <c r="C315" s="53">
        <f>_xlfn.XLOOKUP(B315,Input!J:J,Input!F:F)</f>
        <v>0</v>
      </c>
      <c r="D315" s="32">
        <f>_xlfn.XLOOKUP(C315,Models!H:H,Models!G:G,C315)</f>
        <v>0</v>
      </c>
      <c r="E315" s="32"/>
      <c r="F315" s="32" t="str">
        <f>_xlfn.XLOOKUP(H315,Models!B:B,Models!F:F,"")</f>
        <v/>
      </c>
      <c r="G315" s="32">
        <f>_xlfn.XLOOKUP(B315,Input!J:J,Input!E:E)</f>
        <v>0</v>
      </c>
      <c r="H315" s="32">
        <f>IF(G315="LENOVO",_xlfn.XLOOKUP(B315,Input!J:J,Input!K:K),_xlfn.XLOOKUP(B315,Input!J:J,Input!L:L))</f>
        <v>0</v>
      </c>
      <c r="I315" s="32"/>
      <c r="J315" s="32"/>
      <c r="K315" s="32"/>
      <c r="L315" s="53"/>
      <c r="M315" s="53"/>
      <c r="N315" s="53"/>
      <c r="O315" s="53" t="str" cm="1">
        <f t="array" ref="O315">IFERROR(_xlfn.FILTERXML("&lt;t&gt;&lt;s&gt;" &amp; SUBSTITUTE(M315," / ","&lt;/s&gt;&lt;s&gt;") &amp; "&lt;/s&gt;&lt;/t&gt;","(//s[contains(.,'DDR')])[1]"),"")</f>
        <v/>
      </c>
      <c r="P315" s="32" t="str">
        <f t="shared" si="15"/>
        <v>GB</v>
      </c>
      <c r="Q315" s="32"/>
      <c r="R315" s="32"/>
      <c r="S315" s="53" t="e">
        <f>_xlfn.LET(_xlpm.Result,INDEX(Input!$D$2:$AC$500,
       MATCH(B315, Input!$J$2:$J$500, 0),
       MATCH("Capacity", Input!$D$1:$AC$1, 0)),IF(_xlpm.Result="","",_xlpm.Result))</f>
        <v>#N/A</v>
      </c>
      <c r="T315" s="53" t="e" cm="1">
        <f t="array" ref="T315">_xlfn.TEXTSPLIT(S315," / ", ,TRUE,0,)</f>
        <v>#N/A</v>
      </c>
      <c r="U315" s="53"/>
      <c r="V315" s="53" t="str" cm="1">
        <f t="array" ref="V315">IFERROR(_xlfn.IFS(
T315="","",
--T315&lt;55,"Battery Defect",
--T315&lt;=69,"Battery D",
--T315&lt;=80,"Battery C",
--T315&gt;80,""
),"")</f>
        <v/>
      </c>
      <c r="W315" s="53" t="str" cm="1">
        <f t="array" ref="W315">IFERROR(_xlfn.IFS(
U315="","",
--U315&lt;55,"Battery Defect",
--U315&lt;=69,"Battery D",
--U315&lt;=80,"Battery C",
--U315&gt;80,""
),"")</f>
        <v/>
      </c>
      <c r="X315" s="53"/>
      <c r="Y315" s="53"/>
      <c r="Z315" s="53"/>
      <c r="AA315" s="53"/>
      <c r="AB315" s="53"/>
      <c r="AC315" s="53"/>
      <c r="AD315" s="53"/>
      <c r="AE315" s="53"/>
      <c r="AF315" s="32" t="str">
        <f t="shared" si="14"/>
        <v/>
      </c>
      <c r="AG315" s="32"/>
      <c r="AH315" s="32"/>
      <c r="AI315" s="32"/>
      <c r="AJ315" s="32"/>
      <c r="AK315" s="32"/>
      <c r="AL315" s="32"/>
      <c r="AM315" s="32"/>
      <c r="AN315" s="32"/>
    </row>
    <row r="316" spans="1:40">
      <c r="A316" s="32" t="str">
        <f>_xlfn.TEXTJOIN("",TRUE,_xlfn.XLOOKUP(B316,Input!J:J,Input!G:G,"",0,1),_xlfn.XLOOKUP(B316,Input!J:J,Input!H:H,"",0,1))</f>
        <v/>
      </c>
      <c r="B316" s="32"/>
      <c r="C316" s="53">
        <f>_xlfn.XLOOKUP(B316,Input!J:J,Input!F:F)</f>
        <v>0</v>
      </c>
      <c r="D316" s="32">
        <f>_xlfn.XLOOKUP(C316,Models!H:H,Models!G:G,C316)</f>
        <v>0</v>
      </c>
      <c r="E316" s="32"/>
      <c r="F316" s="32" t="str">
        <f>_xlfn.XLOOKUP(H316,Models!B:B,Models!F:F,"")</f>
        <v/>
      </c>
      <c r="G316" s="32">
        <f>_xlfn.XLOOKUP(B316,Input!J:J,Input!E:E)</f>
        <v>0</v>
      </c>
      <c r="H316" s="32">
        <f>IF(G316="LENOVO",_xlfn.XLOOKUP(B316,Input!J:J,Input!K:K),_xlfn.XLOOKUP(B316,Input!J:J,Input!L:L))</f>
        <v>0</v>
      </c>
      <c r="I316" s="32"/>
      <c r="J316" s="32"/>
      <c r="K316" s="32"/>
      <c r="L316" s="53"/>
      <c r="M316" s="53"/>
      <c r="N316" s="53"/>
      <c r="O316" s="53" t="str" cm="1">
        <f t="array" ref="O316">IFERROR(_xlfn.FILTERXML("&lt;t&gt;&lt;s&gt;" &amp; SUBSTITUTE(M316," / ","&lt;/s&gt;&lt;s&gt;") &amp; "&lt;/s&gt;&lt;/t&gt;","(//s[contains(.,'DDR')])[1]"),"")</f>
        <v/>
      </c>
      <c r="P316" s="32" t="str">
        <f t="shared" si="15"/>
        <v>GB</v>
      </c>
      <c r="Q316" s="32"/>
      <c r="R316" s="32"/>
      <c r="S316" s="53" t="e">
        <f>_xlfn.LET(_xlpm.Result,INDEX(Input!$D$2:$AC$500,
       MATCH(B316, Input!$J$2:$J$500, 0),
       MATCH("Capacity", Input!$D$1:$AC$1, 0)),IF(_xlpm.Result="","",_xlpm.Result))</f>
        <v>#N/A</v>
      </c>
      <c r="T316" s="53" t="e" cm="1">
        <f t="array" ref="T316">_xlfn.TEXTSPLIT(S316," / ", ,TRUE,0,)</f>
        <v>#N/A</v>
      </c>
      <c r="U316" s="53"/>
      <c r="V316" s="53" t="str" cm="1">
        <f t="array" ref="V316">IFERROR(_xlfn.IFS(
T316="","",
--T316&lt;55,"Battery Defect",
--T316&lt;=69,"Battery D",
--T316&lt;=80,"Battery C",
--T316&gt;80,""
),"")</f>
        <v/>
      </c>
      <c r="W316" s="53" t="str" cm="1">
        <f t="array" ref="W316">IFERROR(_xlfn.IFS(
U316="","",
--U316&lt;55,"Battery Defect",
--U316&lt;=69,"Battery D",
--U316&lt;=80,"Battery C",
--U316&gt;80,""
),"")</f>
        <v/>
      </c>
      <c r="X316" s="53"/>
      <c r="Y316" s="53"/>
      <c r="Z316" s="53"/>
      <c r="AA316" s="53"/>
      <c r="AB316" s="53"/>
      <c r="AC316" s="53"/>
      <c r="AD316" s="53"/>
      <c r="AE316" s="53"/>
      <c r="AF316" s="32" t="str">
        <f t="shared" si="14"/>
        <v/>
      </c>
      <c r="AG316" s="32"/>
      <c r="AH316" s="32"/>
      <c r="AI316" s="32"/>
      <c r="AJ316" s="32"/>
      <c r="AK316" s="32"/>
      <c r="AL316" s="32"/>
      <c r="AM316" s="32"/>
      <c r="AN316" s="32"/>
    </row>
    <row r="317" spans="1:40">
      <c r="A317" s="32" t="str">
        <f>_xlfn.TEXTJOIN("",TRUE,_xlfn.XLOOKUP(B317,Input!J:J,Input!G:G,"",0,1),_xlfn.XLOOKUP(B317,Input!J:J,Input!H:H,"",0,1))</f>
        <v/>
      </c>
      <c r="B317" s="32"/>
      <c r="C317" s="53">
        <f>_xlfn.XLOOKUP(B317,Input!J:J,Input!F:F)</f>
        <v>0</v>
      </c>
      <c r="D317" s="32">
        <f>_xlfn.XLOOKUP(C317,Models!H:H,Models!G:G,C317)</f>
        <v>0</v>
      </c>
      <c r="E317" s="32"/>
      <c r="F317" s="32" t="str">
        <f>_xlfn.XLOOKUP(H317,Models!B:B,Models!F:F,"")</f>
        <v/>
      </c>
      <c r="G317" s="32">
        <f>_xlfn.XLOOKUP(B317,Input!J:J,Input!E:E)</f>
        <v>0</v>
      </c>
      <c r="H317" s="32">
        <f>IF(G317="LENOVO",_xlfn.XLOOKUP(B317,Input!J:J,Input!K:K),_xlfn.XLOOKUP(B317,Input!J:J,Input!L:L))</f>
        <v>0</v>
      </c>
      <c r="I317" s="32"/>
      <c r="J317" s="32"/>
      <c r="K317" s="32"/>
      <c r="L317" s="53"/>
      <c r="M317" s="53"/>
      <c r="N317" s="53"/>
      <c r="O317" s="53" t="str" cm="1">
        <f t="array" ref="O317">IFERROR(_xlfn.FILTERXML("&lt;t&gt;&lt;s&gt;" &amp; SUBSTITUTE(M317," / ","&lt;/s&gt;&lt;s&gt;") &amp; "&lt;/s&gt;&lt;/t&gt;","(//s[contains(.,'DDR')])[1]"),"")</f>
        <v/>
      </c>
      <c r="P317" s="32" t="str">
        <f t="shared" si="15"/>
        <v>GB</v>
      </c>
      <c r="Q317" s="32"/>
      <c r="R317" s="32"/>
      <c r="S317" s="53" t="e">
        <f>_xlfn.LET(_xlpm.Result,INDEX(Input!$D$2:$AC$500,
       MATCH(B317, Input!$J$2:$J$500, 0),
       MATCH("Capacity", Input!$D$1:$AC$1, 0)),IF(_xlpm.Result="","",_xlpm.Result))</f>
        <v>#N/A</v>
      </c>
      <c r="T317" s="53" t="e" cm="1">
        <f t="array" ref="T317">_xlfn.TEXTSPLIT(S317," / ", ,TRUE,0,)</f>
        <v>#N/A</v>
      </c>
      <c r="U317" s="53"/>
      <c r="V317" s="53" t="str" cm="1">
        <f t="array" ref="V317">IFERROR(_xlfn.IFS(
T317="","",
--T317&lt;55,"Battery Defect",
--T317&lt;=69,"Battery D",
--T317&lt;=80,"Battery C",
--T317&gt;80,""
),"")</f>
        <v/>
      </c>
      <c r="W317" s="53" t="str" cm="1">
        <f t="array" ref="W317">IFERROR(_xlfn.IFS(
U317="","",
--U317&lt;55,"Battery Defect",
--U317&lt;=69,"Battery D",
--U317&lt;=80,"Battery C",
--U317&gt;80,""
),"")</f>
        <v/>
      </c>
      <c r="X317" s="53"/>
      <c r="Y317" s="53"/>
      <c r="Z317" s="53"/>
      <c r="AA317" s="53"/>
      <c r="AB317" s="53"/>
      <c r="AC317" s="53"/>
      <c r="AD317" s="53"/>
      <c r="AE317" s="53"/>
      <c r="AF317" s="32" t="str">
        <f t="shared" si="14"/>
        <v/>
      </c>
      <c r="AG317" s="32"/>
      <c r="AH317" s="32"/>
      <c r="AI317" s="32"/>
      <c r="AJ317" s="32"/>
      <c r="AK317" s="32"/>
      <c r="AL317" s="32"/>
      <c r="AM317" s="32"/>
      <c r="AN317" s="32"/>
    </row>
    <row r="318" spans="1:40">
      <c r="A318" s="32" t="str">
        <f>_xlfn.TEXTJOIN("",TRUE,_xlfn.XLOOKUP(B318,Input!J:J,Input!G:G,"",0,1),_xlfn.XLOOKUP(B318,Input!J:J,Input!H:H,"",0,1))</f>
        <v/>
      </c>
      <c r="B318" s="32"/>
      <c r="C318" s="53">
        <f>_xlfn.XLOOKUP(B318,Input!J:J,Input!F:F)</f>
        <v>0</v>
      </c>
      <c r="D318" s="32">
        <f>_xlfn.XLOOKUP(C318,Models!H:H,Models!G:G,C318)</f>
        <v>0</v>
      </c>
      <c r="E318" s="32"/>
      <c r="F318" s="32" t="str">
        <f>_xlfn.XLOOKUP(H318,Models!B:B,Models!F:F,"")</f>
        <v/>
      </c>
      <c r="G318" s="32">
        <f>_xlfn.XLOOKUP(B318,Input!J:J,Input!E:E)</f>
        <v>0</v>
      </c>
      <c r="H318" s="32">
        <f>IF(G318="LENOVO",_xlfn.XLOOKUP(B318,Input!J:J,Input!K:K),_xlfn.XLOOKUP(B318,Input!J:J,Input!L:L))</f>
        <v>0</v>
      </c>
      <c r="I318" s="32"/>
      <c r="J318" s="32"/>
      <c r="K318" s="32"/>
      <c r="L318" s="53"/>
      <c r="M318" s="53"/>
      <c r="N318" s="53"/>
      <c r="O318" s="53" t="str" cm="1">
        <f t="array" ref="O318">IFERROR(_xlfn.FILTERXML("&lt;t&gt;&lt;s&gt;" &amp; SUBSTITUTE(M318," / ","&lt;/s&gt;&lt;s&gt;") &amp; "&lt;/s&gt;&lt;/t&gt;","(//s[contains(.,'DDR')])[1]"),"")</f>
        <v/>
      </c>
      <c r="P318" s="32" t="str">
        <f t="shared" si="15"/>
        <v>GB</v>
      </c>
      <c r="Q318" s="32"/>
      <c r="R318" s="32"/>
      <c r="S318" s="53" t="e">
        <f>_xlfn.LET(_xlpm.Result,INDEX(Input!$D$2:$AC$500,
       MATCH(B318, Input!$J$2:$J$500, 0),
       MATCH("Capacity", Input!$D$1:$AC$1, 0)),IF(_xlpm.Result="","",_xlpm.Result))</f>
        <v>#N/A</v>
      </c>
      <c r="T318" s="53" t="e" cm="1">
        <f t="array" ref="T318">_xlfn.TEXTSPLIT(S318," / ", ,TRUE,0,)</f>
        <v>#N/A</v>
      </c>
      <c r="U318" s="53"/>
      <c r="V318" s="53" t="str" cm="1">
        <f t="array" ref="V318">IFERROR(_xlfn.IFS(
T318="","",
--T318&lt;55,"Battery Defect",
--T318&lt;=69,"Battery D",
--T318&lt;=80,"Battery C",
--T318&gt;80,""
),"")</f>
        <v/>
      </c>
      <c r="W318" s="53" t="str" cm="1">
        <f t="array" ref="W318">IFERROR(_xlfn.IFS(
U318="","",
--U318&lt;55,"Battery Defect",
--U318&lt;=69,"Battery D",
--U318&lt;=80,"Battery C",
--U318&gt;80,""
),"")</f>
        <v/>
      </c>
      <c r="X318" s="53"/>
      <c r="Y318" s="53"/>
      <c r="Z318" s="53"/>
      <c r="AA318" s="53"/>
      <c r="AB318" s="53"/>
      <c r="AC318" s="53"/>
      <c r="AD318" s="53"/>
      <c r="AE318" s="53"/>
      <c r="AF318" s="32" t="str">
        <f t="shared" si="14"/>
        <v/>
      </c>
      <c r="AG318" s="32"/>
      <c r="AH318" s="32"/>
      <c r="AI318" s="32"/>
      <c r="AJ318" s="32"/>
      <c r="AK318" s="32"/>
      <c r="AL318" s="32"/>
      <c r="AM318" s="32"/>
      <c r="AN318" s="32"/>
    </row>
    <row r="319" spans="1:40">
      <c r="A319" s="32" t="str">
        <f>_xlfn.TEXTJOIN("",TRUE,_xlfn.XLOOKUP(B319,Input!J:J,Input!G:G,"",0,1),_xlfn.XLOOKUP(B319,Input!J:J,Input!H:H,"",0,1))</f>
        <v/>
      </c>
      <c r="B319" s="32"/>
      <c r="C319" s="53">
        <f>_xlfn.XLOOKUP(B319,Input!J:J,Input!F:F)</f>
        <v>0</v>
      </c>
      <c r="D319" s="32">
        <f>_xlfn.XLOOKUP(C319,Models!H:H,Models!G:G,C319)</f>
        <v>0</v>
      </c>
      <c r="E319" s="32"/>
      <c r="F319" s="32" t="str">
        <f>_xlfn.XLOOKUP(H319,Models!B:B,Models!F:F,"")</f>
        <v/>
      </c>
      <c r="G319" s="32">
        <f>_xlfn.XLOOKUP(B319,Input!J:J,Input!E:E)</f>
        <v>0</v>
      </c>
      <c r="H319" s="32">
        <f>IF(G319="LENOVO",_xlfn.XLOOKUP(B319,Input!J:J,Input!K:K),_xlfn.XLOOKUP(B319,Input!J:J,Input!L:L))</f>
        <v>0</v>
      </c>
      <c r="I319" s="32"/>
      <c r="J319" s="32"/>
      <c r="K319" s="32"/>
      <c r="L319" s="53"/>
      <c r="M319" s="53"/>
      <c r="N319" s="53"/>
      <c r="O319" s="53" t="str" cm="1">
        <f t="array" ref="O319">IFERROR(_xlfn.FILTERXML("&lt;t&gt;&lt;s&gt;" &amp; SUBSTITUTE(M319," / ","&lt;/s&gt;&lt;s&gt;") &amp; "&lt;/s&gt;&lt;/t&gt;","(//s[contains(.,'DDR')])[1]"),"")</f>
        <v/>
      </c>
      <c r="P319" s="32" t="str">
        <f t="shared" si="15"/>
        <v>GB</v>
      </c>
      <c r="Q319" s="32"/>
      <c r="R319" s="32"/>
      <c r="S319" s="53" t="e">
        <f>_xlfn.LET(_xlpm.Result,INDEX(Input!$D$2:$AC$500,
       MATCH(B319, Input!$J$2:$J$500, 0),
       MATCH("Capacity", Input!$D$1:$AC$1, 0)),IF(_xlpm.Result="","",_xlpm.Result))</f>
        <v>#N/A</v>
      </c>
      <c r="T319" s="53" t="e" cm="1">
        <f t="array" ref="T319">_xlfn.TEXTSPLIT(S319," / ", ,TRUE,0,)</f>
        <v>#N/A</v>
      </c>
      <c r="U319" s="53"/>
      <c r="V319" s="53" t="str" cm="1">
        <f t="array" ref="V319">IFERROR(_xlfn.IFS(
T319="","",
--T319&lt;55,"Battery Defect",
--T319&lt;=69,"Battery D",
--T319&lt;=80,"Battery C",
--T319&gt;80,""
),"")</f>
        <v/>
      </c>
      <c r="W319" s="53" t="str" cm="1">
        <f t="array" ref="W319">IFERROR(_xlfn.IFS(
U319="","",
--U319&lt;55,"Battery Defect",
--U319&lt;=69,"Battery D",
--U319&lt;=80,"Battery C",
--U319&gt;80,""
),"")</f>
        <v/>
      </c>
      <c r="X319" s="53"/>
      <c r="Y319" s="53"/>
      <c r="Z319" s="53"/>
      <c r="AA319" s="53"/>
      <c r="AB319" s="53"/>
      <c r="AC319" s="53"/>
      <c r="AD319" s="53"/>
      <c r="AE319" s="53"/>
      <c r="AF319" s="32" t="str">
        <f t="shared" si="14"/>
        <v/>
      </c>
      <c r="AG319" s="32"/>
      <c r="AH319" s="32"/>
      <c r="AI319" s="32"/>
      <c r="AJ319" s="32"/>
      <c r="AK319" s="32"/>
      <c r="AL319" s="32"/>
      <c r="AM319" s="32"/>
      <c r="AN319" s="32"/>
    </row>
    <row r="320" spans="1:40">
      <c r="A320" s="32" t="str">
        <f>_xlfn.TEXTJOIN("",TRUE,_xlfn.XLOOKUP(B320,Input!J:J,Input!G:G,"",0,1),_xlfn.XLOOKUP(B320,Input!J:J,Input!H:H,"",0,1))</f>
        <v/>
      </c>
      <c r="B320" s="32"/>
      <c r="C320" s="53">
        <f>_xlfn.XLOOKUP(B320,Input!J:J,Input!F:F)</f>
        <v>0</v>
      </c>
      <c r="D320" s="32">
        <f>_xlfn.XLOOKUP(C320,Models!H:H,Models!G:G,C320)</f>
        <v>0</v>
      </c>
      <c r="E320" s="32"/>
      <c r="F320" s="32" t="str">
        <f>_xlfn.XLOOKUP(H320,Models!B:B,Models!F:F,"")</f>
        <v/>
      </c>
      <c r="G320" s="32">
        <f>_xlfn.XLOOKUP(B320,Input!J:J,Input!E:E)</f>
        <v>0</v>
      </c>
      <c r="H320" s="32">
        <f>IF(G320="LENOVO",_xlfn.XLOOKUP(B320,Input!J:J,Input!K:K),_xlfn.XLOOKUP(B320,Input!J:J,Input!L:L))</f>
        <v>0</v>
      </c>
      <c r="I320" s="32"/>
      <c r="J320" s="32"/>
      <c r="K320" s="32"/>
      <c r="L320" s="53"/>
      <c r="M320" s="53"/>
      <c r="N320" s="53"/>
      <c r="O320" s="53" t="str" cm="1">
        <f t="array" ref="O320">IFERROR(_xlfn.FILTERXML("&lt;t&gt;&lt;s&gt;" &amp; SUBSTITUTE(M320," / ","&lt;/s&gt;&lt;s&gt;") &amp; "&lt;/s&gt;&lt;/t&gt;","(//s[contains(.,'DDR')])[1]"),"")</f>
        <v/>
      </c>
      <c r="P320" s="32" t="str">
        <f t="shared" si="15"/>
        <v>GB</v>
      </c>
      <c r="Q320" s="32"/>
      <c r="R320" s="32"/>
      <c r="S320" s="53" t="e">
        <f>_xlfn.LET(_xlpm.Result,INDEX(Input!$D$2:$AC$500,
       MATCH(B320, Input!$J$2:$J$500, 0),
       MATCH("Capacity", Input!$D$1:$AC$1, 0)),IF(_xlpm.Result="","",_xlpm.Result))</f>
        <v>#N/A</v>
      </c>
      <c r="T320" s="53" t="e" cm="1">
        <f t="array" ref="T320">_xlfn.TEXTSPLIT(S320," / ", ,TRUE,0,)</f>
        <v>#N/A</v>
      </c>
      <c r="U320" s="53"/>
      <c r="V320" s="53" t="str" cm="1">
        <f t="array" ref="V320">IFERROR(_xlfn.IFS(
T320="","",
--T320&lt;55,"Battery Defect",
--T320&lt;=69,"Battery D",
--T320&lt;=80,"Battery C",
--T320&gt;80,""
),"")</f>
        <v/>
      </c>
      <c r="W320" s="53" t="str" cm="1">
        <f t="array" ref="W320">IFERROR(_xlfn.IFS(
U320="","",
--U320&lt;55,"Battery Defect",
--U320&lt;=69,"Battery D",
--U320&lt;=80,"Battery C",
--U320&gt;80,""
),"")</f>
        <v/>
      </c>
      <c r="X320" s="53"/>
      <c r="Y320" s="53"/>
      <c r="Z320" s="53"/>
      <c r="AA320" s="53"/>
      <c r="AB320" s="53"/>
      <c r="AC320" s="53"/>
      <c r="AD320" s="53"/>
      <c r="AE320" s="53"/>
      <c r="AF320" s="32" t="str">
        <f t="shared" si="14"/>
        <v/>
      </c>
      <c r="AG320" s="32"/>
      <c r="AH320" s="32"/>
      <c r="AI320" s="32"/>
      <c r="AJ320" s="32"/>
      <c r="AK320" s="32"/>
      <c r="AL320" s="32"/>
      <c r="AM320" s="32"/>
      <c r="AN320" s="32"/>
    </row>
    <row r="321" spans="1:40">
      <c r="A321" s="32" t="str">
        <f>_xlfn.TEXTJOIN("",TRUE,_xlfn.XLOOKUP(B321,Input!J:J,Input!G:G,"",0,1),_xlfn.XLOOKUP(B321,Input!J:J,Input!H:H,"",0,1))</f>
        <v/>
      </c>
      <c r="B321" s="32"/>
      <c r="C321" s="53">
        <f>_xlfn.XLOOKUP(B321,Input!J:J,Input!F:F)</f>
        <v>0</v>
      </c>
      <c r="D321" s="32">
        <f>_xlfn.XLOOKUP(C321,Models!H:H,Models!G:G,C321)</f>
        <v>0</v>
      </c>
      <c r="E321" s="32"/>
      <c r="F321" s="32" t="str">
        <f>_xlfn.XLOOKUP(H321,Models!B:B,Models!F:F,"")</f>
        <v/>
      </c>
      <c r="G321" s="32">
        <f>_xlfn.XLOOKUP(B321,Input!J:J,Input!E:E)</f>
        <v>0</v>
      </c>
      <c r="H321" s="32">
        <f>IF(G321="LENOVO",_xlfn.XLOOKUP(B321,Input!J:J,Input!K:K),_xlfn.XLOOKUP(B321,Input!J:J,Input!L:L))</f>
        <v>0</v>
      </c>
      <c r="I321" s="32"/>
      <c r="J321" s="32"/>
      <c r="K321" s="32"/>
      <c r="L321" s="53"/>
      <c r="M321" s="53"/>
      <c r="N321" s="53"/>
      <c r="O321" s="53" t="str" cm="1">
        <f t="array" ref="O321">IFERROR(_xlfn.FILTERXML("&lt;t&gt;&lt;s&gt;" &amp; SUBSTITUTE(M321," / ","&lt;/s&gt;&lt;s&gt;") &amp; "&lt;/s&gt;&lt;/t&gt;","(//s[contains(.,'DDR')])[1]"),"")</f>
        <v/>
      </c>
      <c r="P321" s="32" t="str">
        <f t="shared" si="15"/>
        <v>GB</v>
      </c>
      <c r="Q321" s="32"/>
      <c r="R321" s="32"/>
      <c r="S321" s="53" t="e">
        <f>_xlfn.LET(_xlpm.Result,INDEX(Input!$D$2:$AC$500,
       MATCH(B321, Input!$J$2:$J$500, 0),
       MATCH("Capacity", Input!$D$1:$AC$1, 0)),IF(_xlpm.Result="","",_xlpm.Result))</f>
        <v>#N/A</v>
      </c>
      <c r="T321" s="53" t="e" cm="1">
        <f t="array" ref="T321">_xlfn.TEXTSPLIT(S321," / ", ,TRUE,0,)</f>
        <v>#N/A</v>
      </c>
      <c r="U321" s="53"/>
      <c r="V321" s="53" t="str" cm="1">
        <f t="array" ref="V321">IFERROR(_xlfn.IFS(
T321="","",
--T321&lt;55,"Battery Defect",
--T321&lt;=69,"Battery D",
--T321&lt;=80,"Battery C",
--T321&gt;80,""
),"")</f>
        <v/>
      </c>
      <c r="W321" s="53" t="str" cm="1">
        <f t="array" ref="W321">IFERROR(_xlfn.IFS(
U321="","",
--U321&lt;55,"Battery Defect",
--U321&lt;=69,"Battery D",
--U321&lt;=80,"Battery C",
--U321&gt;80,""
),"")</f>
        <v/>
      </c>
      <c r="X321" s="53"/>
      <c r="Y321" s="53"/>
      <c r="Z321" s="53"/>
      <c r="AA321" s="53"/>
      <c r="AB321" s="53"/>
      <c r="AC321" s="53"/>
      <c r="AD321" s="53"/>
      <c r="AE321" s="53"/>
      <c r="AF321" s="32" t="str">
        <f t="shared" si="14"/>
        <v/>
      </c>
      <c r="AG321" s="32"/>
      <c r="AH321" s="32"/>
      <c r="AI321" s="32"/>
      <c r="AJ321" s="32"/>
      <c r="AK321" s="32"/>
      <c r="AL321" s="32"/>
      <c r="AM321" s="32"/>
      <c r="AN321" s="32"/>
    </row>
    <row r="322" spans="1:40">
      <c r="A322" s="32" t="str">
        <f>_xlfn.TEXTJOIN("",TRUE,_xlfn.XLOOKUP(B322,Input!J:J,Input!G:G,"",0,1),_xlfn.XLOOKUP(B322,Input!J:J,Input!H:H,"",0,1))</f>
        <v/>
      </c>
      <c r="B322" s="32"/>
      <c r="C322" s="53">
        <f>_xlfn.XLOOKUP(B322,Input!J:J,Input!F:F)</f>
        <v>0</v>
      </c>
      <c r="D322" s="32">
        <f>_xlfn.XLOOKUP(C322,Models!H:H,Models!G:G,C322)</f>
        <v>0</v>
      </c>
      <c r="E322" s="32"/>
      <c r="F322" s="32" t="str">
        <f>_xlfn.XLOOKUP(H322,Models!B:B,Models!F:F,"")</f>
        <v/>
      </c>
      <c r="G322" s="32">
        <f>_xlfn.XLOOKUP(B322,Input!J:J,Input!E:E)</f>
        <v>0</v>
      </c>
      <c r="H322" s="32">
        <f>IF(G322="LENOVO",_xlfn.XLOOKUP(B322,Input!J:J,Input!K:K),_xlfn.XLOOKUP(B322,Input!J:J,Input!L:L))</f>
        <v>0</v>
      </c>
      <c r="I322" s="32"/>
      <c r="J322" s="32"/>
      <c r="K322" s="32"/>
      <c r="L322" s="53"/>
      <c r="M322" s="53"/>
      <c r="N322" s="53"/>
      <c r="O322" s="53" t="str" cm="1">
        <f t="array" ref="O322">IFERROR(_xlfn.FILTERXML("&lt;t&gt;&lt;s&gt;" &amp; SUBSTITUTE(M322," / ","&lt;/s&gt;&lt;s&gt;") &amp; "&lt;/s&gt;&lt;/t&gt;","(//s[contains(.,'DDR')])[1]"),"")</f>
        <v/>
      </c>
      <c r="P322" s="32" t="str">
        <f t="shared" si="15"/>
        <v>GB</v>
      </c>
      <c r="Q322" s="32"/>
      <c r="R322" s="32"/>
      <c r="S322" s="53" t="e">
        <f>_xlfn.LET(_xlpm.Result,INDEX(Input!$D$2:$AC$500,
       MATCH(B322, Input!$J$2:$J$500, 0),
       MATCH("Capacity", Input!$D$1:$AC$1, 0)),IF(_xlpm.Result="","",_xlpm.Result))</f>
        <v>#N/A</v>
      </c>
      <c r="T322" s="53" t="e" cm="1">
        <f t="array" ref="T322">_xlfn.TEXTSPLIT(S322," / ", ,TRUE,0,)</f>
        <v>#N/A</v>
      </c>
      <c r="U322" s="53"/>
      <c r="V322" s="53" t="str" cm="1">
        <f t="array" ref="V322">IFERROR(_xlfn.IFS(
T322="","",
--T322&lt;55,"Battery Defect",
--T322&lt;=69,"Battery D",
--T322&lt;=80,"Battery C",
--T322&gt;80,""
),"")</f>
        <v/>
      </c>
      <c r="W322" s="53" t="str" cm="1">
        <f t="array" ref="W322">IFERROR(_xlfn.IFS(
U322="","",
--U322&lt;55,"Battery Defect",
--U322&lt;=69,"Battery D",
--U322&lt;=80,"Battery C",
--U322&gt;80,""
),"")</f>
        <v/>
      </c>
      <c r="X322" s="53"/>
      <c r="Y322" s="53"/>
      <c r="Z322" s="53"/>
      <c r="AA322" s="53"/>
      <c r="AB322" s="53"/>
      <c r="AC322" s="53"/>
      <c r="AD322" s="53"/>
      <c r="AE322" s="53"/>
      <c r="AF322" s="32" t="str">
        <f t="shared" si="14"/>
        <v/>
      </c>
      <c r="AG322" s="32"/>
      <c r="AH322" s="32"/>
      <c r="AI322" s="32"/>
      <c r="AJ322" s="32"/>
      <c r="AK322" s="32"/>
      <c r="AL322" s="32"/>
      <c r="AM322" s="32"/>
      <c r="AN322" s="32"/>
    </row>
    <row r="323" spans="1:40">
      <c r="A323" s="32" t="str">
        <f>_xlfn.TEXTJOIN("",TRUE,_xlfn.XLOOKUP(B323,Input!J:J,Input!G:G,"",0,1),_xlfn.XLOOKUP(B323,Input!J:J,Input!H:H,"",0,1))</f>
        <v/>
      </c>
      <c r="B323" s="32"/>
      <c r="C323" s="53">
        <f>_xlfn.XLOOKUP(B323,Input!J:J,Input!F:F)</f>
        <v>0</v>
      </c>
      <c r="D323" s="32">
        <f>_xlfn.XLOOKUP(C323,Models!H:H,Models!G:G,C323)</f>
        <v>0</v>
      </c>
      <c r="E323" s="32"/>
      <c r="F323" s="32" t="str">
        <f>_xlfn.XLOOKUP(H323,Models!B:B,Models!F:F,"")</f>
        <v/>
      </c>
      <c r="G323" s="32">
        <f>_xlfn.XLOOKUP(B323,Input!J:J,Input!E:E)</f>
        <v>0</v>
      </c>
      <c r="H323" s="32">
        <f>IF(G323="LENOVO",_xlfn.XLOOKUP(B323,Input!J:J,Input!K:K),_xlfn.XLOOKUP(B323,Input!J:J,Input!L:L))</f>
        <v>0</v>
      </c>
      <c r="I323" s="32"/>
      <c r="J323" s="32"/>
      <c r="K323" s="32"/>
      <c r="L323" s="53"/>
      <c r="M323" s="53"/>
      <c r="N323" s="53"/>
      <c r="O323" s="53" t="str" cm="1">
        <f t="array" ref="O323">IFERROR(_xlfn.FILTERXML("&lt;t&gt;&lt;s&gt;" &amp; SUBSTITUTE(M323," / ","&lt;/s&gt;&lt;s&gt;") &amp; "&lt;/s&gt;&lt;/t&gt;","(//s[contains(.,'DDR')])[1]"),"")</f>
        <v/>
      </c>
      <c r="P323" s="32" t="str">
        <f t="shared" si="15"/>
        <v>GB</v>
      </c>
      <c r="Q323" s="32"/>
      <c r="R323" s="32"/>
      <c r="S323" s="53" t="e">
        <f>_xlfn.LET(_xlpm.Result,INDEX(Input!$D$2:$AC$500,
       MATCH(B323, Input!$J$2:$J$500, 0),
       MATCH("Capacity", Input!$D$1:$AC$1, 0)),IF(_xlpm.Result="","",_xlpm.Result))</f>
        <v>#N/A</v>
      </c>
      <c r="T323" s="53" t="e" cm="1">
        <f t="array" ref="T323">_xlfn.TEXTSPLIT(S323," / ", ,TRUE,0,)</f>
        <v>#N/A</v>
      </c>
      <c r="U323" s="53"/>
      <c r="V323" s="53" t="str" cm="1">
        <f t="array" ref="V323">IFERROR(_xlfn.IFS(
T323="","",
--T323&lt;55,"Battery Defect",
--T323&lt;=69,"Battery D",
--T323&lt;=80,"Battery C",
--T323&gt;80,""
),"")</f>
        <v/>
      </c>
      <c r="W323" s="53" t="str" cm="1">
        <f t="array" ref="W323">IFERROR(_xlfn.IFS(
U323="","",
--U323&lt;55,"Battery Defect",
--U323&lt;=69,"Battery D",
--U323&lt;=80,"Battery C",
--U323&gt;80,""
),"")</f>
        <v/>
      </c>
      <c r="X323" s="53"/>
      <c r="Y323" s="53"/>
      <c r="Z323" s="53"/>
      <c r="AA323" s="53"/>
      <c r="AB323" s="53"/>
      <c r="AC323" s="53"/>
      <c r="AD323" s="53"/>
      <c r="AE323" s="53"/>
      <c r="AF323" s="32" t="str">
        <f t="shared" ref="AF323:AF386" si="16">IF(D323="Laptop",_xlfn.TEXTJOIN(", ",TRUE,V323,W323,X323,Y323,Z323,AA323,AB323,AC323), _xlfn.TEXTJOIN(", ",TRUE,X323,Y323,Z323,AA323,AB323,AC323))</f>
        <v/>
      </c>
      <c r="AG323" s="32"/>
      <c r="AH323" s="32"/>
      <c r="AI323" s="32"/>
      <c r="AJ323" s="32"/>
      <c r="AK323" s="32"/>
      <c r="AL323" s="32"/>
      <c r="AM323" s="32"/>
      <c r="AN323" s="32"/>
    </row>
    <row r="324" spans="1:40">
      <c r="A324" s="32" t="str">
        <f>_xlfn.TEXTJOIN("",TRUE,_xlfn.XLOOKUP(B324,Input!J:J,Input!G:G,"",0,1),_xlfn.XLOOKUP(B324,Input!J:J,Input!H:H,"",0,1))</f>
        <v/>
      </c>
      <c r="B324" s="32"/>
      <c r="C324" s="53">
        <f>_xlfn.XLOOKUP(B324,Input!J:J,Input!F:F)</f>
        <v>0</v>
      </c>
      <c r="D324" s="32">
        <f>_xlfn.XLOOKUP(C324,Models!H:H,Models!G:G,C324)</f>
        <v>0</v>
      </c>
      <c r="E324" s="32"/>
      <c r="F324" s="32" t="str">
        <f>_xlfn.XLOOKUP(H324,Models!B:B,Models!F:F,"")</f>
        <v/>
      </c>
      <c r="G324" s="32">
        <f>_xlfn.XLOOKUP(B324,Input!J:J,Input!E:E)</f>
        <v>0</v>
      </c>
      <c r="H324" s="32">
        <f>IF(G324="LENOVO",_xlfn.XLOOKUP(B324,Input!J:J,Input!K:K),_xlfn.XLOOKUP(B324,Input!J:J,Input!L:L))</f>
        <v>0</v>
      </c>
      <c r="I324" s="32"/>
      <c r="J324" s="32"/>
      <c r="K324" s="32"/>
      <c r="L324" s="53"/>
      <c r="M324" s="53"/>
      <c r="N324" s="53"/>
      <c r="O324" s="53" t="str" cm="1">
        <f t="array" ref="O324">IFERROR(_xlfn.FILTERXML("&lt;t&gt;&lt;s&gt;" &amp; SUBSTITUTE(M324," / ","&lt;/s&gt;&lt;s&gt;") &amp; "&lt;/s&gt;&lt;/t&gt;","(//s[contains(.,'DDR')])[1]"),"")</f>
        <v/>
      </c>
      <c r="P324" s="32" t="str">
        <f t="shared" si="15"/>
        <v>GB</v>
      </c>
      <c r="Q324" s="32"/>
      <c r="R324" s="32"/>
      <c r="S324" s="53" t="e">
        <f>_xlfn.LET(_xlpm.Result,INDEX(Input!$D$2:$AC$500,
       MATCH(B324, Input!$J$2:$J$500, 0),
       MATCH("Capacity", Input!$D$1:$AC$1, 0)),IF(_xlpm.Result="","",_xlpm.Result))</f>
        <v>#N/A</v>
      </c>
      <c r="T324" s="53" t="e" cm="1">
        <f t="array" ref="T324">_xlfn.TEXTSPLIT(S324," / ", ,TRUE,0,)</f>
        <v>#N/A</v>
      </c>
      <c r="U324" s="53"/>
      <c r="V324" s="53" t="str" cm="1">
        <f t="array" ref="V324">IFERROR(_xlfn.IFS(
T324="","",
--T324&lt;55,"Battery Defect",
--T324&lt;=69,"Battery D",
--T324&lt;=80,"Battery C",
--T324&gt;80,""
),"")</f>
        <v/>
      </c>
      <c r="W324" s="53" t="str" cm="1">
        <f t="array" ref="W324">IFERROR(_xlfn.IFS(
U324="","",
--U324&lt;55,"Battery Defect",
--U324&lt;=69,"Battery D",
--U324&lt;=80,"Battery C",
--U324&gt;80,""
),"")</f>
        <v/>
      </c>
      <c r="X324" s="53"/>
      <c r="Y324" s="53"/>
      <c r="Z324" s="53"/>
      <c r="AA324" s="53"/>
      <c r="AB324" s="53"/>
      <c r="AC324" s="53"/>
      <c r="AD324" s="53"/>
      <c r="AE324" s="53"/>
      <c r="AF324" s="32" t="str">
        <f t="shared" si="16"/>
        <v/>
      </c>
      <c r="AG324" s="32"/>
      <c r="AH324" s="32"/>
      <c r="AI324" s="32"/>
      <c r="AJ324" s="32"/>
      <c r="AK324" s="32"/>
      <c r="AL324" s="32"/>
      <c r="AM324" s="32"/>
      <c r="AN324" s="32"/>
    </row>
    <row r="325" spans="1:40">
      <c r="A325" s="32" t="str">
        <f>_xlfn.TEXTJOIN("",TRUE,_xlfn.XLOOKUP(B325,Input!J:J,Input!G:G,"",0,1),_xlfn.XLOOKUP(B325,Input!J:J,Input!H:H,"",0,1))</f>
        <v/>
      </c>
      <c r="B325" s="32"/>
      <c r="C325" s="53">
        <f>_xlfn.XLOOKUP(B325,Input!J:J,Input!F:F)</f>
        <v>0</v>
      </c>
      <c r="D325" s="32">
        <f>_xlfn.XLOOKUP(C325,Models!H:H,Models!G:G,C325)</f>
        <v>0</v>
      </c>
      <c r="E325" s="32"/>
      <c r="F325" s="32" t="str">
        <f>_xlfn.XLOOKUP(H325,Models!B:B,Models!F:F,"")</f>
        <v/>
      </c>
      <c r="G325" s="32">
        <f>_xlfn.XLOOKUP(B325,Input!J:J,Input!E:E)</f>
        <v>0</v>
      </c>
      <c r="H325" s="32">
        <f>IF(G325="LENOVO",_xlfn.XLOOKUP(B325,Input!J:J,Input!K:K),_xlfn.XLOOKUP(B325,Input!J:J,Input!L:L))</f>
        <v>0</v>
      </c>
      <c r="I325" s="32"/>
      <c r="J325" s="32"/>
      <c r="K325" s="32"/>
      <c r="L325" s="53"/>
      <c r="M325" s="53"/>
      <c r="N325" s="53"/>
      <c r="O325" s="53" t="str" cm="1">
        <f t="array" ref="O325">IFERROR(_xlfn.FILTERXML("&lt;t&gt;&lt;s&gt;" &amp; SUBSTITUTE(M325," / ","&lt;/s&gt;&lt;s&gt;") &amp; "&lt;/s&gt;&lt;/t&gt;","(//s[contains(.,'DDR')])[1]"),"")</f>
        <v/>
      </c>
      <c r="P325" s="32" t="str">
        <f t="shared" si="15"/>
        <v>GB</v>
      </c>
      <c r="Q325" s="32"/>
      <c r="R325" s="32"/>
      <c r="S325" s="53" t="e">
        <f>_xlfn.LET(_xlpm.Result,INDEX(Input!$D$2:$AC$500,
       MATCH(B325, Input!$J$2:$J$500, 0),
       MATCH("Capacity", Input!$D$1:$AC$1, 0)),IF(_xlpm.Result="","",_xlpm.Result))</f>
        <v>#N/A</v>
      </c>
      <c r="T325" s="53" t="e" cm="1">
        <f t="array" ref="T325">_xlfn.TEXTSPLIT(S325," / ", ,TRUE,0,)</f>
        <v>#N/A</v>
      </c>
      <c r="U325" s="53"/>
      <c r="V325" s="53" t="str" cm="1">
        <f t="array" ref="V325">IFERROR(_xlfn.IFS(
T325="","",
--T325&lt;55,"Battery Defect",
--T325&lt;=69,"Battery D",
--T325&lt;=80,"Battery C",
--T325&gt;80,""
),"")</f>
        <v/>
      </c>
      <c r="W325" s="53" t="str" cm="1">
        <f t="array" ref="W325">IFERROR(_xlfn.IFS(
U325="","",
--U325&lt;55,"Battery Defect",
--U325&lt;=69,"Battery D",
--U325&lt;=80,"Battery C",
--U325&gt;80,""
),"")</f>
        <v/>
      </c>
      <c r="X325" s="53"/>
      <c r="Y325" s="53"/>
      <c r="Z325" s="53"/>
      <c r="AA325" s="53"/>
      <c r="AB325" s="53"/>
      <c r="AC325" s="53"/>
      <c r="AD325" s="53"/>
      <c r="AE325" s="53"/>
      <c r="AF325" s="32" t="str">
        <f t="shared" si="16"/>
        <v/>
      </c>
      <c r="AG325" s="32"/>
      <c r="AH325" s="32"/>
      <c r="AI325" s="32"/>
      <c r="AJ325" s="32"/>
      <c r="AK325" s="32"/>
      <c r="AL325" s="32"/>
      <c r="AM325" s="32"/>
      <c r="AN325" s="32"/>
    </row>
    <row r="326" spans="1:40">
      <c r="A326" s="32" t="str">
        <f>_xlfn.TEXTJOIN("",TRUE,_xlfn.XLOOKUP(B326,Input!J:J,Input!G:G,"",0,1),_xlfn.XLOOKUP(B326,Input!J:J,Input!H:H,"",0,1))</f>
        <v/>
      </c>
      <c r="B326" s="32"/>
      <c r="C326" s="53">
        <f>_xlfn.XLOOKUP(B326,Input!J:J,Input!F:F)</f>
        <v>0</v>
      </c>
      <c r="D326" s="32">
        <f>_xlfn.XLOOKUP(C326,Models!H:H,Models!G:G,C326)</f>
        <v>0</v>
      </c>
      <c r="E326" s="32"/>
      <c r="F326" s="32" t="str">
        <f>_xlfn.XLOOKUP(H326,Models!B:B,Models!F:F,"")</f>
        <v/>
      </c>
      <c r="G326" s="32">
        <f>_xlfn.XLOOKUP(B326,Input!J:J,Input!E:E)</f>
        <v>0</v>
      </c>
      <c r="H326" s="32">
        <f>IF(G326="LENOVO",_xlfn.XLOOKUP(B326,Input!J:J,Input!K:K),_xlfn.XLOOKUP(B326,Input!J:J,Input!L:L))</f>
        <v>0</v>
      </c>
      <c r="I326" s="32"/>
      <c r="J326" s="32"/>
      <c r="K326" s="32"/>
      <c r="L326" s="53"/>
      <c r="M326" s="53"/>
      <c r="N326" s="53"/>
      <c r="O326" s="53" t="str" cm="1">
        <f t="array" ref="O326">IFERROR(_xlfn.FILTERXML("&lt;t&gt;&lt;s&gt;" &amp; SUBSTITUTE(M326," / ","&lt;/s&gt;&lt;s&gt;") &amp; "&lt;/s&gt;&lt;/t&gt;","(//s[contains(.,'DDR')])[1]"),"")</f>
        <v/>
      </c>
      <c r="P326" s="32" t="str">
        <f t="shared" si="15"/>
        <v>GB</v>
      </c>
      <c r="Q326" s="32"/>
      <c r="R326" s="32"/>
      <c r="S326" s="53" t="e">
        <f>_xlfn.LET(_xlpm.Result,INDEX(Input!$D$2:$AC$500,
       MATCH(B326, Input!$J$2:$J$500, 0),
       MATCH("Capacity", Input!$D$1:$AC$1, 0)),IF(_xlpm.Result="","",_xlpm.Result))</f>
        <v>#N/A</v>
      </c>
      <c r="T326" s="53" t="e" cm="1">
        <f t="array" ref="T326">_xlfn.TEXTSPLIT(S326," / ", ,TRUE,0,)</f>
        <v>#N/A</v>
      </c>
      <c r="U326" s="53"/>
      <c r="V326" s="53" t="str" cm="1">
        <f t="array" ref="V326">IFERROR(_xlfn.IFS(
T326="","",
--T326&lt;55,"Battery Defect",
--T326&lt;=69,"Battery D",
--T326&lt;=80,"Battery C",
--T326&gt;80,""
),"")</f>
        <v/>
      </c>
      <c r="W326" s="53" t="str" cm="1">
        <f t="array" ref="W326">IFERROR(_xlfn.IFS(
U326="","",
--U326&lt;55,"Battery Defect",
--U326&lt;=69,"Battery D",
--U326&lt;=80,"Battery C",
--U326&gt;80,""
),"")</f>
        <v/>
      </c>
      <c r="X326" s="53"/>
      <c r="Y326" s="53"/>
      <c r="Z326" s="53"/>
      <c r="AA326" s="53"/>
      <c r="AB326" s="53"/>
      <c r="AC326" s="53"/>
      <c r="AD326" s="53"/>
      <c r="AE326" s="53"/>
      <c r="AF326" s="32" t="str">
        <f t="shared" si="16"/>
        <v/>
      </c>
      <c r="AG326" s="32"/>
      <c r="AH326" s="32"/>
      <c r="AI326" s="32"/>
      <c r="AJ326" s="32"/>
      <c r="AK326" s="32"/>
      <c r="AL326" s="32"/>
      <c r="AM326" s="32"/>
      <c r="AN326" s="32"/>
    </row>
    <row r="327" spans="1:40">
      <c r="A327" s="32" t="str">
        <f>_xlfn.TEXTJOIN("",TRUE,_xlfn.XLOOKUP(B327,Input!J:J,Input!G:G,"",0,1),_xlfn.XLOOKUP(B327,Input!J:J,Input!H:H,"",0,1))</f>
        <v/>
      </c>
      <c r="B327" s="32"/>
      <c r="C327" s="53">
        <f>_xlfn.XLOOKUP(B327,Input!J:J,Input!F:F)</f>
        <v>0</v>
      </c>
      <c r="D327" s="32">
        <f>_xlfn.XLOOKUP(C327,Models!H:H,Models!G:G,C327)</f>
        <v>0</v>
      </c>
      <c r="E327" s="32"/>
      <c r="F327" s="32" t="str">
        <f>_xlfn.XLOOKUP(H327,Models!B:B,Models!F:F,"")</f>
        <v/>
      </c>
      <c r="G327" s="32">
        <f>_xlfn.XLOOKUP(B327,Input!J:J,Input!E:E)</f>
        <v>0</v>
      </c>
      <c r="H327" s="32">
        <f>IF(G327="LENOVO",_xlfn.XLOOKUP(B327,Input!J:J,Input!K:K),_xlfn.XLOOKUP(B327,Input!J:J,Input!L:L))</f>
        <v>0</v>
      </c>
      <c r="I327" s="32"/>
      <c r="J327" s="32"/>
      <c r="K327" s="32"/>
      <c r="L327" s="53"/>
      <c r="M327" s="53"/>
      <c r="N327" s="53"/>
      <c r="O327" s="53" t="str" cm="1">
        <f t="array" ref="O327">IFERROR(_xlfn.FILTERXML("&lt;t&gt;&lt;s&gt;" &amp; SUBSTITUTE(M327," / ","&lt;/s&gt;&lt;s&gt;") &amp; "&lt;/s&gt;&lt;/t&gt;","(//s[contains(.,'DDR')])[1]"),"")</f>
        <v/>
      </c>
      <c r="P327" s="32" t="str">
        <f t="shared" si="15"/>
        <v>GB</v>
      </c>
      <c r="Q327" s="32"/>
      <c r="R327" s="32"/>
      <c r="S327" s="53" t="e">
        <f>_xlfn.LET(_xlpm.Result,INDEX(Input!$D$2:$AC$500,
       MATCH(B327, Input!$J$2:$J$500, 0),
       MATCH("Capacity", Input!$D$1:$AC$1, 0)),IF(_xlpm.Result="","",_xlpm.Result))</f>
        <v>#N/A</v>
      </c>
      <c r="T327" s="53" t="e" cm="1">
        <f t="array" ref="T327">_xlfn.TEXTSPLIT(S327," / ", ,TRUE,0,)</f>
        <v>#N/A</v>
      </c>
      <c r="U327" s="53"/>
      <c r="V327" s="53" t="str" cm="1">
        <f t="array" ref="V327">IFERROR(_xlfn.IFS(
T327="","",
--T327&lt;55,"Battery Defect",
--T327&lt;=69,"Battery D",
--T327&lt;=80,"Battery C",
--T327&gt;80,""
),"")</f>
        <v/>
      </c>
      <c r="W327" s="53" t="str" cm="1">
        <f t="array" ref="W327">IFERROR(_xlfn.IFS(
U327="","",
--U327&lt;55,"Battery Defect",
--U327&lt;=69,"Battery D",
--U327&lt;=80,"Battery C",
--U327&gt;80,""
),"")</f>
        <v/>
      </c>
      <c r="X327" s="53"/>
      <c r="Y327" s="53"/>
      <c r="Z327" s="53"/>
      <c r="AA327" s="53"/>
      <c r="AB327" s="53"/>
      <c r="AC327" s="53"/>
      <c r="AD327" s="53"/>
      <c r="AE327" s="53"/>
      <c r="AF327" s="32" t="str">
        <f t="shared" si="16"/>
        <v/>
      </c>
      <c r="AG327" s="32"/>
      <c r="AH327" s="32"/>
      <c r="AI327" s="32"/>
      <c r="AJ327" s="32"/>
      <c r="AK327" s="32"/>
      <c r="AL327" s="32"/>
      <c r="AM327" s="32"/>
      <c r="AN327" s="32"/>
    </row>
    <row r="328" spans="1:40">
      <c r="A328" s="32" t="str">
        <f>_xlfn.TEXTJOIN("",TRUE,_xlfn.XLOOKUP(B328,Input!J:J,Input!G:G,"",0,1),_xlfn.XLOOKUP(B328,Input!J:J,Input!H:H,"",0,1))</f>
        <v/>
      </c>
      <c r="B328" s="32"/>
      <c r="C328" s="53">
        <f>_xlfn.XLOOKUP(B328,Input!J:J,Input!F:F)</f>
        <v>0</v>
      </c>
      <c r="D328" s="32">
        <f>_xlfn.XLOOKUP(C328,Models!H:H,Models!G:G,C328)</f>
        <v>0</v>
      </c>
      <c r="E328" s="32"/>
      <c r="F328" s="32" t="str">
        <f>_xlfn.XLOOKUP(H328,Models!B:B,Models!F:F,"")</f>
        <v/>
      </c>
      <c r="G328" s="32">
        <f>_xlfn.XLOOKUP(B328,Input!J:J,Input!E:E)</f>
        <v>0</v>
      </c>
      <c r="H328" s="32">
        <f>IF(G328="LENOVO",_xlfn.XLOOKUP(B328,Input!J:J,Input!K:K),_xlfn.XLOOKUP(B328,Input!J:J,Input!L:L))</f>
        <v>0</v>
      </c>
      <c r="I328" s="32"/>
      <c r="J328" s="32"/>
      <c r="K328" s="32"/>
      <c r="L328" s="53"/>
      <c r="M328" s="53"/>
      <c r="N328" s="53"/>
      <c r="O328" s="53" t="str" cm="1">
        <f t="array" ref="O328">IFERROR(_xlfn.FILTERXML("&lt;t&gt;&lt;s&gt;" &amp; SUBSTITUTE(M328," / ","&lt;/s&gt;&lt;s&gt;") &amp; "&lt;/s&gt;&lt;/t&gt;","(//s[contains(.,'DDR')])[1]"),"")</f>
        <v/>
      </c>
      <c r="P328" s="32" t="str">
        <f t="shared" si="15"/>
        <v>GB</v>
      </c>
      <c r="Q328" s="32"/>
      <c r="R328" s="32"/>
      <c r="S328" s="53" t="e">
        <f>_xlfn.LET(_xlpm.Result,INDEX(Input!$D$2:$AC$500,
       MATCH(B328, Input!$J$2:$J$500, 0),
       MATCH("Capacity", Input!$D$1:$AC$1, 0)),IF(_xlpm.Result="","",_xlpm.Result))</f>
        <v>#N/A</v>
      </c>
      <c r="T328" s="53" t="e" cm="1">
        <f t="array" ref="T328">_xlfn.TEXTSPLIT(S328," / ", ,TRUE,0,)</f>
        <v>#N/A</v>
      </c>
      <c r="U328" s="53"/>
      <c r="V328" s="53" t="str" cm="1">
        <f t="array" ref="V328">IFERROR(_xlfn.IFS(
T328="","",
--T328&lt;55,"Battery Defect",
--T328&lt;=69,"Battery D",
--T328&lt;=80,"Battery C",
--T328&gt;80,""
),"")</f>
        <v/>
      </c>
      <c r="W328" s="53" t="str" cm="1">
        <f t="array" ref="W328">IFERROR(_xlfn.IFS(
U328="","",
--U328&lt;55,"Battery Defect",
--U328&lt;=69,"Battery D",
--U328&lt;=80,"Battery C",
--U328&gt;80,""
),"")</f>
        <v/>
      </c>
      <c r="X328" s="53"/>
      <c r="Y328" s="53"/>
      <c r="Z328" s="53"/>
      <c r="AA328" s="53"/>
      <c r="AB328" s="53"/>
      <c r="AC328" s="53"/>
      <c r="AD328" s="53"/>
      <c r="AE328" s="53"/>
      <c r="AF328" s="32" t="str">
        <f t="shared" si="16"/>
        <v/>
      </c>
      <c r="AG328" s="32"/>
      <c r="AH328" s="32"/>
      <c r="AI328" s="32"/>
      <c r="AJ328" s="32"/>
      <c r="AK328" s="32"/>
      <c r="AL328" s="32"/>
      <c r="AM328" s="32"/>
      <c r="AN328" s="32"/>
    </row>
    <row r="329" spans="1:40">
      <c r="A329" s="32" t="str">
        <f>_xlfn.TEXTJOIN("",TRUE,_xlfn.XLOOKUP(B329,Input!J:J,Input!G:G,"",0,1),_xlfn.XLOOKUP(B329,Input!J:J,Input!H:H,"",0,1))</f>
        <v/>
      </c>
      <c r="B329" s="32"/>
      <c r="C329" s="53">
        <f>_xlfn.XLOOKUP(B329,Input!J:J,Input!F:F)</f>
        <v>0</v>
      </c>
      <c r="D329" s="32">
        <f>_xlfn.XLOOKUP(C329,Models!H:H,Models!G:G,C329)</f>
        <v>0</v>
      </c>
      <c r="E329" s="32"/>
      <c r="F329" s="32" t="str">
        <f>_xlfn.XLOOKUP(H329,Models!B:B,Models!F:F,"")</f>
        <v/>
      </c>
      <c r="G329" s="32">
        <f>_xlfn.XLOOKUP(B329,Input!J:J,Input!E:E)</f>
        <v>0</v>
      </c>
      <c r="H329" s="32">
        <f>IF(G329="LENOVO",_xlfn.XLOOKUP(B329,Input!J:J,Input!K:K),_xlfn.XLOOKUP(B329,Input!J:J,Input!L:L))</f>
        <v>0</v>
      </c>
      <c r="I329" s="32"/>
      <c r="J329" s="32"/>
      <c r="K329" s="32"/>
      <c r="L329" s="53"/>
      <c r="M329" s="53"/>
      <c r="N329" s="53"/>
      <c r="O329" s="53" t="str" cm="1">
        <f t="array" ref="O329">IFERROR(_xlfn.FILTERXML("&lt;t&gt;&lt;s&gt;" &amp; SUBSTITUTE(M329," / ","&lt;/s&gt;&lt;s&gt;") &amp; "&lt;/s&gt;&lt;/t&gt;","(//s[contains(.,'DDR')])[1]"),"")</f>
        <v/>
      </c>
      <c r="P329" s="32" t="str">
        <f t="shared" si="15"/>
        <v>GB</v>
      </c>
      <c r="Q329" s="32"/>
      <c r="R329" s="32"/>
      <c r="S329" s="53" t="e">
        <f>_xlfn.LET(_xlpm.Result,INDEX(Input!$D$2:$AC$500,
       MATCH(B329, Input!$J$2:$J$500, 0),
       MATCH("Capacity", Input!$D$1:$AC$1, 0)),IF(_xlpm.Result="","",_xlpm.Result))</f>
        <v>#N/A</v>
      </c>
      <c r="T329" s="53" t="e" cm="1">
        <f t="array" ref="T329">_xlfn.TEXTSPLIT(S329," / ", ,TRUE,0,)</f>
        <v>#N/A</v>
      </c>
      <c r="U329" s="53"/>
      <c r="V329" s="53" t="str" cm="1">
        <f t="array" ref="V329">IFERROR(_xlfn.IFS(
T329="","",
--T329&lt;55,"Battery Defect",
--T329&lt;=69,"Battery D",
--T329&lt;=80,"Battery C",
--T329&gt;80,""
),"")</f>
        <v/>
      </c>
      <c r="W329" s="53" t="str" cm="1">
        <f t="array" ref="W329">IFERROR(_xlfn.IFS(
U329="","",
--U329&lt;55,"Battery Defect",
--U329&lt;=69,"Battery D",
--U329&lt;=80,"Battery C",
--U329&gt;80,""
),"")</f>
        <v/>
      </c>
      <c r="X329" s="53"/>
      <c r="Y329" s="53"/>
      <c r="Z329" s="53"/>
      <c r="AA329" s="53"/>
      <c r="AB329" s="53"/>
      <c r="AC329" s="53"/>
      <c r="AD329" s="53"/>
      <c r="AE329" s="53"/>
      <c r="AF329" s="32" t="str">
        <f t="shared" si="16"/>
        <v/>
      </c>
      <c r="AG329" s="32"/>
      <c r="AH329" s="32"/>
      <c r="AI329" s="32"/>
      <c r="AJ329" s="32"/>
      <c r="AK329" s="32"/>
      <c r="AL329" s="32"/>
      <c r="AM329" s="32"/>
      <c r="AN329" s="32"/>
    </row>
    <row r="330" spans="1:40">
      <c r="A330" s="32" t="str">
        <f>_xlfn.TEXTJOIN("",TRUE,_xlfn.XLOOKUP(B330,Input!J:J,Input!G:G,"",0,1),_xlfn.XLOOKUP(B330,Input!J:J,Input!H:H,"",0,1))</f>
        <v/>
      </c>
      <c r="B330" s="32"/>
      <c r="C330" s="53">
        <f>_xlfn.XLOOKUP(B330,Input!J:J,Input!F:F)</f>
        <v>0</v>
      </c>
      <c r="D330" s="32">
        <f>_xlfn.XLOOKUP(C330,Models!H:H,Models!G:G,C330)</f>
        <v>0</v>
      </c>
      <c r="E330" s="32"/>
      <c r="F330" s="32" t="str">
        <f>_xlfn.XLOOKUP(H330,Models!B:B,Models!F:F,"")</f>
        <v/>
      </c>
      <c r="G330" s="32">
        <f>_xlfn.XLOOKUP(B330,Input!J:J,Input!E:E)</f>
        <v>0</v>
      </c>
      <c r="H330" s="32">
        <f>IF(G330="LENOVO",_xlfn.XLOOKUP(B330,Input!J:J,Input!K:K),_xlfn.XLOOKUP(B330,Input!J:J,Input!L:L))</f>
        <v>0</v>
      </c>
      <c r="I330" s="32"/>
      <c r="J330" s="32"/>
      <c r="K330" s="32"/>
      <c r="L330" s="53"/>
      <c r="M330" s="53"/>
      <c r="N330" s="53"/>
      <c r="O330" s="53" t="str" cm="1">
        <f t="array" ref="O330">IFERROR(_xlfn.FILTERXML("&lt;t&gt;&lt;s&gt;" &amp; SUBSTITUTE(M330," / ","&lt;/s&gt;&lt;s&gt;") &amp; "&lt;/s&gt;&lt;/t&gt;","(//s[contains(.,'DDR')])[1]"),"")</f>
        <v/>
      </c>
      <c r="P330" s="32" t="str">
        <f t="shared" si="15"/>
        <v>GB</v>
      </c>
      <c r="Q330" s="32"/>
      <c r="R330" s="32"/>
      <c r="S330" s="53" t="e">
        <f>_xlfn.LET(_xlpm.Result,INDEX(Input!$D$2:$AC$500,
       MATCH(B330, Input!$J$2:$J$500, 0),
       MATCH("Capacity", Input!$D$1:$AC$1, 0)),IF(_xlpm.Result="","",_xlpm.Result))</f>
        <v>#N/A</v>
      </c>
      <c r="T330" s="53" t="e" cm="1">
        <f t="array" ref="T330">_xlfn.TEXTSPLIT(S330," / ", ,TRUE,0,)</f>
        <v>#N/A</v>
      </c>
      <c r="U330" s="53"/>
      <c r="V330" s="53" t="str" cm="1">
        <f t="array" ref="V330">IFERROR(_xlfn.IFS(
T330="","",
--T330&lt;55,"Battery Defect",
--T330&lt;=69,"Battery D",
--T330&lt;=80,"Battery C",
--T330&gt;80,""
),"")</f>
        <v/>
      </c>
      <c r="W330" s="53" t="str" cm="1">
        <f t="array" ref="W330">IFERROR(_xlfn.IFS(
U330="","",
--U330&lt;55,"Battery Defect",
--U330&lt;=69,"Battery D",
--U330&lt;=80,"Battery C",
--U330&gt;80,""
),"")</f>
        <v/>
      </c>
      <c r="X330" s="53"/>
      <c r="Y330" s="53"/>
      <c r="Z330" s="53"/>
      <c r="AA330" s="53"/>
      <c r="AB330" s="53"/>
      <c r="AC330" s="53"/>
      <c r="AD330" s="53"/>
      <c r="AE330" s="53"/>
      <c r="AF330" s="32" t="str">
        <f t="shared" si="16"/>
        <v/>
      </c>
      <c r="AG330" s="32"/>
      <c r="AH330" s="32"/>
      <c r="AI330" s="32"/>
      <c r="AJ330" s="32"/>
      <c r="AK330" s="32"/>
      <c r="AL330" s="32"/>
      <c r="AM330" s="32"/>
      <c r="AN330" s="32"/>
    </row>
    <row r="331" spans="1:40">
      <c r="A331" s="32" t="str">
        <f>_xlfn.TEXTJOIN("",TRUE,_xlfn.XLOOKUP(B331,Input!J:J,Input!G:G,"",0,1),_xlfn.XLOOKUP(B331,Input!J:J,Input!H:H,"",0,1))</f>
        <v/>
      </c>
      <c r="B331" s="32"/>
      <c r="C331" s="53">
        <f>_xlfn.XLOOKUP(B331,Input!J:J,Input!F:F)</f>
        <v>0</v>
      </c>
      <c r="D331" s="32">
        <f>_xlfn.XLOOKUP(C331,Models!H:H,Models!G:G,C331)</f>
        <v>0</v>
      </c>
      <c r="E331" s="32"/>
      <c r="F331" s="32" t="str">
        <f>_xlfn.XLOOKUP(H331,Models!B:B,Models!F:F,"")</f>
        <v/>
      </c>
      <c r="G331" s="32">
        <f>_xlfn.XLOOKUP(B331,Input!J:J,Input!E:E)</f>
        <v>0</v>
      </c>
      <c r="H331" s="32">
        <f>IF(G331="LENOVO",_xlfn.XLOOKUP(B331,Input!J:J,Input!K:K),_xlfn.XLOOKUP(B331,Input!J:J,Input!L:L))</f>
        <v>0</v>
      </c>
      <c r="I331" s="32"/>
      <c r="J331" s="32"/>
      <c r="K331" s="32"/>
      <c r="L331" s="53"/>
      <c r="M331" s="53"/>
      <c r="N331" s="53"/>
      <c r="O331" s="53" t="str" cm="1">
        <f t="array" ref="O331">IFERROR(_xlfn.FILTERXML("&lt;t&gt;&lt;s&gt;" &amp; SUBSTITUTE(M331," / ","&lt;/s&gt;&lt;s&gt;") &amp; "&lt;/s&gt;&lt;/t&gt;","(//s[contains(.,'DDR')])[1]"),"")</f>
        <v/>
      </c>
      <c r="P331" s="32" t="str">
        <f t="shared" si="15"/>
        <v>GB</v>
      </c>
      <c r="Q331" s="32"/>
      <c r="R331" s="32"/>
      <c r="S331" s="53" t="e">
        <f>_xlfn.LET(_xlpm.Result,INDEX(Input!$D$2:$AC$500,
       MATCH(B331, Input!$J$2:$J$500, 0),
       MATCH("Capacity", Input!$D$1:$AC$1, 0)),IF(_xlpm.Result="","",_xlpm.Result))</f>
        <v>#N/A</v>
      </c>
      <c r="T331" s="53" t="e" cm="1">
        <f t="array" ref="T331">_xlfn.TEXTSPLIT(S331," / ", ,TRUE,0,)</f>
        <v>#N/A</v>
      </c>
      <c r="U331" s="53"/>
      <c r="V331" s="53" t="str" cm="1">
        <f t="array" ref="V331">IFERROR(_xlfn.IFS(
T331="","",
--T331&lt;55,"Battery Defect",
--T331&lt;=69,"Battery D",
--T331&lt;=80,"Battery C",
--T331&gt;80,""
),"")</f>
        <v/>
      </c>
      <c r="W331" s="53" t="str" cm="1">
        <f t="array" ref="W331">IFERROR(_xlfn.IFS(
U331="","",
--U331&lt;55,"Battery Defect",
--U331&lt;=69,"Battery D",
--U331&lt;=80,"Battery C",
--U331&gt;80,""
),"")</f>
        <v/>
      </c>
      <c r="X331" s="53"/>
      <c r="Y331" s="53"/>
      <c r="Z331" s="53"/>
      <c r="AA331" s="53"/>
      <c r="AB331" s="53"/>
      <c r="AC331" s="53"/>
      <c r="AD331" s="53"/>
      <c r="AE331" s="53"/>
      <c r="AF331" s="32" t="str">
        <f t="shared" si="16"/>
        <v/>
      </c>
      <c r="AG331" s="32"/>
      <c r="AH331" s="32"/>
      <c r="AI331" s="32"/>
      <c r="AJ331" s="32"/>
      <c r="AK331" s="32"/>
      <c r="AL331" s="32"/>
      <c r="AM331" s="32"/>
      <c r="AN331" s="32"/>
    </row>
    <row r="332" spans="1:40">
      <c r="A332" s="32" t="str">
        <f>_xlfn.TEXTJOIN("",TRUE,_xlfn.XLOOKUP(B332,Input!J:J,Input!G:G,"",0,1),_xlfn.XLOOKUP(B332,Input!J:J,Input!H:H,"",0,1))</f>
        <v/>
      </c>
      <c r="B332" s="32"/>
      <c r="C332" s="53">
        <f>_xlfn.XLOOKUP(B332,Input!J:J,Input!F:F)</f>
        <v>0</v>
      </c>
      <c r="D332" s="32">
        <f>_xlfn.XLOOKUP(C332,Models!H:H,Models!G:G,C332)</f>
        <v>0</v>
      </c>
      <c r="E332" s="32"/>
      <c r="F332" s="32" t="str">
        <f>_xlfn.XLOOKUP(H332,Models!B:B,Models!F:F,"")</f>
        <v/>
      </c>
      <c r="G332" s="32">
        <f>_xlfn.XLOOKUP(B332,Input!J:J,Input!E:E)</f>
        <v>0</v>
      </c>
      <c r="H332" s="32">
        <f>IF(G332="LENOVO",_xlfn.XLOOKUP(B332,Input!J:J,Input!K:K),_xlfn.XLOOKUP(B332,Input!J:J,Input!L:L))</f>
        <v>0</v>
      </c>
      <c r="I332" s="32"/>
      <c r="J332" s="32"/>
      <c r="K332" s="32"/>
      <c r="L332" s="53"/>
      <c r="M332" s="53"/>
      <c r="N332" s="53"/>
      <c r="O332" s="53" t="str" cm="1">
        <f t="array" ref="O332">IFERROR(_xlfn.FILTERXML("&lt;t&gt;&lt;s&gt;" &amp; SUBSTITUTE(M332," / ","&lt;/s&gt;&lt;s&gt;") &amp; "&lt;/s&gt;&lt;/t&gt;","(//s[contains(.,'DDR')])[1]"),"")</f>
        <v/>
      </c>
      <c r="P332" s="32" t="str">
        <f t="shared" si="15"/>
        <v>GB</v>
      </c>
      <c r="Q332" s="32"/>
      <c r="R332" s="32"/>
      <c r="S332" s="53" t="e">
        <f>_xlfn.LET(_xlpm.Result,INDEX(Input!$D$2:$AC$500,
       MATCH(B332, Input!$J$2:$J$500, 0),
       MATCH("Capacity", Input!$D$1:$AC$1, 0)),IF(_xlpm.Result="","",_xlpm.Result))</f>
        <v>#N/A</v>
      </c>
      <c r="T332" s="53" t="e" cm="1">
        <f t="array" ref="T332">_xlfn.TEXTSPLIT(S332," / ", ,TRUE,0,)</f>
        <v>#N/A</v>
      </c>
      <c r="U332" s="53"/>
      <c r="V332" s="53" t="str" cm="1">
        <f t="array" ref="V332">IFERROR(_xlfn.IFS(
T332="","",
--T332&lt;55,"Battery Defect",
--T332&lt;=69,"Battery D",
--T332&lt;=80,"Battery C",
--T332&gt;80,""
),"")</f>
        <v/>
      </c>
      <c r="W332" s="53" t="str" cm="1">
        <f t="array" ref="W332">IFERROR(_xlfn.IFS(
U332="","",
--U332&lt;55,"Battery Defect",
--U332&lt;=69,"Battery D",
--U332&lt;=80,"Battery C",
--U332&gt;80,""
),"")</f>
        <v/>
      </c>
      <c r="X332" s="53"/>
      <c r="Y332" s="53"/>
      <c r="Z332" s="53"/>
      <c r="AA332" s="53"/>
      <c r="AB332" s="53"/>
      <c r="AC332" s="53"/>
      <c r="AD332" s="53"/>
      <c r="AE332" s="53"/>
      <c r="AF332" s="32" t="str">
        <f t="shared" si="16"/>
        <v/>
      </c>
      <c r="AG332" s="32"/>
      <c r="AH332" s="32"/>
      <c r="AI332" s="32"/>
      <c r="AJ332" s="32"/>
      <c r="AK332" s="32"/>
      <c r="AL332" s="32"/>
      <c r="AM332" s="32"/>
      <c r="AN332" s="32"/>
    </row>
    <row r="333" spans="1:40">
      <c r="A333" s="32" t="str">
        <f>_xlfn.TEXTJOIN("",TRUE,_xlfn.XLOOKUP(B333,Input!J:J,Input!G:G,"",0,1),_xlfn.XLOOKUP(B333,Input!J:J,Input!H:H,"",0,1))</f>
        <v/>
      </c>
      <c r="B333" s="32"/>
      <c r="C333" s="53">
        <f>_xlfn.XLOOKUP(B333,Input!J:J,Input!F:F)</f>
        <v>0</v>
      </c>
      <c r="D333" s="32">
        <f>_xlfn.XLOOKUP(C333,Models!H:H,Models!G:G,C333)</f>
        <v>0</v>
      </c>
      <c r="E333" s="32"/>
      <c r="F333" s="32" t="str">
        <f>_xlfn.XLOOKUP(H333,Models!B:B,Models!F:F,"")</f>
        <v/>
      </c>
      <c r="G333" s="32">
        <f>_xlfn.XLOOKUP(B333,Input!J:J,Input!E:E)</f>
        <v>0</v>
      </c>
      <c r="H333" s="32">
        <f>IF(G333="LENOVO",_xlfn.XLOOKUP(B333,Input!J:J,Input!K:K),_xlfn.XLOOKUP(B333,Input!J:J,Input!L:L))</f>
        <v>0</v>
      </c>
      <c r="I333" s="32"/>
      <c r="J333" s="32"/>
      <c r="K333" s="32"/>
      <c r="L333" s="53"/>
      <c r="M333" s="53"/>
      <c r="N333" s="53"/>
      <c r="O333" s="53" t="str" cm="1">
        <f t="array" ref="O333">IFERROR(_xlfn.FILTERXML("&lt;t&gt;&lt;s&gt;" &amp; SUBSTITUTE(M333," / ","&lt;/s&gt;&lt;s&gt;") &amp; "&lt;/s&gt;&lt;/t&gt;","(//s[contains(.,'DDR')])[1]"),"")</f>
        <v/>
      </c>
      <c r="P333" s="32" t="str">
        <f t="shared" si="15"/>
        <v>GB</v>
      </c>
      <c r="Q333" s="32"/>
      <c r="R333" s="32"/>
      <c r="S333" s="53" t="e">
        <f>_xlfn.LET(_xlpm.Result,INDEX(Input!$D$2:$AC$500,
       MATCH(B333, Input!$J$2:$J$500, 0),
       MATCH("Capacity", Input!$D$1:$AC$1, 0)),IF(_xlpm.Result="","",_xlpm.Result))</f>
        <v>#N/A</v>
      </c>
      <c r="T333" s="53" t="e" cm="1">
        <f t="array" ref="T333">_xlfn.TEXTSPLIT(S333," / ", ,TRUE,0,)</f>
        <v>#N/A</v>
      </c>
      <c r="U333" s="53"/>
      <c r="V333" s="53" t="str" cm="1">
        <f t="array" ref="V333">IFERROR(_xlfn.IFS(
T333="","",
--T333&lt;55,"Battery Defect",
--T333&lt;=69,"Battery D",
--T333&lt;=80,"Battery C",
--T333&gt;80,""
),"")</f>
        <v/>
      </c>
      <c r="W333" s="53" t="str" cm="1">
        <f t="array" ref="W333">IFERROR(_xlfn.IFS(
U333="","",
--U333&lt;55,"Battery Defect",
--U333&lt;=69,"Battery D",
--U333&lt;=80,"Battery C",
--U333&gt;80,""
),"")</f>
        <v/>
      </c>
      <c r="X333" s="53"/>
      <c r="Y333" s="53"/>
      <c r="Z333" s="53"/>
      <c r="AA333" s="53"/>
      <c r="AB333" s="53"/>
      <c r="AC333" s="53"/>
      <c r="AD333" s="53"/>
      <c r="AE333" s="53"/>
      <c r="AF333" s="32" t="str">
        <f t="shared" si="16"/>
        <v/>
      </c>
      <c r="AG333" s="32"/>
      <c r="AH333" s="32"/>
      <c r="AI333" s="32"/>
      <c r="AJ333" s="32"/>
      <c r="AK333" s="32"/>
      <c r="AL333" s="32"/>
      <c r="AM333" s="32"/>
      <c r="AN333" s="32"/>
    </row>
    <row r="334" spans="1:40">
      <c r="A334" s="32" t="str">
        <f>_xlfn.TEXTJOIN("",TRUE,_xlfn.XLOOKUP(B334,Input!J:J,Input!G:G,"",0,1),_xlfn.XLOOKUP(B334,Input!J:J,Input!H:H,"",0,1))</f>
        <v/>
      </c>
      <c r="B334" s="32"/>
      <c r="C334" s="53">
        <f>_xlfn.XLOOKUP(B334,Input!J:J,Input!F:F)</f>
        <v>0</v>
      </c>
      <c r="D334" s="32">
        <f>_xlfn.XLOOKUP(C334,Models!H:H,Models!G:G,C334)</f>
        <v>0</v>
      </c>
      <c r="E334" s="32"/>
      <c r="F334" s="32" t="str">
        <f>_xlfn.XLOOKUP(H334,Models!B:B,Models!F:F,"")</f>
        <v/>
      </c>
      <c r="G334" s="32">
        <f>_xlfn.XLOOKUP(B334,Input!J:J,Input!E:E)</f>
        <v>0</v>
      </c>
      <c r="H334" s="32">
        <f>IF(G334="LENOVO",_xlfn.XLOOKUP(B334,Input!J:J,Input!K:K),_xlfn.XLOOKUP(B334,Input!J:J,Input!L:L))</f>
        <v>0</v>
      </c>
      <c r="I334" s="32"/>
      <c r="J334" s="32"/>
      <c r="K334" s="32"/>
      <c r="L334" s="53"/>
      <c r="M334" s="53"/>
      <c r="N334" s="53"/>
      <c r="O334" s="53" t="str" cm="1">
        <f t="array" ref="O334">IFERROR(_xlfn.FILTERXML("&lt;t&gt;&lt;s&gt;" &amp; SUBSTITUTE(M334," / ","&lt;/s&gt;&lt;s&gt;") &amp; "&lt;/s&gt;&lt;/t&gt;","(//s[contains(.,'DDR')])[1]"),"")</f>
        <v/>
      </c>
      <c r="P334" s="32" t="str">
        <f t="shared" si="15"/>
        <v>GB</v>
      </c>
      <c r="Q334" s="32"/>
      <c r="R334" s="32"/>
      <c r="S334" s="53" t="e">
        <f>_xlfn.LET(_xlpm.Result,INDEX(Input!$D$2:$AC$500,
       MATCH(B334, Input!$J$2:$J$500, 0),
       MATCH("Capacity", Input!$D$1:$AC$1, 0)),IF(_xlpm.Result="","",_xlpm.Result))</f>
        <v>#N/A</v>
      </c>
      <c r="T334" s="53" t="e" cm="1">
        <f t="array" ref="T334">_xlfn.TEXTSPLIT(S334," / ", ,TRUE,0,)</f>
        <v>#N/A</v>
      </c>
      <c r="U334" s="53"/>
      <c r="V334" s="53" t="str" cm="1">
        <f t="array" ref="V334">IFERROR(_xlfn.IFS(
T334="","",
--T334&lt;55,"Battery Defect",
--T334&lt;=69,"Battery D",
--T334&lt;=80,"Battery C",
--T334&gt;80,""
),"")</f>
        <v/>
      </c>
      <c r="W334" s="53" t="str" cm="1">
        <f t="array" ref="W334">IFERROR(_xlfn.IFS(
U334="","",
--U334&lt;55,"Battery Defect",
--U334&lt;=69,"Battery D",
--U334&lt;=80,"Battery C",
--U334&gt;80,""
),"")</f>
        <v/>
      </c>
      <c r="X334" s="53"/>
      <c r="Y334" s="53"/>
      <c r="Z334" s="53"/>
      <c r="AA334" s="53"/>
      <c r="AB334" s="53"/>
      <c r="AC334" s="53"/>
      <c r="AD334" s="53"/>
      <c r="AE334" s="53"/>
      <c r="AF334" s="32" t="str">
        <f t="shared" si="16"/>
        <v/>
      </c>
      <c r="AG334" s="32"/>
      <c r="AH334" s="32"/>
      <c r="AI334" s="32"/>
      <c r="AJ334" s="32"/>
      <c r="AK334" s="32"/>
      <c r="AL334" s="32"/>
      <c r="AM334" s="32"/>
      <c r="AN334" s="32"/>
    </row>
    <row r="335" spans="1:40">
      <c r="A335" s="32" t="str">
        <f>_xlfn.TEXTJOIN("",TRUE,_xlfn.XLOOKUP(B335,Input!J:J,Input!G:G,"",0,1),_xlfn.XLOOKUP(B335,Input!J:J,Input!H:H,"",0,1))</f>
        <v/>
      </c>
      <c r="B335" s="32"/>
      <c r="C335" s="53">
        <f>_xlfn.XLOOKUP(B335,Input!J:J,Input!F:F)</f>
        <v>0</v>
      </c>
      <c r="D335" s="32">
        <f>_xlfn.XLOOKUP(C335,Models!H:H,Models!G:G,C335)</f>
        <v>0</v>
      </c>
      <c r="E335" s="32"/>
      <c r="F335" s="32" t="str">
        <f>_xlfn.XLOOKUP(H335,Models!B:B,Models!F:F,"")</f>
        <v/>
      </c>
      <c r="G335" s="32">
        <f>_xlfn.XLOOKUP(B335,Input!J:J,Input!E:E)</f>
        <v>0</v>
      </c>
      <c r="H335" s="32">
        <f>IF(G335="LENOVO",_xlfn.XLOOKUP(B335,Input!J:J,Input!K:K),_xlfn.XLOOKUP(B335,Input!J:J,Input!L:L))</f>
        <v>0</v>
      </c>
      <c r="I335" s="32"/>
      <c r="J335" s="32"/>
      <c r="K335" s="32"/>
      <c r="L335" s="53"/>
      <c r="M335" s="53"/>
      <c r="N335" s="53"/>
      <c r="O335" s="53" t="str" cm="1">
        <f t="array" ref="O335">IFERROR(_xlfn.FILTERXML("&lt;t&gt;&lt;s&gt;" &amp; SUBSTITUTE(M335," / ","&lt;/s&gt;&lt;s&gt;") &amp; "&lt;/s&gt;&lt;/t&gt;","(//s[contains(.,'DDR')])[1]"),"")</f>
        <v/>
      </c>
      <c r="P335" s="32" t="str">
        <f t="shared" si="15"/>
        <v>GB</v>
      </c>
      <c r="Q335" s="32"/>
      <c r="R335" s="32"/>
      <c r="S335" s="53" t="e">
        <f>_xlfn.LET(_xlpm.Result,INDEX(Input!$D$2:$AC$500,
       MATCH(B335, Input!$J$2:$J$500, 0),
       MATCH("Capacity", Input!$D$1:$AC$1, 0)),IF(_xlpm.Result="","",_xlpm.Result))</f>
        <v>#N/A</v>
      </c>
      <c r="T335" s="53" t="e" cm="1">
        <f t="array" ref="T335">_xlfn.TEXTSPLIT(S335," / ", ,TRUE,0,)</f>
        <v>#N/A</v>
      </c>
      <c r="U335" s="53"/>
      <c r="V335" s="53" t="str" cm="1">
        <f t="array" ref="V335">IFERROR(_xlfn.IFS(
T335="","",
--T335&lt;55,"Battery Defect",
--T335&lt;=69,"Battery D",
--T335&lt;=80,"Battery C",
--T335&gt;80,""
),"")</f>
        <v/>
      </c>
      <c r="W335" s="53" t="str" cm="1">
        <f t="array" ref="W335">IFERROR(_xlfn.IFS(
U335="","",
--U335&lt;55,"Battery Defect",
--U335&lt;=69,"Battery D",
--U335&lt;=80,"Battery C",
--U335&gt;80,""
),"")</f>
        <v/>
      </c>
      <c r="X335" s="53"/>
      <c r="Y335" s="53"/>
      <c r="Z335" s="53"/>
      <c r="AA335" s="53"/>
      <c r="AB335" s="53"/>
      <c r="AC335" s="53"/>
      <c r="AD335" s="53"/>
      <c r="AE335" s="53"/>
      <c r="AF335" s="32" t="str">
        <f t="shared" si="16"/>
        <v/>
      </c>
      <c r="AG335" s="32"/>
      <c r="AH335" s="32"/>
      <c r="AI335" s="32"/>
      <c r="AJ335" s="32"/>
      <c r="AK335" s="32"/>
      <c r="AL335" s="32"/>
      <c r="AM335" s="32"/>
      <c r="AN335" s="32"/>
    </row>
    <row r="336" spans="1:40">
      <c r="A336" s="32" t="str">
        <f>_xlfn.TEXTJOIN("",TRUE,_xlfn.XLOOKUP(B336,Input!J:J,Input!G:G,"",0,1),_xlfn.XLOOKUP(B336,Input!J:J,Input!H:H,"",0,1))</f>
        <v/>
      </c>
      <c r="B336" s="32"/>
      <c r="C336" s="53">
        <f>_xlfn.XLOOKUP(B336,Input!J:J,Input!F:F)</f>
        <v>0</v>
      </c>
      <c r="D336" s="32">
        <f>_xlfn.XLOOKUP(C336,Models!H:H,Models!G:G,C336)</f>
        <v>0</v>
      </c>
      <c r="E336" s="32"/>
      <c r="F336" s="32" t="str">
        <f>_xlfn.XLOOKUP(H336,Models!B:B,Models!F:F,"")</f>
        <v/>
      </c>
      <c r="G336" s="32">
        <f>_xlfn.XLOOKUP(B336,Input!J:J,Input!E:E)</f>
        <v>0</v>
      </c>
      <c r="H336" s="32">
        <f>IF(G336="LENOVO",_xlfn.XLOOKUP(B336,Input!J:J,Input!K:K),_xlfn.XLOOKUP(B336,Input!J:J,Input!L:L))</f>
        <v>0</v>
      </c>
      <c r="I336" s="32"/>
      <c r="J336" s="32"/>
      <c r="K336" s="32"/>
      <c r="L336" s="53"/>
      <c r="M336" s="53"/>
      <c r="N336" s="53"/>
      <c r="O336" s="53" t="str" cm="1">
        <f t="array" ref="O336">IFERROR(_xlfn.FILTERXML("&lt;t&gt;&lt;s&gt;" &amp; SUBSTITUTE(M336," / ","&lt;/s&gt;&lt;s&gt;") &amp; "&lt;/s&gt;&lt;/t&gt;","(//s[contains(.,'DDR')])[1]"),"")</f>
        <v/>
      </c>
      <c r="P336" s="32" t="str">
        <f t="shared" si="15"/>
        <v>GB</v>
      </c>
      <c r="Q336" s="32"/>
      <c r="R336" s="32"/>
      <c r="S336" s="53" t="e">
        <f>_xlfn.LET(_xlpm.Result,INDEX(Input!$D$2:$AC$500,
       MATCH(B336, Input!$J$2:$J$500, 0),
       MATCH("Capacity", Input!$D$1:$AC$1, 0)),IF(_xlpm.Result="","",_xlpm.Result))</f>
        <v>#N/A</v>
      </c>
      <c r="T336" s="53" t="e" cm="1">
        <f t="array" ref="T336">_xlfn.TEXTSPLIT(S336," / ", ,TRUE,0,)</f>
        <v>#N/A</v>
      </c>
      <c r="U336" s="53"/>
      <c r="V336" s="53" t="str" cm="1">
        <f t="array" ref="V336">IFERROR(_xlfn.IFS(
T336="","",
--T336&lt;55,"Battery Defect",
--T336&lt;=69,"Battery D",
--T336&lt;=80,"Battery C",
--T336&gt;80,""
),"")</f>
        <v/>
      </c>
      <c r="W336" s="53" t="str" cm="1">
        <f t="array" ref="W336">IFERROR(_xlfn.IFS(
U336="","",
--U336&lt;55,"Battery Defect",
--U336&lt;=69,"Battery D",
--U336&lt;=80,"Battery C",
--U336&gt;80,""
),"")</f>
        <v/>
      </c>
      <c r="X336" s="53"/>
      <c r="Y336" s="53"/>
      <c r="Z336" s="53"/>
      <c r="AA336" s="53"/>
      <c r="AB336" s="53"/>
      <c r="AC336" s="53"/>
      <c r="AD336" s="53"/>
      <c r="AE336" s="53"/>
      <c r="AF336" s="32" t="str">
        <f t="shared" si="16"/>
        <v/>
      </c>
      <c r="AG336" s="32"/>
      <c r="AH336" s="32"/>
      <c r="AI336" s="32"/>
      <c r="AJ336" s="32"/>
      <c r="AK336" s="32"/>
      <c r="AL336" s="32"/>
      <c r="AM336" s="32"/>
      <c r="AN336" s="32"/>
    </row>
    <row r="337" spans="1:40">
      <c r="A337" s="32" t="str">
        <f>_xlfn.TEXTJOIN("",TRUE,_xlfn.XLOOKUP(B337,Input!J:J,Input!G:G,"",0,1),_xlfn.XLOOKUP(B337,Input!J:J,Input!H:H,"",0,1))</f>
        <v/>
      </c>
      <c r="B337" s="32"/>
      <c r="C337" s="53">
        <f>_xlfn.XLOOKUP(B337,Input!J:J,Input!F:F)</f>
        <v>0</v>
      </c>
      <c r="D337" s="32">
        <f>_xlfn.XLOOKUP(C337,Models!H:H,Models!G:G,C337)</f>
        <v>0</v>
      </c>
      <c r="E337" s="32"/>
      <c r="F337" s="32" t="str">
        <f>_xlfn.XLOOKUP(H337,Models!B:B,Models!F:F,"")</f>
        <v/>
      </c>
      <c r="G337" s="32">
        <f>_xlfn.XLOOKUP(B337,Input!J:J,Input!E:E)</f>
        <v>0</v>
      </c>
      <c r="H337" s="32">
        <f>IF(G337="LENOVO",_xlfn.XLOOKUP(B337,Input!J:J,Input!K:K),_xlfn.XLOOKUP(B337,Input!J:J,Input!L:L))</f>
        <v>0</v>
      </c>
      <c r="I337" s="32"/>
      <c r="J337" s="32"/>
      <c r="K337" s="32"/>
      <c r="L337" s="53"/>
      <c r="M337" s="53"/>
      <c r="N337" s="53"/>
      <c r="O337" s="53" t="str" cm="1">
        <f t="array" ref="O337">IFERROR(_xlfn.FILTERXML("&lt;t&gt;&lt;s&gt;" &amp; SUBSTITUTE(M337," / ","&lt;/s&gt;&lt;s&gt;") &amp; "&lt;/s&gt;&lt;/t&gt;","(//s[contains(.,'DDR')])[1]"),"")</f>
        <v/>
      </c>
      <c r="P337" s="32" t="str">
        <f t="shared" si="15"/>
        <v>GB</v>
      </c>
      <c r="Q337" s="32"/>
      <c r="R337" s="32"/>
      <c r="S337" s="53" t="e">
        <f>_xlfn.LET(_xlpm.Result,INDEX(Input!$D$2:$AC$500,
       MATCH(B337, Input!$J$2:$J$500, 0),
       MATCH("Capacity", Input!$D$1:$AC$1, 0)),IF(_xlpm.Result="","",_xlpm.Result))</f>
        <v>#N/A</v>
      </c>
      <c r="T337" s="53" t="e" cm="1">
        <f t="array" ref="T337">_xlfn.TEXTSPLIT(S337," / ", ,TRUE,0,)</f>
        <v>#N/A</v>
      </c>
      <c r="U337" s="53"/>
      <c r="V337" s="53" t="str" cm="1">
        <f t="array" ref="V337">IFERROR(_xlfn.IFS(
T337="","",
--T337&lt;55,"Battery Defect",
--T337&lt;=69,"Battery D",
--T337&lt;=80,"Battery C",
--T337&gt;80,""
),"")</f>
        <v/>
      </c>
      <c r="W337" s="53" t="str" cm="1">
        <f t="array" ref="W337">IFERROR(_xlfn.IFS(
U337="","",
--U337&lt;55,"Battery Defect",
--U337&lt;=69,"Battery D",
--U337&lt;=80,"Battery C",
--U337&gt;80,""
),"")</f>
        <v/>
      </c>
      <c r="X337" s="53"/>
      <c r="Y337" s="53"/>
      <c r="Z337" s="53"/>
      <c r="AA337" s="53"/>
      <c r="AB337" s="53"/>
      <c r="AC337" s="53"/>
      <c r="AD337" s="53"/>
      <c r="AE337" s="53"/>
      <c r="AF337" s="32" t="str">
        <f t="shared" si="16"/>
        <v/>
      </c>
      <c r="AG337" s="32"/>
      <c r="AH337" s="32"/>
      <c r="AI337" s="32"/>
      <c r="AJ337" s="32"/>
      <c r="AK337" s="32"/>
      <c r="AL337" s="32"/>
      <c r="AM337" s="32"/>
      <c r="AN337" s="32"/>
    </row>
    <row r="338" spans="1:40">
      <c r="A338" s="32" t="str">
        <f>_xlfn.TEXTJOIN("",TRUE,_xlfn.XLOOKUP(B338,Input!J:J,Input!G:G,"",0,1),_xlfn.XLOOKUP(B338,Input!J:J,Input!H:H,"",0,1))</f>
        <v/>
      </c>
      <c r="B338" s="32"/>
      <c r="C338" s="53">
        <f>_xlfn.XLOOKUP(B338,Input!J:J,Input!F:F)</f>
        <v>0</v>
      </c>
      <c r="D338" s="32">
        <f>_xlfn.XLOOKUP(C338,Models!H:H,Models!G:G,C338)</f>
        <v>0</v>
      </c>
      <c r="E338" s="32"/>
      <c r="F338" s="32" t="str">
        <f>_xlfn.XLOOKUP(H338,Models!B:B,Models!F:F,"")</f>
        <v/>
      </c>
      <c r="G338" s="32">
        <f>_xlfn.XLOOKUP(B338,Input!J:J,Input!E:E)</f>
        <v>0</v>
      </c>
      <c r="H338" s="32">
        <f>IF(G338="LENOVO",_xlfn.XLOOKUP(B338,Input!J:J,Input!K:K),_xlfn.XLOOKUP(B338,Input!J:J,Input!L:L))</f>
        <v>0</v>
      </c>
      <c r="I338" s="32"/>
      <c r="J338" s="32"/>
      <c r="K338" s="32"/>
      <c r="L338" s="53"/>
      <c r="M338" s="53"/>
      <c r="N338" s="53"/>
      <c r="O338" s="53" t="str" cm="1">
        <f t="array" ref="O338">IFERROR(_xlfn.FILTERXML("&lt;t&gt;&lt;s&gt;" &amp; SUBSTITUTE(M338," / ","&lt;/s&gt;&lt;s&gt;") &amp; "&lt;/s&gt;&lt;/t&gt;","(//s[contains(.,'DDR')])[1]"),"")</f>
        <v/>
      </c>
      <c r="P338" s="32" t="str">
        <f t="shared" si="15"/>
        <v>GB</v>
      </c>
      <c r="Q338" s="32"/>
      <c r="R338" s="32"/>
      <c r="S338" s="53" t="e">
        <f>_xlfn.LET(_xlpm.Result,INDEX(Input!$D$2:$AC$500,
       MATCH(B338, Input!$J$2:$J$500, 0),
       MATCH("Capacity", Input!$D$1:$AC$1, 0)),IF(_xlpm.Result="","",_xlpm.Result))</f>
        <v>#N/A</v>
      </c>
      <c r="T338" s="53" t="e" cm="1">
        <f t="array" ref="T338">_xlfn.TEXTSPLIT(S338," / ", ,TRUE,0,)</f>
        <v>#N/A</v>
      </c>
      <c r="U338" s="53"/>
      <c r="V338" s="53" t="str" cm="1">
        <f t="array" ref="V338">IFERROR(_xlfn.IFS(
T338="","",
--T338&lt;55,"Battery Defect",
--T338&lt;=69,"Battery D",
--T338&lt;=80,"Battery C",
--T338&gt;80,""
),"")</f>
        <v/>
      </c>
      <c r="W338" s="53" t="str" cm="1">
        <f t="array" ref="W338">IFERROR(_xlfn.IFS(
U338="","",
--U338&lt;55,"Battery Defect",
--U338&lt;=69,"Battery D",
--U338&lt;=80,"Battery C",
--U338&gt;80,""
),"")</f>
        <v/>
      </c>
      <c r="X338" s="53"/>
      <c r="Y338" s="53"/>
      <c r="Z338" s="53"/>
      <c r="AA338" s="53"/>
      <c r="AB338" s="53"/>
      <c r="AC338" s="53"/>
      <c r="AD338" s="53"/>
      <c r="AE338" s="53"/>
      <c r="AF338" s="32" t="str">
        <f t="shared" si="16"/>
        <v/>
      </c>
      <c r="AG338" s="32"/>
      <c r="AH338" s="32"/>
      <c r="AI338" s="32"/>
      <c r="AJ338" s="32"/>
      <c r="AK338" s="32"/>
      <c r="AL338" s="32"/>
      <c r="AM338" s="32"/>
      <c r="AN338" s="32"/>
    </row>
    <row r="339" spans="1:40">
      <c r="A339" s="32" t="str">
        <f>_xlfn.TEXTJOIN("",TRUE,_xlfn.XLOOKUP(B339,Input!J:J,Input!G:G,"",0,1),_xlfn.XLOOKUP(B339,Input!J:J,Input!H:H,"",0,1))</f>
        <v/>
      </c>
      <c r="B339" s="32"/>
      <c r="C339" s="53">
        <f>_xlfn.XLOOKUP(B339,Input!J:J,Input!F:F)</f>
        <v>0</v>
      </c>
      <c r="D339" s="32">
        <f>_xlfn.XLOOKUP(C339,Models!H:H,Models!G:G,C339)</f>
        <v>0</v>
      </c>
      <c r="E339" s="32"/>
      <c r="F339" s="32" t="str">
        <f>_xlfn.XLOOKUP(H339,Models!B:B,Models!F:F,"")</f>
        <v/>
      </c>
      <c r="G339" s="32">
        <f>_xlfn.XLOOKUP(B339,Input!J:J,Input!E:E)</f>
        <v>0</v>
      </c>
      <c r="H339" s="32">
        <f>IF(G339="LENOVO",_xlfn.XLOOKUP(B339,Input!J:J,Input!K:K),_xlfn.XLOOKUP(B339,Input!J:J,Input!L:L))</f>
        <v>0</v>
      </c>
      <c r="I339" s="32"/>
      <c r="J339" s="32"/>
      <c r="K339" s="32"/>
      <c r="L339" s="53"/>
      <c r="M339" s="53"/>
      <c r="N339" s="53"/>
      <c r="O339" s="53" t="str" cm="1">
        <f t="array" ref="O339">IFERROR(_xlfn.FILTERXML("&lt;t&gt;&lt;s&gt;" &amp; SUBSTITUTE(M339," / ","&lt;/s&gt;&lt;s&gt;") &amp; "&lt;/s&gt;&lt;/t&gt;","(//s[contains(.,'DDR')])[1]"),"")</f>
        <v/>
      </c>
      <c r="P339" s="32" t="str">
        <f t="shared" si="15"/>
        <v>GB</v>
      </c>
      <c r="Q339" s="32"/>
      <c r="R339" s="32"/>
      <c r="S339" s="53" t="e">
        <f>_xlfn.LET(_xlpm.Result,INDEX(Input!$D$2:$AC$500,
       MATCH(B339, Input!$J$2:$J$500, 0),
       MATCH("Capacity", Input!$D$1:$AC$1, 0)),IF(_xlpm.Result="","",_xlpm.Result))</f>
        <v>#N/A</v>
      </c>
      <c r="T339" s="53" t="e" cm="1">
        <f t="array" ref="T339">_xlfn.TEXTSPLIT(S339," / ", ,TRUE,0,)</f>
        <v>#N/A</v>
      </c>
      <c r="U339" s="53"/>
      <c r="V339" s="53" t="str" cm="1">
        <f t="array" ref="V339">IFERROR(_xlfn.IFS(
T339="","",
--T339&lt;55,"Battery Defect",
--T339&lt;=69,"Battery D",
--T339&lt;=80,"Battery C",
--T339&gt;80,""
),"")</f>
        <v/>
      </c>
      <c r="W339" s="53" t="str" cm="1">
        <f t="array" ref="W339">IFERROR(_xlfn.IFS(
U339="","",
--U339&lt;55,"Battery Defect",
--U339&lt;=69,"Battery D",
--U339&lt;=80,"Battery C",
--U339&gt;80,""
),"")</f>
        <v/>
      </c>
      <c r="X339" s="53"/>
      <c r="Y339" s="53"/>
      <c r="Z339" s="53"/>
      <c r="AA339" s="53"/>
      <c r="AB339" s="53"/>
      <c r="AC339" s="53"/>
      <c r="AD339" s="53"/>
      <c r="AE339" s="53"/>
      <c r="AF339" s="32" t="str">
        <f t="shared" si="16"/>
        <v/>
      </c>
      <c r="AG339" s="32"/>
      <c r="AH339" s="32"/>
      <c r="AI339" s="32"/>
      <c r="AJ339" s="32"/>
      <c r="AK339" s="32"/>
      <c r="AL339" s="32"/>
      <c r="AM339" s="32"/>
      <c r="AN339" s="32"/>
    </row>
    <row r="340" spans="1:40">
      <c r="A340" s="32" t="str">
        <f>_xlfn.TEXTJOIN("",TRUE,_xlfn.XLOOKUP(B340,Input!J:J,Input!G:G,"",0,1),_xlfn.XLOOKUP(B340,Input!J:J,Input!H:H,"",0,1))</f>
        <v/>
      </c>
      <c r="B340" s="32"/>
      <c r="C340" s="53">
        <f>_xlfn.XLOOKUP(B340,Input!J:J,Input!F:F)</f>
        <v>0</v>
      </c>
      <c r="D340" s="32">
        <f>_xlfn.XLOOKUP(C340,Models!H:H,Models!G:G,C340)</f>
        <v>0</v>
      </c>
      <c r="E340" s="32"/>
      <c r="F340" s="32" t="str">
        <f>_xlfn.XLOOKUP(H340,Models!B:B,Models!F:F,"")</f>
        <v/>
      </c>
      <c r="G340" s="32">
        <f>_xlfn.XLOOKUP(B340,Input!J:J,Input!E:E)</f>
        <v>0</v>
      </c>
      <c r="H340" s="32">
        <f>IF(G340="LENOVO",_xlfn.XLOOKUP(B340,Input!J:J,Input!K:K),_xlfn.XLOOKUP(B340,Input!J:J,Input!L:L))</f>
        <v>0</v>
      </c>
      <c r="I340" s="32"/>
      <c r="J340" s="32"/>
      <c r="K340" s="32"/>
      <c r="L340" s="53"/>
      <c r="M340" s="53"/>
      <c r="N340" s="53"/>
      <c r="O340" s="53" t="str" cm="1">
        <f t="array" ref="O340">IFERROR(_xlfn.FILTERXML("&lt;t&gt;&lt;s&gt;" &amp; SUBSTITUTE(M340," / ","&lt;/s&gt;&lt;s&gt;") &amp; "&lt;/s&gt;&lt;/t&gt;","(//s[contains(.,'DDR')])[1]"),"")</f>
        <v/>
      </c>
      <c r="P340" s="32" t="str">
        <f t="shared" si="15"/>
        <v>GB</v>
      </c>
      <c r="Q340" s="32"/>
      <c r="R340" s="32"/>
      <c r="S340" s="53" t="e">
        <f>_xlfn.LET(_xlpm.Result,INDEX(Input!$D$2:$AC$500,
       MATCH(B340, Input!$J$2:$J$500, 0),
       MATCH("Capacity", Input!$D$1:$AC$1, 0)),IF(_xlpm.Result="","",_xlpm.Result))</f>
        <v>#N/A</v>
      </c>
      <c r="T340" s="53" t="e" cm="1">
        <f t="array" ref="T340">_xlfn.TEXTSPLIT(S340," / ", ,TRUE,0,)</f>
        <v>#N/A</v>
      </c>
      <c r="U340" s="53"/>
      <c r="V340" s="53" t="str" cm="1">
        <f t="array" ref="V340">IFERROR(_xlfn.IFS(
T340="","",
--T340&lt;55,"Battery Defect",
--T340&lt;=69,"Battery D",
--T340&lt;=80,"Battery C",
--T340&gt;80,""
),"")</f>
        <v/>
      </c>
      <c r="W340" s="53" t="str" cm="1">
        <f t="array" ref="W340">IFERROR(_xlfn.IFS(
U340="","",
--U340&lt;55,"Battery Defect",
--U340&lt;=69,"Battery D",
--U340&lt;=80,"Battery C",
--U340&gt;80,""
),"")</f>
        <v/>
      </c>
      <c r="X340" s="53"/>
      <c r="Y340" s="53"/>
      <c r="Z340" s="53"/>
      <c r="AA340" s="53"/>
      <c r="AB340" s="53"/>
      <c r="AC340" s="53"/>
      <c r="AD340" s="53"/>
      <c r="AE340" s="53"/>
      <c r="AF340" s="32" t="str">
        <f t="shared" si="16"/>
        <v/>
      </c>
      <c r="AG340" s="32"/>
      <c r="AH340" s="32"/>
      <c r="AI340" s="32"/>
      <c r="AJ340" s="32"/>
      <c r="AK340" s="32"/>
      <c r="AL340" s="32"/>
      <c r="AM340" s="32"/>
      <c r="AN340" s="32"/>
    </row>
    <row r="341" spans="1:40">
      <c r="A341" s="32" t="str">
        <f>_xlfn.TEXTJOIN("",TRUE,_xlfn.XLOOKUP(B341,Input!J:J,Input!G:G,"",0,1),_xlfn.XLOOKUP(B341,Input!J:J,Input!H:H,"",0,1))</f>
        <v/>
      </c>
      <c r="B341" s="32"/>
      <c r="C341" s="53">
        <f>_xlfn.XLOOKUP(B341,Input!J:J,Input!F:F)</f>
        <v>0</v>
      </c>
      <c r="D341" s="32">
        <f>_xlfn.XLOOKUP(C341,Models!H:H,Models!G:G,C341)</f>
        <v>0</v>
      </c>
      <c r="E341" s="32"/>
      <c r="F341" s="32" t="str">
        <f>_xlfn.XLOOKUP(H341,Models!B:B,Models!F:F,"")</f>
        <v/>
      </c>
      <c r="G341" s="32">
        <f>_xlfn.XLOOKUP(B341,Input!J:J,Input!E:E)</f>
        <v>0</v>
      </c>
      <c r="H341" s="32">
        <f>IF(G341="LENOVO",_xlfn.XLOOKUP(B341,Input!J:J,Input!K:K),_xlfn.XLOOKUP(B341,Input!J:J,Input!L:L))</f>
        <v>0</v>
      </c>
      <c r="I341" s="32"/>
      <c r="J341" s="32"/>
      <c r="K341" s="32"/>
      <c r="L341" s="53"/>
      <c r="M341" s="53"/>
      <c r="N341" s="53"/>
      <c r="O341" s="53" t="str" cm="1">
        <f t="array" ref="O341">IFERROR(_xlfn.FILTERXML("&lt;t&gt;&lt;s&gt;" &amp; SUBSTITUTE(M341," / ","&lt;/s&gt;&lt;s&gt;") &amp; "&lt;/s&gt;&lt;/t&gt;","(//s[contains(.,'DDR')])[1]"),"")</f>
        <v/>
      </c>
      <c r="P341" s="32" t="str">
        <f t="shared" si="15"/>
        <v>GB</v>
      </c>
      <c r="Q341" s="32"/>
      <c r="R341" s="32"/>
      <c r="S341" s="53" t="e">
        <f>_xlfn.LET(_xlpm.Result,INDEX(Input!$D$2:$AC$500,
       MATCH(B341, Input!$J$2:$J$500, 0),
       MATCH("Capacity", Input!$D$1:$AC$1, 0)),IF(_xlpm.Result="","",_xlpm.Result))</f>
        <v>#N/A</v>
      </c>
      <c r="T341" s="53" t="e" cm="1">
        <f t="array" ref="T341">_xlfn.TEXTSPLIT(S341," / ", ,TRUE,0,)</f>
        <v>#N/A</v>
      </c>
      <c r="U341" s="53"/>
      <c r="V341" s="53" t="str" cm="1">
        <f t="array" ref="V341">IFERROR(_xlfn.IFS(
T341="","",
--T341&lt;55,"Battery Defect",
--T341&lt;=69,"Battery D",
--T341&lt;=80,"Battery C",
--T341&gt;80,""
),"")</f>
        <v/>
      </c>
      <c r="W341" s="53" t="str" cm="1">
        <f t="array" ref="W341">IFERROR(_xlfn.IFS(
U341="","",
--U341&lt;55,"Battery Defect",
--U341&lt;=69,"Battery D",
--U341&lt;=80,"Battery C",
--U341&gt;80,""
),"")</f>
        <v/>
      </c>
      <c r="X341" s="53"/>
      <c r="Y341" s="53"/>
      <c r="Z341" s="53"/>
      <c r="AA341" s="53"/>
      <c r="AB341" s="53"/>
      <c r="AC341" s="53"/>
      <c r="AD341" s="53"/>
      <c r="AE341" s="53"/>
      <c r="AF341" s="32" t="str">
        <f t="shared" si="16"/>
        <v/>
      </c>
      <c r="AG341" s="32"/>
      <c r="AH341" s="32"/>
      <c r="AI341" s="32"/>
      <c r="AJ341" s="32"/>
      <c r="AK341" s="32"/>
      <c r="AL341" s="32"/>
      <c r="AM341" s="32"/>
      <c r="AN341" s="32"/>
    </row>
    <row r="342" spans="1:40">
      <c r="A342" s="32" t="str">
        <f>_xlfn.TEXTJOIN("",TRUE,_xlfn.XLOOKUP(B342,Input!J:J,Input!G:G,"",0,1),_xlfn.XLOOKUP(B342,Input!J:J,Input!H:H,"",0,1))</f>
        <v/>
      </c>
      <c r="B342" s="32"/>
      <c r="C342" s="53">
        <f>_xlfn.XLOOKUP(B342,Input!J:J,Input!F:F)</f>
        <v>0</v>
      </c>
      <c r="D342" s="32">
        <f>_xlfn.XLOOKUP(C342,Models!H:H,Models!G:G,C342)</f>
        <v>0</v>
      </c>
      <c r="E342" s="32"/>
      <c r="F342" s="32" t="str">
        <f>_xlfn.XLOOKUP(H342,Models!B:B,Models!F:F,"")</f>
        <v/>
      </c>
      <c r="G342" s="32">
        <f>_xlfn.XLOOKUP(B342,Input!J:J,Input!E:E)</f>
        <v>0</v>
      </c>
      <c r="H342" s="32">
        <f>IF(G342="LENOVO",_xlfn.XLOOKUP(B342,Input!J:J,Input!K:K),_xlfn.XLOOKUP(B342,Input!J:J,Input!L:L))</f>
        <v>0</v>
      </c>
      <c r="I342" s="32"/>
      <c r="J342" s="32"/>
      <c r="K342" s="32"/>
      <c r="L342" s="53"/>
      <c r="M342" s="53"/>
      <c r="N342" s="53"/>
      <c r="O342" s="53" t="str" cm="1">
        <f t="array" ref="O342">IFERROR(_xlfn.FILTERXML("&lt;t&gt;&lt;s&gt;" &amp; SUBSTITUTE(M342," / ","&lt;/s&gt;&lt;s&gt;") &amp; "&lt;/s&gt;&lt;/t&gt;","(//s[contains(.,'DDR')])[1]"),"")</f>
        <v/>
      </c>
      <c r="P342" s="32" t="str">
        <f t="shared" si="15"/>
        <v>GB</v>
      </c>
      <c r="Q342" s="32"/>
      <c r="R342" s="32"/>
      <c r="S342" s="53" t="e">
        <f>_xlfn.LET(_xlpm.Result,INDEX(Input!$D$2:$AC$500,
       MATCH(B342, Input!$J$2:$J$500, 0),
       MATCH("Capacity", Input!$D$1:$AC$1, 0)),IF(_xlpm.Result="","",_xlpm.Result))</f>
        <v>#N/A</v>
      </c>
      <c r="T342" s="53" t="e" cm="1">
        <f t="array" ref="T342">_xlfn.TEXTSPLIT(S342," / ", ,TRUE,0,)</f>
        <v>#N/A</v>
      </c>
      <c r="U342" s="53"/>
      <c r="V342" s="53" t="str" cm="1">
        <f t="array" ref="V342">IFERROR(_xlfn.IFS(
T342="","",
--T342&lt;55,"Battery Defect",
--T342&lt;=69,"Battery D",
--T342&lt;=80,"Battery C",
--T342&gt;80,""
),"")</f>
        <v/>
      </c>
      <c r="W342" s="53" t="str" cm="1">
        <f t="array" ref="W342">IFERROR(_xlfn.IFS(
U342="","",
--U342&lt;55,"Battery Defect",
--U342&lt;=69,"Battery D",
--U342&lt;=80,"Battery C",
--U342&gt;80,""
),"")</f>
        <v/>
      </c>
      <c r="X342" s="53"/>
      <c r="Y342" s="53"/>
      <c r="Z342" s="53"/>
      <c r="AA342" s="53"/>
      <c r="AB342" s="53"/>
      <c r="AC342" s="53"/>
      <c r="AD342" s="53"/>
      <c r="AE342" s="53"/>
      <c r="AF342" s="32" t="str">
        <f t="shared" si="16"/>
        <v/>
      </c>
      <c r="AG342" s="32"/>
      <c r="AH342" s="32"/>
      <c r="AI342" s="32"/>
      <c r="AJ342" s="32"/>
      <c r="AK342" s="32"/>
      <c r="AL342" s="32"/>
      <c r="AM342" s="32"/>
      <c r="AN342" s="32"/>
    </row>
    <row r="343" spans="1:40">
      <c r="A343" s="32" t="str">
        <f>_xlfn.TEXTJOIN("",TRUE,_xlfn.XLOOKUP(B343,Input!J:J,Input!G:G,"",0,1),_xlfn.XLOOKUP(B343,Input!J:J,Input!H:H,"",0,1))</f>
        <v/>
      </c>
      <c r="B343" s="32"/>
      <c r="C343" s="53">
        <f>_xlfn.XLOOKUP(B343,Input!J:J,Input!F:F)</f>
        <v>0</v>
      </c>
      <c r="D343" s="32">
        <f>_xlfn.XLOOKUP(C343,Models!H:H,Models!G:G,C343)</f>
        <v>0</v>
      </c>
      <c r="E343" s="32"/>
      <c r="F343" s="32" t="str">
        <f>_xlfn.XLOOKUP(H343,Models!B:B,Models!F:F,"")</f>
        <v/>
      </c>
      <c r="G343" s="32">
        <f>_xlfn.XLOOKUP(B343,Input!J:J,Input!E:E)</f>
        <v>0</v>
      </c>
      <c r="H343" s="32">
        <f>IF(G343="LENOVO",_xlfn.XLOOKUP(B343,Input!J:J,Input!K:K),_xlfn.XLOOKUP(B343,Input!J:J,Input!L:L))</f>
        <v>0</v>
      </c>
      <c r="I343" s="32"/>
      <c r="J343" s="32"/>
      <c r="K343" s="32"/>
      <c r="L343" s="53"/>
      <c r="M343" s="53"/>
      <c r="N343" s="53"/>
      <c r="O343" s="53" t="str" cm="1">
        <f t="array" ref="O343">IFERROR(_xlfn.FILTERXML("&lt;t&gt;&lt;s&gt;" &amp; SUBSTITUTE(M343," / ","&lt;/s&gt;&lt;s&gt;") &amp; "&lt;/s&gt;&lt;/t&gt;","(//s[contains(.,'DDR')])[1]"),"")</f>
        <v/>
      </c>
      <c r="P343" s="32" t="str">
        <f t="shared" si="15"/>
        <v>GB</v>
      </c>
      <c r="Q343" s="32"/>
      <c r="R343" s="32"/>
      <c r="S343" s="53" t="e">
        <f>_xlfn.LET(_xlpm.Result,INDEX(Input!$D$2:$AC$500,
       MATCH(B343, Input!$J$2:$J$500, 0),
       MATCH("Capacity", Input!$D$1:$AC$1, 0)),IF(_xlpm.Result="","",_xlpm.Result))</f>
        <v>#N/A</v>
      </c>
      <c r="T343" s="53" t="e" cm="1">
        <f t="array" ref="T343">_xlfn.TEXTSPLIT(S343," / ", ,TRUE,0,)</f>
        <v>#N/A</v>
      </c>
      <c r="U343" s="53"/>
      <c r="V343" s="53" t="str" cm="1">
        <f t="array" ref="V343">IFERROR(_xlfn.IFS(
T343="","",
--T343&lt;55,"Battery Defect",
--T343&lt;=69,"Battery D",
--T343&lt;=80,"Battery C",
--T343&gt;80,""
),"")</f>
        <v/>
      </c>
      <c r="W343" s="53" t="str" cm="1">
        <f t="array" ref="W343">IFERROR(_xlfn.IFS(
U343="","",
--U343&lt;55,"Battery Defect",
--U343&lt;=69,"Battery D",
--U343&lt;=80,"Battery C",
--U343&gt;80,""
),"")</f>
        <v/>
      </c>
      <c r="X343" s="53"/>
      <c r="Y343" s="53"/>
      <c r="Z343" s="53"/>
      <c r="AA343" s="53"/>
      <c r="AB343" s="53"/>
      <c r="AC343" s="53"/>
      <c r="AD343" s="53"/>
      <c r="AE343" s="53"/>
      <c r="AF343" s="32" t="str">
        <f t="shared" si="16"/>
        <v/>
      </c>
      <c r="AG343" s="32"/>
      <c r="AH343" s="32"/>
      <c r="AI343" s="32"/>
      <c r="AJ343" s="32"/>
      <c r="AK343" s="32"/>
      <c r="AL343" s="32"/>
      <c r="AM343" s="32"/>
      <c r="AN343" s="32"/>
    </row>
    <row r="344" spans="1:40">
      <c r="A344" s="32" t="str">
        <f>_xlfn.TEXTJOIN("",TRUE,_xlfn.XLOOKUP(B344,Input!J:J,Input!G:G,"",0,1),_xlfn.XLOOKUP(B344,Input!J:J,Input!H:H,"",0,1))</f>
        <v/>
      </c>
      <c r="B344" s="32"/>
      <c r="C344" s="53">
        <f>_xlfn.XLOOKUP(B344,Input!J:J,Input!F:F)</f>
        <v>0</v>
      </c>
      <c r="D344" s="32">
        <f>_xlfn.XLOOKUP(C344,Models!H:H,Models!G:G,C344)</f>
        <v>0</v>
      </c>
      <c r="E344" s="32"/>
      <c r="F344" s="32" t="str">
        <f>_xlfn.XLOOKUP(H344,Models!B:B,Models!F:F,"")</f>
        <v/>
      </c>
      <c r="G344" s="32">
        <f>_xlfn.XLOOKUP(B344,Input!J:J,Input!E:E)</f>
        <v>0</v>
      </c>
      <c r="H344" s="32">
        <f>IF(G344="LENOVO",_xlfn.XLOOKUP(B344,Input!J:J,Input!K:K),_xlfn.XLOOKUP(B344,Input!J:J,Input!L:L))</f>
        <v>0</v>
      </c>
      <c r="I344" s="32"/>
      <c r="J344" s="32"/>
      <c r="K344" s="32"/>
      <c r="L344" s="53"/>
      <c r="M344" s="53"/>
      <c r="N344" s="53"/>
      <c r="O344" s="53" t="str" cm="1">
        <f t="array" ref="O344">IFERROR(_xlfn.FILTERXML("&lt;t&gt;&lt;s&gt;" &amp; SUBSTITUTE(M344," / ","&lt;/s&gt;&lt;s&gt;") &amp; "&lt;/s&gt;&lt;/t&gt;","(//s[contains(.,'DDR')])[1]"),"")</f>
        <v/>
      </c>
      <c r="P344" s="32" t="str">
        <f t="shared" si="15"/>
        <v>GB</v>
      </c>
      <c r="Q344" s="32"/>
      <c r="R344" s="32"/>
      <c r="S344" s="53" t="e">
        <f>_xlfn.LET(_xlpm.Result,INDEX(Input!$D$2:$AC$500,
       MATCH(B344, Input!$J$2:$J$500, 0),
       MATCH("Capacity", Input!$D$1:$AC$1, 0)),IF(_xlpm.Result="","",_xlpm.Result))</f>
        <v>#N/A</v>
      </c>
      <c r="T344" s="53" t="e" cm="1">
        <f t="array" ref="T344">_xlfn.TEXTSPLIT(S344," / ", ,TRUE,0,)</f>
        <v>#N/A</v>
      </c>
      <c r="U344" s="53"/>
      <c r="V344" s="53" t="str" cm="1">
        <f t="array" ref="V344">IFERROR(_xlfn.IFS(
T344="","",
--T344&lt;55,"Battery Defect",
--T344&lt;=69,"Battery D",
--T344&lt;=80,"Battery C",
--T344&gt;80,""
),"")</f>
        <v/>
      </c>
      <c r="W344" s="53" t="str" cm="1">
        <f t="array" ref="W344">IFERROR(_xlfn.IFS(
U344="","",
--U344&lt;55,"Battery Defect",
--U344&lt;=69,"Battery D",
--U344&lt;=80,"Battery C",
--U344&gt;80,""
),"")</f>
        <v/>
      </c>
      <c r="X344" s="53"/>
      <c r="Y344" s="53"/>
      <c r="Z344" s="53"/>
      <c r="AA344" s="53"/>
      <c r="AB344" s="53"/>
      <c r="AC344" s="53"/>
      <c r="AD344" s="53"/>
      <c r="AE344" s="53"/>
      <c r="AF344" s="32" t="str">
        <f t="shared" si="16"/>
        <v/>
      </c>
      <c r="AG344" s="32"/>
      <c r="AH344" s="32"/>
      <c r="AI344" s="32"/>
      <c r="AJ344" s="32"/>
      <c r="AK344" s="32"/>
      <c r="AL344" s="32"/>
      <c r="AM344" s="32"/>
      <c r="AN344" s="32"/>
    </row>
    <row r="345" spans="1:40">
      <c r="A345" s="32" t="str">
        <f>_xlfn.TEXTJOIN("",TRUE,_xlfn.XLOOKUP(B345,Input!J:J,Input!G:G,"",0,1),_xlfn.XLOOKUP(B345,Input!J:J,Input!H:H,"",0,1))</f>
        <v/>
      </c>
      <c r="B345" s="32"/>
      <c r="C345" s="53">
        <f>_xlfn.XLOOKUP(B345,Input!J:J,Input!F:F)</f>
        <v>0</v>
      </c>
      <c r="D345" s="32">
        <f>_xlfn.XLOOKUP(C345,Models!H:H,Models!G:G,C345)</f>
        <v>0</v>
      </c>
      <c r="E345" s="32"/>
      <c r="F345" s="32" t="str">
        <f>_xlfn.XLOOKUP(H345,Models!B:B,Models!F:F,"")</f>
        <v/>
      </c>
      <c r="G345" s="32">
        <f>_xlfn.XLOOKUP(B345,Input!J:J,Input!E:E)</f>
        <v>0</v>
      </c>
      <c r="H345" s="32">
        <f>IF(G345="LENOVO",_xlfn.XLOOKUP(B345,Input!J:J,Input!K:K),_xlfn.XLOOKUP(B345,Input!J:J,Input!L:L))</f>
        <v>0</v>
      </c>
      <c r="I345" s="32"/>
      <c r="J345" s="32"/>
      <c r="K345" s="32"/>
      <c r="L345" s="53"/>
      <c r="M345" s="53"/>
      <c r="N345" s="53"/>
      <c r="O345" s="53" t="str" cm="1">
        <f t="array" ref="O345">IFERROR(_xlfn.FILTERXML("&lt;t&gt;&lt;s&gt;" &amp; SUBSTITUTE(M345," / ","&lt;/s&gt;&lt;s&gt;") &amp; "&lt;/s&gt;&lt;/t&gt;","(//s[contains(.,'DDR')])[1]"),"")</f>
        <v/>
      </c>
      <c r="P345" s="32" t="str">
        <f t="shared" ref="P345:P408" si="17">_xlfn.TEXTJOIN(" ",TRUE,N345,"GB",O345)</f>
        <v>GB</v>
      </c>
      <c r="Q345" s="32"/>
      <c r="R345" s="32"/>
      <c r="S345" s="53" t="e">
        <f>_xlfn.LET(_xlpm.Result,INDEX(Input!$D$2:$AC$500,
       MATCH(B345, Input!$J$2:$J$500, 0),
       MATCH("Capacity", Input!$D$1:$AC$1, 0)),IF(_xlpm.Result="","",_xlpm.Result))</f>
        <v>#N/A</v>
      </c>
      <c r="T345" s="53" t="e" cm="1">
        <f t="array" ref="T345">_xlfn.TEXTSPLIT(S345," / ", ,TRUE,0,)</f>
        <v>#N/A</v>
      </c>
      <c r="U345" s="53"/>
      <c r="V345" s="53" t="str" cm="1">
        <f t="array" ref="V345">IFERROR(_xlfn.IFS(
T345="","",
--T345&lt;55,"Battery Defect",
--T345&lt;=69,"Battery D",
--T345&lt;=80,"Battery C",
--T345&gt;80,""
),"")</f>
        <v/>
      </c>
      <c r="W345" s="53" t="str" cm="1">
        <f t="array" ref="W345">IFERROR(_xlfn.IFS(
U345="","",
--U345&lt;55,"Battery Defect",
--U345&lt;=69,"Battery D",
--U345&lt;=80,"Battery C",
--U345&gt;80,""
),"")</f>
        <v/>
      </c>
      <c r="X345" s="53"/>
      <c r="Y345" s="53"/>
      <c r="Z345" s="53"/>
      <c r="AA345" s="53"/>
      <c r="AB345" s="53"/>
      <c r="AC345" s="53"/>
      <c r="AD345" s="53"/>
      <c r="AE345" s="53"/>
      <c r="AF345" s="32" t="str">
        <f t="shared" si="16"/>
        <v/>
      </c>
      <c r="AG345" s="32"/>
      <c r="AH345" s="32"/>
      <c r="AI345" s="32"/>
      <c r="AJ345" s="32"/>
      <c r="AK345" s="32"/>
      <c r="AL345" s="32"/>
      <c r="AM345" s="32"/>
      <c r="AN345" s="32"/>
    </row>
    <row r="346" spans="1:40">
      <c r="A346" s="32" t="str">
        <f>_xlfn.TEXTJOIN("",TRUE,_xlfn.XLOOKUP(B346,Input!J:J,Input!G:G,"",0,1),_xlfn.XLOOKUP(B346,Input!J:J,Input!H:H,"",0,1))</f>
        <v/>
      </c>
      <c r="B346" s="32"/>
      <c r="C346" s="53">
        <f>_xlfn.XLOOKUP(B346,Input!J:J,Input!F:F)</f>
        <v>0</v>
      </c>
      <c r="D346" s="32">
        <f>_xlfn.XLOOKUP(C346,Models!H:H,Models!G:G,C346)</f>
        <v>0</v>
      </c>
      <c r="E346" s="32"/>
      <c r="F346" s="32" t="str">
        <f>_xlfn.XLOOKUP(H346,Models!B:B,Models!F:F,"")</f>
        <v/>
      </c>
      <c r="G346" s="32">
        <f>_xlfn.XLOOKUP(B346,Input!J:J,Input!E:E)</f>
        <v>0</v>
      </c>
      <c r="H346" s="32">
        <f>IF(G346="LENOVO",_xlfn.XLOOKUP(B346,Input!J:J,Input!K:K),_xlfn.XLOOKUP(B346,Input!J:J,Input!L:L))</f>
        <v>0</v>
      </c>
      <c r="I346" s="32"/>
      <c r="J346" s="32"/>
      <c r="K346" s="32"/>
      <c r="L346" s="53"/>
      <c r="M346" s="53"/>
      <c r="N346" s="53"/>
      <c r="O346" s="53" t="str" cm="1">
        <f t="array" ref="O346">IFERROR(_xlfn.FILTERXML("&lt;t&gt;&lt;s&gt;" &amp; SUBSTITUTE(M346," / ","&lt;/s&gt;&lt;s&gt;") &amp; "&lt;/s&gt;&lt;/t&gt;","(//s[contains(.,'DDR')])[1]"),"")</f>
        <v/>
      </c>
      <c r="P346" s="32" t="str">
        <f t="shared" si="17"/>
        <v>GB</v>
      </c>
      <c r="Q346" s="32"/>
      <c r="R346" s="32"/>
      <c r="S346" s="53" t="e">
        <f>_xlfn.LET(_xlpm.Result,INDEX(Input!$D$2:$AC$500,
       MATCH(B346, Input!$J$2:$J$500, 0),
       MATCH("Capacity", Input!$D$1:$AC$1, 0)),IF(_xlpm.Result="","",_xlpm.Result))</f>
        <v>#N/A</v>
      </c>
      <c r="T346" s="53" t="e" cm="1">
        <f t="array" ref="T346">_xlfn.TEXTSPLIT(S346," / ", ,TRUE,0,)</f>
        <v>#N/A</v>
      </c>
      <c r="U346" s="53"/>
      <c r="V346" s="53" t="str" cm="1">
        <f t="array" ref="V346">IFERROR(_xlfn.IFS(
T346="","",
--T346&lt;55,"Battery Defect",
--T346&lt;=69,"Battery D",
--T346&lt;=80,"Battery C",
--T346&gt;80,""
),"")</f>
        <v/>
      </c>
      <c r="W346" s="53" t="str" cm="1">
        <f t="array" ref="W346">IFERROR(_xlfn.IFS(
U346="","",
--U346&lt;55,"Battery Defect",
--U346&lt;=69,"Battery D",
--U346&lt;=80,"Battery C",
--U346&gt;80,""
),"")</f>
        <v/>
      </c>
      <c r="X346" s="53"/>
      <c r="Y346" s="53"/>
      <c r="Z346" s="53"/>
      <c r="AA346" s="53"/>
      <c r="AB346" s="53"/>
      <c r="AC346" s="53"/>
      <c r="AD346" s="53"/>
      <c r="AE346" s="53"/>
      <c r="AF346" s="32" t="str">
        <f t="shared" si="16"/>
        <v/>
      </c>
      <c r="AG346" s="32"/>
      <c r="AH346" s="32"/>
      <c r="AI346" s="32"/>
      <c r="AJ346" s="32"/>
      <c r="AK346" s="32"/>
      <c r="AL346" s="32"/>
      <c r="AM346" s="32"/>
      <c r="AN346" s="32"/>
    </row>
    <row r="347" spans="1:40">
      <c r="A347" s="32" t="str">
        <f>_xlfn.TEXTJOIN("",TRUE,_xlfn.XLOOKUP(B347,Input!J:J,Input!G:G,"",0,1),_xlfn.XLOOKUP(B347,Input!J:J,Input!H:H,"",0,1))</f>
        <v/>
      </c>
      <c r="B347" s="32"/>
      <c r="C347" s="53">
        <f>_xlfn.XLOOKUP(B347,Input!J:J,Input!F:F)</f>
        <v>0</v>
      </c>
      <c r="D347" s="32">
        <f>_xlfn.XLOOKUP(C347,Models!H:H,Models!G:G,C347)</f>
        <v>0</v>
      </c>
      <c r="E347" s="32"/>
      <c r="F347" s="32" t="str">
        <f>_xlfn.XLOOKUP(H347,Models!B:B,Models!F:F,"")</f>
        <v/>
      </c>
      <c r="G347" s="32">
        <f>_xlfn.XLOOKUP(B347,Input!J:J,Input!E:E)</f>
        <v>0</v>
      </c>
      <c r="H347" s="32">
        <f>IF(G347="LENOVO",_xlfn.XLOOKUP(B347,Input!J:J,Input!K:K),_xlfn.XLOOKUP(B347,Input!J:J,Input!L:L))</f>
        <v>0</v>
      </c>
      <c r="I347" s="32"/>
      <c r="J347" s="32"/>
      <c r="K347" s="32"/>
      <c r="L347" s="53"/>
      <c r="M347" s="53"/>
      <c r="N347" s="53"/>
      <c r="O347" s="53" t="str" cm="1">
        <f t="array" ref="O347">IFERROR(_xlfn.FILTERXML("&lt;t&gt;&lt;s&gt;" &amp; SUBSTITUTE(M347," / ","&lt;/s&gt;&lt;s&gt;") &amp; "&lt;/s&gt;&lt;/t&gt;","(//s[contains(.,'DDR')])[1]"),"")</f>
        <v/>
      </c>
      <c r="P347" s="32" t="str">
        <f t="shared" si="17"/>
        <v>GB</v>
      </c>
      <c r="Q347" s="32"/>
      <c r="R347" s="32"/>
      <c r="S347" s="53" t="e">
        <f>_xlfn.LET(_xlpm.Result,INDEX(Input!$D$2:$AC$500,
       MATCH(B347, Input!$J$2:$J$500, 0),
       MATCH("Capacity", Input!$D$1:$AC$1, 0)),IF(_xlpm.Result="","",_xlpm.Result))</f>
        <v>#N/A</v>
      </c>
      <c r="T347" s="53" t="e" cm="1">
        <f t="array" ref="T347">_xlfn.TEXTSPLIT(S347," / ", ,TRUE,0,)</f>
        <v>#N/A</v>
      </c>
      <c r="U347" s="53"/>
      <c r="V347" s="53" t="str" cm="1">
        <f t="array" ref="V347">IFERROR(_xlfn.IFS(
T347="","",
--T347&lt;55,"Battery Defect",
--T347&lt;=69,"Battery D",
--T347&lt;=80,"Battery C",
--T347&gt;80,""
),"")</f>
        <v/>
      </c>
      <c r="W347" s="53" t="str" cm="1">
        <f t="array" ref="W347">IFERROR(_xlfn.IFS(
U347="","",
--U347&lt;55,"Battery Defect",
--U347&lt;=69,"Battery D",
--U347&lt;=80,"Battery C",
--U347&gt;80,""
),"")</f>
        <v/>
      </c>
      <c r="X347" s="53"/>
      <c r="Y347" s="53"/>
      <c r="Z347" s="53"/>
      <c r="AA347" s="53"/>
      <c r="AB347" s="53"/>
      <c r="AC347" s="53"/>
      <c r="AD347" s="53"/>
      <c r="AE347" s="53"/>
      <c r="AF347" s="32" t="str">
        <f t="shared" si="16"/>
        <v/>
      </c>
      <c r="AG347" s="32"/>
      <c r="AH347" s="32"/>
      <c r="AI347" s="32"/>
      <c r="AJ347" s="32"/>
      <c r="AK347" s="32"/>
      <c r="AL347" s="32"/>
      <c r="AM347" s="32"/>
      <c r="AN347" s="32"/>
    </row>
    <row r="348" spans="1:40">
      <c r="A348" s="32" t="str">
        <f>_xlfn.TEXTJOIN("",TRUE,_xlfn.XLOOKUP(B348,Input!J:J,Input!G:G,"",0,1),_xlfn.XLOOKUP(B348,Input!J:J,Input!H:H,"",0,1))</f>
        <v/>
      </c>
      <c r="B348" s="32"/>
      <c r="C348" s="53">
        <f>_xlfn.XLOOKUP(B348,Input!J:J,Input!F:F)</f>
        <v>0</v>
      </c>
      <c r="D348" s="32">
        <f>_xlfn.XLOOKUP(C348,Models!H:H,Models!G:G,C348)</f>
        <v>0</v>
      </c>
      <c r="E348" s="32"/>
      <c r="F348" s="32" t="str">
        <f>_xlfn.XLOOKUP(H348,Models!B:B,Models!F:F,"")</f>
        <v/>
      </c>
      <c r="G348" s="32">
        <f>_xlfn.XLOOKUP(B348,Input!J:J,Input!E:E)</f>
        <v>0</v>
      </c>
      <c r="H348" s="32">
        <f>IF(G348="LENOVO",_xlfn.XLOOKUP(B348,Input!J:J,Input!K:K),_xlfn.XLOOKUP(B348,Input!J:J,Input!L:L))</f>
        <v>0</v>
      </c>
      <c r="I348" s="32"/>
      <c r="J348" s="32"/>
      <c r="K348" s="32"/>
      <c r="L348" s="53"/>
      <c r="M348" s="53"/>
      <c r="N348" s="53"/>
      <c r="O348" s="53" t="str" cm="1">
        <f t="array" ref="O348">IFERROR(_xlfn.FILTERXML("&lt;t&gt;&lt;s&gt;" &amp; SUBSTITUTE(M348," / ","&lt;/s&gt;&lt;s&gt;") &amp; "&lt;/s&gt;&lt;/t&gt;","(//s[contains(.,'DDR')])[1]"),"")</f>
        <v/>
      </c>
      <c r="P348" s="32" t="str">
        <f t="shared" si="17"/>
        <v>GB</v>
      </c>
      <c r="Q348" s="32"/>
      <c r="R348" s="32"/>
      <c r="S348" s="53" t="e">
        <f>_xlfn.LET(_xlpm.Result,INDEX(Input!$D$2:$AC$500,
       MATCH(B348, Input!$J$2:$J$500, 0),
       MATCH("Capacity", Input!$D$1:$AC$1, 0)),IF(_xlpm.Result="","",_xlpm.Result))</f>
        <v>#N/A</v>
      </c>
      <c r="T348" s="53" t="e" cm="1">
        <f t="array" ref="T348">_xlfn.TEXTSPLIT(S348," / ", ,TRUE,0,)</f>
        <v>#N/A</v>
      </c>
      <c r="U348" s="53"/>
      <c r="V348" s="53" t="str" cm="1">
        <f t="array" ref="V348">IFERROR(_xlfn.IFS(
T348="","",
--T348&lt;55,"Battery Defect",
--T348&lt;=69,"Battery D",
--T348&lt;=80,"Battery C",
--T348&gt;80,""
),"")</f>
        <v/>
      </c>
      <c r="W348" s="53" t="str" cm="1">
        <f t="array" ref="W348">IFERROR(_xlfn.IFS(
U348="","",
--U348&lt;55,"Battery Defect",
--U348&lt;=69,"Battery D",
--U348&lt;=80,"Battery C",
--U348&gt;80,""
),"")</f>
        <v/>
      </c>
      <c r="X348" s="53"/>
      <c r="Y348" s="53"/>
      <c r="Z348" s="53"/>
      <c r="AA348" s="53"/>
      <c r="AB348" s="53"/>
      <c r="AC348" s="53"/>
      <c r="AD348" s="53"/>
      <c r="AE348" s="53"/>
      <c r="AF348" s="32" t="str">
        <f t="shared" si="16"/>
        <v/>
      </c>
      <c r="AG348" s="32"/>
      <c r="AH348" s="32"/>
      <c r="AI348" s="32"/>
      <c r="AJ348" s="32"/>
      <c r="AK348" s="32"/>
      <c r="AL348" s="32"/>
      <c r="AM348" s="32"/>
      <c r="AN348" s="32"/>
    </row>
    <row r="349" spans="1:40">
      <c r="A349" s="32" t="str">
        <f>_xlfn.TEXTJOIN("",TRUE,_xlfn.XLOOKUP(B349,Input!J:J,Input!G:G,"",0,1),_xlfn.XLOOKUP(B349,Input!J:J,Input!H:H,"",0,1))</f>
        <v/>
      </c>
      <c r="B349" s="32"/>
      <c r="C349" s="53">
        <f>_xlfn.XLOOKUP(B349,Input!J:J,Input!F:F)</f>
        <v>0</v>
      </c>
      <c r="D349" s="32">
        <f>_xlfn.XLOOKUP(C349,Models!H:H,Models!G:G,C349)</f>
        <v>0</v>
      </c>
      <c r="E349" s="32"/>
      <c r="F349" s="32" t="str">
        <f>_xlfn.XLOOKUP(H349,Models!B:B,Models!F:F,"")</f>
        <v/>
      </c>
      <c r="G349" s="32">
        <f>_xlfn.XLOOKUP(B349,Input!J:J,Input!E:E)</f>
        <v>0</v>
      </c>
      <c r="H349" s="32">
        <f>IF(G349="LENOVO",_xlfn.XLOOKUP(B349,Input!J:J,Input!K:K),_xlfn.XLOOKUP(B349,Input!J:J,Input!L:L))</f>
        <v>0</v>
      </c>
      <c r="I349" s="32"/>
      <c r="J349" s="32"/>
      <c r="K349" s="32"/>
      <c r="L349" s="53"/>
      <c r="M349" s="53"/>
      <c r="N349" s="53"/>
      <c r="O349" s="53" t="str" cm="1">
        <f t="array" ref="O349">IFERROR(_xlfn.FILTERXML("&lt;t&gt;&lt;s&gt;" &amp; SUBSTITUTE(M349," / ","&lt;/s&gt;&lt;s&gt;") &amp; "&lt;/s&gt;&lt;/t&gt;","(//s[contains(.,'DDR')])[1]"),"")</f>
        <v/>
      </c>
      <c r="P349" s="32" t="str">
        <f t="shared" si="17"/>
        <v>GB</v>
      </c>
      <c r="Q349" s="32"/>
      <c r="R349" s="32"/>
      <c r="S349" s="53" t="e">
        <f>_xlfn.LET(_xlpm.Result,INDEX(Input!$D$2:$AC$500,
       MATCH(B349, Input!$J$2:$J$500, 0),
       MATCH("Capacity", Input!$D$1:$AC$1, 0)),IF(_xlpm.Result="","",_xlpm.Result))</f>
        <v>#N/A</v>
      </c>
      <c r="T349" s="53" t="e" cm="1">
        <f t="array" ref="T349">_xlfn.TEXTSPLIT(S349," / ", ,TRUE,0,)</f>
        <v>#N/A</v>
      </c>
      <c r="U349" s="53"/>
      <c r="V349" s="53" t="str" cm="1">
        <f t="array" ref="V349">IFERROR(_xlfn.IFS(
T349="","",
--T349&lt;55,"Battery Defect",
--T349&lt;=69,"Battery D",
--T349&lt;=80,"Battery C",
--T349&gt;80,""
),"")</f>
        <v/>
      </c>
      <c r="W349" s="53" t="str" cm="1">
        <f t="array" ref="W349">IFERROR(_xlfn.IFS(
U349="","",
--U349&lt;55,"Battery Defect",
--U349&lt;=69,"Battery D",
--U349&lt;=80,"Battery C",
--U349&gt;80,""
),"")</f>
        <v/>
      </c>
      <c r="X349" s="53"/>
      <c r="Y349" s="53"/>
      <c r="Z349" s="53"/>
      <c r="AA349" s="53"/>
      <c r="AB349" s="53"/>
      <c r="AC349" s="53"/>
      <c r="AD349" s="53"/>
      <c r="AE349" s="53"/>
      <c r="AF349" s="32" t="str">
        <f t="shared" si="16"/>
        <v/>
      </c>
      <c r="AG349" s="32"/>
      <c r="AH349" s="32"/>
      <c r="AI349" s="32"/>
      <c r="AJ349" s="32"/>
      <c r="AK349" s="32"/>
      <c r="AL349" s="32"/>
      <c r="AM349" s="32"/>
      <c r="AN349" s="32"/>
    </row>
    <row r="350" spans="1:40">
      <c r="A350" s="32" t="str">
        <f>_xlfn.TEXTJOIN("",TRUE,_xlfn.XLOOKUP(B350,Input!J:J,Input!G:G,"",0,1),_xlfn.XLOOKUP(B350,Input!J:J,Input!H:H,"",0,1))</f>
        <v/>
      </c>
      <c r="B350" s="32"/>
      <c r="C350" s="53">
        <f>_xlfn.XLOOKUP(B350,Input!J:J,Input!F:F)</f>
        <v>0</v>
      </c>
      <c r="D350" s="32">
        <f>_xlfn.XLOOKUP(C350,Models!H:H,Models!G:G,C350)</f>
        <v>0</v>
      </c>
      <c r="E350" s="32"/>
      <c r="F350" s="32" t="str">
        <f>_xlfn.XLOOKUP(H350,Models!B:B,Models!F:F,"")</f>
        <v/>
      </c>
      <c r="G350" s="32">
        <f>_xlfn.XLOOKUP(B350,Input!J:J,Input!E:E)</f>
        <v>0</v>
      </c>
      <c r="H350" s="32">
        <f>IF(G350="LENOVO",_xlfn.XLOOKUP(B350,Input!J:J,Input!K:K),_xlfn.XLOOKUP(B350,Input!J:J,Input!L:L))</f>
        <v>0</v>
      </c>
      <c r="I350" s="32"/>
      <c r="J350" s="32"/>
      <c r="K350" s="32"/>
      <c r="L350" s="53"/>
      <c r="M350" s="53"/>
      <c r="N350" s="53"/>
      <c r="O350" s="53" t="str" cm="1">
        <f t="array" ref="O350">IFERROR(_xlfn.FILTERXML("&lt;t&gt;&lt;s&gt;" &amp; SUBSTITUTE(M350," / ","&lt;/s&gt;&lt;s&gt;") &amp; "&lt;/s&gt;&lt;/t&gt;","(//s[contains(.,'DDR')])[1]"),"")</f>
        <v/>
      </c>
      <c r="P350" s="32" t="str">
        <f t="shared" si="17"/>
        <v>GB</v>
      </c>
      <c r="Q350" s="32"/>
      <c r="R350" s="32"/>
      <c r="S350" s="53" t="e">
        <f>_xlfn.LET(_xlpm.Result,INDEX(Input!$D$2:$AC$500,
       MATCH(B350, Input!$J$2:$J$500, 0),
       MATCH("Capacity", Input!$D$1:$AC$1, 0)),IF(_xlpm.Result="","",_xlpm.Result))</f>
        <v>#N/A</v>
      </c>
      <c r="T350" s="53" t="e" cm="1">
        <f t="array" ref="T350">_xlfn.TEXTSPLIT(S350," / ", ,TRUE,0,)</f>
        <v>#N/A</v>
      </c>
      <c r="U350" s="53"/>
      <c r="V350" s="53" t="str" cm="1">
        <f t="array" ref="V350">IFERROR(_xlfn.IFS(
T350="","",
--T350&lt;55,"Battery Defect",
--T350&lt;=69,"Battery D",
--T350&lt;=80,"Battery C",
--T350&gt;80,""
),"")</f>
        <v/>
      </c>
      <c r="W350" s="53" t="str" cm="1">
        <f t="array" ref="W350">IFERROR(_xlfn.IFS(
U350="","",
--U350&lt;55,"Battery Defect",
--U350&lt;=69,"Battery D",
--U350&lt;=80,"Battery C",
--U350&gt;80,""
),"")</f>
        <v/>
      </c>
      <c r="X350" s="53"/>
      <c r="Y350" s="53"/>
      <c r="Z350" s="53"/>
      <c r="AA350" s="53"/>
      <c r="AB350" s="53"/>
      <c r="AC350" s="53"/>
      <c r="AD350" s="53"/>
      <c r="AE350" s="53"/>
      <c r="AF350" s="32" t="str">
        <f t="shared" si="16"/>
        <v/>
      </c>
      <c r="AG350" s="32"/>
      <c r="AH350" s="32"/>
      <c r="AI350" s="32"/>
      <c r="AJ350" s="32"/>
      <c r="AK350" s="32"/>
      <c r="AL350" s="32"/>
      <c r="AM350" s="32"/>
      <c r="AN350" s="32"/>
    </row>
    <row r="351" spans="1:40">
      <c r="A351" s="32" t="str">
        <f>_xlfn.TEXTJOIN("",TRUE,_xlfn.XLOOKUP(B351,Input!J:J,Input!G:G,"",0,1),_xlfn.XLOOKUP(B351,Input!J:J,Input!H:H,"",0,1))</f>
        <v/>
      </c>
      <c r="B351" s="32"/>
      <c r="C351" s="53">
        <f>_xlfn.XLOOKUP(B351,Input!J:J,Input!F:F)</f>
        <v>0</v>
      </c>
      <c r="D351" s="32">
        <f>_xlfn.XLOOKUP(C351,Models!H:H,Models!G:G,C351)</f>
        <v>0</v>
      </c>
      <c r="E351" s="32"/>
      <c r="F351" s="32" t="str">
        <f>_xlfn.XLOOKUP(H351,Models!B:B,Models!F:F,"")</f>
        <v/>
      </c>
      <c r="G351" s="32">
        <f>_xlfn.XLOOKUP(B351,Input!J:J,Input!E:E)</f>
        <v>0</v>
      </c>
      <c r="H351" s="32">
        <f>IF(G351="LENOVO",_xlfn.XLOOKUP(B351,Input!J:J,Input!K:K),_xlfn.XLOOKUP(B351,Input!J:J,Input!L:L))</f>
        <v>0</v>
      </c>
      <c r="I351" s="32"/>
      <c r="J351" s="32"/>
      <c r="K351" s="32"/>
      <c r="L351" s="53"/>
      <c r="M351" s="53"/>
      <c r="N351" s="53"/>
      <c r="O351" s="53" t="str" cm="1">
        <f t="array" ref="O351">IFERROR(_xlfn.FILTERXML("&lt;t&gt;&lt;s&gt;" &amp; SUBSTITUTE(M351," / ","&lt;/s&gt;&lt;s&gt;") &amp; "&lt;/s&gt;&lt;/t&gt;","(//s[contains(.,'DDR')])[1]"),"")</f>
        <v/>
      </c>
      <c r="P351" s="32" t="str">
        <f t="shared" si="17"/>
        <v>GB</v>
      </c>
      <c r="Q351" s="32"/>
      <c r="R351" s="32"/>
      <c r="S351" s="53" t="e">
        <f>_xlfn.LET(_xlpm.Result,INDEX(Input!$D$2:$AC$500,
       MATCH(B351, Input!$J$2:$J$500, 0),
       MATCH("Capacity", Input!$D$1:$AC$1, 0)),IF(_xlpm.Result="","",_xlpm.Result))</f>
        <v>#N/A</v>
      </c>
      <c r="T351" s="53" t="e" cm="1">
        <f t="array" ref="T351">_xlfn.TEXTSPLIT(S351," / ", ,TRUE,0,)</f>
        <v>#N/A</v>
      </c>
      <c r="U351" s="53"/>
      <c r="V351" s="53" t="str" cm="1">
        <f t="array" ref="V351">IFERROR(_xlfn.IFS(
T351="","",
--T351&lt;55,"Battery Defect",
--T351&lt;=69,"Battery D",
--T351&lt;=80,"Battery C",
--T351&gt;80,""
),"")</f>
        <v/>
      </c>
      <c r="W351" s="53" t="str" cm="1">
        <f t="array" ref="W351">IFERROR(_xlfn.IFS(
U351="","",
--U351&lt;55,"Battery Defect",
--U351&lt;=69,"Battery D",
--U351&lt;=80,"Battery C",
--U351&gt;80,""
),"")</f>
        <v/>
      </c>
      <c r="X351" s="53"/>
      <c r="Y351" s="53"/>
      <c r="Z351" s="53"/>
      <c r="AA351" s="53"/>
      <c r="AB351" s="53"/>
      <c r="AC351" s="53"/>
      <c r="AD351" s="53"/>
      <c r="AE351" s="53"/>
      <c r="AF351" s="32" t="str">
        <f t="shared" si="16"/>
        <v/>
      </c>
      <c r="AG351" s="32"/>
      <c r="AH351" s="32"/>
      <c r="AI351" s="32"/>
      <c r="AJ351" s="32"/>
      <c r="AK351" s="32"/>
      <c r="AL351" s="32"/>
      <c r="AM351" s="32"/>
      <c r="AN351" s="32"/>
    </row>
    <row r="352" spans="1:40">
      <c r="A352" s="32" t="str">
        <f>_xlfn.TEXTJOIN("",TRUE,_xlfn.XLOOKUP(B352,Input!J:J,Input!G:G,"",0,1),_xlfn.XLOOKUP(B352,Input!J:J,Input!H:H,"",0,1))</f>
        <v/>
      </c>
      <c r="B352" s="32"/>
      <c r="C352" s="53">
        <f>_xlfn.XLOOKUP(B352,Input!J:J,Input!F:F)</f>
        <v>0</v>
      </c>
      <c r="D352" s="32">
        <f>_xlfn.XLOOKUP(C352,Models!H:H,Models!G:G,C352)</f>
        <v>0</v>
      </c>
      <c r="E352" s="32"/>
      <c r="F352" s="32" t="str">
        <f>_xlfn.XLOOKUP(H352,Models!B:B,Models!F:F,"")</f>
        <v/>
      </c>
      <c r="G352" s="32">
        <f>_xlfn.XLOOKUP(B352,Input!J:J,Input!E:E)</f>
        <v>0</v>
      </c>
      <c r="H352" s="32">
        <f>IF(G352="LENOVO",_xlfn.XLOOKUP(B352,Input!J:J,Input!K:K),_xlfn.XLOOKUP(B352,Input!J:J,Input!L:L))</f>
        <v>0</v>
      </c>
      <c r="I352" s="32"/>
      <c r="J352" s="32"/>
      <c r="K352" s="32"/>
      <c r="L352" s="53"/>
      <c r="M352" s="53"/>
      <c r="N352" s="53"/>
      <c r="O352" s="53" t="str" cm="1">
        <f t="array" ref="O352">IFERROR(_xlfn.FILTERXML("&lt;t&gt;&lt;s&gt;" &amp; SUBSTITUTE(M352," / ","&lt;/s&gt;&lt;s&gt;") &amp; "&lt;/s&gt;&lt;/t&gt;","(//s[contains(.,'DDR')])[1]"),"")</f>
        <v/>
      </c>
      <c r="P352" s="32" t="str">
        <f t="shared" si="17"/>
        <v>GB</v>
      </c>
      <c r="Q352" s="32"/>
      <c r="R352" s="32"/>
      <c r="S352" s="53" t="e">
        <f>_xlfn.LET(_xlpm.Result,INDEX(Input!$D$2:$AC$500,
       MATCH(B352, Input!$J$2:$J$500, 0),
       MATCH("Capacity", Input!$D$1:$AC$1, 0)),IF(_xlpm.Result="","",_xlpm.Result))</f>
        <v>#N/A</v>
      </c>
      <c r="T352" s="53" t="e" cm="1">
        <f t="array" ref="T352">_xlfn.TEXTSPLIT(S352," / ", ,TRUE,0,)</f>
        <v>#N/A</v>
      </c>
      <c r="U352" s="53"/>
      <c r="V352" s="53" t="str" cm="1">
        <f t="array" ref="V352">IFERROR(_xlfn.IFS(
T352="","",
--T352&lt;55,"Battery Defect",
--T352&lt;=69,"Battery D",
--T352&lt;=80,"Battery C",
--T352&gt;80,""
),"")</f>
        <v/>
      </c>
      <c r="W352" s="53" t="str" cm="1">
        <f t="array" ref="W352">IFERROR(_xlfn.IFS(
U352="","",
--U352&lt;55,"Battery Defect",
--U352&lt;=69,"Battery D",
--U352&lt;=80,"Battery C",
--U352&gt;80,""
),"")</f>
        <v/>
      </c>
      <c r="X352" s="53"/>
      <c r="Y352" s="53"/>
      <c r="Z352" s="53"/>
      <c r="AA352" s="53"/>
      <c r="AB352" s="53"/>
      <c r="AC352" s="53"/>
      <c r="AD352" s="53"/>
      <c r="AE352" s="53"/>
      <c r="AF352" s="32" t="str">
        <f t="shared" si="16"/>
        <v/>
      </c>
      <c r="AG352" s="32"/>
      <c r="AH352" s="32"/>
      <c r="AI352" s="32"/>
      <c r="AJ352" s="32"/>
      <c r="AK352" s="32"/>
      <c r="AL352" s="32"/>
      <c r="AM352" s="32"/>
      <c r="AN352" s="32"/>
    </row>
    <row r="353" spans="1:40">
      <c r="A353" s="32" t="str">
        <f>_xlfn.TEXTJOIN("",TRUE,_xlfn.XLOOKUP(B353,Input!J:J,Input!G:G,"",0,1),_xlfn.XLOOKUP(B353,Input!J:J,Input!H:H,"",0,1))</f>
        <v/>
      </c>
      <c r="B353" s="32"/>
      <c r="C353" s="53">
        <f>_xlfn.XLOOKUP(B353,Input!J:J,Input!F:F)</f>
        <v>0</v>
      </c>
      <c r="D353" s="32">
        <f>_xlfn.XLOOKUP(C353,Models!H:H,Models!G:G,C353)</f>
        <v>0</v>
      </c>
      <c r="E353" s="32"/>
      <c r="F353" s="32" t="str">
        <f>_xlfn.XLOOKUP(H353,Models!B:B,Models!F:F,"")</f>
        <v/>
      </c>
      <c r="G353" s="32">
        <f>_xlfn.XLOOKUP(B353,Input!J:J,Input!E:E)</f>
        <v>0</v>
      </c>
      <c r="H353" s="32">
        <f>IF(G353="LENOVO",_xlfn.XLOOKUP(B353,Input!J:J,Input!K:K),_xlfn.XLOOKUP(B353,Input!J:J,Input!L:L))</f>
        <v>0</v>
      </c>
      <c r="I353" s="32"/>
      <c r="J353" s="32"/>
      <c r="K353" s="32"/>
      <c r="L353" s="53"/>
      <c r="M353" s="53"/>
      <c r="N353" s="53"/>
      <c r="O353" s="53" t="str" cm="1">
        <f t="array" ref="O353">IFERROR(_xlfn.FILTERXML("&lt;t&gt;&lt;s&gt;" &amp; SUBSTITUTE(M353," / ","&lt;/s&gt;&lt;s&gt;") &amp; "&lt;/s&gt;&lt;/t&gt;","(//s[contains(.,'DDR')])[1]"),"")</f>
        <v/>
      </c>
      <c r="P353" s="32" t="str">
        <f t="shared" si="17"/>
        <v>GB</v>
      </c>
      <c r="Q353" s="32"/>
      <c r="R353" s="32"/>
      <c r="S353" s="53" t="e">
        <f>_xlfn.LET(_xlpm.Result,INDEX(Input!$D$2:$AC$500,
       MATCH(B353, Input!$J$2:$J$500, 0),
       MATCH("Capacity", Input!$D$1:$AC$1, 0)),IF(_xlpm.Result="","",_xlpm.Result))</f>
        <v>#N/A</v>
      </c>
      <c r="T353" s="53" t="e" cm="1">
        <f t="array" ref="T353">_xlfn.TEXTSPLIT(S353," / ", ,TRUE,0,)</f>
        <v>#N/A</v>
      </c>
      <c r="U353" s="53"/>
      <c r="V353" s="53" t="str" cm="1">
        <f t="array" ref="V353">IFERROR(_xlfn.IFS(
T353="","",
--T353&lt;55,"Battery Defect",
--T353&lt;=69,"Battery D",
--T353&lt;=80,"Battery C",
--T353&gt;80,""
),"")</f>
        <v/>
      </c>
      <c r="W353" s="53" t="str" cm="1">
        <f t="array" ref="W353">IFERROR(_xlfn.IFS(
U353="","",
--U353&lt;55,"Battery Defect",
--U353&lt;=69,"Battery D",
--U353&lt;=80,"Battery C",
--U353&gt;80,""
),"")</f>
        <v/>
      </c>
      <c r="X353" s="53"/>
      <c r="Y353" s="53"/>
      <c r="Z353" s="53"/>
      <c r="AA353" s="53"/>
      <c r="AB353" s="53"/>
      <c r="AC353" s="53"/>
      <c r="AD353" s="53"/>
      <c r="AE353" s="53"/>
      <c r="AF353" s="32" t="str">
        <f t="shared" si="16"/>
        <v/>
      </c>
      <c r="AG353" s="32"/>
      <c r="AH353" s="32"/>
      <c r="AI353" s="32"/>
      <c r="AJ353" s="32"/>
      <c r="AK353" s="32"/>
      <c r="AL353" s="32"/>
      <c r="AM353" s="32"/>
      <c r="AN353" s="32"/>
    </row>
    <row r="354" spans="1:40">
      <c r="A354" s="32" t="str">
        <f>_xlfn.TEXTJOIN("",TRUE,_xlfn.XLOOKUP(B354,Input!J:J,Input!G:G,"",0,1),_xlfn.XLOOKUP(B354,Input!J:J,Input!H:H,"",0,1))</f>
        <v/>
      </c>
      <c r="B354" s="32"/>
      <c r="C354" s="53">
        <f>_xlfn.XLOOKUP(B354,Input!J:J,Input!F:F)</f>
        <v>0</v>
      </c>
      <c r="D354" s="32">
        <f>_xlfn.XLOOKUP(C354,Models!H:H,Models!G:G,C354)</f>
        <v>0</v>
      </c>
      <c r="E354" s="32"/>
      <c r="F354" s="32" t="str">
        <f>_xlfn.XLOOKUP(H354,Models!B:B,Models!F:F,"")</f>
        <v/>
      </c>
      <c r="G354" s="32">
        <f>_xlfn.XLOOKUP(B354,Input!J:J,Input!E:E)</f>
        <v>0</v>
      </c>
      <c r="H354" s="32">
        <f>IF(G354="LENOVO",_xlfn.XLOOKUP(B354,Input!J:J,Input!K:K),_xlfn.XLOOKUP(B354,Input!J:J,Input!L:L))</f>
        <v>0</v>
      </c>
      <c r="I354" s="32"/>
      <c r="J354" s="32"/>
      <c r="K354" s="32"/>
      <c r="L354" s="53"/>
      <c r="M354" s="53"/>
      <c r="N354" s="53"/>
      <c r="O354" s="53" t="str" cm="1">
        <f t="array" ref="O354">IFERROR(_xlfn.FILTERXML("&lt;t&gt;&lt;s&gt;" &amp; SUBSTITUTE(M354," / ","&lt;/s&gt;&lt;s&gt;") &amp; "&lt;/s&gt;&lt;/t&gt;","(//s[contains(.,'DDR')])[1]"),"")</f>
        <v/>
      </c>
      <c r="P354" s="32" t="str">
        <f t="shared" si="17"/>
        <v>GB</v>
      </c>
      <c r="Q354" s="32"/>
      <c r="R354" s="32"/>
      <c r="S354" s="53" t="e">
        <f>_xlfn.LET(_xlpm.Result,INDEX(Input!$D$2:$AC$500,
       MATCH(B354, Input!$J$2:$J$500, 0),
       MATCH("Capacity", Input!$D$1:$AC$1, 0)),IF(_xlpm.Result="","",_xlpm.Result))</f>
        <v>#N/A</v>
      </c>
      <c r="T354" s="53" t="e" cm="1">
        <f t="array" ref="T354">_xlfn.TEXTSPLIT(S354," / ", ,TRUE,0,)</f>
        <v>#N/A</v>
      </c>
      <c r="U354" s="53"/>
      <c r="V354" s="53" t="str" cm="1">
        <f t="array" ref="V354">IFERROR(_xlfn.IFS(
T354="","",
--T354&lt;55,"Battery Defect",
--T354&lt;=69,"Battery D",
--T354&lt;=80,"Battery C",
--T354&gt;80,""
),"")</f>
        <v/>
      </c>
      <c r="W354" s="53" t="str" cm="1">
        <f t="array" ref="W354">IFERROR(_xlfn.IFS(
U354="","",
--U354&lt;55,"Battery Defect",
--U354&lt;=69,"Battery D",
--U354&lt;=80,"Battery C",
--U354&gt;80,""
),"")</f>
        <v/>
      </c>
      <c r="X354" s="53"/>
      <c r="Y354" s="53"/>
      <c r="Z354" s="53"/>
      <c r="AA354" s="53"/>
      <c r="AB354" s="53"/>
      <c r="AC354" s="53"/>
      <c r="AD354" s="53"/>
      <c r="AE354" s="53"/>
      <c r="AF354" s="32" t="str">
        <f t="shared" si="16"/>
        <v/>
      </c>
      <c r="AG354" s="32"/>
      <c r="AH354" s="32"/>
      <c r="AI354" s="32"/>
      <c r="AJ354" s="32"/>
      <c r="AK354" s="32"/>
      <c r="AL354" s="32"/>
      <c r="AM354" s="32"/>
      <c r="AN354" s="32"/>
    </row>
    <row r="355" spans="1:40">
      <c r="A355" s="32" t="str">
        <f>_xlfn.TEXTJOIN("",TRUE,_xlfn.XLOOKUP(B355,Input!J:J,Input!G:G,"",0,1),_xlfn.XLOOKUP(B355,Input!J:J,Input!H:H,"",0,1))</f>
        <v/>
      </c>
      <c r="B355" s="32"/>
      <c r="C355" s="53">
        <f>_xlfn.XLOOKUP(B355,Input!J:J,Input!F:F)</f>
        <v>0</v>
      </c>
      <c r="D355" s="32">
        <f>_xlfn.XLOOKUP(C355,Models!H:H,Models!G:G,C355)</f>
        <v>0</v>
      </c>
      <c r="E355" s="32"/>
      <c r="F355" s="32" t="str">
        <f>_xlfn.XLOOKUP(H355,Models!B:B,Models!F:F,"")</f>
        <v/>
      </c>
      <c r="G355" s="32">
        <f>_xlfn.XLOOKUP(B355,Input!J:J,Input!E:E)</f>
        <v>0</v>
      </c>
      <c r="H355" s="32">
        <f>IF(G355="LENOVO",_xlfn.XLOOKUP(B355,Input!J:J,Input!K:K),_xlfn.XLOOKUP(B355,Input!J:J,Input!L:L))</f>
        <v>0</v>
      </c>
      <c r="I355" s="32"/>
      <c r="J355" s="32"/>
      <c r="K355" s="32"/>
      <c r="L355" s="53"/>
      <c r="M355" s="53"/>
      <c r="N355" s="53"/>
      <c r="O355" s="53" t="str" cm="1">
        <f t="array" ref="O355">IFERROR(_xlfn.FILTERXML("&lt;t&gt;&lt;s&gt;" &amp; SUBSTITUTE(M355," / ","&lt;/s&gt;&lt;s&gt;") &amp; "&lt;/s&gt;&lt;/t&gt;","(//s[contains(.,'DDR')])[1]"),"")</f>
        <v/>
      </c>
      <c r="P355" s="32" t="str">
        <f t="shared" si="17"/>
        <v>GB</v>
      </c>
      <c r="Q355" s="32"/>
      <c r="R355" s="32"/>
      <c r="S355" s="53" t="e">
        <f>_xlfn.LET(_xlpm.Result,INDEX(Input!$D$2:$AC$500,
       MATCH(B355, Input!$J$2:$J$500, 0),
       MATCH("Capacity", Input!$D$1:$AC$1, 0)),IF(_xlpm.Result="","",_xlpm.Result))</f>
        <v>#N/A</v>
      </c>
      <c r="T355" s="53" t="e" cm="1">
        <f t="array" ref="T355">_xlfn.TEXTSPLIT(S355," / ", ,TRUE,0,)</f>
        <v>#N/A</v>
      </c>
      <c r="U355" s="53"/>
      <c r="V355" s="53" t="str" cm="1">
        <f t="array" ref="V355">IFERROR(_xlfn.IFS(
T355="","",
--T355&lt;55,"Battery Defect",
--T355&lt;=69,"Battery D",
--T355&lt;=80,"Battery C",
--T355&gt;80,""
),"")</f>
        <v/>
      </c>
      <c r="W355" s="53" t="str" cm="1">
        <f t="array" ref="W355">IFERROR(_xlfn.IFS(
U355="","",
--U355&lt;55,"Battery Defect",
--U355&lt;=69,"Battery D",
--U355&lt;=80,"Battery C",
--U355&gt;80,""
),"")</f>
        <v/>
      </c>
      <c r="X355" s="53"/>
      <c r="Y355" s="53"/>
      <c r="Z355" s="53"/>
      <c r="AA355" s="53"/>
      <c r="AB355" s="53"/>
      <c r="AC355" s="53"/>
      <c r="AD355" s="53"/>
      <c r="AE355" s="53"/>
      <c r="AF355" s="32" t="str">
        <f t="shared" si="16"/>
        <v/>
      </c>
      <c r="AG355" s="32"/>
      <c r="AH355" s="32"/>
      <c r="AI355" s="32"/>
      <c r="AJ355" s="32"/>
      <c r="AK355" s="32"/>
      <c r="AL355" s="32"/>
      <c r="AM355" s="32"/>
      <c r="AN355" s="32"/>
    </row>
    <row r="356" spans="1:40">
      <c r="A356" s="32" t="str">
        <f>_xlfn.TEXTJOIN("",TRUE,_xlfn.XLOOKUP(B356,Input!J:J,Input!G:G,"",0,1),_xlfn.XLOOKUP(B356,Input!J:J,Input!H:H,"",0,1))</f>
        <v/>
      </c>
      <c r="B356" s="32"/>
      <c r="C356" s="53">
        <f>_xlfn.XLOOKUP(B356,Input!J:J,Input!F:F)</f>
        <v>0</v>
      </c>
      <c r="D356" s="32">
        <f>_xlfn.XLOOKUP(C356,Models!H:H,Models!G:G,C356)</f>
        <v>0</v>
      </c>
      <c r="E356" s="32"/>
      <c r="F356" s="32" t="str">
        <f>_xlfn.XLOOKUP(H356,Models!B:B,Models!F:F,"")</f>
        <v/>
      </c>
      <c r="G356" s="32">
        <f>_xlfn.XLOOKUP(B356,Input!J:J,Input!E:E)</f>
        <v>0</v>
      </c>
      <c r="H356" s="32">
        <f>IF(G356="LENOVO",_xlfn.XLOOKUP(B356,Input!J:J,Input!K:K),_xlfn.XLOOKUP(B356,Input!J:J,Input!L:L))</f>
        <v>0</v>
      </c>
      <c r="I356" s="32"/>
      <c r="J356" s="32"/>
      <c r="K356" s="32"/>
      <c r="L356" s="53"/>
      <c r="M356" s="53"/>
      <c r="N356" s="53"/>
      <c r="O356" s="53" t="str" cm="1">
        <f t="array" ref="O356">IFERROR(_xlfn.FILTERXML("&lt;t&gt;&lt;s&gt;" &amp; SUBSTITUTE(M356," / ","&lt;/s&gt;&lt;s&gt;") &amp; "&lt;/s&gt;&lt;/t&gt;","(//s[contains(.,'DDR')])[1]"),"")</f>
        <v/>
      </c>
      <c r="P356" s="32" t="str">
        <f t="shared" si="17"/>
        <v>GB</v>
      </c>
      <c r="Q356" s="32"/>
      <c r="R356" s="32"/>
      <c r="S356" s="53" t="e">
        <f>_xlfn.LET(_xlpm.Result,INDEX(Input!$D$2:$AC$500,
       MATCH(B356, Input!$J$2:$J$500, 0),
       MATCH("Capacity", Input!$D$1:$AC$1, 0)),IF(_xlpm.Result="","",_xlpm.Result))</f>
        <v>#N/A</v>
      </c>
      <c r="T356" s="53" t="e" cm="1">
        <f t="array" ref="T356">_xlfn.TEXTSPLIT(S356," / ", ,TRUE,0,)</f>
        <v>#N/A</v>
      </c>
      <c r="U356" s="53"/>
      <c r="V356" s="53" t="str" cm="1">
        <f t="array" ref="V356">IFERROR(_xlfn.IFS(
T356="","",
--T356&lt;55,"Battery Defect",
--T356&lt;=69,"Battery D",
--T356&lt;=80,"Battery C",
--T356&gt;80,""
),"")</f>
        <v/>
      </c>
      <c r="W356" s="53" t="str" cm="1">
        <f t="array" ref="W356">IFERROR(_xlfn.IFS(
U356="","",
--U356&lt;55,"Battery Defect",
--U356&lt;=69,"Battery D",
--U356&lt;=80,"Battery C",
--U356&gt;80,""
),"")</f>
        <v/>
      </c>
      <c r="X356" s="53"/>
      <c r="Y356" s="53"/>
      <c r="Z356" s="53"/>
      <c r="AA356" s="53"/>
      <c r="AB356" s="53"/>
      <c r="AC356" s="53"/>
      <c r="AD356" s="53"/>
      <c r="AE356" s="53"/>
      <c r="AF356" s="32" t="str">
        <f t="shared" si="16"/>
        <v/>
      </c>
      <c r="AG356" s="32"/>
      <c r="AH356" s="32"/>
      <c r="AI356" s="32"/>
      <c r="AJ356" s="32"/>
      <c r="AK356" s="32"/>
      <c r="AL356" s="32"/>
      <c r="AM356" s="32"/>
      <c r="AN356" s="32"/>
    </row>
    <row r="357" spans="1:40">
      <c r="A357" s="32" t="str">
        <f>_xlfn.TEXTJOIN("",TRUE,_xlfn.XLOOKUP(B357,Input!J:J,Input!G:G,"",0,1),_xlfn.XLOOKUP(B357,Input!J:J,Input!H:H,"",0,1))</f>
        <v/>
      </c>
      <c r="B357" s="32"/>
      <c r="C357" s="53">
        <f>_xlfn.XLOOKUP(B357,Input!J:J,Input!F:F)</f>
        <v>0</v>
      </c>
      <c r="D357" s="32">
        <f>_xlfn.XLOOKUP(C357,Models!H:H,Models!G:G,C357)</f>
        <v>0</v>
      </c>
      <c r="E357" s="32"/>
      <c r="F357" s="32" t="str">
        <f>_xlfn.XLOOKUP(H357,Models!B:B,Models!F:F,"")</f>
        <v/>
      </c>
      <c r="G357" s="32">
        <f>_xlfn.XLOOKUP(B357,Input!J:J,Input!E:E)</f>
        <v>0</v>
      </c>
      <c r="H357" s="32">
        <f>IF(G357="LENOVO",_xlfn.XLOOKUP(B357,Input!J:J,Input!K:K),_xlfn.XLOOKUP(B357,Input!J:J,Input!L:L))</f>
        <v>0</v>
      </c>
      <c r="I357" s="32"/>
      <c r="J357" s="32"/>
      <c r="K357" s="32"/>
      <c r="L357" s="53"/>
      <c r="M357" s="53"/>
      <c r="N357" s="53"/>
      <c r="O357" s="53" t="str" cm="1">
        <f t="array" ref="O357">IFERROR(_xlfn.FILTERXML("&lt;t&gt;&lt;s&gt;" &amp; SUBSTITUTE(M357," / ","&lt;/s&gt;&lt;s&gt;") &amp; "&lt;/s&gt;&lt;/t&gt;","(//s[contains(.,'DDR')])[1]"),"")</f>
        <v/>
      </c>
      <c r="P357" s="32" t="str">
        <f t="shared" si="17"/>
        <v>GB</v>
      </c>
      <c r="Q357" s="32"/>
      <c r="R357" s="32"/>
      <c r="S357" s="53" t="e">
        <f>_xlfn.LET(_xlpm.Result,INDEX(Input!$D$2:$AC$500,
       MATCH(B357, Input!$J$2:$J$500, 0),
       MATCH("Capacity", Input!$D$1:$AC$1, 0)),IF(_xlpm.Result="","",_xlpm.Result))</f>
        <v>#N/A</v>
      </c>
      <c r="T357" s="53" t="e" cm="1">
        <f t="array" ref="T357">_xlfn.TEXTSPLIT(S357," / ", ,TRUE,0,)</f>
        <v>#N/A</v>
      </c>
      <c r="U357" s="53"/>
      <c r="V357" s="53" t="str" cm="1">
        <f t="array" ref="V357">IFERROR(_xlfn.IFS(
T357="","",
--T357&lt;55,"Battery Defect",
--T357&lt;=69,"Battery D",
--T357&lt;=80,"Battery C",
--T357&gt;80,""
),"")</f>
        <v/>
      </c>
      <c r="W357" s="53" t="str" cm="1">
        <f t="array" ref="W357">IFERROR(_xlfn.IFS(
U357="","",
--U357&lt;55,"Battery Defect",
--U357&lt;=69,"Battery D",
--U357&lt;=80,"Battery C",
--U357&gt;80,""
),"")</f>
        <v/>
      </c>
      <c r="X357" s="53"/>
      <c r="Y357" s="53"/>
      <c r="Z357" s="53"/>
      <c r="AA357" s="53"/>
      <c r="AB357" s="53"/>
      <c r="AC357" s="53"/>
      <c r="AD357" s="53"/>
      <c r="AE357" s="53"/>
      <c r="AF357" s="32" t="str">
        <f t="shared" si="16"/>
        <v/>
      </c>
      <c r="AG357" s="32"/>
      <c r="AH357" s="32"/>
      <c r="AI357" s="32"/>
      <c r="AJ357" s="32"/>
      <c r="AK357" s="32"/>
      <c r="AL357" s="32"/>
      <c r="AM357" s="32"/>
      <c r="AN357" s="32"/>
    </row>
    <row r="358" spans="1:40">
      <c r="A358" s="32" t="str">
        <f>_xlfn.TEXTJOIN("",TRUE,_xlfn.XLOOKUP(B358,Input!J:J,Input!G:G,"",0,1),_xlfn.XLOOKUP(B358,Input!J:J,Input!H:H,"",0,1))</f>
        <v/>
      </c>
      <c r="B358" s="32"/>
      <c r="C358" s="53">
        <f>_xlfn.XLOOKUP(B358,Input!J:J,Input!F:F)</f>
        <v>0</v>
      </c>
      <c r="D358" s="32">
        <f>_xlfn.XLOOKUP(C358,Models!H:H,Models!G:G,C358)</f>
        <v>0</v>
      </c>
      <c r="E358" s="32"/>
      <c r="F358" s="32" t="str">
        <f>_xlfn.XLOOKUP(H358,Models!B:B,Models!F:F,"")</f>
        <v/>
      </c>
      <c r="G358" s="32">
        <f>_xlfn.XLOOKUP(B358,Input!J:J,Input!E:E)</f>
        <v>0</v>
      </c>
      <c r="H358" s="32">
        <f>IF(G358="LENOVO",_xlfn.XLOOKUP(B358,Input!J:J,Input!K:K),_xlfn.XLOOKUP(B358,Input!J:J,Input!L:L))</f>
        <v>0</v>
      </c>
      <c r="I358" s="32"/>
      <c r="J358" s="32"/>
      <c r="K358" s="32"/>
      <c r="L358" s="53"/>
      <c r="M358" s="53"/>
      <c r="N358" s="53"/>
      <c r="O358" s="53" t="str" cm="1">
        <f t="array" ref="O358">IFERROR(_xlfn.FILTERXML("&lt;t&gt;&lt;s&gt;" &amp; SUBSTITUTE(M358," / ","&lt;/s&gt;&lt;s&gt;") &amp; "&lt;/s&gt;&lt;/t&gt;","(//s[contains(.,'DDR')])[1]"),"")</f>
        <v/>
      </c>
      <c r="P358" s="32" t="str">
        <f t="shared" si="17"/>
        <v>GB</v>
      </c>
      <c r="Q358" s="32"/>
      <c r="R358" s="32"/>
      <c r="S358" s="53" t="e">
        <f>_xlfn.LET(_xlpm.Result,INDEX(Input!$D$2:$AC$500,
       MATCH(B358, Input!$J$2:$J$500, 0),
       MATCH("Capacity", Input!$D$1:$AC$1, 0)),IF(_xlpm.Result="","",_xlpm.Result))</f>
        <v>#N/A</v>
      </c>
      <c r="T358" s="53" t="e" cm="1">
        <f t="array" ref="T358">_xlfn.TEXTSPLIT(S358," / ", ,TRUE,0,)</f>
        <v>#N/A</v>
      </c>
      <c r="U358" s="53"/>
      <c r="V358" s="53" t="str" cm="1">
        <f t="array" ref="V358">IFERROR(_xlfn.IFS(
T358="","",
--T358&lt;55,"Battery Defect",
--T358&lt;=69,"Battery D",
--T358&lt;=80,"Battery C",
--T358&gt;80,""
),"")</f>
        <v/>
      </c>
      <c r="W358" s="53" t="str" cm="1">
        <f t="array" ref="W358">IFERROR(_xlfn.IFS(
U358="","",
--U358&lt;55,"Battery Defect",
--U358&lt;=69,"Battery D",
--U358&lt;=80,"Battery C",
--U358&gt;80,""
),"")</f>
        <v/>
      </c>
      <c r="X358" s="53"/>
      <c r="Y358" s="53"/>
      <c r="Z358" s="53"/>
      <c r="AA358" s="53"/>
      <c r="AB358" s="53"/>
      <c r="AC358" s="53"/>
      <c r="AD358" s="53"/>
      <c r="AE358" s="53"/>
      <c r="AF358" s="32" t="str">
        <f t="shared" si="16"/>
        <v/>
      </c>
      <c r="AG358" s="32"/>
      <c r="AH358" s="32"/>
      <c r="AI358" s="32"/>
      <c r="AJ358" s="32"/>
      <c r="AK358" s="32"/>
      <c r="AL358" s="32"/>
      <c r="AM358" s="32"/>
      <c r="AN358" s="32"/>
    </row>
    <row r="359" spans="1:40">
      <c r="A359" s="32" t="str">
        <f>_xlfn.TEXTJOIN("",TRUE,_xlfn.XLOOKUP(B359,Input!J:J,Input!G:G,"",0,1),_xlfn.XLOOKUP(B359,Input!J:J,Input!H:H,"",0,1))</f>
        <v/>
      </c>
      <c r="B359" s="32"/>
      <c r="C359" s="53">
        <f>_xlfn.XLOOKUP(B359,Input!J:J,Input!F:F)</f>
        <v>0</v>
      </c>
      <c r="D359" s="32">
        <f>_xlfn.XLOOKUP(C359,Models!H:H,Models!G:G,C359)</f>
        <v>0</v>
      </c>
      <c r="E359" s="32"/>
      <c r="F359" s="32" t="str">
        <f>_xlfn.XLOOKUP(H359,Models!B:B,Models!F:F,"")</f>
        <v/>
      </c>
      <c r="G359" s="32">
        <f>_xlfn.XLOOKUP(B359,Input!J:J,Input!E:E)</f>
        <v>0</v>
      </c>
      <c r="H359" s="32">
        <f>IF(G359="LENOVO",_xlfn.XLOOKUP(B359,Input!J:J,Input!K:K),_xlfn.XLOOKUP(B359,Input!J:J,Input!L:L))</f>
        <v>0</v>
      </c>
      <c r="I359" s="32"/>
      <c r="J359" s="32"/>
      <c r="K359" s="32"/>
      <c r="L359" s="53"/>
      <c r="M359" s="53"/>
      <c r="N359" s="53"/>
      <c r="O359" s="53" t="str" cm="1">
        <f t="array" ref="O359">IFERROR(_xlfn.FILTERXML("&lt;t&gt;&lt;s&gt;" &amp; SUBSTITUTE(M359," / ","&lt;/s&gt;&lt;s&gt;") &amp; "&lt;/s&gt;&lt;/t&gt;","(//s[contains(.,'DDR')])[1]"),"")</f>
        <v/>
      </c>
      <c r="P359" s="32" t="str">
        <f t="shared" si="17"/>
        <v>GB</v>
      </c>
      <c r="Q359" s="32"/>
      <c r="R359" s="32"/>
      <c r="S359" s="53" t="e">
        <f>_xlfn.LET(_xlpm.Result,INDEX(Input!$D$2:$AC$500,
       MATCH(B359, Input!$J$2:$J$500, 0),
       MATCH("Capacity", Input!$D$1:$AC$1, 0)),IF(_xlpm.Result="","",_xlpm.Result))</f>
        <v>#N/A</v>
      </c>
      <c r="T359" s="53" t="e" cm="1">
        <f t="array" ref="T359">_xlfn.TEXTSPLIT(S359," / ", ,TRUE,0,)</f>
        <v>#N/A</v>
      </c>
      <c r="U359" s="53"/>
      <c r="V359" s="53" t="str" cm="1">
        <f t="array" ref="V359">IFERROR(_xlfn.IFS(
T359="","",
--T359&lt;55,"Battery Defect",
--T359&lt;=69,"Battery D",
--T359&lt;=80,"Battery C",
--T359&gt;80,""
),"")</f>
        <v/>
      </c>
      <c r="W359" s="53" t="str" cm="1">
        <f t="array" ref="W359">IFERROR(_xlfn.IFS(
U359="","",
--U359&lt;55,"Battery Defect",
--U359&lt;=69,"Battery D",
--U359&lt;=80,"Battery C",
--U359&gt;80,""
),"")</f>
        <v/>
      </c>
      <c r="X359" s="53"/>
      <c r="Y359" s="53"/>
      <c r="Z359" s="53"/>
      <c r="AA359" s="53"/>
      <c r="AB359" s="53"/>
      <c r="AC359" s="53"/>
      <c r="AD359" s="53"/>
      <c r="AE359" s="53"/>
      <c r="AF359" s="32" t="str">
        <f t="shared" si="16"/>
        <v/>
      </c>
      <c r="AG359" s="32"/>
      <c r="AH359" s="32"/>
      <c r="AI359" s="32"/>
      <c r="AJ359" s="32"/>
      <c r="AK359" s="32"/>
      <c r="AL359" s="32"/>
      <c r="AM359" s="32"/>
      <c r="AN359" s="32"/>
    </row>
    <row r="360" spans="1:40">
      <c r="A360" s="32" t="str">
        <f>_xlfn.TEXTJOIN("",TRUE,_xlfn.XLOOKUP(B360,Input!J:J,Input!G:G,"",0,1),_xlfn.XLOOKUP(B360,Input!J:J,Input!H:H,"",0,1))</f>
        <v/>
      </c>
      <c r="B360" s="32"/>
      <c r="C360" s="53">
        <f>_xlfn.XLOOKUP(B360,Input!J:J,Input!F:F)</f>
        <v>0</v>
      </c>
      <c r="D360" s="32">
        <f>_xlfn.XLOOKUP(C360,Models!H:H,Models!G:G,C360)</f>
        <v>0</v>
      </c>
      <c r="E360" s="32"/>
      <c r="F360" s="32" t="str">
        <f>_xlfn.XLOOKUP(H360,Models!B:B,Models!F:F,"")</f>
        <v/>
      </c>
      <c r="G360" s="32">
        <f>_xlfn.XLOOKUP(B360,Input!J:J,Input!E:E)</f>
        <v>0</v>
      </c>
      <c r="H360" s="32">
        <f>IF(G360="LENOVO",_xlfn.XLOOKUP(B360,Input!J:J,Input!K:K),_xlfn.XLOOKUP(B360,Input!J:J,Input!L:L))</f>
        <v>0</v>
      </c>
      <c r="I360" s="32"/>
      <c r="J360" s="32"/>
      <c r="K360" s="32"/>
      <c r="L360" s="53"/>
      <c r="M360" s="53"/>
      <c r="N360" s="53"/>
      <c r="O360" s="53" t="str" cm="1">
        <f t="array" ref="O360">IFERROR(_xlfn.FILTERXML("&lt;t&gt;&lt;s&gt;" &amp; SUBSTITUTE(M360," / ","&lt;/s&gt;&lt;s&gt;") &amp; "&lt;/s&gt;&lt;/t&gt;","(//s[contains(.,'DDR')])[1]"),"")</f>
        <v/>
      </c>
      <c r="P360" s="32" t="str">
        <f t="shared" si="17"/>
        <v>GB</v>
      </c>
      <c r="Q360" s="32"/>
      <c r="R360" s="32"/>
      <c r="S360" s="53" t="e">
        <f>_xlfn.LET(_xlpm.Result,INDEX(Input!$D$2:$AC$500,
       MATCH(B360, Input!$J$2:$J$500, 0),
       MATCH("Capacity", Input!$D$1:$AC$1, 0)),IF(_xlpm.Result="","",_xlpm.Result))</f>
        <v>#N/A</v>
      </c>
      <c r="T360" s="53" t="e" cm="1">
        <f t="array" ref="T360">_xlfn.TEXTSPLIT(S360," / ", ,TRUE,0,)</f>
        <v>#N/A</v>
      </c>
      <c r="U360" s="53"/>
      <c r="V360" s="53" t="str" cm="1">
        <f t="array" ref="V360">IFERROR(_xlfn.IFS(
T360="","",
--T360&lt;55,"Battery Defect",
--T360&lt;=69,"Battery D",
--T360&lt;=80,"Battery C",
--T360&gt;80,""
),"")</f>
        <v/>
      </c>
      <c r="W360" s="53" t="str" cm="1">
        <f t="array" ref="W360">IFERROR(_xlfn.IFS(
U360="","",
--U360&lt;55,"Battery Defect",
--U360&lt;=69,"Battery D",
--U360&lt;=80,"Battery C",
--U360&gt;80,""
),"")</f>
        <v/>
      </c>
      <c r="X360" s="53"/>
      <c r="Y360" s="53"/>
      <c r="Z360" s="53"/>
      <c r="AA360" s="53"/>
      <c r="AB360" s="53"/>
      <c r="AC360" s="53"/>
      <c r="AD360" s="53"/>
      <c r="AE360" s="53"/>
      <c r="AF360" s="32" t="str">
        <f t="shared" si="16"/>
        <v/>
      </c>
      <c r="AG360" s="32"/>
      <c r="AH360" s="32"/>
      <c r="AI360" s="32"/>
      <c r="AJ360" s="32"/>
      <c r="AK360" s="32"/>
      <c r="AL360" s="32"/>
      <c r="AM360" s="32"/>
      <c r="AN360" s="32"/>
    </row>
    <row r="361" spans="1:40">
      <c r="A361" s="32" t="str">
        <f>_xlfn.TEXTJOIN("",TRUE,_xlfn.XLOOKUP(B361,Input!J:J,Input!G:G,"",0,1),_xlfn.XLOOKUP(B361,Input!J:J,Input!H:H,"",0,1))</f>
        <v/>
      </c>
      <c r="B361" s="32"/>
      <c r="C361" s="53">
        <f>_xlfn.XLOOKUP(B361,Input!J:J,Input!F:F)</f>
        <v>0</v>
      </c>
      <c r="D361" s="32">
        <f>_xlfn.XLOOKUP(C361,Models!H:H,Models!G:G,C361)</f>
        <v>0</v>
      </c>
      <c r="E361" s="32"/>
      <c r="F361" s="32" t="str">
        <f>_xlfn.XLOOKUP(H361,Models!B:B,Models!F:F,"")</f>
        <v/>
      </c>
      <c r="G361" s="32">
        <f>_xlfn.XLOOKUP(B361,Input!J:J,Input!E:E)</f>
        <v>0</v>
      </c>
      <c r="H361" s="32">
        <f>IF(G361="LENOVO",_xlfn.XLOOKUP(B361,Input!J:J,Input!K:K),_xlfn.XLOOKUP(B361,Input!J:J,Input!L:L))</f>
        <v>0</v>
      </c>
      <c r="I361" s="32"/>
      <c r="J361" s="32"/>
      <c r="K361" s="32"/>
      <c r="L361" s="53"/>
      <c r="M361" s="53"/>
      <c r="N361" s="53"/>
      <c r="O361" s="53" t="str" cm="1">
        <f t="array" ref="O361">IFERROR(_xlfn.FILTERXML("&lt;t&gt;&lt;s&gt;" &amp; SUBSTITUTE(M361," / ","&lt;/s&gt;&lt;s&gt;") &amp; "&lt;/s&gt;&lt;/t&gt;","(//s[contains(.,'DDR')])[1]"),"")</f>
        <v/>
      </c>
      <c r="P361" s="32" t="str">
        <f t="shared" si="17"/>
        <v>GB</v>
      </c>
      <c r="Q361" s="32"/>
      <c r="R361" s="32"/>
      <c r="S361" s="53" t="e">
        <f>_xlfn.LET(_xlpm.Result,INDEX(Input!$D$2:$AC$500,
       MATCH(B361, Input!$J$2:$J$500, 0),
       MATCH("Capacity", Input!$D$1:$AC$1, 0)),IF(_xlpm.Result="","",_xlpm.Result))</f>
        <v>#N/A</v>
      </c>
      <c r="T361" s="53" t="e" cm="1">
        <f t="array" ref="T361">_xlfn.TEXTSPLIT(S361," / ", ,TRUE,0,)</f>
        <v>#N/A</v>
      </c>
      <c r="U361" s="53"/>
      <c r="V361" s="53" t="str" cm="1">
        <f t="array" ref="V361">IFERROR(_xlfn.IFS(
T361="","",
--T361&lt;55,"Battery Defect",
--T361&lt;=69,"Battery D",
--T361&lt;=80,"Battery C",
--T361&gt;80,""
),"")</f>
        <v/>
      </c>
      <c r="W361" s="53" t="str" cm="1">
        <f t="array" ref="W361">IFERROR(_xlfn.IFS(
U361="","",
--U361&lt;55,"Battery Defect",
--U361&lt;=69,"Battery D",
--U361&lt;=80,"Battery C",
--U361&gt;80,""
),"")</f>
        <v/>
      </c>
      <c r="X361" s="53"/>
      <c r="Y361" s="53"/>
      <c r="Z361" s="53"/>
      <c r="AA361" s="53"/>
      <c r="AB361" s="53"/>
      <c r="AC361" s="53"/>
      <c r="AD361" s="53"/>
      <c r="AE361" s="53"/>
      <c r="AF361" s="32" t="str">
        <f t="shared" si="16"/>
        <v/>
      </c>
      <c r="AG361" s="32"/>
      <c r="AH361" s="32"/>
      <c r="AI361" s="32"/>
      <c r="AJ361" s="32"/>
      <c r="AK361" s="32"/>
      <c r="AL361" s="32"/>
      <c r="AM361" s="32"/>
      <c r="AN361" s="32"/>
    </row>
    <row r="362" spans="1:40">
      <c r="A362" s="32" t="str">
        <f>_xlfn.TEXTJOIN("",TRUE,_xlfn.XLOOKUP(B362,Input!J:J,Input!G:G,"",0,1),_xlfn.XLOOKUP(B362,Input!J:J,Input!H:H,"",0,1))</f>
        <v/>
      </c>
      <c r="B362" s="32"/>
      <c r="C362" s="53">
        <f>_xlfn.XLOOKUP(B362,Input!J:J,Input!F:F)</f>
        <v>0</v>
      </c>
      <c r="D362" s="32">
        <f>_xlfn.XLOOKUP(C362,Models!H:H,Models!G:G,C362)</f>
        <v>0</v>
      </c>
      <c r="E362" s="32"/>
      <c r="F362" s="32" t="str">
        <f>_xlfn.XLOOKUP(H362,Models!B:B,Models!F:F,"")</f>
        <v/>
      </c>
      <c r="G362" s="32">
        <f>_xlfn.XLOOKUP(B362,Input!J:J,Input!E:E)</f>
        <v>0</v>
      </c>
      <c r="H362" s="32">
        <f>IF(G362="LENOVO",_xlfn.XLOOKUP(B362,Input!J:J,Input!K:K),_xlfn.XLOOKUP(B362,Input!J:J,Input!L:L))</f>
        <v>0</v>
      </c>
      <c r="I362" s="32"/>
      <c r="J362" s="32"/>
      <c r="K362" s="32"/>
      <c r="L362" s="53"/>
      <c r="M362" s="53"/>
      <c r="N362" s="53"/>
      <c r="O362" s="53" t="str" cm="1">
        <f t="array" ref="O362">IFERROR(_xlfn.FILTERXML("&lt;t&gt;&lt;s&gt;" &amp; SUBSTITUTE(M362," / ","&lt;/s&gt;&lt;s&gt;") &amp; "&lt;/s&gt;&lt;/t&gt;","(//s[contains(.,'DDR')])[1]"),"")</f>
        <v/>
      </c>
      <c r="P362" s="32" t="str">
        <f t="shared" si="17"/>
        <v>GB</v>
      </c>
      <c r="Q362" s="32"/>
      <c r="R362" s="32"/>
      <c r="S362" s="53" t="e">
        <f>_xlfn.LET(_xlpm.Result,INDEX(Input!$D$2:$AC$500,
       MATCH(B362, Input!$J$2:$J$500, 0),
       MATCH("Capacity", Input!$D$1:$AC$1, 0)),IF(_xlpm.Result="","",_xlpm.Result))</f>
        <v>#N/A</v>
      </c>
      <c r="T362" s="53" t="e" cm="1">
        <f t="array" ref="T362">_xlfn.TEXTSPLIT(S362," / ", ,TRUE,0,)</f>
        <v>#N/A</v>
      </c>
      <c r="U362" s="53"/>
      <c r="V362" s="53" t="str" cm="1">
        <f t="array" ref="V362">IFERROR(_xlfn.IFS(
T362="","",
--T362&lt;55,"Battery Defect",
--T362&lt;=69,"Battery D",
--T362&lt;=80,"Battery C",
--T362&gt;80,""
),"")</f>
        <v/>
      </c>
      <c r="W362" s="53" t="str" cm="1">
        <f t="array" ref="W362">IFERROR(_xlfn.IFS(
U362="","",
--U362&lt;55,"Battery Defect",
--U362&lt;=69,"Battery D",
--U362&lt;=80,"Battery C",
--U362&gt;80,""
),"")</f>
        <v/>
      </c>
      <c r="X362" s="53"/>
      <c r="Y362" s="53"/>
      <c r="Z362" s="53"/>
      <c r="AA362" s="53"/>
      <c r="AB362" s="53"/>
      <c r="AC362" s="53"/>
      <c r="AD362" s="53"/>
      <c r="AE362" s="53"/>
      <c r="AF362" s="32" t="str">
        <f t="shared" si="16"/>
        <v/>
      </c>
      <c r="AG362" s="32"/>
      <c r="AH362" s="32"/>
      <c r="AI362" s="32"/>
      <c r="AJ362" s="32"/>
      <c r="AK362" s="32"/>
      <c r="AL362" s="32"/>
      <c r="AM362" s="32"/>
      <c r="AN362" s="32"/>
    </row>
    <row r="363" spans="1:40">
      <c r="A363" s="32" t="str">
        <f>_xlfn.TEXTJOIN("",TRUE,_xlfn.XLOOKUP(B363,Input!J:J,Input!G:G,"",0,1),_xlfn.XLOOKUP(B363,Input!J:J,Input!H:H,"",0,1))</f>
        <v/>
      </c>
      <c r="B363" s="32"/>
      <c r="C363" s="53">
        <f>_xlfn.XLOOKUP(B363,Input!J:J,Input!F:F)</f>
        <v>0</v>
      </c>
      <c r="D363" s="32">
        <f>_xlfn.XLOOKUP(C363,Models!H:H,Models!G:G,C363)</f>
        <v>0</v>
      </c>
      <c r="E363" s="32"/>
      <c r="F363" s="32" t="str">
        <f>_xlfn.XLOOKUP(H363,Models!B:B,Models!F:F,"")</f>
        <v/>
      </c>
      <c r="G363" s="32">
        <f>_xlfn.XLOOKUP(B363,Input!J:J,Input!E:E)</f>
        <v>0</v>
      </c>
      <c r="H363" s="32">
        <f>IF(G363="LENOVO",_xlfn.XLOOKUP(B363,Input!J:J,Input!K:K),_xlfn.XLOOKUP(B363,Input!J:J,Input!L:L))</f>
        <v>0</v>
      </c>
      <c r="I363" s="32"/>
      <c r="J363" s="32"/>
      <c r="K363" s="32"/>
      <c r="L363" s="53"/>
      <c r="M363" s="53"/>
      <c r="N363" s="53"/>
      <c r="O363" s="53" t="str" cm="1">
        <f t="array" ref="O363">IFERROR(_xlfn.FILTERXML("&lt;t&gt;&lt;s&gt;" &amp; SUBSTITUTE(M363," / ","&lt;/s&gt;&lt;s&gt;") &amp; "&lt;/s&gt;&lt;/t&gt;","(//s[contains(.,'DDR')])[1]"),"")</f>
        <v/>
      </c>
      <c r="P363" s="32" t="str">
        <f t="shared" si="17"/>
        <v>GB</v>
      </c>
      <c r="Q363" s="32"/>
      <c r="R363" s="32"/>
      <c r="S363" s="53" t="e">
        <f>_xlfn.LET(_xlpm.Result,INDEX(Input!$D$2:$AC$500,
       MATCH(B363, Input!$J$2:$J$500, 0),
       MATCH("Capacity", Input!$D$1:$AC$1, 0)),IF(_xlpm.Result="","",_xlpm.Result))</f>
        <v>#N/A</v>
      </c>
      <c r="T363" s="53" t="e" cm="1">
        <f t="array" ref="T363">_xlfn.TEXTSPLIT(S363," / ", ,TRUE,0,)</f>
        <v>#N/A</v>
      </c>
      <c r="U363" s="53"/>
      <c r="V363" s="53" t="str" cm="1">
        <f t="array" ref="V363">IFERROR(_xlfn.IFS(
T363="","",
--T363&lt;55,"Battery Defect",
--T363&lt;=69,"Battery D",
--T363&lt;=80,"Battery C",
--T363&gt;80,""
),"")</f>
        <v/>
      </c>
      <c r="W363" s="53" t="str" cm="1">
        <f t="array" ref="W363">IFERROR(_xlfn.IFS(
U363="","",
--U363&lt;55,"Battery Defect",
--U363&lt;=69,"Battery D",
--U363&lt;=80,"Battery C",
--U363&gt;80,""
),"")</f>
        <v/>
      </c>
      <c r="X363" s="53"/>
      <c r="Y363" s="53"/>
      <c r="Z363" s="53"/>
      <c r="AA363" s="53"/>
      <c r="AB363" s="53"/>
      <c r="AC363" s="53"/>
      <c r="AD363" s="53"/>
      <c r="AE363" s="53"/>
      <c r="AF363" s="32" t="str">
        <f t="shared" si="16"/>
        <v/>
      </c>
      <c r="AG363" s="32"/>
      <c r="AH363" s="32"/>
      <c r="AI363" s="32"/>
      <c r="AJ363" s="32"/>
      <c r="AK363" s="32"/>
      <c r="AL363" s="32"/>
      <c r="AM363" s="32"/>
      <c r="AN363" s="32"/>
    </row>
    <row r="364" spans="1:40">
      <c r="A364" s="32" t="str">
        <f>_xlfn.TEXTJOIN("",TRUE,_xlfn.XLOOKUP(B364,Input!J:J,Input!G:G,"",0,1),_xlfn.XLOOKUP(B364,Input!J:J,Input!H:H,"",0,1))</f>
        <v/>
      </c>
      <c r="B364" s="32"/>
      <c r="C364" s="53">
        <f>_xlfn.XLOOKUP(B364,Input!J:J,Input!F:F)</f>
        <v>0</v>
      </c>
      <c r="D364" s="32">
        <f>_xlfn.XLOOKUP(C364,Models!H:H,Models!G:G,C364)</f>
        <v>0</v>
      </c>
      <c r="E364" s="32"/>
      <c r="F364" s="32" t="str">
        <f>_xlfn.XLOOKUP(H364,Models!B:B,Models!F:F,"")</f>
        <v/>
      </c>
      <c r="G364" s="32">
        <f>_xlfn.XLOOKUP(B364,Input!J:J,Input!E:E)</f>
        <v>0</v>
      </c>
      <c r="H364" s="32">
        <f>IF(G364="LENOVO",_xlfn.XLOOKUP(B364,Input!J:J,Input!K:K),_xlfn.XLOOKUP(B364,Input!J:J,Input!L:L))</f>
        <v>0</v>
      </c>
      <c r="I364" s="32"/>
      <c r="J364" s="32"/>
      <c r="K364" s="32"/>
      <c r="L364" s="53"/>
      <c r="M364" s="53"/>
      <c r="N364" s="53"/>
      <c r="O364" s="53" t="str" cm="1">
        <f t="array" ref="O364">IFERROR(_xlfn.FILTERXML("&lt;t&gt;&lt;s&gt;" &amp; SUBSTITUTE(M364," / ","&lt;/s&gt;&lt;s&gt;") &amp; "&lt;/s&gt;&lt;/t&gt;","(//s[contains(.,'DDR')])[1]"),"")</f>
        <v/>
      </c>
      <c r="P364" s="32" t="str">
        <f t="shared" si="17"/>
        <v>GB</v>
      </c>
      <c r="Q364" s="32"/>
      <c r="R364" s="32"/>
      <c r="S364" s="53" t="e">
        <f>_xlfn.LET(_xlpm.Result,INDEX(Input!$D$2:$AC$500,
       MATCH(B364, Input!$J$2:$J$500, 0),
       MATCH("Capacity", Input!$D$1:$AC$1, 0)),IF(_xlpm.Result="","",_xlpm.Result))</f>
        <v>#N/A</v>
      </c>
      <c r="T364" s="53" t="e" cm="1">
        <f t="array" ref="T364">_xlfn.TEXTSPLIT(S364," / ", ,TRUE,0,)</f>
        <v>#N/A</v>
      </c>
      <c r="U364" s="53"/>
      <c r="V364" s="53" t="str" cm="1">
        <f t="array" ref="V364">IFERROR(_xlfn.IFS(
T364="","",
--T364&lt;55,"Battery Defect",
--T364&lt;=69,"Battery D",
--T364&lt;=80,"Battery C",
--T364&gt;80,""
),"")</f>
        <v/>
      </c>
      <c r="W364" s="53" t="str" cm="1">
        <f t="array" ref="W364">IFERROR(_xlfn.IFS(
U364="","",
--U364&lt;55,"Battery Defect",
--U364&lt;=69,"Battery D",
--U364&lt;=80,"Battery C",
--U364&gt;80,""
),"")</f>
        <v/>
      </c>
      <c r="X364" s="53"/>
      <c r="Y364" s="53"/>
      <c r="Z364" s="53"/>
      <c r="AA364" s="53"/>
      <c r="AB364" s="53"/>
      <c r="AC364" s="53"/>
      <c r="AD364" s="53"/>
      <c r="AE364" s="53"/>
      <c r="AF364" s="32" t="str">
        <f t="shared" si="16"/>
        <v/>
      </c>
      <c r="AG364" s="32"/>
      <c r="AH364" s="32"/>
      <c r="AI364" s="32"/>
      <c r="AJ364" s="32"/>
      <c r="AK364" s="32"/>
      <c r="AL364" s="32"/>
      <c r="AM364" s="32"/>
      <c r="AN364" s="32"/>
    </row>
    <row r="365" spans="1:40">
      <c r="A365" s="32" t="str">
        <f>_xlfn.TEXTJOIN("",TRUE,_xlfn.XLOOKUP(B365,Input!J:J,Input!G:G,"",0,1),_xlfn.XLOOKUP(B365,Input!J:J,Input!H:H,"",0,1))</f>
        <v/>
      </c>
      <c r="B365" s="32"/>
      <c r="C365" s="53">
        <f>_xlfn.XLOOKUP(B365,Input!J:J,Input!F:F)</f>
        <v>0</v>
      </c>
      <c r="D365" s="32">
        <f>_xlfn.XLOOKUP(C365,Models!H:H,Models!G:G,C365)</f>
        <v>0</v>
      </c>
      <c r="E365" s="32"/>
      <c r="F365" s="32" t="str">
        <f>_xlfn.XLOOKUP(H365,Models!B:B,Models!F:F,"")</f>
        <v/>
      </c>
      <c r="G365" s="32">
        <f>_xlfn.XLOOKUP(B365,Input!J:J,Input!E:E)</f>
        <v>0</v>
      </c>
      <c r="H365" s="32">
        <f>IF(G365="LENOVO",_xlfn.XLOOKUP(B365,Input!J:J,Input!K:K),_xlfn.XLOOKUP(B365,Input!J:J,Input!L:L))</f>
        <v>0</v>
      </c>
      <c r="I365" s="32"/>
      <c r="J365" s="32"/>
      <c r="K365" s="32"/>
      <c r="L365" s="53"/>
      <c r="M365" s="53"/>
      <c r="N365" s="53"/>
      <c r="O365" s="53" t="str" cm="1">
        <f t="array" ref="O365">IFERROR(_xlfn.FILTERXML("&lt;t&gt;&lt;s&gt;" &amp; SUBSTITUTE(M365," / ","&lt;/s&gt;&lt;s&gt;") &amp; "&lt;/s&gt;&lt;/t&gt;","(//s[contains(.,'DDR')])[1]"),"")</f>
        <v/>
      </c>
      <c r="P365" s="32" t="str">
        <f t="shared" si="17"/>
        <v>GB</v>
      </c>
      <c r="Q365" s="32"/>
      <c r="R365" s="32"/>
      <c r="S365" s="53" t="e">
        <f>_xlfn.LET(_xlpm.Result,INDEX(Input!$D$2:$AC$500,
       MATCH(B365, Input!$J$2:$J$500, 0),
       MATCH("Capacity", Input!$D$1:$AC$1, 0)),IF(_xlpm.Result="","",_xlpm.Result))</f>
        <v>#N/A</v>
      </c>
      <c r="T365" s="53" t="e" cm="1">
        <f t="array" ref="T365">_xlfn.TEXTSPLIT(S365," / ", ,TRUE,0,)</f>
        <v>#N/A</v>
      </c>
      <c r="U365" s="53"/>
      <c r="V365" s="53" t="str" cm="1">
        <f t="array" ref="V365">IFERROR(_xlfn.IFS(
T365="","",
--T365&lt;55,"Battery Defect",
--T365&lt;=69,"Battery D",
--T365&lt;=80,"Battery C",
--T365&gt;80,""
),"")</f>
        <v/>
      </c>
      <c r="W365" s="53" t="str" cm="1">
        <f t="array" ref="W365">IFERROR(_xlfn.IFS(
U365="","",
--U365&lt;55,"Battery Defect",
--U365&lt;=69,"Battery D",
--U365&lt;=80,"Battery C",
--U365&gt;80,""
),"")</f>
        <v/>
      </c>
      <c r="X365" s="53"/>
      <c r="Y365" s="53"/>
      <c r="Z365" s="53"/>
      <c r="AA365" s="53"/>
      <c r="AB365" s="53"/>
      <c r="AC365" s="53"/>
      <c r="AD365" s="53"/>
      <c r="AE365" s="53"/>
      <c r="AF365" s="32" t="str">
        <f t="shared" si="16"/>
        <v/>
      </c>
      <c r="AG365" s="32"/>
      <c r="AH365" s="32"/>
      <c r="AI365" s="32"/>
      <c r="AJ365" s="32"/>
      <c r="AK365" s="32"/>
      <c r="AL365" s="32"/>
      <c r="AM365" s="32"/>
      <c r="AN365" s="32"/>
    </row>
    <row r="366" spans="1:40">
      <c r="A366" s="32" t="str">
        <f>_xlfn.TEXTJOIN("",TRUE,_xlfn.XLOOKUP(B366,Input!J:J,Input!G:G,"",0,1),_xlfn.XLOOKUP(B366,Input!J:J,Input!H:H,"",0,1))</f>
        <v/>
      </c>
      <c r="B366" s="32"/>
      <c r="C366" s="53">
        <f>_xlfn.XLOOKUP(B366,Input!J:J,Input!F:F)</f>
        <v>0</v>
      </c>
      <c r="D366" s="32">
        <f>_xlfn.XLOOKUP(C366,Models!H:H,Models!G:G,C366)</f>
        <v>0</v>
      </c>
      <c r="E366" s="32"/>
      <c r="F366" s="32" t="str">
        <f>_xlfn.XLOOKUP(H366,Models!B:B,Models!F:F,"")</f>
        <v/>
      </c>
      <c r="G366" s="32">
        <f>_xlfn.XLOOKUP(B366,Input!J:J,Input!E:E)</f>
        <v>0</v>
      </c>
      <c r="H366" s="32">
        <f>IF(G366="LENOVO",_xlfn.XLOOKUP(B366,Input!J:J,Input!K:K),_xlfn.XLOOKUP(B366,Input!J:J,Input!L:L))</f>
        <v>0</v>
      </c>
      <c r="I366" s="32"/>
      <c r="J366" s="32"/>
      <c r="K366" s="32"/>
      <c r="L366" s="53"/>
      <c r="M366" s="53"/>
      <c r="N366" s="53"/>
      <c r="O366" s="53" t="str" cm="1">
        <f t="array" ref="O366">IFERROR(_xlfn.FILTERXML("&lt;t&gt;&lt;s&gt;" &amp; SUBSTITUTE(M366," / ","&lt;/s&gt;&lt;s&gt;") &amp; "&lt;/s&gt;&lt;/t&gt;","(//s[contains(.,'DDR')])[1]"),"")</f>
        <v/>
      </c>
      <c r="P366" s="32" t="str">
        <f t="shared" si="17"/>
        <v>GB</v>
      </c>
      <c r="Q366" s="32"/>
      <c r="R366" s="32"/>
      <c r="S366" s="53" t="e">
        <f>_xlfn.LET(_xlpm.Result,INDEX(Input!$D$2:$AC$500,
       MATCH(B366, Input!$J$2:$J$500, 0),
       MATCH("Capacity", Input!$D$1:$AC$1, 0)),IF(_xlpm.Result="","",_xlpm.Result))</f>
        <v>#N/A</v>
      </c>
      <c r="T366" s="53" t="e" cm="1">
        <f t="array" ref="T366">_xlfn.TEXTSPLIT(S366," / ", ,TRUE,0,)</f>
        <v>#N/A</v>
      </c>
      <c r="U366" s="53"/>
      <c r="V366" s="53" t="str" cm="1">
        <f t="array" ref="V366">IFERROR(_xlfn.IFS(
T366="","",
--T366&lt;55,"Battery Defect",
--T366&lt;=69,"Battery D",
--T366&lt;=80,"Battery C",
--T366&gt;80,""
),"")</f>
        <v/>
      </c>
      <c r="W366" s="53" t="str" cm="1">
        <f t="array" ref="W366">IFERROR(_xlfn.IFS(
U366="","",
--U366&lt;55,"Battery Defect",
--U366&lt;=69,"Battery D",
--U366&lt;=80,"Battery C",
--U366&gt;80,""
),"")</f>
        <v/>
      </c>
      <c r="X366" s="53"/>
      <c r="Y366" s="53"/>
      <c r="Z366" s="53"/>
      <c r="AA366" s="53"/>
      <c r="AB366" s="53"/>
      <c r="AC366" s="53"/>
      <c r="AD366" s="53"/>
      <c r="AE366" s="53"/>
      <c r="AF366" s="32" t="str">
        <f t="shared" si="16"/>
        <v/>
      </c>
      <c r="AG366" s="32"/>
      <c r="AH366" s="32"/>
      <c r="AI366" s="32"/>
      <c r="AJ366" s="32"/>
      <c r="AK366" s="32"/>
      <c r="AL366" s="32"/>
      <c r="AM366" s="32"/>
      <c r="AN366" s="32"/>
    </row>
    <row r="367" spans="1:40">
      <c r="A367" s="32" t="str">
        <f>_xlfn.TEXTJOIN("",TRUE,_xlfn.XLOOKUP(B367,Input!J:J,Input!G:G,"",0,1),_xlfn.XLOOKUP(B367,Input!J:J,Input!H:H,"",0,1))</f>
        <v/>
      </c>
      <c r="B367" s="32"/>
      <c r="C367" s="53">
        <f>_xlfn.XLOOKUP(B367,Input!J:J,Input!F:F)</f>
        <v>0</v>
      </c>
      <c r="D367" s="32">
        <f>_xlfn.XLOOKUP(C367,Models!H:H,Models!G:G,C367)</f>
        <v>0</v>
      </c>
      <c r="E367" s="32"/>
      <c r="F367" s="32" t="str">
        <f>_xlfn.XLOOKUP(H367,Models!B:B,Models!F:F,"")</f>
        <v/>
      </c>
      <c r="G367" s="32">
        <f>_xlfn.XLOOKUP(B367,Input!J:J,Input!E:E)</f>
        <v>0</v>
      </c>
      <c r="H367" s="32">
        <f>IF(G367="LENOVO",_xlfn.XLOOKUP(B367,Input!J:J,Input!K:K),_xlfn.XLOOKUP(B367,Input!J:J,Input!L:L))</f>
        <v>0</v>
      </c>
      <c r="I367" s="32"/>
      <c r="J367" s="32"/>
      <c r="K367" s="32"/>
      <c r="L367" s="53"/>
      <c r="M367" s="53"/>
      <c r="N367" s="53"/>
      <c r="O367" s="53" t="str" cm="1">
        <f t="array" ref="O367">IFERROR(_xlfn.FILTERXML("&lt;t&gt;&lt;s&gt;" &amp; SUBSTITUTE(M367," / ","&lt;/s&gt;&lt;s&gt;") &amp; "&lt;/s&gt;&lt;/t&gt;","(//s[contains(.,'DDR')])[1]"),"")</f>
        <v/>
      </c>
      <c r="P367" s="32" t="str">
        <f t="shared" si="17"/>
        <v>GB</v>
      </c>
      <c r="Q367" s="32"/>
      <c r="R367" s="32"/>
      <c r="S367" s="53" t="e">
        <f>_xlfn.LET(_xlpm.Result,INDEX(Input!$D$2:$AC$500,
       MATCH(B367, Input!$J$2:$J$500, 0),
       MATCH("Capacity", Input!$D$1:$AC$1, 0)),IF(_xlpm.Result="","",_xlpm.Result))</f>
        <v>#N/A</v>
      </c>
      <c r="T367" s="53" t="e" cm="1">
        <f t="array" ref="T367">_xlfn.TEXTSPLIT(S367," / ", ,TRUE,0,)</f>
        <v>#N/A</v>
      </c>
      <c r="U367" s="53"/>
      <c r="V367" s="53" t="str" cm="1">
        <f t="array" ref="V367">IFERROR(_xlfn.IFS(
T367="","",
--T367&lt;55,"Battery Defect",
--T367&lt;=69,"Battery D",
--T367&lt;=80,"Battery C",
--T367&gt;80,""
),"")</f>
        <v/>
      </c>
      <c r="W367" s="53" t="str" cm="1">
        <f t="array" ref="W367">IFERROR(_xlfn.IFS(
U367="","",
--U367&lt;55,"Battery Defect",
--U367&lt;=69,"Battery D",
--U367&lt;=80,"Battery C",
--U367&gt;80,""
),"")</f>
        <v/>
      </c>
      <c r="X367" s="53"/>
      <c r="Y367" s="53"/>
      <c r="Z367" s="53"/>
      <c r="AA367" s="53"/>
      <c r="AB367" s="53"/>
      <c r="AC367" s="53"/>
      <c r="AD367" s="53"/>
      <c r="AE367" s="53"/>
      <c r="AF367" s="32" t="str">
        <f t="shared" si="16"/>
        <v/>
      </c>
      <c r="AG367" s="32"/>
      <c r="AH367" s="32"/>
      <c r="AI367" s="32"/>
      <c r="AJ367" s="32"/>
      <c r="AK367" s="32"/>
      <c r="AL367" s="32"/>
      <c r="AM367" s="32"/>
      <c r="AN367" s="32"/>
    </row>
    <row r="368" spans="1:40">
      <c r="A368" s="32" t="str">
        <f>_xlfn.TEXTJOIN("",TRUE,_xlfn.XLOOKUP(B368,Input!J:J,Input!G:G,"",0,1),_xlfn.XLOOKUP(B368,Input!J:J,Input!H:H,"",0,1))</f>
        <v/>
      </c>
      <c r="B368" s="32"/>
      <c r="C368" s="53">
        <f>_xlfn.XLOOKUP(B368,Input!J:J,Input!F:F)</f>
        <v>0</v>
      </c>
      <c r="D368" s="32">
        <f>_xlfn.XLOOKUP(C368,Models!H:H,Models!G:G,C368)</f>
        <v>0</v>
      </c>
      <c r="E368" s="32"/>
      <c r="F368" s="32" t="str">
        <f>_xlfn.XLOOKUP(H368,Models!B:B,Models!F:F,"")</f>
        <v/>
      </c>
      <c r="G368" s="32">
        <f>_xlfn.XLOOKUP(B368,Input!J:J,Input!E:E)</f>
        <v>0</v>
      </c>
      <c r="H368" s="32">
        <f>IF(G368="LENOVO",_xlfn.XLOOKUP(B368,Input!J:J,Input!K:K),_xlfn.XLOOKUP(B368,Input!J:J,Input!L:L))</f>
        <v>0</v>
      </c>
      <c r="I368" s="32"/>
      <c r="J368" s="32"/>
      <c r="K368" s="32"/>
      <c r="L368" s="53"/>
      <c r="M368" s="53"/>
      <c r="N368" s="53"/>
      <c r="O368" s="53" t="str" cm="1">
        <f t="array" ref="O368">IFERROR(_xlfn.FILTERXML("&lt;t&gt;&lt;s&gt;" &amp; SUBSTITUTE(M368," / ","&lt;/s&gt;&lt;s&gt;") &amp; "&lt;/s&gt;&lt;/t&gt;","(//s[contains(.,'DDR')])[1]"),"")</f>
        <v/>
      </c>
      <c r="P368" s="32" t="str">
        <f t="shared" si="17"/>
        <v>GB</v>
      </c>
      <c r="Q368" s="32"/>
      <c r="R368" s="32"/>
      <c r="S368" s="53" t="e">
        <f>_xlfn.LET(_xlpm.Result,INDEX(Input!$D$2:$AC$500,
       MATCH(B368, Input!$J$2:$J$500, 0),
       MATCH("Capacity", Input!$D$1:$AC$1, 0)),IF(_xlpm.Result="","",_xlpm.Result))</f>
        <v>#N/A</v>
      </c>
      <c r="T368" s="53" t="e" cm="1">
        <f t="array" ref="T368">_xlfn.TEXTSPLIT(S368," / ", ,TRUE,0,)</f>
        <v>#N/A</v>
      </c>
      <c r="U368" s="53"/>
      <c r="V368" s="53" t="str" cm="1">
        <f t="array" ref="V368">IFERROR(_xlfn.IFS(
T368="","",
--T368&lt;55,"Battery Defect",
--T368&lt;=69,"Battery D",
--T368&lt;=80,"Battery C",
--T368&gt;80,""
),"")</f>
        <v/>
      </c>
      <c r="W368" s="53" t="str" cm="1">
        <f t="array" ref="W368">IFERROR(_xlfn.IFS(
U368="","",
--U368&lt;55,"Battery Defect",
--U368&lt;=69,"Battery D",
--U368&lt;=80,"Battery C",
--U368&gt;80,""
),"")</f>
        <v/>
      </c>
      <c r="X368" s="53"/>
      <c r="Y368" s="53"/>
      <c r="Z368" s="53"/>
      <c r="AA368" s="53"/>
      <c r="AB368" s="53"/>
      <c r="AC368" s="53"/>
      <c r="AD368" s="53"/>
      <c r="AE368" s="53"/>
      <c r="AF368" s="32" t="str">
        <f t="shared" si="16"/>
        <v/>
      </c>
      <c r="AG368" s="32"/>
      <c r="AH368" s="32"/>
      <c r="AI368" s="32"/>
      <c r="AJ368" s="32"/>
      <c r="AK368" s="32"/>
      <c r="AL368" s="32"/>
      <c r="AM368" s="32"/>
      <c r="AN368" s="32"/>
    </row>
    <row r="369" spans="1:40">
      <c r="A369" s="32" t="str">
        <f>_xlfn.TEXTJOIN("",TRUE,_xlfn.XLOOKUP(B369,Input!J:J,Input!G:G,"",0,1),_xlfn.XLOOKUP(B369,Input!J:J,Input!H:H,"",0,1))</f>
        <v/>
      </c>
      <c r="B369" s="32"/>
      <c r="C369" s="53">
        <f>_xlfn.XLOOKUP(B369,Input!J:J,Input!F:F)</f>
        <v>0</v>
      </c>
      <c r="D369" s="32">
        <f>_xlfn.XLOOKUP(C369,Models!H:H,Models!G:G,C369)</f>
        <v>0</v>
      </c>
      <c r="E369" s="32"/>
      <c r="F369" s="32" t="str">
        <f>_xlfn.XLOOKUP(H369,Models!B:B,Models!F:F,"")</f>
        <v/>
      </c>
      <c r="G369" s="32">
        <f>_xlfn.XLOOKUP(B369,Input!J:J,Input!E:E)</f>
        <v>0</v>
      </c>
      <c r="H369" s="32">
        <f>IF(G369="LENOVO",_xlfn.XLOOKUP(B369,Input!J:J,Input!K:K),_xlfn.XLOOKUP(B369,Input!J:J,Input!L:L))</f>
        <v>0</v>
      </c>
      <c r="I369" s="32"/>
      <c r="J369" s="32"/>
      <c r="K369" s="32"/>
      <c r="L369" s="53"/>
      <c r="M369" s="53"/>
      <c r="N369" s="53"/>
      <c r="O369" s="53" t="str" cm="1">
        <f t="array" ref="O369">IFERROR(_xlfn.FILTERXML("&lt;t&gt;&lt;s&gt;" &amp; SUBSTITUTE(M369," / ","&lt;/s&gt;&lt;s&gt;") &amp; "&lt;/s&gt;&lt;/t&gt;","(//s[contains(.,'DDR')])[1]"),"")</f>
        <v/>
      </c>
      <c r="P369" s="32" t="str">
        <f t="shared" si="17"/>
        <v>GB</v>
      </c>
      <c r="Q369" s="32"/>
      <c r="R369" s="32"/>
      <c r="S369" s="53" t="e">
        <f>_xlfn.LET(_xlpm.Result,INDEX(Input!$D$2:$AC$500,
       MATCH(B369, Input!$J$2:$J$500, 0),
       MATCH("Capacity", Input!$D$1:$AC$1, 0)),IF(_xlpm.Result="","",_xlpm.Result))</f>
        <v>#N/A</v>
      </c>
      <c r="T369" s="53" t="e" cm="1">
        <f t="array" ref="T369">_xlfn.TEXTSPLIT(S369," / ", ,TRUE,0,)</f>
        <v>#N/A</v>
      </c>
      <c r="U369" s="53"/>
      <c r="V369" s="53" t="str" cm="1">
        <f t="array" ref="V369">IFERROR(_xlfn.IFS(
T369="","",
--T369&lt;55,"Battery Defect",
--T369&lt;=69,"Battery D",
--T369&lt;=80,"Battery C",
--T369&gt;80,""
),"")</f>
        <v/>
      </c>
      <c r="W369" s="53" t="str" cm="1">
        <f t="array" ref="W369">IFERROR(_xlfn.IFS(
U369="","",
--U369&lt;55,"Battery Defect",
--U369&lt;=69,"Battery D",
--U369&lt;=80,"Battery C",
--U369&gt;80,""
),"")</f>
        <v/>
      </c>
      <c r="X369" s="53"/>
      <c r="Y369" s="53"/>
      <c r="Z369" s="53"/>
      <c r="AA369" s="53"/>
      <c r="AB369" s="53"/>
      <c r="AC369" s="53"/>
      <c r="AD369" s="53"/>
      <c r="AE369" s="53"/>
      <c r="AF369" s="32" t="str">
        <f t="shared" si="16"/>
        <v/>
      </c>
      <c r="AG369" s="32"/>
      <c r="AH369" s="32"/>
      <c r="AI369" s="32"/>
      <c r="AJ369" s="32"/>
      <c r="AK369" s="32"/>
      <c r="AL369" s="32"/>
      <c r="AM369" s="32"/>
      <c r="AN369" s="32"/>
    </row>
    <row r="370" spans="1:40">
      <c r="A370" s="32" t="str">
        <f>_xlfn.TEXTJOIN("",TRUE,_xlfn.XLOOKUP(B370,Input!J:J,Input!G:G,"",0,1),_xlfn.XLOOKUP(B370,Input!J:J,Input!H:H,"",0,1))</f>
        <v/>
      </c>
      <c r="B370" s="32"/>
      <c r="C370" s="53">
        <f>_xlfn.XLOOKUP(B370,Input!J:J,Input!F:F)</f>
        <v>0</v>
      </c>
      <c r="D370" s="32">
        <f>_xlfn.XLOOKUP(C370,Models!H:H,Models!G:G,C370)</f>
        <v>0</v>
      </c>
      <c r="E370" s="32"/>
      <c r="F370" s="32" t="str">
        <f>_xlfn.XLOOKUP(H370,Models!B:B,Models!F:F,"")</f>
        <v/>
      </c>
      <c r="G370" s="32">
        <f>_xlfn.XLOOKUP(B370,Input!J:J,Input!E:E)</f>
        <v>0</v>
      </c>
      <c r="H370" s="32">
        <f>IF(G370="LENOVO",_xlfn.XLOOKUP(B370,Input!J:J,Input!K:K),_xlfn.XLOOKUP(B370,Input!J:J,Input!L:L))</f>
        <v>0</v>
      </c>
      <c r="I370" s="32"/>
      <c r="J370" s="32"/>
      <c r="K370" s="32"/>
      <c r="L370" s="53"/>
      <c r="M370" s="53"/>
      <c r="N370" s="53"/>
      <c r="O370" s="53" t="str" cm="1">
        <f t="array" ref="O370">IFERROR(_xlfn.FILTERXML("&lt;t&gt;&lt;s&gt;" &amp; SUBSTITUTE(M370," / ","&lt;/s&gt;&lt;s&gt;") &amp; "&lt;/s&gt;&lt;/t&gt;","(//s[contains(.,'DDR')])[1]"),"")</f>
        <v/>
      </c>
      <c r="P370" s="32" t="str">
        <f t="shared" si="17"/>
        <v>GB</v>
      </c>
      <c r="Q370" s="32"/>
      <c r="R370" s="32"/>
      <c r="S370" s="53" t="e">
        <f>_xlfn.LET(_xlpm.Result,INDEX(Input!$D$2:$AC$500,
       MATCH(B370, Input!$J$2:$J$500, 0),
       MATCH("Capacity", Input!$D$1:$AC$1, 0)),IF(_xlpm.Result="","",_xlpm.Result))</f>
        <v>#N/A</v>
      </c>
      <c r="T370" s="53" t="e" cm="1">
        <f t="array" ref="T370">_xlfn.TEXTSPLIT(S370," / ", ,TRUE,0,)</f>
        <v>#N/A</v>
      </c>
      <c r="U370" s="53"/>
      <c r="V370" s="53" t="str" cm="1">
        <f t="array" ref="V370">IFERROR(_xlfn.IFS(
T370="","",
--T370&lt;55,"Battery Defect",
--T370&lt;=69,"Battery D",
--T370&lt;=80,"Battery C",
--T370&gt;80,""
),"")</f>
        <v/>
      </c>
      <c r="W370" s="53" t="str" cm="1">
        <f t="array" ref="W370">IFERROR(_xlfn.IFS(
U370="","",
--U370&lt;55,"Battery Defect",
--U370&lt;=69,"Battery D",
--U370&lt;=80,"Battery C",
--U370&gt;80,""
),"")</f>
        <v/>
      </c>
      <c r="X370" s="53"/>
      <c r="Y370" s="53"/>
      <c r="Z370" s="53"/>
      <c r="AA370" s="53"/>
      <c r="AB370" s="53"/>
      <c r="AC370" s="53"/>
      <c r="AD370" s="53"/>
      <c r="AE370" s="53"/>
      <c r="AF370" s="32" t="str">
        <f t="shared" si="16"/>
        <v/>
      </c>
      <c r="AG370" s="32"/>
      <c r="AH370" s="32"/>
      <c r="AI370" s="32"/>
      <c r="AJ370" s="32"/>
      <c r="AK370" s="32"/>
      <c r="AL370" s="32"/>
      <c r="AM370" s="32"/>
      <c r="AN370" s="32"/>
    </row>
    <row r="371" spans="1:40">
      <c r="A371" s="32" t="str">
        <f>_xlfn.TEXTJOIN("",TRUE,_xlfn.XLOOKUP(B371,Input!J:J,Input!G:G,"",0,1),_xlfn.XLOOKUP(B371,Input!J:J,Input!H:H,"",0,1))</f>
        <v/>
      </c>
      <c r="B371" s="32"/>
      <c r="C371" s="53">
        <f>_xlfn.XLOOKUP(B371,Input!J:J,Input!F:F)</f>
        <v>0</v>
      </c>
      <c r="D371" s="32">
        <f>_xlfn.XLOOKUP(C371,Models!H:H,Models!G:G,C371)</f>
        <v>0</v>
      </c>
      <c r="E371" s="32"/>
      <c r="F371" s="32" t="str">
        <f>_xlfn.XLOOKUP(H371,Models!B:B,Models!F:F,"")</f>
        <v/>
      </c>
      <c r="G371" s="32">
        <f>_xlfn.XLOOKUP(B371,Input!J:J,Input!E:E)</f>
        <v>0</v>
      </c>
      <c r="H371" s="32">
        <f>IF(G371="LENOVO",_xlfn.XLOOKUP(B371,Input!J:J,Input!K:K),_xlfn.XLOOKUP(B371,Input!J:J,Input!L:L))</f>
        <v>0</v>
      </c>
      <c r="I371" s="32"/>
      <c r="J371" s="32"/>
      <c r="K371" s="32"/>
      <c r="L371" s="53"/>
      <c r="M371" s="53"/>
      <c r="N371" s="53"/>
      <c r="O371" s="53" t="str" cm="1">
        <f t="array" ref="O371">IFERROR(_xlfn.FILTERXML("&lt;t&gt;&lt;s&gt;" &amp; SUBSTITUTE(M371," / ","&lt;/s&gt;&lt;s&gt;") &amp; "&lt;/s&gt;&lt;/t&gt;","(//s[contains(.,'DDR')])[1]"),"")</f>
        <v/>
      </c>
      <c r="P371" s="32" t="str">
        <f t="shared" si="17"/>
        <v>GB</v>
      </c>
      <c r="Q371" s="32"/>
      <c r="R371" s="32"/>
      <c r="S371" s="53" t="e">
        <f>_xlfn.LET(_xlpm.Result,INDEX(Input!$D$2:$AC$500,
       MATCH(B371, Input!$J$2:$J$500, 0),
       MATCH("Capacity", Input!$D$1:$AC$1, 0)),IF(_xlpm.Result="","",_xlpm.Result))</f>
        <v>#N/A</v>
      </c>
      <c r="T371" s="53" t="e" cm="1">
        <f t="array" ref="T371">_xlfn.TEXTSPLIT(S371," / ", ,TRUE,0,)</f>
        <v>#N/A</v>
      </c>
      <c r="U371" s="53"/>
      <c r="V371" s="53" t="str" cm="1">
        <f t="array" ref="V371">IFERROR(_xlfn.IFS(
T371="","",
--T371&lt;55,"Battery Defect",
--T371&lt;=69,"Battery D",
--T371&lt;=80,"Battery C",
--T371&gt;80,""
),"")</f>
        <v/>
      </c>
      <c r="W371" s="53" t="str" cm="1">
        <f t="array" ref="W371">IFERROR(_xlfn.IFS(
U371="","",
--U371&lt;55,"Battery Defect",
--U371&lt;=69,"Battery D",
--U371&lt;=80,"Battery C",
--U371&gt;80,""
),"")</f>
        <v/>
      </c>
      <c r="X371" s="53"/>
      <c r="Y371" s="53"/>
      <c r="Z371" s="53"/>
      <c r="AA371" s="53"/>
      <c r="AB371" s="53"/>
      <c r="AC371" s="53"/>
      <c r="AD371" s="53"/>
      <c r="AE371" s="53"/>
      <c r="AF371" s="32" t="str">
        <f t="shared" si="16"/>
        <v/>
      </c>
      <c r="AG371" s="32"/>
      <c r="AH371" s="32"/>
      <c r="AI371" s="32"/>
      <c r="AJ371" s="32"/>
      <c r="AK371" s="32"/>
      <c r="AL371" s="32"/>
      <c r="AM371" s="32"/>
      <c r="AN371" s="32"/>
    </row>
    <row r="372" spans="1:40">
      <c r="A372" s="32" t="str">
        <f>_xlfn.TEXTJOIN("",TRUE,_xlfn.XLOOKUP(B372,Input!J:J,Input!G:G,"",0,1),_xlfn.XLOOKUP(B372,Input!J:J,Input!H:H,"",0,1))</f>
        <v/>
      </c>
      <c r="B372" s="32"/>
      <c r="C372" s="53">
        <f>_xlfn.XLOOKUP(B372,Input!J:J,Input!F:F)</f>
        <v>0</v>
      </c>
      <c r="D372" s="32">
        <f>_xlfn.XLOOKUP(C372,Models!H:H,Models!G:G,C372)</f>
        <v>0</v>
      </c>
      <c r="E372" s="32"/>
      <c r="F372" s="32" t="str">
        <f>_xlfn.XLOOKUP(H372,Models!B:B,Models!F:F,"")</f>
        <v/>
      </c>
      <c r="G372" s="32">
        <f>_xlfn.XLOOKUP(B372,Input!J:J,Input!E:E)</f>
        <v>0</v>
      </c>
      <c r="H372" s="32">
        <f>IF(G372="LENOVO",_xlfn.XLOOKUP(B372,Input!J:J,Input!K:K),_xlfn.XLOOKUP(B372,Input!J:J,Input!L:L))</f>
        <v>0</v>
      </c>
      <c r="I372" s="32"/>
      <c r="J372" s="32"/>
      <c r="K372" s="32"/>
      <c r="L372" s="53"/>
      <c r="M372" s="53"/>
      <c r="N372" s="53"/>
      <c r="O372" s="53" t="str" cm="1">
        <f t="array" ref="O372">IFERROR(_xlfn.FILTERXML("&lt;t&gt;&lt;s&gt;" &amp; SUBSTITUTE(M372," / ","&lt;/s&gt;&lt;s&gt;") &amp; "&lt;/s&gt;&lt;/t&gt;","(//s[contains(.,'DDR')])[1]"),"")</f>
        <v/>
      </c>
      <c r="P372" s="32" t="str">
        <f t="shared" si="17"/>
        <v>GB</v>
      </c>
      <c r="Q372" s="32"/>
      <c r="R372" s="32"/>
      <c r="S372" s="53" t="e">
        <f>_xlfn.LET(_xlpm.Result,INDEX(Input!$D$2:$AC$500,
       MATCH(B372, Input!$J$2:$J$500, 0),
       MATCH("Capacity", Input!$D$1:$AC$1, 0)),IF(_xlpm.Result="","",_xlpm.Result))</f>
        <v>#N/A</v>
      </c>
      <c r="T372" s="53" t="e" cm="1">
        <f t="array" ref="T372">_xlfn.TEXTSPLIT(S372," / ", ,TRUE,0,)</f>
        <v>#N/A</v>
      </c>
      <c r="U372" s="53"/>
      <c r="V372" s="53" t="str" cm="1">
        <f t="array" ref="V372">IFERROR(_xlfn.IFS(
T372="","",
--T372&lt;55,"Battery Defect",
--T372&lt;=69,"Battery D",
--T372&lt;=80,"Battery C",
--T372&gt;80,""
),"")</f>
        <v/>
      </c>
      <c r="W372" s="53" t="str" cm="1">
        <f t="array" ref="W372">IFERROR(_xlfn.IFS(
U372="","",
--U372&lt;55,"Battery Defect",
--U372&lt;=69,"Battery D",
--U372&lt;=80,"Battery C",
--U372&gt;80,""
),"")</f>
        <v/>
      </c>
      <c r="X372" s="53"/>
      <c r="Y372" s="53"/>
      <c r="Z372" s="53"/>
      <c r="AA372" s="53"/>
      <c r="AB372" s="53"/>
      <c r="AC372" s="53"/>
      <c r="AD372" s="53"/>
      <c r="AE372" s="53"/>
      <c r="AF372" s="32" t="str">
        <f t="shared" si="16"/>
        <v/>
      </c>
      <c r="AG372" s="32"/>
      <c r="AH372" s="32"/>
      <c r="AI372" s="32"/>
      <c r="AJ372" s="32"/>
      <c r="AK372" s="32"/>
      <c r="AL372" s="32"/>
      <c r="AM372" s="32"/>
      <c r="AN372" s="32"/>
    </row>
    <row r="373" spans="1:40">
      <c r="A373" s="32" t="str">
        <f>_xlfn.TEXTJOIN("",TRUE,_xlfn.XLOOKUP(B373,Input!J:J,Input!G:G,"",0,1),_xlfn.XLOOKUP(B373,Input!J:J,Input!H:H,"",0,1))</f>
        <v/>
      </c>
      <c r="B373" s="32"/>
      <c r="C373" s="53">
        <f>_xlfn.XLOOKUP(B373,Input!J:J,Input!F:F)</f>
        <v>0</v>
      </c>
      <c r="D373" s="32">
        <f>_xlfn.XLOOKUP(C373,Models!H:H,Models!G:G,C373)</f>
        <v>0</v>
      </c>
      <c r="E373" s="32"/>
      <c r="F373" s="32" t="str">
        <f>_xlfn.XLOOKUP(H373,Models!B:B,Models!F:F,"")</f>
        <v/>
      </c>
      <c r="G373" s="32">
        <f>_xlfn.XLOOKUP(B373,Input!J:J,Input!E:E)</f>
        <v>0</v>
      </c>
      <c r="H373" s="32">
        <f>IF(G373="LENOVO",_xlfn.XLOOKUP(B373,Input!J:J,Input!K:K),_xlfn.XLOOKUP(B373,Input!J:J,Input!L:L))</f>
        <v>0</v>
      </c>
      <c r="I373" s="32"/>
      <c r="J373" s="32"/>
      <c r="K373" s="32"/>
      <c r="L373" s="53"/>
      <c r="M373" s="53"/>
      <c r="N373" s="53"/>
      <c r="O373" s="53" t="str" cm="1">
        <f t="array" ref="O373">IFERROR(_xlfn.FILTERXML("&lt;t&gt;&lt;s&gt;" &amp; SUBSTITUTE(M373," / ","&lt;/s&gt;&lt;s&gt;") &amp; "&lt;/s&gt;&lt;/t&gt;","(//s[contains(.,'DDR')])[1]"),"")</f>
        <v/>
      </c>
      <c r="P373" s="32" t="str">
        <f t="shared" si="17"/>
        <v>GB</v>
      </c>
      <c r="Q373" s="32"/>
      <c r="R373" s="32"/>
      <c r="S373" s="53" t="e">
        <f>_xlfn.LET(_xlpm.Result,INDEX(Input!$D$2:$AC$500,
       MATCH(B373, Input!$J$2:$J$500, 0),
       MATCH("Capacity", Input!$D$1:$AC$1, 0)),IF(_xlpm.Result="","",_xlpm.Result))</f>
        <v>#N/A</v>
      </c>
      <c r="T373" s="53" t="e" cm="1">
        <f t="array" ref="T373">_xlfn.TEXTSPLIT(S373," / ", ,TRUE,0,)</f>
        <v>#N/A</v>
      </c>
      <c r="U373" s="53"/>
      <c r="V373" s="53" t="str" cm="1">
        <f t="array" ref="V373">IFERROR(_xlfn.IFS(
T373="","",
--T373&lt;55,"Battery Defect",
--T373&lt;=69,"Battery D",
--T373&lt;=80,"Battery C",
--T373&gt;80,""
),"")</f>
        <v/>
      </c>
      <c r="W373" s="53" t="str" cm="1">
        <f t="array" ref="W373">IFERROR(_xlfn.IFS(
U373="","",
--U373&lt;55,"Battery Defect",
--U373&lt;=69,"Battery D",
--U373&lt;=80,"Battery C",
--U373&gt;80,""
),"")</f>
        <v/>
      </c>
      <c r="X373" s="53"/>
      <c r="Y373" s="53"/>
      <c r="Z373" s="53"/>
      <c r="AA373" s="53"/>
      <c r="AB373" s="53"/>
      <c r="AC373" s="53"/>
      <c r="AD373" s="53"/>
      <c r="AE373" s="53"/>
      <c r="AF373" s="32" t="str">
        <f t="shared" si="16"/>
        <v/>
      </c>
      <c r="AG373" s="32"/>
      <c r="AH373" s="32"/>
      <c r="AI373" s="32"/>
      <c r="AJ373" s="32"/>
      <c r="AK373" s="32"/>
      <c r="AL373" s="32"/>
      <c r="AM373" s="32"/>
      <c r="AN373" s="32"/>
    </row>
    <row r="374" spans="1:40">
      <c r="A374" s="32" t="str">
        <f>_xlfn.TEXTJOIN("",TRUE,_xlfn.XLOOKUP(B374,Input!J:J,Input!G:G,"",0,1),_xlfn.XLOOKUP(B374,Input!J:J,Input!H:H,"",0,1))</f>
        <v/>
      </c>
      <c r="B374" s="32"/>
      <c r="C374" s="53">
        <f>_xlfn.XLOOKUP(B374,Input!J:J,Input!F:F)</f>
        <v>0</v>
      </c>
      <c r="D374" s="32">
        <f>_xlfn.XLOOKUP(C374,Models!H:H,Models!G:G,C374)</f>
        <v>0</v>
      </c>
      <c r="E374" s="32"/>
      <c r="F374" s="32" t="str">
        <f>_xlfn.XLOOKUP(H374,Models!B:B,Models!F:F,"")</f>
        <v/>
      </c>
      <c r="G374" s="32">
        <f>_xlfn.XLOOKUP(B374,Input!J:J,Input!E:E)</f>
        <v>0</v>
      </c>
      <c r="H374" s="32">
        <f>IF(G374="LENOVO",_xlfn.XLOOKUP(B374,Input!J:J,Input!K:K),_xlfn.XLOOKUP(B374,Input!J:J,Input!L:L))</f>
        <v>0</v>
      </c>
      <c r="I374" s="32"/>
      <c r="J374" s="32"/>
      <c r="K374" s="32"/>
      <c r="L374" s="53"/>
      <c r="M374" s="53"/>
      <c r="N374" s="53"/>
      <c r="O374" s="53" t="str" cm="1">
        <f t="array" ref="O374">IFERROR(_xlfn.FILTERXML("&lt;t&gt;&lt;s&gt;" &amp; SUBSTITUTE(M374," / ","&lt;/s&gt;&lt;s&gt;") &amp; "&lt;/s&gt;&lt;/t&gt;","(//s[contains(.,'DDR')])[1]"),"")</f>
        <v/>
      </c>
      <c r="P374" s="32" t="str">
        <f t="shared" si="17"/>
        <v>GB</v>
      </c>
      <c r="Q374" s="32"/>
      <c r="R374" s="32"/>
      <c r="S374" s="53" t="e">
        <f>_xlfn.LET(_xlpm.Result,INDEX(Input!$D$2:$AC$500,
       MATCH(B374, Input!$J$2:$J$500, 0),
       MATCH("Capacity", Input!$D$1:$AC$1, 0)),IF(_xlpm.Result="","",_xlpm.Result))</f>
        <v>#N/A</v>
      </c>
      <c r="T374" s="53" t="e" cm="1">
        <f t="array" ref="T374">_xlfn.TEXTSPLIT(S374," / ", ,TRUE,0,)</f>
        <v>#N/A</v>
      </c>
      <c r="U374" s="53"/>
      <c r="V374" s="53" t="str" cm="1">
        <f t="array" ref="V374">IFERROR(_xlfn.IFS(
T374="","",
--T374&lt;55,"Battery Defect",
--T374&lt;=69,"Battery D",
--T374&lt;=80,"Battery C",
--T374&gt;80,""
),"")</f>
        <v/>
      </c>
      <c r="W374" s="53" t="str" cm="1">
        <f t="array" ref="W374">IFERROR(_xlfn.IFS(
U374="","",
--U374&lt;55,"Battery Defect",
--U374&lt;=69,"Battery D",
--U374&lt;=80,"Battery C",
--U374&gt;80,""
),"")</f>
        <v/>
      </c>
      <c r="X374" s="53"/>
      <c r="Y374" s="53"/>
      <c r="Z374" s="53"/>
      <c r="AA374" s="53"/>
      <c r="AB374" s="53"/>
      <c r="AC374" s="53"/>
      <c r="AD374" s="53"/>
      <c r="AE374" s="53"/>
      <c r="AF374" s="32" t="str">
        <f t="shared" si="16"/>
        <v/>
      </c>
      <c r="AG374" s="32"/>
      <c r="AH374" s="32"/>
      <c r="AI374" s="32"/>
      <c r="AJ374" s="32"/>
      <c r="AK374" s="32"/>
      <c r="AL374" s="32"/>
      <c r="AM374" s="32"/>
      <c r="AN374" s="32"/>
    </row>
    <row r="375" spans="1:40">
      <c r="A375" s="32" t="str">
        <f>_xlfn.TEXTJOIN("",TRUE,_xlfn.XLOOKUP(B375,Input!J:J,Input!G:G,"",0,1),_xlfn.XLOOKUP(B375,Input!J:J,Input!H:H,"",0,1))</f>
        <v/>
      </c>
      <c r="B375" s="32"/>
      <c r="C375" s="53">
        <f>_xlfn.XLOOKUP(B375,Input!J:J,Input!F:F)</f>
        <v>0</v>
      </c>
      <c r="D375" s="32">
        <f>_xlfn.XLOOKUP(C375,Models!H:H,Models!G:G,C375)</f>
        <v>0</v>
      </c>
      <c r="E375" s="32"/>
      <c r="F375" s="32" t="str">
        <f>_xlfn.XLOOKUP(H375,Models!B:B,Models!F:F,"")</f>
        <v/>
      </c>
      <c r="G375" s="32">
        <f>_xlfn.XLOOKUP(B375,Input!J:J,Input!E:E)</f>
        <v>0</v>
      </c>
      <c r="H375" s="32">
        <f>IF(G375="LENOVO",_xlfn.XLOOKUP(B375,Input!J:J,Input!K:K),_xlfn.XLOOKUP(B375,Input!J:J,Input!L:L))</f>
        <v>0</v>
      </c>
      <c r="I375" s="32"/>
      <c r="J375" s="32"/>
      <c r="K375" s="32"/>
      <c r="L375" s="53"/>
      <c r="M375" s="53"/>
      <c r="N375" s="53"/>
      <c r="O375" s="53" t="str" cm="1">
        <f t="array" ref="O375">IFERROR(_xlfn.FILTERXML("&lt;t&gt;&lt;s&gt;" &amp; SUBSTITUTE(M375," / ","&lt;/s&gt;&lt;s&gt;") &amp; "&lt;/s&gt;&lt;/t&gt;","(//s[contains(.,'DDR')])[1]"),"")</f>
        <v/>
      </c>
      <c r="P375" s="32" t="str">
        <f t="shared" si="17"/>
        <v>GB</v>
      </c>
      <c r="Q375" s="32"/>
      <c r="R375" s="32"/>
      <c r="S375" s="53" t="e">
        <f>_xlfn.LET(_xlpm.Result,INDEX(Input!$D$2:$AC$500,
       MATCH(B375, Input!$J$2:$J$500, 0),
       MATCH("Capacity", Input!$D$1:$AC$1, 0)),IF(_xlpm.Result="","",_xlpm.Result))</f>
        <v>#N/A</v>
      </c>
      <c r="T375" s="53" t="e" cm="1">
        <f t="array" ref="T375">_xlfn.TEXTSPLIT(S375," / ", ,TRUE,0,)</f>
        <v>#N/A</v>
      </c>
      <c r="U375" s="53"/>
      <c r="V375" s="53" t="str" cm="1">
        <f t="array" ref="V375">IFERROR(_xlfn.IFS(
T375="","",
--T375&lt;55,"Battery Defect",
--T375&lt;=69,"Battery D",
--T375&lt;=80,"Battery C",
--T375&gt;80,""
),"")</f>
        <v/>
      </c>
      <c r="W375" s="53" t="str" cm="1">
        <f t="array" ref="W375">IFERROR(_xlfn.IFS(
U375="","",
--U375&lt;55,"Battery Defect",
--U375&lt;=69,"Battery D",
--U375&lt;=80,"Battery C",
--U375&gt;80,""
),"")</f>
        <v/>
      </c>
      <c r="X375" s="53"/>
      <c r="Y375" s="53"/>
      <c r="Z375" s="53"/>
      <c r="AA375" s="53"/>
      <c r="AB375" s="53"/>
      <c r="AC375" s="53"/>
      <c r="AD375" s="53"/>
      <c r="AE375" s="53"/>
      <c r="AF375" s="32" t="str">
        <f t="shared" si="16"/>
        <v/>
      </c>
      <c r="AG375" s="32"/>
      <c r="AH375" s="32"/>
      <c r="AI375" s="32"/>
      <c r="AJ375" s="32"/>
      <c r="AK375" s="32"/>
      <c r="AL375" s="32"/>
      <c r="AM375" s="32"/>
      <c r="AN375" s="32"/>
    </row>
    <row r="376" spans="1:40">
      <c r="A376" s="32" t="str">
        <f>_xlfn.TEXTJOIN("",TRUE,_xlfn.XLOOKUP(B376,Input!J:J,Input!G:G,"",0,1),_xlfn.XLOOKUP(B376,Input!J:J,Input!H:H,"",0,1))</f>
        <v/>
      </c>
      <c r="B376" s="32"/>
      <c r="C376" s="53">
        <f>_xlfn.XLOOKUP(B376,Input!J:J,Input!F:F)</f>
        <v>0</v>
      </c>
      <c r="D376" s="32">
        <f>_xlfn.XLOOKUP(C376,Models!H:H,Models!G:G,C376)</f>
        <v>0</v>
      </c>
      <c r="E376" s="32"/>
      <c r="F376" s="32" t="str">
        <f>_xlfn.XLOOKUP(H376,Models!B:B,Models!F:F,"")</f>
        <v/>
      </c>
      <c r="G376" s="32">
        <f>_xlfn.XLOOKUP(B376,Input!J:J,Input!E:E)</f>
        <v>0</v>
      </c>
      <c r="H376" s="32">
        <f>IF(G376="LENOVO",_xlfn.XLOOKUP(B376,Input!J:J,Input!K:K),_xlfn.XLOOKUP(B376,Input!J:J,Input!L:L))</f>
        <v>0</v>
      </c>
      <c r="I376" s="32"/>
      <c r="J376" s="32"/>
      <c r="K376" s="32"/>
      <c r="L376" s="53"/>
      <c r="M376" s="53"/>
      <c r="N376" s="53"/>
      <c r="O376" s="53" t="str" cm="1">
        <f t="array" ref="O376">IFERROR(_xlfn.FILTERXML("&lt;t&gt;&lt;s&gt;" &amp; SUBSTITUTE(M376," / ","&lt;/s&gt;&lt;s&gt;") &amp; "&lt;/s&gt;&lt;/t&gt;","(//s[contains(.,'DDR')])[1]"),"")</f>
        <v/>
      </c>
      <c r="P376" s="32" t="str">
        <f t="shared" si="17"/>
        <v>GB</v>
      </c>
      <c r="Q376" s="32"/>
      <c r="R376" s="32"/>
      <c r="S376" s="53" t="e">
        <f>_xlfn.LET(_xlpm.Result,INDEX(Input!$D$2:$AC$500,
       MATCH(B376, Input!$J$2:$J$500, 0),
       MATCH("Capacity", Input!$D$1:$AC$1, 0)),IF(_xlpm.Result="","",_xlpm.Result))</f>
        <v>#N/A</v>
      </c>
      <c r="T376" s="53" t="e" cm="1">
        <f t="array" ref="T376">_xlfn.TEXTSPLIT(S376," / ", ,TRUE,0,)</f>
        <v>#N/A</v>
      </c>
      <c r="U376" s="53"/>
      <c r="V376" s="53" t="str" cm="1">
        <f t="array" ref="V376">IFERROR(_xlfn.IFS(
T376="","",
--T376&lt;55,"Battery Defect",
--T376&lt;=69,"Battery D",
--T376&lt;=80,"Battery C",
--T376&gt;80,""
),"")</f>
        <v/>
      </c>
      <c r="W376" s="53" t="str" cm="1">
        <f t="array" ref="W376">IFERROR(_xlfn.IFS(
U376="","",
--U376&lt;55,"Battery Defect",
--U376&lt;=69,"Battery D",
--U376&lt;=80,"Battery C",
--U376&gt;80,""
),"")</f>
        <v/>
      </c>
      <c r="X376" s="53"/>
      <c r="Y376" s="53"/>
      <c r="Z376" s="53"/>
      <c r="AA376" s="53"/>
      <c r="AB376" s="53"/>
      <c r="AC376" s="53"/>
      <c r="AD376" s="53"/>
      <c r="AE376" s="53"/>
      <c r="AF376" s="32" t="str">
        <f t="shared" si="16"/>
        <v/>
      </c>
      <c r="AG376" s="32"/>
      <c r="AH376" s="32"/>
      <c r="AI376" s="32"/>
      <c r="AJ376" s="32"/>
      <c r="AK376" s="32"/>
      <c r="AL376" s="32"/>
      <c r="AM376" s="32"/>
      <c r="AN376" s="32"/>
    </row>
    <row r="377" spans="1:40">
      <c r="A377" s="32" t="str">
        <f>_xlfn.TEXTJOIN("",TRUE,_xlfn.XLOOKUP(B377,Input!J:J,Input!G:G,"",0,1),_xlfn.XLOOKUP(B377,Input!J:J,Input!H:H,"",0,1))</f>
        <v/>
      </c>
      <c r="B377" s="32"/>
      <c r="C377" s="53">
        <f>_xlfn.XLOOKUP(B377,Input!J:J,Input!F:F)</f>
        <v>0</v>
      </c>
      <c r="D377" s="32">
        <f>_xlfn.XLOOKUP(C377,Models!H:H,Models!G:G,C377)</f>
        <v>0</v>
      </c>
      <c r="E377" s="32"/>
      <c r="F377" s="32" t="str">
        <f>_xlfn.XLOOKUP(H377,Models!B:B,Models!F:F,"")</f>
        <v/>
      </c>
      <c r="G377" s="32">
        <f>_xlfn.XLOOKUP(B377,Input!J:J,Input!E:E)</f>
        <v>0</v>
      </c>
      <c r="H377" s="32">
        <f>IF(G377="LENOVO",_xlfn.XLOOKUP(B377,Input!J:J,Input!K:K),_xlfn.XLOOKUP(B377,Input!J:J,Input!L:L))</f>
        <v>0</v>
      </c>
      <c r="I377" s="32"/>
      <c r="J377" s="32"/>
      <c r="K377" s="32"/>
      <c r="L377" s="53"/>
      <c r="M377" s="53"/>
      <c r="N377" s="53"/>
      <c r="O377" s="53" t="str" cm="1">
        <f t="array" ref="O377">IFERROR(_xlfn.FILTERXML("&lt;t&gt;&lt;s&gt;" &amp; SUBSTITUTE(M377," / ","&lt;/s&gt;&lt;s&gt;") &amp; "&lt;/s&gt;&lt;/t&gt;","(//s[contains(.,'DDR')])[1]"),"")</f>
        <v/>
      </c>
      <c r="P377" s="32" t="str">
        <f t="shared" si="17"/>
        <v>GB</v>
      </c>
      <c r="Q377" s="32"/>
      <c r="R377" s="32"/>
      <c r="S377" s="53" t="e">
        <f>_xlfn.LET(_xlpm.Result,INDEX(Input!$D$2:$AC$500,
       MATCH(B377, Input!$J$2:$J$500, 0),
       MATCH("Capacity", Input!$D$1:$AC$1, 0)),IF(_xlpm.Result="","",_xlpm.Result))</f>
        <v>#N/A</v>
      </c>
      <c r="T377" s="53" t="e" cm="1">
        <f t="array" ref="T377">_xlfn.TEXTSPLIT(S377," / ", ,TRUE,0,)</f>
        <v>#N/A</v>
      </c>
      <c r="U377" s="53"/>
      <c r="V377" s="53" t="str" cm="1">
        <f t="array" ref="V377">IFERROR(_xlfn.IFS(
T377="","",
--T377&lt;55,"Battery Defect",
--T377&lt;=69,"Battery D",
--T377&lt;=80,"Battery C",
--T377&gt;80,""
),"")</f>
        <v/>
      </c>
      <c r="W377" s="53" t="str" cm="1">
        <f t="array" ref="W377">IFERROR(_xlfn.IFS(
U377="","",
--U377&lt;55,"Battery Defect",
--U377&lt;=69,"Battery D",
--U377&lt;=80,"Battery C",
--U377&gt;80,""
),"")</f>
        <v/>
      </c>
      <c r="X377" s="53"/>
      <c r="Y377" s="53"/>
      <c r="Z377" s="53"/>
      <c r="AA377" s="53"/>
      <c r="AB377" s="53"/>
      <c r="AC377" s="53"/>
      <c r="AD377" s="53"/>
      <c r="AE377" s="53"/>
      <c r="AF377" s="32" t="str">
        <f t="shared" si="16"/>
        <v/>
      </c>
      <c r="AG377" s="32"/>
      <c r="AH377" s="32"/>
      <c r="AI377" s="32"/>
      <c r="AJ377" s="32"/>
      <c r="AK377" s="32"/>
      <c r="AL377" s="32"/>
      <c r="AM377" s="32"/>
      <c r="AN377" s="32"/>
    </row>
    <row r="378" spans="1:40">
      <c r="A378" s="32" t="str">
        <f>_xlfn.TEXTJOIN("",TRUE,_xlfn.XLOOKUP(B378,Input!J:J,Input!G:G,"",0,1),_xlfn.XLOOKUP(B378,Input!J:J,Input!H:H,"",0,1))</f>
        <v/>
      </c>
      <c r="B378" s="32"/>
      <c r="C378" s="53">
        <f>_xlfn.XLOOKUP(B378,Input!J:J,Input!F:F)</f>
        <v>0</v>
      </c>
      <c r="D378" s="32">
        <f>_xlfn.XLOOKUP(C378,Models!H:H,Models!G:G,C378)</f>
        <v>0</v>
      </c>
      <c r="E378" s="32"/>
      <c r="F378" s="32" t="str">
        <f>_xlfn.XLOOKUP(H378,Models!B:B,Models!F:F,"")</f>
        <v/>
      </c>
      <c r="G378" s="32">
        <f>_xlfn.XLOOKUP(B378,Input!J:J,Input!E:E)</f>
        <v>0</v>
      </c>
      <c r="H378" s="32">
        <f>IF(G378="LENOVO",_xlfn.XLOOKUP(B378,Input!J:J,Input!K:K),_xlfn.XLOOKUP(B378,Input!J:J,Input!L:L))</f>
        <v>0</v>
      </c>
      <c r="I378" s="32"/>
      <c r="J378" s="32"/>
      <c r="K378" s="32"/>
      <c r="L378" s="53"/>
      <c r="M378" s="53"/>
      <c r="N378" s="53"/>
      <c r="O378" s="53" t="str" cm="1">
        <f t="array" ref="O378">IFERROR(_xlfn.FILTERXML("&lt;t&gt;&lt;s&gt;" &amp; SUBSTITUTE(M378," / ","&lt;/s&gt;&lt;s&gt;") &amp; "&lt;/s&gt;&lt;/t&gt;","(//s[contains(.,'DDR')])[1]"),"")</f>
        <v/>
      </c>
      <c r="P378" s="32" t="str">
        <f t="shared" si="17"/>
        <v>GB</v>
      </c>
      <c r="Q378" s="32"/>
      <c r="R378" s="32"/>
      <c r="S378" s="53" t="e">
        <f>_xlfn.LET(_xlpm.Result,INDEX(Input!$D$2:$AC$500,
       MATCH(B378, Input!$J$2:$J$500, 0),
       MATCH("Capacity", Input!$D$1:$AC$1, 0)),IF(_xlpm.Result="","",_xlpm.Result))</f>
        <v>#N/A</v>
      </c>
      <c r="T378" s="53" t="e" cm="1">
        <f t="array" ref="T378">_xlfn.TEXTSPLIT(S378," / ", ,TRUE,0,)</f>
        <v>#N/A</v>
      </c>
      <c r="U378" s="53"/>
      <c r="V378" s="53" t="str" cm="1">
        <f t="array" ref="V378">IFERROR(_xlfn.IFS(
T378="","",
--T378&lt;55,"Battery Defect",
--T378&lt;=69,"Battery D",
--T378&lt;=80,"Battery C",
--T378&gt;80,""
),"")</f>
        <v/>
      </c>
      <c r="W378" s="53" t="str" cm="1">
        <f t="array" ref="W378">IFERROR(_xlfn.IFS(
U378="","",
--U378&lt;55,"Battery Defect",
--U378&lt;=69,"Battery D",
--U378&lt;=80,"Battery C",
--U378&gt;80,""
),"")</f>
        <v/>
      </c>
      <c r="X378" s="53"/>
      <c r="Y378" s="53"/>
      <c r="Z378" s="53"/>
      <c r="AA378" s="53"/>
      <c r="AB378" s="53"/>
      <c r="AC378" s="53"/>
      <c r="AD378" s="53"/>
      <c r="AE378" s="53"/>
      <c r="AF378" s="32" t="str">
        <f t="shared" si="16"/>
        <v/>
      </c>
      <c r="AG378" s="32"/>
      <c r="AH378" s="32"/>
      <c r="AI378" s="32"/>
      <c r="AJ378" s="32"/>
      <c r="AK378" s="32"/>
      <c r="AL378" s="32"/>
      <c r="AM378" s="32"/>
      <c r="AN378" s="32"/>
    </row>
    <row r="379" spans="1:40">
      <c r="A379" s="32" t="str">
        <f>_xlfn.TEXTJOIN("",TRUE,_xlfn.XLOOKUP(B379,Input!J:J,Input!G:G,"",0,1),_xlfn.XLOOKUP(B379,Input!J:J,Input!H:H,"",0,1))</f>
        <v/>
      </c>
      <c r="B379" s="32"/>
      <c r="C379" s="53">
        <f>_xlfn.XLOOKUP(B379,Input!J:J,Input!F:F)</f>
        <v>0</v>
      </c>
      <c r="D379" s="32">
        <f>_xlfn.XLOOKUP(C379,Models!H:H,Models!G:G,C379)</f>
        <v>0</v>
      </c>
      <c r="E379" s="32"/>
      <c r="F379" s="32" t="str">
        <f>_xlfn.XLOOKUP(H379,Models!B:B,Models!F:F,"")</f>
        <v/>
      </c>
      <c r="G379" s="32">
        <f>_xlfn.XLOOKUP(B379,Input!J:J,Input!E:E)</f>
        <v>0</v>
      </c>
      <c r="H379" s="32">
        <f>IF(G379="LENOVO",_xlfn.XLOOKUP(B379,Input!J:J,Input!K:K),_xlfn.XLOOKUP(B379,Input!J:J,Input!L:L))</f>
        <v>0</v>
      </c>
      <c r="I379" s="32"/>
      <c r="J379" s="32"/>
      <c r="K379" s="32"/>
      <c r="L379" s="53"/>
      <c r="M379" s="53"/>
      <c r="N379" s="53"/>
      <c r="O379" s="53" t="str" cm="1">
        <f t="array" ref="O379">IFERROR(_xlfn.FILTERXML("&lt;t&gt;&lt;s&gt;" &amp; SUBSTITUTE(M379," / ","&lt;/s&gt;&lt;s&gt;") &amp; "&lt;/s&gt;&lt;/t&gt;","(//s[contains(.,'DDR')])[1]"),"")</f>
        <v/>
      </c>
      <c r="P379" s="32" t="str">
        <f t="shared" si="17"/>
        <v>GB</v>
      </c>
      <c r="Q379" s="32"/>
      <c r="R379" s="32"/>
      <c r="S379" s="53" t="e">
        <f>_xlfn.LET(_xlpm.Result,INDEX(Input!$D$2:$AC$500,
       MATCH(B379, Input!$J$2:$J$500, 0),
       MATCH("Capacity", Input!$D$1:$AC$1, 0)),IF(_xlpm.Result="","",_xlpm.Result))</f>
        <v>#N/A</v>
      </c>
      <c r="T379" s="53" t="e" cm="1">
        <f t="array" ref="T379">_xlfn.TEXTSPLIT(S379," / ", ,TRUE,0,)</f>
        <v>#N/A</v>
      </c>
      <c r="U379" s="53"/>
      <c r="V379" s="53" t="str" cm="1">
        <f t="array" ref="V379">IFERROR(_xlfn.IFS(
T379="","",
--T379&lt;55,"Battery Defect",
--T379&lt;=69,"Battery D",
--T379&lt;=80,"Battery C",
--T379&gt;80,""
),"")</f>
        <v/>
      </c>
      <c r="W379" s="53" t="str" cm="1">
        <f t="array" ref="W379">IFERROR(_xlfn.IFS(
U379="","",
--U379&lt;55,"Battery Defect",
--U379&lt;=69,"Battery D",
--U379&lt;=80,"Battery C",
--U379&gt;80,""
),"")</f>
        <v/>
      </c>
      <c r="X379" s="53"/>
      <c r="Y379" s="53"/>
      <c r="Z379" s="53"/>
      <c r="AA379" s="53"/>
      <c r="AB379" s="53"/>
      <c r="AC379" s="53"/>
      <c r="AD379" s="53"/>
      <c r="AE379" s="53"/>
      <c r="AF379" s="32" t="str">
        <f t="shared" si="16"/>
        <v/>
      </c>
      <c r="AG379" s="32"/>
      <c r="AH379" s="32"/>
      <c r="AI379" s="32"/>
      <c r="AJ379" s="32"/>
      <c r="AK379" s="32"/>
      <c r="AL379" s="32"/>
      <c r="AM379" s="32"/>
      <c r="AN379" s="32"/>
    </row>
    <row r="380" spans="1:40">
      <c r="A380" s="32" t="str">
        <f>_xlfn.TEXTJOIN("",TRUE,_xlfn.XLOOKUP(B380,Input!J:J,Input!G:G,"",0,1),_xlfn.XLOOKUP(B380,Input!J:J,Input!H:H,"",0,1))</f>
        <v/>
      </c>
      <c r="B380" s="32"/>
      <c r="C380" s="53">
        <f>_xlfn.XLOOKUP(B380,Input!J:J,Input!F:F)</f>
        <v>0</v>
      </c>
      <c r="D380" s="32">
        <f>_xlfn.XLOOKUP(C380,Models!H:H,Models!G:G,C380)</f>
        <v>0</v>
      </c>
      <c r="E380" s="32"/>
      <c r="F380" s="32" t="str">
        <f>_xlfn.XLOOKUP(H380,Models!B:B,Models!F:F,"")</f>
        <v/>
      </c>
      <c r="G380" s="32">
        <f>_xlfn.XLOOKUP(B380,Input!J:J,Input!E:E)</f>
        <v>0</v>
      </c>
      <c r="H380" s="32">
        <f>IF(G380="LENOVO",_xlfn.XLOOKUP(B380,Input!J:J,Input!K:K),_xlfn.XLOOKUP(B380,Input!J:J,Input!L:L))</f>
        <v>0</v>
      </c>
      <c r="I380" s="32"/>
      <c r="J380" s="32"/>
      <c r="K380" s="32"/>
      <c r="L380" s="53"/>
      <c r="M380" s="53"/>
      <c r="N380" s="53"/>
      <c r="O380" s="53" t="str" cm="1">
        <f t="array" ref="O380">IFERROR(_xlfn.FILTERXML("&lt;t&gt;&lt;s&gt;" &amp; SUBSTITUTE(M380," / ","&lt;/s&gt;&lt;s&gt;") &amp; "&lt;/s&gt;&lt;/t&gt;","(//s[contains(.,'DDR')])[1]"),"")</f>
        <v/>
      </c>
      <c r="P380" s="32" t="str">
        <f t="shared" si="17"/>
        <v>GB</v>
      </c>
      <c r="Q380" s="32"/>
      <c r="R380" s="32"/>
      <c r="S380" s="53" t="e">
        <f>_xlfn.LET(_xlpm.Result,INDEX(Input!$D$2:$AC$500,
       MATCH(B380, Input!$J$2:$J$500, 0),
       MATCH("Capacity", Input!$D$1:$AC$1, 0)),IF(_xlpm.Result="","",_xlpm.Result))</f>
        <v>#N/A</v>
      </c>
      <c r="T380" s="53" t="e" cm="1">
        <f t="array" ref="T380">_xlfn.TEXTSPLIT(S380," / ", ,TRUE,0,)</f>
        <v>#N/A</v>
      </c>
      <c r="U380" s="53"/>
      <c r="V380" s="53" t="str" cm="1">
        <f t="array" ref="V380">IFERROR(_xlfn.IFS(
T380="","",
--T380&lt;55,"Battery Defect",
--T380&lt;=69,"Battery D",
--T380&lt;=80,"Battery C",
--T380&gt;80,""
),"")</f>
        <v/>
      </c>
      <c r="W380" s="53" t="str" cm="1">
        <f t="array" ref="W380">IFERROR(_xlfn.IFS(
U380="","",
--U380&lt;55,"Battery Defect",
--U380&lt;=69,"Battery D",
--U380&lt;=80,"Battery C",
--U380&gt;80,""
),"")</f>
        <v/>
      </c>
      <c r="X380" s="53"/>
      <c r="Y380" s="53"/>
      <c r="Z380" s="53"/>
      <c r="AA380" s="53"/>
      <c r="AB380" s="53"/>
      <c r="AC380" s="53"/>
      <c r="AD380" s="53"/>
      <c r="AE380" s="53"/>
      <c r="AF380" s="32" t="str">
        <f t="shared" si="16"/>
        <v/>
      </c>
      <c r="AG380" s="32"/>
      <c r="AH380" s="32"/>
      <c r="AI380" s="32"/>
      <c r="AJ380" s="32"/>
      <c r="AK380" s="32"/>
      <c r="AL380" s="32"/>
      <c r="AM380" s="32"/>
      <c r="AN380" s="32"/>
    </row>
    <row r="381" spans="1:40">
      <c r="A381" s="32" t="str">
        <f>_xlfn.TEXTJOIN("",TRUE,_xlfn.XLOOKUP(B381,Input!J:J,Input!G:G,"",0,1),_xlfn.XLOOKUP(B381,Input!J:J,Input!H:H,"",0,1))</f>
        <v/>
      </c>
      <c r="B381" s="32"/>
      <c r="C381" s="53">
        <f>_xlfn.XLOOKUP(B381,Input!J:J,Input!F:F)</f>
        <v>0</v>
      </c>
      <c r="D381" s="32">
        <f>_xlfn.XLOOKUP(C381,Models!H:H,Models!G:G,C381)</f>
        <v>0</v>
      </c>
      <c r="E381" s="32"/>
      <c r="F381" s="32" t="str">
        <f>_xlfn.XLOOKUP(H381,Models!B:B,Models!F:F,"")</f>
        <v/>
      </c>
      <c r="G381" s="32">
        <f>_xlfn.XLOOKUP(B381,Input!J:J,Input!E:E)</f>
        <v>0</v>
      </c>
      <c r="H381" s="32">
        <f>IF(G381="LENOVO",_xlfn.XLOOKUP(B381,Input!J:J,Input!K:K),_xlfn.XLOOKUP(B381,Input!J:J,Input!L:L))</f>
        <v>0</v>
      </c>
      <c r="I381" s="32"/>
      <c r="J381" s="32"/>
      <c r="K381" s="32"/>
      <c r="L381" s="53"/>
      <c r="M381" s="53"/>
      <c r="N381" s="53"/>
      <c r="O381" s="53" t="str" cm="1">
        <f t="array" ref="O381">IFERROR(_xlfn.FILTERXML("&lt;t&gt;&lt;s&gt;" &amp; SUBSTITUTE(M381," / ","&lt;/s&gt;&lt;s&gt;") &amp; "&lt;/s&gt;&lt;/t&gt;","(//s[contains(.,'DDR')])[1]"),"")</f>
        <v/>
      </c>
      <c r="P381" s="32" t="str">
        <f t="shared" si="17"/>
        <v>GB</v>
      </c>
      <c r="Q381" s="32"/>
      <c r="R381" s="32"/>
      <c r="S381" s="53" t="e">
        <f>_xlfn.LET(_xlpm.Result,INDEX(Input!$D$2:$AC$500,
       MATCH(B381, Input!$J$2:$J$500, 0),
       MATCH("Capacity", Input!$D$1:$AC$1, 0)),IF(_xlpm.Result="","",_xlpm.Result))</f>
        <v>#N/A</v>
      </c>
      <c r="T381" s="53" t="e" cm="1">
        <f t="array" ref="T381">_xlfn.TEXTSPLIT(S381," / ", ,TRUE,0,)</f>
        <v>#N/A</v>
      </c>
      <c r="U381" s="53"/>
      <c r="V381" s="53" t="str" cm="1">
        <f t="array" ref="V381">IFERROR(_xlfn.IFS(
T381="","",
--T381&lt;55,"Battery Defect",
--T381&lt;=69,"Battery D",
--T381&lt;=80,"Battery C",
--T381&gt;80,""
),"")</f>
        <v/>
      </c>
      <c r="W381" s="53" t="str" cm="1">
        <f t="array" ref="W381">IFERROR(_xlfn.IFS(
U381="","",
--U381&lt;55,"Battery Defect",
--U381&lt;=69,"Battery D",
--U381&lt;=80,"Battery C",
--U381&gt;80,""
),"")</f>
        <v/>
      </c>
      <c r="X381" s="53"/>
      <c r="Y381" s="53"/>
      <c r="Z381" s="53"/>
      <c r="AA381" s="53"/>
      <c r="AB381" s="53"/>
      <c r="AC381" s="53"/>
      <c r="AD381" s="53"/>
      <c r="AE381" s="53"/>
      <c r="AF381" s="32" t="str">
        <f t="shared" si="16"/>
        <v/>
      </c>
      <c r="AG381" s="32"/>
      <c r="AH381" s="32"/>
      <c r="AI381" s="32"/>
      <c r="AJ381" s="32"/>
      <c r="AK381" s="32"/>
      <c r="AL381" s="32"/>
      <c r="AM381" s="32"/>
      <c r="AN381" s="32"/>
    </row>
    <row r="382" spans="1:40">
      <c r="A382" s="32" t="str">
        <f>_xlfn.TEXTJOIN("",TRUE,_xlfn.XLOOKUP(B382,Input!J:J,Input!G:G,"",0,1),_xlfn.XLOOKUP(B382,Input!J:J,Input!H:H,"",0,1))</f>
        <v/>
      </c>
      <c r="B382" s="32"/>
      <c r="C382" s="53">
        <f>_xlfn.XLOOKUP(B382,Input!J:J,Input!F:F)</f>
        <v>0</v>
      </c>
      <c r="D382" s="32">
        <f>_xlfn.XLOOKUP(C382,Models!H:H,Models!G:G,C382)</f>
        <v>0</v>
      </c>
      <c r="E382" s="32"/>
      <c r="F382" s="32" t="str">
        <f>_xlfn.XLOOKUP(H382,Models!B:B,Models!F:F,"")</f>
        <v/>
      </c>
      <c r="G382" s="32">
        <f>_xlfn.XLOOKUP(B382,Input!J:J,Input!E:E)</f>
        <v>0</v>
      </c>
      <c r="H382" s="32">
        <f>IF(G382="LENOVO",_xlfn.XLOOKUP(B382,Input!J:J,Input!K:K),_xlfn.XLOOKUP(B382,Input!J:J,Input!L:L))</f>
        <v>0</v>
      </c>
      <c r="I382" s="32"/>
      <c r="J382" s="32"/>
      <c r="K382" s="32"/>
      <c r="L382" s="53"/>
      <c r="M382" s="53"/>
      <c r="N382" s="53"/>
      <c r="O382" s="53" t="str" cm="1">
        <f t="array" ref="O382">IFERROR(_xlfn.FILTERXML("&lt;t&gt;&lt;s&gt;" &amp; SUBSTITUTE(M382," / ","&lt;/s&gt;&lt;s&gt;") &amp; "&lt;/s&gt;&lt;/t&gt;","(//s[contains(.,'DDR')])[1]"),"")</f>
        <v/>
      </c>
      <c r="P382" s="32" t="str">
        <f t="shared" si="17"/>
        <v>GB</v>
      </c>
      <c r="Q382" s="32"/>
      <c r="R382" s="32"/>
      <c r="S382" s="53" t="e">
        <f>_xlfn.LET(_xlpm.Result,INDEX(Input!$D$2:$AC$500,
       MATCH(B382, Input!$J$2:$J$500, 0),
       MATCH("Capacity", Input!$D$1:$AC$1, 0)),IF(_xlpm.Result="","",_xlpm.Result))</f>
        <v>#N/A</v>
      </c>
      <c r="T382" s="53" t="e" cm="1">
        <f t="array" ref="T382">_xlfn.TEXTSPLIT(S382," / ", ,TRUE,0,)</f>
        <v>#N/A</v>
      </c>
      <c r="U382" s="53"/>
      <c r="V382" s="53" t="str" cm="1">
        <f t="array" ref="V382">IFERROR(_xlfn.IFS(
T382="","",
--T382&lt;55,"Battery Defect",
--T382&lt;=69,"Battery D",
--T382&lt;=80,"Battery C",
--T382&gt;80,""
),"")</f>
        <v/>
      </c>
      <c r="W382" s="53" t="str" cm="1">
        <f t="array" ref="W382">IFERROR(_xlfn.IFS(
U382="","",
--U382&lt;55,"Battery Defect",
--U382&lt;=69,"Battery D",
--U382&lt;=80,"Battery C",
--U382&gt;80,""
),"")</f>
        <v/>
      </c>
      <c r="X382" s="53"/>
      <c r="Y382" s="53"/>
      <c r="Z382" s="53"/>
      <c r="AA382" s="53"/>
      <c r="AB382" s="53"/>
      <c r="AC382" s="53"/>
      <c r="AD382" s="53"/>
      <c r="AE382" s="53"/>
      <c r="AF382" s="32" t="str">
        <f t="shared" si="16"/>
        <v/>
      </c>
      <c r="AG382" s="32"/>
      <c r="AH382" s="32"/>
      <c r="AI382" s="32"/>
      <c r="AJ382" s="32"/>
      <c r="AK382" s="32"/>
      <c r="AL382" s="32"/>
      <c r="AM382" s="32"/>
      <c r="AN382" s="32"/>
    </row>
    <row r="383" spans="1:40">
      <c r="A383" s="32" t="str">
        <f>_xlfn.TEXTJOIN("",TRUE,_xlfn.XLOOKUP(B383,Input!J:J,Input!G:G,"",0,1),_xlfn.XLOOKUP(B383,Input!J:J,Input!H:H,"",0,1))</f>
        <v/>
      </c>
      <c r="B383" s="32"/>
      <c r="C383" s="53">
        <f>_xlfn.XLOOKUP(B383,Input!J:J,Input!F:F)</f>
        <v>0</v>
      </c>
      <c r="D383" s="32">
        <f>_xlfn.XLOOKUP(C383,Models!H:H,Models!G:G,C383)</f>
        <v>0</v>
      </c>
      <c r="E383" s="32"/>
      <c r="F383" s="32" t="str">
        <f>_xlfn.XLOOKUP(H383,Models!B:B,Models!F:F,"")</f>
        <v/>
      </c>
      <c r="G383" s="32">
        <f>_xlfn.XLOOKUP(B383,Input!J:J,Input!E:E)</f>
        <v>0</v>
      </c>
      <c r="H383" s="32">
        <f>IF(G383="LENOVO",_xlfn.XLOOKUP(B383,Input!J:J,Input!K:K),_xlfn.XLOOKUP(B383,Input!J:J,Input!L:L))</f>
        <v>0</v>
      </c>
      <c r="I383" s="32"/>
      <c r="J383" s="32"/>
      <c r="K383" s="32"/>
      <c r="L383" s="53"/>
      <c r="M383" s="53"/>
      <c r="N383" s="53"/>
      <c r="O383" s="53" t="str" cm="1">
        <f t="array" ref="O383">IFERROR(_xlfn.FILTERXML("&lt;t&gt;&lt;s&gt;" &amp; SUBSTITUTE(M383," / ","&lt;/s&gt;&lt;s&gt;") &amp; "&lt;/s&gt;&lt;/t&gt;","(//s[contains(.,'DDR')])[1]"),"")</f>
        <v/>
      </c>
      <c r="P383" s="32" t="str">
        <f t="shared" si="17"/>
        <v>GB</v>
      </c>
      <c r="Q383" s="32"/>
      <c r="R383" s="32"/>
      <c r="S383" s="53" t="e">
        <f>_xlfn.LET(_xlpm.Result,INDEX(Input!$D$2:$AC$500,
       MATCH(B383, Input!$J$2:$J$500, 0),
       MATCH("Capacity", Input!$D$1:$AC$1, 0)),IF(_xlpm.Result="","",_xlpm.Result))</f>
        <v>#N/A</v>
      </c>
      <c r="T383" s="53" t="e" cm="1">
        <f t="array" ref="T383">_xlfn.TEXTSPLIT(S383," / ", ,TRUE,0,)</f>
        <v>#N/A</v>
      </c>
      <c r="U383" s="53"/>
      <c r="V383" s="53" t="str" cm="1">
        <f t="array" ref="V383">IFERROR(_xlfn.IFS(
T383="","",
--T383&lt;55,"Battery Defect",
--T383&lt;=69,"Battery D",
--T383&lt;=80,"Battery C",
--T383&gt;80,""
),"")</f>
        <v/>
      </c>
      <c r="W383" s="53" t="str" cm="1">
        <f t="array" ref="W383">IFERROR(_xlfn.IFS(
U383="","",
--U383&lt;55,"Battery Defect",
--U383&lt;=69,"Battery D",
--U383&lt;=80,"Battery C",
--U383&gt;80,""
),"")</f>
        <v/>
      </c>
      <c r="X383" s="53"/>
      <c r="Y383" s="53"/>
      <c r="Z383" s="53"/>
      <c r="AA383" s="53"/>
      <c r="AB383" s="53"/>
      <c r="AC383" s="53"/>
      <c r="AD383" s="53"/>
      <c r="AE383" s="53"/>
      <c r="AF383" s="32" t="str">
        <f t="shared" si="16"/>
        <v/>
      </c>
      <c r="AG383" s="32"/>
      <c r="AH383" s="32"/>
      <c r="AI383" s="32"/>
      <c r="AJ383" s="32"/>
      <c r="AK383" s="32"/>
      <c r="AL383" s="32"/>
      <c r="AM383" s="32"/>
      <c r="AN383" s="32"/>
    </row>
    <row r="384" spans="1:40">
      <c r="A384" s="32" t="str">
        <f>_xlfn.TEXTJOIN("",TRUE,_xlfn.XLOOKUP(B384,Input!J:J,Input!G:G,"",0,1),_xlfn.XLOOKUP(B384,Input!J:J,Input!H:H,"",0,1))</f>
        <v/>
      </c>
      <c r="B384" s="32"/>
      <c r="C384" s="53">
        <f>_xlfn.XLOOKUP(B384,Input!J:J,Input!F:F)</f>
        <v>0</v>
      </c>
      <c r="D384" s="32">
        <f>_xlfn.XLOOKUP(C384,Models!H:H,Models!G:G,C384)</f>
        <v>0</v>
      </c>
      <c r="E384" s="32"/>
      <c r="F384" s="32" t="str">
        <f>_xlfn.XLOOKUP(H384,Models!B:B,Models!F:F,"")</f>
        <v/>
      </c>
      <c r="G384" s="32">
        <f>_xlfn.XLOOKUP(B384,Input!J:J,Input!E:E)</f>
        <v>0</v>
      </c>
      <c r="H384" s="32">
        <f>IF(G384="LENOVO",_xlfn.XLOOKUP(B384,Input!J:J,Input!K:K),_xlfn.XLOOKUP(B384,Input!J:J,Input!L:L))</f>
        <v>0</v>
      </c>
      <c r="I384" s="32"/>
      <c r="J384" s="32"/>
      <c r="K384" s="32"/>
      <c r="L384" s="53"/>
      <c r="M384" s="53"/>
      <c r="N384" s="53"/>
      <c r="O384" s="53" t="str" cm="1">
        <f t="array" ref="O384">IFERROR(_xlfn.FILTERXML("&lt;t&gt;&lt;s&gt;" &amp; SUBSTITUTE(M384," / ","&lt;/s&gt;&lt;s&gt;") &amp; "&lt;/s&gt;&lt;/t&gt;","(//s[contains(.,'DDR')])[1]"),"")</f>
        <v/>
      </c>
      <c r="P384" s="32" t="str">
        <f t="shared" si="17"/>
        <v>GB</v>
      </c>
      <c r="Q384" s="32"/>
      <c r="R384" s="32"/>
      <c r="S384" s="53" t="e">
        <f>_xlfn.LET(_xlpm.Result,INDEX(Input!$D$2:$AC$500,
       MATCH(B384, Input!$J$2:$J$500, 0),
       MATCH("Capacity", Input!$D$1:$AC$1, 0)),IF(_xlpm.Result="","",_xlpm.Result))</f>
        <v>#N/A</v>
      </c>
      <c r="T384" s="53" t="e" cm="1">
        <f t="array" ref="T384">_xlfn.TEXTSPLIT(S384," / ", ,TRUE,0,)</f>
        <v>#N/A</v>
      </c>
      <c r="U384" s="53"/>
      <c r="V384" s="53" t="str" cm="1">
        <f t="array" ref="V384">IFERROR(_xlfn.IFS(
T384="","",
--T384&lt;55,"Battery Defect",
--T384&lt;=69,"Battery D",
--T384&lt;=80,"Battery C",
--T384&gt;80,""
),"")</f>
        <v/>
      </c>
      <c r="W384" s="53" t="str" cm="1">
        <f t="array" ref="W384">IFERROR(_xlfn.IFS(
U384="","",
--U384&lt;55,"Battery Defect",
--U384&lt;=69,"Battery D",
--U384&lt;=80,"Battery C",
--U384&gt;80,""
),"")</f>
        <v/>
      </c>
      <c r="X384" s="53"/>
      <c r="Y384" s="53"/>
      <c r="Z384" s="53"/>
      <c r="AA384" s="53"/>
      <c r="AB384" s="53"/>
      <c r="AC384" s="53"/>
      <c r="AD384" s="53"/>
      <c r="AE384" s="53"/>
      <c r="AF384" s="32" t="str">
        <f t="shared" si="16"/>
        <v/>
      </c>
      <c r="AG384" s="32"/>
      <c r="AH384" s="32"/>
      <c r="AI384" s="32"/>
      <c r="AJ384" s="32"/>
      <c r="AK384" s="32"/>
      <c r="AL384" s="32"/>
      <c r="AM384" s="32"/>
      <c r="AN384" s="32"/>
    </row>
    <row r="385" spans="1:40">
      <c r="A385" s="32" t="str">
        <f>_xlfn.TEXTJOIN("",TRUE,_xlfn.XLOOKUP(B385,Input!J:J,Input!G:G,"",0,1),_xlfn.XLOOKUP(B385,Input!J:J,Input!H:H,"",0,1))</f>
        <v/>
      </c>
      <c r="B385" s="32"/>
      <c r="C385" s="53">
        <f>_xlfn.XLOOKUP(B385,Input!J:J,Input!F:F)</f>
        <v>0</v>
      </c>
      <c r="D385" s="32">
        <f>_xlfn.XLOOKUP(C385,Models!H:H,Models!G:G,C385)</f>
        <v>0</v>
      </c>
      <c r="E385" s="32"/>
      <c r="F385" s="32" t="str">
        <f>_xlfn.XLOOKUP(H385,Models!B:B,Models!F:F,"")</f>
        <v/>
      </c>
      <c r="G385" s="32">
        <f>_xlfn.XLOOKUP(B385,Input!J:J,Input!E:E)</f>
        <v>0</v>
      </c>
      <c r="H385" s="32">
        <f>IF(G385="LENOVO",_xlfn.XLOOKUP(B385,Input!J:J,Input!K:K),_xlfn.XLOOKUP(B385,Input!J:J,Input!L:L))</f>
        <v>0</v>
      </c>
      <c r="I385" s="32"/>
      <c r="J385" s="32"/>
      <c r="K385" s="32"/>
      <c r="L385" s="53"/>
      <c r="M385" s="53"/>
      <c r="N385" s="53"/>
      <c r="O385" s="53" t="str" cm="1">
        <f t="array" ref="O385">IFERROR(_xlfn.FILTERXML("&lt;t&gt;&lt;s&gt;" &amp; SUBSTITUTE(M385," / ","&lt;/s&gt;&lt;s&gt;") &amp; "&lt;/s&gt;&lt;/t&gt;","(//s[contains(.,'DDR')])[1]"),"")</f>
        <v/>
      </c>
      <c r="P385" s="32" t="str">
        <f t="shared" si="17"/>
        <v>GB</v>
      </c>
      <c r="Q385" s="32"/>
      <c r="R385" s="32"/>
      <c r="S385" s="53" t="e">
        <f>_xlfn.LET(_xlpm.Result,INDEX(Input!$D$2:$AC$500,
       MATCH(B385, Input!$J$2:$J$500, 0),
       MATCH("Capacity", Input!$D$1:$AC$1, 0)),IF(_xlpm.Result="","",_xlpm.Result))</f>
        <v>#N/A</v>
      </c>
      <c r="T385" s="53" t="e" cm="1">
        <f t="array" ref="T385">_xlfn.TEXTSPLIT(S385," / ", ,TRUE,0,)</f>
        <v>#N/A</v>
      </c>
      <c r="U385" s="53"/>
      <c r="V385" s="53" t="str" cm="1">
        <f t="array" ref="V385">IFERROR(_xlfn.IFS(
T385="","",
--T385&lt;55,"Battery Defect",
--T385&lt;=69,"Battery D",
--T385&lt;=80,"Battery C",
--T385&gt;80,""
),"")</f>
        <v/>
      </c>
      <c r="W385" s="53" t="str" cm="1">
        <f t="array" ref="W385">IFERROR(_xlfn.IFS(
U385="","",
--U385&lt;55,"Battery Defect",
--U385&lt;=69,"Battery D",
--U385&lt;=80,"Battery C",
--U385&gt;80,""
),"")</f>
        <v/>
      </c>
      <c r="X385" s="53"/>
      <c r="Y385" s="53"/>
      <c r="Z385" s="53"/>
      <c r="AA385" s="53"/>
      <c r="AB385" s="53"/>
      <c r="AC385" s="53"/>
      <c r="AD385" s="53"/>
      <c r="AE385" s="53"/>
      <c r="AF385" s="32" t="str">
        <f t="shared" si="16"/>
        <v/>
      </c>
      <c r="AG385" s="32"/>
      <c r="AH385" s="32"/>
      <c r="AI385" s="32"/>
      <c r="AJ385" s="32"/>
      <c r="AK385" s="32"/>
      <c r="AL385" s="32"/>
      <c r="AM385" s="32"/>
      <c r="AN385" s="32"/>
    </row>
    <row r="386" spans="1:40">
      <c r="A386" s="32" t="str">
        <f>_xlfn.TEXTJOIN("",TRUE,_xlfn.XLOOKUP(B386,Input!J:J,Input!G:G,"",0,1),_xlfn.XLOOKUP(B386,Input!J:J,Input!H:H,"",0,1))</f>
        <v/>
      </c>
      <c r="B386" s="32"/>
      <c r="C386" s="53">
        <f>_xlfn.XLOOKUP(B386,Input!J:J,Input!F:F)</f>
        <v>0</v>
      </c>
      <c r="D386" s="32">
        <f>_xlfn.XLOOKUP(C386,Models!H:H,Models!G:G,C386)</f>
        <v>0</v>
      </c>
      <c r="E386" s="32"/>
      <c r="F386" s="32" t="str">
        <f>_xlfn.XLOOKUP(H386,Models!B:B,Models!F:F,"")</f>
        <v/>
      </c>
      <c r="G386" s="32">
        <f>_xlfn.XLOOKUP(B386,Input!J:J,Input!E:E)</f>
        <v>0</v>
      </c>
      <c r="H386" s="32">
        <f>IF(G386="LENOVO",_xlfn.XLOOKUP(B386,Input!J:J,Input!K:K),_xlfn.XLOOKUP(B386,Input!J:J,Input!L:L))</f>
        <v>0</v>
      </c>
      <c r="I386" s="32"/>
      <c r="J386" s="32"/>
      <c r="K386" s="32"/>
      <c r="L386" s="53"/>
      <c r="M386" s="53"/>
      <c r="N386" s="53"/>
      <c r="O386" s="53" t="str" cm="1">
        <f t="array" ref="O386">IFERROR(_xlfn.FILTERXML("&lt;t&gt;&lt;s&gt;" &amp; SUBSTITUTE(M386," / ","&lt;/s&gt;&lt;s&gt;") &amp; "&lt;/s&gt;&lt;/t&gt;","(//s[contains(.,'DDR')])[1]"),"")</f>
        <v/>
      </c>
      <c r="P386" s="32" t="str">
        <f t="shared" si="17"/>
        <v>GB</v>
      </c>
      <c r="Q386" s="32"/>
      <c r="R386" s="32"/>
      <c r="S386" s="53" t="e">
        <f>_xlfn.LET(_xlpm.Result,INDEX(Input!$D$2:$AC$500,
       MATCH(B386, Input!$J$2:$J$500, 0),
       MATCH("Capacity", Input!$D$1:$AC$1, 0)),IF(_xlpm.Result="","",_xlpm.Result))</f>
        <v>#N/A</v>
      </c>
      <c r="T386" s="53" t="e" cm="1">
        <f t="array" ref="T386">_xlfn.TEXTSPLIT(S386," / ", ,TRUE,0,)</f>
        <v>#N/A</v>
      </c>
      <c r="U386" s="53"/>
      <c r="V386" s="53" t="str" cm="1">
        <f t="array" ref="V386">IFERROR(_xlfn.IFS(
T386="","",
--T386&lt;55,"Battery Defect",
--T386&lt;=69,"Battery D",
--T386&lt;=80,"Battery C",
--T386&gt;80,""
),"")</f>
        <v/>
      </c>
      <c r="W386" s="53" t="str" cm="1">
        <f t="array" ref="W386">IFERROR(_xlfn.IFS(
U386="","",
--U386&lt;55,"Battery Defect",
--U386&lt;=69,"Battery D",
--U386&lt;=80,"Battery C",
--U386&gt;80,""
),"")</f>
        <v/>
      </c>
      <c r="X386" s="53"/>
      <c r="Y386" s="53"/>
      <c r="Z386" s="53"/>
      <c r="AA386" s="53"/>
      <c r="AB386" s="53"/>
      <c r="AC386" s="53"/>
      <c r="AD386" s="53"/>
      <c r="AE386" s="53"/>
      <c r="AF386" s="32" t="str">
        <f t="shared" si="16"/>
        <v/>
      </c>
      <c r="AG386" s="32"/>
      <c r="AH386" s="32"/>
      <c r="AI386" s="32"/>
      <c r="AJ386" s="32"/>
      <c r="AK386" s="32"/>
      <c r="AL386" s="32"/>
      <c r="AM386" s="32"/>
      <c r="AN386" s="32"/>
    </row>
    <row r="387" spans="1:40">
      <c r="A387" s="32" t="str">
        <f>_xlfn.TEXTJOIN("",TRUE,_xlfn.XLOOKUP(B387,Input!J:J,Input!G:G,"",0,1),_xlfn.XLOOKUP(B387,Input!J:J,Input!H:H,"",0,1))</f>
        <v/>
      </c>
      <c r="B387" s="32"/>
      <c r="C387" s="53">
        <f>_xlfn.XLOOKUP(B387,Input!J:J,Input!F:F)</f>
        <v>0</v>
      </c>
      <c r="D387" s="32">
        <f>_xlfn.XLOOKUP(C387,Models!H:H,Models!G:G,C387)</f>
        <v>0</v>
      </c>
      <c r="E387" s="32"/>
      <c r="F387" s="32" t="str">
        <f>_xlfn.XLOOKUP(H387,Models!B:B,Models!F:F,"")</f>
        <v/>
      </c>
      <c r="G387" s="32">
        <f>_xlfn.XLOOKUP(B387,Input!J:J,Input!E:E)</f>
        <v>0</v>
      </c>
      <c r="H387" s="32">
        <f>IF(G387="LENOVO",_xlfn.XLOOKUP(B387,Input!J:J,Input!K:K),_xlfn.XLOOKUP(B387,Input!J:J,Input!L:L))</f>
        <v>0</v>
      </c>
      <c r="I387" s="32"/>
      <c r="J387" s="32"/>
      <c r="K387" s="32"/>
      <c r="L387" s="53"/>
      <c r="M387" s="53"/>
      <c r="N387" s="53"/>
      <c r="O387" s="53" t="str" cm="1">
        <f t="array" ref="O387">IFERROR(_xlfn.FILTERXML("&lt;t&gt;&lt;s&gt;" &amp; SUBSTITUTE(M387," / ","&lt;/s&gt;&lt;s&gt;") &amp; "&lt;/s&gt;&lt;/t&gt;","(//s[contains(.,'DDR')])[1]"),"")</f>
        <v/>
      </c>
      <c r="P387" s="32" t="str">
        <f t="shared" si="17"/>
        <v>GB</v>
      </c>
      <c r="Q387" s="32"/>
      <c r="R387" s="32"/>
      <c r="S387" s="53" t="e">
        <f>_xlfn.LET(_xlpm.Result,INDEX(Input!$D$2:$AC$500,
       MATCH(B387, Input!$J$2:$J$500, 0),
       MATCH("Capacity", Input!$D$1:$AC$1, 0)),IF(_xlpm.Result="","",_xlpm.Result))</f>
        <v>#N/A</v>
      </c>
      <c r="T387" s="53" t="e" cm="1">
        <f t="array" ref="T387">_xlfn.TEXTSPLIT(S387," / ", ,TRUE,0,)</f>
        <v>#N/A</v>
      </c>
      <c r="U387" s="53"/>
      <c r="V387" s="53" t="str" cm="1">
        <f t="array" ref="V387">IFERROR(_xlfn.IFS(
T387="","",
--T387&lt;55,"Battery Defect",
--T387&lt;=69,"Battery D",
--T387&lt;=80,"Battery C",
--T387&gt;80,""
),"")</f>
        <v/>
      </c>
      <c r="W387" s="53" t="str" cm="1">
        <f t="array" ref="W387">IFERROR(_xlfn.IFS(
U387="","",
--U387&lt;55,"Battery Defect",
--U387&lt;=69,"Battery D",
--U387&lt;=80,"Battery C",
--U387&gt;80,""
),"")</f>
        <v/>
      </c>
      <c r="X387" s="53"/>
      <c r="Y387" s="53"/>
      <c r="Z387" s="53"/>
      <c r="AA387" s="53"/>
      <c r="AB387" s="53"/>
      <c r="AC387" s="53"/>
      <c r="AD387" s="53"/>
      <c r="AE387" s="53"/>
      <c r="AF387" s="32" t="str">
        <f t="shared" ref="AF387:AF450" si="18">IF(D387="Laptop",_xlfn.TEXTJOIN(", ",TRUE,V387,W387,X387,Y387,Z387,AA387,AB387,AC387), _xlfn.TEXTJOIN(", ",TRUE,X387,Y387,Z387,AA387,AB387,AC387))</f>
        <v/>
      </c>
      <c r="AG387" s="32"/>
      <c r="AH387" s="32"/>
      <c r="AI387" s="32"/>
      <c r="AJ387" s="32"/>
      <c r="AK387" s="32"/>
      <c r="AL387" s="32"/>
      <c r="AM387" s="32"/>
      <c r="AN387" s="32"/>
    </row>
    <row r="388" spans="1:40">
      <c r="A388" s="32" t="str">
        <f>_xlfn.TEXTJOIN("",TRUE,_xlfn.XLOOKUP(B388,Input!J:J,Input!G:G,"",0,1),_xlfn.XLOOKUP(B388,Input!J:J,Input!H:H,"",0,1))</f>
        <v/>
      </c>
      <c r="B388" s="32"/>
      <c r="C388" s="53">
        <f>_xlfn.XLOOKUP(B388,Input!J:J,Input!F:F)</f>
        <v>0</v>
      </c>
      <c r="D388" s="32">
        <f>_xlfn.XLOOKUP(C388,Models!H:H,Models!G:G,C388)</f>
        <v>0</v>
      </c>
      <c r="E388" s="32"/>
      <c r="F388" s="32" t="str">
        <f>_xlfn.XLOOKUP(H388,Models!B:B,Models!F:F,"")</f>
        <v/>
      </c>
      <c r="G388" s="32">
        <f>_xlfn.XLOOKUP(B388,Input!J:J,Input!E:E)</f>
        <v>0</v>
      </c>
      <c r="H388" s="32">
        <f>IF(G388="LENOVO",_xlfn.XLOOKUP(B388,Input!J:J,Input!K:K),_xlfn.XLOOKUP(B388,Input!J:J,Input!L:L))</f>
        <v>0</v>
      </c>
      <c r="I388" s="32"/>
      <c r="J388" s="32"/>
      <c r="K388" s="32"/>
      <c r="L388" s="53"/>
      <c r="M388" s="53"/>
      <c r="N388" s="53"/>
      <c r="O388" s="53" t="str" cm="1">
        <f t="array" ref="O388">IFERROR(_xlfn.FILTERXML("&lt;t&gt;&lt;s&gt;" &amp; SUBSTITUTE(M388," / ","&lt;/s&gt;&lt;s&gt;") &amp; "&lt;/s&gt;&lt;/t&gt;","(//s[contains(.,'DDR')])[1]"),"")</f>
        <v/>
      </c>
      <c r="P388" s="32" t="str">
        <f t="shared" si="17"/>
        <v>GB</v>
      </c>
      <c r="Q388" s="32"/>
      <c r="R388" s="32"/>
      <c r="S388" s="53" t="e">
        <f>_xlfn.LET(_xlpm.Result,INDEX(Input!$D$2:$AC$500,
       MATCH(B388, Input!$J$2:$J$500, 0),
       MATCH("Capacity", Input!$D$1:$AC$1, 0)),IF(_xlpm.Result="","",_xlpm.Result))</f>
        <v>#N/A</v>
      </c>
      <c r="T388" s="53" t="e" cm="1">
        <f t="array" ref="T388">_xlfn.TEXTSPLIT(S388," / ", ,TRUE,0,)</f>
        <v>#N/A</v>
      </c>
      <c r="U388" s="53"/>
      <c r="V388" s="53" t="str" cm="1">
        <f t="array" ref="V388">IFERROR(_xlfn.IFS(
T388="","",
--T388&lt;55,"Battery Defect",
--T388&lt;=69,"Battery D",
--T388&lt;=80,"Battery C",
--T388&gt;80,""
),"")</f>
        <v/>
      </c>
      <c r="W388" s="53" t="str" cm="1">
        <f t="array" ref="W388">IFERROR(_xlfn.IFS(
U388="","",
--U388&lt;55,"Battery Defect",
--U388&lt;=69,"Battery D",
--U388&lt;=80,"Battery C",
--U388&gt;80,""
),"")</f>
        <v/>
      </c>
      <c r="X388" s="53"/>
      <c r="Y388" s="53"/>
      <c r="Z388" s="53"/>
      <c r="AA388" s="53"/>
      <c r="AB388" s="53"/>
      <c r="AC388" s="53"/>
      <c r="AD388" s="53"/>
      <c r="AE388" s="53"/>
      <c r="AF388" s="32" t="str">
        <f t="shared" si="18"/>
        <v/>
      </c>
      <c r="AG388" s="32"/>
      <c r="AH388" s="32"/>
      <c r="AI388" s="32"/>
      <c r="AJ388" s="32"/>
      <c r="AK388" s="32"/>
      <c r="AL388" s="32"/>
      <c r="AM388" s="32"/>
      <c r="AN388" s="32"/>
    </row>
    <row r="389" spans="1:40">
      <c r="A389" s="32" t="str">
        <f>_xlfn.TEXTJOIN("",TRUE,_xlfn.XLOOKUP(B389,Input!J:J,Input!G:G,"",0,1),_xlfn.XLOOKUP(B389,Input!J:J,Input!H:H,"",0,1))</f>
        <v/>
      </c>
      <c r="B389" s="32"/>
      <c r="C389" s="53">
        <f>_xlfn.XLOOKUP(B389,Input!J:J,Input!F:F)</f>
        <v>0</v>
      </c>
      <c r="D389" s="32">
        <f>_xlfn.XLOOKUP(C389,Models!H:H,Models!G:G,C389)</f>
        <v>0</v>
      </c>
      <c r="E389" s="32"/>
      <c r="F389" s="32" t="str">
        <f>_xlfn.XLOOKUP(H389,Models!B:B,Models!F:F,"")</f>
        <v/>
      </c>
      <c r="G389" s="32">
        <f>_xlfn.XLOOKUP(B389,Input!J:J,Input!E:E)</f>
        <v>0</v>
      </c>
      <c r="H389" s="32">
        <f>IF(G389="LENOVO",_xlfn.XLOOKUP(B389,Input!J:J,Input!K:K),_xlfn.XLOOKUP(B389,Input!J:J,Input!L:L))</f>
        <v>0</v>
      </c>
      <c r="I389" s="32"/>
      <c r="J389" s="32"/>
      <c r="K389" s="32"/>
      <c r="L389" s="53"/>
      <c r="M389" s="53"/>
      <c r="N389" s="53"/>
      <c r="O389" s="53" t="str" cm="1">
        <f t="array" ref="O389">IFERROR(_xlfn.FILTERXML("&lt;t&gt;&lt;s&gt;" &amp; SUBSTITUTE(M389," / ","&lt;/s&gt;&lt;s&gt;") &amp; "&lt;/s&gt;&lt;/t&gt;","(//s[contains(.,'DDR')])[1]"),"")</f>
        <v/>
      </c>
      <c r="P389" s="32" t="str">
        <f t="shared" si="17"/>
        <v>GB</v>
      </c>
      <c r="Q389" s="32"/>
      <c r="R389" s="32"/>
      <c r="S389" s="53" t="e">
        <f>_xlfn.LET(_xlpm.Result,INDEX(Input!$D$2:$AC$500,
       MATCH(B389, Input!$J$2:$J$500, 0),
       MATCH("Capacity", Input!$D$1:$AC$1, 0)),IF(_xlpm.Result="","",_xlpm.Result))</f>
        <v>#N/A</v>
      </c>
      <c r="T389" s="53" t="e" cm="1">
        <f t="array" ref="T389">_xlfn.TEXTSPLIT(S389," / ", ,TRUE,0,)</f>
        <v>#N/A</v>
      </c>
      <c r="U389" s="53"/>
      <c r="V389" s="53" t="str" cm="1">
        <f t="array" ref="V389">IFERROR(_xlfn.IFS(
T389="","",
--T389&lt;55,"Battery Defect",
--T389&lt;=69,"Battery D",
--T389&lt;=80,"Battery C",
--T389&gt;80,""
),"")</f>
        <v/>
      </c>
      <c r="W389" s="53" t="str" cm="1">
        <f t="array" ref="W389">IFERROR(_xlfn.IFS(
U389="","",
--U389&lt;55,"Battery Defect",
--U389&lt;=69,"Battery D",
--U389&lt;=80,"Battery C",
--U389&gt;80,""
),"")</f>
        <v/>
      </c>
      <c r="X389" s="53"/>
      <c r="Y389" s="53"/>
      <c r="Z389" s="53"/>
      <c r="AA389" s="53"/>
      <c r="AB389" s="53"/>
      <c r="AC389" s="53"/>
      <c r="AD389" s="53"/>
      <c r="AE389" s="53"/>
      <c r="AF389" s="32" t="str">
        <f t="shared" si="18"/>
        <v/>
      </c>
      <c r="AG389" s="32"/>
      <c r="AH389" s="32"/>
      <c r="AI389" s="32"/>
      <c r="AJ389" s="32"/>
      <c r="AK389" s="32"/>
      <c r="AL389" s="32"/>
      <c r="AM389" s="32"/>
      <c r="AN389" s="32"/>
    </row>
    <row r="390" spans="1:40">
      <c r="A390" s="32" t="str">
        <f>_xlfn.TEXTJOIN("",TRUE,_xlfn.XLOOKUP(B390,Input!J:J,Input!G:G,"",0,1),_xlfn.XLOOKUP(B390,Input!J:J,Input!H:H,"",0,1))</f>
        <v/>
      </c>
      <c r="B390" s="32"/>
      <c r="C390" s="53">
        <f>_xlfn.XLOOKUP(B390,Input!J:J,Input!F:F)</f>
        <v>0</v>
      </c>
      <c r="D390" s="32">
        <f>_xlfn.XLOOKUP(C390,Models!H:H,Models!G:G,C390)</f>
        <v>0</v>
      </c>
      <c r="E390" s="32"/>
      <c r="F390" s="32" t="str">
        <f>_xlfn.XLOOKUP(H390,Models!B:B,Models!F:F,"")</f>
        <v/>
      </c>
      <c r="G390" s="32">
        <f>_xlfn.XLOOKUP(B390,Input!J:J,Input!E:E)</f>
        <v>0</v>
      </c>
      <c r="H390" s="32">
        <f>IF(G390="LENOVO",_xlfn.XLOOKUP(B390,Input!J:J,Input!K:K),_xlfn.XLOOKUP(B390,Input!J:J,Input!L:L))</f>
        <v>0</v>
      </c>
      <c r="I390" s="32"/>
      <c r="J390" s="32"/>
      <c r="K390" s="32"/>
      <c r="L390" s="53"/>
      <c r="M390" s="53"/>
      <c r="N390" s="53"/>
      <c r="O390" s="53" t="str" cm="1">
        <f t="array" ref="O390">IFERROR(_xlfn.FILTERXML("&lt;t&gt;&lt;s&gt;" &amp; SUBSTITUTE(M390," / ","&lt;/s&gt;&lt;s&gt;") &amp; "&lt;/s&gt;&lt;/t&gt;","(//s[contains(.,'DDR')])[1]"),"")</f>
        <v/>
      </c>
      <c r="P390" s="32" t="str">
        <f t="shared" si="17"/>
        <v>GB</v>
      </c>
      <c r="Q390" s="32"/>
      <c r="R390" s="32"/>
      <c r="S390" s="53" t="e">
        <f>_xlfn.LET(_xlpm.Result,INDEX(Input!$D$2:$AC$500,
       MATCH(B390, Input!$J$2:$J$500, 0),
       MATCH("Capacity", Input!$D$1:$AC$1, 0)),IF(_xlpm.Result="","",_xlpm.Result))</f>
        <v>#N/A</v>
      </c>
      <c r="T390" s="53" t="e" cm="1">
        <f t="array" ref="T390">_xlfn.TEXTSPLIT(S390," / ", ,TRUE,0,)</f>
        <v>#N/A</v>
      </c>
      <c r="U390" s="53"/>
      <c r="V390" s="53" t="str" cm="1">
        <f t="array" ref="V390">IFERROR(_xlfn.IFS(
T390="","",
--T390&lt;55,"Battery Defect",
--T390&lt;=69,"Battery D",
--T390&lt;=80,"Battery C",
--T390&gt;80,""
),"")</f>
        <v/>
      </c>
      <c r="W390" s="53" t="str" cm="1">
        <f t="array" ref="W390">IFERROR(_xlfn.IFS(
U390="","",
--U390&lt;55,"Battery Defect",
--U390&lt;=69,"Battery D",
--U390&lt;=80,"Battery C",
--U390&gt;80,""
),"")</f>
        <v/>
      </c>
      <c r="X390" s="53"/>
      <c r="Y390" s="53"/>
      <c r="Z390" s="53"/>
      <c r="AA390" s="53"/>
      <c r="AB390" s="53"/>
      <c r="AC390" s="53"/>
      <c r="AD390" s="53"/>
      <c r="AE390" s="53"/>
      <c r="AF390" s="32" t="str">
        <f t="shared" si="18"/>
        <v/>
      </c>
      <c r="AG390" s="32"/>
      <c r="AH390" s="32"/>
      <c r="AI390" s="32"/>
      <c r="AJ390" s="32"/>
      <c r="AK390" s="32"/>
      <c r="AL390" s="32"/>
      <c r="AM390" s="32"/>
      <c r="AN390" s="32"/>
    </row>
    <row r="391" spans="1:40">
      <c r="A391" s="32" t="str">
        <f>_xlfn.TEXTJOIN("",TRUE,_xlfn.XLOOKUP(B391,Input!J:J,Input!G:G,"",0,1),_xlfn.XLOOKUP(B391,Input!J:J,Input!H:H,"",0,1))</f>
        <v/>
      </c>
      <c r="B391" s="32"/>
      <c r="C391" s="53">
        <f>_xlfn.XLOOKUP(B391,Input!J:J,Input!F:F)</f>
        <v>0</v>
      </c>
      <c r="D391" s="32">
        <f>_xlfn.XLOOKUP(C391,Models!H:H,Models!G:G,C391)</f>
        <v>0</v>
      </c>
      <c r="E391" s="32"/>
      <c r="F391" s="32" t="str">
        <f>_xlfn.XLOOKUP(H391,Models!B:B,Models!F:F,"")</f>
        <v/>
      </c>
      <c r="G391" s="32">
        <f>_xlfn.XLOOKUP(B391,Input!J:J,Input!E:E)</f>
        <v>0</v>
      </c>
      <c r="H391" s="32">
        <f>IF(G391="LENOVO",_xlfn.XLOOKUP(B391,Input!J:J,Input!K:K),_xlfn.XLOOKUP(B391,Input!J:J,Input!L:L))</f>
        <v>0</v>
      </c>
      <c r="I391" s="32"/>
      <c r="J391" s="32"/>
      <c r="K391" s="32"/>
      <c r="L391" s="53"/>
      <c r="M391" s="53"/>
      <c r="N391" s="53"/>
      <c r="O391" s="53" t="str" cm="1">
        <f t="array" ref="O391">IFERROR(_xlfn.FILTERXML("&lt;t&gt;&lt;s&gt;" &amp; SUBSTITUTE(M391," / ","&lt;/s&gt;&lt;s&gt;") &amp; "&lt;/s&gt;&lt;/t&gt;","(//s[contains(.,'DDR')])[1]"),"")</f>
        <v/>
      </c>
      <c r="P391" s="32" t="str">
        <f t="shared" si="17"/>
        <v>GB</v>
      </c>
      <c r="Q391" s="32"/>
      <c r="R391" s="32"/>
      <c r="S391" s="53" t="e">
        <f>_xlfn.LET(_xlpm.Result,INDEX(Input!$D$2:$AC$500,
       MATCH(B391, Input!$J$2:$J$500, 0),
       MATCH("Capacity", Input!$D$1:$AC$1, 0)),IF(_xlpm.Result="","",_xlpm.Result))</f>
        <v>#N/A</v>
      </c>
      <c r="T391" s="53" t="e" cm="1">
        <f t="array" ref="T391">_xlfn.TEXTSPLIT(S391," / ", ,TRUE,0,)</f>
        <v>#N/A</v>
      </c>
      <c r="U391" s="53"/>
      <c r="V391" s="53" t="str" cm="1">
        <f t="array" ref="V391">IFERROR(_xlfn.IFS(
T391="","",
--T391&lt;55,"Battery Defect",
--T391&lt;=69,"Battery D",
--T391&lt;=80,"Battery C",
--T391&gt;80,""
),"")</f>
        <v/>
      </c>
      <c r="W391" s="53" t="str" cm="1">
        <f t="array" ref="W391">IFERROR(_xlfn.IFS(
U391="","",
--U391&lt;55,"Battery Defect",
--U391&lt;=69,"Battery D",
--U391&lt;=80,"Battery C",
--U391&gt;80,""
),"")</f>
        <v/>
      </c>
      <c r="X391" s="53"/>
      <c r="Y391" s="53"/>
      <c r="Z391" s="53"/>
      <c r="AA391" s="53"/>
      <c r="AB391" s="53"/>
      <c r="AC391" s="53"/>
      <c r="AD391" s="53"/>
      <c r="AE391" s="53"/>
      <c r="AF391" s="32" t="str">
        <f t="shared" si="18"/>
        <v/>
      </c>
      <c r="AG391" s="32"/>
      <c r="AH391" s="32"/>
      <c r="AI391" s="32"/>
      <c r="AJ391" s="32"/>
      <c r="AK391" s="32"/>
      <c r="AL391" s="32"/>
      <c r="AM391" s="32"/>
      <c r="AN391" s="32"/>
    </row>
    <row r="392" spans="1:40">
      <c r="A392" s="32" t="str">
        <f>_xlfn.TEXTJOIN("",TRUE,_xlfn.XLOOKUP(B392,Input!J:J,Input!G:G,"",0,1),_xlfn.XLOOKUP(B392,Input!J:J,Input!H:H,"",0,1))</f>
        <v/>
      </c>
      <c r="B392" s="32"/>
      <c r="C392" s="53">
        <f>_xlfn.XLOOKUP(B392,Input!J:J,Input!F:F)</f>
        <v>0</v>
      </c>
      <c r="D392" s="32">
        <f>_xlfn.XLOOKUP(C392,Models!H:H,Models!G:G,C392)</f>
        <v>0</v>
      </c>
      <c r="E392" s="32"/>
      <c r="F392" s="32" t="str">
        <f>_xlfn.XLOOKUP(H392,Models!B:B,Models!F:F,"")</f>
        <v/>
      </c>
      <c r="G392" s="32">
        <f>_xlfn.XLOOKUP(B392,Input!J:J,Input!E:E)</f>
        <v>0</v>
      </c>
      <c r="H392" s="32">
        <f>IF(G392="LENOVO",_xlfn.XLOOKUP(B392,Input!J:J,Input!K:K),_xlfn.XLOOKUP(B392,Input!J:J,Input!L:L))</f>
        <v>0</v>
      </c>
      <c r="I392" s="32"/>
      <c r="J392" s="32"/>
      <c r="K392" s="32"/>
      <c r="L392" s="53"/>
      <c r="M392" s="53"/>
      <c r="N392" s="53"/>
      <c r="O392" s="53" t="str" cm="1">
        <f t="array" ref="O392">IFERROR(_xlfn.FILTERXML("&lt;t&gt;&lt;s&gt;" &amp; SUBSTITUTE(M392," / ","&lt;/s&gt;&lt;s&gt;") &amp; "&lt;/s&gt;&lt;/t&gt;","(//s[contains(.,'DDR')])[1]"),"")</f>
        <v/>
      </c>
      <c r="P392" s="32" t="str">
        <f t="shared" si="17"/>
        <v>GB</v>
      </c>
      <c r="Q392" s="32"/>
      <c r="R392" s="32"/>
      <c r="S392" s="53" t="e">
        <f>_xlfn.LET(_xlpm.Result,INDEX(Input!$D$2:$AC$500,
       MATCH(B392, Input!$J$2:$J$500, 0),
       MATCH("Capacity", Input!$D$1:$AC$1, 0)),IF(_xlpm.Result="","",_xlpm.Result))</f>
        <v>#N/A</v>
      </c>
      <c r="T392" s="53" t="e" cm="1">
        <f t="array" ref="T392">_xlfn.TEXTSPLIT(S392," / ", ,TRUE,0,)</f>
        <v>#N/A</v>
      </c>
      <c r="U392" s="53"/>
      <c r="V392" s="53" t="str" cm="1">
        <f t="array" ref="V392">IFERROR(_xlfn.IFS(
T392="","",
--T392&lt;55,"Battery Defect",
--T392&lt;=69,"Battery D",
--T392&lt;=80,"Battery C",
--T392&gt;80,""
),"")</f>
        <v/>
      </c>
      <c r="W392" s="53" t="str" cm="1">
        <f t="array" ref="W392">IFERROR(_xlfn.IFS(
U392="","",
--U392&lt;55,"Battery Defect",
--U392&lt;=69,"Battery D",
--U392&lt;=80,"Battery C",
--U392&gt;80,""
),"")</f>
        <v/>
      </c>
      <c r="X392" s="53"/>
      <c r="Y392" s="53"/>
      <c r="Z392" s="53"/>
      <c r="AA392" s="53"/>
      <c r="AB392" s="53"/>
      <c r="AC392" s="53"/>
      <c r="AD392" s="53"/>
      <c r="AE392" s="53"/>
      <c r="AF392" s="32" t="str">
        <f t="shared" si="18"/>
        <v/>
      </c>
      <c r="AG392" s="32"/>
      <c r="AH392" s="32"/>
      <c r="AI392" s="32"/>
      <c r="AJ392" s="32"/>
      <c r="AK392" s="32"/>
      <c r="AL392" s="32"/>
      <c r="AM392" s="32"/>
      <c r="AN392" s="32"/>
    </row>
    <row r="393" spans="1:40">
      <c r="A393" s="32" t="str">
        <f>_xlfn.TEXTJOIN("",TRUE,_xlfn.XLOOKUP(B393,Input!J:J,Input!G:G,"",0,1),_xlfn.XLOOKUP(B393,Input!J:J,Input!H:H,"",0,1))</f>
        <v/>
      </c>
      <c r="B393" s="32"/>
      <c r="C393" s="53">
        <f>_xlfn.XLOOKUP(B393,Input!J:J,Input!F:F)</f>
        <v>0</v>
      </c>
      <c r="D393" s="32">
        <f>_xlfn.XLOOKUP(C393,Models!H:H,Models!G:G,C393)</f>
        <v>0</v>
      </c>
      <c r="E393" s="32"/>
      <c r="F393" s="32" t="str">
        <f>_xlfn.XLOOKUP(H393,Models!B:B,Models!F:F,"")</f>
        <v/>
      </c>
      <c r="G393" s="32">
        <f>_xlfn.XLOOKUP(B393,Input!J:J,Input!E:E)</f>
        <v>0</v>
      </c>
      <c r="H393" s="32">
        <f>IF(G393="LENOVO",_xlfn.XLOOKUP(B393,Input!J:J,Input!K:K),_xlfn.XLOOKUP(B393,Input!J:J,Input!L:L))</f>
        <v>0</v>
      </c>
      <c r="I393" s="32"/>
      <c r="J393" s="32"/>
      <c r="K393" s="32"/>
      <c r="L393" s="53"/>
      <c r="M393" s="53"/>
      <c r="N393" s="53"/>
      <c r="O393" s="53" t="str" cm="1">
        <f t="array" ref="O393">IFERROR(_xlfn.FILTERXML("&lt;t&gt;&lt;s&gt;" &amp; SUBSTITUTE(M393," / ","&lt;/s&gt;&lt;s&gt;") &amp; "&lt;/s&gt;&lt;/t&gt;","(//s[contains(.,'DDR')])[1]"),"")</f>
        <v/>
      </c>
      <c r="P393" s="32" t="str">
        <f t="shared" si="17"/>
        <v>GB</v>
      </c>
      <c r="Q393" s="32"/>
      <c r="R393" s="32"/>
      <c r="S393" s="53" t="e">
        <f>_xlfn.LET(_xlpm.Result,INDEX(Input!$D$2:$AC$500,
       MATCH(B393, Input!$J$2:$J$500, 0),
       MATCH("Capacity", Input!$D$1:$AC$1, 0)),IF(_xlpm.Result="","",_xlpm.Result))</f>
        <v>#N/A</v>
      </c>
      <c r="T393" s="53" t="e" cm="1">
        <f t="array" ref="T393">_xlfn.TEXTSPLIT(S393," / ", ,TRUE,0,)</f>
        <v>#N/A</v>
      </c>
      <c r="U393" s="53"/>
      <c r="V393" s="53" t="str" cm="1">
        <f t="array" ref="V393">IFERROR(_xlfn.IFS(
T393="","",
--T393&lt;55,"Battery Defect",
--T393&lt;=69,"Battery D",
--T393&lt;=80,"Battery C",
--T393&gt;80,""
),"")</f>
        <v/>
      </c>
      <c r="W393" s="53" t="str" cm="1">
        <f t="array" ref="W393">IFERROR(_xlfn.IFS(
U393="","",
--U393&lt;55,"Battery Defect",
--U393&lt;=69,"Battery D",
--U393&lt;=80,"Battery C",
--U393&gt;80,""
),"")</f>
        <v/>
      </c>
      <c r="X393" s="53"/>
      <c r="Y393" s="53"/>
      <c r="Z393" s="53"/>
      <c r="AA393" s="53"/>
      <c r="AB393" s="53"/>
      <c r="AC393" s="53"/>
      <c r="AD393" s="53"/>
      <c r="AE393" s="53"/>
      <c r="AF393" s="32" t="str">
        <f t="shared" si="18"/>
        <v/>
      </c>
      <c r="AG393" s="32"/>
      <c r="AH393" s="32"/>
      <c r="AI393" s="32"/>
      <c r="AJ393" s="32"/>
      <c r="AK393" s="32"/>
      <c r="AL393" s="32"/>
      <c r="AM393" s="32"/>
      <c r="AN393" s="32"/>
    </row>
    <row r="394" spans="1:40">
      <c r="A394" s="32" t="str">
        <f>_xlfn.TEXTJOIN("",TRUE,_xlfn.XLOOKUP(B394,Input!J:J,Input!G:G,"",0,1),_xlfn.XLOOKUP(B394,Input!J:J,Input!H:H,"",0,1))</f>
        <v/>
      </c>
      <c r="B394" s="32"/>
      <c r="C394" s="53">
        <f>_xlfn.XLOOKUP(B394,Input!J:J,Input!F:F)</f>
        <v>0</v>
      </c>
      <c r="D394" s="32">
        <f>_xlfn.XLOOKUP(C394,Models!H:H,Models!G:G,C394)</f>
        <v>0</v>
      </c>
      <c r="E394" s="32"/>
      <c r="F394" s="32" t="str">
        <f>_xlfn.XLOOKUP(H394,Models!B:B,Models!F:F,"")</f>
        <v/>
      </c>
      <c r="G394" s="32">
        <f>_xlfn.XLOOKUP(B394,Input!J:J,Input!E:E)</f>
        <v>0</v>
      </c>
      <c r="H394" s="32">
        <f>IF(G394="LENOVO",_xlfn.XLOOKUP(B394,Input!J:J,Input!K:K),_xlfn.XLOOKUP(B394,Input!J:J,Input!L:L))</f>
        <v>0</v>
      </c>
      <c r="I394" s="32"/>
      <c r="J394" s="32"/>
      <c r="K394" s="32"/>
      <c r="L394" s="53"/>
      <c r="M394" s="53"/>
      <c r="N394" s="53"/>
      <c r="O394" s="53" t="str" cm="1">
        <f t="array" ref="O394">IFERROR(_xlfn.FILTERXML("&lt;t&gt;&lt;s&gt;" &amp; SUBSTITUTE(M394," / ","&lt;/s&gt;&lt;s&gt;") &amp; "&lt;/s&gt;&lt;/t&gt;","(//s[contains(.,'DDR')])[1]"),"")</f>
        <v/>
      </c>
      <c r="P394" s="32" t="str">
        <f t="shared" si="17"/>
        <v>GB</v>
      </c>
      <c r="Q394" s="32"/>
      <c r="R394" s="32"/>
      <c r="S394" s="53" t="e">
        <f>_xlfn.LET(_xlpm.Result,INDEX(Input!$D$2:$AC$500,
       MATCH(B394, Input!$J$2:$J$500, 0),
       MATCH("Capacity", Input!$D$1:$AC$1, 0)),IF(_xlpm.Result="","",_xlpm.Result))</f>
        <v>#N/A</v>
      </c>
      <c r="T394" s="53" t="e" cm="1">
        <f t="array" ref="T394">_xlfn.TEXTSPLIT(S394," / ", ,TRUE,0,)</f>
        <v>#N/A</v>
      </c>
      <c r="U394" s="53"/>
      <c r="V394" s="53" t="str" cm="1">
        <f t="array" ref="V394">IFERROR(_xlfn.IFS(
T394="","",
--T394&lt;55,"Battery Defect",
--T394&lt;=69,"Battery D",
--T394&lt;=80,"Battery C",
--T394&gt;80,""
),"")</f>
        <v/>
      </c>
      <c r="W394" s="53" t="str" cm="1">
        <f t="array" ref="W394">IFERROR(_xlfn.IFS(
U394="","",
--U394&lt;55,"Battery Defect",
--U394&lt;=69,"Battery D",
--U394&lt;=80,"Battery C",
--U394&gt;80,""
),"")</f>
        <v/>
      </c>
      <c r="X394" s="53"/>
      <c r="Y394" s="53"/>
      <c r="Z394" s="53"/>
      <c r="AA394" s="53"/>
      <c r="AB394" s="53"/>
      <c r="AC394" s="53"/>
      <c r="AD394" s="53"/>
      <c r="AE394" s="53"/>
      <c r="AF394" s="32" t="str">
        <f t="shared" si="18"/>
        <v/>
      </c>
      <c r="AG394" s="32"/>
      <c r="AH394" s="32"/>
      <c r="AI394" s="32"/>
      <c r="AJ394" s="32"/>
      <c r="AK394" s="32"/>
      <c r="AL394" s="32"/>
      <c r="AM394" s="32"/>
      <c r="AN394" s="32"/>
    </row>
    <row r="395" spans="1:40">
      <c r="A395" s="32" t="str">
        <f>_xlfn.TEXTJOIN("",TRUE,_xlfn.XLOOKUP(B395,Input!J:J,Input!G:G,"",0,1),_xlfn.XLOOKUP(B395,Input!J:J,Input!H:H,"",0,1))</f>
        <v/>
      </c>
      <c r="B395" s="32"/>
      <c r="C395" s="53">
        <f>_xlfn.XLOOKUP(B395,Input!J:J,Input!F:F)</f>
        <v>0</v>
      </c>
      <c r="D395" s="32">
        <f>_xlfn.XLOOKUP(C395,Models!H:H,Models!G:G,C395)</f>
        <v>0</v>
      </c>
      <c r="E395" s="32"/>
      <c r="F395" s="32" t="str">
        <f>_xlfn.XLOOKUP(H395,Models!B:B,Models!F:F,"")</f>
        <v/>
      </c>
      <c r="G395" s="32">
        <f>_xlfn.XLOOKUP(B395,Input!J:J,Input!E:E)</f>
        <v>0</v>
      </c>
      <c r="H395" s="32">
        <f>IF(G395="LENOVO",_xlfn.XLOOKUP(B395,Input!J:J,Input!K:K),_xlfn.XLOOKUP(B395,Input!J:J,Input!L:L))</f>
        <v>0</v>
      </c>
      <c r="I395" s="32"/>
      <c r="J395" s="32"/>
      <c r="K395" s="32"/>
      <c r="L395" s="53"/>
      <c r="M395" s="53"/>
      <c r="N395" s="53"/>
      <c r="O395" s="53" t="str" cm="1">
        <f t="array" ref="O395">IFERROR(_xlfn.FILTERXML("&lt;t&gt;&lt;s&gt;" &amp; SUBSTITUTE(M395," / ","&lt;/s&gt;&lt;s&gt;") &amp; "&lt;/s&gt;&lt;/t&gt;","(//s[contains(.,'DDR')])[1]"),"")</f>
        <v/>
      </c>
      <c r="P395" s="32" t="str">
        <f t="shared" si="17"/>
        <v>GB</v>
      </c>
      <c r="Q395" s="32"/>
      <c r="R395" s="32"/>
      <c r="S395" s="53" t="e">
        <f>_xlfn.LET(_xlpm.Result,INDEX(Input!$D$2:$AC$500,
       MATCH(B395, Input!$J$2:$J$500, 0),
       MATCH("Capacity", Input!$D$1:$AC$1, 0)),IF(_xlpm.Result="","",_xlpm.Result))</f>
        <v>#N/A</v>
      </c>
      <c r="T395" s="53" t="e" cm="1">
        <f t="array" ref="T395">_xlfn.TEXTSPLIT(S395," / ", ,TRUE,0,)</f>
        <v>#N/A</v>
      </c>
      <c r="U395" s="53"/>
      <c r="V395" s="53" t="str" cm="1">
        <f t="array" ref="V395">IFERROR(_xlfn.IFS(
T395="","",
--T395&lt;55,"Battery Defect",
--T395&lt;=69,"Battery D",
--T395&lt;=80,"Battery C",
--T395&gt;80,""
),"")</f>
        <v/>
      </c>
      <c r="W395" s="53" t="str" cm="1">
        <f t="array" ref="W395">IFERROR(_xlfn.IFS(
U395="","",
--U395&lt;55,"Battery Defect",
--U395&lt;=69,"Battery D",
--U395&lt;=80,"Battery C",
--U395&gt;80,""
),"")</f>
        <v/>
      </c>
      <c r="X395" s="53"/>
      <c r="Y395" s="53"/>
      <c r="Z395" s="53"/>
      <c r="AA395" s="53"/>
      <c r="AB395" s="53"/>
      <c r="AC395" s="53"/>
      <c r="AD395" s="53"/>
      <c r="AE395" s="53"/>
      <c r="AF395" s="32" t="str">
        <f t="shared" si="18"/>
        <v/>
      </c>
      <c r="AG395" s="32"/>
      <c r="AH395" s="32"/>
      <c r="AI395" s="32"/>
      <c r="AJ395" s="32"/>
      <c r="AK395" s="32"/>
      <c r="AL395" s="32"/>
      <c r="AM395" s="32"/>
      <c r="AN395" s="32"/>
    </row>
    <row r="396" spans="1:40">
      <c r="A396" s="32" t="str">
        <f>_xlfn.TEXTJOIN("",TRUE,_xlfn.XLOOKUP(B396,Input!J:J,Input!G:G,"",0,1),_xlfn.XLOOKUP(B396,Input!J:J,Input!H:H,"",0,1))</f>
        <v/>
      </c>
      <c r="B396" s="32"/>
      <c r="C396" s="53">
        <f>_xlfn.XLOOKUP(B396,Input!J:J,Input!F:F)</f>
        <v>0</v>
      </c>
      <c r="D396" s="32">
        <f>_xlfn.XLOOKUP(C396,Models!H:H,Models!G:G,C396)</f>
        <v>0</v>
      </c>
      <c r="E396" s="32"/>
      <c r="F396" s="32" t="str">
        <f>_xlfn.XLOOKUP(H396,Models!B:B,Models!F:F,"")</f>
        <v/>
      </c>
      <c r="G396" s="32">
        <f>_xlfn.XLOOKUP(B396,Input!J:J,Input!E:E)</f>
        <v>0</v>
      </c>
      <c r="H396" s="32">
        <f>IF(G396="LENOVO",_xlfn.XLOOKUP(B396,Input!J:J,Input!K:K),_xlfn.XLOOKUP(B396,Input!J:J,Input!L:L))</f>
        <v>0</v>
      </c>
      <c r="I396" s="32"/>
      <c r="J396" s="32"/>
      <c r="K396" s="32"/>
      <c r="L396" s="53"/>
      <c r="M396" s="53"/>
      <c r="N396" s="53"/>
      <c r="O396" s="53" t="str" cm="1">
        <f t="array" ref="O396">IFERROR(_xlfn.FILTERXML("&lt;t&gt;&lt;s&gt;" &amp; SUBSTITUTE(M396," / ","&lt;/s&gt;&lt;s&gt;") &amp; "&lt;/s&gt;&lt;/t&gt;","(//s[contains(.,'DDR')])[1]"),"")</f>
        <v/>
      </c>
      <c r="P396" s="32" t="str">
        <f t="shared" si="17"/>
        <v>GB</v>
      </c>
      <c r="Q396" s="32"/>
      <c r="R396" s="32"/>
      <c r="S396" s="53" t="e">
        <f>_xlfn.LET(_xlpm.Result,INDEX(Input!$D$2:$AC$500,
       MATCH(B396, Input!$J$2:$J$500, 0),
       MATCH("Capacity", Input!$D$1:$AC$1, 0)),IF(_xlpm.Result="","",_xlpm.Result))</f>
        <v>#N/A</v>
      </c>
      <c r="T396" s="53" t="e" cm="1">
        <f t="array" ref="T396">_xlfn.TEXTSPLIT(S396," / ", ,TRUE,0,)</f>
        <v>#N/A</v>
      </c>
      <c r="U396" s="53"/>
      <c r="V396" s="53" t="str" cm="1">
        <f t="array" ref="V396">IFERROR(_xlfn.IFS(
T396="","",
--T396&lt;55,"Battery Defect",
--T396&lt;=69,"Battery D",
--T396&lt;=80,"Battery C",
--T396&gt;80,""
),"")</f>
        <v/>
      </c>
      <c r="W396" s="53" t="str" cm="1">
        <f t="array" ref="W396">IFERROR(_xlfn.IFS(
U396="","",
--U396&lt;55,"Battery Defect",
--U396&lt;=69,"Battery D",
--U396&lt;=80,"Battery C",
--U396&gt;80,""
),"")</f>
        <v/>
      </c>
      <c r="X396" s="53"/>
      <c r="Y396" s="53"/>
      <c r="Z396" s="53"/>
      <c r="AA396" s="53"/>
      <c r="AB396" s="53"/>
      <c r="AC396" s="53"/>
      <c r="AD396" s="53"/>
      <c r="AE396" s="53"/>
      <c r="AF396" s="32" t="str">
        <f t="shared" si="18"/>
        <v/>
      </c>
      <c r="AG396" s="32"/>
      <c r="AH396" s="32"/>
      <c r="AI396" s="32"/>
      <c r="AJ396" s="32"/>
      <c r="AK396" s="32"/>
      <c r="AL396" s="32"/>
      <c r="AM396" s="32"/>
      <c r="AN396" s="32"/>
    </row>
    <row r="397" spans="1:40">
      <c r="A397" s="32" t="str">
        <f>_xlfn.TEXTJOIN("",TRUE,_xlfn.XLOOKUP(B397,Input!J:J,Input!G:G,"",0,1),_xlfn.XLOOKUP(B397,Input!J:J,Input!H:H,"",0,1))</f>
        <v/>
      </c>
      <c r="B397" s="32"/>
      <c r="C397" s="53">
        <f>_xlfn.XLOOKUP(B397,Input!J:J,Input!F:F)</f>
        <v>0</v>
      </c>
      <c r="D397" s="32">
        <f>_xlfn.XLOOKUP(C397,Models!H:H,Models!G:G,C397)</f>
        <v>0</v>
      </c>
      <c r="E397" s="32"/>
      <c r="F397" s="32" t="str">
        <f>_xlfn.XLOOKUP(H397,Models!B:B,Models!F:F,"")</f>
        <v/>
      </c>
      <c r="G397" s="32">
        <f>_xlfn.XLOOKUP(B397,Input!J:J,Input!E:E)</f>
        <v>0</v>
      </c>
      <c r="H397" s="32">
        <f>IF(G397="LENOVO",_xlfn.XLOOKUP(B397,Input!J:J,Input!K:K),_xlfn.XLOOKUP(B397,Input!J:J,Input!L:L))</f>
        <v>0</v>
      </c>
      <c r="I397" s="32"/>
      <c r="J397" s="32"/>
      <c r="K397" s="32"/>
      <c r="L397" s="53"/>
      <c r="M397" s="53"/>
      <c r="N397" s="53"/>
      <c r="O397" s="53" t="str" cm="1">
        <f t="array" ref="O397">IFERROR(_xlfn.FILTERXML("&lt;t&gt;&lt;s&gt;" &amp; SUBSTITUTE(M397," / ","&lt;/s&gt;&lt;s&gt;") &amp; "&lt;/s&gt;&lt;/t&gt;","(//s[contains(.,'DDR')])[1]"),"")</f>
        <v/>
      </c>
      <c r="P397" s="32" t="str">
        <f t="shared" si="17"/>
        <v>GB</v>
      </c>
      <c r="Q397" s="32"/>
      <c r="R397" s="32"/>
      <c r="S397" s="53" t="e">
        <f>_xlfn.LET(_xlpm.Result,INDEX(Input!$D$2:$AC$500,
       MATCH(B397, Input!$J$2:$J$500, 0),
       MATCH("Capacity", Input!$D$1:$AC$1, 0)),IF(_xlpm.Result="","",_xlpm.Result))</f>
        <v>#N/A</v>
      </c>
      <c r="T397" s="53" t="e" cm="1">
        <f t="array" ref="T397">_xlfn.TEXTSPLIT(S397," / ", ,TRUE,0,)</f>
        <v>#N/A</v>
      </c>
      <c r="U397" s="53"/>
      <c r="V397" s="53" t="str" cm="1">
        <f t="array" ref="V397">IFERROR(_xlfn.IFS(
T397="","",
--T397&lt;55,"Battery Defect",
--T397&lt;=69,"Battery D",
--T397&lt;=80,"Battery C",
--T397&gt;80,""
),"")</f>
        <v/>
      </c>
      <c r="W397" s="53" t="str" cm="1">
        <f t="array" ref="W397">IFERROR(_xlfn.IFS(
U397="","",
--U397&lt;55,"Battery Defect",
--U397&lt;=69,"Battery D",
--U397&lt;=80,"Battery C",
--U397&gt;80,""
),"")</f>
        <v/>
      </c>
      <c r="X397" s="53"/>
      <c r="Y397" s="53"/>
      <c r="Z397" s="53"/>
      <c r="AA397" s="53"/>
      <c r="AB397" s="53"/>
      <c r="AC397" s="53"/>
      <c r="AD397" s="53"/>
      <c r="AE397" s="53"/>
      <c r="AF397" s="32" t="str">
        <f t="shared" si="18"/>
        <v/>
      </c>
      <c r="AG397" s="32"/>
      <c r="AH397" s="32"/>
      <c r="AI397" s="32"/>
      <c r="AJ397" s="32"/>
      <c r="AK397" s="32"/>
      <c r="AL397" s="32"/>
      <c r="AM397" s="32"/>
      <c r="AN397" s="32"/>
    </row>
    <row r="398" spans="1:40">
      <c r="A398" s="32" t="str">
        <f>_xlfn.TEXTJOIN("",TRUE,_xlfn.XLOOKUP(B398,Input!J:J,Input!G:G,"",0,1),_xlfn.XLOOKUP(B398,Input!J:J,Input!H:H,"",0,1))</f>
        <v/>
      </c>
      <c r="B398" s="32"/>
      <c r="C398" s="53">
        <f>_xlfn.XLOOKUP(B398,Input!J:J,Input!F:F)</f>
        <v>0</v>
      </c>
      <c r="D398" s="32">
        <f>_xlfn.XLOOKUP(C398,Models!H:H,Models!G:G,C398)</f>
        <v>0</v>
      </c>
      <c r="E398" s="32"/>
      <c r="F398" s="32" t="str">
        <f>_xlfn.XLOOKUP(H398,Models!B:B,Models!F:F,"")</f>
        <v/>
      </c>
      <c r="G398" s="32">
        <f>_xlfn.XLOOKUP(B398,Input!J:J,Input!E:E)</f>
        <v>0</v>
      </c>
      <c r="H398" s="32">
        <f>IF(G398="LENOVO",_xlfn.XLOOKUP(B398,Input!J:J,Input!K:K),_xlfn.XLOOKUP(B398,Input!J:J,Input!L:L))</f>
        <v>0</v>
      </c>
      <c r="I398" s="32"/>
      <c r="J398" s="32"/>
      <c r="K398" s="32"/>
      <c r="L398" s="53"/>
      <c r="M398" s="53"/>
      <c r="N398" s="53"/>
      <c r="O398" s="53" t="str" cm="1">
        <f t="array" ref="O398">IFERROR(_xlfn.FILTERXML("&lt;t&gt;&lt;s&gt;" &amp; SUBSTITUTE(M398," / ","&lt;/s&gt;&lt;s&gt;") &amp; "&lt;/s&gt;&lt;/t&gt;","(//s[contains(.,'DDR')])[1]"),"")</f>
        <v/>
      </c>
      <c r="P398" s="32" t="str">
        <f t="shared" si="17"/>
        <v>GB</v>
      </c>
      <c r="Q398" s="32"/>
      <c r="R398" s="32"/>
      <c r="S398" s="53" t="e">
        <f>_xlfn.LET(_xlpm.Result,INDEX(Input!$D$2:$AC$500,
       MATCH(B398, Input!$J$2:$J$500, 0),
       MATCH("Capacity", Input!$D$1:$AC$1, 0)),IF(_xlpm.Result="","",_xlpm.Result))</f>
        <v>#N/A</v>
      </c>
      <c r="T398" s="53" t="e" cm="1">
        <f t="array" ref="T398">_xlfn.TEXTSPLIT(S398," / ", ,TRUE,0,)</f>
        <v>#N/A</v>
      </c>
      <c r="U398" s="53"/>
      <c r="V398" s="53" t="str" cm="1">
        <f t="array" ref="V398">IFERROR(_xlfn.IFS(
T398="","",
--T398&lt;55,"Battery Defect",
--T398&lt;=69,"Battery D",
--T398&lt;=80,"Battery C",
--T398&gt;80,""
),"")</f>
        <v/>
      </c>
      <c r="W398" s="53" t="str" cm="1">
        <f t="array" ref="W398">IFERROR(_xlfn.IFS(
U398="","",
--U398&lt;55,"Battery Defect",
--U398&lt;=69,"Battery D",
--U398&lt;=80,"Battery C",
--U398&gt;80,""
),"")</f>
        <v/>
      </c>
      <c r="X398" s="53"/>
      <c r="Y398" s="53"/>
      <c r="Z398" s="53"/>
      <c r="AA398" s="53"/>
      <c r="AB398" s="53"/>
      <c r="AC398" s="53"/>
      <c r="AD398" s="53"/>
      <c r="AE398" s="53"/>
      <c r="AF398" s="32" t="str">
        <f t="shared" si="18"/>
        <v/>
      </c>
      <c r="AG398" s="32"/>
      <c r="AH398" s="32"/>
      <c r="AI398" s="32"/>
      <c r="AJ398" s="32"/>
      <c r="AK398" s="32"/>
      <c r="AL398" s="32"/>
      <c r="AM398" s="32"/>
      <c r="AN398" s="32"/>
    </row>
    <row r="399" spans="1:40">
      <c r="A399" s="32" t="str">
        <f>_xlfn.TEXTJOIN("",TRUE,_xlfn.XLOOKUP(B399,Input!J:J,Input!G:G,"",0,1),_xlfn.XLOOKUP(B399,Input!J:J,Input!H:H,"",0,1))</f>
        <v/>
      </c>
      <c r="B399" s="32"/>
      <c r="C399" s="53">
        <f>_xlfn.XLOOKUP(B399,Input!J:J,Input!F:F)</f>
        <v>0</v>
      </c>
      <c r="D399" s="32">
        <f>_xlfn.XLOOKUP(C399,Models!H:H,Models!G:G,C399)</f>
        <v>0</v>
      </c>
      <c r="E399" s="32"/>
      <c r="F399" s="32" t="str">
        <f>_xlfn.XLOOKUP(H399,Models!B:B,Models!F:F,"")</f>
        <v/>
      </c>
      <c r="G399" s="32">
        <f>_xlfn.XLOOKUP(B399,Input!J:J,Input!E:E)</f>
        <v>0</v>
      </c>
      <c r="H399" s="32">
        <f>IF(G399="LENOVO",_xlfn.XLOOKUP(B399,Input!J:J,Input!K:K),_xlfn.XLOOKUP(B399,Input!J:J,Input!L:L))</f>
        <v>0</v>
      </c>
      <c r="I399" s="32"/>
      <c r="J399" s="32"/>
      <c r="K399" s="32"/>
      <c r="L399" s="53"/>
      <c r="M399" s="53"/>
      <c r="N399" s="53"/>
      <c r="O399" s="53" t="str" cm="1">
        <f t="array" ref="O399">IFERROR(_xlfn.FILTERXML("&lt;t&gt;&lt;s&gt;" &amp; SUBSTITUTE(M399," / ","&lt;/s&gt;&lt;s&gt;") &amp; "&lt;/s&gt;&lt;/t&gt;","(//s[contains(.,'DDR')])[1]"),"")</f>
        <v/>
      </c>
      <c r="P399" s="32" t="str">
        <f t="shared" si="17"/>
        <v>GB</v>
      </c>
      <c r="Q399" s="32"/>
      <c r="R399" s="32"/>
      <c r="S399" s="53" t="e">
        <f>_xlfn.LET(_xlpm.Result,INDEX(Input!$D$2:$AC$500,
       MATCH(B399, Input!$J$2:$J$500, 0),
       MATCH("Capacity", Input!$D$1:$AC$1, 0)),IF(_xlpm.Result="","",_xlpm.Result))</f>
        <v>#N/A</v>
      </c>
      <c r="T399" s="53" t="e" cm="1">
        <f t="array" ref="T399">_xlfn.TEXTSPLIT(S399," / ", ,TRUE,0,)</f>
        <v>#N/A</v>
      </c>
      <c r="U399" s="53"/>
      <c r="V399" s="53" t="str" cm="1">
        <f t="array" ref="V399">IFERROR(_xlfn.IFS(
T399="","",
--T399&lt;55,"Battery Defect",
--T399&lt;=69,"Battery D",
--T399&lt;=80,"Battery C",
--T399&gt;80,""
),"")</f>
        <v/>
      </c>
      <c r="W399" s="53" t="str" cm="1">
        <f t="array" ref="W399">IFERROR(_xlfn.IFS(
U399="","",
--U399&lt;55,"Battery Defect",
--U399&lt;=69,"Battery D",
--U399&lt;=80,"Battery C",
--U399&gt;80,""
),"")</f>
        <v/>
      </c>
      <c r="X399" s="53"/>
      <c r="Y399" s="53"/>
      <c r="Z399" s="53"/>
      <c r="AA399" s="53"/>
      <c r="AB399" s="53"/>
      <c r="AC399" s="53"/>
      <c r="AD399" s="53"/>
      <c r="AE399" s="53"/>
      <c r="AF399" s="32" t="str">
        <f t="shared" si="18"/>
        <v/>
      </c>
      <c r="AG399" s="32"/>
      <c r="AH399" s="32"/>
      <c r="AI399" s="32"/>
      <c r="AJ399" s="32"/>
      <c r="AK399" s="32"/>
      <c r="AL399" s="32"/>
      <c r="AM399" s="32"/>
      <c r="AN399" s="32"/>
    </row>
    <row r="400" spans="1:40">
      <c r="A400" s="32" t="str">
        <f>_xlfn.TEXTJOIN("",TRUE,_xlfn.XLOOKUP(B400,Input!J:J,Input!G:G,"",0,1),_xlfn.XLOOKUP(B400,Input!J:J,Input!H:H,"",0,1))</f>
        <v/>
      </c>
      <c r="B400" s="32"/>
      <c r="C400" s="53">
        <f>_xlfn.XLOOKUP(B400,Input!J:J,Input!F:F)</f>
        <v>0</v>
      </c>
      <c r="D400" s="32">
        <f>_xlfn.XLOOKUP(C400,Models!H:H,Models!G:G,C400)</f>
        <v>0</v>
      </c>
      <c r="E400" s="32"/>
      <c r="F400" s="32" t="str">
        <f>_xlfn.XLOOKUP(H400,Models!B:B,Models!F:F,"")</f>
        <v/>
      </c>
      <c r="G400" s="32">
        <f>_xlfn.XLOOKUP(B400,Input!J:J,Input!E:E)</f>
        <v>0</v>
      </c>
      <c r="H400" s="32">
        <f>IF(G400="LENOVO",_xlfn.XLOOKUP(B400,Input!J:J,Input!K:K),_xlfn.XLOOKUP(B400,Input!J:J,Input!L:L))</f>
        <v>0</v>
      </c>
      <c r="I400" s="32"/>
      <c r="J400" s="32"/>
      <c r="K400" s="32"/>
      <c r="L400" s="53"/>
      <c r="M400" s="53"/>
      <c r="N400" s="53"/>
      <c r="O400" s="53" t="str" cm="1">
        <f t="array" ref="O400">IFERROR(_xlfn.FILTERXML("&lt;t&gt;&lt;s&gt;" &amp; SUBSTITUTE(M400," / ","&lt;/s&gt;&lt;s&gt;") &amp; "&lt;/s&gt;&lt;/t&gt;","(//s[contains(.,'DDR')])[1]"),"")</f>
        <v/>
      </c>
      <c r="P400" s="32" t="str">
        <f t="shared" si="17"/>
        <v>GB</v>
      </c>
      <c r="Q400" s="32"/>
      <c r="R400" s="32"/>
      <c r="S400" s="53" t="e">
        <f>_xlfn.LET(_xlpm.Result,INDEX(Input!$D$2:$AC$500,
       MATCH(B400, Input!$J$2:$J$500, 0),
       MATCH("Capacity", Input!$D$1:$AC$1, 0)),IF(_xlpm.Result="","",_xlpm.Result))</f>
        <v>#N/A</v>
      </c>
      <c r="T400" s="53" t="e" cm="1">
        <f t="array" ref="T400">_xlfn.TEXTSPLIT(S400," / ", ,TRUE,0,)</f>
        <v>#N/A</v>
      </c>
      <c r="U400" s="53"/>
      <c r="V400" s="53" t="str" cm="1">
        <f t="array" ref="V400">IFERROR(_xlfn.IFS(
T400="","",
--T400&lt;55,"Battery Defect",
--T400&lt;=69,"Battery D",
--T400&lt;=80,"Battery C",
--T400&gt;80,""
),"")</f>
        <v/>
      </c>
      <c r="W400" s="53" t="str" cm="1">
        <f t="array" ref="W400">IFERROR(_xlfn.IFS(
U400="","",
--U400&lt;55,"Battery Defect",
--U400&lt;=69,"Battery D",
--U400&lt;=80,"Battery C",
--U400&gt;80,""
),"")</f>
        <v/>
      </c>
      <c r="X400" s="53"/>
      <c r="Y400" s="53"/>
      <c r="Z400" s="53"/>
      <c r="AA400" s="53"/>
      <c r="AB400" s="53"/>
      <c r="AC400" s="53"/>
      <c r="AD400" s="53"/>
      <c r="AE400" s="53"/>
      <c r="AF400" s="32" t="str">
        <f t="shared" si="18"/>
        <v/>
      </c>
      <c r="AG400" s="32"/>
      <c r="AH400" s="32"/>
      <c r="AI400" s="32"/>
      <c r="AJ400" s="32"/>
      <c r="AK400" s="32"/>
      <c r="AL400" s="32"/>
      <c r="AM400" s="32"/>
      <c r="AN400" s="32"/>
    </row>
    <row r="401" spans="1:40">
      <c r="A401" s="32" t="str">
        <f>_xlfn.TEXTJOIN("",TRUE,_xlfn.XLOOKUP(B401,Input!J:J,Input!G:G,"",0,1),_xlfn.XLOOKUP(B401,Input!J:J,Input!H:H,"",0,1))</f>
        <v/>
      </c>
      <c r="B401" s="32"/>
      <c r="C401" s="53">
        <f>_xlfn.XLOOKUP(B401,Input!J:J,Input!F:F)</f>
        <v>0</v>
      </c>
      <c r="D401" s="32">
        <f>_xlfn.XLOOKUP(C401,Models!H:H,Models!G:G,C401)</f>
        <v>0</v>
      </c>
      <c r="E401" s="32"/>
      <c r="F401" s="32" t="str">
        <f>_xlfn.XLOOKUP(H401,Models!B:B,Models!F:F,"")</f>
        <v/>
      </c>
      <c r="G401" s="32">
        <f>_xlfn.XLOOKUP(B401,Input!J:J,Input!E:E)</f>
        <v>0</v>
      </c>
      <c r="H401" s="32">
        <f>IF(G401="LENOVO",_xlfn.XLOOKUP(B401,Input!J:J,Input!K:K),_xlfn.XLOOKUP(B401,Input!J:J,Input!L:L))</f>
        <v>0</v>
      </c>
      <c r="I401" s="32"/>
      <c r="J401" s="32"/>
      <c r="K401" s="32"/>
      <c r="L401" s="53"/>
      <c r="M401" s="53"/>
      <c r="N401" s="53"/>
      <c r="O401" s="53" t="str" cm="1">
        <f t="array" ref="O401">IFERROR(_xlfn.FILTERXML("&lt;t&gt;&lt;s&gt;" &amp; SUBSTITUTE(M401," / ","&lt;/s&gt;&lt;s&gt;") &amp; "&lt;/s&gt;&lt;/t&gt;","(//s[contains(.,'DDR')])[1]"),"")</f>
        <v/>
      </c>
      <c r="P401" s="32" t="str">
        <f t="shared" si="17"/>
        <v>GB</v>
      </c>
      <c r="Q401" s="32"/>
      <c r="R401" s="32"/>
      <c r="S401" s="53" t="e">
        <f>_xlfn.LET(_xlpm.Result,INDEX(Input!$D$2:$AC$500,
       MATCH(B401, Input!$J$2:$J$500, 0),
       MATCH("Capacity", Input!$D$1:$AC$1, 0)),IF(_xlpm.Result="","",_xlpm.Result))</f>
        <v>#N/A</v>
      </c>
      <c r="T401" s="53" t="e" cm="1">
        <f t="array" ref="T401">_xlfn.TEXTSPLIT(S401," / ", ,TRUE,0,)</f>
        <v>#N/A</v>
      </c>
      <c r="U401" s="53"/>
      <c r="V401" s="53" t="str" cm="1">
        <f t="array" ref="V401">IFERROR(_xlfn.IFS(
T401="","",
--T401&lt;55,"Battery Defect",
--T401&lt;=69,"Battery D",
--T401&lt;=80,"Battery C",
--T401&gt;80,""
),"")</f>
        <v/>
      </c>
      <c r="W401" s="53" t="str" cm="1">
        <f t="array" ref="W401">IFERROR(_xlfn.IFS(
U401="","",
--U401&lt;55,"Battery Defect",
--U401&lt;=69,"Battery D",
--U401&lt;=80,"Battery C",
--U401&gt;80,""
),"")</f>
        <v/>
      </c>
      <c r="X401" s="53"/>
      <c r="Y401" s="53"/>
      <c r="Z401" s="53"/>
      <c r="AA401" s="53"/>
      <c r="AB401" s="53"/>
      <c r="AC401" s="53"/>
      <c r="AD401" s="53"/>
      <c r="AE401" s="53"/>
      <c r="AF401" s="32" t="str">
        <f t="shared" si="18"/>
        <v/>
      </c>
      <c r="AG401" s="32"/>
      <c r="AH401" s="32"/>
      <c r="AI401" s="32"/>
      <c r="AJ401" s="32"/>
      <c r="AK401" s="32"/>
      <c r="AL401" s="32"/>
      <c r="AM401" s="32"/>
      <c r="AN401" s="32"/>
    </row>
    <row r="402" spans="1:40">
      <c r="A402" s="32" t="str">
        <f>_xlfn.TEXTJOIN("",TRUE,_xlfn.XLOOKUP(B402,Input!J:J,Input!G:G,"",0,1),_xlfn.XLOOKUP(B402,Input!J:J,Input!H:H,"",0,1))</f>
        <v/>
      </c>
      <c r="B402" s="32"/>
      <c r="C402" s="53">
        <f>_xlfn.XLOOKUP(B402,Input!J:J,Input!F:F)</f>
        <v>0</v>
      </c>
      <c r="D402" s="32">
        <f>_xlfn.XLOOKUP(C402,Models!H:H,Models!G:G,C402)</f>
        <v>0</v>
      </c>
      <c r="E402" s="32"/>
      <c r="F402" s="32" t="str">
        <f>_xlfn.XLOOKUP(H402,Models!B:B,Models!F:F,"")</f>
        <v/>
      </c>
      <c r="G402" s="32">
        <f>_xlfn.XLOOKUP(B402,Input!J:J,Input!E:E)</f>
        <v>0</v>
      </c>
      <c r="H402" s="32">
        <f>IF(G402="LENOVO",_xlfn.XLOOKUP(B402,Input!J:J,Input!K:K),_xlfn.XLOOKUP(B402,Input!J:J,Input!L:L))</f>
        <v>0</v>
      </c>
      <c r="I402" s="32"/>
      <c r="J402" s="32"/>
      <c r="K402" s="32"/>
      <c r="L402" s="53"/>
      <c r="M402" s="53"/>
      <c r="N402" s="53"/>
      <c r="O402" s="53" t="str" cm="1">
        <f t="array" ref="O402">IFERROR(_xlfn.FILTERXML("&lt;t&gt;&lt;s&gt;" &amp; SUBSTITUTE(M402," / ","&lt;/s&gt;&lt;s&gt;") &amp; "&lt;/s&gt;&lt;/t&gt;","(//s[contains(.,'DDR')])[1]"),"")</f>
        <v/>
      </c>
      <c r="P402" s="32" t="str">
        <f t="shared" si="17"/>
        <v>GB</v>
      </c>
      <c r="Q402" s="32"/>
      <c r="R402" s="32"/>
      <c r="S402" s="53" t="e">
        <f>_xlfn.LET(_xlpm.Result,INDEX(Input!$D$2:$AC$500,
       MATCH(B402, Input!$J$2:$J$500, 0),
       MATCH("Capacity", Input!$D$1:$AC$1, 0)),IF(_xlpm.Result="","",_xlpm.Result))</f>
        <v>#N/A</v>
      </c>
      <c r="T402" s="53" t="e" cm="1">
        <f t="array" ref="T402">_xlfn.TEXTSPLIT(S402," / ", ,TRUE,0,)</f>
        <v>#N/A</v>
      </c>
      <c r="U402" s="53"/>
      <c r="V402" s="53" t="str" cm="1">
        <f t="array" ref="V402">IFERROR(_xlfn.IFS(
T402="","",
--T402&lt;55,"Battery Defect",
--T402&lt;=69,"Battery D",
--T402&lt;=80,"Battery C",
--T402&gt;80,""
),"")</f>
        <v/>
      </c>
      <c r="W402" s="53" t="str" cm="1">
        <f t="array" ref="W402">IFERROR(_xlfn.IFS(
U402="","",
--U402&lt;55,"Battery Defect",
--U402&lt;=69,"Battery D",
--U402&lt;=80,"Battery C",
--U402&gt;80,""
),"")</f>
        <v/>
      </c>
      <c r="X402" s="53"/>
      <c r="Y402" s="53"/>
      <c r="Z402" s="53"/>
      <c r="AA402" s="53"/>
      <c r="AB402" s="53"/>
      <c r="AC402" s="53"/>
      <c r="AD402" s="53"/>
      <c r="AE402" s="53"/>
      <c r="AF402" s="32" t="str">
        <f t="shared" si="18"/>
        <v/>
      </c>
      <c r="AG402" s="32"/>
      <c r="AH402" s="32"/>
      <c r="AI402" s="32"/>
      <c r="AJ402" s="32"/>
      <c r="AK402" s="32"/>
      <c r="AL402" s="32"/>
      <c r="AM402" s="32"/>
      <c r="AN402" s="32"/>
    </row>
    <row r="403" spans="1:40">
      <c r="A403" s="32" t="str">
        <f>_xlfn.TEXTJOIN("",TRUE,_xlfn.XLOOKUP(B403,Input!J:J,Input!G:G,"",0,1),_xlfn.XLOOKUP(B403,Input!J:J,Input!H:H,"",0,1))</f>
        <v/>
      </c>
      <c r="B403" s="32"/>
      <c r="C403" s="53">
        <f>_xlfn.XLOOKUP(B403,Input!J:J,Input!F:F)</f>
        <v>0</v>
      </c>
      <c r="D403" s="32">
        <f>_xlfn.XLOOKUP(C403,Models!H:H,Models!G:G,C403)</f>
        <v>0</v>
      </c>
      <c r="E403" s="32"/>
      <c r="F403" s="32" t="str">
        <f>_xlfn.XLOOKUP(H403,Models!B:B,Models!F:F,"")</f>
        <v/>
      </c>
      <c r="G403" s="32">
        <f>_xlfn.XLOOKUP(B403,Input!J:J,Input!E:E)</f>
        <v>0</v>
      </c>
      <c r="H403" s="32">
        <f>IF(G403="LENOVO",_xlfn.XLOOKUP(B403,Input!J:J,Input!K:K),_xlfn.XLOOKUP(B403,Input!J:J,Input!L:L))</f>
        <v>0</v>
      </c>
      <c r="I403" s="32"/>
      <c r="J403" s="32"/>
      <c r="K403" s="32"/>
      <c r="L403" s="53"/>
      <c r="M403" s="53"/>
      <c r="N403" s="53"/>
      <c r="O403" s="53" t="str" cm="1">
        <f t="array" ref="O403">IFERROR(_xlfn.FILTERXML("&lt;t&gt;&lt;s&gt;" &amp; SUBSTITUTE(M403," / ","&lt;/s&gt;&lt;s&gt;") &amp; "&lt;/s&gt;&lt;/t&gt;","(//s[contains(.,'DDR')])[1]"),"")</f>
        <v/>
      </c>
      <c r="P403" s="32" t="str">
        <f t="shared" si="17"/>
        <v>GB</v>
      </c>
      <c r="Q403" s="32"/>
      <c r="R403" s="32"/>
      <c r="S403" s="53" t="e">
        <f>_xlfn.LET(_xlpm.Result,INDEX(Input!$D$2:$AC$500,
       MATCH(B403, Input!$J$2:$J$500, 0),
       MATCH("Capacity", Input!$D$1:$AC$1, 0)),IF(_xlpm.Result="","",_xlpm.Result))</f>
        <v>#N/A</v>
      </c>
      <c r="T403" s="53" t="e" cm="1">
        <f t="array" ref="T403">_xlfn.TEXTSPLIT(S403," / ", ,TRUE,0,)</f>
        <v>#N/A</v>
      </c>
      <c r="U403" s="53"/>
      <c r="V403" s="53" t="str" cm="1">
        <f t="array" ref="V403">IFERROR(_xlfn.IFS(
T403="","",
--T403&lt;55,"Battery Defect",
--T403&lt;=69,"Battery D",
--T403&lt;=80,"Battery C",
--T403&gt;80,""
),"")</f>
        <v/>
      </c>
      <c r="W403" s="53" t="str" cm="1">
        <f t="array" ref="W403">IFERROR(_xlfn.IFS(
U403="","",
--U403&lt;55,"Battery Defect",
--U403&lt;=69,"Battery D",
--U403&lt;=80,"Battery C",
--U403&gt;80,""
),"")</f>
        <v/>
      </c>
      <c r="X403" s="53"/>
      <c r="Y403" s="53"/>
      <c r="Z403" s="53"/>
      <c r="AA403" s="53"/>
      <c r="AB403" s="53"/>
      <c r="AC403" s="53"/>
      <c r="AD403" s="53"/>
      <c r="AE403" s="53"/>
      <c r="AF403" s="32" t="str">
        <f t="shared" si="18"/>
        <v/>
      </c>
      <c r="AG403" s="32"/>
      <c r="AH403" s="32"/>
      <c r="AI403" s="32"/>
      <c r="AJ403" s="32"/>
      <c r="AK403" s="32"/>
      <c r="AL403" s="32"/>
      <c r="AM403" s="32"/>
      <c r="AN403" s="32"/>
    </row>
    <row r="404" spans="1:40">
      <c r="A404" s="32" t="str">
        <f>_xlfn.TEXTJOIN("",TRUE,_xlfn.XLOOKUP(B404,Input!J:J,Input!G:G,"",0,1),_xlfn.XLOOKUP(B404,Input!J:J,Input!H:H,"",0,1))</f>
        <v/>
      </c>
      <c r="B404" s="32"/>
      <c r="C404" s="53">
        <f>_xlfn.XLOOKUP(B404,Input!J:J,Input!F:F)</f>
        <v>0</v>
      </c>
      <c r="D404" s="32">
        <f>_xlfn.XLOOKUP(C404,Models!H:H,Models!G:G,C404)</f>
        <v>0</v>
      </c>
      <c r="E404" s="32"/>
      <c r="F404" s="32" t="str">
        <f>_xlfn.XLOOKUP(H404,Models!B:B,Models!F:F,"")</f>
        <v/>
      </c>
      <c r="G404" s="32">
        <f>_xlfn.XLOOKUP(B404,Input!J:J,Input!E:E)</f>
        <v>0</v>
      </c>
      <c r="H404" s="32">
        <f>IF(G404="LENOVO",_xlfn.XLOOKUP(B404,Input!J:J,Input!K:K),_xlfn.XLOOKUP(B404,Input!J:J,Input!L:L))</f>
        <v>0</v>
      </c>
      <c r="I404" s="32"/>
      <c r="J404" s="32"/>
      <c r="K404" s="32"/>
      <c r="L404" s="53"/>
      <c r="M404" s="53"/>
      <c r="N404" s="53"/>
      <c r="O404" s="53" t="str" cm="1">
        <f t="array" ref="O404">IFERROR(_xlfn.FILTERXML("&lt;t&gt;&lt;s&gt;" &amp; SUBSTITUTE(M404," / ","&lt;/s&gt;&lt;s&gt;") &amp; "&lt;/s&gt;&lt;/t&gt;","(//s[contains(.,'DDR')])[1]"),"")</f>
        <v/>
      </c>
      <c r="P404" s="32" t="str">
        <f t="shared" si="17"/>
        <v>GB</v>
      </c>
      <c r="Q404" s="32"/>
      <c r="R404" s="32"/>
      <c r="S404" s="53" t="e">
        <f>_xlfn.LET(_xlpm.Result,INDEX(Input!$D$2:$AC$500,
       MATCH(B404, Input!$J$2:$J$500, 0),
       MATCH("Capacity", Input!$D$1:$AC$1, 0)),IF(_xlpm.Result="","",_xlpm.Result))</f>
        <v>#N/A</v>
      </c>
      <c r="T404" s="53" t="e" cm="1">
        <f t="array" ref="T404">_xlfn.TEXTSPLIT(S404," / ", ,TRUE,0,)</f>
        <v>#N/A</v>
      </c>
      <c r="U404" s="53"/>
      <c r="V404" s="53" t="str" cm="1">
        <f t="array" ref="V404">IFERROR(_xlfn.IFS(
T404="","",
--T404&lt;55,"Battery Defect",
--T404&lt;=69,"Battery D",
--T404&lt;=80,"Battery C",
--T404&gt;80,""
),"")</f>
        <v/>
      </c>
      <c r="W404" s="53" t="str" cm="1">
        <f t="array" ref="W404">IFERROR(_xlfn.IFS(
U404="","",
--U404&lt;55,"Battery Defect",
--U404&lt;=69,"Battery D",
--U404&lt;=80,"Battery C",
--U404&gt;80,""
),"")</f>
        <v/>
      </c>
      <c r="X404" s="53"/>
      <c r="Y404" s="53"/>
      <c r="Z404" s="53"/>
      <c r="AA404" s="53"/>
      <c r="AB404" s="53"/>
      <c r="AC404" s="53"/>
      <c r="AD404" s="53"/>
      <c r="AE404" s="53"/>
      <c r="AF404" s="32" t="str">
        <f t="shared" si="18"/>
        <v/>
      </c>
      <c r="AG404" s="32"/>
      <c r="AH404" s="32"/>
      <c r="AI404" s="32"/>
      <c r="AJ404" s="32"/>
      <c r="AK404" s="32"/>
      <c r="AL404" s="32"/>
      <c r="AM404" s="32"/>
      <c r="AN404" s="32"/>
    </row>
    <row r="405" spans="1:40">
      <c r="A405" s="32" t="str">
        <f>_xlfn.TEXTJOIN("",TRUE,_xlfn.XLOOKUP(B405,Input!J:J,Input!G:G,"",0,1),_xlfn.XLOOKUP(B405,Input!J:J,Input!H:H,"",0,1))</f>
        <v/>
      </c>
      <c r="B405" s="32"/>
      <c r="C405" s="53">
        <f>_xlfn.XLOOKUP(B405,Input!J:J,Input!F:F)</f>
        <v>0</v>
      </c>
      <c r="D405" s="32">
        <f>_xlfn.XLOOKUP(C405,Models!H:H,Models!G:G,C405)</f>
        <v>0</v>
      </c>
      <c r="E405" s="32"/>
      <c r="F405" s="32" t="str">
        <f>_xlfn.XLOOKUP(H405,Models!B:B,Models!F:F,"")</f>
        <v/>
      </c>
      <c r="G405" s="32">
        <f>_xlfn.XLOOKUP(B405,Input!J:J,Input!E:E)</f>
        <v>0</v>
      </c>
      <c r="H405" s="32">
        <f>IF(G405="LENOVO",_xlfn.XLOOKUP(B405,Input!J:J,Input!K:K),_xlfn.XLOOKUP(B405,Input!J:J,Input!L:L))</f>
        <v>0</v>
      </c>
      <c r="I405" s="32"/>
      <c r="J405" s="32"/>
      <c r="K405" s="32"/>
      <c r="L405" s="53"/>
      <c r="M405" s="53"/>
      <c r="N405" s="53"/>
      <c r="O405" s="53" t="str" cm="1">
        <f t="array" ref="O405">IFERROR(_xlfn.FILTERXML("&lt;t&gt;&lt;s&gt;" &amp; SUBSTITUTE(M405," / ","&lt;/s&gt;&lt;s&gt;") &amp; "&lt;/s&gt;&lt;/t&gt;","(//s[contains(.,'DDR')])[1]"),"")</f>
        <v/>
      </c>
      <c r="P405" s="32" t="str">
        <f t="shared" si="17"/>
        <v>GB</v>
      </c>
      <c r="Q405" s="32"/>
      <c r="R405" s="32"/>
      <c r="S405" s="53" t="e">
        <f>_xlfn.LET(_xlpm.Result,INDEX(Input!$D$2:$AC$500,
       MATCH(B405, Input!$J$2:$J$500, 0),
       MATCH("Capacity", Input!$D$1:$AC$1, 0)),IF(_xlpm.Result="","",_xlpm.Result))</f>
        <v>#N/A</v>
      </c>
      <c r="T405" s="53" t="e" cm="1">
        <f t="array" ref="T405">_xlfn.TEXTSPLIT(S405," / ", ,TRUE,0,)</f>
        <v>#N/A</v>
      </c>
      <c r="U405" s="53"/>
      <c r="V405" s="53" t="str" cm="1">
        <f t="array" ref="V405">IFERROR(_xlfn.IFS(
T405="","",
--T405&lt;55,"Battery Defect",
--T405&lt;=69,"Battery D",
--T405&lt;=80,"Battery C",
--T405&gt;80,""
),"")</f>
        <v/>
      </c>
      <c r="W405" s="53" t="str" cm="1">
        <f t="array" ref="W405">IFERROR(_xlfn.IFS(
U405="","",
--U405&lt;55,"Battery Defect",
--U405&lt;=69,"Battery D",
--U405&lt;=80,"Battery C",
--U405&gt;80,""
),"")</f>
        <v/>
      </c>
      <c r="X405" s="53"/>
      <c r="Y405" s="53"/>
      <c r="Z405" s="53"/>
      <c r="AA405" s="53"/>
      <c r="AB405" s="53"/>
      <c r="AC405" s="53"/>
      <c r="AD405" s="53"/>
      <c r="AE405" s="53"/>
      <c r="AF405" s="32" t="str">
        <f t="shared" si="18"/>
        <v/>
      </c>
      <c r="AG405" s="32"/>
      <c r="AH405" s="32"/>
      <c r="AI405" s="32"/>
      <c r="AJ405" s="32"/>
      <c r="AK405" s="32"/>
      <c r="AL405" s="32"/>
      <c r="AM405" s="32"/>
      <c r="AN405" s="32"/>
    </row>
    <row r="406" spans="1:40">
      <c r="A406" s="32" t="str">
        <f>_xlfn.TEXTJOIN("",TRUE,_xlfn.XLOOKUP(B406,Input!J:J,Input!G:G,"",0,1),_xlfn.XLOOKUP(B406,Input!J:J,Input!H:H,"",0,1))</f>
        <v/>
      </c>
      <c r="B406" s="32"/>
      <c r="C406" s="53">
        <f>_xlfn.XLOOKUP(B406,Input!J:J,Input!F:F)</f>
        <v>0</v>
      </c>
      <c r="D406" s="32">
        <f>_xlfn.XLOOKUP(C406,Models!H:H,Models!G:G,C406)</f>
        <v>0</v>
      </c>
      <c r="E406" s="32"/>
      <c r="F406" s="32" t="str">
        <f>_xlfn.XLOOKUP(H406,Models!B:B,Models!F:F,"")</f>
        <v/>
      </c>
      <c r="G406" s="32">
        <f>_xlfn.XLOOKUP(B406,Input!J:J,Input!E:E)</f>
        <v>0</v>
      </c>
      <c r="H406" s="32">
        <f>IF(G406="LENOVO",_xlfn.XLOOKUP(B406,Input!J:J,Input!K:K),_xlfn.XLOOKUP(B406,Input!J:J,Input!L:L))</f>
        <v>0</v>
      </c>
      <c r="I406" s="32"/>
      <c r="J406" s="32"/>
      <c r="K406" s="32"/>
      <c r="L406" s="53"/>
      <c r="M406" s="53"/>
      <c r="N406" s="53"/>
      <c r="O406" s="53" t="str" cm="1">
        <f t="array" ref="O406">IFERROR(_xlfn.FILTERXML("&lt;t&gt;&lt;s&gt;" &amp; SUBSTITUTE(M406," / ","&lt;/s&gt;&lt;s&gt;") &amp; "&lt;/s&gt;&lt;/t&gt;","(//s[contains(.,'DDR')])[1]"),"")</f>
        <v/>
      </c>
      <c r="P406" s="32" t="str">
        <f t="shared" si="17"/>
        <v>GB</v>
      </c>
      <c r="Q406" s="32"/>
      <c r="R406" s="32"/>
      <c r="S406" s="53" t="e">
        <f>_xlfn.LET(_xlpm.Result,INDEX(Input!$D$2:$AC$500,
       MATCH(B406, Input!$J$2:$J$500, 0),
       MATCH("Capacity", Input!$D$1:$AC$1, 0)),IF(_xlpm.Result="","",_xlpm.Result))</f>
        <v>#N/A</v>
      </c>
      <c r="T406" s="53" t="e" cm="1">
        <f t="array" ref="T406">_xlfn.TEXTSPLIT(S406," / ", ,TRUE,0,)</f>
        <v>#N/A</v>
      </c>
      <c r="U406" s="53"/>
      <c r="V406" s="53" t="str" cm="1">
        <f t="array" ref="V406">IFERROR(_xlfn.IFS(
T406="","",
--T406&lt;55,"Battery Defect",
--T406&lt;=69,"Battery D",
--T406&lt;=80,"Battery C",
--T406&gt;80,""
),"")</f>
        <v/>
      </c>
      <c r="W406" s="53" t="str" cm="1">
        <f t="array" ref="W406">IFERROR(_xlfn.IFS(
U406="","",
--U406&lt;55,"Battery Defect",
--U406&lt;=69,"Battery D",
--U406&lt;=80,"Battery C",
--U406&gt;80,""
),"")</f>
        <v/>
      </c>
      <c r="X406" s="53"/>
      <c r="Y406" s="53"/>
      <c r="Z406" s="53"/>
      <c r="AA406" s="53"/>
      <c r="AB406" s="53"/>
      <c r="AC406" s="53"/>
      <c r="AD406" s="53"/>
      <c r="AE406" s="53"/>
      <c r="AF406" s="32" t="str">
        <f t="shared" si="18"/>
        <v/>
      </c>
      <c r="AG406" s="32"/>
      <c r="AH406" s="32"/>
      <c r="AI406" s="32"/>
      <c r="AJ406" s="32"/>
      <c r="AK406" s="32"/>
      <c r="AL406" s="32"/>
      <c r="AM406" s="32"/>
      <c r="AN406" s="32"/>
    </row>
    <row r="407" spans="1:40">
      <c r="A407" s="32" t="str">
        <f>_xlfn.TEXTJOIN("",TRUE,_xlfn.XLOOKUP(B407,Input!J:J,Input!G:G,"",0,1),_xlfn.XLOOKUP(B407,Input!J:J,Input!H:H,"",0,1))</f>
        <v/>
      </c>
      <c r="B407" s="32"/>
      <c r="C407" s="53">
        <f>_xlfn.XLOOKUP(B407,Input!J:J,Input!F:F)</f>
        <v>0</v>
      </c>
      <c r="D407" s="32">
        <f>_xlfn.XLOOKUP(C407,Models!H:H,Models!G:G,C407)</f>
        <v>0</v>
      </c>
      <c r="E407" s="32"/>
      <c r="F407" s="32" t="str">
        <f>_xlfn.XLOOKUP(H407,Models!B:B,Models!F:F,"")</f>
        <v/>
      </c>
      <c r="G407" s="32">
        <f>_xlfn.XLOOKUP(B407,Input!J:J,Input!E:E)</f>
        <v>0</v>
      </c>
      <c r="H407" s="32">
        <f>IF(G407="LENOVO",_xlfn.XLOOKUP(B407,Input!J:J,Input!K:K),_xlfn.XLOOKUP(B407,Input!J:J,Input!L:L))</f>
        <v>0</v>
      </c>
      <c r="I407" s="32"/>
      <c r="J407" s="32"/>
      <c r="K407" s="32"/>
      <c r="L407" s="53"/>
      <c r="M407" s="53"/>
      <c r="N407" s="53"/>
      <c r="O407" s="53" t="str" cm="1">
        <f t="array" ref="O407">IFERROR(_xlfn.FILTERXML("&lt;t&gt;&lt;s&gt;" &amp; SUBSTITUTE(M407," / ","&lt;/s&gt;&lt;s&gt;") &amp; "&lt;/s&gt;&lt;/t&gt;","(//s[contains(.,'DDR')])[1]"),"")</f>
        <v/>
      </c>
      <c r="P407" s="32" t="str">
        <f t="shared" si="17"/>
        <v>GB</v>
      </c>
      <c r="Q407" s="32"/>
      <c r="R407" s="32"/>
      <c r="S407" s="53" t="e">
        <f>_xlfn.LET(_xlpm.Result,INDEX(Input!$D$2:$AC$500,
       MATCH(B407, Input!$J$2:$J$500, 0),
       MATCH("Capacity", Input!$D$1:$AC$1, 0)),IF(_xlpm.Result="","",_xlpm.Result))</f>
        <v>#N/A</v>
      </c>
      <c r="T407" s="53" t="e" cm="1">
        <f t="array" ref="T407">_xlfn.TEXTSPLIT(S407," / ", ,TRUE,0,)</f>
        <v>#N/A</v>
      </c>
      <c r="U407" s="53"/>
      <c r="V407" s="53" t="str" cm="1">
        <f t="array" ref="V407">IFERROR(_xlfn.IFS(
T407="","",
--T407&lt;55,"Battery Defect",
--T407&lt;=69,"Battery D",
--T407&lt;=80,"Battery C",
--T407&gt;80,""
),"")</f>
        <v/>
      </c>
      <c r="W407" s="53" t="str" cm="1">
        <f t="array" ref="W407">IFERROR(_xlfn.IFS(
U407="","",
--U407&lt;55,"Battery Defect",
--U407&lt;=69,"Battery D",
--U407&lt;=80,"Battery C",
--U407&gt;80,""
),"")</f>
        <v/>
      </c>
      <c r="X407" s="53"/>
      <c r="Y407" s="53"/>
      <c r="Z407" s="53"/>
      <c r="AA407" s="53"/>
      <c r="AB407" s="53"/>
      <c r="AC407" s="53"/>
      <c r="AD407" s="53"/>
      <c r="AE407" s="53"/>
      <c r="AF407" s="32" t="str">
        <f t="shared" si="18"/>
        <v/>
      </c>
      <c r="AG407" s="32"/>
      <c r="AH407" s="32"/>
      <c r="AI407" s="32"/>
      <c r="AJ407" s="32"/>
      <c r="AK407" s="32"/>
      <c r="AL407" s="32"/>
      <c r="AM407" s="32"/>
      <c r="AN407" s="32"/>
    </row>
    <row r="408" spans="1:40">
      <c r="A408" s="32" t="str">
        <f>_xlfn.TEXTJOIN("",TRUE,_xlfn.XLOOKUP(B408,Input!J:J,Input!G:G,"",0,1),_xlfn.XLOOKUP(B408,Input!J:J,Input!H:H,"",0,1))</f>
        <v/>
      </c>
      <c r="B408" s="32"/>
      <c r="C408" s="53">
        <f>_xlfn.XLOOKUP(B408,Input!J:J,Input!F:F)</f>
        <v>0</v>
      </c>
      <c r="D408" s="32">
        <f>_xlfn.XLOOKUP(C408,Models!H:H,Models!G:G,C408)</f>
        <v>0</v>
      </c>
      <c r="E408" s="32"/>
      <c r="F408" s="32" t="str">
        <f>_xlfn.XLOOKUP(H408,Models!B:B,Models!F:F,"")</f>
        <v/>
      </c>
      <c r="G408" s="32">
        <f>_xlfn.XLOOKUP(B408,Input!J:J,Input!E:E)</f>
        <v>0</v>
      </c>
      <c r="H408" s="32">
        <f>IF(G408="LENOVO",_xlfn.XLOOKUP(B408,Input!J:J,Input!K:K),_xlfn.XLOOKUP(B408,Input!J:J,Input!L:L))</f>
        <v>0</v>
      </c>
      <c r="I408" s="32"/>
      <c r="J408" s="32"/>
      <c r="K408" s="32"/>
      <c r="L408" s="53"/>
      <c r="M408" s="53"/>
      <c r="N408" s="53"/>
      <c r="O408" s="53" t="str" cm="1">
        <f t="array" ref="O408">IFERROR(_xlfn.FILTERXML("&lt;t&gt;&lt;s&gt;" &amp; SUBSTITUTE(M408," / ","&lt;/s&gt;&lt;s&gt;") &amp; "&lt;/s&gt;&lt;/t&gt;","(//s[contains(.,'DDR')])[1]"),"")</f>
        <v/>
      </c>
      <c r="P408" s="32" t="str">
        <f t="shared" si="17"/>
        <v>GB</v>
      </c>
      <c r="Q408" s="32"/>
      <c r="R408" s="32"/>
      <c r="S408" s="53" t="e">
        <f>_xlfn.LET(_xlpm.Result,INDEX(Input!$D$2:$AC$500,
       MATCH(B408, Input!$J$2:$J$500, 0),
       MATCH("Capacity", Input!$D$1:$AC$1, 0)),IF(_xlpm.Result="","",_xlpm.Result))</f>
        <v>#N/A</v>
      </c>
      <c r="T408" s="53" t="e" cm="1">
        <f t="array" ref="T408">_xlfn.TEXTSPLIT(S408," / ", ,TRUE,0,)</f>
        <v>#N/A</v>
      </c>
      <c r="U408" s="53"/>
      <c r="V408" s="53" t="str" cm="1">
        <f t="array" ref="V408">IFERROR(_xlfn.IFS(
T408="","",
--T408&lt;55,"Battery Defect",
--T408&lt;=69,"Battery D",
--T408&lt;=80,"Battery C",
--T408&gt;80,""
),"")</f>
        <v/>
      </c>
      <c r="W408" s="53" t="str" cm="1">
        <f t="array" ref="W408">IFERROR(_xlfn.IFS(
U408="","",
--U408&lt;55,"Battery Defect",
--U408&lt;=69,"Battery D",
--U408&lt;=80,"Battery C",
--U408&gt;80,""
),"")</f>
        <v/>
      </c>
      <c r="X408" s="53"/>
      <c r="Y408" s="53"/>
      <c r="Z408" s="53"/>
      <c r="AA408" s="53"/>
      <c r="AB408" s="53"/>
      <c r="AC408" s="53"/>
      <c r="AD408" s="53"/>
      <c r="AE408" s="53"/>
      <c r="AF408" s="32" t="str">
        <f t="shared" si="18"/>
        <v/>
      </c>
      <c r="AG408" s="32"/>
      <c r="AH408" s="32"/>
      <c r="AI408" s="32"/>
      <c r="AJ408" s="32"/>
      <c r="AK408" s="32"/>
      <c r="AL408" s="32"/>
      <c r="AM408" s="32"/>
      <c r="AN408" s="32"/>
    </row>
    <row r="409" spans="1:40">
      <c r="A409" s="32" t="str">
        <f>_xlfn.TEXTJOIN("",TRUE,_xlfn.XLOOKUP(B409,Input!J:J,Input!G:G,"",0,1),_xlfn.XLOOKUP(B409,Input!J:J,Input!H:H,"",0,1))</f>
        <v/>
      </c>
      <c r="B409" s="32"/>
      <c r="C409" s="53">
        <f>_xlfn.XLOOKUP(B409,Input!J:J,Input!F:F)</f>
        <v>0</v>
      </c>
      <c r="D409" s="32">
        <f>_xlfn.XLOOKUP(C409,Models!H:H,Models!G:G,C409)</f>
        <v>0</v>
      </c>
      <c r="E409" s="32"/>
      <c r="F409" s="32" t="str">
        <f>_xlfn.XLOOKUP(H409,Models!B:B,Models!F:F,"")</f>
        <v/>
      </c>
      <c r="G409" s="32">
        <f>_xlfn.XLOOKUP(B409,Input!J:J,Input!E:E)</f>
        <v>0</v>
      </c>
      <c r="H409" s="32">
        <f>IF(G409="LENOVO",_xlfn.XLOOKUP(B409,Input!J:J,Input!K:K),_xlfn.XLOOKUP(B409,Input!J:J,Input!L:L))</f>
        <v>0</v>
      </c>
      <c r="I409" s="32"/>
      <c r="J409" s="32"/>
      <c r="K409" s="32"/>
      <c r="L409" s="53"/>
      <c r="M409" s="53"/>
      <c r="N409" s="53"/>
      <c r="O409" s="53" t="str" cm="1">
        <f t="array" ref="O409">IFERROR(_xlfn.FILTERXML("&lt;t&gt;&lt;s&gt;" &amp; SUBSTITUTE(M409," / ","&lt;/s&gt;&lt;s&gt;") &amp; "&lt;/s&gt;&lt;/t&gt;","(//s[contains(.,'DDR')])[1]"),"")</f>
        <v/>
      </c>
      <c r="P409" s="32" t="str">
        <f t="shared" ref="P409:P472" si="19">_xlfn.TEXTJOIN(" ",TRUE,N409,"GB",O409)</f>
        <v>GB</v>
      </c>
      <c r="Q409" s="32"/>
      <c r="R409" s="32"/>
      <c r="S409" s="53" t="e">
        <f>_xlfn.LET(_xlpm.Result,INDEX(Input!$D$2:$AC$500,
       MATCH(B409, Input!$J$2:$J$500, 0),
       MATCH("Capacity", Input!$D$1:$AC$1, 0)),IF(_xlpm.Result="","",_xlpm.Result))</f>
        <v>#N/A</v>
      </c>
      <c r="T409" s="53" t="e" cm="1">
        <f t="array" ref="T409">_xlfn.TEXTSPLIT(S409," / ", ,TRUE,0,)</f>
        <v>#N/A</v>
      </c>
      <c r="U409" s="53"/>
      <c r="V409" s="53" t="str" cm="1">
        <f t="array" ref="V409">IFERROR(_xlfn.IFS(
T409="","",
--T409&lt;55,"Battery Defect",
--T409&lt;=69,"Battery D",
--T409&lt;=80,"Battery C",
--T409&gt;80,""
),"")</f>
        <v/>
      </c>
      <c r="W409" s="53" t="str" cm="1">
        <f t="array" ref="W409">IFERROR(_xlfn.IFS(
U409="","",
--U409&lt;55,"Battery Defect",
--U409&lt;=69,"Battery D",
--U409&lt;=80,"Battery C",
--U409&gt;80,""
),"")</f>
        <v/>
      </c>
      <c r="X409" s="53"/>
      <c r="Y409" s="53"/>
      <c r="Z409" s="53"/>
      <c r="AA409" s="53"/>
      <c r="AB409" s="53"/>
      <c r="AC409" s="53"/>
      <c r="AD409" s="53"/>
      <c r="AE409" s="53"/>
      <c r="AF409" s="32" t="str">
        <f t="shared" si="18"/>
        <v/>
      </c>
      <c r="AG409" s="32"/>
      <c r="AH409" s="32"/>
      <c r="AI409" s="32"/>
      <c r="AJ409" s="32"/>
      <c r="AK409" s="32"/>
      <c r="AL409" s="32"/>
      <c r="AM409" s="32"/>
      <c r="AN409" s="32"/>
    </row>
    <row r="410" spans="1:40">
      <c r="A410" s="32" t="str">
        <f>_xlfn.TEXTJOIN("",TRUE,_xlfn.XLOOKUP(B410,Input!J:J,Input!G:G,"",0,1),_xlfn.XLOOKUP(B410,Input!J:J,Input!H:H,"",0,1))</f>
        <v/>
      </c>
      <c r="B410" s="32"/>
      <c r="C410" s="53">
        <f>_xlfn.XLOOKUP(B410,Input!J:J,Input!F:F)</f>
        <v>0</v>
      </c>
      <c r="D410" s="32">
        <f>_xlfn.XLOOKUP(C410,Models!H:H,Models!G:G,C410)</f>
        <v>0</v>
      </c>
      <c r="E410" s="32"/>
      <c r="F410" s="32" t="str">
        <f>_xlfn.XLOOKUP(H410,Models!B:B,Models!F:F,"")</f>
        <v/>
      </c>
      <c r="G410" s="32">
        <f>_xlfn.XLOOKUP(B410,Input!J:J,Input!E:E)</f>
        <v>0</v>
      </c>
      <c r="H410" s="32">
        <f>IF(G410="LENOVO",_xlfn.XLOOKUP(B410,Input!J:J,Input!K:K),_xlfn.XLOOKUP(B410,Input!J:J,Input!L:L))</f>
        <v>0</v>
      </c>
      <c r="I410" s="32"/>
      <c r="J410" s="32"/>
      <c r="K410" s="32"/>
      <c r="L410" s="53"/>
      <c r="M410" s="53"/>
      <c r="N410" s="53"/>
      <c r="O410" s="53" t="str" cm="1">
        <f t="array" ref="O410">IFERROR(_xlfn.FILTERXML("&lt;t&gt;&lt;s&gt;" &amp; SUBSTITUTE(M410," / ","&lt;/s&gt;&lt;s&gt;") &amp; "&lt;/s&gt;&lt;/t&gt;","(//s[contains(.,'DDR')])[1]"),"")</f>
        <v/>
      </c>
      <c r="P410" s="32" t="str">
        <f t="shared" si="19"/>
        <v>GB</v>
      </c>
      <c r="Q410" s="32"/>
      <c r="R410" s="32"/>
      <c r="S410" s="53" t="e">
        <f>_xlfn.LET(_xlpm.Result,INDEX(Input!$D$2:$AC$500,
       MATCH(B410, Input!$J$2:$J$500, 0),
       MATCH("Capacity", Input!$D$1:$AC$1, 0)),IF(_xlpm.Result="","",_xlpm.Result))</f>
        <v>#N/A</v>
      </c>
      <c r="T410" s="53" t="e" cm="1">
        <f t="array" ref="T410">_xlfn.TEXTSPLIT(S410," / ", ,TRUE,0,)</f>
        <v>#N/A</v>
      </c>
      <c r="U410" s="53"/>
      <c r="V410" s="53" t="str" cm="1">
        <f t="array" ref="V410">IFERROR(_xlfn.IFS(
T410="","",
--T410&lt;55,"Battery Defect",
--T410&lt;=69,"Battery D",
--T410&lt;=80,"Battery C",
--T410&gt;80,""
),"")</f>
        <v/>
      </c>
      <c r="W410" s="53" t="str" cm="1">
        <f t="array" ref="W410">IFERROR(_xlfn.IFS(
U410="","",
--U410&lt;55,"Battery Defect",
--U410&lt;=69,"Battery D",
--U410&lt;=80,"Battery C",
--U410&gt;80,""
),"")</f>
        <v/>
      </c>
      <c r="X410" s="53"/>
      <c r="Y410" s="53"/>
      <c r="Z410" s="53"/>
      <c r="AA410" s="53"/>
      <c r="AB410" s="53"/>
      <c r="AC410" s="53"/>
      <c r="AD410" s="53"/>
      <c r="AE410" s="53"/>
      <c r="AF410" s="32" t="str">
        <f t="shared" si="18"/>
        <v/>
      </c>
      <c r="AG410" s="32"/>
      <c r="AH410" s="32"/>
      <c r="AI410" s="32"/>
      <c r="AJ410" s="32"/>
      <c r="AK410" s="32"/>
      <c r="AL410" s="32"/>
      <c r="AM410" s="32"/>
      <c r="AN410" s="32"/>
    </row>
    <row r="411" spans="1:40">
      <c r="A411" s="32" t="str">
        <f>_xlfn.TEXTJOIN("",TRUE,_xlfn.XLOOKUP(B411,Input!J:J,Input!G:G,"",0,1),_xlfn.XLOOKUP(B411,Input!J:J,Input!H:H,"",0,1))</f>
        <v/>
      </c>
      <c r="B411" s="32"/>
      <c r="C411" s="53">
        <f>_xlfn.XLOOKUP(B411,Input!J:J,Input!F:F)</f>
        <v>0</v>
      </c>
      <c r="D411" s="32">
        <f>_xlfn.XLOOKUP(C411,Models!H:H,Models!G:G,C411)</f>
        <v>0</v>
      </c>
      <c r="E411" s="32"/>
      <c r="F411" s="32" t="str">
        <f>_xlfn.XLOOKUP(H411,Models!B:B,Models!F:F,"")</f>
        <v/>
      </c>
      <c r="G411" s="32">
        <f>_xlfn.XLOOKUP(B411,Input!J:J,Input!E:E)</f>
        <v>0</v>
      </c>
      <c r="H411" s="32">
        <f>IF(G411="LENOVO",_xlfn.XLOOKUP(B411,Input!J:J,Input!K:K),_xlfn.XLOOKUP(B411,Input!J:J,Input!L:L))</f>
        <v>0</v>
      </c>
      <c r="I411" s="32"/>
      <c r="J411" s="32"/>
      <c r="K411" s="32"/>
      <c r="L411" s="53"/>
      <c r="M411" s="53"/>
      <c r="N411" s="53"/>
      <c r="O411" s="53" t="str" cm="1">
        <f t="array" ref="O411">IFERROR(_xlfn.FILTERXML("&lt;t&gt;&lt;s&gt;" &amp; SUBSTITUTE(M411," / ","&lt;/s&gt;&lt;s&gt;") &amp; "&lt;/s&gt;&lt;/t&gt;","(//s[contains(.,'DDR')])[1]"),"")</f>
        <v/>
      </c>
      <c r="P411" s="32" t="str">
        <f t="shared" si="19"/>
        <v>GB</v>
      </c>
      <c r="Q411" s="32"/>
      <c r="R411" s="32"/>
      <c r="S411" s="53" t="e">
        <f>_xlfn.LET(_xlpm.Result,INDEX(Input!$D$2:$AC$500,
       MATCH(B411, Input!$J$2:$J$500, 0),
       MATCH("Capacity", Input!$D$1:$AC$1, 0)),IF(_xlpm.Result="","",_xlpm.Result))</f>
        <v>#N/A</v>
      </c>
      <c r="T411" s="53" t="e" cm="1">
        <f t="array" ref="T411">_xlfn.TEXTSPLIT(S411," / ", ,TRUE,0,)</f>
        <v>#N/A</v>
      </c>
      <c r="U411" s="53"/>
      <c r="V411" s="53" t="str" cm="1">
        <f t="array" ref="V411">IFERROR(_xlfn.IFS(
T411="","",
--T411&lt;55,"Battery Defect",
--T411&lt;=69,"Battery D",
--T411&lt;=80,"Battery C",
--T411&gt;80,""
),"")</f>
        <v/>
      </c>
      <c r="W411" s="53" t="str" cm="1">
        <f t="array" ref="W411">IFERROR(_xlfn.IFS(
U411="","",
--U411&lt;55,"Battery Defect",
--U411&lt;=69,"Battery D",
--U411&lt;=80,"Battery C",
--U411&gt;80,""
),"")</f>
        <v/>
      </c>
      <c r="X411" s="53"/>
      <c r="Y411" s="53"/>
      <c r="Z411" s="53"/>
      <c r="AA411" s="53"/>
      <c r="AB411" s="53"/>
      <c r="AC411" s="53"/>
      <c r="AD411" s="53"/>
      <c r="AE411" s="53"/>
      <c r="AF411" s="32" t="str">
        <f t="shared" si="18"/>
        <v/>
      </c>
      <c r="AG411" s="32"/>
      <c r="AH411" s="32"/>
      <c r="AI411" s="32"/>
      <c r="AJ411" s="32"/>
      <c r="AK411" s="32"/>
      <c r="AL411" s="32"/>
      <c r="AM411" s="32"/>
      <c r="AN411" s="32"/>
    </row>
    <row r="412" spans="1:40">
      <c r="A412" s="32" t="str">
        <f>_xlfn.TEXTJOIN("",TRUE,_xlfn.XLOOKUP(B412,Input!J:J,Input!G:G,"",0,1),_xlfn.XLOOKUP(B412,Input!J:J,Input!H:H,"",0,1))</f>
        <v/>
      </c>
      <c r="B412" s="32"/>
      <c r="C412" s="53">
        <f>_xlfn.XLOOKUP(B412,Input!J:J,Input!F:F)</f>
        <v>0</v>
      </c>
      <c r="D412" s="32">
        <f>_xlfn.XLOOKUP(C412,Models!H:H,Models!G:G,C412)</f>
        <v>0</v>
      </c>
      <c r="E412" s="32"/>
      <c r="F412" s="32" t="str">
        <f>_xlfn.XLOOKUP(H412,Models!B:B,Models!F:F,"")</f>
        <v/>
      </c>
      <c r="G412" s="32">
        <f>_xlfn.XLOOKUP(B412,Input!J:J,Input!E:E)</f>
        <v>0</v>
      </c>
      <c r="H412" s="32">
        <f>IF(G412="LENOVO",_xlfn.XLOOKUP(B412,Input!J:J,Input!K:K),_xlfn.XLOOKUP(B412,Input!J:J,Input!L:L))</f>
        <v>0</v>
      </c>
      <c r="I412" s="32"/>
      <c r="J412" s="32"/>
      <c r="K412" s="32"/>
      <c r="L412" s="53"/>
      <c r="M412" s="53"/>
      <c r="N412" s="53"/>
      <c r="O412" s="53" t="str" cm="1">
        <f t="array" ref="O412">IFERROR(_xlfn.FILTERXML("&lt;t&gt;&lt;s&gt;" &amp; SUBSTITUTE(M412," / ","&lt;/s&gt;&lt;s&gt;") &amp; "&lt;/s&gt;&lt;/t&gt;","(//s[contains(.,'DDR')])[1]"),"")</f>
        <v/>
      </c>
      <c r="P412" s="32" t="str">
        <f t="shared" si="19"/>
        <v>GB</v>
      </c>
      <c r="Q412" s="32"/>
      <c r="R412" s="32"/>
      <c r="S412" s="53" t="e">
        <f>_xlfn.LET(_xlpm.Result,INDEX(Input!$D$2:$AC$500,
       MATCH(B412, Input!$J$2:$J$500, 0),
       MATCH("Capacity", Input!$D$1:$AC$1, 0)),IF(_xlpm.Result="","",_xlpm.Result))</f>
        <v>#N/A</v>
      </c>
      <c r="T412" s="53" t="e" cm="1">
        <f t="array" ref="T412">_xlfn.TEXTSPLIT(S412," / ", ,TRUE,0,)</f>
        <v>#N/A</v>
      </c>
      <c r="U412" s="53"/>
      <c r="V412" s="53" t="str" cm="1">
        <f t="array" ref="V412">IFERROR(_xlfn.IFS(
T412="","",
--T412&lt;55,"Battery Defect",
--T412&lt;=69,"Battery D",
--T412&lt;=80,"Battery C",
--T412&gt;80,""
),"")</f>
        <v/>
      </c>
      <c r="W412" s="53" t="str" cm="1">
        <f t="array" ref="W412">IFERROR(_xlfn.IFS(
U412="","",
--U412&lt;55,"Battery Defect",
--U412&lt;=69,"Battery D",
--U412&lt;=80,"Battery C",
--U412&gt;80,""
),"")</f>
        <v/>
      </c>
      <c r="X412" s="53"/>
      <c r="Y412" s="53"/>
      <c r="Z412" s="53"/>
      <c r="AA412" s="53"/>
      <c r="AB412" s="53"/>
      <c r="AC412" s="53"/>
      <c r="AD412" s="53"/>
      <c r="AE412" s="53"/>
      <c r="AF412" s="32" t="str">
        <f t="shared" si="18"/>
        <v/>
      </c>
      <c r="AG412" s="32"/>
      <c r="AH412" s="32"/>
      <c r="AI412" s="32"/>
      <c r="AJ412" s="32"/>
      <c r="AK412" s="32"/>
      <c r="AL412" s="32"/>
      <c r="AM412" s="32"/>
      <c r="AN412" s="32"/>
    </row>
    <row r="413" spans="1:40">
      <c r="A413" s="32" t="str">
        <f>_xlfn.TEXTJOIN("",TRUE,_xlfn.XLOOKUP(B413,Input!J:J,Input!G:G,"",0,1),_xlfn.XLOOKUP(B413,Input!J:J,Input!H:H,"",0,1))</f>
        <v/>
      </c>
      <c r="B413" s="32"/>
      <c r="C413" s="53">
        <f>_xlfn.XLOOKUP(B413,Input!J:J,Input!F:F)</f>
        <v>0</v>
      </c>
      <c r="D413" s="32">
        <f>_xlfn.XLOOKUP(C413,Models!H:H,Models!G:G,C413)</f>
        <v>0</v>
      </c>
      <c r="E413" s="32"/>
      <c r="F413" s="32" t="str">
        <f>_xlfn.XLOOKUP(H413,Models!B:B,Models!F:F,"")</f>
        <v/>
      </c>
      <c r="G413" s="32">
        <f>_xlfn.XLOOKUP(B413,Input!J:J,Input!E:E)</f>
        <v>0</v>
      </c>
      <c r="H413" s="32">
        <f>IF(G413="LENOVO",_xlfn.XLOOKUP(B413,Input!J:J,Input!K:K),_xlfn.XLOOKUP(B413,Input!J:J,Input!L:L))</f>
        <v>0</v>
      </c>
      <c r="I413" s="32"/>
      <c r="J413" s="32"/>
      <c r="K413" s="32"/>
      <c r="L413" s="53"/>
      <c r="M413" s="53"/>
      <c r="N413" s="53"/>
      <c r="O413" s="53" t="str" cm="1">
        <f t="array" ref="O413">IFERROR(_xlfn.FILTERXML("&lt;t&gt;&lt;s&gt;" &amp; SUBSTITUTE(M413," / ","&lt;/s&gt;&lt;s&gt;") &amp; "&lt;/s&gt;&lt;/t&gt;","(//s[contains(.,'DDR')])[1]"),"")</f>
        <v/>
      </c>
      <c r="P413" s="32" t="str">
        <f t="shared" si="19"/>
        <v>GB</v>
      </c>
      <c r="Q413" s="32"/>
      <c r="R413" s="32"/>
      <c r="S413" s="53" t="e">
        <f>_xlfn.LET(_xlpm.Result,INDEX(Input!$D$2:$AC$500,
       MATCH(B413, Input!$J$2:$J$500, 0),
       MATCH("Capacity", Input!$D$1:$AC$1, 0)),IF(_xlpm.Result="","",_xlpm.Result))</f>
        <v>#N/A</v>
      </c>
      <c r="T413" s="53" t="e" cm="1">
        <f t="array" ref="T413">_xlfn.TEXTSPLIT(S413," / ", ,TRUE,0,)</f>
        <v>#N/A</v>
      </c>
      <c r="U413" s="53"/>
      <c r="V413" s="53" t="str" cm="1">
        <f t="array" ref="V413">IFERROR(_xlfn.IFS(
T413="","",
--T413&lt;55,"Battery Defect",
--T413&lt;=69,"Battery D",
--T413&lt;=80,"Battery C",
--T413&gt;80,""
),"")</f>
        <v/>
      </c>
      <c r="W413" s="53" t="str" cm="1">
        <f t="array" ref="W413">IFERROR(_xlfn.IFS(
U413="","",
--U413&lt;55,"Battery Defect",
--U413&lt;=69,"Battery D",
--U413&lt;=80,"Battery C",
--U413&gt;80,""
),"")</f>
        <v/>
      </c>
      <c r="X413" s="53"/>
      <c r="Y413" s="53"/>
      <c r="Z413" s="53"/>
      <c r="AA413" s="53"/>
      <c r="AB413" s="53"/>
      <c r="AC413" s="53"/>
      <c r="AD413" s="53"/>
      <c r="AE413" s="53"/>
      <c r="AF413" s="32" t="str">
        <f t="shared" si="18"/>
        <v/>
      </c>
      <c r="AG413" s="32"/>
      <c r="AH413" s="32"/>
      <c r="AI413" s="32"/>
      <c r="AJ413" s="32"/>
      <c r="AK413" s="32"/>
      <c r="AL413" s="32"/>
      <c r="AM413" s="32"/>
      <c r="AN413" s="32"/>
    </row>
    <row r="414" spans="1:40">
      <c r="A414" s="32" t="str">
        <f>_xlfn.TEXTJOIN("",TRUE,_xlfn.XLOOKUP(B414,Input!J:J,Input!G:G,"",0,1),_xlfn.XLOOKUP(B414,Input!J:J,Input!H:H,"",0,1))</f>
        <v/>
      </c>
      <c r="B414" s="32"/>
      <c r="C414" s="53">
        <f>_xlfn.XLOOKUP(B414,Input!J:J,Input!F:F)</f>
        <v>0</v>
      </c>
      <c r="D414" s="32">
        <f>_xlfn.XLOOKUP(C414,Models!H:H,Models!G:G,C414)</f>
        <v>0</v>
      </c>
      <c r="E414" s="32"/>
      <c r="F414" s="32" t="str">
        <f>_xlfn.XLOOKUP(H414,Models!B:B,Models!F:F,"")</f>
        <v/>
      </c>
      <c r="G414" s="32">
        <f>_xlfn.XLOOKUP(B414,Input!J:J,Input!E:E)</f>
        <v>0</v>
      </c>
      <c r="H414" s="32">
        <f>IF(G414="LENOVO",_xlfn.XLOOKUP(B414,Input!J:J,Input!K:K),_xlfn.XLOOKUP(B414,Input!J:J,Input!L:L))</f>
        <v>0</v>
      </c>
      <c r="I414" s="32"/>
      <c r="J414" s="32"/>
      <c r="K414" s="32"/>
      <c r="L414" s="53"/>
      <c r="M414" s="53"/>
      <c r="N414" s="53"/>
      <c r="O414" s="53" t="str" cm="1">
        <f t="array" ref="O414">IFERROR(_xlfn.FILTERXML("&lt;t&gt;&lt;s&gt;" &amp; SUBSTITUTE(M414," / ","&lt;/s&gt;&lt;s&gt;") &amp; "&lt;/s&gt;&lt;/t&gt;","(//s[contains(.,'DDR')])[1]"),"")</f>
        <v/>
      </c>
      <c r="P414" s="32" t="str">
        <f t="shared" si="19"/>
        <v>GB</v>
      </c>
      <c r="Q414" s="32"/>
      <c r="R414" s="32"/>
      <c r="S414" s="53" t="e">
        <f>_xlfn.LET(_xlpm.Result,INDEX(Input!$D$2:$AC$500,
       MATCH(B414, Input!$J$2:$J$500, 0),
       MATCH("Capacity", Input!$D$1:$AC$1, 0)),IF(_xlpm.Result="","",_xlpm.Result))</f>
        <v>#N/A</v>
      </c>
      <c r="T414" s="53" t="e" cm="1">
        <f t="array" ref="T414">_xlfn.TEXTSPLIT(S414," / ", ,TRUE,0,)</f>
        <v>#N/A</v>
      </c>
      <c r="U414" s="53"/>
      <c r="V414" s="53" t="str" cm="1">
        <f t="array" ref="V414">IFERROR(_xlfn.IFS(
T414="","",
--T414&lt;55,"Battery Defect",
--T414&lt;=69,"Battery D",
--T414&lt;=80,"Battery C",
--T414&gt;80,""
),"")</f>
        <v/>
      </c>
      <c r="W414" s="53" t="str" cm="1">
        <f t="array" ref="W414">IFERROR(_xlfn.IFS(
U414="","",
--U414&lt;55,"Battery Defect",
--U414&lt;=69,"Battery D",
--U414&lt;=80,"Battery C",
--U414&gt;80,""
),"")</f>
        <v/>
      </c>
      <c r="X414" s="53"/>
      <c r="Y414" s="53"/>
      <c r="Z414" s="53"/>
      <c r="AA414" s="53"/>
      <c r="AB414" s="53"/>
      <c r="AC414" s="53"/>
      <c r="AD414" s="53"/>
      <c r="AE414" s="53"/>
      <c r="AF414" s="32" t="str">
        <f t="shared" si="18"/>
        <v/>
      </c>
      <c r="AG414" s="32"/>
      <c r="AH414" s="32"/>
      <c r="AI414" s="32"/>
      <c r="AJ414" s="32"/>
      <c r="AK414" s="32"/>
      <c r="AL414" s="32"/>
      <c r="AM414" s="32"/>
      <c r="AN414" s="32"/>
    </row>
    <row r="415" spans="1:40">
      <c r="A415" s="32" t="str">
        <f>_xlfn.TEXTJOIN("",TRUE,_xlfn.XLOOKUP(B415,Input!J:J,Input!G:G,"",0,1),_xlfn.XLOOKUP(B415,Input!J:J,Input!H:H,"",0,1))</f>
        <v/>
      </c>
      <c r="B415" s="32"/>
      <c r="C415" s="53">
        <f>_xlfn.XLOOKUP(B415,Input!J:J,Input!F:F)</f>
        <v>0</v>
      </c>
      <c r="D415" s="32">
        <f>_xlfn.XLOOKUP(C415,Models!H:H,Models!G:G,C415)</f>
        <v>0</v>
      </c>
      <c r="E415" s="32"/>
      <c r="F415" s="32" t="str">
        <f>_xlfn.XLOOKUP(H415,Models!B:B,Models!F:F,"")</f>
        <v/>
      </c>
      <c r="G415" s="32">
        <f>_xlfn.XLOOKUP(B415,Input!J:J,Input!E:E)</f>
        <v>0</v>
      </c>
      <c r="H415" s="32">
        <f>IF(G415="LENOVO",_xlfn.XLOOKUP(B415,Input!J:J,Input!K:K),_xlfn.XLOOKUP(B415,Input!J:J,Input!L:L))</f>
        <v>0</v>
      </c>
      <c r="I415" s="32"/>
      <c r="J415" s="32"/>
      <c r="K415" s="32"/>
      <c r="L415" s="53"/>
      <c r="M415" s="53"/>
      <c r="N415" s="53"/>
      <c r="O415" s="53" t="str" cm="1">
        <f t="array" ref="O415">IFERROR(_xlfn.FILTERXML("&lt;t&gt;&lt;s&gt;" &amp; SUBSTITUTE(M415," / ","&lt;/s&gt;&lt;s&gt;") &amp; "&lt;/s&gt;&lt;/t&gt;","(//s[contains(.,'DDR')])[1]"),"")</f>
        <v/>
      </c>
      <c r="P415" s="32" t="str">
        <f t="shared" si="19"/>
        <v>GB</v>
      </c>
      <c r="Q415" s="32"/>
      <c r="R415" s="32"/>
      <c r="S415" s="53" t="e">
        <f>_xlfn.LET(_xlpm.Result,INDEX(Input!$D$2:$AC$500,
       MATCH(B415, Input!$J$2:$J$500, 0),
       MATCH("Capacity", Input!$D$1:$AC$1, 0)),IF(_xlpm.Result="","",_xlpm.Result))</f>
        <v>#N/A</v>
      </c>
      <c r="T415" s="53" t="e" cm="1">
        <f t="array" ref="T415">_xlfn.TEXTSPLIT(S415," / ", ,TRUE,0,)</f>
        <v>#N/A</v>
      </c>
      <c r="U415" s="53"/>
      <c r="V415" s="53" t="str" cm="1">
        <f t="array" ref="V415">IFERROR(_xlfn.IFS(
T415="","",
--T415&lt;55,"Battery Defect",
--T415&lt;=69,"Battery D",
--T415&lt;=80,"Battery C",
--T415&gt;80,""
),"")</f>
        <v/>
      </c>
      <c r="W415" s="53" t="str" cm="1">
        <f t="array" ref="W415">IFERROR(_xlfn.IFS(
U415="","",
--U415&lt;55,"Battery Defect",
--U415&lt;=69,"Battery D",
--U415&lt;=80,"Battery C",
--U415&gt;80,""
),"")</f>
        <v/>
      </c>
      <c r="X415" s="53"/>
      <c r="Y415" s="53"/>
      <c r="Z415" s="53"/>
      <c r="AA415" s="53"/>
      <c r="AB415" s="53"/>
      <c r="AC415" s="53"/>
      <c r="AD415" s="53"/>
      <c r="AE415" s="53"/>
      <c r="AF415" s="32" t="str">
        <f t="shared" si="18"/>
        <v/>
      </c>
      <c r="AG415" s="32"/>
      <c r="AH415" s="32"/>
      <c r="AI415" s="32"/>
      <c r="AJ415" s="32"/>
      <c r="AK415" s="32"/>
      <c r="AL415" s="32"/>
      <c r="AM415" s="32"/>
      <c r="AN415" s="32"/>
    </row>
    <row r="416" spans="1:40">
      <c r="A416" s="32" t="str">
        <f>_xlfn.TEXTJOIN("",TRUE,_xlfn.XLOOKUP(B416,Input!J:J,Input!G:G,"",0,1),_xlfn.XLOOKUP(B416,Input!J:J,Input!H:H,"",0,1))</f>
        <v/>
      </c>
      <c r="B416" s="32"/>
      <c r="C416" s="53">
        <f>_xlfn.XLOOKUP(B416,Input!J:J,Input!F:F)</f>
        <v>0</v>
      </c>
      <c r="D416" s="32">
        <f>_xlfn.XLOOKUP(C416,Models!H:H,Models!G:G,C416)</f>
        <v>0</v>
      </c>
      <c r="E416" s="32"/>
      <c r="F416" s="32" t="str">
        <f>_xlfn.XLOOKUP(H416,Models!B:B,Models!F:F,"")</f>
        <v/>
      </c>
      <c r="G416" s="32">
        <f>_xlfn.XLOOKUP(B416,Input!J:J,Input!E:E)</f>
        <v>0</v>
      </c>
      <c r="H416" s="32">
        <f>IF(G416="LENOVO",_xlfn.XLOOKUP(B416,Input!J:J,Input!K:K),_xlfn.XLOOKUP(B416,Input!J:J,Input!L:L))</f>
        <v>0</v>
      </c>
      <c r="I416" s="32"/>
      <c r="J416" s="32"/>
      <c r="K416" s="32"/>
      <c r="L416" s="53"/>
      <c r="M416" s="53"/>
      <c r="N416" s="53"/>
      <c r="O416" s="53" t="str" cm="1">
        <f t="array" ref="O416">IFERROR(_xlfn.FILTERXML("&lt;t&gt;&lt;s&gt;" &amp; SUBSTITUTE(M416," / ","&lt;/s&gt;&lt;s&gt;") &amp; "&lt;/s&gt;&lt;/t&gt;","(//s[contains(.,'DDR')])[1]"),"")</f>
        <v/>
      </c>
      <c r="P416" s="32" t="str">
        <f t="shared" si="19"/>
        <v>GB</v>
      </c>
      <c r="Q416" s="32"/>
      <c r="R416" s="32"/>
      <c r="S416" s="53" t="e">
        <f>_xlfn.LET(_xlpm.Result,INDEX(Input!$D$2:$AC$500,
       MATCH(B416, Input!$J$2:$J$500, 0),
       MATCH("Capacity", Input!$D$1:$AC$1, 0)),IF(_xlpm.Result="","",_xlpm.Result))</f>
        <v>#N/A</v>
      </c>
      <c r="T416" s="53" t="e" cm="1">
        <f t="array" ref="T416">_xlfn.TEXTSPLIT(S416," / ", ,TRUE,0,)</f>
        <v>#N/A</v>
      </c>
      <c r="U416" s="53"/>
      <c r="V416" s="53" t="str" cm="1">
        <f t="array" ref="V416">IFERROR(_xlfn.IFS(
T416="","",
--T416&lt;55,"Battery Defect",
--T416&lt;=69,"Battery D",
--T416&lt;=80,"Battery C",
--T416&gt;80,""
),"")</f>
        <v/>
      </c>
      <c r="W416" s="53" t="str" cm="1">
        <f t="array" ref="W416">IFERROR(_xlfn.IFS(
U416="","",
--U416&lt;55,"Battery Defect",
--U416&lt;=69,"Battery D",
--U416&lt;=80,"Battery C",
--U416&gt;80,""
),"")</f>
        <v/>
      </c>
      <c r="X416" s="53"/>
      <c r="Y416" s="53"/>
      <c r="Z416" s="53"/>
      <c r="AA416" s="53"/>
      <c r="AB416" s="53"/>
      <c r="AC416" s="53"/>
      <c r="AD416" s="53"/>
      <c r="AE416" s="53"/>
      <c r="AF416" s="32" t="str">
        <f t="shared" si="18"/>
        <v/>
      </c>
      <c r="AG416" s="32"/>
      <c r="AH416" s="32"/>
      <c r="AI416" s="32"/>
      <c r="AJ416" s="32"/>
      <c r="AK416" s="32"/>
      <c r="AL416" s="32"/>
      <c r="AM416" s="32"/>
      <c r="AN416" s="32"/>
    </row>
    <row r="417" spans="1:40">
      <c r="A417" s="32" t="str">
        <f>_xlfn.TEXTJOIN("",TRUE,_xlfn.XLOOKUP(B417,Input!J:J,Input!G:G,"",0,1),_xlfn.XLOOKUP(B417,Input!J:J,Input!H:H,"",0,1))</f>
        <v/>
      </c>
      <c r="B417" s="32"/>
      <c r="C417" s="53">
        <f>_xlfn.XLOOKUP(B417,Input!J:J,Input!F:F)</f>
        <v>0</v>
      </c>
      <c r="D417" s="32">
        <f>_xlfn.XLOOKUP(C417,Models!H:H,Models!G:G,C417)</f>
        <v>0</v>
      </c>
      <c r="E417" s="32"/>
      <c r="F417" s="32" t="str">
        <f>_xlfn.XLOOKUP(H417,Models!B:B,Models!F:F,"")</f>
        <v/>
      </c>
      <c r="G417" s="32">
        <f>_xlfn.XLOOKUP(B417,Input!J:J,Input!E:E)</f>
        <v>0</v>
      </c>
      <c r="H417" s="32">
        <f>IF(G417="LENOVO",_xlfn.XLOOKUP(B417,Input!J:J,Input!K:K),_xlfn.XLOOKUP(B417,Input!J:J,Input!L:L))</f>
        <v>0</v>
      </c>
      <c r="I417" s="32"/>
      <c r="J417" s="32"/>
      <c r="K417" s="32"/>
      <c r="L417" s="53"/>
      <c r="M417" s="53"/>
      <c r="N417" s="53"/>
      <c r="O417" s="53" t="str" cm="1">
        <f t="array" ref="O417">IFERROR(_xlfn.FILTERXML("&lt;t&gt;&lt;s&gt;" &amp; SUBSTITUTE(M417," / ","&lt;/s&gt;&lt;s&gt;") &amp; "&lt;/s&gt;&lt;/t&gt;","(//s[contains(.,'DDR')])[1]"),"")</f>
        <v/>
      </c>
      <c r="P417" s="32" t="str">
        <f t="shared" si="19"/>
        <v>GB</v>
      </c>
      <c r="Q417" s="32"/>
      <c r="R417" s="32"/>
      <c r="S417" s="53" t="e">
        <f>_xlfn.LET(_xlpm.Result,INDEX(Input!$D$2:$AC$500,
       MATCH(B417, Input!$J$2:$J$500, 0),
       MATCH("Capacity", Input!$D$1:$AC$1, 0)),IF(_xlpm.Result="","",_xlpm.Result))</f>
        <v>#N/A</v>
      </c>
      <c r="T417" s="53" t="e" cm="1">
        <f t="array" ref="T417">_xlfn.TEXTSPLIT(S417," / ", ,TRUE,0,)</f>
        <v>#N/A</v>
      </c>
      <c r="U417" s="53"/>
      <c r="V417" s="53" t="str" cm="1">
        <f t="array" ref="V417">IFERROR(_xlfn.IFS(
T417="","",
--T417&lt;55,"Battery Defect",
--T417&lt;=69,"Battery D",
--T417&lt;=80,"Battery C",
--T417&gt;80,""
),"")</f>
        <v/>
      </c>
      <c r="W417" s="53" t="str" cm="1">
        <f t="array" ref="W417">IFERROR(_xlfn.IFS(
U417="","",
--U417&lt;55,"Battery Defect",
--U417&lt;=69,"Battery D",
--U417&lt;=80,"Battery C",
--U417&gt;80,""
),"")</f>
        <v/>
      </c>
      <c r="X417" s="53"/>
      <c r="Y417" s="53"/>
      <c r="Z417" s="53"/>
      <c r="AA417" s="53"/>
      <c r="AB417" s="53"/>
      <c r="AC417" s="53"/>
      <c r="AD417" s="53"/>
      <c r="AE417" s="53"/>
      <c r="AF417" s="32" t="str">
        <f t="shared" si="18"/>
        <v/>
      </c>
      <c r="AG417" s="32"/>
      <c r="AH417" s="32"/>
      <c r="AI417" s="32"/>
      <c r="AJ417" s="32"/>
      <c r="AK417" s="32"/>
      <c r="AL417" s="32"/>
      <c r="AM417" s="32"/>
      <c r="AN417" s="32"/>
    </row>
    <row r="418" spans="1:40">
      <c r="A418" s="32" t="str">
        <f>_xlfn.TEXTJOIN("",TRUE,_xlfn.XLOOKUP(B418,Input!J:J,Input!G:G,"",0,1),_xlfn.XLOOKUP(B418,Input!J:J,Input!H:H,"",0,1))</f>
        <v/>
      </c>
      <c r="B418" s="32"/>
      <c r="C418" s="53">
        <f>_xlfn.XLOOKUP(B418,Input!J:J,Input!F:F)</f>
        <v>0</v>
      </c>
      <c r="D418" s="32">
        <f>_xlfn.XLOOKUP(C418,Models!H:H,Models!G:G,C418)</f>
        <v>0</v>
      </c>
      <c r="E418" s="32"/>
      <c r="F418" s="32" t="str">
        <f>_xlfn.XLOOKUP(H418,Models!B:B,Models!F:F,"")</f>
        <v/>
      </c>
      <c r="G418" s="32">
        <f>_xlfn.XLOOKUP(B418,Input!J:J,Input!E:E)</f>
        <v>0</v>
      </c>
      <c r="H418" s="32">
        <f>IF(G418="LENOVO",_xlfn.XLOOKUP(B418,Input!J:J,Input!K:K),_xlfn.XLOOKUP(B418,Input!J:J,Input!L:L))</f>
        <v>0</v>
      </c>
      <c r="I418" s="32"/>
      <c r="J418" s="32"/>
      <c r="K418" s="32"/>
      <c r="L418" s="53"/>
      <c r="M418" s="53"/>
      <c r="N418" s="53"/>
      <c r="O418" s="53" t="str" cm="1">
        <f t="array" ref="O418">IFERROR(_xlfn.FILTERXML("&lt;t&gt;&lt;s&gt;" &amp; SUBSTITUTE(M418," / ","&lt;/s&gt;&lt;s&gt;") &amp; "&lt;/s&gt;&lt;/t&gt;","(//s[contains(.,'DDR')])[1]"),"")</f>
        <v/>
      </c>
      <c r="P418" s="32" t="str">
        <f t="shared" si="19"/>
        <v>GB</v>
      </c>
      <c r="Q418" s="32"/>
      <c r="R418" s="32"/>
      <c r="S418" s="53" t="e">
        <f>_xlfn.LET(_xlpm.Result,INDEX(Input!$D$2:$AC$500,
       MATCH(B418, Input!$J$2:$J$500, 0),
       MATCH("Capacity", Input!$D$1:$AC$1, 0)),IF(_xlpm.Result="","",_xlpm.Result))</f>
        <v>#N/A</v>
      </c>
      <c r="T418" s="53" t="e" cm="1">
        <f t="array" ref="T418">_xlfn.TEXTSPLIT(S418," / ", ,TRUE,0,)</f>
        <v>#N/A</v>
      </c>
      <c r="U418" s="53"/>
      <c r="V418" s="53" t="str" cm="1">
        <f t="array" ref="V418">IFERROR(_xlfn.IFS(
T418="","",
--T418&lt;55,"Battery Defect",
--T418&lt;=69,"Battery D",
--T418&lt;=80,"Battery C",
--T418&gt;80,""
),"")</f>
        <v/>
      </c>
      <c r="W418" s="53" t="str" cm="1">
        <f t="array" ref="W418">IFERROR(_xlfn.IFS(
U418="","",
--U418&lt;55,"Battery Defect",
--U418&lt;=69,"Battery D",
--U418&lt;=80,"Battery C",
--U418&gt;80,""
),"")</f>
        <v/>
      </c>
      <c r="X418" s="53"/>
      <c r="Y418" s="53"/>
      <c r="Z418" s="53"/>
      <c r="AA418" s="53"/>
      <c r="AB418" s="53"/>
      <c r="AC418" s="53"/>
      <c r="AD418" s="53"/>
      <c r="AE418" s="53"/>
      <c r="AF418" s="32" t="str">
        <f t="shared" si="18"/>
        <v/>
      </c>
      <c r="AG418" s="32"/>
      <c r="AH418" s="32"/>
      <c r="AI418" s="32"/>
      <c r="AJ418" s="32"/>
      <c r="AK418" s="32"/>
      <c r="AL418" s="32"/>
      <c r="AM418" s="32"/>
      <c r="AN418" s="32"/>
    </row>
    <row r="419" spans="1:40">
      <c r="A419" s="32" t="str">
        <f>_xlfn.TEXTJOIN("",TRUE,_xlfn.XLOOKUP(B419,Input!J:J,Input!G:G,"",0,1),_xlfn.XLOOKUP(B419,Input!J:J,Input!H:H,"",0,1))</f>
        <v/>
      </c>
      <c r="B419" s="32"/>
      <c r="C419" s="53">
        <f>_xlfn.XLOOKUP(B419,Input!J:J,Input!F:F)</f>
        <v>0</v>
      </c>
      <c r="D419" s="32">
        <f>_xlfn.XLOOKUP(C419,Models!H:H,Models!G:G,C419)</f>
        <v>0</v>
      </c>
      <c r="E419" s="32"/>
      <c r="F419" s="32" t="str">
        <f>_xlfn.XLOOKUP(H419,Models!B:B,Models!F:F,"")</f>
        <v/>
      </c>
      <c r="G419" s="32">
        <f>_xlfn.XLOOKUP(B419,Input!J:J,Input!E:E)</f>
        <v>0</v>
      </c>
      <c r="H419" s="32">
        <f>IF(G419="LENOVO",_xlfn.XLOOKUP(B419,Input!J:J,Input!K:K),_xlfn.XLOOKUP(B419,Input!J:J,Input!L:L))</f>
        <v>0</v>
      </c>
      <c r="I419" s="32"/>
      <c r="J419" s="32"/>
      <c r="K419" s="32"/>
      <c r="L419" s="53"/>
      <c r="M419" s="53"/>
      <c r="N419" s="53"/>
      <c r="O419" s="53" t="str" cm="1">
        <f t="array" ref="O419">IFERROR(_xlfn.FILTERXML("&lt;t&gt;&lt;s&gt;" &amp; SUBSTITUTE(M419," / ","&lt;/s&gt;&lt;s&gt;") &amp; "&lt;/s&gt;&lt;/t&gt;","(//s[contains(.,'DDR')])[1]"),"")</f>
        <v/>
      </c>
      <c r="P419" s="32" t="str">
        <f t="shared" si="19"/>
        <v>GB</v>
      </c>
      <c r="Q419" s="32"/>
      <c r="R419" s="32"/>
      <c r="S419" s="53" t="e">
        <f>_xlfn.LET(_xlpm.Result,INDEX(Input!$D$2:$AC$500,
       MATCH(B419, Input!$J$2:$J$500, 0),
       MATCH("Capacity", Input!$D$1:$AC$1, 0)),IF(_xlpm.Result="","",_xlpm.Result))</f>
        <v>#N/A</v>
      </c>
      <c r="T419" s="53" t="e" cm="1">
        <f t="array" ref="T419">_xlfn.TEXTSPLIT(S419," / ", ,TRUE,0,)</f>
        <v>#N/A</v>
      </c>
      <c r="U419" s="53"/>
      <c r="V419" s="53" t="str" cm="1">
        <f t="array" ref="V419">IFERROR(_xlfn.IFS(
T419="","",
--T419&lt;55,"Battery Defect",
--T419&lt;=69,"Battery D",
--T419&lt;=80,"Battery C",
--T419&gt;80,""
),"")</f>
        <v/>
      </c>
      <c r="W419" s="53" t="str" cm="1">
        <f t="array" ref="W419">IFERROR(_xlfn.IFS(
U419="","",
--U419&lt;55,"Battery Defect",
--U419&lt;=69,"Battery D",
--U419&lt;=80,"Battery C",
--U419&gt;80,""
),"")</f>
        <v/>
      </c>
      <c r="X419" s="53"/>
      <c r="Y419" s="53"/>
      <c r="Z419" s="53"/>
      <c r="AA419" s="53"/>
      <c r="AB419" s="53"/>
      <c r="AC419" s="53"/>
      <c r="AD419" s="53"/>
      <c r="AE419" s="53"/>
      <c r="AF419" s="32" t="str">
        <f t="shared" si="18"/>
        <v/>
      </c>
      <c r="AG419" s="32"/>
      <c r="AH419" s="32"/>
      <c r="AI419" s="32"/>
      <c r="AJ419" s="32"/>
      <c r="AK419" s="32"/>
      <c r="AL419" s="32"/>
      <c r="AM419" s="32"/>
      <c r="AN419" s="32"/>
    </row>
    <row r="420" spans="1:40">
      <c r="A420" s="32" t="str">
        <f>_xlfn.TEXTJOIN("",TRUE,_xlfn.XLOOKUP(B420,Input!J:J,Input!G:G,"",0,1),_xlfn.XLOOKUP(B420,Input!J:J,Input!H:H,"",0,1))</f>
        <v/>
      </c>
      <c r="B420" s="32"/>
      <c r="C420" s="53">
        <f>_xlfn.XLOOKUP(B420,Input!J:J,Input!F:F)</f>
        <v>0</v>
      </c>
      <c r="D420" s="32">
        <f>_xlfn.XLOOKUP(C420,Models!H:H,Models!G:G,C420)</f>
        <v>0</v>
      </c>
      <c r="E420" s="32"/>
      <c r="F420" s="32" t="str">
        <f>_xlfn.XLOOKUP(H420,Models!B:B,Models!F:F,"")</f>
        <v/>
      </c>
      <c r="G420" s="32">
        <f>_xlfn.XLOOKUP(B420,Input!J:J,Input!E:E)</f>
        <v>0</v>
      </c>
      <c r="H420" s="32">
        <f>IF(G420="LENOVO",_xlfn.XLOOKUP(B420,Input!J:J,Input!K:K),_xlfn.XLOOKUP(B420,Input!J:J,Input!L:L))</f>
        <v>0</v>
      </c>
      <c r="I420" s="32"/>
      <c r="J420" s="32"/>
      <c r="K420" s="32"/>
      <c r="L420" s="53"/>
      <c r="M420" s="53"/>
      <c r="N420" s="53"/>
      <c r="O420" s="53" t="str" cm="1">
        <f t="array" ref="O420">IFERROR(_xlfn.FILTERXML("&lt;t&gt;&lt;s&gt;" &amp; SUBSTITUTE(M420," / ","&lt;/s&gt;&lt;s&gt;") &amp; "&lt;/s&gt;&lt;/t&gt;","(//s[contains(.,'DDR')])[1]"),"")</f>
        <v/>
      </c>
      <c r="P420" s="32" t="str">
        <f t="shared" si="19"/>
        <v>GB</v>
      </c>
      <c r="Q420" s="32"/>
      <c r="R420" s="32"/>
      <c r="S420" s="53" t="e">
        <f>_xlfn.LET(_xlpm.Result,INDEX(Input!$D$2:$AC$500,
       MATCH(B420, Input!$J$2:$J$500, 0),
       MATCH("Capacity", Input!$D$1:$AC$1, 0)),IF(_xlpm.Result="","",_xlpm.Result))</f>
        <v>#N/A</v>
      </c>
      <c r="T420" s="53" t="e" cm="1">
        <f t="array" ref="T420">_xlfn.TEXTSPLIT(S420," / ", ,TRUE,0,)</f>
        <v>#N/A</v>
      </c>
      <c r="U420" s="53"/>
      <c r="V420" s="53" t="str" cm="1">
        <f t="array" ref="V420">IFERROR(_xlfn.IFS(
T420="","",
--T420&lt;55,"Battery Defect",
--T420&lt;=69,"Battery D",
--T420&lt;=80,"Battery C",
--T420&gt;80,""
),"")</f>
        <v/>
      </c>
      <c r="W420" s="53" t="str" cm="1">
        <f t="array" ref="W420">IFERROR(_xlfn.IFS(
U420="","",
--U420&lt;55,"Battery Defect",
--U420&lt;=69,"Battery D",
--U420&lt;=80,"Battery C",
--U420&gt;80,""
),"")</f>
        <v/>
      </c>
      <c r="X420" s="53"/>
      <c r="Y420" s="53"/>
      <c r="Z420" s="53"/>
      <c r="AA420" s="53"/>
      <c r="AB420" s="53"/>
      <c r="AC420" s="53"/>
      <c r="AD420" s="53"/>
      <c r="AE420" s="53"/>
      <c r="AF420" s="32" t="str">
        <f t="shared" si="18"/>
        <v/>
      </c>
      <c r="AG420" s="32"/>
      <c r="AH420" s="32"/>
      <c r="AI420" s="32"/>
      <c r="AJ420" s="32"/>
      <c r="AK420" s="32"/>
      <c r="AL420" s="32"/>
      <c r="AM420" s="32"/>
      <c r="AN420" s="32"/>
    </row>
    <row r="421" spans="1:40">
      <c r="A421" s="32" t="str">
        <f>_xlfn.TEXTJOIN("",TRUE,_xlfn.XLOOKUP(B421,Input!J:J,Input!G:G,"",0,1),_xlfn.XLOOKUP(B421,Input!J:J,Input!H:H,"",0,1))</f>
        <v/>
      </c>
      <c r="B421" s="32"/>
      <c r="C421" s="53">
        <f>_xlfn.XLOOKUP(B421,Input!J:J,Input!F:F)</f>
        <v>0</v>
      </c>
      <c r="D421" s="32">
        <f>_xlfn.XLOOKUP(C421,Models!H:H,Models!G:G,C421)</f>
        <v>0</v>
      </c>
      <c r="E421" s="32"/>
      <c r="F421" s="32" t="str">
        <f>_xlfn.XLOOKUP(H421,Models!B:B,Models!F:F,"")</f>
        <v/>
      </c>
      <c r="G421" s="32">
        <f>_xlfn.XLOOKUP(B421,Input!J:J,Input!E:E)</f>
        <v>0</v>
      </c>
      <c r="H421" s="32">
        <f>IF(G421="LENOVO",_xlfn.XLOOKUP(B421,Input!J:J,Input!K:K),_xlfn.XLOOKUP(B421,Input!J:J,Input!L:L))</f>
        <v>0</v>
      </c>
      <c r="I421" s="32"/>
      <c r="J421" s="32"/>
      <c r="K421" s="32"/>
      <c r="L421" s="53"/>
      <c r="M421" s="53"/>
      <c r="N421" s="53"/>
      <c r="O421" s="53" t="str" cm="1">
        <f t="array" ref="O421">IFERROR(_xlfn.FILTERXML("&lt;t&gt;&lt;s&gt;" &amp; SUBSTITUTE(M421," / ","&lt;/s&gt;&lt;s&gt;") &amp; "&lt;/s&gt;&lt;/t&gt;","(//s[contains(.,'DDR')])[1]"),"")</f>
        <v/>
      </c>
      <c r="P421" s="32" t="str">
        <f t="shared" si="19"/>
        <v>GB</v>
      </c>
      <c r="Q421" s="32"/>
      <c r="R421" s="32"/>
      <c r="S421" s="53" t="e">
        <f>_xlfn.LET(_xlpm.Result,INDEX(Input!$D$2:$AC$500,
       MATCH(B421, Input!$J$2:$J$500, 0),
       MATCH("Capacity", Input!$D$1:$AC$1, 0)),IF(_xlpm.Result="","",_xlpm.Result))</f>
        <v>#N/A</v>
      </c>
      <c r="T421" s="53" t="e" cm="1">
        <f t="array" ref="T421">_xlfn.TEXTSPLIT(S421," / ", ,TRUE,0,)</f>
        <v>#N/A</v>
      </c>
      <c r="U421" s="53"/>
      <c r="V421" s="53" t="str" cm="1">
        <f t="array" ref="V421">IFERROR(_xlfn.IFS(
T421="","",
--T421&lt;55,"Battery Defect",
--T421&lt;=69,"Battery D",
--T421&lt;=80,"Battery C",
--T421&gt;80,""
),"")</f>
        <v/>
      </c>
      <c r="W421" s="53" t="str" cm="1">
        <f t="array" ref="W421">IFERROR(_xlfn.IFS(
U421="","",
--U421&lt;55,"Battery Defect",
--U421&lt;=69,"Battery D",
--U421&lt;=80,"Battery C",
--U421&gt;80,""
),"")</f>
        <v/>
      </c>
      <c r="X421" s="53"/>
      <c r="Y421" s="53"/>
      <c r="Z421" s="53"/>
      <c r="AA421" s="53"/>
      <c r="AB421" s="53"/>
      <c r="AC421" s="53"/>
      <c r="AD421" s="53"/>
      <c r="AE421" s="53"/>
      <c r="AF421" s="32" t="str">
        <f t="shared" si="18"/>
        <v/>
      </c>
      <c r="AG421" s="32"/>
      <c r="AH421" s="32"/>
      <c r="AI421" s="32"/>
      <c r="AJ421" s="32"/>
      <c r="AK421" s="32"/>
      <c r="AL421" s="32"/>
      <c r="AM421" s="32"/>
      <c r="AN421" s="32"/>
    </row>
    <row r="422" spans="1:40">
      <c r="A422" s="32" t="str">
        <f>_xlfn.TEXTJOIN("",TRUE,_xlfn.XLOOKUP(B422,Input!J:J,Input!G:G,"",0,1),_xlfn.XLOOKUP(B422,Input!J:J,Input!H:H,"",0,1))</f>
        <v/>
      </c>
      <c r="B422" s="32"/>
      <c r="C422" s="53">
        <f>_xlfn.XLOOKUP(B422,Input!J:J,Input!F:F)</f>
        <v>0</v>
      </c>
      <c r="D422" s="32">
        <f>_xlfn.XLOOKUP(C422,Models!H:H,Models!G:G,C422)</f>
        <v>0</v>
      </c>
      <c r="E422" s="32"/>
      <c r="F422" s="32" t="str">
        <f>_xlfn.XLOOKUP(H422,Models!B:B,Models!F:F,"")</f>
        <v/>
      </c>
      <c r="G422" s="32">
        <f>_xlfn.XLOOKUP(B422,Input!J:J,Input!E:E)</f>
        <v>0</v>
      </c>
      <c r="H422" s="32">
        <f>IF(G422="LENOVO",_xlfn.XLOOKUP(B422,Input!J:J,Input!K:K),_xlfn.XLOOKUP(B422,Input!J:J,Input!L:L))</f>
        <v>0</v>
      </c>
      <c r="I422" s="32"/>
      <c r="J422" s="32"/>
      <c r="K422" s="32"/>
      <c r="L422" s="53"/>
      <c r="M422" s="53"/>
      <c r="N422" s="53"/>
      <c r="O422" s="53" t="str" cm="1">
        <f t="array" ref="O422">IFERROR(_xlfn.FILTERXML("&lt;t&gt;&lt;s&gt;" &amp; SUBSTITUTE(M422," / ","&lt;/s&gt;&lt;s&gt;") &amp; "&lt;/s&gt;&lt;/t&gt;","(//s[contains(.,'DDR')])[1]"),"")</f>
        <v/>
      </c>
      <c r="P422" s="32" t="str">
        <f t="shared" si="19"/>
        <v>GB</v>
      </c>
      <c r="Q422" s="32"/>
      <c r="R422" s="32"/>
      <c r="S422" s="53" t="e">
        <f>_xlfn.LET(_xlpm.Result,INDEX(Input!$D$2:$AC$500,
       MATCH(B422, Input!$J$2:$J$500, 0),
       MATCH("Capacity", Input!$D$1:$AC$1, 0)),IF(_xlpm.Result="","",_xlpm.Result))</f>
        <v>#N/A</v>
      </c>
      <c r="T422" s="53" t="e" cm="1">
        <f t="array" ref="T422">_xlfn.TEXTSPLIT(S422," / ", ,TRUE,0,)</f>
        <v>#N/A</v>
      </c>
      <c r="U422" s="53"/>
      <c r="V422" s="53" t="str" cm="1">
        <f t="array" ref="V422">IFERROR(_xlfn.IFS(
T422="","",
--T422&lt;55,"Battery Defect",
--T422&lt;=69,"Battery D",
--T422&lt;=80,"Battery C",
--T422&gt;80,""
),"")</f>
        <v/>
      </c>
      <c r="W422" s="53" t="str" cm="1">
        <f t="array" ref="W422">IFERROR(_xlfn.IFS(
U422="","",
--U422&lt;55,"Battery Defect",
--U422&lt;=69,"Battery D",
--U422&lt;=80,"Battery C",
--U422&gt;80,""
),"")</f>
        <v/>
      </c>
      <c r="X422" s="53"/>
      <c r="Y422" s="53"/>
      <c r="Z422" s="53"/>
      <c r="AA422" s="53"/>
      <c r="AB422" s="53"/>
      <c r="AC422" s="53"/>
      <c r="AD422" s="53"/>
      <c r="AE422" s="53"/>
      <c r="AF422" s="32" t="str">
        <f t="shared" si="18"/>
        <v/>
      </c>
      <c r="AG422" s="32"/>
      <c r="AH422" s="32"/>
      <c r="AI422" s="32"/>
      <c r="AJ422" s="32"/>
      <c r="AK422" s="32"/>
      <c r="AL422" s="32"/>
      <c r="AM422" s="32"/>
      <c r="AN422" s="32"/>
    </row>
    <row r="423" spans="1:40">
      <c r="A423" s="32" t="str">
        <f>_xlfn.TEXTJOIN("",TRUE,_xlfn.XLOOKUP(B423,Input!J:J,Input!G:G,"",0,1),_xlfn.XLOOKUP(B423,Input!J:J,Input!H:H,"",0,1))</f>
        <v/>
      </c>
      <c r="B423" s="32"/>
      <c r="C423" s="53">
        <f>_xlfn.XLOOKUP(B423,Input!J:J,Input!F:F)</f>
        <v>0</v>
      </c>
      <c r="D423" s="32">
        <f>_xlfn.XLOOKUP(C423,Models!H:H,Models!G:G,C423)</f>
        <v>0</v>
      </c>
      <c r="E423" s="32"/>
      <c r="F423" s="32" t="str">
        <f>_xlfn.XLOOKUP(H423,Models!B:B,Models!F:F,"")</f>
        <v/>
      </c>
      <c r="G423" s="32">
        <f>_xlfn.XLOOKUP(B423,Input!J:J,Input!E:E)</f>
        <v>0</v>
      </c>
      <c r="H423" s="32">
        <f>IF(G423="LENOVO",_xlfn.XLOOKUP(B423,Input!J:J,Input!K:K),_xlfn.XLOOKUP(B423,Input!J:J,Input!L:L))</f>
        <v>0</v>
      </c>
      <c r="I423" s="32"/>
      <c r="J423" s="32"/>
      <c r="K423" s="32"/>
      <c r="L423" s="53"/>
      <c r="M423" s="53"/>
      <c r="N423" s="53"/>
      <c r="O423" s="53" t="str" cm="1">
        <f t="array" ref="O423">IFERROR(_xlfn.FILTERXML("&lt;t&gt;&lt;s&gt;" &amp; SUBSTITUTE(M423," / ","&lt;/s&gt;&lt;s&gt;") &amp; "&lt;/s&gt;&lt;/t&gt;","(//s[contains(.,'DDR')])[1]"),"")</f>
        <v/>
      </c>
      <c r="P423" s="32" t="str">
        <f t="shared" si="19"/>
        <v>GB</v>
      </c>
      <c r="Q423" s="32"/>
      <c r="R423" s="32"/>
      <c r="S423" s="53" t="e">
        <f>_xlfn.LET(_xlpm.Result,INDEX(Input!$D$2:$AC$500,
       MATCH(B423, Input!$J$2:$J$500, 0),
       MATCH("Capacity", Input!$D$1:$AC$1, 0)),IF(_xlpm.Result="","",_xlpm.Result))</f>
        <v>#N/A</v>
      </c>
      <c r="T423" s="53" t="e" cm="1">
        <f t="array" ref="T423">_xlfn.TEXTSPLIT(S423," / ", ,TRUE,0,)</f>
        <v>#N/A</v>
      </c>
      <c r="U423" s="53"/>
      <c r="V423" s="53" t="str" cm="1">
        <f t="array" ref="V423">IFERROR(_xlfn.IFS(
T423="","",
--T423&lt;55,"Battery Defect",
--T423&lt;=69,"Battery D",
--T423&lt;=80,"Battery C",
--T423&gt;80,""
),"")</f>
        <v/>
      </c>
      <c r="W423" s="53" t="str" cm="1">
        <f t="array" ref="W423">IFERROR(_xlfn.IFS(
U423="","",
--U423&lt;55,"Battery Defect",
--U423&lt;=69,"Battery D",
--U423&lt;=80,"Battery C",
--U423&gt;80,""
),"")</f>
        <v/>
      </c>
      <c r="X423" s="53"/>
      <c r="Y423" s="53"/>
      <c r="Z423" s="53"/>
      <c r="AA423" s="53"/>
      <c r="AB423" s="53"/>
      <c r="AC423" s="53"/>
      <c r="AD423" s="53"/>
      <c r="AE423" s="53"/>
      <c r="AF423" s="32" t="str">
        <f t="shared" si="18"/>
        <v/>
      </c>
      <c r="AG423" s="32"/>
      <c r="AH423" s="32"/>
      <c r="AI423" s="32"/>
      <c r="AJ423" s="32"/>
      <c r="AK423" s="32"/>
      <c r="AL423" s="32"/>
      <c r="AM423" s="32"/>
      <c r="AN423" s="32"/>
    </row>
    <row r="424" spans="1:40">
      <c r="A424" s="32" t="str">
        <f>_xlfn.TEXTJOIN("",TRUE,_xlfn.XLOOKUP(B424,Input!J:J,Input!G:G,"",0,1),_xlfn.XLOOKUP(B424,Input!J:J,Input!H:H,"",0,1))</f>
        <v/>
      </c>
      <c r="B424" s="32"/>
      <c r="C424" s="53">
        <f>_xlfn.XLOOKUP(B424,Input!J:J,Input!F:F)</f>
        <v>0</v>
      </c>
      <c r="D424" s="32">
        <f>_xlfn.XLOOKUP(C424,Models!H:H,Models!G:G,C424)</f>
        <v>0</v>
      </c>
      <c r="E424" s="32"/>
      <c r="F424" s="32" t="str">
        <f>_xlfn.XLOOKUP(H424,Models!B:B,Models!F:F,"")</f>
        <v/>
      </c>
      <c r="G424" s="32">
        <f>_xlfn.XLOOKUP(B424,Input!J:J,Input!E:E)</f>
        <v>0</v>
      </c>
      <c r="H424" s="32">
        <f>IF(G424="LENOVO",_xlfn.XLOOKUP(B424,Input!J:J,Input!K:K),_xlfn.XLOOKUP(B424,Input!J:J,Input!L:L))</f>
        <v>0</v>
      </c>
      <c r="I424" s="32"/>
      <c r="J424" s="32"/>
      <c r="K424" s="32"/>
      <c r="L424" s="53"/>
      <c r="M424" s="53"/>
      <c r="N424" s="53"/>
      <c r="O424" s="53" t="str" cm="1">
        <f t="array" ref="O424">IFERROR(_xlfn.FILTERXML("&lt;t&gt;&lt;s&gt;" &amp; SUBSTITUTE(M424," / ","&lt;/s&gt;&lt;s&gt;") &amp; "&lt;/s&gt;&lt;/t&gt;","(//s[contains(.,'DDR')])[1]"),"")</f>
        <v/>
      </c>
      <c r="P424" s="32" t="str">
        <f t="shared" si="19"/>
        <v>GB</v>
      </c>
      <c r="Q424" s="32"/>
      <c r="R424" s="32"/>
      <c r="S424" s="53" t="e">
        <f>_xlfn.LET(_xlpm.Result,INDEX(Input!$D$2:$AC$500,
       MATCH(B424, Input!$J$2:$J$500, 0),
       MATCH("Capacity", Input!$D$1:$AC$1, 0)),IF(_xlpm.Result="","",_xlpm.Result))</f>
        <v>#N/A</v>
      </c>
      <c r="T424" s="53" t="e" cm="1">
        <f t="array" ref="T424">_xlfn.TEXTSPLIT(S424," / ", ,TRUE,0,)</f>
        <v>#N/A</v>
      </c>
      <c r="U424" s="53"/>
      <c r="V424" s="53" t="str" cm="1">
        <f t="array" ref="V424">IFERROR(_xlfn.IFS(
T424="","",
--T424&lt;55,"Battery Defect",
--T424&lt;=69,"Battery D",
--T424&lt;=80,"Battery C",
--T424&gt;80,""
),"")</f>
        <v/>
      </c>
      <c r="W424" s="53" t="str" cm="1">
        <f t="array" ref="W424">IFERROR(_xlfn.IFS(
U424="","",
--U424&lt;55,"Battery Defect",
--U424&lt;=69,"Battery D",
--U424&lt;=80,"Battery C",
--U424&gt;80,""
),"")</f>
        <v/>
      </c>
      <c r="X424" s="53"/>
      <c r="Y424" s="53"/>
      <c r="Z424" s="53"/>
      <c r="AA424" s="53"/>
      <c r="AB424" s="53"/>
      <c r="AC424" s="53"/>
      <c r="AD424" s="53"/>
      <c r="AE424" s="53"/>
      <c r="AF424" s="32" t="str">
        <f t="shared" si="18"/>
        <v/>
      </c>
      <c r="AG424" s="32"/>
      <c r="AH424" s="32"/>
      <c r="AI424" s="32"/>
      <c r="AJ424" s="32"/>
      <c r="AK424" s="32"/>
      <c r="AL424" s="32"/>
      <c r="AM424" s="32"/>
      <c r="AN424" s="32"/>
    </row>
    <row r="425" spans="1:40">
      <c r="A425" s="32" t="str">
        <f>_xlfn.TEXTJOIN("",TRUE,_xlfn.XLOOKUP(B425,Input!J:J,Input!G:G,"",0,1),_xlfn.XLOOKUP(B425,Input!J:J,Input!H:H,"",0,1))</f>
        <v/>
      </c>
      <c r="B425" s="32"/>
      <c r="C425" s="53">
        <f>_xlfn.XLOOKUP(B425,Input!J:J,Input!F:F)</f>
        <v>0</v>
      </c>
      <c r="D425" s="32">
        <f>_xlfn.XLOOKUP(C425,Models!H:H,Models!G:G,C425)</f>
        <v>0</v>
      </c>
      <c r="E425" s="32"/>
      <c r="F425" s="32" t="str">
        <f>_xlfn.XLOOKUP(H425,Models!B:B,Models!F:F,"")</f>
        <v/>
      </c>
      <c r="G425" s="32">
        <f>_xlfn.XLOOKUP(B425,Input!J:J,Input!E:E)</f>
        <v>0</v>
      </c>
      <c r="H425" s="32">
        <f>IF(G425="LENOVO",_xlfn.XLOOKUP(B425,Input!J:J,Input!K:K),_xlfn.XLOOKUP(B425,Input!J:J,Input!L:L))</f>
        <v>0</v>
      </c>
      <c r="I425" s="32"/>
      <c r="J425" s="32"/>
      <c r="K425" s="32"/>
      <c r="L425" s="53"/>
      <c r="M425" s="53"/>
      <c r="N425" s="53"/>
      <c r="O425" s="53" t="str" cm="1">
        <f t="array" ref="O425">IFERROR(_xlfn.FILTERXML("&lt;t&gt;&lt;s&gt;" &amp; SUBSTITUTE(M425," / ","&lt;/s&gt;&lt;s&gt;") &amp; "&lt;/s&gt;&lt;/t&gt;","(//s[contains(.,'DDR')])[1]"),"")</f>
        <v/>
      </c>
      <c r="P425" s="32" t="str">
        <f t="shared" si="19"/>
        <v>GB</v>
      </c>
      <c r="Q425" s="32"/>
      <c r="R425" s="32"/>
      <c r="S425" s="53" t="e">
        <f>_xlfn.LET(_xlpm.Result,INDEX(Input!$D$2:$AC$500,
       MATCH(B425, Input!$J$2:$J$500, 0),
       MATCH("Capacity", Input!$D$1:$AC$1, 0)),IF(_xlpm.Result="","",_xlpm.Result))</f>
        <v>#N/A</v>
      </c>
      <c r="T425" s="53" t="e" cm="1">
        <f t="array" ref="T425">_xlfn.TEXTSPLIT(S425," / ", ,TRUE,0,)</f>
        <v>#N/A</v>
      </c>
      <c r="U425" s="53"/>
      <c r="V425" s="53" t="str" cm="1">
        <f t="array" ref="V425">IFERROR(_xlfn.IFS(
T425="","",
--T425&lt;55,"Battery Defect",
--T425&lt;=69,"Battery D",
--T425&lt;=80,"Battery C",
--T425&gt;80,""
),"")</f>
        <v/>
      </c>
      <c r="W425" s="53" t="str" cm="1">
        <f t="array" ref="W425">IFERROR(_xlfn.IFS(
U425="","",
--U425&lt;55,"Battery Defect",
--U425&lt;=69,"Battery D",
--U425&lt;=80,"Battery C",
--U425&gt;80,""
),"")</f>
        <v/>
      </c>
      <c r="X425" s="53"/>
      <c r="Y425" s="53"/>
      <c r="Z425" s="53"/>
      <c r="AA425" s="53"/>
      <c r="AB425" s="53"/>
      <c r="AC425" s="53"/>
      <c r="AD425" s="53"/>
      <c r="AE425" s="53"/>
      <c r="AF425" s="32" t="str">
        <f t="shared" si="18"/>
        <v/>
      </c>
      <c r="AG425" s="32"/>
      <c r="AH425" s="32"/>
      <c r="AI425" s="32"/>
      <c r="AJ425" s="32"/>
      <c r="AK425" s="32"/>
      <c r="AL425" s="32"/>
      <c r="AM425" s="32"/>
      <c r="AN425" s="32"/>
    </row>
    <row r="426" spans="1:40">
      <c r="A426" s="32" t="str">
        <f>_xlfn.TEXTJOIN("",TRUE,_xlfn.XLOOKUP(B426,Input!J:J,Input!G:G,"",0,1),_xlfn.XLOOKUP(B426,Input!J:J,Input!H:H,"",0,1))</f>
        <v/>
      </c>
      <c r="B426" s="32"/>
      <c r="C426" s="53">
        <f>_xlfn.XLOOKUP(B426,Input!J:J,Input!F:F)</f>
        <v>0</v>
      </c>
      <c r="D426" s="32">
        <f>_xlfn.XLOOKUP(C426,Models!H:H,Models!G:G,C426)</f>
        <v>0</v>
      </c>
      <c r="E426" s="32"/>
      <c r="F426" s="32" t="str">
        <f>_xlfn.XLOOKUP(H426,Models!B:B,Models!F:F,"")</f>
        <v/>
      </c>
      <c r="G426" s="32">
        <f>_xlfn.XLOOKUP(B426,Input!J:J,Input!E:E)</f>
        <v>0</v>
      </c>
      <c r="H426" s="32">
        <f>IF(G426="LENOVO",_xlfn.XLOOKUP(B426,Input!J:J,Input!K:K),_xlfn.XLOOKUP(B426,Input!J:J,Input!L:L))</f>
        <v>0</v>
      </c>
      <c r="I426" s="32"/>
      <c r="J426" s="32"/>
      <c r="K426" s="32"/>
      <c r="L426" s="53"/>
      <c r="M426" s="53"/>
      <c r="N426" s="53"/>
      <c r="O426" s="53" t="str" cm="1">
        <f t="array" ref="O426">IFERROR(_xlfn.FILTERXML("&lt;t&gt;&lt;s&gt;" &amp; SUBSTITUTE(M426," / ","&lt;/s&gt;&lt;s&gt;") &amp; "&lt;/s&gt;&lt;/t&gt;","(//s[contains(.,'DDR')])[1]"),"")</f>
        <v/>
      </c>
      <c r="P426" s="32" t="str">
        <f t="shared" si="19"/>
        <v>GB</v>
      </c>
      <c r="Q426" s="32"/>
      <c r="R426" s="32"/>
      <c r="S426" s="53" t="e">
        <f>_xlfn.LET(_xlpm.Result,INDEX(Input!$D$2:$AC$500,
       MATCH(B426, Input!$J$2:$J$500, 0),
       MATCH("Capacity", Input!$D$1:$AC$1, 0)),IF(_xlpm.Result="","",_xlpm.Result))</f>
        <v>#N/A</v>
      </c>
      <c r="T426" s="53" t="e" cm="1">
        <f t="array" ref="T426">_xlfn.TEXTSPLIT(S426," / ", ,TRUE,0,)</f>
        <v>#N/A</v>
      </c>
      <c r="U426" s="53"/>
      <c r="V426" s="53" t="str" cm="1">
        <f t="array" ref="V426">IFERROR(_xlfn.IFS(
T426="","",
--T426&lt;55,"Battery Defect",
--T426&lt;=69,"Battery D",
--T426&lt;=80,"Battery C",
--T426&gt;80,""
),"")</f>
        <v/>
      </c>
      <c r="W426" s="53" t="str" cm="1">
        <f t="array" ref="W426">IFERROR(_xlfn.IFS(
U426="","",
--U426&lt;55,"Battery Defect",
--U426&lt;=69,"Battery D",
--U426&lt;=80,"Battery C",
--U426&gt;80,""
),"")</f>
        <v/>
      </c>
      <c r="X426" s="53"/>
      <c r="Y426" s="53"/>
      <c r="Z426" s="53"/>
      <c r="AA426" s="53"/>
      <c r="AB426" s="53"/>
      <c r="AC426" s="53"/>
      <c r="AD426" s="53"/>
      <c r="AE426" s="53"/>
      <c r="AF426" s="32" t="str">
        <f t="shared" si="18"/>
        <v/>
      </c>
      <c r="AG426" s="32"/>
      <c r="AH426" s="32"/>
      <c r="AI426" s="32"/>
      <c r="AJ426" s="32"/>
      <c r="AK426" s="32"/>
      <c r="AL426" s="32"/>
      <c r="AM426" s="32"/>
      <c r="AN426" s="32"/>
    </row>
    <row r="427" spans="1:40">
      <c r="A427" s="32" t="str">
        <f>_xlfn.TEXTJOIN("",TRUE,_xlfn.XLOOKUP(B427,Input!J:J,Input!G:G,"",0,1),_xlfn.XLOOKUP(B427,Input!J:J,Input!H:H,"",0,1))</f>
        <v/>
      </c>
      <c r="B427" s="32"/>
      <c r="C427" s="53">
        <f>_xlfn.XLOOKUP(B427,Input!J:J,Input!F:F)</f>
        <v>0</v>
      </c>
      <c r="D427" s="32">
        <f>_xlfn.XLOOKUP(C427,Models!H:H,Models!G:G,C427)</f>
        <v>0</v>
      </c>
      <c r="E427" s="32"/>
      <c r="F427" s="32" t="str">
        <f>_xlfn.XLOOKUP(H427,Models!B:B,Models!F:F,"")</f>
        <v/>
      </c>
      <c r="G427" s="32">
        <f>_xlfn.XLOOKUP(B427,Input!J:J,Input!E:E)</f>
        <v>0</v>
      </c>
      <c r="H427" s="32">
        <f>IF(G427="LENOVO",_xlfn.XLOOKUP(B427,Input!J:J,Input!K:K),_xlfn.XLOOKUP(B427,Input!J:J,Input!L:L))</f>
        <v>0</v>
      </c>
      <c r="I427" s="32"/>
      <c r="J427" s="32"/>
      <c r="K427" s="32"/>
      <c r="L427" s="53"/>
      <c r="M427" s="53"/>
      <c r="N427" s="53"/>
      <c r="O427" s="53" t="str" cm="1">
        <f t="array" ref="O427">IFERROR(_xlfn.FILTERXML("&lt;t&gt;&lt;s&gt;" &amp; SUBSTITUTE(M427," / ","&lt;/s&gt;&lt;s&gt;") &amp; "&lt;/s&gt;&lt;/t&gt;","(//s[contains(.,'DDR')])[1]"),"")</f>
        <v/>
      </c>
      <c r="P427" s="32" t="str">
        <f t="shared" si="19"/>
        <v>GB</v>
      </c>
      <c r="Q427" s="32"/>
      <c r="R427" s="32"/>
      <c r="S427" s="53" t="e">
        <f>_xlfn.LET(_xlpm.Result,INDEX(Input!$D$2:$AC$500,
       MATCH(B427, Input!$J$2:$J$500, 0),
       MATCH("Capacity", Input!$D$1:$AC$1, 0)),IF(_xlpm.Result="","",_xlpm.Result))</f>
        <v>#N/A</v>
      </c>
      <c r="T427" s="53" t="e" cm="1">
        <f t="array" ref="T427">_xlfn.TEXTSPLIT(S427," / ", ,TRUE,0,)</f>
        <v>#N/A</v>
      </c>
      <c r="U427" s="53"/>
      <c r="V427" s="53" t="str" cm="1">
        <f t="array" ref="V427">IFERROR(_xlfn.IFS(
T427="","",
--T427&lt;55,"Battery Defect",
--T427&lt;=69,"Battery D",
--T427&lt;=80,"Battery C",
--T427&gt;80,""
),"")</f>
        <v/>
      </c>
      <c r="W427" s="53" t="str" cm="1">
        <f t="array" ref="W427">IFERROR(_xlfn.IFS(
U427="","",
--U427&lt;55,"Battery Defect",
--U427&lt;=69,"Battery D",
--U427&lt;=80,"Battery C",
--U427&gt;80,""
),"")</f>
        <v/>
      </c>
      <c r="X427" s="53"/>
      <c r="Y427" s="53"/>
      <c r="Z427" s="53"/>
      <c r="AA427" s="53"/>
      <c r="AB427" s="53"/>
      <c r="AC427" s="53"/>
      <c r="AD427" s="53"/>
      <c r="AE427" s="53"/>
      <c r="AF427" s="32" t="str">
        <f t="shared" si="18"/>
        <v/>
      </c>
      <c r="AG427" s="32"/>
      <c r="AH427" s="32"/>
      <c r="AI427" s="32"/>
      <c r="AJ427" s="32"/>
      <c r="AK427" s="32"/>
      <c r="AL427" s="32"/>
      <c r="AM427" s="32"/>
      <c r="AN427" s="32"/>
    </row>
    <row r="428" spans="1:40">
      <c r="A428" s="32" t="str">
        <f>_xlfn.TEXTJOIN("",TRUE,_xlfn.XLOOKUP(B428,Input!J:J,Input!G:G,"",0,1),_xlfn.XLOOKUP(B428,Input!J:J,Input!H:H,"",0,1))</f>
        <v/>
      </c>
      <c r="B428" s="32"/>
      <c r="C428" s="53">
        <f>_xlfn.XLOOKUP(B428,Input!J:J,Input!F:F)</f>
        <v>0</v>
      </c>
      <c r="D428" s="32">
        <f>_xlfn.XLOOKUP(C428,Models!H:H,Models!G:G,C428)</f>
        <v>0</v>
      </c>
      <c r="E428" s="32"/>
      <c r="F428" s="32" t="str">
        <f>_xlfn.XLOOKUP(H428,Models!B:B,Models!F:F,"")</f>
        <v/>
      </c>
      <c r="G428" s="32">
        <f>_xlfn.XLOOKUP(B428,Input!J:J,Input!E:E)</f>
        <v>0</v>
      </c>
      <c r="H428" s="32">
        <f>IF(G428="LENOVO",_xlfn.XLOOKUP(B428,Input!J:J,Input!K:K),_xlfn.XLOOKUP(B428,Input!J:J,Input!L:L))</f>
        <v>0</v>
      </c>
      <c r="I428" s="32"/>
      <c r="J428" s="32"/>
      <c r="K428" s="32"/>
      <c r="L428" s="53"/>
      <c r="M428" s="53"/>
      <c r="N428" s="53"/>
      <c r="O428" s="53" t="str" cm="1">
        <f t="array" ref="O428">IFERROR(_xlfn.FILTERXML("&lt;t&gt;&lt;s&gt;" &amp; SUBSTITUTE(M428," / ","&lt;/s&gt;&lt;s&gt;") &amp; "&lt;/s&gt;&lt;/t&gt;","(//s[contains(.,'DDR')])[1]"),"")</f>
        <v/>
      </c>
      <c r="P428" s="32" t="str">
        <f t="shared" si="19"/>
        <v>GB</v>
      </c>
      <c r="Q428" s="32"/>
      <c r="R428" s="32"/>
      <c r="S428" s="53" t="e">
        <f>_xlfn.LET(_xlpm.Result,INDEX(Input!$D$2:$AC$500,
       MATCH(B428, Input!$J$2:$J$500, 0),
       MATCH("Capacity", Input!$D$1:$AC$1, 0)),IF(_xlpm.Result="","",_xlpm.Result))</f>
        <v>#N/A</v>
      </c>
      <c r="T428" s="53" t="e" cm="1">
        <f t="array" ref="T428">_xlfn.TEXTSPLIT(S428," / ", ,TRUE,0,)</f>
        <v>#N/A</v>
      </c>
      <c r="U428" s="53"/>
      <c r="V428" s="53" t="str" cm="1">
        <f t="array" ref="V428">IFERROR(_xlfn.IFS(
T428="","",
--T428&lt;55,"Battery Defect",
--T428&lt;=69,"Battery D",
--T428&lt;=80,"Battery C",
--T428&gt;80,""
),"")</f>
        <v/>
      </c>
      <c r="W428" s="53" t="str" cm="1">
        <f t="array" ref="W428">IFERROR(_xlfn.IFS(
U428="","",
--U428&lt;55,"Battery Defect",
--U428&lt;=69,"Battery D",
--U428&lt;=80,"Battery C",
--U428&gt;80,""
),"")</f>
        <v/>
      </c>
      <c r="X428" s="53"/>
      <c r="Y428" s="53"/>
      <c r="Z428" s="53"/>
      <c r="AA428" s="53"/>
      <c r="AB428" s="53"/>
      <c r="AC428" s="53"/>
      <c r="AD428" s="53"/>
      <c r="AE428" s="53"/>
      <c r="AF428" s="32" t="str">
        <f t="shared" si="18"/>
        <v/>
      </c>
      <c r="AG428" s="32"/>
      <c r="AH428" s="32"/>
      <c r="AI428" s="32"/>
      <c r="AJ428" s="32"/>
      <c r="AK428" s="32"/>
      <c r="AL428" s="32"/>
      <c r="AM428" s="32"/>
      <c r="AN428" s="32"/>
    </row>
    <row r="429" spans="1:40">
      <c r="A429" s="32" t="str">
        <f>_xlfn.TEXTJOIN("",TRUE,_xlfn.XLOOKUP(B429,Input!J:J,Input!G:G,"",0,1),_xlfn.XLOOKUP(B429,Input!J:J,Input!H:H,"",0,1))</f>
        <v/>
      </c>
      <c r="B429" s="32"/>
      <c r="C429" s="53">
        <f>_xlfn.XLOOKUP(B429,Input!J:J,Input!F:F)</f>
        <v>0</v>
      </c>
      <c r="D429" s="32">
        <f>_xlfn.XLOOKUP(C429,Models!H:H,Models!G:G,C429)</f>
        <v>0</v>
      </c>
      <c r="E429" s="32"/>
      <c r="F429" s="32" t="str">
        <f>_xlfn.XLOOKUP(H429,Models!B:B,Models!F:F,"")</f>
        <v/>
      </c>
      <c r="G429" s="32">
        <f>_xlfn.XLOOKUP(B429,Input!J:J,Input!E:E)</f>
        <v>0</v>
      </c>
      <c r="H429" s="32">
        <f>IF(G429="LENOVO",_xlfn.XLOOKUP(B429,Input!J:J,Input!K:K),_xlfn.XLOOKUP(B429,Input!J:J,Input!L:L))</f>
        <v>0</v>
      </c>
      <c r="I429" s="32"/>
      <c r="J429" s="32"/>
      <c r="K429" s="32"/>
      <c r="L429" s="53"/>
      <c r="M429" s="53"/>
      <c r="N429" s="53"/>
      <c r="O429" s="53" t="str" cm="1">
        <f t="array" ref="O429">IFERROR(_xlfn.FILTERXML("&lt;t&gt;&lt;s&gt;" &amp; SUBSTITUTE(M429," / ","&lt;/s&gt;&lt;s&gt;") &amp; "&lt;/s&gt;&lt;/t&gt;","(//s[contains(.,'DDR')])[1]"),"")</f>
        <v/>
      </c>
      <c r="P429" s="32" t="str">
        <f t="shared" si="19"/>
        <v>GB</v>
      </c>
      <c r="Q429" s="32"/>
      <c r="R429" s="32"/>
      <c r="S429" s="53" t="e">
        <f>_xlfn.LET(_xlpm.Result,INDEX(Input!$D$2:$AC$500,
       MATCH(B429, Input!$J$2:$J$500, 0),
       MATCH("Capacity", Input!$D$1:$AC$1, 0)),IF(_xlpm.Result="","",_xlpm.Result))</f>
        <v>#N/A</v>
      </c>
      <c r="T429" s="53" t="e" cm="1">
        <f t="array" ref="T429">_xlfn.TEXTSPLIT(S429," / ", ,TRUE,0,)</f>
        <v>#N/A</v>
      </c>
      <c r="U429" s="53"/>
      <c r="V429" s="53" t="str" cm="1">
        <f t="array" ref="V429">IFERROR(_xlfn.IFS(
T429="","",
--T429&lt;55,"Battery Defect",
--T429&lt;=69,"Battery D",
--T429&lt;=80,"Battery C",
--T429&gt;80,""
),"")</f>
        <v/>
      </c>
      <c r="W429" s="53" t="str" cm="1">
        <f t="array" ref="W429">IFERROR(_xlfn.IFS(
U429="","",
--U429&lt;55,"Battery Defect",
--U429&lt;=69,"Battery D",
--U429&lt;=80,"Battery C",
--U429&gt;80,""
),"")</f>
        <v/>
      </c>
      <c r="X429" s="53"/>
      <c r="Y429" s="53"/>
      <c r="Z429" s="53"/>
      <c r="AA429" s="53"/>
      <c r="AB429" s="53"/>
      <c r="AC429" s="53"/>
      <c r="AD429" s="53"/>
      <c r="AE429" s="53"/>
      <c r="AF429" s="32" t="str">
        <f t="shared" si="18"/>
        <v/>
      </c>
      <c r="AG429" s="32"/>
      <c r="AH429" s="32"/>
      <c r="AI429" s="32"/>
      <c r="AJ429" s="32"/>
      <c r="AK429" s="32"/>
      <c r="AL429" s="32"/>
      <c r="AM429" s="32"/>
      <c r="AN429" s="32"/>
    </row>
    <row r="430" spans="1:40">
      <c r="A430" s="32" t="str">
        <f>_xlfn.TEXTJOIN("",TRUE,_xlfn.XLOOKUP(B430,Input!J:J,Input!G:G,"",0,1),_xlfn.XLOOKUP(B430,Input!J:J,Input!H:H,"",0,1))</f>
        <v/>
      </c>
      <c r="B430" s="32"/>
      <c r="C430" s="53">
        <f>_xlfn.XLOOKUP(B430,Input!J:J,Input!F:F)</f>
        <v>0</v>
      </c>
      <c r="D430" s="32">
        <f>_xlfn.XLOOKUP(C430,Models!H:H,Models!G:G,C430)</f>
        <v>0</v>
      </c>
      <c r="E430" s="32"/>
      <c r="F430" s="32" t="str">
        <f>_xlfn.XLOOKUP(H430,Models!B:B,Models!F:F,"")</f>
        <v/>
      </c>
      <c r="G430" s="32">
        <f>_xlfn.XLOOKUP(B430,Input!J:J,Input!E:E)</f>
        <v>0</v>
      </c>
      <c r="H430" s="32">
        <f>IF(G430="LENOVO",_xlfn.XLOOKUP(B430,Input!J:J,Input!K:K),_xlfn.XLOOKUP(B430,Input!J:J,Input!L:L))</f>
        <v>0</v>
      </c>
      <c r="I430" s="32"/>
      <c r="J430" s="32"/>
      <c r="K430" s="32"/>
      <c r="L430" s="53"/>
      <c r="M430" s="53"/>
      <c r="N430" s="53"/>
      <c r="O430" s="53" t="str" cm="1">
        <f t="array" ref="O430">IFERROR(_xlfn.FILTERXML("&lt;t&gt;&lt;s&gt;" &amp; SUBSTITUTE(M430," / ","&lt;/s&gt;&lt;s&gt;") &amp; "&lt;/s&gt;&lt;/t&gt;","(//s[contains(.,'DDR')])[1]"),"")</f>
        <v/>
      </c>
      <c r="P430" s="32" t="str">
        <f t="shared" si="19"/>
        <v>GB</v>
      </c>
      <c r="Q430" s="32"/>
      <c r="R430" s="32"/>
      <c r="S430" s="53" t="e">
        <f>_xlfn.LET(_xlpm.Result,INDEX(Input!$D$2:$AC$500,
       MATCH(B430, Input!$J$2:$J$500, 0),
       MATCH("Capacity", Input!$D$1:$AC$1, 0)),IF(_xlpm.Result="","",_xlpm.Result))</f>
        <v>#N/A</v>
      </c>
      <c r="T430" s="53" t="e" cm="1">
        <f t="array" ref="T430">_xlfn.TEXTSPLIT(S430," / ", ,TRUE,0,)</f>
        <v>#N/A</v>
      </c>
      <c r="U430" s="53"/>
      <c r="V430" s="53" t="str" cm="1">
        <f t="array" ref="V430">IFERROR(_xlfn.IFS(
T430="","",
--T430&lt;55,"Battery Defect",
--T430&lt;=69,"Battery D",
--T430&lt;=80,"Battery C",
--T430&gt;80,""
),"")</f>
        <v/>
      </c>
      <c r="W430" s="53" t="str" cm="1">
        <f t="array" ref="W430">IFERROR(_xlfn.IFS(
U430="","",
--U430&lt;55,"Battery Defect",
--U430&lt;=69,"Battery D",
--U430&lt;=80,"Battery C",
--U430&gt;80,""
),"")</f>
        <v/>
      </c>
      <c r="X430" s="53"/>
      <c r="Y430" s="53"/>
      <c r="Z430" s="53"/>
      <c r="AA430" s="53"/>
      <c r="AB430" s="53"/>
      <c r="AC430" s="53"/>
      <c r="AD430" s="53"/>
      <c r="AE430" s="53"/>
      <c r="AF430" s="32" t="str">
        <f t="shared" si="18"/>
        <v/>
      </c>
      <c r="AG430" s="32"/>
      <c r="AH430" s="32"/>
      <c r="AI430" s="32"/>
      <c r="AJ430" s="32"/>
      <c r="AK430" s="32"/>
      <c r="AL430" s="32"/>
      <c r="AM430" s="32"/>
      <c r="AN430" s="32"/>
    </row>
    <row r="431" spans="1:40">
      <c r="A431" s="32" t="str">
        <f>_xlfn.TEXTJOIN("",TRUE,_xlfn.XLOOKUP(B431,Input!J:J,Input!G:G,"",0,1),_xlfn.XLOOKUP(B431,Input!J:J,Input!H:H,"",0,1))</f>
        <v/>
      </c>
      <c r="B431" s="32"/>
      <c r="C431" s="53">
        <f>_xlfn.XLOOKUP(B431,Input!J:J,Input!F:F)</f>
        <v>0</v>
      </c>
      <c r="D431" s="32">
        <f>_xlfn.XLOOKUP(C431,Models!H:H,Models!G:G,C431)</f>
        <v>0</v>
      </c>
      <c r="E431" s="32"/>
      <c r="F431" s="32" t="str">
        <f>_xlfn.XLOOKUP(H431,Models!B:B,Models!F:F,"")</f>
        <v/>
      </c>
      <c r="G431" s="32">
        <f>_xlfn.XLOOKUP(B431,Input!J:J,Input!E:E)</f>
        <v>0</v>
      </c>
      <c r="H431" s="32">
        <f>IF(G431="LENOVO",_xlfn.XLOOKUP(B431,Input!J:J,Input!K:K),_xlfn.XLOOKUP(B431,Input!J:J,Input!L:L))</f>
        <v>0</v>
      </c>
      <c r="I431" s="32"/>
      <c r="J431" s="32"/>
      <c r="K431" s="32"/>
      <c r="L431" s="53"/>
      <c r="M431" s="53"/>
      <c r="N431" s="53"/>
      <c r="O431" s="53" t="str" cm="1">
        <f t="array" ref="O431">IFERROR(_xlfn.FILTERXML("&lt;t&gt;&lt;s&gt;" &amp; SUBSTITUTE(M431," / ","&lt;/s&gt;&lt;s&gt;") &amp; "&lt;/s&gt;&lt;/t&gt;","(//s[contains(.,'DDR')])[1]"),"")</f>
        <v/>
      </c>
      <c r="P431" s="32" t="str">
        <f t="shared" si="19"/>
        <v>GB</v>
      </c>
      <c r="Q431" s="32"/>
      <c r="R431" s="32"/>
      <c r="S431" s="53" t="e">
        <f>_xlfn.LET(_xlpm.Result,INDEX(Input!$D$2:$AC$500,
       MATCH(B431, Input!$J$2:$J$500, 0),
       MATCH("Capacity", Input!$D$1:$AC$1, 0)),IF(_xlpm.Result="","",_xlpm.Result))</f>
        <v>#N/A</v>
      </c>
      <c r="T431" s="53" t="e" cm="1">
        <f t="array" ref="T431">_xlfn.TEXTSPLIT(S431," / ", ,TRUE,0,)</f>
        <v>#N/A</v>
      </c>
      <c r="U431" s="53"/>
      <c r="V431" s="53" t="str" cm="1">
        <f t="array" ref="V431">IFERROR(_xlfn.IFS(
T431="","",
--T431&lt;55,"Battery Defect",
--T431&lt;=69,"Battery D",
--T431&lt;=80,"Battery C",
--T431&gt;80,""
),"")</f>
        <v/>
      </c>
      <c r="W431" s="53" t="str" cm="1">
        <f t="array" ref="W431">IFERROR(_xlfn.IFS(
U431="","",
--U431&lt;55,"Battery Defect",
--U431&lt;=69,"Battery D",
--U431&lt;=80,"Battery C",
--U431&gt;80,""
),"")</f>
        <v/>
      </c>
      <c r="X431" s="53"/>
      <c r="Y431" s="53"/>
      <c r="Z431" s="53"/>
      <c r="AA431" s="53"/>
      <c r="AB431" s="53"/>
      <c r="AC431" s="53"/>
      <c r="AD431" s="53"/>
      <c r="AE431" s="53"/>
      <c r="AF431" s="32" t="str">
        <f t="shared" si="18"/>
        <v/>
      </c>
      <c r="AG431" s="32"/>
      <c r="AH431" s="32"/>
      <c r="AI431" s="32"/>
      <c r="AJ431" s="32"/>
      <c r="AK431" s="32"/>
      <c r="AL431" s="32"/>
      <c r="AM431" s="32"/>
      <c r="AN431" s="32"/>
    </row>
    <row r="432" spans="1:40">
      <c r="A432" s="32" t="str">
        <f>_xlfn.TEXTJOIN("",TRUE,_xlfn.XLOOKUP(B432,Input!J:J,Input!G:G,"",0,1),_xlfn.XLOOKUP(B432,Input!J:J,Input!H:H,"",0,1))</f>
        <v/>
      </c>
      <c r="B432" s="32"/>
      <c r="C432" s="53">
        <f>_xlfn.XLOOKUP(B432,Input!J:J,Input!F:F)</f>
        <v>0</v>
      </c>
      <c r="D432" s="32">
        <f>_xlfn.XLOOKUP(C432,Models!H:H,Models!G:G,C432)</f>
        <v>0</v>
      </c>
      <c r="E432" s="32"/>
      <c r="F432" s="32" t="str">
        <f>_xlfn.XLOOKUP(H432,Models!B:B,Models!F:F,"")</f>
        <v/>
      </c>
      <c r="G432" s="32">
        <f>_xlfn.XLOOKUP(B432,Input!J:J,Input!E:E)</f>
        <v>0</v>
      </c>
      <c r="H432" s="32">
        <f>IF(G432="LENOVO",_xlfn.XLOOKUP(B432,Input!J:J,Input!K:K),_xlfn.XLOOKUP(B432,Input!J:J,Input!L:L))</f>
        <v>0</v>
      </c>
      <c r="I432" s="32"/>
      <c r="J432" s="32"/>
      <c r="K432" s="32"/>
      <c r="L432" s="53"/>
      <c r="M432" s="53"/>
      <c r="N432" s="53"/>
      <c r="O432" s="53" t="str" cm="1">
        <f t="array" ref="O432">IFERROR(_xlfn.FILTERXML("&lt;t&gt;&lt;s&gt;" &amp; SUBSTITUTE(M432," / ","&lt;/s&gt;&lt;s&gt;") &amp; "&lt;/s&gt;&lt;/t&gt;","(//s[contains(.,'DDR')])[1]"),"")</f>
        <v/>
      </c>
      <c r="P432" s="32" t="str">
        <f t="shared" si="19"/>
        <v>GB</v>
      </c>
      <c r="Q432" s="32"/>
      <c r="R432" s="32"/>
      <c r="S432" s="53" t="e">
        <f>_xlfn.LET(_xlpm.Result,INDEX(Input!$D$2:$AC$500,
       MATCH(B432, Input!$J$2:$J$500, 0),
       MATCH("Capacity", Input!$D$1:$AC$1, 0)),IF(_xlpm.Result="","",_xlpm.Result))</f>
        <v>#N/A</v>
      </c>
      <c r="T432" s="53" t="e" cm="1">
        <f t="array" ref="T432">_xlfn.TEXTSPLIT(S432," / ", ,TRUE,0,)</f>
        <v>#N/A</v>
      </c>
      <c r="U432" s="53"/>
      <c r="V432" s="53" t="str" cm="1">
        <f t="array" ref="V432">IFERROR(_xlfn.IFS(
T432="","",
--T432&lt;55,"Battery Defect",
--T432&lt;=69,"Battery D",
--T432&lt;=80,"Battery C",
--T432&gt;80,""
),"")</f>
        <v/>
      </c>
      <c r="W432" s="53" t="str" cm="1">
        <f t="array" ref="W432">IFERROR(_xlfn.IFS(
U432="","",
--U432&lt;55,"Battery Defect",
--U432&lt;=69,"Battery D",
--U432&lt;=80,"Battery C",
--U432&gt;80,""
),"")</f>
        <v/>
      </c>
      <c r="X432" s="53"/>
      <c r="Y432" s="53"/>
      <c r="Z432" s="53"/>
      <c r="AA432" s="53"/>
      <c r="AB432" s="53"/>
      <c r="AC432" s="53"/>
      <c r="AD432" s="53"/>
      <c r="AE432" s="53"/>
      <c r="AF432" s="32" t="str">
        <f t="shared" si="18"/>
        <v/>
      </c>
      <c r="AG432" s="32"/>
      <c r="AH432" s="32"/>
      <c r="AI432" s="32"/>
      <c r="AJ432" s="32"/>
      <c r="AK432" s="32"/>
      <c r="AL432" s="32"/>
      <c r="AM432" s="32"/>
      <c r="AN432" s="32"/>
    </row>
    <row r="433" spans="1:40">
      <c r="A433" s="32" t="str">
        <f>_xlfn.TEXTJOIN("",TRUE,_xlfn.XLOOKUP(B433,Input!J:J,Input!G:G,"",0,1),_xlfn.XLOOKUP(B433,Input!J:J,Input!H:H,"",0,1))</f>
        <v/>
      </c>
      <c r="B433" s="32"/>
      <c r="C433" s="53">
        <f>_xlfn.XLOOKUP(B433,Input!J:J,Input!F:F)</f>
        <v>0</v>
      </c>
      <c r="D433" s="32">
        <f>_xlfn.XLOOKUP(C433,Models!H:H,Models!G:G,C433)</f>
        <v>0</v>
      </c>
      <c r="E433" s="32"/>
      <c r="F433" s="32" t="str">
        <f>_xlfn.XLOOKUP(H433,Models!B:B,Models!F:F,"")</f>
        <v/>
      </c>
      <c r="G433" s="32">
        <f>_xlfn.XLOOKUP(B433,Input!J:J,Input!E:E)</f>
        <v>0</v>
      </c>
      <c r="H433" s="32">
        <f>IF(G433="LENOVO",_xlfn.XLOOKUP(B433,Input!J:J,Input!K:K),_xlfn.XLOOKUP(B433,Input!J:J,Input!L:L))</f>
        <v>0</v>
      </c>
      <c r="I433" s="32"/>
      <c r="J433" s="32"/>
      <c r="K433" s="32"/>
      <c r="L433" s="53"/>
      <c r="M433" s="53"/>
      <c r="N433" s="53"/>
      <c r="O433" s="53" t="str" cm="1">
        <f t="array" ref="O433">IFERROR(_xlfn.FILTERXML("&lt;t&gt;&lt;s&gt;" &amp; SUBSTITUTE(M433," / ","&lt;/s&gt;&lt;s&gt;") &amp; "&lt;/s&gt;&lt;/t&gt;","(//s[contains(.,'DDR')])[1]"),"")</f>
        <v/>
      </c>
      <c r="P433" s="32" t="str">
        <f t="shared" si="19"/>
        <v>GB</v>
      </c>
      <c r="Q433" s="32"/>
      <c r="R433" s="32"/>
      <c r="S433" s="53" t="e">
        <f>_xlfn.LET(_xlpm.Result,INDEX(Input!$D$2:$AC$500,
       MATCH(B433, Input!$J$2:$J$500, 0),
       MATCH("Capacity", Input!$D$1:$AC$1, 0)),IF(_xlpm.Result="","",_xlpm.Result))</f>
        <v>#N/A</v>
      </c>
      <c r="T433" s="53" t="e" cm="1">
        <f t="array" ref="T433">_xlfn.TEXTSPLIT(S433," / ", ,TRUE,0,)</f>
        <v>#N/A</v>
      </c>
      <c r="U433" s="53"/>
      <c r="V433" s="53" t="str" cm="1">
        <f t="array" ref="V433">IFERROR(_xlfn.IFS(
T433="","",
--T433&lt;55,"Battery Defect",
--T433&lt;=69,"Battery D",
--T433&lt;=80,"Battery C",
--T433&gt;80,""
),"")</f>
        <v/>
      </c>
      <c r="W433" s="53" t="str" cm="1">
        <f t="array" ref="W433">IFERROR(_xlfn.IFS(
U433="","",
--U433&lt;55,"Battery Defect",
--U433&lt;=69,"Battery D",
--U433&lt;=80,"Battery C",
--U433&gt;80,""
),"")</f>
        <v/>
      </c>
      <c r="X433" s="53"/>
      <c r="Y433" s="53"/>
      <c r="Z433" s="53"/>
      <c r="AA433" s="53"/>
      <c r="AB433" s="53"/>
      <c r="AC433" s="53"/>
      <c r="AD433" s="53"/>
      <c r="AE433" s="53"/>
      <c r="AF433" s="32" t="str">
        <f t="shared" si="18"/>
        <v/>
      </c>
      <c r="AG433" s="32"/>
      <c r="AH433" s="32"/>
      <c r="AI433" s="32"/>
      <c r="AJ433" s="32"/>
      <c r="AK433" s="32"/>
      <c r="AL433" s="32"/>
      <c r="AM433" s="32"/>
      <c r="AN433" s="32"/>
    </row>
    <row r="434" spans="1:40">
      <c r="A434" s="32" t="str">
        <f>_xlfn.TEXTJOIN("",TRUE,_xlfn.XLOOKUP(B434,Input!J:J,Input!G:G,"",0,1),_xlfn.XLOOKUP(B434,Input!J:J,Input!H:H,"",0,1))</f>
        <v/>
      </c>
      <c r="B434" s="32"/>
      <c r="C434" s="53">
        <f>_xlfn.XLOOKUP(B434,Input!J:J,Input!F:F)</f>
        <v>0</v>
      </c>
      <c r="D434" s="32">
        <f>_xlfn.XLOOKUP(C434,Models!H:H,Models!G:G,C434)</f>
        <v>0</v>
      </c>
      <c r="E434" s="32"/>
      <c r="F434" s="32" t="str">
        <f>_xlfn.XLOOKUP(H434,Models!B:B,Models!F:F,"")</f>
        <v/>
      </c>
      <c r="G434" s="32">
        <f>_xlfn.XLOOKUP(B434,Input!J:J,Input!E:E)</f>
        <v>0</v>
      </c>
      <c r="H434" s="32">
        <f>IF(G434="LENOVO",_xlfn.XLOOKUP(B434,Input!J:J,Input!K:K),_xlfn.XLOOKUP(B434,Input!J:J,Input!L:L))</f>
        <v>0</v>
      </c>
      <c r="I434" s="32"/>
      <c r="J434" s="32"/>
      <c r="K434" s="32"/>
      <c r="L434" s="53"/>
      <c r="M434" s="53"/>
      <c r="N434" s="53"/>
      <c r="O434" s="53" t="str" cm="1">
        <f t="array" ref="O434">IFERROR(_xlfn.FILTERXML("&lt;t&gt;&lt;s&gt;" &amp; SUBSTITUTE(M434," / ","&lt;/s&gt;&lt;s&gt;") &amp; "&lt;/s&gt;&lt;/t&gt;","(//s[contains(.,'DDR')])[1]"),"")</f>
        <v/>
      </c>
      <c r="P434" s="32" t="str">
        <f t="shared" si="19"/>
        <v>GB</v>
      </c>
      <c r="Q434" s="32"/>
      <c r="R434" s="32"/>
      <c r="S434" s="53" t="e">
        <f>_xlfn.LET(_xlpm.Result,INDEX(Input!$D$2:$AC$500,
       MATCH(B434, Input!$J$2:$J$500, 0),
       MATCH("Capacity", Input!$D$1:$AC$1, 0)),IF(_xlpm.Result="","",_xlpm.Result))</f>
        <v>#N/A</v>
      </c>
      <c r="T434" s="53" t="e" cm="1">
        <f t="array" ref="T434">_xlfn.TEXTSPLIT(S434," / ", ,TRUE,0,)</f>
        <v>#N/A</v>
      </c>
      <c r="U434" s="53"/>
      <c r="V434" s="53" t="str" cm="1">
        <f t="array" ref="V434">IFERROR(_xlfn.IFS(
T434="","",
--T434&lt;55,"Battery Defect",
--T434&lt;=69,"Battery D",
--T434&lt;=80,"Battery C",
--T434&gt;80,""
),"")</f>
        <v/>
      </c>
      <c r="W434" s="53" t="str" cm="1">
        <f t="array" ref="W434">IFERROR(_xlfn.IFS(
U434="","",
--U434&lt;55,"Battery Defect",
--U434&lt;=69,"Battery D",
--U434&lt;=80,"Battery C",
--U434&gt;80,""
),"")</f>
        <v/>
      </c>
      <c r="X434" s="53"/>
      <c r="Y434" s="53"/>
      <c r="Z434" s="53"/>
      <c r="AA434" s="53"/>
      <c r="AB434" s="53"/>
      <c r="AC434" s="53"/>
      <c r="AD434" s="53"/>
      <c r="AE434" s="53"/>
      <c r="AF434" s="32" t="str">
        <f t="shared" si="18"/>
        <v/>
      </c>
      <c r="AG434" s="32"/>
      <c r="AH434" s="32"/>
      <c r="AI434" s="32"/>
      <c r="AJ434" s="32"/>
      <c r="AK434" s="32"/>
      <c r="AL434" s="32"/>
      <c r="AM434" s="32"/>
      <c r="AN434" s="32"/>
    </row>
    <row r="435" spans="1:40">
      <c r="A435" s="32" t="str">
        <f>_xlfn.TEXTJOIN("",TRUE,_xlfn.XLOOKUP(B435,Input!J:J,Input!G:G,"",0,1),_xlfn.XLOOKUP(B435,Input!J:J,Input!H:H,"",0,1))</f>
        <v/>
      </c>
      <c r="B435" s="32"/>
      <c r="C435" s="53">
        <f>_xlfn.XLOOKUP(B435,Input!J:J,Input!F:F)</f>
        <v>0</v>
      </c>
      <c r="D435" s="32">
        <f>_xlfn.XLOOKUP(C435,Models!H:H,Models!G:G,C435)</f>
        <v>0</v>
      </c>
      <c r="E435" s="32"/>
      <c r="F435" s="32" t="str">
        <f>_xlfn.XLOOKUP(H435,Models!B:B,Models!F:F,"")</f>
        <v/>
      </c>
      <c r="G435" s="32">
        <f>_xlfn.XLOOKUP(B435,Input!J:J,Input!E:E)</f>
        <v>0</v>
      </c>
      <c r="H435" s="32">
        <f>IF(G435="LENOVO",_xlfn.XLOOKUP(B435,Input!J:J,Input!K:K),_xlfn.XLOOKUP(B435,Input!J:J,Input!L:L))</f>
        <v>0</v>
      </c>
      <c r="I435" s="32"/>
      <c r="J435" s="32"/>
      <c r="K435" s="32"/>
      <c r="L435" s="53"/>
      <c r="M435" s="53"/>
      <c r="N435" s="53"/>
      <c r="O435" s="53" t="str" cm="1">
        <f t="array" ref="O435">IFERROR(_xlfn.FILTERXML("&lt;t&gt;&lt;s&gt;" &amp; SUBSTITUTE(M435," / ","&lt;/s&gt;&lt;s&gt;") &amp; "&lt;/s&gt;&lt;/t&gt;","(//s[contains(.,'DDR')])[1]"),"")</f>
        <v/>
      </c>
      <c r="P435" s="32" t="str">
        <f t="shared" si="19"/>
        <v>GB</v>
      </c>
      <c r="Q435" s="32"/>
      <c r="R435" s="32"/>
      <c r="S435" s="53" t="e">
        <f>_xlfn.LET(_xlpm.Result,INDEX(Input!$D$2:$AC$500,
       MATCH(B435, Input!$J$2:$J$500, 0),
       MATCH("Capacity", Input!$D$1:$AC$1, 0)),IF(_xlpm.Result="","",_xlpm.Result))</f>
        <v>#N/A</v>
      </c>
      <c r="T435" s="53"/>
      <c r="U435" s="53"/>
      <c r="V435" s="53" t="str" cm="1">
        <f t="array" ref="V435">IFERROR(_xlfn.IFS(
T435="","",
--T435&lt;55,"Battery Defect",
--T435&lt;=69,"Battery D",
--T435&lt;=80,"Battery C",
--T435&gt;80,""
),"")</f>
        <v/>
      </c>
      <c r="W435" s="53" t="str" cm="1">
        <f t="array" ref="W435">IFERROR(_xlfn.IFS(
U435="","",
--U435&lt;55,"Battery Defect",
--U435&lt;=69,"Battery D",
--U435&lt;=80,"Battery C",
--U435&gt;80,""
),"")</f>
        <v/>
      </c>
      <c r="X435" s="53"/>
      <c r="Y435" s="53"/>
      <c r="Z435" s="53"/>
      <c r="AA435" s="53"/>
      <c r="AB435" s="53"/>
      <c r="AC435" s="53"/>
      <c r="AD435" s="53"/>
      <c r="AE435" s="53"/>
      <c r="AF435" s="32" t="str">
        <f t="shared" si="18"/>
        <v/>
      </c>
      <c r="AG435" s="32"/>
      <c r="AH435" s="32"/>
      <c r="AI435" s="32"/>
      <c r="AJ435" s="32"/>
      <c r="AK435" s="32"/>
      <c r="AL435" s="32"/>
      <c r="AM435" s="32"/>
      <c r="AN435" s="32"/>
    </row>
    <row r="436" spans="1:40">
      <c r="A436" s="32" t="str">
        <f>_xlfn.TEXTJOIN("",TRUE,_xlfn.XLOOKUP(B436,Input!J:J,Input!G:G,"",0,1),_xlfn.XLOOKUP(B436,Input!J:J,Input!H:H,"",0,1))</f>
        <v/>
      </c>
      <c r="B436" s="32"/>
      <c r="C436" s="53">
        <f>_xlfn.XLOOKUP(B436,Input!J:J,Input!F:F)</f>
        <v>0</v>
      </c>
      <c r="D436" s="32">
        <f>_xlfn.XLOOKUP(C436,Models!H:H,Models!G:G,C436)</f>
        <v>0</v>
      </c>
      <c r="E436" s="32"/>
      <c r="F436" s="32" t="str">
        <f>_xlfn.XLOOKUP(H436,Models!B:B,Models!F:F,"")</f>
        <v/>
      </c>
      <c r="G436" s="32">
        <f>_xlfn.XLOOKUP(B436,Input!J:J,Input!E:E)</f>
        <v>0</v>
      </c>
      <c r="H436" s="32">
        <f>IF(G436="LENOVO",_xlfn.XLOOKUP(B436,Input!J:J,Input!K:K),_xlfn.XLOOKUP(B436,Input!J:J,Input!L:L))</f>
        <v>0</v>
      </c>
      <c r="I436" s="32"/>
      <c r="J436" s="32"/>
      <c r="K436" s="32"/>
      <c r="L436" s="53"/>
      <c r="M436" s="53"/>
      <c r="N436" s="53"/>
      <c r="O436" s="53" t="str" cm="1">
        <f t="array" ref="O436">IFERROR(_xlfn.FILTERXML("&lt;t&gt;&lt;s&gt;" &amp; SUBSTITUTE(M436," / ","&lt;/s&gt;&lt;s&gt;") &amp; "&lt;/s&gt;&lt;/t&gt;","(//s[contains(.,'DDR')])[1]"),"")</f>
        <v/>
      </c>
      <c r="P436" s="32" t="str">
        <f t="shared" si="19"/>
        <v>GB</v>
      </c>
      <c r="Q436" s="32"/>
      <c r="R436" s="32"/>
      <c r="S436" s="53" t="e">
        <f>_xlfn.LET(_xlpm.Result,INDEX(Input!$D$2:$AC$500,
       MATCH(B436, Input!$J$2:$J$500, 0),
       MATCH("Capacity", Input!$D$1:$AC$1, 0)),IF(_xlpm.Result="","",_xlpm.Result))</f>
        <v>#N/A</v>
      </c>
      <c r="T436" s="53"/>
      <c r="U436" s="53"/>
      <c r="V436" s="53" t="str" cm="1">
        <f t="array" ref="V436">IFERROR(_xlfn.IFS(
T436="","",
--T436&lt;55,"Battery Defect",
--T436&lt;=69,"Battery D",
--T436&lt;=80,"Battery C",
--T436&gt;80,""
),"")</f>
        <v/>
      </c>
      <c r="W436" s="53" t="str" cm="1">
        <f t="array" ref="W436">IFERROR(_xlfn.IFS(
U436="","",
--U436&lt;55,"Battery Defect",
--U436&lt;=69,"Battery D",
--U436&lt;=80,"Battery C",
--U436&gt;80,""
),"")</f>
        <v/>
      </c>
      <c r="X436" s="53"/>
      <c r="Y436" s="53"/>
      <c r="Z436" s="53"/>
      <c r="AA436" s="53"/>
      <c r="AB436" s="53"/>
      <c r="AC436" s="53"/>
      <c r="AD436" s="53"/>
      <c r="AE436" s="53"/>
      <c r="AF436" s="32" t="str">
        <f t="shared" si="18"/>
        <v/>
      </c>
      <c r="AG436" s="32"/>
      <c r="AH436" s="32"/>
      <c r="AI436" s="32"/>
      <c r="AJ436" s="32"/>
      <c r="AK436" s="32"/>
      <c r="AL436" s="32"/>
      <c r="AM436" s="32"/>
      <c r="AN436" s="32"/>
    </row>
    <row r="437" spans="1:40">
      <c r="A437" s="32" t="str">
        <f>_xlfn.TEXTJOIN("",TRUE,_xlfn.XLOOKUP(B437,Input!J:J,Input!G:G,"",0,1),_xlfn.XLOOKUP(B437,Input!J:J,Input!H:H,"",0,1))</f>
        <v/>
      </c>
      <c r="B437" s="32"/>
      <c r="C437" s="53">
        <f>_xlfn.XLOOKUP(B437,Input!J:J,Input!F:F)</f>
        <v>0</v>
      </c>
      <c r="D437" s="32">
        <f>_xlfn.XLOOKUP(C437,Models!H:H,Models!G:G,C437)</f>
        <v>0</v>
      </c>
      <c r="E437" s="32"/>
      <c r="F437" s="32" t="str">
        <f>_xlfn.XLOOKUP(H437,Models!B:B,Models!F:F,"")</f>
        <v/>
      </c>
      <c r="G437" s="32">
        <f>_xlfn.XLOOKUP(B437,Input!J:J,Input!E:E)</f>
        <v>0</v>
      </c>
      <c r="H437" s="32">
        <f>IF(G437="LENOVO",_xlfn.XLOOKUP(B437,Input!J:J,Input!K:K),_xlfn.XLOOKUP(B437,Input!J:J,Input!L:L))</f>
        <v>0</v>
      </c>
      <c r="I437" s="32"/>
      <c r="J437" s="32"/>
      <c r="K437" s="32"/>
      <c r="L437" s="53"/>
      <c r="M437" s="53"/>
      <c r="N437" s="53"/>
      <c r="O437" s="53" t="str" cm="1">
        <f t="array" ref="O437">IFERROR(_xlfn.FILTERXML("&lt;t&gt;&lt;s&gt;" &amp; SUBSTITUTE(M437," / ","&lt;/s&gt;&lt;s&gt;") &amp; "&lt;/s&gt;&lt;/t&gt;","(//s[contains(.,'DDR')])[1]"),"")</f>
        <v/>
      </c>
      <c r="P437" s="32" t="str">
        <f t="shared" si="19"/>
        <v>GB</v>
      </c>
      <c r="Q437" s="32"/>
      <c r="R437" s="32"/>
      <c r="S437" s="53" t="e">
        <f>_xlfn.LET(_xlpm.Result,INDEX(Input!$D$2:$AC$500,
       MATCH(B437, Input!$J$2:$J$500, 0),
       MATCH("Capacity", Input!$D$1:$AC$1, 0)),IF(_xlpm.Result="","",_xlpm.Result))</f>
        <v>#N/A</v>
      </c>
      <c r="T437" s="53"/>
      <c r="U437" s="53"/>
      <c r="V437" s="53" t="str" cm="1">
        <f t="array" ref="V437">IFERROR(_xlfn.IFS(
T437="","",
--T437&lt;55,"Battery Defect",
--T437&lt;=69,"Battery D",
--T437&lt;=80,"Battery C",
--T437&gt;80,""
),"")</f>
        <v/>
      </c>
      <c r="W437" s="53" t="str" cm="1">
        <f t="array" ref="W437">IFERROR(_xlfn.IFS(
U437="","",
--U437&lt;55,"Battery Defect",
--U437&lt;=69,"Battery D",
--U437&lt;=80,"Battery C",
--U437&gt;80,""
),"")</f>
        <v/>
      </c>
      <c r="X437" s="53"/>
      <c r="Y437" s="53"/>
      <c r="Z437" s="53"/>
      <c r="AA437" s="53"/>
      <c r="AB437" s="53"/>
      <c r="AC437" s="53"/>
      <c r="AD437" s="53"/>
      <c r="AE437" s="53"/>
      <c r="AF437" s="32" t="str">
        <f t="shared" si="18"/>
        <v/>
      </c>
      <c r="AG437" s="32"/>
      <c r="AH437" s="32"/>
      <c r="AI437" s="32"/>
      <c r="AJ437" s="32"/>
      <c r="AK437" s="32"/>
      <c r="AL437" s="32"/>
      <c r="AM437" s="32"/>
      <c r="AN437" s="32"/>
    </row>
    <row r="438" spans="1:40">
      <c r="A438" s="32" t="str">
        <f>_xlfn.TEXTJOIN("",TRUE,_xlfn.XLOOKUP(B438,Input!J:J,Input!G:G,"",0,1),_xlfn.XLOOKUP(B438,Input!J:J,Input!H:H,"",0,1))</f>
        <v/>
      </c>
      <c r="B438" s="32"/>
      <c r="C438" s="53">
        <f>_xlfn.XLOOKUP(B438,Input!J:J,Input!F:F)</f>
        <v>0</v>
      </c>
      <c r="D438" s="32">
        <f>_xlfn.XLOOKUP(C438,Models!H:H,Models!G:G,C438)</f>
        <v>0</v>
      </c>
      <c r="E438" s="32"/>
      <c r="F438" s="32" t="str">
        <f>_xlfn.XLOOKUP(H438,Models!B:B,Models!F:F,"")</f>
        <v/>
      </c>
      <c r="G438" s="32">
        <f>_xlfn.XLOOKUP(B438,Input!J:J,Input!E:E)</f>
        <v>0</v>
      </c>
      <c r="H438" s="32">
        <f>IF(G438="LENOVO",_xlfn.XLOOKUP(B438,Input!J:J,Input!K:K),_xlfn.XLOOKUP(B438,Input!J:J,Input!L:L))</f>
        <v>0</v>
      </c>
      <c r="I438" s="32"/>
      <c r="J438" s="32"/>
      <c r="K438" s="32"/>
      <c r="L438" s="53"/>
      <c r="M438" s="53"/>
      <c r="N438" s="53"/>
      <c r="O438" s="53" t="str" cm="1">
        <f t="array" ref="O438">IFERROR(_xlfn.FILTERXML("&lt;t&gt;&lt;s&gt;" &amp; SUBSTITUTE(M438," / ","&lt;/s&gt;&lt;s&gt;") &amp; "&lt;/s&gt;&lt;/t&gt;","(//s[contains(.,'DDR')])[1]"),"")</f>
        <v/>
      </c>
      <c r="P438" s="32" t="str">
        <f t="shared" si="19"/>
        <v>GB</v>
      </c>
      <c r="Q438" s="32"/>
      <c r="R438" s="32"/>
      <c r="S438" s="53" t="e">
        <f>_xlfn.LET(_xlpm.Result,INDEX(Input!$D$2:$AC$500,
       MATCH(B438, Input!$J$2:$J$500, 0),
       MATCH("Capacity", Input!$D$1:$AC$1, 0)),IF(_xlpm.Result="","",_xlpm.Result))</f>
        <v>#N/A</v>
      </c>
      <c r="T438" s="53"/>
      <c r="U438" s="53"/>
      <c r="V438" s="53" t="str" cm="1">
        <f t="array" ref="V438">IFERROR(_xlfn.IFS(
T438="","",
--T438&lt;55,"Battery Defect",
--T438&lt;=69,"Battery D",
--T438&lt;=80,"Battery C",
--T438&gt;80,""
),"")</f>
        <v/>
      </c>
      <c r="W438" s="53" t="str" cm="1">
        <f t="array" ref="W438">IFERROR(_xlfn.IFS(
U438="","",
--U438&lt;55,"Battery Defect",
--U438&lt;=69,"Battery D",
--U438&lt;=80,"Battery C",
--U438&gt;80,""
),"")</f>
        <v/>
      </c>
      <c r="X438" s="53"/>
      <c r="Y438" s="53"/>
      <c r="Z438" s="53"/>
      <c r="AA438" s="53"/>
      <c r="AB438" s="53"/>
      <c r="AC438" s="53"/>
      <c r="AD438" s="53"/>
      <c r="AE438" s="53"/>
      <c r="AF438" s="32" t="str">
        <f t="shared" si="18"/>
        <v/>
      </c>
      <c r="AG438" s="32"/>
      <c r="AH438" s="32"/>
      <c r="AI438" s="32"/>
      <c r="AJ438" s="32"/>
      <c r="AK438" s="32"/>
      <c r="AL438" s="32"/>
      <c r="AM438" s="32"/>
      <c r="AN438" s="32"/>
    </row>
    <row r="439" spans="1:40">
      <c r="A439" s="32" t="str">
        <f>_xlfn.TEXTJOIN("",TRUE,_xlfn.XLOOKUP(B439,Input!J:J,Input!G:G,"",0,1),_xlfn.XLOOKUP(B439,Input!J:J,Input!H:H,"",0,1))</f>
        <v/>
      </c>
      <c r="B439" s="32"/>
      <c r="C439" s="53">
        <f>_xlfn.XLOOKUP(B439,Input!J:J,Input!F:F)</f>
        <v>0</v>
      </c>
      <c r="D439" s="32">
        <f>_xlfn.XLOOKUP(C439,Models!H:H,Models!G:G,C439)</f>
        <v>0</v>
      </c>
      <c r="E439" s="32"/>
      <c r="F439" s="32" t="str">
        <f>_xlfn.XLOOKUP(H439,Models!B:B,Models!F:F,"")</f>
        <v/>
      </c>
      <c r="G439" s="32">
        <f>_xlfn.XLOOKUP(B439,Input!J:J,Input!E:E)</f>
        <v>0</v>
      </c>
      <c r="H439" s="32">
        <f>IF(G439="LENOVO",_xlfn.XLOOKUP(B439,Input!J:J,Input!K:K),_xlfn.XLOOKUP(B439,Input!J:J,Input!L:L))</f>
        <v>0</v>
      </c>
      <c r="I439" s="32"/>
      <c r="J439" s="32"/>
      <c r="K439" s="32"/>
      <c r="L439" s="53"/>
      <c r="M439" s="53"/>
      <c r="N439" s="53"/>
      <c r="O439" s="53" t="str" cm="1">
        <f t="array" ref="O439">IFERROR(_xlfn.FILTERXML("&lt;t&gt;&lt;s&gt;" &amp; SUBSTITUTE(M439," / ","&lt;/s&gt;&lt;s&gt;") &amp; "&lt;/s&gt;&lt;/t&gt;","(//s[contains(.,'DDR')])[1]"),"")</f>
        <v/>
      </c>
      <c r="P439" s="32" t="str">
        <f t="shared" si="19"/>
        <v>GB</v>
      </c>
      <c r="Q439" s="32"/>
      <c r="R439" s="32"/>
      <c r="S439" s="53" t="e">
        <f>_xlfn.LET(_xlpm.Result,INDEX(Input!$D$2:$AC$500,
       MATCH(B439, Input!$J$2:$J$500, 0),
       MATCH("Capacity", Input!$D$1:$AC$1, 0)),IF(_xlpm.Result="","",_xlpm.Result))</f>
        <v>#N/A</v>
      </c>
      <c r="T439" s="53"/>
      <c r="U439" s="53"/>
      <c r="V439" s="53" t="str" cm="1">
        <f t="array" ref="V439">IFERROR(_xlfn.IFS(
T439="","",
--T439&lt;55,"Battery Defect",
--T439&lt;=69,"Battery D",
--T439&lt;=80,"Battery C",
--T439&gt;80,""
),"")</f>
        <v/>
      </c>
      <c r="W439" s="53" t="str" cm="1">
        <f t="array" ref="W439">IFERROR(_xlfn.IFS(
U439="","",
--U439&lt;55,"Battery Defect",
--U439&lt;=69,"Battery D",
--U439&lt;=80,"Battery C",
--U439&gt;80,""
),"")</f>
        <v/>
      </c>
      <c r="X439" s="53"/>
      <c r="Y439" s="53"/>
      <c r="Z439" s="53"/>
      <c r="AA439" s="53"/>
      <c r="AB439" s="53"/>
      <c r="AC439" s="53"/>
      <c r="AD439" s="53"/>
      <c r="AE439" s="53"/>
      <c r="AF439" s="32" t="str">
        <f t="shared" si="18"/>
        <v/>
      </c>
      <c r="AG439" s="32"/>
      <c r="AH439" s="32"/>
      <c r="AI439" s="32"/>
      <c r="AJ439" s="32"/>
      <c r="AK439" s="32"/>
      <c r="AL439" s="32"/>
      <c r="AM439" s="32"/>
      <c r="AN439" s="32"/>
    </row>
    <row r="440" spans="1:40">
      <c r="A440" s="32" t="str">
        <f>_xlfn.TEXTJOIN("",TRUE,_xlfn.XLOOKUP(B440,Input!J:J,Input!G:G,"",0,1),_xlfn.XLOOKUP(B440,Input!J:J,Input!H:H,"",0,1))</f>
        <v/>
      </c>
      <c r="B440" s="32"/>
      <c r="C440" s="53">
        <f>_xlfn.XLOOKUP(B440,Input!J:J,Input!F:F)</f>
        <v>0</v>
      </c>
      <c r="D440" s="32">
        <f>_xlfn.XLOOKUP(C440,Models!H:H,Models!G:G,C440)</f>
        <v>0</v>
      </c>
      <c r="E440" s="32"/>
      <c r="F440" s="32" t="str">
        <f>_xlfn.XLOOKUP(H440,Models!B:B,Models!F:F,"")</f>
        <v/>
      </c>
      <c r="G440" s="32">
        <f>_xlfn.XLOOKUP(B440,Input!J:J,Input!E:E)</f>
        <v>0</v>
      </c>
      <c r="H440" s="32">
        <f>IF(G440="LENOVO",_xlfn.XLOOKUP(B440,Input!J:J,Input!K:K),_xlfn.XLOOKUP(B440,Input!J:J,Input!L:L))</f>
        <v>0</v>
      </c>
      <c r="I440" s="32"/>
      <c r="J440" s="32"/>
      <c r="K440" s="32"/>
      <c r="L440" s="53"/>
      <c r="M440" s="53"/>
      <c r="N440" s="53"/>
      <c r="O440" s="53" t="str" cm="1">
        <f t="array" ref="O440">IFERROR(_xlfn.FILTERXML("&lt;t&gt;&lt;s&gt;" &amp; SUBSTITUTE(M440," / ","&lt;/s&gt;&lt;s&gt;") &amp; "&lt;/s&gt;&lt;/t&gt;","(//s[contains(.,'DDR')])[1]"),"")</f>
        <v/>
      </c>
      <c r="P440" s="32" t="str">
        <f t="shared" si="19"/>
        <v>GB</v>
      </c>
      <c r="Q440" s="32"/>
      <c r="R440" s="32"/>
      <c r="S440" s="53" t="e">
        <f>_xlfn.LET(_xlpm.Result,INDEX(Input!$D$2:$AC$500,
       MATCH(B440, Input!$J$2:$J$500, 0),
       MATCH("Capacity", Input!$D$1:$AC$1, 0)),IF(_xlpm.Result="","",_xlpm.Result))</f>
        <v>#N/A</v>
      </c>
      <c r="T440" s="53"/>
      <c r="U440" s="53"/>
      <c r="V440" s="53" t="str" cm="1">
        <f t="array" ref="V440">IFERROR(_xlfn.IFS(
T440="","",
--T440&lt;55,"Battery Defect",
--T440&lt;=69,"Battery D",
--T440&lt;=80,"Battery C",
--T440&gt;80,""
),"")</f>
        <v/>
      </c>
      <c r="W440" s="53" t="str" cm="1">
        <f t="array" ref="W440">IFERROR(_xlfn.IFS(
U440="","",
--U440&lt;55,"Battery Defect",
--U440&lt;=69,"Battery D",
--U440&lt;=80,"Battery C",
--U440&gt;80,""
),"")</f>
        <v/>
      </c>
      <c r="X440" s="53"/>
      <c r="Y440" s="53"/>
      <c r="Z440" s="53"/>
      <c r="AA440" s="53"/>
      <c r="AB440" s="53"/>
      <c r="AC440" s="53"/>
      <c r="AD440" s="53"/>
      <c r="AE440" s="53"/>
      <c r="AF440" s="32" t="str">
        <f t="shared" si="18"/>
        <v/>
      </c>
      <c r="AG440" s="32"/>
      <c r="AH440" s="32"/>
      <c r="AI440" s="32"/>
      <c r="AJ440" s="32"/>
      <c r="AK440" s="32"/>
      <c r="AL440" s="32"/>
      <c r="AM440" s="32"/>
      <c r="AN440" s="32"/>
    </row>
    <row r="441" spans="1:40">
      <c r="A441" s="32" t="str">
        <f>_xlfn.TEXTJOIN("",TRUE,_xlfn.XLOOKUP(B441,Input!J:J,Input!G:G,"",0,1),_xlfn.XLOOKUP(B441,Input!J:J,Input!H:H,"",0,1))</f>
        <v/>
      </c>
      <c r="B441" s="32"/>
      <c r="C441" s="53">
        <f>_xlfn.XLOOKUP(B441,Input!J:J,Input!F:F)</f>
        <v>0</v>
      </c>
      <c r="D441" s="32">
        <f>_xlfn.XLOOKUP(C441,Models!H:H,Models!G:G,C441)</f>
        <v>0</v>
      </c>
      <c r="E441" s="32"/>
      <c r="F441" s="32" t="str">
        <f>_xlfn.XLOOKUP(H441,Models!B:B,Models!F:F,"")</f>
        <v/>
      </c>
      <c r="G441" s="32">
        <f>_xlfn.XLOOKUP(B441,Input!J:J,Input!E:E)</f>
        <v>0</v>
      </c>
      <c r="H441" s="32">
        <f>IF(G441="LENOVO",_xlfn.XLOOKUP(B441,Input!J:J,Input!K:K),_xlfn.XLOOKUP(B441,Input!J:J,Input!L:L))</f>
        <v>0</v>
      </c>
      <c r="I441" s="32"/>
      <c r="J441" s="32"/>
      <c r="K441" s="32"/>
      <c r="L441" s="53"/>
      <c r="M441" s="53"/>
      <c r="N441" s="53"/>
      <c r="O441" s="53" t="str" cm="1">
        <f t="array" ref="O441">IFERROR(_xlfn.FILTERXML("&lt;t&gt;&lt;s&gt;" &amp; SUBSTITUTE(M441," / ","&lt;/s&gt;&lt;s&gt;") &amp; "&lt;/s&gt;&lt;/t&gt;","(//s[contains(.,'DDR')])[1]"),"")</f>
        <v/>
      </c>
      <c r="P441" s="32" t="str">
        <f t="shared" si="19"/>
        <v>GB</v>
      </c>
      <c r="Q441" s="32"/>
      <c r="R441" s="32"/>
      <c r="S441" s="53" t="e">
        <f>_xlfn.LET(_xlpm.Result,INDEX(Input!$D$2:$AC$500,
       MATCH(B441, Input!$J$2:$J$500, 0),
       MATCH("Capacity", Input!$D$1:$AC$1, 0)),IF(_xlpm.Result="","",_xlpm.Result))</f>
        <v>#N/A</v>
      </c>
      <c r="T441" s="53"/>
      <c r="U441" s="53"/>
      <c r="V441" s="53" t="str" cm="1">
        <f t="array" ref="V441">IFERROR(_xlfn.IFS(
T441="","",
--T441&lt;55,"Battery Defect",
--T441&lt;=69,"Battery D",
--T441&lt;=80,"Battery C",
--T441&gt;80,""
),"")</f>
        <v/>
      </c>
      <c r="W441" s="53" t="str" cm="1">
        <f t="array" ref="W441">IFERROR(_xlfn.IFS(
U441="","",
--U441&lt;55,"Battery Defect",
--U441&lt;=69,"Battery D",
--U441&lt;=80,"Battery C",
--U441&gt;80,""
),"")</f>
        <v/>
      </c>
      <c r="X441" s="53"/>
      <c r="Y441" s="53"/>
      <c r="Z441" s="53"/>
      <c r="AA441" s="53"/>
      <c r="AB441" s="53"/>
      <c r="AC441" s="53"/>
      <c r="AD441" s="53"/>
      <c r="AE441" s="53"/>
      <c r="AF441" s="32" t="str">
        <f t="shared" si="18"/>
        <v/>
      </c>
      <c r="AG441" s="32"/>
      <c r="AH441" s="32"/>
      <c r="AI441" s="32"/>
      <c r="AJ441" s="32"/>
      <c r="AK441" s="32"/>
      <c r="AL441" s="32"/>
      <c r="AM441" s="32"/>
      <c r="AN441" s="32"/>
    </row>
    <row r="442" spans="1:40">
      <c r="A442" s="32" t="str">
        <f>_xlfn.TEXTJOIN("",TRUE,_xlfn.XLOOKUP(B442,Input!J:J,Input!G:G,"",0,1),_xlfn.XLOOKUP(B442,Input!J:J,Input!H:H,"",0,1))</f>
        <v/>
      </c>
      <c r="B442" s="32"/>
      <c r="C442" s="53">
        <f>_xlfn.XLOOKUP(B442,Input!J:J,Input!F:F)</f>
        <v>0</v>
      </c>
      <c r="D442" s="32">
        <f>_xlfn.XLOOKUP(C442,Models!H:H,Models!G:G,C442)</f>
        <v>0</v>
      </c>
      <c r="E442" s="32"/>
      <c r="F442" s="32" t="str">
        <f>_xlfn.XLOOKUP(H442,Models!B:B,Models!F:F,"")</f>
        <v/>
      </c>
      <c r="G442" s="32">
        <f>_xlfn.XLOOKUP(B442,Input!J:J,Input!E:E)</f>
        <v>0</v>
      </c>
      <c r="H442" s="32">
        <f>IF(G442="LENOVO",_xlfn.XLOOKUP(B442,Input!J:J,Input!K:K),_xlfn.XLOOKUP(B442,Input!J:J,Input!L:L))</f>
        <v>0</v>
      </c>
      <c r="I442" s="32"/>
      <c r="J442" s="32"/>
      <c r="K442" s="32"/>
      <c r="L442" s="53"/>
      <c r="M442" s="53"/>
      <c r="N442" s="53"/>
      <c r="O442" s="53" t="str" cm="1">
        <f t="array" ref="O442">IFERROR(_xlfn.FILTERXML("&lt;t&gt;&lt;s&gt;" &amp; SUBSTITUTE(M442," / ","&lt;/s&gt;&lt;s&gt;") &amp; "&lt;/s&gt;&lt;/t&gt;","(//s[contains(.,'DDR')])[1]"),"")</f>
        <v/>
      </c>
      <c r="P442" s="32" t="str">
        <f t="shared" si="19"/>
        <v>GB</v>
      </c>
      <c r="Q442" s="32"/>
      <c r="R442" s="32"/>
      <c r="S442" s="53" t="e">
        <f>_xlfn.LET(_xlpm.Result,INDEX(Input!$D$2:$AC$500,
       MATCH(B442, Input!$J$2:$J$500, 0),
       MATCH("Capacity", Input!$D$1:$AC$1, 0)),IF(_xlpm.Result="","",_xlpm.Result))</f>
        <v>#N/A</v>
      </c>
      <c r="T442" s="53"/>
      <c r="U442" s="53"/>
      <c r="V442" s="53" t="str" cm="1">
        <f t="array" ref="V442">IFERROR(_xlfn.IFS(
T442="","",
--T442&lt;55,"Battery Defect",
--T442&lt;=69,"Battery D",
--T442&lt;=80,"Battery C",
--T442&gt;80,""
),"")</f>
        <v/>
      </c>
      <c r="W442" s="53" t="str" cm="1">
        <f t="array" ref="W442">IFERROR(_xlfn.IFS(
U442="","",
--U442&lt;55,"Battery Defect",
--U442&lt;=69,"Battery D",
--U442&lt;=80,"Battery C",
--U442&gt;80,""
),"")</f>
        <v/>
      </c>
      <c r="X442" s="53"/>
      <c r="Y442" s="53"/>
      <c r="Z442" s="53"/>
      <c r="AA442" s="53"/>
      <c r="AB442" s="53"/>
      <c r="AC442" s="53"/>
      <c r="AD442" s="53"/>
      <c r="AE442" s="53"/>
      <c r="AF442" s="32" t="str">
        <f t="shared" si="18"/>
        <v/>
      </c>
      <c r="AG442" s="32"/>
      <c r="AH442" s="32"/>
      <c r="AI442" s="32"/>
      <c r="AJ442" s="32"/>
      <c r="AK442" s="32"/>
      <c r="AL442" s="32"/>
      <c r="AM442" s="32"/>
      <c r="AN442" s="32"/>
    </row>
    <row r="443" spans="1:40">
      <c r="A443" s="32" t="str">
        <f>_xlfn.TEXTJOIN("",TRUE,_xlfn.XLOOKUP(B443,Input!J:J,Input!G:G,"",0,1),_xlfn.XLOOKUP(B443,Input!J:J,Input!H:H,"",0,1))</f>
        <v/>
      </c>
      <c r="B443" s="32"/>
      <c r="C443" s="53">
        <f>_xlfn.XLOOKUP(B443,Input!J:J,Input!F:F)</f>
        <v>0</v>
      </c>
      <c r="D443" s="32">
        <f>_xlfn.XLOOKUP(C443,Models!H:H,Models!G:G,C443)</f>
        <v>0</v>
      </c>
      <c r="E443" s="32"/>
      <c r="F443" s="32" t="str">
        <f>_xlfn.XLOOKUP(H443,Models!B:B,Models!F:F,"")</f>
        <v/>
      </c>
      <c r="G443" s="32">
        <f>_xlfn.XLOOKUP(B443,Input!J:J,Input!E:E)</f>
        <v>0</v>
      </c>
      <c r="H443" s="32">
        <f>IF(G443="LENOVO",_xlfn.XLOOKUP(B443,Input!J:J,Input!K:K),_xlfn.XLOOKUP(B443,Input!J:J,Input!L:L))</f>
        <v>0</v>
      </c>
      <c r="I443" s="32"/>
      <c r="J443" s="32"/>
      <c r="K443" s="32"/>
      <c r="L443" s="53"/>
      <c r="M443" s="53"/>
      <c r="N443" s="53"/>
      <c r="O443" s="53" t="str" cm="1">
        <f t="array" ref="O443">IFERROR(_xlfn.FILTERXML("&lt;t&gt;&lt;s&gt;" &amp; SUBSTITUTE(M443," / ","&lt;/s&gt;&lt;s&gt;") &amp; "&lt;/s&gt;&lt;/t&gt;","(//s[contains(.,'DDR')])[1]"),"")</f>
        <v/>
      </c>
      <c r="P443" s="32" t="str">
        <f t="shared" si="19"/>
        <v>GB</v>
      </c>
      <c r="Q443" s="32"/>
      <c r="R443" s="32"/>
      <c r="S443" s="53" t="e">
        <f>_xlfn.LET(_xlpm.Result,INDEX(Input!$D$2:$AC$500,
       MATCH(B443, Input!$J$2:$J$500, 0),
       MATCH("Capacity", Input!$D$1:$AC$1, 0)),IF(_xlpm.Result="","",_xlpm.Result))</f>
        <v>#N/A</v>
      </c>
      <c r="T443" s="53"/>
      <c r="U443" s="53"/>
      <c r="V443" s="53" t="str" cm="1">
        <f t="array" ref="V443">IFERROR(_xlfn.IFS(
T443="","",
--T443&lt;55,"Battery Defect",
--T443&lt;=69,"Battery D",
--T443&lt;=80,"Battery C",
--T443&gt;80,""
),"")</f>
        <v/>
      </c>
      <c r="W443" s="53" t="str" cm="1">
        <f t="array" ref="W443">IFERROR(_xlfn.IFS(
U443="","",
--U443&lt;55,"Battery Defect",
--U443&lt;=69,"Battery D",
--U443&lt;=80,"Battery C",
--U443&gt;80,""
),"")</f>
        <v/>
      </c>
      <c r="X443" s="53"/>
      <c r="Y443" s="53"/>
      <c r="Z443" s="53"/>
      <c r="AA443" s="53"/>
      <c r="AB443" s="53"/>
      <c r="AC443" s="53"/>
      <c r="AD443" s="53"/>
      <c r="AE443" s="53"/>
      <c r="AF443" s="32" t="str">
        <f t="shared" si="18"/>
        <v/>
      </c>
      <c r="AG443" s="32"/>
      <c r="AH443" s="32"/>
      <c r="AI443" s="32"/>
      <c r="AJ443" s="32"/>
      <c r="AK443" s="32"/>
      <c r="AL443" s="32"/>
      <c r="AM443" s="32"/>
      <c r="AN443" s="32"/>
    </row>
    <row r="444" spans="1:40">
      <c r="A444" s="32" t="str">
        <f>_xlfn.TEXTJOIN("",TRUE,_xlfn.XLOOKUP(B444,Input!J:J,Input!G:G,"",0,1),_xlfn.XLOOKUP(B444,Input!J:J,Input!H:H,"",0,1))</f>
        <v/>
      </c>
      <c r="B444" s="32"/>
      <c r="C444" s="53">
        <f>_xlfn.XLOOKUP(B444,Input!J:J,Input!F:F)</f>
        <v>0</v>
      </c>
      <c r="D444" s="32">
        <f>_xlfn.XLOOKUP(C444,Models!H:H,Models!G:G,C444)</f>
        <v>0</v>
      </c>
      <c r="E444" s="32"/>
      <c r="F444" s="32" t="str">
        <f>_xlfn.XLOOKUP(H444,Models!B:B,Models!F:F,"")</f>
        <v/>
      </c>
      <c r="G444" s="32">
        <f>_xlfn.XLOOKUP(B444,Input!J:J,Input!E:E)</f>
        <v>0</v>
      </c>
      <c r="H444" s="32">
        <f>IF(G444="LENOVO",_xlfn.XLOOKUP(B444,Input!J:J,Input!K:K),_xlfn.XLOOKUP(B444,Input!J:J,Input!L:L))</f>
        <v>0</v>
      </c>
      <c r="I444" s="32"/>
      <c r="J444" s="32"/>
      <c r="K444" s="32"/>
      <c r="L444" s="53"/>
      <c r="M444" s="53"/>
      <c r="N444" s="53"/>
      <c r="O444" s="53" t="str" cm="1">
        <f t="array" ref="O444">IFERROR(_xlfn.FILTERXML("&lt;t&gt;&lt;s&gt;" &amp; SUBSTITUTE(M444," / ","&lt;/s&gt;&lt;s&gt;") &amp; "&lt;/s&gt;&lt;/t&gt;","(//s[contains(.,'DDR')])[1]"),"")</f>
        <v/>
      </c>
      <c r="P444" s="32" t="str">
        <f t="shared" si="19"/>
        <v>GB</v>
      </c>
      <c r="Q444" s="32"/>
      <c r="R444" s="32"/>
      <c r="S444" s="53" t="e">
        <f>_xlfn.LET(_xlpm.Result,INDEX(Input!$D$2:$AC$500,
       MATCH(B444, Input!$J$2:$J$500, 0),
       MATCH("Capacity", Input!$D$1:$AC$1, 0)),IF(_xlpm.Result="","",_xlpm.Result))</f>
        <v>#N/A</v>
      </c>
      <c r="T444" s="53"/>
      <c r="U444" s="53"/>
      <c r="V444" s="53" t="str" cm="1">
        <f t="array" ref="V444">IFERROR(_xlfn.IFS(
T444="","",
--T444&lt;55,"Battery Defect",
--T444&lt;=69,"Battery D",
--T444&lt;=80,"Battery C",
--T444&gt;80,""
),"")</f>
        <v/>
      </c>
      <c r="W444" s="53" t="str" cm="1">
        <f t="array" ref="W444">IFERROR(_xlfn.IFS(
U444="","",
--U444&lt;55,"Battery Defect",
--U444&lt;=69,"Battery D",
--U444&lt;=80,"Battery C",
--U444&gt;80,""
),"")</f>
        <v/>
      </c>
      <c r="X444" s="53"/>
      <c r="Y444" s="53"/>
      <c r="Z444" s="53"/>
      <c r="AA444" s="53"/>
      <c r="AB444" s="53"/>
      <c r="AC444" s="53"/>
      <c r="AD444" s="53"/>
      <c r="AE444" s="53"/>
      <c r="AF444" s="32" t="str">
        <f t="shared" si="18"/>
        <v/>
      </c>
      <c r="AG444" s="32"/>
      <c r="AH444" s="32"/>
      <c r="AI444" s="32"/>
      <c r="AJ444" s="32"/>
      <c r="AK444" s="32"/>
      <c r="AL444" s="32"/>
      <c r="AM444" s="32"/>
      <c r="AN444" s="32"/>
    </row>
    <row r="445" spans="1:40">
      <c r="A445" s="32" t="str">
        <f>_xlfn.TEXTJOIN("",TRUE,_xlfn.XLOOKUP(B445,Input!J:J,Input!G:G,"",0,1),_xlfn.XLOOKUP(B445,Input!J:J,Input!H:H,"",0,1))</f>
        <v/>
      </c>
      <c r="B445" s="32"/>
      <c r="C445" s="53">
        <f>_xlfn.XLOOKUP(B445,Input!J:J,Input!F:F)</f>
        <v>0</v>
      </c>
      <c r="D445" s="32">
        <f>_xlfn.XLOOKUP(C445,Models!H:H,Models!G:G,C445)</f>
        <v>0</v>
      </c>
      <c r="E445" s="32"/>
      <c r="F445" s="32" t="str">
        <f>_xlfn.XLOOKUP(H445,Models!B:B,Models!F:F,"")</f>
        <v/>
      </c>
      <c r="G445" s="32">
        <f>_xlfn.XLOOKUP(B445,Input!J:J,Input!E:E)</f>
        <v>0</v>
      </c>
      <c r="H445" s="32">
        <f>IF(G445="LENOVO",_xlfn.XLOOKUP(B445,Input!J:J,Input!K:K),_xlfn.XLOOKUP(B445,Input!J:J,Input!L:L))</f>
        <v>0</v>
      </c>
      <c r="I445" s="32"/>
      <c r="J445" s="32"/>
      <c r="K445" s="32"/>
      <c r="L445" s="53"/>
      <c r="M445" s="53"/>
      <c r="N445" s="53"/>
      <c r="O445" s="53" t="str" cm="1">
        <f t="array" ref="O445">IFERROR(_xlfn.FILTERXML("&lt;t&gt;&lt;s&gt;" &amp; SUBSTITUTE(M445," / ","&lt;/s&gt;&lt;s&gt;") &amp; "&lt;/s&gt;&lt;/t&gt;","(//s[contains(.,'DDR')])[1]"),"")</f>
        <v/>
      </c>
      <c r="P445" s="32" t="str">
        <f t="shared" si="19"/>
        <v>GB</v>
      </c>
      <c r="Q445" s="32"/>
      <c r="R445" s="32"/>
      <c r="S445" s="53" t="e">
        <f>_xlfn.LET(_xlpm.Result,INDEX(Input!$D$2:$AC$500,
       MATCH(B445, Input!$J$2:$J$500, 0),
       MATCH("Capacity", Input!$D$1:$AC$1, 0)),IF(_xlpm.Result="","",_xlpm.Result))</f>
        <v>#N/A</v>
      </c>
      <c r="T445" s="53"/>
      <c r="U445" s="53"/>
      <c r="V445" s="53" t="str" cm="1">
        <f t="array" ref="V445">IFERROR(_xlfn.IFS(
T445="","",
--T445&lt;55,"Battery Defect",
--T445&lt;=69,"Battery D",
--T445&lt;=80,"Battery C",
--T445&gt;80,""
),"")</f>
        <v/>
      </c>
      <c r="W445" s="53" t="str" cm="1">
        <f t="array" ref="W445">IFERROR(_xlfn.IFS(
U445="","",
--U445&lt;55,"Battery Defect",
--U445&lt;=69,"Battery D",
--U445&lt;=80,"Battery C",
--U445&gt;80,""
),"")</f>
        <v/>
      </c>
      <c r="X445" s="53"/>
      <c r="Y445" s="53"/>
      <c r="Z445" s="53"/>
      <c r="AA445" s="53"/>
      <c r="AB445" s="53"/>
      <c r="AC445" s="53"/>
      <c r="AD445" s="53"/>
      <c r="AE445" s="53"/>
      <c r="AF445" s="32" t="str">
        <f t="shared" si="18"/>
        <v/>
      </c>
      <c r="AG445" s="32"/>
      <c r="AH445" s="32"/>
      <c r="AI445" s="32"/>
      <c r="AJ445" s="32"/>
      <c r="AK445" s="32"/>
      <c r="AL445" s="32"/>
      <c r="AM445" s="32"/>
      <c r="AN445" s="32"/>
    </row>
    <row r="446" spans="1:40">
      <c r="A446" s="32" t="str">
        <f>_xlfn.TEXTJOIN("",TRUE,_xlfn.XLOOKUP(B446,Input!J:J,Input!G:G,"",0,1),_xlfn.XLOOKUP(B446,Input!J:J,Input!H:H,"",0,1))</f>
        <v/>
      </c>
      <c r="B446" s="32"/>
      <c r="C446" s="53">
        <f>_xlfn.XLOOKUP(B446,Input!J:J,Input!F:F)</f>
        <v>0</v>
      </c>
      <c r="D446" s="32">
        <f>_xlfn.XLOOKUP(C446,Models!H:H,Models!G:G,C446)</f>
        <v>0</v>
      </c>
      <c r="E446" s="32"/>
      <c r="F446" s="32" t="str">
        <f>_xlfn.XLOOKUP(H446,Models!B:B,Models!F:F,"")</f>
        <v/>
      </c>
      <c r="G446" s="32">
        <f>_xlfn.XLOOKUP(B446,Input!J:J,Input!E:E)</f>
        <v>0</v>
      </c>
      <c r="H446" s="32">
        <f>IF(G446="LENOVO",_xlfn.XLOOKUP(B446,Input!J:J,Input!K:K),_xlfn.XLOOKUP(B446,Input!J:J,Input!L:L))</f>
        <v>0</v>
      </c>
      <c r="I446" s="32"/>
      <c r="J446" s="32"/>
      <c r="K446" s="32"/>
      <c r="L446" s="53"/>
      <c r="M446" s="53"/>
      <c r="N446" s="53"/>
      <c r="O446" s="53" t="str" cm="1">
        <f t="array" ref="O446">IFERROR(_xlfn.FILTERXML("&lt;t&gt;&lt;s&gt;" &amp; SUBSTITUTE(M446," / ","&lt;/s&gt;&lt;s&gt;") &amp; "&lt;/s&gt;&lt;/t&gt;","(//s[contains(.,'DDR')])[1]"),"")</f>
        <v/>
      </c>
      <c r="P446" s="32" t="str">
        <f t="shared" si="19"/>
        <v>GB</v>
      </c>
      <c r="Q446" s="32"/>
      <c r="R446" s="32"/>
      <c r="S446" s="53" t="e">
        <f>_xlfn.LET(_xlpm.Result,INDEX(Input!$D$2:$AC$500,
       MATCH(B446, Input!$J$2:$J$500, 0),
       MATCH("Capacity", Input!$D$1:$AC$1, 0)),IF(_xlpm.Result="","",_xlpm.Result))</f>
        <v>#N/A</v>
      </c>
      <c r="T446" s="53"/>
      <c r="U446" s="53"/>
      <c r="V446" s="53" t="str" cm="1">
        <f t="array" ref="V446">IFERROR(_xlfn.IFS(
T446="","",
--T446&lt;55,"Battery Defect",
--T446&lt;=69,"Battery D",
--T446&lt;=80,"Battery C",
--T446&gt;80,""
),"")</f>
        <v/>
      </c>
      <c r="W446" s="53" t="str" cm="1">
        <f t="array" ref="W446">IFERROR(_xlfn.IFS(
U446="","",
--U446&lt;55,"Battery Defect",
--U446&lt;=69,"Battery D",
--U446&lt;=80,"Battery C",
--U446&gt;80,""
),"")</f>
        <v/>
      </c>
      <c r="X446" s="53"/>
      <c r="Y446" s="53"/>
      <c r="Z446" s="53"/>
      <c r="AA446" s="53"/>
      <c r="AB446" s="53"/>
      <c r="AC446" s="53"/>
      <c r="AD446" s="53"/>
      <c r="AE446" s="53"/>
      <c r="AF446" s="32" t="str">
        <f t="shared" si="18"/>
        <v/>
      </c>
      <c r="AG446" s="32"/>
      <c r="AH446" s="32"/>
      <c r="AI446" s="32"/>
      <c r="AJ446" s="32"/>
      <c r="AK446" s="32"/>
      <c r="AL446" s="32"/>
      <c r="AM446" s="32"/>
      <c r="AN446" s="32"/>
    </row>
    <row r="447" spans="1:40">
      <c r="A447" s="32" t="str">
        <f>_xlfn.TEXTJOIN("",TRUE,_xlfn.XLOOKUP(B447,Input!J:J,Input!G:G,"",0,1),_xlfn.XLOOKUP(B447,Input!J:J,Input!H:H,"",0,1))</f>
        <v/>
      </c>
      <c r="B447" s="32"/>
      <c r="C447" s="53">
        <f>_xlfn.XLOOKUP(B447,Input!J:J,Input!F:F)</f>
        <v>0</v>
      </c>
      <c r="D447" s="32">
        <f>_xlfn.XLOOKUP(C447,Models!H:H,Models!G:G,C447)</f>
        <v>0</v>
      </c>
      <c r="E447" s="32"/>
      <c r="F447" s="32" t="str">
        <f>_xlfn.XLOOKUP(H447,Models!B:B,Models!F:F,"")</f>
        <v/>
      </c>
      <c r="G447" s="32">
        <f>_xlfn.XLOOKUP(B447,Input!J:J,Input!E:E)</f>
        <v>0</v>
      </c>
      <c r="H447" s="32">
        <f>IF(G447="LENOVO",_xlfn.XLOOKUP(B447,Input!J:J,Input!K:K),_xlfn.XLOOKUP(B447,Input!J:J,Input!L:L))</f>
        <v>0</v>
      </c>
      <c r="I447" s="32"/>
      <c r="J447" s="32"/>
      <c r="K447" s="32"/>
      <c r="L447" s="53"/>
      <c r="M447" s="53"/>
      <c r="N447" s="53"/>
      <c r="O447" s="53" t="str" cm="1">
        <f t="array" ref="O447">IFERROR(_xlfn.FILTERXML("&lt;t&gt;&lt;s&gt;" &amp; SUBSTITUTE(M447," / ","&lt;/s&gt;&lt;s&gt;") &amp; "&lt;/s&gt;&lt;/t&gt;","(//s[contains(.,'DDR')])[1]"),"")</f>
        <v/>
      </c>
      <c r="P447" s="32" t="str">
        <f t="shared" si="19"/>
        <v>GB</v>
      </c>
      <c r="Q447" s="32"/>
      <c r="R447" s="32"/>
      <c r="S447" s="53" t="e">
        <f>_xlfn.LET(_xlpm.Result,INDEX(Input!$D$2:$AC$500,
       MATCH(B447, Input!$J$2:$J$500, 0),
       MATCH("Capacity", Input!$D$1:$AC$1, 0)),IF(_xlpm.Result="","",_xlpm.Result))</f>
        <v>#N/A</v>
      </c>
      <c r="T447" s="53"/>
      <c r="U447" s="53"/>
      <c r="V447" s="53" t="str" cm="1">
        <f t="array" ref="V447">IFERROR(_xlfn.IFS(
T447="","",
--T447&lt;55,"Battery Defect",
--T447&lt;=69,"Battery D",
--T447&lt;=80,"Battery C",
--T447&gt;80,""
),"")</f>
        <v/>
      </c>
      <c r="W447" s="53" t="str" cm="1">
        <f t="array" ref="W447">IFERROR(_xlfn.IFS(
U447="","",
--U447&lt;55,"Battery Defect",
--U447&lt;=69,"Battery D",
--U447&lt;=80,"Battery C",
--U447&gt;80,""
),"")</f>
        <v/>
      </c>
      <c r="X447" s="53"/>
      <c r="Y447" s="53"/>
      <c r="Z447" s="53"/>
      <c r="AA447" s="53"/>
      <c r="AB447" s="53"/>
      <c r="AC447" s="53"/>
      <c r="AD447" s="53"/>
      <c r="AE447" s="53"/>
      <c r="AF447" s="32" t="str">
        <f t="shared" si="18"/>
        <v/>
      </c>
      <c r="AG447" s="32"/>
      <c r="AH447" s="32"/>
      <c r="AI447" s="32"/>
      <c r="AJ447" s="32"/>
      <c r="AK447" s="32"/>
      <c r="AL447" s="32"/>
      <c r="AM447" s="32"/>
      <c r="AN447" s="32"/>
    </row>
    <row r="448" spans="1:40">
      <c r="A448" s="32" t="str">
        <f>_xlfn.TEXTJOIN("",TRUE,_xlfn.XLOOKUP(B448,Input!J:J,Input!G:G,"",0,1),_xlfn.XLOOKUP(B448,Input!J:J,Input!H:H,"",0,1))</f>
        <v/>
      </c>
      <c r="B448" s="32"/>
      <c r="C448" s="53">
        <f>_xlfn.XLOOKUP(B448,Input!J:J,Input!F:F)</f>
        <v>0</v>
      </c>
      <c r="D448" s="32">
        <f>_xlfn.XLOOKUP(C448,Models!H:H,Models!G:G,C448)</f>
        <v>0</v>
      </c>
      <c r="E448" s="32"/>
      <c r="F448" s="32" t="str">
        <f>_xlfn.XLOOKUP(H448,Models!B:B,Models!F:F,"")</f>
        <v/>
      </c>
      <c r="G448" s="32">
        <f>_xlfn.XLOOKUP(B448,Input!J:J,Input!E:E)</f>
        <v>0</v>
      </c>
      <c r="H448" s="32">
        <f>IF(G448="LENOVO",_xlfn.XLOOKUP(B448,Input!J:J,Input!K:K),_xlfn.XLOOKUP(B448,Input!J:J,Input!L:L))</f>
        <v>0</v>
      </c>
      <c r="I448" s="32"/>
      <c r="J448" s="32"/>
      <c r="K448" s="32"/>
      <c r="L448" s="53"/>
      <c r="M448" s="53"/>
      <c r="N448" s="53"/>
      <c r="O448" s="53" t="str" cm="1">
        <f t="array" ref="O448">IFERROR(_xlfn.FILTERXML("&lt;t&gt;&lt;s&gt;" &amp; SUBSTITUTE(M448," / ","&lt;/s&gt;&lt;s&gt;") &amp; "&lt;/s&gt;&lt;/t&gt;","(//s[contains(.,'DDR')])[1]"),"")</f>
        <v/>
      </c>
      <c r="P448" s="32" t="str">
        <f t="shared" si="19"/>
        <v>GB</v>
      </c>
      <c r="Q448" s="32"/>
      <c r="R448" s="32"/>
      <c r="S448" s="53" t="e">
        <f>_xlfn.LET(_xlpm.Result,INDEX(Input!$D$2:$AC$500,
       MATCH(B448, Input!$J$2:$J$500, 0),
       MATCH("Capacity", Input!$D$1:$AC$1, 0)),IF(_xlpm.Result="","",_xlpm.Result))</f>
        <v>#N/A</v>
      </c>
      <c r="T448" s="53"/>
      <c r="U448" s="53"/>
      <c r="V448" s="53" t="str" cm="1">
        <f t="array" ref="V448">IFERROR(_xlfn.IFS(
T448="","",
--T448&lt;55,"Battery Defect",
--T448&lt;=69,"Battery D",
--T448&lt;=80,"Battery C",
--T448&gt;80,""
),"")</f>
        <v/>
      </c>
      <c r="W448" s="53" t="str" cm="1">
        <f t="array" ref="W448">IFERROR(_xlfn.IFS(
U448="","",
--U448&lt;55,"Battery Defect",
--U448&lt;=69,"Battery D",
--U448&lt;=80,"Battery C",
--U448&gt;80,""
),"")</f>
        <v/>
      </c>
      <c r="X448" s="53"/>
      <c r="Y448" s="53"/>
      <c r="Z448" s="53"/>
      <c r="AA448" s="53"/>
      <c r="AB448" s="53"/>
      <c r="AC448" s="53"/>
      <c r="AD448" s="53"/>
      <c r="AE448" s="53"/>
      <c r="AF448" s="32" t="str">
        <f t="shared" si="18"/>
        <v/>
      </c>
      <c r="AG448" s="32"/>
      <c r="AH448" s="32"/>
      <c r="AI448" s="32"/>
      <c r="AJ448" s="32"/>
      <c r="AK448" s="32"/>
      <c r="AL448" s="32"/>
      <c r="AM448" s="32"/>
      <c r="AN448" s="32"/>
    </row>
    <row r="449" spans="1:40">
      <c r="A449" s="32" t="str">
        <f>_xlfn.TEXTJOIN("",TRUE,_xlfn.XLOOKUP(B449,Input!J:J,Input!G:G,"",0,1),_xlfn.XLOOKUP(B449,Input!J:J,Input!H:H,"",0,1))</f>
        <v/>
      </c>
      <c r="B449" s="32"/>
      <c r="C449" s="53">
        <f>_xlfn.XLOOKUP(B449,Input!J:J,Input!F:F)</f>
        <v>0</v>
      </c>
      <c r="D449" s="32">
        <f>_xlfn.XLOOKUP(C449,Models!H:H,Models!G:G,C449)</f>
        <v>0</v>
      </c>
      <c r="E449" s="32"/>
      <c r="F449" s="32" t="str">
        <f>_xlfn.XLOOKUP(H449,Models!B:B,Models!F:F,"")</f>
        <v/>
      </c>
      <c r="G449" s="32">
        <f>_xlfn.XLOOKUP(B449,Input!J:J,Input!E:E)</f>
        <v>0</v>
      </c>
      <c r="H449" s="32">
        <f>IF(G449="LENOVO",_xlfn.XLOOKUP(B449,Input!J:J,Input!K:K),_xlfn.XLOOKUP(B449,Input!J:J,Input!L:L))</f>
        <v>0</v>
      </c>
      <c r="I449" s="32"/>
      <c r="J449" s="32"/>
      <c r="K449" s="32"/>
      <c r="L449" s="53"/>
      <c r="M449" s="53"/>
      <c r="N449" s="53"/>
      <c r="O449" s="53" t="str" cm="1">
        <f t="array" ref="O449">IFERROR(_xlfn.FILTERXML("&lt;t&gt;&lt;s&gt;" &amp; SUBSTITUTE(M449," / ","&lt;/s&gt;&lt;s&gt;") &amp; "&lt;/s&gt;&lt;/t&gt;","(//s[contains(.,'DDR')])[1]"),"")</f>
        <v/>
      </c>
      <c r="P449" s="32" t="str">
        <f t="shared" si="19"/>
        <v>GB</v>
      </c>
      <c r="Q449" s="32"/>
      <c r="R449" s="32"/>
      <c r="S449" s="53" t="e">
        <f>_xlfn.LET(_xlpm.Result,INDEX(Input!$D$2:$AC$500,
       MATCH(B449, Input!$J$2:$J$500, 0),
       MATCH("Capacity", Input!$D$1:$AC$1, 0)),IF(_xlpm.Result="","",_xlpm.Result))</f>
        <v>#N/A</v>
      </c>
      <c r="T449" s="53"/>
      <c r="U449" s="53"/>
      <c r="V449" s="53" t="str" cm="1">
        <f t="array" ref="V449">IFERROR(_xlfn.IFS(
T449="","",
--T449&lt;55,"Battery Defect",
--T449&lt;=69,"Battery D",
--T449&lt;=80,"Battery C",
--T449&gt;80,""
),"")</f>
        <v/>
      </c>
      <c r="W449" s="53" t="str" cm="1">
        <f t="array" ref="W449">IFERROR(_xlfn.IFS(
U449="","",
--U449&lt;55,"Battery Defect",
--U449&lt;=69,"Battery D",
--U449&lt;=80,"Battery C",
--U449&gt;80,""
),"")</f>
        <v/>
      </c>
      <c r="X449" s="53"/>
      <c r="Y449" s="53"/>
      <c r="Z449" s="53"/>
      <c r="AA449" s="53"/>
      <c r="AB449" s="53"/>
      <c r="AC449" s="53"/>
      <c r="AD449" s="53"/>
      <c r="AE449" s="53"/>
      <c r="AF449" s="32" t="str">
        <f t="shared" si="18"/>
        <v/>
      </c>
      <c r="AG449" s="32"/>
      <c r="AH449" s="32"/>
      <c r="AI449" s="32"/>
      <c r="AJ449" s="32"/>
      <c r="AK449" s="32"/>
      <c r="AL449" s="32"/>
      <c r="AM449" s="32"/>
      <c r="AN449" s="32"/>
    </row>
    <row r="450" spans="1:40">
      <c r="A450" s="32" t="str">
        <f>_xlfn.TEXTJOIN("",TRUE,_xlfn.XLOOKUP(B450,Input!J:J,Input!G:G,"",0,1),_xlfn.XLOOKUP(B450,Input!J:J,Input!H:H,"",0,1))</f>
        <v/>
      </c>
      <c r="B450" s="32"/>
      <c r="C450" s="53">
        <f>_xlfn.XLOOKUP(B450,Input!J:J,Input!F:F)</f>
        <v>0</v>
      </c>
      <c r="D450" s="32">
        <f>_xlfn.XLOOKUP(C450,Models!H:H,Models!G:G,C450)</f>
        <v>0</v>
      </c>
      <c r="E450" s="32"/>
      <c r="F450" s="32" t="str">
        <f>_xlfn.XLOOKUP(H450,Models!B:B,Models!F:F,"")</f>
        <v/>
      </c>
      <c r="G450" s="32">
        <f>_xlfn.XLOOKUP(B450,Input!J:J,Input!E:E)</f>
        <v>0</v>
      </c>
      <c r="H450" s="32">
        <f>IF(G450="LENOVO",_xlfn.XLOOKUP(B450,Input!J:J,Input!K:K),_xlfn.XLOOKUP(B450,Input!J:J,Input!L:L))</f>
        <v>0</v>
      </c>
      <c r="I450" s="32"/>
      <c r="J450" s="32"/>
      <c r="K450" s="32"/>
      <c r="L450" s="53"/>
      <c r="M450" s="53"/>
      <c r="N450" s="53"/>
      <c r="O450" s="53" t="str" cm="1">
        <f t="array" ref="O450">IFERROR(_xlfn.FILTERXML("&lt;t&gt;&lt;s&gt;" &amp; SUBSTITUTE(M450," / ","&lt;/s&gt;&lt;s&gt;") &amp; "&lt;/s&gt;&lt;/t&gt;","(//s[contains(.,'DDR')])[1]"),"")</f>
        <v/>
      </c>
      <c r="P450" s="32" t="str">
        <f t="shared" si="19"/>
        <v>GB</v>
      </c>
      <c r="Q450" s="32"/>
      <c r="R450" s="32"/>
      <c r="S450" s="53" t="e">
        <f>_xlfn.LET(_xlpm.Result,INDEX(Input!$D$2:$AC$500,
       MATCH(B450, Input!$J$2:$J$500, 0),
       MATCH("Capacity", Input!$D$1:$AC$1, 0)),IF(_xlpm.Result="","",_xlpm.Result))</f>
        <v>#N/A</v>
      </c>
      <c r="T450" s="53"/>
      <c r="U450" s="53"/>
      <c r="V450" s="53" t="str" cm="1">
        <f t="array" ref="V450">IFERROR(_xlfn.IFS(
T450="","",
--T450&lt;55,"Battery Defect",
--T450&lt;=69,"Battery D",
--T450&lt;=80,"Battery C",
--T450&gt;80,""
),"")</f>
        <v/>
      </c>
      <c r="W450" s="53" t="str" cm="1">
        <f t="array" ref="W450">IFERROR(_xlfn.IFS(
U450="","",
--U450&lt;55,"Battery Defect",
--U450&lt;=69,"Battery D",
--U450&lt;=80,"Battery C",
--U450&gt;80,""
),"")</f>
        <v/>
      </c>
      <c r="X450" s="53"/>
      <c r="Y450" s="53"/>
      <c r="Z450" s="53"/>
      <c r="AA450" s="53"/>
      <c r="AB450" s="53"/>
      <c r="AC450" s="53"/>
      <c r="AD450" s="53"/>
      <c r="AE450" s="53"/>
      <c r="AF450" s="32" t="str">
        <f t="shared" si="18"/>
        <v/>
      </c>
      <c r="AG450" s="32"/>
      <c r="AH450" s="32"/>
      <c r="AI450" s="32"/>
      <c r="AJ450" s="32"/>
      <c r="AK450" s="32"/>
      <c r="AL450" s="32"/>
      <c r="AM450" s="32"/>
      <c r="AN450" s="32"/>
    </row>
    <row r="451" spans="1:40">
      <c r="A451" s="32" t="str">
        <f>_xlfn.TEXTJOIN("",TRUE,_xlfn.XLOOKUP(B451,Input!J:J,Input!G:G,"",0,1),_xlfn.XLOOKUP(B451,Input!J:J,Input!H:H,"",0,1))</f>
        <v/>
      </c>
      <c r="B451" s="32"/>
      <c r="C451" s="53">
        <f>_xlfn.XLOOKUP(B451,Input!J:J,Input!F:F)</f>
        <v>0</v>
      </c>
      <c r="D451" s="32">
        <f>_xlfn.XLOOKUP(C451,Models!H:H,Models!G:G,C451)</f>
        <v>0</v>
      </c>
      <c r="E451" s="32"/>
      <c r="F451" s="32" t="str">
        <f>_xlfn.XLOOKUP(H451,Models!B:B,Models!F:F,"")</f>
        <v/>
      </c>
      <c r="G451" s="32">
        <f>_xlfn.XLOOKUP(B451,Input!J:J,Input!E:E)</f>
        <v>0</v>
      </c>
      <c r="H451" s="32">
        <f>IF(G451="LENOVO",_xlfn.XLOOKUP(B451,Input!J:J,Input!K:K),_xlfn.XLOOKUP(B451,Input!J:J,Input!L:L))</f>
        <v>0</v>
      </c>
      <c r="I451" s="32"/>
      <c r="J451" s="32"/>
      <c r="K451" s="32"/>
      <c r="L451" s="53"/>
      <c r="M451" s="53"/>
      <c r="N451" s="53"/>
      <c r="O451" s="53" t="str" cm="1">
        <f t="array" ref="O451">IFERROR(_xlfn.FILTERXML("&lt;t&gt;&lt;s&gt;" &amp; SUBSTITUTE(M451," / ","&lt;/s&gt;&lt;s&gt;") &amp; "&lt;/s&gt;&lt;/t&gt;","(//s[contains(.,'DDR')])[1]"),"")</f>
        <v/>
      </c>
      <c r="P451" s="32" t="str">
        <f t="shared" si="19"/>
        <v>GB</v>
      </c>
      <c r="Q451" s="32"/>
      <c r="R451" s="32"/>
      <c r="S451" s="53" t="e">
        <f>_xlfn.LET(_xlpm.Result,INDEX(Input!$D$2:$AC$500,
       MATCH(B451, Input!$J$2:$J$500, 0),
       MATCH("Capacity", Input!$D$1:$AC$1, 0)),IF(_xlpm.Result="","",_xlpm.Result))</f>
        <v>#N/A</v>
      </c>
      <c r="T451" s="53"/>
      <c r="U451" s="53"/>
      <c r="V451" s="53" t="str" cm="1">
        <f t="array" ref="V451">IFERROR(_xlfn.IFS(
T451="","",
--T451&lt;55,"Battery Defect",
--T451&lt;=69,"Battery D",
--T451&lt;=80,"Battery C",
--T451&gt;80,""
),"")</f>
        <v/>
      </c>
      <c r="W451" s="53" t="str" cm="1">
        <f t="array" ref="W451">IFERROR(_xlfn.IFS(
U451="","",
--U451&lt;55,"Battery Defect",
--U451&lt;=69,"Battery D",
--U451&lt;=80,"Battery C",
--U451&gt;80,""
),"")</f>
        <v/>
      </c>
      <c r="X451" s="53"/>
      <c r="Y451" s="53"/>
      <c r="Z451" s="53"/>
      <c r="AA451" s="53"/>
      <c r="AB451" s="53"/>
      <c r="AC451" s="53"/>
      <c r="AD451" s="53"/>
      <c r="AE451" s="53"/>
      <c r="AF451" s="32" t="str">
        <f t="shared" ref="AF451:AF514" si="20">IF(D451="Laptop",_xlfn.TEXTJOIN(", ",TRUE,V451,W451,X451,Y451,Z451,AA451,AB451,AC451), _xlfn.TEXTJOIN(", ",TRUE,X451,Y451,Z451,AA451,AB451,AC451))</f>
        <v/>
      </c>
      <c r="AG451" s="32"/>
      <c r="AH451" s="32"/>
      <c r="AI451" s="32"/>
      <c r="AJ451" s="32"/>
      <c r="AK451" s="32"/>
      <c r="AL451" s="32"/>
      <c r="AM451" s="32"/>
      <c r="AN451" s="32"/>
    </row>
    <row r="452" spans="1:40">
      <c r="A452" s="32" t="str">
        <f>_xlfn.TEXTJOIN("",TRUE,_xlfn.XLOOKUP(B452,Input!J:J,Input!G:G,"",0,1),_xlfn.XLOOKUP(B452,Input!J:J,Input!H:H,"",0,1))</f>
        <v/>
      </c>
      <c r="B452" s="32"/>
      <c r="C452" s="53">
        <f>_xlfn.XLOOKUP(B452,Input!J:J,Input!F:F)</f>
        <v>0</v>
      </c>
      <c r="D452" s="32">
        <f>_xlfn.XLOOKUP(C452,Models!H:H,Models!G:G,C452)</f>
        <v>0</v>
      </c>
      <c r="E452" s="32"/>
      <c r="F452" s="32" t="str">
        <f>_xlfn.XLOOKUP(H452,Models!B:B,Models!F:F,"")</f>
        <v/>
      </c>
      <c r="G452" s="32">
        <f>_xlfn.XLOOKUP(B452,Input!J:J,Input!E:E)</f>
        <v>0</v>
      </c>
      <c r="H452" s="32">
        <f>IF(G452="LENOVO",_xlfn.XLOOKUP(B452,Input!J:J,Input!K:K),_xlfn.XLOOKUP(B452,Input!J:J,Input!L:L))</f>
        <v>0</v>
      </c>
      <c r="I452" s="32"/>
      <c r="J452" s="32"/>
      <c r="K452" s="32"/>
      <c r="L452" s="53"/>
      <c r="M452" s="53"/>
      <c r="N452" s="53"/>
      <c r="O452" s="53" t="str" cm="1">
        <f t="array" ref="O452">IFERROR(_xlfn.FILTERXML("&lt;t&gt;&lt;s&gt;" &amp; SUBSTITUTE(M452," / ","&lt;/s&gt;&lt;s&gt;") &amp; "&lt;/s&gt;&lt;/t&gt;","(//s[contains(.,'DDR')])[1]"),"")</f>
        <v/>
      </c>
      <c r="P452" s="32" t="str">
        <f t="shared" si="19"/>
        <v>GB</v>
      </c>
      <c r="Q452" s="32"/>
      <c r="R452" s="32"/>
      <c r="S452" s="53" t="e">
        <f>_xlfn.LET(_xlpm.Result,INDEX(Input!$D$2:$AC$500,
       MATCH(B452, Input!$J$2:$J$500, 0),
       MATCH("Capacity", Input!$D$1:$AC$1, 0)),IF(_xlpm.Result="","",_xlpm.Result))</f>
        <v>#N/A</v>
      </c>
      <c r="T452" s="53"/>
      <c r="U452" s="53"/>
      <c r="V452" s="53" t="str" cm="1">
        <f t="array" ref="V452">IFERROR(_xlfn.IFS(
T452="","",
--T452&lt;55,"Battery Defect",
--T452&lt;=69,"Battery D",
--T452&lt;=80,"Battery C",
--T452&gt;80,""
),"")</f>
        <v/>
      </c>
      <c r="W452" s="53" t="str" cm="1">
        <f t="array" ref="W452">IFERROR(_xlfn.IFS(
U452="","",
--U452&lt;55,"Battery Defect",
--U452&lt;=69,"Battery D",
--U452&lt;=80,"Battery C",
--U452&gt;80,""
),"")</f>
        <v/>
      </c>
      <c r="X452" s="53"/>
      <c r="Y452" s="53"/>
      <c r="Z452" s="53"/>
      <c r="AA452" s="53"/>
      <c r="AB452" s="53"/>
      <c r="AC452" s="53"/>
      <c r="AD452" s="53"/>
      <c r="AE452" s="53"/>
      <c r="AF452" s="32" t="str">
        <f t="shared" si="20"/>
        <v/>
      </c>
      <c r="AG452" s="32"/>
      <c r="AH452" s="32"/>
      <c r="AI452" s="32"/>
      <c r="AJ452" s="32"/>
      <c r="AK452" s="32"/>
      <c r="AL452" s="32"/>
      <c r="AM452" s="32"/>
      <c r="AN452" s="32"/>
    </row>
    <row r="453" spans="1:40">
      <c r="A453" s="32" t="str">
        <f>_xlfn.TEXTJOIN("",TRUE,_xlfn.XLOOKUP(B453,Input!J:J,Input!G:G,"",0,1),_xlfn.XLOOKUP(B453,Input!J:J,Input!H:H,"",0,1))</f>
        <v/>
      </c>
      <c r="B453" s="32"/>
      <c r="C453" s="53">
        <f>_xlfn.XLOOKUP(B453,Input!J:J,Input!F:F)</f>
        <v>0</v>
      </c>
      <c r="D453" s="32">
        <f>_xlfn.XLOOKUP(C453,Models!H:H,Models!G:G,C453)</f>
        <v>0</v>
      </c>
      <c r="E453" s="32"/>
      <c r="F453" s="32" t="str">
        <f>_xlfn.XLOOKUP(H453,Models!B:B,Models!F:F,"")</f>
        <v/>
      </c>
      <c r="G453" s="32">
        <f>_xlfn.XLOOKUP(B453,Input!J:J,Input!E:E)</f>
        <v>0</v>
      </c>
      <c r="H453" s="32">
        <f>IF(G453="LENOVO",_xlfn.XLOOKUP(B453,Input!J:J,Input!K:K),_xlfn.XLOOKUP(B453,Input!J:J,Input!L:L))</f>
        <v>0</v>
      </c>
      <c r="I453" s="32"/>
      <c r="J453" s="32"/>
      <c r="K453" s="32"/>
      <c r="L453" s="53"/>
      <c r="M453" s="53"/>
      <c r="N453" s="53"/>
      <c r="O453" s="53" t="str" cm="1">
        <f t="array" ref="O453">IFERROR(_xlfn.FILTERXML("&lt;t&gt;&lt;s&gt;" &amp; SUBSTITUTE(M453," / ","&lt;/s&gt;&lt;s&gt;") &amp; "&lt;/s&gt;&lt;/t&gt;","(//s[contains(.,'DDR')])[1]"),"")</f>
        <v/>
      </c>
      <c r="P453" s="32" t="str">
        <f t="shared" si="19"/>
        <v>GB</v>
      </c>
      <c r="Q453" s="32"/>
      <c r="R453" s="32"/>
      <c r="S453" s="53" t="e">
        <f>_xlfn.LET(_xlpm.Result,INDEX(Input!$D$2:$AC$500,
       MATCH(B453, Input!$J$2:$J$500, 0),
       MATCH("Capacity", Input!$D$1:$AC$1, 0)),IF(_xlpm.Result="","",_xlpm.Result))</f>
        <v>#N/A</v>
      </c>
      <c r="T453" s="53"/>
      <c r="U453" s="53"/>
      <c r="V453" s="53" t="str" cm="1">
        <f t="array" ref="V453">IFERROR(_xlfn.IFS(
T453="","",
--T453&lt;55,"Battery Defect",
--T453&lt;=69,"Battery D",
--T453&lt;=80,"Battery C",
--T453&gt;80,""
),"")</f>
        <v/>
      </c>
      <c r="W453" s="53" t="str" cm="1">
        <f t="array" ref="W453">IFERROR(_xlfn.IFS(
U453="","",
--U453&lt;55,"Battery Defect",
--U453&lt;=69,"Battery D",
--U453&lt;=80,"Battery C",
--U453&gt;80,""
),"")</f>
        <v/>
      </c>
      <c r="X453" s="53"/>
      <c r="Y453" s="53"/>
      <c r="Z453" s="53"/>
      <c r="AA453" s="53"/>
      <c r="AB453" s="53"/>
      <c r="AC453" s="53"/>
      <c r="AD453" s="53"/>
      <c r="AE453" s="53"/>
      <c r="AF453" s="32" t="str">
        <f t="shared" si="20"/>
        <v/>
      </c>
      <c r="AG453" s="32"/>
      <c r="AH453" s="32"/>
      <c r="AI453" s="32"/>
      <c r="AJ453" s="32"/>
      <c r="AK453" s="32"/>
      <c r="AL453" s="32"/>
      <c r="AM453" s="32"/>
      <c r="AN453" s="32"/>
    </row>
    <row r="454" spans="1:40">
      <c r="A454" s="32" t="str">
        <f>_xlfn.TEXTJOIN("",TRUE,_xlfn.XLOOKUP(B454,Input!J:J,Input!G:G,"",0,1),_xlfn.XLOOKUP(B454,Input!J:J,Input!H:H,"",0,1))</f>
        <v/>
      </c>
      <c r="B454" s="32"/>
      <c r="C454" s="53">
        <f>_xlfn.XLOOKUP(B454,Input!J:J,Input!F:F)</f>
        <v>0</v>
      </c>
      <c r="D454" s="32">
        <f>_xlfn.XLOOKUP(C454,Models!H:H,Models!G:G,C454)</f>
        <v>0</v>
      </c>
      <c r="E454" s="32"/>
      <c r="F454" s="32" t="str">
        <f>_xlfn.XLOOKUP(H454,Models!B:B,Models!F:F,"")</f>
        <v/>
      </c>
      <c r="G454" s="32">
        <f>_xlfn.XLOOKUP(B454,Input!J:J,Input!E:E)</f>
        <v>0</v>
      </c>
      <c r="H454" s="32">
        <f>IF(G454="LENOVO",_xlfn.XLOOKUP(B454,Input!J:J,Input!K:K),_xlfn.XLOOKUP(B454,Input!J:J,Input!L:L))</f>
        <v>0</v>
      </c>
      <c r="I454" s="32"/>
      <c r="J454" s="32"/>
      <c r="K454" s="32"/>
      <c r="L454" s="53"/>
      <c r="M454" s="53"/>
      <c r="N454" s="53"/>
      <c r="O454" s="53" t="str" cm="1">
        <f t="array" ref="O454">IFERROR(_xlfn.FILTERXML("&lt;t&gt;&lt;s&gt;" &amp; SUBSTITUTE(M454," / ","&lt;/s&gt;&lt;s&gt;") &amp; "&lt;/s&gt;&lt;/t&gt;","(//s[contains(.,'DDR')])[1]"),"")</f>
        <v/>
      </c>
      <c r="P454" s="32" t="str">
        <f t="shared" si="19"/>
        <v>GB</v>
      </c>
      <c r="Q454" s="32"/>
      <c r="R454" s="32"/>
      <c r="S454" s="53" t="e">
        <f>_xlfn.LET(_xlpm.Result,INDEX(Input!$D$2:$AC$500,
       MATCH(B454, Input!$J$2:$J$500, 0),
       MATCH("Capacity", Input!$D$1:$AC$1, 0)),IF(_xlpm.Result="","",_xlpm.Result))</f>
        <v>#N/A</v>
      </c>
      <c r="T454" s="53"/>
      <c r="U454" s="53"/>
      <c r="V454" s="53" t="str" cm="1">
        <f t="array" ref="V454">IFERROR(_xlfn.IFS(
T454="","",
--T454&lt;55,"Battery Defect",
--T454&lt;=69,"Battery D",
--T454&lt;=80,"Battery C",
--T454&gt;80,""
),"")</f>
        <v/>
      </c>
      <c r="W454" s="53" t="str" cm="1">
        <f t="array" ref="W454">IFERROR(_xlfn.IFS(
U454="","",
--U454&lt;55,"Battery Defect",
--U454&lt;=69,"Battery D",
--U454&lt;=80,"Battery C",
--U454&gt;80,""
),"")</f>
        <v/>
      </c>
      <c r="X454" s="53"/>
      <c r="Y454" s="53"/>
      <c r="Z454" s="53"/>
      <c r="AA454" s="53"/>
      <c r="AB454" s="53"/>
      <c r="AC454" s="53"/>
      <c r="AD454" s="53"/>
      <c r="AE454" s="53"/>
      <c r="AF454" s="32" t="str">
        <f t="shared" si="20"/>
        <v/>
      </c>
      <c r="AG454" s="32"/>
      <c r="AH454" s="32"/>
      <c r="AI454" s="32"/>
      <c r="AJ454" s="32"/>
      <c r="AK454" s="32"/>
      <c r="AL454" s="32"/>
      <c r="AM454" s="32"/>
      <c r="AN454" s="32"/>
    </row>
    <row r="455" spans="1:40">
      <c r="A455" s="32" t="str">
        <f>_xlfn.TEXTJOIN("",TRUE,_xlfn.XLOOKUP(B455,Input!J:J,Input!G:G,"",0,1),_xlfn.XLOOKUP(B455,Input!J:J,Input!H:H,"",0,1))</f>
        <v/>
      </c>
      <c r="B455" s="32"/>
      <c r="C455" s="53">
        <f>_xlfn.XLOOKUP(B455,Input!J:J,Input!F:F)</f>
        <v>0</v>
      </c>
      <c r="D455" s="32">
        <f>_xlfn.XLOOKUP(C455,Models!H:H,Models!G:G,C455)</f>
        <v>0</v>
      </c>
      <c r="E455" s="32"/>
      <c r="F455" s="32" t="str">
        <f>_xlfn.XLOOKUP(H455,Models!B:B,Models!F:F,"")</f>
        <v/>
      </c>
      <c r="G455" s="32">
        <f>_xlfn.XLOOKUP(B455,Input!J:J,Input!E:E)</f>
        <v>0</v>
      </c>
      <c r="H455" s="32">
        <f>IF(G455="LENOVO",_xlfn.XLOOKUP(B455,Input!J:J,Input!K:K),_xlfn.XLOOKUP(B455,Input!J:J,Input!L:L))</f>
        <v>0</v>
      </c>
      <c r="I455" s="32"/>
      <c r="J455" s="32"/>
      <c r="K455" s="32"/>
      <c r="L455" s="53"/>
      <c r="M455" s="53"/>
      <c r="N455" s="53"/>
      <c r="O455" s="53" t="str" cm="1">
        <f t="array" ref="O455">IFERROR(_xlfn.FILTERXML("&lt;t&gt;&lt;s&gt;" &amp; SUBSTITUTE(M455," / ","&lt;/s&gt;&lt;s&gt;") &amp; "&lt;/s&gt;&lt;/t&gt;","(//s[contains(.,'DDR')])[1]"),"")</f>
        <v/>
      </c>
      <c r="P455" s="32" t="str">
        <f t="shared" si="19"/>
        <v>GB</v>
      </c>
      <c r="Q455" s="32"/>
      <c r="R455" s="32"/>
      <c r="S455" s="53" t="e">
        <f>_xlfn.LET(_xlpm.Result,INDEX(Input!$D$2:$AC$500,
       MATCH(B455, Input!$J$2:$J$500, 0),
       MATCH("Capacity", Input!$D$1:$AC$1, 0)),IF(_xlpm.Result="","",_xlpm.Result))</f>
        <v>#N/A</v>
      </c>
      <c r="T455" s="53"/>
      <c r="U455" s="53"/>
      <c r="V455" s="53" t="str" cm="1">
        <f t="array" ref="V455">IFERROR(_xlfn.IFS(
T455="","",
--T455&lt;55,"Battery Defect",
--T455&lt;=69,"Battery D",
--T455&lt;=80,"Battery C",
--T455&gt;80,""
),"")</f>
        <v/>
      </c>
      <c r="W455" s="53" t="str" cm="1">
        <f t="array" ref="W455">IFERROR(_xlfn.IFS(
U455="","",
--U455&lt;55,"Battery Defect",
--U455&lt;=69,"Battery D",
--U455&lt;=80,"Battery C",
--U455&gt;80,""
),"")</f>
        <v/>
      </c>
      <c r="X455" s="53"/>
      <c r="Y455" s="53"/>
      <c r="Z455" s="53"/>
      <c r="AA455" s="53"/>
      <c r="AB455" s="53"/>
      <c r="AC455" s="53"/>
      <c r="AD455" s="53"/>
      <c r="AE455" s="53"/>
      <c r="AF455" s="32" t="str">
        <f t="shared" si="20"/>
        <v/>
      </c>
      <c r="AG455" s="32"/>
      <c r="AH455" s="32"/>
      <c r="AI455" s="32"/>
      <c r="AJ455" s="32"/>
      <c r="AK455" s="32"/>
      <c r="AL455" s="32"/>
      <c r="AM455" s="32"/>
      <c r="AN455" s="32"/>
    </row>
    <row r="456" spans="1:40">
      <c r="A456" s="32" t="str">
        <f>_xlfn.TEXTJOIN("",TRUE,_xlfn.XLOOKUP(B456,Input!J:J,Input!G:G,"",0,1),_xlfn.XLOOKUP(B456,Input!J:J,Input!H:H,"",0,1))</f>
        <v/>
      </c>
      <c r="B456" s="32"/>
      <c r="C456" s="53">
        <f>_xlfn.XLOOKUP(B456,Input!J:J,Input!F:F)</f>
        <v>0</v>
      </c>
      <c r="D456" s="32">
        <f>_xlfn.XLOOKUP(C456,Models!H:H,Models!G:G,C456)</f>
        <v>0</v>
      </c>
      <c r="E456" s="32"/>
      <c r="F456" s="32" t="str">
        <f>_xlfn.XLOOKUP(H456,Models!B:B,Models!F:F,"")</f>
        <v/>
      </c>
      <c r="G456" s="32">
        <f>_xlfn.XLOOKUP(B456,Input!J:J,Input!E:E)</f>
        <v>0</v>
      </c>
      <c r="H456" s="32">
        <f>IF(G456="LENOVO",_xlfn.XLOOKUP(B456,Input!J:J,Input!K:K),_xlfn.XLOOKUP(B456,Input!J:J,Input!L:L))</f>
        <v>0</v>
      </c>
      <c r="I456" s="32"/>
      <c r="J456" s="32"/>
      <c r="K456" s="32"/>
      <c r="L456" s="53"/>
      <c r="M456" s="53"/>
      <c r="N456" s="53"/>
      <c r="O456" s="53" t="str" cm="1">
        <f t="array" ref="O456">IFERROR(_xlfn.FILTERXML("&lt;t&gt;&lt;s&gt;" &amp; SUBSTITUTE(M456," / ","&lt;/s&gt;&lt;s&gt;") &amp; "&lt;/s&gt;&lt;/t&gt;","(//s[contains(.,'DDR')])[1]"),"")</f>
        <v/>
      </c>
      <c r="P456" s="32" t="str">
        <f t="shared" si="19"/>
        <v>GB</v>
      </c>
      <c r="Q456" s="32"/>
      <c r="R456" s="32"/>
      <c r="S456" s="53" t="e">
        <f>_xlfn.LET(_xlpm.Result,INDEX(Input!$D$2:$AC$500,
       MATCH(B456, Input!$J$2:$J$500, 0),
       MATCH("Capacity", Input!$D$1:$AC$1, 0)),IF(_xlpm.Result="","",_xlpm.Result))</f>
        <v>#N/A</v>
      </c>
      <c r="T456" s="53"/>
      <c r="U456" s="53"/>
      <c r="V456" s="53" t="str" cm="1">
        <f t="array" ref="V456">IFERROR(_xlfn.IFS(
T456="","",
--T456&lt;55,"Battery Defect",
--T456&lt;=69,"Battery D",
--T456&lt;=80,"Battery C",
--T456&gt;80,""
),"")</f>
        <v/>
      </c>
      <c r="W456" s="53" t="str" cm="1">
        <f t="array" ref="W456">IFERROR(_xlfn.IFS(
U456="","",
--U456&lt;55,"Battery Defect",
--U456&lt;=69,"Battery D",
--U456&lt;=80,"Battery C",
--U456&gt;80,""
),"")</f>
        <v/>
      </c>
      <c r="X456" s="53"/>
      <c r="Y456" s="53"/>
      <c r="Z456" s="53"/>
      <c r="AA456" s="53"/>
      <c r="AB456" s="53"/>
      <c r="AC456" s="53"/>
      <c r="AD456" s="53"/>
      <c r="AE456" s="53"/>
      <c r="AF456" s="32" t="str">
        <f t="shared" si="20"/>
        <v/>
      </c>
      <c r="AG456" s="32"/>
      <c r="AH456" s="32"/>
      <c r="AI456" s="32"/>
      <c r="AJ456" s="32"/>
      <c r="AK456" s="32"/>
      <c r="AL456" s="32"/>
      <c r="AM456" s="32"/>
      <c r="AN456" s="32"/>
    </row>
    <row r="457" spans="1:40">
      <c r="A457" s="32" t="str">
        <f>_xlfn.TEXTJOIN("",TRUE,_xlfn.XLOOKUP(B457,Input!J:J,Input!G:G,"",0,1),_xlfn.XLOOKUP(B457,Input!J:J,Input!H:H,"",0,1))</f>
        <v/>
      </c>
      <c r="B457" s="32"/>
      <c r="C457" s="53">
        <f>_xlfn.XLOOKUP(B457,Input!J:J,Input!F:F)</f>
        <v>0</v>
      </c>
      <c r="D457" s="32">
        <f>_xlfn.XLOOKUP(C457,Models!H:H,Models!G:G,C457)</f>
        <v>0</v>
      </c>
      <c r="E457" s="32"/>
      <c r="F457" s="32" t="str">
        <f>_xlfn.XLOOKUP(H457,Models!B:B,Models!F:F,"")</f>
        <v/>
      </c>
      <c r="G457" s="32">
        <f>_xlfn.XLOOKUP(B457,Input!J:J,Input!E:E)</f>
        <v>0</v>
      </c>
      <c r="H457" s="32">
        <f>IF(G457="LENOVO",_xlfn.XLOOKUP(B457,Input!J:J,Input!K:K),_xlfn.XLOOKUP(B457,Input!J:J,Input!L:L))</f>
        <v>0</v>
      </c>
      <c r="I457" s="32"/>
      <c r="J457" s="32"/>
      <c r="K457" s="32"/>
      <c r="L457" s="53"/>
      <c r="M457" s="53"/>
      <c r="N457" s="53"/>
      <c r="O457" s="53" t="str" cm="1">
        <f t="array" ref="O457">IFERROR(_xlfn.FILTERXML("&lt;t&gt;&lt;s&gt;" &amp; SUBSTITUTE(M457," / ","&lt;/s&gt;&lt;s&gt;") &amp; "&lt;/s&gt;&lt;/t&gt;","(//s[contains(.,'DDR')])[1]"),"")</f>
        <v/>
      </c>
      <c r="P457" s="32" t="str">
        <f t="shared" si="19"/>
        <v>GB</v>
      </c>
      <c r="Q457" s="32"/>
      <c r="R457" s="32"/>
      <c r="S457" s="53" t="e">
        <f>_xlfn.LET(_xlpm.Result,INDEX(Input!$D$2:$AC$500,
       MATCH(B457, Input!$J$2:$J$500, 0),
       MATCH("Capacity", Input!$D$1:$AC$1, 0)),IF(_xlpm.Result="","",_xlpm.Result))</f>
        <v>#N/A</v>
      </c>
      <c r="T457" s="53"/>
      <c r="U457" s="53"/>
      <c r="V457" s="53" t="str" cm="1">
        <f t="array" ref="V457">IFERROR(_xlfn.IFS(
T457="","",
--T457&lt;55,"Battery Defect",
--T457&lt;=69,"Battery D",
--T457&lt;=80,"Battery C",
--T457&gt;80,""
),"")</f>
        <v/>
      </c>
      <c r="W457" s="53" t="str" cm="1">
        <f t="array" ref="W457">IFERROR(_xlfn.IFS(
U457="","",
--U457&lt;55,"Battery Defect",
--U457&lt;=69,"Battery D",
--U457&lt;=80,"Battery C",
--U457&gt;80,""
),"")</f>
        <v/>
      </c>
      <c r="X457" s="53"/>
      <c r="Y457" s="53"/>
      <c r="Z457" s="53"/>
      <c r="AA457" s="53"/>
      <c r="AB457" s="53"/>
      <c r="AC457" s="53"/>
      <c r="AD457" s="53"/>
      <c r="AE457" s="53"/>
      <c r="AF457" s="32" t="str">
        <f t="shared" si="20"/>
        <v/>
      </c>
      <c r="AG457" s="32"/>
      <c r="AH457" s="32"/>
      <c r="AI457" s="32"/>
      <c r="AJ457" s="32"/>
      <c r="AK457" s="32"/>
      <c r="AL457" s="32"/>
      <c r="AM457" s="32"/>
      <c r="AN457" s="32"/>
    </row>
    <row r="458" spans="1:40">
      <c r="A458" s="32" t="str">
        <f>_xlfn.TEXTJOIN("",TRUE,_xlfn.XLOOKUP(B458,Input!J:J,Input!G:G,"",0,1),_xlfn.XLOOKUP(B458,Input!J:J,Input!H:H,"",0,1))</f>
        <v/>
      </c>
      <c r="B458" s="32"/>
      <c r="C458" s="53">
        <f>_xlfn.XLOOKUP(B458,Input!J:J,Input!F:F)</f>
        <v>0</v>
      </c>
      <c r="D458" s="32">
        <f>_xlfn.XLOOKUP(C458,Models!H:H,Models!G:G,C458)</f>
        <v>0</v>
      </c>
      <c r="E458" s="32"/>
      <c r="F458" s="32" t="str">
        <f>_xlfn.XLOOKUP(H458,Models!B:B,Models!F:F,"")</f>
        <v/>
      </c>
      <c r="G458" s="32">
        <f>_xlfn.XLOOKUP(B458,Input!J:J,Input!E:E)</f>
        <v>0</v>
      </c>
      <c r="H458" s="32">
        <f>IF(G458="LENOVO",_xlfn.XLOOKUP(B458,Input!J:J,Input!K:K),_xlfn.XLOOKUP(B458,Input!J:J,Input!L:L))</f>
        <v>0</v>
      </c>
      <c r="I458" s="32"/>
      <c r="J458" s="32"/>
      <c r="K458" s="32"/>
      <c r="L458" s="53"/>
      <c r="M458" s="53"/>
      <c r="N458" s="53"/>
      <c r="O458" s="53" t="str" cm="1">
        <f t="array" ref="O458">IFERROR(_xlfn.FILTERXML("&lt;t&gt;&lt;s&gt;" &amp; SUBSTITUTE(M458," / ","&lt;/s&gt;&lt;s&gt;") &amp; "&lt;/s&gt;&lt;/t&gt;","(//s[contains(.,'DDR')])[1]"),"")</f>
        <v/>
      </c>
      <c r="P458" s="32" t="str">
        <f t="shared" si="19"/>
        <v>GB</v>
      </c>
      <c r="Q458" s="32"/>
      <c r="R458" s="32"/>
      <c r="S458" s="53" t="e">
        <f>_xlfn.LET(_xlpm.Result,INDEX(Input!$D$2:$AC$500,
       MATCH(B458, Input!$J$2:$J$500, 0),
       MATCH("Capacity", Input!$D$1:$AC$1, 0)),IF(_xlpm.Result="","",_xlpm.Result))</f>
        <v>#N/A</v>
      </c>
      <c r="T458" s="53"/>
      <c r="U458" s="53"/>
      <c r="V458" s="53" t="str" cm="1">
        <f t="array" ref="V458">IFERROR(_xlfn.IFS(
T458="","",
--T458&lt;55,"Battery Defect",
--T458&lt;=69,"Battery D",
--T458&lt;=80,"Battery C",
--T458&gt;80,""
),"")</f>
        <v/>
      </c>
      <c r="W458" s="53" t="str" cm="1">
        <f t="array" ref="W458">IFERROR(_xlfn.IFS(
U458="","",
--U458&lt;55,"Battery Defect",
--U458&lt;=69,"Battery D",
--U458&lt;=80,"Battery C",
--U458&gt;80,""
),"")</f>
        <v/>
      </c>
      <c r="X458" s="53"/>
      <c r="Y458" s="53"/>
      <c r="Z458" s="53"/>
      <c r="AA458" s="53"/>
      <c r="AB458" s="53"/>
      <c r="AC458" s="53"/>
      <c r="AD458" s="53"/>
      <c r="AE458" s="53"/>
      <c r="AF458" s="32" t="str">
        <f t="shared" si="20"/>
        <v/>
      </c>
      <c r="AG458" s="32"/>
      <c r="AH458" s="32"/>
      <c r="AI458" s="32"/>
      <c r="AJ458" s="32"/>
      <c r="AK458" s="32"/>
      <c r="AL458" s="32"/>
      <c r="AM458" s="32"/>
      <c r="AN458" s="32"/>
    </row>
    <row r="459" spans="1:40">
      <c r="A459" s="32" t="str">
        <f>_xlfn.TEXTJOIN("",TRUE,_xlfn.XLOOKUP(B459,Input!J:J,Input!G:G,"",0,1),_xlfn.XLOOKUP(B459,Input!J:J,Input!H:H,"",0,1))</f>
        <v/>
      </c>
      <c r="B459" s="32"/>
      <c r="C459" s="53">
        <f>_xlfn.XLOOKUP(B459,Input!J:J,Input!F:F)</f>
        <v>0</v>
      </c>
      <c r="D459" s="32">
        <f>_xlfn.XLOOKUP(C459,Models!H:H,Models!G:G,C459)</f>
        <v>0</v>
      </c>
      <c r="E459" s="32"/>
      <c r="F459" s="32" t="str">
        <f>_xlfn.XLOOKUP(H459,Models!B:B,Models!F:F,"")</f>
        <v/>
      </c>
      <c r="G459" s="32">
        <f>_xlfn.XLOOKUP(B459,Input!J:J,Input!E:E)</f>
        <v>0</v>
      </c>
      <c r="H459" s="32">
        <f>IF(G459="LENOVO",_xlfn.XLOOKUP(B459,Input!J:J,Input!K:K),_xlfn.XLOOKUP(B459,Input!J:J,Input!L:L))</f>
        <v>0</v>
      </c>
      <c r="I459" s="32"/>
      <c r="J459" s="32"/>
      <c r="K459" s="32"/>
      <c r="L459" s="53"/>
      <c r="M459" s="53"/>
      <c r="N459" s="53"/>
      <c r="O459" s="53" t="str" cm="1">
        <f t="array" ref="O459">IFERROR(_xlfn.FILTERXML("&lt;t&gt;&lt;s&gt;" &amp; SUBSTITUTE(M459," / ","&lt;/s&gt;&lt;s&gt;") &amp; "&lt;/s&gt;&lt;/t&gt;","(//s[contains(.,'DDR')])[1]"),"")</f>
        <v/>
      </c>
      <c r="P459" s="32" t="str">
        <f t="shared" si="19"/>
        <v>GB</v>
      </c>
      <c r="Q459" s="32"/>
      <c r="R459" s="32"/>
      <c r="S459" s="53" t="e">
        <f>_xlfn.LET(_xlpm.Result,INDEX(Input!$D$2:$AC$500,
       MATCH(B459, Input!$J$2:$J$500, 0),
       MATCH("Capacity", Input!$D$1:$AC$1, 0)),IF(_xlpm.Result="","",_xlpm.Result))</f>
        <v>#N/A</v>
      </c>
      <c r="T459" s="53"/>
      <c r="U459" s="53"/>
      <c r="V459" s="53" t="str" cm="1">
        <f t="array" ref="V459">IFERROR(_xlfn.IFS(
T459="","",
--T459&lt;55,"Battery Defect",
--T459&lt;=69,"Battery D",
--T459&lt;=80,"Battery C",
--T459&gt;80,""
),"")</f>
        <v/>
      </c>
      <c r="W459" s="53" t="str" cm="1">
        <f t="array" ref="W459">IFERROR(_xlfn.IFS(
U459="","",
--U459&lt;55,"Battery Defect",
--U459&lt;=69,"Battery D",
--U459&lt;=80,"Battery C",
--U459&gt;80,""
),"")</f>
        <v/>
      </c>
      <c r="X459" s="53"/>
      <c r="Y459" s="53"/>
      <c r="Z459" s="53"/>
      <c r="AA459" s="53"/>
      <c r="AB459" s="53"/>
      <c r="AC459" s="53"/>
      <c r="AD459" s="53"/>
      <c r="AE459" s="53"/>
      <c r="AF459" s="32" t="str">
        <f t="shared" si="20"/>
        <v/>
      </c>
      <c r="AG459" s="32"/>
      <c r="AH459" s="32"/>
      <c r="AI459" s="32"/>
      <c r="AJ459" s="32"/>
      <c r="AK459" s="32"/>
      <c r="AL459" s="32"/>
      <c r="AM459" s="32"/>
      <c r="AN459" s="32"/>
    </row>
    <row r="460" spans="1:40">
      <c r="A460" s="32" t="str">
        <f>_xlfn.TEXTJOIN("",TRUE,_xlfn.XLOOKUP(B460,Input!J:J,Input!G:G,"",0,1),_xlfn.XLOOKUP(B460,Input!J:J,Input!H:H,"",0,1))</f>
        <v/>
      </c>
      <c r="B460" s="32"/>
      <c r="C460" s="53">
        <f>_xlfn.XLOOKUP(B460,Input!J:J,Input!F:F)</f>
        <v>0</v>
      </c>
      <c r="D460" s="32">
        <f>_xlfn.XLOOKUP(C460,Models!H:H,Models!G:G,C460)</f>
        <v>0</v>
      </c>
      <c r="E460" s="32"/>
      <c r="F460" s="32" t="str">
        <f>_xlfn.XLOOKUP(H460,Models!B:B,Models!F:F,"")</f>
        <v/>
      </c>
      <c r="G460" s="32">
        <f>_xlfn.XLOOKUP(B460,Input!J:J,Input!E:E)</f>
        <v>0</v>
      </c>
      <c r="H460" s="32">
        <f>IF(G460="LENOVO",_xlfn.XLOOKUP(B460,Input!J:J,Input!K:K),_xlfn.XLOOKUP(B460,Input!J:J,Input!L:L))</f>
        <v>0</v>
      </c>
      <c r="I460" s="32"/>
      <c r="J460" s="32"/>
      <c r="K460" s="32"/>
      <c r="L460" s="53"/>
      <c r="M460" s="53"/>
      <c r="N460" s="53"/>
      <c r="O460" s="53" t="str" cm="1">
        <f t="array" ref="O460">IFERROR(_xlfn.FILTERXML("&lt;t&gt;&lt;s&gt;" &amp; SUBSTITUTE(M460," / ","&lt;/s&gt;&lt;s&gt;") &amp; "&lt;/s&gt;&lt;/t&gt;","(//s[contains(.,'DDR')])[1]"),"")</f>
        <v/>
      </c>
      <c r="P460" s="32" t="str">
        <f t="shared" si="19"/>
        <v>GB</v>
      </c>
      <c r="Q460" s="32"/>
      <c r="R460" s="32"/>
      <c r="S460" s="53" t="e">
        <f>_xlfn.LET(_xlpm.Result,INDEX(Input!$D$2:$AC$500,
       MATCH(B460, Input!$J$2:$J$500, 0),
       MATCH("Capacity", Input!$D$1:$AC$1, 0)),IF(_xlpm.Result="","",_xlpm.Result))</f>
        <v>#N/A</v>
      </c>
      <c r="T460" s="53"/>
      <c r="U460" s="53"/>
      <c r="V460" s="53" t="str" cm="1">
        <f t="array" ref="V460">IFERROR(_xlfn.IFS(
T460="","",
--T460&lt;55,"Battery Defect",
--T460&lt;=69,"Battery D",
--T460&lt;=80,"Battery C",
--T460&gt;80,""
),"")</f>
        <v/>
      </c>
      <c r="W460" s="53" t="str" cm="1">
        <f t="array" ref="W460">IFERROR(_xlfn.IFS(
U460="","",
--U460&lt;55,"Battery Defect",
--U460&lt;=69,"Battery D",
--U460&lt;=80,"Battery C",
--U460&gt;80,""
),"")</f>
        <v/>
      </c>
      <c r="X460" s="53"/>
      <c r="Y460" s="53"/>
      <c r="Z460" s="53"/>
      <c r="AA460" s="53"/>
      <c r="AB460" s="53"/>
      <c r="AC460" s="53"/>
      <c r="AD460" s="53"/>
      <c r="AE460" s="53"/>
      <c r="AF460" s="32" t="str">
        <f t="shared" si="20"/>
        <v/>
      </c>
      <c r="AG460" s="32"/>
      <c r="AH460" s="32"/>
      <c r="AI460" s="32"/>
      <c r="AJ460" s="32"/>
      <c r="AK460" s="32"/>
      <c r="AL460" s="32"/>
      <c r="AM460" s="32"/>
      <c r="AN460" s="32"/>
    </row>
    <row r="461" spans="1:40">
      <c r="A461" s="32" t="str">
        <f>_xlfn.TEXTJOIN("",TRUE,_xlfn.XLOOKUP(B461,Input!J:J,Input!G:G,"",0,1),_xlfn.XLOOKUP(B461,Input!J:J,Input!H:H,"",0,1))</f>
        <v/>
      </c>
      <c r="B461" s="32"/>
      <c r="C461" s="53">
        <f>_xlfn.XLOOKUP(B461,Input!J:J,Input!F:F)</f>
        <v>0</v>
      </c>
      <c r="D461" s="32">
        <f>_xlfn.XLOOKUP(C461,Models!H:H,Models!G:G,C461)</f>
        <v>0</v>
      </c>
      <c r="E461" s="32"/>
      <c r="F461" s="32" t="str">
        <f>_xlfn.XLOOKUP(H461,Models!B:B,Models!F:F,"")</f>
        <v/>
      </c>
      <c r="G461" s="32">
        <f>_xlfn.XLOOKUP(B461,Input!J:J,Input!E:E)</f>
        <v>0</v>
      </c>
      <c r="H461" s="32">
        <f>IF(G461="LENOVO",_xlfn.XLOOKUP(B461,Input!J:J,Input!K:K),_xlfn.XLOOKUP(B461,Input!J:J,Input!L:L))</f>
        <v>0</v>
      </c>
      <c r="I461" s="32"/>
      <c r="J461" s="32"/>
      <c r="K461" s="32"/>
      <c r="L461" s="53"/>
      <c r="M461" s="53"/>
      <c r="N461" s="53"/>
      <c r="O461" s="53" t="str" cm="1">
        <f t="array" ref="O461">IFERROR(_xlfn.FILTERXML("&lt;t&gt;&lt;s&gt;" &amp; SUBSTITUTE(M461," / ","&lt;/s&gt;&lt;s&gt;") &amp; "&lt;/s&gt;&lt;/t&gt;","(//s[contains(.,'DDR')])[1]"),"")</f>
        <v/>
      </c>
      <c r="P461" s="32" t="str">
        <f t="shared" si="19"/>
        <v>GB</v>
      </c>
      <c r="Q461" s="32"/>
      <c r="R461" s="32"/>
      <c r="S461" s="53" t="e">
        <f>_xlfn.LET(_xlpm.Result,INDEX(Input!$D$2:$AC$500,
       MATCH(B461, Input!$J$2:$J$500, 0),
       MATCH("Capacity", Input!$D$1:$AC$1, 0)),IF(_xlpm.Result="","",_xlpm.Result))</f>
        <v>#N/A</v>
      </c>
      <c r="T461" s="53"/>
      <c r="U461" s="53"/>
      <c r="V461" s="53" t="str" cm="1">
        <f t="array" ref="V461">IFERROR(_xlfn.IFS(
T461="","",
--T461&lt;55,"Battery Defect",
--T461&lt;=69,"Battery D",
--T461&lt;=80,"Battery C",
--T461&gt;80,""
),"")</f>
        <v/>
      </c>
      <c r="W461" s="53" t="str" cm="1">
        <f t="array" ref="W461">IFERROR(_xlfn.IFS(
U461="","",
--U461&lt;55,"Battery Defect",
--U461&lt;=69,"Battery D",
--U461&lt;=80,"Battery C",
--U461&gt;80,""
),"")</f>
        <v/>
      </c>
      <c r="X461" s="53"/>
      <c r="Y461" s="53"/>
      <c r="Z461" s="53"/>
      <c r="AA461" s="53"/>
      <c r="AB461" s="53"/>
      <c r="AC461" s="53"/>
      <c r="AD461" s="53"/>
      <c r="AE461" s="53"/>
      <c r="AF461" s="32" t="str">
        <f t="shared" si="20"/>
        <v/>
      </c>
      <c r="AG461" s="32"/>
      <c r="AH461" s="32"/>
      <c r="AI461" s="32"/>
      <c r="AJ461" s="32"/>
      <c r="AK461" s="32"/>
      <c r="AL461" s="32"/>
      <c r="AM461" s="32"/>
      <c r="AN461" s="32"/>
    </row>
    <row r="462" spans="1:40">
      <c r="A462" s="32" t="str">
        <f>_xlfn.TEXTJOIN("",TRUE,_xlfn.XLOOKUP(B462,Input!J:J,Input!G:G,"",0,1),_xlfn.XLOOKUP(B462,Input!J:J,Input!H:H,"",0,1))</f>
        <v/>
      </c>
      <c r="B462" s="32"/>
      <c r="C462" s="53">
        <f>_xlfn.XLOOKUP(B462,Input!J:J,Input!F:F)</f>
        <v>0</v>
      </c>
      <c r="D462" s="32">
        <f>_xlfn.XLOOKUP(C462,Models!H:H,Models!G:G,C462)</f>
        <v>0</v>
      </c>
      <c r="E462" s="32"/>
      <c r="F462" s="32" t="str">
        <f>_xlfn.XLOOKUP(H462,Models!B:B,Models!F:F,"")</f>
        <v/>
      </c>
      <c r="G462" s="32">
        <f>_xlfn.XLOOKUP(B462,Input!J:J,Input!E:E)</f>
        <v>0</v>
      </c>
      <c r="H462" s="32">
        <f>IF(G462="LENOVO",_xlfn.XLOOKUP(B462,Input!J:J,Input!K:K),_xlfn.XLOOKUP(B462,Input!J:J,Input!L:L))</f>
        <v>0</v>
      </c>
      <c r="I462" s="32"/>
      <c r="J462" s="32"/>
      <c r="K462" s="32"/>
      <c r="L462" s="53"/>
      <c r="M462" s="53"/>
      <c r="N462" s="53"/>
      <c r="O462" s="53" t="str" cm="1">
        <f t="array" ref="O462">IFERROR(_xlfn.FILTERXML("&lt;t&gt;&lt;s&gt;" &amp; SUBSTITUTE(M462," / ","&lt;/s&gt;&lt;s&gt;") &amp; "&lt;/s&gt;&lt;/t&gt;","(//s[contains(.,'DDR')])[1]"),"")</f>
        <v/>
      </c>
      <c r="P462" s="32" t="str">
        <f t="shared" si="19"/>
        <v>GB</v>
      </c>
      <c r="Q462" s="32"/>
      <c r="R462" s="32"/>
      <c r="S462" s="53" t="e">
        <f>_xlfn.LET(_xlpm.Result,INDEX(Input!$D$2:$AC$500,
       MATCH(B462, Input!$J$2:$J$500, 0),
       MATCH("Capacity", Input!$D$1:$AC$1, 0)),IF(_xlpm.Result="","",_xlpm.Result))</f>
        <v>#N/A</v>
      </c>
      <c r="T462" s="53"/>
      <c r="U462" s="53"/>
      <c r="V462" s="53" t="str" cm="1">
        <f t="array" ref="V462">IFERROR(_xlfn.IFS(
T462="","",
--T462&lt;55,"Battery Defect",
--T462&lt;=69,"Battery D",
--T462&lt;=80,"Battery C",
--T462&gt;80,""
),"")</f>
        <v/>
      </c>
      <c r="W462" s="53" t="str" cm="1">
        <f t="array" ref="W462">IFERROR(_xlfn.IFS(
U462="","",
--U462&lt;55,"Battery Defect",
--U462&lt;=69,"Battery D",
--U462&lt;=80,"Battery C",
--U462&gt;80,""
),"")</f>
        <v/>
      </c>
      <c r="X462" s="53"/>
      <c r="Y462" s="53"/>
      <c r="Z462" s="53"/>
      <c r="AA462" s="53"/>
      <c r="AB462" s="53"/>
      <c r="AC462" s="53"/>
      <c r="AD462" s="53"/>
      <c r="AE462" s="53"/>
      <c r="AF462" s="32" t="str">
        <f t="shared" si="20"/>
        <v/>
      </c>
      <c r="AG462" s="32"/>
      <c r="AH462" s="32"/>
      <c r="AI462" s="32"/>
      <c r="AJ462" s="32"/>
      <c r="AK462" s="32"/>
      <c r="AL462" s="32"/>
      <c r="AM462" s="32"/>
      <c r="AN462" s="32"/>
    </row>
    <row r="463" spans="1:40">
      <c r="A463" s="32" t="str">
        <f>_xlfn.TEXTJOIN("",TRUE,_xlfn.XLOOKUP(B463,Input!J:J,Input!G:G,"",0,1),_xlfn.XLOOKUP(B463,Input!J:J,Input!H:H,"",0,1))</f>
        <v/>
      </c>
      <c r="B463" s="32"/>
      <c r="C463" s="53">
        <f>_xlfn.XLOOKUP(B463,Input!J:J,Input!F:F)</f>
        <v>0</v>
      </c>
      <c r="D463" s="32">
        <f>_xlfn.XLOOKUP(C463,Models!H:H,Models!G:G,C463)</f>
        <v>0</v>
      </c>
      <c r="E463" s="32"/>
      <c r="F463" s="32" t="str">
        <f>_xlfn.XLOOKUP(H463,Models!B:B,Models!F:F,"")</f>
        <v/>
      </c>
      <c r="G463" s="32">
        <f>_xlfn.XLOOKUP(B463,Input!J:J,Input!E:E)</f>
        <v>0</v>
      </c>
      <c r="H463" s="32">
        <f>IF(G463="LENOVO",_xlfn.XLOOKUP(B463,Input!J:J,Input!K:K),_xlfn.XLOOKUP(B463,Input!J:J,Input!L:L))</f>
        <v>0</v>
      </c>
      <c r="I463" s="32"/>
      <c r="J463" s="32"/>
      <c r="K463" s="32"/>
      <c r="L463" s="53"/>
      <c r="M463" s="53"/>
      <c r="N463" s="53"/>
      <c r="O463" s="53" t="str" cm="1">
        <f t="array" ref="O463">IFERROR(_xlfn.FILTERXML("&lt;t&gt;&lt;s&gt;" &amp; SUBSTITUTE(M463," / ","&lt;/s&gt;&lt;s&gt;") &amp; "&lt;/s&gt;&lt;/t&gt;","(//s[contains(.,'DDR')])[1]"),"")</f>
        <v/>
      </c>
      <c r="P463" s="32" t="str">
        <f t="shared" si="19"/>
        <v>GB</v>
      </c>
      <c r="Q463" s="32"/>
      <c r="R463" s="32"/>
      <c r="S463" s="53" t="e">
        <f>_xlfn.LET(_xlpm.Result,INDEX(Input!$D$2:$AC$500,
       MATCH(B463, Input!$J$2:$J$500, 0),
       MATCH("Capacity", Input!$D$1:$AC$1, 0)),IF(_xlpm.Result="","",_xlpm.Result))</f>
        <v>#N/A</v>
      </c>
      <c r="T463" s="53"/>
      <c r="U463" s="53"/>
      <c r="V463" s="53" t="str" cm="1">
        <f t="array" ref="V463">IFERROR(_xlfn.IFS(
T463="","",
--T463&lt;55,"Battery Defect",
--T463&lt;=69,"Battery D",
--T463&lt;=80,"Battery C",
--T463&gt;80,""
),"")</f>
        <v/>
      </c>
      <c r="W463" s="53" t="str" cm="1">
        <f t="array" ref="W463">IFERROR(_xlfn.IFS(
U463="","",
--U463&lt;55,"Battery Defect",
--U463&lt;=69,"Battery D",
--U463&lt;=80,"Battery C",
--U463&gt;80,""
),"")</f>
        <v/>
      </c>
      <c r="X463" s="53"/>
      <c r="Y463" s="53"/>
      <c r="Z463" s="53"/>
      <c r="AA463" s="53"/>
      <c r="AB463" s="53"/>
      <c r="AC463" s="53"/>
      <c r="AD463" s="53"/>
      <c r="AE463" s="53"/>
      <c r="AF463" s="32" t="str">
        <f t="shared" si="20"/>
        <v/>
      </c>
      <c r="AG463" s="32"/>
      <c r="AH463" s="32"/>
      <c r="AI463" s="32"/>
      <c r="AJ463" s="32"/>
      <c r="AK463" s="32"/>
      <c r="AL463" s="32"/>
      <c r="AM463" s="32"/>
      <c r="AN463" s="32"/>
    </row>
    <row r="464" spans="1:40">
      <c r="A464" s="32" t="str">
        <f>_xlfn.TEXTJOIN("",TRUE,_xlfn.XLOOKUP(B464,Input!J:J,Input!G:G,"",0,1),_xlfn.XLOOKUP(B464,Input!J:J,Input!H:H,"",0,1))</f>
        <v/>
      </c>
      <c r="B464" s="32"/>
      <c r="C464" s="53">
        <f>_xlfn.XLOOKUP(B464,Input!J:J,Input!F:F)</f>
        <v>0</v>
      </c>
      <c r="D464" s="32">
        <f>_xlfn.XLOOKUP(C464,Models!H:H,Models!G:G,C464)</f>
        <v>0</v>
      </c>
      <c r="E464" s="32"/>
      <c r="F464" s="32" t="str">
        <f>_xlfn.XLOOKUP(H464,Models!B:B,Models!F:F,"")</f>
        <v/>
      </c>
      <c r="G464" s="32">
        <f>_xlfn.XLOOKUP(B464,Input!J:J,Input!E:E)</f>
        <v>0</v>
      </c>
      <c r="H464" s="32">
        <f>IF(G464="LENOVO",_xlfn.XLOOKUP(B464,Input!J:J,Input!K:K),_xlfn.XLOOKUP(B464,Input!J:J,Input!L:L))</f>
        <v>0</v>
      </c>
      <c r="I464" s="32"/>
      <c r="J464" s="32"/>
      <c r="K464" s="32"/>
      <c r="L464" s="53"/>
      <c r="M464" s="53"/>
      <c r="N464" s="53"/>
      <c r="O464" s="53" t="str" cm="1">
        <f t="array" ref="O464">IFERROR(_xlfn.FILTERXML("&lt;t&gt;&lt;s&gt;" &amp; SUBSTITUTE(M464," / ","&lt;/s&gt;&lt;s&gt;") &amp; "&lt;/s&gt;&lt;/t&gt;","(//s[contains(.,'DDR')])[1]"),"")</f>
        <v/>
      </c>
      <c r="P464" s="32" t="str">
        <f t="shared" si="19"/>
        <v>GB</v>
      </c>
      <c r="Q464" s="32"/>
      <c r="R464" s="32"/>
      <c r="S464" s="53" t="e">
        <f>_xlfn.LET(_xlpm.Result,INDEX(Input!$D$2:$AC$500,
       MATCH(B464, Input!$J$2:$J$500, 0),
       MATCH("Capacity", Input!$D$1:$AC$1, 0)),IF(_xlpm.Result="","",_xlpm.Result))</f>
        <v>#N/A</v>
      </c>
      <c r="T464" s="53"/>
      <c r="U464" s="53"/>
      <c r="V464" s="53" t="str" cm="1">
        <f t="array" ref="V464">IFERROR(_xlfn.IFS(
T464="","",
--T464&lt;55,"Battery Defect",
--T464&lt;=69,"Battery D",
--T464&lt;=80,"Battery C",
--T464&gt;80,""
),"")</f>
        <v/>
      </c>
      <c r="W464" s="53" t="str" cm="1">
        <f t="array" ref="W464">IFERROR(_xlfn.IFS(
U464="","",
--U464&lt;55,"Battery Defect",
--U464&lt;=69,"Battery D",
--U464&lt;=80,"Battery C",
--U464&gt;80,""
),"")</f>
        <v/>
      </c>
      <c r="X464" s="53"/>
      <c r="Y464" s="53"/>
      <c r="Z464" s="53"/>
      <c r="AA464" s="53"/>
      <c r="AB464" s="53"/>
      <c r="AC464" s="53"/>
      <c r="AD464" s="53"/>
      <c r="AE464" s="53"/>
      <c r="AF464" s="32" t="str">
        <f t="shared" si="20"/>
        <v/>
      </c>
      <c r="AG464" s="32"/>
      <c r="AH464" s="32"/>
      <c r="AI464" s="32"/>
      <c r="AJ464" s="32"/>
      <c r="AK464" s="32"/>
      <c r="AL464" s="32"/>
      <c r="AM464" s="32"/>
      <c r="AN464" s="32"/>
    </row>
    <row r="465" spans="1:40">
      <c r="A465" s="32" t="str">
        <f>_xlfn.TEXTJOIN("",TRUE,_xlfn.XLOOKUP(B465,Input!J:J,Input!G:G,"",0,1),_xlfn.XLOOKUP(B465,Input!J:J,Input!H:H,"",0,1))</f>
        <v/>
      </c>
      <c r="B465" s="32"/>
      <c r="C465" s="53">
        <f>_xlfn.XLOOKUP(B465,Input!J:J,Input!F:F)</f>
        <v>0</v>
      </c>
      <c r="D465" s="32">
        <f>_xlfn.XLOOKUP(C465,Models!H:H,Models!G:G,C465)</f>
        <v>0</v>
      </c>
      <c r="E465" s="32"/>
      <c r="F465" s="32" t="str">
        <f>_xlfn.XLOOKUP(H465,Models!B:B,Models!F:F,"")</f>
        <v/>
      </c>
      <c r="G465" s="32">
        <f>_xlfn.XLOOKUP(B465,Input!J:J,Input!E:E)</f>
        <v>0</v>
      </c>
      <c r="H465" s="32">
        <f>IF(G465="LENOVO",_xlfn.XLOOKUP(B465,Input!J:J,Input!K:K),_xlfn.XLOOKUP(B465,Input!J:J,Input!L:L))</f>
        <v>0</v>
      </c>
      <c r="I465" s="32"/>
      <c r="J465" s="32"/>
      <c r="K465" s="32"/>
      <c r="L465" s="53"/>
      <c r="M465" s="53"/>
      <c r="N465" s="53"/>
      <c r="O465" s="53" t="str" cm="1">
        <f t="array" ref="O465">IFERROR(_xlfn.FILTERXML("&lt;t&gt;&lt;s&gt;" &amp; SUBSTITUTE(M465," / ","&lt;/s&gt;&lt;s&gt;") &amp; "&lt;/s&gt;&lt;/t&gt;","(//s[contains(.,'DDR')])[1]"),"")</f>
        <v/>
      </c>
      <c r="P465" s="32" t="str">
        <f t="shared" si="19"/>
        <v>GB</v>
      </c>
      <c r="Q465" s="32"/>
      <c r="R465" s="32"/>
      <c r="S465" s="53" t="e">
        <f>_xlfn.LET(_xlpm.Result,INDEX(Input!$D$2:$AC$500,
       MATCH(B465, Input!$J$2:$J$500, 0),
       MATCH("Capacity", Input!$D$1:$AC$1, 0)),IF(_xlpm.Result="","",_xlpm.Result))</f>
        <v>#N/A</v>
      </c>
      <c r="T465" s="53"/>
      <c r="U465" s="53"/>
      <c r="V465" s="53" t="str" cm="1">
        <f t="array" ref="V465">IFERROR(_xlfn.IFS(
T465="","",
--T465&lt;55,"Battery Defect",
--T465&lt;=69,"Battery D",
--T465&lt;=80,"Battery C",
--T465&gt;80,""
),"")</f>
        <v/>
      </c>
      <c r="W465" s="53" t="str" cm="1">
        <f t="array" ref="W465">IFERROR(_xlfn.IFS(
U465="","",
--U465&lt;55,"Battery Defect",
--U465&lt;=69,"Battery D",
--U465&lt;=80,"Battery C",
--U465&gt;80,""
),"")</f>
        <v/>
      </c>
      <c r="X465" s="53"/>
      <c r="Y465" s="53"/>
      <c r="Z465" s="53"/>
      <c r="AA465" s="53"/>
      <c r="AB465" s="53"/>
      <c r="AC465" s="53"/>
      <c r="AD465" s="53"/>
      <c r="AE465" s="53"/>
      <c r="AF465" s="32" t="str">
        <f t="shared" si="20"/>
        <v/>
      </c>
      <c r="AG465" s="32"/>
      <c r="AH465" s="32"/>
      <c r="AI465" s="32"/>
      <c r="AJ465" s="32"/>
      <c r="AK465" s="32"/>
      <c r="AL465" s="32"/>
      <c r="AM465" s="32"/>
      <c r="AN465" s="32"/>
    </row>
    <row r="466" spans="1:40">
      <c r="A466" s="32" t="str">
        <f>_xlfn.TEXTJOIN("",TRUE,_xlfn.XLOOKUP(B466,Input!J:J,Input!G:G,"",0,1),_xlfn.XLOOKUP(B466,Input!J:J,Input!H:H,"",0,1))</f>
        <v/>
      </c>
      <c r="B466" s="32"/>
      <c r="C466" s="53">
        <f>_xlfn.XLOOKUP(B466,Input!J:J,Input!F:F)</f>
        <v>0</v>
      </c>
      <c r="D466" s="32">
        <f>_xlfn.XLOOKUP(C466,Models!H:H,Models!G:G,C466)</f>
        <v>0</v>
      </c>
      <c r="E466" s="32"/>
      <c r="F466" s="32" t="str">
        <f>_xlfn.XLOOKUP(H466,Models!B:B,Models!F:F,"")</f>
        <v/>
      </c>
      <c r="G466" s="32">
        <f>_xlfn.XLOOKUP(B466,Input!J:J,Input!E:E)</f>
        <v>0</v>
      </c>
      <c r="H466" s="32">
        <f>IF(G466="LENOVO",_xlfn.XLOOKUP(B466,Input!J:J,Input!K:K),_xlfn.XLOOKUP(B466,Input!J:J,Input!L:L))</f>
        <v>0</v>
      </c>
      <c r="I466" s="32"/>
      <c r="J466" s="32"/>
      <c r="K466" s="32"/>
      <c r="L466" s="53"/>
      <c r="M466" s="53"/>
      <c r="N466" s="53"/>
      <c r="O466" s="53" t="str" cm="1">
        <f t="array" ref="O466">IFERROR(_xlfn.FILTERXML("&lt;t&gt;&lt;s&gt;" &amp; SUBSTITUTE(M466," / ","&lt;/s&gt;&lt;s&gt;") &amp; "&lt;/s&gt;&lt;/t&gt;","(//s[contains(.,'DDR')])[1]"),"")</f>
        <v/>
      </c>
      <c r="P466" s="32" t="str">
        <f t="shared" si="19"/>
        <v>GB</v>
      </c>
      <c r="Q466" s="32"/>
      <c r="R466" s="32"/>
      <c r="S466" s="53" t="e">
        <f>_xlfn.LET(_xlpm.Result,INDEX(Input!$D$2:$AC$500,
       MATCH(B466, Input!$J$2:$J$500, 0),
       MATCH("Capacity", Input!$D$1:$AC$1, 0)),IF(_xlpm.Result="","",_xlpm.Result))</f>
        <v>#N/A</v>
      </c>
      <c r="T466" s="53"/>
      <c r="U466" s="53"/>
      <c r="V466" s="53" t="str" cm="1">
        <f t="array" ref="V466">IFERROR(_xlfn.IFS(
T466="","",
--T466&lt;55,"Battery Defect",
--T466&lt;=69,"Battery D",
--T466&lt;=80,"Battery C",
--T466&gt;80,""
),"")</f>
        <v/>
      </c>
      <c r="W466" s="53" t="str" cm="1">
        <f t="array" ref="W466">IFERROR(_xlfn.IFS(
U466="","",
--U466&lt;55,"Battery Defect",
--U466&lt;=69,"Battery D",
--U466&lt;=80,"Battery C",
--U466&gt;80,""
),"")</f>
        <v/>
      </c>
      <c r="X466" s="53"/>
      <c r="Y466" s="53"/>
      <c r="Z466" s="53"/>
      <c r="AA466" s="53"/>
      <c r="AB466" s="53"/>
      <c r="AC466" s="53"/>
      <c r="AD466" s="53"/>
      <c r="AE466" s="53"/>
      <c r="AF466" s="32" t="str">
        <f t="shared" si="20"/>
        <v/>
      </c>
      <c r="AG466" s="32"/>
      <c r="AH466" s="32"/>
      <c r="AI466" s="32"/>
      <c r="AJ466" s="32"/>
      <c r="AK466" s="32"/>
      <c r="AL466" s="32"/>
      <c r="AM466" s="32"/>
      <c r="AN466" s="32"/>
    </row>
    <row r="467" spans="1:40">
      <c r="A467" s="32" t="str">
        <f>_xlfn.TEXTJOIN("",TRUE,_xlfn.XLOOKUP(B467,Input!J:J,Input!G:G,"",0,1),_xlfn.XLOOKUP(B467,Input!J:J,Input!H:H,"",0,1))</f>
        <v/>
      </c>
      <c r="B467" s="32"/>
      <c r="C467" s="53">
        <f>_xlfn.XLOOKUP(B467,Input!J:J,Input!F:F)</f>
        <v>0</v>
      </c>
      <c r="D467" s="32">
        <f>_xlfn.XLOOKUP(C467,Models!H:H,Models!G:G,C467)</f>
        <v>0</v>
      </c>
      <c r="E467" s="32"/>
      <c r="F467" s="32" t="str">
        <f>_xlfn.XLOOKUP(H467,Models!B:B,Models!F:F,"")</f>
        <v/>
      </c>
      <c r="G467" s="32">
        <f>_xlfn.XLOOKUP(B467,Input!J:J,Input!E:E)</f>
        <v>0</v>
      </c>
      <c r="H467" s="32">
        <f>IF(G467="LENOVO",_xlfn.XLOOKUP(B467,Input!J:J,Input!K:K),_xlfn.XLOOKUP(B467,Input!J:J,Input!L:L))</f>
        <v>0</v>
      </c>
      <c r="I467" s="32"/>
      <c r="J467" s="32"/>
      <c r="K467" s="32"/>
      <c r="L467" s="53"/>
      <c r="M467" s="53"/>
      <c r="N467" s="53"/>
      <c r="O467" s="53" t="str" cm="1">
        <f t="array" ref="O467">IFERROR(_xlfn.FILTERXML("&lt;t&gt;&lt;s&gt;" &amp; SUBSTITUTE(M467," / ","&lt;/s&gt;&lt;s&gt;") &amp; "&lt;/s&gt;&lt;/t&gt;","(//s[contains(.,'DDR')])[1]"),"")</f>
        <v/>
      </c>
      <c r="P467" s="32" t="str">
        <f t="shared" si="19"/>
        <v>GB</v>
      </c>
      <c r="Q467" s="32"/>
      <c r="R467" s="32"/>
      <c r="S467" s="53" t="e">
        <f>_xlfn.LET(_xlpm.Result,INDEX(Input!$D$2:$AC$500,
       MATCH(B467, Input!$J$2:$J$500, 0),
       MATCH("Capacity", Input!$D$1:$AC$1, 0)),IF(_xlpm.Result="","",_xlpm.Result))</f>
        <v>#N/A</v>
      </c>
      <c r="T467" s="53"/>
      <c r="U467" s="53"/>
      <c r="V467" s="53" t="str" cm="1">
        <f t="array" ref="V467">IFERROR(_xlfn.IFS(
T467="","",
--T467&lt;55,"Battery Defect",
--T467&lt;=69,"Battery D",
--T467&lt;=80,"Battery C",
--T467&gt;80,""
),"")</f>
        <v/>
      </c>
      <c r="W467" s="53" t="str" cm="1">
        <f t="array" ref="W467">IFERROR(_xlfn.IFS(
U467="","",
--U467&lt;55,"Battery Defect",
--U467&lt;=69,"Battery D",
--U467&lt;=80,"Battery C",
--U467&gt;80,""
),"")</f>
        <v/>
      </c>
      <c r="X467" s="53"/>
      <c r="Y467" s="53"/>
      <c r="Z467" s="53"/>
      <c r="AA467" s="53"/>
      <c r="AB467" s="53"/>
      <c r="AC467" s="53"/>
      <c r="AD467" s="53"/>
      <c r="AE467" s="53"/>
      <c r="AF467" s="32" t="str">
        <f t="shared" si="20"/>
        <v/>
      </c>
      <c r="AG467" s="32"/>
      <c r="AH467" s="32"/>
      <c r="AI467" s="32"/>
      <c r="AJ467" s="32"/>
      <c r="AK467" s="32"/>
      <c r="AL467" s="32"/>
      <c r="AM467" s="32"/>
      <c r="AN467" s="32"/>
    </row>
    <row r="468" spans="1:40">
      <c r="A468" s="32" t="str">
        <f>_xlfn.TEXTJOIN("",TRUE,_xlfn.XLOOKUP(B468,Input!J:J,Input!G:G,"",0,1),_xlfn.XLOOKUP(B468,Input!J:J,Input!H:H,"",0,1))</f>
        <v/>
      </c>
      <c r="B468" s="32"/>
      <c r="C468" s="53">
        <f>_xlfn.XLOOKUP(B468,Input!J:J,Input!F:F)</f>
        <v>0</v>
      </c>
      <c r="D468" s="32">
        <f>_xlfn.XLOOKUP(C468,Models!H:H,Models!G:G,C468)</f>
        <v>0</v>
      </c>
      <c r="E468" s="32"/>
      <c r="F468" s="32" t="str">
        <f>_xlfn.XLOOKUP(H468,Models!B:B,Models!F:F,"")</f>
        <v/>
      </c>
      <c r="G468" s="32">
        <f>_xlfn.XLOOKUP(B468,Input!J:J,Input!E:E)</f>
        <v>0</v>
      </c>
      <c r="H468" s="32">
        <f>IF(G468="LENOVO",_xlfn.XLOOKUP(B468,Input!J:J,Input!K:K),_xlfn.XLOOKUP(B468,Input!J:J,Input!L:L))</f>
        <v>0</v>
      </c>
      <c r="I468" s="32"/>
      <c r="J468" s="32"/>
      <c r="K468" s="32"/>
      <c r="L468" s="53"/>
      <c r="M468" s="53"/>
      <c r="N468" s="53"/>
      <c r="O468" s="53" t="str" cm="1">
        <f t="array" ref="O468">IFERROR(_xlfn.FILTERXML("&lt;t&gt;&lt;s&gt;" &amp; SUBSTITUTE(M468," / ","&lt;/s&gt;&lt;s&gt;") &amp; "&lt;/s&gt;&lt;/t&gt;","(//s[contains(.,'DDR')])[1]"),"")</f>
        <v/>
      </c>
      <c r="P468" s="32" t="str">
        <f t="shared" si="19"/>
        <v>GB</v>
      </c>
      <c r="Q468" s="32"/>
      <c r="R468" s="32"/>
      <c r="S468" s="53" t="e">
        <f>_xlfn.LET(_xlpm.Result,INDEX(Input!$D$2:$AC$500,
       MATCH(B468, Input!$J$2:$J$500, 0),
       MATCH("Capacity", Input!$D$1:$AC$1, 0)),IF(_xlpm.Result="","",_xlpm.Result))</f>
        <v>#N/A</v>
      </c>
      <c r="T468" s="53"/>
      <c r="U468" s="53"/>
      <c r="V468" s="53" t="str" cm="1">
        <f t="array" ref="V468">IFERROR(_xlfn.IFS(
T468="","",
--T468&lt;55,"Battery Defect",
--T468&lt;=69,"Battery D",
--T468&lt;=80,"Battery C",
--T468&gt;80,""
),"")</f>
        <v/>
      </c>
      <c r="W468" s="53" t="str" cm="1">
        <f t="array" ref="W468">IFERROR(_xlfn.IFS(
U468="","",
--U468&lt;55,"Battery Defect",
--U468&lt;=69,"Battery D",
--U468&lt;=80,"Battery C",
--U468&gt;80,""
),"")</f>
        <v/>
      </c>
      <c r="X468" s="53"/>
      <c r="Y468" s="53"/>
      <c r="Z468" s="53"/>
      <c r="AA468" s="53"/>
      <c r="AB468" s="53"/>
      <c r="AC468" s="53"/>
      <c r="AD468" s="53"/>
      <c r="AE468" s="53"/>
      <c r="AF468" s="32" t="str">
        <f t="shared" si="20"/>
        <v/>
      </c>
      <c r="AG468" s="32"/>
      <c r="AH468" s="32"/>
      <c r="AI468" s="32"/>
      <c r="AJ468" s="32"/>
      <c r="AK468" s="32"/>
      <c r="AL468" s="32"/>
      <c r="AM468" s="32"/>
      <c r="AN468" s="32"/>
    </row>
    <row r="469" spans="1:40">
      <c r="A469" s="32" t="str">
        <f>_xlfn.TEXTJOIN("",TRUE,_xlfn.XLOOKUP(B469,Input!J:J,Input!G:G,"",0,1),_xlfn.XLOOKUP(B469,Input!J:J,Input!H:H,"",0,1))</f>
        <v/>
      </c>
      <c r="B469" s="32"/>
      <c r="C469" s="53">
        <f>_xlfn.XLOOKUP(B469,Input!J:J,Input!F:F)</f>
        <v>0</v>
      </c>
      <c r="D469" s="32">
        <f>_xlfn.XLOOKUP(C469,Models!H:H,Models!G:G,C469)</f>
        <v>0</v>
      </c>
      <c r="E469" s="32"/>
      <c r="F469" s="32" t="str">
        <f>_xlfn.XLOOKUP(H469,Models!B:B,Models!F:F,"")</f>
        <v/>
      </c>
      <c r="G469" s="32">
        <f>_xlfn.XLOOKUP(B469,Input!J:J,Input!E:E)</f>
        <v>0</v>
      </c>
      <c r="H469" s="32">
        <f>IF(G469="LENOVO",_xlfn.XLOOKUP(B469,Input!J:J,Input!K:K),_xlfn.XLOOKUP(B469,Input!J:J,Input!L:L))</f>
        <v>0</v>
      </c>
      <c r="I469" s="32"/>
      <c r="J469" s="32"/>
      <c r="K469" s="32"/>
      <c r="L469" s="53"/>
      <c r="M469" s="53"/>
      <c r="N469" s="53"/>
      <c r="O469" s="53" t="str" cm="1">
        <f t="array" ref="O469">IFERROR(_xlfn.FILTERXML("&lt;t&gt;&lt;s&gt;" &amp; SUBSTITUTE(M469," / ","&lt;/s&gt;&lt;s&gt;") &amp; "&lt;/s&gt;&lt;/t&gt;","(//s[contains(.,'DDR')])[1]"),"")</f>
        <v/>
      </c>
      <c r="P469" s="32" t="str">
        <f t="shared" si="19"/>
        <v>GB</v>
      </c>
      <c r="Q469" s="32"/>
      <c r="R469" s="32"/>
      <c r="S469" s="53" t="e">
        <f>_xlfn.LET(_xlpm.Result,INDEX(Input!$D$2:$AC$500,
       MATCH(B469, Input!$J$2:$J$500, 0),
       MATCH("Capacity", Input!$D$1:$AC$1, 0)),IF(_xlpm.Result="","",_xlpm.Result))</f>
        <v>#N/A</v>
      </c>
      <c r="T469" s="53"/>
      <c r="U469" s="53"/>
      <c r="V469" s="53" t="str" cm="1">
        <f t="array" ref="V469">IFERROR(_xlfn.IFS(
T469="","",
--T469&lt;55,"Battery Defect",
--T469&lt;=69,"Battery D",
--T469&lt;=80,"Battery C",
--T469&gt;80,""
),"")</f>
        <v/>
      </c>
      <c r="W469" s="53" t="str" cm="1">
        <f t="array" ref="W469">IFERROR(_xlfn.IFS(
U469="","",
--U469&lt;55,"Battery Defect",
--U469&lt;=69,"Battery D",
--U469&lt;=80,"Battery C",
--U469&gt;80,""
),"")</f>
        <v/>
      </c>
      <c r="X469" s="53"/>
      <c r="Y469" s="53"/>
      <c r="Z469" s="53"/>
      <c r="AA469" s="53"/>
      <c r="AB469" s="53"/>
      <c r="AC469" s="53"/>
      <c r="AD469" s="53"/>
      <c r="AE469" s="53"/>
      <c r="AF469" s="32" t="str">
        <f t="shared" si="20"/>
        <v/>
      </c>
      <c r="AG469" s="32"/>
      <c r="AH469" s="32"/>
      <c r="AI469" s="32"/>
      <c r="AJ469" s="32"/>
      <c r="AK469" s="32"/>
      <c r="AL469" s="32"/>
      <c r="AM469" s="32"/>
      <c r="AN469" s="32"/>
    </row>
    <row r="470" spans="1:40">
      <c r="A470" s="32" t="str">
        <f>_xlfn.TEXTJOIN("",TRUE,_xlfn.XLOOKUP(B470,Input!J:J,Input!G:G,"",0,1),_xlfn.XLOOKUP(B470,Input!J:J,Input!H:H,"",0,1))</f>
        <v/>
      </c>
      <c r="B470" s="32"/>
      <c r="C470" s="53">
        <f>_xlfn.XLOOKUP(B470,Input!J:J,Input!F:F)</f>
        <v>0</v>
      </c>
      <c r="D470" s="32">
        <f>_xlfn.XLOOKUP(C470,Models!H:H,Models!G:G,C470)</f>
        <v>0</v>
      </c>
      <c r="E470" s="32"/>
      <c r="F470" s="32" t="str">
        <f>_xlfn.XLOOKUP(H470,Models!B:B,Models!F:F,"")</f>
        <v/>
      </c>
      <c r="G470" s="32">
        <f>_xlfn.XLOOKUP(B470,Input!J:J,Input!E:E)</f>
        <v>0</v>
      </c>
      <c r="H470" s="32">
        <f>IF(G470="LENOVO",_xlfn.XLOOKUP(B470,Input!J:J,Input!K:K),_xlfn.XLOOKUP(B470,Input!J:J,Input!L:L))</f>
        <v>0</v>
      </c>
      <c r="I470" s="32"/>
      <c r="J470" s="32"/>
      <c r="K470" s="32"/>
      <c r="L470" s="53"/>
      <c r="M470" s="53"/>
      <c r="N470" s="53"/>
      <c r="O470" s="53" t="str" cm="1">
        <f t="array" ref="O470">IFERROR(_xlfn.FILTERXML("&lt;t&gt;&lt;s&gt;" &amp; SUBSTITUTE(M470," / ","&lt;/s&gt;&lt;s&gt;") &amp; "&lt;/s&gt;&lt;/t&gt;","(//s[contains(.,'DDR')])[1]"),"")</f>
        <v/>
      </c>
      <c r="P470" s="32" t="str">
        <f t="shared" si="19"/>
        <v>GB</v>
      </c>
      <c r="Q470" s="32"/>
      <c r="R470" s="32"/>
      <c r="S470" s="53" t="e">
        <f>_xlfn.LET(_xlpm.Result,INDEX(Input!$D$2:$AC$500,
       MATCH(B470, Input!$J$2:$J$500, 0),
       MATCH("Capacity", Input!$D$1:$AC$1, 0)),IF(_xlpm.Result="","",_xlpm.Result))</f>
        <v>#N/A</v>
      </c>
      <c r="T470" s="53"/>
      <c r="U470" s="53"/>
      <c r="V470" s="53" t="str" cm="1">
        <f t="array" ref="V470">IFERROR(_xlfn.IFS(
T470="","",
--T470&lt;55,"Battery Defect",
--T470&lt;=69,"Battery D",
--T470&lt;=80,"Battery C",
--T470&gt;80,""
),"")</f>
        <v/>
      </c>
      <c r="W470" s="53" t="str" cm="1">
        <f t="array" ref="W470">IFERROR(_xlfn.IFS(
U470="","",
--U470&lt;55,"Battery Defect",
--U470&lt;=69,"Battery D",
--U470&lt;=80,"Battery C",
--U470&gt;80,""
),"")</f>
        <v/>
      </c>
      <c r="X470" s="53"/>
      <c r="Y470" s="53"/>
      <c r="Z470" s="53"/>
      <c r="AA470" s="53"/>
      <c r="AB470" s="53"/>
      <c r="AC470" s="53"/>
      <c r="AD470" s="53"/>
      <c r="AE470" s="53"/>
      <c r="AF470" s="32" t="str">
        <f t="shared" si="20"/>
        <v/>
      </c>
      <c r="AG470" s="32"/>
      <c r="AH470" s="32"/>
      <c r="AI470" s="32"/>
      <c r="AJ470" s="32"/>
      <c r="AK470" s="32"/>
      <c r="AL470" s="32"/>
      <c r="AM470" s="32"/>
      <c r="AN470" s="32"/>
    </row>
    <row r="471" spans="1:40">
      <c r="A471" s="32" t="str">
        <f>_xlfn.TEXTJOIN("",TRUE,_xlfn.XLOOKUP(B471,Input!J:J,Input!G:G,"",0,1),_xlfn.XLOOKUP(B471,Input!J:J,Input!H:H,"",0,1))</f>
        <v/>
      </c>
      <c r="B471" s="32"/>
      <c r="C471" s="53">
        <f>_xlfn.XLOOKUP(B471,Input!J:J,Input!F:F)</f>
        <v>0</v>
      </c>
      <c r="D471" s="32">
        <f>_xlfn.XLOOKUP(C471,Models!H:H,Models!G:G,C471)</f>
        <v>0</v>
      </c>
      <c r="E471" s="32"/>
      <c r="F471" s="32" t="str">
        <f>_xlfn.XLOOKUP(H471,Models!B:B,Models!F:F,"")</f>
        <v/>
      </c>
      <c r="G471" s="32">
        <f>_xlfn.XLOOKUP(B471,Input!J:J,Input!E:E)</f>
        <v>0</v>
      </c>
      <c r="H471" s="32">
        <f>IF(G471="LENOVO",_xlfn.XLOOKUP(B471,Input!J:J,Input!K:K),_xlfn.XLOOKUP(B471,Input!J:J,Input!L:L))</f>
        <v>0</v>
      </c>
      <c r="I471" s="32"/>
      <c r="J471" s="32"/>
      <c r="K471" s="32"/>
      <c r="L471" s="53"/>
      <c r="M471" s="53"/>
      <c r="N471" s="53"/>
      <c r="O471" s="53" t="str" cm="1">
        <f t="array" ref="O471">IFERROR(_xlfn.FILTERXML("&lt;t&gt;&lt;s&gt;" &amp; SUBSTITUTE(M471," / ","&lt;/s&gt;&lt;s&gt;") &amp; "&lt;/s&gt;&lt;/t&gt;","(//s[contains(.,'DDR')])[1]"),"")</f>
        <v/>
      </c>
      <c r="P471" s="32" t="str">
        <f t="shared" si="19"/>
        <v>GB</v>
      </c>
      <c r="Q471" s="32"/>
      <c r="R471" s="32"/>
      <c r="S471" s="53" t="e">
        <f>_xlfn.LET(_xlpm.Result,INDEX(Input!$D$2:$AC$500,
       MATCH(B471, Input!$J$2:$J$500, 0),
       MATCH("Capacity", Input!$D$1:$AC$1, 0)),IF(_xlpm.Result="","",_xlpm.Result))</f>
        <v>#N/A</v>
      </c>
      <c r="T471" s="53"/>
      <c r="U471" s="53"/>
      <c r="V471" s="53" t="str" cm="1">
        <f t="array" ref="V471">IFERROR(_xlfn.IFS(
T471="","",
--T471&lt;55,"Battery Defect",
--T471&lt;=69,"Battery D",
--T471&lt;=80,"Battery C",
--T471&gt;80,""
),"")</f>
        <v/>
      </c>
      <c r="W471" s="53" t="str" cm="1">
        <f t="array" ref="W471">IFERROR(_xlfn.IFS(
U471="","",
--U471&lt;55,"Battery Defect",
--U471&lt;=69,"Battery D",
--U471&lt;=80,"Battery C",
--U471&gt;80,""
),"")</f>
        <v/>
      </c>
      <c r="X471" s="53"/>
      <c r="Y471" s="53"/>
      <c r="Z471" s="53"/>
      <c r="AA471" s="53"/>
      <c r="AB471" s="53"/>
      <c r="AC471" s="53"/>
      <c r="AD471" s="53"/>
      <c r="AE471" s="53"/>
      <c r="AF471" s="32" t="str">
        <f t="shared" si="20"/>
        <v/>
      </c>
      <c r="AG471" s="32"/>
      <c r="AH471" s="32"/>
      <c r="AI471" s="32"/>
      <c r="AJ471" s="32"/>
      <c r="AK471" s="32"/>
      <c r="AL471" s="32"/>
      <c r="AM471" s="32"/>
      <c r="AN471" s="32"/>
    </row>
    <row r="472" spans="1:40">
      <c r="A472" s="32" t="str">
        <f>_xlfn.TEXTJOIN("",TRUE,_xlfn.XLOOKUP(B472,Input!J:J,Input!G:G,"",0,1),_xlfn.XLOOKUP(B472,Input!J:J,Input!H:H,"",0,1))</f>
        <v/>
      </c>
      <c r="B472" s="32"/>
      <c r="C472" s="53">
        <f>_xlfn.XLOOKUP(B472,Input!J:J,Input!F:F)</f>
        <v>0</v>
      </c>
      <c r="D472" s="32">
        <f>_xlfn.XLOOKUP(C472,Models!H:H,Models!G:G,C472)</f>
        <v>0</v>
      </c>
      <c r="E472" s="32"/>
      <c r="F472" s="32" t="str">
        <f>_xlfn.XLOOKUP(H472,Models!B:B,Models!F:F,"")</f>
        <v/>
      </c>
      <c r="G472" s="32">
        <f>_xlfn.XLOOKUP(B472,Input!J:J,Input!E:E)</f>
        <v>0</v>
      </c>
      <c r="H472" s="32">
        <f>IF(G472="LENOVO",_xlfn.XLOOKUP(B472,Input!J:J,Input!K:K),_xlfn.XLOOKUP(B472,Input!J:J,Input!L:L))</f>
        <v>0</v>
      </c>
      <c r="I472" s="32"/>
      <c r="J472" s="32"/>
      <c r="K472" s="32"/>
      <c r="L472" s="53"/>
      <c r="M472" s="53"/>
      <c r="N472" s="53"/>
      <c r="O472" s="53" t="str" cm="1">
        <f t="array" ref="O472">IFERROR(_xlfn.FILTERXML("&lt;t&gt;&lt;s&gt;" &amp; SUBSTITUTE(M472," / ","&lt;/s&gt;&lt;s&gt;") &amp; "&lt;/s&gt;&lt;/t&gt;","(//s[contains(.,'DDR')])[1]"),"")</f>
        <v/>
      </c>
      <c r="P472" s="32" t="str">
        <f t="shared" si="19"/>
        <v>GB</v>
      </c>
      <c r="Q472" s="32"/>
      <c r="R472" s="32"/>
      <c r="S472" s="53" t="e">
        <f>_xlfn.LET(_xlpm.Result,INDEX(Input!$D$2:$AC$500,
       MATCH(B472, Input!$J$2:$J$500, 0),
       MATCH("Capacity", Input!$D$1:$AC$1, 0)),IF(_xlpm.Result="","",_xlpm.Result))</f>
        <v>#N/A</v>
      </c>
      <c r="T472" s="53"/>
      <c r="U472" s="53"/>
      <c r="V472" s="53" t="str" cm="1">
        <f t="array" ref="V472">IFERROR(_xlfn.IFS(
T472="","",
--T472&lt;55,"Battery Defect",
--T472&lt;=69,"Battery D",
--T472&lt;=80,"Battery C",
--T472&gt;80,""
),"")</f>
        <v/>
      </c>
      <c r="W472" s="53" t="str" cm="1">
        <f t="array" ref="W472">IFERROR(_xlfn.IFS(
U472="","",
--U472&lt;55,"Battery Defect",
--U472&lt;=69,"Battery D",
--U472&lt;=80,"Battery C",
--U472&gt;80,""
),"")</f>
        <v/>
      </c>
      <c r="X472" s="53"/>
      <c r="Y472" s="53"/>
      <c r="Z472" s="53"/>
      <c r="AA472" s="53"/>
      <c r="AB472" s="53"/>
      <c r="AC472" s="53"/>
      <c r="AD472" s="53"/>
      <c r="AE472" s="53"/>
      <c r="AF472" s="32" t="str">
        <f t="shared" si="20"/>
        <v/>
      </c>
      <c r="AG472" s="32"/>
      <c r="AH472" s="32"/>
      <c r="AI472" s="32"/>
      <c r="AJ472" s="32"/>
      <c r="AK472" s="32"/>
      <c r="AL472" s="32"/>
      <c r="AM472" s="32"/>
      <c r="AN472" s="32"/>
    </row>
    <row r="473" spans="1:40">
      <c r="A473" s="32" t="str">
        <f>_xlfn.TEXTJOIN("",TRUE,_xlfn.XLOOKUP(B473,Input!J:J,Input!G:G,"",0,1),_xlfn.XLOOKUP(B473,Input!J:J,Input!H:H,"",0,1))</f>
        <v/>
      </c>
      <c r="B473" s="32"/>
      <c r="C473" s="53">
        <f>_xlfn.XLOOKUP(B473,Input!J:J,Input!F:F)</f>
        <v>0</v>
      </c>
      <c r="D473" s="32">
        <f>_xlfn.XLOOKUP(C473,Models!H:H,Models!G:G,C473)</f>
        <v>0</v>
      </c>
      <c r="E473" s="32"/>
      <c r="F473" s="32" t="str">
        <f>_xlfn.XLOOKUP(H473,Models!B:B,Models!F:F,"")</f>
        <v/>
      </c>
      <c r="G473" s="32">
        <f>_xlfn.XLOOKUP(B473,Input!J:J,Input!E:E)</f>
        <v>0</v>
      </c>
      <c r="H473" s="32">
        <f>IF(G473="LENOVO",_xlfn.XLOOKUP(B473,Input!J:J,Input!K:K),_xlfn.XLOOKUP(B473,Input!J:J,Input!L:L))</f>
        <v>0</v>
      </c>
      <c r="I473" s="32"/>
      <c r="J473" s="32"/>
      <c r="K473" s="32"/>
      <c r="L473" s="53"/>
      <c r="M473" s="53"/>
      <c r="N473" s="53"/>
      <c r="O473" s="53" t="str" cm="1">
        <f t="array" ref="O473">IFERROR(_xlfn.FILTERXML("&lt;t&gt;&lt;s&gt;" &amp; SUBSTITUTE(M473," / ","&lt;/s&gt;&lt;s&gt;") &amp; "&lt;/s&gt;&lt;/t&gt;","(//s[contains(.,'DDR')])[1]"),"")</f>
        <v/>
      </c>
      <c r="P473" s="32" t="str">
        <f t="shared" ref="P473:P536" si="21">_xlfn.TEXTJOIN(" ",TRUE,N473,"GB",O473)</f>
        <v>GB</v>
      </c>
      <c r="Q473" s="32"/>
      <c r="R473" s="32"/>
      <c r="S473" s="53" t="e">
        <f>_xlfn.LET(_xlpm.Result,INDEX(Input!$D$2:$AC$500,
       MATCH(B473, Input!$J$2:$J$500, 0),
       MATCH("Capacity", Input!$D$1:$AC$1, 0)),IF(_xlpm.Result="","",_xlpm.Result))</f>
        <v>#N/A</v>
      </c>
      <c r="T473" s="53"/>
      <c r="U473" s="53"/>
      <c r="V473" s="53" t="str" cm="1">
        <f t="array" ref="V473">IFERROR(_xlfn.IFS(
T473="","",
--T473&lt;55,"Battery Defect",
--T473&lt;=69,"Battery D",
--T473&lt;=80,"Battery C",
--T473&gt;80,""
),"")</f>
        <v/>
      </c>
      <c r="W473" s="53" t="str" cm="1">
        <f t="array" ref="W473">IFERROR(_xlfn.IFS(
U473="","",
--U473&lt;55,"Battery Defect",
--U473&lt;=69,"Battery D",
--U473&lt;=80,"Battery C",
--U473&gt;80,""
),"")</f>
        <v/>
      </c>
      <c r="X473" s="53"/>
      <c r="Y473" s="53"/>
      <c r="Z473" s="53"/>
      <c r="AA473" s="53"/>
      <c r="AB473" s="53"/>
      <c r="AC473" s="53"/>
      <c r="AD473" s="53"/>
      <c r="AE473" s="53"/>
      <c r="AF473" s="32" t="str">
        <f t="shared" si="20"/>
        <v/>
      </c>
      <c r="AG473" s="32"/>
      <c r="AH473" s="32"/>
      <c r="AI473" s="32"/>
      <c r="AJ473" s="32"/>
      <c r="AK473" s="32"/>
      <c r="AL473" s="32"/>
      <c r="AM473" s="32"/>
      <c r="AN473" s="32"/>
    </row>
    <row r="474" spans="1:40">
      <c r="A474" s="32" t="str">
        <f>_xlfn.TEXTJOIN("",TRUE,_xlfn.XLOOKUP(B474,Input!J:J,Input!G:G,"",0,1),_xlfn.XLOOKUP(B474,Input!J:J,Input!H:H,"",0,1))</f>
        <v/>
      </c>
      <c r="B474" s="32"/>
      <c r="C474" s="53">
        <f>_xlfn.XLOOKUP(B474,Input!J:J,Input!F:F)</f>
        <v>0</v>
      </c>
      <c r="D474" s="32">
        <f>_xlfn.XLOOKUP(C474,Models!H:H,Models!G:G,C474)</f>
        <v>0</v>
      </c>
      <c r="E474" s="32"/>
      <c r="F474" s="32" t="str">
        <f>_xlfn.XLOOKUP(H474,Models!B:B,Models!F:F,"")</f>
        <v/>
      </c>
      <c r="G474" s="32">
        <f>_xlfn.XLOOKUP(B474,Input!J:J,Input!E:E)</f>
        <v>0</v>
      </c>
      <c r="H474" s="32">
        <f>IF(G474="LENOVO",_xlfn.XLOOKUP(B474,Input!J:J,Input!K:K),_xlfn.XLOOKUP(B474,Input!J:J,Input!L:L))</f>
        <v>0</v>
      </c>
      <c r="I474" s="32"/>
      <c r="J474" s="32"/>
      <c r="K474" s="32"/>
      <c r="L474" s="53"/>
      <c r="M474" s="53"/>
      <c r="N474" s="53"/>
      <c r="O474" s="53" t="str" cm="1">
        <f t="array" ref="O474">IFERROR(_xlfn.FILTERXML("&lt;t&gt;&lt;s&gt;" &amp; SUBSTITUTE(M474," / ","&lt;/s&gt;&lt;s&gt;") &amp; "&lt;/s&gt;&lt;/t&gt;","(//s[contains(.,'DDR')])[1]"),"")</f>
        <v/>
      </c>
      <c r="P474" s="32" t="str">
        <f t="shared" si="21"/>
        <v>GB</v>
      </c>
      <c r="Q474" s="32"/>
      <c r="R474" s="32"/>
      <c r="S474" s="53" t="e">
        <f>_xlfn.LET(_xlpm.Result,INDEX(Input!$D$2:$AC$500,
       MATCH(B474, Input!$J$2:$J$500, 0),
       MATCH("Capacity", Input!$D$1:$AC$1, 0)),IF(_xlpm.Result="","",_xlpm.Result))</f>
        <v>#N/A</v>
      </c>
      <c r="T474" s="53"/>
      <c r="U474" s="53"/>
      <c r="V474" s="53" t="str" cm="1">
        <f t="array" ref="V474">IFERROR(_xlfn.IFS(
T474="","",
--T474&lt;55,"Battery Defect",
--T474&lt;=69,"Battery D",
--T474&lt;=80,"Battery C",
--T474&gt;80,""
),"")</f>
        <v/>
      </c>
      <c r="W474" s="53" t="str" cm="1">
        <f t="array" ref="W474">IFERROR(_xlfn.IFS(
U474="","",
--U474&lt;55,"Battery Defect",
--U474&lt;=69,"Battery D",
--U474&lt;=80,"Battery C",
--U474&gt;80,""
),"")</f>
        <v/>
      </c>
      <c r="X474" s="53"/>
      <c r="Y474" s="53"/>
      <c r="Z474" s="53"/>
      <c r="AA474" s="53"/>
      <c r="AB474" s="53"/>
      <c r="AC474" s="53"/>
      <c r="AD474" s="53"/>
      <c r="AE474" s="53"/>
      <c r="AF474" s="32" t="str">
        <f t="shared" si="20"/>
        <v/>
      </c>
      <c r="AG474" s="32"/>
      <c r="AH474" s="32"/>
      <c r="AI474" s="32"/>
      <c r="AJ474" s="32"/>
      <c r="AK474" s="32"/>
      <c r="AL474" s="32"/>
      <c r="AM474" s="32"/>
      <c r="AN474" s="32"/>
    </row>
    <row r="475" spans="1:40">
      <c r="A475" s="32" t="str">
        <f>_xlfn.TEXTJOIN("",TRUE,_xlfn.XLOOKUP(B475,Input!J:J,Input!G:G,"",0,1),_xlfn.XLOOKUP(B475,Input!J:J,Input!H:H,"",0,1))</f>
        <v/>
      </c>
      <c r="B475" s="32"/>
      <c r="C475" s="53">
        <f>_xlfn.XLOOKUP(B475,Input!J:J,Input!F:F)</f>
        <v>0</v>
      </c>
      <c r="D475" s="32">
        <f>_xlfn.XLOOKUP(C475,Models!H:H,Models!G:G,C475)</f>
        <v>0</v>
      </c>
      <c r="E475" s="32"/>
      <c r="F475" s="32" t="str">
        <f>_xlfn.XLOOKUP(H475,Models!B:B,Models!F:F,"")</f>
        <v/>
      </c>
      <c r="G475" s="32">
        <f>_xlfn.XLOOKUP(B475,Input!J:J,Input!E:E)</f>
        <v>0</v>
      </c>
      <c r="H475" s="32">
        <f>IF(G475="LENOVO",_xlfn.XLOOKUP(B475,Input!J:J,Input!K:K),_xlfn.XLOOKUP(B475,Input!J:J,Input!L:L))</f>
        <v>0</v>
      </c>
      <c r="I475" s="32"/>
      <c r="J475" s="32"/>
      <c r="K475" s="32"/>
      <c r="L475" s="53"/>
      <c r="M475" s="53"/>
      <c r="N475" s="53"/>
      <c r="O475" s="53" t="str" cm="1">
        <f t="array" ref="O475">IFERROR(_xlfn.FILTERXML("&lt;t&gt;&lt;s&gt;" &amp; SUBSTITUTE(M475," / ","&lt;/s&gt;&lt;s&gt;") &amp; "&lt;/s&gt;&lt;/t&gt;","(//s[contains(.,'DDR')])[1]"),"")</f>
        <v/>
      </c>
      <c r="P475" s="32" t="str">
        <f t="shared" si="21"/>
        <v>GB</v>
      </c>
      <c r="Q475" s="32"/>
      <c r="R475" s="32"/>
      <c r="S475" s="53" t="e">
        <f>_xlfn.LET(_xlpm.Result,INDEX(Input!$D$2:$AC$500,
       MATCH(B475, Input!$J$2:$J$500, 0),
       MATCH("Capacity", Input!$D$1:$AC$1, 0)),IF(_xlpm.Result="","",_xlpm.Result))</f>
        <v>#N/A</v>
      </c>
      <c r="T475" s="53"/>
      <c r="U475" s="53"/>
      <c r="V475" s="53" t="str" cm="1">
        <f t="array" ref="V475">IFERROR(_xlfn.IFS(
T475="","",
--T475&lt;55,"Battery Defect",
--T475&lt;=69,"Battery D",
--T475&lt;=80,"Battery C",
--T475&gt;80,""
),"")</f>
        <v/>
      </c>
      <c r="W475" s="53" t="str" cm="1">
        <f t="array" ref="W475">IFERROR(_xlfn.IFS(
U475="","",
--U475&lt;55,"Battery Defect",
--U475&lt;=69,"Battery D",
--U475&lt;=80,"Battery C",
--U475&gt;80,""
),"")</f>
        <v/>
      </c>
      <c r="X475" s="53"/>
      <c r="Y475" s="53"/>
      <c r="Z475" s="53"/>
      <c r="AA475" s="53"/>
      <c r="AB475" s="53"/>
      <c r="AC475" s="53"/>
      <c r="AD475" s="53"/>
      <c r="AE475" s="53"/>
      <c r="AF475" s="32" t="str">
        <f t="shared" si="20"/>
        <v/>
      </c>
      <c r="AG475" s="32"/>
      <c r="AH475" s="32"/>
      <c r="AI475" s="32"/>
      <c r="AJ475" s="32"/>
      <c r="AK475" s="32"/>
      <c r="AL475" s="32"/>
      <c r="AM475" s="32"/>
      <c r="AN475" s="32"/>
    </row>
    <row r="476" spans="1:40">
      <c r="A476" s="32" t="str">
        <f>_xlfn.TEXTJOIN("",TRUE,_xlfn.XLOOKUP(B476,Input!J:J,Input!G:G,"",0,1),_xlfn.XLOOKUP(B476,Input!J:J,Input!H:H,"",0,1))</f>
        <v/>
      </c>
      <c r="B476" s="32"/>
      <c r="C476" s="53">
        <f>_xlfn.XLOOKUP(B476,Input!J:J,Input!F:F)</f>
        <v>0</v>
      </c>
      <c r="D476" s="32">
        <f>_xlfn.XLOOKUP(C476,Models!H:H,Models!G:G,C476)</f>
        <v>0</v>
      </c>
      <c r="E476" s="32"/>
      <c r="F476" s="32" t="str">
        <f>_xlfn.XLOOKUP(H476,Models!B:B,Models!F:F,"")</f>
        <v/>
      </c>
      <c r="G476" s="32">
        <f>_xlfn.XLOOKUP(B476,Input!J:J,Input!E:E)</f>
        <v>0</v>
      </c>
      <c r="H476" s="32">
        <f>IF(G476="LENOVO",_xlfn.XLOOKUP(B476,Input!J:J,Input!K:K),_xlfn.XLOOKUP(B476,Input!J:J,Input!L:L))</f>
        <v>0</v>
      </c>
      <c r="I476" s="32"/>
      <c r="J476" s="32"/>
      <c r="K476" s="32"/>
      <c r="L476" s="53"/>
      <c r="M476" s="53"/>
      <c r="N476" s="53"/>
      <c r="O476" s="53" t="str" cm="1">
        <f t="array" ref="O476">IFERROR(_xlfn.FILTERXML("&lt;t&gt;&lt;s&gt;" &amp; SUBSTITUTE(M476," / ","&lt;/s&gt;&lt;s&gt;") &amp; "&lt;/s&gt;&lt;/t&gt;","(//s[contains(.,'DDR')])[1]"),"")</f>
        <v/>
      </c>
      <c r="P476" s="32" t="str">
        <f t="shared" si="21"/>
        <v>GB</v>
      </c>
      <c r="Q476" s="32"/>
      <c r="R476" s="32"/>
      <c r="S476" s="53" t="e">
        <f>_xlfn.LET(_xlpm.Result,INDEX(Input!$D$2:$AC$500,
       MATCH(B476, Input!$J$2:$J$500, 0),
       MATCH("Capacity", Input!$D$1:$AC$1, 0)),IF(_xlpm.Result="","",_xlpm.Result))</f>
        <v>#N/A</v>
      </c>
      <c r="T476" s="53"/>
      <c r="U476" s="53"/>
      <c r="V476" s="53" t="str" cm="1">
        <f t="array" ref="V476">IFERROR(_xlfn.IFS(
T476="","",
--T476&lt;55,"Battery Defect",
--T476&lt;=69,"Battery D",
--T476&lt;=80,"Battery C",
--T476&gt;80,""
),"")</f>
        <v/>
      </c>
      <c r="W476" s="53" t="str" cm="1">
        <f t="array" ref="W476">IFERROR(_xlfn.IFS(
U476="","",
--U476&lt;55,"Battery Defect",
--U476&lt;=69,"Battery D",
--U476&lt;=80,"Battery C",
--U476&gt;80,""
),"")</f>
        <v/>
      </c>
      <c r="X476" s="53"/>
      <c r="Y476" s="53"/>
      <c r="Z476" s="53"/>
      <c r="AA476" s="53"/>
      <c r="AB476" s="53"/>
      <c r="AC476" s="53"/>
      <c r="AD476" s="53"/>
      <c r="AE476" s="53"/>
      <c r="AF476" s="32" t="str">
        <f t="shared" si="20"/>
        <v/>
      </c>
      <c r="AG476" s="32"/>
      <c r="AH476" s="32"/>
      <c r="AI476" s="32"/>
      <c r="AJ476" s="32"/>
      <c r="AK476" s="32"/>
      <c r="AL476" s="32"/>
      <c r="AM476" s="32"/>
      <c r="AN476" s="32"/>
    </row>
    <row r="477" spans="1:40">
      <c r="A477" s="32" t="str">
        <f>_xlfn.TEXTJOIN("",TRUE,_xlfn.XLOOKUP(B477,Input!J:J,Input!G:G,"",0,1),_xlfn.XLOOKUP(B477,Input!J:J,Input!H:H,"",0,1))</f>
        <v/>
      </c>
      <c r="B477" s="32"/>
      <c r="C477" s="53">
        <f>_xlfn.XLOOKUP(B477,Input!J:J,Input!F:F)</f>
        <v>0</v>
      </c>
      <c r="D477" s="32">
        <f>_xlfn.XLOOKUP(C477,Models!H:H,Models!G:G,C477)</f>
        <v>0</v>
      </c>
      <c r="E477" s="32"/>
      <c r="F477" s="32" t="str">
        <f>_xlfn.XLOOKUP(H477,Models!B:B,Models!F:F,"")</f>
        <v/>
      </c>
      <c r="G477" s="32">
        <f>_xlfn.XLOOKUP(B477,Input!J:J,Input!E:E)</f>
        <v>0</v>
      </c>
      <c r="H477" s="32">
        <f>IF(G477="LENOVO",_xlfn.XLOOKUP(B477,Input!J:J,Input!K:K),_xlfn.XLOOKUP(B477,Input!J:J,Input!L:L))</f>
        <v>0</v>
      </c>
      <c r="I477" s="32"/>
      <c r="J477" s="32"/>
      <c r="K477" s="32"/>
      <c r="L477" s="53"/>
      <c r="M477" s="53"/>
      <c r="N477" s="53"/>
      <c r="O477" s="53" t="str" cm="1">
        <f t="array" ref="O477">IFERROR(_xlfn.FILTERXML("&lt;t&gt;&lt;s&gt;" &amp; SUBSTITUTE(M477," / ","&lt;/s&gt;&lt;s&gt;") &amp; "&lt;/s&gt;&lt;/t&gt;","(//s[contains(.,'DDR')])[1]"),"")</f>
        <v/>
      </c>
      <c r="P477" s="32" t="str">
        <f t="shared" si="21"/>
        <v>GB</v>
      </c>
      <c r="Q477" s="32"/>
      <c r="R477" s="32"/>
      <c r="S477" s="53" t="e">
        <f>_xlfn.LET(_xlpm.Result,INDEX(Input!$D$2:$AC$500,
       MATCH(B477, Input!$J$2:$J$500, 0),
       MATCH("Capacity", Input!$D$1:$AC$1, 0)),IF(_xlpm.Result="","",_xlpm.Result))</f>
        <v>#N/A</v>
      </c>
      <c r="T477" s="53"/>
      <c r="U477" s="53"/>
      <c r="V477" s="53" t="str" cm="1">
        <f t="array" ref="V477">IFERROR(_xlfn.IFS(
T477="","",
--T477&lt;55,"Battery Defect",
--T477&lt;=69,"Battery D",
--T477&lt;=80,"Battery C",
--T477&gt;80,""
),"")</f>
        <v/>
      </c>
      <c r="W477" s="53" t="str" cm="1">
        <f t="array" ref="W477">IFERROR(_xlfn.IFS(
U477="","",
--U477&lt;55,"Battery Defect",
--U477&lt;=69,"Battery D",
--U477&lt;=80,"Battery C",
--U477&gt;80,""
),"")</f>
        <v/>
      </c>
      <c r="X477" s="53"/>
      <c r="Y477" s="53"/>
      <c r="Z477" s="53"/>
      <c r="AA477" s="53"/>
      <c r="AB477" s="53"/>
      <c r="AC477" s="53"/>
      <c r="AD477" s="53"/>
      <c r="AE477" s="53"/>
      <c r="AF477" s="32" t="str">
        <f t="shared" si="20"/>
        <v/>
      </c>
      <c r="AG477" s="32"/>
      <c r="AH477" s="32"/>
      <c r="AI477" s="32"/>
      <c r="AJ477" s="32"/>
      <c r="AK477" s="32"/>
      <c r="AL477" s="32"/>
      <c r="AM477" s="32"/>
      <c r="AN477" s="32"/>
    </row>
    <row r="478" spans="1:40">
      <c r="A478" s="32" t="str">
        <f>_xlfn.TEXTJOIN("",TRUE,_xlfn.XLOOKUP(B478,Input!J:J,Input!G:G,"",0,1),_xlfn.XLOOKUP(B478,Input!J:J,Input!H:H,"",0,1))</f>
        <v/>
      </c>
      <c r="B478" s="32"/>
      <c r="C478" s="53">
        <f>_xlfn.XLOOKUP(B478,Input!J:J,Input!F:F)</f>
        <v>0</v>
      </c>
      <c r="D478" s="32">
        <f>_xlfn.XLOOKUP(C478,Models!H:H,Models!G:G,C478)</f>
        <v>0</v>
      </c>
      <c r="E478" s="32"/>
      <c r="F478" s="32" t="str">
        <f>_xlfn.XLOOKUP(H478,Models!B:B,Models!F:F,"")</f>
        <v/>
      </c>
      <c r="G478" s="32">
        <f>_xlfn.XLOOKUP(B478,Input!J:J,Input!E:E)</f>
        <v>0</v>
      </c>
      <c r="H478" s="32">
        <f>IF(G478="LENOVO",_xlfn.XLOOKUP(B478,Input!J:J,Input!K:K),_xlfn.XLOOKUP(B478,Input!J:J,Input!L:L))</f>
        <v>0</v>
      </c>
      <c r="I478" s="32"/>
      <c r="J478" s="32"/>
      <c r="K478" s="32"/>
      <c r="L478" s="53"/>
      <c r="M478" s="53"/>
      <c r="N478" s="53"/>
      <c r="O478" s="53" t="str" cm="1">
        <f t="array" ref="O478">IFERROR(_xlfn.FILTERXML("&lt;t&gt;&lt;s&gt;" &amp; SUBSTITUTE(M478," / ","&lt;/s&gt;&lt;s&gt;") &amp; "&lt;/s&gt;&lt;/t&gt;","(//s[contains(.,'DDR')])[1]"),"")</f>
        <v/>
      </c>
      <c r="P478" s="32" t="str">
        <f t="shared" si="21"/>
        <v>GB</v>
      </c>
      <c r="Q478" s="32"/>
      <c r="R478" s="32"/>
      <c r="S478" s="53" t="e">
        <f>_xlfn.LET(_xlpm.Result,INDEX(Input!$D$2:$AC$500,
       MATCH(B478, Input!$J$2:$J$500, 0),
       MATCH("Capacity", Input!$D$1:$AC$1, 0)),IF(_xlpm.Result="","",_xlpm.Result))</f>
        <v>#N/A</v>
      </c>
      <c r="T478" s="53"/>
      <c r="U478" s="53"/>
      <c r="V478" s="53" t="str" cm="1">
        <f t="array" ref="V478">IFERROR(_xlfn.IFS(
T478="","",
--T478&lt;55,"Battery Defect",
--T478&lt;=69,"Battery D",
--T478&lt;=80,"Battery C",
--T478&gt;80,""
),"")</f>
        <v/>
      </c>
      <c r="W478" s="53" t="str" cm="1">
        <f t="array" ref="W478">IFERROR(_xlfn.IFS(
U478="","",
--U478&lt;55,"Battery Defect",
--U478&lt;=69,"Battery D",
--U478&lt;=80,"Battery C",
--U478&gt;80,""
),"")</f>
        <v/>
      </c>
      <c r="X478" s="53"/>
      <c r="Y478" s="53"/>
      <c r="Z478" s="53"/>
      <c r="AA478" s="53"/>
      <c r="AB478" s="53"/>
      <c r="AC478" s="53"/>
      <c r="AD478" s="53"/>
      <c r="AE478" s="53"/>
      <c r="AF478" s="32" t="str">
        <f t="shared" si="20"/>
        <v/>
      </c>
      <c r="AG478" s="32"/>
      <c r="AH478" s="32"/>
      <c r="AI478" s="32"/>
      <c r="AJ478" s="32"/>
      <c r="AK478" s="32"/>
      <c r="AL478" s="32"/>
      <c r="AM478" s="32"/>
      <c r="AN478" s="32"/>
    </row>
    <row r="479" spans="1:40">
      <c r="A479" s="32" t="str">
        <f>_xlfn.TEXTJOIN("",TRUE,_xlfn.XLOOKUP(B479,Input!J:J,Input!G:G,"",0,1),_xlfn.XLOOKUP(B479,Input!J:J,Input!H:H,"",0,1))</f>
        <v/>
      </c>
      <c r="B479" s="32"/>
      <c r="C479" s="53">
        <f>_xlfn.XLOOKUP(B479,Input!J:J,Input!F:F)</f>
        <v>0</v>
      </c>
      <c r="D479" s="32">
        <f>_xlfn.XLOOKUP(C479,Models!H:H,Models!G:G,C479)</f>
        <v>0</v>
      </c>
      <c r="E479" s="32"/>
      <c r="F479" s="32" t="str">
        <f>_xlfn.XLOOKUP(H479,Models!B:B,Models!F:F,"")</f>
        <v/>
      </c>
      <c r="G479" s="32">
        <f>_xlfn.XLOOKUP(B479,Input!J:J,Input!E:E)</f>
        <v>0</v>
      </c>
      <c r="H479" s="32">
        <f>IF(G479="LENOVO",_xlfn.XLOOKUP(B479,Input!J:J,Input!K:K),_xlfn.XLOOKUP(B479,Input!J:J,Input!L:L))</f>
        <v>0</v>
      </c>
      <c r="I479" s="32"/>
      <c r="J479" s="32"/>
      <c r="K479" s="32"/>
      <c r="L479" s="53"/>
      <c r="M479" s="53"/>
      <c r="N479" s="53"/>
      <c r="O479" s="53" t="str" cm="1">
        <f t="array" ref="O479">IFERROR(_xlfn.FILTERXML("&lt;t&gt;&lt;s&gt;" &amp; SUBSTITUTE(M479," / ","&lt;/s&gt;&lt;s&gt;") &amp; "&lt;/s&gt;&lt;/t&gt;","(//s[contains(.,'DDR')])[1]"),"")</f>
        <v/>
      </c>
      <c r="P479" s="32" t="str">
        <f t="shared" si="21"/>
        <v>GB</v>
      </c>
      <c r="Q479" s="32"/>
      <c r="R479" s="32"/>
      <c r="S479" s="53" t="e">
        <f>_xlfn.LET(_xlpm.Result,INDEX(Input!$D$2:$AC$500,
       MATCH(B479, Input!$J$2:$J$500, 0),
       MATCH("Capacity", Input!$D$1:$AC$1, 0)),IF(_xlpm.Result="","",_xlpm.Result))</f>
        <v>#N/A</v>
      </c>
      <c r="T479" s="53"/>
      <c r="U479" s="53"/>
      <c r="V479" s="53" t="str" cm="1">
        <f t="array" ref="V479">IFERROR(_xlfn.IFS(
T479="","",
--T479&lt;55,"Battery Defect",
--T479&lt;=69,"Battery D",
--T479&lt;=80,"Battery C",
--T479&gt;80,""
),"")</f>
        <v/>
      </c>
      <c r="W479" s="53" t="str" cm="1">
        <f t="array" ref="W479">IFERROR(_xlfn.IFS(
U479="","",
--U479&lt;55,"Battery Defect",
--U479&lt;=69,"Battery D",
--U479&lt;=80,"Battery C",
--U479&gt;80,""
),"")</f>
        <v/>
      </c>
      <c r="X479" s="53"/>
      <c r="Y479" s="53"/>
      <c r="Z479" s="53"/>
      <c r="AA479" s="53"/>
      <c r="AB479" s="53"/>
      <c r="AC479" s="53"/>
      <c r="AD479" s="53"/>
      <c r="AE479" s="53"/>
      <c r="AF479" s="32" t="str">
        <f t="shared" si="20"/>
        <v/>
      </c>
      <c r="AG479" s="32"/>
      <c r="AH479" s="32"/>
      <c r="AI479" s="32"/>
      <c r="AJ479" s="32"/>
      <c r="AK479" s="32"/>
      <c r="AL479" s="32"/>
      <c r="AM479" s="32"/>
      <c r="AN479" s="32"/>
    </row>
    <row r="480" spans="1:40">
      <c r="A480" s="32" t="str">
        <f>_xlfn.TEXTJOIN("",TRUE,_xlfn.XLOOKUP(B480,Input!J:J,Input!G:G,"",0,1),_xlfn.XLOOKUP(B480,Input!J:J,Input!H:H,"",0,1))</f>
        <v/>
      </c>
      <c r="B480" s="32"/>
      <c r="C480" s="53">
        <f>_xlfn.XLOOKUP(B480,Input!J:J,Input!F:F)</f>
        <v>0</v>
      </c>
      <c r="D480" s="32">
        <f>_xlfn.XLOOKUP(C480,Models!H:H,Models!G:G,C480)</f>
        <v>0</v>
      </c>
      <c r="E480" s="32"/>
      <c r="F480" s="32" t="str">
        <f>_xlfn.XLOOKUP(H480,Models!B:B,Models!F:F,"")</f>
        <v/>
      </c>
      <c r="G480" s="32">
        <f>_xlfn.XLOOKUP(B480,Input!J:J,Input!E:E)</f>
        <v>0</v>
      </c>
      <c r="H480" s="32">
        <f>IF(G480="LENOVO",_xlfn.XLOOKUP(B480,Input!J:J,Input!K:K),_xlfn.XLOOKUP(B480,Input!J:J,Input!L:L))</f>
        <v>0</v>
      </c>
      <c r="I480" s="32"/>
      <c r="J480" s="32"/>
      <c r="K480" s="32"/>
      <c r="L480" s="53"/>
      <c r="M480" s="53"/>
      <c r="N480" s="53"/>
      <c r="O480" s="53" t="str" cm="1">
        <f t="array" ref="O480">IFERROR(_xlfn.FILTERXML("&lt;t&gt;&lt;s&gt;" &amp; SUBSTITUTE(M480," / ","&lt;/s&gt;&lt;s&gt;") &amp; "&lt;/s&gt;&lt;/t&gt;","(//s[contains(.,'DDR')])[1]"),"")</f>
        <v/>
      </c>
      <c r="P480" s="32" t="str">
        <f t="shared" si="21"/>
        <v>GB</v>
      </c>
      <c r="Q480" s="32"/>
      <c r="R480" s="32"/>
      <c r="S480" s="53" t="e">
        <f>_xlfn.LET(_xlpm.Result,INDEX(Input!$D$2:$AC$500,
       MATCH(B480, Input!$J$2:$J$500, 0),
       MATCH("Capacity", Input!$D$1:$AC$1, 0)),IF(_xlpm.Result="","",_xlpm.Result))</f>
        <v>#N/A</v>
      </c>
      <c r="T480" s="53"/>
      <c r="U480" s="53"/>
      <c r="V480" s="53" t="str" cm="1">
        <f t="array" ref="V480">IFERROR(_xlfn.IFS(
T480="","",
--T480&lt;55,"Battery Defect",
--T480&lt;=69,"Battery D",
--T480&lt;=80,"Battery C",
--T480&gt;80,""
),"")</f>
        <v/>
      </c>
      <c r="W480" s="53" t="str" cm="1">
        <f t="array" ref="W480">IFERROR(_xlfn.IFS(
U480="","",
--U480&lt;55,"Battery Defect",
--U480&lt;=69,"Battery D",
--U480&lt;=80,"Battery C",
--U480&gt;80,""
),"")</f>
        <v/>
      </c>
      <c r="X480" s="53"/>
      <c r="Y480" s="53"/>
      <c r="Z480" s="53"/>
      <c r="AA480" s="53"/>
      <c r="AB480" s="53"/>
      <c r="AC480" s="53"/>
      <c r="AD480" s="53"/>
      <c r="AE480" s="53"/>
      <c r="AF480" s="32" t="str">
        <f t="shared" si="20"/>
        <v/>
      </c>
      <c r="AG480" s="32"/>
      <c r="AH480" s="32"/>
      <c r="AI480" s="32"/>
      <c r="AJ480" s="32"/>
      <c r="AK480" s="32"/>
      <c r="AL480" s="32"/>
      <c r="AM480" s="32"/>
      <c r="AN480" s="32"/>
    </row>
    <row r="481" spans="1:40">
      <c r="A481" s="32" t="str">
        <f>_xlfn.TEXTJOIN("",TRUE,_xlfn.XLOOKUP(B481,Input!J:J,Input!G:G,"",0,1),_xlfn.XLOOKUP(B481,Input!J:J,Input!H:H,"",0,1))</f>
        <v/>
      </c>
      <c r="B481" s="32"/>
      <c r="C481" s="53">
        <f>_xlfn.XLOOKUP(B481,Input!J:J,Input!F:F)</f>
        <v>0</v>
      </c>
      <c r="D481" s="32">
        <f>_xlfn.XLOOKUP(C481,Models!H:H,Models!G:G,C481)</f>
        <v>0</v>
      </c>
      <c r="E481" s="32"/>
      <c r="F481" s="32" t="str">
        <f>_xlfn.XLOOKUP(H481,Models!B:B,Models!F:F,"")</f>
        <v/>
      </c>
      <c r="G481" s="32">
        <f>_xlfn.XLOOKUP(B481,Input!J:J,Input!E:E)</f>
        <v>0</v>
      </c>
      <c r="H481" s="32">
        <f>IF(G481="LENOVO",_xlfn.XLOOKUP(B481,Input!J:J,Input!K:K),_xlfn.XLOOKUP(B481,Input!J:J,Input!L:L))</f>
        <v>0</v>
      </c>
      <c r="I481" s="32"/>
      <c r="J481" s="32"/>
      <c r="K481" s="32"/>
      <c r="L481" s="53"/>
      <c r="M481" s="53"/>
      <c r="N481" s="53"/>
      <c r="O481" s="53" t="str" cm="1">
        <f t="array" ref="O481">IFERROR(_xlfn.FILTERXML("&lt;t&gt;&lt;s&gt;" &amp; SUBSTITUTE(M481," / ","&lt;/s&gt;&lt;s&gt;") &amp; "&lt;/s&gt;&lt;/t&gt;","(//s[contains(.,'DDR')])[1]"),"")</f>
        <v/>
      </c>
      <c r="P481" s="32" t="str">
        <f t="shared" si="21"/>
        <v>GB</v>
      </c>
      <c r="Q481" s="32"/>
      <c r="R481" s="32"/>
      <c r="S481" s="53" t="e">
        <f>_xlfn.LET(_xlpm.Result,INDEX(Input!$D$2:$AC$500,
       MATCH(B481, Input!$J$2:$J$500, 0),
       MATCH("Capacity", Input!$D$1:$AC$1, 0)),IF(_xlpm.Result="","",_xlpm.Result))</f>
        <v>#N/A</v>
      </c>
      <c r="T481" s="53"/>
      <c r="U481" s="53"/>
      <c r="V481" s="53" t="str" cm="1">
        <f t="array" ref="V481">IFERROR(_xlfn.IFS(
T481="","",
--T481&lt;55,"Battery Defect",
--T481&lt;=69,"Battery D",
--T481&lt;=80,"Battery C",
--T481&gt;80,""
),"")</f>
        <v/>
      </c>
      <c r="W481" s="53" t="str" cm="1">
        <f t="array" ref="W481">IFERROR(_xlfn.IFS(
U481="","",
--U481&lt;55,"Battery Defect",
--U481&lt;=69,"Battery D",
--U481&lt;=80,"Battery C",
--U481&gt;80,""
),"")</f>
        <v/>
      </c>
      <c r="X481" s="53"/>
      <c r="Y481" s="53"/>
      <c r="Z481" s="53"/>
      <c r="AA481" s="53"/>
      <c r="AB481" s="53"/>
      <c r="AC481" s="53"/>
      <c r="AD481" s="53"/>
      <c r="AE481" s="53"/>
      <c r="AF481" s="32" t="str">
        <f t="shared" si="20"/>
        <v/>
      </c>
      <c r="AG481" s="32"/>
      <c r="AH481" s="32"/>
      <c r="AI481" s="32"/>
      <c r="AJ481" s="32"/>
      <c r="AK481" s="32"/>
      <c r="AL481" s="32"/>
      <c r="AM481" s="32"/>
      <c r="AN481" s="32"/>
    </row>
    <row r="482" spans="1:40">
      <c r="A482" s="32" t="str">
        <f>_xlfn.TEXTJOIN("",TRUE,_xlfn.XLOOKUP(B482,Input!J:J,Input!G:G,"",0,1),_xlfn.XLOOKUP(B482,Input!J:J,Input!H:H,"",0,1))</f>
        <v/>
      </c>
      <c r="B482" s="32"/>
      <c r="C482" s="53">
        <f>_xlfn.XLOOKUP(B482,Input!J:J,Input!F:F)</f>
        <v>0</v>
      </c>
      <c r="D482" s="32">
        <f>_xlfn.XLOOKUP(C482,Models!H:H,Models!G:G,C482)</f>
        <v>0</v>
      </c>
      <c r="E482" s="32"/>
      <c r="F482" s="32" t="str">
        <f>_xlfn.XLOOKUP(H482,Models!B:B,Models!F:F,"")</f>
        <v/>
      </c>
      <c r="G482" s="32">
        <f>_xlfn.XLOOKUP(B482,Input!J:J,Input!E:E)</f>
        <v>0</v>
      </c>
      <c r="H482" s="32">
        <f>IF(G482="LENOVO",_xlfn.XLOOKUP(B482,Input!J:J,Input!K:K),_xlfn.XLOOKUP(B482,Input!J:J,Input!L:L))</f>
        <v>0</v>
      </c>
      <c r="I482" s="32"/>
      <c r="J482" s="32"/>
      <c r="K482" s="32"/>
      <c r="L482" s="53"/>
      <c r="M482" s="53"/>
      <c r="N482" s="53"/>
      <c r="O482" s="53" t="str" cm="1">
        <f t="array" ref="O482">IFERROR(_xlfn.FILTERXML("&lt;t&gt;&lt;s&gt;" &amp; SUBSTITUTE(M482," / ","&lt;/s&gt;&lt;s&gt;") &amp; "&lt;/s&gt;&lt;/t&gt;","(//s[contains(.,'DDR')])[1]"),"")</f>
        <v/>
      </c>
      <c r="P482" s="32" t="str">
        <f t="shared" si="21"/>
        <v>GB</v>
      </c>
      <c r="Q482" s="32"/>
      <c r="R482" s="32"/>
      <c r="S482" s="53" t="e">
        <f>_xlfn.LET(_xlpm.Result,INDEX(Input!$D$2:$AC$500,
       MATCH(B482, Input!$J$2:$J$500, 0),
       MATCH("Capacity", Input!$D$1:$AC$1, 0)),IF(_xlpm.Result="","",_xlpm.Result))</f>
        <v>#N/A</v>
      </c>
      <c r="T482" s="53"/>
      <c r="U482" s="53"/>
      <c r="V482" s="53" t="str" cm="1">
        <f t="array" ref="V482">IFERROR(_xlfn.IFS(
T482="","",
--T482&lt;55,"Battery Defect",
--T482&lt;=69,"Battery D",
--T482&lt;=80,"Battery C",
--T482&gt;80,""
),"")</f>
        <v/>
      </c>
      <c r="W482" s="53" t="str" cm="1">
        <f t="array" ref="W482">IFERROR(_xlfn.IFS(
U482="","",
--U482&lt;55,"Battery Defect",
--U482&lt;=69,"Battery D",
--U482&lt;=80,"Battery C",
--U482&gt;80,""
),"")</f>
        <v/>
      </c>
      <c r="X482" s="53"/>
      <c r="Y482" s="53"/>
      <c r="Z482" s="53"/>
      <c r="AA482" s="53"/>
      <c r="AB482" s="53"/>
      <c r="AC482" s="53"/>
      <c r="AD482" s="53"/>
      <c r="AE482" s="53"/>
      <c r="AF482" s="32" t="str">
        <f t="shared" si="20"/>
        <v/>
      </c>
      <c r="AG482" s="32"/>
      <c r="AH482" s="32"/>
      <c r="AI482" s="32"/>
      <c r="AJ482" s="32"/>
      <c r="AK482" s="32"/>
      <c r="AL482" s="32"/>
      <c r="AM482" s="32"/>
      <c r="AN482" s="32"/>
    </row>
    <row r="483" spans="1:40">
      <c r="A483" s="32" t="str">
        <f>_xlfn.TEXTJOIN("",TRUE,_xlfn.XLOOKUP(B483,Input!J:J,Input!G:G,"",0,1),_xlfn.XLOOKUP(B483,Input!J:J,Input!H:H,"",0,1))</f>
        <v/>
      </c>
      <c r="B483" s="32"/>
      <c r="C483" s="53">
        <f>_xlfn.XLOOKUP(B483,Input!J:J,Input!F:F)</f>
        <v>0</v>
      </c>
      <c r="D483" s="32">
        <f>_xlfn.XLOOKUP(C483,Models!H:H,Models!G:G,C483)</f>
        <v>0</v>
      </c>
      <c r="E483" s="32"/>
      <c r="F483" s="32" t="str">
        <f>_xlfn.XLOOKUP(H483,Models!B:B,Models!F:F,"")</f>
        <v/>
      </c>
      <c r="G483" s="32">
        <f>_xlfn.XLOOKUP(B483,Input!J:J,Input!E:E)</f>
        <v>0</v>
      </c>
      <c r="H483" s="32">
        <f>IF(G483="LENOVO",_xlfn.XLOOKUP(B483,Input!J:J,Input!K:K),_xlfn.XLOOKUP(B483,Input!J:J,Input!L:L))</f>
        <v>0</v>
      </c>
      <c r="I483" s="32"/>
      <c r="J483" s="32"/>
      <c r="K483" s="32"/>
      <c r="L483" s="53"/>
      <c r="M483" s="53"/>
      <c r="N483" s="53"/>
      <c r="O483" s="53" t="str" cm="1">
        <f t="array" ref="O483">IFERROR(_xlfn.FILTERXML("&lt;t&gt;&lt;s&gt;" &amp; SUBSTITUTE(M483," / ","&lt;/s&gt;&lt;s&gt;") &amp; "&lt;/s&gt;&lt;/t&gt;","(//s[contains(.,'DDR')])[1]"),"")</f>
        <v/>
      </c>
      <c r="P483" s="32" t="str">
        <f t="shared" si="21"/>
        <v>GB</v>
      </c>
      <c r="Q483" s="32"/>
      <c r="R483" s="32"/>
      <c r="S483" s="53" t="e">
        <f>_xlfn.LET(_xlpm.Result,INDEX(Input!$D$2:$AC$500,
       MATCH(B483, Input!$J$2:$J$500, 0),
       MATCH("Capacity", Input!$D$1:$AC$1, 0)),IF(_xlpm.Result="","",_xlpm.Result))</f>
        <v>#N/A</v>
      </c>
      <c r="T483" s="53"/>
      <c r="U483" s="53"/>
      <c r="V483" s="53" t="str" cm="1">
        <f t="array" ref="V483">IFERROR(_xlfn.IFS(
T483="","",
--T483&lt;55,"Battery Defect",
--T483&lt;=69,"Battery D",
--T483&lt;=80,"Battery C",
--T483&gt;80,""
),"")</f>
        <v/>
      </c>
      <c r="W483" s="53" t="str" cm="1">
        <f t="array" ref="W483">IFERROR(_xlfn.IFS(
U483="","",
--U483&lt;55,"Battery Defect",
--U483&lt;=69,"Battery D",
--U483&lt;=80,"Battery C",
--U483&gt;80,""
),"")</f>
        <v/>
      </c>
      <c r="X483" s="53"/>
      <c r="Y483" s="53"/>
      <c r="Z483" s="53"/>
      <c r="AA483" s="53"/>
      <c r="AB483" s="53"/>
      <c r="AC483" s="53"/>
      <c r="AD483" s="53"/>
      <c r="AE483" s="53"/>
      <c r="AF483" s="32" t="str">
        <f t="shared" si="20"/>
        <v/>
      </c>
      <c r="AG483" s="32"/>
      <c r="AH483" s="32"/>
      <c r="AI483" s="32"/>
      <c r="AJ483" s="32"/>
      <c r="AK483" s="32"/>
      <c r="AL483" s="32"/>
      <c r="AM483" s="32"/>
      <c r="AN483" s="32"/>
    </row>
    <row r="484" spans="1:40">
      <c r="A484" s="32" t="str">
        <f>_xlfn.TEXTJOIN("",TRUE,_xlfn.XLOOKUP(B484,Input!J:J,Input!G:G,"",0,1),_xlfn.XLOOKUP(B484,Input!J:J,Input!H:H,"",0,1))</f>
        <v/>
      </c>
      <c r="B484" s="32"/>
      <c r="C484" s="53">
        <f>_xlfn.XLOOKUP(B484,Input!J:J,Input!F:F)</f>
        <v>0</v>
      </c>
      <c r="D484" s="32">
        <f>_xlfn.XLOOKUP(C484,Models!H:H,Models!G:G,C484)</f>
        <v>0</v>
      </c>
      <c r="E484" s="32"/>
      <c r="F484" s="32" t="str">
        <f>_xlfn.XLOOKUP(H484,Models!B:B,Models!F:F,"")</f>
        <v/>
      </c>
      <c r="G484" s="32">
        <f>_xlfn.XLOOKUP(B484,Input!J:J,Input!E:E)</f>
        <v>0</v>
      </c>
      <c r="H484" s="32">
        <f>IF(G484="LENOVO",_xlfn.XLOOKUP(B484,Input!J:J,Input!K:K),_xlfn.XLOOKUP(B484,Input!J:J,Input!L:L))</f>
        <v>0</v>
      </c>
      <c r="I484" s="32"/>
      <c r="J484" s="32"/>
      <c r="K484" s="32"/>
      <c r="L484" s="53"/>
      <c r="M484" s="53"/>
      <c r="N484" s="53"/>
      <c r="O484" s="53" t="str" cm="1">
        <f t="array" ref="O484">IFERROR(_xlfn.FILTERXML("&lt;t&gt;&lt;s&gt;" &amp; SUBSTITUTE(M484," / ","&lt;/s&gt;&lt;s&gt;") &amp; "&lt;/s&gt;&lt;/t&gt;","(//s[contains(.,'DDR')])[1]"),"")</f>
        <v/>
      </c>
      <c r="P484" s="32" t="str">
        <f t="shared" si="21"/>
        <v>GB</v>
      </c>
      <c r="Q484" s="32"/>
      <c r="R484" s="32"/>
      <c r="S484" s="53" t="e">
        <f>_xlfn.LET(_xlpm.Result,INDEX(Input!$D$2:$AC$500,
       MATCH(B484, Input!$J$2:$J$500, 0),
       MATCH("Capacity", Input!$D$1:$AC$1, 0)),IF(_xlpm.Result="","",_xlpm.Result))</f>
        <v>#N/A</v>
      </c>
      <c r="T484" s="53"/>
      <c r="U484" s="53"/>
      <c r="V484" s="53" t="str" cm="1">
        <f t="array" ref="V484">IFERROR(_xlfn.IFS(
T484="","",
--T484&lt;55,"Battery Defect",
--T484&lt;=69,"Battery D",
--T484&lt;=80,"Battery C",
--T484&gt;80,""
),"")</f>
        <v/>
      </c>
      <c r="W484" s="53" t="str" cm="1">
        <f t="array" ref="W484">IFERROR(_xlfn.IFS(
U484="","",
--U484&lt;55,"Battery Defect",
--U484&lt;=69,"Battery D",
--U484&lt;=80,"Battery C",
--U484&gt;80,""
),"")</f>
        <v/>
      </c>
      <c r="X484" s="53"/>
      <c r="Y484" s="53"/>
      <c r="Z484" s="53"/>
      <c r="AA484" s="53"/>
      <c r="AB484" s="53"/>
      <c r="AC484" s="53"/>
      <c r="AD484" s="53"/>
      <c r="AE484" s="53"/>
      <c r="AF484" s="32" t="str">
        <f t="shared" si="20"/>
        <v/>
      </c>
      <c r="AG484" s="32"/>
      <c r="AH484" s="32"/>
      <c r="AI484" s="32"/>
      <c r="AJ484" s="32"/>
      <c r="AK484" s="32"/>
      <c r="AL484" s="32"/>
      <c r="AM484" s="32"/>
      <c r="AN484" s="32"/>
    </row>
    <row r="485" spans="1:40">
      <c r="A485" s="32" t="str">
        <f>_xlfn.TEXTJOIN("",TRUE,_xlfn.XLOOKUP(B485,Input!J:J,Input!G:G,"",0,1),_xlfn.XLOOKUP(B485,Input!J:J,Input!H:H,"",0,1))</f>
        <v/>
      </c>
      <c r="B485" s="32"/>
      <c r="C485" s="53">
        <f>_xlfn.XLOOKUP(B485,Input!J:J,Input!F:F)</f>
        <v>0</v>
      </c>
      <c r="D485" s="32">
        <f>_xlfn.XLOOKUP(C485,Models!H:H,Models!G:G,C485)</f>
        <v>0</v>
      </c>
      <c r="E485" s="32"/>
      <c r="F485" s="32" t="str">
        <f>_xlfn.XLOOKUP(H485,Models!B:B,Models!F:F,"")</f>
        <v/>
      </c>
      <c r="G485" s="32">
        <f>_xlfn.XLOOKUP(B485,Input!J:J,Input!E:E)</f>
        <v>0</v>
      </c>
      <c r="H485" s="32">
        <f>IF(G485="LENOVO",_xlfn.XLOOKUP(B485,Input!J:J,Input!K:K),_xlfn.XLOOKUP(B485,Input!J:J,Input!L:L))</f>
        <v>0</v>
      </c>
      <c r="I485" s="32"/>
      <c r="J485" s="32"/>
      <c r="K485" s="32"/>
      <c r="L485" s="53"/>
      <c r="M485" s="53"/>
      <c r="N485" s="53"/>
      <c r="O485" s="53" t="str" cm="1">
        <f t="array" ref="O485">IFERROR(_xlfn.FILTERXML("&lt;t&gt;&lt;s&gt;" &amp; SUBSTITUTE(M485," / ","&lt;/s&gt;&lt;s&gt;") &amp; "&lt;/s&gt;&lt;/t&gt;","(//s[contains(.,'DDR')])[1]"),"")</f>
        <v/>
      </c>
      <c r="P485" s="32" t="str">
        <f t="shared" si="21"/>
        <v>GB</v>
      </c>
      <c r="Q485" s="32"/>
      <c r="R485" s="32"/>
      <c r="S485" s="53" t="e">
        <f>_xlfn.LET(_xlpm.Result,INDEX(Input!$D$2:$AC$500,
       MATCH(B485, Input!$J$2:$J$500, 0),
       MATCH("Capacity", Input!$D$1:$AC$1, 0)),IF(_xlpm.Result="","",_xlpm.Result))</f>
        <v>#N/A</v>
      </c>
      <c r="T485" s="53"/>
      <c r="U485" s="53"/>
      <c r="V485" s="53" t="str" cm="1">
        <f t="array" ref="V485">IFERROR(_xlfn.IFS(
T485="","",
--T485&lt;55,"Battery Defect",
--T485&lt;=69,"Battery D",
--T485&lt;=80,"Battery C",
--T485&gt;80,""
),"")</f>
        <v/>
      </c>
      <c r="W485" s="53" t="str" cm="1">
        <f t="array" ref="W485">IFERROR(_xlfn.IFS(
U485="","",
--U485&lt;55,"Battery Defect",
--U485&lt;=69,"Battery D",
--U485&lt;=80,"Battery C",
--U485&gt;80,""
),"")</f>
        <v/>
      </c>
      <c r="X485" s="53"/>
      <c r="Y485" s="53"/>
      <c r="Z485" s="53"/>
      <c r="AA485" s="53"/>
      <c r="AB485" s="53"/>
      <c r="AC485" s="53"/>
      <c r="AD485" s="53"/>
      <c r="AE485" s="53"/>
      <c r="AF485" s="32" t="str">
        <f t="shared" si="20"/>
        <v/>
      </c>
      <c r="AG485" s="32"/>
      <c r="AH485" s="32"/>
      <c r="AI485" s="32"/>
      <c r="AJ485" s="32"/>
      <c r="AK485" s="32"/>
      <c r="AL485" s="32"/>
      <c r="AM485" s="32"/>
      <c r="AN485" s="32"/>
    </row>
    <row r="486" spans="1:40">
      <c r="A486" s="32" t="str">
        <f>_xlfn.TEXTJOIN("",TRUE,_xlfn.XLOOKUP(B486,Input!J:J,Input!G:G,"",0,1),_xlfn.XLOOKUP(B486,Input!J:J,Input!H:H,"",0,1))</f>
        <v/>
      </c>
      <c r="B486" s="32"/>
      <c r="C486" s="53">
        <f>_xlfn.XLOOKUP(B486,Input!J:J,Input!F:F)</f>
        <v>0</v>
      </c>
      <c r="D486" s="32">
        <f>_xlfn.XLOOKUP(C486,Models!H:H,Models!G:G,C486)</f>
        <v>0</v>
      </c>
      <c r="E486" s="32"/>
      <c r="F486" s="32" t="str">
        <f>_xlfn.XLOOKUP(H486,Models!B:B,Models!F:F,"")</f>
        <v/>
      </c>
      <c r="G486" s="32">
        <f>_xlfn.XLOOKUP(B486,Input!J:J,Input!E:E)</f>
        <v>0</v>
      </c>
      <c r="H486" s="32">
        <f>IF(G486="LENOVO",_xlfn.XLOOKUP(B486,Input!J:J,Input!K:K),_xlfn.XLOOKUP(B486,Input!J:J,Input!L:L))</f>
        <v>0</v>
      </c>
      <c r="I486" s="32"/>
      <c r="J486" s="32"/>
      <c r="K486" s="32"/>
      <c r="L486" s="53"/>
      <c r="M486" s="53"/>
      <c r="N486" s="53"/>
      <c r="O486" s="53" t="str" cm="1">
        <f t="array" ref="O486">IFERROR(_xlfn.FILTERXML("&lt;t&gt;&lt;s&gt;" &amp; SUBSTITUTE(M486," / ","&lt;/s&gt;&lt;s&gt;") &amp; "&lt;/s&gt;&lt;/t&gt;","(//s[contains(.,'DDR')])[1]"),"")</f>
        <v/>
      </c>
      <c r="P486" s="32" t="str">
        <f t="shared" si="21"/>
        <v>GB</v>
      </c>
      <c r="Q486" s="32"/>
      <c r="R486" s="32"/>
      <c r="S486" s="53" t="e">
        <f>_xlfn.LET(_xlpm.Result,INDEX(Input!$D$2:$AC$500,
       MATCH(B486, Input!$J$2:$J$500, 0),
       MATCH("Capacity", Input!$D$1:$AC$1, 0)),IF(_xlpm.Result="","",_xlpm.Result))</f>
        <v>#N/A</v>
      </c>
      <c r="T486" s="53"/>
      <c r="U486" s="53"/>
      <c r="V486" s="53" t="str" cm="1">
        <f t="array" ref="V486">IFERROR(_xlfn.IFS(
T486="","",
--T486&lt;55,"Battery Defect",
--T486&lt;=69,"Battery D",
--T486&lt;=80,"Battery C",
--T486&gt;80,""
),"")</f>
        <v/>
      </c>
      <c r="W486" s="53" t="str" cm="1">
        <f t="array" ref="W486">IFERROR(_xlfn.IFS(
U486="","",
--U486&lt;55,"Battery Defect",
--U486&lt;=69,"Battery D",
--U486&lt;=80,"Battery C",
--U486&gt;80,""
),"")</f>
        <v/>
      </c>
      <c r="X486" s="53"/>
      <c r="Y486" s="53"/>
      <c r="Z486" s="53"/>
      <c r="AA486" s="53"/>
      <c r="AB486" s="53"/>
      <c r="AC486" s="53"/>
      <c r="AD486" s="53"/>
      <c r="AE486" s="53"/>
      <c r="AF486" s="32" t="str">
        <f t="shared" si="20"/>
        <v/>
      </c>
      <c r="AG486" s="32"/>
      <c r="AH486" s="32"/>
      <c r="AI486" s="32"/>
      <c r="AJ486" s="32"/>
      <c r="AK486" s="32"/>
      <c r="AL486" s="32"/>
      <c r="AM486" s="32"/>
      <c r="AN486" s="32"/>
    </row>
    <row r="487" spans="1:40">
      <c r="A487" s="32" t="str">
        <f>_xlfn.TEXTJOIN("",TRUE,_xlfn.XLOOKUP(B487,Input!J:J,Input!G:G,"",0,1),_xlfn.XLOOKUP(B487,Input!J:J,Input!H:H,"",0,1))</f>
        <v/>
      </c>
      <c r="B487" s="32"/>
      <c r="C487" s="53">
        <f>_xlfn.XLOOKUP(B487,Input!J:J,Input!F:F)</f>
        <v>0</v>
      </c>
      <c r="D487" s="32">
        <f>_xlfn.XLOOKUP(C487,Models!H:H,Models!G:G,C487)</f>
        <v>0</v>
      </c>
      <c r="E487" s="32"/>
      <c r="F487" s="32" t="str">
        <f>_xlfn.XLOOKUP(H487,Models!B:B,Models!F:F,"")</f>
        <v/>
      </c>
      <c r="G487" s="32">
        <f>_xlfn.XLOOKUP(B487,Input!J:J,Input!E:E)</f>
        <v>0</v>
      </c>
      <c r="H487" s="32">
        <f>IF(G487="LENOVO",_xlfn.XLOOKUP(B487,Input!J:J,Input!K:K),_xlfn.XLOOKUP(B487,Input!J:J,Input!L:L))</f>
        <v>0</v>
      </c>
      <c r="I487" s="32"/>
      <c r="J487" s="32"/>
      <c r="K487" s="32"/>
      <c r="L487" s="53"/>
      <c r="M487" s="53"/>
      <c r="N487" s="53"/>
      <c r="O487" s="53" t="str" cm="1">
        <f t="array" ref="O487">IFERROR(_xlfn.FILTERXML("&lt;t&gt;&lt;s&gt;" &amp; SUBSTITUTE(M487," / ","&lt;/s&gt;&lt;s&gt;") &amp; "&lt;/s&gt;&lt;/t&gt;","(//s[contains(.,'DDR')])[1]"),"")</f>
        <v/>
      </c>
      <c r="P487" s="32" t="str">
        <f t="shared" si="21"/>
        <v>GB</v>
      </c>
      <c r="Q487" s="32"/>
      <c r="R487" s="32"/>
      <c r="S487" s="53" t="e">
        <f>_xlfn.LET(_xlpm.Result,INDEX(Input!$D$2:$AC$500,
       MATCH(B487, Input!$J$2:$J$500, 0),
       MATCH("Capacity", Input!$D$1:$AC$1, 0)),IF(_xlpm.Result="","",_xlpm.Result))</f>
        <v>#N/A</v>
      </c>
      <c r="T487" s="53"/>
      <c r="U487" s="53"/>
      <c r="V487" s="53" t="str" cm="1">
        <f t="array" ref="V487">IFERROR(_xlfn.IFS(
T487="","",
--T487&lt;55,"Battery Defect",
--T487&lt;=69,"Battery D",
--T487&lt;=80,"Battery C",
--T487&gt;80,""
),"")</f>
        <v/>
      </c>
      <c r="W487" s="53" t="str" cm="1">
        <f t="array" ref="W487">IFERROR(_xlfn.IFS(
U487="","",
--U487&lt;55,"Battery Defect",
--U487&lt;=69,"Battery D",
--U487&lt;=80,"Battery C",
--U487&gt;80,""
),"")</f>
        <v/>
      </c>
      <c r="X487" s="53"/>
      <c r="Y487" s="53"/>
      <c r="Z487" s="53"/>
      <c r="AA487" s="53"/>
      <c r="AB487" s="53"/>
      <c r="AC487" s="53"/>
      <c r="AD487" s="53"/>
      <c r="AE487" s="53"/>
      <c r="AF487" s="32" t="str">
        <f t="shared" si="20"/>
        <v/>
      </c>
      <c r="AG487" s="32"/>
      <c r="AH487" s="32"/>
      <c r="AI487" s="32"/>
      <c r="AJ487" s="32"/>
      <c r="AK487" s="32"/>
      <c r="AL487" s="32"/>
      <c r="AM487" s="32"/>
      <c r="AN487" s="32"/>
    </row>
    <row r="488" spans="1:40">
      <c r="A488" s="32" t="str">
        <f>_xlfn.TEXTJOIN("",TRUE,_xlfn.XLOOKUP(B488,Input!J:J,Input!G:G,"",0,1),_xlfn.XLOOKUP(B488,Input!J:J,Input!H:H,"",0,1))</f>
        <v/>
      </c>
      <c r="B488" s="32"/>
      <c r="C488" s="53">
        <f>_xlfn.XLOOKUP(B488,Input!J:J,Input!F:F)</f>
        <v>0</v>
      </c>
      <c r="D488" s="32">
        <f>_xlfn.XLOOKUP(C488,Models!H:H,Models!G:G,C488)</f>
        <v>0</v>
      </c>
      <c r="E488" s="32"/>
      <c r="F488" s="32" t="str">
        <f>_xlfn.XLOOKUP(H488,Models!B:B,Models!F:F,"")</f>
        <v/>
      </c>
      <c r="G488" s="32">
        <f>_xlfn.XLOOKUP(B488,Input!J:J,Input!E:E)</f>
        <v>0</v>
      </c>
      <c r="H488" s="32">
        <f>IF(G488="LENOVO",_xlfn.XLOOKUP(B488,Input!J:J,Input!K:K),_xlfn.XLOOKUP(B488,Input!J:J,Input!L:L))</f>
        <v>0</v>
      </c>
      <c r="I488" s="32"/>
      <c r="J488" s="32"/>
      <c r="K488" s="32"/>
      <c r="L488" s="53"/>
      <c r="M488" s="53"/>
      <c r="N488" s="53"/>
      <c r="O488" s="53" t="str" cm="1">
        <f t="array" ref="O488">IFERROR(_xlfn.FILTERXML("&lt;t&gt;&lt;s&gt;" &amp; SUBSTITUTE(M488," / ","&lt;/s&gt;&lt;s&gt;") &amp; "&lt;/s&gt;&lt;/t&gt;","(//s[contains(.,'DDR')])[1]"),"")</f>
        <v/>
      </c>
      <c r="P488" s="32" t="str">
        <f t="shared" si="21"/>
        <v>GB</v>
      </c>
      <c r="Q488" s="32"/>
      <c r="R488" s="32"/>
      <c r="S488" s="53" t="e">
        <f>_xlfn.LET(_xlpm.Result,INDEX(Input!$D$2:$AC$500,
       MATCH(B488, Input!$J$2:$J$500, 0),
       MATCH("Capacity", Input!$D$1:$AC$1, 0)),IF(_xlpm.Result="","",_xlpm.Result))</f>
        <v>#N/A</v>
      </c>
      <c r="T488" s="53"/>
      <c r="U488" s="53"/>
      <c r="V488" s="53" t="str" cm="1">
        <f t="array" ref="V488">IFERROR(_xlfn.IFS(
T488="","",
--T488&lt;55,"Battery Defect",
--T488&lt;=69,"Battery D",
--T488&lt;=80,"Battery C",
--T488&gt;80,""
),"")</f>
        <v/>
      </c>
      <c r="W488" s="53" t="str" cm="1">
        <f t="array" ref="W488">IFERROR(_xlfn.IFS(
U488="","",
--U488&lt;55,"Battery Defect",
--U488&lt;=69,"Battery D",
--U488&lt;=80,"Battery C",
--U488&gt;80,""
),"")</f>
        <v/>
      </c>
      <c r="X488" s="53"/>
      <c r="Y488" s="53"/>
      <c r="Z488" s="53"/>
      <c r="AA488" s="53"/>
      <c r="AB488" s="53"/>
      <c r="AC488" s="53"/>
      <c r="AD488" s="53"/>
      <c r="AE488" s="53"/>
      <c r="AF488" s="32" t="str">
        <f t="shared" si="20"/>
        <v/>
      </c>
      <c r="AG488" s="32"/>
      <c r="AH488" s="32"/>
      <c r="AI488" s="32"/>
      <c r="AJ488" s="32"/>
      <c r="AK488" s="32"/>
      <c r="AL488" s="32"/>
      <c r="AM488" s="32"/>
      <c r="AN488" s="32"/>
    </row>
    <row r="489" spans="1:40">
      <c r="A489" s="32" t="str">
        <f>_xlfn.TEXTJOIN("",TRUE,_xlfn.XLOOKUP(B489,Input!J:J,Input!G:G,"",0,1),_xlfn.XLOOKUP(B489,Input!J:J,Input!H:H,"",0,1))</f>
        <v/>
      </c>
      <c r="B489" s="32"/>
      <c r="C489" s="53">
        <f>_xlfn.XLOOKUP(B489,Input!J:J,Input!F:F)</f>
        <v>0</v>
      </c>
      <c r="D489" s="32">
        <f>_xlfn.XLOOKUP(C489,Models!H:H,Models!G:G,C489)</f>
        <v>0</v>
      </c>
      <c r="E489" s="32"/>
      <c r="F489" s="32" t="str">
        <f>_xlfn.XLOOKUP(H489,Models!B:B,Models!F:F,"")</f>
        <v/>
      </c>
      <c r="G489" s="32">
        <f>_xlfn.XLOOKUP(B489,Input!J:J,Input!E:E)</f>
        <v>0</v>
      </c>
      <c r="H489" s="32">
        <f>IF(G489="LENOVO",_xlfn.XLOOKUP(B489,Input!J:J,Input!K:K),_xlfn.XLOOKUP(B489,Input!J:J,Input!L:L))</f>
        <v>0</v>
      </c>
      <c r="I489" s="32"/>
      <c r="J489" s="32"/>
      <c r="K489" s="32"/>
      <c r="L489" s="53"/>
      <c r="M489" s="53"/>
      <c r="N489" s="53"/>
      <c r="O489" s="53" t="str" cm="1">
        <f t="array" ref="O489">IFERROR(_xlfn.FILTERXML("&lt;t&gt;&lt;s&gt;" &amp; SUBSTITUTE(M489," / ","&lt;/s&gt;&lt;s&gt;") &amp; "&lt;/s&gt;&lt;/t&gt;","(//s[contains(.,'DDR')])[1]"),"")</f>
        <v/>
      </c>
      <c r="P489" s="32" t="str">
        <f t="shared" si="21"/>
        <v>GB</v>
      </c>
      <c r="Q489" s="32"/>
      <c r="R489" s="32"/>
      <c r="S489" s="53" t="e">
        <f>_xlfn.LET(_xlpm.Result,INDEX(Input!$D$2:$AC$500,
       MATCH(B489, Input!$J$2:$J$500, 0),
       MATCH("Capacity", Input!$D$1:$AC$1, 0)),IF(_xlpm.Result="","",_xlpm.Result))</f>
        <v>#N/A</v>
      </c>
      <c r="T489" s="53"/>
      <c r="U489" s="53"/>
      <c r="V489" s="53" t="str" cm="1">
        <f t="array" ref="V489">IFERROR(_xlfn.IFS(
T489="","",
--T489&lt;55,"Battery Defect",
--T489&lt;=69,"Battery D",
--T489&lt;=80,"Battery C",
--T489&gt;80,""
),"")</f>
        <v/>
      </c>
      <c r="W489" s="53" t="str" cm="1">
        <f t="array" ref="W489">IFERROR(_xlfn.IFS(
U489="","",
--U489&lt;55,"Battery Defect",
--U489&lt;=69,"Battery D",
--U489&lt;=80,"Battery C",
--U489&gt;80,""
),"")</f>
        <v/>
      </c>
      <c r="X489" s="53"/>
      <c r="Y489" s="53"/>
      <c r="Z489" s="53"/>
      <c r="AA489" s="53"/>
      <c r="AB489" s="53"/>
      <c r="AC489" s="53"/>
      <c r="AD489" s="53"/>
      <c r="AE489" s="53"/>
      <c r="AF489" s="32" t="str">
        <f t="shared" si="20"/>
        <v/>
      </c>
      <c r="AG489" s="32"/>
      <c r="AH489" s="32"/>
      <c r="AI489" s="32"/>
      <c r="AJ489" s="32"/>
      <c r="AK489" s="32"/>
      <c r="AL489" s="32"/>
      <c r="AM489" s="32"/>
      <c r="AN489" s="32"/>
    </row>
    <row r="490" spans="1:40">
      <c r="A490" s="32" t="str">
        <f>_xlfn.TEXTJOIN("",TRUE,_xlfn.XLOOKUP(B490,Input!J:J,Input!G:G,"",0,1),_xlfn.XLOOKUP(B490,Input!J:J,Input!H:H,"",0,1))</f>
        <v/>
      </c>
      <c r="B490" s="32"/>
      <c r="C490" s="53">
        <f>_xlfn.XLOOKUP(B490,Input!J:J,Input!F:F)</f>
        <v>0</v>
      </c>
      <c r="D490" s="32">
        <f>_xlfn.XLOOKUP(C490,Models!H:H,Models!G:G,C490)</f>
        <v>0</v>
      </c>
      <c r="E490" s="32"/>
      <c r="F490" s="32" t="str">
        <f>_xlfn.XLOOKUP(H490,Models!B:B,Models!F:F,"")</f>
        <v/>
      </c>
      <c r="G490" s="32">
        <f>_xlfn.XLOOKUP(B490,Input!J:J,Input!E:E)</f>
        <v>0</v>
      </c>
      <c r="H490" s="32">
        <f>IF(G490="LENOVO",_xlfn.XLOOKUP(B490,Input!J:J,Input!K:K),_xlfn.XLOOKUP(B490,Input!J:J,Input!L:L))</f>
        <v>0</v>
      </c>
      <c r="I490" s="32"/>
      <c r="J490" s="32"/>
      <c r="K490" s="32"/>
      <c r="L490" s="53"/>
      <c r="M490" s="53"/>
      <c r="N490" s="53"/>
      <c r="O490" s="53" t="str" cm="1">
        <f t="array" ref="O490">IFERROR(_xlfn.FILTERXML("&lt;t&gt;&lt;s&gt;" &amp; SUBSTITUTE(M490," / ","&lt;/s&gt;&lt;s&gt;") &amp; "&lt;/s&gt;&lt;/t&gt;","(//s[contains(.,'DDR')])[1]"),"")</f>
        <v/>
      </c>
      <c r="P490" s="32" t="str">
        <f t="shared" si="21"/>
        <v>GB</v>
      </c>
      <c r="Q490" s="32"/>
      <c r="R490" s="32"/>
      <c r="S490" s="53" t="e">
        <f>_xlfn.LET(_xlpm.Result,INDEX(Input!$D$2:$AC$500,
       MATCH(B490, Input!$J$2:$J$500, 0),
       MATCH("Capacity", Input!$D$1:$AC$1, 0)),IF(_xlpm.Result="","",_xlpm.Result))</f>
        <v>#N/A</v>
      </c>
      <c r="T490" s="53"/>
      <c r="U490" s="53"/>
      <c r="V490" s="53" t="str" cm="1">
        <f t="array" ref="V490">IFERROR(_xlfn.IFS(
T490="","",
--T490&lt;55,"Battery Defect",
--T490&lt;=69,"Battery D",
--T490&lt;=80,"Battery C",
--T490&gt;80,""
),"")</f>
        <v/>
      </c>
      <c r="W490" s="53" t="str" cm="1">
        <f t="array" ref="W490">IFERROR(_xlfn.IFS(
U490="","",
--U490&lt;55,"Battery Defect",
--U490&lt;=69,"Battery D",
--U490&lt;=80,"Battery C",
--U490&gt;80,""
),"")</f>
        <v/>
      </c>
      <c r="X490" s="53"/>
      <c r="Y490" s="53"/>
      <c r="Z490" s="53"/>
      <c r="AA490" s="53"/>
      <c r="AB490" s="53"/>
      <c r="AC490" s="53"/>
      <c r="AD490" s="53"/>
      <c r="AE490" s="53"/>
      <c r="AF490" s="32" t="str">
        <f t="shared" si="20"/>
        <v/>
      </c>
      <c r="AG490" s="32"/>
      <c r="AH490" s="32"/>
      <c r="AI490" s="32"/>
      <c r="AJ490" s="32"/>
      <c r="AK490" s="32"/>
      <c r="AL490" s="32"/>
      <c r="AM490" s="32"/>
      <c r="AN490" s="32"/>
    </row>
    <row r="491" spans="1:40">
      <c r="A491" s="32" t="str">
        <f>_xlfn.TEXTJOIN("",TRUE,_xlfn.XLOOKUP(B491,Input!J:J,Input!G:G,"",0,1),_xlfn.XLOOKUP(B491,Input!J:J,Input!H:H,"",0,1))</f>
        <v/>
      </c>
      <c r="B491" s="32"/>
      <c r="C491" s="53">
        <f>_xlfn.XLOOKUP(B491,Input!J:J,Input!F:F)</f>
        <v>0</v>
      </c>
      <c r="D491" s="32">
        <f>_xlfn.XLOOKUP(C491,Models!H:H,Models!G:G,C491)</f>
        <v>0</v>
      </c>
      <c r="E491" s="32"/>
      <c r="F491" s="32" t="str">
        <f>_xlfn.XLOOKUP(H491,Models!B:B,Models!F:F,"")</f>
        <v/>
      </c>
      <c r="G491" s="32">
        <f>_xlfn.XLOOKUP(B491,Input!J:J,Input!E:E)</f>
        <v>0</v>
      </c>
      <c r="H491" s="32">
        <f>IF(G491="LENOVO",_xlfn.XLOOKUP(B491,Input!J:J,Input!K:K),_xlfn.XLOOKUP(B491,Input!J:J,Input!L:L))</f>
        <v>0</v>
      </c>
      <c r="I491" s="32"/>
      <c r="J491" s="32"/>
      <c r="K491" s="32"/>
      <c r="L491" s="53"/>
      <c r="M491" s="53"/>
      <c r="N491" s="53"/>
      <c r="O491" s="53" t="str" cm="1">
        <f t="array" ref="O491">IFERROR(_xlfn.FILTERXML("&lt;t&gt;&lt;s&gt;" &amp; SUBSTITUTE(M491," / ","&lt;/s&gt;&lt;s&gt;") &amp; "&lt;/s&gt;&lt;/t&gt;","(//s[contains(.,'DDR')])[1]"),"")</f>
        <v/>
      </c>
      <c r="P491" s="32" t="str">
        <f t="shared" si="21"/>
        <v>GB</v>
      </c>
      <c r="Q491" s="32"/>
      <c r="R491" s="32"/>
      <c r="S491" s="53" t="e">
        <f>_xlfn.LET(_xlpm.Result,INDEX(Input!$D$2:$AC$500,
       MATCH(B491, Input!$J$2:$J$500, 0),
       MATCH("Capacity", Input!$D$1:$AC$1, 0)),IF(_xlpm.Result="","",_xlpm.Result))</f>
        <v>#N/A</v>
      </c>
      <c r="T491" s="53"/>
      <c r="U491" s="53"/>
      <c r="V491" s="53" t="str" cm="1">
        <f t="array" ref="V491">IFERROR(_xlfn.IFS(
T491="","",
--T491&lt;55,"Battery Defect",
--T491&lt;=69,"Battery D",
--T491&lt;=80,"Battery C",
--T491&gt;80,""
),"")</f>
        <v/>
      </c>
      <c r="W491" s="53" t="str" cm="1">
        <f t="array" ref="W491">IFERROR(_xlfn.IFS(
U491="","",
--U491&lt;55,"Battery Defect",
--U491&lt;=69,"Battery D",
--U491&lt;=80,"Battery C",
--U491&gt;80,""
),"")</f>
        <v/>
      </c>
      <c r="X491" s="53"/>
      <c r="Y491" s="53"/>
      <c r="Z491" s="53"/>
      <c r="AA491" s="53"/>
      <c r="AB491" s="53"/>
      <c r="AC491" s="53"/>
      <c r="AD491" s="53"/>
      <c r="AE491" s="53"/>
      <c r="AF491" s="32" t="str">
        <f t="shared" si="20"/>
        <v/>
      </c>
      <c r="AG491" s="32"/>
      <c r="AH491" s="32"/>
      <c r="AI491" s="32"/>
      <c r="AJ491" s="32"/>
      <c r="AK491" s="32"/>
      <c r="AL491" s="32"/>
      <c r="AM491" s="32"/>
      <c r="AN491" s="32"/>
    </row>
    <row r="492" spans="1:40">
      <c r="A492" s="32" t="str">
        <f>_xlfn.TEXTJOIN("",TRUE,_xlfn.XLOOKUP(B492,Input!J:J,Input!G:G,"",0,1),_xlfn.XLOOKUP(B492,Input!J:J,Input!H:H,"",0,1))</f>
        <v/>
      </c>
      <c r="B492" s="32"/>
      <c r="C492" s="53">
        <f>_xlfn.XLOOKUP(B492,Input!J:J,Input!F:F)</f>
        <v>0</v>
      </c>
      <c r="D492" s="32">
        <f>_xlfn.XLOOKUP(C492,Models!H:H,Models!G:G,C492)</f>
        <v>0</v>
      </c>
      <c r="E492" s="32"/>
      <c r="F492" s="32" t="str">
        <f>_xlfn.XLOOKUP(H492,Models!B:B,Models!F:F,"")</f>
        <v/>
      </c>
      <c r="G492" s="32">
        <f>_xlfn.XLOOKUP(B492,Input!J:J,Input!E:E)</f>
        <v>0</v>
      </c>
      <c r="H492" s="32">
        <f>IF(G492="LENOVO",_xlfn.XLOOKUP(B492,Input!J:J,Input!K:K),_xlfn.XLOOKUP(B492,Input!J:J,Input!L:L))</f>
        <v>0</v>
      </c>
      <c r="I492" s="32"/>
      <c r="J492" s="32"/>
      <c r="K492" s="32"/>
      <c r="L492" s="53"/>
      <c r="M492" s="53"/>
      <c r="N492" s="53"/>
      <c r="O492" s="53" t="str" cm="1">
        <f t="array" ref="O492">IFERROR(_xlfn.FILTERXML("&lt;t&gt;&lt;s&gt;" &amp; SUBSTITUTE(M492," / ","&lt;/s&gt;&lt;s&gt;") &amp; "&lt;/s&gt;&lt;/t&gt;","(//s[contains(.,'DDR')])[1]"),"")</f>
        <v/>
      </c>
      <c r="P492" s="32" t="str">
        <f t="shared" si="21"/>
        <v>GB</v>
      </c>
      <c r="Q492" s="32"/>
      <c r="R492" s="32"/>
      <c r="S492" s="53" t="e">
        <f>_xlfn.LET(_xlpm.Result,INDEX(Input!$D$2:$AC$500,
       MATCH(B492, Input!$J$2:$J$500, 0),
       MATCH("Capacity", Input!$D$1:$AC$1, 0)),IF(_xlpm.Result="","",_xlpm.Result))</f>
        <v>#N/A</v>
      </c>
      <c r="T492" s="53"/>
      <c r="U492" s="53"/>
      <c r="V492" s="53" t="str" cm="1">
        <f t="array" ref="V492">IFERROR(_xlfn.IFS(
T492="","",
--T492&lt;55,"Battery Defect",
--T492&lt;=69,"Battery D",
--T492&lt;=80,"Battery C",
--T492&gt;80,""
),"")</f>
        <v/>
      </c>
      <c r="W492" s="53" t="str" cm="1">
        <f t="array" ref="W492">IFERROR(_xlfn.IFS(
U492="","",
--U492&lt;55,"Battery Defect",
--U492&lt;=69,"Battery D",
--U492&lt;=80,"Battery C",
--U492&gt;80,""
),"")</f>
        <v/>
      </c>
      <c r="X492" s="53"/>
      <c r="Y492" s="53"/>
      <c r="Z492" s="53"/>
      <c r="AA492" s="53"/>
      <c r="AB492" s="53"/>
      <c r="AC492" s="53"/>
      <c r="AD492" s="53"/>
      <c r="AE492" s="53"/>
      <c r="AF492" s="32" t="str">
        <f t="shared" si="20"/>
        <v/>
      </c>
      <c r="AG492" s="32"/>
      <c r="AH492" s="32"/>
      <c r="AI492" s="32"/>
      <c r="AJ492" s="32"/>
      <c r="AK492" s="32"/>
      <c r="AL492" s="32"/>
      <c r="AM492" s="32"/>
      <c r="AN492" s="32"/>
    </row>
    <row r="493" spans="1:40">
      <c r="A493" s="32" t="str">
        <f>_xlfn.TEXTJOIN("",TRUE,_xlfn.XLOOKUP(B493,Input!J:J,Input!G:G,"",0,1),_xlfn.XLOOKUP(B493,Input!J:J,Input!H:H,"",0,1))</f>
        <v/>
      </c>
      <c r="B493" s="32"/>
      <c r="C493" s="53">
        <f>_xlfn.XLOOKUP(B493,Input!J:J,Input!F:F)</f>
        <v>0</v>
      </c>
      <c r="D493" s="32">
        <f>_xlfn.XLOOKUP(C493,Models!H:H,Models!G:G,C493)</f>
        <v>0</v>
      </c>
      <c r="E493" s="32"/>
      <c r="F493" s="32" t="str">
        <f>_xlfn.XLOOKUP(H493,Models!B:B,Models!F:F,"")</f>
        <v/>
      </c>
      <c r="G493" s="32">
        <f>_xlfn.XLOOKUP(B493,Input!J:J,Input!E:E)</f>
        <v>0</v>
      </c>
      <c r="H493" s="32">
        <f>IF(G493="LENOVO",_xlfn.XLOOKUP(B493,Input!J:J,Input!K:K),_xlfn.XLOOKUP(B493,Input!J:J,Input!L:L))</f>
        <v>0</v>
      </c>
      <c r="I493" s="32"/>
      <c r="J493" s="32"/>
      <c r="K493" s="32"/>
      <c r="L493" s="53"/>
      <c r="M493" s="53"/>
      <c r="N493" s="53"/>
      <c r="O493" s="53" t="str" cm="1">
        <f t="array" ref="O493">IFERROR(_xlfn.FILTERXML("&lt;t&gt;&lt;s&gt;" &amp; SUBSTITUTE(M493," / ","&lt;/s&gt;&lt;s&gt;") &amp; "&lt;/s&gt;&lt;/t&gt;","(//s[contains(.,'DDR')])[1]"),"")</f>
        <v/>
      </c>
      <c r="P493" s="32" t="str">
        <f t="shared" si="21"/>
        <v>GB</v>
      </c>
      <c r="Q493" s="32"/>
      <c r="R493" s="32"/>
      <c r="S493" s="53" t="e">
        <f>_xlfn.LET(_xlpm.Result,INDEX(Input!$D$2:$AC$500,
       MATCH(B493, Input!$J$2:$J$500, 0),
       MATCH("Capacity", Input!$D$1:$AC$1, 0)),IF(_xlpm.Result="","",_xlpm.Result))</f>
        <v>#N/A</v>
      </c>
      <c r="T493" s="53"/>
      <c r="U493" s="53"/>
      <c r="V493" s="53" t="str" cm="1">
        <f t="array" ref="V493">IFERROR(_xlfn.IFS(
T493="","",
--T493&lt;55,"Battery Defect",
--T493&lt;=69,"Battery D",
--T493&lt;=80,"Battery C",
--T493&gt;80,""
),"")</f>
        <v/>
      </c>
      <c r="W493" s="53" t="str" cm="1">
        <f t="array" ref="W493">IFERROR(_xlfn.IFS(
U493="","",
--U493&lt;55,"Battery Defect",
--U493&lt;=69,"Battery D",
--U493&lt;=80,"Battery C",
--U493&gt;80,""
),"")</f>
        <v/>
      </c>
      <c r="X493" s="53"/>
      <c r="Y493" s="53"/>
      <c r="Z493" s="53"/>
      <c r="AA493" s="53"/>
      <c r="AB493" s="53"/>
      <c r="AC493" s="53"/>
      <c r="AD493" s="53"/>
      <c r="AE493" s="53"/>
      <c r="AF493" s="32" t="str">
        <f t="shared" si="20"/>
        <v/>
      </c>
      <c r="AG493" s="32"/>
      <c r="AH493" s="32"/>
      <c r="AI493" s="32"/>
      <c r="AJ493" s="32"/>
      <c r="AK493" s="32"/>
      <c r="AL493" s="32"/>
      <c r="AM493" s="32"/>
      <c r="AN493" s="32"/>
    </row>
    <row r="494" spans="1:40">
      <c r="A494" s="32" t="str">
        <f>_xlfn.TEXTJOIN("",TRUE,_xlfn.XLOOKUP(B494,Input!J:J,Input!G:G,"",0,1),_xlfn.XLOOKUP(B494,Input!J:J,Input!H:H,"",0,1))</f>
        <v/>
      </c>
      <c r="B494" s="32"/>
      <c r="C494" s="53">
        <f>_xlfn.XLOOKUP(B494,Input!J:J,Input!F:F)</f>
        <v>0</v>
      </c>
      <c r="D494" s="32">
        <f>_xlfn.XLOOKUP(C494,Models!H:H,Models!G:G,C494)</f>
        <v>0</v>
      </c>
      <c r="E494" s="32"/>
      <c r="F494" s="32" t="str">
        <f>_xlfn.XLOOKUP(H494,Models!B:B,Models!F:F,"")</f>
        <v/>
      </c>
      <c r="G494" s="32">
        <f>_xlfn.XLOOKUP(B494,Input!J:J,Input!E:E)</f>
        <v>0</v>
      </c>
      <c r="H494" s="32">
        <f>IF(G494="LENOVO",_xlfn.XLOOKUP(B494,Input!J:J,Input!K:K),_xlfn.XLOOKUP(B494,Input!J:J,Input!L:L))</f>
        <v>0</v>
      </c>
      <c r="I494" s="32"/>
      <c r="J494" s="32"/>
      <c r="K494" s="32"/>
      <c r="L494" s="53"/>
      <c r="M494" s="53"/>
      <c r="N494" s="53"/>
      <c r="O494" s="53" t="str" cm="1">
        <f t="array" ref="O494">IFERROR(_xlfn.FILTERXML("&lt;t&gt;&lt;s&gt;" &amp; SUBSTITUTE(M494," / ","&lt;/s&gt;&lt;s&gt;") &amp; "&lt;/s&gt;&lt;/t&gt;","(//s[contains(.,'DDR')])[1]"),"")</f>
        <v/>
      </c>
      <c r="P494" s="32" t="str">
        <f t="shared" si="21"/>
        <v>GB</v>
      </c>
      <c r="Q494" s="32"/>
      <c r="R494" s="32"/>
      <c r="S494" s="53" t="e">
        <f>_xlfn.LET(_xlpm.Result,INDEX(Input!$D$2:$AC$500,
       MATCH(B494, Input!$J$2:$J$500, 0),
       MATCH("Capacity", Input!$D$1:$AC$1, 0)),IF(_xlpm.Result="","",_xlpm.Result))</f>
        <v>#N/A</v>
      </c>
      <c r="T494" s="53"/>
      <c r="U494" s="53"/>
      <c r="V494" s="53" t="str" cm="1">
        <f t="array" ref="V494">IFERROR(_xlfn.IFS(
T494="","",
--T494&lt;55,"Battery Defect",
--T494&lt;=69,"Battery D",
--T494&lt;=80,"Battery C",
--T494&gt;80,""
),"")</f>
        <v/>
      </c>
      <c r="W494" s="53" t="str" cm="1">
        <f t="array" ref="W494">IFERROR(_xlfn.IFS(
U494="","",
--U494&lt;55,"Battery Defect",
--U494&lt;=69,"Battery D",
--U494&lt;=80,"Battery C",
--U494&gt;80,""
),"")</f>
        <v/>
      </c>
      <c r="X494" s="53"/>
      <c r="Y494" s="53"/>
      <c r="Z494" s="53"/>
      <c r="AA494" s="53"/>
      <c r="AB494" s="53"/>
      <c r="AC494" s="53"/>
      <c r="AD494" s="53"/>
      <c r="AE494" s="53"/>
      <c r="AF494" s="32" t="str">
        <f t="shared" si="20"/>
        <v/>
      </c>
      <c r="AG494" s="32"/>
      <c r="AH494" s="32"/>
      <c r="AI494" s="32"/>
      <c r="AJ494" s="32"/>
      <c r="AK494" s="32"/>
      <c r="AL494" s="32"/>
      <c r="AM494" s="32"/>
      <c r="AN494" s="32"/>
    </row>
    <row r="495" spans="1:40">
      <c r="A495" s="32" t="str">
        <f>_xlfn.TEXTJOIN("",TRUE,_xlfn.XLOOKUP(B495,Input!J:J,Input!G:G,"",0,1),_xlfn.XLOOKUP(B495,Input!J:J,Input!H:H,"",0,1))</f>
        <v/>
      </c>
      <c r="B495" s="32"/>
      <c r="C495" s="53">
        <f>_xlfn.XLOOKUP(B495,Input!J:J,Input!F:F)</f>
        <v>0</v>
      </c>
      <c r="D495" s="32">
        <f>_xlfn.XLOOKUP(C495,Models!H:H,Models!G:G,C495)</f>
        <v>0</v>
      </c>
      <c r="E495" s="32"/>
      <c r="F495" s="32" t="str">
        <f>_xlfn.XLOOKUP(H495,Models!B:B,Models!F:F,"")</f>
        <v/>
      </c>
      <c r="G495" s="32">
        <f>_xlfn.XLOOKUP(B495,Input!J:J,Input!E:E)</f>
        <v>0</v>
      </c>
      <c r="H495" s="32">
        <f>IF(G495="LENOVO",_xlfn.XLOOKUP(B495,Input!J:J,Input!K:K),_xlfn.XLOOKUP(B495,Input!J:J,Input!L:L))</f>
        <v>0</v>
      </c>
      <c r="I495" s="32"/>
      <c r="J495" s="32"/>
      <c r="K495" s="32"/>
      <c r="L495" s="53"/>
      <c r="M495" s="53"/>
      <c r="N495" s="53"/>
      <c r="O495" s="53" t="str" cm="1">
        <f t="array" ref="O495">IFERROR(_xlfn.FILTERXML("&lt;t&gt;&lt;s&gt;" &amp; SUBSTITUTE(M495," / ","&lt;/s&gt;&lt;s&gt;") &amp; "&lt;/s&gt;&lt;/t&gt;","(//s[contains(.,'DDR')])[1]"),"")</f>
        <v/>
      </c>
      <c r="P495" s="32" t="str">
        <f t="shared" si="21"/>
        <v>GB</v>
      </c>
      <c r="Q495" s="32"/>
      <c r="R495" s="32"/>
      <c r="S495" s="53" t="e">
        <f>_xlfn.LET(_xlpm.Result,INDEX(Input!$D$2:$AC$500,
       MATCH(B495, Input!$J$2:$J$500, 0),
       MATCH("Capacity", Input!$D$1:$AC$1, 0)),IF(_xlpm.Result="","",_xlpm.Result))</f>
        <v>#N/A</v>
      </c>
      <c r="T495" s="53"/>
      <c r="U495" s="53"/>
      <c r="V495" s="53" t="str" cm="1">
        <f t="array" ref="V495">IFERROR(_xlfn.IFS(
T495="","",
--T495&lt;55,"Battery Defect",
--T495&lt;=69,"Battery D",
--T495&lt;=80,"Battery C",
--T495&gt;80,""
),"")</f>
        <v/>
      </c>
      <c r="W495" s="53" t="str" cm="1">
        <f t="array" ref="W495">IFERROR(_xlfn.IFS(
U495="","",
--U495&lt;55,"Battery Defect",
--U495&lt;=69,"Battery D",
--U495&lt;=80,"Battery C",
--U495&gt;80,""
),"")</f>
        <v/>
      </c>
      <c r="X495" s="53"/>
      <c r="Y495" s="53"/>
      <c r="Z495" s="53"/>
      <c r="AA495" s="53"/>
      <c r="AB495" s="53"/>
      <c r="AC495" s="53"/>
      <c r="AD495" s="53"/>
      <c r="AE495" s="53"/>
      <c r="AF495" s="32" t="str">
        <f t="shared" si="20"/>
        <v/>
      </c>
      <c r="AG495" s="32"/>
      <c r="AH495" s="32"/>
      <c r="AI495" s="32"/>
      <c r="AJ495" s="32"/>
      <c r="AK495" s="32"/>
      <c r="AL495" s="32"/>
      <c r="AM495" s="32"/>
      <c r="AN495" s="32"/>
    </row>
    <row r="496" spans="1:40">
      <c r="A496" s="32" t="str">
        <f>_xlfn.TEXTJOIN("",TRUE,_xlfn.XLOOKUP(B496,Input!J:J,Input!G:G,"",0,1),_xlfn.XLOOKUP(B496,Input!J:J,Input!H:H,"",0,1))</f>
        <v/>
      </c>
      <c r="B496" s="32"/>
      <c r="C496" s="53">
        <f>_xlfn.XLOOKUP(B496,Input!J:J,Input!F:F)</f>
        <v>0</v>
      </c>
      <c r="D496" s="32">
        <f>_xlfn.XLOOKUP(C496,Models!H:H,Models!G:G,C496)</f>
        <v>0</v>
      </c>
      <c r="E496" s="32"/>
      <c r="F496" s="32" t="str">
        <f>_xlfn.XLOOKUP(H496,Models!B:B,Models!F:F,"")</f>
        <v/>
      </c>
      <c r="G496" s="32">
        <f>_xlfn.XLOOKUP(B496,Input!J:J,Input!E:E)</f>
        <v>0</v>
      </c>
      <c r="H496" s="32">
        <f>IF(G496="LENOVO",_xlfn.XLOOKUP(B496,Input!J:J,Input!K:K),_xlfn.XLOOKUP(B496,Input!J:J,Input!L:L))</f>
        <v>0</v>
      </c>
      <c r="I496" s="32"/>
      <c r="J496" s="32"/>
      <c r="K496" s="32"/>
      <c r="L496" s="53"/>
      <c r="M496" s="53"/>
      <c r="N496" s="53"/>
      <c r="O496" s="53" t="str" cm="1">
        <f t="array" ref="O496">IFERROR(_xlfn.FILTERXML("&lt;t&gt;&lt;s&gt;" &amp; SUBSTITUTE(M496," / ","&lt;/s&gt;&lt;s&gt;") &amp; "&lt;/s&gt;&lt;/t&gt;","(//s[contains(.,'DDR')])[1]"),"")</f>
        <v/>
      </c>
      <c r="P496" s="32" t="str">
        <f t="shared" si="21"/>
        <v>GB</v>
      </c>
      <c r="Q496" s="32"/>
      <c r="R496" s="32"/>
      <c r="S496" s="53" t="e">
        <f>_xlfn.LET(_xlpm.Result,INDEX(Input!$D$2:$AC$500,
       MATCH(B496, Input!$J$2:$J$500, 0),
       MATCH("Capacity", Input!$D$1:$AC$1, 0)),IF(_xlpm.Result="","",_xlpm.Result))</f>
        <v>#N/A</v>
      </c>
      <c r="T496" s="53"/>
      <c r="U496" s="53"/>
      <c r="V496" s="53" t="str" cm="1">
        <f t="array" ref="V496">IFERROR(_xlfn.IFS(
T496="","",
--T496&lt;55,"Battery Defect",
--T496&lt;=69,"Battery D",
--T496&lt;=80,"Battery C",
--T496&gt;80,""
),"")</f>
        <v/>
      </c>
      <c r="W496" s="53" t="str" cm="1">
        <f t="array" ref="W496">IFERROR(_xlfn.IFS(
U496="","",
--U496&lt;55,"Battery Defect",
--U496&lt;=69,"Battery D",
--U496&lt;=80,"Battery C",
--U496&gt;80,""
),"")</f>
        <v/>
      </c>
      <c r="X496" s="53"/>
      <c r="Y496" s="53"/>
      <c r="Z496" s="53"/>
      <c r="AA496" s="53"/>
      <c r="AB496" s="53"/>
      <c r="AC496" s="53"/>
      <c r="AD496" s="53"/>
      <c r="AE496" s="53"/>
      <c r="AF496" s="32" t="str">
        <f t="shared" si="20"/>
        <v/>
      </c>
      <c r="AG496" s="32"/>
      <c r="AH496" s="32"/>
      <c r="AI496" s="32"/>
      <c r="AJ496" s="32"/>
      <c r="AK496" s="32"/>
      <c r="AL496" s="32"/>
      <c r="AM496" s="32"/>
      <c r="AN496" s="32"/>
    </row>
    <row r="497" spans="1:40">
      <c r="A497" s="32" t="str">
        <f>_xlfn.TEXTJOIN("",TRUE,_xlfn.XLOOKUP(B497,Input!J:J,Input!G:G,"",0,1),_xlfn.XLOOKUP(B497,Input!J:J,Input!H:H,"",0,1))</f>
        <v/>
      </c>
      <c r="B497" s="32"/>
      <c r="C497" s="53">
        <f>_xlfn.XLOOKUP(B497,Input!J:J,Input!F:F)</f>
        <v>0</v>
      </c>
      <c r="D497" s="32">
        <f>_xlfn.XLOOKUP(C497,Models!H:H,Models!G:G,C497)</f>
        <v>0</v>
      </c>
      <c r="E497" s="32"/>
      <c r="F497" s="32" t="str">
        <f>_xlfn.XLOOKUP(H497,Models!B:B,Models!F:F,"")</f>
        <v/>
      </c>
      <c r="G497" s="32">
        <f>_xlfn.XLOOKUP(B497,Input!J:J,Input!E:E)</f>
        <v>0</v>
      </c>
      <c r="H497" s="32">
        <f>IF(G497="LENOVO",_xlfn.XLOOKUP(B497,Input!J:J,Input!K:K),_xlfn.XLOOKUP(B497,Input!J:J,Input!L:L))</f>
        <v>0</v>
      </c>
      <c r="I497" s="32"/>
      <c r="J497" s="32"/>
      <c r="K497" s="32"/>
      <c r="L497" s="53"/>
      <c r="M497" s="53"/>
      <c r="N497" s="53"/>
      <c r="O497" s="53" t="str" cm="1">
        <f t="array" ref="O497">IFERROR(_xlfn.FILTERXML("&lt;t&gt;&lt;s&gt;" &amp; SUBSTITUTE(M497," / ","&lt;/s&gt;&lt;s&gt;") &amp; "&lt;/s&gt;&lt;/t&gt;","(//s[contains(.,'DDR')])[1]"),"")</f>
        <v/>
      </c>
      <c r="P497" s="32" t="str">
        <f t="shared" si="21"/>
        <v>GB</v>
      </c>
      <c r="Q497" s="32"/>
      <c r="R497" s="32"/>
      <c r="S497" s="53" t="e">
        <f>_xlfn.LET(_xlpm.Result,INDEX(Input!$D$2:$AC$500,
       MATCH(B497, Input!$J$2:$J$500, 0),
       MATCH("Capacity", Input!$D$1:$AC$1, 0)),IF(_xlpm.Result="","",_xlpm.Result))</f>
        <v>#N/A</v>
      </c>
      <c r="T497" s="53"/>
      <c r="U497" s="53"/>
      <c r="V497" s="53" t="str" cm="1">
        <f t="array" ref="V497">IFERROR(_xlfn.IFS(
T497="","",
--T497&lt;55,"Battery Defect",
--T497&lt;=69,"Battery D",
--T497&lt;=80,"Battery C",
--T497&gt;80,""
),"")</f>
        <v/>
      </c>
      <c r="W497" s="53" t="str" cm="1">
        <f t="array" ref="W497">IFERROR(_xlfn.IFS(
U497="","",
--U497&lt;55,"Battery Defect",
--U497&lt;=69,"Battery D",
--U497&lt;=80,"Battery C",
--U497&gt;80,""
),"")</f>
        <v/>
      </c>
      <c r="X497" s="53"/>
      <c r="Y497" s="53"/>
      <c r="Z497" s="53"/>
      <c r="AA497" s="53"/>
      <c r="AB497" s="53"/>
      <c r="AC497" s="53"/>
      <c r="AD497" s="53"/>
      <c r="AE497" s="53"/>
      <c r="AF497" s="32" t="str">
        <f t="shared" si="20"/>
        <v/>
      </c>
      <c r="AG497" s="32"/>
      <c r="AH497" s="32"/>
      <c r="AI497" s="32"/>
      <c r="AJ497" s="32"/>
      <c r="AK497" s="32"/>
      <c r="AL497" s="32"/>
      <c r="AM497" s="32"/>
      <c r="AN497" s="32"/>
    </row>
    <row r="498" spans="1:40">
      <c r="A498" s="32" t="str">
        <f>_xlfn.TEXTJOIN("",TRUE,_xlfn.XLOOKUP(B498,Input!J:J,Input!G:G,"",0,1),_xlfn.XLOOKUP(B498,Input!J:J,Input!H:H,"",0,1))</f>
        <v/>
      </c>
      <c r="B498" s="32"/>
      <c r="C498" s="53">
        <f>_xlfn.XLOOKUP(B498,Input!J:J,Input!F:F)</f>
        <v>0</v>
      </c>
      <c r="D498" s="32">
        <f>_xlfn.XLOOKUP(C498,Models!H:H,Models!G:G,C498)</f>
        <v>0</v>
      </c>
      <c r="E498" s="32"/>
      <c r="F498" s="32" t="str">
        <f>_xlfn.XLOOKUP(H498,Models!B:B,Models!F:F,"")</f>
        <v/>
      </c>
      <c r="G498" s="32">
        <f>_xlfn.XLOOKUP(B498,Input!J:J,Input!E:E)</f>
        <v>0</v>
      </c>
      <c r="H498" s="32">
        <f>IF(G498="LENOVO",_xlfn.XLOOKUP(B498,Input!J:J,Input!K:K),_xlfn.XLOOKUP(B498,Input!J:J,Input!L:L))</f>
        <v>0</v>
      </c>
      <c r="I498" s="32"/>
      <c r="J498" s="32"/>
      <c r="K498" s="32"/>
      <c r="L498" s="53"/>
      <c r="M498" s="53"/>
      <c r="N498" s="53"/>
      <c r="O498" s="53" t="str" cm="1">
        <f t="array" ref="O498">IFERROR(_xlfn.FILTERXML("&lt;t&gt;&lt;s&gt;" &amp; SUBSTITUTE(M498," / ","&lt;/s&gt;&lt;s&gt;") &amp; "&lt;/s&gt;&lt;/t&gt;","(//s[contains(.,'DDR')])[1]"),"")</f>
        <v/>
      </c>
      <c r="P498" s="32" t="str">
        <f t="shared" si="21"/>
        <v>GB</v>
      </c>
      <c r="Q498" s="32"/>
      <c r="R498" s="32"/>
      <c r="S498" s="53" t="e">
        <f>_xlfn.LET(_xlpm.Result,INDEX(Input!$D$2:$AC$500,
       MATCH(B498, Input!$J$2:$J$500, 0),
       MATCH("Capacity", Input!$D$1:$AC$1, 0)),IF(_xlpm.Result="","",_xlpm.Result))</f>
        <v>#N/A</v>
      </c>
      <c r="T498" s="53"/>
      <c r="U498" s="53"/>
      <c r="V498" s="53" t="str" cm="1">
        <f t="array" ref="V498">IFERROR(_xlfn.IFS(
T498="","",
--T498&lt;55,"Battery Defect",
--T498&lt;=69,"Battery D",
--T498&lt;=80,"Battery C",
--T498&gt;80,""
),"")</f>
        <v/>
      </c>
      <c r="W498" s="53" t="str" cm="1">
        <f t="array" ref="W498">IFERROR(_xlfn.IFS(
U498="","",
--U498&lt;55,"Battery Defect",
--U498&lt;=69,"Battery D",
--U498&lt;=80,"Battery C",
--U498&gt;80,""
),"")</f>
        <v/>
      </c>
      <c r="X498" s="53"/>
      <c r="Y498" s="53"/>
      <c r="Z498" s="53"/>
      <c r="AA498" s="53"/>
      <c r="AB498" s="53"/>
      <c r="AC498" s="53"/>
      <c r="AD498" s="53"/>
      <c r="AE498" s="53"/>
      <c r="AF498" s="32" t="str">
        <f t="shared" si="20"/>
        <v/>
      </c>
      <c r="AG498" s="32"/>
      <c r="AH498" s="32"/>
      <c r="AI498" s="32"/>
      <c r="AJ498" s="32"/>
      <c r="AK498" s="32"/>
      <c r="AL498" s="32"/>
      <c r="AM498" s="32"/>
      <c r="AN498" s="32"/>
    </row>
    <row r="499" spans="1:40">
      <c r="A499" s="32" t="str">
        <f>_xlfn.TEXTJOIN("",TRUE,_xlfn.XLOOKUP(B499,Input!J:J,Input!G:G,"",0,1),_xlfn.XLOOKUP(B499,Input!J:J,Input!H:H,"",0,1))</f>
        <v/>
      </c>
      <c r="B499" s="32"/>
      <c r="C499" s="53">
        <f>_xlfn.XLOOKUP(B499,Input!J:J,Input!F:F)</f>
        <v>0</v>
      </c>
      <c r="D499" s="32">
        <f>_xlfn.XLOOKUP(C499,Models!H:H,Models!G:G,C499)</f>
        <v>0</v>
      </c>
      <c r="E499" s="32"/>
      <c r="F499" s="32" t="str">
        <f>_xlfn.XLOOKUP(H499,Models!B:B,Models!F:F,"")</f>
        <v/>
      </c>
      <c r="G499" s="32">
        <f>_xlfn.XLOOKUP(B499,Input!J:J,Input!E:E)</f>
        <v>0</v>
      </c>
      <c r="H499" s="32">
        <f>IF(G499="LENOVO",_xlfn.XLOOKUP(B499,Input!J:J,Input!K:K),_xlfn.XLOOKUP(B499,Input!J:J,Input!L:L))</f>
        <v>0</v>
      </c>
      <c r="I499" s="32"/>
      <c r="J499" s="32"/>
      <c r="K499" s="32"/>
      <c r="L499" s="53"/>
      <c r="M499" s="53"/>
      <c r="N499" s="53"/>
      <c r="O499" s="53" t="str" cm="1">
        <f t="array" ref="O499">IFERROR(_xlfn.FILTERXML("&lt;t&gt;&lt;s&gt;" &amp; SUBSTITUTE(M499," / ","&lt;/s&gt;&lt;s&gt;") &amp; "&lt;/s&gt;&lt;/t&gt;","(//s[contains(.,'DDR')])[1]"),"")</f>
        <v/>
      </c>
      <c r="P499" s="32" t="str">
        <f t="shared" si="21"/>
        <v>GB</v>
      </c>
      <c r="Q499" s="32"/>
      <c r="R499" s="32"/>
      <c r="S499" s="53" t="e">
        <f>_xlfn.LET(_xlpm.Result,INDEX(Input!$D$2:$AC$500,
       MATCH(B499, Input!$J$2:$J$500, 0),
       MATCH("Capacity", Input!$D$1:$AC$1, 0)),IF(_xlpm.Result="","",_xlpm.Result))</f>
        <v>#N/A</v>
      </c>
      <c r="T499" s="53"/>
      <c r="U499" s="53"/>
      <c r="V499" s="53" t="str" cm="1">
        <f t="array" ref="V499">IFERROR(_xlfn.IFS(
T499="","",
--T499&lt;55,"Battery Defect",
--T499&lt;=69,"Battery D",
--T499&lt;=80,"Battery C",
--T499&gt;80,""
),"")</f>
        <v/>
      </c>
      <c r="W499" s="53" t="str" cm="1">
        <f t="array" ref="W499">IFERROR(_xlfn.IFS(
U499="","",
--U499&lt;55,"Battery Defect",
--U499&lt;=69,"Battery D",
--U499&lt;=80,"Battery C",
--U499&gt;80,""
),"")</f>
        <v/>
      </c>
      <c r="X499" s="53"/>
      <c r="Y499" s="53"/>
      <c r="Z499" s="53"/>
      <c r="AA499" s="53"/>
      <c r="AB499" s="53"/>
      <c r="AC499" s="53"/>
      <c r="AD499" s="53"/>
      <c r="AE499" s="53"/>
      <c r="AF499" s="32" t="str">
        <f t="shared" si="20"/>
        <v/>
      </c>
      <c r="AG499" s="32"/>
      <c r="AH499" s="32"/>
      <c r="AI499" s="32"/>
      <c r="AJ499" s="32"/>
      <c r="AK499" s="32"/>
      <c r="AL499" s="32"/>
      <c r="AM499" s="32"/>
      <c r="AN499" s="32"/>
    </row>
    <row r="500" spans="1:40">
      <c r="A500" s="32" t="str">
        <f>_xlfn.TEXTJOIN("",TRUE,_xlfn.XLOOKUP(B500,Input!J:J,Input!G:G,"",0,1),_xlfn.XLOOKUP(B500,Input!J:J,Input!H:H,"",0,1))</f>
        <v/>
      </c>
      <c r="B500" s="32"/>
      <c r="C500" s="53">
        <f>_xlfn.XLOOKUP(B500,Input!J:J,Input!F:F)</f>
        <v>0</v>
      </c>
      <c r="D500" s="32">
        <f>_xlfn.XLOOKUP(C500,Models!H:H,Models!G:G,C500)</f>
        <v>0</v>
      </c>
      <c r="E500" s="32"/>
      <c r="F500" s="32" t="str">
        <f>_xlfn.XLOOKUP(H500,Models!B:B,Models!F:F,"")</f>
        <v/>
      </c>
      <c r="G500" s="32">
        <f>_xlfn.XLOOKUP(B500,Input!J:J,Input!E:E)</f>
        <v>0</v>
      </c>
      <c r="H500" s="32">
        <f>IF(G500="LENOVO",_xlfn.XLOOKUP(B500,Input!J:J,Input!K:K),_xlfn.XLOOKUP(B500,Input!J:J,Input!L:L))</f>
        <v>0</v>
      </c>
      <c r="I500" s="32"/>
      <c r="J500" s="32"/>
      <c r="K500" s="32"/>
      <c r="L500" s="53"/>
      <c r="M500" s="53"/>
      <c r="N500" s="53"/>
      <c r="O500" s="53" t="str" cm="1">
        <f t="array" ref="O500">IFERROR(_xlfn.FILTERXML("&lt;t&gt;&lt;s&gt;" &amp; SUBSTITUTE(M500," / ","&lt;/s&gt;&lt;s&gt;") &amp; "&lt;/s&gt;&lt;/t&gt;","(//s[contains(.,'DDR')])[1]"),"")</f>
        <v/>
      </c>
      <c r="P500" s="32" t="str">
        <f t="shared" si="21"/>
        <v>GB</v>
      </c>
      <c r="Q500" s="32"/>
      <c r="R500" s="32"/>
      <c r="S500" s="53" t="e">
        <f>_xlfn.LET(_xlpm.Result,INDEX(Input!$D$2:$AC$500,
       MATCH(B500, Input!$J$2:$J$500, 0),
       MATCH("Capacity", Input!$D$1:$AC$1, 0)),IF(_xlpm.Result="","",_xlpm.Result))</f>
        <v>#N/A</v>
      </c>
      <c r="T500" s="53"/>
      <c r="U500" s="53"/>
      <c r="V500" s="53" t="str" cm="1">
        <f t="array" ref="V500">IFERROR(_xlfn.IFS(
T500="","",
--T500&lt;55,"Battery Defect",
--T500&lt;=69,"Battery D",
--T500&lt;=80,"Battery C",
--T500&gt;80,""
),"")</f>
        <v/>
      </c>
      <c r="W500" s="53" t="str" cm="1">
        <f t="array" ref="W500">IFERROR(_xlfn.IFS(
U500="","",
--U500&lt;55,"Battery Defect",
--U500&lt;=69,"Battery D",
--U500&lt;=80,"Battery C",
--U500&gt;80,""
),"")</f>
        <v/>
      </c>
      <c r="X500" s="53"/>
      <c r="Y500" s="53"/>
      <c r="Z500" s="53"/>
      <c r="AA500" s="53"/>
      <c r="AB500" s="53"/>
      <c r="AC500" s="53"/>
      <c r="AD500" s="53"/>
      <c r="AE500" s="53"/>
      <c r="AF500" s="32" t="str">
        <f t="shared" si="20"/>
        <v/>
      </c>
      <c r="AG500" s="32"/>
      <c r="AH500" s="32"/>
      <c r="AI500" s="32"/>
      <c r="AJ500" s="32"/>
      <c r="AK500" s="32"/>
      <c r="AL500" s="32"/>
      <c r="AM500" s="32"/>
      <c r="AN500" s="32"/>
    </row>
    <row r="501" spans="1:40">
      <c r="A501" s="32" t="str">
        <f>_xlfn.TEXTJOIN("",TRUE,_xlfn.XLOOKUP(B501,Input!J:J,Input!G:G,"",0,1),_xlfn.XLOOKUP(B501,Input!J:J,Input!H:H,"",0,1))</f>
        <v/>
      </c>
      <c r="B501" s="32"/>
      <c r="C501" s="53">
        <f>_xlfn.XLOOKUP(B501,Input!J:J,Input!F:F)</f>
        <v>0</v>
      </c>
      <c r="D501" s="32">
        <f>_xlfn.XLOOKUP(C501,Models!H:H,Models!G:G,C501)</f>
        <v>0</v>
      </c>
      <c r="E501" s="32"/>
      <c r="F501" s="32" t="str">
        <f>_xlfn.XLOOKUP(H501,Models!B:B,Models!F:F,"")</f>
        <v/>
      </c>
      <c r="G501" s="32">
        <f>_xlfn.XLOOKUP(B501,Input!J:J,Input!E:E)</f>
        <v>0</v>
      </c>
      <c r="H501" s="32">
        <f>IF(G501="LENOVO",_xlfn.XLOOKUP(B501,Input!J:J,Input!K:K),_xlfn.XLOOKUP(B501,Input!J:J,Input!L:L))</f>
        <v>0</v>
      </c>
      <c r="I501" s="32"/>
      <c r="J501" s="32"/>
      <c r="K501" s="32"/>
      <c r="L501" s="53"/>
      <c r="M501" s="53"/>
      <c r="N501" s="53"/>
      <c r="O501" s="53" t="str" cm="1">
        <f t="array" ref="O501">IFERROR(_xlfn.FILTERXML("&lt;t&gt;&lt;s&gt;" &amp; SUBSTITUTE(M501," / ","&lt;/s&gt;&lt;s&gt;") &amp; "&lt;/s&gt;&lt;/t&gt;","(//s[contains(.,'DDR')])[1]"),"")</f>
        <v/>
      </c>
      <c r="P501" s="32" t="str">
        <f t="shared" si="21"/>
        <v>GB</v>
      </c>
      <c r="Q501" s="32"/>
      <c r="R501" s="32"/>
      <c r="S501" s="53" t="e">
        <f>_xlfn.LET(_xlpm.Result,INDEX(Input!$D$2:$AC$500,
       MATCH(B501, Input!$J$2:$J$500, 0),
       MATCH("Capacity", Input!$D$1:$AC$1, 0)),IF(_xlpm.Result="","",_xlpm.Result))</f>
        <v>#N/A</v>
      </c>
      <c r="T501" s="53"/>
      <c r="U501" s="53"/>
      <c r="V501" s="53" t="str" cm="1">
        <f t="array" ref="V501">IFERROR(_xlfn.IFS(
T501="","",
--T501&lt;55,"Battery Defect",
--T501&lt;=69,"Battery D",
--T501&lt;=80,"Battery C",
--T501&gt;80,""
),"")</f>
        <v/>
      </c>
      <c r="W501" s="53" t="str" cm="1">
        <f t="array" ref="W501">IFERROR(_xlfn.IFS(
U501="","",
--U501&lt;55,"Battery Defect",
--U501&lt;=69,"Battery D",
--U501&lt;=80,"Battery C",
--U501&gt;80,""
),"")</f>
        <v/>
      </c>
      <c r="X501" s="53"/>
      <c r="Y501" s="53"/>
      <c r="Z501" s="53"/>
      <c r="AA501" s="53"/>
      <c r="AB501" s="53"/>
      <c r="AC501" s="53"/>
      <c r="AD501" s="53"/>
      <c r="AE501" s="53"/>
      <c r="AF501" s="32" t="str">
        <f t="shared" si="20"/>
        <v/>
      </c>
      <c r="AG501" s="32"/>
      <c r="AH501" s="32"/>
      <c r="AI501" s="32"/>
      <c r="AJ501" s="32"/>
      <c r="AK501" s="32"/>
      <c r="AL501" s="32"/>
      <c r="AM501" s="32"/>
      <c r="AN501" s="32"/>
    </row>
    <row r="502" spans="1:40">
      <c r="A502" s="32" t="str">
        <f>_xlfn.TEXTJOIN("",TRUE,_xlfn.XLOOKUP(B502,Input!J:J,Input!G:G,"",0,1),_xlfn.XLOOKUP(B502,Input!J:J,Input!H:H,"",0,1))</f>
        <v/>
      </c>
      <c r="B502" s="32"/>
      <c r="C502" s="53">
        <f>_xlfn.XLOOKUP(B502,Input!J:J,Input!F:F)</f>
        <v>0</v>
      </c>
      <c r="D502" s="32">
        <f>_xlfn.XLOOKUP(C502,Models!H:H,Models!G:G,C502)</f>
        <v>0</v>
      </c>
      <c r="E502" s="32"/>
      <c r="F502" s="32" t="str">
        <f>_xlfn.XLOOKUP(H502,Models!B:B,Models!F:F,"")</f>
        <v/>
      </c>
      <c r="G502" s="32">
        <f>_xlfn.XLOOKUP(B502,Input!J:J,Input!E:E)</f>
        <v>0</v>
      </c>
      <c r="H502" s="32">
        <f>IF(G502="LENOVO",_xlfn.XLOOKUP(B502,Input!J:J,Input!K:K),_xlfn.XLOOKUP(B502,Input!J:J,Input!L:L))</f>
        <v>0</v>
      </c>
      <c r="I502" s="32"/>
      <c r="J502" s="32"/>
      <c r="K502" s="32"/>
      <c r="L502" s="53"/>
      <c r="M502" s="53"/>
      <c r="N502" s="53"/>
      <c r="O502" s="53" t="str" cm="1">
        <f t="array" ref="O502">IFERROR(_xlfn.FILTERXML("&lt;t&gt;&lt;s&gt;" &amp; SUBSTITUTE(M502," / ","&lt;/s&gt;&lt;s&gt;") &amp; "&lt;/s&gt;&lt;/t&gt;","(//s[contains(.,'DDR')])[1]"),"")</f>
        <v/>
      </c>
      <c r="P502" s="32" t="str">
        <f t="shared" si="21"/>
        <v>GB</v>
      </c>
      <c r="Q502" s="32"/>
      <c r="R502" s="32"/>
      <c r="S502" s="53" t="e">
        <f>_xlfn.LET(_xlpm.Result,INDEX(Input!$D$2:$AC$500,
       MATCH(B502, Input!$J$2:$J$500, 0),
       MATCH("Capacity", Input!$D$1:$AC$1, 0)),IF(_xlpm.Result="","",_xlpm.Result))</f>
        <v>#N/A</v>
      </c>
      <c r="T502" s="53"/>
      <c r="U502" s="53"/>
      <c r="V502" s="53" t="str" cm="1">
        <f t="array" ref="V502">IFERROR(_xlfn.IFS(
T502="","",
--T502&lt;55,"Battery Defect",
--T502&lt;=69,"Battery D",
--T502&lt;=80,"Battery C",
--T502&gt;80,""
),"")</f>
        <v/>
      </c>
      <c r="W502" s="53" t="str" cm="1">
        <f t="array" ref="W502">IFERROR(_xlfn.IFS(
U502="","",
--U502&lt;55,"Battery Defect",
--U502&lt;=69,"Battery D",
--U502&lt;=80,"Battery C",
--U502&gt;80,""
),"")</f>
        <v/>
      </c>
      <c r="X502" s="53"/>
      <c r="Y502" s="53"/>
      <c r="Z502" s="53"/>
      <c r="AA502" s="53"/>
      <c r="AB502" s="53"/>
      <c r="AC502" s="53"/>
      <c r="AD502" s="53"/>
      <c r="AE502" s="53"/>
      <c r="AF502" s="32" t="str">
        <f t="shared" si="20"/>
        <v/>
      </c>
      <c r="AG502" s="32"/>
      <c r="AH502" s="32"/>
      <c r="AI502" s="32"/>
      <c r="AJ502" s="32"/>
      <c r="AK502" s="32"/>
      <c r="AL502" s="32"/>
      <c r="AM502" s="32"/>
      <c r="AN502" s="32"/>
    </row>
    <row r="503" spans="1:40">
      <c r="A503" s="32" t="str">
        <f>_xlfn.TEXTJOIN("",TRUE,_xlfn.XLOOKUP(B503,Input!J:J,Input!G:G,"",0,1),_xlfn.XLOOKUP(B503,Input!J:J,Input!H:H,"",0,1))</f>
        <v/>
      </c>
      <c r="B503" s="32"/>
      <c r="C503" s="53">
        <f>_xlfn.XLOOKUP(B503,Input!J:J,Input!F:F)</f>
        <v>0</v>
      </c>
      <c r="D503" s="32">
        <f>_xlfn.XLOOKUP(C503,Models!H:H,Models!G:G,C503)</f>
        <v>0</v>
      </c>
      <c r="E503" s="32"/>
      <c r="F503" s="32" t="str">
        <f>_xlfn.XLOOKUP(H503,Models!B:B,Models!F:F,"")</f>
        <v/>
      </c>
      <c r="G503" s="32">
        <f>_xlfn.XLOOKUP(B503,Input!J:J,Input!E:E)</f>
        <v>0</v>
      </c>
      <c r="H503" s="32">
        <f>IF(G503="LENOVO",_xlfn.XLOOKUP(B503,Input!J:J,Input!K:K),_xlfn.XLOOKUP(B503,Input!J:J,Input!L:L))</f>
        <v>0</v>
      </c>
      <c r="I503" s="32"/>
      <c r="J503" s="32"/>
      <c r="K503" s="32"/>
      <c r="L503" s="53"/>
      <c r="M503" s="53"/>
      <c r="N503" s="53"/>
      <c r="O503" s="53" t="str" cm="1">
        <f t="array" ref="O503">IFERROR(_xlfn.FILTERXML("&lt;t&gt;&lt;s&gt;" &amp; SUBSTITUTE(M503," / ","&lt;/s&gt;&lt;s&gt;") &amp; "&lt;/s&gt;&lt;/t&gt;","(//s[contains(.,'DDR')])[1]"),"")</f>
        <v/>
      </c>
      <c r="P503" s="32" t="str">
        <f t="shared" si="21"/>
        <v>GB</v>
      </c>
      <c r="Q503" s="32"/>
      <c r="R503" s="32"/>
      <c r="S503" s="53" t="e">
        <f>_xlfn.LET(_xlpm.Result,INDEX(Input!$D$2:$AC$500,
       MATCH(B503, Input!$J$2:$J$500, 0),
       MATCH("Capacity", Input!$D$1:$AC$1, 0)),IF(_xlpm.Result="","",_xlpm.Result))</f>
        <v>#N/A</v>
      </c>
      <c r="T503" s="53"/>
      <c r="U503" s="53"/>
      <c r="V503" s="53" t="str" cm="1">
        <f t="array" ref="V503">IFERROR(_xlfn.IFS(
T503="","",
--T503&lt;55,"Battery Defect",
--T503&lt;=69,"Battery D",
--T503&lt;=80,"Battery C",
--T503&gt;80,""
),"")</f>
        <v/>
      </c>
      <c r="W503" s="53" t="str" cm="1">
        <f t="array" ref="W503">IFERROR(_xlfn.IFS(
U503="","",
--U503&lt;55,"Battery Defect",
--U503&lt;=69,"Battery D",
--U503&lt;=80,"Battery C",
--U503&gt;80,""
),"")</f>
        <v/>
      </c>
      <c r="X503" s="53"/>
      <c r="Y503" s="53"/>
      <c r="Z503" s="53"/>
      <c r="AA503" s="53"/>
      <c r="AB503" s="53"/>
      <c r="AC503" s="53"/>
      <c r="AD503" s="53"/>
      <c r="AE503" s="53"/>
      <c r="AF503" s="32" t="str">
        <f t="shared" si="20"/>
        <v/>
      </c>
      <c r="AG503" s="32"/>
      <c r="AH503" s="32"/>
      <c r="AI503" s="32"/>
      <c r="AJ503" s="32"/>
      <c r="AK503" s="32"/>
      <c r="AL503" s="32"/>
      <c r="AM503" s="32"/>
      <c r="AN503" s="32"/>
    </row>
    <row r="504" spans="1:40">
      <c r="A504" s="32" t="str">
        <f>_xlfn.TEXTJOIN("",TRUE,_xlfn.XLOOKUP(B504,Input!J:J,Input!G:G,"",0,1),_xlfn.XLOOKUP(B504,Input!J:J,Input!H:H,"",0,1))</f>
        <v/>
      </c>
      <c r="B504" s="32"/>
      <c r="C504" s="53">
        <f>_xlfn.XLOOKUP(B504,Input!J:J,Input!F:F)</f>
        <v>0</v>
      </c>
      <c r="D504" s="32">
        <f>_xlfn.XLOOKUP(C504,Models!H:H,Models!G:G,C504)</f>
        <v>0</v>
      </c>
      <c r="E504" s="32"/>
      <c r="F504" s="32" t="str">
        <f>_xlfn.XLOOKUP(H504,Models!B:B,Models!F:F,"")</f>
        <v/>
      </c>
      <c r="G504" s="32">
        <f>_xlfn.XLOOKUP(B504,Input!J:J,Input!E:E)</f>
        <v>0</v>
      </c>
      <c r="H504" s="32">
        <f>IF(G504="LENOVO",_xlfn.XLOOKUP(B504,Input!J:J,Input!K:K),_xlfn.XLOOKUP(B504,Input!J:J,Input!L:L))</f>
        <v>0</v>
      </c>
      <c r="I504" s="32"/>
      <c r="J504" s="32"/>
      <c r="K504" s="32"/>
      <c r="L504" s="53"/>
      <c r="M504" s="53"/>
      <c r="N504" s="53"/>
      <c r="O504" s="53" t="str" cm="1">
        <f t="array" ref="O504">IFERROR(_xlfn.FILTERXML("&lt;t&gt;&lt;s&gt;" &amp; SUBSTITUTE(M504," / ","&lt;/s&gt;&lt;s&gt;") &amp; "&lt;/s&gt;&lt;/t&gt;","(//s[contains(.,'DDR')])[1]"),"")</f>
        <v/>
      </c>
      <c r="P504" s="32" t="str">
        <f t="shared" si="21"/>
        <v>GB</v>
      </c>
      <c r="Q504" s="32"/>
      <c r="R504" s="32"/>
      <c r="S504" s="53" t="e">
        <f>_xlfn.LET(_xlpm.Result,INDEX(Input!$D$2:$AC$500,
       MATCH(B504, Input!$J$2:$J$500, 0),
       MATCH("Capacity", Input!$D$1:$AC$1, 0)),IF(_xlpm.Result="","",_xlpm.Result))</f>
        <v>#N/A</v>
      </c>
      <c r="T504" s="53"/>
      <c r="U504" s="53"/>
      <c r="V504" s="53" t="str" cm="1">
        <f t="array" ref="V504">IFERROR(_xlfn.IFS(
T504="","",
--T504&lt;55,"Battery Defect",
--T504&lt;=69,"Battery D",
--T504&lt;=80,"Battery C",
--T504&gt;80,""
),"")</f>
        <v/>
      </c>
      <c r="W504" s="53" t="str" cm="1">
        <f t="array" ref="W504">IFERROR(_xlfn.IFS(
U504="","",
--U504&lt;55,"Battery Defect",
--U504&lt;=69,"Battery D",
--U504&lt;=80,"Battery C",
--U504&gt;80,""
),"")</f>
        <v/>
      </c>
      <c r="X504" s="53"/>
      <c r="Y504" s="53"/>
      <c r="Z504" s="53"/>
      <c r="AA504" s="53"/>
      <c r="AB504" s="53"/>
      <c r="AC504" s="53"/>
      <c r="AD504" s="53"/>
      <c r="AE504" s="53"/>
      <c r="AF504" s="32" t="str">
        <f t="shared" si="20"/>
        <v/>
      </c>
      <c r="AG504" s="32"/>
      <c r="AH504" s="32"/>
      <c r="AI504" s="32"/>
      <c r="AJ504" s="32"/>
      <c r="AK504" s="32"/>
      <c r="AL504" s="32"/>
      <c r="AM504" s="32"/>
      <c r="AN504" s="32"/>
    </row>
    <row r="505" spans="1:40">
      <c r="A505" s="32" t="str">
        <f>_xlfn.TEXTJOIN("",TRUE,_xlfn.XLOOKUP(B505,Input!J:J,Input!G:G,"",0,1),_xlfn.XLOOKUP(B505,Input!J:J,Input!H:H,"",0,1))</f>
        <v/>
      </c>
      <c r="B505" s="32"/>
      <c r="C505" s="53">
        <f>_xlfn.XLOOKUP(B505,Input!J:J,Input!F:F)</f>
        <v>0</v>
      </c>
      <c r="D505" s="32">
        <f>_xlfn.XLOOKUP(C505,Models!H:H,Models!G:G,C505)</f>
        <v>0</v>
      </c>
      <c r="E505" s="32"/>
      <c r="F505" s="32" t="str">
        <f>_xlfn.XLOOKUP(H505,Models!B:B,Models!F:F,"")</f>
        <v/>
      </c>
      <c r="G505" s="32">
        <f>_xlfn.XLOOKUP(B505,Input!J:J,Input!E:E)</f>
        <v>0</v>
      </c>
      <c r="H505" s="32">
        <f>IF(G505="LENOVO",_xlfn.XLOOKUP(B505,Input!J:J,Input!K:K),_xlfn.XLOOKUP(B505,Input!J:J,Input!L:L))</f>
        <v>0</v>
      </c>
      <c r="I505" s="32"/>
      <c r="J505" s="32"/>
      <c r="K505" s="32"/>
      <c r="L505" s="53"/>
      <c r="M505" s="53"/>
      <c r="N505" s="53"/>
      <c r="O505" s="53" t="str" cm="1">
        <f t="array" ref="O505">IFERROR(_xlfn.FILTERXML("&lt;t&gt;&lt;s&gt;" &amp; SUBSTITUTE(M505," / ","&lt;/s&gt;&lt;s&gt;") &amp; "&lt;/s&gt;&lt;/t&gt;","(//s[contains(.,'DDR')])[1]"),"")</f>
        <v/>
      </c>
      <c r="P505" s="32" t="str">
        <f t="shared" si="21"/>
        <v>GB</v>
      </c>
      <c r="Q505" s="32"/>
      <c r="R505" s="32"/>
      <c r="S505" s="53" t="e">
        <f>_xlfn.LET(_xlpm.Result,INDEX(Input!$D$2:$AC$500,
       MATCH(B505, Input!$J$2:$J$500, 0),
       MATCH("Capacity", Input!$D$1:$AC$1, 0)),IF(_xlpm.Result="","",_xlpm.Result))</f>
        <v>#N/A</v>
      </c>
      <c r="T505" s="53"/>
      <c r="U505" s="53"/>
      <c r="V505" s="53" t="str" cm="1">
        <f t="array" ref="V505">IFERROR(_xlfn.IFS(
T505="","",
--T505&lt;55,"Battery Defect",
--T505&lt;=69,"Battery D",
--T505&lt;=80,"Battery C",
--T505&gt;80,""
),"")</f>
        <v/>
      </c>
      <c r="W505" s="53" t="str" cm="1">
        <f t="array" ref="W505">IFERROR(_xlfn.IFS(
U505="","",
--U505&lt;55,"Battery Defect",
--U505&lt;=69,"Battery D",
--U505&lt;=80,"Battery C",
--U505&gt;80,""
),"")</f>
        <v/>
      </c>
      <c r="X505" s="53"/>
      <c r="Y505" s="53"/>
      <c r="Z505" s="53"/>
      <c r="AA505" s="53"/>
      <c r="AB505" s="53"/>
      <c r="AC505" s="53"/>
      <c r="AD505" s="53"/>
      <c r="AE505" s="53"/>
      <c r="AF505" s="32" t="str">
        <f t="shared" si="20"/>
        <v/>
      </c>
      <c r="AG505" s="32"/>
      <c r="AH505" s="32"/>
      <c r="AI505" s="32"/>
      <c r="AJ505" s="32"/>
      <c r="AK505" s="32"/>
      <c r="AL505" s="32"/>
      <c r="AM505" s="32"/>
      <c r="AN505" s="32"/>
    </row>
    <row r="506" spans="1:40">
      <c r="A506" s="32" t="str">
        <f>_xlfn.TEXTJOIN("",TRUE,_xlfn.XLOOKUP(B506,Input!J:J,Input!G:G,"",0,1),_xlfn.XLOOKUP(B506,Input!J:J,Input!H:H,"",0,1))</f>
        <v/>
      </c>
      <c r="B506" s="32"/>
      <c r="C506" s="53">
        <f>_xlfn.XLOOKUP(B506,Input!J:J,Input!F:F)</f>
        <v>0</v>
      </c>
      <c r="D506" s="32">
        <f>_xlfn.XLOOKUP(C506,Models!H:H,Models!G:G,C506)</f>
        <v>0</v>
      </c>
      <c r="E506" s="32"/>
      <c r="F506" s="32" t="str">
        <f>_xlfn.XLOOKUP(H506,Models!B:B,Models!F:F,"")</f>
        <v/>
      </c>
      <c r="G506" s="32">
        <f>_xlfn.XLOOKUP(B506,Input!J:J,Input!E:E)</f>
        <v>0</v>
      </c>
      <c r="H506" s="32">
        <f>IF(G506="LENOVO",_xlfn.XLOOKUP(B506,Input!J:J,Input!K:K),_xlfn.XLOOKUP(B506,Input!J:J,Input!L:L))</f>
        <v>0</v>
      </c>
      <c r="I506" s="32"/>
      <c r="J506" s="32"/>
      <c r="K506" s="32"/>
      <c r="L506" s="53"/>
      <c r="M506" s="53"/>
      <c r="N506" s="53"/>
      <c r="O506" s="53" t="str" cm="1">
        <f t="array" ref="O506">IFERROR(_xlfn.FILTERXML("&lt;t&gt;&lt;s&gt;" &amp; SUBSTITUTE(M506," / ","&lt;/s&gt;&lt;s&gt;") &amp; "&lt;/s&gt;&lt;/t&gt;","(//s[contains(.,'DDR')])[1]"),"")</f>
        <v/>
      </c>
      <c r="P506" s="32" t="str">
        <f t="shared" si="21"/>
        <v>GB</v>
      </c>
      <c r="Q506" s="32"/>
      <c r="R506" s="32"/>
      <c r="S506" s="53" t="e">
        <f>_xlfn.LET(_xlpm.Result,INDEX(Input!$D$2:$AC$500,
       MATCH(B506, Input!$J$2:$J$500, 0),
       MATCH("Capacity", Input!$D$1:$AC$1, 0)),IF(_xlpm.Result="","",_xlpm.Result))</f>
        <v>#N/A</v>
      </c>
      <c r="T506" s="53"/>
      <c r="U506" s="53"/>
      <c r="V506" s="53" t="str" cm="1">
        <f t="array" ref="V506">IFERROR(_xlfn.IFS(
T506="","",
--T506&lt;55,"Battery Defect",
--T506&lt;=69,"Battery D",
--T506&lt;=80,"Battery C",
--T506&gt;80,""
),"")</f>
        <v/>
      </c>
      <c r="W506" s="53" t="str" cm="1">
        <f t="array" ref="W506">IFERROR(_xlfn.IFS(
U506="","",
--U506&lt;55,"Battery Defect",
--U506&lt;=69,"Battery D",
--U506&lt;=80,"Battery C",
--U506&gt;80,""
),"")</f>
        <v/>
      </c>
      <c r="X506" s="53"/>
      <c r="Y506" s="53"/>
      <c r="Z506" s="53"/>
      <c r="AA506" s="53"/>
      <c r="AB506" s="53"/>
      <c r="AC506" s="53"/>
      <c r="AD506" s="53"/>
      <c r="AE506" s="53"/>
      <c r="AF506" s="32" t="str">
        <f t="shared" si="20"/>
        <v/>
      </c>
      <c r="AG506" s="32"/>
      <c r="AH506" s="32"/>
      <c r="AI506" s="32"/>
      <c r="AJ506" s="32"/>
      <c r="AK506" s="32"/>
      <c r="AL506" s="32"/>
      <c r="AM506" s="32"/>
      <c r="AN506" s="32"/>
    </row>
    <row r="507" spans="1:40">
      <c r="A507" s="32" t="str">
        <f>_xlfn.TEXTJOIN("",TRUE,_xlfn.XLOOKUP(B507,Input!J:J,Input!G:G,"",0,1),_xlfn.XLOOKUP(B507,Input!J:J,Input!H:H,"",0,1))</f>
        <v/>
      </c>
      <c r="B507" s="32"/>
      <c r="C507" s="53">
        <f>_xlfn.XLOOKUP(B507,Input!J:J,Input!F:F)</f>
        <v>0</v>
      </c>
      <c r="D507" s="32">
        <f>_xlfn.XLOOKUP(C507,Models!H:H,Models!G:G,C507)</f>
        <v>0</v>
      </c>
      <c r="E507" s="32"/>
      <c r="F507" s="32" t="str">
        <f>_xlfn.XLOOKUP(H507,Models!B:B,Models!F:F,"")</f>
        <v/>
      </c>
      <c r="G507" s="32">
        <f>_xlfn.XLOOKUP(B507,Input!J:J,Input!E:E)</f>
        <v>0</v>
      </c>
      <c r="H507" s="32">
        <f>IF(G507="LENOVO",_xlfn.XLOOKUP(B507,Input!J:J,Input!K:K),_xlfn.XLOOKUP(B507,Input!J:J,Input!L:L))</f>
        <v>0</v>
      </c>
      <c r="I507" s="32"/>
      <c r="J507" s="32"/>
      <c r="K507" s="32"/>
      <c r="L507" s="53"/>
      <c r="M507" s="53"/>
      <c r="N507" s="53"/>
      <c r="O507" s="53" t="str" cm="1">
        <f t="array" ref="O507">IFERROR(_xlfn.FILTERXML("&lt;t&gt;&lt;s&gt;" &amp; SUBSTITUTE(M507," / ","&lt;/s&gt;&lt;s&gt;") &amp; "&lt;/s&gt;&lt;/t&gt;","(//s[contains(.,'DDR')])[1]"),"")</f>
        <v/>
      </c>
      <c r="P507" s="32" t="str">
        <f t="shared" si="21"/>
        <v>GB</v>
      </c>
      <c r="Q507" s="32"/>
      <c r="R507" s="32"/>
      <c r="S507" s="53" t="e">
        <f>_xlfn.LET(_xlpm.Result,INDEX(Input!$D$2:$AC$500,
       MATCH(B507, Input!$J$2:$J$500, 0),
       MATCH("Capacity", Input!$D$1:$AC$1, 0)),IF(_xlpm.Result="","",_xlpm.Result))</f>
        <v>#N/A</v>
      </c>
      <c r="T507" s="53"/>
      <c r="U507" s="53"/>
      <c r="V507" s="53" t="str" cm="1">
        <f t="array" ref="V507">IFERROR(_xlfn.IFS(
T507="","",
--T507&lt;55,"Battery Defect",
--T507&lt;=69,"Battery D",
--T507&lt;=80,"Battery C",
--T507&gt;80,""
),"")</f>
        <v/>
      </c>
      <c r="W507" s="53" t="str" cm="1">
        <f t="array" ref="W507">IFERROR(_xlfn.IFS(
U507="","",
--U507&lt;55,"Battery Defect",
--U507&lt;=69,"Battery D",
--U507&lt;=80,"Battery C",
--U507&gt;80,""
),"")</f>
        <v/>
      </c>
      <c r="X507" s="53"/>
      <c r="Y507" s="53"/>
      <c r="Z507" s="53"/>
      <c r="AA507" s="53"/>
      <c r="AB507" s="53"/>
      <c r="AC507" s="53"/>
      <c r="AD507" s="53"/>
      <c r="AE507" s="53"/>
      <c r="AF507" s="32" t="str">
        <f t="shared" si="20"/>
        <v/>
      </c>
      <c r="AG507" s="32"/>
      <c r="AH507" s="32"/>
      <c r="AI507" s="32"/>
      <c r="AJ507" s="32"/>
      <c r="AK507" s="32"/>
      <c r="AL507" s="32"/>
      <c r="AM507" s="32"/>
      <c r="AN507" s="32"/>
    </row>
    <row r="508" spans="1:40">
      <c r="A508" s="32" t="str">
        <f>_xlfn.TEXTJOIN("",TRUE,_xlfn.XLOOKUP(B508,Input!J:J,Input!G:G,"",0,1),_xlfn.XLOOKUP(B508,Input!J:J,Input!H:H,"",0,1))</f>
        <v/>
      </c>
      <c r="B508" s="32"/>
      <c r="C508" s="53">
        <f>_xlfn.XLOOKUP(B508,Input!J:J,Input!F:F)</f>
        <v>0</v>
      </c>
      <c r="D508" s="32">
        <f>_xlfn.XLOOKUP(C508,Models!H:H,Models!G:G,C508)</f>
        <v>0</v>
      </c>
      <c r="E508" s="32"/>
      <c r="F508" s="32" t="str">
        <f>_xlfn.XLOOKUP(H508,Models!B:B,Models!F:F,"")</f>
        <v/>
      </c>
      <c r="G508" s="32">
        <f>_xlfn.XLOOKUP(B508,Input!J:J,Input!E:E)</f>
        <v>0</v>
      </c>
      <c r="H508" s="32">
        <f>IF(G508="LENOVO",_xlfn.XLOOKUP(B508,Input!J:J,Input!K:K),_xlfn.XLOOKUP(B508,Input!J:J,Input!L:L))</f>
        <v>0</v>
      </c>
      <c r="I508" s="32"/>
      <c r="J508" s="32"/>
      <c r="K508" s="32"/>
      <c r="L508" s="53"/>
      <c r="M508" s="53"/>
      <c r="N508" s="53"/>
      <c r="O508" s="53" t="str" cm="1">
        <f t="array" ref="O508">IFERROR(_xlfn.FILTERXML("&lt;t&gt;&lt;s&gt;" &amp; SUBSTITUTE(M508," / ","&lt;/s&gt;&lt;s&gt;") &amp; "&lt;/s&gt;&lt;/t&gt;","(//s[contains(.,'DDR')])[1]"),"")</f>
        <v/>
      </c>
      <c r="P508" s="32" t="str">
        <f t="shared" si="21"/>
        <v>GB</v>
      </c>
      <c r="Q508" s="32"/>
      <c r="R508" s="32"/>
      <c r="S508" s="53" t="e">
        <f>_xlfn.LET(_xlpm.Result,INDEX(Input!$D$2:$AC$500,
       MATCH(B508, Input!$J$2:$J$500, 0),
       MATCH("Capacity", Input!$D$1:$AC$1, 0)),IF(_xlpm.Result="","",_xlpm.Result))</f>
        <v>#N/A</v>
      </c>
      <c r="T508" s="53"/>
      <c r="U508" s="53"/>
      <c r="V508" s="53" t="str" cm="1">
        <f t="array" ref="V508">IFERROR(_xlfn.IFS(
T508="","",
--T508&lt;55,"Battery Defect",
--T508&lt;=69,"Battery D",
--T508&lt;=80,"Battery C",
--T508&gt;80,""
),"")</f>
        <v/>
      </c>
      <c r="W508" s="53" t="str" cm="1">
        <f t="array" ref="W508">IFERROR(_xlfn.IFS(
U508="","",
--U508&lt;55,"Battery Defect",
--U508&lt;=69,"Battery D",
--U508&lt;=80,"Battery C",
--U508&gt;80,""
),"")</f>
        <v/>
      </c>
      <c r="X508" s="53"/>
      <c r="Y508" s="53"/>
      <c r="Z508" s="53"/>
      <c r="AA508" s="53"/>
      <c r="AB508" s="53"/>
      <c r="AC508" s="53"/>
      <c r="AD508" s="53"/>
      <c r="AE508" s="53"/>
      <c r="AF508" s="32" t="str">
        <f t="shared" si="20"/>
        <v/>
      </c>
      <c r="AG508" s="32"/>
      <c r="AH508" s="32"/>
      <c r="AI508" s="32"/>
      <c r="AJ508" s="32"/>
      <c r="AK508" s="32"/>
      <c r="AL508" s="32"/>
      <c r="AM508" s="32"/>
      <c r="AN508" s="32"/>
    </row>
    <row r="509" spans="1:40">
      <c r="A509" s="32" t="str">
        <f>_xlfn.TEXTJOIN("",TRUE,_xlfn.XLOOKUP(B509,Input!J:J,Input!G:G,"",0,1),_xlfn.XLOOKUP(B509,Input!J:J,Input!H:H,"",0,1))</f>
        <v/>
      </c>
      <c r="B509" s="32"/>
      <c r="C509" s="53">
        <f>_xlfn.XLOOKUP(B509,Input!J:J,Input!F:F)</f>
        <v>0</v>
      </c>
      <c r="D509" s="32">
        <f>_xlfn.XLOOKUP(C509,Models!H:H,Models!G:G,C509)</f>
        <v>0</v>
      </c>
      <c r="E509" s="32"/>
      <c r="F509" s="32" t="str">
        <f>_xlfn.XLOOKUP(H509,Models!B:B,Models!F:F,"")</f>
        <v/>
      </c>
      <c r="G509" s="32">
        <f>_xlfn.XLOOKUP(B509,Input!J:J,Input!E:E)</f>
        <v>0</v>
      </c>
      <c r="H509" s="32">
        <f>IF(G509="LENOVO",_xlfn.XLOOKUP(B509,Input!J:J,Input!K:K),_xlfn.XLOOKUP(B509,Input!J:J,Input!L:L))</f>
        <v>0</v>
      </c>
      <c r="I509" s="32"/>
      <c r="J509" s="32"/>
      <c r="K509" s="32"/>
      <c r="L509" s="53"/>
      <c r="M509" s="53"/>
      <c r="N509" s="53"/>
      <c r="O509" s="53" t="str" cm="1">
        <f t="array" ref="O509">IFERROR(_xlfn.FILTERXML("&lt;t&gt;&lt;s&gt;" &amp; SUBSTITUTE(M509," / ","&lt;/s&gt;&lt;s&gt;") &amp; "&lt;/s&gt;&lt;/t&gt;","(//s[contains(.,'DDR')])[1]"),"")</f>
        <v/>
      </c>
      <c r="P509" s="32" t="str">
        <f t="shared" si="21"/>
        <v>GB</v>
      </c>
      <c r="Q509" s="32"/>
      <c r="R509" s="32"/>
      <c r="S509" s="53" t="e">
        <f>_xlfn.LET(_xlpm.Result,INDEX(Input!$D$2:$AC$500,
       MATCH(B509, Input!$J$2:$J$500, 0),
       MATCH("Capacity", Input!$D$1:$AC$1, 0)),IF(_xlpm.Result="","",_xlpm.Result))</f>
        <v>#N/A</v>
      </c>
      <c r="T509" s="53"/>
      <c r="U509" s="53"/>
      <c r="V509" s="53" t="str" cm="1">
        <f t="array" ref="V509">IFERROR(_xlfn.IFS(
T509="","",
--T509&lt;55,"Battery Defect",
--T509&lt;=69,"Battery D",
--T509&lt;=80,"Battery C",
--T509&gt;80,""
),"")</f>
        <v/>
      </c>
      <c r="W509" s="53" t="str" cm="1">
        <f t="array" ref="W509">IFERROR(_xlfn.IFS(
U509="","",
--U509&lt;55,"Battery Defect",
--U509&lt;=69,"Battery D",
--U509&lt;=80,"Battery C",
--U509&gt;80,""
),"")</f>
        <v/>
      </c>
      <c r="X509" s="53"/>
      <c r="Y509" s="53"/>
      <c r="Z509" s="53"/>
      <c r="AA509" s="53"/>
      <c r="AB509" s="53"/>
      <c r="AC509" s="53"/>
      <c r="AD509" s="53"/>
      <c r="AE509" s="53"/>
      <c r="AF509" s="32" t="str">
        <f t="shared" si="20"/>
        <v/>
      </c>
      <c r="AG509" s="32"/>
      <c r="AH509" s="32"/>
      <c r="AI509" s="32"/>
      <c r="AJ509" s="32"/>
      <c r="AK509" s="32"/>
      <c r="AL509" s="32"/>
      <c r="AM509" s="32"/>
      <c r="AN509" s="32"/>
    </row>
    <row r="510" spans="1:40">
      <c r="A510" s="32" t="str">
        <f>_xlfn.TEXTJOIN("",TRUE,_xlfn.XLOOKUP(B510,Input!J:J,Input!G:G,"",0,1),_xlfn.XLOOKUP(B510,Input!J:J,Input!H:H,"",0,1))</f>
        <v/>
      </c>
      <c r="B510" s="32"/>
      <c r="C510" s="53">
        <f>_xlfn.XLOOKUP(B510,Input!J:J,Input!F:F)</f>
        <v>0</v>
      </c>
      <c r="D510" s="32">
        <f>_xlfn.XLOOKUP(C510,Models!H:H,Models!G:G,C510)</f>
        <v>0</v>
      </c>
      <c r="E510" s="32"/>
      <c r="F510" s="32" t="str">
        <f>_xlfn.XLOOKUP(H510,Models!B:B,Models!F:F,"")</f>
        <v/>
      </c>
      <c r="G510" s="32">
        <f>_xlfn.XLOOKUP(B510,Input!J:J,Input!E:E)</f>
        <v>0</v>
      </c>
      <c r="H510" s="32">
        <f>IF(G510="LENOVO",_xlfn.XLOOKUP(B510,Input!J:J,Input!K:K),_xlfn.XLOOKUP(B510,Input!J:J,Input!L:L))</f>
        <v>0</v>
      </c>
      <c r="I510" s="32"/>
      <c r="J510" s="32"/>
      <c r="K510" s="32"/>
      <c r="L510" s="53"/>
      <c r="M510" s="53"/>
      <c r="N510" s="53"/>
      <c r="O510" s="53" t="str" cm="1">
        <f t="array" ref="O510">IFERROR(_xlfn.FILTERXML("&lt;t&gt;&lt;s&gt;" &amp; SUBSTITUTE(M510," / ","&lt;/s&gt;&lt;s&gt;") &amp; "&lt;/s&gt;&lt;/t&gt;","(//s[contains(.,'DDR')])[1]"),"")</f>
        <v/>
      </c>
      <c r="P510" s="32" t="str">
        <f t="shared" si="21"/>
        <v>GB</v>
      </c>
      <c r="Q510" s="32"/>
      <c r="R510" s="32"/>
      <c r="S510" s="53" t="e">
        <f>_xlfn.LET(_xlpm.Result,INDEX(Input!$D$2:$AC$500,
       MATCH(B510, Input!$J$2:$J$500, 0),
       MATCH("Capacity", Input!$D$1:$AC$1, 0)),IF(_xlpm.Result="","",_xlpm.Result))</f>
        <v>#N/A</v>
      </c>
      <c r="T510" s="53"/>
      <c r="U510" s="53"/>
      <c r="V510" s="53" t="str" cm="1">
        <f t="array" ref="V510">IFERROR(_xlfn.IFS(
T510="","",
--T510&lt;55,"Battery Defect",
--T510&lt;=69,"Battery D",
--T510&lt;=80,"Battery C",
--T510&gt;80,""
),"")</f>
        <v/>
      </c>
      <c r="W510" s="53" t="str" cm="1">
        <f t="array" ref="W510">IFERROR(_xlfn.IFS(
U510="","",
--U510&lt;55,"Battery Defect",
--U510&lt;=69,"Battery D",
--U510&lt;=80,"Battery C",
--U510&gt;80,""
),"")</f>
        <v/>
      </c>
      <c r="X510" s="53"/>
      <c r="Y510" s="53"/>
      <c r="Z510" s="53"/>
      <c r="AA510" s="53"/>
      <c r="AB510" s="53"/>
      <c r="AC510" s="53"/>
      <c r="AD510" s="53"/>
      <c r="AE510" s="53"/>
      <c r="AF510" s="32" t="str">
        <f t="shared" si="20"/>
        <v/>
      </c>
      <c r="AG510" s="32"/>
      <c r="AH510" s="32"/>
      <c r="AI510" s="32"/>
      <c r="AJ510" s="32"/>
      <c r="AK510" s="32"/>
      <c r="AL510" s="32"/>
      <c r="AM510" s="32"/>
      <c r="AN510" s="32"/>
    </row>
    <row r="511" spans="1:40">
      <c r="A511" s="32" t="str">
        <f>_xlfn.TEXTJOIN("",TRUE,_xlfn.XLOOKUP(B511,Input!J:J,Input!G:G,"",0,1),_xlfn.XLOOKUP(B511,Input!J:J,Input!H:H,"",0,1))</f>
        <v/>
      </c>
      <c r="B511" s="32"/>
      <c r="C511" s="53">
        <f>_xlfn.XLOOKUP(B511,Input!J:J,Input!F:F)</f>
        <v>0</v>
      </c>
      <c r="D511" s="32">
        <f>_xlfn.XLOOKUP(C511,Models!H:H,Models!G:G,C511)</f>
        <v>0</v>
      </c>
      <c r="E511" s="32"/>
      <c r="F511" s="32" t="str">
        <f>_xlfn.XLOOKUP(H511,Models!B:B,Models!F:F,"")</f>
        <v/>
      </c>
      <c r="G511" s="32">
        <f>_xlfn.XLOOKUP(B511,Input!J:J,Input!E:E)</f>
        <v>0</v>
      </c>
      <c r="H511" s="32">
        <f>IF(G511="LENOVO",_xlfn.XLOOKUP(B511,Input!J:J,Input!K:K),_xlfn.XLOOKUP(B511,Input!J:J,Input!L:L))</f>
        <v>0</v>
      </c>
      <c r="I511" s="32"/>
      <c r="J511" s="32"/>
      <c r="K511" s="32"/>
      <c r="L511" s="53"/>
      <c r="M511" s="53"/>
      <c r="N511" s="53"/>
      <c r="O511" s="53" t="str" cm="1">
        <f t="array" ref="O511">IFERROR(_xlfn.FILTERXML("&lt;t&gt;&lt;s&gt;" &amp; SUBSTITUTE(M511," / ","&lt;/s&gt;&lt;s&gt;") &amp; "&lt;/s&gt;&lt;/t&gt;","(//s[contains(.,'DDR')])[1]"),"")</f>
        <v/>
      </c>
      <c r="P511" s="32" t="str">
        <f t="shared" si="21"/>
        <v>GB</v>
      </c>
      <c r="Q511" s="32"/>
      <c r="R511" s="32"/>
      <c r="S511" s="53" t="e">
        <f>_xlfn.LET(_xlpm.Result,INDEX(Input!$D$2:$AC$500,
       MATCH(B511, Input!$J$2:$J$500, 0),
       MATCH("Capacity", Input!$D$1:$AC$1, 0)),IF(_xlpm.Result="","",_xlpm.Result))</f>
        <v>#N/A</v>
      </c>
      <c r="T511" s="53"/>
      <c r="U511" s="53"/>
      <c r="V511" s="53" t="str" cm="1">
        <f t="array" ref="V511">IFERROR(_xlfn.IFS(
T511="","",
--T511&lt;55,"Battery Defect",
--T511&lt;=69,"Battery D",
--T511&lt;=80,"Battery C",
--T511&gt;80,""
),"")</f>
        <v/>
      </c>
      <c r="W511" s="53" t="str" cm="1">
        <f t="array" ref="W511">IFERROR(_xlfn.IFS(
U511="","",
--U511&lt;55,"Battery Defect",
--U511&lt;=69,"Battery D",
--U511&lt;=80,"Battery C",
--U511&gt;80,""
),"")</f>
        <v/>
      </c>
      <c r="X511" s="53"/>
      <c r="Y511" s="53"/>
      <c r="Z511" s="53"/>
      <c r="AA511" s="53"/>
      <c r="AB511" s="53"/>
      <c r="AC511" s="53"/>
      <c r="AD511" s="53"/>
      <c r="AE511" s="53"/>
      <c r="AF511" s="32" t="str">
        <f t="shared" si="20"/>
        <v/>
      </c>
      <c r="AG511" s="32"/>
      <c r="AH511" s="32"/>
      <c r="AI511" s="32"/>
      <c r="AJ511" s="32"/>
      <c r="AK511" s="32"/>
      <c r="AL511" s="32"/>
      <c r="AM511" s="32"/>
      <c r="AN511" s="32"/>
    </row>
    <row r="512" spans="1:40">
      <c r="A512" s="32" t="str">
        <f>_xlfn.TEXTJOIN("",TRUE,_xlfn.XLOOKUP(B512,Input!J:J,Input!G:G,"",0,1),_xlfn.XLOOKUP(B512,Input!J:J,Input!H:H,"",0,1))</f>
        <v/>
      </c>
      <c r="B512" s="32"/>
      <c r="C512" s="53">
        <f>_xlfn.XLOOKUP(B512,Input!J:J,Input!F:F)</f>
        <v>0</v>
      </c>
      <c r="D512" s="32">
        <f>_xlfn.XLOOKUP(C512,Models!H:H,Models!G:G,C512)</f>
        <v>0</v>
      </c>
      <c r="E512" s="32"/>
      <c r="F512" s="32" t="str">
        <f>_xlfn.XLOOKUP(H512,Models!B:B,Models!F:F,"")</f>
        <v/>
      </c>
      <c r="G512" s="32">
        <f>_xlfn.XLOOKUP(B512,Input!J:J,Input!E:E)</f>
        <v>0</v>
      </c>
      <c r="H512" s="32">
        <f>IF(G512="LENOVO",_xlfn.XLOOKUP(B512,Input!J:J,Input!K:K),_xlfn.XLOOKUP(B512,Input!J:J,Input!L:L))</f>
        <v>0</v>
      </c>
      <c r="I512" s="32"/>
      <c r="J512" s="32"/>
      <c r="K512" s="32"/>
      <c r="L512" s="53"/>
      <c r="M512" s="53"/>
      <c r="N512" s="53"/>
      <c r="O512" s="53" t="str" cm="1">
        <f t="array" ref="O512">IFERROR(_xlfn.FILTERXML("&lt;t&gt;&lt;s&gt;" &amp; SUBSTITUTE(M512," / ","&lt;/s&gt;&lt;s&gt;") &amp; "&lt;/s&gt;&lt;/t&gt;","(//s[contains(.,'DDR')])[1]"),"")</f>
        <v/>
      </c>
      <c r="P512" s="32" t="str">
        <f t="shared" si="21"/>
        <v>GB</v>
      </c>
      <c r="Q512" s="32"/>
      <c r="R512" s="32"/>
      <c r="S512" s="53" t="e">
        <f>_xlfn.LET(_xlpm.Result,INDEX(Input!$D$2:$AC$500,
       MATCH(B512, Input!$J$2:$J$500, 0),
       MATCH("Capacity", Input!$D$1:$AC$1, 0)),IF(_xlpm.Result="","",_xlpm.Result))</f>
        <v>#N/A</v>
      </c>
      <c r="T512" s="53"/>
      <c r="U512" s="53"/>
      <c r="V512" s="53" t="str" cm="1">
        <f t="array" ref="V512">IFERROR(_xlfn.IFS(
T512="","",
--T512&lt;55,"Battery Defect",
--T512&lt;=69,"Battery D",
--T512&lt;=80,"Battery C",
--T512&gt;80,""
),"")</f>
        <v/>
      </c>
      <c r="W512" s="53" t="str" cm="1">
        <f t="array" ref="W512">IFERROR(_xlfn.IFS(
U512="","",
--U512&lt;55,"Battery Defect",
--U512&lt;=69,"Battery D",
--U512&lt;=80,"Battery C",
--U512&gt;80,""
),"")</f>
        <v/>
      </c>
      <c r="X512" s="53"/>
      <c r="Y512" s="53"/>
      <c r="Z512" s="53"/>
      <c r="AA512" s="53"/>
      <c r="AB512" s="53"/>
      <c r="AC512" s="53"/>
      <c r="AD512" s="53"/>
      <c r="AE512" s="53"/>
      <c r="AF512" s="32" t="str">
        <f t="shared" si="20"/>
        <v/>
      </c>
      <c r="AG512" s="32"/>
      <c r="AH512" s="32"/>
      <c r="AI512" s="32"/>
      <c r="AJ512" s="32"/>
      <c r="AK512" s="32"/>
      <c r="AL512" s="32"/>
      <c r="AM512" s="32"/>
      <c r="AN512" s="32"/>
    </row>
    <row r="513" spans="1:40">
      <c r="A513" s="32" t="str">
        <f>_xlfn.TEXTJOIN("",TRUE,_xlfn.XLOOKUP(B513,Input!J:J,Input!G:G,"",0,1),_xlfn.XLOOKUP(B513,Input!J:J,Input!H:H,"",0,1))</f>
        <v/>
      </c>
      <c r="B513" s="32"/>
      <c r="C513" s="53">
        <f>_xlfn.XLOOKUP(B513,Input!J:J,Input!F:F)</f>
        <v>0</v>
      </c>
      <c r="D513" s="32">
        <f>_xlfn.XLOOKUP(C513,Models!H:H,Models!G:G,C513)</f>
        <v>0</v>
      </c>
      <c r="E513" s="32"/>
      <c r="F513" s="32" t="str">
        <f>_xlfn.XLOOKUP(H513,Models!B:B,Models!F:F,"")</f>
        <v/>
      </c>
      <c r="G513" s="32">
        <f>_xlfn.XLOOKUP(B513,Input!J:J,Input!E:E)</f>
        <v>0</v>
      </c>
      <c r="H513" s="32">
        <f>IF(G513="LENOVO",_xlfn.XLOOKUP(B513,Input!J:J,Input!K:K),_xlfn.XLOOKUP(B513,Input!J:J,Input!L:L))</f>
        <v>0</v>
      </c>
      <c r="I513" s="32"/>
      <c r="J513" s="32"/>
      <c r="K513" s="32"/>
      <c r="L513" s="53"/>
      <c r="M513" s="53"/>
      <c r="N513" s="53"/>
      <c r="O513" s="53" t="str" cm="1">
        <f t="array" ref="O513">IFERROR(_xlfn.FILTERXML("&lt;t&gt;&lt;s&gt;" &amp; SUBSTITUTE(M513," / ","&lt;/s&gt;&lt;s&gt;") &amp; "&lt;/s&gt;&lt;/t&gt;","(//s[contains(.,'DDR')])[1]"),"")</f>
        <v/>
      </c>
      <c r="P513" s="32" t="str">
        <f t="shared" si="21"/>
        <v>GB</v>
      </c>
      <c r="Q513" s="32"/>
      <c r="R513" s="32"/>
      <c r="S513" s="53" t="e">
        <f>_xlfn.LET(_xlpm.Result,INDEX(Input!$D$2:$AC$500,
       MATCH(B513, Input!$J$2:$J$500, 0),
       MATCH("Capacity", Input!$D$1:$AC$1, 0)),IF(_xlpm.Result="","",_xlpm.Result))</f>
        <v>#N/A</v>
      </c>
      <c r="T513" s="53"/>
      <c r="U513" s="53"/>
      <c r="V513" s="53" t="str" cm="1">
        <f t="array" ref="V513">IFERROR(_xlfn.IFS(
T513="","",
--T513&lt;55,"Battery Defect",
--T513&lt;=69,"Battery D",
--T513&lt;=80,"Battery C",
--T513&gt;80,""
),"")</f>
        <v/>
      </c>
      <c r="W513" s="53" t="str" cm="1">
        <f t="array" ref="W513">IFERROR(_xlfn.IFS(
U513="","",
--U513&lt;55,"Battery Defect",
--U513&lt;=69,"Battery D",
--U513&lt;=80,"Battery C",
--U513&gt;80,""
),"")</f>
        <v/>
      </c>
      <c r="X513" s="53"/>
      <c r="Y513" s="53"/>
      <c r="Z513" s="53"/>
      <c r="AA513" s="53"/>
      <c r="AB513" s="53"/>
      <c r="AC513" s="53"/>
      <c r="AD513" s="53"/>
      <c r="AE513" s="53"/>
      <c r="AF513" s="32" t="str">
        <f t="shared" si="20"/>
        <v/>
      </c>
      <c r="AG513" s="32"/>
      <c r="AH513" s="32"/>
      <c r="AI513" s="32"/>
      <c r="AJ513" s="32"/>
      <c r="AK513" s="32"/>
      <c r="AL513" s="32"/>
      <c r="AM513" s="32"/>
      <c r="AN513" s="32"/>
    </row>
    <row r="514" spans="1:40">
      <c r="A514" s="32" t="str">
        <f>_xlfn.TEXTJOIN("",TRUE,_xlfn.XLOOKUP(B514,Input!J:J,Input!G:G,"",0,1),_xlfn.XLOOKUP(B514,Input!J:J,Input!H:H,"",0,1))</f>
        <v/>
      </c>
      <c r="B514" s="32"/>
      <c r="C514" s="53">
        <f>_xlfn.XLOOKUP(B514,Input!J:J,Input!F:F)</f>
        <v>0</v>
      </c>
      <c r="D514" s="32">
        <f>_xlfn.XLOOKUP(C514,Models!H:H,Models!G:G,C514)</f>
        <v>0</v>
      </c>
      <c r="E514" s="32"/>
      <c r="F514" s="32" t="str">
        <f>_xlfn.XLOOKUP(H514,Models!B:B,Models!F:F,"")</f>
        <v/>
      </c>
      <c r="G514" s="32">
        <f>_xlfn.XLOOKUP(B514,Input!J:J,Input!E:E)</f>
        <v>0</v>
      </c>
      <c r="H514" s="32">
        <f>IF(G514="LENOVO",_xlfn.XLOOKUP(B514,Input!J:J,Input!K:K),_xlfn.XLOOKUP(B514,Input!J:J,Input!L:L))</f>
        <v>0</v>
      </c>
      <c r="I514" s="32"/>
      <c r="J514" s="32"/>
      <c r="K514" s="32"/>
      <c r="L514" s="53"/>
      <c r="M514" s="53"/>
      <c r="N514" s="53"/>
      <c r="O514" s="53" t="str" cm="1">
        <f t="array" ref="O514">IFERROR(_xlfn.FILTERXML("&lt;t&gt;&lt;s&gt;" &amp; SUBSTITUTE(M514," / ","&lt;/s&gt;&lt;s&gt;") &amp; "&lt;/s&gt;&lt;/t&gt;","(//s[contains(.,'DDR')])[1]"),"")</f>
        <v/>
      </c>
      <c r="P514" s="32" t="str">
        <f t="shared" si="21"/>
        <v>GB</v>
      </c>
      <c r="Q514" s="32"/>
      <c r="R514" s="32"/>
      <c r="S514" s="53" t="e">
        <f>_xlfn.LET(_xlpm.Result,INDEX(Input!$D$2:$AC$500,
       MATCH(B514, Input!$J$2:$J$500, 0),
       MATCH("Capacity", Input!$D$1:$AC$1, 0)),IF(_xlpm.Result="","",_xlpm.Result))</f>
        <v>#N/A</v>
      </c>
      <c r="T514" s="53"/>
      <c r="U514" s="53"/>
      <c r="V514" s="53" t="str" cm="1">
        <f t="array" ref="V514">IFERROR(_xlfn.IFS(
T514="","",
--T514&lt;55,"Battery Defect",
--T514&lt;=69,"Battery D",
--T514&lt;=80,"Battery C",
--T514&gt;80,""
),"")</f>
        <v/>
      </c>
      <c r="W514" s="53" t="str" cm="1">
        <f t="array" ref="W514">IFERROR(_xlfn.IFS(
U514="","",
--U514&lt;55,"Battery Defect",
--U514&lt;=69,"Battery D",
--U514&lt;=80,"Battery C",
--U514&gt;80,""
),"")</f>
        <v/>
      </c>
      <c r="X514" s="53"/>
      <c r="Y514" s="53"/>
      <c r="Z514" s="53"/>
      <c r="AA514" s="53"/>
      <c r="AB514" s="53"/>
      <c r="AC514" s="53"/>
      <c r="AD514" s="53"/>
      <c r="AE514" s="53"/>
      <c r="AF514" s="32" t="str">
        <f t="shared" si="20"/>
        <v/>
      </c>
      <c r="AG514" s="32"/>
      <c r="AH514" s="32"/>
      <c r="AI514" s="32"/>
      <c r="AJ514" s="32"/>
      <c r="AK514" s="32"/>
      <c r="AL514" s="32"/>
      <c r="AM514" s="32"/>
      <c r="AN514" s="32"/>
    </row>
    <row r="515" spans="1:40">
      <c r="A515" s="32" t="str">
        <f>_xlfn.TEXTJOIN("",TRUE,_xlfn.XLOOKUP(B515,Input!J:J,Input!G:G,"",0,1),_xlfn.XLOOKUP(B515,Input!J:J,Input!H:H,"",0,1))</f>
        <v/>
      </c>
      <c r="B515" s="32"/>
      <c r="C515" s="53">
        <f>_xlfn.XLOOKUP(B515,Input!J:J,Input!F:F)</f>
        <v>0</v>
      </c>
      <c r="D515" s="32">
        <f>_xlfn.XLOOKUP(C515,Models!H:H,Models!G:G,C515)</f>
        <v>0</v>
      </c>
      <c r="E515" s="32"/>
      <c r="F515" s="32" t="str">
        <f>_xlfn.XLOOKUP(H515,Models!B:B,Models!F:F,"")</f>
        <v/>
      </c>
      <c r="G515" s="32">
        <f>_xlfn.XLOOKUP(B515,Input!J:J,Input!E:E)</f>
        <v>0</v>
      </c>
      <c r="H515" s="32">
        <f>IF(G515="LENOVO",_xlfn.XLOOKUP(B515,Input!J:J,Input!K:K),_xlfn.XLOOKUP(B515,Input!J:J,Input!L:L))</f>
        <v>0</v>
      </c>
      <c r="I515" s="32"/>
      <c r="J515" s="32"/>
      <c r="K515" s="32"/>
      <c r="L515" s="53"/>
      <c r="M515" s="53"/>
      <c r="N515" s="53"/>
      <c r="O515" s="53" t="str" cm="1">
        <f t="array" ref="O515">IFERROR(_xlfn.FILTERXML("&lt;t&gt;&lt;s&gt;" &amp; SUBSTITUTE(M515," / ","&lt;/s&gt;&lt;s&gt;") &amp; "&lt;/s&gt;&lt;/t&gt;","(//s[contains(.,'DDR')])[1]"),"")</f>
        <v/>
      </c>
      <c r="P515" s="32" t="str">
        <f t="shared" si="21"/>
        <v>GB</v>
      </c>
      <c r="Q515" s="32"/>
      <c r="R515" s="32"/>
      <c r="S515" s="53" t="e">
        <f>_xlfn.LET(_xlpm.Result,INDEX(Input!$D$2:$AC$500,
       MATCH(B515, Input!$J$2:$J$500, 0),
       MATCH("Capacity", Input!$D$1:$AC$1, 0)),IF(_xlpm.Result="","",_xlpm.Result))</f>
        <v>#N/A</v>
      </c>
      <c r="T515" s="53"/>
      <c r="U515" s="53"/>
      <c r="V515" s="53" t="str" cm="1">
        <f t="array" ref="V515">IFERROR(_xlfn.IFS(
T515="","",
--T515&lt;55,"Battery Defect",
--T515&lt;=69,"Battery D",
--T515&lt;=80,"Battery C",
--T515&gt;80,""
),"")</f>
        <v/>
      </c>
      <c r="W515" s="53" t="str" cm="1">
        <f t="array" ref="W515">IFERROR(_xlfn.IFS(
U515="","",
--U515&lt;55,"Battery Defect",
--U515&lt;=69,"Battery D",
--U515&lt;=80,"Battery C",
--U515&gt;80,""
),"")</f>
        <v/>
      </c>
      <c r="X515" s="53"/>
      <c r="Y515" s="53"/>
      <c r="Z515" s="53"/>
      <c r="AA515" s="53"/>
      <c r="AB515" s="53"/>
      <c r="AC515" s="53"/>
      <c r="AD515" s="53"/>
      <c r="AE515" s="53"/>
      <c r="AF515" s="32" t="str">
        <f t="shared" ref="AF515:AF574" si="22">IF(D515="Laptop",_xlfn.TEXTJOIN(", ",TRUE,V515,W515,X515,Y515,Z515,AA515,AB515,AC515), _xlfn.TEXTJOIN(", ",TRUE,X515,Y515,Z515,AA515,AB515,AC515))</f>
        <v/>
      </c>
      <c r="AG515" s="32"/>
      <c r="AH515" s="32"/>
      <c r="AI515" s="32"/>
      <c r="AJ515" s="32"/>
      <c r="AK515" s="32"/>
      <c r="AL515" s="32"/>
      <c r="AM515" s="32"/>
      <c r="AN515" s="32"/>
    </row>
    <row r="516" spans="1:40">
      <c r="A516" s="32" t="str">
        <f>_xlfn.TEXTJOIN("",TRUE,_xlfn.XLOOKUP(B516,Input!J:J,Input!G:G,"",0,1),_xlfn.XLOOKUP(B516,Input!J:J,Input!H:H,"",0,1))</f>
        <v/>
      </c>
      <c r="B516" s="32"/>
      <c r="C516" s="53">
        <f>_xlfn.XLOOKUP(B516,Input!J:J,Input!F:F)</f>
        <v>0</v>
      </c>
      <c r="D516" s="32">
        <f>_xlfn.XLOOKUP(C516,Models!H:H,Models!G:G,C516)</f>
        <v>0</v>
      </c>
      <c r="E516" s="32"/>
      <c r="F516" s="32" t="str">
        <f>_xlfn.XLOOKUP(H516,Models!B:B,Models!F:F,"")</f>
        <v/>
      </c>
      <c r="G516" s="32">
        <f>_xlfn.XLOOKUP(B516,Input!J:J,Input!E:E)</f>
        <v>0</v>
      </c>
      <c r="H516" s="32">
        <f>IF(G516="LENOVO",_xlfn.XLOOKUP(B516,Input!J:J,Input!K:K),_xlfn.XLOOKUP(B516,Input!J:J,Input!L:L))</f>
        <v>0</v>
      </c>
      <c r="I516" s="32"/>
      <c r="J516" s="32"/>
      <c r="K516" s="32"/>
      <c r="L516" s="53"/>
      <c r="M516" s="53"/>
      <c r="N516" s="53"/>
      <c r="O516" s="53" t="str" cm="1">
        <f t="array" ref="O516">IFERROR(_xlfn.FILTERXML("&lt;t&gt;&lt;s&gt;" &amp; SUBSTITUTE(M516," / ","&lt;/s&gt;&lt;s&gt;") &amp; "&lt;/s&gt;&lt;/t&gt;","(//s[contains(.,'DDR')])[1]"),"")</f>
        <v/>
      </c>
      <c r="P516" s="32" t="str">
        <f t="shared" si="21"/>
        <v>GB</v>
      </c>
      <c r="Q516" s="32"/>
      <c r="R516" s="32"/>
      <c r="S516" s="53" t="e">
        <f>_xlfn.LET(_xlpm.Result,INDEX(Input!$D$2:$AC$500,
       MATCH(B516, Input!$J$2:$J$500, 0),
       MATCH("Capacity", Input!$D$1:$AC$1, 0)),IF(_xlpm.Result="","",_xlpm.Result))</f>
        <v>#N/A</v>
      </c>
      <c r="T516" s="53"/>
      <c r="U516" s="53"/>
      <c r="V516" s="53" t="str" cm="1">
        <f t="array" ref="V516">IFERROR(_xlfn.IFS(
T516="","",
--T516&lt;55,"Battery Defect",
--T516&lt;=69,"Battery D",
--T516&lt;=80,"Battery C",
--T516&gt;80,""
),"")</f>
        <v/>
      </c>
      <c r="W516" s="53" t="str" cm="1">
        <f t="array" ref="W516">IFERROR(_xlfn.IFS(
U516="","",
--U516&lt;55,"Battery Defect",
--U516&lt;=69,"Battery D",
--U516&lt;=80,"Battery C",
--U516&gt;80,""
),"")</f>
        <v/>
      </c>
      <c r="X516" s="53"/>
      <c r="Y516" s="53"/>
      <c r="Z516" s="53"/>
      <c r="AA516" s="53"/>
      <c r="AB516" s="53"/>
      <c r="AC516" s="53"/>
      <c r="AD516" s="53"/>
      <c r="AE516" s="53"/>
      <c r="AF516" s="32" t="str">
        <f t="shared" si="22"/>
        <v/>
      </c>
      <c r="AG516" s="32"/>
      <c r="AH516" s="32"/>
      <c r="AI516" s="32"/>
      <c r="AJ516" s="32"/>
      <c r="AK516" s="32"/>
      <c r="AL516" s="32"/>
      <c r="AM516" s="32"/>
      <c r="AN516" s="32"/>
    </row>
    <row r="517" spans="1:40">
      <c r="A517" s="32" t="str">
        <f>_xlfn.TEXTJOIN("",TRUE,_xlfn.XLOOKUP(B517,Input!J:J,Input!G:G,"",0,1),_xlfn.XLOOKUP(B517,Input!J:J,Input!H:H,"",0,1))</f>
        <v/>
      </c>
      <c r="B517" s="32"/>
      <c r="C517" s="53">
        <f>_xlfn.XLOOKUP(B517,Input!J:J,Input!F:F)</f>
        <v>0</v>
      </c>
      <c r="D517" s="32">
        <f>_xlfn.XLOOKUP(C517,Models!H:H,Models!G:G,C517)</f>
        <v>0</v>
      </c>
      <c r="E517" s="32"/>
      <c r="F517" s="32" t="str">
        <f>_xlfn.XLOOKUP(H517,Models!B:B,Models!F:F,"")</f>
        <v/>
      </c>
      <c r="G517" s="32">
        <f>_xlfn.XLOOKUP(B517,Input!J:J,Input!E:E)</f>
        <v>0</v>
      </c>
      <c r="H517" s="32">
        <f>IF(G517="LENOVO",_xlfn.XLOOKUP(B517,Input!J:J,Input!K:K),_xlfn.XLOOKUP(B517,Input!J:J,Input!L:L))</f>
        <v>0</v>
      </c>
      <c r="I517" s="32"/>
      <c r="J517" s="32"/>
      <c r="K517" s="32"/>
      <c r="L517" s="53"/>
      <c r="M517" s="53"/>
      <c r="N517" s="53"/>
      <c r="O517" s="53" t="str" cm="1">
        <f t="array" ref="O517">IFERROR(_xlfn.FILTERXML("&lt;t&gt;&lt;s&gt;" &amp; SUBSTITUTE(M517," / ","&lt;/s&gt;&lt;s&gt;") &amp; "&lt;/s&gt;&lt;/t&gt;","(//s[contains(.,'DDR')])[1]"),"")</f>
        <v/>
      </c>
      <c r="P517" s="32" t="str">
        <f t="shared" si="21"/>
        <v>GB</v>
      </c>
      <c r="Q517" s="32"/>
      <c r="R517" s="32"/>
      <c r="S517" s="53" t="e">
        <f>_xlfn.LET(_xlpm.Result,INDEX(Input!$D$2:$AC$500,
       MATCH(B517, Input!$J$2:$J$500, 0),
       MATCH("Capacity", Input!$D$1:$AC$1, 0)),IF(_xlpm.Result="","",_xlpm.Result))</f>
        <v>#N/A</v>
      </c>
      <c r="T517" s="53"/>
      <c r="U517" s="53"/>
      <c r="V517" s="53" t="str" cm="1">
        <f t="array" ref="V517">IFERROR(_xlfn.IFS(
T517="","",
--T517&lt;55,"Battery Defect",
--T517&lt;=69,"Battery D",
--T517&lt;=80,"Battery C",
--T517&gt;80,""
),"")</f>
        <v/>
      </c>
      <c r="W517" s="53" t="str" cm="1">
        <f t="array" ref="W517">IFERROR(_xlfn.IFS(
U517="","",
--U517&lt;55,"Battery Defect",
--U517&lt;=69,"Battery D",
--U517&lt;=80,"Battery C",
--U517&gt;80,""
),"")</f>
        <v/>
      </c>
      <c r="X517" s="53"/>
      <c r="Y517" s="53"/>
      <c r="Z517" s="53"/>
      <c r="AA517" s="53"/>
      <c r="AB517" s="53"/>
      <c r="AC517" s="53"/>
      <c r="AD517" s="53"/>
      <c r="AE517" s="53"/>
      <c r="AF517" s="32" t="str">
        <f t="shared" si="22"/>
        <v/>
      </c>
      <c r="AG517" s="32"/>
      <c r="AH517" s="32"/>
      <c r="AI517" s="32"/>
      <c r="AJ517" s="32"/>
      <c r="AK517" s="32"/>
      <c r="AL517" s="32"/>
      <c r="AM517" s="32"/>
      <c r="AN517" s="32"/>
    </row>
    <row r="518" spans="1:40">
      <c r="A518" s="32" t="str">
        <f>_xlfn.TEXTJOIN("",TRUE,_xlfn.XLOOKUP(B518,Input!J:J,Input!G:G,"",0,1),_xlfn.XLOOKUP(B518,Input!J:J,Input!H:H,"",0,1))</f>
        <v/>
      </c>
      <c r="B518" s="32"/>
      <c r="C518" s="53">
        <f>_xlfn.XLOOKUP(B518,Input!J:J,Input!F:F)</f>
        <v>0</v>
      </c>
      <c r="D518" s="32">
        <f>_xlfn.XLOOKUP(C518,Models!H:H,Models!G:G,C518)</f>
        <v>0</v>
      </c>
      <c r="E518" s="32"/>
      <c r="F518" s="32" t="str">
        <f>_xlfn.XLOOKUP(H518,Models!B:B,Models!F:F,"")</f>
        <v/>
      </c>
      <c r="G518" s="32">
        <f>_xlfn.XLOOKUP(B518,Input!J:J,Input!E:E)</f>
        <v>0</v>
      </c>
      <c r="H518" s="32">
        <f>IF(G518="LENOVO",_xlfn.XLOOKUP(B518,Input!J:J,Input!K:K),_xlfn.XLOOKUP(B518,Input!J:J,Input!L:L))</f>
        <v>0</v>
      </c>
      <c r="I518" s="32"/>
      <c r="J518" s="32"/>
      <c r="K518" s="32"/>
      <c r="L518" s="53"/>
      <c r="M518" s="53"/>
      <c r="N518" s="53"/>
      <c r="O518" s="53" t="str" cm="1">
        <f t="array" ref="O518">IFERROR(_xlfn.FILTERXML("&lt;t&gt;&lt;s&gt;" &amp; SUBSTITUTE(M518," / ","&lt;/s&gt;&lt;s&gt;") &amp; "&lt;/s&gt;&lt;/t&gt;","(//s[contains(.,'DDR')])[1]"),"")</f>
        <v/>
      </c>
      <c r="P518" s="32" t="str">
        <f t="shared" si="21"/>
        <v>GB</v>
      </c>
      <c r="Q518" s="32"/>
      <c r="R518" s="32"/>
      <c r="S518" s="53" t="e">
        <f>_xlfn.LET(_xlpm.Result,INDEX(Input!$D$2:$AC$500,
       MATCH(B518, Input!$J$2:$J$500, 0),
       MATCH("Capacity", Input!$D$1:$AC$1, 0)),IF(_xlpm.Result="","",_xlpm.Result))</f>
        <v>#N/A</v>
      </c>
      <c r="T518" s="53"/>
      <c r="U518" s="53"/>
      <c r="V518" s="53" t="str" cm="1">
        <f t="array" ref="V518">IFERROR(_xlfn.IFS(
T518="","",
--T518&lt;55,"Battery Defect",
--T518&lt;=69,"Battery D",
--T518&lt;=80,"Battery C",
--T518&gt;80,""
),"")</f>
        <v/>
      </c>
      <c r="W518" s="53" t="str" cm="1">
        <f t="array" ref="W518">IFERROR(_xlfn.IFS(
U518="","",
--U518&lt;55,"Battery Defect",
--U518&lt;=69,"Battery D",
--U518&lt;=80,"Battery C",
--U518&gt;80,""
),"")</f>
        <v/>
      </c>
      <c r="X518" s="53"/>
      <c r="Y518" s="53"/>
      <c r="Z518" s="53"/>
      <c r="AA518" s="53"/>
      <c r="AB518" s="53"/>
      <c r="AC518" s="53"/>
      <c r="AD518" s="53"/>
      <c r="AE518" s="53"/>
      <c r="AF518" s="32" t="str">
        <f t="shared" si="22"/>
        <v/>
      </c>
      <c r="AG518" s="32"/>
      <c r="AH518" s="32"/>
      <c r="AI518" s="32"/>
      <c r="AJ518" s="32"/>
      <c r="AK518" s="32"/>
      <c r="AL518" s="32"/>
      <c r="AM518" s="32"/>
      <c r="AN518" s="32"/>
    </row>
    <row r="519" spans="1:40">
      <c r="A519" s="32" t="str">
        <f>_xlfn.TEXTJOIN("",TRUE,_xlfn.XLOOKUP(B519,Input!J:J,Input!G:G,"",0,1),_xlfn.XLOOKUP(B519,Input!J:J,Input!H:H,"",0,1))</f>
        <v/>
      </c>
      <c r="B519" s="32"/>
      <c r="C519" s="53">
        <f>_xlfn.XLOOKUP(B519,Input!J:J,Input!F:F)</f>
        <v>0</v>
      </c>
      <c r="D519" s="32">
        <f>_xlfn.XLOOKUP(C519,Models!H:H,Models!G:G,C519)</f>
        <v>0</v>
      </c>
      <c r="E519" s="32"/>
      <c r="F519" s="32" t="str">
        <f>_xlfn.XLOOKUP(H519,Models!B:B,Models!F:F,"")</f>
        <v/>
      </c>
      <c r="G519" s="32">
        <f>_xlfn.XLOOKUP(B519,Input!J:J,Input!E:E)</f>
        <v>0</v>
      </c>
      <c r="H519" s="32">
        <f>IF(G519="LENOVO",_xlfn.XLOOKUP(B519,Input!J:J,Input!K:K),_xlfn.XLOOKUP(B519,Input!J:J,Input!L:L))</f>
        <v>0</v>
      </c>
      <c r="I519" s="32"/>
      <c r="J519" s="32"/>
      <c r="K519" s="32"/>
      <c r="L519" s="53"/>
      <c r="M519" s="53"/>
      <c r="N519" s="53"/>
      <c r="O519" s="53" t="str" cm="1">
        <f t="array" ref="O519">IFERROR(_xlfn.FILTERXML("&lt;t&gt;&lt;s&gt;" &amp; SUBSTITUTE(M519," / ","&lt;/s&gt;&lt;s&gt;") &amp; "&lt;/s&gt;&lt;/t&gt;","(//s[contains(.,'DDR')])[1]"),"")</f>
        <v/>
      </c>
      <c r="P519" s="32" t="str">
        <f t="shared" si="21"/>
        <v>GB</v>
      </c>
      <c r="Q519" s="32"/>
      <c r="R519" s="32"/>
      <c r="S519" s="53" t="e">
        <f>_xlfn.LET(_xlpm.Result,INDEX(Input!$D$2:$AC$500,
       MATCH(B519, Input!$J$2:$J$500, 0),
       MATCH("Capacity", Input!$D$1:$AC$1, 0)),IF(_xlpm.Result="","",_xlpm.Result))</f>
        <v>#N/A</v>
      </c>
      <c r="T519" s="53"/>
      <c r="U519" s="53"/>
      <c r="V519" s="53" t="str" cm="1">
        <f t="array" ref="V519">IFERROR(_xlfn.IFS(
T519="","",
--T519&lt;55,"Battery Defect",
--T519&lt;=69,"Battery D",
--T519&lt;=80,"Battery C",
--T519&gt;80,""
),"")</f>
        <v/>
      </c>
      <c r="W519" s="53" t="str" cm="1">
        <f t="array" ref="W519">IFERROR(_xlfn.IFS(
U519="","",
--U519&lt;55,"Battery Defect",
--U519&lt;=69,"Battery D",
--U519&lt;=80,"Battery C",
--U519&gt;80,""
),"")</f>
        <v/>
      </c>
      <c r="X519" s="53"/>
      <c r="Y519" s="53"/>
      <c r="Z519" s="53"/>
      <c r="AA519" s="53"/>
      <c r="AB519" s="53"/>
      <c r="AC519" s="53"/>
      <c r="AD519" s="53"/>
      <c r="AE519" s="53"/>
      <c r="AF519" s="32" t="str">
        <f t="shared" si="22"/>
        <v/>
      </c>
      <c r="AG519" s="32"/>
      <c r="AH519" s="32"/>
      <c r="AI519" s="32"/>
      <c r="AJ519" s="32"/>
      <c r="AK519" s="32"/>
      <c r="AL519" s="32"/>
      <c r="AM519" s="32"/>
      <c r="AN519" s="32"/>
    </row>
    <row r="520" spans="1:40">
      <c r="A520" s="32" t="str">
        <f>_xlfn.TEXTJOIN("",TRUE,_xlfn.XLOOKUP(B520,Input!J:J,Input!G:G,"",0,1),_xlfn.XLOOKUP(B520,Input!J:J,Input!H:H,"",0,1))</f>
        <v/>
      </c>
      <c r="B520" s="32"/>
      <c r="C520" s="53">
        <f>_xlfn.XLOOKUP(B520,Input!J:J,Input!F:F)</f>
        <v>0</v>
      </c>
      <c r="D520" s="32">
        <f>_xlfn.XLOOKUP(C520,Models!H:H,Models!G:G,C520)</f>
        <v>0</v>
      </c>
      <c r="E520" s="32"/>
      <c r="F520" s="32" t="str">
        <f>_xlfn.XLOOKUP(H520,Models!B:B,Models!F:F,"")</f>
        <v/>
      </c>
      <c r="G520" s="32">
        <f>_xlfn.XLOOKUP(B520,Input!J:J,Input!E:E)</f>
        <v>0</v>
      </c>
      <c r="H520" s="32">
        <f>IF(G520="LENOVO",_xlfn.XLOOKUP(B520,Input!J:J,Input!K:K),_xlfn.XLOOKUP(B520,Input!J:J,Input!L:L))</f>
        <v>0</v>
      </c>
      <c r="I520" s="32"/>
      <c r="J520" s="32"/>
      <c r="K520" s="32"/>
      <c r="L520" s="53"/>
      <c r="M520" s="53"/>
      <c r="N520" s="53"/>
      <c r="O520" s="53" t="str" cm="1">
        <f t="array" ref="O520">IFERROR(_xlfn.FILTERXML("&lt;t&gt;&lt;s&gt;" &amp; SUBSTITUTE(M520," / ","&lt;/s&gt;&lt;s&gt;") &amp; "&lt;/s&gt;&lt;/t&gt;","(//s[contains(.,'DDR')])[1]"),"")</f>
        <v/>
      </c>
      <c r="P520" s="32" t="str">
        <f t="shared" si="21"/>
        <v>GB</v>
      </c>
      <c r="Q520" s="32"/>
      <c r="R520" s="32"/>
      <c r="S520" s="53" t="e">
        <f>_xlfn.LET(_xlpm.Result,INDEX(Input!$D$2:$AC$500,
       MATCH(B520, Input!$J$2:$J$500, 0),
       MATCH("Capacity", Input!$D$1:$AC$1, 0)),IF(_xlpm.Result="","",_xlpm.Result))</f>
        <v>#N/A</v>
      </c>
      <c r="T520" s="53"/>
      <c r="U520" s="53"/>
      <c r="V520" s="53" t="str" cm="1">
        <f t="array" ref="V520">IFERROR(_xlfn.IFS(
T520="","",
--T520&lt;55,"Battery Defect",
--T520&lt;=69,"Battery D",
--T520&lt;=80,"Battery C",
--T520&gt;80,""
),"")</f>
        <v/>
      </c>
      <c r="W520" s="53" t="str" cm="1">
        <f t="array" ref="W520">IFERROR(_xlfn.IFS(
U520="","",
--U520&lt;55,"Battery Defect",
--U520&lt;=69,"Battery D",
--U520&lt;=80,"Battery C",
--U520&gt;80,""
),"")</f>
        <v/>
      </c>
      <c r="X520" s="53"/>
      <c r="Y520" s="53"/>
      <c r="Z520" s="53"/>
      <c r="AA520" s="53"/>
      <c r="AB520" s="53"/>
      <c r="AC520" s="53"/>
      <c r="AD520" s="53"/>
      <c r="AE520" s="53"/>
      <c r="AF520" s="32" t="str">
        <f t="shared" si="22"/>
        <v/>
      </c>
      <c r="AG520" s="32"/>
      <c r="AH520" s="32"/>
      <c r="AI520" s="32"/>
      <c r="AJ520" s="32"/>
      <c r="AK520" s="32"/>
      <c r="AL520" s="32"/>
      <c r="AM520" s="32"/>
      <c r="AN520" s="32"/>
    </row>
    <row r="521" spans="1:40">
      <c r="A521" s="32" t="str">
        <f>_xlfn.TEXTJOIN("",TRUE,_xlfn.XLOOKUP(B521,Input!J:J,Input!G:G,"",0,1),_xlfn.XLOOKUP(B521,Input!J:J,Input!H:H,"",0,1))</f>
        <v/>
      </c>
      <c r="B521" s="32"/>
      <c r="C521" s="53">
        <f>_xlfn.XLOOKUP(B521,Input!J:J,Input!F:F)</f>
        <v>0</v>
      </c>
      <c r="D521" s="32">
        <f>_xlfn.XLOOKUP(C521,Models!H:H,Models!G:G,C521)</f>
        <v>0</v>
      </c>
      <c r="E521" s="32"/>
      <c r="F521" s="32" t="str">
        <f>_xlfn.XLOOKUP(H521,Models!B:B,Models!F:F,"")</f>
        <v/>
      </c>
      <c r="G521" s="32">
        <f>_xlfn.XLOOKUP(B521,Input!J:J,Input!E:E)</f>
        <v>0</v>
      </c>
      <c r="H521" s="32">
        <f>IF(G521="LENOVO",_xlfn.XLOOKUP(B521,Input!J:J,Input!K:K),_xlfn.XLOOKUP(B521,Input!J:J,Input!L:L))</f>
        <v>0</v>
      </c>
      <c r="I521" s="32"/>
      <c r="J521" s="32"/>
      <c r="K521" s="32"/>
      <c r="L521" s="53"/>
      <c r="M521" s="53"/>
      <c r="N521" s="53"/>
      <c r="O521" s="53" t="str" cm="1">
        <f t="array" ref="O521">IFERROR(_xlfn.FILTERXML("&lt;t&gt;&lt;s&gt;" &amp; SUBSTITUTE(M521," / ","&lt;/s&gt;&lt;s&gt;") &amp; "&lt;/s&gt;&lt;/t&gt;","(//s[contains(.,'DDR')])[1]"),"")</f>
        <v/>
      </c>
      <c r="P521" s="32" t="str">
        <f t="shared" si="21"/>
        <v>GB</v>
      </c>
      <c r="Q521" s="32"/>
      <c r="R521" s="32"/>
      <c r="S521" s="53" t="e">
        <f>_xlfn.LET(_xlpm.Result,INDEX(Input!$D$2:$AC$500,
       MATCH(B521, Input!$J$2:$J$500, 0),
       MATCH("Capacity", Input!$D$1:$AC$1, 0)),IF(_xlpm.Result="","",_xlpm.Result))</f>
        <v>#N/A</v>
      </c>
      <c r="T521" s="53"/>
      <c r="U521" s="53"/>
      <c r="V521" s="53" t="str" cm="1">
        <f t="array" ref="V521">IFERROR(_xlfn.IFS(
T521="","",
--T521&lt;55,"Battery Defect",
--T521&lt;=69,"Battery D",
--T521&lt;=80,"Battery C",
--T521&gt;80,""
),"")</f>
        <v/>
      </c>
      <c r="W521" s="53" t="str" cm="1">
        <f t="array" ref="W521">IFERROR(_xlfn.IFS(
U521="","",
--U521&lt;55,"Battery Defect",
--U521&lt;=69,"Battery D",
--U521&lt;=80,"Battery C",
--U521&gt;80,""
),"")</f>
        <v/>
      </c>
      <c r="X521" s="53"/>
      <c r="Y521" s="53"/>
      <c r="Z521" s="53"/>
      <c r="AA521" s="53"/>
      <c r="AB521" s="53"/>
      <c r="AC521" s="53"/>
      <c r="AD521" s="53"/>
      <c r="AE521" s="53"/>
      <c r="AF521" s="32" t="str">
        <f t="shared" si="22"/>
        <v/>
      </c>
      <c r="AG521" s="32"/>
      <c r="AH521" s="32"/>
      <c r="AI521" s="32"/>
      <c r="AJ521" s="32"/>
      <c r="AK521" s="32"/>
      <c r="AL521" s="32"/>
      <c r="AM521" s="32"/>
      <c r="AN521" s="32"/>
    </row>
    <row r="522" spans="1:40">
      <c r="A522" s="32" t="str">
        <f>_xlfn.TEXTJOIN("",TRUE,_xlfn.XLOOKUP(B522,Input!J:J,Input!G:G,"",0,1),_xlfn.XLOOKUP(B522,Input!J:J,Input!H:H,"",0,1))</f>
        <v/>
      </c>
      <c r="B522" s="32"/>
      <c r="C522" s="53">
        <f>_xlfn.XLOOKUP(B522,Input!J:J,Input!F:F)</f>
        <v>0</v>
      </c>
      <c r="D522" s="32">
        <f>_xlfn.XLOOKUP(C522,Models!H:H,Models!G:G,C522)</f>
        <v>0</v>
      </c>
      <c r="E522" s="32"/>
      <c r="F522" s="32" t="str">
        <f>_xlfn.XLOOKUP(H522,Models!B:B,Models!F:F,"")</f>
        <v/>
      </c>
      <c r="G522" s="32">
        <f>_xlfn.XLOOKUP(B522,Input!J:J,Input!E:E)</f>
        <v>0</v>
      </c>
      <c r="H522" s="32">
        <f>IF(G522="LENOVO",_xlfn.XLOOKUP(B522,Input!J:J,Input!K:K),_xlfn.XLOOKUP(B522,Input!J:J,Input!L:L))</f>
        <v>0</v>
      </c>
      <c r="I522" s="32"/>
      <c r="J522" s="32"/>
      <c r="K522" s="32"/>
      <c r="L522" s="53"/>
      <c r="M522" s="53"/>
      <c r="N522" s="53"/>
      <c r="O522" s="53" t="str" cm="1">
        <f t="array" ref="O522">IFERROR(_xlfn.FILTERXML("&lt;t&gt;&lt;s&gt;" &amp; SUBSTITUTE(M522," / ","&lt;/s&gt;&lt;s&gt;") &amp; "&lt;/s&gt;&lt;/t&gt;","(//s[contains(.,'DDR')])[1]"),"")</f>
        <v/>
      </c>
      <c r="P522" s="32" t="str">
        <f t="shared" si="21"/>
        <v>GB</v>
      </c>
      <c r="Q522" s="32"/>
      <c r="R522" s="32"/>
      <c r="S522" s="53" t="e">
        <f>_xlfn.LET(_xlpm.Result,INDEX(Input!$D$2:$AC$500,
       MATCH(B522, Input!$J$2:$J$500, 0),
       MATCH("Capacity", Input!$D$1:$AC$1, 0)),IF(_xlpm.Result="","",_xlpm.Result))</f>
        <v>#N/A</v>
      </c>
      <c r="T522" s="53"/>
      <c r="U522" s="53"/>
      <c r="V522" s="53" t="str" cm="1">
        <f t="array" ref="V522">IFERROR(_xlfn.IFS(
T522="","",
--T522&lt;55,"Battery Defect",
--T522&lt;=69,"Battery D",
--T522&lt;=80,"Battery C",
--T522&gt;80,""
),"")</f>
        <v/>
      </c>
      <c r="W522" s="53" t="str" cm="1">
        <f t="array" ref="W522">IFERROR(_xlfn.IFS(
U522="","",
--U522&lt;55,"Battery Defect",
--U522&lt;=69,"Battery D",
--U522&lt;=80,"Battery C",
--U522&gt;80,""
),"")</f>
        <v/>
      </c>
      <c r="X522" s="53"/>
      <c r="Y522" s="53"/>
      <c r="Z522" s="53"/>
      <c r="AA522" s="53"/>
      <c r="AB522" s="53"/>
      <c r="AC522" s="53"/>
      <c r="AD522" s="53"/>
      <c r="AE522" s="53"/>
      <c r="AF522" s="32" t="str">
        <f t="shared" si="22"/>
        <v/>
      </c>
      <c r="AG522" s="32"/>
      <c r="AH522" s="32"/>
      <c r="AI522" s="32"/>
      <c r="AJ522" s="32"/>
      <c r="AK522" s="32"/>
      <c r="AL522" s="32"/>
      <c r="AM522" s="32"/>
      <c r="AN522" s="32"/>
    </row>
    <row r="523" spans="1:40">
      <c r="A523" s="32" t="str">
        <f>_xlfn.TEXTJOIN("",TRUE,_xlfn.XLOOKUP(B523,Input!J:J,Input!G:G,"",0,1),_xlfn.XLOOKUP(B523,Input!J:J,Input!H:H,"",0,1))</f>
        <v/>
      </c>
      <c r="B523" s="32"/>
      <c r="C523" s="53">
        <f>_xlfn.XLOOKUP(B523,Input!J:J,Input!F:F)</f>
        <v>0</v>
      </c>
      <c r="D523" s="32">
        <f>_xlfn.XLOOKUP(C523,Models!H:H,Models!G:G,C523)</f>
        <v>0</v>
      </c>
      <c r="E523" s="32"/>
      <c r="F523" s="32" t="str">
        <f>_xlfn.XLOOKUP(H523,Models!B:B,Models!F:F,"")</f>
        <v/>
      </c>
      <c r="G523" s="32">
        <f>_xlfn.XLOOKUP(B523,Input!J:J,Input!E:E)</f>
        <v>0</v>
      </c>
      <c r="H523" s="32">
        <f>IF(G523="LENOVO",_xlfn.XLOOKUP(B523,Input!J:J,Input!K:K),_xlfn.XLOOKUP(B523,Input!J:J,Input!L:L))</f>
        <v>0</v>
      </c>
      <c r="I523" s="32"/>
      <c r="J523" s="32"/>
      <c r="K523" s="32"/>
      <c r="L523" s="53"/>
      <c r="M523" s="53"/>
      <c r="N523" s="53"/>
      <c r="O523" s="53" t="str" cm="1">
        <f t="array" ref="O523">IFERROR(_xlfn.FILTERXML("&lt;t&gt;&lt;s&gt;" &amp; SUBSTITUTE(M523," / ","&lt;/s&gt;&lt;s&gt;") &amp; "&lt;/s&gt;&lt;/t&gt;","(//s[contains(.,'DDR')])[1]"),"")</f>
        <v/>
      </c>
      <c r="P523" s="32" t="str">
        <f t="shared" si="21"/>
        <v>GB</v>
      </c>
      <c r="Q523" s="32"/>
      <c r="R523" s="32"/>
      <c r="S523" s="53" t="e">
        <f>_xlfn.LET(_xlpm.Result,INDEX(Input!$D$2:$AC$500,
       MATCH(B523, Input!$J$2:$J$500, 0),
       MATCH("Capacity", Input!$D$1:$AC$1, 0)),IF(_xlpm.Result="","",_xlpm.Result))</f>
        <v>#N/A</v>
      </c>
      <c r="T523" s="53"/>
      <c r="U523" s="53"/>
      <c r="V523" s="53" t="str" cm="1">
        <f t="array" ref="V523">IFERROR(_xlfn.IFS(
T523="","",
--T523&lt;55,"Battery Defect",
--T523&lt;=69,"Battery D",
--T523&lt;=80,"Battery C",
--T523&gt;80,""
),"")</f>
        <v/>
      </c>
      <c r="W523" s="53" t="str" cm="1">
        <f t="array" ref="W523">IFERROR(_xlfn.IFS(
U523="","",
--U523&lt;55,"Battery Defect",
--U523&lt;=69,"Battery D",
--U523&lt;=80,"Battery C",
--U523&gt;80,""
),"")</f>
        <v/>
      </c>
      <c r="X523" s="53"/>
      <c r="Y523" s="53"/>
      <c r="Z523" s="53"/>
      <c r="AA523" s="53"/>
      <c r="AB523" s="53"/>
      <c r="AC523" s="53"/>
      <c r="AD523" s="53"/>
      <c r="AE523" s="53"/>
      <c r="AF523" s="32" t="str">
        <f t="shared" si="22"/>
        <v/>
      </c>
      <c r="AG523" s="32"/>
      <c r="AH523" s="32"/>
      <c r="AI523" s="32"/>
      <c r="AJ523" s="32"/>
      <c r="AK523" s="32"/>
      <c r="AL523" s="32"/>
      <c r="AM523" s="32"/>
      <c r="AN523" s="32"/>
    </row>
    <row r="524" spans="1:40">
      <c r="A524" s="32" t="str">
        <f>_xlfn.TEXTJOIN("",TRUE,_xlfn.XLOOKUP(B524,Input!J:J,Input!G:G,"",0,1),_xlfn.XLOOKUP(B524,Input!J:J,Input!H:H,"",0,1))</f>
        <v/>
      </c>
      <c r="B524" s="32"/>
      <c r="C524" s="53">
        <f>_xlfn.XLOOKUP(B524,Input!J:J,Input!F:F)</f>
        <v>0</v>
      </c>
      <c r="D524" s="32">
        <f>_xlfn.XLOOKUP(C524,Models!H:H,Models!G:G,C524)</f>
        <v>0</v>
      </c>
      <c r="E524" s="32"/>
      <c r="F524" s="32" t="str">
        <f>_xlfn.XLOOKUP(H524,Models!B:B,Models!F:F,"")</f>
        <v/>
      </c>
      <c r="G524" s="32">
        <f>_xlfn.XLOOKUP(B524,Input!J:J,Input!E:E)</f>
        <v>0</v>
      </c>
      <c r="H524" s="32">
        <f>IF(G524="LENOVO",_xlfn.XLOOKUP(B524,Input!J:J,Input!K:K),_xlfn.XLOOKUP(B524,Input!J:J,Input!L:L))</f>
        <v>0</v>
      </c>
      <c r="I524" s="32"/>
      <c r="J524" s="32"/>
      <c r="K524" s="32"/>
      <c r="L524" s="53"/>
      <c r="M524" s="53"/>
      <c r="N524" s="53"/>
      <c r="O524" s="53" t="str" cm="1">
        <f t="array" ref="O524">IFERROR(_xlfn.FILTERXML("&lt;t&gt;&lt;s&gt;" &amp; SUBSTITUTE(M524," / ","&lt;/s&gt;&lt;s&gt;") &amp; "&lt;/s&gt;&lt;/t&gt;","(//s[contains(.,'DDR')])[1]"),"")</f>
        <v/>
      </c>
      <c r="P524" s="32" t="str">
        <f t="shared" si="21"/>
        <v>GB</v>
      </c>
      <c r="Q524" s="32"/>
      <c r="R524" s="32"/>
      <c r="S524" s="53" t="e">
        <f>_xlfn.LET(_xlpm.Result,INDEX(Input!$D$2:$AC$500,
       MATCH(B524, Input!$J$2:$J$500, 0),
       MATCH("Capacity", Input!$D$1:$AC$1, 0)),IF(_xlpm.Result="","",_xlpm.Result))</f>
        <v>#N/A</v>
      </c>
      <c r="T524" s="53"/>
      <c r="U524" s="53"/>
      <c r="V524" s="53" t="str" cm="1">
        <f t="array" ref="V524">IFERROR(_xlfn.IFS(
T524="","",
--T524&lt;55,"Battery Defect",
--T524&lt;=69,"Battery D",
--T524&lt;=80,"Battery C",
--T524&gt;80,""
),"")</f>
        <v/>
      </c>
      <c r="W524" s="53" t="str" cm="1">
        <f t="array" ref="W524">IFERROR(_xlfn.IFS(
U524="","",
--U524&lt;55,"Battery Defect",
--U524&lt;=69,"Battery D",
--U524&lt;=80,"Battery C",
--U524&gt;80,""
),"")</f>
        <v/>
      </c>
      <c r="X524" s="53"/>
      <c r="Y524" s="53"/>
      <c r="Z524" s="53"/>
      <c r="AA524" s="53"/>
      <c r="AB524" s="53"/>
      <c r="AC524" s="53"/>
      <c r="AD524" s="53"/>
      <c r="AE524" s="53"/>
      <c r="AF524" s="32" t="str">
        <f t="shared" si="22"/>
        <v/>
      </c>
      <c r="AG524" s="32"/>
      <c r="AH524" s="32"/>
      <c r="AI524" s="32"/>
      <c r="AJ524" s="32"/>
      <c r="AK524" s="32"/>
      <c r="AL524" s="32"/>
      <c r="AM524" s="32"/>
      <c r="AN524" s="32"/>
    </row>
    <row r="525" spans="1:40">
      <c r="A525" s="32" t="str">
        <f>_xlfn.TEXTJOIN("",TRUE,_xlfn.XLOOKUP(B525,Input!J:J,Input!G:G,"",0,1),_xlfn.XLOOKUP(B525,Input!J:J,Input!H:H,"",0,1))</f>
        <v/>
      </c>
      <c r="B525" s="32"/>
      <c r="C525" s="53">
        <f>_xlfn.XLOOKUP(B525,Input!J:J,Input!F:F)</f>
        <v>0</v>
      </c>
      <c r="D525" s="32">
        <f>_xlfn.XLOOKUP(C525,Models!H:H,Models!G:G,C525)</f>
        <v>0</v>
      </c>
      <c r="E525" s="32"/>
      <c r="F525" s="32" t="str">
        <f>_xlfn.XLOOKUP(H525,Models!B:B,Models!F:F,"")</f>
        <v/>
      </c>
      <c r="G525" s="32">
        <f>_xlfn.XLOOKUP(B525,Input!J:J,Input!E:E)</f>
        <v>0</v>
      </c>
      <c r="H525" s="32">
        <f>IF(G525="LENOVO",_xlfn.XLOOKUP(B525,Input!J:J,Input!K:K),_xlfn.XLOOKUP(B525,Input!J:J,Input!L:L))</f>
        <v>0</v>
      </c>
      <c r="I525" s="32"/>
      <c r="J525" s="32"/>
      <c r="K525" s="32"/>
      <c r="L525" s="53"/>
      <c r="M525" s="53"/>
      <c r="N525" s="53"/>
      <c r="O525" s="53" t="str" cm="1">
        <f t="array" ref="O525">IFERROR(_xlfn.FILTERXML("&lt;t&gt;&lt;s&gt;" &amp; SUBSTITUTE(M525," / ","&lt;/s&gt;&lt;s&gt;") &amp; "&lt;/s&gt;&lt;/t&gt;","(//s[contains(.,'DDR')])[1]"),"")</f>
        <v/>
      </c>
      <c r="P525" s="32" t="str">
        <f t="shared" si="21"/>
        <v>GB</v>
      </c>
      <c r="Q525" s="32"/>
      <c r="R525" s="32"/>
      <c r="S525" s="53" t="e">
        <f>_xlfn.LET(_xlpm.Result,INDEX(Input!$D$2:$AC$500,
       MATCH(B525, Input!$J$2:$J$500, 0),
       MATCH("Capacity", Input!$D$1:$AC$1, 0)),IF(_xlpm.Result="","",_xlpm.Result))</f>
        <v>#N/A</v>
      </c>
      <c r="T525" s="53"/>
      <c r="U525" s="53"/>
      <c r="V525" s="53" t="str" cm="1">
        <f t="array" ref="V525">IFERROR(_xlfn.IFS(
T525="","",
--T525&lt;55,"Battery Defect",
--T525&lt;=69,"Battery D",
--T525&lt;=80,"Battery C",
--T525&gt;80,""
),"")</f>
        <v/>
      </c>
      <c r="W525" s="53" t="str" cm="1">
        <f t="array" ref="W525">IFERROR(_xlfn.IFS(
U525="","",
--U525&lt;55,"Battery Defect",
--U525&lt;=69,"Battery D",
--U525&lt;=80,"Battery C",
--U525&gt;80,""
),"")</f>
        <v/>
      </c>
      <c r="X525" s="53"/>
      <c r="Y525" s="53"/>
      <c r="Z525" s="53"/>
      <c r="AA525" s="53"/>
      <c r="AB525" s="53"/>
      <c r="AC525" s="53"/>
      <c r="AD525" s="53"/>
      <c r="AE525" s="53"/>
      <c r="AF525" s="32" t="str">
        <f t="shared" si="22"/>
        <v/>
      </c>
      <c r="AG525" s="32"/>
      <c r="AH525" s="32"/>
      <c r="AI525" s="32"/>
      <c r="AJ525" s="32"/>
      <c r="AK525" s="32"/>
      <c r="AL525" s="32"/>
      <c r="AM525" s="32"/>
      <c r="AN525" s="32"/>
    </row>
    <row r="526" spans="1:40">
      <c r="A526" s="32" t="str">
        <f>_xlfn.TEXTJOIN("",TRUE,_xlfn.XLOOKUP(B526,Input!J:J,Input!G:G,"",0,1),_xlfn.XLOOKUP(B526,Input!J:J,Input!H:H,"",0,1))</f>
        <v/>
      </c>
      <c r="B526" s="32"/>
      <c r="C526" s="53">
        <f>_xlfn.XLOOKUP(B526,Input!J:J,Input!F:F)</f>
        <v>0</v>
      </c>
      <c r="D526" s="32">
        <f>_xlfn.XLOOKUP(C526,Models!H:H,Models!G:G,C526)</f>
        <v>0</v>
      </c>
      <c r="E526" s="32"/>
      <c r="F526" s="32" t="str">
        <f>_xlfn.XLOOKUP(H526,Models!B:B,Models!F:F,"")</f>
        <v/>
      </c>
      <c r="G526" s="32">
        <f>_xlfn.XLOOKUP(B526,Input!J:J,Input!E:E)</f>
        <v>0</v>
      </c>
      <c r="H526" s="32">
        <f>IF(G526="LENOVO",_xlfn.XLOOKUP(B526,Input!J:J,Input!K:K),_xlfn.XLOOKUP(B526,Input!J:J,Input!L:L))</f>
        <v>0</v>
      </c>
      <c r="I526" s="32"/>
      <c r="J526" s="32"/>
      <c r="K526" s="32"/>
      <c r="L526" s="53"/>
      <c r="M526" s="53"/>
      <c r="N526" s="53"/>
      <c r="O526" s="53" t="str" cm="1">
        <f t="array" ref="O526">IFERROR(_xlfn.FILTERXML("&lt;t&gt;&lt;s&gt;" &amp; SUBSTITUTE(M526," / ","&lt;/s&gt;&lt;s&gt;") &amp; "&lt;/s&gt;&lt;/t&gt;","(//s[contains(.,'DDR')])[1]"),"")</f>
        <v/>
      </c>
      <c r="P526" s="32" t="str">
        <f t="shared" si="21"/>
        <v>GB</v>
      </c>
      <c r="Q526" s="32"/>
      <c r="R526" s="32"/>
      <c r="S526" s="53" t="e">
        <f>_xlfn.LET(_xlpm.Result,INDEX(Input!$D$2:$AC$500,
       MATCH(B526, Input!$J$2:$J$500, 0),
       MATCH("Capacity", Input!$D$1:$AC$1, 0)),IF(_xlpm.Result="","",_xlpm.Result))</f>
        <v>#N/A</v>
      </c>
      <c r="T526" s="53"/>
      <c r="U526" s="53"/>
      <c r="V526" s="53" t="str" cm="1">
        <f t="array" ref="V526">IFERROR(_xlfn.IFS(
T526="","",
--T526&lt;55,"Battery Defect",
--T526&lt;=69,"Battery D",
--T526&lt;=80,"Battery C",
--T526&gt;80,""
),"")</f>
        <v/>
      </c>
      <c r="W526" s="53" t="str" cm="1">
        <f t="array" ref="W526">IFERROR(_xlfn.IFS(
U526="","",
--U526&lt;55,"Battery Defect",
--U526&lt;=69,"Battery D",
--U526&lt;=80,"Battery C",
--U526&gt;80,""
),"")</f>
        <v/>
      </c>
      <c r="X526" s="53"/>
      <c r="Y526" s="53"/>
      <c r="Z526" s="53"/>
      <c r="AA526" s="53"/>
      <c r="AB526" s="53"/>
      <c r="AC526" s="53"/>
      <c r="AD526" s="53"/>
      <c r="AE526" s="53"/>
      <c r="AF526" s="32" t="str">
        <f t="shared" si="22"/>
        <v/>
      </c>
      <c r="AG526" s="32"/>
      <c r="AH526" s="32"/>
      <c r="AI526" s="32"/>
      <c r="AJ526" s="32"/>
      <c r="AK526" s="32"/>
      <c r="AL526" s="32"/>
      <c r="AM526" s="32"/>
      <c r="AN526" s="32"/>
    </row>
    <row r="527" spans="1:40">
      <c r="A527" s="32" t="str">
        <f>_xlfn.TEXTJOIN("",TRUE,_xlfn.XLOOKUP(B527,Input!J:J,Input!G:G,"",0,1),_xlfn.XLOOKUP(B527,Input!J:J,Input!H:H,"",0,1))</f>
        <v/>
      </c>
      <c r="B527" s="32"/>
      <c r="C527" s="53">
        <f>_xlfn.XLOOKUP(B527,Input!J:J,Input!F:F)</f>
        <v>0</v>
      </c>
      <c r="D527" s="32">
        <f>_xlfn.XLOOKUP(C527,Models!H:H,Models!G:G,C527)</f>
        <v>0</v>
      </c>
      <c r="E527" s="32"/>
      <c r="F527" s="32" t="str">
        <f>_xlfn.XLOOKUP(H527,Models!B:B,Models!F:F,"")</f>
        <v/>
      </c>
      <c r="G527" s="32">
        <f>_xlfn.XLOOKUP(B527,Input!J:J,Input!E:E)</f>
        <v>0</v>
      </c>
      <c r="H527" s="32">
        <f>IF(G527="LENOVO",_xlfn.XLOOKUP(B527,Input!J:J,Input!K:K),_xlfn.XLOOKUP(B527,Input!J:J,Input!L:L))</f>
        <v>0</v>
      </c>
      <c r="I527" s="32"/>
      <c r="J527" s="32"/>
      <c r="K527" s="32"/>
      <c r="L527" s="53"/>
      <c r="M527" s="53"/>
      <c r="N527" s="53"/>
      <c r="O527" s="53" t="str" cm="1">
        <f t="array" ref="O527">IFERROR(_xlfn.FILTERXML("&lt;t&gt;&lt;s&gt;" &amp; SUBSTITUTE(M527," / ","&lt;/s&gt;&lt;s&gt;") &amp; "&lt;/s&gt;&lt;/t&gt;","(//s[contains(.,'DDR')])[1]"),"")</f>
        <v/>
      </c>
      <c r="P527" s="32" t="str">
        <f t="shared" si="21"/>
        <v>GB</v>
      </c>
      <c r="Q527" s="32"/>
      <c r="R527" s="32"/>
      <c r="S527" s="53" t="e">
        <f>_xlfn.LET(_xlpm.Result,INDEX(Input!$D$2:$AC$500,
       MATCH(B527, Input!$J$2:$J$500, 0),
       MATCH("Capacity", Input!$D$1:$AC$1, 0)),IF(_xlpm.Result="","",_xlpm.Result))</f>
        <v>#N/A</v>
      </c>
      <c r="T527" s="53"/>
      <c r="U527" s="53"/>
      <c r="V527" s="53" t="str" cm="1">
        <f t="array" ref="V527">IFERROR(_xlfn.IFS(
T527="","",
--T527&lt;55,"Battery Defect",
--T527&lt;=69,"Battery D",
--T527&lt;=80,"Battery C",
--T527&gt;80,""
),"")</f>
        <v/>
      </c>
      <c r="W527" s="53" t="str" cm="1">
        <f t="array" ref="W527">IFERROR(_xlfn.IFS(
U527="","",
--U527&lt;55,"Battery Defect",
--U527&lt;=69,"Battery D",
--U527&lt;=80,"Battery C",
--U527&gt;80,""
),"")</f>
        <v/>
      </c>
      <c r="X527" s="53"/>
      <c r="Y527" s="53"/>
      <c r="Z527" s="53"/>
      <c r="AA527" s="53"/>
      <c r="AB527" s="53"/>
      <c r="AC527" s="53"/>
      <c r="AD527" s="53"/>
      <c r="AE527" s="53"/>
      <c r="AF527" s="32" t="str">
        <f t="shared" si="22"/>
        <v/>
      </c>
      <c r="AG527" s="32"/>
      <c r="AH527" s="32"/>
      <c r="AI527" s="32"/>
      <c r="AJ527" s="32"/>
      <c r="AK527" s="32"/>
      <c r="AL527" s="32"/>
      <c r="AM527" s="32"/>
      <c r="AN527" s="32"/>
    </row>
    <row r="528" spans="1:40">
      <c r="A528" s="32" t="str">
        <f>_xlfn.TEXTJOIN("",TRUE,_xlfn.XLOOKUP(B528,Input!J:J,Input!G:G,"",0,1),_xlfn.XLOOKUP(B528,Input!J:J,Input!H:H,"",0,1))</f>
        <v/>
      </c>
      <c r="B528" s="32"/>
      <c r="C528" s="53">
        <f>_xlfn.XLOOKUP(B528,Input!J:J,Input!F:F)</f>
        <v>0</v>
      </c>
      <c r="D528" s="32">
        <f>_xlfn.XLOOKUP(C528,Models!H:H,Models!G:G,C528)</f>
        <v>0</v>
      </c>
      <c r="E528" s="32"/>
      <c r="F528" s="32" t="str">
        <f>_xlfn.XLOOKUP(H528,Models!B:B,Models!F:F,"")</f>
        <v/>
      </c>
      <c r="G528" s="32">
        <f>_xlfn.XLOOKUP(B528,Input!J:J,Input!E:E)</f>
        <v>0</v>
      </c>
      <c r="H528" s="32">
        <f>IF(G528="LENOVO",_xlfn.XLOOKUP(B528,Input!J:J,Input!K:K),_xlfn.XLOOKUP(B528,Input!J:J,Input!L:L))</f>
        <v>0</v>
      </c>
      <c r="I528" s="32"/>
      <c r="J528" s="32"/>
      <c r="K528" s="32"/>
      <c r="L528" s="53"/>
      <c r="M528" s="53"/>
      <c r="N528" s="53"/>
      <c r="O528" s="53" t="str" cm="1">
        <f t="array" ref="O528">IFERROR(_xlfn.FILTERXML("&lt;t&gt;&lt;s&gt;" &amp; SUBSTITUTE(M528," / ","&lt;/s&gt;&lt;s&gt;") &amp; "&lt;/s&gt;&lt;/t&gt;","(//s[contains(.,'DDR')])[1]"),"")</f>
        <v/>
      </c>
      <c r="P528" s="32" t="str">
        <f t="shared" si="21"/>
        <v>GB</v>
      </c>
      <c r="Q528" s="32"/>
      <c r="R528" s="32"/>
      <c r="S528" s="53" t="e">
        <f>_xlfn.LET(_xlpm.Result,INDEX(Input!$D$2:$AC$500,
       MATCH(B528, Input!$J$2:$J$500, 0),
       MATCH("Capacity", Input!$D$1:$AC$1, 0)),IF(_xlpm.Result="","",_xlpm.Result))</f>
        <v>#N/A</v>
      </c>
      <c r="T528" s="53"/>
      <c r="U528" s="53"/>
      <c r="V528" s="53" t="str" cm="1">
        <f t="array" ref="V528">IFERROR(_xlfn.IFS(
T528="","",
--T528&lt;55,"Battery Defect",
--T528&lt;=69,"Battery D",
--T528&lt;=80,"Battery C",
--T528&gt;80,""
),"")</f>
        <v/>
      </c>
      <c r="W528" s="53" t="str" cm="1">
        <f t="array" ref="W528">IFERROR(_xlfn.IFS(
U528="","",
--U528&lt;55,"Battery Defect",
--U528&lt;=69,"Battery D",
--U528&lt;=80,"Battery C",
--U528&gt;80,""
),"")</f>
        <v/>
      </c>
      <c r="X528" s="53"/>
      <c r="Y528" s="53"/>
      <c r="Z528" s="53"/>
      <c r="AA528" s="53"/>
      <c r="AB528" s="53"/>
      <c r="AC528" s="53"/>
      <c r="AD528" s="53"/>
      <c r="AE528" s="53"/>
      <c r="AF528" s="32" t="str">
        <f t="shared" si="22"/>
        <v/>
      </c>
      <c r="AG528" s="32"/>
      <c r="AH528" s="32"/>
      <c r="AI528" s="32"/>
      <c r="AJ528" s="32"/>
      <c r="AK528" s="32"/>
      <c r="AL528" s="32"/>
      <c r="AM528" s="32"/>
      <c r="AN528" s="32"/>
    </row>
    <row r="529" spans="1:40">
      <c r="A529" s="32" t="str">
        <f>_xlfn.TEXTJOIN("",TRUE,_xlfn.XLOOKUP(B529,Input!J:J,Input!G:G,"",0,1),_xlfn.XLOOKUP(B529,Input!J:J,Input!H:H,"",0,1))</f>
        <v/>
      </c>
      <c r="B529" s="32"/>
      <c r="C529" s="53">
        <f>_xlfn.XLOOKUP(B529,Input!J:J,Input!F:F)</f>
        <v>0</v>
      </c>
      <c r="D529" s="32">
        <f>_xlfn.XLOOKUP(C529,Models!H:H,Models!G:G,C529)</f>
        <v>0</v>
      </c>
      <c r="E529" s="32"/>
      <c r="F529" s="32" t="str">
        <f>_xlfn.XLOOKUP(H529,Models!B:B,Models!F:F,"")</f>
        <v/>
      </c>
      <c r="G529" s="32">
        <f>_xlfn.XLOOKUP(B529,Input!J:J,Input!E:E)</f>
        <v>0</v>
      </c>
      <c r="H529" s="32">
        <f>IF(G529="LENOVO",_xlfn.XLOOKUP(B529,Input!J:J,Input!K:K),_xlfn.XLOOKUP(B529,Input!J:J,Input!L:L))</f>
        <v>0</v>
      </c>
      <c r="I529" s="32"/>
      <c r="J529" s="32"/>
      <c r="K529" s="32"/>
      <c r="L529" s="53"/>
      <c r="M529" s="53"/>
      <c r="N529" s="53"/>
      <c r="O529" s="53" t="str" cm="1">
        <f t="array" ref="O529">IFERROR(_xlfn.FILTERXML("&lt;t&gt;&lt;s&gt;" &amp; SUBSTITUTE(M529," / ","&lt;/s&gt;&lt;s&gt;") &amp; "&lt;/s&gt;&lt;/t&gt;","(//s[contains(.,'DDR')])[1]"),"")</f>
        <v/>
      </c>
      <c r="P529" s="32" t="str">
        <f t="shared" si="21"/>
        <v>GB</v>
      </c>
      <c r="Q529" s="32"/>
      <c r="R529" s="32"/>
      <c r="S529" s="53" t="e">
        <f>_xlfn.LET(_xlpm.Result,INDEX(Input!$D$2:$AC$500,
       MATCH(B529, Input!$J$2:$J$500, 0),
       MATCH("Capacity", Input!$D$1:$AC$1, 0)),IF(_xlpm.Result="","",_xlpm.Result))</f>
        <v>#N/A</v>
      </c>
      <c r="T529" s="53"/>
      <c r="U529" s="53"/>
      <c r="V529" s="53" t="str" cm="1">
        <f t="array" ref="V529">IFERROR(_xlfn.IFS(
T529="","",
--T529&lt;55,"Battery Defect",
--T529&lt;=69,"Battery D",
--T529&lt;=80,"Battery C",
--T529&gt;80,""
),"")</f>
        <v/>
      </c>
      <c r="W529" s="53" t="str" cm="1">
        <f t="array" ref="W529">IFERROR(_xlfn.IFS(
U529="","",
--U529&lt;55,"Battery Defect",
--U529&lt;=69,"Battery D",
--U529&lt;=80,"Battery C",
--U529&gt;80,""
),"")</f>
        <v/>
      </c>
      <c r="X529" s="53"/>
      <c r="Y529" s="53"/>
      <c r="Z529" s="53"/>
      <c r="AA529" s="53"/>
      <c r="AB529" s="53"/>
      <c r="AC529" s="53"/>
      <c r="AD529" s="53"/>
      <c r="AE529" s="53"/>
      <c r="AF529" s="32" t="str">
        <f t="shared" si="22"/>
        <v/>
      </c>
      <c r="AG529" s="32"/>
      <c r="AH529" s="32"/>
      <c r="AI529" s="32"/>
      <c r="AJ529" s="32"/>
      <c r="AK529" s="32"/>
      <c r="AL529" s="32"/>
      <c r="AM529" s="32"/>
      <c r="AN529" s="32"/>
    </row>
    <row r="530" spans="1:40">
      <c r="A530" s="32" t="str">
        <f>_xlfn.TEXTJOIN("",TRUE,_xlfn.XLOOKUP(B530,Input!J:J,Input!G:G,"",0,1),_xlfn.XLOOKUP(B530,Input!J:J,Input!H:H,"",0,1))</f>
        <v/>
      </c>
      <c r="B530" s="32"/>
      <c r="C530" s="53">
        <f>_xlfn.XLOOKUP(B530,Input!J:J,Input!F:F)</f>
        <v>0</v>
      </c>
      <c r="D530" s="32">
        <f>_xlfn.XLOOKUP(C530,Models!H:H,Models!G:G,C530)</f>
        <v>0</v>
      </c>
      <c r="E530" s="32"/>
      <c r="F530" s="32" t="str">
        <f>_xlfn.XLOOKUP(H530,Models!B:B,Models!F:F,"")</f>
        <v/>
      </c>
      <c r="G530" s="32">
        <f>_xlfn.XLOOKUP(B530,Input!J:J,Input!E:E)</f>
        <v>0</v>
      </c>
      <c r="H530" s="32">
        <f>IF(G530="LENOVO",_xlfn.XLOOKUP(B530,Input!J:J,Input!K:K),_xlfn.XLOOKUP(B530,Input!J:J,Input!L:L))</f>
        <v>0</v>
      </c>
      <c r="I530" s="32"/>
      <c r="J530" s="32"/>
      <c r="K530" s="32"/>
      <c r="L530" s="53"/>
      <c r="M530" s="53"/>
      <c r="N530" s="53"/>
      <c r="O530" s="53" t="str" cm="1">
        <f t="array" ref="O530">IFERROR(_xlfn.FILTERXML("&lt;t&gt;&lt;s&gt;" &amp; SUBSTITUTE(M530," / ","&lt;/s&gt;&lt;s&gt;") &amp; "&lt;/s&gt;&lt;/t&gt;","(//s[contains(.,'DDR')])[1]"),"")</f>
        <v/>
      </c>
      <c r="P530" s="32" t="str">
        <f t="shared" si="21"/>
        <v>GB</v>
      </c>
      <c r="Q530" s="32"/>
      <c r="R530" s="32"/>
      <c r="S530" s="53" t="e">
        <f>_xlfn.LET(_xlpm.Result,INDEX(Input!$D$2:$AC$500,
       MATCH(B530, Input!$J$2:$J$500, 0),
       MATCH("Capacity", Input!$D$1:$AC$1, 0)),IF(_xlpm.Result="","",_xlpm.Result))</f>
        <v>#N/A</v>
      </c>
      <c r="T530" s="53"/>
      <c r="U530" s="53"/>
      <c r="V530" s="53" t="str" cm="1">
        <f t="array" ref="V530">IFERROR(_xlfn.IFS(
T530="","",
--T530&lt;55,"Battery Defect",
--T530&lt;=69,"Battery D",
--T530&lt;=80,"Battery C",
--T530&gt;80,""
),"")</f>
        <v/>
      </c>
      <c r="W530" s="53" t="str" cm="1">
        <f t="array" ref="W530">IFERROR(_xlfn.IFS(
U530="","",
--U530&lt;55,"Battery Defect",
--U530&lt;=69,"Battery D",
--U530&lt;=80,"Battery C",
--U530&gt;80,""
),"")</f>
        <v/>
      </c>
      <c r="X530" s="53"/>
      <c r="Y530" s="53"/>
      <c r="Z530" s="53"/>
      <c r="AA530" s="53"/>
      <c r="AB530" s="53"/>
      <c r="AC530" s="53"/>
      <c r="AD530" s="53"/>
      <c r="AE530" s="53"/>
      <c r="AF530" s="32" t="str">
        <f t="shared" si="22"/>
        <v/>
      </c>
      <c r="AG530" s="32"/>
      <c r="AH530" s="32"/>
      <c r="AI530" s="32"/>
      <c r="AJ530" s="32"/>
      <c r="AK530" s="32"/>
      <c r="AL530" s="32"/>
      <c r="AM530" s="32"/>
      <c r="AN530" s="32"/>
    </row>
    <row r="531" spans="1:40">
      <c r="A531" s="32" t="str">
        <f>_xlfn.TEXTJOIN("",TRUE,_xlfn.XLOOKUP(B531,Input!J:J,Input!G:G,"",0,1),_xlfn.XLOOKUP(B531,Input!J:J,Input!H:H,"",0,1))</f>
        <v/>
      </c>
      <c r="B531" s="32"/>
      <c r="C531" s="53">
        <f>_xlfn.XLOOKUP(B531,Input!J:J,Input!F:F)</f>
        <v>0</v>
      </c>
      <c r="D531" s="32">
        <f>_xlfn.XLOOKUP(C531,Models!H:H,Models!G:G,C531)</f>
        <v>0</v>
      </c>
      <c r="E531" s="32"/>
      <c r="F531" s="32" t="str">
        <f>_xlfn.XLOOKUP(H531,Models!B:B,Models!F:F,"")</f>
        <v/>
      </c>
      <c r="G531" s="32">
        <f>_xlfn.XLOOKUP(B531,Input!J:J,Input!E:E)</f>
        <v>0</v>
      </c>
      <c r="H531" s="32">
        <f>IF(G531="LENOVO",_xlfn.XLOOKUP(B531,Input!J:J,Input!K:K),_xlfn.XLOOKUP(B531,Input!J:J,Input!L:L))</f>
        <v>0</v>
      </c>
      <c r="I531" s="32"/>
      <c r="J531" s="32"/>
      <c r="K531" s="32"/>
      <c r="L531" s="53"/>
      <c r="M531" s="53"/>
      <c r="N531" s="53"/>
      <c r="O531" s="53" t="str" cm="1">
        <f t="array" ref="O531">IFERROR(_xlfn.FILTERXML("&lt;t&gt;&lt;s&gt;" &amp; SUBSTITUTE(M531," / ","&lt;/s&gt;&lt;s&gt;") &amp; "&lt;/s&gt;&lt;/t&gt;","(//s[contains(.,'DDR')])[1]"),"")</f>
        <v/>
      </c>
      <c r="P531" s="32" t="str">
        <f t="shared" si="21"/>
        <v>GB</v>
      </c>
      <c r="Q531" s="32"/>
      <c r="R531" s="32"/>
      <c r="S531" s="53" t="e">
        <f>_xlfn.LET(_xlpm.Result,INDEX(Input!$D$2:$AC$500,
       MATCH(B531, Input!$J$2:$J$500, 0),
       MATCH("Capacity", Input!$D$1:$AC$1, 0)),IF(_xlpm.Result="","",_xlpm.Result))</f>
        <v>#N/A</v>
      </c>
      <c r="T531" s="53"/>
      <c r="U531" s="53"/>
      <c r="V531" s="53" t="str" cm="1">
        <f t="array" ref="V531">IFERROR(_xlfn.IFS(
T531="","",
--T531&lt;55,"Battery Defect",
--T531&lt;=69,"Battery D",
--T531&lt;=80,"Battery C",
--T531&gt;80,""
),"")</f>
        <v/>
      </c>
      <c r="W531" s="53" t="str" cm="1">
        <f t="array" ref="W531">IFERROR(_xlfn.IFS(
U531="","",
--U531&lt;55,"Battery Defect",
--U531&lt;=69,"Battery D",
--U531&lt;=80,"Battery C",
--U531&gt;80,""
),"")</f>
        <v/>
      </c>
      <c r="X531" s="53"/>
      <c r="Y531" s="53"/>
      <c r="Z531" s="53"/>
      <c r="AA531" s="53"/>
      <c r="AB531" s="53"/>
      <c r="AC531" s="53"/>
      <c r="AD531" s="53"/>
      <c r="AE531" s="53"/>
      <c r="AF531" s="32" t="str">
        <f t="shared" si="22"/>
        <v/>
      </c>
      <c r="AG531" s="32"/>
      <c r="AH531" s="32"/>
      <c r="AI531" s="32"/>
      <c r="AJ531" s="32"/>
      <c r="AK531" s="32"/>
      <c r="AL531" s="32"/>
      <c r="AM531" s="32"/>
      <c r="AN531" s="32"/>
    </row>
    <row r="532" spans="1:40">
      <c r="A532" s="32" t="str">
        <f>_xlfn.TEXTJOIN("",TRUE,_xlfn.XLOOKUP(B532,Input!J:J,Input!G:G,"",0,1),_xlfn.XLOOKUP(B532,Input!J:J,Input!H:H,"",0,1))</f>
        <v/>
      </c>
      <c r="B532" s="32"/>
      <c r="C532" s="53">
        <f>_xlfn.XLOOKUP(B532,Input!J:J,Input!F:F)</f>
        <v>0</v>
      </c>
      <c r="D532" s="32">
        <f>_xlfn.XLOOKUP(C532,Models!H:H,Models!G:G,C532)</f>
        <v>0</v>
      </c>
      <c r="E532" s="32"/>
      <c r="F532" s="32" t="str">
        <f>_xlfn.XLOOKUP(H532,Models!B:B,Models!F:F,"")</f>
        <v/>
      </c>
      <c r="G532" s="32">
        <f>_xlfn.XLOOKUP(B532,Input!J:J,Input!E:E)</f>
        <v>0</v>
      </c>
      <c r="H532" s="32">
        <f>IF(G532="LENOVO",_xlfn.XLOOKUP(B532,Input!J:J,Input!K:K),_xlfn.XLOOKUP(B532,Input!J:J,Input!L:L))</f>
        <v>0</v>
      </c>
      <c r="I532" s="32"/>
      <c r="J532" s="32"/>
      <c r="K532" s="32"/>
      <c r="L532" s="53"/>
      <c r="M532" s="53"/>
      <c r="N532" s="53"/>
      <c r="O532" s="53" t="str" cm="1">
        <f t="array" ref="O532">IFERROR(_xlfn.FILTERXML("&lt;t&gt;&lt;s&gt;" &amp; SUBSTITUTE(M532," / ","&lt;/s&gt;&lt;s&gt;") &amp; "&lt;/s&gt;&lt;/t&gt;","(//s[contains(.,'DDR')])[1]"),"")</f>
        <v/>
      </c>
      <c r="P532" s="32" t="str">
        <f t="shared" si="21"/>
        <v>GB</v>
      </c>
      <c r="Q532" s="32"/>
      <c r="R532" s="32"/>
      <c r="S532" s="53" t="e">
        <f>_xlfn.LET(_xlpm.Result,INDEX(Input!$D$2:$AC$500,
       MATCH(B532, Input!$J$2:$J$500, 0),
       MATCH("Capacity", Input!$D$1:$AC$1, 0)),IF(_xlpm.Result="","",_xlpm.Result))</f>
        <v>#N/A</v>
      </c>
      <c r="T532" s="53"/>
      <c r="U532" s="53"/>
      <c r="V532" s="53" t="str" cm="1">
        <f t="array" ref="V532">IFERROR(_xlfn.IFS(
T532="","",
--T532&lt;55,"Battery Defect",
--T532&lt;=69,"Battery D",
--T532&lt;=80,"Battery C",
--T532&gt;80,""
),"")</f>
        <v/>
      </c>
      <c r="W532" s="53" t="str" cm="1">
        <f t="array" ref="W532">IFERROR(_xlfn.IFS(
U532="","",
--U532&lt;55,"Battery Defect",
--U532&lt;=69,"Battery D",
--U532&lt;=80,"Battery C",
--U532&gt;80,""
),"")</f>
        <v/>
      </c>
      <c r="X532" s="53"/>
      <c r="Y532" s="53"/>
      <c r="Z532" s="53"/>
      <c r="AA532" s="53"/>
      <c r="AB532" s="53"/>
      <c r="AC532" s="53"/>
      <c r="AD532" s="53"/>
      <c r="AE532" s="53"/>
      <c r="AF532" s="32" t="str">
        <f t="shared" si="22"/>
        <v/>
      </c>
      <c r="AG532" s="32"/>
      <c r="AH532" s="32"/>
      <c r="AI532" s="32"/>
      <c r="AJ532" s="32"/>
      <c r="AK532" s="32"/>
      <c r="AL532" s="32"/>
      <c r="AM532" s="32"/>
      <c r="AN532" s="32"/>
    </row>
    <row r="533" spans="1:40">
      <c r="A533" s="32" t="str">
        <f>_xlfn.TEXTJOIN("",TRUE,_xlfn.XLOOKUP(B533,Input!J:J,Input!G:G,"",0,1),_xlfn.XLOOKUP(B533,Input!J:J,Input!H:H,"",0,1))</f>
        <v/>
      </c>
      <c r="B533" s="32"/>
      <c r="C533" s="53">
        <f>_xlfn.XLOOKUP(B533,Input!J:J,Input!F:F)</f>
        <v>0</v>
      </c>
      <c r="D533" s="32">
        <f>_xlfn.XLOOKUP(C533,Models!H:H,Models!G:G,C533)</f>
        <v>0</v>
      </c>
      <c r="E533" s="32"/>
      <c r="F533" s="32" t="str">
        <f>_xlfn.XLOOKUP(H533,Models!B:B,Models!F:F,"")</f>
        <v/>
      </c>
      <c r="G533" s="32">
        <f>_xlfn.XLOOKUP(B533,Input!J:J,Input!E:E)</f>
        <v>0</v>
      </c>
      <c r="H533" s="32">
        <f>IF(G533="LENOVO",_xlfn.XLOOKUP(B533,Input!J:J,Input!K:K),_xlfn.XLOOKUP(B533,Input!J:J,Input!L:L))</f>
        <v>0</v>
      </c>
      <c r="I533" s="32"/>
      <c r="J533" s="32"/>
      <c r="K533" s="32"/>
      <c r="L533" s="53"/>
      <c r="M533" s="53"/>
      <c r="N533" s="53"/>
      <c r="O533" s="53" t="str" cm="1">
        <f t="array" ref="O533">IFERROR(_xlfn.FILTERXML("&lt;t&gt;&lt;s&gt;" &amp; SUBSTITUTE(M533," / ","&lt;/s&gt;&lt;s&gt;") &amp; "&lt;/s&gt;&lt;/t&gt;","(//s[contains(.,'DDR')])[1]"),"")</f>
        <v/>
      </c>
      <c r="P533" s="32" t="str">
        <f t="shared" si="21"/>
        <v>GB</v>
      </c>
      <c r="Q533" s="32"/>
      <c r="R533" s="32"/>
      <c r="S533" s="53" t="e">
        <f>_xlfn.LET(_xlpm.Result,INDEX(Input!$D$2:$AC$500,
       MATCH(B533, Input!$J$2:$J$500, 0),
       MATCH("Capacity", Input!$D$1:$AC$1, 0)),IF(_xlpm.Result="","",_xlpm.Result))</f>
        <v>#N/A</v>
      </c>
      <c r="T533" s="53"/>
      <c r="U533" s="53"/>
      <c r="V533" s="53" t="str" cm="1">
        <f t="array" ref="V533">IFERROR(_xlfn.IFS(
T533="","",
--T533&lt;55,"Battery Defect",
--T533&lt;=69,"Battery D",
--T533&lt;=80,"Battery C",
--T533&gt;80,""
),"")</f>
        <v/>
      </c>
      <c r="W533" s="53" t="str" cm="1">
        <f t="array" ref="W533">IFERROR(_xlfn.IFS(
U533="","",
--U533&lt;55,"Battery Defect",
--U533&lt;=69,"Battery D",
--U533&lt;=80,"Battery C",
--U533&gt;80,""
),"")</f>
        <v/>
      </c>
      <c r="X533" s="53"/>
      <c r="Y533" s="53"/>
      <c r="Z533" s="53"/>
      <c r="AA533" s="53"/>
      <c r="AB533" s="53"/>
      <c r="AC533" s="53"/>
      <c r="AD533" s="53"/>
      <c r="AE533" s="53"/>
      <c r="AF533" s="32" t="str">
        <f t="shared" si="22"/>
        <v/>
      </c>
      <c r="AG533" s="32"/>
      <c r="AH533" s="32"/>
      <c r="AI533" s="32"/>
      <c r="AJ533" s="32"/>
      <c r="AK533" s="32"/>
      <c r="AL533" s="32"/>
      <c r="AM533" s="32"/>
      <c r="AN533" s="32"/>
    </row>
    <row r="534" spans="1:40">
      <c r="A534" s="32" t="str">
        <f>_xlfn.TEXTJOIN("",TRUE,_xlfn.XLOOKUP(B534,Input!J:J,Input!G:G,"",0,1),_xlfn.XLOOKUP(B534,Input!J:J,Input!H:H,"",0,1))</f>
        <v/>
      </c>
      <c r="B534" s="32"/>
      <c r="C534" s="53">
        <f>_xlfn.XLOOKUP(B534,Input!J:J,Input!F:F)</f>
        <v>0</v>
      </c>
      <c r="D534" s="32">
        <f>_xlfn.XLOOKUP(C534,Models!H:H,Models!G:G,C534)</f>
        <v>0</v>
      </c>
      <c r="E534" s="32"/>
      <c r="F534" s="32" t="str">
        <f>_xlfn.XLOOKUP(H534,Models!B:B,Models!F:F,"")</f>
        <v/>
      </c>
      <c r="G534" s="32">
        <f>_xlfn.XLOOKUP(B534,Input!J:J,Input!E:E)</f>
        <v>0</v>
      </c>
      <c r="H534" s="32">
        <f>IF(G534="LENOVO",_xlfn.XLOOKUP(B534,Input!J:J,Input!K:K),_xlfn.XLOOKUP(B534,Input!J:J,Input!L:L))</f>
        <v>0</v>
      </c>
      <c r="I534" s="32"/>
      <c r="J534" s="32"/>
      <c r="K534" s="32"/>
      <c r="L534" s="53"/>
      <c r="M534" s="53"/>
      <c r="N534" s="53"/>
      <c r="O534" s="53" t="str" cm="1">
        <f t="array" ref="O534">IFERROR(_xlfn.FILTERXML("&lt;t&gt;&lt;s&gt;" &amp; SUBSTITUTE(M534," / ","&lt;/s&gt;&lt;s&gt;") &amp; "&lt;/s&gt;&lt;/t&gt;","(//s[contains(.,'DDR')])[1]"),"")</f>
        <v/>
      </c>
      <c r="P534" s="32" t="str">
        <f t="shared" si="21"/>
        <v>GB</v>
      </c>
      <c r="Q534" s="32"/>
      <c r="R534" s="32"/>
      <c r="S534" s="53" t="e">
        <f>_xlfn.LET(_xlpm.Result,INDEX(Input!$D$2:$AC$500,
       MATCH(B534, Input!$J$2:$J$500, 0),
       MATCH("Capacity", Input!$D$1:$AC$1, 0)),IF(_xlpm.Result="","",_xlpm.Result))</f>
        <v>#N/A</v>
      </c>
      <c r="T534" s="53"/>
      <c r="U534" s="53"/>
      <c r="V534" s="53" t="str" cm="1">
        <f t="array" ref="V534">IFERROR(_xlfn.IFS(
T534="","",
--T534&lt;55,"Battery Defect",
--T534&lt;=69,"Battery D",
--T534&lt;=80,"Battery C",
--T534&gt;80,""
),"")</f>
        <v/>
      </c>
      <c r="W534" s="53" t="str" cm="1">
        <f t="array" ref="W534">IFERROR(_xlfn.IFS(
U534="","",
--U534&lt;55,"Battery Defect",
--U534&lt;=69,"Battery D",
--U534&lt;=80,"Battery C",
--U534&gt;80,""
),"")</f>
        <v/>
      </c>
      <c r="X534" s="53"/>
      <c r="Y534" s="53"/>
      <c r="Z534" s="53"/>
      <c r="AA534" s="53"/>
      <c r="AB534" s="53"/>
      <c r="AC534" s="53"/>
      <c r="AD534" s="53"/>
      <c r="AE534" s="53"/>
      <c r="AF534" s="32" t="str">
        <f t="shared" si="22"/>
        <v/>
      </c>
      <c r="AG534" s="32"/>
      <c r="AH534" s="32"/>
      <c r="AI534" s="32"/>
      <c r="AJ534" s="32"/>
      <c r="AK534" s="32"/>
      <c r="AL534" s="32"/>
      <c r="AM534" s="32"/>
      <c r="AN534" s="32"/>
    </row>
    <row r="535" spans="1:40">
      <c r="A535" s="32" t="str">
        <f>_xlfn.TEXTJOIN("",TRUE,_xlfn.XLOOKUP(B535,Input!J:J,Input!G:G,"",0,1),_xlfn.XLOOKUP(B535,Input!J:J,Input!H:H,"",0,1))</f>
        <v/>
      </c>
      <c r="B535" s="32"/>
      <c r="C535" s="53">
        <f>_xlfn.XLOOKUP(B535,Input!J:J,Input!F:F)</f>
        <v>0</v>
      </c>
      <c r="D535" s="32">
        <f>_xlfn.XLOOKUP(C535,Models!H:H,Models!G:G,C535)</f>
        <v>0</v>
      </c>
      <c r="E535" s="32"/>
      <c r="F535" s="32" t="str">
        <f>_xlfn.XLOOKUP(H535,Models!B:B,Models!F:F,"")</f>
        <v/>
      </c>
      <c r="G535" s="32">
        <f>_xlfn.XLOOKUP(B535,Input!J:J,Input!E:E)</f>
        <v>0</v>
      </c>
      <c r="H535" s="32">
        <f>IF(G535="LENOVO",_xlfn.XLOOKUP(B535,Input!J:J,Input!K:K),_xlfn.XLOOKUP(B535,Input!J:J,Input!L:L))</f>
        <v>0</v>
      </c>
      <c r="I535" s="32"/>
      <c r="J535" s="32"/>
      <c r="K535" s="32"/>
      <c r="L535" s="53"/>
      <c r="M535" s="53"/>
      <c r="N535" s="53"/>
      <c r="O535" s="53" t="str" cm="1">
        <f t="array" ref="O535">IFERROR(_xlfn.FILTERXML("&lt;t&gt;&lt;s&gt;" &amp; SUBSTITUTE(M535," / ","&lt;/s&gt;&lt;s&gt;") &amp; "&lt;/s&gt;&lt;/t&gt;","(//s[contains(.,'DDR')])[1]"),"")</f>
        <v/>
      </c>
      <c r="P535" s="32" t="str">
        <f t="shared" si="21"/>
        <v>GB</v>
      </c>
      <c r="Q535" s="32"/>
      <c r="R535" s="32"/>
      <c r="S535" s="53" t="e">
        <f>_xlfn.LET(_xlpm.Result,INDEX(Input!$D$2:$AC$500,
       MATCH(B535, Input!$J$2:$J$500, 0),
       MATCH("Capacity", Input!$D$1:$AC$1, 0)),IF(_xlpm.Result="","",_xlpm.Result))</f>
        <v>#N/A</v>
      </c>
      <c r="T535" s="53"/>
      <c r="U535" s="53"/>
      <c r="V535" s="53" t="str" cm="1">
        <f t="array" ref="V535">IFERROR(_xlfn.IFS(
T535="","",
--T535&lt;55,"Battery Defect",
--T535&lt;=69,"Battery D",
--T535&lt;=80,"Battery C",
--T535&gt;80,""
),"")</f>
        <v/>
      </c>
      <c r="W535" s="53" t="str" cm="1">
        <f t="array" ref="W535">IFERROR(_xlfn.IFS(
U535="","",
--U535&lt;55,"Battery Defect",
--U535&lt;=69,"Battery D",
--U535&lt;=80,"Battery C",
--U535&gt;80,""
),"")</f>
        <v/>
      </c>
      <c r="X535" s="53"/>
      <c r="Y535" s="53"/>
      <c r="Z535" s="53"/>
      <c r="AA535" s="53"/>
      <c r="AB535" s="53"/>
      <c r="AC535" s="53"/>
      <c r="AD535" s="53"/>
      <c r="AE535" s="53"/>
      <c r="AF535" s="32" t="str">
        <f t="shared" si="22"/>
        <v/>
      </c>
      <c r="AG535" s="32"/>
      <c r="AH535" s="32"/>
      <c r="AI535" s="32"/>
      <c r="AJ535" s="32"/>
      <c r="AK535" s="32"/>
      <c r="AL535" s="32"/>
      <c r="AM535" s="32"/>
      <c r="AN535" s="32"/>
    </row>
    <row r="536" spans="1:40">
      <c r="A536" s="32" t="str">
        <f>_xlfn.TEXTJOIN("",TRUE,_xlfn.XLOOKUP(B536,Input!J:J,Input!G:G,"",0,1),_xlfn.XLOOKUP(B536,Input!J:J,Input!H:H,"",0,1))</f>
        <v/>
      </c>
      <c r="B536" s="32"/>
      <c r="C536" s="53">
        <f>_xlfn.XLOOKUP(B536,Input!J:J,Input!F:F)</f>
        <v>0</v>
      </c>
      <c r="D536" s="32">
        <f>_xlfn.XLOOKUP(C536,Models!H:H,Models!G:G,C536)</f>
        <v>0</v>
      </c>
      <c r="E536" s="32"/>
      <c r="F536" s="32" t="str">
        <f>_xlfn.XLOOKUP(H536,Models!B:B,Models!F:F,"")</f>
        <v/>
      </c>
      <c r="G536" s="32">
        <f>_xlfn.XLOOKUP(B536,Input!J:J,Input!E:E)</f>
        <v>0</v>
      </c>
      <c r="H536" s="32">
        <f>IF(G536="LENOVO",_xlfn.XLOOKUP(B536,Input!J:J,Input!K:K),_xlfn.XLOOKUP(B536,Input!J:J,Input!L:L))</f>
        <v>0</v>
      </c>
      <c r="I536" s="32"/>
      <c r="J536" s="32"/>
      <c r="K536" s="32"/>
      <c r="L536" s="53"/>
      <c r="M536" s="53"/>
      <c r="N536" s="53"/>
      <c r="O536" s="53" t="str" cm="1">
        <f t="array" ref="O536">IFERROR(_xlfn.FILTERXML("&lt;t&gt;&lt;s&gt;" &amp; SUBSTITUTE(M536," / ","&lt;/s&gt;&lt;s&gt;") &amp; "&lt;/s&gt;&lt;/t&gt;","(//s[contains(.,'DDR')])[1]"),"")</f>
        <v/>
      </c>
      <c r="P536" s="32" t="str">
        <f t="shared" si="21"/>
        <v>GB</v>
      </c>
      <c r="Q536" s="32"/>
      <c r="R536" s="32"/>
      <c r="S536" s="53" t="e">
        <f>_xlfn.LET(_xlpm.Result,INDEX(Input!$D$2:$AC$500,
       MATCH(B536, Input!$J$2:$J$500, 0),
       MATCH("Capacity", Input!$D$1:$AC$1, 0)),IF(_xlpm.Result="","",_xlpm.Result))</f>
        <v>#N/A</v>
      </c>
      <c r="T536" s="53"/>
      <c r="U536" s="53"/>
      <c r="V536" s="53" t="str" cm="1">
        <f t="array" ref="V536">IFERROR(_xlfn.IFS(
T536="","",
--T536&lt;55,"Battery Defect",
--T536&lt;=69,"Battery D",
--T536&lt;=80,"Battery C",
--T536&gt;80,""
),"")</f>
        <v/>
      </c>
      <c r="W536" s="53" t="str" cm="1">
        <f t="array" ref="W536">IFERROR(_xlfn.IFS(
U536="","",
--U536&lt;55,"Battery Defect",
--U536&lt;=69,"Battery D",
--U536&lt;=80,"Battery C",
--U536&gt;80,""
),"")</f>
        <v/>
      </c>
      <c r="X536" s="53"/>
      <c r="Y536" s="53"/>
      <c r="Z536" s="53"/>
      <c r="AA536" s="53"/>
      <c r="AB536" s="53"/>
      <c r="AC536" s="53"/>
      <c r="AD536" s="53"/>
      <c r="AE536" s="53"/>
      <c r="AF536" s="32" t="str">
        <f t="shared" si="22"/>
        <v/>
      </c>
      <c r="AG536" s="32"/>
      <c r="AH536" s="32"/>
      <c r="AI536" s="32"/>
      <c r="AJ536" s="32"/>
      <c r="AK536" s="32"/>
      <c r="AL536" s="32"/>
      <c r="AM536" s="32"/>
      <c r="AN536" s="32"/>
    </row>
    <row r="537" spans="1:40">
      <c r="A537" s="32" t="str">
        <f>_xlfn.TEXTJOIN("",TRUE,_xlfn.XLOOKUP(B537,Input!J:J,Input!G:G,"",0,1),_xlfn.XLOOKUP(B537,Input!J:J,Input!H:H,"",0,1))</f>
        <v/>
      </c>
      <c r="B537" s="32"/>
      <c r="C537" s="53">
        <f>_xlfn.XLOOKUP(B537,Input!J:J,Input!F:F)</f>
        <v>0</v>
      </c>
      <c r="D537" s="32">
        <f>_xlfn.XLOOKUP(C537,Models!H:H,Models!G:G,C537)</f>
        <v>0</v>
      </c>
      <c r="E537" s="32"/>
      <c r="F537" s="32" t="str">
        <f>_xlfn.XLOOKUP(H537,Models!B:B,Models!F:F,"")</f>
        <v/>
      </c>
      <c r="G537" s="32">
        <f>_xlfn.XLOOKUP(B537,Input!J:J,Input!E:E)</f>
        <v>0</v>
      </c>
      <c r="H537" s="32">
        <f>IF(G537="LENOVO",_xlfn.XLOOKUP(B537,Input!J:J,Input!K:K),_xlfn.XLOOKUP(B537,Input!J:J,Input!L:L))</f>
        <v>0</v>
      </c>
      <c r="I537" s="32"/>
      <c r="J537" s="32"/>
      <c r="K537" s="32"/>
      <c r="L537" s="53"/>
      <c r="M537" s="53"/>
      <c r="N537" s="53"/>
      <c r="O537" s="53" t="str" cm="1">
        <f t="array" ref="O537">IFERROR(_xlfn.FILTERXML("&lt;t&gt;&lt;s&gt;" &amp; SUBSTITUTE(M537," / ","&lt;/s&gt;&lt;s&gt;") &amp; "&lt;/s&gt;&lt;/t&gt;","(//s[contains(.,'DDR')])[1]"),"")</f>
        <v/>
      </c>
      <c r="P537" s="32" t="str">
        <f t="shared" ref="P537:P568" si="23">_xlfn.TEXTJOIN(" ",TRUE,N537,"GB",O537)</f>
        <v>GB</v>
      </c>
      <c r="Q537" s="32"/>
      <c r="R537" s="32"/>
      <c r="S537" s="53" t="e">
        <f>_xlfn.LET(_xlpm.Result,INDEX(Input!$D$2:$AC$500,
       MATCH(B537, Input!$J$2:$J$500, 0),
       MATCH("Capacity", Input!$D$1:$AC$1, 0)),IF(_xlpm.Result="","",_xlpm.Result))</f>
        <v>#N/A</v>
      </c>
      <c r="T537" s="53"/>
      <c r="U537" s="53"/>
      <c r="V537" s="53" t="str" cm="1">
        <f t="array" ref="V537">IFERROR(_xlfn.IFS(
T537="","",
--T537&lt;55,"Battery Defect",
--T537&lt;=69,"Battery D",
--T537&lt;=80,"Battery C",
--T537&gt;80,""
),"")</f>
        <v/>
      </c>
      <c r="W537" s="53" t="str" cm="1">
        <f t="array" ref="W537">IFERROR(_xlfn.IFS(
U537="","",
--U537&lt;55,"Battery Defect",
--U537&lt;=69,"Battery D",
--U537&lt;=80,"Battery C",
--U537&gt;80,""
),"")</f>
        <v/>
      </c>
      <c r="X537" s="53"/>
      <c r="Y537" s="53"/>
      <c r="Z537" s="53"/>
      <c r="AA537" s="53"/>
      <c r="AB537" s="53"/>
      <c r="AC537" s="53"/>
      <c r="AD537" s="53"/>
      <c r="AE537" s="53"/>
      <c r="AF537" s="32" t="str">
        <f t="shared" si="22"/>
        <v/>
      </c>
      <c r="AG537" s="32"/>
      <c r="AH537" s="32"/>
      <c r="AI537" s="32"/>
      <c r="AJ537" s="32"/>
      <c r="AK537" s="32"/>
      <c r="AL537" s="32"/>
      <c r="AM537" s="32"/>
      <c r="AN537" s="32"/>
    </row>
    <row r="538" spans="1:40">
      <c r="A538" s="32" t="str">
        <f>_xlfn.TEXTJOIN("",TRUE,_xlfn.XLOOKUP(B538,Input!J:J,Input!G:G,"",0,1),_xlfn.XLOOKUP(B538,Input!J:J,Input!H:H,"",0,1))</f>
        <v/>
      </c>
      <c r="B538" s="32"/>
      <c r="C538" s="53">
        <f>_xlfn.XLOOKUP(B538,Input!J:J,Input!F:F)</f>
        <v>0</v>
      </c>
      <c r="D538" s="32">
        <f>_xlfn.XLOOKUP(C538,Models!H:H,Models!G:G,C538)</f>
        <v>0</v>
      </c>
      <c r="E538" s="32"/>
      <c r="F538" s="32" t="str">
        <f>_xlfn.XLOOKUP(H538,Models!B:B,Models!F:F,"")</f>
        <v/>
      </c>
      <c r="G538" s="32">
        <f>_xlfn.XLOOKUP(B538,Input!J:J,Input!E:E)</f>
        <v>0</v>
      </c>
      <c r="H538" s="32">
        <f>IF(G538="LENOVO",_xlfn.XLOOKUP(B538,Input!J:J,Input!K:K),_xlfn.XLOOKUP(B538,Input!J:J,Input!L:L))</f>
        <v>0</v>
      </c>
      <c r="I538" s="32"/>
      <c r="J538" s="32"/>
      <c r="K538" s="32"/>
      <c r="L538" s="53"/>
      <c r="M538" s="53"/>
      <c r="N538" s="53"/>
      <c r="O538" s="53" t="str" cm="1">
        <f t="array" ref="O538">IFERROR(_xlfn.FILTERXML("&lt;t&gt;&lt;s&gt;" &amp; SUBSTITUTE(M538," / ","&lt;/s&gt;&lt;s&gt;") &amp; "&lt;/s&gt;&lt;/t&gt;","(//s[contains(.,'DDR')])[1]"),"")</f>
        <v/>
      </c>
      <c r="P538" s="32" t="str">
        <f t="shared" si="23"/>
        <v>GB</v>
      </c>
      <c r="Q538" s="32"/>
      <c r="R538" s="32"/>
      <c r="S538" s="53" t="e">
        <f>_xlfn.LET(_xlpm.Result,INDEX(Input!$D$2:$AC$500,
       MATCH(B538, Input!$J$2:$J$500, 0),
       MATCH("Capacity", Input!$D$1:$AC$1, 0)),IF(_xlpm.Result="","",_xlpm.Result))</f>
        <v>#N/A</v>
      </c>
      <c r="T538" s="53"/>
      <c r="U538" s="53"/>
      <c r="V538" s="53" t="str" cm="1">
        <f t="array" ref="V538">IFERROR(_xlfn.IFS(
T538="","",
--T538&lt;55,"Battery Defect",
--T538&lt;=69,"Battery D",
--T538&lt;=80,"Battery C",
--T538&gt;80,""
),"")</f>
        <v/>
      </c>
      <c r="W538" s="53" t="str" cm="1">
        <f t="array" ref="W538">IFERROR(_xlfn.IFS(
U538="","",
--U538&lt;55,"Battery Defect",
--U538&lt;=69,"Battery D",
--U538&lt;=80,"Battery C",
--U538&gt;80,""
),"")</f>
        <v/>
      </c>
      <c r="X538" s="53"/>
      <c r="Y538" s="53"/>
      <c r="Z538" s="53"/>
      <c r="AA538" s="53"/>
      <c r="AB538" s="53"/>
      <c r="AC538" s="53"/>
      <c r="AD538" s="53"/>
      <c r="AE538" s="53"/>
      <c r="AF538" s="32" t="str">
        <f t="shared" si="22"/>
        <v/>
      </c>
      <c r="AG538" s="32"/>
      <c r="AH538" s="32"/>
      <c r="AI538" s="32"/>
      <c r="AJ538" s="32"/>
      <c r="AK538" s="32"/>
      <c r="AL538" s="32"/>
      <c r="AM538" s="32"/>
      <c r="AN538" s="32"/>
    </row>
    <row r="539" spans="1:40">
      <c r="A539" s="32" t="str">
        <f>_xlfn.TEXTJOIN("",TRUE,_xlfn.XLOOKUP(B539,Input!J:J,Input!G:G,"",0,1),_xlfn.XLOOKUP(B539,Input!J:J,Input!H:H,"",0,1))</f>
        <v/>
      </c>
      <c r="B539" s="32"/>
      <c r="C539" s="53">
        <f>_xlfn.XLOOKUP(B539,Input!J:J,Input!F:F)</f>
        <v>0</v>
      </c>
      <c r="D539" s="32">
        <f>_xlfn.XLOOKUP(C539,Models!H:H,Models!G:G,C539)</f>
        <v>0</v>
      </c>
      <c r="E539" s="32"/>
      <c r="F539" s="32" t="str">
        <f>_xlfn.XLOOKUP(H539,Models!B:B,Models!F:F,"")</f>
        <v/>
      </c>
      <c r="G539" s="32">
        <f>_xlfn.XLOOKUP(B539,Input!J:J,Input!E:E)</f>
        <v>0</v>
      </c>
      <c r="H539" s="32">
        <f>IF(G539="LENOVO",_xlfn.XLOOKUP(B539,Input!J:J,Input!K:K),_xlfn.XLOOKUP(B539,Input!J:J,Input!L:L))</f>
        <v>0</v>
      </c>
      <c r="I539" s="32"/>
      <c r="J539" s="32"/>
      <c r="K539" s="32"/>
      <c r="L539" s="53"/>
      <c r="M539" s="53"/>
      <c r="N539" s="53"/>
      <c r="O539" s="53" t="str" cm="1">
        <f t="array" ref="O539">IFERROR(_xlfn.FILTERXML("&lt;t&gt;&lt;s&gt;" &amp; SUBSTITUTE(M539," / ","&lt;/s&gt;&lt;s&gt;") &amp; "&lt;/s&gt;&lt;/t&gt;","(//s[contains(.,'DDR')])[1]"),"")</f>
        <v/>
      </c>
      <c r="P539" s="32" t="str">
        <f t="shared" si="23"/>
        <v>GB</v>
      </c>
      <c r="Q539" s="32"/>
      <c r="R539" s="32"/>
      <c r="S539" s="53" t="e">
        <f>_xlfn.LET(_xlpm.Result,INDEX(Input!$D$2:$AC$500,
       MATCH(B539, Input!$J$2:$J$500, 0),
       MATCH("Capacity", Input!$D$1:$AC$1, 0)),IF(_xlpm.Result="","",_xlpm.Result))</f>
        <v>#N/A</v>
      </c>
      <c r="T539" s="53"/>
      <c r="U539" s="53"/>
      <c r="V539" s="53" t="str" cm="1">
        <f t="array" ref="V539">IFERROR(_xlfn.IFS(
T539="","",
--T539&lt;55,"Battery Defect",
--T539&lt;=69,"Battery D",
--T539&lt;=80,"Battery C",
--T539&gt;80,""
),"")</f>
        <v/>
      </c>
      <c r="W539" s="53" t="str" cm="1">
        <f t="array" ref="W539">IFERROR(_xlfn.IFS(
U539="","",
--U539&lt;55,"Battery Defect",
--U539&lt;=69,"Battery D",
--U539&lt;=80,"Battery C",
--U539&gt;80,""
),"")</f>
        <v/>
      </c>
      <c r="X539" s="53"/>
      <c r="Y539" s="53"/>
      <c r="Z539" s="53"/>
      <c r="AA539" s="53"/>
      <c r="AB539" s="53"/>
      <c r="AC539" s="53"/>
      <c r="AD539" s="53"/>
      <c r="AE539" s="53"/>
      <c r="AF539" s="32" t="str">
        <f t="shared" si="22"/>
        <v/>
      </c>
      <c r="AG539" s="32"/>
      <c r="AH539" s="32"/>
      <c r="AI539" s="32"/>
      <c r="AJ539" s="32"/>
      <c r="AK539" s="32"/>
      <c r="AL539" s="32"/>
      <c r="AM539" s="32"/>
      <c r="AN539" s="32"/>
    </row>
    <row r="540" spans="1:40">
      <c r="A540" s="32" t="str">
        <f>_xlfn.TEXTJOIN("",TRUE,_xlfn.XLOOKUP(B540,Input!J:J,Input!G:G,"",0,1),_xlfn.XLOOKUP(B540,Input!J:J,Input!H:H,"",0,1))</f>
        <v/>
      </c>
      <c r="B540" s="32"/>
      <c r="C540" s="53">
        <f>_xlfn.XLOOKUP(B540,Input!J:J,Input!F:F)</f>
        <v>0</v>
      </c>
      <c r="D540" s="32">
        <f>_xlfn.XLOOKUP(C540,Models!H:H,Models!G:G,C540)</f>
        <v>0</v>
      </c>
      <c r="E540" s="32"/>
      <c r="F540" s="32" t="str">
        <f>_xlfn.XLOOKUP(H540,Models!B:B,Models!F:F,"")</f>
        <v/>
      </c>
      <c r="G540" s="32">
        <f>_xlfn.XLOOKUP(B540,Input!J:J,Input!E:E)</f>
        <v>0</v>
      </c>
      <c r="H540" s="32">
        <f>IF(G540="LENOVO",_xlfn.XLOOKUP(B540,Input!J:J,Input!K:K),_xlfn.XLOOKUP(B540,Input!J:J,Input!L:L))</f>
        <v>0</v>
      </c>
      <c r="I540" s="32"/>
      <c r="J540" s="32"/>
      <c r="K540" s="32"/>
      <c r="L540" s="53"/>
      <c r="M540" s="53"/>
      <c r="N540" s="53"/>
      <c r="O540" s="53" t="str" cm="1">
        <f t="array" ref="O540">IFERROR(_xlfn.FILTERXML("&lt;t&gt;&lt;s&gt;" &amp; SUBSTITUTE(M540," / ","&lt;/s&gt;&lt;s&gt;") &amp; "&lt;/s&gt;&lt;/t&gt;","(//s[contains(.,'DDR')])[1]"),"")</f>
        <v/>
      </c>
      <c r="P540" s="32" t="str">
        <f t="shared" si="23"/>
        <v>GB</v>
      </c>
      <c r="Q540" s="32"/>
      <c r="R540" s="32"/>
      <c r="S540" s="53" t="e">
        <f>_xlfn.LET(_xlpm.Result,INDEX(Input!$D$2:$AC$500,
       MATCH(B540, Input!$J$2:$J$500, 0),
       MATCH("Capacity", Input!$D$1:$AC$1, 0)),IF(_xlpm.Result="","",_xlpm.Result))</f>
        <v>#N/A</v>
      </c>
      <c r="T540" s="53"/>
      <c r="U540" s="53"/>
      <c r="V540" s="53" t="str" cm="1">
        <f t="array" ref="V540">IFERROR(_xlfn.IFS(
T540="","",
--T540&lt;55,"Battery Defect",
--T540&lt;=69,"Battery D",
--T540&lt;=80,"Battery C",
--T540&gt;80,""
),"")</f>
        <v/>
      </c>
      <c r="W540" s="53" t="str" cm="1">
        <f t="array" ref="W540">IFERROR(_xlfn.IFS(
U540="","",
--U540&lt;55,"Battery Defect",
--U540&lt;=69,"Battery D",
--U540&lt;=80,"Battery C",
--U540&gt;80,""
),"")</f>
        <v/>
      </c>
      <c r="X540" s="53"/>
      <c r="Y540" s="53"/>
      <c r="Z540" s="53"/>
      <c r="AA540" s="53"/>
      <c r="AB540" s="53"/>
      <c r="AC540" s="53"/>
      <c r="AD540" s="53"/>
      <c r="AE540" s="53"/>
      <c r="AF540" s="32" t="str">
        <f t="shared" si="22"/>
        <v/>
      </c>
      <c r="AG540" s="32"/>
      <c r="AH540" s="32"/>
      <c r="AI540" s="32"/>
      <c r="AJ540" s="32"/>
      <c r="AK540" s="32"/>
      <c r="AL540" s="32"/>
      <c r="AM540" s="32"/>
      <c r="AN540" s="32"/>
    </row>
    <row r="541" spans="1:40">
      <c r="A541" s="32" t="str">
        <f>_xlfn.TEXTJOIN("",TRUE,_xlfn.XLOOKUP(B541,Input!J:J,Input!G:G,"",0,1),_xlfn.XLOOKUP(B541,Input!J:J,Input!H:H,"",0,1))</f>
        <v/>
      </c>
      <c r="B541" s="32"/>
      <c r="C541" s="53">
        <f>_xlfn.XLOOKUP(B541,Input!J:J,Input!F:F)</f>
        <v>0</v>
      </c>
      <c r="D541" s="32">
        <f>_xlfn.XLOOKUP(C541,Models!H:H,Models!G:G,C541)</f>
        <v>0</v>
      </c>
      <c r="E541" s="32"/>
      <c r="F541" s="32" t="str">
        <f>_xlfn.XLOOKUP(H541,Models!B:B,Models!F:F,"")</f>
        <v/>
      </c>
      <c r="G541" s="32">
        <f>_xlfn.XLOOKUP(B541,Input!J:J,Input!E:E)</f>
        <v>0</v>
      </c>
      <c r="H541" s="32">
        <f>IF(G541="LENOVO",_xlfn.XLOOKUP(B541,Input!J:J,Input!K:K),_xlfn.XLOOKUP(B541,Input!J:J,Input!L:L))</f>
        <v>0</v>
      </c>
      <c r="I541" s="32"/>
      <c r="J541" s="32"/>
      <c r="K541" s="32"/>
      <c r="L541" s="53"/>
      <c r="M541" s="53"/>
      <c r="N541" s="53"/>
      <c r="O541" s="53" t="str" cm="1">
        <f t="array" ref="O541">IFERROR(_xlfn.FILTERXML("&lt;t&gt;&lt;s&gt;" &amp; SUBSTITUTE(M541," / ","&lt;/s&gt;&lt;s&gt;") &amp; "&lt;/s&gt;&lt;/t&gt;","(//s[contains(.,'DDR')])[1]"),"")</f>
        <v/>
      </c>
      <c r="P541" s="32" t="str">
        <f t="shared" si="23"/>
        <v>GB</v>
      </c>
      <c r="Q541" s="32"/>
      <c r="R541" s="32"/>
      <c r="S541" s="53" t="e">
        <f>_xlfn.LET(_xlpm.Result,INDEX(Input!$D$2:$AC$500,
       MATCH(B541, Input!$J$2:$J$500, 0),
       MATCH("Capacity", Input!$D$1:$AC$1, 0)),IF(_xlpm.Result="","",_xlpm.Result))</f>
        <v>#N/A</v>
      </c>
      <c r="T541" s="53"/>
      <c r="U541" s="53"/>
      <c r="V541" s="53" t="str" cm="1">
        <f t="array" ref="V541">IFERROR(_xlfn.IFS(
T541="","",
--T541&lt;55,"Battery Defect",
--T541&lt;=69,"Battery D",
--T541&lt;=80,"Battery C",
--T541&gt;80,""
),"")</f>
        <v/>
      </c>
      <c r="W541" s="53" t="str" cm="1">
        <f t="array" ref="W541">IFERROR(_xlfn.IFS(
U541="","",
--U541&lt;55,"Battery Defect",
--U541&lt;=69,"Battery D",
--U541&lt;=80,"Battery C",
--U541&gt;80,""
),"")</f>
        <v/>
      </c>
      <c r="X541" s="53"/>
      <c r="Y541" s="53"/>
      <c r="Z541" s="53"/>
      <c r="AA541" s="53"/>
      <c r="AB541" s="53"/>
      <c r="AC541" s="53"/>
      <c r="AD541" s="53"/>
      <c r="AE541" s="53"/>
      <c r="AF541" s="32" t="str">
        <f t="shared" si="22"/>
        <v/>
      </c>
      <c r="AG541" s="32"/>
      <c r="AH541" s="32"/>
      <c r="AI541" s="32"/>
      <c r="AJ541" s="32"/>
      <c r="AK541" s="32"/>
      <c r="AL541" s="32"/>
      <c r="AM541" s="32"/>
      <c r="AN541" s="32"/>
    </row>
    <row r="542" spans="1:40">
      <c r="A542" s="32" t="str">
        <f>_xlfn.TEXTJOIN("",TRUE,_xlfn.XLOOKUP(B542,Input!J:J,Input!G:G,"",0,1),_xlfn.XLOOKUP(B542,Input!J:J,Input!H:H,"",0,1))</f>
        <v/>
      </c>
      <c r="B542" s="32"/>
      <c r="C542" s="53">
        <f>_xlfn.XLOOKUP(B542,Input!J:J,Input!F:F)</f>
        <v>0</v>
      </c>
      <c r="D542" s="32">
        <f>_xlfn.XLOOKUP(C542,Models!H:H,Models!G:G,C542)</f>
        <v>0</v>
      </c>
      <c r="E542" s="32"/>
      <c r="F542" s="32" t="str">
        <f>_xlfn.XLOOKUP(H542,Models!B:B,Models!F:F,"")</f>
        <v/>
      </c>
      <c r="G542" s="32">
        <f>_xlfn.XLOOKUP(B542,Input!J:J,Input!E:E)</f>
        <v>0</v>
      </c>
      <c r="H542" s="32">
        <f>IF(G542="LENOVO",_xlfn.XLOOKUP(B542,Input!J:J,Input!K:K),_xlfn.XLOOKUP(B542,Input!J:J,Input!L:L))</f>
        <v>0</v>
      </c>
      <c r="I542" s="32"/>
      <c r="J542" s="32"/>
      <c r="K542" s="32"/>
      <c r="L542" s="53"/>
      <c r="M542" s="53"/>
      <c r="N542" s="53"/>
      <c r="O542" s="53" t="str" cm="1">
        <f t="array" ref="O542">IFERROR(_xlfn.FILTERXML("&lt;t&gt;&lt;s&gt;" &amp; SUBSTITUTE(M542," / ","&lt;/s&gt;&lt;s&gt;") &amp; "&lt;/s&gt;&lt;/t&gt;","(//s[contains(.,'DDR')])[1]"),"")</f>
        <v/>
      </c>
      <c r="P542" s="32" t="str">
        <f t="shared" si="23"/>
        <v>GB</v>
      </c>
      <c r="Q542" s="32"/>
      <c r="R542" s="32"/>
      <c r="S542" s="53" t="e">
        <f>_xlfn.LET(_xlpm.Result,INDEX(Input!$D$2:$AC$500,
       MATCH(B542, Input!$J$2:$J$500, 0),
       MATCH("Capacity", Input!$D$1:$AC$1, 0)),IF(_xlpm.Result="","",_xlpm.Result))</f>
        <v>#N/A</v>
      </c>
      <c r="T542" s="53"/>
      <c r="U542" s="53"/>
      <c r="V542" s="53" t="str" cm="1">
        <f t="array" ref="V542">IFERROR(_xlfn.IFS(
T542="","",
--T542&lt;55,"Battery Defect",
--T542&lt;=69,"Battery D",
--T542&lt;=80,"Battery C",
--T542&gt;80,""
),"")</f>
        <v/>
      </c>
      <c r="W542" s="53" t="str" cm="1">
        <f t="array" ref="W542">IFERROR(_xlfn.IFS(
U542="","",
--U542&lt;55,"Battery Defect",
--U542&lt;=69,"Battery D",
--U542&lt;=80,"Battery C",
--U542&gt;80,""
),"")</f>
        <v/>
      </c>
      <c r="X542" s="53"/>
      <c r="Y542" s="53"/>
      <c r="Z542" s="53"/>
      <c r="AA542" s="53"/>
      <c r="AB542" s="53"/>
      <c r="AC542" s="53"/>
      <c r="AD542" s="53"/>
      <c r="AE542" s="53"/>
      <c r="AF542" s="32" t="str">
        <f t="shared" si="22"/>
        <v/>
      </c>
      <c r="AG542" s="32"/>
      <c r="AH542" s="32"/>
      <c r="AI542" s="32"/>
      <c r="AJ542" s="32"/>
      <c r="AK542" s="32"/>
      <c r="AL542" s="32"/>
      <c r="AM542" s="32"/>
      <c r="AN542" s="32"/>
    </row>
    <row r="543" spans="1:40">
      <c r="A543" s="32" t="str">
        <f>_xlfn.TEXTJOIN("",TRUE,_xlfn.XLOOKUP(B543,Input!J:J,Input!G:G,"",0,1),_xlfn.XLOOKUP(B543,Input!J:J,Input!H:H,"",0,1))</f>
        <v/>
      </c>
      <c r="B543" s="32"/>
      <c r="C543" s="53">
        <f>_xlfn.XLOOKUP(B543,Input!J:J,Input!F:F)</f>
        <v>0</v>
      </c>
      <c r="D543" s="32">
        <f>_xlfn.XLOOKUP(C543,Models!H:H,Models!G:G,C543)</f>
        <v>0</v>
      </c>
      <c r="E543" s="32"/>
      <c r="F543" s="32" t="str">
        <f>_xlfn.XLOOKUP(H543,Models!B:B,Models!F:F,"")</f>
        <v/>
      </c>
      <c r="G543" s="32">
        <f>_xlfn.XLOOKUP(B543,Input!J:J,Input!E:E)</f>
        <v>0</v>
      </c>
      <c r="H543" s="32">
        <f>IF(G543="LENOVO",_xlfn.XLOOKUP(B543,Input!J:J,Input!K:K),_xlfn.XLOOKUP(B543,Input!J:J,Input!L:L))</f>
        <v>0</v>
      </c>
      <c r="I543" s="32"/>
      <c r="J543" s="32"/>
      <c r="K543" s="32"/>
      <c r="L543" s="53"/>
      <c r="M543" s="53"/>
      <c r="N543" s="53"/>
      <c r="O543" s="53" t="str" cm="1">
        <f t="array" ref="O543">IFERROR(_xlfn.FILTERXML("&lt;t&gt;&lt;s&gt;" &amp; SUBSTITUTE(M543," / ","&lt;/s&gt;&lt;s&gt;") &amp; "&lt;/s&gt;&lt;/t&gt;","(//s[contains(.,'DDR')])[1]"),"")</f>
        <v/>
      </c>
      <c r="P543" s="32" t="str">
        <f t="shared" si="23"/>
        <v>GB</v>
      </c>
      <c r="Q543" s="32"/>
      <c r="R543" s="32"/>
      <c r="S543" s="53" t="e">
        <f>_xlfn.LET(_xlpm.Result,INDEX(Input!$D$2:$AC$500,
       MATCH(B543, Input!$J$2:$J$500, 0),
       MATCH("Capacity", Input!$D$1:$AC$1, 0)),IF(_xlpm.Result="","",_xlpm.Result))</f>
        <v>#N/A</v>
      </c>
      <c r="T543" s="53"/>
      <c r="U543" s="53"/>
      <c r="V543" s="53" t="str" cm="1">
        <f t="array" ref="V543">IFERROR(_xlfn.IFS(
T543="","",
--T543&lt;55,"Battery Defect",
--T543&lt;=69,"Battery D",
--T543&lt;=80,"Battery C",
--T543&gt;80,""
),"")</f>
        <v/>
      </c>
      <c r="W543" s="53" t="str" cm="1">
        <f t="array" ref="W543">IFERROR(_xlfn.IFS(
U543="","",
--U543&lt;55,"Battery Defect",
--U543&lt;=69,"Battery D",
--U543&lt;=80,"Battery C",
--U543&gt;80,""
),"")</f>
        <v/>
      </c>
      <c r="X543" s="53"/>
      <c r="Y543" s="53"/>
      <c r="Z543" s="53"/>
      <c r="AA543" s="53"/>
      <c r="AB543" s="53"/>
      <c r="AC543" s="53"/>
      <c r="AD543" s="53"/>
      <c r="AE543" s="53"/>
      <c r="AF543" s="32" t="str">
        <f t="shared" si="22"/>
        <v/>
      </c>
      <c r="AG543" s="32"/>
      <c r="AH543" s="32"/>
      <c r="AI543" s="32"/>
      <c r="AJ543" s="32"/>
      <c r="AK543" s="32"/>
      <c r="AL543" s="32"/>
      <c r="AM543" s="32"/>
      <c r="AN543" s="32"/>
    </row>
    <row r="544" spans="1:40">
      <c r="A544" s="32" t="str">
        <f>_xlfn.TEXTJOIN("",TRUE,_xlfn.XLOOKUP(B544,Input!J:J,Input!G:G,"",0,1),_xlfn.XLOOKUP(B544,Input!J:J,Input!H:H,"",0,1))</f>
        <v/>
      </c>
      <c r="B544" s="32"/>
      <c r="C544" s="53">
        <f>_xlfn.XLOOKUP(B544,Input!J:J,Input!F:F)</f>
        <v>0</v>
      </c>
      <c r="D544" s="32">
        <f>_xlfn.XLOOKUP(C544,Models!H:H,Models!G:G,C544)</f>
        <v>0</v>
      </c>
      <c r="E544" s="32"/>
      <c r="F544" s="32" t="str">
        <f>_xlfn.XLOOKUP(H544,Models!B:B,Models!F:F,"")</f>
        <v/>
      </c>
      <c r="G544" s="32">
        <f>_xlfn.XLOOKUP(B544,Input!J:J,Input!E:E)</f>
        <v>0</v>
      </c>
      <c r="H544" s="32">
        <f>IF(G544="LENOVO",_xlfn.XLOOKUP(B544,Input!J:J,Input!K:K),_xlfn.XLOOKUP(B544,Input!J:J,Input!L:L))</f>
        <v>0</v>
      </c>
      <c r="I544" s="32"/>
      <c r="J544" s="32"/>
      <c r="K544" s="32"/>
      <c r="L544" s="53"/>
      <c r="M544" s="53"/>
      <c r="N544" s="53"/>
      <c r="O544" s="53" t="str" cm="1">
        <f t="array" ref="O544">IFERROR(_xlfn.FILTERXML("&lt;t&gt;&lt;s&gt;" &amp; SUBSTITUTE(M544," / ","&lt;/s&gt;&lt;s&gt;") &amp; "&lt;/s&gt;&lt;/t&gt;","(//s[contains(.,'DDR')])[1]"),"")</f>
        <v/>
      </c>
      <c r="P544" s="32" t="str">
        <f t="shared" si="23"/>
        <v>GB</v>
      </c>
      <c r="Q544" s="32"/>
      <c r="R544" s="32"/>
      <c r="S544" s="53" t="e">
        <f>_xlfn.LET(_xlpm.Result,INDEX(Input!$D$2:$AC$500,
       MATCH(B544, Input!$J$2:$J$500, 0),
       MATCH("Capacity", Input!$D$1:$AC$1, 0)),IF(_xlpm.Result="","",_xlpm.Result))</f>
        <v>#N/A</v>
      </c>
      <c r="T544" s="53"/>
      <c r="U544" s="53"/>
      <c r="V544" s="53" t="str" cm="1">
        <f t="array" ref="V544">IFERROR(_xlfn.IFS(
T544="","",
--T544&lt;55,"Battery Defect",
--T544&lt;=69,"Battery D",
--T544&lt;=80,"Battery C",
--T544&gt;80,""
),"")</f>
        <v/>
      </c>
      <c r="W544" s="53" t="str" cm="1">
        <f t="array" ref="W544">IFERROR(_xlfn.IFS(
U544="","",
--U544&lt;55,"Battery Defect",
--U544&lt;=69,"Battery D",
--U544&lt;=80,"Battery C",
--U544&gt;80,""
),"")</f>
        <v/>
      </c>
      <c r="X544" s="53"/>
      <c r="Y544" s="53"/>
      <c r="Z544" s="53"/>
      <c r="AA544" s="53"/>
      <c r="AB544" s="53"/>
      <c r="AC544" s="53"/>
      <c r="AD544" s="53"/>
      <c r="AE544" s="53"/>
      <c r="AF544" s="32" t="str">
        <f t="shared" si="22"/>
        <v/>
      </c>
      <c r="AG544" s="32"/>
      <c r="AH544" s="32"/>
      <c r="AI544" s="32"/>
      <c r="AJ544" s="32"/>
      <c r="AK544" s="32"/>
      <c r="AL544" s="32"/>
      <c r="AM544" s="32"/>
      <c r="AN544" s="32"/>
    </row>
    <row r="545" spans="1:40">
      <c r="A545" s="32" t="str">
        <f>_xlfn.TEXTJOIN("",TRUE,_xlfn.XLOOKUP(B545,Input!J:J,Input!G:G,"",0,1),_xlfn.XLOOKUP(B545,Input!J:J,Input!H:H,"",0,1))</f>
        <v/>
      </c>
      <c r="B545" s="32"/>
      <c r="C545" s="53">
        <f>_xlfn.XLOOKUP(B545,Input!J:J,Input!F:F)</f>
        <v>0</v>
      </c>
      <c r="D545" s="32">
        <f>_xlfn.XLOOKUP(C545,Models!H:H,Models!G:G,C545)</f>
        <v>0</v>
      </c>
      <c r="E545" s="32"/>
      <c r="F545" s="32" t="str">
        <f>_xlfn.XLOOKUP(H545,Models!B:B,Models!F:F,"")</f>
        <v/>
      </c>
      <c r="G545" s="32">
        <f>_xlfn.XLOOKUP(B545,Input!J:J,Input!E:E)</f>
        <v>0</v>
      </c>
      <c r="H545" s="32">
        <f>IF(G545="LENOVO",_xlfn.XLOOKUP(B545,Input!J:J,Input!K:K),_xlfn.XLOOKUP(B545,Input!J:J,Input!L:L))</f>
        <v>0</v>
      </c>
      <c r="I545" s="32"/>
      <c r="J545" s="32"/>
      <c r="K545" s="32"/>
      <c r="L545" s="53"/>
      <c r="M545" s="53"/>
      <c r="N545" s="53"/>
      <c r="O545" s="53" t="str" cm="1">
        <f t="array" ref="O545">IFERROR(_xlfn.FILTERXML("&lt;t&gt;&lt;s&gt;" &amp; SUBSTITUTE(M545," / ","&lt;/s&gt;&lt;s&gt;") &amp; "&lt;/s&gt;&lt;/t&gt;","(//s[contains(.,'DDR')])[1]"),"")</f>
        <v/>
      </c>
      <c r="P545" s="32" t="str">
        <f t="shared" si="23"/>
        <v>GB</v>
      </c>
      <c r="Q545" s="32"/>
      <c r="R545" s="32"/>
      <c r="S545" s="53" t="e">
        <f>_xlfn.LET(_xlpm.Result,INDEX(Input!$D$2:$AC$500,
       MATCH(B545, Input!$J$2:$J$500, 0),
       MATCH("Capacity", Input!$D$1:$AC$1, 0)),IF(_xlpm.Result="","",_xlpm.Result))</f>
        <v>#N/A</v>
      </c>
      <c r="T545" s="53"/>
      <c r="U545" s="53"/>
      <c r="V545" s="53" t="str" cm="1">
        <f t="array" ref="V545">IFERROR(_xlfn.IFS(
T545="","",
--T545&lt;55,"Battery Defect",
--T545&lt;=69,"Battery D",
--T545&lt;=80,"Battery C",
--T545&gt;80,""
),"")</f>
        <v/>
      </c>
      <c r="W545" s="53" t="str" cm="1">
        <f t="array" ref="W545">IFERROR(_xlfn.IFS(
U545="","",
--U545&lt;55,"Battery Defect",
--U545&lt;=69,"Battery D",
--U545&lt;=80,"Battery C",
--U545&gt;80,""
),"")</f>
        <v/>
      </c>
      <c r="X545" s="53"/>
      <c r="Y545" s="53"/>
      <c r="Z545" s="53"/>
      <c r="AA545" s="53"/>
      <c r="AB545" s="53"/>
      <c r="AC545" s="53"/>
      <c r="AD545" s="53"/>
      <c r="AE545" s="53"/>
      <c r="AF545" s="32" t="str">
        <f t="shared" si="22"/>
        <v/>
      </c>
      <c r="AG545" s="32"/>
      <c r="AH545" s="32"/>
      <c r="AI545" s="32"/>
      <c r="AJ545" s="32"/>
      <c r="AK545" s="32"/>
      <c r="AL545" s="32"/>
      <c r="AM545" s="32"/>
      <c r="AN545" s="32"/>
    </row>
    <row r="546" spans="1:40">
      <c r="A546" s="32" t="str">
        <f>_xlfn.TEXTJOIN("",TRUE,_xlfn.XLOOKUP(B546,Input!J:J,Input!G:G,"",0,1),_xlfn.XLOOKUP(B546,Input!J:J,Input!H:H,"",0,1))</f>
        <v/>
      </c>
      <c r="B546" s="32"/>
      <c r="C546" s="53">
        <f>_xlfn.XLOOKUP(B546,Input!J:J,Input!F:F)</f>
        <v>0</v>
      </c>
      <c r="D546" s="32">
        <f>_xlfn.XLOOKUP(C546,Models!H:H,Models!G:G,C546)</f>
        <v>0</v>
      </c>
      <c r="E546" s="32"/>
      <c r="F546" s="32" t="str">
        <f>_xlfn.XLOOKUP(H546,Models!B:B,Models!F:F,"")</f>
        <v/>
      </c>
      <c r="G546" s="32">
        <f>_xlfn.XLOOKUP(B546,Input!J:J,Input!E:E)</f>
        <v>0</v>
      </c>
      <c r="H546" s="32">
        <f>IF(G546="LENOVO",_xlfn.XLOOKUP(B546,Input!J:J,Input!K:K),_xlfn.XLOOKUP(B546,Input!J:J,Input!L:L))</f>
        <v>0</v>
      </c>
      <c r="I546" s="32"/>
      <c r="J546" s="32"/>
      <c r="K546" s="32"/>
      <c r="L546" s="53"/>
      <c r="M546" s="53"/>
      <c r="N546" s="53"/>
      <c r="O546" s="53" t="str" cm="1">
        <f t="array" ref="O546">IFERROR(_xlfn.FILTERXML("&lt;t&gt;&lt;s&gt;" &amp; SUBSTITUTE(M546," / ","&lt;/s&gt;&lt;s&gt;") &amp; "&lt;/s&gt;&lt;/t&gt;","(//s[contains(.,'DDR')])[1]"),"")</f>
        <v/>
      </c>
      <c r="P546" s="32" t="str">
        <f t="shared" si="23"/>
        <v>GB</v>
      </c>
      <c r="Q546" s="32"/>
      <c r="R546" s="32"/>
      <c r="S546" s="53" t="e">
        <f>_xlfn.LET(_xlpm.Result,INDEX(Input!$D$2:$AC$500,
       MATCH(B546, Input!$J$2:$J$500, 0),
       MATCH("Capacity", Input!$D$1:$AC$1, 0)),IF(_xlpm.Result="","",_xlpm.Result))</f>
        <v>#N/A</v>
      </c>
      <c r="T546" s="53"/>
      <c r="U546" s="53"/>
      <c r="V546" s="53" t="str" cm="1">
        <f t="array" ref="V546">IFERROR(_xlfn.IFS(
T546="","",
--T546&lt;55,"Battery Defect",
--T546&lt;=69,"Battery D",
--T546&lt;=80,"Battery C",
--T546&gt;80,""
),"")</f>
        <v/>
      </c>
      <c r="W546" s="53" t="str" cm="1">
        <f t="array" ref="W546">IFERROR(_xlfn.IFS(
U546="","",
--U546&lt;55,"Battery Defect",
--U546&lt;=69,"Battery D",
--U546&lt;=80,"Battery C",
--U546&gt;80,""
),"")</f>
        <v/>
      </c>
      <c r="X546" s="53"/>
      <c r="Y546" s="53"/>
      <c r="Z546" s="53"/>
      <c r="AA546" s="53"/>
      <c r="AB546" s="53"/>
      <c r="AC546" s="53"/>
      <c r="AD546" s="53"/>
      <c r="AE546" s="53"/>
      <c r="AF546" s="32" t="str">
        <f t="shared" si="22"/>
        <v/>
      </c>
      <c r="AG546" s="32"/>
      <c r="AH546" s="32"/>
      <c r="AI546" s="32"/>
      <c r="AJ546" s="32"/>
      <c r="AK546" s="32"/>
      <c r="AL546" s="32"/>
      <c r="AM546" s="32"/>
      <c r="AN546" s="32"/>
    </row>
    <row r="547" spans="1:40">
      <c r="A547" s="32" t="str">
        <f>_xlfn.TEXTJOIN("",TRUE,_xlfn.XLOOKUP(B547,Input!J:J,Input!G:G,"",0,1),_xlfn.XLOOKUP(B547,Input!J:J,Input!H:H,"",0,1))</f>
        <v/>
      </c>
      <c r="B547" s="32"/>
      <c r="C547" s="53">
        <f>_xlfn.XLOOKUP(B547,Input!J:J,Input!F:F)</f>
        <v>0</v>
      </c>
      <c r="D547" s="32">
        <f>_xlfn.XLOOKUP(C547,Models!H:H,Models!G:G,C547)</f>
        <v>0</v>
      </c>
      <c r="E547" s="32"/>
      <c r="F547" s="32" t="str">
        <f>_xlfn.XLOOKUP(H547,Models!B:B,Models!F:F,"")</f>
        <v/>
      </c>
      <c r="G547" s="32">
        <f>_xlfn.XLOOKUP(B547,Input!J:J,Input!E:E)</f>
        <v>0</v>
      </c>
      <c r="H547" s="32">
        <f>IF(G547="LENOVO",_xlfn.XLOOKUP(B547,Input!J:J,Input!K:K),_xlfn.XLOOKUP(B547,Input!J:J,Input!L:L))</f>
        <v>0</v>
      </c>
      <c r="I547" s="32"/>
      <c r="J547" s="32"/>
      <c r="K547" s="32"/>
      <c r="L547" s="53"/>
      <c r="M547" s="53"/>
      <c r="N547" s="53"/>
      <c r="O547" s="53" t="str" cm="1">
        <f t="array" ref="O547">IFERROR(_xlfn.FILTERXML("&lt;t&gt;&lt;s&gt;" &amp; SUBSTITUTE(M547," / ","&lt;/s&gt;&lt;s&gt;") &amp; "&lt;/s&gt;&lt;/t&gt;","(//s[contains(.,'DDR')])[1]"),"")</f>
        <v/>
      </c>
      <c r="P547" s="32" t="str">
        <f t="shared" si="23"/>
        <v>GB</v>
      </c>
      <c r="Q547" s="32"/>
      <c r="R547" s="32"/>
      <c r="S547" s="53" t="e">
        <f>_xlfn.LET(_xlpm.Result,INDEX(Input!$D$2:$AC$500,
       MATCH(B547, Input!$J$2:$J$500, 0),
       MATCH("Capacity", Input!$D$1:$AC$1, 0)),IF(_xlpm.Result="","",_xlpm.Result))</f>
        <v>#N/A</v>
      </c>
      <c r="T547" s="53"/>
      <c r="U547" s="53"/>
      <c r="V547" s="53" t="str" cm="1">
        <f t="array" ref="V547">IFERROR(_xlfn.IFS(
T547="","",
--T547&lt;55,"Battery Defect",
--T547&lt;=69,"Battery D",
--T547&lt;=80,"Battery C",
--T547&gt;80,""
),"")</f>
        <v/>
      </c>
      <c r="W547" s="53" t="str" cm="1">
        <f t="array" ref="W547">IFERROR(_xlfn.IFS(
U547="","",
--U547&lt;55,"Battery Defect",
--U547&lt;=69,"Battery D",
--U547&lt;=80,"Battery C",
--U547&gt;80,""
),"")</f>
        <v/>
      </c>
      <c r="X547" s="53"/>
      <c r="Y547" s="53"/>
      <c r="Z547" s="53"/>
      <c r="AA547" s="53"/>
      <c r="AB547" s="53"/>
      <c r="AC547" s="53"/>
      <c r="AD547" s="53"/>
      <c r="AE547" s="53"/>
      <c r="AF547" s="32" t="str">
        <f t="shared" si="22"/>
        <v/>
      </c>
      <c r="AG547" s="32"/>
      <c r="AH547" s="32"/>
      <c r="AI547" s="32"/>
      <c r="AJ547" s="32"/>
      <c r="AK547" s="32"/>
      <c r="AL547" s="32"/>
      <c r="AM547" s="32"/>
      <c r="AN547" s="32"/>
    </row>
    <row r="548" spans="1:40">
      <c r="A548" s="32" t="str">
        <f>_xlfn.TEXTJOIN("",TRUE,_xlfn.XLOOKUP(B548,Input!J:J,Input!G:G,"",0,1),_xlfn.XLOOKUP(B548,Input!J:J,Input!H:H,"",0,1))</f>
        <v/>
      </c>
      <c r="B548" s="32"/>
      <c r="C548" s="53">
        <f>_xlfn.XLOOKUP(B548,Input!J:J,Input!F:F)</f>
        <v>0</v>
      </c>
      <c r="D548" s="32">
        <f>_xlfn.XLOOKUP(C548,Models!H:H,Models!G:G,C548)</f>
        <v>0</v>
      </c>
      <c r="E548" s="32"/>
      <c r="F548" s="32" t="str">
        <f>_xlfn.XLOOKUP(H548,Models!B:B,Models!F:F,"")</f>
        <v/>
      </c>
      <c r="G548" s="32">
        <f>_xlfn.XLOOKUP(B548,Input!J:J,Input!E:E)</f>
        <v>0</v>
      </c>
      <c r="H548" s="32">
        <f>IF(G548="LENOVO",_xlfn.XLOOKUP(B548,Input!J:J,Input!K:K),_xlfn.XLOOKUP(B548,Input!J:J,Input!L:L))</f>
        <v>0</v>
      </c>
      <c r="I548" s="32"/>
      <c r="J548" s="32"/>
      <c r="K548" s="32"/>
      <c r="L548" s="53"/>
      <c r="M548" s="53"/>
      <c r="N548" s="53"/>
      <c r="O548" s="53" t="str" cm="1">
        <f t="array" ref="O548">IFERROR(_xlfn.FILTERXML("&lt;t&gt;&lt;s&gt;" &amp; SUBSTITUTE(M548," / ","&lt;/s&gt;&lt;s&gt;") &amp; "&lt;/s&gt;&lt;/t&gt;","(//s[contains(.,'DDR')])[1]"),"")</f>
        <v/>
      </c>
      <c r="P548" s="32" t="str">
        <f t="shared" si="23"/>
        <v>GB</v>
      </c>
      <c r="Q548" s="32"/>
      <c r="R548" s="32"/>
      <c r="S548" s="53" t="e">
        <f>_xlfn.LET(_xlpm.Result,INDEX(Input!$D$2:$AC$500,
       MATCH(B548, Input!$J$2:$J$500, 0),
       MATCH("Capacity", Input!$D$1:$AC$1, 0)),IF(_xlpm.Result="","",_xlpm.Result))</f>
        <v>#N/A</v>
      </c>
      <c r="T548" s="53"/>
      <c r="U548" s="53"/>
      <c r="V548" s="53" t="str" cm="1">
        <f t="array" ref="V548">IFERROR(_xlfn.IFS(
T548="","",
--T548&lt;55,"Battery Defect",
--T548&lt;=69,"Battery D",
--T548&lt;=80,"Battery C",
--T548&gt;80,""
),"")</f>
        <v/>
      </c>
      <c r="W548" s="53" t="str" cm="1">
        <f t="array" ref="W548">IFERROR(_xlfn.IFS(
U548="","",
--U548&lt;55,"Battery Defect",
--U548&lt;=69,"Battery D",
--U548&lt;=80,"Battery C",
--U548&gt;80,""
),"")</f>
        <v/>
      </c>
      <c r="X548" s="53"/>
      <c r="Y548" s="53"/>
      <c r="Z548" s="53"/>
      <c r="AA548" s="53"/>
      <c r="AB548" s="53"/>
      <c r="AC548" s="53"/>
      <c r="AD548" s="53"/>
      <c r="AE548" s="53"/>
      <c r="AF548" s="32" t="str">
        <f t="shared" si="22"/>
        <v/>
      </c>
      <c r="AG548" s="32"/>
      <c r="AH548" s="32"/>
      <c r="AI548" s="32"/>
      <c r="AJ548" s="32"/>
      <c r="AK548" s="32"/>
      <c r="AL548" s="32"/>
      <c r="AM548" s="32"/>
      <c r="AN548" s="32"/>
    </row>
    <row r="549" spans="1:40">
      <c r="A549" s="32" t="str">
        <f>_xlfn.TEXTJOIN("",TRUE,_xlfn.XLOOKUP(B549,Input!J:J,Input!G:G,"",0,1),_xlfn.XLOOKUP(B549,Input!J:J,Input!H:H,"",0,1))</f>
        <v/>
      </c>
      <c r="B549" s="32"/>
      <c r="C549" s="53">
        <f>_xlfn.XLOOKUP(B549,Input!J:J,Input!F:F)</f>
        <v>0</v>
      </c>
      <c r="D549" s="32">
        <f>_xlfn.XLOOKUP(C549,Models!H:H,Models!G:G,C549)</f>
        <v>0</v>
      </c>
      <c r="E549" s="32"/>
      <c r="F549" s="32" t="str">
        <f>_xlfn.XLOOKUP(H549,Models!B:B,Models!F:F,"")</f>
        <v/>
      </c>
      <c r="G549" s="32">
        <f>_xlfn.XLOOKUP(B549,Input!J:J,Input!E:E)</f>
        <v>0</v>
      </c>
      <c r="H549" s="32">
        <f>IF(G549="LENOVO",_xlfn.XLOOKUP(B549,Input!J:J,Input!K:K),_xlfn.XLOOKUP(B549,Input!J:J,Input!L:L))</f>
        <v>0</v>
      </c>
      <c r="I549" s="32"/>
      <c r="J549" s="32"/>
      <c r="K549" s="32"/>
      <c r="L549" s="53"/>
      <c r="M549" s="53"/>
      <c r="N549" s="53"/>
      <c r="O549" s="53" t="str" cm="1">
        <f t="array" ref="O549">IFERROR(_xlfn.FILTERXML("&lt;t&gt;&lt;s&gt;" &amp; SUBSTITUTE(M549," / ","&lt;/s&gt;&lt;s&gt;") &amp; "&lt;/s&gt;&lt;/t&gt;","(//s[contains(.,'DDR')])[1]"),"")</f>
        <v/>
      </c>
      <c r="P549" s="32" t="str">
        <f t="shared" si="23"/>
        <v>GB</v>
      </c>
      <c r="Q549" s="32"/>
      <c r="R549" s="32"/>
      <c r="S549" s="53" t="e">
        <f>_xlfn.LET(_xlpm.Result,INDEX(Input!$D$2:$AC$500,
       MATCH(B549, Input!$J$2:$J$500, 0),
       MATCH("Capacity", Input!$D$1:$AC$1, 0)),IF(_xlpm.Result="","",_xlpm.Result))</f>
        <v>#N/A</v>
      </c>
      <c r="T549" s="53"/>
      <c r="U549" s="53"/>
      <c r="V549" s="53" t="str" cm="1">
        <f t="array" ref="V549">IFERROR(_xlfn.IFS(
T549="","",
--T549&lt;55,"Battery Defect",
--T549&lt;=69,"Battery D",
--T549&lt;=80,"Battery C",
--T549&gt;80,""
),"")</f>
        <v/>
      </c>
      <c r="W549" s="53" t="str" cm="1">
        <f t="array" ref="W549">IFERROR(_xlfn.IFS(
U549="","",
--U549&lt;55,"Battery Defect",
--U549&lt;=69,"Battery D",
--U549&lt;=80,"Battery C",
--U549&gt;80,""
),"")</f>
        <v/>
      </c>
      <c r="X549" s="53"/>
      <c r="Y549" s="53"/>
      <c r="Z549" s="53"/>
      <c r="AA549" s="53"/>
      <c r="AB549" s="53"/>
      <c r="AC549" s="53"/>
      <c r="AD549" s="53"/>
      <c r="AE549" s="53"/>
      <c r="AF549" s="32" t="str">
        <f t="shared" si="22"/>
        <v/>
      </c>
      <c r="AG549" s="32"/>
      <c r="AH549" s="32"/>
      <c r="AI549" s="32"/>
      <c r="AJ549" s="32"/>
      <c r="AK549" s="32"/>
      <c r="AL549" s="32"/>
      <c r="AM549" s="32"/>
      <c r="AN549" s="32"/>
    </row>
    <row r="550" spans="1:40">
      <c r="A550" s="32" t="str">
        <f>_xlfn.TEXTJOIN("",TRUE,_xlfn.XLOOKUP(B550,Input!J:J,Input!G:G,"",0,1),_xlfn.XLOOKUP(B550,Input!J:J,Input!H:H,"",0,1))</f>
        <v/>
      </c>
      <c r="B550" s="32"/>
      <c r="C550" s="53">
        <f>_xlfn.XLOOKUP(B550,Input!J:J,Input!F:F)</f>
        <v>0</v>
      </c>
      <c r="D550" s="32">
        <f>_xlfn.XLOOKUP(C550,Models!H:H,Models!G:G,C550)</f>
        <v>0</v>
      </c>
      <c r="E550" s="32"/>
      <c r="F550" s="32" t="str">
        <f>_xlfn.XLOOKUP(H550,Models!B:B,Models!F:F,"")</f>
        <v/>
      </c>
      <c r="G550" s="32">
        <f>_xlfn.XLOOKUP(B550,Input!J:J,Input!E:E)</f>
        <v>0</v>
      </c>
      <c r="H550" s="32">
        <f>IF(G550="LENOVO",_xlfn.XLOOKUP(B550,Input!J:J,Input!K:K),_xlfn.XLOOKUP(B550,Input!J:J,Input!L:L))</f>
        <v>0</v>
      </c>
      <c r="I550" s="32"/>
      <c r="J550" s="32"/>
      <c r="K550" s="32"/>
      <c r="L550" s="53"/>
      <c r="M550" s="53"/>
      <c r="N550" s="53"/>
      <c r="O550" s="53" t="str" cm="1">
        <f t="array" ref="O550">IFERROR(_xlfn.FILTERXML("&lt;t&gt;&lt;s&gt;" &amp; SUBSTITUTE(M550," / ","&lt;/s&gt;&lt;s&gt;") &amp; "&lt;/s&gt;&lt;/t&gt;","(//s[contains(.,'DDR')])[1]"),"")</f>
        <v/>
      </c>
      <c r="P550" s="32" t="str">
        <f t="shared" si="23"/>
        <v>GB</v>
      </c>
      <c r="Q550" s="32"/>
      <c r="R550" s="32"/>
      <c r="S550" s="53" t="e">
        <f>_xlfn.LET(_xlpm.Result,INDEX(Input!$D$2:$AC$500,
       MATCH(B550, Input!$J$2:$J$500, 0),
       MATCH("Capacity", Input!$D$1:$AC$1, 0)),IF(_xlpm.Result="","",_xlpm.Result))</f>
        <v>#N/A</v>
      </c>
      <c r="T550" s="53"/>
      <c r="U550" s="53"/>
      <c r="V550" s="53" t="str" cm="1">
        <f t="array" ref="V550">IFERROR(_xlfn.IFS(
T550="","",
--T550&lt;55,"Battery Defect",
--T550&lt;=69,"Battery D",
--T550&lt;=80,"Battery C",
--T550&gt;80,""
),"")</f>
        <v/>
      </c>
      <c r="W550" s="53" t="str" cm="1">
        <f t="array" ref="W550">IFERROR(_xlfn.IFS(
U550="","",
--U550&lt;55,"Battery Defect",
--U550&lt;=69,"Battery D",
--U550&lt;=80,"Battery C",
--U550&gt;80,""
),"")</f>
        <v/>
      </c>
      <c r="X550" s="53"/>
      <c r="Y550" s="53"/>
      <c r="Z550" s="53"/>
      <c r="AA550" s="53"/>
      <c r="AB550" s="53"/>
      <c r="AC550" s="53"/>
      <c r="AD550" s="53"/>
      <c r="AE550" s="53"/>
      <c r="AF550" s="32" t="str">
        <f t="shared" si="22"/>
        <v/>
      </c>
      <c r="AG550" s="32"/>
      <c r="AH550" s="32"/>
      <c r="AI550" s="32"/>
      <c r="AJ550" s="32"/>
      <c r="AK550" s="32"/>
      <c r="AL550" s="32"/>
      <c r="AM550" s="32"/>
      <c r="AN550" s="32"/>
    </row>
    <row r="551" spans="1:40">
      <c r="A551" s="32" t="str">
        <f>_xlfn.TEXTJOIN("",TRUE,_xlfn.XLOOKUP(B551,Input!J:J,Input!G:G,"",0,1),_xlfn.XLOOKUP(B551,Input!J:J,Input!H:H,"",0,1))</f>
        <v/>
      </c>
      <c r="B551" s="32"/>
      <c r="C551" s="53">
        <f>_xlfn.XLOOKUP(B551,Input!J:J,Input!F:F)</f>
        <v>0</v>
      </c>
      <c r="D551" s="32">
        <f>_xlfn.XLOOKUP(C551,Models!H:H,Models!G:G,C551)</f>
        <v>0</v>
      </c>
      <c r="E551" s="32"/>
      <c r="F551" s="32" t="str">
        <f>_xlfn.XLOOKUP(H551,Models!B:B,Models!F:F,"")</f>
        <v/>
      </c>
      <c r="G551" s="32">
        <f>_xlfn.XLOOKUP(B551,Input!J:J,Input!E:E)</f>
        <v>0</v>
      </c>
      <c r="H551" s="32">
        <f>IF(G551="LENOVO",_xlfn.XLOOKUP(B551,Input!J:J,Input!K:K),_xlfn.XLOOKUP(B551,Input!J:J,Input!L:L))</f>
        <v>0</v>
      </c>
      <c r="I551" s="32"/>
      <c r="J551" s="32"/>
      <c r="K551" s="32"/>
      <c r="L551" s="53"/>
      <c r="M551" s="53"/>
      <c r="N551" s="53"/>
      <c r="O551" s="53" t="str" cm="1">
        <f t="array" ref="O551">IFERROR(_xlfn.FILTERXML("&lt;t&gt;&lt;s&gt;" &amp; SUBSTITUTE(M551," / ","&lt;/s&gt;&lt;s&gt;") &amp; "&lt;/s&gt;&lt;/t&gt;","(//s[contains(.,'DDR')])[1]"),"")</f>
        <v/>
      </c>
      <c r="P551" s="32" t="str">
        <f t="shared" si="23"/>
        <v>GB</v>
      </c>
      <c r="Q551" s="32"/>
      <c r="R551" s="32"/>
      <c r="S551" s="53" t="e">
        <f>_xlfn.LET(_xlpm.Result,INDEX(Input!$D$2:$AC$500,
       MATCH(B551, Input!$J$2:$J$500, 0),
       MATCH("Capacity", Input!$D$1:$AC$1, 0)),IF(_xlpm.Result="","",_xlpm.Result))</f>
        <v>#N/A</v>
      </c>
      <c r="T551" s="53"/>
      <c r="U551" s="53"/>
      <c r="V551" s="53" t="str" cm="1">
        <f t="array" ref="V551">IFERROR(_xlfn.IFS(
T551="","",
--T551&lt;55,"Battery Defect",
--T551&lt;=69,"Battery D",
--T551&lt;=80,"Battery C",
--T551&gt;80,""
),"")</f>
        <v/>
      </c>
      <c r="W551" s="53" t="str" cm="1">
        <f t="array" ref="W551">IFERROR(_xlfn.IFS(
U551="","",
--U551&lt;55,"Battery Defect",
--U551&lt;=69,"Battery D",
--U551&lt;=80,"Battery C",
--U551&gt;80,""
),"")</f>
        <v/>
      </c>
      <c r="X551" s="53"/>
      <c r="Y551" s="53"/>
      <c r="Z551" s="53"/>
      <c r="AA551" s="53"/>
      <c r="AB551" s="53"/>
      <c r="AC551" s="53"/>
      <c r="AD551" s="53"/>
      <c r="AE551" s="53"/>
      <c r="AF551" s="32" t="str">
        <f t="shared" si="22"/>
        <v/>
      </c>
      <c r="AG551" s="32"/>
      <c r="AH551" s="32"/>
      <c r="AI551" s="32"/>
      <c r="AJ551" s="32"/>
      <c r="AK551" s="32"/>
      <c r="AL551" s="32"/>
      <c r="AM551" s="32"/>
      <c r="AN551" s="32"/>
    </row>
    <row r="552" spans="1:40">
      <c r="A552" s="32" t="str">
        <f>_xlfn.TEXTJOIN("",TRUE,_xlfn.XLOOKUP(B552,Input!J:J,Input!G:G,"",0,1),_xlfn.XLOOKUP(B552,Input!J:J,Input!H:H,"",0,1))</f>
        <v/>
      </c>
      <c r="B552" s="32"/>
      <c r="C552" s="53">
        <f>_xlfn.XLOOKUP(B552,Input!J:J,Input!F:F)</f>
        <v>0</v>
      </c>
      <c r="D552" s="32">
        <f>_xlfn.XLOOKUP(C552,Models!H:H,Models!G:G,C552)</f>
        <v>0</v>
      </c>
      <c r="E552" s="32"/>
      <c r="F552" s="32" t="str">
        <f>_xlfn.XLOOKUP(H552,Models!B:B,Models!F:F,"")</f>
        <v/>
      </c>
      <c r="G552" s="32">
        <f>_xlfn.XLOOKUP(B552,Input!J:J,Input!E:E)</f>
        <v>0</v>
      </c>
      <c r="H552" s="32">
        <f>IF(G552="LENOVO",_xlfn.XLOOKUP(B552,Input!J:J,Input!K:K),_xlfn.XLOOKUP(B552,Input!J:J,Input!L:L))</f>
        <v>0</v>
      </c>
      <c r="I552" s="32"/>
      <c r="J552" s="32"/>
      <c r="K552" s="32"/>
      <c r="L552" s="53"/>
      <c r="M552" s="53"/>
      <c r="N552" s="53"/>
      <c r="O552" s="53" t="str" cm="1">
        <f t="array" ref="O552">IFERROR(_xlfn.FILTERXML("&lt;t&gt;&lt;s&gt;" &amp; SUBSTITUTE(M552," / ","&lt;/s&gt;&lt;s&gt;") &amp; "&lt;/s&gt;&lt;/t&gt;","(//s[contains(.,'DDR')])[1]"),"")</f>
        <v/>
      </c>
      <c r="P552" s="32" t="str">
        <f t="shared" si="23"/>
        <v>GB</v>
      </c>
      <c r="Q552" s="32"/>
      <c r="R552" s="32"/>
      <c r="S552" s="53" t="e">
        <f>_xlfn.LET(_xlpm.Result,INDEX(Input!$D$2:$AC$500,
       MATCH(B552, Input!$J$2:$J$500, 0),
       MATCH("Capacity", Input!$D$1:$AC$1, 0)),IF(_xlpm.Result="","",_xlpm.Result))</f>
        <v>#N/A</v>
      </c>
      <c r="T552" s="53"/>
      <c r="U552" s="53"/>
      <c r="V552" s="53" t="str" cm="1">
        <f t="array" ref="V552">IFERROR(_xlfn.IFS(
T552="","",
--T552&lt;55,"Battery Defect",
--T552&lt;=69,"Battery D",
--T552&lt;=80,"Battery C",
--T552&gt;80,""
),"")</f>
        <v/>
      </c>
      <c r="W552" s="53" t="str" cm="1">
        <f t="array" ref="W552">IFERROR(_xlfn.IFS(
U552="","",
--U552&lt;55,"Battery Defect",
--U552&lt;=69,"Battery D",
--U552&lt;=80,"Battery C",
--U552&gt;80,""
),"")</f>
        <v/>
      </c>
      <c r="X552" s="53"/>
      <c r="Y552" s="53"/>
      <c r="Z552" s="53"/>
      <c r="AA552" s="53"/>
      <c r="AB552" s="53"/>
      <c r="AC552" s="53"/>
      <c r="AD552" s="53"/>
      <c r="AE552" s="53"/>
      <c r="AF552" s="32" t="str">
        <f t="shared" si="22"/>
        <v/>
      </c>
      <c r="AG552" s="32"/>
      <c r="AH552" s="32"/>
      <c r="AI552" s="32"/>
      <c r="AJ552" s="32"/>
      <c r="AK552" s="32"/>
      <c r="AL552" s="32"/>
      <c r="AM552" s="32"/>
      <c r="AN552" s="32"/>
    </row>
    <row r="553" spans="1:40">
      <c r="A553" s="32" t="str">
        <f>_xlfn.TEXTJOIN("",TRUE,_xlfn.XLOOKUP(B553,Input!J:J,Input!G:G,"",0,1),_xlfn.XLOOKUP(B553,Input!J:J,Input!H:H,"",0,1))</f>
        <v/>
      </c>
      <c r="B553" s="32"/>
      <c r="C553" s="53">
        <f>_xlfn.XLOOKUP(B553,Input!J:J,Input!F:F)</f>
        <v>0</v>
      </c>
      <c r="D553" s="32">
        <f>_xlfn.XLOOKUP(C553,Models!H:H,Models!G:G,C553)</f>
        <v>0</v>
      </c>
      <c r="E553" s="32"/>
      <c r="F553" s="32" t="str">
        <f>_xlfn.XLOOKUP(H553,Models!B:B,Models!F:F,"")</f>
        <v/>
      </c>
      <c r="G553" s="32">
        <f>_xlfn.XLOOKUP(B553,Input!J:J,Input!E:E)</f>
        <v>0</v>
      </c>
      <c r="H553" s="32">
        <f>IF(G553="LENOVO",_xlfn.XLOOKUP(B553,Input!J:J,Input!K:K),_xlfn.XLOOKUP(B553,Input!J:J,Input!L:L))</f>
        <v>0</v>
      </c>
      <c r="I553" s="32"/>
      <c r="J553" s="32"/>
      <c r="K553" s="32"/>
      <c r="L553" s="53"/>
      <c r="M553" s="53"/>
      <c r="N553" s="53"/>
      <c r="O553" s="53" t="str" cm="1">
        <f t="array" ref="O553">IFERROR(_xlfn.FILTERXML("&lt;t&gt;&lt;s&gt;" &amp; SUBSTITUTE(M553," / ","&lt;/s&gt;&lt;s&gt;") &amp; "&lt;/s&gt;&lt;/t&gt;","(//s[contains(.,'DDR')])[1]"),"")</f>
        <v/>
      </c>
      <c r="P553" s="32" t="str">
        <f t="shared" si="23"/>
        <v>GB</v>
      </c>
      <c r="Q553" s="32"/>
      <c r="R553" s="32"/>
      <c r="S553" s="53" t="e">
        <f>_xlfn.LET(_xlpm.Result,INDEX(Input!$D$2:$AC$500,
       MATCH(B553, Input!$J$2:$J$500, 0),
       MATCH("Capacity", Input!$D$1:$AC$1, 0)),IF(_xlpm.Result="","",_xlpm.Result))</f>
        <v>#N/A</v>
      </c>
      <c r="T553" s="53"/>
      <c r="U553" s="53"/>
      <c r="V553" s="53" t="str" cm="1">
        <f t="array" ref="V553">IFERROR(_xlfn.IFS(
T553="","",
--T553&lt;55,"Battery Defect",
--T553&lt;=69,"Battery D",
--T553&lt;=80,"Battery C",
--T553&gt;80,""
),"")</f>
        <v/>
      </c>
      <c r="W553" s="53" t="str" cm="1">
        <f t="array" ref="W553">IFERROR(_xlfn.IFS(
U553="","",
--U553&lt;55,"Battery Defect",
--U553&lt;=69,"Battery D",
--U553&lt;=80,"Battery C",
--U553&gt;80,""
),"")</f>
        <v/>
      </c>
      <c r="X553" s="53"/>
      <c r="Y553" s="53"/>
      <c r="Z553" s="53"/>
      <c r="AA553" s="53"/>
      <c r="AB553" s="53"/>
      <c r="AC553" s="53"/>
      <c r="AD553" s="53"/>
      <c r="AE553" s="53"/>
      <c r="AF553" s="32" t="str">
        <f t="shared" si="22"/>
        <v/>
      </c>
      <c r="AG553" s="32"/>
      <c r="AH553" s="32"/>
      <c r="AI553" s="32"/>
      <c r="AJ553" s="32"/>
      <c r="AK553" s="32"/>
      <c r="AL553" s="32"/>
      <c r="AM553" s="32"/>
      <c r="AN553" s="32"/>
    </row>
    <row r="554" spans="1:40">
      <c r="A554" s="32" t="str">
        <f>_xlfn.TEXTJOIN("",TRUE,_xlfn.XLOOKUP(B554,Input!J:J,Input!G:G,"",0,1),_xlfn.XLOOKUP(B554,Input!J:J,Input!H:H,"",0,1))</f>
        <v/>
      </c>
      <c r="B554" s="32"/>
      <c r="C554" s="53">
        <f>_xlfn.XLOOKUP(B554,Input!J:J,Input!F:F)</f>
        <v>0</v>
      </c>
      <c r="D554" s="32">
        <f>_xlfn.XLOOKUP(C554,Models!H:H,Models!G:G,C554)</f>
        <v>0</v>
      </c>
      <c r="E554" s="32"/>
      <c r="F554" s="32" t="str">
        <f>_xlfn.XLOOKUP(H554,Models!B:B,Models!F:F,"")</f>
        <v/>
      </c>
      <c r="G554" s="32">
        <f>_xlfn.XLOOKUP(B554,Input!J:J,Input!E:E)</f>
        <v>0</v>
      </c>
      <c r="H554" s="32">
        <f>IF(G554="LENOVO",_xlfn.XLOOKUP(B554,Input!J:J,Input!K:K),_xlfn.XLOOKUP(B554,Input!J:J,Input!L:L))</f>
        <v>0</v>
      </c>
      <c r="I554" s="32"/>
      <c r="J554" s="32"/>
      <c r="K554" s="32"/>
      <c r="L554" s="53"/>
      <c r="M554" s="53"/>
      <c r="N554" s="53"/>
      <c r="O554" s="53" t="str" cm="1">
        <f t="array" ref="O554">IFERROR(_xlfn.FILTERXML("&lt;t&gt;&lt;s&gt;" &amp; SUBSTITUTE(M554," / ","&lt;/s&gt;&lt;s&gt;") &amp; "&lt;/s&gt;&lt;/t&gt;","(//s[contains(.,'DDR')])[1]"),"")</f>
        <v/>
      </c>
      <c r="P554" s="32" t="str">
        <f t="shared" si="23"/>
        <v>GB</v>
      </c>
      <c r="Q554" s="32"/>
      <c r="R554" s="32"/>
      <c r="S554" s="53" t="e">
        <f>_xlfn.LET(_xlpm.Result,INDEX(Input!$D$2:$AC$500,
       MATCH(B554, Input!$J$2:$J$500, 0),
       MATCH("Capacity", Input!$D$1:$AC$1, 0)),IF(_xlpm.Result="","",_xlpm.Result))</f>
        <v>#N/A</v>
      </c>
      <c r="T554" s="53"/>
      <c r="U554" s="53"/>
      <c r="V554" s="53" t="str" cm="1">
        <f t="array" ref="V554">IFERROR(_xlfn.IFS(
T554="","",
--T554&lt;55,"Battery Defect",
--T554&lt;=69,"Battery D",
--T554&lt;=80,"Battery C",
--T554&gt;80,""
),"")</f>
        <v/>
      </c>
      <c r="W554" s="53" t="str" cm="1">
        <f t="array" ref="W554">IFERROR(_xlfn.IFS(
U554="","",
--U554&lt;55,"Battery Defect",
--U554&lt;=69,"Battery D",
--U554&lt;=80,"Battery C",
--U554&gt;80,""
),"")</f>
        <v/>
      </c>
      <c r="X554" s="53"/>
      <c r="Y554" s="53"/>
      <c r="Z554" s="53"/>
      <c r="AA554" s="53"/>
      <c r="AB554" s="53"/>
      <c r="AC554" s="53"/>
      <c r="AD554" s="53"/>
      <c r="AE554" s="53"/>
      <c r="AF554" s="32" t="str">
        <f t="shared" si="22"/>
        <v/>
      </c>
      <c r="AG554" s="32"/>
      <c r="AH554" s="32"/>
      <c r="AI554" s="32"/>
      <c r="AJ554" s="32"/>
      <c r="AK554" s="32"/>
      <c r="AL554" s="32"/>
      <c r="AM554" s="32"/>
      <c r="AN554" s="32"/>
    </row>
    <row r="555" spans="1:40">
      <c r="A555" s="32" t="str">
        <f>_xlfn.TEXTJOIN("",TRUE,_xlfn.XLOOKUP(B555,Input!J:J,Input!G:G,"",0,1),_xlfn.XLOOKUP(B555,Input!J:J,Input!H:H,"",0,1))</f>
        <v/>
      </c>
      <c r="B555" s="32"/>
      <c r="C555" s="53">
        <f>_xlfn.XLOOKUP(B555,Input!J:J,Input!F:F)</f>
        <v>0</v>
      </c>
      <c r="D555" s="32">
        <f>_xlfn.XLOOKUP(C555,Models!H:H,Models!G:G,C555)</f>
        <v>0</v>
      </c>
      <c r="E555" s="32"/>
      <c r="F555" s="32" t="str">
        <f>_xlfn.XLOOKUP(H555,Models!B:B,Models!F:F,"")</f>
        <v/>
      </c>
      <c r="G555" s="32">
        <f>_xlfn.XLOOKUP(B555,Input!J:J,Input!E:E)</f>
        <v>0</v>
      </c>
      <c r="H555" s="32">
        <f>IF(G555="LENOVO",_xlfn.XLOOKUP(B555,Input!J:J,Input!K:K),_xlfn.XLOOKUP(B555,Input!J:J,Input!L:L))</f>
        <v>0</v>
      </c>
      <c r="I555" s="32"/>
      <c r="J555" s="32"/>
      <c r="K555" s="32"/>
      <c r="L555" s="53"/>
      <c r="M555" s="53"/>
      <c r="N555" s="53"/>
      <c r="O555" s="53" t="str" cm="1">
        <f t="array" ref="O555">IFERROR(_xlfn.FILTERXML("&lt;t&gt;&lt;s&gt;" &amp; SUBSTITUTE(M555," / ","&lt;/s&gt;&lt;s&gt;") &amp; "&lt;/s&gt;&lt;/t&gt;","(//s[contains(.,'DDR')])[1]"),"")</f>
        <v/>
      </c>
      <c r="P555" s="32" t="str">
        <f t="shared" si="23"/>
        <v>GB</v>
      </c>
      <c r="Q555" s="32"/>
      <c r="R555" s="32"/>
      <c r="S555" s="53" t="e">
        <f>_xlfn.LET(_xlpm.Result,INDEX(Input!$D$2:$AC$500,
       MATCH(B555, Input!$J$2:$J$500, 0),
       MATCH("Capacity", Input!$D$1:$AC$1, 0)),IF(_xlpm.Result="","",_xlpm.Result))</f>
        <v>#N/A</v>
      </c>
      <c r="T555" s="53"/>
      <c r="U555" s="53"/>
      <c r="V555" s="53" t="str" cm="1">
        <f t="array" ref="V555">IFERROR(_xlfn.IFS(
T555="","",
--T555&lt;55,"Battery Defect",
--T555&lt;=69,"Battery D",
--T555&lt;=80,"Battery C",
--T555&gt;80,""
),"")</f>
        <v/>
      </c>
      <c r="W555" s="53" t="str" cm="1">
        <f t="array" ref="W555">IFERROR(_xlfn.IFS(
U555="","",
--U555&lt;55,"Battery Defect",
--U555&lt;=69,"Battery D",
--U555&lt;=80,"Battery C",
--U555&gt;80,""
),"")</f>
        <v/>
      </c>
      <c r="X555" s="53"/>
      <c r="Y555" s="53"/>
      <c r="Z555" s="53"/>
      <c r="AA555" s="53"/>
      <c r="AB555" s="53"/>
      <c r="AC555" s="53"/>
      <c r="AD555" s="53"/>
      <c r="AE555" s="53"/>
      <c r="AF555" s="32" t="str">
        <f t="shared" si="22"/>
        <v/>
      </c>
      <c r="AG555" s="32"/>
      <c r="AH555" s="32"/>
      <c r="AI555" s="32"/>
      <c r="AJ555" s="32"/>
      <c r="AK555" s="32"/>
      <c r="AL555" s="32"/>
      <c r="AM555" s="32"/>
      <c r="AN555" s="32"/>
    </row>
    <row r="556" spans="1:40">
      <c r="A556" s="32" t="str">
        <f>_xlfn.TEXTJOIN("",TRUE,_xlfn.XLOOKUP(B556,Input!J:J,Input!G:G,"",0,1),_xlfn.XLOOKUP(B556,Input!J:J,Input!H:H,"",0,1))</f>
        <v/>
      </c>
      <c r="B556" s="32"/>
      <c r="C556" s="53">
        <f>_xlfn.XLOOKUP(B556,Input!J:J,Input!F:F)</f>
        <v>0</v>
      </c>
      <c r="D556" s="32">
        <f>_xlfn.XLOOKUP(C556,Models!H:H,Models!G:G,C556)</f>
        <v>0</v>
      </c>
      <c r="E556" s="32"/>
      <c r="F556" s="32" t="str">
        <f>_xlfn.XLOOKUP(H556,Models!B:B,Models!F:F,"")</f>
        <v/>
      </c>
      <c r="G556" s="32">
        <f>_xlfn.XLOOKUP(B556,Input!J:J,Input!E:E)</f>
        <v>0</v>
      </c>
      <c r="H556" s="32">
        <f>IF(G556="LENOVO",_xlfn.XLOOKUP(B556,Input!J:J,Input!K:K),_xlfn.XLOOKUP(B556,Input!J:J,Input!L:L))</f>
        <v>0</v>
      </c>
      <c r="I556" s="32"/>
      <c r="J556" s="32"/>
      <c r="K556" s="32"/>
      <c r="L556" s="53"/>
      <c r="M556" s="53"/>
      <c r="N556" s="53"/>
      <c r="O556" s="53" t="str" cm="1">
        <f t="array" ref="O556">IFERROR(_xlfn.FILTERXML("&lt;t&gt;&lt;s&gt;" &amp; SUBSTITUTE(M556," / ","&lt;/s&gt;&lt;s&gt;") &amp; "&lt;/s&gt;&lt;/t&gt;","(//s[contains(.,'DDR')])[1]"),"")</f>
        <v/>
      </c>
      <c r="P556" s="32" t="str">
        <f t="shared" si="23"/>
        <v>GB</v>
      </c>
      <c r="Q556" s="32"/>
      <c r="R556" s="32"/>
      <c r="S556" s="53" t="e">
        <f>_xlfn.LET(_xlpm.Result,INDEX(Input!$D$2:$AC$500,
       MATCH(B556, Input!$J$2:$J$500, 0),
       MATCH("Capacity", Input!$D$1:$AC$1, 0)),IF(_xlpm.Result="","",_xlpm.Result))</f>
        <v>#N/A</v>
      </c>
      <c r="T556" s="53"/>
      <c r="U556" s="53"/>
      <c r="V556" s="53" t="str" cm="1">
        <f t="array" ref="V556">IFERROR(_xlfn.IFS(
T556="","",
--T556&lt;55,"Battery Defect",
--T556&lt;=69,"Battery D",
--T556&lt;=80,"Battery C",
--T556&gt;80,""
),"")</f>
        <v/>
      </c>
      <c r="W556" s="53" t="str" cm="1">
        <f t="array" ref="W556">IFERROR(_xlfn.IFS(
U556="","",
--U556&lt;55,"Battery Defect",
--U556&lt;=69,"Battery D",
--U556&lt;=80,"Battery C",
--U556&gt;80,""
),"")</f>
        <v/>
      </c>
      <c r="X556" s="53"/>
      <c r="Y556" s="53"/>
      <c r="Z556" s="53"/>
      <c r="AA556" s="53"/>
      <c r="AB556" s="53"/>
      <c r="AC556" s="53"/>
      <c r="AD556" s="53"/>
      <c r="AE556" s="53"/>
      <c r="AF556" s="32" t="str">
        <f t="shared" si="22"/>
        <v/>
      </c>
      <c r="AG556" s="32"/>
      <c r="AH556" s="32"/>
      <c r="AI556" s="32"/>
      <c r="AJ556" s="32"/>
      <c r="AK556" s="32"/>
      <c r="AL556" s="32"/>
      <c r="AM556" s="32"/>
      <c r="AN556" s="32"/>
    </row>
    <row r="557" spans="1:40">
      <c r="A557" s="32" t="str">
        <f>_xlfn.TEXTJOIN("",TRUE,_xlfn.XLOOKUP(B557,Input!J:J,Input!G:G,"",0,1),_xlfn.XLOOKUP(B557,Input!J:J,Input!H:H,"",0,1))</f>
        <v/>
      </c>
      <c r="B557" s="32"/>
      <c r="C557" s="53">
        <f>_xlfn.XLOOKUP(B557,Input!J:J,Input!F:F)</f>
        <v>0</v>
      </c>
      <c r="D557" s="32"/>
      <c r="E557" s="32"/>
      <c r="F557" s="32"/>
      <c r="G557" s="32"/>
      <c r="H557" s="32"/>
      <c r="I557" s="32"/>
      <c r="J557" s="32"/>
      <c r="K557" s="32"/>
      <c r="L557" s="53"/>
      <c r="M557" s="53"/>
      <c r="N557" s="53"/>
      <c r="O557" s="53" t="str" cm="1">
        <f t="array" ref="O557">IFERROR(_xlfn.FILTERXML("&lt;t&gt;&lt;s&gt;" &amp; SUBSTITUTE(M557," / ","&lt;/s&gt;&lt;s&gt;") &amp; "&lt;/s&gt;&lt;/t&gt;","(//s[contains(.,'DDR')])[1]"),"")</f>
        <v/>
      </c>
      <c r="P557" s="32" t="str">
        <f t="shared" si="23"/>
        <v>GB</v>
      </c>
      <c r="Q557" s="32"/>
      <c r="R557" s="32"/>
      <c r="S557" s="53" t="e">
        <f>_xlfn.LET(_xlpm.Result,INDEX(Input!$D$2:$AC$500,
       MATCH(B557, Input!$J$2:$J$500, 0),
       MATCH("Capacity", Input!$D$1:$AC$1, 0)),IF(_xlpm.Result="","",_xlpm.Result))</f>
        <v>#N/A</v>
      </c>
      <c r="T557" s="53"/>
      <c r="U557" s="53"/>
      <c r="V557" s="53" t="str" cm="1">
        <f t="array" ref="V557">IFERROR(_xlfn.IFS(
T557="","",
--T557&lt;55,"Battery Defect",
--T557&lt;=69,"Battery D",
--T557&lt;=80,"Battery C",
--T557&gt;80,""
),"")</f>
        <v/>
      </c>
      <c r="W557" s="53" t="str" cm="1">
        <f t="array" ref="W557">IFERROR(_xlfn.IFS(
U557="","",
--U557&lt;55,"Battery Defect",
--U557&lt;=69,"Battery D",
--U557&lt;=80,"Battery C",
--U557&gt;80,""
),"")</f>
        <v/>
      </c>
      <c r="X557" s="53"/>
      <c r="Y557" s="53"/>
      <c r="Z557" s="53"/>
      <c r="AA557" s="53"/>
      <c r="AB557" s="53"/>
      <c r="AC557" s="53"/>
      <c r="AD557" s="53"/>
      <c r="AE557" s="53"/>
      <c r="AF557" s="32" t="str">
        <f t="shared" si="22"/>
        <v/>
      </c>
      <c r="AG557" s="32"/>
      <c r="AH557" s="32"/>
      <c r="AI557" s="32"/>
      <c r="AJ557" s="32"/>
      <c r="AK557" s="32"/>
      <c r="AL557" s="32"/>
      <c r="AM557" s="32"/>
      <c r="AN557" s="32"/>
    </row>
    <row r="558" spans="1:40">
      <c r="A558" s="32" t="str">
        <f>_xlfn.TEXTJOIN("",TRUE,_xlfn.XLOOKUP(B558,Input!J:J,Input!G:G,"",0,1),_xlfn.XLOOKUP(B558,Input!J:J,Input!H:H,"",0,1))</f>
        <v/>
      </c>
      <c r="B558" s="32"/>
      <c r="C558" s="53">
        <f>_xlfn.XLOOKUP(B558,Input!J:J,Input!F:F)</f>
        <v>0</v>
      </c>
      <c r="D558" s="32"/>
      <c r="E558" s="32"/>
      <c r="F558" s="32"/>
      <c r="G558" s="32"/>
      <c r="H558" s="32"/>
      <c r="I558" s="32"/>
      <c r="J558" s="32"/>
      <c r="K558" s="32"/>
      <c r="L558" s="53"/>
      <c r="M558" s="53"/>
      <c r="N558" s="53"/>
      <c r="O558" s="53" t="str" cm="1">
        <f t="array" ref="O558">IFERROR(_xlfn.FILTERXML("&lt;t&gt;&lt;s&gt;" &amp; SUBSTITUTE(M558," / ","&lt;/s&gt;&lt;s&gt;") &amp; "&lt;/s&gt;&lt;/t&gt;","(//s[contains(.,'DDR')])[1]"),"")</f>
        <v/>
      </c>
      <c r="P558" s="32" t="str">
        <f t="shared" si="23"/>
        <v>GB</v>
      </c>
      <c r="Q558" s="32"/>
      <c r="R558" s="32"/>
      <c r="S558" s="53" t="e">
        <f>_xlfn.LET(_xlpm.Result,INDEX(Input!$D$2:$AC$500,
       MATCH(B558, Input!$J$2:$J$500, 0),
       MATCH("Capacity", Input!$D$1:$AC$1, 0)),IF(_xlpm.Result="","",_xlpm.Result))</f>
        <v>#N/A</v>
      </c>
      <c r="T558" s="53"/>
      <c r="U558" s="53"/>
      <c r="V558" s="53" t="str" cm="1">
        <f t="array" ref="V558">IFERROR(_xlfn.IFS(
T558="","",
--T558&lt;55,"Battery Defect",
--T558&lt;=69,"Battery D",
--T558&lt;=80,"Battery C",
--T558&gt;80,""
),"")</f>
        <v/>
      </c>
      <c r="W558" s="53" t="str" cm="1">
        <f t="array" ref="W558">IFERROR(_xlfn.IFS(
U558="","",
--U558&lt;55,"Battery Defect",
--U558&lt;=69,"Battery D",
--U558&lt;=80,"Battery C",
--U558&gt;80,""
),"")</f>
        <v/>
      </c>
      <c r="X558" s="53"/>
      <c r="Y558" s="53"/>
      <c r="Z558" s="53"/>
      <c r="AA558" s="53"/>
      <c r="AB558" s="53"/>
      <c r="AC558" s="53"/>
      <c r="AD558" s="53"/>
      <c r="AE558" s="53"/>
      <c r="AF558" s="32" t="str">
        <f t="shared" si="22"/>
        <v/>
      </c>
      <c r="AG558" s="32"/>
      <c r="AH558" s="32"/>
      <c r="AI558" s="32"/>
      <c r="AJ558" s="32"/>
      <c r="AK558" s="32"/>
      <c r="AL558" s="32"/>
      <c r="AM558" s="32"/>
      <c r="AN558" s="32"/>
    </row>
    <row r="559" spans="1:40">
      <c r="A559" s="32" t="str">
        <f>_xlfn.TEXTJOIN("",TRUE,_xlfn.XLOOKUP(B559,Input!J:J,Input!G:G,"",0,1),_xlfn.XLOOKUP(B559,Input!J:J,Input!H:H,"",0,1))</f>
        <v/>
      </c>
      <c r="B559" s="32"/>
      <c r="C559" s="53"/>
      <c r="D559" s="32"/>
      <c r="E559" s="32"/>
      <c r="F559" s="32"/>
      <c r="G559" s="32"/>
      <c r="H559" s="32"/>
      <c r="I559" s="32"/>
      <c r="J559" s="32"/>
      <c r="K559" s="32"/>
      <c r="L559" s="53"/>
      <c r="M559" s="53"/>
      <c r="N559" s="53"/>
      <c r="O559" s="53" t="str" cm="1">
        <f t="array" ref="O559">IFERROR(_xlfn.FILTERXML("&lt;t&gt;&lt;s&gt;" &amp; SUBSTITUTE(M559," / ","&lt;/s&gt;&lt;s&gt;") &amp; "&lt;/s&gt;&lt;/t&gt;","(//s[contains(.,'DDR')])[1]"),"")</f>
        <v/>
      </c>
      <c r="P559" s="32" t="str">
        <f t="shared" si="23"/>
        <v>GB</v>
      </c>
      <c r="Q559" s="32"/>
      <c r="R559" s="32"/>
      <c r="S559" s="53" t="e">
        <f>_xlfn.LET(_xlpm.Result,INDEX(Input!$D$2:$AC$500,
       MATCH(B559, Input!$J$2:$J$500, 0),
       MATCH("Capacity", Input!$D$1:$AC$1, 0)),IF(_xlpm.Result="","",_xlpm.Result))</f>
        <v>#N/A</v>
      </c>
      <c r="T559" s="53"/>
      <c r="U559" s="53"/>
      <c r="V559" s="53" t="str" cm="1">
        <f t="array" ref="V559">IFERROR(_xlfn.IFS(
T559="","",
--T559&lt;55,"Battery Defect",
--T559&lt;=69,"Battery D",
--T559&lt;=80,"Battery C",
--T559&gt;80,""
),"")</f>
        <v/>
      </c>
      <c r="W559" s="53" t="str" cm="1">
        <f t="array" ref="W559">IFERROR(_xlfn.IFS(
U559="","",
--U559&lt;55,"Battery Defect",
--U559&lt;=69,"Battery D",
--U559&lt;=80,"Battery C",
--U559&gt;80,""
),"")</f>
        <v/>
      </c>
      <c r="X559" s="53"/>
      <c r="Y559" s="53"/>
      <c r="Z559" s="53"/>
      <c r="AA559" s="53"/>
      <c r="AB559" s="53"/>
      <c r="AC559" s="53"/>
      <c r="AD559" s="53"/>
      <c r="AE559" s="53"/>
      <c r="AF559" s="32" t="str">
        <f t="shared" si="22"/>
        <v/>
      </c>
      <c r="AG559" s="32"/>
      <c r="AH559" s="32"/>
      <c r="AI559" s="32"/>
      <c r="AJ559" s="32"/>
      <c r="AK559" s="32"/>
      <c r="AL559" s="32"/>
      <c r="AM559" s="32"/>
      <c r="AN559" s="32"/>
    </row>
    <row r="560" spans="1:40">
      <c r="A560" s="32" t="str">
        <f>_xlfn.TEXTJOIN("",TRUE,_xlfn.XLOOKUP(B560,Input!J:J,Input!G:G,"",0,1),_xlfn.XLOOKUP(B560,Input!J:J,Input!H:H,"",0,1))</f>
        <v/>
      </c>
      <c r="B560" s="32"/>
      <c r="C560" s="53"/>
      <c r="D560" s="32"/>
      <c r="E560" s="32"/>
      <c r="F560" s="32"/>
      <c r="G560" s="32"/>
      <c r="H560" s="32"/>
      <c r="I560" s="32"/>
      <c r="J560" s="32"/>
      <c r="K560" s="32"/>
      <c r="L560" s="53"/>
      <c r="M560" s="53"/>
      <c r="N560" s="53"/>
      <c r="O560" s="53" t="str" cm="1">
        <f t="array" ref="O560">IFERROR(_xlfn.FILTERXML("&lt;t&gt;&lt;s&gt;" &amp; SUBSTITUTE(M560," / ","&lt;/s&gt;&lt;s&gt;") &amp; "&lt;/s&gt;&lt;/t&gt;","(//s[contains(.,'DDR')])[1]"),"")</f>
        <v/>
      </c>
      <c r="P560" s="32" t="str">
        <f t="shared" si="23"/>
        <v>GB</v>
      </c>
      <c r="Q560" s="32"/>
      <c r="R560" s="32"/>
      <c r="S560" s="53" t="e">
        <f>_xlfn.LET(_xlpm.Result,INDEX(Input!$D$2:$AC$500,
       MATCH(B560, Input!$J$2:$J$500, 0),
       MATCH("Capacity", Input!$D$1:$AC$1, 0)),IF(_xlpm.Result="","",_xlpm.Result))</f>
        <v>#N/A</v>
      </c>
      <c r="T560" s="53"/>
      <c r="U560" s="53"/>
      <c r="V560" s="53" t="str" cm="1">
        <f t="array" ref="V560">IFERROR(_xlfn.IFS(
T560="","",
--T560&lt;55,"Battery Defect",
--T560&lt;=69,"Battery D",
--T560&lt;=80,"Battery C",
--T560&gt;80,""
),"")</f>
        <v/>
      </c>
      <c r="W560" s="53" t="str" cm="1">
        <f t="array" ref="W560">IFERROR(_xlfn.IFS(
U560="","",
--U560&lt;55,"Battery Defect",
--U560&lt;=69,"Battery D",
--U560&lt;=80,"Battery C",
--U560&gt;80,""
),"")</f>
        <v/>
      </c>
      <c r="X560" s="53"/>
      <c r="Y560" s="53"/>
      <c r="Z560" s="53"/>
      <c r="AA560" s="53"/>
      <c r="AB560" s="53"/>
      <c r="AC560" s="53"/>
      <c r="AD560" s="53"/>
      <c r="AE560" s="53"/>
      <c r="AF560" s="32" t="str">
        <f t="shared" si="22"/>
        <v/>
      </c>
      <c r="AG560" s="32"/>
      <c r="AH560" s="32"/>
      <c r="AI560" s="32"/>
      <c r="AJ560" s="32"/>
      <c r="AK560" s="32"/>
      <c r="AL560" s="32"/>
      <c r="AM560" s="32"/>
      <c r="AN560" s="32"/>
    </row>
    <row r="561" spans="1:40">
      <c r="A561" s="32" t="str">
        <f>_xlfn.TEXTJOIN("",TRUE,_xlfn.XLOOKUP(B561,Input!J:J,Input!G:G,"",0,1),_xlfn.XLOOKUP(B561,Input!J:J,Input!H:H,"",0,1))</f>
        <v/>
      </c>
      <c r="B561" s="32"/>
      <c r="C561" s="53"/>
      <c r="D561" s="32"/>
      <c r="E561" s="32"/>
      <c r="F561" s="32"/>
      <c r="G561" s="32"/>
      <c r="H561" s="32"/>
      <c r="I561" s="32"/>
      <c r="J561" s="32"/>
      <c r="K561" s="32"/>
      <c r="L561" s="53"/>
      <c r="M561" s="53"/>
      <c r="N561" s="53"/>
      <c r="O561" s="53" t="str" cm="1">
        <f t="array" ref="O561">IFERROR(_xlfn.FILTERXML("&lt;t&gt;&lt;s&gt;" &amp; SUBSTITUTE(M561," / ","&lt;/s&gt;&lt;s&gt;") &amp; "&lt;/s&gt;&lt;/t&gt;","(//s[contains(.,'DDR')])[1]"),"")</f>
        <v/>
      </c>
      <c r="P561" s="32" t="str">
        <f t="shared" si="23"/>
        <v>GB</v>
      </c>
      <c r="Q561" s="32"/>
      <c r="R561" s="32"/>
      <c r="S561" s="53" t="e">
        <f>_xlfn.LET(_xlpm.Result,INDEX(Input!$D$2:$AC$500,
       MATCH(B561, Input!$J$2:$J$500, 0),
       MATCH("Capacity", Input!$D$1:$AC$1, 0)),IF(_xlpm.Result="","",_xlpm.Result))</f>
        <v>#N/A</v>
      </c>
      <c r="T561" s="53"/>
      <c r="U561" s="53"/>
      <c r="V561" s="53" t="str" cm="1">
        <f t="array" ref="V561">IFERROR(_xlfn.IFS(
T561="","",
--T561&lt;55,"Battery Defect",
--T561&lt;=69,"Battery D",
--T561&lt;=80,"Battery C",
--T561&gt;80,""
),"")</f>
        <v/>
      </c>
      <c r="W561" s="53" t="str" cm="1">
        <f t="array" ref="W561">IFERROR(_xlfn.IFS(
U561="","",
--U561&lt;55,"Battery Defect",
--U561&lt;=69,"Battery D",
--U561&lt;=80,"Battery C",
--U561&gt;80,""
),"")</f>
        <v/>
      </c>
      <c r="X561" s="53"/>
      <c r="Y561" s="53"/>
      <c r="Z561" s="53"/>
      <c r="AA561" s="53"/>
      <c r="AB561" s="53"/>
      <c r="AC561" s="53"/>
      <c r="AD561" s="53"/>
      <c r="AE561" s="53"/>
      <c r="AF561" s="32" t="str">
        <f t="shared" si="22"/>
        <v/>
      </c>
      <c r="AG561" s="32"/>
      <c r="AH561" s="32"/>
      <c r="AI561" s="32"/>
      <c r="AJ561" s="32"/>
      <c r="AK561" s="32"/>
      <c r="AL561" s="32"/>
      <c r="AM561" s="32"/>
      <c r="AN561" s="32"/>
    </row>
    <row r="562" spans="1:40">
      <c r="A562" s="32" t="str">
        <f>_xlfn.TEXTJOIN("",TRUE,_xlfn.XLOOKUP(B562,Input!J:J,Input!G:G,"",0,1),_xlfn.XLOOKUP(B562,Input!J:J,Input!H:H,"",0,1))</f>
        <v/>
      </c>
      <c r="B562" s="32"/>
      <c r="C562" s="53"/>
      <c r="D562" s="32"/>
      <c r="E562" s="32"/>
      <c r="F562" s="32"/>
      <c r="G562" s="32"/>
      <c r="H562" s="32"/>
      <c r="I562" s="32"/>
      <c r="J562" s="32"/>
      <c r="K562" s="32"/>
      <c r="L562" s="53"/>
      <c r="M562" s="53"/>
      <c r="N562" s="53"/>
      <c r="O562" s="53" t="str" cm="1">
        <f t="array" ref="O562">IFERROR(_xlfn.FILTERXML("&lt;t&gt;&lt;s&gt;" &amp; SUBSTITUTE(M562," / ","&lt;/s&gt;&lt;s&gt;") &amp; "&lt;/s&gt;&lt;/t&gt;","(//s[contains(.,'DDR')])[1]"),"")</f>
        <v/>
      </c>
      <c r="P562" s="32" t="str">
        <f t="shared" si="23"/>
        <v>GB</v>
      </c>
      <c r="Q562" s="32"/>
      <c r="R562" s="32"/>
      <c r="S562" s="53" t="e">
        <f>_xlfn.LET(_xlpm.Result,INDEX(Input!$D$2:$AC$500,
       MATCH(B562, Input!$J$2:$J$500, 0),
       MATCH("Capacity", Input!$D$1:$AC$1, 0)),IF(_xlpm.Result="","",_xlpm.Result))</f>
        <v>#N/A</v>
      </c>
      <c r="T562" s="53"/>
      <c r="U562" s="53"/>
      <c r="V562" s="53" t="str" cm="1">
        <f t="array" ref="V562">IFERROR(_xlfn.IFS(
T562="","",
--T562&lt;55,"Battery Defect",
--T562&lt;=69,"Battery D",
--T562&lt;=80,"Battery C",
--T562&gt;80,""
),"")</f>
        <v/>
      </c>
      <c r="W562" s="53" t="str" cm="1">
        <f t="array" ref="W562">IFERROR(_xlfn.IFS(
U562="","",
--U562&lt;55,"Battery Defect",
--U562&lt;=69,"Battery D",
--U562&lt;=80,"Battery C",
--U562&gt;80,""
),"")</f>
        <v/>
      </c>
      <c r="X562" s="53"/>
      <c r="Y562" s="53"/>
      <c r="Z562" s="53"/>
      <c r="AA562" s="53"/>
      <c r="AB562" s="53"/>
      <c r="AC562" s="53"/>
      <c r="AD562" s="53"/>
      <c r="AE562" s="53"/>
      <c r="AF562" s="32" t="str">
        <f t="shared" si="22"/>
        <v/>
      </c>
      <c r="AG562" s="32"/>
      <c r="AH562" s="32"/>
      <c r="AI562" s="32"/>
      <c r="AJ562" s="32"/>
      <c r="AK562" s="32"/>
      <c r="AL562" s="32"/>
      <c r="AM562" s="32"/>
      <c r="AN562" s="32"/>
    </row>
    <row r="563" spans="1:40">
      <c r="A563" s="32" t="str">
        <f>_xlfn.TEXTJOIN("",TRUE,_xlfn.XLOOKUP(B563,Input!J:J,Input!G:G,"",0,1),_xlfn.XLOOKUP(B563,Input!J:J,Input!H:H,"",0,1))</f>
        <v/>
      </c>
      <c r="B563" s="32"/>
      <c r="C563" s="53"/>
      <c r="D563" s="32"/>
      <c r="E563" s="32"/>
      <c r="F563" s="32"/>
      <c r="G563" s="32"/>
      <c r="H563" s="32"/>
      <c r="I563" s="32"/>
      <c r="J563" s="32"/>
      <c r="K563" s="32"/>
      <c r="L563" s="53"/>
      <c r="M563" s="53"/>
      <c r="N563" s="53"/>
      <c r="O563" s="53" t="str" cm="1">
        <f t="array" ref="O563">IFERROR(_xlfn.FILTERXML("&lt;t&gt;&lt;s&gt;" &amp; SUBSTITUTE(M563," / ","&lt;/s&gt;&lt;s&gt;") &amp; "&lt;/s&gt;&lt;/t&gt;","(//s[contains(.,'DDR')])[1]"),"")</f>
        <v/>
      </c>
      <c r="P563" s="32" t="str">
        <f t="shared" si="23"/>
        <v>GB</v>
      </c>
      <c r="Q563" s="32"/>
      <c r="R563" s="32"/>
      <c r="S563" s="53" t="e">
        <f>_xlfn.LET(_xlpm.Result,INDEX(Input!$D$2:$AC$500,
       MATCH(B563, Input!$J$2:$J$500, 0),
       MATCH("Capacity", Input!$D$1:$AC$1, 0)),IF(_xlpm.Result="","",_xlpm.Result))</f>
        <v>#N/A</v>
      </c>
      <c r="T563" s="53"/>
      <c r="U563" s="53"/>
      <c r="V563" s="53" t="str" cm="1">
        <f t="array" ref="V563">IFERROR(_xlfn.IFS(
T563="","",
--T563&lt;55,"Battery Defect",
--T563&lt;=69,"Battery D",
--T563&lt;=80,"Battery C",
--T563&gt;80,""
),"")</f>
        <v/>
      </c>
      <c r="W563" s="53" t="str" cm="1">
        <f t="array" ref="W563">IFERROR(_xlfn.IFS(
U563="","",
--U563&lt;55,"Battery Defect",
--U563&lt;=69,"Battery D",
--U563&lt;=80,"Battery C",
--U563&gt;80,""
),"")</f>
        <v/>
      </c>
      <c r="X563" s="53"/>
      <c r="Y563" s="53"/>
      <c r="Z563" s="53"/>
      <c r="AA563" s="53"/>
      <c r="AB563" s="53"/>
      <c r="AC563" s="53"/>
      <c r="AD563" s="53"/>
      <c r="AE563" s="53"/>
      <c r="AF563" s="32" t="str">
        <f t="shared" si="22"/>
        <v/>
      </c>
      <c r="AG563" s="32"/>
      <c r="AH563" s="32"/>
      <c r="AI563" s="32"/>
      <c r="AJ563" s="32"/>
      <c r="AK563" s="32"/>
      <c r="AL563" s="32"/>
      <c r="AM563" s="32"/>
      <c r="AN563" s="32"/>
    </row>
    <row r="564" spans="1:40">
      <c r="A564" s="32" t="str">
        <f>_xlfn.TEXTJOIN("",TRUE,_xlfn.XLOOKUP(B564,Input!J:J,Input!G:G,"",0,1),_xlfn.XLOOKUP(B564,Input!J:J,Input!H:H,"",0,1))</f>
        <v/>
      </c>
      <c r="B564" s="32"/>
      <c r="C564" s="53"/>
      <c r="D564" s="32"/>
      <c r="E564" s="32"/>
      <c r="F564" s="32"/>
      <c r="G564" s="32"/>
      <c r="H564" s="32"/>
      <c r="I564" s="32"/>
      <c r="J564" s="32"/>
      <c r="K564" s="32"/>
      <c r="L564" s="53"/>
      <c r="M564" s="53"/>
      <c r="N564" s="53"/>
      <c r="O564" s="53" t="str" cm="1">
        <f t="array" ref="O564">IFERROR(_xlfn.FILTERXML("&lt;t&gt;&lt;s&gt;" &amp; SUBSTITUTE(M564," / ","&lt;/s&gt;&lt;s&gt;") &amp; "&lt;/s&gt;&lt;/t&gt;","(//s[contains(.,'DDR')])[1]"),"")</f>
        <v/>
      </c>
      <c r="P564" s="32" t="str">
        <f t="shared" si="23"/>
        <v>GB</v>
      </c>
      <c r="Q564" s="32"/>
      <c r="R564" s="32"/>
      <c r="S564" s="53" t="e">
        <f>_xlfn.LET(_xlpm.Result,INDEX(Input!$D$2:$AC$500,
       MATCH(B564, Input!$J$2:$J$500, 0),
       MATCH("Capacity", Input!$D$1:$AC$1, 0)),IF(_xlpm.Result="","",_xlpm.Result))</f>
        <v>#N/A</v>
      </c>
      <c r="T564" s="53"/>
      <c r="U564" s="53"/>
      <c r="V564" s="53" t="str" cm="1">
        <f t="array" ref="V564">IFERROR(_xlfn.IFS(
T564="","",
--T564&lt;55,"Battery Defect",
--T564&lt;=69,"Battery D",
--T564&lt;=80,"Battery C",
--T564&gt;80,""
),"")</f>
        <v/>
      </c>
      <c r="W564" s="53" t="str" cm="1">
        <f t="array" ref="W564">IFERROR(_xlfn.IFS(
U564="","",
--U564&lt;55,"Battery Defect",
--U564&lt;=69,"Battery D",
--U564&lt;=80,"Battery C",
--U564&gt;80,""
),"")</f>
        <v/>
      </c>
      <c r="X564" s="53"/>
      <c r="Y564" s="53"/>
      <c r="Z564" s="53"/>
      <c r="AA564" s="53"/>
      <c r="AB564" s="53"/>
      <c r="AC564" s="53"/>
      <c r="AD564" s="53"/>
      <c r="AE564" s="53"/>
      <c r="AF564" s="32" t="str">
        <f t="shared" si="22"/>
        <v/>
      </c>
      <c r="AG564" s="32"/>
      <c r="AH564" s="32"/>
      <c r="AI564" s="32"/>
      <c r="AJ564" s="32"/>
      <c r="AK564" s="32"/>
      <c r="AL564" s="32"/>
      <c r="AM564" s="32"/>
      <c r="AN564" s="32"/>
    </row>
    <row r="565" spans="1:40">
      <c r="A565" s="32" t="str">
        <f>_xlfn.TEXTJOIN("",TRUE,_xlfn.XLOOKUP(B565,Input!J:J,Input!G:G,"",0,1),_xlfn.XLOOKUP(B565,Input!J:J,Input!H:H,"",0,1))</f>
        <v/>
      </c>
      <c r="B565" s="32"/>
      <c r="C565" s="53"/>
      <c r="D565" s="32"/>
      <c r="E565" s="32"/>
      <c r="F565" s="32"/>
      <c r="G565" s="32"/>
      <c r="H565" s="32"/>
      <c r="I565" s="32"/>
      <c r="J565" s="32"/>
      <c r="K565" s="32"/>
      <c r="L565" s="53"/>
      <c r="M565" s="53"/>
      <c r="N565" s="53"/>
      <c r="O565" s="53" t="str" cm="1">
        <f t="array" ref="O565">IFERROR(_xlfn.FILTERXML("&lt;t&gt;&lt;s&gt;" &amp; SUBSTITUTE(M565," / ","&lt;/s&gt;&lt;s&gt;") &amp; "&lt;/s&gt;&lt;/t&gt;","(//s[contains(.,'DDR')])[1]"),"")</f>
        <v/>
      </c>
      <c r="P565" s="32" t="str">
        <f t="shared" si="23"/>
        <v>GB</v>
      </c>
      <c r="Q565" s="32"/>
      <c r="R565" s="32"/>
      <c r="S565" s="53"/>
      <c r="T565" s="53"/>
      <c r="U565" s="53"/>
      <c r="V565" s="53" t="str" cm="1">
        <f t="array" ref="V565">IFERROR(_xlfn.IFS(
T565="","",
--T565&lt;55,"Battery Defect",
--T565&lt;=69,"Battery D",
--T565&lt;=80,"Battery C",
--T565&gt;80,""
),"")</f>
        <v/>
      </c>
      <c r="W565" s="53" t="str" cm="1">
        <f t="array" ref="W565">IFERROR(_xlfn.IFS(
U565="","",
--U565&lt;55,"Battery Defect",
--U565&lt;=69,"Battery D",
--U565&lt;=80,"Battery C",
--U565&gt;80,""
),"")</f>
        <v/>
      </c>
      <c r="X565" s="53"/>
      <c r="Y565" s="53"/>
      <c r="Z565" s="53"/>
      <c r="AA565" s="53"/>
      <c r="AB565" s="53"/>
      <c r="AC565" s="53"/>
      <c r="AD565" s="53"/>
      <c r="AE565" s="53"/>
      <c r="AF565" s="32" t="str">
        <f t="shared" si="22"/>
        <v/>
      </c>
      <c r="AG565" s="32"/>
      <c r="AH565" s="32"/>
      <c r="AI565" s="32"/>
      <c r="AJ565" s="32"/>
      <c r="AK565" s="32"/>
      <c r="AL565" s="32"/>
      <c r="AM565" s="32"/>
      <c r="AN565" s="32"/>
    </row>
    <row r="566" spans="1:40">
      <c r="A566" s="32" t="str">
        <f>_xlfn.TEXTJOIN("",TRUE,_xlfn.XLOOKUP(B566,Input!J:J,Input!G:G,"",0,1),_xlfn.XLOOKUP(B566,Input!J:J,Input!H:H,"",0,1))</f>
        <v/>
      </c>
      <c r="B566" s="32"/>
      <c r="C566" s="53"/>
      <c r="D566" s="32"/>
      <c r="E566" s="32"/>
      <c r="F566" s="32"/>
      <c r="G566" s="32"/>
      <c r="H566" s="32"/>
      <c r="I566" s="32"/>
      <c r="J566" s="32"/>
      <c r="K566" s="32"/>
      <c r="L566" s="53"/>
      <c r="M566" s="53"/>
      <c r="N566" s="53"/>
      <c r="O566" s="53" t="str" cm="1">
        <f t="array" ref="O566">IFERROR(_xlfn.FILTERXML("&lt;t&gt;&lt;s&gt;" &amp; SUBSTITUTE(M566," / ","&lt;/s&gt;&lt;s&gt;") &amp; "&lt;/s&gt;&lt;/t&gt;","(//s[contains(.,'DDR')])[1]"),"")</f>
        <v/>
      </c>
      <c r="P566" s="32" t="str">
        <f t="shared" si="23"/>
        <v>GB</v>
      </c>
      <c r="Q566" s="32"/>
      <c r="R566" s="32"/>
      <c r="S566" s="53"/>
      <c r="T566" s="53"/>
      <c r="U566" s="53"/>
      <c r="V566" s="53" t="str" cm="1">
        <f t="array" ref="V566">IFERROR(_xlfn.IFS(
T566="","",
--T566&lt;55,"Battery Defect",
--T566&lt;=69,"Battery D",
--T566&lt;=80,"Battery C",
--T566&gt;80,""
),"")</f>
        <v/>
      </c>
      <c r="W566" s="53" t="str" cm="1">
        <f t="array" ref="W566">IFERROR(_xlfn.IFS(
U566="","",
--U566&lt;55,"Battery Defect",
--U566&lt;=69,"Battery D",
--U566&lt;=80,"Battery C",
--U566&gt;80,""
),"")</f>
        <v/>
      </c>
      <c r="X566" s="53"/>
      <c r="Y566" s="53"/>
      <c r="Z566" s="53"/>
      <c r="AA566" s="53"/>
      <c r="AB566" s="53"/>
      <c r="AC566" s="53"/>
      <c r="AD566" s="53"/>
      <c r="AE566" s="53"/>
      <c r="AF566" s="32" t="str">
        <f t="shared" si="22"/>
        <v/>
      </c>
      <c r="AG566" s="32"/>
      <c r="AH566" s="32"/>
      <c r="AI566" s="32"/>
      <c r="AJ566" s="32"/>
      <c r="AK566" s="32"/>
      <c r="AL566" s="32"/>
      <c r="AM566" s="32"/>
      <c r="AN566" s="32"/>
    </row>
    <row r="567" spans="1:40">
      <c r="A567" s="32" t="str">
        <f>_xlfn.TEXTJOIN("",TRUE,_xlfn.XLOOKUP(B567,Input!J:J,Input!G:G,"",0,1),_xlfn.XLOOKUP(B567,Input!J:J,Input!H:H,"",0,1))</f>
        <v/>
      </c>
      <c r="B567" s="32"/>
      <c r="C567" s="53"/>
      <c r="D567" s="32"/>
      <c r="E567" s="32"/>
      <c r="F567" s="32"/>
      <c r="G567" s="32"/>
      <c r="H567" s="32"/>
      <c r="I567" s="32"/>
      <c r="J567" s="32"/>
      <c r="K567" s="32"/>
      <c r="L567" s="53"/>
      <c r="M567" s="53"/>
      <c r="N567" s="53"/>
      <c r="O567" s="53" t="str" cm="1">
        <f t="array" ref="O567">IFERROR(_xlfn.FILTERXML("&lt;t&gt;&lt;s&gt;" &amp; SUBSTITUTE(M567," / ","&lt;/s&gt;&lt;s&gt;") &amp; "&lt;/s&gt;&lt;/t&gt;","(//s[contains(.,'DDR')])[1]"),"")</f>
        <v/>
      </c>
      <c r="P567" s="32" t="str">
        <f t="shared" si="23"/>
        <v>GB</v>
      </c>
      <c r="Q567" s="32"/>
      <c r="R567" s="32"/>
      <c r="S567" s="53"/>
      <c r="T567" s="53"/>
      <c r="U567" s="53"/>
      <c r="V567" s="53" t="str" cm="1">
        <f t="array" ref="V567">IFERROR(_xlfn.IFS(
T567="","",
--T567&lt;55,"Battery Defect",
--T567&lt;=69,"Battery D",
--T567&lt;=80,"Battery C",
--T567&gt;80,""
),"")</f>
        <v/>
      </c>
      <c r="W567" s="53" t="str" cm="1">
        <f t="array" ref="W567">IFERROR(_xlfn.IFS(
U567="","",
--U567&lt;55,"Battery Defect",
--U567&lt;=69,"Battery D",
--U567&lt;=80,"Battery C",
--U567&gt;80,""
),"")</f>
        <v/>
      </c>
      <c r="X567" s="53"/>
      <c r="Y567" s="53"/>
      <c r="Z567" s="53"/>
      <c r="AA567" s="53"/>
      <c r="AB567" s="53"/>
      <c r="AC567" s="53"/>
      <c r="AD567" s="53"/>
      <c r="AE567" s="53"/>
      <c r="AF567" s="32" t="str">
        <f t="shared" si="22"/>
        <v/>
      </c>
      <c r="AG567" s="32"/>
      <c r="AH567" s="32"/>
      <c r="AI567" s="32"/>
      <c r="AJ567" s="32"/>
      <c r="AK567" s="32"/>
      <c r="AL567" s="32"/>
      <c r="AM567" s="32"/>
      <c r="AN567" s="32"/>
    </row>
    <row r="568" spans="1:40">
      <c r="A568" s="32" t="str">
        <f>_xlfn.TEXTJOIN("",TRUE,_xlfn.XLOOKUP(B568,Input!J:J,Input!G:G,"",0,1),_xlfn.XLOOKUP(B568,Input!J:J,Input!H:H,"",0,1))</f>
        <v/>
      </c>
      <c r="B568" s="32"/>
      <c r="C568" s="53"/>
      <c r="D568" s="32"/>
      <c r="E568" s="32"/>
      <c r="F568" s="32"/>
      <c r="G568" s="32"/>
      <c r="H568" s="32"/>
      <c r="I568" s="32"/>
      <c r="J568" s="32"/>
      <c r="K568" s="32"/>
      <c r="L568" s="53"/>
      <c r="M568" s="53"/>
      <c r="N568" s="53"/>
      <c r="O568" s="53" t="str" cm="1">
        <f t="array" ref="O568">IFERROR(_xlfn.FILTERXML("&lt;t&gt;&lt;s&gt;" &amp; SUBSTITUTE(M568," / ","&lt;/s&gt;&lt;s&gt;") &amp; "&lt;/s&gt;&lt;/t&gt;","(//s[contains(.,'DDR')])[1]"),"")</f>
        <v/>
      </c>
      <c r="P568" s="32" t="str">
        <f t="shared" si="23"/>
        <v>GB</v>
      </c>
      <c r="Q568" s="32"/>
      <c r="R568" s="32"/>
      <c r="S568" s="53"/>
      <c r="T568" s="53"/>
      <c r="U568" s="53"/>
      <c r="V568" s="53" t="str" cm="1">
        <f t="array" ref="V568">IFERROR(_xlfn.IFS(
T568="","",
--T568&lt;55,"Battery Defect",
--T568&lt;=69,"Battery D",
--T568&lt;=80,"Battery C",
--T568&gt;80,""
),"")</f>
        <v/>
      </c>
      <c r="W568" s="53" t="str" cm="1">
        <f t="array" ref="W568">IFERROR(_xlfn.IFS(
U568="","",
--U568&lt;55,"Battery Defect",
--U568&lt;=69,"Battery D",
--U568&lt;=80,"Battery C",
--U568&gt;80,""
),"")</f>
        <v/>
      </c>
      <c r="X568" s="53"/>
      <c r="Y568" s="53"/>
      <c r="Z568" s="53"/>
      <c r="AA568" s="53"/>
      <c r="AB568" s="53"/>
      <c r="AC568" s="53"/>
      <c r="AD568" s="53"/>
      <c r="AE568" s="53"/>
      <c r="AF568" s="32" t="str">
        <f t="shared" si="22"/>
        <v/>
      </c>
      <c r="AG568" s="32"/>
      <c r="AH568" s="32"/>
      <c r="AI568" s="32"/>
      <c r="AJ568" s="32"/>
      <c r="AK568" s="32"/>
      <c r="AL568" s="32"/>
      <c r="AM568" s="32"/>
      <c r="AN568" s="32"/>
    </row>
    <row r="569" spans="1:40">
      <c r="A569" s="32" t="str">
        <f>_xlfn.TEXTJOIN("",TRUE,_xlfn.XLOOKUP(B569,Input!J:J,Input!G:G,"",0,1),_xlfn.XLOOKUP(B569,Input!J:J,Input!H:H,"",0,1))</f>
        <v/>
      </c>
      <c r="B569" s="32"/>
      <c r="C569" s="53"/>
      <c r="D569" s="32"/>
      <c r="E569" s="32"/>
      <c r="F569" s="32"/>
      <c r="G569" s="32"/>
      <c r="H569" s="32"/>
      <c r="I569" s="32"/>
      <c r="J569" s="32"/>
      <c r="K569" s="32"/>
      <c r="L569" s="53"/>
      <c r="M569" s="53"/>
      <c r="N569" s="53"/>
      <c r="O569" s="53"/>
      <c r="P569" s="32"/>
      <c r="Q569" s="32"/>
      <c r="R569" s="32"/>
      <c r="S569" s="53"/>
      <c r="T569" s="53"/>
      <c r="U569" s="53"/>
      <c r="V569" s="53" t="str" cm="1">
        <f t="array" ref="V569">IFERROR(_xlfn.IFS(
T569="","",
--T569&lt;55,"Battery Defect",
--T569&lt;=69,"Battery D",
--T569&lt;=80,"Battery C",
--T569&gt;80,""
),"")</f>
        <v/>
      </c>
      <c r="W569" s="53" t="str" cm="1">
        <f t="array" ref="W569">IFERROR(_xlfn.IFS(
U569="","",
--U569&lt;55,"Battery Defect",
--U569&lt;=69,"Battery D",
--U569&lt;=80,"Battery C",
--U569&gt;80,""
),"")</f>
        <v/>
      </c>
      <c r="X569" s="53"/>
      <c r="Y569" s="53"/>
      <c r="Z569" s="53"/>
      <c r="AA569" s="53"/>
      <c r="AB569" s="53"/>
      <c r="AC569" s="53"/>
      <c r="AD569" s="53"/>
      <c r="AE569" s="53"/>
      <c r="AF569" s="32" t="str">
        <f t="shared" si="22"/>
        <v/>
      </c>
      <c r="AG569" s="32"/>
      <c r="AH569" s="32"/>
      <c r="AI569" s="32"/>
      <c r="AJ569" s="32"/>
      <c r="AK569" s="32"/>
      <c r="AL569" s="32"/>
      <c r="AM569" s="32"/>
      <c r="AN569" s="32"/>
    </row>
    <row r="570" spans="1:40">
      <c r="A570" s="32" t="str">
        <f>_xlfn.TEXTJOIN("",TRUE,_xlfn.XLOOKUP(B570,Input!J:J,Input!G:G,"",0,1),_xlfn.XLOOKUP(B570,Input!J:J,Input!H:H,"",0,1))</f>
        <v/>
      </c>
      <c r="B570" s="32"/>
      <c r="C570" s="53"/>
      <c r="D570" s="32"/>
      <c r="E570" s="32"/>
      <c r="F570" s="32"/>
      <c r="G570" s="32"/>
      <c r="H570" s="32"/>
      <c r="I570" s="32"/>
      <c r="J570" s="32"/>
      <c r="K570" s="32"/>
      <c r="L570" s="53"/>
      <c r="M570" s="53"/>
      <c r="N570" s="53"/>
      <c r="O570" s="53"/>
      <c r="P570" s="32"/>
      <c r="Q570" s="32"/>
      <c r="R570" s="32"/>
      <c r="S570" s="53"/>
      <c r="T570" s="53"/>
      <c r="U570" s="53"/>
      <c r="V570" s="53" t="str" cm="1">
        <f t="array" ref="V570">IFERROR(_xlfn.IFS(
T570="","",
--T570&lt;55,"Battery Defect",
--T570&lt;=69,"Battery D",
--T570&lt;=80,"Battery C",
--T570&gt;80,""
),"")</f>
        <v/>
      </c>
      <c r="W570" s="53" t="str" cm="1">
        <f t="array" ref="W570">IFERROR(_xlfn.IFS(
U570="","",
--U570&lt;55,"Battery Defect",
--U570&lt;=69,"Battery D",
--U570&lt;=80,"Battery C",
--U570&gt;80,""
),"")</f>
        <v/>
      </c>
      <c r="X570" s="53"/>
      <c r="Y570" s="53"/>
      <c r="Z570" s="53"/>
      <c r="AA570" s="53"/>
      <c r="AB570" s="53"/>
      <c r="AC570" s="53"/>
      <c r="AD570" s="53"/>
      <c r="AE570" s="53"/>
      <c r="AF570" s="32" t="str">
        <f t="shared" si="22"/>
        <v/>
      </c>
      <c r="AG570" s="32"/>
      <c r="AH570" s="32"/>
      <c r="AI570" s="32"/>
      <c r="AJ570" s="32"/>
      <c r="AK570" s="32"/>
      <c r="AL570" s="32"/>
      <c r="AM570" s="32"/>
      <c r="AN570" s="32"/>
    </row>
    <row r="571" spans="1:40">
      <c r="A571" s="32" t="str">
        <f>_xlfn.TEXTJOIN("",TRUE,_xlfn.XLOOKUP(B571,Input!J:J,Input!G:G,"",0,1),_xlfn.XLOOKUP(B571,Input!J:J,Input!H:H,"",0,1))</f>
        <v/>
      </c>
      <c r="B571" s="32"/>
      <c r="C571" s="53"/>
      <c r="D571" s="32"/>
      <c r="E571" s="32"/>
      <c r="F571" s="32"/>
      <c r="G571" s="32"/>
      <c r="H571" s="32"/>
      <c r="I571" s="32"/>
      <c r="J571" s="32"/>
      <c r="K571" s="32"/>
      <c r="L571" s="53"/>
      <c r="M571" s="53"/>
      <c r="N571" s="53"/>
      <c r="O571" s="53"/>
      <c r="P571" s="32"/>
      <c r="Q571" s="32"/>
      <c r="R571" s="32"/>
      <c r="S571" s="53"/>
      <c r="T571" s="53"/>
      <c r="U571" s="53"/>
      <c r="V571" s="53" t="str" cm="1">
        <f t="array" ref="V571">IFERROR(_xlfn.IFS(
T571="","",
--T571&lt;55,"Battery Defect",
--T571&lt;=69,"Battery D",
--T571&lt;=80,"Battery C",
--T571&gt;80,""
),"")</f>
        <v/>
      </c>
      <c r="W571" s="53" t="str" cm="1">
        <f t="array" ref="W571">IFERROR(_xlfn.IFS(
U571="","",
--U571&lt;55,"Battery Defect",
--U571&lt;=69,"Battery D",
--U571&lt;=80,"Battery C",
--U571&gt;80,""
),"")</f>
        <v/>
      </c>
      <c r="X571" s="53"/>
      <c r="Y571" s="53"/>
      <c r="Z571" s="53"/>
      <c r="AA571" s="53"/>
      <c r="AB571" s="53"/>
      <c r="AC571" s="53"/>
      <c r="AD571" s="53"/>
      <c r="AE571" s="53"/>
      <c r="AF571" s="32" t="str">
        <f t="shared" si="22"/>
        <v/>
      </c>
      <c r="AG571" s="32"/>
      <c r="AH571" s="32"/>
      <c r="AI571" s="32"/>
      <c r="AJ571" s="32"/>
      <c r="AK571" s="32"/>
      <c r="AL571" s="32"/>
      <c r="AM571" s="32"/>
      <c r="AN571" s="32"/>
    </row>
    <row r="572" spans="1:40">
      <c r="A572" s="32" t="str">
        <f>_xlfn.TEXTJOIN("",TRUE,_xlfn.XLOOKUP(B572,Input!J:J,Input!G:G,"",0,1),_xlfn.XLOOKUP(B572,Input!J:J,Input!H:H,"",0,1))</f>
        <v/>
      </c>
      <c r="B572" s="32"/>
      <c r="C572" s="53"/>
      <c r="D572" s="32"/>
      <c r="E572" s="32"/>
      <c r="F572" s="32"/>
      <c r="G572" s="32"/>
      <c r="H572" s="32"/>
      <c r="I572" s="32"/>
      <c r="J572" s="32"/>
      <c r="K572" s="32"/>
      <c r="L572" s="53"/>
      <c r="M572" s="53"/>
      <c r="N572" s="53"/>
      <c r="O572" s="53"/>
      <c r="P572" s="32"/>
      <c r="Q572" s="32"/>
      <c r="R572" s="32"/>
      <c r="S572" s="53"/>
      <c r="T572" s="53"/>
      <c r="U572" s="53"/>
      <c r="V572" s="53" t="str" cm="1">
        <f t="array" ref="V572">IFERROR(_xlfn.IFS(
T572="","",
--T572&lt;55,"Battery Defect",
--T572&lt;=69,"Battery D",
--T572&lt;=80,"Battery C",
--T572&gt;80,""
),"")</f>
        <v/>
      </c>
      <c r="W572" s="53" t="str" cm="1">
        <f t="array" ref="W572">IFERROR(_xlfn.IFS(
U572="","",
--U572&lt;55,"Battery Defect",
--U572&lt;=69,"Battery D",
--U572&lt;=80,"Battery C",
--U572&gt;80,""
),"")</f>
        <v/>
      </c>
      <c r="X572" s="53"/>
      <c r="Y572" s="53"/>
      <c r="Z572" s="53"/>
      <c r="AA572" s="53"/>
      <c r="AB572" s="53"/>
      <c r="AC572" s="53"/>
      <c r="AD572" s="53"/>
      <c r="AE572" s="53"/>
      <c r="AF572" s="32" t="str">
        <f t="shared" si="22"/>
        <v/>
      </c>
      <c r="AG572" s="32"/>
      <c r="AH572" s="32"/>
      <c r="AI572" s="32"/>
      <c r="AJ572" s="32"/>
      <c r="AK572" s="32"/>
      <c r="AL572" s="32"/>
      <c r="AM572" s="32"/>
      <c r="AN572" s="32"/>
    </row>
    <row r="573" spans="1:40">
      <c r="A573" s="32" t="str">
        <f>_xlfn.TEXTJOIN("",TRUE,_xlfn.XLOOKUP(B573,Input!J:J,Input!G:G,"",0,1),_xlfn.XLOOKUP(B573,Input!J:J,Input!H:H,"",0,1))</f>
        <v/>
      </c>
      <c r="B573" s="32"/>
      <c r="C573" s="53"/>
      <c r="D573" s="32"/>
      <c r="E573" s="32"/>
      <c r="F573" s="32"/>
      <c r="G573" s="32"/>
      <c r="H573" s="32"/>
      <c r="I573" s="32"/>
      <c r="J573" s="32"/>
      <c r="K573" s="32"/>
      <c r="L573" s="53"/>
      <c r="M573" s="53"/>
      <c r="N573" s="53"/>
      <c r="O573" s="53"/>
      <c r="P573" s="32"/>
      <c r="Q573" s="32"/>
      <c r="R573" s="32"/>
      <c r="S573" s="53"/>
      <c r="T573" s="53"/>
      <c r="U573" s="53"/>
      <c r="V573" s="53" t="str" cm="1">
        <f t="array" ref="V573">IFERROR(_xlfn.IFS(
T573="","",
--T573&lt;55,"Battery Defect",
--T573&lt;=69,"Battery D",
--T573&lt;=80,"Battery C",
--T573&gt;80,""
),"")</f>
        <v/>
      </c>
      <c r="W573" s="53" t="str" cm="1">
        <f t="array" ref="W573">IFERROR(_xlfn.IFS(
U573="","",
--U573&lt;55,"Battery Defect",
--U573&lt;=69,"Battery D",
--U573&lt;=80,"Battery C",
--U573&gt;80,""
),"")</f>
        <v/>
      </c>
      <c r="X573" s="53"/>
      <c r="Y573" s="53"/>
      <c r="Z573" s="53"/>
      <c r="AA573" s="53"/>
      <c r="AB573" s="53"/>
      <c r="AC573" s="53"/>
      <c r="AD573" s="53"/>
      <c r="AE573" s="53"/>
      <c r="AF573" s="32" t="str">
        <f t="shared" si="22"/>
        <v/>
      </c>
      <c r="AG573" s="32"/>
      <c r="AH573" s="32"/>
      <c r="AI573" s="32"/>
      <c r="AJ573" s="32"/>
      <c r="AK573" s="32"/>
      <c r="AL573" s="32"/>
      <c r="AM573" s="32"/>
      <c r="AN573" s="32"/>
    </row>
    <row r="574" spans="1:40">
      <c r="A574" s="32" t="str">
        <f>_xlfn.TEXTJOIN("",TRUE,_xlfn.XLOOKUP(B574,Input!J:J,Input!G:G,"",0,1),_xlfn.XLOOKUP(B574,Input!J:J,Input!H:H,"",0,1))</f>
        <v/>
      </c>
      <c r="B574" s="32"/>
      <c r="C574" s="53"/>
      <c r="D574" s="32"/>
      <c r="E574" s="32"/>
      <c r="F574" s="32"/>
      <c r="G574" s="32"/>
      <c r="H574" s="32"/>
      <c r="I574" s="32"/>
      <c r="J574" s="32"/>
      <c r="K574" s="32"/>
      <c r="L574" s="53"/>
      <c r="M574" s="53"/>
      <c r="N574" s="53"/>
      <c r="O574" s="53"/>
      <c r="P574" s="32"/>
      <c r="Q574" s="32"/>
      <c r="R574" s="32"/>
      <c r="S574" s="53"/>
      <c r="T574" s="53"/>
      <c r="U574" s="53"/>
      <c r="V574" s="53" t="str" cm="1">
        <f t="array" ref="V574">IFERROR(_xlfn.IFS(
T574="","",
--T574&lt;55,"Battery Defect",
--T574&lt;=69,"Battery D",
--T574&lt;=80,"Battery C",
--T574&gt;80,""
),"")</f>
        <v/>
      </c>
      <c r="W574" s="53" t="str" cm="1">
        <f t="array" ref="W574">IFERROR(_xlfn.IFS(
U574="","",
--U574&lt;55,"Battery Defect",
--U574&lt;=69,"Battery D",
--U574&lt;=80,"Battery C",
--U574&gt;80,""
),"")</f>
        <v/>
      </c>
      <c r="X574" s="53"/>
      <c r="Y574" s="53"/>
      <c r="Z574" s="53"/>
      <c r="AA574" s="53"/>
      <c r="AB574" s="53"/>
      <c r="AC574" s="53"/>
      <c r="AD574" s="53"/>
      <c r="AE574" s="53"/>
      <c r="AF574" s="32" t="str">
        <f t="shared" si="22"/>
        <v/>
      </c>
      <c r="AG574" s="32"/>
      <c r="AH574" s="32"/>
      <c r="AI574" s="32"/>
      <c r="AJ574" s="32"/>
      <c r="AK574" s="32"/>
      <c r="AL574" s="32"/>
      <c r="AM574" s="32"/>
      <c r="AN574" s="32"/>
    </row>
    <row r="575" spans="1:40">
      <c r="A575" s="32" t="str">
        <f>_xlfn.TEXTJOIN("",TRUE,_xlfn.XLOOKUP(B575,Input!J:J,Input!G:G,"",0,1),_xlfn.XLOOKUP(B575,Input!J:J,Input!H:H,"",0,1))</f>
        <v/>
      </c>
      <c r="B575" s="32"/>
      <c r="C575" s="53"/>
      <c r="D575" s="32"/>
      <c r="E575" s="32"/>
      <c r="F575" s="32"/>
      <c r="G575" s="32"/>
      <c r="H575" s="32"/>
      <c r="I575" s="32"/>
      <c r="J575" s="32"/>
      <c r="K575" s="32"/>
      <c r="L575" s="53"/>
      <c r="M575" s="53"/>
      <c r="N575" s="53"/>
      <c r="O575" s="53"/>
      <c r="P575" s="32"/>
      <c r="Q575" s="32"/>
      <c r="R575" s="32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32"/>
      <c r="AG575" s="32"/>
      <c r="AH575" s="32"/>
      <c r="AI575" s="32"/>
      <c r="AJ575" s="32"/>
      <c r="AK575" s="32"/>
      <c r="AL575" s="32"/>
      <c r="AM575" s="32"/>
      <c r="AN575" s="32"/>
    </row>
    <row r="576" spans="1:40">
      <c r="A576" s="32" t="str">
        <f>_xlfn.TEXTJOIN("",TRUE,_xlfn.XLOOKUP(B576,Input!J:J,Input!G:G,"",0,1),_xlfn.XLOOKUP(B576,Input!J:J,Input!H:H,"",0,1))</f>
        <v/>
      </c>
      <c r="B576" s="32"/>
      <c r="C576" s="53"/>
      <c r="D576" s="32"/>
      <c r="E576" s="32"/>
      <c r="F576" s="32"/>
      <c r="G576" s="32"/>
      <c r="H576" s="32"/>
      <c r="I576" s="32"/>
      <c r="J576" s="32"/>
      <c r="K576" s="32"/>
      <c r="L576" s="53"/>
      <c r="M576" s="53"/>
      <c r="N576" s="53"/>
      <c r="O576" s="53"/>
      <c r="P576" s="32"/>
      <c r="Q576" s="32"/>
      <c r="R576" s="32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32"/>
      <c r="AG576" s="32"/>
      <c r="AH576" s="32"/>
      <c r="AI576" s="32"/>
      <c r="AJ576" s="32"/>
      <c r="AK576" s="32"/>
      <c r="AL576" s="32"/>
      <c r="AM576" s="32"/>
      <c r="AN576" s="32"/>
    </row>
  </sheetData>
  <mergeCells count="1">
    <mergeCell ref="X1:AC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693"/>
  <sheetViews>
    <sheetView topLeftCell="A114" workbookViewId="0">
      <selection activeCell="E165" sqref="E165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59</v>
      </c>
      <c r="B1" s="12" t="s">
        <v>287</v>
      </c>
      <c r="C1" s="12" t="s">
        <v>538</v>
      </c>
      <c r="D1" s="12" t="s">
        <v>283</v>
      </c>
      <c r="E1" s="12" t="s">
        <v>284</v>
      </c>
      <c r="F1" s="12" t="s">
        <v>539</v>
      </c>
      <c r="G1" s="12" t="s">
        <v>285</v>
      </c>
      <c r="H1" s="12" t="s">
        <v>286</v>
      </c>
      <c r="I1" s="1" t="s">
        <v>9</v>
      </c>
    </row>
    <row r="2" spans="1:9" ht="15.75" thickTop="1">
      <c r="A2">
        <f>CSV!B2</f>
        <v>0</v>
      </c>
      <c r="B2" s="13" t="e">
        <f>INDEX(Input!$D$2:$AC$500,
       MATCH(CPU_Formula!A2, Input!$J$2:$J$500, 0),
       MATCH("CPU model", Input!$D$1:$AC$1, 0))</f>
        <v>#N/A</v>
      </c>
      <c r="C2" s="13" t="str">
        <f>IFERROR(_xlfn.TEXTAFTER(B2,"Core(TM) "),IFERROR(_xlfn.TEXTAFTER(B2,"Xeon(R) CPU"),""))</f>
        <v/>
      </c>
      <c r="D2" s="13" t="str">
        <f t="shared" ref="D2:D65" si="0">IF(ISNUMBER(SEARCH("Ryzen", B2)), _xlfn.TEXTAFTER(B2, "AMD"), "")</f>
        <v/>
      </c>
      <c r="E2" s="13" t="str">
        <f t="shared" ref="E2:E65" si="1">IF(ISNUMBER(SEARCH("Ultra", B2)), "Ultra"&amp;_xlfn.TEXTAFTER(B2, "Ultra"), "")</f>
        <v/>
      </c>
      <c r="F2" s="13" t="str">
        <f t="shared" ref="F2:F65" si="2">IF(C2&lt;&gt;"", TRIM(_xlfn.TEXTBEFORE(C2," ",,1,1)), "")</f>
        <v/>
      </c>
      <c r="G2" s="13" t="str">
        <f t="shared" ref="G2:G65" si="3">IFERROR(_xlfn.TEXTBEFORE(D2,"w/"),"")</f>
        <v/>
      </c>
      <c r="H2" s="13" t="str">
        <f t="shared" ref="H2:H65" si="4">E2</f>
        <v/>
      </c>
      <c r="I2" t="str">
        <f t="shared" ref="I2:I65" si="5">IF(H2&lt;&gt;"",H2,IF(G2&lt;&gt;"",G2,F2))</f>
        <v/>
      </c>
    </row>
    <row r="3" spans="1:9">
      <c r="A3">
        <f>CSV!B3</f>
        <v>0</v>
      </c>
      <c r="B3" s="13" t="e">
        <f>INDEX(Input!$D$2:$AC$500,
       MATCH(CPU_Formula!A3, Input!$J$2:$J$500, 0),
       MATCH("CPU model", Input!$D$1:$AC$1, 0))</f>
        <v>#N/A</v>
      </c>
      <c r="C3" s="13" t="str">
        <f t="shared" ref="C3:C66" si="6">IFERROR(_xlfn.TEXTAFTER(B3,"Core(TM) "),IFERROR(_xlfn.TEXTAFTER(B3,"Xeon(R) CPU"),""))</f>
        <v/>
      </c>
      <c r="D3" s="13" t="str">
        <f t="shared" si="0"/>
        <v/>
      </c>
      <c r="E3" s="13" t="str">
        <f t="shared" si="1"/>
        <v/>
      </c>
      <c r="F3" s="13" t="str">
        <f t="shared" si="2"/>
        <v/>
      </c>
      <c r="G3" s="13" t="str">
        <f t="shared" si="3"/>
        <v/>
      </c>
      <c r="H3" s="13" t="str">
        <f t="shared" si="4"/>
        <v/>
      </c>
      <c r="I3" t="str">
        <f t="shared" si="5"/>
        <v/>
      </c>
    </row>
    <row r="4" spans="1:9">
      <c r="A4">
        <f>CSV!B4</f>
        <v>0</v>
      </c>
      <c r="B4" s="13" t="e">
        <f>INDEX(Input!$D$2:$AC$500,
       MATCH(CPU_Formula!A4, Input!$J$2:$J$500, 0),
       MATCH("CPU model", Input!$D$1:$AC$1, 0))</f>
        <v>#N/A</v>
      </c>
      <c r="C4" s="13" t="str">
        <f t="shared" si="6"/>
        <v/>
      </c>
      <c r="D4" s="13" t="str">
        <f t="shared" si="0"/>
        <v/>
      </c>
      <c r="E4" s="13" t="str">
        <f t="shared" si="1"/>
        <v/>
      </c>
      <c r="F4" s="13" t="str">
        <f t="shared" si="2"/>
        <v/>
      </c>
      <c r="G4" s="13" t="str">
        <f t="shared" si="3"/>
        <v/>
      </c>
      <c r="H4" s="13" t="str">
        <f t="shared" si="4"/>
        <v/>
      </c>
      <c r="I4" t="str">
        <f t="shared" si="5"/>
        <v/>
      </c>
    </row>
    <row r="5" spans="1:9">
      <c r="A5">
        <f>CSV!B5</f>
        <v>0</v>
      </c>
      <c r="B5" s="13" t="e">
        <f>INDEX(Input!$D$2:$AC$500,
       MATCH(CPU_Formula!A5, Input!$J$2:$J$500, 0),
       MATCH("CPU model", Input!$D$1:$AC$1, 0))</f>
        <v>#N/A</v>
      </c>
      <c r="C5" s="13" t="str">
        <f t="shared" si="6"/>
        <v/>
      </c>
      <c r="D5" s="13" t="str">
        <f t="shared" si="0"/>
        <v/>
      </c>
      <c r="E5" s="13" t="str">
        <f t="shared" si="1"/>
        <v/>
      </c>
      <c r="F5" s="13" t="str">
        <f t="shared" si="2"/>
        <v/>
      </c>
      <c r="G5" s="13" t="str">
        <f t="shared" si="3"/>
        <v/>
      </c>
      <c r="H5" s="13" t="str">
        <f t="shared" si="4"/>
        <v/>
      </c>
      <c r="I5" t="str">
        <f t="shared" si="5"/>
        <v/>
      </c>
    </row>
    <row r="6" spans="1:9">
      <c r="A6">
        <f>CSV!B6</f>
        <v>0</v>
      </c>
      <c r="B6" s="13" t="e">
        <f>INDEX(Input!$D$2:$AC$500,
       MATCH(CPU_Formula!A6, Input!$J$2:$J$500, 0),
       MATCH("CPU model", Input!$D$1:$AC$1, 0))</f>
        <v>#N/A</v>
      </c>
      <c r="C6" s="13" t="str">
        <f t="shared" si="6"/>
        <v/>
      </c>
      <c r="D6" s="13" t="str">
        <f t="shared" si="0"/>
        <v/>
      </c>
      <c r="E6" s="13" t="str">
        <f t="shared" si="1"/>
        <v/>
      </c>
      <c r="F6" s="13" t="str">
        <f t="shared" si="2"/>
        <v/>
      </c>
      <c r="G6" s="13" t="str">
        <f t="shared" si="3"/>
        <v/>
      </c>
      <c r="H6" s="13" t="str">
        <f t="shared" si="4"/>
        <v/>
      </c>
      <c r="I6" t="str">
        <f t="shared" si="5"/>
        <v/>
      </c>
    </row>
    <row r="7" spans="1:9">
      <c r="A7">
        <f>CSV!B7</f>
        <v>0</v>
      </c>
      <c r="B7" s="13" t="e">
        <f>INDEX(Input!$D$2:$AC$500,
       MATCH(CPU_Formula!A7, Input!$J$2:$J$500, 0),
       MATCH("CPU model", Input!$D$1:$AC$1, 0))</f>
        <v>#N/A</v>
      </c>
      <c r="C7" s="13" t="str">
        <f t="shared" si="6"/>
        <v/>
      </c>
      <c r="D7" s="13" t="str">
        <f t="shared" si="0"/>
        <v/>
      </c>
      <c r="E7" s="13" t="str">
        <f t="shared" si="1"/>
        <v/>
      </c>
      <c r="F7" s="13" t="str">
        <f t="shared" si="2"/>
        <v/>
      </c>
      <c r="G7" s="13" t="str">
        <f t="shared" si="3"/>
        <v/>
      </c>
      <c r="H7" s="13" t="str">
        <f t="shared" si="4"/>
        <v/>
      </c>
      <c r="I7" t="str">
        <f t="shared" si="5"/>
        <v/>
      </c>
    </row>
    <row r="8" spans="1:9">
      <c r="A8">
        <f>CSV!B8</f>
        <v>0</v>
      </c>
      <c r="B8" s="13" t="e">
        <f>INDEX(Input!$D$2:$AC$500,
       MATCH(CPU_Formula!A8, Input!$J$2:$J$500, 0),
       MATCH("CPU model", Input!$D$1:$AC$1, 0))</f>
        <v>#N/A</v>
      </c>
      <c r="C8" s="13" t="str">
        <f t="shared" si="6"/>
        <v/>
      </c>
      <c r="D8" s="13" t="str">
        <f t="shared" si="0"/>
        <v/>
      </c>
      <c r="E8" s="13" t="str">
        <f t="shared" si="1"/>
        <v/>
      </c>
      <c r="F8" s="13" t="str">
        <f t="shared" si="2"/>
        <v/>
      </c>
      <c r="G8" s="13" t="str">
        <f t="shared" si="3"/>
        <v/>
      </c>
      <c r="H8" s="13" t="str">
        <f t="shared" si="4"/>
        <v/>
      </c>
      <c r="I8" t="str">
        <f t="shared" si="5"/>
        <v/>
      </c>
    </row>
    <row r="9" spans="1:9">
      <c r="A9">
        <f>CSV!B9</f>
        <v>0</v>
      </c>
      <c r="B9" s="13" t="e">
        <f>INDEX(Input!$D$2:$AC$500,
       MATCH(CPU_Formula!A9, Input!$J$2:$J$500, 0),
       MATCH("CPU model", Input!$D$1:$AC$1, 0))</f>
        <v>#N/A</v>
      </c>
      <c r="C9" s="13" t="str">
        <f t="shared" si="6"/>
        <v/>
      </c>
      <c r="D9" s="13" t="str">
        <f t="shared" si="0"/>
        <v/>
      </c>
      <c r="E9" s="13" t="str">
        <f t="shared" si="1"/>
        <v/>
      </c>
      <c r="F9" s="13" t="str">
        <f t="shared" si="2"/>
        <v/>
      </c>
      <c r="G9" s="13" t="str">
        <f t="shared" si="3"/>
        <v/>
      </c>
      <c r="H9" s="13" t="str">
        <f t="shared" si="4"/>
        <v/>
      </c>
      <c r="I9" t="str">
        <f t="shared" si="5"/>
        <v/>
      </c>
    </row>
    <row r="10" spans="1:9">
      <c r="A10">
        <f>CSV!B10</f>
        <v>0</v>
      </c>
      <c r="B10" s="13" t="e">
        <f>INDEX(Input!$D$2:$AC$500,
       MATCH(CPU_Formula!A10, Input!$J$2:$J$500, 0),
       MATCH("CPU model", Input!$D$1:$AC$1, 0))</f>
        <v>#N/A</v>
      </c>
      <c r="C10" s="13" t="str">
        <f t="shared" si="6"/>
        <v/>
      </c>
      <c r="D10" s="13" t="str">
        <f t="shared" si="0"/>
        <v/>
      </c>
      <c r="E10" s="13" t="str">
        <f t="shared" si="1"/>
        <v/>
      </c>
      <c r="F10" s="13" t="str">
        <f t="shared" si="2"/>
        <v/>
      </c>
      <c r="G10" s="13" t="str">
        <f t="shared" si="3"/>
        <v/>
      </c>
      <c r="H10" s="13" t="str">
        <f t="shared" si="4"/>
        <v/>
      </c>
      <c r="I10" t="str">
        <f t="shared" si="5"/>
        <v/>
      </c>
    </row>
    <row r="11" spans="1:9">
      <c r="A11">
        <f>CSV!B11</f>
        <v>0</v>
      </c>
      <c r="B11" s="13" t="e">
        <f>INDEX(Input!$D$2:$AC$500,
       MATCH(CPU_Formula!A11, Input!$J$2:$J$500, 0),
       MATCH("CPU model", Input!$D$1:$AC$1, 0))</f>
        <v>#N/A</v>
      </c>
      <c r="C11" s="13" t="str">
        <f t="shared" si="6"/>
        <v/>
      </c>
      <c r="D11" s="13" t="str">
        <f t="shared" si="0"/>
        <v/>
      </c>
      <c r="E11" s="13" t="str">
        <f t="shared" si="1"/>
        <v/>
      </c>
      <c r="F11" s="13" t="str">
        <f t="shared" si="2"/>
        <v/>
      </c>
      <c r="G11" s="13" t="str">
        <f t="shared" si="3"/>
        <v/>
      </c>
      <c r="H11" s="13" t="str">
        <f t="shared" si="4"/>
        <v/>
      </c>
      <c r="I11" t="str">
        <f t="shared" si="5"/>
        <v/>
      </c>
    </row>
    <row r="12" spans="1:9">
      <c r="A12">
        <f>CSV!B12</f>
        <v>0</v>
      </c>
      <c r="B12" s="13" t="e">
        <f>INDEX(Input!$D$2:$AC$500,
       MATCH(CPU_Formula!A12, Input!$J$2:$J$500, 0),
       MATCH("CPU model", Input!$D$1:$AC$1, 0))</f>
        <v>#N/A</v>
      </c>
      <c r="C12" s="13" t="str">
        <f t="shared" si="6"/>
        <v/>
      </c>
      <c r="D12" s="13" t="str">
        <f t="shared" si="0"/>
        <v/>
      </c>
      <c r="E12" s="13" t="str">
        <f t="shared" si="1"/>
        <v/>
      </c>
      <c r="F12" s="13" t="str">
        <f t="shared" si="2"/>
        <v/>
      </c>
      <c r="G12" s="13" t="str">
        <f t="shared" si="3"/>
        <v/>
      </c>
      <c r="H12" s="13" t="str">
        <f t="shared" si="4"/>
        <v/>
      </c>
      <c r="I12" t="str">
        <f t="shared" si="5"/>
        <v/>
      </c>
    </row>
    <row r="13" spans="1:9">
      <c r="A13">
        <f>CSV!B13</f>
        <v>0</v>
      </c>
      <c r="B13" s="13" t="e">
        <f>INDEX(Input!$D$2:$AC$500,
       MATCH(CPU_Formula!A13, Input!$J$2:$J$500, 0),
       MATCH("CPU model", Input!$D$1:$AC$1, 0))</f>
        <v>#N/A</v>
      </c>
      <c r="C13" s="13" t="str">
        <f t="shared" si="6"/>
        <v/>
      </c>
      <c r="D13" s="13" t="str">
        <f t="shared" si="0"/>
        <v/>
      </c>
      <c r="E13" s="13" t="str">
        <f t="shared" si="1"/>
        <v/>
      </c>
      <c r="F13" s="13" t="str">
        <f t="shared" si="2"/>
        <v/>
      </c>
      <c r="G13" s="13" t="str">
        <f t="shared" si="3"/>
        <v/>
      </c>
      <c r="H13" s="13" t="str">
        <f t="shared" si="4"/>
        <v/>
      </c>
      <c r="I13" t="str">
        <f t="shared" si="5"/>
        <v/>
      </c>
    </row>
    <row r="14" spans="1:9">
      <c r="A14">
        <f>CSV!B14</f>
        <v>0</v>
      </c>
      <c r="B14" s="13" t="e">
        <f>INDEX(Input!$D$2:$AC$500,
       MATCH(CPU_Formula!A14, Input!$J$2:$J$500, 0),
       MATCH("CPU model", Input!$D$1:$AC$1, 0))</f>
        <v>#N/A</v>
      </c>
      <c r="C14" s="13" t="str">
        <f t="shared" si="6"/>
        <v/>
      </c>
      <c r="D14" s="13" t="str">
        <f t="shared" si="0"/>
        <v/>
      </c>
      <c r="E14" s="13" t="str">
        <f t="shared" si="1"/>
        <v/>
      </c>
      <c r="F14" s="13" t="str">
        <f t="shared" si="2"/>
        <v/>
      </c>
      <c r="G14" s="13" t="str">
        <f t="shared" si="3"/>
        <v/>
      </c>
      <c r="H14" s="13" t="str">
        <f t="shared" si="4"/>
        <v/>
      </c>
      <c r="I14" t="str">
        <f t="shared" si="5"/>
        <v/>
      </c>
    </row>
    <row r="15" spans="1:9">
      <c r="A15">
        <f>CSV!B15</f>
        <v>0</v>
      </c>
      <c r="B15" s="13" t="e">
        <f>INDEX(Input!$D$2:$AC$500,
       MATCH(CPU_Formula!A15, Input!$J$2:$J$500, 0),
       MATCH("CPU model", Input!$D$1:$AC$1, 0))</f>
        <v>#N/A</v>
      </c>
      <c r="C15" s="13" t="str">
        <f t="shared" si="6"/>
        <v/>
      </c>
      <c r="D15" s="13" t="str">
        <f t="shared" si="0"/>
        <v/>
      </c>
      <c r="E15" s="13" t="str">
        <f t="shared" si="1"/>
        <v/>
      </c>
      <c r="F15" s="13" t="str">
        <f t="shared" si="2"/>
        <v/>
      </c>
      <c r="G15" s="13" t="str">
        <f t="shared" si="3"/>
        <v/>
      </c>
      <c r="H15" s="13" t="str">
        <f t="shared" si="4"/>
        <v/>
      </c>
      <c r="I15" t="str">
        <f t="shared" si="5"/>
        <v/>
      </c>
    </row>
    <row r="16" spans="1:9">
      <c r="A16">
        <f>CSV!B16</f>
        <v>0</v>
      </c>
      <c r="B16" s="13" t="e">
        <f>INDEX(Input!$D$2:$AC$500,
       MATCH(CPU_Formula!A16, Input!$J$2:$J$500, 0),
       MATCH("CPU model", Input!$D$1:$AC$1, 0))</f>
        <v>#N/A</v>
      </c>
      <c r="C16" s="13" t="str">
        <f t="shared" si="6"/>
        <v/>
      </c>
      <c r="D16" s="13" t="str">
        <f t="shared" si="0"/>
        <v/>
      </c>
      <c r="E16" s="13" t="str">
        <f t="shared" si="1"/>
        <v/>
      </c>
      <c r="F16" s="13" t="str">
        <f t="shared" si="2"/>
        <v/>
      </c>
      <c r="G16" s="13" t="str">
        <f t="shared" si="3"/>
        <v/>
      </c>
      <c r="H16" s="13" t="str">
        <f t="shared" si="4"/>
        <v/>
      </c>
      <c r="I16" t="str">
        <f t="shared" si="5"/>
        <v/>
      </c>
    </row>
    <row r="17" spans="1:9">
      <c r="A17">
        <f>CSV!B17</f>
        <v>0</v>
      </c>
      <c r="B17" s="13" t="e">
        <f>INDEX(Input!$D$2:$AC$500,
       MATCH(CPU_Formula!A17, Input!$J$2:$J$500, 0),
       MATCH("CPU model", Input!$D$1:$AC$1, 0))</f>
        <v>#N/A</v>
      </c>
      <c r="C17" s="13" t="str">
        <f t="shared" si="6"/>
        <v/>
      </c>
      <c r="D17" s="13" t="str">
        <f t="shared" si="0"/>
        <v/>
      </c>
      <c r="E17" s="13" t="str">
        <f t="shared" si="1"/>
        <v/>
      </c>
      <c r="F17" s="13" t="str">
        <f t="shared" si="2"/>
        <v/>
      </c>
      <c r="G17" s="13" t="str">
        <f t="shared" si="3"/>
        <v/>
      </c>
      <c r="H17" s="13" t="str">
        <f t="shared" si="4"/>
        <v/>
      </c>
      <c r="I17" t="str">
        <f t="shared" si="5"/>
        <v/>
      </c>
    </row>
    <row r="18" spans="1:9">
      <c r="A18">
        <f>CSV!B18</f>
        <v>0</v>
      </c>
      <c r="B18" s="13" t="e">
        <f>INDEX(Input!$D$2:$AC$500,
       MATCH(CPU_Formula!A18, Input!$J$2:$J$500, 0),
       MATCH("CPU model", Input!$D$1:$AC$1, 0))</f>
        <v>#N/A</v>
      </c>
      <c r="C18" s="13" t="str">
        <f t="shared" si="6"/>
        <v/>
      </c>
      <c r="D18" s="13" t="str">
        <f t="shared" si="0"/>
        <v/>
      </c>
      <c r="E18" s="13" t="str">
        <f t="shared" si="1"/>
        <v/>
      </c>
      <c r="F18" s="13" t="str">
        <f t="shared" si="2"/>
        <v/>
      </c>
      <c r="G18" s="13" t="str">
        <f t="shared" si="3"/>
        <v/>
      </c>
      <c r="H18" s="13" t="str">
        <f t="shared" si="4"/>
        <v/>
      </c>
      <c r="I18" t="str">
        <f t="shared" si="5"/>
        <v/>
      </c>
    </row>
    <row r="19" spans="1:9">
      <c r="A19">
        <f>CSV!B19</f>
        <v>0</v>
      </c>
      <c r="B19" s="13" t="e">
        <f>INDEX(Input!$D$2:$AC$500,
       MATCH(CPU_Formula!A19, Input!$J$2:$J$500, 0),
       MATCH("CPU model", Input!$D$1:$AC$1, 0))</f>
        <v>#N/A</v>
      </c>
      <c r="C19" s="13" t="str">
        <f t="shared" si="6"/>
        <v/>
      </c>
      <c r="D19" s="13" t="str">
        <f t="shared" si="0"/>
        <v/>
      </c>
      <c r="E19" s="13" t="str">
        <f t="shared" si="1"/>
        <v/>
      </c>
      <c r="F19" s="13" t="str">
        <f t="shared" si="2"/>
        <v/>
      </c>
      <c r="G19" s="13" t="str">
        <f t="shared" si="3"/>
        <v/>
      </c>
      <c r="H19" s="13" t="str">
        <f t="shared" si="4"/>
        <v/>
      </c>
      <c r="I19" t="str">
        <f t="shared" si="5"/>
        <v/>
      </c>
    </row>
    <row r="20" spans="1:9">
      <c r="A20">
        <f>CSV!B20</f>
        <v>0</v>
      </c>
      <c r="B20" s="13" t="e">
        <f>INDEX(Input!$D$2:$AC$500,
       MATCH(CPU_Formula!A20, Input!$J$2:$J$500, 0),
       MATCH("CPU model", Input!$D$1:$AC$1, 0))</f>
        <v>#N/A</v>
      </c>
      <c r="C20" s="13" t="str">
        <f t="shared" si="6"/>
        <v/>
      </c>
      <c r="D20" s="13" t="str">
        <f t="shared" si="0"/>
        <v/>
      </c>
      <c r="E20" s="13" t="str">
        <f t="shared" si="1"/>
        <v/>
      </c>
      <c r="F20" s="13" t="str">
        <f t="shared" si="2"/>
        <v/>
      </c>
      <c r="G20" s="13" t="str">
        <f t="shared" si="3"/>
        <v/>
      </c>
      <c r="H20" s="13" t="str">
        <f t="shared" si="4"/>
        <v/>
      </c>
      <c r="I20" t="str">
        <f t="shared" si="5"/>
        <v/>
      </c>
    </row>
    <row r="21" spans="1:9">
      <c r="A21">
        <f>CSV!B21</f>
        <v>0</v>
      </c>
      <c r="B21" s="13" t="e">
        <f>INDEX(Input!$D$2:$AC$500,
       MATCH(CPU_Formula!A21, Input!$J$2:$J$500, 0),
       MATCH("CPU model", Input!$D$1:$AC$1, 0))</f>
        <v>#N/A</v>
      </c>
      <c r="C21" s="13" t="str">
        <f t="shared" si="6"/>
        <v/>
      </c>
      <c r="D21" s="13" t="str">
        <f t="shared" si="0"/>
        <v/>
      </c>
      <c r="E21" s="13" t="str">
        <f t="shared" si="1"/>
        <v/>
      </c>
      <c r="F21" s="13" t="str">
        <f t="shared" si="2"/>
        <v/>
      </c>
      <c r="G21" s="13" t="str">
        <f t="shared" si="3"/>
        <v/>
      </c>
      <c r="H21" s="13" t="str">
        <f t="shared" si="4"/>
        <v/>
      </c>
      <c r="I21" t="str">
        <f t="shared" si="5"/>
        <v/>
      </c>
    </row>
    <row r="22" spans="1:9">
      <c r="A22">
        <f>CSV!B22</f>
        <v>0</v>
      </c>
      <c r="B22" s="13" t="e">
        <f>INDEX(Input!$D$2:$AC$500,
       MATCH(CPU_Formula!A22, Input!$J$2:$J$500, 0),
       MATCH("CPU model", Input!$D$1:$AC$1, 0))</f>
        <v>#N/A</v>
      </c>
      <c r="C22" s="13" t="str">
        <f t="shared" si="6"/>
        <v/>
      </c>
      <c r="D22" s="13" t="str">
        <f t="shared" si="0"/>
        <v/>
      </c>
      <c r="E22" s="13" t="str">
        <f t="shared" si="1"/>
        <v/>
      </c>
      <c r="F22" s="13" t="str">
        <f t="shared" si="2"/>
        <v/>
      </c>
      <c r="G22" s="13" t="str">
        <f t="shared" si="3"/>
        <v/>
      </c>
      <c r="H22" s="13" t="str">
        <f t="shared" si="4"/>
        <v/>
      </c>
      <c r="I22" t="str">
        <f t="shared" si="5"/>
        <v/>
      </c>
    </row>
    <row r="23" spans="1:9">
      <c r="A23">
        <f>CSV!B23</f>
        <v>0</v>
      </c>
      <c r="B23" s="13" t="e">
        <f>INDEX(Input!$D$2:$AC$500,
       MATCH(CPU_Formula!A23, Input!$J$2:$J$500, 0),
       MATCH("CPU model", Input!$D$1:$AC$1, 0))</f>
        <v>#N/A</v>
      </c>
      <c r="C23" s="13" t="str">
        <f t="shared" si="6"/>
        <v/>
      </c>
      <c r="D23" s="13" t="str">
        <f t="shared" si="0"/>
        <v/>
      </c>
      <c r="E23" s="13" t="str">
        <f t="shared" si="1"/>
        <v/>
      </c>
      <c r="F23" s="13" t="str">
        <f t="shared" si="2"/>
        <v/>
      </c>
      <c r="G23" s="13" t="str">
        <f t="shared" si="3"/>
        <v/>
      </c>
      <c r="H23" s="13" t="str">
        <f t="shared" si="4"/>
        <v/>
      </c>
      <c r="I23" t="str">
        <f t="shared" si="5"/>
        <v/>
      </c>
    </row>
    <row r="24" spans="1:9">
      <c r="A24">
        <f>CSV!B24</f>
        <v>0</v>
      </c>
      <c r="B24" s="13" t="e">
        <f>INDEX(Input!$D$2:$AC$500,
       MATCH(CPU_Formula!A24, Input!$J$2:$J$500, 0),
       MATCH("CPU model", Input!$D$1:$AC$1, 0))</f>
        <v>#N/A</v>
      </c>
      <c r="C24" s="13" t="str">
        <f t="shared" si="6"/>
        <v/>
      </c>
      <c r="D24" s="13" t="str">
        <f t="shared" si="0"/>
        <v/>
      </c>
      <c r="E24" s="13" t="str">
        <f t="shared" si="1"/>
        <v/>
      </c>
      <c r="F24" s="13" t="str">
        <f t="shared" si="2"/>
        <v/>
      </c>
      <c r="G24" s="13" t="str">
        <f t="shared" si="3"/>
        <v/>
      </c>
      <c r="H24" s="13" t="str">
        <f t="shared" si="4"/>
        <v/>
      </c>
      <c r="I24" t="str">
        <f t="shared" si="5"/>
        <v/>
      </c>
    </row>
    <row r="25" spans="1:9">
      <c r="A25">
        <f>CSV!B25</f>
        <v>0</v>
      </c>
      <c r="B25" s="13" t="e">
        <f>INDEX(Input!$D$2:$AC$500,
       MATCH(CPU_Formula!A25, Input!$J$2:$J$500, 0),
       MATCH("CPU model", Input!$D$1:$AC$1, 0))</f>
        <v>#N/A</v>
      </c>
      <c r="C25" s="13" t="str">
        <f t="shared" si="6"/>
        <v/>
      </c>
      <c r="D25" s="13" t="str">
        <f t="shared" si="0"/>
        <v/>
      </c>
      <c r="E25" s="13" t="str">
        <f t="shared" si="1"/>
        <v/>
      </c>
      <c r="F25" s="13" t="str">
        <f t="shared" si="2"/>
        <v/>
      </c>
      <c r="G25" s="13" t="str">
        <f t="shared" si="3"/>
        <v/>
      </c>
      <c r="H25" s="13" t="str">
        <f t="shared" si="4"/>
        <v/>
      </c>
      <c r="I25" t="str">
        <f t="shared" si="5"/>
        <v/>
      </c>
    </row>
    <row r="26" spans="1:9">
      <c r="A26">
        <f>CSV!B26</f>
        <v>0</v>
      </c>
      <c r="B26" s="13" t="e">
        <f>INDEX(Input!$D$2:$AC$500,
       MATCH(CPU_Formula!A26, Input!$J$2:$J$500, 0),
       MATCH("CPU model", Input!$D$1:$AC$1, 0))</f>
        <v>#N/A</v>
      </c>
      <c r="C26" s="13" t="str">
        <f t="shared" si="6"/>
        <v/>
      </c>
      <c r="D26" s="13" t="str">
        <f t="shared" si="0"/>
        <v/>
      </c>
      <c r="E26" s="13" t="str">
        <f t="shared" si="1"/>
        <v/>
      </c>
      <c r="F26" s="13" t="str">
        <f t="shared" si="2"/>
        <v/>
      </c>
      <c r="G26" s="13" t="str">
        <f t="shared" si="3"/>
        <v/>
      </c>
      <c r="H26" s="13" t="str">
        <f t="shared" si="4"/>
        <v/>
      </c>
      <c r="I26" t="str">
        <f t="shared" si="5"/>
        <v/>
      </c>
    </row>
    <row r="27" spans="1:9">
      <c r="A27">
        <f>CSV!B27</f>
        <v>0</v>
      </c>
      <c r="B27" s="13" t="e">
        <f>INDEX(Input!$D$2:$AC$500,
       MATCH(CPU_Formula!A27, Input!$J$2:$J$500, 0),
       MATCH("CPU model", Input!$D$1:$AC$1, 0))</f>
        <v>#N/A</v>
      </c>
      <c r="C27" s="13" t="str">
        <f t="shared" si="6"/>
        <v/>
      </c>
      <c r="D27" s="13" t="str">
        <f t="shared" si="0"/>
        <v/>
      </c>
      <c r="E27" s="13" t="str">
        <f t="shared" si="1"/>
        <v/>
      </c>
      <c r="F27" s="13" t="str">
        <f t="shared" si="2"/>
        <v/>
      </c>
      <c r="G27" s="13" t="str">
        <f t="shared" si="3"/>
        <v/>
      </c>
      <c r="H27" s="13" t="str">
        <f t="shared" si="4"/>
        <v/>
      </c>
      <c r="I27" t="str">
        <f t="shared" si="5"/>
        <v/>
      </c>
    </row>
    <row r="28" spans="1:9">
      <c r="A28">
        <f>CSV!B28</f>
        <v>0</v>
      </c>
      <c r="B28" s="13" t="e">
        <f>INDEX(Input!$D$2:$AC$500,
       MATCH(CPU_Formula!A28, Input!$J$2:$J$500, 0),
       MATCH("CPU model", Input!$D$1:$AC$1, 0))</f>
        <v>#N/A</v>
      </c>
      <c r="C28" s="13" t="str">
        <f t="shared" si="6"/>
        <v/>
      </c>
      <c r="D28" s="13" t="str">
        <f t="shared" si="0"/>
        <v/>
      </c>
      <c r="E28" s="13" t="str">
        <f t="shared" si="1"/>
        <v/>
      </c>
      <c r="F28" s="13" t="str">
        <f t="shared" si="2"/>
        <v/>
      </c>
      <c r="G28" s="13" t="str">
        <f t="shared" si="3"/>
        <v/>
      </c>
      <c r="H28" s="13" t="str">
        <f t="shared" si="4"/>
        <v/>
      </c>
      <c r="I28" t="str">
        <f t="shared" si="5"/>
        <v/>
      </c>
    </row>
    <row r="29" spans="1:9">
      <c r="A29">
        <f>CSV!B29</f>
        <v>0</v>
      </c>
      <c r="B29" s="13" t="e">
        <f>INDEX(Input!$D$2:$AC$500,
       MATCH(CPU_Formula!A29, Input!$J$2:$J$500, 0),
       MATCH("CPU model", Input!$D$1:$AC$1, 0))</f>
        <v>#N/A</v>
      </c>
      <c r="C29" s="13" t="str">
        <f t="shared" si="6"/>
        <v/>
      </c>
      <c r="D29" s="13" t="str">
        <f t="shared" si="0"/>
        <v/>
      </c>
      <c r="E29" s="13" t="str">
        <f t="shared" si="1"/>
        <v/>
      </c>
      <c r="F29" s="13" t="str">
        <f t="shared" si="2"/>
        <v/>
      </c>
      <c r="G29" s="13" t="str">
        <f t="shared" si="3"/>
        <v/>
      </c>
      <c r="H29" s="13" t="str">
        <f t="shared" si="4"/>
        <v/>
      </c>
      <c r="I29" t="str">
        <f t="shared" si="5"/>
        <v/>
      </c>
    </row>
    <row r="30" spans="1:9">
      <c r="A30">
        <f>CSV!B30</f>
        <v>0</v>
      </c>
      <c r="B30" s="13" t="e">
        <f>INDEX(Input!$D$2:$AC$500,
       MATCH(CPU_Formula!A30, Input!$J$2:$J$500, 0),
       MATCH("CPU model", Input!$D$1:$AC$1, 0))</f>
        <v>#N/A</v>
      </c>
      <c r="C30" s="13" t="str">
        <f t="shared" si="6"/>
        <v/>
      </c>
      <c r="D30" s="13" t="str">
        <f t="shared" si="0"/>
        <v/>
      </c>
      <c r="E30" s="13" t="str">
        <f t="shared" si="1"/>
        <v/>
      </c>
      <c r="F30" s="13" t="str">
        <f t="shared" si="2"/>
        <v/>
      </c>
      <c r="G30" s="13" t="str">
        <f t="shared" si="3"/>
        <v/>
      </c>
      <c r="H30" s="13" t="str">
        <f t="shared" si="4"/>
        <v/>
      </c>
      <c r="I30" t="str">
        <f t="shared" si="5"/>
        <v/>
      </c>
    </row>
    <row r="31" spans="1:9">
      <c r="A31">
        <f>CSV!B31</f>
        <v>0</v>
      </c>
      <c r="B31" s="13" t="e">
        <f>INDEX(Input!$D$2:$AC$500,
       MATCH(CPU_Formula!A31, Input!$J$2:$J$500, 0),
       MATCH("CPU model", Input!$D$1:$AC$1, 0))</f>
        <v>#N/A</v>
      </c>
      <c r="C31" s="13" t="str">
        <f t="shared" si="6"/>
        <v/>
      </c>
      <c r="D31" s="13" t="str">
        <f t="shared" si="0"/>
        <v/>
      </c>
      <c r="E31" s="13" t="str">
        <f t="shared" si="1"/>
        <v/>
      </c>
      <c r="F31" s="13" t="str">
        <f t="shared" si="2"/>
        <v/>
      </c>
      <c r="G31" s="13" t="str">
        <f t="shared" si="3"/>
        <v/>
      </c>
      <c r="H31" s="13" t="str">
        <f t="shared" si="4"/>
        <v/>
      </c>
      <c r="I31" t="str">
        <f t="shared" si="5"/>
        <v/>
      </c>
    </row>
    <row r="32" spans="1:9">
      <c r="A32">
        <f>CSV!B32</f>
        <v>0</v>
      </c>
      <c r="B32" s="13" t="e">
        <f>INDEX(Input!$D$2:$AC$500,
       MATCH(CPU_Formula!A32, Input!$J$2:$J$500, 0),
       MATCH("CPU model", Input!$D$1:$AC$1, 0))</f>
        <v>#N/A</v>
      </c>
      <c r="C32" s="13" t="str">
        <f t="shared" si="6"/>
        <v/>
      </c>
      <c r="D32" s="13" t="str">
        <f t="shared" si="0"/>
        <v/>
      </c>
      <c r="E32" s="13" t="str">
        <f t="shared" si="1"/>
        <v/>
      </c>
      <c r="F32" s="13" t="str">
        <f t="shared" si="2"/>
        <v/>
      </c>
      <c r="G32" s="13" t="str">
        <f t="shared" si="3"/>
        <v/>
      </c>
      <c r="H32" s="13" t="str">
        <f t="shared" si="4"/>
        <v/>
      </c>
      <c r="I32" t="str">
        <f t="shared" si="5"/>
        <v/>
      </c>
    </row>
    <row r="33" spans="1:9">
      <c r="A33">
        <f>CSV!B33</f>
        <v>0</v>
      </c>
      <c r="B33" s="13" t="e">
        <f>INDEX(Input!$D$2:$AC$500,
       MATCH(CPU_Formula!A33, Input!$J$2:$J$500, 0),
       MATCH("CPU model", Input!$D$1:$AC$1, 0))</f>
        <v>#N/A</v>
      </c>
      <c r="C33" s="13" t="str">
        <f t="shared" si="6"/>
        <v/>
      </c>
      <c r="D33" s="13" t="str">
        <f t="shared" si="0"/>
        <v/>
      </c>
      <c r="E33" s="13" t="str">
        <f t="shared" si="1"/>
        <v/>
      </c>
      <c r="F33" s="13" t="str">
        <f t="shared" si="2"/>
        <v/>
      </c>
      <c r="G33" s="13" t="str">
        <f t="shared" si="3"/>
        <v/>
      </c>
      <c r="H33" s="13" t="str">
        <f t="shared" si="4"/>
        <v/>
      </c>
      <c r="I33" t="str">
        <f t="shared" si="5"/>
        <v/>
      </c>
    </row>
    <row r="34" spans="1:9">
      <c r="A34">
        <f>CSV!B34</f>
        <v>0</v>
      </c>
      <c r="B34" s="13" t="e">
        <f>INDEX(Input!$D$2:$AC$500,
       MATCH(CPU_Formula!A34, Input!$J$2:$J$500, 0),
       MATCH("CPU model", Input!$D$1:$AC$1, 0))</f>
        <v>#N/A</v>
      </c>
      <c r="C34" s="13" t="str">
        <f t="shared" si="6"/>
        <v/>
      </c>
      <c r="D34" s="13" t="str">
        <f t="shared" si="0"/>
        <v/>
      </c>
      <c r="E34" s="13" t="str">
        <f t="shared" si="1"/>
        <v/>
      </c>
      <c r="F34" s="13" t="str">
        <f t="shared" si="2"/>
        <v/>
      </c>
      <c r="G34" s="13" t="str">
        <f t="shared" si="3"/>
        <v/>
      </c>
      <c r="H34" s="13" t="str">
        <f t="shared" si="4"/>
        <v/>
      </c>
      <c r="I34" t="str">
        <f t="shared" si="5"/>
        <v/>
      </c>
    </row>
    <row r="35" spans="1:9">
      <c r="A35">
        <f>CSV!B35</f>
        <v>0</v>
      </c>
      <c r="B35" s="13" t="e">
        <f>INDEX(Input!$D$2:$AC$500,
       MATCH(CPU_Formula!A35, Input!$J$2:$J$500, 0),
       MATCH("CPU model", Input!$D$1:$AC$1, 0))</f>
        <v>#N/A</v>
      </c>
      <c r="C35" s="13" t="str">
        <f t="shared" si="6"/>
        <v/>
      </c>
      <c r="D35" s="13" t="str">
        <f t="shared" si="0"/>
        <v/>
      </c>
      <c r="E35" s="13" t="str">
        <f t="shared" si="1"/>
        <v/>
      </c>
      <c r="F35" s="13" t="str">
        <f t="shared" si="2"/>
        <v/>
      </c>
      <c r="G35" s="13" t="str">
        <f t="shared" si="3"/>
        <v/>
      </c>
      <c r="H35" s="13" t="str">
        <f t="shared" si="4"/>
        <v/>
      </c>
      <c r="I35" t="str">
        <f t="shared" si="5"/>
        <v/>
      </c>
    </row>
    <row r="36" spans="1:9">
      <c r="A36">
        <f>CSV!B36</f>
        <v>0</v>
      </c>
      <c r="B36" s="13" t="e">
        <f>INDEX(Input!$D$2:$AC$500,
       MATCH(CPU_Formula!A36, Input!$J$2:$J$500, 0),
       MATCH("CPU model", Input!$D$1:$AC$1, 0))</f>
        <v>#N/A</v>
      </c>
      <c r="C36" s="13" t="str">
        <f t="shared" si="6"/>
        <v/>
      </c>
      <c r="D36" s="13" t="str">
        <f t="shared" si="0"/>
        <v/>
      </c>
      <c r="E36" s="13" t="str">
        <f t="shared" si="1"/>
        <v/>
      </c>
      <c r="F36" s="13" t="str">
        <f t="shared" si="2"/>
        <v/>
      </c>
      <c r="G36" s="13" t="str">
        <f t="shared" si="3"/>
        <v/>
      </c>
      <c r="H36" s="13" t="str">
        <f t="shared" si="4"/>
        <v/>
      </c>
      <c r="I36" t="str">
        <f t="shared" si="5"/>
        <v/>
      </c>
    </row>
    <row r="37" spans="1:9">
      <c r="A37">
        <f>CSV!B37</f>
        <v>0</v>
      </c>
      <c r="B37" s="13" t="e">
        <f>INDEX(Input!$D$2:$AC$500,
       MATCH(CPU_Formula!A37, Input!$J$2:$J$500, 0),
       MATCH("CPU model", Input!$D$1:$AC$1, 0))</f>
        <v>#N/A</v>
      </c>
      <c r="C37" s="13" t="str">
        <f t="shared" si="6"/>
        <v/>
      </c>
      <c r="D37" s="13" t="str">
        <f t="shared" si="0"/>
        <v/>
      </c>
      <c r="E37" s="13" t="str">
        <f t="shared" si="1"/>
        <v/>
      </c>
      <c r="F37" s="13" t="str">
        <f t="shared" si="2"/>
        <v/>
      </c>
      <c r="G37" s="13" t="str">
        <f t="shared" si="3"/>
        <v/>
      </c>
      <c r="H37" s="13" t="str">
        <f t="shared" si="4"/>
        <v/>
      </c>
      <c r="I37" t="str">
        <f t="shared" si="5"/>
        <v/>
      </c>
    </row>
    <row r="38" spans="1:9">
      <c r="A38">
        <f>CSV!B38</f>
        <v>0</v>
      </c>
      <c r="B38" s="13" t="e">
        <f>INDEX(Input!$D$2:$AC$500,
       MATCH(CPU_Formula!A38, Input!$J$2:$J$500, 0),
       MATCH("CPU model", Input!$D$1:$AC$1, 0))</f>
        <v>#N/A</v>
      </c>
      <c r="C38" s="13" t="str">
        <f t="shared" si="6"/>
        <v/>
      </c>
      <c r="D38" s="13" t="str">
        <f t="shared" si="0"/>
        <v/>
      </c>
      <c r="E38" s="13" t="str">
        <f t="shared" si="1"/>
        <v/>
      </c>
      <c r="F38" s="13" t="str">
        <f t="shared" si="2"/>
        <v/>
      </c>
      <c r="G38" s="13" t="str">
        <f t="shared" si="3"/>
        <v/>
      </c>
      <c r="H38" s="13" t="str">
        <f t="shared" si="4"/>
        <v/>
      </c>
      <c r="I38" t="str">
        <f t="shared" si="5"/>
        <v/>
      </c>
    </row>
    <row r="39" spans="1:9">
      <c r="A39">
        <f>CSV!B39</f>
        <v>0</v>
      </c>
      <c r="B39" s="13" t="e">
        <f>INDEX(Input!$D$2:$AC$500,
       MATCH(CPU_Formula!A39, Input!$J$2:$J$500, 0),
       MATCH("CPU model", Input!$D$1:$AC$1, 0))</f>
        <v>#N/A</v>
      </c>
      <c r="C39" s="13" t="str">
        <f t="shared" si="6"/>
        <v/>
      </c>
      <c r="D39" s="13" t="str">
        <f t="shared" si="0"/>
        <v/>
      </c>
      <c r="E39" s="13" t="str">
        <f t="shared" si="1"/>
        <v/>
      </c>
      <c r="F39" s="13" t="str">
        <f t="shared" si="2"/>
        <v/>
      </c>
      <c r="G39" s="13" t="str">
        <f t="shared" si="3"/>
        <v/>
      </c>
      <c r="H39" s="13" t="str">
        <f t="shared" si="4"/>
        <v/>
      </c>
      <c r="I39" t="str">
        <f t="shared" si="5"/>
        <v/>
      </c>
    </row>
    <row r="40" spans="1:9">
      <c r="A40">
        <f>CSV!B40</f>
        <v>0</v>
      </c>
      <c r="B40" s="13" t="e">
        <f>INDEX(Input!$D$2:$AC$500,
       MATCH(CPU_Formula!A40, Input!$J$2:$J$500, 0),
       MATCH("CPU model", Input!$D$1:$AC$1, 0))</f>
        <v>#N/A</v>
      </c>
      <c r="C40" s="13" t="str">
        <f t="shared" si="6"/>
        <v/>
      </c>
      <c r="D40" s="13" t="str">
        <f t="shared" si="0"/>
        <v/>
      </c>
      <c r="E40" s="13" t="str">
        <f t="shared" si="1"/>
        <v/>
      </c>
      <c r="F40" s="13" t="str">
        <f t="shared" si="2"/>
        <v/>
      </c>
      <c r="G40" s="13" t="str">
        <f t="shared" si="3"/>
        <v/>
      </c>
      <c r="H40" s="13" t="str">
        <f t="shared" si="4"/>
        <v/>
      </c>
      <c r="I40" t="str">
        <f t="shared" si="5"/>
        <v/>
      </c>
    </row>
    <row r="41" spans="1:9">
      <c r="A41">
        <f>CSV!B41</f>
        <v>0</v>
      </c>
      <c r="B41" s="13" t="e">
        <f>INDEX(Input!$D$2:$AC$500,
       MATCH(CPU_Formula!A41, Input!$J$2:$J$500, 0),
       MATCH("CPU model", Input!$D$1:$AC$1, 0))</f>
        <v>#N/A</v>
      </c>
      <c r="C41" s="13" t="str">
        <f t="shared" si="6"/>
        <v/>
      </c>
      <c r="D41" s="13" t="str">
        <f t="shared" si="0"/>
        <v/>
      </c>
      <c r="E41" s="13" t="str">
        <f t="shared" si="1"/>
        <v/>
      </c>
      <c r="F41" s="13" t="str">
        <f t="shared" si="2"/>
        <v/>
      </c>
      <c r="G41" s="13" t="str">
        <f t="shared" si="3"/>
        <v/>
      </c>
      <c r="H41" s="13" t="str">
        <f t="shared" si="4"/>
        <v/>
      </c>
      <c r="I41" t="str">
        <f t="shared" si="5"/>
        <v/>
      </c>
    </row>
    <row r="42" spans="1:9">
      <c r="A42">
        <f>CSV!B42</f>
        <v>0</v>
      </c>
      <c r="B42" s="13" t="e">
        <f>INDEX(Input!$D$2:$AC$500,
       MATCH(CPU_Formula!A42, Input!$J$2:$J$500, 0),
       MATCH("CPU model", Input!$D$1:$AC$1, 0))</f>
        <v>#N/A</v>
      </c>
      <c r="C42" s="13" t="str">
        <f t="shared" si="6"/>
        <v/>
      </c>
      <c r="D42" s="13" t="str">
        <f t="shared" si="0"/>
        <v/>
      </c>
      <c r="E42" s="13" t="str">
        <f t="shared" si="1"/>
        <v/>
      </c>
      <c r="F42" s="13" t="str">
        <f t="shared" si="2"/>
        <v/>
      </c>
      <c r="G42" s="13" t="str">
        <f t="shared" si="3"/>
        <v/>
      </c>
      <c r="H42" s="13" t="str">
        <f t="shared" si="4"/>
        <v/>
      </c>
      <c r="I42" t="str">
        <f t="shared" si="5"/>
        <v/>
      </c>
    </row>
    <row r="43" spans="1:9">
      <c r="A43">
        <f>CSV!B43</f>
        <v>0</v>
      </c>
      <c r="B43" s="13" t="e">
        <f>INDEX(Input!$D$2:$AC$500,
       MATCH(CPU_Formula!A43, Input!$J$2:$J$500, 0),
       MATCH("CPU model", Input!$D$1:$AC$1, 0))</f>
        <v>#N/A</v>
      </c>
      <c r="C43" s="13" t="str">
        <f t="shared" si="6"/>
        <v/>
      </c>
      <c r="D43" s="13" t="str">
        <f t="shared" si="0"/>
        <v/>
      </c>
      <c r="E43" s="13" t="str">
        <f t="shared" si="1"/>
        <v/>
      </c>
      <c r="F43" s="13" t="str">
        <f t="shared" si="2"/>
        <v/>
      </c>
      <c r="G43" s="13" t="str">
        <f t="shared" si="3"/>
        <v/>
      </c>
      <c r="H43" s="13" t="str">
        <f t="shared" si="4"/>
        <v/>
      </c>
      <c r="I43" t="str">
        <f t="shared" si="5"/>
        <v/>
      </c>
    </row>
    <row r="44" spans="1:9">
      <c r="A44">
        <f>CSV!B44</f>
        <v>0</v>
      </c>
      <c r="B44" s="13" t="e">
        <f>INDEX(Input!$D$2:$AC$500,
       MATCH(CPU_Formula!A44, Input!$J$2:$J$500, 0),
       MATCH("CPU model", Input!$D$1:$AC$1, 0))</f>
        <v>#N/A</v>
      </c>
      <c r="C44" s="13" t="str">
        <f t="shared" si="6"/>
        <v/>
      </c>
      <c r="D44" s="13" t="str">
        <f t="shared" si="0"/>
        <v/>
      </c>
      <c r="E44" s="13" t="str">
        <f t="shared" si="1"/>
        <v/>
      </c>
      <c r="F44" s="13" t="str">
        <f t="shared" si="2"/>
        <v/>
      </c>
      <c r="G44" s="13" t="str">
        <f t="shared" si="3"/>
        <v/>
      </c>
      <c r="H44" s="13" t="str">
        <f t="shared" si="4"/>
        <v/>
      </c>
      <c r="I44" t="str">
        <f t="shared" si="5"/>
        <v/>
      </c>
    </row>
    <row r="45" spans="1:9">
      <c r="A45">
        <f>CSV!B45</f>
        <v>0</v>
      </c>
      <c r="B45" s="13" t="e">
        <f>INDEX(Input!$D$2:$AC$500,
       MATCH(CPU_Formula!A45, Input!$J$2:$J$500, 0),
       MATCH("CPU model", Input!$D$1:$AC$1, 0))</f>
        <v>#N/A</v>
      </c>
      <c r="C45" s="13" t="str">
        <f t="shared" si="6"/>
        <v/>
      </c>
      <c r="D45" s="13" t="str">
        <f t="shared" si="0"/>
        <v/>
      </c>
      <c r="E45" s="13" t="str">
        <f t="shared" si="1"/>
        <v/>
      </c>
      <c r="F45" s="13" t="str">
        <f t="shared" si="2"/>
        <v/>
      </c>
      <c r="G45" s="13" t="str">
        <f t="shared" si="3"/>
        <v/>
      </c>
      <c r="H45" s="13" t="str">
        <f t="shared" si="4"/>
        <v/>
      </c>
      <c r="I45" t="str">
        <f t="shared" si="5"/>
        <v/>
      </c>
    </row>
    <row r="46" spans="1:9">
      <c r="A46">
        <f>CSV!B46</f>
        <v>0</v>
      </c>
      <c r="B46" s="13" t="e">
        <f>INDEX(Input!$D$2:$AC$500,
       MATCH(CPU_Formula!A46, Input!$J$2:$J$500, 0),
       MATCH("CPU model", Input!$D$1:$AC$1, 0))</f>
        <v>#N/A</v>
      </c>
      <c r="C46" s="13" t="str">
        <f t="shared" si="6"/>
        <v/>
      </c>
      <c r="D46" s="13" t="str">
        <f t="shared" si="0"/>
        <v/>
      </c>
      <c r="E46" s="13" t="str">
        <f t="shared" si="1"/>
        <v/>
      </c>
      <c r="F46" s="13" t="str">
        <f t="shared" si="2"/>
        <v/>
      </c>
      <c r="G46" s="13" t="str">
        <f t="shared" si="3"/>
        <v/>
      </c>
      <c r="H46" s="13" t="str">
        <f t="shared" si="4"/>
        <v/>
      </c>
      <c r="I46" t="str">
        <f t="shared" si="5"/>
        <v/>
      </c>
    </row>
    <row r="47" spans="1:9">
      <c r="A47">
        <f>CSV!B47</f>
        <v>0</v>
      </c>
      <c r="B47" s="13" t="e">
        <f>INDEX(Input!$D$2:$AC$500,
       MATCH(CPU_Formula!A47, Input!$J$2:$J$500, 0),
       MATCH("CPU model", Input!$D$1:$AC$1, 0))</f>
        <v>#N/A</v>
      </c>
      <c r="C47" s="13" t="str">
        <f t="shared" si="6"/>
        <v/>
      </c>
      <c r="D47" s="13" t="str">
        <f t="shared" si="0"/>
        <v/>
      </c>
      <c r="E47" s="13" t="str">
        <f t="shared" si="1"/>
        <v/>
      </c>
      <c r="F47" s="13" t="str">
        <f t="shared" si="2"/>
        <v/>
      </c>
      <c r="G47" s="13" t="str">
        <f t="shared" si="3"/>
        <v/>
      </c>
      <c r="H47" s="13" t="str">
        <f t="shared" si="4"/>
        <v/>
      </c>
      <c r="I47" t="str">
        <f t="shared" si="5"/>
        <v/>
      </c>
    </row>
    <row r="48" spans="1:9">
      <c r="A48">
        <f>CSV!B48</f>
        <v>0</v>
      </c>
      <c r="B48" s="13" t="e">
        <f>INDEX(Input!$D$2:$AC$500,
       MATCH(CPU_Formula!A48, Input!$J$2:$J$500, 0),
       MATCH("CPU model", Input!$D$1:$AC$1, 0))</f>
        <v>#N/A</v>
      </c>
      <c r="C48" s="13" t="str">
        <f t="shared" si="6"/>
        <v/>
      </c>
      <c r="D48" s="13" t="str">
        <f t="shared" si="0"/>
        <v/>
      </c>
      <c r="E48" s="13" t="str">
        <f t="shared" si="1"/>
        <v/>
      </c>
      <c r="F48" s="13" t="str">
        <f t="shared" si="2"/>
        <v/>
      </c>
      <c r="G48" s="13" t="str">
        <f t="shared" si="3"/>
        <v/>
      </c>
      <c r="H48" s="13" t="str">
        <f t="shared" si="4"/>
        <v/>
      </c>
      <c r="I48" t="str">
        <f t="shared" si="5"/>
        <v/>
      </c>
    </row>
    <row r="49" spans="1:9">
      <c r="A49">
        <f>CSV!B49</f>
        <v>0</v>
      </c>
      <c r="B49" s="13" t="e">
        <f>INDEX(Input!$D$2:$AC$500,
       MATCH(CPU_Formula!A49, Input!$J$2:$J$500, 0),
       MATCH("CPU model", Input!$D$1:$AC$1, 0))</f>
        <v>#N/A</v>
      </c>
      <c r="C49" s="13" t="str">
        <f t="shared" si="6"/>
        <v/>
      </c>
      <c r="D49" s="13" t="str">
        <f t="shared" si="0"/>
        <v/>
      </c>
      <c r="E49" s="13" t="str">
        <f t="shared" si="1"/>
        <v/>
      </c>
      <c r="F49" s="13" t="str">
        <f t="shared" si="2"/>
        <v/>
      </c>
      <c r="G49" s="13" t="str">
        <f t="shared" si="3"/>
        <v/>
      </c>
      <c r="H49" s="13" t="str">
        <f t="shared" si="4"/>
        <v/>
      </c>
      <c r="I49" t="str">
        <f t="shared" si="5"/>
        <v/>
      </c>
    </row>
    <row r="50" spans="1:9">
      <c r="A50">
        <f>CSV!B50</f>
        <v>0</v>
      </c>
      <c r="B50" s="13" t="e">
        <f>INDEX(Input!$D$2:$AC$500,
       MATCH(CPU_Formula!A50, Input!$J$2:$J$500, 0),
       MATCH("CPU model", Input!$D$1:$AC$1, 0))</f>
        <v>#N/A</v>
      </c>
      <c r="C50" s="13" t="str">
        <f t="shared" si="6"/>
        <v/>
      </c>
      <c r="D50" s="13" t="str">
        <f t="shared" si="0"/>
        <v/>
      </c>
      <c r="E50" s="13" t="str">
        <f t="shared" si="1"/>
        <v/>
      </c>
      <c r="F50" s="13" t="str">
        <f t="shared" si="2"/>
        <v/>
      </c>
      <c r="G50" s="13" t="str">
        <f t="shared" si="3"/>
        <v/>
      </c>
      <c r="H50" s="13" t="str">
        <f t="shared" si="4"/>
        <v/>
      </c>
      <c r="I50" t="str">
        <f t="shared" si="5"/>
        <v/>
      </c>
    </row>
    <row r="51" spans="1:9">
      <c r="A51">
        <f>CSV!B51</f>
        <v>0</v>
      </c>
      <c r="B51" s="13" t="e">
        <f>INDEX(Input!$D$2:$AC$500,
       MATCH(CPU_Formula!A51, Input!$J$2:$J$500, 0),
       MATCH("CPU model", Input!$D$1:$AC$1, 0))</f>
        <v>#N/A</v>
      </c>
      <c r="C51" s="13" t="str">
        <f t="shared" si="6"/>
        <v/>
      </c>
      <c r="D51" s="13" t="str">
        <f t="shared" si="0"/>
        <v/>
      </c>
      <c r="E51" s="13" t="str">
        <f t="shared" si="1"/>
        <v/>
      </c>
      <c r="F51" s="13" t="str">
        <f t="shared" si="2"/>
        <v/>
      </c>
      <c r="G51" s="13" t="str">
        <f t="shared" si="3"/>
        <v/>
      </c>
      <c r="H51" s="13" t="str">
        <f t="shared" si="4"/>
        <v/>
      </c>
      <c r="I51" t="str">
        <f t="shared" si="5"/>
        <v/>
      </c>
    </row>
    <row r="52" spans="1:9">
      <c r="A52">
        <f>CSV!B52</f>
        <v>0</v>
      </c>
      <c r="B52" s="13" t="e">
        <f>INDEX(Input!$D$2:$AC$500,
       MATCH(CPU_Formula!A52, Input!$J$2:$J$500, 0),
       MATCH("CPU model", Input!$D$1:$AC$1, 0))</f>
        <v>#N/A</v>
      </c>
      <c r="C52" s="13" t="str">
        <f t="shared" si="6"/>
        <v/>
      </c>
      <c r="D52" s="13" t="str">
        <f t="shared" si="0"/>
        <v/>
      </c>
      <c r="E52" s="13" t="str">
        <f t="shared" si="1"/>
        <v/>
      </c>
      <c r="F52" s="13" t="str">
        <f t="shared" si="2"/>
        <v/>
      </c>
      <c r="G52" s="13" t="str">
        <f t="shared" si="3"/>
        <v/>
      </c>
      <c r="H52" s="13" t="str">
        <f t="shared" si="4"/>
        <v/>
      </c>
      <c r="I52" t="str">
        <f t="shared" si="5"/>
        <v/>
      </c>
    </row>
    <row r="53" spans="1:9">
      <c r="A53">
        <f>CSV!B53</f>
        <v>0</v>
      </c>
      <c r="B53" s="13" t="e">
        <f>INDEX(Input!$D$2:$AC$500,
       MATCH(CPU_Formula!A53, Input!$J$2:$J$500, 0),
       MATCH("CPU model", Input!$D$1:$AC$1, 0))</f>
        <v>#N/A</v>
      </c>
      <c r="C53" s="13" t="str">
        <f t="shared" si="6"/>
        <v/>
      </c>
      <c r="D53" s="13" t="str">
        <f t="shared" si="0"/>
        <v/>
      </c>
      <c r="E53" s="13" t="str">
        <f t="shared" si="1"/>
        <v/>
      </c>
      <c r="F53" s="13" t="str">
        <f t="shared" si="2"/>
        <v/>
      </c>
      <c r="G53" s="13" t="str">
        <f t="shared" si="3"/>
        <v/>
      </c>
      <c r="H53" s="13" t="str">
        <f t="shared" si="4"/>
        <v/>
      </c>
      <c r="I53" t="str">
        <f t="shared" si="5"/>
        <v/>
      </c>
    </row>
    <row r="54" spans="1:9">
      <c r="A54">
        <f>CSV!B54</f>
        <v>0</v>
      </c>
      <c r="B54" s="13" t="e">
        <f>INDEX(Input!$D$2:$AC$500,
       MATCH(CPU_Formula!A54, Input!$J$2:$J$500, 0),
       MATCH("CPU model", Input!$D$1:$AC$1, 0))</f>
        <v>#N/A</v>
      </c>
      <c r="C54" s="13" t="str">
        <f t="shared" si="6"/>
        <v/>
      </c>
      <c r="D54" s="13" t="str">
        <f t="shared" si="0"/>
        <v/>
      </c>
      <c r="E54" s="13" t="str">
        <f t="shared" si="1"/>
        <v/>
      </c>
      <c r="F54" s="13" t="str">
        <f t="shared" si="2"/>
        <v/>
      </c>
      <c r="G54" s="13" t="str">
        <f t="shared" si="3"/>
        <v/>
      </c>
      <c r="H54" s="13" t="str">
        <f t="shared" si="4"/>
        <v/>
      </c>
      <c r="I54" t="str">
        <f t="shared" si="5"/>
        <v/>
      </c>
    </row>
    <row r="55" spans="1:9">
      <c r="A55">
        <f>CSV!B55</f>
        <v>0</v>
      </c>
      <c r="B55" s="13" t="e">
        <f>INDEX(Input!$D$2:$AC$500,
       MATCH(CPU_Formula!A55, Input!$J$2:$J$500, 0),
       MATCH("CPU model", Input!$D$1:$AC$1, 0))</f>
        <v>#N/A</v>
      </c>
      <c r="C55" s="13" t="str">
        <f t="shared" si="6"/>
        <v/>
      </c>
      <c r="D55" s="13" t="str">
        <f t="shared" si="0"/>
        <v/>
      </c>
      <c r="E55" s="13" t="str">
        <f t="shared" si="1"/>
        <v/>
      </c>
      <c r="F55" s="13" t="str">
        <f t="shared" si="2"/>
        <v/>
      </c>
      <c r="G55" s="13" t="str">
        <f t="shared" si="3"/>
        <v/>
      </c>
      <c r="H55" s="13" t="str">
        <f t="shared" si="4"/>
        <v/>
      </c>
      <c r="I55" t="str">
        <f t="shared" si="5"/>
        <v/>
      </c>
    </row>
    <row r="56" spans="1:9">
      <c r="A56">
        <f>CSV!B56</f>
        <v>0</v>
      </c>
      <c r="B56" s="13" t="e">
        <f>INDEX(Input!$D$2:$AC$500,
       MATCH(CPU_Formula!A56, Input!$J$2:$J$500, 0),
       MATCH("CPU model", Input!$D$1:$AC$1, 0))</f>
        <v>#N/A</v>
      </c>
      <c r="C56" s="13" t="str">
        <f t="shared" si="6"/>
        <v/>
      </c>
      <c r="D56" s="13" t="str">
        <f t="shared" si="0"/>
        <v/>
      </c>
      <c r="E56" s="13" t="str">
        <f t="shared" si="1"/>
        <v/>
      </c>
      <c r="F56" s="13" t="str">
        <f t="shared" si="2"/>
        <v/>
      </c>
      <c r="G56" s="13" t="str">
        <f t="shared" si="3"/>
        <v/>
      </c>
      <c r="H56" s="13" t="str">
        <f t="shared" si="4"/>
        <v/>
      </c>
      <c r="I56" t="str">
        <f t="shared" si="5"/>
        <v/>
      </c>
    </row>
    <row r="57" spans="1:9">
      <c r="A57">
        <f>CSV!B57</f>
        <v>0</v>
      </c>
      <c r="B57" s="13" t="e">
        <f>INDEX(Input!$D$2:$AC$500,
       MATCH(CPU_Formula!A57, Input!$J$2:$J$500, 0),
       MATCH("CPU model", Input!$D$1:$AC$1, 0))</f>
        <v>#N/A</v>
      </c>
      <c r="C57" s="13" t="str">
        <f t="shared" si="6"/>
        <v/>
      </c>
      <c r="D57" s="13" t="str">
        <f t="shared" si="0"/>
        <v/>
      </c>
      <c r="E57" s="13" t="str">
        <f t="shared" si="1"/>
        <v/>
      </c>
      <c r="F57" s="13" t="str">
        <f t="shared" si="2"/>
        <v/>
      </c>
      <c r="G57" s="13" t="str">
        <f t="shared" si="3"/>
        <v/>
      </c>
      <c r="H57" s="13" t="str">
        <f t="shared" si="4"/>
        <v/>
      </c>
      <c r="I57" t="str">
        <f t="shared" si="5"/>
        <v/>
      </c>
    </row>
    <row r="58" spans="1:9">
      <c r="A58">
        <f>CSV!B58</f>
        <v>0</v>
      </c>
      <c r="B58" s="13" t="e">
        <f>INDEX(Input!$D$2:$AC$500,
       MATCH(CPU_Formula!A58, Input!$J$2:$J$500, 0),
       MATCH("CPU model", Input!$D$1:$AC$1, 0))</f>
        <v>#N/A</v>
      </c>
      <c r="C58" s="13" t="str">
        <f t="shared" si="6"/>
        <v/>
      </c>
      <c r="D58" s="13" t="str">
        <f t="shared" si="0"/>
        <v/>
      </c>
      <c r="E58" s="13" t="str">
        <f t="shared" si="1"/>
        <v/>
      </c>
      <c r="F58" s="13" t="str">
        <f t="shared" si="2"/>
        <v/>
      </c>
      <c r="G58" s="13" t="str">
        <f t="shared" si="3"/>
        <v/>
      </c>
      <c r="H58" s="13" t="str">
        <f t="shared" si="4"/>
        <v/>
      </c>
      <c r="I58" t="str">
        <f t="shared" si="5"/>
        <v/>
      </c>
    </row>
    <row r="59" spans="1:9">
      <c r="A59">
        <f>CSV!B59</f>
        <v>0</v>
      </c>
      <c r="B59" s="13" t="e">
        <f>INDEX(Input!$D$2:$AC$500,
       MATCH(CPU_Formula!A59, Input!$J$2:$J$500, 0),
       MATCH("CPU model", Input!$D$1:$AC$1, 0))</f>
        <v>#N/A</v>
      </c>
      <c r="C59" s="13" t="str">
        <f t="shared" si="6"/>
        <v/>
      </c>
      <c r="D59" s="13" t="str">
        <f t="shared" si="0"/>
        <v/>
      </c>
      <c r="E59" s="13" t="str">
        <f t="shared" si="1"/>
        <v/>
      </c>
      <c r="F59" s="13" t="str">
        <f t="shared" si="2"/>
        <v/>
      </c>
      <c r="G59" s="13" t="str">
        <f t="shared" si="3"/>
        <v/>
      </c>
      <c r="H59" s="13" t="str">
        <f t="shared" si="4"/>
        <v/>
      </c>
      <c r="I59" t="str">
        <f t="shared" si="5"/>
        <v/>
      </c>
    </row>
    <row r="60" spans="1:9">
      <c r="A60">
        <f>CSV!B60</f>
        <v>0</v>
      </c>
      <c r="B60" s="13" t="e">
        <f>INDEX(Input!$D$2:$AC$500,
       MATCH(CPU_Formula!A60, Input!$J$2:$J$500, 0),
       MATCH("CPU model", Input!$D$1:$AC$1, 0))</f>
        <v>#N/A</v>
      </c>
      <c r="C60" s="13" t="str">
        <f t="shared" si="6"/>
        <v/>
      </c>
      <c r="D60" s="13" t="str">
        <f t="shared" si="0"/>
        <v/>
      </c>
      <c r="E60" s="13" t="str">
        <f t="shared" si="1"/>
        <v/>
      </c>
      <c r="F60" s="13" t="str">
        <f t="shared" si="2"/>
        <v/>
      </c>
      <c r="G60" s="13" t="str">
        <f t="shared" si="3"/>
        <v/>
      </c>
      <c r="H60" s="13" t="str">
        <f t="shared" si="4"/>
        <v/>
      </c>
      <c r="I60" t="str">
        <f t="shared" si="5"/>
        <v/>
      </c>
    </row>
    <row r="61" spans="1:9">
      <c r="A61">
        <f>CSV!B61</f>
        <v>0</v>
      </c>
      <c r="B61" s="13" t="e">
        <f>INDEX(Input!$D$2:$AC$500,
       MATCH(CPU_Formula!A61, Input!$J$2:$J$500, 0),
       MATCH("CPU model", Input!$D$1:$AC$1, 0))</f>
        <v>#N/A</v>
      </c>
      <c r="C61" s="13" t="str">
        <f t="shared" si="6"/>
        <v/>
      </c>
      <c r="D61" s="13" t="str">
        <f t="shared" si="0"/>
        <v/>
      </c>
      <c r="E61" s="13" t="str">
        <f t="shared" si="1"/>
        <v/>
      </c>
      <c r="F61" s="13" t="str">
        <f t="shared" si="2"/>
        <v/>
      </c>
      <c r="G61" s="13" t="str">
        <f t="shared" si="3"/>
        <v/>
      </c>
      <c r="H61" s="13" t="str">
        <f t="shared" si="4"/>
        <v/>
      </c>
      <c r="I61" t="str">
        <f t="shared" si="5"/>
        <v/>
      </c>
    </row>
    <row r="62" spans="1:9">
      <c r="A62">
        <f>CSV!B62</f>
        <v>0</v>
      </c>
      <c r="B62" s="13" t="e">
        <f>INDEX(Input!$D$2:$AC$500,
       MATCH(CPU_Formula!A62, Input!$J$2:$J$500, 0),
       MATCH("CPU model", Input!$D$1:$AC$1, 0))</f>
        <v>#N/A</v>
      </c>
      <c r="C62" s="13" t="str">
        <f t="shared" si="6"/>
        <v/>
      </c>
      <c r="D62" s="13" t="str">
        <f t="shared" si="0"/>
        <v/>
      </c>
      <c r="E62" s="13" t="str">
        <f t="shared" si="1"/>
        <v/>
      </c>
      <c r="F62" s="13" t="str">
        <f t="shared" si="2"/>
        <v/>
      </c>
      <c r="G62" s="13" t="str">
        <f t="shared" si="3"/>
        <v/>
      </c>
      <c r="H62" s="13" t="str">
        <f t="shared" si="4"/>
        <v/>
      </c>
      <c r="I62" t="str">
        <f t="shared" si="5"/>
        <v/>
      </c>
    </row>
    <row r="63" spans="1:9">
      <c r="A63">
        <f>CSV!B63</f>
        <v>0</v>
      </c>
      <c r="B63" s="13" t="e">
        <f>INDEX(Input!$D$2:$AC$500,
       MATCH(CPU_Formula!A63, Input!$J$2:$J$500, 0),
       MATCH("CPU model", Input!$D$1:$AC$1, 0))</f>
        <v>#N/A</v>
      </c>
      <c r="C63" s="13" t="str">
        <f t="shared" si="6"/>
        <v/>
      </c>
      <c r="D63" s="13" t="str">
        <f t="shared" si="0"/>
        <v/>
      </c>
      <c r="E63" s="13" t="str">
        <f t="shared" si="1"/>
        <v/>
      </c>
      <c r="F63" s="13" t="str">
        <f t="shared" si="2"/>
        <v/>
      </c>
      <c r="G63" s="13" t="str">
        <f t="shared" si="3"/>
        <v/>
      </c>
      <c r="H63" s="13" t="str">
        <f t="shared" si="4"/>
        <v/>
      </c>
      <c r="I63" t="str">
        <f t="shared" si="5"/>
        <v/>
      </c>
    </row>
    <row r="64" spans="1:9">
      <c r="A64">
        <f>CSV!B64</f>
        <v>0</v>
      </c>
      <c r="B64" s="13" t="e">
        <f>INDEX(Input!$D$2:$AC$500,
       MATCH(CPU_Formula!A64, Input!$J$2:$J$500, 0),
       MATCH("CPU model", Input!$D$1:$AC$1, 0))</f>
        <v>#N/A</v>
      </c>
      <c r="C64" s="13" t="str">
        <f t="shared" si="6"/>
        <v/>
      </c>
      <c r="D64" s="13" t="str">
        <f t="shared" si="0"/>
        <v/>
      </c>
      <c r="E64" s="13" t="str">
        <f t="shared" si="1"/>
        <v/>
      </c>
      <c r="F64" s="13" t="str">
        <f t="shared" si="2"/>
        <v/>
      </c>
      <c r="G64" s="13" t="str">
        <f t="shared" si="3"/>
        <v/>
      </c>
      <c r="H64" s="13" t="str">
        <f t="shared" si="4"/>
        <v/>
      </c>
      <c r="I64" t="str">
        <f t="shared" si="5"/>
        <v/>
      </c>
    </row>
    <row r="65" spans="1:9">
      <c r="A65">
        <f>CSV!B65</f>
        <v>0</v>
      </c>
      <c r="B65" s="13" t="e">
        <f>INDEX(Input!$D$2:$AC$500,
       MATCH(CPU_Formula!A65, Input!$J$2:$J$500, 0),
       MATCH("CPU model", Input!$D$1:$AC$1, 0))</f>
        <v>#N/A</v>
      </c>
      <c r="C65" s="13" t="str">
        <f t="shared" si="6"/>
        <v/>
      </c>
      <c r="D65" s="13" t="str">
        <f t="shared" si="0"/>
        <v/>
      </c>
      <c r="E65" s="13" t="str">
        <f t="shared" si="1"/>
        <v/>
      </c>
      <c r="F65" s="13" t="str">
        <f t="shared" si="2"/>
        <v/>
      </c>
      <c r="G65" s="13" t="str">
        <f t="shared" si="3"/>
        <v/>
      </c>
      <c r="H65" s="13" t="str">
        <f t="shared" si="4"/>
        <v/>
      </c>
      <c r="I65" t="str">
        <f t="shared" si="5"/>
        <v/>
      </c>
    </row>
    <row r="66" spans="1:9">
      <c r="A66">
        <f>CSV!B66</f>
        <v>0</v>
      </c>
      <c r="B66" s="13" t="e">
        <f>INDEX(Input!$D$2:$AC$500,
       MATCH(CPU_Formula!A66, Input!$J$2:$J$500, 0),
       MATCH("CPU model", Input!$D$1:$AC$1, 0))</f>
        <v>#N/A</v>
      </c>
      <c r="C66" s="13" t="str">
        <f t="shared" si="6"/>
        <v/>
      </c>
      <c r="D66" s="13" t="str">
        <f t="shared" ref="D66:D73" si="7">IF(ISNUMBER(SEARCH("Ryzen", B66)), _xlfn.TEXTAFTER(B66, "AMD"), "")</f>
        <v/>
      </c>
      <c r="E66" s="13" t="str">
        <f t="shared" ref="E66:E73" si="8">IF(ISNUMBER(SEARCH("Ultra", B66)), "Ultra"&amp;_xlfn.TEXTAFTER(B66, "Ultra"), "")</f>
        <v/>
      </c>
      <c r="F66" s="13" t="str">
        <f t="shared" ref="F66:F73" si="9">IF(C66&lt;&gt;"", TRIM(_xlfn.TEXTBEFORE(C66," ",,1,1)), "")</f>
        <v/>
      </c>
      <c r="G66" s="13" t="str">
        <f t="shared" ref="G66:G73" si="10">IFERROR(_xlfn.TEXTBEFORE(D66,"w/"),"")</f>
        <v/>
      </c>
      <c r="H66" s="13" t="str">
        <f t="shared" ref="H66:H73" si="11">E66</f>
        <v/>
      </c>
      <c r="I66" t="str">
        <f t="shared" ref="I66:I73" si="12">IF(H66&lt;&gt;"",H66,IF(G66&lt;&gt;"",G66,F66))</f>
        <v/>
      </c>
    </row>
    <row r="67" spans="1:9">
      <c r="A67">
        <f>CSV!B67</f>
        <v>0</v>
      </c>
      <c r="B67" s="13" t="e">
        <f>INDEX(Input!$D$2:$AC$500,
       MATCH(CPU_Formula!A67, Input!$J$2:$J$500, 0),
       MATCH("CPU model", Input!$D$1:$AC$1, 0))</f>
        <v>#N/A</v>
      </c>
      <c r="C67" s="13" t="str">
        <f t="shared" ref="C67:C103" si="13">IFERROR(_xlfn.TEXTAFTER(B67,"Core(TM) "),IFERROR(_xlfn.TEXTAFTER(B67,"Xeon(R) CPU"),""))</f>
        <v/>
      </c>
      <c r="D67" s="13" t="str">
        <f t="shared" si="7"/>
        <v/>
      </c>
      <c r="E67" s="13" t="str">
        <f t="shared" si="8"/>
        <v/>
      </c>
      <c r="F67" s="13" t="str">
        <f t="shared" si="9"/>
        <v/>
      </c>
      <c r="G67" s="13" t="str">
        <f t="shared" si="10"/>
        <v/>
      </c>
      <c r="H67" s="13" t="str">
        <f t="shared" si="11"/>
        <v/>
      </c>
      <c r="I67" t="str">
        <f t="shared" si="12"/>
        <v/>
      </c>
    </row>
    <row r="68" spans="1:9">
      <c r="A68">
        <f>CSV!B68</f>
        <v>0</v>
      </c>
      <c r="B68" s="13" t="e">
        <f>INDEX(Input!$D$2:$AC$500,
       MATCH(CPU_Formula!A68, Input!$J$2:$J$500, 0),
       MATCH("CPU model", Input!$D$1:$AC$1, 0))</f>
        <v>#N/A</v>
      </c>
      <c r="C68" s="13" t="str">
        <f t="shared" si="13"/>
        <v/>
      </c>
      <c r="D68" s="13" t="str">
        <f t="shared" si="7"/>
        <v/>
      </c>
      <c r="E68" s="13" t="str">
        <f t="shared" si="8"/>
        <v/>
      </c>
      <c r="F68" s="13" t="str">
        <f t="shared" si="9"/>
        <v/>
      </c>
      <c r="G68" s="13" t="str">
        <f t="shared" si="10"/>
        <v/>
      </c>
      <c r="H68" s="13" t="str">
        <f t="shared" si="11"/>
        <v/>
      </c>
      <c r="I68" t="str">
        <f t="shared" si="12"/>
        <v/>
      </c>
    </row>
    <row r="69" spans="1:9">
      <c r="A69">
        <f>CSV!B69</f>
        <v>0</v>
      </c>
      <c r="B69" s="13" t="e">
        <f>INDEX(Input!$D$2:$AC$500,
       MATCH(CPU_Formula!A69, Input!$J$2:$J$500, 0),
       MATCH("CPU model", Input!$D$1:$AC$1, 0))</f>
        <v>#N/A</v>
      </c>
      <c r="C69" s="13" t="str">
        <f t="shared" si="13"/>
        <v/>
      </c>
      <c r="D69" s="13" t="str">
        <f t="shared" si="7"/>
        <v/>
      </c>
      <c r="E69" s="13" t="str">
        <f t="shared" si="8"/>
        <v/>
      </c>
      <c r="F69" s="13" t="str">
        <f t="shared" si="9"/>
        <v/>
      </c>
      <c r="G69" s="13" t="str">
        <f t="shared" si="10"/>
        <v/>
      </c>
      <c r="H69" s="13" t="str">
        <f t="shared" si="11"/>
        <v/>
      </c>
      <c r="I69" t="str">
        <f t="shared" si="12"/>
        <v/>
      </c>
    </row>
    <row r="70" spans="1:9">
      <c r="A70">
        <f>CSV!B70</f>
        <v>0</v>
      </c>
      <c r="B70" s="13" t="e">
        <f>INDEX(Input!$D$2:$AC$500,
       MATCH(CPU_Formula!A70, Input!$J$2:$J$500, 0),
       MATCH("CPU model", Input!$D$1:$AC$1, 0))</f>
        <v>#N/A</v>
      </c>
      <c r="C70" s="13" t="str">
        <f t="shared" si="13"/>
        <v/>
      </c>
      <c r="D70" s="13" t="str">
        <f t="shared" si="7"/>
        <v/>
      </c>
      <c r="E70" s="13" t="str">
        <f t="shared" si="8"/>
        <v/>
      </c>
      <c r="F70" s="13" t="str">
        <f t="shared" si="9"/>
        <v/>
      </c>
      <c r="G70" s="13" t="str">
        <f t="shared" si="10"/>
        <v/>
      </c>
      <c r="H70" s="13" t="str">
        <f t="shared" si="11"/>
        <v/>
      </c>
      <c r="I70" t="str">
        <f t="shared" si="12"/>
        <v/>
      </c>
    </row>
    <row r="71" spans="1:9">
      <c r="A71">
        <f>CSV!B71</f>
        <v>0</v>
      </c>
      <c r="B71" s="13" t="e">
        <f>INDEX(Input!$D$2:$AC$500,
       MATCH(CPU_Formula!A71, Input!$J$2:$J$500, 0),
       MATCH("CPU model", Input!$D$1:$AC$1, 0))</f>
        <v>#N/A</v>
      </c>
      <c r="C71" s="13" t="str">
        <f t="shared" si="13"/>
        <v/>
      </c>
      <c r="D71" s="13" t="str">
        <f t="shared" si="7"/>
        <v/>
      </c>
      <c r="E71" s="13" t="str">
        <f t="shared" si="8"/>
        <v/>
      </c>
      <c r="F71" s="13" t="str">
        <f t="shared" si="9"/>
        <v/>
      </c>
      <c r="G71" s="13" t="str">
        <f t="shared" si="10"/>
        <v/>
      </c>
      <c r="H71" s="13" t="str">
        <f t="shared" si="11"/>
        <v/>
      </c>
      <c r="I71" t="str">
        <f t="shared" si="12"/>
        <v/>
      </c>
    </row>
    <row r="72" spans="1:9">
      <c r="A72">
        <f>CSV!B72</f>
        <v>0</v>
      </c>
      <c r="B72" s="13" t="e">
        <f>INDEX(Input!$D$2:$AC$500,
       MATCH(CPU_Formula!A72, Input!$J$2:$J$500, 0),
       MATCH("CPU model", Input!$D$1:$AC$1, 0))</f>
        <v>#N/A</v>
      </c>
      <c r="C72" s="13" t="str">
        <f t="shared" si="13"/>
        <v/>
      </c>
      <c r="D72" s="13" t="str">
        <f t="shared" si="7"/>
        <v/>
      </c>
      <c r="E72" s="13" t="str">
        <f t="shared" si="8"/>
        <v/>
      </c>
      <c r="F72" s="13" t="str">
        <f t="shared" si="9"/>
        <v/>
      </c>
      <c r="G72" s="13" t="str">
        <f t="shared" si="10"/>
        <v/>
      </c>
      <c r="H72" s="13" t="str">
        <f t="shared" si="11"/>
        <v/>
      </c>
      <c r="I72" t="str">
        <f t="shared" si="12"/>
        <v/>
      </c>
    </row>
    <row r="73" spans="1:9">
      <c r="A73">
        <f>CSV!B73</f>
        <v>0</v>
      </c>
      <c r="B73" s="13" t="e">
        <f>INDEX(Input!$D$2:$AC$500,
       MATCH(CPU_Formula!A73, Input!$J$2:$J$500, 0),
       MATCH("CPU model", Input!$D$1:$AC$1, 0))</f>
        <v>#N/A</v>
      </c>
      <c r="C73" s="13" t="str">
        <f t="shared" si="13"/>
        <v/>
      </c>
      <c r="D73" s="13" t="str">
        <f t="shared" si="7"/>
        <v/>
      </c>
      <c r="E73" s="13" t="str">
        <f t="shared" si="8"/>
        <v/>
      </c>
      <c r="F73" s="13" t="str">
        <f t="shared" si="9"/>
        <v/>
      </c>
      <c r="G73" s="13" t="str">
        <f t="shared" si="10"/>
        <v/>
      </c>
      <c r="H73" s="13" t="str">
        <f t="shared" si="11"/>
        <v/>
      </c>
      <c r="I73" t="str">
        <f t="shared" si="12"/>
        <v/>
      </c>
    </row>
    <row r="74" spans="1:9">
      <c r="A74">
        <f>CSV!B74</f>
        <v>0</v>
      </c>
      <c r="B74" s="13" t="e">
        <f>INDEX(Input!$D$2:$AC$500,
       MATCH(CPU_Formula!A74, Input!$J$2:$J$500, 0),
       MATCH("CPU model", Input!$D$1:$AC$1, 0))</f>
        <v>#N/A</v>
      </c>
      <c r="C74" s="13" t="str">
        <f t="shared" si="13"/>
        <v/>
      </c>
      <c r="D74" s="13" t="str">
        <f>IF(ISNUMBER(SEARCH("Ryzen", B74)), _xlfn.TEXTAFTER(B74, "AMD"), "")</f>
        <v/>
      </c>
      <c r="E74" s="13" t="str">
        <f t="shared" ref="E74:E103" si="14">IF(ISNUMBER(SEARCH("Ultra", B74)), "Ultra"&amp;_xlfn.TEXTAFTER(B74, "Ultra"), "")</f>
        <v/>
      </c>
      <c r="F74" s="13" t="str">
        <f t="shared" ref="F74:F103" si="15">IF(C74&lt;&gt;"", TRIM(_xlfn.TEXTBEFORE(C74," ",,1,1)), "")</f>
        <v/>
      </c>
      <c r="G74" s="13" t="str">
        <f>IFERROR(_xlfn.TEXTBEFORE(D74,"w/"),"")</f>
        <v/>
      </c>
      <c r="H74" s="13" t="str">
        <f t="shared" ref="H74:H103" si="16">E74</f>
        <v/>
      </c>
      <c r="I74" t="str">
        <f t="shared" ref="I74:I103" si="17">IF(H74&lt;&gt;"",H74,IF(G74&lt;&gt;"",G74,F74))</f>
        <v/>
      </c>
    </row>
    <row r="75" spans="1:9">
      <c r="A75">
        <f>CSV!B75</f>
        <v>0</v>
      </c>
      <c r="B75" s="13" t="e">
        <f>INDEX(Input!$D$2:$AC$500,
       MATCH(CPU_Formula!A75, Input!$J$2:$J$500, 0),
       MATCH("CPU model", Input!$D$1:$AC$1, 0))</f>
        <v>#N/A</v>
      </c>
      <c r="C75" s="13" t="str">
        <f t="shared" si="13"/>
        <v/>
      </c>
      <c r="D75" s="13" t="str">
        <f t="shared" ref="D75:D87" si="18">IF(ISNUMBER(SEARCH("Ryzen", B75)), _xlfn.TEXTAFTER(B75, "AMD"), "")</f>
        <v/>
      </c>
      <c r="E75" s="13" t="str">
        <f t="shared" ref="E75:E87" si="19">IF(ISNUMBER(SEARCH("Ultra", B75)), "Ultra"&amp;_xlfn.TEXTAFTER(B75, "Ultra"), "")</f>
        <v/>
      </c>
      <c r="F75" s="13" t="str">
        <f t="shared" ref="F75:F87" si="20">IF(C75&lt;&gt;"", TRIM(_xlfn.TEXTBEFORE(C75," ",,1,1)), "")</f>
        <v/>
      </c>
      <c r="G75" s="13" t="str">
        <f t="shared" ref="G75:G87" si="21">IFERROR(_xlfn.TEXTBEFORE(D75,"w/"),"")</f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INDEX(Input!$D$2:$AC$500,
       MATCH(CPU_Formula!A76, Input!$J$2:$J$500, 0),
       MATCH("CPU model", Input!$D$1:$AC$1, 0))</f>
        <v>#N/A</v>
      </c>
      <c r="C76" s="13" t="str">
        <f t="shared" si="13"/>
        <v/>
      </c>
      <c r="D76" s="13" t="str">
        <f t="shared" si="18"/>
        <v/>
      </c>
      <c r="E76" s="13" t="str">
        <f t="shared" si="19"/>
        <v/>
      </c>
      <c r="F76" s="13" t="str">
        <f t="shared" si="20"/>
        <v/>
      </c>
      <c r="G76" s="13" t="str">
        <f t="shared" si="2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INDEX(Input!$D$2:$AC$500,
       MATCH(CPU_Formula!A77, Input!$J$2:$J$500, 0),
       MATCH("CPU model", Input!$D$1:$AC$1, 0))</f>
        <v>#N/A</v>
      </c>
      <c r="C77" s="13" t="str">
        <f t="shared" si="13"/>
        <v/>
      </c>
      <c r="D77" s="13" t="str">
        <f t="shared" si="18"/>
        <v/>
      </c>
      <c r="E77" s="13" t="str">
        <f t="shared" si="19"/>
        <v/>
      </c>
      <c r="F77" s="13" t="str">
        <f t="shared" si="20"/>
        <v/>
      </c>
      <c r="G77" s="13" t="str">
        <f t="shared" si="2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INDEX(Input!$D$2:$AC$500,
       MATCH(CPU_Formula!A78, Input!$J$2:$J$500, 0),
       MATCH("CPU model", Input!$D$1:$AC$1, 0))</f>
        <v>#N/A</v>
      </c>
      <c r="C78" s="13" t="str">
        <f t="shared" si="13"/>
        <v/>
      </c>
      <c r="D78" s="13" t="str">
        <f t="shared" si="18"/>
        <v/>
      </c>
      <c r="E78" s="13" t="str">
        <f t="shared" si="19"/>
        <v/>
      </c>
      <c r="F78" s="13" t="str">
        <f t="shared" si="20"/>
        <v/>
      </c>
      <c r="G78" s="13" t="str">
        <f t="shared" si="2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INDEX(Input!$D$2:$AC$500,
       MATCH(CPU_Formula!A79, Input!$J$2:$J$500, 0),
       MATCH("CPU model", Input!$D$1:$AC$1, 0))</f>
        <v>#N/A</v>
      </c>
      <c r="C79" s="13" t="str">
        <f t="shared" si="13"/>
        <v/>
      </c>
      <c r="D79" s="13" t="str">
        <f t="shared" si="18"/>
        <v/>
      </c>
      <c r="E79" s="13" t="str">
        <f t="shared" si="19"/>
        <v/>
      </c>
      <c r="F79" s="13" t="str">
        <f t="shared" si="20"/>
        <v/>
      </c>
      <c r="G79" s="13" t="str">
        <f t="shared" si="2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INDEX(Input!$D$2:$AC$500,
       MATCH(CPU_Formula!A80, Input!$J$2:$J$500, 0),
       MATCH("CPU model", Input!$D$1:$AC$1, 0))</f>
        <v>#N/A</v>
      </c>
      <c r="C80" s="13" t="str">
        <f t="shared" si="13"/>
        <v/>
      </c>
      <c r="D80" s="13" t="str">
        <f t="shared" si="18"/>
        <v/>
      </c>
      <c r="E80" s="13" t="str">
        <f t="shared" si="19"/>
        <v/>
      </c>
      <c r="F80" s="13" t="str">
        <f t="shared" si="20"/>
        <v/>
      </c>
      <c r="G80" s="13" t="str">
        <f t="shared" si="2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INDEX(Input!$D$2:$AC$500,
       MATCH(CPU_Formula!A81, Input!$J$2:$J$500, 0),
       MATCH("CPU model", Input!$D$1:$AC$1, 0))</f>
        <v>#N/A</v>
      </c>
      <c r="C81" s="13" t="str">
        <f t="shared" si="13"/>
        <v/>
      </c>
      <c r="D81" s="13" t="str">
        <f t="shared" si="18"/>
        <v/>
      </c>
      <c r="E81" s="13" t="str">
        <f t="shared" si="19"/>
        <v/>
      </c>
      <c r="F81" s="13" t="str">
        <f t="shared" si="20"/>
        <v/>
      </c>
      <c r="G81" s="13" t="str">
        <f t="shared" si="2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INDEX(Input!$D$2:$AC$500,
       MATCH(CPU_Formula!A82, Input!$J$2:$J$500, 0),
       MATCH("CPU model", Input!$D$1:$AC$1, 0))</f>
        <v>#N/A</v>
      </c>
      <c r="C82" s="13" t="str">
        <f t="shared" si="13"/>
        <v/>
      </c>
      <c r="D82" s="13" t="str">
        <f t="shared" si="18"/>
        <v/>
      </c>
      <c r="E82" s="13" t="str">
        <f t="shared" si="19"/>
        <v/>
      </c>
      <c r="F82" s="13" t="str">
        <f t="shared" si="20"/>
        <v/>
      </c>
      <c r="G82" s="13" t="str">
        <f t="shared" si="2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INDEX(Input!$D$2:$AC$500,
       MATCH(CPU_Formula!A83, Input!$J$2:$J$500, 0),
       MATCH("CPU model", Input!$D$1:$AC$1, 0))</f>
        <v>#N/A</v>
      </c>
      <c r="C83" s="13" t="str">
        <f t="shared" si="13"/>
        <v/>
      </c>
      <c r="D83" s="13" t="str">
        <f t="shared" si="18"/>
        <v/>
      </c>
      <c r="E83" s="13" t="str">
        <f t="shared" si="19"/>
        <v/>
      </c>
      <c r="F83" s="13" t="str">
        <f t="shared" si="20"/>
        <v/>
      </c>
      <c r="G83" s="13" t="str">
        <f t="shared" si="2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INDEX(Input!$D$2:$AC$500,
       MATCH(CPU_Formula!A84, Input!$J$2:$J$500, 0),
       MATCH("CPU model", Input!$D$1:$AC$1, 0))</f>
        <v>#N/A</v>
      </c>
      <c r="C84" s="13" t="str">
        <f t="shared" si="13"/>
        <v/>
      </c>
      <c r="D84" s="13" t="str">
        <f t="shared" si="18"/>
        <v/>
      </c>
      <c r="E84" s="13" t="str">
        <f t="shared" si="19"/>
        <v/>
      </c>
      <c r="F84" s="13" t="str">
        <f t="shared" si="20"/>
        <v/>
      </c>
      <c r="G84" s="13" t="str">
        <f t="shared" si="2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INDEX(Input!$D$2:$AC$500,
       MATCH(CPU_Formula!A85, Input!$J$2:$J$500, 0),
       MATCH("CPU model", Input!$D$1:$AC$1, 0))</f>
        <v>#N/A</v>
      </c>
      <c r="C85" s="13" t="str">
        <f t="shared" si="13"/>
        <v/>
      </c>
      <c r="D85" s="13" t="str">
        <f t="shared" si="18"/>
        <v/>
      </c>
      <c r="E85" s="13" t="str">
        <f t="shared" si="19"/>
        <v/>
      </c>
      <c r="F85" s="13" t="str">
        <f t="shared" si="20"/>
        <v/>
      </c>
      <c r="G85" s="13" t="str">
        <f t="shared" si="2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INDEX(Input!$D$2:$AC$500,
       MATCH(CPU_Formula!A86, Input!$J$2:$J$500, 0),
       MATCH("CPU model", Input!$D$1:$AC$1, 0))</f>
        <v>#N/A</v>
      </c>
      <c r="C86" s="13" t="str">
        <f t="shared" si="13"/>
        <v/>
      </c>
      <c r="D86" s="13" t="str">
        <f t="shared" si="18"/>
        <v/>
      </c>
      <c r="E86" s="13" t="str">
        <f t="shared" si="19"/>
        <v/>
      </c>
      <c r="F86" s="13" t="str">
        <f t="shared" si="20"/>
        <v/>
      </c>
      <c r="G86" s="13" t="str">
        <f t="shared" si="2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INDEX(Input!$D$2:$AC$500,
       MATCH(CPU_Formula!A87, Input!$J$2:$J$500, 0),
       MATCH("CPU model", Input!$D$1:$AC$1, 0))</f>
        <v>#N/A</v>
      </c>
      <c r="C87" s="13" t="str">
        <f t="shared" si="13"/>
        <v/>
      </c>
      <c r="D87" s="13" t="str">
        <f t="shared" si="18"/>
        <v/>
      </c>
      <c r="E87" s="13" t="str">
        <f t="shared" si="19"/>
        <v/>
      </c>
      <c r="F87" s="13" t="str">
        <f t="shared" si="20"/>
        <v/>
      </c>
      <c r="G87" s="13" t="str">
        <f t="shared" si="2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INDEX(Input!$D$2:$AC$500,
       MATCH(CPU_Formula!A88, Input!$J$2:$J$500, 0),
       MATCH("CPU model", Input!$D$1:$AC$1, 0))</f>
        <v>#N/A</v>
      </c>
      <c r="C88" s="13" t="str">
        <f t="shared" si="13"/>
        <v/>
      </c>
      <c r="D88" s="13" t="str">
        <f t="shared" ref="D88:D103" si="24">IFERROR(_xlfn.TEXTAFTER(B88,"Ryzen "), "")</f>
        <v/>
      </c>
      <c r="E88" s="13" t="str">
        <f t="shared" si="14"/>
        <v/>
      </c>
      <c r="F88" s="13" t="str">
        <f t="shared" si="15"/>
        <v/>
      </c>
      <c r="G88" s="13" t="str">
        <f t="shared" ref="G88:G103" si="25">IF(D88&lt;&gt;"", TRIM(_xlfn.TEXTBEFORE(D88," ",,1)), "")</f>
        <v/>
      </c>
      <c r="H88" s="13" t="str">
        <f t="shared" si="16"/>
        <v/>
      </c>
      <c r="I88" t="str">
        <f t="shared" si="17"/>
        <v/>
      </c>
    </row>
    <row r="89" spans="1:9">
      <c r="A89">
        <f>CSV!B89</f>
        <v>0</v>
      </c>
      <c r="B89" s="13" t="e">
        <f>INDEX(Input!$D$2:$AC$500,
       MATCH(CPU_Formula!A89, Input!$J$2:$J$500, 0),
       MATCH("CPU model", Input!$D$1:$AC$1, 0))</f>
        <v>#N/A</v>
      </c>
      <c r="C89" s="13" t="str">
        <f t="shared" si="13"/>
        <v/>
      </c>
      <c r="D89" s="13" t="str">
        <f t="shared" si="24"/>
        <v/>
      </c>
      <c r="E89" s="13" t="str">
        <f t="shared" si="14"/>
        <v/>
      </c>
      <c r="F89" s="13" t="str">
        <f t="shared" si="15"/>
        <v/>
      </c>
      <c r="G89" s="13" t="str">
        <f t="shared" si="25"/>
        <v/>
      </c>
      <c r="H89" s="13" t="str">
        <f t="shared" si="16"/>
        <v/>
      </c>
      <c r="I89" t="str">
        <f t="shared" si="17"/>
        <v/>
      </c>
    </row>
    <row r="90" spans="1:9">
      <c r="A90">
        <f>CSV!B90</f>
        <v>0</v>
      </c>
      <c r="B90" s="13" t="e">
        <f>INDEX(Input!$D$2:$AC$500,
       MATCH(CPU_Formula!A90, Input!$J$2:$J$500, 0),
       MATCH("CPU model", Input!$D$1:$AC$1, 0))</f>
        <v>#N/A</v>
      </c>
      <c r="C90" s="13" t="str">
        <f t="shared" si="13"/>
        <v/>
      </c>
      <c r="D90" s="13" t="str">
        <f t="shared" si="24"/>
        <v/>
      </c>
      <c r="E90" s="13" t="str">
        <f t="shared" si="14"/>
        <v/>
      </c>
      <c r="F90" s="13" t="str">
        <f t="shared" si="15"/>
        <v/>
      </c>
      <c r="G90" s="13" t="str">
        <f t="shared" si="25"/>
        <v/>
      </c>
      <c r="H90" s="13" t="str">
        <f t="shared" si="16"/>
        <v/>
      </c>
      <c r="I90" t="str">
        <f t="shared" si="17"/>
        <v/>
      </c>
    </row>
    <row r="91" spans="1:9">
      <c r="A91">
        <f>CSV!B91</f>
        <v>0</v>
      </c>
      <c r="B91" s="13" t="e">
        <f>INDEX(Input!$D$2:$AC$500,
       MATCH(CPU_Formula!A91, Input!$J$2:$J$500, 0),
       MATCH("CPU model", Input!$D$1:$AC$1, 0))</f>
        <v>#N/A</v>
      </c>
      <c r="C91" s="13" t="str">
        <f t="shared" si="13"/>
        <v/>
      </c>
      <c r="D91" s="13" t="str">
        <f t="shared" si="24"/>
        <v/>
      </c>
      <c r="E91" s="13" t="str">
        <f t="shared" si="14"/>
        <v/>
      </c>
      <c r="F91" s="13" t="str">
        <f t="shared" si="15"/>
        <v/>
      </c>
      <c r="G91" s="13" t="str">
        <f t="shared" si="25"/>
        <v/>
      </c>
      <c r="H91" s="13" t="str">
        <f t="shared" si="16"/>
        <v/>
      </c>
      <c r="I91" t="str">
        <f t="shared" si="17"/>
        <v/>
      </c>
    </row>
    <row r="92" spans="1:9">
      <c r="A92">
        <f>CSV!B92</f>
        <v>0</v>
      </c>
      <c r="B92" s="13" t="e">
        <f>INDEX(Input!$D$2:$AC$500,
       MATCH(CPU_Formula!A92, Input!$J$2:$J$500, 0),
       MATCH("CPU model", Input!$D$1:$AC$1, 0))</f>
        <v>#N/A</v>
      </c>
      <c r="C92" s="13" t="str">
        <f t="shared" si="13"/>
        <v/>
      </c>
      <c r="D92" s="13" t="str">
        <f t="shared" si="24"/>
        <v/>
      </c>
      <c r="E92" s="13" t="str">
        <f t="shared" si="14"/>
        <v/>
      </c>
      <c r="F92" s="13" t="str">
        <f t="shared" si="15"/>
        <v/>
      </c>
      <c r="G92" s="13" t="str">
        <f t="shared" si="25"/>
        <v/>
      </c>
      <c r="H92" s="13" t="str">
        <f t="shared" si="16"/>
        <v/>
      </c>
      <c r="I92" t="str">
        <f t="shared" si="17"/>
        <v/>
      </c>
    </row>
    <row r="93" spans="1:9">
      <c r="A93">
        <f>CSV!B93</f>
        <v>0</v>
      </c>
      <c r="B93" s="13" t="e">
        <f>INDEX(Input!$D$2:$AC$500,
       MATCH(CPU_Formula!A93, Input!$J$2:$J$500, 0),
       MATCH("CPU model", Input!$D$1:$AC$1, 0))</f>
        <v>#N/A</v>
      </c>
      <c r="C93" s="13" t="str">
        <f t="shared" si="13"/>
        <v/>
      </c>
      <c r="D93" s="13" t="str">
        <f t="shared" si="24"/>
        <v/>
      </c>
      <c r="E93" s="13" t="str">
        <f t="shared" si="14"/>
        <v/>
      </c>
      <c r="F93" s="13" t="str">
        <f t="shared" si="15"/>
        <v/>
      </c>
      <c r="G93" s="13" t="str">
        <f t="shared" si="25"/>
        <v/>
      </c>
      <c r="H93" s="13" t="str">
        <f t="shared" si="16"/>
        <v/>
      </c>
      <c r="I93" t="str">
        <f t="shared" si="17"/>
        <v/>
      </c>
    </row>
    <row r="94" spans="1:9">
      <c r="A94">
        <f>CSV!B94</f>
        <v>0</v>
      </c>
      <c r="B94" s="13" t="e">
        <f>INDEX(Input!$D$2:$AC$500,
       MATCH(CPU_Formula!A94, Input!$J$2:$J$500, 0),
       MATCH("CPU model", Input!$D$1:$AC$1, 0))</f>
        <v>#N/A</v>
      </c>
      <c r="C94" s="13" t="str">
        <f t="shared" si="13"/>
        <v/>
      </c>
      <c r="D94" s="13" t="str">
        <f t="shared" si="24"/>
        <v/>
      </c>
      <c r="E94" s="13" t="str">
        <f t="shared" si="14"/>
        <v/>
      </c>
      <c r="F94" s="13" t="str">
        <f t="shared" si="15"/>
        <v/>
      </c>
      <c r="G94" s="13" t="str">
        <f t="shared" si="25"/>
        <v/>
      </c>
      <c r="H94" s="13" t="str">
        <f t="shared" si="16"/>
        <v/>
      </c>
      <c r="I94" t="str">
        <f t="shared" si="17"/>
        <v/>
      </c>
    </row>
    <row r="95" spans="1:9">
      <c r="A95">
        <f>CSV!B95</f>
        <v>0</v>
      </c>
      <c r="B95" s="13" t="e">
        <f>INDEX(Input!$D$2:$AC$500,
       MATCH(CPU_Formula!A95, Input!$J$2:$J$500, 0),
       MATCH("CPU model", Input!$D$1:$AC$1, 0))</f>
        <v>#N/A</v>
      </c>
      <c r="C95" s="13" t="str">
        <f t="shared" si="13"/>
        <v/>
      </c>
      <c r="D95" s="13" t="str">
        <f t="shared" si="24"/>
        <v/>
      </c>
      <c r="E95" s="13" t="str">
        <f t="shared" si="14"/>
        <v/>
      </c>
      <c r="F95" s="13" t="str">
        <f t="shared" si="15"/>
        <v/>
      </c>
      <c r="G95" s="13" t="str">
        <f t="shared" si="25"/>
        <v/>
      </c>
      <c r="H95" s="13" t="str">
        <f t="shared" si="16"/>
        <v/>
      </c>
      <c r="I95" t="str">
        <f t="shared" si="17"/>
        <v/>
      </c>
    </row>
    <row r="96" spans="1:9">
      <c r="A96">
        <f>CSV!B96</f>
        <v>0</v>
      </c>
      <c r="B96" s="13" t="e">
        <f>INDEX(Input!$D$2:$AC$500,
       MATCH(CPU_Formula!A96, Input!$J$2:$J$500, 0),
       MATCH("CPU model", Input!$D$1:$AC$1, 0))</f>
        <v>#N/A</v>
      </c>
      <c r="C96" s="13" t="str">
        <f t="shared" si="13"/>
        <v/>
      </c>
      <c r="D96" s="13" t="str">
        <f t="shared" si="24"/>
        <v/>
      </c>
      <c r="E96" s="13" t="str">
        <f t="shared" si="14"/>
        <v/>
      </c>
      <c r="F96" s="13" t="str">
        <f t="shared" si="15"/>
        <v/>
      </c>
      <c r="G96" s="13" t="str">
        <f t="shared" si="25"/>
        <v/>
      </c>
      <c r="H96" s="13" t="str">
        <f t="shared" si="16"/>
        <v/>
      </c>
      <c r="I96" t="str">
        <f t="shared" si="17"/>
        <v/>
      </c>
    </row>
    <row r="97" spans="1:9">
      <c r="A97">
        <f>CSV!B97</f>
        <v>0</v>
      </c>
      <c r="B97" s="13" t="e">
        <f>INDEX(Input!$D$2:$AC$500,
       MATCH(CPU_Formula!A97, Input!$J$2:$J$500, 0),
       MATCH("CPU model", Input!$D$1:$AC$1, 0))</f>
        <v>#N/A</v>
      </c>
      <c r="C97" s="13" t="str">
        <f t="shared" si="13"/>
        <v/>
      </c>
      <c r="D97" s="13" t="str">
        <f t="shared" si="24"/>
        <v/>
      </c>
      <c r="E97" s="13" t="str">
        <f t="shared" si="14"/>
        <v/>
      </c>
      <c r="F97" s="13" t="str">
        <f t="shared" si="15"/>
        <v/>
      </c>
      <c r="G97" s="13" t="str">
        <f t="shared" si="25"/>
        <v/>
      </c>
      <c r="H97" s="13" t="str">
        <f t="shared" si="16"/>
        <v/>
      </c>
      <c r="I97" t="str">
        <f t="shared" si="17"/>
        <v/>
      </c>
    </row>
    <row r="98" spans="1:9">
      <c r="A98">
        <f>CSV!B98</f>
        <v>0</v>
      </c>
      <c r="B98" s="13" t="e">
        <f>INDEX(Input!$D$2:$AC$500,
       MATCH(CPU_Formula!A98, Input!$J$2:$J$500, 0),
       MATCH("CPU model", Input!$D$1:$AC$1, 0))</f>
        <v>#N/A</v>
      </c>
      <c r="C98" s="13" t="str">
        <f t="shared" si="13"/>
        <v/>
      </c>
      <c r="D98" s="13" t="str">
        <f t="shared" si="24"/>
        <v/>
      </c>
      <c r="E98" s="13" t="str">
        <f t="shared" si="14"/>
        <v/>
      </c>
      <c r="F98" s="13" t="str">
        <f t="shared" si="15"/>
        <v/>
      </c>
      <c r="G98" s="13" t="str">
        <f t="shared" si="25"/>
        <v/>
      </c>
      <c r="H98" s="13" t="str">
        <f t="shared" si="16"/>
        <v/>
      </c>
      <c r="I98" t="str">
        <f t="shared" si="17"/>
        <v/>
      </c>
    </row>
    <row r="99" spans="1:9">
      <c r="A99">
        <f>CSV!B99</f>
        <v>0</v>
      </c>
      <c r="B99" s="13" t="e">
        <f>INDEX(Input!$D$2:$AC$500,
       MATCH(CPU_Formula!A99, Input!$J$2:$J$500, 0),
       MATCH("CPU model", Input!$D$1:$AC$1, 0))</f>
        <v>#N/A</v>
      </c>
      <c r="C99" s="13" t="str">
        <f t="shared" si="13"/>
        <v/>
      </c>
      <c r="D99" s="13" t="str">
        <f t="shared" si="24"/>
        <v/>
      </c>
      <c r="E99" s="13" t="str">
        <f t="shared" si="14"/>
        <v/>
      </c>
      <c r="F99" s="13" t="str">
        <f t="shared" si="15"/>
        <v/>
      </c>
      <c r="G99" s="13" t="str">
        <f t="shared" si="25"/>
        <v/>
      </c>
      <c r="H99" s="13" t="str">
        <f t="shared" si="16"/>
        <v/>
      </c>
      <c r="I99" t="str">
        <f t="shared" si="17"/>
        <v/>
      </c>
    </row>
    <row r="100" spans="1:9">
      <c r="A100">
        <f>CSV!B100</f>
        <v>0</v>
      </c>
      <c r="B100" s="13" t="e">
        <f>INDEX(Input!$D$2:$AC$500,
       MATCH(CPU_Formula!A100, Input!$J$2:$J$500, 0),
       MATCH("CPU model", Input!$D$1:$AC$1, 0))</f>
        <v>#N/A</v>
      </c>
      <c r="C100" s="13" t="str">
        <f t="shared" si="13"/>
        <v/>
      </c>
      <c r="D100" s="13" t="str">
        <f t="shared" si="24"/>
        <v/>
      </c>
      <c r="E100" s="13" t="str">
        <f t="shared" si="14"/>
        <v/>
      </c>
      <c r="F100" s="13" t="str">
        <f t="shared" si="15"/>
        <v/>
      </c>
      <c r="G100" s="13" t="str">
        <f t="shared" si="25"/>
        <v/>
      </c>
      <c r="H100" s="13" t="str">
        <f t="shared" si="16"/>
        <v/>
      </c>
      <c r="I100" t="str">
        <f t="shared" si="17"/>
        <v/>
      </c>
    </row>
    <row r="101" spans="1:9">
      <c r="A101">
        <f>CSV!B101</f>
        <v>0</v>
      </c>
      <c r="B101" s="13" t="e">
        <f>INDEX(Input!$D$2:$AC$500,
       MATCH(CPU_Formula!A101, Input!$J$2:$J$500, 0),
       MATCH("CPU model", Input!$D$1:$AC$1, 0))</f>
        <v>#N/A</v>
      </c>
      <c r="C101" s="13" t="str">
        <f t="shared" si="13"/>
        <v/>
      </c>
      <c r="D101" s="13" t="str">
        <f t="shared" si="24"/>
        <v/>
      </c>
      <c r="E101" s="13" t="str">
        <f t="shared" si="14"/>
        <v/>
      </c>
      <c r="F101" s="13" t="str">
        <f t="shared" si="15"/>
        <v/>
      </c>
      <c r="G101" s="13" t="str">
        <f t="shared" si="25"/>
        <v/>
      </c>
      <c r="H101" s="13" t="str">
        <f t="shared" si="16"/>
        <v/>
      </c>
      <c r="I101" t="str">
        <f t="shared" si="17"/>
        <v/>
      </c>
    </row>
    <row r="102" spans="1:9">
      <c r="A102">
        <f>CSV!B102</f>
        <v>0</v>
      </c>
      <c r="B102" s="13" t="e">
        <f>INDEX(Input!$D$2:$AC$500,
       MATCH(CPU_Formula!A102, Input!$J$2:$J$500, 0),
       MATCH("CPU model", Input!$D$1:$AC$1, 0))</f>
        <v>#N/A</v>
      </c>
      <c r="C102" s="13" t="str">
        <f t="shared" si="13"/>
        <v/>
      </c>
      <c r="D102" s="13" t="str">
        <f t="shared" si="24"/>
        <v/>
      </c>
      <c r="E102" s="13" t="str">
        <f t="shared" si="14"/>
        <v/>
      </c>
      <c r="F102" s="13" t="str">
        <f t="shared" si="15"/>
        <v/>
      </c>
      <c r="G102" s="13" t="str">
        <f t="shared" si="25"/>
        <v/>
      </c>
      <c r="H102" s="13" t="str">
        <f t="shared" si="16"/>
        <v/>
      </c>
      <c r="I102" t="str">
        <f t="shared" si="17"/>
        <v/>
      </c>
    </row>
    <row r="103" spans="1:9">
      <c r="A103">
        <f>CSV!B103</f>
        <v>0</v>
      </c>
      <c r="B103" s="13" t="e">
        <f>INDEX(Input!$D$2:$AC$500,
       MATCH(CPU_Formula!A103, Input!$J$2:$J$500, 0),
       MATCH("CPU model", Input!$D$1:$AC$1, 0))</f>
        <v>#N/A</v>
      </c>
      <c r="C103" s="13" t="str">
        <f t="shared" si="13"/>
        <v/>
      </c>
      <c r="D103" s="13" t="str">
        <f t="shared" si="24"/>
        <v/>
      </c>
      <c r="E103" s="13" t="str">
        <f t="shared" si="14"/>
        <v/>
      </c>
      <c r="F103" s="13" t="str">
        <f t="shared" si="15"/>
        <v/>
      </c>
      <c r="G103" s="13" t="str">
        <f t="shared" si="25"/>
        <v/>
      </c>
      <c r="H103" s="13" t="str">
        <f t="shared" si="16"/>
        <v/>
      </c>
      <c r="I103" t="str">
        <f t="shared" si="17"/>
        <v/>
      </c>
    </row>
    <row r="104" spans="1:9">
      <c r="A104">
        <f>CSV!B104</f>
        <v>0</v>
      </c>
      <c r="B104" s="13" t="e">
        <f>INDEX(Input!$D$2:$AC$500,
       MATCH(CPU_Formula!A104, Input!$J$2:$J$500, 0),
       MATCH("CPU model", Input!$D$1:$AC$1, 0))</f>
        <v>#N/A</v>
      </c>
      <c r="C104" s="13" t="str">
        <f t="shared" ref="C104:C167" si="26">IFERROR(_xlfn.TEXTAFTER(B104,"Core(TM) "),IFERROR(_xlfn.TEXTAFTER(B104,"Xeon(R) CPU"),""))</f>
        <v/>
      </c>
      <c r="D104" s="13" t="str">
        <f t="shared" ref="D104:D167" si="27">IFERROR(_xlfn.TEXTAFTER(B104,"Ryzen "), "")</f>
        <v/>
      </c>
      <c r="E104" s="13" t="str">
        <f t="shared" ref="E104:E167" si="28">IF(ISNUMBER(SEARCH("Ultra", B104)), "Ultra"&amp;_xlfn.TEXTAFTER(B104, "Ultra"), "")</f>
        <v/>
      </c>
      <c r="F104" s="13" t="str">
        <f t="shared" ref="F104:F167" si="29">IF(C104&lt;&gt;"", TRIM(_xlfn.TEXTBEFORE(C104," ",,1,1)), "")</f>
        <v/>
      </c>
      <c r="G104" s="13" t="str">
        <f t="shared" ref="G104:G167" si="30">IF(D104&lt;&gt;"", TRIM(_xlfn.TEXTBEFORE(D104," ",,1)), "")</f>
        <v/>
      </c>
      <c r="H104" s="13" t="str">
        <f t="shared" ref="H104:H167" si="31">E104</f>
        <v/>
      </c>
      <c r="I104" t="str">
        <f t="shared" ref="I104:I167" si="32">IF(H104&lt;&gt;"",H104,IF(G104&lt;&gt;"",G104,F104))</f>
        <v/>
      </c>
    </row>
    <row r="105" spans="1:9">
      <c r="A105">
        <f>CSV!B105</f>
        <v>0</v>
      </c>
      <c r="B105" s="13" t="e">
        <f>INDEX(Input!$D$2:$AC$500,
       MATCH(CPU_Formula!A105, Input!$J$2:$J$500, 0),
       MATCH("CPU model", Input!$D$1:$AC$1, 0))</f>
        <v>#N/A</v>
      </c>
      <c r="C105" s="13" t="str">
        <f t="shared" si="26"/>
        <v/>
      </c>
      <c r="D105" s="13" t="str">
        <f t="shared" si="27"/>
        <v/>
      </c>
      <c r="E105" s="13" t="str">
        <f t="shared" si="28"/>
        <v/>
      </c>
      <c r="F105" s="13" t="str">
        <f t="shared" si="29"/>
        <v/>
      </c>
      <c r="G105" s="13" t="str">
        <f t="shared" si="30"/>
        <v/>
      </c>
      <c r="H105" s="13" t="str">
        <f t="shared" si="31"/>
        <v/>
      </c>
      <c r="I105" t="str">
        <f t="shared" si="32"/>
        <v/>
      </c>
    </row>
    <row r="106" spans="1:9">
      <c r="A106">
        <f>CSV!B106</f>
        <v>0</v>
      </c>
      <c r="B106" s="13" t="e">
        <f>INDEX(Input!$D$2:$AC$500,
       MATCH(CPU_Formula!A106, Input!$J$2:$J$500, 0),
       MATCH("CPU model", Input!$D$1:$AC$1, 0))</f>
        <v>#N/A</v>
      </c>
      <c r="C106" s="13" t="str">
        <f t="shared" si="26"/>
        <v/>
      </c>
      <c r="D106" s="13" t="str">
        <f t="shared" si="27"/>
        <v/>
      </c>
      <c r="E106" s="13" t="str">
        <f t="shared" si="28"/>
        <v/>
      </c>
      <c r="F106" s="13" t="str">
        <f t="shared" si="29"/>
        <v/>
      </c>
      <c r="G106" s="13" t="str">
        <f t="shared" si="30"/>
        <v/>
      </c>
      <c r="H106" s="13" t="str">
        <f t="shared" si="31"/>
        <v/>
      </c>
      <c r="I106" t="str">
        <f t="shared" si="32"/>
        <v/>
      </c>
    </row>
    <row r="107" spans="1:9">
      <c r="A107">
        <f>CSV!B107</f>
        <v>0</v>
      </c>
      <c r="B107" s="13" t="e">
        <f>INDEX(Input!$D$2:$AC$500,
       MATCH(CPU_Formula!A107, Input!$J$2:$J$500, 0),
       MATCH("CPU model", Input!$D$1:$AC$1, 0))</f>
        <v>#N/A</v>
      </c>
      <c r="C107" s="13" t="str">
        <f t="shared" si="26"/>
        <v/>
      </c>
      <c r="D107" s="13" t="str">
        <f t="shared" si="27"/>
        <v/>
      </c>
      <c r="E107" s="13" t="str">
        <f t="shared" si="28"/>
        <v/>
      </c>
      <c r="F107" s="13" t="str">
        <f t="shared" si="29"/>
        <v/>
      </c>
      <c r="G107" s="13" t="str">
        <f t="shared" si="30"/>
        <v/>
      </c>
      <c r="H107" s="13" t="str">
        <f t="shared" si="31"/>
        <v/>
      </c>
      <c r="I107" t="str">
        <f t="shared" si="32"/>
        <v/>
      </c>
    </row>
    <row r="108" spans="1:9">
      <c r="A108">
        <f>CSV!B108</f>
        <v>0</v>
      </c>
      <c r="B108" s="13" t="e">
        <f>INDEX(Input!$D$2:$AC$500,
       MATCH(CPU_Formula!A108, Input!$J$2:$J$500, 0),
       MATCH("CPU model", Input!$D$1:$AC$1, 0))</f>
        <v>#N/A</v>
      </c>
      <c r="C108" s="13" t="str">
        <f t="shared" si="26"/>
        <v/>
      </c>
      <c r="D108" s="13" t="str">
        <f t="shared" si="27"/>
        <v/>
      </c>
      <c r="E108" s="13" t="str">
        <f t="shared" si="28"/>
        <v/>
      </c>
      <c r="F108" s="13" t="str">
        <f t="shared" si="29"/>
        <v/>
      </c>
      <c r="G108" s="13" t="str">
        <f t="shared" si="30"/>
        <v/>
      </c>
      <c r="H108" s="13" t="str">
        <f t="shared" si="31"/>
        <v/>
      </c>
      <c r="I108" t="str">
        <f t="shared" si="32"/>
        <v/>
      </c>
    </row>
    <row r="109" spans="1:9">
      <c r="A109">
        <f>CSV!B109</f>
        <v>0</v>
      </c>
      <c r="B109" s="13" t="e">
        <f>INDEX(Input!$D$2:$AC$500,
       MATCH(CPU_Formula!A109, Input!$J$2:$J$500, 0),
       MATCH("CPU model", Input!$D$1:$AC$1, 0))</f>
        <v>#N/A</v>
      </c>
      <c r="C109" s="13" t="str">
        <f t="shared" si="26"/>
        <v/>
      </c>
      <c r="D109" s="13" t="str">
        <f t="shared" si="27"/>
        <v/>
      </c>
      <c r="E109" s="13" t="str">
        <f t="shared" si="28"/>
        <v/>
      </c>
      <c r="F109" s="13" t="str">
        <f t="shared" si="29"/>
        <v/>
      </c>
      <c r="G109" s="13" t="str">
        <f t="shared" si="30"/>
        <v/>
      </c>
      <c r="H109" s="13" t="str">
        <f t="shared" si="31"/>
        <v/>
      </c>
      <c r="I109" t="str">
        <f t="shared" si="32"/>
        <v/>
      </c>
    </row>
    <row r="110" spans="1:9">
      <c r="A110">
        <f>CSV!B110</f>
        <v>0</v>
      </c>
      <c r="B110" s="13" t="e">
        <f>INDEX(Input!$D$2:$AC$500,
       MATCH(CPU_Formula!A110, Input!$J$2:$J$500, 0),
       MATCH("CPU model", Input!$D$1:$AC$1, 0))</f>
        <v>#N/A</v>
      </c>
      <c r="C110" s="13" t="str">
        <f t="shared" si="26"/>
        <v/>
      </c>
      <c r="D110" s="13" t="str">
        <f t="shared" si="27"/>
        <v/>
      </c>
      <c r="E110" s="13" t="str">
        <f t="shared" si="28"/>
        <v/>
      </c>
      <c r="F110" s="13" t="str">
        <f t="shared" si="29"/>
        <v/>
      </c>
      <c r="G110" s="13" t="str">
        <f t="shared" si="30"/>
        <v/>
      </c>
      <c r="H110" s="13" t="str">
        <f t="shared" si="31"/>
        <v/>
      </c>
      <c r="I110" t="str">
        <f t="shared" si="32"/>
        <v/>
      </c>
    </row>
    <row r="111" spans="1:9">
      <c r="A111">
        <f>CSV!B111</f>
        <v>0</v>
      </c>
      <c r="B111" s="13" t="e">
        <f>INDEX(Input!$D$2:$AC$500,
       MATCH(CPU_Formula!A111, Input!$J$2:$J$500, 0),
       MATCH("CPU model", Input!$D$1:$AC$1, 0))</f>
        <v>#N/A</v>
      </c>
      <c r="C111" s="13" t="str">
        <f t="shared" si="26"/>
        <v/>
      </c>
      <c r="D111" s="13" t="str">
        <f t="shared" si="27"/>
        <v/>
      </c>
      <c r="E111" s="13" t="str">
        <f t="shared" si="28"/>
        <v/>
      </c>
      <c r="F111" s="13" t="str">
        <f t="shared" si="29"/>
        <v/>
      </c>
      <c r="G111" s="13" t="str">
        <f t="shared" si="30"/>
        <v/>
      </c>
      <c r="H111" s="13" t="str">
        <f t="shared" si="31"/>
        <v/>
      </c>
      <c r="I111" t="str">
        <f t="shared" si="32"/>
        <v/>
      </c>
    </row>
    <row r="112" spans="1:9">
      <c r="A112">
        <f>CSV!B112</f>
        <v>0</v>
      </c>
      <c r="B112" s="13" t="e">
        <f>INDEX(Input!$D$2:$AC$500,
       MATCH(CPU_Formula!A112, Input!$J$2:$J$500, 0),
       MATCH("CPU model", Input!$D$1:$AC$1, 0))</f>
        <v>#N/A</v>
      </c>
      <c r="C112" s="13" t="str">
        <f t="shared" si="26"/>
        <v/>
      </c>
      <c r="D112" s="13" t="str">
        <f t="shared" si="27"/>
        <v/>
      </c>
      <c r="E112" s="13" t="str">
        <f t="shared" si="28"/>
        <v/>
      </c>
      <c r="F112" s="13" t="str">
        <f t="shared" si="29"/>
        <v/>
      </c>
      <c r="G112" s="13" t="str">
        <f t="shared" si="30"/>
        <v/>
      </c>
      <c r="H112" s="13" t="str">
        <f t="shared" si="31"/>
        <v/>
      </c>
      <c r="I112" t="str">
        <f t="shared" si="32"/>
        <v/>
      </c>
    </row>
    <row r="113" spans="1:9">
      <c r="A113">
        <f>CSV!B113</f>
        <v>0</v>
      </c>
      <c r="B113" s="13" t="e">
        <f>INDEX(Input!$D$2:$AC$500,
       MATCH(CPU_Formula!A113, Input!$J$2:$J$500, 0),
       MATCH("CPU model", Input!$D$1:$AC$1, 0))</f>
        <v>#N/A</v>
      </c>
      <c r="C113" s="13" t="str">
        <f t="shared" si="26"/>
        <v/>
      </c>
      <c r="D113" s="13" t="str">
        <f t="shared" si="27"/>
        <v/>
      </c>
      <c r="E113" s="13" t="str">
        <f t="shared" si="28"/>
        <v/>
      </c>
      <c r="F113" s="13" t="str">
        <f t="shared" si="29"/>
        <v/>
      </c>
      <c r="G113" s="13" t="str">
        <f t="shared" si="30"/>
        <v/>
      </c>
      <c r="H113" s="13" t="str">
        <f t="shared" si="31"/>
        <v/>
      </c>
      <c r="I113" t="str">
        <f t="shared" si="32"/>
        <v/>
      </c>
    </row>
    <row r="114" spans="1:9">
      <c r="A114">
        <f>CSV!B114</f>
        <v>0</v>
      </c>
      <c r="B114" s="13" t="e">
        <f>INDEX(Input!$D$2:$AC$500,
       MATCH(CPU_Formula!A114, Input!$J$2:$J$500, 0),
       MATCH("CPU model", Input!$D$1:$AC$1, 0))</f>
        <v>#N/A</v>
      </c>
      <c r="C114" s="13" t="str">
        <f t="shared" si="26"/>
        <v/>
      </c>
      <c r="D114" s="13" t="str">
        <f t="shared" si="27"/>
        <v/>
      </c>
      <c r="E114" s="13" t="str">
        <f t="shared" si="28"/>
        <v/>
      </c>
      <c r="F114" s="13" t="str">
        <f t="shared" si="29"/>
        <v/>
      </c>
      <c r="G114" s="13" t="str">
        <f t="shared" si="30"/>
        <v/>
      </c>
      <c r="H114" s="13" t="str">
        <f t="shared" si="31"/>
        <v/>
      </c>
      <c r="I114" t="str">
        <f t="shared" si="32"/>
        <v/>
      </c>
    </row>
    <row r="115" spans="1:9">
      <c r="A115">
        <f>CSV!B115</f>
        <v>0</v>
      </c>
      <c r="B115" s="13" t="e">
        <f>INDEX(Input!$D$2:$AC$500,
       MATCH(CPU_Formula!A115, Input!$J$2:$J$500, 0),
       MATCH("CPU model", Input!$D$1:$AC$1, 0))</f>
        <v>#N/A</v>
      </c>
      <c r="C115" s="13" t="str">
        <f t="shared" si="26"/>
        <v/>
      </c>
      <c r="D115" s="13" t="str">
        <f t="shared" si="27"/>
        <v/>
      </c>
      <c r="E115" s="13" t="str">
        <f t="shared" si="28"/>
        <v/>
      </c>
      <c r="F115" s="13" t="str">
        <f t="shared" si="29"/>
        <v/>
      </c>
      <c r="G115" s="13" t="str">
        <f t="shared" si="30"/>
        <v/>
      </c>
      <c r="H115" s="13" t="str">
        <f t="shared" si="31"/>
        <v/>
      </c>
      <c r="I115" t="str">
        <f t="shared" si="32"/>
        <v/>
      </c>
    </row>
    <row r="116" spans="1:9">
      <c r="A116">
        <f>CSV!B116</f>
        <v>0</v>
      </c>
      <c r="B116" s="13" t="e">
        <f>INDEX(Input!$D$2:$AC$500,
       MATCH(CPU_Formula!A116, Input!$J$2:$J$500, 0),
       MATCH("CPU model", Input!$D$1:$AC$1, 0))</f>
        <v>#N/A</v>
      </c>
      <c r="C116" s="13" t="str">
        <f t="shared" si="26"/>
        <v/>
      </c>
      <c r="D116" s="13" t="str">
        <f t="shared" si="27"/>
        <v/>
      </c>
      <c r="E116" s="13" t="str">
        <f t="shared" si="28"/>
        <v/>
      </c>
      <c r="F116" s="13" t="str">
        <f t="shared" si="29"/>
        <v/>
      </c>
      <c r="G116" s="13" t="str">
        <f t="shared" si="30"/>
        <v/>
      </c>
      <c r="H116" s="13" t="str">
        <f t="shared" si="31"/>
        <v/>
      </c>
      <c r="I116" t="str">
        <f t="shared" si="32"/>
        <v/>
      </c>
    </row>
    <row r="117" spans="1:9">
      <c r="A117">
        <f>CSV!B117</f>
        <v>0</v>
      </c>
      <c r="B117" s="13" t="e">
        <f>INDEX(Input!$D$2:$AC$500,
       MATCH(CPU_Formula!A117, Input!$J$2:$J$500, 0),
       MATCH("CPU model", Input!$D$1:$AC$1, 0))</f>
        <v>#N/A</v>
      </c>
      <c r="C117" s="13" t="str">
        <f t="shared" si="26"/>
        <v/>
      </c>
      <c r="D117" s="13" t="str">
        <f t="shared" si="27"/>
        <v/>
      </c>
      <c r="E117" s="13" t="str">
        <f t="shared" si="28"/>
        <v/>
      </c>
      <c r="F117" s="13" t="str">
        <f t="shared" si="29"/>
        <v/>
      </c>
      <c r="G117" s="13" t="str">
        <f t="shared" si="30"/>
        <v/>
      </c>
      <c r="H117" s="13" t="str">
        <f t="shared" si="31"/>
        <v/>
      </c>
      <c r="I117" t="str">
        <f t="shared" si="32"/>
        <v/>
      </c>
    </row>
    <row r="118" spans="1:9">
      <c r="A118">
        <f>CSV!B118</f>
        <v>0</v>
      </c>
      <c r="B118" s="13" t="e">
        <f>INDEX(Input!$D$2:$AC$500,
       MATCH(CPU_Formula!A118, Input!$J$2:$J$500, 0),
       MATCH("CPU model", Input!$D$1:$AC$1, 0))</f>
        <v>#N/A</v>
      </c>
      <c r="C118" s="13" t="str">
        <f t="shared" si="26"/>
        <v/>
      </c>
      <c r="D118" s="13" t="str">
        <f t="shared" si="27"/>
        <v/>
      </c>
      <c r="E118" s="13" t="str">
        <f t="shared" si="28"/>
        <v/>
      </c>
      <c r="F118" s="13" t="str">
        <f t="shared" si="29"/>
        <v/>
      </c>
      <c r="G118" s="13" t="str">
        <f t="shared" si="30"/>
        <v/>
      </c>
      <c r="H118" s="13" t="str">
        <f t="shared" si="31"/>
        <v/>
      </c>
      <c r="I118" t="str">
        <f t="shared" si="32"/>
        <v/>
      </c>
    </row>
    <row r="119" spans="1:9">
      <c r="A119">
        <f>CSV!B119</f>
        <v>0</v>
      </c>
      <c r="B119" s="13" t="e">
        <f>INDEX(Input!$D$2:$AC$500,
       MATCH(CPU_Formula!A119, Input!$J$2:$J$500, 0),
       MATCH("CPU model", Input!$D$1:$AC$1, 0))</f>
        <v>#N/A</v>
      </c>
      <c r="C119" s="13" t="str">
        <f t="shared" si="26"/>
        <v/>
      </c>
      <c r="D119" s="13" t="str">
        <f t="shared" si="27"/>
        <v/>
      </c>
      <c r="E119" s="13" t="str">
        <f t="shared" si="28"/>
        <v/>
      </c>
      <c r="F119" s="13" t="str">
        <f t="shared" si="29"/>
        <v/>
      </c>
      <c r="G119" s="13" t="str">
        <f t="shared" si="30"/>
        <v/>
      </c>
      <c r="H119" s="13" t="str">
        <f t="shared" si="31"/>
        <v/>
      </c>
      <c r="I119" t="str">
        <f t="shared" si="32"/>
        <v/>
      </c>
    </row>
    <row r="120" spans="1:9">
      <c r="A120">
        <f>CSV!B120</f>
        <v>0</v>
      </c>
      <c r="B120" s="13" t="e">
        <f>INDEX(Input!$D$2:$AC$500,
       MATCH(CPU_Formula!A120, Input!$J$2:$J$500, 0),
       MATCH("CPU model", Input!$D$1:$AC$1, 0))</f>
        <v>#N/A</v>
      </c>
      <c r="C120" s="13" t="str">
        <f t="shared" si="26"/>
        <v/>
      </c>
      <c r="D120" s="13" t="str">
        <f t="shared" si="27"/>
        <v/>
      </c>
      <c r="E120" s="13" t="str">
        <f t="shared" si="28"/>
        <v/>
      </c>
      <c r="F120" s="13" t="str">
        <f t="shared" si="29"/>
        <v/>
      </c>
      <c r="G120" s="13" t="str">
        <f t="shared" si="30"/>
        <v/>
      </c>
      <c r="H120" s="13" t="str">
        <f t="shared" si="31"/>
        <v/>
      </c>
      <c r="I120" t="str">
        <f t="shared" si="32"/>
        <v/>
      </c>
    </row>
    <row r="121" spans="1:9">
      <c r="A121">
        <f>CSV!B121</f>
        <v>0</v>
      </c>
      <c r="B121" s="13" t="e">
        <f>INDEX(Input!$D$2:$AC$500,
       MATCH(CPU_Formula!A121, Input!$J$2:$J$500, 0),
       MATCH("CPU model", Input!$D$1:$AC$1, 0))</f>
        <v>#N/A</v>
      </c>
      <c r="C121" s="13" t="str">
        <f t="shared" si="26"/>
        <v/>
      </c>
      <c r="D121" s="13" t="str">
        <f t="shared" si="27"/>
        <v/>
      </c>
      <c r="E121" s="13" t="str">
        <f t="shared" si="28"/>
        <v/>
      </c>
      <c r="F121" s="13" t="str">
        <f t="shared" si="29"/>
        <v/>
      </c>
      <c r="G121" s="13" t="str">
        <f t="shared" si="30"/>
        <v/>
      </c>
      <c r="H121" s="13" t="str">
        <f t="shared" si="31"/>
        <v/>
      </c>
      <c r="I121" t="str">
        <f t="shared" si="32"/>
        <v/>
      </c>
    </row>
    <row r="122" spans="1:9">
      <c r="A122">
        <f>CSV!B122</f>
        <v>0</v>
      </c>
      <c r="B122" s="13" t="e">
        <f>INDEX(Input!$D$2:$AC$500,
       MATCH(CPU_Formula!A122, Input!$J$2:$J$500, 0),
       MATCH("CPU model", Input!$D$1:$AC$1, 0))</f>
        <v>#N/A</v>
      </c>
      <c r="C122" s="13" t="str">
        <f t="shared" si="26"/>
        <v/>
      </c>
      <c r="D122" s="13" t="str">
        <f t="shared" si="27"/>
        <v/>
      </c>
      <c r="E122" s="13" t="str">
        <f t="shared" si="28"/>
        <v/>
      </c>
      <c r="F122" s="13" t="str">
        <f t="shared" si="29"/>
        <v/>
      </c>
      <c r="G122" s="13" t="str">
        <f t="shared" si="30"/>
        <v/>
      </c>
      <c r="H122" s="13" t="str">
        <f t="shared" si="31"/>
        <v/>
      </c>
      <c r="I122" t="str">
        <f t="shared" si="32"/>
        <v/>
      </c>
    </row>
    <row r="123" spans="1:9">
      <c r="A123">
        <f>CSV!B123</f>
        <v>0</v>
      </c>
      <c r="B123" s="13" t="e">
        <f>INDEX(Input!$D$2:$AC$500,
       MATCH(CPU_Formula!A123, Input!$J$2:$J$500, 0),
       MATCH("CPU model", Input!$D$1:$AC$1, 0))</f>
        <v>#N/A</v>
      </c>
      <c r="C123" s="13" t="str">
        <f t="shared" si="26"/>
        <v/>
      </c>
      <c r="D123" s="13" t="str">
        <f t="shared" si="27"/>
        <v/>
      </c>
      <c r="E123" s="13" t="str">
        <f t="shared" si="28"/>
        <v/>
      </c>
      <c r="F123" s="13" t="str">
        <f t="shared" si="29"/>
        <v/>
      </c>
      <c r="G123" s="13" t="str">
        <f t="shared" si="30"/>
        <v/>
      </c>
      <c r="H123" s="13" t="str">
        <f t="shared" si="31"/>
        <v/>
      </c>
      <c r="I123" t="str">
        <f t="shared" si="32"/>
        <v/>
      </c>
    </row>
    <row r="124" spans="1:9">
      <c r="A124">
        <f>CSV!B124</f>
        <v>0</v>
      </c>
      <c r="B124" s="13" t="e">
        <f>INDEX(Input!$D$2:$AC$500,
       MATCH(CPU_Formula!A124, Input!$J$2:$J$500, 0),
       MATCH("CPU model", Input!$D$1:$AC$1, 0))</f>
        <v>#N/A</v>
      </c>
      <c r="C124" s="13" t="str">
        <f t="shared" si="26"/>
        <v/>
      </c>
      <c r="D124" s="13" t="str">
        <f t="shared" si="27"/>
        <v/>
      </c>
      <c r="E124" s="13" t="str">
        <f t="shared" si="28"/>
        <v/>
      </c>
      <c r="F124" s="13" t="str">
        <f t="shared" si="29"/>
        <v/>
      </c>
      <c r="G124" s="13" t="str">
        <f t="shared" si="30"/>
        <v/>
      </c>
      <c r="H124" s="13" t="str">
        <f t="shared" si="31"/>
        <v/>
      </c>
      <c r="I124" t="str">
        <f t="shared" si="32"/>
        <v/>
      </c>
    </row>
    <row r="125" spans="1:9">
      <c r="A125">
        <f>CSV!B125</f>
        <v>0</v>
      </c>
      <c r="B125" s="13" t="e">
        <f>INDEX(Input!$D$2:$AC$500,
       MATCH(CPU_Formula!A125, Input!$J$2:$J$500, 0),
       MATCH("CPU model", Input!$D$1:$AC$1, 0))</f>
        <v>#N/A</v>
      </c>
      <c r="C125" s="13" t="str">
        <f t="shared" si="26"/>
        <v/>
      </c>
      <c r="D125" s="13" t="str">
        <f t="shared" si="27"/>
        <v/>
      </c>
      <c r="E125" s="13" t="str">
        <f t="shared" si="28"/>
        <v/>
      </c>
      <c r="F125" s="13" t="str">
        <f t="shared" si="29"/>
        <v/>
      </c>
      <c r="G125" s="13" t="str">
        <f t="shared" si="30"/>
        <v/>
      </c>
      <c r="H125" s="13" t="str">
        <f t="shared" si="31"/>
        <v/>
      </c>
      <c r="I125" t="str">
        <f t="shared" si="32"/>
        <v/>
      </c>
    </row>
    <row r="126" spans="1:9">
      <c r="A126">
        <f>CSV!B126</f>
        <v>0</v>
      </c>
      <c r="B126" s="13" t="e">
        <f>INDEX(Input!$D$2:$AC$500,
       MATCH(CPU_Formula!A126, Input!$J$2:$J$500, 0),
       MATCH("CPU model", Input!$D$1:$AC$1, 0))</f>
        <v>#N/A</v>
      </c>
      <c r="C126" s="13" t="str">
        <f t="shared" si="26"/>
        <v/>
      </c>
      <c r="D126" s="13" t="str">
        <f t="shared" si="27"/>
        <v/>
      </c>
      <c r="E126" s="13" t="str">
        <f t="shared" si="28"/>
        <v/>
      </c>
      <c r="F126" s="13" t="str">
        <f t="shared" si="29"/>
        <v/>
      </c>
      <c r="G126" s="13" t="str">
        <f t="shared" si="30"/>
        <v/>
      </c>
      <c r="H126" s="13" t="str">
        <f t="shared" si="31"/>
        <v/>
      </c>
      <c r="I126" t="str">
        <f t="shared" si="32"/>
        <v/>
      </c>
    </row>
    <row r="127" spans="1:9">
      <c r="A127">
        <f>CSV!B127</f>
        <v>0</v>
      </c>
      <c r="B127" s="13" t="e">
        <f>INDEX(Input!$D$2:$AC$500,
       MATCH(CPU_Formula!A127, Input!$J$2:$J$500, 0),
       MATCH("CPU model", Input!$D$1:$AC$1, 0))</f>
        <v>#N/A</v>
      </c>
      <c r="C127" s="13" t="str">
        <f t="shared" si="26"/>
        <v/>
      </c>
      <c r="D127" s="13" t="str">
        <f t="shared" si="27"/>
        <v/>
      </c>
      <c r="E127" s="13" t="str">
        <f t="shared" si="28"/>
        <v/>
      </c>
      <c r="F127" s="13" t="str">
        <f t="shared" si="29"/>
        <v/>
      </c>
      <c r="G127" s="13" t="str">
        <f t="shared" si="30"/>
        <v/>
      </c>
      <c r="H127" s="13" t="str">
        <f t="shared" si="31"/>
        <v/>
      </c>
      <c r="I127" t="str">
        <f t="shared" si="32"/>
        <v/>
      </c>
    </row>
    <row r="128" spans="1:9">
      <c r="A128">
        <f>CSV!B128</f>
        <v>0</v>
      </c>
      <c r="B128" s="13" t="e">
        <f>INDEX(Input!$D$2:$AC$500,
       MATCH(CPU_Formula!A128, Input!$J$2:$J$500, 0),
       MATCH("CPU model", Input!$D$1:$AC$1, 0))</f>
        <v>#N/A</v>
      </c>
      <c r="C128" s="13" t="str">
        <f t="shared" si="26"/>
        <v/>
      </c>
      <c r="D128" s="13" t="str">
        <f t="shared" si="27"/>
        <v/>
      </c>
      <c r="E128" s="13" t="str">
        <f t="shared" si="28"/>
        <v/>
      </c>
      <c r="F128" s="13" t="str">
        <f t="shared" si="29"/>
        <v/>
      </c>
      <c r="G128" s="13" t="str">
        <f t="shared" si="30"/>
        <v/>
      </c>
      <c r="H128" s="13" t="str">
        <f t="shared" si="31"/>
        <v/>
      </c>
      <c r="I128" t="str">
        <f t="shared" si="32"/>
        <v/>
      </c>
    </row>
    <row r="129" spans="1:9">
      <c r="A129">
        <f>CSV!B129</f>
        <v>0</v>
      </c>
      <c r="B129" s="13" t="e">
        <f>INDEX(Input!$D$2:$AC$500,
       MATCH(CPU_Formula!A129, Input!$J$2:$J$500, 0),
       MATCH("CPU model", Input!$D$1:$AC$1, 0))</f>
        <v>#N/A</v>
      </c>
      <c r="C129" s="13" t="str">
        <f t="shared" si="26"/>
        <v/>
      </c>
      <c r="D129" s="13" t="str">
        <f t="shared" si="27"/>
        <v/>
      </c>
      <c r="E129" s="13" t="str">
        <f t="shared" si="28"/>
        <v/>
      </c>
      <c r="F129" s="13" t="str">
        <f t="shared" si="29"/>
        <v/>
      </c>
      <c r="G129" s="13" t="str">
        <f t="shared" si="30"/>
        <v/>
      </c>
      <c r="H129" s="13" t="str">
        <f t="shared" si="31"/>
        <v/>
      </c>
      <c r="I129" t="str">
        <f t="shared" si="32"/>
        <v/>
      </c>
    </row>
    <row r="130" spans="1:9">
      <c r="A130">
        <f>CSV!B130</f>
        <v>0</v>
      </c>
      <c r="B130" s="13" t="e">
        <f>INDEX(Input!$D$2:$AC$500,
       MATCH(CPU_Formula!A130, Input!$J$2:$J$500, 0),
       MATCH("CPU model", Input!$D$1:$AC$1, 0))</f>
        <v>#N/A</v>
      </c>
      <c r="C130" s="13" t="str">
        <f t="shared" si="26"/>
        <v/>
      </c>
      <c r="D130" s="13" t="str">
        <f t="shared" si="27"/>
        <v/>
      </c>
      <c r="E130" s="13" t="str">
        <f t="shared" si="28"/>
        <v/>
      </c>
      <c r="F130" s="13" t="str">
        <f t="shared" si="29"/>
        <v/>
      </c>
      <c r="G130" s="13" t="str">
        <f t="shared" si="30"/>
        <v/>
      </c>
      <c r="H130" s="13" t="str">
        <f t="shared" si="31"/>
        <v/>
      </c>
      <c r="I130" t="str">
        <f t="shared" si="32"/>
        <v/>
      </c>
    </row>
    <row r="131" spans="1:9">
      <c r="A131">
        <f>CSV!B131</f>
        <v>0</v>
      </c>
      <c r="B131" s="13" t="e">
        <f>INDEX(Input!$D$2:$AC$500,
       MATCH(CPU_Formula!A131, Input!$J$2:$J$500, 0),
       MATCH("CPU model", Input!$D$1:$AC$1, 0))</f>
        <v>#N/A</v>
      </c>
      <c r="C131" s="13" t="str">
        <f t="shared" si="26"/>
        <v/>
      </c>
      <c r="D131" s="13" t="str">
        <f t="shared" si="27"/>
        <v/>
      </c>
      <c r="E131" s="13" t="str">
        <f t="shared" si="28"/>
        <v/>
      </c>
      <c r="F131" s="13" t="str">
        <f t="shared" si="29"/>
        <v/>
      </c>
      <c r="G131" s="13" t="str">
        <f t="shared" si="30"/>
        <v/>
      </c>
      <c r="H131" s="13" t="str">
        <f t="shared" si="31"/>
        <v/>
      </c>
      <c r="I131" t="str">
        <f t="shared" si="32"/>
        <v/>
      </c>
    </row>
    <row r="132" spans="1:9">
      <c r="A132">
        <f>CSV!B132</f>
        <v>0</v>
      </c>
      <c r="B132" s="13" t="e">
        <f>INDEX(Input!$D$2:$AC$500,
       MATCH(CPU_Formula!A132, Input!$J$2:$J$500, 0),
       MATCH("CPU model", Input!$D$1:$AC$1, 0))</f>
        <v>#N/A</v>
      </c>
      <c r="C132" s="13" t="str">
        <f t="shared" si="26"/>
        <v/>
      </c>
      <c r="D132" s="13" t="str">
        <f t="shared" si="27"/>
        <v/>
      </c>
      <c r="E132" s="13" t="str">
        <f t="shared" si="28"/>
        <v/>
      </c>
      <c r="F132" s="13" t="str">
        <f t="shared" si="29"/>
        <v/>
      </c>
      <c r="G132" s="13" t="str">
        <f t="shared" si="30"/>
        <v/>
      </c>
      <c r="H132" s="13" t="str">
        <f t="shared" si="31"/>
        <v/>
      </c>
      <c r="I132" t="str">
        <f t="shared" si="32"/>
        <v/>
      </c>
    </row>
    <row r="133" spans="1:9">
      <c r="A133">
        <f>CSV!B133</f>
        <v>0</v>
      </c>
      <c r="B133" s="13" t="e">
        <f>INDEX(Input!$D$2:$AC$500,
       MATCH(CPU_Formula!A133, Input!$J$2:$J$500, 0),
       MATCH("CPU model", Input!$D$1:$AC$1, 0))</f>
        <v>#N/A</v>
      </c>
      <c r="C133" s="13" t="str">
        <f t="shared" si="26"/>
        <v/>
      </c>
      <c r="D133" s="13" t="str">
        <f t="shared" si="27"/>
        <v/>
      </c>
      <c r="E133" s="13" t="str">
        <f t="shared" si="28"/>
        <v/>
      </c>
      <c r="F133" s="13" t="str">
        <f t="shared" si="29"/>
        <v/>
      </c>
      <c r="G133" s="13" t="str">
        <f t="shared" si="30"/>
        <v/>
      </c>
      <c r="H133" s="13" t="str">
        <f t="shared" si="31"/>
        <v/>
      </c>
      <c r="I133" t="str">
        <f t="shared" si="32"/>
        <v/>
      </c>
    </row>
    <row r="134" spans="1:9">
      <c r="A134">
        <f>CSV!B134</f>
        <v>0</v>
      </c>
      <c r="B134" s="13" t="e">
        <f>INDEX(Input!$D$2:$AC$500,
       MATCH(CPU_Formula!A134, Input!$J$2:$J$500, 0),
       MATCH("CPU model", Input!$D$1:$AC$1, 0))</f>
        <v>#N/A</v>
      </c>
      <c r="C134" s="13" t="str">
        <f t="shared" si="26"/>
        <v/>
      </c>
      <c r="D134" s="13" t="str">
        <f t="shared" si="27"/>
        <v/>
      </c>
      <c r="E134" s="13" t="str">
        <f t="shared" si="28"/>
        <v/>
      </c>
      <c r="F134" s="13" t="str">
        <f t="shared" si="29"/>
        <v/>
      </c>
      <c r="G134" s="13" t="str">
        <f t="shared" si="30"/>
        <v/>
      </c>
      <c r="H134" s="13" t="str">
        <f t="shared" si="31"/>
        <v/>
      </c>
      <c r="I134" t="str">
        <f t="shared" si="32"/>
        <v/>
      </c>
    </row>
    <row r="135" spans="1:9">
      <c r="A135">
        <f>CSV!B135</f>
        <v>0</v>
      </c>
      <c r="B135" s="13" t="e">
        <f>INDEX(Input!$D$2:$AC$500,
       MATCH(CPU_Formula!A135, Input!$J$2:$J$500, 0),
       MATCH("CPU model", Input!$D$1:$AC$1, 0))</f>
        <v>#N/A</v>
      </c>
      <c r="C135" s="13" t="str">
        <f t="shared" si="26"/>
        <v/>
      </c>
      <c r="D135" s="13" t="str">
        <f t="shared" si="27"/>
        <v/>
      </c>
      <c r="E135" s="13" t="str">
        <f t="shared" si="28"/>
        <v/>
      </c>
      <c r="F135" s="13" t="str">
        <f t="shared" si="29"/>
        <v/>
      </c>
      <c r="G135" s="13" t="str">
        <f t="shared" si="30"/>
        <v/>
      </c>
      <c r="H135" s="13" t="str">
        <f t="shared" si="31"/>
        <v/>
      </c>
      <c r="I135" t="str">
        <f t="shared" si="32"/>
        <v/>
      </c>
    </row>
    <row r="136" spans="1:9">
      <c r="A136">
        <f>CSV!B136</f>
        <v>0</v>
      </c>
      <c r="B136" s="13" t="e">
        <f>INDEX(Input!$D$2:$AC$500,
       MATCH(CPU_Formula!A136, Input!$J$2:$J$500, 0),
       MATCH("CPU model", Input!$D$1:$AC$1, 0))</f>
        <v>#N/A</v>
      </c>
      <c r="C136" s="13" t="str">
        <f t="shared" si="26"/>
        <v/>
      </c>
      <c r="D136" s="13" t="str">
        <f t="shared" si="27"/>
        <v/>
      </c>
      <c r="E136" s="13" t="str">
        <f t="shared" si="28"/>
        <v/>
      </c>
      <c r="F136" s="13" t="str">
        <f t="shared" si="29"/>
        <v/>
      </c>
      <c r="G136" s="13" t="str">
        <f t="shared" si="30"/>
        <v/>
      </c>
      <c r="H136" s="13" t="str">
        <f t="shared" si="31"/>
        <v/>
      </c>
      <c r="I136" t="str">
        <f t="shared" si="32"/>
        <v/>
      </c>
    </row>
    <row r="137" spans="1:9">
      <c r="A137">
        <f>CSV!B137</f>
        <v>0</v>
      </c>
      <c r="B137" s="13" t="e">
        <f>INDEX(Input!$D$2:$AC$500,
       MATCH(CPU_Formula!A137, Input!$J$2:$J$500, 0),
       MATCH("CPU model", Input!$D$1:$AC$1, 0))</f>
        <v>#N/A</v>
      </c>
      <c r="C137" s="13" t="str">
        <f t="shared" si="26"/>
        <v/>
      </c>
      <c r="D137" s="13" t="str">
        <f t="shared" si="27"/>
        <v/>
      </c>
      <c r="E137" s="13" t="str">
        <f t="shared" si="28"/>
        <v/>
      </c>
      <c r="F137" s="13" t="str">
        <f t="shared" si="29"/>
        <v/>
      </c>
      <c r="G137" s="13" t="str">
        <f t="shared" si="30"/>
        <v/>
      </c>
      <c r="H137" s="13" t="str">
        <f t="shared" si="31"/>
        <v/>
      </c>
      <c r="I137" t="str">
        <f t="shared" si="32"/>
        <v/>
      </c>
    </row>
    <row r="138" spans="1:9">
      <c r="A138">
        <f>CSV!B138</f>
        <v>0</v>
      </c>
      <c r="B138" s="13" t="e">
        <f>INDEX(Input!$D$2:$AC$500,
       MATCH(CPU_Formula!A138, Input!$J$2:$J$500, 0),
       MATCH("CPU model", Input!$D$1:$AC$1, 0))</f>
        <v>#N/A</v>
      </c>
      <c r="C138" s="13" t="str">
        <f t="shared" si="26"/>
        <v/>
      </c>
      <c r="D138" s="13" t="str">
        <f t="shared" si="27"/>
        <v/>
      </c>
      <c r="E138" s="13" t="str">
        <f t="shared" si="28"/>
        <v/>
      </c>
      <c r="F138" s="13" t="str">
        <f t="shared" si="29"/>
        <v/>
      </c>
      <c r="G138" s="13" t="str">
        <f t="shared" si="30"/>
        <v/>
      </c>
      <c r="H138" s="13" t="str">
        <f t="shared" si="31"/>
        <v/>
      </c>
      <c r="I138" t="str">
        <f t="shared" si="32"/>
        <v/>
      </c>
    </row>
    <row r="139" spans="1:9">
      <c r="A139">
        <f>CSV!B139</f>
        <v>0</v>
      </c>
      <c r="B139" s="13" t="e">
        <f>INDEX(Input!$D$2:$AC$500,
       MATCH(CPU_Formula!A139, Input!$J$2:$J$500, 0),
       MATCH("CPU model", Input!$D$1:$AC$1, 0))</f>
        <v>#N/A</v>
      </c>
      <c r="C139" s="13" t="str">
        <f t="shared" si="26"/>
        <v/>
      </c>
      <c r="D139" s="13" t="str">
        <f t="shared" si="27"/>
        <v/>
      </c>
      <c r="E139" s="13" t="str">
        <f t="shared" si="28"/>
        <v/>
      </c>
      <c r="F139" s="13" t="str">
        <f t="shared" si="29"/>
        <v/>
      </c>
      <c r="G139" s="13" t="str">
        <f t="shared" si="30"/>
        <v/>
      </c>
      <c r="H139" s="13" t="str">
        <f t="shared" si="31"/>
        <v/>
      </c>
      <c r="I139" t="str">
        <f t="shared" si="32"/>
        <v/>
      </c>
    </row>
    <row r="140" spans="1:9">
      <c r="A140">
        <f>CSV!B140</f>
        <v>0</v>
      </c>
      <c r="B140" s="13" t="e">
        <f>INDEX(Input!$D$2:$AC$500,
       MATCH(CPU_Formula!A140, Input!$J$2:$J$500, 0),
       MATCH("CPU model", Input!$D$1:$AC$1, 0))</f>
        <v>#N/A</v>
      </c>
      <c r="C140" s="13" t="str">
        <f t="shared" si="26"/>
        <v/>
      </c>
      <c r="D140" s="13" t="str">
        <f t="shared" si="27"/>
        <v/>
      </c>
      <c r="E140" s="13" t="str">
        <f t="shared" si="28"/>
        <v/>
      </c>
      <c r="F140" s="13" t="str">
        <f t="shared" si="29"/>
        <v/>
      </c>
      <c r="G140" s="13" t="str">
        <f t="shared" si="30"/>
        <v/>
      </c>
      <c r="H140" s="13" t="str">
        <f t="shared" si="31"/>
        <v/>
      </c>
      <c r="I140" t="str">
        <f t="shared" si="32"/>
        <v/>
      </c>
    </row>
    <row r="141" spans="1:9">
      <c r="A141">
        <f>CSV!B141</f>
        <v>0</v>
      </c>
      <c r="B141" s="13" t="e">
        <f>INDEX(Input!$D$2:$AC$500,
       MATCH(CPU_Formula!A141, Input!$J$2:$J$500, 0),
       MATCH("CPU model", Input!$D$1:$AC$1, 0))</f>
        <v>#N/A</v>
      </c>
      <c r="C141" s="13" t="str">
        <f t="shared" si="26"/>
        <v/>
      </c>
      <c r="D141" s="13" t="str">
        <f t="shared" si="27"/>
        <v/>
      </c>
      <c r="E141" s="13" t="str">
        <f t="shared" si="28"/>
        <v/>
      </c>
      <c r="F141" s="13" t="str">
        <f t="shared" si="29"/>
        <v/>
      </c>
      <c r="G141" s="13" t="str">
        <f t="shared" si="30"/>
        <v/>
      </c>
      <c r="H141" s="13" t="str">
        <f t="shared" si="31"/>
        <v/>
      </c>
      <c r="I141" t="str">
        <f t="shared" si="32"/>
        <v/>
      </c>
    </row>
    <row r="142" spans="1:9">
      <c r="A142">
        <f>CSV!B142</f>
        <v>0</v>
      </c>
      <c r="B142" s="13" t="e">
        <f>INDEX(Input!$D$2:$AC$500,
       MATCH(CPU_Formula!A142, Input!$J$2:$J$500, 0),
       MATCH("CPU model", Input!$D$1:$AC$1, 0))</f>
        <v>#N/A</v>
      </c>
      <c r="C142" s="13" t="str">
        <f t="shared" si="26"/>
        <v/>
      </c>
      <c r="D142" s="13" t="str">
        <f t="shared" si="27"/>
        <v/>
      </c>
      <c r="E142" s="13" t="str">
        <f t="shared" si="28"/>
        <v/>
      </c>
      <c r="F142" s="13" t="str">
        <f t="shared" si="29"/>
        <v/>
      </c>
      <c r="G142" s="13" t="str">
        <f t="shared" si="30"/>
        <v/>
      </c>
      <c r="H142" s="13" t="str">
        <f t="shared" si="31"/>
        <v/>
      </c>
      <c r="I142" t="str">
        <f t="shared" si="32"/>
        <v/>
      </c>
    </row>
    <row r="143" spans="1:9">
      <c r="A143">
        <f>CSV!B143</f>
        <v>0</v>
      </c>
      <c r="B143" s="13" t="e">
        <f>INDEX(Input!$D$2:$AC$500,
       MATCH(CPU_Formula!A143, Input!$J$2:$J$500, 0),
       MATCH("CPU model", Input!$D$1:$AC$1, 0))</f>
        <v>#N/A</v>
      </c>
      <c r="C143" s="13" t="str">
        <f t="shared" si="26"/>
        <v/>
      </c>
      <c r="D143" s="13" t="str">
        <f t="shared" si="27"/>
        <v/>
      </c>
      <c r="E143" s="13" t="str">
        <f t="shared" si="28"/>
        <v/>
      </c>
      <c r="F143" s="13" t="str">
        <f t="shared" si="29"/>
        <v/>
      </c>
      <c r="G143" s="13" t="str">
        <f t="shared" si="30"/>
        <v/>
      </c>
      <c r="H143" s="13" t="str">
        <f t="shared" si="31"/>
        <v/>
      </c>
      <c r="I143" t="str">
        <f t="shared" si="32"/>
        <v/>
      </c>
    </row>
    <row r="144" spans="1:9">
      <c r="A144">
        <f>CSV!B144</f>
        <v>0</v>
      </c>
      <c r="B144" s="13" t="e">
        <f>INDEX(Input!$D$2:$AC$500,
       MATCH(CPU_Formula!A144, Input!$J$2:$J$500, 0),
       MATCH("CPU model", Input!$D$1:$AC$1, 0))</f>
        <v>#N/A</v>
      </c>
      <c r="C144" s="13" t="str">
        <f t="shared" si="26"/>
        <v/>
      </c>
      <c r="D144" s="13" t="str">
        <f t="shared" si="27"/>
        <v/>
      </c>
      <c r="E144" s="13" t="str">
        <f t="shared" si="28"/>
        <v/>
      </c>
      <c r="F144" s="13" t="str">
        <f t="shared" si="29"/>
        <v/>
      </c>
      <c r="G144" s="13" t="str">
        <f t="shared" si="30"/>
        <v/>
      </c>
      <c r="H144" s="13" t="str">
        <f t="shared" si="31"/>
        <v/>
      </c>
      <c r="I144" t="str">
        <f t="shared" si="32"/>
        <v/>
      </c>
    </row>
    <row r="145" spans="1:9">
      <c r="A145">
        <f>CSV!B145</f>
        <v>0</v>
      </c>
      <c r="B145" s="13" t="e">
        <f>INDEX(Input!$D$2:$AC$500,
       MATCH(CPU_Formula!A145, Input!$J$2:$J$500, 0),
       MATCH("CPU model", Input!$D$1:$AC$1, 0))</f>
        <v>#N/A</v>
      </c>
      <c r="C145" s="13" t="str">
        <f t="shared" si="26"/>
        <v/>
      </c>
      <c r="D145" s="13" t="str">
        <f t="shared" si="27"/>
        <v/>
      </c>
      <c r="E145" s="13" t="str">
        <f t="shared" si="28"/>
        <v/>
      </c>
      <c r="F145" s="13" t="str">
        <f t="shared" si="29"/>
        <v/>
      </c>
      <c r="G145" s="13" t="str">
        <f t="shared" si="30"/>
        <v/>
      </c>
      <c r="H145" s="13" t="str">
        <f t="shared" si="31"/>
        <v/>
      </c>
      <c r="I145" t="str">
        <f t="shared" si="32"/>
        <v/>
      </c>
    </row>
    <row r="146" spans="1:9">
      <c r="A146">
        <f>CSV!B146</f>
        <v>0</v>
      </c>
      <c r="B146" s="13" t="e">
        <f>INDEX(Input!$D$2:$AC$500,
       MATCH(CPU_Formula!A146, Input!$J$2:$J$500, 0),
       MATCH("CPU model", Input!$D$1:$AC$1, 0))</f>
        <v>#N/A</v>
      </c>
      <c r="C146" s="13" t="str">
        <f t="shared" si="26"/>
        <v/>
      </c>
      <c r="D146" s="13" t="str">
        <f t="shared" si="27"/>
        <v/>
      </c>
      <c r="E146" s="13" t="str">
        <f t="shared" si="28"/>
        <v/>
      </c>
      <c r="F146" s="13" t="str">
        <f t="shared" si="29"/>
        <v/>
      </c>
      <c r="G146" s="13" t="str">
        <f t="shared" si="30"/>
        <v/>
      </c>
      <c r="H146" s="13" t="str">
        <f t="shared" si="31"/>
        <v/>
      </c>
      <c r="I146" t="str">
        <f t="shared" si="32"/>
        <v/>
      </c>
    </row>
    <row r="147" spans="1:9">
      <c r="A147">
        <f>CSV!B147</f>
        <v>0</v>
      </c>
      <c r="B147" s="13" t="e">
        <f>INDEX(Input!$D$2:$AC$500,
       MATCH(CPU_Formula!A147, Input!$J$2:$J$500, 0),
       MATCH("CPU model", Input!$D$1:$AC$1, 0))</f>
        <v>#N/A</v>
      </c>
      <c r="C147" s="13" t="str">
        <f t="shared" si="26"/>
        <v/>
      </c>
      <c r="D147" s="13" t="str">
        <f t="shared" si="27"/>
        <v/>
      </c>
      <c r="E147" s="13" t="str">
        <f t="shared" si="28"/>
        <v/>
      </c>
      <c r="F147" s="13" t="str">
        <f t="shared" si="29"/>
        <v/>
      </c>
      <c r="G147" s="13" t="str">
        <f t="shared" si="30"/>
        <v/>
      </c>
      <c r="H147" s="13" t="str">
        <f t="shared" si="31"/>
        <v/>
      </c>
      <c r="I147" t="str">
        <f t="shared" si="32"/>
        <v/>
      </c>
    </row>
    <row r="148" spans="1:9">
      <c r="A148">
        <f>CSV!B148</f>
        <v>0</v>
      </c>
      <c r="B148" s="13" t="e">
        <f>INDEX(Input!$D$2:$AC$500,
       MATCH(CPU_Formula!A148, Input!$J$2:$J$500, 0),
       MATCH("CPU model", Input!$D$1:$AC$1, 0))</f>
        <v>#N/A</v>
      </c>
      <c r="C148" s="13" t="str">
        <f t="shared" si="26"/>
        <v/>
      </c>
      <c r="D148" s="13" t="str">
        <f t="shared" si="27"/>
        <v/>
      </c>
      <c r="E148" s="13" t="str">
        <f t="shared" si="28"/>
        <v/>
      </c>
      <c r="F148" s="13" t="str">
        <f t="shared" si="29"/>
        <v/>
      </c>
      <c r="G148" s="13" t="str">
        <f t="shared" si="30"/>
        <v/>
      </c>
      <c r="H148" s="13" t="str">
        <f t="shared" si="31"/>
        <v/>
      </c>
      <c r="I148" t="str">
        <f t="shared" si="32"/>
        <v/>
      </c>
    </row>
    <row r="149" spans="1:9">
      <c r="A149">
        <f>CSV!B149</f>
        <v>0</v>
      </c>
      <c r="B149" s="13" t="e">
        <f>INDEX(Input!$D$2:$AC$500,
       MATCH(CPU_Formula!A149, Input!$J$2:$J$500, 0),
       MATCH("CPU model", Input!$D$1:$AC$1, 0))</f>
        <v>#N/A</v>
      </c>
      <c r="C149" s="13" t="str">
        <f t="shared" si="26"/>
        <v/>
      </c>
      <c r="D149" s="13" t="str">
        <f t="shared" si="27"/>
        <v/>
      </c>
      <c r="E149" s="13" t="str">
        <f t="shared" si="28"/>
        <v/>
      </c>
      <c r="F149" s="13" t="str">
        <f t="shared" si="29"/>
        <v/>
      </c>
      <c r="G149" s="13" t="str">
        <f t="shared" si="30"/>
        <v/>
      </c>
      <c r="H149" s="13" t="str">
        <f t="shared" si="31"/>
        <v/>
      </c>
      <c r="I149" t="str">
        <f t="shared" si="32"/>
        <v/>
      </c>
    </row>
    <row r="150" spans="1:9">
      <c r="A150">
        <f>CSV!B150</f>
        <v>0</v>
      </c>
      <c r="B150" s="13" t="e">
        <f>INDEX(Input!$D$2:$AC$500,
       MATCH(CPU_Formula!A150, Input!$J$2:$J$500, 0),
       MATCH("CPU model", Input!$D$1:$AC$1, 0))</f>
        <v>#N/A</v>
      </c>
      <c r="C150" s="13" t="str">
        <f t="shared" si="26"/>
        <v/>
      </c>
      <c r="D150" s="13" t="str">
        <f t="shared" si="27"/>
        <v/>
      </c>
      <c r="E150" s="13" t="str">
        <f t="shared" si="28"/>
        <v/>
      </c>
      <c r="F150" s="13" t="str">
        <f t="shared" si="29"/>
        <v/>
      </c>
      <c r="G150" s="13" t="str">
        <f t="shared" si="30"/>
        <v/>
      </c>
      <c r="H150" s="13" t="str">
        <f t="shared" si="31"/>
        <v/>
      </c>
      <c r="I150" t="str">
        <f t="shared" si="32"/>
        <v/>
      </c>
    </row>
    <row r="151" spans="1:9">
      <c r="A151">
        <f>CSV!B151</f>
        <v>0</v>
      </c>
      <c r="B151" s="13" t="e">
        <f>INDEX(Input!$D$2:$AC$500,
       MATCH(CPU_Formula!A151, Input!$J$2:$J$500, 0),
       MATCH("CPU model", Input!$D$1:$AC$1, 0))</f>
        <v>#N/A</v>
      </c>
      <c r="C151" s="13" t="str">
        <f t="shared" si="26"/>
        <v/>
      </c>
      <c r="D151" s="13" t="str">
        <f t="shared" si="27"/>
        <v/>
      </c>
      <c r="E151" s="13" t="str">
        <f t="shared" si="28"/>
        <v/>
      </c>
      <c r="F151" s="13" t="str">
        <f t="shared" si="29"/>
        <v/>
      </c>
      <c r="G151" s="13" t="str">
        <f t="shared" si="30"/>
        <v/>
      </c>
      <c r="H151" s="13" t="str">
        <f t="shared" si="31"/>
        <v/>
      </c>
      <c r="I151" t="str">
        <f t="shared" si="32"/>
        <v/>
      </c>
    </row>
    <row r="152" spans="1:9">
      <c r="A152">
        <f>CSV!B152</f>
        <v>0</v>
      </c>
      <c r="B152" s="13" t="e">
        <f>INDEX(Input!$D$2:$AC$500,
       MATCH(CPU_Formula!A152, Input!$J$2:$J$500, 0),
       MATCH("CPU model", Input!$D$1:$AC$1, 0))</f>
        <v>#N/A</v>
      </c>
      <c r="C152" s="13" t="str">
        <f t="shared" si="26"/>
        <v/>
      </c>
      <c r="D152" s="13" t="str">
        <f t="shared" si="27"/>
        <v/>
      </c>
      <c r="E152" s="13" t="str">
        <f t="shared" si="28"/>
        <v/>
      </c>
      <c r="F152" s="13" t="str">
        <f t="shared" si="29"/>
        <v/>
      </c>
      <c r="G152" s="13" t="str">
        <f t="shared" si="30"/>
        <v/>
      </c>
      <c r="H152" s="13" t="str">
        <f t="shared" si="31"/>
        <v/>
      </c>
      <c r="I152" t="str">
        <f t="shared" si="32"/>
        <v/>
      </c>
    </row>
    <row r="153" spans="1:9">
      <c r="A153">
        <f>CSV!B153</f>
        <v>0</v>
      </c>
      <c r="B153" s="13" t="e">
        <f>INDEX(Input!$D$2:$AC$500,
       MATCH(CPU_Formula!A153, Input!$J$2:$J$500, 0),
       MATCH("CPU model", Input!$D$1:$AC$1, 0))</f>
        <v>#N/A</v>
      </c>
      <c r="C153" s="13" t="str">
        <f t="shared" si="26"/>
        <v/>
      </c>
      <c r="D153" s="13" t="str">
        <f t="shared" si="27"/>
        <v/>
      </c>
      <c r="E153" s="13" t="str">
        <f t="shared" si="28"/>
        <v/>
      </c>
      <c r="F153" s="13" t="str">
        <f t="shared" si="29"/>
        <v/>
      </c>
      <c r="G153" s="13" t="str">
        <f t="shared" si="30"/>
        <v/>
      </c>
      <c r="H153" s="13" t="str">
        <f t="shared" si="31"/>
        <v/>
      </c>
      <c r="I153" t="str">
        <f t="shared" si="32"/>
        <v/>
      </c>
    </row>
    <row r="154" spans="1:9">
      <c r="A154">
        <f>CSV!B154</f>
        <v>0</v>
      </c>
      <c r="B154" s="13" t="e">
        <f>INDEX(Input!$D$2:$AC$500,
       MATCH(CPU_Formula!A154, Input!$J$2:$J$500, 0),
       MATCH("CPU model", Input!$D$1:$AC$1, 0))</f>
        <v>#N/A</v>
      </c>
      <c r="C154" s="13" t="str">
        <f t="shared" si="26"/>
        <v/>
      </c>
      <c r="D154" s="13" t="str">
        <f t="shared" si="27"/>
        <v/>
      </c>
      <c r="E154" s="13" t="str">
        <f t="shared" si="28"/>
        <v/>
      </c>
      <c r="F154" s="13" t="str">
        <f t="shared" si="29"/>
        <v/>
      </c>
      <c r="G154" s="13" t="str">
        <f t="shared" si="30"/>
        <v/>
      </c>
      <c r="H154" s="13" t="str">
        <f t="shared" si="31"/>
        <v/>
      </c>
      <c r="I154" t="str">
        <f t="shared" si="32"/>
        <v/>
      </c>
    </row>
    <row r="155" spans="1:9">
      <c r="A155">
        <f>CSV!B155</f>
        <v>0</v>
      </c>
      <c r="B155" s="13" t="e">
        <f>INDEX(Input!$D$2:$AC$500,
       MATCH(CPU_Formula!A155, Input!$J$2:$J$500, 0),
       MATCH("CPU model", Input!$D$1:$AC$1, 0))</f>
        <v>#N/A</v>
      </c>
      <c r="C155" s="13" t="str">
        <f t="shared" si="26"/>
        <v/>
      </c>
      <c r="D155" s="13" t="str">
        <f t="shared" si="27"/>
        <v/>
      </c>
      <c r="E155" s="13" t="str">
        <f t="shared" si="28"/>
        <v/>
      </c>
      <c r="F155" s="13" t="str">
        <f t="shared" si="29"/>
        <v/>
      </c>
      <c r="G155" s="13" t="str">
        <f t="shared" si="30"/>
        <v/>
      </c>
      <c r="H155" s="13" t="str">
        <f t="shared" si="31"/>
        <v/>
      </c>
      <c r="I155" t="str">
        <f t="shared" si="32"/>
        <v/>
      </c>
    </row>
    <row r="156" spans="1:9">
      <c r="A156">
        <f>CSV!B156</f>
        <v>0</v>
      </c>
      <c r="B156" s="13" t="e">
        <f>INDEX(Input!$D$2:$AC$500,
       MATCH(CPU_Formula!A156, Input!$J$2:$J$500, 0),
       MATCH("CPU model", Input!$D$1:$AC$1, 0))</f>
        <v>#N/A</v>
      </c>
      <c r="C156" s="13" t="str">
        <f t="shared" si="26"/>
        <v/>
      </c>
      <c r="D156" s="13" t="str">
        <f t="shared" si="27"/>
        <v/>
      </c>
      <c r="E156" s="13" t="str">
        <f t="shared" si="28"/>
        <v/>
      </c>
      <c r="F156" s="13" t="str">
        <f t="shared" si="29"/>
        <v/>
      </c>
      <c r="G156" s="13" t="str">
        <f t="shared" si="30"/>
        <v/>
      </c>
      <c r="H156" s="13" t="str">
        <f t="shared" si="31"/>
        <v/>
      </c>
      <c r="I156" t="str">
        <f t="shared" si="32"/>
        <v/>
      </c>
    </row>
    <row r="157" spans="1:9">
      <c r="A157">
        <f>CSV!B157</f>
        <v>0</v>
      </c>
      <c r="B157" s="13" t="e">
        <f>INDEX(Input!$D$2:$AC$500,
       MATCH(CPU_Formula!A157, Input!$J$2:$J$500, 0),
       MATCH("CPU model", Input!$D$1:$AC$1, 0))</f>
        <v>#N/A</v>
      </c>
      <c r="C157" s="13" t="str">
        <f t="shared" si="26"/>
        <v/>
      </c>
      <c r="D157" s="13" t="str">
        <f t="shared" si="27"/>
        <v/>
      </c>
      <c r="E157" s="13" t="str">
        <f t="shared" si="28"/>
        <v/>
      </c>
      <c r="F157" s="13" t="str">
        <f t="shared" si="29"/>
        <v/>
      </c>
      <c r="G157" s="13" t="str">
        <f t="shared" si="30"/>
        <v/>
      </c>
      <c r="H157" s="13" t="str">
        <f t="shared" si="31"/>
        <v/>
      </c>
      <c r="I157" t="str">
        <f t="shared" si="32"/>
        <v/>
      </c>
    </row>
    <row r="158" spans="1:9">
      <c r="A158">
        <f>CSV!B158</f>
        <v>0</v>
      </c>
      <c r="B158" s="13" t="e">
        <f>INDEX(Input!$D$2:$AC$500,
       MATCH(CPU_Formula!A158, Input!$J$2:$J$500, 0),
       MATCH("CPU model", Input!$D$1:$AC$1, 0))</f>
        <v>#N/A</v>
      </c>
      <c r="C158" s="13" t="str">
        <f t="shared" si="26"/>
        <v/>
      </c>
      <c r="D158" s="13" t="str">
        <f t="shared" si="27"/>
        <v/>
      </c>
      <c r="E158" s="13" t="str">
        <f t="shared" si="28"/>
        <v/>
      </c>
      <c r="F158" s="13" t="str">
        <f t="shared" si="29"/>
        <v/>
      </c>
      <c r="G158" s="13" t="str">
        <f t="shared" si="30"/>
        <v/>
      </c>
      <c r="H158" s="13" t="str">
        <f t="shared" si="31"/>
        <v/>
      </c>
      <c r="I158" t="str">
        <f t="shared" si="32"/>
        <v/>
      </c>
    </row>
    <row r="159" spans="1:9">
      <c r="A159">
        <f>CSV!B159</f>
        <v>0</v>
      </c>
      <c r="B159" s="13" t="e">
        <f>INDEX(Input!$D$2:$AC$500,
       MATCH(CPU_Formula!A159, Input!$J$2:$J$500, 0),
       MATCH("CPU model", Input!$D$1:$AC$1, 0))</f>
        <v>#N/A</v>
      </c>
      <c r="C159" s="13" t="str">
        <f t="shared" si="26"/>
        <v/>
      </c>
      <c r="D159" s="13" t="str">
        <f t="shared" si="27"/>
        <v/>
      </c>
      <c r="E159" s="13" t="str">
        <f t="shared" si="28"/>
        <v/>
      </c>
      <c r="F159" s="13" t="str">
        <f t="shared" si="29"/>
        <v/>
      </c>
      <c r="G159" s="13" t="str">
        <f t="shared" si="30"/>
        <v/>
      </c>
      <c r="H159" s="13" t="str">
        <f t="shared" si="31"/>
        <v/>
      </c>
      <c r="I159" t="str">
        <f t="shared" si="32"/>
        <v/>
      </c>
    </row>
    <row r="160" spans="1:9">
      <c r="A160">
        <f>CSV!B160</f>
        <v>0</v>
      </c>
      <c r="B160" s="13" t="e">
        <f>INDEX(Input!$D$2:$AC$500,
       MATCH(CPU_Formula!A160, Input!$J$2:$J$500, 0),
       MATCH("CPU model", Input!$D$1:$AC$1, 0))</f>
        <v>#N/A</v>
      </c>
      <c r="C160" s="13" t="str">
        <f t="shared" si="26"/>
        <v/>
      </c>
      <c r="D160" s="13" t="str">
        <f t="shared" si="27"/>
        <v/>
      </c>
      <c r="E160" s="13" t="str">
        <f t="shared" si="28"/>
        <v/>
      </c>
      <c r="F160" s="13" t="str">
        <f t="shared" si="29"/>
        <v/>
      </c>
      <c r="G160" s="13" t="str">
        <f t="shared" si="30"/>
        <v/>
      </c>
      <c r="H160" s="13" t="str">
        <f t="shared" si="31"/>
        <v/>
      </c>
      <c r="I160" t="str">
        <f t="shared" si="32"/>
        <v/>
      </c>
    </row>
    <row r="161" spans="1:9">
      <c r="A161">
        <f>CSV!B161</f>
        <v>0</v>
      </c>
      <c r="B161" s="13" t="e">
        <f>INDEX(Input!$D$2:$AC$500,
       MATCH(CPU_Formula!A161, Input!$J$2:$J$500, 0),
       MATCH("CPU model", Input!$D$1:$AC$1, 0))</f>
        <v>#N/A</v>
      </c>
      <c r="C161" s="13" t="str">
        <f t="shared" si="26"/>
        <v/>
      </c>
      <c r="D161" s="13" t="str">
        <f t="shared" si="27"/>
        <v/>
      </c>
      <c r="E161" s="13" t="str">
        <f t="shared" si="28"/>
        <v/>
      </c>
      <c r="F161" s="13" t="str">
        <f t="shared" si="29"/>
        <v/>
      </c>
      <c r="G161" s="13" t="str">
        <f t="shared" si="30"/>
        <v/>
      </c>
      <c r="H161" s="13" t="str">
        <f t="shared" si="31"/>
        <v/>
      </c>
      <c r="I161" t="str">
        <f t="shared" si="32"/>
        <v/>
      </c>
    </row>
    <row r="162" spans="1:9">
      <c r="A162">
        <f>CSV!B162</f>
        <v>0</v>
      </c>
      <c r="B162" s="13" t="e">
        <f>INDEX(Input!$D$2:$AC$500,
       MATCH(CPU_Formula!A162, Input!$J$2:$J$500, 0),
       MATCH("CPU model", Input!$D$1:$AC$1, 0))</f>
        <v>#N/A</v>
      </c>
      <c r="C162" s="13" t="str">
        <f t="shared" si="26"/>
        <v/>
      </c>
      <c r="D162" s="13" t="str">
        <f t="shared" si="27"/>
        <v/>
      </c>
      <c r="E162" s="13" t="str">
        <f t="shared" si="28"/>
        <v/>
      </c>
      <c r="F162" s="13" t="str">
        <f t="shared" si="29"/>
        <v/>
      </c>
      <c r="G162" s="13" t="str">
        <f t="shared" si="30"/>
        <v/>
      </c>
      <c r="H162" s="13" t="str">
        <f t="shared" si="31"/>
        <v/>
      </c>
      <c r="I162" t="str">
        <f t="shared" si="32"/>
        <v/>
      </c>
    </row>
    <row r="163" spans="1:9">
      <c r="A163">
        <f>CSV!B163</f>
        <v>0</v>
      </c>
      <c r="B163" s="13" t="e">
        <f>INDEX(Input!$D$2:$AC$500,
       MATCH(CPU_Formula!A163, Input!$J$2:$J$500, 0),
       MATCH("CPU model", Input!$D$1:$AC$1, 0))</f>
        <v>#N/A</v>
      </c>
      <c r="C163" s="13" t="str">
        <f t="shared" si="26"/>
        <v/>
      </c>
      <c r="D163" s="13" t="str">
        <f t="shared" si="27"/>
        <v/>
      </c>
      <c r="E163" s="13" t="str">
        <f t="shared" si="28"/>
        <v/>
      </c>
      <c r="F163" s="13" t="str">
        <f t="shared" si="29"/>
        <v/>
      </c>
      <c r="G163" s="13" t="str">
        <f t="shared" si="30"/>
        <v/>
      </c>
      <c r="H163" s="13" t="str">
        <f t="shared" si="31"/>
        <v/>
      </c>
      <c r="I163" t="str">
        <f t="shared" si="32"/>
        <v/>
      </c>
    </row>
    <row r="164" spans="1:9">
      <c r="A164">
        <f>CSV!B164</f>
        <v>0</v>
      </c>
      <c r="B164" s="13" t="e">
        <f>INDEX(Input!$D$2:$AC$500,
       MATCH(CPU_Formula!A164, Input!$J$2:$J$500, 0),
       MATCH("CPU model", Input!$D$1:$AC$1, 0))</f>
        <v>#N/A</v>
      </c>
      <c r="C164" s="13" t="str">
        <f t="shared" si="26"/>
        <v/>
      </c>
      <c r="D164" s="13" t="str">
        <f t="shared" si="27"/>
        <v/>
      </c>
      <c r="E164" s="13" t="str">
        <f t="shared" si="28"/>
        <v/>
      </c>
      <c r="F164" s="13" t="str">
        <f t="shared" si="29"/>
        <v/>
      </c>
      <c r="G164" s="13" t="str">
        <f t="shared" si="30"/>
        <v/>
      </c>
      <c r="H164" s="13" t="str">
        <f t="shared" si="31"/>
        <v/>
      </c>
      <c r="I164" t="str">
        <f t="shared" si="32"/>
        <v/>
      </c>
    </row>
    <row r="165" spans="1:9">
      <c r="A165">
        <f>CSV!B165</f>
        <v>0</v>
      </c>
      <c r="B165" s="13" t="e">
        <f>INDEX(Input!$D$2:$AC$500,
       MATCH(CPU_Formula!A165, Input!$J$2:$J$500, 0),
       MATCH("CPU model", Input!$D$1:$AC$1, 0))</f>
        <v>#N/A</v>
      </c>
      <c r="C165" s="13" t="str">
        <f t="shared" si="26"/>
        <v/>
      </c>
      <c r="D165" s="13" t="str">
        <f t="shared" si="27"/>
        <v/>
      </c>
      <c r="E165" s="13" t="str">
        <f t="shared" si="28"/>
        <v/>
      </c>
      <c r="F165" s="13" t="str">
        <f t="shared" si="29"/>
        <v/>
      </c>
      <c r="G165" s="13" t="str">
        <f t="shared" si="30"/>
        <v/>
      </c>
      <c r="H165" s="13" t="str">
        <f t="shared" si="31"/>
        <v/>
      </c>
      <c r="I165" t="str">
        <f t="shared" si="32"/>
        <v/>
      </c>
    </row>
    <row r="166" spans="1:9">
      <c r="A166">
        <f>CSV!B166</f>
        <v>0</v>
      </c>
      <c r="B166" s="13" t="e">
        <f>INDEX(Input!$D$2:$AC$500,
       MATCH(CPU_Formula!A166, Input!$J$2:$J$500, 0),
       MATCH("CPU model", Input!$D$1:$AC$1, 0))</f>
        <v>#N/A</v>
      </c>
      <c r="C166" s="13" t="str">
        <f t="shared" si="26"/>
        <v/>
      </c>
      <c r="D166" s="13" t="str">
        <f t="shared" si="27"/>
        <v/>
      </c>
      <c r="E166" s="13" t="str">
        <f t="shared" si="28"/>
        <v/>
      </c>
      <c r="F166" s="13" t="str">
        <f t="shared" si="29"/>
        <v/>
      </c>
      <c r="G166" s="13" t="str">
        <f t="shared" si="30"/>
        <v/>
      </c>
      <c r="H166" s="13" t="str">
        <f t="shared" si="31"/>
        <v/>
      </c>
      <c r="I166" t="str">
        <f t="shared" si="32"/>
        <v/>
      </c>
    </row>
    <row r="167" spans="1:9">
      <c r="A167">
        <f>CSV!B167</f>
        <v>0</v>
      </c>
      <c r="B167" s="13" t="e">
        <f>INDEX(Input!$D$2:$AC$500,
       MATCH(CPU_Formula!A167, Input!$J$2:$J$500, 0),
       MATCH("CPU model", Input!$D$1:$AC$1, 0))</f>
        <v>#N/A</v>
      </c>
      <c r="C167" s="13" t="str">
        <f t="shared" si="26"/>
        <v/>
      </c>
      <c r="D167" s="13" t="str">
        <f t="shared" si="27"/>
        <v/>
      </c>
      <c r="E167" s="13" t="str">
        <f t="shared" si="28"/>
        <v/>
      </c>
      <c r="F167" s="13" t="str">
        <f t="shared" si="29"/>
        <v/>
      </c>
      <c r="G167" s="13" t="str">
        <f t="shared" si="30"/>
        <v/>
      </c>
      <c r="H167" s="13" t="str">
        <f t="shared" si="31"/>
        <v/>
      </c>
      <c r="I167" t="str">
        <f t="shared" si="32"/>
        <v/>
      </c>
    </row>
    <row r="168" spans="1:9">
      <c r="A168">
        <f>CSV!B168</f>
        <v>0</v>
      </c>
      <c r="B168" s="13" t="e">
        <f>INDEX(Input!$D$2:$AC$500,
       MATCH(CPU_Formula!A168, Input!$J$2:$J$500, 0),
       MATCH("CPU model", Input!$D$1:$AC$1, 0))</f>
        <v>#N/A</v>
      </c>
      <c r="C168" s="13" t="str">
        <f t="shared" ref="C168:C231" si="33">IFERROR(_xlfn.TEXTAFTER(B168,"Core(TM) "),IFERROR(_xlfn.TEXTAFTER(B168,"Xeon(R) CPU"),""))</f>
        <v/>
      </c>
      <c r="D168" s="13" t="str">
        <f t="shared" ref="D168:D231" si="34">IFERROR(_xlfn.TEXTAFTER(B168,"Ryzen "), "")</f>
        <v/>
      </c>
      <c r="E168" s="13" t="str">
        <f t="shared" ref="E168:E231" si="35">IF(ISNUMBER(SEARCH("Ultra", B168)), "Ultra"&amp;_xlfn.TEXTAFTER(B168, "Ultra"), "")</f>
        <v/>
      </c>
      <c r="F168" s="13" t="str">
        <f t="shared" ref="F168:F231" si="36">IF(C168&lt;&gt;"", TRIM(_xlfn.TEXTBEFORE(C168," ",,1,1)), "")</f>
        <v/>
      </c>
      <c r="G168" s="13" t="str">
        <f t="shared" ref="G168:G231" si="37">IF(D168&lt;&gt;"", TRIM(_xlfn.TEXTBEFORE(D168," ",,1)), "")</f>
        <v/>
      </c>
      <c r="H168" s="13" t="str">
        <f t="shared" ref="H168:H231" si="38">E168</f>
        <v/>
      </c>
      <c r="I168" t="str">
        <f t="shared" ref="I168:I231" si="39">IF(H168&lt;&gt;"",H168,IF(G168&lt;&gt;"",G168,F168))</f>
        <v/>
      </c>
    </row>
    <row r="169" spans="1:9">
      <c r="A169">
        <f>CSV!B169</f>
        <v>0</v>
      </c>
      <c r="B169" s="13" t="e">
        <f>INDEX(Input!$D$2:$AC$500,
       MATCH(CPU_Formula!A169, Input!$J$2:$J$500, 0),
       MATCH("CPU model", Input!$D$1:$AC$1, 0))</f>
        <v>#N/A</v>
      </c>
      <c r="C169" s="13" t="str">
        <f t="shared" si="33"/>
        <v/>
      </c>
      <c r="D169" s="13" t="str">
        <f t="shared" si="34"/>
        <v/>
      </c>
      <c r="E169" s="13" t="str">
        <f t="shared" si="35"/>
        <v/>
      </c>
      <c r="F169" s="13" t="str">
        <f t="shared" si="36"/>
        <v/>
      </c>
      <c r="G169" s="13" t="str">
        <f t="shared" si="37"/>
        <v/>
      </c>
      <c r="H169" s="13" t="str">
        <f t="shared" si="38"/>
        <v/>
      </c>
      <c r="I169" t="str">
        <f t="shared" si="39"/>
        <v/>
      </c>
    </row>
    <row r="170" spans="1:9">
      <c r="A170">
        <f>CSV!B170</f>
        <v>0</v>
      </c>
      <c r="B170" s="13" t="e">
        <f>INDEX(Input!$D$2:$AC$500,
       MATCH(CPU_Formula!A170, Input!$J$2:$J$500, 0),
       MATCH("CPU model", Input!$D$1:$AC$1, 0))</f>
        <v>#N/A</v>
      </c>
      <c r="C170" s="13" t="str">
        <f t="shared" si="33"/>
        <v/>
      </c>
      <c r="D170" s="13" t="str">
        <f t="shared" si="34"/>
        <v/>
      </c>
      <c r="E170" s="13" t="str">
        <f t="shared" si="35"/>
        <v/>
      </c>
      <c r="F170" s="13" t="str">
        <f t="shared" si="36"/>
        <v/>
      </c>
      <c r="G170" s="13" t="str">
        <f t="shared" si="37"/>
        <v/>
      </c>
      <c r="H170" s="13" t="str">
        <f t="shared" si="38"/>
        <v/>
      </c>
      <c r="I170" t="str">
        <f t="shared" si="39"/>
        <v/>
      </c>
    </row>
    <row r="171" spans="1:9">
      <c r="A171">
        <f>CSV!B171</f>
        <v>0</v>
      </c>
      <c r="B171" s="13" t="e">
        <f>INDEX(Input!$D$2:$AC$500,
       MATCH(CPU_Formula!A171, Input!$J$2:$J$500, 0),
       MATCH("CPU model", Input!$D$1:$AC$1, 0))</f>
        <v>#N/A</v>
      </c>
      <c r="C171" s="13" t="str">
        <f t="shared" si="33"/>
        <v/>
      </c>
      <c r="D171" s="13" t="str">
        <f t="shared" si="34"/>
        <v/>
      </c>
      <c r="E171" s="13" t="str">
        <f t="shared" si="35"/>
        <v/>
      </c>
      <c r="F171" s="13" t="str">
        <f t="shared" si="36"/>
        <v/>
      </c>
      <c r="G171" s="13" t="str">
        <f t="shared" si="37"/>
        <v/>
      </c>
      <c r="H171" s="13" t="str">
        <f t="shared" si="38"/>
        <v/>
      </c>
      <c r="I171" t="str">
        <f t="shared" si="39"/>
        <v/>
      </c>
    </row>
    <row r="172" spans="1:9">
      <c r="A172">
        <f>CSV!B172</f>
        <v>0</v>
      </c>
      <c r="B172" s="13" t="e">
        <f>INDEX(Input!$D$2:$AC$500,
       MATCH(CPU_Formula!A172, Input!$J$2:$J$500, 0),
       MATCH("CPU model", Input!$D$1:$AC$1, 0))</f>
        <v>#N/A</v>
      </c>
      <c r="C172" s="13" t="str">
        <f t="shared" si="33"/>
        <v/>
      </c>
      <c r="D172" s="13" t="str">
        <f t="shared" si="34"/>
        <v/>
      </c>
      <c r="E172" s="13" t="str">
        <f t="shared" si="35"/>
        <v/>
      </c>
      <c r="F172" s="13" t="str">
        <f t="shared" si="36"/>
        <v/>
      </c>
      <c r="G172" s="13" t="str">
        <f t="shared" si="37"/>
        <v/>
      </c>
      <c r="H172" s="13" t="str">
        <f t="shared" si="38"/>
        <v/>
      </c>
      <c r="I172" t="str">
        <f t="shared" si="39"/>
        <v/>
      </c>
    </row>
    <row r="173" spans="1:9">
      <c r="A173">
        <f>CSV!B173</f>
        <v>0</v>
      </c>
      <c r="B173" s="13" t="e">
        <f>INDEX(Input!$D$2:$AC$500,
       MATCH(CPU_Formula!A173, Input!$J$2:$J$500, 0),
       MATCH("CPU model", Input!$D$1:$AC$1, 0))</f>
        <v>#N/A</v>
      </c>
      <c r="C173" s="13" t="str">
        <f t="shared" si="33"/>
        <v/>
      </c>
      <c r="D173" s="13" t="str">
        <f t="shared" si="34"/>
        <v/>
      </c>
      <c r="E173" s="13" t="str">
        <f t="shared" si="35"/>
        <v/>
      </c>
      <c r="F173" s="13" t="str">
        <f t="shared" si="36"/>
        <v/>
      </c>
      <c r="G173" s="13" t="str">
        <f t="shared" si="37"/>
        <v/>
      </c>
      <c r="H173" s="13" t="str">
        <f t="shared" si="38"/>
        <v/>
      </c>
      <c r="I173" t="str">
        <f t="shared" si="39"/>
        <v/>
      </c>
    </row>
    <row r="174" spans="1:9">
      <c r="A174">
        <f>CSV!B174</f>
        <v>0</v>
      </c>
      <c r="B174" s="13" t="e">
        <f>INDEX(Input!$D$2:$AC$500,
       MATCH(CPU_Formula!A174, Input!$J$2:$J$500, 0),
       MATCH("CPU model", Input!$D$1:$AC$1, 0))</f>
        <v>#N/A</v>
      </c>
      <c r="C174" s="13" t="str">
        <f t="shared" si="33"/>
        <v/>
      </c>
      <c r="D174" s="13" t="str">
        <f t="shared" si="34"/>
        <v/>
      </c>
      <c r="E174" s="13" t="str">
        <f t="shared" si="35"/>
        <v/>
      </c>
      <c r="F174" s="13" t="str">
        <f t="shared" si="36"/>
        <v/>
      </c>
      <c r="G174" s="13" t="str">
        <f t="shared" si="37"/>
        <v/>
      </c>
      <c r="H174" s="13" t="str">
        <f t="shared" si="38"/>
        <v/>
      </c>
      <c r="I174" t="str">
        <f t="shared" si="39"/>
        <v/>
      </c>
    </row>
    <row r="175" spans="1:9">
      <c r="A175">
        <f>CSV!B175</f>
        <v>0</v>
      </c>
      <c r="B175" s="13" t="e">
        <f>INDEX(Input!$D$2:$AC$500,
       MATCH(CPU_Formula!A175, Input!$J$2:$J$500, 0),
       MATCH("CPU model", Input!$D$1:$AC$1, 0))</f>
        <v>#N/A</v>
      </c>
      <c r="C175" s="13" t="str">
        <f t="shared" si="33"/>
        <v/>
      </c>
      <c r="D175" s="13" t="str">
        <f t="shared" si="34"/>
        <v/>
      </c>
      <c r="E175" s="13" t="str">
        <f t="shared" si="35"/>
        <v/>
      </c>
      <c r="F175" s="13" t="str">
        <f t="shared" si="36"/>
        <v/>
      </c>
      <c r="G175" s="13" t="str">
        <f t="shared" si="37"/>
        <v/>
      </c>
      <c r="H175" s="13" t="str">
        <f t="shared" si="38"/>
        <v/>
      </c>
      <c r="I175" t="str">
        <f t="shared" si="39"/>
        <v/>
      </c>
    </row>
    <row r="176" spans="1:9">
      <c r="A176">
        <f>CSV!B176</f>
        <v>0</v>
      </c>
      <c r="B176" s="13" t="e">
        <f>INDEX(Input!$D$2:$AC$500,
       MATCH(CPU_Formula!A176, Input!$J$2:$J$500, 0),
       MATCH("CPU model", Input!$D$1:$AC$1, 0))</f>
        <v>#N/A</v>
      </c>
      <c r="C176" s="13" t="str">
        <f t="shared" si="33"/>
        <v/>
      </c>
      <c r="D176" s="13" t="str">
        <f t="shared" si="34"/>
        <v/>
      </c>
      <c r="E176" s="13" t="str">
        <f t="shared" si="35"/>
        <v/>
      </c>
      <c r="F176" s="13" t="str">
        <f t="shared" si="36"/>
        <v/>
      </c>
      <c r="G176" s="13" t="str">
        <f t="shared" si="37"/>
        <v/>
      </c>
      <c r="H176" s="13" t="str">
        <f t="shared" si="38"/>
        <v/>
      </c>
      <c r="I176" t="str">
        <f t="shared" si="39"/>
        <v/>
      </c>
    </row>
    <row r="177" spans="1:9">
      <c r="A177">
        <f>CSV!B177</f>
        <v>0</v>
      </c>
      <c r="B177" s="13" t="e">
        <f>INDEX(Input!$D$2:$AC$500,
       MATCH(CPU_Formula!A177, Input!$J$2:$J$500, 0),
       MATCH("CPU model", Input!$D$1:$AC$1, 0))</f>
        <v>#N/A</v>
      </c>
      <c r="C177" s="13" t="str">
        <f t="shared" si="33"/>
        <v/>
      </c>
      <c r="D177" s="13" t="str">
        <f t="shared" si="34"/>
        <v/>
      </c>
      <c r="E177" s="13" t="str">
        <f t="shared" si="35"/>
        <v/>
      </c>
      <c r="F177" s="13" t="str">
        <f t="shared" si="36"/>
        <v/>
      </c>
      <c r="G177" s="13" t="str">
        <f t="shared" si="37"/>
        <v/>
      </c>
      <c r="H177" s="13" t="str">
        <f t="shared" si="38"/>
        <v/>
      </c>
      <c r="I177" t="str">
        <f t="shared" si="39"/>
        <v/>
      </c>
    </row>
    <row r="178" spans="1:9">
      <c r="A178">
        <f>CSV!B178</f>
        <v>0</v>
      </c>
      <c r="B178" s="13" t="e">
        <f>INDEX(Input!$D$2:$AC$500,
       MATCH(CPU_Formula!A178, Input!$J$2:$J$500, 0),
       MATCH("CPU model", Input!$D$1:$AC$1, 0))</f>
        <v>#N/A</v>
      </c>
      <c r="C178" s="13" t="str">
        <f t="shared" si="33"/>
        <v/>
      </c>
      <c r="D178" s="13" t="str">
        <f t="shared" si="34"/>
        <v/>
      </c>
      <c r="E178" s="13" t="str">
        <f t="shared" si="35"/>
        <v/>
      </c>
      <c r="F178" s="13" t="str">
        <f t="shared" si="36"/>
        <v/>
      </c>
      <c r="G178" s="13" t="str">
        <f t="shared" si="37"/>
        <v/>
      </c>
      <c r="H178" s="13" t="str">
        <f t="shared" si="38"/>
        <v/>
      </c>
      <c r="I178" t="str">
        <f t="shared" si="39"/>
        <v/>
      </c>
    </row>
    <row r="179" spans="1:9">
      <c r="A179">
        <f>CSV!B179</f>
        <v>0</v>
      </c>
      <c r="B179" s="13" t="e">
        <f>INDEX(Input!$D$2:$AC$500,
       MATCH(CPU_Formula!A179, Input!$J$2:$J$500, 0),
       MATCH("CPU model", Input!$D$1:$AC$1, 0))</f>
        <v>#N/A</v>
      </c>
      <c r="C179" s="13" t="str">
        <f t="shared" si="33"/>
        <v/>
      </c>
      <c r="D179" s="13" t="str">
        <f t="shared" si="34"/>
        <v/>
      </c>
      <c r="E179" s="13" t="str">
        <f t="shared" si="35"/>
        <v/>
      </c>
      <c r="F179" s="13" t="str">
        <f t="shared" si="36"/>
        <v/>
      </c>
      <c r="G179" s="13" t="str">
        <f t="shared" si="37"/>
        <v/>
      </c>
      <c r="H179" s="13" t="str">
        <f t="shared" si="38"/>
        <v/>
      </c>
      <c r="I179" t="str">
        <f t="shared" si="39"/>
        <v/>
      </c>
    </row>
    <row r="180" spans="1:9">
      <c r="A180">
        <f>CSV!B180</f>
        <v>0</v>
      </c>
      <c r="B180" s="13" t="e">
        <f>INDEX(Input!$D$2:$AC$500,
       MATCH(CPU_Formula!A180, Input!$J$2:$J$500, 0),
       MATCH("CPU model", Input!$D$1:$AC$1, 0))</f>
        <v>#N/A</v>
      </c>
      <c r="C180" s="13" t="str">
        <f t="shared" si="33"/>
        <v/>
      </c>
      <c r="D180" s="13" t="str">
        <f t="shared" si="34"/>
        <v/>
      </c>
      <c r="E180" s="13" t="str">
        <f t="shared" si="35"/>
        <v/>
      </c>
      <c r="F180" s="13" t="str">
        <f t="shared" si="36"/>
        <v/>
      </c>
      <c r="G180" s="13" t="str">
        <f t="shared" si="37"/>
        <v/>
      </c>
      <c r="H180" s="13" t="str">
        <f t="shared" si="38"/>
        <v/>
      </c>
      <c r="I180" t="str">
        <f t="shared" si="39"/>
        <v/>
      </c>
    </row>
    <row r="181" spans="1:9">
      <c r="A181">
        <f>CSV!B181</f>
        <v>0</v>
      </c>
      <c r="B181" s="13" t="e">
        <f>INDEX(Input!$D$2:$AC$500,
       MATCH(CPU_Formula!A181, Input!$J$2:$J$500, 0),
       MATCH("CPU model", Input!$D$1:$AC$1, 0))</f>
        <v>#N/A</v>
      </c>
      <c r="C181" s="13" t="str">
        <f t="shared" si="33"/>
        <v/>
      </c>
      <c r="D181" s="13" t="str">
        <f t="shared" si="34"/>
        <v/>
      </c>
      <c r="E181" s="13" t="str">
        <f t="shared" si="35"/>
        <v/>
      </c>
      <c r="F181" s="13" t="str">
        <f t="shared" si="36"/>
        <v/>
      </c>
      <c r="G181" s="13" t="str">
        <f t="shared" si="37"/>
        <v/>
      </c>
      <c r="H181" s="13" t="str">
        <f t="shared" si="38"/>
        <v/>
      </c>
      <c r="I181" t="str">
        <f t="shared" si="39"/>
        <v/>
      </c>
    </row>
    <row r="182" spans="1:9">
      <c r="A182">
        <f>CSV!B182</f>
        <v>0</v>
      </c>
      <c r="B182" s="13" t="e">
        <f>INDEX(Input!$D$2:$AC$500,
       MATCH(CPU_Formula!A182, Input!$J$2:$J$500, 0),
       MATCH("CPU model", Input!$D$1:$AC$1, 0))</f>
        <v>#N/A</v>
      </c>
      <c r="C182" s="13" t="str">
        <f t="shared" si="33"/>
        <v/>
      </c>
      <c r="D182" s="13" t="str">
        <f t="shared" si="34"/>
        <v/>
      </c>
      <c r="E182" s="13" t="str">
        <f t="shared" si="35"/>
        <v/>
      </c>
      <c r="F182" s="13" t="str">
        <f t="shared" si="36"/>
        <v/>
      </c>
      <c r="G182" s="13" t="str">
        <f t="shared" si="37"/>
        <v/>
      </c>
      <c r="H182" s="13" t="str">
        <f t="shared" si="38"/>
        <v/>
      </c>
      <c r="I182" t="str">
        <f t="shared" si="39"/>
        <v/>
      </c>
    </row>
    <row r="183" spans="1:9">
      <c r="A183">
        <f>CSV!B183</f>
        <v>0</v>
      </c>
      <c r="B183" s="13" t="e">
        <f>INDEX(Input!$D$2:$AC$500,
       MATCH(CPU_Formula!A183, Input!$J$2:$J$500, 0),
       MATCH("CPU model", Input!$D$1:$AC$1, 0))</f>
        <v>#N/A</v>
      </c>
      <c r="C183" s="13" t="str">
        <f t="shared" si="33"/>
        <v/>
      </c>
      <c r="D183" s="13" t="str">
        <f t="shared" si="34"/>
        <v/>
      </c>
      <c r="E183" s="13" t="str">
        <f t="shared" si="35"/>
        <v/>
      </c>
      <c r="F183" s="13" t="str">
        <f t="shared" si="36"/>
        <v/>
      </c>
      <c r="G183" s="13" t="str">
        <f t="shared" si="37"/>
        <v/>
      </c>
      <c r="H183" s="13" t="str">
        <f t="shared" si="38"/>
        <v/>
      </c>
      <c r="I183" t="str">
        <f t="shared" si="39"/>
        <v/>
      </c>
    </row>
    <row r="184" spans="1:9">
      <c r="A184">
        <f>CSV!B184</f>
        <v>0</v>
      </c>
      <c r="B184" s="13" t="e">
        <f>INDEX(Input!$D$2:$AC$500,
       MATCH(CPU_Formula!A184, Input!$J$2:$J$500, 0),
       MATCH("CPU model", Input!$D$1:$AC$1, 0))</f>
        <v>#N/A</v>
      </c>
      <c r="C184" s="13" t="str">
        <f t="shared" si="33"/>
        <v/>
      </c>
      <c r="D184" s="13" t="str">
        <f t="shared" si="34"/>
        <v/>
      </c>
      <c r="E184" s="13" t="str">
        <f t="shared" si="35"/>
        <v/>
      </c>
      <c r="F184" s="13" t="str">
        <f t="shared" si="36"/>
        <v/>
      </c>
      <c r="G184" s="13" t="str">
        <f t="shared" si="37"/>
        <v/>
      </c>
      <c r="H184" s="13" t="str">
        <f t="shared" si="38"/>
        <v/>
      </c>
      <c r="I184" t="str">
        <f t="shared" si="39"/>
        <v/>
      </c>
    </row>
    <row r="185" spans="1:9">
      <c r="A185">
        <f>CSV!B185</f>
        <v>0</v>
      </c>
      <c r="B185" s="13" t="e">
        <f>INDEX(Input!$D$2:$AC$500,
       MATCH(CPU_Formula!A185, Input!$J$2:$J$500, 0),
       MATCH("CPU model", Input!$D$1:$AC$1, 0))</f>
        <v>#N/A</v>
      </c>
      <c r="C185" s="13" t="str">
        <f t="shared" si="33"/>
        <v/>
      </c>
      <c r="D185" s="13" t="str">
        <f t="shared" si="34"/>
        <v/>
      </c>
      <c r="E185" s="13" t="str">
        <f t="shared" si="35"/>
        <v/>
      </c>
      <c r="F185" s="13" t="str">
        <f t="shared" si="36"/>
        <v/>
      </c>
      <c r="G185" s="13" t="str">
        <f t="shared" si="37"/>
        <v/>
      </c>
      <c r="H185" s="13" t="str">
        <f t="shared" si="38"/>
        <v/>
      </c>
      <c r="I185" t="str">
        <f t="shared" si="39"/>
        <v/>
      </c>
    </row>
    <row r="186" spans="1:9">
      <c r="A186">
        <f>CSV!B186</f>
        <v>0</v>
      </c>
      <c r="B186" s="13" t="e">
        <f>INDEX(Input!$D$2:$AC$500,
       MATCH(CPU_Formula!A186, Input!$J$2:$J$500, 0),
       MATCH("CPU model", Input!$D$1:$AC$1, 0))</f>
        <v>#N/A</v>
      </c>
      <c r="C186" s="13" t="str">
        <f t="shared" si="33"/>
        <v/>
      </c>
      <c r="D186" s="13" t="str">
        <f t="shared" si="34"/>
        <v/>
      </c>
      <c r="E186" s="13" t="str">
        <f t="shared" si="35"/>
        <v/>
      </c>
      <c r="F186" s="13" t="str">
        <f t="shared" si="36"/>
        <v/>
      </c>
      <c r="G186" s="13" t="str">
        <f t="shared" si="37"/>
        <v/>
      </c>
      <c r="H186" s="13" t="str">
        <f t="shared" si="38"/>
        <v/>
      </c>
      <c r="I186" t="str">
        <f t="shared" si="39"/>
        <v/>
      </c>
    </row>
    <row r="187" spans="1:9">
      <c r="A187">
        <f>CSV!B187</f>
        <v>0</v>
      </c>
      <c r="B187" s="13" t="e">
        <f>INDEX(Input!$D$2:$AC$500,
       MATCH(CPU_Formula!A187, Input!$J$2:$J$500, 0),
       MATCH("CPU model", Input!$D$1:$AC$1, 0))</f>
        <v>#N/A</v>
      </c>
      <c r="C187" s="13" t="str">
        <f t="shared" si="33"/>
        <v/>
      </c>
      <c r="D187" s="13" t="str">
        <f t="shared" si="34"/>
        <v/>
      </c>
      <c r="E187" s="13" t="str">
        <f t="shared" si="35"/>
        <v/>
      </c>
      <c r="F187" s="13" t="str">
        <f t="shared" si="36"/>
        <v/>
      </c>
      <c r="G187" s="13" t="str">
        <f t="shared" si="37"/>
        <v/>
      </c>
      <c r="H187" s="13" t="str">
        <f t="shared" si="38"/>
        <v/>
      </c>
      <c r="I187" t="str">
        <f t="shared" si="39"/>
        <v/>
      </c>
    </row>
    <row r="188" spans="1:9">
      <c r="A188">
        <f>CSV!B188</f>
        <v>0</v>
      </c>
      <c r="B188" s="13" t="e">
        <f>INDEX(Input!$D$2:$AC$500,
       MATCH(CPU_Formula!A188, Input!$J$2:$J$500, 0),
       MATCH("CPU model", Input!$D$1:$AC$1, 0))</f>
        <v>#N/A</v>
      </c>
      <c r="C188" s="13" t="str">
        <f t="shared" si="33"/>
        <v/>
      </c>
      <c r="D188" s="13" t="str">
        <f t="shared" si="34"/>
        <v/>
      </c>
      <c r="E188" s="13" t="str">
        <f t="shared" si="35"/>
        <v/>
      </c>
      <c r="F188" s="13" t="str">
        <f t="shared" si="36"/>
        <v/>
      </c>
      <c r="G188" s="13" t="str">
        <f t="shared" si="37"/>
        <v/>
      </c>
      <c r="H188" s="13" t="str">
        <f t="shared" si="38"/>
        <v/>
      </c>
      <c r="I188" t="str">
        <f t="shared" si="39"/>
        <v/>
      </c>
    </row>
    <row r="189" spans="1:9">
      <c r="A189">
        <f>CSV!B189</f>
        <v>0</v>
      </c>
      <c r="B189" s="13" t="e">
        <f>INDEX(Input!$D$2:$AC$500,
       MATCH(CPU_Formula!A189, Input!$J$2:$J$500, 0),
       MATCH("CPU model", Input!$D$1:$AC$1, 0))</f>
        <v>#N/A</v>
      </c>
      <c r="C189" s="13" t="str">
        <f t="shared" si="33"/>
        <v/>
      </c>
      <c r="D189" s="13" t="str">
        <f t="shared" si="34"/>
        <v/>
      </c>
      <c r="E189" s="13" t="str">
        <f t="shared" si="35"/>
        <v/>
      </c>
      <c r="F189" s="13" t="str">
        <f t="shared" si="36"/>
        <v/>
      </c>
      <c r="G189" s="13" t="str">
        <f t="shared" si="37"/>
        <v/>
      </c>
      <c r="H189" s="13" t="str">
        <f t="shared" si="38"/>
        <v/>
      </c>
      <c r="I189" t="str">
        <f t="shared" si="39"/>
        <v/>
      </c>
    </row>
    <row r="190" spans="1:9">
      <c r="A190">
        <f>CSV!B190</f>
        <v>0</v>
      </c>
      <c r="B190" s="13" t="e">
        <f>INDEX(Input!$D$2:$AC$500,
       MATCH(CPU_Formula!A190, Input!$J$2:$J$500, 0),
       MATCH("CPU model", Input!$D$1:$AC$1, 0))</f>
        <v>#N/A</v>
      </c>
      <c r="C190" s="13" t="str">
        <f t="shared" si="33"/>
        <v/>
      </c>
      <c r="D190" s="13" t="str">
        <f t="shared" si="34"/>
        <v/>
      </c>
      <c r="E190" s="13" t="str">
        <f t="shared" si="35"/>
        <v/>
      </c>
      <c r="F190" s="13" t="str">
        <f t="shared" si="36"/>
        <v/>
      </c>
      <c r="G190" s="13" t="str">
        <f t="shared" si="37"/>
        <v/>
      </c>
      <c r="H190" s="13" t="str">
        <f t="shared" si="38"/>
        <v/>
      </c>
      <c r="I190" t="str">
        <f t="shared" si="39"/>
        <v/>
      </c>
    </row>
    <row r="191" spans="1:9">
      <c r="A191">
        <f>CSV!B191</f>
        <v>0</v>
      </c>
      <c r="B191" s="13" t="e">
        <f>INDEX(Input!$D$2:$AC$500,
       MATCH(CPU_Formula!A191, Input!$J$2:$J$500, 0),
       MATCH("CPU model", Input!$D$1:$AC$1, 0))</f>
        <v>#N/A</v>
      </c>
      <c r="C191" s="13" t="str">
        <f t="shared" si="33"/>
        <v/>
      </c>
      <c r="D191" s="13" t="str">
        <f t="shared" si="34"/>
        <v/>
      </c>
      <c r="E191" s="13" t="str">
        <f t="shared" si="35"/>
        <v/>
      </c>
      <c r="F191" s="13" t="str">
        <f t="shared" si="36"/>
        <v/>
      </c>
      <c r="G191" s="13" t="str">
        <f t="shared" si="37"/>
        <v/>
      </c>
      <c r="H191" s="13" t="str">
        <f t="shared" si="38"/>
        <v/>
      </c>
      <c r="I191" t="str">
        <f t="shared" si="39"/>
        <v/>
      </c>
    </row>
    <row r="192" spans="1:9">
      <c r="A192">
        <f>CSV!B192</f>
        <v>0</v>
      </c>
      <c r="B192" s="13" t="e">
        <f>INDEX(Input!$D$2:$AC$500,
       MATCH(CPU_Formula!A192, Input!$J$2:$J$500, 0),
       MATCH("CPU model", Input!$D$1:$AC$1, 0))</f>
        <v>#N/A</v>
      </c>
      <c r="C192" s="13" t="str">
        <f t="shared" si="33"/>
        <v/>
      </c>
      <c r="D192" s="13" t="str">
        <f t="shared" si="34"/>
        <v/>
      </c>
      <c r="E192" s="13" t="str">
        <f t="shared" si="35"/>
        <v/>
      </c>
      <c r="F192" s="13" t="str">
        <f t="shared" si="36"/>
        <v/>
      </c>
      <c r="G192" s="13" t="str">
        <f t="shared" si="37"/>
        <v/>
      </c>
      <c r="H192" s="13" t="str">
        <f t="shared" si="38"/>
        <v/>
      </c>
      <c r="I192" t="str">
        <f t="shared" si="39"/>
        <v/>
      </c>
    </row>
    <row r="193" spans="1:9">
      <c r="A193">
        <f>CSV!B193</f>
        <v>0</v>
      </c>
      <c r="B193" s="13" t="e">
        <f>INDEX(Input!$D$2:$AC$500,
       MATCH(CPU_Formula!A193, Input!$J$2:$J$500, 0),
       MATCH("CPU model", Input!$D$1:$AC$1, 0))</f>
        <v>#N/A</v>
      </c>
      <c r="C193" s="13" t="str">
        <f t="shared" si="33"/>
        <v/>
      </c>
      <c r="D193" s="13" t="str">
        <f t="shared" si="34"/>
        <v/>
      </c>
      <c r="E193" s="13" t="str">
        <f t="shared" si="35"/>
        <v/>
      </c>
      <c r="F193" s="13" t="str">
        <f t="shared" si="36"/>
        <v/>
      </c>
      <c r="G193" s="13" t="str">
        <f t="shared" si="37"/>
        <v/>
      </c>
      <c r="H193" s="13" t="str">
        <f t="shared" si="38"/>
        <v/>
      </c>
      <c r="I193" t="str">
        <f t="shared" si="39"/>
        <v/>
      </c>
    </row>
    <row r="194" spans="1:9">
      <c r="A194">
        <f>CSV!B194</f>
        <v>0</v>
      </c>
      <c r="B194" s="13" t="e">
        <f>INDEX(Input!$D$2:$AC$500,
       MATCH(CPU_Formula!A194, Input!$J$2:$J$500, 0),
       MATCH("CPU model", Input!$D$1:$AC$1, 0))</f>
        <v>#N/A</v>
      </c>
      <c r="C194" s="13" t="str">
        <f t="shared" si="33"/>
        <v/>
      </c>
      <c r="D194" s="13" t="str">
        <f t="shared" si="34"/>
        <v/>
      </c>
      <c r="E194" s="13" t="str">
        <f t="shared" si="35"/>
        <v/>
      </c>
      <c r="F194" s="13" t="str">
        <f t="shared" si="36"/>
        <v/>
      </c>
      <c r="G194" s="13" t="str">
        <f t="shared" si="37"/>
        <v/>
      </c>
      <c r="H194" s="13" t="str">
        <f t="shared" si="38"/>
        <v/>
      </c>
      <c r="I194" t="str">
        <f t="shared" si="39"/>
        <v/>
      </c>
    </row>
    <row r="195" spans="1:9">
      <c r="A195">
        <f>CSV!B195</f>
        <v>0</v>
      </c>
      <c r="B195" s="13" t="e">
        <f>INDEX(Input!$D$2:$AC$500,
       MATCH(CPU_Formula!A195, Input!$J$2:$J$500, 0),
       MATCH("CPU model", Input!$D$1:$AC$1, 0))</f>
        <v>#N/A</v>
      </c>
      <c r="C195" s="13" t="str">
        <f t="shared" si="33"/>
        <v/>
      </c>
      <c r="D195" s="13" t="str">
        <f t="shared" si="34"/>
        <v/>
      </c>
      <c r="E195" s="13" t="str">
        <f t="shared" si="35"/>
        <v/>
      </c>
      <c r="F195" s="13" t="str">
        <f t="shared" si="36"/>
        <v/>
      </c>
      <c r="G195" s="13" t="str">
        <f t="shared" si="37"/>
        <v/>
      </c>
      <c r="H195" s="13" t="str">
        <f t="shared" si="38"/>
        <v/>
      </c>
      <c r="I195" t="str">
        <f t="shared" si="39"/>
        <v/>
      </c>
    </row>
    <row r="196" spans="1:9">
      <c r="A196">
        <f>CSV!B196</f>
        <v>0</v>
      </c>
      <c r="B196" s="13" t="e">
        <f>INDEX(Input!$D$2:$AC$500,
       MATCH(CPU_Formula!A196, Input!$J$2:$J$500, 0),
       MATCH("CPU model", Input!$D$1:$AC$1, 0))</f>
        <v>#N/A</v>
      </c>
      <c r="C196" s="13" t="str">
        <f t="shared" si="33"/>
        <v/>
      </c>
      <c r="D196" s="13" t="str">
        <f t="shared" si="34"/>
        <v/>
      </c>
      <c r="E196" s="13" t="str">
        <f t="shared" si="35"/>
        <v/>
      </c>
      <c r="F196" s="13" t="str">
        <f t="shared" si="36"/>
        <v/>
      </c>
      <c r="G196" s="13" t="str">
        <f t="shared" si="37"/>
        <v/>
      </c>
      <c r="H196" s="13" t="str">
        <f t="shared" si="38"/>
        <v/>
      </c>
      <c r="I196" t="str">
        <f t="shared" si="39"/>
        <v/>
      </c>
    </row>
    <row r="197" spans="1:9">
      <c r="A197">
        <f>CSV!B197</f>
        <v>0</v>
      </c>
      <c r="B197" s="13" t="e">
        <f>INDEX(Input!$D$2:$AC$500,
       MATCH(CPU_Formula!A197, Input!$J$2:$J$500, 0),
       MATCH("CPU model", Input!$D$1:$AC$1, 0))</f>
        <v>#N/A</v>
      </c>
      <c r="C197" s="13" t="str">
        <f t="shared" si="33"/>
        <v/>
      </c>
      <c r="D197" s="13" t="str">
        <f t="shared" si="34"/>
        <v/>
      </c>
      <c r="E197" s="13" t="str">
        <f t="shared" si="35"/>
        <v/>
      </c>
      <c r="F197" s="13" t="str">
        <f t="shared" si="36"/>
        <v/>
      </c>
      <c r="G197" s="13" t="str">
        <f t="shared" si="37"/>
        <v/>
      </c>
      <c r="H197" s="13" t="str">
        <f t="shared" si="38"/>
        <v/>
      </c>
      <c r="I197" t="str">
        <f t="shared" si="39"/>
        <v/>
      </c>
    </row>
    <row r="198" spans="1:9">
      <c r="A198">
        <f>CSV!B198</f>
        <v>0</v>
      </c>
      <c r="B198" s="13" t="e">
        <f>INDEX(Input!$D$2:$AC$500,
       MATCH(CPU_Formula!A198, Input!$J$2:$J$500, 0),
       MATCH("CPU model", Input!$D$1:$AC$1, 0))</f>
        <v>#N/A</v>
      </c>
      <c r="C198" s="13" t="str">
        <f t="shared" si="33"/>
        <v/>
      </c>
      <c r="D198" s="13" t="str">
        <f t="shared" si="34"/>
        <v/>
      </c>
      <c r="E198" s="13" t="str">
        <f t="shared" si="35"/>
        <v/>
      </c>
      <c r="F198" s="13" t="str">
        <f t="shared" si="36"/>
        <v/>
      </c>
      <c r="G198" s="13" t="str">
        <f t="shared" si="37"/>
        <v/>
      </c>
      <c r="H198" s="13" t="str">
        <f t="shared" si="38"/>
        <v/>
      </c>
      <c r="I198" t="str">
        <f t="shared" si="39"/>
        <v/>
      </c>
    </row>
    <row r="199" spans="1:9">
      <c r="A199">
        <f>CSV!B199</f>
        <v>0</v>
      </c>
      <c r="B199" s="13" t="e">
        <f>INDEX(Input!$D$2:$AC$500,
       MATCH(CPU_Formula!A199, Input!$J$2:$J$500, 0),
       MATCH("CPU model", Input!$D$1:$AC$1, 0))</f>
        <v>#N/A</v>
      </c>
      <c r="C199" s="13" t="str">
        <f t="shared" si="33"/>
        <v/>
      </c>
      <c r="D199" s="13" t="str">
        <f t="shared" si="34"/>
        <v/>
      </c>
      <c r="E199" s="13" t="str">
        <f t="shared" si="35"/>
        <v/>
      </c>
      <c r="F199" s="13" t="str">
        <f t="shared" si="36"/>
        <v/>
      </c>
      <c r="G199" s="13" t="str">
        <f t="shared" si="37"/>
        <v/>
      </c>
      <c r="H199" s="13" t="str">
        <f t="shared" si="38"/>
        <v/>
      </c>
      <c r="I199" t="str">
        <f t="shared" si="39"/>
        <v/>
      </c>
    </row>
    <row r="200" spans="1:9">
      <c r="A200">
        <f>CSV!B200</f>
        <v>0</v>
      </c>
      <c r="B200" s="13" t="e">
        <f>INDEX(Input!$D$2:$AC$500,
       MATCH(CPU_Formula!A200, Input!$J$2:$J$500, 0),
       MATCH("CPU model", Input!$D$1:$AC$1, 0))</f>
        <v>#N/A</v>
      </c>
      <c r="C200" s="13" t="str">
        <f t="shared" si="33"/>
        <v/>
      </c>
      <c r="D200" s="13" t="str">
        <f t="shared" si="34"/>
        <v/>
      </c>
      <c r="E200" s="13" t="str">
        <f t="shared" si="35"/>
        <v/>
      </c>
      <c r="F200" s="13" t="str">
        <f t="shared" si="36"/>
        <v/>
      </c>
      <c r="G200" s="13" t="str">
        <f t="shared" si="37"/>
        <v/>
      </c>
      <c r="H200" s="13" t="str">
        <f t="shared" si="38"/>
        <v/>
      </c>
      <c r="I200" t="str">
        <f t="shared" si="39"/>
        <v/>
      </c>
    </row>
    <row r="201" spans="1:9">
      <c r="A201">
        <f>CSV!B201</f>
        <v>0</v>
      </c>
      <c r="B201" s="13" t="e">
        <f>INDEX(Input!$D$2:$AC$500,
       MATCH(CPU_Formula!A201, Input!$J$2:$J$500, 0),
       MATCH("CPU model", Input!$D$1:$AC$1, 0))</f>
        <v>#N/A</v>
      </c>
      <c r="C201" s="13" t="str">
        <f t="shared" si="33"/>
        <v/>
      </c>
      <c r="D201" s="13" t="str">
        <f t="shared" si="34"/>
        <v/>
      </c>
      <c r="E201" s="13" t="str">
        <f t="shared" si="35"/>
        <v/>
      </c>
      <c r="F201" s="13" t="str">
        <f t="shared" si="36"/>
        <v/>
      </c>
      <c r="G201" s="13" t="str">
        <f t="shared" si="37"/>
        <v/>
      </c>
      <c r="H201" s="13" t="str">
        <f t="shared" si="38"/>
        <v/>
      </c>
      <c r="I201" t="str">
        <f t="shared" si="39"/>
        <v/>
      </c>
    </row>
    <row r="202" spans="1:9">
      <c r="A202">
        <f>CSV!B202</f>
        <v>0</v>
      </c>
      <c r="B202" s="13" t="e">
        <f>INDEX(Input!$D$2:$AC$500,
       MATCH(CPU_Formula!A202, Input!$J$2:$J$500, 0),
       MATCH("CPU model", Input!$D$1:$AC$1, 0))</f>
        <v>#N/A</v>
      </c>
      <c r="C202" s="13" t="str">
        <f t="shared" si="33"/>
        <v/>
      </c>
      <c r="D202" s="13" t="str">
        <f t="shared" si="34"/>
        <v/>
      </c>
      <c r="E202" s="13" t="str">
        <f t="shared" si="35"/>
        <v/>
      </c>
      <c r="F202" s="13" t="str">
        <f t="shared" si="36"/>
        <v/>
      </c>
      <c r="G202" s="13" t="str">
        <f t="shared" si="37"/>
        <v/>
      </c>
      <c r="H202" s="13" t="str">
        <f t="shared" si="38"/>
        <v/>
      </c>
      <c r="I202" t="str">
        <f t="shared" si="39"/>
        <v/>
      </c>
    </row>
    <row r="203" spans="1:9">
      <c r="A203">
        <f>CSV!B203</f>
        <v>0</v>
      </c>
      <c r="B203" s="13" t="e">
        <f>INDEX(Input!$D$2:$AC$500,
       MATCH(CPU_Formula!A203, Input!$J$2:$J$500, 0),
       MATCH("CPU model", Input!$D$1:$AC$1, 0))</f>
        <v>#N/A</v>
      </c>
      <c r="C203" s="13" t="str">
        <f t="shared" si="33"/>
        <v/>
      </c>
      <c r="D203" s="13" t="str">
        <f t="shared" si="34"/>
        <v/>
      </c>
      <c r="E203" s="13" t="str">
        <f t="shared" si="35"/>
        <v/>
      </c>
      <c r="F203" s="13" t="str">
        <f t="shared" si="36"/>
        <v/>
      </c>
      <c r="G203" s="13" t="str">
        <f t="shared" si="37"/>
        <v/>
      </c>
      <c r="H203" s="13" t="str">
        <f t="shared" si="38"/>
        <v/>
      </c>
      <c r="I203" t="str">
        <f t="shared" si="39"/>
        <v/>
      </c>
    </row>
    <row r="204" spans="1:9">
      <c r="A204">
        <f>CSV!B204</f>
        <v>0</v>
      </c>
      <c r="B204" s="13" t="e">
        <f>INDEX(Input!$D$2:$AC$500,
       MATCH(CPU_Formula!A204, Input!$J$2:$J$500, 0),
       MATCH("CPU model", Input!$D$1:$AC$1, 0))</f>
        <v>#N/A</v>
      </c>
      <c r="C204" s="13" t="str">
        <f t="shared" si="33"/>
        <v/>
      </c>
      <c r="D204" s="13" t="str">
        <f t="shared" si="34"/>
        <v/>
      </c>
      <c r="E204" s="13" t="str">
        <f t="shared" si="35"/>
        <v/>
      </c>
      <c r="F204" s="13" t="str">
        <f t="shared" si="36"/>
        <v/>
      </c>
      <c r="G204" s="13" t="str">
        <f t="shared" si="37"/>
        <v/>
      </c>
      <c r="H204" s="13" t="str">
        <f t="shared" si="38"/>
        <v/>
      </c>
      <c r="I204" t="str">
        <f t="shared" si="39"/>
        <v/>
      </c>
    </row>
    <row r="205" spans="1:9">
      <c r="A205">
        <f>CSV!B205</f>
        <v>0</v>
      </c>
      <c r="B205" s="13" t="e">
        <f>INDEX(Input!$D$2:$AC$500,
       MATCH(CPU_Formula!A205, Input!$J$2:$J$500, 0),
       MATCH("CPU model", Input!$D$1:$AC$1, 0))</f>
        <v>#N/A</v>
      </c>
      <c r="C205" s="13" t="str">
        <f t="shared" si="33"/>
        <v/>
      </c>
      <c r="D205" s="13" t="str">
        <f t="shared" si="34"/>
        <v/>
      </c>
      <c r="E205" s="13" t="str">
        <f t="shared" si="35"/>
        <v/>
      </c>
      <c r="F205" s="13" t="str">
        <f t="shared" si="36"/>
        <v/>
      </c>
      <c r="G205" s="13" t="str">
        <f t="shared" si="37"/>
        <v/>
      </c>
      <c r="H205" s="13" t="str">
        <f t="shared" si="38"/>
        <v/>
      </c>
      <c r="I205" t="str">
        <f t="shared" si="39"/>
        <v/>
      </c>
    </row>
    <row r="206" spans="1:9">
      <c r="A206">
        <f>CSV!B206</f>
        <v>0</v>
      </c>
      <c r="B206" s="13" t="e">
        <f>INDEX(Input!$D$2:$AC$500,
       MATCH(CPU_Formula!A206, Input!$J$2:$J$500, 0),
       MATCH("CPU model", Input!$D$1:$AC$1, 0))</f>
        <v>#N/A</v>
      </c>
      <c r="C206" s="13" t="str">
        <f t="shared" si="33"/>
        <v/>
      </c>
      <c r="D206" s="13" t="str">
        <f t="shared" si="34"/>
        <v/>
      </c>
      <c r="E206" s="13" t="str">
        <f t="shared" si="35"/>
        <v/>
      </c>
      <c r="F206" s="13" t="str">
        <f t="shared" si="36"/>
        <v/>
      </c>
      <c r="G206" s="13" t="str">
        <f t="shared" si="37"/>
        <v/>
      </c>
      <c r="H206" s="13" t="str">
        <f t="shared" si="38"/>
        <v/>
      </c>
      <c r="I206" t="str">
        <f t="shared" si="39"/>
        <v/>
      </c>
    </row>
    <row r="207" spans="1:9">
      <c r="A207">
        <f>CSV!B207</f>
        <v>0</v>
      </c>
      <c r="B207" s="13" t="e">
        <f>INDEX(Input!$D$2:$AC$500,
       MATCH(CPU_Formula!A207, Input!$J$2:$J$500, 0),
       MATCH("CPU model", Input!$D$1:$AC$1, 0))</f>
        <v>#N/A</v>
      </c>
      <c r="C207" s="13" t="str">
        <f t="shared" si="33"/>
        <v/>
      </c>
      <c r="D207" s="13" t="str">
        <f t="shared" si="34"/>
        <v/>
      </c>
      <c r="E207" s="13" t="str">
        <f t="shared" si="35"/>
        <v/>
      </c>
      <c r="F207" s="13" t="str">
        <f t="shared" si="36"/>
        <v/>
      </c>
      <c r="G207" s="13" t="str">
        <f t="shared" si="37"/>
        <v/>
      </c>
      <c r="H207" s="13" t="str">
        <f t="shared" si="38"/>
        <v/>
      </c>
      <c r="I207" t="str">
        <f t="shared" si="39"/>
        <v/>
      </c>
    </row>
    <row r="208" spans="1:9">
      <c r="A208">
        <f>CSV!B208</f>
        <v>0</v>
      </c>
      <c r="B208" s="13" t="e">
        <f>INDEX(Input!$D$2:$AC$500,
       MATCH(CPU_Formula!A208, Input!$J$2:$J$500, 0),
       MATCH("CPU model", Input!$D$1:$AC$1, 0))</f>
        <v>#N/A</v>
      </c>
      <c r="C208" s="13" t="str">
        <f t="shared" si="33"/>
        <v/>
      </c>
      <c r="D208" s="13" t="str">
        <f t="shared" si="34"/>
        <v/>
      </c>
      <c r="E208" s="13" t="str">
        <f t="shared" si="35"/>
        <v/>
      </c>
      <c r="F208" s="13" t="str">
        <f t="shared" si="36"/>
        <v/>
      </c>
      <c r="G208" s="13" t="str">
        <f t="shared" si="37"/>
        <v/>
      </c>
      <c r="H208" s="13" t="str">
        <f t="shared" si="38"/>
        <v/>
      </c>
      <c r="I208" t="str">
        <f t="shared" si="39"/>
        <v/>
      </c>
    </row>
    <row r="209" spans="1:9">
      <c r="A209">
        <f>CSV!B209</f>
        <v>0</v>
      </c>
      <c r="B209" s="13" t="e">
        <f>INDEX(Input!$D$2:$AC$500,
       MATCH(CPU_Formula!A209, Input!$J$2:$J$500, 0),
       MATCH("CPU model", Input!$D$1:$AC$1, 0))</f>
        <v>#N/A</v>
      </c>
      <c r="C209" s="13" t="str">
        <f t="shared" si="33"/>
        <v/>
      </c>
      <c r="D209" s="13" t="str">
        <f t="shared" si="34"/>
        <v/>
      </c>
      <c r="E209" s="13" t="str">
        <f t="shared" si="35"/>
        <v/>
      </c>
      <c r="F209" s="13" t="str">
        <f t="shared" si="36"/>
        <v/>
      </c>
      <c r="G209" s="13" t="str">
        <f t="shared" si="37"/>
        <v/>
      </c>
      <c r="H209" s="13" t="str">
        <f t="shared" si="38"/>
        <v/>
      </c>
      <c r="I209" t="str">
        <f t="shared" si="39"/>
        <v/>
      </c>
    </row>
    <row r="210" spans="1:9">
      <c r="A210">
        <f>CSV!B210</f>
        <v>0</v>
      </c>
      <c r="B210" s="13" t="e">
        <f>INDEX(Input!$D$2:$AC$500,
       MATCH(CPU_Formula!A210, Input!$J$2:$J$500, 0),
       MATCH("CPU model", Input!$D$1:$AC$1, 0))</f>
        <v>#N/A</v>
      </c>
      <c r="C210" s="13" t="str">
        <f t="shared" si="33"/>
        <v/>
      </c>
      <c r="D210" s="13" t="str">
        <f t="shared" si="34"/>
        <v/>
      </c>
      <c r="E210" s="13" t="str">
        <f t="shared" si="35"/>
        <v/>
      </c>
      <c r="F210" s="13" t="str">
        <f t="shared" si="36"/>
        <v/>
      </c>
      <c r="G210" s="13" t="str">
        <f t="shared" si="37"/>
        <v/>
      </c>
      <c r="H210" s="13" t="str">
        <f t="shared" si="38"/>
        <v/>
      </c>
      <c r="I210" t="str">
        <f t="shared" si="39"/>
        <v/>
      </c>
    </row>
    <row r="211" spans="1:9">
      <c r="A211">
        <f>CSV!B211</f>
        <v>0</v>
      </c>
      <c r="B211" s="13" t="e">
        <f>INDEX(Input!$D$2:$AC$500,
       MATCH(CPU_Formula!A211, Input!$J$2:$J$500, 0),
       MATCH("CPU model", Input!$D$1:$AC$1, 0))</f>
        <v>#N/A</v>
      </c>
      <c r="C211" s="13" t="str">
        <f t="shared" si="33"/>
        <v/>
      </c>
      <c r="D211" s="13" t="str">
        <f t="shared" si="34"/>
        <v/>
      </c>
      <c r="E211" s="13" t="str">
        <f t="shared" si="35"/>
        <v/>
      </c>
      <c r="F211" s="13" t="str">
        <f t="shared" si="36"/>
        <v/>
      </c>
      <c r="G211" s="13" t="str">
        <f t="shared" si="37"/>
        <v/>
      </c>
      <c r="H211" s="13" t="str">
        <f t="shared" si="38"/>
        <v/>
      </c>
      <c r="I211" t="str">
        <f t="shared" si="39"/>
        <v/>
      </c>
    </row>
    <row r="212" spans="1:9">
      <c r="A212">
        <f>CSV!B212</f>
        <v>0</v>
      </c>
      <c r="B212" s="13" t="e">
        <f>INDEX(Input!$D$2:$AC$500,
       MATCH(CPU_Formula!A212, Input!$J$2:$J$500, 0),
       MATCH("CPU model", Input!$D$1:$AC$1, 0))</f>
        <v>#N/A</v>
      </c>
      <c r="C212" s="13" t="str">
        <f t="shared" si="33"/>
        <v/>
      </c>
      <c r="D212" s="13" t="str">
        <f t="shared" si="34"/>
        <v/>
      </c>
      <c r="E212" s="13" t="str">
        <f t="shared" si="35"/>
        <v/>
      </c>
      <c r="F212" s="13" t="str">
        <f t="shared" si="36"/>
        <v/>
      </c>
      <c r="G212" s="13" t="str">
        <f t="shared" si="37"/>
        <v/>
      </c>
      <c r="H212" s="13" t="str">
        <f t="shared" si="38"/>
        <v/>
      </c>
      <c r="I212" t="str">
        <f t="shared" si="39"/>
        <v/>
      </c>
    </row>
    <row r="213" spans="1:9">
      <c r="A213">
        <f>CSV!B213</f>
        <v>0</v>
      </c>
      <c r="B213" s="13" t="e">
        <f>INDEX(Input!$D$2:$AC$500,
       MATCH(CPU_Formula!A213, Input!$J$2:$J$500, 0),
       MATCH("CPU model", Input!$D$1:$AC$1, 0))</f>
        <v>#N/A</v>
      </c>
      <c r="C213" s="13" t="str">
        <f t="shared" si="33"/>
        <v/>
      </c>
      <c r="D213" s="13" t="str">
        <f t="shared" si="34"/>
        <v/>
      </c>
      <c r="E213" s="13" t="str">
        <f t="shared" si="35"/>
        <v/>
      </c>
      <c r="F213" s="13" t="str">
        <f t="shared" si="36"/>
        <v/>
      </c>
      <c r="G213" s="13" t="str">
        <f t="shared" si="37"/>
        <v/>
      </c>
      <c r="H213" s="13" t="str">
        <f t="shared" si="38"/>
        <v/>
      </c>
      <c r="I213" t="str">
        <f t="shared" si="39"/>
        <v/>
      </c>
    </row>
    <row r="214" spans="1:9">
      <c r="A214">
        <f>CSV!B214</f>
        <v>0</v>
      </c>
      <c r="B214" s="13" t="e">
        <f>INDEX(Input!$D$2:$AC$500,
       MATCH(CPU_Formula!A214, Input!$J$2:$J$500, 0),
       MATCH("CPU model", Input!$D$1:$AC$1, 0))</f>
        <v>#N/A</v>
      </c>
      <c r="C214" s="13" t="str">
        <f t="shared" si="33"/>
        <v/>
      </c>
      <c r="D214" s="13" t="str">
        <f t="shared" si="34"/>
        <v/>
      </c>
      <c r="E214" s="13" t="str">
        <f t="shared" si="35"/>
        <v/>
      </c>
      <c r="F214" s="13" t="str">
        <f t="shared" si="36"/>
        <v/>
      </c>
      <c r="G214" s="13" t="str">
        <f t="shared" si="37"/>
        <v/>
      </c>
      <c r="H214" s="13" t="str">
        <f t="shared" si="38"/>
        <v/>
      </c>
      <c r="I214" t="str">
        <f t="shared" si="39"/>
        <v/>
      </c>
    </row>
    <row r="215" spans="1:9">
      <c r="A215">
        <f>CSV!B215</f>
        <v>0</v>
      </c>
      <c r="B215" s="13" t="e">
        <f>INDEX(Input!$D$2:$AC$500,
       MATCH(CPU_Formula!A215, Input!$J$2:$J$500, 0),
       MATCH("CPU model", Input!$D$1:$AC$1, 0))</f>
        <v>#N/A</v>
      </c>
      <c r="C215" s="13" t="str">
        <f t="shared" si="33"/>
        <v/>
      </c>
      <c r="D215" s="13" t="str">
        <f t="shared" si="34"/>
        <v/>
      </c>
      <c r="E215" s="13" t="str">
        <f t="shared" si="35"/>
        <v/>
      </c>
      <c r="F215" s="13" t="str">
        <f t="shared" si="36"/>
        <v/>
      </c>
      <c r="G215" s="13" t="str">
        <f t="shared" si="37"/>
        <v/>
      </c>
      <c r="H215" s="13" t="str">
        <f t="shared" si="38"/>
        <v/>
      </c>
      <c r="I215" t="str">
        <f t="shared" si="39"/>
        <v/>
      </c>
    </row>
    <row r="216" spans="1:9">
      <c r="A216">
        <f>CSV!B216</f>
        <v>0</v>
      </c>
      <c r="B216" s="13" t="e">
        <f>INDEX(Input!$D$2:$AC$500,
       MATCH(CPU_Formula!A216, Input!$J$2:$J$500, 0),
       MATCH("CPU model", Input!$D$1:$AC$1, 0))</f>
        <v>#N/A</v>
      </c>
      <c r="C216" s="13" t="str">
        <f t="shared" si="33"/>
        <v/>
      </c>
      <c r="D216" s="13" t="str">
        <f t="shared" si="34"/>
        <v/>
      </c>
      <c r="E216" s="13" t="str">
        <f t="shared" si="35"/>
        <v/>
      </c>
      <c r="F216" s="13" t="str">
        <f t="shared" si="36"/>
        <v/>
      </c>
      <c r="G216" s="13" t="str">
        <f t="shared" si="37"/>
        <v/>
      </c>
      <c r="H216" s="13" t="str">
        <f t="shared" si="38"/>
        <v/>
      </c>
      <c r="I216" t="str">
        <f t="shared" si="39"/>
        <v/>
      </c>
    </row>
    <row r="217" spans="1:9">
      <c r="A217">
        <f>CSV!B217</f>
        <v>0</v>
      </c>
      <c r="B217" s="13" t="e">
        <f>INDEX(Input!$D$2:$AC$500,
       MATCH(CPU_Formula!A217, Input!$J$2:$J$500, 0),
       MATCH("CPU model", Input!$D$1:$AC$1, 0))</f>
        <v>#N/A</v>
      </c>
      <c r="C217" s="13" t="str">
        <f t="shared" si="33"/>
        <v/>
      </c>
      <c r="D217" s="13" t="str">
        <f t="shared" si="34"/>
        <v/>
      </c>
      <c r="E217" s="13" t="str">
        <f t="shared" si="35"/>
        <v/>
      </c>
      <c r="F217" s="13" t="str">
        <f t="shared" si="36"/>
        <v/>
      </c>
      <c r="G217" s="13" t="str">
        <f t="shared" si="37"/>
        <v/>
      </c>
      <c r="H217" s="13" t="str">
        <f t="shared" si="38"/>
        <v/>
      </c>
      <c r="I217" t="str">
        <f t="shared" si="39"/>
        <v/>
      </c>
    </row>
    <row r="218" spans="1:9">
      <c r="A218">
        <f>CSV!B218</f>
        <v>0</v>
      </c>
      <c r="B218" s="13" t="e">
        <f>INDEX(Input!$D$2:$AC$500,
       MATCH(CPU_Formula!A218, Input!$J$2:$J$500, 0),
       MATCH("CPU model", Input!$D$1:$AC$1, 0))</f>
        <v>#N/A</v>
      </c>
      <c r="C218" s="13" t="str">
        <f t="shared" si="33"/>
        <v/>
      </c>
      <c r="D218" s="13" t="str">
        <f t="shared" si="34"/>
        <v/>
      </c>
      <c r="E218" s="13" t="str">
        <f t="shared" si="35"/>
        <v/>
      </c>
      <c r="F218" s="13" t="str">
        <f t="shared" si="36"/>
        <v/>
      </c>
      <c r="G218" s="13" t="str">
        <f t="shared" si="37"/>
        <v/>
      </c>
      <c r="H218" s="13" t="str">
        <f t="shared" si="38"/>
        <v/>
      </c>
      <c r="I218" t="str">
        <f t="shared" si="39"/>
        <v/>
      </c>
    </row>
    <row r="219" spans="1:9">
      <c r="A219">
        <f>CSV!B219</f>
        <v>0</v>
      </c>
      <c r="B219" s="13" t="e">
        <f>INDEX(Input!$D$2:$AC$500,
       MATCH(CPU_Formula!A219, Input!$J$2:$J$500, 0),
       MATCH("CPU model", Input!$D$1:$AC$1, 0))</f>
        <v>#N/A</v>
      </c>
      <c r="C219" s="13" t="str">
        <f t="shared" si="33"/>
        <v/>
      </c>
      <c r="D219" s="13" t="str">
        <f t="shared" si="34"/>
        <v/>
      </c>
      <c r="E219" s="13" t="str">
        <f t="shared" si="35"/>
        <v/>
      </c>
      <c r="F219" s="13" t="str">
        <f t="shared" si="36"/>
        <v/>
      </c>
      <c r="G219" s="13" t="str">
        <f t="shared" si="37"/>
        <v/>
      </c>
      <c r="H219" s="13" t="str">
        <f t="shared" si="38"/>
        <v/>
      </c>
      <c r="I219" t="str">
        <f t="shared" si="39"/>
        <v/>
      </c>
    </row>
    <row r="220" spans="1:9">
      <c r="A220">
        <f>CSV!B220</f>
        <v>0</v>
      </c>
      <c r="B220" s="13" t="e">
        <f>INDEX(Input!$D$2:$AC$500,
       MATCH(CPU_Formula!A220, Input!$J$2:$J$500, 0),
       MATCH("CPU model", Input!$D$1:$AC$1, 0))</f>
        <v>#N/A</v>
      </c>
      <c r="C220" s="13" t="str">
        <f t="shared" si="33"/>
        <v/>
      </c>
      <c r="D220" s="13" t="str">
        <f t="shared" si="34"/>
        <v/>
      </c>
      <c r="E220" s="13" t="str">
        <f t="shared" si="35"/>
        <v/>
      </c>
      <c r="F220" s="13" t="str">
        <f t="shared" si="36"/>
        <v/>
      </c>
      <c r="G220" s="13" t="str">
        <f t="shared" si="37"/>
        <v/>
      </c>
      <c r="H220" s="13" t="str">
        <f t="shared" si="38"/>
        <v/>
      </c>
      <c r="I220" t="str">
        <f t="shared" si="39"/>
        <v/>
      </c>
    </row>
    <row r="221" spans="1:9">
      <c r="A221">
        <f>CSV!B221</f>
        <v>0</v>
      </c>
      <c r="B221" s="13" t="e">
        <f>INDEX(Input!$D$2:$AC$500,
       MATCH(CPU_Formula!A221, Input!$J$2:$J$500, 0),
       MATCH("CPU model", Input!$D$1:$AC$1, 0))</f>
        <v>#N/A</v>
      </c>
      <c r="C221" s="13" t="str">
        <f t="shared" si="33"/>
        <v/>
      </c>
      <c r="D221" s="13" t="str">
        <f t="shared" si="34"/>
        <v/>
      </c>
      <c r="E221" s="13" t="str">
        <f t="shared" si="35"/>
        <v/>
      </c>
      <c r="F221" s="13" t="str">
        <f t="shared" si="36"/>
        <v/>
      </c>
      <c r="G221" s="13" t="str">
        <f t="shared" si="37"/>
        <v/>
      </c>
      <c r="H221" s="13" t="str">
        <f t="shared" si="38"/>
        <v/>
      </c>
      <c r="I221" t="str">
        <f t="shared" si="39"/>
        <v/>
      </c>
    </row>
    <row r="222" spans="1:9">
      <c r="A222">
        <f>CSV!B222</f>
        <v>0</v>
      </c>
      <c r="B222" s="13" t="e">
        <f>INDEX(Input!$D$2:$AC$500,
       MATCH(CPU_Formula!A222, Input!$J$2:$J$500, 0),
       MATCH("CPU model", Input!$D$1:$AC$1, 0))</f>
        <v>#N/A</v>
      </c>
      <c r="C222" s="13" t="str">
        <f t="shared" si="33"/>
        <v/>
      </c>
      <c r="D222" s="13" t="str">
        <f t="shared" si="34"/>
        <v/>
      </c>
      <c r="E222" s="13" t="str">
        <f t="shared" si="35"/>
        <v/>
      </c>
      <c r="F222" s="13" t="str">
        <f t="shared" si="36"/>
        <v/>
      </c>
      <c r="G222" s="13" t="str">
        <f t="shared" si="37"/>
        <v/>
      </c>
      <c r="H222" s="13" t="str">
        <f t="shared" si="38"/>
        <v/>
      </c>
      <c r="I222" t="str">
        <f t="shared" si="39"/>
        <v/>
      </c>
    </row>
    <row r="223" spans="1:9">
      <c r="A223">
        <f>CSV!B223</f>
        <v>0</v>
      </c>
      <c r="B223" s="13" t="e">
        <f>INDEX(Input!$D$2:$AC$500,
       MATCH(CPU_Formula!A223, Input!$J$2:$J$500, 0),
       MATCH("CPU model", Input!$D$1:$AC$1, 0))</f>
        <v>#N/A</v>
      </c>
      <c r="C223" s="13" t="str">
        <f t="shared" si="33"/>
        <v/>
      </c>
      <c r="D223" s="13" t="str">
        <f t="shared" si="34"/>
        <v/>
      </c>
      <c r="E223" s="13" t="str">
        <f t="shared" si="35"/>
        <v/>
      </c>
      <c r="F223" s="13" t="str">
        <f t="shared" si="36"/>
        <v/>
      </c>
      <c r="G223" s="13" t="str">
        <f t="shared" si="37"/>
        <v/>
      </c>
      <c r="H223" s="13" t="str">
        <f t="shared" si="38"/>
        <v/>
      </c>
      <c r="I223" t="str">
        <f t="shared" si="39"/>
        <v/>
      </c>
    </row>
    <row r="224" spans="1:9">
      <c r="A224">
        <f>CSV!B224</f>
        <v>0</v>
      </c>
      <c r="B224" s="13" t="e">
        <f>INDEX(Input!$D$2:$AC$500,
       MATCH(CPU_Formula!A224, Input!$J$2:$J$500, 0),
       MATCH("CPU model", Input!$D$1:$AC$1, 0))</f>
        <v>#N/A</v>
      </c>
      <c r="C224" s="13" t="str">
        <f t="shared" si="33"/>
        <v/>
      </c>
      <c r="D224" s="13" t="str">
        <f t="shared" si="34"/>
        <v/>
      </c>
      <c r="E224" s="13" t="str">
        <f t="shared" si="35"/>
        <v/>
      </c>
      <c r="F224" s="13" t="str">
        <f t="shared" si="36"/>
        <v/>
      </c>
      <c r="G224" s="13" t="str">
        <f t="shared" si="37"/>
        <v/>
      </c>
      <c r="H224" s="13" t="str">
        <f t="shared" si="38"/>
        <v/>
      </c>
      <c r="I224" t="str">
        <f t="shared" si="39"/>
        <v/>
      </c>
    </row>
    <row r="225" spans="1:9">
      <c r="A225">
        <f>CSV!B225</f>
        <v>0</v>
      </c>
      <c r="B225" s="13" t="e">
        <f>INDEX(Input!$D$2:$AC$500,
       MATCH(CPU_Formula!A225, Input!$J$2:$J$500, 0),
       MATCH("CPU model", Input!$D$1:$AC$1, 0))</f>
        <v>#N/A</v>
      </c>
      <c r="C225" s="13" t="str">
        <f t="shared" si="33"/>
        <v/>
      </c>
      <c r="D225" s="13" t="str">
        <f t="shared" si="34"/>
        <v/>
      </c>
      <c r="E225" s="13" t="str">
        <f t="shared" si="35"/>
        <v/>
      </c>
      <c r="F225" s="13" t="str">
        <f t="shared" si="36"/>
        <v/>
      </c>
      <c r="G225" s="13" t="str">
        <f t="shared" si="37"/>
        <v/>
      </c>
      <c r="H225" s="13" t="str">
        <f t="shared" si="38"/>
        <v/>
      </c>
      <c r="I225" t="str">
        <f t="shared" si="39"/>
        <v/>
      </c>
    </row>
    <row r="226" spans="1:9">
      <c r="A226">
        <f>CSV!B226</f>
        <v>0</v>
      </c>
      <c r="B226" s="13" t="e">
        <f>INDEX(Input!$D$2:$AC$500,
       MATCH(CPU_Formula!A226, Input!$J$2:$J$500, 0),
       MATCH("CPU model", Input!$D$1:$AC$1, 0))</f>
        <v>#N/A</v>
      </c>
      <c r="C226" s="13" t="str">
        <f t="shared" si="33"/>
        <v/>
      </c>
      <c r="D226" s="13" t="str">
        <f t="shared" si="34"/>
        <v/>
      </c>
      <c r="E226" s="13" t="str">
        <f t="shared" si="35"/>
        <v/>
      </c>
      <c r="F226" s="13" t="str">
        <f t="shared" si="36"/>
        <v/>
      </c>
      <c r="G226" s="13" t="str">
        <f t="shared" si="37"/>
        <v/>
      </c>
      <c r="H226" s="13" t="str">
        <f t="shared" si="38"/>
        <v/>
      </c>
      <c r="I226" t="str">
        <f t="shared" si="39"/>
        <v/>
      </c>
    </row>
    <row r="227" spans="1:9">
      <c r="A227">
        <f>CSV!B227</f>
        <v>0</v>
      </c>
      <c r="B227" s="13" t="e">
        <f>INDEX(Input!$D$2:$AC$500,
       MATCH(CPU_Formula!A227, Input!$J$2:$J$500, 0),
       MATCH("CPU model", Input!$D$1:$AC$1, 0))</f>
        <v>#N/A</v>
      </c>
      <c r="C227" s="13" t="str">
        <f t="shared" si="33"/>
        <v/>
      </c>
      <c r="D227" s="13" t="str">
        <f t="shared" si="34"/>
        <v/>
      </c>
      <c r="E227" s="13" t="str">
        <f t="shared" si="35"/>
        <v/>
      </c>
      <c r="F227" s="13" t="str">
        <f t="shared" si="36"/>
        <v/>
      </c>
      <c r="G227" s="13" t="str">
        <f t="shared" si="37"/>
        <v/>
      </c>
      <c r="H227" s="13" t="str">
        <f t="shared" si="38"/>
        <v/>
      </c>
      <c r="I227" t="str">
        <f t="shared" si="39"/>
        <v/>
      </c>
    </row>
    <row r="228" spans="1:9">
      <c r="A228">
        <f>CSV!B228</f>
        <v>0</v>
      </c>
      <c r="B228" s="13" t="e">
        <f>INDEX(Input!$D$2:$AC$500,
       MATCH(CPU_Formula!A228, Input!$J$2:$J$500, 0),
       MATCH("CPU model", Input!$D$1:$AC$1, 0))</f>
        <v>#N/A</v>
      </c>
      <c r="C228" s="13" t="str">
        <f t="shared" si="33"/>
        <v/>
      </c>
      <c r="D228" s="13" t="str">
        <f t="shared" si="34"/>
        <v/>
      </c>
      <c r="E228" s="13" t="str">
        <f t="shared" si="35"/>
        <v/>
      </c>
      <c r="F228" s="13" t="str">
        <f t="shared" si="36"/>
        <v/>
      </c>
      <c r="G228" s="13" t="str">
        <f t="shared" si="37"/>
        <v/>
      </c>
      <c r="H228" s="13" t="str">
        <f t="shared" si="38"/>
        <v/>
      </c>
      <c r="I228" t="str">
        <f t="shared" si="39"/>
        <v/>
      </c>
    </row>
    <row r="229" spans="1:9">
      <c r="A229">
        <f>CSV!B229</f>
        <v>0</v>
      </c>
      <c r="B229" s="13" t="e">
        <f>INDEX(Input!$D$2:$AC$500,
       MATCH(CPU_Formula!A229, Input!$J$2:$J$500, 0),
       MATCH("CPU model", Input!$D$1:$AC$1, 0))</f>
        <v>#N/A</v>
      </c>
      <c r="C229" s="13" t="str">
        <f t="shared" si="33"/>
        <v/>
      </c>
      <c r="D229" s="13" t="str">
        <f t="shared" si="34"/>
        <v/>
      </c>
      <c r="E229" s="13" t="str">
        <f t="shared" si="35"/>
        <v/>
      </c>
      <c r="F229" s="13" t="str">
        <f t="shared" si="36"/>
        <v/>
      </c>
      <c r="G229" s="13" t="str">
        <f t="shared" si="37"/>
        <v/>
      </c>
      <c r="H229" s="13" t="str">
        <f t="shared" si="38"/>
        <v/>
      </c>
      <c r="I229" t="str">
        <f t="shared" si="39"/>
        <v/>
      </c>
    </row>
    <row r="230" spans="1:9">
      <c r="A230">
        <f>CSV!B230</f>
        <v>0</v>
      </c>
      <c r="B230" s="13" t="e">
        <f>INDEX(Input!$D$2:$AC$500,
       MATCH(CPU_Formula!A230, Input!$J$2:$J$500, 0),
       MATCH("CPU model", Input!$D$1:$AC$1, 0))</f>
        <v>#N/A</v>
      </c>
      <c r="C230" s="13" t="str">
        <f t="shared" si="33"/>
        <v/>
      </c>
      <c r="D230" s="13" t="str">
        <f t="shared" si="34"/>
        <v/>
      </c>
      <c r="E230" s="13" t="str">
        <f t="shared" si="35"/>
        <v/>
      </c>
      <c r="F230" s="13" t="str">
        <f t="shared" si="36"/>
        <v/>
      </c>
      <c r="G230" s="13" t="str">
        <f t="shared" si="37"/>
        <v/>
      </c>
      <c r="H230" s="13" t="str">
        <f t="shared" si="38"/>
        <v/>
      </c>
      <c r="I230" t="str">
        <f t="shared" si="39"/>
        <v/>
      </c>
    </row>
    <row r="231" spans="1:9">
      <c r="A231">
        <f>CSV!B231</f>
        <v>0</v>
      </c>
      <c r="B231" s="13" t="e">
        <f>INDEX(Input!$D$2:$AC$500,
       MATCH(CPU_Formula!A231, Input!$J$2:$J$500, 0),
       MATCH("CPU model", Input!$D$1:$AC$1, 0))</f>
        <v>#N/A</v>
      </c>
      <c r="C231" s="13" t="str">
        <f t="shared" si="33"/>
        <v/>
      </c>
      <c r="D231" s="13" t="str">
        <f t="shared" si="34"/>
        <v/>
      </c>
      <c r="E231" s="13" t="str">
        <f t="shared" si="35"/>
        <v/>
      </c>
      <c r="F231" s="13" t="str">
        <f t="shared" si="36"/>
        <v/>
      </c>
      <c r="G231" s="13" t="str">
        <f t="shared" si="37"/>
        <v/>
      </c>
      <c r="H231" s="13" t="str">
        <f t="shared" si="38"/>
        <v/>
      </c>
      <c r="I231" t="str">
        <f t="shared" si="39"/>
        <v/>
      </c>
    </row>
    <row r="232" spans="1:9">
      <c r="A232">
        <f>CSV!B232</f>
        <v>0</v>
      </c>
      <c r="B232" s="13" t="e">
        <f>INDEX(Input!$D$2:$AC$500,
       MATCH(CPU_Formula!A232, Input!$J$2:$J$500, 0),
       MATCH("CPU model", Input!$D$1:$AC$1, 0))</f>
        <v>#N/A</v>
      </c>
      <c r="C232" s="13" t="str">
        <f t="shared" ref="C232:C295" si="40">IFERROR(_xlfn.TEXTAFTER(B232,"Core(TM) "),IFERROR(_xlfn.TEXTAFTER(B232,"Xeon(R) CPU"),""))</f>
        <v/>
      </c>
      <c r="D232" s="13" t="str">
        <f t="shared" ref="D232:D295" si="41">IFERROR(_xlfn.TEXTAFTER(B232,"Ryzen "), "")</f>
        <v/>
      </c>
      <c r="E232" s="13" t="str">
        <f t="shared" ref="E232:E295" si="42">IF(ISNUMBER(SEARCH("Ultra", B232)), "Ultra"&amp;_xlfn.TEXTAFTER(B232, "Ultra"), "")</f>
        <v/>
      </c>
      <c r="F232" s="13" t="str">
        <f t="shared" ref="F232:F295" si="43">IF(C232&lt;&gt;"", TRIM(_xlfn.TEXTBEFORE(C232," ",,1,1)), "")</f>
        <v/>
      </c>
      <c r="G232" s="13" t="str">
        <f t="shared" ref="G232:G295" si="44">IF(D232&lt;&gt;"", TRIM(_xlfn.TEXTBEFORE(D232," ",,1)), "")</f>
        <v/>
      </c>
      <c r="H232" s="13" t="str">
        <f t="shared" ref="H232:H295" si="45">E232</f>
        <v/>
      </c>
      <c r="I232" t="str">
        <f t="shared" ref="I232:I295" si="46">IF(H232&lt;&gt;"",H232,IF(G232&lt;&gt;"",G232,F232))</f>
        <v/>
      </c>
    </row>
    <row r="233" spans="1:9">
      <c r="A233">
        <f>CSV!B233</f>
        <v>0</v>
      </c>
      <c r="B233" s="13" t="e">
        <f>INDEX(Input!$D$2:$AC$500,
       MATCH(CPU_Formula!A233, Input!$J$2:$J$500, 0),
       MATCH("CPU model", Input!$D$1:$AC$1, 0))</f>
        <v>#N/A</v>
      </c>
      <c r="C233" s="13" t="str">
        <f t="shared" si="40"/>
        <v/>
      </c>
      <c r="D233" s="13" t="str">
        <f t="shared" si="41"/>
        <v/>
      </c>
      <c r="E233" s="13" t="str">
        <f t="shared" si="42"/>
        <v/>
      </c>
      <c r="F233" s="13" t="str">
        <f t="shared" si="43"/>
        <v/>
      </c>
      <c r="G233" s="13" t="str">
        <f t="shared" si="44"/>
        <v/>
      </c>
      <c r="H233" s="13" t="str">
        <f t="shared" si="45"/>
        <v/>
      </c>
      <c r="I233" t="str">
        <f t="shared" si="46"/>
        <v/>
      </c>
    </row>
    <row r="234" spans="1:9">
      <c r="A234">
        <f>CSV!B234</f>
        <v>0</v>
      </c>
      <c r="B234" s="13" t="e">
        <f>INDEX(Input!$D$2:$AC$500,
       MATCH(CPU_Formula!A234, Input!$J$2:$J$500, 0),
       MATCH("CPU model", Input!$D$1:$AC$1, 0))</f>
        <v>#N/A</v>
      </c>
      <c r="C234" s="13" t="str">
        <f t="shared" si="40"/>
        <v/>
      </c>
      <c r="D234" s="13" t="str">
        <f t="shared" si="41"/>
        <v/>
      </c>
      <c r="E234" s="13" t="str">
        <f t="shared" si="42"/>
        <v/>
      </c>
      <c r="F234" s="13" t="str">
        <f t="shared" si="43"/>
        <v/>
      </c>
      <c r="G234" s="13" t="str">
        <f t="shared" si="44"/>
        <v/>
      </c>
      <c r="H234" s="13" t="str">
        <f t="shared" si="45"/>
        <v/>
      </c>
      <c r="I234" t="str">
        <f t="shared" si="46"/>
        <v/>
      </c>
    </row>
    <row r="235" spans="1:9">
      <c r="A235">
        <f>CSV!B235</f>
        <v>0</v>
      </c>
      <c r="B235" s="13" t="e">
        <f>INDEX(Input!$D$2:$AC$500,
       MATCH(CPU_Formula!A235, Input!$J$2:$J$500, 0),
       MATCH("CPU model", Input!$D$1:$AC$1, 0))</f>
        <v>#N/A</v>
      </c>
      <c r="C235" s="13" t="str">
        <f t="shared" si="40"/>
        <v/>
      </c>
      <c r="D235" s="13" t="str">
        <f t="shared" si="41"/>
        <v/>
      </c>
      <c r="E235" s="13" t="str">
        <f t="shared" si="42"/>
        <v/>
      </c>
      <c r="F235" s="13" t="str">
        <f t="shared" si="43"/>
        <v/>
      </c>
      <c r="G235" s="13" t="str">
        <f t="shared" si="44"/>
        <v/>
      </c>
      <c r="H235" s="13" t="str">
        <f t="shared" si="45"/>
        <v/>
      </c>
      <c r="I235" t="str">
        <f t="shared" si="46"/>
        <v/>
      </c>
    </row>
    <row r="236" spans="1:9">
      <c r="A236">
        <f>CSV!B236</f>
        <v>0</v>
      </c>
      <c r="B236" s="13" t="e">
        <f>INDEX(Input!$D$2:$AC$500,
       MATCH(CPU_Formula!A236, Input!$J$2:$J$500, 0),
       MATCH("CPU model", Input!$D$1:$AC$1, 0))</f>
        <v>#N/A</v>
      </c>
      <c r="C236" s="13" t="str">
        <f t="shared" si="40"/>
        <v/>
      </c>
      <c r="D236" s="13" t="str">
        <f t="shared" si="41"/>
        <v/>
      </c>
      <c r="E236" s="13" t="str">
        <f t="shared" si="42"/>
        <v/>
      </c>
      <c r="F236" s="13" t="str">
        <f t="shared" si="43"/>
        <v/>
      </c>
      <c r="G236" s="13" t="str">
        <f t="shared" si="44"/>
        <v/>
      </c>
      <c r="H236" s="13" t="str">
        <f t="shared" si="45"/>
        <v/>
      </c>
      <c r="I236" t="str">
        <f t="shared" si="46"/>
        <v/>
      </c>
    </row>
    <row r="237" spans="1:9">
      <c r="A237">
        <f>CSV!B237</f>
        <v>0</v>
      </c>
      <c r="B237" s="13" t="e">
        <f>INDEX(Input!$D$2:$AC$500,
       MATCH(CPU_Formula!A237, Input!$J$2:$J$500, 0),
       MATCH("CPU model", Input!$D$1:$AC$1, 0))</f>
        <v>#N/A</v>
      </c>
      <c r="C237" s="13" t="str">
        <f t="shared" si="40"/>
        <v/>
      </c>
      <c r="D237" s="13" t="str">
        <f t="shared" si="41"/>
        <v/>
      </c>
      <c r="E237" s="13" t="str">
        <f t="shared" si="42"/>
        <v/>
      </c>
      <c r="F237" s="13" t="str">
        <f t="shared" si="43"/>
        <v/>
      </c>
      <c r="G237" s="13" t="str">
        <f t="shared" si="44"/>
        <v/>
      </c>
      <c r="H237" s="13" t="str">
        <f t="shared" si="45"/>
        <v/>
      </c>
      <c r="I237" t="str">
        <f t="shared" si="46"/>
        <v/>
      </c>
    </row>
    <row r="238" spans="1:9">
      <c r="A238">
        <f>CSV!B238</f>
        <v>0</v>
      </c>
      <c r="B238" s="13" t="e">
        <f>INDEX(Input!$D$2:$AC$500,
       MATCH(CPU_Formula!A238, Input!$J$2:$J$500, 0),
       MATCH("CPU model", Input!$D$1:$AC$1, 0))</f>
        <v>#N/A</v>
      </c>
      <c r="C238" s="13" t="str">
        <f t="shared" si="40"/>
        <v/>
      </c>
      <c r="D238" s="13" t="str">
        <f t="shared" si="41"/>
        <v/>
      </c>
      <c r="E238" s="13" t="str">
        <f t="shared" si="42"/>
        <v/>
      </c>
      <c r="F238" s="13" t="str">
        <f t="shared" si="43"/>
        <v/>
      </c>
      <c r="G238" s="13" t="str">
        <f t="shared" si="44"/>
        <v/>
      </c>
      <c r="H238" s="13" t="str">
        <f t="shared" si="45"/>
        <v/>
      </c>
      <c r="I238" t="str">
        <f t="shared" si="46"/>
        <v/>
      </c>
    </row>
    <row r="239" spans="1:9">
      <c r="A239">
        <f>CSV!B239</f>
        <v>0</v>
      </c>
      <c r="B239" s="13" t="e">
        <f>INDEX(Input!$D$2:$AC$500,
       MATCH(CPU_Formula!A239, Input!$J$2:$J$500, 0),
       MATCH("CPU model", Input!$D$1:$AC$1, 0))</f>
        <v>#N/A</v>
      </c>
      <c r="C239" s="13" t="str">
        <f t="shared" si="40"/>
        <v/>
      </c>
      <c r="D239" s="13" t="str">
        <f t="shared" si="41"/>
        <v/>
      </c>
      <c r="E239" s="13" t="str">
        <f t="shared" si="42"/>
        <v/>
      </c>
      <c r="F239" s="13" t="str">
        <f t="shared" si="43"/>
        <v/>
      </c>
      <c r="G239" s="13" t="str">
        <f t="shared" si="44"/>
        <v/>
      </c>
      <c r="H239" s="13" t="str">
        <f t="shared" si="45"/>
        <v/>
      </c>
      <c r="I239" t="str">
        <f t="shared" si="46"/>
        <v/>
      </c>
    </row>
    <row r="240" spans="1:9">
      <c r="A240">
        <f>CSV!B240</f>
        <v>0</v>
      </c>
      <c r="B240" s="13" t="e">
        <f>INDEX(Input!$D$2:$AC$500,
       MATCH(CPU_Formula!A240, Input!$J$2:$J$500, 0),
       MATCH("CPU model", Input!$D$1:$AC$1, 0))</f>
        <v>#N/A</v>
      </c>
      <c r="C240" s="13" t="str">
        <f t="shared" si="40"/>
        <v/>
      </c>
      <c r="D240" s="13" t="str">
        <f t="shared" si="41"/>
        <v/>
      </c>
      <c r="E240" s="13" t="str">
        <f t="shared" si="42"/>
        <v/>
      </c>
      <c r="F240" s="13" t="str">
        <f t="shared" si="43"/>
        <v/>
      </c>
      <c r="G240" s="13" t="str">
        <f t="shared" si="44"/>
        <v/>
      </c>
      <c r="H240" s="13" t="str">
        <f t="shared" si="45"/>
        <v/>
      </c>
      <c r="I240" t="str">
        <f t="shared" si="46"/>
        <v/>
      </c>
    </row>
    <row r="241" spans="1:9">
      <c r="A241">
        <f>CSV!B241</f>
        <v>0</v>
      </c>
      <c r="B241" s="13" t="e">
        <f>INDEX(Input!$D$2:$AC$500,
       MATCH(CPU_Formula!A241, Input!$J$2:$J$500, 0),
       MATCH("CPU model", Input!$D$1:$AC$1, 0))</f>
        <v>#N/A</v>
      </c>
      <c r="C241" s="13" t="str">
        <f t="shared" si="40"/>
        <v/>
      </c>
      <c r="D241" s="13" t="str">
        <f t="shared" si="41"/>
        <v/>
      </c>
      <c r="E241" s="13" t="str">
        <f t="shared" si="42"/>
        <v/>
      </c>
      <c r="F241" s="13" t="str">
        <f t="shared" si="43"/>
        <v/>
      </c>
      <c r="G241" s="13" t="str">
        <f t="shared" si="44"/>
        <v/>
      </c>
      <c r="H241" s="13" t="str">
        <f t="shared" si="45"/>
        <v/>
      </c>
      <c r="I241" t="str">
        <f t="shared" si="46"/>
        <v/>
      </c>
    </row>
    <row r="242" spans="1:9">
      <c r="A242">
        <f>CSV!B242</f>
        <v>0</v>
      </c>
      <c r="B242" s="13" t="e">
        <f>INDEX(Input!$D$2:$AC$500,
       MATCH(CPU_Formula!A242, Input!$J$2:$J$500, 0),
       MATCH("CPU model", Input!$D$1:$AC$1, 0))</f>
        <v>#N/A</v>
      </c>
      <c r="C242" s="13" t="str">
        <f t="shared" si="40"/>
        <v/>
      </c>
      <c r="D242" s="13" t="str">
        <f t="shared" si="41"/>
        <v/>
      </c>
      <c r="E242" s="13" t="str">
        <f t="shared" si="42"/>
        <v/>
      </c>
      <c r="F242" s="13" t="str">
        <f t="shared" si="43"/>
        <v/>
      </c>
      <c r="G242" s="13" t="str">
        <f t="shared" si="44"/>
        <v/>
      </c>
      <c r="H242" s="13" t="str">
        <f t="shared" si="45"/>
        <v/>
      </c>
      <c r="I242" t="str">
        <f t="shared" si="46"/>
        <v/>
      </c>
    </row>
    <row r="243" spans="1:9">
      <c r="A243">
        <f>CSV!B243</f>
        <v>0</v>
      </c>
      <c r="B243" s="13" t="e">
        <f>INDEX(Input!$D$2:$AC$500,
       MATCH(CPU_Formula!A243, Input!$J$2:$J$500, 0),
       MATCH("CPU model", Input!$D$1:$AC$1, 0))</f>
        <v>#N/A</v>
      </c>
      <c r="C243" s="13" t="str">
        <f t="shared" si="40"/>
        <v/>
      </c>
      <c r="D243" s="13" t="str">
        <f t="shared" si="41"/>
        <v/>
      </c>
      <c r="E243" s="13" t="str">
        <f t="shared" si="42"/>
        <v/>
      </c>
      <c r="F243" s="13" t="str">
        <f t="shared" si="43"/>
        <v/>
      </c>
      <c r="G243" s="13" t="str">
        <f t="shared" si="44"/>
        <v/>
      </c>
      <c r="H243" s="13" t="str">
        <f t="shared" si="45"/>
        <v/>
      </c>
      <c r="I243" t="str">
        <f t="shared" si="46"/>
        <v/>
      </c>
    </row>
    <row r="244" spans="1:9">
      <c r="A244">
        <f>CSV!B244</f>
        <v>0</v>
      </c>
      <c r="B244" s="13" t="e">
        <f>INDEX(Input!$D$2:$AC$500,
       MATCH(CPU_Formula!A244, Input!$J$2:$J$500, 0),
       MATCH("CPU model", Input!$D$1:$AC$1, 0))</f>
        <v>#N/A</v>
      </c>
      <c r="C244" s="13" t="str">
        <f t="shared" si="40"/>
        <v/>
      </c>
      <c r="D244" s="13" t="str">
        <f t="shared" si="41"/>
        <v/>
      </c>
      <c r="E244" s="13" t="str">
        <f t="shared" si="42"/>
        <v/>
      </c>
      <c r="F244" s="13" t="str">
        <f t="shared" si="43"/>
        <v/>
      </c>
      <c r="G244" s="13" t="str">
        <f t="shared" si="44"/>
        <v/>
      </c>
      <c r="H244" s="13" t="str">
        <f t="shared" si="45"/>
        <v/>
      </c>
      <c r="I244" t="str">
        <f t="shared" si="46"/>
        <v/>
      </c>
    </row>
    <row r="245" spans="1:9">
      <c r="A245">
        <f>CSV!B245</f>
        <v>0</v>
      </c>
      <c r="B245" s="13" t="e">
        <f>INDEX(Input!$D$2:$AC$500,
       MATCH(CPU_Formula!A245, Input!$J$2:$J$500, 0),
       MATCH("CPU model", Input!$D$1:$AC$1, 0))</f>
        <v>#N/A</v>
      </c>
      <c r="C245" s="13" t="str">
        <f t="shared" si="40"/>
        <v/>
      </c>
      <c r="D245" s="13" t="str">
        <f t="shared" si="41"/>
        <v/>
      </c>
      <c r="E245" s="13" t="str">
        <f t="shared" si="42"/>
        <v/>
      </c>
      <c r="F245" s="13" t="str">
        <f t="shared" si="43"/>
        <v/>
      </c>
      <c r="G245" s="13" t="str">
        <f t="shared" si="44"/>
        <v/>
      </c>
      <c r="H245" s="13" t="str">
        <f t="shared" si="45"/>
        <v/>
      </c>
      <c r="I245" t="str">
        <f t="shared" si="46"/>
        <v/>
      </c>
    </row>
    <row r="246" spans="1:9">
      <c r="A246">
        <f>CSV!B246</f>
        <v>0</v>
      </c>
      <c r="B246" s="13" t="e">
        <f>INDEX(Input!$D$2:$AC$500,
       MATCH(CPU_Formula!A246, Input!$J$2:$J$500, 0),
       MATCH("CPU model", Input!$D$1:$AC$1, 0))</f>
        <v>#N/A</v>
      </c>
      <c r="C246" s="13" t="str">
        <f t="shared" si="40"/>
        <v/>
      </c>
      <c r="D246" s="13" t="str">
        <f t="shared" si="41"/>
        <v/>
      </c>
      <c r="E246" s="13" t="str">
        <f t="shared" si="42"/>
        <v/>
      </c>
      <c r="F246" s="13" t="str">
        <f t="shared" si="43"/>
        <v/>
      </c>
      <c r="G246" s="13" t="str">
        <f t="shared" si="44"/>
        <v/>
      </c>
      <c r="H246" s="13" t="str">
        <f t="shared" si="45"/>
        <v/>
      </c>
      <c r="I246" t="str">
        <f t="shared" si="46"/>
        <v/>
      </c>
    </row>
    <row r="247" spans="1:9">
      <c r="A247">
        <f>CSV!B247</f>
        <v>0</v>
      </c>
      <c r="B247" s="13" t="e">
        <f>INDEX(Input!$D$2:$AC$500,
       MATCH(CPU_Formula!A247, Input!$J$2:$J$500, 0),
       MATCH("CPU model", Input!$D$1:$AC$1, 0))</f>
        <v>#N/A</v>
      </c>
      <c r="C247" s="13" t="str">
        <f t="shared" si="40"/>
        <v/>
      </c>
      <c r="D247" s="13" t="str">
        <f t="shared" si="41"/>
        <v/>
      </c>
      <c r="E247" s="13" t="str">
        <f t="shared" si="42"/>
        <v/>
      </c>
      <c r="F247" s="13" t="str">
        <f t="shared" si="43"/>
        <v/>
      </c>
      <c r="G247" s="13" t="str">
        <f t="shared" si="44"/>
        <v/>
      </c>
      <c r="H247" s="13" t="str">
        <f t="shared" si="45"/>
        <v/>
      </c>
      <c r="I247" t="str">
        <f t="shared" si="46"/>
        <v/>
      </c>
    </row>
    <row r="248" spans="1:9">
      <c r="A248">
        <f>CSV!B248</f>
        <v>0</v>
      </c>
      <c r="B248" s="13" t="e">
        <f>INDEX(Input!$D$2:$AC$500,
       MATCH(CPU_Formula!A248, Input!$J$2:$J$500, 0),
       MATCH("CPU model", Input!$D$1:$AC$1, 0))</f>
        <v>#N/A</v>
      </c>
      <c r="C248" s="13" t="str">
        <f t="shared" si="40"/>
        <v/>
      </c>
      <c r="D248" s="13" t="str">
        <f t="shared" si="41"/>
        <v/>
      </c>
      <c r="E248" s="13" t="str">
        <f t="shared" si="42"/>
        <v/>
      </c>
      <c r="F248" s="13" t="str">
        <f t="shared" si="43"/>
        <v/>
      </c>
      <c r="G248" s="13" t="str">
        <f t="shared" si="44"/>
        <v/>
      </c>
      <c r="H248" s="13" t="str">
        <f t="shared" si="45"/>
        <v/>
      </c>
      <c r="I248" t="str">
        <f t="shared" si="46"/>
        <v/>
      </c>
    </row>
    <row r="249" spans="1:9">
      <c r="A249">
        <f>CSV!B249</f>
        <v>0</v>
      </c>
      <c r="B249" s="13" t="e">
        <f>INDEX(Input!$D$2:$AC$500,
       MATCH(CPU_Formula!A249, Input!$J$2:$J$500, 0),
       MATCH("CPU model", Input!$D$1:$AC$1, 0))</f>
        <v>#N/A</v>
      </c>
      <c r="C249" s="13" t="str">
        <f t="shared" si="40"/>
        <v/>
      </c>
      <c r="D249" s="13" t="str">
        <f t="shared" si="41"/>
        <v/>
      </c>
      <c r="E249" s="13" t="str">
        <f t="shared" si="42"/>
        <v/>
      </c>
      <c r="F249" s="13" t="str">
        <f t="shared" si="43"/>
        <v/>
      </c>
      <c r="G249" s="13" t="str">
        <f t="shared" si="44"/>
        <v/>
      </c>
      <c r="H249" s="13" t="str">
        <f t="shared" si="45"/>
        <v/>
      </c>
      <c r="I249" t="str">
        <f t="shared" si="46"/>
        <v/>
      </c>
    </row>
    <row r="250" spans="1:9">
      <c r="A250">
        <f>CSV!B250</f>
        <v>0</v>
      </c>
      <c r="B250" s="13" t="e">
        <f>INDEX(Input!$D$2:$AC$500,
       MATCH(CPU_Formula!A250, Input!$J$2:$J$500, 0),
       MATCH("CPU model", Input!$D$1:$AC$1, 0))</f>
        <v>#N/A</v>
      </c>
      <c r="C250" s="13" t="str">
        <f t="shared" si="40"/>
        <v/>
      </c>
      <c r="D250" s="13" t="str">
        <f t="shared" si="41"/>
        <v/>
      </c>
      <c r="E250" s="13" t="str">
        <f t="shared" si="42"/>
        <v/>
      </c>
      <c r="F250" s="13" t="str">
        <f t="shared" si="43"/>
        <v/>
      </c>
      <c r="G250" s="13" t="str">
        <f t="shared" si="44"/>
        <v/>
      </c>
      <c r="H250" s="13" t="str">
        <f t="shared" si="45"/>
        <v/>
      </c>
      <c r="I250" t="str">
        <f t="shared" si="46"/>
        <v/>
      </c>
    </row>
    <row r="251" spans="1:9">
      <c r="A251">
        <f>CSV!B251</f>
        <v>0</v>
      </c>
      <c r="B251" s="13" t="e">
        <f>INDEX(Input!$D$2:$AC$500,
       MATCH(CPU_Formula!A251, Input!$J$2:$J$500, 0),
       MATCH("CPU model", Input!$D$1:$AC$1, 0))</f>
        <v>#N/A</v>
      </c>
      <c r="C251" s="13" t="str">
        <f t="shared" si="40"/>
        <v/>
      </c>
      <c r="D251" s="13" t="str">
        <f t="shared" si="41"/>
        <v/>
      </c>
      <c r="E251" s="13" t="str">
        <f t="shared" si="42"/>
        <v/>
      </c>
      <c r="F251" s="13" t="str">
        <f t="shared" si="43"/>
        <v/>
      </c>
      <c r="G251" s="13" t="str">
        <f t="shared" si="44"/>
        <v/>
      </c>
      <c r="H251" s="13" t="str">
        <f t="shared" si="45"/>
        <v/>
      </c>
      <c r="I251" t="str">
        <f t="shared" si="46"/>
        <v/>
      </c>
    </row>
    <row r="252" spans="1:9">
      <c r="A252">
        <f>CSV!B252</f>
        <v>0</v>
      </c>
      <c r="B252" s="13" t="e">
        <f>INDEX(Input!$D$2:$AC$500,
       MATCH(CPU_Formula!A252, Input!$J$2:$J$500, 0),
       MATCH("CPU model", Input!$D$1:$AC$1, 0))</f>
        <v>#N/A</v>
      </c>
      <c r="C252" s="13" t="str">
        <f t="shared" si="40"/>
        <v/>
      </c>
      <c r="D252" s="13" t="str">
        <f t="shared" si="41"/>
        <v/>
      </c>
      <c r="E252" s="13" t="str">
        <f t="shared" si="42"/>
        <v/>
      </c>
      <c r="F252" s="13" t="str">
        <f t="shared" si="43"/>
        <v/>
      </c>
      <c r="G252" s="13" t="str">
        <f t="shared" si="44"/>
        <v/>
      </c>
      <c r="H252" s="13" t="str">
        <f t="shared" si="45"/>
        <v/>
      </c>
      <c r="I252" t="str">
        <f t="shared" si="46"/>
        <v/>
      </c>
    </row>
    <row r="253" spans="1:9">
      <c r="A253">
        <f>CSV!B253</f>
        <v>0</v>
      </c>
      <c r="B253" s="13" t="e">
        <f>INDEX(Input!$D$2:$AC$500,
       MATCH(CPU_Formula!A253, Input!$J$2:$J$500, 0),
       MATCH("CPU model", Input!$D$1:$AC$1, 0))</f>
        <v>#N/A</v>
      </c>
      <c r="C253" s="13" t="str">
        <f t="shared" si="40"/>
        <v/>
      </c>
      <c r="D253" s="13" t="str">
        <f t="shared" si="41"/>
        <v/>
      </c>
      <c r="E253" s="13" t="str">
        <f t="shared" si="42"/>
        <v/>
      </c>
      <c r="F253" s="13" t="str">
        <f t="shared" si="43"/>
        <v/>
      </c>
      <c r="G253" s="13" t="str">
        <f t="shared" si="44"/>
        <v/>
      </c>
      <c r="H253" s="13" t="str">
        <f t="shared" si="45"/>
        <v/>
      </c>
      <c r="I253" t="str">
        <f t="shared" si="46"/>
        <v/>
      </c>
    </row>
    <row r="254" spans="1:9">
      <c r="A254">
        <f>CSV!B254</f>
        <v>0</v>
      </c>
      <c r="B254" s="13" t="e">
        <f>INDEX(Input!$D$2:$AC$500,
       MATCH(CPU_Formula!A254, Input!$J$2:$J$500, 0),
       MATCH("CPU model", Input!$D$1:$AC$1, 0))</f>
        <v>#N/A</v>
      </c>
      <c r="C254" s="13" t="str">
        <f t="shared" si="40"/>
        <v/>
      </c>
      <c r="D254" s="13" t="str">
        <f t="shared" si="41"/>
        <v/>
      </c>
      <c r="E254" s="13" t="str">
        <f t="shared" si="42"/>
        <v/>
      </c>
      <c r="F254" s="13" t="str">
        <f t="shared" si="43"/>
        <v/>
      </c>
      <c r="G254" s="13" t="str">
        <f t="shared" si="44"/>
        <v/>
      </c>
      <c r="H254" s="13" t="str">
        <f t="shared" si="45"/>
        <v/>
      </c>
      <c r="I254" t="str">
        <f t="shared" si="46"/>
        <v/>
      </c>
    </row>
    <row r="255" spans="1:9">
      <c r="A255">
        <f>CSV!B255</f>
        <v>0</v>
      </c>
      <c r="B255" s="13" t="e">
        <f>INDEX(Input!$D$2:$AC$500,
       MATCH(CPU_Formula!A255, Input!$J$2:$J$500, 0),
       MATCH("CPU model", Input!$D$1:$AC$1, 0))</f>
        <v>#N/A</v>
      </c>
      <c r="C255" s="13" t="str">
        <f t="shared" si="40"/>
        <v/>
      </c>
      <c r="D255" s="13" t="str">
        <f t="shared" si="41"/>
        <v/>
      </c>
      <c r="E255" s="13" t="str">
        <f t="shared" si="42"/>
        <v/>
      </c>
      <c r="F255" s="13" t="str">
        <f t="shared" si="43"/>
        <v/>
      </c>
      <c r="G255" s="13" t="str">
        <f t="shared" si="44"/>
        <v/>
      </c>
      <c r="H255" s="13" t="str">
        <f t="shared" si="45"/>
        <v/>
      </c>
      <c r="I255" t="str">
        <f t="shared" si="46"/>
        <v/>
      </c>
    </row>
    <row r="256" spans="1:9">
      <c r="A256">
        <f>CSV!B256</f>
        <v>0</v>
      </c>
      <c r="B256" s="13" t="e">
        <f>INDEX(Input!$D$2:$AC$500,
       MATCH(CPU_Formula!A256, Input!$J$2:$J$500, 0),
       MATCH("CPU model", Input!$D$1:$AC$1, 0))</f>
        <v>#N/A</v>
      </c>
      <c r="C256" s="13" t="str">
        <f t="shared" si="40"/>
        <v/>
      </c>
      <c r="D256" s="13" t="str">
        <f t="shared" si="41"/>
        <v/>
      </c>
      <c r="E256" s="13" t="str">
        <f t="shared" si="42"/>
        <v/>
      </c>
      <c r="F256" s="13" t="str">
        <f t="shared" si="43"/>
        <v/>
      </c>
      <c r="G256" s="13" t="str">
        <f t="shared" si="44"/>
        <v/>
      </c>
      <c r="H256" s="13" t="str">
        <f t="shared" si="45"/>
        <v/>
      </c>
      <c r="I256" t="str">
        <f t="shared" si="46"/>
        <v/>
      </c>
    </row>
    <row r="257" spans="1:9">
      <c r="A257">
        <f>CSV!B257</f>
        <v>0</v>
      </c>
      <c r="B257" s="13" t="e">
        <f>INDEX(Input!$D$2:$AC$500,
       MATCH(CPU_Formula!A257, Input!$J$2:$J$500, 0),
       MATCH("CPU model", Input!$D$1:$AC$1, 0))</f>
        <v>#N/A</v>
      </c>
      <c r="C257" s="13" t="str">
        <f t="shared" si="40"/>
        <v/>
      </c>
      <c r="D257" s="13" t="str">
        <f t="shared" si="41"/>
        <v/>
      </c>
      <c r="E257" s="13" t="str">
        <f t="shared" si="42"/>
        <v/>
      </c>
      <c r="F257" s="13" t="str">
        <f t="shared" si="43"/>
        <v/>
      </c>
      <c r="G257" s="13" t="str">
        <f t="shared" si="44"/>
        <v/>
      </c>
      <c r="H257" s="13" t="str">
        <f t="shared" si="45"/>
        <v/>
      </c>
      <c r="I257" t="str">
        <f t="shared" si="46"/>
        <v/>
      </c>
    </row>
    <row r="258" spans="1:9">
      <c r="A258">
        <f>CSV!B258</f>
        <v>0</v>
      </c>
      <c r="B258" s="13" t="e">
        <f>INDEX(Input!$D$2:$AC$500,
       MATCH(CPU_Formula!A258, Input!$J$2:$J$500, 0),
       MATCH("CPU model", Input!$D$1:$AC$1, 0))</f>
        <v>#N/A</v>
      </c>
      <c r="C258" s="13" t="str">
        <f t="shared" si="40"/>
        <v/>
      </c>
      <c r="D258" s="13" t="str">
        <f t="shared" si="41"/>
        <v/>
      </c>
      <c r="E258" s="13" t="str">
        <f t="shared" si="42"/>
        <v/>
      </c>
      <c r="F258" s="13" t="str">
        <f t="shared" si="43"/>
        <v/>
      </c>
      <c r="G258" s="13" t="str">
        <f t="shared" si="44"/>
        <v/>
      </c>
      <c r="H258" s="13" t="str">
        <f t="shared" si="45"/>
        <v/>
      </c>
      <c r="I258" t="str">
        <f t="shared" si="46"/>
        <v/>
      </c>
    </row>
    <row r="259" spans="1:9">
      <c r="A259">
        <f>CSV!B259</f>
        <v>0</v>
      </c>
      <c r="B259" s="13" t="e">
        <f>INDEX(Input!$D$2:$AC$500,
       MATCH(CPU_Formula!A259, Input!$J$2:$J$500, 0),
       MATCH("CPU model", Input!$D$1:$AC$1, 0))</f>
        <v>#N/A</v>
      </c>
      <c r="C259" s="13" t="str">
        <f t="shared" si="40"/>
        <v/>
      </c>
      <c r="D259" s="13" t="str">
        <f t="shared" si="41"/>
        <v/>
      </c>
      <c r="E259" s="13" t="str">
        <f t="shared" si="42"/>
        <v/>
      </c>
      <c r="F259" s="13" t="str">
        <f t="shared" si="43"/>
        <v/>
      </c>
      <c r="G259" s="13" t="str">
        <f t="shared" si="44"/>
        <v/>
      </c>
      <c r="H259" s="13" t="str">
        <f t="shared" si="45"/>
        <v/>
      </c>
      <c r="I259" t="str">
        <f t="shared" si="46"/>
        <v/>
      </c>
    </row>
    <row r="260" spans="1:9">
      <c r="A260">
        <f>CSV!B260</f>
        <v>0</v>
      </c>
      <c r="B260" s="13" t="e">
        <f>INDEX(Input!$D$2:$AC$500,
       MATCH(CPU_Formula!A260, Input!$J$2:$J$500, 0),
       MATCH("CPU model", Input!$D$1:$AC$1, 0))</f>
        <v>#N/A</v>
      </c>
      <c r="C260" s="13" t="str">
        <f t="shared" si="40"/>
        <v/>
      </c>
      <c r="D260" s="13" t="str">
        <f t="shared" si="41"/>
        <v/>
      </c>
      <c r="E260" s="13" t="str">
        <f t="shared" si="42"/>
        <v/>
      </c>
      <c r="F260" s="13" t="str">
        <f t="shared" si="43"/>
        <v/>
      </c>
      <c r="G260" s="13" t="str">
        <f t="shared" si="44"/>
        <v/>
      </c>
      <c r="H260" s="13" t="str">
        <f t="shared" si="45"/>
        <v/>
      </c>
      <c r="I260" t="str">
        <f t="shared" si="46"/>
        <v/>
      </c>
    </row>
    <row r="261" spans="1:9">
      <c r="A261">
        <f>CSV!B261</f>
        <v>0</v>
      </c>
      <c r="B261" s="13" t="e">
        <f>INDEX(Input!$D$2:$AC$500,
       MATCH(CPU_Formula!A261, Input!$J$2:$J$500, 0),
       MATCH("CPU model", Input!$D$1:$AC$1, 0))</f>
        <v>#N/A</v>
      </c>
      <c r="C261" s="13" t="str">
        <f t="shared" si="40"/>
        <v/>
      </c>
      <c r="D261" s="13" t="str">
        <f t="shared" si="41"/>
        <v/>
      </c>
      <c r="E261" s="13" t="str">
        <f t="shared" si="42"/>
        <v/>
      </c>
      <c r="F261" s="13" t="str">
        <f t="shared" si="43"/>
        <v/>
      </c>
      <c r="G261" s="13" t="str">
        <f t="shared" si="44"/>
        <v/>
      </c>
      <c r="H261" s="13" t="str">
        <f t="shared" si="45"/>
        <v/>
      </c>
      <c r="I261" t="str">
        <f t="shared" si="46"/>
        <v/>
      </c>
    </row>
    <row r="262" spans="1:9">
      <c r="A262">
        <f>CSV!B262</f>
        <v>0</v>
      </c>
      <c r="B262" s="13" t="e">
        <f>INDEX(Input!$D$2:$AC$500,
       MATCH(CPU_Formula!A262, Input!$J$2:$J$500, 0),
       MATCH("CPU model", Input!$D$1:$AC$1, 0))</f>
        <v>#N/A</v>
      </c>
      <c r="C262" s="13" t="str">
        <f t="shared" si="40"/>
        <v/>
      </c>
      <c r="D262" s="13" t="str">
        <f t="shared" si="41"/>
        <v/>
      </c>
      <c r="E262" s="13" t="str">
        <f t="shared" si="42"/>
        <v/>
      </c>
      <c r="F262" s="13" t="str">
        <f t="shared" si="43"/>
        <v/>
      </c>
      <c r="G262" s="13" t="str">
        <f t="shared" si="44"/>
        <v/>
      </c>
      <c r="H262" s="13" t="str">
        <f t="shared" si="45"/>
        <v/>
      </c>
      <c r="I262" t="str">
        <f t="shared" si="46"/>
        <v/>
      </c>
    </row>
    <row r="263" spans="1:9">
      <c r="A263">
        <f>CSV!B263</f>
        <v>0</v>
      </c>
      <c r="B263" s="13" t="e">
        <f>INDEX(Input!$D$2:$AC$500,
       MATCH(CPU_Formula!A263, Input!$J$2:$J$500, 0),
       MATCH("CPU model", Input!$D$1:$AC$1, 0))</f>
        <v>#N/A</v>
      </c>
      <c r="C263" s="13" t="str">
        <f t="shared" si="40"/>
        <v/>
      </c>
      <c r="D263" s="13" t="str">
        <f t="shared" si="41"/>
        <v/>
      </c>
      <c r="E263" s="13" t="str">
        <f t="shared" si="42"/>
        <v/>
      </c>
      <c r="F263" s="13" t="str">
        <f t="shared" si="43"/>
        <v/>
      </c>
      <c r="G263" s="13" t="str">
        <f t="shared" si="44"/>
        <v/>
      </c>
      <c r="H263" s="13" t="str">
        <f t="shared" si="45"/>
        <v/>
      </c>
      <c r="I263" t="str">
        <f t="shared" si="46"/>
        <v/>
      </c>
    </row>
    <row r="264" spans="1:9">
      <c r="A264">
        <f>CSV!B264</f>
        <v>0</v>
      </c>
      <c r="B264" s="13" t="e">
        <f>INDEX(Input!$D$2:$AC$500,
       MATCH(CPU_Formula!A264, Input!$J$2:$J$500, 0),
       MATCH("CPU model", Input!$D$1:$AC$1, 0))</f>
        <v>#N/A</v>
      </c>
      <c r="C264" s="13" t="str">
        <f t="shared" si="40"/>
        <v/>
      </c>
      <c r="D264" s="13" t="str">
        <f t="shared" si="41"/>
        <v/>
      </c>
      <c r="E264" s="13" t="str">
        <f t="shared" si="42"/>
        <v/>
      </c>
      <c r="F264" s="13" t="str">
        <f t="shared" si="43"/>
        <v/>
      </c>
      <c r="G264" s="13" t="str">
        <f t="shared" si="44"/>
        <v/>
      </c>
      <c r="H264" s="13" t="str">
        <f t="shared" si="45"/>
        <v/>
      </c>
      <c r="I264" t="str">
        <f t="shared" si="46"/>
        <v/>
      </c>
    </row>
    <row r="265" spans="1:9">
      <c r="A265">
        <f>CSV!B265</f>
        <v>0</v>
      </c>
      <c r="B265" s="13" t="e">
        <f>INDEX(Input!$D$2:$AC$500,
       MATCH(CPU_Formula!A265, Input!$J$2:$J$500, 0),
       MATCH("CPU model", Input!$D$1:$AC$1, 0))</f>
        <v>#N/A</v>
      </c>
      <c r="C265" s="13" t="str">
        <f t="shared" si="40"/>
        <v/>
      </c>
      <c r="D265" s="13" t="str">
        <f t="shared" si="41"/>
        <v/>
      </c>
      <c r="E265" s="13" t="str">
        <f t="shared" si="42"/>
        <v/>
      </c>
      <c r="F265" s="13" t="str">
        <f t="shared" si="43"/>
        <v/>
      </c>
      <c r="G265" s="13" t="str">
        <f t="shared" si="44"/>
        <v/>
      </c>
      <c r="H265" s="13" t="str">
        <f t="shared" si="45"/>
        <v/>
      </c>
      <c r="I265" t="str">
        <f t="shared" si="46"/>
        <v/>
      </c>
    </row>
    <row r="266" spans="1:9">
      <c r="A266">
        <f>CSV!B266</f>
        <v>0</v>
      </c>
      <c r="B266" s="13" t="e">
        <f>INDEX(Input!$D$2:$AC$500,
       MATCH(CPU_Formula!A266, Input!$J$2:$J$500, 0),
       MATCH("CPU model", Input!$D$1:$AC$1, 0))</f>
        <v>#N/A</v>
      </c>
      <c r="C266" s="13" t="str">
        <f t="shared" si="40"/>
        <v/>
      </c>
      <c r="D266" s="13" t="str">
        <f t="shared" si="41"/>
        <v/>
      </c>
      <c r="E266" s="13" t="str">
        <f t="shared" si="42"/>
        <v/>
      </c>
      <c r="F266" s="13" t="str">
        <f t="shared" si="43"/>
        <v/>
      </c>
      <c r="G266" s="13" t="str">
        <f t="shared" si="44"/>
        <v/>
      </c>
      <c r="H266" s="13" t="str">
        <f t="shared" si="45"/>
        <v/>
      </c>
      <c r="I266" t="str">
        <f t="shared" si="46"/>
        <v/>
      </c>
    </row>
    <row r="267" spans="1:9">
      <c r="A267">
        <f>CSV!B267</f>
        <v>0</v>
      </c>
      <c r="B267" s="13" t="e">
        <f>INDEX(Input!$D$2:$AC$500,
       MATCH(CPU_Formula!A267, Input!$J$2:$J$500, 0),
       MATCH("CPU model", Input!$D$1:$AC$1, 0))</f>
        <v>#N/A</v>
      </c>
      <c r="C267" s="13" t="str">
        <f t="shared" si="40"/>
        <v/>
      </c>
      <c r="D267" s="13" t="str">
        <f t="shared" si="41"/>
        <v/>
      </c>
      <c r="E267" s="13" t="str">
        <f t="shared" si="42"/>
        <v/>
      </c>
      <c r="F267" s="13" t="str">
        <f t="shared" si="43"/>
        <v/>
      </c>
      <c r="G267" s="13" t="str">
        <f t="shared" si="44"/>
        <v/>
      </c>
      <c r="H267" s="13" t="str">
        <f t="shared" si="45"/>
        <v/>
      </c>
      <c r="I267" t="str">
        <f t="shared" si="46"/>
        <v/>
      </c>
    </row>
    <row r="268" spans="1:9">
      <c r="A268">
        <f>CSV!B268</f>
        <v>0</v>
      </c>
      <c r="B268" s="13" t="e">
        <f>INDEX(Input!$D$2:$AC$500,
       MATCH(CPU_Formula!A268, Input!$J$2:$J$500, 0),
       MATCH("CPU model", Input!$D$1:$AC$1, 0))</f>
        <v>#N/A</v>
      </c>
      <c r="C268" s="13" t="str">
        <f t="shared" si="40"/>
        <v/>
      </c>
      <c r="D268" s="13" t="str">
        <f t="shared" si="41"/>
        <v/>
      </c>
      <c r="E268" s="13" t="str">
        <f t="shared" si="42"/>
        <v/>
      </c>
      <c r="F268" s="13" t="str">
        <f t="shared" si="43"/>
        <v/>
      </c>
      <c r="G268" s="13" t="str">
        <f t="shared" si="44"/>
        <v/>
      </c>
      <c r="H268" s="13" t="str">
        <f t="shared" si="45"/>
        <v/>
      </c>
      <c r="I268" t="str">
        <f t="shared" si="46"/>
        <v/>
      </c>
    </row>
    <row r="269" spans="1:9">
      <c r="A269">
        <f>CSV!B269</f>
        <v>0</v>
      </c>
      <c r="B269" s="13" t="e">
        <f>INDEX(Input!$D$2:$AC$500,
       MATCH(CPU_Formula!A269, Input!$J$2:$J$500, 0),
       MATCH("CPU model", Input!$D$1:$AC$1, 0))</f>
        <v>#N/A</v>
      </c>
      <c r="C269" s="13" t="str">
        <f t="shared" si="40"/>
        <v/>
      </c>
      <c r="D269" s="13" t="str">
        <f t="shared" si="41"/>
        <v/>
      </c>
      <c r="E269" s="13" t="str">
        <f t="shared" si="42"/>
        <v/>
      </c>
      <c r="F269" s="13" t="str">
        <f t="shared" si="43"/>
        <v/>
      </c>
      <c r="G269" s="13" t="str">
        <f t="shared" si="44"/>
        <v/>
      </c>
      <c r="H269" s="13" t="str">
        <f t="shared" si="45"/>
        <v/>
      </c>
      <c r="I269" t="str">
        <f t="shared" si="46"/>
        <v/>
      </c>
    </row>
    <row r="270" spans="1:9">
      <c r="A270">
        <f>CSV!B270</f>
        <v>0</v>
      </c>
      <c r="B270" s="13" t="e">
        <f>INDEX(Input!$D$2:$AC$500,
       MATCH(CPU_Formula!A270, Input!$J$2:$J$500, 0),
       MATCH("CPU model", Input!$D$1:$AC$1, 0))</f>
        <v>#N/A</v>
      </c>
      <c r="C270" s="13" t="str">
        <f t="shared" si="40"/>
        <v/>
      </c>
      <c r="D270" s="13" t="str">
        <f t="shared" si="41"/>
        <v/>
      </c>
      <c r="E270" s="13" t="str">
        <f t="shared" si="42"/>
        <v/>
      </c>
      <c r="F270" s="13" t="str">
        <f t="shared" si="43"/>
        <v/>
      </c>
      <c r="G270" s="13" t="str">
        <f t="shared" si="44"/>
        <v/>
      </c>
      <c r="H270" s="13" t="str">
        <f t="shared" si="45"/>
        <v/>
      </c>
      <c r="I270" t="str">
        <f t="shared" si="46"/>
        <v/>
      </c>
    </row>
    <row r="271" spans="1:9">
      <c r="A271">
        <f>CSV!B271</f>
        <v>0</v>
      </c>
      <c r="B271" s="13" t="e">
        <f>INDEX(Input!$D$2:$AC$500,
       MATCH(CPU_Formula!A271, Input!$J$2:$J$500, 0),
       MATCH("CPU model", Input!$D$1:$AC$1, 0))</f>
        <v>#N/A</v>
      </c>
      <c r="C271" s="13" t="str">
        <f t="shared" si="40"/>
        <v/>
      </c>
      <c r="D271" s="13" t="str">
        <f t="shared" si="41"/>
        <v/>
      </c>
      <c r="E271" s="13" t="str">
        <f t="shared" si="42"/>
        <v/>
      </c>
      <c r="F271" s="13" t="str">
        <f t="shared" si="43"/>
        <v/>
      </c>
      <c r="G271" s="13" t="str">
        <f t="shared" si="44"/>
        <v/>
      </c>
      <c r="H271" s="13" t="str">
        <f t="shared" si="45"/>
        <v/>
      </c>
      <c r="I271" t="str">
        <f t="shared" si="46"/>
        <v/>
      </c>
    </row>
    <row r="272" spans="1:9">
      <c r="A272">
        <f>CSV!B272</f>
        <v>0</v>
      </c>
      <c r="B272" s="13" t="e">
        <f>INDEX(Input!$D$2:$AC$500,
       MATCH(CPU_Formula!A272, Input!$J$2:$J$500, 0),
       MATCH("CPU model", Input!$D$1:$AC$1, 0))</f>
        <v>#N/A</v>
      </c>
      <c r="C272" s="13" t="str">
        <f t="shared" si="40"/>
        <v/>
      </c>
      <c r="D272" s="13" t="str">
        <f t="shared" si="41"/>
        <v/>
      </c>
      <c r="E272" s="13" t="str">
        <f t="shared" si="42"/>
        <v/>
      </c>
      <c r="F272" s="13" t="str">
        <f t="shared" si="43"/>
        <v/>
      </c>
      <c r="G272" s="13" t="str">
        <f t="shared" si="44"/>
        <v/>
      </c>
      <c r="H272" s="13" t="str">
        <f t="shared" si="45"/>
        <v/>
      </c>
      <c r="I272" t="str">
        <f t="shared" si="46"/>
        <v/>
      </c>
    </row>
    <row r="273" spans="1:9">
      <c r="A273">
        <f>CSV!B273</f>
        <v>0</v>
      </c>
      <c r="B273" s="13" t="e">
        <f>INDEX(Input!$D$2:$AC$500,
       MATCH(CPU_Formula!A273, Input!$J$2:$J$500, 0),
       MATCH("CPU model", Input!$D$1:$AC$1, 0))</f>
        <v>#N/A</v>
      </c>
      <c r="C273" s="13" t="str">
        <f t="shared" si="40"/>
        <v/>
      </c>
      <c r="D273" s="13" t="str">
        <f t="shared" si="41"/>
        <v/>
      </c>
      <c r="E273" s="13" t="str">
        <f t="shared" si="42"/>
        <v/>
      </c>
      <c r="F273" s="13" t="str">
        <f t="shared" si="43"/>
        <v/>
      </c>
      <c r="G273" s="13" t="str">
        <f t="shared" si="44"/>
        <v/>
      </c>
      <c r="H273" s="13" t="str">
        <f t="shared" si="45"/>
        <v/>
      </c>
      <c r="I273" t="str">
        <f t="shared" si="46"/>
        <v/>
      </c>
    </row>
    <row r="274" spans="1:9">
      <c r="A274">
        <f>CSV!B274</f>
        <v>0</v>
      </c>
      <c r="B274" s="13" t="e">
        <f>INDEX(Input!$D$2:$AC$500,
       MATCH(CPU_Formula!A274, Input!$J$2:$J$500, 0),
       MATCH("CPU model", Input!$D$1:$AC$1, 0))</f>
        <v>#N/A</v>
      </c>
      <c r="C274" s="13" t="str">
        <f t="shared" si="40"/>
        <v/>
      </c>
      <c r="D274" s="13" t="str">
        <f t="shared" si="41"/>
        <v/>
      </c>
      <c r="E274" s="13" t="str">
        <f t="shared" si="42"/>
        <v/>
      </c>
      <c r="F274" s="13" t="str">
        <f t="shared" si="43"/>
        <v/>
      </c>
      <c r="G274" s="13" t="str">
        <f t="shared" si="44"/>
        <v/>
      </c>
      <c r="H274" s="13" t="str">
        <f t="shared" si="45"/>
        <v/>
      </c>
      <c r="I274" t="str">
        <f t="shared" si="46"/>
        <v/>
      </c>
    </row>
    <row r="275" spans="1:9">
      <c r="A275">
        <f>CSV!B275</f>
        <v>0</v>
      </c>
      <c r="B275" s="13" t="e">
        <f>INDEX(Input!$D$2:$AC$500,
       MATCH(CPU_Formula!A275, Input!$J$2:$J$500, 0),
       MATCH("CPU model", Input!$D$1:$AC$1, 0))</f>
        <v>#N/A</v>
      </c>
      <c r="C275" s="13" t="str">
        <f t="shared" si="40"/>
        <v/>
      </c>
      <c r="D275" s="13" t="str">
        <f t="shared" si="41"/>
        <v/>
      </c>
      <c r="E275" s="13" t="str">
        <f t="shared" si="42"/>
        <v/>
      </c>
      <c r="F275" s="13" t="str">
        <f t="shared" si="43"/>
        <v/>
      </c>
      <c r="G275" s="13" t="str">
        <f t="shared" si="44"/>
        <v/>
      </c>
      <c r="H275" s="13" t="str">
        <f t="shared" si="45"/>
        <v/>
      </c>
      <c r="I275" t="str">
        <f t="shared" si="46"/>
        <v/>
      </c>
    </row>
    <row r="276" spans="1:9">
      <c r="A276">
        <f>CSV!B276</f>
        <v>0</v>
      </c>
      <c r="B276" s="13" t="e">
        <f>INDEX(Input!$D$2:$AC$500,
       MATCH(CPU_Formula!A276, Input!$J$2:$J$500, 0),
       MATCH("CPU model", Input!$D$1:$AC$1, 0))</f>
        <v>#N/A</v>
      </c>
      <c r="C276" s="13" t="str">
        <f t="shared" si="40"/>
        <v/>
      </c>
      <c r="D276" s="13" t="str">
        <f t="shared" si="41"/>
        <v/>
      </c>
      <c r="E276" s="13" t="str">
        <f t="shared" si="42"/>
        <v/>
      </c>
      <c r="F276" s="13" t="str">
        <f t="shared" si="43"/>
        <v/>
      </c>
      <c r="G276" s="13" t="str">
        <f t="shared" si="44"/>
        <v/>
      </c>
      <c r="H276" s="13" t="str">
        <f t="shared" si="45"/>
        <v/>
      </c>
      <c r="I276" t="str">
        <f t="shared" si="46"/>
        <v/>
      </c>
    </row>
    <row r="277" spans="1:9">
      <c r="A277">
        <f>CSV!B277</f>
        <v>0</v>
      </c>
      <c r="B277" s="13" t="e">
        <f>INDEX(Input!$D$2:$AC$500,
       MATCH(CPU_Formula!A277, Input!$J$2:$J$500, 0),
       MATCH("CPU model", Input!$D$1:$AC$1, 0))</f>
        <v>#N/A</v>
      </c>
      <c r="C277" s="13" t="str">
        <f t="shared" si="40"/>
        <v/>
      </c>
      <c r="D277" s="13" t="str">
        <f t="shared" si="41"/>
        <v/>
      </c>
      <c r="E277" s="13" t="str">
        <f t="shared" si="42"/>
        <v/>
      </c>
      <c r="F277" s="13" t="str">
        <f t="shared" si="43"/>
        <v/>
      </c>
      <c r="G277" s="13" t="str">
        <f t="shared" si="44"/>
        <v/>
      </c>
      <c r="H277" s="13" t="str">
        <f t="shared" si="45"/>
        <v/>
      </c>
      <c r="I277" t="str">
        <f t="shared" si="46"/>
        <v/>
      </c>
    </row>
    <row r="278" spans="1:9">
      <c r="A278">
        <f>CSV!B278</f>
        <v>0</v>
      </c>
      <c r="B278" s="13" t="e">
        <f>INDEX(Input!$D$2:$AC$500,
       MATCH(CPU_Formula!A278, Input!$J$2:$J$500, 0),
       MATCH("CPU model", Input!$D$1:$AC$1, 0))</f>
        <v>#N/A</v>
      </c>
      <c r="C278" s="13" t="str">
        <f t="shared" si="40"/>
        <v/>
      </c>
      <c r="D278" s="13" t="str">
        <f t="shared" si="41"/>
        <v/>
      </c>
      <c r="E278" s="13" t="str">
        <f t="shared" si="42"/>
        <v/>
      </c>
      <c r="F278" s="13" t="str">
        <f t="shared" si="43"/>
        <v/>
      </c>
      <c r="G278" s="13" t="str">
        <f t="shared" si="44"/>
        <v/>
      </c>
      <c r="H278" s="13" t="str">
        <f t="shared" si="45"/>
        <v/>
      </c>
      <c r="I278" t="str">
        <f t="shared" si="46"/>
        <v/>
      </c>
    </row>
    <row r="279" spans="1:9">
      <c r="A279">
        <f>CSV!B279</f>
        <v>0</v>
      </c>
      <c r="B279" s="13" t="e">
        <f>INDEX(Input!$D$2:$AC$500,
       MATCH(CPU_Formula!A279, Input!$J$2:$J$500, 0),
       MATCH("CPU model", Input!$D$1:$AC$1, 0))</f>
        <v>#N/A</v>
      </c>
      <c r="C279" s="13" t="str">
        <f t="shared" si="40"/>
        <v/>
      </c>
      <c r="D279" s="13" t="str">
        <f t="shared" si="41"/>
        <v/>
      </c>
      <c r="E279" s="13" t="str">
        <f t="shared" si="42"/>
        <v/>
      </c>
      <c r="F279" s="13" t="str">
        <f t="shared" si="43"/>
        <v/>
      </c>
      <c r="G279" s="13" t="str">
        <f t="shared" si="44"/>
        <v/>
      </c>
      <c r="H279" s="13" t="str">
        <f t="shared" si="45"/>
        <v/>
      </c>
      <c r="I279" t="str">
        <f t="shared" si="46"/>
        <v/>
      </c>
    </row>
    <row r="280" spans="1:9">
      <c r="A280">
        <f>CSV!B280</f>
        <v>0</v>
      </c>
      <c r="B280" s="13" t="e">
        <f>INDEX(Input!$D$2:$AC$500,
       MATCH(CPU_Formula!A280, Input!$J$2:$J$500, 0),
       MATCH("CPU model", Input!$D$1:$AC$1, 0))</f>
        <v>#N/A</v>
      </c>
      <c r="C280" s="13" t="str">
        <f t="shared" si="40"/>
        <v/>
      </c>
      <c r="D280" s="13" t="str">
        <f t="shared" si="41"/>
        <v/>
      </c>
      <c r="E280" s="13" t="str">
        <f t="shared" si="42"/>
        <v/>
      </c>
      <c r="F280" s="13" t="str">
        <f t="shared" si="43"/>
        <v/>
      </c>
      <c r="G280" s="13" t="str">
        <f t="shared" si="44"/>
        <v/>
      </c>
      <c r="H280" s="13" t="str">
        <f t="shared" si="45"/>
        <v/>
      </c>
      <c r="I280" t="str">
        <f t="shared" si="46"/>
        <v/>
      </c>
    </row>
    <row r="281" spans="1:9">
      <c r="A281">
        <f>CSV!B281</f>
        <v>0</v>
      </c>
      <c r="B281" s="13" t="e">
        <f>INDEX(Input!$D$2:$AC$500,
       MATCH(CPU_Formula!A281, Input!$J$2:$J$500, 0),
       MATCH("CPU model", Input!$D$1:$AC$1, 0))</f>
        <v>#N/A</v>
      </c>
      <c r="C281" s="13" t="str">
        <f t="shared" si="40"/>
        <v/>
      </c>
      <c r="D281" s="13" t="str">
        <f t="shared" si="41"/>
        <v/>
      </c>
      <c r="E281" s="13" t="str">
        <f t="shared" si="42"/>
        <v/>
      </c>
      <c r="F281" s="13" t="str">
        <f t="shared" si="43"/>
        <v/>
      </c>
      <c r="G281" s="13" t="str">
        <f t="shared" si="44"/>
        <v/>
      </c>
      <c r="H281" s="13" t="str">
        <f t="shared" si="45"/>
        <v/>
      </c>
      <c r="I281" t="str">
        <f t="shared" si="46"/>
        <v/>
      </c>
    </row>
    <row r="282" spans="1:9">
      <c r="A282">
        <f>CSV!B282</f>
        <v>0</v>
      </c>
      <c r="B282" s="13" t="e">
        <f>INDEX(Input!$D$2:$AC$500,
       MATCH(CPU_Formula!A282, Input!$J$2:$J$500, 0),
       MATCH("CPU model", Input!$D$1:$AC$1, 0))</f>
        <v>#N/A</v>
      </c>
      <c r="C282" s="13" t="str">
        <f t="shared" si="40"/>
        <v/>
      </c>
      <c r="D282" s="13" t="str">
        <f t="shared" si="41"/>
        <v/>
      </c>
      <c r="E282" s="13" t="str">
        <f t="shared" si="42"/>
        <v/>
      </c>
      <c r="F282" s="13" t="str">
        <f t="shared" si="43"/>
        <v/>
      </c>
      <c r="G282" s="13" t="str">
        <f t="shared" si="44"/>
        <v/>
      </c>
      <c r="H282" s="13" t="str">
        <f t="shared" si="45"/>
        <v/>
      </c>
      <c r="I282" t="str">
        <f t="shared" si="46"/>
        <v/>
      </c>
    </row>
    <row r="283" spans="1:9">
      <c r="A283">
        <f>CSV!B283</f>
        <v>0</v>
      </c>
      <c r="B283" s="13" t="e">
        <f>INDEX(Input!$D$2:$AC$500,
       MATCH(CPU_Formula!A283, Input!$J$2:$J$500, 0),
       MATCH("CPU model", Input!$D$1:$AC$1, 0))</f>
        <v>#N/A</v>
      </c>
      <c r="C283" s="13" t="str">
        <f t="shared" si="40"/>
        <v/>
      </c>
      <c r="D283" s="13" t="str">
        <f t="shared" si="41"/>
        <v/>
      </c>
      <c r="E283" s="13" t="str">
        <f t="shared" si="42"/>
        <v/>
      </c>
      <c r="F283" s="13" t="str">
        <f t="shared" si="43"/>
        <v/>
      </c>
      <c r="G283" s="13" t="str">
        <f t="shared" si="44"/>
        <v/>
      </c>
      <c r="H283" s="13" t="str">
        <f t="shared" si="45"/>
        <v/>
      </c>
      <c r="I283" t="str">
        <f t="shared" si="46"/>
        <v/>
      </c>
    </row>
    <row r="284" spans="1:9">
      <c r="A284">
        <f>CSV!B284</f>
        <v>0</v>
      </c>
      <c r="B284" s="13" t="e">
        <f>INDEX(Input!$D$2:$AC$500,
       MATCH(CPU_Formula!A284, Input!$J$2:$J$500, 0),
       MATCH("CPU model", Input!$D$1:$AC$1, 0))</f>
        <v>#N/A</v>
      </c>
      <c r="C284" s="13" t="str">
        <f t="shared" si="40"/>
        <v/>
      </c>
      <c r="D284" s="13" t="str">
        <f t="shared" si="41"/>
        <v/>
      </c>
      <c r="E284" s="13" t="str">
        <f t="shared" si="42"/>
        <v/>
      </c>
      <c r="F284" s="13" t="str">
        <f t="shared" si="43"/>
        <v/>
      </c>
      <c r="G284" s="13" t="str">
        <f t="shared" si="44"/>
        <v/>
      </c>
      <c r="H284" s="13" t="str">
        <f t="shared" si="45"/>
        <v/>
      </c>
      <c r="I284" t="str">
        <f t="shared" si="46"/>
        <v/>
      </c>
    </row>
    <row r="285" spans="1:9">
      <c r="A285">
        <f>CSV!B285</f>
        <v>0</v>
      </c>
      <c r="B285" s="13" t="e">
        <f>INDEX(Input!$D$2:$AC$500,
       MATCH(CPU_Formula!A285, Input!$J$2:$J$500, 0),
       MATCH("CPU model", Input!$D$1:$AC$1, 0))</f>
        <v>#N/A</v>
      </c>
      <c r="C285" s="13" t="str">
        <f t="shared" si="40"/>
        <v/>
      </c>
      <c r="D285" s="13" t="str">
        <f t="shared" si="41"/>
        <v/>
      </c>
      <c r="E285" s="13" t="str">
        <f t="shared" si="42"/>
        <v/>
      </c>
      <c r="F285" s="13" t="str">
        <f t="shared" si="43"/>
        <v/>
      </c>
      <c r="G285" s="13" t="str">
        <f t="shared" si="44"/>
        <v/>
      </c>
      <c r="H285" s="13" t="str">
        <f t="shared" si="45"/>
        <v/>
      </c>
      <c r="I285" t="str">
        <f t="shared" si="46"/>
        <v/>
      </c>
    </row>
    <row r="286" spans="1:9">
      <c r="A286">
        <f>CSV!B286</f>
        <v>0</v>
      </c>
      <c r="B286" s="13" t="e">
        <f>INDEX(Input!$D$2:$AC$500,
       MATCH(CPU_Formula!A286, Input!$J$2:$J$500, 0),
       MATCH("CPU model", Input!$D$1:$AC$1, 0))</f>
        <v>#N/A</v>
      </c>
      <c r="C286" s="13" t="str">
        <f t="shared" si="40"/>
        <v/>
      </c>
      <c r="D286" s="13" t="str">
        <f t="shared" si="41"/>
        <v/>
      </c>
      <c r="E286" s="13" t="str">
        <f t="shared" si="42"/>
        <v/>
      </c>
      <c r="F286" s="13" t="str">
        <f t="shared" si="43"/>
        <v/>
      </c>
      <c r="G286" s="13" t="str">
        <f t="shared" si="44"/>
        <v/>
      </c>
      <c r="H286" s="13" t="str">
        <f t="shared" si="45"/>
        <v/>
      </c>
      <c r="I286" t="str">
        <f t="shared" si="46"/>
        <v/>
      </c>
    </row>
    <row r="287" spans="1:9">
      <c r="A287">
        <f>CSV!B287</f>
        <v>0</v>
      </c>
      <c r="B287" s="13" t="e">
        <f>INDEX(Input!$D$2:$AC$500,
       MATCH(CPU_Formula!A287, Input!$J$2:$J$500, 0),
       MATCH("CPU model", Input!$D$1:$AC$1, 0))</f>
        <v>#N/A</v>
      </c>
      <c r="C287" s="13" t="str">
        <f t="shared" si="40"/>
        <v/>
      </c>
      <c r="D287" s="13" t="str">
        <f t="shared" si="41"/>
        <v/>
      </c>
      <c r="E287" s="13" t="str">
        <f t="shared" si="42"/>
        <v/>
      </c>
      <c r="F287" s="13" t="str">
        <f t="shared" si="43"/>
        <v/>
      </c>
      <c r="G287" s="13" t="str">
        <f t="shared" si="44"/>
        <v/>
      </c>
      <c r="H287" s="13" t="str">
        <f t="shared" si="45"/>
        <v/>
      </c>
      <c r="I287" t="str">
        <f t="shared" si="46"/>
        <v/>
      </c>
    </row>
    <row r="288" spans="1:9">
      <c r="A288">
        <f>CSV!B288</f>
        <v>0</v>
      </c>
      <c r="B288" s="13" t="e">
        <f>INDEX(Input!$D$2:$AC$500,
       MATCH(CPU_Formula!A288, Input!$J$2:$J$500, 0),
       MATCH("CPU model", Input!$D$1:$AC$1, 0))</f>
        <v>#N/A</v>
      </c>
      <c r="C288" s="13" t="str">
        <f t="shared" si="40"/>
        <v/>
      </c>
      <c r="D288" s="13" t="str">
        <f t="shared" si="41"/>
        <v/>
      </c>
      <c r="E288" s="13" t="str">
        <f t="shared" si="42"/>
        <v/>
      </c>
      <c r="F288" s="13" t="str">
        <f t="shared" si="43"/>
        <v/>
      </c>
      <c r="G288" s="13" t="str">
        <f t="shared" si="44"/>
        <v/>
      </c>
      <c r="H288" s="13" t="str">
        <f t="shared" si="45"/>
        <v/>
      </c>
      <c r="I288" t="str">
        <f t="shared" si="46"/>
        <v/>
      </c>
    </row>
    <row r="289" spans="1:9">
      <c r="A289">
        <f>CSV!B289</f>
        <v>0</v>
      </c>
      <c r="B289" s="13" t="e">
        <f>INDEX(Input!$D$2:$AC$500,
       MATCH(CPU_Formula!A289, Input!$J$2:$J$500, 0),
       MATCH("CPU model", Input!$D$1:$AC$1, 0))</f>
        <v>#N/A</v>
      </c>
      <c r="C289" s="13" t="str">
        <f t="shared" si="40"/>
        <v/>
      </c>
      <c r="D289" s="13" t="str">
        <f t="shared" si="41"/>
        <v/>
      </c>
      <c r="E289" s="13" t="str">
        <f t="shared" si="42"/>
        <v/>
      </c>
      <c r="F289" s="13" t="str">
        <f t="shared" si="43"/>
        <v/>
      </c>
      <c r="G289" s="13" t="str">
        <f t="shared" si="44"/>
        <v/>
      </c>
      <c r="H289" s="13" t="str">
        <f t="shared" si="45"/>
        <v/>
      </c>
      <c r="I289" t="str">
        <f t="shared" si="46"/>
        <v/>
      </c>
    </row>
    <row r="290" spans="1:9">
      <c r="A290">
        <f>CSV!B290</f>
        <v>0</v>
      </c>
      <c r="B290" s="13" t="e">
        <f>INDEX(Input!$D$2:$AC$500,
       MATCH(CPU_Formula!A290, Input!$J$2:$J$500, 0),
       MATCH("CPU model", Input!$D$1:$AC$1, 0))</f>
        <v>#N/A</v>
      </c>
      <c r="C290" s="13" t="str">
        <f t="shared" si="40"/>
        <v/>
      </c>
      <c r="D290" s="13" t="str">
        <f t="shared" si="41"/>
        <v/>
      </c>
      <c r="E290" s="13" t="str">
        <f t="shared" si="42"/>
        <v/>
      </c>
      <c r="F290" s="13" t="str">
        <f t="shared" si="43"/>
        <v/>
      </c>
      <c r="G290" s="13" t="str">
        <f t="shared" si="44"/>
        <v/>
      </c>
      <c r="H290" s="13" t="str">
        <f t="shared" si="45"/>
        <v/>
      </c>
      <c r="I290" t="str">
        <f t="shared" si="46"/>
        <v/>
      </c>
    </row>
    <row r="291" spans="1:9">
      <c r="A291">
        <f>CSV!B291</f>
        <v>0</v>
      </c>
      <c r="B291" s="13" t="e">
        <f>INDEX(Input!$D$2:$AC$500,
       MATCH(CPU_Formula!A291, Input!$J$2:$J$500, 0),
       MATCH("CPU model", Input!$D$1:$AC$1, 0))</f>
        <v>#N/A</v>
      </c>
      <c r="C291" s="13" t="str">
        <f t="shared" si="40"/>
        <v/>
      </c>
      <c r="D291" s="13" t="str">
        <f t="shared" si="41"/>
        <v/>
      </c>
      <c r="E291" s="13" t="str">
        <f t="shared" si="42"/>
        <v/>
      </c>
      <c r="F291" s="13" t="str">
        <f t="shared" si="43"/>
        <v/>
      </c>
      <c r="G291" s="13" t="str">
        <f t="shared" si="44"/>
        <v/>
      </c>
      <c r="H291" s="13" t="str">
        <f t="shared" si="45"/>
        <v/>
      </c>
      <c r="I291" t="str">
        <f t="shared" si="46"/>
        <v/>
      </c>
    </row>
    <row r="292" spans="1:9">
      <c r="A292">
        <f>CSV!B292</f>
        <v>0</v>
      </c>
      <c r="B292" s="13" t="e">
        <f>INDEX(Input!$D$2:$AC$500,
       MATCH(CPU_Formula!A292, Input!$J$2:$J$500, 0),
       MATCH("CPU model", Input!$D$1:$AC$1, 0))</f>
        <v>#N/A</v>
      </c>
      <c r="C292" s="13" t="str">
        <f t="shared" si="40"/>
        <v/>
      </c>
      <c r="D292" s="13" t="str">
        <f t="shared" si="41"/>
        <v/>
      </c>
      <c r="E292" s="13" t="str">
        <f t="shared" si="42"/>
        <v/>
      </c>
      <c r="F292" s="13" t="str">
        <f t="shared" si="43"/>
        <v/>
      </c>
      <c r="G292" s="13" t="str">
        <f t="shared" si="44"/>
        <v/>
      </c>
      <c r="H292" s="13" t="str">
        <f t="shared" si="45"/>
        <v/>
      </c>
      <c r="I292" t="str">
        <f t="shared" si="46"/>
        <v/>
      </c>
    </row>
    <row r="293" spans="1:9">
      <c r="A293">
        <f>CSV!B293</f>
        <v>0</v>
      </c>
      <c r="B293" s="13" t="e">
        <f>INDEX(Input!$D$2:$AC$500,
       MATCH(CPU_Formula!A293, Input!$J$2:$J$500, 0),
       MATCH("CPU model", Input!$D$1:$AC$1, 0))</f>
        <v>#N/A</v>
      </c>
      <c r="C293" s="13" t="str">
        <f t="shared" si="40"/>
        <v/>
      </c>
      <c r="D293" s="13" t="str">
        <f t="shared" si="41"/>
        <v/>
      </c>
      <c r="E293" s="13" t="str">
        <f t="shared" si="42"/>
        <v/>
      </c>
      <c r="F293" s="13" t="str">
        <f t="shared" si="43"/>
        <v/>
      </c>
      <c r="G293" s="13" t="str">
        <f t="shared" si="44"/>
        <v/>
      </c>
      <c r="H293" s="13" t="str">
        <f t="shared" si="45"/>
        <v/>
      </c>
      <c r="I293" t="str">
        <f t="shared" si="46"/>
        <v/>
      </c>
    </row>
    <row r="294" spans="1:9">
      <c r="A294">
        <f>CSV!B294</f>
        <v>0</v>
      </c>
      <c r="B294" s="13" t="e">
        <f>INDEX(Input!$D$2:$AC$500,
       MATCH(CPU_Formula!A294, Input!$J$2:$J$500, 0),
       MATCH("CPU model", Input!$D$1:$AC$1, 0))</f>
        <v>#N/A</v>
      </c>
      <c r="C294" s="13" t="str">
        <f t="shared" si="40"/>
        <v/>
      </c>
      <c r="D294" s="13" t="str">
        <f t="shared" si="41"/>
        <v/>
      </c>
      <c r="E294" s="13" t="str">
        <f t="shared" si="42"/>
        <v/>
      </c>
      <c r="F294" s="13" t="str">
        <f t="shared" si="43"/>
        <v/>
      </c>
      <c r="G294" s="13" t="str">
        <f t="shared" si="44"/>
        <v/>
      </c>
      <c r="H294" s="13" t="str">
        <f t="shared" si="45"/>
        <v/>
      </c>
      <c r="I294" t="str">
        <f t="shared" si="46"/>
        <v/>
      </c>
    </row>
    <row r="295" spans="1:9">
      <c r="A295">
        <f>CSV!B295</f>
        <v>0</v>
      </c>
      <c r="B295" s="13" t="e">
        <f>INDEX(Input!$D$2:$AC$500,
       MATCH(CPU_Formula!A295, Input!$J$2:$J$500, 0),
       MATCH("CPU model", Input!$D$1:$AC$1, 0))</f>
        <v>#N/A</v>
      </c>
      <c r="C295" s="13" t="str">
        <f t="shared" si="40"/>
        <v/>
      </c>
      <c r="D295" s="13" t="str">
        <f t="shared" si="41"/>
        <v/>
      </c>
      <c r="E295" s="13" t="str">
        <f t="shared" si="42"/>
        <v/>
      </c>
      <c r="F295" s="13" t="str">
        <f t="shared" si="43"/>
        <v/>
      </c>
      <c r="G295" s="13" t="str">
        <f t="shared" si="44"/>
        <v/>
      </c>
      <c r="H295" s="13" t="str">
        <f t="shared" si="45"/>
        <v/>
      </c>
      <c r="I295" t="str">
        <f t="shared" si="46"/>
        <v/>
      </c>
    </row>
    <row r="296" spans="1:9">
      <c r="A296">
        <f>CSV!B296</f>
        <v>0</v>
      </c>
      <c r="B296" s="13" t="e">
        <f>INDEX(Input!$D$2:$AC$500,
       MATCH(CPU_Formula!A296, Input!$J$2:$J$500, 0),
       MATCH("CPU model", Input!$D$1:$AC$1, 0))</f>
        <v>#N/A</v>
      </c>
      <c r="C296" s="13" t="str">
        <f t="shared" ref="C296:C359" si="47">IFERROR(_xlfn.TEXTAFTER(B296,"Core(TM) "),IFERROR(_xlfn.TEXTAFTER(B296,"Xeon(R) CPU"),""))</f>
        <v/>
      </c>
      <c r="D296" s="13" t="str">
        <f t="shared" ref="D296:D359" si="48">IFERROR(_xlfn.TEXTAFTER(B296,"Ryzen "), "")</f>
        <v/>
      </c>
      <c r="E296" s="13" t="str">
        <f t="shared" ref="E296:E359" si="49">IF(ISNUMBER(SEARCH("Ultra", B296)), "Ultra"&amp;_xlfn.TEXTAFTER(B296, "Ultra"), "")</f>
        <v/>
      </c>
      <c r="F296" s="13" t="str">
        <f t="shared" ref="F296:F359" si="50">IF(C296&lt;&gt;"", TRIM(_xlfn.TEXTBEFORE(C296," ",,1,1)), "")</f>
        <v/>
      </c>
      <c r="G296" s="13" t="str">
        <f t="shared" ref="G296:G359" si="51">IF(D296&lt;&gt;"", TRIM(_xlfn.TEXTBEFORE(D296," ",,1)), "")</f>
        <v/>
      </c>
      <c r="H296" s="13" t="str">
        <f t="shared" ref="H296:H359" si="52">E296</f>
        <v/>
      </c>
      <c r="I296" t="str">
        <f t="shared" ref="I296:I359" si="53">IF(H296&lt;&gt;"",H296,IF(G296&lt;&gt;"",G296,F296))</f>
        <v/>
      </c>
    </row>
    <row r="297" spans="1:9">
      <c r="A297">
        <f>CSV!B297</f>
        <v>0</v>
      </c>
      <c r="B297" s="13" t="e">
        <f>INDEX(Input!$D$2:$AC$500,
       MATCH(CPU_Formula!A297, Input!$J$2:$J$500, 0),
       MATCH("CPU model", Input!$D$1:$AC$1, 0))</f>
        <v>#N/A</v>
      </c>
      <c r="C297" s="13" t="str">
        <f t="shared" si="47"/>
        <v/>
      </c>
      <c r="D297" s="13" t="str">
        <f t="shared" si="48"/>
        <v/>
      </c>
      <c r="E297" s="13" t="str">
        <f t="shared" si="49"/>
        <v/>
      </c>
      <c r="F297" s="13" t="str">
        <f t="shared" si="50"/>
        <v/>
      </c>
      <c r="G297" s="13" t="str">
        <f t="shared" si="51"/>
        <v/>
      </c>
      <c r="H297" s="13" t="str">
        <f t="shared" si="52"/>
        <v/>
      </c>
      <c r="I297" t="str">
        <f t="shared" si="53"/>
        <v/>
      </c>
    </row>
    <row r="298" spans="1:9">
      <c r="A298">
        <f>CSV!B298</f>
        <v>0</v>
      </c>
      <c r="B298" s="13" t="e">
        <f>INDEX(Input!$D$2:$AC$500,
       MATCH(CPU_Formula!A298, Input!$J$2:$J$500, 0),
       MATCH("CPU model", Input!$D$1:$AC$1, 0))</f>
        <v>#N/A</v>
      </c>
      <c r="C298" s="13" t="str">
        <f t="shared" si="47"/>
        <v/>
      </c>
      <c r="D298" s="13" t="str">
        <f t="shared" si="48"/>
        <v/>
      </c>
      <c r="E298" s="13" t="str">
        <f t="shared" si="49"/>
        <v/>
      </c>
      <c r="F298" s="13" t="str">
        <f t="shared" si="50"/>
        <v/>
      </c>
      <c r="G298" s="13" t="str">
        <f t="shared" si="51"/>
        <v/>
      </c>
      <c r="H298" s="13" t="str">
        <f t="shared" si="52"/>
        <v/>
      </c>
      <c r="I298" t="str">
        <f t="shared" si="53"/>
        <v/>
      </c>
    </row>
    <row r="299" spans="1:9">
      <c r="A299">
        <f>CSV!B299</f>
        <v>0</v>
      </c>
      <c r="B299" s="13" t="e">
        <f>INDEX(Input!$D$2:$AC$500,
       MATCH(CPU_Formula!A299, Input!$J$2:$J$500, 0),
       MATCH("CPU model", Input!$D$1:$AC$1, 0))</f>
        <v>#N/A</v>
      </c>
      <c r="C299" s="13" t="str">
        <f t="shared" si="47"/>
        <v/>
      </c>
      <c r="D299" s="13" t="str">
        <f t="shared" si="48"/>
        <v/>
      </c>
      <c r="E299" s="13" t="str">
        <f t="shared" si="49"/>
        <v/>
      </c>
      <c r="F299" s="13" t="str">
        <f t="shared" si="50"/>
        <v/>
      </c>
      <c r="G299" s="13" t="str">
        <f t="shared" si="51"/>
        <v/>
      </c>
      <c r="H299" s="13" t="str">
        <f t="shared" si="52"/>
        <v/>
      </c>
      <c r="I299" t="str">
        <f t="shared" si="53"/>
        <v/>
      </c>
    </row>
    <row r="300" spans="1:9">
      <c r="A300">
        <f>CSV!B300</f>
        <v>0</v>
      </c>
      <c r="B300" s="13" t="e">
        <f>INDEX(Input!$D$2:$AC$500,
       MATCH(CPU_Formula!A300, Input!$J$2:$J$500, 0),
       MATCH("CPU model", Input!$D$1:$AC$1, 0))</f>
        <v>#N/A</v>
      </c>
      <c r="C300" s="13" t="str">
        <f t="shared" si="47"/>
        <v/>
      </c>
      <c r="D300" s="13" t="str">
        <f t="shared" si="48"/>
        <v/>
      </c>
      <c r="E300" s="13" t="str">
        <f t="shared" si="49"/>
        <v/>
      </c>
      <c r="F300" s="13" t="str">
        <f t="shared" si="50"/>
        <v/>
      </c>
      <c r="G300" s="13" t="str">
        <f t="shared" si="51"/>
        <v/>
      </c>
      <c r="H300" s="13" t="str">
        <f t="shared" si="52"/>
        <v/>
      </c>
      <c r="I300" t="str">
        <f t="shared" si="53"/>
        <v/>
      </c>
    </row>
    <row r="301" spans="1:9">
      <c r="A301">
        <f>CSV!B301</f>
        <v>0</v>
      </c>
      <c r="B301" s="13" t="e">
        <f>INDEX(Input!$D$2:$AC$500,
       MATCH(CPU_Formula!A301, Input!$J$2:$J$500, 0),
       MATCH("CPU model", Input!$D$1:$AC$1, 0))</f>
        <v>#N/A</v>
      </c>
      <c r="C301" s="13" t="str">
        <f t="shared" si="47"/>
        <v/>
      </c>
      <c r="D301" s="13" t="str">
        <f t="shared" si="48"/>
        <v/>
      </c>
      <c r="E301" s="13" t="str">
        <f t="shared" si="49"/>
        <v/>
      </c>
      <c r="F301" s="13" t="str">
        <f t="shared" si="50"/>
        <v/>
      </c>
      <c r="G301" s="13" t="str">
        <f t="shared" si="51"/>
        <v/>
      </c>
      <c r="H301" s="13" t="str">
        <f t="shared" si="52"/>
        <v/>
      </c>
      <c r="I301" t="str">
        <f t="shared" si="53"/>
        <v/>
      </c>
    </row>
    <row r="302" spans="1:9">
      <c r="A302">
        <f>CSV!B302</f>
        <v>0</v>
      </c>
      <c r="B302" s="13" t="e">
        <f>INDEX(Input!$D$2:$AC$500,
       MATCH(CPU_Formula!A302, Input!$J$2:$J$500, 0),
       MATCH("CPU model", Input!$D$1:$AC$1, 0))</f>
        <v>#N/A</v>
      </c>
      <c r="C302" s="13" t="str">
        <f t="shared" si="47"/>
        <v/>
      </c>
      <c r="D302" s="13" t="str">
        <f t="shared" si="48"/>
        <v/>
      </c>
      <c r="E302" s="13" t="str">
        <f t="shared" si="49"/>
        <v/>
      </c>
      <c r="F302" s="13" t="str">
        <f t="shared" si="50"/>
        <v/>
      </c>
      <c r="G302" s="13" t="str">
        <f t="shared" si="51"/>
        <v/>
      </c>
      <c r="H302" s="13" t="str">
        <f t="shared" si="52"/>
        <v/>
      </c>
      <c r="I302" t="str">
        <f t="shared" si="53"/>
        <v/>
      </c>
    </row>
    <row r="303" spans="1:9">
      <c r="A303">
        <f>CSV!B303</f>
        <v>0</v>
      </c>
      <c r="B303" s="13" t="e">
        <f>INDEX(Input!$D$2:$AC$500,
       MATCH(CPU_Formula!A303, Input!$J$2:$J$500, 0),
       MATCH("CPU model", Input!$D$1:$AC$1, 0))</f>
        <v>#N/A</v>
      </c>
      <c r="C303" s="13" t="str">
        <f t="shared" si="47"/>
        <v/>
      </c>
      <c r="D303" s="13" t="str">
        <f t="shared" si="48"/>
        <v/>
      </c>
      <c r="E303" s="13" t="str">
        <f t="shared" si="49"/>
        <v/>
      </c>
      <c r="F303" s="13" t="str">
        <f t="shared" si="50"/>
        <v/>
      </c>
      <c r="G303" s="13" t="str">
        <f t="shared" si="51"/>
        <v/>
      </c>
      <c r="H303" s="13" t="str">
        <f t="shared" si="52"/>
        <v/>
      </c>
      <c r="I303" t="str">
        <f t="shared" si="53"/>
        <v/>
      </c>
    </row>
    <row r="304" spans="1:9">
      <c r="A304">
        <f>CSV!B304</f>
        <v>0</v>
      </c>
      <c r="B304" s="13" t="e">
        <f>INDEX(Input!$D$2:$AC$500,
       MATCH(CPU_Formula!A304, Input!$J$2:$J$500, 0),
       MATCH("CPU model", Input!$D$1:$AC$1, 0))</f>
        <v>#N/A</v>
      </c>
      <c r="C304" s="13" t="str">
        <f t="shared" si="47"/>
        <v/>
      </c>
      <c r="D304" s="13" t="str">
        <f t="shared" si="48"/>
        <v/>
      </c>
      <c r="E304" s="13" t="str">
        <f t="shared" si="49"/>
        <v/>
      </c>
      <c r="F304" s="13" t="str">
        <f t="shared" si="50"/>
        <v/>
      </c>
      <c r="G304" s="13" t="str">
        <f t="shared" si="51"/>
        <v/>
      </c>
      <c r="H304" s="13" t="str">
        <f t="shared" si="52"/>
        <v/>
      </c>
      <c r="I304" t="str">
        <f t="shared" si="53"/>
        <v/>
      </c>
    </row>
    <row r="305" spans="1:9">
      <c r="A305">
        <f>CSV!B305</f>
        <v>0</v>
      </c>
      <c r="B305" s="13" t="e">
        <f>INDEX(Input!$D$2:$AC$500,
       MATCH(CPU_Formula!A305, Input!$J$2:$J$500, 0),
       MATCH("CPU model", Input!$D$1:$AC$1, 0))</f>
        <v>#N/A</v>
      </c>
      <c r="C305" s="13" t="str">
        <f t="shared" si="47"/>
        <v/>
      </c>
      <c r="D305" s="13" t="str">
        <f t="shared" si="48"/>
        <v/>
      </c>
      <c r="E305" s="13" t="str">
        <f t="shared" si="49"/>
        <v/>
      </c>
      <c r="F305" s="13" t="str">
        <f t="shared" si="50"/>
        <v/>
      </c>
      <c r="G305" s="13" t="str">
        <f t="shared" si="51"/>
        <v/>
      </c>
      <c r="H305" s="13" t="str">
        <f t="shared" si="52"/>
        <v/>
      </c>
      <c r="I305" t="str">
        <f t="shared" si="53"/>
        <v/>
      </c>
    </row>
    <row r="306" spans="1:9">
      <c r="A306">
        <f>CSV!B306</f>
        <v>0</v>
      </c>
      <c r="B306" s="13" t="e">
        <f>INDEX(Input!$D$2:$AC$500,
       MATCH(CPU_Formula!A306, Input!$J$2:$J$500, 0),
       MATCH("CPU model", Input!$D$1:$AC$1, 0))</f>
        <v>#N/A</v>
      </c>
      <c r="C306" s="13" t="str">
        <f t="shared" si="47"/>
        <v/>
      </c>
      <c r="D306" s="13" t="str">
        <f t="shared" si="48"/>
        <v/>
      </c>
      <c r="E306" s="13" t="str">
        <f t="shared" si="49"/>
        <v/>
      </c>
      <c r="F306" s="13" t="str">
        <f t="shared" si="50"/>
        <v/>
      </c>
      <c r="G306" s="13" t="str">
        <f t="shared" si="51"/>
        <v/>
      </c>
      <c r="H306" s="13" t="str">
        <f t="shared" si="52"/>
        <v/>
      </c>
      <c r="I306" t="str">
        <f t="shared" si="53"/>
        <v/>
      </c>
    </row>
    <row r="307" spans="1:9">
      <c r="A307">
        <f>CSV!B307</f>
        <v>0</v>
      </c>
      <c r="B307" s="13" t="e">
        <f>INDEX(Input!$D$2:$AC$500,
       MATCH(CPU_Formula!A307, Input!$J$2:$J$500, 0),
       MATCH("CPU model", Input!$D$1:$AC$1, 0))</f>
        <v>#N/A</v>
      </c>
      <c r="C307" s="13" t="str">
        <f t="shared" si="47"/>
        <v/>
      </c>
      <c r="D307" s="13" t="str">
        <f t="shared" si="48"/>
        <v/>
      </c>
      <c r="E307" s="13" t="str">
        <f t="shared" si="49"/>
        <v/>
      </c>
      <c r="F307" s="13" t="str">
        <f t="shared" si="50"/>
        <v/>
      </c>
      <c r="G307" s="13" t="str">
        <f t="shared" si="51"/>
        <v/>
      </c>
      <c r="H307" s="13" t="str">
        <f t="shared" si="52"/>
        <v/>
      </c>
      <c r="I307" t="str">
        <f t="shared" si="53"/>
        <v/>
      </c>
    </row>
    <row r="308" spans="1:9">
      <c r="A308">
        <f>CSV!B308</f>
        <v>0</v>
      </c>
      <c r="B308" s="13" t="e">
        <f>INDEX(Input!$D$2:$AC$500,
       MATCH(CPU_Formula!A308, Input!$J$2:$J$500, 0),
       MATCH("CPU model", Input!$D$1:$AC$1, 0))</f>
        <v>#N/A</v>
      </c>
      <c r="C308" s="13" t="str">
        <f t="shared" si="47"/>
        <v/>
      </c>
      <c r="D308" s="13" t="str">
        <f t="shared" si="48"/>
        <v/>
      </c>
      <c r="E308" s="13" t="str">
        <f t="shared" si="49"/>
        <v/>
      </c>
      <c r="F308" s="13" t="str">
        <f t="shared" si="50"/>
        <v/>
      </c>
      <c r="G308" s="13" t="str">
        <f t="shared" si="51"/>
        <v/>
      </c>
      <c r="H308" s="13" t="str">
        <f t="shared" si="52"/>
        <v/>
      </c>
      <c r="I308" t="str">
        <f t="shared" si="53"/>
        <v/>
      </c>
    </row>
    <row r="309" spans="1:9">
      <c r="A309">
        <f>CSV!B309</f>
        <v>0</v>
      </c>
      <c r="B309" s="13" t="e">
        <f>INDEX(Input!$D$2:$AC$500,
       MATCH(CPU_Formula!A309, Input!$J$2:$J$500, 0),
       MATCH("CPU model", Input!$D$1:$AC$1, 0))</f>
        <v>#N/A</v>
      </c>
      <c r="C309" s="13" t="str">
        <f t="shared" si="47"/>
        <v/>
      </c>
      <c r="D309" s="13" t="str">
        <f t="shared" si="48"/>
        <v/>
      </c>
      <c r="E309" s="13" t="str">
        <f t="shared" si="49"/>
        <v/>
      </c>
      <c r="F309" s="13" t="str">
        <f t="shared" si="50"/>
        <v/>
      </c>
      <c r="G309" s="13" t="str">
        <f t="shared" si="51"/>
        <v/>
      </c>
      <c r="H309" s="13" t="str">
        <f t="shared" si="52"/>
        <v/>
      </c>
      <c r="I309" t="str">
        <f t="shared" si="53"/>
        <v/>
      </c>
    </row>
    <row r="310" spans="1:9">
      <c r="A310">
        <f>CSV!B310</f>
        <v>0</v>
      </c>
      <c r="B310" s="13" t="e">
        <f>INDEX(Input!$D$2:$AC$500,
       MATCH(CPU_Formula!A310, Input!$J$2:$J$500, 0),
       MATCH("CPU model", Input!$D$1:$AC$1, 0))</f>
        <v>#N/A</v>
      </c>
      <c r="C310" s="13" t="str">
        <f t="shared" si="47"/>
        <v/>
      </c>
      <c r="D310" s="13" t="str">
        <f t="shared" si="48"/>
        <v/>
      </c>
      <c r="E310" s="13" t="str">
        <f t="shared" si="49"/>
        <v/>
      </c>
      <c r="F310" s="13" t="str">
        <f t="shared" si="50"/>
        <v/>
      </c>
      <c r="G310" s="13" t="str">
        <f t="shared" si="51"/>
        <v/>
      </c>
      <c r="H310" s="13" t="str">
        <f t="shared" si="52"/>
        <v/>
      </c>
      <c r="I310" t="str">
        <f t="shared" si="53"/>
        <v/>
      </c>
    </row>
    <row r="311" spans="1:9">
      <c r="A311">
        <f>CSV!B311</f>
        <v>0</v>
      </c>
      <c r="B311" s="13" t="e">
        <f>INDEX(Input!$D$2:$AC$500,
       MATCH(CPU_Formula!A311, Input!$J$2:$J$500, 0),
       MATCH("CPU model", Input!$D$1:$AC$1, 0))</f>
        <v>#N/A</v>
      </c>
      <c r="C311" s="13" t="str">
        <f t="shared" si="47"/>
        <v/>
      </c>
      <c r="D311" s="13" t="str">
        <f t="shared" si="48"/>
        <v/>
      </c>
      <c r="E311" s="13" t="str">
        <f t="shared" si="49"/>
        <v/>
      </c>
      <c r="F311" s="13" t="str">
        <f t="shared" si="50"/>
        <v/>
      </c>
      <c r="G311" s="13" t="str">
        <f t="shared" si="51"/>
        <v/>
      </c>
      <c r="H311" s="13" t="str">
        <f t="shared" si="52"/>
        <v/>
      </c>
      <c r="I311" t="str">
        <f t="shared" si="53"/>
        <v/>
      </c>
    </row>
    <row r="312" spans="1:9">
      <c r="A312">
        <f>CSV!B312</f>
        <v>0</v>
      </c>
      <c r="B312" s="13" t="e">
        <f>INDEX(Input!$D$2:$AC$500,
       MATCH(CPU_Formula!A312, Input!$J$2:$J$500, 0),
       MATCH("CPU model", Input!$D$1:$AC$1, 0))</f>
        <v>#N/A</v>
      </c>
      <c r="C312" s="13" t="str">
        <f t="shared" si="47"/>
        <v/>
      </c>
      <c r="D312" s="13" t="str">
        <f t="shared" si="48"/>
        <v/>
      </c>
      <c r="E312" s="13" t="str">
        <f t="shared" si="49"/>
        <v/>
      </c>
      <c r="F312" s="13" t="str">
        <f t="shared" si="50"/>
        <v/>
      </c>
      <c r="G312" s="13" t="str">
        <f t="shared" si="51"/>
        <v/>
      </c>
      <c r="H312" s="13" t="str">
        <f t="shared" si="52"/>
        <v/>
      </c>
      <c r="I312" t="str">
        <f t="shared" si="53"/>
        <v/>
      </c>
    </row>
    <row r="313" spans="1:9">
      <c r="A313">
        <f>CSV!B313</f>
        <v>0</v>
      </c>
      <c r="B313" s="13" t="e">
        <f>INDEX(Input!$D$2:$AC$500,
       MATCH(CPU_Formula!A313, Input!$J$2:$J$500, 0),
       MATCH("CPU model", Input!$D$1:$AC$1, 0))</f>
        <v>#N/A</v>
      </c>
      <c r="C313" s="13" t="str">
        <f t="shared" si="47"/>
        <v/>
      </c>
      <c r="D313" s="13" t="str">
        <f t="shared" si="48"/>
        <v/>
      </c>
      <c r="E313" s="13" t="str">
        <f t="shared" si="49"/>
        <v/>
      </c>
      <c r="F313" s="13" t="str">
        <f t="shared" si="50"/>
        <v/>
      </c>
      <c r="G313" s="13" t="str">
        <f t="shared" si="51"/>
        <v/>
      </c>
      <c r="H313" s="13" t="str">
        <f t="shared" si="52"/>
        <v/>
      </c>
      <c r="I313" t="str">
        <f t="shared" si="53"/>
        <v/>
      </c>
    </row>
    <row r="314" spans="1:9">
      <c r="A314">
        <f>CSV!B314</f>
        <v>0</v>
      </c>
      <c r="B314" s="13" t="e">
        <f>INDEX(Input!$D$2:$AC$500,
       MATCH(CPU_Formula!A314, Input!$J$2:$J$500, 0),
       MATCH("CPU model", Input!$D$1:$AC$1, 0))</f>
        <v>#N/A</v>
      </c>
      <c r="C314" s="13" t="str">
        <f t="shared" si="47"/>
        <v/>
      </c>
      <c r="D314" s="13" t="str">
        <f t="shared" si="48"/>
        <v/>
      </c>
      <c r="E314" s="13" t="str">
        <f t="shared" si="49"/>
        <v/>
      </c>
      <c r="F314" s="13" t="str">
        <f t="shared" si="50"/>
        <v/>
      </c>
      <c r="G314" s="13" t="str">
        <f t="shared" si="51"/>
        <v/>
      </c>
      <c r="H314" s="13" t="str">
        <f t="shared" si="52"/>
        <v/>
      </c>
      <c r="I314" t="str">
        <f t="shared" si="53"/>
        <v/>
      </c>
    </row>
    <row r="315" spans="1:9">
      <c r="A315">
        <f>CSV!B315</f>
        <v>0</v>
      </c>
      <c r="B315" s="13" t="e">
        <f>INDEX(Input!$D$2:$AC$500,
       MATCH(CPU_Formula!A315, Input!$J$2:$J$500, 0),
       MATCH("CPU model", Input!$D$1:$AC$1, 0))</f>
        <v>#N/A</v>
      </c>
      <c r="C315" s="13" t="str">
        <f t="shared" si="47"/>
        <v/>
      </c>
      <c r="D315" s="13" t="str">
        <f t="shared" si="48"/>
        <v/>
      </c>
      <c r="E315" s="13" t="str">
        <f t="shared" si="49"/>
        <v/>
      </c>
      <c r="F315" s="13" t="str">
        <f t="shared" si="50"/>
        <v/>
      </c>
      <c r="G315" s="13" t="str">
        <f t="shared" si="51"/>
        <v/>
      </c>
      <c r="H315" s="13" t="str">
        <f t="shared" si="52"/>
        <v/>
      </c>
      <c r="I315" t="str">
        <f t="shared" si="53"/>
        <v/>
      </c>
    </row>
    <row r="316" spans="1:9">
      <c r="A316">
        <f>CSV!B316</f>
        <v>0</v>
      </c>
      <c r="B316" s="13" t="e">
        <f>INDEX(Input!$D$2:$AC$500,
       MATCH(CPU_Formula!A316, Input!$J$2:$J$500, 0),
       MATCH("CPU model", Input!$D$1:$AC$1, 0))</f>
        <v>#N/A</v>
      </c>
      <c r="C316" s="13" t="str">
        <f t="shared" si="47"/>
        <v/>
      </c>
      <c r="D316" s="13" t="str">
        <f t="shared" si="48"/>
        <v/>
      </c>
      <c r="E316" s="13" t="str">
        <f t="shared" si="49"/>
        <v/>
      </c>
      <c r="F316" s="13" t="str">
        <f t="shared" si="50"/>
        <v/>
      </c>
      <c r="G316" s="13" t="str">
        <f t="shared" si="51"/>
        <v/>
      </c>
      <c r="H316" s="13" t="str">
        <f t="shared" si="52"/>
        <v/>
      </c>
      <c r="I316" t="str">
        <f t="shared" si="53"/>
        <v/>
      </c>
    </row>
    <row r="317" spans="1:9">
      <c r="A317">
        <f>CSV!B317</f>
        <v>0</v>
      </c>
      <c r="B317" s="13" t="e">
        <f>INDEX(Input!$D$2:$AC$500,
       MATCH(CPU_Formula!A317, Input!$J$2:$J$500, 0),
       MATCH("CPU model", Input!$D$1:$AC$1, 0))</f>
        <v>#N/A</v>
      </c>
      <c r="C317" s="13" t="str">
        <f t="shared" si="47"/>
        <v/>
      </c>
      <c r="D317" s="13" t="str">
        <f t="shared" si="48"/>
        <v/>
      </c>
      <c r="E317" s="13" t="str">
        <f t="shared" si="49"/>
        <v/>
      </c>
      <c r="F317" s="13" t="str">
        <f t="shared" si="50"/>
        <v/>
      </c>
      <c r="G317" s="13" t="str">
        <f t="shared" si="51"/>
        <v/>
      </c>
      <c r="H317" s="13" t="str">
        <f t="shared" si="52"/>
        <v/>
      </c>
      <c r="I317" t="str">
        <f t="shared" si="53"/>
        <v/>
      </c>
    </row>
    <row r="318" spans="1:9">
      <c r="A318">
        <f>CSV!B318</f>
        <v>0</v>
      </c>
      <c r="B318" s="13" t="e">
        <f>INDEX(Input!$D$2:$AC$500,
       MATCH(CPU_Formula!A318, Input!$J$2:$J$500, 0),
       MATCH("CPU model", Input!$D$1:$AC$1, 0))</f>
        <v>#N/A</v>
      </c>
      <c r="C318" s="13" t="str">
        <f t="shared" si="47"/>
        <v/>
      </c>
      <c r="D318" s="13" t="str">
        <f t="shared" si="48"/>
        <v/>
      </c>
      <c r="E318" s="13" t="str">
        <f t="shared" si="49"/>
        <v/>
      </c>
      <c r="F318" s="13" t="str">
        <f t="shared" si="50"/>
        <v/>
      </c>
      <c r="G318" s="13" t="str">
        <f t="shared" si="51"/>
        <v/>
      </c>
      <c r="H318" s="13" t="str">
        <f t="shared" si="52"/>
        <v/>
      </c>
      <c r="I318" t="str">
        <f t="shared" si="53"/>
        <v/>
      </c>
    </row>
    <row r="319" spans="1:9">
      <c r="A319">
        <f>CSV!B319</f>
        <v>0</v>
      </c>
      <c r="B319" s="13" t="e">
        <f>INDEX(Input!$D$2:$AC$500,
       MATCH(CPU_Formula!A319, Input!$J$2:$J$500, 0),
       MATCH("CPU model", Input!$D$1:$AC$1, 0))</f>
        <v>#N/A</v>
      </c>
      <c r="C319" s="13" t="str">
        <f t="shared" si="47"/>
        <v/>
      </c>
      <c r="D319" s="13" t="str">
        <f t="shared" si="48"/>
        <v/>
      </c>
      <c r="E319" s="13" t="str">
        <f t="shared" si="49"/>
        <v/>
      </c>
      <c r="F319" s="13" t="str">
        <f t="shared" si="50"/>
        <v/>
      </c>
      <c r="G319" s="13" t="str">
        <f t="shared" si="51"/>
        <v/>
      </c>
      <c r="H319" s="13" t="str">
        <f t="shared" si="52"/>
        <v/>
      </c>
      <c r="I319" t="str">
        <f t="shared" si="53"/>
        <v/>
      </c>
    </row>
    <row r="320" spans="1:9">
      <c r="A320">
        <f>CSV!B320</f>
        <v>0</v>
      </c>
      <c r="B320" s="13" t="e">
        <f>INDEX(Input!$D$2:$AC$500,
       MATCH(CPU_Formula!A320, Input!$J$2:$J$500, 0),
       MATCH("CPU model", Input!$D$1:$AC$1, 0))</f>
        <v>#N/A</v>
      </c>
      <c r="C320" s="13" t="str">
        <f t="shared" si="47"/>
        <v/>
      </c>
      <c r="D320" s="13" t="str">
        <f t="shared" si="48"/>
        <v/>
      </c>
      <c r="E320" s="13" t="str">
        <f t="shared" si="49"/>
        <v/>
      </c>
      <c r="F320" s="13" t="str">
        <f t="shared" si="50"/>
        <v/>
      </c>
      <c r="G320" s="13" t="str">
        <f t="shared" si="51"/>
        <v/>
      </c>
      <c r="H320" s="13" t="str">
        <f t="shared" si="52"/>
        <v/>
      </c>
      <c r="I320" t="str">
        <f t="shared" si="53"/>
        <v/>
      </c>
    </row>
    <row r="321" spans="1:9">
      <c r="A321">
        <f>CSV!B321</f>
        <v>0</v>
      </c>
      <c r="B321" s="13" t="e">
        <f>INDEX(Input!$D$2:$AC$500,
       MATCH(CPU_Formula!A321, Input!$J$2:$J$500, 0),
       MATCH("CPU model", Input!$D$1:$AC$1, 0))</f>
        <v>#N/A</v>
      </c>
      <c r="C321" s="13" t="str">
        <f t="shared" si="47"/>
        <v/>
      </c>
      <c r="D321" s="13" t="str">
        <f t="shared" si="48"/>
        <v/>
      </c>
      <c r="E321" s="13" t="str">
        <f t="shared" si="49"/>
        <v/>
      </c>
      <c r="F321" s="13" t="str">
        <f t="shared" si="50"/>
        <v/>
      </c>
      <c r="G321" s="13" t="str">
        <f t="shared" si="51"/>
        <v/>
      </c>
      <c r="H321" s="13" t="str">
        <f t="shared" si="52"/>
        <v/>
      </c>
      <c r="I321" t="str">
        <f t="shared" si="53"/>
        <v/>
      </c>
    </row>
    <row r="322" spans="1:9">
      <c r="A322">
        <f>CSV!B322</f>
        <v>0</v>
      </c>
      <c r="B322" s="13" t="e">
        <f>INDEX(Input!$D$2:$AC$500,
       MATCH(CPU_Formula!A322, Input!$J$2:$J$500, 0),
       MATCH("CPU model", Input!$D$1:$AC$1, 0))</f>
        <v>#N/A</v>
      </c>
      <c r="C322" s="13" t="str">
        <f t="shared" si="47"/>
        <v/>
      </c>
      <c r="D322" s="13" t="str">
        <f t="shared" si="48"/>
        <v/>
      </c>
      <c r="E322" s="13" t="str">
        <f t="shared" si="49"/>
        <v/>
      </c>
      <c r="F322" s="13" t="str">
        <f t="shared" si="50"/>
        <v/>
      </c>
      <c r="G322" s="13" t="str">
        <f t="shared" si="51"/>
        <v/>
      </c>
      <c r="H322" s="13" t="str">
        <f t="shared" si="52"/>
        <v/>
      </c>
      <c r="I322" t="str">
        <f t="shared" si="53"/>
        <v/>
      </c>
    </row>
    <row r="323" spans="1:9">
      <c r="A323">
        <f>CSV!B323</f>
        <v>0</v>
      </c>
      <c r="B323" s="13" t="e">
        <f>INDEX(Input!$D$2:$AC$500,
       MATCH(CPU_Formula!A323, Input!$J$2:$J$500, 0),
       MATCH("CPU model", Input!$D$1:$AC$1, 0))</f>
        <v>#N/A</v>
      </c>
      <c r="C323" s="13" t="str">
        <f t="shared" si="47"/>
        <v/>
      </c>
      <c r="D323" s="13" t="str">
        <f t="shared" si="48"/>
        <v/>
      </c>
      <c r="E323" s="13" t="str">
        <f t="shared" si="49"/>
        <v/>
      </c>
      <c r="F323" s="13" t="str">
        <f t="shared" si="50"/>
        <v/>
      </c>
      <c r="G323" s="13" t="str">
        <f t="shared" si="51"/>
        <v/>
      </c>
      <c r="H323" s="13" t="str">
        <f t="shared" si="52"/>
        <v/>
      </c>
      <c r="I323" t="str">
        <f t="shared" si="53"/>
        <v/>
      </c>
    </row>
    <row r="324" spans="1:9">
      <c r="A324">
        <f>CSV!B324</f>
        <v>0</v>
      </c>
      <c r="B324" s="13" t="e">
        <f>INDEX(Input!$D$2:$AC$500,
       MATCH(CPU_Formula!A324, Input!$J$2:$J$500, 0),
       MATCH("CPU model", Input!$D$1:$AC$1, 0))</f>
        <v>#N/A</v>
      </c>
      <c r="C324" s="13" t="str">
        <f t="shared" si="47"/>
        <v/>
      </c>
      <c r="D324" s="13" t="str">
        <f t="shared" si="48"/>
        <v/>
      </c>
      <c r="E324" s="13" t="str">
        <f t="shared" si="49"/>
        <v/>
      </c>
      <c r="F324" s="13" t="str">
        <f t="shared" si="50"/>
        <v/>
      </c>
      <c r="G324" s="13" t="str">
        <f t="shared" si="51"/>
        <v/>
      </c>
      <c r="H324" s="13" t="str">
        <f t="shared" si="52"/>
        <v/>
      </c>
      <c r="I324" t="str">
        <f t="shared" si="53"/>
        <v/>
      </c>
    </row>
    <row r="325" spans="1:9">
      <c r="A325">
        <f>CSV!B325</f>
        <v>0</v>
      </c>
      <c r="B325" s="13" t="e">
        <f>INDEX(Input!$D$2:$AC$500,
       MATCH(CPU_Formula!A325, Input!$J$2:$J$500, 0),
       MATCH("CPU model", Input!$D$1:$AC$1, 0))</f>
        <v>#N/A</v>
      </c>
      <c r="C325" s="13" t="str">
        <f t="shared" si="47"/>
        <v/>
      </c>
      <c r="D325" s="13" t="str">
        <f t="shared" si="48"/>
        <v/>
      </c>
      <c r="E325" s="13" t="str">
        <f t="shared" si="49"/>
        <v/>
      </c>
      <c r="F325" s="13" t="str">
        <f t="shared" si="50"/>
        <v/>
      </c>
      <c r="G325" s="13" t="str">
        <f t="shared" si="51"/>
        <v/>
      </c>
      <c r="H325" s="13" t="str">
        <f t="shared" si="52"/>
        <v/>
      </c>
      <c r="I325" t="str">
        <f t="shared" si="53"/>
        <v/>
      </c>
    </row>
    <row r="326" spans="1:9">
      <c r="A326">
        <f>CSV!B326</f>
        <v>0</v>
      </c>
      <c r="B326" s="13" t="e">
        <f>INDEX(Input!$D$2:$AC$500,
       MATCH(CPU_Formula!A326, Input!$J$2:$J$500, 0),
       MATCH("CPU model", Input!$D$1:$AC$1, 0))</f>
        <v>#N/A</v>
      </c>
      <c r="C326" s="13" t="str">
        <f t="shared" si="47"/>
        <v/>
      </c>
      <c r="D326" s="13" t="str">
        <f t="shared" si="48"/>
        <v/>
      </c>
      <c r="E326" s="13" t="str">
        <f t="shared" si="49"/>
        <v/>
      </c>
      <c r="F326" s="13" t="str">
        <f t="shared" si="50"/>
        <v/>
      </c>
      <c r="G326" s="13" t="str">
        <f t="shared" si="51"/>
        <v/>
      </c>
      <c r="H326" s="13" t="str">
        <f t="shared" si="52"/>
        <v/>
      </c>
      <c r="I326" t="str">
        <f t="shared" si="53"/>
        <v/>
      </c>
    </row>
    <row r="327" spans="1:9">
      <c r="A327">
        <f>CSV!B327</f>
        <v>0</v>
      </c>
      <c r="B327" s="13" t="e">
        <f>INDEX(Input!$D$2:$AC$500,
       MATCH(CPU_Formula!A327, Input!$J$2:$J$500, 0),
       MATCH("CPU model", Input!$D$1:$AC$1, 0))</f>
        <v>#N/A</v>
      </c>
      <c r="C327" s="13" t="str">
        <f t="shared" si="47"/>
        <v/>
      </c>
      <c r="D327" s="13" t="str">
        <f t="shared" si="48"/>
        <v/>
      </c>
      <c r="E327" s="13" t="str">
        <f t="shared" si="49"/>
        <v/>
      </c>
      <c r="F327" s="13" t="str">
        <f t="shared" si="50"/>
        <v/>
      </c>
      <c r="G327" s="13" t="str">
        <f t="shared" si="51"/>
        <v/>
      </c>
      <c r="H327" s="13" t="str">
        <f t="shared" si="52"/>
        <v/>
      </c>
      <c r="I327" t="str">
        <f t="shared" si="53"/>
        <v/>
      </c>
    </row>
    <row r="328" spans="1:9">
      <c r="A328">
        <f>CSV!B328</f>
        <v>0</v>
      </c>
      <c r="B328" s="13" t="e">
        <f>INDEX(Input!$D$2:$AC$500,
       MATCH(CPU_Formula!A328, Input!$J$2:$J$500, 0),
       MATCH("CPU model", Input!$D$1:$AC$1, 0))</f>
        <v>#N/A</v>
      </c>
      <c r="C328" s="13" t="str">
        <f t="shared" si="47"/>
        <v/>
      </c>
      <c r="D328" s="13" t="str">
        <f t="shared" si="48"/>
        <v/>
      </c>
      <c r="E328" s="13" t="str">
        <f t="shared" si="49"/>
        <v/>
      </c>
      <c r="F328" s="13" t="str">
        <f t="shared" si="50"/>
        <v/>
      </c>
      <c r="G328" s="13" t="str">
        <f t="shared" si="51"/>
        <v/>
      </c>
      <c r="H328" s="13" t="str">
        <f t="shared" si="52"/>
        <v/>
      </c>
      <c r="I328" t="str">
        <f t="shared" si="53"/>
        <v/>
      </c>
    </row>
    <row r="329" spans="1:9">
      <c r="A329">
        <f>CSV!B329</f>
        <v>0</v>
      </c>
      <c r="B329" s="13" t="e">
        <f>INDEX(Input!$D$2:$AC$500,
       MATCH(CPU_Formula!A329, Input!$J$2:$J$500, 0),
       MATCH("CPU model", Input!$D$1:$AC$1, 0))</f>
        <v>#N/A</v>
      </c>
      <c r="C329" s="13" t="str">
        <f t="shared" si="47"/>
        <v/>
      </c>
      <c r="D329" s="13" t="str">
        <f t="shared" si="48"/>
        <v/>
      </c>
      <c r="E329" s="13" t="str">
        <f t="shared" si="49"/>
        <v/>
      </c>
      <c r="F329" s="13" t="str">
        <f t="shared" si="50"/>
        <v/>
      </c>
      <c r="G329" s="13" t="str">
        <f t="shared" si="51"/>
        <v/>
      </c>
      <c r="H329" s="13" t="str">
        <f t="shared" si="52"/>
        <v/>
      </c>
      <c r="I329" t="str">
        <f t="shared" si="53"/>
        <v/>
      </c>
    </row>
    <row r="330" spans="1:9">
      <c r="A330">
        <f>CSV!B330</f>
        <v>0</v>
      </c>
      <c r="B330" s="13" t="e">
        <f>INDEX(Input!$D$2:$AC$500,
       MATCH(CPU_Formula!A330, Input!$J$2:$J$500, 0),
       MATCH("CPU model", Input!$D$1:$AC$1, 0))</f>
        <v>#N/A</v>
      </c>
      <c r="C330" s="13" t="str">
        <f t="shared" si="47"/>
        <v/>
      </c>
      <c r="D330" s="13" t="str">
        <f t="shared" si="48"/>
        <v/>
      </c>
      <c r="E330" s="13" t="str">
        <f t="shared" si="49"/>
        <v/>
      </c>
      <c r="F330" s="13" t="str">
        <f t="shared" si="50"/>
        <v/>
      </c>
      <c r="G330" s="13" t="str">
        <f t="shared" si="51"/>
        <v/>
      </c>
      <c r="H330" s="13" t="str">
        <f t="shared" si="52"/>
        <v/>
      </c>
      <c r="I330" t="str">
        <f t="shared" si="53"/>
        <v/>
      </c>
    </row>
    <row r="331" spans="1:9">
      <c r="A331">
        <f>CSV!B331</f>
        <v>0</v>
      </c>
      <c r="B331" s="13" t="e">
        <f>INDEX(Input!$D$2:$AC$500,
       MATCH(CPU_Formula!A331, Input!$J$2:$J$500, 0),
       MATCH("CPU model", Input!$D$1:$AC$1, 0))</f>
        <v>#N/A</v>
      </c>
      <c r="C331" s="13" t="str">
        <f t="shared" si="47"/>
        <v/>
      </c>
      <c r="D331" s="13" t="str">
        <f t="shared" si="48"/>
        <v/>
      </c>
      <c r="E331" s="13" t="str">
        <f t="shared" si="49"/>
        <v/>
      </c>
      <c r="F331" s="13" t="str">
        <f t="shared" si="50"/>
        <v/>
      </c>
      <c r="G331" s="13" t="str">
        <f t="shared" si="51"/>
        <v/>
      </c>
      <c r="H331" s="13" t="str">
        <f t="shared" si="52"/>
        <v/>
      </c>
      <c r="I331" t="str">
        <f t="shared" si="53"/>
        <v/>
      </c>
    </row>
    <row r="332" spans="1:9">
      <c r="A332">
        <f>CSV!B332</f>
        <v>0</v>
      </c>
      <c r="B332" s="13" t="e">
        <f>INDEX(Input!$D$2:$AC$500,
       MATCH(CPU_Formula!A332, Input!$J$2:$J$500, 0),
       MATCH("CPU model", Input!$D$1:$AC$1, 0))</f>
        <v>#N/A</v>
      </c>
      <c r="C332" s="13" t="str">
        <f t="shared" si="47"/>
        <v/>
      </c>
      <c r="D332" s="13" t="str">
        <f t="shared" si="48"/>
        <v/>
      </c>
      <c r="E332" s="13" t="str">
        <f t="shared" si="49"/>
        <v/>
      </c>
      <c r="F332" s="13" t="str">
        <f t="shared" si="50"/>
        <v/>
      </c>
      <c r="G332" s="13" t="str">
        <f t="shared" si="51"/>
        <v/>
      </c>
      <c r="H332" s="13" t="str">
        <f t="shared" si="52"/>
        <v/>
      </c>
      <c r="I332" t="str">
        <f t="shared" si="53"/>
        <v/>
      </c>
    </row>
    <row r="333" spans="1:9">
      <c r="A333">
        <f>CSV!B333</f>
        <v>0</v>
      </c>
      <c r="B333" s="13" t="e">
        <f>INDEX(Input!$D$2:$AC$500,
       MATCH(CPU_Formula!A333, Input!$J$2:$J$500, 0),
       MATCH("CPU model", Input!$D$1:$AC$1, 0))</f>
        <v>#N/A</v>
      </c>
      <c r="C333" s="13" t="str">
        <f t="shared" si="47"/>
        <v/>
      </c>
      <c r="D333" s="13" t="str">
        <f t="shared" si="48"/>
        <v/>
      </c>
      <c r="E333" s="13" t="str">
        <f t="shared" si="49"/>
        <v/>
      </c>
      <c r="F333" s="13" t="str">
        <f t="shared" si="50"/>
        <v/>
      </c>
      <c r="G333" s="13" t="str">
        <f t="shared" si="51"/>
        <v/>
      </c>
      <c r="H333" s="13" t="str">
        <f t="shared" si="52"/>
        <v/>
      </c>
      <c r="I333" t="str">
        <f t="shared" si="53"/>
        <v/>
      </c>
    </row>
    <row r="334" spans="1:9">
      <c r="A334">
        <f>CSV!B334</f>
        <v>0</v>
      </c>
      <c r="B334" s="13" t="e">
        <f>INDEX(Input!$D$2:$AC$500,
       MATCH(CPU_Formula!A334, Input!$J$2:$J$500, 0),
       MATCH("CPU model", Input!$D$1:$AC$1, 0))</f>
        <v>#N/A</v>
      </c>
      <c r="C334" s="13" t="str">
        <f t="shared" si="47"/>
        <v/>
      </c>
      <c r="D334" s="13" t="str">
        <f t="shared" si="48"/>
        <v/>
      </c>
      <c r="E334" s="13" t="str">
        <f t="shared" si="49"/>
        <v/>
      </c>
      <c r="F334" s="13" t="str">
        <f t="shared" si="50"/>
        <v/>
      </c>
      <c r="G334" s="13" t="str">
        <f t="shared" si="51"/>
        <v/>
      </c>
      <c r="H334" s="13" t="str">
        <f t="shared" si="52"/>
        <v/>
      </c>
      <c r="I334" t="str">
        <f t="shared" si="53"/>
        <v/>
      </c>
    </row>
    <row r="335" spans="1:9">
      <c r="A335">
        <f>CSV!B335</f>
        <v>0</v>
      </c>
      <c r="B335" s="13" t="e">
        <f>INDEX(Input!$D$2:$AC$500,
       MATCH(CPU_Formula!A335, Input!$J$2:$J$500, 0),
       MATCH("CPU model", Input!$D$1:$AC$1, 0))</f>
        <v>#N/A</v>
      </c>
      <c r="C335" s="13" t="str">
        <f t="shared" si="47"/>
        <v/>
      </c>
      <c r="D335" s="13" t="str">
        <f t="shared" si="48"/>
        <v/>
      </c>
      <c r="E335" s="13" t="str">
        <f t="shared" si="49"/>
        <v/>
      </c>
      <c r="F335" s="13" t="str">
        <f t="shared" si="50"/>
        <v/>
      </c>
      <c r="G335" s="13" t="str">
        <f t="shared" si="51"/>
        <v/>
      </c>
      <c r="H335" s="13" t="str">
        <f t="shared" si="52"/>
        <v/>
      </c>
      <c r="I335" t="str">
        <f t="shared" si="53"/>
        <v/>
      </c>
    </row>
    <row r="336" spans="1:9">
      <c r="A336">
        <f>CSV!B336</f>
        <v>0</v>
      </c>
      <c r="B336" s="13" t="e">
        <f>INDEX(Input!$D$2:$AC$500,
       MATCH(CPU_Formula!A336, Input!$J$2:$J$500, 0),
       MATCH("CPU model", Input!$D$1:$AC$1, 0))</f>
        <v>#N/A</v>
      </c>
      <c r="C336" s="13" t="str">
        <f t="shared" si="47"/>
        <v/>
      </c>
      <c r="D336" s="13" t="str">
        <f t="shared" si="48"/>
        <v/>
      </c>
      <c r="E336" s="13" t="str">
        <f t="shared" si="49"/>
        <v/>
      </c>
      <c r="F336" s="13" t="str">
        <f t="shared" si="50"/>
        <v/>
      </c>
      <c r="G336" s="13" t="str">
        <f t="shared" si="51"/>
        <v/>
      </c>
      <c r="H336" s="13" t="str">
        <f t="shared" si="52"/>
        <v/>
      </c>
      <c r="I336" t="str">
        <f t="shared" si="53"/>
        <v/>
      </c>
    </row>
    <row r="337" spans="1:9">
      <c r="A337">
        <f>CSV!B337</f>
        <v>0</v>
      </c>
      <c r="B337" s="13" t="e">
        <f>INDEX(Input!$D$2:$AC$500,
       MATCH(CPU_Formula!A337, Input!$J$2:$J$500, 0),
       MATCH("CPU model", Input!$D$1:$AC$1, 0))</f>
        <v>#N/A</v>
      </c>
      <c r="C337" s="13" t="str">
        <f t="shared" si="47"/>
        <v/>
      </c>
      <c r="D337" s="13" t="str">
        <f t="shared" si="48"/>
        <v/>
      </c>
      <c r="E337" s="13" t="str">
        <f t="shared" si="49"/>
        <v/>
      </c>
      <c r="F337" s="13" t="str">
        <f t="shared" si="50"/>
        <v/>
      </c>
      <c r="G337" s="13" t="str">
        <f t="shared" si="51"/>
        <v/>
      </c>
      <c r="H337" s="13" t="str">
        <f t="shared" si="52"/>
        <v/>
      </c>
      <c r="I337" t="str">
        <f t="shared" si="53"/>
        <v/>
      </c>
    </row>
    <row r="338" spans="1:9">
      <c r="A338">
        <f>CSV!B338</f>
        <v>0</v>
      </c>
      <c r="B338" s="13" t="e">
        <f>INDEX(Input!$D$2:$AC$500,
       MATCH(CPU_Formula!A338, Input!$J$2:$J$500, 0),
       MATCH("CPU model", Input!$D$1:$AC$1, 0))</f>
        <v>#N/A</v>
      </c>
      <c r="C338" s="13" t="str">
        <f t="shared" si="47"/>
        <v/>
      </c>
      <c r="D338" s="13" t="str">
        <f t="shared" si="48"/>
        <v/>
      </c>
      <c r="E338" s="13" t="str">
        <f t="shared" si="49"/>
        <v/>
      </c>
      <c r="F338" s="13" t="str">
        <f t="shared" si="50"/>
        <v/>
      </c>
      <c r="G338" s="13" t="str">
        <f t="shared" si="51"/>
        <v/>
      </c>
      <c r="H338" s="13" t="str">
        <f t="shared" si="52"/>
        <v/>
      </c>
      <c r="I338" t="str">
        <f t="shared" si="53"/>
        <v/>
      </c>
    </row>
    <row r="339" spans="1:9">
      <c r="A339">
        <f>CSV!B339</f>
        <v>0</v>
      </c>
      <c r="B339" s="13" t="e">
        <f>INDEX(Input!$D$2:$AC$500,
       MATCH(CPU_Formula!A339, Input!$J$2:$J$500, 0),
       MATCH("CPU model", Input!$D$1:$AC$1, 0))</f>
        <v>#N/A</v>
      </c>
      <c r="C339" s="13" t="str">
        <f t="shared" si="47"/>
        <v/>
      </c>
      <c r="D339" s="13" t="str">
        <f t="shared" si="48"/>
        <v/>
      </c>
      <c r="E339" s="13" t="str">
        <f t="shared" si="49"/>
        <v/>
      </c>
      <c r="F339" s="13" t="str">
        <f t="shared" si="50"/>
        <v/>
      </c>
      <c r="G339" s="13" t="str">
        <f t="shared" si="51"/>
        <v/>
      </c>
      <c r="H339" s="13" t="str">
        <f t="shared" si="52"/>
        <v/>
      </c>
      <c r="I339" t="str">
        <f t="shared" si="53"/>
        <v/>
      </c>
    </row>
    <row r="340" spans="1:9">
      <c r="A340">
        <f>CSV!B340</f>
        <v>0</v>
      </c>
      <c r="B340" s="13" t="e">
        <f>INDEX(Input!$D$2:$AC$500,
       MATCH(CPU_Formula!A340, Input!$J$2:$J$500, 0),
       MATCH("CPU model", Input!$D$1:$AC$1, 0))</f>
        <v>#N/A</v>
      </c>
      <c r="C340" s="13" t="str">
        <f t="shared" si="47"/>
        <v/>
      </c>
      <c r="D340" s="13" t="str">
        <f t="shared" si="48"/>
        <v/>
      </c>
      <c r="E340" s="13" t="str">
        <f t="shared" si="49"/>
        <v/>
      </c>
      <c r="F340" s="13" t="str">
        <f t="shared" si="50"/>
        <v/>
      </c>
      <c r="G340" s="13" t="str">
        <f t="shared" si="51"/>
        <v/>
      </c>
      <c r="H340" s="13" t="str">
        <f t="shared" si="52"/>
        <v/>
      </c>
      <c r="I340" t="str">
        <f t="shared" si="53"/>
        <v/>
      </c>
    </row>
    <row r="341" spans="1:9">
      <c r="A341">
        <f>CSV!B341</f>
        <v>0</v>
      </c>
      <c r="B341" s="13" t="e">
        <f>INDEX(Input!$D$2:$AC$500,
       MATCH(CPU_Formula!A341, Input!$J$2:$J$500, 0),
       MATCH("CPU model", Input!$D$1:$AC$1, 0))</f>
        <v>#N/A</v>
      </c>
      <c r="C341" s="13" t="str">
        <f t="shared" si="47"/>
        <v/>
      </c>
      <c r="D341" s="13" t="str">
        <f t="shared" si="48"/>
        <v/>
      </c>
      <c r="E341" s="13" t="str">
        <f t="shared" si="49"/>
        <v/>
      </c>
      <c r="F341" s="13" t="str">
        <f t="shared" si="50"/>
        <v/>
      </c>
      <c r="G341" s="13" t="str">
        <f t="shared" si="51"/>
        <v/>
      </c>
      <c r="H341" s="13" t="str">
        <f t="shared" si="52"/>
        <v/>
      </c>
      <c r="I341" t="str">
        <f t="shared" si="53"/>
        <v/>
      </c>
    </row>
    <row r="342" spans="1:9">
      <c r="A342">
        <f>CSV!B342</f>
        <v>0</v>
      </c>
      <c r="B342" s="13" t="e">
        <f>INDEX(Input!$D$2:$AC$500,
       MATCH(CPU_Formula!A342, Input!$J$2:$J$500, 0),
       MATCH("CPU model", Input!$D$1:$AC$1, 0))</f>
        <v>#N/A</v>
      </c>
      <c r="C342" s="13" t="str">
        <f t="shared" si="47"/>
        <v/>
      </c>
      <c r="D342" s="13" t="str">
        <f t="shared" si="48"/>
        <v/>
      </c>
      <c r="E342" s="13" t="str">
        <f t="shared" si="49"/>
        <v/>
      </c>
      <c r="F342" s="13" t="str">
        <f t="shared" si="50"/>
        <v/>
      </c>
      <c r="G342" s="13" t="str">
        <f t="shared" si="51"/>
        <v/>
      </c>
      <c r="H342" s="13" t="str">
        <f t="shared" si="52"/>
        <v/>
      </c>
      <c r="I342" t="str">
        <f t="shared" si="53"/>
        <v/>
      </c>
    </row>
    <row r="343" spans="1:9">
      <c r="A343">
        <f>CSV!B343</f>
        <v>0</v>
      </c>
      <c r="B343" s="13" t="e">
        <f>INDEX(Input!$D$2:$AC$500,
       MATCH(CPU_Formula!A343, Input!$J$2:$J$500, 0),
       MATCH("CPU model", Input!$D$1:$AC$1, 0))</f>
        <v>#N/A</v>
      </c>
      <c r="C343" s="13" t="str">
        <f t="shared" si="47"/>
        <v/>
      </c>
      <c r="D343" s="13" t="str">
        <f t="shared" si="48"/>
        <v/>
      </c>
      <c r="E343" s="13" t="str">
        <f t="shared" si="49"/>
        <v/>
      </c>
      <c r="F343" s="13" t="str">
        <f t="shared" si="50"/>
        <v/>
      </c>
      <c r="G343" s="13" t="str">
        <f t="shared" si="51"/>
        <v/>
      </c>
      <c r="H343" s="13" t="str">
        <f t="shared" si="52"/>
        <v/>
      </c>
      <c r="I343" t="str">
        <f t="shared" si="53"/>
        <v/>
      </c>
    </row>
    <row r="344" spans="1:9">
      <c r="A344">
        <f>CSV!B344</f>
        <v>0</v>
      </c>
      <c r="B344" s="13" t="e">
        <f>INDEX(Input!$D$2:$AC$500,
       MATCH(CPU_Formula!A344, Input!$J$2:$J$500, 0),
       MATCH("CPU model", Input!$D$1:$AC$1, 0))</f>
        <v>#N/A</v>
      </c>
      <c r="C344" s="13" t="str">
        <f t="shared" si="47"/>
        <v/>
      </c>
      <c r="D344" s="13" t="str">
        <f t="shared" si="48"/>
        <v/>
      </c>
      <c r="E344" s="13" t="str">
        <f t="shared" si="49"/>
        <v/>
      </c>
      <c r="F344" s="13" t="str">
        <f t="shared" si="50"/>
        <v/>
      </c>
      <c r="G344" s="13" t="str">
        <f t="shared" si="51"/>
        <v/>
      </c>
      <c r="H344" s="13" t="str">
        <f t="shared" si="52"/>
        <v/>
      </c>
      <c r="I344" t="str">
        <f t="shared" si="53"/>
        <v/>
      </c>
    </row>
    <row r="345" spans="1:9">
      <c r="A345">
        <f>CSV!B345</f>
        <v>0</v>
      </c>
      <c r="B345" s="13" t="e">
        <f>INDEX(Input!$D$2:$AC$500,
       MATCH(CPU_Formula!A345, Input!$J$2:$J$500, 0),
       MATCH("CPU model", Input!$D$1:$AC$1, 0))</f>
        <v>#N/A</v>
      </c>
      <c r="C345" s="13" t="str">
        <f t="shared" si="47"/>
        <v/>
      </c>
      <c r="D345" s="13" t="str">
        <f t="shared" si="48"/>
        <v/>
      </c>
      <c r="E345" s="13" t="str">
        <f t="shared" si="49"/>
        <v/>
      </c>
      <c r="F345" s="13" t="str">
        <f t="shared" si="50"/>
        <v/>
      </c>
      <c r="G345" s="13" t="str">
        <f t="shared" si="51"/>
        <v/>
      </c>
      <c r="H345" s="13" t="str">
        <f t="shared" si="52"/>
        <v/>
      </c>
      <c r="I345" t="str">
        <f t="shared" si="53"/>
        <v/>
      </c>
    </row>
    <row r="346" spans="1:9">
      <c r="A346">
        <f>CSV!B346</f>
        <v>0</v>
      </c>
      <c r="B346" s="13" t="e">
        <f>INDEX(Input!$D$2:$AC$500,
       MATCH(CPU_Formula!A346, Input!$J$2:$J$500, 0),
       MATCH("CPU model", Input!$D$1:$AC$1, 0))</f>
        <v>#N/A</v>
      </c>
      <c r="C346" s="13" t="str">
        <f t="shared" si="47"/>
        <v/>
      </c>
      <c r="D346" s="13" t="str">
        <f t="shared" si="48"/>
        <v/>
      </c>
      <c r="E346" s="13" t="str">
        <f t="shared" si="49"/>
        <v/>
      </c>
      <c r="F346" s="13" t="str">
        <f t="shared" si="50"/>
        <v/>
      </c>
      <c r="G346" s="13" t="str">
        <f t="shared" si="51"/>
        <v/>
      </c>
      <c r="H346" s="13" t="str">
        <f t="shared" si="52"/>
        <v/>
      </c>
      <c r="I346" t="str">
        <f t="shared" si="53"/>
        <v/>
      </c>
    </row>
    <row r="347" spans="1:9">
      <c r="A347">
        <f>CSV!B347</f>
        <v>0</v>
      </c>
      <c r="B347" s="13" t="e">
        <f>INDEX(Input!$D$2:$AC$500,
       MATCH(CPU_Formula!A347, Input!$J$2:$J$500, 0),
       MATCH("CPU model", Input!$D$1:$AC$1, 0))</f>
        <v>#N/A</v>
      </c>
      <c r="C347" s="13" t="str">
        <f t="shared" si="47"/>
        <v/>
      </c>
      <c r="D347" s="13" t="str">
        <f t="shared" si="48"/>
        <v/>
      </c>
      <c r="E347" s="13" t="str">
        <f t="shared" si="49"/>
        <v/>
      </c>
      <c r="F347" s="13" t="str">
        <f t="shared" si="50"/>
        <v/>
      </c>
      <c r="G347" s="13" t="str">
        <f t="shared" si="51"/>
        <v/>
      </c>
      <c r="H347" s="13" t="str">
        <f t="shared" si="52"/>
        <v/>
      </c>
      <c r="I347" t="str">
        <f t="shared" si="53"/>
        <v/>
      </c>
    </row>
    <row r="348" spans="1:9">
      <c r="A348">
        <f>CSV!B348</f>
        <v>0</v>
      </c>
      <c r="B348" s="13" t="e">
        <f>INDEX(Input!$D$2:$AC$500,
       MATCH(CPU_Formula!A348, Input!$J$2:$J$500, 0),
       MATCH("CPU model", Input!$D$1:$AC$1, 0))</f>
        <v>#N/A</v>
      </c>
      <c r="C348" s="13" t="str">
        <f t="shared" si="47"/>
        <v/>
      </c>
      <c r="D348" s="13" t="str">
        <f t="shared" si="48"/>
        <v/>
      </c>
      <c r="E348" s="13" t="str">
        <f t="shared" si="49"/>
        <v/>
      </c>
      <c r="F348" s="13" t="str">
        <f t="shared" si="50"/>
        <v/>
      </c>
      <c r="G348" s="13" t="str">
        <f t="shared" si="51"/>
        <v/>
      </c>
      <c r="H348" s="13" t="str">
        <f t="shared" si="52"/>
        <v/>
      </c>
      <c r="I348" t="str">
        <f t="shared" si="53"/>
        <v/>
      </c>
    </row>
    <row r="349" spans="1:9">
      <c r="A349">
        <f>CSV!B349</f>
        <v>0</v>
      </c>
      <c r="B349" s="13" t="e">
        <f>INDEX(Input!$D$2:$AC$500,
       MATCH(CPU_Formula!A349, Input!$J$2:$J$500, 0),
       MATCH("CPU model", Input!$D$1:$AC$1, 0))</f>
        <v>#N/A</v>
      </c>
      <c r="C349" s="13" t="str">
        <f t="shared" si="47"/>
        <v/>
      </c>
      <c r="D349" s="13" t="str">
        <f t="shared" si="48"/>
        <v/>
      </c>
      <c r="E349" s="13" t="str">
        <f t="shared" si="49"/>
        <v/>
      </c>
      <c r="F349" s="13" t="str">
        <f t="shared" si="50"/>
        <v/>
      </c>
      <c r="G349" s="13" t="str">
        <f t="shared" si="51"/>
        <v/>
      </c>
      <c r="H349" s="13" t="str">
        <f t="shared" si="52"/>
        <v/>
      </c>
      <c r="I349" t="str">
        <f t="shared" si="53"/>
        <v/>
      </c>
    </row>
    <row r="350" spans="1:9">
      <c r="A350">
        <f>CSV!B350</f>
        <v>0</v>
      </c>
      <c r="B350" s="13" t="e">
        <f>INDEX(Input!$D$2:$AC$500,
       MATCH(CPU_Formula!A350, Input!$J$2:$J$500, 0),
       MATCH("CPU model", Input!$D$1:$AC$1, 0))</f>
        <v>#N/A</v>
      </c>
      <c r="C350" s="13" t="str">
        <f t="shared" si="47"/>
        <v/>
      </c>
      <c r="D350" s="13" t="str">
        <f t="shared" si="48"/>
        <v/>
      </c>
      <c r="E350" s="13" t="str">
        <f t="shared" si="49"/>
        <v/>
      </c>
      <c r="F350" s="13" t="str">
        <f t="shared" si="50"/>
        <v/>
      </c>
      <c r="G350" s="13" t="str">
        <f t="shared" si="51"/>
        <v/>
      </c>
      <c r="H350" s="13" t="str">
        <f t="shared" si="52"/>
        <v/>
      </c>
      <c r="I350" t="str">
        <f t="shared" si="53"/>
        <v/>
      </c>
    </row>
    <row r="351" spans="1:9">
      <c r="A351">
        <f>CSV!B351</f>
        <v>0</v>
      </c>
      <c r="B351" s="13" t="e">
        <f>INDEX(Input!$D$2:$AC$500,
       MATCH(CPU_Formula!A351, Input!$J$2:$J$500, 0),
       MATCH("CPU model", Input!$D$1:$AC$1, 0))</f>
        <v>#N/A</v>
      </c>
      <c r="C351" s="13" t="str">
        <f t="shared" si="47"/>
        <v/>
      </c>
      <c r="D351" s="13" t="str">
        <f t="shared" si="48"/>
        <v/>
      </c>
      <c r="E351" s="13" t="str">
        <f t="shared" si="49"/>
        <v/>
      </c>
      <c r="F351" s="13" t="str">
        <f t="shared" si="50"/>
        <v/>
      </c>
      <c r="G351" s="13" t="str">
        <f t="shared" si="51"/>
        <v/>
      </c>
      <c r="H351" s="13" t="str">
        <f t="shared" si="52"/>
        <v/>
      </c>
      <c r="I351" t="str">
        <f t="shared" si="53"/>
        <v/>
      </c>
    </row>
    <row r="352" spans="1:9">
      <c r="A352">
        <f>CSV!B352</f>
        <v>0</v>
      </c>
      <c r="B352" s="13" t="e">
        <f>INDEX(Input!$D$2:$AC$500,
       MATCH(CPU_Formula!A352, Input!$J$2:$J$500, 0),
       MATCH("CPU model", Input!$D$1:$AC$1, 0))</f>
        <v>#N/A</v>
      </c>
      <c r="C352" s="13" t="str">
        <f t="shared" si="47"/>
        <v/>
      </c>
      <c r="D352" s="13" t="str">
        <f t="shared" si="48"/>
        <v/>
      </c>
      <c r="E352" s="13" t="str">
        <f t="shared" si="49"/>
        <v/>
      </c>
      <c r="F352" s="13" t="str">
        <f t="shared" si="50"/>
        <v/>
      </c>
      <c r="G352" s="13" t="str">
        <f t="shared" si="51"/>
        <v/>
      </c>
      <c r="H352" s="13" t="str">
        <f t="shared" si="52"/>
        <v/>
      </c>
      <c r="I352" t="str">
        <f t="shared" si="53"/>
        <v/>
      </c>
    </row>
    <row r="353" spans="1:9">
      <c r="A353">
        <f>CSV!B353</f>
        <v>0</v>
      </c>
      <c r="B353" s="13" t="e">
        <f>INDEX(Input!$D$2:$AC$500,
       MATCH(CPU_Formula!A353, Input!$J$2:$J$500, 0),
       MATCH("CPU model", Input!$D$1:$AC$1, 0))</f>
        <v>#N/A</v>
      </c>
      <c r="C353" s="13" t="str">
        <f t="shared" si="47"/>
        <v/>
      </c>
      <c r="D353" s="13" t="str">
        <f t="shared" si="48"/>
        <v/>
      </c>
      <c r="E353" s="13" t="str">
        <f t="shared" si="49"/>
        <v/>
      </c>
      <c r="F353" s="13" t="str">
        <f t="shared" si="50"/>
        <v/>
      </c>
      <c r="G353" s="13" t="str">
        <f t="shared" si="51"/>
        <v/>
      </c>
      <c r="H353" s="13" t="str">
        <f t="shared" si="52"/>
        <v/>
      </c>
      <c r="I353" t="str">
        <f t="shared" si="53"/>
        <v/>
      </c>
    </row>
    <row r="354" spans="1:9">
      <c r="A354">
        <f>CSV!B354</f>
        <v>0</v>
      </c>
      <c r="B354" s="13" t="e">
        <f>INDEX(Input!$D$2:$AC$500,
       MATCH(CPU_Formula!A354, Input!$J$2:$J$500, 0),
       MATCH("CPU model", Input!$D$1:$AC$1, 0))</f>
        <v>#N/A</v>
      </c>
      <c r="C354" s="13" t="str">
        <f t="shared" si="47"/>
        <v/>
      </c>
      <c r="D354" s="13" t="str">
        <f t="shared" si="48"/>
        <v/>
      </c>
      <c r="E354" s="13" t="str">
        <f t="shared" si="49"/>
        <v/>
      </c>
      <c r="F354" s="13" t="str">
        <f t="shared" si="50"/>
        <v/>
      </c>
      <c r="G354" s="13" t="str">
        <f t="shared" si="51"/>
        <v/>
      </c>
      <c r="H354" s="13" t="str">
        <f t="shared" si="52"/>
        <v/>
      </c>
      <c r="I354" t="str">
        <f t="shared" si="53"/>
        <v/>
      </c>
    </row>
    <row r="355" spans="1:9">
      <c r="A355">
        <f>CSV!B355</f>
        <v>0</v>
      </c>
      <c r="B355" s="13" t="e">
        <f>INDEX(Input!$D$2:$AC$500,
       MATCH(CPU_Formula!A355, Input!$J$2:$J$500, 0),
       MATCH("CPU model", Input!$D$1:$AC$1, 0))</f>
        <v>#N/A</v>
      </c>
      <c r="C355" s="13" t="str">
        <f t="shared" si="47"/>
        <v/>
      </c>
      <c r="D355" s="13" t="str">
        <f t="shared" si="48"/>
        <v/>
      </c>
      <c r="E355" s="13" t="str">
        <f t="shared" si="49"/>
        <v/>
      </c>
      <c r="F355" s="13" t="str">
        <f t="shared" si="50"/>
        <v/>
      </c>
      <c r="G355" s="13" t="str">
        <f t="shared" si="51"/>
        <v/>
      </c>
      <c r="H355" s="13" t="str">
        <f t="shared" si="52"/>
        <v/>
      </c>
      <c r="I355" t="str">
        <f t="shared" si="53"/>
        <v/>
      </c>
    </row>
    <row r="356" spans="1:9">
      <c r="A356">
        <f>CSV!B356</f>
        <v>0</v>
      </c>
      <c r="B356" s="13" t="e">
        <f>INDEX(Input!$D$2:$AC$500,
       MATCH(CPU_Formula!A356, Input!$J$2:$J$500, 0),
       MATCH("CPU model", Input!$D$1:$AC$1, 0))</f>
        <v>#N/A</v>
      </c>
      <c r="C356" s="13" t="str">
        <f t="shared" si="47"/>
        <v/>
      </c>
      <c r="D356" s="13" t="str">
        <f t="shared" si="48"/>
        <v/>
      </c>
      <c r="E356" s="13" t="str">
        <f t="shared" si="49"/>
        <v/>
      </c>
      <c r="F356" s="13" t="str">
        <f t="shared" si="50"/>
        <v/>
      </c>
      <c r="G356" s="13" t="str">
        <f t="shared" si="51"/>
        <v/>
      </c>
      <c r="H356" s="13" t="str">
        <f t="shared" si="52"/>
        <v/>
      </c>
      <c r="I356" t="str">
        <f t="shared" si="53"/>
        <v/>
      </c>
    </row>
    <row r="357" spans="1:9">
      <c r="A357">
        <f>CSV!B357</f>
        <v>0</v>
      </c>
      <c r="B357" s="13" t="e">
        <f>INDEX(Input!$D$2:$AC$500,
       MATCH(CPU_Formula!A357, Input!$J$2:$J$500, 0),
       MATCH("CPU model", Input!$D$1:$AC$1, 0))</f>
        <v>#N/A</v>
      </c>
      <c r="C357" s="13" t="str">
        <f t="shared" si="47"/>
        <v/>
      </c>
      <c r="D357" s="13" t="str">
        <f t="shared" si="48"/>
        <v/>
      </c>
      <c r="E357" s="13" t="str">
        <f t="shared" si="49"/>
        <v/>
      </c>
      <c r="F357" s="13" t="str">
        <f t="shared" si="50"/>
        <v/>
      </c>
      <c r="G357" s="13" t="str">
        <f t="shared" si="51"/>
        <v/>
      </c>
      <c r="H357" s="13" t="str">
        <f t="shared" si="52"/>
        <v/>
      </c>
      <c r="I357" t="str">
        <f t="shared" si="53"/>
        <v/>
      </c>
    </row>
    <row r="358" spans="1:9">
      <c r="A358">
        <f>CSV!B358</f>
        <v>0</v>
      </c>
      <c r="B358" s="13" t="e">
        <f>INDEX(Input!$D$2:$AC$500,
       MATCH(CPU_Formula!A358, Input!$J$2:$J$500, 0),
       MATCH("CPU model", Input!$D$1:$AC$1, 0))</f>
        <v>#N/A</v>
      </c>
      <c r="C358" s="13" t="str">
        <f t="shared" si="47"/>
        <v/>
      </c>
      <c r="D358" s="13" t="str">
        <f t="shared" si="48"/>
        <v/>
      </c>
      <c r="E358" s="13" t="str">
        <f t="shared" si="49"/>
        <v/>
      </c>
      <c r="F358" s="13" t="str">
        <f t="shared" si="50"/>
        <v/>
      </c>
      <c r="G358" s="13" t="str">
        <f t="shared" si="51"/>
        <v/>
      </c>
      <c r="H358" s="13" t="str">
        <f t="shared" si="52"/>
        <v/>
      </c>
      <c r="I358" t="str">
        <f t="shared" si="53"/>
        <v/>
      </c>
    </row>
    <row r="359" spans="1:9">
      <c r="A359">
        <f>CSV!B359</f>
        <v>0</v>
      </c>
      <c r="B359" s="13" t="e">
        <f>INDEX(Input!$D$2:$AC$500,
       MATCH(CPU_Formula!A359, Input!$J$2:$J$500, 0),
       MATCH("CPU model", Input!$D$1:$AC$1, 0))</f>
        <v>#N/A</v>
      </c>
      <c r="C359" s="13" t="str">
        <f t="shared" si="47"/>
        <v/>
      </c>
      <c r="D359" s="13" t="str">
        <f t="shared" si="48"/>
        <v/>
      </c>
      <c r="E359" s="13" t="str">
        <f t="shared" si="49"/>
        <v/>
      </c>
      <c r="F359" s="13" t="str">
        <f t="shared" si="50"/>
        <v/>
      </c>
      <c r="G359" s="13" t="str">
        <f t="shared" si="51"/>
        <v/>
      </c>
      <c r="H359" s="13" t="str">
        <f t="shared" si="52"/>
        <v/>
      </c>
      <c r="I359" t="str">
        <f t="shared" si="53"/>
        <v/>
      </c>
    </row>
    <row r="360" spans="1:9">
      <c r="A360">
        <f>CSV!B360</f>
        <v>0</v>
      </c>
      <c r="B360" s="13" t="e">
        <f>INDEX(Input!$D$2:$AC$500,
       MATCH(CPU_Formula!A360, Input!$J$2:$J$500, 0),
       MATCH("CPU model", Input!$D$1:$AC$1, 0))</f>
        <v>#N/A</v>
      </c>
      <c r="C360" s="13" t="str">
        <f t="shared" ref="C360:C423" si="54">IFERROR(_xlfn.TEXTAFTER(B360,"Core(TM) "),IFERROR(_xlfn.TEXTAFTER(B360,"Xeon(R) CPU"),""))</f>
        <v/>
      </c>
      <c r="D360" s="13" t="str">
        <f t="shared" ref="D360:D423" si="55">IFERROR(_xlfn.TEXTAFTER(B360,"Ryzen "), "")</f>
        <v/>
      </c>
      <c r="E360" s="13" t="str">
        <f t="shared" ref="E360:E423" si="56">IF(ISNUMBER(SEARCH("Ultra", B360)), "Ultra"&amp;_xlfn.TEXTAFTER(B360, "Ultra"), "")</f>
        <v/>
      </c>
      <c r="F360" s="13" t="str">
        <f t="shared" ref="F360:F423" si="57">IF(C360&lt;&gt;"", TRIM(_xlfn.TEXTBEFORE(C360," ",,1,1)), "")</f>
        <v/>
      </c>
      <c r="G360" s="13" t="str">
        <f t="shared" ref="G360:G423" si="58">IF(D360&lt;&gt;"", TRIM(_xlfn.TEXTBEFORE(D360," ",,1)), "")</f>
        <v/>
      </c>
      <c r="H360" s="13" t="str">
        <f t="shared" ref="H360:H423" si="59">E360</f>
        <v/>
      </c>
      <c r="I360" t="str">
        <f t="shared" ref="I360:I423" si="60">IF(H360&lt;&gt;"",H360,IF(G360&lt;&gt;"",G360,F360))</f>
        <v/>
      </c>
    </row>
    <row r="361" spans="1:9">
      <c r="A361">
        <f>CSV!B361</f>
        <v>0</v>
      </c>
      <c r="B361" s="13" t="e">
        <f>INDEX(Input!$D$2:$AC$500,
       MATCH(CPU_Formula!A361, Input!$J$2:$J$500, 0),
       MATCH("CPU model", Input!$D$1:$AC$1, 0))</f>
        <v>#N/A</v>
      </c>
      <c r="C361" s="13" t="str">
        <f t="shared" si="54"/>
        <v/>
      </c>
      <c r="D361" s="13" t="str">
        <f t="shared" si="55"/>
        <v/>
      </c>
      <c r="E361" s="13" t="str">
        <f t="shared" si="56"/>
        <v/>
      </c>
      <c r="F361" s="13" t="str">
        <f t="shared" si="57"/>
        <v/>
      </c>
      <c r="G361" s="13" t="str">
        <f t="shared" si="58"/>
        <v/>
      </c>
      <c r="H361" s="13" t="str">
        <f t="shared" si="59"/>
        <v/>
      </c>
      <c r="I361" t="str">
        <f t="shared" si="60"/>
        <v/>
      </c>
    </row>
    <row r="362" spans="1:9">
      <c r="A362">
        <f>CSV!B362</f>
        <v>0</v>
      </c>
      <c r="B362" s="13" t="e">
        <f>INDEX(Input!$D$2:$AC$500,
       MATCH(CPU_Formula!A362, Input!$J$2:$J$500, 0),
       MATCH("CPU model", Input!$D$1:$AC$1, 0))</f>
        <v>#N/A</v>
      </c>
      <c r="C362" s="13" t="str">
        <f t="shared" si="54"/>
        <v/>
      </c>
      <c r="D362" s="13" t="str">
        <f t="shared" si="55"/>
        <v/>
      </c>
      <c r="E362" s="13" t="str">
        <f t="shared" si="56"/>
        <v/>
      </c>
      <c r="F362" s="13" t="str">
        <f t="shared" si="57"/>
        <v/>
      </c>
      <c r="G362" s="13" t="str">
        <f t="shared" si="58"/>
        <v/>
      </c>
      <c r="H362" s="13" t="str">
        <f t="shared" si="59"/>
        <v/>
      </c>
      <c r="I362" t="str">
        <f t="shared" si="60"/>
        <v/>
      </c>
    </row>
    <row r="363" spans="1:9">
      <c r="A363">
        <f>CSV!B363</f>
        <v>0</v>
      </c>
      <c r="B363" s="13" t="e">
        <f>INDEX(Input!$D$2:$AC$500,
       MATCH(CPU_Formula!A363, Input!$J$2:$J$500, 0),
       MATCH("CPU model", Input!$D$1:$AC$1, 0))</f>
        <v>#N/A</v>
      </c>
      <c r="C363" s="13" t="str">
        <f t="shared" si="54"/>
        <v/>
      </c>
      <c r="D363" s="13" t="str">
        <f t="shared" si="55"/>
        <v/>
      </c>
      <c r="E363" s="13" t="str">
        <f t="shared" si="56"/>
        <v/>
      </c>
      <c r="F363" s="13" t="str">
        <f t="shared" si="57"/>
        <v/>
      </c>
      <c r="G363" s="13" t="str">
        <f t="shared" si="58"/>
        <v/>
      </c>
      <c r="H363" s="13" t="str">
        <f t="shared" si="59"/>
        <v/>
      </c>
      <c r="I363" t="str">
        <f t="shared" si="60"/>
        <v/>
      </c>
    </row>
    <row r="364" spans="1:9">
      <c r="A364">
        <f>CSV!B364</f>
        <v>0</v>
      </c>
      <c r="B364" s="13" t="e">
        <f>INDEX(Input!$D$2:$AC$500,
       MATCH(CPU_Formula!A364, Input!$J$2:$J$500, 0),
       MATCH("CPU model", Input!$D$1:$AC$1, 0))</f>
        <v>#N/A</v>
      </c>
      <c r="C364" s="13" t="str">
        <f t="shared" si="54"/>
        <v/>
      </c>
      <c r="D364" s="13" t="str">
        <f t="shared" si="55"/>
        <v/>
      </c>
      <c r="E364" s="13" t="str">
        <f t="shared" si="56"/>
        <v/>
      </c>
      <c r="F364" s="13" t="str">
        <f t="shared" si="57"/>
        <v/>
      </c>
      <c r="G364" s="13" t="str">
        <f t="shared" si="58"/>
        <v/>
      </c>
      <c r="H364" s="13" t="str">
        <f t="shared" si="59"/>
        <v/>
      </c>
      <c r="I364" t="str">
        <f t="shared" si="60"/>
        <v/>
      </c>
    </row>
    <row r="365" spans="1:9">
      <c r="A365">
        <f>CSV!B365</f>
        <v>0</v>
      </c>
      <c r="B365" s="13" t="e">
        <f>INDEX(Input!$D$2:$AC$500,
       MATCH(CPU_Formula!A365, Input!$J$2:$J$500, 0),
       MATCH("CPU model", Input!$D$1:$AC$1, 0))</f>
        <v>#N/A</v>
      </c>
      <c r="C365" s="13" t="str">
        <f t="shared" si="54"/>
        <v/>
      </c>
      <c r="D365" s="13" t="str">
        <f t="shared" si="55"/>
        <v/>
      </c>
      <c r="E365" s="13" t="str">
        <f t="shared" si="56"/>
        <v/>
      </c>
      <c r="F365" s="13" t="str">
        <f t="shared" si="57"/>
        <v/>
      </c>
      <c r="G365" s="13" t="str">
        <f t="shared" si="58"/>
        <v/>
      </c>
      <c r="H365" s="13" t="str">
        <f t="shared" si="59"/>
        <v/>
      </c>
      <c r="I365" t="str">
        <f t="shared" si="60"/>
        <v/>
      </c>
    </row>
    <row r="366" spans="1:9">
      <c r="A366">
        <f>CSV!B366</f>
        <v>0</v>
      </c>
      <c r="B366" s="13" t="e">
        <f>INDEX(Input!$D$2:$AC$500,
       MATCH(CPU_Formula!A366, Input!$J$2:$J$500, 0),
       MATCH("CPU model", Input!$D$1:$AC$1, 0))</f>
        <v>#N/A</v>
      </c>
      <c r="C366" s="13" t="str">
        <f t="shared" si="54"/>
        <v/>
      </c>
      <c r="D366" s="13" t="str">
        <f t="shared" si="55"/>
        <v/>
      </c>
      <c r="E366" s="13" t="str">
        <f t="shared" si="56"/>
        <v/>
      </c>
      <c r="F366" s="13" t="str">
        <f t="shared" si="57"/>
        <v/>
      </c>
      <c r="G366" s="13" t="str">
        <f t="shared" si="58"/>
        <v/>
      </c>
      <c r="H366" s="13" t="str">
        <f t="shared" si="59"/>
        <v/>
      </c>
      <c r="I366" t="str">
        <f t="shared" si="60"/>
        <v/>
      </c>
    </row>
    <row r="367" spans="1:9">
      <c r="A367">
        <f>CSV!B367</f>
        <v>0</v>
      </c>
      <c r="B367" s="13" t="e">
        <f>INDEX(Input!$D$2:$AC$500,
       MATCH(CPU_Formula!A367, Input!$J$2:$J$500, 0),
       MATCH("CPU model", Input!$D$1:$AC$1, 0))</f>
        <v>#N/A</v>
      </c>
      <c r="C367" s="13" t="str">
        <f t="shared" si="54"/>
        <v/>
      </c>
      <c r="D367" s="13" t="str">
        <f t="shared" si="55"/>
        <v/>
      </c>
      <c r="E367" s="13" t="str">
        <f t="shared" si="56"/>
        <v/>
      </c>
      <c r="F367" s="13" t="str">
        <f t="shared" si="57"/>
        <v/>
      </c>
      <c r="G367" s="13" t="str">
        <f t="shared" si="58"/>
        <v/>
      </c>
      <c r="H367" s="13" t="str">
        <f t="shared" si="59"/>
        <v/>
      </c>
      <c r="I367" t="str">
        <f t="shared" si="60"/>
        <v/>
      </c>
    </row>
    <row r="368" spans="1:9">
      <c r="A368">
        <f>CSV!B368</f>
        <v>0</v>
      </c>
      <c r="B368" s="13" t="e">
        <f>INDEX(Input!$D$2:$AC$500,
       MATCH(CPU_Formula!A368, Input!$J$2:$J$500, 0),
       MATCH("CPU model", Input!$D$1:$AC$1, 0))</f>
        <v>#N/A</v>
      </c>
      <c r="C368" s="13" t="str">
        <f t="shared" si="54"/>
        <v/>
      </c>
      <c r="D368" s="13" t="str">
        <f t="shared" si="55"/>
        <v/>
      </c>
      <c r="E368" s="13" t="str">
        <f t="shared" si="56"/>
        <v/>
      </c>
      <c r="F368" s="13" t="str">
        <f t="shared" si="57"/>
        <v/>
      </c>
      <c r="G368" s="13" t="str">
        <f t="shared" si="58"/>
        <v/>
      </c>
      <c r="H368" s="13" t="str">
        <f t="shared" si="59"/>
        <v/>
      </c>
      <c r="I368" t="str">
        <f t="shared" si="60"/>
        <v/>
      </c>
    </row>
    <row r="369" spans="1:9">
      <c r="A369">
        <f>CSV!B369</f>
        <v>0</v>
      </c>
      <c r="B369" s="13" t="e">
        <f>INDEX(Input!$D$2:$AC$500,
       MATCH(CPU_Formula!A369, Input!$J$2:$J$500, 0),
       MATCH("CPU model", Input!$D$1:$AC$1, 0))</f>
        <v>#N/A</v>
      </c>
      <c r="C369" s="13" t="str">
        <f t="shared" si="54"/>
        <v/>
      </c>
      <c r="D369" s="13" t="str">
        <f t="shared" si="55"/>
        <v/>
      </c>
      <c r="E369" s="13" t="str">
        <f t="shared" si="56"/>
        <v/>
      </c>
      <c r="F369" s="13" t="str">
        <f t="shared" si="57"/>
        <v/>
      </c>
      <c r="G369" s="13" t="str">
        <f t="shared" si="58"/>
        <v/>
      </c>
      <c r="H369" s="13" t="str">
        <f t="shared" si="59"/>
        <v/>
      </c>
      <c r="I369" t="str">
        <f t="shared" si="60"/>
        <v/>
      </c>
    </row>
    <row r="370" spans="1:9">
      <c r="A370">
        <f>CSV!B370</f>
        <v>0</v>
      </c>
      <c r="B370" s="13" t="e">
        <f>INDEX(Input!$D$2:$AC$500,
       MATCH(CPU_Formula!A370, Input!$J$2:$J$500, 0),
       MATCH("CPU model", Input!$D$1:$AC$1, 0))</f>
        <v>#N/A</v>
      </c>
      <c r="C370" s="13" t="str">
        <f t="shared" si="54"/>
        <v/>
      </c>
      <c r="D370" s="13" t="str">
        <f t="shared" si="55"/>
        <v/>
      </c>
      <c r="E370" s="13" t="str">
        <f t="shared" si="56"/>
        <v/>
      </c>
      <c r="F370" s="13" t="str">
        <f t="shared" si="57"/>
        <v/>
      </c>
      <c r="G370" s="13" t="str">
        <f t="shared" si="58"/>
        <v/>
      </c>
      <c r="H370" s="13" t="str">
        <f t="shared" si="59"/>
        <v/>
      </c>
      <c r="I370" t="str">
        <f t="shared" si="60"/>
        <v/>
      </c>
    </row>
    <row r="371" spans="1:9">
      <c r="A371">
        <f>CSV!B371</f>
        <v>0</v>
      </c>
      <c r="B371" s="13" t="e">
        <f>INDEX(Input!$D$2:$AC$500,
       MATCH(CPU_Formula!A371, Input!$J$2:$J$500, 0),
       MATCH("CPU model", Input!$D$1:$AC$1, 0))</f>
        <v>#N/A</v>
      </c>
      <c r="C371" s="13" t="str">
        <f t="shared" si="54"/>
        <v/>
      </c>
      <c r="D371" s="13" t="str">
        <f t="shared" si="55"/>
        <v/>
      </c>
      <c r="E371" s="13" t="str">
        <f t="shared" si="56"/>
        <v/>
      </c>
      <c r="F371" s="13" t="str">
        <f t="shared" si="57"/>
        <v/>
      </c>
      <c r="G371" s="13" t="str">
        <f t="shared" si="58"/>
        <v/>
      </c>
      <c r="H371" s="13" t="str">
        <f t="shared" si="59"/>
        <v/>
      </c>
      <c r="I371" t="str">
        <f t="shared" si="60"/>
        <v/>
      </c>
    </row>
    <row r="372" spans="1:9">
      <c r="A372">
        <f>CSV!B372</f>
        <v>0</v>
      </c>
      <c r="B372" s="13" t="e">
        <f>INDEX(Input!$D$2:$AC$500,
       MATCH(CPU_Formula!A372, Input!$J$2:$J$500, 0),
       MATCH("CPU model", Input!$D$1:$AC$1, 0))</f>
        <v>#N/A</v>
      </c>
      <c r="C372" s="13" t="str">
        <f t="shared" si="54"/>
        <v/>
      </c>
      <c r="D372" s="13" t="str">
        <f t="shared" si="55"/>
        <v/>
      </c>
      <c r="E372" s="13" t="str">
        <f t="shared" si="56"/>
        <v/>
      </c>
      <c r="F372" s="13" t="str">
        <f t="shared" si="57"/>
        <v/>
      </c>
      <c r="G372" s="13" t="str">
        <f t="shared" si="58"/>
        <v/>
      </c>
      <c r="H372" s="13" t="str">
        <f t="shared" si="59"/>
        <v/>
      </c>
      <c r="I372" t="str">
        <f t="shared" si="60"/>
        <v/>
      </c>
    </row>
    <row r="373" spans="1:9">
      <c r="A373">
        <f>CSV!B373</f>
        <v>0</v>
      </c>
      <c r="B373" s="13" t="e">
        <f>INDEX(Input!$D$2:$AC$500,
       MATCH(CPU_Formula!A373, Input!$J$2:$J$500, 0),
       MATCH("CPU model", Input!$D$1:$AC$1, 0))</f>
        <v>#N/A</v>
      </c>
      <c r="C373" s="13" t="str">
        <f t="shared" si="54"/>
        <v/>
      </c>
      <c r="D373" s="13" t="str">
        <f t="shared" si="55"/>
        <v/>
      </c>
      <c r="E373" s="13" t="str">
        <f t="shared" si="56"/>
        <v/>
      </c>
      <c r="F373" s="13" t="str">
        <f t="shared" si="57"/>
        <v/>
      </c>
      <c r="G373" s="13" t="str">
        <f t="shared" si="58"/>
        <v/>
      </c>
      <c r="H373" s="13" t="str">
        <f t="shared" si="59"/>
        <v/>
      </c>
      <c r="I373" t="str">
        <f t="shared" si="60"/>
        <v/>
      </c>
    </row>
    <row r="374" spans="1:9">
      <c r="A374">
        <f>CSV!B374</f>
        <v>0</v>
      </c>
      <c r="B374" s="13" t="e">
        <f>INDEX(Input!$D$2:$AC$500,
       MATCH(CPU_Formula!A374, Input!$J$2:$J$500, 0),
       MATCH("CPU model", Input!$D$1:$AC$1, 0))</f>
        <v>#N/A</v>
      </c>
      <c r="C374" s="13" t="str">
        <f t="shared" si="54"/>
        <v/>
      </c>
      <c r="D374" s="13" t="str">
        <f t="shared" si="55"/>
        <v/>
      </c>
      <c r="E374" s="13" t="str">
        <f t="shared" si="56"/>
        <v/>
      </c>
      <c r="F374" s="13" t="str">
        <f t="shared" si="57"/>
        <v/>
      </c>
      <c r="G374" s="13" t="str">
        <f t="shared" si="58"/>
        <v/>
      </c>
      <c r="H374" s="13" t="str">
        <f t="shared" si="59"/>
        <v/>
      </c>
      <c r="I374" t="str">
        <f t="shared" si="60"/>
        <v/>
      </c>
    </row>
    <row r="375" spans="1:9">
      <c r="A375">
        <f>CSV!B375</f>
        <v>0</v>
      </c>
      <c r="B375" s="13" t="e">
        <f>INDEX(Input!$D$2:$AC$500,
       MATCH(CPU_Formula!A375, Input!$J$2:$J$500, 0),
       MATCH("CPU model", Input!$D$1:$AC$1, 0))</f>
        <v>#N/A</v>
      </c>
      <c r="C375" s="13" t="str">
        <f t="shared" si="54"/>
        <v/>
      </c>
      <c r="D375" s="13" t="str">
        <f t="shared" si="55"/>
        <v/>
      </c>
      <c r="E375" s="13" t="str">
        <f t="shared" si="56"/>
        <v/>
      </c>
      <c r="F375" s="13" t="str">
        <f t="shared" si="57"/>
        <v/>
      </c>
      <c r="G375" s="13" t="str">
        <f t="shared" si="58"/>
        <v/>
      </c>
      <c r="H375" s="13" t="str">
        <f t="shared" si="59"/>
        <v/>
      </c>
      <c r="I375" t="str">
        <f t="shared" si="60"/>
        <v/>
      </c>
    </row>
    <row r="376" spans="1:9">
      <c r="A376">
        <f>CSV!B376</f>
        <v>0</v>
      </c>
      <c r="B376" s="13" t="e">
        <f>INDEX(Input!$D$2:$AC$500,
       MATCH(CPU_Formula!A376, Input!$J$2:$J$500, 0),
       MATCH("CPU model", Input!$D$1:$AC$1, 0))</f>
        <v>#N/A</v>
      </c>
      <c r="C376" s="13" t="str">
        <f t="shared" si="54"/>
        <v/>
      </c>
      <c r="D376" s="13" t="str">
        <f t="shared" si="55"/>
        <v/>
      </c>
      <c r="E376" s="13" t="str">
        <f t="shared" si="56"/>
        <v/>
      </c>
      <c r="F376" s="13" t="str">
        <f t="shared" si="57"/>
        <v/>
      </c>
      <c r="G376" s="13" t="str">
        <f t="shared" si="58"/>
        <v/>
      </c>
      <c r="H376" s="13" t="str">
        <f t="shared" si="59"/>
        <v/>
      </c>
      <c r="I376" t="str">
        <f t="shared" si="60"/>
        <v/>
      </c>
    </row>
    <row r="377" spans="1:9">
      <c r="A377">
        <f>CSV!B377</f>
        <v>0</v>
      </c>
      <c r="B377" s="13" t="e">
        <f>INDEX(Input!$D$2:$AC$500,
       MATCH(CPU_Formula!A377, Input!$J$2:$J$500, 0),
       MATCH("CPU model", Input!$D$1:$AC$1, 0))</f>
        <v>#N/A</v>
      </c>
      <c r="C377" s="13" t="str">
        <f t="shared" si="54"/>
        <v/>
      </c>
      <c r="D377" s="13" t="str">
        <f t="shared" si="55"/>
        <v/>
      </c>
      <c r="E377" s="13" t="str">
        <f t="shared" si="56"/>
        <v/>
      </c>
      <c r="F377" s="13" t="str">
        <f t="shared" si="57"/>
        <v/>
      </c>
      <c r="G377" s="13" t="str">
        <f t="shared" si="58"/>
        <v/>
      </c>
      <c r="H377" s="13" t="str">
        <f t="shared" si="59"/>
        <v/>
      </c>
      <c r="I377" t="str">
        <f t="shared" si="60"/>
        <v/>
      </c>
    </row>
    <row r="378" spans="1:9">
      <c r="A378">
        <f>CSV!B378</f>
        <v>0</v>
      </c>
      <c r="B378" s="13" t="e">
        <f>INDEX(Input!$D$2:$AC$500,
       MATCH(CPU_Formula!A378, Input!$J$2:$J$500, 0),
       MATCH("CPU model", Input!$D$1:$AC$1, 0))</f>
        <v>#N/A</v>
      </c>
      <c r="C378" s="13" t="str">
        <f t="shared" si="54"/>
        <v/>
      </c>
      <c r="D378" s="13" t="str">
        <f t="shared" si="55"/>
        <v/>
      </c>
      <c r="E378" s="13" t="str">
        <f t="shared" si="56"/>
        <v/>
      </c>
      <c r="F378" s="13" t="str">
        <f t="shared" si="57"/>
        <v/>
      </c>
      <c r="G378" s="13" t="str">
        <f t="shared" si="58"/>
        <v/>
      </c>
      <c r="H378" s="13" t="str">
        <f t="shared" si="59"/>
        <v/>
      </c>
      <c r="I378" t="str">
        <f t="shared" si="60"/>
        <v/>
      </c>
    </row>
    <row r="379" spans="1:9">
      <c r="A379">
        <f>CSV!B379</f>
        <v>0</v>
      </c>
      <c r="B379" s="13" t="e">
        <f>INDEX(Input!$D$2:$AC$500,
       MATCH(CPU_Formula!A379, Input!$J$2:$J$500, 0),
       MATCH("CPU model", Input!$D$1:$AC$1, 0))</f>
        <v>#N/A</v>
      </c>
      <c r="C379" s="13" t="str">
        <f t="shared" si="54"/>
        <v/>
      </c>
      <c r="D379" s="13" t="str">
        <f t="shared" si="55"/>
        <v/>
      </c>
      <c r="E379" s="13" t="str">
        <f t="shared" si="56"/>
        <v/>
      </c>
      <c r="F379" s="13" t="str">
        <f t="shared" si="57"/>
        <v/>
      </c>
      <c r="G379" s="13" t="str">
        <f t="shared" si="58"/>
        <v/>
      </c>
      <c r="H379" s="13" t="str">
        <f t="shared" si="59"/>
        <v/>
      </c>
      <c r="I379" t="str">
        <f t="shared" si="60"/>
        <v/>
      </c>
    </row>
    <row r="380" spans="1:9">
      <c r="A380">
        <f>CSV!B380</f>
        <v>0</v>
      </c>
      <c r="B380" s="13" t="e">
        <f>INDEX(Input!$D$2:$AC$500,
       MATCH(CPU_Formula!A380, Input!$J$2:$J$500, 0),
       MATCH("CPU model", Input!$D$1:$AC$1, 0))</f>
        <v>#N/A</v>
      </c>
      <c r="C380" s="13" t="str">
        <f t="shared" si="54"/>
        <v/>
      </c>
      <c r="D380" s="13" t="str">
        <f t="shared" si="55"/>
        <v/>
      </c>
      <c r="E380" s="13" t="str">
        <f t="shared" si="56"/>
        <v/>
      </c>
      <c r="F380" s="13" t="str">
        <f t="shared" si="57"/>
        <v/>
      </c>
      <c r="G380" s="13" t="str">
        <f t="shared" si="58"/>
        <v/>
      </c>
      <c r="H380" s="13" t="str">
        <f t="shared" si="59"/>
        <v/>
      </c>
      <c r="I380" t="str">
        <f t="shared" si="60"/>
        <v/>
      </c>
    </row>
    <row r="381" spans="1:9">
      <c r="A381">
        <f>CSV!B381</f>
        <v>0</v>
      </c>
      <c r="B381" s="13" t="e">
        <f>INDEX(Input!$D$2:$AC$500,
       MATCH(CPU_Formula!A381, Input!$J$2:$J$500, 0),
       MATCH("CPU model", Input!$D$1:$AC$1, 0))</f>
        <v>#N/A</v>
      </c>
      <c r="C381" s="13" t="str">
        <f t="shared" si="54"/>
        <v/>
      </c>
      <c r="D381" s="13" t="str">
        <f t="shared" si="55"/>
        <v/>
      </c>
      <c r="E381" s="13" t="str">
        <f t="shared" si="56"/>
        <v/>
      </c>
      <c r="F381" s="13" t="str">
        <f t="shared" si="57"/>
        <v/>
      </c>
      <c r="G381" s="13" t="str">
        <f t="shared" si="58"/>
        <v/>
      </c>
      <c r="H381" s="13" t="str">
        <f t="shared" si="59"/>
        <v/>
      </c>
      <c r="I381" t="str">
        <f t="shared" si="60"/>
        <v/>
      </c>
    </row>
    <row r="382" spans="1:9">
      <c r="A382">
        <f>CSV!B382</f>
        <v>0</v>
      </c>
      <c r="B382" s="13" t="e">
        <f>INDEX(Input!$D$2:$AC$500,
       MATCH(CPU_Formula!A382, Input!$J$2:$J$500, 0),
       MATCH("CPU model", Input!$D$1:$AC$1, 0))</f>
        <v>#N/A</v>
      </c>
      <c r="C382" s="13" t="str">
        <f t="shared" si="54"/>
        <v/>
      </c>
      <c r="D382" s="13" t="str">
        <f t="shared" si="55"/>
        <v/>
      </c>
      <c r="E382" s="13" t="str">
        <f t="shared" si="56"/>
        <v/>
      </c>
      <c r="F382" s="13" t="str">
        <f t="shared" si="57"/>
        <v/>
      </c>
      <c r="G382" s="13" t="str">
        <f t="shared" si="58"/>
        <v/>
      </c>
      <c r="H382" s="13" t="str">
        <f t="shared" si="59"/>
        <v/>
      </c>
      <c r="I382" t="str">
        <f t="shared" si="60"/>
        <v/>
      </c>
    </row>
    <row r="383" spans="1:9">
      <c r="A383">
        <f>CSV!B383</f>
        <v>0</v>
      </c>
      <c r="B383" s="13" t="e">
        <f>INDEX(Input!$D$2:$AC$500,
       MATCH(CPU_Formula!A383, Input!$J$2:$J$500, 0),
       MATCH("CPU model", Input!$D$1:$AC$1, 0))</f>
        <v>#N/A</v>
      </c>
      <c r="C383" s="13" t="str">
        <f t="shared" si="54"/>
        <v/>
      </c>
      <c r="D383" s="13" t="str">
        <f t="shared" si="55"/>
        <v/>
      </c>
      <c r="E383" s="13" t="str">
        <f t="shared" si="56"/>
        <v/>
      </c>
      <c r="F383" s="13" t="str">
        <f t="shared" si="57"/>
        <v/>
      </c>
      <c r="G383" s="13" t="str">
        <f t="shared" si="58"/>
        <v/>
      </c>
      <c r="H383" s="13" t="str">
        <f t="shared" si="59"/>
        <v/>
      </c>
      <c r="I383" t="str">
        <f t="shared" si="60"/>
        <v/>
      </c>
    </row>
    <row r="384" spans="1:9">
      <c r="A384">
        <f>CSV!B384</f>
        <v>0</v>
      </c>
      <c r="B384" s="13" t="e">
        <f>INDEX(Input!$D$2:$AC$500,
       MATCH(CPU_Formula!A384, Input!$J$2:$J$500, 0),
       MATCH("CPU model", Input!$D$1:$AC$1, 0))</f>
        <v>#N/A</v>
      </c>
      <c r="C384" s="13" t="str">
        <f t="shared" si="54"/>
        <v/>
      </c>
      <c r="D384" s="13" t="str">
        <f t="shared" si="55"/>
        <v/>
      </c>
      <c r="E384" s="13" t="str">
        <f t="shared" si="56"/>
        <v/>
      </c>
      <c r="F384" s="13" t="str">
        <f t="shared" si="57"/>
        <v/>
      </c>
      <c r="G384" s="13" t="str">
        <f t="shared" si="58"/>
        <v/>
      </c>
      <c r="H384" s="13" t="str">
        <f t="shared" si="59"/>
        <v/>
      </c>
      <c r="I384" t="str">
        <f t="shared" si="60"/>
        <v/>
      </c>
    </row>
    <row r="385" spans="1:9">
      <c r="A385">
        <f>CSV!B385</f>
        <v>0</v>
      </c>
      <c r="B385" s="13" t="e">
        <f>INDEX(Input!$D$2:$AC$500,
       MATCH(CPU_Formula!A385, Input!$J$2:$J$500, 0),
       MATCH("CPU model", Input!$D$1:$AC$1, 0))</f>
        <v>#N/A</v>
      </c>
      <c r="C385" s="13" t="str">
        <f t="shared" si="54"/>
        <v/>
      </c>
      <c r="D385" s="13" t="str">
        <f t="shared" si="55"/>
        <v/>
      </c>
      <c r="E385" s="13" t="str">
        <f t="shared" si="56"/>
        <v/>
      </c>
      <c r="F385" s="13" t="str">
        <f t="shared" si="57"/>
        <v/>
      </c>
      <c r="G385" s="13" t="str">
        <f t="shared" si="58"/>
        <v/>
      </c>
      <c r="H385" s="13" t="str">
        <f t="shared" si="59"/>
        <v/>
      </c>
      <c r="I385" t="str">
        <f t="shared" si="60"/>
        <v/>
      </c>
    </row>
    <row r="386" spans="1:9">
      <c r="A386">
        <f>CSV!B386</f>
        <v>0</v>
      </c>
      <c r="B386" s="13" t="e">
        <f>INDEX(Input!$D$2:$AC$500,
       MATCH(CPU_Formula!A386, Input!$J$2:$J$500, 0),
       MATCH("CPU model", Input!$D$1:$AC$1, 0))</f>
        <v>#N/A</v>
      </c>
      <c r="C386" s="13" t="str">
        <f t="shared" si="54"/>
        <v/>
      </c>
      <c r="D386" s="13" t="str">
        <f t="shared" si="55"/>
        <v/>
      </c>
      <c r="E386" s="13" t="str">
        <f t="shared" si="56"/>
        <v/>
      </c>
      <c r="F386" s="13" t="str">
        <f t="shared" si="57"/>
        <v/>
      </c>
      <c r="G386" s="13" t="str">
        <f t="shared" si="58"/>
        <v/>
      </c>
      <c r="H386" s="13" t="str">
        <f t="shared" si="59"/>
        <v/>
      </c>
      <c r="I386" t="str">
        <f t="shared" si="60"/>
        <v/>
      </c>
    </row>
    <row r="387" spans="1:9">
      <c r="A387">
        <f>CSV!B387</f>
        <v>0</v>
      </c>
      <c r="B387" s="13" t="e">
        <f>INDEX(Input!$D$2:$AC$500,
       MATCH(CPU_Formula!A387, Input!$J$2:$J$500, 0),
       MATCH("CPU model", Input!$D$1:$AC$1, 0))</f>
        <v>#N/A</v>
      </c>
      <c r="C387" s="13" t="str">
        <f t="shared" si="54"/>
        <v/>
      </c>
      <c r="D387" s="13" t="str">
        <f t="shared" si="55"/>
        <v/>
      </c>
      <c r="E387" s="13" t="str">
        <f t="shared" si="56"/>
        <v/>
      </c>
      <c r="F387" s="13" t="str">
        <f t="shared" si="57"/>
        <v/>
      </c>
      <c r="G387" s="13" t="str">
        <f t="shared" si="58"/>
        <v/>
      </c>
      <c r="H387" s="13" t="str">
        <f t="shared" si="59"/>
        <v/>
      </c>
      <c r="I387" t="str">
        <f t="shared" si="60"/>
        <v/>
      </c>
    </row>
    <row r="388" spans="1:9">
      <c r="A388">
        <f>CSV!B388</f>
        <v>0</v>
      </c>
      <c r="B388" s="13" t="e">
        <f>INDEX(Input!$D$2:$AC$500,
       MATCH(CPU_Formula!A388, Input!$J$2:$J$500, 0),
       MATCH("CPU model", Input!$D$1:$AC$1, 0))</f>
        <v>#N/A</v>
      </c>
      <c r="C388" s="13" t="str">
        <f t="shared" si="54"/>
        <v/>
      </c>
      <c r="D388" s="13" t="str">
        <f t="shared" si="55"/>
        <v/>
      </c>
      <c r="E388" s="13" t="str">
        <f t="shared" si="56"/>
        <v/>
      </c>
      <c r="F388" s="13" t="str">
        <f t="shared" si="57"/>
        <v/>
      </c>
      <c r="G388" s="13" t="str">
        <f t="shared" si="58"/>
        <v/>
      </c>
      <c r="H388" s="13" t="str">
        <f t="shared" si="59"/>
        <v/>
      </c>
      <c r="I388" t="str">
        <f t="shared" si="60"/>
        <v/>
      </c>
    </row>
    <row r="389" spans="1:9">
      <c r="A389">
        <f>CSV!B389</f>
        <v>0</v>
      </c>
      <c r="B389" s="13" t="e">
        <f>INDEX(Input!$D$2:$AC$500,
       MATCH(CPU_Formula!A389, Input!$J$2:$J$500, 0),
       MATCH("CPU model", Input!$D$1:$AC$1, 0))</f>
        <v>#N/A</v>
      </c>
      <c r="C389" s="13" t="str">
        <f t="shared" si="54"/>
        <v/>
      </c>
      <c r="D389" s="13" t="str">
        <f t="shared" si="55"/>
        <v/>
      </c>
      <c r="E389" s="13" t="str">
        <f t="shared" si="56"/>
        <v/>
      </c>
      <c r="F389" s="13" t="str">
        <f t="shared" si="57"/>
        <v/>
      </c>
      <c r="G389" s="13" t="str">
        <f t="shared" si="58"/>
        <v/>
      </c>
      <c r="H389" s="13" t="str">
        <f t="shared" si="59"/>
        <v/>
      </c>
      <c r="I389" t="str">
        <f t="shared" si="60"/>
        <v/>
      </c>
    </row>
    <row r="390" spans="1:9">
      <c r="A390">
        <f>CSV!B390</f>
        <v>0</v>
      </c>
      <c r="B390" s="13" t="e">
        <f>INDEX(Input!$D$2:$AC$500,
       MATCH(CPU_Formula!A390, Input!$J$2:$J$500, 0),
       MATCH("CPU model", Input!$D$1:$AC$1, 0))</f>
        <v>#N/A</v>
      </c>
      <c r="C390" s="13" t="str">
        <f t="shared" si="54"/>
        <v/>
      </c>
      <c r="D390" s="13" t="str">
        <f t="shared" si="55"/>
        <v/>
      </c>
      <c r="E390" s="13" t="str">
        <f t="shared" si="56"/>
        <v/>
      </c>
      <c r="F390" s="13" t="str">
        <f t="shared" si="57"/>
        <v/>
      </c>
      <c r="G390" s="13" t="str">
        <f t="shared" si="58"/>
        <v/>
      </c>
      <c r="H390" s="13" t="str">
        <f t="shared" si="59"/>
        <v/>
      </c>
      <c r="I390" t="str">
        <f t="shared" si="60"/>
        <v/>
      </c>
    </row>
    <row r="391" spans="1:9">
      <c r="A391">
        <f>CSV!B391</f>
        <v>0</v>
      </c>
      <c r="B391" s="13" t="e">
        <f>INDEX(Input!$D$2:$AC$500,
       MATCH(CPU_Formula!A391, Input!$J$2:$J$500, 0),
       MATCH("CPU model", Input!$D$1:$AC$1, 0))</f>
        <v>#N/A</v>
      </c>
      <c r="C391" s="13" t="str">
        <f t="shared" si="54"/>
        <v/>
      </c>
      <c r="D391" s="13" t="str">
        <f t="shared" si="55"/>
        <v/>
      </c>
      <c r="E391" s="13" t="str">
        <f t="shared" si="56"/>
        <v/>
      </c>
      <c r="F391" s="13" t="str">
        <f t="shared" si="57"/>
        <v/>
      </c>
      <c r="G391" s="13" t="str">
        <f t="shared" si="58"/>
        <v/>
      </c>
      <c r="H391" s="13" t="str">
        <f t="shared" si="59"/>
        <v/>
      </c>
      <c r="I391" t="str">
        <f t="shared" si="60"/>
        <v/>
      </c>
    </row>
    <row r="392" spans="1:9">
      <c r="A392">
        <f>CSV!B392</f>
        <v>0</v>
      </c>
      <c r="B392" s="13" t="e">
        <f>INDEX(Input!$D$2:$AC$500,
       MATCH(CPU_Formula!A392, Input!$J$2:$J$500, 0),
       MATCH("CPU model", Input!$D$1:$AC$1, 0))</f>
        <v>#N/A</v>
      </c>
      <c r="C392" s="13" t="str">
        <f t="shared" si="54"/>
        <v/>
      </c>
      <c r="D392" s="13" t="str">
        <f t="shared" si="55"/>
        <v/>
      </c>
      <c r="E392" s="13" t="str">
        <f t="shared" si="56"/>
        <v/>
      </c>
      <c r="F392" s="13" t="str">
        <f t="shared" si="57"/>
        <v/>
      </c>
      <c r="G392" s="13" t="str">
        <f t="shared" si="58"/>
        <v/>
      </c>
      <c r="H392" s="13" t="str">
        <f t="shared" si="59"/>
        <v/>
      </c>
      <c r="I392" t="str">
        <f t="shared" si="60"/>
        <v/>
      </c>
    </row>
    <row r="393" spans="1:9">
      <c r="A393">
        <f>CSV!B393</f>
        <v>0</v>
      </c>
      <c r="B393" s="13" t="e">
        <f>INDEX(Input!$D$2:$AC$500,
       MATCH(CPU_Formula!A393, Input!$J$2:$J$500, 0),
       MATCH("CPU model", Input!$D$1:$AC$1, 0))</f>
        <v>#N/A</v>
      </c>
      <c r="C393" s="13" t="str">
        <f t="shared" si="54"/>
        <v/>
      </c>
      <c r="D393" s="13" t="str">
        <f t="shared" si="55"/>
        <v/>
      </c>
      <c r="E393" s="13" t="str">
        <f t="shared" si="56"/>
        <v/>
      </c>
      <c r="F393" s="13" t="str">
        <f t="shared" si="57"/>
        <v/>
      </c>
      <c r="G393" s="13" t="str">
        <f t="shared" si="58"/>
        <v/>
      </c>
      <c r="H393" s="13" t="str">
        <f t="shared" si="59"/>
        <v/>
      </c>
      <c r="I393" t="str">
        <f t="shared" si="60"/>
        <v/>
      </c>
    </row>
    <row r="394" spans="1:9">
      <c r="A394">
        <f>CSV!B394</f>
        <v>0</v>
      </c>
      <c r="B394" s="13" t="e">
        <f>INDEX(Input!$D$2:$AC$500,
       MATCH(CPU_Formula!A394, Input!$J$2:$J$500, 0),
       MATCH("CPU model", Input!$D$1:$AC$1, 0))</f>
        <v>#N/A</v>
      </c>
      <c r="C394" s="13" t="str">
        <f t="shared" si="54"/>
        <v/>
      </c>
      <c r="D394" s="13" t="str">
        <f t="shared" si="55"/>
        <v/>
      </c>
      <c r="E394" s="13" t="str">
        <f t="shared" si="56"/>
        <v/>
      </c>
      <c r="F394" s="13" t="str">
        <f t="shared" si="57"/>
        <v/>
      </c>
      <c r="G394" s="13" t="str">
        <f t="shared" si="58"/>
        <v/>
      </c>
      <c r="H394" s="13" t="str">
        <f t="shared" si="59"/>
        <v/>
      </c>
      <c r="I394" t="str">
        <f t="shared" si="60"/>
        <v/>
      </c>
    </row>
    <row r="395" spans="1:9">
      <c r="A395">
        <f>CSV!B395</f>
        <v>0</v>
      </c>
      <c r="B395" s="13" t="e">
        <f>INDEX(Input!$D$2:$AC$500,
       MATCH(CPU_Formula!A395, Input!$J$2:$J$500, 0),
       MATCH("CPU model", Input!$D$1:$AC$1, 0))</f>
        <v>#N/A</v>
      </c>
      <c r="C395" s="13" t="str">
        <f t="shared" si="54"/>
        <v/>
      </c>
      <c r="D395" s="13" t="str">
        <f t="shared" si="55"/>
        <v/>
      </c>
      <c r="E395" s="13" t="str">
        <f t="shared" si="56"/>
        <v/>
      </c>
      <c r="F395" s="13" t="str">
        <f t="shared" si="57"/>
        <v/>
      </c>
      <c r="G395" s="13" t="str">
        <f t="shared" si="58"/>
        <v/>
      </c>
      <c r="H395" s="13" t="str">
        <f t="shared" si="59"/>
        <v/>
      </c>
      <c r="I395" t="str">
        <f t="shared" si="60"/>
        <v/>
      </c>
    </row>
    <row r="396" spans="1:9">
      <c r="A396">
        <f>CSV!B396</f>
        <v>0</v>
      </c>
      <c r="B396" s="13" t="e">
        <f>INDEX(Input!$D$2:$AC$500,
       MATCH(CPU_Formula!A396, Input!$J$2:$J$500, 0),
       MATCH("CPU model", Input!$D$1:$AC$1, 0))</f>
        <v>#N/A</v>
      </c>
      <c r="C396" s="13" t="str">
        <f t="shared" si="54"/>
        <v/>
      </c>
      <c r="D396" s="13" t="str">
        <f t="shared" si="55"/>
        <v/>
      </c>
      <c r="E396" s="13" t="str">
        <f t="shared" si="56"/>
        <v/>
      </c>
      <c r="F396" s="13" t="str">
        <f t="shared" si="57"/>
        <v/>
      </c>
      <c r="G396" s="13" t="str">
        <f t="shared" si="58"/>
        <v/>
      </c>
      <c r="H396" s="13" t="str">
        <f t="shared" si="59"/>
        <v/>
      </c>
      <c r="I396" t="str">
        <f t="shared" si="60"/>
        <v/>
      </c>
    </row>
    <row r="397" spans="1:9">
      <c r="A397">
        <f>CSV!B397</f>
        <v>0</v>
      </c>
      <c r="B397" s="13" t="e">
        <f>INDEX(Input!$D$2:$AC$500,
       MATCH(CPU_Formula!A397, Input!$J$2:$J$500, 0),
       MATCH("CPU model", Input!$D$1:$AC$1, 0))</f>
        <v>#N/A</v>
      </c>
      <c r="C397" s="13" t="str">
        <f t="shared" si="54"/>
        <v/>
      </c>
      <c r="D397" s="13" t="str">
        <f t="shared" si="55"/>
        <v/>
      </c>
      <c r="E397" s="13" t="str">
        <f t="shared" si="56"/>
        <v/>
      </c>
      <c r="F397" s="13" t="str">
        <f t="shared" si="57"/>
        <v/>
      </c>
      <c r="G397" s="13" t="str">
        <f t="shared" si="58"/>
        <v/>
      </c>
      <c r="H397" s="13" t="str">
        <f t="shared" si="59"/>
        <v/>
      </c>
      <c r="I397" t="str">
        <f t="shared" si="60"/>
        <v/>
      </c>
    </row>
    <row r="398" spans="1:9">
      <c r="A398">
        <f>CSV!B398</f>
        <v>0</v>
      </c>
      <c r="B398" s="13" t="e">
        <f>INDEX(Input!$D$2:$AC$500,
       MATCH(CPU_Formula!A398, Input!$J$2:$J$500, 0),
       MATCH("CPU model", Input!$D$1:$AC$1, 0))</f>
        <v>#N/A</v>
      </c>
      <c r="C398" s="13" t="str">
        <f t="shared" si="54"/>
        <v/>
      </c>
      <c r="D398" s="13" t="str">
        <f t="shared" si="55"/>
        <v/>
      </c>
      <c r="E398" s="13" t="str">
        <f t="shared" si="56"/>
        <v/>
      </c>
      <c r="F398" s="13" t="str">
        <f t="shared" si="57"/>
        <v/>
      </c>
      <c r="G398" s="13" t="str">
        <f t="shared" si="58"/>
        <v/>
      </c>
      <c r="H398" s="13" t="str">
        <f t="shared" si="59"/>
        <v/>
      </c>
      <c r="I398" t="str">
        <f t="shared" si="60"/>
        <v/>
      </c>
    </row>
    <row r="399" spans="1:9">
      <c r="A399">
        <f>CSV!B399</f>
        <v>0</v>
      </c>
      <c r="B399" s="13" t="e">
        <f>INDEX(Input!$D$2:$AC$500,
       MATCH(CPU_Formula!A399, Input!$J$2:$J$500, 0),
       MATCH("CPU model", Input!$D$1:$AC$1, 0))</f>
        <v>#N/A</v>
      </c>
      <c r="C399" s="13" t="str">
        <f t="shared" si="54"/>
        <v/>
      </c>
      <c r="D399" s="13" t="str">
        <f t="shared" si="55"/>
        <v/>
      </c>
      <c r="E399" s="13" t="str">
        <f t="shared" si="56"/>
        <v/>
      </c>
      <c r="F399" s="13" t="str">
        <f t="shared" si="57"/>
        <v/>
      </c>
      <c r="G399" s="13" t="str">
        <f t="shared" si="58"/>
        <v/>
      </c>
      <c r="H399" s="13" t="str">
        <f t="shared" si="59"/>
        <v/>
      </c>
      <c r="I399" t="str">
        <f t="shared" si="60"/>
        <v/>
      </c>
    </row>
    <row r="400" spans="1:9">
      <c r="A400">
        <f>CSV!B400</f>
        <v>0</v>
      </c>
      <c r="B400" s="13" t="e">
        <f>INDEX(Input!$D$2:$AC$500,
       MATCH(CPU_Formula!A400, Input!$J$2:$J$500, 0),
       MATCH("CPU model", Input!$D$1:$AC$1, 0))</f>
        <v>#N/A</v>
      </c>
      <c r="C400" s="13" t="str">
        <f t="shared" si="54"/>
        <v/>
      </c>
      <c r="D400" s="13" t="str">
        <f t="shared" si="55"/>
        <v/>
      </c>
      <c r="E400" s="13" t="str">
        <f t="shared" si="56"/>
        <v/>
      </c>
      <c r="F400" s="13" t="str">
        <f t="shared" si="57"/>
        <v/>
      </c>
      <c r="G400" s="13" t="str">
        <f t="shared" si="58"/>
        <v/>
      </c>
      <c r="H400" s="13" t="str">
        <f t="shared" si="59"/>
        <v/>
      </c>
      <c r="I400" t="str">
        <f t="shared" si="60"/>
        <v/>
      </c>
    </row>
    <row r="401" spans="1:9">
      <c r="A401">
        <f>CSV!B401</f>
        <v>0</v>
      </c>
      <c r="B401" s="13" t="e">
        <f>INDEX(Input!$D$2:$AC$500,
       MATCH(CPU_Formula!A401, Input!$J$2:$J$500, 0),
       MATCH("CPU model", Input!$D$1:$AC$1, 0))</f>
        <v>#N/A</v>
      </c>
      <c r="C401" s="13" t="str">
        <f t="shared" si="54"/>
        <v/>
      </c>
      <c r="D401" s="13" t="str">
        <f t="shared" si="55"/>
        <v/>
      </c>
      <c r="E401" s="13" t="str">
        <f t="shared" si="56"/>
        <v/>
      </c>
      <c r="F401" s="13" t="str">
        <f t="shared" si="57"/>
        <v/>
      </c>
      <c r="G401" s="13" t="str">
        <f t="shared" si="58"/>
        <v/>
      </c>
      <c r="H401" s="13" t="str">
        <f t="shared" si="59"/>
        <v/>
      </c>
      <c r="I401" t="str">
        <f t="shared" si="60"/>
        <v/>
      </c>
    </row>
    <row r="402" spans="1:9">
      <c r="A402">
        <f>CSV!B402</f>
        <v>0</v>
      </c>
      <c r="B402" s="13" t="e">
        <f>INDEX(Input!$D$2:$AC$500,
       MATCH(CPU_Formula!A402, Input!$J$2:$J$500, 0),
       MATCH("CPU model", Input!$D$1:$AC$1, 0))</f>
        <v>#N/A</v>
      </c>
      <c r="C402" s="13" t="str">
        <f t="shared" si="54"/>
        <v/>
      </c>
      <c r="D402" s="13" t="str">
        <f t="shared" si="55"/>
        <v/>
      </c>
      <c r="E402" s="13" t="str">
        <f t="shared" si="56"/>
        <v/>
      </c>
      <c r="F402" s="13" t="str">
        <f t="shared" si="57"/>
        <v/>
      </c>
      <c r="G402" s="13" t="str">
        <f t="shared" si="58"/>
        <v/>
      </c>
      <c r="H402" s="13" t="str">
        <f t="shared" si="59"/>
        <v/>
      </c>
      <c r="I402" t="str">
        <f t="shared" si="60"/>
        <v/>
      </c>
    </row>
    <row r="403" spans="1:9">
      <c r="A403">
        <f>CSV!B403</f>
        <v>0</v>
      </c>
      <c r="B403" s="13" t="e">
        <f>INDEX(Input!$D$2:$AC$500,
       MATCH(CPU_Formula!A403, Input!$J$2:$J$500, 0),
       MATCH("CPU model", Input!$D$1:$AC$1, 0))</f>
        <v>#N/A</v>
      </c>
      <c r="C403" s="13" t="str">
        <f t="shared" si="54"/>
        <v/>
      </c>
      <c r="D403" s="13" t="str">
        <f t="shared" si="55"/>
        <v/>
      </c>
      <c r="E403" s="13" t="str">
        <f t="shared" si="56"/>
        <v/>
      </c>
      <c r="F403" s="13" t="str">
        <f t="shared" si="57"/>
        <v/>
      </c>
      <c r="G403" s="13" t="str">
        <f t="shared" si="58"/>
        <v/>
      </c>
      <c r="H403" s="13" t="str">
        <f t="shared" si="59"/>
        <v/>
      </c>
      <c r="I403" t="str">
        <f t="shared" si="60"/>
        <v/>
      </c>
    </row>
    <row r="404" spans="1:9">
      <c r="A404">
        <f>CSV!B404</f>
        <v>0</v>
      </c>
      <c r="B404" s="13" t="e">
        <f>INDEX(Input!$D$2:$AC$500,
       MATCH(CPU_Formula!A404, Input!$J$2:$J$500, 0),
       MATCH("CPU model", Input!$D$1:$AC$1, 0))</f>
        <v>#N/A</v>
      </c>
      <c r="C404" s="13" t="str">
        <f t="shared" si="54"/>
        <v/>
      </c>
      <c r="D404" s="13" t="str">
        <f t="shared" si="55"/>
        <v/>
      </c>
      <c r="E404" s="13" t="str">
        <f t="shared" si="56"/>
        <v/>
      </c>
      <c r="F404" s="13" t="str">
        <f t="shared" si="57"/>
        <v/>
      </c>
      <c r="G404" s="13" t="str">
        <f t="shared" si="58"/>
        <v/>
      </c>
      <c r="H404" s="13" t="str">
        <f t="shared" si="59"/>
        <v/>
      </c>
      <c r="I404" t="str">
        <f t="shared" si="60"/>
        <v/>
      </c>
    </row>
    <row r="405" spans="1:9">
      <c r="A405">
        <f>CSV!B405</f>
        <v>0</v>
      </c>
      <c r="B405" s="13" t="e">
        <f>INDEX(Input!$D$2:$AC$500,
       MATCH(CPU_Formula!A405, Input!$J$2:$J$500, 0),
       MATCH("CPU model", Input!$D$1:$AC$1, 0))</f>
        <v>#N/A</v>
      </c>
      <c r="C405" s="13" t="str">
        <f t="shared" si="54"/>
        <v/>
      </c>
      <c r="D405" s="13" t="str">
        <f t="shared" si="55"/>
        <v/>
      </c>
      <c r="E405" s="13" t="str">
        <f t="shared" si="56"/>
        <v/>
      </c>
      <c r="F405" s="13" t="str">
        <f t="shared" si="57"/>
        <v/>
      </c>
      <c r="G405" s="13" t="str">
        <f t="shared" si="58"/>
        <v/>
      </c>
      <c r="H405" s="13" t="str">
        <f t="shared" si="59"/>
        <v/>
      </c>
      <c r="I405" t="str">
        <f t="shared" si="60"/>
        <v/>
      </c>
    </row>
    <row r="406" spans="1:9">
      <c r="A406">
        <f>CSV!B406</f>
        <v>0</v>
      </c>
      <c r="B406" s="13" t="e">
        <f>INDEX(Input!$D$2:$AC$500,
       MATCH(CPU_Formula!A406, Input!$J$2:$J$500, 0),
       MATCH("CPU model", Input!$D$1:$AC$1, 0))</f>
        <v>#N/A</v>
      </c>
      <c r="C406" s="13" t="str">
        <f t="shared" si="54"/>
        <v/>
      </c>
      <c r="D406" s="13" t="str">
        <f t="shared" si="55"/>
        <v/>
      </c>
      <c r="E406" s="13" t="str">
        <f t="shared" si="56"/>
        <v/>
      </c>
      <c r="F406" s="13" t="str">
        <f t="shared" si="57"/>
        <v/>
      </c>
      <c r="G406" s="13" t="str">
        <f t="shared" si="58"/>
        <v/>
      </c>
      <c r="H406" s="13" t="str">
        <f t="shared" si="59"/>
        <v/>
      </c>
      <c r="I406" t="str">
        <f t="shared" si="60"/>
        <v/>
      </c>
    </row>
    <row r="407" spans="1:9">
      <c r="A407">
        <f>CSV!B407</f>
        <v>0</v>
      </c>
      <c r="B407" s="13" t="e">
        <f>INDEX(Input!$D$2:$AC$500,
       MATCH(CPU_Formula!A407, Input!$J$2:$J$500, 0),
       MATCH("CPU model", Input!$D$1:$AC$1, 0))</f>
        <v>#N/A</v>
      </c>
      <c r="C407" s="13" t="str">
        <f t="shared" si="54"/>
        <v/>
      </c>
      <c r="D407" s="13" t="str">
        <f t="shared" si="55"/>
        <v/>
      </c>
      <c r="E407" s="13" t="str">
        <f t="shared" si="56"/>
        <v/>
      </c>
      <c r="F407" s="13" t="str">
        <f t="shared" si="57"/>
        <v/>
      </c>
      <c r="G407" s="13" t="str">
        <f t="shared" si="58"/>
        <v/>
      </c>
      <c r="H407" s="13" t="str">
        <f t="shared" si="59"/>
        <v/>
      </c>
      <c r="I407" t="str">
        <f t="shared" si="60"/>
        <v/>
      </c>
    </row>
    <row r="408" spans="1:9">
      <c r="A408">
        <f>CSV!B408</f>
        <v>0</v>
      </c>
      <c r="B408" s="13" t="e">
        <f>INDEX(Input!$D$2:$AC$500,
       MATCH(CPU_Formula!A408, Input!$J$2:$J$500, 0),
       MATCH("CPU model", Input!$D$1:$AC$1, 0))</f>
        <v>#N/A</v>
      </c>
      <c r="C408" s="13" t="str">
        <f t="shared" si="54"/>
        <v/>
      </c>
      <c r="D408" s="13" t="str">
        <f t="shared" si="55"/>
        <v/>
      </c>
      <c r="E408" s="13" t="str">
        <f t="shared" si="56"/>
        <v/>
      </c>
      <c r="F408" s="13" t="str">
        <f t="shared" si="57"/>
        <v/>
      </c>
      <c r="G408" s="13" t="str">
        <f t="shared" si="58"/>
        <v/>
      </c>
      <c r="H408" s="13" t="str">
        <f t="shared" si="59"/>
        <v/>
      </c>
      <c r="I408" t="str">
        <f t="shared" si="60"/>
        <v/>
      </c>
    </row>
    <row r="409" spans="1:9">
      <c r="A409">
        <f>CSV!B409</f>
        <v>0</v>
      </c>
      <c r="B409" s="13" t="e">
        <f>INDEX(Input!$D$2:$AC$500,
       MATCH(CPU_Formula!A409, Input!$J$2:$J$500, 0),
       MATCH("CPU model", Input!$D$1:$AC$1, 0))</f>
        <v>#N/A</v>
      </c>
      <c r="C409" s="13" t="str">
        <f t="shared" si="54"/>
        <v/>
      </c>
      <c r="D409" s="13" t="str">
        <f t="shared" si="55"/>
        <v/>
      </c>
      <c r="E409" s="13" t="str">
        <f t="shared" si="56"/>
        <v/>
      </c>
      <c r="F409" s="13" t="str">
        <f t="shared" si="57"/>
        <v/>
      </c>
      <c r="G409" s="13" t="str">
        <f t="shared" si="58"/>
        <v/>
      </c>
      <c r="H409" s="13" t="str">
        <f t="shared" si="59"/>
        <v/>
      </c>
      <c r="I409" t="str">
        <f t="shared" si="60"/>
        <v/>
      </c>
    </row>
    <row r="410" spans="1:9">
      <c r="A410">
        <f>CSV!B410</f>
        <v>0</v>
      </c>
      <c r="B410" s="13" t="e">
        <f>INDEX(Input!$D$2:$AC$500,
       MATCH(CPU_Formula!A410, Input!$J$2:$J$500, 0),
       MATCH("CPU model", Input!$D$1:$AC$1, 0))</f>
        <v>#N/A</v>
      </c>
      <c r="C410" s="13" t="str">
        <f t="shared" si="54"/>
        <v/>
      </c>
      <c r="D410" s="13" t="str">
        <f t="shared" si="55"/>
        <v/>
      </c>
      <c r="E410" s="13" t="str">
        <f t="shared" si="56"/>
        <v/>
      </c>
      <c r="F410" s="13" t="str">
        <f t="shared" si="57"/>
        <v/>
      </c>
      <c r="G410" s="13" t="str">
        <f t="shared" si="58"/>
        <v/>
      </c>
      <c r="H410" s="13" t="str">
        <f t="shared" si="59"/>
        <v/>
      </c>
      <c r="I410" t="str">
        <f t="shared" si="60"/>
        <v/>
      </c>
    </row>
    <row r="411" spans="1:9">
      <c r="A411">
        <f>CSV!B411</f>
        <v>0</v>
      </c>
      <c r="B411" s="13" t="e">
        <f>INDEX(Input!$D$2:$AC$500,
       MATCH(CPU_Formula!A411, Input!$J$2:$J$500, 0),
       MATCH("CPU model", Input!$D$1:$AC$1, 0))</f>
        <v>#N/A</v>
      </c>
      <c r="C411" s="13" t="str">
        <f t="shared" si="54"/>
        <v/>
      </c>
      <c r="D411" s="13" t="str">
        <f t="shared" si="55"/>
        <v/>
      </c>
      <c r="E411" s="13" t="str">
        <f t="shared" si="56"/>
        <v/>
      </c>
      <c r="F411" s="13" t="str">
        <f t="shared" si="57"/>
        <v/>
      </c>
      <c r="G411" s="13" t="str">
        <f t="shared" si="58"/>
        <v/>
      </c>
      <c r="H411" s="13" t="str">
        <f t="shared" si="59"/>
        <v/>
      </c>
      <c r="I411" t="str">
        <f t="shared" si="60"/>
        <v/>
      </c>
    </row>
    <row r="412" spans="1:9">
      <c r="A412">
        <f>CSV!B412</f>
        <v>0</v>
      </c>
      <c r="B412" s="13" t="e">
        <f>INDEX(Input!$D$2:$AC$500,
       MATCH(CPU_Formula!A412, Input!$J$2:$J$500, 0),
       MATCH("CPU model", Input!$D$1:$AC$1, 0))</f>
        <v>#N/A</v>
      </c>
      <c r="C412" s="13" t="str">
        <f t="shared" si="54"/>
        <v/>
      </c>
      <c r="D412" s="13" t="str">
        <f t="shared" si="55"/>
        <v/>
      </c>
      <c r="E412" s="13" t="str">
        <f t="shared" si="56"/>
        <v/>
      </c>
      <c r="F412" s="13" t="str">
        <f t="shared" si="57"/>
        <v/>
      </c>
      <c r="G412" s="13" t="str">
        <f t="shared" si="58"/>
        <v/>
      </c>
      <c r="H412" s="13" t="str">
        <f t="shared" si="59"/>
        <v/>
      </c>
      <c r="I412" t="str">
        <f t="shared" si="60"/>
        <v/>
      </c>
    </row>
    <row r="413" spans="1:9">
      <c r="A413">
        <f>CSV!B413</f>
        <v>0</v>
      </c>
      <c r="B413" s="13" t="e">
        <f>INDEX(Input!$D$2:$AC$500,
       MATCH(CPU_Formula!A413, Input!$J$2:$J$500, 0),
       MATCH("CPU model", Input!$D$1:$AC$1, 0))</f>
        <v>#N/A</v>
      </c>
      <c r="C413" s="13" t="str">
        <f t="shared" si="54"/>
        <v/>
      </c>
      <c r="D413" s="13" t="str">
        <f t="shared" si="55"/>
        <v/>
      </c>
      <c r="E413" s="13" t="str">
        <f t="shared" si="56"/>
        <v/>
      </c>
      <c r="F413" s="13" t="str">
        <f t="shared" si="57"/>
        <v/>
      </c>
      <c r="G413" s="13" t="str">
        <f t="shared" si="58"/>
        <v/>
      </c>
      <c r="H413" s="13" t="str">
        <f t="shared" si="59"/>
        <v/>
      </c>
      <c r="I413" t="str">
        <f t="shared" si="60"/>
        <v/>
      </c>
    </row>
    <row r="414" spans="1:9">
      <c r="A414">
        <f>CSV!B414</f>
        <v>0</v>
      </c>
      <c r="B414" s="13" t="e">
        <f>INDEX(Input!$D$2:$AC$500,
       MATCH(CPU_Formula!A414, Input!$J$2:$J$500, 0),
       MATCH("CPU model", Input!$D$1:$AC$1, 0))</f>
        <v>#N/A</v>
      </c>
      <c r="C414" s="13" t="str">
        <f t="shared" si="54"/>
        <v/>
      </c>
      <c r="D414" s="13" t="str">
        <f t="shared" si="55"/>
        <v/>
      </c>
      <c r="E414" s="13" t="str">
        <f t="shared" si="56"/>
        <v/>
      </c>
      <c r="F414" s="13" t="str">
        <f t="shared" si="57"/>
        <v/>
      </c>
      <c r="G414" s="13" t="str">
        <f t="shared" si="58"/>
        <v/>
      </c>
      <c r="H414" s="13" t="str">
        <f t="shared" si="59"/>
        <v/>
      </c>
      <c r="I414" t="str">
        <f t="shared" si="60"/>
        <v/>
      </c>
    </row>
    <row r="415" spans="1:9">
      <c r="A415">
        <f>CSV!B415</f>
        <v>0</v>
      </c>
      <c r="B415" s="13" t="e">
        <f>INDEX(Input!$D$2:$AC$500,
       MATCH(CPU_Formula!A415, Input!$J$2:$J$500, 0),
       MATCH("CPU model", Input!$D$1:$AC$1, 0))</f>
        <v>#N/A</v>
      </c>
      <c r="C415" s="13" t="str">
        <f t="shared" si="54"/>
        <v/>
      </c>
      <c r="D415" s="13" t="str">
        <f t="shared" si="55"/>
        <v/>
      </c>
      <c r="E415" s="13" t="str">
        <f t="shared" si="56"/>
        <v/>
      </c>
      <c r="F415" s="13" t="str">
        <f t="shared" si="57"/>
        <v/>
      </c>
      <c r="G415" s="13" t="str">
        <f t="shared" si="58"/>
        <v/>
      </c>
      <c r="H415" s="13" t="str">
        <f t="shared" si="59"/>
        <v/>
      </c>
      <c r="I415" t="str">
        <f t="shared" si="60"/>
        <v/>
      </c>
    </row>
    <row r="416" spans="1:9">
      <c r="A416">
        <f>CSV!B416</f>
        <v>0</v>
      </c>
      <c r="B416" s="13" t="e">
        <f>INDEX(Input!$D$2:$AC$500,
       MATCH(CPU_Formula!A416, Input!$J$2:$J$500, 0),
       MATCH("CPU model", Input!$D$1:$AC$1, 0))</f>
        <v>#N/A</v>
      </c>
      <c r="C416" s="13" t="str">
        <f t="shared" si="54"/>
        <v/>
      </c>
      <c r="D416" s="13" t="str">
        <f t="shared" si="55"/>
        <v/>
      </c>
      <c r="E416" s="13" t="str">
        <f t="shared" si="56"/>
        <v/>
      </c>
      <c r="F416" s="13" t="str">
        <f t="shared" si="57"/>
        <v/>
      </c>
      <c r="G416" s="13" t="str">
        <f t="shared" si="58"/>
        <v/>
      </c>
      <c r="H416" s="13" t="str">
        <f t="shared" si="59"/>
        <v/>
      </c>
      <c r="I416" t="str">
        <f t="shared" si="60"/>
        <v/>
      </c>
    </row>
    <row r="417" spans="1:9">
      <c r="A417">
        <f>CSV!B417</f>
        <v>0</v>
      </c>
      <c r="B417" s="13" t="e">
        <f>INDEX(Input!$D$2:$AC$500,
       MATCH(CPU_Formula!A417, Input!$J$2:$J$500, 0),
       MATCH("CPU model", Input!$D$1:$AC$1, 0))</f>
        <v>#N/A</v>
      </c>
      <c r="C417" s="13" t="str">
        <f t="shared" si="54"/>
        <v/>
      </c>
      <c r="D417" s="13" t="str">
        <f t="shared" si="55"/>
        <v/>
      </c>
      <c r="E417" s="13" t="str">
        <f t="shared" si="56"/>
        <v/>
      </c>
      <c r="F417" s="13" t="str">
        <f t="shared" si="57"/>
        <v/>
      </c>
      <c r="G417" s="13" t="str">
        <f t="shared" si="58"/>
        <v/>
      </c>
      <c r="H417" s="13" t="str">
        <f t="shared" si="59"/>
        <v/>
      </c>
      <c r="I417" t="str">
        <f t="shared" si="60"/>
        <v/>
      </c>
    </row>
    <row r="418" spans="1:9">
      <c r="A418">
        <f>CSV!B418</f>
        <v>0</v>
      </c>
      <c r="B418" s="13" t="e">
        <f>INDEX(Input!$D$2:$AC$500,
       MATCH(CPU_Formula!A418, Input!$J$2:$J$500, 0),
       MATCH("CPU model", Input!$D$1:$AC$1, 0))</f>
        <v>#N/A</v>
      </c>
      <c r="C418" s="13" t="str">
        <f t="shared" si="54"/>
        <v/>
      </c>
      <c r="D418" s="13" t="str">
        <f t="shared" si="55"/>
        <v/>
      </c>
      <c r="E418" s="13" t="str">
        <f t="shared" si="56"/>
        <v/>
      </c>
      <c r="F418" s="13" t="str">
        <f t="shared" si="57"/>
        <v/>
      </c>
      <c r="G418" s="13" t="str">
        <f t="shared" si="58"/>
        <v/>
      </c>
      <c r="H418" s="13" t="str">
        <f t="shared" si="59"/>
        <v/>
      </c>
      <c r="I418" t="str">
        <f t="shared" si="60"/>
        <v/>
      </c>
    </row>
    <row r="419" spans="1:9">
      <c r="A419">
        <f>CSV!B419</f>
        <v>0</v>
      </c>
      <c r="B419" s="13" t="e">
        <f>INDEX(Input!$D$2:$AC$500,
       MATCH(CPU_Formula!A419, Input!$J$2:$J$500, 0),
       MATCH("CPU model", Input!$D$1:$AC$1, 0))</f>
        <v>#N/A</v>
      </c>
      <c r="C419" s="13" t="str">
        <f t="shared" si="54"/>
        <v/>
      </c>
      <c r="D419" s="13" t="str">
        <f t="shared" si="55"/>
        <v/>
      </c>
      <c r="E419" s="13" t="str">
        <f t="shared" si="56"/>
        <v/>
      </c>
      <c r="F419" s="13" t="str">
        <f t="shared" si="57"/>
        <v/>
      </c>
      <c r="G419" s="13" t="str">
        <f t="shared" si="58"/>
        <v/>
      </c>
      <c r="H419" s="13" t="str">
        <f t="shared" si="59"/>
        <v/>
      </c>
      <c r="I419" t="str">
        <f t="shared" si="60"/>
        <v/>
      </c>
    </row>
    <row r="420" spans="1:9">
      <c r="A420">
        <f>CSV!B420</f>
        <v>0</v>
      </c>
      <c r="B420" s="13" t="e">
        <f>INDEX(Input!$D$2:$AC$500,
       MATCH(CPU_Formula!A420, Input!$J$2:$J$500, 0),
       MATCH("CPU model", Input!$D$1:$AC$1, 0))</f>
        <v>#N/A</v>
      </c>
      <c r="C420" s="13" t="str">
        <f t="shared" si="54"/>
        <v/>
      </c>
      <c r="D420" s="13" t="str">
        <f t="shared" si="55"/>
        <v/>
      </c>
      <c r="E420" s="13" t="str">
        <f t="shared" si="56"/>
        <v/>
      </c>
      <c r="F420" s="13" t="str">
        <f t="shared" si="57"/>
        <v/>
      </c>
      <c r="G420" s="13" t="str">
        <f t="shared" si="58"/>
        <v/>
      </c>
      <c r="H420" s="13" t="str">
        <f t="shared" si="59"/>
        <v/>
      </c>
      <c r="I420" t="str">
        <f t="shared" si="60"/>
        <v/>
      </c>
    </row>
    <row r="421" spans="1:9">
      <c r="A421">
        <f>CSV!B421</f>
        <v>0</v>
      </c>
      <c r="B421" s="13" t="e">
        <f>INDEX(Input!$D$2:$AC$500,
       MATCH(CPU_Formula!A421, Input!$J$2:$J$500, 0),
       MATCH("CPU model", Input!$D$1:$AC$1, 0))</f>
        <v>#N/A</v>
      </c>
      <c r="C421" s="13" t="str">
        <f t="shared" si="54"/>
        <v/>
      </c>
      <c r="D421" s="13" t="str">
        <f t="shared" si="55"/>
        <v/>
      </c>
      <c r="E421" s="13" t="str">
        <f t="shared" si="56"/>
        <v/>
      </c>
      <c r="F421" s="13" t="str">
        <f t="shared" si="57"/>
        <v/>
      </c>
      <c r="G421" s="13" t="str">
        <f t="shared" si="58"/>
        <v/>
      </c>
      <c r="H421" s="13" t="str">
        <f t="shared" si="59"/>
        <v/>
      </c>
      <c r="I421" t="str">
        <f t="shared" si="60"/>
        <v/>
      </c>
    </row>
    <row r="422" spans="1:9">
      <c r="A422">
        <f>CSV!B422</f>
        <v>0</v>
      </c>
      <c r="B422" s="13" t="e">
        <f>INDEX(Input!$D$2:$AC$500,
       MATCH(CPU_Formula!A422, Input!$J$2:$J$500, 0),
       MATCH("CPU model", Input!$D$1:$AC$1, 0))</f>
        <v>#N/A</v>
      </c>
      <c r="C422" s="13" t="str">
        <f t="shared" si="54"/>
        <v/>
      </c>
      <c r="D422" s="13" t="str">
        <f t="shared" si="55"/>
        <v/>
      </c>
      <c r="E422" s="13" t="str">
        <f t="shared" si="56"/>
        <v/>
      </c>
      <c r="F422" s="13" t="str">
        <f t="shared" si="57"/>
        <v/>
      </c>
      <c r="G422" s="13" t="str">
        <f t="shared" si="58"/>
        <v/>
      </c>
      <c r="H422" s="13" t="str">
        <f t="shared" si="59"/>
        <v/>
      </c>
      <c r="I422" t="str">
        <f t="shared" si="60"/>
        <v/>
      </c>
    </row>
    <row r="423" spans="1:9">
      <c r="A423">
        <f>CSV!B423</f>
        <v>0</v>
      </c>
      <c r="B423" s="13" t="e">
        <f>INDEX(Input!$D$2:$AC$500,
       MATCH(CPU_Formula!A423, Input!$J$2:$J$500, 0),
       MATCH("CPU model", Input!$D$1:$AC$1, 0))</f>
        <v>#N/A</v>
      </c>
      <c r="C423" s="13" t="str">
        <f t="shared" si="54"/>
        <v/>
      </c>
      <c r="D423" s="13" t="str">
        <f t="shared" si="55"/>
        <v/>
      </c>
      <c r="E423" s="13" t="str">
        <f t="shared" si="56"/>
        <v/>
      </c>
      <c r="F423" s="13" t="str">
        <f t="shared" si="57"/>
        <v/>
      </c>
      <c r="G423" s="13" t="str">
        <f t="shared" si="58"/>
        <v/>
      </c>
      <c r="H423" s="13" t="str">
        <f t="shared" si="59"/>
        <v/>
      </c>
      <c r="I423" t="str">
        <f t="shared" si="60"/>
        <v/>
      </c>
    </row>
    <row r="424" spans="1:9">
      <c r="A424">
        <f>CSV!B424</f>
        <v>0</v>
      </c>
      <c r="B424" s="13" t="e">
        <f>INDEX(Input!$D$2:$AC$500,
       MATCH(CPU_Formula!A424, Input!$J$2:$J$500, 0),
       MATCH("CPU model", Input!$D$1:$AC$1, 0))</f>
        <v>#N/A</v>
      </c>
      <c r="C424" s="13" t="str">
        <f t="shared" ref="C424:C487" si="61">IFERROR(_xlfn.TEXTAFTER(B424,"Core(TM) "),IFERROR(_xlfn.TEXTAFTER(B424,"Xeon(R) CPU"),""))</f>
        <v/>
      </c>
      <c r="D424" s="13" t="str">
        <f t="shared" ref="D424:D487" si="62">IFERROR(_xlfn.TEXTAFTER(B424,"Ryzen "), "")</f>
        <v/>
      </c>
      <c r="E424" s="13" t="str">
        <f t="shared" ref="E424:E487" si="63">IF(ISNUMBER(SEARCH("Ultra", B424)), "Ultra"&amp;_xlfn.TEXTAFTER(B424, "Ultra"), "")</f>
        <v/>
      </c>
      <c r="F424" s="13" t="str">
        <f t="shared" ref="F424:F487" si="64">IF(C424&lt;&gt;"", TRIM(_xlfn.TEXTBEFORE(C424," ",,1,1)), "")</f>
        <v/>
      </c>
      <c r="G424" s="13" t="str">
        <f t="shared" ref="G424:G487" si="65">IF(D424&lt;&gt;"", TRIM(_xlfn.TEXTBEFORE(D424," ",,1)), "")</f>
        <v/>
      </c>
      <c r="H424" s="13" t="str">
        <f t="shared" ref="H424:H487" si="66">E424</f>
        <v/>
      </c>
      <c r="I424" t="str">
        <f t="shared" ref="I424:I487" si="67">IF(H424&lt;&gt;"",H424,IF(G424&lt;&gt;"",G424,F424))</f>
        <v/>
      </c>
    </row>
    <row r="425" spans="1:9">
      <c r="A425">
        <f>CSV!B425</f>
        <v>0</v>
      </c>
      <c r="B425" s="13" t="e">
        <f>INDEX(Input!$D$2:$AC$500,
       MATCH(CPU_Formula!A425, Input!$J$2:$J$500, 0),
       MATCH("CPU model", Input!$D$1:$AC$1, 0))</f>
        <v>#N/A</v>
      </c>
      <c r="C425" s="13" t="str">
        <f t="shared" si="61"/>
        <v/>
      </c>
      <c r="D425" s="13" t="str">
        <f t="shared" si="62"/>
        <v/>
      </c>
      <c r="E425" s="13" t="str">
        <f t="shared" si="63"/>
        <v/>
      </c>
      <c r="F425" s="13" t="str">
        <f t="shared" si="64"/>
        <v/>
      </c>
      <c r="G425" s="13" t="str">
        <f t="shared" si="65"/>
        <v/>
      </c>
      <c r="H425" s="13" t="str">
        <f t="shared" si="66"/>
        <v/>
      </c>
      <c r="I425" t="str">
        <f t="shared" si="67"/>
        <v/>
      </c>
    </row>
    <row r="426" spans="1:9">
      <c r="A426">
        <f>CSV!B426</f>
        <v>0</v>
      </c>
      <c r="B426" s="13" t="e">
        <f>INDEX(Input!$D$2:$AC$500,
       MATCH(CPU_Formula!A426, Input!$J$2:$J$500, 0),
       MATCH("CPU model", Input!$D$1:$AC$1, 0))</f>
        <v>#N/A</v>
      </c>
      <c r="C426" s="13" t="str">
        <f t="shared" si="61"/>
        <v/>
      </c>
      <c r="D426" s="13" t="str">
        <f t="shared" si="62"/>
        <v/>
      </c>
      <c r="E426" s="13" t="str">
        <f t="shared" si="63"/>
        <v/>
      </c>
      <c r="F426" s="13" t="str">
        <f t="shared" si="64"/>
        <v/>
      </c>
      <c r="G426" s="13" t="str">
        <f t="shared" si="65"/>
        <v/>
      </c>
      <c r="H426" s="13" t="str">
        <f t="shared" si="66"/>
        <v/>
      </c>
      <c r="I426" t="str">
        <f t="shared" si="67"/>
        <v/>
      </c>
    </row>
    <row r="427" spans="1:9">
      <c r="A427">
        <f>CSV!B427</f>
        <v>0</v>
      </c>
      <c r="B427" s="13" t="e">
        <f>INDEX(Input!$D$2:$AC$500,
       MATCH(CPU_Formula!A427, Input!$J$2:$J$500, 0),
       MATCH("CPU model", Input!$D$1:$AC$1, 0))</f>
        <v>#N/A</v>
      </c>
      <c r="C427" s="13" t="str">
        <f t="shared" si="61"/>
        <v/>
      </c>
      <c r="D427" s="13" t="str">
        <f t="shared" si="62"/>
        <v/>
      </c>
      <c r="E427" s="13" t="str">
        <f t="shared" si="63"/>
        <v/>
      </c>
      <c r="F427" s="13" t="str">
        <f t="shared" si="64"/>
        <v/>
      </c>
      <c r="G427" s="13" t="str">
        <f t="shared" si="65"/>
        <v/>
      </c>
      <c r="H427" s="13" t="str">
        <f t="shared" si="66"/>
        <v/>
      </c>
      <c r="I427" t="str">
        <f t="shared" si="67"/>
        <v/>
      </c>
    </row>
    <row r="428" spans="1:9">
      <c r="A428">
        <f>CSV!B428</f>
        <v>0</v>
      </c>
      <c r="B428" s="13" t="e">
        <f>INDEX(Input!$D$2:$AC$500,
       MATCH(CPU_Formula!A428, Input!$J$2:$J$500, 0),
       MATCH("CPU model", Input!$D$1:$AC$1, 0))</f>
        <v>#N/A</v>
      </c>
      <c r="C428" s="13" t="str">
        <f t="shared" si="61"/>
        <v/>
      </c>
      <c r="D428" s="13" t="str">
        <f t="shared" si="62"/>
        <v/>
      </c>
      <c r="E428" s="13" t="str">
        <f t="shared" si="63"/>
        <v/>
      </c>
      <c r="F428" s="13" t="str">
        <f t="shared" si="64"/>
        <v/>
      </c>
      <c r="G428" s="13" t="str">
        <f t="shared" si="65"/>
        <v/>
      </c>
      <c r="H428" s="13" t="str">
        <f t="shared" si="66"/>
        <v/>
      </c>
      <c r="I428" t="str">
        <f t="shared" si="67"/>
        <v/>
      </c>
    </row>
    <row r="429" spans="1:9">
      <c r="A429">
        <f>CSV!B429</f>
        <v>0</v>
      </c>
      <c r="B429" s="13" t="e">
        <f>INDEX(Input!$D$2:$AC$500,
       MATCH(CPU_Formula!A429, Input!$J$2:$J$500, 0),
       MATCH("CPU model", Input!$D$1:$AC$1, 0))</f>
        <v>#N/A</v>
      </c>
      <c r="C429" s="13" t="str">
        <f t="shared" si="61"/>
        <v/>
      </c>
      <c r="D429" s="13" t="str">
        <f t="shared" si="62"/>
        <v/>
      </c>
      <c r="E429" s="13" t="str">
        <f t="shared" si="63"/>
        <v/>
      </c>
      <c r="F429" s="13" t="str">
        <f t="shared" si="64"/>
        <v/>
      </c>
      <c r="G429" s="13" t="str">
        <f t="shared" si="65"/>
        <v/>
      </c>
      <c r="H429" s="13" t="str">
        <f t="shared" si="66"/>
        <v/>
      </c>
      <c r="I429" t="str">
        <f t="shared" si="67"/>
        <v/>
      </c>
    </row>
    <row r="430" spans="1:9">
      <c r="A430">
        <f>CSV!B430</f>
        <v>0</v>
      </c>
      <c r="B430" s="13" t="e">
        <f>INDEX(Input!$D$2:$AC$500,
       MATCH(CPU_Formula!A430, Input!$J$2:$J$500, 0),
       MATCH("CPU model", Input!$D$1:$AC$1, 0))</f>
        <v>#N/A</v>
      </c>
      <c r="C430" s="13" t="str">
        <f t="shared" si="61"/>
        <v/>
      </c>
      <c r="D430" s="13" t="str">
        <f t="shared" si="62"/>
        <v/>
      </c>
      <c r="E430" s="13" t="str">
        <f t="shared" si="63"/>
        <v/>
      </c>
      <c r="F430" s="13" t="str">
        <f t="shared" si="64"/>
        <v/>
      </c>
      <c r="G430" s="13" t="str">
        <f t="shared" si="65"/>
        <v/>
      </c>
      <c r="H430" s="13" t="str">
        <f t="shared" si="66"/>
        <v/>
      </c>
      <c r="I430" t="str">
        <f t="shared" si="67"/>
        <v/>
      </c>
    </row>
    <row r="431" spans="1:9">
      <c r="A431">
        <f>CSV!B431</f>
        <v>0</v>
      </c>
      <c r="B431" s="13" t="e">
        <f>INDEX(Input!$D$2:$AC$500,
       MATCH(CPU_Formula!A431, Input!$J$2:$J$500, 0),
       MATCH("CPU model", Input!$D$1:$AC$1, 0))</f>
        <v>#N/A</v>
      </c>
      <c r="C431" s="13" t="str">
        <f t="shared" si="61"/>
        <v/>
      </c>
      <c r="D431" s="13" t="str">
        <f t="shared" si="62"/>
        <v/>
      </c>
      <c r="E431" s="13" t="str">
        <f t="shared" si="63"/>
        <v/>
      </c>
      <c r="F431" s="13" t="str">
        <f t="shared" si="64"/>
        <v/>
      </c>
      <c r="G431" s="13" t="str">
        <f t="shared" si="65"/>
        <v/>
      </c>
      <c r="H431" s="13" t="str">
        <f t="shared" si="66"/>
        <v/>
      </c>
      <c r="I431" t="str">
        <f t="shared" si="67"/>
        <v/>
      </c>
    </row>
    <row r="432" spans="1:9">
      <c r="A432">
        <f>CSV!B432</f>
        <v>0</v>
      </c>
      <c r="B432" s="13" t="e">
        <f>INDEX(Input!$D$2:$AC$500,
       MATCH(CPU_Formula!A432, Input!$J$2:$J$500, 0),
       MATCH("CPU model", Input!$D$1:$AC$1, 0))</f>
        <v>#N/A</v>
      </c>
      <c r="C432" s="13" t="str">
        <f t="shared" si="61"/>
        <v/>
      </c>
      <c r="D432" s="13" t="str">
        <f t="shared" si="62"/>
        <v/>
      </c>
      <c r="E432" s="13" t="str">
        <f t="shared" si="63"/>
        <v/>
      </c>
      <c r="F432" s="13" t="str">
        <f t="shared" si="64"/>
        <v/>
      </c>
      <c r="G432" s="13" t="str">
        <f t="shared" si="65"/>
        <v/>
      </c>
      <c r="H432" s="13" t="str">
        <f t="shared" si="66"/>
        <v/>
      </c>
      <c r="I432" t="str">
        <f t="shared" si="67"/>
        <v/>
      </c>
    </row>
    <row r="433" spans="1:9">
      <c r="A433">
        <f>CSV!B433</f>
        <v>0</v>
      </c>
      <c r="B433" s="13" t="e">
        <f>INDEX(Input!$D$2:$AC$500,
       MATCH(CPU_Formula!A433, Input!$J$2:$J$500, 0),
       MATCH("CPU model", Input!$D$1:$AC$1, 0))</f>
        <v>#N/A</v>
      </c>
      <c r="C433" s="13" t="str">
        <f t="shared" si="61"/>
        <v/>
      </c>
      <c r="D433" s="13" t="str">
        <f t="shared" si="62"/>
        <v/>
      </c>
      <c r="E433" s="13" t="str">
        <f t="shared" si="63"/>
        <v/>
      </c>
      <c r="F433" s="13" t="str">
        <f t="shared" si="64"/>
        <v/>
      </c>
      <c r="G433" s="13" t="str">
        <f t="shared" si="65"/>
        <v/>
      </c>
      <c r="H433" s="13" t="str">
        <f t="shared" si="66"/>
        <v/>
      </c>
      <c r="I433" t="str">
        <f t="shared" si="67"/>
        <v/>
      </c>
    </row>
    <row r="434" spans="1:9">
      <c r="A434">
        <f>CSV!B434</f>
        <v>0</v>
      </c>
      <c r="B434" s="13" t="e">
        <f>INDEX(Input!$D$2:$AC$500,
       MATCH(CPU_Formula!A434, Input!$J$2:$J$500, 0),
       MATCH("CPU model", Input!$D$1:$AC$1, 0))</f>
        <v>#N/A</v>
      </c>
      <c r="C434" s="13" t="str">
        <f t="shared" si="61"/>
        <v/>
      </c>
      <c r="D434" s="13" t="str">
        <f t="shared" si="62"/>
        <v/>
      </c>
      <c r="E434" s="13" t="str">
        <f t="shared" si="63"/>
        <v/>
      </c>
      <c r="F434" s="13" t="str">
        <f t="shared" si="64"/>
        <v/>
      </c>
      <c r="G434" s="13" t="str">
        <f t="shared" si="65"/>
        <v/>
      </c>
      <c r="H434" s="13" t="str">
        <f t="shared" si="66"/>
        <v/>
      </c>
      <c r="I434" t="str">
        <f t="shared" si="67"/>
        <v/>
      </c>
    </row>
    <row r="435" spans="1:9">
      <c r="A435">
        <f>CSV!B435</f>
        <v>0</v>
      </c>
      <c r="B435" s="13" t="e">
        <f>INDEX(Input!$D$2:$AC$500,
       MATCH(CPU_Formula!A435, Input!$J$2:$J$500, 0),
       MATCH("CPU model", Input!$D$1:$AC$1, 0))</f>
        <v>#N/A</v>
      </c>
      <c r="C435" s="13" t="str">
        <f t="shared" si="61"/>
        <v/>
      </c>
      <c r="D435" s="13" t="str">
        <f t="shared" si="62"/>
        <v/>
      </c>
      <c r="E435" s="13" t="str">
        <f t="shared" si="63"/>
        <v/>
      </c>
      <c r="F435" s="13" t="str">
        <f t="shared" si="64"/>
        <v/>
      </c>
      <c r="G435" s="13" t="str">
        <f t="shared" si="65"/>
        <v/>
      </c>
      <c r="H435" s="13" t="str">
        <f t="shared" si="66"/>
        <v/>
      </c>
      <c r="I435" t="str">
        <f t="shared" si="67"/>
        <v/>
      </c>
    </row>
    <row r="436" spans="1:9">
      <c r="A436">
        <f>CSV!B436</f>
        <v>0</v>
      </c>
      <c r="B436" s="13" t="e">
        <f>INDEX(Input!$D$2:$AC$500,
       MATCH(CPU_Formula!A436, Input!$J$2:$J$500, 0),
       MATCH("CPU model", Input!$D$1:$AC$1, 0))</f>
        <v>#N/A</v>
      </c>
      <c r="C436" s="13" t="str">
        <f t="shared" si="61"/>
        <v/>
      </c>
      <c r="D436" s="13" t="str">
        <f t="shared" si="62"/>
        <v/>
      </c>
      <c r="E436" s="13" t="str">
        <f t="shared" si="63"/>
        <v/>
      </c>
      <c r="F436" s="13" t="str">
        <f t="shared" si="64"/>
        <v/>
      </c>
      <c r="G436" s="13" t="str">
        <f t="shared" si="65"/>
        <v/>
      </c>
      <c r="H436" s="13" t="str">
        <f t="shared" si="66"/>
        <v/>
      </c>
      <c r="I436" t="str">
        <f t="shared" si="67"/>
        <v/>
      </c>
    </row>
    <row r="437" spans="1:9">
      <c r="A437">
        <f>CSV!B437</f>
        <v>0</v>
      </c>
      <c r="B437" s="13" t="e">
        <f>INDEX(Input!$D$2:$AC$500,
       MATCH(CPU_Formula!A437, Input!$J$2:$J$500, 0),
       MATCH("CPU model", Input!$D$1:$AC$1, 0))</f>
        <v>#N/A</v>
      </c>
      <c r="C437" s="13" t="str">
        <f t="shared" si="61"/>
        <v/>
      </c>
      <c r="D437" s="13" t="str">
        <f t="shared" si="62"/>
        <v/>
      </c>
      <c r="E437" s="13" t="str">
        <f t="shared" si="63"/>
        <v/>
      </c>
      <c r="F437" s="13" t="str">
        <f t="shared" si="64"/>
        <v/>
      </c>
      <c r="G437" s="13" t="str">
        <f t="shared" si="65"/>
        <v/>
      </c>
      <c r="H437" s="13" t="str">
        <f t="shared" si="66"/>
        <v/>
      </c>
      <c r="I437" t="str">
        <f t="shared" si="67"/>
        <v/>
      </c>
    </row>
    <row r="438" spans="1:9">
      <c r="A438">
        <f>CSV!B438</f>
        <v>0</v>
      </c>
      <c r="B438" s="13" t="e">
        <f>INDEX(Input!$D$2:$AC$500,
       MATCH(CPU_Formula!A438, Input!$J$2:$J$500, 0),
       MATCH("CPU model", Input!$D$1:$AC$1, 0))</f>
        <v>#N/A</v>
      </c>
      <c r="C438" s="13" t="str">
        <f t="shared" si="61"/>
        <v/>
      </c>
      <c r="D438" s="13" t="str">
        <f t="shared" si="62"/>
        <v/>
      </c>
      <c r="E438" s="13" t="str">
        <f t="shared" si="63"/>
        <v/>
      </c>
      <c r="F438" s="13" t="str">
        <f t="shared" si="64"/>
        <v/>
      </c>
      <c r="G438" s="13" t="str">
        <f t="shared" si="65"/>
        <v/>
      </c>
      <c r="H438" s="13" t="str">
        <f t="shared" si="66"/>
        <v/>
      </c>
      <c r="I438" t="str">
        <f t="shared" si="67"/>
        <v/>
      </c>
    </row>
    <row r="439" spans="1:9">
      <c r="A439">
        <f>CSV!B439</f>
        <v>0</v>
      </c>
      <c r="B439" s="13" t="e">
        <f>INDEX(Input!$D$2:$AC$500,
       MATCH(CPU_Formula!A439, Input!$J$2:$J$500, 0),
       MATCH("CPU model", Input!$D$1:$AC$1, 0))</f>
        <v>#N/A</v>
      </c>
      <c r="C439" s="13" t="str">
        <f t="shared" si="61"/>
        <v/>
      </c>
      <c r="D439" s="13" t="str">
        <f t="shared" si="62"/>
        <v/>
      </c>
      <c r="E439" s="13" t="str">
        <f t="shared" si="63"/>
        <v/>
      </c>
      <c r="F439" s="13" t="str">
        <f t="shared" si="64"/>
        <v/>
      </c>
      <c r="G439" s="13" t="str">
        <f t="shared" si="65"/>
        <v/>
      </c>
      <c r="H439" s="13" t="str">
        <f t="shared" si="66"/>
        <v/>
      </c>
      <c r="I439" t="str">
        <f t="shared" si="67"/>
        <v/>
      </c>
    </row>
    <row r="440" spans="1:9">
      <c r="A440">
        <f>CSV!B440</f>
        <v>0</v>
      </c>
      <c r="B440" s="13" t="e">
        <f>INDEX(Input!$D$2:$AC$500,
       MATCH(CPU_Formula!A440, Input!$J$2:$J$500, 0),
       MATCH("CPU model", Input!$D$1:$AC$1, 0))</f>
        <v>#N/A</v>
      </c>
      <c r="C440" s="13" t="str">
        <f t="shared" si="61"/>
        <v/>
      </c>
      <c r="D440" s="13" t="str">
        <f t="shared" si="62"/>
        <v/>
      </c>
      <c r="E440" s="13" t="str">
        <f t="shared" si="63"/>
        <v/>
      </c>
      <c r="F440" s="13" t="str">
        <f t="shared" si="64"/>
        <v/>
      </c>
      <c r="G440" s="13" t="str">
        <f t="shared" si="65"/>
        <v/>
      </c>
      <c r="H440" s="13" t="str">
        <f t="shared" si="66"/>
        <v/>
      </c>
      <c r="I440" t="str">
        <f t="shared" si="67"/>
        <v/>
      </c>
    </row>
    <row r="441" spans="1:9">
      <c r="A441">
        <f>CSV!B441</f>
        <v>0</v>
      </c>
      <c r="B441" s="13" t="e">
        <f>INDEX(Input!$D$2:$AC$500,
       MATCH(CPU_Formula!A441, Input!$J$2:$J$500, 0),
       MATCH("CPU model", Input!$D$1:$AC$1, 0))</f>
        <v>#N/A</v>
      </c>
      <c r="C441" s="13" t="str">
        <f t="shared" si="61"/>
        <v/>
      </c>
      <c r="D441" s="13" t="str">
        <f t="shared" si="62"/>
        <v/>
      </c>
      <c r="E441" s="13" t="str">
        <f t="shared" si="63"/>
        <v/>
      </c>
      <c r="F441" s="13" t="str">
        <f t="shared" si="64"/>
        <v/>
      </c>
      <c r="G441" s="13" t="str">
        <f t="shared" si="65"/>
        <v/>
      </c>
      <c r="H441" s="13" t="str">
        <f t="shared" si="66"/>
        <v/>
      </c>
      <c r="I441" t="str">
        <f t="shared" si="67"/>
        <v/>
      </c>
    </row>
    <row r="442" spans="1:9">
      <c r="A442">
        <f>CSV!B442</f>
        <v>0</v>
      </c>
      <c r="B442" s="13" t="e">
        <f>INDEX(Input!$D$2:$AC$500,
       MATCH(CPU_Formula!A442, Input!$J$2:$J$500, 0),
       MATCH("CPU model", Input!$D$1:$AC$1, 0))</f>
        <v>#N/A</v>
      </c>
      <c r="C442" s="13" t="str">
        <f t="shared" si="61"/>
        <v/>
      </c>
      <c r="D442" s="13" t="str">
        <f t="shared" si="62"/>
        <v/>
      </c>
      <c r="E442" s="13" t="str">
        <f t="shared" si="63"/>
        <v/>
      </c>
      <c r="F442" s="13" t="str">
        <f t="shared" si="64"/>
        <v/>
      </c>
      <c r="G442" s="13" t="str">
        <f t="shared" si="65"/>
        <v/>
      </c>
      <c r="H442" s="13" t="str">
        <f t="shared" si="66"/>
        <v/>
      </c>
      <c r="I442" t="str">
        <f t="shared" si="67"/>
        <v/>
      </c>
    </row>
    <row r="443" spans="1:9">
      <c r="A443">
        <f>CSV!B443</f>
        <v>0</v>
      </c>
      <c r="B443" s="13" t="e">
        <f>INDEX(Input!$D$2:$AC$500,
       MATCH(CPU_Formula!A443, Input!$J$2:$J$500, 0),
       MATCH("CPU model", Input!$D$1:$AC$1, 0))</f>
        <v>#N/A</v>
      </c>
      <c r="C443" s="13" t="str">
        <f t="shared" si="61"/>
        <v/>
      </c>
      <c r="D443" s="13" t="str">
        <f t="shared" si="62"/>
        <v/>
      </c>
      <c r="E443" s="13" t="str">
        <f t="shared" si="63"/>
        <v/>
      </c>
      <c r="F443" s="13" t="str">
        <f t="shared" si="64"/>
        <v/>
      </c>
      <c r="G443" s="13" t="str">
        <f t="shared" si="65"/>
        <v/>
      </c>
      <c r="H443" s="13" t="str">
        <f t="shared" si="66"/>
        <v/>
      </c>
      <c r="I443" t="str">
        <f t="shared" si="67"/>
        <v/>
      </c>
    </row>
    <row r="444" spans="1:9">
      <c r="A444">
        <f>CSV!B444</f>
        <v>0</v>
      </c>
      <c r="B444" s="13" t="e">
        <f>INDEX(Input!$D$2:$AC$500,
       MATCH(CPU_Formula!A444, Input!$J$2:$J$500, 0),
       MATCH("CPU model", Input!$D$1:$AC$1, 0))</f>
        <v>#N/A</v>
      </c>
      <c r="C444" s="13" t="str">
        <f t="shared" si="61"/>
        <v/>
      </c>
      <c r="D444" s="13" t="str">
        <f t="shared" si="62"/>
        <v/>
      </c>
      <c r="E444" s="13" t="str">
        <f t="shared" si="63"/>
        <v/>
      </c>
      <c r="F444" s="13" t="str">
        <f t="shared" si="64"/>
        <v/>
      </c>
      <c r="G444" s="13" t="str">
        <f t="shared" si="65"/>
        <v/>
      </c>
      <c r="H444" s="13" t="str">
        <f t="shared" si="66"/>
        <v/>
      </c>
      <c r="I444" t="str">
        <f t="shared" si="67"/>
        <v/>
      </c>
    </row>
    <row r="445" spans="1:9">
      <c r="A445">
        <f>CSV!B445</f>
        <v>0</v>
      </c>
      <c r="B445" s="13" t="e">
        <f>INDEX(Input!$D$2:$AC$500,
       MATCH(CPU_Formula!A445, Input!$J$2:$J$500, 0),
       MATCH("CPU model", Input!$D$1:$AC$1, 0))</f>
        <v>#N/A</v>
      </c>
      <c r="C445" s="13" t="str">
        <f t="shared" si="61"/>
        <v/>
      </c>
      <c r="D445" s="13" t="str">
        <f t="shared" si="62"/>
        <v/>
      </c>
      <c r="E445" s="13" t="str">
        <f t="shared" si="63"/>
        <v/>
      </c>
      <c r="F445" s="13" t="str">
        <f t="shared" si="64"/>
        <v/>
      </c>
      <c r="G445" s="13" t="str">
        <f t="shared" si="65"/>
        <v/>
      </c>
      <c r="H445" s="13" t="str">
        <f t="shared" si="66"/>
        <v/>
      </c>
      <c r="I445" t="str">
        <f t="shared" si="67"/>
        <v/>
      </c>
    </row>
    <row r="446" spans="1:9">
      <c r="A446">
        <f>CSV!B446</f>
        <v>0</v>
      </c>
      <c r="B446" s="13" t="e">
        <f>INDEX(Input!$D$2:$AC$500,
       MATCH(CPU_Formula!A446, Input!$J$2:$J$500, 0),
       MATCH("CPU model", Input!$D$1:$AC$1, 0))</f>
        <v>#N/A</v>
      </c>
      <c r="C446" s="13" t="str">
        <f t="shared" si="61"/>
        <v/>
      </c>
      <c r="D446" s="13" t="str">
        <f t="shared" si="62"/>
        <v/>
      </c>
      <c r="E446" s="13" t="str">
        <f t="shared" si="63"/>
        <v/>
      </c>
      <c r="F446" s="13" t="str">
        <f t="shared" si="64"/>
        <v/>
      </c>
      <c r="G446" s="13" t="str">
        <f t="shared" si="65"/>
        <v/>
      </c>
      <c r="H446" s="13" t="str">
        <f t="shared" si="66"/>
        <v/>
      </c>
      <c r="I446" t="str">
        <f t="shared" si="67"/>
        <v/>
      </c>
    </row>
    <row r="447" spans="1:9">
      <c r="A447">
        <f>CSV!B447</f>
        <v>0</v>
      </c>
      <c r="B447" s="13" t="e">
        <f>INDEX(Input!$D$2:$AC$500,
       MATCH(CPU_Formula!A447, Input!$J$2:$J$500, 0),
       MATCH("CPU model", Input!$D$1:$AC$1, 0))</f>
        <v>#N/A</v>
      </c>
      <c r="C447" s="13" t="str">
        <f t="shared" si="61"/>
        <v/>
      </c>
      <c r="D447" s="13" t="str">
        <f t="shared" si="62"/>
        <v/>
      </c>
      <c r="E447" s="13" t="str">
        <f t="shared" si="63"/>
        <v/>
      </c>
      <c r="F447" s="13" t="str">
        <f t="shared" si="64"/>
        <v/>
      </c>
      <c r="G447" s="13" t="str">
        <f t="shared" si="65"/>
        <v/>
      </c>
      <c r="H447" s="13" t="str">
        <f t="shared" si="66"/>
        <v/>
      </c>
      <c r="I447" t="str">
        <f t="shared" si="67"/>
        <v/>
      </c>
    </row>
    <row r="448" spans="1:9">
      <c r="A448">
        <f>CSV!B448</f>
        <v>0</v>
      </c>
      <c r="B448" s="13" t="e">
        <f>INDEX(Input!$D$2:$AC$500,
       MATCH(CPU_Formula!A448, Input!$J$2:$J$500, 0),
       MATCH("CPU model", Input!$D$1:$AC$1, 0))</f>
        <v>#N/A</v>
      </c>
      <c r="C448" s="13" t="str">
        <f t="shared" si="61"/>
        <v/>
      </c>
      <c r="D448" s="13" t="str">
        <f t="shared" si="62"/>
        <v/>
      </c>
      <c r="E448" s="13" t="str">
        <f t="shared" si="63"/>
        <v/>
      </c>
      <c r="F448" s="13" t="str">
        <f t="shared" si="64"/>
        <v/>
      </c>
      <c r="G448" s="13" t="str">
        <f t="shared" si="65"/>
        <v/>
      </c>
      <c r="H448" s="13" t="str">
        <f t="shared" si="66"/>
        <v/>
      </c>
      <c r="I448" t="str">
        <f t="shared" si="67"/>
        <v/>
      </c>
    </row>
    <row r="449" spans="1:9">
      <c r="A449">
        <f>CSV!B449</f>
        <v>0</v>
      </c>
      <c r="B449" s="13" t="e">
        <f>INDEX(Input!$D$2:$AC$500,
       MATCH(CPU_Formula!A449, Input!$J$2:$J$500, 0),
       MATCH("CPU model", Input!$D$1:$AC$1, 0))</f>
        <v>#N/A</v>
      </c>
      <c r="C449" s="13" t="str">
        <f t="shared" si="61"/>
        <v/>
      </c>
      <c r="D449" s="13" t="str">
        <f t="shared" si="62"/>
        <v/>
      </c>
      <c r="E449" s="13" t="str">
        <f t="shared" si="63"/>
        <v/>
      </c>
      <c r="F449" s="13" t="str">
        <f t="shared" si="64"/>
        <v/>
      </c>
      <c r="G449" s="13" t="str">
        <f t="shared" si="65"/>
        <v/>
      </c>
      <c r="H449" s="13" t="str">
        <f t="shared" si="66"/>
        <v/>
      </c>
      <c r="I449" t="str">
        <f t="shared" si="67"/>
        <v/>
      </c>
    </row>
    <row r="450" spans="1:9">
      <c r="A450">
        <f>CSV!B450</f>
        <v>0</v>
      </c>
      <c r="B450" s="13" t="e">
        <f>INDEX(Input!$D$2:$AC$500,
       MATCH(CPU_Formula!A450, Input!$J$2:$J$500, 0),
       MATCH("CPU model", Input!$D$1:$AC$1, 0))</f>
        <v>#N/A</v>
      </c>
      <c r="C450" s="13" t="str">
        <f t="shared" si="61"/>
        <v/>
      </c>
      <c r="D450" s="13" t="str">
        <f t="shared" si="62"/>
        <v/>
      </c>
      <c r="E450" s="13" t="str">
        <f t="shared" si="63"/>
        <v/>
      </c>
      <c r="F450" s="13" t="str">
        <f t="shared" si="64"/>
        <v/>
      </c>
      <c r="G450" s="13" t="str">
        <f t="shared" si="65"/>
        <v/>
      </c>
      <c r="H450" s="13" t="str">
        <f t="shared" si="66"/>
        <v/>
      </c>
      <c r="I450" t="str">
        <f t="shared" si="67"/>
        <v/>
      </c>
    </row>
    <row r="451" spans="1:9">
      <c r="A451">
        <f>CSV!B451</f>
        <v>0</v>
      </c>
      <c r="B451" s="13" t="e">
        <f>INDEX(Input!$D$2:$AC$500,
       MATCH(CPU_Formula!A451, Input!$J$2:$J$500, 0),
       MATCH("CPU model", Input!$D$1:$AC$1, 0))</f>
        <v>#N/A</v>
      </c>
      <c r="C451" s="13" t="str">
        <f t="shared" si="61"/>
        <v/>
      </c>
      <c r="D451" s="13" t="str">
        <f t="shared" si="62"/>
        <v/>
      </c>
      <c r="E451" s="13" t="str">
        <f t="shared" si="63"/>
        <v/>
      </c>
      <c r="F451" s="13" t="str">
        <f t="shared" si="64"/>
        <v/>
      </c>
      <c r="G451" s="13" t="str">
        <f t="shared" si="65"/>
        <v/>
      </c>
      <c r="H451" s="13" t="str">
        <f t="shared" si="66"/>
        <v/>
      </c>
      <c r="I451" t="str">
        <f t="shared" si="67"/>
        <v/>
      </c>
    </row>
    <row r="452" spans="1:9">
      <c r="A452">
        <f>CSV!B452</f>
        <v>0</v>
      </c>
      <c r="B452" s="13" t="e">
        <f>INDEX(Input!$D$2:$AC$500,
       MATCH(CPU_Formula!A452, Input!$J$2:$J$500, 0),
       MATCH("CPU model", Input!$D$1:$AC$1, 0))</f>
        <v>#N/A</v>
      </c>
      <c r="C452" s="13" t="str">
        <f t="shared" si="61"/>
        <v/>
      </c>
      <c r="D452" s="13" t="str">
        <f t="shared" si="62"/>
        <v/>
      </c>
      <c r="E452" s="13" t="str">
        <f t="shared" si="63"/>
        <v/>
      </c>
      <c r="F452" s="13" t="str">
        <f t="shared" si="64"/>
        <v/>
      </c>
      <c r="G452" s="13" t="str">
        <f t="shared" si="65"/>
        <v/>
      </c>
      <c r="H452" s="13" t="str">
        <f t="shared" si="66"/>
        <v/>
      </c>
      <c r="I452" t="str">
        <f t="shared" si="67"/>
        <v/>
      </c>
    </row>
    <row r="453" spans="1:9">
      <c r="A453">
        <f>CSV!B453</f>
        <v>0</v>
      </c>
      <c r="B453" s="13" t="e">
        <f>INDEX(Input!$D$2:$AC$500,
       MATCH(CPU_Formula!A453, Input!$J$2:$J$500, 0),
       MATCH("CPU model", Input!$D$1:$AC$1, 0))</f>
        <v>#N/A</v>
      </c>
      <c r="C453" s="13" t="str">
        <f t="shared" si="61"/>
        <v/>
      </c>
      <c r="D453" s="13" t="str">
        <f t="shared" si="62"/>
        <v/>
      </c>
      <c r="E453" s="13" t="str">
        <f t="shared" si="63"/>
        <v/>
      </c>
      <c r="F453" s="13" t="str">
        <f t="shared" si="64"/>
        <v/>
      </c>
      <c r="G453" s="13" t="str">
        <f t="shared" si="65"/>
        <v/>
      </c>
      <c r="H453" s="13" t="str">
        <f t="shared" si="66"/>
        <v/>
      </c>
      <c r="I453" t="str">
        <f t="shared" si="67"/>
        <v/>
      </c>
    </row>
    <row r="454" spans="1:9">
      <c r="A454">
        <f>CSV!B454</f>
        <v>0</v>
      </c>
      <c r="B454" s="13" t="e">
        <f>INDEX(Input!$D$2:$AC$500,
       MATCH(CPU_Formula!A454, Input!$J$2:$J$500, 0),
       MATCH("CPU model", Input!$D$1:$AC$1, 0))</f>
        <v>#N/A</v>
      </c>
      <c r="C454" s="13" t="str">
        <f t="shared" si="61"/>
        <v/>
      </c>
      <c r="D454" s="13" t="str">
        <f t="shared" si="62"/>
        <v/>
      </c>
      <c r="E454" s="13" t="str">
        <f t="shared" si="63"/>
        <v/>
      </c>
      <c r="F454" s="13" t="str">
        <f t="shared" si="64"/>
        <v/>
      </c>
      <c r="G454" s="13" t="str">
        <f t="shared" si="65"/>
        <v/>
      </c>
      <c r="H454" s="13" t="str">
        <f t="shared" si="66"/>
        <v/>
      </c>
      <c r="I454" t="str">
        <f t="shared" si="67"/>
        <v/>
      </c>
    </row>
    <row r="455" spans="1:9">
      <c r="A455">
        <f>CSV!B455</f>
        <v>0</v>
      </c>
      <c r="B455" s="13" t="e">
        <f>INDEX(Input!$D$2:$AC$500,
       MATCH(CPU_Formula!A455, Input!$J$2:$J$500, 0),
       MATCH("CPU model", Input!$D$1:$AC$1, 0))</f>
        <v>#N/A</v>
      </c>
      <c r="C455" s="13" t="str">
        <f t="shared" si="61"/>
        <v/>
      </c>
      <c r="D455" s="13" t="str">
        <f t="shared" si="62"/>
        <v/>
      </c>
      <c r="E455" s="13" t="str">
        <f t="shared" si="63"/>
        <v/>
      </c>
      <c r="F455" s="13" t="str">
        <f t="shared" si="64"/>
        <v/>
      </c>
      <c r="G455" s="13" t="str">
        <f t="shared" si="65"/>
        <v/>
      </c>
      <c r="H455" s="13" t="str">
        <f t="shared" si="66"/>
        <v/>
      </c>
      <c r="I455" t="str">
        <f t="shared" si="67"/>
        <v/>
      </c>
    </row>
    <row r="456" spans="1:9">
      <c r="A456">
        <f>CSV!B456</f>
        <v>0</v>
      </c>
      <c r="B456" s="13" t="e">
        <f>INDEX(Input!$D$2:$AC$500,
       MATCH(CPU_Formula!A456, Input!$J$2:$J$500, 0),
       MATCH("CPU model", Input!$D$1:$AC$1, 0))</f>
        <v>#N/A</v>
      </c>
      <c r="C456" s="13" t="str">
        <f t="shared" si="61"/>
        <v/>
      </c>
      <c r="D456" s="13" t="str">
        <f t="shared" si="62"/>
        <v/>
      </c>
      <c r="E456" s="13" t="str">
        <f t="shared" si="63"/>
        <v/>
      </c>
      <c r="F456" s="13" t="str">
        <f t="shared" si="64"/>
        <v/>
      </c>
      <c r="G456" s="13" t="str">
        <f t="shared" si="65"/>
        <v/>
      </c>
      <c r="H456" s="13" t="str">
        <f t="shared" si="66"/>
        <v/>
      </c>
      <c r="I456" t="str">
        <f t="shared" si="67"/>
        <v/>
      </c>
    </row>
    <row r="457" spans="1:9">
      <c r="A457">
        <f>CSV!B457</f>
        <v>0</v>
      </c>
      <c r="B457" s="13" t="e">
        <f>INDEX(Input!$D$2:$AC$500,
       MATCH(CPU_Formula!A457, Input!$J$2:$J$500, 0),
       MATCH("CPU model", Input!$D$1:$AC$1, 0))</f>
        <v>#N/A</v>
      </c>
      <c r="C457" s="13" t="str">
        <f t="shared" si="61"/>
        <v/>
      </c>
      <c r="D457" s="13" t="str">
        <f t="shared" si="62"/>
        <v/>
      </c>
      <c r="E457" s="13" t="str">
        <f t="shared" si="63"/>
        <v/>
      </c>
      <c r="F457" s="13" t="str">
        <f t="shared" si="64"/>
        <v/>
      </c>
      <c r="G457" s="13" t="str">
        <f t="shared" si="65"/>
        <v/>
      </c>
      <c r="H457" s="13" t="str">
        <f t="shared" si="66"/>
        <v/>
      </c>
      <c r="I457" t="str">
        <f t="shared" si="67"/>
        <v/>
      </c>
    </row>
    <row r="458" spans="1:9">
      <c r="A458">
        <f>CSV!B458</f>
        <v>0</v>
      </c>
      <c r="B458" s="13" t="e">
        <f>INDEX(Input!$D$2:$AC$500,
       MATCH(CPU_Formula!A458, Input!$J$2:$J$500, 0),
       MATCH("CPU model", Input!$D$1:$AC$1, 0))</f>
        <v>#N/A</v>
      </c>
      <c r="C458" s="13" t="str">
        <f t="shared" si="61"/>
        <v/>
      </c>
      <c r="D458" s="13" t="str">
        <f t="shared" si="62"/>
        <v/>
      </c>
      <c r="E458" s="13" t="str">
        <f t="shared" si="63"/>
        <v/>
      </c>
      <c r="F458" s="13" t="str">
        <f t="shared" si="64"/>
        <v/>
      </c>
      <c r="G458" s="13" t="str">
        <f t="shared" si="65"/>
        <v/>
      </c>
      <c r="H458" s="13" t="str">
        <f t="shared" si="66"/>
        <v/>
      </c>
      <c r="I458" t="str">
        <f t="shared" si="67"/>
        <v/>
      </c>
    </row>
    <row r="459" spans="1:9">
      <c r="A459">
        <f>CSV!B459</f>
        <v>0</v>
      </c>
      <c r="B459" s="13" t="e">
        <f>INDEX(Input!$D$2:$AC$500,
       MATCH(CPU_Formula!A459, Input!$J$2:$J$500, 0),
       MATCH("CPU model", Input!$D$1:$AC$1, 0))</f>
        <v>#N/A</v>
      </c>
      <c r="C459" s="13" t="str">
        <f t="shared" si="61"/>
        <v/>
      </c>
      <c r="D459" s="13" t="str">
        <f t="shared" si="62"/>
        <v/>
      </c>
      <c r="E459" s="13" t="str">
        <f t="shared" si="63"/>
        <v/>
      </c>
      <c r="F459" s="13" t="str">
        <f t="shared" si="64"/>
        <v/>
      </c>
      <c r="G459" s="13" t="str">
        <f t="shared" si="65"/>
        <v/>
      </c>
      <c r="H459" s="13" t="str">
        <f t="shared" si="66"/>
        <v/>
      </c>
      <c r="I459" t="str">
        <f t="shared" si="67"/>
        <v/>
      </c>
    </row>
    <row r="460" spans="1:9">
      <c r="A460">
        <f>CSV!B460</f>
        <v>0</v>
      </c>
      <c r="B460" s="13" t="e">
        <f>INDEX(Input!$D$2:$AC$500,
       MATCH(CPU_Formula!A460, Input!$J$2:$J$500, 0),
       MATCH("CPU model", Input!$D$1:$AC$1, 0))</f>
        <v>#N/A</v>
      </c>
      <c r="C460" s="13" t="str">
        <f t="shared" si="61"/>
        <v/>
      </c>
      <c r="D460" s="13" t="str">
        <f t="shared" si="62"/>
        <v/>
      </c>
      <c r="E460" s="13" t="str">
        <f t="shared" si="63"/>
        <v/>
      </c>
      <c r="F460" s="13" t="str">
        <f t="shared" si="64"/>
        <v/>
      </c>
      <c r="G460" s="13" t="str">
        <f t="shared" si="65"/>
        <v/>
      </c>
      <c r="H460" s="13" t="str">
        <f t="shared" si="66"/>
        <v/>
      </c>
      <c r="I460" t="str">
        <f t="shared" si="67"/>
        <v/>
      </c>
    </row>
    <row r="461" spans="1:9">
      <c r="A461">
        <f>CSV!B461</f>
        <v>0</v>
      </c>
      <c r="B461" s="13" t="e">
        <f>INDEX(Input!$D$2:$AC$500,
       MATCH(CPU_Formula!A461, Input!$J$2:$J$500, 0),
       MATCH("CPU model", Input!$D$1:$AC$1, 0))</f>
        <v>#N/A</v>
      </c>
      <c r="C461" s="13" t="str">
        <f t="shared" si="61"/>
        <v/>
      </c>
      <c r="D461" s="13" t="str">
        <f t="shared" si="62"/>
        <v/>
      </c>
      <c r="E461" s="13" t="str">
        <f t="shared" si="63"/>
        <v/>
      </c>
      <c r="F461" s="13" t="str">
        <f t="shared" si="64"/>
        <v/>
      </c>
      <c r="G461" s="13" t="str">
        <f t="shared" si="65"/>
        <v/>
      </c>
      <c r="H461" s="13" t="str">
        <f t="shared" si="66"/>
        <v/>
      </c>
      <c r="I461" t="str">
        <f t="shared" si="67"/>
        <v/>
      </c>
    </row>
    <row r="462" spans="1:9">
      <c r="A462">
        <f>CSV!B462</f>
        <v>0</v>
      </c>
      <c r="B462" s="13" t="e">
        <f>INDEX(Input!$D$2:$AC$500,
       MATCH(CPU_Formula!A462, Input!$J$2:$J$500, 0),
       MATCH("CPU model", Input!$D$1:$AC$1, 0))</f>
        <v>#N/A</v>
      </c>
      <c r="C462" s="13" t="str">
        <f t="shared" si="61"/>
        <v/>
      </c>
      <c r="D462" s="13" t="str">
        <f t="shared" si="62"/>
        <v/>
      </c>
      <c r="E462" s="13" t="str">
        <f t="shared" si="63"/>
        <v/>
      </c>
      <c r="F462" s="13" t="str">
        <f t="shared" si="64"/>
        <v/>
      </c>
      <c r="G462" s="13" t="str">
        <f t="shared" si="65"/>
        <v/>
      </c>
      <c r="H462" s="13" t="str">
        <f t="shared" si="66"/>
        <v/>
      </c>
      <c r="I462" t="str">
        <f t="shared" si="67"/>
        <v/>
      </c>
    </row>
    <row r="463" spans="1:9">
      <c r="A463">
        <f>CSV!B463</f>
        <v>0</v>
      </c>
      <c r="B463" s="13" t="e">
        <f>INDEX(Input!$D$2:$AC$500,
       MATCH(CPU_Formula!A463, Input!$J$2:$J$500, 0),
       MATCH("CPU model", Input!$D$1:$AC$1, 0))</f>
        <v>#N/A</v>
      </c>
      <c r="C463" s="13" t="str">
        <f t="shared" si="61"/>
        <v/>
      </c>
      <c r="D463" s="13" t="str">
        <f t="shared" si="62"/>
        <v/>
      </c>
      <c r="E463" s="13" t="str">
        <f t="shared" si="63"/>
        <v/>
      </c>
      <c r="F463" s="13" t="str">
        <f t="shared" si="64"/>
        <v/>
      </c>
      <c r="G463" s="13" t="str">
        <f t="shared" si="65"/>
        <v/>
      </c>
      <c r="H463" s="13" t="str">
        <f t="shared" si="66"/>
        <v/>
      </c>
      <c r="I463" t="str">
        <f t="shared" si="67"/>
        <v/>
      </c>
    </row>
    <row r="464" spans="1:9">
      <c r="A464">
        <f>CSV!B464</f>
        <v>0</v>
      </c>
      <c r="B464" s="13" t="e">
        <f>INDEX(Input!$D$2:$AC$500,
       MATCH(CPU_Formula!A464, Input!$J$2:$J$500, 0),
       MATCH("CPU model", Input!$D$1:$AC$1, 0))</f>
        <v>#N/A</v>
      </c>
      <c r="C464" s="13" t="str">
        <f t="shared" si="61"/>
        <v/>
      </c>
      <c r="D464" s="13" t="str">
        <f t="shared" si="62"/>
        <v/>
      </c>
      <c r="E464" s="13" t="str">
        <f t="shared" si="63"/>
        <v/>
      </c>
      <c r="F464" s="13" t="str">
        <f t="shared" si="64"/>
        <v/>
      </c>
      <c r="G464" s="13" t="str">
        <f t="shared" si="65"/>
        <v/>
      </c>
      <c r="H464" s="13" t="str">
        <f t="shared" si="66"/>
        <v/>
      </c>
      <c r="I464" t="str">
        <f t="shared" si="67"/>
        <v/>
      </c>
    </row>
    <row r="465" spans="1:9">
      <c r="A465">
        <f>CSV!B465</f>
        <v>0</v>
      </c>
      <c r="B465" s="13" t="e">
        <f>INDEX(Input!$D$2:$AC$500,
       MATCH(CPU_Formula!A465, Input!$J$2:$J$500, 0),
       MATCH("CPU model", Input!$D$1:$AC$1, 0))</f>
        <v>#N/A</v>
      </c>
      <c r="C465" s="13" t="str">
        <f t="shared" si="61"/>
        <v/>
      </c>
      <c r="D465" s="13" t="str">
        <f t="shared" si="62"/>
        <v/>
      </c>
      <c r="E465" s="13" t="str">
        <f t="shared" si="63"/>
        <v/>
      </c>
      <c r="F465" s="13" t="str">
        <f t="shared" si="64"/>
        <v/>
      </c>
      <c r="G465" s="13" t="str">
        <f t="shared" si="65"/>
        <v/>
      </c>
      <c r="H465" s="13" t="str">
        <f t="shared" si="66"/>
        <v/>
      </c>
      <c r="I465" t="str">
        <f t="shared" si="67"/>
        <v/>
      </c>
    </row>
    <row r="466" spans="1:9">
      <c r="A466">
        <f>CSV!B466</f>
        <v>0</v>
      </c>
      <c r="B466" s="13" t="e">
        <f>INDEX(Input!$D$2:$AC$500,
       MATCH(CPU_Formula!A466, Input!$J$2:$J$500, 0),
       MATCH("CPU model", Input!$D$1:$AC$1, 0))</f>
        <v>#N/A</v>
      </c>
      <c r="C466" s="13" t="str">
        <f t="shared" si="61"/>
        <v/>
      </c>
      <c r="D466" s="13" t="str">
        <f t="shared" si="62"/>
        <v/>
      </c>
      <c r="E466" s="13" t="str">
        <f t="shared" si="63"/>
        <v/>
      </c>
      <c r="F466" s="13" t="str">
        <f t="shared" si="64"/>
        <v/>
      </c>
      <c r="G466" s="13" t="str">
        <f t="shared" si="65"/>
        <v/>
      </c>
      <c r="H466" s="13" t="str">
        <f t="shared" si="66"/>
        <v/>
      </c>
      <c r="I466" t="str">
        <f t="shared" si="67"/>
        <v/>
      </c>
    </row>
    <row r="467" spans="1:9">
      <c r="A467">
        <f>CSV!B467</f>
        <v>0</v>
      </c>
      <c r="B467" s="13" t="e">
        <f>INDEX(Input!$D$2:$AC$500,
       MATCH(CPU_Formula!A467, Input!$J$2:$J$500, 0),
       MATCH("CPU model", Input!$D$1:$AC$1, 0))</f>
        <v>#N/A</v>
      </c>
      <c r="C467" s="13" t="str">
        <f t="shared" si="61"/>
        <v/>
      </c>
      <c r="D467" s="13" t="str">
        <f t="shared" si="62"/>
        <v/>
      </c>
      <c r="E467" s="13" t="str">
        <f t="shared" si="63"/>
        <v/>
      </c>
      <c r="F467" s="13" t="str">
        <f t="shared" si="64"/>
        <v/>
      </c>
      <c r="G467" s="13" t="str">
        <f t="shared" si="65"/>
        <v/>
      </c>
      <c r="H467" s="13" t="str">
        <f t="shared" si="66"/>
        <v/>
      </c>
      <c r="I467" t="str">
        <f t="shared" si="67"/>
        <v/>
      </c>
    </row>
    <row r="468" spans="1:9">
      <c r="A468">
        <f>CSV!B468</f>
        <v>0</v>
      </c>
      <c r="B468" s="13" t="e">
        <f>INDEX(Input!$D$2:$AC$500,
       MATCH(CPU_Formula!A468, Input!$J$2:$J$500, 0),
       MATCH("CPU model", Input!$D$1:$AC$1, 0))</f>
        <v>#N/A</v>
      </c>
      <c r="C468" s="13" t="str">
        <f t="shared" si="61"/>
        <v/>
      </c>
      <c r="D468" s="13" t="str">
        <f t="shared" si="62"/>
        <v/>
      </c>
      <c r="E468" s="13" t="str">
        <f t="shared" si="63"/>
        <v/>
      </c>
      <c r="F468" s="13" t="str">
        <f t="shared" si="64"/>
        <v/>
      </c>
      <c r="G468" s="13" t="str">
        <f t="shared" si="65"/>
        <v/>
      </c>
      <c r="H468" s="13" t="str">
        <f t="shared" si="66"/>
        <v/>
      </c>
      <c r="I468" t="str">
        <f t="shared" si="67"/>
        <v/>
      </c>
    </row>
    <row r="469" spans="1:9">
      <c r="A469">
        <f>CSV!B469</f>
        <v>0</v>
      </c>
      <c r="B469" s="13" t="e">
        <f>INDEX(Input!$D$2:$AC$500,
       MATCH(CPU_Formula!A469, Input!$J$2:$J$500, 0),
       MATCH("CPU model", Input!$D$1:$AC$1, 0))</f>
        <v>#N/A</v>
      </c>
      <c r="C469" s="13" t="str">
        <f t="shared" si="61"/>
        <v/>
      </c>
      <c r="D469" s="13" t="str">
        <f t="shared" si="62"/>
        <v/>
      </c>
      <c r="E469" s="13" t="str">
        <f t="shared" si="63"/>
        <v/>
      </c>
      <c r="F469" s="13" t="str">
        <f t="shared" si="64"/>
        <v/>
      </c>
      <c r="G469" s="13" t="str">
        <f t="shared" si="65"/>
        <v/>
      </c>
      <c r="H469" s="13" t="str">
        <f t="shared" si="66"/>
        <v/>
      </c>
      <c r="I469" t="str">
        <f t="shared" si="67"/>
        <v/>
      </c>
    </row>
    <row r="470" spans="1:9">
      <c r="A470">
        <f>CSV!B470</f>
        <v>0</v>
      </c>
      <c r="B470" s="13" t="e">
        <f>INDEX(Input!$D$2:$AC$500,
       MATCH(CPU_Formula!A470, Input!$J$2:$J$500, 0),
       MATCH("CPU model", Input!$D$1:$AC$1, 0))</f>
        <v>#N/A</v>
      </c>
      <c r="C470" s="13" t="str">
        <f t="shared" si="61"/>
        <v/>
      </c>
      <c r="D470" s="13" t="str">
        <f t="shared" si="62"/>
        <v/>
      </c>
      <c r="E470" s="13" t="str">
        <f t="shared" si="63"/>
        <v/>
      </c>
      <c r="F470" s="13" t="str">
        <f t="shared" si="64"/>
        <v/>
      </c>
      <c r="G470" s="13" t="str">
        <f t="shared" si="65"/>
        <v/>
      </c>
      <c r="H470" s="13" t="str">
        <f t="shared" si="66"/>
        <v/>
      </c>
      <c r="I470" t="str">
        <f t="shared" si="67"/>
        <v/>
      </c>
    </row>
    <row r="471" spans="1:9">
      <c r="A471">
        <f>CSV!B471</f>
        <v>0</v>
      </c>
      <c r="B471" s="13" t="e">
        <f>INDEX(Input!$D$2:$AC$500,
       MATCH(CPU_Formula!A471, Input!$J$2:$J$500, 0),
       MATCH("CPU model", Input!$D$1:$AC$1, 0))</f>
        <v>#N/A</v>
      </c>
      <c r="C471" s="13" t="str">
        <f t="shared" si="61"/>
        <v/>
      </c>
      <c r="D471" s="13" t="str">
        <f t="shared" si="62"/>
        <v/>
      </c>
      <c r="E471" s="13" t="str">
        <f t="shared" si="63"/>
        <v/>
      </c>
      <c r="F471" s="13" t="str">
        <f t="shared" si="64"/>
        <v/>
      </c>
      <c r="G471" s="13" t="str">
        <f t="shared" si="65"/>
        <v/>
      </c>
      <c r="H471" s="13" t="str">
        <f t="shared" si="66"/>
        <v/>
      </c>
      <c r="I471" t="str">
        <f t="shared" si="67"/>
        <v/>
      </c>
    </row>
    <row r="472" spans="1:9">
      <c r="A472">
        <f>CSV!B472</f>
        <v>0</v>
      </c>
      <c r="B472" s="13" t="e">
        <f>INDEX(Input!$D$2:$AC$500,
       MATCH(CPU_Formula!A472, Input!$J$2:$J$500, 0),
       MATCH("CPU model", Input!$D$1:$AC$1, 0))</f>
        <v>#N/A</v>
      </c>
      <c r="C472" s="13" t="str">
        <f t="shared" si="61"/>
        <v/>
      </c>
      <c r="D472" s="13" t="str">
        <f t="shared" si="62"/>
        <v/>
      </c>
      <c r="E472" s="13" t="str">
        <f t="shared" si="63"/>
        <v/>
      </c>
      <c r="F472" s="13" t="str">
        <f t="shared" si="64"/>
        <v/>
      </c>
      <c r="G472" s="13" t="str">
        <f t="shared" si="65"/>
        <v/>
      </c>
      <c r="H472" s="13" t="str">
        <f t="shared" si="66"/>
        <v/>
      </c>
      <c r="I472" t="str">
        <f t="shared" si="67"/>
        <v/>
      </c>
    </row>
    <row r="473" spans="1:9">
      <c r="A473">
        <f>CSV!B473</f>
        <v>0</v>
      </c>
      <c r="B473" s="13" t="e">
        <f>INDEX(Input!$D$2:$AC$500,
       MATCH(CPU_Formula!A473, Input!$J$2:$J$500, 0),
       MATCH("CPU model", Input!$D$1:$AC$1, 0))</f>
        <v>#N/A</v>
      </c>
      <c r="C473" s="13" t="str">
        <f t="shared" si="61"/>
        <v/>
      </c>
      <c r="D473" s="13" t="str">
        <f t="shared" si="62"/>
        <v/>
      </c>
      <c r="E473" s="13" t="str">
        <f t="shared" si="63"/>
        <v/>
      </c>
      <c r="F473" s="13" t="str">
        <f t="shared" si="64"/>
        <v/>
      </c>
      <c r="G473" s="13" t="str">
        <f t="shared" si="65"/>
        <v/>
      </c>
      <c r="H473" s="13" t="str">
        <f t="shared" si="66"/>
        <v/>
      </c>
      <c r="I473" t="str">
        <f t="shared" si="67"/>
        <v/>
      </c>
    </row>
    <row r="474" spans="1:9">
      <c r="A474">
        <f>CSV!B474</f>
        <v>0</v>
      </c>
      <c r="B474" s="13" t="e">
        <f>INDEX(Input!$D$2:$AC$500,
       MATCH(CPU_Formula!A474, Input!$J$2:$J$500, 0),
       MATCH("CPU model", Input!$D$1:$AC$1, 0))</f>
        <v>#N/A</v>
      </c>
      <c r="C474" s="13" t="str">
        <f t="shared" si="61"/>
        <v/>
      </c>
      <c r="D474" s="13" t="str">
        <f t="shared" si="62"/>
        <v/>
      </c>
      <c r="E474" s="13" t="str">
        <f t="shared" si="63"/>
        <v/>
      </c>
      <c r="F474" s="13" t="str">
        <f t="shared" si="64"/>
        <v/>
      </c>
      <c r="G474" s="13" t="str">
        <f t="shared" si="65"/>
        <v/>
      </c>
      <c r="H474" s="13" t="str">
        <f t="shared" si="66"/>
        <v/>
      </c>
      <c r="I474" t="str">
        <f t="shared" si="67"/>
        <v/>
      </c>
    </row>
    <row r="475" spans="1:9">
      <c r="A475">
        <f>CSV!B475</f>
        <v>0</v>
      </c>
      <c r="B475" s="13" t="e">
        <f>INDEX(Input!$D$2:$AC$500,
       MATCH(CPU_Formula!A475, Input!$J$2:$J$500, 0),
       MATCH("CPU model", Input!$D$1:$AC$1, 0))</f>
        <v>#N/A</v>
      </c>
      <c r="C475" s="13" t="str">
        <f t="shared" si="61"/>
        <v/>
      </c>
      <c r="D475" s="13" t="str">
        <f t="shared" si="62"/>
        <v/>
      </c>
      <c r="E475" s="13" t="str">
        <f t="shared" si="63"/>
        <v/>
      </c>
      <c r="F475" s="13" t="str">
        <f t="shared" si="64"/>
        <v/>
      </c>
      <c r="G475" s="13" t="str">
        <f t="shared" si="65"/>
        <v/>
      </c>
      <c r="H475" s="13" t="str">
        <f t="shared" si="66"/>
        <v/>
      </c>
      <c r="I475" t="str">
        <f t="shared" si="67"/>
        <v/>
      </c>
    </row>
    <row r="476" spans="1:9">
      <c r="A476">
        <f>CSV!B476</f>
        <v>0</v>
      </c>
      <c r="B476" s="13" t="e">
        <f>INDEX(Input!$D$2:$AC$500,
       MATCH(CPU_Formula!A476, Input!$J$2:$J$500, 0),
       MATCH("CPU model", Input!$D$1:$AC$1, 0))</f>
        <v>#N/A</v>
      </c>
      <c r="C476" s="13" t="str">
        <f t="shared" si="61"/>
        <v/>
      </c>
      <c r="D476" s="13" t="str">
        <f t="shared" si="62"/>
        <v/>
      </c>
      <c r="E476" s="13" t="str">
        <f t="shared" si="63"/>
        <v/>
      </c>
      <c r="F476" s="13" t="str">
        <f t="shared" si="64"/>
        <v/>
      </c>
      <c r="G476" s="13" t="str">
        <f t="shared" si="65"/>
        <v/>
      </c>
      <c r="H476" s="13" t="str">
        <f t="shared" si="66"/>
        <v/>
      </c>
      <c r="I476" t="str">
        <f t="shared" si="67"/>
        <v/>
      </c>
    </row>
    <row r="477" spans="1:9">
      <c r="A477">
        <f>CSV!B477</f>
        <v>0</v>
      </c>
      <c r="B477" s="13" t="e">
        <f>INDEX(Input!$D$2:$AC$500,
       MATCH(CPU_Formula!A477, Input!$J$2:$J$500, 0),
       MATCH("CPU model", Input!$D$1:$AC$1, 0))</f>
        <v>#N/A</v>
      </c>
      <c r="C477" s="13" t="str">
        <f t="shared" si="61"/>
        <v/>
      </c>
      <c r="D477" s="13" t="str">
        <f t="shared" si="62"/>
        <v/>
      </c>
      <c r="E477" s="13" t="str">
        <f t="shared" si="63"/>
        <v/>
      </c>
      <c r="F477" s="13" t="str">
        <f t="shared" si="64"/>
        <v/>
      </c>
      <c r="G477" s="13" t="str">
        <f t="shared" si="65"/>
        <v/>
      </c>
      <c r="H477" s="13" t="str">
        <f t="shared" si="66"/>
        <v/>
      </c>
      <c r="I477" t="str">
        <f t="shared" si="67"/>
        <v/>
      </c>
    </row>
    <row r="478" spans="1:9">
      <c r="A478">
        <f>CSV!B478</f>
        <v>0</v>
      </c>
      <c r="B478" s="13" t="e">
        <f>INDEX(Input!$D$2:$AC$500,
       MATCH(CPU_Formula!A478, Input!$J$2:$J$500, 0),
       MATCH("CPU model", Input!$D$1:$AC$1, 0))</f>
        <v>#N/A</v>
      </c>
      <c r="C478" s="13" t="str">
        <f t="shared" si="61"/>
        <v/>
      </c>
      <c r="D478" s="13" t="str">
        <f t="shared" si="62"/>
        <v/>
      </c>
      <c r="E478" s="13" t="str">
        <f t="shared" si="63"/>
        <v/>
      </c>
      <c r="F478" s="13" t="str">
        <f t="shared" si="64"/>
        <v/>
      </c>
      <c r="G478" s="13" t="str">
        <f t="shared" si="65"/>
        <v/>
      </c>
      <c r="H478" s="13" t="str">
        <f t="shared" si="66"/>
        <v/>
      </c>
      <c r="I478" t="str">
        <f t="shared" si="67"/>
        <v/>
      </c>
    </row>
    <row r="479" spans="1:9">
      <c r="A479">
        <f>CSV!B479</f>
        <v>0</v>
      </c>
      <c r="B479" s="13" t="e">
        <f>INDEX(Input!$D$2:$AC$500,
       MATCH(CPU_Formula!A479, Input!$J$2:$J$500, 0),
       MATCH("CPU model", Input!$D$1:$AC$1, 0))</f>
        <v>#N/A</v>
      </c>
      <c r="C479" s="13" t="str">
        <f t="shared" si="61"/>
        <v/>
      </c>
      <c r="D479" s="13" t="str">
        <f t="shared" si="62"/>
        <v/>
      </c>
      <c r="E479" s="13" t="str">
        <f t="shared" si="63"/>
        <v/>
      </c>
      <c r="F479" s="13" t="str">
        <f t="shared" si="64"/>
        <v/>
      </c>
      <c r="G479" s="13" t="str">
        <f t="shared" si="65"/>
        <v/>
      </c>
      <c r="H479" s="13" t="str">
        <f t="shared" si="66"/>
        <v/>
      </c>
      <c r="I479" t="str">
        <f t="shared" si="67"/>
        <v/>
      </c>
    </row>
    <row r="480" spans="1:9">
      <c r="A480">
        <f>CSV!B480</f>
        <v>0</v>
      </c>
      <c r="B480" s="13" t="e">
        <f>INDEX(Input!$D$2:$AC$500,
       MATCH(CPU_Formula!A480, Input!$J$2:$J$500, 0),
       MATCH("CPU model", Input!$D$1:$AC$1, 0))</f>
        <v>#N/A</v>
      </c>
      <c r="C480" s="13" t="str">
        <f t="shared" si="61"/>
        <v/>
      </c>
      <c r="D480" s="13" t="str">
        <f t="shared" si="62"/>
        <v/>
      </c>
      <c r="E480" s="13" t="str">
        <f t="shared" si="63"/>
        <v/>
      </c>
      <c r="F480" s="13" t="str">
        <f t="shared" si="64"/>
        <v/>
      </c>
      <c r="G480" s="13" t="str">
        <f t="shared" si="65"/>
        <v/>
      </c>
      <c r="H480" s="13" t="str">
        <f t="shared" si="66"/>
        <v/>
      </c>
      <c r="I480" t="str">
        <f t="shared" si="67"/>
        <v/>
      </c>
    </row>
    <row r="481" spans="1:9">
      <c r="A481">
        <f>CSV!B481</f>
        <v>0</v>
      </c>
      <c r="B481" s="13" t="e">
        <f>INDEX(Input!$D$2:$AC$500,
       MATCH(CPU_Formula!A481, Input!$J$2:$J$500, 0),
       MATCH("CPU model", Input!$D$1:$AC$1, 0))</f>
        <v>#N/A</v>
      </c>
      <c r="C481" s="13" t="str">
        <f t="shared" si="61"/>
        <v/>
      </c>
      <c r="D481" s="13" t="str">
        <f t="shared" si="62"/>
        <v/>
      </c>
      <c r="E481" s="13" t="str">
        <f t="shared" si="63"/>
        <v/>
      </c>
      <c r="F481" s="13" t="str">
        <f t="shared" si="64"/>
        <v/>
      </c>
      <c r="G481" s="13" t="str">
        <f t="shared" si="65"/>
        <v/>
      </c>
      <c r="H481" s="13" t="str">
        <f t="shared" si="66"/>
        <v/>
      </c>
      <c r="I481" t="str">
        <f t="shared" si="67"/>
        <v/>
      </c>
    </row>
    <row r="482" spans="1:9">
      <c r="A482">
        <f>CSV!B482</f>
        <v>0</v>
      </c>
      <c r="B482" s="13" t="e">
        <f>INDEX(Input!$D$2:$AC$500,
       MATCH(CPU_Formula!A482, Input!$J$2:$J$500, 0),
       MATCH("CPU model", Input!$D$1:$AC$1, 0))</f>
        <v>#N/A</v>
      </c>
      <c r="C482" s="13" t="str">
        <f t="shared" si="61"/>
        <v/>
      </c>
      <c r="D482" s="13" t="str">
        <f t="shared" si="62"/>
        <v/>
      </c>
      <c r="E482" s="13" t="str">
        <f t="shared" si="63"/>
        <v/>
      </c>
      <c r="F482" s="13" t="str">
        <f t="shared" si="64"/>
        <v/>
      </c>
      <c r="G482" s="13" t="str">
        <f t="shared" si="65"/>
        <v/>
      </c>
      <c r="H482" s="13" t="str">
        <f t="shared" si="66"/>
        <v/>
      </c>
      <c r="I482" t="str">
        <f t="shared" si="67"/>
        <v/>
      </c>
    </row>
    <row r="483" spans="1:9">
      <c r="A483">
        <f>CSV!B483</f>
        <v>0</v>
      </c>
      <c r="B483" s="13" t="e">
        <f>INDEX(Input!$D$2:$AC$500,
       MATCH(CPU_Formula!A483, Input!$J$2:$J$500, 0),
       MATCH("CPU model", Input!$D$1:$AC$1, 0))</f>
        <v>#N/A</v>
      </c>
      <c r="C483" s="13" t="str">
        <f t="shared" si="61"/>
        <v/>
      </c>
      <c r="D483" s="13" t="str">
        <f t="shared" si="62"/>
        <v/>
      </c>
      <c r="E483" s="13" t="str">
        <f t="shared" si="63"/>
        <v/>
      </c>
      <c r="F483" s="13" t="str">
        <f t="shared" si="64"/>
        <v/>
      </c>
      <c r="G483" s="13" t="str">
        <f t="shared" si="65"/>
        <v/>
      </c>
      <c r="H483" s="13" t="str">
        <f t="shared" si="66"/>
        <v/>
      </c>
      <c r="I483" t="str">
        <f t="shared" si="67"/>
        <v/>
      </c>
    </row>
    <row r="484" spans="1:9">
      <c r="A484">
        <f>CSV!B484</f>
        <v>0</v>
      </c>
      <c r="B484" s="13" t="e">
        <f>INDEX(Input!$D$2:$AC$500,
       MATCH(CPU_Formula!A484, Input!$J$2:$J$500, 0),
       MATCH("CPU model", Input!$D$1:$AC$1, 0))</f>
        <v>#N/A</v>
      </c>
      <c r="C484" s="13" t="str">
        <f t="shared" si="61"/>
        <v/>
      </c>
      <c r="D484" s="13" t="str">
        <f t="shared" si="62"/>
        <v/>
      </c>
      <c r="E484" s="13" t="str">
        <f t="shared" si="63"/>
        <v/>
      </c>
      <c r="F484" s="13" t="str">
        <f t="shared" si="64"/>
        <v/>
      </c>
      <c r="G484" s="13" t="str">
        <f t="shared" si="65"/>
        <v/>
      </c>
      <c r="H484" s="13" t="str">
        <f t="shared" si="66"/>
        <v/>
      </c>
      <c r="I484" t="str">
        <f t="shared" si="67"/>
        <v/>
      </c>
    </row>
    <row r="485" spans="1:9">
      <c r="A485">
        <f>CSV!B485</f>
        <v>0</v>
      </c>
      <c r="B485" s="13" t="e">
        <f>INDEX(Input!$D$2:$AC$500,
       MATCH(CPU_Formula!A485, Input!$J$2:$J$500, 0),
       MATCH("CPU model", Input!$D$1:$AC$1, 0))</f>
        <v>#N/A</v>
      </c>
      <c r="C485" s="13" t="str">
        <f t="shared" si="61"/>
        <v/>
      </c>
      <c r="D485" s="13" t="str">
        <f t="shared" si="62"/>
        <v/>
      </c>
      <c r="E485" s="13" t="str">
        <f t="shared" si="63"/>
        <v/>
      </c>
      <c r="F485" s="13" t="str">
        <f t="shared" si="64"/>
        <v/>
      </c>
      <c r="G485" s="13" t="str">
        <f t="shared" si="65"/>
        <v/>
      </c>
      <c r="H485" s="13" t="str">
        <f t="shared" si="66"/>
        <v/>
      </c>
      <c r="I485" t="str">
        <f t="shared" si="67"/>
        <v/>
      </c>
    </row>
    <row r="486" spans="1:9">
      <c r="A486">
        <f>CSV!B486</f>
        <v>0</v>
      </c>
      <c r="B486" s="13" t="e">
        <f>INDEX(Input!$D$2:$AC$500,
       MATCH(CPU_Formula!A486, Input!$J$2:$J$500, 0),
       MATCH("CPU model", Input!$D$1:$AC$1, 0))</f>
        <v>#N/A</v>
      </c>
      <c r="C486" s="13" t="str">
        <f t="shared" si="61"/>
        <v/>
      </c>
      <c r="D486" s="13" t="str">
        <f t="shared" si="62"/>
        <v/>
      </c>
      <c r="E486" s="13" t="str">
        <f t="shared" si="63"/>
        <v/>
      </c>
      <c r="F486" s="13" t="str">
        <f t="shared" si="64"/>
        <v/>
      </c>
      <c r="G486" s="13" t="str">
        <f t="shared" si="65"/>
        <v/>
      </c>
      <c r="H486" s="13" t="str">
        <f t="shared" si="66"/>
        <v/>
      </c>
      <c r="I486" t="str">
        <f t="shared" si="67"/>
        <v/>
      </c>
    </row>
    <row r="487" spans="1:9">
      <c r="A487">
        <f>CSV!B487</f>
        <v>0</v>
      </c>
      <c r="B487" s="13" t="e">
        <f>INDEX(Input!$D$2:$AC$500,
       MATCH(CPU_Formula!A487, Input!$J$2:$J$500, 0),
       MATCH("CPU model", Input!$D$1:$AC$1, 0))</f>
        <v>#N/A</v>
      </c>
      <c r="C487" s="13" t="str">
        <f t="shared" si="61"/>
        <v/>
      </c>
      <c r="D487" s="13" t="str">
        <f t="shared" si="62"/>
        <v/>
      </c>
      <c r="E487" s="13" t="str">
        <f t="shared" si="63"/>
        <v/>
      </c>
      <c r="F487" s="13" t="str">
        <f t="shared" si="64"/>
        <v/>
      </c>
      <c r="G487" s="13" t="str">
        <f t="shared" si="65"/>
        <v/>
      </c>
      <c r="H487" s="13" t="str">
        <f t="shared" si="66"/>
        <v/>
      </c>
      <c r="I487" t="str">
        <f t="shared" si="67"/>
        <v/>
      </c>
    </row>
    <row r="488" spans="1:9">
      <c r="A488">
        <f>CSV!B488</f>
        <v>0</v>
      </c>
      <c r="B488" s="13" t="e">
        <f>INDEX(Input!$D$2:$AC$500,
       MATCH(CPU_Formula!A488, Input!$J$2:$J$500, 0),
       MATCH("CPU model", Input!$D$1:$AC$1, 0))</f>
        <v>#N/A</v>
      </c>
      <c r="C488" s="13" t="str">
        <f t="shared" ref="C488:C551" si="68">IFERROR(_xlfn.TEXTAFTER(B488,"Core(TM) "),IFERROR(_xlfn.TEXTAFTER(B488,"Xeon(R) CPU"),""))</f>
        <v/>
      </c>
      <c r="D488" s="13" t="str">
        <f t="shared" ref="D488:D551" si="69">IFERROR(_xlfn.TEXTAFTER(B488,"Ryzen "), "")</f>
        <v/>
      </c>
      <c r="E488" s="13" t="str">
        <f t="shared" ref="E488:E551" si="70">IF(ISNUMBER(SEARCH("Ultra", B488)), "Ultra"&amp;_xlfn.TEXTAFTER(B488, "Ultra"), "")</f>
        <v/>
      </c>
      <c r="F488" s="13" t="str">
        <f t="shared" ref="F488:F551" si="71">IF(C488&lt;&gt;"", TRIM(_xlfn.TEXTBEFORE(C488," ",,1,1)), "")</f>
        <v/>
      </c>
      <c r="G488" s="13" t="str">
        <f t="shared" ref="G488:G551" si="72">IF(D488&lt;&gt;"", TRIM(_xlfn.TEXTBEFORE(D488," ",,1)), "")</f>
        <v/>
      </c>
      <c r="H488" s="13" t="str">
        <f t="shared" ref="H488:H551" si="73">E488</f>
        <v/>
      </c>
      <c r="I488" t="str">
        <f t="shared" ref="I488:I551" si="74">IF(H488&lt;&gt;"",H488,IF(G488&lt;&gt;"",G488,F488))</f>
        <v/>
      </c>
    </row>
    <row r="489" spans="1:9">
      <c r="A489">
        <f>CSV!B489</f>
        <v>0</v>
      </c>
      <c r="B489" s="13" t="e">
        <f>INDEX(Input!$D$2:$AC$500,
       MATCH(CPU_Formula!A489, Input!$J$2:$J$500, 0),
       MATCH("CPU model", Input!$D$1:$AC$1, 0))</f>
        <v>#N/A</v>
      </c>
      <c r="C489" s="13" t="str">
        <f t="shared" si="68"/>
        <v/>
      </c>
      <c r="D489" s="13" t="str">
        <f t="shared" si="69"/>
        <v/>
      </c>
      <c r="E489" s="13" t="str">
        <f t="shared" si="70"/>
        <v/>
      </c>
      <c r="F489" s="13" t="str">
        <f t="shared" si="71"/>
        <v/>
      </c>
      <c r="G489" s="13" t="str">
        <f t="shared" si="72"/>
        <v/>
      </c>
      <c r="H489" s="13" t="str">
        <f t="shared" si="73"/>
        <v/>
      </c>
      <c r="I489" t="str">
        <f t="shared" si="74"/>
        <v/>
      </c>
    </row>
    <row r="490" spans="1:9">
      <c r="A490">
        <f>CSV!B490</f>
        <v>0</v>
      </c>
      <c r="B490" s="13" t="e">
        <f>INDEX(Input!$D$2:$AC$500,
       MATCH(CPU_Formula!A490, Input!$J$2:$J$500, 0),
       MATCH("CPU model", Input!$D$1:$AC$1, 0))</f>
        <v>#N/A</v>
      </c>
      <c r="C490" s="13" t="str">
        <f t="shared" si="68"/>
        <v/>
      </c>
      <c r="D490" s="13" t="str">
        <f t="shared" si="69"/>
        <v/>
      </c>
      <c r="E490" s="13" t="str">
        <f t="shared" si="70"/>
        <v/>
      </c>
      <c r="F490" s="13" t="str">
        <f t="shared" si="71"/>
        <v/>
      </c>
      <c r="G490" s="13" t="str">
        <f t="shared" si="72"/>
        <v/>
      </c>
      <c r="H490" s="13" t="str">
        <f t="shared" si="73"/>
        <v/>
      </c>
      <c r="I490" t="str">
        <f t="shared" si="74"/>
        <v/>
      </c>
    </row>
    <row r="491" spans="1:9">
      <c r="A491">
        <f>CSV!B491</f>
        <v>0</v>
      </c>
      <c r="B491" s="13" t="e">
        <f>INDEX(Input!$D$2:$AC$500,
       MATCH(CPU_Formula!A491, Input!$J$2:$J$500, 0),
       MATCH("CPU model", Input!$D$1:$AC$1, 0))</f>
        <v>#N/A</v>
      </c>
      <c r="C491" s="13" t="str">
        <f t="shared" si="68"/>
        <v/>
      </c>
      <c r="D491" s="13" t="str">
        <f t="shared" si="69"/>
        <v/>
      </c>
      <c r="E491" s="13" t="str">
        <f t="shared" si="70"/>
        <v/>
      </c>
      <c r="F491" s="13" t="str">
        <f t="shared" si="71"/>
        <v/>
      </c>
      <c r="G491" s="13" t="str">
        <f t="shared" si="72"/>
        <v/>
      </c>
      <c r="H491" s="13" t="str">
        <f t="shared" si="73"/>
        <v/>
      </c>
      <c r="I491" t="str">
        <f t="shared" si="74"/>
        <v/>
      </c>
    </row>
    <row r="492" spans="1:9">
      <c r="A492">
        <f>CSV!B492</f>
        <v>0</v>
      </c>
      <c r="B492" s="13" t="e">
        <f>INDEX(Input!$D$2:$AC$500,
       MATCH(CPU_Formula!A492, Input!$J$2:$J$500, 0),
       MATCH("CPU model", Input!$D$1:$AC$1, 0))</f>
        <v>#N/A</v>
      </c>
      <c r="C492" s="13" t="str">
        <f t="shared" si="68"/>
        <v/>
      </c>
      <c r="D492" s="13" t="str">
        <f t="shared" si="69"/>
        <v/>
      </c>
      <c r="E492" s="13" t="str">
        <f t="shared" si="70"/>
        <v/>
      </c>
      <c r="F492" s="13" t="str">
        <f t="shared" si="71"/>
        <v/>
      </c>
      <c r="G492" s="13" t="str">
        <f t="shared" si="72"/>
        <v/>
      </c>
      <c r="H492" s="13" t="str">
        <f t="shared" si="73"/>
        <v/>
      </c>
      <c r="I492" t="str">
        <f t="shared" si="74"/>
        <v/>
      </c>
    </row>
    <row r="493" spans="1:9">
      <c r="A493">
        <f>CSV!B493</f>
        <v>0</v>
      </c>
      <c r="B493" s="13" t="e">
        <f>INDEX(Input!$D$2:$AC$500,
       MATCH(CPU_Formula!A493, Input!$J$2:$J$500, 0),
       MATCH("CPU model", Input!$D$1:$AC$1, 0))</f>
        <v>#N/A</v>
      </c>
      <c r="C493" s="13" t="str">
        <f t="shared" si="68"/>
        <v/>
      </c>
      <c r="D493" s="13" t="str">
        <f t="shared" si="69"/>
        <v/>
      </c>
      <c r="E493" s="13" t="str">
        <f t="shared" si="70"/>
        <v/>
      </c>
      <c r="F493" s="13" t="str">
        <f t="shared" si="71"/>
        <v/>
      </c>
      <c r="G493" s="13" t="str">
        <f t="shared" si="72"/>
        <v/>
      </c>
      <c r="H493" s="13" t="str">
        <f t="shared" si="73"/>
        <v/>
      </c>
      <c r="I493" t="str">
        <f t="shared" si="74"/>
        <v/>
      </c>
    </row>
    <row r="494" spans="1:9">
      <c r="A494">
        <f>CSV!B494</f>
        <v>0</v>
      </c>
      <c r="B494" s="13" t="e">
        <f>INDEX(Input!$D$2:$AC$500,
       MATCH(CPU_Formula!A494, Input!$J$2:$J$500, 0),
       MATCH("CPU model", Input!$D$1:$AC$1, 0))</f>
        <v>#N/A</v>
      </c>
      <c r="C494" s="13" t="str">
        <f t="shared" si="68"/>
        <v/>
      </c>
      <c r="D494" s="13" t="str">
        <f t="shared" si="69"/>
        <v/>
      </c>
      <c r="E494" s="13" t="str">
        <f t="shared" si="70"/>
        <v/>
      </c>
      <c r="F494" s="13" t="str">
        <f t="shared" si="71"/>
        <v/>
      </c>
      <c r="G494" s="13" t="str">
        <f t="shared" si="72"/>
        <v/>
      </c>
      <c r="H494" s="13" t="str">
        <f t="shared" si="73"/>
        <v/>
      </c>
      <c r="I494" t="str">
        <f t="shared" si="74"/>
        <v/>
      </c>
    </row>
    <row r="495" spans="1:9">
      <c r="A495">
        <f>CSV!B495</f>
        <v>0</v>
      </c>
      <c r="B495" s="13" t="e">
        <f>INDEX(Input!$D$2:$AC$500,
       MATCH(CPU_Formula!A495, Input!$J$2:$J$500, 0),
       MATCH("CPU model", Input!$D$1:$AC$1, 0))</f>
        <v>#N/A</v>
      </c>
      <c r="C495" s="13" t="str">
        <f t="shared" si="68"/>
        <v/>
      </c>
      <c r="D495" s="13" t="str">
        <f t="shared" si="69"/>
        <v/>
      </c>
      <c r="E495" s="13" t="str">
        <f t="shared" si="70"/>
        <v/>
      </c>
      <c r="F495" s="13" t="str">
        <f t="shared" si="71"/>
        <v/>
      </c>
      <c r="G495" s="13" t="str">
        <f t="shared" si="72"/>
        <v/>
      </c>
      <c r="H495" s="13" t="str">
        <f t="shared" si="73"/>
        <v/>
      </c>
      <c r="I495" t="str">
        <f t="shared" si="74"/>
        <v/>
      </c>
    </row>
    <row r="496" spans="1:9">
      <c r="A496">
        <f>CSV!B496</f>
        <v>0</v>
      </c>
      <c r="B496" s="13" t="e">
        <f>INDEX(Input!$D$2:$AC$500,
       MATCH(CPU_Formula!A496, Input!$J$2:$J$500, 0),
       MATCH("CPU model", Input!$D$1:$AC$1, 0))</f>
        <v>#N/A</v>
      </c>
      <c r="C496" s="13" t="str">
        <f t="shared" si="68"/>
        <v/>
      </c>
      <c r="D496" s="13" t="str">
        <f t="shared" si="69"/>
        <v/>
      </c>
      <c r="E496" s="13" t="str">
        <f t="shared" si="70"/>
        <v/>
      </c>
      <c r="F496" s="13" t="str">
        <f t="shared" si="71"/>
        <v/>
      </c>
      <c r="G496" s="13" t="str">
        <f t="shared" si="72"/>
        <v/>
      </c>
      <c r="H496" s="13" t="str">
        <f t="shared" si="73"/>
        <v/>
      </c>
      <c r="I496" t="str">
        <f t="shared" si="74"/>
        <v/>
      </c>
    </row>
    <row r="497" spans="1:9">
      <c r="A497">
        <f>CSV!B497</f>
        <v>0</v>
      </c>
      <c r="B497" s="13" t="e">
        <f>INDEX(Input!$D$2:$AC$500,
       MATCH(CPU_Formula!A497, Input!$J$2:$J$500, 0),
       MATCH("CPU model", Input!$D$1:$AC$1, 0))</f>
        <v>#N/A</v>
      </c>
      <c r="C497" s="13" t="str">
        <f t="shared" si="68"/>
        <v/>
      </c>
      <c r="D497" s="13" t="str">
        <f t="shared" si="69"/>
        <v/>
      </c>
      <c r="E497" s="13" t="str">
        <f t="shared" si="70"/>
        <v/>
      </c>
      <c r="F497" s="13" t="str">
        <f t="shared" si="71"/>
        <v/>
      </c>
      <c r="G497" s="13" t="str">
        <f t="shared" si="72"/>
        <v/>
      </c>
      <c r="H497" s="13" t="str">
        <f t="shared" si="73"/>
        <v/>
      </c>
      <c r="I497" t="str">
        <f t="shared" si="74"/>
        <v/>
      </c>
    </row>
    <row r="498" spans="1:9">
      <c r="A498">
        <f>CSV!B498</f>
        <v>0</v>
      </c>
      <c r="B498" s="13" t="e">
        <f>INDEX(Input!$D$2:$AC$500,
       MATCH(CPU_Formula!A498, Input!$J$2:$J$500, 0),
       MATCH("CPU model", Input!$D$1:$AC$1, 0))</f>
        <v>#N/A</v>
      </c>
      <c r="C498" s="13" t="str">
        <f t="shared" si="68"/>
        <v/>
      </c>
      <c r="D498" s="13" t="str">
        <f t="shared" si="69"/>
        <v/>
      </c>
      <c r="E498" s="13" t="str">
        <f t="shared" si="70"/>
        <v/>
      </c>
      <c r="F498" s="13" t="str">
        <f t="shared" si="71"/>
        <v/>
      </c>
      <c r="G498" s="13" t="str">
        <f t="shared" si="72"/>
        <v/>
      </c>
      <c r="H498" s="13" t="str">
        <f t="shared" si="73"/>
        <v/>
      </c>
      <c r="I498" t="str">
        <f t="shared" si="74"/>
        <v/>
      </c>
    </row>
    <row r="499" spans="1:9">
      <c r="A499">
        <f>CSV!B499</f>
        <v>0</v>
      </c>
      <c r="B499" s="13" t="e">
        <f>INDEX(Input!$D$2:$AC$500,
       MATCH(CPU_Formula!A499, Input!$J$2:$J$500, 0),
       MATCH("CPU model", Input!$D$1:$AC$1, 0))</f>
        <v>#N/A</v>
      </c>
      <c r="C499" s="13" t="str">
        <f t="shared" si="68"/>
        <v/>
      </c>
      <c r="D499" s="13" t="str">
        <f t="shared" si="69"/>
        <v/>
      </c>
      <c r="E499" s="13" t="str">
        <f t="shared" si="70"/>
        <v/>
      </c>
      <c r="F499" s="13" t="str">
        <f t="shared" si="71"/>
        <v/>
      </c>
      <c r="G499" s="13" t="str">
        <f t="shared" si="72"/>
        <v/>
      </c>
      <c r="H499" s="13" t="str">
        <f t="shared" si="73"/>
        <v/>
      </c>
      <c r="I499" t="str">
        <f t="shared" si="74"/>
        <v/>
      </c>
    </row>
    <row r="500" spans="1:9">
      <c r="A500">
        <f>CSV!B500</f>
        <v>0</v>
      </c>
      <c r="B500" s="13" t="e">
        <f>INDEX(Input!$D$2:$AC$500,
       MATCH(CPU_Formula!A500, Input!$J$2:$J$500, 0),
       MATCH("CPU model", Input!$D$1:$AC$1, 0))</f>
        <v>#N/A</v>
      </c>
      <c r="C500" s="13" t="str">
        <f t="shared" si="68"/>
        <v/>
      </c>
      <c r="D500" s="13" t="str">
        <f t="shared" si="69"/>
        <v/>
      </c>
      <c r="E500" s="13" t="str">
        <f t="shared" si="70"/>
        <v/>
      </c>
      <c r="F500" s="13" t="str">
        <f t="shared" si="71"/>
        <v/>
      </c>
      <c r="G500" s="13" t="str">
        <f t="shared" si="72"/>
        <v/>
      </c>
      <c r="H500" s="13" t="str">
        <f t="shared" si="73"/>
        <v/>
      </c>
      <c r="I500" t="str">
        <f t="shared" si="74"/>
        <v/>
      </c>
    </row>
    <row r="501" spans="1:9">
      <c r="A501">
        <f>CSV!B501</f>
        <v>0</v>
      </c>
      <c r="B501" s="13" t="e">
        <f>INDEX(Input!$D$2:$AC$500,
       MATCH(CPU_Formula!A501, Input!$J$2:$J$500, 0),
       MATCH("CPU model", Input!$D$1:$AC$1, 0))</f>
        <v>#N/A</v>
      </c>
      <c r="C501" s="13" t="str">
        <f t="shared" si="68"/>
        <v/>
      </c>
      <c r="D501" s="13" t="str">
        <f t="shared" si="69"/>
        <v/>
      </c>
      <c r="E501" s="13" t="str">
        <f t="shared" si="70"/>
        <v/>
      </c>
      <c r="F501" s="13" t="str">
        <f t="shared" si="71"/>
        <v/>
      </c>
      <c r="G501" s="13" t="str">
        <f t="shared" si="72"/>
        <v/>
      </c>
      <c r="H501" s="13" t="str">
        <f t="shared" si="73"/>
        <v/>
      </c>
      <c r="I501" t="str">
        <f t="shared" si="74"/>
        <v/>
      </c>
    </row>
    <row r="502" spans="1:9">
      <c r="A502">
        <f>CSV!B502</f>
        <v>0</v>
      </c>
      <c r="B502" s="13" t="e">
        <f>INDEX(Input!$D$2:$AC$500,
       MATCH(CPU_Formula!A502, Input!$J$2:$J$500, 0),
       MATCH("CPU model", Input!$D$1:$AC$1, 0))</f>
        <v>#N/A</v>
      </c>
      <c r="C502" s="13" t="str">
        <f t="shared" si="68"/>
        <v/>
      </c>
      <c r="D502" s="13" t="str">
        <f t="shared" si="69"/>
        <v/>
      </c>
      <c r="E502" s="13" t="str">
        <f t="shared" si="70"/>
        <v/>
      </c>
      <c r="F502" s="13" t="str">
        <f t="shared" si="71"/>
        <v/>
      </c>
      <c r="G502" s="13" t="str">
        <f t="shared" si="72"/>
        <v/>
      </c>
      <c r="H502" s="13" t="str">
        <f t="shared" si="73"/>
        <v/>
      </c>
      <c r="I502" t="str">
        <f t="shared" si="74"/>
        <v/>
      </c>
    </row>
    <row r="503" spans="1:9">
      <c r="A503">
        <f>CSV!B503</f>
        <v>0</v>
      </c>
      <c r="B503" s="13" t="e">
        <f>INDEX(Input!$D$2:$AC$500,
       MATCH(CPU_Formula!A503, Input!$J$2:$J$500, 0),
       MATCH("CPU model", Input!$D$1:$AC$1, 0))</f>
        <v>#N/A</v>
      </c>
      <c r="C503" s="13" t="str">
        <f t="shared" si="68"/>
        <v/>
      </c>
      <c r="D503" s="13" t="str">
        <f t="shared" si="69"/>
        <v/>
      </c>
      <c r="E503" s="13" t="str">
        <f t="shared" si="70"/>
        <v/>
      </c>
      <c r="F503" s="13" t="str">
        <f t="shared" si="71"/>
        <v/>
      </c>
      <c r="G503" s="13" t="str">
        <f t="shared" si="72"/>
        <v/>
      </c>
      <c r="H503" s="13" t="str">
        <f t="shared" si="73"/>
        <v/>
      </c>
      <c r="I503" t="str">
        <f t="shared" si="74"/>
        <v/>
      </c>
    </row>
    <row r="504" spans="1:9">
      <c r="A504">
        <f>CSV!B504</f>
        <v>0</v>
      </c>
      <c r="B504" s="13" t="e">
        <f>INDEX(Input!$D$2:$AC$500,
       MATCH(CPU_Formula!A504, Input!$J$2:$J$500, 0),
       MATCH("CPU model", Input!$D$1:$AC$1, 0))</f>
        <v>#N/A</v>
      </c>
      <c r="C504" s="13" t="str">
        <f t="shared" si="68"/>
        <v/>
      </c>
      <c r="D504" s="13" t="str">
        <f t="shared" si="69"/>
        <v/>
      </c>
      <c r="E504" s="13" t="str">
        <f t="shared" si="70"/>
        <v/>
      </c>
      <c r="F504" s="13" t="str">
        <f t="shared" si="71"/>
        <v/>
      </c>
      <c r="G504" s="13" t="str">
        <f t="shared" si="72"/>
        <v/>
      </c>
      <c r="H504" s="13" t="str">
        <f t="shared" si="73"/>
        <v/>
      </c>
      <c r="I504" t="str">
        <f t="shared" si="74"/>
        <v/>
      </c>
    </row>
    <row r="505" spans="1:9">
      <c r="A505">
        <f>CSV!B505</f>
        <v>0</v>
      </c>
      <c r="B505" s="13" t="e">
        <f>INDEX(Input!$D$2:$AC$500,
       MATCH(CPU_Formula!A505, Input!$J$2:$J$500, 0),
       MATCH("CPU model", Input!$D$1:$AC$1, 0))</f>
        <v>#N/A</v>
      </c>
      <c r="C505" s="13" t="str">
        <f t="shared" si="68"/>
        <v/>
      </c>
      <c r="D505" s="13" t="str">
        <f t="shared" si="69"/>
        <v/>
      </c>
      <c r="E505" s="13" t="str">
        <f t="shared" si="70"/>
        <v/>
      </c>
      <c r="F505" s="13" t="str">
        <f t="shared" si="71"/>
        <v/>
      </c>
      <c r="G505" s="13" t="str">
        <f t="shared" si="72"/>
        <v/>
      </c>
      <c r="H505" s="13" t="str">
        <f t="shared" si="73"/>
        <v/>
      </c>
      <c r="I505" t="str">
        <f t="shared" si="74"/>
        <v/>
      </c>
    </row>
    <row r="506" spans="1:9">
      <c r="A506">
        <f>CSV!B506</f>
        <v>0</v>
      </c>
      <c r="B506" s="13" t="e">
        <f>INDEX(Input!$D$2:$AC$500,
       MATCH(CPU_Formula!A506, Input!$J$2:$J$500, 0),
       MATCH("CPU model", Input!$D$1:$AC$1, 0))</f>
        <v>#N/A</v>
      </c>
      <c r="C506" s="13" t="str">
        <f t="shared" si="68"/>
        <v/>
      </c>
      <c r="D506" s="13" t="str">
        <f t="shared" si="69"/>
        <v/>
      </c>
      <c r="E506" s="13" t="str">
        <f t="shared" si="70"/>
        <v/>
      </c>
      <c r="F506" s="13" t="str">
        <f t="shared" si="71"/>
        <v/>
      </c>
      <c r="G506" s="13" t="str">
        <f t="shared" si="72"/>
        <v/>
      </c>
      <c r="H506" s="13" t="str">
        <f t="shared" si="73"/>
        <v/>
      </c>
      <c r="I506" t="str">
        <f t="shared" si="74"/>
        <v/>
      </c>
    </row>
    <row r="507" spans="1:9">
      <c r="A507">
        <f>CSV!B507</f>
        <v>0</v>
      </c>
      <c r="B507" s="13" t="e">
        <f>INDEX(Input!$D$2:$AC$500,
       MATCH(CPU_Formula!A507, Input!$J$2:$J$500, 0),
       MATCH("CPU model", Input!$D$1:$AC$1, 0))</f>
        <v>#N/A</v>
      </c>
      <c r="C507" s="13" t="str">
        <f t="shared" si="68"/>
        <v/>
      </c>
      <c r="D507" s="13" t="str">
        <f t="shared" si="69"/>
        <v/>
      </c>
      <c r="E507" s="13" t="str">
        <f t="shared" si="70"/>
        <v/>
      </c>
      <c r="F507" s="13" t="str">
        <f t="shared" si="71"/>
        <v/>
      </c>
      <c r="G507" s="13" t="str">
        <f t="shared" si="72"/>
        <v/>
      </c>
      <c r="H507" s="13" t="str">
        <f t="shared" si="73"/>
        <v/>
      </c>
      <c r="I507" t="str">
        <f t="shared" si="74"/>
        <v/>
      </c>
    </row>
    <row r="508" spans="1:9">
      <c r="A508">
        <f>CSV!B508</f>
        <v>0</v>
      </c>
      <c r="B508" s="13" t="e">
        <f>INDEX(Input!$D$2:$AC$500,
       MATCH(CPU_Formula!A508, Input!$J$2:$J$500, 0),
       MATCH("CPU model", Input!$D$1:$AC$1, 0))</f>
        <v>#N/A</v>
      </c>
      <c r="C508" s="13" t="str">
        <f t="shared" si="68"/>
        <v/>
      </c>
      <c r="D508" s="13" t="str">
        <f t="shared" si="69"/>
        <v/>
      </c>
      <c r="E508" s="13" t="str">
        <f t="shared" si="70"/>
        <v/>
      </c>
      <c r="F508" s="13" t="str">
        <f t="shared" si="71"/>
        <v/>
      </c>
      <c r="G508" s="13" t="str">
        <f t="shared" si="72"/>
        <v/>
      </c>
      <c r="H508" s="13" t="str">
        <f t="shared" si="73"/>
        <v/>
      </c>
      <c r="I508" t="str">
        <f t="shared" si="74"/>
        <v/>
      </c>
    </row>
    <row r="509" spans="1:9">
      <c r="A509">
        <f>CSV!B509</f>
        <v>0</v>
      </c>
      <c r="B509" s="13" t="e">
        <f>INDEX(Input!$D$2:$AC$500,
       MATCH(CPU_Formula!A509, Input!$J$2:$J$500, 0),
       MATCH("CPU model", Input!$D$1:$AC$1, 0))</f>
        <v>#N/A</v>
      </c>
      <c r="C509" s="13" t="str">
        <f t="shared" si="68"/>
        <v/>
      </c>
      <c r="D509" s="13" t="str">
        <f t="shared" si="69"/>
        <v/>
      </c>
      <c r="E509" s="13" t="str">
        <f t="shared" si="70"/>
        <v/>
      </c>
      <c r="F509" s="13" t="str">
        <f t="shared" si="71"/>
        <v/>
      </c>
      <c r="G509" s="13" t="str">
        <f t="shared" si="72"/>
        <v/>
      </c>
      <c r="H509" s="13" t="str">
        <f t="shared" si="73"/>
        <v/>
      </c>
      <c r="I509" t="str">
        <f t="shared" si="74"/>
        <v/>
      </c>
    </row>
    <row r="510" spans="1:9">
      <c r="A510">
        <f>CSV!B510</f>
        <v>0</v>
      </c>
      <c r="B510" s="13" t="e">
        <f>INDEX(Input!$D$2:$AC$500,
       MATCH(CPU_Formula!A510, Input!$J$2:$J$500, 0),
       MATCH("CPU model", Input!$D$1:$AC$1, 0))</f>
        <v>#N/A</v>
      </c>
      <c r="C510" s="13" t="str">
        <f t="shared" si="68"/>
        <v/>
      </c>
      <c r="D510" s="13" t="str">
        <f t="shared" si="69"/>
        <v/>
      </c>
      <c r="E510" s="13" t="str">
        <f t="shared" si="70"/>
        <v/>
      </c>
      <c r="F510" s="13" t="str">
        <f t="shared" si="71"/>
        <v/>
      </c>
      <c r="G510" s="13" t="str">
        <f t="shared" si="72"/>
        <v/>
      </c>
      <c r="H510" s="13" t="str">
        <f t="shared" si="73"/>
        <v/>
      </c>
      <c r="I510" t="str">
        <f t="shared" si="74"/>
        <v/>
      </c>
    </row>
    <row r="511" spans="1:9">
      <c r="A511">
        <f>CSV!B511</f>
        <v>0</v>
      </c>
      <c r="B511" s="13" t="e">
        <f>INDEX(Input!$D$2:$AC$500,
       MATCH(CPU_Formula!A511, Input!$J$2:$J$500, 0),
       MATCH("CPU model", Input!$D$1:$AC$1, 0))</f>
        <v>#N/A</v>
      </c>
      <c r="C511" s="13" t="str">
        <f t="shared" si="68"/>
        <v/>
      </c>
      <c r="D511" s="13" t="str">
        <f t="shared" si="69"/>
        <v/>
      </c>
      <c r="E511" s="13" t="str">
        <f t="shared" si="70"/>
        <v/>
      </c>
      <c r="F511" s="13" t="str">
        <f t="shared" si="71"/>
        <v/>
      </c>
      <c r="G511" s="13" t="str">
        <f t="shared" si="72"/>
        <v/>
      </c>
      <c r="H511" s="13" t="str">
        <f t="shared" si="73"/>
        <v/>
      </c>
      <c r="I511" t="str">
        <f t="shared" si="74"/>
        <v/>
      </c>
    </row>
    <row r="512" spans="1:9">
      <c r="A512">
        <f>CSV!B512</f>
        <v>0</v>
      </c>
      <c r="B512" s="13" t="e">
        <f>INDEX(Input!$D$2:$AC$500,
       MATCH(CPU_Formula!A512, Input!$J$2:$J$500, 0),
       MATCH("CPU model", Input!$D$1:$AC$1, 0))</f>
        <v>#N/A</v>
      </c>
      <c r="C512" s="13" t="str">
        <f t="shared" si="68"/>
        <v/>
      </c>
      <c r="D512" s="13" t="str">
        <f t="shared" si="69"/>
        <v/>
      </c>
      <c r="E512" s="13" t="str">
        <f t="shared" si="70"/>
        <v/>
      </c>
      <c r="F512" s="13" t="str">
        <f t="shared" si="71"/>
        <v/>
      </c>
      <c r="G512" s="13" t="str">
        <f t="shared" si="72"/>
        <v/>
      </c>
      <c r="H512" s="13" t="str">
        <f t="shared" si="73"/>
        <v/>
      </c>
      <c r="I512" t="str">
        <f t="shared" si="74"/>
        <v/>
      </c>
    </row>
    <row r="513" spans="1:9">
      <c r="A513">
        <f>CSV!B513</f>
        <v>0</v>
      </c>
      <c r="B513" s="13" t="e">
        <f>INDEX(Input!$D$2:$AC$500,
       MATCH(CPU_Formula!A513, Input!$J$2:$J$500, 0),
       MATCH("CPU model", Input!$D$1:$AC$1, 0))</f>
        <v>#N/A</v>
      </c>
      <c r="C513" s="13" t="str">
        <f t="shared" si="68"/>
        <v/>
      </c>
      <c r="D513" s="13" t="str">
        <f t="shared" si="69"/>
        <v/>
      </c>
      <c r="E513" s="13" t="str">
        <f t="shared" si="70"/>
        <v/>
      </c>
      <c r="F513" s="13" t="str">
        <f t="shared" si="71"/>
        <v/>
      </c>
      <c r="G513" s="13" t="str">
        <f t="shared" si="72"/>
        <v/>
      </c>
      <c r="H513" s="13" t="str">
        <f t="shared" si="73"/>
        <v/>
      </c>
      <c r="I513" t="str">
        <f t="shared" si="74"/>
        <v/>
      </c>
    </row>
    <row r="514" spans="1:9">
      <c r="A514">
        <f>CSV!B514</f>
        <v>0</v>
      </c>
      <c r="B514" s="13" t="e">
        <f>INDEX(Input!$D$2:$AC$500,
       MATCH(CPU_Formula!A514, Input!$J$2:$J$500, 0),
       MATCH("CPU model", Input!$D$1:$AC$1, 0))</f>
        <v>#N/A</v>
      </c>
      <c r="C514" s="13" t="str">
        <f t="shared" si="68"/>
        <v/>
      </c>
      <c r="D514" s="13" t="str">
        <f t="shared" si="69"/>
        <v/>
      </c>
      <c r="E514" s="13" t="str">
        <f t="shared" si="70"/>
        <v/>
      </c>
      <c r="F514" s="13" t="str">
        <f t="shared" si="71"/>
        <v/>
      </c>
      <c r="G514" s="13" t="str">
        <f t="shared" si="72"/>
        <v/>
      </c>
      <c r="H514" s="13" t="str">
        <f t="shared" si="73"/>
        <v/>
      </c>
      <c r="I514" t="str">
        <f t="shared" si="74"/>
        <v/>
      </c>
    </row>
    <row r="515" spans="1:9">
      <c r="A515">
        <f>CSV!B515</f>
        <v>0</v>
      </c>
      <c r="B515" s="13" t="e">
        <f>INDEX(Input!$D$2:$AC$500,
       MATCH(CPU_Formula!A515, Input!$J$2:$J$500, 0),
       MATCH("CPU model", Input!$D$1:$AC$1, 0))</f>
        <v>#N/A</v>
      </c>
      <c r="C515" s="13" t="str">
        <f t="shared" si="68"/>
        <v/>
      </c>
      <c r="D515" s="13" t="str">
        <f t="shared" si="69"/>
        <v/>
      </c>
      <c r="E515" s="13" t="str">
        <f t="shared" si="70"/>
        <v/>
      </c>
      <c r="F515" s="13" t="str">
        <f t="shared" si="71"/>
        <v/>
      </c>
      <c r="G515" s="13" t="str">
        <f t="shared" si="72"/>
        <v/>
      </c>
      <c r="H515" s="13" t="str">
        <f t="shared" si="73"/>
        <v/>
      </c>
      <c r="I515" t="str">
        <f t="shared" si="74"/>
        <v/>
      </c>
    </row>
    <row r="516" spans="1:9">
      <c r="A516">
        <f>CSV!B516</f>
        <v>0</v>
      </c>
      <c r="B516" s="13" t="e">
        <f>INDEX(Input!$D$2:$AC$500,
       MATCH(CPU_Formula!A516, Input!$J$2:$J$500, 0),
       MATCH("CPU model", Input!$D$1:$AC$1, 0))</f>
        <v>#N/A</v>
      </c>
      <c r="C516" s="13" t="str">
        <f t="shared" si="68"/>
        <v/>
      </c>
      <c r="D516" s="13" t="str">
        <f t="shared" si="69"/>
        <v/>
      </c>
      <c r="E516" s="13" t="str">
        <f t="shared" si="70"/>
        <v/>
      </c>
      <c r="F516" s="13" t="str">
        <f t="shared" si="71"/>
        <v/>
      </c>
      <c r="G516" s="13" t="str">
        <f t="shared" si="72"/>
        <v/>
      </c>
      <c r="H516" s="13" t="str">
        <f t="shared" si="73"/>
        <v/>
      </c>
      <c r="I516" t="str">
        <f t="shared" si="74"/>
        <v/>
      </c>
    </row>
    <row r="517" spans="1:9">
      <c r="A517">
        <f>CSV!B517</f>
        <v>0</v>
      </c>
      <c r="B517" s="13" t="e">
        <f>INDEX(Input!$D$2:$AC$500,
       MATCH(CPU_Formula!A517, Input!$J$2:$J$500, 0),
       MATCH("CPU model", Input!$D$1:$AC$1, 0))</f>
        <v>#N/A</v>
      </c>
      <c r="C517" s="13" t="str">
        <f t="shared" si="68"/>
        <v/>
      </c>
      <c r="D517" s="13" t="str">
        <f t="shared" si="69"/>
        <v/>
      </c>
      <c r="E517" s="13" t="str">
        <f t="shared" si="70"/>
        <v/>
      </c>
      <c r="F517" s="13" t="str">
        <f t="shared" si="71"/>
        <v/>
      </c>
      <c r="G517" s="13" t="str">
        <f t="shared" si="72"/>
        <v/>
      </c>
      <c r="H517" s="13" t="str">
        <f t="shared" si="73"/>
        <v/>
      </c>
      <c r="I517" t="str">
        <f t="shared" si="74"/>
        <v/>
      </c>
    </row>
    <row r="518" spans="1:9">
      <c r="A518">
        <f>CSV!B518</f>
        <v>0</v>
      </c>
      <c r="B518" s="13" t="e">
        <f>INDEX(Input!$D$2:$AC$500,
       MATCH(CPU_Formula!A518, Input!$J$2:$J$500, 0),
       MATCH("CPU model", Input!$D$1:$AC$1, 0))</f>
        <v>#N/A</v>
      </c>
      <c r="C518" s="13" t="str">
        <f t="shared" si="68"/>
        <v/>
      </c>
      <c r="D518" s="13" t="str">
        <f t="shared" si="69"/>
        <v/>
      </c>
      <c r="E518" s="13" t="str">
        <f t="shared" si="70"/>
        <v/>
      </c>
      <c r="F518" s="13" t="str">
        <f t="shared" si="71"/>
        <v/>
      </c>
      <c r="G518" s="13" t="str">
        <f t="shared" si="72"/>
        <v/>
      </c>
      <c r="H518" s="13" t="str">
        <f t="shared" si="73"/>
        <v/>
      </c>
      <c r="I518" t="str">
        <f t="shared" si="74"/>
        <v/>
      </c>
    </row>
    <row r="519" spans="1:9">
      <c r="A519">
        <f>CSV!B519</f>
        <v>0</v>
      </c>
      <c r="B519" s="13" t="e">
        <f>INDEX(Input!$D$2:$AC$500,
       MATCH(CPU_Formula!A519, Input!$J$2:$J$500, 0),
       MATCH("CPU model", Input!$D$1:$AC$1, 0))</f>
        <v>#N/A</v>
      </c>
      <c r="C519" s="13" t="str">
        <f t="shared" si="68"/>
        <v/>
      </c>
      <c r="D519" s="13" t="str">
        <f t="shared" si="69"/>
        <v/>
      </c>
      <c r="E519" s="13" t="str">
        <f t="shared" si="70"/>
        <v/>
      </c>
      <c r="F519" s="13" t="str">
        <f t="shared" si="71"/>
        <v/>
      </c>
      <c r="G519" s="13" t="str">
        <f t="shared" si="72"/>
        <v/>
      </c>
      <c r="H519" s="13" t="str">
        <f t="shared" si="73"/>
        <v/>
      </c>
      <c r="I519" t="str">
        <f t="shared" si="74"/>
        <v/>
      </c>
    </row>
    <row r="520" spans="1:9">
      <c r="A520">
        <f>CSV!B520</f>
        <v>0</v>
      </c>
      <c r="B520" s="13" t="e">
        <f>INDEX(Input!$D$2:$AC$500,
       MATCH(CPU_Formula!A520, Input!$J$2:$J$500, 0),
       MATCH("CPU model", Input!$D$1:$AC$1, 0))</f>
        <v>#N/A</v>
      </c>
      <c r="C520" s="13" t="str">
        <f t="shared" si="68"/>
        <v/>
      </c>
      <c r="D520" s="13" t="str">
        <f t="shared" si="69"/>
        <v/>
      </c>
      <c r="E520" s="13" t="str">
        <f t="shared" si="70"/>
        <v/>
      </c>
      <c r="F520" s="13" t="str">
        <f t="shared" si="71"/>
        <v/>
      </c>
      <c r="G520" s="13" t="str">
        <f t="shared" si="72"/>
        <v/>
      </c>
      <c r="H520" s="13" t="str">
        <f t="shared" si="73"/>
        <v/>
      </c>
      <c r="I520" t="str">
        <f t="shared" si="74"/>
        <v/>
      </c>
    </row>
    <row r="521" spans="1:9">
      <c r="A521">
        <f>CSV!B521</f>
        <v>0</v>
      </c>
      <c r="B521" s="13" t="e">
        <f>INDEX(Input!$D$2:$AC$500,
       MATCH(CPU_Formula!A521, Input!$J$2:$J$500, 0),
       MATCH("CPU model", Input!$D$1:$AC$1, 0))</f>
        <v>#N/A</v>
      </c>
      <c r="C521" s="13" t="str">
        <f t="shared" si="68"/>
        <v/>
      </c>
      <c r="D521" s="13" t="str">
        <f t="shared" si="69"/>
        <v/>
      </c>
      <c r="E521" s="13" t="str">
        <f t="shared" si="70"/>
        <v/>
      </c>
      <c r="F521" s="13" t="str">
        <f t="shared" si="71"/>
        <v/>
      </c>
      <c r="G521" s="13" t="str">
        <f t="shared" si="72"/>
        <v/>
      </c>
      <c r="H521" s="13" t="str">
        <f t="shared" si="73"/>
        <v/>
      </c>
      <c r="I521" t="str">
        <f t="shared" si="74"/>
        <v/>
      </c>
    </row>
    <row r="522" spans="1:9">
      <c r="A522">
        <f>CSV!B522</f>
        <v>0</v>
      </c>
      <c r="B522" s="13" t="e">
        <f>INDEX(Input!$D$2:$AC$500,
       MATCH(CPU_Formula!A522, Input!$J$2:$J$500, 0),
       MATCH("CPU model", Input!$D$1:$AC$1, 0))</f>
        <v>#N/A</v>
      </c>
      <c r="C522" s="13" t="str">
        <f t="shared" si="68"/>
        <v/>
      </c>
      <c r="D522" s="13" t="str">
        <f t="shared" si="69"/>
        <v/>
      </c>
      <c r="E522" s="13" t="str">
        <f t="shared" si="70"/>
        <v/>
      </c>
      <c r="F522" s="13" t="str">
        <f t="shared" si="71"/>
        <v/>
      </c>
      <c r="G522" s="13" t="str">
        <f t="shared" si="72"/>
        <v/>
      </c>
      <c r="H522" s="13" t="str">
        <f t="shared" si="73"/>
        <v/>
      </c>
      <c r="I522" t="str">
        <f t="shared" si="74"/>
        <v/>
      </c>
    </row>
    <row r="523" spans="1:9">
      <c r="A523">
        <f>CSV!B523</f>
        <v>0</v>
      </c>
      <c r="B523" s="13" t="e">
        <f>INDEX(Input!$D$2:$AC$500,
       MATCH(CPU_Formula!A523, Input!$J$2:$J$500, 0),
       MATCH("CPU model", Input!$D$1:$AC$1, 0))</f>
        <v>#N/A</v>
      </c>
      <c r="C523" s="13" t="str">
        <f t="shared" si="68"/>
        <v/>
      </c>
      <c r="D523" s="13" t="str">
        <f t="shared" si="69"/>
        <v/>
      </c>
      <c r="E523" s="13" t="str">
        <f t="shared" si="70"/>
        <v/>
      </c>
      <c r="F523" s="13" t="str">
        <f t="shared" si="71"/>
        <v/>
      </c>
      <c r="G523" s="13" t="str">
        <f t="shared" si="72"/>
        <v/>
      </c>
      <c r="H523" s="13" t="str">
        <f t="shared" si="73"/>
        <v/>
      </c>
      <c r="I523" t="str">
        <f t="shared" si="74"/>
        <v/>
      </c>
    </row>
    <row r="524" spans="1:9">
      <c r="A524">
        <f>CSV!B524</f>
        <v>0</v>
      </c>
      <c r="B524" s="13" t="e">
        <f>INDEX(Input!$D$2:$AC$500,
       MATCH(CPU_Formula!A524, Input!$J$2:$J$500, 0),
       MATCH("CPU model", Input!$D$1:$AC$1, 0))</f>
        <v>#N/A</v>
      </c>
      <c r="C524" s="13" t="str">
        <f t="shared" si="68"/>
        <v/>
      </c>
      <c r="D524" s="13" t="str">
        <f t="shared" si="69"/>
        <v/>
      </c>
      <c r="E524" s="13" t="str">
        <f t="shared" si="70"/>
        <v/>
      </c>
      <c r="F524" s="13" t="str">
        <f t="shared" si="71"/>
        <v/>
      </c>
      <c r="G524" s="13" t="str">
        <f t="shared" si="72"/>
        <v/>
      </c>
      <c r="H524" s="13" t="str">
        <f t="shared" si="73"/>
        <v/>
      </c>
      <c r="I524" t="str">
        <f t="shared" si="74"/>
        <v/>
      </c>
    </row>
    <row r="525" spans="1:9">
      <c r="A525">
        <f>CSV!B525</f>
        <v>0</v>
      </c>
      <c r="B525" s="13" t="e">
        <f>INDEX(Input!$D$2:$AC$500,
       MATCH(CPU_Formula!A525, Input!$J$2:$J$500, 0),
       MATCH("CPU model", Input!$D$1:$AC$1, 0))</f>
        <v>#N/A</v>
      </c>
      <c r="C525" s="13" t="str">
        <f t="shared" si="68"/>
        <v/>
      </c>
      <c r="D525" s="13" t="str">
        <f t="shared" si="69"/>
        <v/>
      </c>
      <c r="E525" s="13" t="str">
        <f t="shared" si="70"/>
        <v/>
      </c>
      <c r="F525" s="13" t="str">
        <f t="shared" si="71"/>
        <v/>
      </c>
      <c r="G525" s="13" t="str">
        <f t="shared" si="72"/>
        <v/>
      </c>
      <c r="H525" s="13" t="str">
        <f t="shared" si="73"/>
        <v/>
      </c>
      <c r="I525" t="str">
        <f t="shared" si="74"/>
        <v/>
      </c>
    </row>
    <row r="526" spans="1:9">
      <c r="A526">
        <f>CSV!B526</f>
        <v>0</v>
      </c>
      <c r="B526" s="13" t="e">
        <f>INDEX(Input!$D$2:$AC$500,
       MATCH(CPU_Formula!A526, Input!$J$2:$J$500, 0),
       MATCH("CPU model", Input!$D$1:$AC$1, 0))</f>
        <v>#N/A</v>
      </c>
      <c r="C526" s="13" t="str">
        <f t="shared" si="68"/>
        <v/>
      </c>
      <c r="D526" s="13" t="str">
        <f t="shared" si="69"/>
        <v/>
      </c>
      <c r="E526" s="13" t="str">
        <f t="shared" si="70"/>
        <v/>
      </c>
      <c r="F526" s="13" t="str">
        <f t="shared" si="71"/>
        <v/>
      </c>
      <c r="G526" s="13" t="str">
        <f t="shared" si="72"/>
        <v/>
      </c>
      <c r="H526" s="13" t="str">
        <f t="shared" si="73"/>
        <v/>
      </c>
      <c r="I526" t="str">
        <f t="shared" si="74"/>
        <v/>
      </c>
    </row>
    <row r="527" spans="1:9">
      <c r="A527">
        <f>CSV!B527</f>
        <v>0</v>
      </c>
      <c r="B527" s="13" t="e">
        <f>INDEX(Input!$D$2:$AC$500,
       MATCH(CPU_Formula!A527, Input!$J$2:$J$500, 0),
       MATCH("CPU model", Input!$D$1:$AC$1, 0))</f>
        <v>#N/A</v>
      </c>
      <c r="C527" s="13" t="str">
        <f t="shared" si="68"/>
        <v/>
      </c>
      <c r="D527" s="13" t="str">
        <f t="shared" si="69"/>
        <v/>
      </c>
      <c r="E527" s="13" t="str">
        <f t="shared" si="70"/>
        <v/>
      </c>
      <c r="F527" s="13" t="str">
        <f t="shared" si="71"/>
        <v/>
      </c>
      <c r="G527" s="13" t="str">
        <f t="shared" si="72"/>
        <v/>
      </c>
      <c r="H527" s="13" t="str">
        <f t="shared" si="73"/>
        <v/>
      </c>
      <c r="I527" t="str">
        <f t="shared" si="74"/>
        <v/>
      </c>
    </row>
    <row r="528" spans="1:9">
      <c r="A528">
        <f>CSV!B528</f>
        <v>0</v>
      </c>
      <c r="B528" s="13" t="e">
        <f>INDEX(Input!$D$2:$AC$500,
       MATCH(CPU_Formula!A528, Input!$J$2:$J$500, 0),
       MATCH("CPU model", Input!$D$1:$AC$1, 0))</f>
        <v>#N/A</v>
      </c>
      <c r="C528" s="13" t="str">
        <f t="shared" si="68"/>
        <v/>
      </c>
      <c r="D528" s="13" t="str">
        <f t="shared" si="69"/>
        <v/>
      </c>
      <c r="E528" s="13" t="str">
        <f t="shared" si="70"/>
        <v/>
      </c>
      <c r="F528" s="13" t="str">
        <f t="shared" si="71"/>
        <v/>
      </c>
      <c r="G528" s="13" t="str">
        <f t="shared" si="72"/>
        <v/>
      </c>
      <c r="H528" s="13" t="str">
        <f t="shared" si="73"/>
        <v/>
      </c>
      <c r="I528" t="str">
        <f t="shared" si="74"/>
        <v/>
      </c>
    </row>
    <row r="529" spans="1:9">
      <c r="A529">
        <f>CSV!B529</f>
        <v>0</v>
      </c>
      <c r="B529" s="13" t="e">
        <f>INDEX(Input!$D$2:$AC$500,
       MATCH(CPU_Formula!A529, Input!$J$2:$J$500, 0),
       MATCH("CPU model", Input!$D$1:$AC$1, 0))</f>
        <v>#N/A</v>
      </c>
      <c r="C529" s="13" t="str">
        <f t="shared" si="68"/>
        <v/>
      </c>
      <c r="D529" s="13" t="str">
        <f t="shared" si="69"/>
        <v/>
      </c>
      <c r="E529" s="13" t="str">
        <f t="shared" si="70"/>
        <v/>
      </c>
      <c r="F529" s="13" t="str">
        <f t="shared" si="71"/>
        <v/>
      </c>
      <c r="G529" s="13" t="str">
        <f t="shared" si="72"/>
        <v/>
      </c>
      <c r="H529" s="13" t="str">
        <f t="shared" si="73"/>
        <v/>
      </c>
      <c r="I529" t="str">
        <f t="shared" si="74"/>
        <v/>
      </c>
    </row>
    <row r="530" spans="1:9">
      <c r="A530">
        <f>CSV!B530</f>
        <v>0</v>
      </c>
      <c r="B530" s="13" t="e">
        <f>INDEX(Input!$D$2:$AC$500,
       MATCH(CPU_Formula!A530, Input!$J$2:$J$500, 0),
       MATCH("CPU model", Input!$D$1:$AC$1, 0))</f>
        <v>#N/A</v>
      </c>
      <c r="C530" s="13" t="str">
        <f t="shared" si="68"/>
        <v/>
      </c>
      <c r="D530" s="13" t="str">
        <f t="shared" si="69"/>
        <v/>
      </c>
      <c r="E530" s="13" t="str">
        <f t="shared" si="70"/>
        <v/>
      </c>
      <c r="F530" s="13" t="str">
        <f t="shared" si="71"/>
        <v/>
      </c>
      <c r="G530" s="13" t="str">
        <f t="shared" si="72"/>
        <v/>
      </c>
      <c r="H530" s="13" t="str">
        <f t="shared" si="73"/>
        <v/>
      </c>
      <c r="I530" t="str">
        <f t="shared" si="74"/>
        <v/>
      </c>
    </row>
    <row r="531" spans="1:9">
      <c r="A531">
        <f>CSV!B531</f>
        <v>0</v>
      </c>
      <c r="B531" s="13" t="e">
        <f>INDEX(Input!$D$2:$AC$500,
       MATCH(CPU_Formula!A531, Input!$J$2:$J$500, 0),
       MATCH("CPU model", Input!$D$1:$AC$1, 0))</f>
        <v>#N/A</v>
      </c>
      <c r="C531" s="13" t="str">
        <f t="shared" si="68"/>
        <v/>
      </c>
      <c r="D531" s="13" t="str">
        <f t="shared" si="69"/>
        <v/>
      </c>
      <c r="E531" s="13" t="str">
        <f t="shared" si="70"/>
        <v/>
      </c>
      <c r="F531" s="13" t="str">
        <f t="shared" si="71"/>
        <v/>
      </c>
      <c r="G531" s="13" t="str">
        <f t="shared" si="72"/>
        <v/>
      </c>
      <c r="H531" s="13" t="str">
        <f t="shared" si="73"/>
        <v/>
      </c>
      <c r="I531" t="str">
        <f t="shared" si="74"/>
        <v/>
      </c>
    </row>
    <row r="532" spans="1:9">
      <c r="A532">
        <f>CSV!B532</f>
        <v>0</v>
      </c>
      <c r="B532" s="13" t="e">
        <f>INDEX(Input!$D$2:$AC$500,
       MATCH(CPU_Formula!A532, Input!$J$2:$J$500, 0),
       MATCH("CPU model", Input!$D$1:$AC$1, 0))</f>
        <v>#N/A</v>
      </c>
      <c r="C532" s="13" t="str">
        <f t="shared" si="68"/>
        <v/>
      </c>
      <c r="D532" s="13" t="str">
        <f t="shared" si="69"/>
        <v/>
      </c>
      <c r="E532" s="13" t="str">
        <f t="shared" si="70"/>
        <v/>
      </c>
      <c r="F532" s="13" t="str">
        <f t="shared" si="71"/>
        <v/>
      </c>
      <c r="G532" s="13" t="str">
        <f t="shared" si="72"/>
        <v/>
      </c>
      <c r="H532" s="13" t="str">
        <f t="shared" si="73"/>
        <v/>
      </c>
      <c r="I532" t="str">
        <f t="shared" si="74"/>
        <v/>
      </c>
    </row>
    <row r="533" spans="1:9">
      <c r="A533">
        <f>CSV!B533</f>
        <v>0</v>
      </c>
      <c r="B533" s="13" t="e">
        <f>INDEX(Input!$D$2:$AC$500,
       MATCH(CPU_Formula!A533, Input!$J$2:$J$500, 0),
       MATCH("CPU model", Input!$D$1:$AC$1, 0))</f>
        <v>#N/A</v>
      </c>
      <c r="C533" s="13" t="str">
        <f t="shared" si="68"/>
        <v/>
      </c>
      <c r="D533" s="13" t="str">
        <f t="shared" si="69"/>
        <v/>
      </c>
      <c r="E533" s="13" t="str">
        <f t="shared" si="70"/>
        <v/>
      </c>
      <c r="F533" s="13" t="str">
        <f t="shared" si="71"/>
        <v/>
      </c>
      <c r="G533" s="13" t="str">
        <f t="shared" si="72"/>
        <v/>
      </c>
      <c r="H533" s="13" t="str">
        <f t="shared" si="73"/>
        <v/>
      </c>
      <c r="I533" t="str">
        <f t="shared" si="74"/>
        <v/>
      </c>
    </row>
    <row r="534" spans="1:9">
      <c r="A534">
        <f>CSV!B534</f>
        <v>0</v>
      </c>
      <c r="B534" s="13" t="e">
        <f>INDEX(Input!$D$2:$AC$500,
       MATCH(CPU_Formula!A534, Input!$J$2:$J$500, 0),
       MATCH("CPU model", Input!$D$1:$AC$1, 0))</f>
        <v>#N/A</v>
      </c>
      <c r="C534" s="13" t="str">
        <f t="shared" si="68"/>
        <v/>
      </c>
      <c r="D534" s="13" t="str">
        <f t="shared" si="69"/>
        <v/>
      </c>
      <c r="E534" s="13" t="str">
        <f t="shared" si="70"/>
        <v/>
      </c>
      <c r="F534" s="13" t="str">
        <f t="shared" si="71"/>
        <v/>
      </c>
      <c r="G534" s="13" t="str">
        <f t="shared" si="72"/>
        <v/>
      </c>
      <c r="H534" s="13" t="str">
        <f t="shared" si="73"/>
        <v/>
      </c>
      <c r="I534" t="str">
        <f t="shared" si="74"/>
        <v/>
      </c>
    </row>
    <row r="535" spans="1:9">
      <c r="A535">
        <f>CSV!B535</f>
        <v>0</v>
      </c>
      <c r="B535" s="13" t="e">
        <f>INDEX(Input!$D$2:$AC$500,
       MATCH(CPU_Formula!A535, Input!$J$2:$J$500, 0),
       MATCH("CPU model", Input!$D$1:$AC$1, 0))</f>
        <v>#N/A</v>
      </c>
      <c r="C535" s="13" t="str">
        <f t="shared" si="68"/>
        <v/>
      </c>
      <c r="D535" s="13" t="str">
        <f t="shared" si="69"/>
        <v/>
      </c>
      <c r="E535" s="13" t="str">
        <f t="shared" si="70"/>
        <v/>
      </c>
      <c r="F535" s="13" t="str">
        <f t="shared" si="71"/>
        <v/>
      </c>
      <c r="G535" s="13" t="str">
        <f t="shared" si="72"/>
        <v/>
      </c>
      <c r="H535" s="13" t="str">
        <f t="shared" si="73"/>
        <v/>
      </c>
      <c r="I535" t="str">
        <f t="shared" si="74"/>
        <v/>
      </c>
    </row>
    <row r="536" spans="1:9">
      <c r="A536">
        <f>CSV!B536</f>
        <v>0</v>
      </c>
      <c r="B536" s="13" t="e">
        <f>INDEX(Input!$D$2:$AC$500,
       MATCH(CPU_Formula!A536, Input!$J$2:$J$500, 0),
       MATCH("CPU model", Input!$D$1:$AC$1, 0))</f>
        <v>#N/A</v>
      </c>
      <c r="C536" s="13" t="str">
        <f t="shared" si="68"/>
        <v/>
      </c>
      <c r="D536" s="13" t="str">
        <f t="shared" si="69"/>
        <v/>
      </c>
      <c r="E536" s="13" t="str">
        <f t="shared" si="70"/>
        <v/>
      </c>
      <c r="F536" s="13" t="str">
        <f t="shared" si="71"/>
        <v/>
      </c>
      <c r="G536" s="13" t="str">
        <f t="shared" si="72"/>
        <v/>
      </c>
      <c r="H536" s="13" t="str">
        <f t="shared" si="73"/>
        <v/>
      </c>
      <c r="I536" t="str">
        <f t="shared" si="74"/>
        <v/>
      </c>
    </row>
    <row r="537" spans="1:9">
      <c r="A537">
        <f>CSV!B537</f>
        <v>0</v>
      </c>
      <c r="B537" s="13" t="e">
        <f>INDEX(Input!$D$2:$AC$500,
       MATCH(CPU_Formula!A537, Input!$J$2:$J$500, 0),
       MATCH("CPU model", Input!$D$1:$AC$1, 0))</f>
        <v>#N/A</v>
      </c>
      <c r="C537" s="13" t="str">
        <f t="shared" si="68"/>
        <v/>
      </c>
      <c r="D537" s="13" t="str">
        <f t="shared" si="69"/>
        <v/>
      </c>
      <c r="E537" s="13" t="str">
        <f t="shared" si="70"/>
        <v/>
      </c>
      <c r="F537" s="13" t="str">
        <f t="shared" si="71"/>
        <v/>
      </c>
      <c r="G537" s="13" t="str">
        <f t="shared" si="72"/>
        <v/>
      </c>
      <c r="H537" s="13" t="str">
        <f t="shared" si="73"/>
        <v/>
      </c>
      <c r="I537" t="str">
        <f t="shared" si="74"/>
        <v/>
      </c>
    </row>
    <row r="538" spans="1:9">
      <c r="A538">
        <f>CSV!B538</f>
        <v>0</v>
      </c>
      <c r="B538" s="13" t="e">
        <f>INDEX(Input!$D$2:$AC$500,
       MATCH(CPU_Formula!A538, Input!$J$2:$J$500, 0),
       MATCH("CPU model", Input!$D$1:$AC$1, 0))</f>
        <v>#N/A</v>
      </c>
      <c r="C538" s="13" t="str">
        <f t="shared" si="68"/>
        <v/>
      </c>
      <c r="D538" s="13" t="str">
        <f t="shared" si="69"/>
        <v/>
      </c>
      <c r="E538" s="13" t="str">
        <f t="shared" si="70"/>
        <v/>
      </c>
      <c r="F538" s="13" t="str">
        <f t="shared" si="71"/>
        <v/>
      </c>
      <c r="G538" s="13" t="str">
        <f t="shared" si="72"/>
        <v/>
      </c>
      <c r="H538" s="13" t="str">
        <f t="shared" si="73"/>
        <v/>
      </c>
      <c r="I538" t="str">
        <f t="shared" si="74"/>
        <v/>
      </c>
    </row>
    <row r="539" spans="1:9">
      <c r="A539">
        <f>CSV!B539</f>
        <v>0</v>
      </c>
      <c r="B539" s="13" t="e">
        <f>INDEX(Input!$D$2:$AC$500,
       MATCH(CPU_Formula!A539, Input!$J$2:$J$500, 0),
       MATCH("CPU model", Input!$D$1:$AC$1, 0))</f>
        <v>#N/A</v>
      </c>
      <c r="C539" s="13" t="str">
        <f t="shared" si="68"/>
        <v/>
      </c>
      <c r="D539" s="13" t="str">
        <f t="shared" si="69"/>
        <v/>
      </c>
      <c r="E539" s="13" t="str">
        <f t="shared" si="70"/>
        <v/>
      </c>
      <c r="F539" s="13" t="str">
        <f t="shared" si="71"/>
        <v/>
      </c>
      <c r="G539" s="13" t="str">
        <f t="shared" si="72"/>
        <v/>
      </c>
      <c r="H539" s="13" t="str">
        <f t="shared" si="73"/>
        <v/>
      </c>
      <c r="I539" t="str">
        <f t="shared" si="74"/>
        <v/>
      </c>
    </row>
    <row r="540" spans="1:9">
      <c r="A540">
        <f>CSV!B540</f>
        <v>0</v>
      </c>
      <c r="B540" s="13" t="e">
        <f>INDEX(Input!$D$2:$AC$500,
       MATCH(CPU_Formula!A540, Input!$J$2:$J$500, 0),
       MATCH("CPU model", Input!$D$1:$AC$1, 0))</f>
        <v>#N/A</v>
      </c>
      <c r="C540" s="13" t="str">
        <f t="shared" si="68"/>
        <v/>
      </c>
      <c r="D540" s="13" t="str">
        <f t="shared" si="69"/>
        <v/>
      </c>
      <c r="E540" s="13" t="str">
        <f t="shared" si="70"/>
        <v/>
      </c>
      <c r="F540" s="13" t="str">
        <f t="shared" si="71"/>
        <v/>
      </c>
      <c r="G540" s="13" t="str">
        <f t="shared" si="72"/>
        <v/>
      </c>
      <c r="H540" s="13" t="str">
        <f t="shared" si="73"/>
        <v/>
      </c>
      <c r="I540" t="str">
        <f t="shared" si="74"/>
        <v/>
      </c>
    </row>
    <row r="541" spans="1:9">
      <c r="A541">
        <f>CSV!B541</f>
        <v>0</v>
      </c>
      <c r="B541" s="13" t="e">
        <f>INDEX(Input!$D$2:$AC$500,
       MATCH(CPU_Formula!A541, Input!$J$2:$J$500, 0),
       MATCH("CPU model", Input!$D$1:$AC$1, 0))</f>
        <v>#N/A</v>
      </c>
      <c r="C541" s="13" t="str">
        <f t="shared" si="68"/>
        <v/>
      </c>
      <c r="D541" s="13" t="str">
        <f t="shared" si="69"/>
        <v/>
      </c>
      <c r="E541" s="13" t="str">
        <f t="shared" si="70"/>
        <v/>
      </c>
      <c r="F541" s="13" t="str">
        <f t="shared" si="71"/>
        <v/>
      </c>
      <c r="G541" s="13" t="str">
        <f t="shared" si="72"/>
        <v/>
      </c>
      <c r="H541" s="13" t="str">
        <f t="shared" si="73"/>
        <v/>
      </c>
      <c r="I541" t="str">
        <f t="shared" si="74"/>
        <v/>
      </c>
    </row>
    <row r="542" spans="1:9">
      <c r="A542">
        <f>CSV!B542</f>
        <v>0</v>
      </c>
      <c r="B542" s="13" t="e">
        <f>INDEX(Input!$D$2:$AC$500,
       MATCH(CPU_Formula!A542, Input!$J$2:$J$500, 0),
       MATCH("CPU model", Input!$D$1:$AC$1, 0))</f>
        <v>#N/A</v>
      </c>
      <c r="C542" s="13" t="str">
        <f t="shared" si="68"/>
        <v/>
      </c>
      <c r="D542" s="13" t="str">
        <f t="shared" si="69"/>
        <v/>
      </c>
      <c r="E542" s="13" t="str">
        <f t="shared" si="70"/>
        <v/>
      </c>
      <c r="F542" s="13" t="str">
        <f t="shared" si="71"/>
        <v/>
      </c>
      <c r="G542" s="13" t="str">
        <f t="shared" si="72"/>
        <v/>
      </c>
      <c r="H542" s="13" t="str">
        <f t="shared" si="73"/>
        <v/>
      </c>
      <c r="I542" t="str">
        <f t="shared" si="74"/>
        <v/>
      </c>
    </row>
    <row r="543" spans="1:9">
      <c r="A543">
        <f>CSV!B543</f>
        <v>0</v>
      </c>
      <c r="B543" s="13" t="e">
        <f>INDEX(Input!$D$2:$AC$500,
       MATCH(CPU_Formula!A543, Input!$J$2:$J$500, 0),
       MATCH("CPU model", Input!$D$1:$AC$1, 0))</f>
        <v>#N/A</v>
      </c>
      <c r="C543" s="13" t="str">
        <f t="shared" si="68"/>
        <v/>
      </c>
      <c r="D543" s="13" t="str">
        <f t="shared" si="69"/>
        <v/>
      </c>
      <c r="E543" s="13" t="str">
        <f t="shared" si="70"/>
        <v/>
      </c>
      <c r="F543" s="13" t="str">
        <f t="shared" si="71"/>
        <v/>
      </c>
      <c r="G543" s="13" t="str">
        <f t="shared" si="72"/>
        <v/>
      </c>
      <c r="H543" s="13" t="str">
        <f t="shared" si="73"/>
        <v/>
      </c>
      <c r="I543" t="str">
        <f t="shared" si="74"/>
        <v/>
      </c>
    </row>
    <row r="544" spans="1:9">
      <c r="A544">
        <f>CSV!B544</f>
        <v>0</v>
      </c>
      <c r="B544" s="13" t="e">
        <f>INDEX(Input!$D$2:$AC$500,
       MATCH(CPU_Formula!A544, Input!$J$2:$J$500, 0),
       MATCH("CPU model", Input!$D$1:$AC$1, 0))</f>
        <v>#N/A</v>
      </c>
      <c r="C544" s="13" t="str">
        <f t="shared" si="68"/>
        <v/>
      </c>
      <c r="D544" s="13" t="str">
        <f t="shared" si="69"/>
        <v/>
      </c>
      <c r="E544" s="13" t="str">
        <f t="shared" si="70"/>
        <v/>
      </c>
      <c r="F544" s="13" t="str">
        <f t="shared" si="71"/>
        <v/>
      </c>
      <c r="G544" s="13" t="str">
        <f t="shared" si="72"/>
        <v/>
      </c>
      <c r="H544" s="13" t="str">
        <f t="shared" si="73"/>
        <v/>
      </c>
      <c r="I544" t="str">
        <f t="shared" si="74"/>
        <v/>
      </c>
    </row>
    <row r="545" spans="1:9">
      <c r="A545">
        <f>CSV!B545</f>
        <v>0</v>
      </c>
      <c r="B545" s="13" t="e">
        <f>INDEX(Input!$D$2:$AC$500,
       MATCH(CPU_Formula!A545, Input!$J$2:$J$500, 0),
       MATCH("CPU model", Input!$D$1:$AC$1, 0))</f>
        <v>#N/A</v>
      </c>
      <c r="C545" s="13" t="str">
        <f t="shared" si="68"/>
        <v/>
      </c>
      <c r="D545" s="13" t="str">
        <f t="shared" si="69"/>
        <v/>
      </c>
      <c r="E545" s="13" t="str">
        <f t="shared" si="70"/>
        <v/>
      </c>
      <c r="F545" s="13" t="str">
        <f t="shared" si="71"/>
        <v/>
      </c>
      <c r="G545" s="13" t="str">
        <f t="shared" si="72"/>
        <v/>
      </c>
      <c r="H545" s="13" t="str">
        <f t="shared" si="73"/>
        <v/>
      </c>
      <c r="I545" t="str">
        <f t="shared" si="74"/>
        <v/>
      </c>
    </row>
    <row r="546" spans="1:9">
      <c r="A546">
        <f>CSV!B546</f>
        <v>0</v>
      </c>
      <c r="B546" s="13" t="e">
        <f>INDEX(Input!$D$2:$AC$500,
       MATCH(CPU_Formula!A546, Input!$J$2:$J$500, 0),
       MATCH("CPU model", Input!$D$1:$AC$1, 0))</f>
        <v>#N/A</v>
      </c>
      <c r="C546" s="13" t="str">
        <f t="shared" si="68"/>
        <v/>
      </c>
      <c r="D546" s="13" t="str">
        <f t="shared" si="69"/>
        <v/>
      </c>
      <c r="E546" s="13" t="str">
        <f t="shared" si="70"/>
        <v/>
      </c>
      <c r="F546" s="13" t="str">
        <f t="shared" si="71"/>
        <v/>
      </c>
      <c r="G546" s="13" t="str">
        <f t="shared" si="72"/>
        <v/>
      </c>
      <c r="H546" s="13" t="str">
        <f t="shared" si="73"/>
        <v/>
      </c>
      <c r="I546" t="str">
        <f t="shared" si="74"/>
        <v/>
      </c>
    </row>
    <row r="547" spans="1:9">
      <c r="A547">
        <f>CSV!B547</f>
        <v>0</v>
      </c>
      <c r="B547" s="13" t="e">
        <f>INDEX(Input!$D$2:$AC$500,
       MATCH(CPU_Formula!A547, Input!$J$2:$J$500, 0),
       MATCH("CPU model", Input!$D$1:$AC$1, 0))</f>
        <v>#N/A</v>
      </c>
      <c r="C547" s="13" t="str">
        <f t="shared" si="68"/>
        <v/>
      </c>
      <c r="D547" s="13" t="str">
        <f t="shared" si="69"/>
        <v/>
      </c>
      <c r="E547" s="13" t="str">
        <f t="shared" si="70"/>
        <v/>
      </c>
      <c r="F547" s="13" t="str">
        <f t="shared" si="71"/>
        <v/>
      </c>
      <c r="G547" s="13" t="str">
        <f t="shared" si="72"/>
        <v/>
      </c>
      <c r="H547" s="13" t="str">
        <f t="shared" si="73"/>
        <v/>
      </c>
      <c r="I547" t="str">
        <f t="shared" si="74"/>
        <v/>
      </c>
    </row>
    <row r="548" spans="1:9">
      <c r="A548">
        <f>CSV!B548</f>
        <v>0</v>
      </c>
      <c r="B548" s="13" t="e">
        <f>INDEX(Input!$D$2:$AC$500,
       MATCH(CPU_Formula!A548, Input!$J$2:$J$500, 0),
       MATCH("CPU model", Input!$D$1:$AC$1, 0))</f>
        <v>#N/A</v>
      </c>
      <c r="C548" s="13" t="str">
        <f t="shared" si="68"/>
        <v/>
      </c>
      <c r="D548" s="13" t="str">
        <f t="shared" si="69"/>
        <v/>
      </c>
      <c r="E548" s="13" t="str">
        <f t="shared" si="70"/>
        <v/>
      </c>
      <c r="F548" s="13" t="str">
        <f t="shared" si="71"/>
        <v/>
      </c>
      <c r="G548" s="13" t="str">
        <f t="shared" si="72"/>
        <v/>
      </c>
      <c r="H548" s="13" t="str">
        <f t="shared" si="73"/>
        <v/>
      </c>
      <c r="I548" t="str">
        <f t="shared" si="74"/>
        <v/>
      </c>
    </row>
    <row r="549" spans="1:9">
      <c r="A549">
        <f>CSV!B549</f>
        <v>0</v>
      </c>
      <c r="B549" s="13" t="e">
        <f>INDEX(Input!$D$2:$AC$500,
       MATCH(CPU_Formula!A549, Input!$J$2:$J$500, 0),
       MATCH("CPU model", Input!$D$1:$AC$1, 0))</f>
        <v>#N/A</v>
      </c>
      <c r="C549" s="13" t="str">
        <f t="shared" si="68"/>
        <v/>
      </c>
      <c r="D549" s="13" t="str">
        <f t="shared" si="69"/>
        <v/>
      </c>
      <c r="E549" s="13" t="str">
        <f t="shared" si="70"/>
        <v/>
      </c>
      <c r="F549" s="13" t="str">
        <f t="shared" si="71"/>
        <v/>
      </c>
      <c r="G549" s="13" t="str">
        <f t="shared" si="72"/>
        <v/>
      </c>
      <c r="H549" s="13" t="str">
        <f t="shared" si="73"/>
        <v/>
      </c>
      <c r="I549" t="str">
        <f t="shared" si="74"/>
        <v/>
      </c>
    </row>
    <row r="550" spans="1:9">
      <c r="A550">
        <f>CSV!B550</f>
        <v>0</v>
      </c>
      <c r="B550" s="13" t="e">
        <f>INDEX(Input!$D$2:$AC$500,
       MATCH(CPU_Formula!A550, Input!$J$2:$J$500, 0),
       MATCH("CPU model", Input!$D$1:$AC$1, 0))</f>
        <v>#N/A</v>
      </c>
      <c r="C550" s="13" t="str">
        <f t="shared" si="68"/>
        <v/>
      </c>
      <c r="D550" s="13" t="str">
        <f t="shared" si="69"/>
        <v/>
      </c>
      <c r="E550" s="13" t="str">
        <f t="shared" si="70"/>
        <v/>
      </c>
      <c r="F550" s="13" t="str">
        <f t="shared" si="71"/>
        <v/>
      </c>
      <c r="G550" s="13" t="str">
        <f t="shared" si="72"/>
        <v/>
      </c>
      <c r="H550" s="13" t="str">
        <f t="shared" si="73"/>
        <v/>
      </c>
      <c r="I550" t="str">
        <f t="shared" si="74"/>
        <v/>
      </c>
    </row>
    <row r="551" spans="1:9">
      <c r="A551">
        <f>CSV!B551</f>
        <v>0</v>
      </c>
      <c r="B551" s="13" t="e">
        <f>INDEX(Input!$D$2:$AC$500,
       MATCH(CPU_Formula!A551, Input!$J$2:$J$500, 0),
       MATCH("CPU model", Input!$D$1:$AC$1, 0))</f>
        <v>#N/A</v>
      </c>
      <c r="C551" s="13" t="str">
        <f t="shared" si="68"/>
        <v/>
      </c>
      <c r="D551" s="13" t="str">
        <f t="shared" si="69"/>
        <v/>
      </c>
      <c r="E551" s="13" t="str">
        <f t="shared" si="70"/>
        <v/>
      </c>
      <c r="F551" s="13" t="str">
        <f t="shared" si="71"/>
        <v/>
      </c>
      <c r="G551" s="13" t="str">
        <f t="shared" si="72"/>
        <v/>
      </c>
      <c r="H551" s="13" t="str">
        <f t="shared" si="73"/>
        <v/>
      </c>
      <c r="I551" t="str">
        <f t="shared" si="74"/>
        <v/>
      </c>
    </row>
    <row r="552" spans="1:9">
      <c r="A552">
        <f>CSV!B552</f>
        <v>0</v>
      </c>
      <c r="B552" s="13" t="e">
        <f>INDEX(Input!$D$2:$AC$500,
       MATCH(CPU_Formula!A552, Input!$J$2:$J$500, 0),
       MATCH("CPU model", Input!$D$1:$AC$1, 0))</f>
        <v>#N/A</v>
      </c>
      <c r="C552" s="13" t="str">
        <f t="shared" ref="C552:C615" si="75">IFERROR(_xlfn.TEXTAFTER(B552,"Core(TM) "),IFERROR(_xlfn.TEXTAFTER(B552,"Xeon(R) CPU"),""))</f>
        <v/>
      </c>
      <c r="D552" s="13" t="str">
        <f t="shared" ref="D552:D615" si="76">IFERROR(_xlfn.TEXTAFTER(B552,"Ryzen "), "")</f>
        <v/>
      </c>
      <c r="E552" s="13" t="str">
        <f t="shared" ref="E552:E615" si="77">IF(ISNUMBER(SEARCH("Ultra", B552)), "Ultra"&amp;_xlfn.TEXTAFTER(B552, "Ultra"), "")</f>
        <v/>
      </c>
      <c r="F552" s="13" t="str">
        <f t="shared" ref="F552:F615" si="78">IF(C552&lt;&gt;"", TRIM(_xlfn.TEXTBEFORE(C552," ",,1,1)), "")</f>
        <v/>
      </c>
      <c r="G552" s="13" t="str">
        <f t="shared" ref="G552:G615" si="79">IF(D552&lt;&gt;"", TRIM(_xlfn.TEXTBEFORE(D552," ",,1)), "")</f>
        <v/>
      </c>
      <c r="H552" s="13" t="str">
        <f t="shared" ref="H552:H615" si="80">E552</f>
        <v/>
      </c>
      <c r="I552" t="str">
        <f t="shared" ref="I552:I615" si="81">IF(H552&lt;&gt;"",H552,IF(G552&lt;&gt;"",G552,F552))</f>
        <v/>
      </c>
    </row>
    <row r="553" spans="1:9">
      <c r="A553">
        <f>CSV!B553</f>
        <v>0</v>
      </c>
      <c r="B553" s="13" t="e">
        <f>INDEX(Input!$D$2:$AC$500,
       MATCH(CPU_Formula!A553, Input!$J$2:$J$500, 0),
       MATCH("CPU model", Input!$D$1:$AC$1, 0))</f>
        <v>#N/A</v>
      </c>
      <c r="C553" s="13" t="str">
        <f t="shared" si="75"/>
        <v/>
      </c>
      <c r="D553" s="13" t="str">
        <f t="shared" si="76"/>
        <v/>
      </c>
      <c r="E553" s="13" t="str">
        <f t="shared" si="77"/>
        <v/>
      </c>
      <c r="F553" s="13" t="str">
        <f t="shared" si="78"/>
        <v/>
      </c>
      <c r="G553" s="13" t="str">
        <f t="shared" si="79"/>
        <v/>
      </c>
      <c r="H553" s="13" t="str">
        <f t="shared" si="80"/>
        <v/>
      </c>
      <c r="I553" t="str">
        <f t="shared" si="81"/>
        <v/>
      </c>
    </row>
    <row r="554" spans="1:9">
      <c r="A554">
        <f>CSV!B554</f>
        <v>0</v>
      </c>
      <c r="B554" s="13" t="e">
        <f>INDEX(Input!$D$2:$AC$500,
       MATCH(CPU_Formula!A554, Input!$J$2:$J$500, 0),
       MATCH("CPU model", Input!$D$1:$AC$1, 0))</f>
        <v>#N/A</v>
      </c>
      <c r="C554" s="13" t="str">
        <f t="shared" si="75"/>
        <v/>
      </c>
      <c r="D554" s="13" t="str">
        <f t="shared" si="76"/>
        <v/>
      </c>
      <c r="E554" s="13" t="str">
        <f t="shared" si="77"/>
        <v/>
      </c>
      <c r="F554" s="13" t="str">
        <f t="shared" si="78"/>
        <v/>
      </c>
      <c r="G554" s="13" t="str">
        <f t="shared" si="79"/>
        <v/>
      </c>
      <c r="H554" s="13" t="str">
        <f t="shared" si="80"/>
        <v/>
      </c>
      <c r="I554" t="str">
        <f t="shared" si="81"/>
        <v/>
      </c>
    </row>
    <row r="555" spans="1:9">
      <c r="A555">
        <f>CSV!B555</f>
        <v>0</v>
      </c>
      <c r="B555" s="13" t="e">
        <f>INDEX(Input!$D$2:$AC$500,
       MATCH(CPU_Formula!A555, Input!$J$2:$J$500, 0),
       MATCH("CPU model", Input!$D$1:$AC$1, 0))</f>
        <v>#N/A</v>
      </c>
      <c r="C555" s="13" t="str">
        <f t="shared" si="75"/>
        <v/>
      </c>
      <c r="D555" s="13" t="str">
        <f t="shared" si="76"/>
        <v/>
      </c>
      <c r="E555" s="13" t="str">
        <f t="shared" si="77"/>
        <v/>
      </c>
      <c r="F555" s="13" t="str">
        <f t="shared" si="78"/>
        <v/>
      </c>
      <c r="G555" s="13" t="str">
        <f t="shared" si="79"/>
        <v/>
      </c>
      <c r="H555" s="13" t="str">
        <f t="shared" si="80"/>
        <v/>
      </c>
      <c r="I555" t="str">
        <f t="shared" si="81"/>
        <v/>
      </c>
    </row>
    <row r="556" spans="1:9">
      <c r="A556">
        <f>CSV!B556</f>
        <v>0</v>
      </c>
      <c r="B556" s="13" t="e">
        <f>INDEX(Input!$D$2:$AC$500,
       MATCH(CPU_Formula!A556, Input!$J$2:$J$500, 0),
       MATCH("CPU model", Input!$D$1:$AC$1, 0))</f>
        <v>#N/A</v>
      </c>
      <c r="C556" s="13" t="str">
        <f t="shared" si="75"/>
        <v/>
      </c>
      <c r="D556" s="13" t="str">
        <f t="shared" si="76"/>
        <v/>
      </c>
      <c r="E556" s="13" t="str">
        <f t="shared" si="77"/>
        <v/>
      </c>
      <c r="F556" s="13" t="str">
        <f t="shared" si="78"/>
        <v/>
      </c>
      <c r="G556" s="13" t="str">
        <f t="shared" si="79"/>
        <v/>
      </c>
      <c r="H556" s="13" t="str">
        <f t="shared" si="80"/>
        <v/>
      </c>
      <c r="I556" t="str">
        <f t="shared" si="81"/>
        <v/>
      </c>
    </row>
    <row r="557" spans="1:9">
      <c r="A557">
        <f>CSV!B557</f>
        <v>0</v>
      </c>
      <c r="B557" s="13" t="e">
        <f>INDEX(Input!$D$2:$AC$500,
       MATCH(CPU_Formula!A557, Input!$J$2:$J$500, 0),
       MATCH("CPU model", Input!$D$1:$AC$1, 0))</f>
        <v>#N/A</v>
      </c>
      <c r="C557" s="13" t="str">
        <f t="shared" si="75"/>
        <v/>
      </c>
      <c r="D557" s="13" t="str">
        <f t="shared" si="76"/>
        <v/>
      </c>
      <c r="E557" s="13" t="str">
        <f t="shared" si="77"/>
        <v/>
      </c>
      <c r="F557" s="13" t="str">
        <f t="shared" si="78"/>
        <v/>
      </c>
      <c r="G557" s="13" t="str">
        <f t="shared" si="79"/>
        <v/>
      </c>
      <c r="H557" s="13" t="str">
        <f t="shared" si="80"/>
        <v/>
      </c>
      <c r="I557" t="str">
        <f t="shared" si="81"/>
        <v/>
      </c>
    </row>
    <row r="558" spans="1:9">
      <c r="A558">
        <f>CSV!B558</f>
        <v>0</v>
      </c>
      <c r="B558" s="13" t="e">
        <f>INDEX(Input!$D$2:$AC$500,
       MATCH(CPU_Formula!A558, Input!$J$2:$J$500, 0),
       MATCH("CPU model", Input!$D$1:$AC$1, 0))</f>
        <v>#N/A</v>
      </c>
      <c r="C558" s="13" t="str">
        <f t="shared" si="75"/>
        <v/>
      </c>
      <c r="D558" s="13" t="str">
        <f t="shared" si="76"/>
        <v/>
      </c>
      <c r="E558" s="13" t="str">
        <f t="shared" si="77"/>
        <v/>
      </c>
      <c r="F558" s="13" t="str">
        <f t="shared" si="78"/>
        <v/>
      </c>
      <c r="G558" s="13" t="str">
        <f t="shared" si="79"/>
        <v/>
      </c>
      <c r="H558" s="13" t="str">
        <f t="shared" si="80"/>
        <v/>
      </c>
      <c r="I558" t="str">
        <f t="shared" si="81"/>
        <v/>
      </c>
    </row>
    <row r="559" spans="1:9">
      <c r="A559">
        <f>CSV!B559</f>
        <v>0</v>
      </c>
      <c r="B559" s="13" t="e">
        <f>INDEX(Input!$D$2:$AC$500,
       MATCH(CPU_Formula!A559, Input!$J$2:$J$500, 0),
       MATCH("CPU model", Input!$D$1:$AC$1, 0))</f>
        <v>#N/A</v>
      </c>
      <c r="C559" s="13" t="str">
        <f t="shared" si="75"/>
        <v/>
      </c>
      <c r="D559" s="13" t="str">
        <f t="shared" si="76"/>
        <v/>
      </c>
      <c r="E559" s="13" t="str">
        <f t="shared" si="77"/>
        <v/>
      </c>
      <c r="F559" s="13" t="str">
        <f t="shared" si="78"/>
        <v/>
      </c>
      <c r="G559" s="13" t="str">
        <f t="shared" si="79"/>
        <v/>
      </c>
      <c r="H559" s="13" t="str">
        <f t="shared" si="80"/>
        <v/>
      </c>
      <c r="I559" t="str">
        <f t="shared" si="81"/>
        <v/>
      </c>
    </row>
    <row r="560" spans="1:9">
      <c r="A560">
        <f>CSV!B560</f>
        <v>0</v>
      </c>
      <c r="B560" s="13" t="e">
        <f>INDEX(Input!$D$2:$AC$500,
       MATCH(CPU_Formula!A560, Input!$J$2:$J$500, 0),
       MATCH("CPU model", Input!$D$1:$AC$1, 0))</f>
        <v>#N/A</v>
      </c>
      <c r="C560" s="13" t="str">
        <f t="shared" si="75"/>
        <v/>
      </c>
      <c r="D560" s="13" t="str">
        <f t="shared" si="76"/>
        <v/>
      </c>
      <c r="E560" s="13" t="str">
        <f t="shared" si="77"/>
        <v/>
      </c>
      <c r="F560" s="13" t="str">
        <f t="shared" si="78"/>
        <v/>
      </c>
      <c r="G560" s="13" t="str">
        <f t="shared" si="79"/>
        <v/>
      </c>
      <c r="H560" s="13" t="str">
        <f t="shared" si="80"/>
        <v/>
      </c>
      <c r="I560" t="str">
        <f t="shared" si="81"/>
        <v/>
      </c>
    </row>
    <row r="561" spans="1:9">
      <c r="A561">
        <f>CSV!B561</f>
        <v>0</v>
      </c>
      <c r="B561" s="13" t="e">
        <f>INDEX(Input!$D$2:$AC$500,
       MATCH(CPU_Formula!A561, Input!$J$2:$J$500, 0),
       MATCH("CPU model", Input!$D$1:$AC$1, 0))</f>
        <v>#N/A</v>
      </c>
      <c r="C561" s="13" t="str">
        <f t="shared" si="75"/>
        <v/>
      </c>
      <c r="D561" s="13" t="str">
        <f t="shared" si="76"/>
        <v/>
      </c>
      <c r="E561" s="13" t="str">
        <f t="shared" si="77"/>
        <v/>
      </c>
      <c r="F561" s="13" t="str">
        <f t="shared" si="78"/>
        <v/>
      </c>
      <c r="G561" s="13" t="str">
        <f t="shared" si="79"/>
        <v/>
      </c>
      <c r="H561" s="13" t="str">
        <f t="shared" si="80"/>
        <v/>
      </c>
      <c r="I561" t="str">
        <f t="shared" si="81"/>
        <v/>
      </c>
    </row>
    <row r="562" spans="1:9">
      <c r="A562">
        <f>CSV!B562</f>
        <v>0</v>
      </c>
      <c r="B562" s="13" t="e">
        <f>INDEX(Input!$D$2:$AC$500,
       MATCH(CPU_Formula!A562, Input!$J$2:$J$500, 0),
       MATCH("CPU model", Input!$D$1:$AC$1, 0))</f>
        <v>#N/A</v>
      </c>
      <c r="C562" s="13" t="str">
        <f t="shared" si="75"/>
        <v/>
      </c>
      <c r="D562" s="13" t="str">
        <f t="shared" si="76"/>
        <v/>
      </c>
      <c r="E562" s="13" t="str">
        <f t="shared" si="77"/>
        <v/>
      </c>
      <c r="F562" s="13" t="str">
        <f t="shared" si="78"/>
        <v/>
      </c>
      <c r="G562" s="13" t="str">
        <f t="shared" si="79"/>
        <v/>
      </c>
      <c r="H562" s="13" t="str">
        <f t="shared" si="80"/>
        <v/>
      </c>
      <c r="I562" t="str">
        <f t="shared" si="81"/>
        <v/>
      </c>
    </row>
    <row r="563" spans="1:9">
      <c r="A563">
        <f>CSV!B563</f>
        <v>0</v>
      </c>
      <c r="B563" s="13" t="e">
        <f>INDEX(Input!$D$2:$AC$500,
       MATCH(CPU_Formula!A563, Input!$J$2:$J$500, 0),
       MATCH("CPU model", Input!$D$1:$AC$1, 0))</f>
        <v>#N/A</v>
      </c>
      <c r="C563" s="13" t="str">
        <f t="shared" si="75"/>
        <v/>
      </c>
      <c r="D563" s="13" t="str">
        <f t="shared" si="76"/>
        <v/>
      </c>
      <c r="E563" s="13" t="str">
        <f t="shared" si="77"/>
        <v/>
      </c>
      <c r="F563" s="13" t="str">
        <f t="shared" si="78"/>
        <v/>
      </c>
      <c r="G563" s="13" t="str">
        <f t="shared" si="79"/>
        <v/>
      </c>
      <c r="H563" s="13" t="str">
        <f t="shared" si="80"/>
        <v/>
      </c>
      <c r="I563" t="str">
        <f t="shared" si="81"/>
        <v/>
      </c>
    </row>
    <row r="564" spans="1:9">
      <c r="A564">
        <f>CSV!B564</f>
        <v>0</v>
      </c>
      <c r="B564" s="13" t="e">
        <f>INDEX(Input!$D$2:$AC$500,
       MATCH(CPU_Formula!A564, Input!$J$2:$J$500, 0),
       MATCH("CPU model", Input!$D$1:$AC$1, 0))</f>
        <v>#N/A</v>
      </c>
      <c r="C564" s="13" t="str">
        <f t="shared" si="75"/>
        <v/>
      </c>
      <c r="D564" s="13" t="str">
        <f t="shared" si="76"/>
        <v/>
      </c>
      <c r="E564" s="13" t="str">
        <f t="shared" si="77"/>
        <v/>
      </c>
      <c r="F564" s="13" t="str">
        <f t="shared" si="78"/>
        <v/>
      </c>
      <c r="G564" s="13" t="str">
        <f t="shared" si="79"/>
        <v/>
      </c>
      <c r="H564" s="13" t="str">
        <f t="shared" si="80"/>
        <v/>
      </c>
      <c r="I564" t="str">
        <f t="shared" si="81"/>
        <v/>
      </c>
    </row>
    <row r="565" spans="1:9">
      <c r="A565">
        <f>CSV!B565</f>
        <v>0</v>
      </c>
      <c r="B565" s="13" t="e">
        <f>INDEX(Input!$D$2:$AC$500,
       MATCH(CPU_Formula!A565, Input!$J$2:$J$500, 0),
       MATCH("CPU model", Input!$D$1:$AC$1, 0))</f>
        <v>#N/A</v>
      </c>
      <c r="C565" s="13" t="str">
        <f t="shared" si="75"/>
        <v/>
      </c>
      <c r="D565" s="13" t="str">
        <f t="shared" si="76"/>
        <v/>
      </c>
      <c r="E565" s="13" t="str">
        <f t="shared" si="77"/>
        <v/>
      </c>
      <c r="F565" s="13" t="str">
        <f t="shared" si="78"/>
        <v/>
      </c>
      <c r="G565" s="13" t="str">
        <f t="shared" si="79"/>
        <v/>
      </c>
      <c r="H565" s="13" t="str">
        <f t="shared" si="80"/>
        <v/>
      </c>
      <c r="I565" t="str">
        <f t="shared" si="81"/>
        <v/>
      </c>
    </row>
    <row r="566" spans="1:9">
      <c r="A566">
        <f>CSV!B566</f>
        <v>0</v>
      </c>
      <c r="B566" s="13" t="e">
        <f>INDEX(Input!$D$2:$AC$500,
       MATCH(CPU_Formula!A566, Input!$J$2:$J$500, 0),
       MATCH("CPU model", Input!$D$1:$AC$1, 0))</f>
        <v>#N/A</v>
      </c>
      <c r="C566" s="13" t="str">
        <f t="shared" si="75"/>
        <v/>
      </c>
      <c r="D566" s="13" t="str">
        <f t="shared" si="76"/>
        <v/>
      </c>
      <c r="E566" s="13" t="str">
        <f t="shared" si="77"/>
        <v/>
      </c>
      <c r="F566" s="13" t="str">
        <f t="shared" si="78"/>
        <v/>
      </c>
      <c r="G566" s="13" t="str">
        <f t="shared" si="79"/>
        <v/>
      </c>
      <c r="H566" s="13" t="str">
        <f t="shared" si="80"/>
        <v/>
      </c>
      <c r="I566" t="str">
        <f t="shared" si="81"/>
        <v/>
      </c>
    </row>
    <row r="567" spans="1:9">
      <c r="A567">
        <f>CSV!B567</f>
        <v>0</v>
      </c>
      <c r="B567" s="13" t="e">
        <f>INDEX(Input!$D$2:$AC$500,
       MATCH(CPU_Formula!A567, Input!$J$2:$J$500, 0),
       MATCH("CPU model", Input!$D$1:$AC$1, 0))</f>
        <v>#N/A</v>
      </c>
      <c r="C567" s="13" t="str">
        <f t="shared" si="75"/>
        <v/>
      </c>
      <c r="D567" s="13" t="str">
        <f t="shared" si="76"/>
        <v/>
      </c>
      <c r="E567" s="13" t="str">
        <f t="shared" si="77"/>
        <v/>
      </c>
      <c r="F567" s="13" t="str">
        <f t="shared" si="78"/>
        <v/>
      </c>
      <c r="G567" s="13" t="str">
        <f t="shared" si="79"/>
        <v/>
      </c>
      <c r="H567" s="13" t="str">
        <f t="shared" si="80"/>
        <v/>
      </c>
      <c r="I567" t="str">
        <f t="shared" si="81"/>
        <v/>
      </c>
    </row>
    <row r="568" spans="1:9">
      <c r="A568">
        <f>CSV!B568</f>
        <v>0</v>
      </c>
      <c r="B568" s="13" t="e">
        <f>INDEX(Input!$D$2:$AC$500,
       MATCH(CPU_Formula!A568, Input!$J$2:$J$500, 0),
       MATCH("CPU model", Input!$D$1:$AC$1, 0))</f>
        <v>#N/A</v>
      </c>
      <c r="C568" s="13" t="str">
        <f t="shared" si="75"/>
        <v/>
      </c>
      <c r="D568" s="13" t="str">
        <f t="shared" si="76"/>
        <v/>
      </c>
      <c r="E568" s="13" t="str">
        <f t="shared" si="77"/>
        <v/>
      </c>
      <c r="F568" s="13" t="str">
        <f t="shared" si="78"/>
        <v/>
      </c>
      <c r="G568" s="13" t="str">
        <f t="shared" si="79"/>
        <v/>
      </c>
      <c r="H568" s="13" t="str">
        <f t="shared" si="80"/>
        <v/>
      </c>
      <c r="I568" t="str">
        <f t="shared" si="81"/>
        <v/>
      </c>
    </row>
    <row r="569" spans="1:9">
      <c r="A569">
        <f>CSV!B569</f>
        <v>0</v>
      </c>
      <c r="B569" s="13" t="e">
        <f>INDEX(Input!$D$2:$AC$500,
       MATCH(CPU_Formula!A569, Input!$J$2:$J$500, 0),
       MATCH("CPU model", Input!$D$1:$AC$1, 0))</f>
        <v>#N/A</v>
      </c>
      <c r="C569" s="13" t="str">
        <f t="shared" si="75"/>
        <v/>
      </c>
      <c r="D569" s="13" t="str">
        <f t="shared" si="76"/>
        <v/>
      </c>
      <c r="E569" s="13" t="str">
        <f t="shared" si="77"/>
        <v/>
      </c>
      <c r="F569" s="13" t="str">
        <f t="shared" si="78"/>
        <v/>
      </c>
      <c r="G569" s="13" t="str">
        <f t="shared" si="79"/>
        <v/>
      </c>
      <c r="H569" s="13" t="str">
        <f t="shared" si="80"/>
        <v/>
      </c>
      <c r="I569" t="str">
        <f t="shared" si="81"/>
        <v/>
      </c>
    </row>
    <row r="570" spans="1:9">
      <c r="A570">
        <f>CSV!B570</f>
        <v>0</v>
      </c>
      <c r="B570" s="13" t="e">
        <f>INDEX(Input!$D$2:$AC$500,
       MATCH(CPU_Formula!A570, Input!$J$2:$J$500, 0),
       MATCH("CPU model", Input!$D$1:$AC$1, 0))</f>
        <v>#N/A</v>
      </c>
      <c r="C570" s="13" t="str">
        <f t="shared" si="75"/>
        <v/>
      </c>
      <c r="D570" s="13" t="str">
        <f t="shared" si="76"/>
        <v/>
      </c>
      <c r="E570" s="13" t="str">
        <f t="shared" si="77"/>
        <v/>
      </c>
      <c r="F570" s="13" t="str">
        <f t="shared" si="78"/>
        <v/>
      </c>
      <c r="G570" s="13" t="str">
        <f t="shared" si="79"/>
        <v/>
      </c>
      <c r="H570" s="13" t="str">
        <f t="shared" si="80"/>
        <v/>
      </c>
      <c r="I570" t="str">
        <f t="shared" si="81"/>
        <v/>
      </c>
    </row>
    <row r="571" spans="1:9">
      <c r="A571">
        <f>CSV!B571</f>
        <v>0</v>
      </c>
      <c r="B571" s="13" t="e">
        <f>INDEX(Input!$D$2:$AC$500,
       MATCH(CPU_Formula!A571, Input!$J$2:$J$500, 0),
       MATCH("CPU model", Input!$D$1:$AC$1, 0))</f>
        <v>#N/A</v>
      </c>
      <c r="C571" s="13" t="str">
        <f t="shared" si="75"/>
        <v/>
      </c>
      <c r="D571" s="13" t="str">
        <f t="shared" si="76"/>
        <v/>
      </c>
      <c r="E571" s="13" t="str">
        <f t="shared" si="77"/>
        <v/>
      </c>
      <c r="F571" s="13" t="str">
        <f t="shared" si="78"/>
        <v/>
      </c>
      <c r="G571" s="13" t="str">
        <f t="shared" si="79"/>
        <v/>
      </c>
      <c r="H571" s="13" t="str">
        <f t="shared" si="80"/>
        <v/>
      </c>
      <c r="I571" t="str">
        <f t="shared" si="81"/>
        <v/>
      </c>
    </row>
    <row r="572" spans="1:9">
      <c r="A572">
        <f>CSV!B572</f>
        <v>0</v>
      </c>
      <c r="B572" s="13" t="e">
        <f>INDEX(Input!$D$2:$AC$500,
       MATCH(CPU_Formula!A572, Input!$J$2:$J$500, 0),
       MATCH("CPU model", Input!$D$1:$AC$1, 0))</f>
        <v>#N/A</v>
      </c>
      <c r="C572" s="13" t="str">
        <f t="shared" si="75"/>
        <v/>
      </c>
      <c r="D572" s="13" t="str">
        <f t="shared" si="76"/>
        <v/>
      </c>
      <c r="E572" s="13" t="str">
        <f t="shared" si="77"/>
        <v/>
      </c>
      <c r="F572" s="13" t="str">
        <f t="shared" si="78"/>
        <v/>
      </c>
      <c r="G572" s="13" t="str">
        <f t="shared" si="79"/>
        <v/>
      </c>
      <c r="H572" s="13" t="str">
        <f t="shared" si="80"/>
        <v/>
      </c>
      <c r="I572" t="str">
        <f t="shared" si="81"/>
        <v/>
      </c>
    </row>
    <row r="573" spans="1:9">
      <c r="A573">
        <f>CSV!B573</f>
        <v>0</v>
      </c>
      <c r="B573" s="13" t="e">
        <f>INDEX(Input!$D$2:$AC$500,
       MATCH(CPU_Formula!A573, Input!$J$2:$J$500, 0),
       MATCH("CPU model", Input!$D$1:$AC$1, 0))</f>
        <v>#N/A</v>
      </c>
      <c r="C573" s="13" t="str">
        <f t="shared" si="75"/>
        <v/>
      </c>
      <c r="D573" s="13" t="str">
        <f t="shared" si="76"/>
        <v/>
      </c>
      <c r="E573" s="13" t="str">
        <f t="shared" si="77"/>
        <v/>
      </c>
      <c r="F573" s="13" t="str">
        <f t="shared" si="78"/>
        <v/>
      </c>
      <c r="G573" s="13" t="str">
        <f t="shared" si="79"/>
        <v/>
      </c>
      <c r="H573" s="13" t="str">
        <f t="shared" si="80"/>
        <v/>
      </c>
      <c r="I573" t="str">
        <f t="shared" si="81"/>
        <v/>
      </c>
    </row>
    <row r="574" spans="1:9">
      <c r="A574">
        <f>CSV!B574</f>
        <v>0</v>
      </c>
      <c r="B574" s="13" t="e">
        <f>INDEX(Input!$D$2:$AC$500,
       MATCH(CPU_Formula!A574, Input!$J$2:$J$500, 0),
       MATCH("CPU model", Input!$D$1:$AC$1, 0))</f>
        <v>#N/A</v>
      </c>
      <c r="C574" s="13" t="str">
        <f t="shared" si="75"/>
        <v/>
      </c>
      <c r="D574" s="13" t="str">
        <f t="shared" si="76"/>
        <v/>
      </c>
      <c r="E574" s="13" t="str">
        <f t="shared" si="77"/>
        <v/>
      </c>
      <c r="F574" s="13" t="str">
        <f t="shared" si="78"/>
        <v/>
      </c>
      <c r="G574" s="13" t="str">
        <f t="shared" si="79"/>
        <v/>
      </c>
      <c r="H574" s="13" t="str">
        <f t="shared" si="80"/>
        <v/>
      </c>
      <c r="I574" t="str">
        <f t="shared" si="81"/>
        <v/>
      </c>
    </row>
    <row r="575" spans="1:9">
      <c r="A575">
        <f>CSV!B575</f>
        <v>0</v>
      </c>
      <c r="B575" s="13" t="e">
        <f>INDEX(Input!$D$2:$AC$500,
       MATCH(CPU_Formula!A575, Input!$J$2:$J$500, 0),
       MATCH("CPU model", Input!$D$1:$AC$1, 0))</f>
        <v>#N/A</v>
      </c>
      <c r="C575" s="13" t="str">
        <f t="shared" si="75"/>
        <v/>
      </c>
      <c r="D575" s="13" t="str">
        <f t="shared" si="76"/>
        <v/>
      </c>
      <c r="E575" s="13" t="str">
        <f t="shared" si="77"/>
        <v/>
      </c>
      <c r="F575" s="13" t="str">
        <f t="shared" si="78"/>
        <v/>
      </c>
      <c r="G575" s="13" t="str">
        <f t="shared" si="79"/>
        <v/>
      </c>
      <c r="H575" s="13" t="str">
        <f t="shared" si="80"/>
        <v/>
      </c>
      <c r="I575" t="str">
        <f t="shared" si="81"/>
        <v/>
      </c>
    </row>
    <row r="576" spans="1:9">
      <c r="A576">
        <f>CSV!B576</f>
        <v>0</v>
      </c>
      <c r="B576" s="13" t="e">
        <f>INDEX(Input!$D$2:$AC$500,
       MATCH(CPU_Formula!A576, Input!$J$2:$J$500, 0),
       MATCH("CPU model", Input!$D$1:$AC$1, 0))</f>
        <v>#N/A</v>
      </c>
      <c r="C576" s="13" t="str">
        <f t="shared" si="75"/>
        <v/>
      </c>
      <c r="D576" s="13" t="str">
        <f t="shared" si="76"/>
        <v/>
      </c>
      <c r="E576" s="13" t="str">
        <f t="shared" si="77"/>
        <v/>
      </c>
      <c r="F576" s="13" t="str">
        <f t="shared" si="78"/>
        <v/>
      </c>
      <c r="G576" s="13" t="str">
        <f t="shared" si="79"/>
        <v/>
      </c>
      <c r="H576" s="13" t="str">
        <f t="shared" si="80"/>
        <v/>
      </c>
      <c r="I576" t="str">
        <f t="shared" si="81"/>
        <v/>
      </c>
    </row>
    <row r="577" spans="1:9">
      <c r="A577">
        <f>CSV!B577</f>
        <v>0</v>
      </c>
      <c r="B577" s="13" t="e">
        <f>INDEX(Input!$D$2:$AC$500,
       MATCH(CPU_Formula!A577, Input!$J$2:$J$500, 0),
       MATCH("CPU model", Input!$D$1:$AC$1, 0))</f>
        <v>#N/A</v>
      </c>
      <c r="C577" s="13" t="str">
        <f t="shared" si="75"/>
        <v/>
      </c>
      <c r="D577" s="13" t="str">
        <f t="shared" si="76"/>
        <v/>
      </c>
      <c r="E577" s="13" t="str">
        <f t="shared" si="77"/>
        <v/>
      </c>
      <c r="F577" s="13" t="str">
        <f t="shared" si="78"/>
        <v/>
      </c>
      <c r="G577" s="13" t="str">
        <f t="shared" si="79"/>
        <v/>
      </c>
      <c r="H577" s="13" t="str">
        <f t="shared" si="80"/>
        <v/>
      </c>
      <c r="I577" t="str">
        <f t="shared" si="81"/>
        <v/>
      </c>
    </row>
    <row r="578" spans="1:9">
      <c r="A578">
        <f>CSV!B578</f>
        <v>0</v>
      </c>
      <c r="B578" s="13" t="e">
        <f>INDEX(Input!$D$2:$AC$500,
       MATCH(CPU_Formula!A578, Input!$J$2:$J$500, 0),
       MATCH("CPU model", Input!$D$1:$AC$1, 0))</f>
        <v>#N/A</v>
      </c>
      <c r="C578" s="13" t="str">
        <f t="shared" si="75"/>
        <v/>
      </c>
      <c r="D578" s="13" t="str">
        <f t="shared" si="76"/>
        <v/>
      </c>
      <c r="E578" s="13" t="str">
        <f t="shared" si="77"/>
        <v/>
      </c>
      <c r="F578" s="13" t="str">
        <f t="shared" si="78"/>
        <v/>
      </c>
      <c r="G578" s="13" t="str">
        <f t="shared" si="79"/>
        <v/>
      </c>
      <c r="H578" s="13" t="str">
        <f t="shared" si="80"/>
        <v/>
      </c>
      <c r="I578" t="str">
        <f t="shared" si="81"/>
        <v/>
      </c>
    </row>
    <row r="579" spans="1:9">
      <c r="A579">
        <f>CSV!B579</f>
        <v>0</v>
      </c>
      <c r="B579" s="13" t="e">
        <f>INDEX(Input!$D$2:$AC$500,
       MATCH(CPU_Formula!A579, Input!$J$2:$J$500, 0),
       MATCH("CPU model", Input!$D$1:$AC$1, 0))</f>
        <v>#N/A</v>
      </c>
      <c r="C579" s="13" t="str">
        <f t="shared" si="75"/>
        <v/>
      </c>
      <c r="D579" s="13" t="str">
        <f t="shared" si="76"/>
        <v/>
      </c>
      <c r="E579" s="13" t="str">
        <f t="shared" si="77"/>
        <v/>
      </c>
      <c r="F579" s="13" t="str">
        <f t="shared" si="78"/>
        <v/>
      </c>
      <c r="G579" s="13" t="str">
        <f t="shared" si="79"/>
        <v/>
      </c>
      <c r="H579" s="13" t="str">
        <f t="shared" si="80"/>
        <v/>
      </c>
      <c r="I579" t="str">
        <f t="shared" si="81"/>
        <v/>
      </c>
    </row>
    <row r="580" spans="1:9">
      <c r="A580">
        <f>CSV!B580</f>
        <v>0</v>
      </c>
      <c r="B580" s="13" t="e">
        <f>INDEX(Input!$D$2:$AC$500,
       MATCH(CPU_Formula!A580, Input!$J$2:$J$500, 0),
       MATCH("CPU model", Input!$D$1:$AC$1, 0))</f>
        <v>#N/A</v>
      </c>
      <c r="C580" s="13" t="str">
        <f t="shared" si="75"/>
        <v/>
      </c>
      <c r="D580" s="13" t="str">
        <f t="shared" si="76"/>
        <v/>
      </c>
      <c r="E580" s="13" t="str">
        <f t="shared" si="77"/>
        <v/>
      </c>
      <c r="F580" s="13" t="str">
        <f t="shared" si="78"/>
        <v/>
      </c>
      <c r="G580" s="13" t="str">
        <f t="shared" si="79"/>
        <v/>
      </c>
      <c r="H580" s="13" t="str">
        <f t="shared" si="80"/>
        <v/>
      </c>
      <c r="I580" t="str">
        <f t="shared" si="81"/>
        <v/>
      </c>
    </row>
    <row r="581" spans="1:9">
      <c r="A581">
        <f>CSV!B581</f>
        <v>0</v>
      </c>
      <c r="B581" s="13" t="e">
        <f>INDEX(Input!$D$2:$AC$500,
       MATCH(CPU_Formula!A581, Input!$J$2:$J$500, 0),
       MATCH("CPU model", Input!$D$1:$AC$1, 0))</f>
        <v>#N/A</v>
      </c>
      <c r="C581" s="13" t="str">
        <f t="shared" si="75"/>
        <v/>
      </c>
      <c r="D581" s="13" t="str">
        <f t="shared" si="76"/>
        <v/>
      </c>
      <c r="E581" s="13" t="str">
        <f t="shared" si="77"/>
        <v/>
      </c>
      <c r="F581" s="13" t="str">
        <f t="shared" si="78"/>
        <v/>
      </c>
      <c r="G581" s="13" t="str">
        <f t="shared" si="79"/>
        <v/>
      </c>
      <c r="H581" s="13" t="str">
        <f t="shared" si="80"/>
        <v/>
      </c>
      <c r="I581" t="str">
        <f t="shared" si="81"/>
        <v/>
      </c>
    </row>
    <row r="582" spans="1:9">
      <c r="A582">
        <f>CSV!B582</f>
        <v>0</v>
      </c>
      <c r="B582" s="13" t="e">
        <f>INDEX(Input!$D$2:$AC$500,
       MATCH(CPU_Formula!A582, Input!$J$2:$J$500, 0),
       MATCH("CPU model", Input!$D$1:$AC$1, 0))</f>
        <v>#N/A</v>
      </c>
      <c r="C582" s="13" t="str">
        <f t="shared" si="75"/>
        <v/>
      </c>
      <c r="D582" s="13" t="str">
        <f t="shared" si="76"/>
        <v/>
      </c>
      <c r="E582" s="13" t="str">
        <f t="shared" si="77"/>
        <v/>
      </c>
      <c r="F582" s="13" t="str">
        <f t="shared" si="78"/>
        <v/>
      </c>
      <c r="G582" s="13" t="str">
        <f t="shared" si="79"/>
        <v/>
      </c>
      <c r="H582" s="13" t="str">
        <f t="shared" si="80"/>
        <v/>
      </c>
      <c r="I582" t="str">
        <f t="shared" si="81"/>
        <v/>
      </c>
    </row>
    <row r="583" spans="1:9">
      <c r="A583">
        <f>CSV!B583</f>
        <v>0</v>
      </c>
      <c r="B583" s="13" t="e">
        <f>INDEX(Input!$D$2:$AC$500,
       MATCH(CPU_Formula!A583, Input!$J$2:$J$500, 0),
       MATCH("CPU model", Input!$D$1:$AC$1, 0))</f>
        <v>#N/A</v>
      </c>
      <c r="C583" s="13" t="str">
        <f t="shared" si="75"/>
        <v/>
      </c>
      <c r="D583" s="13" t="str">
        <f t="shared" si="76"/>
        <v/>
      </c>
      <c r="E583" s="13" t="str">
        <f t="shared" si="77"/>
        <v/>
      </c>
      <c r="F583" s="13" t="str">
        <f t="shared" si="78"/>
        <v/>
      </c>
      <c r="G583" s="13" t="str">
        <f t="shared" si="79"/>
        <v/>
      </c>
      <c r="H583" s="13" t="str">
        <f t="shared" si="80"/>
        <v/>
      </c>
      <c r="I583" t="str">
        <f t="shared" si="81"/>
        <v/>
      </c>
    </row>
    <row r="584" spans="1:9">
      <c r="A584">
        <f>CSV!B584</f>
        <v>0</v>
      </c>
      <c r="B584" s="13" t="e">
        <f>INDEX(Input!$D$2:$AC$500,
       MATCH(CPU_Formula!A584, Input!$J$2:$J$500, 0),
       MATCH("CPU model", Input!$D$1:$AC$1, 0))</f>
        <v>#N/A</v>
      </c>
      <c r="C584" s="13" t="str">
        <f t="shared" si="75"/>
        <v/>
      </c>
      <c r="D584" s="13" t="str">
        <f t="shared" si="76"/>
        <v/>
      </c>
      <c r="E584" s="13" t="str">
        <f t="shared" si="77"/>
        <v/>
      </c>
      <c r="F584" s="13" t="str">
        <f t="shared" si="78"/>
        <v/>
      </c>
      <c r="G584" s="13" t="str">
        <f t="shared" si="79"/>
        <v/>
      </c>
      <c r="H584" s="13" t="str">
        <f t="shared" si="80"/>
        <v/>
      </c>
      <c r="I584" t="str">
        <f t="shared" si="81"/>
        <v/>
      </c>
    </row>
    <row r="585" spans="1:9">
      <c r="A585">
        <f>CSV!B585</f>
        <v>0</v>
      </c>
      <c r="B585" s="13" t="e">
        <f>INDEX(Input!$D$2:$AC$500,
       MATCH(CPU_Formula!A585, Input!$J$2:$J$500, 0),
       MATCH("CPU model", Input!$D$1:$AC$1, 0))</f>
        <v>#N/A</v>
      </c>
      <c r="C585" s="13" t="str">
        <f t="shared" si="75"/>
        <v/>
      </c>
      <c r="D585" s="13" t="str">
        <f t="shared" si="76"/>
        <v/>
      </c>
      <c r="E585" s="13" t="str">
        <f t="shared" si="77"/>
        <v/>
      </c>
      <c r="F585" s="13" t="str">
        <f t="shared" si="78"/>
        <v/>
      </c>
      <c r="G585" s="13" t="str">
        <f t="shared" si="79"/>
        <v/>
      </c>
      <c r="H585" s="13" t="str">
        <f t="shared" si="80"/>
        <v/>
      </c>
      <c r="I585" t="str">
        <f t="shared" si="81"/>
        <v/>
      </c>
    </row>
    <row r="586" spans="1:9">
      <c r="A586">
        <f>CSV!B586</f>
        <v>0</v>
      </c>
      <c r="B586" s="13" t="e">
        <f>INDEX(Input!$D$2:$AC$500,
       MATCH(CPU_Formula!A586, Input!$J$2:$J$500, 0),
       MATCH("CPU model", Input!$D$1:$AC$1, 0))</f>
        <v>#N/A</v>
      </c>
      <c r="C586" s="13" t="str">
        <f t="shared" si="75"/>
        <v/>
      </c>
      <c r="D586" s="13" t="str">
        <f t="shared" si="76"/>
        <v/>
      </c>
      <c r="E586" s="13" t="str">
        <f t="shared" si="77"/>
        <v/>
      </c>
      <c r="F586" s="13" t="str">
        <f t="shared" si="78"/>
        <v/>
      </c>
      <c r="G586" s="13" t="str">
        <f t="shared" si="79"/>
        <v/>
      </c>
      <c r="H586" s="13" t="str">
        <f t="shared" si="80"/>
        <v/>
      </c>
      <c r="I586" t="str">
        <f t="shared" si="81"/>
        <v/>
      </c>
    </row>
    <row r="587" spans="1:9">
      <c r="A587">
        <f>CSV!B587</f>
        <v>0</v>
      </c>
      <c r="B587" s="13" t="e">
        <f>INDEX(Input!$D$2:$AC$500,
       MATCH(CPU_Formula!A587, Input!$J$2:$J$500, 0),
       MATCH("CPU model", Input!$D$1:$AC$1, 0))</f>
        <v>#N/A</v>
      </c>
      <c r="C587" s="13" t="str">
        <f t="shared" si="75"/>
        <v/>
      </c>
      <c r="D587" s="13" t="str">
        <f t="shared" si="76"/>
        <v/>
      </c>
      <c r="E587" s="13" t="str">
        <f t="shared" si="77"/>
        <v/>
      </c>
      <c r="F587" s="13" t="str">
        <f t="shared" si="78"/>
        <v/>
      </c>
      <c r="G587" s="13" t="str">
        <f t="shared" si="79"/>
        <v/>
      </c>
      <c r="H587" s="13" t="str">
        <f t="shared" si="80"/>
        <v/>
      </c>
      <c r="I587" t="str">
        <f t="shared" si="81"/>
        <v/>
      </c>
    </row>
    <row r="588" spans="1:9">
      <c r="A588">
        <f>CSV!B588</f>
        <v>0</v>
      </c>
      <c r="B588" s="13" t="e">
        <f>INDEX(Input!$D$2:$AC$500,
       MATCH(CPU_Formula!A588, Input!$J$2:$J$500, 0),
       MATCH("CPU model", Input!$D$1:$AC$1, 0))</f>
        <v>#N/A</v>
      </c>
      <c r="C588" s="13" t="str">
        <f t="shared" si="75"/>
        <v/>
      </c>
      <c r="D588" s="13" t="str">
        <f t="shared" si="76"/>
        <v/>
      </c>
      <c r="E588" s="13" t="str">
        <f t="shared" si="77"/>
        <v/>
      </c>
      <c r="F588" s="13" t="str">
        <f t="shared" si="78"/>
        <v/>
      </c>
      <c r="G588" s="13" t="str">
        <f t="shared" si="79"/>
        <v/>
      </c>
      <c r="H588" s="13" t="str">
        <f t="shared" si="80"/>
        <v/>
      </c>
      <c r="I588" t="str">
        <f t="shared" si="81"/>
        <v/>
      </c>
    </row>
    <row r="589" spans="1:9">
      <c r="A589">
        <f>CSV!B589</f>
        <v>0</v>
      </c>
      <c r="B589" s="13" t="e">
        <f>INDEX(Input!$D$2:$AC$500,
       MATCH(CPU_Formula!A589, Input!$J$2:$J$500, 0),
       MATCH("CPU model", Input!$D$1:$AC$1, 0))</f>
        <v>#N/A</v>
      </c>
      <c r="C589" s="13" t="str">
        <f t="shared" si="75"/>
        <v/>
      </c>
      <c r="D589" s="13" t="str">
        <f t="shared" si="76"/>
        <v/>
      </c>
      <c r="E589" s="13" t="str">
        <f t="shared" si="77"/>
        <v/>
      </c>
      <c r="F589" s="13" t="str">
        <f t="shared" si="78"/>
        <v/>
      </c>
      <c r="G589" s="13" t="str">
        <f t="shared" si="79"/>
        <v/>
      </c>
      <c r="H589" s="13" t="str">
        <f t="shared" si="80"/>
        <v/>
      </c>
      <c r="I589" t="str">
        <f t="shared" si="81"/>
        <v/>
      </c>
    </row>
    <row r="590" spans="1:9">
      <c r="A590">
        <f>CSV!B590</f>
        <v>0</v>
      </c>
      <c r="B590" s="13" t="e">
        <f>INDEX(Input!$D$2:$AC$500,
       MATCH(CPU_Formula!A590, Input!$J$2:$J$500, 0),
       MATCH("CPU model", Input!$D$1:$AC$1, 0))</f>
        <v>#N/A</v>
      </c>
      <c r="C590" s="13" t="str">
        <f t="shared" si="75"/>
        <v/>
      </c>
      <c r="D590" s="13" t="str">
        <f t="shared" si="76"/>
        <v/>
      </c>
      <c r="E590" s="13" t="str">
        <f t="shared" si="77"/>
        <v/>
      </c>
      <c r="F590" s="13" t="str">
        <f t="shared" si="78"/>
        <v/>
      </c>
      <c r="G590" s="13" t="str">
        <f t="shared" si="79"/>
        <v/>
      </c>
      <c r="H590" s="13" t="str">
        <f t="shared" si="80"/>
        <v/>
      </c>
      <c r="I590" t="str">
        <f t="shared" si="81"/>
        <v/>
      </c>
    </row>
    <row r="591" spans="1:9">
      <c r="A591">
        <f>CSV!B591</f>
        <v>0</v>
      </c>
      <c r="B591" s="13" t="e">
        <f>INDEX(Input!$D$2:$AC$500,
       MATCH(CPU_Formula!A591, Input!$J$2:$J$500, 0),
       MATCH("CPU model", Input!$D$1:$AC$1, 0))</f>
        <v>#N/A</v>
      </c>
      <c r="C591" s="13" t="str">
        <f t="shared" si="75"/>
        <v/>
      </c>
      <c r="D591" s="13" t="str">
        <f t="shared" si="76"/>
        <v/>
      </c>
      <c r="E591" s="13" t="str">
        <f t="shared" si="77"/>
        <v/>
      </c>
      <c r="F591" s="13" t="str">
        <f t="shared" si="78"/>
        <v/>
      </c>
      <c r="G591" s="13" t="str">
        <f t="shared" si="79"/>
        <v/>
      </c>
      <c r="H591" s="13" t="str">
        <f t="shared" si="80"/>
        <v/>
      </c>
      <c r="I591" t="str">
        <f t="shared" si="81"/>
        <v/>
      </c>
    </row>
    <row r="592" spans="1:9">
      <c r="A592">
        <f>CSV!B592</f>
        <v>0</v>
      </c>
      <c r="B592" s="13" t="e">
        <f>INDEX(Input!$D$2:$AC$500,
       MATCH(CPU_Formula!A592, Input!$J$2:$J$500, 0),
       MATCH("CPU model", Input!$D$1:$AC$1, 0))</f>
        <v>#N/A</v>
      </c>
      <c r="C592" s="13" t="str">
        <f t="shared" si="75"/>
        <v/>
      </c>
      <c r="D592" s="13" t="str">
        <f t="shared" si="76"/>
        <v/>
      </c>
      <c r="E592" s="13" t="str">
        <f t="shared" si="77"/>
        <v/>
      </c>
      <c r="F592" s="13" t="str">
        <f t="shared" si="78"/>
        <v/>
      </c>
      <c r="G592" s="13" t="str">
        <f t="shared" si="79"/>
        <v/>
      </c>
      <c r="H592" s="13" t="str">
        <f t="shared" si="80"/>
        <v/>
      </c>
      <c r="I592" t="str">
        <f t="shared" si="81"/>
        <v/>
      </c>
    </row>
    <row r="593" spans="1:9">
      <c r="A593">
        <f>CSV!B593</f>
        <v>0</v>
      </c>
      <c r="B593" s="13" t="e">
        <f>INDEX(Input!$D$2:$AC$500,
       MATCH(CPU_Formula!A593, Input!$J$2:$J$500, 0),
       MATCH("CPU model", Input!$D$1:$AC$1, 0))</f>
        <v>#N/A</v>
      </c>
      <c r="C593" s="13" t="str">
        <f t="shared" si="75"/>
        <v/>
      </c>
      <c r="D593" s="13" t="str">
        <f t="shared" si="76"/>
        <v/>
      </c>
      <c r="E593" s="13" t="str">
        <f t="shared" si="77"/>
        <v/>
      </c>
      <c r="F593" s="13" t="str">
        <f t="shared" si="78"/>
        <v/>
      </c>
      <c r="G593" s="13" t="str">
        <f t="shared" si="79"/>
        <v/>
      </c>
      <c r="H593" s="13" t="str">
        <f t="shared" si="80"/>
        <v/>
      </c>
      <c r="I593" t="str">
        <f t="shared" si="81"/>
        <v/>
      </c>
    </row>
    <row r="594" spans="1:9">
      <c r="A594">
        <f>CSV!B594</f>
        <v>0</v>
      </c>
      <c r="B594" s="13" t="e">
        <f>INDEX(Input!$D$2:$AC$500,
       MATCH(CPU_Formula!A594, Input!$J$2:$J$500, 0),
       MATCH("CPU model", Input!$D$1:$AC$1, 0))</f>
        <v>#N/A</v>
      </c>
      <c r="C594" s="13" t="str">
        <f t="shared" si="75"/>
        <v/>
      </c>
      <c r="D594" s="13" t="str">
        <f t="shared" si="76"/>
        <v/>
      </c>
      <c r="E594" s="13" t="str">
        <f t="shared" si="77"/>
        <v/>
      </c>
      <c r="F594" s="13" t="str">
        <f t="shared" si="78"/>
        <v/>
      </c>
      <c r="G594" s="13" t="str">
        <f t="shared" si="79"/>
        <v/>
      </c>
      <c r="H594" s="13" t="str">
        <f t="shared" si="80"/>
        <v/>
      </c>
      <c r="I594" t="str">
        <f t="shared" si="81"/>
        <v/>
      </c>
    </row>
    <row r="595" spans="1:9">
      <c r="A595">
        <f>CSV!B595</f>
        <v>0</v>
      </c>
      <c r="B595" s="13" t="e">
        <f>INDEX(Input!$D$2:$AC$500,
       MATCH(CPU_Formula!A595, Input!$J$2:$J$500, 0),
       MATCH("CPU model", Input!$D$1:$AC$1, 0))</f>
        <v>#N/A</v>
      </c>
      <c r="C595" s="13" t="str">
        <f t="shared" si="75"/>
        <v/>
      </c>
      <c r="D595" s="13" t="str">
        <f t="shared" si="76"/>
        <v/>
      </c>
      <c r="E595" s="13" t="str">
        <f t="shared" si="77"/>
        <v/>
      </c>
      <c r="F595" s="13" t="str">
        <f t="shared" si="78"/>
        <v/>
      </c>
      <c r="G595" s="13" t="str">
        <f t="shared" si="79"/>
        <v/>
      </c>
      <c r="H595" s="13" t="str">
        <f t="shared" si="80"/>
        <v/>
      </c>
      <c r="I595" t="str">
        <f t="shared" si="81"/>
        <v/>
      </c>
    </row>
    <row r="596" spans="1:9">
      <c r="A596">
        <f>CSV!B596</f>
        <v>0</v>
      </c>
      <c r="B596" s="13" t="e">
        <f>INDEX(Input!$D$2:$AC$500,
       MATCH(CPU_Formula!A596, Input!$J$2:$J$500, 0),
       MATCH("CPU model", Input!$D$1:$AC$1, 0))</f>
        <v>#N/A</v>
      </c>
      <c r="C596" s="13" t="str">
        <f t="shared" si="75"/>
        <v/>
      </c>
      <c r="D596" s="13" t="str">
        <f t="shared" si="76"/>
        <v/>
      </c>
      <c r="E596" s="13" t="str">
        <f t="shared" si="77"/>
        <v/>
      </c>
      <c r="F596" s="13" t="str">
        <f t="shared" si="78"/>
        <v/>
      </c>
      <c r="G596" s="13" t="str">
        <f t="shared" si="79"/>
        <v/>
      </c>
      <c r="H596" s="13" t="str">
        <f t="shared" si="80"/>
        <v/>
      </c>
      <c r="I596" t="str">
        <f t="shared" si="81"/>
        <v/>
      </c>
    </row>
    <row r="597" spans="1:9">
      <c r="A597">
        <f>CSV!B597</f>
        <v>0</v>
      </c>
      <c r="B597" s="13" t="e">
        <f>INDEX(Input!$D$2:$AC$500,
       MATCH(CPU_Formula!A597, Input!$J$2:$J$500, 0),
       MATCH("CPU model", Input!$D$1:$AC$1, 0))</f>
        <v>#N/A</v>
      </c>
      <c r="C597" s="13" t="str">
        <f t="shared" si="75"/>
        <v/>
      </c>
      <c r="D597" s="13" t="str">
        <f t="shared" si="76"/>
        <v/>
      </c>
      <c r="E597" s="13" t="str">
        <f t="shared" si="77"/>
        <v/>
      </c>
      <c r="F597" s="13" t="str">
        <f t="shared" si="78"/>
        <v/>
      </c>
      <c r="G597" s="13" t="str">
        <f t="shared" si="79"/>
        <v/>
      </c>
      <c r="H597" s="13" t="str">
        <f t="shared" si="80"/>
        <v/>
      </c>
      <c r="I597" t="str">
        <f t="shared" si="81"/>
        <v/>
      </c>
    </row>
    <row r="598" spans="1:9">
      <c r="A598">
        <f>CSV!B598</f>
        <v>0</v>
      </c>
      <c r="B598" s="13" t="e">
        <f>INDEX(Input!$D$2:$AC$500,
       MATCH(CPU_Formula!A598, Input!$J$2:$J$500, 0),
       MATCH("CPU model", Input!$D$1:$AC$1, 0))</f>
        <v>#N/A</v>
      </c>
      <c r="C598" s="13" t="str">
        <f t="shared" si="75"/>
        <v/>
      </c>
      <c r="D598" s="13" t="str">
        <f t="shared" si="76"/>
        <v/>
      </c>
      <c r="E598" s="13" t="str">
        <f t="shared" si="77"/>
        <v/>
      </c>
      <c r="F598" s="13" t="str">
        <f t="shared" si="78"/>
        <v/>
      </c>
      <c r="G598" s="13" t="str">
        <f t="shared" si="79"/>
        <v/>
      </c>
      <c r="H598" s="13" t="str">
        <f t="shared" si="80"/>
        <v/>
      </c>
      <c r="I598" t="str">
        <f t="shared" si="81"/>
        <v/>
      </c>
    </row>
    <row r="599" spans="1:9">
      <c r="A599">
        <f>CSV!B599</f>
        <v>0</v>
      </c>
      <c r="B599" s="13" t="e">
        <f>INDEX(Input!$D$2:$AC$500,
       MATCH(CPU_Formula!A599, Input!$J$2:$J$500, 0),
       MATCH("CPU model", Input!$D$1:$AC$1, 0))</f>
        <v>#N/A</v>
      </c>
      <c r="C599" s="13" t="str">
        <f t="shared" si="75"/>
        <v/>
      </c>
      <c r="D599" s="13" t="str">
        <f t="shared" si="76"/>
        <v/>
      </c>
      <c r="E599" s="13" t="str">
        <f t="shared" si="77"/>
        <v/>
      </c>
      <c r="F599" s="13" t="str">
        <f t="shared" si="78"/>
        <v/>
      </c>
      <c r="G599" s="13" t="str">
        <f t="shared" si="79"/>
        <v/>
      </c>
      <c r="H599" s="13" t="str">
        <f t="shared" si="80"/>
        <v/>
      </c>
      <c r="I599" t="str">
        <f t="shared" si="81"/>
        <v/>
      </c>
    </row>
    <row r="600" spans="1:9">
      <c r="A600">
        <f>CSV!B600</f>
        <v>0</v>
      </c>
      <c r="B600" s="13" t="e">
        <f>INDEX(Input!$D$2:$AC$500,
       MATCH(CPU_Formula!A600, Input!$J$2:$J$500, 0),
       MATCH("CPU model", Input!$D$1:$AC$1, 0))</f>
        <v>#N/A</v>
      </c>
      <c r="C600" s="13" t="str">
        <f t="shared" si="75"/>
        <v/>
      </c>
      <c r="D600" s="13" t="str">
        <f t="shared" si="76"/>
        <v/>
      </c>
      <c r="E600" s="13" t="str">
        <f t="shared" si="77"/>
        <v/>
      </c>
      <c r="F600" s="13" t="str">
        <f t="shared" si="78"/>
        <v/>
      </c>
      <c r="G600" s="13" t="str">
        <f t="shared" si="79"/>
        <v/>
      </c>
      <c r="H600" s="13" t="str">
        <f t="shared" si="80"/>
        <v/>
      </c>
      <c r="I600" t="str">
        <f t="shared" si="81"/>
        <v/>
      </c>
    </row>
    <row r="601" spans="1:9">
      <c r="A601">
        <f>CSV!B601</f>
        <v>0</v>
      </c>
      <c r="B601" s="13" t="e">
        <f>INDEX(Input!$D$2:$AC$500,
       MATCH(CPU_Formula!A601, Input!$J$2:$J$500, 0),
       MATCH("CPU model", Input!$D$1:$AC$1, 0))</f>
        <v>#N/A</v>
      </c>
      <c r="C601" s="13" t="str">
        <f t="shared" si="75"/>
        <v/>
      </c>
      <c r="D601" s="13" t="str">
        <f t="shared" si="76"/>
        <v/>
      </c>
      <c r="E601" s="13" t="str">
        <f t="shared" si="77"/>
        <v/>
      </c>
      <c r="F601" s="13" t="str">
        <f t="shared" si="78"/>
        <v/>
      </c>
      <c r="G601" s="13" t="str">
        <f t="shared" si="79"/>
        <v/>
      </c>
      <c r="H601" s="13" t="str">
        <f t="shared" si="80"/>
        <v/>
      </c>
      <c r="I601" t="str">
        <f t="shared" si="81"/>
        <v/>
      </c>
    </row>
    <row r="602" spans="1:9">
      <c r="A602">
        <f>CSV!B602</f>
        <v>0</v>
      </c>
      <c r="B602" s="13" t="e">
        <f>INDEX(Input!$D$2:$AC$500,
       MATCH(CPU_Formula!A602, Input!$J$2:$J$500, 0),
       MATCH("CPU model", Input!$D$1:$AC$1, 0))</f>
        <v>#N/A</v>
      </c>
      <c r="C602" s="13" t="str">
        <f t="shared" si="75"/>
        <v/>
      </c>
      <c r="D602" s="13" t="str">
        <f t="shared" si="76"/>
        <v/>
      </c>
      <c r="E602" s="13" t="str">
        <f t="shared" si="77"/>
        <v/>
      </c>
      <c r="F602" s="13" t="str">
        <f t="shared" si="78"/>
        <v/>
      </c>
      <c r="G602" s="13" t="str">
        <f t="shared" si="79"/>
        <v/>
      </c>
      <c r="H602" s="13" t="str">
        <f t="shared" si="80"/>
        <v/>
      </c>
      <c r="I602" t="str">
        <f t="shared" si="81"/>
        <v/>
      </c>
    </row>
    <row r="603" spans="1:9">
      <c r="A603">
        <f>CSV!B603</f>
        <v>0</v>
      </c>
      <c r="B603" s="13" t="e">
        <f>INDEX(Input!$D$2:$AC$500,
       MATCH(CPU_Formula!A603, Input!$J$2:$J$500, 0),
       MATCH("CPU model", Input!$D$1:$AC$1, 0))</f>
        <v>#N/A</v>
      </c>
      <c r="C603" s="13" t="str">
        <f t="shared" si="75"/>
        <v/>
      </c>
      <c r="D603" s="13" t="str">
        <f t="shared" si="76"/>
        <v/>
      </c>
      <c r="E603" s="13" t="str">
        <f t="shared" si="77"/>
        <v/>
      </c>
      <c r="F603" s="13" t="str">
        <f t="shared" si="78"/>
        <v/>
      </c>
      <c r="G603" s="13" t="str">
        <f t="shared" si="79"/>
        <v/>
      </c>
      <c r="H603" s="13" t="str">
        <f t="shared" si="80"/>
        <v/>
      </c>
      <c r="I603" t="str">
        <f t="shared" si="81"/>
        <v/>
      </c>
    </row>
    <row r="604" spans="1:9">
      <c r="A604">
        <f>CSV!B604</f>
        <v>0</v>
      </c>
      <c r="B604" s="13" t="e">
        <f>INDEX(Input!$D$2:$AC$500,
       MATCH(CPU_Formula!A604, Input!$J$2:$J$500, 0),
       MATCH("CPU model", Input!$D$1:$AC$1, 0))</f>
        <v>#N/A</v>
      </c>
      <c r="C604" s="13" t="str">
        <f t="shared" si="75"/>
        <v/>
      </c>
      <c r="D604" s="13" t="str">
        <f t="shared" si="76"/>
        <v/>
      </c>
      <c r="E604" s="13" t="str">
        <f t="shared" si="77"/>
        <v/>
      </c>
      <c r="F604" s="13" t="str">
        <f t="shared" si="78"/>
        <v/>
      </c>
      <c r="G604" s="13" t="str">
        <f t="shared" si="79"/>
        <v/>
      </c>
      <c r="H604" s="13" t="str">
        <f t="shared" si="80"/>
        <v/>
      </c>
      <c r="I604" t="str">
        <f t="shared" si="81"/>
        <v/>
      </c>
    </row>
    <row r="605" spans="1:9">
      <c r="A605">
        <f>CSV!B605</f>
        <v>0</v>
      </c>
      <c r="B605" s="13" t="e">
        <f>INDEX(Input!$D$2:$AC$500,
       MATCH(CPU_Formula!A605, Input!$J$2:$J$500, 0),
       MATCH("CPU model", Input!$D$1:$AC$1, 0))</f>
        <v>#N/A</v>
      </c>
      <c r="C605" s="13" t="str">
        <f t="shared" si="75"/>
        <v/>
      </c>
      <c r="D605" s="13" t="str">
        <f t="shared" si="76"/>
        <v/>
      </c>
      <c r="E605" s="13" t="str">
        <f t="shared" si="77"/>
        <v/>
      </c>
      <c r="F605" s="13" t="str">
        <f t="shared" si="78"/>
        <v/>
      </c>
      <c r="G605" s="13" t="str">
        <f t="shared" si="79"/>
        <v/>
      </c>
      <c r="H605" s="13" t="str">
        <f t="shared" si="80"/>
        <v/>
      </c>
      <c r="I605" t="str">
        <f t="shared" si="81"/>
        <v/>
      </c>
    </row>
    <row r="606" spans="1:9">
      <c r="A606">
        <f>CSV!B606</f>
        <v>0</v>
      </c>
      <c r="B606" s="13" t="e">
        <f>INDEX(Input!$D$2:$AC$500,
       MATCH(CPU_Formula!A606, Input!$J$2:$J$500, 0),
       MATCH("CPU model", Input!$D$1:$AC$1, 0))</f>
        <v>#N/A</v>
      </c>
      <c r="C606" s="13" t="str">
        <f t="shared" si="75"/>
        <v/>
      </c>
      <c r="D606" s="13" t="str">
        <f t="shared" si="76"/>
        <v/>
      </c>
      <c r="E606" s="13" t="str">
        <f t="shared" si="77"/>
        <v/>
      </c>
      <c r="F606" s="13" t="str">
        <f t="shared" si="78"/>
        <v/>
      </c>
      <c r="G606" s="13" t="str">
        <f t="shared" si="79"/>
        <v/>
      </c>
      <c r="H606" s="13" t="str">
        <f t="shared" si="80"/>
        <v/>
      </c>
      <c r="I606" t="str">
        <f t="shared" si="81"/>
        <v/>
      </c>
    </row>
    <row r="607" spans="1:9">
      <c r="A607">
        <f>CSV!B607</f>
        <v>0</v>
      </c>
      <c r="B607" s="13" t="e">
        <f>INDEX(Input!$D$2:$AC$500,
       MATCH(CPU_Formula!A607, Input!$J$2:$J$500, 0),
       MATCH("CPU model", Input!$D$1:$AC$1, 0))</f>
        <v>#N/A</v>
      </c>
      <c r="C607" s="13" t="str">
        <f t="shared" si="75"/>
        <v/>
      </c>
      <c r="D607" s="13" t="str">
        <f t="shared" si="76"/>
        <v/>
      </c>
      <c r="E607" s="13" t="str">
        <f t="shared" si="77"/>
        <v/>
      </c>
      <c r="F607" s="13" t="str">
        <f t="shared" si="78"/>
        <v/>
      </c>
      <c r="G607" s="13" t="str">
        <f t="shared" si="79"/>
        <v/>
      </c>
      <c r="H607" s="13" t="str">
        <f t="shared" si="80"/>
        <v/>
      </c>
      <c r="I607" t="str">
        <f t="shared" si="81"/>
        <v/>
      </c>
    </row>
    <row r="608" spans="1:9">
      <c r="A608">
        <f>CSV!B608</f>
        <v>0</v>
      </c>
      <c r="B608" s="13" t="e">
        <f>INDEX(Input!$D$2:$AC$500,
       MATCH(CPU_Formula!A608, Input!$J$2:$J$500, 0),
       MATCH("CPU model", Input!$D$1:$AC$1, 0))</f>
        <v>#N/A</v>
      </c>
      <c r="C608" s="13" t="str">
        <f t="shared" si="75"/>
        <v/>
      </c>
      <c r="D608" s="13" t="str">
        <f t="shared" si="76"/>
        <v/>
      </c>
      <c r="E608" s="13" t="str">
        <f t="shared" si="77"/>
        <v/>
      </c>
      <c r="F608" s="13" t="str">
        <f t="shared" si="78"/>
        <v/>
      </c>
      <c r="G608" s="13" t="str">
        <f t="shared" si="79"/>
        <v/>
      </c>
      <c r="H608" s="13" t="str">
        <f t="shared" si="80"/>
        <v/>
      </c>
      <c r="I608" t="str">
        <f t="shared" si="81"/>
        <v/>
      </c>
    </row>
    <row r="609" spans="1:9">
      <c r="A609">
        <f>CSV!B609</f>
        <v>0</v>
      </c>
      <c r="B609" s="13" t="e">
        <f>INDEX(Input!$D$2:$AC$500,
       MATCH(CPU_Formula!A609, Input!$J$2:$J$500, 0),
       MATCH("CPU model", Input!$D$1:$AC$1, 0))</f>
        <v>#N/A</v>
      </c>
      <c r="C609" s="13" t="str">
        <f t="shared" si="75"/>
        <v/>
      </c>
      <c r="D609" s="13" t="str">
        <f t="shared" si="76"/>
        <v/>
      </c>
      <c r="E609" s="13" t="str">
        <f t="shared" si="77"/>
        <v/>
      </c>
      <c r="F609" s="13" t="str">
        <f t="shared" si="78"/>
        <v/>
      </c>
      <c r="G609" s="13" t="str">
        <f t="shared" si="79"/>
        <v/>
      </c>
      <c r="H609" s="13" t="str">
        <f t="shared" si="80"/>
        <v/>
      </c>
      <c r="I609" t="str">
        <f t="shared" si="81"/>
        <v/>
      </c>
    </row>
    <row r="610" spans="1:9">
      <c r="A610">
        <f>CSV!B610</f>
        <v>0</v>
      </c>
      <c r="B610" s="13" t="e">
        <f>INDEX(Input!$D$2:$AC$500,
       MATCH(CPU_Formula!A610, Input!$J$2:$J$500, 0),
       MATCH("CPU model", Input!$D$1:$AC$1, 0))</f>
        <v>#N/A</v>
      </c>
      <c r="C610" s="13" t="str">
        <f t="shared" si="75"/>
        <v/>
      </c>
      <c r="D610" s="13" t="str">
        <f t="shared" si="76"/>
        <v/>
      </c>
      <c r="E610" s="13" t="str">
        <f t="shared" si="77"/>
        <v/>
      </c>
      <c r="F610" s="13" t="str">
        <f t="shared" si="78"/>
        <v/>
      </c>
      <c r="G610" s="13" t="str">
        <f t="shared" si="79"/>
        <v/>
      </c>
      <c r="H610" s="13" t="str">
        <f t="shared" si="80"/>
        <v/>
      </c>
      <c r="I610" t="str">
        <f t="shared" si="81"/>
        <v/>
      </c>
    </row>
    <row r="611" spans="1:9">
      <c r="A611">
        <f>CSV!B611</f>
        <v>0</v>
      </c>
      <c r="B611" s="13" t="e">
        <f>INDEX(Input!$D$2:$AC$500,
       MATCH(CPU_Formula!A611, Input!$J$2:$J$500, 0),
       MATCH("CPU model", Input!$D$1:$AC$1, 0))</f>
        <v>#N/A</v>
      </c>
      <c r="C611" s="13" t="str">
        <f t="shared" si="75"/>
        <v/>
      </c>
      <c r="D611" s="13" t="str">
        <f t="shared" si="76"/>
        <v/>
      </c>
      <c r="E611" s="13" t="str">
        <f t="shared" si="77"/>
        <v/>
      </c>
      <c r="F611" s="13" t="str">
        <f t="shared" si="78"/>
        <v/>
      </c>
      <c r="G611" s="13" t="str">
        <f t="shared" si="79"/>
        <v/>
      </c>
      <c r="H611" s="13" t="str">
        <f t="shared" si="80"/>
        <v/>
      </c>
      <c r="I611" t="str">
        <f t="shared" si="81"/>
        <v/>
      </c>
    </row>
    <row r="612" spans="1:9">
      <c r="A612">
        <f>CSV!B612</f>
        <v>0</v>
      </c>
      <c r="B612" s="13" t="e">
        <f>INDEX(Input!$D$2:$AC$500,
       MATCH(CPU_Formula!A612, Input!$J$2:$J$500, 0),
       MATCH("CPU model", Input!$D$1:$AC$1, 0))</f>
        <v>#N/A</v>
      </c>
      <c r="C612" s="13" t="str">
        <f t="shared" si="75"/>
        <v/>
      </c>
      <c r="D612" s="13" t="str">
        <f t="shared" si="76"/>
        <v/>
      </c>
      <c r="E612" s="13" t="str">
        <f t="shared" si="77"/>
        <v/>
      </c>
      <c r="F612" s="13" t="str">
        <f t="shared" si="78"/>
        <v/>
      </c>
      <c r="G612" s="13" t="str">
        <f t="shared" si="79"/>
        <v/>
      </c>
      <c r="H612" s="13" t="str">
        <f t="shared" si="80"/>
        <v/>
      </c>
      <c r="I612" t="str">
        <f t="shared" si="81"/>
        <v/>
      </c>
    </row>
    <row r="613" spans="1:9">
      <c r="A613">
        <f>CSV!B613</f>
        <v>0</v>
      </c>
      <c r="B613" s="13" t="e">
        <f>INDEX(Input!$D$2:$AC$500,
       MATCH(CPU_Formula!A613, Input!$J$2:$J$500, 0),
       MATCH("CPU model", Input!$D$1:$AC$1, 0))</f>
        <v>#N/A</v>
      </c>
      <c r="C613" s="13" t="str">
        <f t="shared" si="75"/>
        <v/>
      </c>
      <c r="D613" s="13" t="str">
        <f t="shared" si="76"/>
        <v/>
      </c>
      <c r="E613" s="13" t="str">
        <f t="shared" si="77"/>
        <v/>
      </c>
      <c r="F613" s="13" t="str">
        <f t="shared" si="78"/>
        <v/>
      </c>
      <c r="G613" s="13" t="str">
        <f t="shared" si="79"/>
        <v/>
      </c>
      <c r="H613" s="13" t="str">
        <f t="shared" si="80"/>
        <v/>
      </c>
      <c r="I613" t="str">
        <f t="shared" si="81"/>
        <v/>
      </c>
    </row>
    <row r="614" spans="1:9">
      <c r="A614">
        <f>CSV!B614</f>
        <v>0</v>
      </c>
      <c r="B614" s="13" t="e">
        <f>INDEX(Input!$D$2:$AC$500,
       MATCH(CPU_Formula!A614, Input!$J$2:$J$500, 0),
       MATCH("CPU model", Input!$D$1:$AC$1, 0))</f>
        <v>#N/A</v>
      </c>
      <c r="C614" s="13" t="str">
        <f t="shared" si="75"/>
        <v/>
      </c>
      <c r="D614" s="13" t="str">
        <f t="shared" si="76"/>
        <v/>
      </c>
      <c r="E614" s="13" t="str">
        <f t="shared" si="77"/>
        <v/>
      </c>
      <c r="F614" s="13" t="str">
        <f t="shared" si="78"/>
        <v/>
      </c>
      <c r="G614" s="13" t="str">
        <f t="shared" si="79"/>
        <v/>
      </c>
      <c r="H614" s="13" t="str">
        <f t="shared" si="80"/>
        <v/>
      </c>
      <c r="I614" t="str">
        <f t="shared" si="81"/>
        <v/>
      </c>
    </row>
    <row r="615" spans="1:9">
      <c r="A615">
        <f>CSV!B615</f>
        <v>0</v>
      </c>
      <c r="B615" s="13" t="e">
        <f>INDEX(Input!$D$2:$AC$500,
       MATCH(CPU_Formula!A615, Input!$J$2:$J$500, 0),
       MATCH("CPU model", Input!$D$1:$AC$1, 0))</f>
        <v>#N/A</v>
      </c>
      <c r="C615" s="13" t="str">
        <f t="shared" si="75"/>
        <v/>
      </c>
      <c r="D615" s="13" t="str">
        <f t="shared" si="76"/>
        <v/>
      </c>
      <c r="E615" s="13" t="str">
        <f t="shared" si="77"/>
        <v/>
      </c>
      <c r="F615" s="13" t="str">
        <f t="shared" si="78"/>
        <v/>
      </c>
      <c r="G615" s="13" t="str">
        <f t="shared" si="79"/>
        <v/>
      </c>
      <c r="H615" s="13" t="str">
        <f t="shared" si="80"/>
        <v/>
      </c>
      <c r="I615" t="str">
        <f t="shared" si="81"/>
        <v/>
      </c>
    </row>
    <row r="616" spans="1:9">
      <c r="A616">
        <f>CSV!B616</f>
        <v>0</v>
      </c>
      <c r="B616" s="13" t="e">
        <f>INDEX(Input!$D$2:$AC$500,
       MATCH(CPU_Formula!A616, Input!$J$2:$J$500, 0),
       MATCH("CPU model", Input!$D$1:$AC$1, 0))</f>
        <v>#N/A</v>
      </c>
      <c r="C616" s="13" t="str">
        <f t="shared" ref="C616:C670" si="82">IFERROR(_xlfn.TEXTAFTER(B616,"Core(TM) "),IFERROR(_xlfn.TEXTAFTER(B616,"Xeon(R) CPU"),""))</f>
        <v/>
      </c>
      <c r="D616" s="13" t="str">
        <f t="shared" ref="D616:D670" si="83">IFERROR(_xlfn.TEXTAFTER(B616,"Ryzen "), "")</f>
        <v/>
      </c>
      <c r="E616" s="13" t="str">
        <f t="shared" ref="E616:E670" si="84">IF(ISNUMBER(SEARCH("Ultra", B616)), "Ultra"&amp;_xlfn.TEXTAFTER(B616, "Ultra"), "")</f>
        <v/>
      </c>
      <c r="F616" s="13" t="str">
        <f t="shared" ref="F616:F670" si="85">IF(C616&lt;&gt;"", TRIM(_xlfn.TEXTBEFORE(C616," ",,1,1)), "")</f>
        <v/>
      </c>
      <c r="G616" s="13" t="str">
        <f t="shared" ref="G616:G670" si="86">IF(D616&lt;&gt;"", TRIM(_xlfn.TEXTBEFORE(D616," ",,1)), "")</f>
        <v/>
      </c>
      <c r="H616" s="13" t="str">
        <f t="shared" ref="H616:H670" si="87">E616</f>
        <v/>
      </c>
      <c r="I616" t="str">
        <f t="shared" ref="I616:I670" si="88">IF(H616&lt;&gt;"",H616,IF(G616&lt;&gt;"",G616,F616))</f>
        <v/>
      </c>
    </row>
    <row r="617" spans="1:9">
      <c r="A617">
        <f>CSV!B617</f>
        <v>0</v>
      </c>
      <c r="B617" s="13" t="e">
        <f>INDEX(Input!$D$2:$AC$500,
       MATCH(CPU_Formula!A617, Input!$J$2:$J$500, 0),
       MATCH("CPU model", Input!$D$1:$AC$1, 0))</f>
        <v>#N/A</v>
      </c>
      <c r="C617" s="13" t="str">
        <f t="shared" si="82"/>
        <v/>
      </c>
      <c r="D617" s="13" t="str">
        <f t="shared" si="83"/>
        <v/>
      </c>
      <c r="E617" s="13" t="str">
        <f t="shared" si="84"/>
        <v/>
      </c>
      <c r="F617" s="13" t="str">
        <f t="shared" si="85"/>
        <v/>
      </c>
      <c r="G617" s="13" t="str">
        <f t="shared" si="86"/>
        <v/>
      </c>
      <c r="H617" s="13" t="str">
        <f t="shared" si="87"/>
        <v/>
      </c>
      <c r="I617" t="str">
        <f t="shared" si="88"/>
        <v/>
      </c>
    </row>
    <row r="618" spans="1:9">
      <c r="A618">
        <f>CSV!B618</f>
        <v>0</v>
      </c>
      <c r="B618" s="13" t="e">
        <f>INDEX(Input!$D$2:$AC$500,
       MATCH(CPU_Formula!A618, Input!$J$2:$J$500, 0),
       MATCH("CPU model", Input!$D$1:$AC$1, 0))</f>
        <v>#N/A</v>
      </c>
      <c r="C618" s="13" t="str">
        <f t="shared" si="82"/>
        <v/>
      </c>
      <c r="D618" s="13" t="str">
        <f t="shared" si="83"/>
        <v/>
      </c>
      <c r="E618" s="13" t="str">
        <f t="shared" si="84"/>
        <v/>
      </c>
      <c r="F618" s="13" t="str">
        <f t="shared" si="85"/>
        <v/>
      </c>
      <c r="G618" s="13" t="str">
        <f t="shared" si="86"/>
        <v/>
      </c>
      <c r="H618" s="13" t="str">
        <f t="shared" si="87"/>
        <v/>
      </c>
      <c r="I618" t="str">
        <f t="shared" si="88"/>
        <v/>
      </c>
    </row>
    <row r="619" spans="1:9">
      <c r="A619">
        <f>CSV!B619</f>
        <v>0</v>
      </c>
      <c r="B619" s="13" t="e">
        <f>INDEX(Input!$D$2:$AC$500,
       MATCH(CPU_Formula!A619, Input!$J$2:$J$500, 0),
       MATCH("CPU model", Input!$D$1:$AC$1, 0))</f>
        <v>#N/A</v>
      </c>
      <c r="C619" s="13" t="str">
        <f t="shared" si="82"/>
        <v/>
      </c>
      <c r="D619" s="13" t="str">
        <f t="shared" si="83"/>
        <v/>
      </c>
      <c r="E619" s="13" t="str">
        <f t="shared" si="84"/>
        <v/>
      </c>
      <c r="F619" s="13" t="str">
        <f t="shared" si="85"/>
        <v/>
      </c>
      <c r="G619" s="13" t="str">
        <f t="shared" si="86"/>
        <v/>
      </c>
      <c r="H619" s="13" t="str">
        <f t="shared" si="87"/>
        <v/>
      </c>
      <c r="I619" t="str">
        <f t="shared" si="88"/>
        <v/>
      </c>
    </row>
    <row r="620" spans="1:9">
      <c r="A620">
        <f>CSV!B620</f>
        <v>0</v>
      </c>
      <c r="B620" s="13" t="e">
        <f>INDEX(Input!$D$2:$AC$500,
       MATCH(CPU_Formula!A620, Input!$J$2:$J$500, 0),
       MATCH("CPU model", Input!$D$1:$AC$1, 0))</f>
        <v>#N/A</v>
      </c>
      <c r="C620" s="13" t="str">
        <f t="shared" si="82"/>
        <v/>
      </c>
      <c r="D620" s="13" t="str">
        <f t="shared" si="83"/>
        <v/>
      </c>
      <c r="E620" s="13" t="str">
        <f t="shared" si="84"/>
        <v/>
      </c>
      <c r="F620" s="13" t="str">
        <f t="shared" si="85"/>
        <v/>
      </c>
      <c r="G620" s="13" t="str">
        <f t="shared" si="86"/>
        <v/>
      </c>
      <c r="H620" s="13" t="str">
        <f t="shared" si="87"/>
        <v/>
      </c>
      <c r="I620" t="str">
        <f t="shared" si="88"/>
        <v/>
      </c>
    </row>
    <row r="621" spans="1:9">
      <c r="A621">
        <f>CSV!B621</f>
        <v>0</v>
      </c>
      <c r="B621" s="13" t="e">
        <f>INDEX(Input!$D$2:$AC$500,
       MATCH(CPU_Formula!A621, Input!$J$2:$J$500, 0),
       MATCH("CPU model", Input!$D$1:$AC$1, 0))</f>
        <v>#N/A</v>
      </c>
      <c r="C621" s="13" t="str">
        <f t="shared" si="82"/>
        <v/>
      </c>
      <c r="D621" s="13" t="str">
        <f t="shared" si="83"/>
        <v/>
      </c>
      <c r="E621" s="13" t="str">
        <f t="shared" si="84"/>
        <v/>
      </c>
      <c r="F621" s="13" t="str">
        <f t="shared" si="85"/>
        <v/>
      </c>
      <c r="G621" s="13" t="str">
        <f t="shared" si="86"/>
        <v/>
      </c>
      <c r="H621" s="13" t="str">
        <f t="shared" si="87"/>
        <v/>
      </c>
      <c r="I621" t="str">
        <f t="shared" si="88"/>
        <v/>
      </c>
    </row>
    <row r="622" spans="1:9">
      <c r="A622">
        <f>CSV!B622</f>
        <v>0</v>
      </c>
      <c r="B622" s="13" t="e">
        <f>INDEX(Input!$D$2:$AC$500,
       MATCH(CPU_Formula!A622, Input!$J$2:$J$500, 0),
       MATCH("CPU model", Input!$D$1:$AC$1, 0))</f>
        <v>#N/A</v>
      </c>
      <c r="C622" s="13" t="str">
        <f t="shared" si="82"/>
        <v/>
      </c>
      <c r="D622" s="13" t="str">
        <f t="shared" si="83"/>
        <v/>
      </c>
      <c r="E622" s="13" t="str">
        <f t="shared" si="84"/>
        <v/>
      </c>
      <c r="F622" s="13" t="str">
        <f t="shared" si="85"/>
        <v/>
      </c>
      <c r="G622" s="13" t="str">
        <f t="shared" si="86"/>
        <v/>
      </c>
      <c r="H622" s="13" t="str">
        <f t="shared" si="87"/>
        <v/>
      </c>
      <c r="I622" t="str">
        <f t="shared" si="88"/>
        <v/>
      </c>
    </row>
    <row r="623" spans="1:9">
      <c r="A623">
        <f>CSV!B623</f>
        <v>0</v>
      </c>
      <c r="B623" s="13" t="e">
        <f>INDEX(Input!$D$2:$AC$500,
       MATCH(CPU_Formula!A623, Input!$J$2:$J$500, 0),
       MATCH("CPU model", Input!$D$1:$AC$1, 0))</f>
        <v>#N/A</v>
      </c>
      <c r="C623" s="13" t="str">
        <f t="shared" si="82"/>
        <v/>
      </c>
      <c r="D623" s="13" t="str">
        <f t="shared" si="83"/>
        <v/>
      </c>
      <c r="E623" s="13" t="str">
        <f t="shared" si="84"/>
        <v/>
      </c>
      <c r="F623" s="13" t="str">
        <f t="shared" si="85"/>
        <v/>
      </c>
      <c r="G623" s="13" t="str">
        <f t="shared" si="86"/>
        <v/>
      </c>
      <c r="H623" s="13" t="str">
        <f t="shared" si="87"/>
        <v/>
      </c>
      <c r="I623" t="str">
        <f t="shared" si="88"/>
        <v/>
      </c>
    </row>
    <row r="624" spans="1:9">
      <c r="A624">
        <f>CSV!B624</f>
        <v>0</v>
      </c>
      <c r="B624" s="13" t="e">
        <f>INDEX(Input!$D$2:$AC$500,
       MATCH(CPU_Formula!A624, Input!$J$2:$J$500, 0),
       MATCH("CPU model", Input!$D$1:$AC$1, 0))</f>
        <v>#N/A</v>
      </c>
      <c r="C624" s="13" t="str">
        <f t="shared" si="82"/>
        <v/>
      </c>
      <c r="D624" s="13" t="str">
        <f t="shared" si="83"/>
        <v/>
      </c>
      <c r="E624" s="13" t="str">
        <f t="shared" si="84"/>
        <v/>
      </c>
      <c r="F624" s="13" t="str">
        <f t="shared" si="85"/>
        <v/>
      </c>
      <c r="G624" s="13" t="str">
        <f t="shared" si="86"/>
        <v/>
      </c>
      <c r="H624" s="13" t="str">
        <f t="shared" si="87"/>
        <v/>
      </c>
      <c r="I624" t="str">
        <f t="shared" si="88"/>
        <v/>
      </c>
    </row>
    <row r="625" spans="1:9">
      <c r="A625">
        <f>CSV!B625</f>
        <v>0</v>
      </c>
      <c r="B625" s="13" t="e">
        <f>INDEX(Input!$D$2:$AC$500,
       MATCH(CPU_Formula!A625, Input!$J$2:$J$500, 0),
       MATCH("CPU model", Input!$D$1:$AC$1, 0))</f>
        <v>#N/A</v>
      </c>
      <c r="C625" s="13" t="str">
        <f t="shared" si="82"/>
        <v/>
      </c>
      <c r="D625" s="13" t="str">
        <f t="shared" si="83"/>
        <v/>
      </c>
      <c r="E625" s="13" t="str">
        <f t="shared" si="84"/>
        <v/>
      </c>
      <c r="F625" s="13" t="str">
        <f t="shared" si="85"/>
        <v/>
      </c>
      <c r="G625" s="13" t="str">
        <f t="shared" si="86"/>
        <v/>
      </c>
      <c r="H625" s="13" t="str">
        <f t="shared" si="87"/>
        <v/>
      </c>
      <c r="I625" t="str">
        <f t="shared" si="88"/>
        <v/>
      </c>
    </row>
    <row r="626" spans="1:9">
      <c r="A626">
        <f>CSV!B626</f>
        <v>0</v>
      </c>
      <c r="B626" s="13" t="e">
        <f>INDEX(Input!$D$2:$AC$500,
       MATCH(CPU_Formula!A626, Input!$J$2:$J$500, 0),
       MATCH("CPU model", Input!$D$1:$AC$1, 0))</f>
        <v>#N/A</v>
      </c>
      <c r="C626" s="13" t="str">
        <f t="shared" si="82"/>
        <v/>
      </c>
      <c r="D626" s="13" t="str">
        <f t="shared" si="83"/>
        <v/>
      </c>
      <c r="E626" s="13" t="str">
        <f t="shared" si="84"/>
        <v/>
      </c>
      <c r="F626" s="13" t="str">
        <f t="shared" si="85"/>
        <v/>
      </c>
      <c r="G626" s="13" t="str">
        <f t="shared" si="86"/>
        <v/>
      </c>
      <c r="H626" s="13" t="str">
        <f t="shared" si="87"/>
        <v/>
      </c>
      <c r="I626" t="str">
        <f t="shared" si="88"/>
        <v/>
      </c>
    </row>
    <row r="627" spans="1:9">
      <c r="A627">
        <f>CSV!B627</f>
        <v>0</v>
      </c>
      <c r="B627" s="13" t="e">
        <f>INDEX(Input!$D$2:$AC$500,
       MATCH(CPU_Formula!A627, Input!$J$2:$J$500, 0),
       MATCH("CPU model", Input!$D$1:$AC$1, 0))</f>
        <v>#N/A</v>
      </c>
      <c r="C627" s="13" t="str">
        <f t="shared" si="82"/>
        <v/>
      </c>
      <c r="D627" s="13" t="str">
        <f t="shared" si="83"/>
        <v/>
      </c>
      <c r="E627" s="13" t="str">
        <f t="shared" si="84"/>
        <v/>
      </c>
      <c r="F627" s="13" t="str">
        <f t="shared" si="85"/>
        <v/>
      </c>
      <c r="G627" s="13" t="str">
        <f t="shared" si="86"/>
        <v/>
      </c>
      <c r="H627" s="13" t="str">
        <f t="shared" si="87"/>
        <v/>
      </c>
      <c r="I627" t="str">
        <f t="shared" si="88"/>
        <v/>
      </c>
    </row>
    <row r="628" spans="1:9">
      <c r="A628">
        <f>CSV!B628</f>
        <v>0</v>
      </c>
      <c r="B628" s="13" t="e">
        <f>INDEX(Input!$D$2:$AC$500,
       MATCH(CPU_Formula!A628, Input!$J$2:$J$500, 0),
       MATCH("CPU model", Input!$D$1:$AC$1, 0))</f>
        <v>#N/A</v>
      </c>
      <c r="C628" s="13" t="str">
        <f t="shared" si="82"/>
        <v/>
      </c>
      <c r="D628" s="13" t="str">
        <f t="shared" si="83"/>
        <v/>
      </c>
      <c r="E628" s="13" t="str">
        <f t="shared" si="84"/>
        <v/>
      </c>
      <c r="F628" s="13" t="str">
        <f t="shared" si="85"/>
        <v/>
      </c>
      <c r="G628" s="13" t="str">
        <f t="shared" si="86"/>
        <v/>
      </c>
      <c r="H628" s="13" t="str">
        <f t="shared" si="87"/>
        <v/>
      </c>
      <c r="I628" t="str">
        <f t="shared" si="88"/>
        <v/>
      </c>
    </row>
    <row r="629" spans="1:9">
      <c r="A629">
        <f>CSV!B629</f>
        <v>0</v>
      </c>
      <c r="B629" s="13" t="e">
        <f>INDEX(Input!$D$2:$AC$500,
       MATCH(CPU_Formula!A629, Input!$J$2:$J$500, 0),
       MATCH("CPU model", Input!$D$1:$AC$1, 0))</f>
        <v>#N/A</v>
      </c>
      <c r="C629" s="13" t="str">
        <f t="shared" si="82"/>
        <v/>
      </c>
      <c r="D629" s="13" t="str">
        <f t="shared" si="83"/>
        <v/>
      </c>
      <c r="E629" s="13" t="str">
        <f t="shared" si="84"/>
        <v/>
      </c>
      <c r="F629" s="13" t="str">
        <f t="shared" si="85"/>
        <v/>
      </c>
      <c r="G629" s="13" t="str">
        <f t="shared" si="86"/>
        <v/>
      </c>
      <c r="H629" s="13" t="str">
        <f t="shared" si="87"/>
        <v/>
      </c>
      <c r="I629" t="str">
        <f t="shared" si="88"/>
        <v/>
      </c>
    </row>
    <row r="630" spans="1:9">
      <c r="A630">
        <f>CSV!B630</f>
        <v>0</v>
      </c>
      <c r="B630" s="13" t="e">
        <f>INDEX(Input!$D$2:$AC$500,
       MATCH(CPU_Formula!A630, Input!$J$2:$J$500, 0),
       MATCH("CPU model", Input!$D$1:$AC$1, 0))</f>
        <v>#N/A</v>
      </c>
      <c r="C630" s="13" t="str">
        <f t="shared" si="82"/>
        <v/>
      </c>
      <c r="D630" s="13" t="str">
        <f t="shared" si="83"/>
        <v/>
      </c>
      <c r="E630" s="13" t="str">
        <f t="shared" si="84"/>
        <v/>
      </c>
      <c r="F630" s="13" t="str">
        <f t="shared" si="85"/>
        <v/>
      </c>
      <c r="G630" s="13" t="str">
        <f t="shared" si="86"/>
        <v/>
      </c>
      <c r="H630" s="13" t="str">
        <f t="shared" si="87"/>
        <v/>
      </c>
      <c r="I630" t="str">
        <f t="shared" si="88"/>
        <v/>
      </c>
    </row>
    <row r="631" spans="1:9">
      <c r="A631">
        <f>CSV!B631</f>
        <v>0</v>
      </c>
      <c r="B631" s="13" t="e">
        <f>INDEX(Input!$D$2:$AC$500,
       MATCH(CPU_Formula!A631, Input!$J$2:$J$500, 0),
       MATCH("CPU model", Input!$D$1:$AC$1, 0))</f>
        <v>#N/A</v>
      </c>
      <c r="C631" s="13" t="str">
        <f t="shared" si="82"/>
        <v/>
      </c>
      <c r="D631" s="13" t="str">
        <f t="shared" si="83"/>
        <v/>
      </c>
      <c r="E631" s="13" t="str">
        <f t="shared" si="84"/>
        <v/>
      </c>
      <c r="F631" s="13" t="str">
        <f t="shared" si="85"/>
        <v/>
      </c>
      <c r="G631" s="13" t="str">
        <f t="shared" si="86"/>
        <v/>
      </c>
      <c r="H631" s="13" t="str">
        <f t="shared" si="87"/>
        <v/>
      </c>
      <c r="I631" t="str">
        <f t="shared" si="88"/>
        <v/>
      </c>
    </row>
    <row r="632" spans="1:9">
      <c r="A632">
        <f>CSV!B632</f>
        <v>0</v>
      </c>
      <c r="B632" s="13" t="e">
        <f>INDEX(Input!$D$2:$AC$500,
       MATCH(CPU_Formula!A632, Input!$J$2:$J$500, 0),
       MATCH("CPU model", Input!$D$1:$AC$1, 0))</f>
        <v>#N/A</v>
      </c>
      <c r="C632" s="13" t="str">
        <f t="shared" si="82"/>
        <v/>
      </c>
      <c r="D632" s="13" t="str">
        <f t="shared" si="83"/>
        <v/>
      </c>
      <c r="E632" s="13" t="str">
        <f t="shared" si="84"/>
        <v/>
      </c>
      <c r="F632" s="13" t="str">
        <f t="shared" si="85"/>
        <v/>
      </c>
      <c r="G632" s="13" t="str">
        <f t="shared" si="86"/>
        <v/>
      </c>
      <c r="H632" s="13" t="str">
        <f t="shared" si="87"/>
        <v/>
      </c>
      <c r="I632" t="str">
        <f t="shared" si="88"/>
        <v/>
      </c>
    </row>
    <row r="633" spans="1:9">
      <c r="A633">
        <f>CSV!B633</f>
        <v>0</v>
      </c>
      <c r="B633" s="13" t="e">
        <f>INDEX(Input!$D$2:$AC$500,
       MATCH(CPU_Formula!A633, Input!$J$2:$J$500, 0),
       MATCH("CPU model", Input!$D$1:$AC$1, 0))</f>
        <v>#N/A</v>
      </c>
      <c r="C633" s="13" t="str">
        <f t="shared" si="82"/>
        <v/>
      </c>
      <c r="D633" s="13" t="str">
        <f t="shared" si="83"/>
        <v/>
      </c>
      <c r="E633" s="13" t="str">
        <f t="shared" si="84"/>
        <v/>
      </c>
      <c r="F633" s="13" t="str">
        <f t="shared" si="85"/>
        <v/>
      </c>
      <c r="G633" s="13" t="str">
        <f t="shared" si="86"/>
        <v/>
      </c>
      <c r="H633" s="13" t="str">
        <f t="shared" si="87"/>
        <v/>
      </c>
      <c r="I633" t="str">
        <f t="shared" si="88"/>
        <v/>
      </c>
    </row>
    <row r="634" spans="1:9">
      <c r="A634">
        <f>CSV!B634</f>
        <v>0</v>
      </c>
      <c r="B634" s="13" t="e">
        <f>INDEX(Input!$D$2:$AC$500,
       MATCH(CPU_Formula!A634, Input!$J$2:$J$500, 0),
       MATCH("CPU model", Input!$D$1:$AC$1, 0))</f>
        <v>#N/A</v>
      </c>
      <c r="C634" s="13" t="str">
        <f t="shared" si="82"/>
        <v/>
      </c>
      <c r="D634" s="13" t="str">
        <f t="shared" si="83"/>
        <v/>
      </c>
      <c r="E634" s="13" t="str">
        <f t="shared" si="84"/>
        <v/>
      </c>
      <c r="F634" s="13" t="str">
        <f t="shared" si="85"/>
        <v/>
      </c>
      <c r="G634" s="13" t="str">
        <f t="shared" si="86"/>
        <v/>
      </c>
      <c r="H634" s="13" t="str">
        <f t="shared" si="87"/>
        <v/>
      </c>
      <c r="I634" t="str">
        <f t="shared" si="88"/>
        <v/>
      </c>
    </row>
    <row r="635" spans="1:9">
      <c r="A635">
        <f>CSV!B635</f>
        <v>0</v>
      </c>
      <c r="B635" s="13" t="e">
        <f>INDEX(Input!$D$2:$AC$500,
       MATCH(CPU_Formula!A635, Input!$J$2:$J$500, 0),
       MATCH("CPU model", Input!$D$1:$AC$1, 0))</f>
        <v>#N/A</v>
      </c>
      <c r="C635" s="13" t="str">
        <f t="shared" si="82"/>
        <v/>
      </c>
      <c r="D635" s="13" t="str">
        <f t="shared" si="83"/>
        <v/>
      </c>
      <c r="E635" s="13" t="str">
        <f t="shared" si="84"/>
        <v/>
      </c>
      <c r="F635" s="13" t="str">
        <f t="shared" si="85"/>
        <v/>
      </c>
      <c r="G635" s="13" t="str">
        <f t="shared" si="86"/>
        <v/>
      </c>
      <c r="H635" s="13" t="str">
        <f t="shared" si="87"/>
        <v/>
      </c>
      <c r="I635" t="str">
        <f t="shared" si="88"/>
        <v/>
      </c>
    </row>
    <row r="636" spans="1:9">
      <c r="A636">
        <f>CSV!B636</f>
        <v>0</v>
      </c>
      <c r="B636" s="13" t="e">
        <f>INDEX(Input!$D$2:$AC$500,
       MATCH(CPU_Formula!A636, Input!$J$2:$J$500, 0),
       MATCH("CPU model", Input!$D$1:$AC$1, 0))</f>
        <v>#N/A</v>
      </c>
      <c r="C636" s="13" t="str">
        <f t="shared" si="82"/>
        <v/>
      </c>
      <c r="D636" s="13" t="str">
        <f t="shared" si="83"/>
        <v/>
      </c>
      <c r="E636" s="13" t="str">
        <f t="shared" si="84"/>
        <v/>
      </c>
      <c r="F636" s="13" t="str">
        <f t="shared" si="85"/>
        <v/>
      </c>
      <c r="G636" s="13" t="str">
        <f t="shared" si="86"/>
        <v/>
      </c>
      <c r="H636" s="13" t="str">
        <f t="shared" si="87"/>
        <v/>
      </c>
      <c r="I636" t="str">
        <f t="shared" si="88"/>
        <v/>
      </c>
    </row>
    <row r="637" spans="1:9">
      <c r="A637">
        <f>CSV!B637</f>
        <v>0</v>
      </c>
      <c r="B637" s="13" t="e">
        <f>INDEX(Input!$D$2:$AC$500,
       MATCH(CPU_Formula!A637, Input!$J$2:$J$500, 0),
       MATCH("CPU model", Input!$D$1:$AC$1, 0))</f>
        <v>#N/A</v>
      </c>
      <c r="C637" s="13" t="str">
        <f t="shared" si="82"/>
        <v/>
      </c>
      <c r="D637" s="13" t="str">
        <f t="shared" si="83"/>
        <v/>
      </c>
      <c r="E637" s="13" t="str">
        <f t="shared" si="84"/>
        <v/>
      </c>
      <c r="F637" s="13" t="str">
        <f t="shared" si="85"/>
        <v/>
      </c>
      <c r="G637" s="13" t="str">
        <f t="shared" si="86"/>
        <v/>
      </c>
      <c r="H637" s="13" t="str">
        <f t="shared" si="87"/>
        <v/>
      </c>
      <c r="I637" t="str">
        <f t="shared" si="88"/>
        <v/>
      </c>
    </row>
    <row r="638" spans="1:9">
      <c r="A638">
        <f>CSV!B638</f>
        <v>0</v>
      </c>
      <c r="B638" s="13" t="e">
        <f>INDEX(Input!$D$2:$AC$500,
       MATCH(CPU_Formula!A638, Input!$J$2:$J$500, 0),
       MATCH("CPU model", Input!$D$1:$AC$1, 0))</f>
        <v>#N/A</v>
      </c>
      <c r="C638" s="13" t="str">
        <f t="shared" si="82"/>
        <v/>
      </c>
      <c r="D638" s="13" t="str">
        <f t="shared" si="83"/>
        <v/>
      </c>
      <c r="E638" s="13" t="str">
        <f t="shared" si="84"/>
        <v/>
      </c>
      <c r="F638" s="13" t="str">
        <f t="shared" si="85"/>
        <v/>
      </c>
      <c r="G638" s="13" t="str">
        <f t="shared" si="86"/>
        <v/>
      </c>
      <c r="H638" s="13" t="str">
        <f t="shared" si="87"/>
        <v/>
      </c>
      <c r="I638" t="str">
        <f t="shared" si="88"/>
        <v/>
      </c>
    </row>
    <row r="639" spans="1:9">
      <c r="A639">
        <f>CSV!B639</f>
        <v>0</v>
      </c>
      <c r="B639" s="13" t="e">
        <f>INDEX(Input!$D$2:$AC$500,
       MATCH(CPU_Formula!A639, Input!$J$2:$J$500, 0),
       MATCH("CPU model", Input!$D$1:$AC$1, 0))</f>
        <v>#N/A</v>
      </c>
      <c r="C639" s="13" t="str">
        <f t="shared" si="82"/>
        <v/>
      </c>
      <c r="D639" s="13" t="str">
        <f t="shared" si="83"/>
        <v/>
      </c>
      <c r="E639" s="13" t="str">
        <f t="shared" si="84"/>
        <v/>
      </c>
      <c r="F639" s="13" t="str">
        <f t="shared" si="85"/>
        <v/>
      </c>
      <c r="G639" s="13" t="str">
        <f t="shared" si="86"/>
        <v/>
      </c>
      <c r="H639" s="13" t="str">
        <f t="shared" si="87"/>
        <v/>
      </c>
      <c r="I639" t="str">
        <f t="shared" si="88"/>
        <v/>
      </c>
    </row>
    <row r="640" spans="1:9">
      <c r="A640">
        <f>CSV!B640</f>
        <v>0</v>
      </c>
      <c r="B640" s="13" t="e">
        <f>INDEX(Input!$D$2:$AC$500,
       MATCH(CPU_Formula!A640, Input!$J$2:$J$500, 0),
       MATCH("CPU model", Input!$D$1:$AC$1, 0))</f>
        <v>#N/A</v>
      </c>
      <c r="C640" s="13" t="str">
        <f t="shared" si="82"/>
        <v/>
      </c>
      <c r="D640" s="13" t="str">
        <f t="shared" si="83"/>
        <v/>
      </c>
      <c r="E640" s="13" t="str">
        <f t="shared" si="84"/>
        <v/>
      </c>
      <c r="F640" s="13" t="str">
        <f t="shared" si="85"/>
        <v/>
      </c>
      <c r="G640" s="13" t="str">
        <f t="shared" si="86"/>
        <v/>
      </c>
      <c r="H640" s="13" t="str">
        <f t="shared" si="87"/>
        <v/>
      </c>
      <c r="I640" t="str">
        <f t="shared" si="88"/>
        <v/>
      </c>
    </row>
    <row r="641" spans="1:9">
      <c r="A641">
        <f>CSV!B641</f>
        <v>0</v>
      </c>
      <c r="B641" s="13" t="e">
        <f>INDEX(Input!$D$2:$AC$500,
       MATCH(CPU_Formula!A641, Input!$J$2:$J$500, 0),
       MATCH("CPU model", Input!$D$1:$AC$1, 0))</f>
        <v>#N/A</v>
      </c>
      <c r="C641" s="13" t="str">
        <f t="shared" si="82"/>
        <v/>
      </c>
      <c r="D641" s="13" t="str">
        <f t="shared" si="83"/>
        <v/>
      </c>
      <c r="E641" s="13" t="str">
        <f t="shared" si="84"/>
        <v/>
      </c>
      <c r="F641" s="13" t="str">
        <f t="shared" si="85"/>
        <v/>
      </c>
      <c r="G641" s="13" t="str">
        <f t="shared" si="86"/>
        <v/>
      </c>
      <c r="H641" s="13" t="str">
        <f t="shared" si="87"/>
        <v/>
      </c>
      <c r="I641" t="str">
        <f t="shared" si="88"/>
        <v/>
      </c>
    </row>
    <row r="642" spans="1:9">
      <c r="A642">
        <f>CSV!B642</f>
        <v>0</v>
      </c>
      <c r="B642" s="13" t="e">
        <f>INDEX(Input!$D$2:$AC$500,
       MATCH(CPU_Formula!A642, Input!$J$2:$J$500, 0),
       MATCH("CPU model", Input!$D$1:$AC$1, 0))</f>
        <v>#N/A</v>
      </c>
      <c r="C642" s="13" t="str">
        <f t="shared" si="82"/>
        <v/>
      </c>
      <c r="D642" s="13" t="str">
        <f t="shared" si="83"/>
        <v/>
      </c>
      <c r="E642" s="13" t="str">
        <f t="shared" si="84"/>
        <v/>
      </c>
      <c r="F642" s="13" t="str">
        <f t="shared" si="85"/>
        <v/>
      </c>
      <c r="G642" s="13" t="str">
        <f t="shared" si="86"/>
        <v/>
      </c>
      <c r="H642" s="13" t="str">
        <f t="shared" si="87"/>
        <v/>
      </c>
      <c r="I642" t="str">
        <f t="shared" si="88"/>
        <v/>
      </c>
    </row>
    <row r="643" spans="1:9">
      <c r="A643">
        <f>CSV!B643</f>
        <v>0</v>
      </c>
      <c r="B643" s="13" t="e">
        <f>INDEX(Input!$D$2:$AC$500,
       MATCH(CPU_Formula!A643, Input!$J$2:$J$500, 0),
       MATCH("CPU model", Input!$D$1:$AC$1, 0))</f>
        <v>#N/A</v>
      </c>
      <c r="C643" s="13" t="str">
        <f t="shared" si="82"/>
        <v/>
      </c>
      <c r="D643" s="13" t="str">
        <f t="shared" si="83"/>
        <v/>
      </c>
      <c r="E643" s="13" t="str">
        <f t="shared" si="84"/>
        <v/>
      </c>
      <c r="F643" s="13" t="str">
        <f t="shared" si="85"/>
        <v/>
      </c>
      <c r="G643" s="13" t="str">
        <f t="shared" si="86"/>
        <v/>
      </c>
      <c r="H643" s="13" t="str">
        <f t="shared" si="87"/>
        <v/>
      </c>
      <c r="I643" t="str">
        <f t="shared" si="88"/>
        <v/>
      </c>
    </row>
    <row r="644" spans="1:9">
      <c r="A644">
        <f>CSV!B644</f>
        <v>0</v>
      </c>
      <c r="B644" s="13" t="e">
        <f>INDEX(Input!$D$2:$AC$500,
       MATCH(CPU_Formula!A644, Input!$J$2:$J$500, 0),
       MATCH("CPU model", Input!$D$1:$AC$1, 0))</f>
        <v>#N/A</v>
      </c>
      <c r="C644" s="13" t="str">
        <f t="shared" si="82"/>
        <v/>
      </c>
      <c r="D644" s="13" t="str">
        <f t="shared" si="83"/>
        <v/>
      </c>
      <c r="E644" s="13" t="str">
        <f t="shared" si="84"/>
        <v/>
      </c>
      <c r="F644" s="13" t="str">
        <f t="shared" si="85"/>
        <v/>
      </c>
      <c r="G644" s="13" t="str">
        <f t="shared" si="86"/>
        <v/>
      </c>
      <c r="H644" s="13" t="str">
        <f t="shared" si="87"/>
        <v/>
      </c>
      <c r="I644" t="str">
        <f t="shared" si="88"/>
        <v/>
      </c>
    </row>
    <row r="645" spans="1:9">
      <c r="A645">
        <f>CSV!B645</f>
        <v>0</v>
      </c>
      <c r="B645" s="13" t="e">
        <f>INDEX(Input!$D$2:$AC$500,
       MATCH(CPU_Formula!A645, Input!$J$2:$J$500, 0),
       MATCH("CPU model", Input!$D$1:$AC$1, 0))</f>
        <v>#N/A</v>
      </c>
      <c r="C645" s="13" t="str">
        <f t="shared" si="82"/>
        <v/>
      </c>
      <c r="D645" s="13" t="str">
        <f t="shared" si="83"/>
        <v/>
      </c>
      <c r="E645" s="13" t="str">
        <f t="shared" si="84"/>
        <v/>
      </c>
      <c r="F645" s="13" t="str">
        <f t="shared" si="85"/>
        <v/>
      </c>
      <c r="G645" s="13" t="str">
        <f t="shared" si="86"/>
        <v/>
      </c>
      <c r="H645" s="13" t="str">
        <f t="shared" si="87"/>
        <v/>
      </c>
      <c r="I645" t="str">
        <f t="shared" si="88"/>
        <v/>
      </c>
    </row>
    <row r="646" spans="1:9">
      <c r="A646">
        <f>CSV!B646</f>
        <v>0</v>
      </c>
      <c r="B646" s="13" t="e">
        <f>INDEX(Input!$D$2:$AC$500,
       MATCH(CPU_Formula!A646, Input!$J$2:$J$500, 0),
       MATCH("CPU model", Input!$D$1:$AC$1, 0))</f>
        <v>#N/A</v>
      </c>
      <c r="C646" s="13" t="str">
        <f t="shared" si="82"/>
        <v/>
      </c>
      <c r="D646" s="13" t="str">
        <f t="shared" si="83"/>
        <v/>
      </c>
      <c r="E646" s="13" t="str">
        <f t="shared" si="84"/>
        <v/>
      </c>
      <c r="F646" s="13" t="str">
        <f t="shared" si="85"/>
        <v/>
      </c>
      <c r="G646" s="13" t="str">
        <f t="shared" si="86"/>
        <v/>
      </c>
      <c r="H646" s="13" t="str">
        <f t="shared" si="87"/>
        <v/>
      </c>
      <c r="I646" t="str">
        <f t="shared" si="88"/>
        <v/>
      </c>
    </row>
    <row r="647" spans="1:9">
      <c r="A647">
        <f>CSV!B647</f>
        <v>0</v>
      </c>
      <c r="B647" s="13" t="e">
        <f>INDEX(Input!$D$2:$AC$500,
       MATCH(CPU_Formula!A647, Input!$J$2:$J$500, 0),
       MATCH("CPU model", Input!$D$1:$AC$1, 0))</f>
        <v>#N/A</v>
      </c>
      <c r="C647" s="13" t="str">
        <f t="shared" si="82"/>
        <v/>
      </c>
      <c r="D647" s="13" t="str">
        <f t="shared" si="83"/>
        <v/>
      </c>
      <c r="E647" s="13" t="str">
        <f t="shared" si="84"/>
        <v/>
      </c>
      <c r="F647" s="13" t="str">
        <f t="shared" si="85"/>
        <v/>
      </c>
      <c r="G647" s="13" t="str">
        <f t="shared" si="86"/>
        <v/>
      </c>
      <c r="H647" s="13" t="str">
        <f t="shared" si="87"/>
        <v/>
      </c>
      <c r="I647" t="str">
        <f t="shared" si="88"/>
        <v/>
      </c>
    </row>
    <row r="648" spans="1:9">
      <c r="A648">
        <f>CSV!B648</f>
        <v>0</v>
      </c>
      <c r="B648" s="13" t="e">
        <f>INDEX(Input!$D$2:$AC$500,
       MATCH(CPU_Formula!A648, Input!$J$2:$J$500, 0),
       MATCH("CPU model", Input!$D$1:$AC$1, 0))</f>
        <v>#N/A</v>
      </c>
      <c r="C648" s="13" t="str">
        <f t="shared" si="82"/>
        <v/>
      </c>
      <c r="D648" s="13" t="str">
        <f t="shared" si="83"/>
        <v/>
      </c>
      <c r="E648" s="13" t="str">
        <f t="shared" si="84"/>
        <v/>
      </c>
      <c r="F648" s="13" t="str">
        <f t="shared" si="85"/>
        <v/>
      </c>
      <c r="G648" s="13" t="str">
        <f t="shared" si="86"/>
        <v/>
      </c>
      <c r="H648" s="13" t="str">
        <f t="shared" si="87"/>
        <v/>
      </c>
      <c r="I648" t="str">
        <f t="shared" si="88"/>
        <v/>
      </c>
    </row>
    <row r="649" spans="1:9">
      <c r="A649">
        <f>CSV!B649</f>
        <v>0</v>
      </c>
      <c r="B649" s="13" t="e">
        <f>INDEX(Input!$D$2:$AC$500,
       MATCH(CPU_Formula!A649, Input!$J$2:$J$500, 0),
       MATCH("CPU model", Input!$D$1:$AC$1, 0))</f>
        <v>#N/A</v>
      </c>
      <c r="C649" s="13" t="str">
        <f t="shared" si="82"/>
        <v/>
      </c>
      <c r="D649" s="13" t="str">
        <f t="shared" si="83"/>
        <v/>
      </c>
      <c r="E649" s="13" t="str">
        <f t="shared" si="84"/>
        <v/>
      </c>
      <c r="F649" s="13" t="str">
        <f t="shared" si="85"/>
        <v/>
      </c>
      <c r="G649" s="13" t="str">
        <f t="shared" si="86"/>
        <v/>
      </c>
      <c r="H649" s="13" t="str">
        <f t="shared" si="87"/>
        <v/>
      </c>
      <c r="I649" t="str">
        <f t="shared" si="88"/>
        <v/>
      </c>
    </row>
    <row r="650" spans="1:9">
      <c r="A650">
        <f>CSV!B650</f>
        <v>0</v>
      </c>
      <c r="B650" s="13" t="e">
        <f>INDEX(Input!$D$2:$AC$500,
       MATCH(CPU_Formula!A650, Input!$J$2:$J$500, 0),
       MATCH("CPU model", Input!$D$1:$AC$1, 0))</f>
        <v>#N/A</v>
      </c>
      <c r="C650" s="13" t="str">
        <f t="shared" si="82"/>
        <v/>
      </c>
      <c r="D650" s="13" t="str">
        <f t="shared" si="83"/>
        <v/>
      </c>
      <c r="E650" s="13" t="str">
        <f t="shared" si="84"/>
        <v/>
      </c>
      <c r="F650" s="13" t="str">
        <f t="shared" si="85"/>
        <v/>
      </c>
      <c r="G650" s="13" t="str">
        <f t="shared" si="86"/>
        <v/>
      </c>
      <c r="H650" s="13" t="str">
        <f t="shared" si="87"/>
        <v/>
      </c>
      <c r="I650" t="str">
        <f t="shared" si="88"/>
        <v/>
      </c>
    </row>
    <row r="651" spans="1:9">
      <c r="A651">
        <f>CSV!B651</f>
        <v>0</v>
      </c>
      <c r="B651" s="13" t="e">
        <f>INDEX(Input!$D$2:$AC$500,
       MATCH(CPU_Formula!A651, Input!$J$2:$J$500, 0),
       MATCH("CPU model", Input!$D$1:$AC$1, 0))</f>
        <v>#N/A</v>
      </c>
      <c r="C651" s="13" t="str">
        <f t="shared" si="82"/>
        <v/>
      </c>
      <c r="D651" s="13" t="str">
        <f t="shared" si="83"/>
        <v/>
      </c>
      <c r="E651" s="13" t="str">
        <f t="shared" si="84"/>
        <v/>
      </c>
      <c r="F651" s="13" t="str">
        <f t="shared" si="85"/>
        <v/>
      </c>
      <c r="G651" s="13" t="str">
        <f t="shared" si="86"/>
        <v/>
      </c>
      <c r="H651" s="13" t="str">
        <f t="shared" si="87"/>
        <v/>
      </c>
      <c r="I651" t="str">
        <f t="shared" si="88"/>
        <v/>
      </c>
    </row>
    <row r="652" spans="1:9">
      <c r="A652">
        <f>CSV!B652</f>
        <v>0</v>
      </c>
      <c r="B652" s="13" t="e">
        <f>INDEX(Input!$D$2:$AC$500,
       MATCH(CPU_Formula!A652, Input!$J$2:$J$500, 0),
       MATCH("CPU model", Input!$D$1:$AC$1, 0))</f>
        <v>#N/A</v>
      </c>
      <c r="C652" s="13" t="str">
        <f t="shared" si="82"/>
        <v/>
      </c>
      <c r="D652" s="13" t="str">
        <f t="shared" si="83"/>
        <v/>
      </c>
      <c r="E652" s="13" t="str">
        <f t="shared" si="84"/>
        <v/>
      </c>
      <c r="F652" s="13" t="str">
        <f t="shared" si="85"/>
        <v/>
      </c>
      <c r="G652" s="13" t="str">
        <f t="shared" si="86"/>
        <v/>
      </c>
      <c r="H652" s="13" t="str">
        <f t="shared" si="87"/>
        <v/>
      </c>
      <c r="I652" t="str">
        <f t="shared" si="88"/>
        <v/>
      </c>
    </row>
    <row r="653" spans="1:9">
      <c r="A653">
        <f>CSV!B653</f>
        <v>0</v>
      </c>
      <c r="B653" s="13" t="e">
        <f>INDEX(Input!$D$2:$AC$500,
       MATCH(CPU_Formula!A653, Input!$J$2:$J$500, 0),
       MATCH("CPU model", Input!$D$1:$AC$1, 0))</f>
        <v>#N/A</v>
      </c>
      <c r="C653" s="13" t="str">
        <f t="shared" si="82"/>
        <v/>
      </c>
      <c r="D653" s="13" t="str">
        <f t="shared" si="83"/>
        <v/>
      </c>
      <c r="E653" s="13" t="str">
        <f t="shared" si="84"/>
        <v/>
      </c>
      <c r="F653" s="13" t="str">
        <f t="shared" si="85"/>
        <v/>
      </c>
      <c r="G653" s="13" t="str">
        <f t="shared" si="86"/>
        <v/>
      </c>
      <c r="H653" s="13" t="str">
        <f t="shared" si="87"/>
        <v/>
      </c>
      <c r="I653" t="str">
        <f t="shared" si="88"/>
        <v/>
      </c>
    </row>
    <row r="654" spans="1:9">
      <c r="A654">
        <f>CSV!B654</f>
        <v>0</v>
      </c>
      <c r="B654" s="13" t="e">
        <f>INDEX(Input!$D$2:$AC$500,
       MATCH(CPU_Formula!A654, Input!$J$2:$J$500, 0),
       MATCH("CPU model", Input!$D$1:$AC$1, 0))</f>
        <v>#N/A</v>
      </c>
      <c r="C654" s="13" t="str">
        <f t="shared" si="82"/>
        <v/>
      </c>
      <c r="D654" s="13" t="str">
        <f t="shared" si="83"/>
        <v/>
      </c>
      <c r="E654" s="13" t="str">
        <f t="shared" si="84"/>
        <v/>
      </c>
      <c r="F654" s="13" t="str">
        <f t="shared" si="85"/>
        <v/>
      </c>
      <c r="G654" s="13" t="str">
        <f t="shared" si="86"/>
        <v/>
      </c>
      <c r="H654" s="13" t="str">
        <f t="shared" si="87"/>
        <v/>
      </c>
      <c r="I654" t="str">
        <f t="shared" si="88"/>
        <v/>
      </c>
    </row>
    <row r="655" spans="1:9">
      <c r="A655">
        <f>CSV!B655</f>
        <v>0</v>
      </c>
      <c r="B655" s="13" t="e">
        <f>INDEX(Input!$D$2:$AC$500,
       MATCH(CPU_Formula!A655, Input!$J$2:$J$500, 0),
       MATCH("CPU model", Input!$D$1:$AC$1, 0))</f>
        <v>#N/A</v>
      </c>
      <c r="C655" s="13" t="str">
        <f t="shared" si="82"/>
        <v/>
      </c>
      <c r="D655" s="13" t="str">
        <f t="shared" si="83"/>
        <v/>
      </c>
      <c r="E655" s="13" t="str">
        <f t="shared" si="84"/>
        <v/>
      </c>
      <c r="F655" s="13" t="str">
        <f t="shared" si="85"/>
        <v/>
      </c>
      <c r="G655" s="13" t="str">
        <f t="shared" si="86"/>
        <v/>
      </c>
      <c r="H655" s="13" t="str">
        <f t="shared" si="87"/>
        <v/>
      </c>
      <c r="I655" t="str">
        <f t="shared" si="88"/>
        <v/>
      </c>
    </row>
    <row r="656" spans="1:9">
      <c r="A656">
        <f>CSV!B656</f>
        <v>0</v>
      </c>
      <c r="B656" s="13" t="e">
        <f>INDEX(Input!$D$2:$AC$500,
       MATCH(CPU_Formula!A656, Input!$J$2:$J$500, 0),
       MATCH("CPU model", Input!$D$1:$AC$1, 0))</f>
        <v>#N/A</v>
      </c>
      <c r="C656" s="13" t="str">
        <f t="shared" si="82"/>
        <v/>
      </c>
      <c r="D656" s="13" t="str">
        <f t="shared" si="83"/>
        <v/>
      </c>
      <c r="E656" s="13" t="str">
        <f t="shared" si="84"/>
        <v/>
      </c>
      <c r="F656" s="13" t="str">
        <f t="shared" si="85"/>
        <v/>
      </c>
      <c r="G656" s="13" t="str">
        <f t="shared" si="86"/>
        <v/>
      </c>
      <c r="H656" s="13" t="str">
        <f t="shared" si="87"/>
        <v/>
      </c>
      <c r="I656" t="str">
        <f t="shared" si="88"/>
        <v/>
      </c>
    </row>
    <row r="657" spans="1:9">
      <c r="A657">
        <f>CSV!B657</f>
        <v>0</v>
      </c>
      <c r="B657" s="13" t="e">
        <f>INDEX(Input!$D$2:$AC$500,
       MATCH(CPU_Formula!A657, Input!$J$2:$J$500, 0),
       MATCH("CPU model", Input!$D$1:$AC$1, 0))</f>
        <v>#N/A</v>
      </c>
      <c r="C657" s="13" t="str">
        <f t="shared" si="82"/>
        <v/>
      </c>
      <c r="D657" s="13" t="str">
        <f t="shared" si="83"/>
        <v/>
      </c>
      <c r="E657" s="13" t="str">
        <f t="shared" si="84"/>
        <v/>
      </c>
      <c r="F657" s="13" t="str">
        <f t="shared" si="85"/>
        <v/>
      </c>
      <c r="G657" s="13" t="str">
        <f t="shared" si="86"/>
        <v/>
      </c>
      <c r="H657" s="13" t="str">
        <f t="shared" si="87"/>
        <v/>
      </c>
      <c r="I657" t="str">
        <f t="shared" si="88"/>
        <v/>
      </c>
    </row>
    <row r="658" spans="1:9">
      <c r="A658">
        <f>CSV!B658</f>
        <v>0</v>
      </c>
      <c r="B658" s="13" t="e">
        <f>INDEX(Input!$D$2:$AC$500,
       MATCH(CPU_Formula!A658, Input!$J$2:$J$500, 0),
       MATCH("CPU model", Input!$D$1:$AC$1, 0))</f>
        <v>#N/A</v>
      </c>
      <c r="C658" s="13" t="str">
        <f t="shared" si="82"/>
        <v/>
      </c>
      <c r="D658" s="13" t="str">
        <f t="shared" si="83"/>
        <v/>
      </c>
      <c r="E658" s="13" t="str">
        <f t="shared" si="84"/>
        <v/>
      </c>
      <c r="F658" s="13" t="str">
        <f t="shared" si="85"/>
        <v/>
      </c>
      <c r="G658" s="13" t="str">
        <f t="shared" si="86"/>
        <v/>
      </c>
      <c r="H658" s="13" t="str">
        <f t="shared" si="87"/>
        <v/>
      </c>
      <c r="I658" t="str">
        <f t="shared" si="88"/>
        <v/>
      </c>
    </row>
    <row r="659" spans="1:9">
      <c r="A659">
        <f>CSV!B659</f>
        <v>0</v>
      </c>
      <c r="B659" s="13" t="e">
        <f>INDEX(Input!$D$2:$AC$500,
       MATCH(CPU_Formula!A659, Input!$J$2:$J$500, 0),
       MATCH("CPU model", Input!$D$1:$AC$1, 0))</f>
        <v>#N/A</v>
      </c>
      <c r="C659" s="13" t="str">
        <f t="shared" si="82"/>
        <v/>
      </c>
      <c r="D659" s="13" t="str">
        <f t="shared" si="83"/>
        <v/>
      </c>
      <c r="E659" s="13" t="str">
        <f t="shared" si="84"/>
        <v/>
      </c>
      <c r="F659" s="13" t="str">
        <f t="shared" si="85"/>
        <v/>
      </c>
      <c r="G659" s="13" t="str">
        <f t="shared" si="86"/>
        <v/>
      </c>
      <c r="H659" s="13" t="str">
        <f t="shared" si="87"/>
        <v/>
      </c>
      <c r="I659" t="str">
        <f t="shared" si="88"/>
        <v/>
      </c>
    </row>
    <row r="660" spans="1:9">
      <c r="A660">
        <f>CSV!B660</f>
        <v>0</v>
      </c>
      <c r="B660" s="13" t="e">
        <f>INDEX(Input!$D$2:$AC$500,
       MATCH(CPU_Formula!A660, Input!$J$2:$J$500, 0),
       MATCH("CPU model", Input!$D$1:$AC$1, 0))</f>
        <v>#N/A</v>
      </c>
      <c r="C660" s="13" t="str">
        <f t="shared" si="82"/>
        <v/>
      </c>
      <c r="D660" s="13" t="str">
        <f t="shared" si="83"/>
        <v/>
      </c>
      <c r="E660" s="13" t="str">
        <f t="shared" si="84"/>
        <v/>
      </c>
      <c r="F660" s="13" t="str">
        <f t="shared" si="85"/>
        <v/>
      </c>
      <c r="G660" s="13" t="str">
        <f t="shared" si="86"/>
        <v/>
      </c>
      <c r="H660" s="13" t="str">
        <f t="shared" si="87"/>
        <v/>
      </c>
      <c r="I660" t="str">
        <f t="shared" si="88"/>
        <v/>
      </c>
    </row>
    <row r="661" spans="1:9">
      <c r="A661">
        <f>CSV!B661</f>
        <v>0</v>
      </c>
      <c r="B661" s="13" t="e">
        <f>INDEX(Input!$D$2:$AC$500,
       MATCH(CPU_Formula!A661, Input!$J$2:$J$500, 0),
       MATCH("CPU model", Input!$D$1:$AC$1, 0))</f>
        <v>#N/A</v>
      </c>
      <c r="C661" s="13" t="str">
        <f t="shared" si="82"/>
        <v/>
      </c>
      <c r="D661" s="13" t="str">
        <f t="shared" si="83"/>
        <v/>
      </c>
      <c r="E661" s="13" t="str">
        <f t="shared" si="84"/>
        <v/>
      </c>
      <c r="F661" s="13" t="str">
        <f t="shared" si="85"/>
        <v/>
      </c>
      <c r="G661" s="13" t="str">
        <f t="shared" si="86"/>
        <v/>
      </c>
      <c r="H661" s="13" t="str">
        <f t="shared" si="87"/>
        <v/>
      </c>
      <c r="I661" t="str">
        <f t="shared" si="88"/>
        <v/>
      </c>
    </row>
    <row r="662" spans="1:9">
      <c r="A662">
        <f>CSV!B662</f>
        <v>0</v>
      </c>
      <c r="B662" s="13" t="e">
        <f>INDEX(Input!$D$2:$AC$500,
       MATCH(CPU_Formula!A662, Input!$J$2:$J$500, 0),
       MATCH("CPU model", Input!$D$1:$AC$1, 0))</f>
        <v>#N/A</v>
      </c>
      <c r="C662" s="13" t="str">
        <f t="shared" si="82"/>
        <v/>
      </c>
      <c r="D662" s="13" t="str">
        <f t="shared" si="83"/>
        <v/>
      </c>
      <c r="E662" s="13" t="str">
        <f t="shared" si="84"/>
        <v/>
      </c>
      <c r="F662" s="13" t="str">
        <f t="shared" si="85"/>
        <v/>
      </c>
      <c r="G662" s="13" t="str">
        <f t="shared" si="86"/>
        <v/>
      </c>
      <c r="H662" s="13" t="str">
        <f t="shared" si="87"/>
        <v/>
      </c>
      <c r="I662" t="str">
        <f t="shared" si="88"/>
        <v/>
      </c>
    </row>
    <row r="663" spans="1:9">
      <c r="A663">
        <f>CSV!B663</f>
        <v>0</v>
      </c>
      <c r="B663" s="13" t="e">
        <f>INDEX(Input!$D$2:$AC$500,
       MATCH(CPU_Formula!A663, Input!$J$2:$J$500, 0),
       MATCH("CPU model", Input!$D$1:$AC$1, 0))</f>
        <v>#N/A</v>
      </c>
      <c r="C663" s="13" t="str">
        <f t="shared" si="82"/>
        <v/>
      </c>
      <c r="D663" s="13" t="str">
        <f t="shared" si="83"/>
        <v/>
      </c>
      <c r="E663" s="13" t="str">
        <f t="shared" si="84"/>
        <v/>
      </c>
      <c r="F663" s="13" t="str">
        <f t="shared" si="85"/>
        <v/>
      </c>
      <c r="G663" s="13" t="str">
        <f t="shared" si="86"/>
        <v/>
      </c>
      <c r="H663" s="13" t="str">
        <f t="shared" si="87"/>
        <v/>
      </c>
      <c r="I663" t="str">
        <f t="shared" si="88"/>
        <v/>
      </c>
    </row>
    <row r="664" spans="1:9">
      <c r="A664">
        <f>CSV!B664</f>
        <v>0</v>
      </c>
      <c r="B664" s="13" t="e">
        <f>INDEX(Input!$D$2:$AC$500,
       MATCH(CPU_Formula!A664, Input!$J$2:$J$500, 0),
       MATCH("CPU model", Input!$D$1:$AC$1, 0))</f>
        <v>#N/A</v>
      </c>
      <c r="C664" s="13" t="str">
        <f t="shared" si="82"/>
        <v/>
      </c>
      <c r="D664" s="13" t="str">
        <f t="shared" si="83"/>
        <v/>
      </c>
      <c r="E664" s="13" t="str">
        <f t="shared" si="84"/>
        <v/>
      </c>
      <c r="F664" s="13" t="str">
        <f t="shared" si="85"/>
        <v/>
      </c>
      <c r="G664" s="13" t="str">
        <f t="shared" si="86"/>
        <v/>
      </c>
      <c r="H664" s="13" t="str">
        <f t="shared" si="87"/>
        <v/>
      </c>
      <c r="I664" t="str">
        <f t="shared" si="88"/>
        <v/>
      </c>
    </row>
    <row r="665" spans="1:9">
      <c r="A665">
        <f>CSV!B665</f>
        <v>0</v>
      </c>
      <c r="B665" s="13" t="e">
        <f>INDEX(Input!$D$2:$AC$500,
       MATCH(CPU_Formula!A665, Input!$J$2:$J$500, 0),
       MATCH("CPU model", Input!$D$1:$AC$1, 0))</f>
        <v>#N/A</v>
      </c>
      <c r="C665" s="13" t="str">
        <f t="shared" si="82"/>
        <v/>
      </c>
      <c r="D665" s="13" t="str">
        <f t="shared" si="83"/>
        <v/>
      </c>
      <c r="E665" s="13" t="str">
        <f t="shared" si="84"/>
        <v/>
      </c>
      <c r="F665" s="13" t="str">
        <f t="shared" si="85"/>
        <v/>
      </c>
      <c r="G665" s="13" t="str">
        <f t="shared" si="86"/>
        <v/>
      </c>
      <c r="H665" s="13" t="str">
        <f t="shared" si="87"/>
        <v/>
      </c>
      <c r="I665" t="str">
        <f t="shared" si="88"/>
        <v/>
      </c>
    </row>
    <row r="666" spans="1:9">
      <c r="A666">
        <f>CSV!B666</f>
        <v>0</v>
      </c>
      <c r="B666" s="13" t="e">
        <f>INDEX(Input!$D$2:$AC$500,
       MATCH(CPU_Formula!A666, Input!$J$2:$J$500, 0),
       MATCH("CPU model", Input!$D$1:$AC$1, 0))</f>
        <v>#N/A</v>
      </c>
      <c r="C666" s="13" t="str">
        <f t="shared" si="82"/>
        <v/>
      </c>
      <c r="D666" s="13" t="str">
        <f t="shared" si="83"/>
        <v/>
      </c>
      <c r="E666" s="13" t="str">
        <f t="shared" si="84"/>
        <v/>
      </c>
      <c r="F666" s="13" t="str">
        <f t="shared" si="85"/>
        <v/>
      </c>
      <c r="G666" s="13" t="str">
        <f t="shared" si="86"/>
        <v/>
      </c>
      <c r="H666" s="13" t="str">
        <f t="shared" si="87"/>
        <v/>
      </c>
      <c r="I666" t="str">
        <f t="shared" si="88"/>
        <v/>
      </c>
    </row>
    <row r="667" spans="1:9">
      <c r="A667">
        <f>CSV!B667</f>
        <v>0</v>
      </c>
      <c r="B667" s="13" t="e">
        <f>INDEX(Input!$D$2:$AC$500,
       MATCH(CPU_Formula!A667, Input!$J$2:$J$500, 0),
       MATCH("CPU model", Input!$D$1:$AC$1, 0))</f>
        <v>#N/A</v>
      </c>
      <c r="C667" s="13" t="str">
        <f t="shared" si="82"/>
        <v/>
      </c>
      <c r="D667" s="13" t="str">
        <f t="shared" si="83"/>
        <v/>
      </c>
      <c r="E667" s="13" t="str">
        <f t="shared" si="84"/>
        <v/>
      </c>
      <c r="F667" s="13" t="str">
        <f t="shared" si="85"/>
        <v/>
      </c>
      <c r="G667" s="13" t="str">
        <f t="shared" si="86"/>
        <v/>
      </c>
      <c r="H667" s="13" t="str">
        <f t="shared" si="87"/>
        <v/>
      </c>
      <c r="I667" t="str">
        <f t="shared" si="88"/>
        <v/>
      </c>
    </row>
    <row r="668" spans="1:9">
      <c r="A668">
        <f>CSV!B668</f>
        <v>0</v>
      </c>
      <c r="B668" s="13" t="e">
        <f>INDEX(Input!$D$2:$AC$500,
       MATCH(CPU_Formula!A668, Input!$J$2:$J$500, 0),
       MATCH("CPU model", Input!$D$1:$AC$1, 0))</f>
        <v>#N/A</v>
      </c>
      <c r="C668" s="13" t="str">
        <f t="shared" si="82"/>
        <v/>
      </c>
      <c r="D668" s="13" t="str">
        <f t="shared" si="83"/>
        <v/>
      </c>
      <c r="E668" s="13" t="str">
        <f t="shared" si="84"/>
        <v/>
      </c>
      <c r="F668" s="13" t="str">
        <f t="shared" si="85"/>
        <v/>
      </c>
      <c r="G668" s="13" t="str">
        <f t="shared" si="86"/>
        <v/>
      </c>
      <c r="H668" s="13" t="str">
        <f t="shared" si="87"/>
        <v/>
      </c>
      <c r="I668" t="str">
        <f t="shared" si="88"/>
        <v/>
      </c>
    </row>
    <row r="669" spans="1:9">
      <c r="A669">
        <f>CSV!B669</f>
        <v>0</v>
      </c>
      <c r="B669" s="13" t="e">
        <f>INDEX(Input!$D$2:$AC$500,
       MATCH(CPU_Formula!A669, Input!$J$2:$J$500, 0),
       MATCH("CPU model", Input!$D$1:$AC$1, 0))</f>
        <v>#N/A</v>
      </c>
      <c r="C669" s="13" t="str">
        <f t="shared" si="82"/>
        <v/>
      </c>
      <c r="D669" s="13" t="str">
        <f t="shared" si="83"/>
        <v/>
      </c>
      <c r="E669" s="13" t="str">
        <f t="shared" si="84"/>
        <v/>
      </c>
      <c r="F669" s="13" t="str">
        <f t="shared" si="85"/>
        <v/>
      </c>
      <c r="G669" s="13" t="str">
        <f t="shared" si="86"/>
        <v/>
      </c>
      <c r="H669" s="13" t="str">
        <f t="shared" si="87"/>
        <v/>
      </c>
      <c r="I669" t="str">
        <f t="shared" si="88"/>
        <v/>
      </c>
    </row>
    <row r="670" spans="1:9">
      <c r="A670">
        <f>CSV!B670</f>
        <v>0</v>
      </c>
      <c r="B670" s="13" t="e">
        <f>INDEX(Input!$D$2:$AC$500,
       MATCH(CPU_Formula!A670, Input!$J$2:$J$500, 0),
       MATCH("CPU model", Input!$D$1:$AC$1, 0))</f>
        <v>#N/A</v>
      </c>
      <c r="C670" s="13" t="str">
        <f t="shared" si="82"/>
        <v/>
      </c>
      <c r="D670" s="13" t="str">
        <f t="shared" si="83"/>
        <v/>
      </c>
      <c r="E670" s="13" t="str">
        <f t="shared" si="84"/>
        <v/>
      </c>
      <c r="F670" s="13" t="str">
        <f t="shared" si="85"/>
        <v/>
      </c>
      <c r="G670" s="13" t="str">
        <f t="shared" si="86"/>
        <v/>
      </c>
      <c r="H670" s="13" t="str">
        <f t="shared" si="87"/>
        <v/>
      </c>
      <c r="I670" t="str">
        <f t="shared" si="88"/>
        <v/>
      </c>
    </row>
    <row r="671" spans="1:9">
      <c r="C671" s="13" t="str">
        <f t="shared" ref="C671:C693" si="89">IFERROR(_xlfn.TEXTAFTER(B671,"Core(TM) "),IFERROR(_xlfn.TEXTAFTER(B671,"Xeon(R) CPU"),""))</f>
        <v/>
      </c>
    </row>
    <row r="672" spans="1:9">
      <c r="C672" s="13" t="str">
        <f t="shared" si="89"/>
        <v/>
      </c>
    </row>
    <row r="673" spans="3:3">
      <c r="C673" s="13" t="str">
        <f t="shared" si="89"/>
        <v/>
      </c>
    </row>
    <row r="674" spans="3:3">
      <c r="C674" s="13" t="str">
        <f t="shared" si="89"/>
        <v/>
      </c>
    </row>
    <row r="675" spans="3:3">
      <c r="C675" s="13" t="str">
        <f t="shared" si="89"/>
        <v/>
      </c>
    </row>
    <row r="676" spans="3:3">
      <c r="C676" s="13" t="str">
        <f t="shared" si="89"/>
        <v/>
      </c>
    </row>
    <row r="677" spans="3:3">
      <c r="C677" s="13" t="str">
        <f t="shared" si="89"/>
        <v/>
      </c>
    </row>
    <row r="678" spans="3:3">
      <c r="C678" s="13" t="str">
        <f t="shared" si="89"/>
        <v/>
      </c>
    </row>
    <row r="679" spans="3:3">
      <c r="C679" s="13" t="str">
        <f t="shared" si="89"/>
        <v/>
      </c>
    </row>
    <row r="680" spans="3:3">
      <c r="C680" s="13" t="str">
        <f t="shared" si="89"/>
        <v/>
      </c>
    </row>
    <row r="681" spans="3:3">
      <c r="C681" s="13" t="str">
        <f t="shared" si="89"/>
        <v/>
      </c>
    </row>
    <row r="682" spans="3:3">
      <c r="C682" s="13" t="str">
        <f t="shared" si="89"/>
        <v/>
      </c>
    </row>
    <row r="683" spans="3:3">
      <c r="C683" s="13" t="str">
        <f t="shared" si="89"/>
        <v/>
      </c>
    </row>
    <row r="684" spans="3:3">
      <c r="C684" s="13" t="str">
        <f t="shared" si="89"/>
        <v/>
      </c>
    </row>
    <row r="685" spans="3:3">
      <c r="C685" s="13" t="str">
        <f t="shared" si="89"/>
        <v/>
      </c>
    </row>
    <row r="686" spans="3:3">
      <c r="C686" s="13" t="str">
        <f t="shared" si="89"/>
        <v/>
      </c>
    </row>
    <row r="687" spans="3:3">
      <c r="C687" s="13" t="str">
        <f t="shared" si="89"/>
        <v/>
      </c>
    </row>
    <row r="688" spans="3:3">
      <c r="C688" s="13" t="str">
        <f t="shared" si="89"/>
        <v/>
      </c>
    </row>
    <row r="689" spans="3:3">
      <c r="C689" s="13" t="str">
        <f t="shared" si="89"/>
        <v/>
      </c>
    </row>
    <row r="690" spans="3:3">
      <c r="C690" s="13" t="str">
        <f t="shared" si="89"/>
        <v/>
      </c>
    </row>
    <row r="691" spans="3:3">
      <c r="C691" s="13" t="str">
        <f t="shared" si="89"/>
        <v/>
      </c>
    </row>
    <row r="692" spans="3:3">
      <c r="C692" s="13" t="str">
        <f t="shared" si="89"/>
        <v/>
      </c>
    </row>
    <row r="693" spans="3:3">
      <c r="C693" s="13" t="str">
        <f t="shared" si="89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abSelected="1" workbookViewId="0">
      <selection activeCell="O9" sqref="O9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275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277</v>
      </c>
      <c r="O1" s="12" t="s">
        <v>276</v>
      </c>
      <c r="P1" s="12" t="s">
        <v>19</v>
      </c>
      <c r="Q1" s="12" t="s">
        <v>278</v>
      </c>
      <c r="R1" s="12" t="s">
        <v>279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7" t="s">
        <v>492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Yes x2</v>
      </c>
      <c r="U2" t="str">
        <f>_xlfn.XLOOKUP(B2,Disk_Pivot!G:G,Disk_Pivot!N:N)</f>
        <v>Pass, Fail</v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Yes x2</v>
      </c>
      <c r="U3" t="str">
        <f>_xlfn.XLOOKUP(B3,Disk_Pivot!G:G,Disk_Pivot!N:N)</f>
        <v>Pass, Fail</v>
      </c>
      <c r="V3" t="str">
        <f>IF(U3="Fail",MacReports!N3,"")</f>
        <v/>
      </c>
      <c r="AB3" t="str">
        <f t="shared" ref="AB3:AB34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Yes x2</v>
      </c>
      <c r="U4" t="str">
        <f>_xlfn.XLOOKUP(B4,Disk_Pivot!G:G,Disk_Pivot!N:N)</f>
        <v>Pass, Fail</v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Yes x2</v>
      </c>
      <c r="U5" t="str">
        <f>_xlfn.XLOOKUP(B5,Disk_Pivot!G:G,Disk_Pivot!N:N)</f>
        <v>Pass, Fail</v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Yes x2</v>
      </c>
      <c r="U6" t="str">
        <f>_xlfn.XLOOKUP(B6,Disk_Pivot!G:G,Disk_Pivot!N:N)</f>
        <v>Pass, Fail</v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Yes x2</v>
      </c>
      <c r="U7" t="str">
        <f>_xlfn.XLOOKUP(B7,Disk_Pivot!G:G,Disk_Pivot!N:N)</f>
        <v>Pass, Fail</v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Yes x2</v>
      </c>
      <c r="U8" t="str">
        <f>_xlfn.XLOOKUP(B8,Disk_Pivot!G:G,Disk_Pivot!N:N)</f>
        <v>Pass, Fail</v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Yes x2</v>
      </c>
      <c r="U9" t="str">
        <f>_xlfn.XLOOKUP(B9,Disk_Pivot!G:G,Disk_Pivot!N:N)</f>
        <v>Pass, Fail</v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34" si="2">_xlfn.TEXTJOIN(", ",TRUE,Q10,R10,N10,O10,P10)</f>
        <v>Battery Defect, 0</v>
      </c>
      <c r="T10" t="str">
        <f>_xlfn.XLOOKUP(B10,Disk_Pivot!G:G,Disk_Pivot!I:I)</f>
        <v>Yes x2</v>
      </c>
      <c r="U10" t="str">
        <f>_xlfn.XLOOKUP(B10,Disk_Pivot!G:G,Disk_Pivot!N:N)</f>
        <v>Pass, Fail</v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Yes x2</v>
      </c>
      <c r="U11" t="str">
        <f>_xlfn.XLOOKUP(B11,Disk_Pivot!G:G,Disk_Pivot!N:N)</f>
        <v>Pass, Fail</v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Yes x2</v>
      </c>
      <c r="U12" t="str">
        <f>_xlfn.XLOOKUP(B12,Disk_Pivot!G:G,Disk_Pivot!N:N)</f>
        <v>Pass, Fail</v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Yes x2</v>
      </c>
      <c r="U13" t="str">
        <f>_xlfn.XLOOKUP(B13,Disk_Pivot!G:G,Disk_Pivot!N:N)</f>
        <v>Pass, Fail</v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Yes x2</v>
      </c>
      <c r="U14" t="str">
        <f>_xlfn.XLOOKUP(B14,Disk_Pivot!G:G,Disk_Pivot!N:N)</f>
        <v>Pass, Fail</v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Yes x2</v>
      </c>
      <c r="U15" t="str">
        <f>_xlfn.XLOOKUP(B15,Disk_Pivot!G:G,Disk_Pivot!N:N)</f>
        <v>Pass, Fail</v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Yes x2</v>
      </c>
      <c r="U16" t="str">
        <f>_xlfn.XLOOKUP(B16,Disk_Pivot!G:G,Disk_Pivot!N:N)</f>
        <v>Pass, Fail</v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Yes x2</v>
      </c>
      <c r="U17" t="str">
        <f>_xlfn.XLOOKUP(B17,Disk_Pivot!G:G,Disk_Pivot!N:N)</f>
        <v>Pass, Fail</v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Yes x2</v>
      </c>
      <c r="U18" t="str">
        <f>_xlfn.XLOOKUP(B18,Disk_Pivot!G:G,Disk_Pivot!N:N)</f>
        <v>Pass, Fail</v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Yes x2</v>
      </c>
      <c r="U19" t="str">
        <f>_xlfn.XLOOKUP(B19,Disk_Pivot!G:G,Disk_Pivot!N:N)</f>
        <v>Pass, Fail</v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Yes x2</v>
      </c>
      <c r="U20" t="str">
        <f>_xlfn.XLOOKUP(B20,Disk_Pivot!G:G,Disk_Pivot!N:N)</f>
        <v>Pass, Fail</v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Yes x2</v>
      </c>
      <c r="U21" t="str">
        <f>_xlfn.XLOOKUP(B21,Disk_Pivot!G:G,Disk_Pivot!N:N)</f>
        <v>Pass, Fail</v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Yes x2</v>
      </c>
      <c r="U22" t="str">
        <f>_xlfn.XLOOKUP(B22,Disk_Pivot!G:G,Disk_Pivot!N:N)</f>
        <v>Pass, Fail</v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Yes x2</v>
      </c>
      <c r="U23" t="str">
        <f>_xlfn.XLOOKUP(B23,Disk_Pivot!G:G,Disk_Pivot!N:N)</f>
        <v>Pass, Fail</v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Yes x2</v>
      </c>
      <c r="U24" t="str">
        <f>_xlfn.XLOOKUP(B24,Disk_Pivot!G:G,Disk_Pivot!N:N)</f>
        <v>Pass, Fail</v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Yes x2</v>
      </c>
      <c r="U25" t="str">
        <f>_xlfn.XLOOKUP(B25,Disk_Pivot!G:G,Disk_Pivot!N:N)</f>
        <v>Pass, Fail</v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Yes x2</v>
      </c>
      <c r="U26" t="str">
        <f>_xlfn.XLOOKUP(B26,Disk_Pivot!G:G,Disk_Pivot!N:N)</f>
        <v>Pass, Fail</v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Yes x2</v>
      </c>
      <c r="U27" t="str">
        <f>_xlfn.XLOOKUP(B27,Disk_Pivot!G:G,Disk_Pivot!N:N)</f>
        <v>Pass, Fail</v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Yes x2</v>
      </c>
      <c r="U28" t="str">
        <f>_xlfn.XLOOKUP(B28,Disk_Pivot!G:G,Disk_Pivot!N:N)</f>
        <v>Pass, Fail</v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Yes x2</v>
      </c>
      <c r="U29" t="str">
        <f>_xlfn.XLOOKUP(B29,Disk_Pivot!G:G,Disk_Pivot!N:N)</f>
        <v>Pass, Fail</v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Yes x2</v>
      </c>
      <c r="U30" t="str">
        <f>_xlfn.XLOOKUP(B30,Disk_Pivot!G:G,Disk_Pivot!N:N)</f>
        <v>Pass, Fail</v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Yes x2</v>
      </c>
      <c r="U31" t="str">
        <f>_xlfn.XLOOKUP(B31,Disk_Pivot!G:G,Disk_Pivot!N:N)</f>
        <v>Pass, Fail</v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Yes x2</v>
      </c>
      <c r="U32" t="str">
        <f>_xlfn.XLOOKUP(B32,Disk_Pivot!G:G,Disk_Pivot!N:N)</f>
        <v>Pass, Fail</v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Yes x2</v>
      </c>
      <c r="U33" t="str">
        <f>_xlfn.XLOOKUP(B33,Disk_Pivot!G:G,Disk_Pivot!N:N)</f>
        <v>Pass, Fail</v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Yes x2</v>
      </c>
      <c r="U34" t="str">
        <f>_xlfn.XLOOKUP(B34,Disk_Pivot!G:G,Disk_Pivot!N:N)</f>
        <v>Pass, Fail</v>
      </c>
      <c r="V34" t="str">
        <f>IF(U34="Fail",MacReports!N34,"")</f>
        <v/>
      </c>
      <c r="AB34" t="str">
        <f t="shared" si="1"/>
        <v/>
      </c>
    </row>
    <row r="35" spans="1:28">
      <c r="A35" t="str">
        <f>MacReports!A35</f>
        <v/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ref="S35:S98" si="3">_xlfn.TEXTJOIN(", ",TRUE,Q35,R35,N35,O35,P35)</f>
        <v>Battery Defect, 0</v>
      </c>
      <c r="T35" t="str">
        <f>_xlfn.XLOOKUP(B35,Disk_Pivot!G:G,Disk_Pivot!I:I)</f>
        <v>Yes x2</v>
      </c>
      <c r="U35" t="str">
        <f>_xlfn.XLOOKUP(B35,Disk_Pivot!G:G,Disk_Pivot!N:N)</f>
        <v>Pass, Fail</v>
      </c>
      <c r="V35" t="str">
        <f>IF(U35="Fail",MacReports!N35,"")</f>
        <v/>
      </c>
      <c r="AB35" t="str">
        <f t="shared" ref="AB35:AB98" si="4">_xlfn.TEXTJOIN(", ",TRUE,Q35,R35)</f>
        <v/>
      </c>
    </row>
    <row r="36" spans="1:28">
      <c r="A36" t="str">
        <f>MacReports!A36</f>
        <v/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3"/>
        <v>Battery Defect, 0</v>
      </c>
      <c r="T36" t="str">
        <f>_xlfn.XLOOKUP(B36,Disk_Pivot!G:G,Disk_Pivot!I:I)</f>
        <v>Yes x2</v>
      </c>
      <c r="U36" t="str">
        <f>_xlfn.XLOOKUP(B36,Disk_Pivot!G:G,Disk_Pivot!N:N)</f>
        <v>Pass, Fail</v>
      </c>
      <c r="V36" t="str">
        <f>IF(U36="Fail",MacReports!N36,"")</f>
        <v/>
      </c>
      <c r="AB36" t="str">
        <f t="shared" si="4"/>
        <v/>
      </c>
    </row>
    <row r="37" spans="1:28">
      <c r="A37" t="str">
        <f>MacReports!A37</f>
        <v/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3"/>
        <v>Battery Defect, 0</v>
      </c>
      <c r="T37" t="str">
        <f>_xlfn.XLOOKUP(B37,Disk_Pivot!G:G,Disk_Pivot!I:I)</f>
        <v>Yes x2</v>
      </c>
      <c r="U37" t="str">
        <f>_xlfn.XLOOKUP(B37,Disk_Pivot!G:G,Disk_Pivot!N:N)</f>
        <v>Pass, Fail</v>
      </c>
      <c r="V37" t="str">
        <f>IF(U37="Fail",MacReports!N37,"")</f>
        <v/>
      </c>
      <c r="AB37" t="str">
        <f t="shared" si="4"/>
        <v/>
      </c>
    </row>
    <row r="38" spans="1:28">
      <c r="A38" t="str">
        <f>MacReports!A38</f>
        <v/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3"/>
        <v>Battery Defect, 0</v>
      </c>
      <c r="T38" t="str">
        <f>_xlfn.XLOOKUP(B38,Disk_Pivot!G:G,Disk_Pivot!I:I)</f>
        <v>Yes x2</v>
      </c>
      <c r="U38" t="str">
        <f>_xlfn.XLOOKUP(B38,Disk_Pivot!G:G,Disk_Pivot!N:N)</f>
        <v>Pass, Fail</v>
      </c>
      <c r="V38" t="str">
        <f>IF(U38="Fail",MacReports!N38,"")</f>
        <v/>
      </c>
      <c r="AB38" t="str">
        <f t="shared" si="4"/>
        <v/>
      </c>
    </row>
    <row r="39" spans="1:28">
      <c r="A39" t="str">
        <f>MacReports!A39</f>
        <v/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3"/>
        <v>Battery Defect, 0</v>
      </c>
      <c r="T39" t="str">
        <f>_xlfn.XLOOKUP(B39,Disk_Pivot!G:G,Disk_Pivot!I:I)</f>
        <v>Yes x2</v>
      </c>
      <c r="U39" t="str">
        <f>_xlfn.XLOOKUP(B39,Disk_Pivot!G:G,Disk_Pivot!N:N)</f>
        <v>Pass, Fail</v>
      </c>
      <c r="V39" t="str">
        <f>IF(U39="Fail",MacReports!N39,"")</f>
        <v/>
      </c>
      <c r="AB39" t="str">
        <f t="shared" si="4"/>
        <v/>
      </c>
    </row>
    <row r="40" spans="1:28">
      <c r="A40" t="str">
        <f>MacReports!A40</f>
        <v/>
      </c>
      <c r="B40">
        <f>MacReports!B40</f>
        <v>0</v>
      </c>
      <c r="C40">
        <f>MacReports!C40</f>
        <v>0</v>
      </c>
      <c r="E40" t="e">
        <f>_xlfn.XLOOKUP(G40,Models!A:A,Models!F:F)</f>
        <v>#N/A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3"/>
        <v>Battery Defect, 0</v>
      </c>
      <c r="T40" t="str">
        <f>_xlfn.XLOOKUP(B40,Disk_Pivot!G:G,Disk_Pivot!I:I)</f>
        <v>Yes x2</v>
      </c>
      <c r="U40" t="str">
        <f>_xlfn.XLOOKUP(B40,Disk_Pivot!G:G,Disk_Pivot!N:N)</f>
        <v>Pass, Fail</v>
      </c>
      <c r="V40" t="str">
        <f>IF(U40="Fail",MacReports!N40,"")</f>
        <v/>
      </c>
      <c r="AB40" t="str">
        <f t="shared" si="4"/>
        <v/>
      </c>
    </row>
    <row r="41" spans="1:28">
      <c r="A41" t="str">
        <f>MacReports!A41</f>
        <v/>
      </c>
      <c r="B41">
        <f>MacReports!B41</f>
        <v>0</v>
      </c>
      <c r="C41">
        <f>MacReports!C41</f>
        <v>0</v>
      </c>
      <c r="E41" t="e">
        <f>_xlfn.XLOOKUP(G41,Models!A:A,Models!F:F)</f>
        <v>#N/A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3"/>
        <v>Battery Defect, 0</v>
      </c>
      <c r="T41" t="str">
        <f>_xlfn.XLOOKUP(B41,Disk_Pivot!G:G,Disk_Pivot!I:I)</f>
        <v>Yes x2</v>
      </c>
      <c r="U41" t="str">
        <f>_xlfn.XLOOKUP(B41,Disk_Pivot!G:G,Disk_Pivot!N:N)</f>
        <v>Pass, Fail</v>
      </c>
      <c r="V41" t="str">
        <f>IF(U41="Fail",MacReports!N41,"")</f>
        <v/>
      </c>
      <c r="AB41" t="str">
        <f t="shared" si="4"/>
        <v/>
      </c>
    </row>
    <row r="42" spans="1:28">
      <c r="A42" t="str">
        <f>MacReports!A42</f>
        <v/>
      </c>
      <c r="B42">
        <f>MacReports!B42</f>
        <v>0</v>
      </c>
      <c r="C42">
        <f>MacReports!C42</f>
        <v>0</v>
      </c>
      <c r="E42" t="e">
        <f>_xlfn.XLOOKUP(G42,Models!A:A,Models!F:F)</f>
        <v>#N/A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3"/>
        <v>Battery Defect, 0</v>
      </c>
      <c r="T42" t="str">
        <f>_xlfn.XLOOKUP(B42,Disk_Pivot!G:G,Disk_Pivot!I:I)</f>
        <v>Yes x2</v>
      </c>
      <c r="U42" t="str">
        <f>_xlfn.XLOOKUP(B42,Disk_Pivot!G:G,Disk_Pivot!N:N)</f>
        <v>Pass, Fail</v>
      </c>
      <c r="V42" t="str">
        <f>IF(U42="Fail",MacReports!N42,"")</f>
        <v/>
      </c>
      <c r="AB42" t="str">
        <f t="shared" si="4"/>
        <v/>
      </c>
    </row>
    <row r="43" spans="1:28">
      <c r="A43" t="str">
        <f>MacReports!A43</f>
        <v/>
      </c>
      <c r="B43">
        <f>MacReports!B43</f>
        <v>0</v>
      </c>
      <c r="C43">
        <f>MacReports!C43</f>
        <v>0</v>
      </c>
      <c r="E43" t="e">
        <f>_xlfn.XLOOKUP(G43,Models!A:A,Models!F:F)</f>
        <v>#N/A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3"/>
        <v>Battery Defect, 0</v>
      </c>
      <c r="T43" t="str">
        <f>_xlfn.XLOOKUP(B43,Disk_Pivot!G:G,Disk_Pivot!I:I)</f>
        <v>Yes x2</v>
      </c>
      <c r="U43" t="str">
        <f>_xlfn.XLOOKUP(B43,Disk_Pivot!G:G,Disk_Pivot!N:N)</f>
        <v>Pass, Fail</v>
      </c>
      <c r="V43" t="str">
        <f>IF(U43="Fail",MacReports!N43,"")</f>
        <v/>
      </c>
      <c r="AB43" t="str">
        <f t="shared" si="4"/>
        <v/>
      </c>
    </row>
    <row r="44" spans="1:28">
      <c r="A44" t="str">
        <f>MacReports!A44</f>
        <v/>
      </c>
      <c r="B44">
        <f>MacReports!B44</f>
        <v>0</v>
      </c>
      <c r="C44">
        <f>MacReports!C44</f>
        <v>0</v>
      </c>
      <c r="E44" t="e">
        <f>_xlfn.XLOOKUP(G44,Models!A:A,Models!F:F)</f>
        <v>#N/A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3"/>
        <v>Battery Defect, 0</v>
      </c>
      <c r="T44" t="str">
        <f>_xlfn.XLOOKUP(B44,Disk_Pivot!G:G,Disk_Pivot!I:I)</f>
        <v>Yes x2</v>
      </c>
      <c r="U44" t="str">
        <f>_xlfn.XLOOKUP(B44,Disk_Pivot!G:G,Disk_Pivot!N:N)</f>
        <v>Pass, Fail</v>
      </c>
      <c r="V44" t="str">
        <f>IF(U44="Fail",MacReports!N44,"")</f>
        <v/>
      </c>
      <c r="AB44" t="str">
        <f t="shared" si="4"/>
        <v/>
      </c>
    </row>
    <row r="45" spans="1:28">
      <c r="A45" t="str">
        <f>MacReports!A45</f>
        <v/>
      </c>
      <c r="B45">
        <f>MacReports!B45</f>
        <v>0</v>
      </c>
      <c r="C45">
        <f>MacReports!C45</f>
        <v>0</v>
      </c>
      <c r="E45" t="e">
        <f>_xlfn.XLOOKUP(G45,Models!A:A,Models!F:F)</f>
        <v>#N/A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3"/>
        <v>Battery Defect, 0</v>
      </c>
      <c r="T45" t="str">
        <f>_xlfn.XLOOKUP(B45,Disk_Pivot!G:G,Disk_Pivot!I:I)</f>
        <v>Yes x2</v>
      </c>
      <c r="U45" t="str">
        <f>_xlfn.XLOOKUP(B45,Disk_Pivot!G:G,Disk_Pivot!N:N)</f>
        <v>Pass, Fail</v>
      </c>
      <c r="V45" t="str">
        <f>IF(U45="Fail",MacReports!N45,"")</f>
        <v/>
      </c>
      <c r="AB45" t="str">
        <f t="shared" si="4"/>
        <v/>
      </c>
    </row>
    <row r="46" spans="1:28">
      <c r="A46" t="str">
        <f>MacReports!A46</f>
        <v/>
      </c>
      <c r="B46">
        <f>MacReports!B46</f>
        <v>0</v>
      </c>
      <c r="C46">
        <f>MacReports!C46</f>
        <v>0</v>
      </c>
      <c r="E46" t="e">
        <f>_xlfn.XLOOKUP(G46,Models!A:A,Models!F:F)</f>
        <v>#N/A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3"/>
        <v>Battery Defect, 0</v>
      </c>
      <c r="T46" t="str">
        <f>_xlfn.XLOOKUP(B46,Disk_Pivot!G:G,Disk_Pivot!I:I)</f>
        <v>Yes x2</v>
      </c>
      <c r="U46" t="str">
        <f>_xlfn.XLOOKUP(B46,Disk_Pivot!G:G,Disk_Pivot!N:N)</f>
        <v>Pass, Fail</v>
      </c>
      <c r="V46" t="str">
        <f>IF(U46="Fail",MacReports!N46,"")</f>
        <v/>
      </c>
      <c r="AB46" t="str">
        <f t="shared" si="4"/>
        <v/>
      </c>
    </row>
    <row r="47" spans="1:28">
      <c r="A47" t="str">
        <f>MacReports!A47</f>
        <v/>
      </c>
      <c r="B47">
        <f>MacReports!B47</f>
        <v>0</v>
      </c>
      <c r="C47">
        <f>MacReports!C47</f>
        <v>0</v>
      </c>
      <c r="E47" t="e">
        <f>_xlfn.XLOOKUP(G47,Models!A:A,Models!F:F)</f>
        <v>#N/A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3"/>
        <v>Battery Defect, 0</v>
      </c>
      <c r="T47" t="str">
        <f>_xlfn.XLOOKUP(B47,Disk_Pivot!G:G,Disk_Pivot!I:I)</f>
        <v>Yes x2</v>
      </c>
      <c r="U47" t="str">
        <f>_xlfn.XLOOKUP(B47,Disk_Pivot!G:G,Disk_Pivot!N:N)</f>
        <v>Pass, Fail</v>
      </c>
      <c r="V47" t="str">
        <f>IF(U47="Fail",MacReports!N47,"")</f>
        <v/>
      </c>
      <c r="AB47" t="str">
        <f t="shared" si="4"/>
        <v/>
      </c>
    </row>
    <row r="48" spans="1:28">
      <c r="A48" t="str">
        <f>MacReports!A48</f>
        <v/>
      </c>
      <c r="B48">
        <f>MacReports!B48</f>
        <v>0</v>
      </c>
      <c r="C48">
        <f>MacReports!C48</f>
        <v>0</v>
      </c>
      <c r="E48" t="e">
        <f>_xlfn.XLOOKUP(G48,Models!A:A,Models!F:F)</f>
        <v>#N/A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3"/>
        <v>Battery Defect, 0</v>
      </c>
      <c r="T48" t="str">
        <f>_xlfn.XLOOKUP(B48,Disk_Pivot!G:G,Disk_Pivot!I:I)</f>
        <v>Yes x2</v>
      </c>
      <c r="U48" t="str">
        <f>_xlfn.XLOOKUP(B48,Disk_Pivot!G:G,Disk_Pivot!N:N)</f>
        <v>Pass, Fail</v>
      </c>
      <c r="V48" t="str">
        <f>IF(U48="Fail",MacReports!N48,"")</f>
        <v/>
      </c>
      <c r="AB48" t="str">
        <f t="shared" si="4"/>
        <v/>
      </c>
    </row>
    <row r="49" spans="1:28">
      <c r="A49" t="str">
        <f>MacReports!A49</f>
        <v/>
      </c>
      <c r="B49">
        <f>MacReports!B49</f>
        <v>0</v>
      </c>
      <c r="C49">
        <f>MacReports!C49</f>
        <v>0</v>
      </c>
      <c r="E49" t="e">
        <f>_xlfn.XLOOKUP(G49,Models!A:A,Models!F:F)</f>
        <v>#N/A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3"/>
        <v>Battery Defect, 0</v>
      </c>
      <c r="T49" t="str">
        <f>_xlfn.XLOOKUP(B49,Disk_Pivot!G:G,Disk_Pivot!I:I)</f>
        <v>Yes x2</v>
      </c>
      <c r="U49" t="str">
        <f>_xlfn.XLOOKUP(B49,Disk_Pivot!G:G,Disk_Pivot!N:N)</f>
        <v>Pass, Fail</v>
      </c>
      <c r="V49" t="str">
        <f>IF(U49="Fail",MacReports!N49,"")</f>
        <v/>
      </c>
      <c r="AB49" t="str">
        <f t="shared" si="4"/>
        <v/>
      </c>
    </row>
    <row r="50" spans="1:28">
      <c r="A50" t="str">
        <f>MacReports!A50</f>
        <v/>
      </c>
      <c r="B50">
        <f>MacReports!B50</f>
        <v>0</v>
      </c>
      <c r="C50">
        <f>MacReports!C50</f>
        <v>0</v>
      </c>
      <c r="E50" t="e">
        <f>_xlfn.XLOOKUP(G50,Models!A:A,Models!F:F)</f>
        <v>#N/A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3"/>
        <v>Battery Defect, 0</v>
      </c>
      <c r="T50" t="str">
        <f>_xlfn.XLOOKUP(B50,Disk_Pivot!G:G,Disk_Pivot!I:I)</f>
        <v>Yes x2</v>
      </c>
      <c r="U50" t="str">
        <f>_xlfn.XLOOKUP(B50,Disk_Pivot!G:G,Disk_Pivot!N:N)</f>
        <v>Pass, Fail</v>
      </c>
      <c r="V50" t="str">
        <f>IF(U50="Fail",MacReports!N50,"")</f>
        <v/>
      </c>
      <c r="AB50" t="str">
        <f t="shared" si="4"/>
        <v/>
      </c>
    </row>
    <row r="51" spans="1:28">
      <c r="A51" t="str">
        <f>MacReports!A51</f>
        <v/>
      </c>
      <c r="B51">
        <f>MacReports!B51</f>
        <v>0</v>
      </c>
      <c r="C51">
        <f>MacReports!C51</f>
        <v>0</v>
      </c>
      <c r="E51" t="e">
        <f>_xlfn.XLOOKUP(G51,Models!A:A,Models!F:F)</f>
        <v>#N/A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3"/>
        <v>Battery Defect, 0</v>
      </c>
      <c r="T51" t="str">
        <f>_xlfn.XLOOKUP(B51,Disk_Pivot!G:G,Disk_Pivot!I:I)</f>
        <v>Yes x2</v>
      </c>
      <c r="U51" t="str">
        <f>_xlfn.XLOOKUP(B51,Disk_Pivot!G:G,Disk_Pivot!N:N)</f>
        <v>Pass, Fail</v>
      </c>
      <c r="V51" t="str">
        <f>IF(U51="Fail",MacReports!N51,"")</f>
        <v/>
      </c>
      <c r="AB51" t="str">
        <f t="shared" si="4"/>
        <v/>
      </c>
    </row>
    <row r="52" spans="1:28">
      <c r="A52" t="str">
        <f>MacReports!A52</f>
        <v/>
      </c>
      <c r="B52">
        <f>MacReports!B52</f>
        <v>0</v>
      </c>
      <c r="C52">
        <f>MacReports!C52</f>
        <v>0</v>
      </c>
      <c r="E52" t="e">
        <f>_xlfn.XLOOKUP(G52,Models!A:A,Models!F:F)</f>
        <v>#N/A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3"/>
        <v>Battery Defect, 0</v>
      </c>
      <c r="T52" t="str">
        <f>_xlfn.XLOOKUP(B52,Disk_Pivot!G:G,Disk_Pivot!I:I)</f>
        <v>Yes x2</v>
      </c>
      <c r="U52" t="str">
        <f>_xlfn.XLOOKUP(B52,Disk_Pivot!G:G,Disk_Pivot!N:N)</f>
        <v>Pass, Fail</v>
      </c>
      <c r="V52" t="str">
        <f>IF(U52="Fail",MacReports!N52,"")</f>
        <v/>
      </c>
      <c r="AB52" t="str">
        <f t="shared" si="4"/>
        <v/>
      </c>
    </row>
    <row r="53" spans="1:28">
      <c r="A53" t="str">
        <f>MacReports!A53</f>
        <v/>
      </c>
      <c r="B53">
        <f>MacReports!B53</f>
        <v>0</v>
      </c>
      <c r="C53">
        <f>MacReports!C53</f>
        <v>0</v>
      </c>
      <c r="E53" t="e">
        <f>_xlfn.XLOOKUP(G53,Models!A:A,Models!F:F)</f>
        <v>#N/A</v>
      </c>
      <c r="F53" t="str">
        <f>_xlfn.XLOOKUP(B53,MacReports!B:B,MacReports!D:D,"")</f>
        <v/>
      </c>
      <c r="G53" s="13">
        <f>MacReports!E53</f>
        <v>0</v>
      </c>
      <c r="H53" t="e">
        <f>_xlfn.XLOOKUP(G53,Models!A:A,Models!B:B)</f>
        <v>#N/A</v>
      </c>
      <c r="I53" t="e">
        <f>_xlfn.XLOOKUP(G53,Models!A:A,Models!E:E)</f>
        <v>#N/A</v>
      </c>
      <c r="J53" t="e">
        <f>_xlfn.XLOOKUP(G53,Models!A:A,Models!D:D)</f>
        <v>#N/A</v>
      </c>
      <c r="K53">
        <f>MacReports!F53</f>
        <v>0</v>
      </c>
      <c r="L53">
        <f>MacReports!G53</f>
        <v>0</v>
      </c>
      <c r="M53" s="15" t="e" cm="1">
        <f t="array" ref="M53">--_xlfn.LET(
    _xlpm.txt, MacReports!H53,
    _xlpm.chars, MID(_xlpm.txt, _xlfn.SEQUENCE(LEN(_xlpm.txt)), 1),
    _xlfn.TEXTJOIN("", TRUE, IF(ISNUMBER(--_xlpm.chars), _xlpm.chars, ""))
)</f>
        <v>#VALUE!</v>
      </c>
      <c r="N53" s="16" t="str" cm="1">
        <f t="array" ref="N53">_xlfn.IFS(
   --MacReports!M53&lt;55,"Battery Defect",
  -- MacReports!M53&lt;=69,"Battery D",
  --MacReports!M53&lt;=80,"Battery C",
 --MacReports!M53&gt;80,""
)</f>
        <v>Battery Defect</v>
      </c>
      <c r="O53" s="16" t="str">
        <f>IF(MacReports!I53="Service","Battery Service","")</f>
        <v/>
      </c>
      <c r="P53" s="13">
        <f>MacReports!P53</f>
        <v>0</v>
      </c>
      <c r="Q53" s="13" t="str">
        <f>IF(MacReports!J53="Enabled","Apple ID Lock","")</f>
        <v/>
      </c>
      <c r="R53" s="13" t="str">
        <f>IF(MacReports!L53="y","Remote Locked","")</f>
        <v/>
      </c>
      <c r="S53" t="str">
        <f t="shared" si="3"/>
        <v>Battery Defect, 0</v>
      </c>
      <c r="T53" t="str">
        <f>_xlfn.XLOOKUP(B53,Disk_Pivot!G:G,Disk_Pivot!I:I)</f>
        <v>Yes x2</v>
      </c>
      <c r="U53" t="str">
        <f>_xlfn.XLOOKUP(B53,Disk_Pivot!G:G,Disk_Pivot!N:N)</f>
        <v>Pass, Fail</v>
      </c>
      <c r="V53" t="str">
        <f>IF(U53="Fail",MacReports!N53,"")</f>
        <v/>
      </c>
      <c r="AB53" t="str">
        <f t="shared" si="4"/>
        <v/>
      </c>
    </row>
    <row r="54" spans="1:28">
      <c r="A54" t="str">
        <f>MacReports!A54</f>
        <v/>
      </c>
      <c r="B54">
        <f>MacReports!B54</f>
        <v>0</v>
      </c>
      <c r="C54">
        <f>MacReports!C54</f>
        <v>0</v>
      </c>
      <c r="E54" t="e">
        <f>_xlfn.XLOOKUP(G54,Models!A:A,Models!F:F)</f>
        <v>#N/A</v>
      </c>
      <c r="F54" t="str">
        <f>_xlfn.XLOOKUP(B54,MacReports!B:B,MacReports!D:D,"")</f>
        <v/>
      </c>
      <c r="G54" s="13">
        <f>MacReports!E54</f>
        <v>0</v>
      </c>
      <c r="H54" t="e">
        <f>_xlfn.XLOOKUP(G54,Models!A:A,Models!B:B)</f>
        <v>#N/A</v>
      </c>
      <c r="I54" t="e">
        <f>_xlfn.XLOOKUP(G54,Models!A:A,Models!E:E)</f>
        <v>#N/A</v>
      </c>
      <c r="J54" t="e">
        <f>_xlfn.XLOOKUP(G54,Models!A:A,Models!D:D)</f>
        <v>#N/A</v>
      </c>
      <c r="K54">
        <f>MacReports!F54</f>
        <v>0</v>
      </c>
      <c r="L54">
        <f>MacReports!G54</f>
        <v>0</v>
      </c>
      <c r="M54" s="15" t="e" cm="1">
        <f t="array" ref="M54">--_xlfn.LET(
    _xlpm.txt, MacReports!H54,
    _xlpm.chars, MID(_xlpm.txt, _xlfn.SEQUENCE(LEN(_xlpm.txt)), 1),
    _xlfn.TEXTJOIN("", TRUE, IF(ISNUMBER(--_xlpm.chars), _xlpm.chars, ""))
)</f>
        <v>#VALUE!</v>
      </c>
      <c r="N54" s="16" t="str" cm="1">
        <f t="array" ref="N54">_xlfn.IFS(
   --MacReports!M54&lt;55,"Battery Defect",
  -- MacReports!M54&lt;=69,"Battery D",
  --MacReports!M54&lt;=80,"Battery C",
 --MacReports!M54&gt;80,""
)</f>
        <v>Battery Defect</v>
      </c>
      <c r="O54" s="16" t="str">
        <f>IF(MacReports!I54="Service","Battery Service","")</f>
        <v/>
      </c>
      <c r="P54" s="13">
        <f>MacReports!P54</f>
        <v>0</v>
      </c>
      <c r="Q54" s="13" t="str">
        <f>IF(MacReports!J54="Enabled","Apple ID Lock","")</f>
        <v/>
      </c>
      <c r="R54" s="13" t="str">
        <f>IF(MacReports!L54="y","Remote Locked","")</f>
        <v/>
      </c>
      <c r="S54" t="str">
        <f t="shared" si="3"/>
        <v>Battery Defect, 0</v>
      </c>
      <c r="T54" t="str">
        <f>_xlfn.XLOOKUP(B54,Disk_Pivot!G:G,Disk_Pivot!I:I)</f>
        <v>Yes x2</v>
      </c>
      <c r="U54" t="str">
        <f>_xlfn.XLOOKUP(B54,Disk_Pivot!G:G,Disk_Pivot!N:N)</f>
        <v>Pass, Fail</v>
      </c>
      <c r="V54" t="str">
        <f>IF(U54="Fail",MacReports!N54,"")</f>
        <v/>
      </c>
      <c r="AB54" t="str">
        <f t="shared" si="4"/>
        <v/>
      </c>
    </row>
    <row r="55" spans="1:28">
      <c r="A55" t="str">
        <f>MacReports!A55</f>
        <v/>
      </c>
      <c r="B55">
        <f>MacReports!B55</f>
        <v>0</v>
      </c>
      <c r="C55">
        <f>MacReports!C55</f>
        <v>0</v>
      </c>
      <c r="E55" t="e">
        <f>_xlfn.XLOOKUP(G55,Models!A:A,Models!F:F)</f>
        <v>#N/A</v>
      </c>
      <c r="F55" t="str">
        <f>_xlfn.XLOOKUP(B55,MacReports!B:B,MacReports!D:D,"")</f>
        <v/>
      </c>
      <c r="G55" s="13">
        <f>MacReports!E55</f>
        <v>0</v>
      </c>
      <c r="H55" t="e">
        <f>_xlfn.XLOOKUP(G55,Models!A:A,Models!B:B)</f>
        <v>#N/A</v>
      </c>
      <c r="I55" t="e">
        <f>_xlfn.XLOOKUP(G55,Models!A:A,Models!E:E)</f>
        <v>#N/A</v>
      </c>
      <c r="J55" t="e">
        <f>_xlfn.XLOOKUP(G55,Models!A:A,Models!D:D)</f>
        <v>#N/A</v>
      </c>
      <c r="K55">
        <f>MacReports!F55</f>
        <v>0</v>
      </c>
      <c r="L55">
        <f>MacReports!G55</f>
        <v>0</v>
      </c>
      <c r="M55" s="15" t="e" cm="1">
        <f t="array" ref="M55">--_xlfn.LET(
    _xlpm.txt, MacReports!H55,
    _xlpm.chars, MID(_xlpm.txt, _xlfn.SEQUENCE(LEN(_xlpm.txt)), 1),
    _xlfn.TEXTJOIN("", TRUE, IF(ISNUMBER(--_xlpm.chars), _xlpm.chars, ""))
)</f>
        <v>#VALUE!</v>
      </c>
      <c r="N55" s="16" t="str" cm="1">
        <f t="array" ref="N55">_xlfn.IFS(
   --MacReports!M55&lt;55,"Battery Defect",
  -- MacReports!M55&lt;=69,"Battery D",
  --MacReports!M55&lt;=80,"Battery C",
 --MacReports!M55&gt;80,""
)</f>
        <v>Battery Defect</v>
      </c>
      <c r="O55" s="16" t="str">
        <f>IF(MacReports!I55="Service","Battery Service","")</f>
        <v/>
      </c>
      <c r="P55" s="13">
        <f>MacReports!P55</f>
        <v>0</v>
      </c>
      <c r="Q55" s="13" t="str">
        <f>IF(MacReports!J55="Enabled","Apple ID Lock","")</f>
        <v/>
      </c>
      <c r="R55" s="13" t="str">
        <f>IF(MacReports!L55="y","Remote Locked","")</f>
        <v/>
      </c>
      <c r="S55" t="str">
        <f t="shared" si="3"/>
        <v>Battery Defect, 0</v>
      </c>
      <c r="T55" t="str">
        <f>_xlfn.XLOOKUP(B55,Disk_Pivot!G:G,Disk_Pivot!I:I)</f>
        <v>Yes x2</v>
      </c>
      <c r="U55" t="str">
        <f>_xlfn.XLOOKUP(B55,Disk_Pivot!G:G,Disk_Pivot!N:N)</f>
        <v>Pass, Fail</v>
      </c>
      <c r="V55" t="str">
        <f>IF(U55="Fail",MacReports!N55,"")</f>
        <v/>
      </c>
      <c r="AB55" t="str">
        <f t="shared" si="4"/>
        <v/>
      </c>
    </row>
    <row r="56" spans="1:28">
      <c r="A56" t="str">
        <f>MacReports!A56</f>
        <v/>
      </c>
      <c r="B56">
        <f>MacReports!B56</f>
        <v>0</v>
      </c>
      <c r="C56">
        <f>MacReports!C56</f>
        <v>0</v>
      </c>
      <c r="E56" t="e">
        <f>_xlfn.XLOOKUP(G56,Models!A:A,Models!F:F)</f>
        <v>#N/A</v>
      </c>
      <c r="F56" t="str">
        <f>_xlfn.XLOOKUP(B56,MacReports!B:B,MacReports!D:D,"")</f>
        <v/>
      </c>
      <c r="G56" s="13">
        <f>MacReports!E56</f>
        <v>0</v>
      </c>
      <c r="H56" t="e">
        <f>_xlfn.XLOOKUP(G56,Models!A:A,Models!B:B)</f>
        <v>#N/A</v>
      </c>
      <c r="I56" t="e">
        <f>_xlfn.XLOOKUP(G56,Models!A:A,Models!E:E)</f>
        <v>#N/A</v>
      </c>
      <c r="J56" t="e">
        <f>_xlfn.XLOOKUP(G56,Models!A:A,Models!D:D)</f>
        <v>#N/A</v>
      </c>
      <c r="K56">
        <f>MacReports!F56</f>
        <v>0</v>
      </c>
      <c r="L56">
        <f>MacReports!G56</f>
        <v>0</v>
      </c>
      <c r="M56" s="15" t="e" cm="1">
        <f t="array" ref="M56">--_xlfn.LET(
    _xlpm.txt, MacReports!H56,
    _xlpm.chars, MID(_xlpm.txt, _xlfn.SEQUENCE(LEN(_xlpm.txt)), 1),
    _xlfn.TEXTJOIN("", TRUE, IF(ISNUMBER(--_xlpm.chars), _xlpm.chars, ""))
)</f>
        <v>#VALUE!</v>
      </c>
      <c r="N56" s="16" t="str" cm="1">
        <f t="array" ref="N56">_xlfn.IFS(
   --MacReports!M56&lt;55,"Battery Defect",
  -- MacReports!M56&lt;=69,"Battery D",
  --MacReports!M56&lt;=80,"Battery C",
 --MacReports!M56&gt;80,""
)</f>
        <v>Battery Defect</v>
      </c>
      <c r="O56" s="16" t="str">
        <f>IF(MacReports!I56="Service","Battery Service","")</f>
        <v/>
      </c>
      <c r="P56" s="13">
        <f>MacReports!P56</f>
        <v>0</v>
      </c>
      <c r="Q56" s="13" t="str">
        <f>IF(MacReports!J56="Enabled","Apple ID Lock","")</f>
        <v/>
      </c>
      <c r="R56" s="13" t="str">
        <f>IF(MacReports!L56="y","Remote Locked","")</f>
        <v/>
      </c>
      <c r="S56" t="str">
        <f t="shared" si="3"/>
        <v>Battery Defect, 0</v>
      </c>
      <c r="T56" t="str">
        <f>_xlfn.XLOOKUP(B56,Disk_Pivot!G:G,Disk_Pivot!I:I)</f>
        <v>Yes x2</v>
      </c>
      <c r="U56" t="str">
        <f>_xlfn.XLOOKUP(B56,Disk_Pivot!G:G,Disk_Pivot!N:N)</f>
        <v>Pass, Fail</v>
      </c>
      <c r="V56" t="str">
        <f>IF(U56="Fail",MacReports!N56,"")</f>
        <v/>
      </c>
      <c r="AB56" t="str">
        <f t="shared" si="4"/>
        <v/>
      </c>
    </row>
    <row r="57" spans="1:28">
      <c r="A57" t="str">
        <f>MacReports!A57</f>
        <v/>
      </c>
      <c r="B57">
        <f>MacReports!B57</f>
        <v>0</v>
      </c>
      <c r="C57">
        <f>MacReports!C57</f>
        <v>0</v>
      </c>
      <c r="E57" t="e">
        <f>_xlfn.XLOOKUP(G57,Models!A:A,Models!F:F)</f>
        <v>#N/A</v>
      </c>
      <c r="F57" t="str">
        <f>_xlfn.XLOOKUP(B57,MacReports!B:B,MacReports!D:D,"")</f>
        <v/>
      </c>
      <c r="G57" s="13">
        <f>MacReports!E57</f>
        <v>0</v>
      </c>
      <c r="H57" t="e">
        <f>_xlfn.XLOOKUP(G57,Models!A:A,Models!B:B)</f>
        <v>#N/A</v>
      </c>
      <c r="I57" t="e">
        <f>_xlfn.XLOOKUP(G57,Models!A:A,Models!E:E)</f>
        <v>#N/A</v>
      </c>
      <c r="J57" t="e">
        <f>_xlfn.XLOOKUP(G57,Models!A:A,Models!D:D)</f>
        <v>#N/A</v>
      </c>
      <c r="K57">
        <f>MacReports!F57</f>
        <v>0</v>
      </c>
      <c r="L57">
        <f>MacReports!G57</f>
        <v>0</v>
      </c>
      <c r="M57" s="15" t="e" cm="1">
        <f t="array" ref="M57">--_xlfn.LET(
    _xlpm.txt, MacReports!H57,
    _xlpm.chars, MID(_xlpm.txt, _xlfn.SEQUENCE(LEN(_xlpm.txt)), 1),
    _xlfn.TEXTJOIN("", TRUE, IF(ISNUMBER(--_xlpm.chars), _xlpm.chars, ""))
)</f>
        <v>#VALUE!</v>
      </c>
      <c r="N57" s="16" t="str" cm="1">
        <f t="array" ref="N57">_xlfn.IFS(
   --MacReports!M57&lt;55,"Battery Defect",
  -- MacReports!M57&lt;=69,"Battery D",
  --MacReports!M57&lt;=80,"Battery C",
 --MacReports!M57&gt;80,""
)</f>
        <v>Battery Defect</v>
      </c>
      <c r="O57" s="16" t="str">
        <f>IF(MacReports!I57="Service","Battery Service","")</f>
        <v/>
      </c>
      <c r="P57" s="13">
        <f>MacReports!P57</f>
        <v>0</v>
      </c>
      <c r="Q57" s="13" t="str">
        <f>IF(MacReports!J57="Enabled","Apple ID Lock","")</f>
        <v/>
      </c>
      <c r="R57" s="13" t="str">
        <f>IF(MacReports!L57="y","Remote Locked","")</f>
        <v/>
      </c>
      <c r="S57" t="str">
        <f t="shared" si="3"/>
        <v>Battery Defect, 0</v>
      </c>
      <c r="T57" t="str">
        <f>_xlfn.XLOOKUP(B57,Disk_Pivot!G:G,Disk_Pivot!I:I)</f>
        <v>Yes x2</v>
      </c>
      <c r="U57" t="str">
        <f>_xlfn.XLOOKUP(B57,Disk_Pivot!G:G,Disk_Pivot!N:N)</f>
        <v>Pass, Fail</v>
      </c>
      <c r="V57" t="str">
        <f>IF(U57="Fail",MacReports!N57,"")</f>
        <v/>
      </c>
      <c r="AB57" t="str">
        <f t="shared" si="4"/>
        <v/>
      </c>
    </row>
    <row r="58" spans="1:28">
      <c r="A58" t="str">
        <f>MacReports!A58</f>
        <v/>
      </c>
      <c r="B58">
        <f>MacReports!B58</f>
        <v>0</v>
      </c>
      <c r="C58">
        <f>MacReports!C58</f>
        <v>0</v>
      </c>
      <c r="E58" t="e">
        <f>_xlfn.XLOOKUP(G58,Models!A:A,Models!F:F)</f>
        <v>#N/A</v>
      </c>
      <c r="F58" t="str">
        <f>_xlfn.XLOOKUP(B58,MacReports!B:B,MacReports!D:D,"")</f>
        <v/>
      </c>
      <c r="G58" s="13">
        <f>MacReports!E58</f>
        <v>0</v>
      </c>
      <c r="H58" t="e">
        <f>_xlfn.XLOOKUP(G58,Models!A:A,Models!B:B)</f>
        <v>#N/A</v>
      </c>
      <c r="I58" t="e">
        <f>_xlfn.XLOOKUP(G58,Models!A:A,Models!E:E)</f>
        <v>#N/A</v>
      </c>
      <c r="J58" t="e">
        <f>_xlfn.XLOOKUP(G58,Models!A:A,Models!D:D)</f>
        <v>#N/A</v>
      </c>
      <c r="K58">
        <f>MacReports!F58</f>
        <v>0</v>
      </c>
      <c r="L58">
        <f>MacReports!G58</f>
        <v>0</v>
      </c>
      <c r="M58" s="15" t="e" cm="1">
        <f t="array" ref="M58">--_xlfn.LET(
    _xlpm.txt, MacReports!H58,
    _xlpm.chars, MID(_xlpm.txt, _xlfn.SEQUENCE(LEN(_xlpm.txt)), 1),
    _xlfn.TEXTJOIN("", TRUE, IF(ISNUMBER(--_xlpm.chars), _xlpm.chars, ""))
)</f>
        <v>#VALUE!</v>
      </c>
      <c r="N58" s="16" t="str" cm="1">
        <f t="array" ref="N58">_xlfn.IFS(
   --MacReports!M58&lt;55,"Battery Defect",
  -- MacReports!M58&lt;=69,"Battery D",
  --MacReports!M58&lt;=80,"Battery C",
 --MacReports!M58&gt;80,""
)</f>
        <v>Battery Defect</v>
      </c>
      <c r="O58" s="16" t="str">
        <f>IF(MacReports!I58="Service","Battery Service","")</f>
        <v/>
      </c>
      <c r="P58" s="13">
        <f>MacReports!P58</f>
        <v>0</v>
      </c>
      <c r="Q58" s="13" t="str">
        <f>IF(MacReports!J58="Enabled","Apple ID Lock","")</f>
        <v/>
      </c>
      <c r="R58" s="13" t="str">
        <f>IF(MacReports!L58="y","Remote Locked","")</f>
        <v/>
      </c>
      <c r="S58" t="str">
        <f t="shared" si="3"/>
        <v>Battery Defect, 0</v>
      </c>
      <c r="T58" t="str">
        <f>_xlfn.XLOOKUP(B58,Disk_Pivot!G:G,Disk_Pivot!I:I)</f>
        <v>Yes x2</v>
      </c>
      <c r="U58" t="str">
        <f>_xlfn.XLOOKUP(B58,Disk_Pivot!G:G,Disk_Pivot!N:N)</f>
        <v>Pass, Fail</v>
      </c>
      <c r="V58" t="str">
        <f>IF(U58="Fail",MacReports!N58,"")</f>
        <v/>
      </c>
      <c r="AB58" t="str">
        <f t="shared" si="4"/>
        <v/>
      </c>
    </row>
    <row r="59" spans="1:28">
      <c r="A59" t="str">
        <f>MacReports!A59</f>
        <v/>
      </c>
      <c r="B59">
        <f>MacReports!B59</f>
        <v>0</v>
      </c>
      <c r="C59">
        <f>MacReports!C59</f>
        <v>0</v>
      </c>
      <c r="E59" t="e">
        <f>_xlfn.XLOOKUP(G59,Models!A:A,Models!F:F)</f>
        <v>#N/A</v>
      </c>
      <c r="F59" t="str">
        <f>_xlfn.XLOOKUP(B59,MacReports!B:B,MacReports!D:D,"")</f>
        <v/>
      </c>
      <c r="G59" s="13">
        <f>MacReports!E59</f>
        <v>0</v>
      </c>
      <c r="H59" t="e">
        <f>_xlfn.XLOOKUP(G59,Models!A:A,Models!B:B)</f>
        <v>#N/A</v>
      </c>
      <c r="I59" t="e">
        <f>_xlfn.XLOOKUP(G59,Models!A:A,Models!E:E)</f>
        <v>#N/A</v>
      </c>
      <c r="J59" t="e">
        <f>_xlfn.XLOOKUP(G59,Models!A:A,Models!D:D)</f>
        <v>#N/A</v>
      </c>
      <c r="K59">
        <f>MacReports!F59</f>
        <v>0</v>
      </c>
      <c r="L59">
        <f>MacReports!G59</f>
        <v>0</v>
      </c>
      <c r="M59" s="15" t="e" cm="1">
        <f t="array" ref="M59">--_xlfn.LET(
    _xlpm.txt, MacReports!H59,
    _xlpm.chars, MID(_xlpm.txt, _xlfn.SEQUENCE(LEN(_xlpm.txt)), 1),
    _xlfn.TEXTJOIN("", TRUE, IF(ISNUMBER(--_xlpm.chars), _xlpm.chars, ""))
)</f>
        <v>#VALUE!</v>
      </c>
      <c r="N59" s="16" t="str" cm="1">
        <f t="array" ref="N59">_xlfn.IFS(
   --MacReports!M59&lt;55,"Battery Defect",
  -- MacReports!M59&lt;=69,"Battery D",
  --MacReports!M59&lt;=80,"Battery C",
 --MacReports!M59&gt;80,""
)</f>
        <v>Battery Defect</v>
      </c>
      <c r="O59" s="16" t="str">
        <f>IF(MacReports!I59="Service","Battery Service","")</f>
        <v/>
      </c>
      <c r="P59" s="13">
        <f>MacReports!P59</f>
        <v>0</v>
      </c>
      <c r="Q59" s="13" t="str">
        <f>IF(MacReports!J59="Enabled","Apple ID Lock","")</f>
        <v/>
      </c>
      <c r="R59" s="13" t="str">
        <f>IF(MacReports!L59="y","Remote Locked","")</f>
        <v/>
      </c>
      <c r="S59" t="str">
        <f t="shared" si="3"/>
        <v>Battery Defect, 0</v>
      </c>
      <c r="T59" t="str">
        <f>_xlfn.XLOOKUP(B59,Disk_Pivot!G:G,Disk_Pivot!I:I)</f>
        <v>Yes x2</v>
      </c>
      <c r="U59" t="str">
        <f>_xlfn.XLOOKUP(B59,Disk_Pivot!G:G,Disk_Pivot!N:N)</f>
        <v>Pass, Fail</v>
      </c>
      <c r="V59" t="str">
        <f>IF(U59="Fail",MacReports!N59,"")</f>
        <v/>
      </c>
      <c r="AB59" t="str">
        <f t="shared" si="4"/>
        <v/>
      </c>
    </row>
    <row r="60" spans="1:28">
      <c r="A60" t="str">
        <f>MacReports!A60</f>
        <v/>
      </c>
      <c r="B60">
        <f>MacReports!B60</f>
        <v>0</v>
      </c>
      <c r="C60">
        <f>MacReports!C60</f>
        <v>0</v>
      </c>
      <c r="E60" t="e">
        <f>_xlfn.XLOOKUP(G60,Models!A:A,Models!F:F)</f>
        <v>#N/A</v>
      </c>
      <c r="F60" t="str">
        <f>_xlfn.XLOOKUP(B60,MacReports!B:B,MacReports!D:D,"")</f>
        <v/>
      </c>
      <c r="G60" s="13">
        <f>MacReports!E60</f>
        <v>0</v>
      </c>
      <c r="H60" t="e">
        <f>_xlfn.XLOOKUP(G60,Models!A:A,Models!B:B)</f>
        <v>#N/A</v>
      </c>
      <c r="I60" t="e">
        <f>_xlfn.XLOOKUP(G60,Models!A:A,Models!E:E)</f>
        <v>#N/A</v>
      </c>
      <c r="J60" t="e">
        <f>_xlfn.XLOOKUP(G60,Models!A:A,Models!D:D)</f>
        <v>#N/A</v>
      </c>
      <c r="K60">
        <f>MacReports!F60</f>
        <v>0</v>
      </c>
      <c r="L60">
        <f>MacReports!G60</f>
        <v>0</v>
      </c>
      <c r="M60" s="15" t="e" cm="1">
        <f t="array" ref="M60">--_xlfn.LET(
    _xlpm.txt, MacReports!H60,
    _xlpm.chars, MID(_xlpm.txt, _xlfn.SEQUENCE(LEN(_xlpm.txt)), 1),
    _xlfn.TEXTJOIN("", TRUE, IF(ISNUMBER(--_xlpm.chars), _xlpm.chars, ""))
)</f>
        <v>#VALUE!</v>
      </c>
      <c r="N60" s="16" t="str" cm="1">
        <f t="array" ref="N60">_xlfn.IFS(
   --MacReports!M60&lt;55,"Battery Defect",
  -- MacReports!M60&lt;=69,"Battery D",
  --MacReports!M60&lt;=80,"Battery C",
 --MacReports!M60&gt;80,""
)</f>
        <v>Battery Defect</v>
      </c>
      <c r="O60" s="16" t="str">
        <f>IF(MacReports!I60="Service","Battery Service","")</f>
        <v/>
      </c>
      <c r="P60" s="13">
        <f>MacReports!P60</f>
        <v>0</v>
      </c>
      <c r="Q60" s="13" t="str">
        <f>IF(MacReports!J60="Enabled","Apple ID Lock","")</f>
        <v/>
      </c>
      <c r="R60" s="13" t="str">
        <f>IF(MacReports!L60="y","Remote Locked","")</f>
        <v/>
      </c>
      <c r="S60" t="str">
        <f t="shared" si="3"/>
        <v>Battery Defect, 0</v>
      </c>
      <c r="T60" t="str">
        <f>_xlfn.XLOOKUP(B60,Disk_Pivot!G:G,Disk_Pivot!I:I)</f>
        <v>Yes x2</v>
      </c>
      <c r="U60" t="str">
        <f>_xlfn.XLOOKUP(B60,Disk_Pivot!G:G,Disk_Pivot!N:N)</f>
        <v>Pass, Fail</v>
      </c>
      <c r="V60" t="str">
        <f>IF(U60="Fail",MacReports!N60,"")</f>
        <v/>
      </c>
      <c r="AB60" t="str">
        <f t="shared" si="4"/>
        <v/>
      </c>
    </row>
    <row r="61" spans="1:28">
      <c r="A61" t="str">
        <f>MacReports!A61</f>
        <v/>
      </c>
      <c r="B61">
        <f>MacReports!B61</f>
        <v>0</v>
      </c>
      <c r="C61">
        <f>MacReports!C61</f>
        <v>0</v>
      </c>
      <c r="E61" t="e">
        <f>_xlfn.XLOOKUP(G61,Models!A:A,Models!F:F)</f>
        <v>#N/A</v>
      </c>
      <c r="F61" t="str">
        <f>_xlfn.XLOOKUP(B61,MacReports!B:B,MacReports!D:D,"")</f>
        <v/>
      </c>
      <c r="G61" s="13">
        <f>MacReports!E61</f>
        <v>0</v>
      </c>
      <c r="H61" t="e">
        <f>_xlfn.XLOOKUP(G61,Models!A:A,Models!B:B)</f>
        <v>#N/A</v>
      </c>
      <c r="I61" t="e">
        <f>_xlfn.XLOOKUP(G61,Models!A:A,Models!E:E)</f>
        <v>#N/A</v>
      </c>
      <c r="J61" t="e">
        <f>_xlfn.XLOOKUP(G61,Models!A:A,Models!D:D)</f>
        <v>#N/A</v>
      </c>
      <c r="K61">
        <f>MacReports!F61</f>
        <v>0</v>
      </c>
      <c r="L61">
        <f>MacReports!G61</f>
        <v>0</v>
      </c>
      <c r="M61" s="15" t="e" cm="1">
        <f t="array" ref="M61">--_xlfn.LET(
    _xlpm.txt, MacReports!H61,
    _xlpm.chars, MID(_xlpm.txt, _xlfn.SEQUENCE(LEN(_xlpm.txt)), 1),
    _xlfn.TEXTJOIN("", TRUE, IF(ISNUMBER(--_xlpm.chars), _xlpm.chars, ""))
)</f>
        <v>#VALUE!</v>
      </c>
      <c r="N61" s="16" t="str" cm="1">
        <f t="array" ref="N61">_xlfn.IFS(
   --MacReports!M61&lt;55,"Battery Defect",
  -- MacReports!M61&lt;=69,"Battery D",
  --MacReports!M61&lt;=80,"Battery C",
 --MacReports!M61&gt;80,""
)</f>
        <v>Battery Defect</v>
      </c>
      <c r="O61" s="16" t="str">
        <f>IF(MacReports!I61="Service","Battery Service","")</f>
        <v/>
      </c>
      <c r="P61" s="13">
        <f>MacReports!P61</f>
        <v>0</v>
      </c>
      <c r="Q61" s="13" t="str">
        <f>IF(MacReports!J61="Enabled","Apple ID Lock","")</f>
        <v/>
      </c>
      <c r="R61" s="13" t="str">
        <f>IF(MacReports!L61="y","Remote Locked","")</f>
        <v/>
      </c>
      <c r="S61" t="str">
        <f t="shared" si="3"/>
        <v>Battery Defect, 0</v>
      </c>
      <c r="T61" t="str">
        <f>_xlfn.XLOOKUP(B61,Disk_Pivot!G:G,Disk_Pivot!I:I)</f>
        <v>Yes x2</v>
      </c>
      <c r="U61" t="str">
        <f>_xlfn.XLOOKUP(B61,Disk_Pivot!G:G,Disk_Pivot!N:N)</f>
        <v>Pass, Fail</v>
      </c>
      <c r="V61" t="str">
        <f>IF(U61="Fail",MacReports!N61,"")</f>
        <v/>
      </c>
      <c r="AB61" t="str">
        <f t="shared" si="4"/>
        <v/>
      </c>
    </row>
    <row r="62" spans="1:28">
      <c r="A62" t="str">
        <f>MacReports!A62</f>
        <v/>
      </c>
      <c r="B62">
        <f>MacReports!B62</f>
        <v>0</v>
      </c>
      <c r="C62">
        <f>MacReports!C62</f>
        <v>0</v>
      </c>
      <c r="E62" t="e">
        <f>_xlfn.XLOOKUP(G62,Models!A:A,Models!F:F)</f>
        <v>#N/A</v>
      </c>
      <c r="F62" t="str">
        <f>_xlfn.XLOOKUP(B62,MacReports!B:B,MacReports!D:D,"")</f>
        <v/>
      </c>
      <c r="G62" s="13">
        <f>MacReports!E62</f>
        <v>0</v>
      </c>
      <c r="H62" t="e">
        <f>_xlfn.XLOOKUP(G62,Models!A:A,Models!B:B)</f>
        <v>#N/A</v>
      </c>
      <c r="I62" t="e">
        <f>_xlfn.XLOOKUP(G62,Models!A:A,Models!E:E)</f>
        <v>#N/A</v>
      </c>
      <c r="J62" t="e">
        <f>_xlfn.XLOOKUP(G62,Models!A:A,Models!D:D)</f>
        <v>#N/A</v>
      </c>
      <c r="K62">
        <f>MacReports!F62</f>
        <v>0</v>
      </c>
      <c r="L62">
        <f>MacReports!G62</f>
        <v>0</v>
      </c>
      <c r="M62" s="15" t="e" cm="1">
        <f t="array" ref="M62">--_xlfn.LET(
    _xlpm.txt, MacReports!H62,
    _xlpm.chars, MID(_xlpm.txt, _xlfn.SEQUENCE(LEN(_xlpm.txt)), 1),
    _xlfn.TEXTJOIN("", TRUE, IF(ISNUMBER(--_xlpm.chars), _xlpm.chars, ""))
)</f>
        <v>#VALUE!</v>
      </c>
      <c r="N62" s="16" t="str" cm="1">
        <f t="array" ref="N62">_xlfn.IFS(
   --MacReports!M62&lt;55,"Battery Defect",
  -- MacReports!M62&lt;=69,"Battery D",
  --MacReports!M62&lt;=80,"Battery C",
 --MacReports!M62&gt;80,""
)</f>
        <v>Battery Defect</v>
      </c>
      <c r="O62" s="16" t="str">
        <f>IF(MacReports!I62="Service","Battery Service","")</f>
        <v/>
      </c>
      <c r="P62" s="13">
        <f>MacReports!P62</f>
        <v>0</v>
      </c>
      <c r="Q62" s="13" t="str">
        <f>IF(MacReports!J62="Enabled","Apple ID Lock","")</f>
        <v/>
      </c>
      <c r="R62" s="13" t="str">
        <f>IF(MacReports!L62="y","Remote Locked","")</f>
        <v/>
      </c>
      <c r="S62" t="str">
        <f t="shared" si="3"/>
        <v>Battery Defect, 0</v>
      </c>
      <c r="T62" t="str">
        <f>_xlfn.XLOOKUP(B62,Disk_Pivot!G:G,Disk_Pivot!I:I)</f>
        <v>Yes x2</v>
      </c>
      <c r="U62" t="str">
        <f>_xlfn.XLOOKUP(B62,Disk_Pivot!G:G,Disk_Pivot!N:N)</f>
        <v>Pass, Fail</v>
      </c>
      <c r="V62" t="str">
        <f>IF(U62="Fail",MacReports!N62,"")</f>
        <v/>
      </c>
      <c r="AB62" t="str">
        <f t="shared" si="4"/>
        <v/>
      </c>
    </row>
    <row r="63" spans="1:28">
      <c r="A63" t="str">
        <f>MacReports!A63</f>
        <v/>
      </c>
      <c r="B63">
        <f>MacReports!B63</f>
        <v>0</v>
      </c>
      <c r="C63">
        <f>MacReports!C63</f>
        <v>0</v>
      </c>
      <c r="E63" t="e">
        <f>_xlfn.XLOOKUP(G63,Models!A:A,Models!F:F)</f>
        <v>#N/A</v>
      </c>
      <c r="F63" t="str">
        <f>_xlfn.XLOOKUP(B63,MacReports!B:B,MacReports!D:D,"")</f>
        <v/>
      </c>
      <c r="G63" s="13">
        <f>MacReports!E63</f>
        <v>0</v>
      </c>
      <c r="H63" t="e">
        <f>_xlfn.XLOOKUP(G63,Models!A:A,Models!B:B)</f>
        <v>#N/A</v>
      </c>
      <c r="I63" t="e">
        <f>_xlfn.XLOOKUP(G63,Models!A:A,Models!E:E)</f>
        <v>#N/A</v>
      </c>
      <c r="J63" t="e">
        <f>_xlfn.XLOOKUP(G63,Models!A:A,Models!D:D)</f>
        <v>#N/A</v>
      </c>
      <c r="K63">
        <f>MacReports!F63</f>
        <v>0</v>
      </c>
      <c r="L63">
        <f>MacReports!G63</f>
        <v>0</v>
      </c>
      <c r="M63" s="15" t="e" cm="1">
        <f t="array" ref="M63">--_xlfn.LET(
    _xlpm.txt, MacReports!H63,
    _xlpm.chars, MID(_xlpm.txt, _xlfn.SEQUENCE(LEN(_xlpm.txt)), 1),
    _xlfn.TEXTJOIN("", TRUE, IF(ISNUMBER(--_xlpm.chars), _xlpm.chars, ""))
)</f>
        <v>#VALUE!</v>
      </c>
      <c r="N63" s="16" t="str" cm="1">
        <f t="array" ref="N63">_xlfn.IFS(
   --MacReports!M63&lt;55,"Battery Defect",
  -- MacReports!M63&lt;=69,"Battery D",
  --MacReports!M63&lt;=80,"Battery C",
 --MacReports!M63&gt;80,""
)</f>
        <v>Battery Defect</v>
      </c>
      <c r="O63" s="16" t="str">
        <f>IF(MacReports!I63="Service","Battery Service","")</f>
        <v/>
      </c>
      <c r="P63" s="13">
        <f>MacReports!P63</f>
        <v>0</v>
      </c>
      <c r="Q63" s="13" t="str">
        <f>IF(MacReports!J63="Enabled","Apple ID Lock","")</f>
        <v/>
      </c>
      <c r="R63" s="13" t="str">
        <f>IF(MacReports!L63="y","Remote Locked","")</f>
        <v/>
      </c>
      <c r="S63" t="str">
        <f t="shared" si="3"/>
        <v>Battery Defect, 0</v>
      </c>
      <c r="T63" t="str">
        <f>_xlfn.XLOOKUP(B63,Disk_Pivot!G:G,Disk_Pivot!I:I)</f>
        <v>Yes x2</v>
      </c>
      <c r="U63" t="str">
        <f>_xlfn.XLOOKUP(B63,Disk_Pivot!G:G,Disk_Pivot!N:N)</f>
        <v>Pass, Fail</v>
      </c>
      <c r="V63" t="str">
        <f>IF(U63="Fail",MacReports!N63,"")</f>
        <v/>
      </c>
      <c r="AB63" t="str">
        <f t="shared" si="4"/>
        <v/>
      </c>
    </row>
    <row r="64" spans="1:28">
      <c r="A64" t="str">
        <f>MacReports!A64</f>
        <v/>
      </c>
      <c r="B64">
        <f>MacReports!B64</f>
        <v>0</v>
      </c>
      <c r="C64">
        <f>MacReports!C64</f>
        <v>0</v>
      </c>
      <c r="E64" t="e">
        <f>_xlfn.XLOOKUP(G64,Models!A:A,Models!F:F)</f>
        <v>#N/A</v>
      </c>
      <c r="F64" t="str">
        <f>_xlfn.XLOOKUP(B64,MacReports!B:B,MacReports!D:D,"")</f>
        <v/>
      </c>
      <c r="G64" s="13">
        <f>MacReports!E64</f>
        <v>0</v>
      </c>
      <c r="H64" t="e">
        <f>_xlfn.XLOOKUP(G64,Models!A:A,Models!B:B)</f>
        <v>#N/A</v>
      </c>
      <c r="I64" t="e">
        <f>_xlfn.XLOOKUP(G64,Models!A:A,Models!E:E)</f>
        <v>#N/A</v>
      </c>
      <c r="J64" t="e">
        <f>_xlfn.XLOOKUP(G64,Models!A:A,Models!D:D)</f>
        <v>#N/A</v>
      </c>
      <c r="K64">
        <f>MacReports!F64</f>
        <v>0</v>
      </c>
      <c r="L64">
        <f>MacReports!G64</f>
        <v>0</v>
      </c>
      <c r="M64" s="15" t="e" cm="1">
        <f t="array" ref="M64">--_xlfn.LET(
    _xlpm.txt, MacReports!H64,
    _xlpm.chars, MID(_xlpm.txt, _xlfn.SEQUENCE(LEN(_xlpm.txt)), 1),
    _xlfn.TEXTJOIN("", TRUE, IF(ISNUMBER(--_xlpm.chars), _xlpm.chars, ""))
)</f>
        <v>#VALUE!</v>
      </c>
      <c r="N64" s="16" t="str" cm="1">
        <f t="array" ref="N64">_xlfn.IFS(
   --MacReports!M64&lt;55,"Battery Defect",
  -- MacReports!M64&lt;=69,"Battery D",
  --MacReports!M64&lt;=80,"Battery C",
 --MacReports!M64&gt;80,""
)</f>
        <v>Battery Defect</v>
      </c>
      <c r="O64" s="16" t="str">
        <f>IF(MacReports!I64="Service","Battery Service","")</f>
        <v/>
      </c>
      <c r="P64" s="13">
        <f>MacReports!P64</f>
        <v>0</v>
      </c>
      <c r="Q64" s="13" t="str">
        <f>IF(MacReports!J64="Enabled","Apple ID Lock","")</f>
        <v/>
      </c>
      <c r="R64" s="13" t="str">
        <f>IF(MacReports!L64="y","Remote Locked","")</f>
        <v/>
      </c>
      <c r="S64" t="str">
        <f t="shared" si="3"/>
        <v>Battery Defect, 0</v>
      </c>
      <c r="T64" t="str">
        <f>_xlfn.XLOOKUP(B64,Disk_Pivot!G:G,Disk_Pivot!I:I)</f>
        <v>Yes x2</v>
      </c>
      <c r="U64" t="str">
        <f>_xlfn.XLOOKUP(B64,Disk_Pivot!G:G,Disk_Pivot!N:N)</f>
        <v>Pass, Fail</v>
      </c>
      <c r="V64" t="str">
        <f>IF(U64="Fail",MacReports!N64,"")</f>
        <v/>
      </c>
      <c r="AB64" t="str">
        <f t="shared" si="4"/>
        <v/>
      </c>
    </row>
    <row r="65" spans="1:28">
      <c r="A65" t="str">
        <f>MacReports!A65</f>
        <v/>
      </c>
      <c r="B65">
        <f>MacReports!B65</f>
        <v>0</v>
      </c>
      <c r="C65">
        <f>MacReports!C65</f>
        <v>0</v>
      </c>
      <c r="E65" t="e">
        <f>_xlfn.XLOOKUP(G65,Models!A:A,Models!F:F)</f>
        <v>#N/A</v>
      </c>
      <c r="F65" t="str">
        <f>_xlfn.XLOOKUP(B65,MacReports!B:B,MacReports!D:D,"")</f>
        <v/>
      </c>
      <c r="G65" s="13">
        <f>MacReports!E65</f>
        <v>0</v>
      </c>
      <c r="H65" t="e">
        <f>_xlfn.XLOOKUP(G65,Models!A:A,Models!B:B)</f>
        <v>#N/A</v>
      </c>
      <c r="I65" t="e">
        <f>_xlfn.XLOOKUP(G65,Models!A:A,Models!E:E)</f>
        <v>#N/A</v>
      </c>
      <c r="J65" t="e">
        <f>_xlfn.XLOOKUP(G65,Models!A:A,Models!D:D)</f>
        <v>#N/A</v>
      </c>
      <c r="K65">
        <f>MacReports!F65</f>
        <v>0</v>
      </c>
      <c r="L65">
        <f>MacReports!G65</f>
        <v>0</v>
      </c>
      <c r="M65" s="15" t="e" cm="1">
        <f t="array" ref="M65">--_xlfn.LET(
    _xlpm.txt, MacReports!H65,
    _xlpm.chars, MID(_xlpm.txt, _xlfn.SEQUENCE(LEN(_xlpm.txt)), 1),
    _xlfn.TEXTJOIN("", TRUE, IF(ISNUMBER(--_xlpm.chars), _xlpm.chars, ""))
)</f>
        <v>#VALUE!</v>
      </c>
      <c r="N65" s="16" t="str" cm="1">
        <f t="array" ref="N65">_xlfn.IFS(
   --MacReports!M65&lt;55,"Battery Defect",
  -- MacReports!M65&lt;=69,"Battery D",
  --MacReports!M65&lt;=80,"Battery C",
 --MacReports!M65&gt;80,""
)</f>
        <v>Battery Defect</v>
      </c>
      <c r="O65" s="16" t="str">
        <f>IF(MacReports!I65="Service","Battery Service","")</f>
        <v/>
      </c>
      <c r="P65" s="13">
        <f>MacReports!P65</f>
        <v>0</v>
      </c>
      <c r="Q65" s="13" t="str">
        <f>IF(MacReports!J65="Enabled","Apple ID Lock","")</f>
        <v/>
      </c>
      <c r="R65" s="13" t="str">
        <f>IF(MacReports!L65="y","Remote Locked","")</f>
        <v/>
      </c>
      <c r="S65" t="str">
        <f t="shared" si="3"/>
        <v>Battery Defect, 0</v>
      </c>
      <c r="T65" t="str">
        <f>_xlfn.XLOOKUP(B65,Disk_Pivot!G:G,Disk_Pivot!I:I)</f>
        <v>Yes x2</v>
      </c>
      <c r="U65" t="str">
        <f>_xlfn.XLOOKUP(B65,Disk_Pivot!G:G,Disk_Pivot!N:N)</f>
        <v>Pass, Fail</v>
      </c>
      <c r="V65" t="str">
        <f>IF(U65="Fail",MacReports!N65,"")</f>
        <v/>
      </c>
      <c r="AB65" t="str">
        <f t="shared" si="4"/>
        <v/>
      </c>
    </row>
    <row r="66" spans="1:28">
      <c r="A66" t="str">
        <f>MacReports!A66</f>
        <v/>
      </c>
      <c r="B66">
        <f>MacReports!B66</f>
        <v>0</v>
      </c>
      <c r="C66">
        <f>MacReports!C66</f>
        <v>0</v>
      </c>
      <c r="E66" t="e">
        <f>_xlfn.XLOOKUP(G66,Models!A:A,Models!F:F)</f>
        <v>#N/A</v>
      </c>
      <c r="F66" t="str">
        <f>_xlfn.XLOOKUP(B66,MacReports!B:B,MacReports!D:D,"")</f>
        <v/>
      </c>
      <c r="G66" s="13">
        <f>MacReports!E66</f>
        <v>0</v>
      </c>
      <c r="H66" t="e">
        <f>_xlfn.XLOOKUP(G66,Models!A:A,Models!B:B)</f>
        <v>#N/A</v>
      </c>
      <c r="I66" t="e">
        <f>_xlfn.XLOOKUP(G66,Models!A:A,Models!E:E)</f>
        <v>#N/A</v>
      </c>
      <c r="J66" t="e">
        <f>_xlfn.XLOOKUP(G66,Models!A:A,Models!D:D)</f>
        <v>#N/A</v>
      </c>
      <c r="K66">
        <f>MacReports!F66</f>
        <v>0</v>
      </c>
      <c r="L66">
        <f>MacReports!G66</f>
        <v>0</v>
      </c>
      <c r="M66" s="15" t="e" cm="1">
        <f t="array" ref="M66">--_xlfn.LET(
    _xlpm.txt, MacReports!H66,
    _xlpm.chars, MID(_xlpm.txt, _xlfn.SEQUENCE(LEN(_xlpm.txt)), 1),
    _xlfn.TEXTJOIN("", TRUE, IF(ISNUMBER(--_xlpm.chars), _xlpm.chars, ""))
)</f>
        <v>#VALUE!</v>
      </c>
      <c r="N66" s="16" t="str" cm="1">
        <f t="array" ref="N66">_xlfn.IFS(
   --MacReports!M66&lt;55,"Battery Defect",
  -- MacReports!M66&lt;=69,"Battery D",
  --MacReports!M66&lt;=80,"Battery C",
 --MacReports!M66&gt;80,""
)</f>
        <v>Battery Defect</v>
      </c>
      <c r="O66" s="16" t="str">
        <f>IF(MacReports!I66="Service","Battery Service","")</f>
        <v/>
      </c>
      <c r="P66" s="13">
        <f>MacReports!P66</f>
        <v>0</v>
      </c>
      <c r="Q66" s="13" t="str">
        <f>IF(MacReports!J66="Enabled","Apple ID Lock","")</f>
        <v/>
      </c>
      <c r="R66" s="13" t="str">
        <f>IF(MacReports!L66="y","Remote Locked","")</f>
        <v/>
      </c>
      <c r="S66" t="str">
        <f t="shared" si="3"/>
        <v>Battery Defect, 0</v>
      </c>
      <c r="T66" t="str">
        <f>_xlfn.XLOOKUP(B66,Disk_Pivot!G:G,Disk_Pivot!I:I)</f>
        <v>Yes x2</v>
      </c>
      <c r="U66" t="str">
        <f>_xlfn.XLOOKUP(B66,Disk_Pivot!G:G,Disk_Pivot!N:N)</f>
        <v>Pass, Fail</v>
      </c>
      <c r="V66" t="str">
        <f>IF(U66="Fail",MacReports!N66,"")</f>
        <v/>
      </c>
      <c r="AB66" t="str">
        <f t="shared" si="4"/>
        <v/>
      </c>
    </row>
    <row r="67" spans="1:28">
      <c r="A67" t="str">
        <f>MacReports!A67</f>
        <v/>
      </c>
      <c r="B67">
        <f>MacReports!B67</f>
        <v>0</v>
      </c>
      <c r="C67">
        <f>MacReports!C67</f>
        <v>0</v>
      </c>
      <c r="E67" t="e">
        <f>_xlfn.XLOOKUP(G67,Models!A:A,Models!F:F)</f>
        <v>#N/A</v>
      </c>
      <c r="F67" t="str">
        <f>_xlfn.XLOOKUP(B67,MacReports!B:B,MacReports!D:D,"")</f>
        <v/>
      </c>
      <c r="G67" s="13">
        <f>MacReports!E67</f>
        <v>0</v>
      </c>
      <c r="H67" t="e">
        <f>_xlfn.XLOOKUP(G67,Models!A:A,Models!B:B)</f>
        <v>#N/A</v>
      </c>
      <c r="I67" t="e">
        <f>_xlfn.XLOOKUP(G67,Models!A:A,Models!E:E)</f>
        <v>#N/A</v>
      </c>
      <c r="J67" t="e">
        <f>_xlfn.XLOOKUP(G67,Models!A:A,Models!D:D)</f>
        <v>#N/A</v>
      </c>
      <c r="K67">
        <f>MacReports!F67</f>
        <v>0</v>
      </c>
      <c r="L67">
        <f>MacReports!G67</f>
        <v>0</v>
      </c>
      <c r="M67" s="15" t="e" cm="1">
        <f t="array" ref="M67">--_xlfn.LET(
    _xlpm.txt, MacReports!H67,
    _xlpm.chars, MID(_xlpm.txt, _xlfn.SEQUENCE(LEN(_xlpm.txt)), 1),
    _xlfn.TEXTJOIN("", TRUE, IF(ISNUMBER(--_xlpm.chars), _xlpm.chars, ""))
)</f>
        <v>#VALUE!</v>
      </c>
      <c r="N67" s="16" t="str" cm="1">
        <f t="array" ref="N67">_xlfn.IFS(
   --MacReports!M67&lt;55,"Battery Defect",
  -- MacReports!M67&lt;=69,"Battery D",
  --MacReports!M67&lt;=80,"Battery C",
 --MacReports!M67&gt;80,""
)</f>
        <v>Battery Defect</v>
      </c>
      <c r="O67" s="16" t="str">
        <f>IF(MacReports!I67="Service","Battery Service","")</f>
        <v/>
      </c>
      <c r="P67" s="13">
        <f>MacReports!P67</f>
        <v>0</v>
      </c>
      <c r="Q67" s="13" t="str">
        <f>IF(MacReports!J67="Enabled","Apple ID Lock","")</f>
        <v/>
      </c>
      <c r="R67" s="13" t="str">
        <f>IF(MacReports!L67="y","Remote Locked","")</f>
        <v/>
      </c>
      <c r="S67" t="str">
        <f t="shared" si="3"/>
        <v>Battery Defect, 0</v>
      </c>
      <c r="T67" t="str">
        <f>_xlfn.XLOOKUP(B67,Disk_Pivot!G:G,Disk_Pivot!I:I)</f>
        <v>Yes x2</v>
      </c>
      <c r="U67" t="str">
        <f>_xlfn.XLOOKUP(B67,Disk_Pivot!G:G,Disk_Pivot!N:N)</f>
        <v>Pass, Fail</v>
      </c>
      <c r="V67" t="str">
        <f>IF(U67="Fail",MacReports!N67,"")</f>
        <v/>
      </c>
      <c r="AB67" t="str">
        <f t="shared" si="4"/>
        <v/>
      </c>
    </row>
    <row r="68" spans="1:28">
      <c r="A68" t="str">
        <f>MacReports!A68</f>
        <v/>
      </c>
      <c r="B68">
        <f>MacReports!B68</f>
        <v>0</v>
      </c>
      <c r="C68">
        <f>MacReports!C68</f>
        <v>0</v>
      </c>
      <c r="E68" t="e">
        <f>_xlfn.XLOOKUP(G68,Models!A:A,Models!F:F)</f>
        <v>#N/A</v>
      </c>
      <c r="F68" t="str">
        <f>_xlfn.XLOOKUP(B68,MacReports!B:B,MacReports!D:D,"")</f>
        <v/>
      </c>
      <c r="G68" s="13">
        <f>MacReports!E68</f>
        <v>0</v>
      </c>
      <c r="H68" t="e">
        <f>_xlfn.XLOOKUP(G68,Models!A:A,Models!B:B)</f>
        <v>#N/A</v>
      </c>
      <c r="I68" t="e">
        <f>_xlfn.XLOOKUP(G68,Models!A:A,Models!E:E)</f>
        <v>#N/A</v>
      </c>
      <c r="J68" t="e">
        <f>_xlfn.XLOOKUP(G68,Models!A:A,Models!D:D)</f>
        <v>#N/A</v>
      </c>
      <c r="K68">
        <f>MacReports!F68</f>
        <v>0</v>
      </c>
      <c r="L68">
        <f>MacReports!G68</f>
        <v>0</v>
      </c>
      <c r="M68" s="15" t="e" cm="1">
        <f t="array" ref="M68">--_xlfn.LET(
    _xlpm.txt, MacReports!H68,
    _xlpm.chars, MID(_xlpm.txt, _xlfn.SEQUENCE(LEN(_xlpm.txt)), 1),
    _xlfn.TEXTJOIN("", TRUE, IF(ISNUMBER(--_xlpm.chars), _xlpm.chars, ""))
)</f>
        <v>#VALUE!</v>
      </c>
      <c r="N68" s="16" t="str" cm="1">
        <f t="array" ref="N68">_xlfn.IFS(
   --MacReports!M68&lt;55,"Battery Defect",
  -- MacReports!M68&lt;=69,"Battery D",
  --MacReports!M68&lt;=80,"Battery C",
 --MacReports!M68&gt;80,""
)</f>
        <v>Battery Defect</v>
      </c>
      <c r="O68" s="16" t="str">
        <f>IF(MacReports!I68="Service","Battery Service","")</f>
        <v/>
      </c>
      <c r="P68" s="13">
        <f>MacReports!P68</f>
        <v>0</v>
      </c>
      <c r="Q68" s="13" t="str">
        <f>IF(MacReports!J68="Enabled","Apple ID Lock","")</f>
        <v/>
      </c>
      <c r="R68" s="13" t="str">
        <f>IF(MacReports!L68="y","Remote Locked","")</f>
        <v/>
      </c>
      <c r="S68" t="str">
        <f t="shared" si="3"/>
        <v>Battery Defect, 0</v>
      </c>
      <c r="T68" t="str">
        <f>_xlfn.XLOOKUP(B68,Disk_Pivot!G:G,Disk_Pivot!I:I)</f>
        <v>Yes x2</v>
      </c>
      <c r="U68" t="str">
        <f>_xlfn.XLOOKUP(B68,Disk_Pivot!G:G,Disk_Pivot!N:N)</f>
        <v>Pass, Fail</v>
      </c>
      <c r="V68" t="str">
        <f>IF(U68="Fail",MacReports!N68,"")</f>
        <v/>
      </c>
      <c r="AB68" t="str">
        <f t="shared" si="4"/>
        <v/>
      </c>
    </row>
    <row r="69" spans="1:28">
      <c r="A69" t="str">
        <f>MacReports!A69</f>
        <v/>
      </c>
      <c r="B69">
        <f>MacReports!B69</f>
        <v>0</v>
      </c>
      <c r="C69">
        <f>MacReports!C69</f>
        <v>0</v>
      </c>
      <c r="E69" t="e">
        <f>_xlfn.XLOOKUP(G69,Models!A:A,Models!F:F)</f>
        <v>#N/A</v>
      </c>
      <c r="F69" t="str">
        <f>_xlfn.XLOOKUP(B69,MacReports!B:B,MacReports!D:D,"")</f>
        <v/>
      </c>
      <c r="G69" s="13">
        <f>MacReports!E69</f>
        <v>0</v>
      </c>
      <c r="H69" t="e">
        <f>_xlfn.XLOOKUP(G69,Models!A:A,Models!B:B)</f>
        <v>#N/A</v>
      </c>
      <c r="I69" t="e">
        <f>_xlfn.XLOOKUP(G69,Models!A:A,Models!E:E)</f>
        <v>#N/A</v>
      </c>
      <c r="J69" t="e">
        <f>_xlfn.XLOOKUP(G69,Models!A:A,Models!D:D)</f>
        <v>#N/A</v>
      </c>
      <c r="K69">
        <f>MacReports!F69</f>
        <v>0</v>
      </c>
      <c r="L69">
        <f>MacReports!G69</f>
        <v>0</v>
      </c>
      <c r="M69" s="15" t="e" cm="1">
        <f t="array" ref="M69">--_xlfn.LET(
    _xlpm.txt, MacReports!H69,
    _xlpm.chars, MID(_xlpm.txt, _xlfn.SEQUENCE(LEN(_xlpm.txt)), 1),
    _xlfn.TEXTJOIN("", TRUE, IF(ISNUMBER(--_xlpm.chars), _xlpm.chars, ""))
)</f>
        <v>#VALUE!</v>
      </c>
      <c r="N69" s="16" t="str" cm="1">
        <f t="array" ref="N69">_xlfn.IFS(
   --MacReports!M69&lt;55,"Battery Defect",
  -- MacReports!M69&lt;=69,"Battery D",
  --MacReports!M69&lt;=80,"Battery C",
 --MacReports!M69&gt;80,""
)</f>
        <v>Battery Defect</v>
      </c>
      <c r="O69" s="16" t="str">
        <f>IF(MacReports!I69="Service","Battery Service","")</f>
        <v/>
      </c>
      <c r="P69" s="13">
        <f>MacReports!P69</f>
        <v>0</v>
      </c>
      <c r="Q69" s="13" t="str">
        <f>IF(MacReports!J69="Enabled","Apple ID Lock","")</f>
        <v/>
      </c>
      <c r="R69" s="13" t="str">
        <f>IF(MacReports!L69="y","Remote Locked","")</f>
        <v/>
      </c>
      <c r="S69" t="str">
        <f t="shared" si="3"/>
        <v>Battery Defect, 0</v>
      </c>
      <c r="T69" t="str">
        <f>_xlfn.XLOOKUP(B69,Disk_Pivot!G:G,Disk_Pivot!I:I)</f>
        <v>Yes x2</v>
      </c>
      <c r="U69" t="str">
        <f>_xlfn.XLOOKUP(B69,Disk_Pivot!G:G,Disk_Pivot!N:N)</f>
        <v>Pass, Fail</v>
      </c>
      <c r="V69" t="str">
        <f>IF(U69="Fail",MacReports!N69,"")</f>
        <v/>
      </c>
      <c r="AB69" t="str">
        <f t="shared" si="4"/>
        <v/>
      </c>
    </row>
    <row r="70" spans="1:28">
      <c r="A70" t="str">
        <f>MacReports!A70</f>
        <v/>
      </c>
      <c r="B70">
        <f>MacReports!B70</f>
        <v>0</v>
      </c>
      <c r="C70">
        <f>MacReports!C70</f>
        <v>0</v>
      </c>
      <c r="E70" t="e">
        <f>_xlfn.XLOOKUP(G70,Models!A:A,Models!F:F)</f>
        <v>#N/A</v>
      </c>
      <c r="F70" t="str">
        <f>_xlfn.XLOOKUP(B70,MacReports!B:B,MacReports!D:D,"")</f>
        <v/>
      </c>
      <c r="G70" s="13">
        <f>MacReports!E70</f>
        <v>0</v>
      </c>
      <c r="H70" t="e">
        <f>_xlfn.XLOOKUP(G70,Models!A:A,Models!B:B)</f>
        <v>#N/A</v>
      </c>
      <c r="I70" t="e">
        <f>_xlfn.XLOOKUP(G70,Models!A:A,Models!E:E)</f>
        <v>#N/A</v>
      </c>
      <c r="J70" t="e">
        <f>_xlfn.XLOOKUP(G70,Models!A:A,Models!D:D)</f>
        <v>#N/A</v>
      </c>
      <c r="K70">
        <f>MacReports!F70</f>
        <v>0</v>
      </c>
      <c r="L70">
        <f>MacReports!G70</f>
        <v>0</v>
      </c>
      <c r="M70" s="15" t="e" cm="1">
        <f t="array" ref="M70">--_xlfn.LET(
    _xlpm.txt, MacReports!H70,
    _xlpm.chars, MID(_xlpm.txt, _xlfn.SEQUENCE(LEN(_xlpm.txt)), 1),
    _xlfn.TEXTJOIN("", TRUE, IF(ISNUMBER(--_xlpm.chars), _xlpm.chars, ""))
)</f>
        <v>#VALUE!</v>
      </c>
      <c r="N70" s="16" t="str" cm="1">
        <f t="array" ref="N70">_xlfn.IFS(
   --MacReports!M70&lt;55,"Battery Defect",
  -- MacReports!M70&lt;=69,"Battery D",
  --MacReports!M70&lt;=80,"Battery C",
 --MacReports!M70&gt;80,""
)</f>
        <v>Battery Defect</v>
      </c>
      <c r="O70" s="16" t="str">
        <f>IF(MacReports!I70="Service","Battery Service","")</f>
        <v/>
      </c>
      <c r="P70" s="13">
        <f>MacReports!P70</f>
        <v>0</v>
      </c>
      <c r="Q70" s="13" t="str">
        <f>IF(MacReports!J70="Enabled","Apple ID Lock","")</f>
        <v/>
      </c>
      <c r="R70" s="13" t="str">
        <f>IF(MacReports!L70="y","Remote Locked","")</f>
        <v/>
      </c>
      <c r="S70" t="str">
        <f t="shared" si="3"/>
        <v>Battery Defect, 0</v>
      </c>
      <c r="T70" t="str">
        <f>_xlfn.XLOOKUP(B70,Disk_Pivot!G:G,Disk_Pivot!I:I)</f>
        <v>Yes x2</v>
      </c>
      <c r="U70" t="str">
        <f>_xlfn.XLOOKUP(B70,Disk_Pivot!G:G,Disk_Pivot!N:N)</f>
        <v>Pass, Fail</v>
      </c>
      <c r="V70" t="str">
        <f>IF(U70="Fail",MacReports!N70,"")</f>
        <v/>
      </c>
      <c r="AB70" t="str">
        <f t="shared" si="4"/>
        <v/>
      </c>
    </row>
    <row r="71" spans="1:28">
      <c r="A71" t="str">
        <f>MacReports!A71</f>
        <v/>
      </c>
      <c r="B71">
        <f>MacReports!B71</f>
        <v>0</v>
      </c>
      <c r="C71">
        <f>MacReports!C71</f>
        <v>0</v>
      </c>
      <c r="E71" t="e">
        <f>_xlfn.XLOOKUP(G71,Models!A:A,Models!F:F)</f>
        <v>#N/A</v>
      </c>
      <c r="F71" t="str">
        <f>_xlfn.XLOOKUP(B71,MacReports!B:B,MacReports!D:D,"")</f>
        <v/>
      </c>
      <c r="G71" s="13">
        <f>MacReports!E71</f>
        <v>0</v>
      </c>
      <c r="H71" t="e">
        <f>_xlfn.XLOOKUP(G71,Models!A:A,Models!B:B)</f>
        <v>#N/A</v>
      </c>
      <c r="I71" t="e">
        <f>_xlfn.XLOOKUP(G71,Models!A:A,Models!E:E)</f>
        <v>#N/A</v>
      </c>
      <c r="J71" t="e">
        <f>_xlfn.XLOOKUP(G71,Models!A:A,Models!D:D)</f>
        <v>#N/A</v>
      </c>
      <c r="K71">
        <f>MacReports!F71</f>
        <v>0</v>
      </c>
      <c r="L71">
        <f>MacReports!G71</f>
        <v>0</v>
      </c>
      <c r="M71" s="15" t="e" cm="1">
        <f t="array" ref="M71">--_xlfn.LET(
    _xlpm.txt, MacReports!H71,
    _xlpm.chars, MID(_xlpm.txt, _xlfn.SEQUENCE(LEN(_xlpm.txt)), 1),
    _xlfn.TEXTJOIN("", TRUE, IF(ISNUMBER(--_xlpm.chars), _xlpm.chars, ""))
)</f>
        <v>#VALUE!</v>
      </c>
      <c r="N71" s="16" t="str" cm="1">
        <f t="array" ref="N71">_xlfn.IFS(
   --MacReports!M71&lt;55,"Battery Defect",
  -- MacReports!M71&lt;=69,"Battery D",
  --MacReports!M71&lt;=80,"Battery C",
 --MacReports!M71&gt;80,""
)</f>
        <v>Battery Defect</v>
      </c>
      <c r="O71" s="16" t="str">
        <f>IF(MacReports!I71="Service","Battery Service","")</f>
        <v/>
      </c>
      <c r="P71" s="13">
        <f>MacReports!P71</f>
        <v>0</v>
      </c>
      <c r="Q71" s="13" t="str">
        <f>IF(MacReports!J71="Enabled","Apple ID Lock","")</f>
        <v/>
      </c>
      <c r="R71" s="13" t="str">
        <f>IF(MacReports!L71="y","Remote Locked","")</f>
        <v/>
      </c>
      <c r="S71" t="str">
        <f t="shared" si="3"/>
        <v>Battery Defect, 0</v>
      </c>
      <c r="T71" t="str">
        <f>_xlfn.XLOOKUP(B71,Disk_Pivot!G:G,Disk_Pivot!I:I)</f>
        <v>Yes x2</v>
      </c>
      <c r="U71" t="str">
        <f>_xlfn.XLOOKUP(B71,Disk_Pivot!G:G,Disk_Pivot!N:N)</f>
        <v>Pass, Fail</v>
      </c>
      <c r="V71" t="str">
        <f>IF(U71="Fail",MacReports!N71,"")</f>
        <v/>
      </c>
      <c r="AB71" t="str">
        <f t="shared" si="4"/>
        <v/>
      </c>
    </row>
    <row r="72" spans="1:28">
      <c r="A72" t="str">
        <f>MacReports!A72</f>
        <v/>
      </c>
      <c r="B72">
        <f>MacReports!B72</f>
        <v>0</v>
      </c>
      <c r="C72">
        <f>MacReports!C72</f>
        <v>0</v>
      </c>
      <c r="E72" t="e">
        <f>_xlfn.XLOOKUP(G72,Models!A:A,Models!F:F)</f>
        <v>#N/A</v>
      </c>
      <c r="F72" t="str">
        <f>_xlfn.XLOOKUP(B72,MacReports!B:B,MacReports!D:D,"")</f>
        <v/>
      </c>
      <c r="G72" s="13">
        <f>MacReports!E72</f>
        <v>0</v>
      </c>
      <c r="H72" t="e">
        <f>_xlfn.XLOOKUP(G72,Models!A:A,Models!B:B)</f>
        <v>#N/A</v>
      </c>
      <c r="I72" t="e">
        <f>_xlfn.XLOOKUP(G72,Models!A:A,Models!E:E)</f>
        <v>#N/A</v>
      </c>
      <c r="J72" t="e">
        <f>_xlfn.XLOOKUP(G72,Models!A:A,Models!D:D)</f>
        <v>#N/A</v>
      </c>
      <c r="K72">
        <f>MacReports!F72</f>
        <v>0</v>
      </c>
      <c r="L72">
        <f>MacReports!G72</f>
        <v>0</v>
      </c>
      <c r="M72" s="15" t="e" cm="1">
        <f t="array" ref="M72">--_xlfn.LET(
    _xlpm.txt, MacReports!H72,
    _xlpm.chars, MID(_xlpm.txt, _xlfn.SEQUENCE(LEN(_xlpm.txt)), 1),
    _xlfn.TEXTJOIN("", TRUE, IF(ISNUMBER(--_xlpm.chars), _xlpm.chars, ""))
)</f>
        <v>#VALUE!</v>
      </c>
      <c r="N72" s="16" t="str" cm="1">
        <f t="array" ref="N72">_xlfn.IFS(
   --MacReports!M72&lt;55,"Battery Defect",
  -- MacReports!M72&lt;=69,"Battery D",
  --MacReports!M72&lt;=80,"Battery C",
 --MacReports!M72&gt;80,""
)</f>
        <v>Battery Defect</v>
      </c>
      <c r="O72" s="16" t="str">
        <f>IF(MacReports!I72="Service","Battery Service","")</f>
        <v/>
      </c>
      <c r="P72" s="13">
        <f>MacReports!P72</f>
        <v>0</v>
      </c>
      <c r="Q72" s="13" t="str">
        <f>IF(MacReports!J72="Enabled","Apple ID Lock","")</f>
        <v/>
      </c>
      <c r="R72" s="13" t="str">
        <f>IF(MacReports!L72="y","Remote Locked","")</f>
        <v/>
      </c>
      <c r="S72" t="str">
        <f t="shared" si="3"/>
        <v>Battery Defect, 0</v>
      </c>
      <c r="T72" t="str">
        <f>_xlfn.XLOOKUP(B72,Disk_Pivot!G:G,Disk_Pivot!I:I)</f>
        <v>Yes x2</v>
      </c>
      <c r="U72" t="str">
        <f>_xlfn.XLOOKUP(B72,Disk_Pivot!G:G,Disk_Pivot!N:N)</f>
        <v>Pass, Fail</v>
      </c>
      <c r="V72" t="str">
        <f>IF(U72="Fail",MacReports!N72,"")</f>
        <v/>
      </c>
      <c r="AB72" t="str">
        <f t="shared" si="4"/>
        <v/>
      </c>
    </row>
    <row r="73" spans="1:28">
      <c r="A73" t="str">
        <f>MacReports!A73</f>
        <v/>
      </c>
      <c r="B73">
        <f>MacReports!B73</f>
        <v>0</v>
      </c>
      <c r="C73">
        <f>MacReports!C73</f>
        <v>0</v>
      </c>
      <c r="E73" t="e">
        <f>_xlfn.XLOOKUP(G73,Models!A:A,Models!F:F)</f>
        <v>#N/A</v>
      </c>
      <c r="F73" t="str">
        <f>_xlfn.XLOOKUP(B73,MacReports!B:B,MacReports!D:D,"")</f>
        <v/>
      </c>
      <c r="G73" s="13">
        <f>MacReports!E73</f>
        <v>0</v>
      </c>
      <c r="H73" t="e">
        <f>_xlfn.XLOOKUP(G73,Models!A:A,Models!B:B)</f>
        <v>#N/A</v>
      </c>
      <c r="I73" t="e">
        <f>_xlfn.XLOOKUP(G73,Models!A:A,Models!E:E)</f>
        <v>#N/A</v>
      </c>
      <c r="J73" t="e">
        <f>_xlfn.XLOOKUP(G73,Models!A:A,Models!D:D)</f>
        <v>#N/A</v>
      </c>
      <c r="K73">
        <f>MacReports!F73</f>
        <v>0</v>
      </c>
      <c r="L73">
        <f>MacReports!G73</f>
        <v>0</v>
      </c>
      <c r="M73" s="15" t="e" cm="1">
        <f t="array" ref="M73">--_xlfn.LET(
    _xlpm.txt, MacReports!H73,
    _xlpm.chars, MID(_xlpm.txt, _xlfn.SEQUENCE(LEN(_xlpm.txt)), 1),
    _xlfn.TEXTJOIN("", TRUE, IF(ISNUMBER(--_xlpm.chars), _xlpm.chars, ""))
)</f>
        <v>#VALUE!</v>
      </c>
      <c r="N73" s="16" t="str" cm="1">
        <f t="array" ref="N73">_xlfn.IFS(
   --MacReports!M73&lt;55,"Battery Defect",
  -- MacReports!M73&lt;=69,"Battery D",
  --MacReports!M73&lt;=80,"Battery C",
 --MacReports!M73&gt;80,""
)</f>
        <v>Battery Defect</v>
      </c>
      <c r="O73" s="16" t="str">
        <f>IF(MacReports!I73="Service","Battery Service","")</f>
        <v/>
      </c>
      <c r="P73" s="13">
        <f>MacReports!P73</f>
        <v>0</v>
      </c>
      <c r="Q73" s="13" t="str">
        <f>IF(MacReports!J73="Enabled","Apple ID Lock","")</f>
        <v/>
      </c>
      <c r="R73" s="13" t="str">
        <f>IF(MacReports!L73="y","Remote Locked","")</f>
        <v/>
      </c>
      <c r="S73" t="str">
        <f t="shared" si="3"/>
        <v>Battery Defect, 0</v>
      </c>
      <c r="T73" t="str">
        <f>_xlfn.XLOOKUP(B73,Disk_Pivot!G:G,Disk_Pivot!I:I)</f>
        <v>Yes x2</v>
      </c>
      <c r="U73" t="str">
        <f>_xlfn.XLOOKUP(B73,Disk_Pivot!G:G,Disk_Pivot!N:N)</f>
        <v>Pass, Fail</v>
      </c>
      <c r="V73" t="str">
        <f>IF(U73="Fail",MacReports!N73,"")</f>
        <v/>
      </c>
      <c r="AB73" t="str">
        <f t="shared" si="4"/>
        <v/>
      </c>
    </row>
    <row r="74" spans="1:28">
      <c r="A74" t="str">
        <f>MacReports!A74</f>
        <v/>
      </c>
      <c r="B74">
        <f>MacReports!B74</f>
        <v>0</v>
      </c>
      <c r="C74">
        <f>MacReports!C74</f>
        <v>0</v>
      </c>
      <c r="E74" t="e">
        <f>_xlfn.XLOOKUP(G74,Models!A:A,Models!F:F)</f>
        <v>#N/A</v>
      </c>
      <c r="F74" t="str">
        <f>_xlfn.XLOOKUP(B74,MacReports!B:B,MacReports!D:D,"")</f>
        <v/>
      </c>
      <c r="G74" s="13">
        <f>MacReports!E74</f>
        <v>0</v>
      </c>
      <c r="H74" t="e">
        <f>_xlfn.XLOOKUP(G74,Models!A:A,Models!B:B)</f>
        <v>#N/A</v>
      </c>
      <c r="I74" t="e">
        <f>_xlfn.XLOOKUP(G74,Models!A:A,Models!E:E)</f>
        <v>#N/A</v>
      </c>
      <c r="J74" t="e">
        <f>_xlfn.XLOOKUP(G74,Models!A:A,Models!D:D)</f>
        <v>#N/A</v>
      </c>
      <c r="K74">
        <f>MacReports!F74</f>
        <v>0</v>
      </c>
      <c r="L74">
        <f>MacReports!G74</f>
        <v>0</v>
      </c>
      <c r="M74" s="15" t="e" cm="1">
        <f t="array" ref="M74">--_xlfn.LET(
    _xlpm.txt, MacReports!H74,
    _xlpm.chars, MID(_xlpm.txt, _xlfn.SEQUENCE(LEN(_xlpm.txt)), 1),
    _xlfn.TEXTJOIN("", TRUE, IF(ISNUMBER(--_xlpm.chars), _xlpm.chars, ""))
)</f>
        <v>#VALUE!</v>
      </c>
      <c r="N74" s="16" t="str" cm="1">
        <f t="array" ref="N74">_xlfn.IFS(
   --MacReports!M74&lt;55,"Battery Defect",
  -- MacReports!M74&lt;=69,"Battery D",
  --MacReports!M74&lt;=80,"Battery C",
 --MacReports!M74&gt;80,""
)</f>
        <v>Battery Defect</v>
      </c>
      <c r="O74" s="16" t="str">
        <f>IF(MacReports!I74="Service","Battery Service","")</f>
        <v/>
      </c>
      <c r="P74" s="13">
        <f>MacReports!P74</f>
        <v>0</v>
      </c>
      <c r="Q74" s="13" t="str">
        <f>IF(MacReports!J74="Enabled","Apple ID Lock","")</f>
        <v/>
      </c>
      <c r="R74" s="13" t="str">
        <f>IF(MacReports!L74="y","Remote Locked","")</f>
        <v/>
      </c>
      <c r="S74" t="str">
        <f t="shared" si="3"/>
        <v>Battery Defect, 0</v>
      </c>
      <c r="T74" t="str">
        <f>_xlfn.XLOOKUP(B74,Disk_Pivot!G:G,Disk_Pivot!I:I)</f>
        <v>Yes x2</v>
      </c>
      <c r="U74" t="str">
        <f>_xlfn.XLOOKUP(B74,Disk_Pivot!G:G,Disk_Pivot!N:N)</f>
        <v>Pass, Fail</v>
      </c>
      <c r="V74" t="str">
        <f>IF(U74="Fail",MacReports!N74,"")</f>
        <v/>
      </c>
      <c r="AB74" t="str">
        <f t="shared" si="4"/>
        <v/>
      </c>
    </row>
    <row r="75" spans="1:28">
      <c r="A75" t="str">
        <f>MacReports!A75</f>
        <v/>
      </c>
      <c r="B75">
        <f>MacReports!B75</f>
        <v>0</v>
      </c>
      <c r="C75">
        <f>MacReports!C75</f>
        <v>0</v>
      </c>
      <c r="E75" t="e">
        <f>_xlfn.XLOOKUP(G75,Models!A:A,Models!F:F)</f>
        <v>#N/A</v>
      </c>
      <c r="F75" t="str">
        <f>_xlfn.XLOOKUP(B75,MacReports!B:B,MacReports!D:D,"")</f>
        <v/>
      </c>
      <c r="G75" s="13">
        <f>MacReports!E75</f>
        <v>0</v>
      </c>
      <c r="H75" t="e">
        <f>_xlfn.XLOOKUP(G75,Models!A:A,Models!B:B)</f>
        <v>#N/A</v>
      </c>
      <c r="I75" t="e">
        <f>_xlfn.XLOOKUP(G75,Models!A:A,Models!E:E)</f>
        <v>#N/A</v>
      </c>
      <c r="J75" t="e">
        <f>_xlfn.XLOOKUP(G75,Models!A:A,Models!D:D)</f>
        <v>#N/A</v>
      </c>
      <c r="K75">
        <f>MacReports!F75</f>
        <v>0</v>
      </c>
      <c r="L75">
        <f>MacReports!G75</f>
        <v>0</v>
      </c>
      <c r="M75" s="15" t="e" cm="1">
        <f t="array" ref="M75">--_xlfn.LET(
    _xlpm.txt, MacReports!H75,
    _xlpm.chars, MID(_xlpm.txt, _xlfn.SEQUENCE(LEN(_xlpm.txt)), 1),
    _xlfn.TEXTJOIN("", TRUE, IF(ISNUMBER(--_xlpm.chars), _xlpm.chars, ""))
)</f>
        <v>#VALUE!</v>
      </c>
      <c r="N75" s="16" t="str" cm="1">
        <f t="array" ref="N75">_xlfn.IFS(
   --MacReports!M75&lt;55,"Battery Defect",
  -- MacReports!M75&lt;=69,"Battery D",
  --MacReports!M75&lt;=80,"Battery C",
 --MacReports!M75&gt;80,""
)</f>
        <v>Battery Defect</v>
      </c>
      <c r="O75" s="16" t="str">
        <f>IF(MacReports!I75="Service","Battery Service","")</f>
        <v/>
      </c>
      <c r="P75" s="13">
        <f>MacReports!P75</f>
        <v>0</v>
      </c>
      <c r="Q75" s="13" t="str">
        <f>IF(MacReports!J75="Enabled","Apple ID Lock","")</f>
        <v/>
      </c>
      <c r="R75" s="13" t="str">
        <f>IF(MacReports!L75="y","Remote Locked","")</f>
        <v/>
      </c>
      <c r="S75" t="str">
        <f t="shared" si="3"/>
        <v>Battery Defect, 0</v>
      </c>
      <c r="T75" t="str">
        <f>_xlfn.XLOOKUP(B75,Disk_Pivot!G:G,Disk_Pivot!I:I)</f>
        <v>Yes x2</v>
      </c>
      <c r="U75" t="str">
        <f>_xlfn.XLOOKUP(B75,Disk_Pivot!G:G,Disk_Pivot!N:N)</f>
        <v>Pass, Fail</v>
      </c>
      <c r="V75" t="str">
        <f>IF(U75="Fail",MacReports!N75,"")</f>
        <v/>
      </c>
      <c r="AB75" t="str">
        <f t="shared" si="4"/>
        <v/>
      </c>
    </row>
    <row r="76" spans="1:28">
      <c r="A76" t="str">
        <f>MacReports!A76</f>
        <v/>
      </c>
      <c r="B76">
        <f>MacReports!B76</f>
        <v>0</v>
      </c>
      <c r="C76">
        <f>MacReports!C76</f>
        <v>0</v>
      </c>
      <c r="E76" t="e">
        <f>_xlfn.XLOOKUP(G76,Models!A:A,Models!F:F)</f>
        <v>#N/A</v>
      </c>
      <c r="F76" t="str">
        <f>_xlfn.XLOOKUP(B76,MacReports!B:B,MacReports!D:D,"")</f>
        <v/>
      </c>
      <c r="G76" s="13">
        <f>MacReports!E76</f>
        <v>0</v>
      </c>
      <c r="H76" t="e">
        <f>_xlfn.XLOOKUP(G76,Models!A:A,Models!B:B)</f>
        <v>#N/A</v>
      </c>
      <c r="I76" t="e">
        <f>_xlfn.XLOOKUP(G76,Models!A:A,Models!E:E)</f>
        <v>#N/A</v>
      </c>
      <c r="J76" t="e">
        <f>_xlfn.XLOOKUP(G76,Models!A:A,Models!D:D)</f>
        <v>#N/A</v>
      </c>
      <c r="K76">
        <f>MacReports!F76</f>
        <v>0</v>
      </c>
      <c r="L76">
        <f>MacReports!G76</f>
        <v>0</v>
      </c>
      <c r="M76" s="15" t="e" cm="1">
        <f t="array" ref="M76">--_xlfn.LET(
    _xlpm.txt, MacReports!H76,
    _xlpm.chars, MID(_xlpm.txt, _xlfn.SEQUENCE(LEN(_xlpm.txt)), 1),
    _xlfn.TEXTJOIN("", TRUE, IF(ISNUMBER(--_xlpm.chars), _xlpm.chars, ""))
)</f>
        <v>#VALUE!</v>
      </c>
      <c r="N76" s="16" t="str" cm="1">
        <f t="array" ref="N76">_xlfn.IFS(
   --MacReports!M76&lt;55,"Battery Defect",
  -- MacReports!M76&lt;=69,"Battery D",
  --MacReports!M76&lt;=80,"Battery C",
 --MacReports!M76&gt;80,""
)</f>
        <v>Battery Defect</v>
      </c>
      <c r="O76" s="16" t="str">
        <f>IF(MacReports!I76="Service","Battery Service","")</f>
        <v/>
      </c>
      <c r="P76" s="13">
        <f>MacReports!P76</f>
        <v>0</v>
      </c>
      <c r="Q76" s="13" t="str">
        <f>IF(MacReports!J76="Enabled","Apple ID Lock","")</f>
        <v/>
      </c>
      <c r="R76" s="13" t="str">
        <f>IF(MacReports!L76="y","Remote Locked","")</f>
        <v/>
      </c>
      <c r="S76" t="str">
        <f t="shared" si="3"/>
        <v>Battery Defect, 0</v>
      </c>
      <c r="T76" t="str">
        <f>_xlfn.XLOOKUP(B76,Disk_Pivot!G:G,Disk_Pivot!I:I)</f>
        <v>Yes x2</v>
      </c>
      <c r="U76" t="str">
        <f>_xlfn.XLOOKUP(B76,Disk_Pivot!G:G,Disk_Pivot!N:N)</f>
        <v>Pass, Fail</v>
      </c>
      <c r="V76" t="str">
        <f>IF(U76="Fail",MacReports!N76,"")</f>
        <v/>
      </c>
      <c r="AB76" t="str">
        <f t="shared" si="4"/>
        <v/>
      </c>
    </row>
    <row r="77" spans="1:28">
      <c r="A77" t="str">
        <f>MacReports!A77</f>
        <v/>
      </c>
      <c r="B77">
        <f>MacReports!B77</f>
        <v>0</v>
      </c>
      <c r="C77">
        <f>MacReports!C77</f>
        <v>0</v>
      </c>
      <c r="E77" t="e">
        <f>_xlfn.XLOOKUP(G77,Models!A:A,Models!F:F)</f>
        <v>#N/A</v>
      </c>
      <c r="F77" t="str">
        <f>_xlfn.XLOOKUP(B77,MacReports!B:B,MacReports!D:D,"")</f>
        <v/>
      </c>
      <c r="G77" s="13">
        <f>MacReports!E77</f>
        <v>0</v>
      </c>
      <c r="H77" t="e">
        <f>_xlfn.XLOOKUP(G77,Models!A:A,Models!B:B)</f>
        <v>#N/A</v>
      </c>
      <c r="I77" t="e">
        <f>_xlfn.XLOOKUP(G77,Models!A:A,Models!E:E)</f>
        <v>#N/A</v>
      </c>
      <c r="J77" t="e">
        <f>_xlfn.XLOOKUP(G77,Models!A:A,Models!D:D)</f>
        <v>#N/A</v>
      </c>
      <c r="K77">
        <f>MacReports!F77</f>
        <v>0</v>
      </c>
      <c r="L77">
        <f>MacReports!G77</f>
        <v>0</v>
      </c>
      <c r="M77" s="15" t="e" cm="1">
        <f t="array" ref="M77">--_xlfn.LET(
    _xlpm.txt, MacReports!H77,
    _xlpm.chars, MID(_xlpm.txt, _xlfn.SEQUENCE(LEN(_xlpm.txt)), 1),
    _xlfn.TEXTJOIN("", TRUE, IF(ISNUMBER(--_xlpm.chars), _xlpm.chars, ""))
)</f>
        <v>#VALUE!</v>
      </c>
      <c r="N77" s="16" t="str" cm="1">
        <f t="array" ref="N77">_xlfn.IFS(
   --MacReports!M77&lt;55,"Battery Defect",
  -- MacReports!M77&lt;=69,"Battery D",
  --MacReports!M77&lt;=80,"Battery C",
 --MacReports!M77&gt;80,""
)</f>
        <v>Battery Defect</v>
      </c>
      <c r="O77" s="16" t="str">
        <f>IF(MacReports!I77="Service","Battery Service","")</f>
        <v/>
      </c>
      <c r="P77" s="13">
        <f>MacReports!P77</f>
        <v>0</v>
      </c>
      <c r="Q77" s="13" t="str">
        <f>IF(MacReports!J77="Enabled","Apple ID Lock","")</f>
        <v/>
      </c>
      <c r="R77" s="13" t="str">
        <f>IF(MacReports!L77="y","Remote Locked","")</f>
        <v/>
      </c>
      <c r="S77" t="str">
        <f t="shared" si="3"/>
        <v>Battery Defect, 0</v>
      </c>
      <c r="T77" t="str">
        <f>_xlfn.XLOOKUP(B77,Disk_Pivot!G:G,Disk_Pivot!I:I)</f>
        <v>Yes x2</v>
      </c>
      <c r="U77" t="str">
        <f>_xlfn.XLOOKUP(B77,Disk_Pivot!G:G,Disk_Pivot!N:N)</f>
        <v>Pass, Fail</v>
      </c>
      <c r="V77" t="str">
        <f>IF(U77="Fail",MacReports!N77,"")</f>
        <v/>
      </c>
      <c r="AB77" t="str">
        <f t="shared" si="4"/>
        <v/>
      </c>
    </row>
    <row r="78" spans="1:28">
      <c r="A78" t="str">
        <f>MacReports!A78</f>
        <v/>
      </c>
      <c r="B78">
        <f>MacReports!B78</f>
        <v>0</v>
      </c>
      <c r="C78">
        <f>MacReports!C78</f>
        <v>0</v>
      </c>
      <c r="E78" t="e">
        <f>_xlfn.XLOOKUP(G78,Models!A:A,Models!F:F)</f>
        <v>#N/A</v>
      </c>
      <c r="F78" t="str">
        <f>_xlfn.XLOOKUP(B78,MacReports!B:B,MacReports!D:D,"")</f>
        <v/>
      </c>
      <c r="G78" s="13">
        <f>MacReports!E78</f>
        <v>0</v>
      </c>
      <c r="H78" t="e">
        <f>_xlfn.XLOOKUP(G78,Models!A:A,Models!B:B)</f>
        <v>#N/A</v>
      </c>
      <c r="I78" t="e">
        <f>_xlfn.XLOOKUP(G78,Models!A:A,Models!E:E)</f>
        <v>#N/A</v>
      </c>
      <c r="J78" t="e">
        <f>_xlfn.XLOOKUP(G78,Models!A:A,Models!D:D)</f>
        <v>#N/A</v>
      </c>
      <c r="K78">
        <f>MacReports!F78</f>
        <v>0</v>
      </c>
      <c r="L78">
        <f>MacReports!G78</f>
        <v>0</v>
      </c>
      <c r="M78" s="15" t="e" cm="1">
        <f t="array" ref="M78">--_xlfn.LET(
    _xlpm.txt, MacReports!H78,
    _xlpm.chars, MID(_xlpm.txt, _xlfn.SEQUENCE(LEN(_xlpm.txt)), 1),
    _xlfn.TEXTJOIN("", TRUE, IF(ISNUMBER(--_xlpm.chars), _xlpm.chars, ""))
)</f>
        <v>#VALUE!</v>
      </c>
      <c r="N78" s="16" t="str" cm="1">
        <f t="array" ref="N78">_xlfn.IFS(
   --MacReports!M78&lt;55,"Battery Defect",
  -- MacReports!M78&lt;=69,"Battery D",
  --MacReports!M78&lt;=80,"Battery C",
 --MacReports!M78&gt;80,""
)</f>
        <v>Battery Defect</v>
      </c>
      <c r="O78" s="16" t="str">
        <f>IF(MacReports!I78="Service","Battery Service","")</f>
        <v/>
      </c>
      <c r="P78" s="13">
        <f>MacReports!P78</f>
        <v>0</v>
      </c>
      <c r="Q78" s="13" t="str">
        <f>IF(MacReports!J78="Enabled","Apple ID Lock","")</f>
        <v/>
      </c>
      <c r="R78" s="13" t="str">
        <f>IF(MacReports!L78="y","Remote Locked","")</f>
        <v/>
      </c>
      <c r="S78" t="str">
        <f t="shared" si="3"/>
        <v>Battery Defect, 0</v>
      </c>
      <c r="T78" t="str">
        <f>_xlfn.XLOOKUP(B78,Disk_Pivot!G:G,Disk_Pivot!I:I)</f>
        <v>Yes x2</v>
      </c>
      <c r="U78" t="str">
        <f>_xlfn.XLOOKUP(B78,Disk_Pivot!G:G,Disk_Pivot!N:N)</f>
        <v>Pass, Fail</v>
      </c>
      <c r="V78" t="str">
        <f>IF(U78="Fail",MacReports!N78,"")</f>
        <v/>
      </c>
      <c r="AB78" t="str">
        <f t="shared" si="4"/>
        <v/>
      </c>
    </row>
    <row r="79" spans="1:28">
      <c r="A79" t="str">
        <f>MacReports!A79</f>
        <v/>
      </c>
      <c r="B79">
        <f>MacReports!B79</f>
        <v>0</v>
      </c>
      <c r="C79">
        <f>MacReports!C79</f>
        <v>0</v>
      </c>
      <c r="E79" t="e">
        <f>_xlfn.XLOOKUP(G79,Models!A:A,Models!F:F)</f>
        <v>#N/A</v>
      </c>
      <c r="F79" t="str">
        <f>_xlfn.XLOOKUP(B79,MacReports!B:B,MacReports!D:D,"")</f>
        <v/>
      </c>
      <c r="G79" s="13">
        <f>MacReports!E79</f>
        <v>0</v>
      </c>
      <c r="H79" t="e">
        <f>_xlfn.XLOOKUP(G79,Models!A:A,Models!B:B)</f>
        <v>#N/A</v>
      </c>
      <c r="I79" t="e">
        <f>_xlfn.XLOOKUP(G79,Models!A:A,Models!E:E)</f>
        <v>#N/A</v>
      </c>
      <c r="J79" t="e">
        <f>_xlfn.XLOOKUP(G79,Models!A:A,Models!D:D)</f>
        <v>#N/A</v>
      </c>
      <c r="K79">
        <f>MacReports!F79</f>
        <v>0</v>
      </c>
      <c r="L79">
        <f>MacReports!G79</f>
        <v>0</v>
      </c>
      <c r="M79" s="15" t="e" cm="1">
        <f t="array" ref="M79">--_xlfn.LET(
    _xlpm.txt, MacReports!H79,
    _xlpm.chars, MID(_xlpm.txt, _xlfn.SEQUENCE(LEN(_xlpm.txt)), 1),
    _xlfn.TEXTJOIN("", TRUE, IF(ISNUMBER(--_xlpm.chars), _xlpm.chars, ""))
)</f>
        <v>#VALUE!</v>
      </c>
      <c r="N79" s="16" t="str" cm="1">
        <f t="array" ref="N79">_xlfn.IFS(
   --MacReports!M79&lt;55,"Battery Defect",
  -- MacReports!M79&lt;=69,"Battery D",
  --MacReports!M79&lt;=80,"Battery C",
 --MacReports!M79&gt;80,""
)</f>
        <v>Battery Defect</v>
      </c>
      <c r="O79" s="16" t="str">
        <f>IF(MacReports!I79="Service","Battery Service","")</f>
        <v/>
      </c>
      <c r="P79" s="13">
        <f>MacReports!P79</f>
        <v>0</v>
      </c>
      <c r="Q79" s="13" t="str">
        <f>IF(MacReports!J79="Enabled","Apple ID Lock","")</f>
        <v/>
      </c>
      <c r="R79" s="13" t="str">
        <f>IF(MacReports!L79="y","Remote Locked","")</f>
        <v/>
      </c>
      <c r="S79" t="str">
        <f t="shared" si="3"/>
        <v>Battery Defect, 0</v>
      </c>
      <c r="T79" t="str">
        <f>_xlfn.XLOOKUP(B79,Disk_Pivot!G:G,Disk_Pivot!I:I)</f>
        <v>Yes x2</v>
      </c>
      <c r="U79" t="str">
        <f>_xlfn.XLOOKUP(B79,Disk_Pivot!G:G,Disk_Pivot!N:N)</f>
        <v>Pass, Fail</v>
      </c>
      <c r="V79" t="str">
        <f>IF(U79="Fail",MacReports!N79,"")</f>
        <v/>
      </c>
      <c r="AB79" t="str">
        <f t="shared" si="4"/>
        <v/>
      </c>
    </row>
    <row r="80" spans="1:28">
      <c r="A80" t="str">
        <f>MacReports!A80</f>
        <v/>
      </c>
      <c r="B80">
        <f>MacReports!B80</f>
        <v>0</v>
      </c>
      <c r="C80">
        <f>MacReports!C80</f>
        <v>0</v>
      </c>
      <c r="E80" t="e">
        <f>_xlfn.XLOOKUP(G80,Models!A:A,Models!F:F)</f>
        <v>#N/A</v>
      </c>
      <c r="F80" t="str">
        <f>_xlfn.XLOOKUP(B80,MacReports!B:B,MacReports!D:D,"")</f>
        <v/>
      </c>
      <c r="G80" s="13">
        <f>MacReports!E80</f>
        <v>0</v>
      </c>
      <c r="H80" t="e">
        <f>_xlfn.XLOOKUP(G80,Models!A:A,Models!B:B)</f>
        <v>#N/A</v>
      </c>
      <c r="I80" t="e">
        <f>_xlfn.XLOOKUP(G80,Models!A:A,Models!E:E)</f>
        <v>#N/A</v>
      </c>
      <c r="J80" t="e">
        <f>_xlfn.XLOOKUP(G80,Models!A:A,Models!D:D)</f>
        <v>#N/A</v>
      </c>
      <c r="K80">
        <f>MacReports!F80</f>
        <v>0</v>
      </c>
      <c r="L80">
        <f>MacReports!G80</f>
        <v>0</v>
      </c>
      <c r="M80" s="15" t="e" cm="1">
        <f t="array" ref="M80">--_xlfn.LET(
    _xlpm.txt, MacReports!H80,
    _xlpm.chars, MID(_xlpm.txt, _xlfn.SEQUENCE(LEN(_xlpm.txt)), 1),
    _xlfn.TEXTJOIN("", TRUE, IF(ISNUMBER(--_xlpm.chars), _xlpm.chars, ""))
)</f>
        <v>#VALUE!</v>
      </c>
      <c r="N80" s="16" t="str" cm="1">
        <f t="array" ref="N80">_xlfn.IFS(
   --MacReports!M80&lt;55,"Battery Defect",
  -- MacReports!M80&lt;=69,"Battery D",
  --MacReports!M80&lt;=80,"Battery C",
 --MacReports!M80&gt;80,""
)</f>
        <v>Battery Defect</v>
      </c>
      <c r="O80" s="16" t="str">
        <f>IF(MacReports!I80="Service","Battery Service","")</f>
        <v/>
      </c>
      <c r="P80" s="13">
        <f>MacReports!P80</f>
        <v>0</v>
      </c>
      <c r="Q80" s="13" t="str">
        <f>IF(MacReports!J80="Enabled","Apple ID Lock","")</f>
        <v/>
      </c>
      <c r="R80" s="13" t="str">
        <f>IF(MacReports!L80="y","Remote Locked","")</f>
        <v/>
      </c>
      <c r="S80" t="str">
        <f t="shared" si="3"/>
        <v>Battery Defect, 0</v>
      </c>
      <c r="T80" t="str">
        <f>_xlfn.XLOOKUP(B80,Disk_Pivot!G:G,Disk_Pivot!I:I)</f>
        <v>Yes x2</v>
      </c>
      <c r="U80" t="str">
        <f>_xlfn.XLOOKUP(B80,Disk_Pivot!G:G,Disk_Pivot!N:N)</f>
        <v>Pass, Fail</v>
      </c>
      <c r="V80" t="str">
        <f>IF(U80="Fail",MacReports!N80,"")</f>
        <v/>
      </c>
      <c r="AB80" t="str">
        <f t="shared" si="4"/>
        <v/>
      </c>
    </row>
    <row r="81" spans="1:28">
      <c r="A81" t="str">
        <f>MacReports!A81</f>
        <v/>
      </c>
      <c r="B81">
        <f>MacReports!B81</f>
        <v>0</v>
      </c>
      <c r="C81">
        <f>MacReports!C81</f>
        <v>0</v>
      </c>
      <c r="E81" t="e">
        <f>_xlfn.XLOOKUP(G81,Models!A:A,Models!F:F)</f>
        <v>#N/A</v>
      </c>
      <c r="F81" t="str">
        <f>_xlfn.XLOOKUP(B81,MacReports!B:B,MacReports!D:D,"")</f>
        <v/>
      </c>
      <c r="G81" s="13">
        <f>MacReports!E81</f>
        <v>0</v>
      </c>
      <c r="H81" t="e">
        <f>_xlfn.XLOOKUP(G81,Models!A:A,Models!B:B)</f>
        <v>#N/A</v>
      </c>
      <c r="I81" t="e">
        <f>_xlfn.XLOOKUP(G81,Models!A:A,Models!E:E)</f>
        <v>#N/A</v>
      </c>
      <c r="J81" t="e">
        <f>_xlfn.XLOOKUP(G81,Models!A:A,Models!D:D)</f>
        <v>#N/A</v>
      </c>
      <c r="K81">
        <f>MacReports!F81</f>
        <v>0</v>
      </c>
      <c r="L81">
        <f>MacReports!G81</f>
        <v>0</v>
      </c>
      <c r="M81" s="15" t="e" cm="1">
        <f t="array" ref="M81">--_xlfn.LET(
    _xlpm.txt, MacReports!H81,
    _xlpm.chars, MID(_xlpm.txt, _xlfn.SEQUENCE(LEN(_xlpm.txt)), 1),
    _xlfn.TEXTJOIN("", TRUE, IF(ISNUMBER(--_xlpm.chars), _xlpm.chars, ""))
)</f>
        <v>#VALUE!</v>
      </c>
      <c r="N81" s="16" t="str" cm="1">
        <f t="array" ref="N81">_xlfn.IFS(
   --MacReports!M81&lt;55,"Battery Defect",
  -- MacReports!M81&lt;=69,"Battery D",
  --MacReports!M81&lt;=80,"Battery C",
 --MacReports!M81&gt;80,""
)</f>
        <v>Battery Defect</v>
      </c>
      <c r="O81" s="16" t="str">
        <f>IF(MacReports!I81="Service","Battery Service","")</f>
        <v/>
      </c>
      <c r="P81" s="13">
        <f>MacReports!P81</f>
        <v>0</v>
      </c>
      <c r="Q81" s="13" t="str">
        <f>IF(MacReports!J81="Enabled","Apple ID Lock","")</f>
        <v/>
      </c>
      <c r="R81" s="13" t="str">
        <f>IF(MacReports!L81="y","Remote Locked","")</f>
        <v/>
      </c>
      <c r="S81" t="str">
        <f t="shared" si="3"/>
        <v>Battery Defect, 0</v>
      </c>
      <c r="T81" t="str">
        <f>_xlfn.XLOOKUP(B81,Disk_Pivot!G:G,Disk_Pivot!I:I)</f>
        <v>Yes x2</v>
      </c>
      <c r="U81" t="str">
        <f>_xlfn.XLOOKUP(B81,Disk_Pivot!G:G,Disk_Pivot!N:N)</f>
        <v>Pass, Fail</v>
      </c>
      <c r="V81" t="str">
        <f>IF(U81="Fail",MacReports!N81,"")</f>
        <v/>
      </c>
      <c r="AB81" t="str">
        <f t="shared" si="4"/>
        <v/>
      </c>
    </row>
    <row r="82" spans="1:28">
      <c r="A82" t="str">
        <f>MacReports!A82</f>
        <v/>
      </c>
      <c r="B82">
        <f>MacReports!B82</f>
        <v>0</v>
      </c>
      <c r="C82">
        <f>MacReports!C82</f>
        <v>0</v>
      </c>
      <c r="E82" t="e">
        <f>_xlfn.XLOOKUP(G82,Models!A:A,Models!F:F)</f>
        <v>#N/A</v>
      </c>
      <c r="F82" t="str">
        <f>_xlfn.XLOOKUP(B82,MacReports!B:B,MacReports!D:D,"")</f>
        <v/>
      </c>
      <c r="G82" s="13">
        <f>MacReports!E82</f>
        <v>0</v>
      </c>
      <c r="H82" t="e">
        <f>_xlfn.XLOOKUP(G82,Models!A:A,Models!B:B)</f>
        <v>#N/A</v>
      </c>
      <c r="I82" t="e">
        <f>_xlfn.XLOOKUP(G82,Models!A:A,Models!E:E)</f>
        <v>#N/A</v>
      </c>
      <c r="J82" t="e">
        <f>_xlfn.XLOOKUP(G82,Models!A:A,Models!D:D)</f>
        <v>#N/A</v>
      </c>
      <c r="K82">
        <f>MacReports!F82</f>
        <v>0</v>
      </c>
      <c r="L82">
        <f>MacReports!G82</f>
        <v>0</v>
      </c>
      <c r="M82" s="15" t="e" cm="1">
        <f t="array" ref="M82">--_xlfn.LET(
    _xlpm.txt, MacReports!H82,
    _xlpm.chars, MID(_xlpm.txt, _xlfn.SEQUENCE(LEN(_xlpm.txt)), 1),
    _xlfn.TEXTJOIN("", TRUE, IF(ISNUMBER(--_xlpm.chars), _xlpm.chars, ""))
)</f>
        <v>#VALUE!</v>
      </c>
      <c r="N82" s="16" t="str" cm="1">
        <f t="array" ref="N82">_xlfn.IFS(
   --MacReports!M82&lt;55,"Battery Defect",
  -- MacReports!M82&lt;=69,"Battery D",
  --MacReports!M82&lt;=80,"Battery C",
 --MacReports!M82&gt;80,""
)</f>
        <v>Battery Defect</v>
      </c>
      <c r="O82" s="16" t="str">
        <f>IF(MacReports!I82="Service","Battery Service","")</f>
        <v/>
      </c>
      <c r="P82" s="13">
        <f>MacReports!P82</f>
        <v>0</v>
      </c>
      <c r="Q82" s="13" t="str">
        <f>IF(MacReports!J82="Enabled","Apple ID Lock","")</f>
        <v/>
      </c>
      <c r="R82" s="13" t="str">
        <f>IF(MacReports!L82="y","Remote Locked","")</f>
        <v/>
      </c>
      <c r="S82" t="str">
        <f t="shared" si="3"/>
        <v>Battery Defect, 0</v>
      </c>
      <c r="T82" t="str">
        <f>_xlfn.XLOOKUP(B82,Disk_Pivot!G:G,Disk_Pivot!I:I)</f>
        <v>Yes x2</v>
      </c>
      <c r="U82" t="str">
        <f>_xlfn.XLOOKUP(B82,Disk_Pivot!G:G,Disk_Pivot!N:N)</f>
        <v>Pass, Fail</v>
      </c>
      <c r="V82" t="str">
        <f>IF(U82="Fail",MacReports!N82,"")</f>
        <v/>
      </c>
      <c r="AB82" t="str">
        <f t="shared" si="4"/>
        <v/>
      </c>
    </row>
    <row r="83" spans="1:28">
      <c r="A83" t="str">
        <f>MacReports!A83</f>
        <v/>
      </c>
      <c r="B83">
        <f>MacReports!B83</f>
        <v>0</v>
      </c>
      <c r="C83">
        <f>MacReports!C83</f>
        <v>0</v>
      </c>
      <c r="E83" t="e">
        <f>_xlfn.XLOOKUP(G83,Models!A:A,Models!F:F)</f>
        <v>#N/A</v>
      </c>
      <c r="F83" t="str">
        <f>_xlfn.XLOOKUP(B83,MacReports!B:B,MacReports!D:D,"")</f>
        <v/>
      </c>
      <c r="G83" s="13">
        <f>MacReports!E83</f>
        <v>0</v>
      </c>
      <c r="H83" t="e">
        <f>_xlfn.XLOOKUP(G83,Models!A:A,Models!B:B)</f>
        <v>#N/A</v>
      </c>
      <c r="I83" t="e">
        <f>_xlfn.XLOOKUP(G83,Models!A:A,Models!E:E)</f>
        <v>#N/A</v>
      </c>
      <c r="J83" t="e">
        <f>_xlfn.XLOOKUP(G83,Models!A:A,Models!D:D)</f>
        <v>#N/A</v>
      </c>
      <c r="K83">
        <f>MacReports!F83</f>
        <v>0</v>
      </c>
      <c r="L83">
        <f>MacReports!G83</f>
        <v>0</v>
      </c>
      <c r="M83" s="15" t="e" cm="1">
        <f t="array" ref="M83">--_xlfn.LET(
    _xlpm.txt, MacReports!H83,
    _xlpm.chars, MID(_xlpm.txt, _xlfn.SEQUENCE(LEN(_xlpm.txt)), 1),
    _xlfn.TEXTJOIN("", TRUE, IF(ISNUMBER(--_xlpm.chars), _xlpm.chars, ""))
)</f>
        <v>#VALUE!</v>
      </c>
      <c r="N83" s="16" t="str" cm="1">
        <f t="array" ref="N83">_xlfn.IFS(
   --MacReports!M83&lt;55,"Battery Defect",
  -- MacReports!M83&lt;=69,"Battery D",
  --MacReports!M83&lt;=80,"Battery C",
 --MacReports!M83&gt;80,""
)</f>
        <v>Battery Defect</v>
      </c>
      <c r="O83" s="16" t="str">
        <f>IF(MacReports!I83="Service","Battery Service","")</f>
        <v/>
      </c>
      <c r="P83" s="13">
        <f>MacReports!P83</f>
        <v>0</v>
      </c>
      <c r="Q83" s="13" t="str">
        <f>IF(MacReports!J83="Enabled","Apple ID Lock","")</f>
        <v/>
      </c>
      <c r="R83" s="13" t="str">
        <f>IF(MacReports!L83="y","Remote Locked","")</f>
        <v/>
      </c>
      <c r="S83" t="str">
        <f t="shared" si="3"/>
        <v>Battery Defect, 0</v>
      </c>
      <c r="T83" t="str">
        <f>_xlfn.XLOOKUP(B83,Disk_Pivot!G:G,Disk_Pivot!I:I)</f>
        <v>Yes x2</v>
      </c>
      <c r="U83" t="str">
        <f>_xlfn.XLOOKUP(B83,Disk_Pivot!G:G,Disk_Pivot!N:N)</f>
        <v>Pass, Fail</v>
      </c>
      <c r="V83" t="str">
        <f>IF(U83="Fail",MacReports!N83,"")</f>
        <v/>
      </c>
      <c r="AB83" t="str">
        <f t="shared" si="4"/>
        <v/>
      </c>
    </row>
    <row r="84" spans="1:28">
      <c r="A84" t="str">
        <f>MacReports!A84</f>
        <v/>
      </c>
      <c r="B84">
        <f>MacReports!B84</f>
        <v>0</v>
      </c>
      <c r="C84">
        <f>MacReports!C84</f>
        <v>0</v>
      </c>
      <c r="E84" t="e">
        <f>_xlfn.XLOOKUP(G84,Models!A:A,Models!F:F)</f>
        <v>#N/A</v>
      </c>
      <c r="F84" t="str">
        <f>_xlfn.XLOOKUP(B84,MacReports!B:B,MacReports!D:D,"")</f>
        <v/>
      </c>
      <c r="G84" s="13">
        <f>MacReports!E84</f>
        <v>0</v>
      </c>
      <c r="H84" t="e">
        <f>_xlfn.XLOOKUP(G84,Models!A:A,Models!B:B)</f>
        <v>#N/A</v>
      </c>
      <c r="I84" t="e">
        <f>_xlfn.XLOOKUP(G84,Models!A:A,Models!E:E)</f>
        <v>#N/A</v>
      </c>
      <c r="J84" t="e">
        <f>_xlfn.XLOOKUP(G84,Models!A:A,Models!D:D)</f>
        <v>#N/A</v>
      </c>
      <c r="K84">
        <f>MacReports!F84</f>
        <v>0</v>
      </c>
      <c r="L84">
        <f>MacReports!G84</f>
        <v>0</v>
      </c>
      <c r="M84" s="15" t="e" cm="1">
        <f t="array" ref="M84">--_xlfn.LET(
    _xlpm.txt, MacReports!H84,
    _xlpm.chars, MID(_xlpm.txt, _xlfn.SEQUENCE(LEN(_xlpm.txt)), 1),
    _xlfn.TEXTJOIN("", TRUE, IF(ISNUMBER(--_xlpm.chars), _xlpm.chars, ""))
)</f>
        <v>#VALUE!</v>
      </c>
      <c r="N84" s="16" t="str" cm="1">
        <f t="array" ref="N84">_xlfn.IFS(
   --MacReports!M84&lt;55,"Battery Defect",
  -- MacReports!M84&lt;=69,"Battery D",
  --MacReports!M84&lt;=80,"Battery C",
 --MacReports!M84&gt;80,""
)</f>
        <v>Battery Defect</v>
      </c>
      <c r="O84" s="16" t="str">
        <f>IF(MacReports!I84="Service","Battery Service","")</f>
        <v/>
      </c>
      <c r="P84" s="13">
        <f>MacReports!P84</f>
        <v>0</v>
      </c>
      <c r="Q84" s="13" t="str">
        <f>IF(MacReports!J84="Enabled","Apple ID Lock","")</f>
        <v/>
      </c>
      <c r="R84" s="13" t="str">
        <f>IF(MacReports!L84="y","Remote Locked","")</f>
        <v/>
      </c>
      <c r="S84" t="str">
        <f t="shared" si="3"/>
        <v>Battery Defect, 0</v>
      </c>
      <c r="T84" t="str">
        <f>_xlfn.XLOOKUP(B84,Disk_Pivot!G:G,Disk_Pivot!I:I)</f>
        <v>Yes x2</v>
      </c>
      <c r="U84" t="str">
        <f>_xlfn.XLOOKUP(B84,Disk_Pivot!G:G,Disk_Pivot!N:N)</f>
        <v>Pass, Fail</v>
      </c>
      <c r="V84" t="str">
        <f>IF(U84="Fail",MacReports!N84,"")</f>
        <v/>
      </c>
      <c r="AB84" t="str">
        <f t="shared" si="4"/>
        <v/>
      </c>
    </row>
    <row r="85" spans="1:28">
      <c r="A85" t="str">
        <f>MacReports!A85</f>
        <v/>
      </c>
      <c r="B85">
        <f>MacReports!B85</f>
        <v>0</v>
      </c>
      <c r="C85">
        <f>MacReports!C85</f>
        <v>0</v>
      </c>
      <c r="E85" t="e">
        <f>_xlfn.XLOOKUP(G85,Models!A:A,Models!F:F)</f>
        <v>#N/A</v>
      </c>
      <c r="F85" t="str">
        <f>_xlfn.XLOOKUP(B85,MacReports!B:B,MacReports!D:D,"")</f>
        <v/>
      </c>
      <c r="G85" s="13">
        <f>MacReports!E85</f>
        <v>0</v>
      </c>
      <c r="H85" t="e">
        <f>_xlfn.XLOOKUP(G85,Models!A:A,Models!B:B)</f>
        <v>#N/A</v>
      </c>
      <c r="I85" t="e">
        <f>_xlfn.XLOOKUP(G85,Models!A:A,Models!E:E)</f>
        <v>#N/A</v>
      </c>
      <c r="J85" t="e">
        <f>_xlfn.XLOOKUP(G85,Models!A:A,Models!D:D)</f>
        <v>#N/A</v>
      </c>
      <c r="K85">
        <f>MacReports!F85</f>
        <v>0</v>
      </c>
      <c r="L85">
        <f>MacReports!G85</f>
        <v>0</v>
      </c>
      <c r="M85" s="15" t="e" cm="1">
        <f t="array" ref="M85">--_xlfn.LET(
    _xlpm.txt, MacReports!H85,
    _xlpm.chars, MID(_xlpm.txt, _xlfn.SEQUENCE(LEN(_xlpm.txt)), 1),
    _xlfn.TEXTJOIN("", TRUE, IF(ISNUMBER(--_xlpm.chars), _xlpm.chars, ""))
)</f>
        <v>#VALUE!</v>
      </c>
      <c r="N85" s="16" t="str" cm="1">
        <f t="array" ref="N85">_xlfn.IFS(
   --MacReports!M85&lt;55,"Battery Defect",
  -- MacReports!M85&lt;=69,"Battery D",
  --MacReports!M85&lt;=80,"Battery C",
 --MacReports!M85&gt;80,""
)</f>
        <v>Battery Defect</v>
      </c>
      <c r="O85" s="16" t="str">
        <f>IF(MacReports!I85="Service","Battery Service","")</f>
        <v/>
      </c>
      <c r="P85" s="13">
        <f>MacReports!P85</f>
        <v>0</v>
      </c>
      <c r="Q85" s="13" t="str">
        <f>IF(MacReports!J85="Enabled","Apple ID Lock","")</f>
        <v/>
      </c>
      <c r="R85" s="13" t="str">
        <f>IF(MacReports!L85="y","Remote Locked","")</f>
        <v/>
      </c>
      <c r="S85" t="str">
        <f t="shared" si="3"/>
        <v>Battery Defect, 0</v>
      </c>
      <c r="T85" t="str">
        <f>_xlfn.XLOOKUP(B85,Disk_Pivot!G:G,Disk_Pivot!I:I)</f>
        <v>Yes x2</v>
      </c>
      <c r="U85" t="str">
        <f>_xlfn.XLOOKUP(B85,Disk_Pivot!G:G,Disk_Pivot!N:N)</f>
        <v>Pass, Fail</v>
      </c>
      <c r="V85" t="str">
        <f>IF(U85="Fail",MacReports!N85,"")</f>
        <v/>
      </c>
      <c r="AB85" t="str">
        <f t="shared" si="4"/>
        <v/>
      </c>
    </row>
    <row r="86" spans="1:28">
      <c r="A86" t="str">
        <f>MacReports!A86</f>
        <v/>
      </c>
      <c r="B86">
        <f>MacReports!B86</f>
        <v>0</v>
      </c>
      <c r="C86">
        <f>MacReports!C86</f>
        <v>0</v>
      </c>
      <c r="E86" t="e">
        <f>_xlfn.XLOOKUP(G86,Models!A:A,Models!F:F)</f>
        <v>#N/A</v>
      </c>
      <c r="F86" t="str">
        <f>_xlfn.XLOOKUP(B86,MacReports!B:B,MacReports!D:D,"")</f>
        <v/>
      </c>
      <c r="G86" s="13">
        <f>MacReports!E86</f>
        <v>0</v>
      </c>
      <c r="H86" t="e">
        <f>_xlfn.XLOOKUP(G86,Models!A:A,Models!B:B)</f>
        <v>#N/A</v>
      </c>
      <c r="I86" t="e">
        <f>_xlfn.XLOOKUP(G86,Models!A:A,Models!E:E)</f>
        <v>#N/A</v>
      </c>
      <c r="J86" t="e">
        <f>_xlfn.XLOOKUP(G86,Models!A:A,Models!D:D)</f>
        <v>#N/A</v>
      </c>
      <c r="K86">
        <f>MacReports!F86</f>
        <v>0</v>
      </c>
      <c r="L86">
        <f>MacReports!G86</f>
        <v>0</v>
      </c>
      <c r="M86" s="15" t="e" cm="1">
        <f t="array" ref="M86">--_xlfn.LET(
    _xlpm.txt, MacReports!H86,
    _xlpm.chars, MID(_xlpm.txt, _xlfn.SEQUENCE(LEN(_xlpm.txt)), 1),
    _xlfn.TEXTJOIN("", TRUE, IF(ISNUMBER(--_xlpm.chars), _xlpm.chars, ""))
)</f>
        <v>#VALUE!</v>
      </c>
      <c r="N86" s="16" t="str" cm="1">
        <f t="array" ref="N86">_xlfn.IFS(
   --MacReports!M86&lt;55,"Battery Defect",
  -- MacReports!M86&lt;=69,"Battery D",
  --MacReports!M86&lt;=80,"Battery C",
 --MacReports!M86&gt;80,""
)</f>
        <v>Battery Defect</v>
      </c>
      <c r="O86" s="16" t="str">
        <f>IF(MacReports!I86="Service","Battery Service","")</f>
        <v/>
      </c>
      <c r="P86" s="13">
        <f>MacReports!P86</f>
        <v>0</v>
      </c>
      <c r="Q86" s="13" t="str">
        <f>IF(MacReports!J86="Enabled","Apple ID Lock","")</f>
        <v/>
      </c>
      <c r="R86" s="13" t="str">
        <f>IF(MacReports!L86="y","Remote Locked","")</f>
        <v/>
      </c>
      <c r="S86" t="str">
        <f t="shared" si="3"/>
        <v>Battery Defect, 0</v>
      </c>
      <c r="T86" t="str">
        <f>_xlfn.XLOOKUP(B86,Disk_Pivot!G:G,Disk_Pivot!I:I)</f>
        <v>Yes x2</v>
      </c>
      <c r="U86" t="str">
        <f>_xlfn.XLOOKUP(B86,Disk_Pivot!G:G,Disk_Pivot!N:N)</f>
        <v>Pass, Fail</v>
      </c>
      <c r="V86" t="str">
        <f>IF(U86="Fail",MacReports!N86,"")</f>
        <v/>
      </c>
      <c r="AB86" t="str">
        <f t="shared" si="4"/>
        <v/>
      </c>
    </row>
    <row r="87" spans="1:28">
      <c r="A87" t="str">
        <f>MacReports!A87</f>
        <v/>
      </c>
      <c r="B87">
        <f>MacReports!B87</f>
        <v>0</v>
      </c>
      <c r="C87">
        <f>MacReports!C87</f>
        <v>0</v>
      </c>
      <c r="E87" t="e">
        <f>_xlfn.XLOOKUP(G87,Models!A:A,Models!F:F)</f>
        <v>#N/A</v>
      </c>
      <c r="F87" t="str">
        <f>_xlfn.XLOOKUP(B87,MacReports!B:B,MacReports!D:D,"")</f>
        <v/>
      </c>
      <c r="G87" s="13">
        <f>MacReports!E87</f>
        <v>0</v>
      </c>
      <c r="H87" t="e">
        <f>_xlfn.XLOOKUP(G87,Models!A:A,Models!B:B)</f>
        <v>#N/A</v>
      </c>
      <c r="I87" t="e">
        <f>_xlfn.XLOOKUP(G87,Models!A:A,Models!E:E)</f>
        <v>#N/A</v>
      </c>
      <c r="J87" t="e">
        <f>_xlfn.XLOOKUP(G87,Models!A:A,Models!D:D)</f>
        <v>#N/A</v>
      </c>
      <c r="K87">
        <f>MacReports!F87</f>
        <v>0</v>
      </c>
      <c r="L87">
        <f>MacReports!G87</f>
        <v>0</v>
      </c>
      <c r="M87" s="15" t="e" cm="1">
        <f t="array" ref="M87">--_xlfn.LET(
    _xlpm.txt, MacReports!H87,
    _xlpm.chars, MID(_xlpm.txt, _xlfn.SEQUENCE(LEN(_xlpm.txt)), 1),
    _xlfn.TEXTJOIN("", TRUE, IF(ISNUMBER(--_xlpm.chars), _xlpm.chars, ""))
)</f>
        <v>#VALUE!</v>
      </c>
      <c r="N87" s="16" t="str" cm="1">
        <f t="array" ref="N87">_xlfn.IFS(
   --MacReports!M87&lt;55,"Battery Defect",
  -- MacReports!M87&lt;=69,"Battery D",
  --MacReports!M87&lt;=80,"Battery C",
 --MacReports!M87&gt;80,""
)</f>
        <v>Battery Defect</v>
      </c>
      <c r="O87" s="16" t="str">
        <f>IF(MacReports!I87="Service","Battery Service","")</f>
        <v/>
      </c>
      <c r="P87" s="13">
        <f>MacReports!P87</f>
        <v>0</v>
      </c>
      <c r="Q87" s="13" t="str">
        <f>IF(MacReports!J87="Enabled","Apple ID Lock","")</f>
        <v/>
      </c>
      <c r="R87" s="13" t="str">
        <f>IF(MacReports!L87="y","Remote Locked","")</f>
        <v/>
      </c>
      <c r="S87" t="str">
        <f t="shared" si="3"/>
        <v>Battery Defect, 0</v>
      </c>
      <c r="T87" t="str">
        <f>_xlfn.XLOOKUP(B87,Disk_Pivot!G:G,Disk_Pivot!I:I)</f>
        <v>Yes x2</v>
      </c>
      <c r="U87" t="str">
        <f>_xlfn.XLOOKUP(B87,Disk_Pivot!G:G,Disk_Pivot!N:N)</f>
        <v>Pass, Fail</v>
      </c>
      <c r="V87" t="str">
        <f>IF(U87="Fail",MacReports!N87,"")</f>
        <v/>
      </c>
      <c r="AB87" t="str">
        <f t="shared" si="4"/>
        <v/>
      </c>
    </row>
    <row r="88" spans="1:28">
      <c r="A88" t="str">
        <f>MacReports!A88</f>
        <v/>
      </c>
      <c r="B88">
        <f>MacReports!B88</f>
        <v>0</v>
      </c>
      <c r="C88">
        <f>MacReports!C88</f>
        <v>0</v>
      </c>
      <c r="E88" t="e">
        <f>_xlfn.XLOOKUP(G88,Models!A:A,Models!F:F)</f>
        <v>#N/A</v>
      </c>
      <c r="F88" t="str">
        <f>_xlfn.XLOOKUP(B88,MacReports!B:B,MacReports!D:D,"")</f>
        <v/>
      </c>
      <c r="G88" s="13">
        <f>MacReports!E88</f>
        <v>0</v>
      </c>
      <c r="H88" t="e">
        <f>_xlfn.XLOOKUP(G88,Models!A:A,Models!B:B)</f>
        <v>#N/A</v>
      </c>
      <c r="I88" t="e">
        <f>_xlfn.XLOOKUP(G88,Models!A:A,Models!E:E)</f>
        <v>#N/A</v>
      </c>
      <c r="J88" t="e">
        <f>_xlfn.XLOOKUP(G88,Models!A:A,Models!D:D)</f>
        <v>#N/A</v>
      </c>
      <c r="K88">
        <f>MacReports!F88</f>
        <v>0</v>
      </c>
      <c r="L88">
        <f>MacReports!G88</f>
        <v>0</v>
      </c>
      <c r="M88" s="15" t="e" cm="1">
        <f t="array" ref="M88">--_xlfn.LET(
    _xlpm.txt, MacReports!H88,
    _xlpm.chars, MID(_xlpm.txt, _xlfn.SEQUENCE(LEN(_xlpm.txt)), 1),
    _xlfn.TEXTJOIN("", TRUE, IF(ISNUMBER(--_xlpm.chars), _xlpm.chars, ""))
)</f>
        <v>#VALUE!</v>
      </c>
      <c r="N88" s="16" t="str" cm="1">
        <f t="array" ref="N88">_xlfn.IFS(
   --MacReports!M88&lt;55,"Battery Defect",
  -- MacReports!M88&lt;=69,"Battery D",
  --MacReports!M88&lt;=80,"Battery C",
 --MacReports!M88&gt;80,""
)</f>
        <v>Battery Defect</v>
      </c>
      <c r="O88" s="16" t="str">
        <f>IF(MacReports!I88="Service","Battery Service","")</f>
        <v/>
      </c>
      <c r="P88" s="13">
        <f>MacReports!P88</f>
        <v>0</v>
      </c>
      <c r="Q88" s="13" t="str">
        <f>IF(MacReports!J88="Enabled","Apple ID Lock","")</f>
        <v/>
      </c>
      <c r="R88" s="13" t="str">
        <f>IF(MacReports!L88="y","Remote Locked","")</f>
        <v/>
      </c>
      <c r="S88" t="str">
        <f t="shared" si="3"/>
        <v>Battery Defect, 0</v>
      </c>
      <c r="T88" t="str">
        <f>_xlfn.XLOOKUP(B88,Disk_Pivot!G:G,Disk_Pivot!I:I)</f>
        <v>Yes x2</v>
      </c>
      <c r="U88" t="str">
        <f>_xlfn.XLOOKUP(B88,Disk_Pivot!G:G,Disk_Pivot!N:N)</f>
        <v>Pass, Fail</v>
      </c>
      <c r="V88" t="str">
        <f>IF(U88="Fail",MacReports!N88,"")</f>
        <v/>
      </c>
      <c r="AB88" t="str">
        <f t="shared" si="4"/>
        <v/>
      </c>
    </row>
    <row r="89" spans="1:28">
      <c r="A89" t="str">
        <f>MacReports!A89</f>
        <v/>
      </c>
      <c r="B89">
        <f>MacReports!B89</f>
        <v>0</v>
      </c>
      <c r="C89">
        <f>MacReports!C89</f>
        <v>0</v>
      </c>
      <c r="E89" t="e">
        <f>_xlfn.XLOOKUP(G89,Models!A:A,Models!F:F)</f>
        <v>#N/A</v>
      </c>
      <c r="F89" t="str">
        <f>_xlfn.XLOOKUP(B89,MacReports!B:B,MacReports!D:D,"")</f>
        <v/>
      </c>
      <c r="G89" s="13">
        <f>MacReports!E89</f>
        <v>0</v>
      </c>
      <c r="H89" t="e">
        <f>_xlfn.XLOOKUP(G89,Models!A:A,Models!B:B)</f>
        <v>#N/A</v>
      </c>
      <c r="I89" t="e">
        <f>_xlfn.XLOOKUP(G89,Models!A:A,Models!E:E)</f>
        <v>#N/A</v>
      </c>
      <c r="J89" t="e">
        <f>_xlfn.XLOOKUP(G89,Models!A:A,Models!D:D)</f>
        <v>#N/A</v>
      </c>
      <c r="K89">
        <f>MacReports!F89</f>
        <v>0</v>
      </c>
      <c r="L89">
        <f>MacReports!G89</f>
        <v>0</v>
      </c>
      <c r="M89" s="15" t="e" cm="1">
        <f t="array" ref="M89">--_xlfn.LET(
    _xlpm.txt, MacReports!H89,
    _xlpm.chars, MID(_xlpm.txt, _xlfn.SEQUENCE(LEN(_xlpm.txt)), 1),
    _xlfn.TEXTJOIN("", TRUE, IF(ISNUMBER(--_xlpm.chars), _xlpm.chars, ""))
)</f>
        <v>#VALUE!</v>
      </c>
      <c r="N89" s="16" t="str" cm="1">
        <f t="array" ref="N89">_xlfn.IFS(
   --MacReports!M89&lt;55,"Battery Defect",
  -- MacReports!M89&lt;=69,"Battery D",
  --MacReports!M89&lt;=80,"Battery C",
 --MacReports!M89&gt;80,""
)</f>
        <v>Battery Defect</v>
      </c>
      <c r="O89" s="16" t="str">
        <f>IF(MacReports!I89="Service","Battery Service","")</f>
        <v/>
      </c>
      <c r="P89" s="13">
        <f>MacReports!P89</f>
        <v>0</v>
      </c>
      <c r="Q89" s="13" t="str">
        <f>IF(MacReports!J89="Enabled","Apple ID Lock","")</f>
        <v/>
      </c>
      <c r="R89" s="13" t="str">
        <f>IF(MacReports!L89="y","Remote Locked","")</f>
        <v/>
      </c>
      <c r="S89" t="str">
        <f t="shared" si="3"/>
        <v>Battery Defect, 0</v>
      </c>
      <c r="T89" t="str">
        <f>_xlfn.XLOOKUP(B89,Disk_Pivot!G:G,Disk_Pivot!I:I)</f>
        <v>Yes x2</v>
      </c>
      <c r="U89" t="str">
        <f>_xlfn.XLOOKUP(B89,Disk_Pivot!G:G,Disk_Pivot!N:N)</f>
        <v>Pass, Fail</v>
      </c>
      <c r="V89" t="str">
        <f>IF(U89="Fail",MacReports!N89,"")</f>
        <v/>
      </c>
      <c r="AB89" t="str">
        <f t="shared" si="4"/>
        <v/>
      </c>
    </row>
    <row r="90" spans="1:28">
      <c r="A90" t="str">
        <f>MacReports!A90</f>
        <v/>
      </c>
      <c r="B90">
        <f>MacReports!B90</f>
        <v>0</v>
      </c>
      <c r="C90">
        <f>MacReports!C90</f>
        <v>0</v>
      </c>
      <c r="E90" t="e">
        <f>_xlfn.XLOOKUP(G90,Models!A:A,Models!F:F)</f>
        <v>#N/A</v>
      </c>
      <c r="F90" t="str">
        <f>_xlfn.XLOOKUP(B90,MacReports!B:B,MacReports!D:D,"")</f>
        <v/>
      </c>
      <c r="G90" s="13">
        <f>MacReports!E90</f>
        <v>0</v>
      </c>
      <c r="H90" t="e">
        <f>_xlfn.XLOOKUP(G90,Models!A:A,Models!B:B)</f>
        <v>#N/A</v>
      </c>
      <c r="I90" t="e">
        <f>_xlfn.XLOOKUP(G90,Models!A:A,Models!E:E)</f>
        <v>#N/A</v>
      </c>
      <c r="J90" t="e">
        <f>_xlfn.XLOOKUP(G90,Models!A:A,Models!D:D)</f>
        <v>#N/A</v>
      </c>
      <c r="K90">
        <f>MacReports!F90</f>
        <v>0</v>
      </c>
      <c r="L90">
        <f>MacReports!G90</f>
        <v>0</v>
      </c>
      <c r="M90" s="15" t="e" cm="1">
        <f t="array" ref="M90">--_xlfn.LET(
    _xlpm.txt, MacReports!H90,
    _xlpm.chars, MID(_xlpm.txt, _xlfn.SEQUENCE(LEN(_xlpm.txt)), 1),
    _xlfn.TEXTJOIN("", TRUE, IF(ISNUMBER(--_xlpm.chars), _xlpm.chars, ""))
)</f>
        <v>#VALUE!</v>
      </c>
      <c r="N90" s="16" t="str" cm="1">
        <f t="array" ref="N90">_xlfn.IFS(
   --MacReports!M90&lt;55,"Battery Defect",
  -- MacReports!M90&lt;=69,"Battery D",
  --MacReports!M90&lt;=80,"Battery C",
 --MacReports!M90&gt;80,""
)</f>
        <v>Battery Defect</v>
      </c>
      <c r="O90" s="16" t="str">
        <f>IF(MacReports!I90="Service","Battery Service","")</f>
        <v/>
      </c>
      <c r="P90" s="13">
        <f>MacReports!P90</f>
        <v>0</v>
      </c>
      <c r="Q90" s="13" t="str">
        <f>IF(MacReports!J90="Enabled","Apple ID Lock","")</f>
        <v/>
      </c>
      <c r="R90" s="13" t="str">
        <f>IF(MacReports!L90="y","Remote Locked","")</f>
        <v/>
      </c>
      <c r="S90" t="str">
        <f t="shared" si="3"/>
        <v>Battery Defect, 0</v>
      </c>
      <c r="T90" t="str">
        <f>_xlfn.XLOOKUP(B90,Disk_Pivot!G:G,Disk_Pivot!I:I)</f>
        <v>Yes x2</v>
      </c>
      <c r="U90" t="str">
        <f>_xlfn.XLOOKUP(B90,Disk_Pivot!G:G,Disk_Pivot!N:N)</f>
        <v>Pass, Fail</v>
      </c>
      <c r="V90" t="str">
        <f>IF(U90="Fail",MacReports!N90,"")</f>
        <v/>
      </c>
      <c r="AB90" t="str">
        <f t="shared" si="4"/>
        <v/>
      </c>
    </row>
    <row r="91" spans="1:28">
      <c r="A91" t="str">
        <f>MacReports!A91</f>
        <v/>
      </c>
      <c r="B91">
        <f>MacReports!B91</f>
        <v>0</v>
      </c>
      <c r="C91">
        <f>MacReports!C91</f>
        <v>0</v>
      </c>
      <c r="E91" t="e">
        <f>_xlfn.XLOOKUP(G91,Models!A:A,Models!F:F)</f>
        <v>#N/A</v>
      </c>
      <c r="F91" t="str">
        <f>_xlfn.XLOOKUP(B91,MacReports!B:B,MacReports!D:D,"")</f>
        <v/>
      </c>
      <c r="G91" s="13">
        <f>MacReports!E91</f>
        <v>0</v>
      </c>
      <c r="H91" t="e">
        <f>_xlfn.XLOOKUP(G91,Models!A:A,Models!B:B)</f>
        <v>#N/A</v>
      </c>
      <c r="I91" t="e">
        <f>_xlfn.XLOOKUP(G91,Models!A:A,Models!E:E)</f>
        <v>#N/A</v>
      </c>
      <c r="J91" t="e">
        <f>_xlfn.XLOOKUP(G91,Models!A:A,Models!D:D)</f>
        <v>#N/A</v>
      </c>
      <c r="K91">
        <f>MacReports!F91</f>
        <v>0</v>
      </c>
      <c r="L91">
        <f>MacReports!G91</f>
        <v>0</v>
      </c>
      <c r="M91" s="15" t="e" cm="1">
        <f t="array" ref="M91">--_xlfn.LET(
    _xlpm.txt, MacReports!H91,
    _xlpm.chars, MID(_xlpm.txt, _xlfn.SEQUENCE(LEN(_xlpm.txt)), 1),
    _xlfn.TEXTJOIN("", TRUE, IF(ISNUMBER(--_xlpm.chars), _xlpm.chars, ""))
)</f>
        <v>#VALUE!</v>
      </c>
      <c r="N91" s="16" t="str" cm="1">
        <f t="array" ref="N91">_xlfn.IFS(
   --MacReports!M91&lt;55,"Battery Defect",
  -- MacReports!M91&lt;=69,"Battery D",
  --MacReports!M91&lt;=80,"Battery C",
 --MacReports!M91&gt;80,""
)</f>
        <v>Battery Defect</v>
      </c>
      <c r="O91" s="16" t="str">
        <f>IF(MacReports!I91="Service","Battery Service","")</f>
        <v/>
      </c>
      <c r="P91" s="13">
        <f>MacReports!P91</f>
        <v>0</v>
      </c>
      <c r="Q91" s="13" t="str">
        <f>IF(MacReports!J91="Enabled","Apple ID Lock","")</f>
        <v/>
      </c>
      <c r="R91" s="13" t="str">
        <f>IF(MacReports!L91="y","Remote Locked","")</f>
        <v/>
      </c>
      <c r="S91" t="str">
        <f t="shared" si="3"/>
        <v>Battery Defect, 0</v>
      </c>
      <c r="T91" t="str">
        <f>_xlfn.XLOOKUP(B91,Disk_Pivot!G:G,Disk_Pivot!I:I)</f>
        <v>Yes x2</v>
      </c>
      <c r="U91" t="str">
        <f>_xlfn.XLOOKUP(B91,Disk_Pivot!G:G,Disk_Pivot!N:N)</f>
        <v>Pass, Fail</v>
      </c>
      <c r="V91" t="str">
        <f>IF(U91="Fail",MacReports!N91,"")</f>
        <v/>
      </c>
      <c r="AB91" t="str">
        <f t="shared" si="4"/>
        <v/>
      </c>
    </row>
    <row r="92" spans="1:28">
      <c r="A92" t="str">
        <f>MacReports!A92</f>
        <v/>
      </c>
      <c r="B92">
        <f>MacReports!B92</f>
        <v>0</v>
      </c>
      <c r="C92">
        <f>MacReports!C92</f>
        <v>0</v>
      </c>
      <c r="E92" t="e">
        <f>_xlfn.XLOOKUP(G92,Models!A:A,Models!F:F)</f>
        <v>#N/A</v>
      </c>
      <c r="F92" t="str">
        <f>_xlfn.XLOOKUP(B92,MacReports!B:B,MacReports!D:D,"")</f>
        <v/>
      </c>
      <c r="G92" s="13">
        <f>MacReports!E92</f>
        <v>0</v>
      </c>
      <c r="H92" t="e">
        <f>_xlfn.XLOOKUP(G92,Models!A:A,Models!B:B)</f>
        <v>#N/A</v>
      </c>
      <c r="I92" t="e">
        <f>_xlfn.XLOOKUP(G92,Models!A:A,Models!E:E)</f>
        <v>#N/A</v>
      </c>
      <c r="J92" t="e">
        <f>_xlfn.XLOOKUP(G92,Models!A:A,Models!D:D)</f>
        <v>#N/A</v>
      </c>
      <c r="K92">
        <f>MacReports!F92</f>
        <v>0</v>
      </c>
      <c r="L92">
        <f>MacReports!G92</f>
        <v>0</v>
      </c>
      <c r="M92" s="15" t="e" cm="1">
        <f t="array" ref="M92">--_xlfn.LET(
    _xlpm.txt, MacReports!H92,
    _xlpm.chars, MID(_xlpm.txt, _xlfn.SEQUENCE(LEN(_xlpm.txt)), 1),
    _xlfn.TEXTJOIN("", TRUE, IF(ISNUMBER(--_xlpm.chars), _xlpm.chars, ""))
)</f>
        <v>#VALUE!</v>
      </c>
      <c r="N92" s="16" t="str" cm="1">
        <f t="array" ref="N92">_xlfn.IFS(
   --MacReports!M92&lt;55,"Battery Defect",
  -- MacReports!M92&lt;=69,"Battery D",
  --MacReports!M92&lt;=80,"Battery C",
 --MacReports!M92&gt;80,""
)</f>
        <v>Battery Defect</v>
      </c>
      <c r="O92" s="16" t="str">
        <f>IF(MacReports!I92="Service","Battery Service","")</f>
        <v/>
      </c>
      <c r="P92" s="13">
        <f>MacReports!P92</f>
        <v>0</v>
      </c>
      <c r="Q92" s="13" t="str">
        <f>IF(MacReports!J92="Enabled","Apple ID Lock","")</f>
        <v/>
      </c>
      <c r="R92" s="13" t="str">
        <f>IF(MacReports!L92="y","Remote Locked","")</f>
        <v/>
      </c>
      <c r="S92" t="str">
        <f t="shared" si="3"/>
        <v>Battery Defect, 0</v>
      </c>
      <c r="T92" t="str">
        <f>_xlfn.XLOOKUP(B92,Disk_Pivot!G:G,Disk_Pivot!I:I)</f>
        <v>Yes x2</v>
      </c>
      <c r="U92" t="str">
        <f>_xlfn.XLOOKUP(B92,Disk_Pivot!G:G,Disk_Pivot!N:N)</f>
        <v>Pass, Fail</v>
      </c>
      <c r="V92" t="str">
        <f>IF(U92="Fail",MacReports!N92,"")</f>
        <v/>
      </c>
      <c r="AB92" t="str">
        <f t="shared" si="4"/>
        <v/>
      </c>
    </row>
    <row r="93" spans="1:28">
      <c r="A93" t="str">
        <f>MacReports!A93</f>
        <v/>
      </c>
      <c r="B93">
        <f>MacReports!B93</f>
        <v>0</v>
      </c>
      <c r="C93">
        <f>MacReports!C93</f>
        <v>0</v>
      </c>
      <c r="E93" t="e">
        <f>_xlfn.XLOOKUP(G93,Models!A:A,Models!F:F)</f>
        <v>#N/A</v>
      </c>
      <c r="F93" t="str">
        <f>_xlfn.XLOOKUP(B93,MacReports!B:B,MacReports!D:D,"")</f>
        <v/>
      </c>
      <c r="G93" s="13">
        <f>MacReports!E93</f>
        <v>0</v>
      </c>
      <c r="H93" t="e">
        <f>_xlfn.XLOOKUP(G93,Models!A:A,Models!B:B)</f>
        <v>#N/A</v>
      </c>
      <c r="I93" t="e">
        <f>_xlfn.XLOOKUP(G93,Models!A:A,Models!E:E)</f>
        <v>#N/A</v>
      </c>
      <c r="J93" t="e">
        <f>_xlfn.XLOOKUP(G93,Models!A:A,Models!D:D)</f>
        <v>#N/A</v>
      </c>
      <c r="K93">
        <f>MacReports!F93</f>
        <v>0</v>
      </c>
      <c r="L93">
        <f>MacReports!G93</f>
        <v>0</v>
      </c>
      <c r="M93" s="15" t="e" cm="1">
        <f t="array" ref="M93">--_xlfn.LET(
    _xlpm.txt, MacReports!H93,
    _xlpm.chars, MID(_xlpm.txt, _xlfn.SEQUENCE(LEN(_xlpm.txt)), 1),
    _xlfn.TEXTJOIN("", TRUE, IF(ISNUMBER(--_xlpm.chars), _xlpm.chars, ""))
)</f>
        <v>#VALUE!</v>
      </c>
      <c r="N93" s="16" t="str" cm="1">
        <f t="array" ref="N93">_xlfn.IFS(
   --MacReports!M93&lt;55,"Battery Defect",
  -- MacReports!M93&lt;=69,"Battery D",
  --MacReports!M93&lt;=80,"Battery C",
 --MacReports!M93&gt;80,""
)</f>
        <v>Battery Defect</v>
      </c>
      <c r="O93" s="16" t="str">
        <f>IF(MacReports!I93="Service","Battery Service","")</f>
        <v/>
      </c>
      <c r="P93" s="13">
        <f>MacReports!P93</f>
        <v>0</v>
      </c>
      <c r="Q93" s="13" t="str">
        <f>IF(MacReports!J93="Enabled","Apple ID Lock","")</f>
        <v/>
      </c>
      <c r="R93" s="13" t="str">
        <f>IF(MacReports!L93="y","Remote Locked","")</f>
        <v/>
      </c>
      <c r="S93" t="str">
        <f t="shared" si="3"/>
        <v>Battery Defect, 0</v>
      </c>
      <c r="T93" t="str">
        <f>_xlfn.XLOOKUP(B93,Disk_Pivot!G:G,Disk_Pivot!I:I)</f>
        <v>Yes x2</v>
      </c>
      <c r="U93" t="str">
        <f>_xlfn.XLOOKUP(B93,Disk_Pivot!G:G,Disk_Pivot!N:N)</f>
        <v>Pass, Fail</v>
      </c>
      <c r="V93" t="str">
        <f>IF(U93="Fail",MacReports!N93,"")</f>
        <v/>
      </c>
      <c r="AB93" t="str">
        <f t="shared" si="4"/>
        <v/>
      </c>
    </row>
    <row r="94" spans="1:28">
      <c r="A94" t="str">
        <f>MacReports!A94</f>
        <v/>
      </c>
      <c r="B94">
        <f>MacReports!B94</f>
        <v>0</v>
      </c>
      <c r="C94">
        <f>MacReports!C94</f>
        <v>0</v>
      </c>
      <c r="E94" t="e">
        <f>_xlfn.XLOOKUP(G94,Models!A:A,Models!F:F)</f>
        <v>#N/A</v>
      </c>
      <c r="F94" t="str">
        <f>_xlfn.XLOOKUP(B94,MacReports!B:B,MacReports!D:D,"")</f>
        <v/>
      </c>
      <c r="G94" s="13">
        <f>MacReports!E94</f>
        <v>0</v>
      </c>
      <c r="H94" t="e">
        <f>_xlfn.XLOOKUP(G94,Models!A:A,Models!B:B)</f>
        <v>#N/A</v>
      </c>
      <c r="I94" t="e">
        <f>_xlfn.XLOOKUP(G94,Models!A:A,Models!E:E)</f>
        <v>#N/A</v>
      </c>
      <c r="J94" t="e">
        <f>_xlfn.XLOOKUP(G94,Models!A:A,Models!D:D)</f>
        <v>#N/A</v>
      </c>
      <c r="K94">
        <f>MacReports!F94</f>
        <v>0</v>
      </c>
      <c r="L94">
        <f>MacReports!G94</f>
        <v>0</v>
      </c>
      <c r="M94" s="15" t="e" cm="1">
        <f t="array" ref="M94">--_xlfn.LET(
    _xlpm.txt, MacReports!H94,
    _xlpm.chars, MID(_xlpm.txt, _xlfn.SEQUENCE(LEN(_xlpm.txt)), 1),
    _xlfn.TEXTJOIN("", TRUE, IF(ISNUMBER(--_xlpm.chars), _xlpm.chars, ""))
)</f>
        <v>#VALUE!</v>
      </c>
      <c r="N94" s="16" t="str" cm="1">
        <f t="array" ref="N94">_xlfn.IFS(
   --MacReports!M94&lt;55,"Battery Defect",
  -- MacReports!M94&lt;=69,"Battery D",
  --MacReports!M94&lt;=80,"Battery C",
 --MacReports!M94&gt;80,""
)</f>
        <v>Battery Defect</v>
      </c>
      <c r="O94" s="16" t="str">
        <f>IF(MacReports!I94="Service","Battery Service","")</f>
        <v/>
      </c>
      <c r="P94" s="13">
        <f>MacReports!P94</f>
        <v>0</v>
      </c>
      <c r="Q94" s="13" t="str">
        <f>IF(MacReports!J94="Enabled","Apple ID Lock","")</f>
        <v/>
      </c>
      <c r="R94" s="13" t="str">
        <f>IF(MacReports!L94="y","Remote Locked","")</f>
        <v/>
      </c>
      <c r="S94" t="str">
        <f t="shared" si="3"/>
        <v>Battery Defect, 0</v>
      </c>
      <c r="T94" t="str">
        <f>_xlfn.XLOOKUP(B94,Disk_Pivot!G:G,Disk_Pivot!I:I)</f>
        <v>Yes x2</v>
      </c>
      <c r="U94" t="str">
        <f>_xlfn.XLOOKUP(B94,Disk_Pivot!G:G,Disk_Pivot!N:N)</f>
        <v>Pass, Fail</v>
      </c>
      <c r="V94" t="str">
        <f>IF(U94="Fail",MacReports!N94,"")</f>
        <v/>
      </c>
      <c r="AB94" t="str">
        <f t="shared" si="4"/>
        <v/>
      </c>
    </row>
    <row r="95" spans="1:28">
      <c r="A95" t="str">
        <f>MacReports!A95</f>
        <v/>
      </c>
      <c r="B95">
        <f>MacReports!B95</f>
        <v>0</v>
      </c>
      <c r="C95">
        <f>MacReports!C95</f>
        <v>0</v>
      </c>
      <c r="E95" t="e">
        <f>_xlfn.XLOOKUP(G95,Models!A:A,Models!F:F)</f>
        <v>#N/A</v>
      </c>
      <c r="F95" t="str">
        <f>_xlfn.XLOOKUP(B95,MacReports!B:B,MacReports!D:D,"")</f>
        <v/>
      </c>
      <c r="G95" s="13">
        <f>MacReports!E95</f>
        <v>0</v>
      </c>
      <c r="H95" t="e">
        <f>_xlfn.XLOOKUP(G95,Models!A:A,Models!B:B)</f>
        <v>#N/A</v>
      </c>
      <c r="I95" t="e">
        <f>_xlfn.XLOOKUP(G95,Models!A:A,Models!E:E)</f>
        <v>#N/A</v>
      </c>
      <c r="J95" t="e">
        <f>_xlfn.XLOOKUP(G95,Models!A:A,Models!D:D)</f>
        <v>#N/A</v>
      </c>
      <c r="K95">
        <f>MacReports!F95</f>
        <v>0</v>
      </c>
      <c r="L95">
        <f>MacReports!G95</f>
        <v>0</v>
      </c>
      <c r="M95" s="15" t="e" cm="1">
        <f t="array" ref="M95">--_xlfn.LET(
    _xlpm.txt, MacReports!H95,
    _xlpm.chars, MID(_xlpm.txt, _xlfn.SEQUENCE(LEN(_xlpm.txt)), 1),
    _xlfn.TEXTJOIN("", TRUE, IF(ISNUMBER(--_xlpm.chars), _xlpm.chars, ""))
)</f>
        <v>#VALUE!</v>
      </c>
      <c r="N95" s="16" t="str" cm="1">
        <f t="array" ref="N95">_xlfn.IFS(
   --MacReports!M95&lt;55,"Battery Defect",
  -- MacReports!M95&lt;=69,"Battery D",
  --MacReports!M95&lt;=80,"Battery C",
 --MacReports!M95&gt;80,""
)</f>
        <v>Battery Defect</v>
      </c>
      <c r="O95" s="16" t="str">
        <f>IF(MacReports!I95="Service","Battery Service","")</f>
        <v/>
      </c>
      <c r="P95" s="13">
        <f>MacReports!P95</f>
        <v>0</v>
      </c>
      <c r="Q95" s="13" t="str">
        <f>IF(MacReports!J95="Enabled","Apple ID Lock","")</f>
        <v/>
      </c>
      <c r="R95" s="13" t="str">
        <f>IF(MacReports!L95="y","Remote Locked","")</f>
        <v/>
      </c>
      <c r="S95" t="str">
        <f t="shared" si="3"/>
        <v>Battery Defect, 0</v>
      </c>
      <c r="T95" t="str">
        <f>_xlfn.XLOOKUP(B95,Disk_Pivot!G:G,Disk_Pivot!I:I)</f>
        <v>Yes x2</v>
      </c>
      <c r="U95" t="str">
        <f>_xlfn.XLOOKUP(B95,Disk_Pivot!G:G,Disk_Pivot!N:N)</f>
        <v>Pass, Fail</v>
      </c>
      <c r="V95" t="str">
        <f>IF(U95="Fail",MacReports!N95,"")</f>
        <v/>
      </c>
      <c r="AB95" t="str">
        <f t="shared" si="4"/>
        <v/>
      </c>
    </row>
    <row r="96" spans="1:28">
      <c r="A96" t="str">
        <f>MacReports!A96</f>
        <v/>
      </c>
      <c r="B96">
        <f>MacReports!B96</f>
        <v>0</v>
      </c>
      <c r="C96">
        <f>MacReports!C96</f>
        <v>0</v>
      </c>
      <c r="E96" t="e">
        <f>_xlfn.XLOOKUP(G96,Models!A:A,Models!F:F)</f>
        <v>#N/A</v>
      </c>
      <c r="F96" t="str">
        <f>_xlfn.XLOOKUP(B96,MacReports!B:B,MacReports!D:D,"")</f>
        <v/>
      </c>
      <c r="G96" s="13">
        <f>MacReports!E96</f>
        <v>0</v>
      </c>
      <c r="H96" t="e">
        <f>_xlfn.XLOOKUP(G96,Models!A:A,Models!B:B)</f>
        <v>#N/A</v>
      </c>
      <c r="I96" t="e">
        <f>_xlfn.XLOOKUP(G96,Models!A:A,Models!E:E)</f>
        <v>#N/A</v>
      </c>
      <c r="J96" t="e">
        <f>_xlfn.XLOOKUP(G96,Models!A:A,Models!D:D)</f>
        <v>#N/A</v>
      </c>
      <c r="K96">
        <f>MacReports!F96</f>
        <v>0</v>
      </c>
      <c r="L96">
        <f>MacReports!G96</f>
        <v>0</v>
      </c>
      <c r="M96" s="15" t="e" cm="1">
        <f t="array" ref="M96">--_xlfn.LET(
    _xlpm.txt, MacReports!H96,
    _xlpm.chars, MID(_xlpm.txt, _xlfn.SEQUENCE(LEN(_xlpm.txt)), 1),
    _xlfn.TEXTJOIN("", TRUE, IF(ISNUMBER(--_xlpm.chars), _xlpm.chars, ""))
)</f>
        <v>#VALUE!</v>
      </c>
      <c r="N96" s="16" t="str" cm="1">
        <f t="array" ref="N96">_xlfn.IFS(
   --MacReports!M96&lt;55,"Battery Defect",
  -- MacReports!M96&lt;=69,"Battery D",
  --MacReports!M96&lt;=80,"Battery C",
 --MacReports!M96&gt;80,""
)</f>
        <v>Battery Defect</v>
      </c>
      <c r="O96" s="16" t="str">
        <f>IF(MacReports!I96="Service","Battery Service","")</f>
        <v/>
      </c>
      <c r="P96" s="13">
        <f>MacReports!P96</f>
        <v>0</v>
      </c>
      <c r="Q96" s="13" t="str">
        <f>IF(MacReports!J96="Enabled","Apple ID Lock","")</f>
        <v/>
      </c>
      <c r="R96" s="13" t="str">
        <f>IF(MacReports!L96="y","Remote Locked","")</f>
        <v/>
      </c>
      <c r="S96" t="str">
        <f t="shared" si="3"/>
        <v>Battery Defect, 0</v>
      </c>
      <c r="T96" t="str">
        <f>_xlfn.XLOOKUP(B96,Disk_Pivot!G:G,Disk_Pivot!I:I)</f>
        <v>Yes x2</v>
      </c>
      <c r="U96" t="str">
        <f>_xlfn.XLOOKUP(B96,Disk_Pivot!G:G,Disk_Pivot!N:N)</f>
        <v>Pass, Fail</v>
      </c>
      <c r="V96" t="str">
        <f>IF(U96="Fail",MacReports!N96,"")</f>
        <v/>
      </c>
      <c r="AB96" t="str">
        <f t="shared" si="4"/>
        <v/>
      </c>
    </row>
    <row r="97" spans="1:28">
      <c r="A97" t="str">
        <f>MacReports!A97</f>
        <v/>
      </c>
      <c r="B97">
        <f>MacReports!B97</f>
        <v>0</v>
      </c>
      <c r="C97">
        <f>MacReports!C97</f>
        <v>0</v>
      </c>
      <c r="E97" t="e">
        <f>_xlfn.XLOOKUP(G97,Models!A:A,Models!F:F)</f>
        <v>#N/A</v>
      </c>
      <c r="F97" t="str">
        <f>_xlfn.XLOOKUP(B97,MacReports!B:B,MacReports!D:D,"")</f>
        <v/>
      </c>
      <c r="G97" s="13">
        <f>MacReports!E97</f>
        <v>0</v>
      </c>
      <c r="H97" t="e">
        <f>_xlfn.XLOOKUP(G97,Models!A:A,Models!B:B)</f>
        <v>#N/A</v>
      </c>
      <c r="I97" t="e">
        <f>_xlfn.XLOOKUP(G97,Models!A:A,Models!E:E)</f>
        <v>#N/A</v>
      </c>
      <c r="J97" t="e">
        <f>_xlfn.XLOOKUP(G97,Models!A:A,Models!D:D)</f>
        <v>#N/A</v>
      </c>
      <c r="K97">
        <f>MacReports!F97</f>
        <v>0</v>
      </c>
      <c r="L97">
        <f>MacReports!G97</f>
        <v>0</v>
      </c>
      <c r="M97" s="15" t="e" cm="1">
        <f t="array" ref="M97">--_xlfn.LET(
    _xlpm.txt, MacReports!H97,
    _xlpm.chars, MID(_xlpm.txt, _xlfn.SEQUENCE(LEN(_xlpm.txt)), 1),
    _xlfn.TEXTJOIN("", TRUE, IF(ISNUMBER(--_xlpm.chars), _xlpm.chars, ""))
)</f>
        <v>#VALUE!</v>
      </c>
      <c r="N97" s="16" t="str" cm="1">
        <f t="array" ref="N97">_xlfn.IFS(
   --MacReports!M97&lt;55,"Battery Defect",
  -- MacReports!M97&lt;=69,"Battery D",
  --MacReports!M97&lt;=80,"Battery C",
 --MacReports!M97&gt;80,""
)</f>
        <v>Battery Defect</v>
      </c>
      <c r="O97" s="16" t="str">
        <f>IF(MacReports!I97="Service","Battery Service","")</f>
        <v/>
      </c>
      <c r="P97" s="13">
        <f>MacReports!P97</f>
        <v>0</v>
      </c>
      <c r="Q97" s="13" t="str">
        <f>IF(MacReports!J97="Enabled","Apple ID Lock","")</f>
        <v/>
      </c>
      <c r="R97" s="13" t="str">
        <f>IF(MacReports!L97="y","Remote Locked","")</f>
        <v/>
      </c>
      <c r="S97" t="str">
        <f t="shared" si="3"/>
        <v>Battery Defect, 0</v>
      </c>
      <c r="T97" t="str">
        <f>_xlfn.XLOOKUP(B97,Disk_Pivot!G:G,Disk_Pivot!I:I)</f>
        <v>Yes x2</v>
      </c>
      <c r="U97" t="str">
        <f>_xlfn.XLOOKUP(B97,Disk_Pivot!G:G,Disk_Pivot!N:N)</f>
        <v>Pass, Fail</v>
      </c>
      <c r="V97" t="str">
        <f>IF(U97="Fail",MacReports!N97,"")</f>
        <v/>
      </c>
      <c r="AB97" t="str">
        <f t="shared" si="4"/>
        <v/>
      </c>
    </row>
    <row r="98" spans="1:28">
      <c r="A98" t="str">
        <f>MacReports!A98</f>
        <v/>
      </c>
      <c r="B98">
        <f>MacReports!B98</f>
        <v>0</v>
      </c>
      <c r="C98">
        <f>MacReports!C98</f>
        <v>0</v>
      </c>
      <c r="E98" t="e">
        <f>_xlfn.XLOOKUP(G98,Models!A:A,Models!F:F)</f>
        <v>#N/A</v>
      </c>
      <c r="F98" t="str">
        <f>_xlfn.XLOOKUP(B98,MacReports!B:B,MacReports!D:D,"")</f>
        <v/>
      </c>
      <c r="G98" s="13">
        <f>MacReports!E98</f>
        <v>0</v>
      </c>
      <c r="H98" t="e">
        <f>_xlfn.XLOOKUP(G98,Models!A:A,Models!B:B)</f>
        <v>#N/A</v>
      </c>
      <c r="I98" t="e">
        <f>_xlfn.XLOOKUP(G98,Models!A:A,Models!E:E)</f>
        <v>#N/A</v>
      </c>
      <c r="J98" t="e">
        <f>_xlfn.XLOOKUP(G98,Models!A:A,Models!D:D)</f>
        <v>#N/A</v>
      </c>
      <c r="K98">
        <f>MacReports!F98</f>
        <v>0</v>
      </c>
      <c r="L98">
        <f>MacReports!G98</f>
        <v>0</v>
      </c>
      <c r="M98" s="15" t="e" cm="1">
        <f t="array" ref="M98">--_xlfn.LET(
    _xlpm.txt, MacReports!H98,
    _xlpm.chars, MID(_xlpm.txt, _xlfn.SEQUENCE(LEN(_xlpm.txt)), 1),
    _xlfn.TEXTJOIN("", TRUE, IF(ISNUMBER(--_xlpm.chars), _xlpm.chars, ""))
)</f>
        <v>#VALUE!</v>
      </c>
      <c r="N98" s="16" t="str" cm="1">
        <f t="array" ref="N98">_xlfn.IFS(
   --MacReports!M98&lt;55,"Battery Defect",
  -- MacReports!M98&lt;=69,"Battery D",
  --MacReports!M98&lt;=80,"Battery C",
 --MacReports!M98&gt;80,""
)</f>
        <v>Battery Defect</v>
      </c>
      <c r="O98" s="16" t="str">
        <f>IF(MacReports!I98="Service","Battery Service","")</f>
        <v/>
      </c>
      <c r="P98" s="13">
        <f>MacReports!P98</f>
        <v>0</v>
      </c>
      <c r="Q98" s="13" t="str">
        <f>IF(MacReports!J98="Enabled","Apple ID Lock","")</f>
        <v/>
      </c>
      <c r="R98" s="13" t="str">
        <f>IF(MacReports!L98="y","Remote Locked","")</f>
        <v/>
      </c>
      <c r="S98" t="str">
        <f t="shared" si="3"/>
        <v>Battery Defect, 0</v>
      </c>
      <c r="T98" t="str">
        <f>_xlfn.XLOOKUP(B98,Disk_Pivot!G:G,Disk_Pivot!I:I)</f>
        <v>Yes x2</v>
      </c>
      <c r="U98" t="str">
        <f>_xlfn.XLOOKUP(B98,Disk_Pivot!G:G,Disk_Pivot!N:N)</f>
        <v>Pass, Fail</v>
      </c>
      <c r="V98" t="str">
        <f>IF(U98="Fail",MacReports!N98,"")</f>
        <v/>
      </c>
      <c r="AB98" t="str">
        <f t="shared" si="4"/>
        <v/>
      </c>
    </row>
    <row r="99" spans="1:28">
      <c r="A99" t="str">
        <f>MacReports!A99</f>
        <v/>
      </c>
      <c r="B99">
        <f>MacReports!B99</f>
        <v>0</v>
      </c>
      <c r="C99">
        <f>MacReports!C99</f>
        <v>0</v>
      </c>
      <c r="E99" t="e">
        <f>_xlfn.XLOOKUP(G99,Models!A:A,Models!F:F)</f>
        <v>#N/A</v>
      </c>
      <c r="F99" t="str">
        <f>_xlfn.XLOOKUP(B99,MacReports!B:B,MacReports!D:D,"")</f>
        <v/>
      </c>
      <c r="G99" s="13">
        <f>MacReports!E99</f>
        <v>0</v>
      </c>
      <c r="H99" t="e">
        <f>_xlfn.XLOOKUP(G99,Models!A:A,Models!B:B)</f>
        <v>#N/A</v>
      </c>
      <c r="I99" t="e">
        <f>_xlfn.XLOOKUP(G99,Models!A:A,Models!E:E)</f>
        <v>#N/A</v>
      </c>
      <c r="J99" t="e">
        <f>_xlfn.XLOOKUP(G99,Models!A:A,Models!D:D)</f>
        <v>#N/A</v>
      </c>
      <c r="K99">
        <f>MacReports!F99</f>
        <v>0</v>
      </c>
      <c r="L99">
        <f>MacReports!G99</f>
        <v>0</v>
      </c>
      <c r="M99" s="15" t="e" cm="1">
        <f t="array" ref="M99">--_xlfn.LET(
    _xlpm.txt, MacReports!H99,
    _xlpm.chars, MID(_xlpm.txt, _xlfn.SEQUENCE(LEN(_xlpm.txt)), 1),
    _xlfn.TEXTJOIN("", TRUE, IF(ISNUMBER(--_xlpm.chars), _xlpm.chars, ""))
)</f>
        <v>#VALUE!</v>
      </c>
      <c r="N99" s="16" t="str" cm="1">
        <f t="array" ref="N99">_xlfn.IFS(
   --MacReports!M99&lt;55,"Battery Defect",
  -- MacReports!M99&lt;=69,"Battery D",
  --MacReports!M99&lt;=80,"Battery C",
 --MacReports!M99&gt;80,""
)</f>
        <v>Battery Defect</v>
      </c>
      <c r="O99" s="16" t="str">
        <f>IF(MacReports!I99="Service","Battery Service","")</f>
        <v/>
      </c>
      <c r="P99" s="13">
        <f>MacReports!P99</f>
        <v>0</v>
      </c>
      <c r="Q99" s="13" t="str">
        <f>IF(MacReports!J99="Enabled","Apple ID Lock","")</f>
        <v/>
      </c>
      <c r="R99" s="13" t="str">
        <f>IF(MacReports!L99="y","Remote Locked","")</f>
        <v/>
      </c>
      <c r="S99" t="str">
        <f t="shared" ref="S99:S162" si="5">_xlfn.TEXTJOIN(", ",TRUE,Q99,R99,N99,O99,P99)</f>
        <v>Battery Defect, 0</v>
      </c>
      <c r="T99" t="str">
        <f>_xlfn.XLOOKUP(B99,Disk_Pivot!G:G,Disk_Pivot!I:I)</f>
        <v>Yes x2</v>
      </c>
      <c r="U99" t="str">
        <f>_xlfn.XLOOKUP(B99,Disk_Pivot!G:G,Disk_Pivot!N:N)</f>
        <v>Pass, Fail</v>
      </c>
      <c r="V99" t="str">
        <f>IF(U99="Fail",MacReports!N99,"")</f>
        <v/>
      </c>
      <c r="AB99" t="str">
        <f t="shared" ref="AB99:AB162" si="6">_xlfn.TEXTJOIN(", ",TRUE,Q99,R99)</f>
        <v/>
      </c>
    </row>
    <row r="100" spans="1:28">
      <c r="A100" t="str">
        <f>MacReports!A100</f>
        <v/>
      </c>
      <c r="B100">
        <f>MacReports!B100</f>
        <v>0</v>
      </c>
      <c r="C100">
        <f>MacReports!C100</f>
        <v>0</v>
      </c>
      <c r="E100" t="e">
        <f>_xlfn.XLOOKUP(G100,Models!A:A,Models!F:F)</f>
        <v>#N/A</v>
      </c>
      <c r="F100" t="str">
        <f>_xlfn.XLOOKUP(B100,MacReports!B:B,MacReports!D:D,"")</f>
        <v/>
      </c>
      <c r="G100" s="13">
        <f>MacReports!E100</f>
        <v>0</v>
      </c>
      <c r="H100" t="e">
        <f>_xlfn.XLOOKUP(G100,Models!A:A,Models!B:B)</f>
        <v>#N/A</v>
      </c>
      <c r="I100" t="e">
        <f>_xlfn.XLOOKUP(G100,Models!A:A,Models!E:E)</f>
        <v>#N/A</v>
      </c>
      <c r="J100" t="e">
        <f>_xlfn.XLOOKUP(G100,Models!A:A,Models!D:D)</f>
        <v>#N/A</v>
      </c>
      <c r="K100">
        <f>MacReports!F100</f>
        <v>0</v>
      </c>
      <c r="L100">
        <f>MacReports!G100</f>
        <v>0</v>
      </c>
      <c r="M100" s="15" t="e" cm="1">
        <f t="array" ref="M100">--_xlfn.LET(
    _xlpm.txt, MacReports!H100,
    _xlpm.chars, MID(_xlpm.txt, _xlfn.SEQUENCE(LEN(_xlpm.txt)), 1),
    _xlfn.TEXTJOIN("", TRUE, IF(ISNUMBER(--_xlpm.chars), _xlpm.chars, ""))
)</f>
        <v>#VALUE!</v>
      </c>
      <c r="N100" s="16" t="str" cm="1">
        <f t="array" ref="N100">_xlfn.IFS(
   --MacReports!M100&lt;55,"Battery Defect",
  -- MacReports!M100&lt;=69,"Battery D",
  --MacReports!M100&lt;=80,"Battery C",
 --MacReports!M100&gt;80,""
)</f>
        <v>Battery Defect</v>
      </c>
      <c r="O100" s="16" t="str">
        <f>IF(MacReports!I100="Service","Battery Service","")</f>
        <v/>
      </c>
      <c r="P100" s="13">
        <f>MacReports!P100</f>
        <v>0</v>
      </c>
      <c r="Q100" s="13" t="str">
        <f>IF(MacReports!J100="Enabled","Apple ID Lock","")</f>
        <v/>
      </c>
      <c r="R100" s="13" t="str">
        <f>IF(MacReports!L100="y","Remote Locked","")</f>
        <v/>
      </c>
      <c r="S100" t="str">
        <f t="shared" si="5"/>
        <v>Battery Defect, 0</v>
      </c>
      <c r="T100" t="str">
        <f>_xlfn.XLOOKUP(B100,Disk_Pivot!G:G,Disk_Pivot!I:I)</f>
        <v>Yes x2</v>
      </c>
      <c r="U100" t="str">
        <f>_xlfn.XLOOKUP(B100,Disk_Pivot!G:G,Disk_Pivot!N:N)</f>
        <v>Pass, Fail</v>
      </c>
      <c r="V100" t="str">
        <f>IF(U100="Fail",MacReports!N100,"")</f>
        <v/>
      </c>
      <c r="AB100" t="str">
        <f t="shared" si="6"/>
        <v/>
      </c>
    </row>
    <row r="101" spans="1:28">
      <c r="A101" t="str">
        <f>MacReports!A101</f>
        <v/>
      </c>
      <c r="B101">
        <f>MacReports!B101</f>
        <v>0</v>
      </c>
      <c r="C101">
        <f>MacReports!C101</f>
        <v>0</v>
      </c>
      <c r="E101" t="e">
        <f>_xlfn.XLOOKUP(G101,Models!A:A,Models!F:F)</f>
        <v>#N/A</v>
      </c>
      <c r="F101" t="str">
        <f>_xlfn.XLOOKUP(B101,MacReports!B:B,MacReports!D:D,"")</f>
        <v/>
      </c>
      <c r="G101" s="13">
        <f>MacReports!E101</f>
        <v>0</v>
      </c>
      <c r="H101" t="e">
        <f>_xlfn.XLOOKUP(G101,Models!A:A,Models!B:B)</f>
        <v>#N/A</v>
      </c>
      <c r="I101" t="e">
        <f>_xlfn.XLOOKUP(G101,Models!A:A,Models!E:E)</f>
        <v>#N/A</v>
      </c>
      <c r="J101" t="e">
        <f>_xlfn.XLOOKUP(G101,Models!A:A,Models!D:D)</f>
        <v>#N/A</v>
      </c>
      <c r="K101">
        <f>MacReports!F101</f>
        <v>0</v>
      </c>
      <c r="L101">
        <f>MacReports!G101</f>
        <v>0</v>
      </c>
      <c r="M101" s="15" t="e" cm="1">
        <f t="array" ref="M101">--_xlfn.LET(
    _xlpm.txt, MacReports!H101,
    _xlpm.chars, MID(_xlpm.txt, _xlfn.SEQUENCE(LEN(_xlpm.txt)), 1),
    _xlfn.TEXTJOIN("", TRUE, IF(ISNUMBER(--_xlpm.chars), _xlpm.chars, ""))
)</f>
        <v>#VALUE!</v>
      </c>
      <c r="N101" s="16" t="str" cm="1">
        <f t="array" ref="N101">_xlfn.IFS(
   --MacReports!M101&lt;55,"Battery Defect",
  -- MacReports!M101&lt;=69,"Battery D",
  --MacReports!M101&lt;=80,"Battery C",
 --MacReports!M101&gt;80,""
)</f>
        <v>Battery Defect</v>
      </c>
      <c r="O101" s="16" t="str">
        <f>IF(MacReports!I101="Service","Battery Service","")</f>
        <v/>
      </c>
      <c r="P101" s="13">
        <f>MacReports!P101</f>
        <v>0</v>
      </c>
      <c r="Q101" s="13" t="str">
        <f>IF(MacReports!J101="Enabled","Apple ID Lock","")</f>
        <v/>
      </c>
      <c r="R101" s="13" t="str">
        <f>IF(MacReports!L101="y","Remote Locked","")</f>
        <v/>
      </c>
      <c r="S101" t="str">
        <f t="shared" si="5"/>
        <v>Battery Defect, 0</v>
      </c>
      <c r="T101" t="str">
        <f>_xlfn.XLOOKUP(B101,Disk_Pivot!G:G,Disk_Pivot!I:I)</f>
        <v>Yes x2</v>
      </c>
      <c r="U101" t="str">
        <f>_xlfn.XLOOKUP(B101,Disk_Pivot!G:G,Disk_Pivot!N:N)</f>
        <v>Pass, Fail</v>
      </c>
      <c r="V101" t="str">
        <f>IF(U101="Fail",MacReports!N101,"")</f>
        <v/>
      </c>
      <c r="AB101" t="str">
        <f t="shared" si="6"/>
        <v/>
      </c>
    </row>
    <row r="102" spans="1:28">
      <c r="A102" t="str">
        <f>MacReports!A102</f>
        <v/>
      </c>
      <c r="B102">
        <f>MacReports!B102</f>
        <v>0</v>
      </c>
      <c r="C102">
        <f>MacReports!C102</f>
        <v>0</v>
      </c>
      <c r="E102" t="e">
        <f>_xlfn.XLOOKUP(G102,Models!A:A,Models!F:F)</f>
        <v>#N/A</v>
      </c>
      <c r="F102" t="str">
        <f>_xlfn.XLOOKUP(B102,MacReports!B:B,MacReports!D:D,"")</f>
        <v/>
      </c>
      <c r="G102" s="13">
        <f>MacReports!E102</f>
        <v>0</v>
      </c>
      <c r="H102" t="e">
        <f>_xlfn.XLOOKUP(G102,Models!A:A,Models!B:B)</f>
        <v>#N/A</v>
      </c>
      <c r="I102" t="e">
        <f>_xlfn.XLOOKUP(G102,Models!A:A,Models!E:E)</f>
        <v>#N/A</v>
      </c>
      <c r="J102" t="e">
        <f>_xlfn.XLOOKUP(G102,Models!A:A,Models!D:D)</f>
        <v>#N/A</v>
      </c>
      <c r="K102">
        <f>MacReports!F102</f>
        <v>0</v>
      </c>
      <c r="L102">
        <f>MacReports!G102</f>
        <v>0</v>
      </c>
      <c r="M102" s="15" t="e" cm="1">
        <f t="array" ref="M102">--_xlfn.LET(
    _xlpm.txt, MacReports!H102,
    _xlpm.chars, MID(_xlpm.txt, _xlfn.SEQUENCE(LEN(_xlpm.txt)), 1),
    _xlfn.TEXTJOIN("", TRUE, IF(ISNUMBER(--_xlpm.chars), _xlpm.chars, ""))
)</f>
        <v>#VALUE!</v>
      </c>
      <c r="N102" s="16" t="str" cm="1">
        <f t="array" ref="N102">_xlfn.IFS(
   --MacReports!M102&lt;55,"Battery Defect",
  -- MacReports!M102&lt;=69,"Battery D",
  --MacReports!M102&lt;=80,"Battery C",
 --MacReports!M102&gt;80,""
)</f>
        <v>Battery Defect</v>
      </c>
      <c r="O102" s="16" t="str">
        <f>IF(MacReports!I102="Service","Battery Service","")</f>
        <v/>
      </c>
      <c r="P102" s="13">
        <f>MacReports!P102</f>
        <v>0</v>
      </c>
      <c r="Q102" s="13" t="str">
        <f>IF(MacReports!J102="Enabled","Apple ID Lock","")</f>
        <v/>
      </c>
      <c r="R102" s="13" t="str">
        <f>IF(MacReports!L102="y","Remote Locked","")</f>
        <v/>
      </c>
      <c r="S102" t="str">
        <f t="shared" si="5"/>
        <v>Battery Defect, 0</v>
      </c>
      <c r="T102" t="str">
        <f>_xlfn.XLOOKUP(B102,Disk_Pivot!G:G,Disk_Pivot!I:I)</f>
        <v>Yes x2</v>
      </c>
      <c r="U102" t="str">
        <f>_xlfn.XLOOKUP(B102,Disk_Pivot!G:G,Disk_Pivot!N:N)</f>
        <v>Pass, Fail</v>
      </c>
      <c r="V102" t="str">
        <f>IF(U102="Fail",MacReports!N102,"")</f>
        <v/>
      </c>
      <c r="AB102" t="str">
        <f t="shared" si="6"/>
        <v/>
      </c>
    </row>
    <row r="103" spans="1:28">
      <c r="A103" t="str">
        <f>MacReports!A103</f>
        <v/>
      </c>
      <c r="B103">
        <f>MacReports!B103</f>
        <v>0</v>
      </c>
      <c r="C103">
        <f>MacReports!C103</f>
        <v>0</v>
      </c>
      <c r="E103" t="e">
        <f>_xlfn.XLOOKUP(G103,Models!A:A,Models!F:F)</f>
        <v>#N/A</v>
      </c>
      <c r="F103" t="str">
        <f>_xlfn.XLOOKUP(B103,MacReports!B:B,MacReports!D:D,"")</f>
        <v/>
      </c>
      <c r="G103" s="13">
        <f>MacReports!E103</f>
        <v>0</v>
      </c>
      <c r="H103" t="e">
        <f>_xlfn.XLOOKUP(G103,Models!A:A,Models!B:B)</f>
        <v>#N/A</v>
      </c>
      <c r="I103" t="e">
        <f>_xlfn.XLOOKUP(G103,Models!A:A,Models!E:E)</f>
        <v>#N/A</v>
      </c>
      <c r="J103" t="e">
        <f>_xlfn.XLOOKUP(G103,Models!A:A,Models!D:D)</f>
        <v>#N/A</v>
      </c>
      <c r="K103">
        <f>MacReports!F103</f>
        <v>0</v>
      </c>
      <c r="L103">
        <f>MacReports!G103</f>
        <v>0</v>
      </c>
      <c r="M103" s="15" t="e" cm="1">
        <f t="array" ref="M103">--_xlfn.LET(
    _xlpm.txt, MacReports!H103,
    _xlpm.chars, MID(_xlpm.txt, _xlfn.SEQUENCE(LEN(_xlpm.txt)), 1),
    _xlfn.TEXTJOIN("", TRUE, IF(ISNUMBER(--_xlpm.chars), _xlpm.chars, ""))
)</f>
        <v>#VALUE!</v>
      </c>
      <c r="N103" s="16" t="str" cm="1">
        <f t="array" ref="N103">_xlfn.IFS(
   --MacReports!M103&lt;55,"Battery Defect",
  -- MacReports!M103&lt;=69,"Battery D",
  --MacReports!M103&lt;=80,"Battery C",
 --MacReports!M103&gt;80,""
)</f>
        <v>Battery Defect</v>
      </c>
      <c r="O103" s="16" t="str">
        <f>IF(MacReports!I103="Service","Battery Service","")</f>
        <v/>
      </c>
      <c r="P103" s="13">
        <f>MacReports!P103</f>
        <v>0</v>
      </c>
      <c r="Q103" s="13" t="str">
        <f>IF(MacReports!J103="Enabled","Apple ID Lock","")</f>
        <v/>
      </c>
      <c r="R103" s="13" t="str">
        <f>IF(MacReports!L103="y","Remote Locked","")</f>
        <v/>
      </c>
      <c r="S103" t="str">
        <f t="shared" si="5"/>
        <v>Battery Defect, 0</v>
      </c>
      <c r="T103" t="str">
        <f>_xlfn.XLOOKUP(B103,Disk_Pivot!G:G,Disk_Pivot!I:I)</f>
        <v>Yes x2</v>
      </c>
      <c r="U103" t="str">
        <f>_xlfn.XLOOKUP(B103,Disk_Pivot!G:G,Disk_Pivot!N:N)</f>
        <v>Pass, Fail</v>
      </c>
      <c r="V103" t="str">
        <f>IF(U103="Fail",MacReports!N103,"")</f>
        <v/>
      </c>
      <c r="AB103" t="str">
        <f t="shared" si="6"/>
        <v/>
      </c>
    </row>
    <row r="104" spans="1:28">
      <c r="A104" t="str">
        <f>MacReports!A104</f>
        <v/>
      </c>
      <c r="B104">
        <f>MacReports!B104</f>
        <v>0</v>
      </c>
      <c r="C104">
        <f>MacReports!C104</f>
        <v>0</v>
      </c>
      <c r="E104" t="e">
        <f>_xlfn.XLOOKUP(G104,Models!A:A,Models!F:F)</f>
        <v>#N/A</v>
      </c>
      <c r="F104" t="str">
        <f>_xlfn.XLOOKUP(B104,MacReports!B:B,MacReports!D:D,"")</f>
        <v/>
      </c>
      <c r="G104" s="13">
        <f>MacReports!E104</f>
        <v>0</v>
      </c>
      <c r="H104" t="e">
        <f>_xlfn.XLOOKUP(G104,Models!A:A,Models!B:B)</f>
        <v>#N/A</v>
      </c>
      <c r="I104" t="e">
        <f>_xlfn.XLOOKUP(G104,Models!A:A,Models!E:E)</f>
        <v>#N/A</v>
      </c>
      <c r="J104" t="e">
        <f>_xlfn.XLOOKUP(G104,Models!A:A,Models!D:D)</f>
        <v>#N/A</v>
      </c>
      <c r="K104">
        <f>MacReports!F104</f>
        <v>0</v>
      </c>
      <c r="L104">
        <f>MacReports!G104</f>
        <v>0</v>
      </c>
      <c r="M104" s="15" t="e" cm="1">
        <f t="array" ref="M104">--_xlfn.LET(
    _xlpm.txt, MacReports!H104,
    _xlpm.chars, MID(_xlpm.txt, _xlfn.SEQUENCE(LEN(_xlpm.txt)), 1),
    _xlfn.TEXTJOIN("", TRUE, IF(ISNUMBER(--_xlpm.chars), _xlpm.chars, ""))
)</f>
        <v>#VALUE!</v>
      </c>
      <c r="N104" s="16" t="str" cm="1">
        <f t="array" ref="N104">_xlfn.IFS(
   --MacReports!M104&lt;55,"Battery Defect",
  -- MacReports!M104&lt;=69,"Battery D",
  --MacReports!M104&lt;=80,"Battery C",
 --MacReports!M104&gt;80,""
)</f>
        <v>Battery Defect</v>
      </c>
      <c r="O104" s="16" t="str">
        <f>IF(MacReports!I104="Service","Battery Service","")</f>
        <v/>
      </c>
      <c r="P104" s="13">
        <f>MacReports!P104</f>
        <v>0</v>
      </c>
      <c r="Q104" s="13" t="str">
        <f>IF(MacReports!J104="Enabled","Apple ID Lock","")</f>
        <v/>
      </c>
      <c r="R104" s="13" t="str">
        <f>IF(MacReports!L104="y","Remote Locked","")</f>
        <v/>
      </c>
      <c r="S104" t="str">
        <f t="shared" si="5"/>
        <v>Battery Defect, 0</v>
      </c>
      <c r="T104" t="str">
        <f>_xlfn.XLOOKUP(B104,Disk_Pivot!G:G,Disk_Pivot!I:I)</f>
        <v>Yes x2</v>
      </c>
      <c r="U104" t="str">
        <f>_xlfn.XLOOKUP(B104,Disk_Pivot!G:G,Disk_Pivot!N:N)</f>
        <v>Pass, Fail</v>
      </c>
      <c r="V104" t="str">
        <f>IF(U104="Fail",MacReports!N104,"")</f>
        <v/>
      </c>
      <c r="AB104" t="str">
        <f t="shared" si="6"/>
        <v/>
      </c>
    </row>
    <row r="105" spans="1:28">
      <c r="A105" t="str">
        <f>MacReports!A105</f>
        <v/>
      </c>
      <c r="B105">
        <f>MacReports!B105</f>
        <v>0</v>
      </c>
      <c r="C105">
        <f>MacReports!C105</f>
        <v>0</v>
      </c>
      <c r="E105" t="e">
        <f>_xlfn.XLOOKUP(G105,Models!A:A,Models!F:F)</f>
        <v>#N/A</v>
      </c>
      <c r="F105" t="str">
        <f>_xlfn.XLOOKUP(B105,MacReports!B:B,MacReports!D:D,"")</f>
        <v/>
      </c>
      <c r="G105" s="13">
        <f>MacReports!E105</f>
        <v>0</v>
      </c>
      <c r="H105" t="e">
        <f>_xlfn.XLOOKUP(G105,Models!A:A,Models!B:B)</f>
        <v>#N/A</v>
      </c>
      <c r="I105" t="e">
        <f>_xlfn.XLOOKUP(G105,Models!A:A,Models!E:E)</f>
        <v>#N/A</v>
      </c>
      <c r="J105" t="e">
        <f>_xlfn.XLOOKUP(G105,Models!A:A,Models!D:D)</f>
        <v>#N/A</v>
      </c>
      <c r="K105">
        <f>MacReports!F105</f>
        <v>0</v>
      </c>
      <c r="L105">
        <f>MacReports!G105</f>
        <v>0</v>
      </c>
      <c r="M105" s="15" t="e" cm="1">
        <f t="array" ref="M105">--_xlfn.LET(
    _xlpm.txt, MacReports!H105,
    _xlpm.chars, MID(_xlpm.txt, _xlfn.SEQUENCE(LEN(_xlpm.txt)), 1),
    _xlfn.TEXTJOIN("", TRUE, IF(ISNUMBER(--_xlpm.chars), _xlpm.chars, ""))
)</f>
        <v>#VALUE!</v>
      </c>
      <c r="N105" s="16" t="str" cm="1">
        <f t="array" ref="N105">_xlfn.IFS(
   --MacReports!M105&lt;55,"Battery Defect",
  -- MacReports!M105&lt;=69,"Battery D",
  --MacReports!M105&lt;=80,"Battery C",
 --MacReports!M105&gt;80,""
)</f>
        <v>Battery Defect</v>
      </c>
      <c r="O105" s="16" t="str">
        <f>IF(MacReports!I105="Service","Battery Service","")</f>
        <v/>
      </c>
      <c r="P105" s="13">
        <f>MacReports!P105</f>
        <v>0</v>
      </c>
      <c r="Q105" s="13" t="str">
        <f>IF(MacReports!J105="Enabled","Apple ID Lock","")</f>
        <v/>
      </c>
      <c r="R105" s="13" t="str">
        <f>IF(MacReports!L105="y","Remote Locked","")</f>
        <v/>
      </c>
      <c r="S105" t="str">
        <f t="shared" si="5"/>
        <v>Battery Defect, 0</v>
      </c>
      <c r="T105" t="str">
        <f>_xlfn.XLOOKUP(B105,Disk_Pivot!G:G,Disk_Pivot!I:I)</f>
        <v>Yes x2</v>
      </c>
      <c r="U105" t="str">
        <f>_xlfn.XLOOKUP(B105,Disk_Pivot!G:G,Disk_Pivot!N:N)</f>
        <v>Pass, Fail</v>
      </c>
      <c r="V105" t="str">
        <f>IF(U105="Fail",MacReports!N105,"")</f>
        <v/>
      </c>
      <c r="AB105" t="str">
        <f t="shared" si="6"/>
        <v/>
      </c>
    </row>
    <row r="106" spans="1:28">
      <c r="A106" t="str">
        <f>MacReports!A106</f>
        <v/>
      </c>
      <c r="B106">
        <f>MacReports!B106</f>
        <v>0</v>
      </c>
      <c r="C106">
        <f>MacReports!C106</f>
        <v>0</v>
      </c>
      <c r="E106" t="e">
        <f>_xlfn.XLOOKUP(G106,Models!A:A,Models!F:F)</f>
        <v>#N/A</v>
      </c>
      <c r="F106" t="str">
        <f>_xlfn.XLOOKUP(B106,MacReports!B:B,MacReports!D:D,"")</f>
        <v/>
      </c>
      <c r="G106" s="13">
        <f>MacReports!E106</f>
        <v>0</v>
      </c>
      <c r="H106" t="e">
        <f>_xlfn.XLOOKUP(G106,Models!A:A,Models!B:B)</f>
        <v>#N/A</v>
      </c>
      <c r="I106" t="e">
        <f>_xlfn.XLOOKUP(G106,Models!A:A,Models!E:E)</f>
        <v>#N/A</v>
      </c>
      <c r="J106" t="e">
        <f>_xlfn.XLOOKUP(G106,Models!A:A,Models!D:D)</f>
        <v>#N/A</v>
      </c>
      <c r="K106">
        <f>MacReports!F106</f>
        <v>0</v>
      </c>
      <c r="L106">
        <f>MacReports!G106</f>
        <v>0</v>
      </c>
      <c r="M106" s="15" t="e" cm="1">
        <f t="array" ref="M106">--_xlfn.LET(
    _xlpm.txt, MacReports!H106,
    _xlpm.chars, MID(_xlpm.txt, _xlfn.SEQUENCE(LEN(_xlpm.txt)), 1),
    _xlfn.TEXTJOIN("", TRUE, IF(ISNUMBER(--_xlpm.chars), _xlpm.chars, ""))
)</f>
        <v>#VALUE!</v>
      </c>
      <c r="N106" s="16" t="str" cm="1">
        <f t="array" ref="N106">_xlfn.IFS(
   --MacReports!M106&lt;55,"Battery Defect",
  -- MacReports!M106&lt;=69,"Battery D",
  --MacReports!M106&lt;=80,"Battery C",
 --MacReports!M106&gt;80,""
)</f>
        <v>Battery Defect</v>
      </c>
      <c r="O106" s="16" t="str">
        <f>IF(MacReports!I106="Service","Battery Service","")</f>
        <v/>
      </c>
      <c r="P106" s="13">
        <f>MacReports!P106</f>
        <v>0</v>
      </c>
      <c r="Q106" s="13" t="str">
        <f>IF(MacReports!J106="Enabled","Apple ID Lock","")</f>
        <v/>
      </c>
      <c r="R106" s="13" t="str">
        <f>IF(MacReports!L106="y","Remote Locked","")</f>
        <v/>
      </c>
      <c r="S106" t="str">
        <f t="shared" si="5"/>
        <v>Battery Defect, 0</v>
      </c>
      <c r="T106" t="str">
        <f>_xlfn.XLOOKUP(B106,Disk_Pivot!G:G,Disk_Pivot!I:I)</f>
        <v>Yes x2</v>
      </c>
      <c r="U106" t="str">
        <f>_xlfn.XLOOKUP(B106,Disk_Pivot!G:G,Disk_Pivot!N:N)</f>
        <v>Pass, Fail</v>
      </c>
      <c r="V106" t="str">
        <f>IF(U106="Fail",MacReports!N106,"")</f>
        <v/>
      </c>
      <c r="AB106" t="str">
        <f t="shared" si="6"/>
        <v/>
      </c>
    </row>
    <row r="107" spans="1:28">
      <c r="A107" t="str">
        <f>MacReports!A107</f>
        <v/>
      </c>
      <c r="B107">
        <f>MacReports!B107</f>
        <v>0</v>
      </c>
      <c r="C107">
        <f>MacReports!C107</f>
        <v>0</v>
      </c>
      <c r="E107" t="e">
        <f>_xlfn.XLOOKUP(G107,Models!A:A,Models!F:F)</f>
        <v>#N/A</v>
      </c>
      <c r="F107" t="str">
        <f>_xlfn.XLOOKUP(B107,MacReports!B:B,MacReports!D:D,"")</f>
        <v/>
      </c>
      <c r="G107" s="13">
        <f>MacReports!E107</f>
        <v>0</v>
      </c>
      <c r="H107" t="e">
        <f>_xlfn.XLOOKUP(G107,Models!A:A,Models!B:B)</f>
        <v>#N/A</v>
      </c>
      <c r="I107" t="e">
        <f>_xlfn.XLOOKUP(G107,Models!A:A,Models!E:E)</f>
        <v>#N/A</v>
      </c>
      <c r="J107" t="e">
        <f>_xlfn.XLOOKUP(G107,Models!A:A,Models!D:D)</f>
        <v>#N/A</v>
      </c>
      <c r="K107">
        <f>MacReports!F107</f>
        <v>0</v>
      </c>
      <c r="L107">
        <f>MacReports!G107</f>
        <v>0</v>
      </c>
      <c r="M107" s="15" t="e" cm="1">
        <f t="array" ref="M107">--_xlfn.LET(
    _xlpm.txt, MacReports!H107,
    _xlpm.chars, MID(_xlpm.txt, _xlfn.SEQUENCE(LEN(_xlpm.txt)), 1),
    _xlfn.TEXTJOIN("", TRUE, IF(ISNUMBER(--_xlpm.chars), _xlpm.chars, ""))
)</f>
        <v>#VALUE!</v>
      </c>
      <c r="N107" s="16" t="str" cm="1">
        <f t="array" ref="N107">_xlfn.IFS(
   --MacReports!M107&lt;55,"Battery Defect",
  -- MacReports!M107&lt;=69,"Battery D",
  --MacReports!M107&lt;=80,"Battery C",
 --MacReports!M107&gt;80,""
)</f>
        <v>Battery Defect</v>
      </c>
      <c r="O107" s="16" t="str">
        <f>IF(MacReports!I107="Service","Battery Service","")</f>
        <v/>
      </c>
      <c r="P107" s="13">
        <f>MacReports!P107</f>
        <v>0</v>
      </c>
      <c r="Q107" s="13" t="str">
        <f>IF(MacReports!J107="Enabled","Apple ID Lock","")</f>
        <v/>
      </c>
      <c r="R107" s="13" t="str">
        <f>IF(MacReports!L107="y","Remote Locked","")</f>
        <v/>
      </c>
      <c r="S107" t="str">
        <f t="shared" si="5"/>
        <v>Battery Defect, 0</v>
      </c>
      <c r="T107" t="str">
        <f>_xlfn.XLOOKUP(B107,Disk_Pivot!G:G,Disk_Pivot!I:I)</f>
        <v>Yes x2</v>
      </c>
      <c r="U107" t="str">
        <f>_xlfn.XLOOKUP(B107,Disk_Pivot!G:G,Disk_Pivot!N:N)</f>
        <v>Pass, Fail</v>
      </c>
      <c r="V107" t="str">
        <f>IF(U107="Fail",MacReports!N107,"")</f>
        <v/>
      </c>
      <c r="AB107" t="str">
        <f t="shared" si="6"/>
        <v/>
      </c>
    </row>
    <row r="108" spans="1:28">
      <c r="A108" t="str">
        <f>MacReports!A108</f>
        <v/>
      </c>
      <c r="B108">
        <f>MacReports!B108</f>
        <v>0</v>
      </c>
      <c r="C108">
        <f>MacReports!C108</f>
        <v>0</v>
      </c>
      <c r="E108" t="e">
        <f>_xlfn.XLOOKUP(G108,Models!A:A,Models!F:F)</f>
        <v>#N/A</v>
      </c>
      <c r="F108" t="str">
        <f>_xlfn.XLOOKUP(B108,MacReports!B:B,MacReports!D:D,"")</f>
        <v/>
      </c>
      <c r="G108" s="13">
        <f>MacReports!E108</f>
        <v>0</v>
      </c>
      <c r="H108" t="e">
        <f>_xlfn.XLOOKUP(G108,Models!A:A,Models!B:B)</f>
        <v>#N/A</v>
      </c>
      <c r="I108" t="e">
        <f>_xlfn.XLOOKUP(G108,Models!A:A,Models!E:E)</f>
        <v>#N/A</v>
      </c>
      <c r="J108" t="e">
        <f>_xlfn.XLOOKUP(G108,Models!A:A,Models!D:D)</f>
        <v>#N/A</v>
      </c>
      <c r="K108">
        <f>MacReports!F108</f>
        <v>0</v>
      </c>
      <c r="L108">
        <f>MacReports!G108</f>
        <v>0</v>
      </c>
      <c r="M108" s="15" t="e" cm="1">
        <f t="array" ref="M108">--_xlfn.LET(
    _xlpm.txt, MacReports!H108,
    _xlpm.chars, MID(_xlpm.txt, _xlfn.SEQUENCE(LEN(_xlpm.txt)), 1),
    _xlfn.TEXTJOIN("", TRUE, IF(ISNUMBER(--_xlpm.chars), _xlpm.chars, ""))
)</f>
        <v>#VALUE!</v>
      </c>
      <c r="N108" s="16" t="str" cm="1">
        <f t="array" ref="N108">_xlfn.IFS(
   --MacReports!M108&lt;55,"Battery Defect",
  -- MacReports!M108&lt;=69,"Battery D",
  --MacReports!M108&lt;=80,"Battery C",
 --MacReports!M108&gt;80,""
)</f>
        <v>Battery Defect</v>
      </c>
      <c r="O108" s="16" t="str">
        <f>IF(MacReports!I108="Service","Battery Service","")</f>
        <v/>
      </c>
      <c r="P108" s="13">
        <f>MacReports!P108</f>
        <v>0</v>
      </c>
      <c r="Q108" s="13" t="str">
        <f>IF(MacReports!J108="Enabled","Apple ID Lock","")</f>
        <v/>
      </c>
      <c r="R108" s="13" t="str">
        <f>IF(MacReports!L108="y","Remote Locked","")</f>
        <v/>
      </c>
      <c r="S108" t="str">
        <f t="shared" si="5"/>
        <v>Battery Defect, 0</v>
      </c>
      <c r="T108" t="str">
        <f>_xlfn.XLOOKUP(B108,Disk_Pivot!G:G,Disk_Pivot!I:I)</f>
        <v>Yes x2</v>
      </c>
      <c r="U108" t="str">
        <f>_xlfn.XLOOKUP(B108,Disk_Pivot!G:G,Disk_Pivot!N:N)</f>
        <v>Pass, Fail</v>
      </c>
      <c r="V108" t="str">
        <f>IF(U108="Fail",MacReports!N108,"")</f>
        <v/>
      </c>
      <c r="AB108" t="str">
        <f t="shared" si="6"/>
        <v/>
      </c>
    </row>
    <row r="109" spans="1:28">
      <c r="A109" t="str">
        <f>MacReports!A109</f>
        <v/>
      </c>
      <c r="B109">
        <f>MacReports!B109</f>
        <v>0</v>
      </c>
      <c r="C109">
        <f>MacReports!C109</f>
        <v>0</v>
      </c>
      <c r="E109" t="e">
        <f>_xlfn.XLOOKUP(G109,Models!A:A,Models!F:F)</f>
        <v>#N/A</v>
      </c>
      <c r="F109" t="str">
        <f>_xlfn.XLOOKUP(B109,MacReports!B:B,MacReports!D:D,"")</f>
        <v/>
      </c>
      <c r="G109" s="13">
        <f>MacReports!E109</f>
        <v>0</v>
      </c>
      <c r="H109" t="e">
        <f>_xlfn.XLOOKUP(G109,Models!A:A,Models!B:B)</f>
        <v>#N/A</v>
      </c>
      <c r="I109" t="e">
        <f>_xlfn.XLOOKUP(G109,Models!A:A,Models!E:E)</f>
        <v>#N/A</v>
      </c>
      <c r="J109" t="e">
        <f>_xlfn.XLOOKUP(G109,Models!A:A,Models!D:D)</f>
        <v>#N/A</v>
      </c>
      <c r="K109">
        <f>MacReports!F109</f>
        <v>0</v>
      </c>
      <c r="L109">
        <f>MacReports!G109</f>
        <v>0</v>
      </c>
      <c r="M109" s="15" t="e" cm="1">
        <f t="array" ref="M109">--_xlfn.LET(
    _xlpm.txt, MacReports!H109,
    _xlpm.chars, MID(_xlpm.txt, _xlfn.SEQUENCE(LEN(_xlpm.txt)), 1),
    _xlfn.TEXTJOIN("", TRUE, IF(ISNUMBER(--_xlpm.chars), _xlpm.chars, ""))
)</f>
        <v>#VALUE!</v>
      </c>
      <c r="N109" s="16" t="str" cm="1">
        <f t="array" ref="N109">_xlfn.IFS(
   --MacReports!M109&lt;55,"Battery Defect",
  -- MacReports!M109&lt;=69,"Battery D",
  --MacReports!M109&lt;=80,"Battery C",
 --MacReports!M109&gt;80,""
)</f>
        <v>Battery Defect</v>
      </c>
      <c r="O109" s="16" t="str">
        <f>IF(MacReports!I109="Service","Battery Service","")</f>
        <v/>
      </c>
      <c r="P109" s="13">
        <f>MacReports!P109</f>
        <v>0</v>
      </c>
      <c r="Q109" s="13" t="str">
        <f>IF(MacReports!J109="Enabled","Apple ID Lock","")</f>
        <v/>
      </c>
      <c r="R109" s="13" t="str">
        <f>IF(MacReports!L109="y","Remote Locked","")</f>
        <v/>
      </c>
      <c r="S109" t="str">
        <f t="shared" si="5"/>
        <v>Battery Defect, 0</v>
      </c>
      <c r="T109" t="str">
        <f>_xlfn.XLOOKUP(B109,Disk_Pivot!G:G,Disk_Pivot!I:I)</f>
        <v>Yes x2</v>
      </c>
      <c r="U109" t="str">
        <f>_xlfn.XLOOKUP(B109,Disk_Pivot!G:G,Disk_Pivot!N:N)</f>
        <v>Pass, Fail</v>
      </c>
      <c r="V109" t="str">
        <f>IF(U109="Fail",MacReports!N109,"")</f>
        <v/>
      </c>
      <c r="AB109" t="str">
        <f t="shared" si="6"/>
        <v/>
      </c>
    </row>
    <row r="110" spans="1:28">
      <c r="A110" t="str">
        <f>MacReports!A110</f>
        <v/>
      </c>
      <c r="B110">
        <f>MacReports!B110</f>
        <v>0</v>
      </c>
      <c r="C110">
        <f>MacReports!C110</f>
        <v>0</v>
      </c>
      <c r="E110" t="e">
        <f>_xlfn.XLOOKUP(G110,Models!A:A,Models!F:F)</f>
        <v>#N/A</v>
      </c>
      <c r="F110" t="str">
        <f>_xlfn.XLOOKUP(B110,MacReports!B:B,MacReports!D:D,"")</f>
        <v/>
      </c>
      <c r="G110" s="13">
        <f>MacReports!E110</f>
        <v>0</v>
      </c>
      <c r="H110" t="e">
        <f>_xlfn.XLOOKUP(G110,Models!A:A,Models!B:B)</f>
        <v>#N/A</v>
      </c>
      <c r="I110" t="e">
        <f>_xlfn.XLOOKUP(G110,Models!A:A,Models!E:E)</f>
        <v>#N/A</v>
      </c>
      <c r="J110" t="e">
        <f>_xlfn.XLOOKUP(G110,Models!A:A,Models!D:D)</f>
        <v>#N/A</v>
      </c>
      <c r="K110">
        <f>MacReports!F110</f>
        <v>0</v>
      </c>
      <c r="L110">
        <f>MacReports!G110</f>
        <v>0</v>
      </c>
      <c r="M110" s="15" t="e" cm="1">
        <f t="array" ref="M110">--_xlfn.LET(
    _xlpm.txt, MacReports!H110,
    _xlpm.chars, MID(_xlpm.txt, _xlfn.SEQUENCE(LEN(_xlpm.txt)), 1),
    _xlfn.TEXTJOIN("", TRUE, IF(ISNUMBER(--_xlpm.chars), _xlpm.chars, ""))
)</f>
        <v>#VALUE!</v>
      </c>
      <c r="N110" s="16" t="str" cm="1">
        <f t="array" ref="N110">_xlfn.IFS(
   --MacReports!M110&lt;55,"Battery Defect",
  -- MacReports!M110&lt;=69,"Battery D",
  --MacReports!M110&lt;=80,"Battery C",
 --MacReports!M110&gt;80,""
)</f>
        <v>Battery Defect</v>
      </c>
      <c r="O110" s="16" t="str">
        <f>IF(MacReports!I110="Service","Battery Service","")</f>
        <v/>
      </c>
      <c r="P110" s="13">
        <f>MacReports!P110</f>
        <v>0</v>
      </c>
      <c r="Q110" s="13" t="str">
        <f>IF(MacReports!J110="Enabled","Apple ID Lock","")</f>
        <v/>
      </c>
      <c r="R110" s="13" t="str">
        <f>IF(MacReports!L110="y","Remote Locked","")</f>
        <v/>
      </c>
      <c r="S110" t="str">
        <f t="shared" si="5"/>
        <v>Battery Defect, 0</v>
      </c>
      <c r="T110" t="str">
        <f>_xlfn.XLOOKUP(B110,Disk_Pivot!G:G,Disk_Pivot!I:I)</f>
        <v>Yes x2</v>
      </c>
      <c r="U110" t="str">
        <f>_xlfn.XLOOKUP(B110,Disk_Pivot!G:G,Disk_Pivot!N:N)</f>
        <v>Pass, Fail</v>
      </c>
      <c r="V110" t="str">
        <f>IF(U110="Fail",MacReports!N110,"")</f>
        <v/>
      </c>
      <c r="AB110" t="str">
        <f t="shared" si="6"/>
        <v/>
      </c>
    </row>
    <row r="111" spans="1:28">
      <c r="A111" t="str">
        <f>MacReports!A111</f>
        <v/>
      </c>
      <c r="B111">
        <f>MacReports!B111</f>
        <v>0</v>
      </c>
      <c r="C111">
        <f>MacReports!C111</f>
        <v>0</v>
      </c>
      <c r="E111" t="e">
        <f>_xlfn.XLOOKUP(G111,Models!A:A,Models!F:F)</f>
        <v>#N/A</v>
      </c>
      <c r="F111" t="str">
        <f>_xlfn.XLOOKUP(B111,MacReports!B:B,MacReports!D:D,"")</f>
        <v/>
      </c>
      <c r="G111" s="13">
        <f>MacReports!E111</f>
        <v>0</v>
      </c>
      <c r="H111" t="e">
        <f>_xlfn.XLOOKUP(G111,Models!A:A,Models!B:B)</f>
        <v>#N/A</v>
      </c>
      <c r="I111" t="e">
        <f>_xlfn.XLOOKUP(G111,Models!A:A,Models!E:E)</f>
        <v>#N/A</v>
      </c>
      <c r="J111" t="e">
        <f>_xlfn.XLOOKUP(G111,Models!A:A,Models!D:D)</f>
        <v>#N/A</v>
      </c>
      <c r="K111">
        <f>MacReports!F111</f>
        <v>0</v>
      </c>
      <c r="L111">
        <f>MacReports!G111</f>
        <v>0</v>
      </c>
      <c r="M111" s="15" t="e" cm="1">
        <f t="array" ref="M111">--_xlfn.LET(
    _xlpm.txt, MacReports!H111,
    _xlpm.chars, MID(_xlpm.txt, _xlfn.SEQUENCE(LEN(_xlpm.txt)), 1),
    _xlfn.TEXTJOIN("", TRUE, IF(ISNUMBER(--_xlpm.chars), _xlpm.chars, ""))
)</f>
        <v>#VALUE!</v>
      </c>
      <c r="N111" s="16" t="str" cm="1">
        <f t="array" ref="N111">_xlfn.IFS(
   --MacReports!M111&lt;55,"Battery Defect",
  -- MacReports!M111&lt;=69,"Battery D",
  --MacReports!M111&lt;=80,"Battery C",
 --MacReports!M111&gt;80,""
)</f>
        <v>Battery Defect</v>
      </c>
      <c r="O111" s="16" t="str">
        <f>IF(MacReports!I111="Service","Battery Service","")</f>
        <v/>
      </c>
      <c r="P111" s="13">
        <f>MacReports!P111</f>
        <v>0</v>
      </c>
      <c r="Q111" s="13" t="str">
        <f>IF(MacReports!J111="Enabled","Apple ID Lock","")</f>
        <v/>
      </c>
      <c r="R111" s="13" t="str">
        <f>IF(MacReports!L111="y","Remote Locked","")</f>
        <v/>
      </c>
      <c r="S111" t="str">
        <f t="shared" si="5"/>
        <v>Battery Defect, 0</v>
      </c>
      <c r="T111" t="str">
        <f>_xlfn.XLOOKUP(B111,Disk_Pivot!G:G,Disk_Pivot!I:I)</f>
        <v>Yes x2</v>
      </c>
      <c r="U111" t="str">
        <f>_xlfn.XLOOKUP(B111,Disk_Pivot!G:G,Disk_Pivot!N:N)</f>
        <v>Pass, Fail</v>
      </c>
      <c r="V111" t="str">
        <f>IF(U111="Fail",MacReports!N111,"")</f>
        <v/>
      </c>
      <c r="AB111" t="str">
        <f t="shared" si="6"/>
        <v/>
      </c>
    </row>
    <row r="112" spans="1:28">
      <c r="A112" t="str">
        <f>MacReports!A112</f>
        <v/>
      </c>
      <c r="B112">
        <f>MacReports!B112</f>
        <v>0</v>
      </c>
      <c r="C112">
        <f>MacReports!C112</f>
        <v>0</v>
      </c>
      <c r="E112" t="e">
        <f>_xlfn.XLOOKUP(G112,Models!A:A,Models!F:F)</f>
        <v>#N/A</v>
      </c>
      <c r="F112" t="str">
        <f>_xlfn.XLOOKUP(B112,MacReports!B:B,MacReports!D:D,"")</f>
        <v/>
      </c>
      <c r="G112" s="13">
        <f>MacReports!E112</f>
        <v>0</v>
      </c>
      <c r="H112" t="e">
        <f>_xlfn.XLOOKUP(G112,Models!A:A,Models!B:B)</f>
        <v>#N/A</v>
      </c>
      <c r="I112" t="e">
        <f>_xlfn.XLOOKUP(G112,Models!A:A,Models!E:E)</f>
        <v>#N/A</v>
      </c>
      <c r="J112" t="e">
        <f>_xlfn.XLOOKUP(G112,Models!A:A,Models!D:D)</f>
        <v>#N/A</v>
      </c>
      <c r="K112">
        <f>MacReports!F112</f>
        <v>0</v>
      </c>
      <c r="L112">
        <f>MacReports!G112</f>
        <v>0</v>
      </c>
      <c r="M112" s="15" t="e" cm="1">
        <f t="array" ref="M112">--_xlfn.LET(
    _xlpm.txt, MacReports!H112,
    _xlpm.chars, MID(_xlpm.txt, _xlfn.SEQUENCE(LEN(_xlpm.txt)), 1),
    _xlfn.TEXTJOIN("", TRUE, IF(ISNUMBER(--_xlpm.chars), _xlpm.chars, ""))
)</f>
        <v>#VALUE!</v>
      </c>
      <c r="N112" s="16" t="str" cm="1">
        <f t="array" ref="N112">_xlfn.IFS(
   --MacReports!M112&lt;55,"Battery Defect",
  -- MacReports!M112&lt;=69,"Battery D",
  --MacReports!M112&lt;=80,"Battery C",
 --MacReports!M112&gt;80,""
)</f>
        <v>Battery Defect</v>
      </c>
      <c r="O112" s="16" t="str">
        <f>IF(MacReports!I112="Service","Battery Service","")</f>
        <v/>
      </c>
      <c r="P112" s="13">
        <f>MacReports!P112</f>
        <v>0</v>
      </c>
      <c r="Q112" s="13" t="str">
        <f>IF(MacReports!J112="Enabled","Apple ID Lock","")</f>
        <v/>
      </c>
      <c r="R112" s="13" t="str">
        <f>IF(MacReports!L112="y","Remote Locked","")</f>
        <v/>
      </c>
      <c r="S112" t="str">
        <f t="shared" si="5"/>
        <v>Battery Defect, 0</v>
      </c>
      <c r="T112" t="str">
        <f>_xlfn.XLOOKUP(B112,Disk_Pivot!G:G,Disk_Pivot!I:I)</f>
        <v>Yes x2</v>
      </c>
      <c r="U112" t="str">
        <f>_xlfn.XLOOKUP(B112,Disk_Pivot!G:G,Disk_Pivot!N:N)</f>
        <v>Pass, Fail</v>
      </c>
      <c r="V112" t="str">
        <f>IF(U112="Fail",MacReports!N112,"")</f>
        <v/>
      </c>
      <c r="AB112" t="str">
        <f t="shared" si="6"/>
        <v/>
      </c>
    </row>
    <row r="113" spans="1:28">
      <c r="A113" t="str">
        <f>MacReports!A113</f>
        <v/>
      </c>
      <c r="B113">
        <f>MacReports!B113</f>
        <v>0</v>
      </c>
      <c r="C113">
        <f>MacReports!C113</f>
        <v>0</v>
      </c>
      <c r="E113" t="e">
        <f>_xlfn.XLOOKUP(G113,Models!A:A,Models!F:F)</f>
        <v>#N/A</v>
      </c>
      <c r="F113" t="str">
        <f>_xlfn.XLOOKUP(B113,MacReports!B:B,MacReports!D:D,"")</f>
        <v/>
      </c>
      <c r="G113" s="13">
        <f>MacReports!E113</f>
        <v>0</v>
      </c>
      <c r="H113" t="e">
        <f>_xlfn.XLOOKUP(G113,Models!A:A,Models!B:B)</f>
        <v>#N/A</v>
      </c>
      <c r="I113" t="e">
        <f>_xlfn.XLOOKUP(G113,Models!A:A,Models!E:E)</f>
        <v>#N/A</v>
      </c>
      <c r="J113" t="e">
        <f>_xlfn.XLOOKUP(G113,Models!A:A,Models!D:D)</f>
        <v>#N/A</v>
      </c>
      <c r="K113">
        <f>MacReports!F113</f>
        <v>0</v>
      </c>
      <c r="L113">
        <f>MacReports!G113</f>
        <v>0</v>
      </c>
      <c r="M113" s="15" t="e" cm="1">
        <f t="array" ref="M113">--_xlfn.LET(
    _xlpm.txt, MacReports!H113,
    _xlpm.chars, MID(_xlpm.txt, _xlfn.SEQUENCE(LEN(_xlpm.txt)), 1),
    _xlfn.TEXTJOIN("", TRUE, IF(ISNUMBER(--_xlpm.chars), _xlpm.chars, ""))
)</f>
        <v>#VALUE!</v>
      </c>
      <c r="N113" s="16" t="str" cm="1">
        <f t="array" ref="N113">_xlfn.IFS(
   --MacReports!M113&lt;55,"Battery Defect",
  -- MacReports!M113&lt;=69,"Battery D",
  --MacReports!M113&lt;=80,"Battery C",
 --MacReports!M113&gt;80,""
)</f>
        <v>Battery Defect</v>
      </c>
      <c r="O113" s="16" t="str">
        <f>IF(MacReports!I113="Service","Battery Service","")</f>
        <v/>
      </c>
      <c r="P113" s="13">
        <f>MacReports!P113</f>
        <v>0</v>
      </c>
      <c r="Q113" s="13" t="str">
        <f>IF(MacReports!J113="Enabled","Apple ID Lock","")</f>
        <v/>
      </c>
      <c r="R113" s="13" t="str">
        <f>IF(MacReports!L113="y","Remote Locked","")</f>
        <v/>
      </c>
      <c r="S113" t="str">
        <f t="shared" si="5"/>
        <v>Battery Defect, 0</v>
      </c>
      <c r="T113" t="str">
        <f>_xlfn.XLOOKUP(B113,Disk_Pivot!G:G,Disk_Pivot!I:I)</f>
        <v>Yes x2</v>
      </c>
      <c r="U113" t="str">
        <f>_xlfn.XLOOKUP(B113,Disk_Pivot!G:G,Disk_Pivot!N:N)</f>
        <v>Pass, Fail</v>
      </c>
      <c r="V113" t="str">
        <f>IF(U113="Fail",MacReports!N113,"")</f>
        <v/>
      </c>
      <c r="AB113" t="str">
        <f t="shared" si="6"/>
        <v/>
      </c>
    </row>
    <row r="114" spans="1:28">
      <c r="A114" t="str">
        <f>MacReports!A114</f>
        <v/>
      </c>
      <c r="B114">
        <f>MacReports!B114</f>
        <v>0</v>
      </c>
      <c r="C114">
        <f>MacReports!C114</f>
        <v>0</v>
      </c>
      <c r="E114" t="e">
        <f>_xlfn.XLOOKUP(G114,Models!A:A,Models!F:F)</f>
        <v>#N/A</v>
      </c>
      <c r="F114" t="str">
        <f>_xlfn.XLOOKUP(B114,MacReports!B:B,MacReports!D:D,"")</f>
        <v/>
      </c>
      <c r="G114" s="13">
        <f>MacReports!E114</f>
        <v>0</v>
      </c>
      <c r="H114" t="e">
        <f>_xlfn.XLOOKUP(G114,Models!A:A,Models!B:B)</f>
        <v>#N/A</v>
      </c>
      <c r="I114" t="e">
        <f>_xlfn.XLOOKUP(G114,Models!A:A,Models!E:E)</f>
        <v>#N/A</v>
      </c>
      <c r="J114" t="e">
        <f>_xlfn.XLOOKUP(G114,Models!A:A,Models!D:D)</f>
        <v>#N/A</v>
      </c>
      <c r="K114">
        <f>MacReports!F114</f>
        <v>0</v>
      </c>
      <c r="L114">
        <f>MacReports!G114</f>
        <v>0</v>
      </c>
      <c r="M114" s="15" t="e" cm="1">
        <f t="array" ref="M114">--_xlfn.LET(
    _xlpm.txt, MacReports!H114,
    _xlpm.chars, MID(_xlpm.txt, _xlfn.SEQUENCE(LEN(_xlpm.txt)), 1),
    _xlfn.TEXTJOIN("", TRUE, IF(ISNUMBER(--_xlpm.chars), _xlpm.chars, ""))
)</f>
        <v>#VALUE!</v>
      </c>
      <c r="N114" s="16" t="str" cm="1">
        <f t="array" ref="N114">_xlfn.IFS(
   --MacReports!M114&lt;55,"Battery Defect",
  -- MacReports!M114&lt;=69,"Battery D",
  --MacReports!M114&lt;=80,"Battery C",
 --MacReports!M114&gt;80,""
)</f>
        <v>Battery Defect</v>
      </c>
      <c r="O114" s="16" t="str">
        <f>IF(MacReports!I114="Service","Battery Service","")</f>
        <v/>
      </c>
      <c r="P114" s="13">
        <f>MacReports!P114</f>
        <v>0</v>
      </c>
      <c r="Q114" s="13" t="str">
        <f>IF(MacReports!J114="Enabled","Apple ID Lock","")</f>
        <v/>
      </c>
      <c r="R114" s="13" t="str">
        <f>IF(MacReports!L114="y","Remote Locked","")</f>
        <v/>
      </c>
      <c r="S114" t="str">
        <f t="shared" si="5"/>
        <v>Battery Defect, 0</v>
      </c>
      <c r="T114" t="str">
        <f>_xlfn.XLOOKUP(B114,Disk_Pivot!G:G,Disk_Pivot!I:I)</f>
        <v>Yes x2</v>
      </c>
      <c r="U114" t="str">
        <f>_xlfn.XLOOKUP(B114,Disk_Pivot!G:G,Disk_Pivot!N:N)</f>
        <v>Pass, Fail</v>
      </c>
      <c r="V114" t="str">
        <f>IF(U114="Fail",MacReports!N114,"")</f>
        <v/>
      </c>
      <c r="AB114" t="str">
        <f t="shared" si="6"/>
        <v/>
      </c>
    </row>
    <row r="115" spans="1:28">
      <c r="A115" t="str">
        <f>MacReports!A115</f>
        <v/>
      </c>
      <c r="B115">
        <f>MacReports!B115</f>
        <v>0</v>
      </c>
      <c r="C115">
        <f>MacReports!C115</f>
        <v>0</v>
      </c>
      <c r="E115" t="e">
        <f>_xlfn.XLOOKUP(G115,Models!A:A,Models!F:F)</f>
        <v>#N/A</v>
      </c>
      <c r="F115" t="str">
        <f>_xlfn.XLOOKUP(B115,MacReports!B:B,MacReports!D:D,"")</f>
        <v/>
      </c>
      <c r="G115" s="13">
        <f>MacReports!E115</f>
        <v>0</v>
      </c>
      <c r="H115" t="e">
        <f>_xlfn.XLOOKUP(G115,Models!A:A,Models!B:B)</f>
        <v>#N/A</v>
      </c>
      <c r="I115" t="e">
        <f>_xlfn.XLOOKUP(G115,Models!A:A,Models!E:E)</f>
        <v>#N/A</v>
      </c>
      <c r="J115" t="e">
        <f>_xlfn.XLOOKUP(G115,Models!A:A,Models!D:D)</f>
        <v>#N/A</v>
      </c>
      <c r="K115">
        <f>MacReports!F115</f>
        <v>0</v>
      </c>
      <c r="L115">
        <f>MacReports!G115</f>
        <v>0</v>
      </c>
      <c r="M115" s="15" t="e" cm="1">
        <f t="array" ref="M115">--_xlfn.LET(
    _xlpm.txt, MacReports!H115,
    _xlpm.chars, MID(_xlpm.txt, _xlfn.SEQUENCE(LEN(_xlpm.txt)), 1),
    _xlfn.TEXTJOIN("", TRUE, IF(ISNUMBER(--_xlpm.chars), _xlpm.chars, ""))
)</f>
        <v>#VALUE!</v>
      </c>
      <c r="N115" s="16" t="str" cm="1">
        <f t="array" ref="N115">_xlfn.IFS(
   --MacReports!M115&lt;55,"Battery Defect",
  -- MacReports!M115&lt;=69,"Battery D",
  --MacReports!M115&lt;=80,"Battery C",
 --MacReports!M115&gt;80,""
)</f>
        <v>Battery Defect</v>
      </c>
      <c r="O115" s="16" t="str">
        <f>IF(MacReports!I115="Service","Battery Service","")</f>
        <v/>
      </c>
      <c r="P115" s="13">
        <f>MacReports!P115</f>
        <v>0</v>
      </c>
      <c r="Q115" s="13" t="str">
        <f>IF(MacReports!J115="Enabled","Apple ID Lock","")</f>
        <v/>
      </c>
      <c r="R115" s="13" t="str">
        <f>IF(MacReports!L115="y","Remote Locked","")</f>
        <v/>
      </c>
      <c r="S115" t="str">
        <f t="shared" si="5"/>
        <v>Battery Defect, 0</v>
      </c>
      <c r="T115" t="str">
        <f>_xlfn.XLOOKUP(B115,Disk_Pivot!G:G,Disk_Pivot!I:I)</f>
        <v>Yes x2</v>
      </c>
      <c r="U115" t="str">
        <f>_xlfn.XLOOKUP(B115,Disk_Pivot!G:G,Disk_Pivot!N:N)</f>
        <v>Pass, Fail</v>
      </c>
      <c r="V115" t="str">
        <f>IF(U115="Fail",MacReports!N115,"")</f>
        <v/>
      </c>
      <c r="AB115" t="str">
        <f t="shared" si="6"/>
        <v/>
      </c>
    </row>
    <row r="116" spans="1:28">
      <c r="A116" t="str">
        <f>MacReports!A116</f>
        <v/>
      </c>
      <c r="B116">
        <f>MacReports!B116</f>
        <v>0</v>
      </c>
      <c r="C116">
        <f>MacReports!C116</f>
        <v>0</v>
      </c>
      <c r="E116" t="e">
        <f>_xlfn.XLOOKUP(G116,Models!A:A,Models!F:F)</f>
        <v>#N/A</v>
      </c>
      <c r="F116" t="str">
        <f>_xlfn.XLOOKUP(B116,MacReports!B:B,MacReports!D:D,"")</f>
        <v/>
      </c>
      <c r="G116" s="13">
        <f>MacReports!E116</f>
        <v>0</v>
      </c>
      <c r="H116" t="e">
        <f>_xlfn.XLOOKUP(G116,Models!A:A,Models!B:B)</f>
        <v>#N/A</v>
      </c>
      <c r="I116" t="e">
        <f>_xlfn.XLOOKUP(G116,Models!A:A,Models!E:E)</f>
        <v>#N/A</v>
      </c>
      <c r="J116" t="e">
        <f>_xlfn.XLOOKUP(G116,Models!A:A,Models!D:D)</f>
        <v>#N/A</v>
      </c>
      <c r="K116">
        <f>MacReports!F116</f>
        <v>0</v>
      </c>
      <c r="L116">
        <f>MacReports!G116</f>
        <v>0</v>
      </c>
      <c r="M116" s="15" t="e" cm="1">
        <f t="array" ref="M116">--_xlfn.LET(
    _xlpm.txt, MacReports!H116,
    _xlpm.chars, MID(_xlpm.txt, _xlfn.SEQUENCE(LEN(_xlpm.txt)), 1),
    _xlfn.TEXTJOIN("", TRUE, IF(ISNUMBER(--_xlpm.chars), _xlpm.chars, ""))
)</f>
        <v>#VALUE!</v>
      </c>
      <c r="N116" s="16" t="str" cm="1">
        <f t="array" ref="N116">_xlfn.IFS(
   --MacReports!M116&lt;55,"Battery Defect",
  -- MacReports!M116&lt;=69,"Battery D",
  --MacReports!M116&lt;=80,"Battery C",
 --MacReports!M116&gt;80,""
)</f>
        <v>Battery Defect</v>
      </c>
      <c r="O116" s="16" t="str">
        <f>IF(MacReports!I116="Service","Battery Service","")</f>
        <v/>
      </c>
      <c r="P116" s="13">
        <f>MacReports!P116</f>
        <v>0</v>
      </c>
      <c r="Q116" s="13" t="str">
        <f>IF(MacReports!J116="Enabled","Apple ID Lock","")</f>
        <v/>
      </c>
      <c r="R116" s="13" t="str">
        <f>IF(MacReports!L116="y","Remote Locked","")</f>
        <v/>
      </c>
      <c r="S116" t="str">
        <f t="shared" si="5"/>
        <v>Battery Defect, 0</v>
      </c>
      <c r="T116" t="str">
        <f>_xlfn.XLOOKUP(B116,Disk_Pivot!G:G,Disk_Pivot!I:I)</f>
        <v>Yes x2</v>
      </c>
      <c r="U116" t="str">
        <f>_xlfn.XLOOKUP(B116,Disk_Pivot!G:G,Disk_Pivot!N:N)</f>
        <v>Pass, Fail</v>
      </c>
      <c r="V116" t="str">
        <f>IF(U116="Fail",MacReports!N116,"")</f>
        <v/>
      </c>
      <c r="AB116" t="str">
        <f t="shared" si="6"/>
        <v/>
      </c>
    </row>
    <row r="117" spans="1:28">
      <c r="A117" t="str">
        <f>MacReports!A117</f>
        <v/>
      </c>
      <c r="B117">
        <f>MacReports!B117</f>
        <v>0</v>
      </c>
      <c r="C117">
        <f>MacReports!C117</f>
        <v>0</v>
      </c>
      <c r="E117" t="e">
        <f>_xlfn.XLOOKUP(G117,Models!A:A,Models!F:F)</f>
        <v>#N/A</v>
      </c>
      <c r="F117" t="str">
        <f>_xlfn.XLOOKUP(B117,MacReports!B:B,MacReports!D:D,"")</f>
        <v/>
      </c>
      <c r="G117" s="13">
        <f>MacReports!E117</f>
        <v>0</v>
      </c>
      <c r="H117" t="e">
        <f>_xlfn.XLOOKUP(G117,Models!A:A,Models!B:B)</f>
        <v>#N/A</v>
      </c>
      <c r="I117" t="e">
        <f>_xlfn.XLOOKUP(G117,Models!A:A,Models!E:E)</f>
        <v>#N/A</v>
      </c>
      <c r="J117" t="e">
        <f>_xlfn.XLOOKUP(G117,Models!A:A,Models!D:D)</f>
        <v>#N/A</v>
      </c>
      <c r="K117">
        <f>MacReports!F117</f>
        <v>0</v>
      </c>
      <c r="L117">
        <f>MacReports!G117</f>
        <v>0</v>
      </c>
      <c r="M117" s="15" t="e" cm="1">
        <f t="array" ref="M117">--_xlfn.LET(
    _xlpm.txt, MacReports!H117,
    _xlpm.chars, MID(_xlpm.txt, _xlfn.SEQUENCE(LEN(_xlpm.txt)), 1),
    _xlfn.TEXTJOIN("", TRUE, IF(ISNUMBER(--_xlpm.chars), _xlpm.chars, ""))
)</f>
        <v>#VALUE!</v>
      </c>
      <c r="N117" s="16" t="str" cm="1">
        <f t="array" ref="N117">_xlfn.IFS(
   --MacReports!M117&lt;55,"Battery Defect",
  -- MacReports!M117&lt;=69,"Battery D",
  --MacReports!M117&lt;=80,"Battery C",
 --MacReports!M117&gt;80,""
)</f>
        <v>Battery Defect</v>
      </c>
      <c r="O117" s="16" t="str">
        <f>IF(MacReports!I117="Service","Battery Service","")</f>
        <v/>
      </c>
      <c r="P117" s="13">
        <f>MacReports!P117</f>
        <v>0</v>
      </c>
      <c r="Q117" s="13" t="str">
        <f>IF(MacReports!J117="Enabled","Apple ID Lock","")</f>
        <v/>
      </c>
      <c r="R117" s="13" t="str">
        <f>IF(MacReports!L117="y","Remote Locked","")</f>
        <v/>
      </c>
      <c r="S117" t="str">
        <f t="shared" si="5"/>
        <v>Battery Defect, 0</v>
      </c>
      <c r="T117" t="str">
        <f>_xlfn.XLOOKUP(B117,Disk_Pivot!G:G,Disk_Pivot!I:I)</f>
        <v>Yes x2</v>
      </c>
      <c r="U117" t="str">
        <f>_xlfn.XLOOKUP(B117,Disk_Pivot!G:G,Disk_Pivot!N:N)</f>
        <v>Pass, Fail</v>
      </c>
      <c r="V117" t="str">
        <f>IF(U117="Fail",MacReports!N117,"")</f>
        <v/>
      </c>
      <c r="AB117" t="str">
        <f t="shared" si="6"/>
        <v/>
      </c>
    </row>
    <row r="118" spans="1:28">
      <c r="A118" t="str">
        <f>MacReports!A118</f>
        <v/>
      </c>
      <c r="B118">
        <f>MacReports!B118</f>
        <v>0</v>
      </c>
      <c r="C118">
        <f>MacReports!C118</f>
        <v>0</v>
      </c>
      <c r="E118" t="e">
        <f>_xlfn.XLOOKUP(G118,Models!A:A,Models!F:F)</f>
        <v>#N/A</v>
      </c>
      <c r="F118" t="str">
        <f>_xlfn.XLOOKUP(B118,MacReports!B:B,MacReports!D:D,"")</f>
        <v/>
      </c>
      <c r="G118" s="13">
        <f>MacReports!E118</f>
        <v>0</v>
      </c>
      <c r="H118" t="e">
        <f>_xlfn.XLOOKUP(G118,Models!A:A,Models!B:B)</f>
        <v>#N/A</v>
      </c>
      <c r="I118" t="e">
        <f>_xlfn.XLOOKUP(G118,Models!A:A,Models!E:E)</f>
        <v>#N/A</v>
      </c>
      <c r="J118" t="e">
        <f>_xlfn.XLOOKUP(G118,Models!A:A,Models!D:D)</f>
        <v>#N/A</v>
      </c>
      <c r="K118">
        <f>MacReports!F118</f>
        <v>0</v>
      </c>
      <c r="L118">
        <f>MacReports!G118</f>
        <v>0</v>
      </c>
      <c r="M118" s="15" t="e" cm="1">
        <f t="array" ref="M118">--_xlfn.LET(
    _xlpm.txt, MacReports!H118,
    _xlpm.chars, MID(_xlpm.txt, _xlfn.SEQUENCE(LEN(_xlpm.txt)), 1),
    _xlfn.TEXTJOIN("", TRUE, IF(ISNUMBER(--_xlpm.chars), _xlpm.chars, ""))
)</f>
        <v>#VALUE!</v>
      </c>
      <c r="N118" s="16" t="str" cm="1">
        <f t="array" ref="N118">_xlfn.IFS(
   --MacReports!M118&lt;55,"Battery Defect",
  -- MacReports!M118&lt;=69,"Battery D",
  --MacReports!M118&lt;=80,"Battery C",
 --MacReports!M118&gt;80,""
)</f>
        <v>Battery Defect</v>
      </c>
      <c r="O118" s="16" t="str">
        <f>IF(MacReports!I118="Service","Battery Service","")</f>
        <v/>
      </c>
      <c r="P118" s="13">
        <f>MacReports!P118</f>
        <v>0</v>
      </c>
      <c r="Q118" s="13" t="str">
        <f>IF(MacReports!J118="Enabled","Apple ID Lock","")</f>
        <v/>
      </c>
      <c r="R118" s="13" t="str">
        <f>IF(MacReports!L118="y","Remote Locked","")</f>
        <v/>
      </c>
      <c r="S118" t="str">
        <f t="shared" si="5"/>
        <v>Battery Defect, 0</v>
      </c>
      <c r="T118" t="str">
        <f>_xlfn.XLOOKUP(B118,Disk_Pivot!G:G,Disk_Pivot!I:I)</f>
        <v>Yes x2</v>
      </c>
      <c r="U118" t="str">
        <f>_xlfn.XLOOKUP(B118,Disk_Pivot!G:G,Disk_Pivot!N:N)</f>
        <v>Pass, Fail</v>
      </c>
      <c r="V118" t="str">
        <f>IF(U118="Fail",MacReports!N118,"")</f>
        <v/>
      </c>
      <c r="AB118" t="str">
        <f t="shared" si="6"/>
        <v/>
      </c>
    </row>
    <row r="119" spans="1:28">
      <c r="A119" t="str">
        <f>MacReports!A119</f>
        <v/>
      </c>
      <c r="B119">
        <f>MacReports!B119</f>
        <v>0</v>
      </c>
      <c r="C119">
        <f>MacReports!C119</f>
        <v>0</v>
      </c>
      <c r="E119" t="e">
        <f>_xlfn.XLOOKUP(G119,Models!A:A,Models!F:F)</f>
        <v>#N/A</v>
      </c>
      <c r="F119" t="str">
        <f>_xlfn.XLOOKUP(B119,MacReports!B:B,MacReports!D:D,"")</f>
        <v/>
      </c>
      <c r="G119" s="13">
        <f>MacReports!E119</f>
        <v>0</v>
      </c>
      <c r="H119" t="e">
        <f>_xlfn.XLOOKUP(G119,Models!A:A,Models!B:B)</f>
        <v>#N/A</v>
      </c>
      <c r="I119" t="e">
        <f>_xlfn.XLOOKUP(G119,Models!A:A,Models!E:E)</f>
        <v>#N/A</v>
      </c>
      <c r="J119" t="e">
        <f>_xlfn.XLOOKUP(G119,Models!A:A,Models!D:D)</f>
        <v>#N/A</v>
      </c>
      <c r="K119">
        <f>MacReports!F119</f>
        <v>0</v>
      </c>
      <c r="L119">
        <f>MacReports!G119</f>
        <v>0</v>
      </c>
      <c r="M119" s="15" t="e" cm="1">
        <f t="array" ref="M119">--_xlfn.LET(
    _xlpm.txt, MacReports!H119,
    _xlpm.chars, MID(_xlpm.txt, _xlfn.SEQUENCE(LEN(_xlpm.txt)), 1),
    _xlfn.TEXTJOIN("", TRUE, IF(ISNUMBER(--_xlpm.chars), _xlpm.chars, ""))
)</f>
        <v>#VALUE!</v>
      </c>
      <c r="N119" s="16" t="str" cm="1">
        <f t="array" ref="N119">_xlfn.IFS(
   --MacReports!M119&lt;55,"Battery Defect",
  -- MacReports!M119&lt;=69,"Battery D",
  --MacReports!M119&lt;=80,"Battery C",
 --MacReports!M119&gt;80,""
)</f>
        <v>Battery Defect</v>
      </c>
      <c r="O119" s="16" t="str">
        <f>IF(MacReports!I119="Service","Battery Service","")</f>
        <v/>
      </c>
      <c r="P119" s="13">
        <f>MacReports!P119</f>
        <v>0</v>
      </c>
      <c r="Q119" s="13" t="str">
        <f>IF(MacReports!J119="Enabled","Apple ID Lock","")</f>
        <v/>
      </c>
      <c r="R119" s="13" t="str">
        <f>IF(MacReports!L119="y","Remote Locked","")</f>
        <v/>
      </c>
      <c r="S119" t="str">
        <f t="shared" si="5"/>
        <v>Battery Defect, 0</v>
      </c>
      <c r="T119" t="str">
        <f>_xlfn.XLOOKUP(B119,Disk_Pivot!G:G,Disk_Pivot!I:I)</f>
        <v>Yes x2</v>
      </c>
      <c r="U119" t="str">
        <f>_xlfn.XLOOKUP(B119,Disk_Pivot!G:G,Disk_Pivot!N:N)</f>
        <v>Pass, Fail</v>
      </c>
      <c r="V119" t="str">
        <f>IF(U119="Fail",MacReports!N119,"")</f>
        <v/>
      </c>
      <c r="AB119" t="str">
        <f t="shared" si="6"/>
        <v/>
      </c>
    </row>
    <row r="120" spans="1:28">
      <c r="A120" t="str">
        <f>MacReports!A120</f>
        <v/>
      </c>
      <c r="B120">
        <f>MacReports!B120</f>
        <v>0</v>
      </c>
      <c r="C120">
        <f>MacReports!C120</f>
        <v>0</v>
      </c>
      <c r="E120" t="e">
        <f>_xlfn.XLOOKUP(G120,Models!A:A,Models!F:F)</f>
        <v>#N/A</v>
      </c>
      <c r="F120" t="str">
        <f>_xlfn.XLOOKUP(B120,MacReports!B:B,MacReports!D:D,"")</f>
        <v/>
      </c>
      <c r="G120" s="13">
        <f>MacReports!E120</f>
        <v>0</v>
      </c>
      <c r="H120" t="e">
        <f>_xlfn.XLOOKUP(G120,Models!A:A,Models!B:B)</f>
        <v>#N/A</v>
      </c>
      <c r="I120" t="e">
        <f>_xlfn.XLOOKUP(G120,Models!A:A,Models!E:E)</f>
        <v>#N/A</v>
      </c>
      <c r="J120" t="e">
        <f>_xlfn.XLOOKUP(G120,Models!A:A,Models!D:D)</f>
        <v>#N/A</v>
      </c>
      <c r="K120">
        <f>MacReports!F120</f>
        <v>0</v>
      </c>
      <c r="L120">
        <f>MacReports!G120</f>
        <v>0</v>
      </c>
      <c r="M120" s="15" t="e" cm="1">
        <f t="array" ref="M120">--_xlfn.LET(
    _xlpm.txt, MacReports!H120,
    _xlpm.chars, MID(_xlpm.txt, _xlfn.SEQUENCE(LEN(_xlpm.txt)), 1),
    _xlfn.TEXTJOIN("", TRUE, IF(ISNUMBER(--_xlpm.chars), _xlpm.chars, ""))
)</f>
        <v>#VALUE!</v>
      </c>
      <c r="N120" s="16" t="str" cm="1">
        <f t="array" ref="N120">_xlfn.IFS(
   --MacReports!M120&lt;55,"Battery Defect",
  -- MacReports!M120&lt;=69,"Battery D",
  --MacReports!M120&lt;=80,"Battery C",
 --MacReports!M120&gt;80,""
)</f>
        <v>Battery Defect</v>
      </c>
      <c r="O120" s="16" t="str">
        <f>IF(MacReports!I120="Service","Battery Service","")</f>
        <v/>
      </c>
      <c r="P120" s="13">
        <f>MacReports!P120</f>
        <v>0</v>
      </c>
      <c r="Q120" s="13" t="str">
        <f>IF(MacReports!J120="Enabled","Apple ID Lock","")</f>
        <v/>
      </c>
      <c r="R120" s="13" t="str">
        <f>IF(MacReports!L120="y","Remote Locked","")</f>
        <v/>
      </c>
      <c r="S120" t="str">
        <f t="shared" si="5"/>
        <v>Battery Defect, 0</v>
      </c>
      <c r="T120" t="str">
        <f>_xlfn.XLOOKUP(B120,Disk_Pivot!G:G,Disk_Pivot!I:I)</f>
        <v>Yes x2</v>
      </c>
      <c r="U120" t="str">
        <f>_xlfn.XLOOKUP(B120,Disk_Pivot!G:G,Disk_Pivot!N:N)</f>
        <v>Pass, Fail</v>
      </c>
      <c r="V120" t="str">
        <f>IF(U120="Fail",MacReports!N120,"")</f>
        <v/>
      </c>
      <c r="AB120" t="str">
        <f t="shared" si="6"/>
        <v/>
      </c>
    </row>
    <row r="121" spans="1:28">
      <c r="A121" t="str">
        <f>MacReports!A121</f>
        <v/>
      </c>
      <c r="B121">
        <f>MacReports!B121</f>
        <v>0</v>
      </c>
      <c r="C121">
        <f>MacReports!C121</f>
        <v>0</v>
      </c>
      <c r="E121" t="e">
        <f>_xlfn.XLOOKUP(G121,Models!A:A,Models!F:F)</f>
        <v>#N/A</v>
      </c>
      <c r="F121" t="str">
        <f>_xlfn.XLOOKUP(B121,MacReports!B:B,MacReports!D:D,"")</f>
        <v/>
      </c>
      <c r="G121" s="13">
        <f>MacReports!E121</f>
        <v>0</v>
      </c>
      <c r="H121" t="e">
        <f>_xlfn.XLOOKUP(G121,Models!A:A,Models!B:B)</f>
        <v>#N/A</v>
      </c>
      <c r="I121" t="e">
        <f>_xlfn.XLOOKUP(G121,Models!A:A,Models!E:E)</f>
        <v>#N/A</v>
      </c>
      <c r="J121" t="e">
        <f>_xlfn.XLOOKUP(G121,Models!A:A,Models!D:D)</f>
        <v>#N/A</v>
      </c>
      <c r="K121">
        <f>MacReports!F121</f>
        <v>0</v>
      </c>
      <c r="L121">
        <f>MacReports!G121</f>
        <v>0</v>
      </c>
      <c r="M121" s="15" t="e" cm="1">
        <f t="array" ref="M121">--_xlfn.LET(
    _xlpm.txt, MacReports!H121,
    _xlpm.chars, MID(_xlpm.txt, _xlfn.SEQUENCE(LEN(_xlpm.txt)), 1),
    _xlfn.TEXTJOIN("", TRUE, IF(ISNUMBER(--_xlpm.chars), _xlpm.chars, ""))
)</f>
        <v>#VALUE!</v>
      </c>
      <c r="N121" s="16" t="str" cm="1">
        <f t="array" ref="N121">_xlfn.IFS(
   --MacReports!M121&lt;55,"Battery Defect",
  -- MacReports!M121&lt;=69,"Battery D",
  --MacReports!M121&lt;=80,"Battery C",
 --MacReports!M121&gt;80,""
)</f>
        <v>Battery Defect</v>
      </c>
      <c r="O121" s="16" t="str">
        <f>IF(MacReports!I121="Service","Battery Service","")</f>
        <v/>
      </c>
      <c r="P121" s="13">
        <f>MacReports!P121</f>
        <v>0</v>
      </c>
      <c r="Q121" s="13" t="str">
        <f>IF(MacReports!J121="Enabled","Apple ID Lock","")</f>
        <v/>
      </c>
      <c r="R121" s="13" t="str">
        <f>IF(MacReports!L121="y","Remote Locked","")</f>
        <v/>
      </c>
      <c r="S121" t="str">
        <f t="shared" si="5"/>
        <v>Battery Defect, 0</v>
      </c>
      <c r="T121" t="str">
        <f>_xlfn.XLOOKUP(B121,Disk_Pivot!G:G,Disk_Pivot!I:I)</f>
        <v>Yes x2</v>
      </c>
      <c r="U121" t="str">
        <f>_xlfn.XLOOKUP(B121,Disk_Pivot!G:G,Disk_Pivot!N:N)</f>
        <v>Pass, Fail</v>
      </c>
      <c r="V121" t="str">
        <f>IF(U121="Fail",MacReports!N121,"")</f>
        <v/>
      </c>
      <c r="AB121" t="str">
        <f t="shared" si="6"/>
        <v/>
      </c>
    </row>
    <row r="122" spans="1:28">
      <c r="A122" t="str">
        <f>MacReports!A122</f>
        <v/>
      </c>
      <c r="B122">
        <f>MacReports!B122</f>
        <v>0</v>
      </c>
      <c r="C122">
        <f>MacReports!C122</f>
        <v>0</v>
      </c>
      <c r="E122" t="e">
        <f>_xlfn.XLOOKUP(G122,Models!A:A,Models!F:F)</f>
        <v>#N/A</v>
      </c>
      <c r="F122" t="str">
        <f>_xlfn.XLOOKUP(B122,MacReports!B:B,MacReports!D:D,"")</f>
        <v/>
      </c>
      <c r="G122" s="13">
        <f>MacReports!E122</f>
        <v>0</v>
      </c>
      <c r="H122" t="e">
        <f>_xlfn.XLOOKUP(G122,Models!A:A,Models!B:B)</f>
        <v>#N/A</v>
      </c>
      <c r="I122" t="e">
        <f>_xlfn.XLOOKUP(G122,Models!A:A,Models!E:E)</f>
        <v>#N/A</v>
      </c>
      <c r="J122" t="e">
        <f>_xlfn.XLOOKUP(G122,Models!A:A,Models!D:D)</f>
        <v>#N/A</v>
      </c>
      <c r="K122">
        <f>MacReports!F122</f>
        <v>0</v>
      </c>
      <c r="L122">
        <f>MacReports!G122</f>
        <v>0</v>
      </c>
      <c r="M122" s="15" t="e" cm="1">
        <f t="array" ref="M122">--_xlfn.LET(
    _xlpm.txt, MacReports!H122,
    _xlpm.chars, MID(_xlpm.txt, _xlfn.SEQUENCE(LEN(_xlpm.txt)), 1),
    _xlfn.TEXTJOIN("", TRUE, IF(ISNUMBER(--_xlpm.chars), _xlpm.chars, ""))
)</f>
        <v>#VALUE!</v>
      </c>
      <c r="N122" s="16" t="str" cm="1">
        <f t="array" ref="N122">_xlfn.IFS(
   --MacReports!M122&lt;55,"Battery Defect",
  -- MacReports!M122&lt;=69,"Battery D",
  --MacReports!M122&lt;=80,"Battery C",
 --MacReports!M122&gt;80,""
)</f>
        <v>Battery Defect</v>
      </c>
      <c r="O122" s="16" t="str">
        <f>IF(MacReports!I122="Service","Battery Service","")</f>
        <v/>
      </c>
      <c r="P122" s="13">
        <f>MacReports!P122</f>
        <v>0</v>
      </c>
      <c r="Q122" s="13" t="str">
        <f>IF(MacReports!J122="Enabled","Apple ID Lock","")</f>
        <v/>
      </c>
      <c r="R122" s="13" t="str">
        <f>IF(MacReports!L122="y","Remote Locked","")</f>
        <v/>
      </c>
      <c r="S122" t="str">
        <f t="shared" si="5"/>
        <v>Battery Defect, 0</v>
      </c>
      <c r="T122" t="str">
        <f>_xlfn.XLOOKUP(B122,Disk_Pivot!G:G,Disk_Pivot!I:I)</f>
        <v>Yes x2</v>
      </c>
      <c r="U122" t="str">
        <f>_xlfn.XLOOKUP(B122,Disk_Pivot!G:G,Disk_Pivot!N:N)</f>
        <v>Pass, Fail</v>
      </c>
      <c r="V122" t="str">
        <f>IF(U122="Fail",MacReports!N122,"")</f>
        <v/>
      </c>
      <c r="AB122" t="str">
        <f t="shared" si="6"/>
        <v/>
      </c>
    </row>
    <row r="123" spans="1:28">
      <c r="A123" t="str">
        <f>MacReports!A123</f>
        <v/>
      </c>
      <c r="B123">
        <f>MacReports!B123</f>
        <v>0</v>
      </c>
      <c r="C123">
        <f>MacReports!C123</f>
        <v>0</v>
      </c>
      <c r="E123" t="e">
        <f>_xlfn.XLOOKUP(G123,Models!A:A,Models!F:F)</f>
        <v>#N/A</v>
      </c>
      <c r="F123" t="str">
        <f>_xlfn.XLOOKUP(B123,MacReports!B:B,MacReports!D:D,"")</f>
        <v/>
      </c>
      <c r="G123" s="13">
        <f>MacReports!E123</f>
        <v>0</v>
      </c>
      <c r="H123" t="e">
        <f>_xlfn.XLOOKUP(G123,Models!A:A,Models!B:B)</f>
        <v>#N/A</v>
      </c>
      <c r="I123" t="e">
        <f>_xlfn.XLOOKUP(G123,Models!A:A,Models!E:E)</f>
        <v>#N/A</v>
      </c>
      <c r="J123" t="e">
        <f>_xlfn.XLOOKUP(G123,Models!A:A,Models!D:D)</f>
        <v>#N/A</v>
      </c>
      <c r="K123">
        <f>MacReports!F123</f>
        <v>0</v>
      </c>
      <c r="L123">
        <f>MacReports!G123</f>
        <v>0</v>
      </c>
      <c r="M123" s="15" t="e" cm="1">
        <f t="array" ref="M123">--_xlfn.LET(
    _xlpm.txt, MacReports!H123,
    _xlpm.chars, MID(_xlpm.txt, _xlfn.SEQUENCE(LEN(_xlpm.txt)), 1),
    _xlfn.TEXTJOIN("", TRUE, IF(ISNUMBER(--_xlpm.chars), _xlpm.chars, ""))
)</f>
        <v>#VALUE!</v>
      </c>
      <c r="N123" s="16" t="str" cm="1">
        <f t="array" ref="N123">_xlfn.IFS(
   --MacReports!M123&lt;55,"Battery Defect",
  -- MacReports!M123&lt;=69,"Battery D",
  --MacReports!M123&lt;=80,"Battery C",
 --MacReports!M123&gt;80,""
)</f>
        <v>Battery Defect</v>
      </c>
      <c r="O123" s="16" t="str">
        <f>IF(MacReports!I123="Service","Battery Service","")</f>
        <v/>
      </c>
      <c r="P123" s="13">
        <f>MacReports!P123</f>
        <v>0</v>
      </c>
      <c r="Q123" s="13" t="str">
        <f>IF(MacReports!J123="Enabled","Apple ID Lock","")</f>
        <v/>
      </c>
      <c r="R123" s="13" t="str">
        <f>IF(MacReports!L123="y","Remote Locked","")</f>
        <v/>
      </c>
      <c r="S123" t="str">
        <f t="shared" si="5"/>
        <v>Battery Defect, 0</v>
      </c>
      <c r="T123" t="str">
        <f>_xlfn.XLOOKUP(B123,Disk_Pivot!G:G,Disk_Pivot!I:I)</f>
        <v>Yes x2</v>
      </c>
      <c r="U123" t="str">
        <f>_xlfn.XLOOKUP(B123,Disk_Pivot!G:G,Disk_Pivot!N:N)</f>
        <v>Pass, Fail</v>
      </c>
      <c r="V123" t="str">
        <f>IF(U123="Fail",MacReports!N123,"")</f>
        <v/>
      </c>
      <c r="AB123" t="str">
        <f t="shared" si="6"/>
        <v/>
      </c>
    </row>
    <row r="124" spans="1:28">
      <c r="A124" t="str">
        <f>MacReports!A124</f>
        <v/>
      </c>
      <c r="B124">
        <f>MacReports!B124</f>
        <v>0</v>
      </c>
      <c r="C124">
        <f>MacReports!C124</f>
        <v>0</v>
      </c>
      <c r="E124" t="e">
        <f>_xlfn.XLOOKUP(G124,Models!A:A,Models!F:F)</f>
        <v>#N/A</v>
      </c>
      <c r="F124" t="str">
        <f>_xlfn.XLOOKUP(B124,MacReports!B:B,MacReports!D:D,"")</f>
        <v/>
      </c>
      <c r="G124" s="13">
        <f>MacReports!E124</f>
        <v>0</v>
      </c>
      <c r="H124" t="e">
        <f>_xlfn.XLOOKUP(G124,Models!A:A,Models!B:B)</f>
        <v>#N/A</v>
      </c>
      <c r="I124" t="e">
        <f>_xlfn.XLOOKUP(G124,Models!A:A,Models!E:E)</f>
        <v>#N/A</v>
      </c>
      <c r="J124" t="e">
        <f>_xlfn.XLOOKUP(G124,Models!A:A,Models!D:D)</f>
        <v>#N/A</v>
      </c>
      <c r="K124">
        <f>MacReports!F124</f>
        <v>0</v>
      </c>
      <c r="L124">
        <f>MacReports!G124</f>
        <v>0</v>
      </c>
      <c r="M124" s="15" t="e" cm="1">
        <f t="array" ref="M124">--_xlfn.LET(
    _xlpm.txt, MacReports!H124,
    _xlpm.chars, MID(_xlpm.txt, _xlfn.SEQUENCE(LEN(_xlpm.txt)), 1),
    _xlfn.TEXTJOIN("", TRUE, IF(ISNUMBER(--_xlpm.chars), _xlpm.chars, ""))
)</f>
        <v>#VALUE!</v>
      </c>
      <c r="N124" s="16" t="str" cm="1">
        <f t="array" ref="N124">_xlfn.IFS(
   --MacReports!M124&lt;55,"Battery Defect",
  -- MacReports!M124&lt;=69,"Battery D",
  --MacReports!M124&lt;=80,"Battery C",
 --MacReports!M124&gt;80,""
)</f>
        <v>Battery Defect</v>
      </c>
      <c r="O124" s="16" t="str">
        <f>IF(MacReports!I124="Service","Battery Service","")</f>
        <v/>
      </c>
      <c r="P124" s="13">
        <f>MacReports!P124</f>
        <v>0</v>
      </c>
      <c r="Q124" s="13" t="str">
        <f>IF(MacReports!J124="Enabled","Apple ID Lock","")</f>
        <v/>
      </c>
      <c r="R124" s="13" t="str">
        <f>IF(MacReports!L124="y","Remote Locked","")</f>
        <v/>
      </c>
      <c r="S124" t="str">
        <f t="shared" si="5"/>
        <v>Battery Defect, 0</v>
      </c>
      <c r="T124" t="str">
        <f>_xlfn.XLOOKUP(B124,Disk_Pivot!G:G,Disk_Pivot!I:I)</f>
        <v>Yes x2</v>
      </c>
      <c r="U124" t="str">
        <f>_xlfn.XLOOKUP(B124,Disk_Pivot!G:G,Disk_Pivot!N:N)</f>
        <v>Pass, Fail</v>
      </c>
      <c r="V124" t="str">
        <f>IF(U124="Fail",MacReports!N124,"")</f>
        <v/>
      </c>
      <c r="AB124" t="str">
        <f t="shared" si="6"/>
        <v/>
      </c>
    </row>
    <row r="125" spans="1:28">
      <c r="A125" t="str">
        <f>MacReports!A125</f>
        <v/>
      </c>
      <c r="B125">
        <f>MacReports!B125</f>
        <v>0</v>
      </c>
      <c r="C125">
        <f>MacReports!C125</f>
        <v>0</v>
      </c>
      <c r="E125" t="e">
        <f>_xlfn.XLOOKUP(G125,Models!A:A,Models!F:F)</f>
        <v>#N/A</v>
      </c>
      <c r="F125" t="str">
        <f>_xlfn.XLOOKUP(B125,MacReports!B:B,MacReports!D:D,"")</f>
        <v/>
      </c>
      <c r="G125" s="13">
        <f>MacReports!E125</f>
        <v>0</v>
      </c>
      <c r="H125" t="e">
        <f>_xlfn.XLOOKUP(G125,Models!A:A,Models!B:B)</f>
        <v>#N/A</v>
      </c>
      <c r="I125" t="e">
        <f>_xlfn.XLOOKUP(G125,Models!A:A,Models!E:E)</f>
        <v>#N/A</v>
      </c>
      <c r="J125" t="e">
        <f>_xlfn.XLOOKUP(G125,Models!A:A,Models!D:D)</f>
        <v>#N/A</v>
      </c>
      <c r="K125">
        <f>MacReports!F125</f>
        <v>0</v>
      </c>
      <c r="L125">
        <f>MacReports!G125</f>
        <v>0</v>
      </c>
      <c r="M125" s="15" t="e" cm="1">
        <f t="array" ref="M125">--_xlfn.LET(
    _xlpm.txt, MacReports!H125,
    _xlpm.chars, MID(_xlpm.txt, _xlfn.SEQUENCE(LEN(_xlpm.txt)), 1),
    _xlfn.TEXTJOIN("", TRUE, IF(ISNUMBER(--_xlpm.chars), _xlpm.chars, ""))
)</f>
        <v>#VALUE!</v>
      </c>
      <c r="N125" s="16" t="str" cm="1">
        <f t="array" ref="N125">_xlfn.IFS(
   --MacReports!M125&lt;55,"Battery Defect",
  -- MacReports!M125&lt;=69,"Battery D",
  --MacReports!M125&lt;=80,"Battery C",
 --MacReports!M125&gt;80,""
)</f>
        <v>Battery Defect</v>
      </c>
      <c r="O125" s="16" t="str">
        <f>IF(MacReports!I125="Service","Battery Service","")</f>
        <v/>
      </c>
      <c r="P125" s="13">
        <f>MacReports!P125</f>
        <v>0</v>
      </c>
      <c r="Q125" s="13" t="str">
        <f>IF(MacReports!J125="Enabled","Apple ID Lock","")</f>
        <v/>
      </c>
      <c r="R125" s="13" t="str">
        <f>IF(MacReports!L125="y","Remote Locked","")</f>
        <v/>
      </c>
      <c r="S125" t="str">
        <f t="shared" si="5"/>
        <v>Battery Defect, 0</v>
      </c>
      <c r="T125" t="str">
        <f>_xlfn.XLOOKUP(B125,Disk_Pivot!G:G,Disk_Pivot!I:I)</f>
        <v>Yes x2</v>
      </c>
      <c r="U125" t="str">
        <f>_xlfn.XLOOKUP(B125,Disk_Pivot!G:G,Disk_Pivot!N:N)</f>
        <v>Pass, Fail</v>
      </c>
      <c r="V125" t="str">
        <f>IF(U125="Fail",MacReports!N125,"")</f>
        <v/>
      </c>
      <c r="AB125" t="str">
        <f t="shared" si="6"/>
        <v/>
      </c>
    </row>
    <row r="126" spans="1:28">
      <c r="A126" t="str">
        <f>MacReports!A126</f>
        <v/>
      </c>
      <c r="B126">
        <f>MacReports!B126</f>
        <v>0</v>
      </c>
      <c r="C126">
        <f>MacReports!C126</f>
        <v>0</v>
      </c>
      <c r="E126" t="e">
        <f>_xlfn.XLOOKUP(G126,Models!A:A,Models!F:F)</f>
        <v>#N/A</v>
      </c>
      <c r="F126" t="str">
        <f>_xlfn.XLOOKUP(B126,MacReports!B:B,MacReports!D:D,"")</f>
        <v/>
      </c>
      <c r="G126" s="13">
        <f>MacReports!E126</f>
        <v>0</v>
      </c>
      <c r="H126" t="e">
        <f>_xlfn.XLOOKUP(G126,Models!A:A,Models!B:B)</f>
        <v>#N/A</v>
      </c>
      <c r="I126" t="e">
        <f>_xlfn.XLOOKUP(G126,Models!A:A,Models!E:E)</f>
        <v>#N/A</v>
      </c>
      <c r="J126" t="e">
        <f>_xlfn.XLOOKUP(G126,Models!A:A,Models!D:D)</f>
        <v>#N/A</v>
      </c>
      <c r="K126">
        <f>MacReports!F126</f>
        <v>0</v>
      </c>
      <c r="L126">
        <f>MacReports!G126</f>
        <v>0</v>
      </c>
      <c r="M126" s="15" t="e" cm="1">
        <f t="array" ref="M126">--_xlfn.LET(
    _xlpm.txt, MacReports!H126,
    _xlpm.chars, MID(_xlpm.txt, _xlfn.SEQUENCE(LEN(_xlpm.txt)), 1),
    _xlfn.TEXTJOIN("", TRUE, IF(ISNUMBER(--_xlpm.chars), _xlpm.chars, ""))
)</f>
        <v>#VALUE!</v>
      </c>
      <c r="N126" s="16" t="str" cm="1">
        <f t="array" ref="N126">_xlfn.IFS(
   --MacReports!M126&lt;55,"Battery Defect",
  -- MacReports!M126&lt;=69,"Battery D",
  --MacReports!M126&lt;=80,"Battery C",
 --MacReports!M126&gt;80,""
)</f>
        <v>Battery Defect</v>
      </c>
      <c r="O126" s="16" t="str">
        <f>IF(MacReports!I126="Service","Battery Service","")</f>
        <v/>
      </c>
      <c r="P126" s="13">
        <f>MacReports!P126</f>
        <v>0</v>
      </c>
      <c r="Q126" s="13" t="str">
        <f>IF(MacReports!J126="Enabled","Apple ID Lock","")</f>
        <v/>
      </c>
      <c r="R126" s="13" t="str">
        <f>IF(MacReports!L126="y","Remote Locked","")</f>
        <v/>
      </c>
      <c r="S126" t="str">
        <f t="shared" si="5"/>
        <v>Battery Defect, 0</v>
      </c>
      <c r="T126" t="str">
        <f>_xlfn.XLOOKUP(B126,Disk_Pivot!G:G,Disk_Pivot!I:I)</f>
        <v>Yes x2</v>
      </c>
      <c r="U126" t="str">
        <f>_xlfn.XLOOKUP(B126,Disk_Pivot!G:G,Disk_Pivot!N:N)</f>
        <v>Pass, Fail</v>
      </c>
      <c r="V126" t="str">
        <f>IF(U126="Fail",MacReports!N126,"")</f>
        <v/>
      </c>
      <c r="AB126" t="str">
        <f t="shared" si="6"/>
        <v/>
      </c>
    </row>
    <row r="127" spans="1:28">
      <c r="A127" t="str">
        <f>MacReports!A127</f>
        <v/>
      </c>
      <c r="B127">
        <f>MacReports!B127</f>
        <v>0</v>
      </c>
      <c r="C127">
        <f>MacReports!C127</f>
        <v>0</v>
      </c>
      <c r="E127" t="e">
        <f>_xlfn.XLOOKUP(G127,Models!A:A,Models!F:F)</f>
        <v>#N/A</v>
      </c>
      <c r="F127" t="str">
        <f>_xlfn.XLOOKUP(B127,MacReports!B:B,MacReports!D:D,"")</f>
        <v/>
      </c>
      <c r="G127" s="13">
        <f>MacReports!E127</f>
        <v>0</v>
      </c>
      <c r="H127" t="e">
        <f>_xlfn.XLOOKUP(G127,Models!A:A,Models!B:B)</f>
        <v>#N/A</v>
      </c>
      <c r="I127" t="e">
        <f>_xlfn.XLOOKUP(G127,Models!A:A,Models!E:E)</f>
        <v>#N/A</v>
      </c>
      <c r="J127" t="e">
        <f>_xlfn.XLOOKUP(G127,Models!A:A,Models!D:D)</f>
        <v>#N/A</v>
      </c>
      <c r="K127">
        <f>MacReports!F127</f>
        <v>0</v>
      </c>
      <c r="L127">
        <f>MacReports!G127</f>
        <v>0</v>
      </c>
      <c r="M127" s="15" t="e" cm="1">
        <f t="array" ref="M127">--_xlfn.LET(
    _xlpm.txt, MacReports!H127,
    _xlpm.chars, MID(_xlpm.txt, _xlfn.SEQUENCE(LEN(_xlpm.txt)), 1),
    _xlfn.TEXTJOIN("", TRUE, IF(ISNUMBER(--_xlpm.chars), _xlpm.chars, ""))
)</f>
        <v>#VALUE!</v>
      </c>
      <c r="N127" s="16" t="str" cm="1">
        <f t="array" ref="N127">_xlfn.IFS(
   --MacReports!M127&lt;55,"Battery Defect",
  -- MacReports!M127&lt;=69,"Battery D",
  --MacReports!M127&lt;=80,"Battery C",
 --MacReports!M127&gt;80,""
)</f>
        <v>Battery Defect</v>
      </c>
      <c r="O127" s="16" t="str">
        <f>IF(MacReports!I127="Service","Battery Service","")</f>
        <v/>
      </c>
      <c r="P127" s="13">
        <f>MacReports!P127</f>
        <v>0</v>
      </c>
      <c r="Q127" s="13" t="str">
        <f>IF(MacReports!J127="Enabled","Apple ID Lock","")</f>
        <v/>
      </c>
      <c r="R127" s="13" t="str">
        <f>IF(MacReports!L127="y","Remote Locked","")</f>
        <v/>
      </c>
      <c r="S127" t="str">
        <f t="shared" si="5"/>
        <v>Battery Defect, 0</v>
      </c>
      <c r="T127" t="str">
        <f>_xlfn.XLOOKUP(B127,Disk_Pivot!G:G,Disk_Pivot!I:I)</f>
        <v>Yes x2</v>
      </c>
      <c r="U127" t="str">
        <f>_xlfn.XLOOKUP(B127,Disk_Pivot!G:G,Disk_Pivot!N:N)</f>
        <v>Pass, Fail</v>
      </c>
      <c r="V127" t="str">
        <f>IF(U127="Fail",MacReports!N127,"")</f>
        <v/>
      </c>
      <c r="AB127" t="str">
        <f t="shared" si="6"/>
        <v/>
      </c>
    </row>
    <row r="128" spans="1:28">
      <c r="A128" t="str">
        <f>MacReports!A128</f>
        <v/>
      </c>
      <c r="B128">
        <f>MacReports!B128</f>
        <v>0</v>
      </c>
      <c r="C128">
        <f>MacReports!C128</f>
        <v>0</v>
      </c>
      <c r="E128" t="e">
        <f>_xlfn.XLOOKUP(G128,Models!A:A,Models!F:F)</f>
        <v>#N/A</v>
      </c>
      <c r="F128" t="str">
        <f>_xlfn.XLOOKUP(B128,MacReports!B:B,MacReports!D:D,"")</f>
        <v/>
      </c>
      <c r="G128" s="13">
        <f>MacReports!E128</f>
        <v>0</v>
      </c>
      <c r="H128" t="e">
        <f>_xlfn.XLOOKUP(G128,Models!A:A,Models!B:B)</f>
        <v>#N/A</v>
      </c>
      <c r="I128" t="e">
        <f>_xlfn.XLOOKUP(G128,Models!A:A,Models!E:E)</f>
        <v>#N/A</v>
      </c>
      <c r="J128" t="e">
        <f>_xlfn.XLOOKUP(G128,Models!A:A,Models!D:D)</f>
        <v>#N/A</v>
      </c>
      <c r="K128">
        <f>MacReports!F128</f>
        <v>0</v>
      </c>
      <c r="L128">
        <f>MacReports!G128</f>
        <v>0</v>
      </c>
      <c r="M128" s="15" t="e" cm="1">
        <f t="array" ref="M128">--_xlfn.LET(
    _xlpm.txt, MacReports!H128,
    _xlpm.chars, MID(_xlpm.txt, _xlfn.SEQUENCE(LEN(_xlpm.txt)), 1),
    _xlfn.TEXTJOIN("", TRUE, IF(ISNUMBER(--_xlpm.chars), _xlpm.chars, ""))
)</f>
        <v>#VALUE!</v>
      </c>
      <c r="N128" s="16" t="str" cm="1">
        <f t="array" ref="N128">_xlfn.IFS(
   --MacReports!M128&lt;55,"Battery Defect",
  -- MacReports!M128&lt;=69,"Battery D",
  --MacReports!M128&lt;=80,"Battery C",
 --MacReports!M128&gt;80,""
)</f>
        <v>Battery Defect</v>
      </c>
      <c r="O128" s="16" t="str">
        <f>IF(MacReports!I128="Service","Battery Service","")</f>
        <v/>
      </c>
      <c r="P128" s="13">
        <f>MacReports!P128</f>
        <v>0</v>
      </c>
      <c r="Q128" s="13" t="str">
        <f>IF(MacReports!J128="Enabled","Apple ID Lock","")</f>
        <v/>
      </c>
      <c r="R128" s="13" t="str">
        <f>IF(MacReports!L128="y","Remote Locked","")</f>
        <v/>
      </c>
      <c r="S128" t="str">
        <f t="shared" si="5"/>
        <v>Battery Defect, 0</v>
      </c>
      <c r="T128" t="str">
        <f>_xlfn.XLOOKUP(B128,Disk_Pivot!G:G,Disk_Pivot!I:I)</f>
        <v>Yes x2</v>
      </c>
      <c r="U128" t="str">
        <f>_xlfn.XLOOKUP(B128,Disk_Pivot!G:G,Disk_Pivot!N:N)</f>
        <v>Pass, Fail</v>
      </c>
      <c r="V128" t="str">
        <f>IF(U128="Fail",MacReports!N128,"")</f>
        <v/>
      </c>
      <c r="AB128" t="str">
        <f t="shared" si="6"/>
        <v/>
      </c>
    </row>
    <row r="129" spans="1:28">
      <c r="A129" t="str">
        <f>MacReports!A129</f>
        <v/>
      </c>
      <c r="B129">
        <f>MacReports!B129</f>
        <v>0</v>
      </c>
      <c r="C129">
        <f>MacReports!C129</f>
        <v>0</v>
      </c>
      <c r="E129" t="e">
        <f>_xlfn.XLOOKUP(G129,Models!A:A,Models!F:F)</f>
        <v>#N/A</v>
      </c>
      <c r="F129" t="str">
        <f>_xlfn.XLOOKUP(B129,MacReports!B:B,MacReports!D:D,"")</f>
        <v/>
      </c>
      <c r="G129" s="13">
        <f>MacReports!E129</f>
        <v>0</v>
      </c>
      <c r="H129" t="e">
        <f>_xlfn.XLOOKUP(G129,Models!A:A,Models!B:B)</f>
        <v>#N/A</v>
      </c>
      <c r="I129" t="e">
        <f>_xlfn.XLOOKUP(G129,Models!A:A,Models!E:E)</f>
        <v>#N/A</v>
      </c>
      <c r="J129" t="e">
        <f>_xlfn.XLOOKUP(G129,Models!A:A,Models!D:D)</f>
        <v>#N/A</v>
      </c>
      <c r="K129">
        <f>MacReports!F129</f>
        <v>0</v>
      </c>
      <c r="L129">
        <f>MacReports!G129</f>
        <v>0</v>
      </c>
      <c r="M129" s="15" t="e" cm="1">
        <f t="array" ref="M129">--_xlfn.LET(
    _xlpm.txt, MacReports!H129,
    _xlpm.chars, MID(_xlpm.txt, _xlfn.SEQUENCE(LEN(_xlpm.txt)), 1),
    _xlfn.TEXTJOIN("", TRUE, IF(ISNUMBER(--_xlpm.chars), _xlpm.chars, ""))
)</f>
        <v>#VALUE!</v>
      </c>
      <c r="N129" s="16" t="str" cm="1">
        <f t="array" ref="N129">_xlfn.IFS(
   --MacReports!M129&lt;55,"Battery Defect",
  -- MacReports!M129&lt;=69,"Battery D",
  --MacReports!M129&lt;=80,"Battery C",
 --MacReports!M129&gt;80,""
)</f>
        <v>Battery Defect</v>
      </c>
      <c r="O129" s="16" t="str">
        <f>IF(MacReports!I129="Service","Battery Service","")</f>
        <v/>
      </c>
      <c r="P129" s="13">
        <f>MacReports!P129</f>
        <v>0</v>
      </c>
      <c r="Q129" s="13" t="str">
        <f>IF(MacReports!J129="Enabled","Apple ID Lock","")</f>
        <v/>
      </c>
      <c r="R129" s="13" t="str">
        <f>IF(MacReports!L129="y","Remote Locked","")</f>
        <v/>
      </c>
      <c r="S129" t="str">
        <f t="shared" si="5"/>
        <v>Battery Defect, 0</v>
      </c>
      <c r="T129" t="str">
        <f>_xlfn.XLOOKUP(B129,Disk_Pivot!G:G,Disk_Pivot!I:I)</f>
        <v>Yes x2</v>
      </c>
      <c r="U129" t="str">
        <f>_xlfn.XLOOKUP(B129,Disk_Pivot!G:G,Disk_Pivot!N:N)</f>
        <v>Pass, Fail</v>
      </c>
      <c r="V129" t="str">
        <f>IF(U129="Fail",MacReports!N129,"")</f>
        <v/>
      </c>
      <c r="AB129" t="str">
        <f t="shared" si="6"/>
        <v/>
      </c>
    </row>
    <row r="130" spans="1:28">
      <c r="A130" t="str">
        <f>MacReports!A130</f>
        <v/>
      </c>
      <c r="B130">
        <f>MacReports!B130</f>
        <v>0</v>
      </c>
      <c r="C130">
        <f>MacReports!C130</f>
        <v>0</v>
      </c>
      <c r="E130" t="e">
        <f>_xlfn.XLOOKUP(G130,Models!A:A,Models!F:F)</f>
        <v>#N/A</v>
      </c>
      <c r="F130" t="str">
        <f>_xlfn.XLOOKUP(B130,MacReports!B:B,MacReports!D:D,"")</f>
        <v/>
      </c>
      <c r="G130" s="13">
        <f>MacReports!E130</f>
        <v>0</v>
      </c>
      <c r="H130" t="e">
        <f>_xlfn.XLOOKUP(G130,Models!A:A,Models!B:B)</f>
        <v>#N/A</v>
      </c>
      <c r="I130" t="e">
        <f>_xlfn.XLOOKUP(G130,Models!A:A,Models!E:E)</f>
        <v>#N/A</v>
      </c>
      <c r="J130" t="e">
        <f>_xlfn.XLOOKUP(G130,Models!A:A,Models!D:D)</f>
        <v>#N/A</v>
      </c>
      <c r="K130">
        <f>MacReports!F130</f>
        <v>0</v>
      </c>
      <c r="L130">
        <f>MacReports!G130</f>
        <v>0</v>
      </c>
      <c r="M130" s="15" t="e" cm="1">
        <f t="array" ref="M130">--_xlfn.LET(
    _xlpm.txt, MacReports!H130,
    _xlpm.chars, MID(_xlpm.txt, _xlfn.SEQUENCE(LEN(_xlpm.txt)), 1),
    _xlfn.TEXTJOIN("", TRUE, IF(ISNUMBER(--_xlpm.chars), _xlpm.chars, ""))
)</f>
        <v>#VALUE!</v>
      </c>
      <c r="N130" s="16" t="str" cm="1">
        <f t="array" ref="N130">_xlfn.IFS(
   --MacReports!M130&lt;55,"Battery Defect",
  -- MacReports!M130&lt;=69,"Battery D",
  --MacReports!M130&lt;=80,"Battery C",
 --MacReports!M130&gt;80,""
)</f>
        <v>Battery Defect</v>
      </c>
      <c r="O130" s="16" t="str">
        <f>IF(MacReports!I130="Service","Battery Service","")</f>
        <v/>
      </c>
      <c r="P130" s="13">
        <f>MacReports!P130</f>
        <v>0</v>
      </c>
      <c r="Q130" s="13" t="str">
        <f>IF(MacReports!J130="Enabled","Apple ID Lock","")</f>
        <v/>
      </c>
      <c r="R130" s="13" t="str">
        <f>IF(MacReports!L130="y","Remote Locked","")</f>
        <v/>
      </c>
      <c r="S130" t="str">
        <f t="shared" si="5"/>
        <v>Battery Defect, 0</v>
      </c>
      <c r="T130" t="str">
        <f>_xlfn.XLOOKUP(B130,Disk_Pivot!G:G,Disk_Pivot!I:I)</f>
        <v>Yes x2</v>
      </c>
      <c r="U130" t="str">
        <f>_xlfn.XLOOKUP(B130,Disk_Pivot!G:G,Disk_Pivot!N:N)</f>
        <v>Pass, Fail</v>
      </c>
      <c r="V130" t="str">
        <f>IF(U130="Fail",MacReports!N130,"")</f>
        <v/>
      </c>
      <c r="AB130" t="str">
        <f t="shared" si="6"/>
        <v/>
      </c>
    </row>
    <row r="131" spans="1:28">
      <c r="A131" t="str">
        <f>MacReports!A131</f>
        <v/>
      </c>
      <c r="B131">
        <f>MacReports!B131</f>
        <v>0</v>
      </c>
      <c r="C131">
        <f>MacReports!C131</f>
        <v>0</v>
      </c>
      <c r="E131" t="e">
        <f>_xlfn.XLOOKUP(G131,Models!A:A,Models!F:F)</f>
        <v>#N/A</v>
      </c>
      <c r="F131" t="str">
        <f>_xlfn.XLOOKUP(B131,MacReports!B:B,MacReports!D:D,"")</f>
        <v/>
      </c>
      <c r="G131" s="13">
        <f>MacReports!E131</f>
        <v>0</v>
      </c>
      <c r="H131" t="e">
        <f>_xlfn.XLOOKUP(G131,Models!A:A,Models!B:B)</f>
        <v>#N/A</v>
      </c>
      <c r="I131" t="e">
        <f>_xlfn.XLOOKUP(G131,Models!A:A,Models!E:E)</f>
        <v>#N/A</v>
      </c>
      <c r="J131" t="e">
        <f>_xlfn.XLOOKUP(G131,Models!A:A,Models!D:D)</f>
        <v>#N/A</v>
      </c>
      <c r="K131">
        <f>MacReports!F131</f>
        <v>0</v>
      </c>
      <c r="L131">
        <f>MacReports!G131</f>
        <v>0</v>
      </c>
      <c r="M131" s="15" t="e" cm="1">
        <f t="array" ref="M131">--_xlfn.LET(
    _xlpm.txt, MacReports!H131,
    _xlpm.chars, MID(_xlpm.txt, _xlfn.SEQUENCE(LEN(_xlpm.txt)), 1),
    _xlfn.TEXTJOIN("", TRUE, IF(ISNUMBER(--_xlpm.chars), _xlpm.chars, ""))
)</f>
        <v>#VALUE!</v>
      </c>
      <c r="N131" s="16" t="str" cm="1">
        <f t="array" ref="N131">_xlfn.IFS(
   --MacReports!M131&lt;55,"Battery Defect",
  -- MacReports!M131&lt;=69,"Battery D",
  --MacReports!M131&lt;=80,"Battery C",
 --MacReports!M131&gt;80,""
)</f>
        <v>Battery Defect</v>
      </c>
      <c r="O131" s="16" t="str">
        <f>IF(MacReports!I131="Service","Battery Service","")</f>
        <v/>
      </c>
      <c r="P131" s="13">
        <f>MacReports!P131</f>
        <v>0</v>
      </c>
      <c r="Q131" s="13" t="str">
        <f>IF(MacReports!J131="Enabled","Apple ID Lock","")</f>
        <v/>
      </c>
      <c r="R131" s="13" t="str">
        <f>IF(MacReports!L131="y","Remote Locked","")</f>
        <v/>
      </c>
      <c r="S131" t="str">
        <f t="shared" si="5"/>
        <v>Battery Defect, 0</v>
      </c>
      <c r="T131" t="str">
        <f>_xlfn.XLOOKUP(B131,Disk_Pivot!G:G,Disk_Pivot!I:I)</f>
        <v>Yes x2</v>
      </c>
      <c r="U131" t="str">
        <f>_xlfn.XLOOKUP(B131,Disk_Pivot!G:G,Disk_Pivot!N:N)</f>
        <v>Pass, Fail</v>
      </c>
      <c r="V131" t="str">
        <f>IF(U131="Fail",MacReports!N131,"")</f>
        <v/>
      </c>
      <c r="AB131" t="str">
        <f t="shared" si="6"/>
        <v/>
      </c>
    </row>
    <row r="132" spans="1:28">
      <c r="A132" t="str">
        <f>MacReports!A132</f>
        <v/>
      </c>
      <c r="B132">
        <f>MacReports!B132</f>
        <v>0</v>
      </c>
      <c r="C132">
        <f>MacReports!C132</f>
        <v>0</v>
      </c>
      <c r="E132" t="e">
        <f>_xlfn.XLOOKUP(G132,Models!A:A,Models!F:F)</f>
        <v>#N/A</v>
      </c>
      <c r="F132" t="str">
        <f>_xlfn.XLOOKUP(B132,MacReports!B:B,MacReports!D:D,"")</f>
        <v/>
      </c>
      <c r="G132" s="13">
        <f>MacReports!E132</f>
        <v>0</v>
      </c>
      <c r="H132" t="e">
        <f>_xlfn.XLOOKUP(G132,Models!A:A,Models!B:B)</f>
        <v>#N/A</v>
      </c>
      <c r="I132" t="e">
        <f>_xlfn.XLOOKUP(G132,Models!A:A,Models!E:E)</f>
        <v>#N/A</v>
      </c>
      <c r="J132" t="e">
        <f>_xlfn.XLOOKUP(G132,Models!A:A,Models!D:D)</f>
        <v>#N/A</v>
      </c>
      <c r="K132">
        <f>MacReports!F132</f>
        <v>0</v>
      </c>
      <c r="L132">
        <f>MacReports!G132</f>
        <v>0</v>
      </c>
      <c r="M132" s="15" t="e" cm="1">
        <f t="array" ref="M132">--_xlfn.LET(
    _xlpm.txt, MacReports!H132,
    _xlpm.chars, MID(_xlpm.txt, _xlfn.SEQUENCE(LEN(_xlpm.txt)), 1),
    _xlfn.TEXTJOIN("", TRUE, IF(ISNUMBER(--_xlpm.chars), _xlpm.chars, ""))
)</f>
        <v>#VALUE!</v>
      </c>
      <c r="N132" s="16" t="str" cm="1">
        <f t="array" ref="N132">_xlfn.IFS(
   --MacReports!M132&lt;55,"Battery Defect",
  -- MacReports!M132&lt;=69,"Battery D",
  --MacReports!M132&lt;=80,"Battery C",
 --MacReports!M132&gt;80,""
)</f>
        <v>Battery Defect</v>
      </c>
      <c r="O132" s="16" t="str">
        <f>IF(MacReports!I132="Service","Battery Service","")</f>
        <v/>
      </c>
      <c r="P132" s="13">
        <f>MacReports!P132</f>
        <v>0</v>
      </c>
      <c r="Q132" s="13" t="str">
        <f>IF(MacReports!J132="Enabled","Apple ID Lock","")</f>
        <v/>
      </c>
      <c r="R132" s="13" t="str">
        <f>IF(MacReports!L132="y","Remote Locked","")</f>
        <v/>
      </c>
      <c r="S132" t="str">
        <f t="shared" si="5"/>
        <v>Battery Defect, 0</v>
      </c>
      <c r="T132" t="str">
        <f>_xlfn.XLOOKUP(B132,Disk_Pivot!G:G,Disk_Pivot!I:I)</f>
        <v>Yes x2</v>
      </c>
      <c r="U132" t="str">
        <f>_xlfn.XLOOKUP(B132,Disk_Pivot!G:G,Disk_Pivot!N:N)</f>
        <v>Pass, Fail</v>
      </c>
      <c r="V132" t="str">
        <f>IF(U132="Fail",MacReports!N132,"")</f>
        <v/>
      </c>
      <c r="AB132" t="str">
        <f t="shared" si="6"/>
        <v/>
      </c>
    </row>
    <row r="133" spans="1:28">
      <c r="A133" t="str">
        <f>MacReports!A133</f>
        <v/>
      </c>
      <c r="B133">
        <f>MacReports!B133</f>
        <v>0</v>
      </c>
      <c r="C133">
        <f>MacReports!C133</f>
        <v>0</v>
      </c>
      <c r="E133" t="e">
        <f>_xlfn.XLOOKUP(G133,Models!A:A,Models!F:F)</f>
        <v>#N/A</v>
      </c>
      <c r="F133" t="str">
        <f>_xlfn.XLOOKUP(B133,MacReports!B:B,MacReports!D:D,"")</f>
        <v/>
      </c>
      <c r="G133" s="13">
        <f>MacReports!E133</f>
        <v>0</v>
      </c>
      <c r="H133" t="e">
        <f>_xlfn.XLOOKUP(G133,Models!A:A,Models!B:B)</f>
        <v>#N/A</v>
      </c>
      <c r="I133" t="e">
        <f>_xlfn.XLOOKUP(G133,Models!A:A,Models!E:E)</f>
        <v>#N/A</v>
      </c>
      <c r="J133" t="e">
        <f>_xlfn.XLOOKUP(G133,Models!A:A,Models!D:D)</f>
        <v>#N/A</v>
      </c>
      <c r="K133">
        <f>MacReports!F133</f>
        <v>0</v>
      </c>
      <c r="L133">
        <f>MacReports!G133</f>
        <v>0</v>
      </c>
      <c r="M133" s="15" t="e" cm="1">
        <f t="array" ref="M133">--_xlfn.LET(
    _xlpm.txt, MacReports!H133,
    _xlpm.chars, MID(_xlpm.txt, _xlfn.SEQUENCE(LEN(_xlpm.txt)), 1),
    _xlfn.TEXTJOIN("", TRUE, IF(ISNUMBER(--_xlpm.chars), _xlpm.chars, ""))
)</f>
        <v>#VALUE!</v>
      </c>
      <c r="N133" s="16" t="str" cm="1">
        <f t="array" ref="N133">_xlfn.IFS(
   --MacReports!M133&lt;55,"Battery Defect",
  -- MacReports!M133&lt;=69,"Battery D",
  --MacReports!M133&lt;=80,"Battery C",
 --MacReports!M133&gt;80,""
)</f>
        <v>Battery Defect</v>
      </c>
      <c r="O133" s="16" t="str">
        <f>IF(MacReports!I133="Service","Battery Service","")</f>
        <v/>
      </c>
      <c r="P133" s="13">
        <f>MacReports!P133</f>
        <v>0</v>
      </c>
      <c r="Q133" s="13" t="str">
        <f>IF(MacReports!J133="Enabled","Apple ID Lock","")</f>
        <v/>
      </c>
      <c r="R133" s="13" t="str">
        <f>IF(MacReports!L133="y","Remote Locked","")</f>
        <v/>
      </c>
      <c r="S133" t="str">
        <f t="shared" si="5"/>
        <v>Battery Defect, 0</v>
      </c>
      <c r="T133" t="str">
        <f>_xlfn.XLOOKUP(B133,Disk_Pivot!G:G,Disk_Pivot!I:I)</f>
        <v>Yes x2</v>
      </c>
      <c r="U133" t="str">
        <f>_xlfn.XLOOKUP(B133,Disk_Pivot!G:G,Disk_Pivot!N:N)</f>
        <v>Pass, Fail</v>
      </c>
      <c r="V133" t="str">
        <f>IF(U133="Fail",MacReports!N133,"")</f>
        <v/>
      </c>
      <c r="AB133" t="str">
        <f t="shared" si="6"/>
        <v/>
      </c>
    </row>
    <row r="134" spans="1:28">
      <c r="A134" t="str">
        <f>MacReports!A134</f>
        <v/>
      </c>
      <c r="B134">
        <f>MacReports!B134</f>
        <v>0</v>
      </c>
      <c r="C134">
        <f>MacReports!C134</f>
        <v>0</v>
      </c>
      <c r="E134" t="e">
        <f>_xlfn.XLOOKUP(G134,Models!A:A,Models!F:F)</f>
        <v>#N/A</v>
      </c>
      <c r="F134" t="str">
        <f>_xlfn.XLOOKUP(B134,MacReports!B:B,MacReports!D:D,"")</f>
        <v/>
      </c>
      <c r="G134" s="13">
        <f>MacReports!E134</f>
        <v>0</v>
      </c>
      <c r="H134" t="e">
        <f>_xlfn.XLOOKUP(G134,Models!A:A,Models!B:B)</f>
        <v>#N/A</v>
      </c>
      <c r="I134" t="e">
        <f>_xlfn.XLOOKUP(G134,Models!A:A,Models!E:E)</f>
        <v>#N/A</v>
      </c>
      <c r="J134" t="e">
        <f>_xlfn.XLOOKUP(G134,Models!A:A,Models!D:D)</f>
        <v>#N/A</v>
      </c>
      <c r="K134">
        <f>MacReports!F134</f>
        <v>0</v>
      </c>
      <c r="L134">
        <f>MacReports!G134</f>
        <v>0</v>
      </c>
      <c r="M134" s="15" t="e" cm="1">
        <f t="array" ref="M134">--_xlfn.LET(
    _xlpm.txt, MacReports!H134,
    _xlpm.chars, MID(_xlpm.txt, _xlfn.SEQUENCE(LEN(_xlpm.txt)), 1),
    _xlfn.TEXTJOIN("", TRUE, IF(ISNUMBER(--_xlpm.chars), _xlpm.chars, ""))
)</f>
        <v>#VALUE!</v>
      </c>
      <c r="N134" s="16" t="str" cm="1">
        <f t="array" ref="N134">_xlfn.IFS(
   --MacReports!M134&lt;55,"Battery Defect",
  -- MacReports!M134&lt;=69,"Battery D",
  --MacReports!M134&lt;=80,"Battery C",
 --MacReports!M134&gt;80,""
)</f>
        <v>Battery Defect</v>
      </c>
      <c r="O134" s="16" t="str">
        <f>IF(MacReports!I134="Service","Battery Service","")</f>
        <v/>
      </c>
      <c r="P134" s="13">
        <f>MacReports!P134</f>
        <v>0</v>
      </c>
      <c r="Q134" s="13" t="str">
        <f>IF(MacReports!J134="Enabled","Apple ID Lock","")</f>
        <v/>
      </c>
      <c r="R134" s="13" t="str">
        <f>IF(MacReports!L134="y","Remote Locked","")</f>
        <v/>
      </c>
      <c r="S134" t="str">
        <f t="shared" si="5"/>
        <v>Battery Defect, 0</v>
      </c>
      <c r="T134" t="str">
        <f>_xlfn.XLOOKUP(B134,Disk_Pivot!G:G,Disk_Pivot!I:I)</f>
        <v>Yes x2</v>
      </c>
      <c r="U134" t="str">
        <f>_xlfn.XLOOKUP(B134,Disk_Pivot!G:G,Disk_Pivot!N:N)</f>
        <v>Pass, Fail</v>
      </c>
      <c r="V134" t="str">
        <f>IF(U134="Fail",MacReports!N134,"")</f>
        <v/>
      </c>
      <c r="AB134" t="str">
        <f t="shared" si="6"/>
        <v/>
      </c>
    </row>
    <row r="135" spans="1:28">
      <c r="A135" t="str">
        <f>MacReports!A135</f>
        <v/>
      </c>
      <c r="B135">
        <f>MacReports!B135</f>
        <v>0</v>
      </c>
      <c r="C135">
        <f>MacReports!C135</f>
        <v>0</v>
      </c>
      <c r="E135" t="e">
        <f>_xlfn.XLOOKUP(G135,Models!A:A,Models!F:F)</f>
        <v>#N/A</v>
      </c>
      <c r="F135" t="str">
        <f>_xlfn.XLOOKUP(B135,MacReports!B:B,MacReports!D:D,"")</f>
        <v/>
      </c>
      <c r="G135" s="13">
        <f>MacReports!E135</f>
        <v>0</v>
      </c>
      <c r="H135" t="e">
        <f>_xlfn.XLOOKUP(G135,Models!A:A,Models!B:B)</f>
        <v>#N/A</v>
      </c>
      <c r="I135" t="e">
        <f>_xlfn.XLOOKUP(G135,Models!A:A,Models!E:E)</f>
        <v>#N/A</v>
      </c>
      <c r="J135" t="e">
        <f>_xlfn.XLOOKUP(G135,Models!A:A,Models!D:D)</f>
        <v>#N/A</v>
      </c>
      <c r="K135">
        <f>MacReports!F135</f>
        <v>0</v>
      </c>
      <c r="L135">
        <f>MacReports!G135</f>
        <v>0</v>
      </c>
      <c r="M135" s="15" t="e" cm="1">
        <f t="array" ref="M135">--_xlfn.LET(
    _xlpm.txt, MacReports!H135,
    _xlpm.chars, MID(_xlpm.txt, _xlfn.SEQUENCE(LEN(_xlpm.txt)), 1),
    _xlfn.TEXTJOIN("", TRUE, IF(ISNUMBER(--_xlpm.chars), _xlpm.chars, ""))
)</f>
        <v>#VALUE!</v>
      </c>
      <c r="N135" s="16" t="str" cm="1">
        <f t="array" ref="N135">_xlfn.IFS(
   --MacReports!M135&lt;55,"Battery Defect",
  -- MacReports!M135&lt;=69,"Battery D",
  --MacReports!M135&lt;=80,"Battery C",
 --MacReports!M135&gt;80,""
)</f>
        <v>Battery Defect</v>
      </c>
      <c r="O135" s="16" t="str">
        <f>IF(MacReports!I135="Service","Battery Service","")</f>
        <v/>
      </c>
      <c r="P135" s="13">
        <f>MacReports!P135</f>
        <v>0</v>
      </c>
      <c r="Q135" s="13" t="str">
        <f>IF(MacReports!J135="Enabled","Apple ID Lock","")</f>
        <v/>
      </c>
      <c r="R135" s="13" t="str">
        <f>IF(MacReports!L135="y","Remote Locked","")</f>
        <v/>
      </c>
      <c r="S135" t="str">
        <f t="shared" si="5"/>
        <v>Battery Defect, 0</v>
      </c>
      <c r="T135" t="str">
        <f>_xlfn.XLOOKUP(B135,Disk_Pivot!G:G,Disk_Pivot!I:I)</f>
        <v>Yes x2</v>
      </c>
      <c r="U135" t="str">
        <f>_xlfn.XLOOKUP(B135,Disk_Pivot!G:G,Disk_Pivot!N:N)</f>
        <v>Pass, Fail</v>
      </c>
      <c r="V135" t="str">
        <f>IF(U135="Fail",MacReports!N135,"")</f>
        <v/>
      </c>
      <c r="AB135" t="str">
        <f t="shared" si="6"/>
        <v/>
      </c>
    </row>
    <row r="136" spans="1:28">
      <c r="A136" t="str">
        <f>MacReports!A136</f>
        <v/>
      </c>
      <c r="B136">
        <f>MacReports!B136</f>
        <v>0</v>
      </c>
      <c r="C136">
        <f>MacReports!C136</f>
        <v>0</v>
      </c>
      <c r="E136" t="e">
        <f>_xlfn.XLOOKUP(G136,Models!A:A,Models!F:F)</f>
        <v>#N/A</v>
      </c>
      <c r="F136" t="str">
        <f>_xlfn.XLOOKUP(B136,MacReports!B:B,MacReports!D:D,"")</f>
        <v/>
      </c>
      <c r="G136" s="13">
        <f>MacReports!E136</f>
        <v>0</v>
      </c>
      <c r="H136" t="e">
        <f>_xlfn.XLOOKUP(G136,Models!A:A,Models!B:B)</f>
        <v>#N/A</v>
      </c>
      <c r="I136" t="e">
        <f>_xlfn.XLOOKUP(G136,Models!A:A,Models!E:E)</f>
        <v>#N/A</v>
      </c>
      <c r="J136" t="e">
        <f>_xlfn.XLOOKUP(G136,Models!A:A,Models!D:D)</f>
        <v>#N/A</v>
      </c>
      <c r="K136">
        <f>MacReports!F136</f>
        <v>0</v>
      </c>
      <c r="L136">
        <f>MacReports!G136</f>
        <v>0</v>
      </c>
      <c r="M136" s="15" t="e" cm="1">
        <f t="array" ref="M136">--_xlfn.LET(
    _xlpm.txt, MacReports!H136,
    _xlpm.chars, MID(_xlpm.txt, _xlfn.SEQUENCE(LEN(_xlpm.txt)), 1),
    _xlfn.TEXTJOIN("", TRUE, IF(ISNUMBER(--_xlpm.chars), _xlpm.chars, ""))
)</f>
        <v>#VALUE!</v>
      </c>
      <c r="N136" s="16" t="str" cm="1">
        <f t="array" ref="N136">_xlfn.IFS(
   --MacReports!M136&lt;55,"Battery Defect",
  -- MacReports!M136&lt;=69,"Battery D",
  --MacReports!M136&lt;=80,"Battery C",
 --MacReports!M136&gt;80,""
)</f>
        <v>Battery Defect</v>
      </c>
      <c r="O136" s="16" t="str">
        <f>IF(MacReports!I136="Service","Battery Service","")</f>
        <v/>
      </c>
      <c r="P136" s="13">
        <f>MacReports!P136</f>
        <v>0</v>
      </c>
      <c r="Q136" s="13" t="str">
        <f>IF(MacReports!J136="Enabled","Apple ID Lock","")</f>
        <v/>
      </c>
      <c r="R136" s="13" t="str">
        <f>IF(MacReports!L136="y","Remote Locked","")</f>
        <v/>
      </c>
      <c r="S136" t="str">
        <f t="shared" si="5"/>
        <v>Battery Defect, 0</v>
      </c>
      <c r="T136" t="str">
        <f>_xlfn.XLOOKUP(B136,Disk_Pivot!G:G,Disk_Pivot!I:I)</f>
        <v>Yes x2</v>
      </c>
      <c r="U136" t="str">
        <f>_xlfn.XLOOKUP(B136,Disk_Pivot!G:G,Disk_Pivot!N:N)</f>
        <v>Pass, Fail</v>
      </c>
      <c r="V136" t="str">
        <f>IF(U136="Fail",MacReports!N136,"")</f>
        <v/>
      </c>
      <c r="AB136" t="str">
        <f t="shared" si="6"/>
        <v/>
      </c>
    </row>
    <row r="137" spans="1:28">
      <c r="A137" t="str">
        <f>MacReports!A137</f>
        <v/>
      </c>
      <c r="B137">
        <f>MacReports!B137</f>
        <v>0</v>
      </c>
      <c r="C137">
        <f>MacReports!C137</f>
        <v>0</v>
      </c>
      <c r="E137" t="e">
        <f>_xlfn.XLOOKUP(G137,Models!A:A,Models!F:F)</f>
        <v>#N/A</v>
      </c>
      <c r="F137" t="str">
        <f>_xlfn.XLOOKUP(B137,MacReports!B:B,MacReports!D:D,"")</f>
        <v/>
      </c>
      <c r="G137" s="13">
        <f>MacReports!E137</f>
        <v>0</v>
      </c>
      <c r="H137" t="e">
        <f>_xlfn.XLOOKUP(G137,Models!A:A,Models!B:B)</f>
        <v>#N/A</v>
      </c>
      <c r="I137" t="e">
        <f>_xlfn.XLOOKUP(G137,Models!A:A,Models!E:E)</f>
        <v>#N/A</v>
      </c>
      <c r="J137" t="e">
        <f>_xlfn.XLOOKUP(G137,Models!A:A,Models!D:D)</f>
        <v>#N/A</v>
      </c>
      <c r="K137">
        <f>MacReports!F137</f>
        <v>0</v>
      </c>
      <c r="L137">
        <f>MacReports!G137</f>
        <v>0</v>
      </c>
      <c r="M137" s="15" t="e" cm="1">
        <f t="array" ref="M137">--_xlfn.LET(
    _xlpm.txt, MacReports!H137,
    _xlpm.chars, MID(_xlpm.txt, _xlfn.SEQUENCE(LEN(_xlpm.txt)), 1),
    _xlfn.TEXTJOIN("", TRUE, IF(ISNUMBER(--_xlpm.chars), _xlpm.chars, ""))
)</f>
        <v>#VALUE!</v>
      </c>
      <c r="N137" s="16" t="str" cm="1">
        <f t="array" ref="N137">_xlfn.IFS(
   --MacReports!M137&lt;55,"Battery Defect",
  -- MacReports!M137&lt;=69,"Battery D",
  --MacReports!M137&lt;=80,"Battery C",
 --MacReports!M137&gt;80,""
)</f>
        <v>Battery Defect</v>
      </c>
      <c r="O137" s="16" t="str">
        <f>IF(MacReports!I137="Service","Battery Service","")</f>
        <v/>
      </c>
      <c r="P137" s="13">
        <f>MacReports!P137</f>
        <v>0</v>
      </c>
      <c r="Q137" s="13" t="str">
        <f>IF(MacReports!J137="Enabled","Apple ID Lock","")</f>
        <v/>
      </c>
      <c r="R137" s="13" t="str">
        <f>IF(MacReports!L137="y","Remote Locked","")</f>
        <v/>
      </c>
      <c r="S137" t="str">
        <f t="shared" si="5"/>
        <v>Battery Defect, 0</v>
      </c>
      <c r="T137" t="str">
        <f>_xlfn.XLOOKUP(B137,Disk_Pivot!G:G,Disk_Pivot!I:I)</f>
        <v>Yes x2</v>
      </c>
      <c r="U137" t="str">
        <f>_xlfn.XLOOKUP(B137,Disk_Pivot!G:G,Disk_Pivot!N:N)</f>
        <v>Pass, Fail</v>
      </c>
      <c r="V137" t="str">
        <f>IF(U137="Fail",MacReports!N137,"")</f>
        <v/>
      </c>
      <c r="AB137" t="str">
        <f t="shared" si="6"/>
        <v/>
      </c>
    </row>
    <row r="138" spans="1:28">
      <c r="A138" t="str">
        <f>MacReports!A138</f>
        <v/>
      </c>
      <c r="B138">
        <f>MacReports!B138</f>
        <v>0</v>
      </c>
      <c r="C138">
        <f>MacReports!C138</f>
        <v>0</v>
      </c>
      <c r="E138" t="e">
        <f>_xlfn.XLOOKUP(G138,Models!A:A,Models!F:F)</f>
        <v>#N/A</v>
      </c>
      <c r="F138" t="str">
        <f>_xlfn.XLOOKUP(B138,MacReports!B:B,MacReports!D:D,"")</f>
        <v/>
      </c>
      <c r="G138" s="13">
        <f>MacReports!E138</f>
        <v>0</v>
      </c>
      <c r="H138" t="e">
        <f>_xlfn.XLOOKUP(G138,Models!A:A,Models!B:B)</f>
        <v>#N/A</v>
      </c>
      <c r="I138" t="e">
        <f>_xlfn.XLOOKUP(G138,Models!A:A,Models!E:E)</f>
        <v>#N/A</v>
      </c>
      <c r="J138" t="e">
        <f>_xlfn.XLOOKUP(G138,Models!A:A,Models!D:D)</f>
        <v>#N/A</v>
      </c>
      <c r="K138">
        <f>MacReports!F138</f>
        <v>0</v>
      </c>
      <c r="L138">
        <f>MacReports!G138</f>
        <v>0</v>
      </c>
      <c r="M138" s="15" t="e" cm="1">
        <f t="array" ref="M138">--_xlfn.LET(
    _xlpm.txt, MacReports!H138,
    _xlpm.chars, MID(_xlpm.txt, _xlfn.SEQUENCE(LEN(_xlpm.txt)), 1),
    _xlfn.TEXTJOIN("", TRUE, IF(ISNUMBER(--_xlpm.chars), _xlpm.chars, ""))
)</f>
        <v>#VALUE!</v>
      </c>
      <c r="N138" s="16" t="str" cm="1">
        <f t="array" ref="N138">_xlfn.IFS(
   --MacReports!M138&lt;55,"Battery Defect",
  -- MacReports!M138&lt;=69,"Battery D",
  --MacReports!M138&lt;=80,"Battery C",
 --MacReports!M138&gt;80,""
)</f>
        <v>Battery Defect</v>
      </c>
      <c r="O138" s="16" t="str">
        <f>IF(MacReports!I138="Service","Battery Service","")</f>
        <v/>
      </c>
      <c r="P138" s="13">
        <f>MacReports!P138</f>
        <v>0</v>
      </c>
      <c r="Q138" s="13" t="str">
        <f>IF(MacReports!J138="Enabled","Apple ID Lock","")</f>
        <v/>
      </c>
      <c r="R138" s="13" t="str">
        <f>IF(MacReports!L138="y","Remote Locked","")</f>
        <v/>
      </c>
      <c r="S138" t="str">
        <f t="shared" si="5"/>
        <v>Battery Defect, 0</v>
      </c>
      <c r="T138" t="str">
        <f>_xlfn.XLOOKUP(B138,Disk_Pivot!G:G,Disk_Pivot!I:I)</f>
        <v>Yes x2</v>
      </c>
      <c r="U138" t="str">
        <f>_xlfn.XLOOKUP(B138,Disk_Pivot!G:G,Disk_Pivot!N:N)</f>
        <v>Pass, Fail</v>
      </c>
      <c r="V138" t="str">
        <f>IF(U138="Fail",MacReports!N138,"")</f>
        <v/>
      </c>
      <c r="AB138" t="str">
        <f t="shared" si="6"/>
        <v/>
      </c>
    </row>
    <row r="139" spans="1:28">
      <c r="A139" t="str">
        <f>MacReports!A139</f>
        <v/>
      </c>
      <c r="B139">
        <f>MacReports!B139</f>
        <v>0</v>
      </c>
      <c r="C139">
        <f>MacReports!C139</f>
        <v>0</v>
      </c>
      <c r="E139" t="e">
        <f>_xlfn.XLOOKUP(G139,Models!A:A,Models!F:F)</f>
        <v>#N/A</v>
      </c>
      <c r="F139" t="str">
        <f>_xlfn.XLOOKUP(B139,MacReports!B:B,MacReports!D:D,"")</f>
        <v/>
      </c>
      <c r="G139" s="13">
        <f>MacReports!E139</f>
        <v>0</v>
      </c>
      <c r="H139" t="e">
        <f>_xlfn.XLOOKUP(G139,Models!A:A,Models!B:B)</f>
        <v>#N/A</v>
      </c>
      <c r="I139" t="e">
        <f>_xlfn.XLOOKUP(G139,Models!A:A,Models!E:E)</f>
        <v>#N/A</v>
      </c>
      <c r="J139" t="e">
        <f>_xlfn.XLOOKUP(G139,Models!A:A,Models!D:D)</f>
        <v>#N/A</v>
      </c>
      <c r="K139">
        <f>MacReports!F139</f>
        <v>0</v>
      </c>
      <c r="L139">
        <f>MacReports!G139</f>
        <v>0</v>
      </c>
      <c r="M139" s="15" t="e" cm="1">
        <f t="array" ref="M139">--_xlfn.LET(
    _xlpm.txt, MacReports!H139,
    _xlpm.chars, MID(_xlpm.txt, _xlfn.SEQUENCE(LEN(_xlpm.txt)), 1),
    _xlfn.TEXTJOIN("", TRUE, IF(ISNUMBER(--_xlpm.chars), _xlpm.chars, ""))
)</f>
        <v>#VALUE!</v>
      </c>
      <c r="N139" s="16" t="str" cm="1">
        <f t="array" ref="N139">_xlfn.IFS(
   --MacReports!M139&lt;55,"Battery Defect",
  -- MacReports!M139&lt;=69,"Battery D",
  --MacReports!M139&lt;=80,"Battery C",
 --MacReports!M139&gt;80,""
)</f>
        <v>Battery Defect</v>
      </c>
      <c r="O139" s="16" t="str">
        <f>IF(MacReports!I139="Service","Battery Service","")</f>
        <v/>
      </c>
      <c r="P139" s="13">
        <f>MacReports!P139</f>
        <v>0</v>
      </c>
      <c r="Q139" s="13" t="str">
        <f>IF(MacReports!J139="Enabled","Apple ID Lock","")</f>
        <v/>
      </c>
      <c r="R139" s="13" t="str">
        <f>IF(MacReports!L139="y","Remote Locked","")</f>
        <v/>
      </c>
      <c r="S139" t="str">
        <f t="shared" si="5"/>
        <v>Battery Defect, 0</v>
      </c>
      <c r="T139" t="str">
        <f>_xlfn.XLOOKUP(B139,Disk_Pivot!G:G,Disk_Pivot!I:I)</f>
        <v>Yes x2</v>
      </c>
      <c r="U139" t="str">
        <f>_xlfn.XLOOKUP(B139,Disk_Pivot!G:G,Disk_Pivot!N:N)</f>
        <v>Pass, Fail</v>
      </c>
      <c r="V139" t="str">
        <f>IF(U139="Fail",MacReports!N139,"")</f>
        <v/>
      </c>
      <c r="AB139" t="str">
        <f t="shared" si="6"/>
        <v/>
      </c>
    </row>
    <row r="140" spans="1:28">
      <c r="A140" t="str">
        <f>MacReports!A140</f>
        <v/>
      </c>
      <c r="B140">
        <f>MacReports!B140</f>
        <v>0</v>
      </c>
      <c r="C140">
        <f>MacReports!C140</f>
        <v>0</v>
      </c>
      <c r="E140" t="e">
        <f>_xlfn.XLOOKUP(G140,Models!A:A,Models!F:F)</f>
        <v>#N/A</v>
      </c>
      <c r="F140" t="str">
        <f>_xlfn.XLOOKUP(B140,MacReports!B:B,MacReports!D:D,"")</f>
        <v/>
      </c>
      <c r="G140" s="13">
        <f>MacReports!E140</f>
        <v>0</v>
      </c>
      <c r="H140" t="e">
        <f>_xlfn.XLOOKUP(G140,Models!A:A,Models!B:B)</f>
        <v>#N/A</v>
      </c>
      <c r="I140" t="e">
        <f>_xlfn.XLOOKUP(G140,Models!A:A,Models!E:E)</f>
        <v>#N/A</v>
      </c>
      <c r="J140" t="e">
        <f>_xlfn.XLOOKUP(G140,Models!A:A,Models!D:D)</f>
        <v>#N/A</v>
      </c>
      <c r="K140">
        <f>MacReports!F140</f>
        <v>0</v>
      </c>
      <c r="L140">
        <f>MacReports!G140</f>
        <v>0</v>
      </c>
      <c r="M140" s="15" t="e" cm="1">
        <f t="array" ref="M140">--_xlfn.LET(
    _xlpm.txt, MacReports!H140,
    _xlpm.chars, MID(_xlpm.txt, _xlfn.SEQUENCE(LEN(_xlpm.txt)), 1),
    _xlfn.TEXTJOIN("", TRUE, IF(ISNUMBER(--_xlpm.chars), _xlpm.chars, ""))
)</f>
        <v>#VALUE!</v>
      </c>
      <c r="N140" s="16" t="str" cm="1">
        <f t="array" ref="N140">_xlfn.IFS(
   --MacReports!M140&lt;55,"Battery Defect",
  -- MacReports!M140&lt;=69,"Battery D",
  --MacReports!M140&lt;=80,"Battery C",
 --MacReports!M140&gt;80,""
)</f>
        <v>Battery Defect</v>
      </c>
      <c r="O140" s="16" t="str">
        <f>IF(MacReports!I140="Service","Battery Service","")</f>
        <v/>
      </c>
      <c r="P140" s="13">
        <f>MacReports!P140</f>
        <v>0</v>
      </c>
      <c r="Q140" s="13" t="str">
        <f>IF(MacReports!J140="Enabled","Apple ID Lock","")</f>
        <v/>
      </c>
      <c r="R140" s="13" t="str">
        <f>IF(MacReports!L140="y","Remote Locked","")</f>
        <v/>
      </c>
      <c r="S140" t="str">
        <f t="shared" si="5"/>
        <v>Battery Defect, 0</v>
      </c>
      <c r="T140" t="str">
        <f>_xlfn.XLOOKUP(B140,Disk_Pivot!G:G,Disk_Pivot!I:I)</f>
        <v>Yes x2</v>
      </c>
      <c r="U140" t="str">
        <f>_xlfn.XLOOKUP(B140,Disk_Pivot!G:G,Disk_Pivot!N:N)</f>
        <v>Pass, Fail</v>
      </c>
      <c r="V140" t="str">
        <f>IF(U140="Fail",MacReports!N140,"")</f>
        <v/>
      </c>
      <c r="AB140" t="str">
        <f t="shared" si="6"/>
        <v/>
      </c>
    </row>
    <row r="141" spans="1:28">
      <c r="A141" t="str">
        <f>MacReports!A141</f>
        <v/>
      </c>
      <c r="B141">
        <f>MacReports!B141</f>
        <v>0</v>
      </c>
      <c r="C141">
        <f>MacReports!C141</f>
        <v>0</v>
      </c>
      <c r="E141" t="e">
        <f>_xlfn.XLOOKUP(G141,Models!A:A,Models!F:F)</f>
        <v>#N/A</v>
      </c>
      <c r="F141" t="str">
        <f>_xlfn.XLOOKUP(B141,MacReports!B:B,MacReports!D:D,"")</f>
        <v/>
      </c>
      <c r="G141" s="13">
        <f>MacReports!E141</f>
        <v>0</v>
      </c>
      <c r="H141" t="e">
        <f>_xlfn.XLOOKUP(G141,Models!A:A,Models!B:B)</f>
        <v>#N/A</v>
      </c>
      <c r="I141" t="e">
        <f>_xlfn.XLOOKUP(G141,Models!A:A,Models!E:E)</f>
        <v>#N/A</v>
      </c>
      <c r="J141" t="e">
        <f>_xlfn.XLOOKUP(G141,Models!A:A,Models!D:D)</f>
        <v>#N/A</v>
      </c>
      <c r="K141">
        <f>MacReports!F141</f>
        <v>0</v>
      </c>
      <c r="L141">
        <f>MacReports!G141</f>
        <v>0</v>
      </c>
      <c r="M141" s="15" t="e" cm="1">
        <f t="array" ref="M141">--_xlfn.LET(
    _xlpm.txt, MacReports!H141,
    _xlpm.chars, MID(_xlpm.txt, _xlfn.SEQUENCE(LEN(_xlpm.txt)), 1),
    _xlfn.TEXTJOIN("", TRUE, IF(ISNUMBER(--_xlpm.chars), _xlpm.chars, ""))
)</f>
        <v>#VALUE!</v>
      </c>
      <c r="N141" s="16" t="str" cm="1">
        <f t="array" ref="N141">_xlfn.IFS(
   --MacReports!M141&lt;55,"Battery Defect",
  -- MacReports!M141&lt;=69,"Battery D",
  --MacReports!M141&lt;=80,"Battery C",
 --MacReports!M141&gt;80,""
)</f>
        <v>Battery Defect</v>
      </c>
      <c r="O141" s="16" t="str">
        <f>IF(MacReports!I141="Service","Battery Service","")</f>
        <v/>
      </c>
      <c r="P141" s="13">
        <f>MacReports!P141</f>
        <v>0</v>
      </c>
      <c r="Q141" s="13" t="str">
        <f>IF(MacReports!J141="Enabled","Apple ID Lock","")</f>
        <v/>
      </c>
      <c r="R141" s="13" t="str">
        <f>IF(MacReports!L141="y","Remote Locked","")</f>
        <v/>
      </c>
      <c r="S141" t="str">
        <f t="shared" si="5"/>
        <v>Battery Defect, 0</v>
      </c>
      <c r="T141" t="str">
        <f>_xlfn.XLOOKUP(B141,Disk_Pivot!G:G,Disk_Pivot!I:I)</f>
        <v>Yes x2</v>
      </c>
      <c r="U141" t="str">
        <f>_xlfn.XLOOKUP(B141,Disk_Pivot!G:G,Disk_Pivot!N:N)</f>
        <v>Pass, Fail</v>
      </c>
      <c r="V141" t="str">
        <f>IF(U141="Fail",MacReports!N141,"")</f>
        <v/>
      </c>
      <c r="AB141" t="str">
        <f t="shared" si="6"/>
        <v/>
      </c>
    </row>
    <row r="142" spans="1:28">
      <c r="A142" t="str">
        <f>MacReports!A142</f>
        <v/>
      </c>
      <c r="B142">
        <f>MacReports!B142</f>
        <v>0</v>
      </c>
      <c r="C142">
        <f>MacReports!C142</f>
        <v>0</v>
      </c>
      <c r="E142" t="e">
        <f>_xlfn.XLOOKUP(G142,Models!A:A,Models!F:F)</f>
        <v>#N/A</v>
      </c>
      <c r="F142" t="str">
        <f>_xlfn.XLOOKUP(B142,MacReports!B:B,MacReports!D:D,"")</f>
        <v/>
      </c>
      <c r="G142" s="13">
        <f>MacReports!E142</f>
        <v>0</v>
      </c>
      <c r="H142" t="e">
        <f>_xlfn.XLOOKUP(G142,Models!A:A,Models!B:B)</f>
        <v>#N/A</v>
      </c>
      <c r="I142" t="e">
        <f>_xlfn.XLOOKUP(G142,Models!A:A,Models!E:E)</f>
        <v>#N/A</v>
      </c>
      <c r="J142" t="e">
        <f>_xlfn.XLOOKUP(G142,Models!A:A,Models!D:D)</f>
        <v>#N/A</v>
      </c>
      <c r="K142">
        <f>MacReports!F142</f>
        <v>0</v>
      </c>
      <c r="L142">
        <f>MacReports!G142</f>
        <v>0</v>
      </c>
      <c r="M142" s="15" t="e" cm="1">
        <f t="array" ref="M142">--_xlfn.LET(
    _xlpm.txt, MacReports!H142,
    _xlpm.chars, MID(_xlpm.txt, _xlfn.SEQUENCE(LEN(_xlpm.txt)), 1),
    _xlfn.TEXTJOIN("", TRUE, IF(ISNUMBER(--_xlpm.chars), _xlpm.chars, ""))
)</f>
        <v>#VALUE!</v>
      </c>
      <c r="N142" s="16" t="str" cm="1">
        <f t="array" ref="N142">_xlfn.IFS(
   --MacReports!M142&lt;55,"Battery Defect",
  -- MacReports!M142&lt;=69,"Battery D",
  --MacReports!M142&lt;=80,"Battery C",
 --MacReports!M142&gt;80,""
)</f>
        <v>Battery Defect</v>
      </c>
      <c r="O142" s="16" t="str">
        <f>IF(MacReports!I142="Service","Battery Service","")</f>
        <v/>
      </c>
      <c r="P142" s="13">
        <f>MacReports!P142</f>
        <v>0</v>
      </c>
      <c r="Q142" s="13" t="str">
        <f>IF(MacReports!J142="Enabled","Apple ID Lock","")</f>
        <v/>
      </c>
      <c r="R142" s="13" t="str">
        <f>IF(MacReports!L142="y","Remote Locked","")</f>
        <v/>
      </c>
      <c r="S142" t="str">
        <f t="shared" si="5"/>
        <v>Battery Defect, 0</v>
      </c>
      <c r="T142" t="str">
        <f>_xlfn.XLOOKUP(B142,Disk_Pivot!G:G,Disk_Pivot!I:I)</f>
        <v>Yes x2</v>
      </c>
      <c r="U142" t="str">
        <f>_xlfn.XLOOKUP(B142,Disk_Pivot!G:G,Disk_Pivot!N:N)</f>
        <v>Pass, Fail</v>
      </c>
      <c r="V142" t="str">
        <f>IF(U142="Fail",MacReports!N142,"")</f>
        <v/>
      </c>
      <c r="AB142" t="str">
        <f t="shared" si="6"/>
        <v/>
      </c>
    </row>
    <row r="143" spans="1:28">
      <c r="A143" t="str">
        <f>MacReports!A143</f>
        <v/>
      </c>
      <c r="B143">
        <f>MacReports!B143</f>
        <v>0</v>
      </c>
      <c r="C143">
        <f>MacReports!C143</f>
        <v>0</v>
      </c>
      <c r="E143" t="e">
        <f>_xlfn.XLOOKUP(G143,Models!A:A,Models!F:F)</f>
        <v>#N/A</v>
      </c>
      <c r="F143" t="str">
        <f>_xlfn.XLOOKUP(B143,MacReports!B:B,MacReports!D:D,"")</f>
        <v/>
      </c>
      <c r="G143" s="13">
        <f>MacReports!E143</f>
        <v>0</v>
      </c>
      <c r="H143" t="e">
        <f>_xlfn.XLOOKUP(G143,Models!A:A,Models!B:B)</f>
        <v>#N/A</v>
      </c>
      <c r="I143" t="e">
        <f>_xlfn.XLOOKUP(G143,Models!A:A,Models!E:E)</f>
        <v>#N/A</v>
      </c>
      <c r="J143" t="e">
        <f>_xlfn.XLOOKUP(G143,Models!A:A,Models!D:D)</f>
        <v>#N/A</v>
      </c>
      <c r="K143">
        <f>MacReports!F143</f>
        <v>0</v>
      </c>
      <c r="L143">
        <f>MacReports!G143</f>
        <v>0</v>
      </c>
      <c r="M143" s="15" t="e" cm="1">
        <f t="array" ref="M143">--_xlfn.LET(
    _xlpm.txt, MacReports!H143,
    _xlpm.chars, MID(_xlpm.txt, _xlfn.SEQUENCE(LEN(_xlpm.txt)), 1),
    _xlfn.TEXTJOIN("", TRUE, IF(ISNUMBER(--_xlpm.chars), _xlpm.chars, ""))
)</f>
        <v>#VALUE!</v>
      </c>
      <c r="N143" s="16" t="str" cm="1">
        <f t="array" ref="N143">_xlfn.IFS(
   --MacReports!M143&lt;55,"Battery Defect",
  -- MacReports!M143&lt;=69,"Battery D",
  --MacReports!M143&lt;=80,"Battery C",
 --MacReports!M143&gt;80,""
)</f>
        <v>Battery Defect</v>
      </c>
      <c r="O143" s="16" t="str">
        <f>IF(MacReports!I143="Service","Battery Service","")</f>
        <v/>
      </c>
      <c r="P143" s="13">
        <f>MacReports!P143</f>
        <v>0</v>
      </c>
      <c r="Q143" s="13" t="str">
        <f>IF(MacReports!J143="Enabled","Apple ID Lock","")</f>
        <v/>
      </c>
      <c r="R143" s="13" t="str">
        <f>IF(MacReports!L143="y","Remote Locked","")</f>
        <v/>
      </c>
      <c r="S143" t="str">
        <f t="shared" si="5"/>
        <v>Battery Defect, 0</v>
      </c>
      <c r="T143" t="str">
        <f>_xlfn.XLOOKUP(B143,Disk_Pivot!G:G,Disk_Pivot!I:I)</f>
        <v>Yes x2</v>
      </c>
      <c r="U143" t="str">
        <f>_xlfn.XLOOKUP(B143,Disk_Pivot!G:G,Disk_Pivot!N:N)</f>
        <v>Pass, Fail</v>
      </c>
      <c r="V143" t="str">
        <f>IF(U143="Fail",MacReports!N143,"")</f>
        <v/>
      </c>
      <c r="AB143" t="str">
        <f t="shared" si="6"/>
        <v/>
      </c>
    </row>
    <row r="144" spans="1:28">
      <c r="A144" t="str">
        <f>MacReports!A144</f>
        <v/>
      </c>
      <c r="B144">
        <f>MacReports!B144</f>
        <v>0</v>
      </c>
      <c r="C144">
        <f>MacReports!C144</f>
        <v>0</v>
      </c>
      <c r="E144" t="e">
        <f>_xlfn.XLOOKUP(G144,Models!A:A,Models!F:F)</f>
        <v>#N/A</v>
      </c>
      <c r="F144" t="str">
        <f>_xlfn.XLOOKUP(B144,MacReports!B:B,MacReports!D:D,"")</f>
        <v/>
      </c>
      <c r="G144" s="13">
        <f>MacReports!E144</f>
        <v>0</v>
      </c>
      <c r="H144" t="e">
        <f>_xlfn.XLOOKUP(G144,Models!A:A,Models!B:B)</f>
        <v>#N/A</v>
      </c>
      <c r="I144" t="e">
        <f>_xlfn.XLOOKUP(G144,Models!A:A,Models!E:E)</f>
        <v>#N/A</v>
      </c>
      <c r="J144" t="e">
        <f>_xlfn.XLOOKUP(G144,Models!A:A,Models!D:D)</f>
        <v>#N/A</v>
      </c>
      <c r="K144">
        <f>MacReports!F144</f>
        <v>0</v>
      </c>
      <c r="L144">
        <f>MacReports!G144</f>
        <v>0</v>
      </c>
      <c r="M144" s="15" t="e" cm="1">
        <f t="array" ref="M144">--_xlfn.LET(
    _xlpm.txt, MacReports!H144,
    _xlpm.chars, MID(_xlpm.txt, _xlfn.SEQUENCE(LEN(_xlpm.txt)), 1),
    _xlfn.TEXTJOIN("", TRUE, IF(ISNUMBER(--_xlpm.chars), _xlpm.chars, ""))
)</f>
        <v>#VALUE!</v>
      </c>
      <c r="N144" s="16" t="str" cm="1">
        <f t="array" ref="N144">_xlfn.IFS(
   --MacReports!M144&lt;55,"Battery Defect",
  -- MacReports!M144&lt;=69,"Battery D",
  --MacReports!M144&lt;=80,"Battery C",
 --MacReports!M144&gt;80,""
)</f>
        <v>Battery Defect</v>
      </c>
      <c r="O144" s="16" t="str">
        <f>IF(MacReports!I144="Service","Battery Service","")</f>
        <v/>
      </c>
      <c r="P144" s="13">
        <f>MacReports!P144</f>
        <v>0</v>
      </c>
      <c r="Q144" s="13" t="str">
        <f>IF(MacReports!J144="Enabled","Apple ID Lock","")</f>
        <v/>
      </c>
      <c r="R144" s="13" t="str">
        <f>IF(MacReports!L144="y","Remote Locked","")</f>
        <v/>
      </c>
      <c r="S144" t="str">
        <f t="shared" si="5"/>
        <v>Battery Defect, 0</v>
      </c>
      <c r="T144" t="str">
        <f>_xlfn.XLOOKUP(B144,Disk_Pivot!G:G,Disk_Pivot!I:I)</f>
        <v>Yes x2</v>
      </c>
      <c r="U144" t="str">
        <f>_xlfn.XLOOKUP(B144,Disk_Pivot!G:G,Disk_Pivot!N:N)</f>
        <v>Pass, Fail</v>
      </c>
      <c r="V144" t="str">
        <f>IF(U144="Fail",MacReports!N144,"")</f>
        <v/>
      </c>
      <c r="AB144" t="str">
        <f t="shared" si="6"/>
        <v/>
      </c>
    </row>
    <row r="145" spans="1:28">
      <c r="A145" t="str">
        <f>MacReports!A145</f>
        <v/>
      </c>
      <c r="B145">
        <f>MacReports!B145</f>
        <v>0</v>
      </c>
      <c r="C145">
        <f>MacReports!C145</f>
        <v>0</v>
      </c>
      <c r="E145" t="e">
        <f>_xlfn.XLOOKUP(G145,Models!A:A,Models!F:F)</f>
        <v>#N/A</v>
      </c>
      <c r="F145" t="str">
        <f>_xlfn.XLOOKUP(B145,MacReports!B:B,MacReports!D:D,"")</f>
        <v/>
      </c>
      <c r="G145" s="13">
        <f>MacReports!E145</f>
        <v>0</v>
      </c>
      <c r="H145" t="e">
        <f>_xlfn.XLOOKUP(G145,Models!A:A,Models!B:B)</f>
        <v>#N/A</v>
      </c>
      <c r="I145" t="e">
        <f>_xlfn.XLOOKUP(G145,Models!A:A,Models!E:E)</f>
        <v>#N/A</v>
      </c>
      <c r="J145" t="e">
        <f>_xlfn.XLOOKUP(G145,Models!A:A,Models!D:D)</f>
        <v>#N/A</v>
      </c>
      <c r="K145">
        <f>MacReports!F145</f>
        <v>0</v>
      </c>
      <c r="L145">
        <f>MacReports!G145</f>
        <v>0</v>
      </c>
      <c r="M145" s="15" t="e" cm="1">
        <f t="array" ref="M145">--_xlfn.LET(
    _xlpm.txt, MacReports!H145,
    _xlpm.chars, MID(_xlpm.txt, _xlfn.SEQUENCE(LEN(_xlpm.txt)), 1),
    _xlfn.TEXTJOIN("", TRUE, IF(ISNUMBER(--_xlpm.chars), _xlpm.chars, ""))
)</f>
        <v>#VALUE!</v>
      </c>
      <c r="N145" s="16" t="str" cm="1">
        <f t="array" ref="N145">_xlfn.IFS(
   --MacReports!M145&lt;55,"Battery Defect",
  -- MacReports!M145&lt;=69,"Battery D",
  --MacReports!M145&lt;=80,"Battery C",
 --MacReports!M145&gt;80,""
)</f>
        <v>Battery Defect</v>
      </c>
      <c r="O145" s="16" t="str">
        <f>IF(MacReports!I145="Service","Battery Service","")</f>
        <v/>
      </c>
      <c r="P145" s="13">
        <f>MacReports!P145</f>
        <v>0</v>
      </c>
      <c r="Q145" s="13" t="str">
        <f>IF(MacReports!J145="Enabled","Apple ID Lock","")</f>
        <v/>
      </c>
      <c r="R145" s="13" t="str">
        <f>IF(MacReports!L145="y","Remote Locked","")</f>
        <v/>
      </c>
      <c r="S145" t="str">
        <f t="shared" si="5"/>
        <v>Battery Defect, 0</v>
      </c>
      <c r="T145" t="str">
        <f>_xlfn.XLOOKUP(B145,Disk_Pivot!G:G,Disk_Pivot!I:I)</f>
        <v>Yes x2</v>
      </c>
      <c r="U145" t="str">
        <f>_xlfn.XLOOKUP(B145,Disk_Pivot!G:G,Disk_Pivot!N:N)</f>
        <v>Pass, Fail</v>
      </c>
      <c r="V145" t="str">
        <f>IF(U145="Fail",MacReports!N145,"")</f>
        <v/>
      </c>
      <c r="AB145" t="str">
        <f t="shared" si="6"/>
        <v/>
      </c>
    </row>
    <row r="146" spans="1:28">
      <c r="A146" t="str">
        <f>MacReports!A146</f>
        <v/>
      </c>
      <c r="B146">
        <f>MacReports!B146</f>
        <v>0</v>
      </c>
      <c r="C146">
        <f>MacReports!C146</f>
        <v>0</v>
      </c>
      <c r="E146" t="e">
        <f>_xlfn.XLOOKUP(G146,Models!A:A,Models!F:F)</f>
        <v>#N/A</v>
      </c>
      <c r="F146" t="str">
        <f>_xlfn.XLOOKUP(B146,MacReports!B:B,MacReports!D:D,"")</f>
        <v/>
      </c>
      <c r="G146" s="13">
        <f>MacReports!E146</f>
        <v>0</v>
      </c>
      <c r="H146" t="e">
        <f>_xlfn.XLOOKUP(G146,Models!A:A,Models!B:B)</f>
        <v>#N/A</v>
      </c>
      <c r="I146" t="e">
        <f>_xlfn.XLOOKUP(G146,Models!A:A,Models!E:E)</f>
        <v>#N/A</v>
      </c>
      <c r="J146" t="e">
        <f>_xlfn.XLOOKUP(G146,Models!A:A,Models!D:D)</f>
        <v>#N/A</v>
      </c>
      <c r="K146">
        <f>MacReports!F146</f>
        <v>0</v>
      </c>
      <c r="L146">
        <f>MacReports!G146</f>
        <v>0</v>
      </c>
      <c r="M146" s="15" t="e" cm="1">
        <f t="array" ref="M146">--_xlfn.LET(
    _xlpm.txt, MacReports!H146,
    _xlpm.chars, MID(_xlpm.txt, _xlfn.SEQUENCE(LEN(_xlpm.txt)), 1),
    _xlfn.TEXTJOIN("", TRUE, IF(ISNUMBER(--_xlpm.chars), _xlpm.chars, ""))
)</f>
        <v>#VALUE!</v>
      </c>
      <c r="N146" s="16" t="str" cm="1">
        <f t="array" ref="N146">_xlfn.IFS(
   --MacReports!M146&lt;55,"Battery Defect",
  -- MacReports!M146&lt;=69,"Battery D",
  --MacReports!M146&lt;=80,"Battery C",
 --MacReports!M146&gt;80,""
)</f>
        <v>Battery Defect</v>
      </c>
      <c r="O146" s="16" t="str">
        <f>IF(MacReports!I146="Service","Battery Service","")</f>
        <v/>
      </c>
      <c r="P146" s="13">
        <f>MacReports!P146</f>
        <v>0</v>
      </c>
      <c r="Q146" s="13" t="str">
        <f>IF(MacReports!J146="Enabled","Apple ID Lock","")</f>
        <v/>
      </c>
      <c r="R146" s="13" t="str">
        <f>IF(MacReports!L146="y","Remote Locked","")</f>
        <v/>
      </c>
      <c r="S146" t="str">
        <f t="shared" si="5"/>
        <v>Battery Defect, 0</v>
      </c>
      <c r="T146" t="str">
        <f>_xlfn.XLOOKUP(B146,Disk_Pivot!G:G,Disk_Pivot!I:I)</f>
        <v>Yes x2</v>
      </c>
      <c r="U146" t="str">
        <f>_xlfn.XLOOKUP(B146,Disk_Pivot!G:G,Disk_Pivot!N:N)</f>
        <v>Pass, Fail</v>
      </c>
      <c r="V146" t="str">
        <f>IF(U146="Fail",MacReports!N146,"")</f>
        <v/>
      </c>
      <c r="AB146" t="str">
        <f t="shared" si="6"/>
        <v/>
      </c>
    </row>
    <row r="147" spans="1:28">
      <c r="A147" t="str">
        <f>MacReports!A147</f>
        <v/>
      </c>
      <c r="B147">
        <f>MacReports!B147</f>
        <v>0</v>
      </c>
      <c r="C147">
        <f>MacReports!C147</f>
        <v>0</v>
      </c>
      <c r="E147" t="e">
        <f>_xlfn.XLOOKUP(G147,Models!A:A,Models!F:F)</f>
        <v>#N/A</v>
      </c>
      <c r="F147" t="str">
        <f>_xlfn.XLOOKUP(B147,MacReports!B:B,MacReports!D:D,"")</f>
        <v/>
      </c>
      <c r="G147" s="13">
        <f>MacReports!E147</f>
        <v>0</v>
      </c>
      <c r="H147" t="e">
        <f>_xlfn.XLOOKUP(G147,Models!A:A,Models!B:B)</f>
        <v>#N/A</v>
      </c>
      <c r="I147" t="e">
        <f>_xlfn.XLOOKUP(G147,Models!A:A,Models!E:E)</f>
        <v>#N/A</v>
      </c>
      <c r="J147" t="e">
        <f>_xlfn.XLOOKUP(G147,Models!A:A,Models!D:D)</f>
        <v>#N/A</v>
      </c>
      <c r="K147">
        <f>MacReports!F147</f>
        <v>0</v>
      </c>
      <c r="L147">
        <f>MacReports!G147</f>
        <v>0</v>
      </c>
      <c r="M147" s="15" t="e" cm="1">
        <f t="array" ref="M147">--_xlfn.LET(
    _xlpm.txt, MacReports!H147,
    _xlpm.chars, MID(_xlpm.txt, _xlfn.SEQUENCE(LEN(_xlpm.txt)), 1),
    _xlfn.TEXTJOIN("", TRUE, IF(ISNUMBER(--_xlpm.chars), _xlpm.chars, ""))
)</f>
        <v>#VALUE!</v>
      </c>
      <c r="N147" s="16" t="str" cm="1">
        <f t="array" ref="N147">_xlfn.IFS(
   --MacReports!M147&lt;55,"Battery Defect",
  -- MacReports!M147&lt;=69,"Battery D",
  --MacReports!M147&lt;=80,"Battery C",
 --MacReports!M147&gt;80,""
)</f>
        <v>Battery Defect</v>
      </c>
      <c r="O147" s="16" t="str">
        <f>IF(MacReports!I147="Service","Battery Service","")</f>
        <v/>
      </c>
      <c r="P147" s="13">
        <f>MacReports!P147</f>
        <v>0</v>
      </c>
      <c r="Q147" s="13" t="str">
        <f>IF(MacReports!J147="Enabled","Apple ID Lock","")</f>
        <v/>
      </c>
      <c r="R147" s="13" t="str">
        <f>IF(MacReports!L147="y","Remote Locked","")</f>
        <v/>
      </c>
      <c r="S147" t="str">
        <f t="shared" si="5"/>
        <v>Battery Defect, 0</v>
      </c>
      <c r="T147" t="str">
        <f>_xlfn.XLOOKUP(B147,Disk_Pivot!G:G,Disk_Pivot!I:I)</f>
        <v>Yes x2</v>
      </c>
      <c r="U147" t="str">
        <f>_xlfn.XLOOKUP(B147,Disk_Pivot!G:G,Disk_Pivot!N:N)</f>
        <v>Pass, Fail</v>
      </c>
      <c r="V147" t="str">
        <f>IF(U147="Fail",MacReports!N147,"")</f>
        <v/>
      </c>
      <c r="AB147" t="str">
        <f t="shared" si="6"/>
        <v/>
      </c>
    </row>
    <row r="148" spans="1:28">
      <c r="A148" t="str">
        <f>MacReports!A148</f>
        <v/>
      </c>
      <c r="B148">
        <f>MacReports!B148</f>
        <v>0</v>
      </c>
      <c r="C148">
        <f>MacReports!C148</f>
        <v>0</v>
      </c>
      <c r="E148" t="e">
        <f>_xlfn.XLOOKUP(G148,Models!A:A,Models!F:F)</f>
        <v>#N/A</v>
      </c>
      <c r="F148" t="str">
        <f>_xlfn.XLOOKUP(B148,MacReports!B:B,MacReports!D:D,"")</f>
        <v/>
      </c>
      <c r="G148" s="13">
        <f>MacReports!E148</f>
        <v>0</v>
      </c>
      <c r="H148" t="e">
        <f>_xlfn.XLOOKUP(G148,Models!A:A,Models!B:B)</f>
        <v>#N/A</v>
      </c>
      <c r="I148" t="e">
        <f>_xlfn.XLOOKUP(G148,Models!A:A,Models!E:E)</f>
        <v>#N/A</v>
      </c>
      <c r="J148" t="e">
        <f>_xlfn.XLOOKUP(G148,Models!A:A,Models!D:D)</f>
        <v>#N/A</v>
      </c>
      <c r="K148">
        <f>MacReports!F148</f>
        <v>0</v>
      </c>
      <c r="L148">
        <f>MacReports!G148</f>
        <v>0</v>
      </c>
      <c r="M148" s="15" t="e" cm="1">
        <f t="array" ref="M148">--_xlfn.LET(
    _xlpm.txt, MacReports!H148,
    _xlpm.chars, MID(_xlpm.txt, _xlfn.SEQUENCE(LEN(_xlpm.txt)), 1),
    _xlfn.TEXTJOIN("", TRUE, IF(ISNUMBER(--_xlpm.chars), _xlpm.chars, ""))
)</f>
        <v>#VALUE!</v>
      </c>
      <c r="N148" s="16" t="str" cm="1">
        <f t="array" ref="N148">_xlfn.IFS(
   --MacReports!M148&lt;55,"Battery Defect",
  -- MacReports!M148&lt;=69,"Battery D",
  --MacReports!M148&lt;=80,"Battery C",
 --MacReports!M148&gt;80,""
)</f>
        <v>Battery Defect</v>
      </c>
      <c r="O148" s="16" t="str">
        <f>IF(MacReports!I148="Service","Battery Service","")</f>
        <v/>
      </c>
      <c r="P148" s="13">
        <f>MacReports!P148</f>
        <v>0</v>
      </c>
      <c r="Q148" s="13" t="str">
        <f>IF(MacReports!J148="Enabled","Apple ID Lock","")</f>
        <v/>
      </c>
      <c r="R148" s="13" t="str">
        <f>IF(MacReports!L148="y","Remote Locked","")</f>
        <v/>
      </c>
      <c r="S148" t="str">
        <f t="shared" si="5"/>
        <v>Battery Defect, 0</v>
      </c>
      <c r="T148" t="str">
        <f>_xlfn.XLOOKUP(B148,Disk_Pivot!G:G,Disk_Pivot!I:I)</f>
        <v>Yes x2</v>
      </c>
      <c r="U148" t="str">
        <f>_xlfn.XLOOKUP(B148,Disk_Pivot!G:G,Disk_Pivot!N:N)</f>
        <v>Pass, Fail</v>
      </c>
      <c r="V148" t="str">
        <f>IF(U148="Fail",MacReports!N148,"")</f>
        <v/>
      </c>
      <c r="AB148" t="str">
        <f t="shared" si="6"/>
        <v/>
      </c>
    </row>
    <row r="149" spans="1:28">
      <c r="A149" t="str">
        <f>MacReports!A149</f>
        <v/>
      </c>
      <c r="B149">
        <f>MacReports!B149</f>
        <v>0</v>
      </c>
      <c r="C149">
        <f>MacReports!C149</f>
        <v>0</v>
      </c>
      <c r="E149" t="e">
        <f>_xlfn.XLOOKUP(G149,Models!A:A,Models!F:F)</f>
        <v>#N/A</v>
      </c>
      <c r="F149" t="str">
        <f>_xlfn.XLOOKUP(B149,MacReports!B:B,MacReports!D:D,"")</f>
        <v/>
      </c>
      <c r="G149" s="13">
        <f>MacReports!E149</f>
        <v>0</v>
      </c>
      <c r="H149" t="e">
        <f>_xlfn.XLOOKUP(G149,Models!A:A,Models!B:B)</f>
        <v>#N/A</v>
      </c>
      <c r="I149" t="e">
        <f>_xlfn.XLOOKUP(G149,Models!A:A,Models!E:E)</f>
        <v>#N/A</v>
      </c>
      <c r="J149" t="e">
        <f>_xlfn.XLOOKUP(G149,Models!A:A,Models!D:D)</f>
        <v>#N/A</v>
      </c>
      <c r="K149">
        <f>MacReports!F149</f>
        <v>0</v>
      </c>
      <c r="L149">
        <f>MacReports!G149</f>
        <v>0</v>
      </c>
      <c r="M149" s="15" t="e" cm="1">
        <f t="array" ref="M149">--_xlfn.LET(
    _xlpm.txt, MacReports!H149,
    _xlpm.chars, MID(_xlpm.txt, _xlfn.SEQUENCE(LEN(_xlpm.txt)), 1),
    _xlfn.TEXTJOIN("", TRUE, IF(ISNUMBER(--_xlpm.chars), _xlpm.chars, ""))
)</f>
        <v>#VALUE!</v>
      </c>
      <c r="N149" s="16" t="str" cm="1">
        <f t="array" ref="N149">_xlfn.IFS(
   --MacReports!M149&lt;55,"Battery Defect",
  -- MacReports!M149&lt;=69,"Battery D",
  --MacReports!M149&lt;=80,"Battery C",
 --MacReports!M149&gt;80,""
)</f>
        <v>Battery Defect</v>
      </c>
      <c r="O149" s="16" t="str">
        <f>IF(MacReports!I149="Service","Battery Service","")</f>
        <v/>
      </c>
      <c r="P149" s="13">
        <f>MacReports!P149</f>
        <v>0</v>
      </c>
      <c r="Q149" s="13" t="str">
        <f>IF(MacReports!J149="Enabled","Apple ID Lock","")</f>
        <v/>
      </c>
      <c r="R149" s="13" t="str">
        <f>IF(MacReports!L149="y","Remote Locked","")</f>
        <v/>
      </c>
      <c r="S149" t="str">
        <f t="shared" si="5"/>
        <v>Battery Defect, 0</v>
      </c>
      <c r="T149" t="str">
        <f>_xlfn.XLOOKUP(B149,Disk_Pivot!G:G,Disk_Pivot!I:I)</f>
        <v>Yes x2</v>
      </c>
      <c r="U149" t="str">
        <f>_xlfn.XLOOKUP(B149,Disk_Pivot!G:G,Disk_Pivot!N:N)</f>
        <v>Pass, Fail</v>
      </c>
      <c r="V149" t="str">
        <f>IF(U149="Fail",MacReports!N149,"")</f>
        <v/>
      </c>
      <c r="AB149" t="str">
        <f t="shared" si="6"/>
        <v/>
      </c>
    </row>
    <row r="150" spans="1:28">
      <c r="A150" t="str">
        <f>MacReports!A150</f>
        <v/>
      </c>
      <c r="B150">
        <f>MacReports!B150</f>
        <v>0</v>
      </c>
      <c r="C150">
        <f>MacReports!C150</f>
        <v>0</v>
      </c>
      <c r="E150" t="e">
        <f>_xlfn.XLOOKUP(G150,Models!A:A,Models!F:F)</f>
        <v>#N/A</v>
      </c>
      <c r="F150" t="str">
        <f>_xlfn.XLOOKUP(B150,MacReports!B:B,MacReports!D:D,"")</f>
        <v/>
      </c>
      <c r="G150" s="13">
        <f>MacReports!E150</f>
        <v>0</v>
      </c>
      <c r="H150" t="e">
        <f>_xlfn.XLOOKUP(G150,Models!A:A,Models!B:B)</f>
        <v>#N/A</v>
      </c>
      <c r="I150" t="e">
        <f>_xlfn.XLOOKUP(G150,Models!A:A,Models!E:E)</f>
        <v>#N/A</v>
      </c>
      <c r="J150" t="e">
        <f>_xlfn.XLOOKUP(G150,Models!A:A,Models!D:D)</f>
        <v>#N/A</v>
      </c>
      <c r="K150">
        <f>MacReports!F150</f>
        <v>0</v>
      </c>
      <c r="L150">
        <f>MacReports!G150</f>
        <v>0</v>
      </c>
      <c r="M150" s="15" t="e" cm="1">
        <f t="array" ref="M150">--_xlfn.LET(
    _xlpm.txt, MacReports!H150,
    _xlpm.chars, MID(_xlpm.txt, _xlfn.SEQUENCE(LEN(_xlpm.txt)), 1),
    _xlfn.TEXTJOIN("", TRUE, IF(ISNUMBER(--_xlpm.chars), _xlpm.chars, ""))
)</f>
        <v>#VALUE!</v>
      </c>
      <c r="N150" s="16" t="str" cm="1">
        <f t="array" ref="N150">_xlfn.IFS(
   --MacReports!M150&lt;55,"Battery Defect",
  -- MacReports!M150&lt;=69,"Battery D",
  --MacReports!M150&lt;=80,"Battery C",
 --MacReports!M150&gt;80,""
)</f>
        <v>Battery Defect</v>
      </c>
      <c r="O150" s="16" t="str">
        <f>IF(MacReports!I150="Service","Battery Service","")</f>
        <v/>
      </c>
      <c r="P150" s="13">
        <f>MacReports!P150</f>
        <v>0</v>
      </c>
      <c r="Q150" s="13" t="str">
        <f>IF(MacReports!J150="Enabled","Apple ID Lock","")</f>
        <v/>
      </c>
      <c r="R150" s="13" t="str">
        <f>IF(MacReports!L150="y","Remote Locked","")</f>
        <v/>
      </c>
      <c r="S150" t="str">
        <f t="shared" si="5"/>
        <v>Battery Defect, 0</v>
      </c>
      <c r="T150" t="str">
        <f>_xlfn.XLOOKUP(B150,Disk_Pivot!G:G,Disk_Pivot!I:I)</f>
        <v>Yes x2</v>
      </c>
      <c r="U150" t="str">
        <f>_xlfn.XLOOKUP(B150,Disk_Pivot!G:G,Disk_Pivot!N:N)</f>
        <v>Pass, Fail</v>
      </c>
      <c r="V150" t="str">
        <f>IF(U150="Fail",MacReports!N150,"")</f>
        <v/>
      </c>
      <c r="AB150" t="str">
        <f t="shared" si="6"/>
        <v/>
      </c>
    </row>
    <row r="151" spans="1:28">
      <c r="A151" t="str">
        <f>MacReports!A151</f>
        <v/>
      </c>
      <c r="B151">
        <f>MacReports!B151</f>
        <v>0</v>
      </c>
      <c r="C151">
        <f>MacReports!C151</f>
        <v>0</v>
      </c>
      <c r="E151" t="e">
        <f>_xlfn.XLOOKUP(G151,Models!A:A,Models!F:F)</f>
        <v>#N/A</v>
      </c>
      <c r="F151" t="str">
        <f>_xlfn.XLOOKUP(B151,MacReports!B:B,MacReports!D:D,"")</f>
        <v/>
      </c>
      <c r="G151" s="13">
        <f>MacReports!E151</f>
        <v>0</v>
      </c>
      <c r="H151" t="e">
        <f>_xlfn.XLOOKUP(G151,Models!A:A,Models!B:B)</f>
        <v>#N/A</v>
      </c>
      <c r="I151" t="e">
        <f>_xlfn.XLOOKUP(G151,Models!A:A,Models!E:E)</f>
        <v>#N/A</v>
      </c>
      <c r="J151" t="e">
        <f>_xlfn.XLOOKUP(G151,Models!A:A,Models!D:D)</f>
        <v>#N/A</v>
      </c>
      <c r="K151">
        <f>MacReports!F151</f>
        <v>0</v>
      </c>
      <c r="L151">
        <f>MacReports!G151</f>
        <v>0</v>
      </c>
      <c r="M151" s="15" t="e" cm="1">
        <f t="array" ref="M151">--_xlfn.LET(
    _xlpm.txt, MacReports!H151,
    _xlpm.chars, MID(_xlpm.txt, _xlfn.SEQUENCE(LEN(_xlpm.txt)), 1),
    _xlfn.TEXTJOIN("", TRUE, IF(ISNUMBER(--_xlpm.chars), _xlpm.chars, ""))
)</f>
        <v>#VALUE!</v>
      </c>
      <c r="N151" s="16" t="str" cm="1">
        <f t="array" ref="N151">_xlfn.IFS(
   --MacReports!M151&lt;55,"Battery Defect",
  -- MacReports!M151&lt;=69,"Battery D",
  --MacReports!M151&lt;=80,"Battery C",
 --MacReports!M151&gt;80,""
)</f>
        <v>Battery Defect</v>
      </c>
      <c r="O151" s="16" t="str">
        <f>IF(MacReports!I151="Service","Battery Service","")</f>
        <v/>
      </c>
      <c r="P151" s="13">
        <f>MacReports!P151</f>
        <v>0</v>
      </c>
      <c r="Q151" s="13" t="str">
        <f>IF(MacReports!J151="Enabled","Apple ID Lock","")</f>
        <v/>
      </c>
      <c r="R151" s="13" t="str">
        <f>IF(MacReports!L151="y","Remote Locked","")</f>
        <v/>
      </c>
      <c r="S151" t="str">
        <f t="shared" si="5"/>
        <v>Battery Defect, 0</v>
      </c>
      <c r="T151" t="str">
        <f>_xlfn.XLOOKUP(B151,Disk_Pivot!G:G,Disk_Pivot!I:I)</f>
        <v>Yes x2</v>
      </c>
      <c r="U151" t="str">
        <f>_xlfn.XLOOKUP(B151,Disk_Pivot!G:G,Disk_Pivot!N:N)</f>
        <v>Pass, Fail</v>
      </c>
      <c r="V151" t="str">
        <f>IF(U151="Fail",MacReports!N151,"")</f>
        <v/>
      </c>
      <c r="AB151" t="str">
        <f t="shared" si="6"/>
        <v/>
      </c>
    </row>
    <row r="152" spans="1:28">
      <c r="A152" t="str">
        <f>MacReports!A152</f>
        <v/>
      </c>
      <c r="B152">
        <f>MacReports!B152</f>
        <v>0</v>
      </c>
      <c r="C152">
        <f>MacReports!C152</f>
        <v>0</v>
      </c>
      <c r="E152" t="e">
        <f>_xlfn.XLOOKUP(G152,Models!A:A,Models!F:F)</f>
        <v>#N/A</v>
      </c>
      <c r="F152" t="str">
        <f>_xlfn.XLOOKUP(B152,MacReports!B:B,MacReports!D:D,"")</f>
        <v/>
      </c>
      <c r="G152" s="13">
        <f>MacReports!E152</f>
        <v>0</v>
      </c>
      <c r="H152" t="e">
        <f>_xlfn.XLOOKUP(G152,Models!A:A,Models!B:B)</f>
        <v>#N/A</v>
      </c>
      <c r="I152" t="e">
        <f>_xlfn.XLOOKUP(G152,Models!A:A,Models!E:E)</f>
        <v>#N/A</v>
      </c>
      <c r="J152" t="e">
        <f>_xlfn.XLOOKUP(G152,Models!A:A,Models!D:D)</f>
        <v>#N/A</v>
      </c>
      <c r="K152">
        <f>MacReports!F152</f>
        <v>0</v>
      </c>
      <c r="L152">
        <f>MacReports!G152</f>
        <v>0</v>
      </c>
      <c r="M152" s="15" t="e" cm="1">
        <f t="array" ref="M152">--_xlfn.LET(
    _xlpm.txt, MacReports!H152,
    _xlpm.chars, MID(_xlpm.txt, _xlfn.SEQUENCE(LEN(_xlpm.txt)), 1),
    _xlfn.TEXTJOIN("", TRUE, IF(ISNUMBER(--_xlpm.chars), _xlpm.chars, ""))
)</f>
        <v>#VALUE!</v>
      </c>
      <c r="N152" s="16" t="str" cm="1">
        <f t="array" ref="N152">_xlfn.IFS(
   --MacReports!M152&lt;55,"Battery Defect",
  -- MacReports!M152&lt;=69,"Battery D",
  --MacReports!M152&lt;=80,"Battery C",
 --MacReports!M152&gt;80,""
)</f>
        <v>Battery Defect</v>
      </c>
      <c r="O152" s="16" t="str">
        <f>IF(MacReports!I152="Service","Battery Service","")</f>
        <v/>
      </c>
      <c r="P152" s="13">
        <f>MacReports!P152</f>
        <v>0</v>
      </c>
      <c r="Q152" s="13" t="str">
        <f>IF(MacReports!J152="Enabled","Apple ID Lock","")</f>
        <v/>
      </c>
      <c r="R152" s="13" t="str">
        <f>IF(MacReports!L152="y","Remote Locked","")</f>
        <v/>
      </c>
      <c r="S152" t="str">
        <f t="shared" si="5"/>
        <v>Battery Defect, 0</v>
      </c>
      <c r="T152" t="str">
        <f>_xlfn.XLOOKUP(B152,Disk_Pivot!G:G,Disk_Pivot!I:I)</f>
        <v>Yes x2</v>
      </c>
      <c r="U152" t="str">
        <f>_xlfn.XLOOKUP(B152,Disk_Pivot!G:G,Disk_Pivot!N:N)</f>
        <v>Pass, Fail</v>
      </c>
      <c r="V152" t="str">
        <f>IF(U152="Fail",MacReports!N152,"")</f>
        <v/>
      </c>
      <c r="AB152" t="str">
        <f t="shared" si="6"/>
        <v/>
      </c>
    </row>
    <row r="153" spans="1:28">
      <c r="A153" t="str">
        <f>MacReports!A153</f>
        <v/>
      </c>
      <c r="B153">
        <f>MacReports!B153</f>
        <v>0</v>
      </c>
      <c r="C153">
        <f>MacReports!C153</f>
        <v>0</v>
      </c>
      <c r="E153" t="e">
        <f>_xlfn.XLOOKUP(G153,Models!A:A,Models!F:F)</f>
        <v>#N/A</v>
      </c>
      <c r="F153" t="str">
        <f>_xlfn.XLOOKUP(B153,MacReports!B:B,MacReports!D:D,"")</f>
        <v/>
      </c>
      <c r="G153" s="13">
        <f>MacReports!E153</f>
        <v>0</v>
      </c>
      <c r="H153" t="e">
        <f>_xlfn.XLOOKUP(G153,Models!A:A,Models!B:B)</f>
        <v>#N/A</v>
      </c>
      <c r="I153" t="e">
        <f>_xlfn.XLOOKUP(G153,Models!A:A,Models!E:E)</f>
        <v>#N/A</v>
      </c>
      <c r="J153" t="e">
        <f>_xlfn.XLOOKUP(G153,Models!A:A,Models!D:D)</f>
        <v>#N/A</v>
      </c>
      <c r="K153">
        <f>MacReports!F153</f>
        <v>0</v>
      </c>
      <c r="L153">
        <f>MacReports!G153</f>
        <v>0</v>
      </c>
      <c r="M153" s="15" t="e" cm="1">
        <f t="array" ref="M153">--_xlfn.LET(
    _xlpm.txt, MacReports!H153,
    _xlpm.chars, MID(_xlpm.txt, _xlfn.SEQUENCE(LEN(_xlpm.txt)), 1),
    _xlfn.TEXTJOIN("", TRUE, IF(ISNUMBER(--_xlpm.chars), _xlpm.chars, ""))
)</f>
        <v>#VALUE!</v>
      </c>
      <c r="N153" s="16" t="str" cm="1">
        <f t="array" ref="N153">_xlfn.IFS(
   --MacReports!M153&lt;55,"Battery Defect",
  -- MacReports!M153&lt;=69,"Battery D",
  --MacReports!M153&lt;=80,"Battery C",
 --MacReports!M153&gt;80,""
)</f>
        <v>Battery Defect</v>
      </c>
      <c r="O153" s="16" t="str">
        <f>IF(MacReports!I153="Service","Battery Service","")</f>
        <v/>
      </c>
      <c r="P153" s="13">
        <f>MacReports!P153</f>
        <v>0</v>
      </c>
      <c r="Q153" s="13" t="str">
        <f>IF(MacReports!J153="Enabled","Apple ID Lock","")</f>
        <v/>
      </c>
      <c r="R153" s="13" t="str">
        <f>IF(MacReports!L153="y","Remote Locked","")</f>
        <v/>
      </c>
      <c r="S153" t="str">
        <f t="shared" si="5"/>
        <v>Battery Defect, 0</v>
      </c>
      <c r="T153" t="str">
        <f>_xlfn.XLOOKUP(B153,Disk_Pivot!G:G,Disk_Pivot!I:I)</f>
        <v>Yes x2</v>
      </c>
      <c r="U153" t="str">
        <f>_xlfn.XLOOKUP(B153,Disk_Pivot!G:G,Disk_Pivot!N:N)</f>
        <v>Pass, Fail</v>
      </c>
      <c r="V153" t="str">
        <f>IF(U153="Fail",MacReports!N153,"")</f>
        <v/>
      </c>
      <c r="AB153" t="str">
        <f t="shared" si="6"/>
        <v/>
      </c>
    </row>
    <row r="154" spans="1:28">
      <c r="A154" t="str">
        <f>MacReports!A154</f>
        <v/>
      </c>
      <c r="B154">
        <f>MacReports!B154</f>
        <v>0</v>
      </c>
      <c r="C154">
        <f>MacReports!C154</f>
        <v>0</v>
      </c>
      <c r="E154" t="e">
        <f>_xlfn.XLOOKUP(G154,Models!A:A,Models!F:F)</f>
        <v>#N/A</v>
      </c>
      <c r="F154" t="str">
        <f>_xlfn.XLOOKUP(B154,MacReports!B:B,MacReports!D:D,"")</f>
        <v/>
      </c>
      <c r="G154" s="13">
        <f>MacReports!E154</f>
        <v>0</v>
      </c>
      <c r="H154" t="e">
        <f>_xlfn.XLOOKUP(G154,Models!A:A,Models!B:B)</f>
        <v>#N/A</v>
      </c>
      <c r="I154" t="e">
        <f>_xlfn.XLOOKUP(G154,Models!A:A,Models!E:E)</f>
        <v>#N/A</v>
      </c>
      <c r="J154" t="e">
        <f>_xlfn.XLOOKUP(G154,Models!A:A,Models!D:D)</f>
        <v>#N/A</v>
      </c>
      <c r="K154">
        <f>MacReports!F154</f>
        <v>0</v>
      </c>
      <c r="L154">
        <f>MacReports!G154</f>
        <v>0</v>
      </c>
      <c r="M154" s="15" t="e" cm="1">
        <f t="array" ref="M154">--_xlfn.LET(
    _xlpm.txt, MacReports!H154,
    _xlpm.chars, MID(_xlpm.txt, _xlfn.SEQUENCE(LEN(_xlpm.txt)), 1),
    _xlfn.TEXTJOIN("", TRUE, IF(ISNUMBER(--_xlpm.chars), _xlpm.chars, ""))
)</f>
        <v>#VALUE!</v>
      </c>
      <c r="N154" s="16" t="str" cm="1">
        <f t="array" ref="N154">_xlfn.IFS(
   --MacReports!M154&lt;55,"Battery Defect",
  -- MacReports!M154&lt;=69,"Battery D",
  --MacReports!M154&lt;=80,"Battery C",
 --MacReports!M154&gt;80,""
)</f>
        <v>Battery Defect</v>
      </c>
      <c r="O154" s="16" t="str">
        <f>IF(MacReports!I154="Service","Battery Service","")</f>
        <v/>
      </c>
      <c r="P154" s="13">
        <f>MacReports!P154</f>
        <v>0</v>
      </c>
      <c r="Q154" s="13" t="str">
        <f>IF(MacReports!J154="Enabled","Apple ID Lock","")</f>
        <v/>
      </c>
      <c r="R154" s="13" t="str">
        <f>IF(MacReports!L154="y","Remote Locked","")</f>
        <v/>
      </c>
      <c r="S154" t="str">
        <f t="shared" si="5"/>
        <v>Battery Defect, 0</v>
      </c>
      <c r="T154" t="str">
        <f>_xlfn.XLOOKUP(B154,Disk_Pivot!G:G,Disk_Pivot!I:I)</f>
        <v>Yes x2</v>
      </c>
      <c r="U154" t="str">
        <f>_xlfn.XLOOKUP(B154,Disk_Pivot!G:G,Disk_Pivot!N:N)</f>
        <v>Pass, Fail</v>
      </c>
      <c r="V154" t="str">
        <f>IF(U154="Fail",MacReports!N154,"")</f>
        <v/>
      </c>
      <c r="AB154" t="str">
        <f t="shared" si="6"/>
        <v/>
      </c>
    </row>
    <row r="155" spans="1:28">
      <c r="A155" t="str">
        <f>MacReports!A155</f>
        <v/>
      </c>
      <c r="B155">
        <f>MacReports!B155</f>
        <v>0</v>
      </c>
      <c r="C155">
        <f>MacReports!C155</f>
        <v>0</v>
      </c>
      <c r="E155" t="e">
        <f>_xlfn.XLOOKUP(G155,Models!A:A,Models!F:F)</f>
        <v>#N/A</v>
      </c>
      <c r="F155" t="str">
        <f>_xlfn.XLOOKUP(B155,MacReports!B:B,MacReports!D:D,"")</f>
        <v/>
      </c>
      <c r="G155" s="13">
        <f>MacReports!E155</f>
        <v>0</v>
      </c>
      <c r="H155" t="e">
        <f>_xlfn.XLOOKUP(G155,Models!A:A,Models!B:B)</f>
        <v>#N/A</v>
      </c>
      <c r="I155" t="e">
        <f>_xlfn.XLOOKUP(G155,Models!A:A,Models!E:E)</f>
        <v>#N/A</v>
      </c>
      <c r="J155" t="e">
        <f>_xlfn.XLOOKUP(G155,Models!A:A,Models!D:D)</f>
        <v>#N/A</v>
      </c>
      <c r="K155">
        <f>MacReports!F155</f>
        <v>0</v>
      </c>
      <c r="L155">
        <f>MacReports!G155</f>
        <v>0</v>
      </c>
      <c r="M155" s="15" t="e" cm="1">
        <f t="array" ref="M155">--_xlfn.LET(
    _xlpm.txt, MacReports!H155,
    _xlpm.chars, MID(_xlpm.txt, _xlfn.SEQUENCE(LEN(_xlpm.txt)), 1),
    _xlfn.TEXTJOIN("", TRUE, IF(ISNUMBER(--_xlpm.chars), _xlpm.chars, ""))
)</f>
        <v>#VALUE!</v>
      </c>
      <c r="N155" s="16" t="str" cm="1">
        <f t="array" ref="N155">_xlfn.IFS(
   --MacReports!M155&lt;55,"Battery Defect",
  -- MacReports!M155&lt;=69,"Battery D",
  --MacReports!M155&lt;=80,"Battery C",
 --MacReports!M155&gt;80,""
)</f>
        <v>Battery Defect</v>
      </c>
      <c r="O155" s="16" t="str">
        <f>IF(MacReports!I155="Service","Battery Service","")</f>
        <v/>
      </c>
      <c r="P155" s="13">
        <f>MacReports!P155</f>
        <v>0</v>
      </c>
      <c r="Q155" s="13" t="str">
        <f>IF(MacReports!J155="Enabled","Apple ID Lock","")</f>
        <v/>
      </c>
      <c r="R155" s="13" t="str">
        <f>IF(MacReports!L155="y","Remote Locked","")</f>
        <v/>
      </c>
      <c r="S155" t="str">
        <f t="shared" si="5"/>
        <v>Battery Defect, 0</v>
      </c>
      <c r="T155" t="str">
        <f>_xlfn.XLOOKUP(B155,Disk_Pivot!G:G,Disk_Pivot!I:I)</f>
        <v>Yes x2</v>
      </c>
      <c r="U155" t="str">
        <f>_xlfn.XLOOKUP(B155,Disk_Pivot!G:G,Disk_Pivot!N:N)</f>
        <v>Pass, Fail</v>
      </c>
      <c r="V155" t="str">
        <f>IF(U155="Fail",MacReports!N155,"")</f>
        <v/>
      </c>
      <c r="AB155" t="str">
        <f t="shared" si="6"/>
        <v/>
      </c>
    </row>
    <row r="156" spans="1:28">
      <c r="A156" t="str">
        <f>MacReports!A156</f>
        <v/>
      </c>
      <c r="B156">
        <f>MacReports!B156</f>
        <v>0</v>
      </c>
      <c r="C156">
        <f>MacReports!C156</f>
        <v>0</v>
      </c>
      <c r="E156" t="e">
        <f>_xlfn.XLOOKUP(G156,Models!A:A,Models!F:F)</f>
        <v>#N/A</v>
      </c>
      <c r="F156" t="str">
        <f>_xlfn.XLOOKUP(B156,MacReports!B:B,MacReports!D:D,"")</f>
        <v/>
      </c>
      <c r="G156" s="13">
        <f>MacReports!E156</f>
        <v>0</v>
      </c>
      <c r="H156" t="e">
        <f>_xlfn.XLOOKUP(G156,Models!A:A,Models!B:B)</f>
        <v>#N/A</v>
      </c>
      <c r="I156" t="e">
        <f>_xlfn.XLOOKUP(G156,Models!A:A,Models!E:E)</f>
        <v>#N/A</v>
      </c>
      <c r="J156" t="e">
        <f>_xlfn.XLOOKUP(G156,Models!A:A,Models!D:D)</f>
        <v>#N/A</v>
      </c>
      <c r="K156">
        <f>MacReports!F156</f>
        <v>0</v>
      </c>
      <c r="L156">
        <f>MacReports!G156</f>
        <v>0</v>
      </c>
      <c r="M156" s="15" t="e" cm="1">
        <f t="array" ref="M156">--_xlfn.LET(
    _xlpm.txt, MacReports!H156,
    _xlpm.chars, MID(_xlpm.txt, _xlfn.SEQUENCE(LEN(_xlpm.txt)), 1),
    _xlfn.TEXTJOIN("", TRUE, IF(ISNUMBER(--_xlpm.chars), _xlpm.chars, ""))
)</f>
        <v>#VALUE!</v>
      </c>
      <c r="N156" s="16" t="str" cm="1">
        <f t="array" ref="N156">_xlfn.IFS(
   --MacReports!M156&lt;55,"Battery Defect",
  -- MacReports!M156&lt;=69,"Battery D",
  --MacReports!M156&lt;=80,"Battery C",
 --MacReports!M156&gt;80,""
)</f>
        <v>Battery Defect</v>
      </c>
      <c r="O156" s="16" t="str">
        <f>IF(MacReports!I156="Service","Battery Service","")</f>
        <v/>
      </c>
      <c r="P156" s="13">
        <f>MacReports!P156</f>
        <v>0</v>
      </c>
      <c r="Q156" s="13" t="str">
        <f>IF(MacReports!J156="Enabled","Apple ID Lock","")</f>
        <v/>
      </c>
      <c r="R156" s="13" t="str">
        <f>IF(MacReports!L156="y","Remote Locked","")</f>
        <v/>
      </c>
      <c r="S156" t="str">
        <f t="shared" si="5"/>
        <v>Battery Defect, 0</v>
      </c>
      <c r="T156" t="str">
        <f>_xlfn.XLOOKUP(B156,Disk_Pivot!G:G,Disk_Pivot!I:I)</f>
        <v>Yes x2</v>
      </c>
      <c r="U156" t="str">
        <f>_xlfn.XLOOKUP(B156,Disk_Pivot!G:G,Disk_Pivot!N:N)</f>
        <v>Pass, Fail</v>
      </c>
      <c r="V156" t="str">
        <f>IF(U156="Fail",MacReports!N156,"")</f>
        <v/>
      </c>
      <c r="AB156" t="str">
        <f t="shared" si="6"/>
        <v/>
      </c>
    </row>
    <row r="157" spans="1:28">
      <c r="A157" t="str">
        <f>MacReports!A157</f>
        <v/>
      </c>
      <c r="B157">
        <f>MacReports!B157</f>
        <v>0</v>
      </c>
      <c r="C157">
        <f>MacReports!C157</f>
        <v>0</v>
      </c>
      <c r="E157" t="e">
        <f>_xlfn.XLOOKUP(G157,Models!A:A,Models!F:F)</f>
        <v>#N/A</v>
      </c>
      <c r="F157" t="str">
        <f>_xlfn.XLOOKUP(B157,MacReports!B:B,MacReports!D:D,"")</f>
        <v/>
      </c>
      <c r="G157" s="13">
        <f>MacReports!E157</f>
        <v>0</v>
      </c>
      <c r="H157" t="e">
        <f>_xlfn.XLOOKUP(G157,Models!A:A,Models!B:B)</f>
        <v>#N/A</v>
      </c>
      <c r="I157" t="e">
        <f>_xlfn.XLOOKUP(G157,Models!A:A,Models!E:E)</f>
        <v>#N/A</v>
      </c>
      <c r="J157" t="e">
        <f>_xlfn.XLOOKUP(G157,Models!A:A,Models!D:D)</f>
        <v>#N/A</v>
      </c>
      <c r="K157">
        <f>MacReports!F157</f>
        <v>0</v>
      </c>
      <c r="L157">
        <f>MacReports!G157</f>
        <v>0</v>
      </c>
      <c r="M157" s="15" t="e" cm="1">
        <f t="array" ref="M157">--_xlfn.LET(
    _xlpm.txt, MacReports!H157,
    _xlpm.chars, MID(_xlpm.txt, _xlfn.SEQUENCE(LEN(_xlpm.txt)), 1),
    _xlfn.TEXTJOIN("", TRUE, IF(ISNUMBER(--_xlpm.chars), _xlpm.chars, ""))
)</f>
        <v>#VALUE!</v>
      </c>
      <c r="N157" s="16" t="str" cm="1">
        <f t="array" ref="N157">_xlfn.IFS(
   --MacReports!M157&lt;55,"Battery Defect",
  -- MacReports!M157&lt;=69,"Battery D",
  --MacReports!M157&lt;=80,"Battery C",
 --MacReports!M157&gt;80,""
)</f>
        <v>Battery Defect</v>
      </c>
      <c r="O157" s="16" t="str">
        <f>IF(MacReports!I157="Service","Battery Service","")</f>
        <v/>
      </c>
      <c r="P157" s="13">
        <f>MacReports!P157</f>
        <v>0</v>
      </c>
      <c r="Q157" s="13" t="str">
        <f>IF(MacReports!J157="Enabled","Apple ID Lock","")</f>
        <v/>
      </c>
      <c r="R157" s="13" t="str">
        <f>IF(MacReports!L157="y","Remote Locked","")</f>
        <v/>
      </c>
      <c r="S157" t="str">
        <f t="shared" si="5"/>
        <v>Battery Defect, 0</v>
      </c>
      <c r="T157" t="str">
        <f>_xlfn.XLOOKUP(B157,Disk_Pivot!G:G,Disk_Pivot!I:I)</f>
        <v>Yes x2</v>
      </c>
      <c r="U157" t="str">
        <f>_xlfn.XLOOKUP(B157,Disk_Pivot!G:G,Disk_Pivot!N:N)</f>
        <v>Pass, Fail</v>
      </c>
      <c r="V157" t="str">
        <f>IF(U157="Fail",MacReports!N157,"")</f>
        <v/>
      </c>
      <c r="AB157" t="str">
        <f t="shared" si="6"/>
        <v/>
      </c>
    </row>
    <row r="158" spans="1:28">
      <c r="A158" t="str">
        <f>MacReports!A158</f>
        <v/>
      </c>
      <c r="B158">
        <f>MacReports!B158</f>
        <v>0</v>
      </c>
      <c r="C158">
        <f>MacReports!C158</f>
        <v>0</v>
      </c>
      <c r="E158" t="e">
        <f>_xlfn.XLOOKUP(G158,Models!A:A,Models!F:F)</f>
        <v>#N/A</v>
      </c>
      <c r="F158" t="str">
        <f>_xlfn.XLOOKUP(B158,MacReports!B:B,MacReports!D:D,"")</f>
        <v/>
      </c>
      <c r="G158" s="13">
        <f>MacReports!E158</f>
        <v>0</v>
      </c>
      <c r="H158" t="e">
        <f>_xlfn.XLOOKUP(G158,Models!A:A,Models!B:B)</f>
        <v>#N/A</v>
      </c>
      <c r="I158" t="e">
        <f>_xlfn.XLOOKUP(G158,Models!A:A,Models!E:E)</f>
        <v>#N/A</v>
      </c>
      <c r="J158" t="e">
        <f>_xlfn.XLOOKUP(G158,Models!A:A,Models!D:D)</f>
        <v>#N/A</v>
      </c>
      <c r="K158">
        <f>MacReports!F158</f>
        <v>0</v>
      </c>
      <c r="L158">
        <f>MacReports!G158</f>
        <v>0</v>
      </c>
      <c r="M158" s="15" t="e" cm="1">
        <f t="array" ref="M158">--_xlfn.LET(
    _xlpm.txt, MacReports!H158,
    _xlpm.chars, MID(_xlpm.txt, _xlfn.SEQUENCE(LEN(_xlpm.txt)), 1),
    _xlfn.TEXTJOIN("", TRUE, IF(ISNUMBER(--_xlpm.chars), _xlpm.chars, ""))
)</f>
        <v>#VALUE!</v>
      </c>
      <c r="N158" s="16" t="str" cm="1">
        <f t="array" ref="N158">_xlfn.IFS(
   --MacReports!M158&lt;55,"Battery Defect",
  -- MacReports!M158&lt;=69,"Battery D",
  --MacReports!M158&lt;=80,"Battery C",
 --MacReports!M158&gt;80,""
)</f>
        <v>Battery Defect</v>
      </c>
      <c r="O158" s="16" t="str">
        <f>IF(MacReports!I158="Service","Battery Service","")</f>
        <v/>
      </c>
      <c r="P158" s="13">
        <f>MacReports!P158</f>
        <v>0</v>
      </c>
      <c r="Q158" s="13" t="str">
        <f>IF(MacReports!J158="Enabled","Apple ID Lock","")</f>
        <v/>
      </c>
      <c r="R158" s="13" t="str">
        <f>IF(MacReports!L158="y","Remote Locked","")</f>
        <v/>
      </c>
      <c r="S158" t="str">
        <f t="shared" si="5"/>
        <v>Battery Defect, 0</v>
      </c>
      <c r="T158" t="str">
        <f>_xlfn.XLOOKUP(B158,Disk_Pivot!G:G,Disk_Pivot!I:I)</f>
        <v>Yes x2</v>
      </c>
      <c r="U158" t="str">
        <f>_xlfn.XLOOKUP(B158,Disk_Pivot!G:G,Disk_Pivot!N:N)</f>
        <v>Pass, Fail</v>
      </c>
      <c r="V158" t="str">
        <f>IF(U158="Fail",MacReports!N158,"")</f>
        <v/>
      </c>
      <c r="AB158" t="str">
        <f t="shared" si="6"/>
        <v/>
      </c>
    </row>
    <row r="159" spans="1:28">
      <c r="A159" t="str">
        <f>MacReports!A159</f>
        <v/>
      </c>
      <c r="B159">
        <f>MacReports!B159</f>
        <v>0</v>
      </c>
      <c r="C159">
        <f>MacReports!C159</f>
        <v>0</v>
      </c>
      <c r="E159" t="e">
        <f>_xlfn.XLOOKUP(G159,Models!A:A,Models!F:F)</f>
        <v>#N/A</v>
      </c>
      <c r="F159" t="str">
        <f>_xlfn.XLOOKUP(B159,MacReports!B:B,MacReports!D:D,"")</f>
        <v/>
      </c>
      <c r="G159" s="13">
        <f>MacReports!E159</f>
        <v>0</v>
      </c>
      <c r="H159" t="e">
        <f>_xlfn.XLOOKUP(G159,Models!A:A,Models!B:B)</f>
        <v>#N/A</v>
      </c>
      <c r="I159" t="e">
        <f>_xlfn.XLOOKUP(G159,Models!A:A,Models!E:E)</f>
        <v>#N/A</v>
      </c>
      <c r="J159" t="e">
        <f>_xlfn.XLOOKUP(G159,Models!A:A,Models!D:D)</f>
        <v>#N/A</v>
      </c>
      <c r="K159">
        <f>MacReports!F159</f>
        <v>0</v>
      </c>
      <c r="L159">
        <f>MacReports!G159</f>
        <v>0</v>
      </c>
      <c r="M159" s="15" t="e" cm="1">
        <f t="array" ref="M159">--_xlfn.LET(
    _xlpm.txt, MacReports!H159,
    _xlpm.chars, MID(_xlpm.txt, _xlfn.SEQUENCE(LEN(_xlpm.txt)), 1),
    _xlfn.TEXTJOIN("", TRUE, IF(ISNUMBER(--_xlpm.chars), _xlpm.chars, ""))
)</f>
        <v>#VALUE!</v>
      </c>
      <c r="N159" s="16" t="str" cm="1">
        <f t="array" ref="N159">_xlfn.IFS(
   --MacReports!M159&lt;55,"Battery Defect",
  -- MacReports!M159&lt;=69,"Battery D",
  --MacReports!M159&lt;=80,"Battery C",
 --MacReports!M159&gt;80,""
)</f>
        <v>Battery Defect</v>
      </c>
      <c r="O159" s="16" t="str">
        <f>IF(MacReports!I159="Service","Battery Service","")</f>
        <v/>
      </c>
      <c r="P159" s="13">
        <f>MacReports!P159</f>
        <v>0</v>
      </c>
      <c r="Q159" s="13" t="str">
        <f>IF(MacReports!J159="Enabled","Apple ID Lock","")</f>
        <v/>
      </c>
      <c r="R159" s="13" t="str">
        <f>IF(MacReports!L159="y","Remote Locked","")</f>
        <v/>
      </c>
      <c r="S159" t="str">
        <f t="shared" si="5"/>
        <v>Battery Defect, 0</v>
      </c>
      <c r="T159" t="str">
        <f>_xlfn.XLOOKUP(B159,Disk_Pivot!G:G,Disk_Pivot!I:I)</f>
        <v>Yes x2</v>
      </c>
      <c r="U159" t="str">
        <f>_xlfn.XLOOKUP(B159,Disk_Pivot!G:G,Disk_Pivot!N:N)</f>
        <v>Pass, Fail</v>
      </c>
      <c r="V159" t="str">
        <f>IF(U159="Fail",MacReports!N159,"")</f>
        <v/>
      </c>
      <c r="AB159" t="str">
        <f t="shared" si="6"/>
        <v/>
      </c>
    </row>
    <row r="160" spans="1:28">
      <c r="A160" t="str">
        <f>MacReports!A160</f>
        <v/>
      </c>
      <c r="B160">
        <f>MacReports!B160</f>
        <v>0</v>
      </c>
      <c r="C160">
        <f>MacReports!C160</f>
        <v>0</v>
      </c>
      <c r="E160" t="e">
        <f>_xlfn.XLOOKUP(G160,Models!A:A,Models!F:F)</f>
        <v>#N/A</v>
      </c>
      <c r="F160" t="str">
        <f>_xlfn.XLOOKUP(B160,MacReports!B:B,MacReports!D:D,"")</f>
        <v/>
      </c>
      <c r="G160" s="13">
        <f>MacReports!E160</f>
        <v>0</v>
      </c>
      <c r="H160" t="e">
        <f>_xlfn.XLOOKUP(G160,Models!A:A,Models!B:B)</f>
        <v>#N/A</v>
      </c>
      <c r="I160" t="e">
        <f>_xlfn.XLOOKUP(G160,Models!A:A,Models!E:E)</f>
        <v>#N/A</v>
      </c>
      <c r="J160" t="e">
        <f>_xlfn.XLOOKUP(G160,Models!A:A,Models!D:D)</f>
        <v>#N/A</v>
      </c>
      <c r="K160">
        <f>MacReports!F160</f>
        <v>0</v>
      </c>
      <c r="L160">
        <f>MacReports!G160</f>
        <v>0</v>
      </c>
      <c r="M160" s="15" t="e" cm="1">
        <f t="array" ref="M160">--_xlfn.LET(
    _xlpm.txt, MacReports!H160,
    _xlpm.chars, MID(_xlpm.txt, _xlfn.SEQUENCE(LEN(_xlpm.txt)), 1),
    _xlfn.TEXTJOIN("", TRUE, IF(ISNUMBER(--_xlpm.chars), _xlpm.chars, ""))
)</f>
        <v>#VALUE!</v>
      </c>
      <c r="N160" s="16" t="str" cm="1">
        <f t="array" ref="N160">_xlfn.IFS(
   --MacReports!M160&lt;55,"Battery Defect",
  -- MacReports!M160&lt;=69,"Battery D",
  --MacReports!M160&lt;=80,"Battery C",
 --MacReports!M160&gt;80,""
)</f>
        <v>Battery Defect</v>
      </c>
      <c r="O160" s="16" t="str">
        <f>IF(MacReports!I160="Service","Battery Service","")</f>
        <v/>
      </c>
      <c r="P160" s="13">
        <f>MacReports!P160</f>
        <v>0</v>
      </c>
      <c r="Q160" s="13" t="str">
        <f>IF(MacReports!J160="Enabled","Apple ID Lock","")</f>
        <v/>
      </c>
      <c r="R160" s="13" t="str">
        <f>IF(MacReports!L160="y","Remote Locked","")</f>
        <v/>
      </c>
      <c r="S160" t="str">
        <f t="shared" si="5"/>
        <v>Battery Defect, 0</v>
      </c>
      <c r="T160" t="str">
        <f>_xlfn.XLOOKUP(B160,Disk_Pivot!G:G,Disk_Pivot!I:I)</f>
        <v>Yes x2</v>
      </c>
      <c r="U160" t="str">
        <f>_xlfn.XLOOKUP(B160,Disk_Pivot!G:G,Disk_Pivot!N:N)</f>
        <v>Pass, Fail</v>
      </c>
      <c r="V160" t="str">
        <f>IF(U160="Fail",MacReports!N160,"")</f>
        <v/>
      </c>
      <c r="AB160" t="str">
        <f t="shared" si="6"/>
        <v/>
      </c>
    </row>
    <row r="161" spans="1:28">
      <c r="A161" t="str">
        <f>MacReports!A161</f>
        <v/>
      </c>
      <c r="B161">
        <f>MacReports!B161</f>
        <v>0</v>
      </c>
      <c r="C161">
        <f>MacReports!C161</f>
        <v>0</v>
      </c>
      <c r="E161" t="e">
        <f>_xlfn.XLOOKUP(G161,Models!A:A,Models!F:F)</f>
        <v>#N/A</v>
      </c>
      <c r="F161" t="str">
        <f>_xlfn.XLOOKUP(B161,MacReports!B:B,MacReports!D:D,"")</f>
        <v/>
      </c>
      <c r="G161" s="13">
        <f>MacReports!E161</f>
        <v>0</v>
      </c>
      <c r="H161" t="e">
        <f>_xlfn.XLOOKUP(G161,Models!A:A,Models!B:B)</f>
        <v>#N/A</v>
      </c>
      <c r="I161" t="e">
        <f>_xlfn.XLOOKUP(G161,Models!A:A,Models!E:E)</f>
        <v>#N/A</v>
      </c>
      <c r="J161" t="e">
        <f>_xlfn.XLOOKUP(G161,Models!A:A,Models!D:D)</f>
        <v>#N/A</v>
      </c>
      <c r="K161">
        <f>MacReports!F161</f>
        <v>0</v>
      </c>
      <c r="L161">
        <f>MacReports!G161</f>
        <v>0</v>
      </c>
      <c r="M161" s="15" t="e" cm="1">
        <f t="array" ref="M161">--_xlfn.LET(
    _xlpm.txt, MacReports!H161,
    _xlpm.chars, MID(_xlpm.txt, _xlfn.SEQUENCE(LEN(_xlpm.txt)), 1),
    _xlfn.TEXTJOIN("", TRUE, IF(ISNUMBER(--_xlpm.chars), _xlpm.chars, ""))
)</f>
        <v>#VALUE!</v>
      </c>
      <c r="N161" s="16" t="str" cm="1">
        <f t="array" ref="N161">_xlfn.IFS(
   --MacReports!M161&lt;55,"Battery Defect",
  -- MacReports!M161&lt;=69,"Battery D",
  --MacReports!M161&lt;=80,"Battery C",
 --MacReports!M161&gt;80,""
)</f>
        <v>Battery Defect</v>
      </c>
      <c r="O161" s="16" t="str">
        <f>IF(MacReports!I161="Service","Battery Service","")</f>
        <v/>
      </c>
      <c r="P161" s="13">
        <f>MacReports!P161</f>
        <v>0</v>
      </c>
      <c r="Q161" s="13" t="str">
        <f>IF(MacReports!J161="Enabled","Apple ID Lock","")</f>
        <v/>
      </c>
      <c r="R161" s="13" t="str">
        <f>IF(MacReports!L161="y","Remote Locked","")</f>
        <v/>
      </c>
      <c r="S161" t="str">
        <f t="shared" si="5"/>
        <v>Battery Defect, 0</v>
      </c>
      <c r="T161" t="str">
        <f>_xlfn.XLOOKUP(B161,Disk_Pivot!G:G,Disk_Pivot!I:I)</f>
        <v>Yes x2</v>
      </c>
      <c r="U161" t="str">
        <f>_xlfn.XLOOKUP(B161,Disk_Pivot!G:G,Disk_Pivot!N:N)</f>
        <v>Pass, Fail</v>
      </c>
      <c r="V161" t="str">
        <f>IF(U161="Fail",MacReports!N161,"")</f>
        <v/>
      </c>
      <c r="AB161" t="str">
        <f t="shared" si="6"/>
        <v/>
      </c>
    </row>
    <row r="162" spans="1:28">
      <c r="A162" t="str">
        <f>MacReports!A162</f>
        <v/>
      </c>
      <c r="B162">
        <f>MacReports!B162</f>
        <v>0</v>
      </c>
      <c r="C162">
        <f>MacReports!C162</f>
        <v>0</v>
      </c>
      <c r="E162" t="e">
        <f>_xlfn.XLOOKUP(G162,Models!A:A,Models!F:F)</f>
        <v>#N/A</v>
      </c>
      <c r="F162" t="str">
        <f>_xlfn.XLOOKUP(B162,MacReports!B:B,MacReports!D:D,"")</f>
        <v/>
      </c>
      <c r="G162" s="13">
        <f>MacReports!E162</f>
        <v>0</v>
      </c>
      <c r="H162" t="e">
        <f>_xlfn.XLOOKUP(G162,Models!A:A,Models!B:B)</f>
        <v>#N/A</v>
      </c>
      <c r="I162" t="e">
        <f>_xlfn.XLOOKUP(G162,Models!A:A,Models!E:E)</f>
        <v>#N/A</v>
      </c>
      <c r="J162" t="e">
        <f>_xlfn.XLOOKUP(G162,Models!A:A,Models!D:D)</f>
        <v>#N/A</v>
      </c>
      <c r="K162">
        <f>MacReports!F162</f>
        <v>0</v>
      </c>
      <c r="L162">
        <f>MacReports!G162</f>
        <v>0</v>
      </c>
      <c r="M162" s="15" t="e" cm="1">
        <f t="array" ref="M162">--_xlfn.LET(
    _xlpm.txt, MacReports!H162,
    _xlpm.chars, MID(_xlpm.txt, _xlfn.SEQUENCE(LEN(_xlpm.txt)), 1),
    _xlfn.TEXTJOIN("", TRUE, IF(ISNUMBER(--_xlpm.chars), _xlpm.chars, ""))
)</f>
        <v>#VALUE!</v>
      </c>
      <c r="N162" s="16" t="str" cm="1">
        <f t="array" ref="N162">_xlfn.IFS(
   --MacReports!M162&lt;55,"Battery Defect",
  -- MacReports!M162&lt;=69,"Battery D",
  --MacReports!M162&lt;=80,"Battery C",
 --MacReports!M162&gt;80,""
)</f>
        <v>Battery Defect</v>
      </c>
      <c r="O162" s="16" t="str">
        <f>IF(MacReports!I162="Service","Battery Service","")</f>
        <v/>
      </c>
      <c r="P162" s="13">
        <f>MacReports!P162</f>
        <v>0</v>
      </c>
      <c r="Q162" s="13" t="str">
        <f>IF(MacReports!J162="Enabled","Apple ID Lock","")</f>
        <v/>
      </c>
      <c r="R162" s="13" t="str">
        <f>IF(MacReports!L162="y","Remote Locked","")</f>
        <v/>
      </c>
      <c r="S162" t="str">
        <f t="shared" si="5"/>
        <v>Battery Defect, 0</v>
      </c>
      <c r="T162" t="str">
        <f>_xlfn.XLOOKUP(B162,Disk_Pivot!G:G,Disk_Pivot!I:I)</f>
        <v>Yes x2</v>
      </c>
      <c r="U162" t="str">
        <f>_xlfn.XLOOKUP(B162,Disk_Pivot!G:G,Disk_Pivot!N:N)</f>
        <v>Pass, Fail</v>
      </c>
      <c r="V162" t="str">
        <f>IF(U162="Fail",MacReports!N162,"")</f>
        <v/>
      </c>
      <c r="AB162" t="str">
        <f t="shared" si="6"/>
        <v/>
      </c>
    </row>
    <row r="163" spans="1:28">
      <c r="A163" t="str">
        <f>MacReports!A163</f>
        <v/>
      </c>
      <c r="B163">
        <f>MacReports!B163</f>
        <v>0</v>
      </c>
      <c r="C163">
        <f>MacReports!C163</f>
        <v>0</v>
      </c>
      <c r="E163" t="e">
        <f>_xlfn.XLOOKUP(G163,Models!A:A,Models!F:F)</f>
        <v>#N/A</v>
      </c>
      <c r="F163" t="str">
        <f>_xlfn.XLOOKUP(B163,MacReports!B:B,MacReports!D:D,"")</f>
        <v/>
      </c>
      <c r="G163" s="13">
        <f>MacReports!E163</f>
        <v>0</v>
      </c>
      <c r="H163" t="e">
        <f>_xlfn.XLOOKUP(G163,Models!A:A,Models!B:B)</f>
        <v>#N/A</v>
      </c>
      <c r="I163" t="e">
        <f>_xlfn.XLOOKUP(G163,Models!A:A,Models!E:E)</f>
        <v>#N/A</v>
      </c>
      <c r="J163" t="e">
        <f>_xlfn.XLOOKUP(G163,Models!A:A,Models!D:D)</f>
        <v>#N/A</v>
      </c>
      <c r="K163">
        <f>MacReports!F163</f>
        <v>0</v>
      </c>
      <c r="L163">
        <f>MacReports!G163</f>
        <v>0</v>
      </c>
      <c r="M163" s="15" t="e" cm="1">
        <f t="array" ref="M163">--_xlfn.LET(
    _xlpm.txt, MacReports!H163,
    _xlpm.chars, MID(_xlpm.txt, _xlfn.SEQUENCE(LEN(_xlpm.txt)), 1),
    _xlfn.TEXTJOIN("", TRUE, IF(ISNUMBER(--_xlpm.chars), _xlpm.chars, ""))
)</f>
        <v>#VALUE!</v>
      </c>
      <c r="N163" s="16" t="str" cm="1">
        <f t="array" ref="N163">_xlfn.IFS(
   --MacReports!M163&lt;55,"Battery Defect",
  -- MacReports!M163&lt;=69,"Battery D",
  --MacReports!M163&lt;=80,"Battery C",
 --MacReports!M163&gt;80,""
)</f>
        <v>Battery Defect</v>
      </c>
      <c r="O163" s="16" t="str">
        <f>IF(MacReports!I163="Service","Battery Service","")</f>
        <v/>
      </c>
      <c r="P163" s="13">
        <f>MacReports!P163</f>
        <v>0</v>
      </c>
      <c r="Q163" s="13" t="str">
        <f>IF(MacReports!J163="Enabled","Apple ID Lock","")</f>
        <v/>
      </c>
      <c r="R163" s="13" t="str">
        <f>IF(MacReports!L163="y","Remote Locked","")</f>
        <v/>
      </c>
      <c r="S163" t="str">
        <f t="shared" ref="S163:S226" si="7">_xlfn.TEXTJOIN(", ",TRUE,Q163,R163,N163,O163,P163)</f>
        <v>Battery Defect, 0</v>
      </c>
      <c r="T163" t="str">
        <f>_xlfn.XLOOKUP(B163,Disk_Pivot!G:G,Disk_Pivot!I:I)</f>
        <v>Yes x2</v>
      </c>
      <c r="U163" t="str">
        <f>_xlfn.XLOOKUP(B163,Disk_Pivot!G:G,Disk_Pivot!N:N)</f>
        <v>Pass, Fail</v>
      </c>
      <c r="V163" t="str">
        <f>IF(U163="Fail",MacReports!N163,"")</f>
        <v/>
      </c>
      <c r="AB163" t="str">
        <f t="shared" ref="AB163:AB226" si="8">_xlfn.TEXTJOIN(", ",TRUE,Q163,R163)</f>
        <v/>
      </c>
    </row>
    <row r="164" spans="1:28">
      <c r="A164" t="str">
        <f>MacReports!A164</f>
        <v/>
      </c>
      <c r="B164">
        <f>MacReports!B164</f>
        <v>0</v>
      </c>
      <c r="C164">
        <f>MacReports!C164</f>
        <v>0</v>
      </c>
      <c r="E164" t="e">
        <f>_xlfn.XLOOKUP(G164,Models!A:A,Models!F:F)</f>
        <v>#N/A</v>
      </c>
      <c r="F164" t="str">
        <f>_xlfn.XLOOKUP(B164,MacReports!B:B,MacReports!D:D,"")</f>
        <v/>
      </c>
      <c r="G164" s="13">
        <f>MacReports!E164</f>
        <v>0</v>
      </c>
      <c r="H164" t="e">
        <f>_xlfn.XLOOKUP(G164,Models!A:A,Models!B:B)</f>
        <v>#N/A</v>
      </c>
      <c r="I164" t="e">
        <f>_xlfn.XLOOKUP(G164,Models!A:A,Models!E:E)</f>
        <v>#N/A</v>
      </c>
      <c r="J164" t="e">
        <f>_xlfn.XLOOKUP(G164,Models!A:A,Models!D:D)</f>
        <v>#N/A</v>
      </c>
      <c r="K164">
        <f>MacReports!F164</f>
        <v>0</v>
      </c>
      <c r="L164">
        <f>MacReports!G164</f>
        <v>0</v>
      </c>
      <c r="M164" s="15" t="e" cm="1">
        <f t="array" ref="M164">--_xlfn.LET(
    _xlpm.txt, MacReports!H164,
    _xlpm.chars, MID(_xlpm.txt, _xlfn.SEQUENCE(LEN(_xlpm.txt)), 1),
    _xlfn.TEXTJOIN("", TRUE, IF(ISNUMBER(--_xlpm.chars), _xlpm.chars, ""))
)</f>
        <v>#VALUE!</v>
      </c>
      <c r="N164" s="16" t="str" cm="1">
        <f t="array" ref="N164">_xlfn.IFS(
   --MacReports!M164&lt;55,"Battery Defect",
  -- MacReports!M164&lt;=69,"Battery D",
  --MacReports!M164&lt;=80,"Battery C",
 --MacReports!M164&gt;80,""
)</f>
        <v>Battery Defect</v>
      </c>
      <c r="O164" s="16" t="str">
        <f>IF(MacReports!I164="Service","Battery Service","")</f>
        <v/>
      </c>
      <c r="P164" s="13">
        <f>MacReports!P164</f>
        <v>0</v>
      </c>
      <c r="Q164" s="13" t="str">
        <f>IF(MacReports!J164="Enabled","Apple ID Lock","")</f>
        <v/>
      </c>
      <c r="R164" s="13" t="str">
        <f>IF(MacReports!L164="y","Remote Locked","")</f>
        <v/>
      </c>
      <c r="S164" t="str">
        <f t="shared" si="7"/>
        <v>Battery Defect, 0</v>
      </c>
      <c r="T164" t="str">
        <f>_xlfn.XLOOKUP(B164,Disk_Pivot!G:G,Disk_Pivot!I:I)</f>
        <v>Yes x2</v>
      </c>
      <c r="U164" t="str">
        <f>_xlfn.XLOOKUP(B164,Disk_Pivot!G:G,Disk_Pivot!N:N)</f>
        <v>Pass, Fail</v>
      </c>
      <c r="V164" t="str">
        <f>IF(U164="Fail",MacReports!N164,"")</f>
        <v/>
      </c>
      <c r="AB164" t="str">
        <f t="shared" si="8"/>
        <v/>
      </c>
    </row>
    <row r="165" spans="1:28">
      <c r="A165" t="str">
        <f>MacReports!A165</f>
        <v/>
      </c>
      <c r="B165">
        <f>MacReports!B165</f>
        <v>0</v>
      </c>
      <c r="C165">
        <f>MacReports!C165</f>
        <v>0</v>
      </c>
      <c r="E165" t="e">
        <f>_xlfn.XLOOKUP(G165,Models!A:A,Models!F:F)</f>
        <v>#N/A</v>
      </c>
      <c r="F165" t="str">
        <f>_xlfn.XLOOKUP(B165,MacReports!B:B,MacReports!D:D,"")</f>
        <v/>
      </c>
      <c r="G165" s="13">
        <f>MacReports!E165</f>
        <v>0</v>
      </c>
      <c r="H165" t="e">
        <f>_xlfn.XLOOKUP(G165,Models!A:A,Models!B:B)</f>
        <v>#N/A</v>
      </c>
      <c r="I165" t="e">
        <f>_xlfn.XLOOKUP(G165,Models!A:A,Models!E:E)</f>
        <v>#N/A</v>
      </c>
      <c r="J165" t="e">
        <f>_xlfn.XLOOKUP(G165,Models!A:A,Models!D:D)</f>
        <v>#N/A</v>
      </c>
      <c r="K165">
        <f>MacReports!F165</f>
        <v>0</v>
      </c>
      <c r="L165">
        <f>MacReports!G165</f>
        <v>0</v>
      </c>
      <c r="M165" s="15" t="e" cm="1">
        <f t="array" ref="M165">--_xlfn.LET(
    _xlpm.txt, MacReports!H165,
    _xlpm.chars, MID(_xlpm.txt, _xlfn.SEQUENCE(LEN(_xlpm.txt)), 1),
    _xlfn.TEXTJOIN("", TRUE, IF(ISNUMBER(--_xlpm.chars), _xlpm.chars, ""))
)</f>
        <v>#VALUE!</v>
      </c>
      <c r="N165" s="16" t="str" cm="1">
        <f t="array" ref="N165">_xlfn.IFS(
   --MacReports!M165&lt;55,"Battery Defect",
  -- MacReports!M165&lt;=69,"Battery D",
  --MacReports!M165&lt;=80,"Battery C",
 --MacReports!M165&gt;80,""
)</f>
        <v>Battery Defect</v>
      </c>
      <c r="O165" s="16" t="str">
        <f>IF(MacReports!I165="Service","Battery Service","")</f>
        <v/>
      </c>
      <c r="P165" s="13">
        <f>MacReports!P165</f>
        <v>0</v>
      </c>
      <c r="Q165" s="13" t="str">
        <f>IF(MacReports!J165="Enabled","Apple ID Lock","")</f>
        <v/>
      </c>
      <c r="R165" s="13" t="str">
        <f>IF(MacReports!L165="y","Remote Locked","")</f>
        <v/>
      </c>
      <c r="S165" t="str">
        <f t="shared" si="7"/>
        <v>Battery Defect, 0</v>
      </c>
      <c r="T165" t="str">
        <f>_xlfn.XLOOKUP(B165,Disk_Pivot!G:G,Disk_Pivot!I:I)</f>
        <v>Yes x2</v>
      </c>
      <c r="U165" t="str">
        <f>_xlfn.XLOOKUP(B165,Disk_Pivot!G:G,Disk_Pivot!N:N)</f>
        <v>Pass, Fail</v>
      </c>
      <c r="V165" t="str">
        <f>IF(U165="Fail",MacReports!N165,"")</f>
        <v/>
      </c>
      <c r="AB165" t="str">
        <f t="shared" si="8"/>
        <v/>
      </c>
    </row>
    <row r="166" spans="1:28">
      <c r="A166" t="str">
        <f>MacReports!A166</f>
        <v/>
      </c>
      <c r="B166">
        <f>MacReports!B166</f>
        <v>0</v>
      </c>
      <c r="C166">
        <f>MacReports!C166</f>
        <v>0</v>
      </c>
      <c r="E166" t="e">
        <f>_xlfn.XLOOKUP(G166,Models!A:A,Models!F:F)</f>
        <v>#N/A</v>
      </c>
      <c r="F166" t="str">
        <f>_xlfn.XLOOKUP(B166,MacReports!B:B,MacReports!D:D,"")</f>
        <v/>
      </c>
      <c r="G166" s="13">
        <f>MacReports!E166</f>
        <v>0</v>
      </c>
      <c r="H166" t="e">
        <f>_xlfn.XLOOKUP(G166,Models!A:A,Models!B:B)</f>
        <v>#N/A</v>
      </c>
      <c r="I166" t="e">
        <f>_xlfn.XLOOKUP(G166,Models!A:A,Models!E:E)</f>
        <v>#N/A</v>
      </c>
      <c r="J166" t="e">
        <f>_xlfn.XLOOKUP(G166,Models!A:A,Models!D:D)</f>
        <v>#N/A</v>
      </c>
      <c r="K166">
        <f>MacReports!F166</f>
        <v>0</v>
      </c>
      <c r="L166">
        <f>MacReports!G166</f>
        <v>0</v>
      </c>
      <c r="M166" s="15" t="e" cm="1">
        <f t="array" ref="M166">--_xlfn.LET(
    _xlpm.txt, MacReports!H166,
    _xlpm.chars, MID(_xlpm.txt, _xlfn.SEQUENCE(LEN(_xlpm.txt)), 1),
    _xlfn.TEXTJOIN("", TRUE, IF(ISNUMBER(--_xlpm.chars), _xlpm.chars, ""))
)</f>
        <v>#VALUE!</v>
      </c>
      <c r="N166" s="16" t="str" cm="1">
        <f t="array" ref="N166">_xlfn.IFS(
   --MacReports!M166&lt;55,"Battery Defect",
  -- MacReports!M166&lt;=69,"Battery D",
  --MacReports!M166&lt;=80,"Battery C",
 --MacReports!M166&gt;80,""
)</f>
        <v>Battery Defect</v>
      </c>
      <c r="O166" s="16" t="str">
        <f>IF(MacReports!I166="Service","Battery Service","")</f>
        <v/>
      </c>
      <c r="P166" s="13">
        <f>MacReports!P166</f>
        <v>0</v>
      </c>
      <c r="Q166" s="13" t="str">
        <f>IF(MacReports!J166="Enabled","Apple ID Lock","")</f>
        <v/>
      </c>
      <c r="R166" s="13" t="str">
        <f>IF(MacReports!L166="y","Remote Locked","")</f>
        <v/>
      </c>
      <c r="S166" t="str">
        <f t="shared" si="7"/>
        <v>Battery Defect, 0</v>
      </c>
      <c r="T166" t="str">
        <f>_xlfn.XLOOKUP(B166,Disk_Pivot!G:G,Disk_Pivot!I:I)</f>
        <v>Yes x2</v>
      </c>
      <c r="U166" t="str">
        <f>_xlfn.XLOOKUP(B166,Disk_Pivot!G:G,Disk_Pivot!N:N)</f>
        <v>Pass, Fail</v>
      </c>
      <c r="V166" t="str">
        <f>IF(U166="Fail",MacReports!N166,"")</f>
        <v/>
      </c>
      <c r="AB166" t="str">
        <f t="shared" si="8"/>
        <v/>
      </c>
    </row>
    <row r="167" spans="1:28">
      <c r="A167" t="str">
        <f>MacReports!A167</f>
        <v/>
      </c>
      <c r="B167">
        <f>MacReports!B167</f>
        <v>0</v>
      </c>
      <c r="C167">
        <f>MacReports!C167</f>
        <v>0</v>
      </c>
      <c r="E167" t="e">
        <f>_xlfn.XLOOKUP(G167,Models!A:A,Models!F:F)</f>
        <v>#N/A</v>
      </c>
      <c r="F167" t="str">
        <f>_xlfn.XLOOKUP(B167,MacReports!B:B,MacReports!D:D,"")</f>
        <v/>
      </c>
      <c r="G167" s="13">
        <f>MacReports!E167</f>
        <v>0</v>
      </c>
      <c r="H167" t="e">
        <f>_xlfn.XLOOKUP(G167,Models!A:A,Models!B:B)</f>
        <v>#N/A</v>
      </c>
      <c r="I167" t="e">
        <f>_xlfn.XLOOKUP(G167,Models!A:A,Models!E:E)</f>
        <v>#N/A</v>
      </c>
      <c r="J167" t="e">
        <f>_xlfn.XLOOKUP(G167,Models!A:A,Models!D:D)</f>
        <v>#N/A</v>
      </c>
      <c r="K167">
        <f>MacReports!F167</f>
        <v>0</v>
      </c>
      <c r="L167">
        <f>MacReports!G167</f>
        <v>0</v>
      </c>
      <c r="M167" s="15" t="e" cm="1">
        <f t="array" ref="M167">--_xlfn.LET(
    _xlpm.txt, MacReports!H167,
    _xlpm.chars, MID(_xlpm.txt, _xlfn.SEQUENCE(LEN(_xlpm.txt)), 1),
    _xlfn.TEXTJOIN("", TRUE, IF(ISNUMBER(--_xlpm.chars), _xlpm.chars, ""))
)</f>
        <v>#VALUE!</v>
      </c>
      <c r="N167" s="16" t="str" cm="1">
        <f t="array" ref="N167">_xlfn.IFS(
   --MacReports!M167&lt;55,"Battery Defect",
  -- MacReports!M167&lt;=69,"Battery D",
  --MacReports!M167&lt;=80,"Battery C",
 --MacReports!M167&gt;80,""
)</f>
        <v>Battery Defect</v>
      </c>
      <c r="O167" s="16" t="str">
        <f>IF(MacReports!I167="Service","Battery Service","")</f>
        <v/>
      </c>
      <c r="P167" s="13">
        <f>MacReports!P167</f>
        <v>0</v>
      </c>
      <c r="Q167" s="13" t="str">
        <f>IF(MacReports!J167="Enabled","Apple ID Lock","")</f>
        <v/>
      </c>
      <c r="R167" s="13" t="str">
        <f>IF(MacReports!L167="y","Remote Locked","")</f>
        <v/>
      </c>
      <c r="S167" t="str">
        <f t="shared" si="7"/>
        <v>Battery Defect, 0</v>
      </c>
      <c r="T167" t="str">
        <f>_xlfn.XLOOKUP(B167,Disk_Pivot!G:G,Disk_Pivot!I:I)</f>
        <v>Yes x2</v>
      </c>
      <c r="U167" t="str">
        <f>_xlfn.XLOOKUP(B167,Disk_Pivot!G:G,Disk_Pivot!N:N)</f>
        <v>Pass, Fail</v>
      </c>
      <c r="V167" t="str">
        <f>IF(U167="Fail",MacReports!N167,"")</f>
        <v/>
      </c>
      <c r="AB167" t="str">
        <f t="shared" si="8"/>
        <v/>
      </c>
    </row>
    <row r="168" spans="1:28">
      <c r="A168" t="str">
        <f>MacReports!A168</f>
        <v/>
      </c>
      <c r="B168">
        <f>MacReports!B168</f>
        <v>0</v>
      </c>
      <c r="C168">
        <f>MacReports!C168</f>
        <v>0</v>
      </c>
      <c r="E168" t="e">
        <f>_xlfn.XLOOKUP(G168,Models!A:A,Models!F:F)</f>
        <v>#N/A</v>
      </c>
      <c r="F168" t="str">
        <f>_xlfn.XLOOKUP(B168,MacReports!B:B,MacReports!D:D,"")</f>
        <v/>
      </c>
      <c r="G168" s="13">
        <f>MacReports!E168</f>
        <v>0</v>
      </c>
      <c r="H168" t="e">
        <f>_xlfn.XLOOKUP(G168,Models!A:A,Models!B:B)</f>
        <v>#N/A</v>
      </c>
      <c r="I168" t="e">
        <f>_xlfn.XLOOKUP(G168,Models!A:A,Models!E:E)</f>
        <v>#N/A</v>
      </c>
      <c r="J168" t="e">
        <f>_xlfn.XLOOKUP(G168,Models!A:A,Models!D:D)</f>
        <v>#N/A</v>
      </c>
      <c r="K168">
        <f>MacReports!F168</f>
        <v>0</v>
      </c>
      <c r="L168">
        <f>MacReports!G168</f>
        <v>0</v>
      </c>
      <c r="M168" s="15" t="e" cm="1">
        <f t="array" ref="M168">--_xlfn.LET(
    _xlpm.txt, MacReports!H168,
    _xlpm.chars, MID(_xlpm.txt, _xlfn.SEQUENCE(LEN(_xlpm.txt)), 1),
    _xlfn.TEXTJOIN("", TRUE, IF(ISNUMBER(--_xlpm.chars), _xlpm.chars, ""))
)</f>
        <v>#VALUE!</v>
      </c>
      <c r="N168" s="16" t="str" cm="1">
        <f t="array" ref="N168">_xlfn.IFS(
   --MacReports!M168&lt;55,"Battery Defect",
  -- MacReports!M168&lt;=69,"Battery D",
  --MacReports!M168&lt;=80,"Battery C",
 --MacReports!M168&gt;80,""
)</f>
        <v>Battery Defect</v>
      </c>
      <c r="O168" s="16" t="str">
        <f>IF(MacReports!I168="Service","Battery Service","")</f>
        <v/>
      </c>
      <c r="P168" s="13">
        <f>MacReports!P168</f>
        <v>0</v>
      </c>
      <c r="Q168" s="13" t="str">
        <f>IF(MacReports!J168="Enabled","Apple ID Lock","")</f>
        <v/>
      </c>
      <c r="R168" s="13" t="str">
        <f>IF(MacReports!L168="y","Remote Locked","")</f>
        <v/>
      </c>
      <c r="S168" t="str">
        <f t="shared" si="7"/>
        <v>Battery Defect, 0</v>
      </c>
      <c r="T168" t="str">
        <f>_xlfn.XLOOKUP(B168,Disk_Pivot!G:G,Disk_Pivot!I:I)</f>
        <v>Yes x2</v>
      </c>
      <c r="U168" t="str">
        <f>_xlfn.XLOOKUP(B168,Disk_Pivot!G:G,Disk_Pivot!N:N)</f>
        <v>Pass, Fail</v>
      </c>
      <c r="V168" t="str">
        <f>IF(U168="Fail",MacReports!N168,"")</f>
        <v/>
      </c>
      <c r="AB168" t="str">
        <f t="shared" si="8"/>
        <v/>
      </c>
    </row>
    <row r="169" spans="1:28">
      <c r="A169" t="str">
        <f>MacReports!A169</f>
        <v/>
      </c>
      <c r="B169">
        <f>MacReports!B169</f>
        <v>0</v>
      </c>
      <c r="C169">
        <f>MacReports!C169</f>
        <v>0</v>
      </c>
      <c r="E169" t="e">
        <f>_xlfn.XLOOKUP(G169,Models!A:A,Models!F:F)</f>
        <v>#N/A</v>
      </c>
      <c r="F169" t="str">
        <f>_xlfn.XLOOKUP(B169,MacReports!B:B,MacReports!D:D,"")</f>
        <v/>
      </c>
      <c r="G169" s="13">
        <f>MacReports!E169</f>
        <v>0</v>
      </c>
      <c r="H169" t="e">
        <f>_xlfn.XLOOKUP(G169,Models!A:A,Models!B:B)</f>
        <v>#N/A</v>
      </c>
      <c r="I169" t="e">
        <f>_xlfn.XLOOKUP(G169,Models!A:A,Models!E:E)</f>
        <v>#N/A</v>
      </c>
      <c r="J169" t="e">
        <f>_xlfn.XLOOKUP(G169,Models!A:A,Models!D:D)</f>
        <v>#N/A</v>
      </c>
      <c r="K169">
        <f>MacReports!F169</f>
        <v>0</v>
      </c>
      <c r="L169">
        <f>MacReports!G169</f>
        <v>0</v>
      </c>
      <c r="M169" s="15" t="e" cm="1">
        <f t="array" ref="M169">--_xlfn.LET(
    _xlpm.txt, MacReports!H169,
    _xlpm.chars, MID(_xlpm.txt, _xlfn.SEQUENCE(LEN(_xlpm.txt)), 1),
    _xlfn.TEXTJOIN("", TRUE, IF(ISNUMBER(--_xlpm.chars), _xlpm.chars, ""))
)</f>
        <v>#VALUE!</v>
      </c>
      <c r="N169" s="16" t="str" cm="1">
        <f t="array" ref="N169">_xlfn.IFS(
   --MacReports!M169&lt;55,"Battery Defect",
  -- MacReports!M169&lt;=69,"Battery D",
  --MacReports!M169&lt;=80,"Battery C",
 --MacReports!M169&gt;80,""
)</f>
        <v>Battery Defect</v>
      </c>
      <c r="O169" s="16" t="str">
        <f>IF(MacReports!I169="Service","Battery Service","")</f>
        <v/>
      </c>
      <c r="P169" s="13">
        <f>MacReports!P169</f>
        <v>0</v>
      </c>
      <c r="Q169" s="13" t="str">
        <f>IF(MacReports!J169="Enabled","Apple ID Lock","")</f>
        <v/>
      </c>
      <c r="R169" s="13" t="str">
        <f>IF(MacReports!L169="y","Remote Locked","")</f>
        <v/>
      </c>
      <c r="S169" t="str">
        <f t="shared" si="7"/>
        <v>Battery Defect, 0</v>
      </c>
      <c r="T169" t="str">
        <f>_xlfn.XLOOKUP(B169,Disk_Pivot!G:G,Disk_Pivot!I:I)</f>
        <v>Yes x2</v>
      </c>
      <c r="U169" t="str">
        <f>_xlfn.XLOOKUP(B169,Disk_Pivot!G:G,Disk_Pivot!N:N)</f>
        <v>Pass, Fail</v>
      </c>
      <c r="V169" t="str">
        <f>IF(U169="Fail",MacReports!N169,"")</f>
        <v/>
      </c>
      <c r="AB169" t="str">
        <f t="shared" si="8"/>
        <v/>
      </c>
    </row>
    <row r="170" spans="1:28">
      <c r="A170" t="str">
        <f>MacReports!A170</f>
        <v/>
      </c>
      <c r="B170">
        <f>MacReports!B170</f>
        <v>0</v>
      </c>
      <c r="C170">
        <f>MacReports!C170</f>
        <v>0</v>
      </c>
      <c r="E170" t="e">
        <f>_xlfn.XLOOKUP(G170,Models!A:A,Models!F:F)</f>
        <v>#N/A</v>
      </c>
      <c r="F170" t="str">
        <f>_xlfn.XLOOKUP(B170,MacReports!B:B,MacReports!D:D,"")</f>
        <v/>
      </c>
      <c r="G170" s="13">
        <f>MacReports!E170</f>
        <v>0</v>
      </c>
      <c r="H170" t="e">
        <f>_xlfn.XLOOKUP(G170,Models!A:A,Models!B:B)</f>
        <v>#N/A</v>
      </c>
      <c r="I170" t="e">
        <f>_xlfn.XLOOKUP(G170,Models!A:A,Models!E:E)</f>
        <v>#N/A</v>
      </c>
      <c r="J170" t="e">
        <f>_xlfn.XLOOKUP(G170,Models!A:A,Models!D:D)</f>
        <v>#N/A</v>
      </c>
      <c r="K170">
        <f>MacReports!F170</f>
        <v>0</v>
      </c>
      <c r="L170">
        <f>MacReports!G170</f>
        <v>0</v>
      </c>
      <c r="M170" s="15" t="e" cm="1">
        <f t="array" ref="M170">--_xlfn.LET(
    _xlpm.txt, MacReports!H170,
    _xlpm.chars, MID(_xlpm.txt, _xlfn.SEQUENCE(LEN(_xlpm.txt)), 1),
    _xlfn.TEXTJOIN("", TRUE, IF(ISNUMBER(--_xlpm.chars), _xlpm.chars, ""))
)</f>
        <v>#VALUE!</v>
      </c>
      <c r="N170" s="16" t="str" cm="1">
        <f t="array" ref="N170">_xlfn.IFS(
   --MacReports!M170&lt;55,"Battery Defect",
  -- MacReports!M170&lt;=69,"Battery D",
  --MacReports!M170&lt;=80,"Battery C",
 --MacReports!M170&gt;80,""
)</f>
        <v>Battery Defect</v>
      </c>
      <c r="O170" s="16" t="str">
        <f>IF(MacReports!I170="Service","Battery Service","")</f>
        <v/>
      </c>
      <c r="P170" s="13">
        <f>MacReports!P170</f>
        <v>0</v>
      </c>
      <c r="Q170" s="13" t="str">
        <f>IF(MacReports!J170="Enabled","Apple ID Lock","")</f>
        <v/>
      </c>
      <c r="R170" s="13" t="str">
        <f>IF(MacReports!L170="y","Remote Locked","")</f>
        <v/>
      </c>
      <c r="S170" t="str">
        <f t="shared" si="7"/>
        <v>Battery Defect, 0</v>
      </c>
      <c r="T170" t="str">
        <f>_xlfn.XLOOKUP(B170,Disk_Pivot!G:G,Disk_Pivot!I:I)</f>
        <v>Yes x2</v>
      </c>
      <c r="U170" t="str">
        <f>_xlfn.XLOOKUP(B170,Disk_Pivot!G:G,Disk_Pivot!N:N)</f>
        <v>Pass, Fail</v>
      </c>
      <c r="V170" t="str">
        <f>IF(U170="Fail",MacReports!N170,"")</f>
        <v/>
      </c>
      <c r="AB170" t="str">
        <f t="shared" si="8"/>
        <v/>
      </c>
    </row>
    <row r="171" spans="1:28">
      <c r="A171" t="str">
        <f>MacReports!A171</f>
        <v/>
      </c>
      <c r="B171">
        <f>MacReports!B171</f>
        <v>0</v>
      </c>
      <c r="C171">
        <f>MacReports!C171</f>
        <v>0</v>
      </c>
      <c r="E171" t="e">
        <f>_xlfn.XLOOKUP(G171,Models!A:A,Models!F:F)</f>
        <v>#N/A</v>
      </c>
      <c r="F171" t="str">
        <f>_xlfn.XLOOKUP(B171,MacReports!B:B,MacReports!D:D,"")</f>
        <v/>
      </c>
      <c r="G171" s="13">
        <f>MacReports!E171</f>
        <v>0</v>
      </c>
      <c r="H171" t="e">
        <f>_xlfn.XLOOKUP(G171,Models!A:A,Models!B:B)</f>
        <v>#N/A</v>
      </c>
      <c r="I171" t="e">
        <f>_xlfn.XLOOKUP(G171,Models!A:A,Models!E:E)</f>
        <v>#N/A</v>
      </c>
      <c r="J171" t="e">
        <f>_xlfn.XLOOKUP(G171,Models!A:A,Models!D:D)</f>
        <v>#N/A</v>
      </c>
      <c r="K171">
        <f>MacReports!F171</f>
        <v>0</v>
      </c>
      <c r="L171">
        <f>MacReports!G171</f>
        <v>0</v>
      </c>
      <c r="M171" s="15" t="e" cm="1">
        <f t="array" ref="M171">--_xlfn.LET(
    _xlpm.txt, MacReports!H171,
    _xlpm.chars, MID(_xlpm.txt, _xlfn.SEQUENCE(LEN(_xlpm.txt)), 1),
    _xlfn.TEXTJOIN("", TRUE, IF(ISNUMBER(--_xlpm.chars), _xlpm.chars, ""))
)</f>
        <v>#VALUE!</v>
      </c>
      <c r="N171" s="16" t="str" cm="1">
        <f t="array" ref="N171">_xlfn.IFS(
   --MacReports!M171&lt;55,"Battery Defect",
  -- MacReports!M171&lt;=69,"Battery D",
  --MacReports!M171&lt;=80,"Battery C",
 --MacReports!M171&gt;80,""
)</f>
        <v>Battery Defect</v>
      </c>
      <c r="O171" s="16" t="str">
        <f>IF(MacReports!I171="Service","Battery Service","")</f>
        <v/>
      </c>
      <c r="P171" s="13">
        <f>MacReports!P171</f>
        <v>0</v>
      </c>
      <c r="Q171" s="13" t="str">
        <f>IF(MacReports!J171="Enabled","Apple ID Lock","")</f>
        <v/>
      </c>
      <c r="R171" s="13" t="str">
        <f>IF(MacReports!L171="y","Remote Locked","")</f>
        <v/>
      </c>
      <c r="S171" t="str">
        <f t="shared" si="7"/>
        <v>Battery Defect, 0</v>
      </c>
      <c r="T171" t="str">
        <f>_xlfn.XLOOKUP(B171,Disk_Pivot!G:G,Disk_Pivot!I:I)</f>
        <v>Yes x2</v>
      </c>
      <c r="U171" t="str">
        <f>_xlfn.XLOOKUP(B171,Disk_Pivot!G:G,Disk_Pivot!N:N)</f>
        <v>Pass, Fail</v>
      </c>
      <c r="V171" t="str">
        <f>IF(U171="Fail",MacReports!N171,"")</f>
        <v/>
      </c>
      <c r="AB171" t="str">
        <f t="shared" si="8"/>
        <v/>
      </c>
    </row>
    <row r="172" spans="1:28">
      <c r="A172" t="str">
        <f>MacReports!A172</f>
        <v/>
      </c>
      <c r="B172">
        <f>MacReports!B172</f>
        <v>0</v>
      </c>
      <c r="C172">
        <f>MacReports!C172</f>
        <v>0</v>
      </c>
      <c r="E172" t="e">
        <f>_xlfn.XLOOKUP(G172,Models!A:A,Models!F:F)</f>
        <v>#N/A</v>
      </c>
      <c r="F172" t="str">
        <f>_xlfn.XLOOKUP(B172,MacReports!B:B,MacReports!D:D,"")</f>
        <v/>
      </c>
      <c r="G172" s="13">
        <f>MacReports!E172</f>
        <v>0</v>
      </c>
      <c r="H172" t="e">
        <f>_xlfn.XLOOKUP(G172,Models!A:A,Models!B:B)</f>
        <v>#N/A</v>
      </c>
      <c r="I172" t="e">
        <f>_xlfn.XLOOKUP(G172,Models!A:A,Models!E:E)</f>
        <v>#N/A</v>
      </c>
      <c r="J172" t="e">
        <f>_xlfn.XLOOKUP(G172,Models!A:A,Models!D:D)</f>
        <v>#N/A</v>
      </c>
      <c r="K172">
        <f>MacReports!F172</f>
        <v>0</v>
      </c>
      <c r="L172">
        <f>MacReports!G172</f>
        <v>0</v>
      </c>
      <c r="M172" s="15" t="e" cm="1">
        <f t="array" ref="M172">--_xlfn.LET(
    _xlpm.txt, MacReports!H172,
    _xlpm.chars, MID(_xlpm.txt, _xlfn.SEQUENCE(LEN(_xlpm.txt)), 1),
    _xlfn.TEXTJOIN("", TRUE, IF(ISNUMBER(--_xlpm.chars), _xlpm.chars, ""))
)</f>
        <v>#VALUE!</v>
      </c>
      <c r="N172" s="16" t="str" cm="1">
        <f t="array" ref="N172">_xlfn.IFS(
   --MacReports!M172&lt;55,"Battery Defect",
  -- MacReports!M172&lt;=69,"Battery D",
  --MacReports!M172&lt;=80,"Battery C",
 --MacReports!M172&gt;80,""
)</f>
        <v>Battery Defect</v>
      </c>
      <c r="O172" s="16" t="str">
        <f>IF(MacReports!I172="Service","Battery Service","")</f>
        <v/>
      </c>
      <c r="P172" s="13">
        <f>MacReports!P172</f>
        <v>0</v>
      </c>
      <c r="Q172" s="13" t="str">
        <f>IF(MacReports!J172="Enabled","Apple ID Lock","")</f>
        <v/>
      </c>
      <c r="R172" s="13" t="str">
        <f>IF(MacReports!L172="y","Remote Locked","")</f>
        <v/>
      </c>
      <c r="S172" t="str">
        <f t="shared" si="7"/>
        <v>Battery Defect, 0</v>
      </c>
      <c r="T172" t="str">
        <f>_xlfn.XLOOKUP(B172,Disk_Pivot!G:G,Disk_Pivot!I:I)</f>
        <v>Yes x2</v>
      </c>
      <c r="U172" t="str">
        <f>_xlfn.XLOOKUP(B172,Disk_Pivot!G:G,Disk_Pivot!N:N)</f>
        <v>Pass, Fail</v>
      </c>
      <c r="V172" t="str">
        <f>IF(U172="Fail",MacReports!N172,"")</f>
        <v/>
      </c>
      <c r="AB172" t="str">
        <f t="shared" si="8"/>
        <v/>
      </c>
    </row>
    <row r="173" spans="1:28">
      <c r="A173" t="str">
        <f>MacReports!A173</f>
        <v/>
      </c>
      <c r="B173">
        <f>MacReports!B173</f>
        <v>0</v>
      </c>
      <c r="C173">
        <f>MacReports!C173</f>
        <v>0</v>
      </c>
      <c r="E173" t="e">
        <f>_xlfn.XLOOKUP(G173,Models!A:A,Models!F:F)</f>
        <v>#N/A</v>
      </c>
      <c r="F173" t="str">
        <f>_xlfn.XLOOKUP(B173,MacReports!B:B,MacReports!D:D,"")</f>
        <v/>
      </c>
      <c r="G173" s="13">
        <f>MacReports!E173</f>
        <v>0</v>
      </c>
      <c r="H173" t="e">
        <f>_xlfn.XLOOKUP(G173,Models!A:A,Models!B:B)</f>
        <v>#N/A</v>
      </c>
      <c r="I173" t="e">
        <f>_xlfn.XLOOKUP(G173,Models!A:A,Models!E:E)</f>
        <v>#N/A</v>
      </c>
      <c r="J173" t="e">
        <f>_xlfn.XLOOKUP(G173,Models!A:A,Models!D:D)</f>
        <v>#N/A</v>
      </c>
      <c r="K173">
        <f>MacReports!F173</f>
        <v>0</v>
      </c>
      <c r="L173">
        <f>MacReports!G173</f>
        <v>0</v>
      </c>
      <c r="M173" s="15" t="e" cm="1">
        <f t="array" ref="M173">--_xlfn.LET(
    _xlpm.txt, MacReports!H173,
    _xlpm.chars, MID(_xlpm.txt, _xlfn.SEQUENCE(LEN(_xlpm.txt)), 1),
    _xlfn.TEXTJOIN("", TRUE, IF(ISNUMBER(--_xlpm.chars), _xlpm.chars, ""))
)</f>
        <v>#VALUE!</v>
      </c>
      <c r="N173" s="16" t="str" cm="1">
        <f t="array" ref="N173">_xlfn.IFS(
   --MacReports!M173&lt;55,"Battery Defect",
  -- MacReports!M173&lt;=69,"Battery D",
  --MacReports!M173&lt;=80,"Battery C",
 --MacReports!M173&gt;80,""
)</f>
        <v>Battery Defect</v>
      </c>
      <c r="O173" s="16" t="str">
        <f>IF(MacReports!I173="Service","Battery Service","")</f>
        <v/>
      </c>
      <c r="P173" s="13">
        <f>MacReports!P173</f>
        <v>0</v>
      </c>
      <c r="Q173" s="13" t="str">
        <f>IF(MacReports!J173="Enabled","Apple ID Lock","")</f>
        <v/>
      </c>
      <c r="R173" s="13" t="str">
        <f>IF(MacReports!L173="y","Remote Locked","")</f>
        <v/>
      </c>
      <c r="S173" t="str">
        <f t="shared" si="7"/>
        <v>Battery Defect, 0</v>
      </c>
      <c r="T173" t="str">
        <f>_xlfn.XLOOKUP(B173,Disk_Pivot!G:G,Disk_Pivot!I:I)</f>
        <v>Yes x2</v>
      </c>
      <c r="U173" t="str">
        <f>_xlfn.XLOOKUP(B173,Disk_Pivot!G:G,Disk_Pivot!N:N)</f>
        <v>Pass, Fail</v>
      </c>
      <c r="V173" t="str">
        <f>IF(U173="Fail",MacReports!N173,"")</f>
        <v/>
      </c>
      <c r="AB173" t="str">
        <f t="shared" si="8"/>
        <v/>
      </c>
    </row>
    <row r="174" spans="1:28">
      <c r="A174" t="str">
        <f>MacReports!A174</f>
        <v/>
      </c>
      <c r="B174">
        <f>MacReports!B174</f>
        <v>0</v>
      </c>
      <c r="C174">
        <f>MacReports!C174</f>
        <v>0</v>
      </c>
      <c r="E174" t="e">
        <f>_xlfn.XLOOKUP(G174,Models!A:A,Models!F:F)</f>
        <v>#N/A</v>
      </c>
      <c r="F174" t="str">
        <f>_xlfn.XLOOKUP(B174,MacReports!B:B,MacReports!D:D,"")</f>
        <v/>
      </c>
      <c r="G174" s="13">
        <f>MacReports!E174</f>
        <v>0</v>
      </c>
      <c r="H174" t="e">
        <f>_xlfn.XLOOKUP(G174,Models!A:A,Models!B:B)</f>
        <v>#N/A</v>
      </c>
      <c r="I174" t="e">
        <f>_xlfn.XLOOKUP(G174,Models!A:A,Models!E:E)</f>
        <v>#N/A</v>
      </c>
      <c r="J174" t="e">
        <f>_xlfn.XLOOKUP(G174,Models!A:A,Models!D:D)</f>
        <v>#N/A</v>
      </c>
      <c r="K174">
        <f>MacReports!F174</f>
        <v>0</v>
      </c>
      <c r="L174">
        <f>MacReports!G174</f>
        <v>0</v>
      </c>
      <c r="M174" s="15" t="e" cm="1">
        <f t="array" ref="M174">--_xlfn.LET(
    _xlpm.txt, MacReports!H174,
    _xlpm.chars, MID(_xlpm.txt, _xlfn.SEQUENCE(LEN(_xlpm.txt)), 1),
    _xlfn.TEXTJOIN("", TRUE, IF(ISNUMBER(--_xlpm.chars), _xlpm.chars, ""))
)</f>
        <v>#VALUE!</v>
      </c>
      <c r="N174" s="16" t="str" cm="1">
        <f t="array" ref="N174">_xlfn.IFS(
   --MacReports!M174&lt;55,"Battery Defect",
  -- MacReports!M174&lt;=69,"Battery D",
  --MacReports!M174&lt;=80,"Battery C",
 --MacReports!M174&gt;80,""
)</f>
        <v>Battery Defect</v>
      </c>
      <c r="O174" s="16" t="str">
        <f>IF(MacReports!I174="Service","Battery Service","")</f>
        <v/>
      </c>
      <c r="P174" s="13">
        <f>MacReports!P174</f>
        <v>0</v>
      </c>
      <c r="Q174" s="13" t="str">
        <f>IF(MacReports!J174="Enabled","Apple ID Lock","")</f>
        <v/>
      </c>
      <c r="R174" s="13" t="str">
        <f>IF(MacReports!L174="y","Remote Locked","")</f>
        <v/>
      </c>
      <c r="S174" t="str">
        <f t="shared" si="7"/>
        <v>Battery Defect, 0</v>
      </c>
      <c r="T174" t="str">
        <f>_xlfn.XLOOKUP(B174,Disk_Pivot!G:G,Disk_Pivot!I:I)</f>
        <v>Yes x2</v>
      </c>
      <c r="U174" t="str">
        <f>_xlfn.XLOOKUP(B174,Disk_Pivot!G:G,Disk_Pivot!N:N)</f>
        <v>Pass, Fail</v>
      </c>
      <c r="V174" t="str">
        <f>IF(U174="Fail",MacReports!N174,"")</f>
        <v/>
      </c>
      <c r="AB174" t="str">
        <f t="shared" si="8"/>
        <v/>
      </c>
    </row>
    <row r="175" spans="1:28">
      <c r="A175" t="str">
        <f>MacReports!A175</f>
        <v/>
      </c>
      <c r="B175">
        <f>MacReports!B175</f>
        <v>0</v>
      </c>
      <c r="C175">
        <f>MacReports!C175</f>
        <v>0</v>
      </c>
      <c r="E175" t="e">
        <f>_xlfn.XLOOKUP(G175,Models!A:A,Models!F:F)</f>
        <v>#N/A</v>
      </c>
      <c r="F175" t="str">
        <f>_xlfn.XLOOKUP(B175,MacReports!B:B,MacReports!D:D,"")</f>
        <v/>
      </c>
      <c r="G175" s="13">
        <f>MacReports!E175</f>
        <v>0</v>
      </c>
      <c r="H175" t="e">
        <f>_xlfn.XLOOKUP(G175,Models!A:A,Models!B:B)</f>
        <v>#N/A</v>
      </c>
      <c r="I175" t="e">
        <f>_xlfn.XLOOKUP(G175,Models!A:A,Models!E:E)</f>
        <v>#N/A</v>
      </c>
      <c r="J175" t="e">
        <f>_xlfn.XLOOKUP(G175,Models!A:A,Models!D:D)</f>
        <v>#N/A</v>
      </c>
      <c r="K175">
        <f>MacReports!F175</f>
        <v>0</v>
      </c>
      <c r="L175">
        <f>MacReports!G175</f>
        <v>0</v>
      </c>
      <c r="M175" s="15" t="e" cm="1">
        <f t="array" ref="M175">--_xlfn.LET(
    _xlpm.txt, MacReports!H175,
    _xlpm.chars, MID(_xlpm.txt, _xlfn.SEQUENCE(LEN(_xlpm.txt)), 1),
    _xlfn.TEXTJOIN("", TRUE, IF(ISNUMBER(--_xlpm.chars), _xlpm.chars, ""))
)</f>
        <v>#VALUE!</v>
      </c>
      <c r="N175" s="16" t="str" cm="1">
        <f t="array" ref="N175">_xlfn.IFS(
   --MacReports!M175&lt;55,"Battery Defect",
  -- MacReports!M175&lt;=69,"Battery D",
  --MacReports!M175&lt;=80,"Battery C",
 --MacReports!M175&gt;80,""
)</f>
        <v>Battery Defect</v>
      </c>
      <c r="O175" s="16" t="str">
        <f>IF(MacReports!I175="Service","Battery Service","")</f>
        <v/>
      </c>
      <c r="P175" s="13">
        <f>MacReports!P175</f>
        <v>0</v>
      </c>
      <c r="Q175" s="13" t="str">
        <f>IF(MacReports!J175="Enabled","Apple ID Lock","")</f>
        <v/>
      </c>
      <c r="R175" s="13" t="str">
        <f>IF(MacReports!L175="y","Remote Locked","")</f>
        <v/>
      </c>
      <c r="S175" t="str">
        <f t="shared" si="7"/>
        <v>Battery Defect, 0</v>
      </c>
      <c r="T175" t="str">
        <f>_xlfn.XLOOKUP(B175,Disk_Pivot!G:G,Disk_Pivot!I:I)</f>
        <v>Yes x2</v>
      </c>
      <c r="U175" t="str">
        <f>_xlfn.XLOOKUP(B175,Disk_Pivot!G:G,Disk_Pivot!N:N)</f>
        <v>Pass, Fail</v>
      </c>
      <c r="V175" t="str">
        <f>IF(U175="Fail",MacReports!N175,"")</f>
        <v/>
      </c>
      <c r="AB175" t="str">
        <f t="shared" si="8"/>
        <v/>
      </c>
    </row>
    <row r="176" spans="1:28">
      <c r="A176" t="str">
        <f>MacReports!A176</f>
        <v/>
      </c>
      <c r="B176">
        <f>MacReports!B176</f>
        <v>0</v>
      </c>
      <c r="C176">
        <f>MacReports!C176</f>
        <v>0</v>
      </c>
      <c r="E176" t="e">
        <f>_xlfn.XLOOKUP(G176,Models!A:A,Models!F:F)</f>
        <v>#N/A</v>
      </c>
      <c r="F176" t="str">
        <f>_xlfn.XLOOKUP(B176,MacReports!B:B,MacReports!D:D,"")</f>
        <v/>
      </c>
      <c r="G176" s="13">
        <f>MacReports!E176</f>
        <v>0</v>
      </c>
      <c r="H176" t="e">
        <f>_xlfn.XLOOKUP(G176,Models!A:A,Models!B:B)</f>
        <v>#N/A</v>
      </c>
      <c r="I176" t="e">
        <f>_xlfn.XLOOKUP(G176,Models!A:A,Models!E:E)</f>
        <v>#N/A</v>
      </c>
      <c r="J176" t="e">
        <f>_xlfn.XLOOKUP(G176,Models!A:A,Models!D:D)</f>
        <v>#N/A</v>
      </c>
      <c r="K176">
        <f>MacReports!F176</f>
        <v>0</v>
      </c>
      <c r="L176">
        <f>MacReports!G176</f>
        <v>0</v>
      </c>
      <c r="M176" s="15" t="e" cm="1">
        <f t="array" ref="M176">--_xlfn.LET(
    _xlpm.txt, MacReports!H176,
    _xlpm.chars, MID(_xlpm.txt, _xlfn.SEQUENCE(LEN(_xlpm.txt)), 1),
    _xlfn.TEXTJOIN("", TRUE, IF(ISNUMBER(--_xlpm.chars), _xlpm.chars, ""))
)</f>
        <v>#VALUE!</v>
      </c>
      <c r="N176" s="16" t="str" cm="1">
        <f t="array" ref="N176">_xlfn.IFS(
   --MacReports!M176&lt;55,"Battery Defect",
  -- MacReports!M176&lt;=69,"Battery D",
  --MacReports!M176&lt;=80,"Battery C",
 --MacReports!M176&gt;80,""
)</f>
        <v>Battery Defect</v>
      </c>
      <c r="O176" s="16" t="str">
        <f>IF(MacReports!I176="Service","Battery Service","")</f>
        <v/>
      </c>
      <c r="P176" s="13">
        <f>MacReports!P176</f>
        <v>0</v>
      </c>
      <c r="Q176" s="13" t="str">
        <f>IF(MacReports!J176="Enabled","Apple ID Lock","")</f>
        <v/>
      </c>
      <c r="R176" s="13" t="str">
        <f>IF(MacReports!L176="y","Remote Locked","")</f>
        <v/>
      </c>
      <c r="S176" t="str">
        <f t="shared" si="7"/>
        <v>Battery Defect, 0</v>
      </c>
      <c r="T176" t="str">
        <f>_xlfn.XLOOKUP(B176,Disk_Pivot!G:G,Disk_Pivot!I:I)</f>
        <v>Yes x2</v>
      </c>
      <c r="U176" t="str">
        <f>_xlfn.XLOOKUP(B176,Disk_Pivot!G:G,Disk_Pivot!N:N)</f>
        <v>Pass, Fail</v>
      </c>
      <c r="V176" t="str">
        <f>IF(U176="Fail",MacReports!N176,"")</f>
        <v/>
      </c>
      <c r="AB176" t="str">
        <f t="shared" si="8"/>
        <v/>
      </c>
    </row>
    <row r="177" spans="1:28">
      <c r="A177" t="str">
        <f>MacReports!A177</f>
        <v/>
      </c>
      <c r="B177">
        <f>MacReports!B177</f>
        <v>0</v>
      </c>
      <c r="C177">
        <f>MacReports!C177</f>
        <v>0</v>
      </c>
      <c r="E177" t="e">
        <f>_xlfn.XLOOKUP(G177,Models!A:A,Models!F:F)</f>
        <v>#N/A</v>
      </c>
      <c r="F177" t="str">
        <f>_xlfn.XLOOKUP(B177,MacReports!B:B,MacReports!D:D,"")</f>
        <v/>
      </c>
      <c r="G177" s="13">
        <f>MacReports!E177</f>
        <v>0</v>
      </c>
      <c r="H177" t="e">
        <f>_xlfn.XLOOKUP(G177,Models!A:A,Models!B:B)</f>
        <v>#N/A</v>
      </c>
      <c r="I177" t="e">
        <f>_xlfn.XLOOKUP(G177,Models!A:A,Models!E:E)</f>
        <v>#N/A</v>
      </c>
      <c r="J177" t="e">
        <f>_xlfn.XLOOKUP(G177,Models!A:A,Models!D:D)</f>
        <v>#N/A</v>
      </c>
      <c r="K177">
        <f>MacReports!F177</f>
        <v>0</v>
      </c>
      <c r="L177">
        <f>MacReports!G177</f>
        <v>0</v>
      </c>
      <c r="M177" s="15" t="e" cm="1">
        <f t="array" ref="M177">--_xlfn.LET(
    _xlpm.txt, MacReports!H177,
    _xlpm.chars, MID(_xlpm.txt, _xlfn.SEQUENCE(LEN(_xlpm.txt)), 1),
    _xlfn.TEXTJOIN("", TRUE, IF(ISNUMBER(--_xlpm.chars), _xlpm.chars, ""))
)</f>
        <v>#VALUE!</v>
      </c>
      <c r="N177" s="16" t="str" cm="1">
        <f t="array" ref="N177">_xlfn.IFS(
   --MacReports!M177&lt;55,"Battery Defect",
  -- MacReports!M177&lt;=69,"Battery D",
  --MacReports!M177&lt;=80,"Battery C",
 --MacReports!M177&gt;80,""
)</f>
        <v>Battery Defect</v>
      </c>
      <c r="O177" s="16" t="str">
        <f>IF(MacReports!I177="Service","Battery Service","")</f>
        <v/>
      </c>
      <c r="P177" s="13">
        <f>MacReports!P177</f>
        <v>0</v>
      </c>
      <c r="Q177" s="13" t="str">
        <f>IF(MacReports!J177="Enabled","Apple ID Lock","")</f>
        <v/>
      </c>
      <c r="R177" s="13" t="str">
        <f>IF(MacReports!L177="y","Remote Locked","")</f>
        <v/>
      </c>
      <c r="S177" t="str">
        <f t="shared" si="7"/>
        <v>Battery Defect, 0</v>
      </c>
      <c r="T177" t="str">
        <f>_xlfn.XLOOKUP(B177,Disk_Pivot!G:G,Disk_Pivot!I:I)</f>
        <v>Yes x2</v>
      </c>
      <c r="U177" t="str">
        <f>_xlfn.XLOOKUP(B177,Disk_Pivot!G:G,Disk_Pivot!N:N)</f>
        <v>Pass, Fail</v>
      </c>
      <c r="V177" t="str">
        <f>IF(U177="Fail",MacReports!N177,"")</f>
        <v/>
      </c>
      <c r="AB177" t="str">
        <f t="shared" si="8"/>
        <v/>
      </c>
    </row>
    <row r="178" spans="1:28">
      <c r="A178" t="str">
        <f>MacReports!A178</f>
        <v/>
      </c>
      <c r="B178">
        <f>MacReports!B178</f>
        <v>0</v>
      </c>
      <c r="C178">
        <f>MacReports!C178</f>
        <v>0</v>
      </c>
      <c r="E178" t="e">
        <f>_xlfn.XLOOKUP(G178,Models!A:A,Models!F:F)</f>
        <v>#N/A</v>
      </c>
      <c r="F178" t="str">
        <f>_xlfn.XLOOKUP(B178,MacReports!B:B,MacReports!D:D,"")</f>
        <v/>
      </c>
      <c r="G178" s="13">
        <f>MacReports!E178</f>
        <v>0</v>
      </c>
      <c r="H178" t="e">
        <f>_xlfn.XLOOKUP(G178,Models!A:A,Models!B:B)</f>
        <v>#N/A</v>
      </c>
      <c r="I178" t="e">
        <f>_xlfn.XLOOKUP(G178,Models!A:A,Models!E:E)</f>
        <v>#N/A</v>
      </c>
      <c r="J178" t="e">
        <f>_xlfn.XLOOKUP(G178,Models!A:A,Models!D:D)</f>
        <v>#N/A</v>
      </c>
      <c r="K178">
        <f>MacReports!F178</f>
        <v>0</v>
      </c>
      <c r="L178">
        <f>MacReports!G178</f>
        <v>0</v>
      </c>
      <c r="M178" s="15" t="e" cm="1">
        <f t="array" ref="M178">--_xlfn.LET(
    _xlpm.txt, MacReports!H178,
    _xlpm.chars, MID(_xlpm.txt, _xlfn.SEQUENCE(LEN(_xlpm.txt)), 1),
    _xlfn.TEXTJOIN("", TRUE, IF(ISNUMBER(--_xlpm.chars), _xlpm.chars, ""))
)</f>
        <v>#VALUE!</v>
      </c>
      <c r="N178" s="16" t="str" cm="1">
        <f t="array" ref="N178">_xlfn.IFS(
   --MacReports!M178&lt;55,"Battery Defect",
  -- MacReports!M178&lt;=69,"Battery D",
  --MacReports!M178&lt;=80,"Battery C",
 --MacReports!M178&gt;80,""
)</f>
        <v>Battery Defect</v>
      </c>
      <c r="O178" s="16" t="str">
        <f>IF(MacReports!I178="Service","Battery Service","")</f>
        <v/>
      </c>
      <c r="P178" s="13">
        <f>MacReports!P178</f>
        <v>0</v>
      </c>
      <c r="Q178" s="13" t="str">
        <f>IF(MacReports!J178="Enabled","Apple ID Lock","")</f>
        <v/>
      </c>
      <c r="R178" s="13" t="str">
        <f>IF(MacReports!L178="y","Remote Locked","")</f>
        <v/>
      </c>
      <c r="S178" t="str">
        <f t="shared" si="7"/>
        <v>Battery Defect, 0</v>
      </c>
      <c r="T178" t="str">
        <f>_xlfn.XLOOKUP(B178,Disk_Pivot!G:G,Disk_Pivot!I:I)</f>
        <v>Yes x2</v>
      </c>
      <c r="U178" t="str">
        <f>_xlfn.XLOOKUP(B178,Disk_Pivot!G:G,Disk_Pivot!N:N)</f>
        <v>Pass, Fail</v>
      </c>
      <c r="V178" t="str">
        <f>IF(U178="Fail",MacReports!N178,"")</f>
        <v/>
      </c>
      <c r="AB178" t="str">
        <f t="shared" si="8"/>
        <v/>
      </c>
    </row>
    <row r="179" spans="1:28">
      <c r="A179" t="str">
        <f>MacReports!A179</f>
        <v/>
      </c>
      <c r="B179">
        <f>MacReports!B179</f>
        <v>0</v>
      </c>
      <c r="C179">
        <f>MacReports!C179</f>
        <v>0</v>
      </c>
      <c r="E179" t="e">
        <f>_xlfn.XLOOKUP(G179,Models!A:A,Models!F:F)</f>
        <v>#N/A</v>
      </c>
      <c r="F179" t="str">
        <f>_xlfn.XLOOKUP(B179,MacReports!B:B,MacReports!D:D,"")</f>
        <v/>
      </c>
      <c r="G179" s="13">
        <f>MacReports!E179</f>
        <v>0</v>
      </c>
      <c r="H179" t="e">
        <f>_xlfn.XLOOKUP(G179,Models!A:A,Models!B:B)</f>
        <v>#N/A</v>
      </c>
      <c r="I179" t="e">
        <f>_xlfn.XLOOKUP(G179,Models!A:A,Models!E:E)</f>
        <v>#N/A</v>
      </c>
      <c r="J179" t="e">
        <f>_xlfn.XLOOKUP(G179,Models!A:A,Models!D:D)</f>
        <v>#N/A</v>
      </c>
      <c r="K179">
        <f>MacReports!F179</f>
        <v>0</v>
      </c>
      <c r="L179">
        <f>MacReports!G179</f>
        <v>0</v>
      </c>
      <c r="M179" s="15" t="e" cm="1">
        <f t="array" ref="M179">--_xlfn.LET(
    _xlpm.txt, MacReports!H179,
    _xlpm.chars, MID(_xlpm.txt, _xlfn.SEQUENCE(LEN(_xlpm.txt)), 1),
    _xlfn.TEXTJOIN("", TRUE, IF(ISNUMBER(--_xlpm.chars), _xlpm.chars, ""))
)</f>
        <v>#VALUE!</v>
      </c>
      <c r="N179" s="16" t="str" cm="1">
        <f t="array" ref="N179">_xlfn.IFS(
   --MacReports!M179&lt;55,"Battery Defect",
  -- MacReports!M179&lt;=69,"Battery D",
  --MacReports!M179&lt;=80,"Battery C",
 --MacReports!M179&gt;80,""
)</f>
        <v>Battery Defect</v>
      </c>
      <c r="O179" s="16" t="str">
        <f>IF(MacReports!I179="Service","Battery Service","")</f>
        <v/>
      </c>
      <c r="P179" s="13">
        <f>MacReports!P179</f>
        <v>0</v>
      </c>
      <c r="Q179" s="13" t="str">
        <f>IF(MacReports!J179="Enabled","Apple ID Lock","")</f>
        <v/>
      </c>
      <c r="R179" s="13" t="str">
        <f>IF(MacReports!L179="y","Remote Locked","")</f>
        <v/>
      </c>
      <c r="S179" t="str">
        <f t="shared" si="7"/>
        <v>Battery Defect, 0</v>
      </c>
      <c r="T179" t="str">
        <f>_xlfn.XLOOKUP(B179,Disk_Pivot!G:G,Disk_Pivot!I:I)</f>
        <v>Yes x2</v>
      </c>
      <c r="U179" t="str">
        <f>_xlfn.XLOOKUP(B179,Disk_Pivot!G:G,Disk_Pivot!N:N)</f>
        <v>Pass, Fail</v>
      </c>
      <c r="V179" t="str">
        <f>IF(U179="Fail",MacReports!N179,"")</f>
        <v/>
      </c>
      <c r="AB179" t="str">
        <f t="shared" si="8"/>
        <v/>
      </c>
    </row>
    <row r="180" spans="1:28">
      <c r="A180" t="str">
        <f>MacReports!A180</f>
        <v/>
      </c>
      <c r="B180">
        <f>MacReports!B180</f>
        <v>0</v>
      </c>
      <c r="C180">
        <f>MacReports!C180</f>
        <v>0</v>
      </c>
      <c r="E180" t="e">
        <f>_xlfn.XLOOKUP(G180,Models!A:A,Models!F:F)</f>
        <v>#N/A</v>
      </c>
      <c r="F180" t="str">
        <f>_xlfn.XLOOKUP(B180,MacReports!B:B,MacReports!D:D,"")</f>
        <v/>
      </c>
      <c r="G180" s="13">
        <f>MacReports!E180</f>
        <v>0</v>
      </c>
      <c r="H180" t="e">
        <f>_xlfn.XLOOKUP(G180,Models!A:A,Models!B:B)</f>
        <v>#N/A</v>
      </c>
      <c r="I180" t="e">
        <f>_xlfn.XLOOKUP(G180,Models!A:A,Models!E:E)</f>
        <v>#N/A</v>
      </c>
      <c r="J180" t="e">
        <f>_xlfn.XLOOKUP(G180,Models!A:A,Models!D:D)</f>
        <v>#N/A</v>
      </c>
      <c r="K180">
        <f>MacReports!F180</f>
        <v>0</v>
      </c>
      <c r="L180">
        <f>MacReports!G180</f>
        <v>0</v>
      </c>
      <c r="M180" s="15" t="e" cm="1">
        <f t="array" ref="M180">--_xlfn.LET(
    _xlpm.txt, MacReports!H180,
    _xlpm.chars, MID(_xlpm.txt, _xlfn.SEQUENCE(LEN(_xlpm.txt)), 1),
    _xlfn.TEXTJOIN("", TRUE, IF(ISNUMBER(--_xlpm.chars), _xlpm.chars, ""))
)</f>
        <v>#VALUE!</v>
      </c>
      <c r="N180" s="16" t="str" cm="1">
        <f t="array" ref="N180">_xlfn.IFS(
   --MacReports!M180&lt;55,"Battery Defect",
  -- MacReports!M180&lt;=69,"Battery D",
  --MacReports!M180&lt;=80,"Battery C",
 --MacReports!M180&gt;80,""
)</f>
        <v>Battery Defect</v>
      </c>
      <c r="O180" s="16" t="str">
        <f>IF(MacReports!I180="Service","Battery Service","")</f>
        <v/>
      </c>
      <c r="P180" s="13">
        <f>MacReports!P180</f>
        <v>0</v>
      </c>
      <c r="Q180" s="13" t="str">
        <f>IF(MacReports!J180="Enabled","Apple ID Lock","")</f>
        <v/>
      </c>
      <c r="R180" s="13" t="str">
        <f>IF(MacReports!L180="y","Remote Locked","")</f>
        <v/>
      </c>
      <c r="S180" t="str">
        <f t="shared" si="7"/>
        <v>Battery Defect, 0</v>
      </c>
      <c r="T180" t="str">
        <f>_xlfn.XLOOKUP(B180,Disk_Pivot!G:G,Disk_Pivot!I:I)</f>
        <v>Yes x2</v>
      </c>
      <c r="U180" t="str">
        <f>_xlfn.XLOOKUP(B180,Disk_Pivot!G:G,Disk_Pivot!N:N)</f>
        <v>Pass, Fail</v>
      </c>
      <c r="V180" t="str">
        <f>IF(U180="Fail",MacReports!N180,"")</f>
        <v/>
      </c>
      <c r="AB180" t="str">
        <f t="shared" si="8"/>
        <v/>
      </c>
    </row>
    <row r="181" spans="1:28">
      <c r="A181" t="str">
        <f>MacReports!A181</f>
        <v/>
      </c>
      <c r="B181">
        <f>MacReports!B181</f>
        <v>0</v>
      </c>
      <c r="C181">
        <f>MacReports!C181</f>
        <v>0</v>
      </c>
      <c r="E181" t="e">
        <f>_xlfn.XLOOKUP(G181,Models!A:A,Models!F:F)</f>
        <v>#N/A</v>
      </c>
      <c r="F181" t="str">
        <f>_xlfn.XLOOKUP(B181,MacReports!B:B,MacReports!D:D,"")</f>
        <v/>
      </c>
      <c r="G181" s="13">
        <f>MacReports!E181</f>
        <v>0</v>
      </c>
      <c r="H181" t="e">
        <f>_xlfn.XLOOKUP(G181,Models!A:A,Models!B:B)</f>
        <v>#N/A</v>
      </c>
      <c r="I181" t="e">
        <f>_xlfn.XLOOKUP(G181,Models!A:A,Models!E:E)</f>
        <v>#N/A</v>
      </c>
      <c r="J181" t="e">
        <f>_xlfn.XLOOKUP(G181,Models!A:A,Models!D:D)</f>
        <v>#N/A</v>
      </c>
      <c r="K181">
        <f>MacReports!F181</f>
        <v>0</v>
      </c>
      <c r="L181">
        <f>MacReports!G181</f>
        <v>0</v>
      </c>
      <c r="M181" s="15" t="e" cm="1">
        <f t="array" ref="M181">--_xlfn.LET(
    _xlpm.txt, MacReports!H181,
    _xlpm.chars, MID(_xlpm.txt, _xlfn.SEQUENCE(LEN(_xlpm.txt)), 1),
    _xlfn.TEXTJOIN("", TRUE, IF(ISNUMBER(--_xlpm.chars), _xlpm.chars, ""))
)</f>
        <v>#VALUE!</v>
      </c>
      <c r="N181" s="16" t="str" cm="1">
        <f t="array" ref="N181">_xlfn.IFS(
   --MacReports!M181&lt;55,"Battery Defect",
  -- MacReports!M181&lt;=69,"Battery D",
  --MacReports!M181&lt;=80,"Battery C",
 --MacReports!M181&gt;80,""
)</f>
        <v>Battery Defect</v>
      </c>
      <c r="O181" s="16" t="str">
        <f>IF(MacReports!I181="Service","Battery Service","")</f>
        <v/>
      </c>
      <c r="P181" s="13">
        <f>MacReports!P181</f>
        <v>0</v>
      </c>
      <c r="Q181" s="13" t="str">
        <f>IF(MacReports!J181="Enabled","Apple ID Lock","")</f>
        <v/>
      </c>
      <c r="R181" s="13" t="str">
        <f>IF(MacReports!L181="y","Remote Locked","")</f>
        <v/>
      </c>
      <c r="S181" t="str">
        <f t="shared" si="7"/>
        <v>Battery Defect, 0</v>
      </c>
      <c r="T181" t="str">
        <f>_xlfn.XLOOKUP(B181,Disk_Pivot!G:G,Disk_Pivot!I:I)</f>
        <v>Yes x2</v>
      </c>
      <c r="U181" t="str">
        <f>_xlfn.XLOOKUP(B181,Disk_Pivot!G:G,Disk_Pivot!N:N)</f>
        <v>Pass, Fail</v>
      </c>
      <c r="V181" t="str">
        <f>IF(U181="Fail",MacReports!N181,"")</f>
        <v/>
      </c>
      <c r="AB181" t="str">
        <f t="shared" si="8"/>
        <v/>
      </c>
    </row>
    <row r="182" spans="1:28">
      <c r="A182" t="str">
        <f>MacReports!A182</f>
        <v/>
      </c>
      <c r="B182">
        <f>MacReports!B182</f>
        <v>0</v>
      </c>
      <c r="C182">
        <f>MacReports!C182</f>
        <v>0</v>
      </c>
      <c r="E182" t="e">
        <f>_xlfn.XLOOKUP(G182,Models!A:A,Models!F:F)</f>
        <v>#N/A</v>
      </c>
      <c r="F182" t="str">
        <f>_xlfn.XLOOKUP(B182,MacReports!B:B,MacReports!D:D,"")</f>
        <v/>
      </c>
      <c r="G182" s="13">
        <f>MacReports!E182</f>
        <v>0</v>
      </c>
      <c r="H182" t="e">
        <f>_xlfn.XLOOKUP(G182,Models!A:A,Models!B:B)</f>
        <v>#N/A</v>
      </c>
      <c r="I182" t="e">
        <f>_xlfn.XLOOKUP(G182,Models!A:A,Models!E:E)</f>
        <v>#N/A</v>
      </c>
      <c r="J182" t="e">
        <f>_xlfn.XLOOKUP(G182,Models!A:A,Models!D:D)</f>
        <v>#N/A</v>
      </c>
      <c r="K182">
        <f>MacReports!F182</f>
        <v>0</v>
      </c>
      <c r="L182">
        <f>MacReports!G182</f>
        <v>0</v>
      </c>
      <c r="M182" s="15" t="e" cm="1">
        <f t="array" ref="M182">--_xlfn.LET(
    _xlpm.txt, MacReports!H182,
    _xlpm.chars, MID(_xlpm.txt, _xlfn.SEQUENCE(LEN(_xlpm.txt)), 1),
    _xlfn.TEXTJOIN("", TRUE, IF(ISNUMBER(--_xlpm.chars), _xlpm.chars, ""))
)</f>
        <v>#VALUE!</v>
      </c>
      <c r="N182" s="16" t="str" cm="1">
        <f t="array" ref="N182">_xlfn.IFS(
   --MacReports!M182&lt;55,"Battery Defect",
  -- MacReports!M182&lt;=69,"Battery D",
  --MacReports!M182&lt;=80,"Battery C",
 --MacReports!M182&gt;80,""
)</f>
        <v>Battery Defect</v>
      </c>
      <c r="O182" s="16" t="str">
        <f>IF(MacReports!I182="Service","Battery Service","")</f>
        <v/>
      </c>
      <c r="P182" s="13">
        <f>MacReports!P182</f>
        <v>0</v>
      </c>
      <c r="Q182" s="13" t="str">
        <f>IF(MacReports!J182="Enabled","Apple ID Lock","")</f>
        <v/>
      </c>
      <c r="R182" s="13" t="str">
        <f>IF(MacReports!L182="y","Remote Locked","")</f>
        <v/>
      </c>
      <c r="S182" t="str">
        <f t="shared" si="7"/>
        <v>Battery Defect, 0</v>
      </c>
      <c r="T182" t="str">
        <f>_xlfn.XLOOKUP(B182,Disk_Pivot!G:G,Disk_Pivot!I:I)</f>
        <v>Yes x2</v>
      </c>
      <c r="U182" t="str">
        <f>_xlfn.XLOOKUP(B182,Disk_Pivot!G:G,Disk_Pivot!N:N)</f>
        <v>Pass, Fail</v>
      </c>
      <c r="V182" t="str">
        <f>IF(U182="Fail",MacReports!N182,"")</f>
        <v/>
      </c>
      <c r="AB182" t="str">
        <f t="shared" si="8"/>
        <v/>
      </c>
    </row>
    <row r="183" spans="1:28">
      <c r="A183" t="str">
        <f>MacReports!A183</f>
        <v/>
      </c>
      <c r="B183">
        <f>MacReports!B183</f>
        <v>0</v>
      </c>
      <c r="C183">
        <f>MacReports!C183</f>
        <v>0</v>
      </c>
      <c r="E183" t="e">
        <f>_xlfn.XLOOKUP(G183,Models!A:A,Models!F:F)</f>
        <v>#N/A</v>
      </c>
      <c r="F183" t="str">
        <f>_xlfn.XLOOKUP(B183,MacReports!B:B,MacReports!D:D,"")</f>
        <v/>
      </c>
      <c r="G183" s="13">
        <f>MacReports!E183</f>
        <v>0</v>
      </c>
      <c r="H183" t="e">
        <f>_xlfn.XLOOKUP(G183,Models!A:A,Models!B:B)</f>
        <v>#N/A</v>
      </c>
      <c r="I183" t="e">
        <f>_xlfn.XLOOKUP(G183,Models!A:A,Models!E:E)</f>
        <v>#N/A</v>
      </c>
      <c r="J183" t="e">
        <f>_xlfn.XLOOKUP(G183,Models!A:A,Models!D:D)</f>
        <v>#N/A</v>
      </c>
      <c r="K183">
        <f>MacReports!F183</f>
        <v>0</v>
      </c>
      <c r="L183">
        <f>MacReports!G183</f>
        <v>0</v>
      </c>
      <c r="M183" s="15" t="e" cm="1">
        <f t="array" ref="M183">--_xlfn.LET(
    _xlpm.txt, MacReports!H183,
    _xlpm.chars, MID(_xlpm.txt, _xlfn.SEQUENCE(LEN(_xlpm.txt)), 1),
    _xlfn.TEXTJOIN("", TRUE, IF(ISNUMBER(--_xlpm.chars), _xlpm.chars, ""))
)</f>
        <v>#VALUE!</v>
      </c>
      <c r="N183" s="16" t="str" cm="1">
        <f t="array" ref="N183">_xlfn.IFS(
   --MacReports!M183&lt;55,"Battery Defect",
  -- MacReports!M183&lt;=69,"Battery D",
  --MacReports!M183&lt;=80,"Battery C",
 --MacReports!M183&gt;80,""
)</f>
        <v>Battery Defect</v>
      </c>
      <c r="O183" s="16" t="str">
        <f>IF(MacReports!I183="Service","Battery Service","")</f>
        <v/>
      </c>
      <c r="P183" s="13">
        <f>MacReports!P183</f>
        <v>0</v>
      </c>
      <c r="Q183" s="13" t="str">
        <f>IF(MacReports!J183="Enabled","Apple ID Lock","")</f>
        <v/>
      </c>
      <c r="R183" s="13" t="str">
        <f>IF(MacReports!L183="y","Remote Locked","")</f>
        <v/>
      </c>
      <c r="S183" t="str">
        <f t="shared" si="7"/>
        <v>Battery Defect, 0</v>
      </c>
      <c r="T183" t="str">
        <f>_xlfn.XLOOKUP(B183,Disk_Pivot!G:G,Disk_Pivot!I:I)</f>
        <v>Yes x2</v>
      </c>
      <c r="U183" t="str">
        <f>_xlfn.XLOOKUP(B183,Disk_Pivot!G:G,Disk_Pivot!N:N)</f>
        <v>Pass, Fail</v>
      </c>
      <c r="V183" t="str">
        <f>IF(U183="Fail",MacReports!N183,"")</f>
        <v/>
      </c>
      <c r="AB183" t="str">
        <f t="shared" si="8"/>
        <v/>
      </c>
    </row>
    <row r="184" spans="1:28">
      <c r="A184" t="str">
        <f>MacReports!A184</f>
        <v/>
      </c>
      <c r="B184">
        <f>MacReports!B184</f>
        <v>0</v>
      </c>
      <c r="C184">
        <f>MacReports!C184</f>
        <v>0</v>
      </c>
      <c r="E184" t="e">
        <f>_xlfn.XLOOKUP(G184,Models!A:A,Models!F:F)</f>
        <v>#N/A</v>
      </c>
      <c r="F184" t="str">
        <f>_xlfn.XLOOKUP(B184,MacReports!B:B,MacReports!D:D,"")</f>
        <v/>
      </c>
      <c r="G184" s="13">
        <f>MacReports!E184</f>
        <v>0</v>
      </c>
      <c r="H184" t="e">
        <f>_xlfn.XLOOKUP(G184,Models!A:A,Models!B:B)</f>
        <v>#N/A</v>
      </c>
      <c r="I184" t="e">
        <f>_xlfn.XLOOKUP(G184,Models!A:A,Models!E:E)</f>
        <v>#N/A</v>
      </c>
      <c r="J184" t="e">
        <f>_xlfn.XLOOKUP(G184,Models!A:A,Models!D:D)</f>
        <v>#N/A</v>
      </c>
      <c r="K184">
        <f>MacReports!F184</f>
        <v>0</v>
      </c>
      <c r="L184">
        <f>MacReports!G184</f>
        <v>0</v>
      </c>
      <c r="M184" s="15" t="e" cm="1">
        <f t="array" ref="M184">--_xlfn.LET(
    _xlpm.txt, MacReports!H184,
    _xlpm.chars, MID(_xlpm.txt, _xlfn.SEQUENCE(LEN(_xlpm.txt)), 1),
    _xlfn.TEXTJOIN("", TRUE, IF(ISNUMBER(--_xlpm.chars), _xlpm.chars, ""))
)</f>
        <v>#VALUE!</v>
      </c>
      <c r="N184" s="16" t="str" cm="1">
        <f t="array" ref="N184">_xlfn.IFS(
   --MacReports!M184&lt;55,"Battery Defect",
  -- MacReports!M184&lt;=69,"Battery D",
  --MacReports!M184&lt;=80,"Battery C",
 --MacReports!M184&gt;80,""
)</f>
        <v>Battery Defect</v>
      </c>
      <c r="O184" s="16" t="str">
        <f>IF(MacReports!I184="Service","Battery Service","")</f>
        <v/>
      </c>
      <c r="P184" s="13">
        <f>MacReports!P184</f>
        <v>0</v>
      </c>
      <c r="Q184" s="13" t="str">
        <f>IF(MacReports!J184="Enabled","Apple ID Lock","")</f>
        <v/>
      </c>
      <c r="R184" s="13" t="str">
        <f>IF(MacReports!L184="y","Remote Locked","")</f>
        <v/>
      </c>
      <c r="S184" t="str">
        <f t="shared" si="7"/>
        <v>Battery Defect, 0</v>
      </c>
      <c r="T184" t="str">
        <f>_xlfn.XLOOKUP(B184,Disk_Pivot!G:G,Disk_Pivot!I:I)</f>
        <v>Yes x2</v>
      </c>
      <c r="U184" t="str">
        <f>_xlfn.XLOOKUP(B184,Disk_Pivot!G:G,Disk_Pivot!N:N)</f>
        <v>Pass, Fail</v>
      </c>
      <c r="V184" t="str">
        <f>IF(U184="Fail",MacReports!N184,"")</f>
        <v/>
      </c>
      <c r="AB184" t="str">
        <f t="shared" si="8"/>
        <v/>
      </c>
    </row>
    <row r="185" spans="1:28">
      <c r="A185" t="str">
        <f>MacReports!A185</f>
        <v/>
      </c>
      <c r="B185">
        <f>MacReports!B185</f>
        <v>0</v>
      </c>
      <c r="C185">
        <f>MacReports!C185</f>
        <v>0</v>
      </c>
      <c r="E185" t="e">
        <f>_xlfn.XLOOKUP(G185,Models!A:A,Models!F:F)</f>
        <v>#N/A</v>
      </c>
      <c r="F185" t="str">
        <f>_xlfn.XLOOKUP(B185,MacReports!B:B,MacReports!D:D,"")</f>
        <v/>
      </c>
      <c r="G185" s="13">
        <f>MacReports!E185</f>
        <v>0</v>
      </c>
      <c r="H185" t="e">
        <f>_xlfn.XLOOKUP(G185,Models!A:A,Models!B:B)</f>
        <v>#N/A</v>
      </c>
      <c r="I185" t="e">
        <f>_xlfn.XLOOKUP(G185,Models!A:A,Models!E:E)</f>
        <v>#N/A</v>
      </c>
      <c r="J185" t="e">
        <f>_xlfn.XLOOKUP(G185,Models!A:A,Models!D:D)</f>
        <v>#N/A</v>
      </c>
      <c r="K185">
        <f>MacReports!F185</f>
        <v>0</v>
      </c>
      <c r="L185">
        <f>MacReports!G185</f>
        <v>0</v>
      </c>
      <c r="M185" s="15" t="e" cm="1">
        <f t="array" ref="M185">--_xlfn.LET(
    _xlpm.txt, MacReports!H185,
    _xlpm.chars, MID(_xlpm.txt, _xlfn.SEQUENCE(LEN(_xlpm.txt)), 1),
    _xlfn.TEXTJOIN("", TRUE, IF(ISNUMBER(--_xlpm.chars), _xlpm.chars, ""))
)</f>
        <v>#VALUE!</v>
      </c>
      <c r="N185" s="16" t="str" cm="1">
        <f t="array" ref="N185">_xlfn.IFS(
   --MacReports!M185&lt;55,"Battery Defect",
  -- MacReports!M185&lt;=69,"Battery D",
  --MacReports!M185&lt;=80,"Battery C",
 --MacReports!M185&gt;80,""
)</f>
        <v>Battery Defect</v>
      </c>
      <c r="O185" s="16" t="str">
        <f>IF(MacReports!I185="Service","Battery Service","")</f>
        <v/>
      </c>
      <c r="P185" s="13">
        <f>MacReports!P185</f>
        <v>0</v>
      </c>
      <c r="Q185" s="13" t="str">
        <f>IF(MacReports!J185="Enabled","Apple ID Lock","")</f>
        <v/>
      </c>
      <c r="R185" s="13" t="str">
        <f>IF(MacReports!L185="y","Remote Locked","")</f>
        <v/>
      </c>
      <c r="S185" t="str">
        <f t="shared" si="7"/>
        <v>Battery Defect, 0</v>
      </c>
      <c r="T185" t="str">
        <f>_xlfn.XLOOKUP(B185,Disk_Pivot!G:G,Disk_Pivot!I:I)</f>
        <v>Yes x2</v>
      </c>
      <c r="U185" t="str">
        <f>_xlfn.XLOOKUP(B185,Disk_Pivot!G:G,Disk_Pivot!N:N)</f>
        <v>Pass, Fail</v>
      </c>
      <c r="V185" t="str">
        <f>IF(U185="Fail",MacReports!N185,"")</f>
        <v/>
      </c>
      <c r="AB185" t="str">
        <f t="shared" si="8"/>
        <v/>
      </c>
    </row>
    <row r="186" spans="1:28">
      <c r="A186" t="str">
        <f>MacReports!A186</f>
        <v/>
      </c>
      <c r="B186">
        <f>MacReports!B186</f>
        <v>0</v>
      </c>
      <c r="C186">
        <f>MacReports!C186</f>
        <v>0</v>
      </c>
      <c r="E186" t="e">
        <f>_xlfn.XLOOKUP(G186,Models!A:A,Models!F:F)</f>
        <v>#N/A</v>
      </c>
      <c r="F186" t="str">
        <f>_xlfn.XLOOKUP(B186,MacReports!B:B,MacReports!D:D,"")</f>
        <v/>
      </c>
      <c r="G186" s="13">
        <f>MacReports!E186</f>
        <v>0</v>
      </c>
      <c r="H186" t="e">
        <f>_xlfn.XLOOKUP(G186,Models!A:A,Models!B:B)</f>
        <v>#N/A</v>
      </c>
      <c r="I186" t="e">
        <f>_xlfn.XLOOKUP(G186,Models!A:A,Models!E:E)</f>
        <v>#N/A</v>
      </c>
      <c r="J186" t="e">
        <f>_xlfn.XLOOKUP(G186,Models!A:A,Models!D:D)</f>
        <v>#N/A</v>
      </c>
      <c r="K186">
        <f>MacReports!F186</f>
        <v>0</v>
      </c>
      <c r="L186">
        <f>MacReports!G186</f>
        <v>0</v>
      </c>
      <c r="M186" s="15" t="e" cm="1">
        <f t="array" ref="M186">--_xlfn.LET(
    _xlpm.txt, MacReports!H186,
    _xlpm.chars, MID(_xlpm.txt, _xlfn.SEQUENCE(LEN(_xlpm.txt)), 1),
    _xlfn.TEXTJOIN("", TRUE, IF(ISNUMBER(--_xlpm.chars), _xlpm.chars, ""))
)</f>
        <v>#VALUE!</v>
      </c>
      <c r="N186" s="16" t="str" cm="1">
        <f t="array" ref="N186">_xlfn.IFS(
   --MacReports!M186&lt;55,"Battery Defect",
  -- MacReports!M186&lt;=69,"Battery D",
  --MacReports!M186&lt;=80,"Battery C",
 --MacReports!M186&gt;80,""
)</f>
        <v>Battery Defect</v>
      </c>
      <c r="O186" s="16" t="str">
        <f>IF(MacReports!I186="Service","Battery Service","")</f>
        <v/>
      </c>
      <c r="P186" s="13">
        <f>MacReports!P186</f>
        <v>0</v>
      </c>
      <c r="Q186" s="13" t="str">
        <f>IF(MacReports!J186="Enabled","Apple ID Lock","")</f>
        <v/>
      </c>
      <c r="R186" s="13" t="str">
        <f>IF(MacReports!L186="y","Remote Locked","")</f>
        <v/>
      </c>
      <c r="S186" t="str">
        <f t="shared" si="7"/>
        <v>Battery Defect, 0</v>
      </c>
      <c r="T186" t="str">
        <f>_xlfn.XLOOKUP(B186,Disk_Pivot!G:G,Disk_Pivot!I:I)</f>
        <v>Yes x2</v>
      </c>
      <c r="U186" t="str">
        <f>_xlfn.XLOOKUP(B186,Disk_Pivot!G:G,Disk_Pivot!N:N)</f>
        <v>Pass, Fail</v>
      </c>
      <c r="V186" t="str">
        <f>IF(U186="Fail",MacReports!N186,"")</f>
        <v/>
      </c>
      <c r="AB186" t="str">
        <f t="shared" si="8"/>
        <v/>
      </c>
    </row>
    <row r="187" spans="1:28">
      <c r="A187" t="str">
        <f>MacReports!A187</f>
        <v/>
      </c>
      <c r="B187">
        <f>MacReports!B187</f>
        <v>0</v>
      </c>
      <c r="C187">
        <f>MacReports!C187</f>
        <v>0</v>
      </c>
      <c r="E187" t="e">
        <f>_xlfn.XLOOKUP(G187,Models!A:A,Models!F:F)</f>
        <v>#N/A</v>
      </c>
      <c r="F187" t="str">
        <f>_xlfn.XLOOKUP(B187,MacReports!B:B,MacReports!D:D,"")</f>
        <v/>
      </c>
      <c r="G187" s="13">
        <f>MacReports!E187</f>
        <v>0</v>
      </c>
      <c r="H187" t="e">
        <f>_xlfn.XLOOKUP(G187,Models!A:A,Models!B:B)</f>
        <v>#N/A</v>
      </c>
      <c r="I187" t="e">
        <f>_xlfn.XLOOKUP(G187,Models!A:A,Models!E:E)</f>
        <v>#N/A</v>
      </c>
      <c r="J187" t="e">
        <f>_xlfn.XLOOKUP(G187,Models!A:A,Models!D:D)</f>
        <v>#N/A</v>
      </c>
      <c r="K187">
        <f>MacReports!F187</f>
        <v>0</v>
      </c>
      <c r="L187">
        <f>MacReports!G187</f>
        <v>0</v>
      </c>
      <c r="M187" s="15" t="e" cm="1">
        <f t="array" ref="M187">--_xlfn.LET(
    _xlpm.txt, MacReports!H187,
    _xlpm.chars, MID(_xlpm.txt, _xlfn.SEQUENCE(LEN(_xlpm.txt)), 1),
    _xlfn.TEXTJOIN("", TRUE, IF(ISNUMBER(--_xlpm.chars), _xlpm.chars, ""))
)</f>
        <v>#VALUE!</v>
      </c>
      <c r="N187" s="16" t="str" cm="1">
        <f t="array" ref="N187">_xlfn.IFS(
   --MacReports!M187&lt;55,"Battery Defect",
  -- MacReports!M187&lt;=69,"Battery D",
  --MacReports!M187&lt;=80,"Battery C",
 --MacReports!M187&gt;80,""
)</f>
        <v>Battery Defect</v>
      </c>
      <c r="O187" s="16" t="str">
        <f>IF(MacReports!I187="Service","Battery Service","")</f>
        <v/>
      </c>
      <c r="P187" s="13">
        <f>MacReports!P187</f>
        <v>0</v>
      </c>
      <c r="Q187" s="13" t="str">
        <f>IF(MacReports!J187="Enabled","Apple ID Lock","")</f>
        <v/>
      </c>
      <c r="R187" s="13" t="str">
        <f>IF(MacReports!L187="y","Remote Locked","")</f>
        <v/>
      </c>
      <c r="S187" t="str">
        <f t="shared" si="7"/>
        <v>Battery Defect, 0</v>
      </c>
      <c r="T187" t="str">
        <f>_xlfn.XLOOKUP(B187,Disk_Pivot!G:G,Disk_Pivot!I:I)</f>
        <v>Yes x2</v>
      </c>
      <c r="U187" t="str">
        <f>_xlfn.XLOOKUP(B187,Disk_Pivot!G:G,Disk_Pivot!N:N)</f>
        <v>Pass, Fail</v>
      </c>
      <c r="V187" t="str">
        <f>IF(U187="Fail",MacReports!N187,"")</f>
        <v/>
      </c>
      <c r="AB187" t="str">
        <f t="shared" si="8"/>
        <v/>
      </c>
    </row>
    <row r="188" spans="1:28">
      <c r="A188" t="str">
        <f>MacReports!A188</f>
        <v/>
      </c>
      <c r="B188">
        <f>MacReports!B188</f>
        <v>0</v>
      </c>
      <c r="C188">
        <f>MacReports!C188</f>
        <v>0</v>
      </c>
      <c r="E188" t="e">
        <f>_xlfn.XLOOKUP(G188,Models!A:A,Models!F:F)</f>
        <v>#N/A</v>
      </c>
      <c r="F188" t="str">
        <f>_xlfn.XLOOKUP(B188,MacReports!B:B,MacReports!D:D,"")</f>
        <v/>
      </c>
      <c r="G188" s="13">
        <f>MacReports!E188</f>
        <v>0</v>
      </c>
      <c r="H188" t="e">
        <f>_xlfn.XLOOKUP(G188,Models!A:A,Models!B:B)</f>
        <v>#N/A</v>
      </c>
      <c r="I188" t="e">
        <f>_xlfn.XLOOKUP(G188,Models!A:A,Models!E:E)</f>
        <v>#N/A</v>
      </c>
      <c r="J188" t="e">
        <f>_xlfn.XLOOKUP(G188,Models!A:A,Models!D:D)</f>
        <v>#N/A</v>
      </c>
      <c r="K188">
        <f>MacReports!F188</f>
        <v>0</v>
      </c>
      <c r="L188">
        <f>MacReports!G188</f>
        <v>0</v>
      </c>
      <c r="M188" s="15" t="e" cm="1">
        <f t="array" ref="M188">--_xlfn.LET(
    _xlpm.txt, MacReports!H188,
    _xlpm.chars, MID(_xlpm.txt, _xlfn.SEQUENCE(LEN(_xlpm.txt)), 1),
    _xlfn.TEXTJOIN("", TRUE, IF(ISNUMBER(--_xlpm.chars), _xlpm.chars, ""))
)</f>
        <v>#VALUE!</v>
      </c>
      <c r="N188" s="16" t="str" cm="1">
        <f t="array" ref="N188">_xlfn.IFS(
   --MacReports!M188&lt;55,"Battery Defect",
  -- MacReports!M188&lt;=69,"Battery D",
  --MacReports!M188&lt;=80,"Battery C",
 --MacReports!M188&gt;80,""
)</f>
        <v>Battery Defect</v>
      </c>
      <c r="O188" s="16" t="str">
        <f>IF(MacReports!I188="Service","Battery Service","")</f>
        <v/>
      </c>
      <c r="P188" s="13">
        <f>MacReports!P188</f>
        <v>0</v>
      </c>
      <c r="Q188" s="13" t="str">
        <f>IF(MacReports!J188="Enabled","Apple ID Lock","")</f>
        <v/>
      </c>
      <c r="R188" s="13" t="str">
        <f>IF(MacReports!L188="y","Remote Locked","")</f>
        <v/>
      </c>
      <c r="S188" t="str">
        <f t="shared" si="7"/>
        <v>Battery Defect, 0</v>
      </c>
      <c r="T188" t="str">
        <f>_xlfn.XLOOKUP(B188,Disk_Pivot!G:G,Disk_Pivot!I:I)</f>
        <v>Yes x2</v>
      </c>
      <c r="U188" t="str">
        <f>_xlfn.XLOOKUP(B188,Disk_Pivot!G:G,Disk_Pivot!N:N)</f>
        <v>Pass, Fail</v>
      </c>
      <c r="V188" t="str">
        <f>IF(U188="Fail",MacReports!N188,"")</f>
        <v/>
      </c>
      <c r="AB188" t="str">
        <f t="shared" si="8"/>
        <v/>
      </c>
    </row>
    <row r="189" spans="1:28">
      <c r="A189" t="str">
        <f>MacReports!A189</f>
        <v/>
      </c>
      <c r="B189">
        <f>MacReports!B189</f>
        <v>0</v>
      </c>
      <c r="C189">
        <f>MacReports!C189</f>
        <v>0</v>
      </c>
      <c r="E189" t="e">
        <f>_xlfn.XLOOKUP(G189,Models!A:A,Models!F:F)</f>
        <v>#N/A</v>
      </c>
      <c r="F189" t="str">
        <f>_xlfn.XLOOKUP(B189,MacReports!B:B,MacReports!D:D,"")</f>
        <v/>
      </c>
      <c r="G189" s="13">
        <f>MacReports!E189</f>
        <v>0</v>
      </c>
      <c r="H189" t="e">
        <f>_xlfn.XLOOKUP(G189,Models!A:A,Models!B:B)</f>
        <v>#N/A</v>
      </c>
      <c r="I189" t="e">
        <f>_xlfn.XLOOKUP(G189,Models!A:A,Models!E:E)</f>
        <v>#N/A</v>
      </c>
      <c r="J189" t="e">
        <f>_xlfn.XLOOKUP(G189,Models!A:A,Models!D:D)</f>
        <v>#N/A</v>
      </c>
      <c r="K189">
        <f>MacReports!F189</f>
        <v>0</v>
      </c>
      <c r="L189">
        <f>MacReports!G189</f>
        <v>0</v>
      </c>
      <c r="M189" s="15" t="e" cm="1">
        <f t="array" ref="M189">--_xlfn.LET(
    _xlpm.txt, MacReports!H189,
    _xlpm.chars, MID(_xlpm.txt, _xlfn.SEQUENCE(LEN(_xlpm.txt)), 1),
    _xlfn.TEXTJOIN("", TRUE, IF(ISNUMBER(--_xlpm.chars), _xlpm.chars, ""))
)</f>
        <v>#VALUE!</v>
      </c>
      <c r="N189" s="16" t="str" cm="1">
        <f t="array" ref="N189">_xlfn.IFS(
   --MacReports!M189&lt;55,"Battery Defect",
  -- MacReports!M189&lt;=69,"Battery D",
  --MacReports!M189&lt;=80,"Battery C",
 --MacReports!M189&gt;80,""
)</f>
        <v>Battery Defect</v>
      </c>
      <c r="O189" s="16" t="str">
        <f>IF(MacReports!I189="Service","Battery Service","")</f>
        <v/>
      </c>
      <c r="P189" s="13">
        <f>MacReports!P189</f>
        <v>0</v>
      </c>
      <c r="Q189" s="13" t="str">
        <f>IF(MacReports!J189="Enabled","Apple ID Lock","")</f>
        <v/>
      </c>
      <c r="R189" s="13" t="str">
        <f>IF(MacReports!L189="y","Remote Locked","")</f>
        <v/>
      </c>
      <c r="S189" t="str">
        <f t="shared" si="7"/>
        <v>Battery Defect, 0</v>
      </c>
      <c r="T189" t="str">
        <f>_xlfn.XLOOKUP(B189,Disk_Pivot!G:G,Disk_Pivot!I:I)</f>
        <v>Yes x2</v>
      </c>
      <c r="U189" t="str">
        <f>_xlfn.XLOOKUP(B189,Disk_Pivot!G:G,Disk_Pivot!N:N)</f>
        <v>Pass, Fail</v>
      </c>
      <c r="V189" t="str">
        <f>IF(U189="Fail",MacReports!N189,"")</f>
        <v/>
      </c>
      <c r="AB189" t="str">
        <f t="shared" si="8"/>
        <v/>
      </c>
    </row>
    <row r="190" spans="1:28">
      <c r="A190" t="str">
        <f>MacReports!A190</f>
        <v/>
      </c>
      <c r="B190">
        <f>MacReports!B190</f>
        <v>0</v>
      </c>
      <c r="C190">
        <f>MacReports!C190</f>
        <v>0</v>
      </c>
      <c r="E190" t="e">
        <f>_xlfn.XLOOKUP(G190,Models!A:A,Models!F:F)</f>
        <v>#N/A</v>
      </c>
      <c r="F190" t="str">
        <f>_xlfn.XLOOKUP(B190,MacReports!B:B,MacReports!D:D,"")</f>
        <v/>
      </c>
      <c r="G190" s="13">
        <f>MacReports!E190</f>
        <v>0</v>
      </c>
      <c r="H190" t="e">
        <f>_xlfn.XLOOKUP(G190,Models!A:A,Models!B:B)</f>
        <v>#N/A</v>
      </c>
      <c r="I190" t="e">
        <f>_xlfn.XLOOKUP(G190,Models!A:A,Models!E:E)</f>
        <v>#N/A</v>
      </c>
      <c r="J190" t="e">
        <f>_xlfn.XLOOKUP(G190,Models!A:A,Models!D:D)</f>
        <v>#N/A</v>
      </c>
      <c r="K190">
        <f>MacReports!F190</f>
        <v>0</v>
      </c>
      <c r="L190">
        <f>MacReports!G190</f>
        <v>0</v>
      </c>
      <c r="M190" s="15" t="e" cm="1">
        <f t="array" ref="M190">--_xlfn.LET(
    _xlpm.txt, MacReports!H190,
    _xlpm.chars, MID(_xlpm.txt, _xlfn.SEQUENCE(LEN(_xlpm.txt)), 1),
    _xlfn.TEXTJOIN("", TRUE, IF(ISNUMBER(--_xlpm.chars), _xlpm.chars, ""))
)</f>
        <v>#VALUE!</v>
      </c>
      <c r="N190" s="16" t="str" cm="1">
        <f t="array" ref="N190">_xlfn.IFS(
   --MacReports!M190&lt;55,"Battery Defect",
  -- MacReports!M190&lt;=69,"Battery D",
  --MacReports!M190&lt;=80,"Battery C",
 --MacReports!M190&gt;80,""
)</f>
        <v>Battery Defect</v>
      </c>
      <c r="O190" s="16" t="str">
        <f>IF(MacReports!I190="Service","Battery Service","")</f>
        <v/>
      </c>
      <c r="P190" s="13">
        <f>MacReports!P190</f>
        <v>0</v>
      </c>
      <c r="Q190" s="13" t="str">
        <f>IF(MacReports!J190="Enabled","Apple ID Lock","")</f>
        <v/>
      </c>
      <c r="R190" s="13" t="str">
        <f>IF(MacReports!L190="y","Remote Locked","")</f>
        <v/>
      </c>
      <c r="S190" t="str">
        <f t="shared" si="7"/>
        <v>Battery Defect, 0</v>
      </c>
      <c r="T190" t="str">
        <f>_xlfn.XLOOKUP(B190,Disk_Pivot!G:G,Disk_Pivot!I:I)</f>
        <v>Yes x2</v>
      </c>
      <c r="U190" t="str">
        <f>_xlfn.XLOOKUP(B190,Disk_Pivot!G:G,Disk_Pivot!N:N)</f>
        <v>Pass, Fail</v>
      </c>
      <c r="V190" t="str">
        <f>IF(U190="Fail",MacReports!N190,"")</f>
        <v/>
      </c>
      <c r="AB190" t="str">
        <f t="shared" si="8"/>
        <v/>
      </c>
    </row>
    <row r="191" spans="1:28">
      <c r="A191" t="str">
        <f>MacReports!A191</f>
        <v/>
      </c>
      <c r="B191">
        <f>MacReports!B191</f>
        <v>0</v>
      </c>
      <c r="C191">
        <f>MacReports!C191</f>
        <v>0</v>
      </c>
      <c r="E191" t="e">
        <f>_xlfn.XLOOKUP(G191,Models!A:A,Models!F:F)</f>
        <v>#N/A</v>
      </c>
      <c r="F191" t="str">
        <f>_xlfn.XLOOKUP(B191,MacReports!B:B,MacReports!D:D,"")</f>
        <v/>
      </c>
      <c r="G191" s="13">
        <f>MacReports!E191</f>
        <v>0</v>
      </c>
      <c r="H191" t="e">
        <f>_xlfn.XLOOKUP(G191,Models!A:A,Models!B:B)</f>
        <v>#N/A</v>
      </c>
      <c r="I191" t="e">
        <f>_xlfn.XLOOKUP(G191,Models!A:A,Models!E:E)</f>
        <v>#N/A</v>
      </c>
      <c r="J191" t="e">
        <f>_xlfn.XLOOKUP(G191,Models!A:A,Models!D:D)</f>
        <v>#N/A</v>
      </c>
      <c r="K191">
        <f>MacReports!F191</f>
        <v>0</v>
      </c>
      <c r="L191">
        <f>MacReports!G191</f>
        <v>0</v>
      </c>
      <c r="M191" s="15" t="e" cm="1">
        <f t="array" ref="M191">--_xlfn.LET(
    _xlpm.txt, MacReports!H191,
    _xlpm.chars, MID(_xlpm.txt, _xlfn.SEQUENCE(LEN(_xlpm.txt)), 1),
    _xlfn.TEXTJOIN("", TRUE, IF(ISNUMBER(--_xlpm.chars), _xlpm.chars, ""))
)</f>
        <v>#VALUE!</v>
      </c>
      <c r="N191" s="16" t="str" cm="1">
        <f t="array" ref="N191">_xlfn.IFS(
   --MacReports!M191&lt;55,"Battery Defect",
  -- MacReports!M191&lt;=69,"Battery D",
  --MacReports!M191&lt;=80,"Battery C",
 --MacReports!M191&gt;80,""
)</f>
        <v>Battery Defect</v>
      </c>
      <c r="O191" s="16" t="str">
        <f>IF(MacReports!I191="Service","Battery Service","")</f>
        <v/>
      </c>
      <c r="P191" s="13">
        <f>MacReports!P191</f>
        <v>0</v>
      </c>
      <c r="Q191" s="13" t="str">
        <f>IF(MacReports!J191="Enabled","Apple ID Lock","")</f>
        <v/>
      </c>
      <c r="R191" s="13" t="str">
        <f>IF(MacReports!L191="y","Remote Locked","")</f>
        <v/>
      </c>
      <c r="S191" t="str">
        <f t="shared" si="7"/>
        <v>Battery Defect, 0</v>
      </c>
      <c r="T191" t="str">
        <f>_xlfn.XLOOKUP(B191,Disk_Pivot!G:G,Disk_Pivot!I:I)</f>
        <v>Yes x2</v>
      </c>
      <c r="U191" t="str">
        <f>_xlfn.XLOOKUP(B191,Disk_Pivot!G:G,Disk_Pivot!N:N)</f>
        <v>Pass, Fail</v>
      </c>
      <c r="V191" t="str">
        <f>IF(U191="Fail",MacReports!N191,"")</f>
        <v/>
      </c>
      <c r="AB191" t="str">
        <f t="shared" si="8"/>
        <v/>
      </c>
    </row>
    <row r="192" spans="1:28">
      <c r="A192" t="str">
        <f>MacReports!A192</f>
        <v/>
      </c>
      <c r="B192">
        <f>MacReports!B192</f>
        <v>0</v>
      </c>
      <c r="C192">
        <f>MacReports!C192</f>
        <v>0</v>
      </c>
      <c r="E192" t="e">
        <f>_xlfn.XLOOKUP(G192,Models!A:A,Models!F:F)</f>
        <v>#N/A</v>
      </c>
      <c r="F192" t="str">
        <f>_xlfn.XLOOKUP(B192,MacReports!B:B,MacReports!D:D,"")</f>
        <v/>
      </c>
      <c r="G192" s="13">
        <f>MacReports!E192</f>
        <v>0</v>
      </c>
      <c r="H192" t="e">
        <f>_xlfn.XLOOKUP(G192,Models!A:A,Models!B:B)</f>
        <v>#N/A</v>
      </c>
      <c r="I192" t="e">
        <f>_xlfn.XLOOKUP(G192,Models!A:A,Models!E:E)</f>
        <v>#N/A</v>
      </c>
      <c r="J192" t="e">
        <f>_xlfn.XLOOKUP(G192,Models!A:A,Models!D:D)</f>
        <v>#N/A</v>
      </c>
      <c r="K192">
        <f>MacReports!F192</f>
        <v>0</v>
      </c>
      <c r="L192">
        <f>MacReports!G192</f>
        <v>0</v>
      </c>
      <c r="M192" s="15" t="e" cm="1">
        <f t="array" ref="M192">--_xlfn.LET(
    _xlpm.txt, MacReports!H192,
    _xlpm.chars, MID(_xlpm.txt, _xlfn.SEQUENCE(LEN(_xlpm.txt)), 1),
    _xlfn.TEXTJOIN("", TRUE, IF(ISNUMBER(--_xlpm.chars), _xlpm.chars, ""))
)</f>
        <v>#VALUE!</v>
      </c>
      <c r="N192" s="16" t="str" cm="1">
        <f t="array" ref="N192">_xlfn.IFS(
   --MacReports!M192&lt;55,"Battery Defect",
  -- MacReports!M192&lt;=69,"Battery D",
  --MacReports!M192&lt;=80,"Battery C",
 --MacReports!M192&gt;80,""
)</f>
        <v>Battery Defect</v>
      </c>
      <c r="O192" s="16" t="str">
        <f>IF(MacReports!I192="Service","Battery Service","")</f>
        <v/>
      </c>
      <c r="P192" s="13">
        <f>MacReports!P192</f>
        <v>0</v>
      </c>
      <c r="Q192" s="13" t="str">
        <f>IF(MacReports!J192="Enabled","Apple ID Lock","")</f>
        <v/>
      </c>
      <c r="R192" s="13" t="str">
        <f>IF(MacReports!L192="y","Remote Locked","")</f>
        <v/>
      </c>
      <c r="S192" t="str">
        <f t="shared" si="7"/>
        <v>Battery Defect, 0</v>
      </c>
      <c r="T192" t="str">
        <f>_xlfn.XLOOKUP(B192,Disk_Pivot!G:G,Disk_Pivot!I:I)</f>
        <v>Yes x2</v>
      </c>
      <c r="U192" t="str">
        <f>_xlfn.XLOOKUP(B192,Disk_Pivot!G:G,Disk_Pivot!N:N)</f>
        <v>Pass, Fail</v>
      </c>
      <c r="V192" t="str">
        <f>IF(U192="Fail",MacReports!N192,"")</f>
        <v/>
      </c>
      <c r="AB192" t="str">
        <f t="shared" si="8"/>
        <v/>
      </c>
    </row>
    <row r="193" spans="1:28">
      <c r="A193" t="str">
        <f>MacReports!A193</f>
        <v/>
      </c>
      <c r="B193">
        <f>MacReports!B193</f>
        <v>0</v>
      </c>
      <c r="C193">
        <f>MacReports!C193</f>
        <v>0</v>
      </c>
      <c r="E193" t="e">
        <f>_xlfn.XLOOKUP(G193,Models!A:A,Models!F:F)</f>
        <v>#N/A</v>
      </c>
      <c r="F193" t="str">
        <f>_xlfn.XLOOKUP(B193,MacReports!B:B,MacReports!D:D,"")</f>
        <v/>
      </c>
      <c r="G193" s="13">
        <f>MacReports!E193</f>
        <v>0</v>
      </c>
      <c r="H193" t="e">
        <f>_xlfn.XLOOKUP(G193,Models!A:A,Models!B:B)</f>
        <v>#N/A</v>
      </c>
      <c r="I193" t="e">
        <f>_xlfn.XLOOKUP(G193,Models!A:A,Models!E:E)</f>
        <v>#N/A</v>
      </c>
      <c r="J193" t="e">
        <f>_xlfn.XLOOKUP(G193,Models!A:A,Models!D:D)</f>
        <v>#N/A</v>
      </c>
      <c r="K193">
        <f>MacReports!F193</f>
        <v>0</v>
      </c>
      <c r="L193">
        <f>MacReports!G193</f>
        <v>0</v>
      </c>
      <c r="M193" s="15" t="e" cm="1">
        <f t="array" ref="M193">--_xlfn.LET(
    _xlpm.txt, MacReports!H193,
    _xlpm.chars, MID(_xlpm.txt, _xlfn.SEQUENCE(LEN(_xlpm.txt)), 1),
    _xlfn.TEXTJOIN("", TRUE, IF(ISNUMBER(--_xlpm.chars), _xlpm.chars, ""))
)</f>
        <v>#VALUE!</v>
      </c>
      <c r="N193" s="16" t="str" cm="1">
        <f t="array" ref="N193">_xlfn.IFS(
   --MacReports!M193&lt;55,"Battery Defect",
  -- MacReports!M193&lt;=69,"Battery D",
  --MacReports!M193&lt;=80,"Battery C",
 --MacReports!M193&gt;80,""
)</f>
        <v>Battery Defect</v>
      </c>
      <c r="O193" s="16" t="str">
        <f>IF(MacReports!I193="Service","Battery Service","")</f>
        <v/>
      </c>
      <c r="P193" s="13">
        <f>MacReports!P193</f>
        <v>0</v>
      </c>
      <c r="Q193" s="13" t="str">
        <f>IF(MacReports!J193="Enabled","Apple ID Lock","")</f>
        <v/>
      </c>
      <c r="R193" s="13" t="str">
        <f>IF(MacReports!L193="y","Remote Locked","")</f>
        <v/>
      </c>
      <c r="S193" t="str">
        <f t="shared" si="7"/>
        <v>Battery Defect, 0</v>
      </c>
      <c r="T193" t="str">
        <f>_xlfn.XLOOKUP(B193,Disk_Pivot!G:G,Disk_Pivot!I:I)</f>
        <v>Yes x2</v>
      </c>
      <c r="U193" t="str">
        <f>_xlfn.XLOOKUP(B193,Disk_Pivot!G:G,Disk_Pivot!N:N)</f>
        <v>Pass, Fail</v>
      </c>
      <c r="V193" t="str">
        <f>IF(U193="Fail",MacReports!N193,"")</f>
        <v/>
      </c>
      <c r="AB193" t="str">
        <f t="shared" si="8"/>
        <v/>
      </c>
    </row>
    <row r="194" spans="1:28">
      <c r="A194" t="str">
        <f>MacReports!A194</f>
        <v/>
      </c>
      <c r="B194">
        <f>MacReports!B194</f>
        <v>0</v>
      </c>
      <c r="C194">
        <f>MacReports!C194</f>
        <v>0</v>
      </c>
      <c r="E194" t="e">
        <f>_xlfn.XLOOKUP(G194,Models!A:A,Models!F:F)</f>
        <v>#N/A</v>
      </c>
      <c r="F194" t="str">
        <f>_xlfn.XLOOKUP(B194,MacReports!B:B,MacReports!D:D,"")</f>
        <v/>
      </c>
      <c r="G194" s="13">
        <f>MacReports!E194</f>
        <v>0</v>
      </c>
      <c r="H194" t="e">
        <f>_xlfn.XLOOKUP(G194,Models!A:A,Models!B:B)</f>
        <v>#N/A</v>
      </c>
      <c r="I194" t="e">
        <f>_xlfn.XLOOKUP(G194,Models!A:A,Models!E:E)</f>
        <v>#N/A</v>
      </c>
      <c r="J194" t="e">
        <f>_xlfn.XLOOKUP(G194,Models!A:A,Models!D:D)</f>
        <v>#N/A</v>
      </c>
      <c r="K194">
        <f>MacReports!F194</f>
        <v>0</v>
      </c>
      <c r="L194">
        <f>MacReports!G194</f>
        <v>0</v>
      </c>
      <c r="M194" s="15" t="e" cm="1">
        <f t="array" ref="M194">--_xlfn.LET(
    _xlpm.txt, MacReports!H194,
    _xlpm.chars, MID(_xlpm.txt, _xlfn.SEQUENCE(LEN(_xlpm.txt)), 1),
    _xlfn.TEXTJOIN("", TRUE, IF(ISNUMBER(--_xlpm.chars), _xlpm.chars, ""))
)</f>
        <v>#VALUE!</v>
      </c>
      <c r="N194" s="16" t="str" cm="1">
        <f t="array" ref="N194">_xlfn.IFS(
   --MacReports!M194&lt;55,"Battery Defect",
  -- MacReports!M194&lt;=69,"Battery D",
  --MacReports!M194&lt;=80,"Battery C",
 --MacReports!M194&gt;80,""
)</f>
        <v>Battery Defect</v>
      </c>
      <c r="O194" s="16" t="str">
        <f>IF(MacReports!I194="Service","Battery Service","")</f>
        <v/>
      </c>
      <c r="P194" s="13">
        <f>MacReports!P194</f>
        <v>0</v>
      </c>
      <c r="Q194" s="13" t="str">
        <f>IF(MacReports!J194="Enabled","Apple ID Lock","")</f>
        <v/>
      </c>
      <c r="R194" s="13" t="str">
        <f>IF(MacReports!L194="y","Remote Locked","")</f>
        <v/>
      </c>
      <c r="S194" t="str">
        <f t="shared" si="7"/>
        <v>Battery Defect, 0</v>
      </c>
      <c r="T194" t="str">
        <f>_xlfn.XLOOKUP(B194,Disk_Pivot!G:G,Disk_Pivot!I:I)</f>
        <v>Yes x2</v>
      </c>
      <c r="U194" t="str">
        <f>_xlfn.XLOOKUP(B194,Disk_Pivot!G:G,Disk_Pivot!N:N)</f>
        <v>Pass, Fail</v>
      </c>
      <c r="V194" t="str">
        <f>IF(U194="Fail",MacReports!N194,"")</f>
        <v/>
      </c>
      <c r="AB194" t="str">
        <f t="shared" si="8"/>
        <v/>
      </c>
    </row>
    <row r="195" spans="1:28">
      <c r="A195" t="str">
        <f>MacReports!A195</f>
        <v/>
      </c>
      <c r="B195">
        <f>MacReports!B195</f>
        <v>0</v>
      </c>
      <c r="C195">
        <f>MacReports!C195</f>
        <v>0</v>
      </c>
      <c r="E195" t="e">
        <f>_xlfn.XLOOKUP(G195,Models!A:A,Models!F:F)</f>
        <v>#N/A</v>
      </c>
      <c r="F195" t="str">
        <f>_xlfn.XLOOKUP(B195,MacReports!B:B,MacReports!D:D,"")</f>
        <v/>
      </c>
      <c r="G195" s="13">
        <f>MacReports!E195</f>
        <v>0</v>
      </c>
      <c r="H195" t="e">
        <f>_xlfn.XLOOKUP(G195,Models!A:A,Models!B:B)</f>
        <v>#N/A</v>
      </c>
      <c r="I195" t="e">
        <f>_xlfn.XLOOKUP(G195,Models!A:A,Models!E:E)</f>
        <v>#N/A</v>
      </c>
      <c r="J195" t="e">
        <f>_xlfn.XLOOKUP(G195,Models!A:A,Models!D:D)</f>
        <v>#N/A</v>
      </c>
      <c r="K195">
        <f>MacReports!F195</f>
        <v>0</v>
      </c>
      <c r="L195">
        <f>MacReports!G195</f>
        <v>0</v>
      </c>
      <c r="M195" s="15" t="e" cm="1">
        <f t="array" ref="M195">--_xlfn.LET(
    _xlpm.txt, MacReports!H195,
    _xlpm.chars, MID(_xlpm.txt, _xlfn.SEQUENCE(LEN(_xlpm.txt)), 1),
    _xlfn.TEXTJOIN("", TRUE, IF(ISNUMBER(--_xlpm.chars), _xlpm.chars, ""))
)</f>
        <v>#VALUE!</v>
      </c>
      <c r="N195" s="16" t="str" cm="1">
        <f t="array" ref="N195">_xlfn.IFS(
   --MacReports!M195&lt;55,"Battery Defect",
  -- MacReports!M195&lt;=69,"Battery D",
  --MacReports!M195&lt;=80,"Battery C",
 --MacReports!M195&gt;80,""
)</f>
        <v>Battery Defect</v>
      </c>
      <c r="O195" s="16" t="str">
        <f>IF(MacReports!I195="Service","Battery Service","")</f>
        <v/>
      </c>
      <c r="P195" s="13">
        <f>MacReports!P195</f>
        <v>0</v>
      </c>
      <c r="Q195" s="13" t="str">
        <f>IF(MacReports!J195="Enabled","Apple ID Lock","")</f>
        <v/>
      </c>
      <c r="R195" s="13" t="str">
        <f>IF(MacReports!L195="y","Remote Locked","")</f>
        <v/>
      </c>
      <c r="S195" t="str">
        <f t="shared" si="7"/>
        <v>Battery Defect, 0</v>
      </c>
      <c r="T195" t="str">
        <f>_xlfn.XLOOKUP(B195,Disk_Pivot!G:G,Disk_Pivot!I:I)</f>
        <v>Yes x2</v>
      </c>
      <c r="U195" t="str">
        <f>_xlfn.XLOOKUP(B195,Disk_Pivot!G:G,Disk_Pivot!N:N)</f>
        <v>Pass, Fail</v>
      </c>
      <c r="V195" t="str">
        <f>IF(U195="Fail",MacReports!N195,"")</f>
        <v/>
      </c>
      <c r="AB195" t="str">
        <f t="shared" si="8"/>
        <v/>
      </c>
    </row>
    <row r="196" spans="1:28">
      <c r="A196" t="str">
        <f>MacReports!A196</f>
        <v/>
      </c>
      <c r="B196">
        <f>MacReports!B196</f>
        <v>0</v>
      </c>
      <c r="C196">
        <f>MacReports!C196</f>
        <v>0</v>
      </c>
      <c r="E196" t="e">
        <f>_xlfn.XLOOKUP(G196,Models!A:A,Models!F:F)</f>
        <v>#N/A</v>
      </c>
      <c r="F196" t="str">
        <f>_xlfn.XLOOKUP(B196,MacReports!B:B,MacReports!D:D,"")</f>
        <v/>
      </c>
      <c r="G196" s="13">
        <f>MacReports!E196</f>
        <v>0</v>
      </c>
      <c r="H196" t="e">
        <f>_xlfn.XLOOKUP(G196,Models!A:A,Models!B:B)</f>
        <v>#N/A</v>
      </c>
      <c r="I196" t="e">
        <f>_xlfn.XLOOKUP(G196,Models!A:A,Models!E:E)</f>
        <v>#N/A</v>
      </c>
      <c r="J196" t="e">
        <f>_xlfn.XLOOKUP(G196,Models!A:A,Models!D:D)</f>
        <v>#N/A</v>
      </c>
      <c r="K196">
        <f>MacReports!F196</f>
        <v>0</v>
      </c>
      <c r="L196">
        <f>MacReports!G196</f>
        <v>0</v>
      </c>
      <c r="M196" s="15" t="e" cm="1">
        <f t="array" ref="M196">--_xlfn.LET(
    _xlpm.txt, MacReports!H196,
    _xlpm.chars, MID(_xlpm.txt, _xlfn.SEQUENCE(LEN(_xlpm.txt)), 1),
    _xlfn.TEXTJOIN("", TRUE, IF(ISNUMBER(--_xlpm.chars), _xlpm.chars, ""))
)</f>
        <v>#VALUE!</v>
      </c>
      <c r="N196" s="16" t="str" cm="1">
        <f t="array" ref="N196">_xlfn.IFS(
   --MacReports!M196&lt;55,"Battery Defect",
  -- MacReports!M196&lt;=69,"Battery D",
  --MacReports!M196&lt;=80,"Battery C",
 --MacReports!M196&gt;80,""
)</f>
        <v>Battery Defect</v>
      </c>
      <c r="O196" s="16" t="str">
        <f>IF(MacReports!I196="Service","Battery Service","")</f>
        <v/>
      </c>
      <c r="P196" s="13">
        <f>MacReports!P196</f>
        <v>0</v>
      </c>
      <c r="Q196" s="13" t="str">
        <f>IF(MacReports!J196="Enabled","Apple ID Lock","")</f>
        <v/>
      </c>
      <c r="R196" s="13" t="str">
        <f>IF(MacReports!L196="y","Remote Locked","")</f>
        <v/>
      </c>
      <c r="S196" t="str">
        <f t="shared" si="7"/>
        <v>Battery Defect, 0</v>
      </c>
      <c r="T196" t="str">
        <f>_xlfn.XLOOKUP(B196,Disk_Pivot!G:G,Disk_Pivot!I:I)</f>
        <v>Yes x2</v>
      </c>
      <c r="U196" t="str">
        <f>_xlfn.XLOOKUP(B196,Disk_Pivot!G:G,Disk_Pivot!N:N)</f>
        <v>Pass, Fail</v>
      </c>
      <c r="V196" t="str">
        <f>IF(U196="Fail",MacReports!N196,"")</f>
        <v/>
      </c>
      <c r="AB196" t="str">
        <f t="shared" si="8"/>
        <v/>
      </c>
    </row>
    <row r="197" spans="1:28">
      <c r="A197" t="str">
        <f>MacReports!A197</f>
        <v/>
      </c>
      <c r="B197">
        <f>MacReports!B197</f>
        <v>0</v>
      </c>
      <c r="C197">
        <f>MacReports!C197</f>
        <v>0</v>
      </c>
      <c r="E197" t="e">
        <f>_xlfn.XLOOKUP(G197,Models!A:A,Models!F:F)</f>
        <v>#N/A</v>
      </c>
      <c r="F197" t="str">
        <f>_xlfn.XLOOKUP(B197,MacReports!B:B,MacReports!D:D,"")</f>
        <v/>
      </c>
      <c r="G197" s="13">
        <f>MacReports!E197</f>
        <v>0</v>
      </c>
      <c r="H197" t="e">
        <f>_xlfn.XLOOKUP(G197,Models!A:A,Models!B:B)</f>
        <v>#N/A</v>
      </c>
      <c r="I197" t="e">
        <f>_xlfn.XLOOKUP(G197,Models!A:A,Models!E:E)</f>
        <v>#N/A</v>
      </c>
      <c r="J197" t="e">
        <f>_xlfn.XLOOKUP(G197,Models!A:A,Models!D:D)</f>
        <v>#N/A</v>
      </c>
      <c r="K197">
        <f>MacReports!F197</f>
        <v>0</v>
      </c>
      <c r="L197">
        <f>MacReports!G197</f>
        <v>0</v>
      </c>
      <c r="M197" s="15" t="e" cm="1">
        <f t="array" ref="M197">--_xlfn.LET(
    _xlpm.txt, MacReports!H197,
    _xlpm.chars, MID(_xlpm.txt, _xlfn.SEQUENCE(LEN(_xlpm.txt)), 1),
    _xlfn.TEXTJOIN("", TRUE, IF(ISNUMBER(--_xlpm.chars), _xlpm.chars, ""))
)</f>
        <v>#VALUE!</v>
      </c>
      <c r="N197" s="16" t="str" cm="1">
        <f t="array" ref="N197">_xlfn.IFS(
   --MacReports!M197&lt;55,"Battery Defect",
  -- MacReports!M197&lt;=69,"Battery D",
  --MacReports!M197&lt;=80,"Battery C",
 --MacReports!M197&gt;80,""
)</f>
        <v>Battery Defect</v>
      </c>
      <c r="O197" s="16" t="str">
        <f>IF(MacReports!I197="Service","Battery Service","")</f>
        <v/>
      </c>
      <c r="P197" s="13">
        <f>MacReports!P197</f>
        <v>0</v>
      </c>
      <c r="Q197" s="13" t="str">
        <f>IF(MacReports!J197="Enabled","Apple ID Lock","")</f>
        <v/>
      </c>
      <c r="R197" s="13" t="str">
        <f>IF(MacReports!L197="y","Remote Locked","")</f>
        <v/>
      </c>
      <c r="S197" t="str">
        <f t="shared" si="7"/>
        <v>Battery Defect, 0</v>
      </c>
      <c r="T197" t="str">
        <f>_xlfn.XLOOKUP(B197,Disk_Pivot!G:G,Disk_Pivot!I:I)</f>
        <v>Yes x2</v>
      </c>
      <c r="U197" t="str">
        <f>_xlfn.XLOOKUP(B197,Disk_Pivot!G:G,Disk_Pivot!N:N)</f>
        <v>Pass, Fail</v>
      </c>
      <c r="V197" t="str">
        <f>IF(U197="Fail",MacReports!N197,"")</f>
        <v/>
      </c>
      <c r="AB197" t="str">
        <f t="shared" si="8"/>
        <v/>
      </c>
    </row>
    <row r="198" spans="1:28">
      <c r="A198" t="str">
        <f>MacReports!A198</f>
        <v/>
      </c>
      <c r="B198">
        <f>MacReports!B198</f>
        <v>0</v>
      </c>
      <c r="C198">
        <f>MacReports!C198</f>
        <v>0</v>
      </c>
      <c r="E198" t="e">
        <f>_xlfn.XLOOKUP(G198,Models!A:A,Models!F:F)</f>
        <v>#N/A</v>
      </c>
      <c r="F198" t="str">
        <f>_xlfn.XLOOKUP(B198,MacReports!B:B,MacReports!D:D,"")</f>
        <v/>
      </c>
      <c r="G198" s="13">
        <f>MacReports!E198</f>
        <v>0</v>
      </c>
      <c r="H198" t="e">
        <f>_xlfn.XLOOKUP(G198,Models!A:A,Models!B:B)</f>
        <v>#N/A</v>
      </c>
      <c r="I198" t="e">
        <f>_xlfn.XLOOKUP(G198,Models!A:A,Models!E:E)</f>
        <v>#N/A</v>
      </c>
      <c r="J198" t="e">
        <f>_xlfn.XLOOKUP(G198,Models!A:A,Models!D:D)</f>
        <v>#N/A</v>
      </c>
      <c r="K198">
        <f>MacReports!F198</f>
        <v>0</v>
      </c>
      <c r="L198">
        <f>MacReports!G198</f>
        <v>0</v>
      </c>
      <c r="M198" s="15" t="e" cm="1">
        <f t="array" ref="M198">--_xlfn.LET(
    _xlpm.txt, MacReports!H198,
    _xlpm.chars, MID(_xlpm.txt, _xlfn.SEQUENCE(LEN(_xlpm.txt)), 1),
    _xlfn.TEXTJOIN("", TRUE, IF(ISNUMBER(--_xlpm.chars), _xlpm.chars, ""))
)</f>
        <v>#VALUE!</v>
      </c>
      <c r="N198" s="16" t="str" cm="1">
        <f t="array" ref="N198">_xlfn.IFS(
   --MacReports!M198&lt;55,"Battery Defect",
  -- MacReports!M198&lt;=69,"Battery D",
  --MacReports!M198&lt;=80,"Battery C",
 --MacReports!M198&gt;80,""
)</f>
        <v>Battery Defect</v>
      </c>
      <c r="O198" s="16" t="str">
        <f>IF(MacReports!I198="Service","Battery Service","")</f>
        <v/>
      </c>
      <c r="P198" s="13">
        <f>MacReports!P198</f>
        <v>0</v>
      </c>
      <c r="Q198" s="13" t="str">
        <f>IF(MacReports!J198="Enabled","Apple ID Lock","")</f>
        <v/>
      </c>
      <c r="R198" s="13" t="str">
        <f>IF(MacReports!L198="y","Remote Locked","")</f>
        <v/>
      </c>
      <c r="S198" t="str">
        <f t="shared" si="7"/>
        <v>Battery Defect, 0</v>
      </c>
      <c r="T198" t="str">
        <f>_xlfn.XLOOKUP(B198,Disk_Pivot!G:G,Disk_Pivot!I:I)</f>
        <v>Yes x2</v>
      </c>
      <c r="U198" t="str">
        <f>_xlfn.XLOOKUP(B198,Disk_Pivot!G:G,Disk_Pivot!N:N)</f>
        <v>Pass, Fail</v>
      </c>
      <c r="V198" t="str">
        <f>IF(U198="Fail",MacReports!N198,"")</f>
        <v/>
      </c>
      <c r="AB198" t="str">
        <f t="shared" si="8"/>
        <v/>
      </c>
    </row>
    <row r="199" spans="1:28">
      <c r="A199" t="str">
        <f>MacReports!A199</f>
        <v/>
      </c>
      <c r="B199">
        <f>MacReports!B199</f>
        <v>0</v>
      </c>
      <c r="C199">
        <f>MacReports!C199</f>
        <v>0</v>
      </c>
      <c r="E199" t="e">
        <f>_xlfn.XLOOKUP(G199,Models!A:A,Models!F:F)</f>
        <v>#N/A</v>
      </c>
      <c r="F199" t="str">
        <f>_xlfn.XLOOKUP(B199,MacReports!B:B,MacReports!D:D,"")</f>
        <v/>
      </c>
      <c r="G199" s="13">
        <f>MacReports!E199</f>
        <v>0</v>
      </c>
      <c r="H199" t="e">
        <f>_xlfn.XLOOKUP(G199,Models!A:A,Models!B:B)</f>
        <v>#N/A</v>
      </c>
      <c r="I199" t="e">
        <f>_xlfn.XLOOKUP(G199,Models!A:A,Models!E:E)</f>
        <v>#N/A</v>
      </c>
      <c r="J199" t="e">
        <f>_xlfn.XLOOKUP(G199,Models!A:A,Models!D:D)</f>
        <v>#N/A</v>
      </c>
      <c r="K199">
        <f>MacReports!F199</f>
        <v>0</v>
      </c>
      <c r="L199">
        <f>MacReports!G199</f>
        <v>0</v>
      </c>
      <c r="M199" s="15" t="e" cm="1">
        <f t="array" ref="M199">--_xlfn.LET(
    _xlpm.txt, MacReports!H199,
    _xlpm.chars, MID(_xlpm.txt, _xlfn.SEQUENCE(LEN(_xlpm.txt)), 1),
    _xlfn.TEXTJOIN("", TRUE, IF(ISNUMBER(--_xlpm.chars), _xlpm.chars, ""))
)</f>
        <v>#VALUE!</v>
      </c>
      <c r="N199" s="16" t="str" cm="1">
        <f t="array" ref="N199">_xlfn.IFS(
   --MacReports!M199&lt;55,"Battery Defect",
  -- MacReports!M199&lt;=69,"Battery D",
  --MacReports!M199&lt;=80,"Battery C",
 --MacReports!M199&gt;80,""
)</f>
        <v>Battery Defect</v>
      </c>
      <c r="O199" s="16" t="str">
        <f>IF(MacReports!I199="Service","Battery Service","")</f>
        <v/>
      </c>
      <c r="P199" s="13">
        <f>MacReports!P199</f>
        <v>0</v>
      </c>
      <c r="Q199" s="13" t="str">
        <f>IF(MacReports!J199="Enabled","Apple ID Lock","")</f>
        <v/>
      </c>
      <c r="R199" s="13" t="str">
        <f>IF(MacReports!L199="y","Remote Locked","")</f>
        <v/>
      </c>
      <c r="S199" t="str">
        <f t="shared" si="7"/>
        <v>Battery Defect, 0</v>
      </c>
      <c r="T199" t="str">
        <f>_xlfn.XLOOKUP(B199,Disk_Pivot!G:G,Disk_Pivot!I:I)</f>
        <v>Yes x2</v>
      </c>
      <c r="U199" t="str">
        <f>_xlfn.XLOOKUP(B199,Disk_Pivot!G:G,Disk_Pivot!N:N)</f>
        <v>Pass, Fail</v>
      </c>
      <c r="V199" t="str">
        <f>IF(U199="Fail",MacReports!N199,"")</f>
        <v/>
      </c>
      <c r="AB199" t="str">
        <f t="shared" si="8"/>
        <v/>
      </c>
    </row>
    <row r="200" spans="1:28">
      <c r="A200" t="str">
        <f>MacReports!A200</f>
        <v/>
      </c>
      <c r="B200">
        <f>MacReports!B200</f>
        <v>0</v>
      </c>
      <c r="C200">
        <f>MacReports!C200</f>
        <v>0</v>
      </c>
      <c r="E200" t="e">
        <f>_xlfn.XLOOKUP(G200,Models!A:A,Models!F:F)</f>
        <v>#N/A</v>
      </c>
      <c r="F200" t="str">
        <f>_xlfn.XLOOKUP(B200,MacReports!B:B,MacReports!D:D,"")</f>
        <v/>
      </c>
      <c r="G200" s="13">
        <f>MacReports!E200</f>
        <v>0</v>
      </c>
      <c r="H200" t="e">
        <f>_xlfn.XLOOKUP(G200,Models!A:A,Models!B:B)</f>
        <v>#N/A</v>
      </c>
      <c r="I200" t="e">
        <f>_xlfn.XLOOKUP(G200,Models!A:A,Models!E:E)</f>
        <v>#N/A</v>
      </c>
      <c r="J200" t="e">
        <f>_xlfn.XLOOKUP(G200,Models!A:A,Models!D:D)</f>
        <v>#N/A</v>
      </c>
      <c r="K200">
        <f>MacReports!F200</f>
        <v>0</v>
      </c>
      <c r="L200">
        <f>MacReports!G200</f>
        <v>0</v>
      </c>
      <c r="M200" s="15" t="e" cm="1">
        <f t="array" ref="M200">--_xlfn.LET(
    _xlpm.txt, MacReports!H200,
    _xlpm.chars, MID(_xlpm.txt, _xlfn.SEQUENCE(LEN(_xlpm.txt)), 1),
    _xlfn.TEXTJOIN("", TRUE, IF(ISNUMBER(--_xlpm.chars), _xlpm.chars, ""))
)</f>
        <v>#VALUE!</v>
      </c>
      <c r="N200" s="16" t="str" cm="1">
        <f t="array" ref="N200">_xlfn.IFS(
   --MacReports!M200&lt;55,"Battery Defect",
  -- MacReports!M200&lt;=69,"Battery D",
  --MacReports!M200&lt;=80,"Battery C",
 --MacReports!M200&gt;80,""
)</f>
        <v>Battery Defect</v>
      </c>
      <c r="O200" s="16" t="str">
        <f>IF(MacReports!I200="Service","Battery Service","")</f>
        <v/>
      </c>
      <c r="P200" s="13">
        <f>MacReports!P200</f>
        <v>0</v>
      </c>
      <c r="Q200" s="13" t="str">
        <f>IF(MacReports!J200="Enabled","Apple ID Lock","")</f>
        <v/>
      </c>
      <c r="R200" s="13" t="str">
        <f>IF(MacReports!L200="y","Remote Locked","")</f>
        <v/>
      </c>
      <c r="S200" t="str">
        <f t="shared" si="7"/>
        <v>Battery Defect, 0</v>
      </c>
      <c r="T200" t="str">
        <f>_xlfn.XLOOKUP(B200,Disk_Pivot!G:G,Disk_Pivot!I:I)</f>
        <v>Yes x2</v>
      </c>
      <c r="U200" t="str">
        <f>_xlfn.XLOOKUP(B200,Disk_Pivot!G:G,Disk_Pivot!N:N)</f>
        <v>Pass, Fail</v>
      </c>
      <c r="V200" t="str">
        <f>IF(U200="Fail",MacReports!N200,"")</f>
        <v/>
      </c>
      <c r="AB200" t="str">
        <f t="shared" si="8"/>
        <v/>
      </c>
    </row>
    <row r="201" spans="1:28">
      <c r="A201" t="str">
        <f>MacReports!A201</f>
        <v/>
      </c>
      <c r="B201">
        <f>MacReports!B201</f>
        <v>0</v>
      </c>
      <c r="C201">
        <f>MacReports!C201</f>
        <v>0</v>
      </c>
      <c r="E201" t="e">
        <f>_xlfn.XLOOKUP(G201,Models!A:A,Models!F:F)</f>
        <v>#N/A</v>
      </c>
      <c r="F201" t="str">
        <f>_xlfn.XLOOKUP(B201,MacReports!B:B,MacReports!D:D,"")</f>
        <v/>
      </c>
      <c r="G201" s="13">
        <f>MacReports!E201</f>
        <v>0</v>
      </c>
      <c r="H201" t="e">
        <f>_xlfn.XLOOKUP(G201,Models!A:A,Models!B:B)</f>
        <v>#N/A</v>
      </c>
      <c r="I201" t="e">
        <f>_xlfn.XLOOKUP(G201,Models!A:A,Models!E:E)</f>
        <v>#N/A</v>
      </c>
      <c r="J201" t="e">
        <f>_xlfn.XLOOKUP(G201,Models!A:A,Models!D:D)</f>
        <v>#N/A</v>
      </c>
      <c r="K201">
        <f>MacReports!F201</f>
        <v>0</v>
      </c>
      <c r="L201">
        <f>MacReports!G201</f>
        <v>0</v>
      </c>
      <c r="M201" s="15" t="e" cm="1">
        <f t="array" ref="M201">--_xlfn.LET(
    _xlpm.txt, MacReports!H201,
    _xlpm.chars, MID(_xlpm.txt, _xlfn.SEQUENCE(LEN(_xlpm.txt)), 1),
    _xlfn.TEXTJOIN("", TRUE, IF(ISNUMBER(--_xlpm.chars), _xlpm.chars, ""))
)</f>
        <v>#VALUE!</v>
      </c>
      <c r="N201" s="16" t="str" cm="1">
        <f t="array" ref="N201">_xlfn.IFS(
   --MacReports!M201&lt;55,"Battery Defect",
  -- MacReports!M201&lt;=69,"Battery D",
  --MacReports!M201&lt;=80,"Battery C",
 --MacReports!M201&gt;80,""
)</f>
        <v>Battery Defect</v>
      </c>
      <c r="O201" s="16" t="str">
        <f>IF(MacReports!I201="Service","Battery Service","")</f>
        <v/>
      </c>
      <c r="P201" s="13">
        <f>MacReports!P201</f>
        <v>0</v>
      </c>
      <c r="Q201" s="13" t="str">
        <f>IF(MacReports!J201="Enabled","Apple ID Lock","")</f>
        <v/>
      </c>
      <c r="R201" s="13" t="str">
        <f>IF(MacReports!L201="y","Remote Locked","")</f>
        <v/>
      </c>
      <c r="S201" t="str">
        <f t="shared" si="7"/>
        <v>Battery Defect, 0</v>
      </c>
      <c r="T201" t="str">
        <f>_xlfn.XLOOKUP(B201,Disk_Pivot!G:G,Disk_Pivot!I:I)</f>
        <v>Yes x2</v>
      </c>
      <c r="U201" t="str">
        <f>_xlfn.XLOOKUP(B201,Disk_Pivot!G:G,Disk_Pivot!N:N)</f>
        <v>Pass, Fail</v>
      </c>
      <c r="V201" t="str">
        <f>IF(U201="Fail",MacReports!N201,"")</f>
        <v/>
      </c>
      <c r="AB201" t="str">
        <f t="shared" si="8"/>
        <v/>
      </c>
    </row>
    <row r="202" spans="1:28">
      <c r="A202" t="str">
        <f>MacReports!A202</f>
        <v/>
      </c>
      <c r="B202">
        <f>MacReports!B202</f>
        <v>0</v>
      </c>
      <c r="C202">
        <f>MacReports!C202</f>
        <v>0</v>
      </c>
      <c r="E202" t="e">
        <f>_xlfn.XLOOKUP(G202,Models!A:A,Models!F:F)</f>
        <v>#N/A</v>
      </c>
      <c r="F202" t="str">
        <f>_xlfn.XLOOKUP(B202,MacReports!B:B,MacReports!D:D,"")</f>
        <v/>
      </c>
      <c r="G202" s="13">
        <f>MacReports!E202</f>
        <v>0</v>
      </c>
      <c r="H202" t="e">
        <f>_xlfn.XLOOKUP(G202,Models!A:A,Models!B:B)</f>
        <v>#N/A</v>
      </c>
      <c r="I202" t="e">
        <f>_xlfn.XLOOKUP(G202,Models!A:A,Models!E:E)</f>
        <v>#N/A</v>
      </c>
      <c r="J202" t="e">
        <f>_xlfn.XLOOKUP(G202,Models!A:A,Models!D:D)</f>
        <v>#N/A</v>
      </c>
      <c r="K202">
        <f>MacReports!F202</f>
        <v>0</v>
      </c>
      <c r="L202">
        <f>MacReports!G202</f>
        <v>0</v>
      </c>
      <c r="M202" s="15" t="e" cm="1">
        <f t="array" ref="M202">--_xlfn.LET(
    _xlpm.txt, MacReports!H202,
    _xlpm.chars, MID(_xlpm.txt, _xlfn.SEQUENCE(LEN(_xlpm.txt)), 1),
    _xlfn.TEXTJOIN("", TRUE, IF(ISNUMBER(--_xlpm.chars), _xlpm.chars, ""))
)</f>
        <v>#VALUE!</v>
      </c>
      <c r="N202" s="16" t="str" cm="1">
        <f t="array" ref="N202">_xlfn.IFS(
   --MacReports!M202&lt;55,"Battery Defect",
  -- MacReports!M202&lt;=69,"Battery D",
  --MacReports!M202&lt;=80,"Battery C",
 --MacReports!M202&gt;80,""
)</f>
        <v>Battery Defect</v>
      </c>
      <c r="O202" s="16" t="str">
        <f>IF(MacReports!I202="Service","Battery Service","")</f>
        <v/>
      </c>
      <c r="P202" s="13">
        <f>MacReports!P202</f>
        <v>0</v>
      </c>
      <c r="Q202" s="13" t="str">
        <f>IF(MacReports!J202="Enabled","Apple ID Lock","")</f>
        <v/>
      </c>
      <c r="R202" s="13" t="str">
        <f>IF(MacReports!L202="y","Remote Locked","")</f>
        <v/>
      </c>
      <c r="S202" t="str">
        <f t="shared" si="7"/>
        <v>Battery Defect, 0</v>
      </c>
      <c r="T202" t="str">
        <f>_xlfn.XLOOKUP(B202,Disk_Pivot!G:G,Disk_Pivot!I:I)</f>
        <v>Yes x2</v>
      </c>
      <c r="U202" t="str">
        <f>_xlfn.XLOOKUP(B202,Disk_Pivot!G:G,Disk_Pivot!N:N)</f>
        <v>Pass, Fail</v>
      </c>
      <c r="V202" t="str">
        <f>IF(U202="Fail",MacReports!N202,"")</f>
        <v/>
      </c>
      <c r="AB202" t="str">
        <f t="shared" si="8"/>
        <v/>
      </c>
    </row>
    <row r="203" spans="1:28">
      <c r="A203" t="str">
        <f>MacReports!A203</f>
        <v/>
      </c>
      <c r="B203">
        <f>MacReports!B203</f>
        <v>0</v>
      </c>
      <c r="C203">
        <f>MacReports!C203</f>
        <v>0</v>
      </c>
      <c r="E203" t="e">
        <f>_xlfn.XLOOKUP(G203,Models!A:A,Models!F:F)</f>
        <v>#N/A</v>
      </c>
      <c r="F203" t="str">
        <f>_xlfn.XLOOKUP(B203,MacReports!B:B,MacReports!D:D,"")</f>
        <v/>
      </c>
      <c r="G203" s="13">
        <f>MacReports!E203</f>
        <v>0</v>
      </c>
      <c r="H203" t="e">
        <f>_xlfn.XLOOKUP(G203,Models!A:A,Models!B:B)</f>
        <v>#N/A</v>
      </c>
      <c r="I203" t="e">
        <f>_xlfn.XLOOKUP(G203,Models!A:A,Models!E:E)</f>
        <v>#N/A</v>
      </c>
      <c r="J203" t="e">
        <f>_xlfn.XLOOKUP(G203,Models!A:A,Models!D:D)</f>
        <v>#N/A</v>
      </c>
      <c r="K203">
        <f>MacReports!F203</f>
        <v>0</v>
      </c>
      <c r="L203">
        <f>MacReports!G203</f>
        <v>0</v>
      </c>
      <c r="M203" s="15" t="e" cm="1">
        <f t="array" ref="M203">--_xlfn.LET(
    _xlpm.txt, MacReports!H203,
    _xlpm.chars, MID(_xlpm.txt, _xlfn.SEQUENCE(LEN(_xlpm.txt)), 1),
    _xlfn.TEXTJOIN("", TRUE, IF(ISNUMBER(--_xlpm.chars), _xlpm.chars, ""))
)</f>
        <v>#VALUE!</v>
      </c>
      <c r="N203" s="16" t="str" cm="1">
        <f t="array" ref="N203">_xlfn.IFS(
   --MacReports!M203&lt;55,"Battery Defect",
  -- MacReports!M203&lt;=69,"Battery D",
  --MacReports!M203&lt;=80,"Battery C",
 --MacReports!M203&gt;80,""
)</f>
        <v>Battery Defect</v>
      </c>
      <c r="O203" s="16" t="str">
        <f>IF(MacReports!I203="Service","Battery Service","")</f>
        <v/>
      </c>
      <c r="P203" s="13">
        <f>MacReports!P203</f>
        <v>0</v>
      </c>
      <c r="Q203" s="13" t="str">
        <f>IF(MacReports!J203="Enabled","Apple ID Lock","")</f>
        <v/>
      </c>
      <c r="R203" s="13" t="str">
        <f>IF(MacReports!L203="y","Remote Locked","")</f>
        <v/>
      </c>
      <c r="S203" t="str">
        <f t="shared" si="7"/>
        <v>Battery Defect, 0</v>
      </c>
      <c r="T203" t="str">
        <f>_xlfn.XLOOKUP(B203,Disk_Pivot!G:G,Disk_Pivot!I:I)</f>
        <v>Yes x2</v>
      </c>
      <c r="U203" t="str">
        <f>_xlfn.XLOOKUP(B203,Disk_Pivot!G:G,Disk_Pivot!N:N)</f>
        <v>Pass, Fail</v>
      </c>
      <c r="V203" t="str">
        <f>IF(U203="Fail",MacReports!N203,"")</f>
        <v/>
      </c>
      <c r="AB203" t="str">
        <f t="shared" si="8"/>
        <v/>
      </c>
    </row>
    <row r="204" spans="1:28">
      <c r="A204" t="str">
        <f>MacReports!A204</f>
        <v/>
      </c>
      <c r="B204">
        <f>MacReports!B204</f>
        <v>0</v>
      </c>
      <c r="C204">
        <f>MacReports!C204</f>
        <v>0</v>
      </c>
      <c r="E204" t="e">
        <f>_xlfn.XLOOKUP(G204,Models!A:A,Models!F:F)</f>
        <v>#N/A</v>
      </c>
      <c r="F204" t="str">
        <f>_xlfn.XLOOKUP(B204,MacReports!B:B,MacReports!D:D,"")</f>
        <v/>
      </c>
      <c r="G204" s="13">
        <f>MacReports!E204</f>
        <v>0</v>
      </c>
      <c r="H204" t="e">
        <f>_xlfn.XLOOKUP(G204,Models!A:A,Models!B:B)</f>
        <v>#N/A</v>
      </c>
      <c r="I204" t="e">
        <f>_xlfn.XLOOKUP(G204,Models!A:A,Models!E:E)</f>
        <v>#N/A</v>
      </c>
      <c r="J204" t="e">
        <f>_xlfn.XLOOKUP(G204,Models!A:A,Models!D:D)</f>
        <v>#N/A</v>
      </c>
      <c r="K204">
        <f>MacReports!F204</f>
        <v>0</v>
      </c>
      <c r="L204">
        <f>MacReports!G204</f>
        <v>0</v>
      </c>
      <c r="M204" s="15" t="e" cm="1">
        <f t="array" ref="M204">--_xlfn.LET(
    _xlpm.txt, MacReports!H204,
    _xlpm.chars, MID(_xlpm.txt, _xlfn.SEQUENCE(LEN(_xlpm.txt)), 1),
    _xlfn.TEXTJOIN("", TRUE, IF(ISNUMBER(--_xlpm.chars), _xlpm.chars, ""))
)</f>
        <v>#VALUE!</v>
      </c>
      <c r="N204" s="16" t="str" cm="1">
        <f t="array" ref="N204">_xlfn.IFS(
   --MacReports!M204&lt;55,"Battery Defect",
  -- MacReports!M204&lt;=69,"Battery D",
  --MacReports!M204&lt;=80,"Battery C",
 --MacReports!M204&gt;80,""
)</f>
        <v>Battery Defect</v>
      </c>
      <c r="O204" s="16" t="str">
        <f>IF(MacReports!I204="Service","Battery Service","")</f>
        <v/>
      </c>
      <c r="P204" s="13">
        <f>MacReports!P204</f>
        <v>0</v>
      </c>
      <c r="Q204" s="13" t="str">
        <f>IF(MacReports!J204="Enabled","Apple ID Lock","")</f>
        <v/>
      </c>
      <c r="R204" s="13" t="str">
        <f>IF(MacReports!L204="y","Remote Locked","")</f>
        <v/>
      </c>
      <c r="S204" t="str">
        <f t="shared" si="7"/>
        <v>Battery Defect, 0</v>
      </c>
      <c r="T204" t="str">
        <f>_xlfn.XLOOKUP(B204,Disk_Pivot!G:G,Disk_Pivot!I:I)</f>
        <v>Yes x2</v>
      </c>
      <c r="U204" t="str">
        <f>_xlfn.XLOOKUP(B204,Disk_Pivot!G:G,Disk_Pivot!N:N)</f>
        <v>Pass, Fail</v>
      </c>
      <c r="V204" t="str">
        <f>IF(U204="Fail",MacReports!N204,"")</f>
        <v/>
      </c>
      <c r="AB204" t="str">
        <f t="shared" si="8"/>
        <v/>
      </c>
    </row>
    <row r="205" spans="1:28">
      <c r="A205" t="str">
        <f>MacReports!A205</f>
        <v/>
      </c>
      <c r="B205">
        <f>MacReports!B205</f>
        <v>0</v>
      </c>
      <c r="C205">
        <f>MacReports!C205</f>
        <v>0</v>
      </c>
      <c r="E205" t="e">
        <f>_xlfn.XLOOKUP(G205,Models!A:A,Models!F:F)</f>
        <v>#N/A</v>
      </c>
      <c r="F205" t="str">
        <f>_xlfn.XLOOKUP(B205,MacReports!B:B,MacReports!D:D,"")</f>
        <v/>
      </c>
      <c r="G205" s="13">
        <f>MacReports!E205</f>
        <v>0</v>
      </c>
      <c r="H205" t="e">
        <f>_xlfn.XLOOKUP(G205,Models!A:A,Models!B:B)</f>
        <v>#N/A</v>
      </c>
      <c r="I205" t="e">
        <f>_xlfn.XLOOKUP(G205,Models!A:A,Models!E:E)</f>
        <v>#N/A</v>
      </c>
      <c r="J205" t="e">
        <f>_xlfn.XLOOKUP(G205,Models!A:A,Models!D:D)</f>
        <v>#N/A</v>
      </c>
      <c r="K205">
        <f>MacReports!F205</f>
        <v>0</v>
      </c>
      <c r="L205">
        <f>MacReports!G205</f>
        <v>0</v>
      </c>
      <c r="M205" s="15" t="e" cm="1">
        <f t="array" ref="M205">--_xlfn.LET(
    _xlpm.txt, MacReports!H205,
    _xlpm.chars, MID(_xlpm.txt, _xlfn.SEQUENCE(LEN(_xlpm.txt)), 1),
    _xlfn.TEXTJOIN("", TRUE, IF(ISNUMBER(--_xlpm.chars), _xlpm.chars, ""))
)</f>
        <v>#VALUE!</v>
      </c>
      <c r="N205" s="16" t="str" cm="1">
        <f t="array" ref="N205">_xlfn.IFS(
   --MacReports!M205&lt;55,"Battery Defect",
  -- MacReports!M205&lt;=69,"Battery D",
  --MacReports!M205&lt;=80,"Battery C",
 --MacReports!M205&gt;80,""
)</f>
        <v>Battery Defect</v>
      </c>
      <c r="O205" s="16" t="str">
        <f>IF(MacReports!I205="Service","Battery Service","")</f>
        <v/>
      </c>
      <c r="P205" s="13">
        <f>MacReports!P205</f>
        <v>0</v>
      </c>
      <c r="Q205" s="13" t="str">
        <f>IF(MacReports!J205="Enabled","Apple ID Lock","")</f>
        <v/>
      </c>
      <c r="R205" s="13" t="str">
        <f>IF(MacReports!L205="y","Remote Locked","")</f>
        <v/>
      </c>
      <c r="S205" t="str">
        <f t="shared" si="7"/>
        <v>Battery Defect, 0</v>
      </c>
      <c r="T205" t="str">
        <f>_xlfn.XLOOKUP(B205,Disk_Pivot!G:G,Disk_Pivot!I:I)</f>
        <v>Yes x2</v>
      </c>
      <c r="U205" t="str">
        <f>_xlfn.XLOOKUP(B205,Disk_Pivot!G:G,Disk_Pivot!N:N)</f>
        <v>Pass, Fail</v>
      </c>
      <c r="V205" t="str">
        <f>IF(U205="Fail",MacReports!N205,"")</f>
        <v/>
      </c>
      <c r="AB205" t="str">
        <f t="shared" si="8"/>
        <v/>
      </c>
    </row>
    <row r="206" spans="1:28">
      <c r="A206" t="str">
        <f>MacReports!A206</f>
        <v/>
      </c>
      <c r="B206">
        <f>MacReports!B206</f>
        <v>0</v>
      </c>
      <c r="C206">
        <f>MacReports!C206</f>
        <v>0</v>
      </c>
      <c r="E206" t="e">
        <f>_xlfn.XLOOKUP(G206,Models!A:A,Models!F:F)</f>
        <v>#N/A</v>
      </c>
      <c r="F206" t="str">
        <f>_xlfn.XLOOKUP(B206,MacReports!B:B,MacReports!D:D,"")</f>
        <v/>
      </c>
      <c r="G206" s="13">
        <f>MacReports!E206</f>
        <v>0</v>
      </c>
      <c r="H206" t="e">
        <f>_xlfn.XLOOKUP(G206,Models!A:A,Models!B:B)</f>
        <v>#N/A</v>
      </c>
      <c r="I206" t="e">
        <f>_xlfn.XLOOKUP(G206,Models!A:A,Models!E:E)</f>
        <v>#N/A</v>
      </c>
      <c r="J206" t="e">
        <f>_xlfn.XLOOKUP(G206,Models!A:A,Models!D:D)</f>
        <v>#N/A</v>
      </c>
      <c r="K206">
        <f>MacReports!F206</f>
        <v>0</v>
      </c>
      <c r="L206">
        <f>MacReports!G206</f>
        <v>0</v>
      </c>
      <c r="M206" s="15" t="e" cm="1">
        <f t="array" ref="M206">--_xlfn.LET(
    _xlpm.txt, MacReports!H206,
    _xlpm.chars, MID(_xlpm.txt, _xlfn.SEQUENCE(LEN(_xlpm.txt)), 1),
    _xlfn.TEXTJOIN("", TRUE, IF(ISNUMBER(--_xlpm.chars), _xlpm.chars, ""))
)</f>
        <v>#VALUE!</v>
      </c>
      <c r="N206" s="16" t="str" cm="1">
        <f t="array" ref="N206">_xlfn.IFS(
   --MacReports!M206&lt;55,"Battery Defect",
  -- MacReports!M206&lt;=69,"Battery D",
  --MacReports!M206&lt;=80,"Battery C",
 --MacReports!M206&gt;80,""
)</f>
        <v>Battery Defect</v>
      </c>
      <c r="O206" s="16" t="str">
        <f>IF(MacReports!I206="Service","Battery Service","")</f>
        <v/>
      </c>
      <c r="P206" s="13">
        <f>MacReports!P206</f>
        <v>0</v>
      </c>
      <c r="Q206" s="13" t="str">
        <f>IF(MacReports!J206="Enabled","Apple ID Lock","")</f>
        <v/>
      </c>
      <c r="R206" s="13" t="str">
        <f>IF(MacReports!L206="y","Remote Locked","")</f>
        <v/>
      </c>
      <c r="S206" t="str">
        <f t="shared" si="7"/>
        <v>Battery Defect, 0</v>
      </c>
      <c r="T206" t="str">
        <f>_xlfn.XLOOKUP(B206,Disk_Pivot!G:G,Disk_Pivot!I:I)</f>
        <v>Yes x2</v>
      </c>
      <c r="U206" t="str">
        <f>_xlfn.XLOOKUP(B206,Disk_Pivot!G:G,Disk_Pivot!N:N)</f>
        <v>Pass, Fail</v>
      </c>
      <c r="V206" t="str">
        <f>IF(U206="Fail",MacReports!N206,"")</f>
        <v/>
      </c>
      <c r="AB206" t="str">
        <f t="shared" si="8"/>
        <v/>
      </c>
    </row>
    <row r="207" spans="1:28">
      <c r="A207" t="str">
        <f>MacReports!A207</f>
        <v/>
      </c>
      <c r="B207">
        <f>MacReports!B207</f>
        <v>0</v>
      </c>
      <c r="C207">
        <f>MacReports!C207</f>
        <v>0</v>
      </c>
      <c r="E207" t="e">
        <f>_xlfn.XLOOKUP(G207,Models!A:A,Models!F:F)</f>
        <v>#N/A</v>
      </c>
      <c r="F207" t="str">
        <f>_xlfn.XLOOKUP(B207,MacReports!B:B,MacReports!D:D,"")</f>
        <v/>
      </c>
      <c r="G207" s="13">
        <f>MacReports!E207</f>
        <v>0</v>
      </c>
      <c r="H207" t="e">
        <f>_xlfn.XLOOKUP(G207,Models!A:A,Models!B:B)</f>
        <v>#N/A</v>
      </c>
      <c r="I207" t="e">
        <f>_xlfn.XLOOKUP(G207,Models!A:A,Models!E:E)</f>
        <v>#N/A</v>
      </c>
      <c r="J207" t="e">
        <f>_xlfn.XLOOKUP(G207,Models!A:A,Models!D:D)</f>
        <v>#N/A</v>
      </c>
      <c r="K207">
        <f>MacReports!F207</f>
        <v>0</v>
      </c>
      <c r="L207">
        <f>MacReports!G207</f>
        <v>0</v>
      </c>
      <c r="M207" s="15" t="e" cm="1">
        <f t="array" ref="M207">--_xlfn.LET(
    _xlpm.txt, MacReports!H207,
    _xlpm.chars, MID(_xlpm.txt, _xlfn.SEQUENCE(LEN(_xlpm.txt)), 1),
    _xlfn.TEXTJOIN("", TRUE, IF(ISNUMBER(--_xlpm.chars), _xlpm.chars, ""))
)</f>
        <v>#VALUE!</v>
      </c>
      <c r="N207" s="16" t="str" cm="1">
        <f t="array" ref="N207">_xlfn.IFS(
   --MacReports!M207&lt;55,"Battery Defect",
  -- MacReports!M207&lt;=69,"Battery D",
  --MacReports!M207&lt;=80,"Battery C",
 --MacReports!M207&gt;80,""
)</f>
        <v>Battery Defect</v>
      </c>
      <c r="O207" s="16" t="str">
        <f>IF(MacReports!I207="Service","Battery Service","")</f>
        <v/>
      </c>
      <c r="P207" s="13">
        <f>MacReports!P207</f>
        <v>0</v>
      </c>
      <c r="Q207" s="13" t="str">
        <f>IF(MacReports!J207="Enabled","Apple ID Lock","")</f>
        <v/>
      </c>
      <c r="R207" s="13" t="str">
        <f>IF(MacReports!L207="y","Remote Locked","")</f>
        <v/>
      </c>
      <c r="S207" t="str">
        <f t="shared" si="7"/>
        <v>Battery Defect, 0</v>
      </c>
      <c r="T207" t="str">
        <f>_xlfn.XLOOKUP(B207,Disk_Pivot!G:G,Disk_Pivot!I:I)</f>
        <v>Yes x2</v>
      </c>
      <c r="U207" t="str">
        <f>_xlfn.XLOOKUP(B207,Disk_Pivot!G:G,Disk_Pivot!N:N)</f>
        <v>Pass, Fail</v>
      </c>
      <c r="V207" t="str">
        <f>IF(U207="Fail",MacReports!N207,"")</f>
        <v/>
      </c>
      <c r="AB207" t="str">
        <f t="shared" si="8"/>
        <v/>
      </c>
    </row>
    <row r="208" spans="1:28">
      <c r="A208" t="str">
        <f>MacReports!A208</f>
        <v/>
      </c>
      <c r="B208">
        <f>MacReports!B208</f>
        <v>0</v>
      </c>
      <c r="C208">
        <f>MacReports!C208</f>
        <v>0</v>
      </c>
      <c r="E208" t="e">
        <f>_xlfn.XLOOKUP(G208,Models!A:A,Models!F:F)</f>
        <v>#N/A</v>
      </c>
      <c r="F208" t="str">
        <f>_xlfn.XLOOKUP(B208,MacReports!B:B,MacReports!D:D,"")</f>
        <v/>
      </c>
      <c r="G208" s="13">
        <f>MacReports!E208</f>
        <v>0</v>
      </c>
      <c r="H208" t="e">
        <f>_xlfn.XLOOKUP(G208,Models!A:A,Models!B:B)</f>
        <v>#N/A</v>
      </c>
      <c r="I208" t="e">
        <f>_xlfn.XLOOKUP(G208,Models!A:A,Models!E:E)</f>
        <v>#N/A</v>
      </c>
      <c r="J208" t="e">
        <f>_xlfn.XLOOKUP(G208,Models!A:A,Models!D:D)</f>
        <v>#N/A</v>
      </c>
      <c r="K208">
        <f>MacReports!F208</f>
        <v>0</v>
      </c>
      <c r="L208">
        <f>MacReports!G208</f>
        <v>0</v>
      </c>
      <c r="M208" s="15" t="e" cm="1">
        <f t="array" ref="M208">--_xlfn.LET(
    _xlpm.txt, MacReports!H208,
    _xlpm.chars, MID(_xlpm.txt, _xlfn.SEQUENCE(LEN(_xlpm.txt)), 1),
    _xlfn.TEXTJOIN("", TRUE, IF(ISNUMBER(--_xlpm.chars), _xlpm.chars, ""))
)</f>
        <v>#VALUE!</v>
      </c>
      <c r="N208" s="16" t="str" cm="1">
        <f t="array" ref="N208">_xlfn.IFS(
   --MacReports!M208&lt;55,"Battery Defect",
  -- MacReports!M208&lt;=69,"Battery D",
  --MacReports!M208&lt;=80,"Battery C",
 --MacReports!M208&gt;80,""
)</f>
        <v>Battery Defect</v>
      </c>
      <c r="O208" s="16" t="str">
        <f>IF(MacReports!I208="Service","Battery Service","")</f>
        <v/>
      </c>
      <c r="P208" s="13">
        <f>MacReports!P208</f>
        <v>0</v>
      </c>
      <c r="Q208" s="13" t="str">
        <f>IF(MacReports!J208="Enabled","Apple ID Lock","")</f>
        <v/>
      </c>
      <c r="R208" s="13" t="str">
        <f>IF(MacReports!L208="y","Remote Locked","")</f>
        <v/>
      </c>
      <c r="S208" t="str">
        <f t="shared" si="7"/>
        <v>Battery Defect, 0</v>
      </c>
      <c r="T208" t="str">
        <f>_xlfn.XLOOKUP(B208,Disk_Pivot!G:G,Disk_Pivot!I:I)</f>
        <v>Yes x2</v>
      </c>
      <c r="U208" t="str">
        <f>_xlfn.XLOOKUP(B208,Disk_Pivot!G:G,Disk_Pivot!N:N)</f>
        <v>Pass, Fail</v>
      </c>
      <c r="V208" t="str">
        <f>IF(U208="Fail",MacReports!N208,"")</f>
        <v/>
      </c>
      <c r="AB208" t="str">
        <f t="shared" si="8"/>
        <v/>
      </c>
    </row>
    <row r="209" spans="1:28">
      <c r="A209" t="str">
        <f>MacReports!A209</f>
        <v/>
      </c>
      <c r="B209">
        <f>MacReports!B209</f>
        <v>0</v>
      </c>
      <c r="C209">
        <f>MacReports!C209</f>
        <v>0</v>
      </c>
      <c r="E209" t="e">
        <f>_xlfn.XLOOKUP(G209,Models!A:A,Models!F:F)</f>
        <v>#N/A</v>
      </c>
      <c r="F209" t="str">
        <f>_xlfn.XLOOKUP(B209,MacReports!B:B,MacReports!D:D,"")</f>
        <v/>
      </c>
      <c r="G209" s="13">
        <f>MacReports!E209</f>
        <v>0</v>
      </c>
      <c r="H209" t="e">
        <f>_xlfn.XLOOKUP(G209,Models!A:A,Models!B:B)</f>
        <v>#N/A</v>
      </c>
      <c r="I209" t="e">
        <f>_xlfn.XLOOKUP(G209,Models!A:A,Models!E:E)</f>
        <v>#N/A</v>
      </c>
      <c r="J209" t="e">
        <f>_xlfn.XLOOKUP(G209,Models!A:A,Models!D:D)</f>
        <v>#N/A</v>
      </c>
      <c r="K209">
        <f>MacReports!F209</f>
        <v>0</v>
      </c>
      <c r="L209">
        <f>MacReports!G209</f>
        <v>0</v>
      </c>
      <c r="M209" s="15" t="e" cm="1">
        <f t="array" ref="M209">--_xlfn.LET(
    _xlpm.txt, MacReports!H209,
    _xlpm.chars, MID(_xlpm.txt, _xlfn.SEQUENCE(LEN(_xlpm.txt)), 1),
    _xlfn.TEXTJOIN("", TRUE, IF(ISNUMBER(--_xlpm.chars), _xlpm.chars, ""))
)</f>
        <v>#VALUE!</v>
      </c>
      <c r="N209" s="16" t="str" cm="1">
        <f t="array" ref="N209">_xlfn.IFS(
   --MacReports!M209&lt;55,"Battery Defect",
  -- MacReports!M209&lt;=69,"Battery D",
  --MacReports!M209&lt;=80,"Battery C",
 --MacReports!M209&gt;80,""
)</f>
        <v>Battery Defect</v>
      </c>
      <c r="O209" s="16" t="str">
        <f>IF(MacReports!I209="Service","Battery Service","")</f>
        <v/>
      </c>
      <c r="P209" s="13">
        <f>MacReports!P209</f>
        <v>0</v>
      </c>
      <c r="Q209" s="13" t="str">
        <f>IF(MacReports!J209="Enabled","Apple ID Lock","")</f>
        <v/>
      </c>
      <c r="R209" s="13" t="str">
        <f>IF(MacReports!L209="y","Remote Locked","")</f>
        <v/>
      </c>
      <c r="S209" t="str">
        <f t="shared" si="7"/>
        <v>Battery Defect, 0</v>
      </c>
      <c r="T209" t="str">
        <f>_xlfn.XLOOKUP(B209,Disk_Pivot!G:G,Disk_Pivot!I:I)</f>
        <v>Yes x2</v>
      </c>
      <c r="U209" t="str">
        <f>_xlfn.XLOOKUP(B209,Disk_Pivot!G:G,Disk_Pivot!N:N)</f>
        <v>Pass, Fail</v>
      </c>
      <c r="V209" t="str">
        <f>IF(U209="Fail",MacReports!N209,"")</f>
        <v/>
      </c>
      <c r="AB209" t="str">
        <f t="shared" si="8"/>
        <v/>
      </c>
    </row>
    <row r="210" spans="1:28">
      <c r="A210" t="str">
        <f>MacReports!A210</f>
        <v/>
      </c>
      <c r="B210">
        <f>MacReports!B210</f>
        <v>0</v>
      </c>
      <c r="C210">
        <f>MacReports!C210</f>
        <v>0</v>
      </c>
      <c r="E210" t="e">
        <f>_xlfn.XLOOKUP(G210,Models!A:A,Models!F:F)</f>
        <v>#N/A</v>
      </c>
      <c r="F210" t="str">
        <f>_xlfn.XLOOKUP(B210,MacReports!B:B,MacReports!D:D,"")</f>
        <v/>
      </c>
      <c r="G210" s="13">
        <f>MacReports!E210</f>
        <v>0</v>
      </c>
      <c r="H210" t="e">
        <f>_xlfn.XLOOKUP(G210,Models!A:A,Models!B:B)</f>
        <v>#N/A</v>
      </c>
      <c r="I210" t="e">
        <f>_xlfn.XLOOKUP(G210,Models!A:A,Models!E:E)</f>
        <v>#N/A</v>
      </c>
      <c r="J210" t="e">
        <f>_xlfn.XLOOKUP(G210,Models!A:A,Models!D:D)</f>
        <v>#N/A</v>
      </c>
      <c r="K210">
        <f>MacReports!F210</f>
        <v>0</v>
      </c>
      <c r="L210">
        <f>MacReports!G210</f>
        <v>0</v>
      </c>
      <c r="M210" s="15" t="e" cm="1">
        <f t="array" ref="M210">--_xlfn.LET(
    _xlpm.txt, MacReports!H210,
    _xlpm.chars, MID(_xlpm.txt, _xlfn.SEQUENCE(LEN(_xlpm.txt)), 1),
    _xlfn.TEXTJOIN("", TRUE, IF(ISNUMBER(--_xlpm.chars), _xlpm.chars, ""))
)</f>
        <v>#VALUE!</v>
      </c>
      <c r="N210" s="16" t="str" cm="1">
        <f t="array" ref="N210">_xlfn.IFS(
   --MacReports!M210&lt;55,"Battery Defect",
  -- MacReports!M210&lt;=69,"Battery D",
  --MacReports!M210&lt;=80,"Battery C",
 --MacReports!M210&gt;80,""
)</f>
        <v>Battery Defect</v>
      </c>
      <c r="O210" s="16" t="str">
        <f>IF(MacReports!I210="Service","Battery Service","")</f>
        <v/>
      </c>
      <c r="P210" s="13">
        <f>MacReports!P210</f>
        <v>0</v>
      </c>
      <c r="Q210" s="13" t="str">
        <f>IF(MacReports!J210="Enabled","Apple ID Lock","")</f>
        <v/>
      </c>
      <c r="R210" s="13" t="str">
        <f>IF(MacReports!L210="y","Remote Locked","")</f>
        <v/>
      </c>
      <c r="S210" t="str">
        <f t="shared" si="7"/>
        <v>Battery Defect, 0</v>
      </c>
      <c r="T210" t="str">
        <f>_xlfn.XLOOKUP(B210,Disk_Pivot!G:G,Disk_Pivot!I:I)</f>
        <v>Yes x2</v>
      </c>
      <c r="U210" t="str">
        <f>_xlfn.XLOOKUP(B210,Disk_Pivot!G:G,Disk_Pivot!N:N)</f>
        <v>Pass, Fail</v>
      </c>
      <c r="V210" t="str">
        <f>IF(U210="Fail",MacReports!N210,"")</f>
        <v/>
      </c>
      <c r="AB210" t="str">
        <f t="shared" si="8"/>
        <v/>
      </c>
    </row>
    <row r="211" spans="1:28">
      <c r="A211" t="str">
        <f>MacReports!A211</f>
        <v/>
      </c>
      <c r="B211">
        <f>MacReports!B211</f>
        <v>0</v>
      </c>
      <c r="C211">
        <f>MacReports!C211</f>
        <v>0</v>
      </c>
      <c r="E211" t="e">
        <f>_xlfn.XLOOKUP(G211,Models!A:A,Models!F:F)</f>
        <v>#N/A</v>
      </c>
      <c r="F211" t="str">
        <f>_xlfn.XLOOKUP(B211,MacReports!B:B,MacReports!D:D,"")</f>
        <v/>
      </c>
      <c r="G211" s="13">
        <f>MacReports!E211</f>
        <v>0</v>
      </c>
      <c r="H211" t="e">
        <f>_xlfn.XLOOKUP(G211,Models!A:A,Models!B:B)</f>
        <v>#N/A</v>
      </c>
      <c r="I211" t="e">
        <f>_xlfn.XLOOKUP(G211,Models!A:A,Models!E:E)</f>
        <v>#N/A</v>
      </c>
      <c r="J211" t="e">
        <f>_xlfn.XLOOKUP(G211,Models!A:A,Models!D:D)</f>
        <v>#N/A</v>
      </c>
      <c r="K211">
        <f>MacReports!F211</f>
        <v>0</v>
      </c>
      <c r="L211">
        <f>MacReports!G211</f>
        <v>0</v>
      </c>
      <c r="M211" s="15" t="e" cm="1">
        <f t="array" ref="M211">--_xlfn.LET(
    _xlpm.txt, MacReports!H211,
    _xlpm.chars, MID(_xlpm.txt, _xlfn.SEQUENCE(LEN(_xlpm.txt)), 1),
    _xlfn.TEXTJOIN("", TRUE, IF(ISNUMBER(--_xlpm.chars), _xlpm.chars, ""))
)</f>
        <v>#VALUE!</v>
      </c>
      <c r="N211" s="16" t="str" cm="1">
        <f t="array" ref="N211">_xlfn.IFS(
   --MacReports!M211&lt;55,"Battery Defect",
  -- MacReports!M211&lt;=69,"Battery D",
  --MacReports!M211&lt;=80,"Battery C",
 --MacReports!M211&gt;80,""
)</f>
        <v>Battery Defect</v>
      </c>
      <c r="O211" s="16" t="str">
        <f>IF(MacReports!I211="Service","Battery Service","")</f>
        <v/>
      </c>
      <c r="P211" s="13">
        <f>MacReports!P211</f>
        <v>0</v>
      </c>
      <c r="Q211" s="13" t="str">
        <f>IF(MacReports!J211="Enabled","Apple ID Lock","")</f>
        <v/>
      </c>
      <c r="R211" s="13" t="str">
        <f>IF(MacReports!L211="y","Remote Locked","")</f>
        <v/>
      </c>
      <c r="S211" t="str">
        <f t="shared" si="7"/>
        <v>Battery Defect, 0</v>
      </c>
      <c r="T211" t="str">
        <f>_xlfn.XLOOKUP(B211,Disk_Pivot!G:G,Disk_Pivot!I:I)</f>
        <v>Yes x2</v>
      </c>
      <c r="U211" t="str">
        <f>_xlfn.XLOOKUP(B211,Disk_Pivot!G:G,Disk_Pivot!N:N)</f>
        <v>Pass, Fail</v>
      </c>
      <c r="V211" t="str">
        <f>IF(U211="Fail",MacReports!N211,"")</f>
        <v/>
      </c>
      <c r="AB211" t="str">
        <f t="shared" si="8"/>
        <v/>
      </c>
    </row>
    <row r="212" spans="1:28">
      <c r="A212" t="str">
        <f>MacReports!A212</f>
        <v/>
      </c>
      <c r="B212">
        <f>MacReports!B212</f>
        <v>0</v>
      </c>
      <c r="C212">
        <f>MacReports!C212</f>
        <v>0</v>
      </c>
      <c r="E212" t="e">
        <f>_xlfn.XLOOKUP(G212,Models!A:A,Models!F:F)</f>
        <v>#N/A</v>
      </c>
      <c r="F212" t="str">
        <f>_xlfn.XLOOKUP(B212,MacReports!B:B,MacReports!D:D,"")</f>
        <v/>
      </c>
      <c r="G212" s="13">
        <f>MacReports!E212</f>
        <v>0</v>
      </c>
      <c r="H212" t="e">
        <f>_xlfn.XLOOKUP(G212,Models!A:A,Models!B:B)</f>
        <v>#N/A</v>
      </c>
      <c r="I212" t="e">
        <f>_xlfn.XLOOKUP(G212,Models!A:A,Models!E:E)</f>
        <v>#N/A</v>
      </c>
      <c r="J212" t="e">
        <f>_xlfn.XLOOKUP(G212,Models!A:A,Models!D:D)</f>
        <v>#N/A</v>
      </c>
      <c r="K212">
        <f>MacReports!F212</f>
        <v>0</v>
      </c>
      <c r="L212">
        <f>MacReports!G212</f>
        <v>0</v>
      </c>
      <c r="M212" s="15" t="e" cm="1">
        <f t="array" ref="M212">--_xlfn.LET(
    _xlpm.txt, MacReports!H212,
    _xlpm.chars, MID(_xlpm.txt, _xlfn.SEQUENCE(LEN(_xlpm.txt)), 1),
    _xlfn.TEXTJOIN("", TRUE, IF(ISNUMBER(--_xlpm.chars), _xlpm.chars, ""))
)</f>
        <v>#VALUE!</v>
      </c>
      <c r="N212" s="16" t="str" cm="1">
        <f t="array" ref="N212">_xlfn.IFS(
   --MacReports!M212&lt;55,"Battery Defect",
  -- MacReports!M212&lt;=69,"Battery D",
  --MacReports!M212&lt;=80,"Battery C",
 --MacReports!M212&gt;80,""
)</f>
        <v>Battery Defect</v>
      </c>
      <c r="O212" s="16" t="str">
        <f>IF(MacReports!I212="Service","Battery Service","")</f>
        <v/>
      </c>
      <c r="P212" s="13">
        <f>MacReports!P212</f>
        <v>0</v>
      </c>
      <c r="Q212" s="13" t="str">
        <f>IF(MacReports!J212="Enabled","Apple ID Lock","")</f>
        <v/>
      </c>
      <c r="R212" s="13" t="str">
        <f>IF(MacReports!L212="y","Remote Locked","")</f>
        <v/>
      </c>
      <c r="S212" t="str">
        <f t="shared" si="7"/>
        <v>Battery Defect, 0</v>
      </c>
      <c r="T212" t="str">
        <f>_xlfn.XLOOKUP(B212,Disk_Pivot!G:G,Disk_Pivot!I:I)</f>
        <v>Yes x2</v>
      </c>
      <c r="U212" t="str">
        <f>_xlfn.XLOOKUP(B212,Disk_Pivot!G:G,Disk_Pivot!N:N)</f>
        <v>Pass, Fail</v>
      </c>
      <c r="V212" t="str">
        <f>IF(U212="Fail",MacReports!N212,"")</f>
        <v/>
      </c>
      <c r="AB212" t="str">
        <f t="shared" si="8"/>
        <v/>
      </c>
    </row>
    <row r="213" spans="1:28">
      <c r="A213" t="str">
        <f>MacReports!A213</f>
        <v/>
      </c>
      <c r="B213">
        <f>MacReports!B213</f>
        <v>0</v>
      </c>
      <c r="C213">
        <f>MacReports!C213</f>
        <v>0</v>
      </c>
      <c r="E213" t="e">
        <f>_xlfn.XLOOKUP(G213,Models!A:A,Models!F:F)</f>
        <v>#N/A</v>
      </c>
      <c r="F213" t="str">
        <f>_xlfn.XLOOKUP(B213,MacReports!B:B,MacReports!D:D,"")</f>
        <v/>
      </c>
      <c r="G213" s="13">
        <f>MacReports!E213</f>
        <v>0</v>
      </c>
      <c r="H213" t="e">
        <f>_xlfn.XLOOKUP(G213,Models!A:A,Models!B:B)</f>
        <v>#N/A</v>
      </c>
      <c r="I213" t="e">
        <f>_xlfn.XLOOKUP(G213,Models!A:A,Models!E:E)</f>
        <v>#N/A</v>
      </c>
      <c r="J213" t="e">
        <f>_xlfn.XLOOKUP(G213,Models!A:A,Models!D:D)</f>
        <v>#N/A</v>
      </c>
      <c r="K213">
        <f>MacReports!F213</f>
        <v>0</v>
      </c>
      <c r="L213">
        <f>MacReports!G213</f>
        <v>0</v>
      </c>
      <c r="M213" s="15" t="e" cm="1">
        <f t="array" ref="M213">--_xlfn.LET(
    _xlpm.txt, MacReports!H213,
    _xlpm.chars, MID(_xlpm.txt, _xlfn.SEQUENCE(LEN(_xlpm.txt)), 1),
    _xlfn.TEXTJOIN("", TRUE, IF(ISNUMBER(--_xlpm.chars), _xlpm.chars, ""))
)</f>
        <v>#VALUE!</v>
      </c>
      <c r="N213" s="16" t="str" cm="1">
        <f t="array" ref="N213">_xlfn.IFS(
   --MacReports!M213&lt;55,"Battery Defect",
  -- MacReports!M213&lt;=69,"Battery D",
  --MacReports!M213&lt;=80,"Battery C",
 --MacReports!M213&gt;80,""
)</f>
        <v>Battery Defect</v>
      </c>
      <c r="O213" s="16" t="str">
        <f>IF(MacReports!I213="Service","Battery Service","")</f>
        <v/>
      </c>
      <c r="P213" s="13">
        <f>MacReports!P213</f>
        <v>0</v>
      </c>
      <c r="Q213" s="13" t="str">
        <f>IF(MacReports!J213="Enabled","Apple ID Lock","")</f>
        <v/>
      </c>
      <c r="R213" s="13" t="str">
        <f>IF(MacReports!L213="y","Remote Locked","")</f>
        <v/>
      </c>
      <c r="S213" t="str">
        <f t="shared" si="7"/>
        <v>Battery Defect, 0</v>
      </c>
      <c r="T213" t="str">
        <f>_xlfn.XLOOKUP(B213,Disk_Pivot!G:G,Disk_Pivot!I:I)</f>
        <v>Yes x2</v>
      </c>
      <c r="U213" t="str">
        <f>_xlfn.XLOOKUP(B213,Disk_Pivot!G:G,Disk_Pivot!N:N)</f>
        <v>Pass, Fail</v>
      </c>
      <c r="V213" t="str">
        <f>IF(U213="Fail",MacReports!N213,"")</f>
        <v/>
      </c>
      <c r="AB213" t="str">
        <f t="shared" si="8"/>
        <v/>
      </c>
    </row>
    <row r="214" spans="1:28">
      <c r="A214" t="str">
        <f>MacReports!A214</f>
        <v/>
      </c>
      <c r="B214">
        <f>MacReports!B214</f>
        <v>0</v>
      </c>
      <c r="C214">
        <f>MacReports!C214</f>
        <v>0</v>
      </c>
      <c r="E214" t="e">
        <f>_xlfn.XLOOKUP(G214,Models!A:A,Models!F:F)</f>
        <v>#N/A</v>
      </c>
      <c r="F214" t="str">
        <f>_xlfn.XLOOKUP(B214,MacReports!B:B,MacReports!D:D,"")</f>
        <v/>
      </c>
      <c r="G214" s="13">
        <f>MacReports!E214</f>
        <v>0</v>
      </c>
      <c r="H214" t="e">
        <f>_xlfn.XLOOKUP(G214,Models!A:A,Models!B:B)</f>
        <v>#N/A</v>
      </c>
      <c r="I214" t="e">
        <f>_xlfn.XLOOKUP(G214,Models!A:A,Models!E:E)</f>
        <v>#N/A</v>
      </c>
      <c r="J214" t="e">
        <f>_xlfn.XLOOKUP(G214,Models!A:A,Models!D:D)</f>
        <v>#N/A</v>
      </c>
      <c r="K214">
        <f>MacReports!F214</f>
        <v>0</v>
      </c>
      <c r="L214">
        <f>MacReports!G214</f>
        <v>0</v>
      </c>
      <c r="M214" s="15" t="e" cm="1">
        <f t="array" ref="M214">--_xlfn.LET(
    _xlpm.txt, MacReports!H214,
    _xlpm.chars, MID(_xlpm.txt, _xlfn.SEQUENCE(LEN(_xlpm.txt)), 1),
    _xlfn.TEXTJOIN("", TRUE, IF(ISNUMBER(--_xlpm.chars), _xlpm.chars, ""))
)</f>
        <v>#VALUE!</v>
      </c>
      <c r="N214" s="16" t="str" cm="1">
        <f t="array" ref="N214">_xlfn.IFS(
   --MacReports!M214&lt;55,"Battery Defect",
  -- MacReports!M214&lt;=69,"Battery D",
  --MacReports!M214&lt;=80,"Battery C",
 --MacReports!M214&gt;80,""
)</f>
        <v>Battery Defect</v>
      </c>
      <c r="O214" s="16" t="str">
        <f>IF(MacReports!I214="Service","Battery Service","")</f>
        <v/>
      </c>
      <c r="P214" s="13">
        <f>MacReports!P214</f>
        <v>0</v>
      </c>
      <c r="Q214" s="13" t="str">
        <f>IF(MacReports!J214="Enabled","Apple ID Lock","")</f>
        <v/>
      </c>
      <c r="R214" s="13" t="str">
        <f>IF(MacReports!L214="y","Remote Locked","")</f>
        <v/>
      </c>
      <c r="S214" t="str">
        <f t="shared" si="7"/>
        <v>Battery Defect, 0</v>
      </c>
      <c r="T214" t="str">
        <f>_xlfn.XLOOKUP(B214,Disk_Pivot!G:G,Disk_Pivot!I:I)</f>
        <v>Yes x2</v>
      </c>
      <c r="U214" t="str">
        <f>_xlfn.XLOOKUP(B214,Disk_Pivot!G:G,Disk_Pivot!N:N)</f>
        <v>Pass, Fail</v>
      </c>
      <c r="V214" t="str">
        <f>IF(U214="Fail",MacReports!N214,"")</f>
        <v/>
      </c>
      <c r="AB214" t="str">
        <f t="shared" si="8"/>
        <v/>
      </c>
    </row>
    <row r="215" spans="1:28">
      <c r="A215" t="str">
        <f>MacReports!A215</f>
        <v/>
      </c>
      <c r="B215">
        <f>MacReports!B215</f>
        <v>0</v>
      </c>
      <c r="C215">
        <f>MacReports!C215</f>
        <v>0</v>
      </c>
      <c r="E215" t="e">
        <f>_xlfn.XLOOKUP(G215,Models!A:A,Models!F:F)</f>
        <v>#N/A</v>
      </c>
      <c r="F215" t="str">
        <f>_xlfn.XLOOKUP(B215,MacReports!B:B,MacReports!D:D,"")</f>
        <v/>
      </c>
      <c r="G215" s="13">
        <f>MacReports!E215</f>
        <v>0</v>
      </c>
      <c r="H215" t="e">
        <f>_xlfn.XLOOKUP(G215,Models!A:A,Models!B:B)</f>
        <v>#N/A</v>
      </c>
      <c r="I215" t="e">
        <f>_xlfn.XLOOKUP(G215,Models!A:A,Models!E:E)</f>
        <v>#N/A</v>
      </c>
      <c r="J215" t="e">
        <f>_xlfn.XLOOKUP(G215,Models!A:A,Models!D:D)</f>
        <v>#N/A</v>
      </c>
      <c r="K215">
        <f>MacReports!F215</f>
        <v>0</v>
      </c>
      <c r="L215">
        <f>MacReports!G215</f>
        <v>0</v>
      </c>
      <c r="M215" s="15" t="e" cm="1">
        <f t="array" ref="M215">--_xlfn.LET(
    _xlpm.txt, MacReports!H215,
    _xlpm.chars, MID(_xlpm.txt, _xlfn.SEQUENCE(LEN(_xlpm.txt)), 1),
    _xlfn.TEXTJOIN("", TRUE, IF(ISNUMBER(--_xlpm.chars), _xlpm.chars, ""))
)</f>
        <v>#VALUE!</v>
      </c>
      <c r="N215" s="16" t="str" cm="1">
        <f t="array" ref="N215">_xlfn.IFS(
   --MacReports!M215&lt;55,"Battery Defect",
  -- MacReports!M215&lt;=69,"Battery D",
  --MacReports!M215&lt;=80,"Battery C",
 --MacReports!M215&gt;80,""
)</f>
        <v>Battery Defect</v>
      </c>
      <c r="O215" s="16" t="str">
        <f>IF(MacReports!I215="Service","Battery Service","")</f>
        <v/>
      </c>
      <c r="P215" s="13">
        <f>MacReports!P215</f>
        <v>0</v>
      </c>
      <c r="Q215" s="13" t="str">
        <f>IF(MacReports!J215="Enabled","Apple ID Lock","")</f>
        <v/>
      </c>
      <c r="R215" s="13" t="str">
        <f>IF(MacReports!L215="y","Remote Locked","")</f>
        <v/>
      </c>
      <c r="S215" t="str">
        <f t="shared" si="7"/>
        <v>Battery Defect, 0</v>
      </c>
      <c r="T215" t="str">
        <f>_xlfn.XLOOKUP(B215,Disk_Pivot!G:G,Disk_Pivot!I:I)</f>
        <v>Yes x2</v>
      </c>
      <c r="U215" t="str">
        <f>_xlfn.XLOOKUP(B215,Disk_Pivot!G:G,Disk_Pivot!N:N)</f>
        <v>Pass, Fail</v>
      </c>
      <c r="V215" t="str">
        <f>IF(U215="Fail",MacReports!N215,"")</f>
        <v/>
      </c>
      <c r="AB215" t="str">
        <f t="shared" si="8"/>
        <v/>
      </c>
    </row>
    <row r="216" spans="1:28">
      <c r="A216" t="str">
        <f>MacReports!A216</f>
        <v/>
      </c>
      <c r="B216">
        <f>MacReports!B216</f>
        <v>0</v>
      </c>
      <c r="C216">
        <f>MacReports!C216</f>
        <v>0</v>
      </c>
      <c r="E216" t="e">
        <f>_xlfn.XLOOKUP(G216,Models!A:A,Models!F:F)</f>
        <v>#N/A</v>
      </c>
      <c r="F216" t="str">
        <f>_xlfn.XLOOKUP(B216,MacReports!B:B,MacReports!D:D,"")</f>
        <v/>
      </c>
      <c r="G216" s="13">
        <f>MacReports!E216</f>
        <v>0</v>
      </c>
      <c r="H216" t="e">
        <f>_xlfn.XLOOKUP(G216,Models!A:A,Models!B:B)</f>
        <v>#N/A</v>
      </c>
      <c r="I216" t="e">
        <f>_xlfn.XLOOKUP(G216,Models!A:A,Models!E:E)</f>
        <v>#N/A</v>
      </c>
      <c r="J216" t="e">
        <f>_xlfn.XLOOKUP(G216,Models!A:A,Models!D:D)</f>
        <v>#N/A</v>
      </c>
      <c r="K216">
        <f>MacReports!F216</f>
        <v>0</v>
      </c>
      <c r="L216">
        <f>MacReports!G216</f>
        <v>0</v>
      </c>
      <c r="M216" s="15" t="e" cm="1">
        <f t="array" ref="M216">--_xlfn.LET(
    _xlpm.txt, MacReports!H216,
    _xlpm.chars, MID(_xlpm.txt, _xlfn.SEQUENCE(LEN(_xlpm.txt)), 1),
    _xlfn.TEXTJOIN("", TRUE, IF(ISNUMBER(--_xlpm.chars), _xlpm.chars, ""))
)</f>
        <v>#VALUE!</v>
      </c>
      <c r="N216" s="16" t="str" cm="1">
        <f t="array" ref="N216">_xlfn.IFS(
   --MacReports!M216&lt;55,"Battery Defect",
  -- MacReports!M216&lt;=69,"Battery D",
  --MacReports!M216&lt;=80,"Battery C",
 --MacReports!M216&gt;80,""
)</f>
        <v>Battery Defect</v>
      </c>
      <c r="O216" s="16" t="str">
        <f>IF(MacReports!I216="Service","Battery Service","")</f>
        <v/>
      </c>
      <c r="P216" s="13">
        <f>MacReports!P216</f>
        <v>0</v>
      </c>
      <c r="Q216" s="13" t="str">
        <f>IF(MacReports!J216="Enabled","Apple ID Lock","")</f>
        <v/>
      </c>
      <c r="R216" s="13" t="str">
        <f>IF(MacReports!L216="y","Remote Locked","")</f>
        <v/>
      </c>
      <c r="S216" t="str">
        <f t="shared" si="7"/>
        <v>Battery Defect, 0</v>
      </c>
      <c r="T216" t="str">
        <f>_xlfn.XLOOKUP(B216,Disk_Pivot!G:G,Disk_Pivot!I:I)</f>
        <v>Yes x2</v>
      </c>
      <c r="U216" t="str">
        <f>_xlfn.XLOOKUP(B216,Disk_Pivot!G:G,Disk_Pivot!N:N)</f>
        <v>Pass, Fail</v>
      </c>
      <c r="V216" t="str">
        <f>IF(U216="Fail",MacReports!N216,"")</f>
        <v/>
      </c>
      <c r="AB216" t="str">
        <f t="shared" si="8"/>
        <v/>
      </c>
    </row>
    <row r="217" spans="1:28">
      <c r="A217" t="str">
        <f>MacReports!A217</f>
        <v/>
      </c>
      <c r="B217">
        <f>MacReports!B217</f>
        <v>0</v>
      </c>
      <c r="C217">
        <f>MacReports!C217</f>
        <v>0</v>
      </c>
      <c r="E217" t="e">
        <f>_xlfn.XLOOKUP(G217,Models!A:A,Models!F:F)</f>
        <v>#N/A</v>
      </c>
      <c r="F217" t="str">
        <f>_xlfn.XLOOKUP(B217,MacReports!B:B,MacReports!D:D,"")</f>
        <v/>
      </c>
      <c r="G217" s="13">
        <f>MacReports!E217</f>
        <v>0</v>
      </c>
      <c r="H217" t="e">
        <f>_xlfn.XLOOKUP(G217,Models!A:A,Models!B:B)</f>
        <v>#N/A</v>
      </c>
      <c r="I217" t="e">
        <f>_xlfn.XLOOKUP(G217,Models!A:A,Models!E:E)</f>
        <v>#N/A</v>
      </c>
      <c r="J217" t="e">
        <f>_xlfn.XLOOKUP(G217,Models!A:A,Models!D:D)</f>
        <v>#N/A</v>
      </c>
      <c r="K217">
        <f>MacReports!F217</f>
        <v>0</v>
      </c>
      <c r="L217">
        <f>MacReports!G217</f>
        <v>0</v>
      </c>
      <c r="M217" s="15" t="e" cm="1">
        <f t="array" ref="M217">--_xlfn.LET(
    _xlpm.txt, MacReports!H217,
    _xlpm.chars, MID(_xlpm.txt, _xlfn.SEQUENCE(LEN(_xlpm.txt)), 1),
    _xlfn.TEXTJOIN("", TRUE, IF(ISNUMBER(--_xlpm.chars), _xlpm.chars, ""))
)</f>
        <v>#VALUE!</v>
      </c>
      <c r="N217" s="16" t="str" cm="1">
        <f t="array" ref="N217">_xlfn.IFS(
   --MacReports!M217&lt;55,"Battery Defect",
  -- MacReports!M217&lt;=69,"Battery D",
  --MacReports!M217&lt;=80,"Battery C",
 --MacReports!M217&gt;80,""
)</f>
        <v>Battery Defect</v>
      </c>
      <c r="O217" s="16" t="str">
        <f>IF(MacReports!I217="Service","Battery Service","")</f>
        <v/>
      </c>
      <c r="P217" s="13">
        <f>MacReports!P217</f>
        <v>0</v>
      </c>
      <c r="Q217" s="13" t="str">
        <f>IF(MacReports!J217="Enabled","Apple ID Lock","")</f>
        <v/>
      </c>
      <c r="R217" s="13" t="str">
        <f>IF(MacReports!L217="y","Remote Locked","")</f>
        <v/>
      </c>
      <c r="S217" t="str">
        <f t="shared" si="7"/>
        <v>Battery Defect, 0</v>
      </c>
      <c r="T217" t="str">
        <f>_xlfn.XLOOKUP(B217,Disk_Pivot!G:G,Disk_Pivot!I:I)</f>
        <v>Yes x2</v>
      </c>
      <c r="U217" t="str">
        <f>_xlfn.XLOOKUP(B217,Disk_Pivot!G:G,Disk_Pivot!N:N)</f>
        <v>Pass, Fail</v>
      </c>
      <c r="V217" t="str">
        <f>IF(U217="Fail",MacReports!N217,"")</f>
        <v/>
      </c>
      <c r="AB217" t="str">
        <f t="shared" si="8"/>
        <v/>
      </c>
    </row>
    <row r="218" spans="1:28">
      <c r="A218" t="str">
        <f>MacReports!A218</f>
        <v/>
      </c>
      <c r="B218">
        <f>MacReports!B218</f>
        <v>0</v>
      </c>
      <c r="C218">
        <f>MacReports!C218</f>
        <v>0</v>
      </c>
      <c r="E218" t="e">
        <f>_xlfn.XLOOKUP(G218,Models!A:A,Models!F:F)</f>
        <v>#N/A</v>
      </c>
      <c r="F218" t="str">
        <f>_xlfn.XLOOKUP(B218,MacReports!B:B,MacReports!D:D,"")</f>
        <v/>
      </c>
      <c r="G218" s="13">
        <f>MacReports!E218</f>
        <v>0</v>
      </c>
      <c r="H218" t="e">
        <f>_xlfn.XLOOKUP(G218,Models!A:A,Models!B:B)</f>
        <v>#N/A</v>
      </c>
      <c r="I218" t="e">
        <f>_xlfn.XLOOKUP(G218,Models!A:A,Models!E:E)</f>
        <v>#N/A</v>
      </c>
      <c r="J218" t="e">
        <f>_xlfn.XLOOKUP(G218,Models!A:A,Models!D:D)</f>
        <v>#N/A</v>
      </c>
      <c r="K218">
        <f>MacReports!F218</f>
        <v>0</v>
      </c>
      <c r="L218">
        <f>MacReports!G218</f>
        <v>0</v>
      </c>
      <c r="M218" s="15" t="e" cm="1">
        <f t="array" ref="M218">--_xlfn.LET(
    _xlpm.txt, MacReports!H218,
    _xlpm.chars, MID(_xlpm.txt, _xlfn.SEQUENCE(LEN(_xlpm.txt)), 1),
    _xlfn.TEXTJOIN("", TRUE, IF(ISNUMBER(--_xlpm.chars), _xlpm.chars, ""))
)</f>
        <v>#VALUE!</v>
      </c>
      <c r="N218" s="16" t="str" cm="1">
        <f t="array" ref="N218">_xlfn.IFS(
   --MacReports!M218&lt;55,"Battery Defect",
  -- MacReports!M218&lt;=69,"Battery D",
  --MacReports!M218&lt;=80,"Battery C",
 --MacReports!M218&gt;80,""
)</f>
        <v>Battery Defect</v>
      </c>
      <c r="O218" s="16" t="str">
        <f>IF(MacReports!I218="Service","Battery Service","")</f>
        <v/>
      </c>
      <c r="P218" s="13">
        <f>MacReports!P218</f>
        <v>0</v>
      </c>
      <c r="Q218" s="13" t="str">
        <f>IF(MacReports!J218="Enabled","Apple ID Lock","")</f>
        <v/>
      </c>
      <c r="R218" s="13" t="str">
        <f>IF(MacReports!L218="y","Remote Locked","")</f>
        <v/>
      </c>
      <c r="S218" t="str">
        <f t="shared" si="7"/>
        <v>Battery Defect, 0</v>
      </c>
      <c r="T218" t="str">
        <f>_xlfn.XLOOKUP(B218,Disk_Pivot!G:G,Disk_Pivot!I:I)</f>
        <v>Yes x2</v>
      </c>
      <c r="U218" t="str">
        <f>_xlfn.XLOOKUP(B218,Disk_Pivot!G:G,Disk_Pivot!N:N)</f>
        <v>Pass, Fail</v>
      </c>
      <c r="V218" t="str">
        <f>IF(U218="Fail",MacReports!N218,"")</f>
        <v/>
      </c>
      <c r="AB218" t="str">
        <f t="shared" si="8"/>
        <v/>
      </c>
    </row>
    <row r="219" spans="1:28">
      <c r="A219" t="str">
        <f>MacReports!A219</f>
        <v/>
      </c>
      <c r="B219">
        <f>MacReports!B219</f>
        <v>0</v>
      </c>
      <c r="C219">
        <f>MacReports!C219</f>
        <v>0</v>
      </c>
      <c r="E219" t="e">
        <f>_xlfn.XLOOKUP(G219,Models!A:A,Models!F:F)</f>
        <v>#N/A</v>
      </c>
      <c r="F219" t="str">
        <f>_xlfn.XLOOKUP(B219,MacReports!B:B,MacReports!D:D,"")</f>
        <v/>
      </c>
      <c r="G219" s="13">
        <f>MacReports!E219</f>
        <v>0</v>
      </c>
      <c r="H219" t="e">
        <f>_xlfn.XLOOKUP(G219,Models!A:A,Models!B:B)</f>
        <v>#N/A</v>
      </c>
      <c r="I219" t="e">
        <f>_xlfn.XLOOKUP(G219,Models!A:A,Models!E:E)</f>
        <v>#N/A</v>
      </c>
      <c r="J219" t="e">
        <f>_xlfn.XLOOKUP(G219,Models!A:A,Models!D:D)</f>
        <v>#N/A</v>
      </c>
      <c r="K219">
        <f>MacReports!F219</f>
        <v>0</v>
      </c>
      <c r="L219">
        <f>MacReports!G219</f>
        <v>0</v>
      </c>
      <c r="M219" s="15" t="e" cm="1">
        <f t="array" ref="M219">--_xlfn.LET(
    _xlpm.txt, MacReports!H219,
    _xlpm.chars, MID(_xlpm.txt, _xlfn.SEQUENCE(LEN(_xlpm.txt)), 1),
    _xlfn.TEXTJOIN("", TRUE, IF(ISNUMBER(--_xlpm.chars), _xlpm.chars, ""))
)</f>
        <v>#VALUE!</v>
      </c>
      <c r="N219" s="16" t="str" cm="1">
        <f t="array" ref="N219">_xlfn.IFS(
   --MacReports!M219&lt;55,"Battery Defect",
  -- MacReports!M219&lt;=69,"Battery D",
  --MacReports!M219&lt;=80,"Battery C",
 --MacReports!M219&gt;80,""
)</f>
        <v>Battery Defect</v>
      </c>
      <c r="O219" s="16" t="str">
        <f>IF(MacReports!I219="Service","Battery Service","")</f>
        <v/>
      </c>
      <c r="P219" s="13">
        <f>MacReports!P219</f>
        <v>0</v>
      </c>
      <c r="Q219" s="13" t="str">
        <f>IF(MacReports!J219="Enabled","Apple ID Lock","")</f>
        <v/>
      </c>
      <c r="R219" s="13" t="str">
        <f>IF(MacReports!L219="y","Remote Locked","")</f>
        <v/>
      </c>
      <c r="S219" t="str">
        <f t="shared" si="7"/>
        <v>Battery Defect, 0</v>
      </c>
      <c r="T219" t="str">
        <f>_xlfn.XLOOKUP(B219,Disk_Pivot!G:G,Disk_Pivot!I:I)</f>
        <v>Yes x2</v>
      </c>
      <c r="U219" t="str">
        <f>_xlfn.XLOOKUP(B219,Disk_Pivot!G:G,Disk_Pivot!N:N)</f>
        <v>Pass, Fail</v>
      </c>
      <c r="V219" t="str">
        <f>IF(U219="Fail",MacReports!N219,"")</f>
        <v/>
      </c>
      <c r="AB219" t="str">
        <f t="shared" si="8"/>
        <v/>
      </c>
    </row>
    <row r="220" spans="1:28">
      <c r="A220" t="str">
        <f>MacReports!A220</f>
        <v/>
      </c>
      <c r="B220">
        <f>MacReports!B220</f>
        <v>0</v>
      </c>
      <c r="C220">
        <f>MacReports!C220</f>
        <v>0</v>
      </c>
      <c r="E220" t="e">
        <f>_xlfn.XLOOKUP(G220,Models!A:A,Models!F:F)</f>
        <v>#N/A</v>
      </c>
      <c r="F220" t="str">
        <f>_xlfn.XLOOKUP(B220,MacReports!B:B,MacReports!D:D,"")</f>
        <v/>
      </c>
      <c r="G220" s="13">
        <f>MacReports!E220</f>
        <v>0</v>
      </c>
      <c r="H220" t="e">
        <f>_xlfn.XLOOKUP(G220,Models!A:A,Models!B:B)</f>
        <v>#N/A</v>
      </c>
      <c r="I220" t="e">
        <f>_xlfn.XLOOKUP(G220,Models!A:A,Models!E:E)</f>
        <v>#N/A</v>
      </c>
      <c r="J220" t="e">
        <f>_xlfn.XLOOKUP(G220,Models!A:A,Models!D:D)</f>
        <v>#N/A</v>
      </c>
      <c r="K220">
        <f>MacReports!F220</f>
        <v>0</v>
      </c>
      <c r="L220">
        <f>MacReports!G220</f>
        <v>0</v>
      </c>
      <c r="M220" s="15" t="e" cm="1">
        <f t="array" ref="M220">--_xlfn.LET(
    _xlpm.txt, MacReports!H220,
    _xlpm.chars, MID(_xlpm.txt, _xlfn.SEQUENCE(LEN(_xlpm.txt)), 1),
    _xlfn.TEXTJOIN("", TRUE, IF(ISNUMBER(--_xlpm.chars), _xlpm.chars, ""))
)</f>
        <v>#VALUE!</v>
      </c>
      <c r="N220" s="16" t="str" cm="1">
        <f t="array" ref="N220">_xlfn.IFS(
   --MacReports!M220&lt;55,"Battery Defect",
  -- MacReports!M220&lt;=69,"Battery D",
  --MacReports!M220&lt;=80,"Battery C",
 --MacReports!M220&gt;80,""
)</f>
        <v>Battery Defect</v>
      </c>
      <c r="O220" s="16" t="str">
        <f>IF(MacReports!I220="Service","Battery Service","")</f>
        <v/>
      </c>
      <c r="P220" s="13">
        <f>MacReports!P220</f>
        <v>0</v>
      </c>
      <c r="Q220" s="13" t="str">
        <f>IF(MacReports!J220="Enabled","Apple ID Lock","")</f>
        <v/>
      </c>
      <c r="R220" s="13" t="str">
        <f>IF(MacReports!L220="y","Remote Locked","")</f>
        <v/>
      </c>
      <c r="S220" t="str">
        <f t="shared" si="7"/>
        <v>Battery Defect, 0</v>
      </c>
      <c r="T220" t="str">
        <f>_xlfn.XLOOKUP(B220,Disk_Pivot!G:G,Disk_Pivot!I:I)</f>
        <v>Yes x2</v>
      </c>
      <c r="U220" t="str">
        <f>_xlfn.XLOOKUP(B220,Disk_Pivot!G:G,Disk_Pivot!N:N)</f>
        <v>Pass, Fail</v>
      </c>
      <c r="V220" t="str">
        <f>IF(U220="Fail",MacReports!N220,"")</f>
        <v/>
      </c>
      <c r="AB220" t="str">
        <f t="shared" si="8"/>
        <v/>
      </c>
    </row>
    <row r="221" spans="1:28">
      <c r="A221" t="str">
        <f>MacReports!A221</f>
        <v/>
      </c>
      <c r="B221">
        <f>MacReports!B221</f>
        <v>0</v>
      </c>
      <c r="C221">
        <f>MacReports!C221</f>
        <v>0</v>
      </c>
      <c r="E221" t="e">
        <f>_xlfn.XLOOKUP(G221,Models!A:A,Models!F:F)</f>
        <v>#N/A</v>
      </c>
      <c r="F221" t="str">
        <f>_xlfn.XLOOKUP(B221,MacReports!B:B,MacReports!D:D,"")</f>
        <v/>
      </c>
      <c r="G221" s="13">
        <f>MacReports!E221</f>
        <v>0</v>
      </c>
      <c r="H221" t="e">
        <f>_xlfn.XLOOKUP(G221,Models!A:A,Models!B:B)</f>
        <v>#N/A</v>
      </c>
      <c r="I221" t="e">
        <f>_xlfn.XLOOKUP(G221,Models!A:A,Models!E:E)</f>
        <v>#N/A</v>
      </c>
      <c r="J221" t="e">
        <f>_xlfn.XLOOKUP(G221,Models!A:A,Models!D:D)</f>
        <v>#N/A</v>
      </c>
      <c r="K221">
        <f>MacReports!F221</f>
        <v>0</v>
      </c>
      <c r="L221">
        <f>MacReports!G221</f>
        <v>0</v>
      </c>
      <c r="M221" s="15" t="e" cm="1">
        <f t="array" ref="M221">--_xlfn.LET(
    _xlpm.txt, MacReports!H221,
    _xlpm.chars, MID(_xlpm.txt, _xlfn.SEQUENCE(LEN(_xlpm.txt)), 1),
    _xlfn.TEXTJOIN("", TRUE, IF(ISNUMBER(--_xlpm.chars), _xlpm.chars, ""))
)</f>
        <v>#VALUE!</v>
      </c>
      <c r="N221" s="16" t="str" cm="1">
        <f t="array" ref="N221">_xlfn.IFS(
   --MacReports!M221&lt;55,"Battery Defect",
  -- MacReports!M221&lt;=69,"Battery D",
  --MacReports!M221&lt;=80,"Battery C",
 --MacReports!M221&gt;80,""
)</f>
        <v>Battery Defect</v>
      </c>
      <c r="O221" s="16" t="str">
        <f>IF(MacReports!I221="Service","Battery Service","")</f>
        <v/>
      </c>
      <c r="P221" s="13">
        <f>MacReports!P221</f>
        <v>0</v>
      </c>
      <c r="Q221" s="13" t="str">
        <f>IF(MacReports!J221="Enabled","Apple ID Lock","")</f>
        <v/>
      </c>
      <c r="R221" s="13" t="str">
        <f>IF(MacReports!L221="y","Remote Locked","")</f>
        <v/>
      </c>
      <c r="S221" t="str">
        <f t="shared" si="7"/>
        <v>Battery Defect, 0</v>
      </c>
      <c r="T221" t="str">
        <f>_xlfn.XLOOKUP(B221,Disk_Pivot!G:G,Disk_Pivot!I:I)</f>
        <v>Yes x2</v>
      </c>
      <c r="U221" t="str">
        <f>_xlfn.XLOOKUP(B221,Disk_Pivot!G:G,Disk_Pivot!N:N)</f>
        <v>Pass, Fail</v>
      </c>
      <c r="V221" t="str">
        <f>IF(U221="Fail",MacReports!N221,"")</f>
        <v/>
      </c>
      <c r="AB221" t="str">
        <f t="shared" si="8"/>
        <v/>
      </c>
    </row>
    <row r="222" spans="1:28">
      <c r="A222" t="str">
        <f>MacReports!A222</f>
        <v/>
      </c>
      <c r="B222">
        <f>MacReports!B222</f>
        <v>0</v>
      </c>
      <c r="C222">
        <f>MacReports!C222</f>
        <v>0</v>
      </c>
      <c r="E222" t="e">
        <f>_xlfn.XLOOKUP(G222,Models!A:A,Models!F:F)</f>
        <v>#N/A</v>
      </c>
      <c r="F222" t="str">
        <f>_xlfn.XLOOKUP(B222,MacReports!B:B,MacReports!D:D,"")</f>
        <v/>
      </c>
      <c r="G222" s="13">
        <f>MacReports!E222</f>
        <v>0</v>
      </c>
      <c r="H222" t="e">
        <f>_xlfn.XLOOKUP(G222,Models!A:A,Models!B:B)</f>
        <v>#N/A</v>
      </c>
      <c r="I222" t="e">
        <f>_xlfn.XLOOKUP(G222,Models!A:A,Models!E:E)</f>
        <v>#N/A</v>
      </c>
      <c r="J222" t="e">
        <f>_xlfn.XLOOKUP(G222,Models!A:A,Models!D:D)</f>
        <v>#N/A</v>
      </c>
      <c r="K222">
        <f>MacReports!F222</f>
        <v>0</v>
      </c>
      <c r="L222">
        <f>MacReports!G222</f>
        <v>0</v>
      </c>
      <c r="M222" s="15" t="e" cm="1">
        <f t="array" ref="M222">--_xlfn.LET(
    _xlpm.txt, MacReports!H222,
    _xlpm.chars, MID(_xlpm.txt, _xlfn.SEQUENCE(LEN(_xlpm.txt)), 1),
    _xlfn.TEXTJOIN("", TRUE, IF(ISNUMBER(--_xlpm.chars), _xlpm.chars, ""))
)</f>
        <v>#VALUE!</v>
      </c>
      <c r="N222" s="16" t="str" cm="1">
        <f t="array" ref="N222">_xlfn.IFS(
   --MacReports!M222&lt;55,"Battery Defect",
  -- MacReports!M222&lt;=69,"Battery D",
  --MacReports!M222&lt;=80,"Battery C",
 --MacReports!M222&gt;80,""
)</f>
        <v>Battery Defect</v>
      </c>
      <c r="O222" s="16" t="str">
        <f>IF(MacReports!I222="Service","Battery Service","")</f>
        <v/>
      </c>
      <c r="P222" s="13">
        <f>MacReports!P222</f>
        <v>0</v>
      </c>
      <c r="Q222" s="13" t="str">
        <f>IF(MacReports!J222="Enabled","Apple ID Lock","")</f>
        <v/>
      </c>
      <c r="R222" s="13" t="str">
        <f>IF(MacReports!L222="y","Remote Locked","")</f>
        <v/>
      </c>
      <c r="S222" t="str">
        <f t="shared" si="7"/>
        <v>Battery Defect, 0</v>
      </c>
      <c r="T222" t="str">
        <f>_xlfn.XLOOKUP(B222,Disk_Pivot!G:G,Disk_Pivot!I:I)</f>
        <v>Yes x2</v>
      </c>
      <c r="U222" t="str">
        <f>_xlfn.XLOOKUP(B222,Disk_Pivot!G:G,Disk_Pivot!N:N)</f>
        <v>Pass, Fail</v>
      </c>
      <c r="V222" t="str">
        <f>IF(U222="Fail",MacReports!N222,"")</f>
        <v/>
      </c>
      <c r="AB222" t="str">
        <f t="shared" si="8"/>
        <v/>
      </c>
    </row>
    <row r="223" spans="1:28">
      <c r="A223" t="str">
        <f>MacReports!A223</f>
        <v/>
      </c>
      <c r="B223">
        <f>MacReports!B223</f>
        <v>0</v>
      </c>
      <c r="C223">
        <f>MacReports!C223</f>
        <v>0</v>
      </c>
      <c r="E223" t="e">
        <f>_xlfn.XLOOKUP(G223,Models!A:A,Models!F:F)</f>
        <v>#N/A</v>
      </c>
      <c r="F223" t="str">
        <f>_xlfn.XLOOKUP(B223,MacReports!B:B,MacReports!D:D,"")</f>
        <v/>
      </c>
      <c r="G223" s="13">
        <f>MacReports!E223</f>
        <v>0</v>
      </c>
      <c r="H223" t="e">
        <f>_xlfn.XLOOKUP(G223,Models!A:A,Models!B:B)</f>
        <v>#N/A</v>
      </c>
      <c r="I223" t="e">
        <f>_xlfn.XLOOKUP(G223,Models!A:A,Models!E:E)</f>
        <v>#N/A</v>
      </c>
      <c r="J223" t="e">
        <f>_xlfn.XLOOKUP(G223,Models!A:A,Models!D:D)</f>
        <v>#N/A</v>
      </c>
      <c r="K223">
        <f>MacReports!F223</f>
        <v>0</v>
      </c>
      <c r="L223">
        <f>MacReports!G223</f>
        <v>0</v>
      </c>
      <c r="M223" s="15" t="e" cm="1">
        <f t="array" ref="M223">--_xlfn.LET(
    _xlpm.txt, MacReports!H223,
    _xlpm.chars, MID(_xlpm.txt, _xlfn.SEQUENCE(LEN(_xlpm.txt)), 1),
    _xlfn.TEXTJOIN("", TRUE, IF(ISNUMBER(--_xlpm.chars), _xlpm.chars, ""))
)</f>
        <v>#VALUE!</v>
      </c>
      <c r="N223" s="16" t="str" cm="1">
        <f t="array" ref="N223">_xlfn.IFS(
   --MacReports!M223&lt;55,"Battery Defect",
  -- MacReports!M223&lt;=69,"Battery D",
  --MacReports!M223&lt;=80,"Battery C",
 --MacReports!M223&gt;80,""
)</f>
        <v>Battery Defect</v>
      </c>
      <c r="O223" s="16" t="str">
        <f>IF(MacReports!I223="Service","Battery Service","")</f>
        <v/>
      </c>
      <c r="P223" s="13">
        <f>MacReports!P223</f>
        <v>0</v>
      </c>
      <c r="Q223" s="13" t="str">
        <f>IF(MacReports!J223="Enabled","Apple ID Lock","")</f>
        <v/>
      </c>
      <c r="R223" s="13" t="str">
        <f>IF(MacReports!L223="y","Remote Locked","")</f>
        <v/>
      </c>
      <c r="S223" t="str">
        <f t="shared" si="7"/>
        <v>Battery Defect, 0</v>
      </c>
      <c r="T223" t="str">
        <f>_xlfn.XLOOKUP(B223,Disk_Pivot!G:G,Disk_Pivot!I:I)</f>
        <v>Yes x2</v>
      </c>
      <c r="U223" t="str">
        <f>_xlfn.XLOOKUP(B223,Disk_Pivot!G:G,Disk_Pivot!N:N)</f>
        <v>Pass, Fail</v>
      </c>
      <c r="V223" t="str">
        <f>IF(U223="Fail",MacReports!N223,"")</f>
        <v/>
      </c>
      <c r="AB223" t="str">
        <f t="shared" si="8"/>
        <v/>
      </c>
    </row>
    <row r="224" spans="1:28">
      <c r="A224" t="str">
        <f>MacReports!A224</f>
        <v/>
      </c>
      <c r="B224">
        <f>MacReports!B224</f>
        <v>0</v>
      </c>
      <c r="C224">
        <f>MacReports!C224</f>
        <v>0</v>
      </c>
      <c r="E224" t="e">
        <f>_xlfn.XLOOKUP(G224,Models!A:A,Models!F:F)</f>
        <v>#N/A</v>
      </c>
      <c r="F224" t="str">
        <f>_xlfn.XLOOKUP(B224,MacReports!B:B,MacReports!D:D,"")</f>
        <v/>
      </c>
      <c r="G224" s="13">
        <f>MacReports!E224</f>
        <v>0</v>
      </c>
      <c r="H224" t="e">
        <f>_xlfn.XLOOKUP(G224,Models!A:A,Models!B:B)</f>
        <v>#N/A</v>
      </c>
      <c r="I224" t="e">
        <f>_xlfn.XLOOKUP(G224,Models!A:A,Models!E:E)</f>
        <v>#N/A</v>
      </c>
      <c r="J224" t="e">
        <f>_xlfn.XLOOKUP(G224,Models!A:A,Models!D:D)</f>
        <v>#N/A</v>
      </c>
      <c r="K224">
        <f>MacReports!F224</f>
        <v>0</v>
      </c>
      <c r="L224">
        <f>MacReports!G224</f>
        <v>0</v>
      </c>
      <c r="M224" s="15" t="e" cm="1">
        <f t="array" ref="M224">--_xlfn.LET(
    _xlpm.txt, MacReports!H224,
    _xlpm.chars, MID(_xlpm.txt, _xlfn.SEQUENCE(LEN(_xlpm.txt)), 1),
    _xlfn.TEXTJOIN("", TRUE, IF(ISNUMBER(--_xlpm.chars), _xlpm.chars, ""))
)</f>
        <v>#VALUE!</v>
      </c>
      <c r="N224" s="16" t="str" cm="1">
        <f t="array" ref="N224">_xlfn.IFS(
   --MacReports!M224&lt;55,"Battery Defect",
  -- MacReports!M224&lt;=69,"Battery D",
  --MacReports!M224&lt;=80,"Battery C",
 --MacReports!M224&gt;80,""
)</f>
        <v>Battery Defect</v>
      </c>
      <c r="O224" s="16" t="str">
        <f>IF(MacReports!I224="Service","Battery Service","")</f>
        <v/>
      </c>
      <c r="P224" s="13">
        <f>MacReports!P224</f>
        <v>0</v>
      </c>
      <c r="Q224" s="13" t="str">
        <f>IF(MacReports!J224="Enabled","Apple ID Lock","")</f>
        <v/>
      </c>
      <c r="R224" s="13" t="str">
        <f>IF(MacReports!L224="y","Remote Locked","")</f>
        <v/>
      </c>
      <c r="S224" t="str">
        <f t="shared" si="7"/>
        <v>Battery Defect, 0</v>
      </c>
      <c r="T224" t="str">
        <f>_xlfn.XLOOKUP(B224,Disk_Pivot!G:G,Disk_Pivot!I:I)</f>
        <v>Yes x2</v>
      </c>
      <c r="U224" t="str">
        <f>_xlfn.XLOOKUP(B224,Disk_Pivot!G:G,Disk_Pivot!N:N)</f>
        <v>Pass, Fail</v>
      </c>
      <c r="V224" t="str">
        <f>IF(U224="Fail",MacReports!N224,"")</f>
        <v/>
      </c>
      <c r="AB224" t="str">
        <f t="shared" si="8"/>
        <v/>
      </c>
    </row>
    <row r="225" spans="1:28">
      <c r="A225" t="str">
        <f>MacReports!A225</f>
        <v/>
      </c>
      <c r="B225">
        <f>MacReports!B225</f>
        <v>0</v>
      </c>
      <c r="C225">
        <f>MacReports!C225</f>
        <v>0</v>
      </c>
      <c r="E225" t="e">
        <f>_xlfn.XLOOKUP(G225,Models!A:A,Models!F:F)</f>
        <v>#N/A</v>
      </c>
      <c r="F225" t="str">
        <f>_xlfn.XLOOKUP(B225,MacReports!B:B,MacReports!D:D,"")</f>
        <v/>
      </c>
      <c r="G225" s="13">
        <f>MacReports!E225</f>
        <v>0</v>
      </c>
      <c r="H225" t="e">
        <f>_xlfn.XLOOKUP(G225,Models!A:A,Models!B:B)</f>
        <v>#N/A</v>
      </c>
      <c r="I225" t="e">
        <f>_xlfn.XLOOKUP(G225,Models!A:A,Models!E:E)</f>
        <v>#N/A</v>
      </c>
      <c r="J225" t="e">
        <f>_xlfn.XLOOKUP(G225,Models!A:A,Models!D:D)</f>
        <v>#N/A</v>
      </c>
      <c r="K225">
        <f>MacReports!F225</f>
        <v>0</v>
      </c>
      <c r="L225">
        <f>MacReports!G225</f>
        <v>0</v>
      </c>
      <c r="M225" s="15" t="e" cm="1">
        <f t="array" ref="M225">--_xlfn.LET(
    _xlpm.txt, MacReports!H225,
    _xlpm.chars, MID(_xlpm.txt, _xlfn.SEQUENCE(LEN(_xlpm.txt)), 1),
    _xlfn.TEXTJOIN("", TRUE, IF(ISNUMBER(--_xlpm.chars), _xlpm.chars, ""))
)</f>
        <v>#VALUE!</v>
      </c>
      <c r="N225" s="16" t="str" cm="1">
        <f t="array" ref="N225">_xlfn.IFS(
   --MacReports!M225&lt;55,"Battery Defect",
  -- MacReports!M225&lt;=69,"Battery D",
  --MacReports!M225&lt;=80,"Battery C",
 --MacReports!M225&gt;80,""
)</f>
        <v>Battery Defect</v>
      </c>
      <c r="O225" s="16" t="str">
        <f>IF(MacReports!I225="Service","Battery Service","")</f>
        <v/>
      </c>
      <c r="P225" s="13">
        <f>MacReports!P225</f>
        <v>0</v>
      </c>
      <c r="Q225" s="13" t="str">
        <f>IF(MacReports!J225="Enabled","Apple ID Lock","")</f>
        <v/>
      </c>
      <c r="R225" s="13" t="str">
        <f>IF(MacReports!L225="y","Remote Locked","")</f>
        <v/>
      </c>
      <c r="S225" t="str">
        <f t="shared" si="7"/>
        <v>Battery Defect, 0</v>
      </c>
      <c r="T225" t="str">
        <f>_xlfn.XLOOKUP(B225,Disk_Pivot!G:G,Disk_Pivot!I:I)</f>
        <v>Yes x2</v>
      </c>
      <c r="U225" t="str">
        <f>_xlfn.XLOOKUP(B225,Disk_Pivot!G:G,Disk_Pivot!N:N)</f>
        <v>Pass, Fail</v>
      </c>
      <c r="V225" t="str">
        <f>IF(U225="Fail",MacReports!N225,"")</f>
        <v/>
      </c>
      <c r="AB225" t="str">
        <f t="shared" si="8"/>
        <v/>
      </c>
    </row>
    <row r="226" spans="1:28">
      <c r="A226" t="str">
        <f>MacReports!A226</f>
        <v/>
      </c>
      <c r="B226">
        <f>MacReports!B226</f>
        <v>0</v>
      </c>
      <c r="C226">
        <f>MacReports!C226</f>
        <v>0</v>
      </c>
      <c r="E226" t="e">
        <f>_xlfn.XLOOKUP(G226,Models!A:A,Models!F:F)</f>
        <v>#N/A</v>
      </c>
      <c r="F226" t="str">
        <f>_xlfn.XLOOKUP(B226,MacReports!B:B,MacReports!D:D,"")</f>
        <v/>
      </c>
      <c r="G226" s="13">
        <f>MacReports!E226</f>
        <v>0</v>
      </c>
      <c r="H226" t="e">
        <f>_xlfn.XLOOKUP(G226,Models!A:A,Models!B:B)</f>
        <v>#N/A</v>
      </c>
      <c r="I226" t="e">
        <f>_xlfn.XLOOKUP(G226,Models!A:A,Models!E:E)</f>
        <v>#N/A</v>
      </c>
      <c r="J226" t="e">
        <f>_xlfn.XLOOKUP(G226,Models!A:A,Models!D:D)</f>
        <v>#N/A</v>
      </c>
      <c r="K226">
        <f>MacReports!F226</f>
        <v>0</v>
      </c>
      <c r="L226">
        <f>MacReports!G226</f>
        <v>0</v>
      </c>
      <c r="M226" s="15" t="e" cm="1">
        <f t="array" ref="M226">--_xlfn.LET(
    _xlpm.txt, MacReports!H226,
    _xlpm.chars, MID(_xlpm.txt, _xlfn.SEQUENCE(LEN(_xlpm.txt)), 1),
    _xlfn.TEXTJOIN("", TRUE, IF(ISNUMBER(--_xlpm.chars), _xlpm.chars, ""))
)</f>
        <v>#VALUE!</v>
      </c>
      <c r="N226" s="16" t="str" cm="1">
        <f t="array" ref="N226">_xlfn.IFS(
   --MacReports!M226&lt;55,"Battery Defect",
  -- MacReports!M226&lt;=69,"Battery D",
  --MacReports!M226&lt;=80,"Battery C",
 --MacReports!M226&gt;80,""
)</f>
        <v>Battery Defect</v>
      </c>
      <c r="O226" s="16" t="str">
        <f>IF(MacReports!I226="Service","Battery Service","")</f>
        <v/>
      </c>
      <c r="P226" s="13">
        <f>MacReports!P226</f>
        <v>0</v>
      </c>
      <c r="Q226" s="13" t="str">
        <f>IF(MacReports!J226="Enabled","Apple ID Lock","")</f>
        <v/>
      </c>
      <c r="R226" s="13" t="str">
        <f>IF(MacReports!L226="y","Remote Locked","")</f>
        <v/>
      </c>
      <c r="S226" t="str">
        <f t="shared" si="7"/>
        <v>Battery Defect, 0</v>
      </c>
      <c r="T226" t="str">
        <f>_xlfn.XLOOKUP(B226,Disk_Pivot!G:G,Disk_Pivot!I:I)</f>
        <v>Yes x2</v>
      </c>
      <c r="U226" t="str">
        <f>_xlfn.XLOOKUP(B226,Disk_Pivot!G:G,Disk_Pivot!N:N)</f>
        <v>Pass, Fail</v>
      </c>
      <c r="V226" t="str">
        <f>IF(U226="Fail",MacReports!N226,"")</f>
        <v/>
      </c>
      <c r="AB226" t="str">
        <f t="shared" si="8"/>
        <v/>
      </c>
    </row>
    <row r="227" spans="1:28">
      <c r="A227" t="str">
        <f>MacReports!A227</f>
        <v/>
      </c>
      <c r="B227">
        <f>MacReports!B227</f>
        <v>0</v>
      </c>
      <c r="C227">
        <f>MacReports!C227</f>
        <v>0</v>
      </c>
      <c r="E227" t="e">
        <f>_xlfn.XLOOKUP(G227,Models!A:A,Models!F:F)</f>
        <v>#N/A</v>
      </c>
      <c r="F227" t="str">
        <f>_xlfn.XLOOKUP(B227,MacReports!B:B,MacReports!D:D,"")</f>
        <v/>
      </c>
      <c r="G227" s="13">
        <f>MacReports!E227</f>
        <v>0</v>
      </c>
      <c r="H227" t="e">
        <f>_xlfn.XLOOKUP(G227,Models!A:A,Models!B:B)</f>
        <v>#N/A</v>
      </c>
      <c r="I227" t="e">
        <f>_xlfn.XLOOKUP(G227,Models!A:A,Models!E:E)</f>
        <v>#N/A</v>
      </c>
      <c r="J227" t="e">
        <f>_xlfn.XLOOKUP(G227,Models!A:A,Models!D:D)</f>
        <v>#N/A</v>
      </c>
      <c r="K227">
        <f>MacReports!F227</f>
        <v>0</v>
      </c>
      <c r="L227">
        <f>MacReports!G227</f>
        <v>0</v>
      </c>
      <c r="M227" s="15" t="e" cm="1">
        <f t="array" ref="M227">--_xlfn.LET(
    _xlpm.txt, MacReports!H227,
    _xlpm.chars, MID(_xlpm.txt, _xlfn.SEQUENCE(LEN(_xlpm.txt)), 1),
    _xlfn.TEXTJOIN("", TRUE, IF(ISNUMBER(--_xlpm.chars), _xlpm.chars, ""))
)</f>
        <v>#VALUE!</v>
      </c>
      <c r="N227" s="16" t="str" cm="1">
        <f t="array" ref="N227">_xlfn.IFS(
   --MacReports!M227&lt;55,"Battery Defect",
  -- MacReports!M227&lt;=69,"Battery D",
  --MacReports!M227&lt;=80,"Battery C",
 --MacReports!M227&gt;80,""
)</f>
        <v>Battery Defect</v>
      </c>
      <c r="O227" s="16" t="str">
        <f>IF(MacReports!I227="Service","Battery Service","")</f>
        <v/>
      </c>
      <c r="P227" s="13">
        <f>MacReports!P227</f>
        <v>0</v>
      </c>
      <c r="Q227" s="13" t="str">
        <f>IF(MacReports!J227="Enabled","Apple ID Lock","")</f>
        <v/>
      </c>
      <c r="R227" s="13" t="str">
        <f>IF(MacReports!L227="y","Remote Locked","")</f>
        <v/>
      </c>
      <c r="S227" t="str">
        <f t="shared" ref="S227:S290" si="9">_xlfn.TEXTJOIN(", ",TRUE,Q227,R227,N227,O227,P227)</f>
        <v>Battery Defect, 0</v>
      </c>
      <c r="T227" t="str">
        <f>_xlfn.XLOOKUP(B227,Disk_Pivot!G:G,Disk_Pivot!I:I)</f>
        <v>Yes x2</v>
      </c>
      <c r="U227" t="str">
        <f>_xlfn.XLOOKUP(B227,Disk_Pivot!G:G,Disk_Pivot!N:N)</f>
        <v>Pass, Fail</v>
      </c>
      <c r="V227" t="str">
        <f>IF(U227="Fail",MacReports!N227,"")</f>
        <v/>
      </c>
      <c r="AB227" t="str">
        <f t="shared" ref="AB227:AB290" si="10">_xlfn.TEXTJOIN(", ",TRUE,Q227,R227)</f>
        <v/>
      </c>
    </row>
    <row r="228" spans="1:28">
      <c r="A228" t="str">
        <f>MacReports!A228</f>
        <v/>
      </c>
      <c r="B228">
        <f>MacReports!B228</f>
        <v>0</v>
      </c>
      <c r="C228">
        <f>MacReports!C228</f>
        <v>0</v>
      </c>
      <c r="E228" t="e">
        <f>_xlfn.XLOOKUP(G228,Models!A:A,Models!F:F)</f>
        <v>#N/A</v>
      </c>
      <c r="F228" t="str">
        <f>_xlfn.XLOOKUP(B228,MacReports!B:B,MacReports!D:D,"")</f>
        <v/>
      </c>
      <c r="G228" s="13">
        <f>MacReports!E228</f>
        <v>0</v>
      </c>
      <c r="H228" t="e">
        <f>_xlfn.XLOOKUP(G228,Models!A:A,Models!B:B)</f>
        <v>#N/A</v>
      </c>
      <c r="I228" t="e">
        <f>_xlfn.XLOOKUP(G228,Models!A:A,Models!E:E)</f>
        <v>#N/A</v>
      </c>
      <c r="J228" t="e">
        <f>_xlfn.XLOOKUP(G228,Models!A:A,Models!D:D)</f>
        <v>#N/A</v>
      </c>
      <c r="K228">
        <f>MacReports!F228</f>
        <v>0</v>
      </c>
      <c r="L228">
        <f>MacReports!G228</f>
        <v>0</v>
      </c>
      <c r="M228" s="15" t="e" cm="1">
        <f t="array" ref="M228">--_xlfn.LET(
    _xlpm.txt, MacReports!H228,
    _xlpm.chars, MID(_xlpm.txt, _xlfn.SEQUENCE(LEN(_xlpm.txt)), 1),
    _xlfn.TEXTJOIN("", TRUE, IF(ISNUMBER(--_xlpm.chars), _xlpm.chars, ""))
)</f>
        <v>#VALUE!</v>
      </c>
      <c r="N228" s="16" t="str" cm="1">
        <f t="array" ref="N228">_xlfn.IFS(
   --MacReports!M228&lt;55,"Battery Defect",
  -- MacReports!M228&lt;=69,"Battery D",
  --MacReports!M228&lt;=80,"Battery C",
 --MacReports!M228&gt;80,""
)</f>
        <v>Battery Defect</v>
      </c>
      <c r="O228" s="16" t="str">
        <f>IF(MacReports!I228="Service","Battery Service","")</f>
        <v/>
      </c>
      <c r="P228" s="13">
        <f>MacReports!P228</f>
        <v>0</v>
      </c>
      <c r="Q228" s="13" t="str">
        <f>IF(MacReports!J228="Enabled","Apple ID Lock","")</f>
        <v/>
      </c>
      <c r="R228" s="13" t="str">
        <f>IF(MacReports!L228="y","Remote Locked","")</f>
        <v/>
      </c>
      <c r="S228" t="str">
        <f t="shared" si="9"/>
        <v>Battery Defect, 0</v>
      </c>
      <c r="T228" t="str">
        <f>_xlfn.XLOOKUP(B228,Disk_Pivot!G:G,Disk_Pivot!I:I)</f>
        <v>Yes x2</v>
      </c>
      <c r="U228" t="str">
        <f>_xlfn.XLOOKUP(B228,Disk_Pivot!G:G,Disk_Pivot!N:N)</f>
        <v>Pass, Fail</v>
      </c>
      <c r="V228" t="str">
        <f>IF(U228="Fail",MacReports!N228,"")</f>
        <v/>
      </c>
      <c r="AB228" t="str">
        <f t="shared" si="10"/>
        <v/>
      </c>
    </row>
    <row r="229" spans="1:28">
      <c r="A229" t="str">
        <f>MacReports!A229</f>
        <v/>
      </c>
      <c r="B229">
        <f>MacReports!B229</f>
        <v>0</v>
      </c>
      <c r="C229">
        <f>MacReports!C229</f>
        <v>0</v>
      </c>
      <c r="E229" t="e">
        <f>_xlfn.XLOOKUP(G229,Models!A:A,Models!F:F)</f>
        <v>#N/A</v>
      </c>
      <c r="F229" t="str">
        <f>_xlfn.XLOOKUP(B229,MacReports!B:B,MacReports!D:D,"")</f>
        <v/>
      </c>
      <c r="G229" s="13">
        <f>MacReports!E229</f>
        <v>0</v>
      </c>
      <c r="H229" t="e">
        <f>_xlfn.XLOOKUP(G229,Models!A:A,Models!B:B)</f>
        <v>#N/A</v>
      </c>
      <c r="I229" t="e">
        <f>_xlfn.XLOOKUP(G229,Models!A:A,Models!E:E)</f>
        <v>#N/A</v>
      </c>
      <c r="J229" t="e">
        <f>_xlfn.XLOOKUP(G229,Models!A:A,Models!D:D)</f>
        <v>#N/A</v>
      </c>
      <c r="K229">
        <f>MacReports!F229</f>
        <v>0</v>
      </c>
      <c r="L229">
        <f>MacReports!G229</f>
        <v>0</v>
      </c>
      <c r="M229" s="15" t="e" cm="1">
        <f t="array" ref="M229">--_xlfn.LET(
    _xlpm.txt, MacReports!H229,
    _xlpm.chars, MID(_xlpm.txt, _xlfn.SEQUENCE(LEN(_xlpm.txt)), 1),
    _xlfn.TEXTJOIN("", TRUE, IF(ISNUMBER(--_xlpm.chars), _xlpm.chars, ""))
)</f>
        <v>#VALUE!</v>
      </c>
      <c r="N229" s="16" t="str" cm="1">
        <f t="array" ref="N229">_xlfn.IFS(
   --MacReports!M229&lt;55,"Battery Defect",
  -- MacReports!M229&lt;=69,"Battery D",
  --MacReports!M229&lt;=80,"Battery C",
 --MacReports!M229&gt;80,""
)</f>
        <v>Battery Defect</v>
      </c>
      <c r="O229" s="16" t="str">
        <f>IF(MacReports!I229="Service","Battery Service","")</f>
        <v/>
      </c>
      <c r="P229" s="13">
        <f>MacReports!P229</f>
        <v>0</v>
      </c>
      <c r="Q229" s="13" t="str">
        <f>IF(MacReports!J229="Enabled","Apple ID Lock","")</f>
        <v/>
      </c>
      <c r="R229" s="13" t="str">
        <f>IF(MacReports!L229="y","Remote Locked","")</f>
        <v/>
      </c>
      <c r="S229" t="str">
        <f t="shared" si="9"/>
        <v>Battery Defect, 0</v>
      </c>
      <c r="T229" t="str">
        <f>_xlfn.XLOOKUP(B229,Disk_Pivot!G:G,Disk_Pivot!I:I)</f>
        <v>Yes x2</v>
      </c>
      <c r="U229" t="str">
        <f>_xlfn.XLOOKUP(B229,Disk_Pivot!G:G,Disk_Pivot!N:N)</f>
        <v>Pass, Fail</v>
      </c>
      <c r="V229" t="str">
        <f>IF(U229="Fail",MacReports!N229,"")</f>
        <v/>
      </c>
      <c r="AB229" t="str">
        <f t="shared" si="10"/>
        <v/>
      </c>
    </row>
    <row r="230" spans="1:28">
      <c r="A230" t="str">
        <f>MacReports!A230</f>
        <v/>
      </c>
      <c r="B230">
        <f>MacReports!B230</f>
        <v>0</v>
      </c>
      <c r="C230">
        <f>MacReports!C230</f>
        <v>0</v>
      </c>
      <c r="E230" t="e">
        <f>_xlfn.XLOOKUP(G230,Models!A:A,Models!F:F)</f>
        <v>#N/A</v>
      </c>
      <c r="F230" t="str">
        <f>_xlfn.XLOOKUP(B230,MacReports!B:B,MacReports!D:D,"")</f>
        <v/>
      </c>
      <c r="G230" s="13">
        <f>MacReports!E230</f>
        <v>0</v>
      </c>
      <c r="H230" t="e">
        <f>_xlfn.XLOOKUP(G230,Models!A:A,Models!B:B)</f>
        <v>#N/A</v>
      </c>
      <c r="I230" t="e">
        <f>_xlfn.XLOOKUP(G230,Models!A:A,Models!E:E)</f>
        <v>#N/A</v>
      </c>
      <c r="J230" t="e">
        <f>_xlfn.XLOOKUP(G230,Models!A:A,Models!D:D)</f>
        <v>#N/A</v>
      </c>
      <c r="K230">
        <f>MacReports!F230</f>
        <v>0</v>
      </c>
      <c r="L230">
        <f>MacReports!G230</f>
        <v>0</v>
      </c>
      <c r="M230" s="15" t="e" cm="1">
        <f t="array" ref="M230">--_xlfn.LET(
    _xlpm.txt, MacReports!H230,
    _xlpm.chars, MID(_xlpm.txt, _xlfn.SEQUENCE(LEN(_xlpm.txt)), 1),
    _xlfn.TEXTJOIN("", TRUE, IF(ISNUMBER(--_xlpm.chars), _xlpm.chars, ""))
)</f>
        <v>#VALUE!</v>
      </c>
      <c r="N230" s="16" t="str" cm="1">
        <f t="array" ref="N230">_xlfn.IFS(
   --MacReports!M230&lt;55,"Battery Defect",
  -- MacReports!M230&lt;=69,"Battery D",
  --MacReports!M230&lt;=80,"Battery C",
 --MacReports!M230&gt;80,""
)</f>
        <v>Battery Defect</v>
      </c>
      <c r="O230" s="16" t="str">
        <f>IF(MacReports!I230="Service","Battery Service","")</f>
        <v/>
      </c>
      <c r="P230" s="13">
        <f>MacReports!P230</f>
        <v>0</v>
      </c>
      <c r="Q230" s="13" t="str">
        <f>IF(MacReports!J230="Enabled","Apple ID Lock","")</f>
        <v/>
      </c>
      <c r="R230" s="13" t="str">
        <f>IF(MacReports!L230="y","Remote Locked","")</f>
        <v/>
      </c>
      <c r="S230" t="str">
        <f t="shared" si="9"/>
        <v>Battery Defect, 0</v>
      </c>
      <c r="T230" t="str">
        <f>_xlfn.XLOOKUP(B230,Disk_Pivot!G:G,Disk_Pivot!I:I)</f>
        <v>Yes x2</v>
      </c>
      <c r="U230" t="str">
        <f>_xlfn.XLOOKUP(B230,Disk_Pivot!G:G,Disk_Pivot!N:N)</f>
        <v>Pass, Fail</v>
      </c>
      <c r="V230" t="str">
        <f>IF(U230="Fail",MacReports!N230,"")</f>
        <v/>
      </c>
      <c r="AB230" t="str">
        <f t="shared" si="10"/>
        <v/>
      </c>
    </row>
    <row r="231" spans="1:28">
      <c r="A231" t="str">
        <f>MacReports!A231</f>
        <v/>
      </c>
      <c r="B231">
        <f>MacReports!B231</f>
        <v>0</v>
      </c>
      <c r="C231">
        <f>MacReports!C231</f>
        <v>0</v>
      </c>
      <c r="E231" t="e">
        <f>_xlfn.XLOOKUP(G231,Models!A:A,Models!F:F)</f>
        <v>#N/A</v>
      </c>
      <c r="F231" t="str">
        <f>_xlfn.XLOOKUP(B231,MacReports!B:B,MacReports!D:D,"")</f>
        <v/>
      </c>
      <c r="G231" s="13">
        <f>MacReports!E231</f>
        <v>0</v>
      </c>
      <c r="H231" t="e">
        <f>_xlfn.XLOOKUP(G231,Models!A:A,Models!B:B)</f>
        <v>#N/A</v>
      </c>
      <c r="I231" t="e">
        <f>_xlfn.XLOOKUP(G231,Models!A:A,Models!E:E)</f>
        <v>#N/A</v>
      </c>
      <c r="J231" t="e">
        <f>_xlfn.XLOOKUP(G231,Models!A:A,Models!D:D)</f>
        <v>#N/A</v>
      </c>
      <c r="K231">
        <f>MacReports!F231</f>
        <v>0</v>
      </c>
      <c r="L231">
        <f>MacReports!G231</f>
        <v>0</v>
      </c>
      <c r="M231" s="15" t="e" cm="1">
        <f t="array" ref="M231">--_xlfn.LET(
    _xlpm.txt, MacReports!H231,
    _xlpm.chars, MID(_xlpm.txt, _xlfn.SEQUENCE(LEN(_xlpm.txt)), 1),
    _xlfn.TEXTJOIN("", TRUE, IF(ISNUMBER(--_xlpm.chars), _xlpm.chars, ""))
)</f>
        <v>#VALUE!</v>
      </c>
      <c r="N231" s="16" t="str" cm="1">
        <f t="array" ref="N231">_xlfn.IFS(
   --MacReports!M231&lt;55,"Battery Defect",
  -- MacReports!M231&lt;=69,"Battery D",
  --MacReports!M231&lt;=80,"Battery C",
 --MacReports!M231&gt;80,""
)</f>
        <v>Battery Defect</v>
      </c>
      <c r="O231" s="16" t="str">
        <f>IF(MacReports!I231="Service","Battery Service","")</f>
        <v/>
      </c>
      <c r="P231" s="13">
        <f>MacReports!P231</f>
        <v>0</v>
      </c>
      <c r="Q231" s="13" t="str">
        <f>IF(MacReports!J231="Enabled","Apple ID Lock","")</f>
        <v/>
      </c>
      <c r="R231" s="13" t="str">
        <f>IF(MacReports!L231="y","Remote Locked","")</f>
        <v/>
      </c>
      <c r="S231" t="str">
        <f t="shared" si="9"/>
        <v>Battery Defect, 0</v>
      </c>
      <c r="T231" t="str">
        <f>_xlfn.XLOOKUP(B231,Disk_Pivot!G:G,Disk_Pivot!I:I)</f>
        <v>Yes x2</v>
      </c>
      <c r="U231" t="str">
        <f>_xlfn.XLOOKUP(B231,Disk_Pivot!G:G,Disk_Pivot!N:N)</f>
        <v>Pass, Fail</v>
      </c>
      <c r="V231" t="str">
        <f>IF(U231="Fail",MacReports!N231,"")</f>
        <v/>
      </c>
      <c r="AB231" t="str">
        <f t="shared" si="10"/>
        <v/>
      </c>
    </row>
    <row r="232" spans="1:28">
      <c r="A232" t="str">
        <f>MacReports!A232</f>
        <v/>
      </c>
      <c r="B232">
        <f>MacReports!B232</f>
        <v>0</v>
      </c>
      <c r="C232">
        <f>MacReports!C232</f>
        <v>0</v>
      </c>
      <c r="E232" t="e">
        <f>_xlfn.XLOOKUP(G232,Models!A:A,Models!F:F)</f>
        <v>#N/A</v>
      </c>
      <c r="F232" t="str">
        <f>_xlfn.XLOOKUP(B232,MacReports!B:B,MacReports!D:D,"")</f>
        <v/>
      </c>
      <c r="G232" s="13">
        <f>MacReports!E232</f>
        <v>0</v>
      </c>
      <c r="H232" t="e">
        <f>_xlfn.XLOOKUP(G232,Models!A:A,Models!B:B)</f>
        <v>#N/A</v>
      </c>
      <c r="I232" t="e">
        <f>_xlfn.XLOOKUP(G232,Models!A:A,Models!E:E)</f>
        <v>#N/A</v>
      </c>
      <c r="J232" t="e">
        <f>_xlfn.XLOOKUP(G232,Models!A:A,Models!D:D)</f>
        <v>#N/A</v>
      </c>
      <c r="K232">
        <f>MacReports!F232</f>
        <v>0</v>
      </c>
      <c r="L232">
        <f>MacReports!G232</f>
        <v>0</v>
      </c>
      <c r="M232" s="15" t="e" cm="1">
        <f t="array" ref="M232">--_xlfn.LET(
    _xlpm.txt, MacReports!H232,
    _xlpm.chars, MID(_xlpm.txt, _xlfn.SEQUENCE(LEN(_xlpm.txt)), 1),
    _xlfn.TEXTJOIN("", TRUE, IF(ISNUMBER(--_xlpm.chars), _xlpm.chars, ""))
)</f>
        <v>#VALUE!</v>
      </c>
      <c r="N232" s="16" t="str" cm="1">
        <f t="array" ref="N232">_xlfn.IFS(
   --MacReports!M232&lt;55,"Battery Defect",
  -- MacReports!M232&lt;=69,"Battery D",
  --MacReports!M232&lt;=80,"Battery C",
 --MacReports!M232&gt;80,""
)</f>
        <v>Battery Defect</v>
      </c>
      <c r="O232" s="16" t="str">
        <f>IF(MacReports!I232="Service","Battery Service","")</f>
        <v/>
      </c>
      <c r="P232" s="13">
        <f>MacReports!P232</f>
        <v>0</v>
      </c>
      <c r="Q232" s="13" t="str">
        <f>IF(MacReports!J232="Enabled","Apple ID Lock","")</f>
        <v/>
      </c>
      <c r="R232" s="13" t="str">
        <f>IF(MacReports!L232="y","Remote Locked","")</f>
        <v/>
      </c>
      <c r="S232" t="str">
        <f t="shared" si="9"/>
        <v>Battery Defect, 0</v>
      </c>
      <c r="T232" t="str">
        <f>_xlfn.XLOOKUP(B232,Disk_Pivot!G:G,Disk_Pivot!I:I)</f>
        <v>Yes x2</v>
      </c>
      <c r="U232" t="str">
        <f>_xlfn.XLOOKUP(B232,Disk_Pivot!G:G,Disk_Pivot!N:N)</f>
        <v>Pass, Fail</v>
      </c>
      <c r="V232" t="str">
        <f>IF(U232="Fail",MacReports!N232,"")</f>
        <v/>
      </c>
      <c r="AB232" t="str">
        <f t="shared" si="10"/>
        <v/>
      </c>
    </row>
    <row r="233" spans="1:28">
      <c r="A233" t="str">
        <f>MacReports!A233</f>
        <v/>
      </c>
      <c r="B233">
        <f>MacReports!B233</f>
        <v>0</v>
      </c>
      <c r="C233">
        <f>MacReports!C233</f>
        <v>0</v>
      </c>
      <c r="E233" t="e">
        <f>_xlfn.XLOOKUP(G233,Models!A:A,Models!F:F)</f>
        <v>#N/A</v>
      </c>
      <c r="F233" t="str">
        <f>_xlfn.XLOOKUP(B233,MacReports!B:B,MacReports!D:D,"")</f>
        <v/>
      </c>
      <c r="G233" s="13">
        <f>MacReports!E233</f>
        <v>0</v>
      </c>
      <c r="H233" t="e">
        <f>_xlfn.XLOOKUP(G233,Models!A:A,Models!B:B)</f>
        <v>#N/A</v>
      </c>
      <c r="I233" t="e">
        <f>_xlfn.XLOOKUP(G233,Models!A:A,Models!E:E)</f>
        <v>#N/A</v>
      </c>
      <c r="J233" t="e">
        <f>_xlfn.XLOOKUP(G233,Models!A:A,Models!D:D)</f>
        <v>#N/A</v>
      </c>
      <c r="K233">
        <f>MacReports!F233</f>
        <v>0</v>
      </c>
      <c r="L233">
        <f>MacReports!G233</f>
        <v>0</v>
      </c>
      <c r="M233" s="15" t="e" cm="1">
        <f t="array" ref="M233">--_xlfn.LET(
    _xlpm.txt, MacReports!H233,
    _xlpm.chars, MID(_xlpm.txt, _xlfn.SEQUENCE(LEN(_xlpm.txt)), 1),
    _xlfn.TEXTJOIN("", TRUE, IF(ISNUMBER(--_xlpm.chars), _xlpm.chars, ""))
)</f>
        <v>#VALUE!</v>
      </c>
      <c r="N233" s="16" t="str" cm="1">
        <f t="array" ref="N233">_xlfn.IFS(
   --MacReports!M233&lt;55,"Battery Defect",
  -- MacReports!M233&lt;=69,"Battery D",
  --MacReports!M233&lt;=80,"Battery C",
 --MacReports!M233&gt;80,""
)</f>
        <v>Battery Defect</v>
      </c>
      <c r="O233" s="16" t="str">
        <f>IF(MacReports!I233="Service","Battery Service","")</f>
        <v/>
      </c>
      <c r="P233" s="13">
        <f>MacReports!P233</f>
        <v>0</v>
      </c>
      <c r="Q233" s="13" t="str">
        <f>IF(MacReports!J233="Enabled","Apple ID Lock","")</f>
        <v/>
      </c>
      <c r="R233" s="13" t="str">
        <f>IF(MacReports!L233="y","Remote Locked","")</f>
        <v/>
      </c>
      <c r="S233" t="str">
        <f t="shared" si="9"/>
        <v>Battery Defect, 0</v>
      </c>
      <c r="T233" t="str">
        <f>_xlfn.XLOOKUP(B233,Disk_Pivot!G:G,Disk_Pivot!I:I)</f>
        <v>Yes x2</v>
      </c>
      <c r="U233" t="str">
        <f>_xlfn.XLOOKUP(B233,Disk_Pivot!G:G,Disk_Pivot!N:N)</f>
        <v>Pass, Fail</v>
      </c>
      <c r="V233" t="str">
        <f>IF(U233="Fail",MacReports!N233,"")</f>
        <v/>
      </c>
      <c r="AB233" t="str">
        <f t="shared" si="10"/>
        <v/>
      </c>
    </row>
    <row r="234" spans="1:28">
      <c r="A234" t="str">
        <f>MacReports!A234</f>
        <v/>
      </c>
      <c r="B234">
        <f>MacReports!B234</f>
        <v>0</v>
      </c>
      <c r="C234">
        <f>MacReports!C234</f>
        <v>0</v>
      </c>
      <c r="E234" t="e">
        <f>_xlfn.XLOOKUP(G234,Models!A:A,Models!F:F)</f>
        <v>#N/A</v>
      </c>
      <c r="F234" t="str">
        <f>_xlfn.XLOOKUP(B234,MacReports!B:B,MacReports!D:D,"")</f>
        <v/>
      </c>
      <c r="G234" s="13">
        <f>MacReports!E234</f>
        <v>0</v>
      </c>
      <c r="H234" t="e">
        <f>_xlfn.XLOOKUP(G234,Models!A:A,Models!B:B)</f>
        <v>#N/A</v>
      </c>
      <c r="I234" t="e">
        <f>_xlfn.XLOOKUP(G234,Models!A:A,Models!E:E)</f>
        <v>#N/A</v>
      </c>
      <c r="J234" t="e">
        <f>_xlfn.XLOOKUP(G234,Models!A:A,Models!D:D)</f>
        <v>#N/A</v>
      </c>
      <c r="K234">
        <f>MacReports!F234</f>
        <v>0</v>
      </c>
      <c r="L234">
        <f>MacReports!G234</f>
        <v>0</v>
      </c>
      <c r="M234" s="15" t="e" cm="1">
        <f t="array" ref="M234">--_xlfn.LET(
    _xlpm.txt, MacReports!H234,
    _xlpm.chars, MID(_xlpm.txt, _xlfn.SEQUENCE(LEN(_xlpm.txt)), 1),
    _xlfn.TEXTJOIN("", TRUE, IF(ISNUMBER(--_xlpm.chars), _xlpm.chars, ""))
)</f>
        <v>#VALUE!</v>
      </c>
      <c r="N234" s="16" t="str" cm="1">
        <f t="array" ref="N234">_xlfn.IFS(
   --MacReports!M234&lt;55,"Battery Defect",
  -- MacReports!M234&lt;=69,"Battery D",
  --MacReports!M234&lt;=80,"Battery C",
 --MacReports!M234&gt;80,""
)</f>
        <v>Battery Defect</v>
      </c>
      <c r="O234" s="16" t="str">
        <f>IF(MacReports!I234="Service","Battery Service","")</f>
        <v/>
      </c>
      <c r="P234" s="13">
        <f>MacReports!P234</f>
        <v>0</v>
      </c>
      <c r="Q234" s="13" t="str">
        <f>IF(MacReports!J234="Enabled","Apple ID Lock","")</f>
        <v/>
      </c>
      <c r="R234" s="13" t="str">
        <f>IF(MacReports!L234="y","Remote Locked","")</f>
        <v/>
      </c>
      <c r="S234" t="str">
        <f t="shared" si="9"/>
        <v>Battery Defect, 0</v>
      </c>
      <c r="T234" t="str">
        <f>_xlfn.XLOOKUP(B234,Disk_Pivot!G:G,Disk_Pivot!I:I)</f>
        <v>Yes x2</v>
      </c>
      <c r="U234" t="str">
        <f>_xlfn.XLOOKUP(B234,Disk_Pivot!G:G,Disk_Pivot!N:N)</f>
        <v>Pass, Fail</v>
      </c>
      <c r="V234" t="str">
        <f>IF(U234="Fail",MacReports!N234,"")</f>
        <v/>
      </c>
      <c r="AB234" t="str">
        <f t="shared" si="10"/>
        <v/>
      </c>
    </row>
    <row r="235" spans="1:28">
      <c r="A235" t="str">
        <f>MacReports!A235</f>
        <v/>
      </c>
      <c r="B235">
        <f>MacReports!B235</f>
        <v>0</v>
      </c>
      <c r="C235">
        <f>MacReports!C235</f>
        <v>0</v>
      </c>
      <c r="E235" t="e">
        <f>_xlfn.XLOOKUP(G235,Models!A:A,Models!F:F)</f>
        <v>#N/A</v>
      </c>
      <c r="F235" t="str">
        <f>_xlfn.XLOOKUP(B235,MacReports!B:B,MacReports!D:D,"")</f>
        <v/>
      </c>
      <c r="G235" s="13">
        <f>MacReports!E235</f>
        <v>0</v>
      </c>
      <c r="H235" t="e">
        <f>_xlfn.XLOOKUP(G235,Models!A:A,Models!B:B)</f>
        <v>#N/A</v>
      </c>
      <c r="I235" t="e">
        <f>_xlfn.XLOOKUP(G235,Models!A:A,Models!E:E)</f>
        <v>#N/A</v>
      </c>
      <c r="J235" t="e">
        <f>_xlfn.XLOOKUP(G235,Models!A:A,Models!D:D)</f>
        <v>#N/A</v>
      </c>
      <c r="K235">
        <f>MacReports!F235</f>
        <v>0</v>
      </c>
      <c r="L235">
        <f>MacReports!G235</f>
        <v>0</v>
      </c>
      <c r="M235" s="15" t="e" cm="1">
        <f t="array" ref="M235">--_xlfn.LET(
    _xlpm.txt, MacReports!H235,
    _xlpm.chars, MID(_xlpm.txt, _xlfn.SEQUENCE(LEN(_xlpm.txt)), 1),
    _xlfn.TEXTJOIN("", TRUE, IF(ISNUMBER(--_xlpm.chars), _xlpm.chars, ""))
)</f>
        <v>#VALUE!</v>
      </c>
      <c r="N235" s="16" t="str" cm="1">
        <f t="array" ref="N235">_xlfn.IFS(
   --MacReports!M235&lt;55,"Battery Defect",
  -- MacReports!M235&lt;=69,"Battery D",
  --MacReports!M235&lt;=80,"Battery C",
 --MacReports!M235&gt;80,""
)</f>
        <v>Battery Defect</v>
      </c>
      <c r="O235" s="16" t="str">
        <f>IF(MacReports!I235="Service","Battery Service","")</f>
        <v/>
      </c>
      <c r="P235" s="13">
        <f>MacReports!P235</f>
        <v>0</v>
      </c>
      <c r="Q235" s="13" t="str">
        <f>IF(MacReports!J235="Enabled","Apple ID Lock","")</f>
        <v/>
      </c>
      <c r="R235" s="13" t="str">
        <f>IF(MacReports!L235="y","Remote Locked","")</f>
        <v/>
      </c>
      <c r="S235" t="str">
        <f t="shared" si="9"/>
        <v>Battery Defect, 0</v>
      </c>
      <c r="T235" t="str">
        <f>_xlfn.XLOOKUP(B235,Disk_Pivot!G:G,Disk_Pivot!I:I)</f>
        <v>Yes x2</v>
      </c>
      <c r="U235" t="str">
        <f>_xlfn.XLOOKUP(B235,Disk_Pivot!G:G,Disk_Pivot!N:N)</f>
        <v>Pass, Fail</v>
      </c>
      <c r="V235" t="str">
        <f>IF(U235="Fail",MacReports!N235,"")</f>
        <v/>
      </c>
      <c r="AB235" t="str">
        <f t="shared" si="10"/>
        <v/>
      </c>
    </row>
    <row r="236" spans="1:28">
      <c r="A236" t="str">
        <f>MacReports!A236</f>
        <v/>
      </c>
      <c r="B236">
        <f>MacReports!B236</f>
        <v>0</v>
      </c>
      <c r="C236">
        <f>MacReports!C236</f>
        <v>0</v>
      </c>
      <c r="E236" t="e">
        <f>_xlfn.XLOOKUP(G236,Models!A:A,Models!F:F)</f>
        <v>#N/A</v>
      </c>
      <c r="F236" t="str">
        <f>_xlfn.XLOOKUP(B236,MacReports!B:B,MacReports!D:D,"")</f>
        <v/>
      </c>
      <c r="G236" s="13">
        <f>MacReports!E236</f>
        <v>0</v>
      </c>
      <c r="H236" t="e">
        <f>_xlfn.XLOOKUP(G236,Models!A:A,Models!B:B)</f>
        <v>#N/A</v>
      </c>
      <c r="I236" t="e">
        <f>_xlfn.XLOOKUP(G236,Models!A:A,Models!E:E)</f>
        <v>#N/A</v>
      </c>
      <c r="J236" t="e">
        <f>_xlfn.XLOOKUP(G236,Models!A:A,Models!D:D)</f>
        <v>#N/A</v>
      </c>
      <c r="K236">
        <f>MacReports!F236</f>
        <v>0</v>
      </c>
      <c r="L236">
        <f>MacReports!G236</f>
        <v>0</v>
      </c>
      <c r="M236" s="15" t="e" cm="1">
        <f t="array" ref="M236">--_xlfn.LET(
    _xlpm.txt, MacReports!H236,
    _xlpm.chars, MID(_xlpm.txt, _xlfn.SEQUENCE(LEN(_xlpm.txt)), 1),
    _xlfn.TEXTJOIN("", TRUE, IF(ISNUMBER(--_xlpm.chars), _xlpm.chars, ""))
)</f>
        <v>#VALUE!</v>
      </c>
      <c r="N236" s="16" t="str" cm="1">
        <f t="array" ref="N236">_xlfn.IFS(
   --MacReports!M236&lt;55,"Battery Defect",
  -- MacReports!M236&lt;=69,"Battery D",
  --MacReports!M236&lt;=80,"Battery C",
 --MacReports!M236&gt;80,""
)</f>
        <v>Battery Defect</v>
      </c>
      <c r="O236" s="16" t="str">
        <f>IF(MacReports!I236="Service","Battery Service","")</f>
        <v/>
      </c>
      <c r="P236" s="13">
        <f>MacReports!P236</f>
        <v>0</v>
      </c>
      <c r="Q236" s="13" t="str">
        <f>IF(MacReports!J236="Enabled","Apple ID Lock","")</f>
        <v/>
      </c>
      <c r="R236" s="13" t="str">
        <f>IF(MacReports!L236="y","Remote Locked","")</f>
        <v/>
      </c>
      <c r="S236" t="str">
        <f t="shared" si="9"/>
        <v>Battery Defect, 0</v>
      </c>
      <c r="T236" t="str">
        <f>_xlfn.XLOOKUP(B236,Disk_Pivot!G:G,Disk_Pivot!I:I)</f>
        <v>Yes x2</v>
      </c>
      <c r="U236" t="str">
        <f>_xlfn.XLOOKUP(B236,Disk_Pivot!G:G,Disk_Pivot!N:N)</f>
        <v>Pass, Fail</v>
      </c>
      <c r="V236" t="str">
        <f>IF(U236="Fail",MacReports!N236,"")</f>
        <v/>
      </c>
      <c r="AB236" t="str">
        <f t="shared" si="10"/>
        <v/>
      </c>
    </row>
    <row r="237" spans="1:28">
      <c r="A237" t="str">
        <f>MacReports!A237</f>
        <v/>
      </c>
      <c r="B237">
        <f>MacReports!B237</f>
        <v>0</v>
      </c>
      <c r="C237">
        <f>MacReports!C237</f>
        <v>0</v>
      </c>
      <c r="E237" t="e">
        <f>_xlfn.XLOOKUP(G237,Models!A:A,Models!F:F)</f>
        <v>#N/A</v>
      </c>
      <c r="F237" t="str">
        <f>_xlfn.XLOOKUP(B237,MacReports!B:B,MacReports!D:D,"")</f>
        <v/>
      </c>
      <c r="G237" s="13">
        <f>MacReports!E237</f>
        <v>0</v>
      </c>
      <c r="H237" t="e">
        <f>_xlfn.XLOOKUP(G237,Models!A:A,Models!B:B)</f>
        <v>#N/A</v>
      </c>
      <c r="I237" t="e">
        <f>_xlfn.XLOOKUP(G237,Models!A:A,Models!E:E)</f>
        <v>#N/A</v>
      </c>
      <c r="J237" t="e">
        <f>_xlfn.XLOOKUP(G237,Models!A:A,Models!D:D)</f>
        <v>#N/A</v>
      </c>
      <c r="K237">
        <f>MacReports!F237</f>
        <v>0</v>
      </c>
      <c r="L237">
        <f>MacReports!G237</f>
        <v>0</v>
      </c>
      <c r="M237" s="15" t="e" cm="1">
        <f t="array" ref="M237">--_xlfn.LET(
    _xlpm.txt, MacReports!H237,
    _xlpm.chars, MID(_xlpm.txt, _xlfn.SEQUENCE(LEN(_xlpm.txt)), 1),
    _xlfn.TEXTJOIN("", TRUE, IF(ISNUMBER(--_xlpm.chars), _xlpm.chars, ""))
)</f>
        <v>#VALUE!</v>
      </c>
      <c r="N237" s="16" t="str" cm="1">
        <f t="array" ref="N237">_xlfn.IFS(
   --MacReports!M237&lt;55,"Battery Defect",
  -- MacReports!M237&lt;=69,"Battery D",
  --MacReports!M237&lt;=80,"Battery C",
 --MacReports!M237&gt;80,""
)</f>
        <v>Battery Defect</v>
      </c>
      <c r="O237" s="16" t="str">
        <f>IF(MacReports!I237="Service","Battery Service","")</f>
        <v/>
      </c>
      <c r="P237" s="13">
        <f>MacReports!P237</f>
        <v>0</v>
      </c>
      <c r="Q237" s="13" t="str">
        <f>IF(MacReports!J237="Enabled","Apple ID Lock","")</f>
        <v/>
      </c>
      <c r="R237" s="13" t="str">
        <f>IF(MacReports!L237="y","Remote Locked","")</f>
        <v/>
      </c>
      <c r="S237" t="str">
        <f t="shared" si="9"/>
        <v>Battery Defect, 0</v>
      </c>
      <c r="T237" t="str">
        <f>_xlfn.XLOOKUP(B237,Disk_Pivot!G:G,Disk_Pivot!I:I)</f>
        <v>Yes x2</v>
      </c>
      <c r="U237" t="str">
        <f>_xlfn.XLOOKUP(B237,Disk_Pivot!G:G,Disk_Pivot!N:N)</f>
        <v>Pass, Fail</v>
      </c>
      <c r="V237" t="str">
        <f>IF(U237="Fail",MacReports!N237,"")</f>
        <v/>
      </c>
      <c r="AB237" t="str">
        <f t="shared" si="10"/>
        <v/>
      </c>
    </row>
    <row r="238" spans="1:28">
      <c r="A238" t="str">
        <f>MacReports!A238</f>
        <v/>
      </c>
      <c r="B238">
        <f>MacReports!B238</f>
        <v>0</v>
      </c>
      <c r="C238">
        <f>MacReports!C238</f>
        <v>0</v>
      </c>
      <c r="E238" t="e">
        <f>_xlfn.XLOOKUP(G238,Models!A:A,Models!F:F)</f>
        <v>#N/A</v>
      </c>
      <c r="F238" t="str">
        <f>_xlfn.XLOOKUP(B238,MacReports!B:B,MacReports!D:D,"")</f>
        <v/>
      </c>
      <c r="G238" s="13">
        <f>MacReports!E238</f>
        <v>0</v>
      </c>
      <c r="H238" t="e">
        <f>_xlfn.XLOOKUP(G238,Models!A:A,Models!B:B)</f>
        <v>#N/A</v>
      </c>
      <c r="I238" t="e">
        <f>_xlfn.XLOOKUP(G238,Models!A:A,Models!E:E)</f>
        <v>#N/A</v>
      </c>
      <c r="J238" t="e">
        <f>_xlfn.XLOOKUP(G238,Models!A:A,Models!D:D)</f>
        <v>#N/A</v>
      </c>
      <c r="K238">
        <f>MacReports!F238</f>
        <v>0</v>
      </c>
      <c r="L238">
        <f>MacReports!G238</f>
        <v>0</v>
      </c>
      <c r="M238" s="15" t="e" cm="1">
        <f t="array" ref="M238">--_xlfn.LET(
    _xlpm.txt, MacReports!H238,
    _xlpm.chars, MID(_xlpm.txt, _xlfn.SEQUENCE(LEN(_xlpm.txt)), 1),
    _xlfn.TEXTJOIN("", TRUE, IF(ISNUMBER(--_xlpm.chars), _xlpm.chars, ""))
)</f>
        <v>#VALUE!</v>
      </c>
      <c r="N238" s="16" t="str" cm="1">
        <f t="array" ref="N238">_xlfn.IFS(
   --MacReports!M238&lt;55,"Battery Defect",
  -- MacReports!M238&lt;=69,"Battery D",
  --MacReports!M238&lt;=80,"Battery C",
 --MacReports!M238&gt;80,""
)</f>
        <v>Battery Defect</v>
      </c>
      <c r="O238" s="16" t="str">
        <f>IF(MacReports!I238="Service","Battery Service","")</f>
        <v/>
      </c>
      <c r="P238" s="13">
        <f>MacReports!P238</f>
        <v>0</v>
      </c>
      <c r="Q238" s="13" t="str">
        <f>IF(MacReports!J238="Enabled","Apple ID Lock","")</f>
        <v/>
      </c>
      <c r="R238" s="13" t="str">
        <f>IF(MacReports!L238="y","Remote Locked","")</f>
        <v/>
      </c>
      <c r="S238" t="str">
        <f t="shared" si="9"/>
        <v>Battery Defect, 0</v>
      </c>
      <c r="T238" t="str">
        <f>_xlfn.XLOOKUP(B238,Disk_Pivot!G:G,Disk_Pivot!I:I)</f>
        <v>Yes x2</v>
      </c>
      <c r="U238" t="str">
        <f>_xlfn.XLOOKUP(B238,Disk_Pivot!G:G,Disk_Pivot!N:N)</f>
        <v>Pass, Fail</v>
      </c>
      <c r="V238" t="str">
        <f>IF(U238="Fail",MacReports!N238,"")</f>
        <v/>
      </c>
      <c r="AB238" t="str">
        <f t="shared" si="10"/>
        <v/>
      </c>
    </row>
    <row r="239" spans="1:28">
      <c r="A239" t="str">
        <f>MacReports!A239</f>
        <v/>
      </c>
      <c r="B239">
        <f>MacReports!B239</f>
        <v>0</v>
      </c>
      <c r="C239">
        <f>MacReports!C239</f>
        <v>0</v>
      </c>
      <c r="E239" t="e">
        <f>_xlfn.XLOOKUP(G239,Models!A:A,Models!F:F)</f>
        <v>#N/A</v>
      </c>
      <c r="F239" t="str">
        <f>_xlfn.XLOOKUP(B239,MacReports!B:B,MacReports!D:D,"")</f>
        <v/>
      </c>
      <c r="G239" s="13">
        <f>MacReports!E239</f>
        <v>0</v>
      </c>
      <c r="H239" t="e">
        <f>_xlfn.XLOOKUP(G239,Models!A:A,Models!B:B)</f>
        <v>#N/A</v>
      </c>
      <c r="I239" t="e">
        <f>_xlfn.XLOOKUP(G239,Models!A:A,Models!E:E)</f>
        <v>#N/A</v>
      </c>
      <c r="J239" t="e">
        <f>_xlfn.XLOOKUP(G239,Models!A:A,Models!D:D)</f>
        <v>#N/A</v>
      </c>
      <c r="K239">
        <f>MacReports!F239</f>
        <v>0</v>
      </c>
      <c r="L239">
        <f>MacReports!G239</f>
        <v>0</v>
      </c>
      <c r="M239" s="15" t="e" cm="1">
        <f t="array" ref="M239">--_xlfn.LET(
    _xlpm.txt, MacReports!H239,
    _xlpm.chars, MID(_xlpm.txt, _xlfn.SEQUENCE(LEN(_xlpm.txt)), 1),
    _xlfn.TEXTJOIN("", TRUE, IF(ISNUMBER(--_xlpm.chars), _xlpm.chars, ""))
)</f>
        <v>#VALUE!</v>
      </c>
      <c r="N239" s="16" t="str" cm="1">
        <f t="array" ref="N239">_xlfn.IFS(
   --MacReports!M239&lt;55,"Battery Defect",
  -- MacReports!M239&lt;=69,"Battery D",
  --MacReports!M239&lt;=80,"Battery C",
 --MacReports!M239&gt;80,""
)</f>
        <v>Battery Defect</v>
      </c>
      <c r="O239" s="16" t="str">
        <f>IF(MacReports!I239="Service","Battery Service","")</f>
        <v/>
      </c>
      <c r="P239" s="13">
        <f>MacReports!P239</f>
        <v>0</v>
      </c>
      <c r="Q239" s="13" t="str">
        <f>IF(MacReports!J239="Enabled","Apple ID Lock","")</f>
        <v/>
      </c>
      <c r="R239" s="13" t="str">
        <f>IF(MacReports!L239="y","Remote Locked","")</f>
        <v/>
      </c>
      <c r="S239" t="str">
        <f t="shared" si="9"/>
        <v>Battery Defect, 0</v>
      </c>
      <c r="T239" t="str">
        <f>_xlfn.XLOOKUP(B239,Disk_Pivot!G:G,Disk_Pivot!I:I)</f>
        <v>Yes x2</v>
      </c>
      <c r="U239" t="str">
        <f>_xlfn.XLOOKUP(B239,Disk_Pivot!G:G,Disk_Pivot!N:N)</f>
        <v>Pass, Fail</v>
      </c>
      <c r="V239" t="str">
        <f>IF(U239="Fail",MacReports!N239,"")</f>
        <v/>
      </c>
      <c r="AB239" t="str">
        <f t="shared" si="10"/>
        <v/>
      </c>
    </row>
    <row r="240" spans="1:28">
      <c r="A240" t="str">
        <f>MacReports!A240</f>
        <v/>
      </c>
      <c r="B240">
        <f>MacReports!B240</f>
        <v>0</v>
      </c>
      <c r="C240">
        <f>MacReports!C240</f>
        <v>0</v>
      </c>
      <c r="E240" t="e">
        <f>_xlfn.XLOOKUP(G240,Models!A:A,Models!F:F)</f>
        <v>#N/A</v>
      </c>
      <c r="F240" t="str">
        <f>_xlfn.XLOOKUP(B240,MacReports!B:B,MacReports!D:D,"")</f>
        <v/>
      </c>
      <c r="G240" s="13">
        <f>MacReports!E240</f>
        <v>0</v>
      </c>
      <c r="H240" t="e">
        <f>_xlfn.XLOOKUP(G240,Models!A:A,Models!B:B)</f>
        <v>#N/A</v>
      </c>
      <c r="I240" t="e">
        <f>_xlfn.XLOOKUP(G240,Models!A:A,Models!E:E)</f>
        <v>#N/A</v>
      </c>
      <c r="J240" t="e">
        <f>_xlfn.XLOOKUP(G240,Models!A:A,Models!D:D)</f>
        <v>#N/A</v>
      </c>
      <c r="K240">
        <f>MacReports!F240</f>
        <v>0</v>
      </c>
      <c r="L240">
        <f>MacReports!G240</f>
        <v>0</v>
      </c>
      <c r="M240" s="15" t="e" cm="1">
        <f t="array" ref="M240">--_xlfn.LET(
    _xlpm.txt, MacReports!H240,
    _xlpm.chars, MID(_xlpm.txt, _xlfn.SEQUENCE(LEN(_xlpm.txt)), 1),
    _xlfn.TEXTJOIN("", TRUE, IF(ISNUMBER(--_xlpm.chars), _xlpm.chars, ""))
)</f>
        <v>#VALUE!</v>
      </c>
      <c r="N240" s="16" t="str" cm="1">
        <f t="array" ref="N240">_xlfn.IFS(
   --MacReports!M240&lt;55,"Battery Defect",
  -- MacReports!M240&lt;=69,"Battery D",
  --MacReports!M240&lt;=80,"Battery C",
 --MacReports!M240&gt;80,""
)</f>
        <v>Battery Defect</v>
      </c>
      <c r="O240" s="16" t="str">
        <f>IF(MacReports!I240="Service","Battery Service","")</f>
        <v/>
      </c>
      <c r="P240" s="13">
        <f>MacReports!P240</f>
        <v>0</v>
      </c>
      <c r="Q240" s="13" t="str">
        <f>IF(MacReports!J240="Enabled","Apple ID Lock","")</f>
        <v/>
      </c>
      <c r="R240" s="13" t="str">
        <f>IF(MacReports!L240="y","Remote Locked","")</f>
        <v/>
      </c>
      <c r="S240" t="str">
        <f t="shared" si="9"/>
        <v>Battery Defect, 0</v>
      </c>
      <c r="T240" t="str">
        <f>_xlfn.XLOOKUP(B240,Disk_Pivot!G:G,Disk_Pivot!I:I)</f>
        <v>Yes x2</v>
      </c>
      <c r="U240" t="str">
        <f>_xlfn.XLOOKUP(B240,Disk_Pivot!G:G,Disk_Pivot!N:N)</f>
        <v>Pass, Fail</v>
      </c>
      <c r="V240" t="str">
        <f>IF(U240="Fail",MacReports!N240,"")</f>
        <v/>
      </c>
      <c r="AB240" t="str">
        <f t="shared" si="10"/>
        <v/>
      </c>
    </row>
    <row r="241" spans="1:28">
      <c r="A241" t="str">
        <f>MacReports!A241</f>
        <v/>
      </c>
      <c r="B241">
        <f>MacReports!B241</f>
        <v>0</v>
      </c>
      <c r="C241">
        <f>MacReports!C241</f>
        <v>0</v>
      </c>
      <c r="E241" t="e">
        <f>_xlfn.XLOOKUP(G241,Models!A:A,Models!F:F)</f>
        <v>#N/A</v>
      </c>
      <c r="F241" t="str">
        <f>_xlfn.XLOOKUP(B241,MacReports!B:B,MacReports!D:D,"")</f>
        <v/>
      </c>
      <c r="G241" s="13">
        <f>MacReports!E241</f>
        <v>0</v>
      </c>
      <c r="H241" t="e">
        <f>_xlfn.XLOOKUP(G241,Models!A:A,Models!B:B)</f>
        <v>#N/A</v>
      </c>
      <c r="I241" t="e">
        <f>_xlfn.XLOOKUP(G241,Models!A:A,Models!E:E)</f>
        <v>#N/A</v>
      </c>
      <c r="J241" t="e">
        <f>_xlfn.XLOOKUP(G241,Models!A:A,Models!D:D)</f>
        <v>#N/A</v>
      </c>
      <c r="K241">
        <f>MacReports!F241</f>
        <v>0</v>
      </c>
      <c r="L241">
        <f>MacReports!G241</f>
        <v>0</v>
      </c>
      <c r="M241" s="15" t="e" cm="1">
        <f t="array" ref="M241">--_xlfn.LET(
    _xlpm.txt, MacReports!H241,
    _xlpm.chars, MID(_xlpm.txt, _xlfn.SEQUENCE(LEN(_xlpm.txt)), 1),
    _xlfn.TEXTJOIN("", TRUE, IF(ISNUMBER(--_xlpm.chars), _xlpm.chars, ""))
)</f>
        <v>#VALUE!</v>
      </c>
      <c r="N241" s="16" t="str" cm="1">
        <f t="array" ref="N241">_xlfn.IFS(
   --MacReports!M241&lt;55,"Battery Defect",
  -- MacReports!M241&lt;=69,"Battery D",
  --MacReports!M241&lt;=80,"Battery C",
 --MacReports!M241&gt;80,""
)</f>
        <v>Battery Defect</v>
      </c>
      <c r="O241" s="16" t="str">
        <f>IF(MacReports!I241="Service","Battery Service","")</f>
        <v/>
      </c>
      <c r="P241" s="13">
        <f>MacReports!P241</f>
        <v>0</v>
      </c>
      <c r="Q241" s="13" t="str">
        <f>IF(MacReports!J241="Enabled","Apple ID Lock","")</f>
        <v/>
      </c>
      <c r="R241" s="13" t="str">
        <f>IF(MacReports!L241="y","Remote Locked","")</f>
        <v/>
      </c>
      <c r="S241" t="str">
        <f t="shared" si="9"/>
        <v>Battery Defect, 0</v>
      </c>
      <c r="T241" t="str">
        <f>_xlfn.XLOOKUP(B241,Disk_Pivot!G:G,Disk_Pivot!I:I)</f>
        <v>Yes x2</v>
      </c>
      <c r="U241" t="str">
        <f>_xlfn.XLOOKUP(B241,Disk_Pivot!G:G,Disk_Pivot!N:N)</f>
        <v>Pass, Fail</v>
      </c>
      <c r="V241" t="str">
        <f>IF(U241="Fail",MacReports!N241,"")</f>
        <v/>
      </c>
      <c r="AB241" t="str">
        <f t="shared" si="10"/>
        <v/>
      </c>
    </row>
    <row r="242" spans="1:28">
      <c r="A242" t="str">
        <f>MacReports!A242</f>
        <v/>
      </c>
      <c r="B242">
        <f>MacReports!B242</f>
        <v>0</v>
      </c>
      <c r="C242">
        <f>MacReports!C242</f>
        <v>0</v>
      </c>
      <c r="E242" t="e">
        <f>_xlfn.XLOOKUP(G242,Models!A:A,Models!F:F)</f>
        <v>#N/A</v>
      </c>
      <c r="F242" t="str">
        <f>_xlfn.XLOOKUP(B242,MacReports!B:B,MacReports!D:D,"")</f>
        <v/>
      </c>
      <c r="G242" s="13">
        <f>MacReports!E242</f>
        <v>0</v>
      </c>
      <c r="H242" t="e">
        <f>_xlfn.XLOOKUP(G242,Models!A:A,Models!B:B)</f>
        <v>#N/A</v>
      </c>
      <c r="I242" t="e">
        <f>_xlfn.XLOOKUP(G242,Models!A:A,Models!E:E)</f>
        <v>#N/A</v>
      </c>
      <c r="J242" t="e">
        <f>_xlfn.XLOOKUP(G242,Models!A:A,Models!D:D)</f>
        <v>#N/A</v>
      </c>
      <c r="K242">
        <f>MacReports!F242</f>
        <v>0</v>
      </c>
      <c r="L242">
        <f>MacReports!G242</f>
        <v>0</v>
      </c>
      <c r="M242" s="15" t="e" cm="1">
        <f t="array" ref="M242">--_xlfn.LET(
    _xlpm.txt, MacReports!H242,
    _xlpm.chars, MID(_xlpm.txt, _xlfn.SEQUENCE(LEN(_xlpm.txt)), 1),
    _xlfn.TEXTJOIN("", TRUE, IF(ISNUMBER(--_xlpm.chars), _xlpm.chars, ""))
)</f>
        <v>#VALUE!</v>
      </c>
      <c r="N242" s="16" t="str" cm="1">
        <f t="array" ref="N242">_xlfn.IFS(
   --MacReports!M242&lt;55,"Battery Defect",
  -- MacReports!M242&lt;=69,"Battery D",
  --MacReports!M242&lt;=80,"Battery C",
 --MacReports!M242&gt;80,""
)</f>
        <v>Battery Defect</v>
      </c>
      <c r="O242" s="16" t="str">
        <f>IF(MacReports!I242="Service","Battery Service","")</f>
        <v/>
      </c>
      <c r="P242" s="13">
        <f>MacReports!P242</f>
        <v>0</v>
      </c>
      <c r="Q242" s="13" t="str">
        <f>IF(MacReports!J242="Enabled","Apple ID Lock","")</f>
        <v/>
      </c>
      <c r="R242" s="13" t="str">
        <f>IF(MacReports!L242="y","Remote Locked","")</f>
        <v/>
      </c>
      <c r="S242" t="str">
        <f t="shared" si="9"/>
        <v>Battery Defect, 0</v>
      </c>
      <c r="T242" t="str">
        <f>_xlfn.XLOOKUP(B242,Disk_Pivot!G:G,Disk_Pivot!I:I)</f>
        <v>Yes x2</v>
      </c>
      <c r="U242" t="str">
        <f>_xlfn.XLOOKUP(B242,Disk_Pivot!G:G,Disk_Pivot!N:N)</f>
        <v>Pass, Fail</v>
      </c>
      <c r="V242" t="str">
        <f>IF(U242="Fail",MacReports!N242,"")</f>
        <v/>
      </c>
      <c r="AB242" t="str">
        <f t="shared" si="10"/>
        <v/>
      </c>
    </row>
    <row r="243" spans="1:28">
      <c r="A243" t="str">
        <f>MacReports!A243</f>
        <v/>
      </c>
      <c r="B243">
        <f>MacReports!B243</f>
        <v>0</v>
      </c>
      <c r="C243">
        <f>MacReports!C243</f>
        <v>0</v>
      </c>
      <c r="E243" t="e">
        <f>_xlfn.XLOOKUP(G243,Models!A:A,Models!F:F)</f>
        <v>#N/A</v>
      </c>
      <c r="F243" t="str">
        <f>_xlfn.XLOOKUP(B243,MacReports!B:B,MacReports!D:D,"")</f>
        <v/>
      </c>
      <c r="G243" s="13">
        <f>MacReports!E243</f>
        <v>0</v>
      </c>
      <c r="H243" t="e">
        <f>_xlfn.XLOOKUP(G243,Models!A:A,Models!B:B)</f>
        <v>#N/A</v>
      </c>
      <c r="I243" t="e">
        <f>_xlfn.XLOOKUP(G243,Models!A:A,Models!E:E)</f>
        <v>#N/A</v>
      </c>
      <c r="J243" t="e">
        <f>_xlfn.XLOOKUP(G243,Models!A:A,Models!D:D)</f>
        <v>#N/A</v>
      </c>
      <c r="K243">
        <f>MacReports!F243</f>
        <v>0</v>
      </c>
      <c r="L243">
        <f>MacReports!G243</f>
        <v>0</v>
      </c>
      <c r="M243" s="15" t="e" cm="1">
        <f t="array" ref="M243">--_xlfn.LET(
    _xlpm.txt, MacReports!H243,
    _xlpm.chars, MID(_xlpm.txt, _xlfn.SEQUENCE(LEN(_xlpm.txt)), 1),
    _xlfn.TEXTJOIN("", TRUE, IF(ISNUMBER(--_xlpm.chars), _xlpm.chars, ""))
)</f>
        <v>#VALUE!</v>
      </c>
      <c r="N243" s="16" t="str" cm="1">
        <f t="array" ref="N243">_xlfn.IFS(
   --MacReports!M243&lt;55,"Battery Defect",
  -- MacReports!M243&lt;=69,"Battery D",
  --MacReports!M243&lt;=80,"Battery C",
 --MacReports!M243&gt;80,""
)</f>
        <v>Battery Defect</v>
      </c>
      <c r="O243" s="16" t="str">
        <f>IF(MacReports!I243="Service","Battery Service","")</f>
        <v/>
      </c>
      <c r="P243" s="13">
        <f>MacReports!P243</f>
        <v>0</v>
      </c>
      <c r="Q243" s="13" t="str">
        <f>IF(MacReports!J243="Enabled","Apple ID Lock","")</f>
        <v/>
      </c>
      <c r="R243" s="13" t="str">
        <f>IF(MacReports!L243="y","Remote Locked","")</f>
        <v/>
      </c>
      <c r="S243" t="str">
        <f t="shared" si="9"/>
        <v>Battery Defect, 0</v>
      </c>
      <c r="T243" t="str">
        <f>_xlfn.XLOOKUP(B243,Disk_Pivot!G:G,Disk_Pivot!I:I)</f>
        <v>Yes x2</v>
      </c>
      <c r="U243" t="str">
        <f>_xlfn.XLOOKUP(B243,Disk_Pivot!G:G,Disk_Pivot!N:N)</f>
        <v>Pass, Fail</v>
      </c>
      <c r="V243" t="str">
        <f>IF(U243="Fail",MacReports!N243,"")</f>
        <v/>
      </c>
      <c r="AB243" t="str">
        <f t="shared" si="10"/>
        <v/>
      </c>
    </row>
    <row r="244" spans="1:28">
      <c r="A244">
        <f>MacReports!A244</f>
        <v>0</v>
      </c>
      <c r="B244">
        <f>MacReports!B244</f>
        <v>0</v>
      </c>
      <c r="C244">
        <f>MacReports!C244</f>
        <v>0</v>
      </c>
      <c r="E244" t="e">
        <f>_xlfn.XLOOKUP(G244,Models!A:A,Models!F:F)</f>
        <v>#N/A</v>
      </c>
      <c r="F244" t="str">
        <f>_xlfn.XLOOKUP(B244,MacReports!B:B,MacReports!D:D,"")</f>
        <v/>
      </c>
      <c r="G244" s="13">
        <f>MacReports!E244</f>
        <v>0</v>
      </c>
      <c r="H244" t="e">
        <f>_xlfn.XLOOKUP(G244,Models!A:A,Models!B:B)</f>
        <v>#N/A</v>
      </c>
      <c r="I244" t="e">
        <f>_xlfn.XLOOKUP(G244,Models!A:A,Models!E:E)</f>
        <v>#N/A</v>
      </c>
      <c r="J244" t="e">
        <f>_xlfn.XLOOKUP(G244,Models!A:A,Models!D:D)</f>
        <v>#N/A</v>
      </c>
      <c r="K244">
        <f>MacReports!F244</f>
        <v>0</v>
      </c>
      <c r="L244">
        <f>MacReports!G244</f>
        <v>0</v>
      </c>
      <c r="M244" s="15" t="e" cm="1">
        <f t="array" ref="M244">--_xlfn.LET(
    _xlpm.txt, MacReports!H244,
    _xlpm.chars, MID(_xlpm.txt, _xlfn.SEQUENCE(LEN(_xlpm.txt)), 1),
    _xlfn.TEXTJOIN("", TRUE, IF(ISNUMBER(--_xlpm.chars), _xlpm.chars, ""))
)</f>
        <v>#VALUE!</v>
      </c>
      <c r="N244" s="16" t="str" cm="1">
        <f t="array" ref="N244">_xlfn.IFS(
   --MacReports!M244&lt;55,"Battery Defect",
  -- MacReports!M244&lt;=69,"Battery D",
  --MacReports!M244&lt;=80,"Battery C",
 --MacReports!M244&gt;80,""
)</f>
        <v>Battery Defect</v>
      </c>
      <c r="O244" s="16" t="str">
        <f>IF(MacReports!I244="Service","Battery Service","")</f>
        <v/>
      </c>
      <c r="P244" s="13">
        <f>MacReports!P244</f>
        <v>0</v>
      </c>
      <c r="Q244" s="13" t="str">
        <f>IF(MacReports!J244="Enabled","Apple ID Lock","")</f>
        <v/>
      </c>
      <c r="R244" s="13" t="str">
        <f>IF(MacReports!L244="y","Remote Locked","")</f>
        <v/>
      </c>
      <c r="S244" t="str">
        <f t="shared" si="9"/>
        <v>Battery Defect, 0</v>
      </c>
      <c r="T244" t="str">
        <f>_xlfn.XLOOKUP(B244,Disk_Pivot!G:G,Disk_Pivot!I:I)</f>
        <v>Yes x2</v>
      </c>
      <c r="U244" t="str">
        <f>_xlfn.XLOOKUP(B244,Disk_Pivot!G:G,Disk_Pivot!N:N)</f>
        <v>Pass, Fail</v>
      </c>
      <c r="V244" t="str">
        <f>IF(U244="Fail",MacReports!N244,"")</f>
        <v/>
      </c>
      <c r="AB244" t="str">
        <f t="shared" si="10"/>
        <v/>
      </c>
    </row>
    <row r="245" spans="1:28">
      <c r="A245">
        <f>MacReports!A245</f>
        <v>0</v>
      </c>
      <c r="B245">
        <f>MacReports!B245</f>
        <v>0</v>
      </c>
      <c r="C245">
        <f>MacReports!C245</f>
        <v>0</v>
      </c>
      <c r="E245" t="e">
        <f>_xlfn.XLOOKUP(G245,Models!A:A,Models!F:F)</f>
        <v>#N/A</v>
      </c>
      <c r="F245" t="str">
        <f>_xlfn.XLOOKUP(B245,MacReports!B:B,MacReports!D:D,"")</f>
        <v/>
      </c>
      <c r="G245" s="13">
        <f>MacReports!E245</f>
        <v>0</v>
      </c>
      <c r="H245" t="e">
        <f>_xlfn.XLOOKUP(G245,Models!A:A,Models!B:B)</f>
        <v>#N/A</v>
      </c>
      <c r="I245" t="e">
        <f>_xlfn.XLOOKUP(G245,Models!A:A,Models!E:E)</f>
        <v>#N/A</v>
      </c>
      <c r="J245" t="e">
        <f>_xlfn.XLOOKUP(G245,Models!A:A,Models!D:D)</f>
        <v>#N/A</v>
      </c>
      <c r="K245">
        <f>MacReports!F245</f>
        <v>0</v>
      </c>
      <c r="L245">
        <f>MacReports!G245</f>
        <v>0</v>
      </c>
      <c r="M245" s="15" t="e" cm="1">
        <f t="array" ref="M245">--_xlfn.LET(
    _xlpm.txt, MacReports!H245,
    _xlpm.chars, MID(_xlpm.txt, _xlfn.SEQUENCE(LEN(_xlpm.txt)), 1),
    _xlfn.TEXTJOIN("", TRUE, IF(ISNUMBER(--_xlpm.chars), _xlpm.chars, ""))
)</f>
        <v>#VALUE!</v>
      </c>
      <c r="N245" s="16" t="str" cm="1">
        <f t="array" ref="N245">_xlfn.IFS(
   --MacReports!M245&lt;55,"Battery Defect",
  -- MacReports!M245&lt;=69,"Battery D",
  --MacReports!M245&lt;=80,"Battery C",
 --MacReports!M245&gt;80,""
)</f>
        <v>Battery Defect</v>
      </c>
      <c r="O245" s="16" t="str">
        <f>IF(MacReports!I245="Service","Battery Service","")</f>
        <v/>
      </c>
      <c r="P245" s="13">
        <f>MacReports!P245</f>
        <v>0</v>
      </c>
      <c r="Q245" s="13" t="str">
        <f>IF(MacReports!J245="Enabled","Apple ID Lock","")</f>
        <v/>
      </c>
      <c r="R245" s="13" t="str">
        <f>IF(MacReports!L245="y","Remote Locked","")</f>
        <v/>
      </c>
      <c r="S245" t="str">
        <f t="shared" si="9"/>
        <v>Battery Defect, 0</v>
      </c>
      <c r="T245" t="str">
        <f>_xlfn.XLOOKUP(B245,Disk_Pivot!G:G,Disk_Pivot!I:I)</f>
        <v>Yes x2</v>
      </c>
      <c r="U245" t="str">
        <f>_xlfn.XLOOKUP(B245,Disk_Pivot!G:G,Disk_Pivot!N:N)</f>
        <v>Pass, Fail</v>
      </c>
      <c r="V245" t="str">
        <f>IF(U245="Fail",MacReports!N245,"")</f>
        <v/>
      </c>
      <c r="AB245" t="str">
        <f t="shared" si="10"/>
        <v/>
      </c>
    </row>
    <row r="246" spans="1:28">
      <c r="A246">
        <f>MacReports!A246</f>
        <v>0</v>
      </c>
      <c r="B246">
        <f>MacReports!B246</f>
        <v>0</v>
      </c>
      <c r="C246">
        <f>MacReports!C246</f>
        <v>0</v>
      </c>
      <c r="E246" t="e">
        <f>_xlfn.XLOOKUP(G246,Models!A:A,Models!F:F)</f>
        <v>#N/A</v>
      </c>
      <c r="F246" t="str">
        <f>_xlfn.XLOOKUP(B246,MacReports!B:B,MacReports!D:D,"")</f>
        <v/>
      </c>
      <c r="G246" s="13">
        <f>MacReports!E246</f>
        <v>0</v>
      </c>
      <c r="H246" t="e">
        <f>_xlfn.XLOOKUP(G246,Models!A:A,Models!B:B)</f>
        <v>#N/A</v>
      </c>
      <c r="I246" t="e">
        <f>_xlfn.XLOOKUP(G246,Models!A:A,Models!E:E)</f>
        <v>#N/A</v>
      </c>
      <c r="J246" t="e">
        <f>_xlfn.XLOOKUP(G246,Models!A:A,Models!D:D)</f>
        <v>#N/A</v>
      </c>
      <c r="K246">
        <f>MacReports!F246</f>
        <v>0</v>
      </c>
      <c r="L246">
        <f>MacReports!G246</f>
        <v>0</v>
      </c>
      <c r="M246" s="15" t="e" cm="1">
        <f t="array" ref="M246">--_xlfn.LET(
    _xlpm.txt, MacReports!H246,
    _xlpm.chars, MID(_xlpm.txt, _xlfn.SEQUENCE(LEN(_xlpm.txt)), 1),
    _xlfn.TEXTJOIN("", TRUE, IF(ISNUMBER(--_xlpm.chars), _xlpm.chars, ""))
)</f>
        <v>#VALUE!</v>
      </c>
      <c r="N246" s="16" t="str" cm="1">
        <f t="array" ref="N246">_xlfn.IFS(
   --MacReports!M246&lt;55,"Battery Defect",
  -- MacReports!M246&lt;=69,"Battery D",
  --MacReports!M246&lt;=80,"Battery C",
 --MacReports!M246&gt;80,""
)</f>
        <v>Battery Defect</v>
      </c>
      <c r="O246" s="16" t="str">
        <f>IF(MacReports!I246="Service","Battery Service","")</f>
        <v/>
      </c>
      <c r="P246" s="13">
        <f>MacReports!P246</f>
        <v>0</v>
      </c>
      <c r="Q246" s="13" t="str">
        <f>IF(MacReports!J246="Enabled","Apple ID Lock","")</f>
        <v/>
      </c>
      <c r="R246" s="13" t="str">
        <f>IF(MacReports!L246="y","Remote Locked","")</f>
        <v/>
      </c>
      <c r="S246" t="str">
        <f t="shared" si="9"/>
        <v>Battery Defect, 0</v>
      </c>
      <c r="T246" t="str">
        <f>_xlfn.XLOOKUP(B246,Disk_Pivot!G:G,Disk_Pivot!I:I)</f>
        <v>Yes x2</v>
      </c>
      <c r="U246" t="str">
        <f>_xlfn.XLOOKUP(B246,Disk_Pivot!G:G,Disk_Pivot!N:N)</f>
        <v>Pass, Fail</v>
      </c>
      <c r="V246" t="str">
        <f>IF(U246="Fail",MacReports!N246,"")</f>
        <v/>
      </c>
      <c r="AB246" t="str">
        <f t="shared" si="10"/>
        <v/>
      </c>
    </row>
    <row r="247" spans="1:28">
      <c r="A247">
        <f>MacReports!A247</f>
        <v>0</v>
      </c>
      <c r="B247">
        <f>MacReports!B247</f>
        <v>0</v>
      </c>
      <c r="C247">
        <f>MacReports!C247</f>
        <v>0</v>
      </c>
      <c r="E247" t="e">
        <f>_xlfn.XLOOKUP(G247,Models!A:A,Models!F:F)</f>
        <v>#N/A</v>
      </c>
      <c r="F247" t="str">
        <f>_xlfn.XLOOKUP(B247,MacReports!B:B,MacReports!D:D,"")</f>
        <v/>
      </c>
      <c r="G247" s="13">
        <f>MacReports!E247</f>
        <v>0</v>
      </c>
      <c r="H247" t="e">
        <f>_xlfn.XLOOKUP(G247,Models!A:A,Models!B:B)</f>
        <v>#N/A</v>
      </c>
      <c r="I247" t="e">
        <f>_xlfn.XLOOKUP(G247,Models!A:A,Models!E:E)</f>
        <v>#N/A</v>
      </c>
      <c r="J247" t="e">
        <f>_xlfn.XLOOKUP(G247,Models!A:A,Models!D:D)</f>
        <v>#N/A</v>
      </c>
      <c r="K247">
        <f>MacReports!F247</f>
        <v>0</v>
      </c>
      <c r="L247">
        <f>MacReports!G247</f>
        <v>0</v>
      </c>
      <c r="M247" s="15" t="e" cm="1">
        <f t="array" ref="M247">--_xlfn.LET(
    _xlpm.txt, MacReports!H247,
    _xlpm.chars, MID(_xlpm.txt, _xlfn.SEQUENCE(LEN(_xlpm.txt)), 1),
    _xlfn.TEXTJOIN("", TRUE, IF(ISNUMBER(--_xlpm.chars), _xlpm.chars, ""))
)</f>
        <v>#VALUE!</v>
      </c>
      <c r="N247" s="16" t="str" cm="1">
        <f t="array" ref="N247">_xlfn.IFS(
   --MacReports!M247&lt;55,"Battery Defect",
  -- MacReports!M247&lt;=69,"Battery D",
  --MacReports!M247&lt;=80,"Battery C",
 --MacReports!M247&gt;80,""
)</f>
        <v>Battery Defect</v>
      </c>
      <c r="O247" s="16" t="str">
        <f>IF(MacReports!I247="Service","Battery Service","")</f>
        <v/>
      </c>
      <c r="P247" s="13">
        <f>MacReports!P247</f>
        <v>0</v>
      </c>
      <c r="Q247" s="13" t="str">
        <f>IF(MacReports!J247="Enabled","Apple ID Lock","")</f>
        <v/>
      </c>
      <c r="R247" s="13" t="str">
        <f>IF(MacReports!L247="y","Remote Locked","")</f>
        <v/>
      </c>
      <c r="S247" t="str">
        <f t="shared" si="9"/>
        <v>Battery Defect, 0</v>
      </c>
      <c r="T247" t="str">
        <f>_xlfn.XLOOKUP(B247,Disk_Pivot!G:G,Disk_Pivot!I:I)</f>
        <v>Yes x2</v>
      </c>
      <c r="U247" t="str">
        <f>_xlfn.XLOOKUP(B247,Disk_Pivot!G:G,Disk_Pivot!N:N)</f>
        <v>Pass, Fail</v>
      </c>
      <c r="V247" t="str">
        <f>IF(U247="Fail",MacReports!N247,"")</f>
        <v/>
      </c>
      <c r="AB247" t="str">
        <f t="shared" si="10"/>
        <v/>
      </c>
    </row>
    <row r="248" spans="1:28">
      <c r="A248">
        <f>MacReports!A248</f>
        <v>0</v>
      </c>
      <c r="B248">
        <f>MacReports!B248</f>
        <v>0</v>
      </c>
      <c r="C248">
        <f>MacReports!C248</f>
        <v>0</v>
      </c>
      <c r="E248" t="e">
        <f>_xlfn.XLOOKUP(G248,Models!A:A,Models!F:F)</f>
        <v>#N/A</v>
      </c>
      <c r="F248" t="str">
        <f>_xlfn.XLOOKUP(B248,MacReports!B:B,MacReports!D:D,"")</f>
        <v/>
      </c>
      <c r="G248" s="13">
        <f>MacReports!E248</f>
        <v>0</v>
      </c>
      <c r="H248" t="e">
        <f>_xlfn.XLOOKUP(G248,Models!A:A,Models!B:B)</f>
        <v>#N/A</v>
      </c>
      <c r="I248" t="e">
        <f>_xlfn.XLOOKUP(G248,Models!A:A,Models!E:E)</f>
        <v>#N/A</v>
      </c>
      <c r="J248" t="e">
        <f>_xlfn.XLOOKUP(G248,Models!A:A,Models!D:D)</f>
        <v>#N/A</v>
      </c>
      <c r="K248">
        <f>MacReports!F248</f>
        <v>0</v>
      </c>
      <c r="L248">
        <f>MacReports!G248</f>
        <v>0</v>
      </c>
      <c r="M248" s="15" t="e" cm="1">
        <f t="array" ref="M248">--_xlfn.LET(
    _xlpm.txt, MacReports!H248,
    _xlpm.chars, MID(_xlpm.txt, _xlfn.SEQUENCE(LEN(_xlpm.txt)), 1),
    _xlfn.TEXTJOIN("", TRUE, IF(ISNUMBER(--_xlpm.chars), _xlpm.chars, ""))
)</f>
        <v>#VALUE!</v>
      </c>
      <c r="N248" s="16" t="str" cm="1">
        <f t="array" ref="N248">_xlfn.IFS(
   --MacReports!M248&lt;55,"Battery Defect",
  -- MacReports!M248&lt;=69,"Battery D",
  --MacReports!M248&lt;=80,"Battery C",
 --MacReports!M248&gt;80,""
)</f>
        <v>Battery Defect</v>
      </c>
      <c r="O248" s="16" t="str">
        <f>IF(MacReports!I248="Service","Battery Service","")</f>
        <v/>
      </c>
      <c r="P248" s="13">
        <f>MacReports!P248</f>
        <v>0</v>
      </c>
      <c r="Q248" s="13" t="str">
        <f>IF(MacReports!J248="Enabled","Apple ID Lock","")</f>
        <v/>
      </c>
      <c r="R248" s="13" t="str">
        <f>IF(MacReports!L248="y","Remote Locked","")</f>
        <v/>
      </c>
      <c r="S248" t="str">
        <f t="shared" si="9"/>
        <v>Battery Defect, 0</v>
      </c>
      <c r="T248" t="str">
        <f>_xlfn.XLOOKUP(B248,Disk_Pivot!G:G,Disk_Pivot!I:I)</f>
        <v>Yes x2</v>
      </c>
      <c r="U248" t="str">
        <f>_xlfn.XLOOKUP(B248,Disk_Pivot!G:G,Disk_Pivot!N:N)</f>
        <v>Pass, Fail</v>
      </c>
      <c r="V248" t="str">
        <f>IF(U248="Fail",MacReports!N248,"")</f>
        <v/>
      </c>
      <c r="AB248" t="str">
        <f t="shared" si="10"/>
        <v/>
      </c>
    </row>
    <row r="249" spans="1:28">
      <c r="A249">
        <f>MacReports!A249</f>
        <v>0</v>
      </c>
      <c r="B249">
        <f>MacReports!B249</f>
        <v>0</v>
      </c>
      <c r="C249">
        <f>MacReports!C249</f>
        <v>0</v>
      </c>
      <c r="E249" t="e">
        <f>_xlfn.XLOOKUP(G249,Models!A:A,Models!F:F)</f>
        <v>#N/A</v>
      </c>
      <c r="F249" t="str">
        <f>_xlfn.XLOOKUP(B249,MacReports!B:B,MacReports!D:D,"")</f>
        <v/>
      </c>
      <c r="G249" s="13">
        <f>MacReports!E249</f>
        <v>0</v>
      </c>
      <c r="H249" t="e">
        <f>_xlfn.XLOOKUP(G249,Models!A:A,Models!B:B)</f>
        <v>#N/A</v>
      </c>
      <c r="I249" t="e">
        <f>_xlfn.XLOOKUP(G249,Models!A:A,Models!E:E)</f>
        <v>#N/A</v>
      </c>
      <c r="J249" t="e">
        <f>_xlfn.XLOOKUP(G249,Models!A:A,Models!D:D)</f>
        <v>#N/A</v>
      </c>
      <c r="K249">
        <f>MacReports!F249</f>
        <v>0</v>
      </c>
      <c r="L249">
        <f>MacReports!G249</f>
        <v>0</v>
      </c>
      <c r="M249" s="15" t="e" cm="1">
        <f t="array" ref="M249">--_xlfn.LET(
    _xlpm.txt, MacReports!H249,
    _xlpm.chars, MID(_xlpm.txt, _xlfn.SEQUENCE(LEN(_xlpm.txt)), 1),
    _xlfn.TEXTJOIN("", TRUE, IF(ISNUMBER(--_xlpm.chars), _xlpm.chars, ""))
)</f>
        <v>#VALUE!</v>
      </c>
      <c r="N249" s="16" t="str" cm="1">
        <f t="array" ref="N249">_xlfn.IFS(
   --MacReports!M249&lt;55,"Battery Defect",
  -- MacReports!M249&lt;=69,"Battery D",
  --MacReports!M249&lt;=80,"Battery C",
 --MacReports!M249&gt;80,""
)</f>
        <v>Battery Defect</v>
      </c>
      <c r="O249" s="16" t="str">
        <f>IF(MacReports!I249="Service","Battery Service","")</f>
        <v/>
      </c>
      <c r="P249" s="13">
        <f>MacReports!P249</f>
        <v>0</v>
      </c>
      <c r="Q249" s="13" t="str">
        <f>IF(MacReports!J249="Enabled","Apple ID Lock","")</f>
        <v/>
      </c>
      <c r="R249" s="13" t="str">
        <f>IF(MacReports!L249="y","Remote Locked","")</f>
        <v/>
      </c>
      <c r="S249" t="str">
        <f t="shared" si="9"/>
        <v>Battery Defect, 0</v>
      </c>
      <c r="T249" t="str">
        <f>_xlfn.XLOOKUP(B249,Disk_Pivot!G:G,Disk_Pivot!I:I)</f>
        <v>Yes x2</v>
      </c>
      <c r="U249" t="str">
        <f>_xlfn.XLOOKUP(B249,Disk_Pivot!G:G,Disk_Pivot!N:N)</f>
        <v>Pass, Fail</v>
      </c>
      <c r="V249" t="str">
        <f>IF(U249="Fail",MacReports!N249,"")</f>
        <v/>
      </c>
      <c r="AB249" t="str">
        <f t="shared" si="10"/>
        <v/>
      </c>
    </row>
    <row r="250" spans="1:28">
      <c r="A250">
        <f>MacReports!A250</f>
        <v>0</v>
      </c>
      <c r="B250">
        <f>MacReports!B250</f>
        <v>0</v>
      </c>
      <c r="C250">
        <f>MacReports!C250</f>
        <v>0</v>
      </c>
      <c r="E250" t="e">
        <f>_xlfn.XLOOKUP(G250,Models!A:A,Models!F:F)</f>
        <v>#N/A</v>
      </c>
      <c r="F250" t="str">
        <f>_xlfn.XLOOKUP(B250,MacReports!B:B,MacReports!D:D,"")</f>
        <v/>
      </c>
      <c r="G250" s="13">
        <f>MacReports!E250</f>
        <v>0</v>
      </c>
      <c r="H250" t="e">
        <f>_xlfn.XLOOKUP(G250,Models!A:A,Models!B:B)</f>
        <v>#N/A</v>
      </c>
      <c r="I250" t="e">
        <f>_xlfn.XLOOKUP(G250,Models!A:A,Models!E:E)</f>
        <v>#N/A</v>
      </c>
      <c r="J250" t="e">
        <f>_xlfn.XLOOKUP(G250,Models!A:A,Models!D:D)</f>
        <v>#N/A</v>
      </c>
      <c r="K250">
        <f>MacReports!F250</f>
        <v>0</v>
      </c>
      <c r="L250">
        <f>MacReports!G250</f>
        <v>0</v>
      </c>
      <c r="M250" s="15" t="e" cm="1">
        <f t="array" ref="M250">--_xlfn.LET(
    _xlpm.txt, MacReports!H250,
    _xlpm.chars, MID(_xlpm.txt, _xlfn.SEQUENCE(LEN(_xlpm.txt)), 1),
    _xlfn.TEXTJOIN("", TRUE, IF(ISNUMBER(--_xlpm.chars), _xlpm.chars, ""))
)</f>
        <v>#VALUE!</v>
      </c>
      <c r="N250" s="16" t="str" cm="1">
        <f t="array" ref="N250">_xlfn.IFS(
   --MacReports!M250&lt;55,"Battery Defect",
  -- MacReports!M250&lt;=69,"Battery D",
  --MacReports!M250&lt;=80,"Battery C",
 --MacReports!M250&gt;80,""
)</f>
        <v>Battery Defect</v>
      </c>
      <c r="O250" s="16" t="str">
        <f>IF(MacReports!I250="Service","Battery Service","")</f>
        <v/>
      </c>
      <c r="P250" s="13">
        <f>MacReports!P250</f>
        <v>0</v>
      </c>
      <c r="Q250" s="13" t="str">
        <f>IF(MacReports!J250="Enabled","Apple ID Lock","")</f>
        <v/>
      </c>
      <c r="R250" s="13" t="str">
        <f>IF(MacReports!L250="y","Remote Locked","")</f>
        <v/>
      </c>
      <c r="S250" t="str">
        <f t="shared" si="9"/>
        <v>Battery Defect, 0</v>
      </c>
      <c r="T250" t="str">
        <f>_xlfn.XLOOKUP(B250,Disk_Pivot!G:G,Disk_Pivot!I:I)</f>
        <v>Yes x2</v>
      </c>
      <c r="U250" t="str">
        <f>_xlfn.XLOOKUP(B250,Disk_Pivot!G:G,Disk_Pivot!N:N)</f>
        <v>Pass, Fail</v>
      </c>
      <c r="V250" t="str">
        <f>IF(U250="Fail",MacReports!N250,"")</f>
        <v/>
      </c>
      <c r="AB250" t="str">
        <f t="shared" si="10"/>
        <v/>
      </c>
    </row>
    <row r="251" spans="1:28">
      <c r="A251">
        <f>MacReports!A251</f>
        <v>0</v>
      </c>
      <c r="B251">
        <f>MacReports!B251</f>
        <v>0</v>
      </c>
      <c r="C251">
        <f>MacReports!C251</f>
        <v>0</v>
      </c>
      <c r="E251" t="e">
        <f>_xlfn.XLOOKUP(G251,Models!A:A,Models!F:F)</f>
        <v>#N/A</v>
      </c>
      <c r="F251" t="str">
        <f>_xlfn.XLOOKUP(B251,MacReports!B:B,MacReports!D:D,"")</f>
        <v/>
      </c>
      <c r="G251" s="13">
        <f>MacReports!E251</f>
        <v>0</v>
      </c>
      <c r="H251" t="e">
        <f>_xlfn.XLOOKUP(G251,Models!A:A,Models!B:B)</f>
        <v>#N/A</v>
      </c>
      <c r="I251" t="e">
        <f>_xlfn.XLOOKUP(G251,Models!A:A,Models!E:E)</f>
        <v>#N/A</v>
      </c>
      <c r="J251" t="e">
        <f>_xlfn.XLOOKUP(G251,Models!A:A,Models!D:D)</f>
        <v>#N/A</v>
      </c>
      <c r="K251">
        <f>MacReports!F251</f>
        <v>0</v>
      </c>
      <c r="L251">
        <f>MacReports!G251</f>
        <v>0</v>
      </c>
      <c r="M251" s="15" t="e" cm="1">
        <f t="array" ref="M251">--_xlfn.LET(
    _xlpm.txt, MacReports!H251,
    _xlpm.chars, MID(_xlpm.txt, _xlfn.SEQUENCE(LEN(_xlpm.txt)), 1),
    _xlfn.TEXTJOIN("", TRUE, IF(ISNUMBER(--_xlpm.chars), _xlpm.chars, ""))
)</f>
        <v>#VALUE!</v>
      </c>
      <c r="N251" s="16" t="str" cm="1">
        <f t="array" ref="N251">_xlfn.IFS(
   --MacReports!M251&lt;55,"Battery Defect",
  -- MacReports!M251&lt;=69,"Battery D",
  --MacReports!M251&lt;=80,"Battery C",
 --MacReports!M251&gt;80,""
)</f>
        <v>Battery Defect</v>
      </c>
      <c r="O251" s="16" t="str">
        <f>IF(MacReports!I251="Service","Battery Service","")</f>
        <v/>
      </c>
      <c r="P251" s="13">
        <f>MacReports!P251</f>
        <v>0</v>
      </c>
      <c r="Q251" s="13" t="str">
        <f>IF(MacReports!J251="Enabled","Apple ID Lock","")</f>
        <v/>
      </c>
      <c r="R251" s="13" t="str">
        <f>IF(MacReports!L251="y","Remote Locked","")</f>
        <v/>
      </c>
      <c r="S251" t="str">
        <f t="shared" si="9"/>
        <v>Battery Defect, 0</v>
      </c>
      <c r="T251" t="str">
        <f>_xlfn.XLOOKUP(B251,Disk_Pivot!G:G,Disk_Pivot!I:I)</f>
        <v>Yes x2</v>
      </c>
      <c r="U251" t="str">
        <f>_xlfn.XLOOKUP(B251,Disk_Pivot!G:G,Disk_Pivot!N:N)</f>
        <v>Pass, Fail</v>
      </c>
      <c r="V251" t="str">
        <f>IF(U251="Fail",MacReports!N251,"")</f>
        <v/>
      </c>
      <c r="AB251" t="str">
        <f t="shared" si="10"/>
        <v/>
      </c>
    </row>
    <row r="252" spans="1:28">
      <c r="A252">
        <f>MacReports!A252</f>
        <v>0</v>
      </c>
      <c r="B252">
        <f>MacReports!B252</f>
        <v>0</v>
      </c>
      <c r="C252">
        <f>MacReports!C252</f>
        <v>0</v>
      </c>
      <c r="E252" t="e">
        <f>_xlfn.XLOOKUP(G252,Models!A:A,Models!F:F)</f>
        <v>#N/A</v>
      </c>
      <c r="F252" t="str">
        <f>_xlfn.XLOOKUP(B252,MacReports!B:B,MacReports!D:D,"")</f>
        <v/>
      </c>
      <c r="G252" s="13">
        <f>MacReports!E252</f>
        <v>0</v>
      </c>
      <c r="H252" t="e">
        <f>_xlfn.XLOOKUP(G252,Models!A:A,Models!B:B)</f>
        <v>#N/A</v>
      </c>
      <c r="I252" t="e">
        <f>_xlfn.XLOOKUP(G252,Models!A:A,Models!E:E)</f>
        <v>#N/A</v>
      </c>
      <c r="J252" t="e">
        <f>_xlfn.XLOOKUP(G252,Models!A:A,Models!D:D)</f>
        <v>#N/A</v>
      </c>
      <c r="K252">
        <f>MacReports!F252</f>
        <v>0</v>
      </c>
      <c r="L252">
        <f>MacReports!G252</f>
        <v>0</v>
      </c>
      <c r="M252" s="15" t="e" cm="1">
        <f t="array" ref="M252">--_xlfn.LET(
    _xlpm.txt, MacReports!H252,
    _xlpm.chars, MID(_xlpm.txt, _xlfn.SEQUENCE(LEN(_xlpm.txt)), 1),
    _xlfn.TEXTJOIN("", TRUE, IF(ISNUMBER(--_xlpm.chars), _xlpm.chars, ""))
)</f>
        <v>#VALUE!</v>
      </c>
      <c r="N252" s="16" t="str" cm="1">
        <f t="array" ref="N252">_xlfn.IFS(
   --MacReports!M252&lt;55,"Battery Defect",
  -- MacReports!M252&lt;=69,"Battery D",
  --MacReports!M252&lt;=80,"Battery C",
 --MacReports!M252&gt;80,""
)</f>
        <v>Battery Defect</v>
      </c>
      <c r="O252" s="16" t="str">
        <f>IF(MacReports!I252="Service","Battery Service","")</f>
        <v/>
      </c>
      <c r="P252" s="13">
        <f>MacReports!P252</f>
        <v>0</v>
      </c>
      <c r="Q252" s="13" t="str">
        <f>IF(MacReports!J252="Enabled","Apple ID Lock","")</f>
        <v/>
      </c>
      <c r="R252" s="13" t="str">
        <f>IF(MacReports!L252="y","Remote Locked","")</f>
        <v/>
      </c>
      <c r="S252" t="str">
        <f t="shared" si="9"/>
        <v>Battery Defect, 0</v>
      </c>
      <c r="T252" t="str">
        <f>_xlfn.XLOOKUP(B252,Disk_Pivot!G:G,Disk_Pivot!I:I)</f>
        <v>Yes x2</v>
      </c>
      <c r="U252" t="str">
        <f>_xlfn.XLOOKUP(B252,Disk_Pivot!G:G,Disk_Pivot!N:N)</f>
        <v>Pass, Fail</v>
      </c>
      <c r="V252" t="str">
        <f>IF(U252="Fail",MacReports!N252,"")</f>
        <v/>
      </c>
      <c r="AB252" t="str">
        <f t="shared" si="10"/>
        <v/>
      </c>
    </row>
    <row r="253" spans="1:28">
      <c r="A253">
        <f>MacReports!A253</f>
        <v>0</v>
      </c>
      <c r="B253">
        <f>MacReports!B253</f>
        <v>0</v>
      </c>
      <c r="C253">
        <f>MacReports!C253</f>
        <v>0</v>
      </c>
      <c r="E253" t="e">
        <f>_xlfn.XLOOKUP(G253,Models!A:A,Models!F:F)</f>
        <v>#N/A</v>
      </c>
      <c r="F253" t="str">
        <f>_xlfn.XLOOKUP(B253,MacReports!B:B,MacReports!D:D,"")</f>
        <v/>
      </c>
      <c r="G253" s="13">
        <f>MacReports!E253</f>
        <v>0</v>
      </c>
      <c r="H253" t="e">
        <f>_xlfn.XLOOKUP(G253,Models!A:A,Models!B:B)</f>
        <v>#N/A</v>
      </c>
      <c r="I253" t="e">
        <f>_xlfn.XLOOKUP(G253,Models!A:A,Models!E:E)</f>
        <v>#N/A</v>
      </c>
      <c r="J253" t="e">
        <f>_xlfn.XLOOKUP(G253,Models!A:A,Models!D:D)</f>
        <v>#N/A</v>
      </c>
      <c r="K253">
        <f>MacReports!F253</f>
        <v>0</v>
      </c>
      <c r="L253">
        <f>MacReports!G253</f>
        <v>0</v>
      </c>
      <c r="M253" s="15" t="e" cm="1">
        <f t="array" ref="M253">--_xlfn.LET(
    _xlpm.txt, MacReports!H253,
    _xlpm.chars, MID(_xlpm.txt, _xlfn.SEQUENCE(LEN(_xlpm.txt)), 1),
    _xlfn.TEXTJOIN("", TRUE, IF(ISNUMBER(--_xlpm.chars), _xlpm.chars, ""))
)</f>
        <v>#VALUE!</v>
      </c>
      <c r="N253" s="16" t="str" cm="1">
        <f t="array" ref="N253">_xlfn.IFS(
   --MacReports!M253&lt;55,"Battery Defect",
  -- MacReports!M253&lt;=69,"Battery D",
  --MacReports!M253&lt;=80,"Battery C",
 --MacReports!M253&gt;80,""
)</f>
        <v>Battery Defect</v>
      </c>
      <c r="O253" s="16" t="str">
        <f>IF(MacReports!I253="Service","Battery Service","")</f>
        <v/>
      </c>
      <c r="P253" s="13">
        <f>MacReports!P253</f>
        <v>0</v>
      </c>
      <c r="Q253" s="13" t="str">
        <f>IF(MacReports!J253="Enabled","Apple ID Lock","")</f>
        <v/>
      </c>
      <c r="R253" s="13" t="str">
        <f>IF(MacReports!L253="y","Remote Locked","")</f>
        <v/>
      </c>
      <c r="S253" t="str">
        <f t="shared" si="9"/>
        <v>Battery Defect, 0</v>
      </c>
      <c r="T253" t="str">
        <f>_xlfn.XLOOKUP(B253,Disk_Pivot!G:G,Disk_Pivot!I:I)</f>
        <v>Yes x2</v>
      </c>
      <c r="U253" t="str">
        <f>_xlfn.XLOOKUP(B253,Disk_Pivot!G:G,Disk_Pivot!N:N)</f>
        <v>Pass, Fail</v>
      </c>
      <c r="V253" t="str">
        <f>IF(U253="Fail",MacReports!N253,"")</f>
        <v/>
      </c>
      <c r="AB253" t="str">
        <f t="shared" si="10"/>
        <v/>
      </c>
    </row>
    <row r="254" spans="1:28">
      <c r="A254">
        <f>MacReports!A254</f>
        <v>0</v>
      </c>
      <c r="B254">
        <f>MacReports!B254</f>
        <v>0</v>
      </c>
      <c r="C254">
        <f>MacReports!C254</f>
        <v>0</v>
      </c>
      <c r="E254" t="e">
        <f>_xlfn.XLOOKUP(G254,Models!A:A,Models!F:F)</f>
        <v>#N/A</v>
      </c>
      <c r="F254" t="str">
        <f>_xlfn.XLOOKUP(B254,MacReports!B:B,MacReports!D:D,"")</f>
        <v/>
      </c>
      <c r="G254" s="13">
        <f>MacReports!E254</f>
        <v>0</v>
      </c>
      <c r="H254" t="e">
        <f>_xlfn.XLOOKUP(G254,Models!A:A,Models!B:B)</f>
        <v>#N/A</v>
      </c>
      <c r="I254" t="e">
        <f>_xlfn.XLOOKUP(G254,Models!A:A,Models!E:E)</f>
        <v>#N/A</v>
      </c>
      <c r="J254" t="e">
        <f>_xlfn.XLOOKUP(G254,Models!A:A,Models!D:D)</f>
        <v>#N/A</v>
      </c>
      <c r="K254">
        <f>MacReports!F254</f>
        <v>0</v>
      </c>
      <c r="L254">
        <f>MacReports!G254</f>
        <v>0</v>
      </c>
      <c r="M254" s="15" t="e" cm="1">
        <f t="array" ref="M254">--_xlfn.LET(
    _xlpm.txt, MacReports!H254,
    _xlpm.chars, MID(_xlpm.txt, _xlfn.SEQUENCE(LEN(_xlpm.txt)), 1),
    _xlfn.TEXTJOIN("", TRUE, IF(ISNUMBER(--_xlpm.chars), _xlpm.chars, ""))
)</f>
        <v>#VALUE!</v>
      </c>
      <c r="N254" s="16" t="str" cm="1">
        <f t="array" ref="N254">_xlfn.IFS(
   --MacReports!M254&lt;55,"Battery Defect",
  -- MacReports!M254&lt;=69,"Battery D",
  --MacReports!M254&lt;=80,"Battery C",
 --MacReports!M254&gt;80,""
)</f>
        <v>Battery Defect</v>
      </c>
      <c r="O254" s="16" t="str">
        <f>IF(MacReports!I254="Service","Battery Service","")</f>
        <v/>
      </c>
      <c r="P254" s="13">
        <f>MacReports!P254</f>
        <v>0</v>
      </c>
      <c r="Q254" s="13" t="str">
        <f>IF(MacReports!J254="Enabled","Apple ID Lock","")</f>
        <v/>
      </c>
      <c r="R254" s="13" t="str">
        <f>IF(MacReports!L254="y","Remote Locked","")</f>
        <v/>
      </c>
      <c r="S254" t="str">
        <f t="shared" si="9"/>
        <v>Battery Defect, 0</v>
      </c>
      <c r="T254" t="str">
        <f>_xlfn.XLOOKUP(B254,Disk_Pivot!G:G,Disk_Pivot!I:I)</f>
        <v>Yes x2</v>
      </c>
      <c r="U254" t="str">
        <f>_xlfn.XLOOKUP(B254,Disk_Pivot!G:G,Disk_Pivot!N:N)</f>
        <v>Pass, Fail</v>
      </c>
      <c r="V254" t="str">
        <f>IF(U254="Fail",MacReports!N254,"")</f>
        <v/>
      </c>
      <c r="AB254" t="str">
        <f t="shared" si="10"/>
        <v/>
      </c>
    </row>
    <row r="255" spans="1:28">
      <c r="A255">
        <f>MacReports!A255</f>
        <v>0</v>
      </c>
      <c r="B255">
        <f>MacReports!B255</f>
        <v>0</v>
      </c>
      <c r="C255">
        <f>MacReports!C255</f>
        <v>0</v>
      </c>
      <c r="E255" t="e">
        <f>_xlfn.XLOOKUP(G255,Models!A:A,Models!F:F)</f>
        <v>#N/A</v>
      </c>
      <c r="F255" t="str">
        <f>_xlfn.XLOOKUP(B255,MacReports!B:B,MacReports!D:D,"")</f>
        <v/>
      </c>
      <c r="G255" s="13">
        <f>MacReports!E255</f>
        <v>0</v>
      </c>
      <c r="H255" t="e">
        <f>_xlfn.XLOOKUP(G255,Models!A:A,Models!B:B)</f>
        <v>#N/A</v>
      </c>
      <c r="I255" t="e">
        <f>_xlfn.XLOOKUP(G255,Models!A:A,Models!E:E)</f>
        <v>#N/A</v>
      </c>
      <c r="J255" t="e">
        <f>_xlfn.XLOOKUP(G255,Models!A:A,Models!D:D)</f>
        <v>#N/A</v>
      </c>
      <c r="K255">
        <f>MacReports!F255</f>
        <v>0</v>
      </c>
      <c r="L255">
        <f>MacReports!G255</f>
        <v>0</v>
      </c>
      <c r="M255" s="15" t="e" cm="1">
        <f t="array" ref="M255">--_xlfn.LET(
    _xlpm.txt, MacReports!H255,
    _xlpm.chars, MID(_xlpm.txt, _xlfn.SEQUENCE(LEN(_xlpm.txt)), 1),
    _xlfn.TEXTJOIN("", TRUE, IF(ISNUMBER(--_xlpm.chars), _xlpm.chars, ""))
)</f>
        <v>#VALUE!</v>
      </c>
      <c r="N255" s="16" t="str" cm="1">
        <f t="array" ref="N255">_xlfn.IFS(
   --MacReports!M255&lt;55,"Battery Defect",
  -- MacReports!M255&lt;=69,"Battery D",
  --MacReports!M255&lt;=80,"Battery C",
 --MacReports!M255&gt;80,""
)</f>
        <v>Battery Defect</v>
      </c>
      <c r="O255" s="16" t="str">
        <f>IF(MacReports!I255="Service","Battery Service","")</f>
        <v/>
      </c>
      <c r="P255" s="13">
        <f>MacReports!P255</f>
        <v>0</v>
      </c>
      <c r="Q255" s="13" t="str">
        <f>IF(MacReports!J255="Enabled","Apple ID Lock","")</f>
        <v/>
      </c>
      <c r="R255" s="13" t="str">
        <f>IF(MacReports!L255="y","Remote Locked","")</f>
        <v/>
      </c>
      <c r="S255" t="str">
        <f t="shared" si="9"/>
        <v>Battery Defect, 0</v>
      </c>
      <c r="T255" t="str">
        <f>_xlfn.XLOOKUP(B255,Disk_Pivot!G:G,Disk_Pivot!I:I)</f>
        <v>Yes x2</v>
      </c>
      <c r="U255" t="str">
        <f>_xlfn.XLOOKUP(B255,Disk_Pivot!G:G,Disk_Pivot!N:N)</f>
        <v>Pass, Fail</v>
      </c>
      <c r="V255" t="str">
        <f>IF(U255="Fail",MacReports!N255,"")</f>
        <v/>
      </c>
      <c r="AB255" t="str">
        <f t="shared" si="10"/>
        <v/>
      </c>
    </row>
    <row r="256" spans="1:28">
      <c r="A256">
        <f>MacReports!A256</f>
        <v>0</v>
      </c>
      <c r="B256">
        <f>MacReports!B256</f>
        <v>0</v>
      </c>
      <c r="C256">
        <f>MacReports!C256</f>
        <v>0</v>
      </c>
      <c r="E256" t="e">
        <f>_xlfn.XLOOKUP(G256,Models!A:A,Models!F:F)</f>
        <v>#N/A</v>
      </c>
      <c r="F256" t="str">
        <f>_xlfn.XLOOKUP(B256,MacReports!B:B,MacReports!D:D,"")</f>
        <v/>
      </c>
      <c r="G256" s="13">
        <f>MacReports!E256</f>
        <v>0</v>
      </c>
      <c r="H256" t="e">
        <f>_xlfn.XLOOKUP(G256,Models!A:A,Models!B:B)</f>
        <v>#N/A</v>
      </c>
      <c r="I256" t="e">
        <f>_xlfn.XLOOKUP(G256,Models!A:A,Models!E:E)</f>
        <v>#N/A</v>
      </c>
      <c r="J256" t="e">
        <f>_xlfn.XLOOKUP(G256,Models!A:A,Models!D:D)</f>
        <v>#N/A</v>
      </c>
      <c r="K256">
        <f>MacReports!F256</f>
        <v>0</v>
      </c>
      <c r="L256">
        <f>MacReports!G256</f>
        <v>0</v>
      </c>
      <c r="M256" s="15" t="e" cm="1">
        <f t="array" ref="M256">--_xlfn.LET(
    _xlpm.txt, MacReports!H256,
    _xlpm.chars, MID(_xlpm.txt, _xlfn.SEQUENCE(LEN(_xlpm.txt)), 1),
    _xlfn.TEXTJOIN("", TRUE, IF(ISNUMBER(--_xlpm.chars), _xlpm.chars, ""))
)</f>
        <v>#VALUE!</v>
      </c>
      <c r="N256" s="16" t="str" cm="1">
        <f t="array" ref="N256">_xlfn.IFS(
   --MacReports!M256&lt;55,"Battery Defect",
  -- MacReports!M256&lt;=69,"Battery D",
  --MacReports!M256&lt;=80,"Battery C",
 --MacReports!M256&gt;80,""
)</f>
        <v>Battery Defect</v>
      </c>
      <c r="O256" s="16" t="str">
        <f>IF(MacReports!I256="Service","Battery Service","")</f>
        <v/>
      </c>
      <c r="P256" s="13">
        <f>MacReports!P256</f>
        <v>0</v>
      </c>
      <c r="Q256" s="13" t="str">
        <f>IF(MacReports!J256="Enabled","Apple ID Lock","")</f>
        <v/>
      </c>
      <c r="R256" s="13" t="str">
        <f>IF(MacReports!L256="y","Remote Locked","")</f>
        <v/>
      </c>
      <c r="S256" t="str">
        <f t="shared" si="9"/>
        <v>Battery Defect, 0</v>
      </c>
      <c r="T256" t="str">
        <f>_xlfn.XLOOKUP(B256,Disk_Pivot!G:G,Disk_Pivot!I:I)</f>
        <v>Yes x2</v>
      </c>
      <c r="U256" t="str">
        <f>_xlfn.XLOOKUP(B256,Disk_Pivot!G:G,Disk_Pivot!N:N)</f>
        <v>Pass, Fail</v>
      </c>
      <c r="V256" t="str">
        <f>IF(U256="Fail",MacReports!N256,"")</f>
        <v/>
      </c>
      <c r="AB256" t="str">
        <f t="shared" si="10"/>
        <v/>
      </c>
    </row>
    <row r="257" spans="1:28">
      <c r="A257">
        <f>MacReports!A257</f>
        <v>0</v>
      </c>
      <c r="B257">
        <f>MacReports!B257</f>
        <v>0</v>
      </c>
      <c r="C257">
        <f>MacReports!C257</f>
        <v>0</v>
      </c>
      <c r="E257" t="e">
        <f>_xlfn.XLOOKUP(G257,Models!A:A,Models!F:F)</f>
        <v>#N/A</v>
      </c>
      <c r="F257" t="str">
        <f>_xlfn.XLOOKUP(B257,MacReports!B:B,MacReports!D:D,"")</f>
        <v/>
      </c>
      <c r="G257" s="13">
        <f>MacReports!E257</f>
        <v>0</v>
      </c>
      <c r="H257" t="e">
        <f>_xlfn.XLOOKUP(G257,Models!A:A,Models!B:B)</f>
        <v>#N/A</v>
      </c>
      <c r="I257" t="e">
        <f>_xlfn.XLOOKUP(G257,Models!A:A,Models!E:E)</f>
        <v>#N/A</v>
      </c>
      <c r="J257" t="e">
        <f>_xlfn.XLOOKUP(G257,Models!A:A,Models!D:D)</f>
        <v>#N/A</v>
      </c>
      <c r="K257">
        <f>MacReports!F257</f>
        <v>0</v>
      </c>
      <c r="L257">
        <f>MacReports!G257</f>
        <v>0</v>
      </c>
      <c r="M257" s="15" t="e" cm="1">
        <f t="array" ref="M257">--_xlfn.LET(
    _xlpm.txt, MacReports!H257,
    _xlpm.chars, MID(_xlpm.txt, _xlfn.SEQUENCE(LEN(_xlpm.txt)), 1),
    _xlfn.TEXTJOIN("", TRUE, IF(ISNUMBER(--_xlpm.chars), _xlpm.chars, ""))
)</f>
        <v>#VALUE!</v>
      </c>
      <c r="N257" s="16" t="str" cm="1">
        <f t="array" ref="N257">_xlfn.IFS(
   --MacReports!M257&lt;55,"Battery Defect",
  -- MacReports!M257&lt;=69,"Battery D",
  --MacReports!M257&lt;=80,"Battery C",
 --MacReports!M257&gt;80,""
)</f>
        <v>Battery Defect</v>
      </c>
      <c r="O257" s="16" t="str">
        <f>IF(MacReports!I257="Service","Battery Service","")</f>
        <v/>
      </c>
      <c r="P257" s="13">
        <f>MacReports!P257</f>
        <v>0</v>
      </c>
      <c r="Q257" s="13" t="str">
        <f>IF(MacReports!J257="Enabled","Apple ID Lock","")</f>
        <v/>
      </c>
      <c r="R257" s="13" t="str">
        <f>IF(MacReports!L257="y","Remote Locked","")</f>
        <v/>
      </c>
      <c r="S257" t="str">
        <f t="shared" si="9"/>
        <v>Battery Defect, 0</v>
      </c>
      <c r="T257" t="str">
        <f>_xlfn.XLOOKUP(B257,Disk_Pivot!G:G,Disk_Pivot!I:I)</f>
        <v>Yes x2</v>
      </c>
      <c r="U257" t="str">
        <f>_xlfn.XLOOKUP(B257,Disk_Pivot!G:G,Disk_Pivot!N:N)</f>
        <v>Pass, Fail</v>
      </c>
      <c r="V257" t="str">
        <f>IF(U257="Fail",MacReports!N257,"")</f>
        <v/>
      </c>
      <c r="AB257" t="str">
        <f t="shared" si="10"/>
        <v/>
      </c>
    </row>
    <row r="258" spans="1:28">
      <c r="A258">
        <f>MacReports!A258</f>
        <v>0</v>
      </c>
      <c r="B258">
        <f>MacReports!B258</f>
        <v>0</v>
      </c>
      <c r="C258">
        <f>MacReports!C258</f>
        <v>0</v>
      </c>
      <c r="E258" t="e">
        <f>_xlfn.XLOOKUP(G258,Models!A:A,Models!F:F)</f>
        <v>#N/A</v>
      </c>
      <c r="F258" t="str">
        <f>_xlfn.XLOOKUP(B258,MacReports!B:B,MacReports!D:D,"")</f>
        <v/>
      </c>
      <c r="G258" s="13">
        <f>MacReports!E258</f>
        <v>0</v>
      </c>
      <c r="H258" t="e">
        <f>_xlfn.XLOOKUP(G258,Models!A:A,Models!B:B)</f>
        <v>#N/A</v>
      </c>
      <c r="I258" t="e">
        <f>_xlfn.XLOOKUP(G258,Models!A:A,Models!E:E)</f>
        <v>#N/A</v>
      </c>
      <c r="J258" t="e">
        <f>_xlfn.XLOOKUP(G258,Models!A:A,Models!D:D)</f>
        <v>#N/A</v>
      </c>
      <c r="K258">
        <f>MacReports!F258</f>
        <v>0</v>
      </c>
      <c r="L258">
        <f>MacReports!G258</f>
        <v>0</v>
      </c>
      <c r="M258" s="15" t="e" cm="1">
        <f t="array" ref="M258">--_xlfn.LET(
    _xlpm.txt, MacReports!H258,
    _xlpm.chars, MID(_xlpm.txt, _xlfn.SEQUENCE(LEN(_xlpm.txt)), 1),
    _xlfn.TEXTJOIN("", TRUE, IF(ISNUMBER(--_xlpm.chars), _xlpm.chars, ""))
)</f>
        <v>#VALUE!</v>
      </c>
      <c r="N258" s="16" t="str" cm="1">
        <f t="array" ref="N258">_xlfn.IFS(
   --MacReports!M258&lt;55,"Battery Defect",
  -- MacReports!M258&lt;=69,"Battery D",
  --MacReports!M258&lt;=80,"Battery C",
 --MacReports!M258&gt;80,""
)</f>
        <v>Battery Defect</v>
      </c>
      <c r="O258" s="16" t="str">
        <f>IF(MacReports!I258="Service","Battery Service","")</f>
        <v/>
      </c>
      <c r="P258" s="13">
        <f>MacReports!P258</f>
        <v>0</v>
      </c>
      <c r="Q258" s="13" t="str">
        <f>IF(MacReports!J258="Enabled","Apple ID Lock","")</f>
        <v/>
      </c>
      <c r="R258" s="13" t="str">
        <f>IF(MacReports!L258="y","Remote Locked","")</f>
        <v/>
      </c>
      <c r="S258" t="str">
        <f t="shared" si="9"/>
        <v>Battery Defect, 0</v>
      </c>
      <c r="T258" t="str">
        <f>_xlfn.XLOOKUP(B258,Disk_Pivot!G:G,Disk_Pivot!I:I)</f>
        <v>Yes x2</v>
      </c>
      <c r="U258" t="str">
        <f>_xlfn.XLOOKUP(B258,Disk_Pivot!G:G,Disk_Pivot!N:N)</f>
        <v>Pass, Fail</v>
      </c>
      <c r="V258" t="str">
        <f>IF(U258="Fail",MacReports!N258,"")</f>
        <v/>
      </c>
      <c r="AB258" t="str">
        <f t="shared" si="10"/>
        <v/>
      </c>
    </row>
    <row r="259" spans="1:28">
      <c r="A259">
        <f>MacReports!A259</f>
        <v>0</v>
      </c>
      <c r="B259">
        <f>MacReports!B259</f>
        <v>0</v>
      </c>
      <c r="C259">
        <f>MacReports!C259</f>
        <v>0</v>
      </c>
      <c r="E259" t="e">
        <f>_xlfn.XLOOKUP(G259,Models!A:A,Models!F:F)</f>
        <v>#N/A</v>
      </c>
      <c r="F259" t="str">
        <f>_xlfn.XLOOKUP(B259,MacReports!B:B,MacReports!D:D,"")</f>
        <v/>
      </c>
      <c r="G259" s="13">
        <f>MacReports!E259</f>
        <v>0</v>
      </c>
      <c r="H259" t="e">
        <f>_xlfn.XLOOKUP(G259,Models!A:A,Models!B:B)</f>
        <v>#N/A</v>
      </c>
      <c r="I259" t="e">
        <f>_xlfn.XLOOKUP(G259,Models!A:A,Models!E:E)</f>
        <v>#N/A</v>
      </c>
      <c r="J259" t="e">
        <f>_xlfn.XLOOKUP(G259,Models!A:A,Models!D:D)</f>
        <v>#N/A</v>
      </c>
      <c r="K259">
        <f>MacReports!F259</f>
        <v>0</v>
      </c>
      <c r="L259">
        <f>MacReports!G259</f>
        <v>0</v>
      </c>
      <c r="M259" s="15" t="e" cm="1">
        <f t="array" ref="M259">--_xlfn.LET(
    _xlpm.txt, MacReports!H259,
    _xlpm.chars, MID(_xlpm.txt, _xlfn.SEQUENCE(LEN(_xlpm.txt)), 1),
    _xlfn.TEXTJOIN("", TRUE, IF(ISNUMBER(--_xlpm.chars), _xlpm.chars, ""))
)</f>
        <v>#VALUE!</v>
      </c>
      <c r="N259" s="16" t="str" cm="1">
        <f t="array" ref="N259">_xlfn.IFS(
   --MacReports!M259&lt;55,"Battery Defect",
  -- MacReports!M259&lt;=69,"Battery D",
  --MacReports!M259&lt;=80,"Battery C",
 --MacReports!M259&gt;80,""
)</f>
        <v>Battery Defect</v>
      </c>
      <c r="O259" s="16" t="str">
        <f>IF(MacReports!I259="Service","Battery Service","")</f>
        <v/>
      </c>
      <c r="P259" s="13">
        <f>MacReports!P259</f>
        <v>0</v>
      </c>
      <c r="Q259" s="13" t="str">
        <f>IF(MacReports!J259="Enabled","Apple ID Lock","")</f>
        <v/>
      </c>
      <c r="R259" s="13" t="str">
        <f>IF(MacReports!L259="y","Remote Locked","")</f>
        <v/>
      </c>
      <c r="S259" t="str">
        <f t="shared" si="9"/>
        <v>Battery Defect, 0</v>
      </c>
      <c r="T259" t="str">
        <f>_xlfn.XLOOKUP(B259,Disk_Pivot!G:G,Disk_Pivot!I:I)</f>
        <v>Yes x2</v>
      </c>
      <c r="U259" t="str">
        <f>_xlfn.XLOOKUP(B259,Disk_Pivot!G:G,Disk_Pivot!N:N)</f>
        <v>Pass, Fail</v>
      </c>
      <c r="V259" t="str">
        <f>IF(U259="Fail",MacReports!N259,"")</f>
        <v/>
      </c>
      <c r="AB259" t="str">
        <f t="shared" si="10"/>
        <v/>
      </c>
    </row>
    <row r="260" spans="1:28">
      <c r="A260">
        <f>MacReports!A260</f>
        <v>0</v>
      </c>
      <c r="B260">
        <f>MacReports!B260</f>
        <v>0</v>
      </c>
      <c r="C260">
        <f>MacReports!C260</f>
        <v>0</v>
      </c>
      <c r="E260" t="e">
        <f>_xlfn.XLOOKUP(G260,Models!A:A,Models!F:F)</f>
        <v>#N/A</v>
      </c>
      <c r="F260" t="str">
        <f>_xlfn.XLOOKUP(B260,MacReports!B:B,MacReports!D:D,"")</f>
        <v/>
      </c>
      <c r="G260" s="13">
        <f>MacReports!E260</f>
        <v>0</v>
      </c>
      <c r="H260" t="e">
        <f>_xlfn.XLOOKUP(G260,Models!A:A,Models!B:B)</f>
        <v>#N/A</v>
      </c>
      <c r="I260" t="e">
        <f>_xlfn.XLOOKUP(G260,Models!A:A,Models!E:E)</f>
        <v>#N/A</v>
      </c>
      <c r="J260" t="e">
        <f>_xlfn.XLOOKUP(G260,Models!A:A,Models!D:D)</f>
        <v>#N/A</v>
      </c>
      <c r="K260">
        <f>MacReports!F260</f>
        <v>0</v>
      </c>
      <c r="L260">
        <f>MacReports!G260</f>
        <v>0</v>
      </c>
      <c r="M260" s="15" t="e" cm="1">
        <f t="array" ref="M260">--_xlfn.LET(
    _xlpm.txt, MacReports!H260,
    _xlpm.chars, MID(_xlpm.txt, _xlfn.SEQUENCE(LEN(_xlpm.txt)), 1),
    _xlfn.TEXTJOIN("", TRUE, IF(ISNUMBER(--_xlpm.chars), _xlpm.chars, ""))
)</f>
        <v>#VALUE!</v>
      </c>
      <c r="N260" s="16" t="str" cm="1">
        <f t="array" ref="N260">_xlfn.IFS(
   --MacReports!M260&lt;55,"Battery Defect",
  -- MacReports!M260&lt;=69,"Battery D",
  --MacReports!M260&lt;=80,"Battery C",
 --MacReports!M260&gt;80,""
)</f>
        <v>Battery Defect</v>
      </c>
      <c r="O260" s="16" t="str">
        <f>IF(MacReports!I260="Service","Battery Service","")</f>
        <v/>
      </c>
      <c r="P260" s="13">
        <f>MacReports!P260</f>
        <v>0</v>
      </c>
      <c r="Q260" s="13" t="str">
        <f>IF(MacReports!J260="Enabled","Apple ID Lock","")</f>
        <v/>
      </c>
      <c r="R260" s="13" t="str">
        <f>IF(MacReports!L260="y","Remote Locked","")</f>
        <v/>
      </c>
      <c r="S260" t="str">
        <f t="shared" si="9"/>
        <v>Battery Defect, 0</v>
      </c>
      <c r="T260" t="str">
        <f>_xlfn.XLOOKUP(B260,Disk_Pivot!G:G,Disk_Pivot!I:I)</f>
        <v>Yes x2</v>
      </c>
      <c r="U260" t="str">
        <f>_xlfn.XLOOKUP(B260,Disk_Pivot!G:G,Disk_Pivot!N:N)</f>
        <v>Pass, Fail</v>
      </c>
      <c r="V260" t="str">
        <f>IF(U260="Fail",MacReports!N260,"")</f>
        <v/>
      </c>
      <c r="AB260" t="str">
        <f t="shared" si="10"/>
        <v/>
      </c>
    </row>
    <row r="261" spans="1:28">
      <c r="A261">
        <f>MacReports!A261</f>
        <v>0</v>
      </c>
      <c r="B261">
        <f>MacReports!B261</f>
        <v>0</v>
      </c>
      <c r="C261">
        <f>MacReports!C261</f>
        <v>0</v>
      </c>
      <c r="E261" t="e">
        <f>_xlfn.XLOOKUP(G261,Models!A:A,Models!F:F)</f>
        <v>#N/A</v>
      </c>
      <c r="F261" t="str">
        <f>_xlfn.XLOOKUP(B261,MacReports!B:B,MacReports!D:D,"")</f>
        <v/>
      </c>
      <c r="G261" s="13">
        <f>MacReports!E261</f>
        <v>0</v>
      </c>
      <c r="H261" t="e">
        <f>_xlfn.XLOOKUP(G261,Models!A:A,Models!B:B)</f>
        <v>#N/A</v>
      </c>
      <c r="I261" t="e">
        <f>_xlfn.XLOOKUP(G261,Models!A:A,Models!E:E)</f>
        <v>#N/A</v>
      </c>
      <c r="J261" t="e">
        <f>_xlfn.XLOOKUP(G261,Models!A:A,Models!D:D)</f>
        <v>#N/A</v>
      </c>
      <c r="K261">
        <f>MacReports!F261</f>
        <v>0</v>
      </c>
      <c r="L261">
        <f>MacReports!G261</f>
        <v>0</v>
      </c>
      <c r="M261" s="15" t="e" cm="1">
        <f t="array" ref="M261">--_xlfn.LET(
    _xlpm.txt, MacReports!H261,
    _xlpm.chars, MID(_xlpm.txt, _xlfn.SEQUENCE(LEN(_xlpm.txt)), 1),
    _xlfn.TEXTJOIN("", TRUE, IF(ISNUMBER(--_xlpm.chars), _xlpm.chars, ""))
)</f>
        <v>#VALUE!</v>
      </c>
      <c r="N261" s="16" t="str" cm="1">
        <f t="array" ref="N261">_xlfn.IFS(
   --MacReports!M261&lt;55,"Battery Defect",
  -- MacReports!M261&lt;=69,"Battery D",
  --MacReports!M261&lt;=80,"Battery C",
 --MacReports!M261&gt;80,""
)</f>
        <v>Battery Defect</v>
      </c>
      <c r="O261" s="16" t="str">
        <f>IF(MacReports!I261="Service","Battery Service","")</f>
        <v/>
      </c>
      <c r="P261" s="13">
        <f>MacReports!P261</f>
        <v>0</v>
      </c>
      <c r="Q261" s="13" t="str">
        <f>IF(MacReports!J261="Enabled","Apple ID Lock","")</f>
        <v/>
      </c>
      <c r="R261" s="13" t="str">
        <f>IF(MacReports!L261="y","Remote Locked","")</f>
        <v/>
      </c>
      <c r="S261" t="str">
        <f t="shared" si="9"/>
        <v>Battery Defect, 0</v>
      </c>
      <c r="T261" t="str">
        <f>_xlfn.XLOOKUP(B261,Disk_Pivot!G:G,Disk_Pivot!I:I)</f>
        <v>Yes x2</v>
      </c>
      <c r="U261" t="str">
        <f>_xlfn.XLOOKUP(B261,Disk_Pivot!G:G,Disk_Pivot!N:N)</f>
        <v>Pass, Fail</v>
      </c>
      <c r="V261" t="str">
        <f>IF(U261="Fail",MacReports!N261,"")</f>
        <v/>
      </c>
      <c r="AB261" t="str">
        <f t="shared" si="10"/>
        <v/>
      </c>
    </row>
    <row r="262" spans="1:28">
      <c r="A262">
        <f>MacReports!A262</f>
        <v>0</v>
      </c>
      <c r="B262">
        <f>MacReports!B262</f>
        <v>0</v>
      </c>
      <c r="C262">
        <f>MacReports!C262</f>
        <v>0</v>
      </c>
      <c r="E262" t="e">
        <f>_xlfn.XLOOKUP(G262,Models!A:A,Models!F:F)</f>
        <v>#N/A</v>
      </c>
      <c r="F262" t="str">
        <f>_xlfn.XLOOKUP(B262,MacReports!B:B,MacReports!D:D,"")</f>
        <v/>
      </c>
      <c r="G262" s="13">
        <f>MacReports!E262</f>
        <v>0</v>
      </c>
      <c r="H262" t="e">
        <f>_xlfn.XLOOKUP(G262,Models!A:A,Models!B:B)</f>
        <v>#N/A</v>
      </c>
      <c r="I262" t="e">
        <f>_xlfn.XLOOKUP(G262,Models!A:A,Models!E:E)</f>
        <v>#N/A</v>
      </c>
      <c r="J262" t="e">
        <f>_xlfn.XLOOKUP(G262,Models!A:A,Models!D:D)</f>
        <v>#N/A</v>
      </c>
      <c r="K262">
        <f>MacReports!F262</f>
        <v>0</v>
      </c>
      <c r="L262">
        <f>MacReports!G262</f>
        <v>0</v>
      </c>
      <c r="M262" s="15" t="e" cm="1">
        <f t="array" ref="M262">--_xlfn.LET(
    _xlpm.txt, MacReports!H262,
    _xlpm.chars, MID(_xlpm.txt, _xlfn.SEQUENCE(LEN(_xlpm.txt)), 1),
    _xlfn.TEXTJOIN("", TRUE, IF(ISNUMBER(--_xlpm.chars), _xlpm.chars, ""))
)</f>
        <v>#VALUE!</v>
      </c>
      <c r="N262" s="16" t="str" cm="1">
        <f t="array" ref="N262">_xlfn.IFS(
   --MacReports!M262&lt;55,"Battery Defect",
  -- MacReports!M262&lt;=69,"Battery D",
  --MacReports!M262&lt;=80,"Battery C",
 --MacReports!M262&gt;80,""
)</f>
        <v>Battery Defect</v>
      </c>
      <c r="O262" s="16" t="str">
        <f>IF(MacReports!I262="Service","Battery Service","")</f>
        <v/>
      </c>
      <c r="P262" s="13">
        <f>MacReports!P262</f>
        <v>0</v>
      </c>
      <c r="Q262" s="13" t="str">
        <f>IF(MacReports!J262="Enabled","Apple ID Lock","")</f>
        <v/>
      </c>
      <c r="R262" s="13" t="str">
        <f>IF(MacReports!L262="y","Remote Locked","")</f>
        <v/>
      </c>
      <c r="S262" t="str">
        <f t="shared" si="9"/>
        <v>Battery Defect, 0</v>
      </c>
      <c r="T262" t="str">
        <f>_xlfn.XLOOKUP(B262,Disk_Pivot!G:G,Disk_Pivot!I:I)</f>
        <v>Yes x2</v>
      </c>
      <c r="U262" t="str">
        <f>_xlfn.XLOOKUP(B262,Disk_Pivot!G:G,Disk_Pivot!N:N)</f>
        <v>Pass, Fail</v>
      </c>
      <c r="V262" t="str">
        <f>IF(U262="Fail",MacReports!N262,"")</f>
        <v/>
      </c>
      <c r="AB262" t="str">
        <f t="shared" si="10"/>
        <v/>
      </c>
    </row>
    <row r="263" spans="1:28">
      <c r="A263">
        <f>MacReports!A263</f>
        <v>0</v>
      </c>
      <c r="B263">
        <f>MacReports!B263</f>
        <v>0</v>
      </c>
      <c r="C263">
        <f>MacReports!C263</f>
        <v>0</v>
      </c>
      <c r="E263" t="e">
        <f>_xlfn.XLOOKUP(G263,Models!A:A,Models!F:F)</f>
        <v>#N/A</v>
      </c>
      <c r="F263" t="str">
        <f>_xlfn.XLOOKUP(B263,MacReports!B:B,MacReports!D:D,"")</f>
        <v/>
      </c>
      <c r="G263" s="13">
        <f>MacReports!E263</f>
        <v>0</v>
      </c>
      <c r="H263" t="e">
        <f>_xlfn.XLOOKUP(G263,Models!A:A,Models!B:B)</f>
        <v>#N/A</v>
      </c>
      <c r="I263" t="e">
        <f>_xlfn.XLOOKUP(G263,Models!A:A,Models!E:E)</f>
        <v>#N/A</v>
      </c>
      <c r="J263" t="e">
        <f>_xlfn.XLOOKUP(G263,Models!A:A,Models!D:D)</f>
        <v>#N/A</v>
      </c>
      <c r="K263">
        <f>MacReports!F263</f>
        <v>0</v>
      </c>
      <c r="L263">
        <f>MacReports!G263</f>
        <v>0</v>
      </c>
      <c r="M263" s="15" t="e" cm="1">
        <f t="array" ref="M263">--_xlfn.LET(
    _xlpm.txt, MacReports!H263,
    _xlpm.chars, MID(_xlpm.txt, _xlfn.SEQUENCE(LEN(_xlpm.txt)), 1),
    _xlfn.TEXTJOIN("", TRUE, IF(ISNUMBER(--_xlpm.chars), _xlpm.chars, ""))
)</f>
        <v>#VALUE!</v>
      </c>
      <c r="N263" s="16" t="str" cm="1">
        <f t="array" ref="N263">_xlfn.IFS(
   --MacReports!M263&lt;55,"Battery Defect",
  -- MacReports!M263&lt;=69,"Battery D",
  --MacReports!M263&lt;=80,"Battery C",
 --MacReports!M263&gt;80,""
)</f>
        <v>Battery Defect</v>
      </c>
      <c r="O263" s="16" t="str">
        <f>IF(MacReports!I263="Service","Battery Service","")</f>
        <v/>
      </c>
      <c r="P263" s="13">
        <f>MacReports!P263</f>
        <v>0</v>
      </c>
      <c r="Q263" s="13" t="str">
        <f>IF(MacReports!J263="Enabled","Apple ID Lock","")</f>
        <v/>
      </c>
      <c r="R263" s="13" t="str">
        <f>IF(MacReports!L263="y","Remote Locked","")</f>
        <v/>
      </c>
      <c r="S263" t="str">
        <f t="shared" si="9"/>
        <v>Battery Defect, 0</v>
      </c>
      <c r="T263" t="str">
        <f>_xlfn.XLOOKUP(B263,Disk_Pivot!G:G,Disk_Pivot!I:I)</f>
        <v>Yes x2</v>
      </c>
      <c r="U263" t="str">
        <f>_xlfn.XLOOKUP(B263,Disk_Pivot!G:G,Disk_Pivot!N:N)</f>
        <v>Pass, Fail</v>
      </c>
      <c r="V263" t="str">
        <f>IF(U263="Fail",MacReports!N263,"")</f>
        <v/>
      </c>
      <c r="AB263" t="str">
        <f t="shared" si="10"/>
        <v/>
      </c>
    </row>
    <row r="264" spans="1:28">
      <c r="A264">
        <f>MacReports!A264</f>
        <v>0</v>
      </c>
      <c r="B264">
        <f>MacReports!B264</f>
        <v>0</v>
      </c>
      <c r="C264">
        <f>MacReports!C264</f>
        <v>0</v>
      </c>
      <c r="E264" t="e">
        <f>_xlfn.XLOOKUP(G264,Models!A:A,Models!F:F)</f>
        <v>#N/A</v>
      </c>
      <c r="F264" t="str">
        <f>_xlfn.XLOOKUP(B264,MacReports!B:B,MacReports!D:D,"")</f>
        <v/>
      </c>
      <c r="G264" s="13">
        <f>MacReports!E264</f>
        <v>0</v>
      </c>
      <c r="H264" t="e">
        <f>_xlfn.XLOOKUP(G264,Models!A:A,Models!B:B)</f>
        <v>#N/A</v>
      </c>
      <c r="I264" t="e">
        <f>_xlfn.XLOOKUP(G264,Models!A:A,Models!E:E)</f>
        <v>#N/A</v>
      </c>
      <c r="J264" t="e">
        <f>_xlfn.XLOOKUP(G264,Models!A:A,Models!D:D)</f>
        <v>#N/A</v>
      </c>
      <c r="K264">
        <f>MacReports!F264</f>
        <v>0</v>
      </c>
      <c r="L264">
        <f>MacReports!G264</f>
        <v>0</v>
      </c>
      <c r="M264" s="15" t="e" cm="1">
        <f t="array" ref="M264">--_xlfn.LET(
    _xlpm.txt, MacReports!H264,
    _xlpm.chars, MID(_xlpm.txt, _xlfn.SEQUENCE(LEN(_xlpm.txt)), 1),
    _xlfn.TEXTJOIN("", TRUE, IF(ISNUMBER(--_xlpm.chars), _xlpm.chars, ""))
)</f>
        <v>#VALUE!</v>
      </c>
      <c r="N264" s="16" t="str" cm="1">
        <f t="array" ref="N264">_xlfn.IFS(
   --MacReports!M264&lt;55,"Battery Defect",
  -- MacReports!M264&lt;=69,"Battery D",
  --MacReports!M264&lt;=80,"Battery C",
 --MacReports!M264&gt;80,""
)</f>
        <v>Battery Defect</v>
      </c>
      <c r="O264" s="16" t="str">
        <f>IF(MacReports!I264="Service","Battery Service","")</f>
        <v/>
      </c>
      <c r="P264" s="13">
        <f>MacReports!P264</f>
        <v>0</v>
      </c>
      <c r="Q264" s="13" t="str">
        <f>IF(MacReports!J264="Enabled","Apple ID Lock","")</f>
        <v/>
      </c>
      <c r="R264" s="13" t="str">
        <f>IF(MacReports!L264="y","Remote Locked","")</f>
        <v/>
      </c>
      <c r="S264" t="str">
        <f t="shared" si="9"/>
        <v>Battery Defect, 0</v>
      </c>
      <c r="T264" t="str">
        <f>_xlfn.XLOOKUP(B264,Disk_Pivot!G:G,Disk_Pivot!I:I)</f>
        <v>Yes x2</v>
      </c>
      <c r="U264" t="str">
        <f>_xlfn.XLOOKUP(B264,Disk_Pivot!G:G,Disk_Pivot!N:N)</f>
        <v>Pass, Fail</v>
      </c>
      <c r="V264" t="str">
        <f>IF(U264="Fail",MacReports!N264,"")</f>
        <v/>
      </c>
      <c r="AB264" t="str">
        <f t="shared" si="10"/>
        <v/>
      </c>
    </row>
    <row r="265" spans="1:28">
      <c r="A265">
        <f>MacReports!A265</f>
        <v>0</v>
      </c>
      <c r="B265">
        <f>MacReports!B265</f>
        <v>0</v>
      </c>
      <c r="C265">
        <f>MacReports!C265</f>
        <v>0</v>
      </c>
      <c r="E265" t="e">
        <f>_xlfn.XLOOKUP(G265,Models!A:A,Models!F:F)</f>
        <v>#N/A</v>
      </c>
      <c r="F265" t="str">
        <f>_xlfn.XLOOKUP(B265,MacReports!B:B,MacReports!D:D,"")</f>
        <v/>
      </c>
      <c r="G265" s="13">
        <f>MacReports!E265</f>
        <v>0</v>
      </c>
      <c r="H265" t="e">
        <f>_xlfn.XLOOKUP(G265,Models!A:A,Models!B:B)</f>
        <v>#N/A</v>
      </c>
      <c r="I265" t="e">
        <f>_xlfn.XLOOKUP(G265,Models!A:A,Models!E:E)</f>
        <v>#N/A</v>
      </c>
      <c r="J265" t="e">
        <f>_xlfn.XLOOKUP(G265,Models!A:A,Models!D:D)</f>
        <v>#N/A</v>
      </c>
      <c r="K265">
        <f>MacReports!F265</f>
        <v>0</v>
      </c>
      <c r="L265">
        <f>MacReports!G265</f>
        <v>0</v>
      </c>
      <c r="M265" s="15" t="e" cm="1">
        <f t="array" ref="M265">--_xlfn.LET(
    _xlpm.txt, MacReports!H265,
    _xlpm.chars, MID(_xlpm.txt, _xlfn.SEQUENCE(LEN(_xlpm.txt)), 1),
    _xlfn.TEXTJOIN("", TRUE, IF(ISNUMBER(--_xlpm.chars), _xlpm.chars, ""))
)</f>
        <v>#VALUE!</v>
      </c>
      <c r="N265" s="16" t="str" cm="1">
        <f t="array" ref="N265">_xlfn.IFS(
   --MacReports!M265&lt;55,"Battery Defect",
  -- MacReports!M265&lt;=69,"Battery D",
  --MacReports!M265&lt;=80,"Battery C",
 --MacReports!M265&gt;80,""
)</f>
        <v>Battery Defect</v>
      </c>
      <c r="O265" s="16" t="str">
        <f>IF(MacReports!I265="Service","Battery Service","")</f>
        <v/>
      </c>
      <c r="P265" s="13">
        <f>MacReports!P265</f>
        <v>0</v>
      </c>
      <c r="Q265" s="13" t="str">
        <f>IF(MacReports!J265="Enabled","Apple ID Lock","")</f>
        <v/>
      </c>
      <c r="R265" s="13" t="str">
        <f>IF(MacReports!L265="y","Remote Locked","")</f>
        <v/>
      </c>
      <c r="S265" t="str">
        <f t="shared" si="9"/>
        <v>Battery Defect, 0</v>
      </c>
      <c r="T265" t="str">
        <f>_xlfn.XLOOKUP(B265,Disk_Pivot!G:G,Disk_Pivot!I:I)</f>
        <v>Yes x2</v>
      </c>
      <c r="U265" t="str">
        <f>_xlfn.XLOOKUP(B265,Disk_Pivot!G:G,Disk_Pivot!N:N)</f>
        <v>Pass, Fail</v>
      </c>
      <c r="V265" t="str">
        <f>IF(U265="Fail",MacReports!N265,"")</f>
        <v/>
      </c>
      <c r="AB265" t="str">
        <f t="shared" si="10"/>
        <v/>
      </c>
    </row>
    <row r="266" spans="1:28">
      <c r="A266">
        <f>MacReports!A266</f>
        <v>0</v>
      </c>
      <c r="B266">
        <f>MacReports!B266</f>
        <v>0</v>
      </c>
      <c r="C266">
        <f>MacReports!C266</f>
        <v>0</v>
      </c>
      <c r="E266" t="e">
        <f>_xlfn.XLOOKUP(G266,Models!A:A,Models!F:F)</f>
        <v>#N/A</v>
      </c>
      <c r="F266" t="str">
        <f>_xlfn.XLOOKUP(B266,MacReports!B:B,MacReports!D:D,"")</f>
        <v/>
      </c>
      <c r="G266" s="13">
        <f>MacReports!E266</f>
        <v>0</v>
      </c>
      <c r="H266" t="e">
        <f>_xlfn.XLOOKUP(G266,Models!A:A,Models!B:B)</f>
        <v>#N/A</v>
      </c>
      <c r="I266" t="e">
        <f>_xlfn.XLOOKUP(G266,Models!A:A,Models!E:E)</f>
        <v>#N/A</v>
      </c>
      <c r="J266" t="e">
        <f>_xlfn.XLOOKUP(G266,Models!A:A,Models!D:D)</f>
        <v>#N/A</v>
      </c>
      <c r="K266">
        <f>MacReports!F266</f>
        <v>0</v>
      </c>
      <c r="L266">
        <f>MacReports!G266</f>
        <v>0</v>
      </c>
      <c r="M266" s="15" t="e" cm="1">
        <f t="array" ref="M266">--_xlfn.LET(
    _xlpm.txt, MacReports!H266,
    _xlpm.chars, MID(_xlpm.txt, _xlfn.SEQUENCE(LEN(_xlpm.txt)), 1),
    _xlfn.TEXTJOIN("", TRUE, IF(ISNUMBER(--_xlpm.chars), _xlpm.chars, ""))
)</f>
        <v>#VALUE!</v>
      </c>
      <c r="N266" s="16" t="str" cm="1">
        <f t="array" ref="N266">_xlfn.IFS(
   --MacReports!M266&lt;55,"Battery Defect",
  -- MacReports!M266&lt;=69,"Battery D",
  --MacReports!M266&lt;=80,"Battery C",
 --MacReports!M266&gt;80,""
)</f>
        <v>Battery Defect</v>
      </c>
      <c r="O266" s="16" t="str">
        <f>IF(MacReports!I266="Service","Battery Service","")</f>
        <v/>
      </c>
      <c r="P266" s="13">
        <f>MacReports!P266</f>
        <v>0</v>
      </c>
      <c r="Q266" s="13" t="str">
        <f>IF(MacReports!J266="Enabled","Apple ID Lock","")</f>
        <v/>
      </c>
      <c r="R266" s="13" t="str">
        <f>IF(MacReports!L266="y","Remote Locked","")</f>
        <v/>
      </c>
      <c r="S266" t="str">
        <f t="shared" si="9"/>
        <v>Battery Defect, 0</v>
      </c>
      <c r="T266" t="str">
        <f>_xlfn.XLOOKUP(B266,Disk_Pivot!G:G,Disk_Pivot!I:I)</f>
        <v>Yes x2</v>
      </c>
      <c r="U266" t="str">
        <f>_xlfn.XLOOKUP(B266,Disk_Pivot!G:G,Disk_Pivot!N:N)</f>
        <v>Pass, Fail</v>
      </c>
      <c r="V266" t="str">
        <f>IF(U266="Fail",MacReports!N266,"")</f>
        <v/>
      </c>
      <c r="AB266" t="str">
        <f t="shared" si="10"/>
        <v/>
      </c>
    </row>
    <row r="267" spans="1:28">
      <c r="A267">
        <f>MacReports!A267</f>
        <v>0</v>
      </c>
      <c r="B267">
        <f>MacReports!B267</f>
        <v>0</v>
      </c>
      <c r="C267">
        <f>MacReports!C267</f>
        <v>0</v>
      </c>
      <c r="E267" t="e">
        <f>_xlfn.XLOOKUP(G267,Models!A:A,Models!F:F)</f>
        <v>#N/A</v>
      </c>
      <c r="F267" t="str">
        <f>_xlfn.XLOOKUP(B267,MacReports!B:B,MacReports!D:D,"")</f>
        <v/>
      </c>
      <c r="G267" s="13">
        <f>MacReports!E267</f>
        <v>0</v>
      </c>
      <c r="H267" t="e">
        <f>_xlfn.XLOOKUP(G267,Models!A:A,Models!B:B)</f>
        <v>#N/A</v>
      </c>
      <c r="I267" t="e">
        <f>_xlfn.XLOOKUP(G267,Models!A:A,Models!E:E)</f>
        <v>#N/A</v>
      </c>
      <c r="J267" t="e">
        <f>_xlfn.XLOOKUP(G267,Models!A:A,Models!D:D)</f>
        <v>#N/A</v>
      </c>
      <c r="K267">
        <f>MacReports!F267</f>
        <v>0</v>
      </c>
      <c r="L267">
        <f>MacReports!G267</f>
        <v>0</v>
      </c>
      <c r="M267" s="15" t="e" cm="1">
        <f t="array" ref="M267">--_xlfn.LET(
    _xlpm.txt, MacReports!H267,
    _xlpm.chars, MID(_xlpm.txt, _xlfn.SEQUENCE(LEN(_xlpm.txt)), 1),
    _xlfn.TEXTJOIN("", TRUE, IF(ISNUMBER(--_xlpm.chars), _xlpm.chars, ""))
)</f>
        <v>#VALUE!</v>
      </c>
      <c r="N267" s="16" t="str" cm="1">
        <f t="array" ref="N267">_xlfn.IFS(
   --MacReports!M267&lt;55,"Battery Defect",
  -- MacReports!M267&lt;=69,"Battery D",
  --MacReports!M267&lt;=80,"Battery C",
 --MacReports!M267&gt;80,""
)</f>
        <v>Battery Defect</v>
      </c>
      <c r="O267" s="16" t="str">
        <f>IF(MacReports!I267="Service","Battery Service","")</f>
        <v/>
      </c>
      <c r="P267" s="13">
        <f>MacReports!P267</f>
        <v>0</v>
      </c>
      <c r="Q267" s="13" t="str">
        <f>IF(MacReports!J267="Enabled","Apple ID Lock","")</f>
        <v/>
      </c>
      <c r="R267" s="13" t="str">
        <f>IF(MacReports!L267="y","Remote Locked","")</f>
        <v/>
      </c>
      <c r="S267" t="str">
        <f t="shared" si="9"/>
        <v>Battery Defect, 0</v>
      </c>
      <c r="T267" t="str">
        <f>_xlfn.XLOOKUP(B267,Disk_Pivot!G:G,Disk_Pivot!I:I)</f>
        <v>Yes x2</v>
      </c>
      <c r="U267" t="str">
        <f>_xlfn.XLOOKUP(B267,Disk_Pivot!G:G,Disk_Pivot!N:N)</f>
        <v>Pass, Fail</v>
      </c>
      <c r="V267" t="str">
        <f>IF(U267="Fail",MacReports!N267,"")</f>
        <v/>
      </c>
      <c r="AB267" t="str">
        <f t="shared" si="10"/>
        <v/>
      </c>
    </row>
    <row r="268" spans="1:28">
      <c r="A268">
        <f>MacReports!A268</f>
        <v>0</v>
      </c>
      <c r="B268">
        <f>MacReports!B268</f>
        <v>0</v>
      </c>
      <c r="C268">
        <f>MacReports!C268</f>
        <v>0</v>
      </c>
      <c r="E268" t="e">
        <f>_xlfn.XLOOKUP(G268,Models!A:A,Models!F:F)</f>
        <v>#N/A</v>
      </c>
      <c r="F268" t="str">
        <f>_xlfn.XLOOKUP(B268,MacReports!B:B,MacReports!D:D,"")</f>
        <v/>
      </c>
      <c r="G268" s="13">
        <f>MacReports!E268</f>
        <v>0</v>
      </c>
      <c r="H268" t="e">
        <f>_xlfn.XLOOKUP(G268,Models!A:A,Models!B:B)</f>
        <v>#N/A</v>
      </c>
      <c r="I268" t="e">
        <f>_xlfn.XLOOKUP(G268,Models!A:A,Models!E:E)</f>
        <v>#N/A</v>
      </c>
      <c r="J268" t="e">
        <f>_xlfn.XLOOKUP(G268,Models!A:A,Models!D:D)</f>
        <v>#N/A</v>
      </c>
      <c r="K268">
        <f>MacReports!F268</f>
        <v>0</v>
      </c>
      <c r="L268">
        <f>MacReports!G268</f>
        <v>0</v>
      </c>
      <c r="M268" s="15" t="e" cm="1">
        <f t="array" ref="M268">--_xlfn.LET(
    _xlpm.txt, MacReports!H268,
    _xlpm.chars, MID(_xlpm.txt, _xlfn.SEQUENCE(LEN(_xlpm.txt)), 1),
    _xlfn.TEXTJOIN("", TRUE, IF(ISNUMBER(--_xlpm.chars), _xlpm.chars, ""))
)</f>
        <v>#VALUE!</v>
      </c>
      <c r="N268" s="16" t="str" cm="1">
        <f t="array" ref="N268">_xlfn.IFS(
   --MacReports!M268&lt;55,"Battery Defect",
  -- MacReports!M268&lt;=69,"Battery D",
  --MacReports!M268&lt;=80,"Battery C",
 --MacReports!M268&gt;80,""
)</f>
        <v>Battery Defect</v>
      </c>
      <c r="O268" s="16" t="str">
        <f>IF(MacReports!I268="Service","Battery Service","")</f>
        <v/>
      </c>
      <c r="P268" s="13">
        <f>MacReports!P268</f>
        <v>0</v>
      </c>
      <c r="Q268" s="13" t="str">
        <f>IF(MacReports!J268="Enabled","Apple ID Lock","")</f>
        <v/>
      </c>
      <c r="R268" s="13" t="str">
        <f>IF(MacReports!L268="y","Remote Locked","")</f>
        <v/>
      </c>
      <c r="S268" t="str">
        <f t="shared" si="9"/>
        <v>Battery Defect, 0</v>
      </c>
      <c r="T268" t="str">
        <f>_xlfn.XLOOKUP(B268,Disk_Pivot!G:G,Disk_Pivot!I:I)</f>
        <v>Yes x2</v>
      </c>
      <c r="U268" t="str">
        <f>_xlfn.XLOOKUP(B268,Disk_Pivot!G:G,Disk_Pivot!N:N)</f>
        <v>Pass, Fail</v>
      </c>
      <c r="V268" t="str">
        <f>IF(U268="Fail",MacReports!N268,"")</f>
        <v/>
      </c>
      <c r="AB268" t="str">
        <f t="shared" si="10"/>
        <v/>
      </c>
    </row>
    <row r="269" spans="1:28">
      <c r="A269">
        <f>MacReports!A269</f>
        <v>0</v>
      </c>
      <c r="B269">
        <f>MacReports!B269</f>
        <v>0</v>
      </c>
      <c r="C269">
        <f>MacReports!C269</f>
        <v>0</v>
      </c>
      <c r="E269" t="e">
        <f>_xlfn.XLOOKUP(G269,Models!A:A,Models!F:F)</f>
        <v>#N/A</v>
      </c>
      <c r="F269" t="str">
        <f>_xlfn.XLOOKUP(B269,MacReports!B:B,MacReports!D:D,"")</f>
        <v/>
      </c>
      <c r="G269" s="13">
        <f>MacReports!E269</f>
        <v>0</v>
      </c>
      <c r="H269" t="e">
        <f>_xlfn.XLOOKUP(G269,Models!A:A,Models!B:B)</f>
        <v>#N/A</v>
      </c>
      <c r="I269" t="e">
        <f>_xlfn.XLOOKUP(G269,Models!A:A,Models!E:E)</f>
        <v>#N/A</v>
      </c>
      <c r="J269" t="e">
        <f>_xlfn.XLOOKUP(G269,Models!A:A,Models!D:D)</f>
        <v>#N/A</v>
      </c>
      <c r="K269">
        <f>MacReports!F269</f>
        <v>0</v>
      </c>
      <c r="L269">
        <f>MacReports!G269</f>
        <v>0</v>
      </c>
      <c r="M269" s="15" t="e" cm="1">
        <f t="array" ref="M269">--_xlfn.LET(
    _xlpm.txt, MacReports!H269,
    _xlpm.chars, MID(_xlpm.txt, _xlfn.SEQUENCE(LEN(_xlpm.txt)), 1),
    _xlfn.TEXTJOIN("", TRUE, IF(ISNUMBER(--_xlpm.chars), _xlpm.chars, ""))
)</f>
        <v>#VALUE!</v>
      </c>
      <c r="N269" s="16" t="str" cm="1">
        <f t="array" ref="N269">_xlfn.IFS(
   --MacReports!M269&lt;55,"Battery Defect",
  -- MacReports!M269&lt;=69,"Battery D",
  --MacReports!M269&lt;=80,"Battery C",
 --MacReports!M269&gt;80,""
)</f>
        <v>Battery Defect</v>
      </c>
      <c r="O269" s="16" t="str">
        <f>IF(MacReports!I269="Service","Battery Service","")</f>
        <v/>
      </c>
      <c r="P269" s="13">
        <f>MacReports!P269</f>
        <v>0</v>
      </c>
      <c r="Q269" s="13" t="str">
        <f>IF(MacReports!J269="Enabled","Apple ID Lock","")</f>
        <v/>
      </c>
      <c r="R269" s="13" t="str">
        <f>IF(MacReports!L269="y","Remote Locked","")</f>
        <v/>
      </c>
      <c r="S269" t="str">
        <f t="shared" si="9"/>
        <v>Battery Defect, 0</v>
      </c>
      <c r="T269" t="str">
        <f>_xlfn.XLOOKUP(B269,Disk_Pivot!G:G,Disk_Pivot!I:I)</f>
        <v>Yes x2</v>
      </c>
      <c r="U269" t="str">
        <f>_xlfn.XLOOKUP(B269,Disk_Pivot!G:G,Disk_Pivot!N:N)</f>
        <v>Pass, Fail</v>
      </c>
      <c r="V269" t="str">
        <f>IF(U269="Fail",MacReports!N269,"")</f>
        <v/>
      </c>
      <c r="AB269" t="str">
        <f t="shared" si="10"/>
        <v/>
      </c>
    </row>
    <row r="270" spans="1:28">
      <c r="A270">
        <f>MacReports!A270</f>
        <v>0</v>
      </c>
      <c r="B270">
        <f>MacReports!B270</f>
        <v>0</v>
      </c>
      <c r="C270">
        <f>MacReports!C270</f>
        <v>0</v>
      </c>
      <c r="E270" t="e">
        <f>_xlfn.XLOOKUP(G270,Models!A:A,Models!F:F)</f>
        <v>#N/A</v>
      </c>
      <c r="F270" t="str">
        <f>_xlfn.XLOOKUP(B270,MacReports!B:B,MacReports!D:D,"")</f>
        <v/>
      </c>
      <c r="G270" s="13">
        <f>MacReports!E270</f>
        <v>0</v>
      </c>
      <c r="H270" t="e">
        <f>_xlfn.XLOOKUP(G270,Models!A:A,Models!B:B)</f>
        <v>#N/A</v>
      </c>
      <c r="I270" t="e">
        <f>_xlfn.XLOOKUP(G270,Models!A:A,Models!E:E)</f>
        <v>#N/A</v>
      </c>
      <c r="J270" t="e">
        <f>_xlfn.XLOOKUP(G270,Models!A:A,Models!D:D)</f>
        <v>#N/A</v>
      </c>
      <c r="K270">
        <f>MacReports!F270</f>
        <v>0</v>
      </c>
      <c r="L270">
        <f>MacReports!G270</f>
        <v>0</v>
      </c>
      <c r="M270" s="15" t="e" cm="1">
        <f t="array" ref="M270">--_xlfn.LET(
    _xlpm.txt, MacReports!H270,
    _xlpm.chars, MID(_xlpm.txt, _xlfn.SEQUENCE(LEN(_xlpm.txt)), 1),
    _xlfn.TEXTJOIN("", TRUE, IF(ISNUMBER(--_xlpm.chars), _xlpm.chars, ""))
)</f>
        <v>#VALUE!</v>
      </c>
      <c r="N270" s="16" t="str" cm="1">
        <f t="array" ref="N270">_xlfn.IFS(
   --MacReports!M270&lt;55,"Battery Defect",
  -- MacReports!M270&lt;=69,"Battery D",
  --MacReports!M270&lt;=80,"Battery C",
 --MacReports!M270&gt;80,""
)</f>
        <v>Battery Defect</v>
      </c>
      <c r="O270" s="16" t="str">
        <f>IF(MacReports!I270="Service","Battery Service","")</f>
        <v/>
      </c>
      <c r="P270" s="13">
        <f>MacReports!P270</f>
        <v>0</v>
      </c>
      <c r="Q270" s="13" t="str">
        <f>IF(MacReports!J270="Enabled","Apple ID Lock","")</f>
        <v/>
      </c>
      <c r="R270" s="13" t="str">
        <f>IF(MacReports!L270="y","Remote Locked","")</f>
        <v/>
      </c>
      <c r="S270" t="str">
        <f t="shared" si="9"/>
        <v>Battery Defect, 0</v>
      </c>
      <c r="T270" t="str">
        <f>_xlfn.XLOOKUP(B270,Disk_Pivot!G:G,Disk_Pivot!I:I)</f>
        <v>Yes x2</v>
      </c>
      <c r="U270" t="str">
        <f>_xlfn.XLOOKUP(B270,Disk_Pivot!G:G,Disk_Pivot!N:N)</f>
        <v>Pass, Fail</v>
      </c>
      <c r="V270" t="str">
        <f>IF(U270="Fail",MacReports!N270,"")</f>
        <v/>
      </c>
      <c r="AB270" t="str">
        <f t="shared" si="10"/>
        <v/>
      </c>
    </row>
    <row r="271" spans="1:28">
      <c r="A271">
        <f>MacReports!A271</f>
        <v>0</v>
      </c>
      <c r="B271">
        <f>MacReports!B271</f>
        <v>0</v>
      </c>
      <c r="C271">
        <f>MacReports!C271</f>
        <v>0</v>
      </c>
      <c r="E271" t="e">
        <f>_xlfn.XLOOKUP(G271,Models!A:A,Models!F:F)</f>
        <v>#N/A</v>
      </c>
      <c r="F271" t="str">
        <f>_xlfn.XLOOKUP(B271,MacReports!B:B,MacReports!D:D,"")</f>
        <v/>
      </c>
      <c r="G271" s="13">
        <f>MacReports!E271</f>
        <v>0</v>
      </c>
      <c r="H271" t="e">
        <f>_xlfn.XLOOKUP(G271,Models!A:A,Models!B:B)</f>
        <v>#N/A</v>
      </c>
      <c r="I271" t="e">
        <f>_xlfn.XLOOKUP(G271,Models!A:A,Models!E:E)</f>
        <v>#N/A</v>
      </c>
      <c r="J271" t="e">
        <f>_xlfn.XLOOKUP(G271,Models!A:A,Models!D:D)</f>
        <v>#N/A</v>
      </c>
      <c r="K271">
        <f>MacReports!F271</f>
        <v>0</v>
      </c>
      <c r="L271">
        <f>MacReports!G271</f>
        <v>0</v>
      </c>
      <c r="M271" s="15" t="e" cm="1">
        <f t="array" ref="M271">--_xlfn.LET(
    _xlpm.txt, MacReports!H271,
    _xlpm.chars, MID(_xlpm.txt, _xlfn.SEQUENCE(LEN(_xlpm.txt)), 1),
    _xlfn.TEXTJOIN("", TRUE, IF(ISNUMBER(--_xlpm.chars), _xlpm.chars, ""))
)</f>
        <v>#VALUE!</v>
      </c>
      <c r="N271" s="16" t="str" cm="1">
        <f t="array" ref="N271">_xlfn.IFS(
   --MacReports!M271&lt;55,"Battery Defect",
  -- MacReports!M271&lt;=69,"Battery D",
  --MacReports!M271&lt;=80,"Battery C",
 --MacReports!M271&gt;80,""
)</f>
        <v>Battery Defect</v>
      </c>
      <c r="O271" s="16" t="str">
        <f>IF(MacReports!I271="Service","Battery Service","")</f>
        <v/>
      </c>
      <c r="P271" s="13">
        <f>MacReports!P271</f>
        <v>0</v>
      </c>
      <c r="Q271" s="13" t="str">
        <f>IF(MacReports!J271="Enabled","Apple ID Lock","")</f>
        <v/>
      </c>
      <c r="R271" s="13" t="str">
        <f>IF(MacReports!L271="y","Remote Locked","")</f>
        <v/>
      </c>
      <c r="S271" t="str">
        <f t="shared" si="9"/>
        <v>Battery Defect, 0</v>
      </c>
      <c r="T271" t="str">
        <f>_xlfn.XLOOKUP(B271,Disk_Pivot!G:G,Disk_Pivot!I:I)</f>
        <v>Yes x2</v>
      </c>
      <c r="U271" t="str">
        <f>_xlfn.XLOOKUP(B271,Disk_Pivot!G:G,Disk_Pivot!N:N)</f>
        <v>Pass, Fail</v>
      </c>
      <c r="V271" t="str">
        <f>IF(U271="Fail",MacReports!N271,"")</f>
        <v/>
      </c>
      <c r="AB271" t="str">
        <f t="shared" si="10"/>
        <v/>
      </c>
    </row>
    <row r="272" spans="1:28">
      <c r="A272">
        <f>MacReports!A272</f>
        <v>0</v>
      </c>
      <c r="B272">
        <f>MacReports!B272</f>
        <v>0</v>
      </c>
      <c r="C272">
        <f>MacReports!C272</f>
        <v>0</v>
      </c>
      <c r="E272" t="e">
        <f>_xlfn.XLOOKUP(G272,Models!A:A,Models!F:F)</f>
        <v>#N/A</v>
      </c>
      <c r="F272" t="str">
        <f>_xlfn.XLOOKUP(B272,MacReports!B:B,MacReports!D:D,"")</f>
        <v/>
      </c>
      <c r="G272" s="13">
        <f>MacReports!E272</f>
        <v>0</v>
      </c>
      <c r="H272" t="e">
        <f>_xlfn.XLOOKUP(G272,Models!A:A,Models!B:B)</f>
        <v>#N/A</v>
      </c>
      <c r="I272" t="e">
        <f>_xlfn.XLOOKUP(G272,Models!A:A,Models!E:E)</f>
        <v>#N/A</v>
      </c>
      <c r="J272" t="e">
        <f>_xlfn.XLOOKUP(G272,Models!A:A,Models!D:D)</f>
        <v>#N/A</v>
      </c>
      <c r="K272">
        <f>MacReports!F272</f>
        <v>0</v>
      </c>
      <c r="L272">
        <f>MacReports!G272</f>
        <v>0</v>
      </c>
      <c r="M272" s="15" t="e" cm="1">
        <f t="array" ref="M272">--_xlfn.LET(
    _xlpm.txt, MacReports!H272,
    _xlpm.chars, MID(_xlpm.txt, _xlfn.SEQUENCE(LEN(_xlpm.txt)), 1),
    _xlfn.TEXTJOIN("", TRUE, IF(ISNUMBER(--_xlpm.chars), _xlpm.chars, ""))
)</f>
        <v>#VALUE!</v>
      </c>
      <c r="N272" s="16" t="str" cm="1">
        <f t="array" ref="N272">_xlfn.IFS(
   --MacReports!M272&lt;55,"Battery Defect",
  -- MacReports!M272&lt;=69,"Battery D",
  --MacReports!M272&lt;=80,"Battery C",
 --MacReports!M272&gt;80,""
)</f>
        <v>Battery Defect</v>
      </c>
      <c r="O272" s="16" t="str">
        <f>IF(MacReports!I272="Service","Battery Service","")</f>
        <v/>
      </c>
      <c r="P272" s="13">
        <f>MacReports!P272</f>
        <v>0</v>
      </c>
      <c r="Q272" s="13" t="str">
        <f>IF(MacReports!J272="Enabled","Apple ID Lock","")</f>
        <v/>
      </c>
      <c r="R272" s="13" t="str">
        <f>IF(MacReports!L272="y","Remote Locked","")</f>
        <v/>
      </c>
      <c r="S272" t="str">
        <f t="shared" si="9"/>
        <v>Battery Defect, 0</v>
      </c>
      <c r="T272" t="str">
        <f>_xlfn.XLOOKUP(B272,Disk_Pivot!G:G,Disk_Pivot!I:I)</f>
        <v>Yes x2</v>
      </c>
      <c r="U272" t="str">
        <f>_xlfn.XLOOKUP(B272,Disk_Pivot!G:G,Disk_Pivot!N:N)</f>
        <v>Pass, Fail</v>
      </c>
      <c r="V272" t="str">
        <f>IF(U272="Fail",MacReports!N272,"")</f>
        <v/>
      </c>
      <c r="AB272" t="str">
        <f t="shared" si="10"/>
        <v/>
      </c>
    </row>
    <row r="273" spans="1:28">
      <c r="A273">
        <f>MacReports!A273</f>
        <v>0</v>
      </c>
      <c r="B273">
        <f>MacReports!B273</f>
        <v>0</v>
      </c>
      <c r="C273">
        <f>MacReports!C273</f>
        <v>0</v>
      </c>
      <c r="E273" t="e">
        <f>_xlfn.XLOOKUP(G273,Models!A:A,Models!F:F)</f>
        <v>#N/A</v>
      </c>
      <c r="F273" t="str">
        <f>_xlfn.XLOOKUP(B273,MacReports!B:B,MacReports!D:D,"")</f>
        <v/>
      </c>
      <c r="G273" s="13">
        <f>MacReports!E273</f>
        <v>0</v>
      </c>
      <c r="H273" t="e">
        <f>_xlfn.XLOOKUP(G273,Models!A:A,Models!B:B)</f>
        <v>#N/A</v>
      </c>
      <c r="I273" t="e">
        <f>_xlfn.XLOOKUP(G273,Models!A:A,Models!E:E)</f>
        <v>#N/A</v>
      </c>
      <c r="J273" t="e">
        <f>_xlfn.XLOOKUP(G273,Models!A:A,Models!D:D)</f>
        <v>#N/A</v>
      </c>
      <c r="K273">
        <f>MacReports!F273</f>
        <v>0</v>
      </c>
      <c r="L273">
        <f>MacReports!G273</f>
        <v>0</v>
      </c>
      <c r="M273" s="15" t="e" cm="1">
        <f t="array" ref="M273">--_xlfn.LET(
    _xlpm.txt, MacReports!H273,
    _xlpm.chars, MID(_xlpm.txt, _xlfn.SEQUENCE(LEN(_xlpm.txt)), 1),
    _xlfn.TEXTJOIN("", TRUE, IF(ISNUMBER(--_xlpm.chars), _xlpm.chars, ""))
)</f>
        <v>#VALUE!</v>
      </c>
      <c r="N273" s="16" t="str" cm="1">
        <f t="array" ref="N273">_xlfn.IFS(
   --MacReports!M273&lt;55,"Battery Defect",
  -- MacReports!M273&lt;=69,"Battery D",
  --MacReports!M273&lt;=80,"Battery C",
 --MacReports!M273&gt;80,""
)</f>
        <v>Battery Defect</v>
      </c>
      <c r="O273" s="16" t="str">
        <f>IF(MacReports!I273="Service","Battery Service","")</f>
        <v/>
      </c>
      <c r="P273" s="13">
        <f>MacReports!P273</f>
        <v>0</v>
      </c>
      <c r="Q273" s="13" t="str">
        <f>IF(MacReports!J273="Enabled","Apple ID Lock","")</f>
        <v/>
      </c>
      <c r="R273" s="13" t="str">
        <f>IF(MacReports!L273="y","Remote Locked","")</f>
        <v/>
      </c>
      <c r="S273" t="str">
        <f t="shared" si="9"/>
        <v>Battery Defect, 0</v>
      </c>
      <c r="T273" t="str">
        <f>_xlfn.XLOOKUP(B273,Disk_Pivot!G:G,Disk_Pivot!I:I)</f>
        <v>Yes x2</v>
      </c>
      <c r="U273" t="str">
        <f>_xlfn.XLOOKUP(B273,Disk_Pivot!G:G,Disk_Pivot!N:N)</f>
        <v>Pass, Fail</v>
      </c>
      <c r="V273" t="str">
        <f>IF(U273="Fail",MacReports!N273,"")</f>
        <v/>
      </c>
      <c r="AB273" t="str">
        <f t="shared" si="10"/>
        <v/>
      </c>
    </row>
    <row r="274" spans="1:28">
      <c r="A274">
        <f>MacReports!A274</f>
        <v>0</v>
      </c>
      <c r="B274">
        <f>MacReports!B274</f>
        <v>0</v>
      </c>
      <c r="C274">
        <f>MacReports!C274</f>
        <v>0</v>
      </c>
      <c r="E274" t="e">
        <f>_xlfn.XLOOKUP(G274,Models!A:A,Models!F:F)</f>
        <v>#N/A</v>
      </c>
      <c r="F274" t="str">
        <f>_xlfn.XLOOKUP(B274,MacReports!B:B,MacReports!D:D,"")</f>
        <v/>
      </c>
      <c r="G274" s="13">
        <f>MacReports!E274</f>
        <v>0</v>
      </c>
      <c r="H274" t="e">
        <f>_xlfn.XLOOKUP(G274,Models!A:A,Models!B:B)</f>
        <v>#N/A</v>
      </c>
      <c r="I274" t="e">
        <f>_xlfn.XLOOKUP(G274,Models!A:A,Models!E:E)</f>
        <v>#N/A</v>
      </c>
      <c r="J274" t="e">
        <f>_xlfn.XLOOKUP(G274,Models!A:A,Models!D:D)</f>
        <v>#N/A</v>
      </c>
      <c r="K274">
        <f>MacReports!F274</f>
        <v>0</v>
      </c>
      <c r="L274">
        <f>MacReports!G274</f>
        <v>0</v>
      </c>
      <c r="M274" s="15" t="e" cm="1">
        <f t="array" ref="M274">--_xlfn.LET(
    _xlpm.txt, MacReports!H274,
    _xlpm.chars, MID(_xlpm.txt, _xlfn.SEQUENCE(LEN(_xlpm.txt)), 1),
    _xlfn.TEXTJOIN("", TRUE, IF(ISNUMBER(--_xlpm.chars), _xlpm.chars, ""))
)</f>
        <v>#VALUE!</v>
      </c>
      <c r="N274" s="16" t="str" cm="1">
        <f t="array" ref="N274">_xlfn.IFS(
   --MacReports!M274&lt;55,"Battery Defect",
  -- MacReports!M274&lt;=69,"Battery D",
  --MacReports!M274&lt;=80,"Battery C",
 --MacReports!M274&gt;80,""
)</f>
        <v>Battery Defect</v>
      </c>
      <c r="O274" s="16" t="str">
        <f>IF(MacReports!I274="Service","Battery Service","")</f>
        <v/>
      </c>
      <c r="P274" s="13">
        <f>MacReports!P274</f>
        <v>0</v>
      </c>
      <c r="Q274" s="13" t="str">
        <f>IF(MacReports!J274="Enabled","Apple ID Lock","")</f>
        <v/>
      </c>
      <c r="R274" s="13" t="str">
        <f>IF(MacReports!L274="y","Remote Locked","")</f>
        <v/>
      </c>
      <c r="S274" t="str">
        <f t="shared" si="9"/>
        <v>Battery Defect, 0</v>
      </c>
      <c r="T274" t="str">
        <f>_xlfn.XLOOKUP(B274,Disk_Pivot!G:G,Disk_Pivot!I:I)</f>
        <v>Yes x2</v>
      </c>
      <c r="U274" t="str">
        <f>_xlfn.XLOOKUP(B274,Disk_Pivot!G:G,Disk_Pivot!N:N)</f>
        <v>Pass, Fail</v>
      </c>
      <c r="V274" t="str">
        <f>IF(U274="Fail",MacReports!N274,"")</f>
        <v/>
      </c>
      <c r="AB274" t="str">
        <f t="shared" si="10"/>
        <v/>
      </c>
    </row>
    <row r="275" spans="1:28">
      <c r="A275">
        <f>MacReports!A275</f>
        <v>0</v>
      </c>
      <c r="B275">
        <f>MacReports!B275</f>
        <v>0</v>
      </c>
      <c r="C275">
        <f>MacReports!C275</f>
        <v>0</v>
      </c>
      <c r="E275" t="e">
        <f>_xlfn.XLOOKUP(G275,Models!A:A,Models!F:F)</f>
        <v>#N/A</v>
      </c>
      <c r="F275" t="str">
        <f>_xlfn.XLOOKUP(B275,MacReports!B:B,MacReports!D:D,"")</f>
        <v/>
      </c>
      <c r="G275" s="13">
        <f>MacReports!E275</f>
        <v>0</v>
      </c>
      <c r="H275" t="e">
        <f>_xlfn.XLOOKUP(G275,Models!A:A,Models!B:B)</f>
        <v>#N/A</v>
      </c>
      <c r="I275" t="e">
        <f>_xlfn.XLOOKUP(G275,Models!A:A,Models!E:E)</f>
        <v>#N/A</v>
      </c>
      <c r="J275" t="e">
        <f>_xlfn.XLOOKUP(G275,Models!A:A,Models!D:D)</f>
        <v>#N/A</v>
      </c>
      <c r="K275">
        <f>MacReports!F275</f>
        <v>0</v>
      </c>
      <c r="L275">
        <f>MacReports!G275</f>
        <v>0</v>
      </c>
      <c r="M275" s="15" t="e" cm="1">
        <f t="array" ref="M275">--_xlfn.LET(
    _xlpm.txt, MacReports!H275,
    _xlpm.chars, MID(_xlpm.txt, _xlfn.SEQUENCE(LEN(_xlpm.txt)), 1),
    _xlfn.TEXTJOIN("", TRUE, IF(ISNUMBER(--_xlpm.chars), _xlpm.chars, ""))
)</f>
        <v>#VALUE!</v>
      </c>
      <c r="N275" s="16" t="str" cm="1">
        <f t="array" ref="N275">_xlfn.IFS(
   --MacReports!M275&lt;55,"Battery Defect",
  -- MacReports!M275&lt;=69,"Battery D",
  --MacReports!M275&lt;=80,"Battery C",
 --MacReports!M275&gt;80,""
)</f>
        <v>Battery Defect</v>
      </c>
      <c r="O275" s="16" t="str">
        <f>IF(MacReports!I275="Service","Battery Service","")</f>
        <v/>
      </c>
      <c r="P275" s="13">
        <f>MacReports!P275</f>
        <v>0</v>
      </c>
      <c r="Q275" s="13" t="str">
        <f>IF(MacReports!J275="Enabled","Apple ID Lock","")</f>
        <v/>
      </c>
      <c r="R275" s="13" t="str">
        <f>IF(MacReports!L275="y","Remote Locked","")</f>
        <v/>
      </c>
      <c r="S275" t="str">
        <f t="shared" si="9"/>
        <v>Battery Defect, 0</v>
      </c>
      <c r="T275" t="str">
        <f>_xlfn.XLOOKUP(B275,Disk_Pivot!G:G,Disk_Pivot!I:I)</f>
        <v>Yes x2</v>
      </c>
      <c r="U275" t="str">
        <f>_xlfn.XLOOKUP(B275,Disk_Pivot!G:G,Disk_Pivot!N:N)</f>
        <v>Pass, Fail</v>
      </c>
      <c r="V275" t="str">
        <f>IF(U275="Fail",MacReports!N275,"")</f>
        <v/>
      </c>
      <c r="AB275" t="str">
        <f t="shared" si="10"/>
        <v/>
      </c>
    </row>
    <row r="276" spans="1:28">
      <c r="A276">
        <f>MacReports!A276</f>
        <v>0</v>
      </c>
      <c r="B276">
        <f>MacReports!B276</f>
        <v>0</v>
      </c>
      <c r="C276">
        <f>MacReports!C276</f>
        <v>0</v>
      </c>
      <c r="E276" t="e">
        <f>_xlfn.XLOOKUP(G276,Models!A:A,Models!F:F)</f>
        <v>#N/A</v>
      </c>
      <c r="F276" t="str">
        <f>_xlfn.XLOOKUP(B276,MacReports!B:B,MacReports!D:D,"")</f>
        <v/>
      </c>
      <c r="G276" s="13">
        <f>MacReports!E276</f>
        <v>0</v>
      </c>
      <c r="H276" t="e">
        <f>_xlfn.XLOOKUP(G276,Models!A:A,Models!B:B)</f>
        <v>#N/A</v>
      </c>
      <c r="I276" t="e">
        <f>_xlfn.XLOOKUP(G276,Models!A:A,Models!E:E)</f>
        <v>#N/A</v>
      </c>
      <c r="J276" t="e">
        <f>_xlfn.XLOOKUP(G276,Models!A:A,Models!D:D)</f>
        <v>#N/A</v>
      </c>
      <c r="K276">
        <f>MacReports!F276</f>
        <v>0</v>
      </c>
      <c r="L276">
        <f>MacReports!G276</f>
        <v>0</v>
      </c>
      <c r="M276" s="15" t="e" cm="1">
        <f t="array" ref="M276">--_xlfn.LET(
    _xlpm.txt, MacReports!H276,
    _xlpm.chars, MID(_xlpm.txt, _xlfn.SEQUENCE(LEN(_xlpm.txt)), 1),
    _xlfn.TEXTJOIN("", TRUE, IF(ISNUMBER(--_xlpm.chars), _xlpm.chars, ""))
)</f>
        <v>#VALUE!</v>
      </c>
      <c r="N276" s="16" t="str" cm="1">
        <f t="array" ref="N276">_xlfn.IFS(
   --MacReports!M276&lt;55,"Battery Defect",
  -- MacReports!M276&lt;=69,"Battery D",
  --MacReports!M276&lt;=80,"Battery C",
 --MacReports!M276&gt;80,""
)</f>
        <v>Battery Defect</v>
      </c>
      <c r="O276" s="16" t="str">
        <f>IF(MacReports!I276="Service","Battery Service","")</f>
        <v/>
      </c>
      <c r="P276" s="13">
        <f>MacReports!P276</f>
        <v>0</v>
      </c>
      <c r="Q276" s="13" t="str">
        <f>IF(MacReports!J276="Enabled","Apple ID Lock","")</f>
        <v/>
      </c>
      <c r="R276" s="13" t="str">
        <f>IF(MacReports!L276="y","Remote Locked","")</f>
        <v/>
      </c>
      <c r="S276" t="str">
        <f t="shared" si="9"/>
        <v>Battery Defect, 0</v>
      </c>
      <c r="T276" t="str">
        <f>_xlfn.XLOOKUP(B276,Disk_Pivot!G:G,Disk_Pivot!I:I)</f>
        <v>Yes x2</v>
      </c>
      <c r="U276" t="str">
        <f>_xlfn.XLOOKUP(B276,Disk_Pivot!G:G,Disk_Pivot!N:N)</f>
        <v>Pass, Fail</v>
      </c>
      <c r="V276" t="str">
        <f>IF(U276="Fail",MacReports!N276,"")</f>
        <v/>
      </c>
      <c r="AB276" t="str">
        <f t="shared" si="10"/>
        <v/>
      </c>
    </row>
    <row r="277" spans="1:28">
      <c r="A277">
        <f>MacReports!A277</f>
        <v>0</v>
      </c>
      <c r="B277">
        <f>MacReports!B277</f>
        <v>0</v>
      </c>
      <c r="C277">
        <f>MacReports!C277</f>
        <v>0</v>
      </c>
      <c r="E277" t="e">
        <f>_xlfn.XLOOKUP(G277,Models!A:A,Models!F:F)</f>
        <v>#N/A</v>
      </c>
      <c r="F277" t="str">
        <f>_xlfn.XLOOKUP(B277,MacReports!B:B,MacReports!D:D,"")</f>
        <v/>
      </c>
      <c r="G277" s="13">
        <f>MacReports!E277</f>
        <v>0</v>
      </c>
      <c r="H277" t="e">
        <f>_xlfn.XLOOKUP(G277,Models!A:A,Models!B:B)</f>
        <v>#N/A</v>
      </c>
      <c r="I277" t="e">
        <f>_xlfn.XLOOKUP(G277,Models!A:A,Models!E:E)</f>
        <v>#N/A</v>
      </c>
      <c r="J277" t="e">
        <f>_xlfn.XLOOKUP(G277,Models!A:A,Models!D:D)</f>
        <v>#N/A</v>
      </c>
      <c r="K277">
        <f>MacReports!F277</f>
        <v>0</v>
      </c>
      <c r="L277">
        <f>MacReports!G277</f>
        <v>0</v>
      </c>
      <c r="M277" s="15" t="e" cm="1">
        <f t="array" ref="M277">--_xlfn.LET(
    _xlpm.txt, MacReports!H277,
    _xlpm.chars, MID(_xlpm.txt, _xlfn.SEQUENCE(LEN(_xlpm.txt)), 1),
    _xlfn.TEXTJOIN("", TRUE, IF(ISNUMBER(--_xlpm.chars), _xlpm.chars, ""))
)</f>
        <v>#VALUE!</v>
      </c>
      <c r="N277" s="16" t="str" cm="1">
        <f t="array" ref="N277">_xlfn.IFS(
   --MacReports!M277&lt;55,"Battery Defect",
  -- MacReports!M277&lt;=69,"Battery D",
  --MacReports!M277&lt;=80,"Battery C",
 --MacReports!M277&gt;80,""
)</f>
        <v>Battery Defect</v>
      </c>
      <c r="O277" s="16" t="str">
        <f>IF(MacReports!I277="Service","Battery Service","")</f>
        <v/>
      </c>
      <c r="P277" s="13">
        <f>MacReports!P277</f>
        <v>0</v>
      </c>
      <c r="Q277" s="13" t="str">
        <f>IF(MacReports!J277="Enabled","Apple ID Lock","")</f>
        <v/>
      </c>
      <c r="R277" s="13" t="str">
        <f>IF(MacReports!L277="y","Remote Locked","")</f>
        <v/>
      </c>
      <c r="S277" t="str">
        <f t="shared" si="9"/>
        <v>Battery Defect, 0</v>
      </c>
      <c r="T277" t="str">
        <f>_xlfn.XLOOKUP(B277,Disk_Pivot!G:G,Disk_Pivot!I:I)</f>
        <v>Yes x2</v>
      </c>
      <c r="U277" t="str">
        <f>_xlfn.XLOOKUP(B277,Disk_Pivot!G:G,Disk_Pivot!N:N)</f>
        <v>Pass, Fail</v>
      </c>
      <c r="V277" t="str">
        <f>IF(U277="Fail",MacReports!N277,"")</f>
        <v/>
      </c>
      <c r="AB277" t="str">
        <f t="shared" si="10"/>
        <v/>
      </c>
    </row>
    <row r="278" spans="1:28">
      <c r="A278">
        <f>MacReports!A278</f>
        <v>0</v>
      </c>
      <c r="B278">
        <f>MacReports!B278</f>
        <v>0</v>
      </c>
      <c r="C278">
        <f>MacReports!C278</f>
        <v>0</v>
      </c>
      <c r="E278" t="e">
        <f>_xlfn.XLOOKUP(G278,Models!A:A,Models!F:F)</f>
        <v>#N/A</v>
      </c>
      <c r="F278" t="str">
        <f>_xlfn.XLOOKUP(B278,MacReports!B:B,MacReports!D:D,"")</f>
        <v/>
      </c>
      <c r="G278" s="13">
        <f>MacReports!E278</f>
        <v>0</v>
      </c>
      <c r="H278" t="e">
        <f>_xlfn.XLOOKUP(G278,Models!A:A,Models!B:B)</f>
        <v>#N/A</v>
      </c>
      <c r="I278" t="e">
        <f>_xlfn.XLOOKUP(G278,Models!A:A,Models!E:E)</f>
        <v>#N/A</v>
      </c>
      <c r="J278" t="e">
        <f>_xlfn.XLOOKUP(G278,Models!A:A,Models!D:D)</f>
        <v>#N/A</v>
      </c>
      <c r="K278">
        <f>MacReports!F278</f>
        <v>0</v>
      </c>
      <c r="L278">
        <f>MacReports!G278</f>
        <v>0</v>
      </c>
      <c r="M278" s="15" t="e" cm="1">
        <f t="array" ref="M278">--_xlfn.LET(
    _xlpm.txt, MacReports!H278,
    _xlpm.chars, MID(_xlpm.txt, _xlfn.SEQUENCE(LEN(_xlpm.txt)), 1),
    _xlfn.TEXTJOIN("", TRUE, IF(ISNUMBER(--_xlpm.chars), _xlpm.chars, ""))
)</f>
        <v>#VALUE!</v>
      </c>
      <c r="N278" s="16" t="str" cm="1">
        <f t="array" ref="N278">_xlfn.IFS(
   --MacReports!M278&lt;55,"Battery Defect",
  -- MacReports!M278&lt;=69,"Battery D",
  --MacReports!M278&lt;=80,"Battery C",
 --MacReports!M278&gt;80,""
)</f>
        <v>Battery Defect</v>
      </c>
      <c r="O278" s="16" t="str">
        <f>IF(MacReports!I278="Service","Battery Service","")</f>
        <v/>
      </c>
      <c r="P278" s="13">
        <f>MacReports!P278</f>
        <v>0</v>
      </c>
      <c r="Q278" s="13" t="str">
        <f>IF(MacReports!J278="Enabled","Apple ID Lock","")</f>
        <v/>
      </c>
      <c r="R278" s="13" t="str">
        <f>IF(MacReports!L278="y","Remote Locked","")</f>
        <v/>
      </c>
      <c r="S278" t="str">
        <f t="shared" si="9"/>
        <v>Battery Defect, 0</v>
      </c>
      <c r="T278" t="str">
        <f>_xlfn.XLOOKUP(B278,Disk_Pivot!G:G,Disk_Pivot!I:I)</f>
        <v>Yes x2</v>
      </c>
      <c r="U278" t="str">
        <f>_xlfn.XLOOKUP(B278,Disk_Pivot!G:G,Disk_Pivot!N:N)</f>
        <v>Pass, Fail</v>
      </c>
      <c r="V278" t="str">
        <f>IF(U278="Fail",MacReports!N278,"")</f>
        <v/>
      </c>
      <c r="AB278" t="str">
        <f t="shared" si="10"/>
        <v/>
      </c>
    </row>
    <row r="279" spans="1:28">
      <c r="A279">
        <f>MacReports!A279</f>
        <v>0</v>
      </c>
      <c r="B279">
        <f>MacReports!B279</f>
        <v>0</v>
      </c>
      <c r="C279">
        <f>MacReports!C279</f>
        <v>0</v>
      </c>
      <c r="E279" t="e">
        <f>_xlfn.XLOOKUP(G279,Models!A:A,Models!F:F)</f>
        <v>#N/A</v>
      </c>
      <c r="F279" t="str">
        <f>_xlfn.XLOOKUP(B279,MacReports!B:B,MacReports!D:D,"")</f>
        <v/>
      </c>
      <c r="G279" s="13">
        <f>MacReports!E279</f>
        <v>0</v>
      </c>
      <c r="H279" t="e">
        <f>_xlfn.XLOOKUP(G279,Models!A:A,Models!B:B)</f>
        <v>#N/A</v>
      </c>
      <c r="I279" t="e">
        <f>_xlfn.XLOOKUP(G279,Models!A:A,Models!E:E)</f>
        <v>#N/A</v>
      </c>
      <c r="J279" t="e">
        <f>_xlfn.XLOOKUP(G279,Models!A:A,Models!D:D)</f>
        <v>#N/A</v>
      </c>
      <c r="K279">
        <f>MacReports!F279</f>
        <v>0</v>
      </c>
      <c r="L279">
        <f>MacReports!G279</f>
        <v>0</v>
      </c>
      <c r="M279" s="15" t="e" cm="1">
        <f t="array" ref="M279">--_xlfn.LET(
    _xlpm.txt, MacReports!H279,
    _xlpm.chars, MID(_xlpm.txt, _xlfn.SEQUENCE(LEN(_xlpm.txt)), 1),
    _xlfn.TEXTJOIN("", TRUE, IF(ISNUMBER(--_xlpm.chars), _xlpm.chars, ""))
)</f>
        <v>#VALUE!</v>
      </c>
      <c r="N279" s="16" t="str" cm="1">
        <f t="array" ref="N279">_xlfn.IFS(
   --MacReports!M279&lt;55,"Battery Defect",
  -- MacReports!M279&lt;=69,"Battery D",
  --MacReports!M279&lt;=80,"Battery C",
 --MacReports!M279&gt;80,""
)</f>
        <v>Battery Defect</v>
      </c>
      <c r="O279" s="16" t="str">
        <f>IF(MacReports!I279="Service","Battery Service","")</f>
        <v/>
      </c>
      <c r="P279" s="13">
        <f>MacReports!P279</f>
        <v>0</v>
      </c>
      <c r="Q279" s="13" t="str">
        <f>IF(MacReports!J279="Enabled","Apple ID Lock","")</f>
        <v/>
      </c>
      <c r="R279" s="13" t="str">
        <f>IF(MacReports!L279="y","Remote Locked","")</f>
        <v/>
      </c>
      <c r="S279" t="str">
        <f t="shared" si="9"/>
        <v>Battery Defect, 0</v>
      </c>
      <c r="T279" t="str">
        <f>_xlfn.XLOOKUP(B279,Disk_Pivot!G:G,Disk_Pivot!I:I)</f>
        <v>Yes x2</v>
      </c>
      <c r="U279" t="str">
        <f>_xlfn.XLOOKUP(B279,Disk_Pivot!G:G,Disk_Pivot!N:N)</f>
        <v>Pass, Fail</v>
      </c>
      <c r="V279" t="str">
        <f>IF(U279="Fail",MacReports!N279,"")</f>
        <v/>
      </c>
      <c r="AB279" t="str">
        <f t="shared" si="10"/>
        <v/>
      </c>
    </row>
    <row r="280" spans="1:28">
      <c r="A280">
        <f>MacReports!A280</f>
        <v>0</v>
      </c>
      <c r="B280">
        <f>MacReports!B280</f>
        <v>0</v>
      </c>
      <c r="C280">
        <f>MacReports!C280</f>
        <v>0</v>
      </c>
      <c r="E280" t="e">
        <f>_xlfn.XLOOKUP(G280,Models!A:A,Models!F:F)</f>
        <v>#N/A</v>
      </c>
      <c r="F280" t="str">
        <f>_xlfn.XLOOKUP(B280,MacReports!B:B,MacReports!D:D,"")</f>
        <v/>
      </c>
      <c r="G280" s="13">
        <f>MacReports!E280</f>
        <v>0</v>
      </c>
      <c r="H280" t="e">
        <f>_xlfn.XLOOKUP(G280,Models!A:A,Models!B:B)</f>
        <v>#N/A</v>
      </c>
      <c r="I280" t="e">
        <f>_xlfn.XLOOKUP(G280,Models!A:A,Models!E:E)</f>
        <v>#N/A</v>
      </c>
      <c r="J280" t="e">
        <f>_xlfn.XLOOKUP(G280,Models!A:A,Models!D:D)</f>
        <v>#N/A</v>
      </c>
      <c r="K280">
        <f>MacReports!F280</f>
        <v>0</v>
      </c>
      <c r="L280">
        <f>MacReports!G280</f>
        <v>0</v>
      </c>
      <c r="M280" s="15" t="e" cm="1">
        <f t="array" ref="M280">--_xlfn.LET(
    _xlpm.txt, MacReports!H280,
    _xlpm.chars, MID(_xlpm.txt, _xlfn.SEQUENCE(LEN(_xlpm.txt)), 1),
    _xlfn.TEXTJOIN("", TRUE, IF(ISNUMBER(--_xlpm.chars), _xlpm.chars, ""))
)</f>
        <v>#VALUE!</v>
      </c>
      <c r="N280" s="16" t="str" cm="1">
        <f t="array" ref="N280">_xlfn.IFS(
   --MacReports!M280&lt;55,"Battery Defect",
  -- MacReports!M280&lt;=69,"Battery D",
  --MacReports!M280&lt;=80,"Battery C",
 --MacReports!M280&gt;80,""
)</f>
        <v>Battery Defect</v>
      </c>
      <c r="O280" s="16" t="str">
        <f>IF(MacReports!I280="Service","Battery Service","")</f>
        <v/>
      </c>
      <c r="P280" s="13">
        <f>MacReports!P280</f>
        <v>0</v>
      </c>
      <c r="Q280" s="13" t="str">
        <f>IF(MacReports!J280="Enabled","Apple ID Lock","")</f>
        <v/>
      </c>
      <c r="R280" s="13" t="str">
        <f>IF(MacReports!L280="y","Remote Locked","")</f>
        <v/>
      </c>
      <c r="S280" t="str">
        <f t="shared" si="9"/>
        <v>Battery Defect, 0</v>
      </c>
      <c r="T280" t="str">
        <f>_xlfn.XLOOKUP(B280,Disk_Pivot!G:G,Disk_Pivot!I:I)</f>
        <v>Yes x2</v>
      </c>
      <c r="U280" t="str">
        <f>_xlfn.XLOOKUP(B280,Disk_Pivot!G:G,Disk_Pivot!N:N)</f>
        <v>Pass, Fail</v>
      </c>
      <c r="V280" t="str">
        <f>IF(U280="Fail",MacReports!N280,"")</f>
        <v/>
      </c>
      <c r="AB280" t="str">
        <f t="shared" si="10"/>
        <v/>
      </c>
    </row>
    <row r="281" spans="1:28">
      <c r="A281">
        <f>MacReports!A281</f>
        <v>0</v>
      </c>
      <c r="B281">
        <f>MacReports!B281</f>
        <v>0</v>
      </c>
      <c r="C281">
        <f>MacReports!C281</f>
        <v>0</v>
      </c>
      <c r="E281" t="e">
        <f>_xlfn.XLOOKUP(G281,Models!A:A,Models!F:F)</f>
        <v>#N/A</v>
      </c>
      <c r="F281" t="str">
        <f>_xlfn.XLOOKUP(B281,MacReports!B:B,MacReports!D:D,"")</f>
        <v/>
      </c>
      <c r="G281" s="13">
        <f>MacReports!E281</f>
        <v>0</v>
      </c>
      <c r="H281" t="e">
        <f>_xlfn.XLOOKUP(G281,Models!A:A,Models!B:B)</f>
        <v>#N/A</v>
      </c>
      <c r="I281" t="e">
        <f>_xlfn.XLOOKUP(G281,Models!A:A,Models!E:E)</f>
        <v>#N/A</v>
      </c>
      <c r="J281" t="e">
        <f>_xlfn.XLOOKUP(G281,Models!A:A,Models!D:D)</f>
        <v>#N/A</v>
      </c>
      <c r="K281">
        <f>MacReports!F281</f>
        <v>0</v>
      </c>
      <c r="L281">
        <f>MacReports!G281</f>
        <v>0</v>
      </c>
      <c r="M281" s="15" t="e" cm="1">
        <f t="array" ref="M281">--_xlfn.LET(
    _xlpm.txt, MacReports!H281,
    _xlpm.chars, MID(_xlpm.txt, _xlfn.SEQUENCE(LEN(_xlpm.txt)), 1),
    _xlfn.TEXTJOIN("", TRUE, IF(ISNUMBER(--_xlpm.chars), _xlpm.chars, ""))
)</f>
        <v>#VALUE!</v>
      </c>
      <c r="N281" s="16" t="str" cm="1">
        <f t="array" ref="N281">_xlfn.IFS(
   --MacReports!M281&lt;55,"Battery Defect",
  -- MacReports!M281&lt;=69,"Battery D",
  --MacReports!M281&lt;=80,"Battery C",
 --MacReports!M281&gt;80,""
)</f>
        <v>Battery Defect</v>
      </c>
      <c r="O281" s="16" t="str">
        <f>IF(MacReports!I281="Service","Battery Service","")</f>
        <v/>
      </c>
      <c r="P281" s="13">
        <f>MacReports!P281</f>
        <v>0</v>
      </c>
      <c r="Q281" s="13" t="str">
        <f>IF(MacReports!J281="Enabled","Apple ID Lock","")</f>
        <v/>
      </c>
      <c r="R281" s="13" t="str">
        <f>IF(MacReports!L281="y","Remote Locked","")</f>
        <v/>
      </c>
      <c r="S281" t="str">
        <f t="shared" si="9"/>
        <v>Battery Defect, 0</v>
      </c>
      <c r="T281" t="str">
        <f>_xlfn.XLOOKUP(B281,Disk_Pivot!G:G,Disk_Pivot!I:I)</f>
        <v>Yes x2</v>
      </c>
      <c r="U281" t="str">
        <f>_xlfn.XLOOKUP(B281,Disk_Pivot!G:G,Disk_Pivot!N:N)</f>
        <v>Pass, Fail</v>
      </c>
      <c r="V281" t="str">
        <f>IF(U281="Fail",MacReports!N281,"")</f>
        <v/>
      </c>
      <c r="AB281" t="str">
        <f t="shared" si="10"/>
        <v/>
      </c>
    </row>
    <row r="282" spans="1:28">
      <c r="A282">
        <f>MacReports!A282</f>
        <v>0</v>
      </c>
      <c r="B282">
        <f>MacReports!B282</f>
        <v>0</v>
      </c>
      <c r="C282">
        <f>MacReports!C282</f>
        <v>0</v>
      </c>
      <c r="E282" t="e">
        <f>_xlfn.XLOOKUP(G282,Models!A:A,Models!F:F)</f>
        <v>#N/A</v>
      </c>
      <c r="F282" t="str">
        <f>_xlfn.XLOOKUP(B282,MacReports!B:B,MacReports!D:D,"")</f>
        <v/>
      </c>
      <c r="G282" s="13">
        <f>MacReports!E282</f>
        <v>0</v>
      </c>
      <c r="H282" t="e">
        <f>_xlfn.XLOOKUP(G282,Models!A:A,Models!B:B)</f>
        <v>#N/A</v>
      </c>
      <c r="I282" t="e">
        <f>_xlfn.XLOOKUP(G282,Models!A:A,Models!E:E)</f>
        <v>#N/A</v>
      </c>
      <c r="J282" t="e">
        <f>_xlfn.XLOOKUP(G282,Models!A:A,Models!D:D)</f>
        <v>#N/A</v>
      </c>
      <c r="K282">
        <f>MacReports!F282</f>
        <v>0</v>
      </c>
      <c r="L282">
        <f>MacReports!G282</f>
        <v>0</v>
      </c>
      <c r="M282" s="15" t="e" cm="1">
        <f t="array" ref="M282">--_xlfn.LET(
    _xlpm.txt, MacReports!H282,
    _xlpm.chars, MID(_xlpm.txt, _xlfn.SEQUENCE(LEN(_xlpm.txt)), 1),
    _xlfn.TEXTJOIN("", TRUE, IF(ISNUMBER(--_xlpm.chars), _xlpm.chars, ""))
)</f>
        <v>#VALUE!</v>
      </c>
      <c r="N282" s="16" t="str" cm="1">
        <f t="array" ref="N282">_xlfn.IFS(
   --MacReports!M282&lt;55,"Battery Defect",
  -- MacReports!M282&lt;=69,"Battery D",
  --MacReports!M282&lt;=80,"Battery C",
 --MacReports!M282&gt;80,""
)</f>
        <v>Battery Defect</v>
      </c>
      <c r="O282" s="16" t="str">
        <f>IF(MacReports!I282="Service","Battery Service","")</f>
        <v/>
      </c>
      <c r="P282" s="13">
        <f>MacReports!P282</f>
        <v>0</v>
      </c>
      <c r="Q282" s="13" t="str">
        <f>IF(MacReports!J282="Enabled","Apple ID Lock","")</f>
        <v/>
      </c>
      <c r="R282" s="13" t="str">
        <f>IF(MacReports!L282="y","Remote Locked","")</f>
        <v/>
      </c>
      <c r="S282" t="str">
        <f t="shared" si="9"/>
        <v>Battery Defect, 0</v>
      </c>
      <c r="T282" t="str">
        <f>_xlfn.XLOOKUP(B282,Disk_Pivot!G:G,Disk_Pivot!I:I)</f>
        <v>Yes x2</v>
      </c>
      <c r="U282" t="str">
        <f>_xlfn.XLOOKUP(B282,Disk_Pivot!G:G,Disk_Pivot!N:N)</f>
        <v>Pass, Fail</v>
      </c>
      <c r="V282" t="str">
        <f>IF(U282="Fail",MacReports!N282,"")</f>
        <v/>
      </c>
      <c r="AB282" t="str">
        <f t="shared" si="10"/>
        <v/>
      </c>
    </row>
    <row r="283" spans="1:28">
      <c r="A283">
        <f>MacReports!A283</f>
        <v>0</v>
      </c>
      <c r="B283">
        <f>MacReports!B283</f>
        <v>0</v>
      </c>
      <c r="C283">
        <f>MacReports!C283</f>
        <v>0</v>
      </c>
      <c r="E283" t="e">
        <f>_xlfn.XLOOKUP(G283,Models!A:A,Models!F:F)</f>
        <v>#N/A</v>
      </c>
      <c r="F283" t="str">
        <f>_xlfn.XLOOKUP(B283,MacReports!B:B,MacReports!D:D,"")</f>
        <v/>
      </c>
      <c r="G283" s="13">
        <f>MacReports!E283</f>
        <v>0</v>
      </c>
      <c r="H283" t="e">
        <f>_xlfn.XLOOKUP(G283,Models!A:A,Models!B:B)</f>
        <v>#N/A</v>
      </c>
      <c r="I283" t="e">
        <f>_xlfn.XLOOKUP(G283,Models!A:A,Models!E:E)</f>
        <v>#N/A</v>
      </c>
      <c r="J283" t="e">
        <f>_xlfn.XLOOKUP(G283,Models!A:A,Models!D:D)</f>
        <v>#N/A</v>
      </c>
      <c r="K283">
        <f>MacReports!F283</f>
        <v>0</v>
      </c>
      <c r="L283">
        <f>MacReports!G283</f>
        <v>0</v>
      </c>
      <c r="M283" s="15" t="e" cm="1">
        <f t="array" ref="M283">--_xlfn.LET(
    _xlpm.txt, MacReports!H283,
    _xlpm.chars, MID(_xlpm.txt, _xlfn.SEQUENCE(LEN(_xlpm.txt)), 1),
    _xlfn.TEXTJOIN("", TRUE, IF(ISNUMBER(--_xlpm.chars), _xlpm.chars, ""))
)</f>
        <v>#VALUE!</v>
      </c>
      <c r="N283" s="16" t="str" cm="1">
        <f t="array" ref="N283">_xlfn.IFS(
   --MacReports!M283&lt;55,"Battery Defect",
  -- MacReports!M283&lt;=69,"Battery D",
  --MacReports!M283&lt;=80,"Battery C",
 --MacReports!M283&gt;80,""
)</f>
        <v>Battery Defect</v>
      </c>
      <c r="O283" s="16" t="str">
        <f>IF(MacReports!I283="Service","Battery Service","")</f>
        <v/>
      </c>
      <c r="P283" s="13">
        <f>MacReports!P283</f>
        <v>0</v>
      </c>
      <c r="Q283" s="13" t="str">
        <f>IF(MacReports!J283="Enabled","Apple ID Lock","")</f>
        <v/>
      </c>
      <c r="R283" s="13" t="str">
        <f>IF(MacReports!L283="y","Remote Locked","")</f>
        <v/>
      </c>
      <c r="S283" t="str">
        <f t="shared" si="9"/>
        <v>Battery Defect, 0</v>
      </c>
      <c r="T283" t="str">
        <f>_xlfn.XLOOKUP(B283,Disk_Pivot!G:G,Disk_Pivot!I:I)</f>
        <v>Yes x2</v>
      </c>
      <c r="U283" t="str">
        <f>_xlfn.XLOOKUP(B283,Disk_Pivot!G:G,Disk_Pivot!N:N)</f>
        <v>Pass, Fail</v>
      </c>
      <c r="V283" t="str">
        <f>IF(U283="Fail",MacReports!N283,"")</f>
        <v/>
      </c>
      <c r="AB283" t="str">
        <f t="shared" si="10"/>
        <v/>
      </c>
    </row>
    <row r="284" spans="1:28">
      <c r="A284">
        <f>MacReports!A284</f>
        <v>0</v>
      </c>
      <c r="B284">
        <f>MacReports!B284</f>
        <v>0</v>
      </c>
      <c r="C284">
        <f>MacReports!C284</f>
        <v>0</v>
      </c>
      <c r="E284" t="e">
        <f>_xlfn.XLOOKUP(G284,Models!A:A,Models!F:F)</f>
        <v>#N/A</v>
      </c>
      <c r="F284" t="str">
        <f>_xlfn.XLOOKUP(B284,MacReports!B:B,MacReports!D:D,"")</f>
        <v/>
      </c>
      <c r="G284" s="13">
        <f>MacReports!E284</f>
        <v>0</v>
      </c>
      <c r="H284" t="e">
        <f>_xlfn.XLOOKUP(G284,Models!A:A,Models!B:B)</f>
        <v>#N/A</v>
      </c>
      <c r="I284" t="e">
        <f>_xlfn.XLOOKUP(G284,Models!A:A,Models!E:E)</f>
        <v>#N/A</v>
      </c>
      <c r="J284" t="e">
        <f>_xlfn.XLOOKUP(G284,Models!A:A,Models!D:D)</f>
        <v>#N/A</v>
      </c>
      <c r="K284">
        <f>MacReports!F284</f>
        <v>0</v>
      </c>
      <c r="L284">
        <f>MacReports!G284</f>
        <v>0</v>
      </c>
      <c r="M284" s="15" t="e" cm="1">
        <f t="array" ref="M284">--_xlfn.LET(
    _xlpm.txt, MacReports!H284,
    _xlpm.chars, MID(_xlpm.txt, _xlfn.SEQUENCE(LEN(_xlpm.txt)), 1),
    _xlfn.TEXTJOIN("", TRUE, IF(ISNUMBER(--_xlpm.chars), _xlpm.chars, ""))
)</f>
        <v>#VALUE!</v>
      </c>
      <c r="N284" s="16" t="str" cm="1">
        <f t="array" ref="N284">_xlfn.IFS(
   --MacReports!M284&lt;55,"Battery Defect",
  -- MacReports!M284&lt;=69,"Battery D",
  --MacReports!M284&lt;=80,"Battery C",
 --MacReports!M284&gt;80,""
)</f>
        <v>Battery Defect</v>
      </c>
      <c r="O284" s="16" t="str">
        <f>IF(MacReports!I284="Service","Battery Service","")</f>
        <v/>
      </c>
      <c r="P284" s="13">
        <f>MacReports!P284</f>
        <v>0</v>
      </c>
      <c r="Q284" s="13" t="str">
        <f>IF(MacReports!J284="Enabled","Apple ID Lock","")</f>
        <v/>
      </c>
      <c r="R284" s="13" t="str">
        <f>IF(MacReports!L284="y","Remote Locked","")</f>
        <v/>
      </c>
      <c r="S284" t="str">
        <f t="shared" si="9"/>
        <v>Battery Defect, 0</v>
      </c>
      <c r="T284" t="str">
        <f>_xlfn.XLOOKUP(B284,Disk_Pivot!G:G,Disk_Pivot!I:I)</f>
        <v>Yes x2</v>
      </c>
      <c r="U284" t="str">
        <f>_xlfn.XLOOKUP(B284,Disk_Pivot!G:G,Disk_Pivot!N:N)</f>
        <v>Pass, Fail</v>
      </c>
      <c r="V284" t="str">
        <f>IF(U284="Fail",MacReports!N284,"")</f>
        <v/>
      </c>
      <c r="AB284" t="str">
        <f t="shared" si="10"/>
        <v/>
      </c>
    </row>
    <row r="285" spans="1:28">
      <c r="A285">
        <f>MacReports!A285</f>
        <v>0</v>
      </c>
      <c r="B285">
        <f>MacReports!B285</f>
        <v>0</v>
      </c>
      <c r="C285">
        <f>MacReports!C285</f>
        <v>0</v>
      </c>
      <c r="E285" t="e">
        <f>_xlfn.XLOOKUP(G285,Models!A:A,Models!F:F)</f>
        <v>#N/A</v>
      </c>
      <c r="F285" t="str">
        <f>_xlfn.XLOOKUP(B285,MacReports!B:B,MacReports!D:D,"")</f>
        <v/>
      </c>
      <c r="G285" s="13">
        <f>MacReports!E285</f>
        <v>0</v>
      </c>
      <c r="H285" t="e">
        <f>_xlfn.XLOOKUP(G285,Models!A:A,Models!B:B)</f>
        <v>#N/A</v>
      </c>
      <c r="I285" t="e">
        <f>_xlfn.XLOOKUP(G285,Models!A:A,Models!E:E)</f>
        <v>#N/A</v>
      </c>
      <c r="J285" t="e">
        <f>_xlfn.XLOOKUP(G285,Models!A:A,Models!D:D)</f>
        <v>#N/A</v>
      </c>
      <c r="K285">
        <f>MacReports!F285</f>
        <v>0</v>
      </c>
      <c r="L285">
        <f>MacReports!G285</f>
        <v>0</v>
      </c>
      <c r="M285" s="15" t="e" cm="1">
        <f t="array" ref="M285">--_xlfn.LET(
    _xlpm.txt, MacReports!H285,
    _xlpm.chars, MID(_xlpm.txt, _xlfn.SEQUENCE(LEN(_xlpm.txt)), 1),
    _xlfn.TEXTJOIN("", TRUE, IF(ISNUMBER(--_xlpm.chars), _xlpm.chars, ""))
)</f>
        <v>#VALUE!</v>
      </c>
      <c r="N285" s="16" t="str" cm="1">
        <f t="array" ref="N285">_xlfn.IFS(
   --MacReports!M285&lt;55,"Battery Defect",
  -- MacReports!M285&lt;=69,"Battery D",
  --MacReports!M285&lt;=80,"Battery C",
 --MacReports!M285&gt;80,""
)</f>
        <v>Battery Defect</v>
      </c>
      <c r="O285" s="16" t="str">
        <f>IF(MacReports!I285="Service","Battery Service","")</f>
        <v/>
      </c>
      <c r="P285" s="13">
        <f>MacReports!P285</f>
        <v>0</v>
      </c>
      <c r="Q285" s="13" t="str">
        <f>IF(MacReports!J285="Enabled","Apple ID Lock","")</f>
        <v/>
      </c>
      <c r="R285" s="13" t="str">
        <f>IF(MacReports!L285="y","Remote Locked","")</f>
        <v/>
      </c>
      <c r="S285" t="str">
        <f t="shared" si="9"/>
        <v>Battery Defect, 0</v>
      </c>
      <c r="T285" t="str">
        <f>_xlfn.XLOOKUP(B285,Disk_Pivot!G:G,Disk_Pivot!I:I)</f>
        <v>Yes x2</v>
      </c>
      <c r="U285" t="str">
        <f>_xlfn.XLOOKUP(B285,Disk_Pivot!G:G,Disk_Pivot!N:N)</f>
        <v>Pass, Fail</v>
      </c>
      <c r="V285" t="str">
        <f>IF(U285="Fail",MacReports!N285,"")</f>
        <v/>
      </c>
      <c r="AB285" t="str">
        <f t="shared" si="10"/>
        <v/>
      </c>
    </row>
    <row r="286" spans="1:28">
      <c r="A286">
        <f>MacReports!A286</f>
        <v>0</v>
      </c>
      <c r="B286">
        <f>MacReports!B286</f>
        <v>0</v>
      </c>
      <c r="C286">
        <f>MacReports!C286</f>
        <v>0</v>
      </c>
      <c r="E286" t="e">
        <f>_xlfn.XLOOKUP(G286,Models!A:A,Models!F:F)</f>
        <v>#N/A</v>
      </c>
      <c r="F286" t="str">
        <f>_xlfn.XLOOKUP(B286,MacReports!B:B,MacReports!D:D,"")</f>
        <v/>
      </c>
      <c r="G286" s="13">
        <f>MacReports!E286</f>
        <v>0</v>
      </c>
      <c r="H286" t="e">
        <f>_xlfn.XLOOKUP(G286,Models!A:A,Models!B:B)</f>
        <v>#N/A</v>
      </c>
      <c r="I286" t="e">
        <f>_xlfn.XLOOKUP(G286,Models!A:A,Models!E:E)</f>
        <v>#N/A</v>
      </c>
      <c r="J286" t="e">
        <f>_xlfn.XLOOKUP(G286,Models!A:A,Models!D:D)</f>
        <v>#N/A</v>
      </c>
      <c r="K286">
        <f>MacReports!F286</f>
        <v>0</v>
      </c>
      <c r="L286">
        <f>MacReports!G286</f>
        <v>0</v>
      </c>
      <c r="M286" s="15" t="e" cm="1">
        <f t="array" ref="M286">--_xlfn.LET(
    _xlpm.txt, MacReports!H286,
    _xlpm.chars, MID(_xlpm.txt, _xlfn.SEQUENCE(LEN(_xlpm.txt)), 1),
    _xlfn.TEXTJOIN("", TRUE, IF(ISNUMBER(--_xlpm.chars), _xlpm.chars, ""))
)</f>
        <v>#VALUE!</v>
      </c>
      <c r="N286" s="16" t="str" cm="1">
        <f t="array" ref="N286">_xlfn.IFS(
   --MacReports!M286&lt;55,"Battery Defect",
  -- MacReports!M286&lt;=69,"Battery D",
  --MacReports!M286&lt;=80,"Battery C",
 --MacReports!M286&gt;80,""
)</f>
        <v>Battery Defect</v>
      </c>
      <c r="O286" s="16" t="str">
        <f>IF(MacReports!I286="Service","Battery Service","")</f>
        <v/>
      </c>
      <c r="P286" s="13">
        <f>MacReports!P286</f>
        <v>0</v>
      </c>
      <c r="Q286" s="13" t="str">
        <f>IF(MacReports!J286="Enabled","Apple ID Lock","")</f>
        <v/>
      </c>
      <c r="R286" s="13" t="str">
        <f>IF(MacReports!L286="y","Remote Locked","")</f>
        <v/>
      </c>
      <c r="S286" t="str">
        <f t="shared" si="9"/>
        <v>Battery Defect, 0</v>
      </c>
      <c r="T286" t="str">
        <f>_xlfn.XLOOKUP(B286,Disk_Pivot!G:G,Disk_Pivot!I:I)</f>
        <v>Yes x2</v>
      </c>
      <c r="U286" t="str">
        <f>_xlfn.XLOOKUP(B286,Disk_Pivot!G:G,Disk_Pivot!N:N)</f>
        <v>Pass, Fail</v>
      </c>
      <c r="V286" t="str">
        <f>IF(U286="Fail",MacReports!N286,"")</f>
        <v/>
      </c>
      <c r="AB286" t="str">
        <f t="shared" si="10"/>
        <v/>
      </c>
    </row>
    <row r="287" spans="1:28">
      <c r="A287">
        <f>MacReports!A287</f>
        <v>0</v>
      </c>
      <c r="B287">
        <f>MacReports!B287</f>
        <v>0</v>
      </c>
      <c r="C287">
        <f>MacReports!C287</f>
        <v>0</v>
      </c>
      <c r="E287" t="e">
        <f>_xlfn.XLOOKUP(G287,Models!A:A,Models!F:F)</f>
        <v>#N/A</v>
      </c>
      <c r="F287" t="str">
        <f>_xlfn.XLOOKUP(B287,MacReports!B:B,MacReports!D:D,"")</f>
        <v/>
      </c>
      <c r="G287" s="13">
        <f>MacReports!E287</f>
        <v>0</v>
      </c>
      <c r="H287" t="e">
        <f>_xlfn.XLOOKUP(G287,Models!A:A,Models!B:B)</f>
        <v>#N/A</v>
      </c>
      <c r="I287" t="e">
        <f>_xlfn.XLOOKUP(G287,Models!A:A,Models!E:E)</f>
        <v>#N/A</v>
      </c>
      <c r="J287" t="e">
        <f>_xlfn.XLOOKUP(G287,Models!A:A,Models!D:D)</f>
        <v>#N/A</v>
      </c>
      <c r="K287">
        <f>MacReports!F287</f>
        <v>0</v>
      </c>
      <c r="L287">
        <f>MacReports!G287</f>
        <v>0</v>
      </c>
      <c r="M287" s="15" t="e" cm="1">
        <f t="array" ref="M287">--_xlfn.LET(
    _xlpm.txt, MacReports!H287,
    _xlpm.chars, MID(_xlpm.txt, _xlfn.SEQUENCE(LEN(_xlpm.txt)), 1),
    _xlfn.TEXTJOIN("", TRUE, IF(ISNUMBER(--_xlpm.chars), _xlpm.chars, ""))
)</f>
        <v>#VALUE!</v>
      </c>
      <c r="N287" s="16" t="str" cm="1">
        <f t="array" ref="N287">_xlfn.IFS(
   --MacReports!M287&lt;55,"Battery Defect",
  -- MacReports!M287&lt;=69,"Battery D",
  --MacReports!M287&lt;=80,"Battery C",
 --MacReports!M287&gt;80,""
)</f>
        <v>Battery Defect</v>
      </c>
      <c r="O287" s="16" t="str">
        <f>IF(MacReports!I287="Service","Battery Service","")</f>
        <v/>
      </c>
      <c r="P287" s="13">
        <f>MacReports!P287</f>
        <v>0</v>
      </c>
      <c r="Q287" s="13" t="str">
        <f>IF(MacReports!J287="Enabled","Apple ID Lock","")</f>
        <v/>
      </c>
      <c r="R287" s="13" t="str">
        <f>IF(MacReports!L287="y","Remote Locked","")</f>
        <v/>
      </c>
      <c r="S287" t="str">
        <f t="shared" si="9"/>
        <v>Battery Defect, 0</v>
      </c>
      <c r="T287" t="str">
        <f>_xlfn.XLOOKUP(B287,Disk_Pivot!G:G,Disk_Pivot!I:I)</f>
        <v>Yes x2</v>
      </c>
      <c r="U287" t="str">
        <f>_xlfn.XLOOKUP(B287,Disk_Pivot!G:G,Disk_Pivot!N:N)</f>
        <v>Pass, Fail</v>
      </c>
      <c r="V287" t="str">
        <f>IF(U287="Fail",MacReports!N287,"")</f>
        <v/>
      </c>
      <c r="AB287" t="str">
        <f t="shared" si="10"/>
        <v/>
      </c>
    </row>
    <row r="288" spans="1:28">
      <c r="A288">
        <f>MacReports!A288</f>
        <v>0</v>
      </c>
      <c r="B288">
        <f>MacReports!B288</f>
        <v>0</v>
      </c>
      <c r="C288">
        <f>MacReports!C288</f>
        <v>0</v>
      </c>
      <c r="E288" t="e">
        <f>_xlfn.XLOOKUP(G288,Models!A:A,Models!F:F)</f>
        <v>#N/A</v>
      </c>
      <c r="F288" t="str">
        <f>_xlfn.XLOOKUP(B288,MacReports!B:B,MacReports!D:D,"")</f>
        <v/>
      </c>
      <c r="G288" s="13">
        <f>MacReports!E288</f>
        <v>0</v>
      </c>
      <c r="H288" t="e">
        <f>_xlfn.XLOOKUP(G288,Models!A:A,Models!B:B)</f>
        <v>#N/A</v>
      </c>
      <c r="I288" t="e">
        <f>_xlfn.XLOOKUP(G288,Models!A:A,Models!E:E)</f>
        <v>#N/A</v>
      </c>
      <c r="J288" t="e">
        <f>_xlfn.XLOOKUP(G288,Models!A:A,Models!D:D)</f>
        <v>#N/A</v>
      </c>
      <c r="K288">
        <f>MacReports!F288</f>
        <v>0</v>
      </c>
      <c r="L288">
        <f>MacReports!G288</f>
        <v>0</v>
      </c>
      <c r="M288" s="15" t="e" cm="1">
        <f t="array" ref="M288">--_xlfn.LET(
    _xlpm.txt, MacReports!H288,
    _xlpm.chars, MID(_xlpm.txt, _xlfn.SEQUENCE(LEN(_xlpm.txt)), 1),
    _xlfn.TEXTJOIN("", TRUE, IF(ISNUMBER(--_xlpm.chars), _xlpm.chars, ""))
)</f>
        <v>#VALUE!</v>
      </c>
      <c r="N288" s="16" t="str" cm="1">
        <f t="array" ref="N288">_xlfn.IFS(
   --MacReports!M288&lt;55,"Battery Defect",
  -- MacReports!M288&lt;=69,"Battery D",
  --MacReports!M288&lt;=80,"Battery C",
 --MacReports!M288&gt;80,""
)</f>
        <v>Battery Defect</v>
      </c>
      <c r="O288" s="16" t="str">
        <f>IF(MacReports!I288="Service","Battery Service","")</f>
        <v/>
      </c>
      <c r="P288" s="13">
        <f>MacReports!P288</f>
        <v>0</v>
      </c>
      <c r="Q288" s="13" t="str">
        <f>IF(MacReports!J288="Enabled","Apple ID Lock","")</f>
        <v/>
      </c>
      <c r="R288" s="13" t="str">
        <f>IF(MacReports!L288="y","Remote Locked","")</f>
        <v/>
      </c>
      <c r="S288" t="str">
        <f t="shared" si="9"/>
        <v>Battery Defect, 0</v>
      </c>
      <c r="T288" t="str">
        <f>_xlfn.XLOOKUP(B288,Disk_Pivot!G:G,Disk_Pivot!I:I)</f>
        <v>Yes x2</v>
      </c>
      <c r="U288" t="str">
        <f>_xlfn.XLOOKUP(B288,Disk_Pivot!G:G,Disk_Pivot!N:N)</f>
        <v>Pass, Fail</v>
      </c>
      <c r="V288" t="str">
        <f>IF(U288="Fail",MacReports!N288,"")</f>
        <v/>
      </c>
      <c r="AB288" t="str">
        <f t="shared" si="10"/>
        <v/>
      </c>
    </row>
    <row r="289" spans="1:28">
      <c r="A289">
        <f>MacReports!A289</f>
        <v>0</v>
      </c>
      <c r="B289">
        <f>MacReports!B289</f>
        <v>0</v>
      </c>
      <c r="C289">
        <f>MacReports!C289</f>
        <v>0</v>
      </c>
      <c r="E289" t="e">
        <f>_xlfn.XLOOKUP(G289,Models!A:A,Models!F:F)</f>
        <v>#N/A</v>
      </c>
      <c r="F289" t="str">
        <f>_xlfn.XLOOKUP(B289,MacReports!B:B,MacReports!D:D,"")</f>
        <v/>
      </c>
      <c r="G289" s="13">
        <f>MacReports!E289</f>
        <v>0</v>
      </c>
      <c r="H289" t="e">
        <f>_xlfn.XLOOKUP(G289,Models!A:A,Models!B:B)</f>
        <v>#N/A</v>
      </c>
      <c r="I289" t="e">
        <f>_xlfn.XLOOKUP(G289,Models!A:A,Models!E:E)</f>
        <v>#N/A</v>
      </c>
      <c r="J289" t="e">
        <f>_xlfn.XLOOKUP(G289,Models!A:A,Models!D:D)</f>
        <v>#N/A</v>
      </c>
      <c r="K289">
        <f>MacReports!F289</f>
        <v>0</v>
      </c>
      <c r="L289">
        <f>MacReports!G289</f>
        <v>0</v>
      </c>
      <c r="M289" s="15" t="e" cm="1">
        <f t="array" ref="M289">--_xlfn.LET(
    _xlpm.txt, MacReports!H289,
    _xlpm.chars, MID(_xlpm.txt, _xlfn.SEQUENCE(LEN(_xlpm.txt)), 1),
    _xlfn.TEXTJOIN("", TRUE, IF(ISNUMBER(--_xlpm.chars), _xlpm.chars, ""))
)</f>
        <v>#VALUE!</v>
      </c>
      <c r="N289" s="16" t="str" cm="1">
        <f t="array" ref="N289">_xlfn.IFS(
   --MacReports!M289&lt;55,"Battery Defect",
  -- MacReports!M289&lt;=69,"Battery D",
  --MacReports!M289&lt;=80,"Battery C",
 --MacReports!M289&gt;80,""
)</f>
        <v>Battery Defect</v>
      </c>
      <c r="O289" s="16" t="str">
        <f>IF(MacReports!I289="Service","Battery Service","")</f>
        <v/>
      </c>
      <c r="P289" s="13">
        <f>MacReports!P289</f>
        <v>0</v>
      </c>
      <c r="Q289" s="13" t="str">
        <f>IF(MacReports!J289="Enabled","Apple ID Lock","")</f>
        <v/>
      </c>
      <c r="R289" s="13" t="str">
        <f>IF(MacReports!L289="y","Remote Locked","")</f>
        <v/>
      </c>
      <c r="S289" t="str">
        <f t="shared" si="9"/>
        <v>Battery Defect, 0</v>
      </c>
      <c r="T289" t="str">
        <f>_xlfn.XLOOKUP(B289,Disk_Pivot!G:G,Disk_Pivot!I:I)</f>
        <v>Yes x2</v>
      </c>
      <c r="U289" t="str">
        <f>_xlfn.XLOOKUP(B289,Disk_Pivot!G:G,Disk_Pivot!N:N)</f>
        <v>Pass, Fail</v>
      </c>
      <c r="V289" t="str">
        <f>IF(U289="Fail",MacReports!N289,"")</f>
        <v/>
      </c>
      <c r="AB289" t="str">
        <f t="shared" si="10"/>
        <v/>
      </c>
    </row>
    <row r="290" spans="1:28">
      <c r="A290">
        <f>MacReports!A290</f>
        <v>0</v>
      </c>
      <c r="B290">
        <f>MacReports!B290</f>
        <v>0</v>
      </c>
      <c r="C290">
        <f>MacReports!C290</f>
        <v>0</v>
      </c>
      <c r="E290" t="e">
        <f>_xlfn.XLOOKUP(G290,Models!A:A,Models!F:F)</f>
        <v>#N/A</v>
      </c>
      <c r="F290" t="str">
        <f>_xlfn.XLOOKUP(B290,MacReports!B:B,MacReports!D:D,"")</f>
        <v/>
      </c>
      <c r="G290" s="13">
        <f>MacReports!E290</f>
        <v>0</v>
      </c>
      <c r="H290" t="e">
        <f>_xlfn.XLOOKUP(G290,Models!A:A,Models!B:B)</f>
        <v>#N/A</v>
      </c>
      <c r="I290" t="e">
        <f>_xlfn.XLOOKUP(G290,Models!A:A,Models!E:E)</f>
        <v>#N/A</v>
      </c>
      <c r="J290" t="e">
        <f>_xlfn.XLOOKUP(G290,Models!A:A,Models!D:D)</f>
        <v>#N/A</v>
      </c>
      <c r="K290">
        <f>MacReports!F290</f>
        <v>0</v>
      </c>
      <c r="L290">
        <f>MacReports!G290</f>
        <v>0</v>
      </c>
      <c r="M290" s="15" t="e" cm="1">
        <f t="array" ref="M290">--_xlfn.LET(
    _xlpm.txt, MacReports!H290,
    _xlpm.chars, MID(_xlpm.txt, _xlfn.SEQUENCE(LEN(_xlpm.txt)), 1),
    _xlfn.TEXTJOIN("", TRUE, IF(ISNUMBER(--_xlpm.chars), _xlpm.chars, ""))
)</f>
        <v>#VALUE!</v>
      </c>
      <c r="N290" s="16" t="str" cm="1">
        <f t="array" ref="N290">_xlfn.IFS(
   --MacReports!M290&lt;55,"Battery Defect",
  -- MacReports!M290&lt;=69,"Battery D",
  --MacReports!M290&lt;=80,"Battery C",
 --MacReports!M290&gt;80,""
)</f>
        <v>Battery Defect</v>
      </c>
      <c r="O290" s="16" t="str">
        <f>IF(MacReports!I290="Service","Battery Service","")</f>
        <v/>
      </c>
      <c r="P290" s="13">
        <f>MacReports!P290</f>
        <v>0</v>
      </c>
      <c r="Q290" s="13" t="str">
        <f>IF(MacReports!J290="Enabled","Apple ID Lock","")</f>
        <v/>
      </c>
      <c r="R290" s="13" t="str">
        <f>IF(MacReports!L290="y","Remote Locked","")</f>
        <v/>
      </c>
      <c r="S290" t="str">
        <f t="shared" si="9"/>
        <v>Battery Defect, 0</v>
      </c>
      <c r="T290" t="str">
        <f>_xlfn.XLOOKUP(B290,Disk_Pivot!G:G,Disk_Pivot!I:I)</f>
        <v>Yes x2</v>
      </c>
      <c r="U290" t="str">
        <f>_xlfn.XLOOKUP(B290,Disk_Pivot!G:G,Disk_Pivot!N:N)</f>
        <v>Pass, Fail</v>
      </c>
      <c r="V290" t="str">
        <f>IF(U290="Fail",MacReports!N290,"")</f>
        <v/>
      </c>
      <c r="AB290" t="str">
        <f t="shared" si="10"/>
        <v/>
      </c>
    </row>
    <row r="291" spans="1:28">
      <c r="A291">
        <f>MacReports!A291</f>
        <v>0</v>
      </c>
      <c r="B291">
        <f>MacReports!B291</f>
        <v>0</v>
      </c>
      <c r="C291">
        <f>MacReports!C291</f>
        <v>0</v>
      </c>
      <c r="E291" t="e">
        <f>_xlfn.XLOOKUP(G291,Models!A:A,Models!F:F)</f>
        <v>#N/A</v>
      </c>
      <c r="F291" t="str">
        <f>_xlfn.XLOOKUP(B291,MacReports!B:B,MacReports!D:D,"")</f>
        <v/>
      </c>
      <c r="G291" s="13">
        <f>MacReports!E291</f>
        <v>0</v>
      </c>
      <c r="H291" t="e">
        <f>_xlfn.XLOOKUP(G291,Models!A:A,Models!B:B)</f>
        <v>#N/A</v>
      </c>
      <c r="I291" t="e">
        <f>_xlfn.XLOOKUP(G291,Models!A:A,Models!E:E)</f>
        <v>#N/A</v>
      </c>
      <c r="J291" t="e">
        <f>_xlfn.XLOOKUP(G291,Models!A:A,Models!D:D)</f>
        <v>#N/A</v>
      </c>
      <c r="K291">
        <f>MacReports!F291</f>
        <v>0</v>
      </c>
      <c r="L291">
        <f>MacReports!G291</f>
        <v>0</v>
      </c>
      <c r="M291" s="15" t="e" cm="1">
        <f t="array" ref="M291">--_xlfn.LET(
    _xlpm.txt, MacReports!H291,
    _xlpm.chars, MID(_xlpm.txt, _xlfn.SEQUENCE(LEN(_xlpm.txt)), 1),
    _xlfn.TEXTJOIN("", TRUE, IF(ISNUMBER(--_xlpm.chars), _xlpm.chars, ""))
)</f>
        <v>#VALUE!</v>
      </c>
      <c r="N291" s="16" t="str" cm="1">
        <f t="array" ref="N291">_xlfn.IFS(
   --MacReports!M291&lt;55,"Battery Defect",
  -- MacReports!M291&lt;=69,"Battery D",
  --MacReports!M291&lt;=80,"Battery C",
 --MacReports!M291&gt;80,""
)</f>
        <v>Battery Defect</v>
      </c>
      <c r="O291" s="16" t="str">
        <f>IF(MacReports!I291="Service","Battery Service","")</f>
        <v/>
      </c>
      <c r="P291" s="13">
        <f>MacReports!P291</f>
        <v>0</v>
      </c>
      <c r="Q291" s="13" t="str">
        <f>IF(MacReports!J291="Enabled","Apple ID Lock","")</f>
        <v/>
      </c>
      <c r="R291" s="13" t="str">
        <f>IF(MacReports!L291="y","Remote Locked","")</f>
        <v/>
      </c>
      <c r="S291" t="str">
        <f t="shared" ref="S291:S354" si="11">_xlfn.TEXTJOIN(", ",TRUE,Q291,R291,N291,O291,P291)</f>
        <v>Battery Defect, 0</v>
      </c>
      <c r="T291" t="str">
        <f>_xlfn.XLOOKUP(B291,Disk_Pivot!G:G,Disk_Pivot!I:I)</f>
        <v>Yes x2</v>
      </c>
      <c r="U291" t="str">
        <f>_xlfn.XLOOKUP(B291,Disk_Pivot!G:G,Disk_Pivot!N:N)</f>
        <v>Pass, Fail</v>
      </c>
      <c r="V291" t="str">
        <f>IF(U291="Fail",MacReports!N291,"")</f>
        <v/>
      </c>
      <c r="AB291" t="str">
        <f t="shared" ref="AB291:AB354" si="12">_xlfn.TEXTJOIN(", ",TRUE,Q291,R291)</f>
        <v/>
      </c>
    </row>
    <row r="292" spans="1:28">
      <c r="A292">
        <f>MacReports!A292</f>
        <v>0</v>
      </c>
      <c r="B292">
        <f>MacReports!B292</f>
        <v>0</v>
      </c>
      <c r="C292">
        <f>MacReports!C292</f>
        <v>0</v>
      </c>
      <c r="E292" t="e">
        <f>_xlfn.XLOOKUP(G292,Models!A:A,Models!F:F)</f>
        <v>#N/A</v>
      </c>
      <c r="F292" t="str">
        <f>_xlfn.XLOOKUP(B292,MacReports!B:B,MacReports!D:D,"")</f>
        <v/>
      </c>
      <c r="G292" s="13">
        <f>MacReports!E292</f>
        <v>0</v>
      </c>
      <c r="H292" t="e">
        <f>_xlfn.XLOOKUP(G292,Models!A:A,Models!B:B)</f>
        <v>#N/A</v>
      </c>
      <c r="I292" t="e">
        <f>_xlfn.XLOOKUP(G292,Models!A:A,Models!E:E)</f>
        <v>#N/A</v>
      </c>
      <c r="J292" t="e">
        <f>_xlfn.XLOOKUP(G292,Models!A:A,Models!D:D)</f>
        <v>#N/A</v>
      </c>
      <c r="K292">
        <f>MacReports!F292</f>
        <v>0</v>
      </c>
      <c r="L292">
        <f>MacReports!G292</f>
        <v>0</v>
      </c>
      <c r="M292" s="15" t="e" cm="1">
        <f t="array" ref="M292">--_xlfn.LET(
    _xlpm.txt, MacReports!H292,
    _xlpm.chars, MID(_xlpm.txt, _xlfn.SEQUENCE(LEN(_xlpm.txt)), 1),
    _xlfn.TEXTJOIN("", TRUE, IF(ISNUMBER(--_xlpm.chars), _xlpm.chars, ""))
)</f>
        <v>#VALUE!</v>
      </c>
      <c r="N292" s="16" t="str" cm="1">
        <f t="array" ref="N292">_xlfn.IFS(
   --MacReports!M292&lt;55,"Battery Defect",
  -- MacReports!M292&lt;=69,"Battery D",
  --MacReports!M292&lt;=80,"Battery C",
 --MacReports!M292&gt;80,""
)</f>
        <v>Battery Defect</v>
      </c>
      <c r="O292" s="16" t="str">
        <f>IF(MacReports!I292="Service","Battery Service","")</f>
        <v/>
      </c>
      <c r="P292" s="13">
        <f>MacReports!P292</f>
        <v>0</v>
      </c>
      <c r="Q292" s="13" t="str">
        <f>IF(MacReports!J292="Enabled","Apple ID Lock","")</f>
        <v/>
      </c>
      <c r="R292" s="13" t="str">
        <f>IF(MacReports!L292="y","Remote Locked","")</f>
        <v/>
      </c>
      <c r="S292" t="str">
        <f t="shared" si="11"/>
        <v>Battery Defect, 0</v>
      </c>
      <c r="T292" t="str">
        <f>_xlfn.XLOOKUP(B292,Disk_Pivot!G:G,Disk_Pivot!I:I)</f>
        <v>Yes x2</v>
      </c>
      <c r="U292" t="str">
        <f>_xlfn.XLOOKUP(B292,Disk_Pivot!G:G,Disk_Pivot!N:N)</f>
        <v>Pass, Fail</v>
      </c>
      <c r="V292" t="str">
        <f>IF(U292="Fail",MacReports!N292,"")</f>
        <v/>
      </c>
      <c r="AB292" t="str">
        <f t="shared" si="12"/>
        <v/>
      </c>
    </row>
    <row r="293" spans="1:28">
      <c r="A293">
        <f>MacReports!A293</f>
        <v>0</v>
      </c>
      <c r="B293">
        <f>MacReports!B293</f>
        <v>0</v>
      </c>
      <c r="C293">
        <f>MacReports!C293</f>
        <v>0</v>
      </c>
      <c r="E293" t="e">
        <f>_xlfn.XLOOKUP(G293,Models!A:A,Models!F:F)</f>
        <v>#N/A</v>
      </c>
      <c r="F293" t="str">
        <f>_xlfn.XLOOKUP(B293,MacReports!B:B,MacReports!D:D,"")</f>
        <v/>
      </c>
      <c r="G293" s="13">
        <f>MacReports!E293</f>
        <v>0</v>
      </c>
      <c r="H293" t="e">
        <f>_xlfn.XLOOKUP(G293,Models!A:A,Models!B:B)</f>
        <v>#N/A</v>
      </c>
      <c r="I293" t="e">
        <f>_xlfn.XLOOKUP(G293,Models!A:A,Models!E:E)</f>
        <v>#N/A</v>
      </c>
      <c r="J293" t="e">
        <f>_xlfn.XLOOKUP(G293,Models!A:A,Models!D:D)</f>
        <v>#N/A</v>
      </c>
      <c r="K293">
        <f>MacReports!F293</f>
        <v>0</v>
      </c>
      <c r="L293">
        <f>MacReports!G293</f>
        <v>0</v>
      </c>
      <c r="M293" s="15" t="e" cm="1">
        <f t="array" ref="M293">--_xlfn.LET(
    _xlpm.txt, MacReports!H293,
    _xlpm.chars, MID(_xlpm.txt, _xlfn.SEQUENCE(LEN(_xlpm.txt)), 1),
    _xlfn.TEXTJOIN("", TRUE, IF(ISNUMBER(--_xlpm.chars), _xlpm.chars, ""))
)</f>
        <v>#VALUE!</v>
      </c>
      <c r="N293" s="16" t="str" cm="1">
        <f t="array" ref="N293">_xlfn.IFS(
   --MacReports!M293&lt;55,"Battery Defect",
  -- MacReports!M293&lt;=69,"Battery D",
  --MacReports!M293&lt;=80,"Battery C",
 --MacReports!M293&gt;80,""
)</f>
        <v>Battery Defect</v>
      </c>
      <c r="O293" s="16" t="str">
        <f>IF(MacReports!I293="Service","Battery Service","")</f>
        <v/>
      </c>
      <c r="P293" s="13">
        <f>MacReports!P293</f>
        <v>0</v>
      </c>
      <c r="Q293" s="13" t="str">
        <f>IF(MacReports!J293="Enabled","Apple ID Lock","")</f>
        <v/>
      </c>
      <c r="R293" s="13" t="str">
        <f>IF(MacReports!L293="y","Remote Locked","")</f>
        <v/>
      </c>
      <c r="S293" t="str">
        <f t="shared" si="11"/>
        <v>Battery Defect, 0</v>
      </c>
      <c r="T293" t="str">
        <f>_xlfn.XLOOKUP(B293,Disk_Pivot!G:G,Disk_Pivot!I:I)</f>
        <v>Yes x2</v>
      </c>
      <c r="U293" t="str">
        <f>_xlfn.XLOOKUP(B293,Disk_Pivot!G:G,Disk_Pivot!N:N)</f>
        <v>Pass, Fail</v>
      </c>
      <c r="V293" t="str">
        <f>IF(U293="Fail",MacReports!N293,"")</f>
        <v/>
      </c>
      <c r="AB293" t="str">
        <f t="shared" si="12"/>
        <v/>
      </c>
    </row>
    <row r="294" spans="1:28">
      <c r="A294">
        <f>MacReports!A294</f>
        <v>0</v>
      </c>
      <c r="B294">
        <f>MacReports!B294</f>
        <v>0</v>
      </c>
      <c r="C294">
        <f>MacReports!C294</f>
        <v>0</v>
      </c>
      <c r="E294" t="e">
        <f>_xlfn.XLOOKUP(G294,Models!A:A,Models!F:F)</f>
        <v>#N/A</v>
      </c>
      <c r="F294" t="str">
        <f>_xlfn.XLOOKUP(B294,MacReports!B:B,MacReports!D:D,"")</f>
        <v/>
      </c>
      <c r="G294" s="13">
        <f>MacReports!E294</f>
        <v>0</v>
      </c>
      <c r="H294" t="e">
        <f>_xlfn.XLOOKUP(G294,Models!A:A,Models!B:B)</f>
        <v>#N/A</v>
      </c>
      <c r="I294" t="e">
        <f>_xlfn.XLOOKUP(G294,Models!A:A,Models!E:E)</f>
        <v>#N/A</v>
      </c>
      <c r="J294" t="e">
        <f>_xlfn.XLOOKUP(G294,Models!A:A,Models!D:D)</f>
        <v>#N/A</v>
      </c>
      <c r="K294">
        <f>MacReports!F294</f>
        <v>0</v>
      </c>
      <c r="L294">
        <f>MacReports!G294</f>
        <v>0</v>
      </c>
      <c r="M294" s="15" t="e" cm="1">
        <f t="array" ref="M294">--_xlfn.LET(
    _xlpm.txt, MacReports!H294,
    _xlpm.chars, MID(_xlpm.txt, _xlfn.SEQUENCE(LEN(_xlpm.txt)), 1),
    _xlfn.TEXTJOIN("", TRUE, IF(ISNUMBER(--_xlpm.chars), _xlpm.chars, ""))
)</f>
        <v>#VALUE!</v>
      </c>
      <c r="N294" s="16" t="str" cm="1">
        <f t="array" ref="N294">_xlfn.IFS(
   --MacReports!M294&lt;55,"Battery Defect",
  -- MacReports!M294&lt;=69,"Battery D",
  --MacReports!M294&lt;=80,"Battery C",
 --MacReports!M294&gt;80,""
)</f>
        <v>Battery Defect</v>
      </c>
      <c r="O294" s="16" t="str">
        <f>IF(MacReports!I294="Service","Battery Service","")</f>
        <v/>
      </c>
      <c r="P294" s="13">
        <f>MacReports!P294</f>
        <v>0</v>
      </c>
      <c r="Q294" s="13" t="str">
        <f>IF(MacReports!J294="Enabled","Apple ID Lock","")</f>
        <v/>
      </c>
      <c r="R294" s="13" t="str">
        <f>IF(MacReports!L294="y","Remote Locked","")</f>
        <v/>
      </c>
      <c r="S294" t="str">
        <f t="shared" si="11"/>
        <v>Battery Defect, 0</v>
      </c>
      <c r="T294" t="str">
        <f>_xlfn.XLOOKUP(B294,Disk_Pivot!G:G,Disk_Pivot!I:I)</f>
        <v>Yes x2</v>
      </c>
      <c r="U294" t="str">
        <f>_xlfn.XLOOKUP(B294,Disk_Pivot!G:G,Disk_Pivot!N:N)</f>
        <v>Pass, Fail</v>
      </c>
      <c r="V294" t="str">
        <f>IF(U294="Fail",MacReports!N294,"")</f>
        <v/>
      </c>
      <c r="AB294" t="str">
        <f t="shared" si="12"/>
        <v/>
      </c>
    </row>
    <row r="295" spans="1:28">
      <c r="A295">
        <f>MacReports!A295</f>
        <v>0</v>
      </c>
      <c r="B295">
        <f>MacReports!B295</f>
        <v>0</v>
      </c>
      <c r="C295">
        <f>MacReports!C295</f>
        <v>0</v>
      </c>
      <c r="E295" t="e">
        <f>_xlfn.XLOOKUP(G295,Models!A:A,Models!F:F)</f>
        <v>#N/A</v>
      </c>
      <c r="F295" t="str">
        <f>_xlfn.XLOOKUP(B295,MacReports!B:B,MacReports!D:D,"")</f>
        <v/>
      </c>
      <c r="G295" s="13">
        <f>MacReports!E295</f>
        <v>0</v>
      </c>
      <c r="H295" t="e">
        <f>_xlfn.XLOOKUP(G295,Models!A:A,Models!B:B)</f>
        <v>#N/A</v>
      </c>
      <c r="I295" t="e">
        <f>_xlfn.XLOOKUP(G295,Models!A:A,Models!E:E)</f>
        <v>#N/A</v>
      </c>
      <c r="J295" t="e">
        <f>_xlfn.XLOOKUP(G295,Models!A:A,Models!D:D)</f>
        <v>#N/A</v>
      </c>
      <c r="K295">
        <f>MacReports!F295</f>
        <v>0</v>
      </c>
      <c r="L295">
        <f>MacReports!G295</f>
        <v>0</v>
      </c>
      <c r="M295" s="15" t="e" cm="1">
        <f t="array" ref="M295">--_xlfn.LET(
    _xlpm.txt, MacReports!H295,
    _xlpm.chars, MID(_xlpm.txt, _xlfn.SEQUENCE(LEN(_xlpm.txt)), 1),
    _xlfn.TEXTJOIN("", TRUE, IF(ISNUMBER(--_xlpm.chars), _xlpm.chars, ""))
)</f>
        <v>#VALUE!</v>
      </c>
      <c r="N295" s="16" t="str" cm="1">
        <f t="array" ref="N295">_xlfn.IFS(
   --MacReports!M295&lt;55,"Battery Defect",
  -- MacReports!M295&lt;=69,"Battery D",
  --MacReports!M295&lt;=80,"Battery C",
 --MacReports!M295&gt;80,""
)</f>
        <v>Battery Defect</v>
      </c>
      <c r="O295" s="16" t="str">
        <f>IF(MacReports!I295="Service","Battery Service","")</f>
        <v/>
      </c>
      <c r="P295" s="13">
        <f>MacReports!P295</f>
        <v>0</v>
      </c>
      <c r="Q295" s="13" t="str">
        <f>IF(MacReports!J295="Enabled","Apple ID Lock","")</f>
        <v/>
      </c>
      <c r="R295" s="13" t="str">
        <f>IF(MacReports!L295="y","Remote Locked","")</f>
        <v/>
      </c>
      <c r="S295" t="str">
        <f t="shared" si="11"/>
        <v>Battery Defect, 0</v>
      </c>
      <c r="T295" t="str">
        <f>_xlfn.XLOOKUP(B295,Disk_Pivot!G:G,Disk_Pivot!I:I)</f>
        <v>Yes x2</v>
      </c>
      <c r="U295" t="str">
        <f>_xlfn.XLOOKUP(B295,Disk_Pivot!G:G,Disk_Pivot!N:N)</f>
        <v>Pass, Fail</v>
      </c>
      <c r="V295" t="str">
        <f>IF(U295="Fail",MacReports!N295,"")</f>
        <v/>
      </c>
      <c r="AB295" t="str">
        <f t="shared" si="12"/>
        <v/>
      </c>
    </row>
    <row r="296" spans="1:28">
      <c r="A296">
        <f>MacReports!A296</f>
        <v>0</v>
      </c>
      <c r="B296">
        <f>MacReports!B296</f>
        <v>0</v>
      </c>
      <c r="C296">
        <f>MacReports!C296</f>
        <v>0</v>
      </c>
      <c r="E296" t="e">
        <f>_xlfn.XLOOKUP(G296,Models!A:A,Models!F:F)</f>
        <v>#N/A</v>
      </c>
      <c r="F296" t="str">
        <f>_xlfn.XLOOKUP(B296,MacReports!B:B,MacReports!D:D,"")</f>
        <v/>
      </c>
      <c r="G296" s="13">
        <f>MacReports!E296</f>
        <v>0</v>
      </c>
      <c r="H296" t="e">
        <f>_xlfn.XLOOKUP(G296,Models!A:A,Models!B:B)</f>
        <v>#N/A</v>
      </c>
      <c r="I296" t="e">
        <f>_xlfn.XLOOKUP(G296,Models!A:A,Models!E:E)</f>
        <v>#N/A</v>
      </c>
      <c r="J296" t="e">
        <f>_xlfn.XLOOKUP(G296,Models!A:A,Models!D:D)</f>
        <v>#N/A</v>
      </c>
      <c r="K296">
        <f>MacReports!F296</f>
        <v>0</v>
      </c>
      <c r="L296">
        <f>MacReports!G296</f>
        <v>0</v>
      </c>
      <c r="M296" s="15" t="e" cm="1">
        <f t="array" ref="M296">--_xlfn.LET(
    _xlpm.txt, MacReports!H296,
    _xlpm.chars, MID(_xlpm.txt, _xlfn.SEQUENCE(LEN(_xlpm.txt)), 1),
    _xlfn.TEXTJOIN("", TRUE, IF(ISNUMBER(--_xlpm.chars), _xlpm.chars, ""))
)</f>
        <v>#VALUE!</v>
      </c>
      <c r="N296" s="16" t="str" cm="1">
        <f t="array" ref="N296">_xlfn.IFS(
   --MacReports!M296&lt;55,"Battery Defect",
  -- MacReports!M296&lt;=69,"Battery D",
  --MacReports!M296&lt;=80,"Battery C",
 --MacReports!M296&gt;80,""
)</f>
        <v>Battery Defect</v>
      </c>
      <c r="O296" s="16" t="str">
        <f>IF(MacReports!I296="Service","Battery Service","")</f>
        <v/>
      </c>
      <c r="P296" s="13">
        <f>MacReports!P296</f>
        <v>0</v>
      </c>
      <c r="Q296" s="13" t="str">
        <f>IF(MacReports!J296="Enabled","Apple ID Lock","")</f>
        <v/>
      </c>
      <c r="R296" s="13" t="str">
        <f>IF(MacReports!L296="y","Remote Locked","")</f>
        <v/>
      </c>
      <c r="S296" t="str">
        <f t="shared" si="11"/>
        <v>Battery Defect, 0</v>
      </c>
      <c r="T296" t="str">
        <f>_xlfn.XLOOKUP(B296,Disk_Pivot!G:G,Disk_Pivot!I:I)</f>
        <v>Yes x2</v>
      </c>
      <c r="U296" t="str">
        <f>_xlfn.XLOOKUP(B296,Disk_Pivot!G:G,Disk_Pivot!N:N)</f>
        <v>Pass, Fail</v>
      </c>
      <c r="V296" t="str">
        <f>IF(U296="Fail",MacReports!N296,"")</f>
        <v/>
      </c>
      <c r="AB296" t="str">
        <f t="shared" si="12"/>
        <v/>
      </c>
    </row>
    <row r="297" spans="1:28">
      <c r="A297">
        <f>MacReports!A297</f>
        <v>0</v>
      </c>
      <c r="B297">
        <f>MacReports!B297</f>
        <v>0</v>
      </c>
      <c r="C297">
        <f>MacReports!C297</f>
        <v>0</v>
      </c>
      <c r="E297" t="e">
        <f>_xlfn.XLOOKUP(G297,Models!A:A,Models!F:F)</f>
        <v>#N/A</v>
      </c>
      <c r="F297" t="str">
        <f>_xlfn.XLOOKUP(B297,MacReports!B:B,MacReports!D:D,"")</f>
        <v/>
      </c>
      <c r="G297" s="13">
        <f>MacReports!E297</f>
        <v>0</v>
      </c>
      <c r="H297" t="e">
        <f>_xlfn.XLOOKUP(G297,Models!A:A,Models!B:B)</f>
        <v>#N/A</v>
      </c>
      <c r="I297" t="e">
        <f>_xlfn.XLOOKUP(G297,Models!A:A,Models!E:E)</f>
        <v>#N/A</v>
      </c>
      <c r="J297" t="e">
        <f>_xlfn.XLOOKUP(G297,Models!A:A,Models!D:D)</f>
        <v>#N/A</v>
      </c>
      <c r="K297">
        <f>MacReports!F297</f>
        <v>0</v>
      </c>
      <c r="L297">
        <f>MacReports!G297</f>
        <v>0</v>
      </c>
      <c r="M297" s="15" t="e" cm="1">
        <f t="array" ref="M297">--_xlfn.LET(
    _xlpm.txt, MacReports!H297,
    _xlpm.chars, MID(_xlpm.txt, _xlfn.SEQUENCE(LEN(_xlpm.txt)), 1),
    _xlfn.TEXTJOIN("", TRUE, IF(ISNUMBER(--_xlpm.chars), _xlpm.chars, ""))
)</f>
        <v>#VALUE!</v>
      </c>
      <c r="N297" s="16" t="str" cm="1">
        <f t="array" ref="N297">_xlfn.IFS(
   --MacReports!M297&lt;55,"Battery Defect",
  -- MacReports!M297&lt;=69,"Battery D",
  --MacReports!M297&lt;=80,"Battery C",
 --MacReports!M297&gt;80,""
)</f>
        <v>Battery Defect</v>
      </c>
      <c r="O297" s="16" t="str">
        <f>IF(MacReports!I297="Service","Battery Service","")</f>
        <v/>
      </c>
      <c r="P297" s="13">
        <f>MacReports!P297</f>
        <v>0</v>
      </c>
      <c r="Q297" s="13" t="str">
        <f>IF(MacReports!J297="Enabled","Apple ID Lock","")</f>
        <v/>
      </c>
      <c r="R297" s="13" t="str">
        <f>IF(MacReports!L297="y","Remote Locked","")</f>
        <v/>
      </c>
      <c r="S297" t="str">
        <f t="shared" si="11"/>
        <v>Battery Defect, 0</v>
      </c>
      <c r="T297" t="str">
        <f>_xlfn.XLOOKUP(B297,Disk_Pivot!G:G,Disk_Pivot!I:I)</f>
        <v>Yes x2</v>
      </c>
      <c r="U297" t="str">
        <f>_xlfn.XLOOKUP(B297,Disk_Pivot!G:G,Disk_Pivot!N:N)</f>
        <v>Pass, Fail</v>
      </c>
      <c r="V297" t="str">
        <f>IF(U297="Fail",MacReports!N297,"")</f>
        <v/>
      </c>
      <c r="AB297" t="str">
        <f t="shared" si="12"/>
        <v/>
      </c>
    </row>
    <row r="298" spans="1:28">
      <c r="A298">
        <f>MacReports!A298</f>
        <v>0</v>
      </c>
      <c r="B298">
        <f>MacReports!B298</f>
        <v>0</v>
      </c>
      <c r="C298">
        <f>MacReports!C298</f>
        <v>0</v>
      </c>
      <c r="E298" t="e">
        <f>_xlfn.XLOOKUP(G298,Models!A:A,Models!F:F)</f>
        <v>#N/A</v>
      </c>
      <c r="F298" t="str">
        <f>_xlfn.XLOOKUP(B298,MacReports!B:B,MacReports!D:D,"")</f>
        <v/>
      </c>
      <c r="G298" s="13">
        <f>MacReports!E298</f>
        <v>0</v>
      </c>
      <c r="H298" t="e">
        <f>_xlfn.XLOOKUP(G298,Models!A:A,Models!B:B)</f>
        <v>#N/A</v>
      </c>
      <c r="I298" t="e">
        <f>_xlfn.XLOOKUP(G298,Models!A:A,Models!E:E)</f>
        <v>#N/A</v>
      </c>
      <c r="J298" t="e">
        <f>_xlfn.XLOOKUP(G298,Models!A:A,Models!D:D)</f>
        <v>#N/A</v>
      </c>
      <c r="K298">
        <f>MacReports!F298</f>
        <v>0</v>
      </c>
      <c r="L298">
        <f>MacReports!G298</f>
        <v>0</v>
      </c>
      <c r="M298" s="15" t="e" cm="1">
        <f t="array" ref="M298">--_xlfn.LET(
    _xlpm.txt, MacReports!H298,
    _xlpm.chars, MID(_xlpm.txt, _xlfn.SEQUENCE(LEN(_xlpm.txt)), 1),
    _xlfn.TEXTJOIN("", TRUE, IF(ISNUMBER(--_xlpm.chars), _xlpm.chars, ""))
)</f>
        <v>#VALUE!</v>
      </c>
      <c r="N298" s="16" t="str" cm="1">
        <f t="array" ref="N298">_xlfn.IFS(
   --MacReports!M298&lt;55,"Battery Defect",
  -- MacReports!M298&lt;=69,"Battery D",
  --MacReports!M298&lt;=80,"Battery C",
 --MacReports!M298&gt;80,""
)</f>
        <v>Battery Defect</v>
      </c>
      <c r="O298" s="16" t="str">
        <f>IF(MacReports!I298="Service","Battery Service","")</f>
        <v/>
      </c>
      <c r="P298" s="13">
        <f>MacReports!P298</f>
        <v>0</v>
      </c>
      <c r="Q298" s="13" t="str">
        <f>IF(MacReports!J298="Enabled","Apple ID Lock","")</f>
        <v/>
      </c>
      <c r="R298" s="13" t="str">
        <f>IF(MacReports!L298="y","Remote Locked","")</f>
        <v/>
      </c>
      <c r="S298" t="str">
        <f t="shared" si="11"/>
        <v>Battery Defect, 0</v>
      </c>
      <c r="T298" t="str">
        <f>_xlfn.XLOOKUP(B298,Disk_Pivot!G:G,Disk_Pivot!I:I)</f>
        <v>Yes x2</v>
      </c>
      <c r="U298" t="str">
        <f>_xlfn.XLOOKUP(B298,Disk_Pivot!G:G,Disk_Pivot!N:N)</f>
        <v>Pass, Fail</v>
      </c>
      <c r="V298" t="str">
        <f>IF(U298="Fail",MacReports!N298,"")</f>
        <v/>
      </c>
      <c r="AB298" t="str">
        <f t="shared" si="12"/>
        <v/>
      </c>
    </row>
    <row r="299" spans="1:28">
      <c r="A299">
        <f>MacReports!A299</f>
        <v>0</v>
      </c>
      <c r="B299">
        <f>MacReports!B299</f>
        <v>0</v>
      </c>
      <c r="C299">
        <f>MacReports!C299</f>
        <v>0</v>
      </c>
      <c r="E299" t="e">
        <f>_xlfn.XLOOKUP(G299,Models!A:A,Models!F:F)</f>
        <v>#N/A</v>
      </c>
      <c r="F299" t="str">
        <f>_xlfn.XLOOKUP(B299,MacReports!B:B,MacReports!D:D,"")</f>
        <v/>
      </c>
      <c r="G299" s="13">
        <f>MacReports!E299</f>
        <v>0</v>
      </c>
      <c r="H299" t="e">
        <f>_xlfn.XLOOKUP(G299,Models!A:A,Models!B:B)</f>
        <v>#N/A</v>
      </c>
      <c r="I299" t="e">
        <f>_xlfn.XLOOKUP(G299,Models!A:A,Models!E:E)</f>
        <v>#N/A</v>
      </c>
      <c r="J299" t="e">
        <f>_xlfn.XLOOKUP(G299,Models!A:A,Models!D:D)</f>
        <v>#N/A</v>
      </c>
      <c r="K299">
        <f>MacReports!F299</f>
        <v>0</v>
      </c>
      <c r="L299">
        <f>MacReports!G299</f>
        <v>0</v>
      </c>
      <c r="M299" s="15" t="e" cm="1">
        <f t="array" ref="M299">--_xlfn.LET(
    _xlpm.txt, MacReports!H299,
    _xlpm.chars, MID(_xlpm.txt, _xlfn.SEQUENCE(LEN(_xlpm.txt)), 1),
    _xlfn.TEXTJOIN("", TRUE, IF(ISNUMBER(--_xlpm.chars), _xlpm.chars, ""))
)</f>
        <v>#VALUE!</v>
      </c>
      <c r="N299" s="16" t="str" cm="1">
        <f t="array" ref="N299">_xlfn.IFS(
   --MacReports!M299&lt;55,"Battery Defect",
  -- MacReports!M299&lt;=69,"Battery D",
  --MacReports!M299&lt;=80,"Battery C",
 --MacReports!M299&gt;80,""
)</f>
        <v>Battery Defect</v>
      </c>
      <c r="O299" s="16" t="str">
        <f>IF(MacReports!I299="Service","Battery Service","")</f>
        <v/>
      </c>
      <c r="P299" s="13">
        <f>MacReports!P299</f>
        <v>0</v>
      </c>
      <c r="Q299" s="13" t="str">
        <f>IF(MacReports!J299="Enabled","Apple ID Lock","")</f>
        <v/>
      </c>
      <c r="R299" s="13" t="str">
        <f>IF(MacReports!L299="y","Remote Locked","")</f>
        <v/>
      </c>
      <c r="S299" t="str">
        <f t="shared" si="11"/>
        <v>Battery Defect, 0</v>
      </c>
      <c r="T299" t="str">
        <f>_xlfn.XLOOKUP(B299,Disk_Pivot!G:G,Disk_Pivot!I:I)</f>
        <v>Yes x2</v>
      </c>
      <c r="U299" t="str">
        <f>_xlfn.XLOOKUP(B299,Disk_Pivot!G:G,Disk_Pivot!N:N)</f>
        <v>Pass, Fail</v>
      </c>
      <c r="V299" t="str">
        <f>IF(U299="Fail",MacReports!N299,"")</f>
        <v/>
      </c>
      <c r="AB299" t="str">
        <f t="shared" si="12"/>
        <v/>
      </c>
    </row>
    <row r="300" spans="1:28">
      <c r="A300">
        <f>MacReports!A300</f>
        <v>0</v>
      </c>
      <c r="B300">
        <f>MacReports!B300</f>
        <v>0</v>
      </c>
      <c r="C300">
        <f>MacReports!C300</f>
        <v>0</v>
      </c>
      <c r="E300" t="e">
        <f>_xlfn.XLOOKUP(G300,Models!A:A,Models!F:F)</f>
        <v>#N/A</v>
      </c>
      <c r="F300" t="str">
        <f>_xlfn.XLOOKUP(B300,MacReports!B:B,MacReports!D:D,"")</f>
        <v/>
      </c>
      <c r="G300" s="13">
        <f>MacReports!E300</f>
        <v>0</v>
      </c>
      <c r="H300" t="e">
        <f>_xlfn.XLOOKUP(G300,Models!A:A,Models!B:B)</f>
        <v>#N/A</v>
      </c>
      <c r="I300" t="e">
        <f>_xlfn.XLOOKUP(G300,Models!A:A,Models!E:E)</f>
        <v>#N/A</v>
      </c>
      <c r="J300" t="e">
        <f>_xlfn.XLOOKUP(G300,Models!A:A,Models!D:D)</f>
        <v>#N/A</v>
      </c>
      <c r="K300">
        <f>MacReports!F300</f>
        <v>0</v>
      </c>
      <c r="L300">
        <f>MacReports!G300</f>
        <v>0</v>
      </c>
      <c r="M300" s="15" t="e" cm="1">
        <f t="array" ref="M300">--_xlfn.LET(
    _xlpm.txt, MacReports!H300,
    _xlpm.chars, MID(_xlpm.txt, _xlfn.SEQUENCE(LEN(_xlpm.txt)), 1),
    _xlfn.TEXTJOIN("", TRUE, IF(ISNUMBER(--_xlpm.chars), _xlpm.chars, ""))
)</f>
        <v>#VALUE!</v>
      </c>
      <c r="N300" s="16" t="str" cm="1">
        <f t="array" ref="N300">_xlfn.IFS(
   --MacReports!M300&lt;55,"Battery Defect",
  -- MacReports!M300&lt;=69,"Battery D",
  --MacReports!M300&lt;=80,"Battery C",
 --MacReports!M300&gt;80,""
)</f>
        <v>Battery Defect</v>
      </c>
      <c r="O300" s="16" t="str">
        <f>IF(MacReports!I300="Service","Battery Service","")</f>
        <v/>
      </c>
      <c r="P300" s="13">
        <f>MacReports!P300</f>
        <v>0</v>
      </c>
      <c r="Q300" s="13" t="str">
        <f>IF(MacReports!J300="Enabled","Apple ID Lock","")</f>
        <v/>
      </c>
      <c r="R300" s="13" t="str">
        <f>IF(MacReports!L300="y","Remote Locked","")</f>
        <v/>
      </c>
      <c r="S300" t="str">
        <f t="shared" si="11"/>
        <v>Battery Defect, 0</v>
      </c>
      <c r="T300" t="str">
        <f>_xlfn.XLOOKUP(B300,Disk_Pivot!G:G,Disk_Pivot!I:I)</f>
        <v>Yes x2</v>
      </c>
      <c r="U300" t="str">
        <f>_xlfn.XLOOKUP(B300,Disk_Pivot!G:G,Disk_Pivot!N:N)</f>
        <v>Pass, Fail</v>
      </c>
      <c r="V300" t="str">
        <f>IF(U300="Fail",MacReports!N300,"")</f>
        <v/>
      </c>
      <c r="AB300" t="str">
        <f t="shared" si="12"/>
        <v/>
      </c>
    </row>
    <row r="301" spans="1:28">
      <c r="A301">
        <f>MacReports!A301</f>
        <v>0</v>
      </c>
      <c r="B301">
        <f>MacReports!B301</f>
        <v>0</v>
      </c>
      <c r="C301">
        <f>MacReports!C301</f>
        <v>0</v>
      </c>
      <c r="E301" t="e">
        <f>_xlfn.XLOOKUP(G301,Models!A:A,Models!F:F)</f>
        <v>#N/A</v>
      </c>
      <c r="F301" t="str">
        <f>_xlfn.XLOOKUP(B301,MacReports!B:B,MacReports!D:D,"")</f>
        <v/>
      </c>
      <c r="G301" s="13">
        <f>MacReports!E301</f>
        <v>0</v>
      </c>
      <c r="H301" t="e">
        <f>_xlfn.XLOOKUP(G301,Models!A:A,Models!B:B)</f>
        <v>#N/A</v>
      </c>
      <c r="I301" t="e">
        <f>_xlfn.XLOOKUP(G301,Models!A:A,Models!E:E)</f>
        <v>#N/A</v>
      </c>
      <c r="J301" t="e">
        <f>_xlfn.XLOOKUP(G301,Models!A:A,Models!D:D)</f>
        <v>#N/A</v>
      </c>
      <c r="K301">
        <f>MacReports!F301</f>
        <v>0</v>
      </c>
      <c r="L301">
        <f>MacReports!G301</f>
        <v>0</v>
      </c>
      <c r="M301" s="15" t="e" cm="1">
        <f t="array" ref="M301">--_xlfn.LET(
    _xlpm.txt, MacReports!H301,
    _xlpm.chars, MID(_xlpm.txt, _xlfn.SEQUENCE(LEN(_xlpm.txt)), 1),
    _xlfn.TEXTJOIN("", TRUE, IF(ISNUMBER(--_xlpm.chars), _xlpm.chars, ""))
)</f>
        <v>#VALUE!</v>
      </c>
      <c r="N301" s="16" t="str" cm="1">
        <f t="array" ref="N301">_xlfn.IFS(
   --MacReports!M301&lt;55,"Battery Defect",
  -- MacReports!M301&lt;=69,"Battery D",
  --MacReports!M301&lt;=80,"Battery C",
 --MacReports!M301&gt;80,""
)</f>
        <v>Battery Defect</v>
      </c>
      <c r="O301" s="16" t="str">
        <f>IF(MacReports!I301="Service","Battery Service","")</f>
        <v/>
      </c>
      <c r="P301" s="13">
        <f>MacReports!P301</f>
        <v>0</v>
      </c>
      <c r="Q301" s="13" t="str">
        <f>IF(MacReports!J301="Enabled","Apple ID Lock","")</f>
        <v/>
      </c>
      <c r="R301" s="13" t="str">
        <f>IF(MacReports!L301="y","Remote Locked","")</f>
        <v/>
      </c>
      <c r="S301" t="str">
        <f t="shared" si="11"/>
        <v>Battery Defect, 0</v>
      </c>
      <c r="T301" t="str">
        <f>_xlfn.XLOOKUP(B301,Disk_Pivot!G:G,Disk_Pivot!I:I)</f>
        <v>Yes x2</v>
      </c>
      <c r="U301" t="str">
        <f>_xlfn.XLOOKUP(B301,Disk_Pivot!G:G,Disk_Pivot!N:N)</f>
        <v>Pass, Fail</v>
      </c>
      <c r="V301" t="str">
        <f>IF(U301="Fail",MacReports!N301,"")</f>
        <v/>
      </c>
      <c r="AB301" t="str">
        <f t="shared" si="12"/>
        <v/>
      </c>
    </row>
    <row r="302" spans="1:28">
      <c r="A302">
        <f>MacReports!A302</f>
        <v>0</v>
      </c>
      <c r="B302">
        <f>MacReports!B302</f>
        <v>0</v>
      </c>
      <c r="C302">
        <f>MacReports!C302</f>
        <v>0</v>
      </c>
      <c r="E302" t="e">
        <f>_xlfn.XLOOKUP(G302,Models!A:A,Models!F:F)</f>
        <v>#N/A</v>
      </c>
      <c r="F302" t="str">
        <f>_xlfn.XLOOKUP(B302,MacReports!B:B,MacReports!D:D,"")</f>
        <v/>
      </c>
      <c r="G302" s="13">
        <f>MacReports!E302</f>
        <v>0</v>
      </c>
      <c r="H302" t="e">
        <f>_xlfn.XLOOKUP(G302,Models!A:A,Models!B:B)</f>
        <v>#N/A</v>
      </c>
      <c r="I302" t="e">
        <f>_xlfn.XLOOKUP(G302,Models!A:A,Models!E:E)</f>
        <v>#N/A</v>
      </c>
      <c r="J302" t="e">
        <f>_xlfn.XLOOKUP(G302,Models!A:A,Models!D:D)</f>
        <v>#N/A</v>
      </c>
      <c r="K302">
        <f>MacReports!F302</f>
        <v>0</v>
      </c>
      <c r="L302">
        <f>MacReports!G302</f>
        <v>0</v>
      </c>
      <c r="M302" s="15" t="e" cm="1">
        <f t="array" ref="M302">--_xlfn.LET(
    _xlpm.txt, MacReports!H302,
    _xlpm.chars, MID(_xlpm.txt, _xlfn.SEQUENCE(LEN(_xlpm.txt)), 1),
    _xlfn.TEXTJOIN("", TRUE, IF(ISNUMBER(--_xlpm.chars), _xlpm.chars, ""))
)</f>
        <v>#VALUE!</v>
      </c>
      <c r="N302" s="16" t="str" cm="1">
        <f t="array" ref="N302">_xlfn.IFS(
   --MacReports!M302&lt;55,"Battery Defect",
  -- MacReports!M302&lt;=69,"Battery D",
  --MacReports!M302&lt;=80,"Battery C",
 --MacReports!M302&gt;80,""
)</f>
        <v>Battery Defect</v>
      </c>
      <c r="O302" s="16" t="str">
        <f>IF(MacReports!I302="Service","Battery Service","")</f>
        <v/>
      </c>
      <c r="P302" s="13">
        <f>MacReports!P302</f>
        <v>0</v>
      </c>
      <c r="Q302" s="13" t="str">
        <f>IF(MacReports!J302="Enabled","Apple ID Lock","")</f>
        <v/>
      </c>
      <c r="R302" s="13" t="str">
        <f>IF(MacReports!L302="y","Remote Locked","")</f>
        <v/>
      </c>
      <c r="S302" t="str">
        <f t="shared" si="11"/>
        <v>Battery Defect, 0</v>
      </c>
      <c r="T302" t="str">
        <f>_xlfn.XLOOKUP(B302,Disk_Pivot!G:G,Disk_Pivot!I:I)</f>
        <v>Yes x2</v>
      </c>
      <c r="U302" t="str">
        <f>_xlfn.XLOOKUP(B302,Disk_Pivot!G:G,Disk_Pivot!N:N)</f>
        <v>Pass, Fail</v>
      </c>
      <c r="V302" t="str">
        <f>IF(U302="Fail",MacReports!N302,"")</f>
        <v/>
      </c>
      <c r="AB302" t="str">
        <f t="shared" si="12"/>
        <v/>
      </c>
    </row>
    <row r="303" spans="1:28">
      <c r="A303">
        <f>MacReports!A303</f>
        <v>0</v>
      </c>
      <c r="B303">
        <f>MacReports!B303</f>
        <v>0</v>
      </c>
      <c r="C303">
        <f>MacReports!C303</f>
        <v>0</v>
      </c>
      <c r="E303" t="e">
        <f>_xlfn.XLOOKUP(G303,Models!A:A,Models!F:F)</f>
        <v>#N/A</v>
      </c>
      <c r="F303" t="str">
        <f>_xlfn.XLOOKUP(B303,MacReports!B:B,MacReports!D:D,"")</f>
        <v/>
      </c>
      <c r="G303" s="13">
        <f>MacReports!E303</f>
        <v>0</v>
      </c>
      <c r="H303" t="e">
        <f>_xlfn.XLOOKUP(G303,Models!A:A,Models!B:B)</f>
        <v>#N/A</v>
      </c>
      <c r="I303" t="e">
        <f>_xlfn.XLOOKUP(G303,Models!A:A,Models!E:E)</f>
        <v>#N/A</v>
      </c>
      <c r="J303" t="e">
        <f>_xlfn.XLOOKUP(G303,Models!A:A,Models!D:D)</f>
        <v>#N/A</v>
      </c>
      <c r="K303">
        <f>MacReports!F303</f>
        <v>0</v>
      </c>
      <c r="L303">
        <f>MacReports!G303</f>
        <v>0</v>
      </c>
      <c r="M303" s="15" t="e" cm="1">
        <f t="array" ref="M303">--_xlfn.LET(
    _xlpm.txt, MacReports!H303,
    _xlpm.chars, MID(_xlpm.txt, _xlfn.SEQUENCE(LEN(_xlpm.txt)), 1),
    _xlfn.TEXTJOIN("", TRUE, IF(ISNUMBER(--_xlpm.chars), _xlpm.chars, ""))
)</f>
        <v>#VALUE!</v>
      </c>
      <c r="N303" s="16" t="str" cm="1">
        <f t="array" ref="N303">_xlfn.IFS(
   --MacReports!M303&lt;55,"Battery Defect",
  -- MacReports!M303&lt;=69,"Battery D",
  --MacReports!M303&lt;=80,"Battery C",
 --MacReports!M303&gt;80,""
)</f>
        <v>Battery Defect</v>
      </c>
      <c r="O303" s="16" t="str">
        <f>IF(MacReports!I303="Service","Battery Service","")</f>
        <v/>
      </c>
      <c r="P303" s="13">
        <f>MacReports!P303</f>
        <v>0</v>
      </c>
      <c r="Q303" s="13" t="str">
        <f>IF(MacReports!J303="Enabled","Apple ID Lock","")</f>
        <v/>
      </c>
      <c r="R303" s="13" t="str">
        <f>IF(MacReports!L303="y","Remote Locked","")</f>
        <v/>
      </c>
      <c r="S303" t="str">
        <f t="shared" si="11"/>
        <v>Battery Defect, 0</v>
      </c>
      <c r="T303" t="str">
        <f>_xlfn.XLOOKUP(B303,Disk_Pivot!G:G,Disk_Pivot!I:I)</f>
        <v>Yes x2</v>
      </c>
      <c r="U303" t="str">
        <f>_xlfn.XLOOKUP(B303,Disk_Pivot!G:G,Disk_Pivot!N:N)</f>
        <v>Pass, Fail</v>
      </c>
      <c r="V303" t="str">
        <f>IF(U303="Fail",MacReports!N303,"")</f>
        <v/>
      </c>
      <c r="AB303" t="str">
        <f t="shared" si="12"/>
        <v/>
      </c>
    </row>
    <row r="304" spans="1:28">
      <c r="A304">
        <f>MacReports!A304</f>
        <v>0</v>
      </c>
      <c r="B304">
        <f>MacReports!B304</f>
        <v>0</v>
      </c>
      <c r="C304">
        <f>MacReports!C304</f>
        <v>0</v>
      </c>
      <c r="E304" t="e">
        <f>_xlfn.XLOOKUP(G304,Models!A:A,Models!F:F)</f>
        <v>#N/A</v>
      </c>
      <c r="F304" t="str">
        <f>_xlfn.XLOOKUP(B304,MacReports!B:B,MacReports!D:D,"")</f>
        <v/>
      </c>
      <c r="G304" s="13">
        <f>MacReports!E304</f>
        <v>0</v>
      </c>
      <c r="H304" t="e">
        <f>_xlfn.XLOOKUP(G304,Models!A:A,Models!B:B)</f>
        <v>#N/A</v>
      </c>
      <c r="I304" t="e">
        <f>_xlfn.XLOOKUP(G304,Models!A:A,Models!E:E)</f>
        <v>#N/A</v>
      </c>
      <c r="J304" t="e">
        <f>_xlfn.XLOOKUP(G304,Models!A:A,Models!D:D)</f>
        <v>#N/A</v>
      </c>
      <c r="K304">
        <f>MacReports!F304</f>
        <v>0</v>
      </c>
      <c r="L304">
        <f>MacReports!G304</f>
        <v>0</v>
      </c>
      <c r="M304" s="15" t="e" cm="1">
        <f t="array" ref="M304">--_xlfn.LET(
    _xlpm.txt, MacReports!H304,
    _xlpm.chars, MID(_xlpm.txt, _xlfn.SEQUENCE(LEN(_xlpm.txt)), 1),
    _xlfn.TEXTJOIN("", TRUE, IF(ISNUMBER(--_xlpm.chars), _xlpm.chars, ""))
)</f>
        <v>#VALUE!</v>
      </c>
      <c r="N304" s="16" t="str" cm="1">
        <f t="array" ref="N304">_xlfn.IFS(
   --MacReports!M304&lt;55,"Battery Defect",
  -- MacReports!M304&lt;=69,"Battery D",
  --MacReports!M304&lt;=80,"Battery C",
 --MacReports!M304&gt;80,""
)</f>
        <v>Battery Defect</v>
      </c>
      <c r="O304" s="16" t="str">
        <f>IF(MacReports!I304="Service","Battery Service","")</f>
        <v/>
      </c>
      <c r="P304" s="13">
        <f>MacReports!P304</f>
        <v>0</v>
      </c>
      <c r="Q304" s="13" t="str">
        <f>IF(MacReports!J304="Enabled","Apple ID Lock","")</f>
        <v/>
      </c>
      <c r="R304" s="13" t="str">
        <f>IF(MacReports!L304="y","Remote Locked","")</f>
        <v/>
      </c>
      <c r="S304" t="str">
        <f t="shared" si="11"/>
        <v>Battery Defect, 0</v>
      </c>
      <c r="T304" t="str">
        <f>_xlfn.XLOOKUP(B304,Disk_Pivot!G:G,Disk_Pivot!I:I)</f>
        <v>Yes x2</v>
      </c>
      <c r="U304" t="str">
        <f>_xlfn.XLOOKUP(B304,Disk_Pivot!G:G,Disk_Pivot!N:N)</f>
        <v>Pass, Fail</v>
      </c>
      <c r="V304" t="str">
        <f>IF(U304="Fail",MacReports!N304,"")</f>
        <v/>
      </c>
      <c r="AB304" t="str">
        <f t="shared" si="12"/>
        <v/>
      </c>
    </row>
    <row r="305" spans="1:28">
      <c r="A305">
        <f>MacReports!A305</f>
        <v>0</v>
      </c>
      <c r="B305">
        <f>MacReports!B305</f>
        <v>0</v>
      </c>
      <c r="C305">
        <f>MacReports!C305</f>
        <v>0</v>
      </c>
      <c r="E305" t="e">
        <f>_xlfn.XLOOKUP(G305,Models!A:A,Models!F:F)</f>
        <v>#N/A</v>
      </c>
      <c r="F305" t="str">
        <f>_xlfn.XLOOKUP(B305,MacReports!B:B,MacReports!D:D,"")</f>
        <v/>
      </c>
      <c r="G305" s="13">
        <f>MacReports!E305</f>
        <v>0</v>
      </c>
      <c r="H305" t="e">
        <f>_xlfn.XLOOKUP(G305,Models!A:A,Models!B:B)</f>
        <v>#N/A</v>
      </c>
      <c r="I305" t="e">
        <f>_xlfn.XLOOKUP(G305,Models!A:A,Models!E:E)</f>
        <v>#N/A</v>
      </c>
      <c r="J305" t="e">
        <f>_xlfn.XLOOKUP(G305,Models!A:A,Models!D:D)</f>
        <v>#N/A</v>
      </c>
      <c r="K305">
        <f>MacReports!F305</f>
        <v>0</v>
      </c>
      <c r="L305">
        <f>MacReports!G305</f>
        <v>0</v>
      </c>
      <c r="M305" s="15" t="e" cm="1">
        <f t="array" ref="M305">--_xlfn.LET(
    _xlpm.txt, MacReports!H305,
    _xlpm.chars, MID(_xlpm.txt, _xlfn.SEQUENCE(LEN(_xlpm.txt)), 1),
    _xlfn.TEXTJOIN("", TRUE, IF(ISNUMBER(--_xlpm.chars), _xlpm.chars, ""))
)</f>
        <v>#VALUE!</v>
      </c>
      <c r="N305" s="16" t="str" cm="1">
        <f t="array" ref="N305">_xlfn.IFS(
   --MacReports!M305&lt;55,"Battery Defect",
  -- MacReports!M305&lt;=69,"Battery D",
  --MacReports!M305&lt;=80,"Battery C",
 --MacReports!M305&gt;80,""
)</f>
        <v>Battery Defect</v>
      </c>
      <c r="O305" s="16" t="str">
        <f>IF(MacReports!I305="Service","Battery Service","")</f>
        <v/>
      </c>
      <c r="P305" s="13">
        <f>MacReports!P305</f>
        <v>0</v>
      </c>
      <c r="Q305" s="13" t="str">
        <f>IF(MacReports!J305="Enabled","Apple ID Lock","")</f>
        <v/>
      </c>
      <c r="R305" s="13" t="str">
        <f>IF(MacReports!L305="y","Remote Locked","")</f>
        <v/>
      </c>
      <c r="S305" t="str">
        <f t="shared" si="11"/>
        <v>Battery Defect, 0</v>
      </c>
      <c r="T305" t="str">
        <f>_xlfn.XLOOKUP(B305,Disk_Pivot!G:G,Disk_Pivot!I:I)</f>
        <v>Yes x2</v>
      </c>
      <c r="U305" t="str">
        <f>_xlfn.XLOOKUP(B305,Disk_Pivot!G:G,Disk_Pivot!N:N)</f>
        <v>Pass, Fail</v>
      </c>
      <c r="V305" t="str">
        <f>IF(U305="Fail",MacReports!N305,"")</f>
        <v/>
      </c>
      <c r="AB305" t="str">
        <f t="shared" si="12"/>
        <v/>
      </c>
    </row>
    <row r="306" spans="1:28">
      <c r="A306">
        <f>MacReports!A306</f>
        <v>0</v>
      </c>
      <c r="B306">
        <f>MacReports!B306</f>
        <v>0</v>
      </c>
      <c r="C306">
        <f>MacReports!C306</f>
        <v>0</v>
      </c>
      <c r="E306" t="e">
        <f>_xlfn.XLOOKUP(G306,Models!A:A,Models!F:F)</f>
        <v>#N/A</v>
      </c>
      <c r="F306" t="str">
        <f>_xlfn.XLOOKUP(B306,MacReports!B:B,MacReports!D:D,"")</f>
        <v/>
      </c>
      <c r="G306" s="13">
        <f>MacReports!E306</f>
        <v>0</v>
      </c>
      <c r="H306" t="e">
        <f>_xlfn.XLOOKUP(G306,Models!A:A,Models!B:B)</f>
        <v>#N/A</v>
      </c>
      <c r="I306" t="e">
        <f>_xlfn.XLOOKUP(G306,Models!A:A,Models!E:E)</f>
        <v>#N/A</v>
      </c>
      <c r="J306" t="e">
        <f>_xlfn.XLOOKUP(G306,Models!A:A,Models!D:D)</f>
        <v>#N/A</v>
      </c>
      <c r="K306">
        <f>MacReports!F306</f>
        <v>0</v>
      </c>
      <c r="L306">
        <f>MacReports!G306</f>
        <v>0</v>
      </c>
      <c r="M306" s="15" t="e" cm="1">
        <f t="array" ref="M306">--_xlfn.LET(
    _xlpm.txt, MacReports!H306,
    _xlpm.chars, MID(_xlpm.txt, _xlfn.SEQUENCE(LEN(_xlpm.txt)), 1),
    _xlfn.TEXTJOIN("", TRUE, IF(ISNUMBER(--_xlpm.chars), _xlpm.chars, ""))
)</f>
        <v>#VALUE!</v>
      </c>
      <c r="N306" s="16" t="str" cm="1">
        <f t="array" ref="N306">_xlfn.IFS(
   --MacReports!M306&lt;55,"Battery Defect",
  -- MacReports!M306&lt;=69,"Battery D",
  --MacReports!M306&lt;=80,"Battery C",
 --MacReports!M306&gt;80,""
)</f>
        <v>Battery Defect</v>
      </c>
      <c r="O306" s="16" t="str">
        <f>IF(MacReports!I306="Service","Battery Service","")</f>
        <v/>
      </c>
      <c r="P306" s="13">
        <f>MacReports!P306</f>
        <v>0</v>
      </c>
      <c r="Q306" s="13" t="str">
        <f>IF(MacReports!J306="Enabled","Apple ID Lock","")</f>
        <v/>
      </c>
      <c r="R306" s="13" t="str">
        <f>IF(MacReports!L306="y","Remote Locked","")</f>
        <v/>
      </c>
      <c r="S306" t="str">
        <f t="shared" si="11"/>
        <v>Battery Defect, 0</v>
      </c>
      <c r="T306" t="str">
        <f>_xlfn.XLOOKUP(B306,Disk_Pivot!G:G,Disk_Pivot!I:I)</f>
        <v>Yes x2</v>
      </c>
      <c r="U306" t="str">
        <f>_xlfn.XLOOKUP(B306,Disk_Pivot!G:G,Disk_Pivot!N:N)</f>
        <v>Pass, Fail</v>
      </c>
      <c r="V306" t="str">
        <f>IF(U306="Fail",MacReports!N306,"")</f>
        <v/>
      </c>
      <c r="AB306" t="str">
        <f t="shared" si="12"/>
        <v/>
      </c>
    </row>
    <row r="307" spans="1:28">
      <c r="A307">
        <f>MacReports!A307</f>
        <v>0</v>
      </c>
      <c r="B307">
        <f>MacReports!B307</f>
        <v>0</v>
      </c>
      <c r="C307">
        <f>MacReports!C307</f>
        <v>0</v>
      </c>
      <c r="E307" t="e">
        <f>_xlfn.XLOOKUP(G307,Models!A:A,Models!F:F)</f>
        <v>#N/A</v>
      </c>
      <c r="F307" t="str">
        <f>_xlfn.XLOOKUP(B307,MacReports!B:B,MacReports!D:D,"")</f>
        <v/>
      </c>
      <c r="G307" s="13">
        <f>MacReports!E307</f>
        <v>0</v>
      </c>
      <c r="H307" t="e">
        <f>_xlfn.XLOOKUP(G307,Models!A:A,Models!B:B)</f>
        <v>#N/A</v>
      </c>
      <c r="I307" t="e">
        <f>_xlfn.XLOOKUP(G307,Models!A:A,Models!E:E)</f>
        <v>#N/A</v>
      </c>
      <c r="J307" t="e">
        <f>_xlfn.XLOOKUP(G307,Models!A:A,Models!D:D)</f>
        <v>#N/A</v>
      </c>
      <c r="K307">
        <f>MacReports!F307</f>
        <v>0</v>
      </c>
      <c r="L307">
        <f>MacReports!G307</f>
        <v>0</v>
      </c>
      <c r="M307" s="15" t="e" cm="1">
        <f t="array" ref="M307">--_xlfn.LET(
    _xlpm.txt, MacReports!H307,
    _xlpm.chars, MID(_xlpm.txt, _xlfn.SEQUENCE(LEN(_xlpm.txt)), 1),
    _xlfn.TEXTJOIN("", TRUE, IF(ISNUMBER(--_xlpm.chars), _xlpm.chars, ""))
)</f>
        <v>#VALUE!</v>
      </c>
      <c r="N307" s="16" t="str" cm="1">
        <f t="array" ref="N307">_xlfn.IFS(
   --MacReports!M307&lt;55,"Battery Defect",
  -- MacReports!M307&lt;=69,"Battery D",
  --MacReports!M307&lt;=80,"Battery C",
 --MacReports!M307&gt;80,""
)</f>
        <v>Battery Defect</v>
      </c>
      <c r="O307" s="16" t="str">
        <f>IF(MacReports!I307="Service","Battery Service","")</f>
        <v/>
      </c>
      <c r="P307" s="13">
        <f>MacReports!P307</f>
        <v>0</v>
      </c>
      <c r="Q307" s="13" t="str">
        <f>IF(MacReports!J307="Enabled","Apple ID Lock","")</f>
        <v/>
      </c>
      <c r="R307" s="13" t="str">
        <f>IF(MacReports!L307="y","Remote Locked","")</f>
        <v/>
      </c>
      <c r="S307" t="str">
        <f t="shared" si="11"/>
        <v>Battery Defect, 0</v>
      </c>
      <c r="T307" t="str">
        <f>_xlfn.XLOOKUP(B307,Disk_Pivot!G:G,Disk_Pivot!I:I)</f>
        <v>Yes x2</v>
      </c>
      <c r="U307" t="str">
        <f>_xlfn.XLOOKUP(B307,Disk_Pivot!G:G,Disk_Pivot!N:N)</f>
        <v>Pass, Fail</v>
      </c>
      <c r="V307" t="str">
        <f>IF(U307="Fail",MacReports!N307,"")</f>
        <v/>
      </c>
      <c r="AB307" t="str">
        <f t="shared" si="12"/>
        <v/>
      </c>
    </row>
    <row r="308" spans="1:28">
      <c r="A308">
        <f>MacReports!A308</f>
        <v>0</v>
      </c>
      <c r="B308">
        <f>MacReports!B308</f>
        <v>0</v>
      </c>
      <c r="C308">
        <f>MacReports!C308</f>
        <v>0</v>
      </c>
      <c r="E308" t="e">
        <f>_xlfn.XLOOKUP(G308,Models!A:A,Models!F:F)</f>
        <v>#N/A</v>
      </c>
      <c r="F308" t="str">
        <f>_xlfn.XLOOKUP(B308,MacReports!B:B,MacReports!D:D,"")</f>
        <v/>
      </c>
      <c r="G308" s="13">
        <f>MacReports!E308</f>
        <v>0</v>
      </c>
      <c r="H308" t="e">
        <f>_xlfn.XLOOKUP(G308,Models!A:A,Models!B:B)</f>
        <v>#N/A</v>
      </c>
      <c r="I308" t="e">
        <f>_xlfn.XLOOKUP(G308,Models!A:A,Models!E:E)</f>
        <v>#N/A</v>
      </c>
      <c r="J308" t="e">
        <f>_xlfn.XLOOKUP(G308,Models!A:A,Models!D:D)</f>
        <v>#N/A</v>
      </c>
      <c r="K308">
        <f>MacReports!F308</f>
        <v>0</v>
      </c>
      <c r="L308">
        <f>MacReports!G308</f>
        <v>0</v>
      </c>
      <c r="M308" s="15" t="e" cm="1">
        <f t="array" ref="M308">--_xlfn.LET(
    _xlpm.txt, MacReports!H308,
    _xlpm.chars, MID(_xlpm.txt, _xlfn.SEQUENCE(LEN(_xlpm.txt)), 1),
    _xlfn.TEXTJOIN("", TRUE, IF(ISNUMBER(--_xlpm.chars), _xlpm.chars, ""))
)</f>
        <v>#VALUE!</v>
      </c>
      <c r="N308" s="16" t="str" cm="1">
        <f t="array" ref="N308">_xlfn.IFS(
   --MacReports!M308&lt;55,"Battery Defect",
  -- MacReports!M308&lt;=69,"Battery D",
  --MacReports!M308&lt;=80,"Battery C",
 --MacReports!M308&gt;80,""
)</f>
        <v>Battery Defect</v>
      </c>
      <c r="O308" s="16" t="str">
        <f>IF(MacReports!I308="Service","Battery Service","")</f>
        <v/>
      </c>
      <c r="P308" s="13">
        <f>MacReports!P308</f>
        <v>0</v>
      </c>
      <c r="Q308" s="13" t="str">
        <f>IF(MacReports!J308="Enabled","Apple ID Lock","")</f>
        <v/>
      </c>
      <c r="R308" s="13" t="str">
        <f>IF(MacReports!L308="y","Remote Locked","")</f>
        <v/>
      </c>
      <c r="S308" t="str">
        <f t="shared" si="11"/>
        <v>Battery Defect, 0</v>
      </c>
      <c r="T308" t="str">
        <f>_xlfn.XLOOKUP(B308,Disk_Pivot!G:G,Disk_Pivot!I:I)</f>
        <v>Yes x2</v>
      </c>
      <c r="U308" t="str">
        <f>_xlfn.XLOOKUP(B308,Disk_Pivot!G:G,Disk_Pivot!N:N)</f>
        <v>Pass, Fail</v>
      </c>
      <c r="V308" t="str">
        <f>IF(U308="Fail",MacReports!N308,"")</f>
        <v/>
      </c>
      <c r="AB308" t="str">
        <f t="shared" si="12"/>
        <v/>
      </c>
    </row>
    <row r="309" spans="1:28">
      <c r="A309">
        <f>MacReports!A309</f>
        <v>0</v>
      </c>
      <c r="B309">
        <f>MacReports!B309</f>
        <v>0</v>
      </c>
      <c r="C309">
        <f>MacReports!C309</f>
        <v>0</v>
      </c>
      <c r="E309" t="e">
        <f>_xlfn.XLOOKUP(G309,Models!A:A,Models!F:F)</f>
        <v>#N/A</v>
      </c>
      <c r="F309" t="str">
        <f>_xlfn.XLOOKUP(B309,MacReports!B:B,MacReports!D:D,"")</f>
        <v/>
      </c>
      <c r="G309" s="13">
        <f>MacReports!E309</f>
        <v>0</v>
      </c>
      <c r="H309" t="e">
        <f>_xlfn.XLOOKUP(G309,Models!A:A,Models!B:B)</f>
        <v>#N/A</v>
      </c>
      <c r="I309" t="e">
        <f>_xlfn.XLOOKUP(G309,Models!A:A,Models!E:E)</f>
        <v>#N/A</v>
      </c>
      <c r="J309" t="e">
        <f>_xlfn.XLOOKUP(G309,Models!A:A,Models!D:D)</f>
        <v>#N/A</v>
      </c>
      <c r="K309">
        <f>MacReports!F309</f>
        <v>0</v>
      </c>
      <c r="L309">
        <f>MacReports!G309</f>
        <v>0</v>
      </c>
      <c r="M309" s="15" t="e" cm="1">
        <f t="array" ref="M309">--_xlfn.LET(
    _xlpm.txt, MacReports!H309,
    _xlpm.chars, MID(_xlpm.txt, _xlfn.SEQUENCE(LEN(_xlpm.txt)), 1),
    _xlfn.TEXTJOIN("", TRUE, IF(ISNUMBER(--_xlpm.chars), _xlpm.chars, ""))
)</f>
        <v>#VALUE!</v>
      </c>
      <c r="N309" s="16" t="str" cm="1">
        <f t="array" ref="N309">_xlfn.IFS(
   --MacReports!M309&lt;55,"Battery Defect",
  -- MacReports!M309&lt;=69,"Battery D",
  --MacReports!M309&lt;=80,"Battery C",
 --MacReports!M309&gt;80,""
)</f>
        <v>Battery Defect</v>
      </c>
      <c r="O309" s="16" t="str">
        <f>IF(MacReports!I309="Service","Battery Service","")</f>
        <v/>
      </c>
      <c r="P309" s="13">
        <f>MacReports!P309</f>
        <v>0</v>
      </c>
      <c r="Q309" s="13" t="str">
        <f>IF(MacReports!J309="Enabled","Apple ID Lock","")</f>
        <v/>
      </c>
      <c r="R309" s="13" t="str">
        <f>IF(MacReports!L309="y","Remote Locked","")</f>
        <v/>
      </c>
      <c r="S309" t="str">
        <f t="shared" si="11"/>
        <v>Battery Defect, 0</v>
      </c>
      <c r="T309" t="str">
        <f>_xlfn.XLOOKUP(B309,Disk_Pivot!G:G,Disk_Pivot!I:I)</f>
        <v>Yes x2</v>
      </c>
      <c r="U309" t="str">
        <f>_xlfn.XLOOKUP(B309,Disk_Pivot!G:G,Disk_Pivot!N:N)</f>
        <v>Pass, Fail</v>
      </c>
      <c r="V309" t="str">
        <f>IF(U309="Fail",MacReports!N309,"")</f>
        <v/>
      </c>
      <c r="AB309" t="str">
        <f t="shared" si="12"/>
        <v/>
      </c>
    </row>
    <row r="310" spans="1:28">
      <c r="A310">
        <f>MacReports!A310</f>
        <v>0</v>
      </c>
      <c r="B310">
        <f>MacReports!B310</f>
        <v>0</v>
      </c>
      <c r="C310">
        <f>MacReports!C310</f>
        <v>0</v>
      </c>
      <c r="E310" t="e">
        <f>_xlfn.XLOOKUP(G310,Models!A:A,Models!F:F)</f>
        <v>#N/A</v>
      </c>
      <c r="F310" t="str">
        <f>_xlfn.XLOOKUP(B310,MacReports!B:B,MacReports!D:D,"")</f>
        <v/>
      </c>
      <c r="G310" s="13">
        <f>MacReports!E310</f>
        <v>0</v>
      </c>
      <c r="H310" t="e">
        <f>_xlfn.XLOOKUP(G310,Models!A:A,Models!B:B)</f>
        <v>#N/A</v>
      </c>
      <c r="I310" t="e">
        <f>_xlfn.XLOOKUP(G310,Models!A:A,Models!E:E)</f>
        <v>#N/A</v>
      </c>
      <c r="J310" t="e">
        <f>_xlfn.XLOOKUP(G310,Models!A:A,Models!D:D)</f>
        <v>#N/A</v>
      </c>
      <c r="K310">
        <f>MacReports!F310</f>
        <v>0</v>
      </c>
      <c r="L310">
        <f>MacReports!G310</f>
        <v>0</v>
      </c>
      <c r="M310" s="15" t="e" cm="1">
        <f t="array" ref="M310">--_xlfn.LET(
    _xlpm.txt, MacReports!H310,
    _xlpm.chars, MID(_xlpm.txt, _xlfn.SEQUENCE(LEN(_xlpm.txt)), 1),
    _xlfn.TEXTJOIN("", TRUE, IF(ISNUMBER(--_xlpm.chars), _xlpm.chars, ""))
)</f>
        <v>#VALUE!</v>
      </c>
      <c r="N310" s="16" t="str" cm="1">
        <f t="array" ref="N310">_xlfn.IFS(
   --MacReports!M310&lt;55,"Battery Defect",
  -- MacReports!M310&lt;=69,"Battery D",
  --MacReports!M310&lt;=80,"Battery C",
 --MacReports!M310&gt;80,""
)</f>
        <v>Battery Defect</v>
      </c>
      <c r="O310" s="16" t="str">
        <f>IF(MacReports!I310="Service","Battery Service","")</f>
        <v/>
      </c>
      <c r="P310" s="13">
        <f>MacReports!P310</f>
        <v>0</v>
      </c>
      <c r="Q310" s="13" t="str">
        <f>IF(MacReports!J310="Enabled","Apple ID Lock","")</f>
        <v/>
      </c>
      <c r="R310" s="13" t="str">
        <f>IF(MacReports!L310="y","Remote Locked","")</f>
        <v/>
      </c>
      <c r="S310" t="str">
        <f t="shared" si="11"/>
        <v>Battery Defect, 0</v>
      </c>
      <c r="T310" t="str">
        <f>_xlfn.XLOOKUP(B310,Disk_Pivot!G:G,Disk_Pivot!I:I)</f>
        <v>Yes x2</v>
      </c>
      <c r="U310" t="str">
        <f>_xlfn.XLOOKUP(B310,Disk_Pivot!G:G,Disk_Pivot!N:N)</f>
        <v>Pass, Fail</v>
      </c>
      <c r="V310" t="str">
        <f>IF(U310="Fail",MacReports!N310,"")</f>
        <v/>
      </c>
      <c r="AB310" t="str">
        <f t="shared" si="12"/>
        <v/>
      </c>
    </row>
    <row r="311" spans="1:28">
      <c r="A311">
        <f>MacReports!A311</f>
        <v>0</v>
      </c>
      <c r="B311">
        <f>MacReports!B311</f>
        <v>0</v>
      </c>
      <c r="C311">
        <f>MacReports!C311</f>
        <v>0</v>
      </c>
      <c r="E311" t="e">
        <f>_xlfn.XLOOKUP(G311,Models!A:A,Models!F:F)</f>
        <v>#N/A</v>
      </c>
      <c r="F311" t="str">
        <f>_xlfn.XLOOKUP(B311,MacReports!B:B,MacReports!D:D,"")</f>
        <v/>
      </c>
      <c r="G311" s="13">
        <f>MacReports!E311</f>
        <v>0</v>
      </c>
      <c r="H311" t="e">
        <f>_xlfn.XLOOKUP(G311,Models!A:A,Models!B:B)</f>
        <v>#N/A</v>
      </c>
      <c r="I311" t="e">
        <f>_xlfn.XLOOKUP(G311,Models!A:A,Models!E:E)</f>
        <v>#N/A</v>
      </c>
      <c r="J311" t="e">
        <f>_xlfn.XLOOKUP(G311,Models!A:A,Models!D:D)</f>
        <v>#N/A</v>
      </c>
      <c r="K311">
        <f>MacReports!F311</f>
        <v>0</v>
      </c>
      <c r="L311">
        <f>MacReports!G311</f>
        <v>0</v>
      </c>
      <c r="M311" s="15" t="e" cm="1">
        <f t="array" ref="M311">--_xlfn.LET(
    _xlpm.txt, MacReports!H311,
    _xlpm.chars, MID(_xlpm.txt, _xlfn.SEQUENCE(LEN(_xlpm.txt)), 1),
    _xlfn.TEXTJOIN("", TRUE, IF(ISNUMBER(--_xlpm.chars), _xlpm.chars, ""))
)</f>
        <v>#VALUE!</v>
      </c>
      <c r="N311" s="16" t="str" cm="1">
        <f t="array" ref="N311">_xlfn.IFS(
   --MacReports!M311&lt;55,"Battery Defect",
  -- MacReports!M311&lt;=69,"Battery D",
  --MacReports!M311&lt;=80,"Battery C",
 --MacReports!M311&gt;80,""
)</f>
        <v>Battery Defect</v>
      </c>
      <c r="O311" s="16" t="str">
        <f>IF(MacReports!I311="Service","Battery Service","")</f>
        <v/>
      </c>
      <c r="P311" s="13">
        <f>MacReports!P311</f>
        <v>0</v>
      </c>
      <c r="Q311" s="13" t="str">
        <f>IF(MacReports!J311="Enabled","Apple ID Lock","")</f>
        <v/>
      </c>
      <c r="R311" s="13" t="str">
        <f>IF(MacReports!L311="y","Remote Locked","")</f>
        <v/>
      </c>
      <c r="S311" t="str">
        <f t="shared" si="11"/>
        <v>Battery Defect, 0</v>
      </c>
      <c r="T311" t="str">
        <f>_xlfn.XLOOKUP(B311,Disk_Pivot!G:G,Disk_Pivot!I:I)</f>
        <v>Yes x2</v>
      </c>
      <c r="U311" t="str">
        <f>_xlfn.XLOOKUP(B311,Disk_Pivot!G:G,Disk_Pivot!N:N)</f>
        <v>Pass, Fail</v>
      </c>
      <c r="V311" t="str">
        <f>IF(U311="Fail",MacReports!N311,"")</f>
        <v/>
      </c>
      <c r="AB311" t="str">
        <f t="shared" si="12"/>
        <v/>
      </c>
    </row>
    <row r="312" spans="1:28">
      <c r="A312">
        <f>MacReports!A312</f>
        <v>0</v>
      </c>
      <c r="B312">
        <f>MacReports!B312</f>
        <v>0</v>
      </c>
      <c r="C312">
        <f>MacReports!C312</f>
        <v>0</v>
      </c>
      <c r="E312" t="e">
        <f>_xlfn.XLOOKUP(G312,Models!A:A,Models!F:F)</f>
        <v>#N/A</v>
      </c>
      <c r="F312" t="str">
        <f>_xlfn.XLOOKUP(B312,MacReports!B:B,MacReports!D:D,"")</f>
        <v/>
      </c>
      <c r="G312" s="13">
        <f>MacReports!E312</f>
        <v>0</v>
      </c>
      <c r="H312" t="e">
        <f>_xlfn.XLOOKUP(G312,Models!A:A,Models!B:B)</f>
        <v>#N/A</v>
      </c>
      <c r="I312" t="e">
        <f>_xlfn.XLOOKUP(G312,Models!A:A,Models!E:E)</f>
        <v>#N/A</v>
      </c>
      <c r="J312" t="e">
        <f>_xlfn.XLOOKUP(G312,Models!A:A,Models!D:D)</f>
        <v>#N/A</v>
      </c>
      <c r="K312">
        <f>MacReports!F312</f>
        <v>0</v>
      </c>
      <c r="L312">
        <f>MacReports!G312</f>
        <v>0</v>
      </c>
      <c r="M312" s="15" t="e" cm="1">
        <f t="array" ref="M312">--_xlfn.LET(
    _xlpm.txt, MacReports!H312,
    _xlpm.chars, MID(_xlpm.txt, _xlfn.SEQUENCE(LEN(_xlpm.txt)), 1),
    _xlfn.TEXTJOIN("", TRUE, IF(ISNUMBER(--_xlpm.chars), _xlpm.chars, ""))
)</f>
        <v>#VALUE!</v>
      </c>
      <c r="N312" s="16" t="str" cm="1">
        <f t="array" ref="N312">_xlfn.IFS(
   --MacReports!M312&lt;55,"Battery Defect",
  -- MacReports!M312&lt;=69,"Battery D",
  --MacReports!M312&lt;=80,"Battery C",
 --MacReports!M312&gt;80,""
)</f>
        <v>Battery Defect</v>
      </c>
      <c r="O312" s="16" t="str">
        <f>IF(MacReports!I312="Service","Battery Service","")</f>
        <v/>
      </c>
      <c r="P312" s="13">
        <f>MacReports!P312</f>
        <v>0</v>
      </c>
      <c r="Q312" s="13" t="str">
        <f>IF(MacReports!J312="Enabled","Apple ID Lock","")</f>
        <v/>
      </c>
      <c r="R312" s="13" t="str">
        <f>IF(MacReports!L312="y","Remote Locked","")</f>
        <v/>
      </c>
      <c r="S312" t="str">
        <f t="shared" si="11"/>
        <v>Battery Defect, 0</v>
      </c>
      <c r="T312" t="str">
        <f>_xlfn.XLOOKUP(B312,Disk_Pivot!G:G,Disk_Pivot!I:I)</f>
        <v>Yes x2</v>
      </c>
      <c r="U312" t="str">
        <f>_xlfn.XLOOKUP(B312,Disk_Pivot!G:G,Disk_Pivot!N:N)</f>
        <v>Pass, Fail</v>
      </c>
      <c r="V312" t="str">
        <f>IF(U312="Fail",MacReports!N312,"")</f>
        <v/>
      </c>
      <c r="AB312" t="str">
        <f t="shared" si="12"/>
        <v/>
      </c>
    </row>
    <row r="313" spans="1:28">
      <c r="A313">
        <f>MacReports!A313</f>
        <v>0</v>
      </c>
      <c r="B313">
        <f>MacReports!B313</f>
        <v>0</v>
      </c>
      <c r="C313">
        <f>MacReports!C313</f>
        <v>0</v>
      </c>
      <c r="E313" t="e">
        <f>_xlfn.XLOOKUP(G313,Models!A:A,Models!F:F)</f>
        <v>#N/A</v>
      </c>
      <c r="F313" t="str">
        <f>_xlfn.XLOOKUP(B313,MacReports!B:B,MacReports!D:D,"")</f>
        <v/>
      </c>
      <c r="G313" s="13">
        <f>MacReports!E313</f>
        <v>0</v>
      </c>
      <c r="H313" t="e">
        <f>_xlfn.XLOOKUP(G313,Models!A:A,Models!B:B)</f>
        <v>#N/A</v>
      </c>
      <c r="I313" t="e">
        <f>_xlfn.XLOOKUP(G313,Models!A:A,Models!E:E)</f>
        <v>#N/A</v>
      </c>
      <c r="J313" t="e">
        <f>_xlfn.XLOOKUP(G313,Models!A:A,Models!D:D)</f>
        <v>#N/A</v>
      </c>
      <c r="K313">
        <f>MacReports!F313</f>
        <v>0</v>
      </c>
      <c r="L313">
        <f>MacReports!G313</f>
        <v>0</v>
      </c>
      <c r="M313" s="15" t="e" cm="1">
        <f t="array" ref="M313">--_xlfn.LET(
    _xlpm.txt, MacReports!H313,
    _xlpm.chars, MID(_xlpm.txt, _xlfn.SEQUENCE(LEN(_xlpm.txt)), 1),
    _xlfn.TEXTJOIN("", TRUE, IF(ISNUMBER(--_xlpm.chars), _xlpm.chars, ""))
)</f>
        <v>#VALUE!</v>
      </c>
      <c r="N313" s="16" t="str" cm="1">
        <f t="array" ref="N313">_xlfn.IFS(
   --MacReports!M313&lt;55,"Battery Defect",
  -- MacReports!M313&lt;=69,"Battery D",
  --MacReports!M313&lt;=80,"Battery C",
 --MacReports!M313&gt;80,""
)</f>
        <v>Battery Defect</v>
      </c>
      <c r="O313" s="16" t="str">
        <f>IF(MacReports!I313="Service","Battery Service","")</f>
        <v/>
      </c>
      <c r="P313" s="13">
        <f>MacReports!P313</f>
        <v>0</v>
      </c>
      <c r="Q313" s="13" t="str">
        <f>IF(MacReports!J313="Enabled","Apple ID Lock","")</f>
        <v/>
      </c>
      <c r="R313" s="13" t="str">
        <f>IF(MacReports!L313="y","Remote Locked","")</f>
        <v/>
      </c>
      <c r="S313" t="str">
        <f t="shared" si="11"/>
        <v>Battery Defect, 0</v>
      </c>
      <c r="T313" t="str">
        <f>_xlfn.XLOOKUP(B313,Disk_Pivot!G:G,Disk_Pivot!I:I)</f>
        <v>Yes x2</v>
      </c>
      <c r="U313" t="str">
        <f>_xlfn.XLOOKUP(B313,Disk_Pivot!G:G,Disk_Pivot!N:N)</f>
        <v>Pass, Fail</v>
      </c>
      <c r="V313" t="str">
        <f>IF(U313="Fail",MacReports!N313,"")</f>
        <v/>
      </c>
      <c r="AB313" t="str">
        <f t="shared" si="12"/>
        <v/>
      </c>
    </row>
    <row r="314" spans="1:28">
      <c r="A314">
        <f>MacReports!A314</f>
        <v>0</v>
      </c>
      <c r="B314">
        <f>MacReports!B314</f>
        <v>0</v>
      </c>
      <c r="C314">
        <f>MacReports!C314</f>
        <v>0</v>
      </c>
      <c r="E314" t="e">
        <f>_xlfn.XLOOKUP(G314,Models!A:A,Models!F:F)</f>
        <v>#N/A</v>
      </c>
      <c r="F314" t="str">
        <f>_xlfn.XLOOKUP(B314,MacReports!B:B,MacReports!D:D,"")</f>
        <v/>
      </c>
      <c r="G314" s="13">
        <f>MacReports!E314</f>
        <v>0</v>
      </c>
      <c r="H314" t="e">
        <f>_xlfn.XLOOKUP(G314,Models!A:A,Models!B:B)</f>
        <v>#N/A</v>
      </c>
      <c r="I314" t="e">
        <f>_xlfn.XLOOKUP(G314,Models!A:A,Models!E:E)</f>
        <v>#N/A</v>
      </c>
      <c r="J314" t="e">
        <f>_xlfn.XLOOKUP(G314,Models!A:A,Models!D:D)</f>
        <v>#N/A</v>
      </c>
      <c r="K314">
        <f>MacReports!F314</f>
        <v>0</v>
      </c>
      <c r="L314">
        <f>MacReports!G314</f>
        <v>0</v>
      </c>
      <c r="M314" s="15" t="e" cm="1">
        <f t="array" ref="M314">--_xlfn.LET(
    _xlpm.txt, MacReports!H314,
    _xlpm.chars, MID(_xlpm.txt, _xlfn.SEQUENCE(LEN(_xlpm.txt)), 1),
    _xlfn.TEXTJOIN("", TRUE, IF(ISNUMBER(--_xlpm.chars), _xlpm.chars, ""))
)</f>
        <v>#VALUE!</v>
      </c>
      <c r="N314" s="16" t="str" cm="1">
        <f t="array" ref="N314">_xlfn.IFS(
   --MacReports!M314&lt;55,"Battery Defect",
  -- MacReports!M314&lt;=69,"Battery D",
  --MacReports!M314&lt;=80,"Battery C",
 --MacReports!M314&gt;80,""
)</f>
        <v>Battery Defect</v>
      </c>
      <c r="O314" s="16" t="str">
        <f>IF(MacReports!I314="Service","Battery Service","")</f>
        <v/>
      </c>
      <c r="P314" s="13">
        <f>MacReports!P314</f>
        <v>0</v>
      </c>
      <c r="Q314" s="13" t="str">
        <f>IF(MacReports!J314="Enabled","Apple ID Lock","")</f>
        <v/>
      </c>
      <c r="R314" s="13" t="str">
        <f>IF(MacReports!L314="y","Remote Locked","")</f>
        <v/>
      </c>
      <c r="S314" t="str">
        <f t="shared" si="11"/>
        <v>Battery Defect, 0</v>
      </c>
      <c r="T314" t="str">
        <f>_xlfn.XLOOKUP(B314,Disk_Pivot!G:G,Disk_Pivot!I:I)</f>
        <v>Yes x2</v>
      </c>
      <c r="U314" t="str">
        <f>_xlfn.XLOOKUP(B314,Disk_Pivot!G:G,Disk_Pivot!N:N)</f>
        <v>Pass, Fail</v>
      </c>
      <c r="V314" t="str">
        <f>IF(U314="Fail",MacReports!N314,"")</f>
        <v/>
      </c>
      <c r="AB314" t="str">
        <f t="shared" si="12"/>
        <v/>
      </c>
    </row>
    <row r="315" spans="1:28">
      <c r="A315">
        <f>MacReports!A315</f>
        <v>0</v>
      </c>
      <c r="B315">
        <f>MacReports!B315</f>
        <v>0</v>
      </c>
      <c r="C315">
        <f>MacReports!C315</f>
        <v>0</v>
      </c>
      <c r="E315" t="e">
        <f>_xlfn.XLOOKUP(G315,Models!A:A,Models!F:F)</f>
        <v>#N/A</v>
      </c>
      <c r="F315" t="str">
        <f>_xlfn.XLOOKUP(B315,MacReports!B:B,MacReports!D:D,"")</f>
        <v/>
      </c>
      <c r="G315" s="13">
        <f>MacReports!E315</f>
        <v>0</v>
      </c>
      <c r="H315" t="e">
        <f>_xlfn.XLOOKUP(G315,Models!A:A,Models!B:B)</f>
        <v>#N/A</v>
      </c>
      <c r="I315" t="e">
        <f>_xlfn.XLOOKUP(G315,Models!A:A,Models!E:E)</f>
        <v>#N/A</v>
      </c>
      <c r="J315" t="e">
        <f>_xlfn.XLOOKUP(G315,Models!A:A,Models!D:D)</f>
        <v>#N/A</v>
      </c>
      <c r="K315">
        <f>MacReports!F315</f>
        <v>0</v>
      </c>
      <c r="L315">
        <f>MacReports!G315</f>
        <v>0</v>
      </c>
      <c r="M315" s="15" t="e" cm="1">
        <f t="array" ref="M315">--_xlfn.LET(
    _xlpm.txt, MacReports!H315,
    _xlpm.chars, MID(_xlpm.txt, _xlfn.SEQUENCE(LEN(_xlpm.txt)), 1),
    _xlfn.TEXTJOIN("", TRUE, IF(ISNUMBER(--_xlpm.chars), _xlpm.chars, ""))
)</f>
        <v>#VALUE!</v>
      </c>
      <c r="N315" s="16" t="str" cm="1">
        <f t="array" ref="N315">_xlfn.IFS(
   --MacReports!M315&lt;55,"Battery Defect",
  -- MacReports!M315&lt;=69,"Battery D",
  --MacReports!M315&lt;=80,"Battery C",
 --MacReports!M315&gt;80,""
)</f>
        <v>Battery Defect</v>
      </c>
      <c r="O315" s="16" t="str">
        <f>IF(MacReports!I315="Service","Battery Service","")</f>
        <v/>
      </c>
      <c r="P315" s="13">
        <f>MacReports!P315</f>
        <v>0</v>
      </c>
      <c r="Q315" s="13" t="str">
        <f>IF(MacReports!J315="Enabled","Apple ID Lock","")</f>
        <v/>
      </c>
      <c r="R315" s="13" t="str">
        <f>IF(MacReports!L315="y","Remote Locked","")</f>
        <v/>
      </c>
      <c r="S315" t="str">
        <f t="shared" si="11"/>
        <v>Battery Defect, 0</v>
      </c>
      <c r="T315" t="str">
        <f>_xlfn.XLOOKUP(B315,Disk_Pivot!G:G,Disk_Pivot!I:I)</f>
        <v>Yes x2</v>
      </c>
      <c r="U315" t="str">
        <f>_xlfn.XLOOKUP(B315,Disk_Pivot!G:G,Disk_Pivot!N:N)</f>
        <v>Pass, Fail</v>
      </c>
      <c r="V315" t="str">
        <f>IF(U315="Fail",MacReports!N315,"")</f>
        <v/>
      </c>
      <c r="AB315" t="str">
        <f t="shared" si="12"/>
        <v/>
      </c>
    </row>
    <row r="316" spans="1:28">
      <c r="A316">
        <f>MacReports!A316</f>
        <v>0</v>
      </c>
      <c r="B316">
        <f>MacReports!B316</f>
        <v>0</v>
      </c>
      <c r="C316">
        <f>MacReports!C316</f>
        <v>0</v>
      </c>
      <c r="E316" t="e">
        <f>_xlfn.XLOOKUP(G316,Models!A:A,Models!F:F)</f>
        <v>#N/A</v>
      </c>
      <c r="F316" t="str">
        <f>_xlfn.XLOOKUP(B316,MacReports!B:B,MacReports!D:D,"")</f>
        <v/>
      </c>
      <c r="G316" s="13">
        <f>MacReports!E316</f>
        <v>0</v>
      </c>
      <c r="H316" t="e">
        <f>_xlfn.XLOOKUP(G316,Models!A:A,Models!B:B)</f>
        <v>#N/A</v>
      </c>
      <c r="I316" t="e">
        <f>_xlfn.XLOOKUP(G316,Models!A:A,Models!E:E)</f>
        <v>#N/A</v>
      </c>
      <c r="J316" t="e">
        <f>_xlfn.XLOOKUP(G316,Models!A:A,Models!D:D)</f>
        <v>#N/A</v>
      </c>
      <c r="K316">
        <f>MacReports!F316</f>
        <v>0</v>
      </c>
      <c r="L316">
        <f>MacReports!G316</f>
        <v>0</v>
      </c>
      <c r="M316" s="15" t="e" cm="1">
        <f t="array" ref="M316">--_xlfn.LET(
    _xlpm.txt, MacReports!H316,
    _xlpm.chars, MID(_xlpm.txt, _xlfn.SEQUENCE(LEN(_xlpm.txt)), 1),
    _xlfn.TEXTJOIN("", TRUE, IF(ISNUMBER(--_xlpm.chars), _xlpm.chars, ""))
)</f>
        <v>#VALUE!</v>
      </c>
      <c r="N316" s="16" t="str" cm="1">
        <f t="array" ref="N316">_xlfn.IFS(
   --MacReports!M316&lt;55,"Battery Defect",
  -- MacReports!M316&lt;=69,"Battery D",
  --MacReports!M316&lt;=80,"Battery C",
 --MacReports!M316&gt;80,""
)</f>
        <v>Battery Defect</v>
      </c>
      <c r="O316" s="16" t="str">
        <f>IF(MacReports!I316="Service","Battery Service","")</f>
        <v/>
      </c>
      <c r="P316" s="13">
        <f>MacReports!P316</f>
        <v>0</v>
      </c>
      <c r="Q316" s="13" t="str">
        <f>IF(MacReports!J316="Enabled","Apple ID Lock","")</f>
        <v/>
      </c>
      <c r="R316" s="13" t="str">
        <f>IF(MacReports!L316="y","Remote Locked","")</f>
        <v/>
      </c>
      <c r="S316" t="str">
        <f t="shared" si="11"/>
        <v>Battery Defect, 0</v>
      </c>
      <c r="T316" t="str">
        <f>_xlfn.XLOOKUP(B316,Disk_Pivot!G:G,Disk_Pivot!I:I)</f>
        <v>Yes x2</v>
      </c>
      <c r="U316" t="str">
        <f>_xlfn.XLOOKUP(B316,Disk_Pivot!G:G,Disk_Pivot!N:N)</f>
        <v>Pass, Fail</v>
      </c>
      <c r="V316" t="str">
        <f>IF(U316="Fail",MacReports!N316,"")</f>
        <v/>
      </c>
      <c r="AB316" t="str">
        <f t="shared" si="12"/>
        <v/>
      </c>
    </row>
    <row r="317" spans="1:28">
      <c r="A317">
        <f>MacReports!A317</f>
        <v>0</v>
      </c>
      <c r="B317">
        <f>MacReports!B317</f>
        <v>0</v>
      </c>
      <c r="C317">
        <f>MacReports!C317</f>
        <v>0</v>
      </c>
      <c r="E317" t="e">
        <f>_xlfn.XLOOKUP(G317,Models!A:A,Models!F:F)</f>
        <v>#N/A</v>
      </c>
      <c r="F317" t="str">
        <f>_xlfn.XLOOKUP(B317,MacReports!B:B,MacReports!D:D,"")</f>
        <v/>
      </c>
      <c r="G317" s="13">
        <f>MacReports!E317</f>
        <v>0</v>
      </c>
      <c r="H317" t="e">
        <f>_xlfn.XLOOKUP(G317,Models!A:A,Models!B:B)</f>
        <v>#N/A</v>
      </c>
      <c r="I317" t="e">
        <f>_xlfn.XLOOKUP(G317,Models!A:A,Models!E:E)</f>
        <v>#N/A</v>
      </c>
      <c r="J317" t="e">
        <f>_xlfn.XLOOKUP(G317,Models!A:A,Models!D:D)</f>
        <v>#N/A</v>
      </c>
      <c r="K317">
        <f>MacReports!F317</f>
        <v>0</v>
      </c>
      <c r="L317">
        <f>MacReports!G317</f>
        <v>0</v>
      </c>
      <c r="M317" s="15" t="e" cm="1">
        <f t="array" ref="M317">--_xlfn.LET(
    _xlpm.txt, MacReports!H317,
    _xlpm.chars, MID(_xlpm.txt, _xlfn.SEQUENCE(LEN(_xlpm.txt)), 1),
    _xlfn.TEXTJOIN("", TRUE, IF(ISNUMBER(--_xlpm.chars), _xlpm.chars, ""))
)</f>
        <v>#VALUE!</v>
      </c>
      <c r="N317" s="16" t="str" cm="1">
        <f t="array" ref="N317">_xlfn.IFS(
   --MacReports!M317&lt;55,"Battery Defect",
  -- MacReports!M317&lt;=69,"Battery D",
  --MacReports!M317&lt;=80,"Battery C",
 --MacReports!M317&gt;80,""
)</f>
        <v>Battery Defect</v>
      </c>
      <c r="O317" s="16" t="str">
        <f>IF(MacReports!I317="Service","Battery Service","")</f>
        <v/>
      </c>
      <c r="P317" s="13">
        <f>MacReports!P317</f>
        <v>0</v>
      </c>
      <c r="Q317" s="13" t="str">
        <f>IF(MacReports!J317="Enabled","Apple ID Lock","")</f>
        <v/>
      </c>
      <c r="R317" s="13" t="str">
        <f>IF(MacReports!L317="y","Remote Locked","")</f>
        <v/>
      </c>
      <c r="S317" t="str">
        <f t="shared" si="11"/>
        <v>Battery Defect, 0</v>
      </c>
      <c r="T317" t="str">
        <f>_xlfn.XLOOKUP(B317,Disk_Pivot!G:G,Disk_Pivot!I:I)</f>
        <v>Yes x2</v>
      </c>
      <c r="U317" t="str">
        <f>_xlfn.XLOOKUP(B317,Disk_Pivot!G:G,Disk_Pivot!N:N)</f>
        <v>Pass, Fail</v>
      </c>
      <c r="V317" t="str">
        <f>IF(U317="Fail",MacReports!N317,"")</f>
        <v/>
      </c>
      <c r="AB317" t="str">
        <f t="shared" si="12"/>
        <v/>
      </c>
    </row>
    <row r="318" spans="1:28">
      <c r="A318">
        <f>MacReports!A318</f>
        <v>0</v>
      </c>
      <c r="B318">
        <f>MacReports!B318</f>
        <v>0</v>
      </c>
      <c r="C318">
        <f>MacReports!C318</f>
        <v>0</v>
      </c>
      <c r="E318" t="e">
        <f>_xlfn.XLOOKUP(G318,Models!A:A,Models!F:F)</f>
        <v>#N/A</v>
      </c>
      <c r="F318" t="str">
        <f>_xlfn.XLOOKUP(B318,MacReports!B:B,MacReports!D:D,"")</f>
        <v/>
      </c>
      <c r="G318" s="13">
        <f>MacReports!E318</f>
        <v>0</v>
      </c>
      <c r="H318" t="e">
        <f>_xlfn.XLOOKUP(G318,Models!A:A,Models!B:B)</f>
        <v>#N/A</v>
      </c>
      <c r="I318" t="e">
        <f>_xlfn.XLOOKUP(G318,Models!A:A,Models!E:E)</f>
        <v>#N/A</v>
      </c>
      <c r="J318" t="e">
        <f>_xlfn.XLOOKUP(G318,Models!A:A,Models!D:D)</f>
        <v>#N/A</v>
      </c>
      <c r="K318">
        <f>MacReports!F318</f>
        <v>0</v>
      </c>
      <c r="L318">
        <f>MacReports!G318</f>
        <v>0</v>
      </c>
      <c r="M318" s="15" t="e" cm="1">
        <f t="array" ref="M318">--_xlfn.LET(
    _xlpm.txt, MacReports!H318,
    _xlpm.chars, MID(_xlpm.txt, _xlfn.SEQUENCE(LEN(_xlpm.txt)), 1),
    _xlfn.TEXTJOIN("", TRUE, IF(ISNUMBER(--_xlpm.chars), _xlpm.chars, ""))
)</f>
        <v>#VALUE!</v>
      </c>
      <c r="N318" s="16" t="str" cm="1">
        <f t="array" ref="N318">_xlfn.IFS(
   --MacReports!M318&lt;55,"Battery Defect",
  -- MacReports!M318&lt;=69,"Battery D",
  --MacReports!M318&lt;=80,"Battery C",
 --MacReports!M318&gt;80,""
)</f>
        <v>Battery Defect</v>
      </c>
      <c r="O318" s="16" t="str">
        <f>IF(MacReports!I318="Service","Battery Service","")</f>
        <v/>
      </c>
      <c r="P318" s="13">
        <f>MacReports!P318</f>
        <v>0</v>
      </c>
      <c r="Q318" s="13" t="str">
        <f>IF(MacReports!J318="Enabled","Apple ID Lock","")</f>
        <v/>
      </c>
      <c r="R318" s="13" t="str">
        <f>IF(MacReports!L318="y","Remote Locked","")</f>
        <v/>
      </c>
      <c r="S318" t="str">
        <f t="shared" si="11"/>
        <v>Battery Defect, 0</v>
      </c>
      <c r="T318" t="str">
        <f>_xlfn.XLOOKUP(B318,Disk_Pivot!G:G,Disk_Pivot!I:I)</f>
        <v>Yes x2</v>
      </c>
      <c r="U318" t="str">
        <f>_xlfn.XLOOKUP(B318,Disk_Pivot!G:G,Disk_Pivot!N:N)</f>
        <v>Pass, Fail</v>
      </c>
      <c r="V318" t="str">
        <f>IF(U318="Fail",MacReports!N318,"")</f>
        <v/>
      </c>
      <c r="AB318" t="str">
        <f t="shared" si="12"/>
        <v/>
      </c>
    </row>
    <row r="319" spans="1:28">
      <c r="A319">
        <f>MacReports!A319</f>
        <v>0</v>
      </c>
      <c r="B319">
        <f>MacReports!B319</f>
        <v>0</v>
      </c>
      <c r="C319">
        <f>MacReports!C319</f>
        <v>0</v>
      </c>
      <c r="E319" t="e">
        <f>_xlfn.XLOOKUP(G319,Models!A:A,Models!F:F)</f>
        <v>#N/A</v>
      </c>
      <c r="F319" t="str">
        <f>_xlfn.XLOOKUP(B319,MacReports!B:B,MacReports!D:D,"")</f>
        <v/>
      </c>
      <c r="G319" s="13">
        <f>MacReports!E319</f>
        <v>0</v>
      </c>
      <c r="H319" t="e">
        <f>_xlfn.XLOOKUP(G319,Models!A:A,Models!B:B)</f>
        <v>#N/A</v>
      </c>
      <c r="I319" t="e">
        <f>_xlfn.XLOOKUP(G319,Models!A:A,Models!E:E)</f>
        <v>#N/A</v>
      </c>
      <c r="J319" t="e">
        <f>_xlfn.XLOOKUP(G319,Models!A:A,Models!D:D)</f>
        <v>#N/A</v>
      </c>
      <c r="K319">
        <f>MacReports!F319</f>
        <v>0</v>
      </c>
      <c r="L319">
        <f>MacReports!G319</f>
        <v>0</v>
      </c>
      <c r="M319" s="15" t="e" cm="1">
        <f t="array" ref="M319">--_xlfn.LET(
    _xlpm.txt, MacReports!H319,
    _xlpm.chars, MID(_xlpm.txt, _xlfn.SEQUENCE(LEN(_xlpm.txt)), 1),
    _xlfn.TEXTJOIN("", TRUE, IF(ISNUMBER(--_xlpm.chars), _xlpm.chars, ""))
)</f>
        <v>#VALUE!</v>
      </c>
      <c r="N319" s="16" t="str" cm="1">
        <f t="array" ref="N319">_xlfn.IFS(
   --MacReports!M319&lt;55,"Battery Defect",
  -- MacReports!M319&lt;=69,"Battery D",
  --MacReports!M319&lt;=80,"Battery C",
 --MacReports!M319&gt;80,""
)</f>
        <v>Battery Defect</v>
      </c>
      <c r="O319" s="16" t="str">
        <f>IF(MacReports!I319="Service","Battery Service","")</f>
        <v/>
      </c>
      <c r="P319" s="13">
        <f>MacReports!P319</f>
        <v>0</v>
      </c>
      <c r="Q319" s="13" t="str">
        <f>IF(MacReports!J319="Enabled","Apple ID Lock","")</f>
        <v/>
      </c>
      <c r="R319" s="13" t="str">
        <f>IF(MacReports!L319="y","Remote Locked","")</f>
        <v/>
      </c>
      <c r="S319" t="str">
        <f t="shared" si="11"/>
        <v>Battery Defect, 0</v>
      </c>
      <c r="T319" t="str">
        <f>_xlfn.XLOOKUP(B319,Disk_Pivot!G:G,Disk_Pivot!I:I)</f>
        <v>Yes x2</v>
      </c>
      <c r="U319" t="str">
        <f>_xlfn.XLOOKUP(B319,Disk_Pivot!G:G,Disk_Pivot!N:N)</f>
        <v>Pass, Fail</v>
      </c>
      <c r="V319" t="str">
        <f>IF(U319="Fail",MacReports!N319,"")</f>
        <v/>
      </c>
      <c r="AB319" t="str">
        <f t="shared" si="12"/>
        <v/>
      </c>
    </row>
    <row r="320" spans="1:28">
      <c r="A320">
        <f>MacReports!A320</f>
        <v>0</v>
      </c>
      <c r="B320">
        <f>MacReports!B320</f>
        <v>0</v>
      </c>
      <c r="C320">
        <f>MacReports!C320</f>
        <v>0</v>
      </c>
      <c r="E320" t="e">
        <f>_xlfn.XLOOKUP(G320,Models!A:A,Models!F:F)</f>
        <v>#N/A</v>
      </c>
      <c r="F320" t="str">
        <f>_xlfn.XLOOKUP(B320,MacReports!B:B,MacReports!D:D,"")</f>
        <v/>
      </c>
      <c r="G320" s="13">
        <f>MacReports!E320</f>
        <v>0</v>
      </c>
      <c r="H320" t="e">
        <f>_xlfn.XLOOKUP(G320,Models!A:A,Models!B:B)</f>
        <v>#N/A</v>
      </c>
      <c r="I320" t="e">
        <f>_xlfn.XLOOKUP(G320,Models!A:A,Models!E:E)</f>
        <v>#N/A</v>
      </c>
      <c r="J320" t="e">
        <f>_xlfn.XLOOKUP(G320,Models!A:A,Models!D:D)</f>
        <v>#N/A</v>
      </c>
      <c r="K320">
        <f>MacReports!F320</f>
        <v>0</v>
      </c>
      <c r="L320">
        <f>MacReports!G320</f>
        <v>0</v>
      </c>
      <c r="M320" s="15" t="e" cm="1">
        <f t="array" ref="M320">--_xlfn.LET(
    _xlpm.txt, MacReports!H320,
    _xlpm.chars, MID(_xlpm.txt, _xlfn.SEQUENCE(LEN(_xlpm.txt)), 1),
    _xlfn.TEXTJOIN("", TRUE, IF(ISNUMBER(--_xlpm.chars), _xlpm.chars, ""))
)</f>
        <v>#VALUE!</v>
      </c>
      <c r="N320" s="16" t="str" cm="1">
        <f t="array" ref="N320">_xlfn.IFS(
   --MacReports!M320&lt;55,"Battery Defect",
  -- MacReports!M320&lt;=69,"Battery D",
  --MacReports!M320&lt;=80,"Battery C",
 --MacReports!M320&gt;80,""
)</f>
        <v>Battery Defect</v>
      </c>
      <c r="O320" s="16" t="str">
        <f>IF(MacReports!I320="Service","Battery Service","")</f>
        <v/>
      </c>
      <c r="P320" s="13">
        <f>MacReports!P320</f>
        <v>0</v>
      </c>
      <c r="Q320" s="13" t="str">
        <f>IF(MacReports!J320="Enabled","Apple ID Lock","")</f>
        <v/>
      </c>
      <c r="R320" s="13" t="str">
        <f>IF(MacReports!L320="y","Remote Locked","")</f>
        <v/>
      </c>
      <c r="S320" t="str">
        <f t="shared" si="11"/>
        <v>Battery Defect, 0</v>
      </c>
      <c r="T320" t="str">
        <f>_xlfn.XLOOKUP(B320,Disk_Pivot!G:G,Disk_Pivot!I:I)</f>
        <v>Yes x2</v>
      </c>
      <c r="U320" t="str">
        <f>_xlfn.XLOOKUP(B320,Disk_Pivot!G:G,Disk_Pivot!N:N)</f>
        <v>Pass, Fail</v>
      </c>
      <c r="V320" t="str">
        <f>IF(U320="Fail",MacReports!N320,"")</f>
        <v/>
      </c>
      <c r="AB320" t="str">
        <f t="shared" si="12"/>
        <v/>
      </c>
    </row>
    <row r="321" spans="1:28">
      <c r="A321">
        <f>MacReports!A321</f>
        <v>0</v>
      </c>
      <c r="B321">
        <f>MacReports!B321</f>
        <v>0</v>
      </c>
      <c r="C321">
        <f>MacReports!C321</f>
        <v>0</v>
      </c>
      <c r="E321" t="e">
        <f>_xlfn.XLOOKUP(G321,Models!A:A,Models!F:F)</f>
        <v>#N/A</v>
      </c>
      <c r="F321" t="str">
        <f>_xlfn.XLOOKUP(B321,MacReports!B:B,MacReports!D:D,"")</f>
        <v/>
      </c>
      <c r="G321" s="13">
        <f>MacReports!E321</f>
        <v>0</v>
      </c>
      <c r="H321" t="e">
        <f>_xlfn.XLOOKUP(G321,Models!A:A,Models!B:B)</f>
        <v>#N/A</v>
      </c>
      <c r="I321" t="e">
        <f>_xlfn.XLOOKUP(G321,Models!A:A,Models!E:E)</f>
        <v>#N/A</v>
      </c>
      <c r="J321" t="e">
        <f>_xlfn.XLOOKUP(G321,Models!A:A,Models!D:D)</f>
        <v>#N/A</v>
      </c>
      <c r="K321">
        <f>MacReports!F321</f>
        <v>0</v>
      </c>
      <c r="L321">
        <f>MacReports!G321</f>
        <v>0</v>
      </c>
      <c r="M321" s="15" t="e" cm="1">
        <f t="array" ref="M321">--_xlfn.LET(
    _xlpm.txt, MacReports!H321,
    _xlpm.chars, MID(_xlpm.txt, _xlfn.SEQUENCE(LEN(_xlpm.txt)), 1),
    _xlfn.TEXTJOIN("", TRUE, IF(ISNUMBER(--_xlpm.chars), _xlpm.chars, ""))
)</f>
        <v>#VALUE!</v>
      </c>
      <c r="N321" s="16" t="str" cm="1">
        <f t="array" ref="N321">_xlfn.IFS(
   --MacReports!M321&lt;55,"Battery Defect",
  -- MacReports!M321&lt;=69,"Battery D",
  --MacReports!M321&lt;=80,"Battery C",
 --MacReports!M321&gt;80,""
)</f>
        <v>Battery Defect</v>
      </c>
      <c r="O321" s="16" t="str">
        <f>IF(MacReports!I321="Service","Battery Service","")</f>
        <v/>
      </c>
      <c r="P321" s="13">
        <f>MacReports!P321</f>
        <v>0</v>
      </c>
      <c r="Q321" s="13" t="str">
        <f>IF(MacReports!J321="Enabled","Apple ID Lock","")</f>
        <v/>
      </c>
      <c r="R321" s="13" t="str">
        <f>IF(MacReports!L321="y","Remote Locked","")</f>
        <v/>
      </c>
      <c r="S321" t="str">
        <f t="shared" si="11"/>
        <v>Battery Defect, 0</v>
      </c>
      <c r="T321" t="str">
        <f>_xlfn.XLOOKUP(B321,Disk_Pivot!G:G,Disk_Pivot!I:I)</f>
        <v>Yes x2</v>
      </c>
      <c r="U321" t="str">
        <f>_xlfn.XLOOKUP(B321,Disk_Pivot!G:G,Disk_Pivot!N:N)</f>
        <v>Pass, Fail</v>
      </c>
      <c r="V321" t="str">
        <f>IF(U321="Fail",MacReports!N321,"")</f>
        <v/>
      </c>
      <c r="AB321" t="str">
        <f t="shared" si="12"/>
        <v/>
      </c>
    </row>
    <row r="322" spans="1:28">
      <c r="A322">
        <f>MacReports!A322</f>
        <v>0</v>
      </c>
      <c r="B322">
        <f>MacReports!B322</f>
        <v>0</v>
      </c>
      <c r="C322">
        <f>MacReports!C322</f>
        <v>0</v>
      </c>
      <c r="E322" t="e">
        <f>_xlfn.XLOOKUP(G322,Models!A:A,Models!F:F)</f>
        <v>#N/A</v>
      </c>
      <c r="F322" t="str">
        <f>_xlfn.XLOOKUP(B322,MacReports!B:B,MacReports!D:D,"")</f>
        <v/>
      </c>
      <c r="G322" s="13">
        <f>MacReports!E322</f>
        <v>0</v>
      </c>
      <c r="H322" t="e">
        <f>_xlfn.XLOOKUP(G322,Models!A:A,Models!B:B)</f>
        <v>#N/A</v>
      </c>
      <c r="I322" t="e">
        <f>_xlfn.XLOOKUP(G322,Models!A:A,Models!E:E)</f>
        <v>#N/A</v>
      </c>
      <c r="J322" t="e">
        <f>_xlfn.XLOOKUP(G322,Models!A:A,Models!D:D)</f>
        <v>#N/A</v>
      </c>
      <c r="K322">
        <f>MacReports!F322</f>
        <v>0</v>
      </c>
      <c r="L322">
        <f>MacReports!G322</f>
        <v>0</v>
      </c>
      <c r="M322" s="15" t="e" cm="1">
        <f t="array" ref="M322">--_xlfn.LET(
    _xlpm.txt, MacReports!H322,
    _xlpm.chars, MID(_xlpm.txt, _xlfn.SEQUENCE(LEN(_xlpm.txt)), 1),
    _xlfn.TEXTJOIN("", TRUE, IF(ISNUMBER(--_xlpm.chars), _xlpm.chars, ""))
)</f>
        <v>#VALUE!</v>
      </c>
      <c r="N322" s="16" t="str" cm="1">
        <f t="array" ref="N322">_xlfn.IFS(
   --MacReports!M322&lt;55,"Battery Defect",
  -- MacReports!M322&lt;=69,"Battery D",
  --MacReports!M322&lt;=80,"Battery C",
 --MacReports!M322&gt;80,""
)</f>
        <v>Battery Defect</v>
      </c>
      <c r="O322" s="16" t="str">
        <f>IF(MacReports!I322="Service","Battery Service","")</f>
        <v/>
      </c>
      <c r="P322" s="13">
        <f>MacReports!P322</f>
        <v>0</v>
      </c>
      <c r="Q322" s="13" t="str">
        <f>IF(MacReports!J322="Enabled","Apple ID Lock","")</f>
        <v/>
      </c>
      <c r="R322" s="13" t="str">
        <f>IF(MacReports!L322="y","Remote Locked","")</f>
        <v/>
      </c>
      <c r="S322" t="str">
        <f t="shared" si="11"/>
        <v>Battery Defect, 0</v>
      </c>
      <c r="T322" t="str">
        <f>_xlfn.XLOOKUP(B322,Disk_Pivot!G:G,Disk_Pivot!I:I)</f>
        <v>Yes x2</v>
      </c>
      <c r="U322" t="str">
        <f>_xlfn.XLOOKUP(B322,Disk_Pivot!G:G,Disk_Pivot!N:N)</f>
        <v>Pass, Fail</v>
      </c>
      <c r="V322" t="str">
        <f>IF(U322="Fail",MacReports!N322,"")</f>
        <v/>
      </c>
      <c r="AB322" t="str">
        <f t="shared" si="12"/>
        <v/>
      </c>
    </row>
    <row r="323" spans="1:28">
      <c r="A323">
        <f>MacReports!A323</f>
        <v>0</v>
      </c>
      <c r="B323">
        <f>MacReports!B323</f>
        <v>0</v>
      </c>
      <c r="C323">
        <f>MacReports!C323</f>
        <v>0</v>
      </c>
      <c r="E323" t="e">
        <f>_xlfn.XLOOKUP(G323,Models!A:A,Models!F:F)</f>
        <v>#N/A</v>
      </c>
      <c r="F323" t="str">
        <f>_xlfn.XLOOKUP(B323,MacReports!B:B,MacReports!D:D,"")</f>
        <v/>
      </c>
      <c r="G323" s="13">
        <f>MacReports!E323</f>
        <v>0</v>
      </c>
      <c r="H323" t="e">
        <f>_xlfn.XLOOKUP(G323,Models!A:A,Models!B:B)</f>
        <v>#N/A</v>
      </c>
      <c r="I323" t="e">
        <f>_xlfn.XLOOKUP(G323,Models!A:A,Models!E:E)</f>
        <v>#N/A</v>
      </c>
      <c r="J323" t="e">
        <f>_xlfn.XLOOKUP(G323,Models!A:A,Models!D:D)</f>
        <v>#N/A</v>
      </c>
      <c r="K323">
        <f>MacReports!F323</f>
        <v>0</v>
      </c>
      <c r="L323">
        <f>MacReports!G323</f>
        <v>0</v>
      </c>
      <c r="M323" s="15" t="e" cm="1">
        <f t="array" ref="M323">--_xlfn.LET(
    _xlpm.txt, MacReports!H323,
    _xlpm.chars, MID(_xlpm.txt, _xlfn.SEQUENCE(LEN(_xlpm.txt)), 1),
    _xlfn.TEXTJOIN("", TRUE, IF(ISNUMBER(--_xlpm.chars), _xlpm.chars, ""))
)</f>
        <v>#VALUE!</v>
      </c>
      <c r="N323" s="16" t="str" cm="1">
        <f t="array" ref="N323">_xlfn.IFS(
   --MacReports!M323&lt;55,"Battery Defect",
  -- MacReports!M323&lt;=69,"Battery D",
  --MacReports!M323&lt;=80,"Battery C",
 --MacReports!M323&gt;80,""
)</f>
        <v>Battery Defect</v>
      </c>
      <c r="O323" s="16" t="str">
        <f>IF(MacReports!I323="Service","Battery Service","")</f>
        <v/>
      </c>
      <c r="P323" s="13">
        <f>MacReports!P323</f>
        <v>0</v>
      </c>
      <c r="Q323" s="13" t="str">
        <f>IF(MacReports!J323="Enabled","Apple ID Lock","")</f>
        <v/>
      </c>
      <c r="R323" s="13" t="str">
        <f>IF(MacReports!L323="y","Remote Locked","")</f>
        <v/>
      </c>
      <c r="S323" t="str">
        <f t="shared" si="11"/>
        <v>Battery Defect, 0</v>
      </c>
      <c r="T323" t="str">
        <f>_xlfn.XLOOKUP(B323,Disk_Pivot!G:G,Disk_Pivot!I:I)</f>
        <v>Yes x2</v>
      </c>
      <c r="U323" t="str">
        <f>_xlfn.XLOOKUP(B323,Disk_Pivot!G:G,Disk_Pivot!N:N)</f>
        <v>Pass, Fail</v>
      </c>
      <c r="V323" t="str">
        <f>IF(U323="Fail",MacReports!N323,"")</f>
        <v/>
      </c>
      <c r="AB323" t="str">
        <f t="shared" si="12"/>
        <v/>
      </c>
    </row>
    <row r="324" spans="1:28">
      <c r="A324">
        <f>MacReports!A324</f>
        <v>0</v>
      </c>
      <c r="B324">
        <f>MacReports!B324</f>
        <v>0</v>
      </c>
      <c r="C324">
        <f>MacReports!C324</f>
        <v>0</v>
      </c>
      <c r="E324" t="e">
        <f>_xlfn.XLOOKUP(G324,Models!A:A,Models!F:F)</f>
        <v>#N/A</v>
      </c>
      <c r="F324" t="str">
        <f>_xlfn.XLOOKUP(B324,MacReports!B:B,MacReports!D:D,"")</f>
        <v/>
      </c>
      <c r="G324" s="13">
        <f>MacReports!E324</f>
        <v>0</v>
      </c>
      <c r="H324" t="e">
        <f>_xlfn.XLOOKUP(G324,Models!A:A,Models!B:B)</f>
        <v>#N/A</v>
      </c>
      <c r="I324" t="e">
        <f>_xlfn.XLOOKUP(G324,Models!A:A,Models!E:E)</f>
        <v>#N/A</v>
      </c>
      <c r="J324" t="e">
        <f>_xlfn.XLOOKUP(G324,Models!A:A,Models!D:D)</f>
        <v>#N/A</v>
      </c>
      <c r="K324">
        <f>MacReports!F324</f>
        <v>0</v>
      </c>
      <c r="L324">
        <f>MacReports!G324</f>
        <v>0</v>
      </c>
      <c r="M324" s="15" t="e" cm="1">
        <f t="array" ref="M324">--_xlfn.LET(
    _xlpm.txt, MacReports!H324,
    _xlpm.chars, MID(_xlpm.txt, _xlfn.SEQUENCE(LEN(_xlpm.txt)), 1),
    _xlfn.TEXTJOIN("", TRUE, IF(ISNUMBER(--_xlpm.chars), _xlpm.chars, ""))
)</f>
        <v>#VALUE!</v>
      </c>
      <c r="N324" s="16" t="str" cm="1">
        <f t="array" ref="N324">_xlfn.IFS(
   --MacReports!M324&lt;55,"Battery Defect",
  -- MacReports!M324&lt;=69,"Battery D",
  --MacReports!M324&lt;=80,"Battery C",
 --MacReports!M324&gt;80,""
)</f>
        <v>Battery Defect</v>
      </c>
      <c r="O324" s="16" t="str">
        <f>IF(MacReports!I324="Service","Battery Service","")</f>
        <v/>
      </c>
      <c r="P324" s="13">
        <f>MacReports!P324</f>
        <v>0</v>
      </c>
      <c r="Q324" s="13" t="str">
        <f>IF(MacReports!J324="Enabled","Apple ID Lock","")</f>
        <v/>
      </c>
      <c r="R324" s="13" t="str">
        <f>IF(MacReports!L324="y","Remote Locked","")</f>
        <v/>
      </c>
      <c r="S324" t="str">
        <f t="shared" si="11"/>
        <v>Battery Defect, 0</v>
      </c>
      <c r="T324" t="str">
        <f>_xlfn.XLOOKUP(B324,Disk_Pivot!G:G,Disk_Pivot!I:I)</f>
        <v>Yes x2</v>
      </c>
      <c r="U324" t="str">
        <f>_xlfn.XLOOKUP(B324,Disk_Pivot!G:G,Disk_Pivot!N:N)</f>
        <v>Pass, Fail</v>
      </c>
      <c r="V324" t="str">
        <f>IF(U324="Fail",MacReports!N324,"")</f>
        <v/>
      </c>
      <c r="AB324" t="str">
        <f t="shared" si="12"/>
        <v/>
      </c>
    </row>
    <row r="325" spans="1:28">
      <c r="A325">
        <f>MacReports!A325</f>
        <v>0</v>
      </c>
      <c r="B325">
        <f>MacReports!B325</f>
        <v>0</v>
      </c>
      <c r="C325">
        <f>MacReports!C325</f>
        <v>0</v>
      </c>
      <c r="E325" t="e">
        <f>_xlfn.XLOOKUP(G325,Models!A:A,Models!F:F)</f>
        <v>#N/A</v>
      </c>
      <c r="F325" t="str">
        <f>_xlfn.XLOOKUP(B325,MacReports!B:B,MacReports!D:D,"")</f>
        <v/>
      </c>
      <c r="G325" s="13">
        <f>MacReports!E325</f>
        <v>0</v>
      </c>
      <c r="H325" t="e">
        <f>_xlfn.XLOOKUP(G325,Models!A:A,Models!B:B)</f>
        <v>#N/A</v>
      </c>
      <c r="I325" t="e">
        <f>_xlfn.XLOOKUP(G325,Models!A:A,Models!E:E)</f>
        <v>#N/A</v>
      </c>
      <c r="J325" t="e">
        <f>_xlfn.XLOOKUP(G325,Models!A:A,Models!D:D)</f>
        <v>#N/A</v>
      </c>
      <c r="K325">
        <f>MacReports!F325</f>
        <v>0</v>
      </c>
      <c r="L325">
        <f>MacReports!G325</f>
        <v>0</v>
      </c>
      <c r="M325" s="15" t="e" cm="1">
        <f t="array" ref="M325">--_xlfn.LET(
    _xlpm.txt, MacReports!H325,
    _xlpm.chars, MID(_xlpm.txt, _xlfn.SEQUENCE(LEN(_xlpm.txt)), 1),
    _xlfn.TEXTJOIN("", TRUE, IF(ISNUMBER(--_xlpm.chars), _xlpm.chars, ""))
)</f>
        <v>#VALUE!</v>
      </c>
      <c r="N325" s="16" t="str" cm="1">
        <f t="array" ref="N325">_xlfn.IFS(
   --MacReports!M325&lt;55,"Battery Defect",
  -- MacReports!M325&lt;=69,"Battery D",
  --MacReports!M325&lt;=80,"Battery C",
 --MacReports!M325&gt;80,""
)</f>
        <v>Battery Defect</v>
      </c>
      <c r="O325" s="16" t="str">
        <f>IF(MacReports!I325="Service","Battery Service","")</f>
        <v/>
      </c>
      <c r="P325" s="13">
        <f>MacReports!P325</f>
        <v>0</v>
      </c>
      <c r="Q325" s="13" t="str">
        <f>IF(MacReports!J325="Enabled","Apple ID Lock","")</f>
        <v/>
      </c>
      <c r="R325" s="13" t="str">
        <f>IF(MacReports!L325="y","Remote Locked","")</f>
        <v/>
      </c>
      <c r="S325" t="str">
        <f t="shared" si="11"/>
        <v>Battery Defect, 0</v>
      </c>
      <c r="T325" t="str">
        <f>_xlfn.XLOOKUP(B325,Disk_Pivot!G:G,Disk_Pivot!I:I)</f>
        <v>Yes x2</v>
      </c>
      <c r="U325" t="str">
        <f>_xlfn.XLOOKUP(B325,Disk_Pivot!G:G,Disk_Pivot!N:N)</f>
        <v>Pass, Fail</v>
      </c>
      <c r="V325" t="str">
        <f>IF(U325="Fail",MacReports!N325,"")</f>
        <v/>
      </c>
      <c r="AB325" t="str">
        <f t="shared" si="12"/>
        <v/>
      </c>
    </row>
    <row r="326" spans="1:28">
      <c r="A326">
        <f>MacReports!A326</f>
        <v>0</v>
      </c>
      <c r="B326">
        <f>MacReports!B326</f>
        <v>0</v>
      </c>
      <c r="C326">
        <f>MacReports!C326</f>
        <v>0</v>
      </c>
      <c r="E326" t="e">
        <f>_xlfn.XLOOKUP(G326,Models!A:A,Models!F:F)</f>
        <v>#N/A</v>
      </c>
      <c r="F326" t="str">
        <f>_xlfn.XLOOKUP(B326,MacReports!B:B,MacReports!D:D,"")</f>
        <v/>
      </c>
      <c r="G326" s="13">
        <f>MacReports!E326</f>
        <v>0</v>
      </c>
      <c r="H326" t="e">
        <f>_xlfn.XLOOKUP(G326,Models!A:A,Models!B:B)</f>
        <v>#N/A</v>
      </c>
      <c r="I326" t="e">
        <f>_xlfn.XLOOKUP(G326,Models!A:A,Models!E:E)</f>
        <v>#N/A</v>
      </c>
      <c r="J326" t="e">
        <f>_xlfn.XLOOKUP(G326,Models!A:A,Models!D:D)</f>
        <v>#N/A</v>
      </c>
      <c r="K326">
        <f>MacReports!F326</f>
        <v>0</v>
      </c>
      <c r="L326">
        <f>MacReports!G326</f>
        <v>0</v>
      </c>
      <c r="M326" s="15" t="e" cm="1">
        <f t="array" ref="M326">--_xlfn.LET(
    _xlpm.txt, MacReports!H326,
    _xlpm.chars, MID(_xlpm.txt, _xlfn.SEQUENCE(LEN(_xlpm.txt)), 1),
    _xlfn.TEXTJOIN("", TRUE, IF(ISNUMBER(--_xlpm.chars), _xlpm.chars, ""))
)</f>
        <v>#VALUE!</v>
      </c>
      <c r="N326" s="16" t="str" cm="1">
        <f t="array" ref="N326">_xlfn.IFS(
   --MacReports!M326&lt;55,"Battery Defect",
  -- MacReports!M326&lt;=69,"Battery D",
  --MacReports!M326&lt;=80,"Battery C",
 --MacReports!M326&gt;80,""
)</f>
        <v>Battery Defect</v>
      </c>
      <c r="O326" s="16" t="str">
        <f>IF(MacReports!I326="Service","Battery Service","")</f>
        <v/>
      </c>
      <c r="P326" s="13">
        <f>MacReports!P326</f>
        <v>0</v>
      </c>
      <c r="Q326" s="13" t="str">
        <f>IF(MacReports!J326="Enabled","Apple ID Lock","")</f>
        <v/>
      </c>
      <c r="R326" s="13" t="str">
        <f>IF(MacReports!L326="y","Remote Locked","")</f>
        <v/>
      </c>
      <c r="S326" t="str">
        <f t="shared" si="11"/>
        <v>Battery Defect, 0</v>
      </c>
      <c r="T326" t="str">
        <f>_xlfn.XLOOKUP(B326,Disk_Pivot!G:G,Disk_Pivot!I:I)</f>
        <v>Yes x2</v>
      </c>
      <c r="U326" t="str">
        <f>_xlfn.XLOOKUP(B326,Disk_Pivot!G:G,Disk_Pivot!N:N)</f>
        <v>Pass, Fail</v>
      </c>
      <c r="V326" t="str">
        <f>IF(U326="Fail",MacReports!N326,"")</f>
        <v/>
      </c>
      <c r="AB326" t="str">
        <f t="shared" si="12"/>
        <v/>
      </c>
    </row>
    <row r="327" spans="1:28">
      <c r="A327">
        <f>MacReports!A327</f>
        <v>0</v>
      </c>
      <c r="B327">
        <f>MacReports!B327</f>
        <v>0</v>
      </c>
      <c r="C327">
        <f>MacReports!C327</f>
        <v>0</v>
      </c>
      <c r="E327" t="e">
        <f>_xlfn.XLOOKUP(G327,Models!A:A,Models!F:F)</f>
        <v>#N/A</v>
      </c>
      <c r="F327" t="str">
        <f>_xlfn.XLOOKUP(B327,MacReports!B:B,MacReports!D:D,"")</f>
        <v/>
      </c>
      <c r="G327" s="13">
        <f>MacReports!E327</f>
        <v>0</v>
      </c>
      <c r="H327" t="e">
        <f>_xlfn.XLOOKUP(G327,Models!A:A,Models!B:B)</f>
        <v>#N/A</v>
      </c>
      <c r="I327" t="e">
        <f>_xlfn.XLOOKUP(G327,Models!A:A,Models!E:E)</f>
        <v>#N/A</v>
      </c>
      <c r="J327" t="e">
        <f>_xlfn.XLOOKUP(G327,Models!A:A,Models!D:D)</f>
        <v>#N/A</v>
      </c>
      <c r="K327">
        <f>MacReports!F327</f>
        <v>0</v>
      </c>
      <c r="L327">
        <f>MacReports!G327</f>
        <v>0</v>
      </c>
      <c r="M327" s="15" t="e" cm="1">
        <f t="array" ref="M327">--_xlfn.LET(
    _xlpm.txt, MacReports!H327,
    _xlpm.chars, MID(_xlpm.txt, _xlfn.SEQUENCE(LEN(_xlpm.txt)), 1),
    _xlfn.TEXTJOIN("", TRUE, IF(ISNUMBER(--_xlpm.chars), _xlpm.chars, ""))
)</f>
        <v>#VALUE!</v>
      </c>
      <c r="N327" s="16" t="str" cm="1">
        <f t="array" ref="N327">_xlfn.IFS(
   --MacReports!M327&lt;55,"Battery Defect",
  -- MacReports!M327&lt;=69,"Battery D",
  --MacReports!M327&lt;=80,"Battery C",
 --MacReports!M327&gt;80,""
)</f>
        <v>Battery Defect</v>
      </c>
      <c r="O327" s="16" t="str">
        <f>IF(MacReports!I327="Service","Battery Service","")</f>
        <v/>
      </c>
      <c r="P327" s="13">
        <f>MacReports!P327</f>
        <v>0</v>
      </c>
      <c r="Q327" s="13" t="str">
        <f>IF(MacReports!J327="Enabled","Apple ID Lock","")</f>
        <v/>
      </c>
      <c r="R327" s="13" t="str">
        <f>IF(MacReports!L327="y","Remote Locked","")</f>
        <v/>
      </c>
      <c r="S327" t="str">
        <f t="shared" si="11"/>
        <v>Battery Defect, 0</v>
      </c>
      <c r="T327" t="str">
        <f>_xlfn.XLOOKUP(B327,Disk_Pivot!G:G,Disk_Pivot!I:I)</f>
        <v>Yes x2</v>
      </c>
      <c r="U327" t="str">
        <f>_xlfn.XLOOKUP(B327,Disk_Pivot!G:G,Disk_Pivot!N:N)</f>
        <v>Pass, Fail</v>
      </c>
      <c r="V327" t="str">
        <f>IF(U327="Fail",MacReports!N327,"")</f>
        <v/>
      </c>
      <c r="AB327" t="str">
        <f t="shared" si="12"/>
        <v/>
      </c>
    </row>
    <row r="328" spans="1:28">
      <c r="A328">
        <f>MacReports!A328</f>
        <v>0</v>
      </c>
      <c r="B328">
        <f>MacReports!B328</f>
        <v>0</v>
      </c>
      <c r="C328">
        <f>MacReports!C328</f>
        <v>0</v>
      </c>
      <c r="E328" t="e">
        <f>_xlfn.XLOOKUP(G328,Models!A:A,Models!F:F)</f>
        <v>#N/A</v>
      </c>
      <c r="F328" t="str">
        <f>_xlfn.XLOOKUP(B328,MacReports!B:B,MacReports!D:D,"")</f>
        <v/>
      </c>
      <c r="G328" s="13">
        <f>MacReports!E328</f>
        <v>0</v>
      </c>
      <c r="H328" t="e">
        <f>_xlfn.XLOOKUP(G328,Models!A:A,Models!B:B)</f>
        <v>#N/A</v>
      </c>
      <c r="I328" t="e">
        <f>_xlfn.XLOOKUP(G328,Models!A:A,Models!E:E)</f>
        <v>#N/A</v>
      </c>
      <c r="J328" t="e">
        <f>_xlfn.XLOOKUP(G328,Models!A:A,Models!D:D)</f>
        <v>#N/A</v>
      </c>
      <c r="K328">
        <f>MacReports!F328</f>
        <v>0</v>
      </c>
      <c r="L328">
        <f>MacReports!G328</f>
        <v>0</v>
      </c>
      <c r="M328" s="15" t="e" cm="1">
        <f t="array" ref="M328">--_xlfn.LET(
    _xlpm.txt, MacReports!H328,
    _xlpm.chars, MID(_xlpm.txt, _xlfn.SEQUENCE(LEN(_xlpm.txt)), 1),
    _xlfn.TEXTJOIN("", TRUE, IF(ISNUMBER(--_xlpm.chars), _xlpm.chars, ""))
)</f>
        <v>#VALUE!</v>
      </c>
      <c r="N328" s="16" t="str" cm="1">
        <f t="array" ref="N328">_xlfn.IFS(
   --MacReports!M328&lt;55,"Battery Defect",
  -- MacReports!M328&lt;=69,"Battery D",
  --MacReports!M328&lt;=80,"Battery C",
 --MacReports!M328&gt;80,""
)</f>
        <v>Battery Defect</v>
      </c>
      <c r="O328" s="16" t="str">
        <f>IF(MacReports!I328="Service","Battery Service","")</f>
        <v/>
      </c>
      <c r="P328" s="13">
        <f>MacReports!P328</f>
        <v>0</v>
      </c>
      <c r="Q328" s="13" t="str">
        <f>IF(MacReports!J328="Enabled","Apple ID Lock","")</f>
        <v/>
      </c>
      <c r="R328" s="13" t="str">
        <f>IF(MacReports!L328="y","Remote Locked","")</f>
        <v/>
      </c>
      <c r="S328" t="str">
        <f t="shared" si="11"/>
        <v>Battery Defect, 0</v>
      </c>
      <c r="T328" t="str">
        <f>_xlfn.XLOOKUP(B328,Disk_Pivot!G:G,Disk_Pivot!I:I)</f>
        <v>Yes x2</v>
      </c>
      <c r="U328" t="str">
        <f>_xlfn.XLOOKUP(B328,Disk_Pivot!G:G,Disk_Pivot!N:N)</f>
        <v>Pass, Fail</v>
      </c>
      <c r="V328" t="str">
        <f>IF(U328="Fail",MacReports!N328,"")</f>
        <v/>
      </c>
      <c r="AB328" t="str">
        <f t="shared" si="12"/>
        <v/>
      </c>
    </row>
    <row r="329" spans="1:28">
      <c r="A329">
        <f>MacReports!A329</f>
        <v>0</v>
      </c>
      <c r="B329">
        <f>MacReports!B329</f>
        <v>0</v>
      </c>
      <c r="C329">
        <f>MacReports!C329</f>
        <v>0</v>
      </c>
      <c r="E329" t="e">
        <f>_xlfn.XLOOKUP(G329,Models!A:A,Models!F:F)</f>
        <v>#N/A</v>
      </c>
      <c r="F329" t="str">
        <f>_xlfn.XLOOKUP(B329,MacReports!B:B,MacReports!D:D,"")</f>
        <v/>
      </c>
      <c r="G329" s="13">
        <f>MacReports!E329</f>
        <v>0</v>
      </c>
      <c r="H329" t="e">
        <f>_xlfn.XLOOKUP(G329,Models!A:A,Models!B:B)</f>
        <v>#N/A</v>
      </c>
      <c r="I329" t="e">
        <f>_xlfn.XLOOKUP(G329,Models!A:A,Models!E:E)</f>
        <v>#N/A</v>
      </c>
      <c r="J329" t="e">
        <f>_xlfn.XLOOKUP(G329,Models!A:A,Models!D:D)</f>
        <v>#N/A</v>
      </c>
      <c r="K329">
        <f>MacReports!F329</f>
        <v>0</v>
      </c>
      <c r="L329">
        <f>MacReports!G329</f>
        <v>0</v>
      </c>
      <c r="M329" s="15" t="e" cm="1">
        <f t="array" ref="M329">--_xlfn.LET(
    _xlpm.txt, MacReports!H329,
    _xlpm.chars, MID(_xlpm.txt, _xlfn.SEQUENCE(LEN(_xlpm.txt)), 1),
    _xlfn.TEXTJOIN("", TRUE, IF(ISNUMBER(--_xlpm.chars), _xlpm.chars, ""))
)</f>
        <v>#VALUE!</v>
      </c>
      <c r="N329" s="16" t="str" cm="1">
        <f t="array" ref="N329">_xlfn.IFS(
   --MacReports!M329&lt;55,"Battery Defect",
  -- MacReports!M329&lt;=69,"Battery D",
  --MacReports!M329&lt;=80,"Battery C",
 --MacReports!M329&gt;80,""
)</f>
        <v>Battery Defect</v>
      </c>
      <c r="O329" s="16" t="str">
        <f>IF(MacReports!I329="Service","Battery Service","")</f>
        <v/>
      </c>
      <c r="P329" s="13">
        <f>MacReports!P329</f>
        <v>0</v>
      </c>
      <c r="Q329" s="13" t="str">
        <f>IF(MacReports!J329="Enabled","Apple ID Lock","")</f>
        <v/>
      </c>
      <c r="R329" s="13" t="str">
        <f>IF(MacReports!L329="y","Remote Locked","")</f>
        <v/>
      </c>
      <c r="S329" t="str">
        <f t="shared" si="11"/>
        <v>Battery Defect, 0</v>
      </c>
      <c r="T329" t="str">
        <f>_xlfn.XLOOKUP(B329,Disk_Pivot!G:G,Disk_Pivot!I:I)</f>
        <v>Yes x2</v>
      </c>
      <c r="U329" t="str">
        <f>_xlfn.XLOOKUP(B329,Disk_Pivot!G:G,Disk_Pivot!N:N)</f>
        <v>Pass, Fail</v>
      </c>
      <c r="V329" t="str">
        <f>IF(U329="Fail",MacReports!N329,"")</f>
        <v/>
      </c>
      <c r="AB329" t="str">
        <f t="shared" si="12"/>
        <v/>
      </c>
    </row>
    <row r="330" spans="1:28">
      <c r="A330">
        <f>MacReports!A330</f>
        <v>0</v>
      </c>
      <c r="B330">
        <f>MacReports!B330</f>
        <v>0</v>
      </c>
      <c r="C330">
        <f>MacReports!C330</f>
        <v>0</v>
      </c>
      <c r="E330" t="e">
        <f>_xlfn.XLOOKUP(G330,Models!A:A,Models!F:F)</f>
        <v>#N/A</v>
      </c>
      <c r="F330" t="str">
        <f>_xlfn.XLOOKUP(B330,MacReports!B:B,MacReports!D:D,"")</f>
        <v/>
      </c>
      <c r="G330" s="13">
        <f>MacReports!E330</f>
        <v>0</v>
      </c>
      <c r="H330" t="e">
        <f>_xlfn.XLOOKUP(G330,Models!A:A,Models!B:B)</f>
        <v>#N/A</v>
      </c>
      <c r="I330" t="e">
        <f>_xlfn.XLOOKUP(G330,Models!A:A,Models!E:E)</f>
        <v>#N/A</v>
      </c>
      <c r="J330" t="e">
        <f>_xlfn.XLOOKUP(G330,Models!A:A,Models!D:D)</f>
        <v>#N/A</v>
      </c>
      <c r="K330">
        <f>MacReports!F330</f>
        <v>0</v>
      </c>
      <c r="L330">
        <f>MacReports!G330</f>
        <v>0</v>
      </c>
      <c r="M330" s="15" t="e" cm="1">
        <f t="array" ref="M330">--_xlfn.LET(
    _xlpm.txt, MacReports!H330,
    _xlpm.chars, MID(_xlpm.txt, _xlfn.SEQUENCE(LEN(_xlpm.txt)), 1),
    _xlfn.TEXTJOIN("", TRUE, IF(ISNUMBER(--_xlpm.chars), _xlpm.chars, ""))
)</f>
        <v>#VALUE!</v>
      </c>
      <c r="N330" s="16" t="str" cm="1">
        <f t="array" ref="N330">_xlfn.IFS(
   --MacReports!M330&lt;55,"Battery Defect",
  -- MacReports!M330&lt;=69,"Battery D",
  --MacReports!M330&lt;=80,"Battery C",
 --MacReports!M330&gt;80,""
)</f>
        <v>Battery Defect</v>
      </c>
      <c r="O330" s="16" t="str">
        <f>IF(MacReports!I330="Service","Battery Service","")</f>
        <v/>
      </c>
      <c r="P330" s="13">
        <f>MacReports!P330</f>
        <v>0</v>
      </c>
      <c r="Q330" s="13" t="str">
        <f>IF(MacReports!J330="Enabled","Apple ID Lock","")</f>
        <v/>
      </c>
      <c r="R330" s="13" t="str">
        <f>IF(MacReports!L330="y","Remote Locked","")</f>
        <v/>
      </c>
      <c r="S330" t="str">
        <f t="shared" si="11"/>
        <v>Battery Defect, 0</v>
      </c>
      <c r="T330" t="str">
        <f>_xlfn.XLOOKUP(B330,Disk_Pivot!G:G,Disk_Pivot!I:I)</f>
        <v>Yes x2</v>
      </c>
      <c r="U330" t="str">
        <f>_xlfn.XLOOKUP(B330,Disk_Pivot!G:G,Disk_Pivot!N:N)</f>
        <v>Pass, Fail</v>
      </c>
      <c r="V330" t="str">
        <f>IF(U330="Fail",MacReports!N330,"")</f>
        <v/>
      </c>
      <c r="AB330" t="str">
        <f t="shared" si="12"/>
        <v/>
      </c>
    </row>
    <row r="331" spans="1:28">
      <c r="A331">
        <f>MacReports!A331</f>
        <v>0</v>
      </c>
      <c r="B331">
        <f>MacReports!B331</f>
        <v>0</v>
      </c>
      <c r="C331">
        <f>MacReports!C331</f>
        <v>0</v>
      </c>
      <c r="E331" t="e">
        <f>_xlfn.XLOOKUP(G331,Models!A:A,Models!F:F)</f>
        <v>#N/A</v>
      </c>
      <c r="F331" t="str">
        <f>_xlfn.XLOOKUP(B331,MacReports!B:B,MacReports!D:D,"")</f>
        <v/>
      </c>
      <c r="G331" s="13">
        <f>MacReports!E331</f>
        <v>0</v>
      </c>
      <c r="H331" t="e">
        <f>_xlfn.XLOOKUP(G331,Models!A:A,Models!B:B)</f>
        <v>#N/A</v>
      </c>
      <c r="I331" t="e">
        <f>_xlfn.XLOOKUP(G331,Models!A:A,Models!E:E)</f>
        <v>#N/A</v>
      </c>
      <c r="J331" t="e">
        <f>_xlfn.XLOOKUP(G331,Models!A:A,Models!D:D)</f>
        <v>#N/A</v>
      </c>
      <c r="K331">
        <f>MacReports!F331</f>
        <v>0</v>
      </c>
      <c r="L331">
        <f>MacReports!G331</f>
        <v>0</v>
      </c>
      <c r="M331" s="15" t="e" cm="1">
        <f t="array" ref="M331">--_xlfn.LET(
    _xlpm.txt, MacReports!H331,
    _xlpm.chars, MID(_xlpm.txt, _xlfn.SEQUENCE(LEN(_xlpm.txt)), 1),
    _xlfn.TEXTJOIN("", TRUE, IF(ISNUMBER(--_xlpm.chars), _xlpm.chars, ""))
)</f>
        <v>#VALUE!</v>
      </c>
      <c r="N331" s="16" t="str" cm="1">
        <f t="array" ref="N331">_xlfn.IFS(
   --MacReports!M331&lt;55,"Battery Defect",
  -- MacReports!M331&lt;=69,"Battery D",
  --MacReports!M331&lt;=80,"Battery C",
 --MacReports!M331&gt;80,""
)</f>
        <v>Battery Defect</v>
      </c>
      <c r="O331" s="16" t="str">
        <f>IF(MacReports!I331="Service","Battery Service","")</f>
        <v/>
      </c>
      <c r="P331" s="13">
        <f>MacReports!P331</f>
        <v>0</v>
      </c>
      <c r="Q331" s="13" t="str">
        <f>IF(MacReports!J331="Enabled","Apple ID Lock","")</f>
        <v/>
      </c>
      <c r="R331" s="13" t="str">
        <f>IF(MacReports!L331="y","Remote Locked","")</f>
        <v/>
      </c>
      <c r="S331" t="str">
        <f t="shared" si="11"/>
        <v>Battery Defect, 0</v>
      </c>
      <c r="T331" t="str">
        <f>_xlfn.XLOOKUP(B331,Disk_Pivot!G:G,Disk_Pivot!I:I)</f>
        <v>Yes x2</v>
      </c>
      <c r="U331" t="str">
        <f>_xlfn.XLOOKUP(B331,Disk_Pivot!G:G,Disk_Pivot!N:N)</f>
        <v>Pass, Fail</v>
      </c>
      <c r="V331" t="str">
        <f>IF(U331="Fail",MacReports!N331,"")</f>
        <v/>
      </c>
      <c r="AB331" t="str">
        <f t="shared" si="12"/>
        <v/>
      </c>
    </row>
    <row r="332" spans="1:28">
      <c r="A332">
        <f>MacReports!A332</f>
        <v>0</v>
      </c>
      <c r="B332">
        <f>MacReports!B332</f>
        <v>0</v>
      </c>
      <c r="C332">
        <f>MacReports!C332</f>
        <v>0</v>
      </c>
      <c r="E332" t="e">
        <f>_xlfn.XLOOKUP(G332,Models!A:A,Models!F:F)</f>
        <v>#N/A</v>
      </c>
      <c r="F332" t="str">
        <f>_xlfn.XLOOKUP(B332,MacReports!B:B,MacReports!D:D,"")</f>
        <v/>
      </c>
      <c r="G332" s="13">
        <f>MacReports!E332</f>
        <v>0</v>
      </c>
      <c r="H332" t="e">
        <f>_xlfn.XLOOKUP(G332,Models!A:A,Models!B:B)</f>
        <v>#N/A</v>
      </c>
      <c r="I332" t="e">
        <f>_xlfn.XLOOKUP(G332,Models!A:A,Models!E:E)</f>
        <v>#N/A</v>
      </c>
      <c r="J332" t="e">
        <f>_xlfn.XLOOKUP(G332,Models!A:A,Models!D:D)</f>
        <v>#N/A</v>
      </c>
      <c r="K332">
        <f>MacReports!F332</f>
        <v>0</v>
      </c>
      <c r="L332">
        <f>MacReports!G332</f>
        <v>0</v>
      </c>
      <c r="M332" s="15" t="e" cm="1">
        <f t="array" ref="M332">--_xlfn.LET(
    _xlpm.txt, MacReports!H332,
    _xlpm.chars, MID(_xlpm.txt, _xlfn.SEQUENCE(LEN(_xlpm.txt)), 1),
    _xlfn.TEXTJOIN("", TRUE, IF(ISNUMBER(--_xlpm.chars), _xlpm.chars, ""))
)</f>
        <v>#VALUE!</v>
      </c>
      <c r="N332" s="16" t="str" cm="1">
        <f t="array" ref="N332">_xlfn.IFS(
   --MacReports!M332&lt;55,"Battery Defect",
  -- MacReports!M332&lt;=69,"Battery D",
  --MacReports!M332&lt;=80,"Battery C",
 --MacReports!M332&gt;80,""
)</f>
        <v>Battery Defect</v>
      </c>
      <c r="O332" s="16" t="str">
        <f>IF(MacReports!I332="Service","Battery Service","")</f>
        <v/>
      </c>
      <c r="P332" s="13">
        <f>MacReports!P332</f>
        <v>0</v>
      </c>
      <c r="Q332" s="13" t="str">
        <f>IF(MacReports!J332="Enabled","Apple ID Lock","")</f>
        <v/>
      </c>
      <c r="R332" s="13" t="str">
        <f>IF(MacReports!L332="y","Remote Locked","")</f>
        <v/>
      </c>
      <c r="S332" t="str">
        <f t="shared" si="11"/>
        <v>Battery Defect, 0</v>
      </c>
      <c r="T332" t="str">
        <f>_xlfn.XLOOKUP(B332,Disk_Pivot!G:G,Disk_Pivot!I:I)</f>
        <v>Yes x2</v>
      </c>
      <c r="U332" t="str">
        <f>_xlfn.XLOOKUP(B332,Disk_Pivot!G:G,Disk_Pivot!N:N)</f>
        <v>Pass, Fail</v>
      </c>
      <c r="V332" t="str">
        <f>IF(U332="Fail",MacReports!N332,"")</f>
        <v/>
      </c>
      <c r="AB332" t="str">
        <f t="shared" si="12"/>
        <v/>
      </c>
    </row>
    <row r="333" spans="1:28">
      <c r="A333">
        <f>MacReports!A333</f>
        <v>0</v>
      </c>
      <c r="B333">
        <f>MacReports!B333</f>
        <v>0</v>
      </c>
      <c r="C333">
        <f>MacReports!C333</f>
        <v>0</v>
      </c>
      <c r="E333" t="e">
        <f>_xlfn.XLOOKUP(G333,Models!A:A,Models!F:F)</f>
        <v>#N/A</v>
      </c>
      <c r="F333" t="str">
        <f>_xlfn.XLOOKUP(B333,MacReports!B:B,MacReports!D:D,"")</f>
        <v/>
      </c>
      <c r="G333" s="13">
        <f>MacReports!E333</f>
        <v>0</v>
      </c>
      <c r="H333" t="e">
        <f>_xlfn.XLOOKUP(G333,Models!A:A,Models!B:B)</f>
        <v>#N/A</v>
      </c>
      <c r="I333" t="e">
        <f>_xlfn.XLOOKUP(G333,Models!A:A,Models!E:E)</f>
        <v>#N/A</v>
      </c>
      <c r="J333" t="e">
        <f>_xlfn.XLOOKUP(G333,Models!A:A,Models!D:D)</f>
        <v>#N/A</v>
      </c>
      <c r="K333">
        <f>MacReports!F333</f>
        <v>0</v>
      </c>
      <c r="L333">
        <f>MacReports!G333</f>
        <v>0</v>
      </c>
      <c r="M333" s="15" t="e" cm="1">
        <f t="array" ref="M333">--_xlfn.LET(
    _xlpm.txt, MacReports!H333,
    _xlpm.chars, MID(_xlpm.txt, _xlfn.SEQUENCE(LEN(_xlpm.txt)), 1),
    _xlfn.TEXTJOIN("", TRUE, IF(ISNUMBER(--_xlpm.chars), _xlpm.chars, ""))
)</f>
        <v>#VALUE!</v>
      </c>
      <c r="N333" s="16" t="str" cm="1">
        <f t="array" ref="N333">_xlfn.IFS(
   --MacReports!M333&lt;55,"Battery Defect",
  -- MacReports!M333&lt;=69,"Battery D",
  --MacReports!M333&lt;=80,"Battery C",
 --MacReports!M333&gt;80,""
)</f>
        <v>Battery Defect</v>
      </c>
      <c r="O333" s="16" t="str">
        <f>IF(MacReports!I333="Service","Battery Service","")</f>
        <v/>
      </c>
      <c r="P333" s="13">
        <f>MacReports!P333</f>
        <v>0</v>
      </c>
      <c r="Q333" s="13" t="str">
        <f>IF(MacReports!J333="Enabled","Apple ID Lock","")</f>
        <v/>
      </c>
      <c r="R333" s="13" t="str">
        <f>IF(MacReports!L333="y","Remote Locked","")</f>
        <v/>
      </c>
      <c r="S333" t="str">
        <f t="shared" si="11"/>
        <v>Battery Defect, 0</v>
      </c>
      <c r="T333" t="str">
        <f>_xlfn.XLOOKUP(B333,Disk_Pivot!G:G,Disk_Pivot!I:I)</f>
        <v>Yes x2</v>
      </c>
      <c r="U333" t="str">
        <f>_xlfn.XLOOKUP(B333,Disk_Pivot!G:G,Disk_Pivot!N:N)</f>
        <v>Pass, Fail</v>
      </c>
      <c r="V333" t="str">
        <f>IF(U333="Fail",MacReports!N333,"")</f>
        <v/>
      </c>
      <c r="AB333" t="str">
        <f t="shared" si="12"/>
        <v/>
      </c>
    </row>
    <row r="334" spans="1:28">
      <c r="A334">
        <f>MacReports!A334</f>
        <v>0</v>
      </c>
      <c r="B334">
        <f>MacReports!B334</f>
        <v>0</v>
      </c>
      <c r="C334">
        <f>MacReports!C334</f>
        <v>0</v>
      </c>
      <c r="E334" t="e">
        <f>_xlfn.XLOOKUP(G334,Models!A:A,Models!F:F)</f>
        <v>#N/A</v>
      </c>
      <c r="F334" t="str">
        <f>_xlfn.XLOOKUP(B334,MacReports!B:B,MacReports!D:D,"")</f>
        <v/>
      </c>
      <c r="G334" s="13">
        <f>MacReports!E334</f>
        <v>0</v>
      </c>
      <c r="H334" t="e">
        <f>_xlfn.XLOOKUP(G334,Models!A:A,Models!B:B)</f>
        <v>#N/A</v>
      </c>
      <c r="I334" t="e">
        <f>_xlfn.XLOOKUP(G334,Models!A:A,Models!E:E)</f>
        <v>#N/A</v>
      </c>
      <c r="J334" t="e">
        <f>_xlfn.XLOOKUP(G334,Models!A:A,Models!D:D)</f>
        <v>#N/A</v>
      </c>
      <c r="K334">
        <f>MacReports!F334</f>
        <v>0</v>
      </c>
      <c r="L334">
        <f>MacReports!G334</f>
        <v>0</v>
      </c>
      <c r="M334" s="15" t="e" cm="1">
        <f t="array" ref="M334">--_xlfn.LET(
    _xlpm.txt, MacReports!H334,
    _xlpm.chars, MID(_xlpm.txt, _xlfn.SEQUENCE(LEN(_xlpm.txt)), 1),
    _xlfn.TEXTJOIN("", TRUE, IF(ISNUMBER(--_xlpm.chars), _xlpm.chars, ""))
)</f>
        <v>#VALUE!</v>
      </c>
      <c r="N334" s="16" t="str" cm="1">
        <f t="array" ref="N334">_xlfn.IFS(
   --MacReports!M334&lt;55,"Battery Defect",
  -- MacReports!M334&lt;=69,"Battery D",
  --MacReports!M334&lt;=80,"Battery C",
 --MacReports!M334&gt;80,""
)</f>
        <v>Battery Defect</v>
      </c>
      <c r="O334" s="16" t="str">
        <f>IF(MacReports!I334="Service","Battery Service","")</f>
        <v/>
      </c>
      <c r="P334" s="13">
        <f>MacReports!P334</f>
        <v>0</v>
      </c>
      <c r="Q334" s="13" t="str">
        <f>IF(MacReports!J334="Enabled","Apple ID Lock","")</f>
        <v/>
      </c>
      <c r="R334" s="13" t="str">
        <f>IF(MacReports!L334="y","Remote Locked","")</f>
        <v/>
      </c>
      <c r="S334" t="str">
        <f t="shared" si="11"/>
        <v>Battery Defect, 0</v>
      </c>
      <c r="T334" t="str">
        <f>_xlfn.XLOOKUP(B334,Disk_Pivot!G:G,Disk_Pivot!I:I)</f>
        <v>Yes x2</v>
      </c>
      <c r="U334" t="str">
        <f>_xlfn.XLOOKUP(B334,Disk_Pivot!G:G,Disk_Pivot!N:N)</f>
        <v>Pass, Fail</v>
      </c>
      <c r="V334" t="str">
        <f>IF(U334="Fail",MacReports!N334,"")</f>
        <v/>
      </c>
      <c r="AB334" t="str">
        <f t="shared" si="12"/>
        <v/>
      </c>
    </row>
    <row r="335" spans="1:28">
      <c r="A335">
        <f>MacReports!A335</f>
        <v>0</v>
      </c>
      <c r="B335">
        <f>MacReports!B335</f>
        <v>0</v>
      </c>
      <c r="C335">
        <f>MacReports!C335</f>
        <v>0</v>
      </c>
      <c r="E335" t="e">
        <f>_xlfn.XLOOKUP(G335,Models!A:A,Models!F:F)</f>
        <v>#N/A</v>
      </c>
      <c r="F335" t="str">
        <f>_xlfn.XLOOKUP(B335,MacReports!B:B,MacReports!D:D,"")</f>
        <v/>
      </c>
      <c r="G335" s="13">
        <f>MacReports!E335</f>
        <v>0</v>
      </c>
      <c r="H335" t="e">
        <f>_xlfn.XLOOKUP(G335,Models!A:A,Models!B:B)</f>
        <v>#N/A</v>
      </c>
      <c r="I335" t="e">
        <f>_xlfn.XLOOKUP(G335,Models!A:A,Models!E:E)</f>
        <v>#N/A</v>
      </c>
      <c r="J335" t="e">
        <f>_xlfn.XLOOKUP(G335,Models!A:A,Models!D:D)</f>
        <v>#N/A</v>
      </c>
      <c r="K335">
        <f>MacReports!F335</f>
        <v>0</v>
      </c>
      <c r="L335">
        <f>MacReports!G335</f>
        <v>0</v>
      </c>
      <c r="M335" s="15" t="e" cm="1">
        <f t="array" ref="M335">--_xlfn.LET(
    _xlpm.txt, MacReports!H335,
    _xlpm.chars, MID(_xlpm.txt, _xlfn.SEQUENCE(LEN(_xlpm.txt)), 1),
    _xlfn.TEXTJOIN("", TRUE, IF(ISNUMBER(--_xlpm.chars), _xlpm.chars, ""))
)</f>
        <v>#VALUE!</v>
      </c>
      <c r="N335" s="16" t="str" cm="1">
        <f t="array" ref="N335">_xlfn.IFS(
   --MacReports!M335&lt;55,"Battery Defect",
  -- MacReports!M335&lt;=69,"Battery D",
  --MacReports!M335&lt;=80,"Battery C",
 --MacReports!M335&gt;80,""
)</f>
        <v>Battery Defect</v>
      </c>
      <c r="O335" s="16" t="str">
        <f>IF(MacReports!I335="Service","Battery Service","")</f>
        <v/>
      </c>
      <c r="P335" s="13">
        <f>MacReports!P335</f>
        <v>0</v>
      </c>
      <c r="Q335" s="13" t="str">
        <f>IF(MacReports!J335="Enabled","Apple ID Lock","")</f>
        <v/>
      </c>
      <c r="R335" s="13" t="str">
        <f>IF(MacReports!L335="y","Remote Locked","")</f>
        <v/>
      </c>
      <c r="S335" t="str">
        <f t="shared" si="11"/>
        <v>Battery Defect, 0</v>
      </c>
      <c r="T335" t="str">
        <f>_xlfn.XLOOKUP(B335,Disk_Pivot!G:G,Disk_Pivot!I:I)</f>
        <v>Yes x2</v>
      </c>
      <c r="U335" t="str">
        <f>_xlfn.XLOOKUP(B335,Disk_Pivot!G:G,Disk_Pivot!N:N)</f>
        <v>Pass, Fail</v>
      </c>
      <c r="V335" t="str">
        <f>IF(U335="Fail",MacReports!N335,"")</f>
        <v/>
      </c>
      <c r="AB335" t="str">
        <f t="shared" si="12"/>
        <v/>
      </c>
    </row>
    <row r="336" spans="1:28">
      <c r="A336">
        <f>MacReports!A336</f>
        <v>0</v>
      </c>
      <c r="B336">
        <f>MacReports!B336</f>
        <v>0</v>
      </c>
      <c r="C336">
        <f>MacReports!C336</f>
        <v>0</v>
      </c>
      <c r="E336" t="e">
        <f>_xlfn.XLOOKUP(G336,Models!A:A,Models!F:F)</f>
        <v>#N/A</v>
      </c>
      <c r="F336" t="str">
        <f>_xlfn.XLOOKUP(B336,MacReports!B:B,MacReports!D:D,"")</f>
        <v/>
      </c>
      <c r="G336" s="13">
        <f>MacReports!E336</f>
        <v>0</v>
      </c>
      <c r="H336" t="e">
        <f>_xlfn.XLOOKUP(G336,Models!A:A,Models!B:B)</f>
        <v>#N/A</v>
      </c>
      <c r="I336" t="e">
        <f>_xlfn.XLOOKUP(G336,Models!A:A,Models!E:E)</f>
        <v>#N/A</v>
      </c>
      <c r="J336" t="e">
        <f>_xlfn.XLOOKUP(G336,Models!A:A,Models!D:D)</f>
        <v>#N/A</v>
      </c>
      <c r="K336">
        <f>MacReports!F336</f>
        <v>0</v>
      </c>
      <c r="L336">
        <f>MacReports!G336</f>
        <v>0</v>
      </c>
      <c r="M336" s="15" t="e" cm="1">
        <f t="array" ref="M336">--_xlfn.LET(
    _xlpm.txt, MacReports!H336,
    _xlpm.chars, MID(_xlpm.txt, _xlfn.SEQUENCE(LEN(_xlpm.txt)), 1),
    _xlfn.TEXTJOIN("", TRUE, IF(ISNUMBER(--_xlpm.chars), _xlpm.chars, ""))
)</f>
        <v>#VALUE!</v>
      </c>
      <c r="N336" s="16" t="str" cm="1">
        <f t="array" ref="N336">_xlfn.IFS(
   --MacReports!M336&lt;55,"Battery Defect",
  -- MacReports!M336&lt;=69,"Battery D",
  --MacReports!M336&lt;=80,"Battery C",
 --MacReports!M336&gt;80,""
)</f>
        <v>Battery Defect</v>
      </c>
      <c r="O336" s="16" t="str">
        <f>IF(MacReports!I336="Service","Battery Service","")</f>
        <v/>
      </c>
      <c r="P336" s="13">
        <f>MacReports!P336</f>
        <v>0</v>
      </c>
      <c r="Q336" s="13" t="str">
        <f>IF(MacReports!J336="Enabled","Apple ID Lock","")</f>
        <v/>
      </c>
      <c r="R336" s="13" t="str">
        <f>IF(MacReports!L336="y","Remote Locked","")</f>
        <v/>
      </c>
      <c r="S336" t="str">
        <f t="shared" si="11"/>
        <v>Battery Defect, 0</v>
      </c>
      <c r="T336" t="str">
        <f>_xlfn.XLOOKUP(B336,Disk_Pivot!G:G,Disk_Pivot!I:I)</f>
        <v>Yes x2</v>
      </c>
      <c r="U336" t="str">
        <f>_xlfn.XLOOKUP(B336,Disk_Pivot!G:G,Disk_Pivot!N:N)</f>
        <v>Pass, Fail</v>
      </c>
      <c r="V336" t="str">
        <f>IF(U336="Fail",MacReports!N336,"")</f>
        <v/>
      </c>
      <c r="AB336" t="str">
        <f t="shared" si="12"/>
        <v/>
      </c>
    </row>
    <row r="337" spans="1:28">
      <c r="A337">
        <f>MacReports!A337</f>
        <v>0</v>
      </c>
      <c r="B337">
        <f>MacReports!B337</f>
        <v>0</v>
      </c>
      <c r="C337">
        <f>MacReports!C337</f>
        <v>0</v>
      </c>
      <c r="E337" t="e">
        <f>_xlfn.XLOOKUP(G337,Models!A:A,Models!F:F)</f>
        <v>#N/A</v>
      </c>
      <c r="F337" t="str">
        <f>_xlfn.XLOOKUP(B337,MacReports!B:B,MacReports!D:D,"")</f>
        <v/>
      </c>
      <c r="G337" s="13">
        <f>MacReports!E337</f>
        <v>0</v>
      </c>
      <c r="H337" t="e">
        <f>_xlfn.XLOOKUP(G337,Models!A:A,Models!B:B)</f>
        <v>#N/A</v>
      </c>
      <c r="I337" t="e">
        <f>_xlfn.XLOOKUP(G337,Models!A:A,Models!E:E)</f>
        <v>#N/A</v>
      </c>
      <c r="J337" t="e">
        <f>_xlfn.XLOOKUP(G337,Models!A:A,Models!D:D)</f>
        <v>#N/A</v>
      </c>
      <c r="K337">
        <f>MacReports!F337</f>
        <v>0</v>
      </c>
      <c r="L337">
        <f>MacReports!G337</f>
        <v>0</v>
      </c>
      <c r="M337" s="15" t="e" cm="1">
        <f t="array" ref="M337">--_xlfn.LET(
    _xlpm.txt, MacReports!H337,
    _xlpm.chars, MID(_xlpm.txt, _xlfn.SEQUENCE(LEN(_xlpm.txt)), 1),
    _xlfn.TEXTJOIN("", TRUE, IF(ISNUMBER(--_xlpm.chars), _xlpm.chars, ""))
)</f>
        <v>#VALUE!</v>
      </c>
      <c r="N337" s="16" t="str" cm="1">
        <f t="array" ref="N337">_xlfn.IFS(
   --MacReports!M337&lt;55,"Battery Defect",
  -- MacReports!M337&lt;=69,"Battery D",
  --MacReports!M337&lt;=80,"Battery C",
 --MacReports!M337&gt;80,""
)</f>
        <v>Battery Defect</v>
      </c>
      <c r="O337" s="16" t="str">
        <f>IF(MacReports!I337="Service","Battery Service","")</f>
        <v/>
      </c>
      <c r="P337" s="13">
        <f>MacReports!P337</f>
        <v>0</v>
      </c>
      <c r="Q337" s="13" t="str">
        <f>IF(MacReports!J337="Enabled","Apple ID Lock","")</f>
        <v/>
      </c>
      <c r="R337" s="13" t="str">
        <f>IF(MacReports!L337="y","Remote Locked","")</f>
        <v/>
      </c>
      <c r="S337" t="str">
        <f t="shared" si="11"/>
        <v>Battery Defect, 0</v>
      </c>
      <c r="T337" t="str">
        <f>_xlfn.XLOOKUP(B337,Disk_Pivot!G:G,Disk_Pivot!I:I)</f>
        <v>Yes x2</v>
      </c>
      <c r="U337" t="str">
        <f>_xlfn.XLOOKUP(B337,Disk_Pivot!G:G,Disk_Pivot!N:N)</f>
        <v>Pass, Fail</v>
      </c>
      <c r="V337" t="str">
        <f>IF(U337="Fail",MacReports!N337,"")</f>
        <v/>
      </c>
      <c r="AB337" t="str">
        <f t="shared" si="12"/>
        <v/>
      </c>
    </row>
    <row r="338" spans="1:28">
      <c r="A338">
        <f>MacReports!A338</f>
        <v>0</v>
      </c>
      <c r="B338">
        <f>MacReports!B338</f>
        <v>0</v>
      </c>
      <c r="C338">
        <f>MacReports!C338</f>
        <v>0</v>
      </c>
      <c r="E338" t="e">
        <f>_xlfn.XLOOKUP(G338,Models!A:A,Models!F:F)</f>
        <v>#N/A</v>
      </c>
      <c r="F338" t="str">
        <f>_xlfn.XLOOKUP(B338,MacReports!B:B,MacReports!D:D,"")</f>
        <v/>
      </c>
      <c r="G338" s="13">
        <f>MacReports!E338</f>
        <v>0</v>
      </c>
      <c r="H338" t="e">
        <f>_xlfn.XLOOKUP(G338,Models!A:A,Models!B:B)</f>
        <v>#N/A</v>
      </c>
      <c r="I338" t="e">
        <f>_xlfn.XLOOKUP(G338,Models!A:A,Models!E:E)</f>
        <v>#N/A</v>
      </c>
      <c r="J338" t="e">
        <f>_xlfn.XLOOKUP(G338,Models!A:A,Models!D:D)</f>
        <v>#N/A</v>
      </c>
      <c r="K338">
        <f>MacReports!F338</f>
        <v>0</v>
      </c>
      <c r="L338">
        <f>MacReports!G338</f>
        <v>0</v>
      </c>
      <c r="M338" s="15" t="e" cm="1">
        <f t="array" ref="M338">--_xlfn.LET(
    _xlpm.txt, MacReports!H338,
    _xlpm.chars, MID(_xlpm.txt, _xlfn.SEQUENCE(LEN(_xlpm.txt)), 1),
    _xlfn.TEXTJOIN("", TRUE, IF(ISNUMBER(--_xlpm.chars), _xlpm.chars, ""))
)</f>
        <v>#VALUE!</v>
      </c>
      <c r="N338" s="16" t="str" cm="1">
        <f t="array" ref="N338">_xlfn.IFS(
   --MacReports!M338&lt;55,"Battery Defect",
  -- MacReports!M338&lt;=69,"Battery D",
  --MacReports!M338&lt;=80,"Battery C",
 --MacReports!M338&gt;80,""
)</f>
        <v>Battery Defect</v>
      </c>
      <c r="O338" s="16" t="str">
        <f>IF(MacReports!I338="Service","Battery Service","")</f>
        <v/>
      </c>
      <c r="P338" s="13">
        <f>MacReports!P338</f>
        <v>0</v>
      </c>
      <c r="Q338" s="13" t="str">
        <f>IF(MacReports!J338="Enabled","Apple ID Lock","")</f>
        <v/>
      </c>
      <c r="R338" s="13" t="str">
        <f>IF(MacReports!L338="y","Remote Locked","")</f>
        <v/>
      </c>
      <c r="S338" t="str">
        <f t="shared" si="11"/>
        <v>Battery Defect, 0</v>
      </c>
      <c r="T338" t="str">
        <f>_xlfn.XLOOKUP(B338,Disk_Pivot!G:G,Disk_Pivot!I:I)</f>
        <v>Yes x2</v>
      </c>
      <c r="U338" t="str">
        <f>_xlfn.XLOOKUP(B338,Disk_Pivot!G:G,Disk_Pivot!N:N)</f>
        <v>Pass, Fail</v>
      </c>
      <c r="V338" t="str">
        <f>IF(U338="Fail",MacReports!N338,"")</f>
        <v/>
      </c>
      <c r="AB338" t="str">
        <f t="shared" si="12"/>
        <v/>
      </c>
    </row>
    <row r="339" spans="1:28">
      <c r="A339">
        <f>MacReports!A339</f>
        <v>0</v>
      </c>
      <c r="B339">
        <f>MacReports!B339</f>
        <v>0</v>
      </c>
      <c r="C339">
        <f>MacReports!C339</f>
        <v>0</v>
      </c>
      <c r="E339" t="e">
        <f>_xlfn.XLOOKUP(G339,Models!A:A,Models!F:F)</f>
        <v>#N/A</v>
      </c>
      <c r="F339" t="str">
        <f>_xlfn.XLOOKUP(B339,MacReports!B:B,MacReports!D:D,"")</f>
        <v/>
      </c>
      <c r="G339" s="13">
        <f>MacReports!E339</f>
        <v>0</v>
      </c>
      <c r="H339" t="e">
        <f>_xlfn.XLOOKUP(G339,Models!A:A,Models!B:B)</f>
        <v>#N/A</v>
      </c>
      <c r="I339" t="e">
        <f>_xlfn.XLOOKUP(G339,Models!A:A,Models!E:E)</f>
        <v>#N/A</v>
      </c>
      <c r="J339" t="e">
        <f>_xlfn.XLOOKUP(G339,Models!A:A,Models!D:D)</f>
        <v>#N/A</v>
      </c>
      <c r="K339">
        <f>MacReports!F339</f>
        <v>0</v>
      </c>
      <c r="L339">
        <f>MacReports!G339</f>
        <v>0</v>
      </c>
      <c r="M339" s="15" t="e" cm="1">
        <f t="array" ref="M339">--_xlfn.LET(
    _xlpm.txt, MacReports!H339,
    _xlpm.chars, MID(_xlpm.txt, _xlfn.SEQUENCE(LEN(_xlpm.txt)), 1),
    _xlfn.TEXTJOIN("", TRUE, IF(ISNUMBER(--_xlpm.chars), _xlpm.chars, ""))
)</f>
        <v>#VALUE!</v>
      </c>
      <c r="N339" s="16" t="str" cm="1">
        <f t="array" ref="N339">_xlfn.IFS(
   --MacReports!M339&lt;55,"Battery Defect",
  -- MacReports!M339&lt;=69,"Battery D",
  --MacReports!M339&lt;=80,"Battery C",
 --MacReports!M339&gt;80,""
)</f>
        <v>Battery Defect</v>
      </c>
      <c r="O339" s="16" t="str">
        <f>IF(MacReports!I339="Service","Battery Service","")</f>
        <v/>
      </c>
      <c r="P339" s="13">
        <f>MacReports!P339</f>
        <v>0</v>
      </c>
      <c r="Q339" s="13" t="str">
        <f>IF(MacReports!J339="Enabled","Apple ID Lock","")</f>
        <v/>
      </c>
      <c r="R339" s="13" t="str">
        <f>IF(MacReports!L339="y","Remote Locked","")</f>
        <v/>
      </c>
      <c r="S339" t="str">
        <f t="shared" si="11"/>
        <v>Battery Defect, 0</v>
      </c>
      <c r="T339" t="str">
        <f>_xlfn.XLOOKUP(B339,Disk_Pivot!G:G,Disk_Pivot!I:I)</f>
        <v>Yes x2</v>
      </c>
      <c r="U339" t="str">
        <f>_xlfn.XLOOKUP(B339,Disk_Pivot!G:G,Disk_Pivot!N:N)</f>
        <v>Pass, Fail</v>
      </c>
      <c r="V339" t="str">
        <f>IF(U339="Fail",MacReports!N339,"")</f>
        <v/>
      </c>
      <c r="AB339" t="str">
        <f t="shared" si="12"/>
        <v/>
      </c>
    </row>
    <row r="340" spans="1:28">
      <c r="A340">
        <f>MacReports!A340</f>
        <v>0</v>
      </c>
      <c r="B340">
        <f>MacReports!B340</f>
        <v>0</v>
      </c>
      <c r="C340">
        <f>MacReports!C340</f>
        <v>0</v>
      </c>
      <c r="E340" t="e">
        <f>_xlfn.XLOOKUP(G340,Models!A:A,Models!F:F)</f>
        <v>#N/A</v>
      </c>
      <c r="F340" t="str">
        <f>_xlfn.XLOOKUP(B340,MacReports!B:B,MacReports!D:D,"")</f>
        <v/>
      </c>
      <c r="G340" s="13">
        <f>MacReports!E340</f>
        <v>0</v>
      </c>
      <c r="H340" t="e">
        <f>_xlfn.XLOOKUP(G340,Models!A:A,Models!B:B)</f>
        <v>#N/A</v>
      </c>
      <c r="I340" t="e">
        <f>_xlfn.XLOOKUP(G340,Models!A:A,Models!E:E)</f>
        <v>#N/A</v>
      </c>
      <c r="J340" t="e">
        <f>_xlfn.XLOOKUP(G340,Models!A:A,Models!D:D)</f>
        <v>#N/A</v>
      </c>
      <c r="K340">
        <f>MacReports!F340</f>
        <v>0</v>
      </c>
      <c r="L340">
        <f>MacReports!G340</f>
        <v>0</v>
      </c>
      <c r="M340" s="15" t="e" cm="1">
        <f t="array" ref="M340">--_xlfn.LET(
    _xlpm.txt, MacReports!H340,
    _xlpm.chars, MID(_xlpm.txt, _xlfn.SEQUENCE(LEN(_xlpm.txt)), 1),
    _xlfn.TEXTJOIN("", TRUE, IF(ISNUMBER(--_xlpm.chars), _xlpm.chars, ""))
)</f>
        <v>#VALUE!</v>
      </c>
      <c r="N340" s="16" t="str" cm="1">
        <f t="array" ref="N340">_xlfn.IFS(
   --MacReports!M340&lt;55,"Battery Defect",
  -- MacReports!M340&lt;=69,"Battery D",
  --MacReports!M340&lt;=80,"Battery C",
 --MacReports!M340&gt;80,""
)</f>
        <v>Battery Defect</v>
      </c>
      <c r="O340" s="16" t="str">
        <f>IF(MacReports!I340="Service","Battery Service","")</f>
        <v/>
      </c>
      <c r="P340" s="13">
        <f>MacReports!P340</f>
        <v>0</v>
      </c>
      <c r="Q340" s="13" t="str">
        <f>IF(MacReports!J340="Enabled","Apple ID Lock","")</f>
        <v/>
      </c>
      <c r="R340" s="13" t="str">
        <f>IF(MacReports!L340="y","Remote Locked","")</f>
        <v/>
      </c>
      <c r="S340" t="str">
        <f t="shared" si="11"/>
        <v>Battery Defect, 0</v>
      </c>
      <c r="T340" t="str">
        <f>_xlfn.XLOOKUP(B340,Disk_Pivot!G:G,Disk_Pivot!I:I)</f>
        <v>Yes x2</v>
      </c>
      <c r="U340" t="str">
        <f>_xlfn.XLOOKUP(B340,Disk_Pivot!G:G,Disk_Pivot!N:N)</f>
        <v>Pass, Fail</v>
      </c>
      <c r="V340" t="str">
        <f>IF(U340="Fail",MacReports!N340,"")</f>
        <v/>
      </c>
      <c r="AB340" t="str">
        <f t="shared" si="12"/>
        <v/>
      </c>
    </row>
    <row r="341" spans="1:28">
      <c r="A341">
        <f>MacReports!A341</f>
        <v>0</v>
      </c>
      <c r="B341">
        <f>MacReports!B341</f>
        <v>0</v>
      </c>
      <c r="C341">
        <f>MacReports!C341</f>
        <v>0</v>
      </c>
      <c r="E341" t="e">
        <f>_xlfn.XLOOKUP(G341,Models!A:A,Models!F:F)</f>
        <v>#N/A</v>
      </c>
      <c r="F341" t="str">
        <f>_xlfn.XLOOKUP(B341,MacReports!B:B,MacReports!D:D,"")</f>
        <v/>
      </c>
      <c r="G341" s="13">
        <f>MacReports!E341</f>
        <v>0</v>
      </c>
      <c r="H341" t="e">
        <f>_xlfn.XLOOKUP(G341,Models!A:A,Models!B:B)</f>
        <v>#N/A</v>
      </c>
      <c r="I341" t="e">
        <f>_xlfn.XLOOKUP(G341,Models!A:A,Models!E:E)</f>
        <v>#N/A</v>
      </c>
      <c r="J341" t="e">
        <f>_xlfn.XLOOKUP(G341,Models!A:A,Models!D:D)</f>
        <v>#N/A</v>
      </c>
      <c r="K341">
        <f>MacReports!F341</f>
        <v>0</v>
      </c>
      <c r="L341">
        <f>MacReports!G341</f>
        <v>0</v>
      </c>
      <c r="M341" s="15" t="e" cm="1">
        <f t="array" ref="M341">--_xlfn.LET(
    _xlpm.txt, MacReports!H341,
    _xlpm.chars, MID(_xlpm.txt, _xlfn.SEQUENCE(LEN(_xlpm.txt)), 1),
    _xlfn.TEXTJOIN("", TRUE, IF(ISNUMBER(--_xlpm.chars), _xlpm.chars, ""))
)</f>
        <v>#VALUE!</v>
      </c>
      <c r="N341" s="16" t="str" cm="1">
        <f t="array" ref="N341">_xlfn.IFS(
   --MacReports!M341&lt;55,"Battery Defect",
  -- MacReports!M341&lt;=69,"Battery D",
  --MacReports!M341&lt;=80,"Battery C",
 --MacReports!M341&gt;80,""
)</f>
        <v>Battery Defect</v>
      </c>
      <c r="O341" s="16" t="str">
        <f>IF(MacReports!I341="Service","Battery Service","")</f>
        <v/>
      </c>
      <c r="P341" s="13">
        <f>MacReports!P341</f>
        <v>0</v>
      </c>
      <c r="Q341" s="13" t="str">
        <f>IF(MacReports!J341="Enabled","Apple ID Lock","")</f>
        <v/>
      </c>
      <c r="R341" s="13" t="str">
        <f>IF(MacReports!L341="y","Remote Locked","")</f>
        <v/>
      </c>
      <c r="S341" t="str">
        <f t="shared" si="11"/>
        <v>Battery Defect, 0</v>
      </c>
      <c r="T341" t="str">
        <f>_xlfn.XLOOKUP(B341,Disk_Pivot!G:G,Disk_Pivot!I:I)</f>
        <v>Yes x2</v>
      </c>
      <c r="U341" t="str">
        <f>_xlfn.XLOOKUP(B341,Disk_Pivot!G:G,Disk_Pivot!N:N)</f>
        <v>Pass, Fail</v>
      </c>
      <c r="V341" t="str">
        <f>IF(U341="Fail",MacReports!N341,"")</f>
        <v/>
      </c>
      <c r="AB341" t="str">
        <f t="shared" si="12"/>
        <v/>
      </c>
    </row>
    <row r="342" spans="1:28">
      <c r="A342">
        <f>MacReports!A342</f>
        <v>0</v>
      </c>
      <c r="B342">
        <f>MacReports!B342</f>
        <v>0</v>
      </c>
      <c r="C342">
        <f>MacReports!C342</f>
        <v>0</v>
      </c>
      <c r="E342" t="e">
        <f>_xlfn.XLOOKUP(G342,Models!A:A,Models!F:F)</f>
        <v>#N/A</v>
      </c>
      <c r="F342" t="str">
        <f>_xlfn.XLOOKUP(B342,MacReports!B:B,MacReports!D:D,"")</f>
        <v/>
      </c>
      <c r="G342" s="13">
        <f>MacReports!E342</f>
        <v>0</v>
      </c>
      <c r="H342" t="e">
        <f>_xlfn.XLOOKUP(G342,Models!A:A,Models!B:B)</f>
        <v>#N/A</v>
      </c>
      <c r="I342" t="e">
        <f>_xlfn.XLOOKUP(G342,Models!A:A,Models!E:E)</f>
        <v>#N/A</v>
      </c>
      <c r="J342" t="e">
        <f>_xlfn.XLOOKUP(G342,Models!A:A,Models!D:D)</f>
        <v>#N/A</v>
      </c>
      <c r="K342">
        <f>MacReports!F342</f>
        <v>0</v>
      </c>
      <c r="L342">
        <f>MacReports!G342</f>
        <v>0</v>
      </c>
      <c r="M342" s="15" t="e" cm="1">
        <f t="array" ref="M342">--_xlfn.LET(
    _xlpm.txt, MacReports!H342,
    _xlpm.chars, MID(_xlpm.txt, _xlfn.SEQUENCE(LEN(_xlpm.txt)), 1),
    _xlfn.TEXTJOIN("", TRUE, IF(ISNUMBER(--_xlpm.chars), _xlpm.chars, ""))
)</f>
        <v>#VALUE!</v>
      </c>
      <c r="N342" s="16" t="str" cm="1">
        <f t="array" ref="N342">_xlfn.IFS(
   --MacReports!M342&lt;55,"Battery Defect",
  -- MacReports!M342&lt;=69,"Battery D",
  --MacReports!M342&lt;=80,"Battery C",
 --MacReports!M342&gt;80,""
)</f>
        <v>Battery Defect</v>
      </c>
      <c r="O342" s="16" t="str">
        <f>IF(MacReports!I342="Service","Battery Service","")</f>
        <v/>
      </c>
      <c r="P342" s="13">
        <f>MacReports!P342</f>
        <v>0</v>
      </c>
      <c r="Q342" s="13" t="str">
        <f>IF(MacReports!J342="Enabled","Apple ID Lock","")</f>
        <v/>
      </c>
      <c r="R342" s="13" t="str">
        <f>IF(MacReports!L342="y","Remote Locked","")</f>
        <v/>
      </c>
      <c r="S342" t="str">
        <f t="shared" si="11"/>
        <v>Battery Defect, 0</v>
      </c>
      <c r="T342" t="str">
        <f>_xlfn.XLOOKUP(B342,Disk_Pivot!G:G,Disk_Pivot!I:I)</f>
        <v>Yes x2</v>
      </c>
      <c r="U342" t="str">
        <f>_xlfn.XLOOKUP(B342,Disk_Pivot!G:G,Disk_Pivot!N:N)</f>
        <v>Pass, Fail</v>
      </c>
      <c r="V342" t="str">
        <f>IF(U342="Fail",MacReports!N342,"")</f>
        <v/>
      </c>
      <c r="AB342" t="str">
        <f t="shared" si="12"/>
        <v/>
      </c>
    </row>
    <row r="343" spans="1:28">
      <c r="A343">
        <f>MacReports!A343</f>
        <v>0</v>
      </c>
      <c r="B343">
        <f>MacReports!B343</f>
        <v>0</v>
      </c>
      <c r="C343">
        <f>MacReports!C343</f>
        <v>0</v>
      </c>
      <c r="E343" t="e">
        <f>_xlfn.XLOOKUP(G343,Models!A:A,Models!F:F)</f>
        <v>#N/A</v>
      </c>
      <c r="F343" t="str">
        <f>_xlfn.XLOOKUP(B343,MacReports!B:B,MacReports!D:D,"")</f>
        <v/>
      </c>
      <c r="G343" s="13">
        <f>MacReports!E343</f>
        <v>0</v>
      </c>
      <c r="H343" t="e">
        <f>_xlfn.XLOOKUP(G343,Models!A:A,Models!B:B)</f>
        <v>#N/A</v>
      </c>
      <c r="I343" t="e">
        <f>_xlfn.XLOOKUP(G343,Models!A:A,Models!E:E)</f>
        <v>#N/A</v>
      </c>
      <c r="J343" t="e">
        <f>_xlfn.XLOOKUP(G343,Models!A:A,Models!D:D)</f>
        <v>#N/A</v>
      </c>
      <c r="K343">
        <f>MacReports!F343</f>
        <v>0</v>
      </c>
      <c r="L343">
        <f>MacReports!G343</f>
        <v>0</v>
      </c>
      <c r="M343" s="15" t="e" cm="1">
        <f t="array" ref="M343">--_xlfn.LET(
    _xlpm.txt, MacReports!H343,
    _xlpm.chars, MID(_xlpm.txt, _xlfn.SEQUENCE(LEN(_xlpm.txt)), 1),
    _xlfn.TEXTJOIN("", TRUE, IF(ISNUMBER(--_xlpm.chars), _xlpm.chars, ""))
)</f>
        <v>#VALUE!</v>
      </c>
      <c r="N343" s="16" t="str" cm="1">
        <f t="array" ref="N343">_xlfn.IFS(
   --MacReports!M343&lt;55,"Battery Defect",
  -- MacReports!M343&lt;=69,"Battery D",
  --MacReports!M343&lt;=80,"Battery C",
 --MacReports!M343&gt;80,""
)</f>
        <v>Battery Defect</v>
      </c>
      <c r="O343" s="16" t="str">
        <f>IF(MacReports!I343="Service","Battery Service","")</f>
        <v/>
      </c>
      <c r="P343" s="13">
        <f>MacReports!P343</f>
        <v>0</v>
      </c>
      <c r="Q343" s="13" t="str">
        <f>IF(MacReports!J343="Enabled","Apple ID Lock","")</f>
        <v/>
      </c>
      <c r="R343" s="13" t="str">
        <f>IF(MacReports!L343="y","Remote Locked","")</f>
        <v/>
      </c>
      <c r="S343" t="str">
        <f t="shared" si="11"/>
        <v>Battery Defect, 0</v>
      </c>
      <c r="T343" t="str">
        <f>_xlfn.XLOOKUP(B343,Disk_Pivot!G:G,Disk_Pivot!I:I)</f>
        <v>Yes x2</v>
      </c>
      <c r="U343" t="str">
        <f>_xlfn.XLOOKUP(B343,Disk_Pivot!G:G,Disk_Pivot!N:N)</f>
        <v>Pass, Fail</v>
      </c>
      <c r="V343" t="str">
        <f>IF(U343="Fail",MacReports!N343,"")</f>
        <v/>
      </c>
      <c r="AB343" t="str">
        <f t="shared" si="12"/>
        <v/>
      </c>
    </row>
    <row r="344" spans="1:28">
      <c r="A344">
        <f>MacReports!A344</f>
        <v>0</v>
      </c>
      <c r="B344">
        <f>MacReports!B344</f>
        <v>0</v>
      </c>
      <c r="C344">
        <f>MacReports!C344</f>
        <v>0</v>
      </c>
      <c r="E344" t="e">
        <f>_xlfn.XLOOKUP(G344,Models!A:A,Models!F:F)</f>
        <v>#N/A</v>
      </c>
      <c r="F344" t="str">
        <f>_xlfn.XLOOKUP(B344,MacReports!B:B,MacReports!D:D,"")</f>
        <v/>
      </c>
      <c r="G344" s="13">
        <f>MacReports!E344</f>
        <v>0</v>
      </c>
      <c r="H344" t="e">
        <f>_xlfn.XLOOKUP(G344,Models!A:A,Models!B:B)</f>
        <v>#N/A</v>
      </c>
      <c r="I344" t="e">
        <f>_xlfn.XLOOKUP(G344,Models!A:A,Models!E:E)</f>
        <v>#N/A</v>
      </c>
      <c r="J344" t="e">
        <f>_xlfn.XLOOKUP(G344,Models!A:A,Models!D:D)</f>
        <v>#N/A</v>
      </c>
      <c r="K344">
        <f>MacReports!F344</f>
        <v>0</v>
      </c>
      <c r="L344">
        <f>MacReports!G344</f>
        <v>0</v>
      </c>
      <c r="M344" s="15" t="e" cm="1">
        <f t="array" ref="M344">--_xlfn.LET(
    _xlpm.txt, MacReports!H344,
    _xlpm.chars, MID(_xlpm.txt, _xlfn.SEQUENCE(LEN(_xlpm.txt)), 1),
    _xlfn.TEXTJOIN("", TRUE, IF(ISNUMBER(--_xlpm.chars), _xlpm.chars, ""))
)</f>
        <v>#VALUE!</v>
      </c>
      <c r="N344" s="16" t="str" cm="1">
        <f t="array" ref="N344">_xlfn.IFS(
   --MacReports!M344&lt;55,"Battery Defect",
  -- MacReports!M344&lt;=69,"Battery D",
  --MacReports!M344&lt;=80,"Battery C",
 --MacReports!M344&gt;80,""
)</f>
        <v>Battery Defect</v>
      </c>
      <c r="O344" s="16" t="str">
        <f>IF(MacReports!I344="Service","Battery Service","")</f>
        <v/>
      </c>
      <c r="P344" s="13">
        <f>MacReports!P344</f>
        <v>0</v>
      </c>
      <c r="Q344" s="13" t="str">
        <f>IF(MacReports!J344="Enabled","Apple ID Lock","")</f>
        <v/>
      </c>
      <c r="R344" s="13" t="str">
        <f>IF(MacReports!L344="y","Remote Locked","")</f>
        <v/>
      </c>
      <c r="S344" t="str">
        <f t="shared" si="11"/>
        <v>Battery Defect, 0</v>
      </c>
      <c r="T344" t="str">
        <f>_xlfn.XLOOKUP(B344,Disk_Pivot!G:G,Disk_Pivot!I:I)</f>
        <v>Yes x2</v>
      </c>
      <c r="U344" t="str">
        <f>_xlfn.XLOOKUP(B344,Disk_Pivot!G:G,Disk_Pivot!N:N)</f>
        <v>Pass, Fail</v>
      </c>
      <c r="V344" t="str">
        <f>IF(U344="Fail",MacReports!N344,"")</f>
        <v/>
      </c>
      <c r="AB344" t="str">
        <f t="shared" si="12"/>
        <v/>
      </c>
    </row>
    <row r="345" spans="1:28">
      <c r="A345">
        <f>MacReports!A345</f>
        <v>0</v>
      </c>
      <c r="B345">
        <f>MacReports!B345</f>
        <v>0</v>
      </c>
      <c r="C345">
        <f>MacReports!C345</f>
        <v>0</v>
      </c>
      <c r="E345" t="e">
        <f>_xlfn.XLOOKUP(G345,Models!A:A,Models!F:F)</f>
        <v>#N/A</v>
      </c>
      <c r="F345" t="str">
        <f>_xlfn.XLOOKUP(B345,MacReports!B:B,MacReports!D:D,"")</f>
        <v/>
      </c>
      <c r="G345" s="13">
        <f>MacReports!E345</f>
        <v>0</v>
      </c>
      <c r="H345" t="e">
        <f>_xlfn.XLOOKUP(G345,Models!A:A,Models!B:B)</f>
        <v>#N/A</v>
      </c>
      <c r="I345" t="e">
        <f>_xlfn.XLOOKUP(G345,Models!A:A,Models!E:E)</f>
        <v>#N/A</v>
      </c>
      <c r="J345" t="e">
        <f>_xlfn.XLOOKUP(G345,Models!A:A,Models!D:D)</f>
        <v>#N/A</v>
      </c>
      <c r="K345">
        <f>MacReports!F345</f>
        <v>0</v>
      </c>
      <c r="L345">
        <f>MacReports!G345</f>
        <v>0</v>
      </c>
      <c r="M345" s="15" t="e" cm="1">
        <f t="array" ref="M345">--_xlfn.LET(
    _xlpm.txt, MacReports!H345,
    _xlpm.chars, MID(_xlpm.txt, _xlfn.SEQUENCE(LEN(_xlpm.txt)), 1),
    _xlfn.TEXTJOIN("", TRUE, IF(ISNUMBER(--_xlpm.chars), _xlpm.chars, ""))
)</f>
        <v>#VALUE!</v>
      </c>
      <c r="N345" s="16" t="str" cm="1">
        <f t="array" ref="N345">_xlfn.IFS(
   --MacReports!M345&lt;55,"Battery Defect",
  -- MacReports!M345&lt;=69,"Battery D",
  --MacReports!M345&lt;=80,"Battery C",
 --MacReports!M345&gt;80,""
)</f>
        <v>Battery Defect</v>
      </c>
      <c r="O345" s="16" t="str">
        <f>IF(MacReports!I345="Service","Battery Service","")</f>
        <v/>
      </c>
      <c r="P345" s="13">
        <f>MacReports!P345</f>
        <v>0</v>
      </c>
      <c r="Q345" s="13" t="str">
        <f>IF(MacReports!J345="Enabled","Apple ID Lock","")</f>
        <v/>
      </c>
      <c r="R345" s="13" t="str">
        <f>IF(MacReports!L345="y","Remote Locked","")</f>
        <v/>
      </c>
      <c r="S345" t="str">
        <f t="shared" si="11"/>
        <v>Battery Defect, 0</v>
      </c>
      <c r="T345" t="str">
        <f>_xlfn.XLOOKUP(B345,Disk_Pivot!G:G,Disk_Pivot!I:I)</f>
        <v>Yes x2</v>
      </c>
      <c r="U345" t="str">
        <f>_xlfn.XLOOKUP(B345,Disk_Pivot!G:G,Disk_Pivot!N:N)</f>
        <v>Pass, Fail</v>
      </c>
      <c r="V345" t="str">
        <f>IF(U345="Fail",MacReports!N345,"")</f>
        <v/>
      </c>
      <c r="AB345" t="str">
        <f t="shared" si="12"/>
        <v/>
      </c>
    </row>
    <row r="346" spans="1:28">
      <c r="A346">
        <f>MacReports!A346</f>
        <v>0</v>
      </c>
      <c r="B346">
        <f>MacReports!B346</f>
        <v>0</v>
      </c>
      <c r="C346">
        <f>MacReports!C346</f>
        <v>0</v>
      </c>
      <c r="E346" t="e">
        <f>_xlfn.XLOOKUP(G346,Models!A:A,Models!F:F)</f>
        <v>#N/A</v>
      </c>
      <c r="F346" t="str">
        <f>_xlfn.XLOOKUP(B346,MacReports!B:B,MacReports!D:D,"")</f>
        <v/>
      </c>
      <c r="G346" s="13">
        <f>MacReports!E346</f>
        <v>0</v>
      </c>
      <c r="H346" t="e">
        <f>_xlfn.XLOOKUP(G346,Models!A:A,Models!B:B)</f>
        <v>#N/A</v>
      </c>
      <c r="I346" t="e">
        <f>_xlfn.XLOOKUP(G346,Models!A:A,Models!E:E)</f>
        <v>#N/A</v>
      </c>
      <c r="J346" t="e">
        <f>_xlfn.XLOOKUP(G346,Models!A:A,Models!D:D)</f>
        <v>#N/A</v>
      </c>
      <c r="K346">
        <f>MacReports!F346</f>
        <v>0</v>
      </c>
      <c r="L346">
        <f>MacReports!G346</f>
        <v>0</v>
      </c>
      <c r="M346" s="15" t="e" cm="1">
        <f t="array" ref="M346">--_xlfn.LET(
    _xlpm.txt, MacReports!H346,
    _xlpm.chars, MID(_xlpm.txt, _xlfn.SEQUENCE(LEN(_xlpm.txt)), 1),
    _xlfn.TEXTJOIN("", TRUE, IF(ISNUMBER(--_xlpm.chars), _xlpm.chars, ""))
)</f>
        <v>#VALUE!</v>
      </c>
      <c r="N346" s="16" t="str" cm="1">
        <f t="array" ref="N346">_xlfn.IFS(
   --MacReports!M346&lt;55,"Battery Defect",
  -- MacReports!M346&lt;=69,"Battery D",
  --MacReports!M346&lt;=80,"Battery C",
 --MacReports!M346&gt;80,""
)</f>
        <v>Battery Defect</v>
      </c>
      <c r="O346" s="16" t="str">
        <f>IF(MacReports!I346="Service","Battery Service","")</f>
        <v/>
      </c>
      <c r="P346" s="13">
        <f>MacReports!P346</f>
        <v>0</v>
      </c>
      <c r="Q346" s="13" t="str">
        <f>IF(MacReports!J346="Enabled","Apple ID Lock","")</f>
        <v/>
      </c>
      <c r="R346" s="13" t="str">
        <f>IF(MacReports!L346="y","Remote Locked","")</f>
        <v/>
      </c>
      <c r="S346" t="str">
        <f t="shared" si="11"/>
        <v>Battery Defect, 0</v>
      </c>
      <c r="T346" t="str">
        <f>_xlfn.XLOOKUP(B346,Disk_Pivot!G:G,Disk_Pivot!I:I)</f>
        <v>Yes x2</v>
      </c>
      <c r="U346" t="str">
        <f>_xlfn.XLOOKUP(B346,Disk_Pivot!G:G,Disk_Pivot!N:N)</f>
        <v>Pass, Fail</v>
      </c>
      <c r="V346" t="str">
        <f>IF(U346="Fail",MacReports!N346,"")</f>
        <v/>
      </c>
      <c r="AB346" t="str">
        <f t="shared" si="12"/>
        <v/>
      </c>
    </row>
    <row r="347" spans="1:28">
      <c r="A347">
        <f>MacReports!A347</f>
        <v>0</v>
      </c>
      <c r="B347">
        <f>MacReports!B347</f>
        <v>0</v>
      </c>
      <c r="C347">
        <f>MacReports!C347</f>
        <v>0</v>
      </c>
      <c r="E347" t="e">
        <f>_xlfn.XLOOKUP(G347,Models!A:A,Models!F:F)</f>
        <v>#N/A</v>
      </c>
      <c r="F347" t="str">
        <f>_xlfn.XLOOKUP(B347,MacReports!B:B,MacReports!D:D,"")</f>
        <v/>
      </c>
      <c r="G347" s="13">
        <f>MacReports!E347</f>
        <v>0</v>
      </c>
      <c r="H347" t="e">
        <f>_xlfn.XLOOKUP(G347,Models!A:A,Models!B:B)</f>
        <v>#N/A</v>
      </c>
      <c r="I347" t="e">
        <f>_xlfn.XLOOKUP(G347,Models!A:A,Models!E:E)</f>
        <v>#N/A</v>
      </c>
      <c r="J347" t="e">
        <f>_xlfn.XLOOKUP(G347,Models!A:A,Models!D:D)</f>
        <v>#N/A</v>
      </c>
      <c r="K347">
        <f>MacReports!F347</f>
        <v>0</v>
      </c>
      <c r="L347">
        <f>MacReports!G347</f>
        <v>0</v>
      </c>
      <c r="M347" s="15" t="e" cm="1">
        <f t="array" ref="M347">--_xlfn.LET(
    _xlpm.txt, MacReports!H347,
    _xlpm.chars, MID(_xlpm.txt, _xlfn.SEQUENCE(LEN(_xlpm.txt)), 1),
    _xlfn.TEXTJOIN("", TRUE, IF(ISNUMBER(--_xlpm.chars), _xlpm.chars, ""))
)</f>
        <v>#VALUE!</v>
      </c>
      <c r="N347" s="16" t="str" cm="1">
        <f t="array" ref="N347">_xlfn.IFS(
   --MacReports!M347&lt;55,"Battery Defect",
  -- MacReports!M347&lt;=69,"Battery D",
  --MacReports!M347&lt;=80,"Battery C",
 --MacReports!M347&gt;80,""
)</f>
        <v>Battery Defect</v>
      </c>
      <c r="O347" s="16" t="str">
        <f>IF(MacReports!I347="Service","Battery Service","")</f>
        <v/>
      </c>
      <c r="P347" s="13">
        <f>MacReports!P347</f>
        <v>0</v>
      </c>
      <c r="Q347" s="13" t="str">
        <f>IF(MacReports!J347="Enabled","Apple ID Lock","")</f>
        <v/>
      </c>
      <c r="R347" s="13" t="str">
        <f>IF(MacReports!L347="y","Remote Locked","")</f>
        <v/>
      </c>
      <c r="S347" t="str">
        <f t="shared" si="11"/>
        <v>Battery Defect, 0</v>
      </c>
      <c r="T347" t="str">
        <f>_xlfn.XLOOKUP(B347,Disk_Pivot!G:G,Disk_Pivot!I:I)</f>
        <v>Yes x2</v>
      </c>
      <c r="U347" t="str">
        <f>_xlfn.XLOOKUP(B347,Disk_Pivot!G:G,Disk_Pivot!N:N)</f>
        <v>Pass, Fail</v>
      </c>
      <c r="V347" t="str">
        <f>IF(U347="Fail",MacReports!N347,"")</f>
        <v/>
      </c>
      <c r="AB347" t="str">
        <f t="shared" si="12"/>
        <v/>
      </c>
    </row>
    <row r="348" spans="1:28">
      <c r="A348">
        <f>MacReports!A348</f>
        <v>0</v>
      </c>
      <c r="B348">
        <f>MacReports!B348</f>
        <v>0</v>
      </c>
      <c r="C348">
        <f>MacReports!C348</f>
        <v>0</v>
      </c>
      <c r="E348" t="e">
        <f>_xlfn.XLOOKUP(G348,Models!A:A,Models!F:F)</f>
        <v>#N/A</v>
      </c>
      <c r="F348" t="str">
        <f>_xlfn.XLOOKUP(B348,MacReports!B:B,MacReports!D:D,"")</f>
        <v/>
      </c>
      <c r="G348" s="13">
        <f>MacReports!E348</f>
        <v>0</v>
      </c>
      <c r="H348" t="e">
        <f>_xlfn.XLOOKUP(G348,Models!A:A,Models!B:B)</f>
        <v>#N/A</v>
      </c>
      <c r="I348" t="e">
        <f>_xlfn.XLOOKUP(G348,Models!A:A,Models!E:E)</f>
        <v>#N/A</v>
      </c>
      <c r="J348" t="e">
        <f>_xlfn.XLOOKUP(G348,Models!A:A,Models!D:D)</f>
        <v>#N/A</v>
      </c>
      <c r="K348">
        <f>MacReports!F348</f>
        <v>0</v>
      </c>
      <c r="L348">
        <f>MacReports!G348</f>
        <v>0</v>
      </c>
      <c r="M348" s="15" t="e" cm="1">
        <f t="array" ref="M348">--_xlfn.LET(
    _xlpm.txt, MacReports!H348,
    _xlpm.chars, MID(_xlpm.txt, _xlfn.SEQUENCE(LEN(_xlpm.txt)), 1),
    _xlfn.TEXTJOIN("", TRUE, IF(ISNUMBER(--_xlpm.chars), _xlpm.chars, ""))
)</f>
        <v>#VALUE!</v>
      </c>
      <c r="N348" s="16" t="str" cm="1">
        <f t="array" ref="N348">_xlfn.IFS(
   --MacReports!M348&lt;55,"Battery Defect",
  -- MacReports!M348&lt;=69,"Battery D",
  --MacReports!M348&lt;=80,"Battery C",
 --MacReports!M348&gt;80,""
)</f>
        <v>Battery Defect</v>
      </c>
      <c r="O348" s="16" t="str">
        <f>IF(MacReports!I348="Service","Battery Service","")</f>
        <v/>
      </c>
      <c r="P348" s="13">
        <f>MacReports!P348</f>
        <v>0</v>
      </c>
      <c r="Q348" s="13" t="str">
        <f>IF(MacReports!J348="Enabled","Apple ID Lock","")</f>
        <v/>
      </c>
      <c r="R348" s="13" t="str">
        <f>IF(MacReports!L348="y","Remote Locked","")</f>
        <v/>
      </c>
      <c r="S348" t="str">
        <f t="shared" si="11"/>
        <v>Battery Defect, 0</v>
      </c>
      <c r="T348" t="str">
        <f>_xlfn.XLOOKUP(B348,Disk_Pivot!G:G,Disk_Pivot!I:I)</f>
        <v>Yes x2</v>
      </c>
      <c r="U348" t="str">
        <f>_xlfn.XLOOKUP(B348,Disk_Pivot!G:G,Disk_Pivot!N:N)</f>
        <v>Pass, Fail</v>
      </c>
      <c r="V348" t="str">
        <f>IF(U348="Fail",MacReports!N348,"")</f>
        <v/>
      </c>
      <c r="AB348" t="str">
        <f t="shared" si="12"/>
        <v/>
      </c>
    </row>
    <row r="349" spans="1:28">
      <c r="A349">
        <f>MacReports!A349</f>
        <v>0</v>
      </c>
      <c r="B349">
        <f>MacReports!B349</f>
        <v>0</v>
      </c>
      <c r="C349">
        <f>MacReports!C349</f>
        <v>0</v>
      </c>
      <c r="E349" t="e">
        <f>_xlfn.XLOOKUP(G349,Models!A:A,Models!F:F)</f>
        <v>#N/A</v>
      </c>
      <c r="F349" t="str">
        <f>_xlfn.XLOOKUP(B349,MacReports!B:B,MacReports!D:D,"")</f>
        <v/>
      </c>
      <c r="G349" s="13">
        <f>MacReports!E349</f>
        <v>0</v>
      </c>
      <c r="H349" t="e">
        <f>_xlfn.XLOOKUP(G349,Models!A:A,Models!B:B)</f>
        <v>#N/A</v>
      </c>
      <c r="I349" t="e">
        <f>_xlfn.XLOOKUP(G349,Models!A:A,Models!E:E)</f>
        <v>#N/A</v>
      </c>
      <c r="J349" t="e">
        <f>_xlfn.XLOOKUP(G349,Models!A:A,Models!D:D)</f>
        <v>#N/A</v>
      </c>
      <c r="K349">
        <f>MacReports!F349</f>
        <v>0</v>
      </c>
      <c r="L349">
        <f>MacReports!G349</f>
        <v>0</v>
      </c>
      <c r="M349" s="15" t="e" cm="1">
        <f t="array" ref="M349">--_xlfn.LET(
    _xlpm.txt, MacReports!H349,
    _xlpm.chars, MID(_xlpm.txt, _xlfn.SEQUENCE(LEN(_xlpm.txt)), 1),
    _xlfn.TEXTJOIN("", TRUE, IF(ISNUMBER(--_xlpm.chars), _xlpm.chars, ""))
)</f>
        <v>#VALUE!</v>
      </c>
      <c r="N349" s="16" t="str" cm="1">
        <f t="array" ref="N349">_xlfn.IFS(
   --MacReports!M349&lt;55,"Battery Defect",
  -- MacReports!M349&lt;=69,"Battery D",
  --MacReports!M349&lt;=80,"Battery C",
 --MacReports!M349&gt;80,""
)</f>
        <v>Battery Defect</v>
      </c>
      <c r="O349" s="16" t="str">
        <f>IF(MacReports!I349="Service","Battery Service","")</f>
        <v/>
      </c>
      <c r="P349" s="13">
        <f>MacReports!P349</f>
        <v>0</v>
      </c>
      <c r="Q349" s="13" t="str">
        <f>IF(MacReports!J349="Enabled","Apple ID Lock","")</f>
        <v/>
      </c>
      <c r="R349" s="13" t="str">
        <f>IF(MacReports!L349="y","Remote Locked","")</f>
        <v/>
      </c>
      <c r="S349" t="str">
        <f t="shared" si="11"/>
        <v>Battery Defect, 0</v>
      </c>
      <c r="T349" t="str">
        <f>_xlfn.XLOOKUP(B349,Disk_Pivot!G:G,Disk_Pivot!I:I)</f>
        <v>Yes x2</v>
      </c>
      <c r="U349" t="str">
        <f>_xlfn.XLOOKUP(B349,Disk_Pivot!G:G,Disk_Pivot!N:N)</f>
        <v>Pass, Fail</v>
      </c>
      <c r="V349" t="str">
        <f>IF(U349="Fail",MacReports!N349,"")</f>
        <v/>
      </c>
      <c r="AB349" t="str">
        <f t="shared" si="12"/>
        <v/>
      </c>
    </row>
    <row r="350" spans="1:28">
      <c r="A350">
        <f>MacReports!A350</f>
        <v>0</v>
      </c>
      <c r="B350">
        <f>MacReports!B350</f>
        <v>0</v>
      </c>
      <c r="C350">
        <f>MacReports!C350</f>
        <v>0</v>
      </c>
      <c r="E350" t="e">
        <f>_xlfn.XLOOKUP(G350,Models!A:A,Models!F:F)</f>
        <v>#N/A</v>
      </c>
      <c r="F350" t="str">
        <f>_xlfn.XLOOKUP(B350,MacReports!B:B,MacReports!D:D,"")</f>
        <v/>
      </c>
      <c r="G350" s="13">
        <f>MacReports!E350</f>
        <v>0</v>
      </c>
      <c r="H350" t="e">
        <f>_xlfn.XLOOKUP(G350,Models!A:A,Models!B:B)</f>
        <v>#N/A</v>
      </c>
      <c r="I350" t="e">
        <f>_xlfn.XLOOKUP(G350,Models!A:A,Models!E:E)</f>
        <v>#N/A</v>
      </c>
      <c r="J350" t="e">
        <f>_xlfn.XLOOKUP(G350,Models!A:A,Models!D:D)</f>
        <v>#N/A</v>
      </c>
      <c r="K350">
        <f>MacReports!F350</f>
        <v>0</v>
      </c>
      <c r="L350">
        <f>MacReports!G350</f>
        <v>0</v>
      </c>
      <c r="M350" s="15" t="e" cm="1">
        <f t="array" ref="M350">--_xlfn.LET(
    _xlpm.txt, MacReports!H350,
    _xlpm.chars, MID(_xlpm.txt, _xlfn.SEQUENCE(LEN(_xlpm.txt)), 1),
    _xlfn.TEXTJOIN("", TRUE, IF(ISNUMBER(--_xlpm.chars), _xlpm.chars, ""))
)</f>
        <v>#VALUE!</v>
      </c>
      <c r="N350" s="16" t="str" cm="1">
        <f t="array" ref="N350">_xlfn.IFS(
   --MacReports!M350&lt;55,"Battery Defect",
  -- MacReports!M350&lt;=69,"Battery D",
  --MacReports!M350&lt;=80,"Battery C",
 --MacReports!M350&gt;80,""
)</f>
        <v>Battery Defect</v>
      </c>
      <c r="O350" s="16" t="str">
        <f>IF(MacReports!I350="Service","Battery Service","")</f>
        <v/>
      </c>
      <c r="P350" s="13">
        <f>MacReports!P350</f>
        <v>0</v>
      </c>
      <c r="Q350" s="13" t="str">
        <f>IF(MacReports!J350="Enabled","Apple ID Lock","")</f>
        <v/>
      </c>
      <c r="R350" s="13" t="str">
        <f>IF(MacReports!L350="y","Remote Locked","")</f>
        <v/>
      </c>
      <c r="S350" t="str">
        <f t="shared" si="11"/>
        <v>Battery Defect, 0</v>
      </c>
      <c r="T350" t="str">
        <f>_xlfn.XLOOKUP(B350,Disk_Pivot!G:G,Disk_Pivot!I:I)</f>
        <v>Yes x2</v>
      </c>
      <c r="U350" t="str">
        <f>_xlfn.XLOOKUP(B350,Disk_Pivot!G:G,Disk_Pivot!N:N)</f>
        <v>Pass, Fail</v>
      </c>
      <c r="V350" t="str">
        <f>IF(U350="Fail",MacReports!N350,"")</f>
        <v/>
      </c>
      <c r="AB350" t="str">
        <f t="shared" si="12"/>
        <v/>
      </c>
    </row>
    <row r="351" spans="1:28">
      <c r="A351">
        <f>MacReports!A351</f>
        <v>0</v>
      </c>
      <c r="B351">
        <f>MacReports!B351</f>
        <v>0</v>
      </c>
      <c r="C351">
        <f>MacReports!C351</f>
        <v>0</v>
      </c>
      <c r="E351" t="e">
        <f>_xlfn.XLOOKUP(G351,Models!A:A,Models!F:F)</f>
        <v>#N/A</v>
      </c>
      <c r="F351" t="str">
        <f>_xlfn.XLOOKUP(B351,MacReports!B:B,MacReports!D:D,"")</f>
        <v/>
      </c>
      <c r="G351" s="13">
        <f>MacReports!E351</f>
        <v>0</v>
      </c>
      <c r="H351" t="e">
        <f>_xlfn.XLOOKUP(G351,Models!A:A,Models!B:B)</f>
        <v>#N/A</v>
      </c>
      <c r="I351" t="e">
        <f>_xlfn.XLOOKUP(G351,Models!A:A,Models!E:E)</f>
        <v>#N/A</v>
      </c>
      <c r="J351" t="e">
        <f>_xlfn.XLOOKUP(G351,Models!A:A,Models!D:D)</f>
        <v>#N/A</v>
      </c>
      <c r="K351">
        <f>MacReports!F351</f>
        <v>0</v>
      </c>
      <c r="L351">
        <f>MacReports!G351</f>
        <v>0</v>
      </c>
      <c r="M351" s="15" t="e" cm="1">
        <f t="array" ref="M351">--_xlfn.LET(
    _xlpm.txt, MacReports!H351,
    _xlpm.chars, MID(_xlpm.txt, _xlfn.SEQUENCE(LEN(_xlpm.txt)), 1),
    _xlfn.TEXTJOIN("", TRUE, IF(ISNUMBER(--_xlpm.chars), _xlpm.chars, ""))
)</f>
        <v>#VALUE!</v>
      </c>
      <c r="N351" s="16" t="str" cm="1">
        <f t="array" ref="N351">_xlfn.IFS(
   --MacReports!M351&lt;55,"Battery Defect",
  -- MacReports!M351&lt;=69,"Battery D",
  --MacReports!M351&lt;=80,"Battery C",
 --MacReports!M351&gt;80,""
)</f>
        <v>Battery Defect</v>
      </c>
      <c r="O351" s="16" t="str">
        <f>IF(MacReports!I351="Service","Battery Service","")</f>
        <v/>
      </c>
      <c r="P351" s="13">
        <f>MacReports!P351</f>
        <v>0</v>
      </c>
      <c r="Q351" s="13" t="str">
        <f>IF(MacReports!J351="Enabled","Apple ID Lock","")</f>
        <v/>
      </c>
      <c r="R351" s="13" t="str">
        <f>IF(MacReports!L351="y","Remote Locked","")</f>
        <v/>
      </c>
      <c r="S351" t="str">
        <f t="shared" si="11"/>
        <v>Battery Defect, 0</v>
      </c>
      <c r="T351" t="str">
        <f>_xlfn.XLOOKUP(B351,Disk_Pivot!G:G,Disk_Pivot!I:I)</f>
        <v>Yes x2</v>
      </c>
      <c r="U351" t="str">
        <f>_xlfn.XLOOKUP(B351,Disk_Pivot!G:G,Disk_Pivot!N:N)</f>
        <v>Pass, Fail</v>
      </c>
      <c r="V351" t="str">
        <f>IF(U351="Fail",MacReports!N351,"")</f>
        <v/>
      </c>
      <c r="AB351" t="str">
        <f t="shared" si="12"/>
        <v/>
      </c>
    </row>
    <row r="352" spans="1:28">
      <c r="A352">
        <f>MacReports!A352</f>
        <v>0</v>
      </c>
      <c r="B352">
        <f>MacReports!B352</f>
        <v>0</v>
      </c>
      <c r="C352">
        <f>MacReports!C352</f>
        <v>0</v>
      </c>
      <c r="E352" t="e">
        <f>_xlfn.XLOOKUP(G352,Models!A:A,Models!F:F)</f>
        <v>#N/A</v>
      </c>
      <c r="F352" t="str">
        <f>_xlfn.XLOOKUP(B352,MacReports!B:B,MacReports!D:D,"")</f>
        <v/>
      </c>
      <c r="G352" s="13">
        <f>MacReports!E352</f>
        <v>0</v>
      </c>
      <c r="H352" t="e">
        <f>_xlfn.XLOOKUP(G352,Models!A:A,Models!B:B)</f>
        <v>#N/A</v>
      </c>
      <c r="I352" t="e">
        <f>_xlfn.XLOOKUP(G352,Models!A:A,Models!E:E)</f>
        <v>#N/A</v>
      </c>
      <c r="J352" t="e">
        <f>_xlfn.XLOOKUP(G352,Models!A:A,Models!D:D)</f>
        <v>#N/A</v>
      </c>
      <c r="K352">
        <f>MacReports!F352</f>
        <v>0</v>
      </c>
      <c r="L352">
        <f>MacReports!G352</f>
        <v>0</v>
      </c>
      <c r="M352" s="15" t="e" cm="1">
        <f t="array" ref="M352">--_xlfn.LET(
    _xlpm.txt, MacReports!H352,
    _xlpm.chars, MID(_xlpm.txt, _xlfn.SEQUENCE(LEN(_xlpm.txt)), 1),
    _xlfn.TEXTJOIN("", TRUE, IF(ISNUMBER(--_xlpm.chars), _xlpm.chars, ""))
)</f>
        <v>#VALUE!</v>
      </c>
      <c r="N352" s="16" t="str" cm="1">
        <f t="array" ref="N352">_xlfn.IFS(
   --MacReports!M352&lt;55,"Battery Defect",
  -- MacReports!M352&lt;=69,"Battery D",
  --MacReports!M352&lt;=80,"Battery C",
 --MacReports!M352&gt;80,""
)</f>
        <v>Battery Defect</v>
      </c>
      <c r="O352" s="16" t="str">
        <f>IF(MacReports!I352="Service","Battery Service","")</f>
        <v/>
      </c>
      <c r="P352" s="13">
        <f>MacReports!P352</f>
        <v>0</v>
      </c>
      <c r="Q352" s="13" t="str">
        <f>IF(MacReports!J352="Enabled","Apple ID Lock","")</f>
        <v/>
      </c>
      <c r="R352" s="13" t="str">
        <f>IF(MacReports!L352="y","Remote Locked","")</f>
        <v/>
      </c>
      <c r="S352" t="str">
        <f t="shared" si="11"/>
        <v>Battery Defect, 0</v>
      </c>
      <c r="T352" t="str">
        <f>_xlfn.XLOOKUP(B352,Disk_Pivot!G:G,Disk_Pivot!I:I)</f>
        <v>Yes x2</v>
      </c>
      <c r="U352" t="str">
        <f>_xlfn.XLOOKUP(B352,Disk_Pivot!G:G,Disk_Pivot!N:N)</f>
        <v>Pass, Fail</v>
      </c>
      <c r="V352" t="str">
        <f>IF(U352="Fail",MacReports!N352,"")</f>
        <v/>
      </c>
      <c r="AB352" t="str">
        <f t="shared" si="12"/>
        <v/>
      </c>
    </row>
    <row r="353" spans="1:28">
      <c r="A353">
        <f>MacReports!A353</f>
        <v>0</v>
      </c>
      <c r="B353">
        <f>MacReports!B353</f>
        <v>0</v>
      </c>
      <c r="C353">
        <f>MacReports!C353</f>
        <v>0</v>
      </c>
      <c r="E353" t="e">
        <f>_xlfn.XLOOKUP(G353,Models!A:A,Models!F:F)</f>
        <v>#N/A</v>
      </c>
      <c r="F353" t="str">
        <f>_xlfn.XLOOKUP(B353,MacReports!B:B,MacReports!D:D,"")</f>
        <v/>
      </c>
      <c r="G353" s="13">
        <f>MacReports!E353</f>
        <v>0</v>
      </c>
      <c r="H353" t="e">
        <f>_xlfn.XLOOKUP(G353,Models!A:A,Models!B:B)</f>
        <v>#N/A</v>
      </c>
      <c r="I353" t="e">
        <f>_xlfn.XLOOKUP(G353,Models!A:A,Models!E:E)</f>
        <v>#N/A</v>
      </c>
      <c r="J353" t="e">
        <f>_xlfn.XLOOKUP(G353,Models!A:A,Models!D:D)</f>
        <v>#N/A</v>
      </c>
      <c r="K353">
        <f>MacReports!F353</f>
        <v>0</v>
      </c>
      <c r="L353">
        <f>MacReports!G353</f>
        <v>0</v>
      </c>
      <c r="M353" s="15" t="e" cm="1">
        <f t="array" ref="M353">--_xlfn.LET(
    _xlpm.txt, MacReports!H353,
    _xlpm.chars, MID(_xlpm.txt, _xlfn.SEQUENCE(LEN(_xlpm.txt)), 1),
    _xlfn.TEXTJOIN("", TRUE, IF(ISNUMBER(--_xlpm.chars), _xlpm.chars, ""))
)</f>
        <v>#VALUE!</v>
      </c>
      <c r="N353" s="16" t="str" cm="1">
        <f t="array" ref="N353">_xlfn.IFS(
   --MacReports!M353&lt;55,"Battery Defect",
  -- MacReports!M353&lt;=69,"Battery D",
  --MacReports!M353&lt;=80,"Battery C",
 --MacReports!M353&gt;80,""
)</f>
        <v>Battery Defect</v>
      </c>
      <c r="O353" s="16" t="str">
        <f>IF(MacReports!I353="Service","Battery Service","")</f>
        <v/>
      </c>
      <c r="P353" s="13">
        <f>MacReports!P353</f>
        <v>0</v>
      </c>
      <c r="Q353" s="13" t="str">
        <f>IF(MacReports!J353="Enabled","Apple ID Lock","")</f>
        <v/>
      </c>
      <c r="R353" s="13" t="str">
        <f>IF(MacReports!L353="y","Remote Locked","")</f>
        <v/>
      </c>
      <c r="S353" t="str">
        <f t="shared" si="11"/>
        <v>Battery Defect, 0</v>
      </c>
      <c r="T353" t="str">
        <f>_xlfn.XLOOKUP(B353,Disk_Pivot!G:G,Disk_Pivot!I:I)</f>
        <v>Yes x2</v>
      </c>
      <c r="U353" t="str">
        <f>_xlfn.XLOOKUP(B353,Disk_Pivot!G:G,Disk_Pivot!N:N)</f>
        <v>Pass, Fail</v>
      </c>
      <c r="V353" t="str">
        <f>IF(U353="Fail",MacReports!N353,"")</f>
        <v/>
      </c>
      <c r="AB353" t="str">
        <f t="shared" si="12"/>
        <v/>
      </c>
    </row>
    <row r="354" spans="1:28">
      <c r="A354">
        <f>MacReports!A354</f>
        <v>0</v>
      </c>
      <c r="B354">
        <f>MacReports!B354</f>
        <v>0</v>
      </c>
      <c r="C354">
        <f>MacReports!C354</f>
        <v>0</v>
      </c>
      <c r="E354" t="e">
        <f>_xlfn.XLOOKUP(G354,Models!A:A,Models!F:F)</f>
        <v>#N/A</v>
      </c>
      <c r="F354" t="str">
        <f>_xlfn.XLOOKUP(B354,MacReports!B:B,MacReports!D:D,"")</f>
        <v/>
      </c>
      <c r="G354" s="13">
        <f>MacReports!E354</f>
        <v>0</v>
      </c>
      <c r="H354" t="e">
        <f>_xlfn.XLOOKUP(G354,Models!A:A,Models!B:B)</f>
        <v>#N/A</v>
      </c>
      <c r="I354" t="e">
        <f>_xlfn.XLOOKUP(G354,Models!A:A,Models!E:E)</f>
        <v>#N/A</v>
      </c>
      <c r="J354" t="e">
        <f>_xlfn.XLOOKUP(G354,Models!A:A,Models!D:D)</f>
        <v>#N/A</v>
      </c>
      <c r="K354">
        <f>MacReports!F354</f>
        <v>0</v>
      </c>
      <c r="L354">
        <f>MacReports!G354</f>
        <v>0</v>
      </c>
      <c r="M354" s="15" t="e" cm="1">
        <f t="array" ref="M354">--_xlfn.LET(
    _xlpm.txt, MacReports!H354,
    _xlpm.chars, MID(_xlpm.txt, _xlfn.SEQUENCE(LEN(_xlpm.txt)), 1),
    _xlfn.TEXTJOIN("", TRUE, IF(ISNUMBER(--_xlpm.chars), _xlpm.chars, ""))
)</f>
        <v>#VALUE!</v>
      </c>
      <c r="N354" s="16" t="str" cm="1">
        <f t="array" ref="N354">_xlfn.IFS(
   --MacReports!M354&lt;55,"Battery Defect",
  -- MacReports!M354&lt;=69,"Battery D",
  --MacReports!M354&lt;=80,"Battery C",
 --MacReports!M354&gt;80,""
)</f>
        <v>Battery Defect</v>
      </c>
      <c r="O354" s="16" t="str">
        <f>IF(MacReports!I354="Service","Battery Service","")</f>
        <v/>
      </c>
      <c r="P354" s="13">
        <f>MacReports!P354</f>
        <v>0</v>
      </c>
      <c r="Q354" s="13" t="str">
        <f>IF(MacReports!J354="Enabled","Apple ID Lock","")</f>
        <v/>
      </c>
      <c r="R354" s="13" t="str">
        <f>IF(MacReports!L354="y","Remote Locked","")</f>
        <v/>
      </c>
      <c r="S354" t="str">
        <f t="shared" si="11"/>
        <v>Battery Defect, 0</v>
      </c>
      <c r="T354" t="str">
        <f>_xlfn.XLOOKUP(B354,Disk_Pivot!G:G,Disk_Pivot!I:I)</f>
        <v>Yes x2</v>
      </c>
      <c r="U354" t="str">
        <f>_xlfn.XLOOKUP(B354,Disk_Pivot!G:G,Disk_Pivot!N:N)</f>
        <v>Pass, Fail</v>
      </c>
      <c r="V354" t="str">
        <f>IF(U354="Fail",MacReports!N354,"")</f>
        <v/>
      </c>
      <c r="AB354" t="str">
        <f t="shared" si="12"/>
        <v/>
      </c>
    </row>
    <row r="355" spans="1:28">
      <c r="A355">
        <f>MacReports!A355</f>
        <v>0</v>
      </c>
      <c r="B355">
        <f>MacReports!B355</f>
        <v>0</v>
      </c>
      <c r="C355">
        <f>MacReports!C355</f>
        <v>0</v>
      </c>
      <c r="E355" t="e">
        <f>_xlfn.XLOOKUP(G355,Models!A:A,Models!F:F)</f>
        <v>#N/A</v>
      </c>
      <c r="F355" t="str">
        <f>_xlfn.XLOOKUP(B355,MacReports!B:B,MacReports!D:D,"")</f>
        <v/>
      </c>
      <c r="G355" s="13">
        <f>MacReports!E355</f>
        <v>0</v>
      </c>
      <c r="H355" t="e">
        <f>_xlfn.XLOOKUP(G355,Models!A:A,Models!B:B)</f>
        <v>#N/A</v>
      </c>
      <c r="I355" t="e">
        <f>_xlfn.XLOOKUP(G355,Models!A:A,Models!E:E)</f>
        <v>#N/A</v>
      </c>
      <c r="J355" t="e">
        <f>_xlfn.XLOOKUP(G355,Models!A:A,Models!D:D)</f>
        <v>#N/A</v>
      </c>
      <c r="K355">
        <f>MacReports!F355</f>
        <v>0</v>
      </c>
      <c r="L355">
        <f>MacReports!G355</f>
        <v>0</v>
      </c>
      <c r="M355" s="15" t="e" cm="1">
        <f t="array" ref="M355">--_xlfn.LET(
    _xlpm.txt, MacReports!H355,
    _xlpm.chars, MID(_xlpm.txt, _xlfn.SEQUENCE(LEN(_xlpm.txt)), 1),
    _xlfn.TEXTJOIN("", TRUE, IF(ISNUMBER(--_xlpm.chars), _xlpm.chars, ""))
)</f>
        <v>#VALUE!</v>
      </c>
      <c r="N355" s="16" t="str" cm="1">
        <f t="array" ref="N355">_xlfn.IFS(
   --MacReports!M355&lt;55,"Battery Defect",
  -- MacReports!M355&lt;=69,"Battery D",
  --MacReports!M355&lt;=80,"Battery C",
 --MacReports!M355&gt;80,""
)</f>
        <v>Battery Defect</v>
      </c>
      <c r="O355" s="16" t="str">
        <f>IF(MacReports!I355="Service","Battery Service","")</f>
        <v/>
      </c>
      <c r="P355" s="13">
        <f>MacReports!P355</f>
        <v>0</v>
      </c>
      <c r="Q355" s="13" t="str">
        <f>IF(MacReports!J355="Enabled","Apple ID Lock","")</f>
        <v/>
      </c>
      <c r="R355" s="13" t="str">
        <f>IF(MacReports!L355="y","Remote Locked","")</f>
        <v/>
      </c>
      <c r="S355" t="str">
        <f t="shared" ref="S355:S387" si="13">_xlfn.TEXTJOIN(", ",TRUE,Q355,R355,N355,O355,P355)</f>
        <v>Battery Defect, 0</v>
      </c>
      <c r="T355" t="str">
        <f>_xlfn.XLOOKUP(B355,Disk_Pivot!G:G,Disk_Pivot!I:I)</f>
        <v>Yes x2</v>
      </c>
      <c r="U355" t="str">
        <f>_xlfn.XLOOKUP(B355,Disk_Pivot!G:G,Disk_Pivot!N:N)</f>
        <v>Pass, Fail</v>
      </c>
      <c r="V355" t="str">
        <f>IF(U355="Fail",MacReports!N355,"")</f>
        <v/>
      </c>
      <c r="AB355" t="str">
        <f t="shared" ref="AB355:AB387" si="14">_xlfn.TEXTJOIN(", ",TRUE,Q355,R355)</f>
        <v/>
      </c>
    </row>
    <row r="356" spans="1:28">
      <c r="A356">
        <f>MacReports!A356</f>
        <v>0</v>
      </c>
      <c r="B356">
        <f>MacReports!B356</f>
        <v>0</v>
      </c>
      <c r="C356">
        <f>MacReports!C356</f>
        <v>0</v>
      </c>
      <c r="E356" t="e">
        <f>_xlfn.XLOOKUP(G356,Models!A:A,Models!F:F)</f>
        <v>#N/A</v>
      </c>
      <c r="F356" t="str">
        <f>_xlfn.XLOOKUP(B356,MacReports!B:B,MacReports!D:D,"")</f>
        <v/>
      </c>
      <c r="G356" s="13">
        <f>MacReports!E356</f>
        <v>0</v>
      </c>
      <c r="H356" t="e">
        <f>_xlfn.XLOOKUP(G356,Models!A:A,Models!B:B)</f>
        <v>#N/A</v>
      </c>
      <c r="I356" t="e">
        <f>_xlfn.XLOOKUP(G356,Models!A:A,Models!E:E)</f>
        <v>#N/A</v>
      </c>
      <c r="J356" t="e">
        <f>_xlfn.XLOOKUP(G356,Models!A:A,Models!D:D)</f>
        <v>#N/A</v>
      </c>
      <c r="K356">
        <f>MacReports!F356</f>
        <v>0</v>
      </c>
      <c r="L356">
        <f>MacReports!G356</f>
        <v>0</v>
      </c>
      <c r="M356" s="15" t="e" cm="1">
        <f t="array" ref="M356">--_xlfn.LET(
    _xlpm.txt, MacReports!H356,
    _xlpm.chars, MID(_xlpm.txt, _xlfn.SEQUENCE(LEN(_xlpm.txt)), 1),
    _xlfn.TEXTJOIN("", TRUE, IF(ISNUMBER(--_xlpm.chars), _xlpm.chars, ""))
)</f>
        <v>#VALUE!</v>
      </c>
      <c r="N356" s="16" t="str" cm="1">
        <f t="array" ref="N356">_xlfn.IFS(
   --MacReports!M356&lt;55,"Battery Defect",
  -- MacReports!M356&lt;=69,"Battery D",
  --MacReports!M356&lt;=80,"Battery C",
 --MacReports!M356&gt;80,""
)</f>
        <v>Battery Defect</v>
      </c>
      <c r="O356" s="16" t="str">
        <f>IF(MacReports!I356="Service","Battery Service","")</f>
        <v/>
      </c>
      <c r="P356" s="13">
        <f>MacReports!P356</f>
        <v>0</v>
      </c>
      <c r="Q356" s="13" t="str">
        <f>IF(MacReports!J356="Enabled","Apple ID Lock","")</f>
        <v/>
      </c>
      <c r="R356" s="13" t="str">
        <f>IF(MacReports!L356="y","Remote Locked","")</f>
        <v/>
      </c>
      <c r="S356" t="str">
        <f t="shared" si="13"/>
        <v>Battery Defect, 0</v>
      </c>
      <c r="T356" t="str">
        <f>_xlfn.XLOOKUP(B356,Disk_Pivot!G:G,Disk_Pivot!I:I)</f>
        <v>Yes x2</v>
      </c>
      <c r="U356" t="str">
        <f>_xlfn.XLOOKUP(B356,Disk_Pivot!G:G,Disk_Pivot!N:N)</f>
        <v>Pass, Fail</v>
      </c>
      <c r="V356" t="str">
        <f>IF(U356="Fail",MacReports!N356,"")</f>
        <v/>
      </c>
      <c r="AB356" t="str">
        <f t="shared" si="14"/>
        <v/>
      </c>
    </row>
    <row r="357" spans="1:28">
      <c r="A357">
        <f>MacReports!A357</f>
        <v>0</v>
      </c>
      <c r="B357">
        <f>MacReports!B357</f>
        <v>0</v>
      </c>
      <c r="C357">
        <f>MacReports!C357</f>
        <v>0</v>
      </c>
      <c r="E357" t="e">
        <f>_xlfn.XLOOKUP(G357,Models!A:A,Models!F:F)</f>
        <v>#N/A</v>
      </c>
      <c r="F357" t="str">
        <f>_xlfn.XLOOKUP(B357,MacReports!B:B,MacReports!D:D,"")</f>
        <v/>
      </c>
      <c r="G357" s="13">
        <f>MacReports!E357</f>
        <v>0</v>
      </c>
      <c r="H357" t="e">
        <f>_xlfn.XLOOKUP(G357,Models!A:A,Models!B:B)</f>
        <v>#N/A</v>
      </c>
      <c r="I357" t="e">
        <f>_xlfn.XLOOKUP(G357,Models!A:A,Models!E:E)</f>
        <v>#N/A</v>
      </c>
      <c r="J357" t="e">
        <f>_xlfn.XLOOKUP(G357,Models!A:A,Models!D:D)</f>
        <v>#N/A</v>
      </c>
      <c r="K357">
        <f>MacReports!F357</f>
        <v>0</v>
      </c>
      <c r="L357">
        <f>MacReports!G357</f>
        <v>0</v>
      </c>
      <c r="M357" s="15" t="e" cm="1">
        <f t="array" ref="M357">--_xlfn.LET(
    _xlpm.txt, MacReports!H357,
    _xlpm.chars, MID(_xlpm.txt, _xlfn.SEQUENCE(LEN(_xlpm.txt)), 1),
    _xlfn.TEXTJOIN("", TRUE, IF(ISNUMBER(--_xlpm.chars), _xlpm.chars, ""))
)</f>
        <v>#VALUE!</v>
      </c>
      <c r="N357" s="16" t="str" cm="1">
        <f t="array" ref="N357">_xlfn.IFS(
   --MacReports!M357&lt;55,"Battery Defect",
  -- MacReports!M357&lt;=69,"Battery D",
  --MacReports!M357&lt;=80,"Battery C",
 --MacReports!M357&gt;80,""
)</f>
        <v>Battery Defect</v>
      </c>
      <c r="O357" s="16" t="str">
        <f>IF(MacReports!I357="Service","Battery Service","")</f>
        <v/>
      </c>
      <c r="P357" s="13">
        <f>MacReports!P357</f>
        <v>0</v>
      </c>
      <c r="Q357" s="13" t="str">
        <f>IF(MacReports!J357="Enabled","Apple ID Lock","")</f>
        <v/>
      </c>
      <c r="R357" s="13" t="str">
        <f>IF(MacReports!L357="y","Remote Locked","")</f>
        <v/>
      </c>
      <c r="S357" t="str">
        <f t="shared" si="13"/>
        <v>Battery Defect, 0</v>
      </c>
      <c r="T357" t="str">
        <f>_xlfn.XLOOKUP(B357,Disk_Pivot!G:G,Disk_Pivot!I:I)</f>
        <v>Yes x2</v>
      </c>
      <c r="U357" t="str">
        <f>_xlfn.XLOOKUP(B357,Disk_Pivot!G:G,Disk_Pivot!N:N)</f>
        <v>Pass, Fail</v>
      </c>
      <c r="V357" t="str">
        <f>IF(U357="Fail",MacReports!N357,"")</f>
        <v/>
      </c>
      <c r="AB357" t="str">
        <f t="shared" si="14"/>
        <v/>
      </c>
    </row>
    <row r="358" spans="1:28">
      <c r="A358">
        <f>MacReports!A358</f>
        <v>0</v>
      </c>
      <c r="B358">
        <f>MacReports!B358</f>
        <v>0</v>
      </c>
      <c r="C358">
        <f>MacReports!C358</f>
        <v>0</v>
      </c>
      <c r="E358" t="e">
        <f>_xlfn.XLOOKUP(G358,Models!A:A,Models!F:F)</f>
        <v>#N/A</v>
      </c>
      <c r="F358" t="str">
        <f>_xlfn.XLOOKUP(B358,MacReports!B:B,MacReports!D:D,"")</f>
        <v/>
      </c>
      <c r="G358" s="13">
        <f>MacReports!E358</f>
        <v>0</v>
      </c>
      <c r="H358" t="e">
        <f>_xlfn.XLOOKUP(G358,Models!A:A,Models!B:B)</f>
        <v>#N/A</v>
      </c>
      <c r="I358" t="e">
        <f>_xlfn.XLOOKUP(G358,Models!A:A,Models!E:E)</f>
        <v>#N/A</v>
      </c>
      <c r="J358" t="e">
        <f>_xlfn.XLOOKUP(G358,Models!A:A,Models!D:D)</f>
        <v>#N/A</v>
      </c>
      <c r="K358">
        <f>MacReports!F358</f>
        <v>0</v>
      </c>
      <c r="L358">
        <f>MacReports!G358</f>
        <v>0</v>
      </c>
      <c r="M358" s="15" t="e" cm="1">
        <f t="array" ref="M358">--_xlfn.LET(
    _xlpm.txt, MacReports!H358,
    _xlpm.chars, MID(_xlpm.txt, _xlfn.SEQUENCE(LEN(_xlpm.txt)), 1),
    _xlfn.TEXTJOIN("", TRUE, IF(ISNUMBER(--_xlpm.chars), _xlpm.chars, ""))
)</f>
        <v>#VALUE!</v>
      </c>
      <c r="N358" s="16" t="str" cm="1">
        <f t="array" ref="N358">_xlfn.IFS(
   --MacReports!M358&lt;55,"Battery Defect",
  -- MacReports!M358&lt;=69,"Battery D",
  --MacReports!M358&lt;=80,"Battery C",
 --MacReports!M358&gt;80,""
)</f>
        <v>Battery Defect</v>
      </c>
      <c r="O358" s="16" t="str">
        <f>IF(MacReports!I358="Service","Battery Service","")</f>
        <v/>
      </c>
      <c r="P358" s="13">
        <f>MacReports!P358</f>
        <v>0</v>
      </c>
      <c r="Q358" s="13" t="str">
        <f>IF(MacReports!J358="Enabled","Apple ID Lock","")</f>
        <v/>
      </c>
      <c r="R358" s="13" t="str">
        <f>IF(MacReports!L358="y","Remote Locked","")</f>
        <v/>
      </c>
      <c r="S358" t="str">
        <f t="shared" si="13"/>
        <v>Battery Defect, 0</v>
      </c>
      <c r="T358" t="str">
        <f>_xlfn.XLOOKUP(B358,Disk_Pivot!G:G,Disk_Pivot!I:I)</f>
        <v>Yes x2</v>
      </c>
      <c r="U358" t="str">
        <f>_xlfn.XLOOKUP(B358,Disk_Pivot!G:G,Disk_Pivot!N:N)</f>
        <v>Pass, Fail</v>
      </c>
      <c r="V358" t="str">
        <f>IF(U358="Fail",MacReports!N358,"")</f>
        <v/>
      </c>
      <c r="AB358" t="str">
        <f t="shared" si="14"/>
        <v/>
      </c>
    </row>
    <row r="359" spans="1:28">
      <c r="A359">
        <f>MacReports!A359</f>
        <v>0</v>
      </c>
      <c r="B359">
        <f>MacReports!B359</f>
        <v>0</v>
      </c>
      <c r="C359">
        <f>MacReports!C359</f>
        <v>0</v>
      </c>
      <c r="E359" t="e">
        <f>_xlfn.XLOOKUP(G359,Models!A:A,Models!F:F)</f>
        <v>#N/A</v>
      </c>
      <c r="F359" t="str">
        <f>_xlfn.XLOOKUP(B359,MacReports!B:B,MacReports!D:D,"")</f>
        <v/>
      </c>
      <c r="G359" s="13">
        <f>MacReports!E359</f>
        <v>0</v>
      </c>
      <c r="H359" t="e">
        <f>_xlfn.XLOOKUP(G359,Models!A:A,Models!B:B)</f>
        <v>#N/A</v>
      </c>
      <c r="I359" t="e">
        <f>_xlfn.XLOOKUP(G359,Models!A:A,Models!E:E)</f>
        <v>#N/A</v>
      </c>
      <c r="J359" t="e">
        <f>_xlfn.XLOOKUP(G359,Models!A:A,Models!D:D)</f>
        <v>#N/A</v>
      </c>
      <c r="K359">
        <f>MacReports!F359</f>
        <v>0</v>
      </c>
      <c r="L359">
        <f>MacReports!G359</f>
        <v>0</v>
      </c>
      <c r="M359" s="15" t="e" cm="1">
        <f t="array" ref="M359">--_xlfn.LET(
    _xlpm.txt, MacReports!H359,
    _xlpm.chars, MID(_xlpm.txt, _xlfn.SEQUENCE(LEN(_xlpm.txt)), 1),
    _xlfn.TEXTJOIN("", TRUE, IF(ISNUMBER(--_xlpm.chars), _xlpm.chars, ""))
)</f>
        <v>#VALUE!</v>
      </c>
      <c r="N359" s="16" t="str" cm="1">
        <f t="array" ref="N359">_xlfn.IFS(
   --MacReports!M359&lt;55,"Battery Defect",
  -- MacReports!M359&lt;=69,"Battery D",
  --MacReports!M359&lt;=80,"Battery C",
 --MacReports!M359&gt;80,""
)</f>
        <v>Battery Defect</v>
      </c>
      <c r="O359" s="16" t="str">
        <f>IF(MacReports!I359="Service","Battery Service","")</f>
        <v/>
      </c>
      <c r="P359" s="13">
        <f>MacReports!P359</f>
        <v>0</v>
      </c>
      <c r="Q359" s="13" t="str">
        <f>IF(MacReports!J359="Enabled","Apple ID Lock","")</f>
        <v/>
      </c>
      <c r="R359" s="13" t="str">
        <f>IF(MacReports!L359="y","Remote Locked","")</f>
        <v/>
      </c>
      <c r="S359" t="str">
        <f t="shared" si="13"/>
        <v>Battery Defect, 0</v>
      </c>
      <c r="T359" t="str">
        <f>_xlfn.XLOOKUP(B359,Disk_Pivot!G:G,Disk_Pivot!I:I)</f>
        <v>Yes x2</v>
      </c>
      <c r="U359" t="str">
        <f>_xlfn.XLOOKUP(B359,Disk_Pivot!G:G,Disk_Pivot!N:N)</f>
        <v>Pass, Fail</v>
      </c>
      <c r="V359" t="str">
        <f>IF(U359="Fail",MacReports!N359,"")</f>
        <v/>
      </c>
      <c r="AB359" t="str">
        <f t="shared" si="14"/>
        <v/>
      </c>
    </row>
    <row r="360" spans="1:28">
      <c r="A360">
        <f>MacReports!A360</f>
        <v>0</v>
      </c>
      <c r="B360">
        <f>MacReports!B360</f>
        <v>0</v>
      </c>
      <c r="C360">
        <f>MacReports!C360</f>
        <v>0</v>
      </c>
      <c r="E360" t="e">
        <f>_xlfn.XLOOKUP(G360,Models!A:A,Models!F:F)</f>
        <v>#N/A</v>
      </c>
      <c r="F360" t="str">
        <f>_xlfn.XLOOKUP(B360,MacReports!B:B,MacReports!D:D,"")</f>
        <v/>
      </c>
      <c r="G360" s="13">
        <f>MacReports!E360</f>
        <v>0</v>
      </c>
      <c r="H360" t="e">
        <f>_xlfn.XLOOKUP(G360,Models!A:A,Models!B:B)</f>
        <v>#N/A</v>
      </c>
      <c r="I360" t="e">
        <f>_xlfn.XLOOKUP(G360,Models!A:A,Models!E:E)</f>
        <v>#N/A</v>
      </c>
      <c r="J360" t="e">
        <f>_xlfn.XLOOKUP(G360,Models!A:A,Models!D:D)</f>
        <v>#N/A</v>
      </c>
      <c r="K360">
        <f>MacReports!F360</f>
        <v>0</v>
      </c>
      <c r="L360">
        <f>MacReports!G360</f>
        <v>0</v>
      </c>
      <c r="M360" s="15" t="e" cm="1">
        <f t="array" ref="M360">--_xlfn.LET(
    _xlpm.txt, MacReports!H360,
    _xlpm.chars, MID(_xlpm.txt, _xlfn.SEQUENCE(LEN(_xlpm.txt)), 1),
    _xlfn.TEXTJOIN("", TRUE, IF(ISNUMBER(--_xlpm.chars), _xlpm.chars, ""))
)</f>
        <v>#VALUE!</v>
      </c>
      <c r="N360" s="16" t="str" cm="1">
        <f t="array" ref="N360">_xlfn.IFS(
   --MacReports!M360&lt;55,"Battery Defect",
  -- MacReports!M360&lt;=69,"Battery D",
  --MacReports!M360&lt;=80,"Battery C",
 --MacReports!M360&gt;80,""
)</f>
        <v>Battery Defect</v>
      </c>
      <c r="O360" s="16" t="str">
        <f>IF(MacReports!I360="Service","Battery Service","")</f>
        <v/>
      </c>
      <c r="P360" s="13">
        <f>MacReports!P360</f>
        <v>0</v>
      </c>
      <c r="Q360" s="13" t="str">
        <f>IF(MacReports!J360="Enabled","Apple ID Lock","")</f>
        <v/>
      </c>
      <c r="R360" s="13" t="str">
        <f>IF(MacReports!L360="y","Remote Locked","")</f>
        <v/>
      </c>
      <c r="S360" t="str">
        <f t="shared" si="13"/>
        <v>Battery Defect, 0</v>
      </c>
      <c r="T360" t="str">
        <f>_xlfn.XLOOKUP(B360,Disk_Pivot!G:G,Disk_Pivot!I:I)</f>
        <v>Yes x2</v>
      </c>
      <c r="U360" t="str">
        <f>_xlfn.XLOOKUP(B360,Disk_Pivot!G:G,Disk_Pivot!N:N)</f>
        <v>Pass, Fail</v>
      </c>
      <c r="V360" t="str">
        <f>IF(U360="Fail",MacReports!N360,"")</f>
        <v/>
      </c>
      <c r="AB360" t="str">
        <f t="shared" si="14"/>
        <v/>
      </c>
    </row>
    <row r="361" spans="1:28">
      <c r="A361">
        <f>MacReports!A361</f>
        <v>0</v>
      </c>
      <c r="B361">
        <f>MacReports!B361</f>
        <v>0</v>
      </c>
      <c r="C361">
        <f>MacReports!C361</f>
        <v>0</v>
      </c>
      <c r="E361" t="e">
        <f>_xlfn.XLOOKUP(G361,Models!A:A,Models!F:F)</f>
        <v>#N/A</v>
      </c>
      <c r="F361" t="str">
        <f>_xlfn.XLOOKUP(B361,MacReports!B:B,MacReports!D:D,"")</f>
        <v/>
      </c>
      <c r="G361" s="13">
        <f>MacReports!E361</f>
        <v>0</v>
      </c>
      <c r="H361" t="e">
        <f>_xlfn.XLOOKUP(G361,Models!A:A,Models!B:B)</f>
        <v>#N/A</v>
      </c>
      <c r="I361" t="e">
        <f>_xlfn.XLOOKUP(G361,Models!A:A,Models!E:E)</f>
        <v>#N/A</v>
      </c>
      <c r="J361" t="e">
        <f>_xlfn.XLOOKUP(G361,Models!A:A,Models!D:D)</f>
        <v>#N/A</v>
      </c>
      <c r="K361">
        <f>MacReports!F361</f>
        <v>0</v>
      </c>
      <c r="L361">
        <f>MacReports!G361</f>
        <v>0</v>
      </c>
      <c r="M361" s="15" t="e" cm="1">
        <f t="array" ref="M361">--_xlfn.LET(
    _xlpm.txt, MacReports!H361,
    _xlpm.chars, MID(_xlpm.txt, _xlfn.SEQUENCE(LEN(_xlpm.txt)), 1),
    _xlfn.TEXTJOIN("", TRUE, IF(ISNUMBER(--_xlpm.chars), _xlpm.chars, ""))
)</f>
        <v>#VALUE!</v>
      </c>
      <c r="N361" s="16" t="str" cm="1">
        <f t="array" ref="N361">_xlfn.IFS(
   --MacReports!M361&lt;55,"Battery Defect",
  -- MacReports!M361&lt;=69,"Battery D",
  --MacReports!M361&lt;=80,"Battery C",
 --MacReports!M361&gt;80,""
)</f>
        <v>Battery Defect</v>
      </c>
      <c r="O361" s="16" t="str">
        <f>IF(MacReports!I361="Service","Battery Service","")</f>
        <v/>
      </c>
      <c r="P361" s="13">
        <f>MacReports!P361</f>
        <v>0</v>
      </c>
      <c r="Q361" s="13" t="str">
        <f>IF(MacReports!J361="Enabled","Apple ID Lock","")</f>
        <v/>
      </c>
      <c r="R361" s="13" t="str">
        <f>IF(MacReports!L361="y","Remote Locked","")</f>
        <v/>
      </c>
      <c r="S361" t="str">
        <f t="shared" si="13"/>
        <v>Battery Defect, 0</v>
      </c>
      <c r="T361" t="str">
        <f>_xlfn.XLOOKUP(B361,Disk_Pivot!G:G,Disk_Pivot!I:I)</f>
        <v>Yes x2</v>
      </c>
      <c r="U361" t="str">
        <f>_xlfn.XLOOKUP(B361,Disk_Pivot!G:G,Disk_Pivot!N:N)</f>
        <v>Pass, Fail</v>
      </c>
      <c r="V361" t="str">
        <f>IF(U361="Fail",MacReports!N361,"")</f>
        <v/>
      </c>
      <c r="AB361" t="str">
        <f t="shared" si="14"/>
        <v/>
      </c>
    </row>
    <row r="362" spans="1:28">
      <c r="A362">
        <f>MacReports!A362</f>
        <v>0</v>
      </c>
      <c r="B362">
        <f>MacReports!B362</f>
        <v>0</v>
      </c>
      <c r="C362">
        <f>MacReports!C362</f>
        <v>0</v>
      </c>
      <c r="E362" t="e">
        <f>_xlfn.XLOOKUP(G362,Models!A:A,Models!F:F)</f>
        <v>#N/A</v>
      </c>
      <c r="F362" t="str">
        <f>_xlfn.XLOOKUP(B362,MacReports!B:B,MacReports!D:D,"")</f>
        <v/>
      </c>
      <c r="G362" s="13">
        <f>MacReports!E362</f>
        <v>0</v>
      </c>
      <c r="H362" t="e">
        <f>_xlfn.XLOOKUP(G362,Models!A:A,Models!B:B)</f>
        <v>#N/A</v>
      </c>
      <c r="I362" t="e">
        <f>_xlfn.XLOOKUP(G362,Models!A:A,Models!E:E)</f>
        <v>#N/A</v>
      </c>
      <c r="J362" t="e">
        <f>_xlfn.XLOOKUP(G362,Models!A:A,Models!D:D)</f>
        <v>#N/A</v>
      </c>
      <c r="K362">
        <f>MacReports!F362</f>
        <v>0</v>
      </c>
      <c r="L362">
        <f>MacReports!G362</f>
        <v>0</v>
      </c>
      <c r="M362" s="15" t="e" cm="1">
        <f t="array" ref="M362">--_xlfn.LET(
    _xlpm.txt, MacReports!H362,
    _xlpm.chars, MID(_xlpm.txt, _xlfn.SEQUENCE(LEN(_xlpm.txt)), 1),
    _xlfn.TEXTJOIN("", TRUE, IF(ISNUMBER(--_xlpm.chars), _xlpm.chars, ""))
)</f>
        <v>#VALUE!</v>
      </c>
      <c r="N362" s="16" t="str" cm="1">
        <f t="array" ref="N362">_xlfn.IFS(
   --MacReports!M362&lt;55,"Battery Defect",
  -- MacReports!M362&lt;=69,"Battery D",
  --MacReports!M362&lt;=80,"Battery C",
 --MacReports!M362&gt;80,""
)</f>
        <v>Battery Defect</v>
      </c>
      <c r="O362" s="16" t="str">
        <f>IF(MacReports!I362="Service","Battery Service","")</f>
        <v/>
      </c>
      <c r="P362" s="13">
        <f>MacReports!P362</f>
        <v>0</v>
      </c>
      <c r="Q362" s="13" t="str">
        <f>IF(MacReports!J362="Enabled","Apple ID Lock","")</f>
        <v/>
      </c>
      <c r="R362" s="13" t="str">
        <f>IF(MacReports!L362="y","Remote Locked","")</f>
        <v/>
      </c>
      <c r="S362" t="str">
        <f t="shared" si="13"/>
        <v>Battery Defect, 0</v>
      </c>
      <c r="T362" t="str">
        <f>_xlfn.XLOOKUP(B362,Disk_Pivot!G:G,Disk_Pivot!I:I)</f>
        <v>Yes x2</v>
      </c>
      <c r="U362" t="str">
        <f>_xlfn.XLOOKUP(B362,Disk_Pivot!G:G,Disk_Pivot!N:N)</f>
        <v>Pass, Fail</v>
      </c>
      <c r="V362" t="str">
        <f>IF(U362="Fail",MacReports!N362,"")</f>
        <v/>
      </c>
      <c r="AB362" t="str">
        <f t="shared" si="14"/>
        <v/>
      </c>
    </row>
    <row r="363" spans="1:28">
      <c r="A363">
        <f>MacReports!A363</f>
        <v>0</v>
      </c>
      <c r="B363">
        <f>MacReports!B363</f>
        <v>0</v>
      </c>
      <c r="C363">
        <f>MacReports!C363</f>
        <v>0</v>
      </c>
      <c r="E363" t="e">
        <f>_xlfn.XLOOKUP(G363,Models!A:A,Models!F:F)</f>
        <v>#N/A</v>
      </c>
      <c r="F363" t="str">
        <f>_xlfn.XLOOKUP(B363,MacReports!B:B,MacReports!D:D,"")</f>
        <v/>
      </c>
      <c r="G363" s="13">
        <f>MacReports!E363</f>
        <v>0</v>
      </c>
      <c r="H363" t="e">
        <f>_xlfn.XLOOKUP(G363,Models!A:A,Models!B:B)</f>
        <v>#N/A</v>
      </c>
      <c r="I363" t="e">
        <f>_xlfn.XLOOKUP(G363,Models!A:A,Models!E:E)</f>
        <v>#N/A</v>
      </c>
      <c r="J363" t="e">
        <f>_xlfn.XLOOKUP(G363,Models!A:A,Models!D:D)</f>
        <v>#N/A</v>
      </c>
      <c r="K363">
        <f>MacReports!F363</f>
        <v>0</v>
      </c>
      <c r="L363">
        <f>MacReports!G363</f>
        <v>0</v>
      </c>
      <c r="M363" s="15" t="e" cm="1">
        <f t="array" ref="M363">--_xlfn.LET(
    _xlpm.txt, MacReports!H363,
    _xlpm.chars, MID(_xlpm.txt, _xlfn.SEQUENCE(LEN(_xlpm.txt)), 1),
    _xlfn.TEXTJOIN("", TRUE, IF(ISNUMBER(--_xlpm.chars), _xlpm.chars, ""))
)</f>
        <v>#VALUE!</v>
      </c>
      <c r="N363" s="16" t="str" cm="1">
        <f t="array" ref="N363">_xlfn.IFS(
   --MacReports!M363&lt;55,"Battery Defect",
  -- MacReports!M363&lt;=69,"Battery D",
  --MacReports!M363&lt;=80,"Battery C",
 --MacReports!M363&gt;80,""
)</f>
        <v>Battery Defect</v>
      </c>
      <c r="O363" s="16" t="str">
        <f>IF(MacReports!I363="Service","Battery Service","")</f>
        <v/>
      </c>
      <c r="P363" s="13">
        <f>MacReports!P363</f>
        <v>0</v>
      </c>
      <c r="Q363" s="13" t="str">
        <f>IF(MacReports!J363="Enabled","Apple ID Lock","")</f>
        <v/>
      </c>
      <c r="R363" s="13" t="str">
        <f>IF(MacReports!L363="y","Remote Locked","")</f>
        <v/>
      </c>
      <c r="S363" t="str">
        <f t="shared" si="13"/>
        <v>Battery Defect, 0</v>
      </c>
      <c r="T363" t="str">
        <f>_xlfn.XLOOKUP(B363,Disk_Pivot!G:G,Disk_Pivot!I:I)</f>
        <v>Yes x2</v>
      </c>
      <c r="U363" t="str">
        <f>_xlfn.XLOOKUP(B363,Disk_Pivot!G:G,Disk_Pivot!N:N)</f>
        <v>Pass, Fail</v>
      </c>
      <c r="V363" t="str">
        <f>IF(U363="Fail",MacReports!N363,"")</f>
        <v/>
      </c>
      <c r="AB363" t="str">
        <f t="shared" si="14"/>
        <v/>
      </c>
    </row>
    <row r="364" spans="1:28">
      <c r="A364">
        <f>MacReports!A364</f>
        <v>0</v>
      </c>
      <c r="B364">
        <f>MacReports!B364</f>
        <v>0</v>
      </c>
      <c r="C364">
        <f>MacReports!C364</f>
        <v>0</v>
      </c>
      <c r="E364" t="e">
        <f>_xlfn.XLOOKUP(G364,Models!A:A,Models!F:F)</f>
        <v>#N/A</v>
      </c>
      <c r="F364" t="str">
        <f>_xlfn.XLOOKUP(B364,MacReports!B:B,MacReports!D:D,"")</f>
        <v/>
      </c>
      <c r="G364" s="13">
        <f>MacReports!E364</f>
        <v>0</v>
      </c>
      <c r="H364" t="e">
        <f>_xlfn.XLOOKUP(G364,Models!A:A,Models!B:B)</f>
        <v>#N/A</v>
      </c>
      <c r="I364" t="e">
        <f>_xlfn.XLOOKUP(G364,Models!A:A,Models!E:E)</f>
        <v>#N/A</v>
      </c>
      <c r="J364" t="e">
        <f>_xlfn.XLOOKUP(G364,Models!A:A,Models!D:D)</f>
        <v>#N/A</v>
      </c>
      <c r="K364">
        <f>MacReports!F364</f>
        <v>0</v>
      </c>
      <c r="L364">
        <f>MacReports!G364</f>
        <v>0</v>
      </c>
      <c r="M364" s="15" t="e" cm="1">
        <f t="array" ref="M364">--_xlfn.LET(
    _xlpm.txt, MacReports!H364,
    _xlpm.chars, MID(_xlpm.txt, _xlfn.SEQUENCE(LEN(_xlpm.txt)), 1),
    _xlfn.TEXTJOIN("", TRUE, IF(ISNUMBER(--_xlpm.chars), _xlpm.chars, ""))
)</f>
        <v>#VALUE!</v>
      </c>
      <c r="N364" s="16" t="str" cm="1">
        <f t="array" ref="N364">_xlfn.IFS(
   --MacReports!M364&lt;55,"Battery Defect",
  -- MacReports!M364&lt;=69,"Battery D",
  --MacReports!M364&lt;=80,"Battery C",
 --MacReports!M364&gt;80,""
)</f>
        <v>Battery Defect</v>
      </c>
      <c r="O364" s="16" t="str">
        <f>IF(MacReports!I364="Service","Battery Service","")</f>
        <v/>
      </c>
      <c r="P364" s="13">
        <f>MacReports!P364</f>
        <v>0</v>
      </c>
      <c r="Q364" s="13" t="str">
        <f>IF(MacReports!J364="Enabled","Apple ID Lock","")</f>
        <v/>
      </c>
      <c r="R364" s="13" t="str">
        <f>IF(MacReports!L364="y","Remote Locked","")</f>
        <v/>
      </c>
      <c r="S364" t="str">
        <f t="shared" si="13"/>
        <v>Battery Defect, 0</v>
      </c>
      <c r="T364" t="str">
        <f>_xlfn.XLOOKUP(B364,Disk_Pivot!G:G,Disk_Pivot!I:I)</f>
        <v>Yes x2</v>
      </c>
      <c r="U364" t="str">
        <f>_xlfn.XLOOKUP(B364,Disk_Pivot!G:G,Disk_Pivot!N:N)</f>
        <v>Pass, Fail</v>
      </c>
      <c r="V364" t="str">
        <f>IF(U364="Fail",MacReports!N364,"")</f>
        <v/>
      </c>
      <c r="AB364" t="str">
        <f t="shared" si="14"/>
        <v/>
      </c>
    </row>
    <row r="365" spans="1:28">
      <c r="A365">
        <f>MacReports!A365</f>
        <v>0</v>
      </c>
      <c r="B365">
        <f>MacReports!B365</f>
        <v>0</v>
      </c>
      <c r="C365">
        <f>MacReports!C365</f>
        <v>0</v>
      </c>
      <c r="E365" t="e">
        <f>_xlfn.XLOOKUP(G365,Models!A:A,Models!F:F)</f>
        <v>#N/A</v>
      </c>
      <c r="F365" t="str">
        <f>_xlfn.XLOOKUP(B365,MacReports!B:B,MacReports!D:D,"")</f>
        <v/>
      </c>
      <c r="G365" s="13">
        <f>MacReports!E365</f>
        <v>0</v>
      </c>
      <c r="H365" t="e">
        <f>_xlfn.XLOOKUP(G365,Models!A:A,Models!B:B)</f>
        <v>#N/A</v>
      </c>
      <c r="I365" t="e">
        <f>_xlfn.XLOOKUP(G365,Models!A:A,Models!E:E)</f>
        <v>#N/A</v>
      </c>
      <c r="J365" t="e">
        <f>_xlfn.XLOOKUP(G365,Models!A:A,Models!D:D)</f>
        <v>#N/A</v>
      </c>
      <c r="K365">
        <f>MacReports!F365</f>
        <v>0</v>
      </c>
      <c r="L365">
        <f>MacReports!G365</f>
        <v>0</v>
      </c>
      <c r="M365" s="15" t="e" cm="1">
        <f t="array" ref="M365">--_xlfn.LET(
    _xlpm.txt, MacReports!H365,
    _xlpm.chars, MID(_xlpm.txt, _xlfn.SEQUENCE(LEN(_xlpm.txt)), 1),
    _xlfn.TEXTJOIN("", TRUE, IF(ISNUMBER(--_xlpm.chars), _xlpm.chars, ""))
)</f>
        <v>#VALUE!</v>
      </c>
      <c r="N365" s="16" t="str" cm="1">
        <f t="array" ref="N365">_xlfn.IFS(
   --MacReports!M365&lt;55,"Battery Defect",
  -- MacReports!M365&lt;=69,"Battery D",
  --MacReports!M365&lt;=80,"Battery C",
 --MacReports!M365&gt;80,""
)</f>
        <v>Battery Defect</v>
      </c>
      <c r="O365" s="16" t="str">
        <f>IF(MacReports!I365="Service","Battery Service","")</f>
        <v/>
      </c>
      <c r="P365" s="13">
        <f>MacReports!P365</f>
        <v>0</v>
      </c>
      <c r="Q365" s="13" t="str">
        <f>IF(MacReports!J365="Enabled","Apple ID Lock","")</f>
        <v/>
      </c>
      <c r="R365" s="13" t="str">
        <f>IF(MacReports!L365="y","Remote Locked","")</f>
        <v/>
      </c>
      <c r="S365" t="str">
        <f t="shared" si="13"/>
        <v>Battery Defect, 0</v>
      </c>
      <c r="T365" t="str">
        <f>_xlfn.XLOOKUP(B365,Disk_Pivot!G:G,Disk_Pivot!I:I)</f>
        <v>Yes x2</v>
      </c>
      <c r="U365" t="str">
        <f>_xlfn.XLOOKUP(B365,Disk_Pivot!G:G,Disk_Pivot!N:N)</f>
        <v>Pass, Fail</v>
      </c>
      <c r="V365" t="str">
        <f>IF(U365="Fail",MacReports!N365,"")</f>
        <v/>
      </c>
      <c r="AB365" t="str">
        <f t="shared" si="14"/>
        <v/>
      </c>
    </row>
    <row r="366" spans="1:28">
      <c r="A366">
        <f>MacReports!A366</f>
        <v>0</v>
      </c>
      <c r="B366">
        <f>MacReports!B366</f>
        <v>0</v>
      </c>
      <c r="C366">
        <f>MacReports!C366</f>
        <v>0</v>
      </c>
      <c r="E366" t="e">
        <f>_xlfn.XLOOKUP(G366,Models!A:A,Models!F:F)</f>
        <v>#N/A</v>
      </c>
      <c r="F366" t="str">
        <f>_xlfn.XLOOKUP(B366,MacReports!B:B,MacReports!D:D,"")</f>
        <v/>
      </c>
      <c r="G366" s="13">
        <f>MacReports!E366</f>
        <v>0</v>
      </c>
      <c r="H366" t="e">
        <f>_xlfn.XLOOKUP(G366,Models!A:A,Models!B:B)</f>
        <v>#N/A</v>
      </c>
      <c r="I366" t="e">
        <f>_xlfn.XLOOKUP(G366,Models!A:A,Models!E:E)</f>
        <v>#N/A</v>
      </c>
      <c r="J366" t="e">
        <f>_xlfn.XLOOKUP(G366,Models!A:A,Models!D:D)</f>
        <v>#N/A</v>
      </c>
      <c r="K366">
        <f>MacReports!F366</f>
        <v>0</v>
      </c>
      <c r="L366">
        <f>MacReports!G366</f>
        <v>0</v>
      </c>
      <c r="M366" s="15" t="e" cm="1">
        <f t="array" ref="M366">--_xlfn.LET(
    _xlpm.txt, MacReports!H366,
    _xlpm.chars, MID(_xlpm.txt, _xlfn.SEQUENCE(LEN(_xlpm.txt)), 1),
    _xlfn.TEXTJOIN("", TRUE, IF(ISNUMBER(--_xlpm.chars), _xlpm.chars, ""))
)</f>
        <v>#VALUE!</v>
      </c>
      <c r="N366" s="16" t="str" cm="1">
        <f t="array" ref="N366">_xlfn.IFS(
   --MacReports!M366&lt;55,"Battery Defect",
  -- MacReports!M366&lt;=69,"Battery D",
  --MacReports!M366&lt;=80,"Battery C",
 --MacReports!M366&gt;80,""
)</f>
        <v>Battery Defect</v>
      </c>
      <c r="O366" s="16" t="str">
        <f>IF(MacReports!I366="Service","Battery Service","")</f>
        <v/>
      </c>
      <c r="P366" s="13">
        <f>MacReports!P366</f>
        <v>0</v>
      </c>
      <c r="Q366" s="13" t="str">
        <f>IF(MacReports!J366="Enabled","Apple ID Lock","")</f>
        <v/>
      </c>
      <c r="R366" s="13" t="str">
        <f>IF(MacReports!L366="y","Remote Locked","")</f>
        <v/>
      </c>
      <c r="S366" t="str">
        <f t="shared" si="13"/>
        <v>Battery Defect, 0</v>
      </c>
      <c r="T366" t="str">
        <f>_xlfn.XLOOKUP(B366,Disk_Pivot!G:G,Disk_Pivot!I:I)</f>
        <v>Yes x2</v>
      </c>
      <c r="U366" t="str">
        <f>_xlfn.XLOOKUP(B366,Disk_Pivot!G:G,Disk_Pivot!N:N)</f>
        <v>Pass, Fail</v>
      </c>
      <c r="V366" t="str">
        <f>IF(U366="Fail",MacReports!N366,"")</f>
        <v/>
      </c>
      <c r="AB366" t="str">
        <f t="shared" si="14"/>
        <v/>
      </c>
    </row>
    <row r="367" spans="1:28">
      <c r="A367">
        <f>MacReports!A367</f>
        <v>0</v>
      </c>
      <c r="B367">
        <f>MacReports!B367</f>
        <v>0</v>
      </c>
      <c r="C367">
        <f>MacReports!C367</f>
        <v>0</v>
      </c>
      <c r="E367" t="e">
        <f>_xlfn.XLOOKUP(G367,Models!A:A,Models!F:F)</f>
        <v>#N/A</v>
      </c>
      <c r="F367" t="str">
        <f>_xlfn.XLOOKUP(B367,MacReports!B:B,MacReports!D:D,"")</f>
        <v/>
      </c>
      <c r="G367" s="13">
        <f>MacReports!E367</f>
        <v>0</v>
      </c>
      <c r="H367" t="e">
        <f>_xlfn.XLOOKUP(G367,Models!A:A,Models!B:B)</f>
        <v>#N/A</v>
      </c>
      <c r="I367" t="e">
        <f>_xlfn.XLOOKUP(G367,Models!A:A,Models!E:E)</f>
        <v>#N/A</v>
      </c>
      <c r="J367" t="e">
        <f>_xlfn.XLOOKUP(G367,Models!A:A,Models!D:D)</f>
        <v>#N/A</v>
      </c>
      <c r="K367">
        <f>MacReports!F367</f>
        <v>0</v>
      </c>
      <c r="L367">
        <f>MacReports!G367</f>
        <v>0</v>
      </c>
      <c r="M367" s="15" t="e" cm="1">
        <f t="array" ref="M367">--_xlfn.LET(
    _xlpm.txt, MacReports!H367,
    _xlpm.chars, MID(_xlpm.txt, _xlfn.SEQUENCE(LEN(_xlpm.txt)), 1),
    _xlfn.TEXTJOIN("", TRUE, IF(ISNUMBER(--_xlpm.chars), _xlpm.chars, ""))
)</f>
        <v>#VALUE!</v>
      </c>
      <c r="N367" s="16" t="str" cm="1">
        <f t="array" ref="N367">_xlfn.IFS(
   --MacReports!M367&lt;55,"Battery Defect",
  -- MacReports!M367&lt;=69,"Battery D",
  --MacReports!M367&lt;=80,"Battery C",
 --MacReports!M367&gt;80,""
)</f>
        <v>Battery Defect</v>
      </c>
      <c r="O367" s="16" t="str">
        <f>IF(MacReports!I367="Service","Battery Service","")</f>
        <v/>
      </c>
      <c r="P367" s="13">
        <f>MacReports!P367</f>
        <v>0</v>
      </c>
      <c r="Q367" s="13" t="str">
        <f>IF(MacReports!J367="Enabled","Apple ID Lock","")</f>
        <v/>
      </c>
      <c r="R367" s="13" t="str">
        <f>IF(MacReports!L367="y","Remote Locked","")</f>
        <v/>
      </c>
      <c r="S367" t="str">
        <f t="shared" si="13"/>
        <v>Battery Defect, 0</v>
      </c>
      <c r="T367" t="str">
        <f>_xlfn.XLOOKUP(B367,Disk_Pivot!G:G,Disk_Pivot!I:I)</f>
        <v>Yes x2</v>
      </c>
      <c r="U367" t="str">
        <f>_xlfn.XLOOKUP(B367,Disk_Pivot!G:G,Disk_Pivot!N:N)</f>
        <v>Pass, Fail</v>
      </c>
      <c r="V367" t="str">
        <f>IF(U367="Fail",MacReports!N367,"")</f>
        <v/>
      </c>
      <c r="AB367" t="str">
        <f t="shared" si="14"/>
        <v/>
      </c>
    </row>
    <row r="368" spans="1:28">
      <c r="A368">
        <f>MacReports!A368</f>
        <v>0</v>
      </c>
      <c r="B368">
        <f>MacReports!B368</f>
        <v>0</v>
      </c>
      <c r="C368">
        <f>MacReports!C368</f>
        <v>0</v>
      </c>
      <c r="E368" t="e">
        <f>_xlfn.XLOOKUP(G368,Models!A:A,Models!F:F)</f>
        <v>#N/A</v>
      </c>
      <c r="F368" t="str">
        <f>_xlfn.XLOOKUP(B368,MacReports!B:B,MacReports!D:D,"")</f>
        <v/>
      </c>
      <c r="G368" s="13">
        <f>MacReports!E368</f>
        <v>0</v>
      </c>
      <c r="H368" t="e">
        <f>_xlfn.XLOOKUP(G368,Models!A:A,Models!B:B)</f>
        <v>#N/A</v>
      </c>
      <c r="I368" t="e">
        <f>_xlfn.XLOOKUP(G368,Models!A:A,Models!E:E)</f>
        <v>#N/A</v>
      </c>
      <c r="J368" t="e">
        <f>_xlfn.XLOOKUP(G368,Models!A:A,Models!D:D)</f>
        <v>#N/A</v>
      </c>
      <c r="K368">
        <f>MacReports!F368</f>
        <v>0</v>
      </c>
      <c r="L368">
        <f>MacReports!G368</f>
        <v>0</v>
      </c>
      <c r="M368" s="15" t="e" cm="1">
        <f t="array" ref="M368">--_xlfn.LET(
    _xlpm.txt, MacReports!H368,
    _xlpm.chars, MID(_xlpm.txt, _xlfn.SEQUENCE(LEN(_xlpm.txt)), 1),
    _xlfn.TEXTJOIN("", TRUE, IF(ISNUMBER(--_xlpm.chars), _xlpm.chars, ""))
)</f>
        <v>#VALUE!</v>
      </c>
      <c r="N368" s="16" t="str" cm="1">
        <f t="array" ref="N368">_xlfn.IFS(
   --MacReports!M368&lt;55,"Battery Defect",
  -- MacReports!M368&lt;=69,"Battery D",
  --MacReports!M368&lt;=80,"Battery C",
 --MacReports!M368&gt;80,""
)</f>
        <v>Battery Defect</v>
      </c>
      <c r="O368" s="16" t="str">
        <f>IF(MacReports!I368="Service","Battery Service","")</f>
        <v/>
      </c>
      <c r="P368" s="13">
        <f>MacReports!P368</f>
        <v>0</v>
      </c>
      <c r="Q368" s="13" t="str">
        <f>IF(MacReports!J368="Enabled","Apple ID Lock","")</f>
        <v/>
      </c>
      <c r="R368" s="13" t="str">
        <f>IF(MacReports!L368="y","Remote Locked","")</f>
        <v/>
      </c>
      <c r="S368" t="str">
        <f t="shared" si="13"/>
        <v>Battery Defect, 0</v>
      </c>
      <c r="T368" t="str">
        <f>_xlfn.XLOOKUP(B368,Disk_Pivot!G:G,Disk_Pivot!I:I)</f>
        <v>Yes x2</v>
      </c>
      <c r="U368" t="str">
        <f>_xlfn.XLOOKUP(B368,Disk_Pivot!G:G,Disk_Pivot!N:N)</f>
        <v>Pass, Fail</v>
      </c>
      <c r="V368" t="str">
        <f>IF(U368="Fail",MacReports!N368,"")</f>
        <v/>
      </c>
      <c r="AB368" t="str">
        <f t="shared" si="14"/>
        <v/>
      </c>
    </row>
    <row r="369" spans="1:28">
      <c r="A369">
        <f>MacReports!A369</f>
        <v>0</v>
      </c>
      <c r="B369">
        <f>MacReports!B369</f>
        <v>0</v>
      </c>
      <c r="C369">
        <f>MacReports!C369</f>
        <v>0</v>
      </c>
      <c r="E369" t="e">
        <f>_xlfn.XLOOKUP(G369,Models!A:A,Models!F:F)</f>
        <v>#N/A</v>
      </c>
      <c r="F369" t="str">
        <f>_xlfn.XLOOKUP(B369,MacReports!B:B,MacReports!D:D,"")</f>
        <v/>
      </c>
      <c r="G369" s="13">
        <f>MacReports!E369</f>
        <v>0</v>
      </c>
      <c r="H369" t="e">
        <f>_xlfn.XLOOKUP(G369,Models!A:A,Models!B:B)</f>
        <v>#N/A</v>
      </c>
      <c r="I369" t="e">
        <f>_xlfn.XLOOKUP(G369,Models!A:A,Models!E:E)</f>
        <v>#N/A</v>
      </c>
      <c r="J369" t="e">
        <f>_xlfn.XLOOKUP(G369,Models!A:A,Models!D:D)</f>
        <v>#N/A</v>
      </c>
      <c r="K369">
        <f>MacReports!F369</f>
        <v>0</v>
      </c>
      <c r="L369">
        <f>MacReports!G369</f>
        <v>0</v>
      </c>
      <c r="M369" s="15" t="e" cm="1">
        <f t="array" ref="M369">--_xlfn.LET(
    _xlpm.txt, MacReports!H369,
    _xlpm.chars, MID(_xlpm.txt, _xlfn.SEQUENCE(LEN(_xlpm.txt)), 1),
    _xlfn.TEXTJOIN("", TRUE, IF(ISNUMBER(--_xlpm.chars), _xlpm.chars, ""))
)</f>
        <v>#VALUE!</v>
      </c>
      <c r="N369" s="16" t="str" cm="1">
        <f t="array" ref="N369">_xlfn.IFS(
   --MacReports!M369&lt;55,"Battery Defect",
  -- MacReports!M369&lt;=69,"Battery D",
  --MacReports!M369&lt;=80,"Battery C",
 --MacReports!M369&gt;80,""
)</f>
        <v>Battery Defect</v>
      </c>
      <c r="O369" s="16" t="str">
        <f>IF(MacReports!I369="Service","Battery Service","")</f>
        <v/>
      </c>
      <c r="P369" s="13">
        <f>MacReports!P369</f>
        <v>0</v>
      </c>
      <c r="Q369" s="13" t="str">
        <f>IF(MacReports!J369="Enabled","Apple ID Lock","")</f>
        <v/>
      </c>
      <c r="R369" s="13" t="str">
        <f>IF(MacReports!L369="y","Remote Locked","")</f>
        <v/>
      </c>
      <c r="S369" t="str">
        <f t="shared" si="13"/>
        <v>Battery Defect, 0</v>
      </c>
      <c r="T369" t="str">
        <f>_xlfn.XLOOKUP(B369,Disk_Pivot!G:G,Disk_Pivot!I:I)</f>
        <v>Yes x2</v>
      </c>
      <c r="U369" t="str">
        <f>_xlfn.XLOOKUP(B369,Disk_Pivot!G:G,Disk_Pivot!N:N)</f>
        <v>Pass, Fail</v>
      </c>
      <c r="V369" t="str">
        <f>IF(U369="Fail",MacReports!N369,"")</f>
        <v/>
      </c>
      <c r="AB369" t="str">
        <f t="shared" si="14"/>
        <v/>
      </c>
    </row>
    <row r="370" spans="1:28">
      <c r="A370">
        <f>MacReports!A370</f>
        <v>0</v>
      </c>
      <c r="B370">
        <f>MacReports!B370</f>
        <v>0</v>
      </c>
      <c r="C370">
        <f>MacReports!C370</f>
        <v>0</v>
      </c>
      <c r="E370" t="e">
        <f>_xlfn.XLOOKUP(G370,Models!A:A,Models!F:F)</f>
        <v>#N/A</v>
      </c>
      <c r="F370" t="str">
        <f>_xlfn.XLOOKUP(B370,MacReports!B:B,MacReports!D:D,"")</f>
        <v/>
      </c>
      <c r="G370" s="13">
        <f>MacReports!E370</f>
        <v>0</v>
      </c>
      <c r="H370" t="e">
        <f>_xlfn.XLOOKUP(G370,Models!A:A,Models!B:B)</f>
        <v>#N/A</v>
      </c>
      <c r="I370" t="e">
        <f>_xlfn.XLOOKUP(G370,Models!A:A,Models!E:E)</f>
        <v>#N/A</v>
      </c>
      <c r="J370" t="e">
        <f>_xlfn.XLOOKUP(G370,Models!A:A,Models!D:D)</f>
        <v>#N/A</v>
      </c>
      <c r="K370">
        <f>MacReports!F370</f>
        <v>0</v>
      </c>
      <c r="L370">
        <f>MacReports!G370</f>
        <v>0</v>
      </c>
      <c r="M370" s="15" t="e" cm="1">
        <f t="array" ref="M370">--_xlfn.LET(
    _xlpm.txt, MacReports!H370,
    _xlpm.chars, MID(_xlpm.txt, _xlfn.SEQUENCE(LEN(_xlpm.txt)), 1),
    _xlfn.TEXTJOIN("", TRUE, IF(ISNUMBER(--_xlpm.chars), _xlpm.chars, ""))
)</f>
        <v>#VALUE!</v>
      </c>
      <c r="N370" s="16" t="str" cm="1">
        <f t="array" ref="N370">_xlfn.IFS(
   --MacReports!M370&lt;55,"Battery Defect",
  -- MacReports!M370&lt;=69,"Battery D",
  --MacReports!M370&lt;=80,"Battery C",
 --MacReports!M370&gt;80,""
)</f>
        <v>Battery Defect</v>
      </c>
      <c r="O370" s="16" t="str">
        <f>IF(MacReports!I370="Service","Battery Service","")</f>
        <v/>
      </c>
      <c r="P370" s="13">
        <f>MacReports!P370</f>
        <v>0</v>
      </c>
      <c r="Q370" s="13" t="str">
        <f>IF(MacReports!J370="Enabled","Apple ID Lock","")</f>
        <v/>
      </c>
      <c r="R370" s="13" t="str">
        <f>IF(MacReports!L370="y","Remote Locked","")</f>
        <v/>
      </c>
      <c r="S370" t="str">
        <f t="shared" si="13"/>
        <v>Battery Defect, 0</v>
      </c>
      <c r="T370" t="str">
        <f>_xlfn.XLOOKUP(B370,Disk_Pivot!G:G,Disk_Pivot!I:I)</f>
        <v>Yes x2</v>
      </c>
      <c r="U370" t="str">
        <f>_xlfn.XLOOKUP(B370,Disk_Pivot!G:G,Disk_Pivot!N:N)</f>
        <v>Pass, Fail</v>
      </c>
      <c r="V370" t="str">
        <f>IF(U370="Fail",MacReports!N370,"")</f>
        <v/>
      </c>
      <c r="AB370" t="str">
        <f t="shared" si="14"/>
        <v/>
      </c>
    </row>
    <row r="371" spans="1:28">
      <c r="A371">
        <f>MacReports!A371</f>
        <v>0</v>
      </c>
      <c r="B371">
        <f>MacReports!B371</f>
        <v>0</v>
      </c>
      <c r="C371">
        <f>MacReports!C371</f>
        <v>0</v>
      </c>
      <c r="E371" t="e">
        <f>_xlfn.XLOOKUP(G371,Models!A:A,Models!F:F)</f>
        <v>#N/A</v>
      </c>
      <c r="F371" t="str">
        <f>_xlfn.XLOOKUP(B371,MacReports!B:B,MacReports!D:D,"")</f>
        <v/>
      </c>
      <c r="G371" s="13">
        <f>MacReports!E371</f>
        <v>0</v>
      </c>
      <c r="H371" t="e">
        <f>_xlfn.XLOOKUP(G371,Models!A:A,Models!B:B)</f>
        <v>#N/A</v>
      </c>
      <c r="I371" t="e">
        <f>_xlfn.XLOOKUP(G371,Models!A:A,Models!E:E)</f>
        <v>#N/A</v>
      </c>
      <c r="J371" t="e">
        <f>_xlfn.XLOOKUP(G371,Models!A:A,Models!D:D)</f>
        <v>#N/A</v>
      </c>
      <c r="K371">
        <f>MacReports!F371</f>
        <v>0</v>
      </c>
      <c r="L371">
        <f>MacReports!G371</f>
        <v>0</v>
      </c>
      <c r="M371" s="15" t="e" cm="1">
        <f t="array" ref="M371">--_xlfn.LET(
    _xlpm.txt, MacReports!H371,
    _xlpm.chars, MID(_xlpm.txt, _xlfn.SEQUENCE(LEN(_xlpm.txt)), 1),
    _xlfn.TEXTJOIN("", TRUE, IF(ISNUMBER(--_xlpm.chars), _xlpm.chars, ""))
)</f>
        <v>#VALUE!</v>
      </c>
      <c r="N371" s="16" t="str" cm="1">
        <f t="array" ref="N371">_xlfn.IFS(
   --MacReports!M371&lt;55,"Battery Defect",
  -- MacReports!M371&lt;=69,"Battery D",
  --MacReports!M371&lt;=80,"Battery C",
 --MacReports!M371&gt;80,""
)</f>
        <v>Battery Defect</v>
      </c>
      <c r="O371" s="16" t="str">
        <f>IF(MacReports!I371="Service","Battery Service","")</f>
        <v/>
      </c>
      <c r="P371" s="13">
        <f>MacReports!P371</f>
        <v>0</v>
      </c>
      <c r="Q371" s="13" t="str">
        <f>IF(MacReports!J371="Enabled","Apple ID Lock","")</f>
        <v/>
      </c>
      <c r="R371" s="13" t="str">
        <f>IF(MacReports!L371="y","Remote Locked","")</f>
        <v/>
      </c>
      <c r="S371" t="str">
        <f t="shared" si="13"/>
        <v>Battery Defect, 0</v>
      </c>
      <c r="T371" t="str">
        <f>_xlfn.XLOOKUP(B371,Disk_Pivot!G:G,Disk_Pivot!I:I)</f>
        <v>Yes x2</v>
      </c>
      <c r="U371" t="str">
        <f>_xlfn.XLOOKUP(B371,Disk_Pivot!G:G,Disk_Pivot!N:N)</f>
        <v>Pass, Fail</v>
      </c>
      <c r="V371" t="str">
        <f>IF(U371="Fail",MacReports!N371,"")</f>
        <v/>
      </c>
      <c r="AB371" t="str">
        <f t="shared" si="14"/>
        <v/>
      </c>
    </row>
    <row r="372" spans="1:28">
      <c r="A372">
        <f>MacReports!A372</f>
        <v>0</v>
      </c>
      <c r="B372">
        <f>MacReports!B372</f>
        <v>0</v>
      </c>
      <c r="C372">
        <f>MacReports!C372</f>
        <v>0</v>
      </c>
      <c r="E372" t="e">
        <f>_xlfn.XLOOKUP(G372,Models!A:A,Models!F:F)</f>
        <v>#N/A</v>
      </c>
      <c r="F372" t="str">
        <f>_xlfn.XLOOKUP(B372,MacReports!B:B,MacReports!D:D,"")</f>
        <v/>
      </c>
      <c r="G372" s="13">
        <f>MacReports!E372</f>
        <v>0</v>
      </c>
      <c r="H372" t="e">
        <f>_xlfn.XLOOKUP(G372,Models!A:A,Models!B:B)</f>
        <v>#N/A</v>
      </c>
      <c r="I372" t="e">
        <f>_xlfn.XLOOKUP(G372,Models!A:A,Models!E:E)</f>
        <v>#N/A</v>
      </c>
      <c r="J372" t="e">
        <f>_xlfn.XLOOKUP(G372,Models!A:A,Models!D:D)</f>
        <v>#N/A</v>
      </c>
      <c r="K372">
        <f>MacReports!F372</f>
        <v>0</v>
      </c>
      <c r="L372">
        <f>MacReports!G372</f>
        <v>0</v>
      </c>
      <c r="M372" s="15" t="e" cm="1">
        <f t="array" ref="M372">--_xlfn.LET(
    _xlpm.txt, MacReports!H372,
    _xlpm.chars, MID(_xlpm.txt, _xlfn.SEQUENCE(LEN(_xlpm.txt)), 1),
    _xlfn.TEXTJOIN("", TRUE, IF(ISNUMBER(--_xlpm.chars), _xlpm.chars, ""))
)</f>
        <v>#VALUE!</v>
      </c>
      <c r="N372" s="16" t="str" cm="1">
        <f t="array" ref="N372">_xlfn.IFS(
   --MacReports!M372&lt;55,"Battery Defect",
  -- MacReports!M372&lt;=69,"Battery D",
  --MacReports!M372&lt;=80,"Battery C",
 --MacReports!M372&gt;80,""
)</f>
        <v>Battery Defect</v>
      </c>
      <c r="O372" s="16" t="str">
        <f>IF(MacReports!I372="Service","Battery Service","")</f>
        <v/>
      </c>
      <c r="P372" s="13">
        <f>MacReports!P372</f>
        <v>0</v>
      </c>
      <c r="Q372" s="13" t="str">
        <f>IF(MacReports!J372="Enabled","Apple ID Lock","")</f>
        <v/>
      </c>
      <c r="R372" s="13" t="str">
        <f>IF(MacReports!L372="y","Remote Locked","")</f>
        <v/>
      </c>
      <c r="S372" t="str">
        <f t="shared" si="13"/>
        <v>Battery Defect, 0</v>
      </c>
      <c r="T372" t="str">
        <f>_xlfn.XLOOKUP(B372,Disk_Pivot!G:G,Disk_Pivot!I:I)</f>
        <v>Yes x2</v>
      </c>
      <c r="U372" t="str">
        <f>_xlfn.XLOOKUP(B372,Disk_Pivot!G:G,Disk_Pivot!N:N)</f>
        <v>Pass, Fail</v>
      </c>
      <c r="V372" t="str">
        <f>IF(U372="Fail",MacReports!N372,"")</f>
        <v/>
      </c>
      <c r="AB372" t="str">
        <f t="shared" si="14"/>
        <v/>
      </c>
    </row>
    <row r="373" spans="1:28">
      <c r="A373">
        <f>MacReports!A373</f>
        <v>0</v>
      </c>
      <c r="B373">
        <f>MacReports!B373</f>
        <v>0</v>
      </c>
      <c r="C373">
        <f>MacReports!C373</f>
        <v>0</v>
      </c>
      <c r="E373" t="e">
        <f>_xlfn.XLOOKUP(G373,Models!A:A,Models!F:F)</f>
        <v>#N/A</v>
      </c>
      <c r="F373" t="str">
        <f>_xlfn.XLOOKUP(B373,MacReports!B:B,MacReports!D:D,"")</f>
        <v/>
      </c>
      <c r="G373" s="13">
        <f>MacReports!E373</f>
        <v>0</v>
      </c>
      <c r="H373" t="e">
        <f>_xlfn.XLOOKUP(G373,Models!A:A,Models!B:B)</f>
        <v>#N/A</v>
      </c>
      <c r="I373" t="e">
        <f>_xlfn.XLOOKUP(G373,Models!A:A,Models!E:E)</f>
        <v>#N/A</v>
      </c>
      <c r="J373" t="e">
        <f>_xlfn.XLOOKUP(G373,Models!A:A,Models!D:D)</f>
        <v>#N/A</v>
      </c>
      <c r="K373">
        <f>MacReports!F373</f>
        <v>0</v>
      </c>
      <c r="L373">
        <f>MacReports!G373</f>
        <v>0</v>
      </c>
      <c r="M373" s="15" t="e" cm="1">
        <f t="array" ref="M373">--_xlfn.LET(
    _xlpm.txt, MacReports!H373,
    _xlpm.chars, MID(_xlpm.txt, _xlfn.SEQUENCE(LEN(_xlpm.txt)), 1),
    _xlfn.TEXTJOIN("", TRUE, IF(ISNUMBER(--_xlpm.chars), _xlpm.chars, ""))
)</f>
        <v>#VALUE!</v>
      </c>
      <c r="N373" s="16" t="str" cm="1">
        <f t="array" ref="N373">_xlfn.IFS(
   --MacReports!M373&lt;55,"Battery Defect",
  -- MacReports!M373&lt;=69,"Battery D",
  --MacReports!M373&lt;=80,"Battery C",
 --MacReports!M373&gt;80,""
)</f>
        <v>Battery Defect</v>
      </c>
      <c r="O373" s="16" t="str">
        <f>IF(MacReports!I373="Service","Battery Service","")</f>
        <v/>
      </c>
      <c r="P373" s="13">
        <f>MacReports!P373</f>
        <v>0</v>
      </c>
      <c r="Q373" s="13" t="str">
        <f>IF(MacReports!J373="Enabled","Apple ID Lock","")</f>
        <v/>
      </c>
      <c r="R373" s="13" t="str">
        <f>IF(MacReports!L373="y","Remote Locked","")</f>
        <v/>
      </c>
      <c r="S373" t="str">
        <f t="shared" si="13"/>
        <v>Battery Defect, 0</v>
      </c>
      <c r="T373" t="str">
        <f>_xlfn.XLOOKUP(B373,Disk_Pivot!G:G,Disk_Pivot!I:I)</f>
        <v>Yes x2</v>
      </c>
      <c r="U373" t="str">
        <f>_xlfn.XLOOKUP(B373,Disk_Pivot!G:G,Disk_Pivot!N:N)</f>
        <v>Pass, Fail</v>
      </c>
      <c r="V373" t="str">
        <f>IF(U373="Fail",MacReports!N373,"")</f>
        <v/>
      </c>
      <c r="AB373" t="str">
        <f t="shared" si="14"/>
        <v/>
      </c>
    </row>
    <row r="374" spans="1:28">
      <c r="A374">
        <f>MacReports!A374</f>
        <v>0</v>
      </c>
      <c r="B374">
        <f>MacReports!B374</f>
        <v>0</v>
      </c>
      <c r="C374">
        <f>MacReports!C374</f>
        <v>0</v>
      </c>
      <c r="E374" t="e">
        <f>_xlfn.XLOOKUP(G374,Models!A:A,Models!F:F)</f>
        <v>#N/A</v>
      </c>
      <c r="F374" t="str">
        <f>_xlfn.XLOOKUP(B374,MacReports!B:B,MacReports!D:D,"")</f>
        <v/>
      </c>
      <c r="G374" s="13">
        <f>MacReports!E374</f>
        <v>0</v>
      </c>
      <c r="H374" t="e">
        <f>_xlfn.XLOOKUP(G374,Models!A:A,Models!B:B)</f>
        <v>#N/A</v>
      </c>
      <c r="I374" t="e">
        <f>_xlfn.XLOOKUP(G374,Models!A:A,Models!E:E)</f>
        <v>#N/A</v>
      </c>
      <c r="J374" t="e">
        <f>_xlfn.XLOOKUP(G374,Models!A:A,Models!D:D)</f>
        <v>#N/A</v>
      </c>
      <c r="K374">
        <f>MacReports!F374</f>
        <v>0</v>
      </c>
      <c r="L374">
        <f>MacReports!G374</f>
        <v>0</v>
      </c>
      <c r="M374" s="15" t="e" cm="1">
        <f t="array" ref="M374">--_xlfn.LET(
    _xlpm.txt, MacReports!H374,
    _xlpm.chars, MID(_xlpm.txt, _xlfn.SEQUENCE(LEN(_xlpm.txt)), 1),
    _xlfn.TEXTJOIN("", TRUE, IF(ISNUMBER(--_xlpm.chars), _xlpm.chars, ""))
)</f>
        <v>#VALUE!</v>
      </c>
      <c r="N374" s="16" t="str" cm="1">
        <f t="array" ref="N374">_xlfn.IFS(
   --MacReports!M374&lt;55,"Battery Defect",
  -- MacReports!M374&lt;=69,"Battery D",
  --MacReports!M374&lt;=80,"Battery C",
 --MacReports!M374&gt;80,""
)</f>
        <v>Battery Defect</v>
      </c>
      <c r="O374" s="16" t="str">
        <f>IF(MacReports!I374="Service","Battery Service","")</f>
        <v/>
      </c>
      <c r="P374" s="13">
        <f>MacReports!P374</f>
        <v>0</v>
      </c>
      <c r="Q374" s="13" t="str">
        <f>IF(MacReports!J374="Enabled","Apple ID Lock","")</f>
        <v/>
      </c>
      <c r="R374" s="13" t="str">
        <f>IF(MacReports!L374="y","Remote Locked","")</f>
        <v/>
      </c>
      <c r="S374" t="str">
        <f t="shared" si="13"/>
        <v>Battery Defect, 0</v>
      </c>
      <c r="T374" t="str">
        <f>_xlfn.XLOOKUP(B374,Disk_Pivot!G:G,Disk_Pivot!I:I)</f>
        <v>Yes x2</v>
      </c>
      <c r="U374" t="str">
        <f>_xlfn.XLOOKUP(B374,Disk_Pivot!G:G,Disk_Pivot!N:N)</f>
        <v>Pass, Fail</v>
      </c>
      <c r="V374" t="str">
        <f>IF(U374="Fail",MacReports!N374,"")</f>
        <v/>
      </c>
      <c r="AB374" t="str">
        <f t="shared" si="14"/>
        <v/>
      </c>
    </row>
    <row r="375" spans="1:28">
      <c r="A375">
        <f>MacReports!A375</f>
        <v>0</v>
      </c>
      <c r="B375">
        <f>MacReports!B375</f>
        <v>0</v>
      </c>
      <c r="C375">
        <f>MacReports!C375</f>
        <v>0</v>
      </c>
      <c r="E375" t="e">
        <f>_xlfn.XLOOKUP(G375,Models!A:A,Models!F:F)</f>
        <v>#N/A</v>
      </c>
      <c r="F375" t="str">
        <f>_xlfn.XLOOKUP(B375,MacReports!B:B,MacReports!D:D,"")</f>
        <v/>
      </c>
      <c r="G375" s="13">
        <f>MacReports!E375</f>
        <v>0</v>
      </c>
      <c r="H375" t="e">
        <f>_xlfn.XLOOKUP(G375,Models!A:A,Models!B:B)</f>
        <v>#N/A</v>
      </c>
      <c r="I375" t="e">
        <f>_xlfn.XLOOKUP(G375,Models!A:A,Models!E:E)</f>
        <v>#N/A</v>
      </c>
      <c r="J375" t="e">
        <f>_xlfn.XLOOKUP(G375,Models!A:A,Models!D:D)</f>
        <v>#N/A</v>
      </c>
      <c r="K375">
        <f>MacReports!F375</f>
        <v>0</v>
      </c>
      <c r="L375">
        <f>MacReports!G375</f>
        <v>0</v>
      </c>
      <c r="M375" s="15" t="e" cm="1">
        <f t="array" ref="M375">--_xlfn.LET(
    _xlpm.txt, MacReports!H375,
    _xlpm.chars, MID(_xlpm.txt, _xlfn.SEQUENCE(LEN(_xlpm.txt)), 1),
    _xlfn.TEXTJOIN("", TRUE, IF(ISNUMBER(--_xlpm.chars), _xlpm.chars, ""))
)</f>
        <v>#VALUE!</v>
      </c>
      <c r="N375" s="16" t="str" cm="1">
        <f t="array" ref="N375">_xlfn.IFS(
   --MacReports!M375&lt;55,"Battery Defect",
  -- MacReports!M375&lt;=69,"Battery D",
  --MacReports!M375&lt;=80,"Battery C",
 --MacReports!M375&gt;80,""
)</f>
        <v>Battery Defect</v>
      </c>
      <c r="O375" s="16" t="str">
        <f>IF(MacReports!I375="Service","Battery Service","")</f>
        <v/>
      </c>
      <c r="P375" s="13">
        <f>MacReports!P375</f>
        <v>0</v>
      </c>
      <c r="Q375" s="13" t="str">
        <f>IF(MacReports!J375="Enabled","Apple ID Lock","")</f>
        <v/>
      </c>
      <c r="R375" s="13" t="str">
        <f>IF(MacReports!L375="y","Remote Locked","")</f>
        <v/>
      </c>
      <c r="S375" t="str">
        <f t="shared" si="13"/>
        <v>Battery Defect, 0</v>
      </c>
      <c r="T375" t="str">
        <f>_xlfn.XLOOKUP(B375,Disk_Pivot!G:G,Disk_Pivot!I:I)</f>
        <v>Yes x2</v>
      </c>
      <c r="U375" t="str">
        <f>_xlfn.XLOOKUP(B375,Disk_Pivot!G:G,Disk_Pivot!N:N)</f>
        <v>Pass, Fail</v>
      </c>
      <c r="V375" t="str">
        <f>IF(U375="Fail",MacReports!N375,"")</f>
        <v/>
      </c>
      <c r="AB375" t="str">
        <f t="shared" si="14"/>
        <v/>
      </c>
    </row>
    <row r="376" spans="1:28">
      <c r="A376">
        <f>MacReports!A376</f>
        <v>0</v>
      </c>
      <c r="B376">
        <f>MacReports!B376</f>
        <v>0</v>
      </c>
      <c r="C376">
        <f>MacReports!C376</f>
        <v>0</v>
      </c>
      <c r="E376" t="e">
        <f>_xlfn.XLOOKUP(G376,Models!A:A,Models!F:F)</f>
        <v>#N/A</v>
      </c>
      <c r="F376" t="str">
        <f>_xlfn.XLOOKUP(B376,MacReports!B:B,MacReports!D:D,"")</f>
        <v/>
      </c>
      <c r="G376" s="13">
        <f>MacReports!E376</f>
        <v>0</v>
      </c>
      <c r="H376" t="e">
        <f>_xlfn.XLOOKUP(G376,Models!A:A,Models!B:B)</f>
        <v>#N/A</v>
      </c>
      <c r="I376" t="e">
        <f>_xlfn.XLOOKUP(G376,Models!A:A,Models!E:E)</f>
        <v>#N/A</v>
      </c>
      <c r="J376" t="e">
        <f>_xlfn.XLOOKUP(G376,Models!A:A,Models!D:D)</f>
        <v>#N/A</v>
      </c>
      <c r="K376">
        <f>MacReports!F376</f>
        <v>0</v>
      </c>
      <c r="L376">
        <f>MacReports!G376</f>
        <v>0</v>
      </c>
      <c r="M376" s="15" t="e" cm="1">
        <f t="array" ref="M376">--_xlfn.LET(
    _xlpm.txt, MacReports!H376,
    _xlpm.chars, MID(_xlpm.txt, _xlfn.SEQUENCE(LEN(_xlpm.txt)), 1),
    _xlfn.TEXTJOIN("", TRUE, IF(ISNUMBER(--_xlpm.chars), _xlpm.chars, ""))
)</f>
        <v>#VALUE!</v>
      </c>
      <c r="N376" s="16" t="str" cm="1">
        <f t="array" ref="N376">_xlfn.IFS(
   --MacReports!M376&lt;55,"Battery Defect",
  -- MacReports!M376&lt;=69,"Battery D",
  --MacReports!M376&lt;=80,"Battery C",
 --MacReports!M376&gt;80,""
)</f>
        <v>Battery Defect</v>
      </c>
      <c r="O376" s="16" t="str">
        <f>IF(MacReports!I376="Service","Battery Service","")</f>
        <v/>
      </c>
      <c r="P376" s="13">
        <f>MacReports!P376</f>
        <v>0</v>
      </c>
      <c r="Q376" s="13" t="str">
        <f>IF(MacReports!J376="Enabled","Apple ID Lock","")</f>
        <v/>
      </c>
      <c r="R376" s="13" t="str">
        <f>IF(MacReports!L376="y","Remote Locked","")</f>
        <v/>
      </c>
      <c r="S376" t="str">
        <f t="shared" si="13"/>
        <v>Battery Defect, 0</v>
      </c>
      <c r="T376" t="str">
        <f>_xlfn.XLOOKUP(B376,Disk_Pivot!G:G,Disk_Pivot!I:I)</f>
        <v>Yes x2</v>
      </c>
      <c r="U376" t="str">
        <f>_xlfn.XLOOKUP(B376,Disk_Pivot!G:G,Disk_Pivot!N:N)</f>
        <v>Pass, Fail</v>
      </c>
      <c r="V376" t="str">
        <f>IF(U376="Fail",MacReports!N376,"")</f>
        <v/>
      </c>
      <c r="AB376" t="str">
        <f t="shared" si="14"/>
        <v/>
      </c>
    </row>
    <row r="377" spans="1:28">
      <c r="A377">
        <f>MacReports!A377</f>
        <v>0</v>
      </c>
      <c r="B377">
        <f>MacReports!B377</f>
        <v>0</v>
      </c>
      <c r="C377">
        <f>MacReports!C377</f>
        <v>0</v>
      </c>
      <c r="E377" t="e">
        <f>_xlfn.XLOOKUP(G377,Models!A:A,Models!F:F)</f>
        <v>#N/A</v>
      </c>
      <c r="F377" t="str">
        <f>_xlfn.XLOOKUP(B377,MacReports!B:B,MacReports!D:D,"")</f>
        <v/>
      </c>
      <c r="G377" s="13">
        <f>MacReports!E377</f>
        <v>0</v>
      </c>
      <c r="H377" t="e">
        <f>_xlfn.XLOOKUP(G377,Models!A:A,Models!B:B)</f>
        <v>#N/A</v>
      </c>
      <c r="I377" t="e">
        <f>_xlfn.XLOOKUP(G377,Models!A:A,Models!E:E)</f>
        <v>#N/A</v>
      </c>
      <c r="J377" t="e">
        <f>_xlfn.XLOOKUP(G377,Models!A:A,Models!D:D)</f>
        <v>#N/A</v>
      </c>
      <c r="K377">
        <f>MacReports!F377</f>
        <v>0</v>
      </c>
      <c r="L377">
        <f>MacReports!G377</f>
        <v>0</v>
      </c>
      <c r="M377" s="15" t="e" cm="1">
        <f t="array" ref="M377">--_xlfn.LET(
    _xlpm.txt, MacReports!H377,
    _xlpm.chars, MID(_xlpm.txt, _xlfn.SEQUENCE(LEN(_xlpm.txt)), 1),
    _xlfn.TEXTJOIN("", TRUE, IF(ISNUMBER(--_xlpm.chars), _xlpm.chars, ""))
)</f>
        <v>#VALUE!</v>
      </c>
      <c r="N377" s="16" t="str" cm="1">
        <f t="array" ref="N377">_xlfn.IFS(
   --MacReports!M377&lt;55,"Battery Defect",
  -- MacReports!M377&lt;=69,"Battery D",
  --MacReports!M377&lt;=80,"Battery C",
 --MacReports!M377&gt;80,""
)</f>
        <v>Battery Defect</v>
      </c>
      <c r="O377" s="16" t="str">
        <f>IF(MacReports!I377="Service","Battery Service","")</f>
        <v/>
      </c>
      <c r="P377" s="13">
        <f>MacReports!P377</f>
        <v>0</v>
      </c>
      <c r="Q377" s="13" t="str">
        <f>IF(MacReports!J377="Enabled","Apple ID Lock","")</f>
        <v/>
      </c>
      <c r="R377" s="13" t="str">
        <f>IF(MacReports!L377="y","Remote Locked","")</f>
        <v/>
      </c>
      <c r="S377" t="str">
        <f t="shared" si="13"/>
        <v>Battery Defect, 0</v>
      </c>
      <c r="T377" t="str">
        <f>_xlfn.XLOOKUP(B377,Disk_Pivot!G:G,Disk_Pivot!I:I)</f>
        <v>Yes x2</v>
      </c>
      <c r="U377" t="str">
        <f>_xlfn.XLOOKUP(B377,Disk_Pivot!G:G,Disk_Pivot!N:N)</f>
        <v>Pass, Fail</v>
      </c>
      <c r="V377" t="str">
        <f>IF(U377="Fail",MacReports!N377,"")</f>
        <v/>
      </c>
      <c r="AB377" t="str">
        <f t="shared" si="14"/>
        <v/>
      </c>
    </row>
    <row r="378" spans="1:28">
      <c r="A378">
        <f>MacReports!A378</f>
        <v>0</v>
      </c>
      <c r="B378">
        <f>MacReports!B378</f>
        <v>0</v>
      </c>
      <c r="C378">
        <f>MacReports!C378</f>
        <v>0</v>
      </c>
      <c r="E378" t="e">
        <f>_xlfn.XLOOKUP(G378,Models!A:A,Models!F:F)</f>
        <v>#N/A</v>
      </c>
      <c r="F378" t="str">
        <f>_xlfn.XLOOKUP(B378,MacReports!B:B,MacReports!D:D,"")</f>
        <v/>
      </c>
      <c r="G378" s="13">
        <f>MacReports!E378</f>
        <v>0</v>
      </c>
      <c r="H378" t="e">
        <f>_xlfn.XLOOKUP(G378,Models!A:A,Models!B:B)</f>
        <v>#N/A</v>
      </c>
      <c r="I378" t="e">
        <f>_xlfn.XLOOKUP(G378,Models!A:A,Models!E:E)</f>
        <v>#N/A</v>
      </c>
      <c r="J378" t="e">
        <f>_xlfn.XLOOKUP(G378,Models!A:A,Models!D:D)</f>
        <v>#N/A</v>
      </c>
      <c r="K378">
        <f>MacReports!F378</f>
        <v>0</v>
      </c>
      <c r="L378">
        <f>MacReports!G378</f>
        <v>0</v>
      </c>
      <c r="M378" s="15" t="e" cm="1">
        <f t="array" ref="M378">--_xlfn.LET(
    _xlpm.txt, MacReports!H378,
    _xlpm.chars, MID(_xlpm.txt, _xlfn.SEQUENCE(LEN(_xlpm.txt)), 1),
    _xlfn.TEXTJOIN("", TRUE, IF(ISNUMBER(--_xlpm.chars), _xlpm.chars, ""))
)</f>
        <v>#VALUE!</v>
      </c>
      <c r="N378" s="16" t="str" cm="1">
        <f t="array" ref="N378">_xlfn.IFS(
   --MacReports!M378&lt;55,"Battery Defect",
  -- MacReports!M378&lt;=69,"Battery D",
  --MacReports!M378&lt;=80,"Battery C",
 --MacReports!M378&gt;80,""
)</f>
        <v>Battery Defect</v>
      </c>
      <c r="O378" s="16" t="str">
        <f>IF(MacReports!I378="Service","Battery Service","")</f>
        <v/>
      </c>
      <c r="P378" s="13">
        <f>MacReports!P378</f>
        <v>0</v>
      </c>
      <c r="Q378" s="13" t="str">
        <f>IF(MacReports!J378="Enabled","Apple ID Lock","")</f>
        <v/>
      </c>
      <c r="R378" s="13" t="str">
        <f>IF(MacReports!L378="y","Remote Locked","")</f>
        <v/>
      </c>
      <c r="S378" t="str">
        <f t="shared" si="13"/>
        <v>Battery Defect, 0</v>
      </c>
      <c r="T378" t="str">
        <f>_xlfn.XLOOKUP(B378,Disk_Pivot!G:G,Disk_Pivot!I:I)</f>
        <v>Yes x2</v>
      </c>
      <c r="U378" t="str">
        <f>_xlfn.XLOOKUP(B378,Disk_Pivot!G:G,Disk_Pivot!N:N)</f>
        <v>Pass, Fail</v>
      </c>
      <c r="V378" t="str">
        <f>IF(U378="Fail",MacReports!N378,"")</f>
        <v/>
      </c>
      <c r="AB378" t="str">
        <f t="shared" si="14"/>
        <v/>
      </c>
    </row>
    <row r="379" spans="1:28">
      <c r="A379">
        <f>MacReports!A379</f>
        <v>0</v>
      </c>
      <c r="B379">
        <f>MacReports!B379</f>
        <v>0</v>
      </c>
      <c r="C379">
        <f>MacReports!C379</f>
        <v>0</v>
      </c>
      <c r="E379" t="e">
        <f>_xlfn.XLOOKUP(G379,Models!A:A,Models!F:F)</f>
        <v>#N/A</v>
      </c>
      <c r="F379" t="str">
        <f>_xlfn.XLOOKUP(B379,MacReports!B:B,MacReports!D:D,"")</f>
        <v/>
      </c>
      <c r="G379" s="13">
        <f>MacReports!E379</f>
        <v>0</v>
      </c>
      <c r="H379" t="e">
        <f>_xlfn.XLOOKUP(G379,Models!A:A,Models!B:B)</f>
        <v>#N/A</v>
      </c>
      <c r="I379" t="e">
        <f>_xlfn.XLOOKUP(G379,Models!A:A,Models!E:E)</f>
        <v>#N/A</v>
      </c>
      <c r="J379" t="e">
        <f>_xlfn.XLOOKUP(G379,Models!A:A,Models!D:D)</f>
        <v>#N/A</v>
      </c>
      <c r="K379">
        <f>MacReports!F379</f>
        <v>0</v>
      </c>
      <c r="L379">
        <f>MacReports!G379</f>
        <v>0</v>
      </c>
      <c r="M379" s="15" t="e" cm="1">
        <f t="array" ref="M379">--_xlfn.LET(
    _xlpm.txt, MacReports!H379,
    _xlpm.chars, MID(_xlpm.txt, _xlfn.SEQUENCE(LEN(_xlpm.txt)), 1),
    _xlfn.TEXTJOIN("", TRUE, IF(ISNUMBER(--_xlpm.chars), _xlpm.chars, ""))
)</f>
        <v>#VALUE!</v>
      </c>
      <c r="N379" s="16" t="str" cm="1">
        <f t="array" ref="N379">_xlfn.IFS(
   --MacReports!M379&lt;55,"Battery Defect",
  -- MacReports!M379&lt;=69,"Battery D",
  --MacReports!M379&lt;=80,"Battery C",
 --MacReports!M379&gt;80,""
)</f>
        <v>Battery Defect</v>
      </c>
      <c r="O379" s="16" t="str">
        <f>IF(MacReports!I379="Service","Battery Service","")</f>
        <v/>
      </c>
      <c r="P379" s="13">
        <f>MacReports!P379</f>
        <v>0</v>
      </c>
      <c r="Q379" s="13" t="str">
        <f>IF(MacReports!J379="Enabled","Apple ID Lock","")</f>
        <v/>
      </c>
      <c r="R379" s="13" t="str">
        <f>IF(MacReports!L379="y","Remote Locked","")</f>
        <v/>
      </c>
      <c r="S379" t="str">
        <f t="shared" si="13"/>
        <v>Battery Defect, 0</v>
      </c>
      <c r="T379" t="str">
        <f>_xlfn.XLOOKUP(B379,Disk_Pivot!G:G,Disk_Pivot!I:I)</f>
        <v>Yes x2</v>
      </c>
      <c r="U379" t="str">
        <f>_xlfn.XLOOKUP(B379,Disk_Pivot!G:G,Disk_Pivot!N:N)</f>
        <v>Pass, Fail</v>
      </c>
      <c r="V379" t="str">
        <f>IF(U379="Fail",MacReports!N379,"")</f>
        <v/>
      </c>
      <c r="AB379" t="str">
        <f t="shared" si="14"/>
        <v/>
      </c>
    </row>
    <row r="380" spans="1:28">
      <c r="A380">
        <f>MacReports!A380</f>
        <v>0</v>
      </c>
      <c r="B380">
        <f>MacReports!B380</f>
        <v>0</v>
      </c>
      <c r="C380">
        <f>MacReports!C380</f>
        <v>0</v>
      </c>
      <c r="E380" t="e">
        <f>_xlfn.XLOOKUP(G380,Models!A:A,Models!F:F)</f>
        <v>#N/A</v>
      </c>
      <c r="F380" t="str">
        <f>_xlfn.XLOOKUP(B380,MacReports!B:B,MacReports!D:D,"")</f>
        <v/>
      </c>
      <c r="G380" s="13">
        <f>MacReports!E380</f>
        <v>0</v>
      </c>
      <c r="H380" t="e">
        <f>_xlfn.XLOOKUP(G380,Models!A:A,Models!B:B)</f>
        <v>#N/A</v>
      </c>
      <c r="I380" t="e">
        <f>_xlfn.XLOOKUP(G380,Models!A:A,Models!E:E)</f>
        <v>#N/A</v>
      </c>
      <c r="J380" t="e">
        <f>_xlfn.XLOOKUP(G380,Models!A:A,Models!D:D)</f>
        <v>#N/A</v>
      </c>
      <c r="K380">
        <f>MacReports!F380</f>
        <v>0</v>
      </c>
      <c r="L380">
        <f>MacReports!G380</f>
        <v>0</v>
      </c>
      <c r="M380" s="15" t="e" cm="1">
        <f t="array" ref="M380">--_xlfn.LET(
    _xlpm.txt, MacReports!H380,
    _xlpm.chars, MID(_xlpm.txt, _xlfn.SEQUENCE(LEN(_xlpm.txt)), 1),
    _xlfn.TEXTJOIN("", TRUE, IF(ISNUMBER(--_xlpm.chars), _xlpm.chars, ""))
)</f>
        <v>#VALUE!</v>
      </c>
      <c r="N380" s="16" t="str" cm="1">
        <f t="array" ref="N380">_xlfn.IFS(
   --MacReports!M380&lt;55,"Battery Defect",
  -- MacReports!M380&lt;=69,"Battery D",
  --MacReports!M380&lt;=80,"Battery C",
 --MacReports!M380&gt;80,""
)</f>
        <v>Battery Defect</v>
      </c>
      <c r="O380" s="16" t="str">
        <f>IF(MacReports!I380="Service","Battery Service","")</f>
        <v/>
      </c>
      <c r="P380" s="13">
        <f>MacReports!P380</f>
        <v>0</v>
      </c>
      <c r="Q380" s="13" t="str">
        <f>IF(MacReports!J380="Enabled","Apple ID Lock","")</f>
        <v/>
      </c>
      <c r="R380" s="13" t="str">
        <f>IF(MacReports!L380="y","Remote Locked","")</f>
        <v/>
      </c>
      <c r="S380" t="str">
        <f t="shared" si="13"/>
        <v>Battery Defect, 0</v>
      </c>
      <c r="T380" t="str">
        <f>_xlfn.XLOOKUP(B380,Disk_Pivot!G:G,Disk_Pivot!I:I)</f>
        <v>Yes x2</v>
      </c>
      <c r="U380" t="str">
        <f>_xlfn.XLOOKUP(B380,Disk_Pivot!G:G,Disk_Pivot!N:N)</f>
        <v>Pass, Fail</v>
      </c>
      <c r="V380" t="str">
        <f>IF(U380="Fail",MacReports!N380,"")</f>
        <v/>
      </c>
      <c r="AB380" t="str">
        <f t="shared" si="14"/>
        <v/>
      </c>
    </row>
    <row r="381" spans="1:28">
      <c r="A381">
        <f>MacReports!A381</f>
        <v>0</v>
      </c>
      <c r="B381">
        <f>MacReports!B381</f>
        <v>0</v>
      </c>
      <c r="C381">
        <f>MacReports!C381</f>
        <v>0</v>
      </c>
      <c r="E381" t="e">
        <f>_xlfn.XLOOKUP(G381,Models!A:A,Models!F:F)</f>
        <v>#N/A</v>
      </c>
      <c r="F381" t="str">
        <f>_xlfn.XLOOKUP(B381,MacReports!B:B,MacReports!D:D,"")</f>
        <v/>
      </c>
      <c r="G381" s="13">
        <f>MacReports!E381</f>
        <v>0</v>
      </c>
      <c r="H381" t="e">
        <f>_xlfn.XLOOKUP(G381,Models!A:A,Models!B:B)</f>
        <v>#N/A</v>
      </c>
      <c r="I381" t="e">
        <f>_xlfn.XLOOKUP(G381,Models!A:A,Models!E:E)</f>
        <v>#N/A</v>
      </c>
      <c r="J381" t="e">
        <f>_xlfn.XLOOKUP(G381,Models!A:A,Models!D:D)</f>
        <v>#N/A</v>
      </c>
      <c r="K381">
        <f>MacReports!F381</f>
        <v>0</v>
      </c>
      <c r="L381">
        <f>MacReports!G381</f>
        <v>0</v>
      </c>
      <c r="M381" s="15" t="e" cm="1">
        <f t="array" ref="M381">--_xlfn.LET(
    _xlpm.txt, MacReports!H381,
    _xlpm.chars, MID(_xlpm.txt, _xlfn.SEQUENCE(LEN(_xlpm.txt)), 1),
    _xlfn.TEXTJOIN("", TRUE, IF(ISNUMBER(--_xlpm.chars), _xlpm.chars, ""))
)</f>
        <v>#VALUE!</v>
      </c>
      <c r="N381" s="16" t="str" cm="1">
        <f t="array" ref="N381">_xlfn.IFS(
   --MacReports!M381&lt;55,"Battery Defect",
  -- MacReports!M381&lt;=69,"Battery D",
  --MacReports!M381&lt;=80,"Battery C",
 --MacReports!M381&gt;80,""
)</f>
        <v>Battery Defect</v>
      </c>
      <c r="O381" s="16" t="str">
        <f>IF(MacReports!I381="Service","Battery Service","")</f>
        <v/>
      </c>
      <c r="P381" s="13">
        <f>MacReports!P381</f>
        <v>0</v>
      </c>
      <c r="Q381" s="13" t="str">
        <f>IF(MacReports!J381="Enabled","Apple ID Lock","")</f>
        <v/>
      </c>
      <c r="R381" s="13" t="str">
        <f>IF(MacReports!L381="y","Remote Locked","")</f>
        <v/>
      </c>
      <c r="S381" t="str">
        <f t="shared" si="13"/>
        <v>Battery Defect, 0</v>
      </c>
      <c r="T381" t="str">
        <f>_xlfn.XLOOKUP(B381,Disk_Pivot!G:G,Disk_Pivot!I:I)</f>
        <v>Yes x2</v>
      </c>
      <c r="U381" t="str">
        <f>_xlfn.XLOOKUP(B381,Disk_Pivot!G:G,Disk_Pivot!N:N)</f>
        <v>Pass, Fail</v>
      </c>
      <c r="V381" t="str">
        <f>IF(U381="Fail",MacReports!N381,"")</f>
        <v/>
      </c>
      <c r="AB381" t="str">
        <f t="shared" si="14"/>
        <v/>
      </c>
    </row>
    <row r="382" spans="1:28">
      <c r="A382">
        <f>MacReports!A382</f>
        <v>0</v>
      </c>
      <c r="B382">
        <f>MacReports!B382</f>
        <v>0</v>
      </c>
      <c r="C382">
        <f>MacReports!C382</f>
        <v>0</v>
      </c>
      <c r="E382" t="e">
        <f>_xlfn.XLOOKUP(G382,Models!A:A,Models!F:F)</f>
        <v>#N/A</v>
      </c>
      <c r="F382" t="str">
        <f>_xlfn.XLOOKUP(B382,MacReports!B:B,MacReports!D:D,"")</f>
        <v/>
      </c>
      <c r="G382" s="13">
        <f>MacReports!E382</f>
        <v>0</v>
      </c>
      <c r="H382" t="e">
        <f>_xlfn.XLOOKUP(G382,Models!A:A,Models!B:B)</f>
        <v>#N/A</v>
      </c>
      <c r="I382" t="e">
        <f>_xlfn.XLOOKUP(G382,Models!A:A,Models!E:E)</f>
        <v>#N/A</v>
      </c>
      <c r="J382" t="e">
        <f>_xlfn.XLOOKUP(G382,Models!A:A,Models!D:D)</f>
        <v>#N/A</v>
      </c>
      <c r="K382">
        <f>MacReports!F382</f>
        <v>0</v>
      </c>
      <c r="L382">
        <f>MacReports!G382</f>
        <v>0</v>
      </c>
      <c r="M382" s="15" t="e" cm="1">
        <f t="array" ref="M382">--_xlfn.LET(
    _xlpm.txt, MacReports!H382,
    _xlpm.chars, MID(_xlpm.txt, _xlfn.SEQUENCE(LEN(_xlpm.txt)), 1),
    _xlfn.TEXTJOIN("", TRUE, IF(ISNUMBER(--_xlpm.chars), _xlpm.chars, ""))
)</f>
        <v>#VALUE!</v>
      </c>
      <c r="N382" s="16" t="str" cm="1">
        <f t="array" ref="N382">_xlfn.IFS(
   --MacReports!M382&lt;55,"Battery Defect",
  -- MacReports!M382&lt;=69,"Battery D",
  --MacReports!M382&lt;=80,"Battery C",
 --MacReports!M382&gt;80,""
)</f>
        <v>Battery Defect</v>
      </c>
      <c r="O382" s="16" t="str">
        <f>IF(MacReports!I382="Service","Battery Service","")</f>
        <v/>
      </c>
      <c r="P382" s="13">
        <f>MacReports!P382</f>
        <v>0</v>
      </c>
      <c r="Q382" s="13" t="str">
        <f>IF(MacReports!J382="Enabled","Apple ID Lock","")</f>
        <v/>
      </c>
      <c r="R382" s="13" t="str">
        <f>IF(MacReports!L382="y","Remote Locked","")</f>
        <v/>
      </c>
      <c r="S382" t="str">
        <f t="shared" si="13"/>
        <v>Battery Defect, 0</v>
      </c>
      <c r="T382" t="str">
        <f>_xlfn.XLOOKUP(B382,Disk_Pivot!G:G,Disk_Pivot!I:I)</f>
        <v>Yes x2</v>
      </c>
      <c r="U382" t="str">
        <f>_xlfn.XLOOKUP(B382,Disk_Pivot!G:G,Disk_Pivot!N:N)</f>
        <v>Pass, Fail</v>
      </c>
      <c r="V382" t="str">
        <f>IF(U382="Fail",MacReports!N382,"")</f>
        <v/>
      </c>
      <c r="AB382" t="str">
        <f t="shared" si="14"/>
        <v/>
      </c>
    </row>
    <row r="383" spans="1:28">
      <c r="A383">
        <f>MacReports!A383</f>
        <v>0</v>
      </c>
      <c r="B383">
        <f>MacReports!B383</f>
        <v>0</v>
      </c>
      <c r="C383">
        <f>MacReports!C383</f>
        <v>0</v>
      </c>
      <c r="E383" t="e">
        <f>_xlfn.XLOOKUP(G383,Models!A:A,Models!F:F)</f>
        <v>#N/A</v>
      </c>
      <c r="F383" t="str">
        <f>_xlfn.XLOOKUP(B383,MacReports!B:B,MacReports!D:D,"")</f>
        <v/>
      </c>
      <c r="G383" s="13">
        <f>MacReports!E383</f>
        <v>0</v>
      </c>
      <c r="H383" t="e">
        <f>_xlfn.XLOOKUP(G383,Models!A:A,Models!B:B)</f>
        <v>#N/A</v>
      </c>
      <c r="I383" t="e">
        <f>_xlfn.XLOOKUP(G383,Models!A:A,Models!E:E)</f>
        <v>#N/A</v>
      </c>
      <c r="J383" t="e">
        <f>_xlfn.XLOOKUP(G383,Models!A:A,Models!D:D)</f>
        <v>#N/A</v>
      </c>
      <c r="K383">
        <f>MacReports!F383</f>
        <v>0</v>
      </c>
      <c r="L383">
        <f>MacReports!G383</f>
        <v>0</v>
      </c>
      <c r="M383" s="15" t="e" cm="1">
        <f t="array" ref="M383">--_xlfn.LET(
    _xlpm.txt, MacReports!H383,
    _xlpm.chars, MID(_xlpm.txt, _xlfn.SEQUENCE(LEN(_xlpm.txt)), 1),
    _xlfn.TEXTJOIN("", TRUE, IF(ISNUMBER(--_xlpm.chars), _xlpm.chars, ""))
)</f>
        <v>#VALUE!</v>
      </c>
      <c r="N383" s="16" t="str" cm="1">
        <f t="array" ref="N383">_xlfn.IFS(
   --MacReports!M383&lt;55,"Battery Defect",
  -- MacReports!M383&lt;=69,"Battery D",
  --MacReports!M383&lt;=80,"Battery C",
 --MacReports!M383&gt;80,""
)</f>
        <v>Battery Defect</v>
      </c>
      <c r="O383" s="16" t="str">
        <f>IF(MacReports!I383="Service","Battery Service","")</f>
        <v/>
      </c>
      <c r="P383" s="13">
        <f>MacReports!P383</f>
        <v>0</v>
      </c>
      <c r="Q383" s="13" t="str">
        <f>IF(MacReports!J383="Enabled","Apple ID Lock","")</f>
        <v/>
      </c>
      <c r="R383" s="13" t="str">
        <f>IF(MacReports!L383="y","Remote Locked","")</f>
        <v/>
      </c>
      <c r="S383" t="str">
        <f t="shared" si="13"/>
        <v>Battery Defect, 0</v>
      </c>
      <c r="T383" t="str">
        <f>_xlfn.XLOOKUP(B383,Disk_Pivot!G:G,Disk_Pivot!I:I)</f>
        <v>Yes x2</v>
      </c>
      <c r="U383" t="str">
        <f>_xlfn.XLOOKUP(B383,Disk_Pivot!G:G,Disk_Pivot!N:N)</f>
        <v>Pass, Fail</v>
      </c>
      <c r="V383" t="str">
        <f>IF(U383="Fail",MacReports!N383,"")</f>
        <v/>
      </c>
      <c r="AB383" t="str">
        <f t="shared" si="14"/>
        <v/>
      </c>
    </row>
    <row r="384" spans="1:28">
      <c r="A384">
        <f>MacReports!A384</f>
        <v>0</v>
      </c>
      <c r="B384">
        <f>MacReports!B384</f>
        <v>0</v>
      </c>
      <c r="C384">
        <f>MacReports!C384</f>
        <v>0</v>
      </c>
      <c r="E384" t="e">
        <f>_xlfn.XLOOKUP(G384,Models!A:A,Models!F:F)</f>
        <v>#N/A</v>
      </c>
      <c r="F384" t="str">
        <f>_xlfn.XLOOKUP(B384,MacReports!B:B,MacReports!D:D,"")</f>
        <v/>
      </c>
      <c r="G384" s="13">
        <f>MacReports!E384</f>
        <v>0</v>
      </c>
      <c r="H384" t="e">
        <f>_xlfn.XLOOKUP(G384,Models!A:A,Models!B:B)</f>
        <v>#N/A</v>
      </c>
      <c r="I384" t="e">
        <f>_xlfn.XLOOKUP(G384,Models!A:A,Models!E:E)</f>
        <v>#N/A</v>
      </c>
      <c r="J384" t="e">
        <f>_xlfn.XLOOKUP(G384,Models!A:A,Models!D:D)</f>
        <v>#N/A</v>
      </c>
      <c r="K384">
        <f>MacReports!F384</f>
        <v>0</v>
      </c>
      <c r="L384">
        <f>MacReports!G384</f>
        <v>0</v>
      </c>
      <c r="M384" s="15" t="e" cm="1">
        <f t="array" ref="M384">--_xlfn.LET(
    _xlpm.txt, MacReports!H384,
    _xlpm.chars, MID(_xlpm.txt, _xlfn.SEQUENCE(LEN(_xlpm.txt)), 1),
    _xlfn.TEXTJOIN("", TRUE, IF(ISNUMBER(--_xlpm.chars), _xlpm.chars, ""))
)</f>
        <v>#VALUE!</v>
      </c>
      <c r="N384" s="16" t="str" cm="1">
        <f t="array" ref="N384">_xlfn.IFS(
   --MacReports!M384&lt;55,"Battery Defect",
  -- MacReports!M384&lt;=69,"Battery D",
  --MacReports!M384&lt;=80,"Battery C",
 --MacReports!M384&gt;80,""
)</f>
        <v>Battery Defect</v>
      </c>
      <c r="O384" s="16" t="str">
        <f>IF(MacReports!I384="Service","Battery Service","")</f>
        <v/>
      </c>
      <c r="P384" s="13">
        <f>MacReports!P384</f>
        <v>0</v>
      </c>
      <c r="Q384" s="13" t="str">
        <f>IF(MacReports!J384="Enabled","Apple ID Lock","")</f>
        <v/>
      </c>
      <c r="R384" s="13" t="str">
        <f>IF(MacReports!L384="y","Remote Locked","")</f>
        <v/>
      </c>
      <c r="S384" t="str">
        <f t="shared" si="13"/>
        <v>Battery Defect, 0</v>
      </c>
      <c r="T384" t="str">
        <f>_xlfn.XLOOKUP(B384,Disk_Pivot!G:G,Disk_Pivot!I:I)</f>
        <v>Yes x2</v>
      </c>
      <c r="U384" t="str">
        <f>_xlfn.XLOOKUP(B384,Disk_Pivot!G:G,Disk_Pivot!N:N)</f>
        <v>Pass, Fail</v>
      </c>
      <c r="V384" t="str">
        <f>IF(U384="Fail",MacReports!N384,"")</f>
        <v/>
      </c>
      <c r="AB384" t="str">
        <f t="shared" si="14"/>
        <v/>
      </c>
    </row>
    <row r="385" spans="1:28">
      <c r="A385">
        <f>MacReports!A385</f>
        <v>0</v>
      </c>
      <c r="B385">
        <f>MacReports!B385</f>
        <v>0</v>
      </c>
      <c r="C385">
        <f>MacReports!C385</f>
        <v>0</v>
      </c>
      <c r="E385" t="e">
        <f>_xlfn.XLOOKUP(G385,Models!A:A,Models!F:F)</f>
        <v>#N/A</v>
      </c>
      <c r="F385" t="str">
        <f>_xlfn.XLOOKUP(B385,MacReports!B:B,MacReports!D:D,"")</f>
        <v/>
      </c>
      <c r="G385" s="13">
        <f>MacReports!E385</f>
        <v>0</v>
      </c>
      <c r="H385" t="e">
        <f>_xlfn.XLOOKUP(G385,Models!A:A,Models!B:B)</f>
        <v>#N/A</v>
      </c>
      <c r="I385" t="e">
        <f>_xlfn.XLOOKUP(G385,Models!A:A,Models!E:E)</f>
        <v>#N/A</v>
      </c>
      <c r="J385" t="e">
        <f>_xlfn.XLOOKUP(G385,Models!A:A,Models!D:D)</f>
        <v>#N/A</v>
      </c>
      <c r="K385">
        <f>MacReports!F385</f>
        <v>0</v>
      </c>
      <c r="L385">
        <f>MacReports!G385</f>
        <v>0</v>
      </c>
      <c r="M385" s="15" t="e" cm="1">
        <f t="array" ref="M385">--_xlfn.LET(
    _xlpm.txt, MacReports!H385,
    _xlpm.chars, MID(_xlpm.txt, _xlfn.SEQUENCE(LEN(_xlpm.txt)), 1),
    _xlfn.TEXTJOIN("", TRUE, IF(ISNUMBER(--_xlpm.chars), _xlpm.chars, ""))
)</f>
        <v>#VALUE!</v>
      </c>
      <c r="N385" s="16" t="str" cm="1">
        <f t="array" ref="N385">_xlfn.IFS(
   --MacReports!M385&lt;55,"Battery Defect",
  -- MacReports!M385&lt;=69,"Battery D",
  --MacReports!M385&lt;=80,"Battery C",
 --MacReports!M385&gt;80,""
)</f>
        <v>Battery Defect</v>
      </c>
      <c r="O385" s="16" t="str">
        <f>IF(MacReports!I385="Service","Battery Service","")</f>
        <v/>
      </c>
      <c r="P385" s="13">
        <f>MacReports!P385</f>
        <v>0</v>
      </c>
      <c r="Q385" s="13" t="str">
        <f>IF(MacReports!J385="Enabled","Apple ID Lock","")</f>
        <v/>
      </c>
      <c r="R385" s="13" t="str">
        <f>IF(MacReports!L385="y","Remote Locked","")</f>
        <v/>
      </c>
      <c r="S385" t="str">
        <f t="shared" si="13"/>
        <v>Battery Defect, 0</v>
      </c>
      <c r="T385" t="str">
        <f>_xlfn.XLOOKUP(B385,Disk_Pivot!G:G,Disk_Pivot!I:I)</f>
        <v>Yes x2</v>
      </c>
      <c r="U385" t="str">
        <f>_xlfn.XLOOKUP(B385,Disk_Pivot!G:G,Disk_Pivot!N:N)</f>
        <v>Pass, Fail</v>
      </c>
      <c r="V385" t="str">
        <f>IF(U385="Fail",MacReports!N385,"")</f>
        <v/>
      </c>
      <c r="AB385" t="str">
        <f t="shared" si="14"/>
        <v/>
      </c>
    </row>
    <row r="386" spans="1:28">
      <c r="A386">
        <f>MacReports!A386</f>
        <v>0</v>
      </c>
      <c r="B386">
        <f>MacReports!B386</f>
        <v>0</v>
      </c>
      <c r="C386">
        <f>MacReports!C386</f>
        <v>0</v>
      </c>
      <c r="E386" t="e">
        <f>_xlfn.XLOOKUP(G386,Models!A:A,Models!F:F)</f>
        <v>#N/A</v>
      </c>
      <c r="F386" t="str">
        <f>_xlfn.XLOOKUP(B386,MacReports!B:B,MacReports!D:D,"")</f>
        <v/>
      </c>
      <c r="G386" s="13">
        <f>MacReports!E386</f>
        <v>0</v>
      </c>
      <c r="H386" t="e">
        <f>_xlfn.XLOOKUP(G386,Models!A:A,Models!B:B)</f>
        <v>#N/A</v>
      </c>
      <c r="I386" t="e">
        <f>_xlfn.XLOOKUP(G386,Models!A:A,Models!E:E)</f>
        <v>#N/A</v>
      </c>
      <c r="J386" t="e">
        <f>_xlfn.XLOOKUP(G386,Models!A:A,Models!D:D)</f>
        <v>#N/A</v>
      </c>
      <c r="K386">
        <f>MacReports!F386</f>
        <v>0</v>
      </c>
      <c r="L386">
        <f>MacReports!G386</f>
        <v>0</v>
      </c>
      <c r="M386" s="15" t="e" cm="1">
        <f t="array" ref="M386">--_xlfn.LET(
    _xlpm.txt, MacReports!H386,
    _xlpm.chars, MID(_xlpm.txt, _xlfn.SEQUENCE(LEN(_xlpm.txt)), 1),
    _xlfn.TEXTJOIN("", TRUE, IF(ISNUMBER(--_xlpm.chars), _xlpm.chars, ""))
)</f>
        <v>#VALUE!</v>
      </c>
      <c r="N386" s="16" t="str" cm="1">
        <f t="array" ref="N386">_xlfn.IFS(
   --MacReports!M386&lt;55,"Battery Defect",
  -- MacReports!M386&lt;=69,"Battery D",
  --MacReports!M386&lt;=80,"Battery C",
 --MacReports!M386&gt;80,""
)</f>
        <v>Battery Defect</v>
      </c>
      <c r="O386" s="16" t="str">
        <f>IF(MacReports!I386="Service","Battery Service","")</f>
        <v/>
      </c>
      <c r="P386" s="13">
        <f>MacReports!P386</f>
        <v>0</v>
      </c>
      <c r="Q386" s="13" t="str">
        <f>IF(MacReports!J386="Enabled","Apple ID Lock","")</f>
        <v/>
      </c>
      <c r="R386" s="13" t="str">
        <f>IF(MacReports!L386="y","Remote Locked","")</f>
        <v/>
      </c>
      <c r="S386" t="str">
        <f t="shared" si="13"/>
        <v>Battery Defect, 0</v>
      </c>
      <c r="T386" t="str">
        <f>_xlfn.XLOOKUP(B386,Disk_Pivot!G:G,Disk_Pivot!I:I)</f>
        <v>Yes x2</v>
      </c>
      <c r="U386" t="str">
        <f>_xlfn.XLOOKUP(B386,Disk_Pivot!G:G,Disk_Pivot!N:N)</f>
        <v>Pass, Fail</v>
      </c>
      <c r="V386" t="str">
        <f>IF(U386="Fail",MacReports!N386,"")</f>
        <v/>
      </c>
      <c r="AB386" t="str">
        <f t="shared" si="14"/>
        <v/>
      </c>
    </row>
    <row r="387" spans="1:28">
      <c r="A387">
        <f>MacReports!A387</f>
        <v>0</v>
      </c>
      <c r="B387">
        <f>MacReports!B387</f>
        <v>0</v>
      </c>
      <c r="C387">
        <f>MacReports!C387</f>
        <v>0</v>
      </c>
      <c r="E387" t="e">
        <f>_xlfn.XLOOKUP(G387,Models!A:A,Models!F:F)</f>
        <v>#N/A</v>
      </c>
      <c r="F387" t="str">
        <f>_xlfn.XLOOKUP(B387,MacReports!B:B,MacReports!D:D,"")</f>
        <v/>
      </c>
      <c r="G387" s="13">
        <f>MacReports!E387</f>
        <v>0</v>
      </c>
      <c r="H387" t="e">
        <f>_xlfn.XLOOKUP(G387,Models!A:A,Models!B:B)</f>
        <v>#N/A</v>
      </c>
      <c r="I387" t="e">
        <f>_xlfn.XLOOKUP(G387,Models!A:A,Models!E:E)</f>
        <v>#N/A</v>
      </c>
      <c r="J387" t="e">
        <f>_xlfn.XLOOKUP(G387,Models!A:A,Models!D:D)</f>
        <v>#N/A</v>
      </c>
      <c r="K387">
        <f>MacReports!F387</f>
        <v>0</v>
      </c>
      <c r="L387">
        <f>MacReports!G387</f>
        <v>0</v>
      </c>
      <c r="M387" s="15" t="e" cm="1">
        <f t="array" ref="M387">--_xlfn.LET(
    _xlpm.txt, MacReports!H387,
    _xlpm.chars, MID(_xlpm.txt, _xlfn.SEQUENCE(LEN(_xlpm.txt)), 1),
    _xlfn.TEXTJOIN("", TRUE, IF(ISNUMBER(--_xlpm.chars), _xlpm.chars, ""))
)</f>
        <v>#VALUE!</v>
      </c>
      <c r="N387" s="16" t="str" cm="1">
        <f t="array" ref="N387">_xlfn.IFS(
   --MacReports!M387&lt;55,"Battery Defect",
  -- MacReports!M387&lt;=69,"Battery D",
  --MacReports!M387&lt;=80,"Battery C",
 --MacReports!M387&gt;80,""
)</f>
        <v>Battery Defect</v>
      </c>
      <c r="O387" s="16" t="str">
        <f>IF(MacReports!I387="Service","Battery Service","")</f>
        <v/>
      </c>
      <c r="P387" s="13">
        <f>MacReports!P387</f>
        <v>0</v>
      </c>
      <c r="Q387" s="13" t="str">
        <f>IF(MacReports!J387="Enabled","Apple ID Lock","")</f>
        <v/>
      </c>
      <c r="R387" s="13" t="str">
        <f>IF(MacReports!L387="y","Remote Locked","")</f>
        <v/>
      </c>
      <c r="S387" t="str">
        <f t="shared" si="13"/>
        <v>Battery Defect, 0</v>
      </c>
      <c r="T387" t="str">
        <f>_xlfn.XLOOKUP(B387,Disk_Pivot!G:G,Disk_Pivot!I:I)</f>
        <v>Yes x2</v>
      </c>
      <c r="U387" t="str">
        <f>_xlfn.XLOOKUP(B387,Disk_Pivot!G:G,Disk_Pivot!N:N)</f>
        <v>Pass, Fail</v>
      </c>
      <c r="V387" t="str">
        <f>IF(U387="Fail",MacReports!N387,"")</f>
        <v/>
      </c>
      <c r="AB387" t="str">
        <f t="shared" si="14"/>
        <v/>
      </c>
    </row>
    <row r="388" spans="1:28">
      <c r="F388" t="str">
        <f>_xlfn.XLOOKUP(B388,MacReports!B:B,MacReports!D:D,"")</f>
        <v/>
      </c>
    </row>
    <row r="389" spans="1:28">
      <c r="F389" t="str">
        <f>_xlfn.XLOOKUP(B389,MacReports!B:B,MacReports!D:D,"")</f>
        <v/>
      </c>
    </row>
    <row r="390" spans="1:28">
      <c r="F390" t="str">
        <f>_xlfn.XLOOKUP(B390,MacReports!B:B,MacReports!D:D,"")</f>
        <v/>
      </c>
    </row>
    <row r="391" spans="1:28">
      <c r="F391" t="str">
        <f>_xlfn.XLOOKUP(B391,MacReports!B:B,MacReports!D:D,"")</f>
        <v/>
      </c>
    </row>
    <row r="392" spans="1:28">
      <c r="F392">
        <f>_xlfn.XLOOKUP(B392,MacReports!B:B,MacReports!D:D,"")</f>
        <v>0</v>
      </c>
    </row>
    <row r="393" spans="1:28">
      <c r="F393" t="str">
        <f>_xlfn.XLOOKUP(B393,MacReports!B:B,MacReports!D:D,"")</f>
        <v/>
      </c>
    </row>
    <row r="394" spans="1:28">
      <c r="F394" t="str">
        <f>_xlfn.XLOOKUP(B394,MacReports!B:B,MacReports!D:D,"")</f>
        <v/>
      </c>
    </row>
    <row r="395" spans="1:28">
      <c r="F395" t="str">
        <f>_xlfn.XLOOKUP(B395,MacReports!B:B,MacReports!D:D,"")</f>
        <v/>
      </c>
    </row>
    <row r="396" spans="1:28">
      <c r="F396" t="str">
        <f>_xlfn.XLOOKUP(B396,MacReports!B:B,MacReports!D:D,"")</f>
        <v/>
      </c>
    </row>
    <row r="397" spans="1:28">
      <c r="F397" t="str">
        <f>_xlfn.XLOOKUP(B397,MacReports!B:B,MacReports!D:D,"")</f>
        <v/>
      </c>
    </row>
    <row r="398" spans="1:28">
      <c r="F398" t="str">
        <f>_xlfn.XLOOKUP(B398,MacReports!B:B,MacReports!D:D,"")</f>
        <v/>
      </c>
    </row>
    <row r="399" spans="1:28">
      <c r="F399" t="str">
        <f>_xlfn.XLOOKUP(B399,MacReports!B:B,MacReports!D:D,"")</f>
        <v/>
      </c>
    </row>
    <row r="400" spans="1:28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>
        <f>_xlfn.XLOOKUP(B410,MacReports!B:B,MacReports!D:D,"")</f>
        <v>0</v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 t="str">
        <f>_xlfn.XLOOKUP(B416,MacReports!B:B,MacReports!D:D,"")</f>
        <v/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>
        <f>_xlfn.XLOOKUP(B428,MacReports!B:B,MacReports!D:D,"")</f>
        <v>0</v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>
        <f>_xlfn.XLOOKUP(B434,MacReports!B:B,MacReports!D:D,"")</f>
        <v>0</v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>
        <f>_xlfn.XLOOKUP(B446,MacReports!B:B,MacReports!D:D,"")</f>
        <v>0</v>
      </c>
    </row>
    <row r="447" spans="6:6">
      <c r="F447" t="str">
        <f>_xlfn.XLOOKUP(B447,MacReports!B:B,MacReports!D:D,"")</f>
        <v/>
      </c>
    </row>
    <row r="448" spans="6:6">
      <c r="F448">
        <f>_xlfn.XLOOKUP(B448,MacReports!B:B,MacReports!D:D,"")</f>
        <v>0</v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>
        <f>_xlfn.XLOOKUP(B458,MacReports!B:B,MacReports!D:D,"")</f>
        <v>0</v>
      </c>
    </row>
    <row r="459" spans="6:6">
      <c r="F459" t="str">
        <f>_xlfn.XLOOKUP(B459,MacReports!B:B,MacReports!D:D,"")</f>
        <v/>
      </c>
    </row>
    <row r="460" spans="6:6">
      <c r="F460">
        <f>_xlfn.XLOOKUP(B460,MacReports!B:B,MacReports!D:D,"")</f>
        <v>0</v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>
        <f>_xlfn.XLOOKUP(B467,MacReports!B:B,MacReports!D:D,"")</f>
        <v>0</v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 t="str">
        <f>_xlfn.XLOOKUP(B470,MacReports!B:B,MacReports!D:D,"")</f>
        <v/>
      </c>
    </row>
    <row r="471" spans="6:6">
      <c r="F471" t="str">
        <f>_xlfn.XLOOKUP(B471,MacReports!B:B,MacReports!D:D,"")</f>
        <v/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>
        <f>_xlfn.XLOOKUP(B477,MacReports!B:B,MacReports!D:D,"")</f>
        <v>0</v>
      </c>
    </row>
    <row r="478" spans="6:6">
      <c r="F478">
        <f>_xlfn.XLOOKUP(B478,MacReports!B:B,MacReports!D:D,"")</f>
        <v>0</v>
      </c>
    </row>
    <row r="479" spans="6:6">
      <c r="F479">
        <f>_xlfn.XLOOKUP(B479,MacReports!B:B,MacReports!D:D,"")</f>
        <v>0</v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>
        <f>_xlfn.XLOOKUP(B485,MacReports!B:B,MacReports!D:D,"")</f>
        <v>0</v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>
        <f>_xlfn.XLOOKUP(B488,MacReports!B:B,MacReports!D:D,"")</f>
        <v>0</v>
      </c>
    </row>
    <row r="489" spans="6:6">
      <c r="F489">
        <f>_xlfn.XLOOKUP(B489,MacReports!B:B,MacReports!D:D,"")</f>
        <v>0</v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>
        <f>_xlfn.XLOOKUP(B495,MacReports!B:B,MacReports!D:D,"")</f>
        <v>0</v>
      </c>
    </row>
    <row r="496" spans="6:6">
      <c r="F496" t="str">
        <f>_xlfn.XLOOKUP(B496,MacReports!B:B,MacReports!D:D,"")</f>
        <v/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>
        <f>_xlfn.XLOOKUP(B502,MacReports!B:B,MacReports!D:D,"")</f>
        <v>0</v>
      </c>
    </row>
    <row r="503" spans="6:6">
      <c r="F503">
        <f>_xlfn.XLOOKUP(B503,MacReports!B:B,MacReports!D:D,"")</f>
        <v>0</v>
      </c>
    </row>
    <row r="504" spans="6:6">
      <c r="F504">
        <f>_xlfn.XLOOKUP(B504,MacReports!B:B,MacReports!D:D,"")</f>
        <v>0</v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>
        <f>_xlfn.XLOOKUP(B509,MacReports!B:B,MacReports!D:D,"")</f>
        <v>0</v>
      </c>
    </row>
    <row r="510" spans="6:6">
      <c r="F510">
        <f>_xlfn.XLOOKUP(B510,MacReports!B:B,MacReports!D:D,"")</f>
        <v>0</v>
      </c>
    </row>
    <row r="511" spans="6:6">
      <c r="F511" t="str">
        <f>_xlfn.XLOOKUP(B511,MacReports!B:B,MacReports!D:D,"")</f>
        <v/>
      </c>
    </row>
    <row r="512" spans="6:6">
      <c r="F512">
        <f>_xlfn.XLOOKUP(B512,MacReports!B:B,MacReports!D:D,"")</f>
        <v>0</v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>
        <f>_xlfn.XLOOKUP(B516,MacReports!B:B,MacReports!D:D,"")</f>
        <v>0</v>
      </c>
    </row>
    <row r="517" spans="6:6">
      <c r="F517" t="str">
        <f>_xlfn.XLOOKUP(B517,MacReports!B:B,MacReports!D:D,"")</f>
        <v/>
      </c>
    </row>
    <row r="518" spans="6:6">
      <c r="F518" t="str">
        <f>_xlfn.XLOOKUP(B518,MacReports!B:B,MacReports!D:D,"")</f>
        <v/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>
        <f>_xlfn.XLOOKUP(B522,MacReports!B:B,MacReports!D:D,"")</f>
        <v>0</v>
      </c>
    </row>
    <row r="523" spans="6:6">
      <c r="F523">
        <f>_xlfn.XLOOKUP(B523,MacReports!B:B,MacReports!D:D,"")</f>
        <v>0</v>
      </c>
    </row>
    <row r="524" spans="6:6">
      <c r="F524">
        <f>_xlfn.XLOOKUP(B524,MacReports!B:B,MacReports!D:D,"")</f>
        <v>0</v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>
        <f>_xlfn.XLOOKUP(B528,MacReports!B:B,MacReports!D:D,"")</f>
        <v>0</v>
      </c>
    </row>
    <row r="529" spans="6:6">
      <c r="F529">
        <f>_xlfn.XLOOKUP(B529,MacReports!B:B,MacReports!D:D,"")</f>
        <v>0</v>
      </c>
    </row>
    <row r="530" spans="6:6">
      <c r="F530">
        <f>_xlfn.XLOOKUP(B530,MacReports!B:B,MacReports!D:D,"")</f>
        <v>0</v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>
        <f>_xlfn.XLOOKUP(B534,MacReports!B:B,MacReports!D:D,"")</f>
        <v>0</v>
      </c>
    </row>
    <row r="535" spans="6:6">
      <c r="F535" t="str">
        <f>_xlfn.XLOOKUP(B535,MacReports!B:B,MacReports!D:D,"")</f>
        <v/>
      </c>
    </row>
    <row r="536" spans="6:6">
      <c r="F536" t="str">
        <f>_xlfn.XLOOKUP(B536,MacReports!B:B,MacReports!D:D,"")</f>
        <v/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>
        <f>_xlfn.XLOOKUP(B540,MacReports!B:B,MacReports!D:D,"")</f>
        <v>0</v>
      </c>
    </row>
    <row r="541" spans="6:6">
      <c r="F541" t="str">
        <f>_xlfn.XLOOKUP(B541,MacReports!B:B,MacReports!D:D,"")</f>
        <v/>
      </c>
    </row>
    <row r="542" spans="6:6">
      <c r="F542">
        <f>_xlfn.XLOOKUP(B542,MacReports!B:B,MacReports!D:D,"")</f>
        <v>0</v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>
        <f>_xlfn.XLOOKUP(B546,MacReports!B:B,MacReports!D:D,"")</f>
        <v>0</v>
      </c>
    </row>
    <row r="547" spans="6:6">
      <c r="F547">
        <f>_xlfn.XLOOKUP(B547,MacReports!B:B,MacReports!D:D,"")</f>
        <v>0</v>
      </c>
    </row>
    <row r="548" spans="6:6">
      <c r="F548">
        <f>_xlfn.XLOOKUP(B548,MacReports!B:B,MacReports!D:D,"")</f>
        <v>0</v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>
        <f>_xlfn.XLOOKUP(B552,MacReports!B:B,MacReports!D:D,"")</f>
        <v>0</v>
      </c>
    </row>
    <row r="553" spans="6:6">
      <c r="F553" t="str">
        <f>_xlfn.XLOOKUP(B553,MacReports!B:B,MacReports!D:D,"")</f>
        <v/>
      </c>
    </row>
    <row r="554" spans="6:6">
      <c r="F554" t="str">
        <f>_xlfn.XLOOKUP(B554,MacReports!B:B,MacReports!D:D,"")</f>
        <v/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>
        <f>_xlfn.XLOOKUP(B558,MacReports!B:B,MacReports!D:D,"")</f>
        <v>0</v>
      </c>
    </row>
    <row r="559" spans="6:6">
      <c r="F559" t="str">
        <f>_xlfn.XLOOKUP(B559,MacReports!B:B,MacReports!D:D,"")</f>
        <v/>
      </c>
    </row>
    <row r="560" spans="6:6">
      <c r="F560">
        <f>_xlfn.XLOOKUP(B560,MacReports!B:B,MacReports!D:D,"")</f>
        <v>0</v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>
        <f>_xlfn.XLOOKUP(B564,MacReports!B:B,MacReports!D:D,"")</f>
        <v>0</v>
      </c>
    </row>
    <row r="565" spans="6:6">
      <c r="F565">
        <f>_xlfn.XLOOKUP(B565,MacReports!B:B,MacReports!D:D,"")</f>
        <v>0</v>
      </c>
    </row>
    <row r="566" spans="6:6">
      <c r="F566" t="str">
        <f>_xlfn.XLOOKUP(B566,MacReports!B:B,MacReports!D:D,"")</f>
        <v/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>
        <f>_xlfn.XLOOKUP(B570,MacReports!B:B,MacReports!D:D,"")</f>
        <v>0</v>
      </c>
    </row>
    <row r="571" spans="6:6">
      <c r="F571" t="str">
        <f>_xlfn.XLOOKUP(B571,MacReports!B:B,MacReports!D:D,"")</f>
        <v/>
      </c>
    </row>
    <row r="572" spans="6:6">
      <c r="F572" t="str">
        <f>_xlfn.XLOOKUP(B572,MacReports!B:B,MacReports!D:D,"")</f>
        <v/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>
        <f>_xlfn.XLOOKUP(B576,MacReports!B:B,MacReports!D:D,"")</f>
        <v>0</v>
      </c>
    </row>
    <row r="577" spans="6:6">
      <c r="F577" t="str">
        <f>_xlfn.XLOOKUP(B577,MacReports!B:B,MacReports!D:D,"")</f>
        <v/>
      </c>
    </row>
    <row r="578" spans="6:6">
      <c r="F578">
        <f>_xlfn.XLOOKUP(B578,MacReports!B:B,MacReports!D:D,"")</f>
        <v>0</v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>
        <f>_xlfn.XLOOKUP(B582,MacReports!B:B,MacReports!D:D,"")</f>
        <v>0</v>
      </c>
    </row>
    <row r="583" spans="6:6">
      <c r="F583">
        <f>_xlfn.XLOOKUP(B583,MacReports!B:B,MacReports!D:D,"")</f>
        <v>0</v>
      </c>
    </row>
    <row r="584" spans="6:6">
      <c r="F584" t="str">
        <f>_xlfn.XLOOKUP(B584,MacReports!B:B,MacReports!D:D,"")</f>
        <v/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>
        <f>_xlfn.XLOOKUP(B588,MacReports!B:B,MacReports!D:D,"")</f>
        <v>0</v>
      </c>
    </row>
    <row r="589" spans="6:6">
      <c r="F589" t="str">
        <f>_xlfn.XLOOKUP(B589,MacReports!B:B,MacReports!D:D,"")</f>
        <v/>
      </c>
    </row>
    <row r="590" spans="6:6">
      <c r="F590" t="str">
        <f>_xlfn.XLOOKUP(B590,MacReports!B:B,MacReports!D:D,"")</f>
        <v/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>
        <f>_xlfn.XLOOKUP(B594,MacReports!B:B,MacReports!D:D,"")</f>
        <v>0</v>
      </c>
    </row>
    <row r="595" spans="6:6">
      <c r="F595">
        <f>_xlfn.XLOOKUP(B595,MacReports!B:B,MacReports!D:D,"")</f>
        <v>0</v>
      </c>
    </row>
    <row r="596" spans="6:6">
      <c r="F596">
        <f>_xlfn.XLOOKUP(B596,MacReports!B:B,MacReports!D:D,"")</f>
        <v>0</v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>
        <f>_xlfn.XLOOKUP(B600,MacReports!B:B,MacReports!D:D,"")</f>
        <v>0</v>
      </c>
    </row>
    <row r="601" spans="6:6">
      <c r="F601">
        <f>_xlfn.XLOOKUP(B601,MacReports!B:B,MacReports!D:D,"")</f>
        <v>0</v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>
        <f>_xlfn.XLOOKUP(B606,MacReports!B:B,MacReports!D:D,"")</f>
        <v>0</v>
      </c>
    </row>
    <row r="607" spans="6:6">
      <c r="F607" t="str">
        <f>_xlfn.XLOOKUP(B607,MacReports!B:B,MacReports!D:D,"")</f>
        <v/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>
        <f>_xlfn.XLOOKUP(B612,MacReports!B:B,MacReports!D:D,"")</f>
        <v>0</v>
      </c>
    </row>
    <row r="613" spans="6:6">
      <c r="F613">
        <f>_xlfn.XLOOKUP(B613,MacReports!B:B,MacReports!D:D,"")</f>
        <v>0</v>
      </c>
    </row>
    <row r="614" spans="6:6">
      <c r="F614">
        <f>_xlfn.XLOOKUP(B614,MacReports!B:B,MacReports!D:D,"")</f>
        <v>0</v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>
        <f>_xlfn.XLOOKUP(B618,MacReports!B:B,MacReports!D:D,"")</f>
        <v>0</v>
      </c>
    </row>
    <row r="619" spans="6:6">
      <c r="F619">
        <f>_xlfn.XLOOKUP(B619,MacReports!B:B,MacReports!D:D,"")</f>
        <v>0</v>
      </c>
    </row>
    <row r="620" spans="6:6">
      <c r="F620" t="str">
        <f>_xlfn.XLOOKUP(B620,MacReports!B:B,MacReports!D:D,"")</f>
        <v/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>
        <f>_xlfn.XLOOKUP(B624,MacReports!B:B,MacReports!D:D,"")</f>
        <v>0</v>
      </c>
    </row>
    <row r="625" spans="6:6">
      <c r="F625" t="str">
        <f>_xlfn.XLOOKUP(B625,MacReports!B:B,MacReports!D:D,"")</f>
        <v/>
      </c>
    </row>
    <row r="626" spans="6:6">
      <c r="F626" t="str">
        <f>_xlfn.XLOOKUP(B626,MacReports!B:B,MacReports!D:D,"")</f>
        <v/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>
        <f>_xlfn.XLOOKUP(B630,MacReports!B:B,MacReports!D:D,"")</f>
        <v>0</v>
      </c>
    </row>
    <row r="631" spans="6:6">
      <c r="F631" t="str">
        <f>_xlfn.XLOOKUP(B631,MacReports!B:B,MacReports!D:D,"")</f>
        <v/>
      </c>
    </row>
    <row r="632" spans="6:6">
      <c r="F632">
        <f>_xlfn.XLOOKUP(B632,MacReports!B:B,MacReports!D:D,"")</f>
        <v>0</v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>
        <f>_xlfn.XLOOKUP(B636,MacReports!B:B,MacReports!D:D,"")</f>
        <v>0</v>
      </c>
    </row>
    <row r="637" spans="6:6">
      <c r="F637">
        <f>_xlfn.XLOOKUP(B637,MacReports!B:B,MacReports!D:D,"")</f>
        <v>0</v>
      </c>
    </row>
    <row r="638" spans="6:6">
      <c r="F638" t="str">
        <f>_xlfn.XLOOKUP(B638,MacReports!B:B,MacReports!D:D,"")</f>
        <v/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>
        <f>_xlfn.XLOOKUP(B642,MacReports!B:B,MacReports!D:D,"")</f>
        <v>0</v>
      </c>
    </row>
    <row r="643" spans="6:6">
      <c r="F643" t="str">
        <f>_xlfn.XLOOKUP(B643,MacReports!B:B,MacReports!D:D,"")</f>
        <v/>
      </c>
    </row>
    <row r="644" spans="6:6">
      <c r="F644" t="str">
        <f>_xlfn.XLOOKUP(B644,MacReports!B:B,MacReports!D:D,"")</f>
        <v/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>
        <f>_xlfn.XLOOKUP(B648,MacReports!B:B,MacReports!D:D,"")</f>
        <v>0</v>
      </c>
    </row>
    <row r="649" spans="6:6">
      <c r="F649">
        <f>_xlfn.XLOOKUP(B649,MacReports!B:B,MacReports!D:D,"")</f>
        <v>0</v>
      </c>
    </row>
    <row r="650" spans="6:6">
      <c r="F650">
        <f>_xlfn.XLOOKUP(B650,MacReports!B:B,MacReports!D:D,"")</f>
        <v>0</v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>
        <f>_xlfn.XLOOKUP(B654,MacReports!B:B,MacReports!D:D,"")</f>
        <v>0</v>
      </c>
    </row>
    <row r="655" spans="6:6">
      <c r="F655">
        <f>_xlfn.XLOOKUP(B655,MacReports!B:B,MacReports!D:D,"")</f>
        <v>0</v>
      </c>
    </row>
    <row r="656" spans="6:6">
      <c r="F656" t="str">
        <f>_xlfn.XLOOKUP(B656,MacReports!B:B,MacReports!D:D,"")</f>
        <v/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>
        <f>_xlfn.XLOOKUP(B660,MacReports!B:B,MacReports!D:D,"")</f>
        <v>0</v>
      </c>
    </row>
    <row r="661" spans="6:6">
      <c r="F661" t="str">
        <f>_xlfn.XLOOKUP(B661,MacReports!B:B,MacReports!D:D,"")</f>
        <v/>
      </c>
    </row>
    <row r="662" spans="6:6">
      <c r="F662" t="str">
        <f>_xlfn.XLOOKUP(B662,MacReports!B:B,MacReports!D:D,"")</f>
        <v/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>
        <f>_xlfn.XLOOKUP(B666,MacReports!B:B,MacReports!D:D,"")</f>
        <v>0</v>
      </c>
    </row>
    <row r="667" spans="6:6">
      <c r="F667">
        <f>_xlfn.XLOOKUP(B667,MacReports!B:B,MacReports!D:D,"")</f>
        <v>0</v>
      </c>
    </row>
    <row r="668" spans="6:6">
      <c r="F668">
        <f>_xlfn.XLOOKUP(B668,MacReports!B:B,MacReports!D:D,"")</f>
        <v>0</v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>
        <f>_xlfn.XLOOKUP(B672,MacReports!B:B,MacReports!D:D,"")</f>
        <v>0</v>
      </c>
    </row>
    <row r="673" spans="6:6">
      <c r="F673">
        <f>_xlfn.XLOOKUP(B673,MacReports!B:B,MacReports!D:D,"")</f>
        <v>0</v>
      </c>
    </row>
    <row r="674" spans="6:6">
      <c r="F674" t="str">
        <f>_xlfn.XLOOKUP(B674,MacReports!B:B,MacReports!D:D,"")</f>
        <v/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>
        <f>_xlfn.XLOOKUP(B678,MacReports!B:B,MacReports!D:D,"")</f>
        <v>0</v>
      </c>
    </row>
    <row r="679" spans="6:6">
      <c r="F679" t="str">
        <f>_xlfn.XLOOKUP(B679,MacReports!B:B,MacReports!D:D,"")</f>
        <v/>
      </c>
    </row>
    <row r="680" spans="6:6">
      <c r="F680" t="str">
        <f>_xlfn.XLOOKUP(B680,MacReports!B:B,MacReports!D:D,"")</f>
        <v/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>
        <f>_xlfn.XLOOKUP(B684,MacReports!B:B,MacReports!D:D,"")</f>
        <v>0</v>
      </c>
    </row>
    <row r="685" spans="6:6">
      <c r="F685" t="str">
        <f>_xlfn.XLOOKUP(B685,MacReports!B:B,MacReports!D:D,"")</f>
        <v/>
      </c>
    </row>
    <row r="686" spans="6:6">
      <c r="F686">
        <f>_xlfn.XLOOKUP(B686,MacReports!B:B,MacReports!D:D,"")</f>
        <v>0</v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>
        <f>_xlfn.XLOOKUP(B690,MacReports!B:B,MacReports!D:D,"")</f>
        <v>0</v>
      </c>
    </row>
    <row r="691" spans="6:6">
      <c r="F691">
        <f>_xlfn.XLOOKUP(B691,MacReports!B:B,MacReports!D:D,"")</f>
        <v>0</v>
      </c>
    </row>
    <row r="692" spans="6:6">
      <c r="F692" t="str">
        <f>_xlfn.XLOOKUP(B692,MacReports!B:B,MacReports!D:D,"")</f>
        <v/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>
        <f>_xlfn.XLOOKUP(B696,MacReports!B:B,MacReports!D:D,"")</f>
        <v>0</v>
      </c>
    </row>
    <row r="697" spans="6:6">
      <c r="F697" t="str">
        <f>_xlfn.XLOOKUP(B697,MacReports!B:B,MacReports!D:D,"")</f>
        <v/>
      </c>
    </row>
    <row r="698" spans="6:6">
      <c r="F698" t="str">
        <f>_xlfn.XLOOKUP(B698,MacReports!B:B,MacReports!D:D,"")</f>
        <v/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>
        <f>_xlfn.XLOOKUP(B702,MacReports!B:B,MacReports!D:D,"")</f>
        <v>0</v>
      </c>
    </row>
    <row r="703" spans="6:6">
      <c r="F703" t="str">
        <f>_xlfn.XLOOKUP(B703,MacReports!B:B,MacReports!D:D,"")</f>
        <v/>
      </c>
    </row>
    <row r="704" spans="6:6">
      <c r="F704">
        <f>_xlfn.XLOOKUP(B704,MacReports!B:B,MacReports!D:D,"")</f>
        <v>0</v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>
        <f>_xlfn.XLOOKUP(B708,MacReports!B:B,MacReports!D:D,"")</f>
        <v>0</v>
      </c>
    </row>
    <row r="709" spans="6:6">
      <c r="F709">
        <f>_xlfn.XLOOKUP(B709,MacReports!B:B,MacReports!D:D,"")</f>
        <v>0</v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>
        <f>_xlfn.XLOOKUP(B714,MacReports!B:B,MacReports!D:D,"")</f>
        <v>0</v>
      </c>
    </row>
    <row r="715" spans="6:6">
      <c r="F715" t="str">
        <f>_xlfn.XLOOKUP(B715,MacReports!B:B,MacReports!D:D,"")</f>
        <v/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>
        <f>_xlfn.XLOOKUP(B720,MacReports!B:B,MacReports!D:D,"")</f>
        <v>0</v>
      </c>
    </row>
    <row r="721" spans="6:6">
      <c r="F721">
        <f>_xlfn.XLOOKUP(B721,MacReports!B:B,MacReports!D:D,"")</f>
        <v>0</v>
      </c>
    </row>
    <row r="722" spans="6:6">
      <c r="F722">
        <f>_xlfn.XLOOKUP(B722,MacReports!B:B,MacReports!D:D,"")</f>
        <v>0</v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>
        <f>_xlfn.XLOOKUP(B726,MacReports!B:B,MacReports!D:D,"")</f>
        <v>0</v>
      </c>
    </row>
    <row r="727" spans="6:6">
      <c r="F727">
        <f>_xlfn.XLOOKUP(B727,MacReports!B:B,MacReports!D:D,"")</f>
        <v>0</v>
      </c>
    </row>
    <row r="728" spans="6:6">
      <c r="F728" t="str">
        <f>_xlfn.XLOOKUP(B728,MacReports!B:B,MacReports!D:D,"")</f>
        <v/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>
        <f>_xlfn.XLOOKUP(B732,MacReports!B:B,MacReports!D:D,"")</f>
        <v>0</v>
      </c>
    </row>
    <row r="733" spans="6:6">
      <c r="F733" t="str">
        <f>_xlfn.XLOOKUP(B733,MacReports!B:B,MacReports!D:D,"")</f>
        <v/>
      </c>
    </row>
    <row r="734" spans="6:6">
      <c r="F734" t="str">
        <f>_xlfn.XLOOKUP(B734,MacReports!B:B,MacReports!D:D,"")</f>
        <v/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>
        <f>_xlfn.XLOOKUP(B738,MacReports!B:B,MacReports!D:D,"")</f>
        <v>0</v>
      </c>
    </row>
    <row r="739" spans="6:6">
      <c r="F739" t="str">
        <f>_xlfn.XLOOKUP(B739,MacReports!B:B,MacReports!D:D,"")</f>
        <v/>
      </c>
    </row>
    <row r="740" spans="6:6">
      <c r="F740">
        <f>_xlfn.XLOOKUP(B740,MacReports!B:B,MacReports!D:D,"")</f>
        <v>0</v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>
        <f>_xlfn.XLOOKUP(B744,MacReports!B:B,MacReports!D:D,"")</f>
        <v>0</v>
      </c>
    </row>
    <row r="745" spans="6:6">
      <c r="F745">
        <f>_xlfn.XLOOKUP(B745,MacReports!B:B,MacReports!D:D,"")</f>
        <v>0</v>
      </c>
    </row>
    <row r="746" spans="6:6">
      <c r="F746" t="str">
        <f>_xlfn.XLOOKUP(B746,MacReports!B:B,MacReports!D:D,"")</f>
        <v/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>
        <f>_xlfn.XLOOKUP(B750,MacReports!B:B,MacReports!D:D,"")</f>
        <v>0</v>
      </c>
    </row>
    <row r="751" spans="6:6">
      <c r="F751" t="str">
        <f>_xlfn.XLOOKUP(B751,MacReports!B:B,MacReports!D:D,"")</f>
        <v/>
      </c>
    </row>
    <row r="752" spans="6:6">
      <c r="F752" t="str">
        <f>_xlfn.XLOOKUP(B752,MacReports!B:B,MacReports!D:D,"")</f>
        <v/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>
        <f>_xlfn.XLOOKUP(B756,MacReports!B:B,MacReports!D:D,"")</f>
        <v>0</v>
      </c>
    </row>
    <row r="757" spans="6:6">
      <c r="F757" t="str">
        <f>_xlfn.XLOOKUP(B757,MacReports!B:B,MacReports!D:D,"")</f>
        <v/>
      </c>
    </row>
    <row r="758" spans="6:6">
      <c r="F758">
        <f>_xlfn.XLOOKUP(B758,MacReports!B:B,MacReports!D:D,"")</f>
        <v>0</v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>
        <f>_xlfn.XLOOKUP(B762,MacReports!B:B,MacReports!D:D,"")</f>
        <v>0</v>
      </c>
    </row>
    <row r="763" spans="6:6">
      <c r="F763">
        <f>_xlfn.XLOOKUP(B763,MacReports!B:B,MacReports!D:D,"")</f>
        <v>0</v>
      </c>
    </row>
    <row r="764" spans="6:6">
      <c r="F764" t="str">
        <f>_xlfn.XLOOKUP(B764,MacReports!B:B,MacReports!D:D,"")</f>
        <v/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>
        <f>_xlfn.XLOOKUP(B768,MacReports!B:B,MacReports!D:D,"")</f>
        <v>0</v>
      </c>
    </row>
    <row r="769" spans="6:6">
      <c r="F769" t="str">
        <f>_xlfn.XLOOKUP(B769,MacReports!B:B,MacReports!D:D,"")</f>
        <v/>
      </c>
    </row>
    <row r="770" spans="6:6">
      <c r="F770" t="str">
        <f>_xlfn.XLOOKUP(B770,MacReports!B:B,MacReports!D:D,"")</f>
        <v/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>
        <f>_xlfn.XLOOKUP(B774,MacReports!B:B,MacReports!D:D,"")</f>
        <v>0</v>
      </c>
    </row>
    <row r="775" spans="6:6">
      <c r="F775" t="str">
        <f>_xlfn.XLOOKUP(B775,MacReports!B:B,MacReports!D:D,"")</f>
        <v/>
      </c>
    </row>
    <row r="776" spans="6:6">
      <c r="F776">
        <f>_xlfn.XLOOKUP(B776,MacReports!B:B,MacReports!D:D,"")</f>
        <v>0</v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>
        <f>_xlfn.XLOOKUP(B780,MacReports!B:B,MacReports!D:D,"")</f>
        <v>0</v>
      </c>
    </row>
    <row r="781" spans="6:6">
      <c r="F781">
        <f>_xlfn.XLOOKUP(B781,MacReports!B:B,MacReports!D:D,"")</f>
        <v>0</v>
      </c>
    </row>
    <row r="782" spans="6:6">
      <c r="F782" t="str">
        <f>_xlfn.XLOOKUP(B782,MacReports!B:B,MacReports!D:D,"")</f>
        <v/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>
        <f>_xlfn.XLOOKUP(B786,MacReports!B:B,MacReports!D:D,"")</f>
        <v>0</v>
      </c>
    </row>
    <row r="787" spans="6:6">
      <c r="F787" t="str">
        <f>_xlfn.XLOOKUP(B787,MacReports!B:B,MacReports!D:D,"")</f>
        <v/>
      </c>
    </row>
    <row r="788" spans="6:6">
      <c r="F788" t="str">
        <f>_xlfn.XLOOKUP(B788,MacReports!B:B,MacReports!D:D,"")</f>
        <v/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>
        <f>_xlfn.XLOOKUP(B792,MacReports!B:B,MacReports!D:D,"")</f>
        <v>0</v>
      </c>
    </row>
    <row r="793" spans="6:6">
      <c r="F793" t="str">
        <f>_xlfn.XLOOKUP(B793,MacReports!B:B,MacReports!D:D,"")</f>
        <v/>
      </c>
    </row>
    <row r="794" spans="6:6">
      <c r="F794">
        <f>_xlfn.XLOOKUP(B794,MacReports!B:B,MacReports!D:D,"")</f>
        <v>0</v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>
        <f>_xlfn.XLOOKUP(B798,MacReports!B:B,MacReports!D:D,"")</f>
        <v>0</v>
      </c>
    </row>
    <row r="799" spans="6:6">
      <c r="F799">
        <f>_xlfn.XLOOKUP(B799,MacReports!B:B,MacReports!D:D,"")</f>
        <v>0</v>
      </c>
    </row>
    <row r="800" spans="6:6">
      <c r="F800" t="str">
        <f>_xlfn.XLOOKUP(B800,MacReports!B:B,MacReports!D:D,"")</f>
        <v/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>
        <f>_xlfn.XLOOKUP(B804,MacReports!B:B,MacReports!D:D,"")</f>
        <v>0</v>
      </c>
    </row>
    <row r="805" spans="6:6">
      <c r="F805" t="str">
        <f>_xlfn.XLOOKUP(B805,MacReports!B:B,MacReports!D:D,"")</f>
        <v/>
      </c>
    </row>
    <row r="806" spans="6:6">
      <c r="F806" t="str">
        <f>_xlfn.XLOOKUP(B806,MacReports!B:B,MacReports!D:D,"")</f>
        <v/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>
        <f>_xlfn.XLOOKUP(B810,MacReports!B:B,MacReports!D:D,"")</f>
        <v>0</v>
      </c>
    </row>
    <row r="811" spans="6:6">
      <c r="F811" t="str">
        <f>_xlfn.XLOOKUP(B811,MacReports!B:B,MacReports!D:D,"")</f>
        <v/>
      </c>
    </row>
    <row r="812" spans="6:6">
      <c r="F812">
        <f>_xlfn.XLOOKUP(B812,MacReports!B:B,MacReports!D:D,"")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I604"/>
  <sheetViews>
    <sheetView topLeftCell="A89" workbookViewId="0">
      <selection activeCell="G9" sqref="G9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20.28515625" style="19" customWidth="1"/>
    <col min="8" max="8" width="23.5703125" style="19" customWidth="1"/>
    <col min="9" max="9" width="20.140625" customWidth="1"/>
  </cols>
  <sheetData>
    <row r="1" spans="1:9" ht="15.75" thickBot="1">
      <c r="A1" s="23" t="s">
        <v>69</v>
      </c>
      <c r="B1" s="23" t="s">
        <v>70</v>
      </c>
      <c r="C1" s="23" t="s">
        <v>2</v>
      </c>
      <c r="D1" s="24" t="s">
        <v>71</v>
      </c>
      <c r="E1" s="25" t="s">
        <v>72</v>
      </c>
      <c r="F1" s="25" t="s">
        <v>73</v>
      </c>
      <c r="G1" s="26" t="s">
        <v>2</v>
      </c>
      <c r="H1" s="26" t="s">
        <v>280</v>
      </c>
      <c r="I1" t="s">
        <v>765</v>
      </c>
    </row>
    <row r="2" spans="1:9" ht="15.75" thickBot="1">
      <c r="A2" s="20" t="s">
        <v>74</v>
      </c>
      <c r="B2" s="20" t="s">
        <v>507</v>
      </c>
      <c r="C2" s="20" t="s">
        <v>45</v>
      </c>
      <c r="D2" s="21">
        <v>2019</v>
      </c>
      <c r="E2" s="22">
        <v>16</v>
      </c>
      <c r="F2" s="22">
        <v>2</v>
      </c>
      <c r="G2" s="19" t="s">
        <v>45</v>
      </c>
      <c r="H2" s="19" t="s">
        <v>45</v>
      </c>
      <c r="I2" t="s">
        <v>44</v>
      </c>
    </row>
    <row r="3" spans="1:9" ht="15.75" thickBot="1">
      <c r="A3" s="5" t="s">
        <v>75</v>
      </c>
      <c r="B3" s="5" t="s">
        <v>508</v>
      </c>
      <c r="C3" s="5" t="s">
        <v>45</v>
      </c>
      <c r="D3" s="8">
        <v>2020</v>
      </c>
      <c r="E3" s="9">
        <v>13</v>
      </c>
      <c r="F3" s="9">
        <v>1.4</v>
      </c>
      <c r="G3" s="19" t="s">
        <v>45</v>
      </c>
      <c r="H3" s="19" t="s">
        <v>44</v>
      </c>
      <c r="I3" t="s">
        <v>44</v>
      </c>
    </row>
    <row r="4" spans="1:9" ht="15.75" thickBot="1">
      <c r="A4" s="5" t="s">
        <v>51</v>
      </c>
      <c r="B4" s="5" t="s">
        <v>509</v>
      </c>
      <c r="C4" s="5" t="s">
        <v>45</v>
      </c>
      <c r="D4" s="8">
        <v>2020</v>
      </c>
      <c r="E4" s="9">
        <v>13</v>
      </c>
      <c r="F4" s="9">
        <v>1.4</v>
      </c>
      <c r="G4" s="19" t="s">
        <v>45</v>
      </c>
      <c r="H4" s="19" t="s">
        <v>281</v>
      </c>
      <c r="I4" t="s">
        <v>44</v>
      </c>
    </row>
    <row r="5" spans="1:9" ht="15.75" thickBot="1">
      <c r="A5" s="5" t="s">
        <v>76</v>
      </c>
      <c r="B5" s="5" t="s">
        <v>507</v>
      </c>
      <c r="C5" s="5" t="s">
        <v>45</v>
      </c>
      <c r="D5" s="8">
        <v>2019</v>
      </c>
      <c r="E5" s="9">
        <v>16</v>
      </c>
      <c r="F5" s="9">
        <v>2</v>
      </c>
      <c r="G5" s="19" t="s">
        <v>274</v>
      </c>
      <c r="H5" s="19" t="s">
        <v>274</v>
      </c>
      <c r="I5" t="s">
        <v>282</v>
      </c>
    </row>
    <row r="6" spans="1:9" ht="15.75" thickBot="1">
      <c r="A6" s="5" t="s">
        <v>77</v>
      </c>
      <c r="B6" s="5" t="s">
        <v>510</v>
      </c>
      <c r="C6" s="5" t="s">
        <v>45</v>
      </c>
      <c r="D6" s="8">
        <v>2019</v>
      </c>
      <c r="E6" s="9">
        <v>13</v>
      </c>
      <c r="F6" s="9">
        <v>1.4</v>
      </c>
      <c r="G6" s="19" t="s">
        <v>274</v>
      </c>
      <c r="H6" s="19" t="s">
        <v>282</v>
      </c>
      <c r="I6" t="s">
        <v>282</v>
      </c>
    </row>
    <row r="7" spans="1:9" ht="15.75" thickBot="1">
      <c r="A7" s="5" t="s">
        <v>78</v>
      </c>
      <c r="B7" s="5" t="s">
        <v>511</v>
      </c>
      <c r="C7" s="5" t="s">
        <v>45</v>
      </c>
      <c r="D7" s="8">
        <v>2019</v>
      </c>
      <c r="E7" s="9">
        <v>15</v>
      </c>
      <c r="F7" s="9">
        <v>1.8</v>
      </c>
      <c r="G7" s="19" t="s">
        <v>767</v>
      </c>
      <c r="H7" s="19" t="s">
        <v>766</v>
      </c>
      <c r="I7" t="s">
        <v>767</v>
      </c>
    </row>
    <row r="8" spans="1:9" ht="15.75" thickBot="1">
      <c r="A8" s="5" t="s">
        <v>79</v>
      </c>
      <c r="B8" s="5" t="s">
        <v>512</v>
      </c>
      <c r="C8" s="5" t="s">
        <v>45</v>
      </c>
      <c r="D8" s="8">
        <v>2018</v>
      </c>
      <c r="E8" s="9">
        <v>13</v>
      </c>
      <c r="F8" s="9">
        <v>1.4</v>
      </c>
    </row>
    <row r="9" spans="1:9" ht="15.75" thickBot="1">
      <c r="A9" s="5" t="s">
        <v>79</v>
      </c>
      <c r="B9" s="5" t="s">
        <v>512</v>
      </c>
      <c r="C9" s="5" t="s">
        <v>45</v>
      </c>
      <c r="D9" s="8">
        <v>2018</v>
      </c>
      <c r="E9" s="9">
        <v>13</v>
      </c>
      <c r="F9" s="9">
        <v>1.4</v>
      </c>
    </row>
    <row r="10" spans="1:9" ht="15.75" thickBot="1">
      <c r="A10" s="5" t="s">
        <v>79</v>
      </c>
      <c r="B10" s="5" t="s">
        <v>512</v>
      </c>
      <c r="C10" s="5" t="s">
        <v>45</v>
      </c>
      <c r="D10" s="8">
        <v>2019</v>
      </c>
      <c r="E10" s="9">
        <v>13</v>
      </c>
      <c r="F10" s="9">
        <v>1.4</v>
      </c>
    </row>
    <row r="11" spans="1:9" ht="15.75" thickBot="1">
      <c r="A11" s="5" t="s">
        <v>79</v>
      </c>
      <c r="B11" s="5" t="s">
        <v>512</v>
      </c>
      <c r="C11" s="5" t="s">
        <v>45</v>
      </c>
      <c r="D11" s="8">
        <v>2019</v>
      </c>
      <c r="E11" s="9">
        <v>13</v>
      </c>
      <c r="F11" s="9">
        <v>1.4</v>
      </c>
    </row>
    <row r="12" spans="1:9" ht="15.75" thickBot="1">
      <c r="A12" s="5" t="s">
        <v>80</v>
      </c>
      <c r="B12" s="5" t="s">
        <v>511</v>
      </c>
      <c r="C12" s="5" t="s">
        <v>45</v>
      </c>
      <c r="D12" s="8">
        <v>2018</v>
      </c>
      <c r="E12" s="9">
        <v>15</v>
      </c>
      <c r="F12" s="9">
        <v>1.8</v>
      </c>
    </row>
    <row r="13" spans="1:9" ht="15.75" thickBot="1">
      <c r="A13" s="5" t="s">
        <v>80</v>
      </c>
      <c r="B13" s="5" t="s">
        <v>511</v>
      </c>
      <c r="C13" s="5" t="s">
        <v>45</v>
      </c>
      <c r="D13" s="8">
        <v>2018</v>
      </c>
      <c r="E13" s="9">
        <v>15</v>
      </c>
      <c r="F13" s="9">
        <v>1.8</v>
      </c>
    </row>
    <row r="14" spans="1:9" ht="15.75" thickBot="1">
      <c r="A14" s="5" t="s">
        <v>80</v>
      </c>
      <c r="B14" s="5" t="s">
        <v>511</v>
      </c>
      <c r="C14" s="5" t="s">
        <v>45</v>
      </c>
      <c r="D14" s="8">
        <v>2018</v>
      </c>
      <c r="E14" s="9">
        <v>15</v>
      </c>
      <c r="F14" s="9">
        <v>1.8</v>
      </c>
    </row>
    <row r="15" spans="1:9" ht="15.75" thickBot="1">
      <c r="A15" s="5" t="s">
        <v>80</v>
      </c>
      <c r="B15" s="5" t="s">
        <v>511</v>
      </c>
      <c r="C15" s="5" t="s">
        <v>45</v>
      </c>
      <c r="D15" s="8">
        <v>2019</v>
      </c>
      <c r="E15" s="9">
        <v>15</v>
      </c>
      <c r="F15" s="9">
        <v>1.8</v>
      </c>
    </row>
    <row r="16" spans="1:9" ht="15.75" thickBot="1">
      <c r="A16" s="5" t="s">
        <v>80</v>
      </c>
      <c r="B16" s="5" t="s">
        <v>511</v>
      </c>
      <c r="C16" s="5" t="s">
        <v>45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80</v>
      </c>
      <c r="B17" s="5" t="s">
        <v>511</v>
      </c>
      <c r="C17" s="5" t="s">
        <v>45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81</v>
      </c>
      <c r="B18" s="5" t="s">
        <v>513</v>
      </c>
      <c r="C18" s="5" t="s">
        <v>45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82</v>
      </c>
      <c r="B19" s="5" t="s">
        <v>514</v>
      </c>
      <c r="C19" s="5" t="s">
        <v>45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83</v>
      </c>
      <c r="B20" s="5" t="s">
        <v>515</v>
      </c>
      <c r="C20" s="5" t="s">
        <v>45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84</v>
      </c>
      <c r="B21" s="5" t="s">
        <v>513</v>
      </c>
      <c r="C21" s="5" t="s">
        <v>45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85</v>
      </c>
      <c r="B22" s="5" t="s">
        <v>514</v>
      </c>
      <c r="C22" s="5" t="s">
        <v>45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86</v>
      </c>
      <c r="B23" s="5" t="s">
        <v>515</v>
      </c>
      <c r="C23" s="5" t="s">
        <v>45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87</v>
      </c>
      <c r="B24" s="5" t="s">
        <v>516</v>
      </c>
      <c r="C24" s="5" t="s">
        <v>45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88</v>
      </c>
      <c r="B25" s="5" t="s">
        <v>517</v>
      </c>
      <c r="C25" s="5" t="s">
        <v>45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89</v>
      </c>
      <c r="B26" s="5" t="s">
        <v>517</v>
      </c>
      <c r="C26" s="5" t="s">
        <v>45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90</v>
      </c>
      <c r="B27" s="5" t="s">
        <v>517</v>
      </c>
      <c r="C27" s="5" t="s">
        <v>45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90</v>
      </c>
      <c r="B28" s="5" t="s">
        <v>517</v>
      </c>
      <c r="C28" s="5" t="s">
        <v>45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90</v>
      </c>
      <c r="B29" s="5" t="s">
        <v>517</v>
      </c>
      <c r="C29" s="5" t="s">
        <v>45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91</v>
      </c>
      <c r="B30" s="5" t="s">
        <v>517</v>
      </c>
      <c r="C30" s="5" t="s">
        <v>45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90</v>
      </c>
      <c r="B31" s="5" t="s">
        <v>517</v>
      </c>
      <c r="C31" s="5" t="s">
        <v>45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92</v>
      </c>
      <c r="B32" s="5" t="s">
        <v>518</v>
      </c>
      <c r="C32" s="5" t="s">
        <v>45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93</v>
      </c>
      <c r="B33" s="5" t="s">
        <v>519</v>
      </c>
      <c r="C33" s="5" t="s">
        <v>45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94</v>
      </c>
      <c r="B34" s="5" t="s">
        <v>520</v>
      </c>
      <c r="C34" s="5" t="s">
        <v>45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95</v>
      </c>
      <c r="B35" s="5" t="s">
        <v>520</v>
      </c>
      <c r="C35" s="5" t="s">
        <v>45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96</v>
      </c>
      <c r="B36" s="7" t="s">
        <v>519</v>
      </c>
      <c r="C36" s="5" t="s">
        <v>45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96</v>
      </c>
      <c r="B37" s="7" t="s">
        <v>519</v>
      </c>
      <c r="C37" s="5" t="s">
        <v>45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97</v>
      </c>
      <c r="B38" s="5" t="s">
        <v>518</v>
      </c>
      <c r="C38" s="5" t="s">
        <v>45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98</v>
      </c>
      <c r="B39" s="7" t="s">
        <v>521</v>
      </c>
      <c r="C39" s="5" t="s">
        <v>45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99</v>
      </c>
      <c r="B40" s="7" t="s">
        <v>521</v>
      </c>
      <c r="C40" s="5" t="s">
        <v>45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100</v>
      </c>
      <c r="B41" s="7" t="s">
        <v>522</v>
      </c>
      <c r="C41" s="5" t="s">
        <v>45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101</v>
      </c>
      <c r="B42" s="7" t="s">
        <v>522</v>
      </c>
      <c r="C42" s="5" t="s">
        <v>45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506</v>
      </c>
      <c r="B43" s="7" t="s">
        <v>523</v>
      </c>
      <c r="C43" s="5" t="s">
        <v>45</v>
      </c>
      <c r="D43" s="9">
        <v>2025</v>
      </c>
      <c r="E43" s="9">
        <v>13</v>
      </c>
      <c r="F43" s="9">
        <v>1.24</v>
      </c>
    </row>
    <row r="44" spans="1:6" ht="15.75" thickBot="1">
      <c r="A44" s="7" t="s">
        <v>102</v>
      </c>
      <c r="B44" s="7" t="s">
        <v>524</v>
      </c>
      <c r="C44" s="5" t="s">
        <v>45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103</v>
      </c>
      <c r="B45" s="7" t="s">
        <v>525</v>
      </c>
      <c r="C45" s="5" t="s">
        <v>45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104</v>
      </c>
      <c r="B46" s="7" t="s">
        <v>525</v>
      </c>
      <c r="C46" s="5" t="s">
        <v>45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105</v>
      </c>
      <c r="B47" s="7" t="s">
        <v>525</v>
      </c>
      <c r="C47" s="5" t="s">
        <v>45</v>
      </c>
      <c r="D47" s="9">
        <v>2023</v>
      </c>
      <c r="E47" s="9">
        <v>14</v>
      </c>
      <c r="F47" s="9">
        <v>1.6</v>
      </c>
    </row>
    <row r="48" spans="1:6" ht="15.75" thickBot="1">
      <c r="A48" s="7" t="s">
        <v>106</v>
      </c>
      <c r="B48" s="7" t="s">
        <v>526</v>
      </c>
      <c r="C48" s="5" t="s">
        <v>45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107</v>
      </c>
      <c r="B49" s="7" t="s">
        <v>526</v>
      </c>
      <c r="C49" s="5" t="s">
        <v>45</v>
      </c>
      <c r="D49" s="9">
        <v>2023</v>
      </c>
      <c r="E49" s="9">
        <v>16</v>
      </c>
      <c r="F49" s="9">
        <v>2</v>
      </c>
    </row>
    <row r="50" spans="1:6" ht="15.75" thickBot="1">
      <c r="A50" s="7" t="s">
        <v>108</v>
      </c>
      <c r="B50" s="7" t="s">
        <v>526</v>
      </c>
      <c r="C50" s="5" t="s">
        <v>45</v>
      </c>
      <c r="D50" s="9">
        <v>2023</v>
      </c>
      <c r="E50" s="9">
        <v>16</v>
      </c>
      <c r="F50" s="9">
        <v>2</v>
      </c>
    </row>
    <row r="51" spans="1:6" ht="15.75" thickBot="1">
      <c r="A51" s="7" t="s">
        <v>527</v>
      </c>
      <c r="B51" s="7" t="s">
        <v>528</v>
      </c>
      <c r="C51" s="5" t="s">
        <v>45</v>
      </c>
      <c r="D51" s="9">
        <v>2025</v>
      </c>
      <c r="E51" s="9">
        <v>14</v>
      </c>
      <c r="F51" s="9">
        <v>1.55</v>
      </c>
    </row>
    <row r="52" spans="1:6" ht="15.75" thickBot="1">
      <c r="A52" s="5" t="s">
        <v>109</v>
      </c>
      <c r="B52" s="7" t="s">
        <v>529</v>
      </c>
      <c r="C52" s="5" t="s">
        <v>45</v>
      </c>
      <c r="D52" s="9">
        <v>2015</v>
      </c>
      <c r="E52" s="9">
        <v>11</v>
      </c>
      <c r="F52" s="9">
        <v>11</v>
      </c>
    </row>
    <row r="53" spans="1:6" ht="15.75" thickBot="1">
      <c r="A53" s="5" t="s">
        <v>109</v>
      </c>
      <c r="B53" s="7" t="s">
        <v>529</v>
      </c>
      <c r="C53" s="7" t="s">
        <v>45</v>
      </c>
      <c r="D53" s="9">
        <v>2015</v>
      </c>
      <c r="E53" s="9">
        <v>11</v>
      </c>
      <c r="F53" s="9">
        <v>11</v>
      </c>
    </row>
    <row r="54" spans="1:6" ht="15.75" thickBot="1">
      <c r="A54" s="5" t="s">
        <v>110</v>
      </c>
      <c r="B54" s="7" t="s">
        <v>530</v>
      </c>
      <c r="C54" s="7" t="s">
        <v>45</v>
      </c>
      <c r="D54" s="9">
        <v>2015</v>
      </c>
      <c r="E54" s="9">
        <v>13</v>
      </c>
      <c r="F54" s="9">
        <v>1.4</v>
      </c>
    </row>
    <row r="55" spans="1:6" ht="15.75" thickBot="1">
      <c r="A55" s="5" t="s">
        <v>110</v>
      </c>
      <c r="B55" s="7" t="s">
        <v>530</v>
      </c>
      <c r="C55" s="7" t="s">
        <v>45</v>
      </c>
      <c r="D55" s="9">
        <v>2015</v>
      </c>
      <c r="E55" s="9">
        <v>13</v>
      </c>
      <c r="F55" s="9">
        <v>1.4</v>
      </c>
    </row>
    <row r="56" spans="1:6" ht="15.75" thickBot="1">
      <c r="A56" s="5" t="s">
        <v>110</v>
      </c>
      <c r="B56" s="7" t="s">
        <v>530</v>
      </c>
      <c r="C56" s="7" t="s">
        <v>45</v>
      </c>
      <c r="D56" s="9">
        <v>2017</v>
      </c>
      <c r="E56" s="9">
        <v>13</v>
      </c>
      <c r="F56" s="9">
        <v>1.4</v>
      </c>
    </row>
    <row r="57" spans="1:6" ht="15.75" thickBot="1">
      <c r="A57" s="5" t="s">
        <v>110</v>
      </c>
      <c r="B57" s="7" t="s">
        <v>530</v>
      </c>
      <c r="C57" s="7" t="s">
        <v>45</v>
      </c>
      <c r="D57" s="9">
        <v>2017</v>
      </c>
      <c r="E57" s="9">
        <v>13</v>
      </c>
      <c r="F57" s="9">
        <v>1.4</v>
      </c>
    </row>
    <row r="58" spans="1:6" ht="15.75" thickBot="1">
      <c r="A58" s="5" t="s">
        <v>112</v>
      </c>
      <c r="B58" s="7" t="s">
        <v>531</v>
      </c>
      <c r="C58" s="7" t="s">
        <v>45</v>
      </c>
      <c r="D58" s="9">
        <v>2018</v>
      </c>
      <c r="E58" s="9">
        <v>13</v>
      </c>
      <c r="F58" s="9">
        <v>1.4</v>
      </c>
    </row>
    <row r="59" spans="1:6" ht="15.75" thickBot="1">
      <c r="A59" s="5" t="s">
        <v>113</v>
      </c>
      <c r="B59" s="7" t="s">
        <v>531</v>
      </c>
      <c r="C59" s="7" t="s">
        <v>45</v>
      </c>
      <c r="D59" s="9">
        <v>2019</v>
      </c>
      <c r="E59" s="9">
        <v>13</v>
      </c>
      <c r="F59" s="9">
        <v>1.4</v>
      </c>
    </row>
    <row r="60" spans="1:6" ht="15.75" thickBot="1">
      <c r="A60" s="5" t="s">
        <v>114</v>
      </c>
      <c r="B60" s="7" t="s">
        <v>532</v>
      </c>
      <c r="C60" s="7" t="s">
        <v>45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114</v>
      </c>
      <c r="B61" s="7" t="s">
        <v>532</v>
      </c>
      <c r="C61" s="7" t="s">
        <v>45</v>
      </c>
      <c r="D61" s="9">
        <v>2020</v>
      </c>
      <c r="E61" s="9">
        <v>13</v>
      </c>
      <c r="F61" s="9">
        <v>1.4</v>
      </c>
    </row>
    <row r="62" spans="1:6" ht="15.75" thickBot="1">
      <c r="A62" s="5" t="s">
        <v>114</v>
      </c>
      <c r="B62" s="7" t="s">
        <v>532</v>
      </c>
      <c r="C62" s="7" t="s">
        <v>45</v>
      </c>
      <c r="D62" s="9">
        <v>2020</v>
      </c>
      <c r="E62" s="9">
        <v>13</v>
      </c>
      <c r="F62" s="9">
        <v>1.4</v>
      </c>
    </row>
    <row r="63" spans="1:6" ht="15.75" thickBot="1">
      <c r="A63" s="5" t="s">
        <v>115</v>
      </c>
      <c r="B63" s="7" t="s">
        <v>533</v>
      </c>
      <c r="C63" s="7" t="s">
        <v>45</v>
      </c>
      <c r="D63" s="9">
        <v>2020</v>
      </c>
      <c r="E63" s="9">
        <v>13</v>
      </c>
      <c r="F63" s="9">
        <v>1.4</v>
      </c>
    </row>
    <row r="64" spans="1:6" ht="15.75" thickBot="1">
      <c r="A64" s="7" t="s">
        <v>116</v>
      </c>
      <c r="B64" s="7" t="s">
        <v>534</v>
      </c>
      <c r="C64" s="7" t="s">
        <v>45</v>
      </c>
      <c r="D64" s="9">
        <v>2022</v>
      </c>
      <c r="E64" s="9">
        <v>13</v>
      </c>
      <c r="F64" s="9">
        <v>1.4</v>
      </c>
    </row>
    <row r="65" spans="1:6" ht="15.75" thickBot="1">
      <c r="A65" s="7" t="s">
        <v>117</v>
      </c>
      <c r="B65" s="7" t="s">
        <v>535</v>
      </c>
      <c r="C65" s="7" t="s">
        <v>45</v>
      </c>
      <c r="D65" s="9">
        <v>2023</v>
      </c>
      <c r="E65" s="9">
        <v>15</v>
      </c>
      <c r="F65" s="9">
        <v>1.8</v>
      </c>
    </row>
    <row r="66" spans="1:6" ht="15.75" thickBot="1">
      <c r="A66" s="7" t="s">
        <v>118</v>
      </c>
      <c r="B66" s="7" t="s">
        <v>536</v>
      </c>
      <c r="C66" s="7" t="s">
        <v>45</v>
      </c>
      <c r="D66" s="9">
        <v>2024</v>
      </c>
      <c r="E66" s="9">
        <v>13</v>
      </c>
      <c r="F66" s="9">
        <v>1.4</v>
      </c>
    </row>
    <row r="67" spans="1:6" ht="15.75" thickBot="1">
      <c r="A67" s="7" t="s">
        <v>119</v>
      </c>
      <c r="B67" s="7" t="s">
        <v>537</v>
      </c>
      <c r="C67" s="7" t="s">
        <v>45</v>
      </c>
      <c r="D67" s="9">
        <v>2024</v>
      </c>
      <c r="E67" s="9">
        <v>15</v>
      </c>
      <c r="F67" s="9">
        <v>1.8</v>
      </c>
    </row>
    <row r="68" spans="1:6" ht="15.75" thickBot="1">
      <c r="A68" s="7" t="s">
        <v>120</v>
      </c>
      <c r="B68" s="7" t="s">
        <v>121</v>
      </c>
      <c r="C68" s="7" t="s">
        <v>274</v>
      </c>
      <c r="D68" s="9">
        <v>2013</v>
      </c>
      <c r="E68" s="7"/>
      <c r="F68" s="9">
        <v>5</v>
      </c>
    </row>
    <row r="69" spans="1:6" ht="15.75" thickBot="1">
      <c r="A69" s="7" t="s">
        <v>122</v>
      </c>
      <c r="B69" s="7" t="s">
        <v>123</v>
      </c>
      <c r="C69" s="7" t="s">
        <v>273</v>
      </c>
      <c r="D69" s="9">
        <v>2015</v>
      </c>
      <c r="E69" s="9">
        <v>27</v>
      </c>
      <c r="F69" s="9">
        <v>9.5399999999999991</v>
      </c>
    </row>
    <row r="70" spans="1:6" ht="15.75" thickBot="1">
      <c r="A70" s="7" t="s">
        <v>124</v>
      </c>
      <c r="B70" s="7" t="s">
        <v>123</v>
      </c>
      <c r="C70" s="7" t="s">
        <v>273</v>
      </c>
      <c r="D70" s="9">
        <v>2017</v>
      </c>
      <c r="E70" s="9">
        <v>27</v>
      </c>
      <c r="F70" s="9">
        <v>9.5399999999999991</v>
      </c>
    </row>
    <row r="71" spans="1:6" ht="15.75" thickBot="1">
      <c r="A71" s="7" t="s">
        <v>125</v>
      </c>
      <c r="B71" s="7" t="s">
        <v>126</v>
      </c>
      <c r="C71" s="7" t="s">
        <v>273</v>
      </c>
      <c r="D71" s="9">
        <v>2017</v>
      </c>
      <c r="E71" s="9">
        <v>21.5</v>
      </c>
      <c r="F71" s="9">
        <v>9.5399999999999991</v>
      </c>
    </row>
    <row r="72" spans="1:6" ht="15.75" thickBot="1">
      <c r="A72" s="7"/>
      <c r="B72" s="7" t="s">
        <v>127</v>
      </c>
      <c r="C72" s="7"/>
      <c r="D72" s="7"/>
      <c r="E72" s="7"/>
      <c r="F72" s="9">
        <v>2</v>
      </c>
    </row>
    <row r="73" spans="1:6" ht="15.75" thickBot="1">
      <c r="A73" s="7"/>
      <c r="B73" s="7" t="s">
        <v>127</v>
      </c>
      <c r="C73" s="7"/>
      <c r="D73" s="7"/>
      <c r="E73" s="7"/>
      <c r="F73" s="9">
        <v>2</v>
      </c>
    </row>
    <row r="74" spans="1:6" ht="15.75" thickBot="1">
      <c r="A74" s="7"/>
      <c r="B74" s="7" t="s">
        <v>127</v>
      </c>
      <c r="C74" s="7"/>
      <c r="D74" s="7"/>
      <c r="E74" s="7"/>
      <c r="F74" s="9">
        <v>2</v>
      </c>
    </row>
    <row r="75" spans="1:6" ht="15.75" thickBot="1">
      <c r="A75" s="7"/>
      <c r="B75" s="7" t="s">
        <v>127</v>
      </c>
      <c r="C75" s="7"/>
      <c r="D75" s="7"/>
      <c r="E75" s="7"/>
      <c r="F75" s="9">
        <v>2</v>
      </c>
    </row>
    <row r="76" spans="1:6" ht="15.75" thickBot="1">
      <c r="A76" s="7"/>
      <c r="B76" s="10" t="s">
        <v>128</v>
      </c>
      <c r="C76" s="10"/>
      <c r="D76" s="7"/>
      <c r="E76" s="7"/>
      <c r="F76" s="9">
        <v>1.74</v>
      </c>
    </row>
    <row r="77" spans="1:6" ht="15.75" thickBot="1">
      <c r="A77" s="7"/>
      <c r="B77" s="7" t="s">
        <v>127</v>
      </c>
      <c r="C77" s="7"/>
      <c r="D77" s="7"/>
      <c r="E77" s="7"/>
      <c r="F77" s="9">
        <v>2</v>
      </c>
    </row>
    <row r="78" spans="1:6" ht="15.75" thickBot="1">
      <c r="A78" s="7"/>
      <c r="B78" s="10" t="s">
        <v>128</v>
      </c>
      <c r="C78" s="10"/>
      <c r="D78" s="7"/>
      <c r="E78" s="7"/>
      <c r="F78" s="9">
        <v>1.74</v>
      </c>
    </row>
    <row r="79" spans="1:6" ht="15.75" thickBot="1">
      <c r="A79" s="7"/>
      <c r="B79" s="10" t="s">
        <v>129</v>
      </c>
      <c r="C79" s="10"/>
      <c r="D79" s="7"/>
      <c r="E79" s="7"/>
      <c r="F79" s="9">
        <v>1.8</v>
      </c>
    </row>
    <row r="80" spans="1:6" ht="15.75" thickBot="1">
      <c r="A80" s="7"/>
      <c r="B80" s="7" t="s">
        <v>127</v>
      </c>
      <c r="C80" s="7"/>
      <c r="D80" s="7"/>
      <c r="E80" s="7"/>
      <c r="F80" s="9">
        <v>2</v>
      </c>
    </row>
    <row r="81" spans="1:6" ht="15.75" thickBot="1">
      <c r="A81" s="7"/>
      <c r="B81" s="7" t="s">
        <v>130</v>
      </c>
      <c r="C81" s="7"/>
      <c r="D81" s="7"/>
      <c r="E81" s="7"/>
      <c r="F81" s="9">
        <v>1.8</v>
      </c>
    </row>
    <row r="82" spans="1:6" ht="15.75" thickBot="1">
      <c r="A82" s="7"/>
      <c r="B82" s="7" t="s">
        <v>131</v>
      </c>
      <c r="C82" s="7"/>
      <c r="D82" s="7"/>
      <c r="E82" s="7"/>
      <c r="F82" s="9">
        <v>1.26</v>
      </c>
    </row>
    <row r="83" spans="1:6" ht="15.75" thickBot="1">
      <c r="A83" s="7"/>
      <c r="B83" s="7" t="s">
        <v>132</v>
      </c>
      <c r="C83" s="7"/>
      <c r="D83" s="7"/>
      <c r="E83" s="7"/>
      <c r="F83" s="9">
        <v>1.26</v>
      </c>
    </row>
    <row r="84" spans="1:6" ht="15.75" thickBot="1">
      <c r="A84" s="7"/>
      <c r="B84" s="7" t="s">
        <v>133</v>
      </c>
      <c r="C84" s="7"/>
      <c r="D84" s="7"/>
      <c r="E84" s="7"/>
      <c r="F84" s="9">
        <v>1.26</v>
      </c>
    </row>
    <row r="85" spans="1:6" ht="15.75" thickBot="1">
      <c r="A85" s="7"/>
      <c r="B85" s="10" t="s">
        <v>134</v>
      </c>
      <c r="C85" s="10"/>
      <c r="D85" s="7"/>
      <c r="E85" s="7"/>
      <c r="F85" s="9">
        <v>1.26</v>
      </c>
    </row>
    <row r="86" spans="1:6" ht="15.75" thickBot="1">
      <c r="A86" s="7"/>
      <c r="B86" s="7" t="s">
        <v>135</v>
      </c>
      <c r="C86" s="7"/>
      <c r="D86" s="7"/>
      <c r="E86" s="7"/>
      <c r="F86" s="9">
        <v>1.17</v>
      </c>
    </row>
    <row r="87" spans="1:6" ht="15.75" thickBot="1">
      <c r="A87" s="7"/>
      <c r="B87" s="7" t="s">
        <v>136</v>
      </c>
      <c r="C87" s="7"/>
      <c r="D87" s="7"/>
      <c r="E87" s="7"/>
      <c r="F87" s="9">
        <v>1.8</v>
      </c>
    </row>
    <row r="88" spans="1:6" ht="15.75" thickBot="1">
      <c r="A88" s="7"/>
      <c r="B88" s="7" t="s">
        <v>137</v>
      </c>
      <c r="C88" s="7"/>
      <c r="D88" s="7"/>
      <c r="E88" s="7"/>
      <c r="F88" s="9">
        <v>1.35</v>
      </c>
    </row>
    <row r="89" spans="1:6" ht="15.75" thickBot="1">
      <c r="A89" s="7"/>
      <c r="B89" s="6" t="s">
        <v>138</v>
      </c>
      <c r="C89" s="6"/>
      <c r="D89" s="7"/>
      <c r="E89" s="7"/>
      <c r="F89" s="9">
        <v>1.1000000000000001</v>
      </c>
    </row>
    <row r="90" spans="1:6" ht="15.75" thickBot="1">
      <c r="A90" s="7"/>
      <c r="B90" s="6" t="s">
        <v>139</v>
      </c>
      <c r="C90" s="6"/>
      <c r="D90" s="7"/>
      <c r="E90" s="7"/>
      <c r="F90" s="9">
        <v>1.2</v>
      </c>
    </row>
    <row r="91" spans="1:6" ht="15.75" thickBot="1">
      <c r="A91" s="7"/>
      <c r="B91" s="6" t="s">
        <v>140</v>
      </c>
      <c r="C91" s="6"/>
      <c r="D91" s="7"/>
      <c r="E91" s="7"/>
      <c r="F91" s="9">
        <v>1.26</v>
      </c>
    </row>
    <row r="92" spans="1:6" ht="15.75" thickBot="1">
      <c r="A92" s="7"/>
      <c r="B92" s="7" t="s">
        <v>141</v>
      </c>
      <c r="C92" s="7"/>
      <c r="D92" s="7"/>
      <c r="E92" s="7"/>
      <c r="F92" s="9">
        <v>1.27</v>
      </c>
    </row>
    <row r="93" spans="1:6" ht="15.75" thickBot="1">
      <c r="A93" s="7"/>
      <c r="B93" s="7" t="s">
        <v>141</v>
      </c>
      <c r="C93" s="7"/>
      <c r="D93" s="7"/>
      <c r="E93" s="7"/>
      <c r="F93" s="9">
        <v>1.27</v>
      </c>
    </row>
    <row r="94" spans="1:6" ht="15.75" thickBot="1">
      <c r="A94" s="7"/>
      <c r="B94" s="7" t="s">
        <v>142</v>
      </c>
      <c r="C94" s="7"/>
      <c r="D94" s="7"/>
      <c r="E94" s="7"/>
      <c r="F94" s="9">
        <v>1.3</v>
      </c>
    </row>
    <row r="95" spans="1:6" ht="15.75" thickBot="1">
      <c r="A95" s="7"/>
      <c r="B95" s="7" t="s">
        <v>143</v>
      </c>
      <c r="C95" s="7"/>
      <c r="D95" s="7"/>
      <c r="E95" s="7"/>
      <c r="F95" s="9">
        <v>1.4</v>
      </c>
    </row>
    <row r="96" spans="1:6" ht="15.75" thickBot="1">
      <c r="A96" s="7"/>
      <c r="B96" s="7" t="s">
        <v>144</v>
      </c>
      <c r="C96" s="7"/>
      <c r="D96" s="7"/>
      <c r="E96" s="7"/>
      <c r="F96" s="9">
        <v>1.4</v>
      </c>
    </row>
    <row r="97" spans="1:6" ht="15.75" thickBot="1">
      <c r="A97" s="7"/>
      <c r="B97" s="7" t="s">
        <v>145</v>
      </c>
      <c r="C97" s="7"/>
      <c r="D97" s="7"/>
      <c r="E97" s="7"/>
      <c r="F97" s="9">
        <v>3.26</v>
      </c>
    </row>
    <row r="98" spans="1:6" ht="15.75" thickBot="1">
      <c r="A98" s="7"/>
      <c r="B98" s="7" t="s">
        <v>146</v>
      </c>
      <c r="C98" s="7"/>
      <c r="D98" s="7"/>
      <c r="E98" s="7"/>
      <c r="F98" s="9">
        <v>5.23</v>
      </c>
    </row>
    <row r="99" spans="1:6" ht="15.75" thickBot="1">
      <c r="A99" s="7"/>
      <c r="B99" s="7" t="s">
        <v>147</v>
      </c>
      <c r="C99" s="7"/>
      <c r="D99" s="7"/>
      <c r="E99" s="7"/>
      <c r="F99" s="9">
        <v>7.5</v>
      </c>
    </row>
    <row r="100" spans="1:6" ht="15.75" thickBot="1">
      <c r="A100" s="7"/>
      <c r="B100" s="7" t="s">
        <v>148</v>
      </c>
      <c r="C100" s="7"/>
      <c r="D100" s="7"/>
      <c r="E100" s="7"/>
      <c r="F100" s="9">
        <v>6.6</v>
      </c>
    </row>
    <row r="101" spans="1:6" ht="15.75" thickBot="1">
      <c r="A101" s="7"/>
      <c r="B101" s="7" t="s">
        <v>149</v>
      </c>
      <c r="C101" s="7"/>
      <c r="D101" s="7"/>
      <c r="E101" s="7"/>
      <c r="F101" s="9">
        <v>5.6</v>
      </c>
    </row>
    <row r="102" spans="1:6" ht="15.75" thickBot="1">
      <c r="A102" s="7"/>
      <c r="B102" s="7" t="s">
        <v>150</v>
      </c>
      <c r="C102" s="7"/>
      <c r="D102" s="7"/>
      <c r="E102" s="7"/>
      <c r="F102" s="9">
        <v>7.65</v>
      </c>
    </row>
    <row r="103" spans="1:6" ht="15.75" thickBot="1">
      <c r="A103" s="7"/>
      <c r="B103" s="7" t="s">
        <v>151</v>
      </c>
      <c r="C103" s="7"/>
      <c r="D103" s="7"/>
      <c r="E103" s="7"/>
      <c r="F103" s="9">
        <v>5.26</v>
      </c>
    </row>
    <row r="104" spans="1:6" ht="15.75" thickBot="1">
      <c r="A104" s="7"/>
      <c r="B104" s="7" t="s">
        <v>152</v>
      </c>
      <c r="C104" s="7"/>
      <c r="D104" s="7"/>
      <c r="E104" s="7"/>
      <c r="F104" s="9">
        <v>9</v>
      </c>
    </row>
    <row r="105" spans="1:6" ht="15.75" thickBot="1">
      <c r="A105" s="7"/>
      <c r="B105" s="7" t="s">
        <v>153</v>
      </c>
      <c r="C105" s="7"/>
      <c r="D105" s="7"/>
      <c r="E105" s="7"/>
      <c r="F105" s="9">
        <v>2.2999999999999998</v>
      </c>
    </row>
    <row r="106" spans="1:6" ht="15.75" thickBot="1">
      <c r="A106" s="7"/>
      <c r="B106" s="7" t="s">
        <v>154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155</v>
      </c>
      <c r="C107" s="7"/>
      <c r="D107" s="7"/>
      <c r="E107" s="7"/>
      <c r="F107" s="9">
        <v>5.26</v>
      </c>
    </row>
    <row r="108" spans="1:6" ht="15.75" thickBot="1">
      <c r="A108" s="7"/>
      <c r="B108" s="7" t="s">
        <v>156</v>
      </c>
      <c r="C108" s="7"/>
      <c r="D108" s="7"/>
      <c r="E108" s="7"/>
      <c r="F108" s="9">
        <v>9.4</v>
      </c>
    </row>
    <row r="109" spans="1:6" ht="15.75" thickBot="1">
      <c r="A109" s="7"/>
      <c r="B109" s="7" t="s">
        <v>157</v>
      </c>
      <c r="C109" s="7"/>
      <c r="D109" s="7"/>
      <c r="E109" s="7"/>
      <c r="F109" s="9">
        <v>5.9</v>
      </c>
    </row>
    <row r="110" spans="1:6" ht="15.75" thickBot="1">
      <c r="A110" s="7"/>
      <c r="B110" s="7" t="s">
        <v>158</v>
      </c>
      <c r="C110" s="7"/>
      <c r="D110" s="7"/>
      <c r="E110" s="7"/>
      <c r="F110" s="9">
        <v>5.26</v>
      </c>
    </row>
    <row r="111" spans="1:6" ht="15.75" thickBot="1">
      <c r="A111" s="7"/>
      <c r="B111" s="7" t="s">
        <v>159</v>
      </c>
      <c r="C111" s="7"/>
      <c r="D111" s="7"/>
      <c r="E111" s="7"/>
      <c r="F111" s="9">
        <v>1.3</v>
      </c>
    </row>
    <row r="112" spans="1:6" ht="15.75" thickBot="1">
      <c r="A112" s="7"/>
      <c r="B112" s="7" t="s">
        <v>160</v>
      </c>
      <c r="C112" s="7"/>
      <c r="D112" s="7"/>
      <c r="E112" s="7"/>
      <c r="F112" s="9">
        <v>3</v>
      </c>
    </row>
    <row r="113" spans="1:6" ht="15.75" thickBot="1">
      <c r="A113" s="7"/>
      <c r="B113" s="7" t="s">
        <v>161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162</v>
      </c>
      <c r="C114" s="7"/>
      <c r="D114" s="7"/>
      <c r="E114" s="7"/>
      <c r="F114" s="9">
        <v>5.2</v>
      </c>
    </row>
    <row r="115" spans="1:6" ht="15.75" thickBot="1">
      <c r="A115" s="7"/>
      <c r="B115" s="7" t="s">
        <v>163</v>
      </c>
      <c r="C115" s="7"/>
      <c r="D115" s="7"/>
      <c r="E115" s="7"/>
      <c r="F115" s="9">
        <v>4.25</v>
      </c>
    </row>
    <row r="116" spans="1:6" ht="15.75" thickBot="1">
      <c r="A116" s="7"/>
      <c r="B116" s="7" t="s">
        <v>164</v>
      </c>
      <c r="C116" s="7"/>
      <c r="D116" s="7"/>
      <c r="E116" s="7"/>
      <c r="F116" s="9">
        <v>3.33</v>
      </c>
    </row>
    <row r="117" spans="1:6" ht="15.75" thickBot="1">
      <c r="A117" s="7"/>
      <c r="B117" s="7" t="s">
        <v>165</v>
      </c>
      <c r="C117" s="7"/>
      <c r="D117" s="7"/>
      <c r="E117" s="7"/>
      <c r="F117" s="9">
        <v>2.8</v>
      </c>
    </row>
    <row r="118" spans="1:6" ht="15.75" thickBot="1">
      <c r="A118" s="7"/>
      <c r="B118" s="7" t="s">
        <v>166</v>
      </c>
      <c r="C118" s="7"/>
      <c r="D118" s="7"/>
      <c r="E118" s="7"/>
      <c r="F118" s="9">
        <v>1.7</v>
      </c>
    </row>
    <row r="119" spans="1:6" ht="15.75" thickBot="1">
      <c r="A119" s="7"/>
      <c r="B119" s="7" t="s">
        <v>167</v>
      </c>
      <c r="C119" s="7"/>
      <c r="D119" s="7"/>
      <c r="E119" s="7"/>
      <c r="F119" s="9">
        <v>1.48</v>
      </c>
    </row>
    <row r="120" spans="1:6" ht="15.75" thickBot="1">
      <c r="A120" s="7"/>
      <c r="B120" s="7" t="s">
        <v>168</v>
      </c>
      <c r="C120" s="7"/>
      <c r="D120" s="7"/>
      <c r="E120" s="7"/>
      <c r="F120" s="9">
        <v>3.33</v>
      </c>
    </row>
    <row r="121" spans="1:6" ht="15.75" thickBot="1">
      <c r="A121" s="7"/>
      <c r="B121" s="7" t="s">
        <v>169</v>
      </c>
      <c r="C121" s="7"/>
      <c r="D121" s="7"/>
      <c r="E121" s="7"/>
      <c r="F121" s="9">
        <v>0.75</v>
      </c>
    </row>
    <row r="122" spans="1:6" ht="15.75" thickBot="1">
      <c r="A122" s="7"/>
      <c r="B122" s="7" t="s">
        <v>170</v>
      </c>
      <c r="C122" s="7"/>
      <c r="D122" s="7"/>
      <c r="E122" s="7"/>
      <c r="F122" s="9">
        <v>4.25</v>
      </c>
    </row>
    <row r="123" spans="1:6" ht="15.75" thickBot="1">
      <c r="A123" s="7"/>
      <c r="B123" s="7" t="s">
        <v>171</v>
      </c>
      <c r="C123" s="7"/>
      <c r="D123" s="7"/>
      <c r="E123" s="7"/>
      <c r="F123" s="9">
        <v>1.44</v>
      </c>
    </row>
    <row r="124" spans="1:6" ht="15.75" thickBot="1">
      <c r="A124" s="7"/>
      <c r="B124" s="7" t="s">
        <v>172</v>
      </c>
      <c r="C124" s="7"/>
      <c r="D124" s="7"/>
      <c r="E124" s="7"/>
      <c r="F124" s="9">
        <v>1.1299999999999999</v>
      </c>
    </row>
    <row r="125" spans="1:6" ht="15.75" thickBot="1">
      <c r="A125" s="7"/>
      <c r="B125" s="7" t="s">
        <v>173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174</v>
      </c>
      <c r="C126" s="7"/>
      <c r="D126" s="7"/>
      <c r="E126" s="7"/>
      <c r="F126" s="9">
        <v>1.5</v>
      </c>
    </row>
    <row r="127" spans="1:6" ht="15.75" thickBot="1">
      <c r="A127" s="7"/>
      <c r="B127" s="7" t="s">
        <v>175</v>
      </c>
      <c r="C127" s="7"/>
      <c r="D127" s="7"/>
      <c r="E127" s="7"/>
      <c r="F127" s="9">
        <v>1.46</v>
      </c>
    </row>
    <row r="128" spans="1:6" ht="15.75" thickBot="1">
      <c r="A128" s="7"/>
      <c r="B128" s="7" t="s">
        <v>176</v>
      </c>
      <c r="C128" s="7"/>
      <c r="D128" s="7"/>
      <c r="E128" s="7"/>
      <c r="F128" s="9">
        <v>1.18</v>
      </c>
    </row>
    <row r="129" spans="1:6" ht="15.75" thickBot="1">
      <c r="A129" s="7"/>
      <c r="B129" s="7" t="s">
        <v>177</v>
      </c>
      <c r="C129" s="7"/>
      <c r="D129" s="7"/>
      <c r="E129" s="7"/>
      <c r="F129" s="9">
        <v>1.73</v>
      </c>
    </row>
    <row r="130" spans="1:6" ht="15.75" thickBot="1">
      <c r="A130" s="7"/>
      <c r="B130" s="7" t="s">
        <v>178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179</v>
      </c>
      <c r="C131" s="7"/>
      <c r="D131" s="7"/>
      <c r="E131" s="7"/>
      <c r="F131" s="9">
        <v>1.68</v>
      </c>
    </row>
    <row r="132" spans="1:6" ht="15.75" thickBot="1">
      <c r="A132" s="7"/>
      <c r="B132" s="7" t="s">
        <v>180</v>
      </c>
      <c r="C132" s="7"/>
      <c r="D132" s="7"/>
      <c r="E132" s="7"/>
      <c r="F132" s="9">
        <v>1.64</v>
      </c>
    </row>
    <row r="133" spans="1:6" ht="15.75" thickBot="1">
      <c r="A133" s="7"/>
      <c r="B133" s="7" t="s">
        <v>181</v>
      </c>
      <c r="C133" s="7"/>
      <c r="D133" s="7"/>
      <c r="E133" s="7"/>
      <c r="F133" s="9">
        <v>2.2999999999999998</v>
      </c>
    </row>
    <row r="134" spans="1:6" ht="15.75" thickBot="1">
      <c r="A134" s="7"/>
      <c r="B134" s="7" t="s">
        <v>182</v>
      </c>
      <c r="C134" s="7"/>
      <c r="D134" s="7"/>
      <c r="E134" s="7"/>
      <c r="F134" s="9">
        <v>1.96</v>
      </c>
    </row>
    <row r="135" spans="1:6" ht="15.75" thickBot="1">
      <c r="A135" s="7"/>
      <c r="B135" s="7" t="s">
        <v>183</v>
      </c>
      <c r="C135" s="7"/>
      <c r="D135" s="7"/>
      <c r="E135" s="7"/>
      <c r="F135" s="9">
        <v>1.7</v>
      </c>
    </row>
    <row r="136" spans="1:6" ht="15.75" thickBot="1">
      <c r="A136" s="7"/>
      <c r="B136" s="7" t="s">
        <v>184</v>
      </c>
      <c r="C136" s="7"/>
      <c r="D136" s="7"/>
      <c r="E136" s="7"/>
      <c r="F136" s="9">
        <v>2.7</v>
      </c>
    </row>
    <row r="137" spans="1:6" ht="15.75" thickBot="1">
      <c r="A137" s="7"/>
      <c r="B137" s="7" t="s">
        <v>185</v>
      </c>
      <c r="C137" s="7"/>
      <c r="D137" s="7"/>
      <c r="E137" s="7"/>
      <c r="F137" s="9">
        <v>2.74</v>
      </c>
    </row>
    <row r="138" spans="1:6" ht="15.75" thickBot="1">
      <c r="A138" s="7"/>
      <c r="B138" s="7" t="s">
        <v>186</v>
      </c>
      <c r="C138" s="7"/>
      <c r="D138" s="7"/>
      <c r="E138" s="7"/>
      <c r="F138" s="9">
        <v>2</v>
      </c>
    </row>
    <row r="139" spans="1:6" ht="15.75" thickBot="1">
      <c r="A139" s="7"/>
      <c r="B139" s="7" t="s">
        <v>177</v>
      </c>
      <c r="C139" s="7"/>
      <c r="D139" s="7"/>
      <c r="E139" s="7"/>
      <c r="F139" s="9">
        <v>1.73</v>
      </c>
    </row>
    <row r="140" spans="1:6" ht="15.75" thickBot="1">
      <c r="A140" s="7"/>
      <c r="B140" s="7" t="s">
        <v>187</v>
      </c>
      <c r="C140" s="7"/>
      <c r="D140" s="7"/>
      <c r="E140" s="7"/>
      <c r="F140" s="9">
        <v>1.68</v>
      </c>
    </row>
    <row r="141" spans="1:6" ht="15.75" thickBot="1">
      <c r="A141" s="7"/>
      <c r="B141" s="7" t="s">
        <v>188</v>
      </c>
      <c r="C141" s="7"/>
      <c r="D141" s="7"/>
      <c r="E141" s="7"/>
      <c r="F141" s="9">
        <v>1.64</v>
      </c>
    </row>
    <row r="142" spans="1:6" ht="15.75" thickBot="1">
      <c r="A142" s="7"/>
      <c r="B142" s="7" t="s">
        <v>189</v>
      </c>
      <c r="C142" s="7"/>
      <c r="D142" s="7"/>
      <c r="E142" s="7"/>
      <c r="F142" s="9">
        <v>2.2999999999999998</v>
      </c>
    </row>
    <row r="143" spans="1:6" ht="15.75" thickBot="1">
      <c r="A143" s="7"/>
      <c r="B143" s="7" t="s">
        <v>190</v>
      </c>
      <c r="C143" s="7"/>
      <c r="D143" s="7"/>
      <c r="E143" s="7"/>
      <c r="F143" s="9">
        <v>1.96</v>
      </c>
    </row>
    <row r="144" spans="1:6" ht="15.75" thickBot="1">
      <c r="A144" s="7"/>
      <c r="B144" s="7" t="s">
        <v>191</v>
      </c>
      <c r="C144" s="7"/>
      <c r="D144" s="7"/>
      <c r="E144" s="7"/>
      <c r="F144" s="9">
        <v>1.7</v>
      </c>
    </row>
    <row r="145" spans="1:6" ht="15.75" thickBot="1">
      <c r="A145" s="7"/>
      <c r="B145" s="7" t="s">
        <v>192</v>
      </c>
      <c r="C145" s="7"/>
      <c r="D145" s="7"/>
      <c r="E145" s="7"/>
      <c r="F145" s="9">
        <v>2.7</v>
      </c>
    </row>
    <row r="146" spans="1:6" ht="15.75" thickBot="1">
      <c r="A146" s="7"/>
      <c r="B146" s="7" t="s">
        <v>193</v>
      </c>
      <c r="C146" s="7"/>
      <c r="D146" s="7"/>
      <c r="E146" s="7"/>
      <c r="F146" s="9">
        <v>2.74</v>
      </c>
    </row>
    <row r="147" spans="1:6" ht="15.75" thickBot="1">
      <c r="A147" s="7"/>
      <c r="B147" s="7" t="s">
        <v>194</v>
      </c>
      <c r="C147" s="7"/>
      <c r="D147" s="7"/>
      <c r="E147" s="7"/>
      <c r="F147" s="9">
        <v>1.36</v>
      </c>
    </row>
    <row r="148" spans="1:6" ht="15.75" thickBot="1">
      <c r="A148" s="7"/>
      <c r="B148" s="7" t="s">
        <v>195</v>
      </c>
      <c r="C148" s="7"/>
      <c r="D148" s="7"/>
      <c r="E148" s="7"/>
      <c r="F148" s="9">
        <v>1.4</v>
      </c>
    </row>
    <row r="149" spans="1:6" ht="15.75" thickBot="1">
      <c r="A149" s="7"/>
      <c r="B149" s="7" t="s">
        <v>196</v>
      </c>
      <c r="C149" s="7"/>
      <c r="D149" s="7"/>
      <c r="E149" s="7"/>
      <c r="F149" s="9">
        <v>2.5</v>
      </c>
    </row>
    <row r="150" spans="1:6" ht="15.75" thickBot="1">
      <c r="A150" s="7"/>
      <c r="B150" s="7" t="s">
        <v>197</v>
      </c>
      <c r="C150" s="7"/>
      <c r="D150" s="7"/>
      <c r="E150" s="7"/>
      <c r="F150" s="9">
        <v>1.7</v>
      </c>
    </row>
    <row r="151" spans="1:6" ht="15.75" thickBot="1">
      <c r="A151" s="7"/>
      <c r="B151" s="7" t="s">
        <v>198</v>
      </c>
      <c r="C151" s="7"/>
      <c r="D151" s="7"/>
      <c r="E151" s="7"/>
      <c r="F151" s="9">
        <v>1.32</v>
      </c>
    </row>
    <row r="152" spans="1:6" ht="15.75" thickBot="1">
      <c r="A152" s="7"/>
      <c r="B152" s="7" t="s">
        <v>199</v>
      </c>
      <c r="C152" s="7"/>
      <c r="D152" s="7"/>
      <c r="E152" s="7"/>
      <c r="F152" s="9">
        <v>1.36</v>
      </c>
    </row>
    <row r="153" spans="1:6" ht="15.75" thickBot="1">
      <c r="A153" s="7"/>
      <c r="B153" s="7" t="s">
        <v>200</v>
      </c>
      <c r="C153" s="7"/>
      <c r="D153" s="7"/>
      <c r="E153" s="7"/>
      <c r="F153" s="9">
        <v>1.7</v>
      </c>
    </row>
    <row r="154" spans="1:6" ht="15.75" thickBot="1">
      <c r="A154" s="7"/>
      <c r="B154" s="7" t="s">
        <v>201</v>
      </c>
      <c r="C154" s="7"/>
      <c r="D154" s="7"/>
      <c r="E154" s="7"/>
      <c r="F154" s="9">
        <v>1.3</v>
      </c>
    </row>
    <row r="155" spans="1:6" ht="15.75" thickBot="1">
      <c r="A155" s="7"/>
      <c r="B155" s="7" t="s">
        <v>202</v>
      </c>
      <c r="C155" s="7"/>
      <c r="D155" s="7"/>
      <c r="E155" s="7"/>
      <c r="F155" s="9">
        <v>1.8</v>
      </c>
    </row>
    <row r="156" spans="1:6" ht="15.75" thickBot="1">
      <c r="A156" s="7"/>
      <c r="B156" s="7" t="s">
        <v>203</v>
      </c>
      <c r="C156" s="7"/>
      <c r="D156" s="7"/>
      <c r="E156" s="7"/>
      <c r="F156" s="9">
        <v>1.32</v>
      </c>
    </row>
    <row r="157" spans="1:6" ht="15.75" thickBot="1">
      <c r="A157" s="7"/>
      <c r="B157" s="7" t="s">
        <v>204</v>
      </c>
      <c r="C157" s="7"/>
      <c r="D157" s="7"/>
      <c r="E157" s="7"/>
      <c r="F157" s="9">
        <v>1.27</v>
      </c>
    </row>
    <row r="158" spans="1:6" ht="15.75" thickBot="1">
      <c r="A158" s="7"/>
      <c r="B158" s="7" t="s">
        <v>205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202</v>
      </c>
      <c r="C159" s="7"/>
      <c r="D159" s="7"/>
      <c r="E159" s="7"/>
      <c r="F159" s="9">
        <v>1.8</v>
      </c>
    </row>
    <row r="160" spans="1:6" ht="15.75" thickBot="1">
      <c r="A160" s="7"/>
      <c r="B160" s="7" t="s">
        <v>206</v>
      </c>
      <c r="C160" s="7"/>
      <c r="D160" s="7"/>
      <c r="E160" s="7"/>
      <c r="F160" s="9">
        <v>1.4</v>
      </c>
    </row>
    <row r="161" spans="1:6" ht="15.75" thickBot="1">
      <c r="A161" s="7"/>
      <c r="B161" s="7" t="s">
        <v>207</v>
      </c>
      <c r="C161" s="7"/>
      <c r="D161" s="7"/>
      <c r="E161" s="7"/>
      <c r="F161" s="9">
        <v>2.63</v>
      </c>
    </row>
    <row r="162" spans="1:6" ht="15.75" thickBot="1">
      <c r="A162" s="7"/>
      <c r="B162" s="7" t="s">
        <v>208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209</v>
      </c>
      <c r="C163" s="7"/>
      <c r="D163" s="7"/>
      <c r="E163" s="7"/>
      <c r="F163" s="9">
        <v>2</v>
      </c>
    </row>
    <row r="164" spans="1:6" ht="15.75" thickBot="1">
      <c r="A164" s="7"/>
      <c r="B164" s="7" t="s">
        <v>210</v>
      </c>
      <c r="C164" s="7"/>
      <c r="D164" s="7"/>
      <c r="E164" s="7"/>
      <c r="F164" s="9">
        <v>1.8</v>
      </c>
    </row>
    <row r="165" spans="1:6" ht="15.75" thickBot="1">
      <c r="A165" s="7"/>
      <c r="B165" s="7" t="s">
        <v>211</v>
      </c>
      <c r="C165" s="7"/>
      <c r="D165" s="7"/>
      <c r="E165" s="7"/>
      <c r="F165" s="9">
        <v>2.2000000000000002</v>
      </c>
    </row>
    <row r="166" spans="1:6" ht="15.75" thickBot="1">
      <c r="A166" s="7"/>
      <c r="B166" s="7" t="s">
        <v>212</v>
      </c>
      <c r="C166" s="7"/>
      <c r="D166" s="7"/>
      <c r="E166" s="7"/>
      <c r="F166" s="9">
        <v>2.63</v>
      </c>
    </row>
    <row r="167" spans="1:6" ht="15.75" thickBot="1">
      <c r="A167" s="7"/>
      <c r="B167" s="10" t="s">
        <v>213</v>
      </c>
      <c r="C167" s="10"/>
      <c r="D167" s="7"/>
      <c r="E167" s="7"/>
      <c r="F167" s="9">
        <v>2</v>
      </c>
    </row>
    <row r="168" spans="1:6" ht="15.75" thickBot="1">
      <c r="A168" s="7"/>
      <c r="B168" s="7" t="s">
        <v>214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215</v>
      </c>
      <c r="C169" s="7"/>
      <c r="D169" s="7"/>
      <c r="E169" s="7"/>
      <c r="F169" s="9">
        <v>1.36</v>
      </c>
    </row>
    <row r="170" spans="1:6" ht="15.75" thickBot="1">
      <c r="A170" s="7"/>
      <c r="B170" s="7" t="s">
        <v>216</v>
      </c>
      <c r="C170" s="7"/>
      <c r="D170" s="7"/>
      <c r="E170" s="7"/>
      <c r="F170" s="9">
        <v>1.47</v>
      </c>
    </row>
    <row r="171" spans="1:6" ht="15.75" thickBot="1">
      <c r="A171" s="7"/>
      <c r="B171" s="7" t="s">
        <v>217</v>
      </c>
      <c r="C171" s="7"/>
      <c r="D171" s="7"/>
      <c r="E171" s="7"/>
      <c r="F171" s="9">
        <v>1.53</v>
      </c>
    </row>
    <row r="172" spans="1:6" ht="15.75" thickBot="1">
      <c r="A172" s="7"/>
      <c r="B172" s="7" t="s">
        <v>218</v>
      </c>
      <c r="C172" s="7"/>
      <c r="D172" s="7"/>
      <c r="E172" s="7"/>
      <c r="F172" s="9">
        <v>1.24</v>
      </c>
    </row>
    <row r="173" spans="1:6" ht="15.75" thickBot="1">
      <c r="A173" s="7"/>
      <c r="B173" s="7" t="s">
        <v>219</v>
      </c>
      <c r="C173" s="7"/>
      <c r="D173" s="7"/>
      <c r="E173" s="7"/>
      <c r="F173" s="9">
        <v>1.47</v>
      </c>
    </row>
    <row r="174" spans="1:6" ht="15.75" thickBot="1">
      <c r="A174" s="7"/>
      <c r="B174" s="7" t="s">
        <v>220</v>
      </c>
      <c r="C174" s="7"/>
      <c r="D174" s="7"/>
      <c r="E174" s="7"/>
      <c r="F174" s="9">
        <v>1.55</v>
      </c>
    </row>
    <row r="175" spans="1:6" ht="15.75" thickBot="1">
      <c r="A175" s="7"/>
      <c r="B175" s="7" t="s">
        <v>221</v>
      </c>
      <c r="C175" s="7"/>
      <c r="D175" s="7"/>
      <c r="E175" s="7"/>
      <c r="F175" s="9">
        <v>1.75</v>
      </c>
    </row>
    <row r="176" spans="1:6" ht="15.75" thickBot="1">
      <c r="A176" s="7"/>
      <c r="B176" s="7" t="s">
        <v>222</v>
      </c>
      <c r="C176" s="7"/>
      <c r="D176" s="7"/>
      <c r="E176" s="7"/>
      <c r="F176" s="9">
        <v>1.7</v>
      </c>
    </row>
    <row r="177" spans="1:6" ht="15.75" thickBot="1">
      <c r="A177" s="7"/>
      <c r="B177" s="7" t="s">
        <v>223</v>
      </c>
      <c r="C177" s="7"/>
      <c r="D177" s="7"/>
      <c r="E177" s="7"/>
      <c r="F177" s="9">
        <v>1.3</v>
      </c>
    </row>
    <row r="178" spans="1:6" ht="15.75" thickBot="1">
      <c r="A178" s="7"/>
      <c r="B178" s="7" t="s">
        <v>224</v>
      </c>
      <c r="C178" s="7"/>
      <c r="D178" s="7"/>
      <c r="E178" s="7"/>
      <c r="F178" s="9">
        <v>1.53</v>
      </c>
    </row>
    <row r="179" spans="1:6" ht="15.75" thickBot="1">
      <c r="A179" s="7"/>
      <c r="B179" s="7" t="s">
        <v>225</v>
      </c>
      <c r="C179" s="7"/>
      <c r="D179" s="7"/>
      <c r="E179" s="7"/>
      <c r="F179" s="9">
        <v>1.27</v>
      </c>
    </row>
    <row r="180" spans="1:6" ht="15.75" thickBot="1">
      <c r="A180" s="7"/>
      <c r="B180" s="7" t="s">
        <v>226</v>
      </c>
      <c r="C180" s="7"/>
      <c r="D180" s="7"/>
      <c r="E180" s="7"/>
      <c r="F180" s="9">
        <v>1.3</v>
      </c>
    </row>
    <row r="181" spans="1:6" ht="15.75" thickBot="1">
      <c r="A181" s="7"/>
      <c r="B181" s="7" t="s">
        <v>227</v>
      </c>
      <c r="C181" s="7"/>
      <c r="D181" s="7"/>
      <c r="E181" s="7"/>
      <c r="F181" s="9">
        <v>1.4</v>
      </c>
    </row>
    <row r="182" spans="1:6" ht="15.75" thickBot="1">
      <c r="A182" s="7"/>
      <c r="B182" s="7" t="s">
        <v>228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229</v>
      </c>
      <c r="C183" s="7"/>
      <c r="D183" s="7"/>
      <c r="E183" s="7"/>
      <c r="F183" s="9">
        <v>1.44</v>
      </c>
    </row>
    <row r="184" spans="1:6" ht="15.75" thickBot="1">
      <c r="A184" s="7"/>
      <c r="B184" s="7" t="s">
        <v>230</v>
      </c>
      <c r="C184" s="7"/>
      <c r="D184" s="7"/>
      <c r="E184" s="7"/>
      <c r="F184" s="9">
        <v>1.1299999999999999</v>
      </c>
    </row>
    <row r="185" spans="1:6" ht="15.75" thickBot="1">
      <c r="A185" s="7"/>
      <c r="B185" s="7" t="s">
        <v>231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232</v>
      </c>
      <c r="C186" s="7"/>
      <c r="D186" s="7"/>
      <c r="E186" s="7"/>
      <c r="F186" s="9">
        <v>1.5</v>
      </c>
    </row>
    <row r="187" spans="1:6" ht="15.75" thickBot="1">
      <c r="A187" s="7"/>
      <c r="B187" s="7" t="s">
        <v>177</v>
      </c>
      <c r="C187" s="7"/>
      <c r="D187" s="7"/>
      <c r="E187" s="7"/>
      <c r="F187" s="9">
        <v>1.73</v>
      </c>
    </row>
    <row r="188" spans="1:6" ht="15.75" thickBot="1">
      <c r="A188" s="7"/>
      <c r="B188" s="7" t="s">
        <v>187</v>
      </c>
      <c r="C188" s="7"/>
      <c r="D188" s="7"/>
      <c r="E188" s="7"/>
      <c r="F188" s="9">
        <v>1.68</v>
      </c>
    </row>
    <row r="189" spans="1:6" ht="15.75" thickBot="1">
      <c r="A189" s="7"/>
      <c r="B189" s="7" t="s">
        <v>188</v>
      </c>
      <c r="C189" s="7"/>
      <c r="D189" s="7"/>
      <c r="E189" s="7"/>
      <c r="F189" s="9">
        <v>1.64</v>
      </c>
    </row>
    <row r="190" spans="1:6" ht="15.75" thickBot="1">
      <c r="A190" s="7"/>
      <c r="B190" s="7" t="s">
        <v>189</v>
      </c>
      <c r="C190" s="7"/>
      <c r="D190" s="7"/>
      <c r="E190" s="7"/>
      <c r="F190" s="9">
        <v>2.2999999999999998</v>
      </c>
    </row>
    <row r="191" spans="1:6" ht="15.75" thickBot="1">
      <c r="A191" s="7"/>
      <c r="B191" s="7" t="s">
        <v>190</v>
      </c>
      <c r="C191" s="7"/>
      <c r="D191" s="7"/>
      <c r="E191" s="7"/>
      <c r="F191" s="9">
        <v>1.96</v>
      </c>
    </row>
    <row r="192" spans="1:6" ht="15.75" thickBot="1">
      <c r="A192" s="7"/>
      <c r="B192" s="7" t="s">
        <v>191</v>
      </c>
      <c r="C192" s="7"/>
      <c r="D192" s="7"/>
      <c r="E192" s="7"/>
      <c r="F192" s="9">
        <v>1.7</v>
      </c>
    </row>
    <row r="193" spans="1:6" ht="15.75" thickBot="1">
      <c r="A193" s="7"/>
      <c r="B193" s="7" t="s">
        <v>192</v>
      </c>
      <c r="C193" s="7"/>
      <c r="D193" s="7"/>
      <c r="E193" s="7"/>
      <c r="F193" s="9">
        <v>2.7</v>
      </c>
    </row>
    <row r="194" spans="1:6" ht="15.75" thickBot="1">
      <c r="A194" s="7"/>
      <c r="B194" s="7" t="s">
        <v>193</v>
      </c>
      <c r="C194" s="7"/>
      <c r="D194" s="7"/>
      <c r="E194" s="7"/>
      <c r="F194" s="9">
        <v>2.74</v>
      </c>
    </row>
    <row r="195" spans="1:6" ht="15.75" thickBot="1">
      <c r="A195" s="7"/>
      <c r="B195" s="7" t="s">
        <v>233</v>
      </c>
      <c r="C195" s="7"/>
      <c r="D195" s="7"/>
      <c r="E195" s="7"/>
      <c r="F195" s="9">
        <v>1.36</v>
      </c>
    </row>
    <row r="196" spans="1:6" ht="15.75" thickBot="1">
      <c r="A196" s="7"/>
      <c r="B196" s="7" t="s">
        <v>234</v>
      </c>
      <c r="C196" s="7"/>
      <c r="D196" s="7"/>
      <c r="E196" s="7"/>
      <c r="F196" s="9">
        <v>2.5</v>
      </c>
    </row>
    <row r="197" spans="1:6" ht="15.75" thickBot="1">
      <c r="A197" s="7"/>
      <c r="B197" s="7" t="s">
        <v>235</v>
      </c>
      <c r="C197" s="7"/>
      <c r="D197" s="7"/>
      <c r="E197" s="7"/>
      <c r="F197" s="9">
        <v>1.7</v>
      </c>
    </row>
    <row r="198" spans="1:6" ht="15.75" thickBot="1">
      <c r="A198" s="7"/>
      <c r="B198" s="7" t="s">
        <v>236</v>
      </c>
      <c r="C198" s="7"/>
      <c r="D198" s="7"/>
      <c r="E198" s="7"/>
      <c r="F198" s="9">
        <v>1.32</v>
      </c>
    </row>
    <row r="199" spans="1:6" ht="15.75" thickBot="1">
      <c r="A199" s="7"/>
      <c r="B199" s="7" t="s">
        <v>137</v>
      </c>
      <c r="C199" s="7"/>
      <c r="D199" s="7"/>
      <c r="E199" s="7"/>
      <c r="F199" s="9">
        <v>1.36</v>
      </c>
    </row>
    <row r="200" spans="1:6" ht="15.75" thickBot="1">
      <c r="A200" s="7"/>
      <c r="B200" s="7" t="s">
        <v>237</v>
      </c>
      <c r="C200" s="7"/>
      <c r="D200" s="7"/>
      <c r="E200" s="7"/>
      <c r="F200" s="9">
        <v>1.7</v>
      </c>
    </row>
    <row r="201" spans="1:6" ht="15.75" thickBot="1">
      <c r="A201" s="7"/>
      <c r="B201" s="7" t="s">
        <v>223</v>
      </c>
      <c r="C201" s="7"/>
      <c r="D201" s="7"/>
      <c r="E201" s="7"/>
      <c r="F201" s="9">
        <v>1.3</v>
      </c>
    </row>
    <row r="202" spans="1:6" ht="15.75" thickBot="1">
      <c r="A202" s="7"/>
      <c r="B202" s="7" t="s">
        <v>238</v>
      </c>
      <c r="C202" s="7"/>
      <c r="D202" s="7"/>
      <c r="E202" s="7"/>
      <c r="F202" s="9">
        <v>1.32</v>
      </c>
    </row>
    <row r="203" spans="1:6" ht="15.75" thickBot="1">
      <c r="A203" s="7"/>
      <c r="B203" s="7" t="s">
        <v>239</v>
      </c>
      <c r="C203" s="7"/>
      <c r="D203" s="7"/>
      <c r="E203" s="7"/>
      <c r="F203" s="9">
        <v>1.27</v>
      </c>
    </row>
    <row r="204" spans="1:6" ht="15.75" thickBot="1">
      <c r="A204" s="7"/>
      <c r="B204" s="7" t="s">
        <v>240</v>
      </c>
      <c r="C204" s="7"/>
      <c r="D204" s="7"/>
      <c r="E204" s="7"/>
      <c r="F204" s="9">
        <v>1.4</v>
      </c>
    </row>
    <row r="205" spans="1:6" ht="15.75" thickBot="1">
      <c r="A205" s="7"/>
      <c r="B205" s="7" t="s">
        <v>241</v>
      </c>
      <c r="C205" s="7"/>
      <c r="D205" s="7"/>
      <c r="E205" s="7"/>
      <c r="F205" s="9">
        <v>2.63</v>
      </c>
    </row>
    <row r="206" spans="1:6" ht="15.75" thickBot="1">
      <c r="A206" s="7"/>
      <c r="B206" s="7" t="s">
        <v>242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243</v>
      </c>
      <c r="C207" s="7"/>
      <c r="D207" s="7"/>
      <c r="E207" s="7"/>
      <c r="F207" s="9">
        <v>2</v>
      </c>
    </row>
    <row r="208" spans="1:6" ht="15.75" thickBot="1">
      <c r="A208" s="7"/>
      <c r="B208" s="7" t="s">
        <v>244</v>
      </c>
      <c r="C208" s="7"/>
      <c r="D208" s="7"/>
      <c r="E208" s="7"/>
      <c r="F208" s="9">
        <v>1.8</v>
      </c>
    </row>
    <row r="209" spans="1:6" ht="15.75" thickBot="1">
      <c r="A209" s="7"/>
      <c r="B209" s="7" t="s">
        <v>212</v>
      </c>
      <c r="C209" s="7"/>
      <c r="D209" s="7"/>
      <c r="E209" s="7"/>
      <c r="F209" s="9">
        <v>2.63</v>
      </c>
    </row>
    <row r="210" spans="1:6" ht="15.75" thickBot="1">
      <c r="A210" s="7"/>
      <c r="B210" s="7" t="s">
        <v>245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246</v>
      </c>
      <c r="C211" s="7"/>
      <c r="D211" s="7"/>
      <c r="E211" s="7"/>
      <c r="F211" s="9">
        <v>1.36</v>
      </c>
    </row>
    <row r="212" spans="1:6" ht="15.75" thickBot="1">
      <c r="A212" s="7"/>
      <c r="B212" s="7" t="s">
        <v>247</v>
      </c>
      <c r="C212" s="7"/>
      <c r="D212" s="7"/>
      <c r="E212" s="7"/>
      <c r="F212" s="9">
        <v>1.47</v>
      </c>
    </row>
    <row r="213" spans="1:6" ht="15.75" thickBot="1">
      <c r="A213" s="7"/>
      <c r="B213" s="7" t="s">
        <v>224</v>
      </c>
      <c r="C213" s="7"/>
      <c r="D213" s="7"/>
      <c r="E213" s="7"/>
      <c r="F213" s="9">
        <v>1.53</v>
      </c>
    </row>
    <row r="214" spans="1:6" ht="15.75" thickBot="1">
      <c r="A214" s="7"/>
      <c r="B214" s="7" t="s">
        <v>248</v>
      </c>
      <c r="C214" s="7"/>
      <c r="D214" s="7"/>
      <c r="E214" s="7"/>
      <c r="F214" s="9">
        <v>1.24</v>
      </c>
    </row>
    <row r="215" spans="1:6" ht="15.75" thickBot="1">
      <c r="A215" s="7"/>
      <c r="B215" s="7" t="s">
        <v>249</v>
      </c>
      <c r="C215" s="7"/>
      <c r="D215" s="7"/>
      <c r="E215" s="7"/>
      <c r="F215" s="9">
        <v>1.47</v>
      </c>
    </row>
    <row r="216" spans="1:6" ht="15.75" thickBot="1">
      <c r="A216" s="7"/>
      <c r="B216" s="7" t="s">
        <v>250</v>
      </c>
      <c r="C216" s="7"/>
      <c r="D216" s="7"/>
      <c r="E216" s="7"/>
      <c r="F216" s="9">
        <v>1.75</v>
      </c>
    </row>
    <row r="217" spans="1:6" ht="15.75" thickBot="1">
      <c r="A217" s="7"/>
      <c r="B217" s="7" t="s">
        <v>251</v>
      </c>
      <c r="C217" s="7"/>
      <c r="D217" s="7"/>
      <c r="E217" s="7"/>
      <c r="F217" s="9">
        <v>1.9</v>
      </c>
    </row>
    <row r="218" spans="1:6" ht="15.75" thickBot="1">
      <c r="A218" s="7"/>
      <c r="B218" s="11" t="s">
        <v>252</v>
      </c>
      <c r="C218" s="11"/>
      <c r="D218" s="7"/>
      <c r="E218" s="7"/>
      <c r="F218" s="9">
        <v>1.9</v>
      </c>
    </row>
    <row r="219" spans="1:6" ht="15.75" thickBot="1">
      <c r="A219" s="7"/>
      <c r="B219" s="7" t="s">
        <v>253</v>
      </c>
      <c r="C219" s="7"/>
      <c r="D219" s="7"/>
      <c r="E219" s="7"/>
      <c r="F219" s="9">
        <v>1.9</v>
      </c>
    </row>
    <row r="220" spans="1:6" ht="15.75" thickBot="1">
      <c r="A220" s="7"/>
      <c r="B220" s="10" t="s">
        <v>254</v>
      </c>
      <c r="C220" s="10"/>
      <c r="D220" s="7"/>
      <c r="E220" s="7"/>
      <c r="F220" s="9">
        <v>1.5</v>
      </c>
    </row>
    <row r="221" spans="1:6" ht="15.75" thickBot="1">
      <c r="A221" s="7"/>
      <c r="B221" s="10" t="s">
        <v>255</v>
      </c>
      <c r="C221" s="10"/>
      <c r="D221" s="7"/>
      <c r="E221" s="7"/>
      <c r="F221" s="9">
        <v>1.9</v>
      </c>
    </row>
    <row r="222" spans="1:6" ht="15.75" thickBot="1">
      <c r="A222" s="7"/>
      <c r="B222" s="7" t="s">
        <v>256</v>
      </c>
      <c r="C222" s="7"/>
      <c r="D222" s="7"/>
      <c r="E222" s="7"/>
      <c r="F222" s="9">
        <v>0.78</v>
      </c>
    </row>
    <row r="223" spans="1:6" ht="15.75" thickBot="1">
      <c r="A223" s="7"/>
      <c r="B223" s="11" t="s">
        <v>257</v>
      </c>
      <c r="C223" s="11"/>
      <c r="D223" s="7"/>
      <c r="E223" s="7"/>
      <c r="F223" s="9">
        <v>1.5</v>
      </c>
    </row>
    <row r="224" spans="1:6" ht="15.75" thickBot="1">
      <c r="A224" s="7"/>
      <c r="B224" s="7" t="s">
        <v>258</v>
      </c>
      <c r="C224" s="7"/>
      <c r="D224" s="7"/>
      <c r="E224" s="7"/>
      <c r="F224" s="9">
        <v>2.54</v>
      </c>
    </row>
    <row r="225" spans="1:6" ht="15.75" thickBot="1">
      <c r="A225" s="7"/>
      <c r="B225" s="7" t="s">
        <v>259</v>
      </c>
      <c r="C225" s="7"/>
      <c r="D225" s="7"/>
      <c r="E225" s="7"/>
      <c r="F225" s="9">
        <v>1.2</v>
      </c>
    </row>
    <row r="226" spans="1:6" ht="15.75" thickBot="1">
      <c r="A226" s="7"/>
      <c r="B226" s="7" t="s">
        <v>260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261</v>
      </c>
      <c r="C227" s="7"/>
      <c r="D227" s="7"/>
      <c r="E227" s="7"/>
      <c r="F227" s="9">
        <v>1.4</v>
      </c>
    </row>
    <row r="228" spans="1:6" ht="15.75" thickBot="1">
      <c r="A228" s="7"/>
      <c r="B228" s="7" t="s">
        <v>262</v>
      </c>
      <c r="C228" s="7"/>
      <c r="D228" s="7"/>
      <c r="E228" s="7"/>
      <c r="F228" s="9">
        <v>2.2999999999999998</v>
      </c>
    </row>
    <row r="229" spans="1:6" ht="15.75" thickBot="1">
      <c r="A229" s="7"/>
      <c r="B229" s="7" t="s">
        <v>263</v>
      </c>
      <c r="C229" s="7"/>
      <c r="D229" s="7"/>
      <c r="E229" s="7"/>
      <c r="F229" s="9">
        <v>0.33</v>
      </c>
    </row>
    <row r="230" spans="1:6" ht="15.75" thickBot="1">
      <c r="A230" s="7"/>
      <c r="B230" s="7" t="s">
        <v>264</v>
      </c>
      <c r="C230" s="7"/>
      <c r="D230" s="7"/>
      <c r="E230" s="7"/>
      <c r="F230" s="9">
        <v>4.45</v>
      </c>
    </row>
    <row r="231" spans="1:6" ht="15.75" thickBot="1">
      <c r="A231" s="27"/>
      <c r="B231" s="27" t="s">
        <v>265</v>
      </c>
      <c r="C231" s="27"/>
      <c r="D231" s="27"/>
      <c r="E231" s="7"/>
      <c r="F231" s="9">
        <v>4.3</v>
      </c>
    </row>
    <row r="232" spans="1:6" ht="15.75" thickBot="1">
      <c r="A232" s="27"/>
      <c r="B232" s="27" t="s">
        <v>266</v>
      </c>
      <c r="C232" s="27"/>
      <c r="D232" s="27"/>
      <c r="E232" s="7"/>
      <c r="F232" s="9">
        <v>4.57</v>
      </c>
    </row>
    <row r="233" spans="1:6" ht="15.75" thickBot="1">
      <c r="A233" s="27"/>
      <c r="B233" s="27" t="s">
        <v>267</v>
      </c>
      <c r="C233" s="27"/>
      <c r="D233" s="27"/>
      <c r="E233" s="7"/>
      <c r="F233" s="9">
        <v>4.9000000000000004</v>
      </c>
    </row>
    <row r="234" spans="1:6" ht="15.75" thickBot="1">
      <c r="A234" s="27"/>
      <c r="B234" s="28" t="s">
        <v>268</v>
      </c>
      <c r="C234" s="28"/>
      <c r="D234" s="27"/>
      <c r="E234" s="7"/>
      <c r="F234" s="9">
        <v>1.67</v>
      </c>
    </row>
    <row r="235" spans="1:6" ht="15.75" thickBot="1">
      <c r="A235" s="27"/>
      <c r="B235" s="28" t="s">
        <v>269</v>
      </c>
      <c r="C235" s="28"/>
      <c r="D235" s="27"/>
      <c r="E235" s="7"/>
      <c r="F235" s="9">
        <v>2.5</v>
      </c>
    </row>
    <row r="236" spans="1:6" ht="15.75" thickBot="1">
      <c r="A236" s="27"/>
      <c r="B236" s="28" t="s">
        <v>270</v>
      </c>
      <c r="C236" s="28"/>
      <c r="D236" s="27"/>
      <c r="E236" s="7"/>
      <c r="F236" s="9">
        <v>1.78</v>
      </c>
    </row>
    <row r="237" spans="1:6" ht="15.75" thickBot="1">
      <c r="A237" s="27"/>
      <c r="B237" s="28" t="s">
        <v>271</v>
      </c>
      <c r="C237" s="28"/>
      <c r="D237" s="27"/>
      <c r="E237" s="7"/>
      <c r="F237" s="9">
        <v>1.7</v>
      </c>
    </row>
    <row r="238" spans="1:6" ht="15.75" thickBot="1">
      <c r="A238" s="27"/>
      <c r="B238" s="28" t="s">
        <v>272</v>
      </c>
      <c r="C238" s="28"/>
      <c r="D238" s="27"/>
      <c r="E238" s="7"/>
      <c r="F238" s="9">
        <v>7.6</v>
      </c>
    </row>
    <row r="239" spans="1:6">
      <c r="B239" t="s">
        <v>127</v>
      </c>
      <c r="F239">
        <v>2</v>
      </c>
    </row>
    <row r="240" spans="1:6">
      <c r="B240" t="s">
        <v>127</v>
      </c>
      <c r="F240">
        <v>2</v>
      </c>
    </row>
    <row r="241" spans="2:6">
      <c r="B241" t="s">
        <v>127</v>
      </c>
      <c r="F241">
        <v>2</v>
      </c>
    </row>
    <row r="242" spans="2:6">
      <c r="B242" t="s">
        <v>127</v>
      </c>
      <c r="F242">
        <v>2</v>
      </c>
    </row>
    <row r="243" spans="2:6">
      <c r="B243" t="s">
        <v>128</v>
      </c>
      <c r="F243">
        <v>1.74</v>
      </c>
    </row>
    <row r="244" spans="2:6">
      <c r="B244" t="s">
        <v>127</v>
      </c>
      <c r="F244">
        <v>2</v>
      </c>
    </row>
    <row r="245" spans="2:6">
      <c r="B245" t="s">
        <v>128</v>
      </c>
      <c r="F245">
        <v>1.74</v>
      </c>
    </row>
    <row r="246" spans="2:6">
      <c r="B246" t="s">
        <v>129</v>
      </c>
      <c r="F246">
        <v>1.8</v>
      </c>
    </row>
    <row r="247" spans="2:6">
      <c r="B247" t="s">
        <v>127</v>
      </c>
      <c r="F247">
        <v>2</v>
      </c>
    </row>
    <row r="248" spans="2:6">
      <c r="B248" t="s">
        <v>130</v>
      </c>
      <c r="F248">
        <v>1.8</v>
      </c>
    </row>
    <row r="249" spans="2:6">
      <c r="B249" t="s">
        <v>131</v>
      </c>
      <c r="F249">
        <v>1.26</v>
      </c>
    </row>
    <row r="250" spans="2:6">
      <c r="B250" t="s">
        <v>132</v>
      </c>
      <c r="F250">
        <v>1.26</v>
      </c>
    </row>
    <row r="251" spans="2:6">
      <c r="B251" t="s">
        <v>133</v>
      </c>
      <c r="F251">
        <v>1.26</v>
      </c>
    </row>
    <row r="252" spans="2:6">
      <c r="B252" t="s">
        <v>134</v>
      </c>
      <c r="F252">
        <v>1.26</v>
      </c>
    </row>
    <row r="253" spans="2:6">
      <c r="B253" t="s">
        <v>135</v>
      </c>
      <c r="F253">
        <v>1.17</v>
      </c>
    </row>
    <row r="254" spans="2:6">
      <c r="B254" t="s">
        <v>136</v>
      </c>
      <c r="F254">
        <v>1.8</v>
      </c>
    </row>
    <row r="255" spans="2:6">
      <c r="B255" t="s">
        <v>137</v>
      </c>
      <c r="F255">
        <v>1.35</v>
      </c>
    </row>
    <row r="256" spans="2:6">
      <c r="B256" t="s">
        <v>138</v>
      </c>
      <c r="F256">
        <v>1.1000000000000001</v>
      </c>
    </row>
    <row r="257" spans="2:6">
      <c r="B257" t="s">
        <v>139</v>
      </c>
      <c r="F257">
        <v>1.2</v>
      </c>
    </row>
    <row r="258" spans="2:6">
      <c r="B258" t="s">
        <v>140</v>
      </c>
      <c r="F258">
        <v>1.26</v>
      </c>
    </row>
    <row r="259" spans="2:6">
      <c r="B259" t="s">
        <v>141</v>
      </c>
      <c r="F259">
        <v>1.27</v>
      </c>
    </row>
    <row r="260" spans="2:6">
      <c r="B260" t="s">
        <v>141</v>
      </c>
      <c r="F260">
        <v>1.27</v>
      </c>
    </row>
    <row r="261" spans="2:6">
      <c r="B261" t="s">
        <v>142</v>
      </c>
      <c r="F261">
        <v>1.3</v>
      </c>
    </row>
    <row r="262" spans="2:6">
      <c r="B262" t="s">
        <v>143</v>
      </c>
      <c r="F262">
        <v>1.4</v>
      </c>
    </row>
    <row r="263" spans="2:6">
      <c r="B263" t="s">
        <v>144</v>
      </c>
      <c r="F263">
        <v>1.4</v>
      </c>
    </row>
    <row r="264" spans="2:6">
      <c r="B264" t="s">
        <v>145</v>
      </c>
      <c r="F264">
        <v>3.26</v>
      </c>
    </row>
    <row r="265" spans="2:6">
      <c r="B265" t="s">
        <v>146</v>
      </c>
      <c r="F265">
        <v>5.23</v>
      </c>
    </row>
    <row r="266" spans="2:6">
      <c r="B266" t="s">
        <v>147</v>
      </c>
      <c r="F266">
        <v>7.5</v>
      </c>
    </row>
    <row r="267" spans="2:6">
      <c r="B267" t="s">
        <v>148</v>
      </c>
      <c r="F267">
        <v>6.6</v>
      </c>
    </row>
    <row r="268" spans="2:6">
      <c r="B268" t="s">
        <v>149</v>
      </c>
      <c r="F268">
        <v>1.3</v>
      </c>
    </row>
    <row r="269" spans="2:6">
      <c r="B269" t="s">
        <v>150</v>
      </c>
      <c r="F269">
        <v>7.65</v>
      </c>
    </row>
    <row r="270" spans="2:6">
      <c r="B270" t="s">
        <v>151</v>
      </c>
      <c r="F270">
        <v>5.26</v>
      </c>
    </row>
    <row r="271" spans="2:6">
      <c r="B271" t="s">
        <v>152</v>
      </c>
      <c r="F271">
        <v>9</v>
      </c>
    </row>
    <row r="272" spans="2:6">
      <c r="B272" t="s">
        <v>153</v>
      </c>
      <c r="F272">
        <v>2.2999999999999998</v>
      </c>
    </row>
    <row r="273" spans="2:6">
      <c r="B273" t="s">
        <v>154</v>
      </c>
      <c r="F273">
        <v>2.2999999999999998</v>
      </c>
    </row>
    <row r="274" spans="2:6">
      <c r="B274" t="s">
        <v>155</v>
      </c>
      <c r="F274">
        <v>5.26</v>
      </c>
    </row>
    <row r="275" spans="2:6">
      <c r="B275" t="s">
        <v>156</v>
      </c>
      <c r="F275">
        <v>9.4</v>
      </c>
    </row>
    <row r="276" spans="2:6">
      <c r="B276" t="s">
        <v>157</v>
      </c>
      <c r="F276">
        <v>5.9</v>
      </c>
    </row>
    <row r="277" spans="2:6">
      <c r="B277" t="s">
        <v>158</v>
      </c>
      <c r="F277">
        <v>5.26</v>
      </c>
    </row>
    <row r="278" spans="2:6">
      <c r="B278" t="s">
        <v>159</v>
      </c>
      <c r="F278">
        <v>1.3</v>
      </c>
    </row>
    <row r="279" spans="2:6">
      <c r="B279" t="s">
        <v>160</v>
      </c>
      <c r="F279">
        <v>3</v>
      </c>
    </row>
    <row r="280" spans="2:6">
      <c r="B280" t="s">
        <v>161</v>
      </c>
      <c r="F280">
        <v>3</v>
      </c>
    </row>
    <row r="281" spans="2:6">
      <c r="B281" t="s">
        <v>162</v>
      </c>
      <c r="F281">
        <v>5.2</v>
      </c>
    </row>
    <row r="282" spans="2:6">
      <c r="B282" t="s">
        <v>163</v>
      </c>
      <c r="F282">
        <v>4.25</v>
      </c>
    </row>
    <row r="283" spans="2:6">
      <c r="B283" t="s">
        <v>164</v>
      </c>
      <c r="F283">
        <v>3.33</v>
      </c>
    </row>
    <row r="284" spans="2:6">
      <c r="B284" t="s">
        <v>165</v>
      </c>
      <c r="F284">
        <v>2.8</v>
      </c>
    </row>
    <row r="285" spans="2:6">
      <c r="B285" t="s">
        <v>166</v>
      </c>
      <c r="F285">
        <v>1.7</v>
      </c>
    </row>
    <row r="286" spans="2:6">
      <c r="B286" t="s">
        <v>167</v>
      </c>
      <c r="F286">
        <v>1.48</v>
      </c>
    </row>
    <row r="287" spans="2:6">
      <c r="B287" t="s">
        <v>168</v>
      </c>
      <c r="F287">
        <v>3.33</v>
      </c>
    </row>
    <row r="288" spans="2:6">
      <c r="B288" t="s">
        <v>169</v>
      </c>
      <c r="F288">
        <v>0.75</v>
      </c>
    </row>
    <row r="289" spans="2:6">
      <c r="B289" t="s">
        <v>170</v>
      </c>
      <c r="F289">
        <v>4.25</v>
      </c>
    </row>
    <row r="290" spans="2:6">
      <c r="B290" t="s">
        <v>171</v>
      </c>
      <c r="F290">
        <v>1.44</v>
      </c>
    </row>
    <row r="291" spans="2:6">
      <c r="B291" t="s">
        <v>172</v>
      </c>
      <c r="F291">
        <v>1.1299999999999999</v>
      </c>
    </row>
    <row r="292" spans="2:6">
      <c r="B292" t="s">
        <v>173</v>
      </c>
      <c r="F292">
        <v>1.1299999999999999</v>
      </c>
    </row>
    <row r="293" spans="2:6">
      <c r="B293" t="s">
        <v>174</v>
      </c>
      <c r="F293">
        <v>1.5</v>
      </c>
    </row>
    <row r="294" spans="2:6">
      <c r="B294" t="s">
        <v>175</v>
      </c>
      <c r="F294">
        <v>1.46</v>
      </c>
    </row>
    <row r="295" spans="2:6">
      <c r="B295" t="s">
        <v>176</v>
      </c>
      <c r="F295">
        <v>1.18</v>
      </c>
    </row>
    <row r="296" spans="2:6">
      <c r="B296" t="s">
        <v>177</v>
      </c>
      <c r="F296">
        <v>1.73</v>
      </c>
    </row>
    <row r="297" spans="2:6">
      <c r="B297" t="s">
        <v>178</v>
      </c>
      <c r="F297">
        <v>1.73</v>
      </c>
    </row>
    <row r="298" spans="2:6">
      <c r="B298" t="s">
        <v>179</v>
      </c>
      <c r="F298">
        <v>1.68</v>
      </c>
    </row>
    <row r="299" spans="2:6">
      <c r="B299" t="s">
        <v>180</v>
      </c>
      <c r="F299">
        <v>1.64</v>
      </c>
    </row>
    <row r="300" spans="2:6">
      <c r="B300" t="s">
        <v>181</v>
      </c>
      <c r="F300">
        <v>2.2999999999999998</v>
      </c>
    </row>
    <row r="301" spans="2:6">
      <c r="B301" t="s">
        <v>182</v>
      </c>
      <c r="F301">
        <v>1.96</v>
      </c>
    </row>
    <row r="302" spans="2:6">
      <c r="B302" t="s">
        <v>183</v>
      </c>
      <c r="F302">
        <v>1.7</v>
      </c>
    </row>
    <row r="303" spans="2:6">
      <c r="B303" t="s">
        <v>184</v>
      </c>
      <c r="F303">
        <v>2.7</v>
      </c>
    </row>
    <row r="304" spans="2:6">
      <c r="B304" t="s">
        <v>185</v>
      </c>
      <c r="F304">
        <v>2.74</v>
      </c>
    </row>
    <row r="305" spans="2:6">
      <c r="B305" t="s">
        <v>186</v>
      </c>
      <c r="F305">
        <v>2</v>
      </c>
    </row>
    <row r="306" spans="2:6">
      <c r="B306" t="s">
        <v>177</v>
      </c>
      <c r="F306">
        <v>1.73</v>
      </c>
    </row>
    <row r="307" spans="2:6">
      <c r="B307" t="s">
        <v>187</v>
      </c>
      <c r="F307">
        <v>1.68</v>
      </c>
    </row>
    <row r="308" spans="2:6">
      <c r="B308" t="s">
        <v>188</v>
      </c>
      <c r="F308">
        <v>1.64</v>
      </c>
    </row>
    <row r="309" spans="2:6">
      <c r="B309" t="s">
        <v>189</v>
      </c>
      <c r="F309">
        <v>2.2999999999999998</v>
      </c>
    </row>
    <row r="310" spans="2:6">
      <c r="B310" t="s">
        <v>190</v>
      </c>
      <c r="F310">
        <v>1.96</v>
      </c>
    </row>
    <row r="311" spans="2:6">
      <c r="B311" t="s">
        <v>191</v>
      </c>
      <c r="F311">
        <v>1.7</v>
      </c>
    </row>
    <row r="312" spans="2:6">
      <c r="B312" t="s">
        <v>192</v>
      </c>
      <c r="F312">
        <v>2.7</v>
      </c>
    </row>
    <row r="313" spans="2:6">
      <c r="B313" t="s">
        <v>193</v>
      </c>
      <c r="F313">
        <v>2.74</v>
      </c>
    </row>
    <row r="314" spans="2:6">
      <c r="B314" t="s">
        <v>194</v>
      </c>
      <c r="F314">
        <v>1.36</v>
      </c>
    </row>
    <row r="315" spans="2:6">
      <c r="B315" t="s">
        <v>195</v>
      </c>
      <c r="F315">
        <v>1.4</v>
      </c>
    </row>
    <row r="316" spans="2:6">
      <c r="B316" t="s">
        <v>196</v>
      </c>
      <c r="F316">
        <v>2.5</v>
      </c>
    </row>
    <row r="317" spans="2:6">
      <c r="B317" t="s">
        <v>197</v>
      </c>
      <c r="F317">
        <v>1.7</v>
      </c>
    </row>
    <row r="318" spans="2:6">
      <c r="B318" t="s">
        <v>198</v>
      </c>
      <c r="F318">
        <v>1.32</v>
      </c>
    </row>
    <row r="319" spans="2:6">
      <c r="B319" t="s">
        <v>199</v>
      </c>
      <c r="F319">
        <v>1.36</v>
      </c>
    </row>
    <row r="320" spans="2:6">
      <c r="B320" t="s">
        <v>200</v>
      </c>
      <c r="F320">
        <v>1.7</v>
      </c>
    </row>
    <row r="321" spans="2:6">
      <c r="B321" t="s">
        <v>201</v>
      </c>
      <c r="F321">
        <v>1.3</v>
      </c>
    </row>
    <row r="322" spans="2:6">
      <c r="B322" t="s">
        <v>202</v>
      </c>
      <c r="F322">
        <v>1.8</v>
      </c>
    </row>
    <row r="323" spans="2:6">
      <c r="B323" t="s">
        <v>203</v>
      </c>
      <c r="F323">
        <v>1.32</v>
      </c>
    </row>
    <row r="324" spans="2:6">
      <c r="B324" t="s">
        <v>204</v>
      </c>
      <c r="F324">
        <v>1.27</v>
      </c>
    </row>
    <row r="325" spans="2:6">
      <c r="B325" t="s">
        <v>205</v>
      </c>
      <c r="F325">
        <v>1.4</v>
      </c>
    </row>
    <row r="326" spans="2:6">
      <c r="B326" t="s">
        <v>202</v>
      </c>
      <c r="F326">
        <v>1.8</v>
      </c>
    </row>
    <row r="327" spans="2:6">
      <c r="B327" t="s">
        <v>206</v>
      </c>
      <c r="F327">
        <v>1.4</v>
      </c>
    </row>
    <row r="328" spans="2:6">
      <c r="B328" t="s">
        <v>207</v>
      </c>
      <c r="F328">
        <v>2.63</v>
      </c>
    </row>
    <row r="329" spans="2:6">
      <c r="B329" t="s">
        <v>208</v>
      </c>
      <c r="F329">
        <v>2.63</v>
      </c>
    </row>
    <row r="330" spans="2:6">
      <c r="B330" t="s">
        <v>209</v>
      </c>
      <c r="F330">
        <v>2</v>
      </c>
    </row>
    <row r="331" spans="2:6">
      <c r="B331" t="s">
        <v>210</v>
      </c>
      <c r="F331">
        <v>1.8</v>
      </c>
    </row>
    <row r="332" spans="2:6">
      <c r="B332" t="s">
        <v>211</v>
      </c>
      <c r="F332">
        <v>2.2000000000000002</v>
      </c>
    </row>
    <row r="333" spans="2:6">
      <c r="B333" t="s">
        <v>212</v>
      </c>
      <c r="F333">
        <v>2.63</v>
      </c>
    </row>
    <row r="334" spans="2:6">
      <c r="B334" t="s">
        <v>213</v>
      </c>
      <c r="F334">
        <v>2</v>
      </c>
    </row>
    <row r="335" spans="2:6">
      <c r="B335" t="s">
        <v>214</v>
      </c>
      <c r="F335">
        <v>1.47</v>
      </c>
    </row>
    <row r="336" spans="2:6">
      <c r="B336" t="s">
        <v>215</v>
      </c>
      <c r="F336">
        <v>1.36</v>
      </c>
    </row>
    <row r="337" spans="2:6">
      <c r="B337" t="s">
        <v>216</v>
      </c>
      <c r="F337">
        <v>1.47</v>
      </c>
    </row>
    <row r="338" spans="2:6">
      <c r="B338" t="s">
        <v>217</v>
      </c>
      <c r="F338">
        <v>1.53</v>
      </c>
    </row>
    <row r="339" spans="2:6">
      <c r="B339" t="s">
        <v>218</v>
      </c>
      <c r="F339">
        <v>1.24</v>
      </c>
    </row>
    <row r="340" spans="2:6">
      <c r="B340" t="s">
        <v>219</v>
      </c>
      <c r="F340">
        <v>1.47</v>
      </c>
    </row>
    <row r="341" spans="2:6">
      <c r="B341" t="s">
        <v>220</v>
      </c>
      <c r="F341">
        <v>1.55</v>
      </c>
    </row>
    <row r="342" spans="2:6">
      <c r="B342" t="s">
        <v>221</v>
      </c>
      <c r="F342">
        <v>1.75</v>
      </c>
    </row>
    <row r="343" spans="2:6">
      <c r="B343" t="s">
        <v>222</v>
      </c>
      <c r="F343">
        <v>1.7</v>
      </c>
    </row>
    <row r="344" spans="2:6">
      <c r="B344" t="s">
        <v>223</v>
      </c>
      <c r="F344">
        <v>1.3</v>
      </c>
    </row>
    <row r="345" spans="2:6">
      <c r="B345" t="s">
        <v>224</v>
      </c>
      <c r="F345">
        <v>1.53</v>
      </c>
    </row>
    <row r="346" spans="2:6">
      <c r="B346" t="s">
        <v>225</v>
      </c>
      <c r="F346">
        <v>1.27</v>
      </c>
    </row>
    <row r="347" spans="2:6">
      <c r="B347" t="s">
        <v>226</v>
      </c>
      <c r="F347">
        <v>1.3</v>
      </c>
    </row>
    <row r="348" spans="2:6">
      <c r="B348" t="s">
        <v>227</v>
      </c>
      <c r="F348">
        <v>1.4</v>
      </c>
    </row>
    <row r="349" spans="2:6">
      <c r="B349" t="s">
        <v>228</v>
      </c>
      <c r="F349">
        <v>1.4</v>
      </c>
    </row>
    <row r="350" spans="2:6">
      <c r="B350" t="s">
        <v>229</v>
      </c>
      <c r="F350">
        <v>1.44</v>
      </c>
    </row>
    <row r="351" spans="2:6">
      <c r="B351" t="s">
        <v>230</v>
      </c>
      <c r="F351">
        <v>1.1299999999999999</v>
      </c>
    </row>
    <row r="352" spans="2:6">
      <c r="B352" t="s">
        <v>231</v>
      </c>
      <c r="F352">
        <v>1.1299999999999999</v>
      </c>
    </row>
    <row r="353" spans="2:6">
      <c r="B353" t="s">
        <v>232</v>
      </c>
      <c r="F353">
        <v>1.5</v>
      </c>
    </row>
    <row r="354" spans="2:6">
      <c r="B354" t="s">
        <v>177</v>
      </c>
      <c r="F354">
        <v>1.73</v>
      </c>
    </row>
    <row r="355" spans="2:6">
      <c r="B355" t="s">
        <v>187</v>
      </c>
      <c r="F355">
        <v>1.68</v>
      </c>
    </row>
    <row r="356" spans="2:6">
      <c r="B356" t="s">
        <v>188</v>
      </c>
      <c r="F356">
        <v>1.64</v>
      </c>
    </row>
    <row r="357" spans="2:6">
      <c r="B357" t="s">
        <v>189</v>
      </c>
      <c r="F357">
        <v>2.2999999999999998</v>
      </c>
    </row>
    <row r="358" spans="2:6">
      <c r="B358" t="s">
        <v>190</v>
      </c>
      <c r="F358">
        <v>1.96</v>
      </c>
    </row>
    <row r="359" spans="2:6">
      <c r="B359" t="s">
        <v>191</v>
      </c>
      <c r="F359">
        <v>1.7</v>
      </c>
    </row>
    <row r="360" spans="2:6">
      <c r="B360" t="s">
        <v>192</v>
      </c>
      <c r="F360">
        <v>2.7</v>
      </c>
    </row>
    <row r="361" spans="2:6">
      <c r="B361" t="s">
        <v>193</v>
      </c>
      <c r="F361">
        <v>2.74</v>
      </c>
    </row>
    <row r="362" spans="2:6">
      <c r="B362" t="s">
        <v>233</v>
      </c>
      <c r="F362">
        <v>1.36</v>
      </c>
    </row>
    <row r="363" spans="2:6">
      <c r="B363" t="s">
        <v>234</v>
      </c>
      <c r="F363">
        <v>2.5</v>
      </c>
    </row>
    <row r="364" spans="2:6">
      <c r="B364" t="s">
        <v>235</v>
      </c>
      <c r="F364">
        <v>1.7</v>
      </c>
    </row>
    <row r="365" spans="2:6">
      <c r="B365" t="s">
        <v>236</v>
      </c>
      <c r="F365">
        <v>1.32</v>
      </c>
    </row>
    <row r="366" spans="2:6">
      <c r="B366" t="s">
        <v>137</v>
      </c>
      <c r="F366">
        <v>1.36</v>
      </c>
    </row>
    <row r="367" spans="2:6">
      <c r="B367" t="s">
        <v>237</v>
      </c>
      <c r="F367">
        <v>1.7</v>
      </c>
    </row>
    <row r="368" spans="2:6">
      <c r="B368" t="s">
        <v>223</v>
      </c>
      <c r="F368">
        <v>1.3</v>
      </c>
    </row>
    <row r="369" spans="2:6">
      <c r="B369" t="s">
        <v>238</v>
      </c>
      <c r="F369">
        <v>1.32</v>
      </c>
    </row>
    <row r="370" spans="2:6">
      <c r="B370" t="s">
        <v>239</v>
      </c>
      <c r="F370">
        <v>1.27</v>
      </c>
    </row>
    <row r="371" spans="2:6">
      <c r="B371" t="s">
        <v>240</v>
      </c>
      <c r="F371">
        <v>1.4</v>
      </c>
    </row>
    <row r="372" spans="2:6">
      <c r="B372" t="s">
        <v>241</v>
      </c>
      <c r="F372">
        <v>2.63</v>
      </c>
    </row>
    <row r="373" spans="2:6">
      <c r="B373" t="s">
        <v>242</v>
      </c>
      <c r="F373">
        <v>2.63</v>
      </c>
    </row>
    <row r="374" spans="2:6">
      <c r="B374" t="s">
        <v>243</v>
      </c>
      <c r="F374">
        <v>2</v>
      </c>
    </row>
    <row r="375" spans="2:6">
      <c r="B375" t="s">
        <v>244</v>
      </c>
      <c r="F375">
        <v>1.8</v>
      </c>
    </row>
    <row r="376" spans="2:6">
      <c r="B376" t="s">
        <v>212</v>
      </c>
      <c r="F376">
        <v>2.63</v>
      </c>
    </row>
    <row r="377" spans="2:6">
      <c r="B377" t="s">
        <v>245</v>
      </c>
      <c r="F377">
        <v>1.47</v>
      </c>
    </row>
    <row r="378" spans="2:6">
      <c r="B378" t="s">
        <v>246</v>
      </c>
      <c r="F378">
        <v>1.36</v>
      </c>
    </row>
    <row r="379" spans="2:6">
      <c r="B379" t="s">
        <v>247</v>
      </c>
      <c r="F379">
        <v>1.47</v>
      </c>
    </row>
    <row r="380" spans="2:6">
      <c r="B380" t="s">
        <v>224</v>
      </c>
      <c r="F380">
        <v>1.53</v>
      </c>
    </row>
    <row r="381" spans="2:6">
      <c r="B381" t="s">
        <v>248</v>
      </c>
      <c r="F381">
        <v>1.24</v>
      </c>
    </row>
    <row r="382" spans="2:6">
      <c r="B382" t="s">
        <v>249</v>
      </c>
      <c r="F382">
        <v>1.47</v>
      </c>
    </row>
    <row r="383" spans="2:6">
      <c r="B383" t="s">
        <v>250</v>
      </c>
      <c r="F383">
        <v>1.75</v>
      </c>
    </row>
    <row r="384" spans="2:6">
      <c r="B384" t="s">
        <v>251</v>
      </c>
      <c r="F384">
        <v>1.9</v>
      </c>
    </row>
    <row r="385" spans="2:6">
      <c r="B385" t="s">
        <v>252</v>
      </c>
      <c r="F385">
        <v>1.9</v>
      </c>
    </row>
    <row r="386" spans="2:6">
      <c r="B386" t="s">
        <v>253</v>
      </c>
      <c r="F386">
        <v>1.9</v>
      </c>
    </row>
    <row r="387" spans="2:6">
      <c r="B387" t="s">
        <v>254</v>
      </c>
      <c r="F387">
        <v>1.5</v>
      </c>
    </row>
    <row r="388" spans="2:6">
      <c r="B388" t="s">
        <v>255</v>
      </c>
      <c r="F388">
        <v>1.9</v>
      </c>
    </row>
    <row r="389" spans="2:6">
      <c r="B389" t="s">
        <v>256</v>
      </c>
      <c r="F389">
        <v>0.78</v>
      </c>
    </row>
    <row r="390" spans="2:6">
      <c r="B390" t="s">
        <v>257</v>
      </c>
      <c r="F390">
        <v>1.5</v>
      </c>
    </row>
    <row r="391" spans="2:6">
      <c r="B391" t="s">
        <v>258</v>
      </c>
      <c r="F391">
        <v>2.54</v>
      </c>
    </row>
    <row r="392" spans="2:6">
      <c r="B392" t="s">
        <v>259</v>
      </c>
      <c r="F392">
        <v>1.2</v>
      </c>
    </row>
    <row r="393" spans="2:6">
      <c r="B393" t="s">
        <v>260</v>
      </c>
      <c r="F393">
        <v>1.2</v>
      </c>
    </row>
    <row r="394" spans="2:6">
      <c r="B394" t="s">
        <v>261</v>
      </c>
      <c r="F394">
        <v>1.4</v>
      </c>
    </row>
    <row r="395" spans="2:6">
      <c r="B395" t="s">
        <v>262</v>
      </c>
      <c r="F395">
        <v>2.2999999999999998</v>
      </c>
    </row>
    <row r="396" spans="2:6">
      <c r="B396" t="s">
        <v>263</v>
      </c>
      <c r="F396">
        <v>0.33</v>
      </c>
    </row>
    <row r="397" spans="2:6">
      <c r="B397" t="s">
        <v>264</v>
      </c>
      <c r="F397">
        <v>4.45</v>
      </c>
    </row>
    <row r="398" spans="2:6">
      <c r="B398" t="s">
        <v>265</v>
      </c>
      <c r="F398">
        <v>4.3</v>
      </c>
    </row>
    <row r="399" spans="2:6">
      <c r="B399" t="s">
        <v>266</v>
      </c>
      <c r="F399">
        <v>4.57</v>
      </c>
    </row>
    <row r="400" spans="2:6">
      <c r="B400" t="s">
        <v>267</v>
      </c>
      <c r="F400">
        <v>4.9000000000000004</v>
      </c>
    </row>
    <row r="401" spans="2:6">
      <c r="B401" t="s">
        <v>268</v>
      </c>
      <c r="F401">
        <v>1.67</v>
      </c>
    </row>
    <row r="402" spans="2:6">
      <c r="B402" t="s">
        <v>269</v>
      </c>
      <c r="F402">
        <v>2.5</v>
      </c>
    </row>
    <row r="403" spans="2:6">
      <c r="B403" t="s">
        <v>270</v>
      </c>
      <c r="F403">
        <v>1.78</v>
      </c>
    </row>
    <row r="404" spans="2:6">
      <c r="B404" t="s">
        <v>271</v>
      </c>
      <c r="F404">
        <v>1.7</v>
      </c>
    </row>
    <row r="405" spans="2:6">
      <c r="B405" t="s">
        <v>272</v>
      </c>
      <c r="F405">
        <v>7.6</v>
      </c>
    </row>
    <row r="406" spans="2:6">
      <c r="B406" t="s">
        <v>302</v>
      </c>
      <c r="F406">
        <v>1.92</v>
      </c>
    </row>
    <row r="407" spans="2:6">
      <c r="B407" t="s">
        <v>303</v>
      </c>
      <c r="F407">
        <v>1.55</v>
      </c>
    </row>
    <row r="408" spans="2:6">
      <c r="B408" t="s">
        <v>304</v>
      </c>
      <c r="F408">
        <v>1.36</v>
      </c>
    </row>
    <row r="409" spans="2:6">
      <c r="B409" t="s">
        <v>305</v>
      </c>
      <c r="F409">
        <v>1.87</v>
      </c>
    </row>
    <row r="410" spans="2:6">
      <c r="B410" t="s">
        <v>306</v>
      </c>
      <c r="F410">
        <v>1.6</v>
      </c>
    </row>
    <row r="411" spans="2:6">
      <c r="B411" t="s">
        <v>307</v>
      </c>
      <c r="F411">
        <v>1.86</v>
      </c>
    </row>
    <row r="412" spans="2:6">
      <c r="B412" t="s">
        <v>308</v>
      </c>
      <c r="F412">
        <v>1.78</v>
      </c>
    </row>
    <row r="413" spans="2:6">
      <c r="B413" t="s">
        <v>309</v>
      </c>
      <c r="F413">
        <v>1.96</v>
      </c>
    </row>
    <row r="414" spans="2:6">
      <c r="B414" t="s">
        <v>310</v>
      </c>
      <c r="F414">
        <v>1.6</v>
      </c>
    </row>
    <row r="415" spans="2:6">
      <c r="B415" t="s">
        <v>311</v>
      </c>
      <c r="F415">
        <v>1.7</v>
      </c>
    </row>
    <row r="416" spans="2:6">
      <c r="B416" t="s">
        <v>312</v>
      </c>
      <c r="F416">
        <v>1.63</v>
      </c>
    </row>
    <row r="417" spans="2:6">
      <c r="B417" t="s">
        <v>313</v>
      </c>
      <c r="F417">
        <v>2.2000000000000002</v>
      </c>
    </row>
    <row r="418" spans="2:6">
      <c r="B418" t="s">
        <v>314</v>
      </c>
      <c r="F418">
        <v>2.2999999999999998</v>
      </c>
    </row>
    <row r="419" spans="2:6">
      <c r="B419" t="s">
        <v>315</v>
      </c>
      <c r="F419">
        <v>1.1200000000000001</v>
      </c>
    </row>
    <row r="420" spans="2:6">
      <c r="B420" t="s">
        <v>316</v>
      </c>
      <c r="F420">
        <v>1.55</v>
      </c>
    </row>
    <row r="421" spans="2:6">
      <c r="B421" t="s">
        <v>317</v>
      </c>
      <c r="F421">
        <v>1.36</v>
      </c>
    </row>
    <row r="422" spans="2:6">
      <c r="B422" t="s">
        <v>305</v>
      </c>
      <c r="F422">
        <v>1.87</v>
      </c>
    </row>
    <row r="423" spans="2:6">
      <c r="B423" t="s">
        <v>306</v>
      </c>
      <c r="F423">
        <v>1.6</v>
      </c>
    </row>
    <row r="424" spans="2:6">
      <c r="B424" t="s">
        <v>318</v>
      </c>
      <c r="F424">
        <v>1.86</v>
      </c>
    </row>
    <row r="425" spans="2:6">
      <c r="B425" t="s">
        <v>319</v>
      </c>
      <c r="F425">
        <v>1.78</v>
      </c>
    </row>
    <row r="426" spans="2:6">
      <c r="B426" t="s">
        <v>320</v>
      </c>
      <c r="F426">
        <v>1.96</v>
      </c>
    </row>
    <row r="427" spans="2:6">
      <c r="B427" t="s">
        <v>321</v>
      </c>
      <c r="F427">
        <v>1.6</v>
      </c>
    </row>
    <row r="428" spans="2:6">
      <c r="B428" t="s">
        <v>322</v>
      </c>
      <c r="F428">
        <v>1.7</v>
      </c>
    </row>
    <row r="429" spans="2:6">
      <c r="B429" t="s">
        <v>323</v>
      </c>
      <c r="F429">
        <v>1.63</v>
      </c>
    </row>
    <row r="430" spans="2:6">
      <c r="B430" t="s">
        <v>324</v>
      </c>
      <c r="F430">
        <v>2.2000000000000002</v>
      </c>
    </row>
    <row r="431" spans="2:6">
      <c r="B431" t="s">
        <v>314</v>
      </c>
      <c r="F431">
        <v>2.2999999999999998</v>
      </c>
    </row>
    <row r="432" spans="2:6">
      <c r="B432" t="s">
        <v>325</v>
      </c>
      <c r="F432">
        <v>1.1200000000000001</v>
      </c>
    </row>
    <row r="433" spans="2:6">
      <c r="B433" t="s">
        <v>326</v>
      </c>
      <c r="F433">
        <v>2.2999999999999998</v>
      </c>
    </row>
    <row r="434" spans="2:6">
      <c r="B434" t="s">
        <v>301</v>
      </c>
      <c r="F434">
        <v>1.6</v>
      </c>
    </row>
    <row r="435" spans="2:6">
      <c r="B435" t="s">
        <v>327</v>
      </c>
      <c r="F435">
        <v>1.6</v>
      </c>
    </row>
    <row r="436" spans="2:6">
      <c r="B436" t="s">
        <v>328</v>
      </c>
      <c r="F436">
        <v>1.76</v>
      </c>
    </row>
    <row r="437" spans="2:6">
      <c r="B437" t="s">
        <v>329</v>
      </c>
      <c r="F437">
        <v>2</v>
      </c>
    </row>
    <row r="438" spans="2:6">
      <c r="B438" t="s">
        <v>48</v>
      </c>
      <c r="F438">
        <v>1.48</v>
      </c>
    </row>
    <row r="439" spans="2:6">
      <c r="B439" t="s">
        <v>53</v>
      </c>
      <c r="F439">
        <v>1.53</v>
      </c>
    </row>
    <row r="440" spans="2:6">
      <c r="B440" t="s">
        <v>46</v>
      </c>
      <c r="F440">
        <v>1.37</v>
      </c>
    </row>
    <row r="441" spans="2:6">
      <c r="B441" t="s">
        <v>55</v>
      </c>
      <c r="F441">
        <v>1.48</v>
      </c>
    </row>
    <row r="442" spans="2:6">
      <c r="B442" t="s">
        <v>330</v>
      </c>
      <c r="F442">
        <v>1.3</v>
      </c>
    </row>
    <row r="443" spans="2:6">
      <c r="B443" t="s">
        <v>331</v>
      </c>
      <c r="F443">
        <v>1.54</v>
      </c>
    </row>
    <row r="444" spans="2:6">
      <c r="B444" t="s">
        <v>332</v>
      </c>
      <c r="F444">
        <v>1.3</v>
      </c>
    </row>
    <row r="445" spans="2:6">
      <c r="B445" t="s">
        <v>333</v>
      </c>
      <c r="F445">
        <v>1.55</v>
      </c>
    </row>
    <row r="446" spans="2:6">
      <c r="B446" t="s">
        <v>334</v>
      </c>
      <c r="F446">
        <v>1.8</v>
      </c>
    </row>
    <row r="447" spans="2:6">
      <c r="B447" t="s">
        <v>335</v>
      </c>
      <c r="F447">
        <v>1.9</v>
      </c>
    </row>
    <row r="448" spans="2:6">
      <c r="B448" t="s">
        <v>336</v>
      </c>
      <c r="F448">
        <v>1.25</v>
      </c>
    </row>
    <row r="449" spans="2:6">
      <c r="B449" t="s">
        <v>52</v>
      </c>
      <c r="F449">
        <v>2</v>
      </c>
    </row>
    <row r="450" spans="2:6">
      <c r="B450" t="s">
        <v>49</v>
      </c>
      <c r="F450">
        <v>2</v>
      </c>
    </row>
    <row r="451" spans="2:6">
      <c r="B451" t="s">
        <v>47</v>
      </c>
      <c r="F451">
        <v>2.1</v>
      </c>
    </row>
    <row r="452" spans="2:6">
      <c r="B452" t="s">
        <v>337</v>
      </c>
      <c r="F452">
        <v>1.7</v>
      </c>
    </row>
    <row r="453" spans="2:6">
      <c r="B453" t="s">
        <v>338</v>
      </c>
      <c r="F453">
        <v>1.2</v>
      </c>
    </row>
    <row r="454" spans="2:6">
      <c r="B454" t="s">
        <v>339</v>
      </c>
      <c r="F454">
        <v>5.0999999999999996</v>
      </c>
    </row>
    <row r="455" spans="2:6">
      <c r="B455" t="s">
        <v>340</v>
      </c>
      <c r="F455">
        <v>6.6</v>
      </c>
    </row>
    <row r="456" spans="2:6">
      <c r="B456" t="s">
        <v>341</v>
      </c>
      <c r="F456">
        <v>4.38</v>
      </c>
    </row>
    <row r="457" spans="2:6">
      <c r="B457" t="s">
        <v>342</v>
      </c>
      <c r="F457">
        <v>5</v>
      </c>
    </row>
    <row r="458" spans="2:6">
      <c r="B458" t="s">
        <v>343</v>
      </c>
      <c r="F458">
        <v>3.3</v>
      </c>
    </row>
    <row r="459" spans="2:6">
      <c r="B459" t="s">
        <v>344</v>
      </c>
      <c r="F459">
        <v>2</v>
      </c>
    </row>
    <row r="460" spans="2:6">
      <c r="B460" t="s">
        <v>345</v>
      </c>
      <c r="F460">
        <v>2</v>
      </c>
    </row>
    <row r="461" spans="2:6">
      <c r="B461" t="s">
        <v>346</v>
      </c>
      <c r="F461">
        <v>2</v>
      </c>
    </row>
    <row r="462" spans="2:6">
      <c r="B462" t="s">
        <v>347</v>
      </c>
      <c r="F462">
        <v>1.8</v>
      </c>
    </row>
    <row r="463" spans="2:6">
      <c r="B463" t="s">
        <v>348</v>
      </c>
      <c r="F463">
        <v>1.8</v>
      </c>
    </row>
    <row r="464" spans="2:6">
      <c r="B464" t="s">
        <v>349</v>
      </c>
      <c r="F464">
        <v>1.45</v>
      </c>
    </row>
    <row r="465" spans="2:6">
      <c r="B465" t="s">
        <v>350</v>
      </c>
      <c r="F465">
        <v>1.25</v>
      </c>
    </row>
    <row r="466" spans="2:6">
      <c r="B466" t="s">
        <v>351</v>
      </c>
      <c r="F466">
        <v>1.5</v>
      </c>
    </row>
    <row r="467" spans="2:6">
      <c r="B467" t="s">
        <v>352</v>
      </c>
      <c r="F467">
        <v>1.6</v>
      </c>
    </row>
    <row r="468" spans="2:6">
      <c r="B468" t="s">
        <v>353</v>
      </c>
      <c r="F468">
        <v>1.7</v>
      </c>
    </row>
    <row r="469" spans="2:6">
      <c r="B469" t="s">
        <v>354</v>
      </c>
      <c r="F469">
        <v>1.2</v>
      </c>
    </row>
    <row r="470" spans="2:6">
      <c r="B470" t="s">
        <v>355</v>
      </c>
      <c r="F470">
        <v>1.4</v>
      </c>
    </row>
    <row r="471" spans="2:6">
      <c r="B471" t="s">
        <v>356</v>
      </c>
      <c r="F471">
        <v>1.33</v>
      </c>
    </row>
    <row r="472" spans="2:6">
      <c r="B472" t="s">
        <v>357</v>
      </c>
      <c r="F472">
        <v>1.4</v>
      </c>
    </row>
    <row r="473" spans="2:6">
      <c r="B473" t="s">
        <v>358</v>
      </c>
      <c r="F473">
        <v>1.17</v>
      </c>
    </row>
    <row r="474" spans="2:6">
      <c r="B474" t="s">
        <v>359</v>
      </c>
      <c r="F474">
        <v>1.25</v>
      </c>
    </row>
    <row r="475" spans="2:6">
      <c r="B475" t="s">
        <v>360</v>
      </c>
      <c r="F475">
        <v>1.58</v>
      </c>
    </row>
    <row r="476" spans="2:6">
      <c r="B476" t="s">
        <v>361</v>
      </c>
      <c r="F476">
        <v>2.37</v>
      </c>
    </row>
    <row r="477" spans="2:6">
      <c r="B477" t="s">
        <v>362</v>
      </c>
      <c r="F477">
        <v>1.1200000000000001</v>
      </c>
    </row>
    <row r="478" spans="2:6">
      <c r="B478" t="s">
        <v>363</v>
      </c>
      <c r="F478">
        <v>1.36</v>
      </c>
    </row>
    <row r="479" spans="2:6">
      <c r="B479" t="s">
        <v>364</v>
      </c>
      <c r="F479">
        <v>1.3</v>
      </c>
    </row>
    <row r="480" spans="2:6">
      <c r="B480" t="s">
        <v>365</v>
      </c>
      <c r="F480">
        <v>3.15</v>
      </c>
    </row>
    <row r="481" spans="2:6">
      <c r="B481" t="s">
        <v>366</v>
      </c>
      <c r="F481">
        <v>3.5</v>
      </c>
    </row>
    <row r="482" spans="2:6">
      <c r="B482" t="s">
        <v>367</v>
      </c>
      <c r="F482">
        <v>4.5</v>
      </c>
    </row>
    <row r="483" spans="2:6">
      <c r="B483" t="s">
        <v>368</v>
      </c>
      <c r="F483">
        <v>3.18</v>
      </c>
    </row>
    <row r="484" spans="2:6">
      <c r="B484" t="s">
        <v>369</v>
      </c>
      <c r="F484">
        <v>5</v>
      </c>
    </row>
    <row r="485" spans="2:6">
      <c r="B485" t="s">
        <v>370</v>
      </c>
      <c r="F485">
        <v>3.4</v>
      </c>
    </row>
    <row r="486" spans="2:6">
      <c r="B486" t="s">
        <v>371</v>
      </c>
      <c r="F486">
        <v>1.82</v>
      </c>
    </row>
    <row r="487" spans="2:6">
      <c r="B487" t="s">
        <v>372</v>
      </c>
      <c r="F487">
        <v>1.36</v>
      </c>
    </row>
    <row r="488" spans="2:6">
      <c r="B488" t="s">
        <v>373</v>
      </c>
      <c r="F488">
        <v>1.39</v>
      </c>
    </row>
    <row r="489" spans="2:6">
      <c r="B489" t="s">
        <v>374</v>
      </c>
      <c r="F489">
        <v>1.33</v>
      </c>
    </row>
    <row r="490" spans="2:6">
      <c r="B490" t="s">
        <v>375</v>
      </c>
      <c r="F490">
        <v>3.05</v>
      </c>
    </row>
    <row r="491" spans="2:6">
      <c r="B491" t="s">
        <v>376</v>
      </c>
      <c r="F491">
        <v>3</v>
      </c>
    </row>
    <row r="492" spans="2:6">
      <c r="B492" t="s">
        <v>377</v>
      </c>
      <c r="F492">
        <v>1.69</v>
      </c>
    </row>
    <row r="493" spans="2:6">
      <c r="B493" t="s">
        <v>378</v>
      </c>
      <c r="F493">
        <v>1.59</v>
      </c>
    </row>
    <row r="494" spans="2:6">
      <c r="B494" t="s">
        <v>379</v>
      </c>
      <c r="F494">
        <v>1.59</v>
      </c>
    </row>
    <row r="495" spans="2:6">
      <c r="B495" t="s">
        <v>380</v>
      </c>
      <c r="F495">
        <v>1.61</v>
      </c>
    </row>
    <row r="496" spans="2:6">
      <c r="B496" t="s">
        <v>381</v>
      </c>
      <c r="F496">
        <v>2.35</v>
      </c>
    </row>
    <row r="497" spans="2:6">
      <c r="B497" t="s">
        <v>382</v>
      </c>
      <c r="F497">
        <v>1.84</v>
      </c>
    </row>
    <row r="498" spans="2:6">
      <c r="B498" t="s">
        <v>383</v>
      </c>
      <c r="F498">
        <v>1.74</v>
      </c>
    </row>
    <row r="499" spans="2:6">
      <c r="B499" t="s">
        <v>384</v>
      </c>
      <c r="F499">
        <v>1.81</v>
      </c>
    </row>
    <row r="500" spans="2:6">
      <c r="B500" t="s">
        <v>385</v>
      </c>
      <c r="F500">
        <v>2.14</v>
      </c>
    </row>
    <row r="501" spans="2:6">
      <c r="B501" t="s">
        <v>386</v>
      </c>
      <c r="F501">
        <v>1.78</v>
      </c>
    </row>
    <row r="502" spans="2:6">
      <c r="B502" t="s">
        <v>387</v>
      </c>
      <c r="F502">
        <v>1.78</v>
      </c>
    </row>
    <row r="503" spans="2:6">
      <c r="B503" t="s">
        <v>388</v>
      </c>
      <c r="F503">
        <v>6.3</v>
      </c>
    </row>
    <row r="504" spans="2:6">
      <c r="B504" t="s">
        <v>389</v>
      </c>
      <c r="F504">
        <v>2.8</v>
      </c>
    </row>
    <row r="505" spans="2:6">
      <c r="B505" t="s">
        <v>390</v>
      </c>
      <c r="F505">
        <v>2.89</v>
      </c>
    </row>
    <row r="506" spans="2:6">
      <c r="B506" t="s">
        <v>345</v>
      </c>
      <c r="F506">
        <v>2.0499999999999998</v>
      </c>
    </row>
    <row r="507" spans="2:6">
      <c r="B507" t="s">
        <v>391</v>
      </c>
      <c r="F507">
        <v>1.32</v>
      </c>
    </row>
    <row r="508" spans="2:6">
      <c r="B508" t="s">
        <v>392</v>
      </c>
      <c r="F508">
        <v>1.22</v>
      </c>
    </row>
    <row r="509" spans="2:6">
      <c r="B509" t="s">
        <v>393</v>
      </c>
      <c r="F509">
        <v>12.4</v>
      </c>
    </row>
    <row r="510" spans="2:6">
      <c r="B510" t="s">
        <v>394</v>
      </c>
      <c r="F510">
        <v>9.34</v>
      </c>
    </row>
    <row r="511" spans="2:6">
      <c r="B511" t="s">
        <v>395</v>
      </c>
      <c r="F511">
        <v>16.899999999999999</v>
      </c>
    </row>
    <row r="512" spans="2:6">
      <c r="B512" t="s">
        <v>396</v>
      </c>
      <c r="F512">
        <v>9.3000000000000007</v>
      </c>
    </row>
    <row r="513" spans="2:6">
      <c r="B513" t="s">
        <v>397</v>
      </c>
      <c r="F513">
        <v>7.25</v>
      </c>
    </row>
    <row r="514" spans="2:6">
      <c r="B514" t="s">
        <v>398</v>
      </c>
      <c r="F514">
        <v>7.25</v>
      </c>
    </row>
    <row r="515" spans="2:6">
      <c r="B515" t="s">
        <v>399</v>
      </c>
      <c r="F515">
        <v>7.56</v>
      </c>
    </row>
    <row r="516" spans="2:6">
      <c r="B516" t="s">
        <v>400</v>
      </c>
      <c r="F516">
        <v>10.46</v>
      </c>
    </row>
    <row r="517" spans="2:6">
      <c r="B517" t="s">
        <v>401</v>
      </c>
      <c r="F517">
        <v>9.4600000000000009</v>
      </c>
    </row>
    <row r="518" spans="2:6">
      <c r="B518" t="s">
        <v>402</v>
      </c>
      <c r="F518">
        <v>2.7</v>
      </c>
    </row>
    <row r="519" spans="2:6">
      <c r="B519" t="s">
        <v>403</v>
      </c>
      <c r="F519">
        <v>1.28</v>
      </c>
    </row>
    <row r="520" spans="2:6">
      <c r="B520" t="s">
        <v>404</v>
      </c>
      <c r="F520">
        <v>3.61</v>
      </c>
    </row>
    <row r="521" spans="2:6">
      <c r="B521" t="s">
        <v>405</v>
      </c>
      <c r="F521">
        <v>6</v>
      </c>
    </row>
    <row r="522" spans="2:6">
      <c r="B522" t="s">
        <v>406</v>
      </c>
      <c r="F522">
        <v>5.47</v>
      </c>
    </row>
    <row r="523" spans="2:6">
      <c r="B523" t="s">
        <v>407</v>
      </c>
      <c r="F523">
        <v>5.26</v>
      </c>
    </row>
    <row r="524" spans="2:6">
      <c r="B524" t="s">
        <v>408</v>
      </c>
      <c r="F524">
        <v>5.14</v>
      </c>
    </row>
    <row r="525" spans="2:6">
      <c r="B525" t="s">
        <v>409</v>
      </c>
      <c r="F525">
        <v>6</v>
      </c>
    </row>
    <row r="526" spans="2:6">
      <c r="B526" t="s">
        <v>410</v>
      </c>
      <c r="F526">
        <v>4.25</v>
      </c>
    </row>
    <row r="527" spans="2:6">
      <c r="B527" t="s">
        <v>411</v>
      </c>
      <c r="F527">
        <v>8</v>
      </c>
    </row>
    <row r="528" spans="2:6">
      <c r="B528" t="s">
        <v>412</v>
      </c>
      <c r="F528">
        <v>1.2</v>
      </c>
    </row>
    <row r="529" spans="2:6">
      <c r="B529" t="s">
        <v>413</v>
      </c>
      <c r="F529">
        <v>26.8</v>
      </c>
    </row>
    <row r="530" spans="2:6">
      <c r="B530" t="s">
        <v>414</v>
      </c>
      <c r="F530">
        <v>10.7</v>
      </c>
    </row>
    <row r="531" spans="2:6">
      <c r="B531" t="s">
        <v>415</v>
      </c>
      <c r="F531">
        <v>1.32</v>
      </c>
    </row>
    <row r="532" spans="2:6">
      <c r="B532" t="s">
        <v>416</v>
      </c>
      <c r="F532">
        <v>1.24</v>
      </c>
    </row>
    <row r="533" spans="2:6">
      <c r="B533" t="s">
        <v>417</v>
      </c>
      <c r="F533">
        <v>5.2</v>
      </c>
    </row>
    <row r="534" spans="2:6">
      <c r="B534" t="s">
        <v>418</v>
      </c>
      <c r="F534">
        <v>1.08</v>
      </c>
    </row>
    <row r="535" spans="2:6">
      <c r="B535" t="s">
        <v>419</v>
      </c>
      <c r="F535">
        <v>1.27</v>
      </c>
    </row>
    <row r="536" spans="2:6">
      <c r="B536" t="s">
        <v>420</v>
      </c>
      <c r="F536">
        <v>1.8</v>
      </c>
    </row>
    <row r="537" spans="2:6">
      <c r="B537" t="s">
        <v>421</v>
      </c>
      <c r="F537">
        <v>2.06</v>
      </c>
    </row>
    <row r="538" spans="2:6">
      <c r="B538" t="s">
        <v>422</v>
      </c>
      <c r="F538">
        <v>1.27</v>
      </c>
    </row>
    <row r="539" spans="2:6">
      <c r="B539" t="s">
        <v>423</v>
      </c>
      <c r="F539">
        <v>2.04</v>
      </c>
    </row>
    <row r="540" spans="2:6">
      <c r="B540" t="s">
        <v>424</v>
      </c>
      <c r="F540">
        <v>1.1000000000000001</v>
      </c>
    </row>
    <row r="541" spans="2:6">
      <c r="B541" t="s">
        <v>425</v>
      </c>
      <c r="F541">
        <v>2.6</v>
      </c>
    </row>
    <row r="542" spans="2:6">
      <c r="B542" t="s">
        <v>426</v>
      </c>
      <c r="F542">
        <v>1.5</v>
      </c>
    </row>
    <row r="543" spans="2:6">
      <c r="B543" t="s">
        <v>427</v>
      </c>
      <c r="F543">
        <v>1.2</v>
      </c>
    </row>
    <row r="544" spans="2:6">
      <c r="B544" t="s">
        <v>428</v>
      </c>
      <c r="F544">
        <v>1.67</v>
      </c>
    </row>
    <row r="545" spans="2:6">
      <c r="B545" t="s">
        <v>429</v>
      </c>
      <c r="F545">
        <v>2.08</v>
      </c>
    </row>
    <row r="546" spans="2:6">
      <c r="B546" t="s">
        <v>430</v>
      </c>
      <c r="F546">
        <v>2.6</v>
      </c>
    </row>
    <row r="547" spans="2:6">
      <c r="B547" t="s">
        <v>431</v>
      </c>
      <c r="F547">
        <v>0.62</v>
      </c>
    </row>
    <row r="548" spans="2:6">
      <c r="B548" t="s">
        <v>432</v>
      </c>
      <c r="F548">
        <v>1.52</v>
      </c>
    </row>
    <row r="549" spans="2:6">
      <c r="B549" t="s">
        <v>433</v>
      </c>
      <c r="F549">
        <v>2.9</v>
      </c>
    </row>
    <row r="550" spans="2:6">
      <c r="B550" t="s">
        <v>434</v>
      </c>
      <c r="F550">
        <v>2.35</v>
      </c>
    </row>
    <row r="551" spans="2:6">
      <c r="B551" t="s">
        <v>435</v>
      </c>
      <c r="F551">
        <v>2.82</v>
      </c>
    </row>
    <row r="552" spans="2:6">
      <c r="B552" t="s">
        <v>436</v>
      </c>
      <c r="F552">
        <v>1.5</v>
      </c>
    </row>
    <row r="553" spans="2:6">
      <c r="B553" t="s">
        <v>437</v>
      </c>
      <c r="F553">
        <v>1.49</v>
      </c>
    </row>
    <row r="554" spans="2:6">
      <c r="B554" t="s">
        <v>438</v>
      </c>
      <c r="F554">
        <v>1.49</v>
      </c>
    </row>
    <row r="555" spans="2:6">
      <c r="B555" t="s">
        <v>439</v>
      </c>
      <c r="F555">
        <v>1.5</v>
      </c>
    </row>
    <row r="556" spans="2:6">
      <c r="B556" t="s">
        <v>440</v>
      </c>
      <c r="F556">
        <v>1.49</v>
      </c>
    </row>
    <row r="557" spans="2:6">
      <c r="B557" t="s">
        <v>441</v>
      </c>
      <c r="F557">
        <v>1.49</v>
      </c>
    </row>
    <row r="558" spans="2:6">
      <c r="B558" t="s">
        <v>442</v>
      </c>
      <c r="F558">
        <v>1.79</v>
      </c>
    </row>
    <row r="559" spans="2:6">
      <c r="B559" t="s">
        <v>443</v>
      </c>
      <c r="F559">
        <v>2.29</v>
      </c>
    </row>
    <row r="560" spans="2:6">
      <c r="B560" t="s">
        <v>444</v>
      </c>
      <c r="F560">
        <v>1.66</v>
      </c>
    </row>
    <row r="561" spans="2:6">
      <c r="B561" t="s">
        <v>445</v>
      </c>
      <c r="F561">
        <v>1.4</v>
      </c>
    </row>
    <row r="562" spans="2:6">
      <c r="B562" t="s">
        <v>446</v>
      </c>
      <c r="F562">
        <v>1.59</v>
      </c>
    </row>
    <row r="563" spans="2:6">
      <c r="B563" t="s">
        <v>447</v>
      </c>
      <c r="F563">
        <v>1.2</v>
      </c>
    </row>
    <row r="564" spans="2:6">
      <c r="B564" t="s">
        <v>448</v>
      </c>
      <c r="F564">
        <v>1.47</v>
      </c>
    </row>
    <row r="565" spans="2:6">
      <c r="B565" t="s">
        <v>449</v>
      </c>
      <c r="F565">
        <v>1.24</v>
      </c>
    </row>
    <row r="566" spans="2:6">
      <c r="B566" t="s">
        <v>111</v>
      </c>
      <c r="F566">
        <v>1.35</v>
      </c>
    </row>
    <row r="567" spans="2:6">
      <c r="B567" t="s">
        <v>450</v>
      </c>
      <c r="F567">
        <v>2.14</v>
      </c>
    </row>
    <row r="568" spans="2:6">
      <c r="B568" t="s">
        <v>451</v>
      </c>
      <c r="F568">
        <v>1.71</v>
      </c>
    </row>
    <row r="569" spans="2:6">
      <c r="B569" t="s">
        <v>452</v>
      </c>
      <c r="F569">
        <v>1.85</v>
      </c>
    </row>
    <row r="570" spans="2:6">
      <c r="B570" t="s">
        <v>453</v>
      </c>
      <c r="F570">
        <v>1.85</v>
      </c>
    </row>
    <row r="571" spans="2:6">
      <c r="B571" t="s">
        <v>454</v>
      </c>
      <c r="F571">
        <v>1.36</v>
      </c>
    </row>
    <row r="572" spans="2:6">
      <c r="B572" t="s">
        <v>455</v>
      </c>
      <c r="F572">
        <v>1.26</v>
      </c>
    </row>
    <row r="573" spans="2:6">
      <c r="B573" t="s">
        <v>456</v>
      </c>
      <c r="F573">
        <v>2</v>
      </c>
    </row>
    <row r="574" spans="2:6">
      <c r="B574" t="s">
        <v>457</v>
      </c>
      <c r="F574">
        <v>2</v>
      </c>
    </row>
    <row r="575" spans="2:6">
      <c r="B575" t="s">
        <v>458</v>
      </c>
      <c r="F575">
        <v>1.82</v>
      </c>
    </row>
    <row r="576" spans="2:6">
      <c r="B576" t="s">
        <v>459</v>
      </c>
      <c r="F576">
        <v>1.51</v>
      </c>
    </row>
    <row r="577" spans="2:6">
      <c r="B577" t="s">
        <v>460</v>
      </c>
      <c r="F577">
        <v>1.29</v>
      </c>
    </row>
    <row r="578" spans="2:6">
      <c r="B578" t="s">
        <v>461</v>
      </c>
      <c r="F578">
        <v>1.27</v>
      </c>
    </row>
    <row r="579" spans="2:6">
      <c r="B579" t="s">
        <v>462</v>
      </c>
      <c r="F579">
        <v>1.28</v>
      </c>
    </row>
    <row r="580" spans="2:6">
      <c r="B580" t="s">
        <v>463</v>
      </c>
      <c r="F580">
        <v>1.32</v>
      </c>
    </row>
    <row r="581" spans="2:6">
      <c r="B581" t="s">
        <v>464</v>
      </c>
      <c r="F581">
        <v>1.55</v>
      </c>
    </row>
    <row r="582" spans="2:6">
      <c r="B582" t="s">
        <v>465</v>
      </c>
      <c r="F582">
        <v>1.36</v>
      </c>
    </row>
    <row r="583" spans="2:6">
      <c r="B583" t="s">
        <v>466</v>
      </c>
      <c r="F583">
        <v>1.46</v>
      </c>
    </row>
    <row r="584" spans="2:6">
      <c r="B584" t="s">
        <v>467</v>
      </c>
      <c r="F584">
        <v>1.74</v>
      </c>
    </row>
    <row r="585" spans="2:6">
      <c r="B585" t="s">
        <v>468</v>
      </c>
      <c r="F585">
        <v>2.5099999999999998</v>
      </c>
    </row>
    <row r="586" spans="2:6">
      <c r="B586" t="s">
        <v>469</v>
      </c>
      <c r="F586">
        <v>1.43</v>
      </c>
    </row>
    <row r="587" spans="2:6">
      <c r="B587" t="s">
        <v>470</v>
      </c>
      <c r="F587">
        <v>2.86</v>
      </c>
    </row>
    <row r="588" spans="2:6">
      <c r="B588" t="s">
        <v>471</v>
      </c>
      <c r="F588">
        <v>1.85</v>
      </c>
    </row>
    <row r="589" spans="2:6">
      <c r="B589" t="s">
        <v>472</v>
      </c>
      <c r="F589">
        <v>2.79</v>
      </c>
    </row>
    <row r="590" spans="2:6">
      <c r="B590" t="s">
        <v>473</v>
      </c>
      <c r="F590">
        <v>3.09</v>
      </c>
    </row>
    <row r="591" spans="2:6">
      <c r="B591" t="s">
        <v>474</v>
      </c>
      <c r="F591">
        <v>2.04</v>
      </c>
    </row>
    <row r="592" spans="2:6">
      <c r="B592" t="s">
        <v>475</v>
      </c>
      <c r="F592">
        <v>1.0900000000000001</v>
      </c>
    </row>
    <row r="593" spans="2:6">
      <c r="B593" t="s">
        <v>476</v>
      </c>
      <c r="F593">
        <v>1.36</v>
      </c>
    </row>
    <row r="594" spans="2:6">
      <c r="B594" t="s">
        <v>477</v>
      </c>
      <c r="F594">
        <v>1.17</v>
      </c>
    </row>
    <row r="595" spans="2:6">
      <c r="B595" t="s">
        <v>54</v>
      </c>
      <c r="F595">
        <v>1.32</v>
      </c>
    </row>
    <row r="596" spans="2:6">
      <c r="B596" t="s">
        <v>351</v>
      </c>
      <c r="F596">
        <v>1.49</v>
      </c>
    </row>
    <row r="597" spans="2:6">
      <c r="B597" t="s">
        <v>478</v>
      </c>
      <c r="F597">
        <v>2</v>
      </c>
    </row>
    <row r="598" spans="2:6">
      <c r="B598" t="s">
        <v>479</v>
      </c>
      <c r="F598">
        <v>1.24</v>
      </c>
    </row>
    <row r="599" spans="2:6">
      <c r="B599" t="s">
        <v>480</v>
      </c>
      <c r="F599">
        <v>1.75</v>
      </c>
    </row>
    <row r="600" spans="2:6">
      <c r="B600" t="s">
        <v>481</v>
      </c>
      <c r="F600">
        <v>2.74</v>
      </c>
    </row>
    <row r="601" spans="2:6">
      <c r="B601" t="s">
        <v>482</v>
      </c>
      <c r="F601">
        <v>2.87</v>
      </c>
    </row>
    <row r="602" spans="2:6">
      <c r="B602" t="s">
        <v>483</v>
      </c>
      <c r="F602">
        <v>2.2599999999999998</v>
      </c>
    </row>
    <row r="603" spans="2:6">
      <c r="B603" t="s">
        <v>484</v>
      </c>
      <c r="F603">
        <v>1.26</v>
      </c>
    </row>
    <row r="604" spans="2:6">
      <c r="B604" t="s">
        <v>485</v>
      </c>
      <c r="F604">
        <v>1.26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E8CD5-22C0-436C-973D-FE143EFBAC07}">
  <sheetPr>
    <tabColor theme="5"/>
  </sheetPr>
  <dimension ref="A1:D88"/>
  <sheetViews>
    <sheetView topLeftCell="A33" workbookViewId="0">
      <selection activeCell="D10" sqref="D10"/>
    </sheetView>
  </sheetViews>
  <sheetFormatPr defaultRowHeight="15"/>
  <cols>
    <col min="1" max="1" width="9.5703125" bestFit="1" customWidth="1"/>
    <col min="2" max="2" width="7" bestFit="1" customWidth="1"/>
    <col min="3" max="3" width="35.5703125" bestFit="1" customWidth="1"/>
    <col min="4" max="4" width="40.140625" bestFit="1" customWidth="1"/>
  </cols>
  <sheetData>
    <row r="1" spans="1:4" ht="15.75" thickBot="1">
      <c r="A1" s="38" t="s">
        <v>540</v>
      </c>
      <c r="B1" s="38" t="s">
        <v>541</v>
      </c>
      <c r="C1" s="38" t="s">
        <v>542</v>
      </c>
      <c r="D1" s="38" t="s">
        <v>543</v>
      </c>
    </row>
    <row r="2" spans="1:4">
      <c r="A2" s="39" t="s">
        <v>44</v>
      </c>
      <c r="B2" s="39" t="s">
        <v>544</v>
      </c>
      <c r="C2" s="39" t="s">
        <v>545</v>
      </c>
    </row>
    <row r="3" spans="1:4">
      <c r="A3" s="39" t="s">
        <v>44</v>
      </c>
      <c r="B3" s="39" t="s">
        <v>546</v>
      </c>
      <c r="C3" s="39" t="s">
        <v>547</v>
      </c>
    </row>
    <row r="4" spans="1:4">
      <c r="A4" s="39" t="s">
        <v>44</v>
      </c>
      <c r="B4" s="39" t="s">
        <v>548</v>
      </c>
      <c r="C4" s="39" t="s">
        <v>549</v>
      </c>
    </row>
    <row r="5" spans="1:4">
      <c r="A5" s="39" t="s">
        <v>44</v>
      </c>
      <c r="B5" s="39" t="s">
        <v>550</v>
      </c>
      <c r="C5" s="39" t="s">
        <v>551</v>
      </c>
    </row>
    <row r="6" spans="1:4">
      <c r="A6" s="39" t="s">
        <v>44</v>
      </c>
      <c r="B6" s="39" t="s">
        <v>552</v>
      </c>
      <c r="C6" s="39" t="s">
        <v>553</v>
      </c>
    </row>
    <row r="7" spans="1:4">
      <c r="A7" s="39" t="s">
        <v>44</v>
      </c>
      <c r="B7" s="39" t="s">
        <v>554</v>
      </c>
      <c r="C7" s="39" t="s">
        <v>555</v>
      </c>
      <c r="D7" s="40" t="s">
        <v>556</v>
      </c>
    </row>
    <row r="8" spans="1:4">
      <c r="A8" s="39" t="s">
        <v>44</v>
      </c>
      <c r="B8" s="39" t="s">
        <v>557</v>
      </c>
      <c r="C8" s="39" t="s">
        <v>558</v>
      </c>
      <c r="D8" s="58" t="s">
        <v>769</v>
      </c>
    </row>
    <row r="9" spans="1:4">
      <c r="A9" s="39" t="s">
        <v>44</v>
      </c>
      <c r="B9" s="39" t="s">
        <v>559</v>
      </c>
      <c r="C9" s="39" t="s">
        <v>560</v>
      </c>
    </row>
    <row r="10" spans="1:4">
      <c r="A10" s="39" t="s">
        <v>44</v>
      </c>
      <c r="B10" s="39" t="s">
        <v>561</v>
      </c>
      <c r="C10" s="39" t="s">
        <v>562</v>
      </c>
    </row>
    <row r="11" spans="1:4">
      <c r="A11" s="39" t="s">
        <v>44</v>
      </c>
      <c r="B11" s="39" t="s">
        <v>563</v>
      </c>
      <c r="C11" s="39" t="s">
        <v>564</v>
      </c>
    </row>
    <row r="12" spans="1:4">
      <c r="A12" s="39" t="s">
        <v>44</v>
      </c>
      <c r="B12" s="39" t="s">
        <v>565</v>
      </c>
      <c r="C12" s="39" t="s">
        <v>566</v>
      </c>
    </row>
    <row r="13" spans="1:4">
      <c r="A13" s="39" t="s">
        <v>44</v>
      </c>
      <c r="B13" s="39" t="s">
        <v>567</v>
      </c>
      <c r="C13" s="39" t="s">
        <v>568</v>
      </c>
      <c r="D13" s="40" t="s">
        <v>757</v>
      </c>
    </row>
    <row r="14" spans="1:4">
      <c r="A14" s="39" t="s">
        <v>44</v>
      </c>
      <c r="B14" s="39" t="s">
        <v>569</v>
      </c>
      <c r="C14" s="39" t="s">
        <v>570</v>
      </c>
    </row>
    <row r="15" spans="1:4">
      <c r="A15" s="39" t="s">
        <v>44</v>
      </c>
      <c r="B15" s="39" t="s">
        <v>571</v>
      </c>
      <c r="C15" s="39" t="s">
        <v>572</v>
      </c>
      <c r="D15" s="40" t="s">
        <v>573</v>
      </c>
    </row>
    <row r="16" spans="1:4">
      <c r="A16" s="39" t="s">
        <v>44</v>
      </c>
      <c r="B16" s="39" t="s">
        <v>574</v>
      </c>
      <c r="C16" s="39" t="s">
        <v>575</v>
      </c>
      <c r="D16" s="40" t="s">
        <v>576</v>
      </c>
    </row>
    <row r="17" spans="1:4">
      <c r="A17" s="39" t="s">
        <v>44</v>
      </c>
      <c r="B17" s="39" t="s">
        <v>577</v>
      </c>
      <c r="C17" s="39" t="s">
        <v>578</v>
      </c>
      <c r="D17" s="40" t="s">
        <v>579</v>
      </c>
    </row>
    <row r="18" spans="1:4">
      <c r="A18" s="39" t="s">
        <v>44</v>
      </c>
      <c r="B18" s="39" t="s">
        <v>580</v>
      </c>
      <c r="C18" s="39" t="s">
        <v>581</v>
      </c>
      <c r="D18" s="59" t="s">
        <v>764</v>
      </c>
    </row>
    <row r="19" spans="1:4">
      <c r="A19" s="39" t="s">
        <v>44</v>
      </c>
      <c r="B19" s="39" t="s">
        <v>582</v>
      </c>
      <c r="C19" s="39" t="s">
        <v>583</v>
      </c>
      <c r="D19" s="58" t="s">
        <v>763</v>
      </c>
    </row>
    <row r="20" spans="1:4">
      <c r="A20" s="39" t="s">
        <v>44</v>
      </c>
      <c r="B20" s="39" t="s">
        <v>584</v>
      </c>
      <c r="C20" s="39" t="s">
        <v>585</v>
      </c>
      <c r="D20" s="40" t="s">
        <v>586</v>
      </c>
    </row>
    <row r="21" spans="1:4">
      <c r="A21" s="39" t="s">
        <v>44</v>
      </c>
      <c r="B21" s="39" t="s">
        <v>587</v>
      </c>
      <c r="C21" s="39" t="s">
        <v>588</v>
      </c>
    </row>
    <row r="22" spans="1:4">
      <c r="A22" s="39" t="s">
        <v>44</v>
      </c>
      <c r="B22" s="39" t="s">
        <v>589</v>
      </c>
      <c r="C22" s="39" t="s">
        <v>590</v>
      </c>
    </row>
    <row r="23" spans="1:4">
      <c r="A23" s="39" t="s">
        <v>44</v>
      </c>
      <c r="B23" s="39" t="s">
        <v>591</v>
      </c>
      <c r="C23" s="39" t="s">
        <v>592</v>
      </c>
    </row>
    <row r="24" spans="1:4">
      <c r="A24" s="39" t="s">
        <v>44</v>
      </c>
      <c r="B24" s="39" t="s">
        <v>593</v>
      </c>
      <c r="C24" s="39" t="s">
        <v>594</v>
      </c>
    </row>
    <row r="25" spans="1:4">
      <c r="A25" s="39" t="s">
        <v>44</v>
      </c>
      <c r="B25" s="39" t="s">
        <v>595</v>
      </c>
      <c r="C25" s="39" t="s">
        <v>596</v>
      </c>
    </row>
    <row r="26" spans="1:4">
      <c r="A26" s="39" t="s">
        <v>44</v>
      </c>
      <c r="B26" s="39" t="s">
        <v>597</v>
      </c>
      <c r="C26" s="39" t="s">
        <v>598</v>
      </c>
    </row>
    <row r="27" spans="1:4">
      <c r="A27" s="39" t="s">
        <v>44</v>
      </c>
      <c r="B27" s="39" t="s">
        <v>599</v>
      </c>
      <c r="C27" s="39" t="s">
        <v>600</v>
      </c>
    </row>
    <row r="28" spans="1:4">
      <c r="A28" s="39" t="s">
        <v>44</v>
      </c>
      <c r="B28" s="39" t="s">
        <v>601</v>
      </c>
      <c r="C28" s="39" t="s">
        <v>602</v>
      </c>
    </row>
    <row r="29" spans="1:4">
      <c r="A29" s="39" t="s">
        <v>44</v>
      </c>
      <c r="B29" s="39" t="s">
        <v>603</v>
      </c>
      <c r="C29" s="39" t="s">
        <v>604</v>
      </c>
    </row>
    <row r="30" spans="1:4">
      <c r="A30" s="39" t="s">
        <v>44</v>
      </c>
      <c r="B30" s="39" t="s">
        <v>605</v>
      </c>
      <c r="C30" s="39" t="s">
        <v>606</v>
      </c>
    </row>
    <row r="31" spans="1:4">
      <c r="A31" s="39" t="s">
        <v>44</v>
      </c>
      <c r="B31" s="39" t="s">
        <v>607</v>
      </c>
      <c r="C31" s="39" t="s">
        <v>608</v>
      </c>
      <c r="D31" s="40" t="s">
        <v>609</v>
      </c>
    </row>
    <row r="32" spans="1:4">
      <c r="A32" s="39" t="s">
        <v>44</v>
      </c>
      <c r="B32" s="39" t="s">
        <v>610</v>
      </c>
      <c r="C32" s="39" t="s">
        <v>611</v>
      </c>
      <c r="D32" s="40" t="s">
        <v>612</v>
      </c>
    </row>
    <row r="33" spans="1:4">
      <c r="A33" s="39" t="s">
        <v>44</v>
      </c>
      <c r="B33" s="39" t="s">
        <v>613</v>
      </c>
      <c r="C33" s="39" t="s">
        <v>614</v>
      </c>
      <c r="D33" s="40" t="s">
        <v>615</v>
      </c>
    </row>
    <row r="34" spans="1:4">
      <c r="A34" s="39" t="s">
        <v>44</v>
      </c>
      <c r="B34" s="39" t="s">
        <v>616</v>
      </c>
      <c r="C34" s="39" t="s">
        <v>617</v>
      </c>
    </row>
    <row r="35" spans="1:4">
      <c r="A35" s="39" t="s">
        <v>44</v>
      </c>
      <c r="B35" s="39" t="s">
        <v>618</v>
      </c>
      <c r="C35" s="39" t="s">
        <v>619</v>
      </c>
      <c r="D35" s="40" t="s">
        <v>620</v>
      </c>
    </row>
    <row r="36" spans="1:4">
      <c r="A36" s="39" t="s">
        <v>44</v>
      </c>
      <c r="B36" s="39" t="s">
        <v>621</v>
      </c>
      <c r="C36" s="39" t="s">
        <v>622</v>
      </c>
      <c r="D36" s="40" t="s">
        <v>623</v>
      </c>
    </row>
    <row r="37" spans="1:4">
      <c r="A37" s="39" t="s">
        <v>44</v>
      </c>
      <c r="B37" s="39" t="s">
        <v>624</v>
      </c>
      <c r="C37" s="39" t="s">
        <v>625</v>
      </c>
    </row>
    <row r="38" spans="1:4">
      <c r="A38" s="39" t="s">
        <v>44</v>
      </c>
      <c r="B38" s="39" t="s">
        <v>626</v>
      </c>
      <c r="C38" s="39" t="s">
        <v>627</v>
      </c>
    </row>
    <row r="39" spans="1:4">
      <c r="A39" s="39" t="s">
        <v>44</v>
      </c>
      <c r="B39" s="39" t="s">
        <v>628</v>
      </c>
      <c r="C39" s="39" t="s">
        <v>629</v>
      </c>
    </row>
    <row r="40" spans="1:4">
      <c r="A40" s="39" t="s">
        <v>44</v>
      </c>
      <c r="B40" s="39" t="s">
        <v>630</v>
      </c>
      <c r="C40" s="39" t="s">
        <v>631</v>
      </c>
      <c r="D40" s="40" t="s">
        <v>632</v>
      </c>
    </row>
    <row r="41" spans="1:4">
      <c r="A41" s="39" t="s">
        <v>44</v>
      </c>
      <c r="B41" s="39" t="s">
        <v>633</v>
      </c>
      <c r="C41" s="39" t="s">
        <v>634</v>
      </c>
    </row>
    <row r="42" spans="1:4">
      <c r="A42" s="39" t="s">
        <v>44</v>
      </c>
      <c r="B42" s="39" t="s">
        <v>635</v>
      </c>
      <c r="C42" s="39" t="s">
        <v>636</v>
      </c>
    </row>
    <row r="43" spans="1:4">
      <c r="A43" s="39" t="s">
        <v>44</v>
      </c>
      <c r="B43" s="39" t="s">
        <v>637</v>
      </c>
      <c r="C43" s="39" t="s">
        <v>638</v>
      </c>
    </row>
    <row r="44" spans="1:4">
      <c r="A44" s="39" t="s">
        <v>44</v>
      </c>
      <c r="B44" s="39" t="s">
        <v>639</v>
      </c>
      <c r="C44" s="39" t="s">
        <v>640</v>
      </c>
      <c r="D44" s="40" t="s">
        <v>641</v>
      </c>
    </row>
    <row r="45" spans="1:4">
      <c r="A45" s="39" t="s">
        <v>44</v>
      </c>
      <c r="B45" s="39" t="s">
        <v>642</v>
      </c>
      <c r="C45" s="39" t="s">
        <v>643</v>
      </c>
      <c r="D45" s="40" t="s">
        <v>644</v>
      </c>
    </row>
    <row r="46" spans="1:4">
      <c r="A46" s="39" t="s">
        <v>44</v>
      </c>
      <c r="B46" s="39" t="s">
        <v>645</v>
      </c>
      <c r="C46" s="39" t="s">
        <v>646</v>
      </c>
    </row>
    <row r="47" spans="1:4">
      <c r="A47" s="39" t="s">
        <v>44</v>
      </c>
      <c r="B47" s="39" t="s">
        <v>647</v>
      </c>
      <c r="C47" s="39" t="s">
        <v>648</v>
      </c>
    </row>
    <row r="48" spans="1:4">
      <c r="A48" s="39" t="s">
        <v>44</v>
      </c>
      <c r="B48" s="39" t="s">
        <v>649</v>
      </c>
      <c r="C48" s="39" t="s">
        <v>650</v>
      </c>
    </row>
    <row r="49" spans="1:4">
      <c r="A49" s="39" t="s">
        <v>44</v>
      </c>
      <c r="B49" s="39" t="s">
        <v>651</v>
      </c>
      <c r="C49" s="39" t="s">
        <v>652</v>
      </c>
      <c r="D49" s="40" t="s">
        <v>653</v>
      </c>
    </row>
    <row r="50" spans="1:4">
      <c r="A50" s="39" t="s">
        <v>44</v>
      </c>
      <c r="B50" s="39" t="s">
        <v>654</v>
      </c>
      <c r="C50" s="39" t="s">
        <v>655</v>
      </c>
    </row>
    <row r="51" spans="1:4">
      <c r="A51" s="39" t="s">
        <v>44</v>
      </c>
      <c r="B51" s="39" t="s">
        <v>656</v>
      </c>
      <c r="C51" s="39" t="s">
        <v>657</v>
      </c>
    </row>
    <row r="52" spans="1:4">
      <c r="A52" s="39" t="s">
        <v>44</v>
      </c>
      <c r="B52" s="39" t="s">
        <v>658</v>
      </c>
      <c r="C52" s="39" t="s">
        <v>659</v>
      </c>
    </row>
    <row r="53" spans="1:4">
      <c r="A53" s="39" t="s">
        <v>44</v>
      </c>
      <c r="B53" s="39" t="s">
        <v>660</v>
      </c>
      <c r="C53" s="39" t="s">
        <v>661</v>
      </c>
    </row>
    <row r="54" spans="1:4">
      <c r="A54" s="39" t="s">
        <v>44</v>
      </c>
      <c r="B54" s="39" t="s">
        <v>662</v>
      </c>
      <c r="C54" s="39" t="s">
        <v>663</v>
      </c>
    </row>
    <row r="55" spans="1:4">
      <c r="A55" s="39" t="s">
        <v>44</v>
      </c>
      <c r="B55" s="39" t="s">
        <v>664</v>
      </c>
      <c r="C55" s="39" t="s">
        <v>665</v>
      </c>
    </row>
    <row r="56" spans="1:4">
      <c r="A56" s="39" t="s">
        <v>44</v>
      </c>
      <c r="B56" s="39" t="s">
        <v>666</v>
      </c>
      <c r="C56" s="39" t="s">
        <v>667</v>
      </c>
    </row>
    <row r="57" spans="1:4">
      <c r="A57" s="39" t="s">
        <v>44</v>
      </c>
      <c r="B57" s="39" t="s">
        <v>668</v>
      </c>
      <c r="C57" s="39" t="s">
        <v>669</v>
      </c>
      <c r="D57" s="40" t="s">
        <v>670</v>
      </c>
    </row>
    <row r="58" spans="1:4">
      <c r="A58" s="39" t="s">
        <v>44</v>
      </c>
      <c r="B58" s="39" t="s">
        <v>671</v>
      </c>
      <c r="C58" s="39" t="s">
        <v>672</v>
      </c>
    </row>
    <row r="59" spans="1:4">
      <c r="A59" s="39" t="s">
        <v>44</v>
      </c>
      <c r="B59" s="39" t="s">
        <v>673</v>
      </c>
      <c r="C59" s="39" t="s">
        <v>674</v>
      </c>
    </row>
    <row r="60" spans="1:4">
      <c r="A60" s="39" t="s">
        <v>44</v>
      </c>
      <c r="B60" s="39" t="s">
        <v>675</v>
      </c>
      <c r="C60" s="39" t="s">
        <v>676</v>
      </c>
    </row>
    <row r="61" spans="1:4">
      <c r="A61" s="39" t="s">
        <v>44</v>
      </c>
      <c r="B61" s="39" t="s">
        <v>677</v>
      </c>
      <c r="C61" s="39" t="s">
        <v>678</v>
      </c>
    </row>
    <row r="62" spans="1:4">
      <c r="A62" s="39" t="s">
        <v>44</v>
      </c>
      <c r="B62" s="39" t="s">
        <v>679</v>
      </c>
      <c r="C62" s="39" t="s">
        <v>680</v>
      </c>
    </row>
    <row r="63" spans="1:4">
      <c r="A63" s="39" t="s">
        <v>44</v>
      </c>
      <c r="B63" s="39" t="s">
        <v>681</v>
      </c>
      <c r="C63" s="39" t="s">
        <v>682</v>
      </c>
    </row>
    <row r="64" spans="1:4">
      <c r="A64" s="39" t="s">
        <v>44</v>
      </c>
      <c r="B64" s="39" t="s">
        <v>683</v>
      </c>
      <c r="C64" s="39" t="s">
        <v>684</v>
      </c>
      <c r="D64" s="40" t="s">
        <v>685</v>
      </c>
    </row>
    <row r="65" spans="1:3">
      <c r="A65" s="39" t="s">
        <v>44</v>
      </c>
      <c r="B65" s="39" t="s">
        <v>686</v>
      </c>
      <c r="C65" s="39" t="s">
        <v>687</v>
      </c>
    </row>
    <row r="66" spans="1:3">
      <c r="A66" s="39" t="s">
        <v>44</v>
      </c>
      <c r="B66" s="39" t="s">
        <v>688</v>
      </c>
      <c r="C66" s="39" t="s">
        <v>689</v>
      </c>
    </row>
    <row r="67" spans="1:3">
      <c r="A67" s="39" t="s">
        <v>44</v>
      </c>
      <c r="B67" s="39" t="s">
        <v>690</v>
      </c>
      <c r="C67" s="39" t="s">
        <v>691</v>
      </c>
    </row>
    <row r="68" spans="1:3">
      <c r="A68" s="39" t="s">
        <v>44</v>
      </c>
      <c r="B68" s="39" t="s">
        <v>692</v>
      </c>
      <c r="C68" s="39" t="s">
        <v>693</v>
      </c>
    </row>
    <row r="69" spans="1:3">
      <c r="A69" s="39" t="s">
        <v>44</v>
      </c>
      <c r="B69" s="39" t="s">
        <v>694</v>
      </c>
      <c r="C69" s="39" t="s">
        <v>695</v>
      </c>
    </row>
    <row r="70" spans="1:3">
      <c r="A70" s="39" t="s">
        <v>44</v>
      </c>
      <c r="B70" s="39" t="s">
        <v>696</v>
      </c>
      <c r="C70" s="39" t="s">
        <v>697</v>
      </c>
    </row>
    <row r="71" spans="1:3">
      <c r="A71" s="39" t="s">
        <v>44</v>
      </c>
      <c r="B71" s="39" t="s">
        <v>698</v>
      </c>
      <c r="C71" s="39" t="s">
        <v>699</v>
      </c>
    </row>
    <row r="72" spans="1:3">
      <c r="A72" s="39" t="s">
        <v>44</v>
      </c>
      <c r="B72" s="39" t="s">
        <v>700</v>
      </c>
      <c r="C72" s="39" t="s">
        <v>701</v>
      </c>
    </row>
    <row r="73" spans="1:3">
      <c r="A73" s="39" t="s">
        <v>44</v>
      </c>
      <c r="B73" s="39" t="s">
        <v>702</v>
      </c>
      <c r="C73" s="39" t="s">
        <v>703</v>
      </c>
    </row>
    <row r="74" spans="1:3">
      <c r="A74" s="39" t="s">
        <v>44</v>
      </c>
      <c r="B74" s="39" t="s">
        <v>704</v>
      </c>
      <c r="C74" s="39" t="s">
        <v>705</v>
      </c>
    </row>
    <row r="75" spans="1:3">
      <c r="A75" s="39" t="s">
        <v>44</v>
      </c>
      <c r="B75" s="39" t="s">
        <v>706</v>
      </c>
      <c r="C75" s="39" t="s">
        <v>707</v>
      </c>
    </row>
    <row r="76" spans="1:3">
      <c r="A76" s="39" t="s">
        <v>44</v>
      </c>
      <c r="B76" s="39" t="s">
        <v>708</v>
      </c>
      <c r="C76" s="39" t="s">
        <v>709</v>
      </c>
    </row>
    <row r="77" spans="1:3">
      <c r="A77" s="39" t="s">
        <v>44</v>
      </c>
      <c r="B77" s="39" t="s">
        <v>710</v>
      </c>
      <c r="C77" s="39" t="s">
        <v>711</v>
      </c>
    </row>
    <row r="78" spans="1:3">
      <c r="A78" s="39" t="s">
        <v>44</v>
      </c>
      <c r="B78" s="39" t="s">
        <v>712</v>
      </c>
      <c r="C78" s="39" t="s">
        <v>713</v>
      </c>
    </row>
    <row r="79" spans="1:3">
      <c r="A79" s="39" t="s">
        <v>44</v>
      </c>
      <c r="B79" s="39" t="s">
        <v>714</v>
      </c>
      <c r="C79" s="39" t="s">
        <v>715</v>
      </c>
    </row>
    <row r="80" spans="1:3">
      <c r="A80" s="39" t="s">
        <v>44</v>
      </c>
      <c r="B80" s="39" t="s">
        <v>716</v>
      </c>
      <c r="C80" s="39" t="s">
        <v>717</v>
      </c>
    </row>
    <row r="81" spans="1:4">
      <c r="A81" s="39" t="s">
        <v>44</v>
      </c>
      <c r="B81" s="39" t="s">
        <v>718</v>
      </c>
      <c r="C81" s="39" t="s">
        <v>719</v>
      </c>
    </row>
    <row r="82" spans="1:4">
      <c r="A82" s="39" t="s">
        <v>44</v>
      </c>
      <c r="B82" s="39" t="s">
        <v>720</v>
      </c>
      <c r="C82" s="39" t="s">
        <v>721</v>
      </c>
      <c r="D82" s="40" t="s">
        <v>722</v>
      </c>
    </row>
    <row r="83" spans="1:4">
      <c r="A83" s="39" t="s">
        <v>44</v>
      </c>
      <c r="B83" s="39" t="s">
        <v>723</v>
      </c>
      <c r="C83" s="39" t="s">
        <v>724</v>
      </c>
      <c r="D83" s="40" t="s">
        <v>725</v>
      </c>
    </row>
    <row r="84" spans="1:4">
      <c r="A84" s="39" t="s">
        <v>44</v>
      </c>
      <c r="B84" s="39" t="s">
        <v>726</v>
      </c>
      <c r="C84" s="39" t="s">
        <v>727</v>
      </c>
    </row>
    <row r="85" spans="1:4">
      <c r="A85" s="39" t="s">
        <v>44</v>
      </c>
      <c r="B85" s="39" t="s">
        <v>728</v>
      </c>
      <c r="C85" s="39" t="s">
        <v>729</v>
      </c>
    </row>
    <row r="86" spans="1:4">
      <c r="A86" s="39" t="s">
        <v>44</v>
      </c>
      <c r="B86" s="39" t="s">
        <v>730</v>
      </c>
      <c r="C86" s="39" t="s">
        <v>731</v>
      </c>
    </row>
    <row r="87" spans="1:4">
      <c r="A87" s="39" t="s">
        <v>44</v>
      </c>
      <c r="B87" s="39" t="s">
        <v>732</v>
      </c>
      <c r="C87" s="39" t="s">
        <v>733</v>
      </c>
    </row>
    <row r="88" spans="1:4">
      <c r="A88" t="s">
        <v>44</v>
      </c>
      <c r="B88" t="s">
        <v>734</v>
      </c>
      <c r="C88" t="s">
        <v>735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Audit Report</vt:lpstr>
      <vt:lpstr>SIMS 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  <vt:lpstr>Diagnostics 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2026-05-07T05:57:37Z</dcterms:modified>
</cp:coreProperties>
</file>